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otection workbookPassword="CC30" lockStructure="1"/>
  <bookViews>
    <workbookView activeTab="0"/>
  </bookViews>
  <sheets>
    <sheet name="Dashboard" sheetId="1" r:id="rId1"/>
    <sheet name="Monitoramento" sheetId="2" r:id="rId2"/>
    <sheet name="Consol Mensal" sheetId="3" r:id="rId3"/>
    <sheet name="calculos" sheetId="4" state="hidden" r:id="rId4"/>
    <sheet name="BD" sheetId="5" r:id="rId5"/>
    <sheet name="Config" sheetId="6" r:id="rId6"/>
    <sheet name="calculos_quadro" sheetId="7" state="hidden" r:id="rId7"/>
  </sheets>
  <definedNames>
    <definedName name="_xlnm.Print_Area" localSheetId="0">'Dashboard'!$A$1:$Z$65</definedName>
    <definedName name="_xlnm.Print_Area" localSheetId="1">'Monitoramento'!$A$1:$AK$547</definedName>
    <definedName name="_xlnm.Print_Area" localSheetId="2">'Consol Mensal'!$A$1:$AA$65</definedName>
    <definedName name="_xlnm.Print_Area" localSheetId="5">'Config'!$A$1:$V$98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dd/mm/yyyy"/>
    <numFmt numFmtId="165" formatCode="dd/mm"/>
    <numFmt numFmtId="166" formatCode="#,##0;;"/>
    <numFmt numFmtId="167" formatCode="0.0%"/>
    <numFmt numFmtId="168" formatCode="#,##0.0"/>
    <numFmt numFmtId="169" formatCode="&quot;▲ &quot;0%&quot; vs período ant.&quot;;&quot;▼ &quot;0%&quot; vs período ant.&quot;;&quot;= período ant.&quot;"/>
    <numFmt numFmtId="170" formatCode="#,##0&quot; p.p&quot;"/>
    <numFmt numFmtId="171" formatCode="0.0%;&quot;excede &quot;0.0%"/>
    <numFmt numFmtId="172" formatCode="#,##0.0&quot; h&quot;"/>
    <numFmt numFmtId="173" formatCode="[$-416]d;@"/>
    <numFmt numFmtId="174" formatCode="[&gt;=1000]#,##0;#,##0.0"/>
    <numFmt numFmtId="175" formatCode="&quot;▲ &quot;0%;&quot;▼ &quot;0%;&quot;= 0%&quot;"/>
  </numFmts>
  <fonts count="41">
    <font>
      <sz val="10"/>
      <color rgb="FF000000"/>
      <name val="Calibri"/>
      <family val="2"/>
    </font>
    <font>
      <b/>
      <sz val="9"/>
      <color rgb="FF1B1B1F"/>
      <name val="Calibri"/>
      <family val="2"/>
    </font>
    <font>
      <b/>
      <sz val="9"/>
      <color rgb="FFFFFFFF"/>
      <name val="Calibri"/>
      <family val="2"/>
    </font>
    <font>
      <b/>
      <sz val="10"/>
      <color rgb="FFC00000"/>
      <name val="Calibri"/>
      <family val="2"/>
    </font>
    <font>
      <sz val="9"/>
      <color rgb="FF404040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sz val="10"/>
      <color rgb="FF0000FF"/>
      <name val="Calibri"/>
      <family val="2"/>
    </font>
    <font>
      <i/>
      <sz val="8"/>
      <color rgb="FF7F7F7F"/>
      <name val="Calibri"/>
      <family val="2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4"/>
      <color rgb="FFFFFFFF"/>
      <name val="Calibri"/>
      <family val="2"/>
    </font>
    <font>
      <b/>
      <sz val="9"/>
      <color rgb="FF262626"/>
      <name val="Calibri"/>
      <family val="2"/>
    </font>
    <font>
      <sz val="9"/>
      <color rgb="FF262626"/>
      <name val="Calibri"/>
      <family val="2"/>
    </font>
    <font>
      <b/>
      <sz val="9"/>
      <color rgb="FFC00000"/>
      <name val="Calibri"/>
      <family val="2"/>
    </font>
    <font>
      <sz val="9"/>
      <color rgb="FF0000FF"/>
      <name val="Calibri"/>
      <family val="2"/>
    </font>
    <font>
      <sz val="8"/>
      <color rgb="FF9A9A9A"/>
      <name val="Calibri"/>
      <family val="2"/>
    </font>
    <font>
      <b/>
      <sz val="11"/>
      <color rgb="FFFFFFFF"/>
      <name val="Calibri"/>
      <family val="2"/>
    </font>
    <font>
      <b/>
      <sz val="9"/>
      <color rgb="FF404040"/>
      <name val="Calibri"/>
      <family val="2"/>
    </font>
    <font>
      <b/>
      <sz val="10"/>
      <color rgb="FF0000FF"/>
      <name val="Calibri"/>
      <family val="2"/>
    </font>
    <font>
      <b/>
      <sz val="8"/>
      <color rgb="FF1B1B1F"/>
      <name val="Calibri"/>
      <family val="2"/>
    </font>
    <font>
      <b/>
      <sz val="16"/>
      <color rgb="FFFFFFFF"/>
      <name val="Calibri"/>
      <family val="2"/>
    </font>
    <font>
      <b/>
      <sz val="12"/>
      <color rgb="FF1B1B1F"/>
      <name val="Calibri"/>
      <family val="2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595959"/>
      <name val="Calibri"/>
      <family val="2"/>
    </font>
    <font>
      <sz val="9"/>
      <color rgb="FF7F7F7F"/>
      <name val="Calibri"/>
      <family val="2"/>
    </font>
    <font>
      <b/>
      <sz val="11"/>
      <color rgb="FF1B1B1F"/>
      <name val="Calibri"/>
      <family val="2"/>
    </font>
    <font>
      <b/>
      <sz val="30"/>
      <color rgb="FF1B1B1F"/>
      <name val="Calibri"/>
      <family val="2"/>
    </font>
    <font>
      <b/>
      <sz val="10"/>
      <color rgb="FF595959"/>
      <name val="Calibri"/>
      <family val="2"/>
    </font>
    <font>
      <sz val="10"/>
      <color rgb="FF6E7078"/>
      <name val="Calibri"/>
      <family val="2"/>
    </font>
    <font>
      <b/>
      <sz val="10"/>
      <color rgb="FF7F7F7F"/>
      <name val="Calibri"/>
      <family val="2"/>
    </font>
    <font>
      <b/>
      <sz val="26"/>
      <color rgb="FF1B1B1F"/>
      <name val="Calibri"/>
      <family val="2"/>
    </font>
    <font>
      <b/>
      <sz val="9"/>
      <color rgb="FF6E7078"/>
      <name val="Calibri"/>
      <family val="2"/>
    </font>
    <font>
      <i/>
      <sz val="8"/>
      <color rgb="FF9A9A9A"/>
      <name val="Calibri"/>
      <family val="2"/>
    </font>
    <font>
      <b/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B1B1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2F2F2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BFBFBF"/>
      </bottom>
      <diagonal/>
    </border>
    <border>
      <left style="medium">
        <color rgb="FF000000"/>
      </left>
      <right/>
      <top style="medium">
        <color rgb="FF000000"/>
      </top>
      <bottom style="hair">
        <color rgb="FFBFBFBF"/>
      </bottom>
      <diagonal/>
    </border>
    <border>
      <left/>
      <right/>
      <top style="medium">
        <color rgb="FF000000"/>
      </top>
      <bottom style="hair">
        <color rgb="FFBFBFBF"/>
      </bottom>
      <diagonal/>
    </border>
    <border>
      <left/>
      <right style="medium">
        <color rgb="FF000000"/>
      </right>
      <top style="medium">
        <color rgb="FF000000"/>
      </top>
      <bottom style="hair">
        <color rgb="FFBFBFB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E01E1E"/>
      </left>
      <right/>
      <top style="medium">
        <color rgb="FFE01E1E"/>
      </top>
      <bottom style="medium">
        <color rgb="FFE01E1E"/>
      </bottom>
      <diagonal/>
    </border>
    <border>
      <left/>
      <right/>
      <top style="medium">
        <color rgb="FFE01E1E"/>
      </top>
      <bottom style="medium">
        <color rgb="FFE01E1E"/>
      </bottom>
      <diagonal/>
    </border>
    <border>
      <left/>
      <right style="medium">
        <color rgb="FFE01E1E"/>
      </right>
      <top style="medium">
        <color rgb="FFE01E1E"/>
      </top>
      <bottom style="medium">
        <color rgb="FFE01E1E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E01E1E"/>
      </top>
      <bottom/>
      <diagonal/>
    </border>
    <border>
      <left/>
      <right/>
      <top/>
      <bottom style="hair">
        <color rgb="FFC9CBD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595959"/>
      </bottom>
      <diagonal/>
    </border>
    <border>
      <left style="hair">
        <color rgb="FF7F7F7F"/>
      </left>
      <right/>
      <top style="medium">
        <color rgb="FF000000"/>
      </top>
      <bottom/>
      <diagonal/>
    </border>
    <border>
      <left/>
      <right/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 style="medium">
        <color rgb="FF000000"/>
      </right>
      <top style="hair">
        <color rgb="FF7F7F7F"/>
      </top>
      <bottom/>
      <diagonal/>
    </border>
    <border>
      <left/>
      <right/>
      <top style="hair">
        <color rgb="FF7F7F7F"/>
      </top>
      <bottom style="medium">
        <color rgb="FF000000"/>
      </bottom>
      <diagonal/>
    </border>
    <border>
      <left style="hair">
        <color rgb="FF7F7F7F"/>
      </left>
      <right/>
      <top style="hair">
        <color rgb="FF7F7F7F"/>
      </top>
      <bottom style="medium">
        <color rgb="FF000000"/>
      </bottom>
      <diagonal/>
    </border>
    <border>
      <left/>
      <right style="medium">
        <color rgb="FF000000"/>
      </right>
      <top style="hair">
        <color rgb="FF7F7F7F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39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5" borderId="3" xfId="0" applyNumberFormat="1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1" fillId="6" borderId="2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2" fillId="7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5" fillId="8" borderId="0" xfId="0" applyNumberFormat="1" applyFont="1" applyFill="1" applyBorder="1" applyAlignment="1">
      <alignment horizontal="center" vertical="center"/>
    </xf>
    <xf numFmtId="3" fontId="5" fillId="8" borderId="0" xfId="0" applyNumberFormat="1" applyFont="1" applyFill="1" applyBorder="1" applyAlignment="1">
      <alignment horizontal="center" vertical="center"/>
    </xf>
    <xf numFmtId="0" fontId="6" fillId="9" borderId="5" xfId="0" applyNumberFormat="1" applyFont="1" applyFill="1" applyBorder="1" applyAlignment="1">
      <alignment horizontal="left" vertical="center" indent="1"/>
    </xf>
    <xf numFmtId="0" fontId="2" fillId="7" borderId="6" xfId="0" applyNumberFormat="1" applyFont="1" applyFill="1" applyBorder="1" applyAlignment="1">
      <alignment horizontal="left" vertical="center" indent="1"/>
    </xf>
    <xf numFmtId="0" fontId="2" fillId="7" borderId="7" xfId="0" applyNumberFormat="1" applyFont="1" applyFill="1" applyBorder="1" applyAlignment="1">
      <alignment horizontal="center" vertical="center" wrapText="1"/>
    </xf>
    <xf numFmtId="0" fontId="2" fillId="7" borderId="8" xfId="0" applyNumberFormat="1" applyFont="1" applyFill="1" applyBorder="1" applyAlignment="1">
      <alignment horizontal="center" vertical="center" wrapText="1"/>
    </xf>
    <xf numFmtId="0" fontId="7" fillId="3" borderId="9" xfId="0" applyNumberFormat="1" applyFont="1" applyFill="1" applyBorder="1" applyAlignment="1">
      <alignment horizontal="left" vertical="center" indent="1"/>
    </xf>
    <xf numFmtId="3" fontId="8" fillId="10" borderId="10" xfId="0" applyNumberFormat="1" applyFont="1" applyFill="1" applyBorder="1" applyAlignment="1" applyProtection="1">
      <alignment horizontal="center" vertical="center"/>
      <protection locked="0"/>
    </xf>
    <xf numFmtId="3" fontId="8" fillId="10" borderId="11" xfId="0" applyNumberFormat="1" applyFont="1" applyFill="1" applyBorder="1" applyAlignment="1" applyProtection="1">
      <alignment horizontal="center" vertical="center"/>
      <protection locked="0"/>
    </xf>
    <xf numFmtId="0" fontId="7" fillId="4" borderId="9" xfId="0" applyNumberFormat="1" applyFont="1" applyFill="1" applyBorder="1" applyAlignment="1">
      <alignment horizontal="left" vertical="center" indent="1"/>
    </xf>
    <xf numFmtId="0" fontId="7" fillId="5" borderId="9" xfId="0" applyNumberFormat="1" applyFont="1" applyFill="1" applyBorder="1" applyAlignment="1">
      <alignment horizontal="left" vertical="center" indent="1"/>
    </xf>
    <xf numFmtId="9" fontId="8" fillId="10" borderId="10" xfId="0" applyNumberFormat="1" applyFont="1" applyFill="1" applyBorder="1" applyAlignment="1" applyProtection="1">
      <alignment horizontal="center" vertical="center"/>
      <protection locked="0"/>
    </xf>
    <xf numFmtId="9" fontId="8" fillId="10" borderId="11" xfId="0" applyNumberFormat="1" applyFont="1" applyFill="1" applyBorder="1" applyAlignment="1" applyProtection="1">
      <alignment horizontal="center" vertical="center"/>
      <protection locked="0"/>
    </xf>
    <xf numFmtId="0" fontId="7" fillId="6" borderId="9" xfId="0" applyNumberFormat="1" applyFont="1" applyFill="1" applyBorder="1" applyAlignment="1">
      <alignment horizontal="left" vertical="center" indent="1"/>
    </xf>
    <xf numFmtId="0" fontId="7" fillId="6" borderId="6" xfId="0" applyNumberFormat="1" applyFont="1" applyFill="1" applyBorder="1" applyAlignment="1">
      <alignment horizontal="left" vertical="center" indent="1"/>
    </xf>
    <xf numFmtId="3" fontId="8" fillId="10" borderId="7" xfId="0" applyNumberFormat="1" applyFont="1" applyFill="1" applyBorder="1" applyAlignment="1" applyProtection="1">
      <alignment horizontal="center" vertical="center"/>
      <protection locked="0"/>
    </xf>
    <xf numFmtId="3" fontId="8" fillId="1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left" vertical="center"/>
    </xf>
    <xf numFmtId="3" fontId="11" fillId="0" borderId="0" xfId="0" applyNumberFormat="1" applyFont="1" applyFill="1" applyBorder="1" applyAlignment="1">
      <alignment horizontal="left" vertical="center"/>
    </xf>
    <xf numFmtId="3" fontId="12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horizontal="left" vertical="center"/>
    </xf>
    <xf numFmtId="164" fontId="1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/>
    </xf>
    <xf numFmtId="1" fontId="11" fillId="0" borderId="0" xfId="0" applyNumberFormat="1" applyFont="1" applyFill="1" applyBorder="1" applyAlignment="1">
      <alignment horizontal="left" vertical="center"/>
    </xf>
    <xf numFmtId="0" fontId="13" fillId="7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/>
    </xf>
    <xf numFmtId="3" fontId="15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4" fontId="12" fillId="0" borderId="0" xfId="0" applyNumberFormat="1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167" fontId="12" fillId="0" borderId="0" xfId="0" applyNumberFormat="1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7" fillId="8" borderId="12" xfId="0" applyNumberFormat="1" applyFont="1" applyFill="1" applyBorder="1" applyAlignment="1">
      <alignment horizontal="left" vertical="center"/>
    </xf>
    <xf numFmtId="0" fontId="7" fillId="8" borderId="0" xfId="0" applyNumberFormat="1" applyFont="1" applyFill="1" applyBorder="1" applyAlignment="1">
      <alignment horizontal="left" vertical="center"/>
    </xf>
    <xf numFmtId="3" fontId="7" fillId="8" borderId="12" xfId="0" applyNumberFormat="1" applyFont="1" applyFill="1" applyBorder="1" applyAlignment="1">
      <alignment horizontal="center" vertical="center"/>
    </xf>
    <xf numFmtId="168" fontId="12" fillId="8" borderId="0" xfId="0" applyNumberFormat="1" applyFont="1" applyFill="1" applyBorder="1" applyAlignment="1">
      <alignment horizontal="center" vertical="center"/>
    </xf>
    <xf numFmtId="3" fontId="12" fillId="8" borderId="0" xfId="0" applyNumberFormat="1" applyFont="1" applyFill="1" applyBorder="1" applyAlignment="1">
      <alignment horizontal="center" vertical="center"/>
    </xf>
    <xf numFmtId="167" fontId="12" fillId="8" borderId="0" xfId="0" applyNumberFormat="1" applyFont="1" applyFill="1" applyBorder="1" applyAlignment="1">
      <alignment horizontal="center" vertical="center"/>
    </xf>
    <xf numFmtId="9" fontId="12" fillId="8" borderId="0" xfId="0" applyNumberFormat="1" applyFont="1" applyFill="1" applyBorder="1" applyAlignment="1">
      <alignment horizontal="center" vertical="center"/>
    </xf>
    <xf numFmtId="0" fontId="12" fillId="8" borderId="0" xfId="0" applyNumberFormat="1" applyFont="1" applyFill="1" applyBorder="1" applyAlignment="1">
      <alignment horizontal="center" vertical="center"/>
    </xf>
    <xf numFmtId="168" fontId="7" fillId="8" borderId="12" xfId="0" applyNumberFormat="1" applyFont="1" applyFill="1" applyBorder="1" applyAlignment="1">
      <alignment horizontal="center" vertical="center"/>
    </xf>
    <xf numFmtId="167" fontId="7" fillId="8" borderId="12" xfId="0" applyNumberFormat="1" applyFont="1" applyFill="1" applyBorder="1" applyAlignment="1">
      <alignment horizontal="center" vertical="center"/>
    </xf>
    <xf numFmtId="168" fontId="12" fillId="0" borderId="0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168" fontId="7" fillId="0" borderId="0" xfId="0" applyNumberFormat="1" applyFont="1" applyFill="1" applyBorder="1" applyAlignment="1">
      <alignment horizontal="center" vertical="center"/>
    </xf>
    <xf numFmtId="9" fontId="7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left" vertical="center"/>
    </xf>
    <xf numFmtId="0" fontId="16" fillId="7" borderId="13" xfId="0" applyNumberFormat="1" applyFont="1" applyFill="1" applyBorder="1" applyAlignment="1">
      <alignment horizontal="left" vertical="center" indent="1"/>
    </xf>
    <xf numFmtId="0" fontId="16" fillId="7" borderId="14" xfId="0" applyNumberFormat="1" applyFont="1" applyFill="1" applyBorder="1" applyAlignment="1">
      <alignment horizontal="left" vertical="center" indent="1"/>
    </xf>
    <xf numFmtId="0" fontId="16" fillId="7" borderId="15" xfId="0" applyNumberFormat="1" applyFont="1" applyFill="1" applyBorder="1" applyAlignment="1">
      <alignment horizontal="left" vertical="center" indent="1"/>
    </xf>
    <xf numFmtId="0" fontId="17" fillId="10" borderId="0" xfId="0" applyNumberFormat="1" applyFont="1" applyFill="1" applyBorder="1" applyAlignment="1">
      <alignment horizontal="left" vertical="center" wrapText="1" indent="1"/>
    </xf>
    <xf numFmtId="0" fontId="18" fillId="11" borderId="0" xfId="0" applyNumberFormat="1" applyFont="1" applyFill="1" applyBorder="1" applyAlignment="1">
      <alignment horizontal="left" vertical="center" wrapText="1" indent="1"/>
    </xf>
    <xf numFmtId="0" fontId="19" fillId="0" borderId="0" xfId="0" applyNumberFormat="1" applyFont="1" applyFill="1" applyBorder="1" applyAlignment="1">
      <alignment horizontal="left" vertical="center"/>
    </xf>
    <xf numFmtId="0" fontId="2" fillId="12" borderId="0" xfId="0" applyNumberFormat="1" applyFont="1" applyFill="1" applyBorder="1" applyAlignment="1">
      <alignment horizontal="center" vertical="center" wrapText="1"/>
    </xf>
    <xf numFmtId="0" fontId="20" fillId="10" borderId="16" xfId="0" applyNumberFormat="1" applyFont="1" applyFill="1" applyBorder="1" applyAlignment="1">
      <alignment horizontal="left" vertical="center"/>
    </xf>
    <xf numFmtId="0" fontId="20" fillId="10" borderId="16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22" fillId="9" borderId="0" xfId="0" applyNumberFormat="1" applyFont="1" applyFill="1" applyBorder="1" applyAlignment="1">
      <alignment horizontal="left" vertical="center" indent="1"/>
    </xf>
    <xf numFmtId="0" fontId="23" fillId="8" borderId="16" xfId="0" applyNumberFormat="1" applyFont="1" applyFill="1" applyBorder="1" applyAlignment="1">
      <alignment horizontal="center" vertical="center"/>
    </xf>
    <xf numFmtId="0" fontId="23" fillId="8" borderId="16" xfId="0" applyNumberFormat="1" applyFont="1" applyFill="1" applyBorder="1" applyAlignment="1">
      <alignment horizontal="left" vertical="center"/>
    </xf>
    <xf numFmtId="0" fontId="24" fillId="10" borderId="16" xfId="0" applyNumberFormat="1" applyFont="1" applyFill="1" applyBorder="1" applyAlignment="1">
      <alignment horizontal="left" vertical="center"/>
    </xf>
    <xf numFmtId="3" fontId="20" fillId="10" borderId="16" xfId="0" applyNumberFormat="1" applyFont="1" applyFill="1" applyBorder="1" applyAlignment="1">
      <alignment horizontal="right" vertical="center"/>
    </xf>
    <xf numFmtId="0" fontId="25" fillId="3" borderId="0" xfId="0" applyNumberFormat="1" applyFont="1" applyFill="1" applyBorder="1" applyAlignment="1">
      <alignment horizontal="center" vertical="center" wrapText="1"/>
    </xf>
    <xf numFmtId="0" fontId="25" fillId="4" borderId="0" xfId="0" applyNumberFormat="1" applyFont="1" applyFill="1" applyBorder="1" applyAlignment="1">
      <alignment horizontal="center" vertical="center" wrapText="1"/>
    </xf>
    <xf numFmtId="0" fontId="25" fillId="5" borderId="0" xfId="0" applyNumberFormat="1" applyFont="1" applyFill="1" applyBorder="1" applyAlignment="1">
      <alignment horizontal="center" vertical="center" wrapText="1"/>
    </xf>
    <xf numFmtId="0" fontId="25" fillId="6" borderId="0" xfId="0" applyNumberFormat="1" applyFont="1" applyFill="1" applyBorder="1" applyAlignment="1">
      <alignment horizontal="center" vertical="center" wrapText="1"/>
    </xf>
    <xf numFmtId="0" fontId="2" fillId="7" borderId="13" xfId="0" applyNumberFormat="1" applyFont="1" applyFill="1" applyBorder="1" applyAlignment="1">
      <alignment horizontal="center" vertical="center" wrapText="1"/>
    </xf>
    <xf numFmtId="0" fontId="2" fillId="7" borderId="14" xfId="0" applyNumberFormat="1" applyFont="1" applyFill="1" applyBorder="1" applyAlignment="1">
      <alignment horizontal="center" vertical="center" wrapText="1"/>
    </xf>
    <xf numFmtId="0" fontId="2" fillId="7" borderId="15" xfId="0" applyNumberFormat="1" applyFont="1" applyFill="1" applyBorder="1" applyAlignment="1">
      <alignment horizontal="center" vertical="center" wrapText="1"/>
    </xf>
    <xf numFmtId="0" fontId="23" fillId="8" borderId="17" xfId="0" applyNumberFormat="1" applyFont="1" applyFill="1" applyBorder="1" applyAlignment="1">
      <alignment horizontal="left" vertical="center"/>
    </xf>
    <xf numFmtId="0" fontId="23" fillId="8" borderId="18" xfId="0" applyNumberFormat="1" applyFont="1" applyFill="1" applyBorder="1" applyAlignment="1">
      <alignment horizontal="left" vertical="center"/>
    </xf>
    <xf numFmtId="0" fontId="23" fillId="8" borderId="19" xfId="0" applyNumberFormat="1" applyFont="1" applyFill="1" applyBorder="1" applyAlignment="1">
      <alignment horizontal="left" vertical="center"/>
    </xf>
    <xf numFmtId="0" fontId="20" fillId="10" borderId="17" xfId="0" applyNumberFormat="1" applyFont="1" applyFill="1" applyBorder="1" applyAlignment="1">
      <alignment horizontal="left" vertical="center"/>
    </xf>
    <xf numFmtId="0" fontId="20" fillId="10" borderId="18" xfId="0" applyNumberFormat="1" applyFont="1" applyFill="1" applyBorder="1" applyAlignment="1">
      <alignment horizontal="left" vertical="center"/>
    </xf>
    <xf numFmtId="0" fontId="20" fillId="10" borderId="19" xfId="0" applyNumberFormat="1" applyFont="1" applyFill="1" applyBorder="1" applyAlignment="1">
      <alignment horizontal="left" vertical="center"/>
    </xf>
    <xf numFmtId="9" fontId="20" fillId="10" borderId="16" xfId="0" applyNumberFormat="1" applyFont="1" applyFill="1" applyBorder="1" applyAlignment="1">
      <alignment horizontal="right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5" fillId="10" borderId="0" xfId="0" applyNumberFormat="1" applyFont="1" applyFill="1" applyBorder="1" applyAlignment="1">
      <alignment horizontal="left" vertical="center"/>
    </xf>
    <xf numFmtId="0" fontId="0" fillId="13" borderId="20" xfId="0" applyNumberFormat="1" applyFont="1" applyFill="1" applyBorder="1" applyAlignment="1">
      <alignment horizontal="center" vertical="center"/>
    </xf>
    <xf numFmtId="0" fontId="0" fillId="9" borderId="20" xfId="0" applyNumberFormat="1" applyFont="1" applyFill="1" applyBorder="1" applyAlignment="1">
      <alignment horizontal="center" vertical="center"/>
    </xf>
    <xf numFmtId="0" fontId="26" fillId="9" borderId="20" xfId="0" applyNumberFormat="1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right" vertical="center" indent="1"/>
    </xf>
    <xf numFmtId="0" fontId="28" fillId="10" borderId="21" xfId="0" applyNumberFormat="1" applyFont="1" applyFill="1" applyBorder="1" applyAlignment="1" applyProtection="1">
      <alignment horizontal="center" vertical="center"/>
      <protection locked="0"/>
    </xf>
    <xf numFmtId="0" fontId="28" fillId="10" borderId="22" xfId="0" applyNumberFormat="1" applyFont="1" applyFill="1" applyBorder="1" applyAlignment="1" applyProtection="1">
      <alignment horizontal="center" vertical="center"/>
      <protection locked="0"/>
    </xf>
    <xf numFmtId="0" fontId="28" fillId="10" borderId="23" xfId="0" applyNumberFormat="1" applyFont="1" applyFill="1" applyBorder="1" applyAlignment="1" applyProtection="1">
      <alignment horizontal="center" vertical="center"/>
      <protection locked="0"/>
    </xf>
    <xf numFmtId="164" fontId="29" fillId="10" borderId="21" xfId="0" applyNumberFormat="1" applyFont="1" applyFill="1" applyBorder="1" applyAlignment="1" applyProtection="1">
      <alignment horizontal="center" vertical="center"/>
      <protection locked="0"/>
    </xf>
    <xf numFmtId="164" fontId="29" fillId="10" borderId="22" xfId="0" applyNumberFormat="1" applyFont="1" applyFill="1" applyBorder="1" applyAlignment="1" applyProtection="1">
      <alignment horizontal="center" vertical="center"/>
      <protection locked="0"/>
    </xf>
    <xf numFmtId="164" fontId="29" fillId="10" borderId="23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NumberFormat="1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horizontal="right" vertical="center"/>
    </xf>
    <xf numFmtId="0" fontId="0" fillId="14" borderId="24" xfId="0" applyNumberFormat="1" applyFont="1" applyFill="1" applyBorder="1" applyAlignment="1">
      <alignment horizontal="center" vertical="center"/>
    </xf>
    <xf numFmtId="0" fontId="0" fillId="14" borderId="0" xfId="0" applyNumberFormat="1" applyFont="1" applyFill="1" applyBorder="1" applyAlignment="1">
      <alignment horizontal="center" vertical="center"/>
    </xf>
    <xf numFmtId="0" fontId="0" fillId="14" borderId="25" xfId="0" applyNumberFormat="1" applyFont="1" applyFill="1" applyBorder="1" applyAlignment="1">
      <alignment horizontal="center" vertical="center"/>
    </xf>
    <xf numFmtId="0" fontId="0" fillId="14" borderId="26" xfId="0" applyNumberFormat="1" applyFont="1" applyFill="1" applyBorder="1" applyAlignment="1">
      <alignment horizontal="center" vertical="center"/>
    </xf>
    <xf numFmtId="0" fontId="0" fillId="14" borderId="27" xfId="0" applyNumberFormat="1" applyFont="1" applyFill="1" applyBorder="1" applyAlignment="1">
      <alignment horizontal="center" vertical="center"/>
    </xf>
    <xf numFmtId="0" fontId="0" fillId="14" borderId="28" xfId="0" applyNumberFormat="1" applyFont="1" applyFill="1" applyBorder="1" applyAlignment="1">
      <alignment horizontal="center" vertical="center"/>
    </xf>
    <xf numFmtId="0" fontId="0" fillId="3" borderId="29" xfId="0" applyNumberFormat="1" applyFont="1" applyFill="1" applyBorder="1" applyAlignment="1">
      <alignment horizontal="center" vertical="center"/>
    </xf>
    <xf numFmtId="0" fontId="32" fillId="3" borderId="29" xfId="0" applyNumberFormat="1" applyFont="1" applyFill="1" applyBorder="1" applyAlignment="1">
      <alignment horizontal="center" vertical="center" wrapText="1"/>
    </xf>
    <xf numFmtId="3" fontId="33" fillId="14" borderId="0" xfId="0" applyNumberFormat="1" applyFont="1" applyFill="1" applyBorder="1" applyAlignment="1">
      <alignment horizontal="center" vertical="center"/>
    </xf>
    <xf numFmtId="0" fontId="34" fillId="14" borderId="0" xfId="0" applyNumberFormat="1" applyFont="1" applyFill="1" applyBorder="1" applyAlignment="1">
      <alignment horizontal="center" vertical="center"/>
    </xf>
    <xf numFmtId="0" fontId="35" fillId="14" borderId="0" xfId="0" applyNumberFormat="1" applyFont="1" applyFill="1" applyBorder="1" applyAlignment="1">
      <alignment horizontal="center" vertical="center" wrapText="1"/>
    </xf>
    <xf numFmtId="169" fontId="36" fillId="14" borderId="27" xfId="0" applyNumberFormat="1" applyFont="1" applyFill="1" applyBorder="1" applyAlignment="1">
      <alignment horizontal="center" vertical="center"/>
    </xf>
    <xf numFmtId="0" fontId="0" fillId="4" borderId="29" xfId="0" applyNumberFormat="1" applyFont="1" applyFill="1" applyBorder="1" applyAlignment="1">
      <alignment horizontal="center" vertical="center"/>
    </xf>
    <xf numFmtId="0" fontId="32" fillId="4" borderId="29" xfId="0" applyNumberFormat="1" applyFont="1" applyFill="1" applyBorder="1" applyAlignment="1">
      <alignment horizontal="center" vertical="center" wrapText="1"/>
    </xf>
    <xf numFmtId="0" fontId="0" fillId="5" borderId="29" xfId="0" applyNumberFormat="1" applyFont="1" applyFill="1" applyBorder="1" applyAlignment="1">
      <alignment horizontal="center" vertical="center"/>
    </xf>
    <xf numFmtId="0" fontId="32" fillId="5" borderId="29" xfId="0" applyNumberFormat="1" applyFont="1" applyFill="1" applyBorder="1" applyAlignment="1">
      <alignment horizontal="center" vertical="center" wrapText="1"/>
    </xf>
    <xf numFmtId="3" fontId="37" fillId="14" borderId="0" xfId="0" applyNumberFormat="1" applyFont="1" applyFill="1" applyBorder="1" applyAlignment="1">
      <alignment horizontal="center" vertical="center"/>
    </xf>
    <xf numFmtId="0" fontId="38" fillId="14" borderId="30" xfId="0" applyNumberFormat="1" applyFont="1" applyFill="1" applyBorder="1" applyAlignment="1">
      <alignment horizontal="left" vertical="center" indent="1"/>
    </xf>
    <xf numFmtId="3" fontId="32" fillId="14" borderId="30" xfId="0" applyNumberFormat="1" applyFont="1" applyFill="1" applyBorder="1" applyAlignment="1">
      <alignment horizontal="right" vertical="center" indent="1"/>
    </xf>
    <xf numFmtId="0" fontId="38" fillId="14" borderId="0" xfId="0" applyNumberFormat="1" applyFont="1" applyFill="1" applyBorder="1" applyAlignment="1">
      <alignment horizontal="left" vertical="center" indent="1"/>
    </xf>
    <xf numFmtId="3" fontId="32" fillId="14" borderId="0" xfId="0" applyNumberFormat="1" applyFont="1" applyFill="1" applyBorder="1" applyAlignment="1">
      <alignment horizontal="right" vertical="center" indent="1"/>
    </xf>
    <xf numFmtId="170" fontId="32" fillId="14" borderId="30" xfId="0" applyNumberFormat="1" applyFont="1" applyFill="1" applyBorder="1" applyAlignment="1">
      <alignment horizontal="right" vertical="center" indent="1"/>
    </xf>
    <xf numFmtId="167" fontId="32" fillId="14" borderId="30" xfId="0" applyNumberFormat="1" applyFont="1" applyFill="1" applyBorder="1" applyAlignment="1">
      <alignment horizontal="right" vertical="center" indent="1"/>
    </xf>
    <xf numFmtId="171" fontId="32" fillId="14" borderId="30" xfId="0" applyNumberFormat="1" applyFont="1" applyFill="1" applyBorder="1" applyAlignment="1">
      <alignment horizontal="right" vertical="center" indent="1"/>
    </xf>
    <xf numFmtId="0" fontId="34" fillId="14" borderId="0" xfId="0" applyNumberFormat="1" applyFont="1" applyFill="1" applyBorder="1" applyAlignment="1">
      <alignment horizontal="center" vertical="center" wrapText="1"/>
    </xf>
    <xf numFmtId="0" fontId="0" fillId="6" borderId="29" xfId="0" applyNumberFormat="1" applyFont="1" applyFill="1" applyBorder="1" applyAlignment="1">
      <alignment horizontal="center" vertical="center"/>
    </xf>
    <xf numFmtId="0" fontId="32" fillId="6" borderId="29" xfId="0" applyNumberFormat="1" applyFont="1" applyFill="1" applyBorder="1" applyAlignment="1">
      <alignment horizontal="center" vertical="center" wrapText="1"/>
    </xf>
    <xf numFmtId="172" fontId="32" fillId="14" borderId="30" xfId="0" applyNumberFormat="1" applyFont="1" applyFill="1" applyBorder="1" applyAlignment="1">
      <alignment horizontal="right" vertical="center" indent="1"/>
    </xf>
    <xf numFmtId="0" fontId="32" fillId="14" borderId="0" xfId="0" applyNumberFormat="1" applyFont="1" applyFill="1" applyBorder="1" applyAlignment="1">
      <alignment horizontal="right" vertical="center" indent="1"/>
    </xf>
    <xf numFmtId="0" fontId="39" fillId="0" borderId="0" xfId="0" applyNumberFormat="1" applyFont="1" applyFill="1" applyBorder="1" applyAlignment="1">
      <alignment horizontal="left" vertical="center"/>
    </xf>
    <xf numFmtId="0" fontId="16" fillId="9" borderId="20" xfId="0" applyNumberFormat="1" applyFont="1" applyFill="1" applyBorder="1" applyAlignment="1">
      <alignment horizontal="center" vertical="center"/>
    </xf>
    <xf numFmtId="0" fontId="16" fillId="9" borderId="20" xfId="0" applyNumberFormat="1" applyFont="1" applyFill="1" applyBorder="1" applyAlignment="1" applyProtection="1">
      <alignment horizontal="right" vertical="center" indent="1"/>
      <protection locked="0"/>
    </xf>
    <xf numFmtId="0" fontId="11" fillId="0" borderId="5" xfId="0" applyNumberFormat="1" applyFont="1" applyFill="1" applyBorder="1" applyAlignment="1">
      <alignment horizontal="center" vertical="center"/>
    </xf>
    <xf numFmtId="0" fontId="11" fillId="0" borderId="31" xfId="0" applyNumberFormat="1" applyFont="1" applyFill="1" applyBorder="1" applyAlignment="1">
      <alignment horizontal="center" vertical="center"/>
    </xf>
    <xf numFmtId="0" fontId="11" fillId="2" borderId="32" xfId="0" applyNumberFormat="1" applyFont="1" applyFill="1" applyBorder="1" applyAlignment="1">
      <alignment horizontal="center" vertical="center"/>
    </xf>
    <xf numFmtId="0" fontId="11" fillId="2" borderId="33" xfId="0" applyNumberFormat="1" applyFont="1" applyFill="1" applyBorder="1" applyAlignment="1">
      <alignment horizontal="center" vertical="center"/>
    </xf>
    <xf numFmtId="0" fontId="11" fillId="2" borderId="34" xfId="0" applyNumberFormat="1" applyFont="1" applyFill="1" applyBorder="1" applyAlignment="1">
      <alignment horizontal="center" vertical="center"/>
    </xf>
    <xf numFmtId="0" fontId="11" fillId="2" borderId="35" xfId="0" applyNumberFormat="1" applyFont="1" applyFill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center" vertical="center"/>
    </xf>
    <xf numFmtId="0" fontId="11" fillId="2" borderId="31" xfId="0" applyNumberFormat="1" applyFont="1" applyFill="1" applyBorder="1" applyAlignment="1">
      <alignment horizontal="center" vertical="center"/>
    </xf>
    <xf numFmtId="0" fontId="40" fillId="15" borderId="13" xfId="0" applyNumberFormat="1" applyFont="1" applyFill="1" applyBorder="1" applyAlignment="1">
      <alignment horizontal="center" vertical="center"/>
    </xf>
    <xf numFmtId="0" fontId="40" fillId="15" borderId="14" xfId="0" applyNumberFormat="1" applyFont="1" applyFill="1" applyBorder="1" applyAlignment="1">
      <alignment horizontal="center" vertical="center"/>
    </xf>
    <xf numFmtId="0" fontId="40" fillId="15" borderId="15" xfId="0" applyNumberFormat="1" applyFont="1" applyFill="1" applyBorder="1" applyAlignment="1">
      <alignment horizontal="center" vertical="center"/>
    </xf>
    <xf numFmtId="0" fontId="11" fillId="15" borderId="5" xfId="0" applyNumberFormat="1" applyFont="1" applyFill="1" applyBorder="1" applyAlignment="1">
      <alignment horizontal="center" vertical="center"/>
    </xf>
    <xf numFmtId="0" fontId="11" fillId="15" borderId="31" xfId="0" applyNumberFormat="1" applyFont="1" applyFill="1" applyBorder="1" applyAlignment="1">
      <alignment horizontal="center" vertical="center"/>
    </xf>
    <xf numFmtId="173" fontId="0" fillId="16" borderId="36" xfId="0" applyNumberFormat="1" applyFont="1" applyFill="1" applyBorder="1" applyAlignment="1">
      <alignment horizontal="center" vertical="center"/>
    </xf>
    <xf numFmtId="173" fontId="0" fillId="16" borderId="37" xfId="0" applyNumberFormat="1" applyFont="1" applyFill="1" applyBorder="1" applyAlignment="1">
      <alignment horizontal="center" vertical="center"/>
    </xf>
    <xf numFmtId="173" fontId="0" fillId="16" borderId="38" xfId="0" applyNumberFormat="1" applyFont="1" applyFill="1" applyBorder="1" applyAlignment="1">
      <alignment horizontal="center" vertical="center"/>
    </xf>
    <xf numFmtId="0" fontId="11" fillId="3" borderId="33" xfId="0" applyNumberFormat="1" applyFont="1" applyFill="1" applyBorder="1" applyAlignment="1">
      <alignment horizontal="center" vertical="center"/>
    </xf>
    <xf numFmtId="3" fontId="11" fillId="3" borderId="5" xfId="0" applyNumberFormat="1" applyFont="1" applyFill="1" applyBorder="1" applyAlignment="1">
      <alignment horizontal="center" vertical="center"/>
    </xf>
    <xf numFmtId="0" fontId="0" fillId="3" borderId="39" xfId="0" applyNumberFormat="1" applyFont="1" applyFill="1" applyBorder="1" applyAlignment="1">
      <alignment horizontal="center" vertical="center"/>
    </xf>
    <xf numFmtId="3" fontId="0" fillId="3" borderId="40" xfId="0" applyNumberFormat="1" applyFont="1" applyFill="1" applyBorder="1" applyAlignment="1">
      <alignment horizontal="center" vertical="center"/>
    </xf>
    <xf numFmtId="3" fontId="0" fillId="3" borderId="41" xfId="0" applyNumberFormat="1" applyFont="1" applyFill="1" applyBorder="1" applyAlignment="1">
      <alignment horizontal="center" vertical="center"/>
    </xf>
    <xf numFmtId="3" fontId="0" fillId="3" borderId="42" xfId="0" applyNumberFormat="1" applyFont="1" applyFill="1" applyBorder="1" applyAlignment="1">
      <alignment horizontal="center" vertical="center"/>
    </xf>
    <xf numFmtId="3" fontId="11" fillId="3" borderId="43" xfId="0" applyNumberFormat="1" applyFont="1" applyFill="1" applyBorder="1" applyAlignment="1">
      <alignment horizontal="center" vertical="center"/>
    </xf>
    <xf numFmtId="0" fontId="11" fillId="3" borderId="44" xfId="0" applyNumberFormat="1" applyFont="1" applyFill="1" applyBorder="1" applyAlignment="1">
      <alignment horizontal="center" vertical="center"/>
    </xf>
    <xf numFmtId="3" fontId="11" fillId="3" borderId="45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  <xf numFmtId="3" fontId="0" fillId="3" borderId="46" xfId="0" applyNumberFormat="1" applyFont="1" applyFill="1" applyBorder="1" applyAlignment="1">
      <alignment horizontal="center" vertical="center"/>
    </xf>
    <xf numFmtId="3" fontId="0" fillId="3" borderId="47" xfId="0" applyNumberFormat="1" applyFont="1" applyFill="1" applyBorder="1" applyAlignment="1">
      <alignment horizontal="center" vertical="center"/>
    </xf>
    <xf numFmtId="3" fontId="0" fillId="3" borderId="48" xfId="0" applyNumberFormat="1" applyFont="1" applyFill="1" applyBorder="1" applyAlignment="1">
      <alignment horizontal="center" vertical="center"/>
    </xf>
    <xf numFmtId="3" fontId="11" fillId="3" borderId="49" xfId="0" applyNumberFormat="1" applyFont="1" applyFill="1" applyBorder="1" applyAlignment="1">
      <alignment horizontal="center" vertical="center"/>
    </xf>
    <xf numFmtId="174" fontId="0" fillId="3" borderId="46" xfId="0" applyNumberFormat="1" applyFont="1" applyFill="1" applyBorder="1" applyAlignment="1">
      <alignment horizontal="center" vertical="center"/>
    </xf>
    <xf numFmtId="174" fontId="0" fillId="3" borderId="47" xfId="0" applyNumberFormat="1" applyFont="1" applyFill="1" applyBorder="1" applyAlignment="1">
      <alignment horizontal="center" vertical="center"/>
    </xf>
    <xf numFmtId="174" fontId="0" fillId="3" borderId="48" xfId="0" applyNumberFormat="1" applyFont="1" applyFill="1" applyBorder="1" applyAlignment="1">
      <alignment horizontal="center" vertical="center"/>
    </xf>
    <xf numFmtId="174" fontId="11" fillId="3" borderId="49" xfId="0" applyNumberFormat="1" applyFont="1" applyFill="1" applyBorder="1" applyAlignment="1">
      <alignment horizontal="center" vertical="center"/>
    </xf>
    <xf numFmtId="0" fontId="11" fillId="3" borderId="35" xfId="0" applyNumberFormat="1" applyFont="1" applyFill="1" applyBorder="1" applyAlignment="1">
      <alignment horizontal="center" vertical="center"/>
    </xf>
    <xf numFmtId="3" fontId="11" fillId="3" borderId="31" xfId="0" applyNumberFormat="1" applyFont="1" applyFill="1" applyBorder="1" applyAlignment="1">
      <alignment horizontal="center" vertical="center"/>
    </xf>
    <xf numFmtId="0" fontId="0" fillId="3" borderId="20" xfId="0" applyNumberFormat="1" applyFont="1" applyFill="1" applyBorder="1" applyAlignment="1">
      <alignment horizontal="center" vertical="center"/>
    </xf>
    <xf numFmtId="3" fontId="0" fillId="3" borderId="50" xfId="0" applyNumberFormat="1" applyFont="1" applyFill="1" applyBorder="1" applyAlignment="1">
      <alignment horizontal="center" vertical="center"/>
    </xf>
    <xf numFmtId="3" fontId="0" fillId="3" borderId="51" xfId="0" applyNumberFormat="1" applyFont="1" applyFill="1" applyBorder="1" applyAlignment="1">
      <alignment horizontal="center" vertical="center"/>
    </xf>
    <xf numFmtId="3" fontId="0" fillId="3" borderId="52" xfId="0" applyNumberFormat="1" applyFont="1" applyFill="1" applyBorder="1" applyAlignment="1">
      <alignment horizontal="center" vertical="center"/>
    </xf>
    <xf numFmtId="0" fontId="11" fillId="4" borderId="33" xfId="0" applyNumberFormat="1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0" fontId="0" fillId="4" borderId="39" xfId="0" applyNumberFormat="1" applyFont="1" applyFill="1" applyBorder="1" applyAlignment="1">
      <alignment horizontal="center" vertical="center"/>
    </xf>
    <xf numFmtId="3" fontId="0" fillId="4" borderId="40" xfId="0" applyNumberFormat="1" applyFont="1" applyFill="1" applyBorder="1" applyAlignment="1">
      <alignment horizontal="center" vertical="center"/>
    </xf>
    <xf numFmtId="3" fontId="0" fillId="4" borderId="41" xfId="0" applyNumberFormat="1" applyFont="1" applyFill="1" applyBorder="1" applyAlignment="1">
      <alignment horizontal="center" vertical="center"/>
    </xf>
    <xf numFmtId="3" fontId="0" fillId="4" borderId="42" xfId="0" applyNumberFormat="1" applyFont="1" applyFill="1" applyBorder="1" applyAlignment="1">
      <alignment horizontal="center" vertical="center"/>
    </xf>
    <xf numFmtId="3" fontId="11" fillId="4" borderId="43" xfId="0" applyNumberFormat="1" applyFont="1" applyFill="1" applyBorder="1" applyAlignment="1">
      <alignment horizontal="center" vertical="center"/>
    </xf>
    <xf numFmtId="0" fontId="11" fillId="4" borderId="44" xfId="0" applyNumberFormat="1" applyFont="1" applyFill="1" applyBorder="1" applyAlignment="1">
      <alignment horizontal="center" vertical="center"/>
    </xf>
    <xf numFmtId="3" fontId="11" fillId="4" borderId="45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horizontal="center" vertical="center"/>
    </xf>
    <xf numFmtId="3" fontId="0" fillId="4" borderId="46" xfId="0" applyNumberFormat="1" applyFont="1" applyFill="1" applyBorder="1" applyAlignment="1">
      <alignment horizontal="center" vertical="center"/>
    </xf>
    <xf numFmtId="3" fontId="0" fillId="4" borderId="47" xfId="0" applyNumberFormat="1" applyFont="1" applyFill="1" applyBorder="1" applyAlignment="1">
      <alignment horizontal="center" vertical="center"/>
    </xf>
    <xf numFmtId="3" fontId="0" fillId="4" borderId="48" xfId="0" applyNumberFormat="1" applyFont="1" applyFill="1" applyBorder="1" applyAlignment="1">
      <alignment horizontal="center" vertical="center"/>
    </xf>
    <xf numFmtId="3" fontId="11" fillId="4" borderId="49" xfId="0" applyNumberFormat="1" applyFont="1" applyFill="1" applyBorder="1" applyAlignment="1">
      <alignment horizontal="center" vertical="center"/>
    </xf>
    <xf numFmtId="174" fontId="0" fillId="4" borderId="46" xfId="0" applyNumberFormat="1" applyFont="1" applyFill="1" applyBorder="1" applyAlignment="1">
      <alignment horizontal="center" vertical="center"/>
    </xf>
    <xf numFmtId="174" fontId="0" fillId="4" borderId="47" xfId="0" applyNumberFormat="1" applyFont="1" applyFill="1" applyBorder="1" applyAlignment="1">
      <alignment horizontal="center" vertical="center"/>
    </xf>
    <xf numFmtId="174" fontId="0" fillId="4" borderId="48" xfId="0" applyNumberFormat="1" applyFont="1" applyFill="1" applyBorder="1" applyAlignment="1">
      <alignment horizontal="center" vertical="center"/>
    </xf>
    <xf numFmtId="174" fontId="11" fillId="4" borderId="49" xfId="0" applyNumberFormat="1" applyFont="1" applyFill="1" applyBorder="1" applyAlignment="1">
      <alignment horizontal="center" vertical="center"/>
    </xf>
    <xf numFmtId="0" fontId="11" fillId="4" borderId="35" xfId="0" applyNumberFormat="1" applyFont="1" applyFill="1" applyBorder="1" applyAlignment="1">
      <alignment horizontal="center" vertical="center"/>
    </xf>
    <xf numFmtId="3" fontId="11" fillId="4" borderId="31" xfId="0" applyNumberFormat="1" applyFont="1" applyFill="1" applyBorder="1" applyAlignment="1">
      <alignment horizontal="center" vertical="center"/>
    </xf>
    <xf numFmtId="0" fontId="0" fillId="4" borderId="20" xfId="0" applyNumberFormat="1" applyFont="1" applyFill="1" applyBorder="1" applyAlignment="1">
      <alignment horizontal="center" vertical="center"/>
    </xf>
    <xf numFmtId="3" fontId="0" fillId="4" borderId="50" xfId="0" applyNumberFormat="1" applyFont="1" applyFill="1" applyBorder="1" applyAlignment="1">
      <alignment horizontal="center" vertical="center"/>
    </xf>
    <xf numFmtId="3" fontId="0" fillId="4" borderId="51" xfId="0" applyNumberFormat="1" applyFont="1" applyFill="1" applyBorder="1" applyAlignment="1">
      <alignment horizontal="center" vertical="center"/>
    </xf>
    <xf numFmtId="3" fontId="0" fillId="4" borderId="52" xfId="0" applyNumberFormat="1" applyFont="1" applyFill="1" applyBorder="1" applyAlignment="1">
      <alignment horizontal="center" vertical="center"/>
    </xf>
    <xf numFmtId="0" fontId="11" fillId="5" borderId="33" xfId="0" applyNumberFormat="1" applyFont="1" applyFill="1" applyBorder="1" applyAlignment="1">
      <alignment horizontal="center" vertical="center"/>
    </xf>
    <xf numFmtId="3" fontId="11" fillId="5" borderId="5" xfId="0" applyNumberFormat="1" applyFont="1" applyFill="1" applyBorder="1" applyAlignment="1">
      <alignment horizontal="center" vertical="center"/>
    </xf>
    <xf numFmtId="0" fontId="0" fillId="5" borderId="39" xfId="0" applyNumberFormat="1" applyFont="1" applyFill="1" applyBorder="1" applyAlignment="1">
      <alignment horizontal="center" vertical="center"/>
    </xf>
    <xf numFmtId="3" fontId="0" fillId="5" borderId="40" xfId="0" applyNumberFormat="1" applyFont="1" applyFill="1" applyBorder="1" applyAlignment="1">
      <alignment horizontal="center" vertical="center"/>
    </xf>
    <xf numFmtId="3" fontId="0" fillId="5" borderId="41" xfId="0" applyNumberFormat="1" applyFont="1" applyFill="1" applyBorder="1" applyAlignment="1">
      <alignment horizontal="center" vertical="center"/>
    </xf>
    <xf numFmtId="3" fontId="0" fillId="5" borderId="42" xfId="0" applyNumberFormat="1" applyFont="1" applyFill="1" applyBorder="1" applyAlignment="1">
      <alignment horizontal="center" vertical="center"/>
    </xf>
    <xf numFmtId="3" fontId="11" fillId="5" borderId="43" xfId="0" applyNumberFormat="1" applyFont="1" applyFill="1" applyBorder="1" applyAlignment="1">
      <alignment horizontal="center" vertical="center"/>
    </xf>
    <xf numFmtId="0" fontId="11" fillId="5" borderId="44" xfId="0" applyNumberFormat="1" applyFont="1" applyFill="1" applyBorder="1" applyAlignment="1">
      <alignment horizontal="center" vertical="center"/>
    </xf>
    <xf numFmtId="3" fontId="11" fillId="5" borderId="45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horizontal="center" vertical="center"/>
    </xf>
    <xf numFmtId="3" fontId="0" fillId="5" borderId="46" xfId="0" applyNumberFormat="1" applyFont="1" applyFill="1" applyBorder="1" applyAlignment="1">
      <alignment horizontal="center" vertical="center"/>
    </xf>
    <xf numFmtId="3" fontId="0" fillId="5" borderId="47" xfId="0" applyNumberFormat="1" applyFont="1" applyFill="1" applyBorder="1" applyAlignment="1">
      <alignment horizontal="center" vertical="center"/>
    </xf>
    <xf numFmtId="3" fontId="0" fillId="5" borderId="48" xfId="0" applyNumberFormat="1" applyFont="1" applyFill="1" applyBorder="1" applyAlignment="1">
      <alignment horizontal="center" vertical="center"/>
    </xf>
    <xf numFmtId="3" fontId="11" fillId="5" borderId="49" xfId="0" applyNumberFormat="1" applyFont="1" applyFill="1" applyBorder="1" applyAlignment="1">
      <alignment horizontal="center" vertical="center"/>
    </xf>
    <xf numFmtId="0" fontId="11" fillId="5" borderId="35" xfId="0" applyNumberFormat="1" applyFont="1" applyFill="1" applyBorder="1" applyAlignment="1">
      <alignment horizontal="center" vertical="center"/>
    </xf>
    <xf numFmtId="3" fontId="11" fillId="5" borderId="31" xfId="0" applyNumberFormat="1" applyFont="1" applyFill="1" applyBorder="1" applyAlignment="1">
      <alignment horizontal="center" vertical="center"/>
    </xf>
    <xf numFmtId="0" fontId="0" fillId="5" borderId="20" xfId="0" applyNumberFormat="1" applyFont="1" applyFill="1" applyBorder="1" applyAlignment="1">
      <alignment horizontal="center" vertical="center"/>
    </xf>
    <xf numFmtId="3" fontId="0" fillId="5" borderId="50" xfId="0" applyNumberFormat="1" applyFont="1" applyFill="1" applyBorder="1" applyAlignment="1">
      <alignment horizontal="center" vertical="center"/>
    </xf>
    <xf numFmtId="3" fontId="0" fillId="5" borderId="51" xfId="0" applyNumberFormat="1" applyFont="1" applyFill="1" applyBorder="1" applyAlignment="1">
      <alignment horizontal="center" vertical="center"/>
    </xf>
    <xf numFmtId="3" fontId="0" fillId="5" borderId="52" xfId="0" applyNumberFormat="1" applyFont="1" applyFill="1" applyBorder="1" applyAlignment="1">
      <alignment horizontal="center" vertical="center"/>
    </xf>
    <xf numFmtId="9" fontId="11" fillId="3" borderId="31" xfId="0" applyNumberFormat="1" applyFont="1" applyFill="1" applyBorder="1" applyAlignment="1">
      <alignment horizontal="center" vertical="center"/>
    </xf>
    <xf numFmtId="9" fontId="0" fillId="3" borderId="50" xfId="0" applyNumberFormat="1" applyFont="1" applyFill="1" applyBorder="1" applyAlignment="1">
      <alignment horizontal="center" vertical="center"/>
    </xf>
    <xf numFmtId="9" fontId="0" fillId="3" borderId="51" xfId="0" applyNumberFormat="1" applyFont="1" applyFill="1" applyBorder="1" applyAlignment="1">
      <alignment horizontal="center" vertical="center"/>
    </xf>
    <xf numFmtId="9" fontId="0" fillId="3" borderId="52" xfId="0" applyNumberFormat="1" applyFont="1" applyFill="1" applyBorder="1" applyAlignment="1">
      <alignment horizontal="center" vertical="center"/>
    </xf>
    <xf numFmtId="0" fontId="11" fillId="6" borderId="33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0" fontId="0" fillId="6" borderId="39" xfId="0" applyNumberFormat="1" applyFont="1" applyFill="1" applyBorder="1" applyAlignment="1">
      <alignment horizontal="center" vertical="center"/>
    </xf>
    <xf numFmtId="3" fontId="0" fillId="6" borderId="40" xfId="0" applyNumberFormat="1" applyFont="1" applyFill="1" applyBorder="1" applyAlignment="1">
      <alignment horizontal="center" vertical="center"/>
    </xf>
    <xf numFmtId="3" fontId="0" fillId="6" borderId="41" xfId="0" applyNumberFormat="1" applyFont="1" applyFill="1" applyBorder="1" applyAlignment="1">
      <alignment horizontal="center" vertical="center"/>
    </xf>
    <xf numFmtId="3" fontId="0" fillId="6" borderId="42" xfId="0" applyNumberFormat="1" applyFont="1" applyFill="1" applyBorder="1" applyAlignment="1">
      <alignment horizontal="center" vertical="center"/>
    </xf>
    <xf numFmtId="3" fontId="11" fillId="6" borderId="43" xfId="0" applyNumberFormat="1" applyFont="1" applyFill="1" applyBorder="1" applyAlignment="1">
      <alignment horizontal="center" vertical="center"/>
    </xf>
    <xf numFmtId="0" fontId="11" fillId="6" borderId="44" xfId="0" applyNumberFormat="1" applyFont="1" applyFill="1" applyBorder="1" applyAlignment="1">
      <alignment horizontal="center" vertical="center"/>
    </xf>
    <xf numFmtId="3" fontId="11" fillId="6" borderId="45" xfId="0" applyNumberFormat="1" applyFont="1" applyFill="1" applyBorder="1" applyAlignment="1">
      <alignment horizontal="center" vertical="center"/>
    </xf>
    <xf numFmtId="0" fontId="0" fillId="6" borderId="0" xfId="0" applyNumberFormat="1" applyFont="1" applyFill="1" applyBorder="1" applyAlignment="1">
      <alignment horizontal="center" vertical="center"/>
    </xf>
    <xf numFmtId="3" fontId="0" fillId="6" borderId="46" xfId="0" applyNumberFormat="1" applyFont="1" applyFill="1" applyBorder="1" applyAlignment="1">
      <alignment horizontal="center" vertical="center"/>
    </xf>
    <xf numFmtId="3" fontId="0" fillId="6" borderId="47" xfId="0" applyNumberFormat="1" applyFont="1" applyFill="1" applyBorder="1" applyAlignment="1">
      <alignment horizontal="center" vertical="center"/>
    </xf>
    <xf numFmtId="3" fontId="0" fillId="6" borderId="48" xfId="0" applyNumberFormat="1" applyFont="1" applyFill="1" applyBorder="1" applyAlignment="1">
      <alignment horizontal="center" vertical="center"/>
    </xf>
    <xf numFmtId="3" fontId="11" fillId="6" borderId="49" xfId="0" applyNumberFormat="1" applyFont="1" applyFill="1" applyBorder="1" applyAlignment="1">
      <alignment horizontal="center" vertical="center"/>
    </xf>
    <xf numFmtId="174" fontId="0" fillId="6" borderId="46" xfId="0" applyNumberFormat="1" applyFont="1" applyFill="1" applyBorder="1" applyAlignment="1">
      <alignment horizontal="center" vertical="center"/>
    </xf>
    <xf numFmtId="174" fontId="0" fillId="6" borderId="47" xfId="0" applyNumberFormat="1" applyFont="1" applyFill="1" applyBorder="1" applyAlignment="1">
      <alignment horizontal="center" vertical="center"/>
    </xf>
    <xf numFmtId="174" fontId="0" fillId="6" borderId="48" xfId="0" applyNumberFormat="1" applyFont="1" applyFill="1" applyBorder="1" applyAlignment="1">
      <alignment horizontal="center" vertical="center"/>
    </xf>
    <xf numFmtId="174" fontId="11" fillId="6" borderId="49" xfId="0" applyNumberFormat="1" applyFont="1" applyFill="1" applyBorder="1" applyAlignment="1">
      <alignment horizontal="center" vertical="center"/>
    </xf>
    <xf numFmtId="0" fontId="11" fillId="6" borderId="35" xfId="0" applyNumberFormat="1" applyFont="1" applyFill="1" applyBorder="1" applyAlignment="1">
      <alignment horizontal="center" vertical="center"/>
    </xf>
    <xf numFmtId="3" fontId="11" fillId="6" borderId="31" xfId="0" applyNumberFormat="1" applyFont="1" applyFill="1" applyBorder="1" applyAlignment="1">
      <alignment horizontal="center" vertical="center"/>
    </xf>
    <xf numFmtId="0" fontId="0" fillId="6" borderId="20" xfId="0" applyNumberFormat="1" applyFont="1" applyFill="1" applyBorder="1" applyAlignment="1">
      <alignment horizontal="center" vertical="center"/>
    </xf>
    <xf numFmtId="3" fontId="0" fillId="6" borderId="50" xfId="0" applyNumberFormat="1" applyFont="1" applyFill="1" applyBorder="1" applyAlignment="1">
      <alignment horizontal="center" vertical="center"/>
    </xf>
    <xf numFmtId="3" fontId="0" fillId="6" borderId="51" xfId="0" applyNumberFormat="1" applyFont="1" applyFill="1" applyBorder="1" applyAlignment="1">
      <alignment horizontal="center" vertical="center"/>
    </xf>
    <xf numFmtId="3" fontId="0" fillId="6" borderId="52" xfId="0" applyNumberFormat="1" applyFont="1" applyFill="1" applyBorder="1" applyAlignment="1">
      <alignment horizontal="center" vertical="center"/>
    </xf>
    <xf numFmtId="0" fontId="11" fillId="3" borderId="5" xfId="0" applyNumberFormat="1" applyFont="1" applyFill="1" applyBorder="1" applyAlignment="1">
      <alignment horizontal="center" vertical="center"/>
    </xf>
    <xf numFmtId="0" fontId="11" fillId="3" borderId="45" xfId="0" applyNumberFormat="1" applyFont="1" applyFill="1" applyBorder="1" applyAlignment="1">
      <alignment horizontal="center" vertical="center"/>
    </xf>
    <xf numFmtId="0" fontId="11" fillId="3" borderId="31" xfId="0" applyNumberFormat="1" applyFont="1" applyFill="1" applyBorder="1" applyAlignment="1">
      <alignment horizontal="center" vertical="center"/>
    </xf>
    <xf numFmtId="0" fontId="11" fillId="4" borderId="5" xfId="0" applyNumberFormat="1" applyFont="1" applyFill="1" applyBorder="1" applyAlignment="1">
      <alignment horizontal="center" vertical="center"/>
    </xf>
    <xf numFmtId="0" fontId="11" fillId="4" borderId="45" xfId="0" applyNumberFormat="1" applyFont="1" applyFill="1" applyBorder="1" applyAlignment="1">
      <alignment horizontal="center" vertical="center"/>
    </xf>
    <xf numFmtId="0" fontId="11" fillId="4" borderId="31" xfId="0" applyNumberFormat="1" applyFont="1" applyFill="1" applyBorder="1" applyAlignment="1">
      <alignment horizontal="center" vertical="center"/>
    </xf>
    <xf numFmtId="0" fontId="11" fillId="5" borderId="5" xfId="0" applyNumberFormat="1" applyFont="1" applyFill="1" applyBorder="1" applyAlignment="1">
      <alignment horizontal="center" vertical="center"/>
    </xf>
    <xf numFmtId="0" fontId="11" fillId="5" borderId="45" xfId="0" applyNumberFormat="1" applyFont="1" applyFill="1" applyBorder="1" applyAlignment="1">
      <alignment horizontal="center" vertical="center"/>
    </xf>
    <xf numFmtId="0" fontId="11" fillId="5" borderId="31" xfId="0" applyNumberFormat="1" applyFont="1" applyFill="1" applyBorder="1" applyAlignment="1">
      <alignment horizontal="center" vertical="center"/>
    </xf>
    <xf numFmtId="0" fontId="11" fillId="6" borderId="5" xfId="0" applyNumberFormat="1" applyFont="1" applyFill="1" applyBorder="1" applyAlignment="1">
      <alignment horizontal="center" vertical="center"/>
    </xf>
    <xf numFmtId="0" fontId="11" fillId="6" borderId="45" xfId="0" applyNumberFormat="1" applyFont="1" applyFill="1" applyBorder="1" applyAlignment="1">
      <alignment horizontal="center" vertical="center"/>
    </xf>
    <xf numFmtId="0" fontId="11" fillId="6" borderId="31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45" xfId="0" applyNumberFormat="1" applyFont="1" applyFill="1" applyBorder="1" applyAlignment="1">
      <alignment horizontal="center" vertical="center" wrapText="1"/>
    </xf>
    <xf numFmtId="0" fontId="7" fillId="0" borderId="31" xfId="0" applyNumberFormat="1" applyFont="1" applyFill="1" applyBorder="1" applyAlignment="1">
      <alignment horizontal="center" vertical="center" wrapText="1"/>
    </xf>
    <xf numFmtId="0" fontId="11" fillId="3" borderId="15" xfId="0" applyNumberFormat="1" applyFont="1" applyFill="1" applyBorder="1" applyAlignment="1">
      <alignment horizontal="center" vertical="center"/>
    </xf>
    <xf numFmtId="3" fontId="11" fillId="3" borderId="53" xfId="0" applyNumberFormat="1" applyFont="1" applyFill="1" applyBorder="1" applyAlignment="1">
      <alignment horizontal="center" vertical="center"/>
    </xf>
    <xf numFmtId="0" fontId="0" fillId="3" borderId="14" xfId="0" applyNumberFormat="1" applyFont="1" applyFill="1" applyBorder="1" applyAlignment="1">
      <alignment horizontal="center" vertical="center"/>
    </xf>
    <xf numFmtId="3" fontId="0" fillId="3" borderId="36" xfId="0" applyNumberFormat="1" applyFont="1" applyFill="1" applyBorder="1" applyAlignment="1">
      <alignment horizontal="center" vertical="center"/>
    </xf>
    <xf numFmtId="3" fontId="0" fillId="3" borderId="37" xfId="0" applyNumberFormat="1" applyFont="1" applyFill="1" applyBorder="1" applyAlignment="1">
      <alignment horizontal="center" vertical="center"/>
    </xf>
    <xf numFmtId="3" fontId="0" fillId="3" borderId="38" xfId="0" applyNumberFormat="1" applyFont="1" applyFill="1" applyBorder="1" applyAlignment="1">
      <alignment horizontal="center" vertical="center"/>
    </xf>
    <xf numFmtId="0" fontId="11" fillId="3" borderId="53" xfId="0" applyNumberFormat="1" applyFont="1" applyFill="1" applyBorder="1" applyAlignment="1">
      <alignment horizontal="center" vertical="center"/>
    </xf>
    <xf numFmtId="0" fontId="22" fillId="7" borderId="13" xfId="0" applyNumberFormat="1" applyFont="1" applyFill="1" applyBorder="1" applyAlignment="1">
      <alignment horizontal="left" vertical="center" indent="1"/>
    </xf>
    <xf numFmtId="0" fontId="22" fillId="7" borderId="14" xfId="0" applyNumberFormat="1" applyFont="1" applyFill="1" applyBorder="1" applyAlignment="1">
      <alignment horizontal="left" vertical="center" indent="1"/>
    </xf>
    <xf numFmtId="0" fontId="22" fillId="7" borderId="15" xfId="0" applyNumberFormat="1" applyFont="1" applyFill="1" applyBorder="1" applyAlignment="1">
      <alignment horizontal="left" vertical="center" indent="1"/>
    </xf>
    <xf numFmtId="0" fontId="34" fillId="0" borderId="0" xfId="0" applyNumberFormat="1" applyFont="1" applyFill="1" applyBorder="1" applyAlignment="1">
      <alignment horizontal="right" vertical="center"/>
    </xf>
    <xf numFmtId="0" fontId="32" fillId="0" borderId="54" xfId="0" applyNumberFormat="1" applyFont="1" applyFill="1" applyBorder="1" applyAlignment="1">
      <alignment horizontal="left" vertical="center"/>
    </xf>
    <xf numFmtId="0" fontId="11" fillId="2" borderId="13" xfId="0" applyNumberFormat="1" applyFont="1" applyFill="1" applyBorder="1" applyAlignment="1">
      <alignment horizontal="center" vertical="center" wrapText="1"/>
    </xf>
    <xf numFmtId="0" fontId="11" fillId="2" borderId="15" xfId="0" applyNumberFormat="1" applyFont="1" applyFill="1" applyBorder="1" applyAlignment="1">
      <alignment horizontal="center" vertical="center" wrapText="1"/>
    </xf>
    <xf numFmtId="0" fontId="11" fillId="2" borderId="14" xfId="0" applyNumberFormat="1" applyFont="1" applyFill="1" applyBorder="1" applyAlignment="1">
      <alignment horizontal="center" vertical="center" wrapText="1"/>
    </xf>
    <xf numFmtId="0" fontId="11" fillId="15" borderId="13" xfId="0" applyNumberFormat="1" applyFont="1" applyFill="1" applyBorder="1" applyAlignment="1">
      <alignment horizontal="center" vertical="center" wrapText="1"/>
    </xf>
    <xf numFmtId="0" fontId="11" fillId="15" borderId="15" xfId="0" applyNumberFormat="1" applyFont="1" applyFill="1" applyBorder="1" applyAlignment="1">
      <alignment horizontal="center" vertical="center" wrapText="1"/>
    </xf>
    <xf numFmtId="0" fontId="11" fillId="15" borderId="14" xfId="0" applyNumberFormat="1" applyFont="1" applyFill="1" applyBorder="1" applyAlignment="1">
      <alignment horizontal="center" vertical="center" wrapText="1"/>
    </xf>
    <xf numFmtId="0" fontId="11" fillId="3" borderId="39" xfId="0" applyNumberFormat="1" applyFont="1" applyFill="1" applyBorder="1" applyAlignment="1">
      <alignment horizontal="left" vertical="center" indent="1"/>
    </xf>
    <xf numFmtId="0" fontId="11" fillId="3" borderId="55" xfId="0" applyNumberFormat="1" applyFont="1" applyFill="1" applyBorder="1" applyAlignment="1">
      <alignment horizontal="left" vertical="center" indent="1"/>
    </xf>
    <xf numFmtId="3" fontId="11" fillId="3" borderId="39" xfId="0" applyNumberFormat="1" applyFont="1" applyFill="1" applyBorder="1" applyAlignment="1">
      <alignment horizontal="center" vertical="center"/>
    </xf>
    <xf numFmtId="3" fontId="11" fillId="3" borderId="55" xfId="0" applyNumberFormat="1" applyFont="1" applyFill="1" applyBorder="1" applyAlignment="1">
      <alignment horizontal="center" vertical="center"/>
    </xf>
    <xf numFmtId="3" fontId="40" fillId="3" borderId="39" xfId="0" applyNumberFormat="1" applyFont="1" applyFill="1" applyBorder="1" applyAlignment="1">
      <alignment horizontal="center" vertical="center"/>
    </xf>
    <xf numFmtId="3" fontId="40" fillId="3" borderId="55" xfId="0" applyNumberFormat="1" applyFont="1" applyFill="1" applyBorder="1" applyAlignment="1">
      <alignment horizontal="center" vertical="center"/>
    </xf>
    <xf numFmtId="168" fontId="0" fillId="3" borderId="39" xfId="0" applyNumberFormat="1" applyFont="1" applyFill="1" applyBorder="1" applyAlignment="1">
      <alignment horizontal="center" vertical="center"/>
    </xf>
    <xf numFmtId="168" fontId="0" fillId="3" borderId="55" xfId="0" applyNumberFormat="1" applyFont="1" applyFill="1" applyBorder="1" applyAlignment="1">
      <alignment horizontal="center" vertical="center"/>
    </xf>
    <xf numFmtId="3" fontId="0" fillId="3" borderId="39" xfId="0" applyNumberFormat="1" applyFont="1" applyFill="1" applyBorder="1" applyAlignment="1">
      <alignment horizontal="center" vertical="center"/>
    </xf>
    <xf numFmtId="3" fontId="0" fillId="3" borderId="55" xfId="0" applyNumberFormat="1" applyFont="1" applyFill="1" applyBorder="1" applyAlignment="1">
      <alignment horizontal="center" vertical="center"/>
    </xf>
    <xf numFmtId="175" fontId="11" fillId="3" borderId="39" xfId="0" applyNumberFormat="1" applyFont="1" applyFill="1" applyBorder="1" applyAlignment="1">
      <alignment horizontal="center" vertical="center"/>
    </xf>
    <xf numFmtId="175" fontId="11" fillId="3" borderId="55" xfId="0" applyNumberFormat="1" applyFont="1" applyFill="1" applyBorder="1" applyAlignment="1">
      <alignment horizontal="center" vertical="center"/>
    </xf>
    <xf numFmtId="9" fontId="0" fillId="3" borderId="39" xfId="0" applyNumberFormat="1" applyFont="1" applyFill="1" applyBorder="1" applyAlignment="1">
      <alignment horizontal="center" vertical="center"/>
    </xf>
    <xf numFmtId="9" fontId="0" fillId="3" borderId="55" xfId="0" applyNumberFormat="1" applyFont="1" applyFill="1" applyBorder="1" applyAlignment="1">
      <alignment horizontal="center" vertical="center"/>
    </xf>
    <xf numFmtId="0" fontId="7" fillId="3" borderId="39" xfId="0" applyNumberFormat="1" applyFont="1" applyFill="1" applyBorder="1" applyAlignment="1">
      <alignment horizontal="center" vertical="center"/>
    </xf>
    <xf numFmtId="0" fontId="7" fillId="3" borderId="55" xfId="0" applyNumberFormat="1" applyFont="1" applyFill="1" applyBorder="1" applyAlignment="1">
      <alignment horizontal="center" vertical="center"/>
    </xf>
    <xf numFmtId="0" fontId="7" fillId="3" borderId="33" xfId="0" applyNumberFormat="1" applyFont="1" applyFill="1" applyBorder="1" applyAlignment="1">
      <alignment horizontal="center" vertical="center"/>
    </xf>
    <xf numFmtId="0" fontId="11" fillId="3" borderId="56" xfId="0" applyNumberFormat="1" applyFont="1" applyFill="1" applyBorder="1" applyAlignment="1">
      <alignment horizontal="left" vertical="center" indent="1"/>
    </xf>
    <xf numFmtId="0" fontId="11" fillId="3" borderId="57" xfId="0" applyNumberFormat="1" applyFont="1" applyFill="1" applyBorder="1" applyAlignment="1">
      <alignment horizontal="left" vertical="center" indent="1"/>
    </xf>
    <xf numFmtId="3" fontId="11" fillId="3" borderId="56" xfId="0" applyNumberFormat="1" applyFont="1" applyFill="1" applyBorder="1" applyAlignment="1">
      <alignment horizontal="center" vertical="center"/>
    </xf>
    <xf numFmtId="3" fontId="11" fillId="3" borderId="57" xfId="0" applyNumberFormat="1" applyFont="1" applyFill="1" applyBorder="1" applyAlignment="1">
      <alignment horizontal="center" vertical="center"/>
    </xf>
    <xf numFmtId="3" fontId="40" fillId="3" borderId="56" xfId="0" applyNumberFormat="1" applyFont="1" applyFill="1" applyBorder="1" applyAlignment="1">
      <alignment horizontal="center" vertical="center"/>
    </xf>
    <xf numFmtId="3" fontId="40" fillId="3" borderId="57" xfId="0" applyNumberFormat="1" applyFont="1" applyFill="1" applyBorder="1" applyAlignment="1">
      <alignment horizontal="center" vertical="center"/>
    </xf>
    <xf numFmtId="168" fontId="0" fillId="3" borderId="56" xfId="0" applyNumberFormat="1" applyFont="1" applyFill="1" applyBorder="1" applyAlignment="1">
      <alignment horizontal="center" vertical="center"/>
    </xf>
    <xf numFmtId="168" fontId="0" fillId="3" borderId="57" xfId="0" applyNumberFormat="1" applyFont="1" applyFill="1" applyBorder="1" applyAlignment="1">
      <alignment horizontal="center" vertical="center"/>
    </xf>
    <xf numFmtId="3" fontId="0" fillId="3" borderId="56" xfId="0" applyNumberFormat="1" applyFont="1" applyFill="1" applyBorder="1" applyAlignment="1">
      <alignment horizontal="center" vertical="center"/>
    </xf>
    <xf numFmtId="3" fontId="0" fillId="3" borderId="57" xfId="0" applyNumberFormat="1" applyFont="1" applyFill="1" applyBorder="1" applyAlignment="1">
      <alignment horizontal="center" vertical="center"/>
    </xf>
    <xf numFmtId="175" fontId="11" fillId="3" borderId="56" xfId="0" applyNumberFormat="1" applyFont="1" applyFill="1" applyBorder="1" applyAlignment="1">
      <alignment horizontal="center" vertical="center"/>
    </xf>
    <xf numFmtId="175" fontId="11" fillId="3" borderId="57" xfId="0" applyNumberFormat="1" applyFont="1" applyFill="1" applyBorder="1" applyAlignment="1">
      <alignment horizontal="center" vertical="center"/>
    </xf>
    <xf numFmtId="9" fontId="0" fillId="3" borderId="56" xfId="0" applyNumberFormat="1" applyFont="1" applyFill="1" applyBorder="1" applyAlignment="1">
      <alignment horizontal="center" vertical="center"/>
    </xf>
    <xf numFmtId="9" fontId="0" fillId="3" borderId="57" xfId="0" applyNumberFormat="1" applyFont="1" applyFill="1" applyBorder="1" applyAlignment="1">
      <alignment horizontal="center" vertical="center"/>
    </xf>
    <xf numFmtId="0" fontId="7" fillId="3" borderId="56" xfId="0" applyNumberFormat="1" applyFont="1" applyFill="1" applyBorder="1" applyAlignment="1">
      <alignment horizontal="center" vertical="center"/>
    </xf>
    <xf numFmtId="0" fontId="7" fillId="3" borderId="57" xfId="0" applyNumberFormat="1" applyFont="1" applyFill="1" applyBorder="1" applyAlignment="1">
      <alignment horizontal="center" vertical="center"/>
    </xf>
    <xf numFmtId="0" fontId="7" fillId="3" borderId="58" xfId="0" applyNumberFormat="1" applyFont="1" applyFill="1" applyBorder="1" applyAlignment="1">
      <alignment horizontal="center" vertical="center"/>
    </xf>
    <xf numFmtId="168" fontId="40" fillId="3" borderId="56" xfId="0" applyNumberFormat="1" applyFont="1" applyFill="1" applyBorder="1" applyAlignment="1">
      <alignment horizontal="center" vertical="center"/>
    </xf>
    <xf numFmtId="168" fontId="40" fillId="3" borderId="57" xfId="0" applyNumberFormat="1" applyFont="1" applyFill="1" applyBorder="1" applyAlignment="1">
      <alignment horizontal="center" vertical="center"/>
    </xf>
    <xf numFmtId="0" fontId="11" fillId="3" borderId="59" xfId="0" applyNumberFormat="1" applyFont="1" applyFill="1" applyBorder="1" applyAlignment="1">
      <alignment horizontal="left" vertical="center" indent="1"/>
    </xf>
    <xf numFmtId="0" fontId="11" fillId="3" borderId="60" xfId="0" applyNumberFormat="1" applyFont="1" applyFill="1" applyBorder="1" applyAlignment="1">
      <alignment horizontal="left" vertical="center" indent="1"/>
    </xf>
    <xf numFmtId="3" fontId="11" fillId="3" borderId="59" xfId="0" applyNumberFormat="1" applyFont="1" applyFill="1" applyBorder="1" applyAlignment="1">
      <alignment horizontal="center" vertical="center"/>
    </xf>
    <xf numFmtId="3" fontId="11" fillId="3" borderId="60" xfId="0" applyNumberFormat="1" applyFont="1" applyFill="1" applyBorder="1" applyAlignment="1">
      <alignment horizontal="center" vertical="center"/>
    </xf>
    <xf numFmtId="3" fontId="40" fillId="3" borderId="59" xfId="0" applyNumberFormat="1" applyFont="1" applyFill="1" applyBorder="1" applyAlignment="1">
      <alignment horizontal="center" vertical="center"/>
    </xf>
    <xf numFmtId="3" fontId="40" fillId="3" borderId="60" xfId="0" applyNumberFormat="1" applyFont="1" applyFill="1" applyBorder="1" applyAlignment="1">
      <alignment horizontal="center" vertical="center"/>
    </xf>
    <xf numFmtId="168" fontId="0" fillId="3" borderId="59" xfId="0" applyNumberFormat="1" applyFont="1" applyFill="1" applyBorder="1" applyAlignment="1">
      <alignment horizontal="center" vertical="center"/>
    </xf>
    <xf numFmtId="168" fontId="0" fillId="3" borderId="60" xfId="0" applyNumberFormat="1" applyFont="1" applyFill="1" applyBorder="1" applyAlignment="1">
      <alignment horizontal="center" vertical="center"/>
    </xf>
    <xf numFmtId="3" fontId="0" fillId="3" borderId="59" xfId="0" applyNumberFormat="1" applyFont="1" applyFill="1" applyBorder="1" applyAlignment="1">
      <alignment horizontal="center" vertical="center"/>
    </xf>
    <xf numFmtId="3" fontId="0" fillId="3" borderId="60" xfId="0" applyNumberFormat="1" applyFont="1" applyFill="1" applyBorder="1" applyAlignment="1">
      <alignment horizontal="center" vertical="center"/>
    </xf>
    <xf numFmtId="175" fontId="11" fillId="3" borderId="59" xfId="0" applyNumberFormat="1" applyFont="1" applyFill="1" applyBorder="1" applyAlignment="1">
      <alignment horizontal="center" vertical="center"/>
    </xf>
    <xf numFmtId="175" fontId="11" fillId="3" borderId="60" xfId="0" applyNumberFormat="1" applyFont="1" applyFill="1" applyBorder="1" applyAlignment="1">
      <alignment horizontal="center" vertical="center"/>
    </xf>
    <xf numFmtId="9" fontId="0" fillId="3" borderId="59" xfId="0" applyNumberFormat="1" applyFont="1" applyFill="1" applyBorder="1" applyAlignment="1">
      <alignment horizontal="center" vertical="center"/>
    </xf>
    <xf numFmtId="9" fontId="0" fillId="3" borderId="60" xfId="0" applyNumberFormat="1" applyFont="1" applyFill="1" applyBorder="1" applyAlignment="1">
      <alignment horizontal="center" vertical="center"/>
    </xf>
    <xf numFmtId="0" fontId="7" fillId="3" borderId="59" xfId="0" applyNumberFormat="1" applyFont="1" applyFill="1" applyBorder="1" applyAlignment="1">
      <alignment horizontal="center" vertical="center"/>
    </xf>
    <xf numFmtId="0" fontId="7" fillId="3" borderId="60" xfId="0" applyNumberFormat="1" applyFont="1" applyFill="1" applyBorder="1" applyAlignment="1">
      <alignment horizontal="center" vertical="center"/>
    </xf>
    <xf numFmtId="0" fontId="7" fillId="3" borderId="61" xfId="0" applyNumberFormat="1" applyFont="1" applyFill="1" applyBorder="1" applyAlignment="1">
      <alignment horizontal="center" vertical="center"/>
    </xf>
    <xf numFmtId="0" fontId="11" fillId="4" borderId="39" xfId="0" applyNumberFormat="1" applyFont="1" applyFill="1" applyBorder="1" applyAlignment="1">
      <alignment horizontal="left" vertical="center" indent="1"/>
    </xf>
    <xf numFmtId="0" fontId="11" fillId="4" borderId="55" xfId="0" applyNumberFormat="1" applyFont="1" applyFill="1" applyBorder="1" applyAlignment="1">
      <alignment horizontal="left" vertical="center" indent="1"/>
    </xf>
    <xf numFmtId="3" fontId="11" fillId="4" borderId="39" xfId="0" applyNumberFormat="1" applyFont="1" applyFill="1" applyBorder="1" applyAlignment="1">
      <alignment horizontal="center" vertical="center"/>
    </xf>
    <xf numFmtId="3" fontId="11" fillId="4" borderId="55" xfId="0" applyNumberFormat="1" applyFont="1" applyFill="1" applyBorder="1" applyAlignment="1">
      <alignment horizontal="center" vertical="center"/>
    </xf>
    <xf numFmtId="3" fontId="40" fillId="4" borderId="39" xfId="0" applyNumberFormat="1" applyFont="1" applyFill="1" applyBorder="1" applyAlignment="1">
      <alignment horizontal="center" vertical="center"/>
    </xf>
    <xf numFmtId="3" fontId="40" fillId="4" borderId="55" xfId="0" applyNumberFormat="1" applyFont="1" applyFill="1" applyBorder="1" applyAlignment="1">
      <alignment horizontal="center" vertical="center"/>
    </xf>
    <xf numFmtId="168" fontId="0" fillId="4" borderId="39" xfId="0" applyNumberFormat="1" applyFont="1" applyFill="1" applyBorder="1" applyAlignment="1">
      <alignment horizontal="center" vertical="center"/>
    </xf>
    <xf numFmtId="168" fontId="0" fillId="4" borderId="55" xfId="0" applyNumberFormat="1" applyFont="1" applyFill="1" applyBorder="1" applyAlignment="1">
      <alignment horizontal="center" vertical="center"/>
    </xf>
    <xf numFmtId="3" fontId="0" fillId="4" borderId="39" xfId="0" applyNumberFormat="1" applyFont="1" applyFill="1" applyBorder="1" applyAlignment="1">
      <alignment horizontal="center" vertical="center"/>
    </xf>
    <xf numFmtId="3" fontId="0" fillId="4" borderId="55" xfId="0" applyNumberFormat="1" applyFont="1" applyFill="1" applyBorder="1" applyAlignment="1">
      <alignment horizontal="center" vertical="center"/>
    </xf>
    <xf numFmtId="175" fontId="11" fillId="4" borderId="39" xfId="0" applyNumberFormat="1" applyFont="1" applyFill="1" applyBorder="1" applyAlignment="1">
      <alignment horizontal="center" vertical="center"/>
    </xf>
    <xf numFmtId="175" fontId="11" fillId="4" borderId="55" xfId="0" applyNumberFormat="1" applyFont="1" applyFill="1" applyBorder="1" applyAlignment="1">
      <alignment horizontal="center" vertical="center"/>
    </xf>
    <xf numFmtId="9" fontId="0" fillId="4" borderId="39" xfId="0" applyNumberFormat="1" applyFont="1" applyFill="1" applyBorder="1" applyAlignment="1">
      <alignment horizontal="center" vertical="center"/>
    </xf>
    <xf numFmtId="9" fontId="0" fillId="4" borderId="55" xfId="0" applyNumberFormat="1" applyFont="1" applyFill="1" applyBorder="1" applyAlignment="1">
      <alignment horizontal="center" vertical="center"/>
    </xf>
    <xf numFmtId="0" fontId="7" fillId="4" borderId="39" xfId="0" applyNumberFormat="1" applyFont="1" applyFill="1" applyBorder="1" applyAlignment="1">
      <alignment horizontal="center" vertical="center"/>
    </xf>
    <xf numFmtId="0" fontId="7" fillId="4" borderId="55" xfId="0" applyNumberFormat="1" applyFont="1" applyFill="1" applyBorder="1" applyAlignment="1">
      <alignment horizontal="center" vertical="center"/>
    </xf>
    <xf numFmtId="0" fontId="7" fillId="4" borderId="33" xfId="0" applyNumberFormat="1" applyFont="1" applyFill="1" applyBorder="1" applyAlignment="1">
      <alignment horizontal="center" vertical="center"/>
    </xf>
    <xf numFmtId="0" fontId="11" fillId="4" borderId="56" xfId="0" applyNumberFormat="1" applyFont="1" applyFill="1" applyBorder="1" applyAlignment="1">
      <alignment horizontal="left" vertical="center" indent="1"/>
    </xf>
    <xf numFmtId="0" fontId="11" fillId="4" borderId="57" xfId="0" applyNumberFormat="1" applyFont="1" applyFill="1" applyBorder="1" applyAlignment="1">
      <alignment horizontal="left" vertical="center" indent="1"/>
    </xf>
    <xf numFmtId="3" fontId="11" fillId="4" borderId="56" xfId="0" applyNumberFormat="1" applyFont="1" applyFill="1" applyBorder="1" applyAlignment="1">
      <alignment horizontal="center" vertical="center"/>
    </xf>
    <xf numFmtId="3" fontId="11" fillId="4" borderId="57" xfId="0" applyNumberFormat="1" applyFont="1" applyFill="1" applyBorder="1" applyAlignment="1">
      <alignment horizontal="center" vertical="center"/>
    </xf>
    <xf numFmtId="3" fontId="40" fillId="4" borderId="56" xfId="0" applyNumberFormat="1" applyFont="1" applyFill="1" applyBorder="1" applyAlignment="1">
      <alignment horizontal="center" vertical="center"/>
    </xf>
    <xf numFmtId="3" fontId="40" fillId="4" borderId="57" xfId="0" applyNumberFormat="1" applyFont="1" applyFill="1" applyBorder="1" applyAlignment="1">
      <alignment horizontal="center" vertical="center"/>
    </xf>
    <xf numFmtId="168" fontId="0" fillId="4" borderId="56" xfId="0" applyNumberFormat="1" applyFont="1" applyFill="1" applyBorder="1" applyAlignment="1">
      <alignment horizontal="center" vertical="center"/>
    </xf>
    <xf numFmtId="168" fontId="0" fillId="4" borderId="57" xfId="0" applyNumberFormat="1" applyFont="1" applyFill="1" applyBorder="1" applyAlignment="1">
      <alignment horizontal="center" vertical="center"/>
    </xf>
    <xf numFmtId="3" fontId="0" fillId="4" borderId="56" xfId="0" applyNumberFormat="1" applyFont="1" applyFill="1" applyBorder="1" applyAlignment="1">
      <alignment horizontal="center" vertical="center"/>
    </xf>
    <xf numFmtId="3" fontId="0" fillId="4" borderId="57" xfId="0" applyNumberFormat="1" applyFont="1" applyFill="1" applyBorder="1" applyAlignment="1">
      <alignment horizontal="center" vertical="center"/>
    </xf>
    <xf numFmtId="175" fontId="11" fillId="4" borderId="56" xfId="0" applyNumberFormat="1" applyFont="1" applyFill="1" applyBorder="1" applyAlignment="1">
      <alignment horizontal="center" vertical="center"/>
    </xf>
    <xf numFmtId="175" fontId="11" fillId="4" borderId="57" xfId="0" applyNumberFormat="1" applyFont="1" applyFill="1" applyBorder="1" applyAlignment="1">
      <alignment horizontal="center" vertical="center"/>
    </xf>
    <xf numFmtId="9" fontId="0" fillId="4" borderId="56" xfId="0" applyNumberFormat="1" applyFont="1" applyFill="1" applyBorder="1" applyAlignment="1">
      <alignment horizontal="center" vertical="center"/>
    </xf>
    <xf numFmtId="9" fontId="0" fillId="4" borderId="57" xfId="0" applyNumberFormat="1" applyFont="1" applyFill="1" applyBorder="1" applyAlignment="1">
      <alignment horizontal="center" vertical="center"/>
    </xf>
    <xf numFmtId="0" fontId="7" fillId="4" borderId="56" xfId="0" applyNumberFormat="1" applyFont="1" applyFill="1" applyBorder="1" applyAlignment="1">
      <alignment horizontal="center" vertical="center"/>
    </xf>
    <xf numFmtId="0" fontId="7" fillId="4" borderId="57" xfId="0" applyNumberFormat="1" applyFont="1" applyFill="1" applyBorder="1" applyAlignment="1">
      <alignment horizontal="center" vertical="center"/>
    </xf>
    <xf numFmtId="0" fontId="7" fillId="4" borderId="58" xfId="0" applyNumberFormat="1" applyFont="1" applyFill="1" applyBorder="1" applyAlignment="1">
      <alignment horizontal="center" vertical="center"/>
    </xf>
    <xf numFmtId="168" fontId="40" fillId="4" borderId="56" xfId="0" applyNumberFormat="1" applyFont="1" applyFill="1" applyBorder="1" applyAlignment="1">
      <alignment horizontal="center" vertical="center"/>
    </xf>
    <xf numFmtId="168" fontId="40" fillId="4" borderId="57" xfId="0" applyNumberFormat="1" applyFont="1" applyFill="1" applyBorder="1" applyAlignment="1">
      <alignment horizontal="center" vertical="center"/>
    </xf>
    <xf numFmtId="0" fontId="11" fillId="4" borderId="59" xfId="0" applyNumberFormat="1" applyFont="1" applyFill="1" applyBorder="1" applyAlignment="1">
      <alignment horizontal="left" vertical="center" indent="1"/>
    </xf>
    <xf numFmtId="0" fontId="11" fillId="4" borderId="60" xfId="0" applyNumberFormat="1" applyFont="1" applyFill="1" applyBorder="1" applyAlignment="1">
      <alignment horizontal="left" vertical="center" indent="1"/>
    </xf>
    <xf numFmtId="3" fontId="11" fillId="4" borderId="59" xfId="0" applyNumberFormat="1" applyFont="1" applyFill="1" applyBorder="1" applyAlignment="1">
      <alignment horizontal="center" vertical="center"/>
    </xf>
    <xf numFmtId="3" fontId="11" fillId="4" borderId="60" xfId="0" applyNumberFormat="1" applyFont="1" applyFill="1" applyBorder="1" applyAlignment="1">
      <alignment horizontal="center" vertical="center"/>
    </xf>
    <xf numFmtId="3" fontId="40" fillId="4" borderId="59" xfId="0" applyNumberFormat="1" applyFont="1" applyFill="1" applyBorder="1" applyAlignment="1">
      <alignment horizontal="center" vertical="center"/>
    </xf>
    <xf numFmtId="3" fontId="40" fillId="4" borderId="60" xfId="0" applyNumberFormat="1" applyFont="1" applyFill="1" applyBorder="1" applyAlignment="1">
      <alignment horizontal="center" vertical="center"/>
    </xf>
    <xf numFmtId="168" fontId="0" fillId="4" borderId="59" xfId="0" applyNumberFormat="1" applyFont="1" applyFill="1" applyBorder="1" applyAlignment="1">
      <alignment horizontal="center" vertical="center"/>
    </xf>
    <xf numFmtId="168" fontId="0" fillId="4" borderId="60" xfId="0" applyNumberFormat="1" applyFont="1" applyFill="1" applyBorder="1" applyAlignment="1">
      <alignment horizontal="center" vertical="center"/>
    </xf>
    <xf numFmtId="3" fontId="0" fillId="4" borderId="59" xfId="0" applyNumberFormat="1" applyFont="1" applyFill="1" applyBorder="1" applyAlignment="1">
      <alignment horizontal="center" vertical="center"/>
    </xf>
    <xf numFmtId="3" fontId="0" fillId="4" borderId="60" xfId="0" applyNumberFormat="1" applyFont="1" applyFill="1" applyBorder="1" applyAlignment="1">
      <alignment horizontal="center" vertical="center"/>
    </xf>
    <xf numFmtId="175" fontId="11" fillId="4" borderId="59" xfId="0" applyNumberFormat="1" applyFont="1" applyFill="1" applyBorder="1" applyAlignment="1">
      <alignment horizontal="center" vertical="center"/>
    </xf>
    <xf numFmtId="175" fontId="11" fillId="4" borderId="60" xfId="0" applyNumberFormat="1" applyFont="1" applyFill="1" applyBorder="1" applyAlignment="1">
      <alignment horizontal="center" vertical="center"/>
    </xf>
    <xf numFmtId="9" fontId="0" fillId="4" borderId="59" xfId="0" applyNumberFormat="1" applyFont="1" applyFill="1" applyBorder="1" applyAlignment="1">
      <alignment horizontal="center" vertical="center"/>
    </xf>
    <xf numFmtId="9" fontId="0" fillId="4" borderId="60" xfId="0" applyNumberFormat="1" applyFont="1" applyFill="1" applyBorder="1" applyAlignment="1">
      <alignment horizontal="center" vertical="center"/>
    </xf>
    <xf numFmtId="0" fontId="7" fillId="4" borderId="59" xfId="0" applyNumberFormat="1" applyFont="1" applyFill="1" applyBorder="1" applyAlignment="1">
      <alignment horizontal="center" vertical="center"/>
    </xf>
    <xf numFmtId="0" fontId="7" fillId="4" borderId="60" xfId="0" applyNumberFormat="1" applyFont="1" applyFill="1" applyBorder="1" applyAlignment="1">
      <alignment horizontal="center" vertical="center"/>
    </xf>
    <xf numFmtId="0" fontId="7" fillId="4" borderId="61" xfId="0" applyNumberFormat="1" applyFont="1" applyFill="1" applyBorder="1" applyAlignment="1">
      <alignment horizontal="center" vertical="center"/>
    </xf>
    <xf numFmtId="0" fontId="11" fillId="5" borderId="39" xfId="0" applyNumberFormat="1" applyFont="1" applyFill="1" applyBorder="1" applyAlignment="1">
      <alignment horizontal="left" vertical="center" indent="1"/>
    </xf>
    <xf numFmtId="0" fontId="11" fillId="5" borderId="55" xfId="0" applyNumberFormat="1" applyFont="1" applyFill="1" applyBorder="1" applyAlignment="1">
      <alignment horizontal="left" vertical="center" indent="1"/>
    </xf>
    <xf numFmtId="3" fontId="11" fillId="5" borderId="39" xfId="0" applyNumberFormat="1" applyFont="1" applyFill="1" applyBorder="1" applyAlignment="1">
      <alignment horizontal="center" vertical="center"/>
    </xf>
    <xf numFmtId="3" fontId="11" fillId="5" borderId="55" xfId="0" applyNumberFormat="1" applyFont="1" applyFill="1" applyBorder="1" applyAlignment="1">
      <alignment horizontal="center" vertical="center"/>
    </xf>
    <xf numFmtId="3" fontId="40" fillId="5" borderId="39" xfId="0" applyNumberFormat="1" applyFont="1" applyFill="1" applyBorder="1" applyAlignment="1">
      <alignment horizontal="center" vertical="center"/>
    </xf>
    <xf numFmtId="3" fontId="40" fillId="5" borderId="55" xfId="0" applyNumberFormat="1" applyFont="1" applyFill="1" applyBorder="1" applyAlignment="1">
      <alignment horizontal="center" vertical="center"/>
    </xf>
    <xf numFmtId="168" fontId="0" fillId="5" borderId="39" xfId="0" applyNumberFormat="1" applyFont="1" applyFill="1" applyBorder="1" applyAlignment="1">
      <alignment horizontal="center" vertical="center"/>
    </xf>
    <xf numFmtId="168" fontId="0" fillId="5" borderId="55" xfId="0" applyNumberFormat="1" applyFont="1" applyFill="1" applyBorder="1" applyAlignment="1">
      <alignment horizontal="center" vertical="center"/>
    </xf>
    <xf numFmtId="3" fontId="0" fillId="5" borderId="39" xfId="0" applyNumberFormat="1" applyFont="1" applyFill="1" applyBorder="1" applyAlignment="1">
      <alignment horizontal="center" vertical="center"/>
    </xf>
    <xf numFmtId="3" fontId="0" fillId="5" borderId="55" xfId="0" applyNumberFormat="1" applyFont="1" applyFill="1" applyBorder="1" applyAlignment="1">
      <alignment horizontal="center" vertical="center"/>
    </xf>
    <xf numFmtId="175" fontId="11" fillId="5" borderId="39" xfId="0" applyNumberFormat="1" applyFont="1" applyFill="1" applyBorder="1" applyAlignment="1">
      <alignment horizontal="center" vertical="center"/>
    </xf>
    <xf numFmtId="175" fontId="11" fillId="5" borderId="55" xfId="0" applyNumberFormat="1" applyFont="1" applyFill="1" applyBorder="1" applyAlignment="1">
      <alignment horizontal="center" vertical="center"/>
    </xf>
    <xf numFmtId="9" fontId="0" fillId="5" borderId="39" xfId="0" applyNumberFormat="1" applyFont="1" applyFill="1" applyBorder="1" applyAlignment="1">
      <alignment horizontal="center" vertical="center"/>
    </xf>
    <xf numFmtId="9" fontId="0" fillId="5" borderId="55" xfId="0" applyNumberFormat="1" applyFont="1" applyFill="1" applyBorder="1" applyAlignment="1">
      <alignment horizontal="center" vertical="center"/>
    </xf>
    <xf numFmtId="0" fontId="7" fillId="5" borderId="39" xfId="0" applyNumberFormat="1" applyFont="1" applyFill="1" applyBorder="1" applyAlignment="1">
      <alignment horizontal="center" vertical="center"/>
    </xf>
    <xf numFmtId="0" fontId="7" fillId="5" borderId="55" xfId="0" applyNumberFormat="1" applyFont="1" applyFill="1" applyBorder="1" applyAlignment="1">
      <alignment horizontal="center" vertical="center"/>
    </xf>
    <xf numFmtId="0" fontId="7" fillId="5" borderId="33" xfId="0" applyNumberFormat="1" applyFont="1" applyFill="1" applyBorder="1" applyAlignment="1">
      <alignment horizontal="center" vertical="center"/>
    </xf>
    <xf numFmtId="0" fontId="11" fillId="5" borderId="56" xfId="0" applyNumberFormat="1" applyFont="1" applyFill="1" applyBorder="1" applyAlignment="1">
      <alignment horizontal="left" vertical="center" indent="1"/>
    </xf>
    <xf numFmtId="0" fontId="11" fillId="5" borderId="57" xfId="0" applyNumberFormat="1" applyFont="1" applyFill="1" applyBorder="1" applyAlignment="1">
      <alignment horizontal="left" vertical="center" indent="1"/>
    </xf>
    <xf numFmtId="3" fontId="11" fillId="5" borderId="56" xfId="0" applyNumberFormat="1" applyFont="1" applyFill="1" applyBorder="1" applyAlignment="1">
      <alignment horizontal="center" vertical="center"/>
    </xf>
    <xf numFmtId="3" fontId="11" fillId="5" borderId="57" xfId="0" applyNumberFormat="1" applyFont="1" applyFill="1" applyBorder="1" applyAlignment="1">
      <alignment horizontal="center" vertical="center"/>
    </xf>
    <xf numFmtId="3" fontId="40" fillId="5" borderId="56" xfId="0" applyNumberFormat="1" applyFont="1" applyFill="1" applyBorder="1" applyAlignment="1">
      <alignment horizontal="center" vertical="center"/>
    </xf>
    <xf numFmtId="3" fontId="40" fillId="5" borderId="57" xfId="0" applyNumberFormat="1" applyFont="1" applyFill="1" applyBorder="1" applyAlignment="1">
      <alignment horizontal="center" vertical="center"/>
    </xf>
    <xf numFmtId="168" fontId="0" fillId="5" borderId="56" xfId="0" applyNumberFormat="1" applyFont="1" applyFill="1" applyBorder="1" applyAlignment="1">
      <alignment horizontal="center" vertical="center"/>
    </xf>
    <xf numFmtId="168" fontId="0" fillId="5" borderId="57" xfId="0" applyNumberFormat="1" applyFont="1" applyFill="1" applyBorder="1" applyAlignment="1">
      <alignment horizontal="center" vertical="center"/>
    </xf>
    <xf numFmtId="3" fontId="0" fillId="5" borderId="56" xfId="0" applyNumberFormat="1" applyFont="1" applyFill="1" applyBorder="1" applyAlignment="1">
      <alignment horizontal="center" vertical="center"/>
    </xf>
    <xf numFmtId="3" fontId="0" fillId="5" borderId="57" xfId="0" applyNumberFormat="1" applyFont="1" applyFill="1" applyBorder="1" applyAlignment="1">
      <alignment horizontal="center" vertical="center"/>
    </xf>
    <xf numFmtId="175" fontId="11" fillId="5" borderId="56" xfId="0" applyNumberFormat="1" applyFont="1" applyFill="1" applyBorder="1" applyAlignment="1">
      <alignment horizontal="center" vertical="center"/>
    </xf>
    <xf numFmtId="175" fontId="11" fillId="5" borderId="57" xfId="0" applyNumberFormat="1" applyFont="1" applyFill="1" applyBorder="1" applyAlignment="1">
      <alignment horizontal="center" vertical="center"/>
    </xf>
    <xf numFmtId="9" fontId="0" fillId="5" borderId="56" xfId="0" applyNumberFormat="1" applyFont="1" applyFill="1" applyBorder="1" applyAlignment="1">
      <alignment horizontal="center" vertical="center"/>
    </xf>
    <xf numFmtId="9" fontId="0" fillId="5" borderId="57" xfId="0" applyNumberFormat="1" applyFont="1" applyFill="1" applyBorder="1" applyAlignment="1">
      <alignment horizontal="center" vertical="center"/>
    </xf>
    <xf numFmtId="0" fontId="7" fillId="5" borderId="56" xfId="0" applyNumberFormat="1" applyFont="1" applyFill="1" applyBorder="1" applyAlignment="1">
      <alignment horizontal="center" vertical="center"/>
    </xf>
    <xf numFmtId="0" fontId="7" fillId="5" borderId="57" xfId="0" applyNumberFormat="1" applyFont="1" applyFill="1" applyBorder="1" applyAlignment="1">
      <alignment horizontal="center" vertical="center"/>
    </xf>
    <xf numFmtId="0" fontId="7" fillId="5" borderId="58" xfId="0" applyNumberFormat="1" applyFont="1" applyFill="1" applyBorder="1" applyAlignment="1">
      <alignment horizontal="center" vertical="center"/>
    </xf>
    <xf numFmtId="0" fontId="11" fillId="5" borderId="59" xfId="0" applyNumberFormat="1" applyFont="1" applyFill="1" applyBorder="1" applyAlignment="1">
      <alignment horizontal="left" vertical="center" indent="1"/>
    </xf>
    <xf numFmtId="0" fontId="11" fillId="5" borderId="60" xfId="0" applyNumberFormat="1" applyFont="1" applyFill="1" applyBorder="1" applyAlignment="1">
      <alignment horizontal="left" vertical="center" indent="1"/>
    </xf>
    <xf numFmtId="3" fontId="11" fillId="5" borderId="59" xfId="0" applyNumberFormat="1" applyFont="1" applyFill="1" applyBorder="1" applyAlignment="1">
      <alignment horizontal="center" vertical="center"/>
    </xf>
    <xf numFmtId="3" fontId="11" fillId="5" borderId="60" xfId="0" applyNumberFormat="1" applyFont="1" applyFill="1" applyBorder="1" applyAlignment="1">
      <alignment horizontal="center" vertical="center"/>
    </xf>
    <xf numFmtId="3" fontId="40" fillId="5" borderId="59" xfId="0" applyNumberFormat="1" applyFont="1" applyFill="1" applyBorder="1" applyAlignment="1">
      <alignment horizontal="center" vertical="center"/>
    </xf>
    <xf numFmtId="3" fontId="40" fillId="5" borderId="60" xfId="0" applyNumberFormat="1" applyFont="1" applyFill="1" applyBorder="1" applyAlignment="1">
      <alignment horizontal="center" vertical="center"/>
    </xf>
    <xf numFmtId="168" fontId="0" fillId="5" borderId="59" xfId="0" applyNumberFormat="1" applyFont="1" applyFill="1" applyBorder="1" applyAlignment="1">
      <alignment horizontal="center" vertical="center"/>
    </xf>
    <xf numFmtId="168" fontId="0" fillId="5" borderId="60" xfId="0" applyNumberFormat="1" applyFont="1" applyFill="1" applyBorder="1" applyAlignment="1">
      <alignment horizontal="center" vertical="center"/>
    </xf>
    <xf numFmtId="3" fontId="0" fillId="5" borderId="59" xfId="0" applyNumberFormat="1" applyFont="1" applyFill="1" applyBorder="1" applyAlignment="1">
      <alignment horizontal="center" vertical="center"/>
    </xf>
    <xf numFmtId="3" fontId="0" fillId="5" borderId="60" xfId="0" applyNumberFormat="1" applyFont="1" applyFill="1" applyBorder="1" applyAlignment="1">
      <alignment horizontal="center" vertical="center"/>
    </xf>
    <xf numFmtId="175" fontId="11" fillId="5" borderId="59" xfId="0" applyNumberFormat="1" applyFont="1" applyFill="1" applyBorder="1" applyAlignment="1">
      <alignment horizontal="center" vertical="center"/>
    </xf>
    <xf numFmtId="175" fontId="11" fillId="5" borderId="60" xfId="0" applyNumberFormat="1" applyFont="1" applyFill="1" applyBorder="1" applyAlignment="1">
      <alignment horizontal="center" vertical="center"/>
    </xf>
    <xf numFmtId="9" fontId="0" fillId="5" borderId="59" xfId="0" applyNumberFormat="1" applyFont="1" applyFill="1" applyBorder="1" applyAlignment="1">
      <alignment horizontal="center" vertical="center"/>
    </xf>
    <xf numFmtId="9" fontId="0" fillId="5" borderId="60" xfId="0" applyNumberFormat="1" applyFont="1" applyFill="1" applyBorder="1" applyAlignment="1">
      <alignment horizontal="center" vertical="center"/>
    </xf>
    <xf numFmtId="0" fontId="7" fillId="5" borderId="59" xfId="0" applyNumberFormat="1" applyFont="1" applyFill="1" applyBorder="1" applyAlignment="1">
      <alignment horizontal="center" vertical="center"/>
    </xf>
    <xf numFmtId="0" fontId="7" fillId="5" borderId="60" xfId="0" applyNumberFormat="1" applyFont="1" applyFill="1" applyBorder="1" applyAlignment="1">
      <alignment horizontal="center" vertical="center"/>
    </xf>
    <xf numFmtId="0" fontId="7" fillId="5" borderId="61" xfId="0" applyNumberFormat="1" applyFont="1" applyFill="1" applyBorder="1" applyAlignment="1">
      <alignment horizontal="center" vertical="center"/>
    </xf>
    <xf numFmtId="166" fontId="40" fillId="3" borderId="39" xfId="0" applyNumberFormat="1" applyFont="1" applyFill="1" applyBorder="1" applyAlignment="1">
      <alignment horizontal="center" vertical="center"/>
    </xf>
    <xf numFmtId="166" fontId="40" fillId="3" borderId="55" xfId="0" applyNumberFormat="1" applyFont="1" applyFill="1" applyBorder="1" applyAlignment="1">
      <alignment horizontal="center" vertical="center"/>
    </xf>
    <xf numFmtId="166" fontId="0" fillId="3" borderId="39" xfId="0" applyNumberFormat="1" applyFont="1" applyFill="1" applyBorder="1" applyAlignment="1">
      <alignment horizontal="center" vertical="center"/>
    </xf>
    <xf numFmtId="166" fontId="0" fillId="3" borderId="55" xfId="0" applyNumberFormat="1" applyFont="1" applyFill="1" applyBorder="1" applyAlignment="1">
      <alignment horizontal="center" vertical="center"/>
    </xf>
    <xf numFmtId="9" fontId="11" fillId="3" borderId="59" xfId="0" applyNumberFormat="1" applyFont="1" applyFill="1" applyBorder="1" applyAlignment="1">
      <alignment horizontal="center" vertical="center"/>
    </xf>
    <xf numFmtId="9" fontId="11" fillId="3" borderId="60" xfId="0" applyNumberFormat="1" applyFont="1" applyFill="1" applyBorder="1" applyAlignment="1">
      <alignment horizontal="center" vertical="center"/>
    </xf>
    <xf numFmtId="167" fontId="40" fillId="3" borderId="59" xfId="0" applyNumberFormat="1" applyFont="1" applyFill="1" applyBorder="1" applyAlignment="1">
      <alignment horizontal="center" vertical="center"/>
    </xf>
    <xf numFmtId="167" fontId="40" fillId="3" borderId="60" xfId="0" applyNumberFormat="1" applyFont="1" applyFill="1" applyBorder="1" applyAlignment="1">
      <alignment horizontal="center" vertical="center"/>
    </xf>
    <xf numFmtId="167" fontId="0" fillId="3" borderId="59" xfId="0" applyNumberFormat="1" applyFont="1" applyFill="1" applyBorder="1" applyAlignment="1">
      <alignment horizontal="center" vertical="center"/>
    </xf>
    <xf numFmtId="167" fontId="0" fillId="3" borderId="60" xfId="0" applyNumberFormat="1" applyFont="1" applyFill="1" applyBorder="1" applyAlignment="1">
      <alignment horizontal="center" vertical="center"/>
    </xf>
    <xf numFmtId="0" fontId="11" fillId="6" borderId="39" xfId="0" applyNumberFormat="1" applyFont="1" applyFill="1" applyBorder="1" applyAlignment="1">
      <alignment horizontal="left" vertical="center" indent="1"/>
    </xf>
    <xf numFmtId="0" fontId="11" fillId="6" borderId="55" xfId="0" applyNumberFormat="1" applyFont="1" applyFill="1" applyBorder="1" applyAlignment="1">
      <alignment horizontal="left" vertical="center" indent="1"/>
    </xf>
    <xf numFmtId="3" fontId="11" fillId="6" borderId="39" xfId="0" applyNumberFormat="1" applyFont="1" applyFill="1" applyBorder="1" applyAlignment="1">
      <alignment horizontal="center" vertical="center"/>
    </xf>
    <xf numFmtId="3" fontId="11" fillId="6" borderId="55" xfId="0" applyNumberFormat="1" applyFont="1" applyFill="1" applyBorder="1" applyAlignment="1">
      <alignment horizontal="center" vertical="center"/>
    </xf>
    <xf numFmtId="3" fontId="40" fillId="6" borderId="39" xfId="0" applyNumberFormat="1" applyFont="1" applyFill="1" applyBorder="1" applyAlignment="1">
      <alignment horizontal="center" vertical="center"/>
    </xf>
    <xf numFmtId="3" fontId="40" fillId="6" borderId="55" xfId="0" applyNumberFormat="1" applyFont="1" applyFill="1" applyBorder="1" applyAlignment="1">
      <alignment horizontal="center" vertical="center"/>
    </xf>
    <xf numFmtId="168" fontId="0" fillId="6" borderId="39" xfId="0" applyNumberFormat="1" applyFont="1" applyFill="1" applyBorder="1" applyAlignment="1">
      <alignment horizontal="center" vertical="center"/>
    </xf>
    <xf numFmtId="168" fontId="0" fillId="6" borderId="55" xfId="0" applyNumberFormat="1" applyFont="1" applyFill="1" applyBorder="1" applyAlignment="1">
      <alignment horizontal="center" vertical="center"/>
    </xf>
    <xf numFmtId="3" fontId="0" fillId="6" borderId="39" xfId="0" applyNumberFormat="1" applyFont="1" applyFill="1" applyBorder="1" applyAlignment="1">
      <alignment horizontal="center" vertical="center"/>
    </xf>
    <xf numFmtId="3" fontId="0" fillId="6" borderId="55" xfId="0" applyNumberFormat="1" applyFont="1" applyFill="1" applyBorder="1" applyAlignment="1">
      <alignment horizontal="center" vertical="center"/>
    </xf>
    <xf numFmtId="175" fontId="11" fillId="6" borderId="39" xfId="0" applyNumberFormat="1" applyFont="1" applyFill="1" applyBorder="1" applyAlignment="1">
      <alignment horizontal="center" vertical="center"/>
    </xf>
    <xf numFmtId="175" fontId="11" fillId="6" borderId="55" xfId="0" applyNumberFormat="1" applyFont="1" applyFill="1" applyBorder="1" applyAlignment="1">
      <alignment horizontal="center" vertical="center"/>
    </xf>
    <xf numFmtId="9" fontId="0" fillId="6" borderId="39" xfId="0" applyNumberFormat="1" applyFont="1" applyFill="1" applyBorder="1" applyAlignment="1">
      <alignment horizontal="center" vertical="center"/>
    </xf>
    <xf numFmtId="9" fontId="0" fillId="6" borderId="55" xfId="0" applyNumberFormat="1" applyFont="1" applyFill="1" applyBorder="1" applyAlignment="1">
      <alignment horizontal="center" vertical="center"/>
    </xf>
    <xf numFmtId="0" fontId="7" fillId="6" borderId="39" xfId="0" applyNumberFormat="1" applyFont="1" applyFill="1" applyBorder="1" applyAlignment="1">
      <alignment horizontal="center" vertical="center"/>
    </xf>
    <xf numFmtId="0" fontId="7" fillId="6" borderId="55" xfId="0" applyNumberFormat="1" applyFont="1" applyFill="1" applyBorder="1" applyAlignment="1">
      <alignment horizontal="center" vertical="center"/>
    </xf>
    <xf numFmtId="0" fontId="7" fillId="6" borderId="33" xfId="0" applyNumberFormat="1" applyFont="1" applyFill="1" applyBorder="1" applyAlignment="1">
      <alignment horizontal="center" vertical="center"/>
    </xf>
    <xf numFmtId="0" fontId="11" fillId="6" borderId="56" xfId="0" applyNumberFormat="1" applyFont="1" applyFill="1" applyBorder="1" applyAlignment="1">
      <alignment horizontal="left" vertical="center" indent="1"/>
    </xf>
    <xf numFmtId="0" fontId="11" fillId="6" borderId="57" xfId="0" applyNumberFormat="1" applyFont="1" applyFill="1" applyBorder="1" applyAlignment="1">
      <alignment horizontal="left" vertical="center" indent="1"/>
    </xf>
    <xf numFmtId="3" fontId="11" fillId="6" borderId="56" xfId="0" applyNumberFormat="1" applyFont="1" applyFill="1" applyBorder="1" applyAlignment="1">
      <alignment horizontal="center" vertical="center"/>
    </xf>
    <xf numFmtId="3" fontId="11" fillId="6" borderId="57" xfId="0" applyNumberFormat="1" applyFont="1" applyFill="1" applyBorder="1" applyAlignment="1">
      <alignment horizontal="center" vertical="center"/>
    </xf>
    <xf numFmtId="3" fontId="40" fillId="6" borderId="56" xfId="0" applyNumberFormat="1" applyFont="1" applyFill="1" applyBorder="1" applyAlignment="1">
      <alignment horizontal="center" vertical="center"/>
    </xf>
    <xf numFmtId="3" fontId="40" fillId="6" borderId="57" xfId="0" applyNumberFormat="1" applyFont="1" applyFill="1" applyBorder="1" applyAlignment="1">
      <alignment horizontal="center" vertical="center"/>
    </xf>
    <xf numFmtId="168" fontId="0" fillId="6" borderId="56" xfId="0" applyNumberFormat="1" applyFont="1" applyFill="1" applyBorder="1" applyAlignment="1">
      <alignment horizontal="center" vertical="center"/>
    </xf>
    <xf numFmtId="168" fontId="0" fillId="6" borderId="57" xfId="0" applyNumberFormat="1" applyFont="1" applyFill="1" applyBorder="1" applyAlignment="1">
      <alignment horizontal="center" vertical="center"/>
    </xf>
    <xf numFmtId="3" fontId="0" fillId="6" borderId="56" xfId="0" applyNumberFormat="1" applyFont="1" applyFill="1" applyBorder="1" applyAlignment="1">
      <alignment horizontal="center" vertical="center"/>
    </xf>
    <xf numFmtId="3" fontId="0" fillId="6" borderId="57" xfId="0" applyNumberFormat="1" applyFont="1" applyFill="1" applyBorder="1" applyAlignment="1">
      <alignment horizontal="center" vertical="center"/>
    </xf>
    <xf numFmtId="175" fontId="11" fillId="6" borderId="56" xfId="0" applyNumberFormat="1" applyFont="1" applyFill="1" applyBorder="1" applyAlignment="1">
      <alignment horizontal="center" vertical="center"/>
    </xf>
    <xf numFmtId="175" fontId="11" fillId="6" borderId="57" xfId="0" applyNumberFormat="1" applyFont="1" applyFill="1" applyBorder="1" applyAlignment="1">
      <alignment horizontal="center" vertical="center"/>
    </xf>
    <xf numFmtId="9" fontId="0" fillId="6" borderId="56" xfId="0" applyNumberFormat="1" applyFont="1" applyFill="1" applyBorder="1" applyAlignment="1">
      <alignment horizontal="center" vertical="center"/>
    </xf>
    <xf numFmtId="9" fontId="0" fillId="6" borderId="57" xfId="0" applyNumberFormat="1" applyFont="1" applyFill="1" applyBorder="1" applyAlignment="1">
      <alignment horizontal="center" vertical="center"/>
    </xf>
    <xf numFmtId="0" fontId="7" fillId="6" borderId="56" xfId="0" applyNumberFormat="1" applyFont="1" applyFill="1" applyBorder="1" applyAlignment="1">
      <alignment horizontal="center" vertical="center"/>
    </xf>
    <xf numFmtId="0" fontId="7" fillId="6" borderId="57" xfId="0" applyNumberFormat="1" applyFont="1" applyFill="1" applyBorder="1" applyAlignment="1">
      <alignment horizontal="center" vertical="center"/>
    </xf>
    <xf numFmtId="0" fontId="7" fillId="6" borderId="58" xfId="0" applyNumberFormat="1" applyFont="1" applyFill="1" applyBorder="1" applyAlignment="1">
      <alignment horizontal="center" vertical="center"/>
    </xf>
    <xf numFmtId="168" fontId="40" fillId="6" borderId="56" xfId="0" applyNumberFormat="1" applyFont="1" applyFill="1" applyBorder="1" applyAlignment="1">
      <alignment horizontal="center" vertical="center"/>
    </xf>
    <xf numFmtId="168" fontId="40" fillId="6" borderId="57" xfId="0" applyNumberFormat="1" applyFont="1" applyFill="1" applyBorder="1" applyAlignment="1">
      <alignment horizontal="center" vertical="center"/>
    </xf>
    <xf numFmtId="0" fontId="11" fillId="6" borderId="59" xfId="0" applyNumberFormat="1" applyFont="1" applyFill="1" applyBorder="1" applyAlignment="1">
      <alignment horizontal="left" vertical="center" indent="1"/>
    </xf>
    <xf numFmtId="0" fontId="11" fillId="6" borderId="60" xfId="0" applyNumberFormat="1" applyFont="1" applyFill="1" applyBorder="1" applyAlignment="1">
      <alignment horizontal="left" vertical="center" indent="1"/>
    </xf>
    <xf numFmtId="3" fontId="11" fillId="6" borderId="59" xfId="0" applyNumberFormat="1" applyFont="1" applyFill="1" applyBorder="1" applyAlignment="1">
      <alignment horizontal="center" vertical="center"/>
    </xf>
    <xf numFmtId="3" fontId="11" fillId="6" borderId="60" xfId="0" applyNumberFormat="1" applyFont="1" applyFill="1" applyBorder="1" applyAlignment="1">
      <alignment horizontal="center" vertical="center"/>
    </xf>
    <xf numFmtId="3" fontId="40" fillId="6" borderId="59" xfId="0" applyNumberFormat="1" applyFont="1" applyFill="1" applyBorder="1" applyAlignment="1">
      <alignment horizontal="center" vertical="center"/>
    </xf>
    <xf numFmtId="3" fontId="40" fillId="6" borderId="60" xfId="0" applyNumberFormat="1" applyFont="1" applyFill="1" applyBorder="1" applyAlignment="1">
      <alignment horizontal="center" vertical="center"/>
    </xf>
    <xf numFmtId="168" fontId="0" fillId="6" borderId="59" xfId="0" applyNumberFormat="1" applyFont="1" applyFill="1" applyBorder="1" applyAlignment="1">
      <alignment horizontal="center" vertical="center"/>
    </xf>
    <xf numFmtId="168" fontId="0" fillId="6" borderId="60" xfId="0" applyNumberFormat="1" applyFont="1" applyFill="1" applyBorder="1" applyAlignment="1">
      <alignment horizontal="center" vertical="center"/>
    </xf>
    <xf numFmtId="3" fontId="0" fillId="6" borderId="59" xfId="0" applyNumberFormat="1" applyFont="1" applyFill="1" applyBorder="1" applyAlignment="1">
      <alignment horizontal="center" vertical="center"/>
    </xf>
    <xf numFmtId="3" fontId="0" fillId="6" borderId="60" xfId="0" applyNumberFormat="1" applyFont="1" applyFill="1" applyBorder="1" applyAlignment="1">
      <alignment horizontal="center" vertical="center"/>
    </xf>
    <xf numFmtId="175" fontId="11" fillId="6" borderId="59" xfId="0" applyNumberFormat="1" applyFont="1" applyFill="1" applyBorder="1" applyAlignment="1">
      <alignment horizontal="center" vertical="center"/>
    </xf>
    <xf numFmtId="175" fontId="11" fillId="6" borderId="60" xfId="0" applyNumberFormat="1" applyFont="1" applyFill="1" applyBorder="1" applyAlignment="1">
      <alignment horizontal="center" vertical="center"/>
    </xf>
    <xf numFmtId="9" fontId="0" fillId="6" borderId="59" xfId="0" applyNumberFormat="1" applyFont="1" applyFill="1" applyBorder="1" applyAlignment="1">
      <alignment horizontal="center" vertical="center"/>
    </xf>
    <xf numFmtId="9" fontId="0" fillId="6" borderId="60" xfId="0" applyNumberFormat="1" applyFont="1" applyFill="1" applyBorder="1" applyAlignment="1">
      <alignment horizontal="center" vertical="center"/>
    </xf>
    <xf numFmtId="0" fontId="7" fillId="6" borderId="59" xfId="0" applyNumberFormat="1" applyFont="1" applyFill="1" applyBorder="1" applyAlignment="1">
      <alignment horizontal="center" vertical="center"/>
    </xf>
    <xf numFmtId="0" fontId="7" fillId="6" borderId="60" xfId="0" applyNumberFormat="1" applyFont="1" applyFill="1" applyBorder="1" applyAlignment="1">
      <alignment horizontal="center" vertical="center"/>
    </xf>
    <xf numFmtId="0" fontId="7" fillId="6" borderId="61" xfId="0" applyNumberFormat="1" applyFont="1" applyFill="1" applyBorder="1" applyAlignment="1">
      <alignment horizontal="center" vertical="center"/>
    </xf>
    <xf numFmtId="0" fontId="11" fillId="3" borderId="32" xfId="0" applyNumberFormat="1" applyFont="1" applyFill="1" applyBorder="1" applyAlignment="1">
      <alignment horizontal="center" vertical="center"/>
    </xf>
    <xf numFmtId="0" fontId="11" fillId="3" borderId="62" xfId="0" applyNumberFormat="1" applyFont="1" applyFill="1" applyBorder="1" applyAlignment="1">
      <alignment horizontal="center" vertical="center"/>
    </xf>
    <xf numFmtId="0" fontId="11" fillId="3" borderId="34" xfId="0" applyNumberFormat="1" applyFont="1" applyFill="1" applyBorder="1" applyAlignment="1">
      <alignment horizontal="center" vertical="center"/>
    </xf>
    <xf numFmtId="0" fontId="11" fillId="4" borderId="32" xfId="0" applyNumberFormat="1" applyFont="1" applyFill="1" applyBorder="1" applyAlignment="1">
      <alignment horizontal="center" vertical="center"/>
    </xf>
    <xf numFmtId="0" fontId="11" fillId="4" borderId="62" xfId="0" applyNumberFormat="1" applyFont="1" applyFill="1" applyBorder="1" applyAlignment="1">
      <alignment horizontal="center" vertical="center"/>
    </xf>
    <xf numFmtId="0" fontId="11" fillId="4" borderId="34" xfId="0" applyNumberFormat="1" applyFont="1" applyFill="1" applyBorder="1" applyAlignment="1">
      <alignment horizontal="center" vertical="center"/>
    </xf>
    <xf numFmtId="0" fontId="11" fillId="5" borderId="32" xfId="0" applyNumberFormat="1" applyFont="1" applyFill="1" applyBorder="1" applyAlignment="1">
      <alignment horizontal="center" vertical="center"/>
    </xf>
    <xf numFmtId="0" fontId="11" fillId="5" borderId="62" xfId="0" applyNumberFormat="1" applyFont="1" applyFill="1" applyBorder="1" applyAlignment="1">
      <alignment horizontal="center" vertical="center"/>
    </xf>
    <xf numFmtId="0" fontId="11" fillId="5" borderId="34" xfId="0" applyNumberFormat="1" applyFont="1" applyFill="1" applyBorder="1" applyAlignment="1">
      <alignment horizontal="center" vertical="center"/>
    </xf>
    <xf numFmtId="0" fontId="11" fillId="6" borderId="32" xfId="0" applyNumberFormat="1" applyFont="1" applyFill="1" applyBorder="1" applyAlignment="1">
      <alignment horizontal="center" vertical="center"/>
    </xf>
    <xf numFmtId="0" fontId="11" fillId="6" borderId="62" xfId="0" applyNumberFormat="1" applyFont="1" applyFill="1" applyBorder="1" applyAlignment="1">
      <alignment horizontal="center" vertical="center"/>
    </xf>
    <xf numFmtId="0" fontId="11" fillId="6" borderId="34" xfId="0" applyNumberFormat="1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 wrapText="1"/>
    </xf>
    <xf numFmtId="0" fontId="7" fillId="2" borderId="15" xfId="0" applyNumberFormat="1" applyFont="1" applyFill="1" applyBorder="1" applyAlignment="1">
      <alignment horizontal="center" vertical="center" wrapText="1"/>
    </xf>
    <xf numFmtId="0" fontId="7" fillId="2" borderId="14" xfId="0" applyNumberFormat="1" applyFont="1" applyFill="1" applyBorder="1" applyAlignment="1">
      <alignment horizontal="center" vertical="center" wrapText="1"/>
    </xf>
    <xf numFmtId="0" fontId="7" fillId="16" borderId="53" xfId="0" applyNumberFormat="1" applyFont="1" applyFill="1" applyBorder="1" applyAlignment="1">
      <alignment horizontal="center" vertical="center" wrapText="1"/>
    </xf>
    <xf numFmtId="0" fontId="7" fillId="16" borderId="13" xfId="0" applyNumberFormat="1" applyFont="1" applyFill="1" applyBorder="1" applyAlignment="1">
      <alignment horizontal="center" vertical="center" wrapText="1"/>
    </xf>
    <xf numFmtId="0" fontId="7" fillId="16" borderId="15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alignment horizontal="left" vertical="center"/>
      <protection locked="0"/>
    </xf>
    <xf numFmtId="3" fontId="0" fillId="0" borderId="0" xfId="0" applyNumberFormat="1" applyFont="1" applyFill="1" applyBorder="1" applyAlignment="1" applyProtection="1">
      <alignment horizontal="center" vertical="center"/>
      <protection locked="0"/>
    </xf>
    <xf numFmtId="4" fontId="0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9">
    <dxf>
      <font>
        <b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5F3A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color rgb="FFBFBFBF"/>
      </font>
      <fill>
        <patternFill>
          <bgColor rgb="FFFAFAFA"/>
        </patternFill>
      </fill>
    </dxf>
    <dxf>
      <font>
        <color rgb="FFA6A6A6"/>
      </font>
      <fill>
        <patternFill>
          <bgColor rgb="FFD9D9D9"/>
        </patternFill>
      </fill>
    </dxf>
    <dxf>
      <font>
        <b/>
        <color rgb="FF2F7D4E"/>
      </font>
    </dxf>
    <dxf>
      <font>
        <b/>
        <color rgb="FFC00000"/>
      </font>
    </dxf>
    <dxf>
      <font>
        <b/>
        <color rgb="FFC98A00"/>
      </font>
    </dxf>
    <dxf>
      <font>
        <b/>
        <color rgb="FF2F7D4E"/>
      </font>
      <fill>
        <patternFill>
          <bgColor rgb="FFE2EF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1B1B1F"/>
      </font>
      <fill>
        <patternFill>
          <bgColor rgb="FFD9D9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1F6F43"/>
        </patternFill>
      </fill>
    </dxf>
    <dxf>
      <font>
        <b/>
        <color rgb="FF1F5F3A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calculos!$AQ$12</c:f>
          <c:strCache>
            <c:ptCount val="1"/>
            <c:pt idx="0">
              <c:v>MOVIMENTAÇÃO VEÍCULO/DIA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Config!$D$83</c:f>
              <c:strCache>
                <c:ptCount val="1"/>
                <c:pt idx="0">
                  <c:v>Recebidos (IN)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calculos!$C$12:$C$42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Config!$D$84</c:f>
              <c:strCache>
                <c:ptCount val="1"/>
                <c:pt idx="0">
                  <c:v>Expedidos (OUT)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calculos!$H$12:$H$42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calculos!$AQ$13</c:f>
          <c:strCache>
            <c:ptCount val="1"/>
            <c:pt idx="0">
              <c:v>OCUPAÇÃO DIÁRIA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Config!$D$88</c:f>
              <c:strCache>
                <c:ptCount val="1"/>
                <c:pt idx="0">
                  <c:v>Ocupada (p.p)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calculos!$S$12:$S$42</c:f>
              <c:numCache>
                <c:formatCode>General</c:formatCode>
                <c:ptCount val="31"/>
              </c:numCache>
            </c:numRef>
          </c:val>
        </c:ser>
        <c:gapWidth val="40"/>
        <c:axId val="101"/>
        <c:axId val="102"/>
      </c:barChart>
      <c:lineChart>
        <c:grouping val="standard"/>
        <c:varyColors val="0"/>
        <c:ser>
          <c:idx val="1"/>
          <c:order val="1"/>
          <c:tx>
            <c:strRef>
              <c:f>calculos!$BB$366</c:f>
              <c:strCache>
                <c:ptCount val="1"/>
                <c:pt idx="0">
                  <c:v>Capacidade do armazém (p.p)</c:v>
                </c:pt>
              </c:strCache>
            </c:strRef>
          </c:tx>
          <c:spPr>
            <a:ln w="22225" cap="rnd">
              <a:solidFill>
                <a:srgbClr val="404040"/>
              </a:solidFill>
              <a:prstDash val="sysDot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calculos!$R$12:$R$42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2"/>
          <c:order val="2"/>
          <c:tx>
            <c:v>rótulo</c:v>
          </c:tx>
          <c:spPr>
            <a:ln>
              <a:noFill/>
            </a:ln>
          </c:spPr>
          <c:marker>
            <c:symbol val="none"/>
          </c:marker>
          <c:dLbls>
            <c:numFmt formatCode="#,##0&quot; p.p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262626"/>
                    </a:solidFill>
                    <a:latin typeface="Calibri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calculos!$BC$12:$BC$42</c:f>
              <c:numCache>
                <c:formatCode>General</c:formatCode>
                <c:ptCount val="31"/>
              </c:numCache>
            </c:numRef>
          </c:val>
          <c:smooth val="0"/>
        </c:ser>
        <c:marker val="1"/>
        <c:axId val="101"/>
        <c:axId val="102"/>
      </c:line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&quot; p.p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2"/>
        <c:delete val="1"/>
      </c:legendEntry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calculos!$AQ$14</c:f>
          <c:strCache>
            <c:ptCount val="1"/>
            <c:pt idx="0">
              <c:v>MOVIMENTAÇÃO PALETES/DIA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calculos!$AN$366</c:f>
              <c:strCache>
                <c:ptCount val="1"/>
                <c:pt idx="0">
                  <c:v>Pallets Movimentados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calculos!$AX$12:$AX$42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calculos!$AO$366</c:f>
              <c:strCache>
                <c:ptCount val="1"/>
                <c:pt idx="0">
                  <c:v>Pallets Movimentados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calculos!$AY$12:$AY$42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calculos!$AQ$15</c:f>
          <c:strCache>
            <c:ptCount val="1"/>
            <c:pt idx="0">
              <c:v>MOVIMENTAÇÃO TONS/DIA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calculos!$AV$366</c:f>
              <c:strCache>
                <c:ptCount val="1"/>
                <c:pt idx="0">
                  <c:v>Toneladas Movimentadas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calculos!$AZ$12:$AZ$42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calculos!$AW$366</c:f>
              <c:strCache>
                <c:ptCount val="1"/>
                <c:pt idx="0">
                  <c:v>Toneladas Movimentadas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calculos!$BA$12:$BA$42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calculos!$AQ$16</c:f>
          <c:strCache>
            <c:ptCount val="1"/>
            <c:pt idx="0">
              <c:v>ACUMULADO SEMANAL PALETES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calculos!$AN$366</c:f>
              <c:strCache>
                <c:ptCount val="1"/>
                <c:pt idx="0">
                  <c:v>Pallets Movimentados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calculos!$A$87:$A$91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calculos!$AX$87:$AX$91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calculos!$AO$366</c:f>
              <c:strCache>
                <c:ptCount val="1"/>
                <c:pt idx="0">
                  <c:v>Pallets Movimentados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calculos!$A$87:$A$91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calculos!$AY$87:$AY$91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7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calculos!$AQ$17</c:f>
          <c:strCache>
            <c:ptCount val="1"/>
            <c:pt idx="0">
              <c:v>ACUMULADO SEMANAL TONS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calculos!$AV$366</c:f>
              <c:strCache>
                <c:ptCount val="1"/>
                <c:pt idx="0">
                  <c:v>Toneladas Movimentadas IN</c:v>
                </c:pt>
              </c:strCache>
            </c:strRef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calculos!$A$87:$A$91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calculos!$AZ$87:$AZ$91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calculos!$AW$366</c:f>
              <c:strCache>
                <c:ptCount val="1"/>
                <c:pt idx="0">
                  <c:v>Toneladas Movimentadas OUT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[&gt;=100]#,##0;[&gt;0]#,##0.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calculos!$A$87:$A$91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(29–fim)</c:v>
                </c:pt>
              </c:strCache>
            </c:strRef>
          </c:cat>
          <c:val>
            <c:numRef>
              <c:f>calculos!$BA$87:$BA$91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7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Relationship Id="rId8" Type="http://schemas.openxmlformats.org/officeDocument/2006/relationships/chart" Target="../charts/chart2.xml"/><Relationship Id="rId9" Type="http://schemas.openxmlformats.org/officeDocument/2006/relationships/chart" Target="../charts/chart3.xml"/><Relationship Id="rId10" Type="http://schemas.openxmlformats.org/officeDocument/2006/relationships/chart" Target="../charts/chart4.xml"/><Relationship Id="rId11" Type="http://schemas.openxmlformats.org/officeDocument/2006/relationships/chart" Target="../charts/chart5.xml"/><Relationship Id="rId12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5</xdr:row>
      <xdr:rowOff>104775</xdr:rowOff>
    </xdr:from>
    <xdr:ext cx="514350" cy="381000"/>
    <xdr:pic>
      <xdr:nvPicPr>
        <xdr:cNvPr id="3" name="Imagem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514350" cy="381000"/>
        </a:xfrm>
        <a:prstGeom prst="rect">
          <a:avLst/>
        </a:prstGeom>
      </xdr:spPr>
    </xdr:pic>
    <xdr:clientData/>
  </xdr:oneCellAnchor>
  <xdr:oneCellAnchor>
    <xdr:from>
      <xdr:col>6</xdr:col>
      <xdr:colOff>142875</xdr:colOff>
      <xdr:row>5</xdr:row>
      <xdr:rowOff>104775</xdr:rowOff>
    </xdr:from>
    <xdr:ext cx="438150" cy="381000"/>
    <xdr:pic>
      <xdr:nvPicPr>
        <xdr:cNvPr id="4" name="Imagem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11</xdr:col>
      <xdr:colOff>142875</xdr:colOff>
      <xdr:row>5</xdr:row>
      <xdr:rowOff>104775</xdr:rowOff>
    </xdr:from>
    <xdr:ext cx="438150" cy="381000"/>
    <xdr:pic>
      <xdr:nvPicPr>
        <xdr:cNvPr id="5" name="Imagem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16</xdr:col>
      <xdr:colOff>104775</xdr:colOff>
      <xdr:row>5</xdr:row>
      <xdr:rowOff>104775</xdr:rowOff>
    </xdr:from>
    <xdr:ext cx="504825" cy="381000"/>
    <xdr:pic>
      <xdr:nvPicPr>
        <xdr:cNvPr id="6" name="Imagem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504825" cy="381000"/>
        </a:xfrm>
        <a:prstGeom prst="rect">
          <a:avLst/>
        </a:prstGeom>
      </xdr:spPr>
    </xdr:pic>
    <xdr:clientData/>
  </xdr:oneCellAnchor>
  <xdr:oneCellAnchor>
    <xdr:from>
      <xdr:col>21</xdr:col>
      <xdr:colOff>171450</xdr:colOff>
      <xdr:row>5</xdr:row>
      <xdr:rowOff>104775</xdr:rowOff>
    </xdr:from>
    <xdr:ext cx="381000" cy="381000"/>
    <xdr:pic>
      <xdr:nvPicPr>
        <xdr:cNvPr id="7" name="Imagem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14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8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 editAs="oneCell">
    <xdr:from>
      <xdr:col>14</xdr:col>
      <xdr:colOff>0</xdr:colOff>
      <xdr:row>14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9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10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 editAs="oneCell">
    <xdr:from>
      <xdr:col>14</xdr:col>
      <xdr:colOff>0</xdr:colOff>
      <xdr:row>31</xdr:row>
      <xdr:rowOff>0</xdr:rowOff>
    </xdr:from>
    <xdr:to>
      <xdr:col>25</xdr:col>
      <xdr:colOff>0</xdr:colOff>
      <xdr:row>47</xdr:row>
      <xdr:rowOff>0</xdr:rowOff>
    </xdr:to>
    <xdr:graphicFrame macro="">
      <xdr:nvGraphicFramePr>
        <xdr:cNvPr id="11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13</xdr:col>
      <xdr:colOff>0</xdr:colOff>
      <xdr:row>64</xdr:row>
      <xdr:rowOff>0</xdr:rowOff>
    </xdr:to>
    <xdr:graphicFrame macro="">
      <xdr:nvGraphicFramePr>
        <xdr:cNvPr id="12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1"/>
        </a:graphicData>
      </a:graphic>
    </xdr:graphicFrame>
    <xdr:clientData/>
  </xdr:twoCellAnchor>
  <xdr:twoCellAnchor editAs="oneCell">
    <xdr:from>
      <xdr:col>14</xdr:col>
      <xdr:colOff>0</xdr:colOff>
      <xdr:row>48</xdr:row>
      <xdr:rowOff>0</xdr:rowOff>
    </xdr:from>
    <xdr:to>
      <xdr:col>25</xdr:col>
      <xdr:colOff>0</xdr:colOff>
      <xdr:row>64</xdr:row>
      <xdr:rowOff>0</xdr:rowOff>
    </xdr:to>
    <xdr:graphicFrame macro="">
      <xdr:nvGraphicFramePr>
        <xdr:cNvPr id="13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bBaseJSL" displayName="tbBaseJSL" ref="A2:AC5001" totalsRowShown="0">
  <autoFilter ref="A2:AC5001"/>
  <tableColumns count="29">
    <tableColumn id="1" name="Data"/>
    <tableColumn id="2" name="Cliente"/>
    <tableColumn id="3" name="IN Veículos Recebidos"/>
    <tableColumn id="4" name="IN Pallets Movimentados"/>
    <tableColumn id="5" name="IN Toneladas Movimentadas"/>
    <tableColumn id="6" name="IN Caixas Recebidas"/>
    <tableColumn id="7" name="IN Bags Recebidos"/>
    <tableColumn id="8" name="OUT Veículos Expedidos"/>
    <tableColumn id="9" name="OUT Pallets Movimentados"/>
    <tableColumn id="10" name="OUT Toneladas Movimentadas"/>
    <tableColumn id="11" name="OUT Caixas Expedidas"/>
    <tableColumn id="12" name="OUT Pedidos Faturados"/>
    <tableColumn id="13" name="OUT Bags Expedidos"/>
    <tableColumn id="14" name="NC Incidentes"/>
    <tableColumn id="15" name="NC No show"/>
    <tableColumn id="16" name="NC Backlog Intralog"/>
    <tableColumn id="17" name="NC Backlog Cliente"/>
    <tableColumn id="18" name="Posições Disponíveis"/>
    <tableColumn id="19" name="Posições Ocupadas"/>
    <tableColumn id="20" name="Efetivo Op."/>
    <tableColumn id="21" name="Falta"/>
    <tableColumn id="22" name="Absenteísmo (H/H)"/>
    <tableColumn id="23" name="Folga"/>
    <tableColumn id="24" name="Férias"/>
    <tableColumn id="25" name="Desligamento"/>
    <tableColumn id="26" name="Desvios Comportamentais"/>
    <tableColumn id="27" name="Acidentes CAF"/>
    <tableColumn id="28" name="Acidentes SAF"/>
    <tableColumn id="29" name="Modalidad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MetasJSL" displayName="tbMetasJSL" ref="AE22:AZ49" totalsRowShown="0">
  <autoFilter ref="AE22:AZ49"/>
  <tableColumns count="22">
    <tableColumn id="1" name="Indicador"/>
    <tableColumn id="2" name="Todos"/>
    <tableColumn id="3" name="Barry Callebaut"/>
    <tableColumn id="4" name="GM"/>
    <tableColumn id="5" name="Mondelez"/>
    <tableColumn id="6" name="Nestlé"/>
    <tableColumn id="7" name="PMB"/>
    <tableColumn id="8" name="Vaga 6"/>
    <tableColumn id="9" name="Vaga 7"/>
    <tableColumn id="10" name="Vaga 8"/>
    <tableColumn id="11" name="Vaga 9"/>
    <tableColumn id="12" name="Vaga 10"/>
    <tableColumn id="13" name="Vaga 11"/>
    <tableColumn id="14" name="Vaga 12"/>
    <tableColumn id="15" name="Vaga 13"/>
    <tableColumn id="16" name="Vaga 14"/>
    <tableColumn id="17" name="Vaga 15"/>
    <tableColumn id="18" name="Vaga 16"/>
    <tableColumn id="19" name="Vaga 17"/>
    <tableColumn id="20" name="Vaga 18"/>
    <tableColumn id="21" name="Vaga 19"/>
    <tableColumn id="22" name="Vaga 20"/>
  </tableColumns>
  <tableStyleInfo name="TableStyleLight1"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T1" Type="http://schemas.openxmlformats.org/officeDocument/2006/relationships/table" Target="../tables/table1.xml"/><Relationship Id="rIdT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1E1E"/>
    <pageSetUpPr fitToPage="1"/>
  </sheetPr>
  <dimension ref="A1:Z65"/>
  <sheetViews>
    <sheetView showGridLines="0" tabSelected="1" zoomScale="90" zoomScaleNormal="90" workbookViewId="0"/>
  </sheetViews>
  <sheetFormatPr defaultRowHeight="15"/>
  <cols>
    <col min="1" max="1" width="1.5" customWidth="1"/>
    <col min="2" max="2" width="10" customWidth="1"/>
    <col min="3" max="3" width="10" customWidth="1"/>
    <col min="4" max="4" width="10" customWidth="1"/>
    <col min="5" max="5" width="10" customWidth="1"/>
    <col min="6" max="6" width="1.8" customWidth="1"/>
    <col min="7" max="7" width="10" customWidth="1"/>
    <col min="8" max="8" width="10" customWidth="1"/>
    <col min="9" max="9" width="10" customWidth="1"/>
    <col min="10" max="10" width="10" customWidth="1"/>
    <col min="11" max="11" width="1.8" customWidth="1"/>
    <col min="12" max="12" width="10" customWidth="1"/>
    <col min="13" max="13" width="10" customWidth="1"/>
    <col min="14" max="14" width="10" customWidth="1"/>
    <col min="15" max="15" width="10" customWidth="1"/>
    <col min="16" max="16" width="1.8" customWidth="1"/>
    <col min="17" max="17" width="10" customWidth="1"/>
    <col min="18" max="18" width="10" customWidth="1"/>
    <col min="19" max="19" width="10" customWidth="1"/>
    <col min="20" max="20" width="10" customWidth="1"/>
    <col min="21" max="21" width="1.8" customWidth="1"/>
    <col min="22" max="22" width="10" customWidth="1"/>
    <col min="23" max="23" width="10" customWidth="1"/>
    <col min="24" max="24" width="10" customWidth="1"/>
    <col min="25" max="25" width="10" customWidth="1"/>
    <col min="26" max="26" width="1.5" customWidth="1"/>
  </cols>
  <sheetData>
    <row r="1" ht="34.5" customHeight="1">
      <c r="A1" s="108"/>
      <c r="B1" s="108"/>
      <c r="C1" s="108"/>
      <c r="D1" s="108"/>
      <c r="E1" s="108"/>
      <c r="F1" s="108"/>
      <c r="G1" s="110" t="inlineStr">
        <is>
          <t xml:space="preserve">DASHBOARD · INDICADORES OPERACIONAIS</t>
        </is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3" ht="26" customHeight="1">
      <c r="B3" s="111" t="inlineStr">
        <is>
          <t xml:space="preserve">CLIENTE  ▸</t>
        </is>
      </c>
      <c r="C3" s="111"/>
      <c r="D3" s="112" t="inlineStr">
        <is>
          <t xml:space="preserve">Todos</t>
        </is>
      </c>
      <c r="E3" s="113"/>
      <c r="F3" s="113"/>
      <c r="G3" s="113"/>
      <c r="H3" s="113"/>
      <c r="I3" s="114"/>
      <c r="L3" s="111" t="inlineStr">
        <is>
          <t xml:space="preserve">PERÍODO  ▸</t>
        </is>
      </c>
      <c r="M3" s="111"/>
      <c r="N3" s="111"/>
      <c r="O3" s="111"/>
      <c r="Q3" s="115">
        <v>46296</v>
      </c>
      <c r="R3" s="116"/>
      <c r="S3" s="117"/>
      <c r="T3" s="118" t="inlineStr">
        <is>
          <t xml:space="preserve">até</t>
        </is>
      </c>
      <c r="V3" s="115">
        <v>46326</v>
      </c>
      <c r="W3" s="116"/>
      <c r="X3" s="117"/>
    </row>
    <row r="4" ht="16" customHeight="1">
      <c r="B4" s="119" t="str">
        <f>"Período "&amp;TEXT(calculos!$F$7,"dd/mm")&amp;"/"&amp;YEAR(calculos!$F$7)&amp;" a "&amp;TEXT(calculos!$G$7,"dd/mm")&amp;"/"&amp;YEAR(calculos!$G$7)&amp;"   ·   ▲▼ comparado a "&amp;TEXT(calculos!$F$8,"dd/mm")&amp;"–"&amp;TEXT(calculos!$G$8,"dd/mm")&amp;" (mesmo número de dias)   ·   gráficos diários: "&amp;calculos!$B$7</f>
        <v>Período 01/10/2026 a 31/10/2026   ·   ▲▼ comparado a 31/08–30/09 (mesmo número de dias)   ·   gráficos diários: Outubro/2026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</row>
    <row r="6" ht="46" customHeight="1">
      <c r="B6" s="126"/>
      <c r="C6" s="127" t="str">
        <f>Config!$D$60&amp;""</f>
        <v>RECEBIMENTO (IN)</v>
      </c>
      <c r="D6" s="127"/>
      <c r="E6" s="127"/>
      <c r="G6" s="132"/>
      <c r="H6" s="133" t="str">
        <f>Config!$D$62&amp;""</f>
        <v>EXPEDIÇÃO (OUT)</v>
      </c>
      <c r="I6" s="133"/>
      <c r="J6" s="133"/>
      <c r="L6" s="134"/>
      <c r="M6" s="135" t="str">
        <f>Config!$D$64&amp;""</f>
        <v>NC OPERACIONAL</v>
      </c>
      <c r="N6" s="135"/>
      <c r="O6" s="135"/>
      <c r="Q6" s="126"/>
      <c r="R6" s="127" t="str">
        <f>Config!$D$69&amp;""</f>
        <v>ÍNDICE DE OCUPAÇÃO (P.P)</v>
      </c>
      <c r="S6" s="127"/>
      <c r="T6" s="127"/>
      <c r="V6" s="145"/>
      <c r="W6" s="146" t="str">
        <f>Config!$D$75&amp;""</f>
        <v>GENTE</v>
      </c>
      <c r="X6" s="146"/>
      <c r="Y6" s="146"/>
    </row>
    <row r="7" ht="20" customHeight="1">
      <c r="B7" s="128">
        <f>IF(calculos!$AX$366="Não se aplica","—",calculos!$B$330)</f>
        <v>0</v>
      </c>
      <c r="C7" s="128"/>
      <c r="D7" s="128"/>
      <c r="E7" s="128"/>
      <c r="G7" s="128">
        <f>IF(calculos!$AY$366="Não se aplica","—",calculos!$B$333)</f>
        <v>0</v>
      </c>
      <c r="H7" s="128"/>
      <c r="I7" s="128"/>
      <c r="J7" s="128"/>
      <c r="L7" s="136">
        <f>calculos!$B$336</f>
        <v>0</v>
      </c>
      <c r="M7" s="136"/>
      <c r="N7" s="136"/>
      <c r="O7" s="136"/>
      <c r="Q7" s="137" t="str">
        <f>IF(calculos!$AZ$366="Só ocupadas","CONTRATO",IF(OR(calculos!$AZ$366="Completo",calculos!$AZ$366=""),calculos!$BA$366&amp;"",""))</f>
        <v>ARMAZÉM</v>
      </c>
      <c r="R7" s="137"/>
      <c r="S7" s="141" t="str">
        <f>IF(calculos!$AZ$366="Só ocupadas",IF(calculos!$BC$366="","—",UPPER(calculos!$BC$366)),IF(OR(calculos!$AZ$366="Completo",calculos!$AZ$366=""),calculos!$B$341,""))</f>
        <v/>
      </c>
      <c r="T7" s="141"/>
      <c r="V7" s="137" t="str">
        <f>Config!$D$76&amp;""</f>
        <v>EFETIVO</v>
      </c>
      <c r="W7" s="137"/>
      <c r="X7" s="138" t="str">
        <f>calculos!$B$344</f>
        <v/>
      </c>
      <c r="Y7" s="138"/>
    </row>
    <row r="8" ht="20" customHeight="1">
      <c r="B8" s="128"/>
      <c r="C8" s="128"/>
      <c r="D8" s="128"/>
      <c r="E8" s="128"/>
      <c r="G8" s="128"/>
      <c r="H8" s="128"/>
      <c r="I8" s="128"/>
      <c r="J8" s="128"/>
      <c r="L8" s="136"/>
      <c r="M8" s="136"/>
      <c r="N8" s="136"/>
      <c r="O8" s="136"/>
      <c r="Q8" s="137" t="str">
        <f>IF(calculos!$AZ$366="Não se aplica","",Config!$D$72&amp;"")</f>
        <v>OCUPADA</v>
      </c>
      <c r="R8" s="137"/>
      <c r="S8" s="141" t="str">
        <f>IF(calculos!$AZ$366="Não se aplica","",calculos!$B$340)</f>
        <v/>
      </c>
      <c r="T8" s="141"/>
      <c r="V8" s="137" t="str">
        <f>Config!$D$77&amp;""</f>
        <v>ABSENTEÍSMO (H/H)</v>
      </c>
      <c r="W8" s="137"/>
      <c r="X8" s="147">
        <f>calculos!$B$347</f>
        <v>0</v>
      </c>
      <c r="Y8" s="147"/>
    </row>
    <row r="9" ht="20" customHeight="1">
      <c r="B9" s="128"/>
      <c r="C9" s="128"/>
      <c r="D9" s="128"/>
      <c r="E9" s="128"/>
      <c r="G9" s="128"/>
      <c r="H9" s="128"/>
      <c r="I9" s="128"/>
      <c r="J9" s="128"/>
      <c r="L9" s="129" t="str">
        <f>Config!$D$65&amp;""</f>
        <v>incidentes no período</v>
      </c>
      <c r="M9" s="129"/>
      <c r="N9" s="129"/>
      <c r="O9" s="129"/>
      <c r="Q9" s="137" t="str">
        <f>IF(OR(calculos!$AZ$366="Completo",calculos!$AZ$366=""),Config!$D$73&amp;"","")</f>
        <v>TX OCUPAÇÃO</v>
      </c>
      <c r="R9" s="137"/>
      <c r="S9" s="142" t="str">
        <f>IF(OR(calculos!$AZ$366="Completo",calculos!$AZ$366=""),calculos!$B$342,"")</f>
        <v/>
      </c>
      <c r="T9" s="142"/>
      <c r="V9" s="137" t="str">
        <f>Config!$D$78&amp;""</f>
        <v>FÉRIAS</v>
      </c>
      <c r="W9" s="137"/>
      <c r="X9" s="138">
        <f>calculos!$B$350</f>
        <v>0</v>
      </c>
      <c r="Y9" s="138"/>
    </row>
    <row r="10" ht="20" customHeight="1">
      <c r="B10" s="129" t="str">
        <f>IF(calculos!$AX$366="Não se aplica","não se aplica a este cliente",Config!$D$61&amp;"")</f>
        <v>veículos recebidos</v>
      </c>
      <c r="C10" s="129"/>
      <c r="D10" s="129"/>
      <c r="E10" s="129"/>
      <c r="G10" s="129" t="str">
        <f>IF(calculos!$AY$366="Não se aplica","não se aplica a este cliente",Config!$D$63&amp;"")</f>
        <v>veículos expedidos</v>
      </c>
      <c r="H10" s="129"/>
      <c r="I10" s="129"/>
      <c r="J10" s="129"/>
      <c r="L10" s="137" t="str">
        <f>Config!$D$66&amp;""</f>
        <v>NO SHOW</v>
      </c>
      <c r="M10" s="137"/>
      <c r="N10" s="138">
        <f>calculos!$B$337</f>
        <v>0</v>
      </c>
      <c r="O10" s="138"/>
      <c r="Q10" s="137" t="str">
        <f>IF(OR(calculos!$AZ$366="Completo",calculos!$AZ$366=""),Config!$D$74&amp;"","")</f>
        <v>OCIOSIDADE</v>
      </c>
      <c r="R10" s="137"/>
      <c r="S10" s="143" t="str">
        <f>IF(OR(calculos!$AZ$366="Completo",calculos!$AZ$366=""),calculos!$B$343,"")</f>
        <v/>
      </c>
      <c r="T10" s="143"/>
      <c r="V10" s="137" t="str">
        <f>Config!$D$79&amp;""</f>
        <v>TURNOVER</v>
      </c>
      <c r="W10" s="137"/>
      <c r="X10" s="142" t="str">
        <f>calculos!$B$352</f>
        <v/>
      </c>
      <c r="Y10" s="142"/>
    </row>
    <row r="11" ht="20" customHeight="1">
      <c r="B11" s="130" t="str">
        <f>IF(calculos!$AX$366="Não se aplica","",calculos!$B$364)</f>
        <v>0 pallets movimentados</v>
      </c>
      <c r="C11" s="130"/>
      <c r="D11" s="130"/>
      <c r="E11" s="130"/>
      <c r="G11" s="130" t="str">
        <f>IF(calculos!$AY$366="Não se aplica","",calculos!$F$364)</f>
        <v>0 pallets movimentados</v>
      </c>
      <c r="H11" s="130"/>
      <c r="I11" s="130"/>
      <c r="J11" s="130"/>
      <c r="L11" s="137" t="str">
        <f>Config!$D$67&amp;""</f>
        <v>BACKLOG INTRALOG</v>
      </c>
      <c r="M11" s="137"/>
      <c r="N11" s="138" t="str">
        <f>calculos!$B$338</f>
        <v/>
      </c>
      <c r="O11" s="138"/>
      <c r="Q11" s="144" t="str">
        <f>IF(calculos!$AZ$366="Não se aplica","não se aplica a este cliente",IF(calculos!$AZ$366="Só ocupadas","posições ocupadas · contrato "&amp;IF(calculos!$BC$366="","não informado",calculos!$BC$366),IF(ISNUMBER(calculos!$B$342),"taxa de ocupação · "&amp;IF(calculos!$B$342&gt;1,"excede o contratado",IF(calculos!$B$342&gt;=calculos!$B$6,"ocupação alta",IF(calculos!$B$342&gt;=calculos!$B$5,"ocupação média","ociosidade alta"))),"")))</f>
        <v/>
      </c>
      <c r="R11" s="144"/>
      <c r="S11" s="144"/>
      <c r="T11" s="144"/>
      <c r="V11" s="137" t="str">
        <f>Config!$D$80&amp;""</f>
        <v>DESVIOS COMPORTAM.</v>
      </c>
      <c r="W11" s="137"/>
      <c r="X11" s="138">
        <f>calculos!$B$353</f>
        <v>0</v>
      </c>
      <c r="Y11" s="138"/>
    </row>
    <row r="12" ht="20" customHeight="1">
      <c r="B12" s="130" t="str">
        <f>IF(calculos!$AX$366="Não se aplica","",calculos!$D$364)</f>
        <v>0,0 t movimentadas</v>
      </c>
      <c r="C12" s="130"/>
      <c r="D12" s="130"/>
      <c r="E12" s="130"/>
      <c r="G12" s="130" t="str">
        <f>IF(calculos!$AY$366="Não se aplica","",calculos!$H$364)</f>
        <v>0,0 t movimentadas</v>
      </c>
      <c r="H12" s="130"/>
      <c r="I12" s="130"/>
      <c r="J12" s="130"/>
      <c r="L12" s="139" t="str">
        <f>Config!$D$68&amp;""</f>
        <v>BACKLOG CLIENTE</v>
      </c>
      <c r="M12" s="139"/>
      <c r="N12" s="140" t="str">
        <f>calculos!$B$339</f>
        <v/>
      </c>
      <c r="O12" s="140"/>
      <c r="Q12" s="144"/>
      <c r="R12" s="144"/>
      <c r="S12" s="144"/>
      <c r="T12" s="144"/>
      <c r="V12" s="139" t="str">
        <f>Config!$D$81&amp;""</f>
        <v>ACIDENTES (CAF/SAF)</v>
      </c>
      <c r="W12" s="139"/>
      <c r="X12" s="148" t="str">
        <f>N(calculos!$B$354)&amp;" / "&amp;N(calculos!$B$355)</f>
        <v>0 / 0</v>
      </c>
      <c r="Y12" s="148"/>
    </row>
    <row r="13" ht="18" customHeight="1">
      <c r="B13" s="131" t="str">
        <f>IF(calculos!$AX$366="Não se aplica","",calculos!$D$330)</f>
        <v/>
      </c>
      <c r="C13" s="131"/>
      <c r="D13" s="131"/>
      <c r="E13" s="131"/>
      <c r="G13" s="131" t="str">
        <f>IF(calculos!$AY$366="Não se aplica","",calculos!$D$333)</f>
        <v/>
      </c>
      <c r="H13" s="131"/>
      <c r="I13" s="131"/>
      <c r="J13" s="131"/>
      <c r="L13" s="131" t="str">
        <f>calculos!$D$336</f>
        <v/>
      </c>
      <c r="M13" s="131"/>
      <c r="N13" s="131"/>
      <c r="O13" s="131"/>
      <c r="Q13" s="131" t="str">
        <f>IF(AND(calculos!$AZ$366&lt;&gt;"Completo",calculos!$AZ$366&lt;&gt;""),"",calculos!$D$342)</f>
        <v/>
      </c>
      <c r="R13" s="131"/>
      <c r="S13" s="131"/>
      <c r="T13" s="131"/>
      <c r="V13" s="131" t="str">
        <f>calculos!$D$344</f>
        <v/>
      </c>
      <c r="W13" s="131"/>
      <c r="X13" s="131"/>
      <c r="Y13" s="131"/>
    </row>
    <row r="65">
      <c r="B65" s="149" t="inlineStr">
        <is>
          <t xml:space="preserve">Cards: período digitado (dia inicial e final). Gráficos: mês do dia inicial. Absenteísmo (H/H) = horas de ausência lançadas na BD (soma do período) · Turnover = desligamentos ÷ efetivo · CAF/SAF = acidentes com / sem afastamento. Metas: aba BD.</t>
        </is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</row>
  </sheetData>
  <sheetProtection password="CC30" sheet="1" objects="1" scenarios="1"/>
  <mergeCells count="55">
    <mergeCell ref="G1:Z1"/>
    <mergeCell ref="B3:C3"/>
    <mergeCell ref="D3:I3"/>
    <mergeCell ref="L3:O3"/>
    <mergeCell ref="Q3:S3"/>
    <mergeCell ref="V3:X3"/>
    <mergeCell ref="B4:Y4"/>
    <mergeCell ref="C6:E6"/>
    <mergeCell ref="B7:E9"/>
    <mergeCell ref="B10:E10"/>
    <mergeCell ref="B11:E11"/>
    <mergeCell ref="B12:E12"/>
    <mergeCell ref="B13:E13"/>
    <mergeCell ref="H6:J6"/>
    <mergeCell ref="G7:J9"/>
    <mergeCell ref="G10:J10"/>
    <mergeCell ref="G11:J11"/>
    <mergeCell ref="G12:J12"/>
    <mergeCell ref="G13:J13"/>
    <mergeCell ref="M6:O6"/>
    <mergeCell ref="L7:O8"/>
    <mergeCell ref="L9:O9"/>
    <mergeCell ref="L10:M10"/>
    <mergeCell ref="N10:O10"/>
    <mergeCell ref="L11:M11"/>
    <mergeCell ref="N11:O11"/>
    <mergeCell ref="L12:M12"/>
    <mergeCell ref="N12:O12"/>
    <mergeCell ref="L13:O13"/>
    <mergeCell ref="R6:T6"/>
    <mergeCell ref="Q7:R7"/>
    <mergeCell ref="S7:T7"/>
    <mergeCell ref="Q8:R8"/>
    <mergeCell ref="S8:T8"/>
    <mergeCell ref="Q9:R9"/>
    <mergeCell ref="S9:T9"/>
    <mergeCell ref="Q10:R10"/>
    <mergeCell ref="S10:T10"/>
    <mergeCell ref="Q11:T12"/>
    <mergeCell ref="Q13:T13"/>
    <mergeCell ref="W6:Y6"/>
    <mergeCell ref="V7:W7"/>
    <mergeCell ref="X7:Y7"/>
    <mergeCell ref="V8:W8"/>
    <mergeCell ref="X8:Y8"/>
    <mergeCell ref="V9:W9"/>
    <mergeCell ref="X9:Y9"/>
    <mergeCell ref="V10:W10"/>
    <mergeCell ref="X10:Y10"/>
    <mergeCell ref="V11:W11"/>
    <mergeCell ref="X11:Y11"/>
    <mergeCell ref="V12:W12"/>
    <mergeCell ref="X12:Y12"/>
    <mergeCell ref="V13:Y13"/>
    <mergeCell ref="B65:Y65"/>
  </mergeCells>
  <conditionalFormatting sqref="B13">
    <cfRule type="expression" dxfId="7" priority="1">
      <formula>AND(ISNUMBER(B13),B13&gt;0)</formula>
    </cfRule>
  </conditionalFormatting>
  <conditionalFormatting sqref="B13">
    <cfRule type="expression" dxfId="8" priority="2">
      <formula>AND(ISNUMBER(B13),B13&lt;0)</formula>
    </cfRule>
  </conditionalFormatting>
  <conditionalFormatting sqref="G13">
    <cfRule type="expression" dxfId="7" priority="3">
      <formula>AND(ISNUMBER(G13),G13&gt;0)</formula>
    </cfRule>
  </conditionalFormatting>
  <conditionalFormatting sqref="G13">
    <cfRule type="expression" dxfId="8" priority="4">
      <formula>AND(ISNUMBER(G13),G13&lt;0)</formula>
    </cfRule>
  </conditionalFormatting>
  <conditionalFormatting sqref="L13">
    <cfRule type="expression" dxfId="7" priority="5">
      <formula>AND(ISNUMBER(L13),L13&lt;0)</formula>
    </cfRule>
  </conditionalFormatting>
  <conditionalFormatting sqref="L13">
    <cfRule type="expression" dxfId="8" priority="6">
      <formula>AND(ISNUMBER(L13),L13&gt;0)</formula>
    </cfRule>
  </conditionalFormatting>
  <conditionalFormatting sqref="S9">
    <cfRule type="expression" dxfId="7" priority="7" stopIfTrue="1">
      <formula>AND(ISNUMBER(S9),S9&gt;=calculos!$B$6)</formula>
    </cfRule>
  </conditionalFormatting>
  <conditionalFormatting sqref="S9">
    <cfRule type="expression" dxfId="9" priority="8" stopIfTrue="1">
      <formula>AND(ISNUMBER(S9),S9&gt;=calculos!$B$5)</formula>
    </cfRule>
  </conditionalFormatting>
  <conditionalFormatting sqref="S9">
    <cfRule type="expression" dxfId="8" priority="9">
      <formula>ISNUMBER(S9)</formula>
    </cfRule>
  </conditionalFormatting>
  <conditionalFormatting sqref="X11">
    <cfRule type="expression" dxfId="8" priority="10" stopIfTrue="1">
      <formula>N(calculos!$B$353)&gt;0</formula>
    </cfRule>
  </conditionalFormatting>
  <conditionalFormatting sqref="X11">
    <cfRule type="expression" dxfId="7" priority="11">
      <formula>N(calculos!$B$353)=0</formula>
    </cfRule>
  </conditionalFormatting>
  <conditionalFormatting sqref="X12">
    <cfRule type="expression" dxfId="8" priority="12" stopIfTrue="1">
      <formula>N(calculos!$B$354)+N(calculos!$B$355)&gt;0</formula>
    </cfRule>
  </conditionalFormatting>
  <conditionalFormatting sqref="X12">
    <cfRule type="expression" dxfId="7" priority="13">
      <formula>N(calculos!$B$354)+N(calculos!$B$355)=0</formula>
    </cfRule>
  </conditionalFormatting>
  <dataValidations count="3">
    <dataValidation type="list" allowBlank="1" showInputMessage="1" showErrorMessage="1" promptTitle="Cliente" prompt="Escolha na lista. Cards e gráficos se atualizam." errorTitle="Valor inválido" error="Escolha um valor da lista." sqref="D3">
      <formula1>OFFSET(calculos!$AN$12,0,0,1+calculos!$AN$10,1)</formula1>
    </dataValidation>
    <dataValidation type="date" operator="greaterThanOrEqual" allowBlank="1" showInputMessage="1" showErrorMessage="1" promptTitle="Dia inicial" prompt="Digite a data inicial (dd/mm/aaaa)." errorTitle="Valor inválido" error="Digite uma data válida (dd/mm/aaaa)." sqref="Q3">
      <formula1>43831</formula1>
    </dataValidation>
    <dataValidation type="date" operator="greaterThanOrEqual" allowBlank="1" showInputMessage="1" showErrorMessage="1" promptTitle="Dia final" prompt="Digite a data final (dd/mm/aaaa)." errorTitle="Valor inválido" error="Digite uma data válida (dd/mm/aaaa)." sqref="V3">
      <formula1>43831</formula1>
    </dataValidation>
  </dataValidations>
  <pageMargins left="0.25" right="0.25" top="0.4" bottom="0.4" header="0.2" footer="0.2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AK547"/>
  <sheetViews>
    <sheetView showGridLines="0" zoomScale="100" zoomScaleNormal="100" workbookViewId="0">
      <pane xSplit="5" ySplit="4" topLeftCell="F5" activePane="bottomRight" state="frozen"/>
      <selection pane="bottomRight" activeCell="F5" sqref="F5"/>
    </sheetView>
  </sheetViews>
  <sheetFormatPr defaultRowHeight="15"/>
  <cols>
    <col min="1" max="1" width="13" customWidth="1"/>
    <col min="2" max="2" width="17.3" customWidth="1"/>
    <col min="3" max="3" width="24" customWidth="1"/>
    <col min="4" max="4" width="8" customWidth="1"/>
    <col min="5" max="5" width="1.6" customWidth="1"/>
    <col min="6" max="6" width="6.3" customWidth="1"/>
    <col min="7" max="7" width="6.3" customWidth="1"/>
    <col min="8" max="8" width="6.3" customWidth="1"/>
    <col min="9" max="9" width="6.3" customWidth="1"/>
    <col min="10" max="10" width="6.3" customWidth="1"/>
    <col min="11" max="11" width="6.3" customWidth="1"/>
    <col min="12" max="12" width="6.3" customWidth="1"/>
    <col min="13" max="13" width="6.3" customWidth="1"/>
    <col min="14" max="14" width="6.3" customWidth="1"/>
    <col min="15" max="15" width="6.3" customWidth="1"/>
    <col min="16" max="16" width="6.3" customWidth="1"/>
    <col min="17" max="17" width="6.3" customWidth="1"/>
    <col min="18" max="18" width="6.3" customWidth="1"/>
    <col min="19" max="19" width="6.3" customWidth="1"/>
    <col min="20" max="20" width="6.3" customWidth="1"/>
    <col min="21" max="21" width="6.3" customWidth="1"/>
    <col min="22" max="22" width="6.3" customWidth="1"/>
    <col min="23" max="23" width="6.3" customWidth="1"/>
    <col min="24" max="24" width="6.3" customWidth="1"/>
    <col min="25" max="25" width="6.3" customWidth="1"/>
    <col min="26" max="26" width="6.3" customWidth="1"/>
    <col min="27" max="27" width="6.3" customWidth="1"/>
    <col min="28" max="28" width="6.3" customWidth="1"/>
    <col min="29" max="29" width="6.3" customWidth="1"/>
    <col min="30" max="30" width="6.3" customWidth="1"/>
    <col min="31" max="31" width="6.3" customWidth="1"/>
    <col min="32" max="32" width="6.3" customWidth="1"/>
    <col min="33" max="33" width="6.3" customWidth="1"/>
    <col min="34" max="34" width="6.3" customWidth="1"/>
    <col min="35" max="35" width="6.3" customWidth="1"/>
    <col min="36" max="36" width="6.3" customWidth="1"/>
    <col min="37" max="37" width="9.5" customWidth="1"/>
  </cols>
  <sheetData>
    <row r="1" ht="34.5" customHeight="1">
      <c r="A1" s="108"/>
      <c r="B1" s="108"/>
      <c r="C1" s="108"/>
      <c r="D1" s="108"/>
      <c r="E1" s="108"/>
      <c r="F1" s="108"/>
      <c r="G1" s="150" t="inlineStr">
        <is>
          <t xml:space="preserve">MONITORAMENTO DIÁRIO DE PERFORMANCE</t>
        </is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1" t="inlineStr">
        <is>
          <t xml:space="preserve">OUTUBRO · 2026</t>
        </is>
      </c>
      <c r="AF1" s="151"/>
      <c r="AG1" s="151"/>
      <c r="AH1" s="151"/>
      <c r="AI1" s="151"/>
      <c r="AJ1" s="151"/>
      <c r="AK1" s="151"/>
    </row>
    <row r="2" ht="19.5" customHeight="1">
      <c r="A2" s="152" t="inlineStr">
        <is>
          <t xml:space="preserve">CLIENTE</t>
        </is>
      </c>
      <c r="B2" s="154" t="inlineStr">
        <is>
          <t xml:space="preserve">INDICADORES</t>
        </is>
      </c>
      <c r="C2" s="155"/>
      <c r="D2" s="158" t="inlineStr">
        <is>
          <t xml:space="preserve">META</t>
        </is>
      </c>
      <c r="F2" s="160" t="inlineStr">
        <is>
          <t xml:space="preserve">REALIZADO P/DIA</t>
        </is>
      </c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2"/>
      <c r="AK2" s="163" t="inlineStr">
        <is>
          <t xml:space="preserve">MÊS</t>
        </is>
      </c>
    </row>
    <row r="3" ht="13.5" customHeight="1">
      <c r="A3" s="153"/>
      <c r="B3" s="156"/>
      <c r="C3" s="157"/>
      <c r="D3" s="159"/>
      <c r="F3" s="165">
        <f>IF(ISNUMBER($AE$1),DATE(YEAR($AE$1),MONTH($AE$1),1),IFERROR(DATE(VALUE(RIGHT(TRIM($AE$1),4)),MATCH(TRIM(LEFT($AE$1,FIND("·",$AE$1)-1)),{"JANEIRO","FEVEREIRO","MARÇO","ABRIL","MAIO","JUNHO","JULHO","AGOSTO","SETEMBRO","OUTUBRO","NOVEMBRO","DEZEMBRO"},0),1),DATE(2026,10,1)))</f>
        <v>46296</v>
      </c>
      <c r="G3" s="166">
        <f>IF(F3="","",IF(MONTH(F3+1)=MONTH($F$3),F3+1,""))</f>
        <v>46297</v>
      </c>
      <c r="H3" s="166">
        <f>IF(G3="","",IF(MONTH(G3+1)=MONTH($F$3),G3+1,""))</f>
        <v>46298</v>
      </c>
      <c r="I3" s="166">
        <f>IF(H3="","",IF(MONTH(H3+1)=MONTH($F$3),H3+1,""))</f>
        <v>46299</v>
      </c>
      <c r="J3" s="166">
        <f>IF(I3="","",IF(MONTH(I3+1)=MONTH($F$3),I3+1,""))</f>
        <v>46300</v>
      </c>
      <c r="K3" s="166">
        <f>IF(J3="","",IF(MONTH(J3+1)=MONTH($F$3),J3+1,""))</f>
        <v>46301</v>
      </c>
      <c r="L3" s="166">
        <f>IF(K3="","",IF(MONTH(K3+1)=MONTH($F$3),K3+1,""))</f>
        <v>46302</v>
      </c>
      <c r="M3" s="166">
        <f>IF(L3="","",IF(MONTH(L3+1)=MONTH($F$3),L3+1,""))</f>
        <v>46303</v>
      </c>
      <c r="N3" s="166">
        <f>IF(M3="","",IF(MONTH(M3+1)=MONTH($F$3),M3+1,""))</f>
        <v>46304</v>
      </c>
      <c r="O3" s="166">
        <f>IF(N3="","",IF(MONTH(N3+1)=MONTH($F$3),N3+1,""))</f>
        <v>46305</v>
      </c>
      <c r="P3" s="166">
        <f>IF(O3="","",IF(MONTH(O3+1)=MONTH($F$3),O3+1,""))</f>
        <v>46306</v>
      </c>
      <c r="Q3" s="166">
        <f>IF(P3="","",IF(MONTH(P3+1)=MONTH($F$3),P3+1,""))</f>
        <v>46307</v>
      </c>
      <c r="R3" s="166">
        <f>IF(Q3="","",IF(MONTH(Q3+1)=MONTH($F$3),Q3+1,""))</f>
        <v>46308</v>
      </c>
      <c r="S3" s="166">
        <f>IF(R3="","",IF(MONTH(R3+1)=MONTH($F$3),R3+1,""))</f>
        <v>46309</v>
      </c>
      <c r="T3" s="166">
        <f>IF(S3="","",IF(MONTH(S3+1)=MONTH($F$3),S3+1,""))</f>
        <v>46310</v>
      </c>
      <c r="U3" s="166">
        <f>IF(T3="","",IF(MONTH(T3+1)=MONTH($F$3),T3+1,""))</f>
        <v>46311</v>
      </c>
      <c r="V3" s="166">
        <f>IF(U3="","",IF(MONTH(U3+1)=MONTH($F$3),U3+1,""))</f>
        <v>46312</v>
      </c>
      <c r="W3" s="166">
        <f>IF(V3="","",IF(MONTH(V3+1)=MONTH($F$3),V3+1,""))</f>
        <v>46313</v>
      </c>
      <c r="X3" s="166">
        <f>IF(W3="","",IF(MONTH(W3+1)=MONTH($F$3),W3+1,""))</f>
        <v>46314</v>
      </c>
      <c r="Y3" s="166">
        <f>IF(X3="","",IF(MONTH(X3+1)=MONTH($F$3),X3+1,""))</f>
        <v>46315</v>
      </c>
      <c r="Z3" s="166">
        <f>IF(Y3="","",IF(MONTH(Y3+1)=MONTH($F$3),Y3+1,""))</f>
        <v>46316</v>
      </c>
      <c r="AA3" s="166">
        <f>IF(Z3="","",IF(MONTH(Z3+1)=MONTH($F$3),Z3+1,""))</f>
        <v>46317</v>
      </c>
      <c r="AB3" s="166">
        <f>IF(AA3="","",IF(MONTH(AA3+1)=MONTH($F$3),AA3+1,""))</f>
        <v>46318</v>
      </c>
      <c r="AC3" s="166">
        <f>IF(AB3="","",IF(MONTH(AB3+1)=MONTH($F$3),AB3+1,""))</f>
        <v>46319</v>
      </c>
      <c r="AD3" s="166">
        <f>IF(AC3="","",IF(MONTH(AC3+1)=MONTH($F$3),AC3+1,""))</f>
        <v>46320</v>
      </c>
      <c r="AE3" s="166">
        <f>IF(AD3="","",IF(MONTH(AD3+1)=MONTH($F$3),AD3+1,""))</f>
        <v>46321</v>
      </c>
      <c r="AF3" s="166">
        <f>IF(AE3="","",IF(MONTH(AE3+1)=MONTH($F$3),AE3+1,""))</f>
        <v>46322</v>
      </c>
      <c r="AG3" s="166">
        <f>IF(AF3="","",IF(MONTH(AF3+1)=MONTH($F$3),AF3+1,""))</f>
        <v>46323</v>
      </c>
      <c r="AH3" s="166">
        <f>IF(AG3="","",IF(MONTH(AG3+1)=MONTH($F$3),AG3+1,""))</f>
        <v>46324</v>
      </c>
      <c r="AI3" s="166">
        <f>IF(AH3="","",IF(MONTH(AH3+1)=MONTH($F$3),AH3+1,""))</f>
        <v>46325</v>
      </c>
      <c r="AJ3" s="167">
        <f>IF(AI3="","",IF(MONTH(AI3+1)=MONTH($F$3),AI3+1,""))</f>
        <v>46326</v>
      </c>
      <c r="AK3" s="164"/>
    </row>
    <row r="5" ht="15.75" customHeight="1">
      <c r="A5" s="276" t="inlineStr">
        <is>
          <t xml:space="preserve">Barry Callebaut</t>
        </is>
      </c>
      <c r="B5" s="264" t="inlineStr">
        <is>
          <t xml:space="preserve">IN</t>
        </is>
      </c>
      <c r="C5" s="168" t="inlineStr">
        <is>
          <t xml:space="preserve">Veículos Recebidos</t>
        </is>
      </c>
      <c r="D5" s="169" t="str">
        <f>IFERROR(1/(1/INDEX(BD!$AF$23:$AZ$23,MATCH($A$5,BD!$AF$22:$AZ$22,0))),"")</f>
        <v/>
      </c>
      <c r="E5" s="170"/>
      <c r="F5" s="171" t="str">
        <f>IF(F$3="","",IF(COUNTIFS(BD!$A$3:$A$5001,F$3,BD!$B$3:$B$5001,$A$5,BD!$C$3:$C$5001,"&lt;&gt;")=0,"",SUMIFS(BD!$C$3:$C$5001,BD!$A$3:$A$5001,F$3,BD!$B$3:$B$5001,$A$5)))</f>
        <v/>
      </c>
      <c r="G5" s="172" t="str">
        <f>IF(G$3="","",IF(COUNTIFS(BD!$A$3:$A$5001,G$3,BD!$B$3:$B$5001,$A$5,BD!$C$3:$C$5001,"&lt;&gt;")=0,"",SUMIFS(BD!$C$3:$C$5001,BD!$A$3:$A$5001,G$3,BD!$B$3:$B$5001,$A$5)))</f>
        <v/>
      </c>
      <c r="H5" s="172" t="str">
        <f>IF(H$3="","",IF(COUNTIFS(BD!$A$3:$A$5001,H$3,BD!$B$3:$B$5001,$A$5,BD!$C$3:$C$5001,"&lt;&gt;")=0,"",SUMIFS(BD!$C$3:$C$5001,BD!$A$3:$A$5001,H$3,BD!$B$3:$B$5001,$A$5)))</f>
        <v/>
      </c>
      <c r="I5" s="172" t="str">
        <f>IF(I$3="","",IF(COUNTIFS(BD!$A$3:$A$5001,I$3,BD!$B$3:$B$5001,$A$5,BD!$C$3:$C$5001,"&lt;&gt;")=0,"",SUMIFS(BD!$C$3:$C$5001,BD!$A$3:$A$5001,I$3,BD!$B$3:$B$5001,$A$5)))</f>
        <v/>
      </c>
      <c r="J5" s="172" t="str">
        <f>IF(J$3="","",IF(COUNTIFS(BD!$A$3:$A$5001,J$3,BD!$B$3:$B$5001,$A$5,BD!$C$3:$C$5001,"&lt;&gt;")=0,"",SUMIFS(BD!$C$3:$C$5001,BD!$A$3:$A$5001,J$3,BD!$B$3:$B$5001,$A$5)))</f>
        <v/>
      </c>
      <c r="K5" s="172" t="str">
        <f>IF(K$3="","",IF(COUNTIFS(BD!$A$3:$A$5001,K$3,BD!$B$3:$B$5001,$A$5,BD!$C$3:$C$5001,"&lt;&gt;")=0,"",SUMIFS(BD!$C$3:$C$5001,BD!$A$3:$A$5001,K$3,BD!$B$3:$B$5001,$A$5)))</f>
        <v/>
      </c>
      <c r="L5" s="172" t="str">
        <f>IF(L$3="","",IF(COUNTIFS(BD!$A$3:$A$5001,L$3,BD!$B$3:$B$5001,$A$5,BD!$C$3:$C$5001,"&lt;&gt;")=0,"",SUMIFS(BD!$C$3:$C$5001,BD!$A$3:$A$5001,L$3,BD!$B$3:$B$5001,$A$5)))</f>
        <v/>
      </c>
      <c r="M5" s="172" t="str">
        <f>IF(M$3="","",IF(COUNTIFS(BD!$A$3:$A$5001,M$3,BD!$B$3:$B$5001,$A$5,BD!$C$3:$C$5001,"&lt;&gt;")=0,"",SUMIFS(BD!$C$3:$C$5001,BD!$A$3:$A$5001,M$3,BD!$B$3:$B$5001,$A$5)))</f>
        <v/>
      </c>
      <c r="N5" s="172" t="str">
        <f>IF(N$3="","",IF(COUNTIFS(BD!$A$3:$A$5001,N$3,BD!$B$3:$B$5001,$A$5,BD!$C$3:$C$5001,"&lt;&gt;")=0,"",SUMIFS(BD!$C$3:$C$5001,BD!$A$3:$A$5001,N$3,BD!$B$3:$B$5001,$A$5)))</f>
        <v/>
      </c>
      <c r="O5" s="172" t="str">
        <f>IF(O$3="","",IF(COUNTIFS(BD!$A$3:$A$5001,O$3,BD!$B$3:$B$5001,$A$5,BD!$C$3:$C$5001,"&lt;&gt;")=0,"",SUMIFS(BD!$C$3:$C$5001,BD!$A$3:$A$5001,O$3,BD!$B$3:$B$5001,$A$5)))</f>
        <v/>
      </c>
      <c r="P5" s="172" t="str">
        <f>IF(P$3="","",IF(COUNTIFS(BD!$A$3:$A$5001,P$3,BD!$B$3:$B$5001,$A$5,BD!$C$3:$C$5001,"&lt;&gt;")=0,"",SUMIFS(BD!$C$3:$C$5001,BD!$A$3:$A$5001,P$3,BD!$B$3:$B$5001,$A$5)))</f>
        <v/>
      </c>
      <c r="Q5" s="172" t="str">
        <f>IF(Q$3="","",IF(COUNTIFS(BD!$A$3:$A$5001,Q$3,BD!$B$3:$B$5001,$A$5,BD!$C$3:$C$5001,"&lt;&gt;")=0,"",SUMIFS(BD!$C$3:$C$5001,BD!$A$3:$A$5001,Q$3,BD!$B$3:$B$5001,$A$5)))</f>
        <v/>
      </c>
      <c r="R5" s="172" t="str">
        <f>IF(R$3="","",IF(COUNTIFS(BD!$A$3:$A$5001,R$3,BD!$B$3:$B$5001,$A$5,BD!$C$3:$C$5001,"&lt;&gt;")=0,"",SUMIFS(BD!$C$3:$C$5001,BD!$A$3:$A$5001,R$3,BD!$B$3:$B$5001,$A$5)))</f>
        <v/>
      </c>
      <c r="S5" s="172" t="str">
        <f>IF(S$3="","",IF(COUNTIFS(BD!$A$3:$A$5001,S$3,BD!$B$3:$B$5001,$A$5,BD!$C$3:$C$5001,"&lt;&gt;")=0,"",SUMIFS(BD!$C$3:$C$5001,BD!$A$3:$A$5001,S$3,BD!$B$3:$B$5001,$A$5)))</f>
        <v/>
      </c>
      <c r="T5" s="172" t="str">
        <f>IF(T$3="","",IF(COUNTIFS(BD!$A$3:$A$5001,T$3,BD!$B$3:$B$5001,$A$5,BD!$C$3:$C$5001,"&lt;&gt;")=0,"",SUMIFS(BD!$C$3:$C$5001,BD!$A$3:$A$5001,T$3,BD!$B$3:$B$5001,$A$5)))</f>
        <v/>
      </c>
      <c r="U5" s="172" t="str">
        <f>IF(U$3="","",IF(COUNTIFS(BD!$A$3:$A$5001,U$3,BD!$B$3:$B$5001,$A$5,BD!$C$3:$C$5001,"&lt;&gt;")=0,"",SUMIFS(BD!$C$3:$C$5001,BD!$A$3:$A$5001,U$3,BD!$B$3:$B$5001,$A$5)))</f>
        <v/>
      </c>
      <c r="V5" s="172" t="str">
        <f>IF(V$3="","",IF(COUNTIFS(BD!$A$3:$A$5001,V$3,BD!$B$3:$B$5001,$A$5,BD!$C$3:$C$5001,"&lt;&gt;")=0,"",SUMIFS(BD!$C$3:$C$5001,BD!$A$3:$A$5001,V$3,BD!$B$3:$B$5001,$A$5)))</f>
        <v/>
      </c>
      <c r="W5" s="172" t="str">
        <f>IF(W$3="","",IF(COUNTIFS(BD!$A$3:$A$5001,W$3,BD!$B$3:$B$5001,$A$5,BD!$C$3:$C$5001,"&lt;&gt;")=0,"",SUMIFS(BD!$C$3:$C$5001,BD!$A$3:$A$5001,W$3,BD!$B$3:$B$5001,$A$5)))</f>
        <v/>
      </c>
      <c r="X5" s="172" t="str">
        <f>IF(X$3="","",IF(COUNTIFS(BD!$A$3:$A$5001,X$3,BD!$B$3:$B$5001,$A$5,BD!$C$3:$C$5001,"&lt;&gt;")=0,"",SUMIFS(BD!$C$3:$C$5001,BD!$A$3:$A$5001,X$3,BD!$B$3:$B$5001,$A$5)))</f>
        <v/>
      </c>
      <c r="Y5" s="172" t="str">
        <f>IF(Y$3="","",IF(COUNTIFS(BD!$A$3:$A$5001,Y$3,BD!$B$3:$B$5001,$A$5,BD!$C$3:$C$5001,"&lt;&gt;")=0,"",SUMIFS(BD!$C$3:$C$5001,BD!$A$3:$A$5001,Y$3,BD!$B$3:$B$5001,$A$5)))</f>
        <v/>
      </c>
      <c r="Z5" s="172" t="str">
        <f>IF(Z$3="","",IF(COUNTIFS(BD!$A$3:$A$5001,Z$3,BD!$B$3:$B$5001,$A$5,BD!$C$3:$C$5001,"&lt;&gt;")=0,"",SUMIFS(BD!$C$3:$C$5001,BD!$A$3:$A$5001,Z$3,BD!$B$3:$B$5001,$A$5)))</f>
        <v/>
      </c>
      <c r="AA5" s="172" t="str">
        <f>IF(AA$3="","",IF(COUNTIFS(BD!$A$3:$A$5001,AA$3,BD!$B$3:$B$5001,$A$5,BD!$C$3:$C$5001,"&lt;&gt;")=0,"",SUMIFS(BD!$C$3:$C$5001,BD!$A$3:$A$5001,AA$3,BD!$B$3:$B$5001,$A$5)))</f>
        <v/>
      </c>
      <c r="AB5" s="172" t="str">
        <f>IF(AB$3="","",IF(COUNTIFS(BD!$A$3:$A$5001,AB$3,BD!$B$3:$B$5001,$A$5,BD!$C$3:$C$5001,"&lt;&gt;")=0,"",SUMIFS(BD!$C$3:$C$5001,BD!$A$3:$A$5001,AB$3,BD!$B$3:$B$5001,$A$5)))</f>
        <v/>
      </c>
      <c r="AC5" s="172" t="str">
        <f>IF(AC$3="","",IF(COUNTIFS(BD!$A$3:$A$5001,AC$3,BD!$B$3:$B$5001,$A$5,BD!$C$3:$C$5001,"&lt;&gt;")=0,"",SUMIFS(BD!$C$3:$C$5001,BD!$A$3:$A$5001,AC$3,BD!$B$3:$B$5001,$A$5)))</f>
        <v/>
      </c>
      <c r="AD5" s="172" t="str">
        <f>IF(AD$3="","",IF(COUNTIFS(BD!$A$3:$A$5001,AD$3,BD!$B$3:$B$5001,$A$5,BD!$C$3:$C$5001,"&lt;&gt;")=0,"",SUMIFS(BD!$C$3:$C$5001,BD!$A$3:$A$5001,AD$3,BD!$B$3:$B$5001,$A$5)))</f>
        <v/>
      </c>
      <c r="AE5" s="172" t="str">
        <f>IF(AE$3="","",IF(COUNTIFS(BD!$A$3:$A$5001,AE$3,BD!$B$3:$B$5001,$A$5,BD!$C$3:$C$5001,"&lt;&gt;")=0,"",SUMIFS(BD!$C$3:$C$5001,BD!$A$3:$A$5001,AE$3,BD!$B$3:$B$5001,$A$5)))</f>
        <v/>
      </c>
      <c r="AF5" s="172" t="str">
        <f>IF(AF$3="","",IF(COUNTIFS(BD!$A$3:$A$5001,AF$3,BD!$B$3:$B$5001,$A$5,BD!$C$3:$C$5001,"&lt;&gt;")=0,"",SUMIFS(BD!$C$3:$C$5001,BD!$A$3:$A$5001,AF$3,BD!$B$3:$B$5001,$A$5)))</f>
        <v/>
      </c>
      <c r="AG5" s="172" t="str">
        <f>IF(AG$3="","",IF(COUNTIFS(BD!$A$3:$A$5001,AG$3,BD!$B$3:$B$5001,$A$5,BD!$C$3:$C$5001,"&lt;&gt;")=0,"",SUMIFS(BD!$C$3:$C$5001,BD!$A$3:$A$5001,AG$3,BD!$B$3:$B$5001,$A$5)))</f>
        <v/>
      </c>
      <c r="AH5" s="172" t="str">
        <f>IF(AH$3="","",IF(COUNTIFS(BD!$A$3:$A$5001,AH$3,BD!$B$3:$B$5001,$A$5,BD!$C$3:$C$5001,"&lt;&gt;")=0,"",SUMIFS(BD!$C$3:$C$5001,BD!$A$3:$A$5001,AH$3,BD!$B$3:$B$5001,$A$5)))</f>
        <v/>
      </c>
      <c r="AI5" s="172" t="str">
        <f>IF(AI$3="","",IF(COUNTIFS(BD!$A$3:$A$5001,AI$3,BD!$B$3:$B$5001,$A$5,BD!$C$3:$C$5001,"&lt;&gt;")=0,"",SUMIFS(BD!$C$3:$C$5001,BD!$A$3:$A$5001,AI$3,BD!$B$3:$B$5001,$A$5)))</f>
        <v/>
      </c>
      <c r="AJ5" s="173" t="str">
        <f>IF(AJ$3="","",IF(COUNTIFS(BD!$A$3:$A$5001,AJ$3,BD!$B$3:$B$5001,$A$5,BD!$C$3:$C$5001,"&lt;&gt;")=0,"",SUMIFS(BD!$C$3:$C$5001,BD!$A$3:$A$5001,AJ$3,BD!$B$3:$B$5001,$A$5)))</f>
        <v/>
      </c>
      <c r="AK5" s="174" t="str">
        <f>IF(COUNT(F5:AJ5)=0,"",SUM(F5:AJ5))</f>
        <v/>
      </c>
    </row>
    <row r="6" ht="15.75" customHeight="1">
      <c r="A6" s="277"/>
      <c r="B6" s="265"/>
      <c r="C6" s="175" t="inlineStr">
        <is>
          <t xml:space="preserve">Pallets Movimentados</t>
        </is>
      </c>
      <c r="D6" s="176" t="str">
        <f>IFERROR(1/(1/INDEX(BD!$AF$24:$AZ$24,MATCH($A$5,BD!$AF$22:$AZ$22,0))),"")</f>
        <v/>
      </c>
      <c r="E6" s="177"/>
      <c r="F6" s="178" t="str">
        <f>IF(F$3="","",IF(COUNTIFS(BD!$A$3:$A$5001,F$3,BD!$B$3:$B$5001,$A$5,BD!$D$3:$D$5001,"&lt;&gt;")=0,"",SUMIFS(BD!$D$3:$D$5001,BD!$A$3:$A$5001,F$3,BD!$B$3:$B$5001,$A$5)))</f>
        <v/>
      </c>
      <c r="G6" s="179" t="str">
        <f>IF(G$3="","",IF(COUNTIFS(BD!$A$3:$A$5001,G$3,BD!$B$3:$B$5001,$A$5,BD!$D$3:$D$5001,"&lt;&gt;")=0,"",SUMIFS(BD!$D$3:$D$5001,BD!$A$3:$A$5001,G$3,BD!$B$3:$B$5001,$A$5)))</f>
        <v/>
      </c>
      <c r="H6" s="179" t="str">
        <f>IF(H$3="","",IF(COUNTIFS(BD!$A$3:$A$5001,H$3,BD!$B$3:$B$5001,$A$5,BD!$D$3:$D$5001,"&lt;&gt;")=0,"",SUMIFS(BD!$D$3:$D$5001,BD!$A$3:$A$5001,H$3,BD!$B$3:$B$5001,$A$5)))</f>
        <v/>
      </c>
      <c r="I6" s="179" t="str">
        <f>IF(I$3="","",IF(COUNTIFS(BD!$A$3:$A$5001,I$3,BD!$B$3:$B$5001,$A$5,BD!$D$3:$D$5001,"&lt;&gt;")=0,"",SUMIFS(BD!$D$3:$D$5001,BD!$A$3:$A$5001,I$3,BD!$B$3:$B$5001,$A$5)))</f>
        <v/>
      </c>
      <c r="J6" s="179" t="str">
        <f>IF(J$3="","",IF(COUNTIFS(BD!$A$3:$A$5001,J$3,BD!$B$3:$B$5001,$A$5,BD!$D$3:$D$5001,"&lt;&gt;")=0,"",SUMIFS(BD!$D$3:$D$5001,BD!$A$3:$A$5001,J$3,BD!$B$3:$B$5001,$A$5)))</f>
        <v/>
      </c>
      <c r="K6" s="179" t="str">
        <f>IF(K$3="","",IF(COUNTIFS(BD!$A$3:$A$5001,K$3,BD!$B$3:$B$5001,$A$5,BD!$D$3:$D$5001,"&lt;&gt;")=0,"",SUMIFS(BD!$D$3:$D$5001,BD!$A$3:$A$5001,K$3,BD!$B$3:$B$5001,$A$5)))</f>
        <v/>
      </c>
      <c r="L6" s="179" t="str">
        <f>IF(L$3="","",IF(COUNTIFS(BD!$A$3:$A$5001,L$3,BD!$B$3:$B$5001,$A$5,BD!$D$3:$D$5001,"&lt;&gt;")=0,"",SUMIFS(BD!$D$3:$D$5001,BD!$A$3:$A$5001,L$3,BD!$B$3:$B$5001,$A$5)))</f>
        <v/>
      </c>
      <c r="M6" s="179" t="str">
        <f>IF(M$3="","",IF(COUNTIFS(BD!$A$3:$A$5001,M$3,BD!$B$3:$B$5001,$A$5,BD!$D$3:$D$5001,"&lt;&gt;")=0,"",SUMIFS(BD!$D$3:$D$5001,BD!$A$3:$A$5001,M$3,BD!$B$3:$B$5001,$A$5)))</f>
        <v/>
      </c>
      <c r="N6" s="179" t="str">
        <f>IF(N$3="","",IF(COUNTIFS(BD!$A$3:$A$5001,N$3,BD!$B$3:$B$5001,$A$5,BD!$D$3:$D$5001,"&lt;&gt;")=0,"",SUMIFS(BD!$D$3:$D$5001,BD!$A$3:$A$5001,N$3,BD!$B$3:$B$5001,$A$5)))</f>
        <v/>
      </c>
      <c r="O6" s="179" t="str">
        <f>IF(O$3="","",IF(COUNTIFS(BD!$A$3:$A$5001,O$3,BD!$B$3:$B$5001,$A$5,BD!$D$3:$D$5001,"&lt;&gt;")=0,"",SUMIFS(BD!$D$3:$D$5001,BD!$A$3:$A$5001,O$3,BD!$B$3:$B$5001,$A$5)))</f>
        <v/>
      </c>
      <c r="P6" s="179" t="str">
        <f>IF(P$3="","",IF(COUNTIFS(BD!$A$3:$A$5001,P$3,BD!$B$3:$B$5001,$A$5,BD!$D$3:$D$5001,"&lt;&gt;")=0,"",SUMIFS(BD!$D$3:$D$5001,BD!$A$3:$A$5001,P$3,BD!$B$3:$B$5001,$A$5)))</f>
        <v/>
      </c>
      <c r="Q6" s="179" t="str">
        <f>IF(Q$3="","",IF(COUNTIFS(BD!$A$3:$A$5001,Q$3,BD!$B$3:$B$5001,$A$5,BD!$D$3:$D$5001,"&lt;&gt;")=0,"",SUMIFS(BD!$D$3:$D$5001,BD!$A$3:$A$5001,Q$3,BD!$B$3:$B$5001,$A$5)))</f>
        <v/>
      </c>
      <c r="R6" s="179" t="str">
        <f>IF(R$3="","",IF(COUNTIFS(BD!$A$3:$A$5001,R$3,BD!$B$3:$B$5001,$A$5,BD!$D$3:$D$5001,"&lt;&gt;")=0,"",SUMIFS(BD!$D$3:$D$5001,BD!$A$3:$A$5001,R$3,BD!$B$3:$B$5001,$A$5)))</f>
        <v/>
      </c>
      <c r="S6" s="179" t="str">
        <f>IF(S$3="","",IF(COUNTIFS(BD!$A$3:$A$5001,S$3,BD!$B$3:$B$5001,$A$5,BD!$D$3:$D$5001,"&lt;&gt;")=0,"",SUMIFS(BD!$D$3:$D$5001,BD!$A$3:$A$5001,S$3,BD!$B$3:$B$5001,$A$5)))</f>
        <v/>
      </c>
      <c r="T6" s="179" t="str">
        <f>IF(T$3="","",IF(COUNTIFS(BD!$A$3:$A$5001,T$3,BD!$B$3:$B$5001,$A$5,BD!$D$3:$D$5001,"&lt;&gt;")=0,"",SUMIFS(BD!$D$3:$D$5001,BD!$A$3:$A$5001,T$3,BD!$B$3:$B$5001,$A$5)))</f>
        <v/>
      </c>
      <c r="U6" s="179" t="str">
        <f>IF(U$3="","",IF(COUNTIFS(BD!$A$3:$A$5001,U$3,BD!$B$3:$B$5001,$A$5,BD!$D$3:$D$5001,"&lt;&gt;")=0,"",SUMIFS(BD!$D$3:$D$5001,BD!$A$3:$A$5001,U$3,BD!$B$3:$B$5001,$A$5)))</f>
        <v/>
      </c>
      <c r="V6" s="179" t="str">
        <f>IF(V$3="","",IF(COUNTIFS(BD!$A$3:$A$5001,V$3,BD!$B$3:$B$5001,$A$5,BD!$D$3:$D$5001,"&lt;&gt;")=0,"",SUMIFS(BD!$D$3:$D$5001,BD!$A$3:$A$5001,V$3,BD!$B$3:$B$5001,$A$5)))</f>
        <v/>
      </c>
      <c r="W6" s="179" t="str">
        <f>IF(W$3="","",IF(COUNTIFS(BD!$A$3:$A$5001,W$3,BD!$B$3:$B$5001,$A$5,BD!$D$3:$D$5001,"&lt;&gt;")=0,"",SUMIFS(BD!$D$3:$D$5001,BD!$A$3:$A$5001,W$3,BD!$B$3:$B$5001,$A$5)))</f>
        <v/>
      </c>
      <c r="X6" s="179" t="str">
        <f>IF(X$3="","",IF(COUNTIFS(BD!$A$3:$A$5001,X$3,BD!$B$3:$B$5001,$A$5,BD!$D$3:$D$5001,"&lt;&gt;")=0,"",SUMIFS(BD!$D$3:$D$5001,BD!$A$3:$A$5001,X$3,BD!$B$3:$B$5001,$A$5)))</f>
        <v/>
      </c>
      <c r="Y6" s="179" t="str">
        <f>IF(Y$3="","",IF(COUNTIFS(BD!$A$3:$A$5001,Y$3,BD!$B$3:$B$5001,$A$5,BD!$D$3:$D$5001,"&lt;&gt;")=0,"",SUMIFS(BD!$D$3:$D$5001,BD!$A$3:$A$5001,Y$3,BD!$B$3:$B$5001,$A$5)))</f>
        <v/>
      </c>
      <c r="Z6" s="179" t="str">
        <f>IF(Z$3="","",IF(COUNTIFS(BD!$A$3:$A$5001,Z$3,BD!$B$3:$B$5001,$A$5,BD!$D$3:$D$5001,"&lt;&gt;")=0,"",SUMIFS(BD!$D$3:$D$5001,BD!$A$3:$A$5001,Z$3,BD!$B$3:$B$5001,$A$5)))</f>
        <v/>
      </c>
      <c r="AA6" s="179" t="str">
        <f>IF(AA$3="","",IF(COUNTIFS(BD!$A$3:$A$5001,AA$3,BD!$B$3:$B$5001,$A$5,BD!$D$3:$D$5001,"&lt;&gt;")=0,"",SUMIFS(BD!$D$3:$D$5001,BD!$A$3:$A$5001,AA$3,BD!$B$3:$B$5001,$A$5)))</f>
        <v/>
      </c>
      <c r="AB6" s="179" t="str">
        <f>IF(AB$3="","",IF(COUNTIFS(BD!$A$3:$A$5001,AB$3,BD!$B$3:$B$5001,$A$5,BD!$D$3:$D$5001,"&lt;&gt;")=0,"",SUMIFS(BD!$D$3:$D$5001,BD!$A$3:$A$5001,AB$3,BD!$B$3:$B$5001,$A$5)))</f>
        <v/>
      </c>
      <c r="AC6" s="179" t="str">
        <f>IF(AC$3="","",IF(COUNTIFS(BD!$A$3:$A$5001,AC$3,BD!$B$3:$B$5001,$A$5,BD!$D$3:$D$5001,"&lt;&gt;")=0,"",SUMIFS(BD!$D$3:$D$5001,BD!$A$3:$A$5001,AC$3,BD!$B$3:$B$5001,$A$5)))</f>
        <v/>
      </c>
      <c r="AD6" s="179" t="str">
        <f>IF(AD$3="","",IF(COUNTIFS(BD!$A$3:$A$5001,AD$3,BD!$B$3:$B$5001,$A$5,BD!$D$3:$D$5001,"&lt;&gt;")=0,"",SUMIFS(BD!$D$3:$D$5001,BD!$A$3:$A$5001,AD$3,BD!$B$3:$B$5001,$A$5)))</f>
        <v/>
      </c>
      <c r="AE6" s="179" t="str">
        <f>IF(AE$3="","",IF(COUNTIFS(BD!$A$3:$A$5001,AE$3,BD!$B$3:$B$5001,$A$5,BD!$D$3:$D$5001,"&lt;&gt;")=0,"",SUMIFS(BD!$D$3:$D$5001,BD!$A$3:$A$5001,AE$3,BD!$B$3:$B$5001,$A$5)))</f>
        <v/>
      </c>
      <c r="AF6" s="179" t="str">
        <f>IF(AF$3="","",IF(COUNTIFS(BD!$A$3:$A$5001,AF$3,BD!$B$3:$B$5001,$A$5,BD!$D$3:$D$5001,"&lt;&gt;")=0,"",SUMIFS(BD!$D$3:$D$5001,BD!$A$3:$A$5001,AF$3,BD!$B$3:$B$5001,$A$5)))</f>
        <v/>
      </c>
      <c r="AG6" s="179" t="str">
        <f>IF(AG$3="","",IF(COUNTIFS(BD!$A$3:$A$5001,AG$3,BD!$B$3:$B$5001,$A$5,BD!$D$3:$D$5001,"&lt;&gt;")=0,"",SUMIFS(BD!$D$3:$D$5001,BD!$A$3:$A$5001,AG$3,BD!$B$3:$B$5001,$A$5)))</f>
        <v/>
      </c>
      <c r="AH6" s="179" t="str">
        <f>IF(AH$3="","",IF(COUNTIFS(BD!$A$3:$A$5001,AH$3,BD!$B$3:$B$5001,$A$5,BD!$D$3:$D$5001,"&lt;&gt;")=0,"",SUMIFS(BD!$D$3:$D$5001,BD!$A$3:$A$5001,AH$3,BD!$B$3:$B$5001,$A$5)))</f>
        <v/>
      </c>
      <c r="AI6" s="179" t="str">
        <f>IF(AI$3="","",IF(COUNTIFS(BD!$A$3:$A$5001,AI$3,BD!$B$3:$B$5001,$A$5,BD!$D$3:$D$5001,"&lt;&gt;")=0,"",SUMIFS(BD!$D$3:$D$5001,BD!$A$3:$A$5001,AI$3,BD!$B$3:$B$5001,$A$5)))</f>
        <v/>
      </c>
      <c r="AJ6" s="180" t="str">
        <f>IF(AJ$3="","",IF(COUNTIFS(BD!$A$3:$A$5001,AJ$3,BD!$B$3:$B$5001,$A$5,BD!$D$3:$D$5001,"&lt;&gt;")=0,"",SUMIFS(BD!$D$3:$D$5001,BD!$A$3:$A$5001,AJ$3,BD!$B$3:$B$5001,$A$5)))</f>
        <v/>
      </c>
      <c r="AK6" s="181" t="str">
        <f>IF(COUNT(F6:AJ6)=0,"",SUM(F6:AJ6))</f>
        <v/>
      </c>
    </row>
    <row r="7" ht="15.75" customHeight="1">
      <c r="A7" s="277"/>
      <c r="B7" s="265"/>
      <c r="C7" s="175" t="inlineStr">
        <is>
          <t xml:space="preserve">Toneladas Movimentadas</t>
        </is>
      </c>
      <c r="D7" s="176" t="str">
        <f>IFERROR(1/(1/INDEX(BD!$AF$25:$AZ$25,MATCH($A$5,BD!$AF$22:$AZ$22,0))),"")</f>
        <v/>
      </c>
      <c r="E7" s="177"/>
      <c r="F7" s="182" t="str">
        <f>IF(F$3="","",IF(COUNTIFS(BD!$A$3:$A$5001,F$3,BD!$B$3:$B$5001,$A$5,BD!$E$3:$E$5001,"&lt;&gt;")=0,"",SUMIFS(BD!$E$3:$E$5001,BD!$A$3:$A$5001,F$3,BD!$B$3:$B$5001,$A$5)))</f>
        <v/>
      </c>
      <c r="G7" s="183" t="str">
        <f>IF(G$3="","",IF(COUNTIFS(BD!$A$3:$A$5001,G$3,BD!$B$3:$B$5001,$A$5,BD!$E$3:$E$5001,"&lt;&gt;")=0,"",SUMIFS(BD!$E$3:$E$5001,BD!$A$3:$A$5001,G$3,BD!$B$3:$B$5001,$A$5)))</f>
        <v/>
      </c>
      <c r="H7" s="183" t="str">
        <f>IF(H$3="","",IF(COUNTIFS(BD!$A$3:$A$5001,H$3,BD!$B$3:$B$5001,$A$5,BD!$E$3:$E$5001,"&lt;&gt;")=0,"",SUMIFS(BD!$E$3:$E$5001,BD!$A$3:$A$5001,H$3,BD!$B$3:$B$5001,$A$5)))</f>
        <v/>
      </c>
      <c r="I7" s="183" t="str">
        <f>IF(I$3="","",IF(COUNTIFS(BD!$A$3:$A$5001,I$3,BD!$B$3:$B$5001,$A$5,BD!$E$3:$E$5001,"&lt;&gt;")=0,"",SUMIFS(BD!$E$3:$E$5001,BD!$A$3:$A$5001,I$3,BD!$B$3:$B$5001,$A$5)))</f>
        <v/>
      </c>
      <c r="J7" s="183" t="str">
        <f>IF(J$3="","",IF(COUNTIFS(BD!$A$3:$A$5001,J$3,BD!$B$3:$B$5001,$A$5,BD!$E$3:$E$5001,"&lt;&gt;")=0,"",SUMIFS(BD!$E$3:$E$5001,BD!$A$3:$A$5001,J$3,BD!$B$3:$B$5001,$A$5)))</f>
        <v/>
      </c>
      <c r="K7" s="183" t="str">
        <f>IF(K$3="","",IF(COUNTIFS(BD!$A$3:$A$5001,K$3,BD!$B$3:$B$5001,$A$5,BD!$E$3:$E$5001,"&lt;&gt;")=0,"",SUMIFS(BD!$E$3:$E$5001,BD!$A$3:$A$5001,K$3,BD!$B$3:$B$5001,$A$5)))</f>
        <v/>
      </c>
      <c r="L7" s="183" t="str">
        <f>IF(L$3="","",IF(COUNTIFS(BD!$A$3:$A$5001,L$3,BD!$B$3:$B$5001,$A$5,BD!$E$3:$E$5001,"&lt;&gt;")=0,"",SUMIFS(BD!$E$3:$E$5001,BD!$A$3:$A$5001,L$3,BD!$B$3:$B$5001,$A$5)))</f>
        <v/>
      </c>
      <c r="M7" s="183" t="str">
        <f>IF(M$3="","",IF(COUNTIFS(BD!$A$3:$A$5001,M$3,BD!$B$3:$B$5001,$A$5,BD!$E$3:$E$5001,"&lt;&gt;")=0,"",SUMIFS(BD!$E$3:$E$5001,BD!$A$3:$A$5001,M$3,BD!$B$3:$B$5001,$A$5)))</f>
        <v/>
      </c>
      <c r="N7" s="183" t="str">
        <f>IF(N$3="","",IF(COUNTIFS(BD!$A$3:$A$5001,N$3,BD!$B$3:$B$5001,$A$5,BD!$E$3:$E$5001,"&lt;&gt;")=0,"",SUMIFS(BD!$E$3:$E$5001,BD!$A$3:$A$5001,N$3,BD!$B$3:$B$5001,$A$5)))</f>
        <v/>
      </c>
      <c r="O7" s="183" t="str">
        <f>IF(O$3="","",IF(COUNTIFS(BD!$A$3:$A$5001,O$3,BD!$B$3:$B$5001,$A$5,BD!$E$3:$E$5001,"&lt;&gt;")=0,"",SUMIFS(BD!$E$3:$E$5001,BD!$A$3:$A$5001,O$3,BD!$B$3:$B$5001,$A$5)))</f>
        <v/>
      </c>
      <c r="P7" s="183" t="str">
        <f>IF(P$3="","",IF(COUNTIFS(BD!$A$3:$A$5001,P$3,BD!$B$3:$B$5001,$A$5,BD!$E$3:$E$5001,"&lt;&gt;")=0,"",SUMIFS(BD!$E$3:$E$5001,BD!$A$3:$A$5001,P$3,BD!$B$3:$B$5001,$A$5)))</f>
        <v/>
      </c>
      <c r="Q7" s="183" t="str">
        <f>IF(Q$3="","",IF(COUNTIFS(BD!$A$3:$A$5001,Q$3,BD!$B$3:$B$5001,$A$5,BD!$E$3:$E$5001,"&lt;&gt;")=0,"",SUMIFS(BD!$E$3:$E$5001,BD!$A$3:$A$5001,Q$3,BD!$B$3:$B$5001,$A$5)))</f>
        <v/>
      </c>
      <c r="R7" s="183" t="str">
        <f>IF(R$3="","",IF(COUNTIFS(BD!$A$3:$A$5001,R$3,BD!$B$3:$B$5001,$A$5,BD!$E$3:$E$5001,"&lt;&gt;")=0,"",SUMIFS(BD!$E$3:$E$5001,BD!$A$3:$A$5001,R$3,BD!$B$3:$B$5001,$A$5)))</f>
        <v/>
      </c>
      <c r="S7" s="183" t="str">
        <f>IF(S$3="","",IF(COUNTIFS(BD!$A$3:$A$5001,S$3,BD!$B$3:$B$5001,$A$5,BD!$E$3:$E$5001,"&lt;&gt;")=0,"",SUMIFS(BD!$E$3:$E$5001,BD!$A$3:$A$5001,S$3,BD!$B$3:$B$5001,$A$5)))</f>
        <v/>
      </c>
      <c r="T7" s="183" t="str">
        <f>IF(T$3="","",IF(COUNTIFS(BD!$A$3:$A$5001,T$3,BD!$B$3:$B$5001,$A$5,BD!$E$3:$E$5001,"&lt;&gt;")=0,"",SUMIFS(BD!$E$3:$E$5001,BD!$A$3:$A$5001,T$3,BD!$B$3:$B$5001,$A$5)))</f>
        <v/>
      </c>
      <c r="U7" s="183" t="str">
        <f>IF(U$3="","",IF(COUNTIFS(BD!$A$3:$A$5001,U$3,BD!$B$3:$B$5001,$A$5,BD!$E$3:$E$5001,"&lt;&gt;")=0,"",SUMIFS(BD!$E$3:$E$5001,BD!$A$3:$A$5001,U$3,BD!$B$3:$B$5001,$A$5)))</f>
        <v/>
      </c>
      <c r="V7" s="183" t="str">
        <f>IF(V$3="","",IF(COUNTIFS(BD!$A$3:$A$5001,V$3,BD!$B$3:$B$5001,$A$5,BD!$E$3:$E$5001,"&lt;&gt;")=0,"",SUMIFS(BD!$E$3:$E$5001,BD!$A$3:$A$5001,V$3,BD!$B$3:$B$5001,$A$5)))</f>
        <v/>
      </c>
      <c r="W7" s="183" t="str">
        <f>IF(W$3="","",IF(COUNTIFS(BD!$A$3:$A$5001,W$3,BD!$B$3:$B$5001,$A$5,BD!$E$3:$E$5001,"&lt;&gt;")=0,"",SUMIFS(BD!$E$3:$E$5001,BD!$A$3:$A$5001,W$3,BD!$B$3:$B$5001,$A$5)))</f>
        <v/>
      </c>
      <c r="X7" s="183" t="str">
        <f>IF(X$3="","",IF(COUNTIFS(BD!$A$3:$A$5001,X$3,BD!$B$3:$B$5001,$A$5,BD!$E$3:$E$5001,"&lt;&gt;")=0,"",SUMIFS(BD!$E$3:$E$5001,BD!$A$3:$A$5001,X$3,BD!$B$3:$B$5001,$A$5)))</f>
        <v/>
      </c>
      <c r="Y7" s="183" t="str">
        <f>IF(Y$3="","",IF(COUNTIFS(BD!$A$3:$A$5001,Y$3,BD!$B$3:$B$5001,$A$5,BD!$E$3:$E$5001,"&lt;&gt;")=0,"",SUMIFS(BD!$E$3:$E$5001,BD!$A$3:$A$5001,Y$3,BD!$B$3:$B$5001,$A$5)))</f>
        <v/>
      </c>
      <c r="Z7" s="183" t="str">
        <f>IF(Z$3="","",IF(COUNTIFS(BD!$A$3:$A$5001,Z$3,BD!$B$3:$B$5001,$A$5,BD!$E$3:$E$5001,"&lt;&gt;")=0,"",SUMIFS(BD!$E$3:$E$5001,BD!$A$3:$A$5001,Z$3,BD!$B$3:$B$5001,$A$5)))</f>
        <v/>
      </c>
      <c r="AA7" s="183" t="str">
        <f>IF(AA$3="","",IF(COUNTIFS(BD!$A$3:$A$5001,AA$3,BD!$B$3:$B$5001,$A$5,BD!$E$3:$E$5001,"&lt;&gt;")=0,"",SUMIFS(BD!$E$3:$E$5001,BD!$A$3:$A$5001,AA$3,BD!$B$3:$B$5001,$A$5)))</f>
        <v/>
      </c>
      <c r="AB7" s="183" t="str">
        <f>IF(AB$3="","",IF(COUNTIFS(BD!$A$3:$A$5001,AB$3,BD!$B$3:$B$5001,$A$5,BD!$E$3:$E$5001,"&lt;&gt;")=0,"",SUMIFS(BD!$E$3:$E$5001,BD!$A$3:$A$5001,AB$3,BD!$B$3:$B$5001,$A$5)))</f>
        <v/>
      </c>
      <c r="AC7" s="183" t="str">
        <f>IF(AC$3="","",IF(COUNTIFS(BD!$A$3:$A$5001,AC$3,BD!$B$3:$B$5001,$A$5,BD!$E$3:$E$5001,"&lt;&gt;")=0,"",SUMIFS(BD!$E$3:$E$5001,BD!$A$3:$A$5001,AC$3,BD!$B$3:$B$5001,$A$5)))</f>
        <v/>
      </c>
      <c r="AD7" s="183" t="str">
        <f>IF(AD$3="","",IF(COUNTIFS(BD!$A$3:$A$5001,AD$3,BD!$B$3:$B$5001,$A$5,BD!$E$3:$E$5001,"&lt;&gt;")=0,"",SUMIFS(BD!$E$3:$E$5001,BD!$A$3:$A$5001,AD$3,BD!$B$3:$B$5001,$A$5)))</f>
        <v/>
      </c>
      <c r="AE7" s="183" t="str">
        <f>IF(AE$3="","",IF(COUNTIFS(BD!$A$3:$A$5001,AE$3,BD!$B$3:$B$5001,$A$5,BD!$E$3:$E$5001,"&lt;&gt;")=0,"",SUMIFS(BD!$E$3:$E$5001,BD!$A$3:$A$5001,AE$3,BD!$B$3:$B$5001,$A$5)))</f>
        <v/>
      </c>
      <c r="AF7" s="183" t="str">
        <f>IF(AF$3="","",IF(COUNTIFS(BD!$A$3:$A$5001,AF$3,BD!$B$3:$B$5001,$A$5,BD!$E$3:$E$5001,"&lt;&gt;")=0,"",SUMIFS(BD!$E$3:$E$5001,BD!$A$3:$A$5001,AF$3,BD!$B$3:$B$5001,$A$5)))</f>
        <v/>
      </c>
      <c r="AG7" s="183" t="str">
        <f>IF(AG$3="","",IF(COUNTIFS(BD!$A$3:$A$5001,AG$3,BD!$B$3:$B$5001,$A$5,BD!$E$3:$E$5001,"&lt;&gt;")=0,"",SUMIFS(BD!$E$3:$E$5001,BD!$A$3:$A$5001,AG$3,BD!$B$3:$B$5001,$A$5)))</f>
        <v/>
      </c>
      <c r="AH7" s="183" t="str">
        <f>IF(AH$3="","",IF(COUNTIFS(BD!$A$3:$A$5001,AH$3,BD!$B$3:$B$5001,$A$5,BD!$E$3:$E$5001,"&lt;&gt;")=0,"",SUMIFS(BD!$E$3:$E$5001,BD!$A$3:$A$5001,AH$3,BD!$B$3:$B$5001,$A$5)))</f>
        <v/>
      </c>
      <c r="AI7" s="183" t="str">
        <f>IF(AI$3="","",IF(COUNTIFS(BD!$A$3:$A$5001,AI$3,BD!$B$3:$B$5001,$A$5,BD!$E$3:$E$5001,"&lt;&gt;")=0,"",SUMIFS(BD!$E$3:$E$5001,BD!$A$3:$A$5001,AI$3,BD!$B$3:$B$5001,$A$5)))</f>
        <v/>
      </c>
      <c r="AJ7" s="184" t="str">
        <f>IF(AJ$3="","",IF(COUNTIFS(BD!$A$3:$A$5001,AJ$3,BD!$B$3:$B$5001,$A$5,BD!$E$3:$E$5001,"&lt;&gt;")=0,"",SUMIFS(BD!$E$3:$E$5001,BD!$A$3:$A$5001,AJ$3,BD!$B$3:$B$5001,$A$5)))</f>
        <v/>
      </c>
      <c r="AK7" s="185" t="str">
        <f>IF(COUNT(F7:AJ7)=0,"",SUM(F7:AJ7))</f>
        <v/>
      </c>
    </row>
    <row r="8" ht="15.75" customHeight="1">
      <c r="A8" s="277"/>
      <c r="B8" s="265"/>
      <c r="C8" s="175" t="inlineStr">
        <is>
          <t xml:space="preserve">Caixas Recebidas</t>
        </is>
      </c>
      <c r="D8" s="176" t="str">
        <f>IFERROR(1/(1/INDEX(BD!$AF$26:$AZ$26,MATCH($A$5,BD!$AF$22:$AZ$22,0))),"")</f>
        <v/>
      </c>
      <c r="E8" s="177"/>
      <c r="F8" s="178" t="str">
        <f>IF(F$3="","",IF(COUNTIFS(BD!$A$3:$A$5001,F$3,BD!$B$3:$B$5001,$A$5,BD!$F$3:$F$5001,"&lt;&gt;")=0,"",SUMIFS(BD!$F$3:$F$5001,BD!$A$3:$A$5001,F$3,BD!$B$3:$B$5001,$A$5)))</f>
        <v/>
      </c>
      <c r="G8" s="179" t="str">
        <f>IF(G$3="","",IF(COUNTIFS(BD!$A$3:$A$5001,G$3,BD!$B$3:$B$5001,$A$5,BD!$F$3:$F$5001,"&lt;&gt;")=0,"",SUMIFS(BD!$F$3:$F$5001,BD!$A$3:$A$5001,G$3,BD!$B$3:$B$5001,$A$5)))</f>
        <v/>
      </c>
      <c r="H8" s="179" t="str">
        <f>IF(H$3="","",IF(COUNTIFS(BD!$A$3:$A$5001,H$3,BD!$B$3:$B$5001,$A$5,BD!$F$3:$F$5001,"&lt;&gt;")=0,"",SUMIFS(BD!$F$3:$F$5001,BD!$A$3:$A$5001,H$3,BD!$B$3:$B$5001,$A$5)))</f>
        <v/>
      </c>
      <c r="I8" s="179" t="str">
        <f>IF(I$3="","",IF(COUNTIFS(BD!$A$3:$A$5001,I$3,BD!$B$3:$B$5001,$A$5,BD!$F$3:$F$5001,"&lt;&gt;")=0,"",SUMIFS(BD!$F$3:$F$5001,BD!$A$3:$A$5001,I$3,BD!$B$3:$B$5001,$A$5)))</f>
        <v/>
      </c>
      <c r="J8" s="179" t="str">
        <f>IF(J$3="","",IF(COUNTIFS(BD!$A$3:$A$5001,J$3,BD!$B$3:$B$5001,$A$5,BD!$F$3:$F$5001,"&lt;&gt;")=0,"",SUMIFS(BD!$F$3:$F$5001,BD!$A$3:$A$5001,J$3,BD!$B$3:$B$5001,$A$5)))</f>
        <v/>
      </c>
      <c r="K8" s="179" t="str">
        <f>IF(K$3="","",IF(COUNTIFS(BD!$A$3:$A$5001,K$3,BD!$B$3:$B$5001,$A$5,BD!$F$3:$F$5001,"&lt;&gt;")=0,"",SUMIFS(BD!$F$3:$F$5001,BD!$A$3:$A$5001,K$3,BD!$B$3:$B$5001,$A$5)))</f>
        <v/>
      </c>
      <c r="L8" s="179" t="str">
        <f>IF(L$3="","",IF(COUNTIFS(BD!$A$3:$A$5001,L$3,BD!$B$3:$B$5001,$A$5,BD!$F$3:$F$5001,"&lt;&gt;")=0,"",SUMIFS(BD!$F$3:$F$5001,BD!$A$3:$A$5001,L$3,BD!$B$3:$B$5001,$A$5)))</f>
        <v/>
      </c>
      <c r="M8" s="179" t="str">
        <f>IF(M$3="","",IF(COUNTIFS(BD!$A$3:$A$5001,M$3,BD!$B$3:$B$5001,$A$5,BD!$F$3:$F$5001,"&lt;&gt;")=0,"",SUMIFS(BD!$F$3:$F$5001,BD!$A$3:$A$5001,M$3,BD!$B$3:$B$5001,$A$5)))</f>
        <v/>
      </c>
      <c r="N8" s="179" t="str">
        <f>IF(N$3="","",IF(COUNTIFS(BD!$A$3:$A$5001,N$3,BD!$B$3:$B$5001,$A$5,BD!$F$3:$F$5001,"&lt;&gt;")=0,"",SUMIFS(BD!$F$3:$F$5001,BD!$A$3:$A$5001,N$3,BD!$B$3:$B$5001,$A$5)))</f>
        <v/>
      </c>
      <c r="O8" s="179" t="str">
        <f>IF(O$3="","",IF(COUNTIFS(BD!$A$3:$A$5001,O$3,BD!$B$3:$B$5001,$A$5,BD!$F$3:$F$5001,"&lt;&gt;")=0,"",SUMIFS(BD!$F$3:$F$5001,BD!$A$3:$A$5001,O$3,BD!$B$3:$B$5001,$A$5)))</f>
        <v/>
      </c>
      <c r="P8" s="179" t="str">
        <f>IF(P$3="","",IF(COUNTIFS(BD!$A$3:$A$5001,P$3,BD!$B$3:$B$5001,$A$5,BD!$F$3:$F$5001,"&lt;&gt;")=0,"",SUMIFS(BD!$F$3:$F$5001,BD!$A$3:$A$5001,P$3,BD!$B$3:$B$5001,$A$5)))</f>
        <v/>
      </c>
      <c r="Q8" s="179" t="str">
        <f>IF(Q$3="","",IF(COUNTIFS(BD!$A$3:$A$5001,Q$3,BD!$B$3:$B$5001,$A$5,BD!$F$3:$F$5001,"&lt;&gt;")=0,"",SUMIFS(BD!$F$3:$F$5001,BD!$A$3:$A$5001,Q$3,BD!$B$3:$B$5001,$A$5)))</f>
        <v/>
      </c>
      <c r="R8" s="179" t="str">
        <f>IF(R$3="","",IF(COUNTIFS(BD!$A$3:$A$5001,R$3,BD!$B$3:$B$5001,$A$5,BD!$F$3:$F$5001,"&lt;&gt;")=0,"",SUMIFS(BD!$F$3:$F$5001,BD!$A$3:$A$5001,R$3,BD!$B$3:$B$5001,$A$5)))</f>
        <v/>
      </c>
      <c r="S8" s="179" t="str">
        <f>IF(S$3="","",IF(COUNTIFS(BD!$A$3:$A$5001,S$3,BD!$B$3:$B$5001,$A$5,BD!$F$3:$F$5001,"&lt;&gt;")=0,"",SUMIFS(BD!$F$3:$F$5001,BD!$A$3:$A$5001,S$3,BD!$B$3:$B$5001,$A$5)))</f>
        <v/>
      </c>
      <c r="T8" s="179" t="str">
        <f>IF(T$3="","",IF(COUNTIFS(BD!$A$3:$A$5001,T$3,BD!$B$3:$B$5001,$A$5,BD!$F$3:$F$5001,"&lt;&gt;")=0,"",SUMIFS(BD!$F$3:$F$5001,BD!$A$3:$A$5001,T$3,BD!$B$3:$B$5001,$A$5)))</f>
        <v/>
      </c>
      <c r="U8" s="179" t="str">
        <f>IF(U$3="","",IF(COUNTIFS(BD!$A$3:$A$5001,U$3,BD!$B$3:$B$5001,$A$5,BD!$F$3:$F$5001,"&lt;&gt;")=0,"",SUMIFS(BD!$F$3:$F$5001,BD!$A$3:$A$5001,U$3,BD!$B$3:$B$5001,$A$5)))</f>
        <v/>
      </c>
      <c r="V8" s="179" t="str">
        <f>IF(V$3="","",IF(COUNTIFS(BD!$A$3:$A$5001,V$3,BD!$B$3:$B$5001,$A$5,BD!$F$3:$F$5001,"&lt;&gt;")=0,"",SUMIFS(BD!$F$3:$F$5001,BD!$A$3:$A$5001,V$3,BD!$B$3:$B$5001,$A$5)))</f>
        <v/>
      </c>
      <c r="W8" s="179" t="str">
        <f>IF(W$3="","",IF(COUNTIFS(BD!$A$3:$A$5001,W$3,BD!$B$3:$B$5001,$A$5,BD!$F$3:$F$5001,"&lt;&gt;")=0,"",SUMIFS(BD!$F$3:$F$5001,BD!$A$3:$A$5001,W$3,BD!$B$3:$B$5001,$A$5)))</f>
        <v/>
      </c>
      <c r="X8" s="179" t="str">
        <f>IF(X$3="","",IF(COUNTIFS(BD!$A$3:$A$5001,X$3,BD!$B$3:$B$5001,$A$5,BD!$F$3:$F$5001,"&lt;&gt;")=0,"",SUMIFS(BD!$F$3:$F$5001,BD!$A$3:$A$5001,X$3,BD!$B$3:$B$5001,$A$5)))</f>
        <v/>
      </c>
      <c r="Y8" s="179" t="str">
        <f>IF(Y$3="","",IF(COUNTIFS(BD!$A$3:$A$5001,Y$3,BD!$B$3:$B$5001,$A$5,BD!$F$3:$F$5001,"&lt;&gt;")=0,"",SUMIFS(BD!$F$3:$F$5001,BD!$A$3:$A$5001,Y$3,BD!$B$3:$B$5001,$A$5)))</f>
        <v/>
      </c>
      <c r="Z8" s="179" t="str">
        <f>IF(Z$3="","",IF(COUNTIFS(BD!$A$3:$A$5001,Z$3,BD!$B$3:$B$5001,$A$5,BD!$F$3:$F$5001,"&lt;&gt;")=0,"",SUMIFS(BD!$F$3:$F$5001,BD!$A$3:$A$5001,Z$3,BD!$B$3:$B$5001,$A$5)))</f>
        <v/>
      </c>
      <c r="AA8" s="179" t="str">
        <f>IF(AA$3="","",IF(COUNTIFS(BD!$A$3:$A$5001,AA$3,BD!$B$3:$B$5001,$A$5,BD!$F$3:$F$5001,"&lt;&gt;")=0,"",SUMIFS(BD!$F$3:$F$5001,BD!$A$3:$A$5001,AA$3,BD!$B$3:$B$5001,$A$5)))</f>
        <v/>
      </c>
      <c r="AB8" s="179" t="str">
        <f>IF(AB$3="","",IF(COUNTIFS(BD!$A$3:$A$5001,AB$3,BD!$B$3:$B$5001,$A$5,BD!$F$3:$F$5001,"&lt;&gt;")=0,"",SUMIFS(BD!$F$3:$F$5001,BD!$A$3:$A$5001,AB$3,BD!$B$3:$B$5001,$A$5)))</f>
        <v/>
      </c>
      <c r="AC8" s="179" t="str">
        <f>IF(AC$3="","",IF(COUNTIFS(BD!$A$3:$A$5001,AC$3,BD!$B$3:$B$5001,$A$5,BD!$F$3:$F$5001,"&lt;&gt;")=0,"",SUMIFS(BD!$F$3:$F$5001,BD!$A$3:$A$5001,AC$3,BD!$B$3:$B$5001,$A$5)))</f>
        <v/>
      </c>
      <c r="AD8" s="179" t="str">
        <f>IF(AD$3="","",IF(COUNTIFS(BD!$A$3:$A$5001,AD$3,BD!$B$3:$B$5001,$A$5,BD!$F$3:$F$5001,"&lt;&gt;")=0,"",SUMIFS(BD!$F$3:$F$5001,BD!$A$3:$A$5001,AD$3,BD!$B$3:$B$5001,$A$5)))</f>
        <v/>
      </c>
      <c r="AE8" s="179" t="str">
        <f>IF(AE$3="","",IF(COUNTIFS(BD!$A$3:$A$5001,AE$3,BD!$B$3:$B$5001,$A$5,BD!$F$3:$F$5001,"&lt;&gt;")=0,"",SUMIFS(BD!$F$3:$F$5001,BD!$A$3:$A$5001,AE$3,BD!$B$3:$B$5001,$A$5)))</f>
        <v/>
      </c>
      <c r="AF8" s="179" t="str">
        <f>IF(AF$3="","",IF(COUNTIFS(BD!$A$3:$A$5001,AF$3,BD!$B$3:$B$5001,$A$5,BD!$F$3:$F$5001,"&lt;&gt;")=0,"",SUMIFS(BD!$F$3:$F$5001,BD!$A$3:$A$5001,AF$3,BD!$B$3:$B$5001,$A$5)))</f>
        <v/>
      </c>
      <c r="AG8" s="179" t="str">
        <f>IF(AG$3="","",IF(COUNTIFS(BD!$A$3:$A$5001,AG$3,BD!$B$3:$B$5001,$A$5,BD!$F$3:$F$5001,"&lt;&gt;")=0,"",SUMIFS(BD!$F$3:$F$5001,BD!$A$3:$A$5001,AG$3,BD!$B$3:$B$5001,$A$5)))</f>
        <v/>
      </c>
      <c r="AH8" s="179" t="str">
        <f>IF(AH$3="","",IF(COUNTIFS(BD!$A$3:$A$5001,AH$3,BD!$B$3:$B$5001,$A$5,BD!$F$3:$F$5001,"&lt;&gt;")=0,"",SUMIFS(BD!$F$3:$F$5001,BD!$A$3:$A$5001,AH$3,BD!$B$3:$B$5001,$A$5)))</f>
        <v/>
      </c>
      <c r="AI8" s="179" t="str">
        <f>IF(AI$3="","",IF(COUNTIFS(BD!$A$3:$A$5001,AI$3,BD!$B$3:$B$5001,$A$5,BD!$F$3:$F$5001,"&lt;&gt;")=0,"",SUMIFS(BD!$F$3:$F$5001,BD!$A$3:$A$5001,AI$3,BD!$B$3:$B$5001,$A$5)))</f>
        <v/>
      </c>
      <c r="AJ8" s="180" t="str">
        <f>IF(AJ$3="","",IF(COUNTIFS(BD!$A$3:$A$5001,AJ$3,BD!$B$3:$B$5001,$A$5,BD!$F$3:$F$5001,"&lt;&gt;")=0,"",SUMIFS(BD!$F$3:$F$5001,BD!$A$3:$A$5001,AJ$3,BD!$B$3:$B$5001,$A$5)))</f>
        <v/>
      </c>
      <c r="AK8" s="181" t="str">
        <f>IF(COUNT(F8:AJ8)=0,"",SUM(F8:AJ8))</f>
        <v/>
      </c>
    </row>
    <row r="9" ht="15.75" customHeight="1">
      <c r="A9" s="277"/>
      <c r="B9" s="266"/>
      <c r="C9" s="186" t="inlineStr">
        <is>
          <t xml:space="preserve">Bags Recebidos</t>
        </is>
      </c>
      <c r="D9" s="187" t="str">
        <f>IFERROR(1/(1/INDEX(BD!$AF$27:$AZ$27,MATCH($A$5,BD!$AF$22:$AZ$22,0))),"")</f>
        <v/>
      </c>
      <c r="E9" s="188"/>
      <c r="F9" s="189" t="str">
        <f>IF(F$3="","",IF(COUNTIFS(BD!$A$3:$A$5001,F$3,BD!$B$3:$B$5001,$A$5,BD!$G$3:$G$5001,"&lt;&gt;")=0,"",SUMIFS(BD!$G$3:$G$5001,BD!$A$3:$A$5001,F$3,BD!$B$3:$B$5001,$A$5)))</f>
        <v/>
      </c>
      <c r="G9" s="190" t="str">
        <f>IF(G$3="","",IF(COUNTIFS(BD!$A$3:$A$5001,G$3,BD!$B$3:$B$5001,$A$5,BD!$G$3:$G$5001,"&lt;&gt;")=0,"",SUMIFS(BD!$G$3:$G$5001,BD!$A$3:$A$5001,G$3,BD!$B$3:$B$5001,$A$5)))</f>
        <v/>
      </c>
      <c r="H9" s="190" t="str">
        <f>IF(H$3="","",IF(COUNTIFS(BD!$A$3:$A$5001,H$3,BD!$B$3:$B$5001,$A$5,BD!$G$3:$G$5001,"&lt;&gt;")=0,"",SUMIFS(BD!$G$3:$G$5001,BD!$A$3:$A$5001,H$3,BD!$B$3:$B$5001,$A$5)))</f>
        <v/>
      </c>
      <c r="I9" s="190" t="str">
        <f>IF(I$3="","",IF(COUNTIFS(BD!$A$3:$A$5001,I$3,BD!$B$3:$B$5001,$A$5,BD!$G$3:$G$5001,"&lt;&gt;")=0,"",SUMIFS(BD!$G$3:$G$5001,BD!$A$3:$A$5001,I$3,BD!$B$3:$B$5001,$A$5)))</f>
        <v/>
      </c>
      <c r="J9" s="190" t="str">
        <f>IF(J$3="","",IF(COUNTIFS(BD!$A$3:$A$5001,J$3,BD!$B$3:$B$5001,$A$5,BD!$G$3:$G$5001,"&lt;&gt;")=0,"",SUMIFS(BD!$G$3:$G$5001,BD!$A$3:$A$5001,J$3,BD!$B$3:$B$5001,$A$5)))</f>
        <v/>
      </c>
      <c r="K9" s="190" t="str">
        <f>IF(K$3="","",IF(COUNTIFS(BD!$A$3:$A$5001,K$3,BD!$B$3:$B$5001,$A$5,BD!$G$3:$G$5001,"&lt;&gt;")=0,"",SUMIFS(BD!$G$3:$G$5001,BD!$A$3:$A$5001,K$3,BD!$B$3:$B$5001,$A$5)))</f>
        <v/>
      </c>
      <c r="L9" s="190" t="str">
        <f>IF(L$3="","",IF(COUNTIFS(BD!$A$3:$A$5001,L$3,BD!$B$3:$B$5001,$A$5,BD!$G$3:$G$5001,"&lt;&gt;")=0,"",SUMIFS(BD!$G$3:$G$5001,BD!$A$3:$A$5001,L$3,BD!$B$3:$B$5001,$A$5)))</f>
        <v/>
      </c>
      <c r="M9" s="190" t="str">
        <f>IF(M$3="","",IF(COUNTIFS(BD!$A$3:$A$5001,M$3,BD!$B$3:$B$5001,$A$5,BD!$G$3:$G$5001,"&lt;&gt;")=0,"",SUMIFS(BD!$G$3:$G$5001,BD!$A$3:$A$5001,M$3,BD!$B$3:$B$5001,$A$5)))</f>
        <v/>
      </c>
      <c r="N9" s="190" t="str">
        <f>IF(N$3="","",IF(COUNTIFS(BD!$A$3:$A$5001,N$3,BD!$B$3:$B$5001,$A$5,BD!$G$3:$G$5001,"&lt;&gt;")=0,"",SUMIFS(BD!$G$3:$G$5001,BD!$A$3:$A$5001,N$3,BD!$B$3:$B$5001,$A$5)))</f>
        <v/>
      </c>
      <c r="O9" s="190" t="str">
        <f>IF(O$3="","",IF(COUNTIFS(BD!$A$3:$A$5001,O$3,BD!$B$3:$B$5001,$A$5,BD!$G$3:$G$5001,"&lt;&gt;")=0,"",SUMIFS(BD!$G$3:$G$5001,BD!$A$3:$A$5001,O$3,BD!$B$3:$B$5001,$A$5)))</f>
        <v/>
      </c>
      <c r="P9" s="190" t="str">
        <f>IF(P$3="","",IF(COUNTIFS(BD!$A$3:$A$5001,P$3,BD!$B$3:$B$5001,$A$5,BD!$G$3:$G$5001,"&lt;&gt;")=0,"",SUMIFS(BD!$G$3:$G$5001,BD!$A$3:$A$5001,P$3,BD!$B$3:$B$5001,$A$5)))</f>
        <v/>
      </c>
      <c r="Q9" s="190" t="str">
        <f>IF(Q$3="","",IF(COUNTIFS(BD!$A$3:$A$5001,Q$3,BD!$B$3:$B$5001,$A$5,BD!$G$3:$G$5001,"&lt;&gt;")=0,"",SUMIFS(BD!$G$3:$G$5001,BD!$A$3:$A$5001,Q$3,BD!$B$3:$B$5001,$A$5)))</f>
        <v/>
      </c>
      <c r="R9" s="190" t="str">
        <f>IF(R$3="","",IF(COUNTIFS(BD!$A$3:$A$5001,R$3,BD!$B$3:$B$5001,$A$5,BD!$G$3:$G$5001,"&lt;&gt;")=0,"",SUMIFS(BD!$G$3:$G$5001,BD!$A$3:$A$5001,R$3,BD!$B$3:$B$5001,$A$5)))</f>
        <v/>
      </c>
      <c r="S9" s="190" t="str">
        <f>IF(S$3="","",IF(COUNTIFS(BD!$A$3:$A$5001,S$3,BD!$B$3:$B$5001,$A$5,BD!$G$3:$G$5001,"&lt;&gt;")=0,"",SUMIFS(BD!$G$3:$G$5001,BD!$A$3:$A$5001,S$3,BD!$B$3:$B$5001,$A$5)))</f>
        <v/>
      </c>
      <c r="T9" s="190" t="str">
        <f>IF(T$3="","",IF(COUNTIFS(BD!$A$3:$A$5001,T$3,BD!$B$3:$B$5001,$A$5,BD!$G$3:$G$5001,"&lt;&gt;")=0,"",SUMIFS(BD!$G$3:$G$5001,BD!$A$3:$A$5001,T$3,BD!$B$3:$B$5001,$A$5)))</f>
        <v/>
      </c>
      <c r="U9" s="190" t="str">
        <f>IF(U$3="","",IF(COUNTIFS(BD!$A$3:$A$5001,U$3,BD!$B$3:$B$5001,$A$5,BD!$G$3:$G$5001,"&lt;&gt;")=0,"",SUMIFS(BD!$G$3:$G$5001,BD!$A$3:$A$5001,U$3,BD!$B$3:$B$5001,$A$5)))</f>
        <v/>
      </c>
      <c r="V9" s="190" t="str">
        <f>IF(V$3="","",IF(COUNTIFS(BD!$A$3:$A$5001,V$3,BD!$B$3:$B$5001,$A$5,BD!$G$3:$G$5001,"&lt;&gt;")=0,"",SUMIFS(BD!$G$3:$G$5001,BD!$A$3:$A$5001,V$3,BD!$B$3:$B$5001,$A$5)))</f>
        <v/>
      </c>
      <c r="W9" s="190" t="str">
        <f>IF(W$3="","",IF(COUNTIFS(BD!$A$3:$A$5001,W$3,BD!$B$3:$B$5001,$A$5,BD!$G$3:$G$5001,"&lt;&gt;")=0,"",SUMIFS(BD!$G$3:$G$5001,BD!$A$3:$A$5001,W$3,BD!$B$3:$B$5001,$A$5)))</f>
        <v/>
      </c>
      <c r="X9" s="190" t="str">
        <f>IF(X$3="","",IF(COUNTIFS(BD!$A$3:$A$5001,X$3,BD!$B$3:$B$5001,$A$5,BD!$G$3:$G$5001,"&lt;&gt;")=0,"",SUMIFS(BD!$G$3:$G$5001,BD!$A$3:$A$5001,X$3,BD!$B$3:$B$5001,$A$5)))</f>
        <v/>
      </c>
      <c r="Y9" s="190" t="str">
        <f>IF(Y$3="","",IF(COUNTIFS(BD!$A$3:$A$5001,Y$3,BD!$B$3:$B$5001,$A$5,BD!$G$3:$G$5001,"&lt;&gt;")=0,"",SUMIFS(BD!$G$3:$G$5001,BD!$A$3:$A$5001,Y$3,BD!$B$3:$B$5001,$A$5)))</f>
        <v/>
      </c>
      <c r="Z9" s="190" t="str">
        <f>IF(Z$3="","",IF(COUNTIFS(BD!$A$3:$A$5001,Z$3,BD!$B$3:$B$5001,$A$5,BD!$G$3:$G$5001,"&lt;&gt;")=0,"",SUMIFS(BD!$G$3:$G$5001,BD!$A$3:$A$5001,Z$3,BD!$B$3:$B$5001,$A$5)))</f>
        <v/>
      </c>
      <c r="AA9" s="190" t="str">
        <f>IF(AA$3="","",IF(COUNTIFS(BD!$A$3:$A$5001,AA$3,BD!$B$3:$B$5001,$A$5,BD!$G$3:$G$5001,"&lt;&gt;")=0,"",SUMIFS(BD!$G$3:$G$5001,BD!$A$3:$A$5001,AA$3,BD!$B$3:$B$5001,$A$5)))</f>
        <v/>
      </c>
      <c r="AB9" s="190" t="str">
        <f>IF(AB$3="","",IF(COUNTIFS(BD!$A$3:$A$5001,AB$3,BD!$B$3:$B$5001,$A$5,BD!$G$3:$G$5001,"&lt;&gt;")=0,"",SUMIFS(BD!$G$3:$G$5001,BD!$A$3:$A$5001,AB$3,BD!$B$3:$B$5001,$A$5)))</f>
        <v/>
      </c>
      <c r="AC9" s="190" t="str">
        <f>IF(AC$3="","",IF(COUNTIFS(BD!$A$3:$A$5001,AC$3,BD!$B$3:$B$5001,$A$5,BD!$G$3:$G$5001,"&lt;&gt;")=0,"",SUMIFS(BD!$G$3:$G$5001,BD!$A$3:$A$5001,AC$3,BD!$B$3:$B$5001,$A$5)))</f>
        <v/>
      </c>
      <c r="AD9" s="190" t="str">
        <f>IF(AD$3="","",IF(COUNTIFS(BD!$A$3:$A$5001,AD$3,BD!$B$3:$B$5001,$A$5,BD!$G$3:$G$5001,"&lt;&gt;")=0,"",SUMIFS(BD!$G$3:$G$5001,BD!$A$3:$A$5001,AD$3,BD!$B$3:$B$5001,$A$5)))</f>
        <v/>
      </c>
      <c r="AE9" s="190" t="str">
        <f>IF(AE$3="","",IF(COUNTIFS(BD!$A$3:$A$5001,AE$3,BD!$B$3:$B$5001,$A$5,BD!$G$3:$G$5001,"&lt;&gt;")=0,"",SUMIFS(BD!$G$3:$G$5001,BD!$A$3:$A$5001,AE$3,BD!$B$3:$B$5001,$A$5)))</f>
        <v/>
      </c>
      <c r="AF9" s="190" t="str">
        <f>IF(AF$3="","",IF(COUNTIFS(BD!$A$3:$A$5001,AF$3,BD!$B$3:$B$5001,$A$5,BD!$G$3:$G$5001,"&lt;&gt;")=0,"",SUMIFS(BD!$G$3:$G$5001,BD!$A$3:$A$5001,AF$3,BD!$B$3:$B$5001,$A$5)))</f>
        <v/>
      </c>
      <c r="AG9" s="190" t="str">
        <f>IF(AG$3="","",IF(COUNTIFS(BD!$A$3:$A$5001,AG$3,BD!$B$3:$B$5001,$A$5,BD!$G$3:$G$5001,"&lt;&gt;")=0,"",SUMIFS(BD!$G$3:$G$5001,BD!$A$3:$A$5001,AG$3,BD!$B$3:$B$5001,$A$5)))</f>
        <v/>
      </c>
      <c r="AH9" s="190" t="str">
        <f>IF(AH$3="","",IF(COUNTIFS(BD!$A$3:$A$5001,AH$3,BD!$B$3:$B$5001,$A$5,BD!$G$3:$G$5001,"&lt;&gt;")=0,"",SUMIFS(BD!$G$3:$G$5001,BD!$A$3:$A$5001,AH$3,BD!$B$3:$B$5001,$A$5)))</f>
        <v/>
      </c>
      <c r="AI9" s="190" t="str">
        <f>IF(AI$3="","",IF(COUNTIFS(BD!$A$3:$A$5001,AI$3,BD!$B$3:$B$5001,$A$5,BD!$G$3:$G$5001,"&lt;&gt;")=0,"",SUMIFS(BD!$G$3:$G$5001,BD!$A$3:$A$5001,AI$3,BD!$B$3:$B$5001,$A$5)))</f>
        <v/>
      </c>
      <c r="AJ9" s="191" t="str">
        <f>IF(AJ$3="","",IF(COUNTIFS(BD!$A$3:$A$5001,AJ$3,BD!$B$3:$B$5001,$A$5,BD!$G$3:$G$5001,"&lt;&gt;")=0,"",SUMIFS(BD!$G$3:$G$5001,BD!$A$3:$A$5001,AJ$3,BD!$B$3:$B$5001,$A$5)))</f>
        <v/>
      </c>
      <c r="AK9" s="187" t="str">
        <f>IF(COUNT(F9:AJ9)=0,"",SUM(F9:AJ9))</f>
        <v/>
      </c>
    </row>
    <row r="10" ht="15.75" customHeight="1">
      <c r="A10" s="277"/>
      <c r="B10" s="267" t="inlineStr">
        <is>
          <t xml:space="preserve">OUT</t>
        </is>
      </c>
      <c r="C10" s="192" t="inlineStr">
        <is>
          <t xml:space="preserve">Veículos Expedidos</t>
        </is>
      </c>
      <c r="D10" s="193" t="str">
        <f>IFERROR(1/(1/INDEX(BD!$AF$28:$AZ$28,MATCH($A$5,BD!$AF$22:$AZ$22,0))),"")</f>
        <v/>
      </c>
      <c r="E10" s="194"/>
      <c r="F10" s="195" t="str">
        <f>IF(F$3="","",IF(COUNTIFS(BD!$A$3:$A$5001,F$3,BD!$B$3:$B$5001,$A$5,BD!$H$3:$H$5001,"&lt;&gt;")=0,"",SUMIFS(BD!$H$3:$H$5001,BD!$A$3:$A$5001,F$3,BD!$B$3:$B$5001,$A$5)))</f>
        <v/>
      </c>
      <c r="G10" s="196" t="str">
        <f>IF(G$3="","",IF(COUNTIFS(BD!$A$3:$A$5001,G$3,BD!$B$3:$B$5001,$A$5,BD!$H$3:$H$5001,"&lt;&gt;")=0,"",SUMIFS(BD!$H$3:$H$5001,BD!$A$3:$A$5001,G$3,BD!$B$3:$B$5001,$A$5)))</f>
        <v/>
      </c>
      <c r="H10" s="196" t="str">
        <f>IF(H$3="","",IF(COUNTIFS(BD!$A$3:$A$5001,H$3,BD!$B$3:$B$5001,$A$5,BD!$H$3:$H$5001,"&lt;&gt;")=0,"",SUMIFS(BD!$H$3:$H$5001,BD!$A$3:$A$5001,H$3,BD!$B$3:$B$5001,$A$5)))</f>
        <v/>
      </c>
      <c r="I10" s="196" t="str">
        <f>IF(I$3="","",IF(COUNTIFS(BD!$A$3:$A$5001,I$3,BD!$B$3:$B$5001,$A$5,BD!$H$3:$H$5001,"&lt;&gt;")=0,"",SUMIFS(BD!$H$3:$H$5001,BD!$A$3:$A$5001,I$3,BD!$B$3:$B$5001,$A$5)))</f>
        <v/>
      </c>
      <c r="J10" s="196" t="str">
        <f>IF(J$3="","",IF(COUNTIFS(BD!$A$3:$A$5001,J$3,BD!$B$3:$B$5001,$A$5,BD!$H$3:$H$5001,"&lt;&gt;")=0,"",SUMIFS(BD!$H$3:$H$5001,BD!$A$3:$A$5001,J$3,BD!$B$3:$B$5001,$A$5)))</f>
        <v/>
      </c>
      <c r="K10" s="196" t="str">
        <f>IF(K$3="","",IF(COUNTIFS(BD!$A$3:$A$5001,K$3,BD!$B$3:$B$5001,$A$5,BD!$H$3:$H$5001,"&lt;&gt;")=0,"",SUMIFS(BD!$H$3:$H$5001,BD!$A$3:$A$5001,K$3,BD!$B$3:$B$5001,$A$5)))</f>
        <v/>
      </c>
      <c r="L10" s="196" t="str">
        <f>IF(L$3="","",IF(COUNTIFS(BD!$A$3:$A$5001,L$3,BD!$B$3:$B$5001,$A$5,BD!$H$3:$H$5001,"&lt;&gt;")=0,"",SUMIFS(BD!$H$3:$H$5001,BD!$A$3:$A$5001,L$3,BD!$B$3:$B$5001,$A$5)))</f>
        <v/>
      </c>
      <c r="M10" s="196" t="str">
        <f>IF(M$3="","",IF(COUNTIFS(BD!$A$3:$A$5001,M$3,BD!$B$3:$B$5001,$A$5,BD!$H$3:$H$5001,"&lt;&gt;")=0,"",SUMIFS(BD!$H$3:$H$5001,BD!$A$3:$A$5001,M$3,BD!$B$3:$B$5001,$A$5)))</f>
        <v/>
      </c>
      <c r="N10" s="196" t="str">
        <f>IF(N$3="","",IF(COUNTIFS(BD!$A$3:$A$5001,N$3,BD!$B$3:$B$5001,$A$5,BD!$H$3:$H$5001,"&lt;&gt;")=0,"",SUMIFS(BD!$H$3:$H$5001,BD!$A$3:$A$5001,N$3,BD!$B$3:$B$5001,$A$5)))</f>
        <v/>
      </c>
      <c r="O10" s="196" t="str">
        <f>IF(O$3="","",IF(COUNTIFS(BD!$A$3:$A$5001,O$3,BD!$B$3:$B$5001,$A$5,BD!$H$3:$H$5001,"&lt;&gt;")=0,"",SUMIFS(BD!$H$3:$H$5001,BD!$A$3:$A$5001,O$3,BD!$B$3:$B$5001,$A$5)))</f>
        <v/>
      </c>
      <c r="P10" s="196" t="str">
        <f>IF(P$3="","",IF(COUNTIFS(BD!$A$3:$A$5001,P$3,BD!$B$3:$B$5001,$A$5,BD!$H$3:$H$5001,"&lt;&gt;")=0,"",SUMIFS(BD!$H$3:$H$5001,BD!$A$3:$A$5001,P$3,BD!$B$3:$B$5001,$A$5)))</f>
        <v/>
      </c>
      <c r="Q10" s="196" t="str">
        <f>IF(Q$3="","",IF(COUNTIFS(BD!$A$3:$A$5001,Q$3,BD!$B$3:$B$5001,$A$5,BD!$H$3:$H$5001,"&lt;&gt;")=0,"",SUMIFS(BD!$H$3:$H$5001,BD!$A$3:$A$5001,Q$3,BD!$B$3:$B$5001,$A$5)))</f>
        <v/>
      </c>
      <c r="R10" s="196" t="str">
        <f>IF(R$3="","",IF(COUNTIFS(BD!$A$3:$A$5001,R$3,BD!$B$3:$B$5001,$A$5,BD!$H$3:$H$5001,"&lt;&gt;")=0,"",SUMIFS(BD!$H$3:$H$5001,BD!$A$3:$A$5001,R$3,BD!$B$3:$B$5001,$A$5)))</f>
        <v/>
      </c>
      <c r="S10" s="196" t="str">
        <f>IF(S$3="","",IF(COUNTIFS(BD!$A$3:$A$5001,S$3,BD!$B$3:$B$5001,$A$5,BD!$H$3:$H$5001,"&lt;&gt;")=0,"",SUMIFS(BD!$H$3:$H$5001,BD!$A$3:$A$5001,S$3,BD!$B$3:$B$5001,$A$5)))</f>
        <v/>
      </c>
      <c r="T10" s="196" t="str">
        <f>IF(T$3="","",IF(COUNTIFS(BD!$A$3:$A$5001,T$3,BD!$B$3:$B$5001,$A$5,BD!$H$3:$H$5001,"&lt;&gt;")=0,"",SUMIFS(BD!$H$3:$H$5001,BD!$A$3:$A$5001,T$3,BD!$B$3:$B$5001,$A$5)))</f>
        <v/>
      </c>
      <c r="U10" s="196" t="str">
        <f>IF(U$3="","",IF(COUNTIFS(BD!$A$3:$A$5001,U$3,BD!$B$3:$B$5001,$A$5,BD!$H$3:$H$5001,"&lt;&gt;")=0,"",SUMIFS(BD!$H$3:$H$5001,BD!$A$3:$A$5001,U$3,BD!$B$3:$B$5001,$A$5)))</f>
        <v/>
      </c>
      <c r="V10" s="196" t="str">
        <f>IF(V$3="","",IF(COUNTIFS(BD!$A$3:$A$5001,V$3,BD!$B$3:$B$5001,$A$5,BD!$H$3:$H$5001,"&lt;&gt;")=0,"",SUMIFS(BD!$H$3:$H$5001,BD!$A$3:$A$5001,V$3,BD!$B$3:$B$5001,$A$5)))</f>
        <v/>
      </c>
      <c r="W10" s="196" t="str">
        <f>IF(W$3="","",IF(COUNTIFS(BD!$A$3:$A$5001,W$3,BD!$B$3:$B$5001,$A$5,BD!$H$3:$H$5001,"&lt;&gt;")=0,"",SUMIFS(BD!$H$3:$H$5001,BD!$A$3:$A$5001,W$3,BD!$B$3:$B$5001,$A$5)))</f>
        <v/>
      </c>
      <c r="X10" s="196" t="str">
        <f>IF(X$3="","",IF(COUNTIFS(BD!$A$3:$A$5001,X$3,BD!$B$3:$B$5001,$A$5,BD!$H$3:$H$5001,"&lt;&gt;")=0,"",SUMIFS(BD!$H$3:$H$5001,BD!$A$3:$A$5001,X$3,BD!$B$3:$B$5001,$A$5)))</f>
        <v/>
      </c>
      <c r="Y10" s="196" t="str">
        <f>IF(Y$3="","",IF(COUNTIFS(BD!$A$3:$A$5001,Y$3,BD!$B$3:$B$5001,$A$5,BD!$H$3:$H$5001,"&lt;&gt;")=0,"",SUMIFS(BD!$H$3:$H$5001,BD!$A$3:$A$5001,Y$3,BD!$B$3:$B$5001,$A$5)))</f>
        <v/>
      </c>
      <c r="Z10" s="196" t="str">
        <f>IF(Z$3="","",IF(COUNTIFS(BD!$A$3:$A$5001,Z$3,BD!$B$3:$B$5001,$A$5,BD!$H$3:$H$5001,"&lt;&gt;")=0,"",SUMIFS(BD!$H$3:$H$5001,BD!$A$3:$A$5001,Z$3,BD!$B$3:$B$5001,$A$5)))</f>
        <v/>
      </c>
      <c r="AA10" s="196" t="str">
        <f>IF(AA$3="","",IF(COUNTIFS(BD!$A$3:$A$5001,AA$3,BD!$B$3:$B$5001,$A$5,BD!$H$3:$H$5001,"&lt;&gt;")=0,"",SUMIFS(BD!$H$3:$H$5001,BD!$A$3:$A$5001,AA$3,BD!$B$3:$B$5001,$A$5)))</f>
        <v/>
      </c>
      <c r="AB10" s="196" t="str">
        <f>IF(AB$3="","",IF(COUNTIFS(BD!$A$3:$A$5001,AB$3,BD!$B$3:$B$5001,$A$5,BD!$H$3:$H$5001,"&lt;&gt;")=0,"",SUMIFS(BD!$H$3:$H$5001,BD!$A$3:$A$5001,AB$3,BD!$B$3:$B$5001,$A$5)))</f>
        <v/>
      </c>
      <c r="AC10" s="196" t="str">
        <f>IF(AC$3="","",IF(COUNTIFS(BD!$A$3:$A$5001,AC$3,BD!$B$3:$B$5001,$A$5,BD!$H$3:$H$5001,"&lt;&gt;")=0,"",SUMIFS(BD!$H$3:$H$5001,BD!$A$3:$A$5001,AC$3,BD!$B$3:$B$5001,$A$5)))</f>
        <v/>
      </c>
      <c r="AD10" s="196" t="str">
        <f>IF(AD$3="","",IF(COUNTIFS(BD!$A$3:$A$5001,AD$3,BD!$B$3:$B$5001,$A$5,BD!$H$3:$H$5001,"&lt;&gt;")=0,"",SUMIFS(BD!$H$3:$H$5001,BD!$A$3:$A$5001,AD$3,BD!$B$3:$B$5001,$A$5)))</f>
        <v/>
      </c>
      <c r="AE10" s="196" t="str">
        <f>IF(AE$3="","",IF(COUNTIFS(BD!$A$3:$A$5001,AE$3,BD!$B$3:$B$5001,$A$5,BD!$H$3:$H$5001,"&lt;&gt;")=0,"",SUMIFS(BD!$H$3:$H$5001,BD!$A$3:$A$5001,AE$3,BD!$B$3:$B$5001,$A$5)))</f>
        <v/>
      </c>
      <c r="AF10" s="196" t="str">
        <f>IF(AF$3="","",IF(COUNTIFS(BD!$A$3:$A$5001,AF$3,BD!$B$3:$B$5001,$A$5,BD!$H$3:$H$5001,"&lt;&gt;")=0,"",SUMIFS(BD!$H$3:$H$5001,BD!$A$3:$A$5001,AF$3,BD!$B$3:$B$5001,$A$5)))</f>
        <v/>
      </c>
      <c r="AG10" s="196" t="str">
        <f>IF(AG$3="","",IF(COUNTIFS(BD!$A$3:$A$5001,AG$3,BD!$B$3:$B$5001,$A$5,BD!$H$3:$H$5001,"&lt;&gt;")=0,"",SUMIFS(BD!$H$3:$H$5001,BD!$A$3:$A$5001,AG$3,BD!$B$3:$B$5001,$A$5)))</f>
        <v/>
      </c>
      <c r="AH10" s="196" t="str">
        <f>IF(AH$3="","",IF(COUNTIFS(BD!$A$3:$A$5001,AH$3,BD!$B$3:$B$5001,$A$5,BD!$H$3:$H$5001,"&lt;&gt;")=0,"",SUMIFS(BD!$H$3:$H$5001,BD!$A$3:$A$5001,AH$3,BD!$B$3:$B$5001,$A$5)))</f>
        <v/>
      </c>
      <c r="AI10" s="196" t="str">
        <f>IF(AI$3="","",IF(COUNTIFS(BD!$A$3:$A$5001,AI$3,BD!$B$3:$B$5001,$A$5,BD!$H$3:$H$5001,"&lt;&gt;")=0,"",SUMIFS(BD!$H$3:$H$5001,BD!$A$3:$A$5001,AI$3,BD!$B$3:$B$5001,$A$5)))</f>
        <v/>
      </c>
      <c r="AJ10" s="197" t="str">
        <f>IF(AJ$3="","",IF(COUNTIFS(BD!$A$3:$A$5001,AJ$3,BD!$B$3:$B$5001,$A$5,BD!$H$3:$H$5001,"&lt;&gt;")=0,"",SUMIFS(BD!$H$3:$H$5001,BD!$A$3:$A$5001,AJ$3,BD!$B$3:$B$5001,$A$5)))</f>
        <v/>
      </c>
      <c r="AK10" s="198" t="str">
        <f>IF(COUNT(F10:AJ10)=0,"",SUM(F10:AJ10))</f>
        <v/>
      </c>
    </row>
    <row r="11" ht="15.75" customHeight="1">
      <c r="A11" s="277"/>
      <c r="B11" s="268"/>
      <c r="C11" s="199" t="inlineStr">
        <is>
          <t xml:space="preserve">Pallets Movimentados</t>
        </is>
      </c>
      <c r="D11" s="200" t="str">
        <f>IFERROR(1/(1/INDEX(BD!$AF$29:$AZ$29,MATCH($A$5,BD!$AF$22:$AZ$22,0))),"")</f>
        <v/>
      </c>
      <c r="E11" s="201"/>
      <c r="F11" s="202" t="str">
        <f>IF(F$3="","",IF(COUNTIFS(BD!$A$3:$A$5001,F$3,BD!$B$3:$B$5001,$A$5,BD!$I$3:$I$5001,"&lt;&gt;")=0,"",SUMIFS(BD!$I$3:$I$5001,BD!$A$3:$A$5001,F$3,BD!$B$3:$B$5001,$A$5)))</f>
        <v/>
      </c>
      <c r="G11" s="203" t="str">
        <f>IF(G$3="","",IF(COUNTIFS(BD!$A$3:$A$5001,G$3,BD!$B$3:$B$5001,$A$5,BD!$I$3:$I$5001,"&lt;&gt;")=0,"",SUMIFS(BD!$I$3:$I$5001,BD!$A$3:$A$5001,G$3,BD!$B$3:$B$5001,$A$5)))</f>
        <v/>
      </c>
      <c r="H11" s="203" t="str">
        <f>IF(H$3="","",IF(COUNTIFS(BD!$A$3:$A$5001,H$3,BD!$B$3:$B$5001,$A$5,BD!$I$3:$I$5001,"&lt;&gt;")=0,"",SUMIFS(BD!$I$3:$I$5001,BD!$A$3:$A$5001,H$3,BD!$B$3:$B$5001,$A$5)))</f>
        <v/>
      </c>
      <c r="I11" s="203" t="str">
        <f>IF(I$3="","",IF(COUNTIFS(BD!$A$3:$A$5001,I$3,BD!$B$3:$B$5001,$A$5,BD!$I$3:$I$5001,"&lt;&gt;")=0,"",SUMIFS(BD!$I$3:$I$5001,BD!$A$3:$A$5001,I$3,BD!$B$3:$B$5001,$A$5)))</f>
        <v/>
      </c>
      <c r="J11" s="203" t="str">
        <f>IF(J$3="","",IF(COUNTIFS(BD!$A$3:$A$5001,J$3,BD!$B$3:$B$5001,$A$5,BD!$I$3:$I$5001,"&lt;&gt;")=0,"",SUMIFS(BD!$I$3:$I$5001,BD!$A$3:$A$5001,J$3,BD!$B$3:$B$5001,$A$5)))</f>
        <v/>
      </c>
      <c r="K11" s="203" t="str">
        <f>IF(K$3="","",IF(COUNTIFS(BD!$A$3:$A$5001,K$3,BD!$B$3:$B$5001,$A$5,BD!$I$3:$I$5001,"&lt;&gt;")=0,"",SUMIFS(BD!$I$3:$I$5001,BD!$A$3:$A$5001,K$3,BD!$B$3:$B$5001,$A$5)))</f>
        <v/>
      </c>
      <c r="L11" s="203" t="str">
        <f>IF(L$3="","",IF(COUNTIFS(BD!$A$3:$A$5001,L$3,BD!$B$3:$B$5001,$A$5,BD!$I$3:$I$5001,"&lt;&gt;")=0,"",SUMIFS(BD!$I$3:$I$5001,BD!$A$3:$A$5001,L$3,BD!$B$3:$B$5001,$A$5)))</f>
        <v/>
      </c>
      <c r="M11" s="203" t="str">
        <f>IF(M$3="","",IF(COUNTIFS(BD!$A$3:$A$5001,M$3,BD!$B$3:$B$5001,$A$5,BD!$I$3:$I$5001,"&lt;&gt;")=0,"",SUMIFS(BD!$I$3:$I$5001,BD!$A$3:$A$5001,M$3,BD!$B$3:$B$5001,$A$5)))</f>
        <v/>
      </c>
      <c r="N11" s="203" t="str">
        <f>IF(N$3="","",IF(COUNTIFS(BD!$A$3:$A$5001,N$3,BD!$B$3:$B$5001,$A$5,BD!$I$3:$I$5001,"&lt;&gt;")=0,"",SUMIFS(BD!$I$3:$I$5001,BD!$A$3:$A$5001,N$3,BD!$B$3:$B$5001,$A$5)))</f>
        <v/>
      </c>
      <c r="O11" s="203" t="str">
        <f>IF(O$3="","",IF(COUNTIFS(BD!$A$3:$A$5001,O$3,BD!$B$3:$B$5001,$A$5,BD!$I$3:$I$5001,"&lt;&gt;")=0,"",SUMIFS(BD!$I$3:$I$5001,BD!$A$3:$A$5001,O$3,BD!$B$3:$B$5001,$A$5)))</f>
        <v/>
      </c>
      <c r="P11" s="203" t="str">
        <f>IF(P$3="","",IF(COUNTIFS(BD!$A$3:$A$5001,P$3,BD!$B$3:$B$5001,$A$5,BD!$I$3:$I$5001,"&lt;&gt;")=0,"",SUMIFS(BD!$I$3:$I$5001,BD!$A$3:$A$5001,P$3,BD!$B$3:$B$5001,$A$5)))</f>
        <v/>
      </c>
      <c r="Q11" s="203" t="str">
        <f>IF(Q$3="","",IF(COUNTIFS(BD!$A$3:$A$5001,Q$3,BD!$B$3:$B$5001,$A$5,BD!$I$3:$I$5001,"&lt;&gt;")=0,"",SUMIFS(BD!$I$3:$I$5001,BD!$A$3:$A$5001,Q$3,BD!$B$3:$B$5001,$A$5)))</f>
        <v/>
      </c>
      <c r="R11" s="203" t="str">
        <f>IF(R$3="","",IF(COUNTIFS(BD!$A$3:$A$5001,R$3,BD!$B$3:$B$5001,$A$5,BD!$I$3:$I$5001,"&lt;&gt;")=0,"",SUMIFS(BD!$I$3:$I$5001,BD!$A$3:$A$5001,R$3,BD!$B$3:$B$5001,$A$5)))</f>
        <v/>
      </c>
      <c r="S11" s="203" t="str">
        <f>IF(S$3="","",IF(COUNTIFS(BD!$A$3:$A$5001,S$3,BD!$B$3:$B$5001,$A$5,BD!$I$3:$I$5001,"&lt;&gt;")=0,"",SUMIFS(BD!$I$3:$I$5001,BD!$A$3:$A$5001,S$3,BD!$B$3:$B$5001,$A$5)))</f>
        <v/>
      </c>
      <c r="T11" s="203" t="str">
        <f>IF(T$3="","",IF(COUNTIFS(BD!$A$3:$A$5001,T$3,BD!$B$3:$B$5001,$A$5,BD!$I$3:$I$5001,"&lt;&gt;")=0,"",SUMIFS(BD!$I$3:$I$5001,BD!$A$3:$A$5001,T$3,BD!$B$3:$B$5001,$A$5)))</f>
        <v/>
      </c>
      <c r="U11" s="203" t="str">
        <f>IF(U$3="","",IF(COUNTIFS(BD!$A$3:$A$5001,U$3,BD!$B$3:$B$5001,$A$5,BD!$I$3:$I$5001,"&lt;&gt;")=0,"",SUMIFS(BD!$I$3:$I$5001,BD!$A$3:$A$5001,U$3,BD!$B$3:$B$5001,$A$5)))</f>
        <v/>
      </c>
      <c r="V11" s="203" t="str">
        <f>IF(V$3="","",IF(COUNTIFS(BD!$A$3:$A$5001,V$3,BD!$B$3:$B$5001,$A$5,BD!$I$3:$I$5001,"&lt;&gt;")=0,"",SUMIFS(BD!$I$3:$I$5001,BD!$A$3:$A$5001,V$3,BD!$B$3:$B$5001,$A$5)))</f>
        <v/>
      </c>
      <c r="W11" s="203" t="str">
        <f>IF(W$3="","",IF(COUNTIFS(BD!$A$3:$A$5001,W$3,BD!$B$3:$B$5001,$A$5,BD!$I$3:$I$5001,"&lt;&gt;")=0,"",SUMIFS(BD!$I$3:$I$5001,BD!$A$3:$A$5001,W$3,BD!$B$3:$B$5001,$A$5)))</f>
        <v/>
      </c>
      <c r="X11" s="203" t="str">
        <f>IF(X$3="","",IF(COUNTIFS(BD!$A$3:$A$5001,X$3,BD!$B$3:$B$5001,$A$5,BD!$I$3:$I$5001,"&lt;&gt;")=0,"",SUMIFS(BD!$I$3:$I$5001,BD!$A$3:$A$5001,X$3,BD!$B$3:$B$5001,$A$5)))</f>
        <v/>
      </c>
      <c r="Y11" s="203" t="str">
        <f>IF(Y$3="","",IF(COUNTIFS(BD!$A$3:$A$5001,Y$3,BD!$B$3:$B$5001,$A$5,BD!$I$3:$I$5001,"&lt;&gt;")=0,"",SUMIFS(BD!$I$3:$I$5001,BD!$A$3:$A$5001,Y$3,BD!$B$3:$B$5001,$A$5)))</f>
        <v/>
      </c>
      <c r="Z11" s="203" t="str">
        <f>IF(Z$3="","",IF(COUNTIFS(BD!$A$3:$A$5001,Z$3,BD!$B$3:$B$5001,$A$5,BD!$I$3:$I$5001,"&lt;&gt;")=0,"",SUMIFS(BD!$I$3:$I$5001,BD!$A$3:$A$5001,Z$3,BD!$B$3:$B$5001,$A$5)))</f>
        <v/>
      </c>
      <c r="AA11" s="203" t="str">
        <f>IF(AA$3="","",IF(COUNTIFS(BD!$A$3:$A$5001,AA$3,BD!$B$3:$B$5001,$A$5,BD!$I$3:$I$5001,"&lt;&gt;")=0,"",SUMIFS(BD!$I$3:$I$5001,BD!$A$3:$A$5001,AA$3,BD!$B$3:$B$5001,$A$5)))</f>
        <v/>
      </c>
      <c r="AB11" s="203" t="str">
        <f>IF(AB$3="","",IF(COUNTIFS(BD!$A$3:$A$5001,AB$3,BD!$B$3:$B$5001,$A$5,BD!$I$3:$I$5001,"&lt;&gt;")=0,"",SUMIFS(BD!$I$3:$I$5001,BD!$A$3:$A$5001,AB$3,BD!$B$3:$B$5001,$A$5)))</f>
        <v/>
      </c>
      <c r="AC11" s="203" t="str">
        <f>IF(AC$3="","",IF(COUNTIFS(BD!$A$3:$A$5001,AC$3,BD!$B$3:$B$5001,$A$5,BD!$I$3:$I$5001,"&lt;&gt;")=0,"",SUMIFS(BD!$I$3:$I$5001,BD!$A$3:$A$5001,AC$3,BD!$B$3:$B$5001,$A$5)))</f>
        <v/>
      </c>
      <c r="AD11" s="203" t="str">
        <f>IF(AD$3="","",IF(COUNTIFS(BD!$A$3:$A$5001,AD$3,BD!$B$3:$B$5001,$A$5,BD!$I$3:$I$5001,"&lt;&gt;")=0,"",SUMIFS(BD!$I$3:$I$5001,BD!$A$3:$A$5001,AD$3,BD!$B$3:$B$5001,$A$5)))</f>
        <v/>
      </c>
      <c r="AE11" s="203" t="str">
        <f>IF(AE$3="","",IF(COUNTIFS(BD!$A$3:$A$5001,AE$3,BD!$B$3:$B$5001,$A$5,BD!$I$3:$I$5001,"&lt;&gt;")=0,"",SUMIFS(BD!$I$3:$I$5001,BD!$A$3:$A$5001,AE$3,BD!$B$3:$B$5001,$A$5)))</f>
        <v/>
      </c>
      <c r="AF11" s="203" t="str">
        <f>IF(AF$3="","",IF(COUNTIFS(BD!$A$3:$A$5001,AF$3,BD!$B$3:$B$5001,$A$5,BD!$I$3:$I$5001,"&lt;&gt;")=0,"",SUMIFS(BD!$I$3:$I$5001,BD!$A$3:$A$5001,AF$3,BD!$B$3:$B$5001,$A$5)))</f>
        <v/>
      </c>
      <c r="AG11" s="203" t="str">
        <f>IF(AG$3="","",IF(COUNTIFS(BD!$A$3:$A$5001,AG$3,BD!$B$3:$B$5001,$A$5,BD!$I$3:$I$5001,"&lt;&gt;")=0,"",SUMIFS(BD!$I$3:$I$5001,BD!$A$3:$A$5001,AG$3,BD!$B$3:$B$5001,$A$5)))</f>
        <v/>
      </c>
      <c r="AH11" s="203" t="str">
        <f>IF(AH$3="","",IF(COUNTIFS(BD!$A$3:$A$5001,AH$3,BD!$B$3:$B$5001,$A$5,BD!$I$3:$I$5001,"&lt;&gt;")=0,"",SUMIFS(BD!$I$3:$I$5001,BD!$A$3:$A$5001,AH$3,BD!$B$3:$B$5001,$A$5)))</f>
        <v/>
      </c>
      <c r="AI11" s="203" t="str">
        <f>IF(AI$3="","",IF(COUNTIFS(BD!$A$3:$A$5001,AI$3,BD!$B$3:$B$5001,$A$5,BD!$I$3:$I$5001,"&lt;&gt;")=0,"",SUMIFS(BD!$I$3:$I$5001,BD!$A$3:$A$5001,AI$3,BD!$B$3:$B$5001,$A$5)))</f>
        <v/>
      </c>
      <c r="AJ11" s="204" t="str">
        <f>IF(AJ$3="","",IF(COUNTIFS(BD!$A$3:$A$5001,AJ$3,BD!$B$3:$B$5001,$A$5,BD!$I$3:$I$5001,"&lt;&gt;")=0,"",SUMIFS(BD!$I$3:$I$5001,BD!$A$3:$A$5001,AJ$3,BD!$B$3:$B$5001,$A$5)))</f>
        <v/>
      </c>
      <c r="AK11" s="205" t="str">
        <f>IF(COUNT(F11:AJ11)=0,"",SUM(F11:AJ11))</f>
        <v/>
      </c>
    </row>
    <row r="12" ht="15.75" customHeight="1">
      <c r="A12" s="277"/>
      <c r="B12" s="268"/>
      <c r="C12" s="199" t="inlineStr">
        <is>
          <t xml:space="preserve">Toneladas Movimentadas</t>
        </is>
      </c>
      <c r="D12" s="200" t="str">
        <f>IFERROR(1/(1/INDEX(BD!$AF$30:$AZ$30,MATCH($A$5,BD!$AF$22:$AZ$22,0))),"")</f>
        <v/>
      </c>
      <c r="E12" s="201"/>
      <c r="F12" s="206" t="str">
        <f>IF(F$3="","",IF(COUNTIFS(BD!$A$3:$A$5001,F$3,BD!$B$3:$B$5001,$A$5,BD!$J$3:$J$5001,"&lt;&gt;")=0,"",SUMIFS(BD!$J$3:$J$5001,BD!$A$3:$A$5001,F$3,BD!$B$3:$B$5001,$A$5)))</f>
        <v/>
      </c>
      <c r="G12" s="207" t="str">
        <f>IF(G$3="","",IF(COUNTIFS(BD!$A$3:$A$5001,G$3,BD!$B$3:$B$5001,$A$5,BD!$J$3:$J$5001,"&lt;&gt;")=0,"",SUMIFS(BD!$J$3:$J$5001,BD!$A$3:$A$5001,G$3,BD!$B$3:$B$5001,$A$5)))</f>
        <v/>
      </c>
      <c r="H12" s="207" t="str">
        <f>IF(H$3="","",IF(COUNTIFS(BD!$A$3:$A$5001,H$3,BD!$B$3:$B$5001,$A$5,BD!$J$3:$J$5001,"&lt;&gt;")=0,"",SUMIFS(BD!$J$3:$J$5001,BD!$A$3:$A$5001,H$3,BD!$B$3:$B$5001,$A$5)))</f>
        <v/>
      </c>
      <c r="I12" s="207" t="str">
        <f>IF(I$3="","",IF(COUNTIFS(BD!$A$3:$A$5001,I$3,BD!$B$3:$B$5001,$A$5,BD!$J$3:$J$5001,"&lt;&gt;")=0,"",SUMIFS(BD!$J$3:$J$5001,BD!$A$3:$A$5001,I$3,BD!$B$3:$B$5001,$A$5)))</f>
        <v/>
      </c>
      <c r="J12" s="207" t="str">
        <f>IF(J$3="","",IF(COUNTIFS(BD!$A$3:$A$5001,J$3,BD!$B$3:$B$5001,$A$5,BD!$J$3:$J$5001,"&lt;&gt;")=0,"",SUMIFS(BD!$J$3:$J$5001,BD!$A$3:$A$5001,J$3,BD!$B$3:$B$5001,$A$5)))</f>
        <v/>
      </c>
      <c r="K12" s="207" t="str">
        <f>IF(K$3="","",IF(COUNTIFS(BD!$A$3:$A$5001,K$3,BD!$B$3:$B$5001,$A$5,BD!$J$3:$J$5001,"&lt;&gt;")=0,"",SUMIFS(BD!$J$3:$J$5001,BD!$A$3:$A$5001,K$3,BD!$B$3:$B$5001,$A$5)))</f>
        <v/>
      </c>
      <c r="L12" s="207" t="str">
        <f>IF(L$3="","",IF(COUNTIFS(BD!$A$3:$A$5001,L$3,BD!$B$3:$B$5001,$A$5,BD!$J$3:$J$5001,"&lt;&gt;")=0,"",SUMIFS(BD!$J$3:$J$5001,BD!$A$3:$A$5001,L$3,BD!$B$3:$B$5001,$A$5)))</f>
        <v/>
      </c>
      <c r="M12" s="207" t="str">
        <f>IF(M$3="","",IF(COUNTIFS(BD!$A$3:$A$5001,M$3,BD!$B$3:$B$5001,$A$5,BD!$J$3:$J$5001,"&lt;&gt;")=0,"",SUMIFS(BD!$J$3:$J$5001,BD!$A$3:$A$5001,M$3,BD!$B$3:$B$5001,$A$5)))</f>
        <v/>
      </c>
      <c r="N12" s="207" t="str">
        <f>IF(N$3="","",IF(COUNTIFS(BD!$A$3:$A$5001,N$3,BD!$B$3:$B$5001,$A$5,BD!$J$3:$J$5001,"&lt;&gt;")=0,"",SUMIFS(BD!$J$3:$J$5001,BD!$A$3:$A$5001,N$3,BD!$B$3:$B$5001,$A$5)))</f>
        <v/>
      </c>
      <c r="O12" s="207" t="str">
        <f>IF(O$3="","",IF(COUNTIFS(BD!$A$3:$A$5001,O$3,BD!$B$3:$B$5001,$A$5,BD!$J$3:$J$5001,"&lt;&gt;")=0,"",SUMIFS(BD!$J$3:$J$5001,BD!$A$3:$A$5001,O$3,BD!$B$3:$B$5001,$A$5)))</f>
        <v/>
      </c>
      <c r="P12" s="207" t="str">
        <f>IF(P$3="","",IF(COUNTIFS(BD!$A$3:$A$5001,P$3,BD!$B$3:$B$5001,$A$5,BD!$J$3:$J$5001,"&lt;&gt;")=0,"",SUMIFS(BD!$J$3:$J$5001,BD!$A$3:$A$5001,P$3,BD!$B$3:$B$5001,$A$5)))</f>
        <v/>
      </c>
      <c r="Q12" s="207" t="str">
        <f>IF(Q$3="","",IF(COUNTIFS(BD!$A$3:$A$5001,Q$3,BD!$B$3:$B$5001,$A$5,BD!$J$3:$J$5001,"&lt;&gt;")=0,"",SUMIFS(BD!$J$3:$J$5001,BD!$A$3:$A$5001,Q$3,BD!$B$3:$B$5001,$A$5)))</f>
        <v/>
      </c>
      <c r="R12" s="207" t="str">
        <f>IF(R$3="","",IF(COUNTIFS(BD!$A$3:$A$5001,R$3,BD!$B$3:$B$5001,$A$5,BD!$J$3:$J$5001,"&lt;&gt;")=0,"",SUMIFS(BD!$J$3:$J$5001,BD!$A$3:$A$5001,R$3,BD!$B$3:$B$5001,$A$5)))</f>
        <v/>
      </c>
      <c r="S12" s="207" t="str">
        <f>IF(S$3="","",IF(COUNTIFS(BD!$A$3:$A$5001,S$3,BD!$B$3:$B$5001,$A$5,BD!$J$3:$J$5001,"&lt;&gt;")=0,"",SUMIFS(BD!$J$3:$J$5001,BD!$A$3:$A$5001,S$3,BD!$B$3:$B$5001,$A$5)))</f>
        <v/>
      </c>
      <c r="T12" s="207" t="str">
        <f>IF(T$3="","",IF(COUNTIFS(BD!$A$3:$A$5001,T$3,BD!$B$3:$B$5001,$A$5,BD!$J$3:$J$5001,"&lt;&gt;")=0,"",SUMIFS(BD!$J$3:$J$5001,BD!$A$3:$A$5001,T$3,BD!$B$3:$B$5001,$A$5)))</f>
        <v/>
      </c>
      <c r="U12" s="207" t="str">
        <f>IF(U$3="","",IF(COUNTIFS(BD!$A$3:$A$5001,U$3,BD!$B$3:$B$5001,$A$5,BD!$J$3:$J$5001,"&lt;&gt;")=0,"",SUMIFS(BD!$J$3:$J$5001,BD!$A$3:$A$5001,U$3,BD!$B$3:$B$5001,$A$5)))</f>
        <v/>
      </c>
      <c r="V12" s="207" t="str">
        <f>IF(V$3="","",IF(COUNTIFS(BD!$A$3:$A$5001,V$3,BD!$B$3:$B$5001,$A$5,BD!$J$3:$J$5001,"&lt;&gt;")=0,"",SUMIFS(BD!$J$3:$J$5001,BD!$A$3:$A$5001,V$3,BD!$B$3:$B$5001,$A$5)))</f>
        <v/>
      </c>
      <c r="W12" s="207" t="str">
        <f>IF(W$3="","",IF(COUNTIFS(BD!$A$3:$A$5001,W$3,BD!$B$3:$B$5001,$A$5,BD!$J$3:$J$5001,"&lt;&gt;")=0,"",SUMIFS(BD!$J$3:$J$5001,BD!$A$3:$A$5001,W$3,BD!$B$3:$B$5001,$A$5)))</f>
        <v/>
      </c>
      <c r="X12" s="207" t="str">
        <f>IF(X$3="","",IF(COUNTIFS(BD!$A$3:$A$5001,X$3,BD!$B$3:$B$5001,$A$5,BD!$J$3:$J$5001,"&lt;&gt;")=0,"",SUMIFS(BD!$J$3:$J$5001,BD!$A$3:$A$5001,X$3,BD!$B$3:$B$5001,$A$5)))</f>
        <v/>
      </c>
      <c r="Y12" s="207" t="str">
        <f>IF(Y$3="","",IF(COUNTIFS(BD!$A$3:$A$5001,Y$3,BD!$B$3:$B$5001,$A$5,BD!$J$3:$J$5001,"&lt;&gt;")=0,"",SUMIFS(BD!$J$3:$J$5001,BD!$A$3:$A$5001,Y$3,BD!$B$3:$B$5001,$A$5)))</f>
        <v/>
      </c>
      <c r="Z12" s="207" t="str">
        <f>IF(Z$3="","",IF(COUNTIFS(BD!$A$3:$A$5001,Z$3,BD!$B$3:$B$5001,$A$5,BD!$J$3:$J$5001,"&lt;&gt;")=0,"",SUMIFS(BD!$J$3:$J$5001,BD!$A$3:$A$5001,Z$3,BD!$B$3:$B$5001,$A$5)))</f>
        <v/>
      </c>
      <c r="AA12" s="207" t="str">
        <f>IF(AA$3="","",IF(COUNTIFS(BD!$A$3:$A$5001,AA$3,BD!$B$3:$B$5001,$A$5,BD!$J$3:$J$5001,"&lt;&gt;")=0,"",SUMIFS(BD!$J$3:$J$5001,BD!$A$3:$A$5001,AA$3,BD!$B$3:$B$5001,$A$5)))</f>
        <v/>
      </c>
      <c r="AB12" s="207" t="str">
        <f>IF(AB$3="","",IF(COUNTIFS(BD!$A$3:$A$5001,AB$3,BD!$B$3:$B$5001,$A$5,BD!$J$3:$J$5001,"&lt;&gt;")=0,"",SUMIFS(BD!$J$3:$J$5001,BD!$A$3:$A$5001,AB$3,BD!$B$3:$B$5001,$A$5)))</f>
        <v/>
      </c>
      <c r="AC12" s="207" t="str">
        <f>IF(AC$3="","",IF(COUNTIFS(BD!$A$3:$A$5001,AC$3,BD!$B$3:$B$5001,$A$5,BD!$J$3:$J$5001,"&lt;&gt;")=0,"",SUMIFS(BD!$J$3:$J$5001,BD!$A$3:$A$5001,AC$3,BD!$B$3:$B$5001,$A$5)))</f>
        <v/>
      </c>
      <c r="AD12" s="207" t="str">
        <f>IF(AD$3="","",IF(COUNTIFS(BD!$A$3:$A$5001,AD$3,BD!$B$3:$B$5001,$A$5,BD!$J$3:$J$5001,"&lt;&gt;")=0,"",SUMIFS(BD!$J$3:$J$5001,BD!$A$3:$A$5001,AD$3,BD!$B$3:$B$5001,$A$5)))</f>
        <v/>
      </c>
      <c r="AE12" s="207" t="str">
        <f>IF(AE$3="","",IF(COUNTIFS(BD!$A$3:$A$5001,AE$3,BD!$B$3:$B$5001,$A$5,BD!$J$3:$J$5001,"&lt;&gt;")=0,"",SUMIFS(BD!$J$3:$J$5001,BD!$A$3:$A$5001,AE$3,BD!$B$3:$B$5001,$A$5)))</f>
        <v/>
      </c>
      <c r="AF12" s="207" t="str">
        <f>IF(AF$3="","",IF(COUNTIFS(BD!$A$3:$A$5001,AF$3,BD!$B$3:$B$5001,$A$5,BD!$J$3:$J$5001,"&lt;&gt;")=0,"",SUMIFS(BD!$J$3:$J$5001,BD!$A$3:$A$5001,AF$3,BD!$B$3:$B$5001,$A$5)))</f>
        <v/>
      </c>
      <c r="AG12" s="207" t="str">
        <f>IF(AG$3="","",IF(COUNTIFS(BD!$A$3:$A$5001,AG$3,BD!$B$3:$B$5001,$A$5,BD!$J$3:$J$5001,"&lt;&gt;")=0,"",SUMIFS(BD!$J$3:$J$5001,BD!$A$3:$A$5001,AG$3,BD!$B$3:$B$5001,$A$5)))</f>
        <v/>
      </c>
      <c r="AH12" s="207" t="str">
        <f>IF(AH$3="","",IF(COUNTIFS(BD!$A$3:$A$5001,AH$3,BD!$B$3:$B$5001,$A$5,BD!$J$3:$J$5001,"&lt;&gt;")=0,"",SUMIFS(BD!$J$3:$J$5001,BD!$A$3:$A$5001,AH$3,BD!$B$3:$B$5001,$A$5)))</f>
        <v/>
      </c>
      <c r="AI12" s="207" t="str">
        <f>IF(AI$3="","",IF(COUNTIFS(BD!$A$3:$A$5001,AI$3,BD!$B$3:$B$5001,$A$5,BD!$J$3:$J$5001,"&lt;&gt;")=0,"",SUMIFS(BD!$J$3:$J$5001,BD!$A$3:$A$5001,AI$3,BD!$B$3:$B$5001,$A$5)))</f>
        <v/>
      </c>
      <c r="AJ12" s="208" t="str">
        <f>IF(AJ$3="","",IF(COUNTIFS(BD!$A$3:$A$5001,AJ$3,BD!$B$3:$B$5001,$A$5,BD!$J$3:$J$5001,"&lt;&gt;")=0,"",SUMIFS(BD!$J$3:$J$5001,BD!$A$3:$A$5001,AJ$3,BD!$B$3:$B$5001,$A$5)))</f>
        <v/>
      </c>
      <c r="AK12" s="209" t="str">
        <f>IF(COUNT(F12:AJ12)=0,"",SUM(F12:AJ12))</f>
        <v/>
      </c>
    </row>
    <row r="13" ht="15.75" customHeight="1">
      <c r="A13" s="277"/>
      <c r="B13" s="268"/>
      <c r="C13" s="199" t="inlineStr">
        <is>
          <t xml:space="preserve">Caixas Expedidas</t>
        </is>
      </c>
      <c r="D13" s="200" t="str">
        <f>IFERROR(1/(1/INDEX(BD!$AF$31:$AZ$31,MATCH($A$5,BD!$AF$22:$AZ$22,0))),"")</f>
        <v/>
      </c>
      <c r="E13" s="201"/>
      <c r="F13" s="202" t="str">
        <f>IF(F$3="","",IF(COUNTIFS(BD!$A$3:$A$5001,F$3,BD!$B$3:$B$5001,$A$5,BD!$K$3:$K$5001,"&lt;&gt;")=0,"",SUMIFS(BD!$K$3:$K$5001,BD!$A$3:$A$5001,F$3,BD!$B$3:$B$5001,$A$5)))</f>
        <v/>
      </c>
      <c r="G13" s="203" t="str">
        <f>IF(G$3="","",IF(COUNTIFS(BD!$A$3:$A$5001,G$3,BD!$B$3:$B$5001,$A$5,BD!$K$3:$K$5001,"&lt;&gt;")=0,"",SUMIFS(BD!$K$3:$K$5001,BD!$A$3:$A$5001,G$3,BD!$B$3:$B$5001,$A$5)))</f>
        <v/>
      </c>
      <c r="H13" s="203" t="str">
        <f>IF(H$3="","",IF(COUNTIFS(BD!$A$3:$A$5001,H$3,BD!$B$3:$B$5001,$A$5,BD!$K$3:$K$5001,"&lt;&gt;")=0,"",SUMIFS(BD!$K$3:$K$5001,BD!$A$3:$A$5001,H$3,BD!$B$3:$B$5001,$A$5)))</f>
        <v/>
      </c>
      <c r="I13" s="203" t="str">
        <f>IF(I$3="","",IF(COUNTIFS(BD!$A$3:$A$5001,I$3,BD!$B$3:$B$5001,$A$5,BD!$K$3:$K$5001,"&lt;&gt;")=0,"",SUMIFS(BD!$K$3:$K$5001,BD!$A$3:$A$5001,I$3,BD!$B$3:$B$5001,$A$5)))</f>
        <v/>
      </c>
      <c r="J13" s="203" t="str">
        <f>IF(J$3="","",IF(COUNTIFS(BD!$A$3:$A$5001,J$3,BD!$B$3:$B$5001,$A$5,BD!$K$3:$K$5001,"&lt;&gt;")=0,"",SUMIFS(BD!$K$3:$K$5001,BD!$A$3:$A$5001,J$3,BD!$B$3:$B$5001,$A$5)))</f>
        <v/>
      </c>
      <c r="K13" s="203" t="str">
        <f>IF(K$3="","",IF(COUNTIFS(BD!$A$3:$A$5001,K$3,BD!$B$3:$B$5001,$A$5,BD!$K$3:$K$5001,"&lt;&gt;")=0,"",SUMIFS(BD!$K$3:$K$5001,BD!$A$3:$A$5001,K$3,BD!$B$3:$B$5001,$A$5)))</f>
        <v/>
      </c>
      <c r="L13" s="203" t="str">
        <f>IF(L$3="","",IF(COUNTIFS(BD!$A$3:$A$5001,L$3,BD!$B$3:$B$5001,$A$5,BD!$K$3:$K$5001,"&lt;&gt;")=0,"",SUMIFS(BD!$K$3:$K$5001,BD!$A$3:$A$5001,L$3,BD!$B$3:$B$5001,$A$5)))</f>
        <v/>
      </c>
      <c r="M13" s="203" t="str">
        <f>IF(M$3="","",IF(COUNTIFS(BD!$A$3:$A$5001,M$3,BD!$B$3:$B$5001,$A$5,BD!$K$3:$K$5001,"&lt;&gt;")=0,"",SUMIFS(BD!$K$3:$K$5001,BD!$A$3:$A$5001,M$3,BD!$B$3:$B$5001,$A$5)))</f>
        <v/>
      </c>
      <c r="N13" s="203" t="str">
        <f>IF(N$3="","",IF(COUNTIFS(BD!$A$3:$A$5001,N$3,BD!$B$3:$B$5001,$A$5,BD!$K$3:$K$5001,"&lt;&gt;")=0,"",SUMIFS(BD!$K$3:$K$5001,BD!$A$3:$A$5001,N$3,BD!$B$3:$B$5001,$A$5)))</f>
        <v/>
      </c>
      <c r="O13" s="203" t="str">
        <f>IF(O$3="","",IF(COUNTIFS(BD!$A$3:$A$5001,O$3,BD!$B$3:$B$5001,$A$5,BD!$K$3:$K$5001,"&lt;&gt;")=0,"",SUMIFS(BD!$K$3:$K$5001,BD!$A$3:$A$5001,O$3,BD!$B$3:$B$5001,$A$5)))</f>
        <v/>
      </c>
      <c r="P13" s="203" t="str">
        <f>IF(P$3="","",IF(COUNTIFS(BD!$A$3:$A$5001,P$3,BD!$B$3:$B$5001,$A$5,BD!$K$3:$K$5001,"&lt;&gt;")=0,"",SUMIFS(BD!$K$3:$K$5001,BD!$A$3:$A$5001,P$3,BD!$B$3:$B$5001,$A$5)))</f>
        <v/>
      </c>
      <c r="Q13" s="203" t="str">
        <f>IF(Q$3="","",IF(COUNTIFS(BD!$A$3:$A$5001,Q$3,BD!$B$3:$B$5001,$A$5,BD!$K$3:$K$5001,"&lt;&gt;")=0,"",SUMIFS(BD!$K$3:$K$5001,BD!$A$3:$A$5001,Q$3,BD!$B$3:$B$5001,$A$5)))</f>
        <v/>
      </c>
      <c r="R13" s="203" t="str">
        <f>IF(R$3="","",IF(COUNTIFS(BD!$A$3:$A$5001,R$3,BD!$B$3:$B$5001,$A$5,BD!$K$3:$K$5001,"&lt;&gt;")=0,"",SUMIFS(BD!$K$3:$K$5001,BD!$A$3:$A$5001,R$3,BD!$B$3:$B$5001,$A$5)))</f>
        <v/>
      </c>
      <c r="S13" s="203" t="str">
        <f>IF(S$3="","",IF(COUNTIFS(BD!$A$3:$A$5001,S$3,BD!$B$3:$B$5001,$A$5,BD!$K$3:$K$5001,"&lt;&gt;")=0,"",SUMIFS(BD!$K$3:$K$5001,BD!$A$3:$A$5001,S$3,BD!$B$3:$B$5001,$A$5)))</f>
        <v/>
      </c>
      <c r="T13" s="203" t="str">
        <f>IF(T$3="","",IF(COUNTIFS(BD!$A$3:$A$5001,T$3,BD!$B$3:$B$5001,$A$5,BD!$K$3:$K$5001,"&lt;&gt;")=0,"",SUMIFS(BD!$K$3:$K$5001,BD!$A$3:$A$5001,T$3,BD!$B$3:$B$5001,$A$5)))</f>
        <v/>
      </c>
      <c r="U13" s="203" t="str">
        <f>IF(U$3="","",IF(COUNTIFS(BD!$A$3:$A$5001,U$3,BD!$B$3:$B$5001,$A$5,BD!$K$3:$K$5001,"&lt;&gt;")=0,"",SUMIFS(BD!$K$3:$K$5001,BD!$A$3:$A$5001,U$3,BD!$B$3:$B$5001,$A$5)))</f>
        <v/>
      </c>
      <c r="V13" s="203" t="str">
        <f>IF(V$3="","",IF(COUNTIFS(BD!$A$3:$A$5001,V$3,BD!$B$3:$B$5001,$A$5,BD!$K$3:$K$5001,"&lt;&gt;")=0,"",SUMIFS(BD!$K$3:$K$5001,BD!$A$3:$A$5001,V$3,BD!$B$3:$B$5001,$A$5)))</f>
        <v/>
      </c>
      <c r="W13" s="203" t="str">
        <f>IF(W$3="","",IF(COUNTIFS(BD!$A$3:$A$5001,W$3,BD!$B$3:$B$5001,$A$5,BD!$K$3:$K$5001,"&lt;&gt;")=0,"",SUMIFS(BD!$K$3:$K$5001,BD!$A$3:$A$5001,W$3,BD!$B$3:$B$5001,$A$5)))</f>
        <v/>
      </c>
      <c r="X13" s="203" t="str">
        <f>IF(X$3="","",IF(COUNTIFS(BD!$A$3:$A$5001,X$3,BD!$B$3:$B$5001,$A$5,BD!$K$3:$K$5001,"&lt;&gt;")=0,"",SUMIFS(BD!$K$3:$K$5001,BD!$A$3:$A$5001,X$3,BD!$B$3:$B$5001,$A$5)))</f>
        <v/>
      </c>
      <c r="Y13" s="203" t="str">
        <f>IF(Y$3="","",IF(COUNTIFS(BD!$A$3:$A$5001,Y$3,BD!$B$3:$B$5001,$A$5,BD!$K$3:$K$5001,"&lt;&gt;")=0,"",SUMIFS(BD!$K$3:$K$5001,BD!$A$3:$A$5001,Y$3,BD!$B$3:$B$5001,$A$5)))</f>
        <v/>
      </c>
      <c r="Z13" s="203" t="str">
        <f>IF(Z$3="","",IF(COUNTIFS(BD!$A$3:$A$5001,Z$3,BD!$B$3:$B$5001,$A$5,BD!$K$3:$K$5001,"&lt;&gt;")=0,"",SUMIFS(BD!$K$3:$K$5001,BD!$A$3:$A$5001,Z$3,BD!$B$3:$B$5001,$A$5)))</f>
        <v/>
      </c>
      <c r="AA13" s="203" t="str">
        <f>IF(AA$3="","",IF(COUNTIFS(BD!$A$3:$A$5001,AA$3,BD!$B$3:$B$5001,$A$5,BD!$K$3:$K$5001,"&lt;&gt;")=0,"",SUMIFS(BD!$K$3:$K$5001,BD!$A$3:$A$5001,AA$3,BD!$B$3:$B$5001,$A$5)))</f>
        <v/>
      </c>
      <c r="AB13" s="203" t="str">
        <f>IF(AB$3="","",IF(COUNTIFS(BD!$A$3:$A$5001,AB$3,BD!$B$3:$B$5001,$A$5,BD!$K$3:$K$5001,"&lt;&gt;")=0,"",SUMIFS(BD!$K$3:$K$5001,BD!$A$3:$A$5001,AB$3,BD!$B$3:$B$5001,$A$5)))</f>
        <v/>
      </c>
      <c r="AC13" s="203" t="str">
        <f>IF(AC$3="","",IF(COUNTIFS(BD!$A$3:$A$5001,AC$3,BD!$B$3:$B$5001,$A$5,BD!$K$3:$K$5001,"&lt;&gt;")=0,"",SUMIFS(BD!$K$3:$K$5001,BD!$A$3:$A$5001,AC$3,BD!$B$3:$B$5001,$A$5)))</f>
        <v/>
      </c>
      <c r="AD13" s="203" t="str">
        <f>IF(AD$3="","",IF(COUNTIFS(BD!$A$3:$A$5001,AD$3,BD!$B$3:$B$5001,$A$5,BD!$K$3:$K$5001,"&lt;&gt;")=0,"",SUMIFS(BD!$K$3:$K$5001,BD!$A$3:$A$5001,AD$3,BD!$B$3:$B$5001,$A$5)))</f>
        <v/>
      </c>
      <c r="AE13" s="203" t="str">
        <f>IF(AE$3="","",IF(COUNTIFS(BD!$A$3:$A$5001,AE$3,BD!$B$3:$B$5001,$A$5,BD!$K$3:$K$5001,"&lt;&gt;")=0,"",SUMIFS(BD!$K$3:$K$5001,BD!$A$3:$A$5001,AE$3,BD!$B$3:$B$5001,$A$5)))</f>
        <v/>
      </c>
      <c r="AF13" s="203" t="str">
        <f>IF(AF$3="","",IF(COUNTIFS(BD!$A$3:$A$5001,AF$3,BD!$B$3:$B$5001,$A$5,BD!$K$3:$K$5001,"&lt;&gt;")=0,"",SUMIFS(BD!$K$3:$K$5001,BD!$A$3:$A$5001,AF$3,BD!$B$3:$B$5001,$A$5)))</f>
        <v/>
      </c>
      <c r="AG13" s="203" t="str">
        <f>IF(AG$3="","",IF(COUNTIFS(BD!$A$3:$A$5001,AG$3,BD!$B$3:$B$5001,$A$5,BD!$K$3:$K$5001,"&lt;&gt;")=0,"",SUMIFS(BD!$K$3:$K$5001,BD!$A$3:$A$5001,AG$3,BD!$B$3:$B$5001,$A$5)))</f>
        <v/>
      </c>
      <c r="AH13" s="203" t="str">
        <f>IF(AH$3="","",IF(COUNTIFS(BD!$A$3:$A$5001,AH$3,BD!$B$3:$B$5001,$A$5,BD!$K$3:$K$5001,"&lt;&gt;")=0,"",SUMIFS(BD!$K$3:$K$5001,BD!$A$3:$A$5001,AH$3,BD!$B$3:$B$5001,$A$5)))</f>
        <v/>
      </c>
      <c r="AI13" s="203" t="str">
        <f>IF(AI$3="","",IF(COUNTIFS(BD!$A$3:$A$5001,AI$3,BD!$B$3:$B$5001,$A$5,BD!$K$3:$K$5001,"&lt;&gt;")=0,"",SUMIFS(BD!$K$3:$K$5001,BD!$A$3:$A$5001,AI$3,BD!$B$3:$B$5001,$A$5)))</f>
        <v/>
      </c>
      <c r="AJ13" s="204" t="str">
        <f>IF(AJ$3="","",IF(COUNTIFS(BD!$A$3:$A$5001,AJ$3,BD!$B$3:$B$5001,$A$5,BD!$K$3:$K$5001,"&lt;&gt;")=0,"",SUMIFS(BD!$K$3:$K$5001,BD!$A$3:$A$5001,AJ$3,BD!$B$3:$B$5001,$A$5)))</f>
        <v/>
      </c>
      <c r="AK13" s="205" t="str">
        <f>IF(COUNT(F13:AJ13)=0,"",SUM(F13:AJ13))</f>
        <v/>
      </c>
    </row>
    <row r="14" ht="15.75" customHeight="1">
      <c r="A14" s="277"/>
      <c r="B14" s="268"/>
      <c r="C14" s="199" t="inlineStr">
        <is>
          <t xml:space="preserve">Pedidos Faturados</t>
        </is>
      </c>
      <c r="D14" s="200" t="str">
        <f>IFERROR(1/(1/INDEX(BD!$AF$32:$AZ$32,MATCH($A$5,BD!$AF$22:$AZ$22,0))),"")</f>
        <v/>
      </c>
      <c r="E14" s="201"/>
      <c r="F14" s="202" t="str">
        <f>IF(F$3="","",IF(COUNTIFS(BD!$A$3:$A$5001,F$3,BD!$B$3:$B$5001,$A$5,BD!$L$3:$L$5001,"&lt;&gt;")=0,"",SUMIFS(BD!$L$3:$L$5001,BD!$A$3:$A$5001,F$3,BD!$B$3:$B$5001,$A$5)))</f>
        <v/>
      </c>
      <c r="G14" s="203" t="str">
        <f>IF(G$3="","",IF(COUNTIFS(BD!$A$3:$A$5001,G$3,BD!$B$3:$B$5001,$A$5,BD!$L$3:$L$5001,"&lt;&gt;")=0,"",SUMIFS(BD!$L$3:$L$5001,BD!$A$3:$A$5001,G$3,BD!$B$3:$B$5001,$A$5)))</f>
        <v/>
      </c>
      <c r="H14" s="203" t="str">
        <f>IF(H$3="","",IF(COUNTIFS(BD!$A$3:$A$5001,H$3,BD!$B$3:$B$5001,$A$5,BD!$L$3:$L$5001,"&lt;&gt;")=0,"",SUMIFS(BD!$L$3:$L$5001,BD!$A$3:$A$5001,H$3,BD!$B$3:$B$5001,$A$5)))</f>
        <v/>
      </c>
      <c r="I14" s="203" t="str">
        <f>IF(I$3="","",IF(COUNTIFS(BD!$A$3:$A$5001,I$3,BD!$B$3:$B$5001,$A$5,BD!$L$3:$L$5001,"&lt;&gt;")=0,"",SUMIFS(BD!$L$3:$L$5001,BD!$A$3:$A$5001,I$3,BD!$B$3:$B$5001,$A$5)))</f>
        <v/>
      </c>
      <c r="J14" s="203" t="str">
        <f>IF(J$3="","",IF(COUNTIFS(BD!$A$3:$A$5001,J$3,BD!$B$3:$B$5001,$A$5,BD!$L$3:$L$5001,"&lt;&gt;")=0,"",SUMIFS(BD!$L$3:$L$5001,BD!$A$3:$A$5001,J$3,BD!$B$3:$B$5001,$A$5)))</f>
        <v/>
      </c>
      <c r="K14" s="203" t="str">
        <f>IF(K$3="","",IF(COUNTIFS(BD!$A$3:$A$5001,K$3,BD!$B$3:$B$5001,$A$5,BD!$L$3:$L$5001,"&lt;&gt;")=0,"",SUMIFS(BD!$L$3:$L$5001,BD!$A$3:$A$5001,K$3,BD!$B$3:$B$5001,$A$5)))</f>
        <v/>
      </c>
      <c r="L14" s="203" t="str">
        <f>IF(L$3="","",IF(COUNTIFS(BD!$A$3:$A$5001,L$3,BD!$B$3:$B$5001,$A$5,BD!$L$3:$L$5001,"&lt;&gt;")=0,"",SUMIFS(BD!$L$3:$L$5001,BD!$A$3:$A$5001,L$3,BD!$B$3:$B$5001,$A$5)))</f>
        <v/>
      </c>
      <c r="M14" s="203" t="str">
        <f>IF(M$3="","",IF(COUNTIFS(BD!$A$3:$A$5001,M$3,BD!$B$3:$B$5001,$A$5,BD!$L$3:$L$5001,"&lt;&gt;")=0,"",SUMIFS(BD!$L$3:$L$5001,BD!$A$3:$A$5001,M$3,BD!$B$3:$B$5001,$A$5)))</f>
        <v/>
      </c>
      <c r="N14" s="203" t="str">
        <f>IF(N$3="","",IF(COUNTIFS(BD!$A$3:$A$5001,N$3,BD!$B$3:$B$5001,$A$5,BD!$L$3:$L$5001,"&lt;&gt;")=0,"",SUMIFS(BD!$L$3:$L$5001,BD!$A$3:$A$5001,N$3,BD!$B$3:$B$5001,$A$5)))</f>
        <v/>
      </c>
      <c r="O14" s="203" t="str">
        <f>IF(O$3="","",IF(COUNTIFS(BD!$A$3:$A$5001,O$3,BD!$B$3:$B$5001,$A$5,BD!$L$3:$L$5001,"&lt;&gt;")=0,"",SUMIFS(BD!$L$3:$L$5001,BD!$A$3:$A$5001,O$3,BD!$B$3:$B$5001,$A$5)))</f>
        <v/>
      </c>
      <c r="P14" s="203" t="str">
        <f>IF(P$3="","",IF(COUNTIFS(BD!$A$3:$A$5001,P$3,BD!$B$3:$B$5001,$A$5,BD!$L$3:$L$5001,"&lt;&gt;")=0,"",SUMIFS(BD!$L$3:$L$5001,BD!$A$3:$A$5001,P$3,BD!$B$3:$B$5001,$A$5)))</f>
        <v/>
      </c>
      <c r="Q14" s="203" t="str">
        <f>IF(Q$3="","",IF(COUNTIFS(BD!$A$3:$A$5001,Q$3,BD!$B$3:$B$5001,$A$5,BD!$L$3:$L$5001,"&lt;&gt;")=0,"",SUMIFS(BD!$L$3:$L$5001,BD!$A$3:$A$5001,Q$3,BD!$B$3:$B$5001,$A$5)))</f>
        <v/>
      </c>
      <c r="R14" s="203" t="str">
        <f>IF(R$3="","",IF(COUNTIFS(BD!$A$3:$A$5001,R$3,BD!$B$3:$B$5001,$A$5,BD!$L$3:$L$5001,"&lt;&gt;")=0,"",SUMIFS(BD!$L$3:$L$5001,BD!$A$3:$A$5001,R$3,BD!$B$3:$B$5001,$A$5)))</f>
        <v/>
      </c>
      <c r="S14" s="203" t="str">
        <f>IF(S$3="","",IF(COUNTIFS(BD!$A$3:$A$5001,S$3,BD!$B$3:$B$5001,$A$5,BD!$L$3:$L$5001,"&lt;&gt;")=0,"",SUMIFS(BD!$L$3:$L$5001,BD!$A$3:$A$5001,S$3,BD!$B$3:$B$5001,$A$5)))</f>
        <v/>
      </c>
      <c r="T14" s="203" t="str">
        <f>IF(T$3="","",IF(COUNTIFS(BD!$A$3:$A$5001,T$3,BD!$B$3:$B$5001,$A$5,BD!$L$3:$L$5001,"&lt;&gt;")=0,"",SUMIFS(BD!$L$3:$L$5001,BD!$A$3:$A$5001,T$3,BD!$B$3:$B$5001,$A$5)))</f>
        <v/>
      </c>
      <c r="U14" s="203" t="str">
        <f>IF(U$3="","",IF(COUNTIFS(BD!$A$3:$A$5001,U$3,BD!$B$3:$B$5001,$A$5,BD!$L$3:$L$5001,"&lt;&gt;")=0,"",SUMIFS(BD!$L$3:$L$5001,BD!$A$3:$A$5001,U$3,BD!$B$3:$B$5001,$A$5)))</f>
        <v/>
      </c>
      <c r="V14" s="203" t="str">
        <f>IF(V$3="","",IF(COUNTIFS(BD!$A$3:$A$5001,V$3,BD!$B$3:$B$5001,$A$5,BD!$L$3:$L$5001,"&lt;&gt;")=0,"",SUMIFS(BD!$L$3:$L$5001,BD!$A$3:$A$5001,V$3,BD!$B$3:$B$5001,$A$5)))</f>
        <v/>
      </c>
      <c r="W14" s="203" t="str">
        <f>IF(W$3="","",IF(COUNTIFS(BD!$A$3:$A$5001,W$3,BD!$B$3:$B$5001,$A$5,BD!$L$3:$L$5001,"&lt;&gt;")=0,"",SUMIFS(BD!$L$3:$L$5001,BD!$A$3:$A$5001,W$3,BD!$B$3:$B$5001,$A$5)))</f>
        <v/>
      </c>
      <c r="X14" s="203" t="str">
        <f>IF(X$3="","",IF(COUNTIFS(BD!$A$3:$A$5001,X$3,BD!$B$3:$B$5001,$A$5,BD!$L$3:$L$5001,"&lt;&gt;")=0,"",SUMIFS(BD!$L$3:$L$5001,BD!$A$3:$A$5001,X$3,BD!$B$3:$B$5001,$A$5)))</f>
        <v/>
      </c>
      <c r="Y14" s="203" t="str">
        <f>IF(Y$3="","",IF(COUNTIFS(BD!$A$3:$A$5001,Y$3,BD!$B$3:$B$5001,$A$5,BD!$L$3:$L$5001,"&lt;&gt;")=0,"",SUMIFS(BD!$L$3:$L$5001,BD!$A$3:$A$5001,Y$3,BD!$B$3:$B$5001,$A$5)))</f>
        <v/>
      </c>
      <c r="Z14" s="203" t="str">
        <f>IF(Z$3="","",IF(COUNTIFS(BD!$A$3:$A$5001,Z$3,BD!$B$3:$B$5001,$A$5,BD!$L$3:$L$5001,"&lt;&gt;")=0,"",SUMIFS(BD!$L$3:$L$5001,BD!$A$3:$A$5001,Z$3,BD!$B$3:$B$5001,$A$5)))</f>
        <v/>
      </c>
      <c r="AA14" s="203" t="str">
        <f>IF(AA$3="","",IF(COUNTIFS(BD!$A$3:$A$5001,AA$3,BD!$B$3:$B$5001,$A$5,BD!$L$3:$L$5001,"&lt;&gt;")=0,"",SUMIFS(BD!$L$3:$L$5001,BD!$A$3:$A$5001,AA$3,BD!$B$3:$B$5001,$A$5)))</f>
        <v/>
      </c>
      <c r="AB14" s="203" t="str">
        <f>IF(AB$3="","",IF(COUNTIFS(BD!$A$3:$A$5001,AB$3,BD!$B$3:$B$5001,$A$5,BD!$L$3:$L$5001,"&lt;&gt;")=0,"",SUMIFS(BD!$L$3:$L$5001,BD!$A$3:$A$5001,AB$3,BD!$B$3:$B$5001,$A$5)))</f>
        <v/>
      </c>
      <c r="AC14" s="203" t="str">
        <f>IF(AC$3="","",IF(COUNTIFS(BD!$A$3:$A$5001,AC$3,BD!$B$3:$B$5001,$A$5,BD!$L$3:$L$5001,"&lt;&gt;")=0,"",SUMIFS(BD!$L$3:$L$5001,BD!$A$3:$A$5001,AC$3,BD!$B$3:$B$5001,$A$5)))</f>
        <v/>
      </c>
      <c r="AD14" s="203" t="str">
        <f>IF(AD$3="","",IF(COUNTIFS(BD!$A$3:$A$5001,AD$3,BD!$B$3:$B$5001,$A$5,BD!$L$3:$L$5001,"&lt;&gt;")=0,"",SUMIFS(BD!$L$3:$L$5001,BD!$A$3:$A$5001,AD$3,BD!$B$3:$B$5001,$A$5)))</f>
        <v/>
      </c>
      <c r="AE14" s="203" t="str">
        <f>IF(AE$3="","",IF(COUNTIFS(BD!$A$3:$A$5001,AE$3,BD!$B$3:$B$5001,$A$5,BD!$L$3:$L$5001,"&lt;&gt;")=0,"",SUMIFS(BD!$L$3:$L$5001,BD!$A$3:$A$5001,AE$3,BD!$B$3:$B$5001,$A$5)))</f>
        <v/>
      </c>
      <c r="AF14" s="203" t="str">
        <f>IF(AF$3="","",IF(COUNTIFS(BD!$A$3:$A$5001,AF$3,BD!$B$3:$B$5001,$A$5,BD!$L$3:$L$5001,"&lt;&gt;")=0,"",SUMIFS(BD!$L$3:$L$5001,BD!$A$3:$A$5001,AF$3,BD!$B$3:$B$5001,$A$5)))</f>
        <v/>
      </c>
      <c r="AG14" s="203" t="str">
        <f>IF(AG$3="","",IF(COUNTIFS(BD!$A$3:$A$5001,AG$3,BD!$B$3:$B$5001,$A$5,BD!$L$3:$L$5001,"&lt;&gt;")=0,"",SUMIFS(BD!$L$3:$L$5001,BD!$A$3:$A$5001,AG$3,BD!$B$3:$B$5001,$A$5)))</f>
        <v/>
      </c>
      <c r="AH14" s="203" t="str">
        <f>IF(AH$3="","",IF(COUNTIFS(BD!$A$3:$A$5001,AH$3,BD!$B$3:$B$5001,$A$5,BD!$L$3:$L$5001,"&lt;&gt;")=0,"",SUMIFS(BD!$L$3:$L$5001,BD!$A$3:$A$5001,AH$3,BD!$B$3:$B$5001,$A$5)))</f>
        <v/>
      </c>
      <c r="AI14" s="203" t="str">
        <f>IF(AI$3="","",IF(COUNTIFS(BD!$A$3:$A$5001,AI$3,BD!$B$3:$B$5001,$A$5,BD!$L$3:$L$5001,"&lt;&gt;")=0,"",SUMIFS(BD!$L$3:$L$5001,BD!$A$3:$A$5001,AI$3,BD!$B$3:$B$5001,$A$5)))</f>
        <v/>
      </c>
      <c r="AJ14" s="204" t="str">
        <f>IF(AJ$3="","",IF(COUNTIFS(BD!$A$3:$A$5001,AJ$3,BD!$B$3:$B$5001,$A$5,BD!$L$3:$L$5001,"&lt;&gt;")=0,"",SUMIFS(BD!$L$3:$L$5001,BD!$A$3:$A$5001,AJ$3,BD!$B$3:$B$5001,$A$5)))</f>
        <v/>
      </c>
      <c r="AK14" s="205" t="str">
        <f>IF(COUNT(F14:AJ14)=0,"",SUM(F14:AJ14))</f>
        <v/>
      </c>
    </row>
    <row r="15" ht="15.75" customHeight="1">
      <c r="A15" s="277"/>
      <c r="B15" s="269"/>
      <c r="C15" s="210" t="inlineStr">
        <is>
          <t xml:space="preserve">Bags Expedidos</t>
        </is>
      </c>
      <c r="D15" s="211" t="str">
        <f>IFERROR(1/(1/INDEX(BD!$AF$33:$AZ$33,MATCH($A$5,BD!$AF$22:$AZ$22,0))),"")</f>
        <v/>
      </c>
      <c r="E15" s="212"/>
      <c r="F15" s="213" t="str">
        <f>IF(F$3="","",IF(COUNTIFS(BD!$A$3:$A$5001,F$3,BD!$B$3:$B$5001,$A$5,BD!$M$3:$M$5001,"&lt;&gt;")=0,"",SUMIFS(BD!$M$3:$M$5001,BD!$A$3:$A$5001,F$3,BD!$B$3:$B$5001,$A$5)))</f>
        <v/>
      </c>
      <c r="G15" s="214" t="str">
        <f>IF(G$3="","",IF(COUNTIFS(BD!$A$3:$A$5001,G$3,BD!$B$3:$B$5001,$A$5,BD!$M$3:$M$5001,"&lt;&gt;")=0,"",SUMIFS(BD!$M$3:$M$5001,BD!$A$3:$A$5001,G$3,BD!$B$3:$B$5001,$A$5)))</f>
        <v/>
      </c>
      <c r="H15" s="214" t="str">
        <f>IF(H$3="","",IF(COUNTIFS(BD!$A$3:$A$5001,H$3,BD!$B$3:$B$5001,$A$5,BD!$M$3:$M$5001,"&lt;&gt;")=0,"",SUMIFS(BD!$M$3:$M$5001,BD!$A$3:$A$5001,H$3,BD!$B$3:$B$5001,$A$5)))</f>
        <v/>
      </c>
      <c r="I15" s="214" t="str">
        <f>IF(I$3="","",IF(COUNTIFS(BD!$A$3:$A$5001,I$3,BD!$B$3:$B$5001,$A$5,BD!$M$3:$M$5001,"&lt;&gt;")=0,"",SUMIFS(BD!$M$3:$M$5001,BD!$A$3:$A$5001,I$3,BD!$B$3:$B$5001,$A$5)))</f>
        <v/>
      </c>
      <c r="J15" s="214" t="str">
        <f>IF(J$3="","",IF(COUNTIFS(BD!$A$3:$A$5001,J$3,BD!$B$3:$B$5001,$A$5,BD!$M$3:$M$5001,"&lt;&gt;")=0,"",SUMIFS(BD!$M$3:$M$5001,BD!$A$3:$A$5001,J$3,BD!$B$3:$B$5001,$A$5)))</f>
        <v/>
      </c>
      <c r="K15" s="214" t="str">
        <f>IF(K$3="","",IF(COUNTIFS(BD!$A$3:$A$5001,K$3,BD!$B$3:$B$5001,$A$5,BD!$M$3:$M$5001,"&lt;&gt;")=0,"",SUMIFS(BD!$M$3:$M$5001,BD!$A$3:$A$5001,K$3,BD!$B$3:$B$5001,$A$5)))</f>
        <v/>
      </c>
      <c r="L15" s="214" t="str">
        <f>IF(L$3="","",IF(COUNTIFS(BD!$A$3:$A$5001,L$3,BD!$B$3:$B$5001,$A$5,BD!$M$3:$M$5001,"&lt;&gt;")=0,"",SUMIFS(BD!$M$3:$M$5001,BD!$A$3:$A$5001,L$3,BD!$B$3:$B$5001,$A$5)))</f>
        <v/>
      </c>
      <c r="M15" s="214" t="str">
        <f>IF(M$3="","",IF(COUNTIFS(BD!$A$3:$A$5001,M$3,BD!$B$3:$B$5001,$A$5,BD!$M$3:$M$5001,"&lt;&gt;")=0,"",SUMIFS(BD!$M$3:$M$5001,BD!$A$3:$A$5001,M$3,BD!$B$3:$B$5001,$A$5)))</f>
        <v/>
      </c>
      <c r="N15" s="214" t="str">
        <f>IF(N$3="","",IF(COUNTIFS(BD!$A$3:$A$5001,N$3,BD!$B$3:$B$5001,$A$5,BD!$M$3:$M$5001,"&lt;&gt;")=0,"",SUMIFS(BD!$M$3:$M$5001,BD!$A$3:$A$5001,N$3,BD!$B$3:$B$5001,$A$5)))</f>
        <v/>
      </c>
      <c r="O15" s="214" t="str">
        <f>IF(O$3="","",IF(COUNTIFS(BD!$A$3:$A$5001,O$3,BD!$B$3:$B$5001,$A$5,BD!$M$3:$M$5001,"&lt;&gt;")=0,"",SUMIFS(BD!$M$3:$M$5001,BD!$A$3:$A$5001,O$3,BD!$B$3:$B$5001,$A$5)))</f>
        <v/>
      </c>
      <c r="P15" s="214" t="str">
        <f>IF(P$3="","",IF(COUNTIFS(BD!$A$3:$A$5001,P$3,BD!$B$3:$B$5001,$A$5,BD!$M$3:$M$5001,"&lt;&gt;")=0,"",SUMIFS(BD!$M$3:$M$5001,BD!$A$3:$A$5001,P$3,BD!$B$3:$B$5001,$A$5)))</f>
        <v/>
      </c>
      <c r="Q15" s="214" t="str">
        <f>IF(Q$3="","",IF(COUNTIFS(BD!$A$3:$A$5001,Q$3,BD!$B$3:$B$5001,$A$5,BD!$M$3:$M$5001,"&lt;&gt;")=0,"",SUMIFS(BD!$M$3:$M$5001,BD!$A$3:$A$5001,Q$3,BD!$B$3:$B$5001,$A$5)))</f>
        <v/>
      </c>
      <c r="R15" s="214" t="str">
        <f>IF(R$3="","",IF(COUNTIFS(BD!$A$3:$A$5001,R$3,BD!$B$3:$B$5001,$A$5,BD!$M$3:$M$5001,"&lt;&gt;")=0,"",SUMIFS(BD!$M$3:$M$5001,BD!$A$3:$A$5001,R$3,BD!$B$3:$B$5001,$A$5)))</f>
        <v/>
      </c>
      <c r="S15" s="214" t="str">
        <f>IF(S$3="","",IF(COUNTIFS(BD!$A$3:$A$5001,S$3,BD!$B$3:$B$5001,$A$5,BD!$M$3:$M$5001,"&lt;&gt;")=0,"",SUMIFS(BD!$M$3:$M$5001,BD!$A$3:$A$5001,S$3,BD!$B$3:$B$5001,$A$5)))</f>
        <v/>
      </c>
      <c r="T15" s="214" t="str">
        <f>IF(T$3="","",IF(COUNTIFS(BD!$A$3:$A$5001,T$3,BD!$B$3:$B$5001,$A$5,BD!$M$3:$M$5001,"&lt;&gt;")=0,"",SUMIFS(BD!$M$3:$M$5001,BD!$A$3:$A$5001,T$3,BD!$B$3:$B$5001,$A$5)))</f>
        <v/>
      </c>
      <c r="U15" s="214" t="str">
        <f>IF(U$3="","",IF(COUNTIFS(BD!$A$3:$A$5001,U$3,BD!$B$3:$B$5001,$A$5,BD!$M$3:$M$5001,"&lt;&gt;")=0,"",SUMIFS(BD!$M$3:$M$5001,BD!$A$3:$A$5001,U$3,BD!$B$3:$B$5001,$A$5)))</f>
        <v/>
      </c>
      <c r="V15" s="214" t="str">
        <f>IF(V$3="","",IF(COUNTIFS(BD!$A$3:$A$5001,V$3,BD!$B$3:$B$5001,$A$5,BD!$M$3:$M$5001,"&lt;&gt;")=0,"",SUMIFS(BD!$M$3:$M$5001,BD!$A$3:$A$5001,V$3,BD!$B$3:$B$5001,$A$5)))</f>
        <v/>
      </c>
      <c r="W15" s="214" t="str">
        <f>IF(W$3="","",IF(COUNTIFS(BD!$A$3:$A$5001,W$3,BD!$B$3:$B$5001,$A$5,BD!$M$3:$M$5001,"&lt;&gt;")=0,"",SUMIFS(BD!$M$3:$M$5001,BD!$A$3:$A$5001,W$3,BD!$B$3:$B$5001,$A$5)))</f>
        <v/>
      </c>
      <c r="X15" s="214" t="str">
        <f>IF(X$3="","",IF(COUNTIFS(BD!$A$3:$A$5001,X$3,BD!$B$3:$B$5001,$A$5,BD!$M$3:$M$5001,"&lt;&gt;")=0,"",SUMIFS(BD!$M$3:$M$5001,BD!$A$3:$A$5001,X$3,BD!$B$3:$B$5001,$A$5)))</f>
        <v/>
      </c>
      <c r="Y15" s="214" t="str">
        <f>IF(Y$3="","",IF(COUNTIFS(BD!$A$3:$A$5001,Y$3,BD!$B$3:$B$5001,$A$5,BD!$M$3:$M$5001,"&lt;&gt;")=0,"",SUMIFS(BD!$M$3:$M$5001,BD!$A$3:$A$5001,Y$3,BD!$B$3:$B$5001,$A$5)))</f>
        <v/>
      </c>
      <c r="Z15" s="214" t="str">
        <f>IF(Z$3="","",IF(COUNTIFS(BD!$A$3:$A$5001,Z$3,BD!$B$3:$B$5001,$A$5,BD!$M$3:$M$5001,"&lt;&gt;")=0,"",SUMIFS(BD!$M$3:$M$5001,BD!$A$3:$A$5001,Z$3,BD!$B$3:$B$5001,$A$5)))</f>
        <v/>
      </c>
      <c r="AA15" s="214" t="str">
        <f>IF(AA$3="","",IF(COUNTIFS(BD!$A$3:$A$5001,AA$3,BD!$B$3:$B$5001,$A$5,BD!$M$3:$M$5001,"&lt;&gt;")=0,"",SUMIFS(BD!$M$3:$M$5001,BD!$A$3:$A$5001,AA$3,BD!$B$3:$B$5001,$A$5)))</f>
        <v/>
      </c>
      <c r="AB15" s="214" t="str">
        <f>IF(AB$3="","",IF(COUNTIFS(BD!$A$3:$A$5001,AB$3,BD!$B$3:$B$5001,$A$5,BD!$M$3:$M$5001,"&lt;&gt;")=0,"",SUMIFS(BD!$M$3:$M$5001,BD!$A$3:$A$5001,AB$3,BD!$B$3:$B$5001,$A$5)))</f>
        <v/>
      </c>
      <c r="AC15" s="214" t="str">
        <f>IF(AC$3="","",IF(COUNTIFS(BD!$A$3:$A$5001,AC$3,BD!$B$3:$B$5001,$A$5,BD!$M$3:$M$5001,"&lt;&gt;")=0,"",SUMIFS(BD!$M$3:$M$5001,BD!$A$3:$A$5001,AC$3,BD!$B$3:$B$5001,$A$5)))</f>
        <v/>
      </c>
      <c r="AD15" s="214" t="str">
        <f>IF(AD$3="","",IF(COUNTIFS(BD!$A$3:$A$5001,AD$3,BD!$B$3:$B$5001,$A$5,BD!$M$3:$M$5001,"&lt;&gt;")=0,"",SUMIFS(BD!$M$3:$M$5001,BD!$A$3:$A$5001,AD$3,BD!$B$3:$B$5001,$A$5)))</f>
        <v/>
      </c>
      <c r="AE15" s="214" t="str">
        <f>IF(AE$3="","",IF(COUNTIFS(BD!$A$3:$A$5001,AE$3,BD!$B$3:$B$5001,$A$5,BD!$M$3:$M$5001,"&lt;&gt;")=0,"",SUMIFS(BD!$M$3:$M$5001,BD!$A$3:$A$5001,AE$3,BD!$B$3:$B$5001,$A$5)))</f>
        <v/>
      </c>
      <c r="AF15" s="214" t="str">
        <f>IF(AF$3="","",IF(COUNTIFS(BD!$A$3:$A$5001,AF$3,BD!$B$3:$B$5001,$A$5,BD!$M$3:$M$5001,"&lt;&gt;")=0,"",SUMIFS(BD!$M$3:$M$5001,BD!$A$3:$A$5001,AF$3,BD!$B$3:$B$5001,$A$5)))</f>
        <v/>
      </c>
      <c r="AG15" s="214" t="str">
        <f>IF(AG$3="","",IF(COUNTIFS(BD!$A$3:$A$5001,AG$3,BD!$B$3:$B$5001,$A$5,BD!$M$3:$M$5001,"&lt;&gt;")=0,"",SUMIFS(BD!$M$3:$M$5001,BD!$A$3:$A$5001,AG$3,BD!$B$3:$B$5001,$A$5)))</f>
        <v/>
      </c>
      <c r="AH15" s="214" t="str">
        <f>IF(AH$3="","",IF(COUNTIFS(BD!$A$3:$A$5001,AH$3,BD!$B$3:$B$5001,$A$5,BD!$M$3:$M$5001,"&lt;&gt;")=0,"",SUMIFS(BD!$M$3:$M$5001,BD!$A$3:$A$5001,AH$3,BD!$B$3:$B$5001,$A$5)))</f>
        <v/>
      </c>
      <c r="AI15" s="214" t="str">
        <f>IF(AI$3="","",IF(COUNTIFS(BD!$A$3:$A$5001,AI$3,BD!$B$3:$B$5001,$A$5,BD!$M$3:$M$5001,"&lt;&gt;")=0,"",SUMIFS(BD!$M$3:$M$5001,BD!$A$3:$A$5001,AI$3,BD!$B$3:$B$5001,$A$5)))</f>
        <v/>
      </c>
      <c r="AJ15" s="215" t="str">
        <f>IF(AJ$3="","",IF(COUNTIFS(BD!$A$3:$A$5001,AJ$3,BD!$B$3:$B$5001,$A$5,BD!$M$3:$M$5001,"&lt;&gt;")=0,"",SUMIFS(BD!$M$3:$M$5001,BD!$A$3:$A$5001,AJ$3,BD!$B$3:$B$5001,$A$5)))</f>
        <v/>
      </c>
      <c r="AK15" s="211" t="str">
        <f>IF(COUNT(F15:AJ15)=0,"",SUM(F15:AJ15))</f>
        <v/>
      </c>
    </row>
    <row r="16" ht="15.75" customHeight="1">
      <c r="A16" s="277"/>
      <c r="B16" s="270" t="inlineStr">
        <is>
          <t xml:space="preserve">NC</t>
        </is>
      </c>
      <c r="C16" s="216" t="inlineStr">
        <is>
          <t xml:space="preserve">Incidentes</t>
        </is>
      </c>
      <c r="D16" s="217" t="str">
        <f>IFERROR(1/(1/INDEX(BD!$AF$34:$AZ$34,MATCH($A$5,BD!$AF$22:$AZ$22,0))),"")</f>
        <v/>
      </c>
      <c r="E16" s="218"/>
      <c r="F16" s="219" t="str">
        <f>IF(F$3="","",IF(COUNTIFS(BD!$A$3:$A$5001,F$3,BD!$B$3:$B$5001,$A$5,BD!$N$3:$N$5001,"&lt;&gt;")=0,"",SUMIFS(BD!$N$3:$N$5001,BD!$A$3:$A$5001,F$3,BD!$B$3:$B$5001,$A$5)))</f>
        <v/>
      </c>
      <c r="G16" s="220" t="str">
        <f>IF(G$3="","",IF(COUNTIFS(BD!$A$3:$A$5001,G$3,BD!$B$3:$B$5001,$A$5,BD!$N$3:$N$5001,"&lt;&gt;")=0,"",SUMIFS(BD!$N$3:$N$5001,BD!$A$3:$A$5001,G$3,BD!$B$3:$B$5001,$A$5)))</f>
        <v/>
      </c>
      <c r="H16" s="220" t="str">
        <f>IF(H$3="","",IF(COUNTIFS(BD!$A$3:$A$5001,H$3,BD!$B$3:$B$5001,$A$5,BD!$N$3:$N$5001,"&lt;&gt;")=0,"",SUMIFS(BD!$N$3:$N$5001,BD!$A$3:$A$5001,H$3,BD!$B$3:$B$5001,$A$5)))</f>
        <v/>
      </c>
      <c r="I16" s="220" t="str">
        <f>IF(I$3="","",IF(COUNTIFS(BD!$A$3:$A$5001,I$3,BD!$B$3:$B$5001,$A$5,BD!$N$3:$N$5001,"&lt;&gt;")=0,"",SUMIFS(BD!$N$3:$N$5001,BD!$A$3:$A$5001,I$3,BD!$B$3:$B$5001,$A$5)))</f>
        <v/>
      </c>
      <c r="J16" s="220" t="str">
        <f>IF(J$3="","",IF(COUNTIFS(BD!$A$3:$A$5001,J$3,BD!$B$3:$B$5001,$A$5,BD!$N$3:$N$5001,"&lt;&gt;")=0,"",SUMIFS(BD!$N$3:$N$5001,BD!$A$3:$A$5001,J$3,BD!$B$3:$B$5001,$A$5)))</f>
        <v/>
      </c>
      <c r="K16" s="220" t="str">
        <f>IF(K$3="","",IF(COUNTIFS(BD!$A$3:$A$5001,K$3,BD!$B$3:$B$5001,$A$5,BD!$N$3:$N$5001,"&lt;&gt;")=0,"",SUMIFS(BD!$N$3:$N$5001,BD!$A$3:$A$5001,K$3,BD!$B$3:$B$5001,$A$5)))</f>
        <v/>
      </c>
      <c r="L16" s="220" t="str">
        <f>IF(L$3="","",IF(COUNTIFS(BD!$A$3:$A$5001,L$3,BD!$B$3:$B$5001,$A$5,BD!$N$3:$N$5001,"&lt;&gt;")=0,"",SUMIFS(BD!$N$3:$N$5001,BD!$A$3:$A$5001,L$3,BD!$B$3:$B$5001,$A$5)))</f>
        <v/>
      </c>
      <c r="M16" s="220" t="str">
        <f>IF(M$3="","",IF(COUNTIFS(BD!$A$3:$A$5001,M$3,BD!$B$3:$B$5001,$A$5,BD!$N$3:$N$5001,"&lt;&gt;")=0,"",SUMIFS(BD!$N$3:$N$5001,BD!$A$3:$A$5001,M$3,BD!$B$3:$B$5001,$A$5)))</f>
        <v/>
      </c>
      <c r="N16" s="220" t="str">
        <f>IF(N$3="","",IF(COUNTIFS(BD!$A$3:$A$5001,N$3,BD!$B$3:$B$5001,$A$5,BD!$N$3:$N$5001,"&lt;&gt;")=0,"",SUMIFS(BD!$N$3:$N$5001,BD!$A$3:$A$5001,N$3,BD!$B$3:$B$5001,$A$5)))</f>
        <v/>
      </c>
      <c r="O16" s="220" t="str">
        <f>IF(O$3="","",IF(COUNTIFS(BD!$A$3:$A$5001,O$3,BD!$B$3:$B$5001,$A$5,BD!$N$3:$N$5001,"&lt;&gt;")=0,"",SUMIFS(BD!$N$3:$N$5001,BD!$A$3:$A$5001,O$3,BD!$B$3:$B$5001,$A$5)))</f>
        <v/>
      </c>
      <c r="P16" s="220" t="str">
        <f>IF(P$3="","",IF(COUNTIFS(BD!$A$3:$A$5001,P$3,BD!$B$3:$B$5001,$A$5,BD!$N$3:$N$5001,"&lt;&gt;")=0,"",SUMIFS(BD!$N$3:$N$5001,BD!$A$3:$A$5001,P$3,BD!$B$3:$B$5001,$A$5)))</f>
        <v/>
      </c>
      <c r="Q16" s="220" t="str">
        <f>IF(Q$3="","",IF(COUNTIFS(BD!$A$3:$A$5001,Q$3,BD!$B$3:$B$5001,$A$5,BD!$N$3:$N$5001,"&lt;&gt;")=0,"",SUMIFS(BD!$N$3:$N$5001,BD!$A$3:$A$5001,Q$3,BD!$B$3:$B$5001,$A$5)))</f>
        <v/>
      </c>
      <c r="R16" s="220" t="str">
        <f>IF(R$3="","",IF(COUNTIFS(BD!$A$3:$A$5001,R$3,BD!$B$3:$B$5001,$A$5,BD!$N$3:$N$5001,"&lt;&gt;")=0,"",SUMIFS(BD!$N$3:$N$5001,BD!$A$3:$A$5001,R$3,BD!$B$3:$B$5001,$A$5)))</f>
        <v/>
      </c>
      <c r="S16" s="220" t="str">
        <f>IF(S$3="","",IF(COUNTIFS(BD!$A$3:$A$5001,S$3,BD!$B$3:$B$5001,$A$5,BD!$N$3:$N$5001,"&lt;&gt;")=0,"",SUMIFS(BD!$N$3:$N$5001,BD!$A$3:$A$5001,S$3,BD!$B$3:$B$5001,$A$5)))</f>
        <v/>
      </c>
      <c r="T16" s="220" t="str">
        <f>IF(T$3="","",IF(COUNTIFS(BD!$A$3:$A$5001,T$3,BD!$B$3:$B$5001,$A$5,BD!$N$3:$N$5001,"&lt;&gt;")=0,"",SUMIFS(BD!$N$3:$N$5001,BD!$A$3:$A$5001,T$3,BD!$B$3:$B$5001,$A$5)))</f>
        <v/>
      </c>
      <c r="U16" s="220" t="str">
        <f>IF(U$3="","",IF(COUNTIFS(BD!$A$3:$A$5001,U$3,BD!$B$3:$B$5001,$A$5,BD!$N$3:$N$5001,"&lt;&gt;")=0,"",SUMIFS(BD!$N$3:$N$5001,BD!$A$3:$A$5001,U$3,BD!$B$3:$B$5001,$A$5)))</f>
        <v/>
      </c>
      <c r="V16" s="220" t="str">
        <f>IF(V$3="","",IF(COUNTIFS(BD!$A$3:$A$5001,V$3,BD!$B$3:$B$5001,$A$5,BD!$N$3:$N$5001,"&lt;&gt;")=0,"",SUMIFS(BD!$N$3:$N$5001,BD!$A$3:$A$5001,V$3,BD!$B$3:$B$5001,$A$5)))</f>
        <v/>
      </c>
      <c r="W16" s="220" t="str">
        <f>IF(W$3="","",IF(COUNTIFS(BD!$A$3:$A$5001,W$3,BD!$B$3:$B$5001,$A$5,BD!$N$3:$N$5001,"&lt;&gt;")=0,"",SUMIFS(BD!$N$3:$N$5001,BD!$A$3:$A$5001,W$3,BD!$B$3:$B$5001,$A$5)))</f>
        <v/>
      </c>
      <c r="X16" s="220" t="str">
        <f>IF(X$3="","",IF(COUNTIFS(BD!$A$3:$A$5001,X$3,BD!$B$3:$B$5001,$A$5,BD!$N$3:$N$5001,"&lt;&gt;")=0,"",SUMIFS(BD!$N$3:$N$5001,BD!$A$3:$A$5001,X$3,BD!$B$3:$B$5001,$A$5)))</f>
        <v/>
      </c>
      <c r="Y16" s="220" t="str">
        <f>IF(Y$3="","",IF(COUNTIFS(BD!$A$3:$A$5001,Y$3,BD!$B$3:$B$5001,$A$5,BD!$N$3:$N$5001,"&lt;&gt;")=0,"",SUMIFS(BD!$N$3:$N$5001,BD!$A$3:$A$5001,Y$3,BD!$B$3:$B$5001,$A$5)))</f>
        <v/>
      </c>
      <c r="Z16" s="220" t="str">
        <f>IF(Z$3="","",IF(COUNTIFS(BD!$A$3:$A$5001,Z$3,BD!$B$3:$B$5001,$A$5,BD!$N$3:$N$5001,"&lt;&gt;")=0,"",SUMIFS(BD!$N$3:$N$5001,BD!$A$3:$A$5001,Z$3,BD!$B$3:$B$5001,$A$5)))</f>
        <v/>
      </c>
      <c r="AA16" s="220" t="str">
        <f>IF(AA$3="","",IF(COUNTIFS(BD!$A$3:$A$5001,AA$3,BD!$B$3:$B$5001,$A$5,BD!$N$3:$N$5001,"&lt;&gt;")=0,"",SUMIFS(BD!$N$3:$N$5001,BD!$A$3:$A$5001,AA$3,BD!$B$3:$B$5001,$A$5)))</f>
        <v/>
      </c>
      <c r="AB16" s="220" t="str">
        <f>IF(AB$3="","",IF(COUNTIFS(BD!$A$3:$A$5001,AB$3,BD!$B$3:$B$5001,$A$5,BD!$N$3:$N$5001,"&lt;&gt;")=0,"",SUMIFS(BD!$N$3:$N$5001,BD!$A$3:$A$5001,AB$3,BD!$B$3:$B$5001,$A$5)))</f>
        <v/>
      </c>
      <c r="AC16" s="220" t="str">
        <f>IF(AC$3="","",IF(COUNTIFS(BD!$A$3:$A$5001,AC$3,BD!$B$3:$B$5001,$A$5,BD!$N$3:$N$5001,"&lt;&gt;")=0,"",SUMIFS(BD!$N$3:$N$5001,BD!$A$3:$A$5001,AC$3,BD!$B$3:$B$5001,$A$5)))</f>
        <v/>
      </c>
      <c r="AD16" s="220" t="str">
        <f>IF(AD$3="","",IF(COUNTIFS(BD!$A$3:$A$5001,AD$3,BD!$B$3:$B$5001,$A$5,BD!$N$3:$N$5001,"&lt;&gt;")=0,"",SUMIFS(BD!$N$3:$N$5001,BD!$A$3:$A$5001,AD$3,BD!$B$3:$B$5001,$A$5)))</f>
        <v/>
      </c>
      <c r="AE16" s="220" t="str">
        <f>IF(AE$3="","",IF(COUNTIFS(BD!$A$3:$A$5001,AE$3,BD!$B$3:$B$5001,$A$5,BD!$N$3:$N$5001,"&lt;&gt;")=0,"",SUMIFS(BD!$N$3:$N$5001,BD!$A$3:$A$5001,AE$3,BD!$B$3:$B$5001,$A$5)))</f>
        <v/>
      </c>
      <c r="AF16" s="220" t="str">
        <f>IF(AF$3="","",IF(COUNTIFS(BD!$A$3:$A$5001,AF$3,BD!$B$3:$B$5001,$A$5,BD!$N$3:$N$5001,"&lt;&gt;")=0,"",SUMIFS(BD!$N$3:$N$5001,BD!$A$3:$A$5001,AF$3,BD!$B$3:$B$5001,$A$5)))</f>
        <v/>
      </c>
      <c r="AG16" s="220" t="str">
        <f>IF(AG$3="","",IF(COUNTIFS(BD!$A$3:$A$5001,AG$3,BD!$B$3:$B$5001,$A$5,BD!$N$3:$N$5001,"&lt;&gt;")=0,"",SUMIFS(BD!$N$3:$N$5001,BD!$A$3:$A$5001,AG$3,BD!$B$3:$B$5001,$A$5)))</f>
        <v/>
      </c>
      <c r="AH16" s="220" t="str">
        <f>IF(AH$3="","",IF(COUNTIFS(BD!$A$3:$A$5001,AH$3,BD!$B$3:$B$5001,$A$5,BD!$N$3:$N$5001,"&lt;&gt;")=0,"",SUMIFS(BD!$N$3:$N$5001,BD!$A$3:$A$5001,AH$3,BD!$B$3:$B$5001,$A$5)))</f>
        <v/>
      </c>
      <c r="AI16" s="220" t="str">
        <f>IF(AI$3="","",IF(COUNTIFS(BD!$A$3:$A$5001,AI$3,BD!$B$3:$B$5001,$A$5,BD!$N$3:$N$5001,"&lt;&gt;")=0,"",SUMIFS(BD!$N$3:$N$5001,BD!$A$3:$A$5001,AI$3,BD!$B$3:$B$5001,$A$5)))</f>
        <v/>
      </c>
      <c r="AJ16" s="221" t="str">
        <f>IF(AJ$3="","",IF(COUNTIFS(BD!$A$3:$A$5001,AJ$3,BD!$B$3:$B$5001,$A$5,BD!$N$3:$N$5001,"&lt;&gt;")=0,"",SUMIFS(BD!$N$3:$N$5001,BD!$A$3:$A$5001,AJ$3,BD!$B$3:$B$5001,$A$5)))</f>
        <v/>
      </c>
      <c r="AK16" s="222" t="str">
        <f>IF(COUNT(F16:AJ16)=0,"",SUM(F16:AJ16))</f>
        <v/>
      </c>
    </row>
    <row r="17" ht="15.75" customHeight="1">
      <c r="A17" s="277"/>
      <c r="B17" s="271"/>
      <c r="C17" s="223" t="inlineStr">
        <is>
          <t xml:space="preserve">No show</t>
        </is>
      </c>
      <c r="D17" s="224" t="str">
        <f>IFERROR(1/(1/INDEX(BD!$AF$35:$AZ$35,MATCH($A$5,BD!$AF$22:$AZ$22,0))),"")</f>
        <v/>
      </c>
      <c r="E17" s="225"/>
      <c r="F17" s="226" t="str">
        <f>IF(F$3="","",IF(COUNTIFS(BD!$A$3:$A$5001,F$3,BD!$B$3:$B$5001,$A$5,BD!$O$3:$O$5001,"&lt;&gt;")=0,"",SUMIFS(BD!$O$3:$O$5001,BD!$A$3:$A$5001,F$3,BD!$B$3:$B$5001,$A$5)))</f>
        <v/>
      </c>
      <c r="G17" s="227" t="str">
        <f>IF(G$3="","",IF(COUNTIFS(BD!$A$3:$A$5001,G$3,BD!$B$3:$B$5001,$A$5,BD!$O$3:$O$5001,"&lt;&gt;")=0,"",SUMIFS(BD!$O$3:$O$5001,BD!$A$3:$A$5001,G$3,BD!$B$3:$B$5001,$A$5)))</f>
        <v/>
      </c>
      <c r="H17" s="227" t="str">
        <f>IF(H$3="","",IF(COUNTIFS(BD!$A$3:$A$5001,H$3,BD!$B$3:$B$5001,$A$5,BD!$O$3:$O$5001,"&lt;&gt;")=0,"",SUMIFS(BD!$O$3:$O$5001,BD!$A$3:$A$5001,H$3,BD!$B$3:$B$5001,$A$5)))</f>
        <v/>
      </c>
      <c r="I17" s="227" t="str">
        <f>IF(I$3="","",IF(COUNTIFS(BD!$A$3:$A$5001,I$3,BD!$B$3:$B$5001,$A$5,BD!$O$3:$O$5001,"&lt;&gt;")=0,"",SUMIFS(BD!$O$3:$O$5001,BD!$A$3:$A$5001,I$3,BD!$B$3:$B$5001,$A$5)))</f>
        <v/>
      </c>
      <c r="J17" s="227" t="str">
        <f>IF(J$3="","",IF(COUNTIFS(BD!$A$3:$A$5001,J$3,BD!$B$3:$B$5001,$A$5,BD!$O$3:$O$5001,"&lt;&gt;")=0,"",SUMIFS(BD!$O$3:$O$5001,BD!$A$3:$A$5001,J$3,BD!$B$3:$B$5001,$A$5)))</f>
        <v/>
      </c>
      <c r="K17" s="227" t="str">
        <f>IF(K$3="","",IF(COUNTIFS(BD!$A$3:$A$5001,K$3,BD!$B$3:$B$5001,$A$5,BD!$O$3:$O$5001,"&lt;&gt;")=0,"",SUMIFS(BD!$O$3:$O$5001,BD!$A$3:$A$5001,K$3,BD!$B$3:$B$5001,$A$5)))</f>
        <v/>
      </c>
      <c r="L17" s="227" t="str">
        <f>IF(L$3="","",IF(COUNTIFS(BD!$A$3:$A$5001,L$3,BD!$B$3:$B$5001,$A$5,BD!$O$3:$O$5001,"&lt;&gt;")=0,"",SUMIFS(BD!$O$3:$O$5001,BD!$A$3:$A$5001,L$3,BD!$B$3:$B$5001,$A$5)))</f>
        <v/>
      </c>
      <c r="M17" s="227" t="str">
        <f>IF(M$3="","",IF(COUNTIFS(BD!$A$3:$A$5001,M$3,BD!$B$3:$B$5001,$A$5,BD!$O$3:$O$5001,"&lt;&gt;")=0,"",SUMIFS(BD!$O$3:$O$5001,BD!$A$3:$A$5001,M$3,BD!$B$3:$B$5001,$A$5)))</f>
        <v/>
      </c>
      <c r="N17" s="227" t="str">
        <f>IF(N$3="","",IF(COUNTIFS(BD!$A$3:$A$5001,N$3,BD!$B$3:$B$5001,$A$5,BD!$O$3:$O$5001,"&lt;&gt;")=0,"",SUMIFS(BD!$O$3:$O$5001,BD!$A$3:$A$5001,N$3,BD!$B$3:$B$5001,$A$5)))</f>
        <v/>
      </c>
      <c r="O17" s="227" t="str">
        <f>IF(O$3="","",IF(COUNTIFS(BD!$A$3:$A$5001,O$3,BD!$B$3:$B$5001,$A$5,BD!$O$3:$O$5001,"&lt;&gt;")=0,"",SUMIFS(BD!$O$3:$O$5001,BD!$A$3:$A$5001,O$3,BD!$B$3:$B$5001,$A$5)))</f>
        <v/>
      </c>
      <c r="P17" s="227" t="str">
        <f>IF(P$3="","",IF(COUNTIFS(BD!$A$3:$A$5001,P$3,BD!$B$3:$B$5001,$A$5,BD!$O$3:$O$5001,"&lt;&gt;")=0,"",SUMIFS(BD!$O$3:$O$5001,BD!$A$3:$A$5001,P$3,BD!$B$3:$B$5001,$A$5)))</f>
        <v/>
      </c>
      <c r="Q17" s="227" t="str">
        <f>IF(Q$3="","",IF(COUNTIFS(BD!$A$3:$A$5001,Q$3,BD!$B$3:$B$5001,$A$5,BD!$O$3:$O$5001,"&lt;&gt;")=0,"",SUMIFS(BD!$O$3:$O$5001,BD!$A$3:$A$5001,Q$3,BD!$B$3:$B$5001,$A$5)))</f>
        <v/>
      </c>
      <c r="R17" s="227" t="str">
        <f>IF(R$3="","",IF(COUNTIFS(BD!$A$3:$A$5001,R$3,BD!$B$3:$B$5001,$A$5,BD!$O$3:$O$5001,"&lt;&gt;")=0,"",SUMIFS(BD!$O$3:$O$5001,BD!$A$3:$A$5001,R$3,BD!$B$3:$B$5001,$A$5)))</f>
        <v/>
      </c>
      <c r="S17" s="227" t="str">
        <f>IF(S$3="","",IF(COUNTIFS(BD!$A$3:$A$5001,S$3,BD!$B$3:$B$5001,$A$5,BD!$O$3:$O$5001,"&lt;&gt;")=0,"",SUMIFS(BD!$O$3:$O$5001,BD!$A$3:$A$5001,S$3,BD!$B$3:$B$5001,$A$5)))</f>
        <v/>
      </c>
      <c r="T17" s="227" t="str">
        <f>IF(T$3="","",IF(COUNTIFS(BD!$A$3:$A$5001,T$3,BD!$B$3:$B$5001,$A$5,BD!$O$3:$O$5001,"&lt;&gt;")=0,"",SUMIFS(BD!$O$3:$O$5001,BD!$A$3:$A$5001,T$3,BD!$B$3:$B$5001,$A$5)))</f>
        <v/>
      </c>
      <c r="U17" s="227" t="str">
        <f>IF(U$3="","",IF(COUNTIFS(BD!$A$3:$A$5001,U$3,BD!$B$3:$B$5001,$A$5,BD!$O$3:$O$5001,"&lt;&gt;")=0,"",SUMIFS(BD!$O$3:$O$5001,BD!$A$3:$A$5001,U$3,BD!$B$3:$B$5001,$A$5)))</f>
        <v/>
      </c>
      <c r="V17" s="227" t="str">
        <f>IF(V$3="","",IF(COUNTIFS(BD!$A$3:$A$5001,V$3,BD!$B$3:$B$5001,$A$5,BD!$O$3:$O$5001,"&lt;&gt;")=0,"",SUMIFS(BD!$O$3:$O$5001,BD!$A$3:$A$5001,V$3,BD!$B$3:$B$5001,$A$5)))</f>
        <v/>
      </c>
      <c r="W17" s="227" t="str">
        <f>IF(W$3="","",IF(COUNTIFS(BD!$A$3:$A$5001,W$3,BD!$B$3:$B$5001,$A$5,BD!$O$3:$O$5001,"&lt;&gt;")=0,"",SUMIFS(BD!$O$3:$O$5001,BD!$A$3:$A$5001,W$3,BD!$B$3:$B$5001,$A$5)))</f>
        <v/>
      </c>
      <c r="X17" s="227" t="str">
        <f>IF(X$3="","",IF(COUNTIFS(BD!$A$3:$A$5001,X$3,BD!$B$3:$B$5001,$A$5,BD!$O$3:$O$5001,"&lt;&gt;")=0,"",SUMIFS(BD!$O$3:$O$5001,BD!$A$3:$A$5001,X$3,BD!$B$3:$B$5001,$A$5)))</f>
        <v/>
      </c>
      <c r="Y17" s="227" t="str">
        <f>IF(Y$3="","",IF(COUNTIFS(BD!$A$3:$A$5001,Y$3,BD!$B$3:$B$5001,$A$5,BD!$O$3:$O$5001,"&lt;&gt;")=0,"",SUMIFS(BD!$O$3:$O$5001,BD!$A$3:$A$5001,Y$3,BD!$B$3:$B$5001,$A$5)))</f>
        <v/>
      </c>
      <c r="Z17" s="227" t="str">
        <f>IF(Z$3="","",IF(COUNTIFS(BD!$A$3:$A$5001,Z$3,BD!$B$3:$B$5001,$A$5,BD!$O$3:$O$5001,"&lt;&gt;")=0,"",SUMIFS(BD!$O$3:$O$5001,BD!$A$3:$A$5001,Z$3,BD!$B$3:$B$5001,$A$5)))</f>
        <v/>
      </c>
      <c r="AA17" s="227" t="str">
        <f>IF(AA$3="","",IF(COUNTIFS(BD!$A$3:$A$5001,AA$3,BD!$B$3:$B$5001,$A$5,BD!$O$3:$O$5001,"&lt;&gt;")=0,"",SUMIFS(BD!$O$3:$O$5001,BD!$A$3:$A$5001,AA$3,BD!$B$3:$B$5001,$A$5)))</f>
        <v/>
      </c>
      <c r="AB17" s="227" t="str">
        <f>IF(AB$3="","",IF(COUNTIFS(BD!$A$3:$A$5001,AB$3,BD!$B$3:$B$5001,$A$5,BD!$O$3:$O$5001,"&lt;&gt;")=0,"",SUMIFS(BD!$O$3:$O$5001,BD!$A$3:$A$5001,AB$3,BD!$B$3:$B$5001,$A$5)))</f>
        <v/>
      </c>
      <c r="AC17" s="227" t="str">
        <f>IF(AC$3="","",IF(COUNTIFS(BD!$A$3:$A$5001,AC$3,BD!$B$3:$B$5001,$A$5,BD!$O$3:$O$5001,"&lt;&gt;")=0,"",SUMIFS(BD!$O$3:$O$5001,BD!$A$3:$A$5001,AC$3,BD!$B$3:$B$5001,$A$5)))</f>
        <v/>
      </c>
      <c r="AD17" s="227" t="str">
        <f>IF(AD$3="","",IF(COUNTIFS(BD!$A$3:$A$5001,AD$3,BD!$B$3:$B$5001,$A$5,BD!$O$3:$O$5001,"&lt;&gt;")=0,"",SUMIFS(BD!$O$3:$O$5001,BD!$A$3:$A$5001,AD$3,BD!$B$3:$B$5001,$A$5)))</f>
        <v/>
      </c>
      <c r="AE17" s="227" t="str">
        <f>IF(AE$3="","",IF(COUNTIFS(BD!$A$3:$A$5001,AE$3,BD!$B$3:$B$5001,$A$5,BD!$O$3:$O$5001,"&lt;&gt;")=0,"",SUMIFS(BD!$O$3:$O$5001,BD!$A$3:$A$5001,AE$3,BD!$B$3:$B$5001,$A$5)))</f>
        <v/>
      </c>
      <c r="AF17" s="227" t="str">
        <f>IF(AF$3="","",IF(COUNTIFS(BD!$A$3:$A$5001,AF$3,BD!$B$3:$B$5001,$A$5,BD!$O$3:$O$5001,"&lt;&gt;")=0,"",SUMIFS(BD!$O$3:$O$5001,BD!$A$3:$A$5001,AF$3,BD!$B$3:$B$5001,$A$5)))</f>
        <v/>
      </c>
      <c r="AG17" s="227" t="str">
        <f>IF(AG$3="","",IF(COUNTIFS(BD!$A$3:$A$5001,AG$3,BD!$B$3:$B$5001,$A$5,BD!$O$3:$O$5001,"&lt;&gt;")=0,"",SUMIFS(BD!$O$3:$O$5001,BD!$A$3:$A$5001,AG$3,BD!$B$3:$B$5001,$A$5)))</f>
        <v/>
      </c>
      <c r="AH17" s="227" t="str">
        <f>IF(AH$3="","",IF(COUNTIFS(BD!$A$3:$A$5001,AH$3,BD!$B$3:$B$5001,$A$5,BD!$O$3:$O$5001,"&lt;&gt;")=0,"",SUMIFS(BD!$O$3:$O$5001,BD!$A$3:$A$5001,AH$3,BD!$B$3:$B$5001,$A$5)))</f>
        <v/>
      </c>
      <c r="AI17" s="227" t="str">
        <f>IF(AI$3="","",IF(COUNTIFS(BD!$A$3:$A$5001,AI$3,BD!$B$3:$B$5001,$A$5,BD!$O$3:$O$5001,"&lt;&gt;")=0,"",SUMIFS(BD!$O$3:$O$5001,BD!$A$3:$A$5001,AI$3,BD!$B$3:$B$5001,$A$5)))</f>
        <v/>
      </c>
      <c r="AJ17" s="228" t="str">
        <f>IF(AJ$3="","",IF(COUNTIFS(BD!$A$3:$A$5001,AJ$3,BD!$B$3:$B$5001,$A$5,BD!$O$3:$O$5001,"&lt;&gt;")=0,"",SUMIFS(BD!$O$3:$O$5001,BD!$A$3:$A$5001,AJ$3,BD!$B$3:$B$5001,$A$5)))</f>
        <v/>
      </c>
      <c r="AK17" s="229" t="str">
        <f>IF(COUNT(F17:AJ17)=0,"",SUM(F17:AJ17))</f>
        <v/>
      </c>
    </row>
    <row r="18" ht="15.75" customHeight="1">
      <c r="A18" s="277"/>
      <c r="B18" s="271"/>
      <c r="C18" s="223" t="inlineStr">
        <is>
          <t xml:space="preserve">Backlog Intralog</t>
        </is>
      </c>
      <c r="D18" s="224" t="str">
        <f>IFERROR(1/(1/INDEX(BD!$AF$36:$AZ$36,MATCH($A$5,BD!$AF$22:$AZ$22,0))),"")</f>
        <v/>
      </c>
      <c r="E18" s="225"/>
      <c r="F18" s="226" t="str">
        <f>IF(F$3="","",IF(COUNTIFS(BD!$A$3:$A$5001,F$3,BD!$B$3:$B$5001,$A$5,BD!$P$3:$P$5001,"&lt;&gt;")=0,"",SUMIFS(BD!$P$3:$P$5001,BD!$A$3:$A$5001,F$3,BD!$B$3:$B$5001,$A$5)))</f>
        <v/>
      </c>
      <c r="G18" s="227" t="str">
        <f>IF(G$3="","",IF(COUNTIFS(BD!$A$3:$A$5001,G$3,BD!$B$3:$B$5001,$A$5,BD!$P$3:$P$5001,"&lt;&gt;")=0,"",SUMIFS(BD!$P$3:$P$5001,BD!$A$3:$A$5001,G$3,BD!$B$3:$B$5001,$A$5)))</f>
        <v/>
      </c>
      <c r="H18" s="227" t="str">
        <f>IF(H$3="","",IF(COUNTIFS(BD!$A$3:$A$5001,H$3,BD!$B$3:$B$5001,$A$5,BD!$P$3:$P$5001,"&lt;&gt;")=0,"",SUMIFS(BD!$P$3:$P$5001,BD!$A$3:$A$5001,H$3,BD!$B$3:$B$5001,$A$5)))</f>
        <v/>
      </c>
      <c r="I18" s="227" t="str">
        <f>IF(I$3="","",IF(COUNTIFS(BD!$A$3:$A$5001,I$3,BD!$B$3:$B$5001,$A$5,BD!$P$3:$P$5001,"&lt;&gt;")=0,"",SUMIFS(BD!$P$3:$P$5001,BD!$A$3:$A$5001,I$3,BD!$B$3:$B$5001,$A$5)))</f>
        <v/>
      </c>
      <c r="J18" s="227" t="str">
        <f>IF(J$3="","",IF(COUNTIFS(BD!$A$3:$A$5001,J$3,BD!$B$3:$B$5001,$A$5,BD!$P$3:$P$5001,"&lt;&gt;")=0,"",SUMIFS(BD!$P$3:$P$5001,BD!$A$3:$A$5001,J$3,BD!$B$3:$B$5001,$A$5)))</f>
        <v/>
      </c>
      <c r="K18" s="227" t="str">
        <f>IF(K$3="","",IF(COUNTIFS(BD!$A$3:$A$5001,K$3,BD!$B$3:$B$5001,$A$5,BD!$P$3:$P$5001,"&lt;&gt;")=0,"",SUMIFS(BD!$P$3:$P$5001,BD!$A$3:$A$5001,K$3,BD!$B$3:$B$5001,$A$5)))</f>
        <v/>
      </c>
      <c r="L18" s="227" t="str">
        <f>IF(L$3="","",IF(COUNTIFS(BD!$A$3:$A$5001,L$3,BD!$B$3:$B$5001,$A$5,BD!$P$3:$P$5001,"&lt;&gt;")=0,"",SUMIFS(BD!$P$3:$P$5001,BD!$A$3:$A$5001,L$3,BD!$B$3:$B$5001,$A$5)))</f>
        <v/>
      </c>
      <c r="M18" s="227" t="str">
        <f>IF(M$3="","",IF(COUNTIFS(BD!$A$3:$A$5001,M$3,BD!$B$3:$B$5001,$A$5,BD!$P$3:$P$5001,"&lt;&gt;")=0,"",SUMIFS(BD!$P$3:$P$5001,BD!$A$3:$A$5001,M$3,BD!$B$3:$B$5001,$A$5)))</f>
        <v/>
      </c>
      <c r="N18" s="227" t="str">
        <f>IF(N$3="","",IF(COUNTIFS(BD!$A$3:$A$5001,N$3,BD!$B$3:$B$5001,$A$5,BD!$P$3:$P$5001,"&lt;&gt;")=0,"",SUMIFS(BD!$P$3:$P$5001,BD!$A$3:$A$5001,N$3,BD!$B$3:$B$5001,$A$5)))</f>
        <v/>
      </c>
      <c r="O18" s="227" t="str">
        <f>IF(O$3="","",IF(COUNTIFS(BD!$A$3:$A$5001,O$3,BD!$B$3:$B$5001,$A$5,BD!$P$3:$P$5001,"&lt;&gt;")=0,"",SUMIFS(BD!$P$3:$P$5001,BD!$A$3:$A$5001,O$3,BD!$B$3:$B$5001,$A$5)))</f>
        <v/>
      </c>
      <c r="P18" s="227" t="str">
        <f>IF(P$3="","",IF(COUNTIFS(BD!$A$3:$A$5001,P$3,BD!$B$3:$B$5001,$A$5,BD!$P$3:$P$5001,"&lt;&gt;")=0,"",SUMIFS(BD!$P$3:$P$5001,BD!$A$3:$A$5001,P$3,BD!$B$3:$B$5001,$A$5)))</f>
        <v/>
      </c>
      <c r="Q18" s="227" t="str">
        <f>IF(Q$3="","",IF(COUNTIFS(BD!$A$3:$A$5001,Q$3,BD!$B$3:$B$5001,$A$5,BD!$P$3:$P$5001,"&lt;&gt;")=0,"",SUMIFS(BD!$P$3:$P$5001,BD!$A$3:$A$5001,Q$3,BD!$B$3:$B$5001,$A$5)))</f>
        <v/>
      </c>
      <c r="R18" s="227" t="str">
        <f>IF(R$3="","",IF(COUNTIFS(BD!$A$3:$A$5001,R$3,BD!$B$3:$B$5001,$A$5,BD!$P$3:$P$5001,"&lt;&gt;")=0,"",SUMIFS(BD!$P$3:$P$5001,BD!$A$3:$A$5001,R$3,BD!$B$3:$B$5001,$A$5)))</f>
        <v/>
      </c>
      <c r="S18" s="227" t="str">
        <f>IF(S$3="","",IF(COUNTIFS(BD!$A$3:$A$5001,S$3,BD!$B$3:$B$5001,$A$5,BD!$P$3:$P$5001,"&lt;&gt;")=0,"",SUMIFS(BD!$P$3:$P$5001,BD!$A$3:$A$5001,S$3,BD!$B$3:$B$5001,$A$5)))</f>
        <v/>
      </c>
      <c r="T18" s="227" t="str">
        <f>IF(T$3="","",IF(COUNTIFS(BD!$A$3:$A$5001,T$3,BD!$B$3:$B$5001,$A$5,BD!$P$3:$P$5001,"&lt;&gt;")=0,"",SUMIFS(BD!$P$3:$P$5001,BD!$A$3:$A$5001,T$3,BD!$B$3:$B$5001,$A$5)))</f>
        <v/>
      </c>
      <c r="U18" s="227" t="str">
        <f>IF(U$3="","",IF(COUNTIFS(BD!$A$3:$A$5001,U$3,BD!$B$3:$B$5001,$A$5,BD!$P$3:$P$5001,"&lt;&gt;")=0,"",SUMIFS(BD!$P$3:$P$5001,BD!$A$3:$A$5001,U$3,BD!$B$3:$B$5001,$A$5)))</f>
        <v/>
      </c>
      <c r="V18" s="227" t="str">
        <f>IF(V$3="","",IF(COUNTIFS(BD!$A$3:$A$5001,V$3,BD!$B$3:$B$5001,$A$5,BD!$P$3:$P$5001,"&lt;&gt;")=0,"",SUMIFS(BD!$P$3:$P$5001,BD!$A$3:$A$5001,V$3,BD!$B$3:$B$5001,$A$5)))</f>
        <v/>
      </c>
      <c r="W18" s="227" t="str">
        <f>IF(W$3="","",IF(COUNTIFS(BD!$A$3:$A$5001,W$3,BD!$B$3:$B$5001,$A$5,BD!$P$3:$P$5001,"&lt;&gt;")=0,"",SUMIFS(BD!$P$3:$P$5001,BD!$A$3:$A$5001,W$3,BD!$B$3:$B$5001,$A$5)))</f>
        <v/>
      </c>
      <c r="X18" s="227" t="str">
        <f>IF(X$3="","",IF(COUNTIFS(BD!$A$3:$A$5001,X$3,BD!$B$3:$B$5001,$A$5,BD!$P$3:$P$5001,"&lt;&gt;")=0,"",SUMIFS(BD!$P$3:$P$5001,BD!$A$3:$A$5001,X$3,BD!$B$3:$B$5001,$A$5)))</f>
        <v/>
      </c>
      <c r="Y18" s="227" t="str">
        <f>IF(Y$3="","",IF(COUNTIFS(BD!$A$3:$A$5001,Y$3,BD!$B$3:$B$5001,$A$5,BD!$P$3:$P$5001,"&lt;&gt;")=0,"",SUMIFS(BD!$P$3:$P$5001,BD!$A$3:$A$5001,Y$3,BD!$B$3:$B$5001,$A$5)))</f>
        <v/>
      </c>
      <c r="Z18" s="227" t="str">
        <f>IF(Z$3="","",IF(COUNTIFS(BD!$A$3:$A$5001,Z$3,BD!$B$3:$B$5001,$A$5,BD!$P$3:$P$5001,"&lt;&gt;")=0,"",SUMIFS(BD!$P$3:$P$5001,BD!$A$3:$A$5001,Z$3,BD!$B$3:$B$5001,$A$5)))</f>
        <v/>
      </c>
      <c r="AA18" s="227" t="str">
        <f>IF(AA$3="","",IF(COUNTIFS(BD!$A$3:$A$5001,AA$3,BD!$B$3:$B$5001,$A$5,BD!$P$3:$P$5001,"&lt;&gt;")=0,"",SUMIFS(BD!$P$3:$P$5001,BD!$A$3:$A$5001,AA$3,BD!$B$3:$B$5001,$A$5)))</f>
        <v/>
      </c>
      <c r="AB18" s="227" t="str">
        <f>IF(AB$3="","",IF(COUNTIFS(BD!$A$3:$A$5001,AB$3,BD!$B$3:$B$5001,$A$5,BD!$P$3:$P$5001,"&lt;&gt;")=0,"",SUMIFS(BD!$P$3:$P$5001,BD!$A$3:$A$5001,AB$3,BD!$B$3:$B$5001,$A$5)))</f>
        <v/>
      </c>
      <c r="AC18" s="227" t="str">
        <f>IF(AC$3="","",IF(COUNTIFS(BD!$A$3:$A$5001,AC$3,BD!$B$3:$B$5001,$A$5,BD!$P$3:$P$5001,"&lt;&gt;")=0,"",SUMIFS(BD!$P$3:$P$5001,BD!$A$3:$A$5001,AC$3,BD!$B$3:$B$5001,$A$5)))</f>
        <v/>
      </c>
      <c r="AD18" s="227" t="str">
        <f>IF(AD$3="","",IF(COUNTIFS(BD!$A$3:$A$5001,AD$3,BD!$B$3:$B$5001,$A$5,BD!$P$3:$P$5001,"&lt;&gt;")=0,"",SUMIFS(BD!$P$3:$P$5001,BD!$A$3:$A$5001,AD$3,BD!$B$3:$B$5001,$A$5)))</f>
        <v/>
      </c>
      <c r="AE18" s="227" t="str">
        <f>IF(AE$3="","",IF(COUNTIFS(BD!$A$3:$A$5001,AE$3,BD!$B$3:$B$5001,$A$5,BD!$P$3:$P$5001,"&lt;&gt;")=0,"",SUMIFS(BD!$P$3:$P$5001,BD!$A$3:$A$5001,AE$3,BD!$B$3:$B$5001,$A$5)))</f>
        <v/>
      </c>
      <c r="AF18" s="227" t="str">
        <f>IF(AF$3="","",IF(COUNTIFS(BD!$A$3:$A$5001,AF$3,BD!$B$3:$B$5001,$A$5,BD!$P$3:$P$5001,"&lt;&gt;")=0,"",SUMIFS(BD!$P$3:$P$5001,BD!$A$3:$A$5001,AF$3,BD!$B$3:$B$5001,$A$5)))</f>
        <v/>
      </c>
      <c r="AG18" s="227" t="str">
        <f>IF(AG$3="","",IF(COUNTIFS(BD!$A$3:$A$5001,AG$3,BD!$B$3:$B$5001,$A$5,BD!$P$3:$P$5001,"&lt;&gt;")=0,"",SUMIFS(BD!$P$3:$P$5001,BD!$A$3:$A$5001,AG$3,BD!$B$3:$B$5001,$A$5)))</f>
        <v/>
      </c>
      <c r="AH18" s="227" t="str">
        <f>IF(AH$3="","",IF(COUNTIFS(BD!$A$3:$A$5001,AH$3,BD!$B$3:$B$5001,$A$5,BD!$P$3:$P$5001,"&lt;&gt;")=0,"",SUMIFS(BD!$P$3:$P$5001,BD!$A$3:$A$5001,AH$3,BD!$B$3:$B$5001,$A$5)))</f>
        <v/>
      </c>
      <c r="AI18" s="227" t="str">
        <f>IF(AI$3="","",IF(COUNTIFS(BD!$A$3:$A$5001,AI$3,BD!$B$3:$B$5001,$A$5,BD!$P$3:$P$5001,"&lt;&gt;")=0,"",SUMIFS(BD!$P$3:$P$5001,BD!$A$3:$A$5001,AI$3,BD!$B$3:$B$5001,$A$5)))</f>
        <v/>
      </c>
      <c r="AJ18" s="228" t="str">
        <f>IF(AJ$3="","",IF(COUNTIFS(BD!$A$3:$A$5001,AJ$3,BD!$B$3:$B$5001,$A$5,BD!$P$3:$P$5001,"&lt;&gt;")=0,"",SUMIFS(BD!$P$3:$P$5001,BD!$A$3:$A$5001,AJ$3,BD!$B$3:$B$5001,$A$5)))</f>
        <v/>
      </c>
      <c r="AK18" s="229" t="str">
        <f>IFERROR(LOOKUP(9.99E+307,F18:AJ18),"")</f>
        <v/>
      </c>
    </row>
    <row r="19" ht="15.75" customHeight="1">
      <c r="A19" s="277"/>
      <c r="B19" s="272"/>
      <c r="C19" s="230" t="inlineStr">
        <is>
          <t xml:space="preserve">Backlog Cliente</t>
        </is>
      </c>
      <c r="D19" s="231" t="str">
        <f>IFERROR(1/(1/INDEX(BD!$AF$37:$AZ$37,MATCH($A$5,BD!$AF$22:$AZ$22,0))),"")</f>
        <v/>
      </c>
      <c r="E19" s="232"/>
      <c r="F19" s="233" t="str">
        <f>IF(F$3="","",IF(COUNTIFS(BD!$A$3:$A$5001,F$3,BD!$B$3:$B$5001,$A$5,BD!$Q$3:$Q$5001,"&lt;&gt;")=0,"",SUMIFS(BD!$Q$3:$Q$5001,BD!$A$3:$A$5001,F$3,BD!$B$3:$B$5001,$A$5)))</f>
        <v/>
      </c>
      <c r="G19" s="234" t="str">
        <f>IF(G$3="","",IF(COUNTIFS(BD!$A$3:$A$5001,G$3,BD!$B$3:$B$5001,$A$5,BD!$Q$3:$Q$5001,"&lt;&gt;")=0,"",SUMIFS(BD!$Q$3:$Q$5001,BD!$A$3:$A$5001,G$3,BD!$B$3:$B$5001,$A$5)))</f>
        <v/>
      </c>
      <c r="H19" s="234" t="str">
        <f>IF(H$3="","",IF(COUNTIFS(BD!$A$3:$A$5001,H$3,BD!$B$3:$B$5001,$A$5,BD!$Q$3:$Q$5001,"&lt;&gt;")=0,"",SUMIFS(BD!$Q$3:$Q$5001,BD!$A$3:$A$5001,H$3,BD!$B$3:$B$5001,$A$5)))</f>
        <v/>
      </c>
      <c r="I19" s="234" t="str">
        <f>IF(I$3="","",IF(COUNTIFS(BD!$A$3:$A$5001,I$3,BD!$B$3:$B$5001,$A$5,BD!$Q$3:$Q$5001,"&lt;&gt;")=0,"",SUMIFS(BD!$Q$3:$Q$5001,BD!$A$3:$A$5001,I$3,BD!$B$3:$B$5001,$A$5)))</f>
        <v/>
      </c>
      <c r="J19" s="234" t="str">
        <f>IF(J$3="","",IF(COUNTIFS(BD!$A$3:$A$5001,J$3,BD!$B$3:$B$5001,$A$5,BD!$Q$3:$Q$5001,"&lt;&gt;")=0,"",SUMIFS(BD!$Q$3:$Q$5001,BD!$A$3:$A$5001,J$3,BD!$B$3:$B$5001,$A$5)))</f>
        <v/>
      </c>
      <c r="K19" s="234" t="str">
        <f>IF(K$3="","",IF(COUNTIFS(BD!$A$3:$A$5001,K$3,BD!$B$3:$B$5001,$A$5,BD!$Q$3:$Q$5001,"&lt;&gt;")=0,"",SUMIFS(BD!$Q$3:$Q$5001,BD!$A$3:$A$5001,K$3,BD!$B$3:$B$5001,$A$5)))</f>
        <v/>
      </c>
      <c r="L19" s="234" t="str">
        <f>IF(L$3="","",IF(COUNTIFS(BD!$A$3:$A$5001,L$3,BD!$B$3:$B$5001,$A$5,BD!$Q$3:$Q$5001,"&lt;&gt;")=0,"",SUMIFS(BD!$Q$3:$Q$5001,BD!$A$3:$A$5001,L$3,BD!$B$3:$B$5001,$A$5)))</f>
        <v/>
      </c>
      <c r="M19" s="234" t="str">
        <f>IF(M$3="","",IF(COUNTIFS(BD!$A$3:$A$5001,M$3,BD!$B$3:$B$5001,$A$5,BD!$Q$3:$Q$5001,"&lt;&gt;")=0,"",SUMIFS(BD!$Q$3:$Q$5001,BD!$A$3:$A$5001,M$3,BD!$B$3:$B$5001,$A$5)))</f>
        <v/>
      </c>
      <c r="N19" s="234" t="str">
        <f>IF(N$3="","",IF(COUNTIFS(BD!$A$3:$A$5001,N$3,BD!$B$3:$B$5001,$A$5,BD!$Q$3:$Q$5001,"&lt;&gt;")=0,"",SUMIFS(BD!$Q$3:$Q$5001,BD!$A$3:$A$5001,N$3,BD!$B$3:$B$5001,$A$5)))</f>
        <v/>
      </c>
      <c r="O19" s="234" t="str">
        <f>IF(O$3="","",IF(COUNTIFS(BD!$A$3:$A$5001,O$3,BD!$B$3:$B$5001,$A$5,BD!$Q$3:$Q$5001,"&lt;&gt;")=0,"",SUMIFS(BD!$Q$3:$Q$5001,BD!$A$3:$A$5001,O$3,BD!$B$3:$B$5001,$A$5)))</f>
        <v/>
      </c>
      <c r="P19" s="234" t="str">
        <f>IF(P$3="","",IF(COUNTIFS(BD!$A$3:$A$5001,P$3,BD!$B$3:$B$5001,$A$5,BD!$Q$3:$Q$5001,"&lt;&gt;")=0,"",SUMIFS(BD!$Q$3:$Q$5001,BD!$A$3:$A$5001,P$3,BD!$B$3:$B$5001,$A$5)))</f>
        <v/>
      </c>
      <c r="Q19" s="234" t="str">
        <f>IF(Q$3="","",IF(COUNTIFS(BD!$A$3:$A$5001,Q$3,BD!$B$3:$B$5001,$A$5,BD!$Q$3:$Q$5001,"&lt;&gt;")=0,"",SUMIFS(BD!$Q$3:$Q$5001,BD!$A$3:$A$5001,Q$3,BD!$B$3:$B$5001,$A$5)))</f>
        <v/>
      </c>
      <c r="R19" s="234" t="str">
        <f>IF(R$3="","",IF(COUNTIFS(BD!$A$3:$A$5001,R$3,BD!$B$3:$B$5001,$A$5,BD!$Q$3:$Q$5001,"&lt;&gt;")=0,"",SUMIFS(BD!$Q$3:$Q$5001,BD!$A$3:$A$5001,R$3,BD!$B$3:$B$5001,$A$5)))</f>
        <v/>
      </c>
      <c r="S19" s="234" t="str">
        <f>IF(S$3="","",IF(COUNTIFS(BD!$A$3:$A$5001,S$3,BD!$B$3:$B$5001,$A$5,BD!$Q$3:$Q$5001,"&lt;&gt;")=0,"",SUMIFS(BD!$Q$3:$Q$5001,BD!$A$3:$A$5001,S$3,BD!$B$3:$B$5001,$A$5)))</f>
        <v/>
      </c>
      <c r="T19" s="234" t="str">
        <f>IF(T$3="","",IF(COUNTIFS(BD!$A$3:$A$5001,T$3,BD!$B$3:$B$5001,$A$5,BD!$Q$3:$Q$5001,"&lt;&gt;")=0,"",SUMIFS(BD!$Q$3:$Q$5001,BD!$A$3:$A$5001,T$3,BD!$B$3:$B$5001,$A$5)))</f>
        <v/>
      </c>
      <c r="U19" s="234" t="str">
        <f>IF(U$3="","",IF(COUNTIFS(BD!$A$3:$A$5001,U$3,BD!$B$3:$B$5001,$A$5,BD!$Q$3:$Q$5001,"&lt;&gt;")=0,"",SUMIFS(BD!$Q$3:$Q$5001,BD!$A$3:$A$5001,U$3,BD!$B$3:$B$5001,$A$5)))</f>
        <v/>
      </c>
      <c r="V19" s="234" t="str">
        <f>IF(V$3="","",IF(COUNTIFS(BD!$A$3:$A$5001,V$3,BD!$B$3:$B$5001,$A$5,BD!$Q$3:$Q$5001,"&lt;&gt;")=0,"",SUMIFS(BD!$Q$3:$Q$5001,BD!$A$3:$A$5001,V$3,BD!$B$3:$B$5001,$A$5)))</f>
        <v/>
      </c>
      <c r="W19" s="234" t="str">
        <f>IF(W$3="","",IF(COUNTIFS(BD!$A$3:$A$5001,W$3,BD!$B$3:$B$5001,$A$5,BD!$Q$3:$Q$5001,"&lt;&gt;")=0,"",SUMIFS(BD!$Q$3:$Q$5001,BD!$A$3:$A$5001,W$3,BD!$B$3:$B$5001,$A$5)))</f>
        <v/>
      </c>
      <c r="X19" s="234" t="str">
        <f>IF(X$3="","",IF(COUNTIFS(BD!$A$3:$A$5001,X$3,BD!$B$3:$B$5001,$A$5,BD!$Q$3:$Q$5001,"&lt;&gt;")=0,"",SUMIFS(BD!$Q$3:$Q$5001,BD!$A$3:$A$5001,X$3,BD!$B$3:$B$5001,$A$5)))</f>
        <v/>
      </c>
      <c r="Y19" s="234" t="str">
        <f>IF(Y$3="","",IF(COUNTIFS(BD!$A$3:$A$5001,Y$3,BD!$B$3:$B$5001,$A$5,BD!$Q$3:$Q$5001,"&lt;&gt;")=0,"",SUMIFS(BD!$Q$3:$Q$5001,BD!$A$3:$A$5001,Y$3,BD!$B$3:$B$5001,$A$5)))</f>
        <v/>
      </c>
      <c r="Z19" s="234" t="str">
        <f>IF(Z$3="","",IF(COUNTIFS(BD!$A$3:$A$5001,Z$3,BD!$B$3:$B$5001,$A$5,BD!$Q$3:$Q$5001,"&lt;&gt;")=0,"",SUMIFS(BD!$Q$3:$Q$5001,BD!$A$3:$A$5001,Z$3,BD!$B$3:$B$5001,$A$5)))</f>
        <v/>
      </c>
      <c r="AA19" s="234" t="str">
        <f>IF(AA$3="","",IF(COUNTIFS(BD!$A$3:$A$5001,AA$3,BD!$B$3:$B$5001,$A$5,BD!$Q$3:$Q$5001,"&lt;&gt;")=0,"",SUMIFS(BD!$Q$3:$Q$5001,BD!$A$3:$A$5001,AA$3,BD!$B$3:$B$5001,$A$5)))</f>
        <v/>
      </c>
      <c r="AB19" s="234" t="str">
        <f>IF(AB$3="","",IF(COUNTIFS(BD!$A$3:$A$5001,AB$3,BD!$B$3:$B$5001,$A$5,BD!$Q$3:$Q$5001,"&lt;&gt;")=0,"",SUMIFS(BD!$Q$3:$Q$5001,BD!$A$3:$A$5001,AB$3,BD!$B$3:$B$5001,$A$5)))</f>
        <v/>
      </c>
      <c r="AC19" s="234" t="str">
        <f>IF(AC$3="","",IF(COUNTIFS(BD!$A$3:$A$5001,AC$3,BD!$B$3:$B$5001,$A$5,BD!$Q$3:$Q$5001,"&lt;&gt;")=0,"",SUMIFS(BD!$Q$3:$Q$5001,BD!$A$3:$A$5001,AC$3,BD!$B$3:$B$5001,$A$5)))</f>
        <v/>
      </c>
      <c r="AD19" s="234" t="str">
        <f>IF(AD$3="","",IF(COUNTIFS(BD!$A$3:$A$5001,AD$3,BD!$B$3:$B$5001,$A$5,BD!$Q$3:$Q$5001,"&lt;&gt;")=0,"",SUMIFS(BD!$Q$3:$Q$5001,BD!$A$3:$A$5001,AD$3,BD!$B$3:$B$5001,$A$5)))</f>
        <v/>
      </c>
      <c r="AE19" s="234" t="str">
        <f>IF(AE$3="","",IF(COUNTIFS(BD!$A$3:$A$5001,AE$3,BD!$B$3:$B$5001,$A$5,BD!$Q$3:$Q$5001,"&lt;&gt;")=0,"",SUMIFS(BD!$Q$3:$Q$5001,BD!$A$3:$A$5001,AE$3,BD!$B$3:$B$5001,$A$5)))</f>
        <v/>
      </c>
      <c r="AF19" s="234" t="str">
        <f>IF(AF$3="","",IF(COUNTIFS(BD!$A$3:$A$5001,AF$3,BD!$B$3:$B$5001,$A$5,BD!$Q$3:$Q$5001,"&lt;&gt;")=0,"",SUMIFS(BD!$Q$3:$Q$5001,BD!$A$3:$A$5001,AF$3,BD!$B$3:$B$5001,$A$5)))</f>
        <v/>
      </c>
      <c r="AG19" s="234" t="str">
        <f>IF(AG$3="","",IF(COUNTIFS(BD!$A$3:$A$5001,AG$3,BD!$B$3:$B$5001,$A$5,BD!$Q$3:$Q$5001,"&lt;&gt;")=0,"",SUMIFS(BD!$Q$3:$Q$5001,BD!$A$3:$A$5001,AG$3,BD!$B$3:$B$5001,$A$5)))</f>
        <v/>
      </c>
      <c r="AH19" s="234" t="str">
        <f>IF(AH$3="","",IF(COUNTIFS(BD!$A$3:$A$5001,AH$3,BD!$B$3:$B$5001,$A$5,BD!$Q$3:$Q$5001,"&lt;&gt;")=0,"",SUMIFS(BD!$Q$3:$Q$5001,BD!$A$3:$A$5001,AH$3,BD!$B$3:$B$5001,$A$5)))</f>
        <v/>
      </c>
      <c r="AI19" s="234" t="str">
        <f>IF(AI$3="","",IF(COUNTIFS(BD!$A$3:$A$5001,AI$3,BD!$B$3:$B$5001,$A$5,BD!$Q$3:$Q$5001,"&lt;&gt;")=0,"",SUMIFS(BD!$Q$3:$Q$5001,BD!$A$3:$A$5001,AI$3,BD!$B$3:$B$5001,$A$5)))</f>
        <v/>
      </c>
      <c r="AJ19" s="235" t="str">
        <f>IF(AJ$3="","",IF(COUNTIFS(BD!$A$3:$A$5001,AJ$3,BD!$B$3:$B$5001,$A$5,BD!$Q$3:$Q$5001,"&lt;&gt;")=0,"",SUMIFS(BD!$Q$3:$Q$5001,BD!$A$3:$A$5001,AJ$3,BD!$B$3:$B$5001,$A$5)))</f>
        <v/>
      </c>
      <c r="AK19" s="231" t="str">
        <f>IFERROR(LOOKUP(9.99E+307,F19:AJ19),"")</f>
        <v/>
      </c>
    </row>
    <row r="20" ht="15.75" customHeight="1">
      <c r="A20" s="277"/>
      <c r="B20" s="264" t="inlineStr">
        <is>
          <t xml:space="preserve">OCUPAÇÃO (P.P)</t>
        </is>
      </c>
      <c r="C20" s="168" t="inlineStr">
        <is>
          <t xml:space="preserve">Posições Disponíveis</t>
        </is>
      </c>
      <c r="D20" s="169" t="str">
        <f>IFERROR(1/(1/INDEX(BD!$AF$38:$AZ$38,MATCH($A$5,BD!$AF$22:$AZ$22,0))),"")</f>
        <v/>
      </c>
      <c r="E20" s="170"/>
      <c r="F20" s="171" t="str">
        <f>IF(F$3="","",IF(COUNTIFS(BD!$A$3:$A$5001,F$3,BD!$B$3:$B$5001,$A$5,BD!$R$3:$R$5001,"&lt;&gt;")=0,"",SUMIFS(BD!$R$3:$R$5001,BD!$A$3:$A$5001,F$3,BD!$B$3:$B$5001,$A$5)))</f>
        <v/>
      </c>
      <c r="G20" s="172" t="str">
        <f>IF(G$3="","",IF(COUNTIFS(BD!$A$3:$A$5001,G$3,BD!$B$3:$B$5001,$A$5,BD!$R$3:$R$5001,"&lt;&gt;")=0,"",SUMIFS(BD!$R$3:$R$5001,BD!$A$3:$A$5001,G$3,BD!$B$3:$B$5001,$A$5)))</f>
        <v/>
      </c>
      <c r="H20" s="172" t="str">
        <f>IF(H$3="","",IF(COUNTIFS(BD!$A$3:$A$5001,H$3,BD!$B$3:$B$5001,$A$5,BD!$R$3:$R$5001,"&lt;&gt;")=0,"",SUMIFS(BD!$R$3:$R$5001,BD!$A$3:$A$5001,H$3,BD!$B$3:$B$5001,$A$5)))</f>
        <v/>
      </c>
      <c r="I20" s="172" t="str">
        <f>IF(I$3="","",IF(COUNTIFS(BD!$A$3:$A$5001,I$3,BD!$B$3:$B$5001,$A$5,BD!$R$3:$R$5001,"&lt;&gt;")=0,"",SUMIFS(BD!$R$3:$R$5001,BD!$A$3:$A$5001,I$3,BD!$B$3:$B$5001,$A$5)))</f>
        <v/>
      </c>
      <c r="J20" s="172" t="str">
        <f>IF(J$3="","",IF(COUNTIFS(BD!$A$3:$A$5001,J$3,BD!$B$3:$B$5001,$A$5,BD!$R$3:$R$5001,"&lt;&gt;")=0,"",SUMIFS(BD!$R$3:$R$5001,BD!$A$3:$A$5001,J$3,BD!$B$3:$B$5001,$A$5)))</f>
        <v/>
      </c>
      <c r="K20" s="172" t="str">
        <f>IF(K$3="","",IF(COUNTIFS(BD!$A$3:$A$5001,K$3,BD!$B$3:$B$5001,$A$5,BD!$R$3:$R$5001,"&lt;&gt;")=0,"",SUMIFS(BD!$R$3:$R$5001,BD!$A$3:$A$5001,K$3,BD!$B$3:$B$5001,$A$5)))</f>
        <v/>
      </c>
      <c r="L20" s="172" t="str">
        <f>IF(L$3="","",IF(COUNTIFS(BD!$A$3:$A$5001,L$3,BD!$B$3:$B$5001,$A$5,BD!$R$3:$R$5001,"&lt;&gt;")=0,"",SUMIFS(BD!$R$3:$R$5001,BD!$A$3:$A$5001,L$3,BD!$B$3:$B$5001,$A$5)))</f>
        <v/>
      </c>
      <c r="M20" s="172" t="str">
        <f>IF(M$3="","",IF(COUNTIFS(BD!$A$3:$A$5001,M$3,BD!$B$3:$B$5001,$A$5,BD!$R$3:$R$5001,"&lt;&gt;")=0,"",SUMIFS(BD!$R$3:$R$5001,BD!$A$3:$A$5001,M$3,BD!$B$3:$B$5001,$A$5)))</f>
        <v/>
      </c>
      <c r="N20" s="172" t="str">
        <f>IF(N$3="","",IF(COUNTIFS(BD!$A$3:$A$5001,N$3,BD!$B$3:$B$5001,$A$5,BD!$R$3:$R$5001,"&lt;&gt;")=0,"",SUMIFS(BD!$R$3:$R$5001,BD!$A$3:$A$5001,N$3,BD!$B$3:$B$5001,$A$5)))</f>
        <v/>
      </c>
      <c r="O20" s="172" t="str">
        <f>IF(O$3="","",IF(COUNTIFS(BD!$A$3:$A$5001,O$3,BD!$B$3:$B$5001,$A$5,BD!$R$3:$R$5001,"&lt;&gt;")=0,"",SUMIFS(BD!$R$3:$R$5001,BD!$A$3:$A$5001,O$3,BD!$B$3:$B$5001,$A$5)))</f>
        <v/>
      </c>
      <c r="P20" s="172" t="str">
        <f>IF(P$3="","",IF(COUNTIFS(BD!$A$3:$A$5001,P$3,BD!$B$3:$B$5001,$A$5,BD!$R$3:$R$5001,"&lt;&gt;")=0,"",SUMIFS(BD!$R$3:$R$5001,BD!$A$3:$A$5001,P$3,BD!$B$3:$B$5001,$A$5)))</f>
        <v/>
      </c>
      <c r="Q20" s="172" t="str">
        <f>IF(Q$3="","",IF(COUNTIFS(BD!$A$3:$A$5001,Q$3,BD!$B$3:$B$5001,$A$5,BD!$R$3:$R$5001,"&lt;&gt;")=0,"",SUMIFS(BD!$R$3:$R$5001,BD!$A$3:$A$5001,Q$3,BD!$B$3:$B$5001,$A$5)))</f>
        <v/>
      </c>
      <c r="R20" s="172" t="str">
        <f>IF(R$3="","",IF(COUNTIFS(BD!$A$3:$A$5001,R$3,BD!$B$3:$B$5001,$A$5,BD!$R$3:$R$5001,"&lt;&gt;")=0,"",SUMIFS(BD!$R$3:$R$5001,BD!$A$3:$A$5001,R$3,BD!$B$3:$B$5001,$A$5)))</f>
        <v/>
      </c>
      <c r="S20" s="172" t="str">
        <f>IF(S$3="","",IF(COUNTIFS(BD!$A$3:$A$5001,S$3,BD!$B$3:$B$5001,$A$5,BD!$R$3:$R$5001,"&lt;&gt;")=0,"",SUMIFS(BD!$R$3:$R$5001,BD!$A$3:$A$5001,S$3,BD!$B$3:$B$5001,$A$5)))</f>
        <v/>
      </c>
      <c r="T20" s="172" t="str">
        <f>IF(T$3="","",IF(COUNTIFS(BD!$A$3:$A$5001,T$3,BD!$B$3:$B$5001,$A$5,BD!$R$3:$R$5001,"&lt;&gt;")=0,"",SUMIFS(BD!$R$3:$R$5001,BD!$A$3:$A$5001,T$3,BD!$B$3:$B$5001,$A$5)))</f>
        <v/>
      </c>
      <c r="U20" s="172" t="str">
        <f>IF(U$3="","",IF(COUNTIFS(BD!$A$3:$A$5001,U$3,BD!$B$3:$B$5001,$A$5,BD!$R$3:$R$5001,"&lt;&gt;")=0,"",SUMIFS(BD!$R$3:$R$5001,BD!$A$3:$A$5001,U$3,BD!$B$3:$B$5001,$A$5)))</f>
        <v/>
      </c>
      <c r="V20" s="172" t="str">
        <f>IF(V$3="","",IF(COUNTIFS(BD!$A$3:$A$5001,V$3,BD!$B$3:$B$5001,$A$5,BD!$R$3:$R$5001,"&lt;&gt;")=0,"",SUMIFS(BD!$R$3:$R$5001,BD!$A$3:$A$5001,V$3,BD!$B$3:$B$5001,$A$5)))</f>
        <v/>
      </c>
      <c r="W20" s="172" t="str">
        <f>IF(W$3="","",IF(COUNTIFS(BD!$A$3:$A$5001,W$3,BD!$B$3:$B$5001,$A$5,BD!$R$3:$R$5001,"&lt;&gt;")=0,"",SUMIFS(BD!$R$3:$R$5001,BD!$A$3:$A$5001,W$3,BD!$B$3:$B$5001,$A$5)))</f>
        <v/>
      </c>
      <c r="X20" s="172" t="str">
        <f>IF(X$3="","",IF(COUNTIFS(BD!$A$3:$A$5001,X$3,BD!$B$3:$B$5001,$A$5,BD!$R$3:$R$5001,"&lt;&gt;")=0,"",SUMIFS(BD!$R$3:$R$5001,BD!$A$3:$A$5001,X$3,BD!$B$3:$B$5001,$A$5)))</f>
        <v/>
      </c>
      <c r="Y20" s="172" t="str">
        <f>IF(Y$3="","",IF(COUNTIFS(BD!$A$3:$A$5001,Y$3,BD!$B$3:$B$5001,$A$5,BD!$R$3:$R$5001,"&lt;&gt;")=0,"",SUMIFS(BD!$R$3:$R$5001,BD!$A$3:$A$5001,Y$3,BD!$B$3:$B$5001,$A$5)))</f>
        <v/>
      </c>
      <c r="Z20" s="172" t="str">
        <f>IF(Z$3="","",IF(COUNTIFS(BD!$A$3:$A$5001,Z$3,BD!$B$3:$B$5001,$A$5,BD!$R$3:$R$5001,"&lt;&gt;")=0,"",SUMIFS(BD!$R$3:$R$5001,BD!$A$3:$A$5001,Z$3,BD!$B$3:$B$5001,$A$5)))</f>
        <v/>
      </c>
      <c r="AA20" s="172" t="str">
        <f>IF(AA$3="","",IF(COUNTIFS(BD!$A$3:$A$5001,AA$3,BD!$B$3:$B$5001,$A$5,BD!$R$3:$R$5001,"&lt;&gt;")=0,"",SUMIFS(BD!$R$3:$R$5001,BD!$A$3:$A$5001,AA$3,BD!$B$3:$B$5001,$A$5)))</f>
        <v/>
      </c>
      <c r="AB20" s="172" t="str">
        <f>IF(AB$3="","",IF(COUNTIFS(BD!$A$3:$A$5001,AB$3,BD!$B$3:$B$5001,$A$5,BD!$R$3:$R$5001,"&lt;&gt;")=0,"",SUMIFS(BD!$R$3:$R$5001,BD!$A$3:$A$5001,AB$3,BD!$B$3:$B$5001,$A$5)))</f>
        <v/>
      </c>
      <c r="AC20" s="172" t="str">
        <f>IF(AC$3="","",IF(COUNTIFS(BD!$A$3:$A$5001,AC$3,BD!$B$3:$B$5001,$A$5,BD!$R$3:$R$5001,"&lt;&gt;")=0,"",SUMIFS(BD!$R$3:$R$5001,BD!$A$3:$A$5001,AC$3,BD!$B$3:$B$5001,$A$5)))</f>
        <v/>
      </c>
      <c r="AD20" s="172" t="str">
        <f>IF(AD$3="","",IF(COUNTIFS(BD!$A$3:$A$5001,AD$3,BD!$B$3:$B$5001,$A$5,BD!$R$3:$R$5001,"&lt;&gt;")=0,"",SUMIFS(BD!$R$3:$R$5001,BD!$A$3:$A$5001,AD$3,BD!$B$3:$B$5001,$A$5)))</f>
        <v/>
      </c>
      <c r="AE20" s="172" t="str">
        <f>IF(AE$3="","",IF(COUNTIFS(BD!$A$3:$A$5001,AE$3,BD!$B$3:$B$5001,$A$5,BD!$R$3:$R$5001,"&lt;&gt;")=0,"",SUMIFS(BD!$R$3:$R$5001,BD!$A$3:$A$5001,AE$3,BD!$B$3:$B$5001,$A$5)))</f>
        <v/>
      </c>
      <c r="AF20" s="172" t="str">
        <f>IF(AF$3="","",IF(COUNTIFS(BD!$A$3:$A$5001,AF$3,BD!$B$3:$B$5001,$A$5,BD!$R$3:$R$5001,"&lt;&gt;")=0,"",SUMIFS(BD!$R$3:$R$5001,BD!$A$3:$A$5001,AF$3,BD!$B$3:$B$5001,$A$5)))</f>
        <v/>
      </c>
      <c r="AG20" s="172" t="str">
        <f>IF(AG$3="","",IF(COUNTIFS(BD!$A$3:$A$5001,AG$3,BD!$B$3:$B$5001,$A$5,BD!$R$3:$R$5001,"&lt;&gt;")=0,"",SUMIFS(BD!$R$3:$R$5001,BD!$A$3:$A$5001,AG$3,BD!$B$3:$B$5001,$A$5)))</f>
        <v/>
      </c>
      <c r="AH20" s="172" t="str">
        <f>IF(AH$3="","",IF(COUNTIFS(BD!$A$3:$A$5001,AH$3,BD!$B$3:$B$5001,$A$5,BD!$R$3:$R$5001,"&lt;&gt;")=0,"",SUMIFS(BD!$R$3:$R$5001,BD!$A$3:$A$5001,AH$3,BD!$B$3:$B$5001,$A$5)))</f>
        <v/>
      </c>
      <c r="AI20" s="172" t="str">
        <f>IF(AI$3="","",IF(COUNTIFS(BD!$A$3:$A$5001,AI$3,BD!$B$3:$B$5001,$A$5,BD!$R$3:$R$5001,"&lt;&gt;")=0,"",SUMIFS(BD!$R$3:$R$5001,BD!$A$3:$A$5001,AI$3,BD!$B$3:$B$5001,$A$5)))</f>
        <v/>
      </c>
      <c r="AJ20" s="173" t="str">
        <f>IF(AJ$3="","",IF(COUNTIFS(BD!$A$3:$A$5001,AJ$3,BD!$B$3:$B$5001,$A$5,BD!$R$3:$R$5001,"&lt;&gt;")=0,"",SUMIFS(BD!$R$3:$R$5001,BD!$A$3:$A$5001,AJ$3,BD!$B$3:$B$5001,$A$5)))</f>
        <v/>
      </c>
      <c r="AK20" s="174" t="str">
        <f>IF(COUNT(F20:AJ20)&gt;0,LOOKUP(9.99E+307,F20:AJ20),IFERROR(IF(INDEX(BD!$AC$3:$AC$5001,MATCH($A$5,BD!$B$3:$B$5001,0))&amp;""="Contrato","",INDEX(BD!$AC$3:$AC$5001,MATCH($A$5,BD!$B$3:$B$5001,0))&amp;""),""))</f>
        <v/>
      </c>
    </row>
    <row r="21" ht="15.75" customHeight="1">
      <c r="A21" s="277"/>
      <c r="B21" s="265"/>
      <c r="C21" s="175" t="inlineStr">
        <is>
          <t xml:space="preserve">Posições Ocupadas</t>
        </is>
      </c>
      <c r="D21" s="176" t="str">
        <f>IFERROR(1/(1/INDEX(BD!$AF$39:$AZ$39,MATCH($A$5,BD!$AF$22:$AZ$22,0))),"")</f>
        <v/>
      </c>
      <c r="E21" s="177"/>
      <c r="F21" s="178" t="str">
        <f>IF(F$3="","",IF(COUNTIFS(BD!$A$3:$A$5001,F$3,BD!$B$3:$B$5001,$A$5,BD!$S$3:$S$5001,"&lt;&gt;")=0,"",SUMIFS(BD!$S$3:$S$5001,BD!$A$3:$A$5001,F$3,BD!$B$3:$B$5001,$A$5)))</f>
        <v/>
      </c>
      <c r="G21" s="179" t="str">
        <f>IF(G$3="","",IF(COUNTIFS(BD!$A$3:$A$5001,G$3,BD!$B$3:$B$5001,$A$5,BD!$S$3:$S$5001,"&lt;&gt;")=0,"",SUMIFS(BD!$S$3:$S$5001,BD!$A$3:$A$5001,G$3,BD!$B$3:$B$5001,$A$5)))</f>
        <v/>
      </c>
      <c r="H21" s="179" t="str">
        <f>IF(H$3="","",IF(COUNTIFS(BD!$A$3:$A$5001,H$3,BD!$B$3:$B$5001,$A$5,BD!$S$3:$S$5001,"&lt;&gt;")=0,"",SUMIFS(BD!$S$3:$S$5001,BD!$A$3:$A$5001,H$3,BD!$B$3:$B$5001,$A$5)))</f>
        <v/>
      </c>
      <c r="I21" s="179" t="str">
        <f>IF(I$3="","",IF(COUNTIFS(BD!$A$3:$A$5001,I$3,BD!$B$3:$B$5001,$A$5,BD!$S$3:$S$5001,"&lt;&gt;")=0,"",SUMIFS(BD!$S$3:$S$5001,BD!$A$3:$A$5001,I$3,BD!$B$3:$B$5001,$A$5)))</f>
        <v/>
      </c>
      <c r="J21" s="179" t="str">
        <f>IF(J$3="","",IF(COUNTIFS(BD!$A$3:$A$5001,J$3,BD!$B$3:$B$5001,$A$5,BD!$S$3:$S$5001,"&lt;&gt;")=0,"",SUMIFS(BD!$S$3:$S$5001,BD!$A$3:$A$5001,J$3,BD!$B$3:$B$5001,$A$5)))</f>
        <v/>
      </c>
      <c r="K21" s="179" t="str">
        <f>IF(K$3="","",IF(COUNTIFS(BD!$A$3:$A$5001,K$3,BD!$B$3:$B$5001,$A$5,BD!$S$3:$S$5001,"&lt;&gt;")=0,"",SUMIFS(BD!$S$3:$S$5001,BD!$A$3:$A$5001,K$3,BD!$B$3:$B$5001,$A$5)))</f>
        <v/>
      </c>
      <c r="L21" s="179" t="str">
        <f>IF(L$3="","",IF(COUNTIFS(BD!$A$3:$A$5001,L$3,BD!$B$3:$B$5001,$A$5,BD!$S$3:$S$5001,"&lt;&gt;")=0,"",SUMIFS(BD!$S$3:$S$5001,BD!$A$3:$A$5001,L$3,BD!$B$3:$B$5001,$A$5)))</f>
        <v/>
      </c>
      <c r="M21" s="179" t="str">
        <f>IF(M$3="","",IF(COUNTIFS(BD!$A$3:$A$5001,M$3,BD!$B$3:$B$5001,$A$5,BD!$S$3:$S$5001,"&lt;&gt;")=0,"",SUMIFS(BD!$S$3:$S$5001,BD!$A$3:$A$5001,M$3,BD!$B$3:$B$5001,$A$5)))</f>
        <v/>
      </c>
      <c r="N21" s="179" t="str">
        <f>IF(N$3="","",IF(COUNTIFS(BD!$A$3:$A$5001,N$3,BD!$B$3:$B$5001,$A$5,BD!$S$3:$S$5001,"&lt;&gt;")=0,"",SUMIFS(BD!$S$3:$S$5001,BD!$A$3:$A$5001,N$3,BD!$B$3:$B$5001,$A$5)))</f>
        <v/>
      </c>
      <c r="O21" s="179" t="str">
        <f>IF(O$3="","",IF(COUNTIFS(BD!$A$3:$A$5001,O$3,BD!$B$3:$B$5001,$A$5,BD!$S$3:$S$5001,"&lt;&gt;")=0,"",SUMIFS(BD!$S$3:$S$5001,BD!$A$3:$A$5001,O$3,BD!$B$3:$B$5001,$A$5)))</f>
        <v/>
      </c>
      <c r="P21" s="179" t="str">
        <f>IF(P$3="","",IF(COUNTIFS(BD!$A$3:$A$5001,P$3,BD!$B$3:$B$5001,$A$5,BD!$S$3:$S$5001,"&lt;&gt;")=0,"",SUMIFS(BD!$S$3:$S$5001,BD!$A$3:$A$5001,P$3,BD!$B$3:$B$5001,$A$5)))</f>
        <v/>
      </c>
      <c r="Q21" s="179" t="str">
        <f>IF(Q$3="","",IF(COUNTIFS(BD!$A$3:$A$5001,Q$3,BD!$B$3:$B$5001,$A$5,BD!$S$3:$S$5001,"&lt;&gt;")=0,"",SUMIFS(BD!$S$3:$S$5001,BD!$A$3:$A$5001,Q$3,BD!$B$3:$B$5001,$A$5)))</f>
        <v/>
      </c>
      <c r="R21" s="179" t="str">
        <f>IF(R$3="","",IF(COUNTIFS(BD!$A$3:$A$5001,R$3,BD!$B$3:$B$5001,$A$5,BD!$S$3:$S$5001,"&lt;&gt;")=0,"",SUMIFS(BD!$S$3:$S$5001,BD!$A$3:$A$5001,R$3,BD!$B$3:$B$5001,$A$5)))</f>
        <v/>
      </c>
      <c r="S21" s="179" t="str">
        <f>IF(S$3="","",IF(COUNTIFS(BD!$A$3:$A$5001,S$3,BD!$B$3:$B$5001,$A$5,BD!$S$3:$S$5001,"&lt;&gt;")=0,"",SUMIFS(BD!$S$3:$S$5001,BD!$A$3:$A$5001,S$3,BD!$B$3:$B$5001,$A$5)))</f>
        <v/>
      </c>
      <c r="T21" s="179" t="str">
        <f>IF(T$3="","",IF(COUNTIFS(BD!$A$3:$A$5001,T$3,BD!$B$3:$B$5001,$A$5,BD!$S$3:$S$5001,"&lt;&gt;")=0,"",SUMIFS(BD!$S$3:$S$5001,BD!$A$3:$A$5001,T$3,BD!$B$3:$B$5001,$A$5)))</f>
        <v/>
      </c>
      <c r="U21" s="179" t="str">
        <f>IF(U$3="","",IF(COUNTIFS(BD!$A$3:$A$5001,U$3,BD!$B$3:$B$5001,$A$5,BD!$S$3:$S$5001,"&lt;&gt;")=0,"",SUMIFS(BD!$S$3:$S$5001,BD!$A$3:$A$5001,U$3,BD!$B$3:$B$5001,$A$5)))</f>
        <v/>
      </c>
      <c r="V21" s="179" t="str">
        <f>IF(V$3="","",IF(COUNTIFS(BD!$A$3:$A$5001,V$3,BD!$B$3:$B$5001,$A$5,BD!$S$3:$S$5001,"&lt;&gt;")=0,"",SUMIFS(BD!$S$3:$S$5001,BD!$A$3:$A$5001,V$3,BD!$B$3:$B$5001,$A$5)))</f>
        <v/>
      </c>
      <c r="W21" s="179" t="str">
        <f>IF(W$3="","",IF(COUNTIFS(BD!$A$3:$A$5001,W$3,BD!$B$3:$B$5001,$A$5,BD!$S$3:$S$5001,"&lt;&gt;")=0,"",SUMIFS(BD!$S$3:$S$5001,BD!$A$3:$A$5001,W$3,BD!$B$3:$B$5001,$A$5)))</f>
        <v/>
      </c>
      <c r="X21" s="179" t="str">
        <f>IF(X$3="","",IF(COUNTIFS(BD!$A$3:$A$5001,X$3,BD!$B$3:$B$5001,$A$5,BD!$S$3:$S$5001,"&lt;&gt;")=0,"",SUMIFS(BD!$S$3:$S$5001,BD!$A$3:$A$5001,X$3,BD!$B$3:$B$5001,$A$5)))</f>
        <v/>
      </c>
      <c r="Y21" s="179" t="str">
        <f>IF(Y$3="","",IF(COUNTIFS(BD!$A$3:$A$5001,Y$3,BD!$B$3:$B$5001,$A$5,BD!$S$3:$S$5001,"&lt;&gt;")=0,"",SUMIFS(BD!$S$3:$S$5001,BD!$A$3:$A$5001,Y$3,BD!$B$3:$B$5001,$A$5)))</f>
        <v/>
      </c>
      <c r="Z21" s="179" t="str">
        <f>IF(Z$3="","",IF(COUNTIFS(BD!$A$3:$A$5001,Z$3,BD!$B$3:$B$5001,$A$5,BD!$S$3:$S$5001,"&lt;&gt;")=0,"",SUMIFS(BD!$S$3:$S$5001,BD!$A$3:$A$5001,Z$3,BD!$B$3:$B$5001,$A$5)))</f>
        <v/>
      </c>
      <c r="AA21" s="179" t="str">
        <f>IF(AA$3="","",IF(COUNTIFS(BD!$A$3:$A$5001,AA$3,BD!$B$3:$B$5001,$A$5,BD!$S$3:$S$5001,"&lt;&gt;")=0,"",SUMIFS(BD!$S$3:$S$5001,BD!$A$3:$A$5001,AA$3,BD!$B$3:$B$5001,$A$5)))</f>
        <v/>
      </c>
      <c r="AB21" s="179" t="str">
        <f>IF(AB$3="","",IF(COUNTIFS(BD!$A$3:$A$5001,AB$3,BD!$B$3:$B$5001,$A$5,BD!$S$3:$S$5001,"&lt;&gt;")=0,"",SUMIFS(BD!$S$3:$S$5001,BD!$A$3:$A$5001,AB$3,BD!$B$3:$B$5001,$A$5)))</f>
        <v/>
      </c>
      <c r="AC21" s="179" t="str">
        <f>IF(AC$3="","",IF(COUNTIFS(BD!$A$3:$A$5001,AC$3,BD!$B$3:$B$5001,$A$5,BD!$S$3:$S$5001,"&lt;&gt;")=0,"",SUMIFS(BD!$S$3:$S$5001,BD!$A$3:$A$5001,AC$3,BD!$B$3:$B$5001,$A$5)))</f>
        <v/>
      </c>
      <c r="AD21" s="179" t="str">
        <f>IF(AD$3="","",IF(COUNTIFS(BD!$A$3:$A$5001,AD$3,BD!$B$3:$B$5001,$A$5,BD!$S$3:$S$5001,"&lt;&gt;")=0,"",SUMIFS(BD!$S$3:$S$5001,BD!$A$3:$A$5001,AD$3,BD!$B$3:$B$5001,$A$5)))</f>
        <v/>
      </c>
      <c r="AE21" s="179" t="str">
        <f>IF(AE$3="","",IF(COUNTIFS(BD!$A$3:$A$5001,AE$3,BD!$B$3:$B$5001,$A$5,BD!$S$3:$S$5001,"&lt;&gt;")=0,"",SUMIFS(BD!$S$3:$S$5001,BD!$A$3:$A$5001,AE$3,BD!$B$3:$B$5001,$A$5)))</f>
        <v/>
      </c>
      <c r="AF21" s="179" t="str">
        <f>IF(AF$3="","",IF(COUNTIFS(BD!$A$3:$A$5001,AF$3,BD!$B$3:$B$5001,$A$5,BD!$S$3:$S$5001,"&lt;&gt;")=0,"",SUMIFS(BD!$S$3:$S$5001,BD!$A$3:$A$5001,AF$3,BD!$B$3:$B$5001,$A$5)))</f>
        <v/>
      </c>
      <c r="AG21" s="179" t="str">
        <f>IF(AG$3="","",IF(COUNTIFS(BD!$A$3:$A$5001,AG$3,BD!$B$3:$B$5001,$A$5,BD!$S$3:$S$5001,"&lt;&gt;")=0,"",SUMIFS(BD!$S$3:$S$5001,BD!$A$3:$A$5001,AG$3,BD!$B$3:$B$5001,$A$5)))</f>
        <v/>
      </c>
      <c r="AH21" s="179" t="str">
        <f>IF(AH$3="","",IF(COUNTIFS(BD!$A$3:$A$5001,AH$3,BD!$B$3:$B$5001,$A$5,BD!$S$3:$S$5001,"&lt;&gt;")=0,"",SUMIFS(BD!$S$3:$S$5001,BD!$A$3:$A$5001,AH$3,BD!$B$3:$B$5001,$A$5)))</f>
        <v/>
      </c>
      <c r="AI21" s="179" t="str">
        <f>IF(AI$3="","",IF(COUNTIFS(BD!$A$3:$A$5001,AI$3,BD!$B$3:$B$5001,$A$5,BD!$S$3:$S$5001,"&lt;&gt;")=0,"",SUMIFS(BD!$S$3:$S$5001,BD!$A$3:$A$5001,AI$3,BD!$B$3:$B$5001,$A$5)))</f>
        <v/>
      </c>
      <c r="AJ21" s="180" t="str">
        <f>IF(AJ$3="","",IF(COUNTIFS(BD!$A$3:$A$5001,AJ$3,BD!$B$3:$B$5001,$A$5,BD!$S$3:$S$5001,"&lt;&gt;")=0,"",SUMIFS(BD!$S$3:$S$5001,BD!$A$3:$A$5001,AJ$3,BD!$B$3:$B$5001,$A$5)))</f>
        <v/>
      </c>
      <c r="AK21" s="181" t="str">
        <f>IFERROR(LOOKUP(9.99E+307,F21:AJ21),"")</f>
        <v/>
      </c>
    </row>
    <row r="22" ht="15.75" customHeight="1">
      <c r="A22" s="277"/>
      <c r="B22" s="266"/>
      <c r="C22" s="186" t="inlineStr">
        <is>
          <t xml:space="preserve">Taxa de Ocupação</t>
        </is>
      </c>
      <c r="D22" s="236" t="str">
        <f>IFERROR(1/(1/INDEX(BD!$AF$40:$AZ$40,MATCH($A$5,BD!$AF$22:$AZ$22,0))),"")</f>
        <v/>
      </c>
      <c r="E22" s="188"/>
      <c r="F22" s="237" t="str">
        <f>IF(AND(ISNUMBER(F20),ISNUMBER(F21)),IF(F20&gt;0,F21/F20,""),"")</f>
        <v/>
      </c>
      <c r="G22" s="238" t="str">
        <f>IF(AND(ISNUMBER(G20),ISNUMBER(G21)),IF(G20&gt;0,G21/G20,""),"")</f>
        <v/>
      </c>
      <c r="H22" s="238" t="str">
        <f>IF(AND(ISNUMBER(H20),ISNUMBER(H21)),IF(H20&gt;0,H21/H20,""),"")</f>
        <v/>
      </c>
      <c r="I22" s="238" t="str">
        <f>IF(AND(ISNUMBER(I20),ISNUMBER(I21)),IF(I20&gt;0,I21/I20,""),"")</f>
        <v/>
      </c>
      <c r="J22" s="238" t="str">
        <f>IF(AND(ISNUMBER(J20),ISNUMBER(J21)),IF(J20&gt;0,J21/J20,""),"")</f>
        <v/>
      </c>
      <c r="K22" s="238" t="str">
        <f>IF(AND(ISNUMBER(K20),ISNUMBER(K21)),IF(K20&gt;0,K21/K20,""),"")</f>
        <v/>
      </c>
      <c r="L22" s="238" t="str">
        <f>IF(AND(ISNUMBER(L20),ISNUMBER(L21)),IF(L20&gt;0,L21/L20,""),"")</f>
        <v/>
      </c>
      <c r="M22" s="238" t="str">
        <f>IF(AND(ISNUMBER(M20),ISNUMBER(M21)),IF(M20&gt;0,M21/M20,""),"")</f>
        <v/>
      </c>
      <c r="N22" s="238" t="str">
        <f>IF(AND(ISNUMBER(N20),ISNUMBER(N21)),IF(N20&gt;0,N21/N20,""),"")</f>
        <v/>
      </c>
      <c r="O22" s="238" t="str">
        <f>IF(AND(ISNUMBER(O20),ISNUMBER(O21)),IF(O20&gt;0,O21/O20,""),"")</f>
        <v/>
      </c>
      <c r="P22" s="238" t="str">
        <f>IF(AND(ISNUMBER(P20),ISNUMBER(P21)),IF(P20&gt;0,P21/P20,""),"")</f>
        <v/>
      </c>
      <c r="Q22" s="238" t="str">
        <f>IF(AND(ISNUMBER(Q20),ISNUMBER(Q21)),IF(Q20&gt;0,Q21/Q20,""),"")</f>
        <v/>
      </c>
      <c r="R22" s="238" t="str">
        <f>IF(AND(ISNUMBER(R20),ISNUMBER(R21)),IF(R20&gt;0,R21/R20,""),"")</f>
        <v/>
      </c>
      <c r="S22" s="238" t="str">
        <f>IF(AND(ISNUMBER(S20),ISNUMBER(S21)),IF(S20&gt;0,S21/S20,""),"")</f>
        <v/>
      </c>
      <c r="T22" s="238" t="str">
        <f>IF(AND(ISNUMBER(T20),ISNUMBER(T21)),IF(T20&gt;0,T21/T20,""),"")</f>
        <v/>
      </c>
      <c r="U22" s="238" t="str">
        <f>IF(AND(ISNUMBER(U20),ISNUMBER(U21)),IF(U20&gt;0,U21/U20,""),"")</f>
        <v/>
      </c>
      <c r="V22" s="238" t="str">
        <f>IF(AND(ISNUMBER(V20),ISNUMBER(V21)),IF(V20&gt;0,V21/V20,""),"")</f>
        <v/>
      </c>
      <c r="W22" s="238" t="str">
        <f>IF(AND(ISNUMBER(W20),ISNUMBER(W21)),IF(W20&gt;0,W21/W20,""),"")</f>
        <v/>
      </c>
      <c r="X22" s="238" t="str">
        <f>IF(AND(ISNUMBER(X20),ISNUMBER(X21)),IF(X20&gt;0,X21/X20,""),"")</f>
        <v/>
      </c>
      <c r="Y22" s="238" t="str">
        <f>IF(AND(ISNUMBER(Y20),ISNUMBER(Y21)),IF(Y20&gt;0,Y21/Y20,""),"")</f>
        <v/>
      </c>
      <c r="Z22" s="238" t="str">
        <f>IF(AND(ISNUMBER(Z20),ISNUMBER(Z21)),IF(Z20&gt;0,Z21/Z20,""),"")</f>
        <v/>
      </c>
      <c r="AA22" s="238" t="str">
        <f>IF(AND(ISNUMBER(AA20),ISNUMBER(AA21)),IF(AA20&gt;0,AA21/AA20,""),"")</f>
        <v/>
      </c>
      <c r="AB22" s="238" t="str">
        <f>IF(AND(ISNUMBER(AB20),ISNUMBER(AB21)),IF(AB20&gt;0,AB21/AB20,""),"")</f>
        <v/>
      </c>
      <c r="AC22" s="238" t="str">
        <f>IF(AND(ISNUMBER(AC20),ISNUMBER(AC21)),IF(AC20&gt;0,AC21/AC20,""),"")</f>
        <v/>
      </c>
      <c r="AD22" s="238" t="str">
        <f>IF(AND(ISNUMBER(AD20),ISNUMBER(AD21)),IF(AD20&gt;0,AD21/AD20,""),"")</f>
        <v/>
      </c>
      <c r="AE22" s="238" t="str">
        <f>IF(AND(ISNUMBER(AE20),ISNUMBER(AE21)),IF(AE20&gt;0,AE21/AE20,""),"")</f>
        <v/>
      </c>
      <c r="AF22" s="238" t="str">
        <f>IF(AND(ISNUMBER(AF20),ISNUMBER(AF21)),IF(AF20&gt;0,AF21/AF20,""),"")</f>
        <v/>
      </c>
      <c r="AG22" s="238" t="str">
        <f>IF(AND(ISNUMBER(AG20),ISNUMBER(AG21)),IF(AG20&gt;0,AG21/AG20,""),"")</f>
        <v/>
      </c>
      <c r="AH22" s="238" t="str">
        <f>IF(AND(ISNUMBER(AH20),ISNUMBER(AH21)),IF(AH20&gt;0,AH21/AH20,""),"")</f>
        <v/>
      </c>
      <c r="AI22" s="238" t="str">
        <f>IF(AND(ISNUMBER(AI20),ISNUMBER(AI21)),IF(AI20&gt;0,AI21/AI20,""),"")</f>
        <v/>
      </c>
      <c r="AJ22" s="239" t="str">
        <f>IF(AND(ISNUMBER(AJ20),ISNUMBER(AJ21)),IF(AJ20&gt;0,AJ21/AJ20,""),"")</f>
        <v/>
      </c>
      <c r="AK22" s="236" t="str">
        <f>IF(AND(ISNUMBER(AK20),ISNUMBER(AK21)),IF(AK20&gt;0,AK21/AK20,""),"")</f>
        <v/>
      </c>
    </row>
    <row r="23" ht="15.75" customHeight="1">
      <c r="A23" s="277"/>
      <c r="B23" s="273" t="inlineStr">
        <is>
          <t xml:space="preserve">GENTE</t>
        </is>
      </c>
      <c r="C23" s="240" t="inlineStr">
        <is>
          <t xml:space="preserve">Efetivo Op.</t>
        </is>
      </c>
      <c r="D23" s="241" t="str">
        <f>IFERROR(1/(1/INDEX(BD!$AF$41:$AZ$41,MATCH($A$5,BD!$AF$22:$AZ$22,0))),"")</f>
        <v/>
      </c>
      <c r="E23" s="242"/>
      <c r="F23" s="243" t="str">
        <f>IF(F$3="","",IF(COUNTIFS(BD!$A$3:$A$5001,F$3,BD!$B$3:$B$5001,$A$5,BD!$T$3:$T$5001,"&lt;&gt;")=0,"",SUMIFS(BD!$T$3:$T$5001,BD!$A$3:$A$5001,F$3,BD!$B$3:$B$5001,$A$5)))</f>
        <v/>
      </c>
      <c r="G23" s="244" t="str">
        <f>IF(G$3="","",IF(COUNTIFS(BD!$A$3:$A$5001,G$3,BD!$B$3:$B$5001,$A$5,BD!$T$3:$T$5001,"&lt;&gt;")=0,"",SUMIFS(BD!$T$3:$T$5001,BD!$A$3:$A$5001,G$3,BD!$B$3:$B$5001,$A$5)))</f>
        <v/>
      </c>
      <c r="H23" s="244" t="str">
        <f>IF(H$3="","",IF(COUNTIFS(BD!$A$3:$A$5001,H$3,BD!$B$3:$B$5001,$A$5,BD!$T$3:$T$5001,"&lt;&gt;")=0,"",SUMIFS(BD!$T$3:$T$5001,BD!$A$3:$A$5001,H$3,BD!$B$3:$B$5001,$A$5)))</f>
        <v/>
      </c>
      <c r="I23" s="244" t="str">
        <f>IF(I$3="","",IF(COUNTIFS(BD!$A$3:$A$5001,I$3,BD!$B$3:$B$5001,$A$5,BD!$T$3:$T$5001,"&lt;&gt;")=0,"",SUMIFS(BD!$T$3:$T$5001,BD!$A$3:$A$5001,I$3,BD!$B$3:$B$5001,$A$5)))</f>
        <v/>
      </c>
      <c r="J23" s="244" t="str">
        <f>IF(J$3="","",IF(COUNTIFS(BD!$A$3:$A$5001,J$3,BD!$B$3:$B$5001,$A$5,BD!$T$3:$T$5001,"&lt;&gt;")=0,"",SUMIFS(BD!$T$3:$T$5001,BD!$A$3:$A$5001,J$3,BD!$B$3:$B$5001,$A$5)))</f>
        <v/>
      </c>
      <c r="K23" s="244" t="str">
        <f>IF(K$3="","",IF(COUNTIFS(BD!$A$3:$A$5001,K$3,BD!$B$3:$B$5001,$A$5,BD!$T$3:$T$5001,"&lt;&gt;")=0,"",SUMIFS(BD!$T$3:$T$5001,BD!$A$3:$A$5001,K$3,BD!$B$3:$B$5001,$A$5)))</f>
        <v/>
      </c>
      <c r="L23" s="244" t="str">
        <f>IF(L$3="","",IF(COUNTIFS(BD!$A$3:$A$5001,L$3,BD!$B$3:$B$5001,$A$5,BD!$T$3:$T$5001,"&lt;&gt;")=0,"",SUMIFS(BD!$T$3:$T$5001,BD!$A$3:$A$5001,L$3,BD!$B$3:$B$5001,$A$5)))</f>
        <v/>
      </c>
      <c r="M23" s="244" t="str">
        <f>IF(M$3="","",IF(COUNTIFS(BD!$A$3:$A$5001,M$3,BD!$B$3:$B$5001,$A$5,BD!$T$3:$T$5001,"&lt;&gt;")=0,"",SUMIFS(BD!$T$3:$T$5001,BD!$A$3:$A$5001,M$3,BD!$B$3:$B$5001,$A$5)))</f>
        <v/>
      </c>
      <c r="N23" s="244" t="str">
        <f>IF(N$3="","",IF(COUNTIFS(BD!$A$3:$A$5001,N$3,BD!$B$3:$B$5001,$A$5,BD!$T$3:$T$5001,"&lt;&gt;")=0,"",SUMIFS(BD!$T$3:$T$5001,BD!$A$3:$A$5001,N$3,BD!$B$3:$B$5001,$A$5)))</f>
        <v/>
      </c>
      <c r="O23" s="244" t="str">
        <f>IF(O$3="","",IF(COUNTIFS(BD!$A$3:$A$5001,O$3,BD!$B$3:$B$5001,$A$5,BD!$T$3:$T$5001,"&lt;&gt;")=0,"",SUMIFS(BD!$T$3:$T$5001,BD!$A$3:$A$5001,O$3,BD!$B$3:$B$5001,$A$5)))</f>
        <v/>
      </c>
      <c r="P23" s="244" t="str">
        <f>IF(P$3="","",IF(COUNTIFS(BD!$A$3:$A$5001,P$3,BD!$B$3:$B$5001,$A$5,BD!$T$3:$T$5001,"&lt;&gt;")=0,"",SUMIFS(BD!$T$3:$T$5001,BD!$A$3:$A$5001,P$3,BD!$B$3:$B$5001,$A$5)))</f>
        <v/>
      </c>
      <c r="Q23" s="244" t="str">
        <f>IF(Q$3="","",IF(COUNTIFS(BD!$A$3:$A$5001,Q$3,BD!$B$3:$B$5001,$A$5,BD!$T$3:$T$5001,"&lt;&gt;")=0,"",SUMIFS(BD!$T$3:$T$5001,BD!$A$3:$A$5001,Q$3,BD!$B$3:$B$5001,$A$5)))</f>
        <v/>
      </c>
      <c r="R23" s="244" t="str">
        <f>IF(R$3="","",IF(COUNTIFS(BD!$A$3:$A$5001,R$3,BD!$B$3:$B$5001,$A$5,BD!$T$3:$T$5001,"&lt;&gt;")=0,"",SUMIFS(BD!$T$3:$T$5001,BD!$A$3:$A$5001,R$3,BD!$B$3:$B$5001,$A$5)))</f>
        <v/>
      </c>
      <c r="S23" s="244" t="str">
        <f>IF(S$3="","",IF(COUNTIFS(BD!$A$3:$A$5001,S$3,BD!$B$3:$B$5001,$A$5,BD!$T$3:$T$5001,"&lt;&gt;")=0,"",SUMIFS(BD!$T$3:$T$5001,BD!$A$3:$A$5001,S$3,BD!$B$3:$B$5001,$A$5)))</f>
        <v/>
      </c>
      <c r="T23" s="244" t="str">
        <f>IF(T$3="","",IF(COUNTIFS(BD!$A$3:$A$5001,T$3,BD!$B$3:$B$5001,$A$5,BD!$T$3:$T$5001,"&lt;&gt;")=0,"",SUMIFS(BD!$T$3:$T$5001,BD!$A$3:$A$5001,T$3,BD!$B$3:$B$5001,$A$5)))</f>
        <v/>
      </c>
      <c r="U23" s="244" t="str">
        <f>IF(U$3="","",IF(COUNTIFS(BD!$A$3:$A$5001,U$3,BD!$B$3:$B$5001,$A$5,BD!$T$3:$T$5001,"&lt;&gt;")=0,"",SUMIFS(BD!$T$3:$T$5001,BD!$A$3:$A$5001,U$3,BD!$B$3:$B$5001,$A$5)))</f>
        <v/>
      </c>
      <c r="V23" s="244" t="str">
        <f>IF(V$3="","",IF(COUNTIFS(BD!$A$3:$A$5001,V$3,BD!$B$3:$B$5001,$A$5,BD!$T$3:$T$5001,"&lt;&gt;")=0,"",SUMIFS(BD!$T$3:$T$5001,BD!$A$3:$A$5001,V$3,BD!$B$3:$B$5001,$A$5)))</f>
        <v/>
      </c>
      <c r="W23" s="244" t="str">
        <f>IF(W$3="","",IF(COUNTIFS(BD!$A$3:$A$5001,W$3,BD!$B$3:$B$5001,$A$5,BD!$T$3:$T$5001,"&lt;&gt;")=0,"",SUMIFS(BD!$T$3:$T$5001,BD!$A$3:$A$5001,W$3,BD!$B$3:$B$5001,$A$5)))</f>
        <v/>
      </c>
      <c r="X23" s="244" t="str">
        <f>IF(X$3="","",IF(COUNTIFS(BD!$A$3:$A$5001,X$3,BD!$B$3:$B$5001,$A$5,BD!$T$3:$T$5001,"&lt;&gt;")=0,"",SUMIFS(BD!$T$3:$T$5001,BD!$A$3:$A$5001,X$3,BD!$B$3:$B$5001,$A$5)))</f>
        <v/>
      </c>
      <c r="Y23" s="244" t="str">
        <f>IF(Y$3="","",IF(COUNTIFS(BD!$A$3:$A$5001,Y$3,BD!$B$3:$B$5001,$A$5,BD!$T$3:$T$5001,"&lt;&gt;")=0,"",SUMIFS(BD!$T$3:$T$5001,BD!$A$3:$A$5001,Y$3,BD!$B$3:$B$5001,$A$5)))</f>
        <v/>
      </c>
      <c r="Z23" s="244" t="str">
        <f>IF(Z$3="","",IF(COUNTIFS(BD!$A$3:$A$5001,Z$3,BD!$B$3:$B$5001,$A$5,BD!$T$3:$T$5001,"&lt;&gt;")=0,"",SUMIFS(BD!$T$3:$T$5001,BD!$A$3:$A$5001,Z$3,BD!$B$3:$B$5001,$A$5)))</f>
        <v/>
      </c>
      <c r="AA23" s="244" t="str">
        <f>IF(AA$3="","",IF(COUNTIFS(BD!$A$3:$A$5001,AA$3,BD!$B$3:$B$5001,$A$5,BD!$T$3:$T$5001,"&lt;&gt;")=0,"",SUMIFS(BD!$T$3:$T$5001,BD!$A$3:$A$5001,AA$3,BD!$B$3:$B$5001,$A$5)))</f>
        <v/>
      </c>
      <c r="AB23" s="244" t="str">
        <f>IF(AB$3="","",IF(COUNTIFS(BD!$A$3:$A$5001,AB$3,BD!$B$3:$B$5001,$A$5,BD!$T$3:$T$5001,"&lt;&gt;")=0,"",SUMIFS(BD!$T$3:$T$5001,BD!$A$3:$A$5001,AB$3,BD!$B$3:$B$5001,$A$5)))</f>
        <v/>
      </c>
      <c r="AC23" s="244" t="str">
        <f>IF(AC$3="","",IF(COUNTIFS(BD!$A$3:$A$5001,AC$3,BD!$B$3:$B$5001,$A$5,BD!$T$3:$T$5001,"&lt;&gt;")=0,"",SUMIFS(BD!$T$3:$T$5001,BD!$A$3:$A$5001,AC$3,BD!$B$3:$B$5001,$A$5)))</f>
        <v/>
      </c>
      <c r="AD23" s="244" t="str">
        <f>IF(AD$3="","",IF(COUNTIFS(BD!$A$3:$A$5001,AD$3,BD!$B$3:$B$5001,$A$5,BD!$T$3:$T$5001,"&lt;&gt;")=0,"",SUMIFS(BD!$T$3:$T$5001,BD!$A$3:$A$5001,AD$3,BD!$B$3:$B$5001,$A$5)))</f>
        <v/>
      </c>
      <c r="AE23" s="244" t="str">
        <f>IF(AE$3="","",IF(COUNTIFS(BD!$A$3:$A$5001,AE$3,BD!$B$3:$B$5001,$A$5,BD!$T$3:$T$5001,"&lt;&gt;")=0,"",SUMIFS(BD!$T$3:$T$5001,BD!$A$3:$A$5001,AE$3,BD!$B$3:$B$5001,$A$5)))</f>
        <v/>
      </c>
      <c r="AF23" s="244" t="str">
        <f>IF(AF$3="","",IF(COUNTIFS(BD!$A$3:$A$5001,AF$3,BD!$B$3:$B$5001,$A$5,BD!$T$3:$T$5001,"&lt;&gt;")=0,"",SUMIFS(BD!$T$3:$T$5001,BD!$A$3:$A$5001,AF$3,BD!$B$3:$B$5001,$A$5)))</f>
        <v/>
      </c>
      <c r="AG23" s="244" t="str">
        <f>IF(AG$3="","",IF(COUNTIFS(BD!$A$3:$A$5001,AG$3,BD!$B$3:$B$5001,$A$5,BD!$T$3:$T$5001,"&lt;&gt;")=0,"",SUMIFS(BD!$T$3:$T$5001,BD!$A$3:$A$5001,AG$3,BD!$B$3:$B$5001,$A$5)))</f>
        <v/>
      </c>
      <c r="AH23" s="244" t="str">
        <f>IF(AH$3="","",IF(COUNTIFS(BD!$A$3:$A$5001,AH$3,BD!$B$3:$B$5001,$A$5,BD!$T$3:$T$5001,"&lt;&gt;")=0,"",SUMIFS(BD!$T$3:$T$5001,BD!$A$3:$A$5001,AH$3,BD!$B$3:$B$5001,$A$5)))</f>
        <v/>
      </c>
      <c r="AI23" s="244" t="str">
        <f>IF(AI$3="","",IF(COUNTIFS(BD!$A$3:$A$5001,AI$3,BD!$B$3:$B$5001,$A$5,BD!$T$3:$T$5001,"&lt;&gt;")=0,"",SUMIFS(BD!$T$3:$T$5001,BD!$A$3:$A$5001,AI$3,BD!$B$3:$B$5001,$A$5)))</f>
        <v/>
      </c>
      <c r="AJ23" s="245" t="str">
        <f>IF(AJ$3="","",IF(COUNTIFS(BD!$A$3:$A$5001,AJ$3,BD!$B$3:$B$5001,$A$5,BD!$T$3:$T$5001,"&lt;&gt;")=0,"",SUMIFS(BD!$T$3:$T$5001,BD!$A$3:$A$5001,AJ$3,BD!$B$3:$B$5001,$A$5)))</f>
        <v/>
      </c>
      <c r="AK23" s="246" t="str">
        <f>IFERROR(LOOKUP(9.99E+307,F23:AJ23),"")</f>
        <v/>
      </c>
    </row>
    <row r="24" ht="15.75" customHeight="1">
      <c r="A24" s="277"/>
      <c r="B24" s="274"/>
      <c r="C24" s="247" t="inlineStr">
        <is>
          <t xml:space="preserve">Falta</t>
        </is>
      </c>
      <c r="D24" s="248" t="str">
        <f>IFERROR(1/(1/INDEX(BD!$AF$42:$AZ$42,MATCH($A$5,BD!$AF$22:$AZ$22,0))),"")</f>
        <v/>
      </c>
      <c r="E24" s="249"/>
      <c r="F24" s="250" t="str">
        <f>IF(F$3="","",IF(COUNTIFS(BD!$A$3:$A$5001,F$3,BD!$B$3:$B$5001,$A$5,BD!$U$3:$U$5001,"&lt;&gt;")=0,"",SUMIFS(BD!$U$3:$U$5001,BD!$A$3:$A$5001,F$3,BD!$B$3:$B$5001,$A$5)))</f>
        <v/>
      </c>
      <c r="G24" s="251" t="str">
        <f>IF(G$3="","",IF(COUNTIFS(BD!$A$3:$A$5001,G$3,BD!$B$3:$B$5001,$A$5,BD!$U$3:$U$5001,"&lt;&gt;")=0,"",SUMIFS(BD!$U$3:$U$5001,BD!$A$3:$A$5001,G$3,BD!$B$3:$B$5001,$A$5)))</f>
        <v/>
      </c>
      <c r="H24" s="251" t="str">
        <f>IF(H$3="","",IF(COUNTIFS(BD!$A$3:$A$5001,H$3,BD!$B$3:$B$5001,$A$5,BD!$U$3:$U$5001,"&lt;&gt;")=0,"",SUMIFS(BD!$U$3:$U$5001,BD!$A$3:$A$5001,H$3,BD!$B$3:$B$5001,$A$5)))</f>
        <v/>
      </c>
      <c r="I24" s="251" t="str">
        <f>IF(I$3="","",IF(COUNTIFS(BD!$A$3:$A$5001,I$3,BD!$B$3:$B$5001,$A$5,BD!$U$3:$U$5001,"&lt;&gt;")=0,"",SUMIFS(BD!$U$3:$U$5001,BD!$A$3:$A$5001,I$3,BD!$B$3:$B$5001,$A$5)))</f>
        <v/>
      </c>
      <c r="J24" s="251" t="str">
        <f>IF(J$3="","",IF(COUNTIFS(BD!$A$3:$A$5001,J$3,BD!$B$3:$B$5001,$A$5,BD!$U$3:$U$5001,"&lt;&gt;")=0,"",SUMIFS(BD!$U$3:$U$5001,BD!$A$3:$A$5001,J$3,BD!$B$3:$B$5001,$A$5)))</f>
        <v/>
      </c>
      <c r="K24" s="251" t="str">
        <f>IF(K$3="","",IF(COUNTIFS(BD!$A$3:$A$5001,K$3,BD!$B$3:$B$5001,$A$5,BD!$U$3:$U$5001,"&lt;&gt;")=0,"",SUMIFS(BD!$U$3:$U$5001,BD!$A$3:$A$5001,K$3,BD!$B$3:$B$5001,$A$5)))</f>
        <v/>
      </c>
      <c r="L24" s="251" t="str">
        <f>IF(L$3="","",IF(COUNTIFS(BD!$A$3:$A$5001,L$3,BD!$B$3:$B$5001,$A$5,BD!$U$3:$U$5001,"&lt;&gt;")=0,"",SUMIFS(BD!$U$3:$U$5001,BD!$A$3:$A$5001,L$3,BD!$B$3:$B$5001,$A$5)))</f>
        <v/>
      </c>
      <c r="M24" s="251" t="str">
        <f>IF(M$3="","",IF(COUNTIFS(BD!$A$3:$A$5001,M$3,BD!$B$3:$B$5001,$A$5,BD!$U$3:$U$5001,"&lt;&gt;")=0,"",SUMIFS(BD!$U$3:$U$5001,BD!$A$3:$A$5001,M$3,BD!$B$3:$B$5001,$A$5)))</f>
        <v/>
      </c>
      <c r="N24" s="251" t="str">
        <f>IF(N$3="","",IF(COUNTIFS(BD!$A$3:$A$5001,N$3,BD!$B$3:$B$5001,$A$5,BD!$U$3:$U$5001,"&lt;&gt;")=0,"",SUMIFS(BD!$U$3:$U$5001,BD!$A$3:$A$5001,N$3,BD!$B$3:$B$5001,$A$5)))</f>
        <v/>
      </c>
      <c r="O24" s="251" t="str">
        <f>IF(O$3="","",IF(COUNTIFS(BD!$A$3:$A$5001,O$3,BD!$B$3:$B$5001,$A$5,BD!$U$3:$U$5001,"&lt;&gt;")=0,"",SUMIFS(BD!$U$3:$U$5001,BD!$A$3:$A$5001,O$3,BD!$B$3:$B$5001,$A$5)))</f>
        <v/>
      </c>
      <c r="P24" s="251" t="str">
        <f>IF(P$3="","",IF(COUNTIFS(BD!$A$3:$A$5001,P$3,BD!$B$3:$B$5001,$A$5,BD!$U$3:$U$5001,"&lt;&gt;")=0,"",SUMIFS(BD!$U$3:$U$5001,BD!$A$3:$A$5001,P$3,BD!$B$3:$B$5001,$A$5)))</f>
        <v/>
      </c>
      <c r="Q24" s="251" t="str">
        <f>IF(Q$3="","",IF(COUNTIFS(BD!$A$3:$A$5001,Q$3,BD!$B$3:$B$5001,$A$5,BD!$U$3:$U$5001,"&lt;&gt;")=0,"",SUMIFS(BD!$U$3:$U$5001,BD!$A$3:$A$5001,Q$3,BD!$B$3:$B$5001,$A$5)))</f>
        <v/>
      </c>
      <c r="R24" s="251" t="str">
        <f>IF(R$3="","",IF(COUNTIFS(BD!$A$3:$A$5001,R$3,BD!$B$3:$B$5001,$A$5,BD!$U$3:$U$5001,"&lt;&gt;")=0,"",SUMIFS(BD!$U$3:$U$5001,BD!$A$3:$A$5001,R$3,BD!$B$3:$B$5001,$A$5)))</f>
        <v/>
      </c>
      <c r="S24" s="251" t="str">
        <f>IF(S$3="","",IF(COUNTIFS(BD!$A$3:$A$5001,S$3,BD!$B$3:$B$5001,$A$5,BD!$U$3:$U$5001,"&lt;&gt;")=0,"",SUMIFS(BD!$U$3:$U$5001,BD!$A$3:$A$5001,S$3,BD!$B$3:$B$5001,$A$5)))</f>
        <v/>
      </c>
      <c r="T24" s="251" t="str">
        <f>IF(T$3="","",IF(COUNTIFS(BD!$A$3:$A$5001,T$3,BD!$B$3:$B$5001,$A$5,BD!$U$3:$U$5001,"&lt;&gt;")=0,"",SUMIFS(BD!$U$3:$U$5001,BD!$A$3:$A$5001,T$3,BD!$B$3:$B$5001,$A$5)))</f>
        <v/>
      </c>
      <c r="U24" s="251" t="str">
        <f>IF(U$3="","",IF(COUNTIFS(BD!$A$3:$A$5001,U$3,BD!$B$3:$B$5001,$A$5,BD!$U$3:$U$5001,"&lt;&gt;")=0,"",SUMIFS(BD!$U$3:$U$5001,BD!$A$3:$A$5001,U$3,BD!$B$3:$B$5001,$A$5)))</f>
        <v/>
      </c>
      <c r="V24" s="251" t="str">
        <f>IF(V$3="","",IF(COUNTIFS(BD!$A$3:$A$5001,V$3,BD!$B$3:$B$5001,$A$5,BD!$U$3:$U$5001,"&lt;&gt;")=0,"",SUMIFS(BD!$U$3:$U$5001,BD!$A$3:$A$5001,V$3,BD!$B$3:$B$5001,$A$5)))</f>
        <v/>
      </c>
      <c r="W24" s="251" t="str">
        <f>IF(W$3="","",IF(COUNTIFS(BD!$A$3:$A$5001,W$3,BD!$B$3:$B$5001,$A$5,BD!$U$3:$U$5001,"&lt;&gt;")=0,"",SUMIFS(BD!$U$3:$U$5001,BD!$A$3:$A$5001,W$3,BD!$B$3:$B$5001,$A$5)))</f>
        <v/>
      </c>
      <c r="X24" s="251" t="str">
        <f>IF(X$3="","",IF(COUNTIFS(BD!$A$3:$A$5001,X$3,BD!$B$3:$B$5001,$A$5,BD!$U$3:$U$5001,"&lt;&gt;")=0,"",SUMIFS(BD!$U$3:$U$5001,BD!$A$3:$A$5001,X$3,BD!$B$3:$B$5001,$A$5)))</f>
        <v/>
      </c>
      <c r="Y24" s="251" t="str">
        <f>IF(Y$3="","",IF(COUNTIFS(BD!$A$3:$A$5001,Y$3,BD!$B$3:$B$5001,$A$5,BD!$U$3:$U$5001,"&lt;&gt;")=0,"",SUMIFS(BD!$U$3:$U$5001,BD!$A$3:$A$5001,Y$3,BD!$B$3:$B$5001,$A$5)))</f>
        <v/>
      </c>
      <c r="Z24" s="251" t="str">
        <f>IF(Z$3="","",IF(COUNTIFS(BD!$A$3:$A$5001,Z$3,BD!$B$3:$B$5001,$A$5,BD!$U$3:$U$5001,"&lt;&gt;")=0,"",SUMIFS(BD!$U$3:$U$5001,BD!$A$3:$A$5001,Z$3,BD!$B$3:$B$5001,$A$5)))</f>
        <v/>
      </c>
      <c r="AA24" s="251" t="str">
        <f>IF(AA$3="","",IF(COUNTIFS(BD!$A$3:$A$5001,AA$3,BD!$B$3:$B$5001,$A$5,BD!$U$3:$U$5001,"&lt;&gt;")=0,"",SUMIFS(BD!$U$3:$U$5001,BD!$A$3:$A$5001,AA$3,BD!$B$3:$B$5001,$A$5)))</f>
        <v/>
      </c>
      <c r="AB24" s="251" t="str">
        <f>IF(AB$3="","",IF(COUNTIFS(BD!$A$3:$A$5001,AB$3,BD!$B$3:$B$5001,$A$5,BD!$U$3:$U$5001,"&lt;&gt;")=0,"",SUMIFS(BD!$U$3:$U$5001,BD!$A$3:$A$5001,AB$3,BD!$B$3:$B$5001,$A$5)))</f>
        <v/>
      </c>
      <c r="AC24" s="251" t="str">
        <f>IF(AC$3="","",IF(COUNTIFS(BD!$A$3:$A$5001,AC$3,BD!$B$3:$B$5001,$A$5,BD!$U$3:$U$5001,"&lt;&gt;")=0,"",SUMIFS(BD!$U$3:$U$5001,BD!$A$3:$A$5001,AC$3,BD!$B$3:$B$5001,$A$5)))</f>
        <v/>
      </c>
      <c r="AD24" s="251" t="str">
        <f>IF(AD$3="","",IF(COUNTIFS(BD!$A$3:$A$5001,AD$3,BD!$B$3:$B$5001,$A$5,BD!$U$3:$U$5001,"&lt;&gt;")=0,"",SUMIFS(BD!$U$3:$U$5001,BD!$A$3:$A$5001,AD$3,BD!$B$3:$B$5001,$A$5)))</f>
        <v/>
      </c>
      <c r="AE24" s="251" t="str">
        <f>IF(AE$3="","",IF(COUNTIFS(BD!$A$3:$A$5001,AE$3,BD!$B$3:$B$5001,$A$5,BD!$U$3:$U$5001,"&lt;&gt;")=0,"",SUMIFS(BD!$U$3:$U$5001,BD!$A$3:$A$5001,AE$3,BD!$B$3:$B$5001,$A$5)))</f>
        <v/>
      </c>
      <c r="AF24" s="251" t="str">
        <f>IF(AF$3="","",IF(COUNTIFS(BD!$A$3:$A$5001,AF$3,BD!$B$3:$B$5001,$A$5,BD!$U$3:$U$5001,"&lt;&gt;")=0,"",SUMIFS(BD!$U$3:$U$5001,BD!$A$3:$A$5001,AF$3,BD!$B$3:$B$5001,$A$5)))</f>
        <v/>
      </c>
      <c r="AG24" s="251" t="str">
        <f>IF(AG$3="","",IF(COUNTIFS(BD!$A$3:$A$5001,AG$3,BD!$B$3:$B$5001,$A$5,BD!$U$3:$U$5001,"&lt;&gt;")=0,"",SUMIFS(BD!$U$3:$U$5001,BD!$A$3:$A$5001,AG$3,BD!$B$3:$B$5001,$A$5)))</f>
        <v/>
      </c>
      <c r="AH24" s="251" t="str">
        <f>IF(AH$3="","",IF(COUNTIFS(BD!$A$3:$A$5001,AH$3,BD!$B$3:$B$5001,$A$5,BD!$U$3:$U$5001,"&lt;&gt;")=0,"",SUMIFS(BD!$U$3:$U$5001,BD!$A$3:$A$5001,AH$3,BD!$B$3:$B$5001,$A$5)))</f>
        <v/>
      </c>
      <c r="AI24" s="251" t="str">
        <f>IF(AI$3="","",IF(COUNTIFS(BD!$A$3:$A$5001,AI$3,BD!$B$3:$B$5001,$A$5,BD!$U$3:$U$5001,"&lt;&gt;")=0,"",SUMIFS(BD!$U$3:$U$5001,BD!$A$3:$A$5001,AI$3,BD!$B$3:$B$5001,$A$5)))</f>
        <v/>
      </c>
      <c r="AJ24" s="252" t="str">
        <f>IF(AJ$3="","",IF(COUNTIFS(BD!$A$3:$A$5001,AJ$3,BD!$B$3:$B$5001,$A$5,BD!$U$3:$U$5001,"&lt;&gt;")=0,"",SUMIFS(BD!$U$3:$U$5001,BD!$A$3:$A$5001,AJ$3,BD!$B$3:$B$5001,$A$5)))</f>
        <v/>
      </c>
      <c r="AK24" s="253" t="str">
        <f>IF(COUNT(F24:AJ24)=0,"",SUM(F24:AJ24))</f>
        <v/>
      </c>
    </row>
    <row r="25" ht="15.75" customHeight="1">
      <c r="A25" s="277"/>
      <c r="B25" s="274"/>
      <c r="C25" s="247" t="inlineStr">
        <is>
          <t xml:space="preserve">Absenteísmo (H/H)</t>
        </is>
      </c>
      <c r="D25" s="248" t="str">
        <f>IFERROR(1/(1/INDEX(BD!$AF$43:$AZ$43,MATCH($A$5,BD!$AF$22:$AZ$22,0))),"")</f>
        <v/>
      </c>
      <c r="E25" s="249"/>
      <c r="F25" s="254" t="str">
        <f>IF(F$3="","",IF(COUNTIFS(BD!$A$3:$A$5001,F$3,BD!$B$3:$B$5001,$A$5,BD!$V$3:$V$5001,"&lt;&gt;")=0,"",SUMIFS(BD!$V$3:$V$5001,BD!$A$3:$A$5001,F$3,BD!$B$3:$B$5001,$A$5)))</f>
        <v/>
      </c>
      <c r="G25" s="255" t="str">
        <f>IF(G$3="","",IF(COUNTIFS(BD!$A$3:$A$5001,G$3,BD!$B$3:$B$5001,$A$5,BD!$V$3:$V$5001,"&lt;&gt;")=0,"",SUMIFS(BD!$V$3:$V$5001,BD!$A$3:$A$5001,G$3,BD!$B$3:$B$5001,$A$5)))</f>
        <v/>
      </c>
      <c r="H25" s="255" t="str">
        <f>IF(H$3="","",IF(COUNTIFS(BD!$A$3:$A$5001,H$3,BD!$B$3:$B$5001,$A$5,BD!$V$3:$V$5001,"&lt;&gt;")=0,"",SUMIFS(BD!$V$3:$V$5001,BD!$A$3:$A$5001,H$3,BD!$B$3:$B$5001,$A$5)))</f>
        <v/>
      </c>
      <c r="I25" s="255" t="str">
        <f>IF(I$3="","",IF(COUNTIFS(BD!$A$3:$A$5001,I$3,BD!$B$3:$B$5001,$A$5,BD!$V$3:$V$5001,"&lt;&gt;")=0,"",SUMIFS(BD!$V$3:$V$5001,BD!$A$3:$A$5001,I$3,BD!$B$3:$B$5001,$A$5)))</f>
        <v/>
      </c>
      <c r="J25" s="255" t="str">
        <f>IF(J$3="","",IF(COUNTIFS(BD!$A$3:$A$5001,J$3,BD!$B$3:$B$5001,$A$5,BD!$V$3:$V$5001,"&lt;&gt;")=0,"",SUMIFS(BD!$V$3:$V$5001,BD!$A$3:$A$5001,J$3,BD!$B$3:$B$5001,$A$5)))</f>
        <v/>
      </c>
      <c r="K25" s="255" t="str">
        <f>IF(K$3="","",IF(COUNTIFS(BD!$A$3:$A$5001,K$3,BD!$B$3:$B$5001,$A$5,BD!$V$3:$V$5001,"&lt;&gt;")=0,"",SUMIFS(BD!$V$3:$V$5001,BD!$A$3:$A$5001,K$3,BD!$B$3:$B$5001,$A$5)))</f>
        <v/>
      </c>
      <c r="L25" s="255" t="str">
        <f>IF(L$3="","",IF(COUNTIFS(BD!$A$3:$A$5001,L$3,BD!$B$3:$B$5001,$A$5,BD!$V$3:$V$5001,"&lt;&gt;")=0,"",SUMIFS(BD!$V$3:$V$5001,BD!$A$3:$A$5001,L$3,BD!$B$3:$B$5001,$A$5)))</f>
        <v/>
      </c>
      <c r="M25" s="255" t="str">
        <f>IF(M$3="","",IF(COUNTIFS(BD!$A$3:$A$5001,M$3,BD!$B$3:$B$5001,$A$5,BD!$V$3:$V$5001,"&lt;&gt;")=0,"",SUMIFS(BD!$V$3:$V$5001,BD!$A$3:$A$5001,M$3,BD!$B$3:$B$5001,$A$5)))</f>
        <v/>
      </c>
      <c r="N25" s="255" t="str">
        <f>IF(N$3="","",IF(COUNTIFS(BD!$A$3:$A$5001,N$3,BD!$B$3:$B$5001,$A$5,BD!$V$3:$V$5001,"&lt;&gt;")=0,"",SUMIFS(BD!$V$3:$V$5001,BD!$A$3:$A$5001,N$3,BD!$B$3:$B$5001,$A$5)))</f>
        <v/>
      </c>
      <c r="O25" s="255" t="str">
        <f>IF(O$3="","",IF(COUNTIFS(BD!$A$3:$A$5001,O$3,BD!$B$3:$B$5001,$A$5,BD!$V$3:$V$5001,"&lt;&gt;")=0,"",SUMIFS(BD!$V$3:$V$5001,BD!$A$3:$A$5001,O$3,BD!$B$3:$B$5001,$A$5)))</f>
        <v/>
      </c>
      <c r="P25" s="255" t="str">
        <f>IF(P$3="","",IF(COUNTIFS(BD!$A$3:$A$5001,P$3,BD!$B$3:$B$5001,$A$5,BD!$V$3:$V$5001,"&lt;&gt;")=0,"",SUMIFS(BD!$V$3:$V$5001,BD!$A$3:$A$5001,P$3,BD!$B$3:$B$5001,$A$5)))</f>
        <v/>
      </c>
      <c r="Q25" s="255" t="str">
        <f>IF(Q$3="","",IF(COUNTIFS(BD!$A$3:$A$5001,Q$3,BD!$B$3:$B$5001,$A$5,BD!$V$3:$V$5001,"&lt;&gt;")=0,"",SUMIFS(BD!$V$3:$V$5001,BD!$A$3:$A$5001,Q$3,BD!$B$3:$B$5001,$A$5)))</f>
        <v/>
      </c>
      <c r="R25" s="255" t="str">
        <f>IF(R$3="","",IF(COUNTIFS(BD!$A$3:$A$5001,R$3,BD!$B$3:$B$5001,$A$5,BD!$V$3:$V$5001,"&lt;&gt;")=0,"",SUMIFS(BD!$V$3:$V$5001,BD!$A$3:$A$5001,R$3,BD!$B$3:$B$5001,$A$5)))</f>
        <v/>
      </c>
      <c r="S25" s="255" t="str">
        <f>IF(S$3="","",IF(COUNTIFS(BD!$A$3:$A$5001,S$3,BD!$B$3:$B$5001,$A$5,BD!$V$3:$V$5001,"&lt;&gt;")=0,"",SUMIFS(BD!$V$3:$V$5001,BD!$A$3:$A$5001,S$3,BD!$B$3:$B$5001,$A$5)))</f>
        <v/>
      </c>
      <c r="T25" s="255" t="str">
        <f>IF(T$3="","",IF(COUNTIFS(BD!$A$3:$A$5001,T$3,BD!$B$3:$B$5001,$A$5,BD!$V$3:$V$5001,"&lt;&gt;")=0,"",SUMIFS(BD!$V$3:$V$5001,BD!$A$3:$A$5001,T$3,BD!$B$3:$B$5001,$A$5)))</f>
        <v/>
      </c>
      <c r="U25" s="255" t="str">
        <f>IF(U$3="","",IF(COUNTIFS(BD!$A$3:$A$5001,U$3,BD!$B$3:$B$5001,$A$5,BD!$V$3:$V$5001,"&lt;&gt;")=0,"",SUMIFS(BD!$V$3:$V$5001,BD!$A$3:$A$5001,U$3,BD!$B$3:$B$5001,$A$5)))</f>
        <v/>
      </c>
      <c r="V25" s="255" t="str">
        <f>IF(V$3="","",IF(COUNTIFS(BD!$A$3:$A$5001,V$3,BD!$B$3:$B$5001,$A$5,BD!$V$3:$V$5001,"&lt;&gt;")=0,"",SUMIFS(BD!$V$3:$V$5001,BD!$A$3:$A$5001,V$3,BD!$B$3:$B$5001,$A$5)))</f>
        <v/>
      </c>
      <c r="W25" s="255" t="str">
        <f>IF(W$3="","",IF(COUNTIFS(BD!$A$3:$A$5001,W$3,BD!$B$3:$B$5001,$A$5,BD!$V$3:$V$5001,"&lt;&gt;")=0,"",SUMIFS(BD!$V$3:$V$5001,BD!$A$3:$A$5001,W$3,BD!$B$3:$B$5001,$A$5)))</f>
        <v/>
      </c>
      <c r="X25" s="255" t="str">
        <f>IF(X$3="","",IF(COUNTIFS(BD!$A$3:$A$5001,X$3,BD!$B$3:$B$5001,$A$5,BD!$V$3:$V$5001,"&lt;&gt;")=0,"",SUMIFS(BD!$V$3:$V$5001,BD!$A$3:$A$5001,X$3,BD!$B$3:$B$5001,$A$5)))</f>
        <v/>
      </c>
      <c r="Y25" s="255" t="str">
        <f>IF(Y$3="","",IF(COUNTIFS(BD!$A$3:$A$5001,Y$3,BD!$B$3:$B$5001,$A$5,BD!$V$3:$V$5001,"&lt;&gt;")=0,"",SUMIFS(BD!$V$3:$V$5001,BD!$A$3:$A$5001,Y$3,BD!$B$3:$B$5001,$A$5)))</f>
        <v/>
      </c>
      <c r="Z25" s="255" t="str">
        <f>IF(Z$3="","",IF(COUNTIFS(BD!$A$3:$A$5001,Z$3,BD!$B$3:$B$5001,$A$5,BD!$V$3:$V$5001,"&lt;&gt;")=0,"",SUMIFS(BD!$V$3:$V$5001,BD!$A$3:$A$5001,Z$3,BD!$B$3:$B$5001,$A$5)))</f>
        <v/>
      </c>
      <c r="AA25" s="255" t="str">
        <f>IF(AA$3="","",IF(COUNTIFS(BD!$A$3:$A$5001,AA$3,BD!$B$3:$B$5001,$A$5,BD!$V$3:$V$5001,"&lt;&gt;")=0,"",SUMIFS(BD!$V$3:$V$5001,BD!$A$3:$A$5001,AA$3,BD!$B$3:$B$5001,$A$5)))</f>
        <v/>
      </c>
      <c r="AB25" s="255" t="str">
        <f>IF(AB$3="","",IF(COUNTIFS(BD!$A$3:$A$5001,AB$3,BD!$B$3:$B$5001,$A$5,BD!$V$3:$V$5001,"&lt;&gt;")=0,"",SUMIFS(BD!$V$3:$V$5001,BD!$A$3:$A$5001,AB$3,BD!$B$3:$B$5001,$A$5)))</f>
        <v/>
      </c>
      <c r="AC25" s="255" t="str">
        <f>IF(AC$3="","",IF(COUNTIFS(BD!$A$3:$A$5001,AC$3,BD!$B$3:$B$5001,$A$5,BD!$V$3:$V$5001,"&lt;&gt;")=0,"",SUMIFS(BD!$V$3:$V$5001,BD!$A$3:$A$5001,AC$3,BD!$B$3:$B$5001,$A$5)))</f>
        <v/>
      </c>
      <c r="AD25" s="255" t="str">
        <f>IF(AD$3="","",IF(COUNTIFS(BD!$A$3:$A$5001,AD$3,BD!$B$3:$B$5001,$A$5,BD!$V$3:$V$5001,"&lt;&gt;")=0,"",SUMIFS(BD!$V$3:$V$5001,BD!$A$3:$A$5001,AD$3,BD!$B$3:$B$5001,$A$5)))</f>
        <v/>
      </c>
      <c r="AE25" s="255" t="str">
        <f>IF(AE$3="","",IF(COUNTIFS(BD!$A$3:$A$5001,AE$3,BD!$B$3:$B$5001,$A$5,BD!$V$3:$V$5001,"&lt;&gt;")=0,"",SUMIFS(BD!$V$3:$V$5001,BD!$A$3:$A$5001,AE$3,BD!$B$3:$B$5001,$A$5)))</f>
        <v/>
      </c>
      <c r="AF25" s="255" t="str">
        <f>IF(AF$3="","",IF(COUNTIFS(BD!$A$3:$A$5001,AF$3,BD!$B$3:$B$5001,$A$5,BD!$V$3:$V$5001,"&lt;&gt;")=0,"",SUMIFS(BD!$V$3:$V$5001,BD!$A$3:$A$5001,AF$3,BD!$B$3:$B$5001,$A$5)))</f>
        <v/>
      </c>
      <c r="AG25" s="255" t="str">
        <f>IF(AG$3="","",IF(COUNTIFS(BD!$A$3:$A$5001,AG$3,BD!$B$3:$B$5001,$A$5,BD!$V$3:$V$5001,"&lt;&gt;")=0,"",SUMIFS(BD!$V$3:$V$5001,BD!$A$3:$A$5001,AG$3,BD!$B$3:$B$5001,$A$5)))</f>
        <v/>
      </c>
      <c r="AH25" s="255" t="str">
        <f>IF(AH$3="","",IF(COUNTIFS(BD!$A$3:$A$5001,AH$3,BD!$B$3:$B$5001,$A$5,BD!$V$3:$V$5001,"&lt;&gt;")=0,"",SUMIFS(BD!$V$3:$V$5001,BD!$A$3:$A$5001,AH$3,BD!$B$3:$B$5001,$A$5)))</f>
        <v/>
      </c>
      <c r="AI25" s="255" t="str">
        <f>IF(AI$3="","",IF(COUNTIFS(BD!$A$3:$A$5001,AI$3,BD!$B$3:$B$5001,$A$5,BD!$V$3:$V$5001,"&lt;&gt;")=0,"",SUMIFS(BD!$V$3:$V$5001,BD!$A$3:$A$5001,AI$3,BD!$B$3:$B$5001,$A$5)))</f>
        <v/>
      </c>
      <c r="AJ25" s="256" t="str">
        <f>IF(AJ$3="","",IF(COUNTIFS(BD!$A$3:$A$5001,AJ$3,BD!$B$3:$B$5001,$A$5,BD!$V$3:$V$5001,"&lt;&gt;")=0,"",SUMIFS(BD!$V$3:$V$5001,BD!$A$3:$A$5001,AJ$3,BD!$B$3:$B$5001,$A$5)))</f>
        <v/>
      </c>
      <c r="AK25" s="257" t="str">
        <f>IF(COUNT(F25:AJ25)=0,"",SUM(F25:AJ25))</f>
        <v/>
      </c>
    </row>
    <row r="26" ht="15.75" customHeight="1">
      <c r="A26" s="277"/>
      <c r="B26" s="274"/>
      <c r="C26" s="247" t="inlineStr">
        <is>
          <t xml:space="preserve">Folga</t>
        </is>
      </c>
      <c r="D26" s="248" t="str">
        <f>IFERROR(1/(1/INDEX(BD!$AF$44:$AZ$44,MATCH($A$5,BD!$AF$22:$AZ$22,0))),"")</f>
        <v/>
      </c>
      <c r="E26" s="249"/>
      <c r="F26" s="250" t="str">
        <f>IF(F$3="","",IF(COUNTIFS(BD!$A$3:$A$5001,F$3,BD!$B$3:$B$5001,$A$5,BD!$W$3:$W$5001,"&lt;&gt;")=0,"",SUMIFS(BD!$W$3:$W$5001,BD!$A$3:$A$5001,F$3,BD!$B$3:$B$5001,$A$5)))</f>
        <v/>
      </c>
      <c r="G26" s="251" t="str">
        <f>IF(G$3="","",IF(COUNTIFS(BD!$A$3:$A$5001,G$3,BD!$B$3:$B$5001,$A$5,BD!$W$3:$W$5001,"&lt;&gt;")=0,"",SUMIFS(BD!$W$3:$W$5001,BD!$A$3:$A$5001,G$3,BD!$B$3:$B$5001,$A$5)))</f>
        <v/>
      </c>
      <c r="H26" s="251" t="str">
        <f>IF(H$3="","",IF(COUNTIFS(BD!$A$3:$A$5001,H$3,BD!$B$3:$B$5001,$A$5,BD!$W$3:$W$5001,"&lt;&gt;")=0,"",SUMIFS(BD!$W$3:$W$5001,BD!$A$3:$A$5001,H$3,BD!$B$3:$B$5001,$A$5)))</f>
        <v/>
      </c>
      <c r="I26" s="251" t="str">
        <f>IF(I$3="","",IF(COUNTIFS(BD!$A$3:$A$5001,I$3,BD!$B$3:$B$5001,$A$5,BD!$W$3:$W$5001,"&lt;&gt;")=0,"",SUMIFS(BD!$W$3:$W$5001,BD!$A$3:$A$5001,I$3,BD!$B$3:$B$5001,$A$5)))</f>
        <v/>
      </c>
      <c r="J26" s="251" t="str">
        <f>IF(J$3="","",IF(COUNTIFS(BD!$A$3:$A$5001,J$3,BD!$B$3:$B$5001,$A$5,BD!$W$3:$W$5001,"&lt;&gt;")=0,"",SUMIFS(BD!$W$3:$W$5001,BD!$A$3:$A$5001,J$3,BD!$B$3:$B$5001,$A$5)))</f>
        <v/>
      </c>
      <c r="K26" s="251" t="str">
        <f>IF(K$3="","",IF(COUNTIFS(BD!$A$3:$A$5001,K$3,BD!$B$3:$B$5001,$A$5,BD!$W$3:$W$5001,"&lt;&gt;")=0,"",SUMIFS(BD!$W$3:$W$5001,BD!$A$3:$A$5001,K$3,BD!$B$3:$B$5001,$A$5)))</f>
        <v/>
      </c>
      <c r="L26" s="251" t="str">
        <f>IF(L$3="","",IF(COUNTIFS(BD!$A$3:$A$5001,L$3,BD!$B$3:$B$5001,$A$5,BD!$W$3:$W$5001,"&lt;&gt;")=0,"",SUMIFS(BD!$W$3:$W$5001,BD!$A$3:$A$5001,L$3,BD!$B$3:$B$5001,$A$5)))</f>
        <v/>
      </c>
      <c r="M26" s="251" t="str">
        <f>IF(M$3="","",IF(COUNTIFS(BD!$A$3:$A$5001,M$3,BD!$B$3:$B$5001,$A$5,BD!$W$3:$W$5001,"&lt;&gt;")=0,"",SUMIFS(BD!$W$3:$W$5001,BD!$A$3:$A$5001,M$3,BD!$B$3:$B$5001,$A$5)))</f>
        <v/>
      </c>
      <c r="N26" s="251" t="str">
        <f>IF(N$3="","",IF(COUNTIFS(BD!$A$3:$A$5001,N$3,BD!$B$3:$B$5001,$A$5,BD!$W$3:$W$5001,"&lt;&gt;")=0,"",SUMIFS(BD!$W$3:$W$5001,BD!$A$3:$A$5001,N$3,BD!$B$3:$B$5001,$A$5)))</f>
        <v/>
      </c>
      <c r="O26" s="251" t="str">
        <f>IF(O$3="","",IF(COUNTIFS(BD!$A$3:$A$5001,O$3,BD!$B$3:$B$5001,$A$5,BD!$W$3:$W$5001,"&lt;&gt;")=0,"",SUMIFS(BD!$W$3:$W$5001,BD!$A$3:$A$5001,O$3,BD!$B$3:$B$5001,$A$5)))</f>
        <v/>
      </c>
      <c r="P26" s="251" t="str">
        <f>IF(P$3="","",IF(COUNTIFS(BD!$A$3:$A$5001,P$3,BD!$B$3:$B$5001,$A$5,BD!$W$3:$W$5001,"&lt;&gt;")=0,"",SUMIFS(BD!$W$3:$W$5001,BD!$A$3:$A$5001,P$3,BD!$B$3:$B$5001,$A$5)))</f>
        <v/>
      </c>
      <c r="Q26" s="251" t="str">
        <f>IF(Q$3="","",IF(COUNTIFS(BD!$A$3:$A$5001,Q$3,BD!$B$3:$B$5001,$A$5,BD!$W$3:$W$5001,"&lt;&gt;")=0,"",SUMIFS(BD!$W$3:$W$5001,BD!$A$3:$A$5001,Q$3,BD!$B$3:$B$5001,$A$5)))</f>
        <v/>
      </c>
      <c r="R26" s="251" t="str">
        <f>IF(R$3="","",IF(COUNTIFS(BD!$A$3:$A$5001,R$3,BD!$B$3:$B$5001,$A$5,BD!$W$3:$W$5001,"&lt;&gt;")=0,"",SUMIFS(BD!$W$3:$W$5001,BD!$A$3:$A$5001,R$3,BD!$B$3:$B$5001,$A$5)))</f>
        <v/>
      </c>
      <c r="S26" s="251" t="str">
        <f>IF(S$3="","",IF(COUNTIFS(BD!$A$3:$A$5001,S$3,BD!$B$3:$B$5001,$A$5,BD!$W$3:$W$5001,"&lt;&gt;")=0,"",SUMIFS(BD!$W$3:$W$5001,BD!$A$3:$A$5001,S$3,BD!$B$3:$B$5001,$A$5)))</f>
        <v/>
      </c>
      <c r="T26" s="251" t="str">
        <f>IF(T$3="","",IF(COUNTIFS(BD!$A$3:$A$5001,T$3,BD!$B$3:$B$5001,$A$5,BD!$W$3:$W$5001,"&lt;&gt;")=0,"",SUMIFS(BD!$W$3:$W$5001,BD!$A$3:$A$5001,T$3,BD!$B$3:$B$5001,$A$5)))</f>
        <v/>
      </c>
      <c r="U26" s="251" t="str">
        <f>IF(U$3="","",IF(COUNTIFS(BD!$A$3:$A$5001,U$3,BD!$B$3:$B$5001,$A$5,BD!$W$3:$W$5001,"&lt;&gt;")=0,"",SUMIFS(BD!$W$3:$W$5001,BD!$A$3:$A$5001,U$3,BD!$B$3:$B$5001,$A$5)))</f>
        <v/>
      </c>
      <c r="V26" s="251" t="str">
        <f>IF(V$3="","",IF(COUNTIFS(BD!$A$3:$A$5001,V$3,BD!$B$3:$B$5001,$A$5,BD!$W$3:$W$5001,"&lt;&gt;")=0,"",SUMIFS(BD!$W$3:$W$5001,BD!$A$3:$A$5001,V$3,BD!$B$3:$B$5001,$A$5)))</f>
        <v/>
      </c>
      <c r="W26" s="251" t="str">
        <f>IF(W$3="","",IF(COUNTIFS(BD!$A$3:$A$5001,W$3,BD!$B$3:$B$5001,$A$5,BD!$W$3:$W$5001,"&lt;&gt;")=0,"",SUMIFS(BD!$W$3:$W$5001,BD!$A$3:$A$5001,W$3,BD!$B$3:$B$5001,$A$5)))</f>
        <v/>
      </c>
      <c r="X26" s="251" t="str">
        <f>IF(X$3="","",IF(COUNTIFS(BD!$A$3:$A$5001,X$3,BD!$B$3:$B$5001,$A$5,BD!$W$3:$W$5001,"&lt;&gt;")=0,"",SUMIFS(BD!$W$3:$W$5001,BD!$A$3:$A$5001,X$3,BD!$B$3:$B$5001,$A$5)))</f>
        <v/>
      </c>
      <c r="Y26" s="251" t="str">
        <f>IF(Y$3="","",IF(COUNTIFS(BD!$A$3:$A$5001,Y$3,BD!$B$3:$B$5001,$A$5,BD!$W$3:$W$5001,"&lt;&gt;")=0,"",SUMIFS(BD!$W$3:$W$5001,BD!$A$3:$A$5001,Y$3,BD!$B$3:$B$5001,$A$5)))</f>
        <v/>
      </c>
      <c r="Z26" s="251" t="str">
        <f>IF(Z$3="","",IF(COUNTIFS(BD!$A$3:$A$5001,Z$3,BD!$B$3:$B$5001,$A$5,BD!$W$3:$W$5001,"&lt;&gt;")=0,"",SUMIFS(BD!$W$3:$W$5001,BD!$A$3:$A$5001,Z$3,BD!$B$3:$B$5001,$A$5)))</f>
        <v/>
      </c>
      <c r="AA26" s="251" t="str">
        <f>IF(AA$3="","",IF(COUNTIFS(BD!$A$3:$A$5001,AA$3,BD!$B$3:$B$5001,$A$5,BD!$W$3:$W$5001,"&lt;&gt;")=0,"",SUMIFS(BD!$W$3:$W$5001,BD!$A$3:$A$5001,AA$3,BD!$B$3:$B$5001,$A$5)))</f>
        <v/>
      </c>
      <c r="AB26" s="251" t="str">
        <f>IF(AB$3="","",IF(COUNTIFS(BD!$A$3:$A$5001,AB$3,BD!$B$3:$B$5001,$A$5,BD!$W$3:$W$5001,"&lt;&gt;")=0,"",SUMIFS(BD!$W$3:$W$5001,BD!$A$3:$A$5001,AB$3,BD!$B$3:$B$5001,$A$5)))</f>
        <v/>
      </c>
      <c r="AC26" s="251" t="str">
        <f>IF(AC$3="","",IF(COUNTIFS(BD!$A$3:$A$5001,AC$3,BD!$B$3:$B$5001,$A$5,BD!$W$3:$W$5001,"&lt;&gt;")=0,"",SUMIFS(BD!$W$3:$W$5001,BD!$A$3:$A$5001,AC$3,BD!$B$3:$B$5001,$A$5)))</f>
        <v/>
      </c>
      <c r="AD26" s="251" t="str">
        <f>IF(AD$3="","",IF(COUNTIFS(BD!$A$3:$A$5001,AD$3,BD!$B$3:$B$5001,$A$5,BD!$W$3:$W$5001,"&lt;&gt;")=0,"",SUMIFS(BD!$W$3:$W$5001,BD!$A$3:$A$5001,AD$3,BD!$B$3:$B$5001,$A$5)))</f>
        <v/>
      </c>
      <c r="AE26" s="251" t="str">
        <f>IF(AE$3="","",IF(COUNTIFS(BD!$A$3:$A$5001,AE$3,BD!$B$3:$B$5001,$A$5,BD!$W$3:$W$5001,"&lt;&gt;")=0,"",SUMIFS(BD!$W$3:$W$5001,BD!$A$3:$A$5001,AE$3,BD!$B$3:$B$5001,$A$5)))</f>
        <v/>
      </c>
      <c r="AF26" s="251" t="str">
        <f>IF(AF$3="","",IF(COUNTIFS(BD!$A$3:$A$5001,AF$3,BD!$B$3:$B$5001,$A$5,BD!$W$3:$W$5001,"&lt;&gt;")=0,"",SUMIFS(BD!$W$3:$W$5001,BD!$A$3:$A$5001,AF$3,BD!$B$3:$B$5001,$A$5)))</f>
        <v/>
      </c>
      <c r="AG26" s="251" t="str">
        <f>IF(AG$3="","",IF(COUNTIFS(BD!$A$3:$A$5001,AG$3,BD!$B$3:$B$5001,$A$5,BD!$W$3:$W$5001,"&lt;&gt;")=0,"",SUMIFS(BD!$W$3:$W$5001,BD!$A$3:$A$5001,AG$3,BD!$B$3:$B$5001,$A$5)))</f>
        <v/>
      </c>
      <c r="AH26" s="251" t="str">
        <f>IF(AH$3="","",IF(COUNTIFS(BD!$A$3:$A$5001,AH$3,BD!$B$3:$B$5001,$A$5,BD!$W$3:$W$5001,"&lt;&gt;")=0,"",SUMIFS(BD!$W$3:$W$5001,BD!$A$3:$A$5001,AH$3,BD!$B$3:$B$5001,$A$5)))</f>
        <v/>
      </c>
      <c r="AI26" s="251" t="str">
        <f>IF(AI$3="","",IF(COUNTIFS(BD!$A$3:$A$5001,AI$3,BD!$B$3:$B$5001,$A$5,BD!$W$3:$W$5001,"&lt;&gt;")=0,"",SUMIFS(BD!$W$3:$W$5001,BD!$A$3:$A$5001,AI$3,BD!$B$3:$B$5001,$A$5)))</f>
        <v/>
      </c>
      <c r="AJ26" s="252" t="str">
        <f>IF(AJ$3="","",IF(COUNTIFS(BD!$A$3:$A$5001,AJ$3,BD!$B$3:$B$5001,$A$5,BD!$W$3:$W$5001,"&lt;&gt;")=0,"",SUMIFS(BD!$W$3:$W$5001,BD!$A$3:$A$5001,AJ$3,BD!$B$3:$B$5001,$A$5)))</f>
        <v/>
      </c>
      <c r="AK26" s="253" t="str">
        <f>IF(COUNT(F26:AJ26)=0,"",SUM(F26:AJ26))</f>
        <v/>
      </c>
    </row>
    <row r="27" ht="15.75" customHeight="1">
      <c r="A27" s="277"/>
      <c r="B27" s="274"/>
      <c r="C27" s="247" t="inlineStr">
        <is>
          <t xml:space="preserve">Férias</t>
        </is>
      </c>
      <c r="D27" s="248" t="str">
        <f>IFERROR(1/(1/INDEX(BD!$AF$45:$AZ$45,MATCH($A$5,BD!$AF$22:$AZ$22,0))),"")</f>
        <v/>
      </c>
      <c r="E27" s="249"/>
      <c r="F27" s="250" t="str">
        <f>IF(F$3="","",IF(COUNTIFS(BD!$A$3:$A$5001,F$3,BD!$B$3:$B$5001,$A$5,BD!$X$3:$X$5001,"&lt;&gt;")=0,"",SUMIFS(BD!$X$3:$X$5001,BD!$A$3:$A$5001,F$3,BD!$B$3:$B$5001,$A$5)))</f>
        <v/>
      </c>
      <c r="G27" s="251" t="str">
        <f>IF(G$3="","",IF(COUNTIFS(BD!$A$3:$A$5001,G$3,BD!$B$3:$B$5001,$A$5,BD!$X$3:$X$5001,"&lt;&gt;")=0,"",SUMIFS(BD!$X$3:$X$5001,BD!$A$3:$A$5001,G$3,BD!$B$3:$B$5001,$A$5)))</f>
        <v/>
      </c>
      <c r="H27" s="251" t="str">
        <f>IF(H$3="","",IF(COUNTIFS(BD!$A$3:$A$5001,H$3,BD!$B$3:$B$5001,$A$5,BD!$X$3:$X$5001,"&lt;&gt;")=0,"",SUMIFS(BD!$X$3:$X$5001,BD!$A$3:$A$5001,H$3,BD!$B$3:$B$5001,$A$5)))</f>
        <v/>
      </c>
      <c r="I27" s="251" t="str">
        <f>IF(I$3="","",IF(COUNTIFS(BD!$A$3:$A$5001,I$3,BD!$B$3:$B$5001,$A$5,BD!$X$3:$X$5001,"&lt;&gt;")=0,"",SUMIFS(BD!$X$3:$X$5001,BD!$A$3:$A$5001,I$3,BD!$B$3:$B$5001,$A$5)))</f>
        <v/>
      </c>
      <c r="J27" s="251" t="str">
        <f>IF(J$3="","",IF(COUNTIFS(BD!$A$3:$A$5001,J$3,BD!$B$3:$B$5001,$A$5,BD!$X$3:$X$5001,"&lt;&gt;")=0,"",SUMIFS(BD!$X$3:$X$5001,BD!$A$3:$A$5001,J$3,BD!$B$3:$B$5001,$A$5)))</f>
        <v/>
      </c>
      <c r="K27" s="251" t="str">
        <f>IF(K$3="","",IF(COUNTIFS(BD!$A$3:$A$5001,K$3,BD!$B$3:$B$5001,$A$5,BD!$X$3:$X$5001,"&lt;&gt;")=0,"",SUMIFS(BD!$X$3:$X$5001,BD!$A$3:$A$5001,K$3,BD!$B$3:$B$5001,$A$5)))</f>
        <v/>
      </c>
      <c r="L27" s="251" t="str">
        <f>IF(L$3="","",IF(COUNTIFS(BD!$A$3:$A$5001,L$3,BD!$B$3:$B$5001,$A$5,BD!$X$3:$X$5001,"&lt;&gt;")=0,"",SUMIFS(BD!$X$3:$X$5001,BD!$A$3:$A$5001,L$3,BD!$B$3:$B$5001,$A$5)))</f>
        <v/>
      </c>
      <c r="M27" s="251" t="str">
        <f>IF(M$3="","",IF(COUNTIFS(BD!$A$3:$A$5001,M$3,BD!$B$3:$B$5001,$A$5,BD!$X$3:$X$5001,"&lt;&gt;")=0,"",SUMIFS(BD!$X$3:$X$5001,BD!$A$3:$A$5001,M$3,BD!$B$3:$B$5001,$A$5)))</f>
        <v/>
      </c>
      <c r="N27" s="251" t="str">
        <f>IF(N$3="","",IF(COUNTIFS(BD!$A$3:$A$5001,N$3,BD!$B$3:$B$5001,$A$5,BD!$X$3:$X$5001,"&lt;&gt;")=0,"",SUMIFS(BD!$X$3:$X$5001,BD!$A$3:$A$5001,N$3,BD!$B$3:$B$5001,$A$5)))</f>
        <v/>
      </c>
      <c r="O27" s="251" t="str">
        <f>IF(O$3="","",IF(COUNTIFS(BD!$A$3:$A$5001,O$3,BD!$B$3:$B$5001,$A$5,BD!$X$3:$X$5001,"&lt;&gt;")=0,"",SUMIFS(BD!$X$3:$X$5001,BD!$A$3:$A$5001,O$3,BD!$B$3:$B$5001,$A$5)))</f>
        <v/>
      </c>
      <c r="P27" s="251" t="str">
        <f>IF(P$3="","",IF(COUNTIFS(BD!$A$3:$A$5001,P$3,BD!$B$3:$B$5001,$A$5,BD!$X$3:$X$5001,"&lt;&gt;")=0,"",SUMIFS(BD!$X$3:$X$5001,BD!$A$3:$A$5001,P$3,BD!$B$3:$B$5001,$A$5)))</f>
        <v/>
      </c>
      <c r="Q27" s="251" t="str">
        <f>IF(Q$3="","",IF(COUNTIFS(BD!$A$3:$A$5001,Q$3,BD!$B$3:$B$5001,$A$5,BD!$X$3:$X$5001,"&lt;&gt;")=0,"",SUMIFS(BD!$X$3:$X$5001,BD!$A$3:$A$5001,Q$3,BD!$B$3:$B$5001,$A$5)))</f>
        <v/>
      </c>
      <c r="R27" s="251" t="str">
        <f>IF(R$3="","",IF(COUNTIFS(BD!$A$3:$A$5001,R$3,BD!$B$3:$B$5001,$A$5,BD!$X$3:$X$5001,"&lt;&gt;")=0,"",SUMIFS(BD!$X$3:$X$5001,BD!$A$3:$A$5001,R$3,BD!$B$3:$B$5001,$A$5)))</f>
        <v/>
      </c>
      <c r="S27" s="251" t="str">
        <f>IF(S$3="","",IF(COUNTIFS(BD!$A$3:$A$5001,S$3,BD!$B$3:$B$5001,$A$5,BD!$X$3:$X$5001,"&lt;&gt;")=0,"",SUMIFS(BD!$X$3:$X$5001,BD!$A$3:$A$5001,S$3,BD!$B$3:$B$5001,$A$5)))</f>
        <v/>
      </c>
      <c r="T27" s="251" t="str">
        <f>IF(T$3="","",IF(COUNTIFS(BD!$A$3:$A$5001,T$3,BD!$B$3:$B$5001,$A$5,BD!$X$3:$X$5001,"&lt;&gt;")=0,"",SUMIFS(BD!$X$3:$X$5001,BD!$A$3:$A$5001,T$3,BD!$B$3:$B$5001,$A$5)))</f>
        <v/>
      </c>
      <c r="U27" s="251" t="str">
        <f>IF(U$3="","",IF(COUNTIFS(BD!$A$3:$A$5001,U$3,BD!$B$3:$B$5001,$A$5,BD!$X$3:$X$5001,"&lt;&gt;")=0,"",SUMIFS(BD!$X$3:$X$5001,BD!$A$3:$A$5001,U$3,BD!$B$3:$B$5001,$A$5)))</f>
        <v/>
      </c>
      <c r="V27" s="251" t="str">
        <f>IF(V$3="","",IF(COUNTIFS(BD!$A$3:$A$5001,V$3,BD!$B$3:$B$5001,$A$5,BD!$X$3:$X$5001,"&lt;&gt;")=0,"",SUMIFS(BD!$X$3:$X$5001,BD!$A$3:$A$5001,V$3,BD!$B$3:$B$5001,$A$5)))</f>
        <v/>
      </c>
      <c r="W27" s="251" t="str">
        <f>IF(W$3="","",IF(COUNTIFS(BD!$A$3:$A$5001,W$3,BD!$B$3:$B$5001,$A$5,BD!$X$3:$X$5001,"&lt;&gt;")=0,"",SUMIFS(BD!$X$3:$X$5001,BD!$A$3:$A$5001,W$3,BD!$B$3:$B$5001,$A$5)))</f>
        <v/>
      </c>
      <c r="X27" s="251" t="str">
        <f>IF(X$3="","",IF(COUNTIFS(BD!$A$3:$A$5001,X$3,BD!$B$3:$B$5001,$A$5,BD!$X$3:$X$5001,"&lt;&gt;")=0,"",SUMIFS(BD!$X$3:$X$5001,BD!$A$3:$A$5001,X$3,BD!$B$3:$B$5001,$A$5)))</f>
        <v/>
      </c>
      <c r="Y27" s="251" t="str">
        <f>IF(Y$3="","",IF(COUNTIFS(BD!$A$3:$A$5001,Y$3,BD!$B$3:$B$5001,$A$5,BD!$X$3:$X$5001,"&lt;&gt;")=0,"",SUMIFS(BD!$X$3:$X$5001,BD!$A$3:$A$5001,Y$3,BD!$B$3:$B$5001,$A$5)))</f>
        <v/>
      </c>
      <c r="Z27" s="251" t="str">
        <f>IF(Z$3="","",IF(COUNTIFS(BD!$A$3:$A$5001,Z$3,BD!$B$3:$B$5001,$A$5,BD!$X$3:$X$5001,"&lt;&gt;")=0,"",SUMIFS(BD!$X$3:$X$5001,BD!$A$3:$A$5001,Z$3,BD!$B$3:$B$5001,$A$5)))</f>
        <v/>
      </c>
      <c r="AA27" s="251" t="str">
        <f>IF(AA$3="","",IF(COUNTIFS(BD!$A$3:$A$5001,AA$3,BD!$B$3:$B$5001,$A$5,BD!$X$3:$X$5001,"&lt;&gt;")=0,"",SUMIFS(BD!$X$3:$X$5001,BD!$A$3:$A$5001,AA$3,BD!$B$3:$B$5001,$A$5)))</f>
        <v/>
      </c>
      <c r="AB27" s="251" t="str">
        <f>IF(AB$3="","",IF(COUNTIFS(BD!$A$3:$A$5001,AB$3,BD!$B$3:$B$5001,$A$5,BD!$X$3:$X$5001,"&lt;&gt;")=0,"",SUMIFS(BD!$X$3:$X$5001,BD!$A$3:$A$5001,AB$3,BD!$B$3:$B$5001,$A$5)))</f>
        <v/>
      </c>
      <c r="AC27" s="251" t="str">
        <f>IF(AC$3="","",IF(COUNTIFS(BD!$A$3:$A$5001,AC$3,BD!$B$3:$B$5001,$A$5,BD!$X$3:$X$5001,"&lt;&gt;")=0,"",SUMIFS(BD!$X$3:$X$5001,BD!$A$3:$A$5001,AC$3,BD!$B$3:$B$5001,$A$5)))</f>
        <v/>
      </c>
      <c r="AD27" s="251" t="str">
        <f>IF(AD$3="","",IF(COUNTIFS(BD!$A$3:$A$5001,AD$3,BD!$B$3:$B$5001,$A$5,BD!$X$3:$X$5001,"&lt;&gt;")=0,"",SUMIFS(BD!$X$3:$X$5001,BD!$A$3:$A$5001,AD$3,BD!$B$3:$B$5001,$A$5)))</f>
        <v/>
      </c>
      <c r="AE27" s="251" t="str">
        <f>IF(AE$3="","",IF(COUNTIFS(BD!$A$3:$A$5001,AE$3,BD!$B$3:$B$5001,$A$5,BD!$X$3:$X$5001,"&lt;&gt;")=0,"",SUMIFS(BD!$X$3:$X$5001,BD!$A$3:$A$5001,AE$3,BD!$B$3:$B$5001,$A$5)))</f>
        <v/>
      </c>
      <c r="AF27" s="251" t="str">
        <f>IF(AF$3="","",IF(COUNTIFS(BD!$A$3:$A$5001,AF$3,BD!$B$3:$B$5001,$A$5,BD!$X$3:$X$5001,"&lt;&gt;")=0,"",SUMIFS(BD!$X$3:$X$5001,BD!$A$3:$A$5001,AF$3,BD!$B$3:$B$5001,$A$5)))</f>
        <v/>
      </c>
      <c r="AG27" s="251" t="str">
        <f>IF(AG$3="","",IF(COUNTIFS(BD!$A$3:$A$5001,AG$3,BD!$B$3:$B$5001,$A$5,BD!$X$3:$X$5001,"&lt;&gt;")=0,"",SUMIFS(BD!$X$3:$X$5001,BD!$A$3:$A$5001,AG$3,BD!$B$3:$B$5001,$A$5)))</f>
        <v/>
      </c>
      <c r="AH27" s="251" t="str">
        <f>IF(AH$3="","",IF(COUNTIFS(BD!$A$3:$A$5001,AH$3,BD!$B$3:$B$5001,$A$5,BD!$X$3:$X$5001,"&lt;&gt;")=0,"",SUMIFS(BD!$X$3:$X$5001,BD!$A$3:$A$5001,AH$3,BD!$B$3:$B$5001,$A$5)))</f>
        <v/>
      </c>
      <c r="AI27" s="251" t="str">
        <f>IF(AI$3="","",IF(COUNTIFS(BD!$A$3:$A$5001,AI$3,BD!$B$3:$B$5001,$A$5,BD!$X$3:$X$5001,"&lt;&gt;")=0,"",SUMIFS(BD!$X$3:$X$5001,BD!$A$3:$A$5001,AI$3,BD!$B$3:$B$5001,$A$5)))</f>
        <v/>
      </c>
      <c r="AJ27" s="252" t="str">
        <f>IF(AJ$3="","",IF(COUNTIFS(BD!$A$3:$A$5001,AJ$3,BD!$B$3:$B$5001,$A$5,BD!$X$3:$X$5001,"&lt;&gt;")=0,"",SUMIFS(BD!$X$3:$X$5001,BD!$A$3:$A$5001,AJ$3,BD!$B$3:$B$5001,$A$5)))</f>
        <v/>
      </c>
      <c r="AK27" s="253" t="str">
        <f>IF(COUNT(F27:AJ27)=0,"",SUM(F27:AJ27))</f>
        <v/>
      </c>
    </row>
    <row r="28" ht="15.75" customHeight="1">
      <c r="A28" s="277"/>
      <c r="B28" s="274"/>
      <c r="C28" s="247" t="inlineStr">
        <is>
          <t xml:space="preserve">Desligamento</t>
        </is>
      </c>
      <c r="D28" s="248" t="str">
        <f>IFERROR(1/(1/INDEX(BD!$AF$46:$AZ$46,MATCH($A$5,BD!$AF$22:$AZ$22,0))),"")</f>
        <v/>
      </c>
      <c r="E28" s="249"/>
      <c r="F28" s="250" t="str">
        <f>IF(F$3="","",IF(COUNTIFS(BD!$A$3:$A$5001,F$3,BD!$B$3:$B$5001,$A$5,BD!$Y$3:$Y$5001,"&lt;&gt;")=0,"",SUMIFS(BD!$Y$3:$Y$5001,BD!$A$3:$A$5001,F$3,BD!$B$3:$B$5001,$A$5)))</f>
        <v/>
      </c>
      <c r="G28" s="251" t="str">
        <f>IF(G$3="","",IF(COUNTIFS(BD!$A$3:$A$5001,G$3,BD!$B$3:$B$5001,$A$5,BD!$Y$3:$Y$5001,"&lt;&gt;")=0,"",SUMIFS(BD!$Y$3:$Y$5001,BD!$A$3:$A$5001,G$3,BD!$B$3:$B$5001,$A$5)))</f>
        <v/>
      </c>
      <c r="H28" s="251" t="str">
        <f>IF(H$3="","",IF(COUNTIFS(BD!$A$3:$A$5001,H$3,BD!$B$3:$B$5001,$A$5,BD!$Y$3:$Y$5001,"&lt;&gt;")=0,"",SUMIFS(BD!$Y$3:$Y$5001,BD!$A$3:$A$5001,H$3,BD!$B$3:$B$5001,$A$5)))</f>
        <v/>
      </c>
      <c r="I28" s="251" t="str">
        <f>IF(I$3="","",IF(COUNTIFS(BD!$A$3:$A$5001,I$3,BD!$B$3:$B$5001,$A$5,BD!$Y$3:$Y$5001,"&lt;&gt;")=0,"",SUMIFS(BD!$Y$3:$Y$5001,BD!$A$3:$A$5001,I$3,BD!$B$3:$B$5001,$A$5)))</f>
        <v/>
      </c>
      <c r="J28" s="251" t="str">
        <f>IF(J$3="","",IF(COUNTIFS(BD!$A$3:$A$5001,J$3,BD!$B$3:$B$5001,$A$5,BD!$Y$3:$Y$5001,"&lt;&gt;")=0,"",SUMIFS(BD!$Y$3:$Y$5001,BD!$A$3:$A$5001,J$3,BD!$B$3:$B$5001,$A$5)))</f>
        <v/>
      </c>
      <c r="K28" s="251" t="str">
        <f>IF(K$3="","",IF(COUNTIFS(BD!$A$3:$A$5001,K$3,BD!$B$3:$B$5001,$A$5,BD!$Y$3:$Y$5001,"&lt;&gt;")=0,"",SUMIFS(BD!$Y$3:$Y$5001,BD!$A$3:$A$5001,K$3,BD!$B$3:$B$5001,$A$5)))</f>
        <v/>
      </c>
      <c r="L28" s="251" t="str">
        <f>IF(L$3="","",IF(COUNTIFS(BD!$A$3:$A$5001,L$3,BD!$B$3:$B$5001,$A$5,BD!$Y$3:$Y$5001,"&lt;&gt;")=0,"",SUMIFS(BD!$Y$3:$Y$5001,BD!$A$3:$A$5001,L$3,BD!$B$3:$B$5001,$A$5)))</f>
        <v/>
      </c>
      <c r="M28" s="251" t="str">
        <f>IF(M$3="","",IF(COUNTIFS(BD!$A$3:$A$5001,M$3,BD!$B$3:$B$5001,$A$5,BD!$Y$3:$Y$5001,"&lt;&gt;")=0,"",SUMIFS(BD!$Y$3:$Y$5001,BD!$A$3:$A$5001,M$3,BD!$B$3:$B$5001,$A$5)))</f>
        <v/>
      </c>
      <c r="N28" s="251" t="str">
        <f>IF(N$3="","",IF(COUNTIFS(BD!$A$3:$A$5001,N$3,BD!$B$3:$B$5001,$A$5,BD!$Y$3:$Y$5001,"&lt;&gt;")=0,"",SUMIFS(BD!$Y$3:$Y$5001,BD!$A$3:$A$5001,N$3,BD!$B$3:$B$5001,$A$5)))</f>
        <v/>
      </c>
      <c r="O28" s="251" t="str">
        <f>IF(O$3="","",IF(COUNTIFS(BD!$A$3:$A$5001,O$3,BD!$B$3:$B$5001,$A$5,BD!$Y$3:$Y$5001,"&lt;&gt;")=0,"",SUMIFS(BD!$Y$3:$Y$5001,BD!$A$3:$A$5001,O$3,BD!$B$3:$B$5001,$A$5)))</f>
        <v/>
      </c>
      <c r="P28" s="251" t="str">
        <f>IF(P$3="","",IF(COUNTIFS(BD!$A$3:$A$5001,P$3,BD!$B$3:$B$5001,$A$5,BD!$Y$3:$Y$5001,"&lt;&gt;")=0,"",SUMIFS(BD!$Y$3:$Y$5001,BD!$A$3:$A$5001,P$3,BD!$B$3:$B$5001,$A$5)))</f>
        <v/>
      </c>
      <c r="Q28" s="251" t="str">
        <f>IF(Q$3="","",IF(COUNTIFS(BD!$A$3:$A$5001,Q$3,BD!$B$3:$B$5001,$A$5,BD!$Y$3:$Y$5001,"&lt;&gt;")=0,"",SUMIFS(BD!$Y$3:$Y$5001,BD!$A$3:$A$5001,Q$3,BD!$B$3:$B$5001,$A$5)))</f>
        <v/>
      </c>
      <c r="R28" s="251" t="str">
        <f>IF(R$3="","",IF(COUNTIFS(BD!$A$3:$A$5001,R$3,BD!$B$3:$B$5001,$A$5,BD!$Y$3:$Y$5001,"&lt;&gt;")=0,"",SUMIFS(BD!$Y$3:$Y$5001,BD!$A$3:$A$5001,R$3,BD!$B$3:$B$5001,$A$5)))</f>
        <v/>
      </c>
      <c r="S28" s="251" t="str">
        <f>IF(S$3="","",IF(COUNTIFS(BD!$A$3:$A$5001,S$3,BD!$B$3:$B$5001,$A$5,BD!$Y$3:$Y$5001,"&lt;&gt;")=0,"",SUMIFS(BD!$Y$3:$Y$5001,BD!$A$3:$A$5001,S$3,BD!$B$3:$B$5001,$A$5)))</f>
        <v/>
      </c>
      <c r="T28" s="251" t="str">
        <f>IF(T$3="","",IF(COUNTIFS(BD!$A$3:$A$5001,T$3,BD!$B$3:$B$5001,$A$5,BD!$Y$3:$Y$5001,"&lt;&gt;")=0,"",SUMIFS(BD!$Y$3:$Y$5001,BD!$A$3:$A$5001,T$3,BD!$B$3:$B$5001,$A$5)))</f>
        <v/>
      </c>
      <c r="U28" s="251" t="str">
        <f>IF(U$3="","",IF(COUNTIFS(BD!$A$3:$A$5001,U$3,BD!$B$3:$B$5001,$A$5,BD!$Y$3:$Y$5001,"&lt;&gt;")=0,"",SUMIFS(BD!$Y$3:$Y$5001,BD!$A$3:$A$5001,U$3,BD!$B$3:$B$5001,$A$5)))</f>
        <v/>
      </c>
      <c r="V28" s="251" t="str">
        <f>IF(V$3="","",IF(COUNTIFS(BD!$A$3:$A$5001,V$3,BD!$B$3:$B$5001,$A$5,BD!$Y$3:$Y$5001,"&lt;&gt;")=0,"",SUMIFS(BD!$Y$3:$Y$5001,BD!$A$3:$A$5001,V$3,BD!$B$3:$B$5001,$A$5)))</f>
        <v/>
      </c>
      <c r="W28" s="251" t="str">
        <f>IF(W$3="","",IF(COUNTIFS(BD!$A$3:$A$5001,W$3,BD!$B$3:$B$5001,$A$5,BD!$Y$3:$Y$5001,"&lt;&gt;")=0,"",SUMIFS(BD!$Y$3:$Y$5001,BD!$A$3:$A$5001,W$3,BD!$B$3:$B$5001,$A$5)))</f>
        <v/>
      </c>
      <c r="X28" s="251" t="str">
        <f>IF(X$3="","",IF(COUNTIFS(BD!$A$3:$A$5001,X$3,BD!$B$3:$B$5001,$A$5,BD!$Y$3:$Y$5001,"&lt;&gt;")=0,"",SUMIFS(BD!$Y$3:$Y$5001,BD!$A$3:$A$5001,X$3,BD!$B$3:$B$5001,$A$5)))</f>
        <v/>
      </c>
      <c r="Y28" s="251" t="str">
        <f>IF(Y$3="","",IF(COUNTIFS(BD!$A$3:$A$5001,Y$3,BD!$B$3:$B$5001,$A$5,BD!$Y$3:$Y$5001,"&lt;&gt;")=0,"",SUMIFS(BD!$Y$3:$Y$5001,BD!$A$3:$A$5001,Y$3,BD!$B$3:$B$5001,$A$5)))</f>
        <v/>
      </c>
      <c r="Z28" s="251" t="str">
        <f>IF(Z$3="","",IF(COUNTIFS(BD!$A$3:$A$5001,Z$3,BD!$B$3:$B$5001,$A$5,BD!$Y$3:$Y$5001,"&lt;&gt;")=0,"",SUMIFS(BD!$Y$3:$Y$5001,BD!$A$3:$A$5001,Z$3,BD!$B$3:$B$5001,$A$5)))</f>
        <v/>
      </c>
      <c r="AA28" s="251" t="str">
        <f>IF(AA$3="","",IF(COUNTIFS(BD!$A$3:$A$5001,AA$3,BD!$B$3:$B$5001,$A$5,BD!$Y$3:$Y$5001,"&lt;&gt;")=0,"",SUMIFS(BD!$Y$3:$Y$5001,BD!$A$3:$A$5001,AA$3,BD!$B$3:$B$5001,$A$5)))</f>
        <v/>
      </c>
      <c r="AB28" s="251" t="str">
        <f>IF(AB$3="","",IF(COUNTIFS(BD!$A$3:$A$5001,AB$3,BD!$B$3:$B$5001,$A$5,BD!$Y$3:$Y$5001,"&lt;&gt;")=0,"",SUMIFS(BD!$Y$3:$Y$5001,BD!$A$3:$A$5001,AB$3,BD!$B$3:$B$5001,$A$5)))</f>
        <v/>
      </c>
      <c r="AC28" s="251" t="str">
        <f>IF(AC$3="","",IF(COUNTIFS(BD!$A$3:$A$5001,AC$3,BD!$B$3:$B$5001,$A$5,BD!$Y$3:$Y$5001,"&lt;&gt;")=0,"",SUMIFS(BD!$Y$3:$Y$5001,BD!$A$3:$A$5001,AC$3,BD!$B$3:$B$5001,$A$5)))</f>
        <v/>
      </c>
      <c r="AD28" s="251" t="str">
        <f>IF(AD$3="","",IF(COUNTIFS(BD!$A$3:$A$5001,AD$3,BD!$B$3:$B$5001,$A$5,BD!$Y$3:$Y$5001,"&lt;&gt;")=0,"",SUMIFS(BD!$Y$3:$Y$5001,BD!$A$3:$A$5001,AD$3,BD!$B$3:$B$5001,$A$5)))</f>
        <v/>
      </c>
      <c r="AE28" s="251" t="str">
        <f>IF(AE$3="","",IF(COUNTIFS(BD!$A$3:$A$5001,AE$3,BD!$B$3:$B$5001,$A$5,BD!$Y$3:$Y$5001,"&lt;&gt;")=0,"",SUMIFS(BD!$Y$3:$Y$5001,BD!$A$3:$A$5001,AE$3,BD!$B$3:$B$5001,$A$5)))</f>
        <v/>
      </c>
      <c r="AF28" s="251" t="str">
        <f>IF(AF$3="","",IF(COUNTIFS(BD!$A$3:$A$5001,AF$3,BD!$B$3:$B$5001,$A$5,BD!$Y$3:$Y$5001,"&lt;&gt;")=0,"",SUMIFS(BD!$Y$3:$Y$5001,BD!$A$3:$A$5001,AF$3,BD!$B$3:$B$5001,$A$5)))</f>
        <v/>
      </c>
      <c r="AG28" s="251" t="str">
        <f>IF(AG$3="","",IF(COUNTIFS(BD!$A$3:$A$5001,AG$3,BD!$B$3:$B$5001,$A$5,BD!$Y$3:$Y$5001,"&lt;&gt;")=0,"",SUMIFS(BD!$Y$3:$Y$5001,BD!$A$3:$A$5001,AG$3,BD!$B$3:$B$5001,$A$5)))</f>
        <v/>
      </c>
      <c r="AH28" s="251" t="str">
        <f>IF(AH$3="","",IF(COUNTIFS(BD!$A$3:$A$5001,AH$3,BD!$B$3:$B$5001,$A$5,BD!$Y$3:$Y$5001,"&lt;&gt;")=0,"",SUMIFS(BD!$Y$3:$Y$5001,BD!$A$3:$A$5001,AH$3,BD!$B$3:$B$5001,$A$5)))</f>
        <v/>
      </c>
      <c r="AI28" s="251" t="str">
        <f>IF(AI$3="","",IF(COUNTIFS(BD!$A$3:$A$5001,AI$3,BD!$B$3:$B$5001,$A$5,BD!$Y$3:$Y$5001,"&lt;&gt;")=0,"",SUMIFS(BD!$Y$3:$Y$5001,BD!$A$3:$A$5001,AI$3,BD!$B$3:$B$5001,$A$5)))</f>
        <v/>
      </c>
      <c r="AJ28" s="252" t="str">
        <f>IF(AJ$3="","",IF(COUNTIFS(BD!$A$3:$A$5001,AJ$3,BD!$B$3:$B$5001,$A$5,BD!$Y$3:$Y$5001,"&lt;&gt;")=0,"",SUMIFS(BD!$Y$3:$Y$5001,BD!$A$3:$A$5001,AJ$3,BD!$B$3:$B$5001,$A$5)))</f>
        <v/>
      </c>
      <c r="AK28" s="253" t="str">
        <f>IF(COUNT(F28:AJ28)=0,"",SUM(F28:AJ28))</f>
        <v/>
      </c>
    </row>
    <row r="29" ht="15.75" customHeight="1">
      <c r="A29" s="277"/>
      <c r="B29" s="274"/>
      <c r="C29" s="247" t="inlineStr">
        <is>
          <t xml:space="preserve">Desvios Comportamentais</t>
        </is>
      </c>
      <c r="D29" s="248" t="str">
        <f>IFERROR(1/(1/INDEX(BD!$AF$47:$AZ$47,MATCH($A$5,BD!$AF$22:$AZ$22,0))),"")</f>
        <v/>
      </c>
      <c r="E29" s="249"/>
      <c r="F29" s="250" t="str">
        <f>IF(F$3="","",IF(COUNTIFS(BD!$A$3:$A$5001,F$3,BD!$B$3:$B$5001,$A$5,BD!$Z$3:$Z$5001,"&lt;&gt;")=0,"",SUMIFS(BD!$Z$3:$Z$5001,BD!$A$3:$A$5001,F$3,BD!$B$3:$B$5001,$A$5)))</f>
        <v/>
      </c>
      <c r="G29" s="251" t="str">
        <f>IF(G$3="","",IF(COUNTIFS(BD!$A$3:$A$5001,G$3,BD!$B$3:$B$5001,$A$5,BD!$Z$3:$Z$5001,"&lt;&gt;")=0,"",SUMIFS(BD!$Z$3:$Z$5001,BD!$A$3:$A$5001,G$3,BD!$B$3:$B$5001,$A$5)))</f>
        <v/>
      </c>
      <c r="H29" s="251" t="str">
        <f>IF(H$3="","",IF(COUNTIFS(BD!$A$3:$A$5001,H$3,BD!$B$3:$B$5001,$A$5,BD!$Z$3:$Z$5001,"&lt;&gt;")=0,"",SUMIFS(BD!$Z$3:$Z$5001,BD!$A$3:$A$5001,H$3,BD!$B$3:$B$5001,$A$5)))</f>
        <v/>
      </c>
      <c r="I29" s="251" t="str">
        <f>IF(I$3="","",IF(COUNTIFS(BD!$A$3:$A$5001,I$3,BD!$B$3:$B$5001,$A$5,BD!$Z$3:$Z$5001,"&lt;&gt;")=0,"",SUMIFS(BD!$Z$3:$Z$5001,BD!$A$3:$A$5001,I$3,BD!$B$3:$B$5001,$A$5)))</f>
        <v/>
      </c>
      <c r="J29" s="251" t="str">
        <f>IF(J$3="","",IF(COUNTIFS(BD!$A$3:$A$5001,J$3,BD!$B$3:$B$5001,$A$5,BD!$Z$3:$Z$5001,"&lt;&gt;")=0,"",SUMIFS(BD!$Z$3:$Z$5001,BD!$A$3:$A$5001,J$3,BD!$B$3:$B$5001,$A$5)))</f>
        <v/>
      </c>
      <c r="K29" s="251" t="str">
        <f>IF(K$3="","",IF(COUNTIFS(BD!$A$3:$A$5001,K$3,BD!$B$3:$B$5001,$A$5,BD!$Z$3:$Z$5001,"&lt;&gt;")=0,"",SUMIFS(BD!$Z$3:$Z$5001,BD!$A$3:$A$5001,K$3,BD!$B$3:$B$5001,$A$5)))</f>
        <v/>
      </c>
      <c r="L29" s="251" t="str">
        <f>IF(L$3="","",IF(COUNTIFS(BD!$A$3:$A$5001,L$3,BD!$B$3:$B$5001,$A$5,BD!$Z$3:$Z$5001,"&lt;&gt;")=0,"",SUMIFS(BD!$Z$3:$Z$5001,BD!$A$3:$A$5001,L$3,BD!$B$3:$B$5001,$A$5)))</f>
        <v/>
      </c>
      <c r="M29" s="251" t="str">
        <f>IF(M$3="","",IF(COUNTIFS(BD!$A$3:$A$5001,M$3,BD!$B$3:$B$5001,$A$5,BD!$Z$3:$Z$5001,"&lt;&gt;")=0,"",SUMIFS(BD!$Z$3:$Z$5001,BD!$A$3:$A$5001,M$3,BD!$B$3:$B$5001,$A$5)))</f>
        <v/>
      </c>
      <c r="N29" s="251" t="str">
        <f>IF(N$3="","",IF(COUNTIFS(BD!$A$3:$A$5001,N$3,BD!$B$3:$B$5001,$A$5,BD!$Z$3:$Z$5001,"&lt;&gt;")=0,"",SUMIFS(BD!$Z$3:$Z$5001,BD!$A$3:$A$5001,N$3,BD!$B$3:$B$5001,$A$5)))</f>
        <v/>
      </c>
      <c r="O29" s="251" t="str">
        <f>IF(O$3="","",IF(COUNTIFS(BD!$A$3:$A$5001,O$3,BD!$B$3:$B$5001,$A$5,BD!$Z$3:$Z$5001,"&lt;&gt;")=0,"",SUMIFS(BD!$Z$3:$Z$5001,BD!$A$3:$A$5001,O$3,BD!$B$3:$B$5001,$A$5)))</f>
        <v/>
      </c>
      <c r="P29" s="251" t="str">
        <f>IF(P$3="","",IF(COUNTIFS(BD!$A$3:$A$5001,P$3,BD!$B$3:$B$5001,$A$5,BD!$Z$3:$Z$5001,"&lt;&gt;")=0,"",SUMIFS(BD!$Z$3:$Z$5001,BD!$A$3:$A$5001,P$3,BD!$B$3:$B$5001,$A$5)))</f>
        <v/>
      </c>
      <c r="Q29" s="251" t="str">
        <f>IF(Q$3="","",IF(COUNTIFS(BD!$A$3:$A$5001,Q$3,BD!$B$3:$B$5001,$A$5,BD!$Z$3:$Z$5001,"&lt;&gt;")=0,"",SUMIFS(BD!$Z$3:$Z$5001,BD!$A$3:$A$5001,Q$3,BD!$B$3:$B$5001,$A$5)))</f>
        <v/>
      </c>
      <c r="R29" s="251" t="str">
        <f>IF(R$3="","",IF(COUNTIFS(BD!$A$3:$A$5001,R$3,BD!$B$3:$B$5001,$A$5,BD!$Z$3:$Z$5001,"&lt;&gt;")=0,"",SUMIFS(BD!$Z$3:$Z$5001,BD!$A$3:$A$5001,R$3,BD!$B$3:$B$5001,$A$5)))</f>
        <v/>
      </c>
      <c r="S29" s="251" t="str">
        <f>IF(S$3="","",IF(COUNTIFS(BD!$A$3:$A$5001,S$3,BD!$B$3:$B$5001,$A$5,BD!$Z$3:$Z$5001,"&lt;&gt;")=0,"",SUMIFS(BD!$Z$3:$Z$5001,BD!$A$3:$A$5001,S$3,BD!$B$3:$B$5001,$A$5)))</f>
        <v/>
      </c>
      <c r="T29" s="251" t="str">
        <f>IF(T$3="","",IF(COUNTIFS(BD!$A$3:$A$5001,T$3,BD!$B$3:$B$5001,$A$5,BD!$Z$3:$Z$5001,"&lt;&gt;")=0,"",SUMIFS(BD!$Z$3:$Z$5001,BD!$A$3:$A$5001,T$3,BD!$B$3:$B$5001,$A$5)))</f>
        <v/>
      </c>
      <c r="U29" s="251" t="str">
        <f>IF(U$3="","",IF(COUNTIFS(BD!$A$3:$A$5001,U$3,BD!$B$3:$B$5001,$A$5,BD!$Z$3:$Z$5001,"&lt;&gt;")=0,"",SUMIFS(BD!$Z$3:$Z$5001,BD!$A$3:$A$5001,U$3,BD!$B$3:$B$5001,$A$5)))</f>
        <v/>
      </c>
      <c r="V29" s="251" t="str">
        <f>IF(V$3="","",IF(COUNTIFS(BD!$A$3:$A$5001,V$3,BD!$B$3:$B$5001,$A$5,BD!$Z$3:$Z$5001,"&lt;&gt;")=0,"",SUMIFS(BD!$Z$3:$Z$5001,BD!$A$3:$A$5001,V$3,BD!$B$3:$B$5001,$A$5)))</f>
        <v/>
      </c>
      <c r="W29" s="251" t="str">
        <f>IF(W$3="","",IF(COUNTIFS(BD!$A$3:$A$5001,W$3,BD!$B$3:$B$5001,$A$5,BD!$Z$3:$Z$5001,"&lt;&gt;")=0,"",SUMIFS(BD!$Z$3:$Z$5001,BD!$A$3:$A$5001,W$3,BD!$B$3:$B$5001,$A$5)))</f>
        <v/>
      </c>
      <c r="X29" s="251" t="str">
        <f>IF(X$3="","",IF(COUNTIFS(BD!$A$3:$A$5001,X$3,BD!$B$3:$B$5001,$A$5,BD!$Z$3:$Z$5001,"&lt;&gt;")=0,"",SUMIFS(BD!$Z$3:$Z$5001,BD!$A$3:$A$5001,X$3,BD!$B$3:$B$5001,$A$5)))</f>
        <v/>
      </c>
      <c r="Y29" s="251" t="str">
        <f>IF(Y$3="","",IF(COUNTIFS(BD!$A$3:$A$5001,Y$3,BD!$B$3:$B$5001,$A$5,BD!$Z$3:$Z$5001,"&lt;&gt;")=0,"",SUMIFS(BD!$Z$3:$Z$5001,BD!$A$3:$A$5001,Y$3,BD!$B$3:$B$5001,$A$5)))</f>
        <v/>
      </c>
      <c r="Z29" s="251" t="str">
        <f>IF(Z$3="","",IF(COUNTIFS(BD!$A$3:$A$5001,Z$3,BD!$B$3:$B$5001,$A$5,BD!$Z$3:$Z$5001,"&lt;&gt;")=0,"",SUMIFS(BD!$Z$3:$Z$5001,BD!$A$3:$A$5001,Z$3,BD!$B$3:$B$5001,$A$5)))</f>
        <v/>
      </c>
      <c r="AA29" s="251" t="str">
        <f>IF(AA$3="","",IF(COUNTIFS(BD!$A$3:$A$5001,AA$3,BD!$B$3:$B$5001,$A$5,BD!$Z$3:$Z$5001,"&lt;&gt;")=0,"",SUMIFS(BD!$Z$3:$Z$5001,BD!$A$3:$A$5001,AA$3,BD!$B$3:$B$5001,$A$5)))</f>
        <v/>
      </c>
      <c r="AB29" s="251" t="str">
        <f>IF(AB$3="","",IF(COUNTIFS(BD!$A$3:$A$5001,AB$3,BD!$B$3:$B$5001,$A$5,BD!$Z$3:$Z$5001,"&lt;&gt;")=0,"",SUMIFS(BD!$Z$3:$Z$5001,BD!$A$3:$A$5001,AB$3,BD!$B$3:$B$5001,$A$5)))</f>
        <v/>
      </c>
      <c r="AC29" s="251" t="str">
        <f>IF(AC$3="","",IF(COUNTIFS(BD!$A$3:$A$5001,AC$3,BD!$B$3:$B$5001,$A$5,BD!$Z$3:$Z$5001,"&lt;&gt;")=0,"",SUMIFS(BD!$Z$3:$Z$5001,BD!$A$3:$A$5001,AC$3,BD!$B$3:$B$5001,$A$5)))</f>
        <v/>
      </c>
      <c r="AD29" s="251" t="str">
        <f>IF(AD$3="","",IF(COUNTIFS(BD!$A$3:$A$5001,AD$3,BD!$B$3:$B$5001,$A$5,BD!$Z$3:$Z$5001,"&lt;&gt;")=0,"",SUMIFS(BD!$Z$3:$Z$5001,BD!$A$3:$A$5001,AD$3,BD!$B$3:$B$5001,$A$5)))</f>
        <v/>
      </c>
      <c r="AE29" s="251" t="str">
        <f>IF(AE$3="","",IF(COUNTIFS(BD!$A$3:$A$5001,AE$3,BD!$B$3:$B$5001,$A$5,BD!$Z$3:$Z$5001,"&lt;&gt;")=0,"",SUMIFS(BD!$Z$3:$Z$5001,BD!$A$3:$A$5001,AE$3,BD!$B$3:$B$5001,$A$5)))</f>
        <v/>
      </c>
      <c r="AF29" s="251" t="str">
        <f>IF(AF$3="","",IF(COUNTIFS(BD!$A$3:$A$5001,AF$3,BD!$B$3:$B$5001,$A$5,BD!$Z$3:$Z$5001,"&lt;&gt;")=0,"",SUMIFS(BD!$Z$3:$Z$5001,BD!$A$3:$A$5001,AF$3,BD!$B$3:$B$5001,$A$5)))</f>
        <v/>
      </c>
      <c r="AG29" s="251" t="str">
        <f>IF(AG$3="","",IF(COUNTIFS(BD!$A$3:$A$5001,AG$3,BD!$B$3:$B$5001,$A$5,BD!$Z$3:$Z$5001,"&lt;&gt;")=0,"",SUMIFS(BD!$Z$3:$Z$5001,BD!$A$3:$A$5001,AG$3,BD!$B$3:$B$5001,$A$5)))</f>
        <v/>
      </c>
      <c r="AH29" s="251" t="str">
        <f>IF(AH$3="","",IF(COUNTIFS(BD!$A$3:$A$5001,AH$3,BD!$B$3:$B$5001,$A$5,BD!$Z$3:$Z$5001,"&lt;&gt;")=0,"",SUMIFS(BD!$Z$3:$Z$5001,BD!$A$3:$A$5001,AH$3,BD!$B$3:$B$5001,$A$5)))</f>
        <v/>
      </c>
      <c r="AI29" s="251" t="str">
        <f>IF(AI$3="","",IF(COUNTIFS(BD!$A$3:$A$5001,AI$3,BD!$B$3:$B$5001,$A$5,BD!$Z$3:$Z$5001,"&lt;&gt;")=0,"",SUMIFS(BD!$Z$3:$Z$5001,BD!$A$3:$A$5001,AI$3,BD!$B$3:$B$5001,$A$5)))</f>
        <v/>
      </c>
      <c r="AJ29" s="252" t="str">
        <f>IF(AJ$3="","",IF(COUNTIFS(BD!$A$3:$A$5001,AJ$3,BD!$B$3:$B$5001,$A$5,BD!$Z$3:$Z$5001,"&lt;&gt;")=0,"",SUMIFS(BD!$Z$3:$Z$5001,BD!$A$3:$A$5001,AJ$3,BD!$B$3:$B$5001,$A$5)))</f>
        <v/>
      </c>
      <c r="AK29" s="253" t="str">
        <f>IF(COUNT(F29:AJ29)=0,"",SUM(F29:AJ29))</f>
        <v/>
      </c>
    </row>
    <row r="30" ht="15.75" customHeight="1">
      <c r="A30" s="277"/>
      <c r="B30" s="274"/>
      <c r="C30" s="247" t="inlineStr">
        <is>
          <t xml:space="preserve">Acidentes CAF</t>
        </is>
      </c>
      <c r="D30" s="248" t="str">
        <f>IFERROR(1/(1/INDEX(BD!$AF$48:$AZ$48,MATCH($A$5,BD!$AF$22:$AZ$22,0))),"")</f>
        <v/>
      </c>
      <c r="E30" s="249"/>
      <c r="F30" s="250" t="str">
        <f>IF(F$3="","",IF(COUNTIFS(BD!$A$3:$A$5001,F$3,BD!$B$3:$B$5001,$A$5,BD!$AA$3:$AA$5001,"&lt;&gt;")=0,"",SUMIFS(BD!$AA$3:$AA$5001,BD!$A$3:$A$5001,F$3,BD!$B$3:$B$5001,$A$5)))</f>
        <v/>
      </c>
      <c r="G30" s="251" t="str">
        <f>IF(G$3="","",IF(COUNTIFS(BD!$A$3:$A$5001,G$3,BD!$B$3:$B$5001,$A$5,BD!$AA$3:$AA$5001,"&lt;&gt;")=0,"",SUMIFS(BD!$AA$3:$AA$5001,BD!$A$3:$A$5001,G$3,BD!$B$3:$B$5001,$A$5)))</f>
        <v/>
      </c>
      <c r="H30" s="251" t="str">
        <f>IF(H$3="","",IF(COUNTIFS(BD!$A$3:$A$5001,H$3,BD!$B$3:$B$5001,$A$5,BD!$AA$3:$AA$5001,"&lt;&gt;")=0,"",SUMIFS(BD!$AA$3:$AA$5001,BD!$A$3:$A$5001,H$3,BD!$B$3:$B$5001,$A$5)))</f>
        <v/>
      </c>
      <c r="I30" s="251" t="str">
        <f>IF(I$3="","",IF(COUNTIFS(BD!$A$3:$A$5001,I$3,BD!$B$3:$B$5001,$A$5,BD!$AA$3:$AA$5001,"&lt;&gt;")=0,"",SUMIFS(BD!$AA$3:$AA$5001,BD!$A$3:$A$5001,I$3,BD!$B$3:$B$5001,$A$5)))</f>
        <v/>
      </c>
      <c r="J30" s="251" t="str">
        <f>IF(J$3="","",IF(COUNTIFS(BD!$A$3:$A$5001,J$3,BD!$B$3:$B$5001,$A$5,BD!$AA$3:$AA$5001,"&lt;&gt;")=0,"",SUMIFS(BD!$AA$3:$AA$5001,BD!$A$3:$A$5001,J$3,BD!$B$3:$B$5001,$A$5)))</f>
        <v/>
      </c>
      <c r="K30" s="251" t="str">
        <f>IF(K$3="","",IF(COUNTIFS(BD!$A$3:$A$5001,K$3,BD!$B$3:$B$5001,$A$5,BD!$AA$3:$AA$5001,"&lt;&gt;")=0,"",SUMIFS(BD!$AA$3:$AA$5001,BD!$A$3:$A$5001,K$3,BD!$B$3:$B$5001,$A$5)))</f>
        <v/>
      </c>
      <c r="L30" s="251" t="str">
        <f>IF(L$3="","",IF(COUNTIFS(BD!$A$3:$A$5001,L$3,BD!$B$3:$B$5001,$A$5,BD!$AA$3:$AA$5001,"&lt;&gt;")=0,"",SUMIFS(BD!$AA$3:$AA$5001,BD!$A$3:$A$5001,L$3,BD!$B$3:$B$5001,$A$5)))</f>
        <v/>
      </c>
      <c r="M30" s="251" t="str">
        <f>IF(M$3="","",IF(COUNTIFS(BD!$A$3:$A$5001,M$3,BD!$B$3:$B$5001,$A$5,BD!$AA$3:$AA$5001,"&lt;&gt;")=0,"",SUMIFS(BD!$AA$3:$AA$5001,BD!$A$3:$A$5001,M$3,BD!$B$3:$B$5001,$A$5)))</f>
        <v/>
      </c>
      <c r="N30" s="251" t="str">
        <f>IF(N$3="","",IF(COUNTIFS(BD!$A$3:$A$5001,N$3,BD!$B$3:$B$5001,$A$5,BD!$AA$3:$AA$5001,"&lt;&gt;")=0,"",SUMIFS(BD!$AA$3:$AA$5001,BD!$A$3:$A$5001,N$3,BD!$B$3:$B$5001,$A$5)))</f>
        <v/>
      </c>
      <c r="O30" s="251" t="str">
        <f>IF(O$3="","",IF(COUNTIFS(BD!$A$3:$A$5001,O$3,BD!$B$3:$B$5001,$A$5,BD!$AA$3:$AA$5001,"&lt;&gt;")=0,"",SUMIFS(BD!$AA$3:$AA$5001,BD!$A$3:$A$5001,O$3,BD!$B$3:$B$5001,$A$5)))</f>
        <v/>
      </c>
      <c r="P30" s="251" t="str">
        <f>IF(P$3="","",IF(COUNTIFS(BD!$A$3:$A$5001,P$3,BD!$B$3:$B$5001,$A$5,BD!$AA$3:$AA$5001,"&lt;&gt;")=0,"",SUMIFS(BD!$AA$3:$AA$5001,BD!$A$3:$A$5001,P$3,BD!$B$3:$B$5001,$A$5)))</f>
        <v/>
      </c>
      <c r="Q30" s="251" t="str">
        <f>IF(Q$3="","",IF(COUNTIFS(BD!$A$3:$A$5001,Q$3,BD!$B$3:$B$5001,$A$5,BD!$AA$3:$AA$5001,"&lt;&gt;")=0,"",SUMIFS(BD!$AA$3:$AA$5001,BD!$A$3:$A$5001,Q$3,BD!$B$3:$B$5001,$A$5)))</f>
        <v/>
      </c>
      <c r="R30" s="251" t="str">
        <f>IF(R$3="","",IF(COUNTIFS(BD!$A$3:$A$5001,R$3,BD!$B$3:$B$5001,$A$5,BD!$AA$3:$AA$5001,"&lt;&gt;")=0,"",SUMIFS(BD!$AA$3:$AA$5001,BD!$A$3:$A$5001,R$3,BD!$B$3:$B$5001,$A$5)))</f>
        <v/>
      </c>
      <c r="S30" s="251" t="str">
        <f>IF(S$3="","",IF(COUNTIFS(BD!$A$3:$A$5001,S$3,BD!$B$3:$B$5001,$A$5,BD!$AA$3:$AA$5001,"&lt;&gt;")=0,"",SUMIFS(BD!$AA$3:$AA$5001,BD!$A$3:$A$5001,S$3,BD!$B$3:$B$5001,$A$5)))</f>
        <v/>
      </c>
      <c r="T30" s="251" t="str">
        <f>IF(T$3="","",IF(COUNTIFS(BD!$A$3:$A$5001,T$3,BD!$B$3:$B$5001,$A$5,BD!$AA$3:$AA$5001,"&lt;&gt;")=0,"",SUMIFS(BD!$AA$3:$AA$5001,BD!$A$3:$A$5001,T$3,BD!$B$3:$B$5001,$A$5)))</f>
        <v/>
      </c>
      <c r="U30" s="251" t="str">
        <f>IF(U$3="","",IF(COUNTIFS(BD!$A$3:$A$5001,U$3,BD!$B$3:$B$5001,$A$5,BD!$AA$3:$AA$5001,"&lt;&gt;")=0,"",SUMIFS(BD!$AA$3:$AA$5001,BD!$A$3:$A$5001,U$3,BD!$B$3:$B$5001,$A$5)))</f>
        <v/>
      </c>
      <c r="V30" s="251" t="str">
        <f>IF(V$3="","",IF(COUNTIFS(BD!$A$3:$A$5001,V$3,BD!$B$3:$B$5001,$A$5,BD!$AA$3:$AA$5001,"&lt;&gt;")=0,"",SUMIFS(BD!$AA$3:$AA$5001,BD!$A$3:$A$5001,V$3,BD!$B$3:$B$5001,$A$5)))</f>
        <v/>
      </c>
      <c r="W30" s="251" t="str">
        <f>IF(W$3="","",IF(COUNTIFS(BD!$A$3:$A$5001,W$3,BD!$B$3:$B$5001,$A$5,BD!$AA$3:$AA$5001,"&lt;&gt;")=0,"",SUMIFS(BD!$AA$3:$AA$5001,BD!$A$3:$A$5001,W$3,BD!$B$3:$B$5001,$A$5)))</f>
        <v/>
      </c>
      <c r="X30" s="251" t="str">
        <f>IF(X$3="","",IF(COUNTIFS(BD!$A$3:$A$5001,X$3,BD!$B$3:$B$5001,$A$5,BD!$AA$3:$AA$5001,"&lt;&gt;")=0,"",SUMIFS(BD!$AA$3:$AA$5001,BD!$A$3:$A$5001,X$3,BD!$B$3:$B$5001,$A$5)))</f>
        <v/>
      </c>
      <c r="Y30" s="251" t="str">
        <f>IF(Y$3="","",IF(COUNTIFS(BD!$A$3:$A$5001,Y$3,BD!$B$3:$B$5001,$A$5,BD!$AA$3:$AA$5001,"&lt;&gt;")=0,"",SUMIFS(BD!$AA$3:$AA$5001,BD!$A$3:$A$5001,Y$3,BD!$B$3:$B$5001,$A$5)))</f>
        <v/>
      </c>
      <c r="Z30" s="251" t="str">
        <f>IF(Z$3="","",IF(COUNTIFS(BD!$A$3:$A$5001,Z$3,BD!$B$3:$B$5001,$A$5,BD!$AA$3:$AA$5001,"&lt;&gt;")=0,"",SUMIFS(BD!$AA$3:$AA$5001,BD!$A$3:$A$5001,Z$3,BD!$B$3:$B$5001,$A$5)))</f>
        <v/>
      </c>
      <c r="AA30" s="251" t="str">
        <f>IF(AA$3="","",IF(COUNTIFS(BD!$A$3:$A$5001,AA$3,BD!$B$3:$B$5001,$A$5,BD!$AA$3:$AA$5001,"&lt;&gt;")=0,"",SUMIFS(BD!$AA$3:$AA$5001,BD!$A$3:$A$5001,AA$3,BD!$B$3:$B$5001,$A$5)))</f>
        <v/>
      </c>
      <c r="AB30" s="251" t="str">
        <f>IF(AB$3="","",IF(COUNTIFS(BD!$A$3:$A$5001,AB$3,BD!$B$3:$B$5001,$A$5,BD!$AA$3:$AA$5001,"&lt;&gt;")=0,"",SUMIFS(BD!$AA$3:$AA$5001,BD!$A$3:$A$5001,AB$3,BD!$B$3:$B$5001,$A$5)))</f>
        <v/>
      </c>
      <c r="AC30" s="251" t="str">
        <f>IF(AC$3="","",IF(COUNTIFS(BD!$A$3:$A$5001,AC$3,BD!$B$3:$B$5001,$A$5,BD!$AA$3:$AA$5001,"&lt;&gt;")=0,"",SUMIFS(BD!$AA$3:$AA$5001,BD!$A$3:$A$5001,AC$3,BD!$B$3:$B$5001,$A$5)))</f>
        <v/>
      </c>
      <c r="AD30" s="251" t="str">
        <f>IF(AD$3="","",IF(COUNTIFS(BD!$A$3:$A$5001,AD$3,BD!$B$3:$B$5001,$A$5,BD!$AA$3:$AA$5001,"&lt;&gt;")=0,"",SUMIFS(BD!$AA$3:$AA$5001,BD!$A$3:$A$5001,AD$3,BD!$B$3:$B$5001,$A$5)))</f>
        <v/>
      </c>
      <c r="AE30" s="251" t="str">
        <f>IF(AE$3="","",IF(COUNTIFS(BD!$A$3:$A$5001,AE$3,BD!$B$3:$B$5001,$A$5,BD!$AA$3:$AA$5001,"&lt;&gt;")=0,"",SUMIFS(BD!$AA$3:$AA$5001,BD!$A$3:$A$5001,AE$3,BD!$B$3:$B$5001,$A$5)))</f>
        <v/>
      </c>
      <c r="AF30" s="251" t="str">
        <f>IF(AF$3="","",IF(COUNTIFS(BD!$A$3:$A$5001,AF$3,BD!$B$3:$B$5001,$A$5,BD!$AA$3:$AA$5001,"&lt;&gt;")=0,"",SUMIFS(BD!$AA$3:$AA$5001,BD!$A$3:$A$5001,AF$3,BD!$B$3:$B$5001,$A$5)))</f>
        <v/>
      </c>
      <c r="AG30" s="251" t="str">
        <f>IF(AG$3="","",IF(COUNTIFS(BD!$A$3:$A$5001,AG$3,BD!$B$3:$B$5001,$A$5,BD!$AA$3:$AA$5001,"&lt;&gt;")=0,"",SUMIFS(BD!$AA$3:$AA$5001,BD!$A$3:$A$5001,AG$3,BD!$B$3:$B$5001,$A$5)))</f>
        <v/>
      </c>
      <c r="AH30" s="251" t="str">
        <f>IF(AH$3="","",IF(COUNTIFS(BD!$A$3:$A$5001,AH$3,BD!$B$3:$B$5001,$A$5,BD!$AA$3:$AA$5001,"&lt;&gt;")=0,"",SUMIFS(BD!$AA$3:$AA$5001,BD!$A$3:$A$5001,AH$3,BD!$B$3:$B$5001,$A$5)))</f>
        <v/>
      </c>
      <c r="AI30" s="251" t="str">
        <f>IF(AI$3="","",IF(COUNTIFS(BD!$A$3:$A$5001,AI$3,BD!$B$3:$B$5001,$A$5,BD!$AA$3:$AA$5001,"&lt;&gt;")=0,"",SUMIFS(BD!$AA$3:$AA$5001,BD!$A$3:$A$5001,AI$3,BD!$B$3:$B$5001,$A$5)))</f>
        <v/>
      </c>
      <c r="AJ30" s="252" t="str">
        <f>IF(AJ$3="","",IF(COUNTIFS(BD!$A$3:$A$5001,AJ$3,BD!$B$3:$B$5001,$A$5,BD!$AA$3:$AA$5001,"&lt;&gt;")=0,"",SUMIFS(BD!$AA$3:$AA$5001,BD!$A$3:$A$5001,AJ$3,BD!$B$3:$B$5001,$A$5)))</f>
        <v/>
      </c>
      <c r="AK30" s="253" t="str">
        <f>IF(COUNT(F30:AJ30)=0,"",SUM(F30:AJ30))</f>
        <v/>
      </c>
    </row>
    <row r="31" ht="15.75" customHeight="1">
      <c r="A31" s="278"/>
      <c r="B31" s="275"/>
      <c r="C31" s="258" t="inlineStr">
        <is>
          <t xml:space="preserve">Acidentes SAF</t>
        </is>
      </c>
      <c r="D31" s="259" t="str">
        <f>IFERROR(1/(1/INDEX(BD!$AF$49:$AZ$49,MATCH($A$5,BD!$AF$22:$AZ$22,0))),"")</f>
        <v/>
      </c>
      <c r="E31" s="260"/>
      <c r="F31" s="261" t="str">
        <f>IF(F$3="","",IF(COUNTIFS(BD!$A$3:$A$5001,F$3,BD!$B$3:$B$5001,$A$5,BD!$AB$3:$AB$5001,"&lt;&gt;")=0,"",SUMIFS(BD!$AB$3:$AB$5001,BD!$A$3:$A$5001,F$3,BD!$B$3:$B$5001,$A$5)))</f>
        <v/>
      </c>
      <c r="G31" s="262" t="str">
        <f>IF(G$3="","",IF(COUNTIFS(BD!$A$3:$A$5001,G$3,BD!$B$3:$B$5001,$A$5,BD!$AB$3:$AB$5001,"&lt;&gt;")=0,"",SUMIFS(BD!$AB$3:$AB$5001,BD!$A$3:$A$5001,G$3,BD!$B$3:$B$5001,$A$5)))</f>
        <v/>
      </c>
      <c r="H31" s="262" t="str">
        <f>IF(H$3="","",IF(COUNTIFS(BD!$A$3:$A$5001,H$3,BD!$B$3:$B$5001,$A$5,BD!$AB$3:$AB$5001,"&lt;&gt;")=0,"",SUMIFS(BD!$AB$3:$AB$5001,BD!$A$3:$A$5001,H$3,BD!$B$3:$B$5001,$A$5)))</f>
        <v/>
      </c>
      <c r="I31" s="262" t="str">
        <f>IF(I$3="","",IF(COUNTIFS(BD!$A$3:$A$5001,I$3,BD!$B$3:$B$5001,$A$5,BD!$AB$3:$AB$5001,"&lt;&gt;")=0,"",SUMIFS(BD!$AB$3:$AB$5001,BD!$A$3:$A$5001,I$3,BD!$B$3:$B$5001,$A$5)))</f>
        <v/>
      </c>
      <c r="J31" s="262" t="str">
        <f>IF(J$3="","",IF(COUNTIFS(BD!$A$3:$A$5001,J$3,BD!$B$3:$B$5001,$A$5,BD!$AB$3:$AB$5001,"&lt;&gt;")=0,"",SUMIFS(BD!$AB$3:$AB$5001,BD!$A$3:$A$5001,J$3,BD!$B$3:$B$5001,$A$5)))</f>
        <v/>
      </c>
      <c r="K31" s="262" t="str">
        <f>IF(K$3="","",IF(COUNTIFS(BD!$A$3:$A$5001,K$3,BD!$B$3:$B$5001,$A$5,BD!$AB$3:$AB$5001,"&lt;&gt;")=0,"",SUMIFS(BD!$AB$3:$AB$5001,BD!$A$3:$A$5001,K$3,BD!$B$3:$B$5001,$A$5)))</f>
        <v/>
      </c>
      <c r="L31" s="262" t="str">
        <f>IF(L$3="","",IF(COUNTIFS(BD!$A$3:$A$5001,L$3,BD!$B$3:$B$5001,$A$5,BD!$AB$3:$AB$5001,"&lt;&gt;")=0,"",SUMIFS(BD!$AB$3:$AB$5001,BD!$A$3:$A$5001,L$3,BD!$B$3:$B$5001,$A$5)))</f>
        <v/>
      </c>
      <c r="M31" s="262" t="str">
        <f>IF(M$3="","",IF(COUNTIFS(BD!$A$3:$A$5001,M$3,BD!$B$3:$B$5001,$A$5,BD!$AB$3:$AB$5001,"&lt;&gt;")=0,"",SUMIFS(BD!$AB$3:$AB$5001,BD!$A$3:$A$5001,M$3,BD!$B$3:$B$5001,$A$5)))</f>
        <v/>
      </c>
      <c r="N31" s="262" t="str">
        <f>IF(N$3="","",IF(COUNTIFS(BD!$A$3:$A$5001,N$3,BD!$B$3:$B$5001,$A$5,BD!$AB$3:$AB$5001,"&lt;&gt;")=0,"",SUMIFS(BD!$AB$3:$AB$5001,BD!$A$3:$A$5001,N$3,BD!$B$3:$B$5001,$A$5)))</f>
        <v/>
      </c>
      <c r="O31" s="262" t="str">
        <f>IF(O$3="","",IF(COUNTIFS(BD!$A$3:$A$5001,O$3,BD!$B$3:$B$5001,$A$5,BD!$AB$3:$AB$5001,"&lt;&gt;")=0,"",SUMIFS(BD!$AB$3:$AB$5001,BD!$A$3:$A$5001,O$3,BD!$B$3:$B$5001,$A$5)))</f>
        <v/>
      </c>
      <c r="P31" s="262" t="str">
        <f>IF(P$3="","",IF(COUNTIFS(BD!$A$3:$A$5001,P$3,BD!$B$3:$B$5001,$A$5,BD!$AB$3:$AB$5001,"&lt;&gt;")=0,"",SUMIFS(BD!$AB$3:$AB$5001,BD!$A$3:$A$5001,P$3,BD!$B$3:$B$5001,$A$5)))</f>
        <v/>
      </c>
      <c r="Q31" s="262" t="str">
        <f>IF(Q$3="","",IF(COUNTIFS(BD!$A$3:$A$5001,Q$3,BD!$B$3:$B$5001,$A$5,BD!$AB$3:$AB$5001,"&lt;&gt;")=0,"",SUMIFS(BD!$AB$3:$AB$5001,BD!$A$3:$A$5001,Q$3,BD!$B$3:$B$5001,$A$5)))</f>
        <v/>
      </c>
      <c r="R31" s="262" t="str">
        <f>IF(R$3="","",IF(COUNTIFS(BD!$A$3:$A$5001,R$3,BD!$B$3:$B$5001,$A$5,BD!$AB$3:$AB$5001,"&lt;&gt;")=0,"",SUMIFS(BD!$AB$3:$AB$5001,BD!$A$3:$A$5001,R$3,BD!$B$3:$B$5001,$A$5)))</f>
        <v/>
      </c>
      <c r="S31" s="262" t="str">
        <f>IF(S$3="","",IF(COUNTIFS(BD!$A$3:$A$5001,S$3,BD!$B$3:$B$5001,$A$5,BD!$AB$3:$AB$5001,"&lt;&gt;")=0,"",SUMIFS(BD!$AB$3:$AB$5001,BD!$A$3:$A$5001,S$3,BD!$B$3:$B$5001,$A$5)))</f>
        <v/>
      </c>
      <c r="T31" s="262" t="str">
        <f>IF(T$3="","",IF(COUNTIFS(BD!$A$3:$A$5001,T$3,BD!$B$3:$B$5001,$A$5,BD!$AB$3:$AB$5001,"&lt;&gt;")=0,"",SUMIFS(BD!$AB$3:$AB$5001,BD!$A$3:$A$5001,T$3,BD!$B$3:$B$5001,$A$5)))</f>
        <v/>
      </c>
      <c r="U31" s="262" t="str">
        <f>IF(U$3="","",IF(COUNTIFS(BD!$A$3:$A$5001,U$3,BD!$B$3:$B$5001,$A$5,BD!$AB$3:$AB$5001,"&lt;&gt;")=0,"",SUMIFS(BD!$AB$3:$AB$5001,BD!$A$3:$A$5001,U$3,BD!$B$3:$B$5001,$A$5)))</f>
        <v/>
      </c>
      <c r="V31" s="262" t="str">
        <f>IF(V$3="","",IF(COUNTIFS(BD!$A$3:$A$5001,V$3,BD!$B$3:$B$5001,$A$5,BD!$AB$3:$AB$5001,"&lt;&gt;")=0,"",SUMIFS(BD!$AB$3:$AB$5001,BD!$A$3:$A$5001,V$3,BD!$B$3:$B$5001,$A$5)))</f>
        <v/>
      </c>
      <c r="W31" s="262" t="str">
        <f>IF(W$3="","",IF(COUNTIFS(BD!$A$3:$A$5001,W$3,BD!$B$3:$B$5001,$A$5,BD!$AB$3:$AB$5001,"&lt;&gt;")=0,"",SUMIFS(BD!$AB$3:$AB$5001,BD!$A$3:$A$5001,W$3,BD!$B$3:$B$5001,$A$5)))</f>
        <v/>
      </c>
      <c r="X31" s="262" t="str">
        <f>IF(X$3="","",IF(COUNTIFS(BD!$A$3:$A$5001,X$3,BD!$B$3:$B$5001,$A$5,BD!$AB$3:$AB$5001,"&lt;&gt;")=0,"",SUMIFS(BD!$AB$3:$AB$5001,BD!$A$3:$A$5001,X$3,BD!$B$3:$B$5001,$A$5)))</f>
        <v/>
      </c>
      <c r="Y31" s="262" t="str">
        <f>IF(Y$3="","",IF(COUNTIFS(BD!$A$3:$A$5001,Y$3,BD!$B$3:$B$5001,$A$5,BD!$AB$3:$AB$5001,"&lt;&gt;")=0,"",SUMIFS(BD!$AB$3:$AB$5001,BD!$A$3:$A$5001,Y$3,BD!$B$3:$B$5001,$A$5)))</f>
        <v/>
      </c>
      <c r="Z31" s="262" t="str">
        <f>IF(Z$3="","",IF(COUNTIFS(BD!$A$3:$A$5001,Z$3,BD!$B$3:$B$5001,$A$5,BD!$AB$3:$AB$5001,"&lt;&gt;")=0,"",SUMIFS(BD!$AB$3:$AB$5001,BD!$A$3:$A$5001,Z$3,BD!$B$3:$B$5001,$A$5)))</f>
        <v/>
      </c>
      <c r="AA31" s="262" t="str">
        <f>IF(AA$3="","",IF(COUNTIFS(BD!$A$3:$A$5001,AA$3,BD!$B$3:$B$5001,$A$5,BD!$AB$3:$AB$5001,"&lt;&gt;")=0,"",SUMIFS(BD!$AB$3:$AB$5001,BD!$A$3:$A$5001,AA$3,BD!$B$3:$B$5001,$A$5)))</f>
        <v/>
      </c>
      <c r="AB31" s="262" t="str">
        <f>IF(AB$3="","",IF(COUNTIFS(BD!$A$3:$A$5001,AB$3,BD!$B$3:$B$5001,$A$5,BD!$AB$3:$AB$5001,"&lt;&gt;")=0,"",SUMIFS(BD!$AB$3:$AB$5001,BD!$A$3:$A$5001,AB$3,BD!$B$3:$B$5001,$A$5)))</f>
        <v/>
      </c>
      <c r="AC31" s="262" t="str">
        <f>IF(AC$3="","",IF(COUNTIFS(BD!$A$3:$A$5001,AC$3,BD!$B$3:$B$5001,$A$5,BD!$AB$3:$AB$5001,"&lt;&gt;")=0,"",SUMIFS(BD!$AB$3:$AB$5001,BD!$A$3:$A$5001,AC$3,BD!$B$3:$B$5001,$A$5)))</f>
        <v/>
      </c>
      <c r="AD31" s="262" t="str">
        <f>IF(AD$3="","",IF(COUNTIFS(BD!$A$3:$A$5001,AD$3,BD!$B$3:$B$5001,$A$5,BD!$AB$3:$AB$5001,"&lt;&gt;")=0,"",SUMIFS(BD!$AB$3:$AB$5001,BD!$A$3:$A$5001,AD$3,BD!$B$3:$B$5001,$A$5)))</f>
        <v/>
      </c>
      <c r="AE31" s="262" t="str">
        <f>IF(AE$3="","",IF(COUNTIFS(BD!$A$3:$A$5001,AE$3,BD!$B$3:$B$5001,$A$5,BD!$AB$3:$AB$5001,"&lt;&gt;")=0,"",SUMIFS(BD!$AB$3:$AB$5001,BD!$A$3:$A$5001,AE$3,BD!$B$3:$B$5001,$A$5)))</f>
        <v/>
      </c>
      <c r="AF31" s="262" t="str">
        <f>IF(AF$3="","",IF(COUNTIFS(BD!$A$3:$A$5001,AF$3,BD!$B$3:$B$5001,$A$5,BD!$AB$3:$AB$5001,"&lt;&gt;")=0,"",SUMIFS(BD!$AB$3:$AB$5001,BD!$A$3:$A$5001,AF$3,BD!$B$3:$B$5001,$A$5)))</f>
        <v/>
      </c>
      <c r="AG31" s="262" t="str">
        <f>IF(AG$3="","",IF(COUNTIFS(BD!$A$3:$A$5001,AG$3,BD!$B$3:$B$5001,$A$5,BD!$AB$3:$AB$5001,"&lt;&gt;")=0,"",SUMIFS(BD!$AB$3:$AB$5001,BD!$A$3:$A$5001,AG$3,BD!$B$3:$B$5001,$A$5)))</f>
        <v/>
      </c>
      <c r="AH31" s="262" t="str">
        <f>IF(AH$3="","",IF(COUNTIFS(BD!$A$3:$A$5001,AH$3,BD!$B$3:$B$5001,$A$5,BD!$AB$3:$AB$5001,"&lt;&gt;")=0,"",SUMIFS(BD!$AB$3:$AB$5001,BD!$A$3:$A$5001,AH$3,BD!$B$3:$B$5001,$A$5)))</f>
        <v/>
      </c>
      <c r="AI31" s="262" t="str">
        <f>IF(AI$3="","",IF(COUNTIFS(BD!$A$3:$A$5001,AI$3,BD!$B$3:$B$5001,$A$5,BD!$AB$3:$AB$5001,"&lt;&gt;")=0,"",SUMIFS(BD!$AB$3:$AB$5001,BD!$A$3:$A$5001,AI$3,BD!$B$3:$B$5001,$A$5)))</f>
        <v/>
      </c>
      <c r="AJ31" s="263" t="str">
        <f>IF(AJ$3="","",IF(COUNTIFS(BD!$A$3:$A$5001,AJ$3,BD!$B$3:$B$5001,$A$5,BD!$AB$3:$AB$5001,"&lt;&gt;")=0,"",SUMIFS(BD!$AB$3:$AB$5001,BD!$A$3:$A$5001,AJ$3,BD!$B$3:$B$5001,$A$5)))</f>
        <v/>
      </c>
      <c r="AK31" s="259" t="str">
        <f>IF(COUNT(F31:AJ31)=0,"",SUM(F31:AJ31))</f>
        <v/>
      </c>
    </row>
    <row r="33" ht="15.75" customHeight="1">
      <c r="A33" s="276" t="inlineStr">
        <is>
          <t xml:space="preserve">GM</t>
        </is>
      </c>
      <c r="B33" s="267" t="inlineStr">
        <is>
          <t xml:space="preserve">OUT</t>
        </is>
      </c>
      <c r="C33" s="192" t="inlineStr">
        <is>
          <t xml:space="preserve">Veículos Expedidos</t>
        </is>
      </c>
      <c r="D33" s="193" t="str">
        <f>IFERROR(1/(1/INDEX(BD!$AF$28:$AZ$28,MATCH($A$33,BD!$AF$22:$AZ$22,0))),"")</f>
        <v/>
      </c>
      <c r="E33" s="194"/>
      <c r="F33" s="195" t="str">
        <f>IF(F$3="","",IF(COUNTIFS(BD!$A$3:$A$5001,F$3,BD!$B$3:$B$5001,$A$33,BD!$H$3:$H$5001,"&lt;&gt;")=0,"",SUMIFS(BD!$H$3:$H$5001,BD!$A$3:$A$5001,F$3,BD!$B$3:$B$5001,$A$33)))</f>
        <v/>
      </c>
      <c r="G33" s="196" t="str">
        <f>IF(G$3="","",IF(COUNTIFS(BD!$A$3:$A$5001,G$3,BD!$B$3:$B$5001,$A$33,BD!$H$3:$H$5001,"&lt;&gt;")=0,"",SUMIFS(BD!$H$3:$H$5001,BD!$A$3:$A$5001,G$3,BD!$B$3:$B$5001,$A$33)))</f>
        <v/>
      </c>
      <c r="H33" s="196" t="str">
        <f>IF(H$3="","",IF(COUNTIFS(BD!$A$3:$A$5001,H$3,BD!$B$3:$B$5001,$A$33,BD!$H$3:$H$5001,"&lt;&gt;")=0,"",SUMIFS(BD!$H$3:$H$5001,BD!$A$3:$A$5001,H$3,BD!$B$3:$B$5001,$A$33)))</f>
        <v/>
      </c>
      <c r="I33" s="196" t="str">
        <f>IF(I$3="","",IF(COUNTIFS(BD!$A$3:$A$5001,I$3,BD!$B$3:$B$5001,$A$33,BD!$H$3:$H$5001,"&lt;&gt;")=0,"",SUMIFS(BD!$H$3:$H$5001,BD!$A$3:$A$5001,I$3,BD!$B$3:$B$5001,$A$33)))</f>
        <v/>
      </c>
      <c r="J33" s="196" t="str">
        <f>IF(J$3="","",IF(COUNTIFS(BD!$A$3:$A$5001,J$3,BD!$B$3:$B$5001,$A$33,BD!$H$3:$H$5001,"&lt;&gt;")=0,"",SUMIFS(BD!$H$3:$H$5001,BD!$A$3:$A$5001,J$3,BD!$B$3:$B$5001,$A$33)))</f>
        <v/>
      </c>
      <c r="K33" s="196" t="str">
        <f>IF(K$3="","",IF(COUNTIFS(BD!$A$3:$A$5001,K$3,BD!$B$3:$B$5001,$A$33,BD!$H$3:$H$5001,"&lt;&gt;")=0,"",SUMIFS(BD!$H$3:$H$5001,BD!$A$3:$A$5001,K$3,BD!$B$3:$B$5001,$A$33)))</f>
        <v/>
      </c>
      <c r="L33" s="196" t="str">
        <f>IF(L$3="","",IF(COUNTIFS(BD!$A$3:$A$5001,L$3,BD!$B$3:$B$5001,$A$33,BD!$H$3:$H$5001,"&lt;&gt;")=0,"",SUMIFS(BD!$H$3:$H$5001,BD!$A$3:$A$5001,L$3,BD!$B$3:$B$5001,$A$33)))</f>
        <v/>
      </c>
      <c r="M33" s="196" t="str">
        <f>IF(M$3="","",IF(COUNTIFS(BD!$A$3:$A$5001,M$3,BD!$B$3:$B$5001,$A$33,BD!$H$3:$H$5001,"&lt;&gt;")=0,"",SUMIFS(BD!$H$3:$H$5001,BD!$A$3:$A$5001,M$3,BD!$B$3:$B$5001,$A$33)))</f>
        <v/>
      </c>
      <c r="N33" s="196" t="str">
        <f>IF(N$3="","",IF(COUNTIFS(BD!$A$3:$A$5001,N$3,BD!$B$3:$B$5001,$A$33,BD!$H$3:$H$5001,"&lt;&gt;")=0,"",SUMIFS(BD!$H$3:$H$5001,BD!$A$3:$A$5001,N$3,BD!$B$3:$B$5001,$A$33)))</f>
        <v/>
      </c>
      <c r="O33" s="196" t="str">
        <f>IF(O$3="","",IF(COUNTIFS(BD!$A$3:$A$5001,O$3,BD!$B$3:$B$5001,$A$33,BD!$H$3:$H$5001,"&lt;&gt;")=0,"",SUMIFS(BD!$H$3:$H$5001,BD!$A$3:$A$5001,O$3,BD!$B$3:$B$5001,$A$33)))</f>
        <v/>
      </c>
      <c r="P33" s="196" t="str">
        <f>IF(P$3="","",IF(COUNTIFS(BD!$A$3:$A$5001,P$3,BD!$B$3:$B$5001,$A$33,BD!$H$3:$H$5001,"&lt;&gt;")=0,"",SUMIFS(BD!$H$3:$H$5001,BD!$A$3:$A$5001,P$3,BD!$B$3:$B$5001,$A$33)))</f>
        <v/>
      </c>
      <c r="Q33" s="196" t="str">
        <f>IF(Q$3="","",IF(COUNTIFS(BD!$A$3:$A$5001,Q$3,BD!$B$3:$B$5001,$A$33,BD!$H$3:$H$5001,"&lt;&gt;")=0,"",SUMIFS(BD!$H$3:$H$5001,BD!$A$3:$A$5001,Q$3,BD!$B$3:$B$5001,$A$33)))</f>
        <v/>
      </c>
      <c r="R33" s="196" t="str">
        <f>IF(R$3="","",IF(COUNTIFS(BD!$A$3:$A$5001,R$3,BD!$B$3:$B$5001,$A$33,BD!$H$3:$H$5001,"&lt;&gt;")=0,"",SUMIFS(BD!$H$3:$H$5001,BD!$A$3:$A$5001,R$3,BD!$B$3:$B$5001,$A$33)))</f>
        <v/>
      </c>
      <c r="S33" s="196" t="str">
        <f>IF(S$3="","",IF(COUNTIFS(BD!$A$3:$A$5001,S$3,BD!$B$3:$B$5001,$A$33,BD!$H$3:$H$5001,"&lt;&gt;")=0,"",SUMIFS(BD!$H$3:$H$5001,BD!$A$3:$A$5001,S$3,BD!$B$3:$B$5001,$A$33)))</f>
        <v/>
      </c>
      <c r="T33" s="196" t="str">
        <f>IF(T$3="","",IF(COUNTIFS(BD!$A$3:$A$5001,T$3,BD!$B$3:$B$5001,$A$33,BD!$H$3:$H$5001,"&lt;&gt;")=0,"",SUMIFS(BD!$H$3:$H$5001,BD!$A$3:$A$5001,T$3,BD!$B$3:$B$5001,$A$33)))</f>
        <v/>
      </c>
      <c r="U33" s="196" t="str">
        <f>IF(U$3="","",IF(COUNTIFS(BD!$A$3:$A$5001,U$3,BD!$B$3:$B$5001,$A$33,BD!$H$3:$H$5001,"&lt;&gt;")=0,"",SUMIFS(BD!$H$3:$H$5001,BD!$A$3:$A$5001,U$3,BD!$B$3:$B$5001,$A$33)))</f>
        <v/>
      </c>
      <c r="V33" s="196" t="str">
        <f>IF(V$3="","",IF(COUNTIFS(BD!$A$3:$A$5001,V$3,BD!$B$3:$B$5001,$A$33,BD!$H$3:$H$5001,"&lt;&gt;")=0,"",SUMIFS(BD!$H$3:$H$5001,BD!$A$3:$A$5001,V$3,BD!$B$3:$B$5001,$A$33)))</f>
        <v/>
      </c>
      <c r="W33" s="196" t="str">
        <f>IF(W$3="","",IF(COUNTIFS(BD!$A$3:$A$5001,W$3,BD!$B$3:$B$5001,$A$33,BD!$H$3:$H$5001,"&lt;&gt;")=0,"",SUMIFS(BD!$H$3:$H$5001,BD!$A$3:$A$5001,W$3,BD!$B$3:$B$5001,$A$33)))</f>
        <v/>
      </c>
      <c r="X33" s="196" t="str">
        <f>IF(X$3="","",IF(COUNTIFS(BD!$A$3:$A$5001,X$3,BD!$B$3:$B$5001,$A$33,BD!$H$3:$H$5001,"&lt;&gt;")=0,"",SUMIFS(BD!$H$3:$H$5001,BD!$A$3:$A$5001,X$3,BD!$B$3:$B$5001,$A$33)))</f>
        <v/>
      </c>
      <c r="Y33" s="196" t="str">
        <f>IF(Y$3="","",IF(COUNTIFS(BD!$A$3:$A$5001,Y$3,BD!$B$3:$B$5001,$A$33,BD!$H$3:$H$5001,"&lt;&gt;")=0,"",SUMIFS(BD!$H$3:$H$5001,BD!$A$3:$A$5001,Y$3,BD!$B$3:$B$5001,$A$33)))</f>
        <v/>
      </c>
      <c r="Z33" s="196" t="str">
        <f>IF(Z$3="","",IF(COUNTIFS(BD!$A$3:$A$5001,Z$3,BD!$B$3:$B$5001,$A$33,BD!$H$3:$H$5001,"&lt;&gt;")=0,"",SUMIFS(BD!$H$3:$H$5001,BD!$A$3:$A$5001,Z$3,BD!$B$3:$B$5001,$A$33)))</f>
        <v/>
      </c>
      <c r="AA33" s="196" t="str">
        <f>IF(AA$3="","",IF(COUNTIFS(BD!$A$3:$A$5001,AA$3,BD!$B$3:$B$5001,$A$33,BD!$H$3:$H$5001,"&lt;&gt;")=0,"",SUMIFS(BD!$H$3:$H$5001,BD!$A$3:$A$5001,AA$3,BD!$B$3:$B$5001,$A$33)))</f>
        <v/>
      </c>
      <c r="AB33" s="196" t="str">
        <f>IF(AB$3="","",IF(COUNTIFS(BD!$A$3:$A$5001,AB$3,BD!$B$3:$B$5001,$A$33,BD!$H$3:$H$5001,"&lt;&gt;")=0,"",SUMIFS(BD!$H$3:$H$5001,BD!$A$3:$A$5001,AB$3,BD!$B$3:$B$5001,$A$33)))</f>
        <v/>
      </c>
      <c r="AC33" s="196" t="str">
        <f>IF(AC$3="","",IF(COUNTIFS(BD!$A$3:$A$5001,AC$3,BD!$B$3:$B$5001,$A$33,BD!$H$3:$H$5001,"&lt;&gt;")=0,"",SUMIFS(BD!$H$3:$H$5001,BD!$A$3:$A$5001,AC$3,BD!$B$3:$B$5001,$A$33)))</f>
        <v/>
      </c>
      <c r="AD33" s="196" t="str">
        <f>IF(AD$3="","",IF(COUNTIFS(BD!$A$3:$A$5001,AD$3,BD!$B$3:$B$5001,$A$33,BD!$H$3:$H$5001,"&lt;&gt;")=0,"",SUMIFS(BD!$H$3:$H$5001,BD!$A$3:$A$5001,AD$3,BD!$B$3:$B$5001,$A$33)))</f>
        <v/>
      </c>
      <c r="AE33" s="196" t="str">
        <f>IF(AE$3="","",IF(COUNTIFS(BD!$A$3:$A$5001,AE$3,BD!$B$3:$B$5001,$A$33,BD!$H$3:$H$5001,"&lt;&gt;")=0,"",SUMIFS(BD!$H$3:$H$5001,BD!$A$3:$A$5001,AE$3,BD!$B$3:$B$5001,$A$33)))</f>
        <v/>
      </c>
      <c r="AF33" s="196" t="str">
        <f>IF(AF$3="","",IF(COUNTIFS(BD!$A$3:$A$5001,AF$3,BD!$B$3:$B$5001,$A$33,BD!$H$3:$H$5001,"&lt;&gt;")=0,"",SUMIFS(BD!$H$3:$H$5001,BD!$A$3:$A$5001,AF$3,BD!$B$3:$B$5001,$A$33)))</f>
        <v/>
      </c>
      <c r="AG33" s="196" t="str">
        <f>IF(AG$3="","",IF(COUNTIFS(BD!$A$3:$A$5001,AG$3,BD!$B$3:$B$5001,$A$33,BD!$H$3:$H$5001,"&lt;&gt;")=0,"",SUMIFS(BD!$H$3:$H$5001,BD!$A$3:$A$5001,AG$3,BD!$B$3:$B$5001,$A$33)))</f>
        <v/>
      </c>
      <c r="AH33" s="196" t="str">
        <f>IF(AH$3="","",IF(COUNTIFS(BD!$A$3:$A$5001,AH$3,BD!$B$3:$B$5001,$A$33,BD!$H$3:$H$5001,"&lt;&gt;")=0,"",SUMIFS(BD!$H$3:$H$5001,BD!$A$3:$A$5001,AH$3,BD!$B$3:$B$5001,$A$33)))</f>
        <v/>
      </c>
      <c r="AI33" s="196" t="str">
        <f>IF(AI$3="","",IF(COUNTIFS(BD!$A$3:$A$5001,AI$3,BD!$B$3:$B$5001,$A$33,BD!$H$3:$H$5001,"&lt;&gt;")=0,"",SUMIFS(BD!$H$3:$H$5001,BD!$A$3:$A$5001,AI$3,BD!$B$3:$B$5001,$A$33)))</f>
        <v/>
      </c>
      <c r="AJ33" s="197" t="str">
        <f>IF(AJ$3="","",IF(COUNTIFS(BD!$A$3:$A$5001,AJ$3,BD!$B$3:$B$5001,$A$33,BD!$H$3:$H$5001,"&lt;&gt;")=0,"",SUMIFS(BD!$H$3:$H$5001,BD!$A$3:$A$5001,AJ$3,BD!$B$3:$B$5001,$A$33)))</f>
        <v/>
      </c>
      <c r="AK33" s="198" t="str">
        <f>IF(COUNT(F33:AJ33)=0,"",SUM(F33:AJ33))</f>
        <v/>
      </c>
    </row>
    <row r="34" ht="15.75" customHeight="1">
      <c r="A34" s="277"/>
      <c r="B34" s="268"/>
      <c r="C34" s="199" t="inlineStr">
        <is>
          <t xml:space="preserve">Pallets Movimentados</t>
        </is>
      </c>
      <c r="D34" s="200" t="str">
        <f>IFERROR(1/(1/INDEX(BD!$AF$29:$AZ$29,MATCH($A$33,BD!$AF$22:$AZ$22,0))),"")</f>
        <v/>
      </c>
      <c r="E34" s="201"/>
      <c r="F34" s="202" t="str">
        <f>IF(F$3="","",IF(COUNTIFS(BD!$A$3:$A$5001,F$3,BD!$B$3:$B$5001,$A$33,BD!$I$3:$I$5001,"&lt;&gt;")=0,"",SUMIFS(BD!$I$3:$I$5001,BD!$A$3:$A$5001,F$3,BD!$B$3:$B$5001,$A$33)))</f>
        <v/>
      </c>
      <c r="G34" s="203" t="str">
        <f>IF(G$3="","",IF(COUNTIFS(BD!$A$3:$A$5001,G$3,BD!$B$3:$B$5001,$A$33,BD!$I$3:$I$5001,"&lt;&gt;")=0,"",SUMIFS(BD!$I$3:$I$5001,BD!$A$3:$A$5001,G$3,BD!$B$3:$B$5001,$A$33)))</f>
        <v/>
      </c>
      <c r="H34" s="203" t="str">
        <f>IF(H$3="","",IF(COUNTIFS(BD!$A$3:$A$5001,H$3,BD!$B$3:$B$5001,$A$33,BD!$I$3:$I$5001,"&lt;&gt;")=0,"",SUMIFS(BD!$I$3:$I$5001,BD!$A$3:$A$5001,H$3,BD!$B$3:$B$5001,$A$33)))</f>
        <v/>
      </c>
      <c r="I34" s="203" t="str">
        <f>IF(I$3="","",IF(COUNTIFS(BD!$A$3:$A$5001,I$3,BD!$B$3:$B$5001,$A$33,BD!$I$3:$I$5001,"&lt;&gt;")=0,"",SUMIFS(BD!$I$3:$I$5001,BD!$A$3:$A$5001,I$3,BD!$B$3:$B$5001,$A$33)))</f>
        <v/>
      </c>
      <c r="J34" s="203" t="str">
        <f>IF(J$3="","",IF(COUNTIFS(BD!$A$3:$A$5001,J$3,BD!$B$3:$B$5001,$A$33,BD!$I$3:$I$5001,"&lt;&gt;")=0,"",SUMIFS(BD!$I$3:$I$5001,BD!$A$3:$A$5001,J$3,BD!$B$3:$B$5001,$A$33)))</f>
        <v/>
      </c>
      <c r="K34" s="203" t="str">
        <f>IF(K$3="","",IF(COUNTIFS(BD!$A$3:$A$5001,K$3,BD!$B$3:$B$5001,$A$33,BD!$I$3:$I$5001,"&lt;&gt;")=0,"",SUMIFS(BD!$I$3:$I$5001,BD!$A$3:$A$5001,K$3,BD!$B$3:$B$5001,$A$33)))</f>
        <v/>
      </c>
      <c r="L34" s="203" t="str">
        <f>IF(L$3="","",IF(COUNTIFS(BD!$A$3:$A$5001,L$3,BD!$B$3:$B$5001,$A$33,BD!$I$3:$I$5001,"&lt;&gt;")=0,"",SUMIFS(BD!$I$3:$I$5001,BD!$A$3:$A$5001,L$3,BD!$B$3:$B$5001,$A$33)))</f>
        <v/>
      </c>
      <c r="M34" s="203" t="str">
        <f>IF(M$3="","",IF(COUNTIFS(BD!$A$3:$A$5001,M$3,BD!$B$3:$B$5001,$A$33,BD!$I$3:$I$5001,"&lt;&gt;")=0,"",SUMIFS(BD!$I$3:$I$5001,BD!$A$3:$A$5001,M$3,BD!$B$3:$B$5001,$A$33)))</f>
        <v/>
      </c>
      <c r="N34" s="203" t="str">
        <f>IF(N$3="","",IF(COUNTIFS(BD!$A$3:$A$5001,N$3,BD!$B$3:$B$5001,$A$33,BD!$I$3:$I$5001,"&lt;&gt;")=0,"",SUMIFS(BD!$I$3:$I$5001,BD!$A$3:$A$5001,N$3,BD!$B$3:$B$5001,$A$33)))</f>
        <v/>
      </c>
      <c r="O34" s="203" t="str">
        <f>IF(O$3="","",IF(COUNTIFS(BD!$A$3:$A$5001,O$3,BD!$B$3:$B$5001,$A$33,BD!$I$3:$I$5001,"&lt;&gt;")=0,"",SUMIFS(BD!$I$3:$I$5001,BD!$A$3:$A$5001,O$3,BD!$B$3:$B$5001,$A$33)))</f>
        <v/>
      </c>
      <c r="P34" s="203" t="str">
        <f>IF(P$3="","",IF(COUNTIFS(BD!$A$3:$A$5001,P$3,BD!$B$3:$B$5001,$A$33,BD!$I$3:$I$5001,"&lt;&gt;")=0,"",SUMIFS(BD!$I$3:$I$5001,BD!$A$3:$A$5001,P$3,BD!$B$3:$B$5001,$A$33)))</f>
        <v/>
      </c>
      <c r="Q34" s="203" t="str">
        <f>IF(Q$3="","",IF(COUNTIFS(BD!$A$3:$A$5001,Q$3,BD!$B$3:$B$5001,$A$33,BD!$I$3:$I$5001,"&lt;&gt;")=0,"",SUMIFS(BD!$I$3:$I$5001,BD!$A$3:$A$5001,Q$3,BD!$B$3:$B$5001,$A$33)))</f>
        <v/>
      </c>
      <c r="R34" s="203" t="str">
        <f>IF(R$3="","",IF(COUNTIFS(BD!$A$3:$A$5001,R$3,BD!$B$3:$B$5001,$A$33,BD!$I$3:$I$5001,"&lt;&gt;")=0,"",SUMIFS(BD!$I$3:$I$5001,BD!$A$3:$A$5001,R$3,BD!$B$3:$B$5001,$A$33)))</f>
        <v/>
      </c>
      <c r="S34" s="203" t="str">
        <f>IF(S$3="","",IF(COUNTIFS(BD!$A$3:$A$5001,S$3,BD!$B$3:$B$5001,$A$33,BD!$I$3:$I$5001,"&lt;&gt;")=0,"",SUMIFS(BD!$I$3:$I$5001,BD!$A$3:$A$5001,S$3,BD!$B$3:$B$5001,$A$33)))</f>
        <v/>
      </c>
      <c r="T34" s="203" t="str">
        <f>IF(T$3="","",IF(COUNTIFS(BD!$A$3:$A$5001,T$3,BD!$B$3:$B$5001,$A$33,BD!$I$3:$I$5001,"&lt;&gt;")=0,"",SUMIFS(BD!$I$3:$I$5001,BD!$A$3:$A$5001,T$3,BD!$B$3:$B$5001,$A$33)))</f>
        <v/>
      </c>
      <c r="U34" s="203" t="str">
        <f>IF(U$3="","",IF(COUNTIFS(BD!$A$3:$A$5001,U$3,BD!$B$3:$B$5001,$A$33,BD!$I$3:$I$5001,"&lt;&gt;")=0,"",SUMIFS(BD!$I$3:$I$5001,BD!$A$3:$A$5001,U$3,BD!$B$3:$B$5001,$A$33)))</f>
        <v/>
      </c>
      <c r="V34" s="203" t="str">
        <f>IF(V$3="","",IF(COUNTIFS(BD!$A$3:$A$5001,V$3,BD!$B$3:$B$5001,$A$33,BD!$I$3:$I$5001,"&lt;&gt;")=0,"",SUMIFS(BD!$I$3:$I$5001,BD!$A$3:$A$5001,V$3,BD!$B$3:$B$5001,$A$33)))</f>
        <v/>
      </c>
      <c r="W34" s="203" t="str">
        <f>IF(W$3="","",IF(COUNTIFS(BD!$A$3:$A$5001,W$3,BD!$B$3:$B$5001,$A$33,BD!$I$3:$I$5001,"&lt;&gt;")=0,"",SUMIFS(BD!$I$3:$I$5001,BD!$A$3:$A$5001,W$3,BD!$B$3:$B$5001,$A$33)))</f>
        <v/>
      </c>
      <c r="X34" s="203" t="str">
        <f>IF(X$3="","",IF(COUNTIFS(BD!$A$3:$A$5001,X$3,BD!$B$3:$B$5001,$A$33,BD!$I$3:$I$5001,"&lt;&gt;")=0,"",SUMIFS(BD!$I$3:$I$5001,BD!$A$3:$A$5001,X$3,BD!$B$3:$B$5001,$A$33)))</f>
        <v/>
      </c>
      <c r="Y34" s="203" t="str">
        <f>IF(Y$3="","",IF(COUNTIFS(BD!$A$3:$A$5001,Y$3,BD!$B$3:$B$5001,$A$33,BD!$I$3:$I$5001,"&lt;&gt;")=0,"",SUMIFS(BD!$I$3:$I$5001,BD!$A$3:$A$5001,Y$3,BD!$B$3:$B$5001,$A$33)))</f>
        <v/>
      </c>
      <c r="Z34" s="203" t="str">
        <f>IF(Z$3="","",IF(COUNTIFS(BD!$A$3:$A$5001,Z$3,BD!$B$3:$B$5001,$A$33,BD!$I$3:$I$5001,"&lt;&gt;")=0,"",SUMIFS(BD!$I$3:$I$5001,BD!$A$3:$A$5001,Z$3,BD!$B$3:$B$5001,$A$33)))</f>
        <v/>
      </c>
      <c r="AA34" s="203" t="str">
        <f>IF(AA$3="","",IF(COUNTIFS(BD!$A$3:$A$5001,AA$3,BD!$B$3:$B$5001,$A$33,BD!$I$3:$I$5001,"&lt;&gt;")=0,"",SUMIFS(BD!$I$3:$I$5001,BD!$A$3:$A$5001,AA$3,BD!$B$3:$B$5001,$A$33)))</f>
        <v/>
      </c>
      <c r="AB34" s="203" t="str">
        <f>IF(AB$3="","",IF(COUNTIFS(BD!$A$3:$A$5001,AB$3,BD!$B$3:$B$5001,$A$33,BD!$I$3:$I$5001,"&lt;&gt;")=0,"",SUMIFS(BD!$I$3:$I$5001,BD!$A$3:$A$5001,AB$3,BD!$B$3:$B$5001,$A$33)))</f>
        <v/>
      </c>
      <c r="AC34" s="203" t="str">
        <f>IF(AC$3="","",IF(COUNTIFS(BD!$A$3:$A$5001,AC$3,BD!$B$3:$B$5001,$A$33,BD!$I$3:$I$5001,"&lt;&gt;")=0,"",SUMIFS(BD!$I$3:$I$5001,BD!$A$3:$A$5001,AC$3,BD!$B$3:$B$5001,$A$33)))</f>
        <v/>
      </c>
      <c r="AD34" s="203" t="str">
        <f>IF(AD$3="","",IF(COUNTIFS(BD!$A$3:$A$5001,AD$3,BD!$B$3:$B$5001,$A$33,BD!$I$3:$I$5001,"&lt;&gt;")=0,"",SUMIFS(BD!$I$3:$I$5001,BD!$A$3:$A$5001,AD$3,BD!$B$3:$B$5001,$A$33)))</f>
        <v/>
      </c>
      <c r="AE34" s="203" t="str">
        <f>IF(AE$3="","",IF(COUNTIFS(BD!$A$3:$A$5001,AE$3,BD!$B$3:$B$5001,$A$33,BD!$I$3:$I$5001,"&lt;&gt;")=0,"",SUMIFS(BD!$I$3:$I$5001,BD!$A$3:$A$5001,AE$3,BD!$B$3:$B$5001,$A$33)))</f>
        <v/>
      </c>
      <c r="AF34" s="203" t="str">
        <f>IF(AF$3="","",IF(COUNTIFS(BD!$A$3:$A$5001,AF$3,BD!$B$3:$B$5001,$A$33,BD!$I$3:$I$5001,"&lt;&gt;")=0,"",SUMIFS(BD!$I$3:$I$5001,BD!$A$3:$A$5001,AF$3,BD!$B$3:$B$5001,$A$33)))</f>
        <v/>
      </c>
      <c r="AG34" s="203" t="str">
        <f>IF(AG$3="","",IF(COUNTIFS(BD!$A$3:$A$5001,AG$3,BD!$B$3:$B$5001,$A$33,BD!$I$3:$I$5001,"&lt;&gt;")=0,"",SUMIFS(BD!$I$3:$I$5001,BD!$A$3:$A$5001,AG$3,BD!$B$3:$B$5001,$A$33)))</f>
        <v/>
      </c>
      <c r="AH34" s="203" t="str">
        <f>IF(AH$3="","",IF(COUNTIFS(BD!$A$3:$A$5001,AH$3,BD!$B$3:$B$5001,$A$33,BD!$I$3:$I$5001,"&lt;&gt;")=0,"",SUMIFS(BD!$I$3:$I$5001,BD!$A$3:$A$5001,AH$3,BD!$B$3:$B$5001,$A$33)))</f>
        <v/>
      </c>
      <c r="AI34" s="203" t="str">
        <f>IF(AI$3="","",IF(COUNTIFS(BD!$A$3:$A$5001,AI$3,BD!$B$3:$B$5001,$A$33,BD!$I$3:$I$5001,"&lt;&gt;")=0,"",SUMIFS(BD!$I$3:$I$5001,BD!$A$3:$A$5001,AI$3,BD!$B$3:$B$5001,$A$33)))</f>
        <v/>
      </c>
      <c r="AJ34" s="204" t="str">
        <f>IF(AJ$3="","",IF(COUNTIFS(BD!$A$3:$A$5001,AJ$3,BD!$B$3:$B$5001,$A$33,BD!$I$3:$I$5001,"&lt;&gt;")=0,"",SUMIFS(BD!$I$3:$I$5001,BD!$A$3:$A$5001,AJ$3,BD!$B$3:$B$5001,$A$33)))</f>
        <v/>
      </c>
      <c r="AK34" s="205" t="str">
        <f>IF(COUNT(F34:AJ34)=0,"",SUM(F34:AJ34))</f>
        <v/>
      </c>
    </row>
    <row r="35" ht="15.75" customHeight="1">
      <c r="A35" s="277"/>
      <c r="B35" s="268"/>
      <c r="C35" s="199" t="inlineStr">
        <is>
          <t xml:space="preserve">Toneladas Movimentadas</t>
        </is>
      </c>
      <c r="D35" s="200" t="str">
        <f>IFERROR(1/(1/INDEX(BD!$AF$30:$AZ$30,MATCH($A$33,BD!$AF$22:$AZ$22,0))),"")</f>
        <v/>
      </c>
      <c r="E35" s="201"/>
      <c r="F35" s="206" t="str">
        <f>IF(F$3="","",IF(COUNTIFS(BD!$A$3:$A$5001,F$3,BD!$B$3:$B$5001,$A$33,BD!$J$3:$J$5001,"&lt;&gt;")=0,"",SUMIFS(BD!$J$3:$J$5001,BD!$A$3:$A$5001,F$3,BD!$B$3:$B$5001,$A$33)))</f>
        <v/>
      </c>
      <c r="G35" s="207" t="str">
        <f>IF(G$3="","",IF(COUNTIFS(BD!$A$3:$A$5001,G$3,BD!$B$3:$B$5001,$A$33,BD!$J$3:$J$5001,"&lt;&gt;")=0,"",SUMIFS(BD!$J$3:$J$5001,BD!$A$3:$A$5001,G$3,BD!$B$3:$B$5001,$A$33)))</f>
        <v/>
      </c>
      <c r="H35" s="207" t="str">
        <f>IF(H$3="","",IF(COUNTIFS(BD!$A$3:$A$5001,H$3,BD!$B$3:$B$5001,$A$33,BD!$J$3:$J$5001,"&lt;&gt;")=0,"",SUMIFS(BD!$J$3:$J$5001,BD!$A$3:$A$5001,H$3,BD!$B$3:$B$5001,$A$33)))</f>
        <v/>
      </c>
      <c r="I35" s="207" t="str">
        <f>IF(I$3="","",IF(COUNTIFS(BD!$A$3:$A$5001,I$3,BD!$B$3:$B$5001,$A$33,BD!$J$3:$J$5001,"&lt;&gt;")=0,"",SUMIFS(BD!$J$3:$J$5001,BD!$A$3:$A$5001,I$3,BD!$B$3:$B$5001,$A$33)))</f>
        <v/>
      </c>
      <c r="J35" s="207" t="str">
        <f>IF(J$3="","",IF(COUNTIFS(BD!$A$3:$A$5001,J$3,BD!$B$3:$B$5001,$A$33,BD!$J$3:$J$5001,"&lt;&gt;")=0,"",SUMIFS(BD!$J$3:$J$5001,BD!$A$3:$A$5001,J$3,BD!$B$3:$B$5001,$A$33)))</f>
        <v/>
      </c>
      <c r="K35" s="207" t="str">
        <f>IF(K$3="","",IF(COUNTIFS(BD!$A$3:$A$5001,K$3,BD!$B$3:$B$5001,$A$33,BD!$J$3:$J$5001,"&lt;&gt;")=0,"",SUMIFS(BD!$J$3:$J$5001,BD!$A$3:$A$5001,K$3,BD!$B$3:$B$5001,$A$33)))</f>
        <v/>
      </c>
      <c r="L35" s="207" t="str">
        <f>IF(L$3="","",IF(COUNTIFS(BD!$A$3:$A$5001,L$3,BD!$B$3:$B$5001,$A$33,BD!$J$3:$J$5001,"&lt;&gt;")=0,"",SUMIFS(BD!$J$3:$J$5001,BD!$A$3:$A$5001,L$3,BD!$B$3:$B$5001,$A$33)))</f>
        <v/>
      </c>
      <c r="M35" s="207" t="str">
        <f>IF(M$3="","",IF(COUNTIFS(BD!$A$3:$A$5001,M$3,BD!$B$3:$B$5001,$A$33,BD!$J$3:$J$5001,"&lt;&gt;")=0,"",SUMIFS(BD!$J$3:$J$5001,BD!$A$3:$A$5001,M$3,BD!$B$3:$B$5001,$A$33)))</f>
        <v/>
      </c>
      <c r="N35" s="207" t="str">
        <f>IF(N$3="","",IF(COUNTIFS(BD!$A$3:$A$5001,N$3,BD!$B$3:$B$5001,$A$33,BD!$J$3:$J$5001,"&lt;&gt;")=0,"",SUMIFS(BD!$J$3:$J$5001,BD!$A$3:$A$5001,N$3,BD!$B$3:$B$5001,$A$33)))</f>
        <v/>
      </c>
      <c r="O35" s="207" t="str">
        <f>IF(O$3="","",IF(COUNTIFS(BD!$A$3:$A$5001,O$3,BD!$B$3:$B$5001,$A$33,BD!$J$3:$J$5001,"&lt;&gt;")=0,"",SUMIFS(BD!$J$3:$J$5001,BD!$A$3:$A$5001,O$3,BD!$B$3:$B$5001,$A$33)))</f>
        <v/>
      </c>
      <c r="P35" s="207" t="str">
        <f>IF(P$3="","",IF(COUNTIFS(BD!$A$3:$A$5001,P$3,BD!$B$3:$B$5001,$A$33,BD!$J$3:$J$5001,"&lt;&gt;")=0,"",SUMIFS(BD!$J$3:$J$5001,BD!$A$3:$A$5001,P$3,BD!$B$3:$B$5001,$A$33)))</f>
        <v/>
      </c>
      <c r="Q35" s="207" t="str">
        <f>IF(Q$3="","",IF(COUNTIFS(BD!$A$3:$A$5001,Q$3,BD!$B$3:$B$5001,$A$33,BD!$J$3:$J$5001,"&lt;&gt;")=0,"",SUMIFS(BD!$J$3:$J$5001,BD!$A$3:$A$5001,Q$3,BD!$B$3:$B$5001,$A$33)))</f>
        <v/>
      </c>
      <c r="R35" s="207" t="str">
        <f>IF(R$3="","",IF(COUNTIFS(BD!$A$3:$A$5001,R$3,BD!$B$3:$B$5001,$A$33,BD!$J$3:$J$5001,"&lt;&gt;")=0,"",SUMIFS(BD!$J$3:$J$5001,BD!$A$3:$A$5001,R$3,BD!$B$3:$B$5001,$A$33)))</f>
        <v/>
      </c>
      <c r="S35" s="207" t="str">
        <f>IF(S$3="","",IF(COUNTIFS(BD!$A$3:$A$5001,S$3,BD!$B$3:$B$5001,$A$33,BD!$J$3:$J$5001,"&lt;&gt;")=0,"",SUMIFS(BD!$J$3:$J$5001,BD!$A$3:$A$5001,S$3,BD!$B$3:$B$5001,$A$33)))</f>
        <v/>
      </c>
      <c r="T35" s="207" t="str">
        <f>IF(T$3="","",IF(COUNTIFS(BD!$A$3:$A$5001,T$3,BD!$B$3:$B$5001,$A$33,BD!$J$3:$J$5001,"&lt;&gt;")=0,"",SUMIFS(BD!$J$3:$J$5001,BD!$A$3:$A$5001,T$3,BD!$B$3:$B$5001,$A$33)))</f>
        <v/>
      </c>
      <c r="U35" s="207" t="str">
        <f>IF(U$3="","",IF(COUNTIFS(BD!$A$3:$A$5001,U$3,BD!$B$3:$B$5001,$A$33,BD!$J$3:$J$5001,"&lt;&gt;")=0,"",SUMIFS(BD!$J$3:$J$5001,BD!$A$3:$A$5001,U$3,BD!$B$3:$B$5001,$A$33)))</f>
        <v/>
      </c>
      <c r="V35" s="207" t="str">
        <f>IF(V$3="","",IF(COUNTIFS(BD!$A$3:$A$5001,V$3,BD!$B$3:$B$5001,$A$33,BD!$J$3:$J$5001,"&lt;&gt;")=0,"",SUMIFS(BD!$J$3:$J$5001,BD!$A$3:$A$5001,V$3,BD!$B$3:$B$5001,$A$33)))</f>
        <v/>
      </c>
      <c r="W35" s="207" t="str">
        <f>IF(W$3="","",IF(COUNTIFS(BD!$A$3:$A$5001,W$3,BD!$B$3:$B$5001,$A$33,BD!$J$3:$J$5001,"&lt;&gt;")=0,"",SUMIFS(BD!$J$3:$J$5001,BD!$A$3:$A$5001,W$3,BD!$B$3:$B$5001,$A$33)))</f>
        <v/>
      </c>
      <c r="X35" s="207" t="str">
        <f>IF(X$3="","",IF(COUNTIFS(BD!$A$3:$A$5001,X$3,BD!$B$3:$B$5001,$A$33,BD!$J$3:$J$5001,"&lt;&gt;")=0,"",SUMIFS(BD!$J$3:$J$5001,BD!$A$3:$A$5001,X$3,BD!$B$3:$B$5001,$A$33)))</f>
        <v/>
      </c>
      <c r="Y35" s="207" t="str">
        <f>IF(Y$3="","",IF(COUNTIFS(BD!$A$3:$A$5001,Y$3,BD!$B$3:$B$5001,$A$33,BD!$J$3:$J$5001,"&lt;&gt;")=0,"",SUMIFS(BD!$J$3:$J$5001,BD!$A$3:$A$5001,Y$3,BD!$B$3:$B$5001,$A$33)))</f>
        <v/>
      </c>
      <c r="Z35" s="207" t="str">
        <f>IF(Z$3="","",IF(COUNTIFS(BD!$A$3:$A$5001,Z$3,BD!$B$3:$B$5001,$A$33,BD!$J$3:$J$5001,"&lt;&gt;")=0,"",SUMIFS(BD!$J$3:$J$5001,BD!$A$3:$A$5001,Z$3,BD!$B$3:$B$5001,$A$33)))</f>
        <v/>
      </c>
      <c r="AA35" s="207" t="str">
        <f>IF(AA$3="","",IF(COUNTIFS(BD!$A$3:$A$5001,AA$3,BD!$B$3:$B$5001,$A$33,BD!$J$3:$J$5001,"&lt;&gt;")=0,"",SUMIFS(BD!$J$3:$J$5001,BD!$A$3:$A$5001,AA$3,BD!$B$3:$B$5001,$A$33)))</f>
        <v/>
      </c>
      <c r="AB35" s="207" t="str">
        <f>IF(AB$3="","",IF(COUNTIFS(BD!$A$3:$A$5001,AB$3,BD!$B$3:$B$5001,$A$33,BD!$J$3:$J$5001,"&lt;&gt;")=0,"",SUMIFS(BD!$J$3:$J$5001,BD!$A$3:$A$5001,AB$3,BD!$B$3:$B$5001,$A$33)))</f>
        <v/>
      </c>
      <c r="AC35" s="207" t="str">
        <f>IF(AC$3="","",IF(COUNTIFS(BD!$A$3:$A$5001,AC$3,BD!$B$3:$B$5001,$A$33,BD!$J$3:$J$5001,"&lt;&gt;")=0,"",SUMIFS(BD!$J$3:$J$5001,BD!$A$3:$A$5001,AC$3,BD!$B$3:$B$5001,$A$33)))</f>
        <v/>
      </c>
      <c r="AD35" s="207" t="str">
        <f>IF(AD$3="","",IF(COUNTIFS(BD!$A$3:$A$5001,AD$3,BD!$B$3:$B$5001,$A$33,BD!$J$3:$J$5001,"&lt;&gt;")=0,"",SUMIFS(BD!$J$3:$J$5001,BD!$A$3:$A$5001,AD$3,BD!$B$3:$B$5001,$A$33)))</f>
        <v/>
      </c>
      <c r="AE35" s="207" t="str">
        <f>IF(AE$3="","",IF(COUNTIFS(BD!$A$3:$A$5001,AE$3,BD!$B$3:$B$5001,$A$33,BD!$J$3:$J$5001,"&lt;&gt;")=0,"",SUMIFS(BD!$J$3:$J$5001,BD!$A$3:$A$5001,AE$3,BD!$B$3:$B$5001,$A$33)))</f>
        <v/>
      </c>
      <c r="AF35" s="207" t="str">
        <f>IF(AF$3="","",IF(COUNTIFS(BD!$A$3:$A$5001,AF$3,BD!$B$3:$B$5001,$A$33,BD!$J$3:$J$5001,"&lt;&gt;")=0,"",SUMIFS(BD!$J$3:$J$5001,BD!$A$3:$A$5001,AF$3,BD!$B$3:$B$5001,$A$33)))</f>
        <v/>
      </c>
      <c r="AG35" s="207" t="str">
        <f>IF(AG$3="","",IF(COUNTIFS(BD!$A$3:$A$5001,AG$3,BD!$B$3:$B$5001,$A$33,BD!$J$3:$J$5001,"&lt;&gt;")=0,"",SUMIFS(BD!$J$3:$J$5001,BD!$A$3:$A$5001,AG$3,BD!$B$3:$B$5001,$A$33)))</f>
        <v/>
      </c>
      <c r="AH35" s="207" t="str">
        <f>IF(AH$3="","",IF(COUNTIFS(BD!$A$3:$A$5001,AH$3,BD!$B$3:$B$5001,$A$33,BD!$J$3:$J$5001,"&lt;&gt;")=0,"",SUMIFS(BD!$J$3:$J$5001,BD!$A$3:$A$5001,AH$3,BD!$B$3:$B$5001,$A$33)))</f>
        <v/>
      </c>
      <c r="AI35" s="207" t="str">
        <f>IF(AI$3="","",IF(COUNTIFS(BD!$A$3:$A$5001,AI$3,BD!$B$3:$B$5001,$A$33,BD!$J$3:$J$5001,"&lt;&gt;")=0,"",SUMIFS(BD!$J$3:$J$5001,BD!$A$3:$A$5001,AI$3,BD!$B$3:$B$5001,$A$33)))</f>
        <v/>
      </c>
      <c r="AJ35" s="208" t="str">
        <f>IF(AJ$3="","",IF(COUNTIFS(BD!$A$3:$A$5001,AJ$3,BD!$B$3:$B$5001,$A$33,BD!$J$3:$J$5001,"&lt;&gt;")=0,"",SUMIFS(BD!$J$3:$J$5001,BD!$A$3:$A$5001,AJ$3,BD!$B$3:$B$5001,$A$33)))</f>
        <v/>
      </c>
      <c r="AK35" s="209" t="str">
        <f>IF(COUNT(F35:AJ35)=0,"",SUM(F35:AJ35))</f>
        <v/>
      </c>
    </row>
    <row r="36" ht="15.75" customHeight="1">
      <c r="A36" s="277"/>
      <c r="B36" s="268"/>
      <c r="C36" s="199" t="inlineStr">
        <is>
          <t xml:space="preserve">Caixas Expedidas</t>
        </is>
      </c>
      <c r="D36" s="200" t="str">
        <f>IFERROR(1/(1/INDEX(BD!$AF$31:$AZ$31,MATCH($A$33,BD!$AF$22:$AZ$22,0))),"")</f>
        <v/>
      </c>
      <c r="E36" s="201"/>
      <c r="F36" s="202" t="str">
        <f>IF(F$3="","",IF(COUNTIFS(BD!$A$3:$A$5001,F$3,BD!$B$3:$B$5001,$A$33,BD!$K$3:$K$5001,"&lt;&gt;")=0,"",SUMIFS(BD!$K$3:$K$5001,BD!$A$3:$A$5001,F$3,BD!$B$3:$B$5001,$A$33)))</f>
        <v/>
      </c>
      <c r="G36" s="203" t="str">
        <f>IF(G$3="","",IF(COUNTIFS(BD!$A$3:$A$5001,G$3,BD!$B$3:$B$5001,$A$33,BD!$K$3:$K$5001,"&lt;&gt;")=0,"",SUMIFS(BD!$K$3:$K$5001,BD!$A$3:$A$5001,G$3,BD!$B$3:$B$5001,$A$33)))</f>
        <v/>
      </c>
      <c r="H36" s="203" t="str">
        <f>IF(H$3="","",IF(COUNTIFS(BD!$A$3:$A$5001,H$3,BD!$B$3:$B$5001,$A$33,BD!$K$3:$K$5001,"&lt;&gt;")=0,"",SUMIFS(BD!$K$3:$K$5001,BD!$A$3:$A$5001,H$3,BD!$B$3:$B$5001,$A$33)))</f>
        <v/>
      </c>
      <c r="I36" s="203" t="str">
        <f>IF(I$3="","",IF(COUNTIFS(BD!$A$3:$A$5001,I$3,BD!$B$3:$B$5001,$A$33,BD!$K$3:$K$5001,"&lt;&gt;")=0,"",SUMIFS(BD!$K$3:$K$5001,BD!$A$3:$A$5001,I$3,BD!$B$3:$B$5001,$A$33)))</f>
        <v/>
      </c>
      <c r="J36" s="203" t="str">
        <f>IF(J$3="","",IF(COUNTIFS(BD!$A$3:$A$5001,J$3,BD!$B$3:$B$5001,$A$33,BD!$K$3:$K$5001,"&lt;&gt;")=0,"",SUMIFS(BD!$K$3:$K$5001,BD!$A$3:$A$5001,J$3,BD!$B$3:$B$5001,$A$33)))</f>
        <v/>
      </c>
      <c r="K36" s="203" t="str">
        <f>IF(K$3="","",IF(COUNTIFS(BD!$A$3:$A$5001,K$3,BD!$B$3:$B$5001,$A$33,BD!$K$3:$K$5001,"&lt;&gt;")=0,"",SUMIFS(BD!$K$3:$K$5001,BD!$A$3:$A$5001,K$3,BD!$B$3:$B$5001,$A$33)))</f>
        <v/>
      </c>
      <c r="L36" s="203" t="str">
        <f>IF(L$3="","",IF(COUNTIFS(BD!$A$3:$A$5001,L$3,BD!$B$3:$B$5001,$A$33,BD!$K$3:$K$5001,"&lt;&gt;")=0,"",SUMIFS(BD!$K$3:$K$5001,BD!$A$3:$A$5001,L$3,BD!$B$3:$B$5001,$A$33)))</f>
        <v/>
      </c>
      <c r="M36" s="203" t="str">
        <f>IF(M$3="","",IF(COUNTIFS(BD!$A$3:$A$5001,M$3,BD!$B$3:$B$5001,$A$33,BD!$K$3:$K$5001,"&lt;&gt;")=0,"",SUMIFS(BD!$K$3:$K$5001,BD!$A$3:$A$5001,M$3,BD!$B$3:$B$5001,$A$33)))</f>
        <v/>
      </c>
      <c r="N36" s="203" t="str">
        <f>IF(N$3="","",IF(COUNTIFS(BD!$A$3:$A$5001,N$3,BD!$B$3:$B$5001,$A$33,BD!$K$3:$K$5001,"&lt;&gt;")=0,"",SUMIFS(BD!$K$3:$K$5001,BD!$A$3:$A$5001,N$3,BD!$B$3:$B$5001,$A$33)))</f>
        <v/>
      </c>
      <c r="O36" s="203" t="str">
        <f>IF(O$3="","",IF(COUNTIFS(BD!$A$3:$A$5001,O$3,BD!$B$3:$B$5001,$A$33,BD!$K$3:$K$5001,"&lt;&gt;")=0,"",SUMIFS(BD!$K$3:$K$5001,BD!$A$3:$A$5001,O$3,BD!$B$3:$B$5001,$A$33)))</f>
        <v/>
      </c>
      <c r="P36" s="203" t="str">
        <f>IF(P$3="","",IF(COUNTIFS(BD!$A$3:$A$5001,P$3,BD!$B$3:$B$5001,$A$33,BD!$K$3:$K$5001,"&lt;&gt;")=0,"",SUMIFS(BD!$K$3:$K$5001,BD!$A$3:$A$5001,P$3,BD!$B$3:$B$5001,$A$33)))</f>
        <v/>
      </c>
      <c r="Q36" s="203" t="str">
        <f>IF(Q$3="","",IF(COUNTIFS(BD!$A$3:$A$5001,Q$3,BD!$B$3:$B$5001,$A$33,BD!$K$3:$K$5001,"&lt;&gt;")=0,"",SUMIFS(BD!$K$3:$K$5001,BD!$A$3:$A$5001,Q$3,BD!$B$3:$B$5001,$A$33)))</f>
        <v/>
      </c>
      <c r="R36" s="203" t="str">
        <f>IF(R$3="","",IF(COUNTIFS(BD!$A$3:$A$5001,R$3,BD!$B$3:$B$5001,$A$33,BD!$K$3:$K$5001,"&lt;&gt;")=0,"",SUMIFS(BD!$K$3:$K$5001,BD!$A$3:$A$5001,R$3,BD!$B$3:$B$5001,$A$33)))</f>
        <v/>
      </c>
      <c r="S36" s="203" t="str">
        <f>IF(S$3="","",IF(COUNTIFS(BD!$A$3:$A$5001,S$3,BD!$B$3:$B$5001,$A$33,BD!$K$3:$K$5001,"&lt;&gt;")=0,"",SUMIFS(BD!$K$3:$K$5001,BD!$A$3:$A$5001,S$3,BD!$B$3:$B$5001,$A$33)))</f>
        <v/>
      </c>
      <c r="T36" s="203" t="str">
        <f>IF(T$3="","",IF(COUNTIFS(BD!$A$3:$A$5001,T$3,BD!$B$3:$B$5001,$A$33,BD!$K$3:$K$5001,"&lt;&gt;")=0,"",SUMIFS(BD!$K$3:$K$5001,BD!$A$3:$A$5001,T$3,BD!$B$3:$B$5001,$A$33)))</f>
        <v/>
      </c>
      <c r="U36" s="203" t="str">
        <f>IF(U$3="","",IF(COUNTIFS(BD!$A$3:$A$5001,U$3,BD!$B$3:$B$5001,$A$33,BD!$K$3:$K$5001,"&lt;&gt;")=0,"",SUMIFS(BD!$K$3:$K$5001,BD!$A$3:$A$5001,U$3,BD!$B$3:$B$5001,$A$33)))</f>
        <v/>
      </c>
      <c r="V36" s="203" t="str">
        <f>IF(V$3="","",IF(COUNTIFS(BD!$A$3:$A$5001,V$3,BD!$B$3:$B$5001,$A$33,BD!$K$3:$K$5001,"&lt;&gt;")=0,"",SUMIFS(BD!$K$3:$K$5001,BD!$A$3:$A$5001,V$3,BD!$B$3:$B$5001,$A$33)))</f>
        <v/>
      </c>
      <c r="W36" s="203" t="str">
        <f>IF(W$3="","",IF(COUNTIFS(BD!$A$3:$A$5001,W$3,BD!$B$3:$B$5001,$A$33,BD!$K$3:$K$5001,"&lt;&gt;")=0,"",SUMIFS(BD!$K$3:$K$5001,BD!$A$3:$A$5001,W$3,BD!$B$3:$B$5001,$A$33)))</f>
        <v/>
      </c>
      <c r="X36" s="203" t="str">
        <f>IF(X$3="","",IF(COUNTIFS(BD!$A$3:$A$5001,X$3,BD!$B$3:$B$5001,$A$33,BD!$K$3:$K$5001,"&lt;&gt;")=0,"",SUMIFS(BD!$K$3:$K$5001,BD!$A$3:$A$5001,X$3,BD!$B$3:$B$5001,$A$33)))</f>
        <v/>
      </c>
      <c r="Y36" s="203" t="str">
        <f>IF(Y$3="","",IF(COUNTIFS(BD!$A$3:$A$5001,Y$3,BD!$B$3:$B$5001,$A$33,BD!$K$3:$K$5001,"&lt;&gt;")=0,"",SUMIFS(BD!$K$3:$K$5001,BD!$A$3:$A$5001,Y$3,BD!$B$3:$B$5001,$A$33)))</f>
        <v/>
      </c>
      <c r="Z36" s="203" t="str">
        <f>IF(Z$3="","",IF(COUNTIFS(BD!$A$3:$A$5001,Z$3,BD!$B$3:$B$5001,$A$33,BD!$K$3:$K$5001,"&lt;&gt;")=0,"",SUMIFS(BD!$K$3:$K$5001,BD!$A$3:$A$5001,Z$3,BD!$B$3:$B$5001,$A$33)))</f>
        <v/>
      </c>
      <c r="AA36" s="203" t="str">
        <f>IF(AA$3="","",IF(COUNTIFS(BD!$A$3:$A$5001,AA$3,BD!$B$3:$B$5001,$A$33,BD!$K$3:$K$5001,"&lt;&gt;")=0,"",SUMIFS(BD!$K$3:$K$5001,BD!$A$3:$A$5001,AA$3,BD!$B$3:$B$5001,$A$33)))</f>
        <v/>
      </c>
      <c r="AB36" s="203" t="str">
        <f>IF(AB$3="","",IF(COUNTIFS(BD!$A$3:$A$5001,AB$3,BD!$B$3:$B$5001,$A$33,BD!$K$3:$K$5001,"&lt;&gt;")=0,"",SUMIFS(BD!$K$3:$K$5001,BD!$A$3:$A$5001,AB$3,BD!$B$3:$B$5001,$A$33)))</f>
        <v/>
      </c>
      <c r="AC36" s="203" t="str">
        <f>IF(AC$3="","",IF(COUNTIFS(BD!$A$3:$A$5001,AC$3,BD!$B$3:$B$5001,$A$33,BD!$K$3:$K$5001,"&lt;&gt;")=0,"",SUMIFS(BD!$K$3:$K$5001,BD!$A$3:$A$5001,AC$3,BD!$B$3:$B$5001,$A$33)))</f>
        <v/>
      </c>
      <c r="AD36" s="203" t="str">
        <f>IF(AD$3="","",IF(COUNTIFS(BD!$A$3:$A$5001,AD$3,BD!$B$3:$B$5001,$A$33,BD!$K$3:$K$5001,"&lt;&gt;")=0,"",SUMIFS(BD!$K$3:$K$5001,BD!$A$3:$A$5001,AD$3,BD!$B$3:$B$5001,$A$33)))</f>
        <v/>
      </c>
      <c r="AE36" s="203" t="str">
        <f>IF(AE$3="","",IF(COUNTIFS(BD!$A$3:$A$5001,AE$3,BD!$B$3:$B$5001,$A$33,BD!$K$3:$K$5001,"&lt;&gt;")=0,"",SUMIFS(BD!$K$3:$K$5001,BD!$A$3:$A$5001,AE$3,BD!$B$3:$B$5001,$A$33)))</f>
        <v/>
      </c>
      <c r="AF36" s="203" t="str">
        <f>IF(AF$3="","",IF(COUNTIFS(BD!$A$3:$A$5001,AF$3,BD!$B$3:$B$5001,$A$33,BD!$K$3:$K$5001,"&lt;&gt;")=0,"",SUMIFS(BD!$K$3:$K$5001,BD!$A$3:$A$5001,AF$3,BD!$B$3:$B$5001,$A$33)))</f>
        <v/>
      </c>
      <c r="AG36" s="203" t="str">
        <f>IF(AG$3="","",IF(COUNTIFS(BD!$A$3:$A$5001,AG$3,BD!$B$3:$B$5001,$A$33,BD!$K$3:$K$5001,"&lt;&gt;")=0,"",SUMIFS(BD!$K$3:$K$5001,BD!$A$3:$A$5001,AG$3,BD!$B$3:$B$5001,$A$33)))</f>
        <v/>
      </c>
      <c r="AH36" s="203" t="str">
        <f>IF(AH$3="","",IF(COUNTIFS(BD!$A$3:$A$5001,AH$3,BD!$B$3:$B$5001,$A$33,BD!$K$3:$K$5001,"&lt;&gt;")=0,"",SUMIFS(BD!$K$3:$K$5001,BD!$A$3:$A$5001,AH$3,BD!$B$3:$B$5001,$A$33)))</f>
        <v/>
      </c>
      <c r="AI36" s="203" t="str">
        <f>IF(AI$3="","",IF(COUNTIFS(BD!$A$3:$A$5001,AI$3,BD!$B$3:$B$5001,$A$33,BD!$K$3:$K$5001,"&lt;&gt;")=0,"",SUMIFS(BD!$K$3:$K$5001,BD!$A$3:$A$5001,AI$3,BD!$B$3:$B$5001,$A$33)))</f>
        <v/>
      </c>
      <c r="AJ36" s="204" t="str">
        <f>IF(AJ$3="","",IF(COUNTIFS(BD!$A$3:$A$5001,AJ$3,BD!$B$3:$B$5001,$A$33,BD!$K$3:$K$5001,"&lt;&gt;")=0,"",SUMIFS(BD!$K$3:$K$5001,BD!$A$3:$A$5001,AJ$3,BD!$B$3:$B$5001,$A$33)))</f>
        <v/>
      </c>
      <c r="AK36" s="205" t="str">
        <f>IF(COUNT(F36:AJ36)=0,"",SUM(F36:AJ36))</f>
        <v/>
      </c>
    </row>
    <row r="37" ht="15.75" customHeight="1">
      <c r="A37" s="277"/>
      <c r="B37" s="269"/>
      <c r="C37" s="210" t="inlineStr">
        <is>
          <t xml:space="preserve">Pedidos Faturados</t>
        </is>
      </c>
      <c r="D37" s="211" t="str">
        <f>IFERROR(1/(1/INDEX(BD!$AF$32:$AZ$32,MATCH($A$33,BD!$AF$22:$AZ$22,0))),"")</f>
        <v/>
      </c>
      <c r="E37" s="212"/>
      <c r="F37" s="213" t="str">
        <f>IF(F$3="","",IF(COUNTIFS(BD!$A$3:$A$5001,F$3,BD!$B$3:$B$5001,$A$33,BD!$L$3:$L$5001,"&lt;&gt;")=0,"",SUMIFS(BD!$L$3:$L$5001,BD!$A$3:$A$5001,F$3,BD!$B$3:$B$5001,$A$33)))</f>
        <v/>
      </c>
      <c r="G37" s="214" t="str">
        <f>IF(G$3="","",IF(COUNTIFS(BD!$A$3:$A$5001,G$3,BD!$B$3:$B$5001,$A$33,BD!$L$3:$L$5001,"&lt;&gt;")=0,"",SUMIFS(BD!$L$3:$L$5001,BD!$A$3:$A$5001,G$3,BD!$B$3:$B$5001,$A$33)))</f>
        <v/>
      </c>
      <c r="H37" s="214" t="str">
        <f>IF(H$3="","",IF(COUNTIFS(BD!$A$3:$A$5001,H$3,BD!$B$3:$B$5001,$A$33,BD!$L$3:$L$5001,"&lt;&gt;")=0,"",SUMIFS(BD!$L$3:$L$5001,BD!$A$3:$A$5001,H$3,BD!$B$3:$B$5001,$A$33)))</f>
        <v/>
      </c>
      <c r="I37" s="214" t="str">
        <f>IF(I$3="","",IF(COUNTIFS(BD!$A$3:$A$5001,I$3,BD!$B$3:$B$5001,$A$33,BD!$L$3:$L$5001,"&lt;&gt;")=0,"",SUMIFS(BD!$L$3:$L$5001,BD!$A$3:$A$5001,I$3,BD!$B$3:$B$5001,$A$33)))</f>
        <v/>
      </c>
      <c r="J37" s="214" t="str">
        <f>IF(J$3="","",IF(COUNTIFS(BD!$A$3:$A$5001,J$3,BD!$B$3:$B$5001,$A$33,BD!$L$3:$L$5001,"&lt;&gt;")=0,"",SUMIFS(BD!$L$3:$L$5001,BD!$A$3:$A$5001,J$3,BD!$B$3:$B$5001,$A$33)))</f>
        <v/>
      </c>
      <c r="K37" s="214" t="str">
        <f>IF(K$3="","",IF(COUNTIFS(BD!$A$3:$A$5001,K$3,BD!$B$3:$B$5001,$A$33,BD!$L$3:$L$5001,"&lt;&gt;")=0,"",SUMIFS(BD!$L$3:$L$5001,BD!$A$3:$A$5001,K$3,BD!$B$3:$B$5001,$A$33)))</f>
        <v/>
      </c>
      <c r="L37" s="214" t="str">
        <f>IF(L$3="","",IF(COUNTIFS(BD!$A$3:$A$5001,L$3,BD!$B$3:$B$5001,$A$33,BD!$L$3:$L$5001,"&lt;&gt;")=0,"",SUMIFS(BD!$L$3:$L$5001,BD!$A$3:$A$5001,L$3,BD!$B$3:$B$5001,$A$33)))</f>
        <v/>
      </c>
      <c r="M37" s="214" t="str">
        <f>IF(M$3="","",IF(COUNTIFS(BD!$A$3:$A$5001,M$3,BD!$B$3:$B$5001,$A$33,BD!$L$3:$L$5001,"&lt;&gt;")=0,"",SUMIFS(BD!$L$3:$L$5001,BD!$A$3:$A$5001,M$3,BD!$B$3:$B$5001,$A$33)))</f>
        <v/>
      </c>
      <c r="N37" s="214" t="str">
        <f>IF(N$3="","",IF(COUNTIFS(BD!$A$3:$A$5001,N$3,BD!$B$3:$B$5001,$A$33,BD!$L$3:$L$5001,"&lt;&gt;")=0,"",SUMIFS(BD!$L$3:$L$5001,BD!$A$3:$A$5001,N$3,BD!$B$3:$B$5001,$A$33)))</f>
        <v/>
      </c>
      <c r="O37" s="214" t="str">
        <f>IF(O$3="","",IF(COUNTIFS(BD!$A$3:$A$5001,O$3,BD!$B$3:$B$5001,$A$33,BD!$L$3:$L$5001,"&lt;&gt;")=0,"",SUMIFS(BD!$L$3:$L$5001,BD!$A$3:$A$5001,O$3,BD!$B$3:$B$5001,$A$33)))</f>
        <v/>
      </c>
      <c r="P37" s="214" t="str">
        <f>IF(P$3="","",IF(COUNTIFS(BD!$A$3:$A$5001,P$3,BD!$B$3:$B$5001,$A$33,BD!$L$3:$L$5001,"&lt;&gt;")=0,"",SUMIFS(BD!$L$3:$L$5001,BD!$A$3:$A$5001,P$3,BD!$B$3:$B$5001,$A$33)))</f>
        <v/>
      </c>
      <c r="Q37" s="214" t="str">
        <f>IF(Q$3="","",IF(COUNTIFS(BD!$A$3:$A$5001,Q$3,BD!$B$3:$B$5001,$A$33,BD!$L$3:$L$5001,"&lt;&gt;")=0,"",SUMIFS(BD!$L$3:$L$5001,BD!$A$3:$A$5001,Q$3,BD!$B$3:$B$5001,$A$33)))</f>
        <v/>
      </c>
      <c r="R37" s="214" t="str">
        <f>IF(R$3="","",IF(COUNTIFS(BD!$A$3:$A$5001,R$3,BD!$B$3:$B$5001,$A$33,BD!$L$3:$L$5001,"&lt;&gt;")=0,"",SUMIFS(BD!$L$3:$L$5001,BD!$A$3:$A$5001,R$3,BD!$B$3:$B$5001,$A$33)))</f>
        <v/>
      </c>
      <c r="S37" s="214" t="str">
        <f>IF(S$3="","",IF(COUNTIFS(BD!$A$3:$A$5001,S$3,BD!$B$3:$B$5001,$A$33,BD!$L$3:$L$5001,"&lt;&gt;")=0,"",SUMIFS(BD!$L$3:$L$5001,BD!$A$3:$A$5001,S$3,BD!$B$3:$B$5001,$A$33)))</f>
        <v/>
      </c>
      <c r="T37" s="214" t="str">
        <f>IF(T$3="","",IF(COUNTIFS(BD!$A$3:$A$5001,T$3,BD!$B$3:$B$5001,$A$33,BD!$L$3:$L$5001,"&lt;&gt;")=0,"",SUMIFS(BD!$L$3:$L$5001,BD!$A$3:$A$5001,T$3,BD!$B$3:$B$5001,$A$33)))</f>
        <v/>
      </c>
      <c r="U37" s="214" t="str">
        <f>IF(U$3="","",IF(COUNTIFS(BD!$A$3:$A$5001,U$3,BD!$B$3:$B$5001,$A$33,BD!$L$3:$L$5001,"&lt;&gt;")=0,"",SUMIFS(BD!$L$3:$L$5001,BD!$A$3:$A$5001,U$3,BD!$B$3:$B$5001,$A$33)))</f>
        <v/>
      </c>
      <c r="V37" s="214" t="str">
        <f>IF(V$3="","",IF(COUNTIFS(BD!$A$3:$A$5001,V$3,BD!$B$3:$B$5001,$A$33,BD!$L$3:$L$5001,"&lt;&gt;")=0,"",SUMIFS(BD!$L$3:$L$5001,BD!$A$3:$A$5001,V$3,BD!$B$3:$B$5001,$A$33)))</f>
        <v/>
      </c>
      <c r="W37" s="214" t="str">
        <f>IF(W$3="","",IF(COUNTIFS(BD!$A$3:$A$5001,W$3,BD!$B$3:$B$5001,$A$33,BD!$L$3:$L$5001,"&lt;&gt;")=0,"",SUMIFS(BD!$L$3:$L$5001,BD!$A$3:$A$5001,W$3,BD!$B$3:$B$5001,$A$33)))</f>
        <v/>
      </c>
      <c r="X37" s="214" t="str">
        <f>IF(X$3="","",IF(COUNTIFS(BD!$A$3:$A$5001,X$3,BD!$B$3:$B$5001,$A$33,BD!$L$3:$L$5001,"&lt;&gt;")=0,"",SUMIFS(BD!$L$3:$L$5001,BD!$A$3:$A$5001,X$3,BD!$B$3:$B$5001,$A$33)))</f>
        <v/>
      </c>
      <c r="Y37" s="214" t="str">
        <f>IF(Y$3="","",IF(COUNTIFS(BD!$A$3:$A$5001,Y$3,BD!$B$3:$B$5001,$A$33,BD!$L$3:$L$5001,"&lt;&gt;")=0,"",SUMIFS(BD!$L$3:$L$5001,BD!$A$3:$A$5001,Y$3,BD!$B$3:$B$5001,$A$33)))</f>
        <v/>
      </c>
      <c r="Z37" s="214" t="str">
        <f>IF(Z$3="","",IF(COUNTIFS(BD!$A$3:$A$5001,Z$3,BD!$B$3:$B$5001,$A$33,BD!$L$3:$L$5001,"&lt;&gt;")=0,"",SUMIFS(BD!$L$3:$L$5001,BD!$A$3:$A$5001,Z$3,BD!$B$3:$B$5001,$A$33)))</f>
        <v/>
      </c>
      <c r="AA37" s="214" t="str">
        <f>IF(AA$3="","",IF(COUNTIFS(BD!$A$3:$A$5001,AA$3,BD!$B$3:$B$5001,$A$33,BD!$L$3:$L$5001,"&lt;&gt;")=0,"",SUMIFS(BD!$L$3:$L$5001,BD!$A$3:$A$5001,AA$3,BD!$B$3:$B$5001,$A$33)))</f>
        <v/>
      </c>
      <c r="AB37" s="214" t="str">
        <f>IF(AB$3="","",IF(COUNTIFS(BD!$A$3:$A$5001,AB$3,BD!$B$3:$B$5001,$A$33,BD!$L$3:$L$5001,"&lt;&gt;")=0,"",SUMIFS(BD!$L$3:$L$5001,BD!$A$3:$A$5001,AB$3,BD!$B$3:$B$5001,$A$33)))</f>
        <v/>
      </c>
      <c r="AC37" s="214" t="str">
        <f>IF(AC$3="","",IF(COUNTIFS(BD!$A$3:$A$5001,AC$3,BD!$B$3:$B$5001,$A$33,BD!$L$3:$L$5001,"&lt;&gt;")=0,"",SUMIFS(BD!$L$3:$L$5001,BD!$A$3:$A$5001,AC$3,BD!$B$3:$B$5001,$A$33)))</f>
        <v/>
      </c>
      <c r="AD37" s="214" t="str">
        <f>IF(AD$3="","",IF(COUNTIFS(BD!$A$3:$A$5001,AD$3,BD!$B$3:$B$5001,$A$33,BD!$L$3:$L$5001,"&lt;&gt;")=0,"",SUMIFS(BD!$L$3:$L$5001,BD!$A$3:$A$5001,AD$3,BD!$B$3:$B$5001,$A$33)))</f>
        <v/>
      </c>
      <c r="AE37" s="214" t="str">
        <f>IF(AE$3="","",IF(COUNTIFS(BD!$A$3:$A$5001,AE$3,BD!$B$3:$B$5001,$A$33,BD!$L$3:$L$5001,"&lt;&gt;")=0,"",SUMIFS(BD!$L$3:$L$5001,BD!$A$3:$A$5001,AE$3,BD!$B$3:$B$5001,$A$33)))</f>
        <v/>
      </c>
      <c r="AF37" s="214" t="str">
        <f>IF(AF$3="","",IF(COUNTIFS(BD!$A$3:$A$5001,AF$3,BD!$B$3:$B$5001,$A$33,BD!$L$3:$L$5001,"&lt;&gt;")=0,"",SUMIFS(BD!$L$3:$L$5001,BD!$A$3:$A$5001,AF$3,BD!$B$3:$B$5001,$A$33)))</f>
        <v/>
      </c>
      <c r="AG37" s="214" t="str">
        <f>IF(AG$3="","",IF(COUNTIFS(BD!$A$3:$A$5001,AG$3,BD!$B$3:$B$5001,$A$33,BD!$L$3:$L$5001,"&lt;&gt;")=0,"",SUMIFS(BD!$L$3:$L$5001,BD!$A$3:$A$5001,AG$3,BD!$B$3:$B$5001,$A$33)))</f>
        <v/>
      </c>
      <c r="AH37" s="214" t="str">
        <f>IF(AH$3="","",IF(COUNTIFS(BD!$A$3:$A$5001,AH$3,BD!$B$3:$B$5001,$A$33,BD!$L$3:$L$5001,"&lt;&gt;")=0,"",SUMIFS(BD!$L$3:$L$5001,BD!$A$3:$A$5001,AH$3,BD!$B$3:$B$5001,$A$33)))</f>
        <v/>
      </c>
      <c r="AI37" s="214" t="str">
        <f>IF(AI$3="","",IF(COUNTIFS(BD!$A$3:$A$5001,AI$3,BD!$B$3:$B$5001,$A$33,BD!$L$3:$L$5001,"&lt;&gt;")=0,"",SUMIFS(BD!$L$3:$L$5001,BD!$A$3:$A$5001,AI$3,BD!$B$3:$B$5001,$A$33)))</f>
        <v/>
      </c>
      <c r="AJ37" s="215" t="str">
        <f>IF(AJ$3="","",IF(COUNTIFS(BD!$A$3:$A$5001,AJ$3,BD!$B$3:$B$5001,$A$33,BD!$L$3:$L$5001,"&lt;&gt;")=0,"",SUMIFS(BD!$L$3:$L$5001,BD!$A$3:$A$5001,AJ$3,BD!$B$3:$B$5001,$A$33)))</f>
        <v/>
      </c>
      <c r="AK37" s="211" t="str">
        <f>IF(COUNT(F37:AJ37)=0,"",SUM(F37:AJ37))</f>
        <v/>
      </c>
    </row>
    <row r="38" ht="15.75" customHeight="1">
      <c r="A38" s="277"/>
      <c r="B38" s="270" t="inlineStr">
        <is>
          <t xml:space="preserve">NC</t>
        </is>
      </c>
      <c r="C38" s="216" t="inlineStr">
        <is>
          <t xml:space="preserve">Incidentes</t>
        </is>
      </c>
      <c r="D38" s="217" t="str">
        <f>IFERROR(1/(1/INDEX(BD!$AF$34:$AZ$34,MATCH($A$33,BD!$AF$22:$AZ$22,0))),"")</f>
        <v/>
      </c>
      <c r="E38" s="218"/>
      <c r="F38" s="219" t="str">
        <f>IF(F$3="","",IF(COUNTIFS(BD!$A$3:$A$5001,F$3,BD!$B$3:$B$5001,$A$33,BD!$N$3:$N$5001,"&lt;&gt;")=0,"",SUMIFS(BD!$N$3:$N$5001,BD!$A$3:$A$5001,F$3,BD!$B$3:$B$5001,$A$33)))</f>
        <v/>
      </c>
      <c r="G38" s="220" t="str">
        <f>IF(G$3="","",IF(COUNTIFS(BD!$A$3:$A$5001,G$3,BD!$B$3:$B$5001,$A$33,BD!$N$3:$N$5001,"&lt;&gt;")=0,"",SUMIFS(BD!$N$3:$N$5001,BD!$A$3:$A$5001,G$3,BD!$B$3:$B$5001,$A$33)))</f>
        <v/>
      </c>
      <c r="H38" s="220" t="str">
        <f>IF(H$3="","",IF(COUNTIFS(BD!$A$3:$A$5001,H$3,BD!$B$3:$B$5001,$A$33,BD!$N$3:$N$5001,"&lt;&gt;")=0,"",SUMIFS(BD!$N$3:$N$5001,BD!$A$3:$A$5001,H$3,BD!$B$3:$B$5001,$A$33)))</f>
        <v/>
      </c>
      <c r="I38" s="220" t="str">
        <f>IF(I$3="","",IF(COUNTIFS(BD!$A$3:$A$5001,I$3,BD!$B$3:$B$5001,$A$33,BD!$N$3:$N$5001,"&lt;&gt;")=0,"",SUMIFS(BD!$N$3:$N$5001,BD!$A$3:$A$5001,I$3,BD!$B$3:$B$5001,$A$33)))</f>
        <v/>
      </c>
      <c r="J38" s="220" t="str">
        <f>IF(J$3="","",IF(COUNTIFS(BD!$A$3:$A$5001,J$3,BD!$B$3:$B$5001,$A$33,BD!$N$3:$N$5001,"&lt;&gt;")=0,"",SUMIFS(BD!$N$3:$N$5001,BD!$A$3:$A$5001,J$3,BD!$B$3:$B$5001,$A$33)))</f>
        <v/>
      </c>
      <c r="K38" s="220" t="str">
        <f>IF(K$3="","",IF(COUNTIFS(BD!$A$3:$A$5001,K$3,BD!$B$3:$B$5001,$A$33,BD!$N$3:$N$5001,"&lt;&gt;")=0,"",SUMIFS(BD!$N$3:$N$5001,BD!$A$3:$A$5001,K$3,BD!$B$3:$B$5001,$A$33)))</f>
        <v/>
      </c>
      <c r="L38" s="220" t="str">
        <f>IF(L$3="","",IF(COUNTIFS(BD!$A$3:$A$5001,L$3,BD!$B$3:$B$5001,$A$33,BD!$N$3:$N$5001,"&lt;&gt;")=0,"",SUMIFS(BD!$N$3:$N$5001,BD!$A$3:$A$5001,L$3,BD!$B$3:$B$5001,$A$33)))</f>
        <v/>
      </c>
      <c r="M38" s="220" t="str">
        <f>IF(M$3="","",IF(COUNTIFS(BD!$A$3:$A$5001,M$3,BD!$B$3:$B$5001,$A$33,BD!$N$3:$N$5001,"&lt;&gt;")=0,"",SUMIFS(BD!$N$3:$N$5001,BD!$A$3:$A$5001,M$3,BD!$B$3:$B$5001,$A$33)))</f>
        <v/>
      </c>
      <c r="N38" s="220" t="str">
        <f>IF(N$3="","",IF(COUNTIFS(BD!$A$3:$A$5001,N$3,BD!$B$3:$B$5001,$A$33,BD!$N$3:$N$5001,"&lt;&gt;")=0,"",SUMIFS(BD!$N$3:$N$5001,BD!$A$3:$A$5001,N$3,BD!$B$3:$B$5001,$A$33)))</f>
        <v/>
      </c>
      <c r="O38" s="220" t="str">
        <f>IF(O$3="","",IF(COUNTIFS(BD!$A$3:$A$5001,O$3,BD!$B$3:$B$5001,$A$33,BD!$N$3:$N$5001,"&lt;&gt;")=0,"",SUMIFS(BD!$N$3:$N$5001,BD!$A$3:$A$5001,O$3,BD!$B$3:$B$5001,$A$33)))</f>
        <v/>
      </c>
      <c r="P38" s="220" t="str">
        <f>IF(P$3="","",IF(COUNTIFS(BD!$A$3:$A$5001,P$3,BD!$B$3:$B$5001,$A$33,BD!$N$3:$N$5001,"&lt;&gt;")=0,"",SUMIFS(BD!$N$3:$N$5001,BD!$A$3:$A$5001,P$3,BD!$B$3:$B$5001,$A$33)))</f>
        <v/>
      </c>
      <c r="Q38" s="220" t="str">
        <f>IF(Q$3="","",IF(COUNTIFS(BD!$A$3:$A$5001,Q$3,BD!$B$3:$B$5001,$A$33,BD!$N$3:$N$5001,"&lt;&gt;")=0,"",SUMIFS(BD!$N$3:$N$5001,BD!$A$3:$A$5001,Q$3,BD!$B$3:$B$5001,$A$33)))</f>
        <v/>
      </c>
      <c r="R38" s="220" t="str">
        <f>IF(R$3="","",IF(COUNTIFS(BD!$A$3:$A$5001,R$3,BD!$B$3:$B$5001,$A$33,BD!$N$3:$N$5001,"&lt;&gt;")=0,"",SUMIFS(BD!$N$3:$N$5001,BD!$A$3:$A$5001,R$3,BD!$B$3:$B$5001,$A$33)))</f>
        <v/>
      </c>
      <c r="S38" s="220" t="str">
        <f>IF(S$3="","",IF(COUNTIFS(BD!$A$3:$A$5001,S$3,BD!$B$3:$B$5001,$A$33,BD!$N$3:$N$5001,"&lt;&gt;")=0,"",SUMIFS(BD!$N$3:$N$5001,BD!$A$3:$A$5001,S$3,BD!$B$3:$B$5001,$A$33)))</f>
        <v/>
      </c>
      <c r="T38" s="220" t="str">
        <f>IF(T$3="","",IF(COUNTIFS(BD!$A$3:$A$5001,T$3,BD!$B$3:$B$5001,$A$33,BD!$N$3:$N$5001,"&lt;&gt;")=0,"",SUMIFS(BD!$N$3:$N$5001,BD!$A$3:$A$5001,T$3,BD!$B$3:$B$5001,$A$33)))</f>
        <v/>
      </c>
      <c r="U38" s="220" t="str">
        <f>IF(U$3="","",IF(COUNTIFS(BD!$A$3:$A$5001,U$3,BD!$B$3:$B$5001,$A$33,BD!$N$3:$N$5001,"&lt;&gt;")=0,"",SUMIFS(BD!$N$3:$N$5001,BD!$A$3:$A$5001,U$3,BD!$B$3:$B$5001,$A$33)))</f>
        <v/>
      </c>
      <c r="V38" s="220" t="str">
        <f>IF(V$3="","",IF(COUNTIFS(BD!$A$3:$A$5001,V$3,BD!$B$3:$B$5001,$A$33,BD!$N$3:$N$5001,"&lt;&gt;")=0,"",SUMIFS(BD!$N$3:$N$5001,BD!$A$3:$A$5001,V$3,BD!$B$3:$B$5001,$A$33)))</f>
        <v/>
      </c>
      <c r="W38" s="220" t="str">
        <f>IF(W$3="","",IF(COUNTIFS(BD!$A$3:$A$5001,W$3,BD!$B$3:$B$5001,$A$33,BD!$N$3:$N$5001,"&lt;&gt;")=0,"",SUMIFS(BD!$N$3:$N$5001,BD!$A$3:$A$5001,W$3,BD!$B$3:$B$5001,$A$33)))</f>
        <v/>
      </c>
      <c r="X38" s="220" t="str">
        <f>IF(X$3="","",IF(COUNTIFS(BD!$A$3:$A$5001,X$3,BD!$B$3:$B$5001,$A$33,BD!$N$3:$N$5001,"&lt;&gt;")=0,"",SUMIFS(BD!$N$3:$N$5001,BD!$A$3:$A$5001,X$3,BD!$B$3:$B$5001,$A$33)))</f>
        <v/>
      </c>
      <c r="Y38" s="220" t="str">
        <f>IF(Y$3="","",IF(COUNTIFS(BD!$A$3:$A$5001,Y$3,BD!$B$3:$B$5001,$A$33,BD!$N$3:$N$5001,"&lt;&gt;")=0,"",SUMIFS(BD!$N$3:$N$5001,BD!$A$3:$A$5001,Y$3,BD!$B$3:$B$5001,$A$33)))</f>
        <v/>
      </c>
      <c r="Z38" s="220" t="str">
        <f>IF(Z$3="","",IF(COUNTIFS(BD!$A$3:$A$5001,Z$3,BD!$B$3:$B$5001,$A$33,BD!$N$3:$N$5001,"&lt;&gt;")=0,"",SUMIFS(BD!$N$3:$N$5001,BD!$A$3:$A$5001,Z$3,BD!$B$3:$B$5001,$A$33)))</f>
        <v/>
      </c>
      <c r="AA38" s="220" t="str">
        <f>IF(AA$3="","",IF(COUNTIFS(BD!$A$3:$A$5001,AA$3,BD!$B$3:$B$5001,$A$33,BD!$N$3:$N$5001,"&lt;&gt;")=0,"",SUMIFS(BD!$N$3:$N$5001,BD!$A$3:$A$5001,AA$3,BD!$B$3:$B$5001,$A$33)))</f>
        <v/>
      </c>
      <c r="AB38" s="220" t="str">
        <f>IF(AB$3="","",IF(COUNTIFS(BD!$A$3:$A$5001,AB$3,BD!$B$3:$B$5001,$A$33,BD!$N$3:$N$5001,"&lt;&gt;")=0,"",SUMIFS(BD!$N$3:$N$5001,BD!$A$3:$A$5001,AB$3,BD!$B$3:$B$5001,$A$33)))</f>
        <v/>
      </c>
      <c r="AC38" s="220" t="str">
        <f>IF(AC$3="","",IF(COUNTIFS(BD!$A$3:$A$5001,AC$3,BD!$B$3:$B$5001,$A$33,BD!$N$3:$N$5001,"&lt;&gt;")=0,"",SUMIFS(BD!$N$3:$N$5001,BD!$A$3:$A$5001,AC$3,BD!$B$3:$B$5001,$A$33)))</f>
        <v/>
      </c>
      <c r="AD38" s="220" t="str">
        <f>IF(AD$3="","",IF(COUNTIFS(BD!$A$3:$A$5001,AD$3,BD!$B$3:$B$5001,$A$33,BD!$N$3:$N$5001,"&lt;&gt;")=0,"",SUMIFS(BD!$N$3:$N$5001,BD!$A$3:$A$5001,AD$3,BD!$B$3:$B$5001,$A$33)))</f>
        <v/>
      </c>
      <c r="AE38" s="220" t="str">
        <f>IF(AE$3="","",IF(COUNTIFS(BD!$A$3:$A$5001,AE$3,BD!$B$3:$B$5001,$A$33,BD!$N$3:$N$5001,"&lt;&gt;")=0,"",SUMIFS(BD!$N$3:$N$5001,BD!$A$3:$A$5001,AE$3,BD!$B$3:$B$5001,$A$33)))</f>
        <v/>
      </c>
      <c r="AF38" s="220" t="str">
        <f>IF(AF$3="","",IF(COUNTIFS(BD!$A$3:$A$5001,AF$3,BD!$B$3:$B$5001,$A$33,BD!$N$3:$N$5001,"&lt;&gt;")=0,"",SUMIFS(BD!$N$3:$N$5001,BD!$A$3:$A$5001,AF$3,BD!$B$3:$B$5001,$A$33)))</f>
        <v/>
      </c>
      <c r="AG38" s="220" t="str">
        <f>IF(AG$3="","",IF(COUNTIFS(BD!$A$3:$A$5001,AG$3,BD!$B$3:$B$5001,$A$33,BD!$N$3:$N$5001,"&lt;&gt;")=0,"",SUMIFS(BD!$N$3:$N$5001,BD!$A$3:$A$5001,AG$3,BD!$B$3:$B$5001,$A$33)))</f>
        <v/>
      </c>
      <c r="AH38" s="220" t="str">
        <f>IF(AH$3="","",IF(COUNTIFS(BD!$A$3:$A$5001,AH$3,BD!$B$3:$B$5001,$A$33,BD!$N$3:$N$5001,"&lt;&gt;")=0,"",SUMIFS(BD!$N$3:$N$5001,BD!$A$3:$A$5001,AH$3,BD!$B$3:$B$5001,$A$33)))</f>
        <v/>
      </c>
      <c r="AI38" s="220" t="str">
        <f>IF(AI$3="","",IF(COUNTIFS(BD!$A$3:$A$5001,AI$3,BD!$B$3:$B$5001,$A$33,BD!$N$3:$N$5001,"&lt;&gt;")=0,"",SUMIFS(BD!$N$3:$N$5001,BD!$A$3:$A$5001,AI$3,BD!$B$3:$B$5001,$A$33)))</f>
        <v/>
      </c>
      <c r="AJ38" s="221" t="str">
        <f>IF(AJ$3="","",IF(COUNTIFS(BD!$A$3:$A$5001,AJ$3,BD!$B$3:$B$5001,$A$33,BD!$N$3:$N$5001,"&lt;&gt;")=0,"",SUMIFS(BD!$N$3:$N$5001,BD!$A$3:$A$5001,AJ$3,BD!$B$3:$B$5001,$A$33)))</f>
        <v/>
      </c>
      <c r="AK38" s="222" t="str">
        <f>IF(COUNT(F38:AJ38)=0,"",SUM(F38:AJ38))</f>
        <v/>
      </c>
    </row>
    <row r="39" ht="15.75" customHeight="1">
      <c r="A39" s="277"/>
      <c r="B39" s="271"/>
      <c r="C39" s="223" t="inlineStr">
        <is>
          <t xml:space="preserve">No show</t>
        </is>
      </c>
      <c r="D39" s="224" t="str">
        <f>IFERROR(1/(1/INDEX(BD!$AF$35:$AZ$35,MATCH($A$33,BD!$AF$22:$AZ$22,0))),"")</f>
        <v/>
      </c>
      <c r="E39" s="225"/>
      <c r="F39" s="226" t="str">
        <f>IF(F$3="","",IF(COUNTIFS(BD!$A$3:$A$5001,F$3,BD!$B$3:$B$5001,$A$33,BD!$O$3:$O$5001,"&lt;&gt;")=0,"",SUMIFS(BD!$O$3:$O$5001,BD!$A$3:$A$5001,F$3,BD!$B$3:$B$5001,$A$33)))</f>
        <v/>
      </c>
      <c r="G39" s="227" t="str">
        <f>IF(G$3="","",IF(COUNTIFS(BD!$A$3:$A$5001,G$3,BD!$B$3:$B$5001,$A$33,BD!$O$3:$O$5001,"&lt;&gt;")=0,"",SUMIFS(BD!$O$3:$O$5001,BD!$A$3:$A$5001,G$3,BD!$B$3:$B$5001,$A$33)))</f>
        <v/>
      </c>
      <c r="H39" s="227" t="str">
        <f>IF(H$3="","",IF(COUNTIFS(BD!$A$3:$A$5001,H$3,BD!$B$3:$B$5001,$A$33,BD!$O$3:$O$5001,"&lt;&gt;")=0,"",SUMIFS(BD!$O$3:$O$5001,BD!$A$3:$A$5001,H$3,BD!$B$3:$B$5001,$A$33)))</f>
        <v/>
      </c>
      <c r="I39" s="227" t="str">
        <f>IF(I$3="","",IF(COUNTIFS(BD!$A$3:$A$5001,I$3,BD!$B$3:$B$5001,$A$33,BD!$O$3:$O$5001,"&lt;&gt;")=0,"",SUMIFS(BD!$O$3:$O$5001,BD!$A$3:$A$5001,I$3,BD!$B$3:$B$5001,$A$33)))</f>
        <v/>
      </c>
      <c r="J39" s="227" t="str">
        <f>IF(J$3="","",IF(COUNTIFS(BD!$A$3:$A$5001,J$3,BD!$B$3:$B$5001,$A$33,BD!$O$3:$O$5001,"&lt;&gt;")=0,"",SUMIFS(BD!$O$3:$O$5001,BD!$A$3:$A$5001,J$3,BD!$B$3:$B$5001,$A$33)))</f>
        <v/>
      </c>
      <c r="K39" s="227" t="str">
        <f>IF(K$3="","",IF(COUNTIFS(BD!$A$3:$A$5001,K$3,BD!$B$3:$B$5001,$A$33,BD!$O$3:$O$5001,"&lt;&gt;")=0,"",SUMIFS(BD!$O$3:$O$5001,BD!$A$3:$A$5001,K$3,BD!$B$3:$B$5001,$A$33)))</f>
        <v/>
      </c>
      <c r="L39" s="227" t="str">
        <f>IF(L$3="","",IF(COUNTIFS(BD!$A$3:$A$5001,L$3,BD!$B$3:$B$5001,$A$33,BD!$O$3:$O$5001,"&lt;&gt;")=0,"",SUMIFS(BD!$O$3:$O$5001,BD!$A$3:$A$5001,L$3,BD!$B$3:$B$5001,$A$33)))</f>
        <v/>
      </c>
      <c r="M39" s="227" t="str">
        <f>IF(M$3="","",IF(COUNTIFS(BD!$A$3:$A$5001,M$3,BD!$B$3:$B$5001,$A$33,BD!$O$3:$O$5001,"&lt;&gt;")=0,"",SUMIFS(BD!$O$3:$O$5001,BD!$A$3:$A$5001,M$3,BD!$B$3:$B$5001,$A$33)))</f>
        <v/>
      </c>
      <c r="N39" s="227" t="str">
        <f>IF(N$3="","",IF(COUNTIFS(BD!$A$3:$A$5001,N$3,BD!$B$3:$B$5001,$A$33,BD!$O$3:$O$5001,"&lt;&gt;")=0,"",SUMIFS(BD!$O$3:$O$5001,BD!$A$3:$A$5001,N$3,BD!$B$3:$B$5001,$A$33)))</f>
        <v/>
      </c>
      <c r="O39" s="227" t="str">
        <f>IF(O$3="","",IF(COUNTIFS(BD!$A$3:$A$5001,O$3,BD!$B$3:$B$5001,$A$33,BD!$O$3:$O$5001,"&lt;&gt;")=0,"",SUMIFS(BD!$O$3:$O$5001,BD!$A$3:$A$5001,O$3,BD!$B$3:$B$5001,$A$33)))</f>
        <v/>
      </c>
      <c r="P39" s="227" t="str">
        <f>IF(P$3="","",IF(COUNTIFS(BD!$A$3:$A$5001,P$3,BD!$B$3:$B$5001,$A$33,BD!$O$3:$O$5001,"&lt;&gt;")=0,"",SUMIFS(BD!$O$3:$O$5001,BD!$A$3:$A$5001,P$3,BD!$B$3:$B$5001,$A$33)))</f>
        <v/>
      </c>
      <c r="Q39" s="227" t="str">
        <f>IF(Q$3="","",IF(COUNTIFS(BD!$A$3:$A$5001,Q$3,BD!$B$3:$B$5001,$A$33,BD!$O$3:$O$5001,"&lt;&gt;")=0,"",SUMIFS(BD!$O$3:$O$5001,BD!$A$3:$A$5001,Q$3,BD!$B$3:$B$5001,$A$33)))</f>
        <v/>
      </c>
      <c r="R39" s="227" t="str">
        <f>IF(R$3="","",IF(COUNTIFS(BD!$A$3:$A$5001,R$3,BD!$B$3:$B$5001,$A$33,BD!$O$3:$O$5001,"&lt;&gt;")=0,"",SUMIFS(BD!$O$3:$O$5001,BD!$A$3:$A$5001,R$3,BD!$B$3:$B$5001,$A$33)))</f>
        <v/>
      </c>
      <c r="S39" s="227" t="str">
        <f>IF(S$3="","",IF(COUNTIFS(BD!$A$3:$A$5001,S$3,BD!$B$3:$B$5001,$A$33,BD!$O$3:$O$5001,"&lt;&gt;")=0,"",SUMIFS(BD!$O$3:$O$5001,BD!$A$3:$A$5001,S$3,BD!$B$3:$B$5001,$A$33)))</f>
        <v/>
      </c>
      <c r="T39" s="227" t="str">
        <f>IF(T$3="","",IF(COUNTIFS(BD!$A$3:$A$5001,T$3,BD!$B$3:$B$5001,$A$33,BD!$O$3:$O$5001,"&lt;&gt;")=0,"",SUMIFS(BD!$O$3:$O$5001,BD!$A$3:$A$5001,T$3,BD!$B$3:$B$5001,$A$33)))</f>
        <v/>
      </c>
      <c r="U39" s="227" t="str">
        <f>IF(U$3="","",IF(COUNTIFS(BD!$A$3:$A$5001,U$3,BD!$B$3:$B$5001,$A$33,BD!$O$3:$O$5001,"&lt;&gt;")=0,"",SUMIFS(BD!$O$3:$O$5001,BD!$A$3:$A$5001,U$3,BD!$B$3:$B$5001,$A$33)))</f>
        <v/>
      </c>
      <c r="V39" s="227" t="str">
        <f>IF(V$3="","",IF(COUNTIFS(BD!$A$3:$A$5001,V$3,BD!$B$3:$B$5001,$A$33,BD!$O$3:$O$5001,"&lt;&gt;")=0,"",SUMIFS(BD!$O$3:$O$5001,BD!$A$3:$A$5001,V$3,BD!$B$3:$B$5001,$A$33)))</f>
        <v/>
      </c>
      <c r="W39" s="227" t="str">
        <f>IF(W$3="","",IF(COUNTIFS(BD!$A$3:$A$5001,W$3,BD!$B$3:$B$5001,$A$33,BD!$O$3:$O$5001,"&lt;&gt;")=0,"",SUMIFS(BD!$O$3:$O$5001,BD!$A$3:$A$5001,W$3,BD!$B$3:$B$5001,$A$33)))</f>
        <v/>
      </c>
      <c r="X39" s="227" t="str">
        <f>IF(X$3="","",IF(COUNTIFS(BD!$A$3:$A$5001,X$3,BD!$B$3:$B$5001,$A$33,BD!$O$3:$O$5001,"&lt;&gt;")=0,"",SUMIFS(BD!$O$3:$O$5001,BD!$A$3:$A$5001,X$3,BD!$B$3:$B$5001,$A$33)))</f>
        <v/>
      </c>
      <c r="Y39" s="227" t="str">
        <f>IF(Y$3="","",IF(COUNTIFS(BD!$A$3:$A$5001,Y$3,BD!$B$3:$B$5001,$A$33,BD!$O$3:$O$5001,"&lt;&gt;")=0,"",SUMIFS(BD!$O$3:$O$5001,BD!$A$3:$A$5001,Y$3,BD!$B$3:$B$5001,$A$33)))</f>
        <v/>
      </c>
      <c r="Z39" s="227" t="str">
        <f>IF(Z$3="","",IF(COUNTIFS(BD!$A$3:$A$5001,Z$3,BD!$B$3:$B$5001,$A$33,BD!$O$3:$O$5001,"&lt;&gt;")=0,"",SUMIFS(BD!$O$3:$O$5001,BD!$A$3:$A$5001,Z$3,BD!$B$3:$B$5001,$A$33)))</f>
        <v/>
      </c>
      <c r="AA39" s="227" t="str">
        <f>IF(AA$3="","",IF(COUNTIFS(BD!$A$3:$A$5001,AA$3,BD!$B$3:$B$5001,$A$33,BD!$O$3:$O$5001,"&lt;&gt;")=0,"",SUMIFS(BD!$O$3:$O$5001,BD!$A$3:$A$5001,AA$3,BD!$B$3:$B$5001,$A$33)))</f>
        <v/>
      </c>
      <c r="AB39" s="227" t="str">
        <f>IF(AB$3="","",IF(COUNTIFS(BD!$A$3:$A$5001,AB$3,BD!$B$3:$B$5001,$A$33,BD!$O$3:$O$5001,"&lt;&gt;")=0,"",SUMIFS(BD!$O$3:$O$5001,BD!$A$3:$A$5001,AB$3,BD!$B$3:$B$5001,$A$33)))</f>
        <v/>
      </c>
      <c r="AC39" s="227" t="str">
        <f>IF(AC$3="","",IF(COUNTIFS(BD!$A$3:$A$5001,AC$3,BD!$B$3:$B$5001,$A$33,BD!$O$3:$O$5001,"&lt;&gt;")=0,"",SUMIFS(BD!$O$3:$O$5001,BD!$A$3:$A$5001,AC$3,BD!$B$3:$B$5001,$A$33)))</f>
        <v/>
      </c>
      <c r="AD39" s="227" t="str">
        <f>IF(AD$3="","",IF(COUNTIFS(BD!$A$3:$A$5001,AD$3,BD!$B$3:$B$5001,$A$33,BD!$O$3:$O$5001,"&lt;&gt;")=0,"",SUMIFS(BD!$O$3:$O$5001,BD!$A$3:$A$5001,AD$3,BD!$B$3:$B$5001,$A$33)))</f>
        <v/>
      </c>
      <c r="AE39" s="227" t="str">
        <f>IF(AE$3="","",IF(COUNTIFS(BD!$A$3:$A$5001,AE$3,BD!$B$3:$B$5001,$A$33,BD!$O$3:$O$5001,"&lt;&gt;")=0,"",SUMIFS(BD!$O$3:$O$5001,BD!$A$3:$A$5001,AE$3,BD!$B$3:$B$5001,$A$33)))</f>
        <v/>
      </c>
      <c r="AF39" s="227" t="str">
        <f>IF(AF$3="","",IF(COUNTIFS(BD!$A$3:$A$5001,AF$3,BD!$B$3:$B$5001,$A$33,BD!$O$3:$O$5001,"&lt;&gt;")=0,"",SUMIFS(BD!$O$3:$O$5001,BD!$A$3:$A$5001,AF$3,BD!$B$3:$B$5001,$A$33)))</f>
        <v/>
      </c>
      <c r="AG39" s="227" t="str">
        <f>IF(AG$3="","",IF(COUNTIFS(BD!$A$3:$A$5001,AG$3,BD!$B$3:$B$5001,$A$33,BD!$O$3:$O$5001,"&lt;&gt;")=0,"",SUMIFS(BD!$O$3:$O$5001,BD!$A$3:$A$5001,AG$3,BD!$B$3:$B$5001,$A$33)))</f>
        <v/>
      </c>
      <c r="AH39" s="227" t="str">
        <f>IF(AH$3="","",IF(COUNTIFS(BD!$A$3:$A$5001,AH$3,BD!$B$3:$B$5001,$A$33,BD!$O$3:$O$5001,"&lt;&gt;")=0,"",SUMIFS(BD!$O$3:$O$5001,BD!$A$3:$A$5001,AH$3,BD!$B$3:$B$5001,$A$33)))</f>
        <v/>
      </c>
      <c r="AI39" s="227" t="str">
        <f>IF(AI$3="","",IF(COUNTIFS(BD!$A$3:$A$5001,AI$3,BD!$B$3:$B$5001,$A$33,BD!$O$3:$O$5001,"&lt;&gt;")=0,"",SUMIFS(BD!$O$3:$O$5001,BD!$A$3:$A$5001,AI$3,BD!$B$3:$B$5001,$A$33)))</f>
        <v/>
      </c>
      <c r="AJ39" s="228" t="str">
        <f>IF(AJ$3="","",IF(COUNTIFS(BD!$A$3:$A$5001,AJ$3,BD!$B$3:$B$5001,$A$33,BD!$O$3:$O$5001,"&lt;&gt;")=0,"",SUMIFS(BD!$O$3:$O$5001,BD!$A$3:$A$5001,AJ$3,BD!$B$3:$B$5001,$A$33)))</f>
        <v/>
      </c>
      <c r="AK39" s="229" t="str">
        <f>IF(COUNT(F39:AJ39)=0,"",SUM(F39:AJ39))</f>
        <v/>
      </c>
    </row>
    <row r="40" ht="15.75" customHeight="1">
      <c r="A40" s="277"/>
      <c r="B40" s="271"/>
      <c r="C40" s="223" t="inlineStr">
        <is>
          <t xml:space="preserve">Backlog Intralog</t>
        </is>
      </c>
      <c r="D40" s="224" t="str">
        <f>IFERROR(1/(1/INDEX(BD!$AF$36:$AZ$36,MATCH($A$33,BD!$AF$22:$AZ$22,0))),"")</f>
        <v/>
      </c>
      <c r="E40" s="225"/>
      <c r="F40" s="226" t="str">
        <f>IF(F$3="","",IF(COUNTIFS(BD!$A$3:$A$5001,F$3,BD!$B$3:$B$5001,$A$33,BD!$P$3:$P$5001,"&lt;&gt;")=0,"",SUMIFS(BD!$P$3:$P$5001,BD!$A$3:$A$5001,F$3,BD!$B$3:$B$5001,$A$33)))</f>
        <v/>
      </c>
      <c r="G40" s="227" t="str">
        <f>IF(G$3="","",IF(COUNTIFS(BD!$A$3:$A$5001,G$3,BD!$B$3:$B$5001,$A$33,BD!$P$3:$P$5001,"&lt;&gt;")=0,"",SUMIFS(BD!$P$3:$P$5001,BD!$A$3:$A$5001,G$3,BD!$B$3:$B$5001,$A$33)))</f>
        <v/>
      </c>
      <c r="H40" s="227" t="str">
        <f>IF(H$3="","",IF(COUNTIFS(BD!$A$3:$A$5001,H$3,BD!$B$3:$B$5001,$A$33,BD!$P$3:$P$5001,"&lt;&gt;")=0,"",SUMIFS(BD!$P$3:$P$5001,BD!$A$3:$A$5001,H$3,BD!$B$3:$B$5001,$A$33)))</f>
        <v/>
      </c>
      <c r="I40" s="227" t="str">
        <f>IF(I$3="","",IF(COUNTIFS(BD!$A$3:$A$5001,I$3,BD!$B$3:$B$5001,$A$33,BD!$P$3:$P$5001,"&lt;&gt;")=0,"",SUMIFS(BD!$P$3:$P$5001,BD!$A$3:$A$5001,I$3,BD!$B$3:$B$5001,$A$33)))</f>
        <v/>
      </c>
      <c r="J40" s="227" t="str">
        <f>IF(J$3="","",IF(COUNTIFS(BD!$A$3:$A$5001,J$3,BD!$B$3:$B$5001,$A$33,BD!$P$3:$P$5001,"&lt;&gt;")=0,"",SUMIFS(BD!$P$3:$P$5001,BD!$A$3:$A$5001,J$3,BD!$B$3:$B$5001,$A$33)))</f>
        <v/>
      </c>
      <c r="K40" s="227" t="str">
        <f>IF(K$3="","",IF(COUNTIFS(BD!$A$3:$A$5001,K$3,BD!$B$3:$B$5001,$A$33,BD!$P$3:$P$5001,"&lt;&gt;")=0,"",SUMIFS(BD!$P$3:$P$5001,BD!$A$3:$A$5001,K$3,BD!$B$3:$B$5001,$A$33)))</f>
        <v/>
      </c>
      <c r="L40" s="227" t="str">
        <f>IF(L$3="","",IF(COUNTIFS(BD!$A$3:$A$5001,L$3,BD!$B$3:$B$5001,$A$33,BD!$P$3:$P$5001,"&lt;&gt;")=0,"",SUMIFS(BD!$P$3:$P$5001,BD!$A$3:$A$5001,L$3,BD!$B$3:$B$5001,$A$33)))</f>
        <v/>
      </c>
      <c r="M40" s="227" t="str">
        <f>IF(M$3="","",IF(COUNTIFS(BD!$A$3:$A$5001,M$3,BD!$B$3:$B$5001,$A$33,BD!$P$3:$P$5001,"&lt;&gt;")=0,"",SUMIFS(BD!$P$3:$P$5001,BD!$A$3:$A$5001,M$3,BD!$B$3:$B$5001,$A$33)))</f>
        <v/>
      </c>
      <c r="N40" s="227" t="str">
        <f>IF(N$3="","",IF(COUNTIFS(BD!$A$3:$A$5001,N$3,BD!$B$3:$B$5001,$A$33,BD!$P$3:$P$5001,"&lt;&gt;")=0,"",SUMIFS(BD!$P$3:$P$5001,BD!$A$3:$A$5001,N$3,BD!$B$3:$B$5001,$A$33)))</f>
        <v/>
      </c>
      <c r="O40" s="227" t="str">
        <f>IF(O$3="","",IF(COUNTIFS(BD!$A$3:$A$5001,O$3,BD!$B$3:$B$5001,$A$33,BD!$P$3:$P$5001,"&lt;&gt;")=0,"",SUMIFS(BD!$P$3:$P$5001,BD!$A$3:$A$5001,O$3,BD!$B$3:$B$5001,$A$33)))</f>
        <v/>
      </c>
      <c r="P40" s="227" t="str">
        <f>IF(P$3="","",IF(COUNTIFS(BD!$A$3:$A$5001,P$3,BD!$B$3:$B$5001,$A$33,BD!$P$3:$P$5001,"&lt;&gt;")=0,"",SUMIFS(BD!$P$3:$P$5001,BD!$A$3:$A$5001,P$3,BD!$B$3:$B$5001,$A$33)))</f>
        <v/>
      </c>
      <c r="Q40" s="227" t="str">
        <f>IF(Q$3="","",IF(COUNTIFS(BD!$A$3:$A$5001,Q$3,BD!$B$3:$B$5001,$A$33,BD!$P$3:$P$5001,"&lt;&gt;")=0,"",SUMIFS(BD!$P$3:$P$5001,BD!$A$3:$A$5001,Q$3,BD!$B$3:$B$5001,$A$33)))</f>
        <v/>
      </c>
      <c r="R40" s="227" t="str">
        <f>IF(R$3="","",IF(COUNTIFS(BD!$A$3:$A$5001,R$3,BD!$B$3:$B$5001,$A$33,BD!$P$3:$P$5001,"&lt;&gt;")=0,"",SUMIFS(BD!$P$3:$P$5001,BD!$A$3:$A$5001,R$3,BD!$B$3:$B$5001,$A$33)))</f>
        <v/>
      </c>
      <c r="S40" s="227" t="str">
        <f>IF(S$3="","",IF(COUNTIFS(BD!$A$3:$A$5001,S$3,BD!$B$3:$B$5001,$A$33,BD!$P$3:$P$5001,"&lt;&gt;")=0,"",SUMIFS(BD!$P$3:$P$5001,BD!$A$3:$A$5001,S$3,BD!$B$3:$B$5001,$A$33)))</f>
        <v/>
      </c>
      <c r="T40" s="227" t="str">
        <f>IF(T$3="","",IF(COUNTIFS(BD!$A$3:$A$5001,T$3,BD!$B$3:$B$5001,$A$33,BD!$P$3:$P$5001,"&lt;&gt;")=0,"",SUMIFS(BD!$P$3:$P$5001,BD!$A$3:$A$5001,T$3,BD!$B$3:$B$5001,$A$33)))</f>
        <v/>
      </c>
      <c r="U40" s="227" t="str">
        <f>IF(U$3="","",IF(COUNTIFS(BD!$A$3:$A$5001,U$3,BD!$B$3:$B$5001,$A$33,BD!$P$3:$P$5001,"&lt;&gt;")=0,"",SUMIFS(BD!$P$3:$P$5001,BD!$A$3:$A$5001,U$3,BD!$B$3:$B$5001,$A$33)))</f>
        <v/>
      </c>
      <c r="V40" s="227" t="str">
        <f>IF(V$3="","",IF(COUNTIFS(BD!$A$3:$A$5001,V$3,BD!$B$3:$B$5001,$A$33,BD!$P$3:$P$5001,"&lt;&gt;")=0,"",SUMIFS(BD!$P$3:$P$5001,BD!$A$3:$A$5001,V$3,BD!$B$3:$B$5001,$A$33)))</f>
        <v/>
      </c>
      <c r="W40" s="227" t="str">
        <f>IF(W$3="","",IF(COUNTIFS(BD!$A$3:$A$5001,W$3,BD!$B$3:$B$5001,$A$33,BD!$P$3:$P$5001,"&lt;&gt;")=0,"",SUMIFS(BD!$P$3:$P$5001,BD!$A$3:$A$5001,W$3,BD!$B$3:$B$5001,$A$33)))</f>
        <v/>
      </c>
      <c r="X40" s="227" t="str">
        <f>IF(X$3="","",IF(COUNTIFS(BD!$A$3:$A$5001,X$3,BD!$B$3:$B$5001,$A$33,BD!$P$3:$P$5001,"&lt;&gt;")=0,"",SUMIFS(BD!$P$3:$P$5001,BD!$A$3:$A$5001,X$3,BD!$B$3:$B$5001,$A$33)))</f>
        <v/>
      </c>
      <c r="Y40" s="227" t="str">
        <f>IF(Y$3="","",IF(COUNTIFS(BD!$A$3:$A$5001,Y$3,BD!$B$3:$B$5001,$A$33,BD!$P$3:$P$5001,"&lt;&gt;")=0,"",SUMIFS(BD!$P$3:$P$5001,BD!$A$3:$A$5001,Y$3,BD!$B$3:$B$5001,$A$33)))</f>
        <v/>
      </c>
      <c r="Z40" s="227" t="str">
        <f>IF(Z$3="","",IF(COUNTIFS(BD!$A$3:$A$5001,Z$3,BD!$B$3:$B$5001,$A$33,BD!$P$3:$P$5001,"&lt;&gt;")=0,"",SUMIFS(BD!$P$3:$P$5001,BD!$A$3:$A$5001,Z$3,BD!$B$3:$B$5001,$A$33)))</f>
        <v/>
      </c>
      <c r="AA40" s="227" t="str">
        <f>IF(AA$3="","",IF(COUNTIFS(BD!$A$3:$A$5001,AA$3,BD!$B$3:$B$5001,$A$33,BD!$P$3:$P$5001,"&lt;&gt;")=0,"",SUMIFS(BD!$P$3:$P$5001,BD!$A$3:$A$5001,AA$3,BD!$B$3:$B$5001,$A$33)))</f>
        <v/>
      </c>
      <c r="AB40" s="227" t="str">
        <f>IF(AB$3="","",IF(COUNTIFS(BD!$A$3:$A$5001,AB$3,BD!$B$3:$B$5001,$A$33,BD!$P$3:$P$5001,"&lt;&gt;")=0,"",SUMIFS(BD!$P$3:$P$5001,BD!$A$3:$A$5001,AB$3,BD!$B$3:$B$5001,$A$33)))</f>
        <v/>
      </c>
      <c r="AC40" s="227" t="str">
        <f>IF(AC$3="","",IF(COUNTIFS(BD!$A$3:$A$5001,AC$3,BD!$B$3:$B$5001,$A$33,BD!$P$3:$P$5001,"&lt;&gt;")=0,"",SUMIFS(BD!$P$3:$P$5001,BD!$A$3:$A$5001,AC$3,BD!$B$3:$B$5001,$A$33)))</f>
        <v/>
      </c>
      <c r="AD40" s="227" t="str">
        <f>IF(AD$3="","",IF(COUNTIFS(BD!$A$3:$A$5001,AD$3,BD!$B$3:$B$5001,$A$33,BD!$P$3:$P$5001,"&lt;&gt;")=0,"",SUMIFS(BD!$P$3:$P$5001,BD!$A$3:$A$5001,AD$3,BD!$B$3:$B$5001,$A$33)))</f>
        <v/>
      </c>
      <c r="AE40" s="227" t="str">
        <f>IF(AE$3="","",IF(COUNTIFS(BD!$A$3:$A$5001,AE$3,BD!$B$3:$B$5001,$A$33,BD!$P$3:$P$5001,"&lt;&gt;")=0,"",SUMIFS(BD!$P$3:$P$5001,BD!$A$3:$A$5001,AE$3,BD!$B$3:$B$5001,$A$33)))</f>
        <v/>
      </c>
      <c r="AF40" s="227" t="str">
        <f>IF(AF$3="","",IF(COUNTIFS(BD!$A$3:$A$5001,AF$3,BD!$B$3:$B$5001,$A$33,BD!$P$3:$P$5001,"&lt;&gt;")=0,"",SUMIFS(BD!$P$3:$P$5001,BD!$A$3:$A$5001,AF$3,BD!$B$3:$B$5001,$A$33)))</f>
        <v/>
      </c>
      <c r="AG40" s="227" t="str">
        <f>IF(AG$3="","",IF(COUNTIFS(BD!$A$3:$A$5001,AG$3,BD!$B$3:$B$5001,$A$33,BD!$P$3:$P$5001,"&lt;&gt;")=0,"",SUMIFS(BD!$P$3:$P$5001,BD!$A$3:$A$5001,AG$3,BD!$B$3:$B$5001,$A$33)))</f>
        <v/>
      </c>
      <c r="AH40" s="227" t="str">
        <f>IF(AH$3="","",IF(COUNTIFS(BD!$A$3:$A$5001,AH$3,BD!$B$3:$B$5001,$A$33,BD!$P$3:$P$5001,"&lt;&gt;")=0,"",SUMIFS(BD!$P$3:$P$5001,BD!$A$3:$A$5001,AH$3,BD!$B$3:$B$5001,$A$33)))</f>
        <v/>
      </c>
      <c r="AI40" s="227" t="str">
        <f>IF(AI$3="","",IF(COUNTIFS(BD!$A$3:$A$5001,AI$3,BD!$B$3:$B$5001,$A$33,BD!$P$3:$P$5001,"&lt;&gt;")=0,"",SUMIFS(BD!$P$3:$P$5001,BD!$A$3:$A$5001,AI$3,BD!$B$3:$B$5001,$A$33)))</f>
        <v/>
      </c>
      <c r="AJ40" s="228" t="str">
        <f>IF(AJ$3="","",IF(COUNTIFS(BD!$A$3:$A$5001,AJ$3,BD!$B$3:$B$5001,$A$33,BD!$P$3:$P$5001,"&lt;&gt;")=0,"",SUMIFS(BD!$P$3:$P$5001,BD!$A$3:$A$5001,AJ$3,BD!$B$3:$B$5001,$A$33)))</f>
        <v/>
      </c>
      <c r="AK40" s="229" t="str">
        <f>IFERROR(LOOKUP(9.99E+307,F40:AJ40),"")</f>
        <v/>
      </c>
    </row>
    <row r="41" ht="15.75" customHeight="1">
      <c r="A41" s="277"/>
      <c r="B41" s="272"/>
      <c r="C41" s="230" t="inlineStr">
        <is>
          <t xml:space="preserve">Backlog Cliente</t>
        </is>
      </c>
      <c r="D41" s="231" t="str">
        <f>IFERROR(1/(1/INDEX(BD!$AF$37:$AZ$37,MATCH($A$33,BD!$AF$22:$AZ$22,0))),"")</f>
        <v/>
      </c>
      <c r="E41" s="232"/>
      <c r="F41" s="233" t="str">
        <f>IF(F$3="","",IF(COUNTIFS(BD!$A$3:$A$5001,F$3,BD!$B$3:$B$5001,$A$33,BD!$Q$3:$Q$5001,"&lt;&gt;")=0,"",SUMIFS(BD!$Q$3:$Q$5001,BD!$A$3:$A$5001,F$3,BD!$B$3:$B$5001,$A$33)))</f>
        <v/>
      </c>
      <c r="G41" s="234" t="str">
        <f>IF(G$3="","",IF(COUNTIFS(BD!$A$3:$A$5001,G$3,BD!$B$3:$B$5001,$A$33,BD!$Q$3:$Q$5001,"&lt;&gt;")=0,"",SUMIFS(BD!$Q$3:$Q$5001,BD!$A$3:$A$5001,G$3,BD!$B$3:$B$5001,$A$33)))</f>
        <v/>
      </c>
      <c r="H41" s="234" t="str">
        <f>IF(H$3="","",IF(COUNTIFS(BD!$A$3:$A$5001,H$3,BD!$B$3:$B$5001,$A$33,BD!$Q$3:$Q$5001,"&lt;&gt;")=0,"",SUMIFS(BD!$Q$3:$Q$5001,BD!$A$3:$A$5001,H$3,BD!$B$3:$B$5001,$A$33)))</f>
        <v/>
      </c>
      <c r="I41" s="234" t="str">
        <f>IF(I$3="","",IF(COUNTIFS(BD!$A$3:$A$5001,I$3,BD!$B$3:$B$5001,$A$33,BD!$Q$3:$Q$5001,"&lt;&gt;")=0,"",SUMIFS(BD!$Q$3:$Q$5001,BD!$A$3:$A$5001,I$3,BD!$B$3:$B$5001,$A$33)))</f>
        <v/>
      </c>
      <c r="J41" s="234" t="str">
        <f>IF(J$3="","",IF(COUNTIFS(BD!$A$3:$A$5001,J$3,BD!$B$3:$B$5001,$A$33,BD!$Q$3:$Q$5001,"&lt;&gt;")=0,"",SUMIFS(BD!$Q$3:$Q$5001,BD!$A$3:$A$5001,J$3,BD!$B$3:$B$5001,$A$33)))</f>
        <v/>
      </c>
      <c r="K41" s="234" t="str">
        <f>IF(K$3="","",IF(COUNTIFS(BD!$A$3:$A$5001,K$3,BD!$B$3:$B$5001,$A$33,BD!$Q$3:$Q$5001,"&lt;&gt;")=0,"",SUMIFS(BD!$Q$3:$Q$5001,BD!$A$3:$A$5001,K$3,BD!$B$3:$B$5001,$A$33)))</f>
        <v/>
      </c>
      <c r="L41" s="234" t="str">
        <f>IF(L$3="","",IF(COUNTIFS(BD!$A$3:$A$5001,L$3,BD!$B$3:$B$5001,$A$33,BD!$Q$3:$Q$5001,"&lt;&gt;")=0,"",SUMIFS(BD!$Q$3:$Q$5001,BD!$A$3:$A$5001,L$3,BD!$B$3:$B$5001,$A$33)))</f>
        <v/>
      </c>
      <c r="M41" s="234" t="str">
        <f>IF(M$3="","",IF(COUNTIFS(BD!$A$3:$A$5001,M$3,BD!$B$3:$B$5001,$A$33,BD!$Q$3:$Q$5001,"&lt;&gt;")=0,"",SUMIFS(BD!$Q$3:$Q$5001,BD!$A$3:$A$5001,M$3,BD!$B$3:$B$5001,$A$33)))</f>
        <v/>
      </c>
      <c r="N41" s="234" t="str">
        <f>IF(N$3="","",IF(COUNTIFS(BD!$A$3:$A$5001,N$3,BD!$B$3:$B$5001,$A$33,BD!$Q$3:$Q$5001,"&lt;&gt;")=0,"",SUMIFS(BD!$Q$3:$Q$5001,BD!$A$3:$A$5001,N$3,BD!$B$3:$B$5001,$A$33)))</f>
        <v/>
      </c>
      <c r="O41" s="234" t="str">
        <f>IF(O$3="","",IF(COUNTIFS(BD!$A$3:$A$5001,O$3,BD!$B$3:$B$5001,$A$33,BD!$Q$3:$Q$5001,"&lt;&gt;")=0,"",SUMIFS(BD!$Q$3:$Q$5001,BD!$A$3:$A$5001,O$3,BD!$B$3:$B$5001,$A$33)))</f>
        <v/>
      </c>
      <c r="P41" s="234" t="str">
        <f>IF(P$3="","",IF(COUNTIFS(BD!$A$3:$A$5001,P$3,BD!$B$3:$B$5001,$A$33,BD!$Q$3:$Q$5001,"&lt;&gt;")=0,"",SUMIFS(BD!$Q$3:$Q$5001,BD!$A$3:$A$5001,P$3,BD!$B$3:$B$5001,$A$33)))</f>
        <v/>
      </c>
      <c r="Q41" s="234" t="str">
        <f>IF(Q$3="","",IF(COUNTIFS(BD!$A$3:$A$5001,Q$3,BD!$B$3:$B$5001,$A$33,BD!$Q$3:$Q$5001,"&lt;&gt;")=0,"",SUMIFS(BD!$Q$3:$Q$5001,BD!$A$3:$A$5001,Q$3,BD!$B$3:$B$5001,$A$33)))</f>
        <v/>
      </c>
      <c r="R41" s="234" t="str">
        <f>IF(R$3="","",IF(COUNTIFS(BD!$A$3:$A$5001,R$3,BD!$B$3:$B$5001,$A$33,BD!$Q$3:$Q$5001,"&lt;&gt;")=0,"",SUMIFS(BD!$Q$3:$Q$5001,BD!$A$3:$A$5001,R$3,BD!$B$3:$B$5001,$A$33)))</f>
        <v/>
      </c>
      <c r="S41" s="234" t="str">
        <f>IF(S$3="","",IF(COUNTIFS(BD!$A$3:$A$5001,S$3,BD!$B$3:$B$5001,$A$33,BD!$Q$3:$Q$5001,"&lt;&gt;")=0,"",SUMIFS(BD!$Q$3:$Q$5001,BD!$A$3:$A$5001,S$3,BD!$B$3:$B$5001,$A$33)))</f>
        <v/>
      </c>
      <c r="T41" s="234" t="str">
        <f>IF(T$3="","",IF(COUNTIFS(BD!$A$3:$A$5001,T$3,BD!$B$3:$B$5001,$A$33,BD!$Q$3:$Q$5001,"&lt;&gt;")=0,"",SUMIFS(BD!$Q$3:$Q$5001,BD!$A$3:$A$5001,T$3,BD!$B$3:$B$5001,$A$33)))</f>
        <v/>
      </c>
      <c r="U41" s="234" t="str">
        <f>IF(U$3="","",IF(COUNTIFS(BD!$A$3:$A$5001,U$3,BD!$B$3:$B$5001,$A$33,BD!$Q$3:$Q$5001,"&lt;&gt;")=0,"",SUMIFS(BD!$Q$3:$Q$5001,BD!$A$3:$A$5001,U$3,BD!$B$3:$B$5001,$A$33)))</f>
        <v/>
      </c>
      <c r="V41" s="234" t="str">
        <f>IF(V$3="","",IF(COUNTIFS(BD!$A$3:$A$5001,V$3,BD!$B$3:$B$5001,$A$33,BD!$Q$3:$Q$5001,"&lt;&gt;")=0,"",SUMIFS(BD!$Q$3:$Q$5001,BD!$A$3:$A$5001,V$3,BD!$B$3:$B$5001,$A$33)))</f>
        <v/>
      </c>
      <c r="W41" s="234" t="str">
        <f>IF(W$3="","",IF(COUNTIFS(BD!$A$3:$A$5001,W$3,BD!$B$3:$B$5001,$A$33,BD!$Q$3:$Q$5001,"&lt;&gt;")=0,"",SUMIFS(BD!$Q$3:$Q$5001,BD!$A$3:$A$5001,W$3,BD!$B$3:$B$5001,$A$33)))</f>
        <v/>
      </c>
      <c r="X41" s="234" t="str">
        <f>IF(X$3="","",IF(COUNTIFS(BD!$A$3:$A$5001,X$3,BD!$B$3:$B$5001,$A$33,BD!$Q$3:$Q$5001,"&lt;&gt;")=0,"",SUMIFS(BD!$Q$3:$Q$5001,BD!$A$3:$A$5001,X$3,BD!$B$3:$B$5001,$A$33)))</f>
        <v/>
      </c>
      <c r="Y41" s="234" t="str">
        <f>IF(Y$3="","",IF(COUNTIFS(BD!$A$3:$A$5001,Y$3,BD!$B$3:$B$5001,$A$33,BD!$Q$3:$Q$5001,"&lt;&gt;")=0,"",SUMIFS(BD!$Q$3:$Q$5001,BD!$A$3:$A$5001,Y$3,BD!$B$3:$B$5001,$A$33)))</f>
        <v/>
      </c>
      <c r="Z41" s="234" t="str">
        <f>IF(Z$3="","",IF(COUNTIFS(BD!$A$3:$A$5001,Z$3,BD!$B$3:$B$5001,$A$33,BD!$Q$3:$Q$5001,"&lt;&gt;")=0,"",SUMIFS(BD!$Q$3:$Q$5001,BD!$A$3:$A$5001,Z$3,BD!$B$3:$B$5001,$A$33)))</f>
        <v/>
      </c>
      <c r="AA41" s="234" t="str">
        <f>IF(AA$3="","",IF(COUNTIFS(BD!$A$3:$A$5001,AA$3,BD!$B$3:$B$5001,$A$33,BD!$Q$3:$Q$5001,"&lt;&gt;")=0,"",SUMIFS(BD!$Q$3:$Q$5001,BD!$A$3:$A$5001,AA$3,BD!$B$3:$B$5001,$A$33)))</f>
        <v/>
      </c>
      <c r="AB41" s="234" t="str">
        <f>IF(AB$3="","",IF(COUNTIFS(BD!$A$3:$A$5001,AB$3,BD!$B$3:$B$5001,$A$33,BD!$Q$3:$Q$5001,"&lt;&gt;")=0,"",SUMIFS(BD!$Q$3:$Q$5001,BD!$A$3:$A$5001,AB$3,BD!$B$3:$B$5001,$A$33)))</f>
        <v/>
      </c>
      <c r="AC41" s="234" t="str">
        <f>IF(AC$3="","",IF(COUNTIFS(BD!$A$3:$A$5001,AC$3,BD!$B$3:$B$5001,$A$33,BD!$Q$3:$Q$5001,"&lt;&gt;")=0,"",SUMIFS(BD!$Q$3:$Q$5001,BD!$A$3:$A$5001,AC$3,BD!$B$3:$B$5001,$A$33)))</f>
        <v/>
      </c>
      <c r="AD41" s="234" t="str">
        <f>IF(AD$3="","",IF(COUNTIFS(BD!$A$3:$A$5001,AD$3,BD!$B$3:$B$5001,$A$33,BD!$Q$3:$Q$5001,"&lt;&gt;")=0,"",SUMIFS(BD!$Q$3:$Q$5001,BD!$A$3:$A$5001,AD$3,BD!$B$3:$B$5001,$A$33)))</f>
        <v/>
      </c>
      <c r="AE41" s="234" t="str">
        <f>IF(AE$3="","",IF(COUNTIFS(BD!$A$3:$A$5001,AE$3,BD!$B$3:$B$5001,$A$33,BD!$Q$3:$Q$5001,"&lt;&gt;")=0,"",SUMIFS(BD!$Q$3:$Q$5001,BD!$A$3:$A$5001,AE$3,BD!$B$3:$B$5001,$A$33)))</f>
        <v/>
      </c>
      <c r="AF41" s="234" t="str">
        <f>IF(AF$3="","",IF(COUNTIFS(BD!$A$3:$A$5001,AF$3,BD!$B$3:$B$5001,$A$33,BD!$Q$3:$Q$5001,"&lt;&gt;")=0,"",SUMIFS(BD!$Q$3:$Q$5001,BD!$A$3:$A$5001,AF$3,BD!$B$3:$B$5001,$A$33)))</f>
        <v/>
      </c>
      <c r="AG41" s="234" t="str">
        <f>IF(AG$3="","",IF(COUNTIFS(BD!$A$3:$A$5001,AG$3,BD!$B$3:$B$5001,$A$33,BD!$Q$3:$Q$5001,"&lt;&gt;")=0,"",SUMIFS(BD!$Q$3:$Q$5001,BD!$A$3:$A$5001,AG$3,BD!$B$3:$B$5001,$A$33)))</f>
        <v/>
      </c>
      <c r="AH41" s="234" t="str">
        <f>IF(AH$3="","",IF(COUNTIFS(BD!$A$3:$A$5001,AH$3,BD!$B$3:$B$5001,$A$33,BD!$Q$3:$Q$5001,"&lt;&gt;")=0,"",SUMIFS(BD!$Q$3:$Q$5001,BD!$A$3:$A$5001,AH$3,BD!$B$3:$B$5001,$A$33)))</f>
        <v/>
      </c>
      <c r="AI41" s="234" t="str">
        <f>IF(AI$3="","",IF(COUNTIFS(BD!$A$3:$A$5001,AI$3,BD!$B$3:$B$5001,$A$33,BD!$Q$3:$Q$5001,"&lt;&gt;")=0,"",SUMIFS(BD!$Q$3:$Q$5001,BD!$A$3:$A$5001,AI$3,BD!$B$3:$B$5001,$A$33)))</f>
        <v/>
      </c>
      <c r="AJ41" s="235" t="str">
        <f>IF(AJ$3="","",IF(COUNTIFS(BD!$A$3:$A$5001,AJ$3,BD!$B$3:$B$5001,$A$33,BD!$Q$3:$Q$5001,"&lt;&gt;")=0,"",SUMIFS(BD!$Q$3:$Q$5001,BD!$A$3:$A$5001,AJ$3,BD!$B$3:$B$5001,$A$33)))</f>
        <v/>
      </c>
      <c r="AK41" s="231" t="str">
        <f>IFERROR(LOOKUP(9.99E+307,F41:AJ41),"")</f>
        <v/>
      </c>
    </row>
    <row r="42" ht="15.75" customHeight="1">
      <c r="A42" s="277"/>
      <c r="B42" s="273" t="inlineStr">
        <is>
          <t xml:space="preserve">GENTE</t>
        </is>
      </c>
      <c r="C42" s="240" t="inlineStr">
        <is>
          <t xml:space="preserve">Efetivo Op.</t>
        </is>
      </c>
      <c r="D42" s="241" t="str">
        <f>IFERROR(1/(1/INDEX(BD!$AF$41:$AZ$41,MATCH($A$33,BD!$AF$22:$AZ$22,0))),"")</f>
        <v/>
      </c>
      <c r="E42" s="242"/>
      <c r="F42" s="243" t="str">
        <f>IF(F$3="","",IF(COUNTIFS(BD!$A$3:$A$5001,F$3,BD!$B$3:$B$5001,$A$33,BD!$T$3:$T$5001,"&lt;&gt;")=0,"",SUMIFS(BD!$T$3:$T$5001,BD!$A$3:$A$5001,F$3,BD!$B$3:$B$5001,$A$33)))</f>
        <v/>
      </c>
      <c r="G42" s="244" t="str">
        <f>IF(G$3="","",IF(COUNTIFS(BD!$A$3:$A$5001,G$3,BD!$B$3:$B$5001,$A$33,BD!$T$3:$T$5001,"&lt;&gt;")=0,"",SUMIFS(BD!$T$3:$T$5001,BD!$A$3:$A$5001,G$3,BD!$B$3:$B$5001,$A$33)))</f>
        <v/>
      </c>
      <c r="H42" s="244" t="str">
        <f>IF(H$3="","",IF(COUNTIFS(BD!$A$3:$A$5001,H$3,BD!$B$3:$B$5001,$A$33,BD!$T$3:$T$5001,"&lt;&gt;")=0,"",SUMIFS(BD!$T$3:$T$5001,BD!$A$3:$A$5001,H$3,BD!$B$3:$B$5001,$A$33)))</f>
        <v/>
      </c>
      <c r="I42" s="244" t="str">
        <f>IF(I$3="","",IF(COUNTIFS(BD!$A$3:$A$5001,I$3,BD!$B$3:$B$5001,$A$33,BD!$T$3:$T$5001,"&lt;&gt;")=0,"",SUMIFS(BD!$T$3:$T$5001,BD!$A$3:$A$5001,I$3,BD!$B$3:$B$5001,$A$33)))</f>
        <v/>
      </c>
      <c r="J42" s="244" t="str">
        <f>IF(J$3="","",IF(COUNTIFS(BD!$A$3:$A$5001,J$3,BD!$B$3:$B$5001,$A$33,BD!$T$3:$T$5001,"&lt;&gt;")=0,"",SUMIFS(BD!$T$3:$T$5001,BD!$A$3:$A$5001,J$3,BD!$B$3:$B$5001,$A$33)))</f>
        <v/>
      </c>
      <c r="K42" s="244" t="str">
        <f>IF(K$3="","",IF(COUNTIFS(BD!$A$3:$A$5001,K$3,BD!$B$3:$B$5001,$A$33,BD!$T$3:$T$5001,"&lt;&gt;")=0,"",SUMIFS(BD!$T$3:$T$5001,BD!$A$3:$A$5001,K$3,BD!$B$3:$B$5001,$A$33)))</f>
        <v/>
      </c>
      <c r="L42" s="244" t="str">
        <f>IF(L$3="","",IF(COUNTIFS(BD!$A$3:$A$5001,L$3,BD!$B$3:$B$5001,$A$33,BD!$T$3:$T$5001,"&lt;&gt;")=0,"",SUMIFS(BD!$T$3:$T$5001,BD!$A$3:$A$5001,L$3,BD!$B$3:$B$5001,$A$33)))</f>
        <v/>
      </c>
      <c r="M42" s="244" t="str">
        <f>IF(M$3="","",IF(COUNTIFS(BD!$A$3:$A$5001,M$3,BD!$B$3:$B$5001,$A$33,BD!$T$3:$T$5001,"&lt;&gt;")=0,"",SUMIFS(BD!$T$3:$T$5001,BD!$A$3:$A$5001,M$3,BD!$B$3:$B$5001,$A$33)))</f>
        <v/>
      </c>
      <c r="N42" s="244" t="str">
        <f>IF(N$3="","",IF(COUNTIFS(BD!$A$3:$A$5001,N$3,BD!$B$3:$B$5001,$A$33,BD!$T$3:$T$5001,"&lt;&gt;")=0,"",SUMIFS(BD!$T$3:$T$5001,BD!$A$3:$A$5001,N$3,BD!$B$3:$B$5001,$A$33)))</f>
        <v/>
      </c>
      <c r="O42" s="244" t="str">
        <f>IF(O$3="","",IF(COUNTIFS(BD!$A$3:$A$5001,O$3,BD!$B$3:$B$5001,$A$33,BD!$T$3:$T$5001,"&lt;&gt;")=0,"",SUMIFS(BD!$T$3:$T$5001,BD!$A$3:$A$5001,O$3,BD!$B$3:$B$5001,$A$33)))</f>
        <v/>
      </c>
      <c r="P42" s="244" t="str">
        <f>IF(P$3="","",IF(COUNTIFS(BD!$A$3:$A$5001,P$3,BD!$B$3:$B$5001,$A$33,BD!$T$3:$T$5001,"&lt;&gt;")=0,"",SUMIFS(BD!$T$3:$T$5001,BD!$A$3:$A$5001,P$3,BD!$B$3:$B$5001,$A$33)))</f>
        <v/>
      </c>
      <c r="Q42" s="244" t="str">
        <f>IF(Q$3="","",IF(COUNTIFS(BD!$A$3:$A$5001,Q$3,BD!$B$3:$B$5001,$A$33,BD!$T$3:$T$5001,"&lt;&gt;")=0,"",SUMIFS(BD!$T$3:$T$5001,BD!$A$3:$A$5001,Q$3,BD!$B$3:$B$5001,$A$33)))</f>
        <v/>
      </c>
      <c r="R42" s="244" t="str">
        <f>IF(R$3="","",IF(COUNTIFS(BD!$A$3:$A$5001,R$3,BD!$B$3:$B$5001,$A$33,BD!$T$3:$T$5001,"&lt;&gt;")=0,"",SUMIFS(BD!$T$3:$T$5001,BD!$A$3:$A$5001,R$3,BD!$B$3:$B$5001,$A$33)))</f>
        <v/>
      </c>
      <c r="S42" s="244" t="str">
        <f>IF(S$3="","",IF(COUNTIFS(BD!$A$3:$A$5001,S$3,BD!$B$3:$B$5001,$A$33,BD!$T$3:$T$5001,"&lt;&gt;")=0,"",SUMIFS(BD!$T$3:$T$5001,BD!$A$3:$A$5001,S$3,BD!$B$3:$B$5001,$A$33)))</f>
        <v/>
      </c>
      <c r="T42" s="244" t="str">
        <f>IF(T$3="","",IF(COUNTIFS(BD!$A$3:$A$5001,T$3,BD!$B$3:$B$5001,$A$33,BD!$T$3:$T$5001,"&lt;&gt;")=0,"",SUMIFS(BD!$T$3:$T$5001,BD!$A$3:$A$5001,T$3,BD!$B$3:$B$5001,$A$33)))</f>
        <v/>
      </c>
      <c r="U42" s="244" t="str">
        <f>IF(U$3="","",IF(COUNTIFS(BD!$A$3:$A$5001,U$3,BD!$B$3:$B$5001,$A$33,BD!$T$3:$T$5001,"&lt;&gt;")=0,"",SUMIFS(BD!$T$3:$T$5001,BD!$A$3:$A$5001,U$3,BD!$B$3:$B$5001,$A$33)))</f>
        <v/>
      </c>
      <c r="V42" s="244" t="str">
        <f>IF(V$3="","",IF(COUNTIFS(BD!$A$3:$A$5001,V$3,BD!$B$3:$B$5001,$A$33,BD!$T$3:$T$5001,"&lt;&gt;")=0,"",SUMIFS(BD!$T$3:$T$5001,BD!$A$3:$A$5001,V$3,BD!$B$3:$B$5001,$A$33)))</f>
        <v/>
      </c>
      <c r="W42" s="244" t="str">
        <f>IF(W$3="","",IF(COUNTIFS(BD!$A$3:$A$5001,W$3,BD!$B$3:$B$5001,$A$33,BD!$T$3:$T$5001,"&lt;&gt;")=0,"",SUMIFS(BD!$T$3:$T$5001,BD!$A$3:$A$5001,W$3,BD!$B$3:$B$5001,$A$33)))</f>
        <v/>
      </c>
      <c r="X42" s="244" t="str">
        <f>IF(X$3="","",IF(COUNTIFS(BD!$A$3:$A$5001,X$3,BD!$B$3:$B$5001,$A$33,BD!$T$3:$T$5001,"&lt;&gt;")=0,"",SUMIFS(BD!$T$3:$T$5001,BD!$A$3:$A$5001,X$3,BD!$B$3:$B$5001,$A$33)))</f>
        <v/>
      </c>
      <c r="Y42" s="244" t="str">
        <f>IF(Y$3="","",IF(COUNTIFS(BD!$A$3:$A$5001,Y$3,BD!$B$3:$B$5001,$A$33,BD!$T$3:$T$5001,"&lt;&gt;")=0,"",SUMIFS(BD!$T$3:$T$5001,BD!$A$3:$A$5001,Y$3,BD!$B$3:$B$5001,$A$33)))</f>
        <v/>
      </c>
      <c r="Z42" s="244" t="str">
        <f>IF(Z$3="","",IF(COUNTIFS(BD!$A$3:$A$5001,Z$3,BD!$B$3:$B$5001,$A$33,BD!$T$3:$T$5001,"&lt;&gt;")=0,"",SUMIFS(BD!$T$3:$T$5001,BD!$A$3:$A$5001,Z$3,BD!$B$3:$B$5001,$A$33)))</f>
        <v/>
      </c>
      <c r="AA42" s="244" t="str">
        <f>IF(AA$3="","",IF(COUNTIFS(BD!$A$3:$A$5001,AA$3,BD!$B$3:$B$5001,$A$33,BD!$T$3:$T$5001,"&lt;&gt;")=0,"",SUMIFS(BD!$T$3:$T$5001,BD!$A$3:$A$5001,AA$3,BD!$B$3:$B$5001,$A$33)))</f>
        <v/>
      </c>
      <c r="AB42" s="244" t="str">
        <f>IF(AB$3="","",IF(COUNTIFS(BD!$A$3:$A$5001,AB$3,BD!$B$3:$B$5001,$A$33,BD!$T$3:$T$5001,"&lt;&gt;")=0,"",SUMIFS(BD!$T$3:$T$5001,BD!$A$3:$A$5001,AB$3,BD!$B$3:$B$5001,$A$33)))</f>
        <v/>
      </c>
      <c r="AC42" s="244" t="str">
        <f>IF(AC$3="","",IF(COUNTIFS(BD!$A$3:$A$5001,AC$3,BD!$B$3:$B$5001,$A$33,BD!$T$3:$T$5001,"&lt;&gt;")=0,"",SUMIFS(BD!$T$3:$T$5001,BD!$A$3:$A$5001,AC$3,BD!$B$3:$B$5001,$A$33)))</f>
        <v/>
      </c>
      <c r="AD42" s="244" t="str">
        <f>IF(AD$3="","",IF(COUNTIFS(BD!$A$3:$A$5001,AD$3,BD!$B$3:$B$5001,$A$33,BD!$T$3:$T$5001,"&lt;&gt;")=0,"",SUMIFS(BD!$T$3:$T$5001,BD!$A$3:$A$5001,AD$3,BD!$B$3:$B$5001,$A$33)))</f>
        <v/>
      </c>
      <c r="AE42" s="244" t="str">
        <f>IF(AE$3="","",IF(COUNTIFS(BD!$A$3:$A$5001,AE$3,BD!$B$3:$B$5001,$A$33,BD!$T$3:$T$5001,"&lt;&gt;")=0,"",SUMIFS(BD!$T$3:$T$5001,BD!$A$3:$A$5001,AE$3,BD!$B$3:$B$5001,$A$33)))</f>
        <v/>
      </c>
      <c r="AF42" s="244" t="str">
        <f>IF(AF$3="","",IF(COUNTIFS(BD!$A$3:$A$5001,AF$3,BD!$B$3:$B$5001,$A$33,BD!$T$3:$T$5001,"&lt;&gt;")=0,"",SUMIFS(BD!$T$3:$T$5001,BD!$A$3:$A$5001,AF$3,BD!$B$3:$B$5001,$A$33)))</f>
        <v/>
      </c>
      <c r="AG42" s="244" t="str">
        <f>IF(AG$3="","",IF(COUNTIFS(BD!$A$3:$A$5001,AG$3,BD!$B$3:$B$5001,$A$33,BD!$T$3:$T$5001,"&lt;&gt;")=0,"",SUMIFS(BD!$T$3:$T$5001,BD!$A$3:$A$5001,AG$3,BD!$B$3:$B$5001,$A$33)))</f>
        <v/>
      </c>
      <c r="AH42" s="244" t="str">
        <f>IF(AH$3="","",IF(COUNTIFS(BD!$A$3:$A$5001,AH$3,BD!$B$3:$B$5001,$A$33,BD!$T$3:$T$5001,"&lt;&gt;")=0,"",SUMIFS(BD!$T$3:$T$5001,BD!$A$3:$A$5001,AH$3,BD!$B$3:$B$5001,$A$33)))</f>
        <v/>
      </c>
      <c r="AI42" s="244" t="str">
        <f>IF(AI$3="","",IF(COUNTIFS(BD!$A$3:$A$5001,AI$3,BD!$B$3:$B$5001,$A$33,BD!$T$3:$T$5001,"&lt;&gt;")=0,"",SUMIFS(BD!$T$3:$T$5001,BD!$A$3:$A$5001,AI$3,BD!$B$3:$B$5001,$A$33)))</f>
        <v/>
      </c>
      <c r="AJ42" s="245" t="str">
        <f>IF(AJ$3="","",IF(COUNTIFS(BD!$A$3:$A$5001,AJ$3,BD!$B$3:$B$5001,$A$33,BD!$T$3:$T$5001,"&lt;&gt;")=0,"",SUMIFS(BD!$T$3:$T$5001,BD!$A$3:$A$5001,AJ$3,BD!$B$3:$B$5001,$A$33)))</f>
        <v/>
      </c>
      <c r="AK42" s="246" t="str">
        <f>IFERROR(LOOKUP(9.99E+307,F42:AJ42),"")</f>
        <v/>
      </c>
    </row>
    <row r="43" ht="15.75" customHeight="1">
      <c r="A43" s="277"/>
      <c r="B43" s="274"/>
      <c r="C43" s="247" t="inlineStr">
        <is>
          <t xml:space="preserve">Falta</t>
        </is>
      </c>
      <c r="D43" s="248" t="str">
        <f>IFERROR(1/(1/INDEX(BD!$AF$42:$AZ$42,MATCH($A$33,BD!$AF$22:$AZ$22,0))),"")</f>
        <v/>
      </c>
      <c r="E43" s="249"/>
      <c r="F43" s="250" t="str">
        <f>IF(F$3="","",IF(COUNTIFS(BD!$A$3:$A$5001,F$3,BD!$B$3:$B$5001,$A$33,BD!$U$3:$U$5001,"&lt;&gt;")=0,"",SUMIFS(BD!$U$3:$U$5001,BD!$A$3:$A$5001,F$3,BD!$B$3:$B$5001,$A$33)))</f>
        <v/>
      </c>
      <c r="G43" s="251" t="str">
        <f>IF(G$3="","",IF(COUNTIFS(BD!$A$3:$A$5001,G$3,BD!$B$3:$B$5001,$A$33,BD!$U$3:$U$5001,"&lt;&gt;")=0,"",SUMIFS(BD!$U$3:$U$5001,BD!$A$3:$A$5001,G$3,BD!$B$3:$B$5001,$A$33)))</f>
        <v/>
      </c>
      <c r="H43" s="251" t="str">
        <f>IF(H$3="","",IF(COUNTIFS(BD!$A$3:$A$5001,H$3,BD!$B$3:$B$5001,$A$33,BD!$U$3:$U$5001,"&lt;&gt;")=0,"",SUMIFS(BD!$U$3:$U$5001,BD!$A$3:$A$5001,H$3,BD!$B$3:$B$5001,$A$33)))</f>
        <v/>
      </c>
      <c r="I43" s="251" t="str">
        <f>IF(I$3="","",IF(COUNTIFS(BD!$A$3:$A$5001,I$3,BD!$B$3:$B$5001,$A$33,BD!$U$3:$U$5001,"&lt;&gt;")=0,"",SUMIFS(BD!$U$3:$U$5001,BD!$A$3:$A$5001,I$3,BD!$B$3:$B$5001,$A$33)))</f>
        <v/>
      </c>
      <c r="J43" s="251" t="str">
        <f>IF(J$3="","",IF(COUNTIFS(BD!$A$3:$A$5001,J$3,BD!$B$3:$B$5001,$A$33,BD!$U$3:$U$5001,"&lt;&gt;")=0,"",SUMIFS(BD!$U$3:$U$5001,BD!$A$3:$A$5001,J$3,BD!$B$3:$B$5001,$A$33)))</f>
        <v/>
      </c>
      <c r="K43" s="251" t="str">
        <f>IF(K$3="","",IF(COUNTIFS(BD!$A$3:$A$5001,K$3,BD!$B$3:$B$5001,$A$33,BD!$U$3:$U$5001,"&lt;&gt;")=0,"",SUMIFS(BD!$U$3:$U$5001,BD!$A$3:$A$5001,K$3,BD!$B$3:$B$5001,$A$33)))</f>
        <v/>
      </c>
      <c r="L43" s="251" t="str">
        <f>IF(L$3="","",IF(COUNTIFS(BD!$A$3:$A$5001,L$3,BD!$B$3:$B$5001,$A$33,BD!$U$3:$U$5001,"&lt;&gt;")=0,"",SUMIFS(BD!$U$3:$U$5001,BD!$A$3:$A$5001,L$3,BD!$B$3:$B$5001,$A$33)))</f>
        <v/>
      </c>
      <c r="M43" s="251" t="str">
        <f>IF(M$3="","",IF(COUNTIFS(BD!$A$3:$A$5001,M$3,BD!$B$3:$B$5001,$A$33,BD!$U$3:$U$5001,"&lt;&gt;")=0,"",SUMIFS(BD!$U$3:$U$5001,BD!$A$3:$A$5001,M$3,BD!$B$3:$B$5001,$A$33)))</f>
        <v/>
      </c>
      <c r="N43" s="251" t="str">
        <f>IF(N$3="","",IF(COUNTIFS(BD!$A$3:$A$5001,N$3,BD!$B$3:$B$5001,$A$33,BD!$U$3:$U$5001,"&lt;&gt;")=0,"",SUMIFS(BD!$U$3:$U$5001,BD!$A$3:$A$5001,N$3,BD!$B$3:$B$5001,$A$33)))</f>
        <v/>
      </c>
      <c r="O43" s="251" t="str">
        <f>IF(O$3="","",IF(COUNTIFS(BD!$A$3:$A$5001,O$3,BD!$B$3:$B$5001,$A$33,BD!$U$3:$U$5001,"&lt;&gt;")=0,"",SUMIFS(BD!$U$3:$U$5001,BD!$A$3:$A$5001,O$3,BD!$B$3:$B$5001,$A$33)))</f>
        <v/>
      </c>
      <c r="P43" s="251" t="str">
        <f>IF(P$3="","",IF(COUNTIFS(BD!$A$3:$A$5001,P$3,BD!$B$3:$B$5001,$A$33,BD!$U$3:$U$5001,"&lt;&gt;")=0,"",SUMIFS(BD!$U$3:$U$5001,BD!$A$3:$A$5001,P$3,BD!$B$3:$B$5001,$A$33)))</f>
        <v/>
      </c>
      <c r="Q43" s="251" t="str">
        <f>IF(Q$3="","",IF(COUNTIFS(BD!$A$3:$A$5001,Q$3,BD!$B$3:$B$5001,$A$33,BD!$U$3:$U$5001,"&lt;&gt;")=0,"",SUMIFS(BD!$U$3:$U$5001,BD!$A$3:$A$5001,Q$3,BD!$B$3:$B$5001,$A$33)))</f>
        <v/>
      </c>
      <c r="R43" s="251" t="str">
        <f>IF(R$3="","",IF(COUNTIFS(BD!$A$3:$A$5001,R$3,BD!$B$3:$B$5001,$A$33,BD!$U$3:$U$5001,"&lt;&gt;")=0,"",SUMIFS(BD!$U$3:$U$5001,BD!$A$3:$A$5001,R$3,BD!$B$3:$B$5001,$A$33)))</f>
        <v/>
      </c>
      <c r="S43" s="251" t="str">
        <f>IF(S$3="","",IF(COUNTIFS(BD!$A$3:$A$5001,S$3,BD!$B$3:$B$5001,$A$33,BD!$U$3:$U$5001,"&lt;&gt;")=0,"",SUMIFS(BD!$U$3:$U$5001,BD!$A$3:$A$5001,S$3,BD!$B$3:$B$5001,$A$33)))</f>
        <v/>
      </c>
      <c r="T43" s="251" t="str">
        <f>IF(T$3="","",IF(COUNTIFS(BD!$A$3:$A$5001,T$3,BD!$B$3:$B$5001,$A$33,BD!$U$3:$U$5001,"&lt;&gt;")=0,"",SUMIFS(BD!$U$3:$U$5001,BD!$A$3:$A$5001,T$3,BD!$B$3:$B$5001,$A$33)))</f>
        <v/>
      </c>
      <c r="U43" s="251" t="str">
        <f>IF(U$3="","",IF(COUNTIFS(BD!$A$3:$A$5001,U$3,BD!$B$3:$B$5001,$A$33,BD!$U$3:$U$5001,"&lt;&gt;")=0,"",SUMIFS(BD!$U$3:$U$5001,BD!$A$3:$A$5001,U$3,BD!$B$3:$B$5001,$A$33)))</f>
        <v/>
      </c>
      <c r="V43" s="251" t="str">
        <f>IF(V$3="","",IF(COUNTIFS(BD!$A$3:$A$5001,V$3,BD!$B$3:$B$5001,$A$33,BD!$U$3:$U$5001,"&lt;&gt;")=0,"",SUMIFS(BD!$U$3:$U$5001,BD!$A$3:$A$5001,V$3,BD!$B$3:$B$5001,$A$33)))</f>
        <v/>
      </c>
      <c r="W43" s="251" t="str">
        <f>IF(W$3="","",IF(COUNTIFS(BD!$A$3:$A$5001,W$3,BD!$B$3:$B$5001,$A$33,BD!$U$3:$U$5001,"&lt;&gt;")=0,"",SUMIFS(BD!$U$3:$U$5001,BD!$A$3:$A$5001,W$3,BD!$B$3:$B$5001,$A$33)))</f>
        <v/>
      </c>
      <c r="X43" s="251" t="str">
        <f>IF(X$3="","",IF(COUNTIFS(BD!$A$3:$A$5001,X$3,BD!$B$3:$B$5001,$A$33,BD!$U$3:$U$5001,"&lt;&gt;")=0,"",SUMIFS(BD!$U$3:$U$5001,BD!$A$3:$A$5001,X$3,BD!$B$3:$B$5001,$A$33)))</f>
        <v/>
      </c>
      <c r="Y43" s="251" t="str">
        <f>IF(Y$3="","",IF(COUNTIFS(BD!$A$3:$A$5001,Y$3,BD!$B$3:$B$5001,$A$33,BD!$U$3:$U$5001,"&lt;&gt;")=0,"",SUMIFS(BD!$U$3:$U$5001,BD!$A$3:$A$5001,Y$3,BD!$B$3:$B$5001,$A$33)))</f>
        <v/>
      </c>
      <c r="Z43" s="251" t="str">
        <f>IF(Z$3="","",IF(COUNTIFS(BD!$A$3:$A$5001,Z$3,BD!$B$3:$B$5001,$A$33,BD!$U$3:$U$5001,"&lt;&gt;")=0,"",SUMIFS(BD!$U$3:$U$5001,BD!$A$3:$A$5001,Z$3,BD!$B$3:$B$5001,$A$33)))</f>
        <v/>
      </c>
      <c r="AA43" s="251" t="str">
        <f>IF(AA$3="","",IF(COUNTIFS(BD!$A$3:$A$5001,AA$3,BD!$B$3:$B$5001,$A$33,BD!$U$3:$U$5001,"&lt;&gt;")=0,"",SUMIFS(BD!$U$3:$U$5001,BD!$A$3:$A$5001,AA$3,BD!$B$3:$B$5001,$A$33)))</f>
        <v/>
      </c>
      <c r="AB43" s="251" t="str">
        <f>IF(AB$3="","",IF(COUNTIFS(BD!$A$3:$A$5001,AB$3,BD!$B$3:$B$5001,$A$33,BD!$U$3:$U$5001,"&lt;&gt;")=0,"",SUMIFS(BD!$U$3:$U$5001,BD!$A$3:$A$5001,AB$3,BD!$B$3:$B$5001,$A$33)))</f>
        <v/>
      </c>
      <c r="AC43" s="251" t="str">
        <f>IF(AC$3="","",IF(COUNTIFS(BD!$A$3:$A$5001,AC$3,BD!$B$3:$B$5001,$A$33,BD!$U$3:$U$5001,"&lt;&gt;")=0,"",SUMIFS(BD!$U$3:$U$5001,BD!$A$3:$A$5001,AC$3,BD!$B$3:$B$5001,$A$33)))</f>
        <v/>
      </c>
      <c r="AD43" s="251" t="str">
        <f>IF(AD$3="","",IF(COUNTIFS(BD!$A$3:$A$5001,AD$3,BD!$B$3:$B$5001,$A$33,BD!$U$3:$U$5001,"&lt;&gt;")=0,"",SUMIFS(BD!$U$3:$U$5001,BD!$A$3:$A$5001,AD$3,BD!$B$3:$B$5001,$A$33)))</f>
        <v/>
      </c>
      <c r="AE43" s="251" t="str">
        <f>IF(AE$3="","",IF(COUNTIFS(BD!$A$3:$A$5001,AE$3,BD!$B$3:$B$5001,$A$33,BD!$U$3:$U$5001,"&lt;&gt;")=0,"",SUMIFS(BD!$U$3:$U$5001,BD!$A$3:$A$5001,AE$3,BD!$B$3:$B$5001,$A$33)))</f>
        <v/>
      </c>
      <c r="AF43" s="251" t="str">
        <f>IF(AF$3="","",IF(COUNTIFS(BD!$A$3:$A$5001,AF$3,BD!$B$3:$B$5001,$A$33,BD!$U$3:$U$5001,"&lt;&gt;")=0,"",SUMIFS(BD!$U$3:$U$5001,BD!$A$3:$A$5001,AF$3,BD!$B$3:$B$5001,$A$33)))</f>
        <v/>
      </c>
      <c r="AG43" s="251" t="str">
        <f>IF(AG$3="","",IF(COUNTIFS(BD!$A$3:$A$5001,AG$3,BD!$B$3:$B$5001,$A$33,BD!$U$3:$U$5001,"&lt;&gt;")=0,"",SUMIFS(BD!$U$3:$U$5001,BD!$A$3:$A$5001,AG$3,BD!$B$3:$B$5001,$A$33)))</f>
        <v/>
      </c>
      <c r="AH43" s="251" t="str">
        <f>IF(AH$3="","",IF(COUNTIFS(BD!$A$3:$A$5001,AH$3,BD!$B$3:$B$5001,$A$33,BD!$U$3:$U$5001,"&lt;&gt;")=0,"",SUMIFS(BD!$U$3:$U$5001,BD!$A$3:$A$5001,AH$3,BD!$B$3:$B$5001,$A$33)))</f>
        <v/>
      </c>
      <c r="AI43" s="251" t="str">
        <f>IF(AI$3="","",IF(COUNTIFS(BD!$A$3:$A$5001,AI$3,BD!$B$3:$B$5001,$A$33,BD!$U$3:$U$5001,"&lt;&gt;")=0,"",SUMIFS(BD!$U$3:$U$5001,BD!$A$3:$A$5001,AI$3,BD!$B$3:$B$5001,$A$33)))</f>
        <v/>
      </c>
      <c r="AJ43" s="252" t="str">
        <f>IF(AJ$3="","",IF(COUNTIFS(BD!$A$3:$A$5001,AJ$3,BD!$B$3:$B$5001,$A$33,BD!$U$3:$U$5001,"&lt;&gt;")=0,"",SUMIFS(BD!$U$3:$U$5001,BD!$A$3:$A$5001,AJ$3,BD!$B$3:$B$5001,$A$33)))</f>
        <v/>
      </c>
      <c r="AK43" s="253" t="str">
        <f>IF(COUNT(F43:AJ43)=0,"",SUM(F43:AJ43))</f>
        <v/>
      </c>
    </row>
    <row r="44" ht="15.75" customHeight="1">
      <c r="A44" s="277"/>
      <c r="B44" s="274"/>
      <c r="C44" s="247" t="inlineStr">
        <is>
          <t xml:space="preserve">Absenteísmo (H/H)</t>
        </is>
      </c>
      <c r="D44" s="248" t="str">
        <f>IFERROR(1/(1/INDEX(BD!$AF$43:$AZ$43,MATCH($A$33,BD!$AF$22:$AZ$22,0))),"")</f>
        <v/>
      </c>
      <c r="E44" s="249"/>
      <c r="F44" s="254" t="str">
        <f>IF(F$3="","",IF(COUNTIFS(BD!$A$3:$A$5001,F$3,BD!$B$3:$B$5001,$A$33,BD!$V$3:$V$5001,"&lt;&gt;")=0,"",SUMIFS(BD!$V$3:$V$5001,BD!$A$3:$A$5001,F$3,BD!$B$3:$B$5001,$A$33)))</f>
        <v/>
      </c>
      <c r="G44" s="255" t="str">
        <f>IF(G$3="","",IF(COUNTIFS(BD!$A$3:$A$5001,G$3,BD!$B$3:$B$5001,$A$33,BD!$V$3:$V$5001,"&lt;&gt;")=0,"",SUMIFS(BD!$V$3:$V$5001,BD!$A$3:$A$5001,G$3,BD!$B$3:$B$5001,$A$33)))</f>
        <v/>
      </c>
      <c r="H44" s="255" t="str">
        <f>IF(H$3="","",IF(COUNTIFS(BD!$A$3:$A$5001,H$3,BD!$B$3:$B$5001,$A$33,BD!$V$3:$V$5001,"&lt;&gt;")=0,"",SUMIFS(BD!$V$3:$V$5001,BD!$A$3:$A$5001,H$3,BD!$B$3:$B$5001,$A$33)))</f>
        <v/>
      </c>
      <c r="I44" s="255" t="str">
        <f>IF(I$3="","",IF(COUNTIFS(BD!$A$3:$A$5001,I$3,BD!$B$3:$B$5001,$A$33,BD!$V$3:$V$5001,"&lt;&gt;")=0,"",SUMIFS(BD!$V$3:$V$5001,BD!$A$3:$A$5001,I$3,BD!$B$3:$B$5001,$A$33)))</f>
        <v/>
      </c>
      <c r="J44" s="255" t="str">
        <f>IF(J$3="","",IF(COUNTIFS(BD!$A$3:$A$5001,J$3,BD!$B$3:$B$5001,$A$33,BD!$V$3:$V$5001,"&lt;&gt;")=0,"",SUMIFS(BD!$V$3:$V$5001,BD!$A$3:$A$5001,J$3,BD!$B$3:$B$5001,$A$33)))</f>
        <v/>
      </c>
      <c r="K44" s="255" t="str">
        <f>IF(K$3="","",IF(COUNTIFS(BD!$A$3:$A$5001,K$3,BD!$B$3:$B$5001,$A$33,BD!$V$3:$V$5001,"&lt;&gt;")=0,"",SUMIFS(BD!$V$3:$V$5001,BD!$A$3:$A$5001,K$3,BD!$B$3:$B$5001,$A$33)))</f>
        <v/>
      </c>
      <c r="L44" s="255" t="str">
        <f>IF(L$3="","",IF(COUNTIFS(BD!$A$3:$A$5001,L$3,BD!$B$3:$B$5001,$A$33,BD!$V$3:$V$5001,"&lt;&gt;")=0,"",SUMIFS(BD!$V$3:$V$5001,BD!$A$3:$A$5001,L$3,BD!$B$3:$B$5001,$A$33)))</f>
        <v/>
      </c>
      <c r="M44" s="255" t="str">
        <f>IF(M$3="","",IF(COUNTIFS(BD!$A$3:$A$5001,M$3,BD!$B$3:$B$5001,$A$33,BD!$V$3:$V$5001,"&lt;&gt;")=0,"",SUMIFS(BD!$V$3:$V$5001,BD!$A$3:$A$5001,M$3,BD!$B$3:$B$5001,$A$33)))</f>
        <v/>
      </c>
      <c r="N44" s="255" t="str">
        <f>IF(N$3="","",IF(COUNTIFS(BD!$A$3:$A$5001,N$3,BD!$B$3:$B$5001,$A$33,BD!$V$3:$V$5001,"&lt;&gt;")=0,"",SUMIFS(BD!$V$3:$V$5001,BD!$A$3:$A$5001,N$3,BD!$B$3:$B$5001,$A$33)))</f>
        <v/>
      </c>
      <c r="O44" s="255" t="str">
        <f>IF(O$3="","",IF(COUNTIFS(BD!$A$3:$A$5001,O$3,BD!$B$3:$B$5001,$A$33,BD!$V$3:$V$5001,"&lt;&gt;")=0,"",SUMIFS(BD!$V$3:$V$5001,BD!$A$3:$A$5001,O$3,BD!$B$3:$B$5001,$A$33)))</f>
        <v/>
      </c>
      <c r="P44" s="255" t="str">
        <f>IF(P$3="","",IF(COUNTIFS(BD!$A$3:$A$5001,P$3,BD!$B$3:$B$5001,$A$33,BD!$V$3:$V$5001,"&lt;&gt;")=0,"",SUMIFS(BD!$V$3:$V$5001,BD!$A$3:$A$5001,P$3,BD!$B$3:$B$5001,$A$33)))</f>
        <v/>
      </c>
      <c r="Q44" s="255" t="str">
        <f>IF(Q$3="","",IF(COUNTIFS(BD!$A$3:$A$5001,Q$3,BD!$B$3:$B$5001,$A$33,BD!$V$3:$V$5001,"&lt;&gt;")=0,"",SUMIFS(BD!$V$3:$V$5001,BD!$A$3:$A$5001,Q$3,BD!$B$3:$B$5001,$A$33)))</f>
        <v/>
      </c>
      <c r="R44" s="255" t="str">
        <f>IF(R$3="","",IF(COUNTIFS(BD!$A$3:$A$5001,R$3,BD!$B$3:$B$5001,$A$33,BD!$V$3:$V$5001,"&lt;&gt;")=0,"",SUMIFS(BD!$V$3:$V$5001,BD!$A$3:$A$5001,R$3,BD!$B$3:$B$5001,$A$33)))</f>
        <v/>
      </c>
      <c r="S44" s="255" t="str">
        <f>IF(S$3="","",IF(COUNTIFS(BD!$A$3:$A$5001,S$3,BD!$B$3:$B$5001,$A$33,BD!$V$3:$V$5001,"&lt;&gt;")=0,"",SUMIFS(BD!$V$3:$V$5001,BD!$A$3:$A$5001,S$3,BD!$B$3:$B$5001,$A$33)))</f>
        <v/>
      </c>
      <c r="T44" s="255" t="str">
        <f>IF(T$3="","",IF(COUNTIFS(BD!$A$3:$A$5001,T$3,BD!$B$3:$B$5001,$A$33,BD!$V$3:$V$5001,"&lt;&gt;")=0,"",SUMIFS(BD!$V$3:$V$5001,BD!$A$3:$A$5001,T$3,BD!$B$3:$B$5001,$A$33)))</f>
        <v/>
      </c>
      <c r="U44" s="255" t="str">
        <f>IF(U$3="","",IF(COUNTIFS(BD!$A$3:$A$5001,U$3,BD!$B$3:$B$5001,$A$33,BD!$V$3:$V$5001,"&lt;&gt;")=0,"",SUMIFS(BD!$V$3:$V$5001,BD!$A$3:$A$5001,U$3,BD!$B$3:$B$5001,$A$33)))</f>
        <v/>
      </c>
      <c r="V44" s="255" t="str">
        <f>IF(V$3="","",IF(COUNTIFS(BD!$A$3:$A$5001,V$3,BD!$B$3:$B$5001,$A$33,BD!$V$3:$V$5001,"&lt;&gt;")=0,"",SUMIFS(BD!$V$3:$V$5001,BD!$A$3:$A$5001,V$3,BD!$B$3:$B$5001,$A$33)))</f>
        <v/>
      </c>
      <c r="W44" s="255" t="str">
        <f>IF(W$3="","",IF(COUNTIFS(BD!$A$3:$A$5001,W$3,BD!$B$3:$B$5001,$A$33,BD!$V$3:$V$5001,"&lt;&gt;")=0,"",SUMIFS(BD!$V$3:$V$5001,BD!$A$3:$A$5001,W$3,BD!$B$3:$B$5001,$A$33)))</f>
        <v/>
      </c>
      <c r="X44" s="255" t="str">
        <f>IF(X$3="","",IF(COUNTIFS(BD!$A$3:$A$5001,X$3,BD!$B$3:$B$5001,$A$33,BD!$V$3:$V$5001,"&lt;&gt;")=0,"",SUMIFS(BD!$V$3:$V$5001,BD!$A$3:$A$5001,X$3,BD!$B$3:$B$5001,$A$33)))</f>
        <v/>
      </c>
      <c r="Y44" s="255" t="str">
        <f>IF(Y$3="","",IF(COUNTIFS(BD!$A$3:$A$5001,Y$3,BD!$B$3:$B$5001,$A$33,BD!$V$3:$V$5001,"&lt;&gt;")=0,"",SUMIFS(BD!$V$3:$V$5001,BD!$A$3:$A$5001,Y$3,BD!$B$3:$B$5001,$A$33)))</f>
        <v/>
      </c>
      <c r="Z44" s="255" t="str">
        <f>IF(Z$3="","",IF(COUNTIFS(BD!$A$3:$A$5001,Z$3,BD!$B$3:$B$5001,$A$33,BD!$V$3:$V$5001,"&lt;&gt;")=0,"",SUMIFS(BD!$V$3:$V$5001,BD!$A$3:$A$5001,Z$3,BD!$B$3:$B$5001,$A$33)))</f>
        <v/>
      </c>
      <c r="AA44" s="255" t="str">
        <f>IF(AA$3="","",IF(COUNTIFS(BD!$A$3:$A$5001,AA$3,BD!$B$3:$B$5001,$A$33,BD!$V$3:$V$5001,"&lt;&gt;")=0,"",SUMIFS(BD!$V$3:$V$5001,BD!$A$3:$A$5001,AA$3,BD!$B$3:$B$5001,$A$33)))</f>
        <v/>
      </c>
      <c r="AB44" s="255" t="str">
        <f>IF(AB$3="","",IF(COUNTIFS(BD!$A$3:$A$5001,AB$3,BD!$B$3:$B$5001,$A$33,BD!$V$3:$V$5001,"&lt;&gt;")=0,"",SUMIFS(BD!$V$3:$V$5001,BD!$A$3:$A$5001,AB$3,BD!$B$3:$B$5001,$A$33)))</f>
        <v/>
      </c>
      <c r="AC44" s="255" t="str">
        <f>IF(AC$3="","",IF(COUNTIFS(BD!$A$3:$A$5001,AC$3,BD!$B$3:$B$5001,$A$33,BD!$V$3:$V$5001,"&lt;&gt;")=0,"",SUMIFS(BD!$V$3:$V$5001,BD!$A$3:$A$5001,AC$3,BD!$B$3:$B$5001,$A$33)))</f>
        <v/>
      </c>
      <c r="AD44" s="255" t="str">
        <f>IF(AD$3="","",IF(COUNTIFS(BD!$A$3:$A$5001,AD$3,BD!$B$3:$B$5001,$A$33,BD!$V$3:$V$5001,"&lt;&gt;")=0,"",SUMIFS(BD!$V$3:$V$5001,BD!$A$3:$A$5001,AD$3,BD!$B$3:$B$5001,$A$33)))</f>
        <v/>
      </c>
      <c r="AE44" s="255" t="str">
        <f>IF(AE$3="","",IF(COUNTIFS(BD!$A$3:$A$5001,AE$3,BD!$B$3:$B$5001,$A$33,BD!$V$3:$V$5001,"&lt;&gt;")=0,"",SUMIFS(BD!$V$3:$V$5001,BD!$A$3:$A$5001,AE$3,BD!$B$3:$B$5001,$A$33)))</f>
        <v/>
      </c>
      <c r="AF44" s="255" t="str">
        <f>IF(AF$3="","",IF(COUNTIFS(BD!$A$3:$A$5001,AF$3,BD!$B$3:$B$5001,$A$33,BD!$V$3:$V$5001,"&lt;&gt;")=0,"",SUMIFS(BD!$V$3:$V$5001,BD!$A$3:$A$5001,AF$3,BD!$B$3:$B$5001,$A$33)))</f>
        <v/>
      </c>
      <c r="AG44" s="255" t="str">
        <f>IF(AG$3="","",IF(COUNTIFS(BD!$A$3:$A$5001,AG$3,BD!$B$3:$B$5001,$A$33,BD!$V$3:$V$5001,"&lt;&gt;")=0,"",SUMIFS(BD!$V$3:$V$5001,BD!$A$3:$A$5001,AG$3,BD!$B$3:$B$5001,$A$33)))</f>
        <v/>
      </c>
      <c r="AH44" s="255" t="str">
        <f>IF(AH$3="","",IF(COUNTIFS(BD!$A$3:$A$5001,AH$3,BD!$B$3:$B$5001,$A$33,BD!$V$3:$V$5001,"&lt;&gt;")=0,"",SUMIFS(BD!$V$3:$V$5001,BD!$A$3:$A$5001,AH$3,BD!$B$3:$B$5001,$A$33)))</f>
        <v/>
      </c>
      <c r="AI44" s="255" t="str">
        <f>IF(AI$3="","",IF(COUNTIFS(BD!$A$3:$A$5001,AI$3,BD!$B$3:$B$5001,$A$33,BD!$V$3:$V$5001,"&lt;&gt;")=0,"",SUMIFS(BD!$V$3:$V$5001,BD!$A$3:$A$5001,AI$3,BD!$B$3:$B$5001,$A$33)))</f>
        <v/>
      </c>
      <c r="AJ44" s="256" t="str">
        <f>IF(AJ$3="","",IF(COUNTIFS(BD!$A$3:$A$5001,AJ$3,BD!$B$3:$B$5001,$A$33,BD!$V$3:$V$5001,"&lt;&gt;")=0,"",SUMIFS(BD!$V$3:$V$5001,BD!$A$3:$A$5001,AJ$3,BD!$B$3:$B$5001,$A$33)))</f>
        <v/>
      </c>
      <c r="AK44" s="257" t="str">
        <f>IF(COUNT(F44:AJ44)=0,"",SUM(F44:AJ44))</f>
        <v/>
      </c>
    </row>
    <row r="45" ht="15.75" customHeight="1">
      <c r="A45" s="277"/>
      <c r="B45" s="274"/>
      <c r="C45" s="247" t="inlineStr">
        <is>
          <t xml:space="preserve">Folga</t>
        </is>
      </c>
      <c r="D45" s="248" t="str">
        <f>IFERROR(1/(1/INDEX(BD!$AF$44:$AZ$44,MATCH($A$33,BD!$AF$22:$AZ$22,0))),"")</f>
        <v/>
      </c>
      <c r="E45" s="249"/>
      <c r="F45" s="250" t="str">
        <f>IF(F$3="","",IF(COUNTIFS(BD!$A$3:$A$5001,F$3,BD!$B$3:$B$5001,$A$33,BD!$W$3:$W$5001,"&lt;&gt;")=0,"",SUMIFS(BD!$W$3:$W$5001,BD!$A$3:$A$5001,F$3,BD!$B$3:$B$5001,$A$33)))</f>
        <v/>
      </c>
      <c r="G45" s="251" t="str">
        <f>IF(G$3="","",IF(COUNTIFS(BD!$A$3:$A$5001,G$3,BD!$B$3:$B$5001,$A$33,BD!$W$3:$W$5001,"&lt;&gt;")=0,"",SUMIFS(BD!$W$3:$W$5001,BD!$A$3:$A$5001,G$3,BD!$B$3:$B$5001,$A$33)))</f>
        <v/>
      </c>
      <c r="H45" s="251" t="str">
        <f>IF(H$3="","",IF(COUNTIFS(BD!$A$3:$A$5001,H$3,BD!$B$3:$B$5001,$A$33,BD!$W$3:$W$5001,"&lt;&gt;")=0,"",SUMIFS(BD!$W$3:$W$5001,BD!$A$3:$A$5001,H$3,BD!$B$3:$B$5001,$A$33)))</f>
        <v/>
      </c>
      <c r="I45" s="251" t="str">
        <f>IF(I$3="","",IF(COUNTIFS(BD!$A$3:$A$5001,I$3,BD!$B$3:$B$5001,$A$33,BD!$W$3:$W$5001,"&lt;&gt;")=0,"",SUMIFS(BD!$W$3:$W$5001,BD!$A$3:$A$5001,I$3,BD!$B$3:$B$5001,$A$33)))</f>
        <v/>
      </c>
      <c r="J45" s="251" t="str">
        <f>IF(J$3="","",IF(COUNTIFS(BD!$A$3:$A$5001,J$3,BD!$B$3:$B$5001,$A$33,BD!$W$3:$W$5001,"&lt;&gt;")=0,"",SUMIFS(BD!$W$3:$W$5001,BD!$A$3:$A$5001,J$3,BD!$B$3:$B$5001,$A$33)))</f>
        <v/>
      </c>
      <c r="K45" s="251" t="str">
        <f>IF(K$3="","",IF(COUNTIFS(BD!$A$3:$A$5001,K$3,BD!$B$3:$B$5001,$A$33,BD!$W$3:$W$5001,"&lt;&gt;")=0,"",SUMIFS(BD!$W$3:$W$5001,BD!$A$3:$A$5001,K$3,BD!$B$3:$B$5001,$A$33)))</f>
        <v/>
      </c>
      <c r="L45" s="251" t="str">
        <f>IF(L$3="","",IF(COUNTIFS(BD!$A$3:$A$5001,L$3,BD!$B$3:$B$5001,$A$33,BD!$W$3:$W$5001,"&lt;&gt;")=0,"",SUMIFS(BD!$W$3:$W$5001,BD!$A$3:$A$5001,L$3,BD!$B$3:$B$5001,$A$33)))</f>
        <v/>
      </c>
      <c r="M45" s="251" t="str">
        <f>IF(M$3="","",IF(COUNTIFS(BD!$A$3:$A$5001,M$3,BD!$B$3:$B$5001,$A$33,BD!$W$3:$W$5001,"&lt;&gt;")=0,"",SUMIFS(BD!$W$3:$W$5001,BD!$A$3:$A$5001,M$3,BD!$B$3:$B$5001,$A$33)))</f>
        <v/>
      </c>
      <c r="N45" s="251" t="str">
        <f>IF(N$3="","",IF(COUNTIFS(BD!$A$3:$A$5001,N$3,BD!$B$3:$B$5001,$A$33,BD!$W$3:$W$5001,"&lt;&gt;")=0,"",SUMIFS(BD!$W$3:$W$5001,BD!$A$3:$A$5001,N$3,BD!$B$3:$B$5001,$A$33)))</f>
        <v/>
      </c>
      <c r="O45" s="251" t="str">
        <f>IF(O$3="","",IF(COUNTIFS(BD!$A$3:$A$5001,O$3,BD!$B$3:$B$5001,$A$33,BD!$W$3:$W$5001,"&lt;&gt;")=0,"",SUMIFS(BD!$W$3:$W$5001,BD!$A$3:$A$5001,O$3,BD!$B$3:$B$5001,$A$33)))</f>
        <v/>
      </c>
      <c r="P45" s="251" t="str">
        <f>IF(P$3="","",IF(COUNTIFS(BD!$A$3:$A$5001,P$3,BD!$B$3:$B$5001,$A$33,BD!$W$3:$W$5001,"&lt;&gt;")=0,"",SUMIFS(BD!$W$3:$W$5001,BD!$A$3:$A$5001,P$3,BD!$B$3:$B$5001,$A$33)))</f>
        <v/>
      </c>
      <c r="Q45" s="251" t="str">
        <f>IF(Q$3="","",IF(COUNTIFS(BD!$A$3:$A$5001,Q$3,BD!$B$3:$B$5001,$A$33,BD!$W$3:$W$5001,"&lt;&gt;")=0,"",SUMIFS(BD!$W$3:$W$5001,BD!$A$3:$A$5001,Q$3,BD!$B$3:$B$5001,$A$33)))</f>
        <v/>
      </c>
      <c r="R45" s="251" t="str">
        <f>IF(R$3="","",IF(COUNTIFS(BD!$A$3:$A$5001,R$3,BD!$B$3:$B$5001,$A$33,BD!$W$3:$W$5001,"&lt;&gt;")=0,"",SUMIFS(BD!$W$3:$W$5001,BD!$A$3:$A$5001,R$3,BD!$B$3:$B$5001,$A$33)))</f>
        <v/>
      </c>
      <c r="S45" s="251" t="str">
        <f>IF(S$3="","",IF(COUNTIFS(BD!$A$3:$A$5001,S$3,BD!$B$3:$B$5001,$A$33,BD!$W$3:$W$5001,"&lt;&gt;")=0,"",SUMIFS(BD!$W$3:$W$5001,BD!$A$3:$A$5001,S$3,BD!$B$3:$B$5001,$A$33)))</f>
        <v/>
      </c>
      <c r="T45" s="251" t="str">
        <f>IF(T$3="","",IF(COUNTIFS(BD!$A$3:$A$5001,T$3,BD!$B$3:$B$5001,$A$33,BD!$W$3:$W$5001,"&lt;&gt;")=0,"",SUMIFS(BD!$W$3:$W$5001,BD!$A$3:$A$5001,T$3,BD!$B$3:$B$5001,$A$33)))</f>
        <v/>
      </c>
      <c r="U45" s="251" t="str">
        <f>IF(U$3="","",IF(COUNTIFS(BD!$A$3:$A$5001,U$3,BD!$B$3:$B$5001,$A$33,BD!$W$3:$W$5001,"&lt;&gt;")=0,"",SUMIFS(BD!$W$3:$W$5001,BD!$A$3:$A$5001,U$3,BD!$B$3:$B$5001,$A$33)))</f>
        <v/>
      </c>
      <c r="V45" s="251" t="str">
        <f>IF(V$3="","",IF(COUNTIFS(BD!$A$3:$A$5001,V$3,BD!$B$3:$B$5001,$A$33,BD!$W$3:$W$5001,"&lt;&gt;")=0,"",SUMIFS(BD!$W$3:$W$5001,BD!$A$3:$A$5001,V$3,BD!$B$3:$B$5001,$A$33)))</f>
        <v/>
      </c>
      <c r="W45" s="251" t="str">
        <f>IF(W$3="","",IF(COUNTIFS(BD!$A$3:$A$5001,W$3,BD!$B$3:$B$5001,$A$33,BD!$W$3:$W$5001,"&lt;&gt;")=0,"",SUMIFS(BD!$W$3:$W$5001,BD!$A$3:$A$5001,W$3,BD!$B$3:$B$5001,$A$33)))</f>
        <v/>
      </c>
      <c r="X45" s="251" t="str">
        <f>IF(X$3="","",IF(COUNTIFS(BD!$A$3:$A$5001,X$3,BD!$B$3:$B$5001,$A$33,BD!$W$3:$W$5001,"&lt;&gt;")=0,"",SUMIFS(BD!$W$3:$W$5001,BD!$A$3:$A$5001,X$3,BD!$B$3:$B$5001,$A$33)))</f>
        <v/>
      </c>
      <c r="Y45" s="251" t="str">
        <f>IF(Y$3="","",IF(COUNTIFS(BD!$A$3:$A$5001,Y$3,BD!$B$3:$B$5001,$A$33,BD!$W$3:$W$5001,"&lt;&gt;")=0,"",SUMIFS(BD!$W$3:$W$5001,BD!$A$3:$A$5001,Y$3,BD!$B$3:$B$5001,$A$33)))</f>
        <v/>
      </c>
      <c r="Z45" s="251" t="str">
        <f>IF(Z$3="","",IF(COUNTIFS(BD!$A$3:$A$5001,Z$3,BD!$B$3:$B$5001,$A$33,BD!$W$3:$W$5001,"&lt;&gt;")=0,"",SUMIFS(BD!$W$3:$W$5001,BD!$A$3:$A$5001,Z$3,BD!$B$3:$B$5001,$A$33)))</f>
        <v/>
      </c>
      <c r="AA45" s="251" t="str">
        <f>IF(AA$3="","",IF(COUNTIFS(BD!$A$3:$A$5001,AA$3,BD!$B$3:$B$5001,$A$33,BD!$W$3:$W$5001,"&lt;&gt;")=0,"",SUMIFS(BD!$W$3:$W$5001,BD!$A$3:$A$5001,AA$3,BD!$B$3:$B$5001,$A$33)))</f>
        <v/>
      </c>
      <c r="AB45" s="251" t="str">
        <f>IF(AB$3="","",IF(COUNTIFS(BD!$A$3:$A$5001,AB$3,BD!$B$3:$B$5001,$A$33,BD!$W$3:$W$5001,"&lt;&gt;")=0,"",SUMIFS(BD!$W$3:$W$5001,BD!$A$3:$A$5001,AB$3,BD!$B$3:$B$5001,$A$33)))</f>
        <v/>
      </c>
      <c r="AC45" s="251" t="str">
        <f>IF(AC$3="","",IF(COUNTIFS(BD!$A$3:$A$5001,AC$3,BD!$B$3:$B$5001,$A$33,BD!$W$3:$W$5001,"&lt;&gt;")=0,"",SUMIFS(BD!$W$3:$W$5001,BD!$A$3:$A$5001,AC$3,BD!$B$3:$B$5001,$A$33)))</f>
        <v/>
      </c>
      <c r="AD45" s="251" t="str">
        <f>IF(AD$3="","",IF(COUNTIFS(BD!$A$3:$A$5001,AD$3,BD!$B$3:$B$5001,$A$33,BD!$W$3:$W$5001,"&lt;&gt;")=0,"",SUMIFS(BD!$W$3:$W$5001,BD!$A$3:$A$5001,AD$3,BD!$B$3:$B$5001,$A$33)))</f>
        <v/>
      </c>
      <c r="AE45" s="251" t="str">
        <f>IF(AE$3="","",IF(COUNTIFS(BD!$A$3:$A$5001,AE$3,BD!$B$3:$B$5001,$A$33,BD!$W$3:$W$5001,"&lt;&gt;")=0,"",SUMIFS(BD!$W$3:$W$5001,BD!$A$3:$A$5001,AE$3,BD!$B$3:$B$5001,$A$33)))</f>
        <v/>
      </c>
      <c r="AF45" s="251" t="str">
        <f>IF(AF$3="","",IF(COUNTIFS(BD!$A$3:$A$5001,AF$3,BD!$B$3:$B$5001,$A$33,BD!$W$3:$W$5001,"&lt;&gt;")=0,"",SUMIFS(BD!$W$3:$W$5001,BD!$A$3:$A$5001,AF$3,BD!$B$3:$B$5001,$A$33)))</f>
        <v/>
      </c>
      <c r="AG45" s="251" t="str">
        <f>IF(AG$3="","",IF(COUNTIFS(BD!$A$3:$A$5001,AG$3,BD!$B$3:$B$5001,$A$33,BD!$W$3:$W$5001,"&lt;&gt;")=0,"",SUMIFS(BD!$W$3:$W$5001,BD!$A$3:$A$5001,AG$3,BD!$B$3:$B$5001,$A$33)))</f>
        <v/>
      </c>
      <c r="AH45" s="251" t="str">
        <f>IF(AH$3="","",IF(COUNTIFS(BD!$A$3:$A$5001,AH$3,BD!$B$3:$B$5001,$A$33,BD!$W$3:$W$5001,"&lt;&gt;")=0,"",SUMIFS(BD!$W$3:$W$5001,BD!$A$3:$A$5001,AH$3,BD!$B$3:$B$5001,$A$33)))</f>
        <v/>
      </c>
      <c r="AI45" s="251" t="str">
        <f>IF(AI$3="","",IF(COUNTIFS(BD!$A$3:$A$5001,AI$3,BD!$B$3:$B$5001,$A$33,BD!$W$3:$W$5001,"&lt;&gt;")=0,"",SUMIFS(BD!$W$3:$W$5001,BD!$A$3:$A$5001,AI$3,BD!$B$3:$B$5001,$A$33)))</f>
        <v/>
      </c>
      <c r="AJ45" s="252" t="str">
        <f>IF(AJ$3="","",IF(COUNTIFS(BD!$A$3:$A$5001,AJ$3,BD!$B$3:$B$5001,$A$33,BD!$W$3:$W$5001,"&lt;&gt;")=0,"",SUMIFS(BD!$W$3:$W$5001,BD!$A$3:$A$5001,AJ$3,BD!$B$3:$B$5001,$A$33)))</f>
        <v/>
      </c>
      <c r="AK45" s="253" t="str">
        <f>IF(COUNT(F45:AJ45)=0,"",SUM(F45:AJ45))</f>
        <v/>
      </c>
    </row>
    <row r="46" ht="15.75" customHeight="1">
      <c r="A46" s="277"/>
      <c r="B46" s="274"/>
      <c r="C46" s="247" t="inlineStr">
        <is>
          <t xml:space="preserve">Férias</t>
        </is>
      </c>
      <c r="D46" s="248" t="str">
        <f>IFERROR(1/(1/INDEX(BD!$AF$45:$AZ$45,MATCH($A$33,BD!$AF$22:$AZ$22,0))),"")</f>
        <v/>
      </c>
      <c r="E46" s="249"/>
      <c r="F46" s="250" t="str">
        <f>IF(F$3="","",IF(COUNTIFS(BD!$A$3:$A$5001,F$3,BD!$B$3:$B$5001,$A$33,BD!$X$3:$X$5001,"&lt;&gt;")=0,"",SUMIFS(BD!$X$3:$X$5001,BD!$A$3:$A$5001,F$3,BD!$B$3:$B$5001,$A$33)))</f>
        <v/>
      </c>
      <c r="G46" s="251" t="str">
        <f>IF(G$3="","",IF(COUNTIFS(BD!$A$3:$A$5001,G$3,BD!$B$3:$B$5001,$A$33,BD!$X$3:$X$5001,"&lt;&gt;")=0,"",SUMIFS(BD!$X$3:$X$5001,BD!$A$3:$A$5001,G$3,BD!$B$3:$B$5001,$A$33)))</f>
        <v/>
      </c>
      <c r="H46" s="251" t="str">
        <f>IF(H$3="","",IF(COUNTIFS(BD!$A$3:$A$5001,H$3,BD!$B$3:$B$5001,$A$33,BD!$X$3:$X$5001,"&lt;&gt;")=0,"",SUMIFS(BD!$X$3:$X$5001,BD!$A$3:$A$5001,H$3,BD!$B$3:$B$5001,$A$33)))</f>
        <v/>
      </c>
      <c r="I46" s="251" t="str">
        <f>IF(I$3="","",IF(COUNTIFS(BD!$A$3:$A$5001,I$3,BD!$B$3:$B$5001,$A$33,BD!$X$3:$X$5001,"&lt;&gt;")=0,"",SUMIFS(BD!$X$3:$X$5001,BD!$A$3:$A$5001,I$3,BD!$B$3:$B$5001,$A$33)))</f>
        <v/>
      </c>
      <c r="J46" s="251" t="str">
        <f>IF(J$3="","",IF(COUNTIFS(BD!$A$3:$A$5001,J$3,BD!$B$3:$B$5001,$A$33,BD!$X$3:$X$5001,"&lt;&gt;")=0,"",SUMIFS(BD!$X$3:$X$5001,BD!$A$3:$A$5001,J$3,BD!$B$3:$B$5001,$A$33)))</f>
        <v/>
      </c>
      <c r="K46" s="251" t="str">
        <f>IF(K$3="","",IF(COUNTIFS(BD!$A$3:$A$5001,K$3,BD!$B$3:$B$5001,$A$33,BD!$X$3:$X$5001,"&lt;&gt;")=0,"",SUMIFS(BD!$X$3:$X$5001,BD!$A$3:$A$5001,K$3,BD!$B$3:$B$5001,$A$33)))</f>
        <v/>
      </c>
      <c r="L46" s="251" t="str">
        <f>IF(L$3="","",IF(COUNTIFS(BD!$A$3:$A$5001,L$3,BD!$B$3:$B$5001,$A$33,BD!$X$3:$X$5001,"&lt;&gt;")=0,"",SUMIFS(BD!$X$3:$X$5001,BD!$A$3:$A$5001,L$3,BD!$B$3:$B$5001,$A$33)))</f>
        <v/>
      </c>
      <c r="M46" s="251" t="str">
        <f>IF(M$3="","",IF(COUNTIFS(BD!$A$3:$A$5001,M$3,BD!$B$3:$B$5001,$A$33,BD!$X$3:$X$5001,"&lt;&gt;")=0,"",SUMIFS(BD!$X$3:$X$5001,BD!$A$3:$A$5001,M$3,BD!$B$3:$B$5001,$A$33)))</f>
        <v/>
      </c>
      <c r="N46" s="251" t="str">
        <f>IF(N$3="","",IF(COUNTIFS(BD!$A$3:$A$5001,N$3,BD!$B$3:$B$5001,$A$33,BD!$X$3:$X$5001,"&lt;&gt;")=0,"",SUMIFS(BD!$X$3:$X$5001,BD!$A$3:$A$5001,N$3,BD!$B$3:$B$5001,$A$33)))</f>
        <v/>
      </c>
      <c r="O46" s="251" t="str">
        <f>IF(O$3="","",IF(COUNTIFS(BD!$A$3:$A$5001,O$3,BD!$B$3:$B$5001,$A$33,BD!$X$3:$X$5001,"&lt;&gt;")=0,"",SUMIFS(BD!$X$3:$X$5001,BD!$A$3:$A$5001,O$3,BD!$B$3:$B$5001,$A$33)))</f>
        <v/>
      </c>
      <c r="P46" s="251" t="str">
        <f>IF(P$3="","",IF(COUNTIFS(BD!$A$3:$A$5001,P$3,BD!$B$3:$B$5001,$A$33,BD!$X$3:$X$5001,"&lt;&gt;")=0,"",SUMIFS(BD!$X$3:$X$5001,BD!$A$3:$A$5001,P$3,BD!$B$3:$B$5001,$A$33)))</f>
        <v/>
      </c>
      <c r="Q46" s="251" t="str">
        <f>IF(Q$3="","",IF(COUNTIFS(BD!$A$3:$A$5001,Q$3,BD!$B$3:$B$5001,$A$33,BD!$X$3:$X$5001,"&lt;&gt;")=0,"",SUMIFS(BD!$X$3:$X$5001,BD!$A$3:$A$5001,Q$3,BD!$B$3:$B$5001,$A$33)))</f>
        <v/>
      </c>
      <c r="R46" s="251" t="str">
        <f>IF(R$3="","",IF(COUNTIFS(BD!$A$3:$A$5001,R$3,BD!$B$3:$B$5001,$A$33,BD!$X$3:$X$5001,"&lt;&gt;")=0,"",SUMIFS(BD!$X$3:$X$5001,BD!$A$3:$A$5001,R$3,BD!$B$3:$B$5001,$A$33)))</f>
        <v/>
      </c>
      <c r="S46" s="251" t="str">
        <f>IF(S$3="","",IF(COUNTIFS(BD!$A$3:$A$5001,S$3,BD!$B$3:$B$5001,$A$33,BD!$X$3:$X$5001,"&lt;&gt;")=0,"",SUMIFS(BD!$X$3:$X$5001,BD!$A$3:$A$5001,S$3,BD!$B$3:$B$5001,$A$33)))</f>
        <v/>
      </c>
      <c r="T46" s="251" t="str">
        <f>IF(T$3="","",IF(COUNTIFS(BD!$A$3:$A$5001,T$3,BD!$B$3:$B$5001,$A$33,BD!$X$3:$X$5001,"&lt;&gt;")=0,"",SUMIFS(BD!$X$3:$X$5001,BD!$A$3:$A$5001,T$3,BD!$B$3:$B$5001,$A$33)))</f>
        <v/>
      </c>
      <c r="U46" s="251" t="str">
        <f>IF(U$3="","",IF(COUNTIFS(BD!$A$3:$A$5001,U$3,BD!$B$3:$B$5001,$A$33,BD!$X$3:$X$5001,"&lt;&gt;")=0,"",SUMIFS(BD!$X$3:$X$5001,BD!$A$3:$A$5001,U$3,BD!$B$3:$B$5001,$A$33)))</f>
        <v/>
      </c>
      <c r="V46" s="251" t="str">
        <f>IF(V$3="","",IF(COUNTIFS(BD!$A$3:$A$5001,V$3,BD!$B$3:$B$5001,$A$33,BD!$X$3:$X$5001,"&lt;&gt;")=0,"",SUMIFS(BD!$X$3:$X$5001,BD!$A$3:$A$5001,V$3,BD!$B$3:$B$5001,$A$33)))</f>
        <v/>
      </c>
      <c r="W46" s="251" t="str">
        <f>IF(W$3="","",IF(COUNTIFS(BD!$A$3:$A$5001,W$3,BD!$B$3:$B$5001,$A$33,BD!$X$3:$X$5001,"&lt;&gt;")=0,"",SUMIFS(BD!$X$3:$X$5001,BD!$A$3:$A$5001,W$3,BD!$B$3:$B$5001,$A$33)))</f>
        <v/>
      </c>
      <c r="X46" s="251" t="str">
        <f>IF(X$3="","",IF(COUNTIFS(BD!$A$3:$A$5001,X$3,BD!$B$3:$B$5001,$A$33,BD!$X$3:$X$5001,"&lt;&gt;")=0,"",SUMIFS(BD!$X$3:$X$5001,BD!$A$3:$A$5001,X$3,BD!$B$3:$B$5001,$A$33)))</f>
        <v/>
      </c>
      <c r="Y46" s="251" t="str">
        <f>IF(Y$3="","",IF(COUNTIFS(BD!$A$3:$A$5001,Y$3,BD!$B$3:$B$5001,$A$33,BD!$X$3:$X$5001,"&lt;&gt;")=0,"",SUMIFS(BD!$X$3:$X$5001,BD!$A$3:$A$5001,Y$3,BD!$B$3:$B$5001,$A$33)))</f>
        <v/>
      </c>
      <c r="Z46" s="251" t="str">
        <f>IF(Z$3="","",IF(COUNTIFS(BD!$A$3:$A$5001,Z$3,BD!$B$3:$B$5001,$A$33,BD!$X$3:$X$5001,"&lt;&gt;")=0,"",SUMIFS(BD!$X$3:$X$5001,BD!$A$3:$A$5001,Z$3,BD!$B$3:$B$5001,$A$33)))</f>
        <v/>
      </c>
      <c r="AA46" s="251" t="str">
        <f>IF(AA$3="","",IF(COUNTIFS(BD!$A$3:$A$5001,AA$3,BD!$B$3:$B$5001,$A$33,BD!$X$3:$X$5001,"&lt;&gt;")=0,"",SUMIFS(BD!$X$3:$X$5001,BD!$A$3:$A$5001,AA$3,BD!$B$3:$B$5001,$A$33)))</f>
        <v/>
      </c>
      <c r="AB46" s="251" t="str">
        <f>IF(AB$3="","",IF(COUNTIFS(BD!$A$3:$A$5001,AB$3,BD!$B$3:$B$5001,$A$33,BD!$X$3:$X$5001,"&lt;&gt;")=0,"",SUMIFS(BD!$X$3:$X$5001,BD!$A$3:$A$5001,AB$3,BD!$B$3:$B$5001,$A$33)))</f>
        <v/>
      </c>
      <c r="AC46" s="251" t="str">
        <f>IF(AC$3="","",IF(COUNTIFS(BD!$A$3:$A$5001,AC$3,BD!$B$3:$B$5001,$A$33,BD!$X$3:$X$5001,"&lt;&gt;")=0,"",SUMIFS(BD!$X$3:$X$5001,BD!$A$3:$A$5001,AC$3,BD!$B$3:$B$5001,$A$33)))</f>
        <v/>
      </c>
      <c r="AD46" s="251" t="str">
        <f>IF(AD$3="","",IF(COUNTIFS(BD!$A$3:$A$5001,AD$3,BD!$B$3:$B$5001,$A$33,BD!$X$3:$X$5001,"&lt;&gt;")=0,"",SUMIFS(BD!$X$3:$X$5001,BD!$A$3:$A$5001,AD$3,BD!$B$3:$B$5001,$A$33)))</f>
        <v/>
      </c>
      <c r="AE46" s="251" t="str">
        <f>IF(AE$3="","",IF(COUNTIFS(BD!$A$3:$A$5001,AE$3,BD!$B$3:$B$5001,$A$33,BD!$X$3:$X$5001,"&lt;&gt;")=0,"",SUMIFS(BD!$X$3:$X$5001,BD!$A$3:$A$5001,AE$3,BD!$B$3:$B$5001,$A$33)))</f>
        <v/>
      </c>
      <c r="AF46" s="251" t="str">
        <f>IF(AF$3="","",IF(COUNTIFS(BD!$A$3:$A$5001,AF$3,BD!$B$3:$B$5001,$A$33,BD!$X$3:$X$5001,"&lt;&gt;")=0,"",SUMIFS(BD!$X$3:$X$5001,BD!$A$3:$A$5001,AF$3,BD!$B$3:$B$5001,$A$33)))</f>
        <v/>
      </c>
      <c r="AG46" s="251" t="str">
        <f>IF(AG$3="","",IF(COUNTIFS(BD!$A$3:$A$5001,AG$3,BD!$B$3:$B$5001,$A$33,BD!$X$3:$X$5001,"&lt;&gt;")=0,"",SUMIFS(BD!$X$3:$X$5001,BD!$A$3:$A$5001,AG$3,BD!$B$3:$B$5001,$A$33)))</f>
        <v/>
      </c>
      <c r="AH46" s="251" t="str">
        <f>IF(AH$3="","",IF(COUNTIFS(BD!$A$3:$A$5001,AH$3,BD!$B$3:$B$5001,$A$33,BD!$X$3:$X$5001,"&lt;&gt;")=0,"",SUMIFS(BD!$X$3:$X$5001,BD!$A$3:$A$5001,AH$3,BD!$B$3:$B$5001,$A$33)))</f>
        <v/>
      </c>
      <c r="AI46" s="251" t="str">
        <f>IF(AI$3="","",IF(COUNTIFS(BD!$A$3:$A$5001,AI$3,BD!$B$3:$B$5001,$A$33,BD!$X$3:$X$5001,"&lt;&gt;")=0,"",SUMIFS(BD!$X$3:$X$5001,BD!$A$3:$A$5001,AI$3,BD!$B$3:$B$5001,$A$33)))</f>
        <v/>
      </c>
      <c r="AJ46" s="252" t="str">
        <f>IF(AJ$3="","",IF(COUNTIFS(BD!$A$3:$A$5001,AJ$3,BD!$B$3:$B$5001,$A$33,BD!$X$3:$X$5001,"&lt;&gt;")=0,"",SUMIFS(BD!$X$3:$X$5001,BD!$A$3:$A$5001,AJ$3,BD!$B$3:$B$5001,$A$33)))</f>
        <v/>
      </c>
      <c r="AK46" s="253" t="str">
        <f>IF(COUNT(F46:AJ46)=0,"",SUM(F46:AJ46))</f>
        <v/>
      </c>
    </row>
    <row r="47" ht="15.75" customHeight="1">
      <c r="A47" s="277"/>
      <c r="B47" s="274"/>
      <c r="C47" s="247" t="inlineStr">
        <is>
          <t xml:space="preserve">Desligamento</t>
        </is>
      </c>
      <c r="D47" s="248" t="str">
        <f>IFERROR(1/(1/INDEX(BD!$AF$46:$AZ$46,MATCH($A$33,BD!$AF$22:$AZ$22,0))),"")</f>
        <v/>
      </c>
      <c r="E47" s="249"/>
      <c r="F47" s="250" t="str">
        <f>IF(F$3="","",IF(COUNTIFS(BD!$A$3:$A$5001,F$3,BD!$B$3:$B$5001,$A$33,BD!$Y$3:$Y$5001,"&lt;&gt;")=0,"",SUMIFS(BD!$Y$3:$Y$5001,BD!$A$3:$A$5001,F$3,BD!$B$3:$B$5001,$A$33)))</f>
        <v/>
      </c>
      <c r="G47" s="251" t="str">
        <f>IF(G$3="","",IF(COUNTIFS(BD!$A$3:$A$5001,G$3,BD!$B$3:$B$5001,$A$33,BD!$Y$3:$Y$5001,"&lt;&gt;")=0,"",SUMIFS(BD!$Y$3:$Y$5001,BD!$A$3:$A$5001,G$3,BD!$B$3:$B$5001,$A$33)))</f>
        <v/>
      </c>
      <c r="H47" s="251" t="str">
        <f>IF(H$3="","",IF(COUNTIFS(BD!$A$3:$A$5001,H$3,BD!$B$3:$B$5001,$A$33,BD!$Y$3:$Y$5001,"&lt;&gt;")=0,"",SUMIFS(BD!$Y$3:$Y$5001,BD!$A$3:$A$5001,H$3,BD!$B$3:$B$5001,$A$33)))</f>
        <v/>
      </c>
      <c r="I47" s="251" t="str">
        <f>IF(I$3="","",IF(COUNTIFS(BD!$A$3:$A$5001,I$3,BD!$B$3:$B$5001,$A$33,BD!$Y$3:$Y$5001,"&lt;&gt;")=0,"",SUMIFS(BD!$Y$3:$Y$5001,BD!$A$3:$A$5001,I$3,BD!$B$3:$B$5001,$A$33)))</f>
        <v/>
      </c>
      <c r="J47" s="251" t="str">
        <f>IF(J$3="","",IF(COUNTIFS(BD!$A$3:$A$5001,J$3,BD!$B$3:$B$5001,$A$33,BD!$Y$3:$Y$5001,"&lt;&gt;")=0,"",SUMIFS(BD!$Y$3:$Y$5001,BD!$A$3:$A$5001,J$3,BD!$B$3:$B$5001,$A$33)))</f>
        <v/>
      </c>
      <c r="K47" s="251" t="str">
        <f>IF(K$3="","",IF(COUNTIFS(BD!$A$3:$A$5001,K$3,BD!$B$3:$B$5001,$A$33,BD!$Y$3:$Y$5001,"&lt;&gt;")=0,"",SUMIFS(BD!$Y$3:$Y$5001,BD!$A$3:$A$5001,K$3,BD!$B$3:$B$5001,$A$33)))</f>
        <v/>
      </c>
      <c r="L47" s="251" t="str">
        <f>IF(L$3="","",IF(COUNTIFS(BD!$A$3:$A$5001,L$3,BD!$B$3:$B$5001,$A$33,BD!$Y$3:$Y$5001,"&lt;&gt;")=0,"",SUMIFS(BD!$Y$3:$Y$5001,BD!$A$3:$A$5001,L$3,BD!$B$3:$B$5001,$A$33)))</f>
        <v/>
      </c>
      <c r="M47" s="251" t="str">
        <f>IF(M$3="","",IF(COUNTIFS(BD!$A$3:$A$5001,M$3,BD!$B$3:$B$5001,$A$33,BD!$Y$3:$Y$5001,"&lt;&gt;")=0,"",SUMIFS(BD!$Y$3:$Y$5001,BD!$A$3:$A$5001,M$3,BD!$B$3:$B$5001,$A$33)))</f>
        <v/>
      </c>
      <c r="N47" s="251" t="str">
        <f>IF(N$3="","",IF(COUNTIFS(BD!$A$3:$A$5001,N$3,BD!$B$3:$B$5001,$A$33,BD!$Y$3:$Y$5001,"&lt;&gt;")=0,"",SUMIFS(BD!$Y$3:$Y$5001,BD!$A$3:$A$5001,N$3,BD!$B$3:$B$5001,$A$33)))</f>
        <v/>
      </c>
      <c r="O47" s="251" t="str">
        <f>IF(O$3="","",IF(COUNTIFS(BD!$A$3:$A$5001,O$3,BD!$B$3:$B$5001,$A$33,BD!$Y$3:$Y$5001,"&lt;&gt;")=0,"",SUMIFS(BD!$Y$3:$Y$5001,BD!$A$3:$A$5001,O$3,BD!$B$3:$B$5001,$A$33)))</f>
        <v/>
      </c>
      <c r="P47" s="251" t="str">
        <f>IF(P$3="","",IF(COUNTIFS(BD!$A$3:$A$5001,P$3,BD!$B$3:$B$5001,$A$33,BD!$Y$3:$Y$5001,"&lt;&gt;")=0,"",SUMIFS(BD!$Y$3:$Y$5001,BD!$A$3:$A$5001,P$3,BD!$B$3:$B$5001,$A$33)))</f>
        <v/>
      </c>
      <c r="Q47" s="251" t="str">
        <f>IF(Q$3="","",IF(COUNTIFS(BD!$A$3:$A$5001,Q$3,BD!$B$3:$B$5001,$A$33,BD!$Y$3:$Y$5001,"&lt;&gt;")=0,"",SUMIFS(BD!$Y$3:$Y$5001,BD!$A$3:$A$5001,Q$3,BD!$B$3:$B$5001,$A$33)))</f>
        <v/>
      </c>
      <c r="R47" s="251" t="str">
        <f>IF(R$3="","",IF(COUNTIFS(BD!$A$3:$A$5001,R$3,BD!$B$3:$B$5001,$A$33,BD!$Y$3:$Y$5001,"&lt;&gt;")=0,"",SUMIFS(BD!$Y$3:$Y$5001,BD!$A$3:$A$5001,R$3,BD!$B$3:$B$5001,$A$33)))</f>
        <v/>
      </c>
      <c r="S47" s="251" t="str">
        <f>IF(S$3="","",IF(COUNTIFS(BD!$A$3:$A$5001,S$3,BD!$B$3:$B$5001,$A$33,BD!$Y$3:$Y$5001,"&lt;&gt;")=0,"",SUMIFS(BD!$Y$3:$Y$5001,BD!$A$3:$A$5001,S$3,BD!$B$3:$B$5001,$A$33)))</f>
        <v/>
      </c>
      <c r="T47" s="251" t="str">
        <f>IF(T$3="","",IF(COUNTIFS(BD!$A$3:$A$5001,T$3,BD!$B$3:$B$5001,$A$33,BD!$Y$3:$Y$5001,"&lt;&gt;")=0,"",SUMIFS(BD!$Y$3:$Y$5001,BD!$A$3:$A$5001,T$3,BD!$B$3:$B$5001,$A$33)))</f>
        <v/>
      </c>
      <c r="U47" s="251" t="str">
        <f>IF(U$3="","",IF(COUNTIFS(BD!$A$3:$A$5001,U$3,BD!$B$3:$B$5001,$A$33,BD!$Y$3:$Y$5001,"&lt;&gt;")=0,"",SUMIFS(BD!$Y$3:$Y$5001,BD!$A$3:$A$5001,U$3,BD!$B$3:$B$5001,$A$33)))</f>
        <v/>
      </c>
      <c r="V47" s="251" t="str">
        <f>IF(V$3="","",IF(COUNTIFS(BD!$A$3:$A$5001,V$3,BD!$B$3:$B$5001,$A$33,BD!$Y$3:$Y$5001,"&lt;&gt;")=0,"",SUMIFS(BD!$Y$3:$Y$5001,BD!$A$3:$A$5001,V$3,BD!$B$3:$B$5001,$A$33)))</f>
        <v/>
      </c>
      <c r="W47" s="251" t="str">
        <f>IF(W$3="","",IF(COUNTIFS(BD!$A$3:$A$5001,W$3,BD!$B$3:$B$5001,$A$33,BD!$Y$3:$Y$5001,"&lt;&gt;")=0,"",SUMIFS(BD!$Y$3:$Y$5001,BD!$A$3:$A$5001,W$3,BD!$B$3:$B$5001,$A$33)))</f>
        <v/>
      </c>
      <c r="X47" s="251" t="str">
        <f>IF(X$3="","",IF(COUNTIFS(BD!$A$3:$A$5001,X$3,BD!$B$3:$B$5001,$A$33,BD!$Y$3:$Y$5001,"&lt;&gt;")=0,"",SUMIFS(BD!$Y$3:$Y$5001,BD!$A$3:$A$5001,X$3,BD!$B$3:$B$5001,$A$33)))</f>
        <v/>
      </c>
      <c r="Y47" s="251" t="str">
        <f>IF(Y$3="","",IF(COUNTIFS(BD!$A$3:$A$5001,Y$3,BD!$B$3:$B$5001,$A$33,BD!$Y$3:$Y$5001,"&lt;&gt;")=0,"",SUMIFS(BD!$Y$3:$Y$5001,BD!$A$3:$A$5001,Y$3,BD!$B$3:$B$5001,$A$33)))</f>
        <v/>
      </c>
      <c r="Z47" s="251" t="str">
        <f>IF(Z$3="","",IF(COUNTIFS(BD!$A$3:$A$5001,Z$3,BD!$B$3:$B$5001,$A$33,BD!$Y$3:$Y$5001,"&lt;&gt;")=0,"",SUMIFS(BD!$Y$3:$Y$5001,BD!$A$3:$A$5001,Z$3,BD!$B$3:$B$5001,$A$33)))</f>
        <v/>
      </c>
      <c r="AA47" s="251" t="str">
        <f>IF(AA$3="","",IF(COUNTIFS(BD!$A$3:$A$5001,AA$3,BD!$B$3:$B$5001,$A$33,BD!$Y$3:$Y$5001,"&lt;&gt;")=0,"",SUMIFS(BD!$Y$3:$Y$5001,BD!$A$3:$A$5001,AA$3,BD!$B$3:$B$5001,$A$33)))</f>
        <v/>
      </c>
      <c r="AB47" s="251" t="str">
        <f>IF(AB$3="","",IF(COUNTIFS(BD!$A$3:$A$5001,AB$3,BD!$B$3:$B$5001,$A$33,BD!$Y$3:$Y$5001,"&lt;&gt;")=0,"",SUMIFS(BD!$Y$3:$Y$5001,BD!$A$3:$A$5001,AB$3,BD!$B$3:$B$5001,$A$33)))</f>
        <v/>
      </c>
      <c r="AC47" s="251" t="str">
        <f>IF(AC$3="","",IF(COUNTIFS(BD!$A$3:$A$5001,AC$3,BD!$B$3:$B$5001,$A$33,BD!$Y$3:$Y$5001,"&lt;&gt;")=0,"",SUMIFS(BD!$Y$3:$Y$5001,BD!$A$3:$A$5001,AC$3,BD!$B$3:$B$5001,$A$33)))</f>
        <v/>
      </c>
      <c r="AD47" s="251" t="str">
        <f>IF(AD$3="","",IF(COUNTIFS(BD!$A$3:$A$5001,AD$3,BD!$B$3:$B$5001,$A$33,BD!$Y$3:$Y$5001,"&lt;&gt;")=0,"",SUMIFS(BD!$Y$3:$Y$5001,BD!$A$3:$A$5001,AD$3,BD!$B$3:$B$5001,$A$33)))</f>
        <v/>
      </c>
      <c r="AE47" s="251" t="str">
        <f>IF(AE$3="","",IF(COUNTIFS(BD!$A$3:$A$5001,AE$3,BD!$B$3:$B$5001,$A$33,BD!$Y$3:$Y$5001,"&lt;&gt;")=0,"",SUMIFS(BD!$Y$3:$Y$5001,BD!$A$3:$A$5001,AE$3,BD!$B$3:$B$5001,$A$33)))</f>
        <v/>
      </c>
      <c r="AF47" s="251" t="str">
        <f>IF(AF$3="","",IF(COUNTIFS(BD!$A$3:$A$5001,AF$3,BD!$B$3:$B$5001,$A$33,BD!$Y$3:$Y$5001,"&lt;&gt;")=0,"",SUMIFS(BD!$Y$3:$Y$5001,BD!$A$3:$A$5001,AF$3,BD!$B$3:$B$5001,$A$33)))</f>
        <v/>
      </c>
      <c r="AG47" s="251" t="str">
        <f>IF(AG$3="","",IF(COUNTIFS(BD!$A$3:$A$5001,AG$3,BD!$B$3:$B$5001,$A$33,BD!$Y$3:$Y$5001,"&lt;&gt;")=0,"",SUMIFS(BD!$Y$3:$Y$5001,BD!$A$3:$A$5001,AG$3,BD!$B$3:$B$5001,$A$33)))</f>
        <v/>
      </c>
      <c r="AH47" s="251" t="str">
        <f>IF(AH$3="","",IF(COUNTIFS(BD!$A$3:$A$5001,AH$3,BD!$B$3:$B$5001,$A$33,BD!$Y$3:$Y$5001,"&lt;&gt;")=0,"",SUMIFS(BD!$Y$3:$Y$5001,BD!$A$3:$A$5001,AH$3,BD!$B$3:$B$5001,$A$33)))</f>
        <v/>
      </c>
      <c r="AI47" s="251" t="str">
        <f>IF(AI$3="","",IF(COUNTIFS(BD!$A$3:$A$5001,AI$3,BD!$B$3:$B$5001,$A$33,BD!$Y$3:$Y$5001,"&lt;&gt;")=0,"",SUMIFS(BD!$Y$3:$Y$5001,BD!$A$3:$A$5001,AI$3,BD!$B$3:$B$5001,$A$33)))</f>
        <v/>
      </c>
      <c r="AJ47" s="252" t="str">
        <f>IF(AJ$3="","",IF(COUNTIFS(BD!$A$3:$A$5001,AJ$3,BD!$B$3:$B$5001,$A$33,BD!$Y$3:$Y$5001,"&lt;&gt;")=0,"",SUMIFS(BD!$Y$3:$Y$5001,BD!$A$3:$A$5001,AJ$3,BD!$B$3:$B$5001,$A$33)))</f>
        <v/>
      </c>
      <c r="AK47" s="253" t="str">
        <f>IF(COUNT(F47:AJ47)=0,"",SUM(F47:AJ47))</f>
        <v/>
      </c>
    </row>
    <row r="48" ht="15.75" customHeight="1">
      <c r="A48" s="277"/>
      <c r="B48" s="274"/>
      <c r="C48" s="247" t="inlineStr">
        <is>
          <t xml:space="preserve">Desvios Comportamentais</t>
        </is>
      </c>
      <c r="D48" s="248" t="str">
        <f>IFERROR(1/(1/INDEX(BD!$AF$47:$AZ$47,MATCH($A$33,BD!$AF$22:$AZ$22,0))),"")</f>
        <v/>
      </c>
      <c r="E48" s="249"/>
      <c r="F48" s="250" t="str">
        <f>IF(F$3="","",IF(COUNTIFS(BD!$A$3:$A$5001,F$3,BD!$B$3:$B$5001,$A$33,BD!$Z$3:$Z$5001,"&lt;&gt;")=0,"",SUMIFS(BD!$Z$3:$Z$5001,BD!$A$3:$A$5001,F$3,BD!$B$3:$B$5001,$A$33)))</f>
        <v/>
      </c>
      <c r="G48" s="251" t="str">
        <f>IF(G$3="","",IF(COUNTIFS(BD!$A$3:$A$5001,G$3,BD!$B$3:$B$5001,$A$33,BD!$Z$3:$Z$5001,"&lt;&gt;")=0,"",SUMIFS(BD!$Z$3:$Z$5001,BD!$A$3:$A$5001,G$3,BD!$B$3:$B$5001,$A$33)))</f>
        <v/>
      </c>
      <c r="H48" s="251" t="str">
        <f>IF(H$3="","",IF(COUNTIFS(BD!$A$3:$A$5001,H$3,BD!$B$3:$B$5001,$A$33,BD!$Z$3:$Z$5001,"&lt;&gt;")=0,"",SUMIFS(BD!$Z$3:$Z$5001,BD!$A$3:$A$5001,H$3,BD!$B$3:$B$5001,$A$33)))</f>
        <v/>
      </c>
      <c r="I48" s="251" t="str">
        <f>IF(I$3="","",IF(COUNTIFS(BD!$A$3:$A$5001,I$3,BD!$B$3:$B$5001,$A$33,BD!$Z$3:$Z$5001,"&lt;&gt;")=0,"",SUMIFS(BD!$Z$3:$Z$5001,BD!$A$3:$A$5001,I$3,BD!$B$3:$B$5001,$A$33)))</f>
        <v/>
      </c>
      <c r="J48" s="251" t="str">
        <f>IF(J$3="","",IF(COUNTIFS(BD!$A$3:$A$5001,J$3,BD!$B$3:$B$5001,$A$33,BD!$Z$3:$Z$5001,"&lt;&gt;")=0,"",SUMIFS(BD!$Z$3:$Z$5001,BD!$A$3:$A$5001,J$3,BD!$B$3:$B$5001,$A$33)))</f>
        <v/>
      </c>
      <c r="K48" s="251" t="str">
        <f>IF(K$3="","",IF(COUNTIFS(BD!$A$3:$A$5001,K$3,BD!$B$3:$B$5001,$A$33,BD!$Z$3:$Z$5001,"&lt;&gt;")=0,"",SUMIFS(BD!$Z$3:$Z$5001,BD!$A$3:$A$5001,K$3,BD!$B$3:$B$5001,$A$33)))</f>
        <v/>
      </c>
      <c r="L48" s="251" t="str">
        <f>IF(L$3="","",IF(COUNTIFS(BD!$A$3:$A$5001,L$3,BD!$B$3:$B$5001,$A$33,BD!$Z$3:$Z$5001,"&lt;&gt;")=0,"",SUMIFS(BD!$Z$3:$Z$5001,BD!$A$3:$A$5001,L$3,BD!$B$3:$B$5001,$A$33)))</f>
        <v/>
      </c>
      <c r="M48" s="251" t="str">
        <f>IF(M$3="","",IF(COUNTIFS(BD!$A$3:$A$5001,M$3,BD!$B$3:$B$5001,$A$33,BD!$Z$3:$Z$5001,"&lt;&gt;")=0,"",SUMIFS(BD!$Z$3:$Z$5001,BD!$A$3:$A$5001,M$3,BD!$B$3:$B$5001,$A$33)))</f>
        <v/>
      </c>
      <c r="N48" s="251" t="str">
        <f>IF(N$3="","",IF(COUNTIFS(BD!$A$3:$A$5001,N$3,BD!$B$3:$B$5001,$A$33,BD!$Z$3:$Z$5001,"&lt;&gt;")=0,"",SUMIFS(BD!$Z$3:$Z$5001,BD!$A$3:$A$5001,N$3,BD!$B$3:$B$5001,$A$33)))</f>
        <v/>
      </c>
      <c r="O48" s="251" t="str">
        <f>IF(O$3="","",IF(COUNTIFS(BD!$A$3:$A$5001,O$3,BD!$B$3:$B$5001,$A$33,BD!$Z$3:$Z$5001,"&lt;&gt;")=0,"",SUMIFS(BD!$Z$3:$Z$5001,BD!$A$3:$A$5001,O$3,BD!$B$3:$B$5001,$A$33)))</f>
        <v/>
      </c>
      <c r="P48" s="251" t="str">
        <f>IF(P$3="","",IF(COUNTIFS(BD!$A$3:$A$5001,P$3,BD!$B$3:$B$5001,$A$33,BD!$Z$3:$Z$5001,"&lt;&gt;")=0,"",SUMIFS(BD!$Z$3:$Z$5001,BD!$A$3:$A$5001,P$3,BD!$B$3:$B$5001,$A$33)))</f>
        <v/>
      </c>
      <c r="Q48" s="251" t="str">
        <f>IF(Q$3="","",IF(COUNTIFS(BD!$A$3:$A$5001,Q$3,BD!$B$3:$B$5001,$A$33,BD!$Z$3:$Z$5001,"&lt;&gt;")=0,"",SUMIFS(BD!$Z$3:$Z$5001,BD!$A$3:$A$5001,Q$3,BD!$B$3:$B$5001,$A$33)))</f>
        <v/>
      </c>
      <c r="R48" s="251" t="str">
        <f>IF(R$3="","",IF(COUNTIFS(BD!$A$3:$A$5001,R$3,BD!$B$3:$B$5001,$A$33,BD!$Z$3:$Z$5001,"&lt;&gt;")=0,"",SUMIFS(BD!$Z$3:$Z$5001,BD!$A$3:$A$5001,R$3,BD!$B$3:$B$5001,$A$33)))</f>
        <v/>
      </c>
      <c r="S48" s="251" t="str">
        <f>IF(S$3="","",IF(COUNTIFS(BD!$A$3:$A$5001,S$3,BD!$B$3:$B$5001,$A$33,BD!$Z$3:$Z$5001,"&lt;&gt;")=0,"",SUMIFS(BD!$Z$3:$Z$5001,BD!$A$3:$A$5001,S$3,BD!$B$3:$B$5001,$A$33)))</f>
        <v/>
      </c>
      <c r="T48" s="251" t="str">
        <f>IF(T$3="","",IF(COUNTIFS(BD!$A$3:$A$5001,T$3,BD!$B$3:$B$5001,$A$33,BD!$Z$3:$Z$5001,"&lt;&gt;")=0,"",SUMIFS(BD!$Z$3:$Z$5001,BD!$A$3:$A$5001,T$3,BD!$B$3:$B$5001,$A$33)))</f>
        <v/>
      </c>
      <c r="U48" s="251" t="str">
        <f>IF(U$3="","",IF(COUNTIFS(BD!$A$3:$A$5001,U$3,BD!$B$3:$B$5001,$A$33,BD!$Z$3:$Z$5001,"&lt;&gt;")=0,"",SUMIFS(BD!$Z$3:$Z$5001,BD!$A$3:$A$5001,U$3,BD!$B$3:$B$5001,$A$33)))</f>
        <v/>
      </c>
      <c r="V48" s="251" t="str">
        <f>IF(V$3="","",IF(COUNTIFS(BD!$A$3:$A$5001,V$3,BD!$B$3:$B$5001,$A$33,BD!$Z$3:$Z$5001,"&lt;&gt;")=0,"",SUMIFS(BD!$Z$3:$Z$5001,BD!$A$3:$A$5001,V$3,BD!$B$3:$B$5001,$A$33)))</f>
        <v/>
      </c>
      <c r="W48" s="251" t="str">
        <f>IF(W$3="","",IF(COUNTIFS(BD!$A$3:$A$5001,W$3,BD!$B$3:$B$5001,$A$33,BD!$Z$3:$Z$5001,"&lt;&gt;")=0,"",SUMIFS(BD!$Z$3:$Z$5001,BD!$A$3:$A$5001,W$3,BD!$B$3:$B$5001,$A$33)))</f>
        <v/>
      </c>
      <c r="X48" s="251" t="str">
        <f>IF(X$3="","",IF(COUNTIFS(BD!$A$3:$A$5001,X$3,BD!$B$3:$B$5001,$A$33,BD!$Z$3:$Z$5001,"&lt;&gt;")=0,"",SUMIFS(BD!$Z$3:$Z$5001,BD!$A$3:$A$5001,X$3,BD!$B$3:$B$5001,$A$33)))</f>
        <v/>
      </c>
      <c r="Y48" s="251" t="str">
        <f>IF(Y$3="","",IF(COUNTIFS(BD!$A$3:$A$5001,Y$3,BD!$B$3:$B$5001,$A$33,BD!$Z$3:$Z$5001,"&lt;&gt;")=0,"",SUMIFS(BD!$Z$3:$Z$5001,BD!$A$3:$A$5001,Y$3,BD!$B$3:$B$5001,$A$33)))</f>
        <v/>
      </c>
      <c r="Z48" s="251" t="str">
        <f>IF(Z$3="","",IF(COUNTIFS(BD!$A$3:$A$5001,Z$3,BD!$B$3:$B$5001,$A$33,BD!$Z$3:$Z$5001,"&lt;&gt;")=0,"",SUMIFS(BD!$Z$3:$Z$5001,BD!$A$3:$A$5001,Z$3,BD!$B$3:$B$5001,$A$33)))</f>
        <v/>
      </c>
      <c r="AA48" s="251" t="str">
        <f>IF(AA$3="","",IF(COUNTIFS(BD!$A$3:$A$5001,AA$3,BD!$B$3:$B$5001,$A$33,BD!$Z$3:$Z$5001,"&lt;&gt;")=0,"",SUMIFS(BD!$Z$3:$Z$5001,BD!$A$3:$A$5001,AA$3,BD!$B$3:$B$5001,$A$33)))</f>
        <v/>
      </c>
      <c r="AB48" s="251" t="str">
        <f>IF(AB$3="","",IF(COUNTIFS(BD!$A$3:$A$5001,AB$3,BD!$B$3:$B$5001,$A$33,BD!$Z$3:$Z$5001,"&lt;&gt;")=0,"",SUMIFS(BD!$Z$3:$Z$5001,BD!$A$3:$A$5001,AB$3,BD!$B$3:$B$5001,$A$33)))</f>
        <v/>
      </c>
      <c r="AC48" s="251" t="str">
        <f>IF(AC$3="","",IF(COUNTIFS(BD!$A$3:$A$5001,AC$3,BD!$B$3:$B$5001,$A$33,BD!$Z$3:$Z$5001,"&lt;&gt;")=0,"",SUMIFS(BD!$Z$3:$Z$5001,BD!$A$3:$A$5001,AC$3,BD!$B$3:$B$5001,$A$33)))</f>
        <v/>
      </c>
      <c r="AD48" s="251" t="str">
        <f>IF(AD$3="","",IF(COUNTIFS(BD!$A$3:$A$5001,AD$3,BD!$B$3:$B$5001,$A$33,BD!$Z$3:$Z$5001,"&lt;&gt;")=0,"",SUMIFS(BD!$Z$3:$Z$5001,BD!$A$3:$A$5001,AD$3,BD!$B$3:$B$5001,$A$33)))</f>
        <v/>
      </c>
      <c r="AE48" s="251" t="str">
        <f>IF(AE$3="","",IF(COUNTIFS(BD!$A$3:$A$5001,AE$3,BD!$B$3:$B$5001,$A$33,BD!$Z$3:$Z$5001,"&lt;&gt;")=0,"",SUMIFS(BD!$Z$3:$Z$5001,BD!$A$3:$A$5001,AE$3,BD!$B$3:$B$5001,$A$33)))</f>
        <v/>
      </c>
      <c r="AF48" s="251" t="str">
        <f>IF(AF$3="","",IF(COUNTIFS(BD!$A$3:$A$5001,AF$3,BD!$B$3:$B$5001,$A$33,BD!$Z$3:$Z$5001,"&lt;&gt;")=0,"",SUMIFS(BD!$Z$3:$Z$5001,BD!$A$3:$A$5001,AF$3,BD!$B$3:$B$5001,$A$33)))</f>
        <v/>
      </c>
      <c r="AG48" s="251" t="str">
        <f>IF(AG$3="","",IF(COUNTIFS(BD!$A$3:$A$5001,AG$3,BD!$B$3:$B$5001,$A$33,BD!$Z$3:$Z$5001,"&lt;&gt;")=0,"",SUMIFS(BD!$Z$3:$Z$5001,BD!$A$3:$A$5001,AG$3,BD!$B$3:$B$5001,$A$33)))</f>
        <v/>
      </c>
      <c r="AH48" s="251" t="str">
        <f>IF(AH$3="","",IF(COUNTIFS(BD!$A$3:$A$5001,AH$3,BD!$B$3:$B$5001,$A$33,BD!$Z$3:$Z$5001,"&lt;&gt;")=0,"",SUMIFS(BD!$Z$3:$Z$5001,BD!$A$3:$A$5001,AH$3,BD!$B$3:$B$5001,$A$33)))</f>
        <v/>
      </c>
      <c r="AI48" s="251" t="str">
        <f>IF(AI$3="","",IF(COUNTIFS(BD!$A$3:$A$5001,AI$3,BD!$B$3:$B$5001,$A$33,BD!$Z$3:$Z$5001,"&lt;&gt;")=0,"",SUMIFS(BD!$Z$3:$Z$5001,BD!$A$3:$A$5001,AI$3,BD!$B$3:$B$5001,$A$33)))</f>
        <v/>
      </c>
      <c r="AJ48" s="252" t="str">
        <f>IF(AJ$3="","",IF(COUNTIFS(BD!$A$3:$A$5001,AJ$3,BD!$B$3:$B$5001,$A$33,BD!$Z$3:$Z$5001,"&lt;&gt;")=0,"",SUMIFS(BD!$Z$3:$Z$5001,BD!$A$3:$A$5001,AJ$3,BD!$B$3:$B$5001,$A$33)))</f>
        <v/>
      </c>
      <c r="AK48" s="253" t="str">
        <f>IF(COUNT(F48:AJ48)=0,"",SUM(F48:AJ48))</f>
        <v/>
      </c>
    </row>
    <row r="49" ht="15.75" customHeight="1">
      <c r="A49" s="277"/>
      <c r="B49" s="274"/>
      <c r="C49" s="247" t="inlineStr">
        <is>
          <t xml:space="preserve">Acidentes CAF</t>
        </is>
      </c>
      <c r="D49" s="248" t="str">
        <f>IFERROR(1/(1/INDEX(BD!$AF$48:$AZ$48,MATCH($A$33,BD!$AF$22:$AZ$22,0))),"")</f>
        <v/>
      </c>
      <c r="E49" s="249"/>
      <c r="F49" s="250" t="str">
        <f>IF(F$3="","",IF(COUNTIFS(BD!$A$3:$A$5001,F$3,BD!$B$3:$B$5001,$A$33,BD!$AA$3:$AA$5001,"&lt;&gt;")=0,"",SUMIFS(BD!$AA$3:$AA$5001,BD!$A$3:$A$5001,F$3,BD!$B$3:$B$5001,$A$33)))</f>
        <v/>
      </c>
      <c r="G49" s="251" t="str">
        <f>IF(G$3="","",IF(COUNTIFS(BD!$A$3:$A$5001,G$3,BD!$B$3:$B$5001,$A$33,BD!$AA$3:$AA$5001,"&lt;&gt;")=0,"",SUMIFS(BD!$AA$3:$AA$5001,BD!$A$3:$A$5001,G$3,BD!$B$3:$B$5001,$A$33)))</f>
        <v/>
      </c>
      <c r="H49" s="251" t="str">
        <f>IF(H$3="","",IF(COUNTIFS(BD!$A$3:$A$5001,H$3,BD!$B$3:$B$5001,$A$33,BD!$AA$3:$AA$5001,"&lt;&gt;")=0,"",SUMIFS(BD!$AA$3:$AA$5001,BD!$A$3:$A$5001,H$3,BD!$B$3:$B$5001,$A$33)))</f>
        <v/>
      </c>
      <c r="I49" s="251" t="str">
        <f>IF(I$3="","",IF(COUNTIFS(BD!$A$3:$A$5001,I$3,BD!$B$3:$B$5001,$A$33,BD!$AA$3:$AA$5001,"&lt;&gt;")=0,"",SUMIFS(BD!$AA$3:$AA$5001,BD!$A$3:$A$5001,I$3,BD!$B$3:$B$5001,$A$33)))</f>
        <v/>
      </c>
      <c r="J49" s="251" t="str">
        <f>IF(J$3="","",IF(COUNTIFS(BD!$A$3:$A$5001,J$3,BD!$B$3:$B$5001,$A$33,BD!$AA$3:$AA$5001,"&lt;&gt;")=0,"",SUMIFS(BD!$AA$3:$AA$5001,BD!$A$3:$A$5001,J$3,BD!$B$3:$B$5001,$A$33)))</f>
        <v/>
      </c>
      <c r="K49" s="251" t="str">
        <f>IF(K$3="","",IF(COUNTIFS(BD!$A$3:$A$5001,K$3,BD!$B$3:$B$5001,$A$33,BD!$AA$3:$AA$5001,"&lt;&gt;")=0,"",SUMIFS(BD!$AA$3:$AA$5001,BD!$A$3:$A$5001,K$3,BD!$B$3:$B$5001,$A$33)))</f>
        <v/>
      </c>
      <c r="L49" s="251" t="str">
        <f>IF(L$3="","",IF(COUNTIFS(BD!$A$3:$A$5001,L$3,BD!$B$3:$B$5001,$A$33,BD!$AA$3:$AA$5001,"&lt;&gt;")=0,"",SUMIFS(BD!$AA$3:$AA$5001,BD!$A$3:$A$5001,L$3,BD!$B$3:$B$5001,$A$33)))</f>
        <v/>
      </c>
      <c r="M49" s="251" t="str">
        <f>IF(M$3="","",IF(COUNTIFS(BD!$A$3:$A$5001,M$3,BD!$B$3:$B$5001,$A$33,BD!$AA$3:$AA$5001,"&lt;&gt;")=0,"",SUMIFS(BD!$AA$3:$AA$5001,BD!$A$3:$A$5001,M$3,BD!$B$3:$B$5001,$A$33)))</f>
        <v/>
      </c>
      <c r="N49" s="251" t="str">
        <f>IF(N$3="","",IF(COUNTIFS(BD!$A$3:$A$5001,N$3,BD!$B$3:$B$5001,$A$33,BD!$AA$3:$AA$5001,"&lt;&gt;")=0,"",SUMIFS(BD!$AA$3:$AA$5001,BD!$A$3:$A$5001,N$3,BD!$B$3:$B$5001,$A$33)))</f>
        <v/>
      </c>
      <c r="O49" s="251" t="str">
        <f>IF(O$3="","",IF(COUNTIFS(BD!$A$3:$A$5001,O$3,BD!$B$3:$B$5001,$A$33,BD!$AA$3:$AA$5001,"&lt;&gt;")=0,"",SUMIFS(BD!$AA$3:$AA$5001,BD!$A$3:$A$5001,O$3,BD!$B$3:$B$5001,$A$33)))</f>
        <v/>
      </c>
      <c r="P49" s="251" t="str">
        <f>IF(P$3="","",IF(COUNTIFS(BD!$A$3:$A$5001,P$3,BD!$B$3:$B$5001,$A$33,BD!$AA$3:$AA$5001,"&lt;&gt;")=0,"",SUMIFS(BD!$AA$3:$AA$5001,BD!$A$3:$A$5001,P$3,BD!$B$3:$B$5001,$A$33)))</f>
        <v/>
      </c>
      <c r="Q49" s="251" t="str">
        <f>IF(Q$3="","",IF(COUNTIFS(BD!$A$3:$A$5001,Q$3,BD!$B$3:$B$5001,$A$33,BD!$AA$3:$AA$5001,"&lt;&gt;")=0,"",SUMIFS(BD!$AA$3:$AA$5001,BD!$A$3:$A$5001,Q$3,BD!$B$3:$B$5001,$A$33)))</f>
        <v/>
      </c>
      <c r="R49" s="251" t="str">
        <f>IF(R$3="","",IF(COUNTIFS(BD!$A$3:$A$5001,R$3,BD!$B$3:$B$5001,$A$33,BD!$AA$3:$AA$5001,"&lt;&gt;")=0,"",SUMIFS(BD!$AA$3:$AA$5001,BD!$A$3:$A$5001,R$3,BD!$B$3:$B$5001,$A$33)))</f>
        <v/>
      </c>
      <c r="S49" s="251" t="str">
        <f>IF(S$3="","",IF(COUNTIFS(BD!$A$3:$A$5001,S$3,BD!$B$3:$B$5001,$A$33,BD!$AA$3:$AA$5001,"&lt;&gt;")=0,"",SUMIFS(BD!$AA$3:$AA$5001,BD!$A$3:$A$5001,S$3,BD!$B$3:$B$5001,$A$33)))</f>
        <v/>
      </c>
      <c r="T49" s="251" t="str">
        <f>IF(T$3="","",IF(COUNTIFS(BD!$A$3:$A$5001,T$3,BD!$B$3:$B$5001,$A$33,BD!$AA$3:$AA$5001,"&lt;&gt;")=0,"",SUMIFS(BD!$AA$3:$AA$5001,BD!$A$3:$A$5001,T$3,BD!$B$3:$B$5001,$A$33)))</f>
        <v/>
      </c>
      <c r="U49" s="251" t="str">
        <f>IF(U$3="","",IF(COUNTIFS(BD!$A$3:$A$5001,U$3,BD!$B$3:$B$5001,$A$33,BD!$AA$3:$AA$5001,"&lt;&gt;")=0,"",SUMIFS(BD!$AA$3:$AA$5001,BD!$A$3:$A$5001,U$3,BD!$B$3:$B$5001,$A$33)))</f>
        <v/>
      </c>
      <c r="V49" s="251" t="str">
        <f>IF(V$3="","",IF(COUNTIFS(BD!$A$3:$A$5001,V$3,BD!$B$3:$B$5001,$A$33,BD!$AA$3:$AA$5001,"&lt;&gt;")=0,"",SUMIFS(BD!$AA$3:$AA$5001,BD!$A$3:$A$5001,V$3,BD!$B$3:$B$5001,$A$33)))</f>
        <v/>
      </c>
      <c r="W49" s="251" t="str">
        <f>IF(W$3="","",IF(COUNTIFS(BD!$A$3:$A$5001,W$3,BD!$B$3:$B$5001,$A$33,BD!$AA$3:$AA$5001,"&lt;&gt;")=0,"",SUMIFS(BD!$AA$3:$AA$5001,BD!$A$3:$A$5001,W$3,BD!$B$3:$B$5001,$A$33)))</f>
        <v/>
      </c>
      <c r="X49" s="251" t="str">
        <f>IF(X$3="","",IF(COUNTIFS(BD!$A$3:$A$5001,X$3,BD!$B$3:$B$5001,$A$33,BD!$AA$3:$AA$5001,"&lt;&gt;")=0,"",SUMIFS(BD!$AA$3:$AA$5001,BD!$A$3:$A$5001,X$3,BD!$B$3:$B$5001,$A$33)))</f>
        <v/>
      </c>
      <c r="Y49" s="251" t="str">
        <f>IF(Y$3="","",IF(COUNTIFS(BD!$A$3:$A$5001,Y$3,BD!$B$3:$B$5001,$A$33,BD!$AA$3:$AA$5001,"&lt;&gt;")=0,"",SUMIFS(BD!$AA$3:$AA$5001,BD!$A$3:$A$5001,Y$3,BD!$B$3:$B$5001,$A$33)))</f>
        <v/>
      </c>
      <c r="Z49" s="251" t="str">
        <f>IF(Z$3="","",IF(COUNTIFS(BD!$A$3:$A$5001,Z$3,BD!$B$3:$B$5001,$A$33,BD!$AA$3:$AA$5001,"&lt;&gt;")=0,"",SUMIFS(BD!$AA$3:$AA$5001,BD!$A$3:$A$5001,Z$3,BD!$B$3:$B$5001,$A$33)))</f>
        <v/>
      </c>
      <c r="AA49" s="251" t="str">
        <f>IF(AA$3="","",IF(COUNTIFS(BD!$A$3:$A$5001,AA$3,BD!$B$3:$B$5001,$A$33,BD!$AA$3:$AA$5001,"&lt;&gt;")=0,"",SUMIFS(BD!$AA$3:$AA$5001,BD!$A$3:$A$5001,AA$3,BD!$B$3:$B$5001,$A$33)))</f>
        <v/>
      </c>
      <c r="AB49" s="251" t="str">
        <f>IF(AB$3="","",IF(COUNTIFS(BD!$A$3:$A$5001,AB$3,BD!$B$3:$B$5001,$A$33,BD!$AA$3:$AA$5001,"&lt;&gt;")=0,"",SUMIFS(BD!$AA$3:$AA$5001,BD!$A$3:$A$5001,AB$3,BD!$B$3:$B$5001,$A$33)))</f>
        <v/>
      </c>
      <c r="AC49" s="251" t="str">
        <f>IF(AC$3="","",IF(COUNTIFS(BD!$A$3:$A$5001,AC$3,BD!$B$3:$B$5001,$A$33,BD!$AA$3:$AA$5001,"&lt;&gt;")=0,"",SUMIFS(BD!$AA$3:$AA$5001,BD!$A$3:$A$5001,AC$3,BD!$B$3:$B$5001,$A$33)))</f>
        <v/>
      </c>
      <c r="AD49" s="251" t="str">
        <f>IF(AD$3="","",IF(COUNTIFS(BD!$A$3:$A$5001,AD$3,BD!$B$3:$B$5001,$A$33,BD!$AA$3:$AA$5001,"&lt;&gt;")=0,"",SUMIFS(BD!$AA$3:$AA$5001,BD!$A$3:$A$5001,AD$3,BD!$B$3:$B$5001,$A$33)))</f>
        <v/>
      </c>
      <c r="AE49" s="251" t="str">
        <f>IF(AE$3="","",IF(COUNTIFS(BD!$A$3:$A$5001,AE$3,BD!$B$3:$B$5001,$A$33,BD!$AA$3:$AA$5001,"&lt;&gt;")=0,"",SUMIFS(BD!$AA$3:$AA$5001,BD!$A$3:$A$5001,AE$3,BD!$B$3:$B$5001,$A$33)))</f>
        <v/>
      </c>
      <c r="AF49" s="251" t="str">
        <f>IF(AF$3="","",IF(COUNTIFS(BD!$A$3:$A$5001,AF$3,BD!$B$3:$B$5001,$A$33,BD!$AA$3:$AA$5001,"&lt;&gt;")=0,"",SUMIFS(BD!$AA$3:$AA$5001,BD!$A$3:$A$5001,AF$3,BD!$B$3:$B$5001,$A$33)))</f>
        <v/>
      </c>
      <c r="AG49" s="251" t="str">
        <f>IF(AG$3="","",IF(COUNTIFS(BD!$A$3:$A$5001,AG$3,BD!$B$3:$B$5001,$A$33,BD!$AA$3:$AA$5001,"&lt;&gt;")=0,"",SUMIFS(BD!$AA$3:$AA$5001,BD!$A$3:$A$5001,AG$3,BD!$B$3:$B$5001,$A$33)))</f>
        <v/>
      </c>
      <c r="AH49" s="251" t="str">
        <f>IF(AH$3="","",IF(COUNTIFS(BD!$A$3:$A$5001,AH$3,BD!$B$3:$B$5001,$A$33,BD!$AA$3:$AA$5001,"&lt;&gt;")=0,"",SUMIFS(BD!$AA$3:$AA$5001,BD!$A$3:$A$5001,AH$3,BD!$B$3:$B$5001,$A$33)))</f>
        <v/>
      </c>
      <c r="AI49" s="251" t="str">
        <f>IF(AI$3="","",IF(COUNTIFS(BD!$A$3:$A$5001,AI$3,BD!$B$3:$B$5001,$A$33,BD!$AA$3:$AA$5001,"&lt;&gt;")=0,"",SUMIFS(BD!$AA$3:$AA$5001,BD!$A$3:$A$5001,AI$3,BD!$B$3:$B$5001,$A$33)))</f>
        <v/>
      </c>
      <c r="AJ49" s="252" t="str">
        <f>IF(AJ$3="","",IF(COUNTIFS(BD!$A$3:$A$5001,AJ$3,BD!$B$3:$B$5001,$A$33,BD!$AA$3:$AA$5001,"&lt;&gt;")=0,"",SUMIFS(BD!$AA$3:$AA$5001,BD!$A$3:$A$5001,AJ$3,BD!$B$3:$B$5001,$A$33)))</f>
        <v/>
      </c>
      <c r="AK49" s="253" t="str">
        <f>IF(COUNT(F49:AJ49)=0,"",SUM(F49:AJ49))</f>
        <v/>
      </c>
    </row>
    <row r="50" ht="15.75" customHeight="1">
      <c r="A50" s="278"/>
      <c r="B50" s="275"/>
      <c r="C50" s="258" t="inlineStr">
        <is>
          <t xml:space="preserve">Acidentes SAF</t>
        </is>
      </c>
      <c r="D50" s="259" t="str">
        <f>IFERROR(1/(1/INDEX(BD!$AF$49:$AZ$49,MATCH($A$33,BD!$AF$22:$AZ$22,0))),"")</f>
        <v/>
      </c>
      <c r="E50" s="260"/>
      <c r="F50" s="261" t="str">
        <f>IF(F$3="","",IF(COUNTIFS(BD!$A$3:$A$5001,F$3,BD!$B$3:$B$5001,$A$33,BD!$AB$3:$AB$5001,"&lt;&gt;")=0,"",SUMIFS(BD!$AB$3:$AB$5001,BD!$A$3:$A$5001,F$3,BD!$B$3:$B$5001,$A$33)))</f>
        <v/>
      </c>
      <c r="G50" s="262" t="str">
        <f>IF(G$3="","",IF(COUNTIFS(BD!$A$3:$A$5001,G$3,BD!$B$3:$B$5001,$A$33,BD!$AB$3:$AB$5001,"&lt;&gt;")=0,"",SUMIFS(BD!$AB$3:$AB$5001,BD!$A$3:$A$5001,G$3,BD!$B$3:$B$5001,$A$33)))</f>
        <v/>
      </c>
      <c r="H50" s="262" t="str">
        <f>IF(H$3="","",IF(COUNTIFS(BD!$A$3:$A$5001,H$3,BD!$B$3:$B$5001,$A$33,BD!$AB$3:$AB$5001,"&lt;&gt;")=0,"",SUMIFS(BD!$AB$3:$AB$5001,BD!$A$3:$A$5001,H$3,BD!$B$3:$B$5001,$A$33)))</f>
        <v/>
      </c>
      <c r="I50" s="262" t="str">
        <f>IF(I$3="","",IF(COUNTIFS(BD!$A$3:$A$5001,I$3,BD!$B$3:$B$5001,$A$33,BD!$AB$3:$AB$5001,"&lt;&gt;")=0,"",SUMIFS(BD!$AB$3:$AB$5001,BD!$A$3:$A$5001,I$3,BD!$B$3:$B$5001,$A$33)))</f>
        <v/>
      </c>
      <c r="J50" s="262" t="str">
        <f>IF(J$3="","",IF(COUNTIFS(BD!$A$3:$A$5001,J$3,BD!$B$3:$B$5001,$A$33,BD!$AB$3:$AB$5001,"&lt;&gt;")=0,"",SUMIFS(BD!$AB$3:$AB$5001,BD!$A$3:$A$5001,J$3,BD!$B$3:$B$5001,$A$33)))</f>
        <v/>
      </c>
      <c r="K50" s="262" t="str">
        <f>IF(K$3="","",IF(COUNTIFS(BD!$A$3:$A$5001,K$3,BD!$B$3:$B$5001,$A$33,BD!$AB$3:$AB$5001,"&lt;&gt;")=0,"",SUMIFS(BD!$AB$3:$AB$5001,BD!$A$3:$A$5001,K$3,BD!$B$3:$B$5001,$A$33)))</f>
        <v/>
      </c>
      <c r="L50" s="262" t="str">
        <f>IF(L$3="","",IF(COUNTIFS(BD!$A$3:$A$5001,L$3,BD!$B$3:$B$5001,$A$33,BD!$AB$3:$AB$5001,"&lt;&gt;")=0,"",SUMIFS(BD!$AB$3:$AB$5001,BD!$A$3:$A$5001,L$3,BD!$B$3:$B$5001,$A$33)))</f>
        <v/>
      </c>
      <c r="M50" s="262" t="str">
        <f>IF(M$3="","",IF(COUNTIFS(BD!$A$3:$A$5001,M$3,BD!$B$3:$B$5001,$A$33,BD!$AB$3:$AB$5001,"&lt;&gt;")=0,"",SUMIFS(BD!$AB$3:$AB$5001,BD!$A$3:$A$5001,M$3,BD!$B$3:$B$5001,$A$33)))</f>
        <v/>
      </c>
      <c r="N50" s="262" t="str">
        <f>IF(N$3="","",IF(COUNTIFS(BD!$A$3:$A$5001,N$3,BD!$B$3:$B$5001,$A$33,BD!$AB$3:$AB$5001,"&lt;&gt;")=0,"",SUMIFS(BD!$AB$3:$AB$5001,BD!$A$3:$A$5001,N$3,BD!$B$3:$B$5001,$A$33)))</f>
        <v/>
      </c>
      <c r="O50" s="262" t="str">
        <f>IF(O$3="","",IF(COUNTIFS(BD!$A$3:$A$5001,O$3,BD!$B$3:$B$5001,$A$33,BD!$AB$3:$AB$5001,"&lt;&gt;")=0,"",SUMIFS(BD!$AB$3:$AB$5001,BD!$A$3:$A$5001,O$3,BD!$B$3:$B$5001,$A$33)))</f>
        <v/>
      </c>
      <c r="P50" s="262" t="str">
        <f>IF(P$3="","",IF(COUNTIFS(BD!$A$3:$A$5001,P$3,BD!$B$3:$B$5001,$A$33,BD!$AB$3:$AB$5001,"&lt;&gt;")=0,"",SUMIFS(BD!$AB$3:$AB$5001,BD!$A$3:$A$5001,P$3,BD!$B$3:$B$5001,$A$33)))</f>
        <v/>
      </c>
      <c r="Q50" s="262" t="str">
        <f>IF(Q$3="","",IF(COUNTIFS(BD!$A$3:$A$5001,Q$3,BD!$B$3:$B$5001,$A$33,BD!$AB$3:$AB$5001,"&lt;&gt;")=0,"",SUMIFS(BD!$AB$3:$AB$5001,BD!$A$3:$A$5001,Q$3,BD!$B$3:$B$5001,$A$33)))</f>
        <v/>
      </c>
      <c r="R50" s="262" t="str">
        <f>IF(R$3="","",IF(COUNTIFS(BD!$A$3:$A$5001,R$3,BD!$B$3:$B$5001,$A$33,BD!$AB$3:$AB$5001,"&lt;&gt;")=0,"",SUMIFS(BD!$AB$3:$AB$5001,BD!$A$3:$A$5001,R$3,BD!$B$3:$B$5001,$A$33)))</f>
        <v/>
      </c>
      <c r="S50" s="262" t="str">
        <f>IF(S$3="","",IF(COUNTIFS(BD!$A$3:$A$5001,S$3,BD!$B$3:$B$5001,$A$33,BD!$AB$3:$AB$5001,"&lt;&gt;")=0,"",SUMIFS(BD!$AB$3:$AB$5001,BD!$A$3:$A$5001,S$3,BD!$B$3:$B$5001,$A$33)))</f>
        <v/>
      </c>
      <c r="T50" s="262" t="str">
        <f>IF(T$3="","",IF(COUNTIFS(BD!$A$3:$A$5001,T$3,BD!$B$3:$B$5001,$A$33,BD!$AB$3:$AB$5001,"&lt;&gt;")=0,"",SUMIFS(BD!$AB$3:$AB$5001,BD!$A$3:$A$5001,T$3,BD!$B$3:$B$5001,$A$33)))</f>
        <v/>
      </c>
      <c r="U50" s="262" t="str">
        <f>IF(U$3="","",IF(COUNTIFS(BD!$A$3:$A$5001,U$3,BD!$B$3:$B$5001,$A$33,BD!$AB$3:$AB$5001,"&lt;&gt;")=0,"",SUMIFS(BD!$AB$3:$AB$5001,BD!$A$3:$A$5001,U$3,BD!$B$3:$B$5001,$A$33)))</f>
        <v/>
      </c>
      <c r="V50" s="262" t="str">
        <f>IF(V$3="","",IF(COUNTIFS(BD!$A$3:$A$5001,V$3,BD!$B$3:$B$5001,$A$33,BD!$AB$3:$AB$5001,"&lt;&gt;")=0,"",SUMIFS(BD!$AB$3:$AB$5001,BD!$A$3:$A$5001,V$3,BD!$B$3:$B$5001,$A$33)))</f>
        <v/>
      </c>
      <c r="W50" s="262" t="str">
        <f>IF(W$3="","",IF(COUNTIFS(BD!$A$3:$A$5001,W$3,BD!$B$3:$B$5001,$A$33,BD!$AB$3:$AB$5001,"&lt;&gt;")=0,"",SUMIFS(BD!$AB$3:$AB$5001,BD!$A$3:$A$5001,W$3,BD!$B$3:$B$5001,$A$33)))</f>
        <v/>
      </c>
      <c r="X50" s="262" t="str">
        <f>IF(X$3="","",IF(COUNTIFS(BD!$A$3:$A$5001,X$3,BD!$B$3:$B$5001,$A$33,BD!$AB$3:$AB$5001,"&lt;&gt;")=0,"",SUMIFS(BD!$AB$3:$AB$5001,BD!$A$3:$A$5001,X$3,BD!$B$3:$B$5001,$A$33)))</f>
        <v/>
      </c>
      <c r="Y50" s="262" t="str">
        <f>IF(Y$3="","",IF(COUNTIFS(BD!$A$3:$A$5001,Y$3,BD!$B$3:$B$5001,$A$33,BD!$AB$3:$AB$5001,"&lt;&gt;")=0,"",SUMIFS(BD!$AB$3:$AB$5001,BD!$A$3:$A$5001,Y$3,BD!$B$3:$B$5001,$A$33)))</f>
        <v/>
      </c>
      <c r="Z50" s="262" t="str">
        <f>IF(Z$3="","",IF(COUNTIFS(BD!$A$3:$A$5001,Z$3,BD!$B$3:$B$5001,$A$33,BD!$AB$3:$AB$5001,"&lt;&gt;")=0,"",SUMIFS(BD!$AB$3:$AB$5001,BD!$A$3:$A$5001,Z$3,BD!$B$3:$B$5001,$A$33)))</f>
        <v/>
      </c>
      <c r="AA50" s="262" t="str">
        <f>IF(AA$3="","",IF(COUNTIFS(BD!$A$3:$A$5001,AA$3,BD!$B$3:$B$5001,$A$33,BD!$AB$3:$AB$5001,"&lt;&gt;")=0,"",SUMIFS(BD!$AB$3:$AB$5001,BD!$A$3:$A$5001,AA$3,BD!$B$3:$B$5001,$A$33)))</f>
        <v/>
      </c>
      <c r="AB50" s="262" t="str">
        <f>IF(AB$3="","",IF(COUNTIFS(BD!$A$3:$A$5001,AB$3,BD!$B$3:$B$5001,$A$33,BD!$AB$3:$AB$5001,"&lt;&gt;")=0,"",SUMIFS(BD!$AB$3:$AB$5001,BD!$A$3:$A$5001,AB$3,BD!$B$3:$B$5001,$A$33)))</f>
        <v/>
      </c>
      <c r="AC50" s="262" t="str">
        <f>IF(AC$3="","",IF(COUNTIFS(BD!$A$3:$A$5001,AC$3,BD!$B$3:$B$5001,$A$33,BD!$AB$3:$AB$5001,"&lt;&gt;")=0,"",SUMIFS(BD!$AB$3:$AB$5001,BD!$A$3:$A$5001,AC$3,BD!$B$3:$B$5001,$A$33)))</f>
        <v/>
      </c>
      <c r="AD50" s="262" t="str">
        <f>IF(AD$3="","",IF(COUNTIFS(BD!$A$3:$A$5001,AD$3,BD!$B$3:$B$5001,$A$33,BD!$AB$3:$AB$5001,"&lt;&gt;")=0,"",SUMIFS(BD!$AB$3:$AB$5001,BD!$A$3:$A$5001,AD$3,BD!$B$3:$B$5001,$A$33)))</f>
        <v/>
      </c>
      <c r="AE50" s="262" t="str">
        <f>IF(AE$3="","",IF(COUNTIFS(BD!$A$3:$A$5001,AE$3,BD!$B$3:$B$5001,$A$33,BD!$AB$3:$AB$5001,"&lt;&gt;")=0,"",SUMIFS(BD!$AB$3:$AB$5001,BD!$A$3:$A$5001,AE$3,BD!$B$3:$B$5001,$A$33)))</f>
        <v/>
      </c>
      <c r="AF50" s="262" t="str">
        <f>IF(AF$3="","",IF(COUNTIFS(BD!$A$3:$A$5001,AF$3,BD!$B$3:$B$5001,$A$33,BD!$AB$3:$AB$5001,"&lt;&gt;")=0,"",SUMIFS(BD!$AB$3:$AB$5001,BD!$A$3:$A$5001,AF$3,BD!$B$3:$B$5001,$A$33)))</f>
        <v/>
      </c>
      <c r="AG50" s="262" t="str">
        <f>IF(AG$3="","",IF(COUNTIFS(BD!$A$3:$A$5001,AG$3,BD!$B$3:$B$5001,$A$33,BD!$AB$3:$AB$5001,"&lt;&gt;")=0,"",SUMIFS(BD!$AB$3:$AB$5001,BD!$A$3:$A$5001,AG$3,BD!$B$3:$B$5001,$A$33)))</f>
        <v/>
      </c>
      <c r="AH50" s="262" t="str">
        <f>IF(AH$3="","",IF(COUNTIFS(BD!$A$3:$A$5001,AH$3,BD!$B$3:$B$5001,$A$33,BD!$AB$3:$AB$5001,"&lt;&gt;")=0,"",SUMIFS(BD!$AB$3:$AB$5001,BD!$A$3:$A$5001,AH$3,BD!$B$3:$B$5001,$A$33)))</f>
        <v/>
      </c>
      <c r="AI50" s="262" t="str">
        <f>IF(AI$3="","",IF(COUNTIFS(BD!$A$3:$A$5001,AI$3,BD!$B$3:$B$5001,$A$33,BD!$AB$3:$AB$5001,"&lt;&gt;")=0,"",SUMIFS(BD!$AB$3:$AB$5001,BD!$A$3:$A$5001,AI$3,BD!$B$3:$B$5001,$A$33)))</f>
        <v/>
      </c>
      <c r="AJ50" s="263" t="str">
        <f>IF(AJ$3="","",IF(COUNTIFS(BD!$A$3:$A$5001,AJ$3,BD!$B$3:$B$5001,$A$33,BD!$AB$3:$AB$5001,"&lt;&gt;")=0,"",SUMIFS(BD!$AB$3:$AB$5001,BD!$A$3:$A$5001,AJ$3,BD!$B$3:$B$5001,$A$33)))</f>
        <v/>
      </c>
      <c r="AK50" s="259" t="str">
        <f>IF(COUNT(F50:AJ50)=0,"",SUM(F50:AJ50))</f>
        <v/>
      </c>
    </row>
    <row r="52" ht="15.75" customHeight="1">
      <c r="A52" s="276" t="inlineStr">
        <is>
          <t xml:space="preserve">Mondelez</t>
        </is>
      </c>
      <c r="B52" s="264" t="inlineStr">
        <is>
          <t xml:space="preserve">IN</t>
        </is>
      </c>
      <c r="C52" s="168" t="inlineStr">
        <is>
          <t xml:space="preserve">Veículos Recebidos</t>
        </is>
      </c>
      <c r="D52" s="169" t="str">
        <f>IFERROR(1/(1/INDEX(BD!$AF$23:$AZ$23,MATCH($A$52,BD!$AF$22:$AZ$22,0))),"")</f>
        <v/>
      </c>
      <c r="E52" s="170"/>
      <c r="F52" s="171" t="str">
        <f>IF(F$3="","",IF(COUNTIFS(BD!$A$3:$A$5001,F$3,BD!$B$3:$B$5001,$A$52,BD!$C$3:$C$5001,"&lt;&gt;")=0,"",SUMIFS(BD!$C$3:$C$5001,BD!$A$3:$A$5001,F$3,BD!$B$3:$B$5001,$A$52)))</f>
        <v/>
      </c>
      <c r="G52" s="172" t="str">
        <f>IF(G$3="","",IF(COUNTIFS(BD!$A$3:$A$5001,G$3,BD!$B$3:$B$5001,$A$52,BD!$C$3:$C$5001,"&lt;&gt;")=0,"",SUMIFS(BD!$C$3:$C$5001,BD!$A$3:$A$5001,G$3,BD!$B$3:$B$5001,$A$52)))</f>
        <v/>
      </c>
      <c r="H52" s="172" t="str">
        <f>IF(H$3="","",IF(COUNTIFS(BD!$A$3:$A$5001,H$3,BD!$B$3:$B$5001,$A$52,BD!$C$3:$C$5001,"&lt;&gt;")=0,"",SUMIFS(BD!$C$3:$C$5001,BD!$A$3:$A$5001,H$3,BD!$B$3:$B$5001,$A$52)))</f>
        <v/>
      </c>
      <c r="I52" s="172" t="str">
        <f>IF(I$3="","",IF(COUNTIFS(BD!$A$3:$A$5001,I$3,BD!$B$3:$B$5001,$A$52,BD!$C$3:$C$5001,"&lt;&gt;")=0,"",SUMIFS(BD!$C$3:$C$5001,BD!$A$3:$A$5001,I$3,BD!$B$3:$B$5001,$A$52)))</f>
        <v/>
      </c>
      <c r="J52" s="172" t="str">
        <f>IF(J$3="","",IF(COUNTIFS(BD!$A$3:$A$5001,J$3,BD!$B$3:$B$5001,$A$52,BD!$C$3:$C$5001,"&lt;&gt;")=0,"",SUMIFS(BD!$C$3:$C$5001,BD!$A$3:$A$5001,J$3,BD!$B$3:$B$5001,$A$52)))</f>
        <v/>
      </c>
      <c r="K52" s="172" t="str">
        <f>IF(K$3="","",IF(COUNTIFS(BD!$A$3:$A$5001,K$3,BD!$B$3:$B$5001,$A$52,BD!$C$3:$C$5001,"&lt;&gt;")=0,"",SUMIFS(BD!$C$3:$C$5001,BD!$A$3:$A$5001,K$3,BD!$B$3:$B$5001,$A$52)))</f>
        <v/>
      </c>
      <c r="L52" s="172" t="str">
        <f>IF(L$3="","",IF(COUNTIFS(BD!$A$3:$A$5001,L$3,BD!$B$3:$B$5001,$A$52,BD!$C$3:$C$5001,"&lt;&gt;")=0,"",SUMIFS(BD!$C$3:$C$5001,BD!$A$3:$A$5001,L$3,BD!$B$3:$B$5001,$A$52)))</f>
        <v/>
      </c>
      <c r="M52" s="172" t="str">
        <f>IF(M$3="","",IF(COUNTIFS(BD!$A$3:$A$5001,M$3,BD!$B$3:$B$5001,$A$52,BD!$C$3:$C$5001,"&lt;&gt;")=0,"",SUMIFS(BD!$C$3:$C$5001,BD!$A$3:$A$5001,M$3,BD!$B$3:$B$5001,$A$52)))</f>
        <v/>
      </c>
      <c r="N52" s="172" t="str">
        <f>IF(N$3="","",IF(COUNTIFS(BD!$A$3:$A$5001,N$3,BD!$B$3:$B$5001,$A$52,BD!$C$3:$C$5001,"&lt;&gt;")=0,"",SUMIFS(BD!$C$3:$C$5001,BD!$A$3:$A$5001,N$3,BD!$B$3:$B$5001,$A$52)))</f>
        <v/>
      </c>
      <c r="O52" s="172" t="str">
        <f>IF(O$3="","",IF(COUNTIFS(BD!$A$3:$A$5001,O$3,BD!$B$3:$B$5001,$A$52,BD!$C$3:$C$5001,"&lt;&gt;")=0,"",SUMIFS(BD!$C$3:$C$5001,BD!$A$3:$A$5001,O$3,BD!$B$3:$B$5001,$A$52)))</f>
        <v/>
      </c>
      <c r="P52" s="172" t="str">
        <f>IF(P$3="","",IF(COUNTIFS(BD!$A$3:$A$5001,P$3,BD!$B$3:$B$5001,$A$52,BD!$C$3:$C$5001,"&lt;&gt;")=0,"",SUMIFS(BD!$C$3:$C$5001,BD!$A$3:$A$5001,P$3,BD!$B$3:$B$5001,$A$52)))</f>
        <v/>
      </c>
      <c r="Q52" s="172" t="str">
        <f>IF(Q$3="","",IF(COUNTIFS(BD!$A$3:$A$5001,Q$3,BD!$B$3:$B$5001,$A$52,BD!$C$3:$C$5001,"&lt;&gt;")=0,"",SUMIFS(BD!$C$3:$C$5001,BD!$A$3:$A$5001,Q$3,BD!$B$3:$B$5001,$A$52)))</f>
        <v/>
      </c>
      <c r="R52" s="172" t="str">
        <f>IF(R$3="","",IF(COUNTIFS(BD!$A$3:$A$5001,R$3,BD!$B$3:$B$5001,$A$52,BD!$C$3:$C$5001,"&lt;&gt;")=0,"",SUMIFS(BD!$C$3:$C$5001,BD!$A$3:$A$5001,R$3,BD!$B$3:$B$5001,$A$52)))</f>
        <v/>
      </c>
      <c r="S52" s="172" t="str">
        <f>IF(S$3="","",IF(COUNTIFS(BD!$A$3:$A$5001,S$3,BD!$B$3:$B$5001,$A$52,BD!$C$3:$C$5001,"&lt;&gt;")=0,"",SUMIFS(BD!$C$3:$C$5001,BD!$A$3:$A$5001,S$3,BD!$B$3:$B$5001,$A$52)))</f>
        <v/>
      </c>
      <c r="T52" s="172" t="str">
        <f>IF(T$3="","",IF(COUNTIFS(BD!$A$3:$A$5001,T$3,BD!$B$3:$B$5001,$A$52,BD!$C$3:$C$5001,"&lt;&gt;")=0,"",SUMIFS(BD!$C$3:$C$5001,BD!$A$3:$A$5001,T$3,BD!$B$3:$B$5001,$A$52)))</f>
        <v/>
      </c>
      <c r="U52" s="172" t="str">
        <f>IF(U$3="","",IF(COUNTIFS(BD!$A$3:$A$5001,U$3,BD!$B$3:$B$5001,$A$52,BD!$C$3:$C$5001,"&lt;&gt;")=0,"",SUMIFS(BD!$C$3:$C$5001,BD!$A$3:$A$5001,U$3,BD!$B$3:$B$5001,$A$52)))</f>
        <v/>
      </c>
      <c r="V52" s="172" t="str">
        <f>IF(V$3="","",IF(COUNTIFS(BD!$A$3:$A$5001,V$3,BD!$B$3:$B$5001,$A$52,BD!$C$3:$C$5001,"&lt;&gt;")=0,"",SUMIFS(BD!$C$3:$C$5001,BD!$A$3:$A$5001,V$3,BD!$B$3:$B$5001,$A$52)))</f>
        <v/>
      </c>
      <c r="W52" s="172" t="str">
        <f>IF(W$3="","",IF(COUNTIFS(BD!$A$3:$A$5001,W$3,BD!$B$3:$B$5001,$A$52,BD!$C$3:$C$5001,"&lt;&gt;")=0,"",SUMIFS(BD!$C$3:$C$5001,BD!$A$3:$A$5001,W$3,BD!$B$3:$B$5001,$A$52)))</f>
        <v/>
      </c>
      <c r="X52" s="172" t="str">
        <f>IF(X$3="","",IF(COUNTIFS(BD!$A$3:$A$5001,X$3,BD!$B$3:$B$5001,$A$52,BD!$C$3:$C$5001,"&lt;&gt;")=0,"",SUMIFS(BD!$C$3:$C$5001,BD!$A$3:$A$5001,X$3,BD!$B$3:$B$5001,$A$52)))</f>
        <v/>
      </c>
      <c r="Y52" s="172" t="str">
        <f>IF(Y$3="","",IF(COUNTIFS(BD!$A$3:$A$5001,Y$3,BD!$B$3:$B$5001,$A$52,BD!$C$3:$C$5001,"&lt;&gt;")=0,"",SUMIFS(BD!$C$3:$C$5001,BD!$A$3:$A$5001,Y$3,BD!$B$3:$B$5001,$A$52)))</f>
        <v/>
      </c>
      <c r="Z52" s="172" t="str">
        <f>IF(Z$3="","",IF(COUNTIFS(BD!$A$3:$A$5001,Z$3,BD!$B$3:$B$5001,$A$52,BD!$C$3:$C$5001,"&lt;&gt;")=0,"",SUMIFS(BD!$C$3:$C$5001,BD!$A$3:$A$5001,Z$3,BD!$B$3:$B$5001,$A$52)))</f>
        <v/>
      </c>
      <c r="AA52" s="172" t="str">
        <f>IF(AA$3="","",IF(COUNTIFS(BD!$A$3:$A$5001,AA$3,BD!$B$3:$B$5001,$A$52,BD!$C$3:$C$5001,"&lt;&gt;")=0,"",SUMIFS(BD!$C$3:$C$5001,BD!$A$3:$A$5001,AA$3,BD!$B$3:$B$5001,$A$52)))</f>
        <v/>
      </c>
      <c r="AB52" s="172" t="str">
        <f>IF(AB$3="","",IF(COUNTIFS(BD!$A$3:$A$5001,AB$3,BD!$B$3:$B$5001,$A$52,BD!$C$3:$C$5001,"&lt;&gt;")=0,"",SUMIFS(BD!$C$3:$C$5001,BD!$A$3:$A$5001,AB$3,BD!$B$3:$B$5001,$A$52)))</f>
        <v/>
      </c>
      <c r="AC52" s="172" t="str">
        <f>IF(AC$3="","",IF(COUNTIFS(BD!$A$3:$A$5001,AC$3,BD!$B$3:$B$5001,$A$52,BD!$C$3:$C$5001,"&lt;&gt;")=0,"",SUMIFS(BD!$C$3:$C$5001,BD!$A$3:$A$5001,AC$3,BD!$B$3:$B$5001,$A$52)))</f>
        <v/>
      </c>
      <c r="AD52" s="172" t="str">
        <f>IF(AD$3="","",IF(COUNTIFS(BD!$A$3:$A$5001,AD$3,BD!$B$3:$B$5001,$A$52,BD!$C$3:$C$5001,"&lt;&gt;")=0,"",SUMIFS(BD!$C$3:$C$5001,BD!$A$3:$A$5001,AD$3,BD!$B$3:$B$5001,$A$52)))</f>
        <v/>
      </c>
      <c r="AE52" s="172" t="str">
        <f>IF(AE$3="","",IF(COUNTIFS(BD!$A$3:$A$5001,AE$3,BD!$B$3:$B$5001,$A$52,BD!$C$3:$C$5001,"&lt;&gt;")=0,"",SUMIFS(BD!$C$3:$C$5001,BD!$A$3:$A$5001,AE$3,BD!$B$3:$B$5001,$A$52)))</f>
        <v/>
      </c>
      <c r="AF52" s="172" t="str">
        <f>IF(AF$3="","",IF(COUNTIFS(BD!$A$3:$A$5001,AF$3,BD!$B$3:$B$5001,$A$52,BD!$C$3:$C$5001,"&lt;&gt;")=0,"",SUMIFS(BD!$C$3:$C$5001,BD!$A$3:$A$5001,AF$3,BD!$B$3:$B$5001,$A$52)))</f>
        <v/>
      </c>
      <c r="AG52" s="172" t="str">
        <f>IF(AG$3="","",IF(COUNTIFS(BD!$A$3:$A$5001,AG$3,BD!$B$3:$B$5001,$A$52,BD!$C$3:$C$5001,"&lt;&gt;")=0,"",SUMIFS(BD!$C$3:$C$5001,BD!$A$3:$A$5001,AG$3,BD!$B$3:$B$5001,$A$52)))</f>
        <v/>
      </c>
      <c r="AH52" s="172" t="str">
        <f>IF(AH$3="","",IF(COUNTIFS(BD!$A$3:$A$5001,AH$3,BD!$B$3:$B$5001,$A$52,BD!$C$3:$C$5001,"&lt;&gt;")=0,"",SUMIFS(BD!$C$3:$C$5001,BD!$A$3:$A$5001,AH$3,BD!$B$3:$B$5001,$A$52)))</f>
        <v/>
      </c>
      <c r="AI52" s="172" t="str">
        <f>IF(AI$3="","",IF(COUNTIFS(BD!$A$3:$A$5001,AI$3,BD!$B$3:$B$5001,$A$52,BD!$C$3:$C$5001,"&lt;&gt;")=0,"",SUMIFS(BD!$C$3:$C$5001,BD!$A$3:$A$5001,AI$3,BD!$B$3:$B$5001,$A$52)))</f>
        <v/>
      </c>
      <c r="AJ52" s="173" t="str">
        <f>IF(AJ$3="","",IF(COUNTIFS(BD!$A$3:$A$5001,AJ$3,BD!$B$3:$B$5001,$A$52,BD!$C$3:$C$5001,"&lt;&gt;")=0,"",SUMIFS(BD!$C$3:$C$5001,BD!$A$3:$A$5001,AJ$3,BD!$B$3:$B$5001,$A$52)))</f>
        <v/>
      </c>
      <c r="AK52" s="174" t="str">
        <f>IF(COUNT(F52:AJ52)=0,"",SUM(F52:AJ52))</f>
        <v/>
      </c>
    </row>
    <row r="53" ht="15.75" customHeight="1">
      <c r="A53" s="277"/>
      <c r="B53" s="265"/>
      <c r="C53" s="175" t="inlineStr">
        <is>
          <t xml:space="preserve">Pallets Movimentados</t>
        </is>
      </c>
      <c r="D53" s="176" t="str">
        <f>IFERROR(1/(1/INDEX(BD!$AF$24:$AZ$24,MATCH($A$52,BD!$AF$22:$AZ$22,0))),"")</f>
        <v/>
      </c>
      <c r="E53" s="177"/>
      <c r="F53" s="178" t="str">
        <f>IF(F$3="","",IF(COUNTIFS(BD!$A$3:$A$5001,F$3,BD!$B$3:$B$5001,$A$52,BD!$D$3:$D$5001,"&lt;&gt;")=0,"",SUMIFS(BD!$D$3:$D$5001,BD!$A$3:$A$5001,F$3,BD!$B$3:$B$5001,$A$52)))</f>
        <v/>
      </c>
      <c r="G53" s="179" t="str">
        <f>IF(G$3="","",IF(COUNTIFS(BD!$A$3:$A$5001,G$3,BD!$B$3:$B$5001,$A$52,BD!$D$3:$D$5001,"&lt;&gt;")=0,"",SUMIFS(BD!$D$3:$D$5001,BD!$A$3:$A$5001,G$3,BD!$B$3:$B$5001,$A$52)))</f>
        <v/>
      </c>
      <c r="H53" s="179" t="str">
        <f>IF(H$3="","",IF(COUNTIFS(BD!$A$3:$A$5001,H$3,BD!$B$3:$B$5001,$A$52,BD!$D$3:$D$5001,"&lt;&gt;")=0,"",SUMIFS(BD!$D$3:$D$5001,BD!$A$3:$A$5001,H$3,BD!$B$3:$B$5001,$A$52)))</f>
        <v/>
      </c>
      <c r="I53" s="179" t="str">
        <f>IF(I$3="","",IF(COUNTIFS(BD!$A$3:$A$5001,I$3,BD!$B$3:$B$5001,$A$52,BD!$D$3:$D$5001,"&lt;&gt;")=0,"",SUMIFS(BD!$D$3:$D$5001,BD!$A$3:$A$5001,I$3,BD!$B$3:$B$5001,$A$52)))</f>
        <v/>
      </c>
      <c r="J53" s="179" t="str">
        <f>IF(J$3="","",IF(COUNTIFS(BD!$A$3:$A$5001,J$3,BD!$B$3:$B$5001,$A$52,BD!$D$3:$D$5001,"&lt;&gt;")=0,"",SUMIFS(BD!$D$3:$D$5001,BD!$A$3:$A$5001,J$3,BD!$B$3:$B$5001,$A$52)))</f>
        <v/>
      </c>
      <c r="K53" s="179" t="str">
        <f>IF(K$3="","",IF(COUNTIFS(BD!$A$3:$A$5001,K$3,BD!$B$3:$B$5001,$A$52,BD!$D$3:$D$5001,"&lt;&gt;")=0,"",SUMIFS(BD!$D$3:$D$5001,BD!$A$3:$A$5001,K$3,BD!$B$3:$B$5001,$A$52)))</f>
        <v/>
      </c>
      <c r="L53" s="179" t="str">
        <f>IF(L$3="","",IF(COUNTIFS(BD!$A$3:$A$5001,L$3,BD!$B$3:$B$5001,$A$52,BD!$D$3:$D$5001,"&lt;&gt;")=0,"",SUMIFS(BD!$D$3:$D$5001,BD!$A$3:$A$5001,L$3,BD!$B$3:$B$5001,$A$52)))</f>
        <v/>
      </c>
      <c r="M53" s="179" t="str">
        <f>IF(M$3="","",IF(COUNTIFS(BD!$A$3:$A$5001,M$3,BD!$B$3:$B$5001,$A$52,BD!$D$3:$D$5001,"&lt;&gt;")=0,"",SUMIFS(BD!$D$3:$D$5001,BD!$A$3:$A$5001,M$3,BD!$B$3:$B$5001,$A$52)))</f>
        <v/>
      </c>
      <c r="N53" s="179" t="str">
        <f>IF(N$3="","",IF(COUNTIFS(BD!$A$3:$A$5001,N$3,BD!$B$3:$B$5001,$A$52,BD!$D$3:$D$5001,"&lt;&gt;")=0,"",SUMIFS(BD!$D$3:$D$5001,BD!$A$3:$A$5001,N$3,BD!$B$3:$B$5001,$A$52)))</f>
        <v/>
      </c>
      <c r="O53" s="179" t="str">
        <f>IF(O$3="","",IF(COUNTIFS(BD!$A$3:$A$5001,O$3,BD!$B$3:$B$5001,$A$52,BD!$D$3:$D$5001,"&lt;&gt;")=0,"",SUMIFS(BD!$D$3:$D$5001,BD!$A$3:$A$5001,O$3,BD!$B$3:$B$5001,$A$52)))</f>
        <v/>
      </c>
      <c r="P53" s="179" t="str">
        <f>IF(P$3="","",IF(COUNTIFS(BD!$A$3:$A$5001,P$3,BD!$B$3:$B$5001,$A$52,BD!$D$3:$D$5001,"&lt;&gt;")=0,"",SUMIFS(BD!$D$3:$D$5001,BD!$A$3:$A$5001,P$3,BD!$B$3:$B$5001,$A$52)))</f>
        <v/>
      </c>
      <c r="Q53" s="179" t="str">
        <f>IF(Q$3="","",IF(COUNTIFS(BD!$A$3:$A$5001,Q$3,BD!$B$3:$B$5001,$A$52,BD!$D$3:$D$5001,"&lt;&gt;")=0,"",SUMIFS(BD!$D$3:$D$5001,BD!$A$3:$A$5001,Q$3,BD!$B$3:$B$5001,$A$52)))</f>
        <v/>
      </c>
      <c r="R53" s="179" t="str">
        <f>IF(R$3="","",IF(COUNTIFS(BD!$A$3:$A$5001,R$3,BD!$B$3:$B$5001,$A$52,BD!$D$3:$D$5001,"&lt;&gt;")=0,"",SUMIFS(BD!$D$3:$D$5001,BD!$A$3:$A$5001,R$3,BD!$B$3:$B$5001,$A$52)))</f>
        <v/>
      </c>
      <c r="S53" s="179" t="str">
        <f>IF(S$3="","",IF(COUNTIFS(BD!$A$3:$A$5001,S$3,BD!$B$3:$B$5001,$A$52,BD!$D$3:$D$5001,"&lt;&gt;")=0,"",SUMIFS(BD!$D$3:$D$5001,BD!$A$3:$A$5001,S$3,BD!$B$3:$B$5001,$A$52)))</f>
        <v/>
      </c>
      <c r="T53" s="179" t="str">
        <f>IF(T$3="","",IF(COUNTIFS(BD!$A$3:$A$5001,T$3,BD!$B$3:$B$5001,$A$52,BD!$D$3:$D$5001,"&lt;&gt;")=0,"",SUMIFS(BD!$D$3:$D$5001,BD!$A$3:$A$5001,T$3,BD!$B$3:$B$5001,$A$52)))</f>
        <v/>
      </c>
      <c r="U53" s="179" t="str">
        <f>IF(U$3="","",IF(COUNTIFS(BD!$A$3:$A$5001,U$3,BD!$B$3:$B$5001,$A$52,BD!$D$3:$D$5001,"&lt;&gt;")=0,"",SUMIFS(BD!$D$3:$D$5001,BD!$A$3:$A$5001,U$3,BD!$B$3:$B$5001,$A$52)))</f>
        <v/>
      </c>
      <c r="V53" s="179" t="str">
        <f>IF(V$3="","",IF(COUNTIFS(BD!$A$3:$A$5001,V$3,BD!$B$3:$B$5001,$A$52,BD!$D$3:$D$5001,"&lt;&gt;")=0,"",SUMIFS(BD!$D$3:$D$5001,BD!$A$3:$A$5001,V$3,BD!$B$3:$B$5001,$A$52)))</f>
        <v/>
      </c>
      <c r="W53" s="179" t="str">
        <f>IF(W$3="","",IF(COUNTIFS(BD!$A$3:$A$5001,W$3,BD!$B$3:$B$5001,$A$52,BD!$D$3:$D$5001,"&lt;&gt;")=0,"",SUMIFS(BD!$D$3:$D$5001,BD!$A$3:$A$5001,W$3,BD!$B$3:$B$5001,$A$52)))</f>
        <v/>
      </c>
      <c r="X53" s="179" t="str">
        <f>IF(X$3="","",IF(COUNTIFS(BD!$A$3:$A$5001,X$3,BD!$B$3:$B$5001,$A$52,BD!$D$3:$D$5001,"&lt;&gt;")=0,"",SUMIFS(BD!$D$3:$D$5001,BD!$A$3:$A$5001,X$3,BD!$B$3:$B$5001,$A$52)))</f>
        <v/>
      </c>
      <c r="Y53" s="179" t="str">
        <f>IF(Y$3="","",IF(COUNTIFS(BD!$A$3:$A$5001,Y$3,BD!$B$3:$B$5001,$A$52,BD!$D$3:$D$5001,"&lt;&gt;")=0,"",SUMIFS(BD!$D$3:$D$5001,BD!$A$3:$A$5001,Y$3,BD!$B$3:$B$5001,$A$52)))</f>
        <v/>
      </c>
      <c r="Z53" s="179" t="str">
        <f>IF(Z$3="","",IF(COUNTIFS(BD!$A$3:$A$5001,Z$3,BD!$B$3:$B$5001,$A$52,BD!$D$3:$D$5001,"&lt;&gt;")=0,"",SUMIFS(BD!$D$3:$D$5001,BD!$A$3:$A$5001,Z$3,BD!$B$3:$B$5001,$A$52)))</f>
        <v/>
      </c>
      <c r="AA53" s="179" t="str">
        <f>IF(AA$3="","",IF(COUNTIFS(BD!$A$3:$A$5001,AA$3,BD!$B$3:$B$5001,$A$52,BD!$D$3:$D$5001,"&lt;&gt;")=0,"",SUMIFS(BD!$D$3:$D$5001,BD!$A$3:$A$5001,AA$3,BD!$B$3:$B$5001,$A$52)))</f>
        <v/>
      </c>
      <c r="AB53" s="179" t="str">
        <f>IF(AB$3="","",IF(COUNTIFS(BD!$A$3:$A$5001,AB$3,BD!$B$3:$B$5001,$A$52,BD!$D$3:$D$5001,"&lt;&gt;")=0,"",SUMIFS(BD!$D$3:$D$5001,BD!$A$3:$A$5001,AB$3,BD!$B$3:$B$5001,$A$52)))</f>
        <v/>
      </c>
      <c r="AC53" s="179" t="str">
        <f>IF(AC$3="","",IF(COUNTIFS(BD!$A$3:$A$5001,AC$3,BD!$B$3:$B$5001,$A$52,BD!$D$3:$D$5001,"&lt;&gt;")=0,"",SUMIFS(BD!$D$3:$D$5001,BD!$A$3:$A$5001,AC$3,BD!$B$3:$B$5001,$A$52)))</f>
        <v/>
      </c>
      <c r="AD53" s="179" t="str">
        <f>IF(AD$3="","",IF(COUNTIFS(BD!$A$3:$A$5001,AD$3,BD!$B$3:$B$5001,$A$52,BD!$D$3:$D$5001,"&lt;&gt;")=0,"",SUMIFS(BD!$D$3:$D$5001,BD!$A$3:$A$5001,AD$3,BD!$B$3:$B$5001,$A$52)))</f>
        <v/>
      </c>
      <c r="AE53" s="179" t="str">
        <f>IF(AE$3="","",IF(COUNTIFS(BD!$A$3:$A$5001,AE$3,BD!$B$3:$B$5001,$A$52,BD!$D$3:$D$5001,"&lt;&gt;")=0,"",SUMIFS(BD!$D$3:$D$5001,BD!$A$3:$A$5001,AE$3,BD!$B$3:$B$5001,$A$52)))</f>
        <v/>
      </c>
      <c r="AF53" s="179" t="str">
        <f>IF(AF$3="","",IF(COUNTIFS(BD!$A$3:$A$5001,AF$3,BD!$B$3:$B$5001,$A$52,BD!$D$3:$D$5001,"&lt;&gt;")=0,"",SUMIFS(BD!$D$3:$D$5001,BD!$A$3:$A$5001,AF$3,BD!$B$3:$B$5001,$A$52)))</f>
        <v/>
      </c>
      <c r="AG53" s="179" t="str">
        <f>IF(AG$3="","",IF(COUNTIFS(BD!$A$3:$A$5001,AG$3,BD!$B$3:$B$5001,$A$52,BD!$D$3:$D$5001,"&lt;&gt;")=0,"",SUMIFS(BD!$D$3:$D$5001,BD!$A$3:$A$5001,AG$3,BD!$B$3:$B$5001,$A$52)))</f>
        <v/>
      </c>
      <c r="AH53" s="179" t="str">
        <f>IF(AH$3="","",IF(COUNTIFS(BD!$A$3:$A$5001,AH$3,BD!$B$3:$B$5001,$A$52,BD!$D$3:$D$5001,"&lt;&gt;")=0,"",SUMIFS(BD!$D$3:$D$5001,BD!$A$3:$A$5001,AH$3,BD!$B$3:$B$5001,$A$52)))</f>
        <v/>
      </c>
      <c r="AI53" s="179" t="str">
        <f>IF(AI$3="","",IF(COUNTIFS(BD!$A$3:$A$5001,AI$3,BD!$B$3:$B$5001,$A$52,BD!$D$3:$D$5001,"&lt;&gt;")=0,"",SUMIFS(BD!$D$3:$D$5001,BD!$A$3:$A$5001,AI$3,BD!$B$3:$B$5001,$A$52)))</f>
        <v/>
      </c>
      <c r="AJ53" s="180" t="str">
        <f>IF(AJ$3="","",IF(COUNTIFS(BD!$A$3:$A$5001,AJ$3,BD!$B$3:$B$5001,$A$52,BD!$D$3:$D$5001,"&lt;&gt;")=0,"",SUMIFS(BD!$D$3:$D$5001,BD!$A$3:$A$5001,AJ$3,BD!$B$3:$B$5001,$A$52)))</f>
        <v/>
      </c>
      <c r="AK53" s="181" t="str">
        <f>IF(COUNT(F53:AJ53)=0,"",SUM(F53:AJ53))</f>
        <v/>
      </c>
    </row>
    <row r="54" ht="15.75" customHeight="1">
      <c r="A54" s="277"/>
      <c r="B54" s="265"/>
      <c r="C54" s="175" t="inlineStr">
        <is>
          <t xml:space="preserve">Toneladas Movimentadas</t>
        </is>
      </c>
      <c r="D54" s="176" t="str">
        <f>IFERROR(1/(1/INDEX(BD!$AF$25:$AZ$25,MATCH($A$52,BD!$AF$22:$AZ$22,0))),"")</f>
        <v/>
      </c>
      <c r="E54" s="177"/>
      <c r="F54" s="182" t="str">
        <f>IF(F$3="","",IF(COUNTIFS(BD!$A$3:$A$5001,F$3,BD!$B$3:$B$5001,$A$52,BD!$E$3:$E$5001,"&lt;&gt;")=0,"",SUMIFS(BD!$E$3:$E$5001,BD!$A$3:$A$5001,F$3,BD!$B$3:$B$5001,$A$52)))</f>
        <v/>
      </c>
      <c r="G54" s="183" t="str">
        <f>IF(G$3="","",IF(COUNTIFS(BD!$A$3:$A$5001,G$3,BD!$B$3:$B$5001,$A$52,BD!$E$3:$E$5001,"&lt;&gt;")=0,"",SUMIFS(BD!$E$3:$E$5001,BD!$A$3:$A$5001,G$3,BD!$B$3:$B$5001,$A$52)))</f>
        <v/>
      </c>
      <c r="H54" s="183" t="str">
        <f>IF(H$3="","",IF(COUNTIFS(BD!$A$3:$A$5001,H$3,BD!$B$3:$B$5001,$A$52,BD!$E$3:$E$5001,"&lt;&gt;")=0,"",SUMIFS(BD!$E$3:$E$5001,BD!$A$3:$A$5001,H$3,BD!$B$3:$B$5001,$A$52)))</f>
        <v/>
      </c>
      <c r="I54" s="183" t="str">
        <f>IF(I$3="","",IF(COUNTIFS(BD!$A$3:$A$5001,I$3,BD!$B$3:$B$5001,$A$52,BD!$E$3:$E$5001,"&lt;&gt;")=0,"",SUMIFS(BD!$E$3:$E$5001,BD!$A$3:$A$5001,I$3,BD!$B$3:$B$5001,$A$52)))</f>
        <v/>
      </c>
      <c r="J54" s="183" t="str">
        <f>IF(J$3="","",IF(COUNTIFS(BD!$A$3:$A$5001,J$3,BD!$B$3:$B$5001,$A$52,BD!$E$3:$E$5001,"&lt;&gt;")=0,"",SUMIFS(BD!$E$3:$E$5001,BD!$A$3:$A$5001,J$3,BD!$B$3:$B$5001,$A$52)))</f>
        <v/>
      </c>
      <c r="K54" s="183" t="str">
        <f>IF(K$3="","",IF(COUNTIFS(BD!$A$3:$A$5001,K$3,BD!$B$3:$B$5001,$A$52,BD!$E$3:$E$5001,"&lt;&gt;")=0,"",SUMIFS(BD!$E$3:$E$5001,BD!$A$3:$A$5001,K$3,BD!$B$3:$B$5001,$A$52)))</f>
        <v/>
      </c>
      <c r="L54" s="183" t="str">
        <f>IF(L$3="","",IF(COUNTIFS(BD!$A$3:$A$5001,L$3,BD!$B$3:$B$5001,$A$52,BD!$E$3:$E$5001,"&lt;&gt;")=0,"",SUMIFS(BD!$E$3:$E$5001,BD!$A$3:$A$5001,L$3,BD!$B$3:$B$5001,$A$52)))</f>
        <v/>
      </c>
      <c r="M54" s="183" t="str">
        <f>IF(M$3="","",IF(COUNTIFS(BD!$A$3:$A$5001,M$3,BD!$B$3:$B$5001,$A$52,BD!$E$3:$E$5001,"&lt;&gt;")=0,"",SUMIFS(BD!$E$3:$E$5001,BD!$A$3:$A$5001,M$3,BD!$B$3:$B$5001,$A$52)))</f>
        <v/>
      </c>
      <c r="N54" s="183" t="str">
        <f>IF(N$3="","",IF(COUNTIFS(BD!$A$3:$A$5001,N$3,BD!$B$3:$B$5001,$A$52,BD!$E$3:$E$5001,"&lt;&gt;")=0,"",SUMIFS(BD!$E$3:$E$5001,BD!$A$3:$A$5001,N$3,BD!$B$3:$B$5001,$A$52)))</f>
        <v/>
      </c>
      <c r="O54" s="183" t="str">
        <f>IF(O$3="","",IF(COUNTIFS(BD!$A$3:$A$5001,O$3,BD!$B$3:$B$5001,$A$52,BD!$E$3:$E$5001,"&lt;&gt;")=0,"",SUMIFS(BD!$E$3:$E$5001,BD!$A$3:$A$5001,O$3,BD!$B$3:$B$5001,$A$52)))</f>
        <v/>
      </c>
      <c r="P54" s="183" t="str">
        <f>IF(P$3="","",IF(COUNTIFS(BD!$A$3:$A$5001,P$3,BD!$B$3:$B$5001,$A$52,BD!$E$3:$E$5001,"&lt;&gt;")=0,"",SUMIFS(BD!$E$3:$E$5001,BD!$A$3:$A$5001,P$3,BD!$B$3:$B$5001,$A$52)))</f>
        <v/>
      </c>
      <c r="Q54" s="183" t="str">
        <f>IF(Q$3="","",IF(COUNTIFS(BD!$A$3:$A$5001,Q$3,BD!$B$3:$B$5001,$A$52,BD!$E$3:$E$5001,"&lt;&gt;")=0,"",SUMIFS(BD!$E$3:$E$5001,BD!$A$3:$A$5001,Q$3,BD!$B$3:$B$5001,$A$52)))</f>
        <v/>
      </c>
      <c r="R54" s="183" t="str">
        <f>IF(R$3="","",IF(COUNTIFS(BD!$A$3:$A$5001,R$3,BD!$B$3:$B$5001,$A$52,BD!$E$3:$E$5001,"&lt;&gt;")=0,"",SUMIFS(BD!$E$3:$E$5001,BD!$A$3:$A$5001,R$3,BD!$B$3:$B$5001,$A$52)))</f>
        <v/>
      </c>
      <c r="S54" s="183" t="str">
        <f>IF(S$3="","",IF(COUNTIFS(BD!$A$3:$A$5001,S$3,BD!$B$3:$B$5001,$A$52,BD!$E$3:$E$5001,"&lt;&gt;")=0,"",SUMIFS(BD!$E$3:$E$5001,BD!$A$3:$A$5001,S$3,BD!$B$3:$B$5001,$A$52)))</f>
        <v/>
      </c>
      <c r="T54" s="183" t="str">
        <f>IF(T$3="","",IF(COUNTIFS(BD!$A$3:$A$5001,T$3,BD!$B$3:$B$5001,$A$52,BD!$E$3:$E$5001,"&lt;&gt;")=0,"",SUMIFS(BD!$E$3:$E$5001,BD!$A$3:$A$5001,T$3,BD!$B$3:$B$5001,$A$52)))</f>
        <v/>
      </c>
      <c r="U54" s="183" t="str">
        <f>IF(U$3="","",IF(COUNTIFS(BD!$A$3:$A$5001,U$3,BD!$B$3:$B$5001,$A$52,BD!$E$3:$E$5001,"&lt;&gt;")=0,"",SUMIFS(BD!$E$3:$E$5001,BD!$A$3:$A$5001,U$3,BD!$B$3:$B$5001,$A$52)))</f>
        <v/>
      </c>
      <c r="V54" s="183" t="str">
        <f>IF(V$3="","",IF(COUNTIFS(BD!$A$3:$A$5001,V$3,BD!$B$3:$B$5001,$A$52,BD!$E$3:$E$5001,"&lt;&gt;")=0,"",SUMIFS(BD!$E$3:$E$5001,BD!$A$3:$A$5001,V$3,BD!$B$3:$B$5001,$A$52)))</f>
        <v/>
      </c>
      <c r="W54" s="183" t="str">
        <f>IF(W$3="","",IF(COUNTIFS(BD!$A$3:$A$5001,W$3,BD!$B$3:$B$5001,$A$52,BD!$E$3:$E$5001,"&lt;&gt;")=0,"",SUMIFS(BD!$E$3:$E$5001,BD!$A$3:$A$5001,W$3,BD!$B$3:$B$5001,$A$52)))</f>
        <v/>
      </c>
      <c r="X54" s="183" t="str">
        <f>IF(X$3="","",IF(COUNTIFS(BD!$A$3:$A$5001,X$3,BD!$B$3:$B$5001,$A$52,BD!$E$3:$E$5001,"&lt;&gt;")=0,"",SUMIFS(BD!$E$3:$E$5001,BD!$A$3:$A$5001,X$3,BD!$B$3:$B$5001,$A$52)))</f>
        <v/>
      </c>
      <c r="Y54" s="183" t="str">
        <f>IF(Y$3="","",IF(COUNTIFS(BD!$A$3:$A$5001,Y$3,BD!$B$3:$B$5001,$A$52,BD!$E$3:$E$5001,"&lt;&gt;")=0,"",SUMIFS(BD!$E$3:$E$5001,BD!$A$3:$A$5001,Y$3,BD!$B$3:$B$5001,$A$52)))</f>
        <v/>
      </c>
      <c r="Z54" s="183" t="str">
        <f>IF(Z$3="","",IF(COUNTIFS(BD!$A$3:$A$5001,Z$3,BD!$B$3:$B$5001,$A$52,BD!$E$3:$E$5001,"&lt;&gt;")=0,"",SUMIFS(BD!$E$3:$E$5001,BD!$A$3:$A$5001,Z$3,BD!$B$3:$B$5001,$A$52)))</f>
        <v/>
      </c>
      <c r="AA54" s="183" t="str">
        <f>IF(AA$3="","",IF(COUNTIFS(BD!$A$3:$A$5001,AA$3,BD!$B$3:$B$5001,$A$52,BD!$E$3:$E$5001,"&lt;&gt;")=0,"",SUMIFS(BD!$E$3:$E$5001,BD!$A$3:$A$5001,AA$3,BD!$B$3:$B$5001,$A$52)))</f>
        <v/>
      </c>
      <c r="AB54" s="183" t="str">
        <f>IF(AB$3="","",IF(COUNTIFS(BD!$A$3:$A$5001,AB$3,BD!$B$3:$B$5001,$A$52,BD!$E$3:$E$5001,"&lt;&gt;")=0,"",SUMIFS(BD!$E$3:$E$5001,BD!$A$3:$A$5001,AB$3,BD!$B$3:$B$5001,$A$52)))</f>
        <v/>
      </c>
      <c r="AC54" s="183" t="str">
        <f>IF(AC$3="","",IF(COUNTIFS(BD!$A$3:$A$5001,AC$3,BD!$B$3:$B$5001,$A$52,BD!$E$3:$E$5001,"&lt;&gt;")=0,"",SUMIFS(BD!$E$3:$E$5001,BD!$A$3:$A$5001,AC$3,BD!$B$3:$B$5001,$A$52)))</f>
        <v/>
      </c>
      <c r="AD54" s="183" t="str">
        <f>IF(AD$3="","",IF(COUNTIFS(BD!$A$3:$A$5001,AD$3,BD!$B$3:$B$5001,$A$52,BD!$E$3:$E$5001,"&lt;&gt;")=0,"",SUMIFS(BD!$E$3:$E$5001,BD!$A$3:$A$5001,AD$3,BD!$B$3:$B$5001,$A$52)))</f>
        <v/>
      </c>
      <c r="AE54" s="183" t="str">
        <f>IF(AE$3="","",IF(COUNTIFS(BD!$A$3:$A$5001,AE$3,BD!$B$3:$B$5001,$A$52,BD!$E$3:$E$5001,"&lt;&gt;")=0,"",SUMIFS(BD!$E$3:$E$5001,BD!$A$3:$A$5001,AE$3,BD!$B$3:$B$5001,$A$52)))</f>
        <v/>
      </c>
      <c r="AF54" s="183" t="str">
        <f>IF(AF$3="","",IF(COUNTIFS(BD!$A$3:$A$5001,AF$3,BD!$B$3:$B$5001,$A$52,BD!$E$3:$E$5001,"&lt;&gt;")=0,"",SUMIFS(BD!$E$3:$E$5001,BD!$A$3:$A$5001,AF$3,BD!$B$3:$B$5001,$A$52)))</f>
        <v/>
      </c>
      <c r="AG54" s="183" t="str">
        <f>IF(AG$3="","",IF(COUNTIFS(BD!$A$3:$A$5001,AG$3,BD!$B$3:$B$5001,$A$52,BD!$E$3:$E$5001,"&lt;&gt;")=0,"",SUMIFS(BD!$E$3:$E$5001,BD!$A$3:$A$5001,AG$3,BD!$B$3:$B$5001,$A$52)))</f>
        <v/>
      </c>
      <c r="AH54" s="183" t="str">
        <f>IF(AH$3="","",IF(COUNTIFS(BD!$A$3:$A$5001,AH$3,BD!$B$3:$B$5001,$A$52,BD!$E$3:$E$5001,"&lt;&gt;")=0,"",SUMIFS(BD!$E$3:$E$5001,BD!$A$3:$A$5001,AH$3,BD!$B$3:$B$5001,$A$52)))</f>
        <v/>
      </c>
      <c r="AI54" s="183" t="str">
        <f>IF(AI$3="","",IF(COUNTIFS(BD!$A$3:$A$5001,AI$3,BD!$B$3:$B$5001,$A$52,BD!$E$3:$E$5001,"&lt;&gt;")=0,"",SUMIFS(BD!$E$3:$E$5001,BD!$A$3:$A$5001,AI$3,BD!$B$3:$B$5001,$A$52)))</f>
        <v/>
      </c>
      <c r="AJ54" s="184" t="str">
        <f>IF(AJ$3="","",IF(COUNTIFS(BD!$A$3:$A$5001,AJ$3,BD!$B$3:$B$5001,$A$52,BD!$E$3:$E$5001,"&lt;&gt;")=0,"",SUMIFS(BD!$E$3:$E$5001,BD!$A$3:$A$5001,AJ$3,BD!$B$3:$B$5001,$A$52)))</f>
        <v/>
      </c>
      <c r="AK54" s="185" t="str">
        <f>IF(COUNT(F54:AJ54)=0,"",SUM(F54:AJ54))</f>
        <v/>
      </c>
    </row>
    <row r="55" ht="15.75" customHeight="1">
      <c r="A55" s="277"/>
      <c r="B55" s="266"/>
      <c r="C55" s="186" t="inlineStr">
        <is>
          <t xml:space="preserve">Caixas Recebidas</t>
        </is>
      </c>
      <c r="D55" s="187" t="str">
        <f>IFERROR(1/(1/INDEX(BD!$AF$26:$AZ$26,MATCH($A$52,BD!$AF$22:$AZ$22,0))),"")</f>
        <v/>
      </c>
      <c r="E55" s="188"/>
      <c r="F55" s="189" t="str">
        <f>IF(F$3="","",IF(COUNTIFS(BD!$A$3:$A$5001,F$3,BD!$B$3:$B$5001,$A$52,BD!$F$3:$F$5001,"&lt;&gt;")=0,"",SUMIFS(BD!$F$3:$F$5001,BD!$A$3:$A$5001,F$3,BD!$B$3:$B$5001,$A$52)))</f>
        <v/>
      </c>
      <c r="G55" s="190" t="str">
        <f>IF(G$3="","",IF(COUNTIFS(BD!$A$3:$A$5001,G$3,BD!$B$3:$B$5001,$A$52,BD!$F$3:$F$5001,"&lt;&gt;")=0,"",SUMIFS(BD!$F$3:$F$5001,BD!$A$3:$A$5001,G$3,BD!$B$3:$B$5001,$A$52)))</f>
        <v/>
      </c>
      <c r="H55" s="190" t="str">
        <f>IF(H$3="","",IF(COUNTIFS(BD!$A$3:$A$5001,H$3,BD!$B$3:$B$5001,$A$52,BD!$F$3:$F$5001,"&lt;&gt;")=0,"",SUMIFS(BD!$F$3:$F$5001,BD!$A$3:$A$5001,H$3,BD!$B$3:$B$5001,$A$52)))</f>
        <v/>
      </c>
      <c r="I55" s="190" t="str">
        <f>IF(I$3="","",IF(COUNTIFS(BD!$A$3:$A$5001,I$3,BD!$B$3:$B$5001,$A$52,BD!$F$3:$F$5001,"&lt;&gt;")=0,"",SUMIFS(BD!$F$3:$F$5001,BD!$A$3:$A$5001,I$3,BD!$B$3:$B$5001,$A$52)))</f>
        <v/>
      </c>
      <c r="J55" s="190" t="str">
        <f>IF(J$3="","",IF(COUNTIFS(BD!$A$3:$A$5001,J$3,BD!$B$3:$B$5001,$A$52,BD!$F$3:$F$5001,"&lt;&gt;")=0,"",SUMIFS(BD!$F$3:$F$5001,BD!$A$3:$A$5001,J$3,BD!$B$3:$B$5001,$A$52)))</f>
        <v/>
      </c>
      <c r="K55" s="190" t="str">
        <f>IF(K$3="","",IF(COUNTIFS(BD!$A$3:$A$5001,K$3,BD!$B$3:$B$5001,$A$52,BD!$F$3:$F$5001,"&lt;&gt;")=0,"",SUMIFS(BD!$F$3:$F$5001,BD!$A$3:$A$5001,K$3,BD!$B$3:$B$5001,$A$52)))</f>
        <v/>
      </c>
      <c r="L55" s="190" t="str">
        <f>IF(L$3="","",IF(COUNTIFS(BD!$A$3:$A$5001,L$3,BD!$B$3:$B$5001,$A$52,BD!$F$3:$F$5001,"&lt;&gt;")=0,"",SUMIFS(BD!$F$3:$F$5001,BD!$A$3:$A$5001,L$3,BD!$B$3:$B$5001,$A$52)))</f>
        <v/>
      </c>
      <c r="M55" s="190" t="str">
        <f>IF(M$3="","",IF(COUNTIFS(BD!$A$3:$A$5001,M$3,BD!$B$3:$B$5001,$A$52,BD!$F$3:$F$5001,"&lt;&gt;")=0,"",SUMIFS(BD!$F$3:$F$5001,BD!$A$3:$A$5001,M$3,BD!$B$3:$B$5001,$A$52)))</f>
        <v/>
      </c>
      <c r="N55" s="190" t="str">
        <f>IF(N$3="","",IF(COUNTIFS(BD!$A$3:$A$5001,N$3,BD!$B$3:$B$5001,$A$52,BD!$F$3:$F$5001,"&lt;&gt;")=0,"",SUMIFS(BD!$F$3:$F$5001,BD!$A$3:$A$5001,N$3,BD!$B$3:$B$5001,$A$52)))</f>
        <v/>
      </c>
      <c r="O55" s="190" t="str">
        <f>IF(O$3="","",IF(COUNTIFS(BD!$A$3:$A$5001,O$3,BD!$B$3:$B$5001,$A$52,BD!$F$3:$F$5001,"&lt;&gt;")=0,"",SUMIFS(BD!$F$3:$F$5001,BD!$A$3:$A$5001,O$3,BD!$B$3:$B$5001,$A$52)))</f>
        <v/>
      </c>
      <c r="P55" s="190" t="str">
        <f>IF(P$3="","",IF(COUNTIFS(BD!$A$3:$A$5001,P$3,BD!$B$3:$B$5001,$A$52,BD!$F$3:$F$5001,"&lt;&gt;")=0,"",SUMIFS(BD!$F$3:$F$5001,BD!$A$3:$A$5001,P$3,BD!$B$3:$B$5001,$A$52)))</f>
        <v/>
      </c>
      <c r="Q55" s="190" t="str">
        <f>IF(Q$3="","",IF(COUNTIFS(BD!$A$3:$A$5001,Q$3,BD!$B$3:$B$5001,$A$52,BD!$F$3:$F$5001,"&lt;&gt;")=0,"",SUMIFS(BD!$F$3:$F$5001,BD!$A$3:$A$5001,Q$3,BD!$B$3:$B$5001,$A$52)))</f>
        <v/>
      </c>
      <c r="R55" s="190" t="str">
        <f>IF(R$3="","",IF(COUNTIFS(BD!$A$3:$A$5001,R$3,BD!$B$3:$B$5001,$A$52,BD!$F$3:$F$5001,"&lt;&gt;")=0,"",SUMIFS(BD!$F$3:$F$5001,BD!$A$3:$A$5001,R$3,BD!$B$3:$B$5001,$A$52)))</f>
        <v/>
      </c>
      <c r="S55" s="190" t="str">
        <f>IF(S$3="","",IF(COUNTIFS(BD!$A$3:$A$5001,S$3,BD!$B$3:$B$5001,$A$52,BD!$F$3:$F$5001,"&lt;&gt;")=0,"",SUMIFS(BD!$F$3:$F$5001,BD!$A$3:$A$5001,S$3,BD!$B$3:$B$5001,$A$52)))</f>
        <v/>
      </c>
      <c r="T55" s="190" t="str">
        <f>IF(T$3="","",IF(COUNTIFS(BD!$A$3:$A$5001,T$3,BD!$B$3:$B$5001,$A$52,BD!$F$3:$F$5001,"&lt;&gt;")=0,"",SUMIFS(BD!$F$3:$F$5001,BD!$A$3:$A$5001,T$3,BD!$B$3:$B$5001,$A$52)))</f>
        <v/>
      </c>
      <c r="U55" s="190" t="str">
        <f>IF(U$3="","",IF(COUNTIFS(BD!$A$3:$A$5001,U$3,BD!$B$3:$B$5001,$A$52,BD!$F$3:$F$5001,"&lt;&gt;")=0,"",SUMIFS(BD!$F$3:$F$5001,BD!$A$3:$A$5001,U$3,BD!$B$3:$B$5001,$A$52)))</f>
        <v/>
      </c>
      <c r="V55" s="190" t="str">
        <f>IF(V$3="","",IF(COUNTIFS(BD!$A$3:$A$5001,V$3,BD!$B$3:$B$5001,$A$52,BD!$F$3:$F$5001,"&lt;&gt;")=0,"",SUMIFS(BD!$F$3:$F$5001,BD!$A$3:$A$5001,V$3,BD!$B$3:$B$5001,$A$52)))</f>
        <v/>
      </c>
      <c r="W55" s="190" t="str">
        <f>IF(W$3="","",IF(COUNTIFS(BD!$A$3:$A$5001,W$3,BD!$B$3:$B$5001,$A$52,BD!$F$3:$F$5001,"&lt;&gt;")=0,"",SUMIFS(BD!$F$3:$F$5001,BD!$A$3:$A$5001,W$3,BD!$B$3:$B$5001,$A$52)))</f>
        <v/>
      </c>
      <c r="X55" s="190" t="str">
        <f>IF(X$3="","",IF(COUNTIFS(BD!$A$3:$A$5001,X$3,BD!$B$3:$B$5001,$A$52,BD!$F$3:$F$5001,"&lt;&gt;")=0,"",SUMIFS(BD!$F$3:$F$5001,BD!$A$3:$A$5001,X$3,BD!$B$3:$B$5001,$A$52)))</f>
        <v/>
      </c>
      <c r="Y55" s="190" t="str">
        <f>IF(Y$3="","",IF(COUNTIFS(BD!$A$3:$A$5001,Y$3,BD!$B$3:$B$5001,$A$52,BD!$F$3:$F$5001,"&lt;&gt;")=0,"",SUMIFS(BD!$F$3:$F$5001,BD!$A$3:$A$5001,Y$3,BD!$B$3:$B$5001,$A$52)))</f>
        <v/>
      </c>
      <c r="Z55" s="190" t="str">
        <f>IF(Z$3="","",IF(COUNTIFS(BD!$A$3:$A$5001,Z$3,BD!$B$3:$B$5001,$A$52,BD!$F$3:$F$5001,"&lt;&gt;")=0,"",SUMIFS(BD!$F$3:$F$5001,BD!$A$3:$A$5001,Z$3,BD!$B$3:$B$5001,$A$52)))</f>
        <v/>
      </c>
      <c r="AA55" s="190" t="str">
        <f>IF(AA$3="","",IF(COUNTIFS(BD!$A$3:$A$5001,AA$3,BD!$B$3:$B$5001,$A$52,BD!$F$3:$F$5001,"&lt;&gt;")=0,"",SUMIFS(BD!$F$3:$F$5001,BD!$A$3:$A$5001,AA$3,BD!$B$3:$B$5001,$A$52)))</f>
        <v/>
      </c>
      <c r="AB55" s="190" t="str">
        <f>IF(AB$3="","",IF(COUNTIFS(BD!$A$3:$A$5001,AB$3,BD!$B$3:$B$5001,$A$52,BD!$F$3:$F$5001,"&lt;&gt;")=0,"",SUMIFS(BD!$F$3:$F$5001,BD!$A$3:$A$5001,AB$3,BD!$B$3:$B$5001,$A$52)))</f>
        <v/>
      </c>
      <c r="AC55" s="190" t="str">
        <f>IF(AC$3="","",IF(COUNTIFS(BD!$A$3:$A$5001,AC$3,BD!$B$3:$B$5001,$A$52,BD!$F$3:$F$5001,"&lt;&gt;")=0,"",SUMIFS(BD!$F$3:$F$5001,BD!$A$3:$A$5001,AC$3,BD!$B$3:$B$5001,$A$52)))</f>
        <v/>
      </c>
      <c r="AD55" s="190" t="str">
        <f>IF(AD$3="","",IF(COUNTIFS(BD!$A$3:$A$5001,AD$3,BD!$B$3:$B$5001,$A$52,BD!$F$3:$F$5001,"&lt;&gt;")=0,"",SUMIFS(BD!$F$3:$F$5001,BD!$A$3:$A$5001,AD$3,BD!$B$3:$B$5001,$A$52)))</f>
        <v/>
      </c>
      <c r="AE55" s="190" t="str">
        <f>IF(AE$3="","",IF(COUNTIFS(BD!$A$3:$A$5001,AE$3,BD!$B$3:$B$5001,$A$52,BD!$F$3:$F$5001,"&lt;&gt;")=0,"",SUMIFS(BD!$F$3:$F$5001,BD!$A$3:$A$5001,AE$3,BD!$B$3:$B$5001,$A$52)))</f>
        <v/>
      </c>
      <c r="AF55" s="190" t="str">
        <f>IF(AF$3="","",IF(COUNTIFS(BD!$A$3:$A$5001,AF$3,BD!$B$3:$B$5001,$A$52,BD!$F$3:$F$5001,"&lt;&gt;")=0,"",SUMIFS(BD!$F$3:$F$5001,BD!$A$3:$A$5001,AF$3,BD!$B$3:$B$5001,$A$52)))</f>
        <v/>
      </c>
      <c r="AG55" s="190" t="str">
        <f>IF(AG$3="","",IF(COUNTIFS(BD!$A$3:$A$5001,AG$3,BD!$B$3:$B$5001,$A$52,BD!$F$3:$F$5001,"&lt;&gt;")=0,"",SUMIFS(BD!$F$3:$F$5001,BD!$A$3:$A$5001,AG$3,BD!$B$3:$B$5001,$A$52)))</f>
        <v/>
      </c>
      <c r="AH55" s="190" t="str">
        <f>IF(AH$3="","",IF(COUNTIFS(BD!$A$3:$A$5001,AH$3,BD!$B$3:$B$5001,$A$52,BD!$F$3:$F$5001,"&lt;&gt;")=0,"",SUMIFS(BD!$F$3:$F$5001,BD!$A$3:$A$5001,AH$3,BD!$B$3:$B$5001,$A$52)))</f>
        <v/>
      </c>
      <c r="AI55" s="190" t="str">
        <f>IF(AI$3="","",IF(COUNTIFS(BD!$A$3:$A$5001,AI$3,BD!$B$3:$B$5001,$A$52,BD!$F$3:$F$5001,"&lt;&gt;")=0,"",SUMIFS(BD!$F$3:$F$5001,BD!$A$3:$A$5001,AI$3,BD!$B$3:$B$5001,$A$52)))</f>
        <v/>
      </c>
      <c r="AJ55" s="191" t="str">
        <f>IF(AJ$3="","",IF(COUNTIFS(BD!$A$3:$A$5001,AJ$3,BD!$B$3:$B$5001,$A$52,BD!$F$3:$F$5001,"&lt;&gt;")=0,"",SUMIFS(BD!$F$3:$F$5001,BD!$A$3:$A$5001,AJ$3,BD!$B$3:$B$5001,$A$52)))</f>
        <v/>
      </c>
      <c r="AK55" s="187" t="str">
        <f>IF(COUNT(F55:AJ55)=0,"",SUM(F55:AJ55))</f>
        <v/>
      </c>
    </row>
    <row r="56" ht="15.75" customHeight="1">
      <c r="A56" s="277"/>
      <c r="B56" s="267" t="inlineStr">
        <is>
          <t xml:space="preserve">OUT</t>
        </is>
      </c>
      <c r="C56" s="192" t="inlineStr">
        <is>
          <t xml:space="preserve">Veículos Expedidos</t>
        </is>
      </c>
      <c r="D56" s="193" t="str">
        <f>IFERROR(1/(1/INDEX(BD!$AF$28:$AZ$28,MATCH($A$52,BD!$AF$22:$AZ$22,0))),"")</f>
        <v/>
      </c>
      <c r="E56" s="194"/>
      <c r="F56" s="195" t="str">
        <f>IF(F$3="","",IF(COUNTIFS(BD!$A$3:$A$5001,F$3,BD!$B$3:$B$5001,$A$52,BD!$H$3:$H$5001,"&lt;&gt;")=0,"",SUMIFS(BD!$H$3:$H$5001,BD!$A$3:$A$5001,F$3,BD!$B$3:$B$5001,$A$52)))</f>
        <v/>
      </c>
      <c r="G56" s="196" t="str">
        <f>IF(G$3="","",IF(COUNTIFS(BD!$A$3:$A$5001,G$3,BD!$B$3:$B$5001,$A$52,BD!$H$3:$H$5001,"&lt;&gt;")=0,"",SUMIFS(BD!$H$3:$H$5001,BD!$A$3:$A$5001,G$3,BD!$B$3:$B$5001,$A$52)))</f>
        <v/>
      </c>
      <c r="H56" s="196" t="str">
        <f>IF(H$3="","",IF(COUNTIFS(BD!$A$3:$A$5001,H$3,BD!$B$3:$B$5001,$A$52,BD!$H$3:$H$5001,"&lt;&gt;")=0,"",SUMIFS(BD!$H$3:$H$5001,BD!$A$3:$A$5001,H$3,BD!$B$3:$B$5001,$A$52)))</f>
        <v/>
      </c>
      <c r="I56" s="196" t="str">
        <f>IF(I$3="","",IF(COUNTIFS(BD!$A$3:$A$5001,I$3,BD!$B$3:$B$5001,$A$52,BD!$H$3:$H$5001,"&lt;&gt;")=0,"",SUMIFS(BD!$H$3:$H$5001,BD!$A$3:$A$5001,I$3,BD!$B$3:$B$5001,$A$52)))</f>
        <v/>
      </c>
      <c r="J56" s="196" t="str">
        <f>IF(J$3="","",IF(COUNTIFS(BD!$A$3:$A$5001,J$3,BD!$B$3:$B$5001,$A$52,BD!$H$3:$H$5001,"&lt;&gt;")=0,"",SUMIFS(BD!$H$3:$H$5001,BD!$A$3:$A$5001,J$3,BD!$B$3:$B$5001,$A$52)))</f>
        <v/>
      </c>
      <c r="K56" s="196" t="str">
        <f>IF(K$3="","",IF(COUNTIFS(BD!$A$3:$A$5001,K$3,BD!$B$3:$B$5001,$A$52,BD!$H$3:$H$5001,"&lt;&gt;")=0,"",SUMIFS(BD!$H$3:$H$5001,BD!$A$3:$A$5001,K$3,BD!$B$3:$B$5001,$A$52)))</f>
        <v/>
      </c>
      <c r="L56" s="196" t="str">
        <f>IF(L$3="","",IF(COUNTIFS(BD!$A$3:$A$5001,L$3,BD!$B$3:$B$5001,$A$52,BD!$H$3:$H$5001,"&lt;&gt;")=0,"",SUMIFS(BD!$H$3:$H$5001,BD!$A$3:$A$5001,L$3,BD!$B$3:$B$5001,$A$52)))</f>
        <v/>
      </c>
      <c r="M56" s="196" t="str">
        <f>IF(M$3="","",IF(COUNTIFS(BD!$A$3:$A$5001,M$3,BD!$B$3:$B$5001,$A$52,BD!$H$3:$H$5001,"&lt;&gt;")=0,"",SUMIFS(BD!$H$3:$H$5001,BD!$A$3:$A$5001,M$3,BD!$B$3:$B$5001,$A$52)))</f>
        <v/>
      </c>
      <c r="N56" s="196" t="str">
        <f>IF(N$3="","",IF(COUNTIFS(BD!$A$3:$A$5001,N$3,BD!$B$3:$B$5001,$A$52,BD!$H$3:$H$5001,"&lt;&gt;")=0,"",SUMIFS(BD!$H$3:$H$5001,BD!$A$3:$A$5001,N$3,BD!$B$3:$B$5001,$A$52)))</f>
        <v/>
      </c>
      <c r="O56" s="196" t="str">
        <f>IF(O$3="","",IF(COUNTIFS(BD!$A$3:$A$5001,O$3,BD!$B$3:$B$5001,$A$52,BD!$H$3:$H$5001,"&lt;&gt;")=0,"",SUMIFS(BD!$H$3:$H$5001,BD!$A$3:$A$5001,O$3,BD!$B$3:$B$5001,$A$52)))</f>
        <v/>
      </c>
      <c r="P56" s="196" t="str">
        <f>IF(P$3="","",IF(COUNTIFS(BD!$A$3:$A$5001,P$3,BD!$B$3:$B$5001,$A$52,BD!$H$3:$H$5001,"&lt;&gt;")=0,"",SUMIFS(BD!$H$3:$H$5001,BD!$A$3:$A$5001,P$3,BD!$B$3:$B$5001,$A$52)))</f>
        <v/>
      </c>
      <c r="Q56" s="196" t="str">
        <f>IF(Q$3="","",IF(COUNTIFS(BD!$A$3:$A$5001,Q$3,BD!$B$3:$B$5001,$A$52,BD!$H$3:$H$5001,"&lt;&gt;")=0,"",SUMIFS(BD!$H$3:$H$5001,BD!$A$3:$A$5001,Q$3,BD!$B$3:$B$5001,$A$52)))</f>
        <v/>
      </c>
      <c r="R56" s="196" t="str">
        <f>IF(R$3="","",IF(COUNTIFS(BD!$A$3:$A$5001,R$3,BD!$B$3:$B$5001,$A$52,BD!$H$3:$H$5001,"&lt;&gt;")=0,"",SUMIFS(BD!$H$3:$H$5001,BD!$A$3:$A$5001,R$3,BD!$B$3:$B$5001,$A$52)))</f>
        <v/>
      </c>
      <c r="S56" s="196" t="str">
        <f>IF(S$3="","",IF(COUNTIFS(BD!$A$3:$A$5001,S$3,BD!$B$3:$B$5001,$A$52,BD!$H$3:$H$5001,"&lt;&gt;")=0,"",SUMIFS(BD!$H$3:$H$5001,BD!$A$3:$A$5001,S$3,BD!$B$3:$B$5001,$A$52)))</f>
        <v/>
      </c>
      <c r="T56" s="196" t="str">
        <f>IF(T$3="","",IF(COUNTIFS(BD!$A$3:$A$5001,T$3,BD!$B$3:$B$5001,$A$52,BD!$H$3:$H$5001,"&lt;&gt;")=0,"",SUMIFS(BD!$H$3:$H$5001,BD!$A$3:$A$5001,T$3,BD!$B$3:$B$5001,$A$52)))</f>
        <v/>
      </c>
      <c r="U56" s="196" t="str">
        <f>IF(U$3="","",IF(COUNTIFS(BD!$A$3:$A$5001,U$3,BD!$B$3:$B$5001,$A$52,BD!$H$3:$H$5001,"&lt;&gt;")=0,"",SUMIFS(BD!$H$3:$H$5001,BD!$A$3:$A$5001,U$3,BD!$B$3:$B$5001,$A$52)))</f>
        <v/>
      </c>
      <c r="V56" s="196" t="str">
        <f>IF(V$3="","",IF(COUNTIFS(BD!$A$3:$A$5001,V$3,BD!$B$3:$B$5001,$A$52,BD!$H$3:$H$5001,"&lt;&gt;")=0,"",SUMIFS(BD!$H$3:$H$5001,BD!$A$3:$A$5001,V$3,BD!$B$3:$B$5001,$A$52)))</f>
        <v/>
      </c>
      <c r="W56" s="196" t="str">
        <f>IF(W$3="","",IF(COUNTIFS(BD!$A$3:$A$5001,W$3,BD!$B$3:$B$5001,$A$52,BD!$H$3:$H$5001,"&lt;&gt;")=0,"",SUMIFS(BD!$H$3:$H$5001,BD!$A$3:$A$5001,W$3,BD!$B$3:$B$5001,$A$52)))</f>
        <v/>
      </c>
      <c r="X56" s="196" t="str">
        <f>IF(X$3="","",IF(COUNTIFS(BD!$A$3:$A$5001,X$3,BD!$B$3:$B$5001,$A$52,BD!$H$3:$H$5001,"&lt;&gt;")=0,"",SUMIFS(BD!$H$3:$H$5001,BD!$A$3:$A$5001,X$3,BD!$B$3:$B$5001,$A$52)))</f>
        <v/>
      </c>
      <c r="Y56" s="196" t="str">
        <f>IF(Y$3="","",IF(COUNTIFS(BD!$A$3:$A$5001,Y$3,BD!$B$3:$B$5001,$A$52,BD!$H$3:$H$5001,"&lt;&gt;")=0,"",SUMIFS(BD!$H$3:$H$5001,BD!$A$3:$A$5001,Y$3,BD!$B$3:$B$5001,$A$52)))</f>
        <v/>
      </c>
      <c r="Z56" s="196" t="str">
        <f>IF(Z$3="","",IF(COUNTIFS(BD!$A$3:$A$5001,Z$3,BD!$B$3:$B$5001,$A$52,BD!$H$3:$H$5001,"&lt;&gt;")=0,"",SUMIFS(BD!$H$3:$H$5001,BD!$A$3:$A$5001,Z$3,BD!$B$3:$B$5001,$A$52)))</f>
        <v/>
      </c>
      <c r="AA56" s="196" t="str">
        <f>IF(AA$3="","",IF(COUNTIFS(BD!$A$3:$A$5001,AA$3,BD!$B$3:$B$5001,$A$52,BD!$H$3:$H$5001,"&lt;&gt;")=0,"",SUMIFS(BD!$H$3:$H$5001,BD!$A$3:$A$5001,AA$3,BD!$B$3:$B$5001,$A$52)))</f>
        <v/>
      </c>
      <c r="AB56" s="196" t="str">
        <f>IF(AB$3="","",IF(COUNTIFS(BD!$A$3:$A$5001,AB$3,BD!$B$3:$B$5001,$A$52,BD!$H$3:$H$5001,"&lt;&gt;")=0,"",SUMIFS(BD!$H$3:$H$5001,BD!$A$3:$A$5001,AB$3,BD!$B$3:$B$5001,$A$52)))</f>
        <v/>
      </c>
      <c r="AC56" s="196" t="str">
        <f>IF(AC$3="","",IF(COUNTIFS(BD!$A$3:$A$5001,AC$3,BD!$B$3:$B$5001,$A$52,BD!$H$3:$H$5001,"&lt;&gt;")=0,"",SUMIFS(BD!$H$3:$H$5001,BD!$A$3:$A$5001,AC$3,BD!$B$3:$B$5001,$A$52)))</f>
        <v/>
      </c>
      <c r="AD56" s="196" t="str">
        <f>IF(AD$3="","",IF(COUNTIFS(BD!$A$3:$A$5001,AD$3,BD!$B$3:$B$5001,$A$52,BD!$H$3:$H$5001,"&lt;&gt;")=0,"",SUMIFS(BD!$H$3:$H$5001,BD!$A$3:$A$5001,AD$3,BD!$B$3:$B$5001,$A$52)))</f>
        <v/>
      </c>
      <c r="AE56" s="196" t="str">
        <f>IF(AE$3="","",IF(COUNTIFS(BD!$A$3:$A$5001,AE$3,BD!$B$3:$B$5001,$A$52,BD!$H$3:$H$5001,"&lt;&gt;")=0,"",SUMIFS(BD!$H$3:$H$5001,BD!$A$3:$A$5001,AE$3,BD!$B$3:$B$5001,$A$52)))</f>
        <v/>
      </c>
      <c r="AF56" s="196" t="str">
        <f>IF(AF$3="","",IF(COUNTIFS(BD!$A$3:$A$5001,AF$3,BD!$B$3:$B$5001,$A$52,BD!$H$3:$H$5001,"&lt;&gt;")=0,"",SUMIFS(BD!$H$3:$H$5001,BD!$A$3:$A$5001,AF$3,BD!$B$3:$B$5001,$A$52)))</f>
        <v/>
      </c>
      <c r="AG56" s="196" t="str">
        <f>IF(AG$3="","",IF(COUNTIFS(BD!$A$3:$A$5001,AG$3,BD!$B$3:$B$5001,$A$52,BD!$H$3:$H$5001,"&lt;&gt;")=0,"",SUMIFS(BD!$H$3:$H$5001,BD!$A$3:$A$5001,AG$3,BD!$B$3:$B$5001,$A$52)))</f>
        <v/>
      </c>
      <c r="AH56" s="196" t="str">
        <f>IF(AH$3="","",IF(COUNTIFS(BD!$A$3:$A$5001,AH$3,BD!$B$3:$B$5001,$A$52,BD!$H$3:$H$5001,"&lt;&gt;")=0,"",SUMIFS(BD!$H$3:$H$5001,BD!$A$3:$A$5001,AH$3,BD!$B$3:$B$5001,$A$52)))</f>
        <v/>
      </c>
      <c r="AI56" s="196" t="str">
        <f>IF(AI$3="","",IF(COUNTIFS(BD!$A$3:$A$5001,AI$3,BD!$B$3:$B$5001,$A$52,BD!$H$3:$H$5001,"&lt;&gt;")=0,"",SUMIFS(BD!$H$3:$H$5001,BD!$A$3:$A$5001,AI$3,BD!$B$3:$B$5001,$A$52)))</f>
        <v/>
      </c>
      <c r="AJ56" s="197" t="str">
        <f>IF(AJ$3="","",IF(COUNTIFS(BD!$A$3:$A$5001,AJ$3,BD!$B$3:$B$5001,$A$52,BD!$H$3:$H$5001,"&lt;&gt;")=0,"",SUMIFS(BD!$H$3:$H$5001,BD!$A$3:$A$5001,AJ$3,BD!$B$3:$B$5001,$A$52)))</f>
        <v/>
      </c>
      <c r="AK56" s="198" t="str">
        <f>IF(COUNT(F56:AJ56)=0,"",SUM(F56:AJ56))</f>
        <v/>
      </c>
    </row>
    <row r="57" ht="15.75" customHeight="1">
      <c r="A57" s="277"/>
      <c r="B57" s="268"/>
      <c r="C57" s="199" t="inlineStr">
        <is>
          <t xml:space="preserve">Pallets Movimentados</t>
        </is>
      </c>
      <c r="D57" s="200" t="str">
        <f>IFERROR(1/(1/INDEX(BD!$AF$29:$AZ$29,MATCH($A$52,BD!$AF$22:$AZ$22,0))),"")</f>
        <v/>
      </c>
      <c r="E57" s="201"/>
      <c r="F57" s="202" t="str">
        <f>IF(F$3="","",IF(COUNTIFS(BD!$A$3:$A$5001,F$3,BD!$B$3:$B$5001,$A$52,BD!$I$3:$I$5001,"&lt;&gt;")=0,"",SUMIFS(BD!$I$3:$I$5001,BD!$A$3:$A$5001,F$3,BD!$B$3:$B$5001,$A$52)))</f>
        <v/>
      </c>
      <c r="G57" s="203" t="str">
        <f>IF(G$3="","",IF(COUNTIFS(BD!$A$3:$A$5001,G$3,BD!$B$3:$B$5001,$A$52,BD!$I$3:$I$5001,"&lt;&gt;")=0,"",SUMIFS(BD!$I$3:$I$5001,BD!$A$3:$A$5001,G$3,BD!$B$3:$B$5001,$A$52)))</f>
        <v/>
      </c>
      <c r="H57" s="203" t="str">
        <f>IF(H$3="","",IF(COUNTIFS(BD!$A$3:$A$5001,H$3,BD!$B$3:$B$5001,$A$52,BD!$I$3:$I$5001,"&lt;&gt;")=0,"",SUMIFS(BD!$I$3:$I$5001,BD!$A$3:$A$5001,H$3,BD!$B$3:$B$5001,$A$52)))</f>
        <v/>
      </c>
      <c r="I57" s="203" t="str">
        <f>IF(I$3="","",IF(COUNTIFS(BD!$A$3:$A$5001,I$3,BD!$B$3:$B$5001,$A$52,BD!$I$3:$I$5001,"&lt;&gt;")=0,"",SUMIFS(BD!$I$3:$I$5001,BD!$A$3:$A$5001,I$3,BD!$B$3:$B$5001,$A$52)))</f>
        <v/>
      </c>
      <c r="J57" s="203" t="str">
        <f>IF(J$3="","",IF(COUNTIFS(BD!$A$3:$A$5001,J$3,BD!$B$3:$B$5001,$A$52,BD!$I$3:$I$5001,"&lt;&gt;")=0,"",SUMIFS(BD!$I$3:$I$5001,BD!$A$3:$A$5001,J$3,BD!$B$3:$B$5001,$A$52)))</f>
        <v/>
      </c>
      <c r="K57" s="203" t="str">
        <f>IF(K$3="","",IF(COUNTIFS(BD!$A$3:$A$5001,K$3,BD!$B$3:$B$5001,$A$52,BD!$I$3:$I$5001,"&lt;&gt;")=0,"",SUMIFS(BD!$I$3:$I$5001,BD!$A$3:$A$5001,K$3,BD!$B$3:$B$5001,$A$52)))</f>
        <v/>
      </c>
      <c r="L57" s="203" t="str">
        <f>IF(L$3="","",IF(COUNTIFS(BD!$A$3:$A$5001,L$3,BD!$B$3:$B$5001,$A$52,BD!$I$3:$I$5001,"&lt;&gt;")=0,"",SUMIFS(BD!$I$3:$I$5001,BD!$A$3:$A$5001,L$3,BD!$B$3:$B$5001,$A$52)))</f>
        <v/>
      </c>
      <c r="M57" s="203" t="str">
        <f>IF(M$3="","",IF(COUNTIFS(BD!$A$3:$A$5001,M$3,BD!$B$3:$B$5001,$A$52,BD!$I$3:$I$5001,"&lt;&gt;")=0,"",SUMIFS(BD!$I$3:$I$5001,BD!$A$3:$A$5001,M$3,BD!$B$3:$B$5001,$A$52)))</f>
        <v/>
      </c>
      <c r="N57" s="203" t="str">
        <f>IF(N$3="","",IF(COUNTIFS(BD!$A$3:$A$5001,N$3,BD!$B$3:$B$5001,$A$52,BD!$I$3:$I$5001,"&lt;&gt;")=0,"",SUMIFS(BD!$I$3:$I$5001,BD!$A$3:$A$5001,N$3,BD!$B$3:$B$5001,$A$52)))</f>
        <v/>
      </c>
      <c r="O57" s="203" t="str">
        <f>IF(O$3="","",IF(COUNTIFS(BD!$A$3:$A$5001,O$3,BD!$B$3:$B$5001,$A$52,BD!$I$3:$I$5001,"&lt;&gt;")=0,"",SUMIFS(BD!$I$3:$I$5001,BD!$A$3:$A$5001,O$3,BD!$B$3:$B$5001,$A$52)))</f>
        <v/>
      </c>
      <c r="P57" s="203" t="str">
        <f>IF(P$3="","",IF(COUNTIFS(BD!$A$3:$A$5001,P$3,BD!$B$3:$B$5001,$A$52,BD!$I$3:$I$5001,"&lt;&gt;")=0,"",SUMIFS(BD!$I$3:$I$5001,BD!$A$3:$A$5001,P$3,BD!$B$3:$B$5001,$A$52)))</f>
        <v/>
      </c>
      <c r="Q57" s="203" t="str">
        <f>IF(Q$3="","",IF(COUNTIFS(BD!$A$3:$A$5001,Q$3,BD!$B$3:$B$5001,$A$52,BD!$I$3:$I$5001,"&lt;&gt;")=0,"",SUMIFS(BD!$I$3:$I$5001,BD!$A$3:$A$5001,Q$3,BD!$B$3:$B$5001,$A$52)))</f>
        <v/>
      </c>
      <c r="R57" s="203" t="str">
        <f>IF(R$3="","",IF(COUNTIFS(BD!$A$3:$A$5001,R$3,BD!$B$3:$B$5001,$A$52,BD!$I$3:$I$5001,"&lt;&gt;")=0,"",SUMIFS(BD!$I$3:$I$5001,BD!$A$3:$A$5001,R$3,BD!$B$3:$B$5001,$A$52)))</f>
        <v/>
      </c>
      <c r="S57" s="203" t="str">
        <f>IF(S$3="","",IF(COUNTIFS(BD!$A$3:$A$5001,S$3,BD!$B$3:$B$5001,$A$52,BD!$I$3:$I$5001,"&lt;&gt;")=0,"",SUMIFS(BD!$I$3:$I$5001,BD!$A$3:$A$5001,S$3,BD!$B$3:$B$5001,$A$52)))</f>
        <v/>
      </c>
      <c r="T57" s="203" t="str">
        <f>IF(T$3="","",IF(COUNTIFS(BD!$A$3:$A$5001,T$3,BD!$B$3:$B$5001,$A$52,BD!$I$3:$I$5001,"&lt;&gt;")=0,"",SUMIFS(BD!$I$3:$I$5001,BD!$A$3:$A$5001,T$3,BD!$B$3:$B$5001,$A$52)))</f>
        <v/>
      </c>
      <c r="U57" s="203" t="str">
        <f>IF(U$3="","",IF(COUNTIFS(BD!$A$3:$A$5001,U$3,BD!$B$3:$B$5001,$A$52,BD!$I$3:$I$5001,"&lt;&gt;")=0,"",SUMIFS(BD!$I$3:$I$5001,BD!$A$3:$A$5001,U$3,BD!$B$3:$B$5001,$A$52)))</f>
        <v/>
      </c>
      <c r="V57" s="203" t="str">
        <f>IF(V$3="","",IF(COUNTIFS(BD!$A$3:$A$5001,V$3,BD!$B$3:$B$5001,$A$52,BD!$I$3:$I$5001,"&lt;&gt;")=0,"",SUMIFS(BD!$I$3:$I$5001,BD!$A$3:$A$5001,V$3,BD!$B$3:$B$5001,$A$52)))</f>
        <v/>
      </c>
      <c r="W57" s="203" t="str">
        <f>IF(W$3="","",IF(COUNTIFS(BD!$A$3:$A$5001,W$3,BD!$B$3:$B$5001,$A$52,BD!$I$3:$I$5001,"&lt;&gt;")=0,"",SUMIFS(BD!$I$3:$I$5001,BD!$A$3:$A$5001,W$3,BD!$B$3:$B$5001,$A$52)))</f>
        <v/>
      </c>
      <c r="X57" s="203" t="str">
        <f>IF(X$3="","",IF(COUNTIFS(BD!$A$3:$A$5001,X$3,BD!$B$3:$B$5001,$A$52,BD!$I$3:$I$5001,"&lt;&gt;")=0,"",SUMIFS(BD!$I$3:$I$5001,BD!$A$3:$A$5001,X$3,BD!$B$3:$B$5001,$A$52)))</f>
        <v/>
      </c>
      <c r="Y57" s="203" t="str">
        <f>IF(Y$3="","",IF(COUNTIFS(BD!$A$3:$A$5001,Y$3,BD!$B$3:$B$5001,$A$52,BD!$I$3:$I$5001,"&lt;&gt;")=0,"",SUMIFS(BD!$I$3:$I$5001,BD!$A$3:$A$5001,Y$3,BD!$B$3:$B$5001,$A$52)))</f>
        <v/>
      </c>
      <c r="Z57" s="203" t="str">
        <f>IF(Z$3="","",IF(COUNTIFS(BD!$A$3:$A$5001,Z$3,BD!$B$3:$B$5001,$A$52,BD!$I$3:$I$5001,"&lt;&gt;")=0,"",SUMIFS(BD!$I$3:$I$5001,BD!$A$3:$A$5001,Z$3,BD!$B$3:$B$5001,$A$52)))</f>
        <v/>
      </c>
      <c r="AA57" s="203" t="str">
        <f>IF(AA$3="","",IF(COUNTIFS(BD!$A$3:$A$5001,AA$3,BD!$B$3:$B$5001,$A$52,BD!$I$3:$I$5001,"&lt;&gt;")=0,"",SUMIFS(BD!$I$3:$I$5001,BD!$A$3:$A$5001,AA$3,BD!$B$3:$B$5001,$A$52)))</f>
        <v/>
      </c>
      <c r="AB57" s="203" t="str">
        <f>IF(AB$3="","",IF(COUNTIFS(BD!$A$3:$A$5001,AB$3,BD!$B$3:$B$5001,$A$52,BD!$I$3:$I$5001,"&lt;&gt;")=0,"",SUMIFS(BD!$I$3:$I$5001,BD!$A$3:$A$5001,AB$3,BD!$B$3:$B$5001,$A$52)))</f>
        <v/>
      </c>
      <c r="AC57" s="203" t="str">
        <f>IF(AC$3="","",IF(COUNTIFS(BD!$A$3:$A$5001,AC$3,BD!$B$3:$B$5001,$A$52,BD!$I$3:$I$5001,"&lt;&gt;")=0,"",SUMIFS(BD!$I$3:$I$5001,BD!$A$3:$A$5001,AC$3,BD!$B$3:$B$5001,$A$52)))</f>
        <v/>
      </c>
      <c r="AD57" s="203" t="str">
        <f>IF(AD$3="","",IF(COUNTIFS(BD!$A$3:$A$5001,AD$3,BD!$B$3:$B$5001,$A$52,BD!$I$3:$I$5001,"&lt;&gt;")=0,"",SUMIFS(BD!$I$3:$I$5001,BD!$A$3:$A$5001,AD$3,BD!$B$3:$B$5001,$A$52)))</f>
        <v/>
      </c>
      <c r="AE57" s="203" t="str">
        <f>IF(AE$3="","",IF(COUNTIFS(BD!$A$3:$A$5001,AE$3,BD!$B$3:$B$5001,$A$52,BD!$I$3:$I$5001,"&lt;&gt;")=0,"",SUMIFS(BD!$I$3:$I$5001,BD!$A$3:$A$5001,AE$3,BD!$B$3:$B$5001,$A$52)))</f>
        <v/>
      </c>
      <c r="AF57" s="203" t="str">
        <f>IF(AF$3="","",IF(COUNTIFS(BD!$A$3:$A$5001,AF$3,BD!$B$3:$B$5001,$A$52,BD!$I$3:$I$5001,"&lt;&gt;")=0,"",SUMIFS(BD!$I$3:$I$5001,BD!$A$3:$A$5001,AF$3,BD!$B$3:$B$5001,$A$52)))</f>
        <v/>
      </c>
      <c r="AG57" s="203" t="str">
        <f>IF(AG$3="","",IF(COUNTIFS(BD!$A$3:$A$5001,AG$3,BD!$B$3:$B$5001,$A$52,BD!$I$3:$I$5001,"&lt;&gt;")=0,"",SUMIFS(BD!$I$3:$I$5001,BD!$A$3:$A$5001,AG$3,BD!$B$3:$B$5001,$A$52)))</f>
        <v/>
      </c>
      <c r="AH57" s="203" t="str">
        <f>IF(AH$3="","",IF(COUNTIFS(BD!$A$3:$A$5001,AH$3,BD!$B$3:$B$5001,$A$52,BD!$I$3:$I$5001,"&lt;&gt;")=0,"",SUMIFS(BD!$I$3:$I$5001,BD!$A$3:$A$5001,AH$3,BD!$B$3:$B$5001,$A$52)))</f>
        <v/>
      </c>
      <c r="AI57" s="203" t="str">
        <f>IF(AI$3="","",IF(COUNTIFS(BD!$A$3:$A$5001,AI$3,BD!$B$3:$B$5001,$A$52,BD!$I$3:$I$5001,"&lt;&gt;")=0,"",SUMIFS(BD!$I$3:$I$5001,BD!$A$3:$A$5001,AI$3,BD!$B$3:$B$5001,$A$52)))</f>
        <v/>
      </c>
      <c r="AJ57" s="204" t="str">
        <f>IF(AJ$3="","",IF(COUNTIFS(BD!$A$3:$A$5001,AJ$3,BD!$B$3:$B$5001,$A$52,BD!$I$3:$I$5001,"&lt;&gt;")=0,"",SUMIFS(BD!$I$3:$I$5001,BD!$A$3:$A$5001,AJ$3,BD!$B$3:$B$5001,$A$52)))</f>
        <v/>
      </c>
      <c r="AK57" s="205" t="str">
        <f>IF(COUNT(F57:AJ57)=0,"",SUM(F57:AJ57))</f>
        <v/>
      </c>
    </row>
    <row r="58" ht="15.75" customHeight="1">
      <c r="A58" s="277"/>
      <c r="B58" s="268"/>
      <c r="C58" s="199" t="inlineStr">
        <is>
          <t xml:space="preserve">Toneladas Movimentadas</t>
        </is>
      </c>
      <c r="D58" s="200" t="str">
        <f>IFERROR(1/(1/INDEX(BD!$AF$30:$AZ$30,MATCH($A$52,BD!$AF$22:$AZ$22,0))),"")</f>
        <v/>
      </c>
      <c r="E58" s="201"/>
      <c r="F58" s="206" t="str">
        <f>IF(F$3="","",IF(COUNTIFS(BD!$A$3:$A$5001,F$3,BD!$B$3:$B$5001,$A$52,BD!$J$3:$J$5001,"&lt;&gt;")=0,"",SUMIFS(BD!$J$3:$J$5001,BD!$A$3:$A$5001,F$3,BD!$B$3:$B$5001,$A$52)))</f>
        <v/>
      </c>
      <c r="G58" s="207" t="str">
        <f>IF(G$3="","",IF(COUNTIFS(BD!$A$3:$A$5001,G$3,BD!$B$3:$B$5001,$A$52,BD!$J$3:$J$5001,"&lt;&gt;")=0,"",SUMIFS(BD!$J$3:$J$5001,BD!$A$3:$A$5001,G$3,BD!$B$3:$B$5001,$A$52)))</f>
        <v/>
      </c>
      <c r="H58" s="207" t="str">
        <f>IF(H$3="","",IF(COUNTIFS(BD!$A$3:$A$5001,H$3,BD!$B$3:$B$5001,$A$52,BD!$J$3:$J$5001,"&lt;&gt;")=0,"",SUMIFS(BD!$J$3:$J$5001,BD!$A$3:$A$5001,H$3,BD!$B$3:$B$5001,$A$52)))</f>
        <v/>
      </c>
      <c r="I58" s="207" t="str">
        <f>IF(I$3="","",IF(COUNTIFS(BD!$A$3:$A$5001,I$3,BD!$B$3:$B$5001,$A$52,BD!$J$3:$J$5001,"&lt;&gt;")=0,"",SUMIFS(BD!$J$3:$J$5001,BD!$A$3:$A$5001,I$3,BD!$B$3:$B$5001,$A$52)))</f>
        <v/>
      </c>
      <c r="J58" s="207" t="str">
        <f>IF(J$3="","",IF(COUNTIFS(BD!$A$3:$A$5001,J$3,BD!$B$3:$B$5001,$A$52,BD!$J$3:$J$5001,"&lt;&gt;")=0,"",SUMIFS(BD!$J$3:$J$5001,BD!$A$3:$A$5001,J$3,BD!$B$3:$B$5001,$A$52)))</f>
        <v/>
      </c>
      <c r="K58" s="207" t="str">
        <f>IF(K$3="","",IF(COUNTIFS(BD!$A$3:$A$5001,K$3,BD!$B$3:$B$5001,$A$52,BD!$J$3:$J$5001,"&lt;&gt;")=0,"",SUMIFS(BD!$J$3:$J$5001,BD!$A$3:$A$5001,K$3,BD!$B$3:$B$5001,$A$52)))</f>
        <v/>
      </c>
      <c r="L58" s="207" t="str">
        <f>IF(L$3="","",IF(COUNTIFS(BD!$A$3:$A$5001,L$3,BD!$B$3:$B$5001,$A$52,BD!$J$3:$J$5001,"&lt;&gt;")=0,"",SUMIFS(BD!$J$3:$J$5001,BD!$A$3:$A$5001,L$3,BD!$B$3:$B$5001,$A$52)))</f>
        <v/>
      </c>
      <c r="M58" s="207" t="str">
        <f>IF(M$3="","",IF(COUNTIFS(BD!$A$3:$A$5001,M$3,BD!$B$3:$B$5001,$A$52,BD!$J$3:$J$5001,"&lt;&gt;")=0,"",SUMIFS(BD!$J$3:$J$5001,BD!$A$3:$A$5001,M$3,BD!$B$3:$B$5001,$A$52)))</f>
        <v/>
      </c>
      <c r="N58" s="207" t="str">
        <f>IF(N$3="","",IF(COUNTIFS(BD!$A$3:$A$5001,N$3,BD!$B$3:$B$5001,$A$52,BD!$J$3:$J$5001,"&lt;&gt;")=0,"",SUMIFS(BD!$J$3:$J$5001,BD!$A$3:$A$5001,N$3,BD!$B$3:$B$5001,$A$52)))</f>
        <v/>
      </c>
      <c r="O58" s="207" t="str">
        <f>IF(O$3="","",IF(COUNTIFS(BD!$A$3:$A$5001,O$3,BD!$B$3:$B$5001,$A$52,BD!$J$3:$J$5001,"&lt;&gt;")=0,"",SUMIFS(BD!$J$3:$J$5001,BD!$A$3:$A$5001,O$3,BD!$B$3:$B$5001,$A$52)))</f>
        <v/>
      </c>
      <c r="P58" s="207" t="str">
        <f>IF(P$3="","",IF(COUNTIFS(BD!$A$3:$A$5001,P$3,BD!$B$3:$B$5001,$A$52,BD!$J$3:$J$5001,"&lt;&gt;")=0,"",SUMIFS(BD!$J$3:$J$5001,BD!$A$3:$A$5001,P$3,BD!$B$3:$B$5001,$A$52)))</f>
        <v/>
      </c>
      <c r="Q58" s="207" t="str">
        <f>IF(Q$3="","",IF(COUNTIFS(BD!$A$3:$A$5001,Q$3,BD!$B$3:$B$5001,$A$52,BD!$J$3:$J$5001,"&lt;&gt;")=0,"",SUMIFS(BD!$J$3:$J$5001,BD!$A$3:$A$5001,Q$3,BD!$B$3:$B$5001,$A$52)))</f>
        <v/>
      </c>
      <c r="R58" s="207" t="str">
        <f>IF(R$3="","",IF(COUNTIFS(BD!$A$3:$A$5001,R$3,BD!$B$3:$B$5001,$A$52,BD!$J$3:$J$5001,"&lt;&gt;")=0,"",SUMIFS(BD!$J$3:$J$5001,BD!$A$3:$A$5001,R$3,BD!$B$3:$B$5001,$A$52)))</f>
        <v/>
      </c>
      <c r="S58" s="207" t="str">
        <f>IF(S$3="","",IF(COUNTIFS(BD!$A$3:$A$5001,S$3,BD!$B$3:$B$5001,$A$52,BD!$J$3:$J$5001,"&lt;&gt;")=0,"",SUMIFS(BD!$J$3:$J$5001,BD!$A$3:$A$5001,S$3,BD!$B$3:$B$5001,$A$52)))</f>
        <v/>
      </c>
      <c r="T58" s="207" t="str">
        <f>IF(T$3="","",IF(COUNTIFS(BD!$A$3:$A$5001,T$3,BD!$B$3:$B$5001,$A$52,BD!$J$3:$J$5001,"&lt;&gt;")=0,"",SUMIFS(BD!$J$3:$J$5001,BD!$A$3:$A$5001,T$3,BD!$B$3:$B$5001,$A$52)))</f>
        <v/>
      </c>
      <c r="U58" s="207" t="str">
        <f>IF(U$3="","",IF(COUNTIFS(BD!$A$3:$A$5001,U$3,BD!$B$3:$B$5001,$A$52,BD!$J$3:$J$5001,"&lt;&gt;")=0,"",SUMIFS(BD!$J$3:$J$5001,BD!$A$3:$A$5001,U$3,BD!$B$3:$B$5001,$A$52)))</f>
        <v/>
      </c>
      <c r="V58" s="207" t="str">
        <f>IF(V$3="","",IF(COUNTIFS(BD!$A$3:$A$5001,V$3,BD!$B$3:$B$5001,$A$52,BD!$J$3:$J$5001,"&lt;&gt;")=0,"",SUMIFS(BD!$J$3:$J$5001,BD!$A$3:$A$5001,V$3,BD!$B$3:$B$5001,$A$52)))</f>
        <v/>
      </c>
      <c r="W58" s="207" t="str">
        <f>IF(W$3="","",IF(COUNTIFS(BD!$A$3:$A$5001,W$3,BD!$B$3:$B$5001,$A$52,BD!$J$3:$J$5001,"&lt;&gt;")=0,"",SUMIFS(BD!$J$3:$J$5001,BD!$A$3:$A$5001,W$3,BD!$B$3:$B$5001,$A$52)))</f>
        <v/>
      </c>
      <c r="X58" s="207" t="str">
        <f>IF(X$3="","",IF(COUNTIFS(BD!$A$3:$A$5001,X$3,BD!$B$3:$B$5001,$A$52,BD!$J$3:$J$5001,"&lt;&gt;")=0,"",SUMIFS(BD!$J$3:$J$5001,BD!$A$3:$A$5001,X$3,BD!$B$3:$B$5001,$A$52)))</f>
        <v/>
      </c>
      <c r="Y58" s="207" t="str">
        <f>IF(Y$3="","",IF(COUNTIFS(BD!$A$3:$A$5001,Y$3,BD!$B$3:$B$5001,$A$52,BD!$J$3:$J$5001,"&lt;&gt;")=0,"",SUMIFS(BD!$J$3:$J$5001,BD!$A$3:$A$5001,Y$3,BD!$B$3:$B$5001,$A$52)))</f>
        <v/>
      </c>
      <c r="Z58" s="207" t="str">
        <f>IF(Z$3="","",IF(COUNTIFS(BD!$A$3:$A$5001,Z$3,BD!$B$3:$B$5001,$A$52,BD!$J$3:$J$5001,"&lt;&gt;")=0,"",SUMIFS(BD!$J$3:$J$5001,BD!$A$3:$A$5001,Z$3,BD!$B$3:$B$5001,$A$52)))</f>
        <v/>
      </c>
      <c r="AA58" s="207" t="str">
        <f>IF(AA$3="","",IF(COUNTIFS(BD!$A$3:$A$5001,AA$3,BD!$B$3:$B$5001,$A$52,BD!$J$3:$J$5001,"&lt;&gt;")=0,"",SUMIFS(BD!$J$3:$J$5001,BD!$A$3:$A$5001,AA$3,BD!$B$3:$B$5001,$A$52)))</f>
        <v/>
      </c>
      <c r="AB58" s="207" t="str">
        <f>IF(AB$3="","",IF(COUNTIFS(BD!$A$3:$A$5001,AB$3,BD!$B$3:$B$5001,$A$52,BD!$J$3:$J$5001,"&lt;&gt;")=0,"",SUMIFS(BD!$J$3:$J$5001,BD!$A$3:$A$5001,AB$3,BD!$B$3:$B$5001,$A$52)))</f>
        <v/>
      </c>
      <c r="AC58" s="207" t="str">
        <f>IF(AC$3="","",IF(COUNTIFS(BD!$A$3:$A$5001,AC$3,BD!$B$3:$B$5001,$A$52,BD!$J$3:$J$5001,"&lt;&gt;")=0,"",SUMIFS(BD!$J$3:$J$5001,BD!$A$3:$A$5001,AC$3,BD!$B$3:$B$5001,$A$52)))</f>
        <v/>
      </c>
      <c r="AD58" s="207" t="str">
        <f>IF(AD$3="","",IF(COUNTIFS(BD!$A$3:$A$5001,AD$3,BD!$B$3:$B$5001,$A$52,BD!$J$3:$J$5001,"&lt;&gt;")=0,"",SUMIFS(BD!$J$3:$J$5001,BD!$A$3:$A$5001,AD$3,BD!$B$3:$B$5001,$A$52)))</f>
        <v/>
      </c>
      <c r="AE58" s="207" t="str">
        <f>IF(AE$3="","",IF(COUNTIFS(BD!$A$3:$A$5001,AE$3,BD!$B$3:$B$5001,$A$52,BD!$J$3:$J$5001,"&lt;&gt;")=0,"",SUMIFS(BD!$J$3:$J$5001,BD!$A$3:$A$5001,AE$3,BD!$B$3:$B$5001,$A$52)))</f>
        <v/>
      </c>
      <c r="AF58" s="207" t="str">
        <f>IF(AF$3="","",IF(COUNTIFS(BD!$A$3:$A$5001,AF$3,BD!$B$3:$B$5001,$A$52,BD!$J$3:$J$5001,"&lt;&gt;")=0,"",SUMIFS(BD!$J$3:$J$5001,BD!$A$3:$A$5001,AF$3,BD!$B$3:$B$5001,$A$52)))</f>
        <v/>
      </c>
      <c r="AG58" s="207" t="str">
        <f>IF(AG$3="","",IF(COUNTIFS(BD!$A$3:$A$5001,AG$3,BD!$B$3:$B$5001,$A$52,BD!$J$3:$J$5001,"&lt;&gt;")=0,"",SUMIFS(BD!$J$3:$J$5001,BD!$A$3:$A$5001,AG$3,BD!$B$3:$B$5001,$A$52)))</f>
        <v/>
      </c>
      <c r="AH58" s="207" t="str">
        <f>IF(AH$3="","",IF(COUNTIFS(BD!$A$3:$A$5001,AH$3,BD!$B$3:$B$5001,$A$52,BD!$J$3:$J$5001,"&lt;&gt;")=0,"",SUMIFS(BD!$J$3:$J$5001,BD!$A$3:$A$5001,AH$3,BD!$B$3:$B$5001,$A$52)))</f>
        <v/>
      </c>
      <c r="AI58" s="207" t="str">
        <f>IF(AI$3="","",IF(COUNTIFS(BD!$A$3:$A$5001,AI$3,BD!$B$3:$B$5001,$A$52,BD!$J$3:$J$5001,"&lt;&gt;")=0,"",SUMIFS(BD!$J$3:$J$5001,BD!$A$3:$A$5001,AI$3,BD!$B$3:$B$5001,$A$52)))</f>
        <v/>
      </c>
      <c r="AJ58" s="208" t="str">
        <f>IF(AJ$3="","",IF(COUNTIFS(BD!$A$3:$A$5001,AJ$3,BD!$B$3:$B$5001,$A$52,BD!$J$3:$J$5001,"&lt;&gt;")=0,"",SUMIFS(BD!$J$3:$J$5001,BD!$A$3:$A$5001,AJ$3,BD!$B$3:$B$5001,$A$52)))</f>
        <v/>
      </c>
      <c r="AK58" s="209" t="str">
        <f>IF(COUNT(F58:AJ58)=0,"",SUM(F58:AJ58))</f>
        <v/>
      </c>
    </row>
    <row r="59" ht="15.75" customHeight="1">
      <c r="A59" s="277"/>
      <c r="B59" s="268"/>
      <c r="C59" s="199" t="inlineStr">
        <is>
          <t xml:space="preserve">Caixas Expedidas</t>
        </is>
      </c>
      <c r="D59" s="200" t="str">
        <f>IFERROR(1/(1/INDEX(BD!$AF$31:$AZ$31,MATCH($A$52,BD!$AF$22:$AZ$22,0))),"")</f>
        <v/>
      </c>
      <c r="E59" s="201"/>
      <c r="F59" s="202" t="str">
        <f>IF(F$3="","",IF(COUNTIFS(BD!$A$3:$A$5001,F$3,BD!$B$3:$B$5001,$A$52,BD!$K$3:$K$5001,"&lt;&gt;")=0,"",SUMIFS(BD!$K$3:$K$5001,BD!$A$3:$A$5001,F$3,BD!$B$3:$B$5001,$A$52)))</f>
        <v/>
      </c>
      <c r="G59" s="203" t="str">
        <f>IF(G$3="","",IF(COUNTIFS(BD!$A$3:$A$5001,G$3,BD!$B$3:$B$5001,$A$52,BD!$K$3:$K$5001,"&lt;&gt;")=0,"",SUMIFS(BD!$K$3:$K$5001,BD!$A$3:$A$5001,G$3,BD!$B$3:$B$5001,$A$52)))</f>
        <v/>
      </c>
      <c r="H59" s="203" t="str">
        <f>IF(H$3="","",IF(COUNTIFS(BD!$A$3:$A$5001,H$3,BD!$B$3:$B$5001,$A$52,BD!$K$3:$K$5001,"&lt;&gt;")=0,"",SUMIFS(BD!$K$3:$K$5001,BD!$A$3:$A$5001,H$3,BD!$B$3:$B$5001,$A$52)))</f>
        <v/>
      </c>
      <c r="I59" s="203" t="str">
        <f>IF(I$3="","",IF(COUNTIFS(BD!$A$3:$A$5001,I$3,BD!$B$3:$B$5001,$A$52,BD!$K$3:$K$5001,"&lt;&gt;")=0,"",SUMIFS(BD!$K$3:$K$5001,BD!$A$3:$A$5001,I$3,BD!$B$3:$B$5001,$A$52)))</f>
        <v/>
      </c>
      <c r="J59" s="203" t="str">
        <f>IF(J$3="","",IF(COUNTIFS(BD!$A$3:$A$5001,J$3,BD!$B$3:$B$5001,$A$52,BD!$K$3:$K$5001,"&lt;&gt;")=0,"",SUMIFS(BD!$K$3:$K$5001,BD!$A$3:$A$5001,J$3,BD!$B$3:$B$5001,$A$52)))</f>
        <v/>
      </c>
      <c r="K59" s="203" t="str">
        <f>IF(K$3="","",IF(COUNTIFS(BD!$A$3:$A$5001,K$3,BD!$B$3:$B$5001,$A$52,BD!$K$3:$K$5001,"&lt;&gt;")=0,"",SUMIFS(BD!$K$3:$K$5001,BD!$A$3:$A$5001,K$3,BD!$B$3:$B$5001,$A$52)))</f>
        <v/>
      </c>
      <c r="L59" s="203" t="str">
        <f>IF(L$3="","",IF(COUNTIFS(BD!$A$3:$A$5001,L$3,BD!$B$3:$B$5001,$A$52,BD!$K$3:$K$5001,"&lt;&gt;")=0,"",SUMIFS(BD!$K$3:$K$5001,BD!$A$3:$A$5001,L$3,BD!$B$3:$B$5001,$A$52)))</f>
        <v/>
      </c>
      <c r="M59" s="203" t="str">
        <f>IF(M$3="","",IF(COUNTIFS(BD!$A$3:$A$5001,M$3,BD!$B$3:$B$5001,$A$52,BD!$K$3:$K$5001,"&lt;&gt;")=0,"",SUMIFS(BD!$K$3:$K$5001,BD!$A$3:$A$5001,M$3,BD!$B$3:$B$5001,$A$52)))</f>
        <v/>
      </c>
      <c r="N59" s="203" t="str">
        <f>IF(N$3="","",IF(COUNTIFS(BD!$A$3:$A$5001,N$3,BD!$B$3:$B$5001,$A$52,BD!$K$3:$K$5001,"&lt;&gt;")=0,"",SUMIFS(BD!$K$3:$K$5001,BD!$A$3:$A$5001,N$3,BD!$B$3:$B$5001,$A$52)))</f>
        <v/>
      </c>
      <c r="O59" s="203" t="str">
        <f>IF(O$3="","",IF(COUNTIFS(BD!$A$3:$A$5001,O$3,BD!$B$3:$B$5001,$A$52,BD!$K$3:$K$5001,"&lt;&gt;")=0,"",SUMIFS(BD!$K$3:$K$5001,BD!$A$3:$A$5001,O$3,BD!$B$3:$B$5001,$A$52)))</f>
        <v/>
      </c>
      <c r="P59" s="203" t="str">
        <f>IF(P$3="","",IF(COUNTIFS(BD!$A$3:$A$5001,P$3,BD!$B$3:$B$5001,$A$52,BD!$K$3:$K$5001,"&lt;&gt;")=0,"",SUMIFS(BD!$K$3:$K$5001,BD!$A$3:$A$5001,P$3,BD!$B$3:$B$5001,$A$52)))</f>
        <v/>
      </c>
      <c r="Q59" s="203" t="str">
        <f>IF(Q$3="","",IF(COUNTIFS(BD!$A$3:$A$5001,Q$3,BD!$B$3:$B$5001,$A$52,BD!$K$3:$K$5001,"&lt;&gt;")=0,"",SUMIFS(BD!$K$3:$K$5001,BD!$A$3:$A$5001,Q$3,BD!$B$3:$B$5001,$A$52)))</f>
        <v/>
      </c>
      <c r="R59" s="203" t="str">
        <f>IF(R$3="","",IF(COUNTIFS(BD!$A$3:$A$5001,R$3,BD!$B$3:$B$5001,$A$52,BD!$K$3:$K$5001,"&lt;&gt;")=0,"",SUMIFS(BD!$K$3:$K$5001,BD!$A$3:$A$5001,R$3,BD!$B$3:$B$5001,$A$52)))</f>
        <v/>
      </c>
      <c r="S59" s="203" t="str">
        <f>IF(S$3="","",IF(COUNTIFS(BD!$A$3:$A$5001,S$3,BD!$B$3:$B$5001,$A$52,BD!$K$3:$K$5001,"&lt;&gt;")=0,"",SUMIFS(BD!$K$3:$K$5001,BD!$A$3:$A$5001,S$3,BD!$B$3:$B$5001,$A$52)))</f>
        <v/>
      </c>
      <c r="T59" s="203" t="str">
        <f>IF(T$3="","",IF(COUNTIFS(BD!$A$3:$A$5001,T$3,BD!$B$3:$B$5001,$A$52,BD!$K$3:$K$5001,"&lt;&gt;")=0,"",SUMIFS(BD!$K$3:$K$5001,BD!$A$3:$A$5001,T$3,BD!$B$3:$B$5001,$A$52)))</f>
        <v/>
      </c>
      <c r="U59" s="203" t="str">
        <f>IF(U$3="","",IF(COUNTIFS(BD!$A$3:$A$5001,U$3,BD!$B$3:$B$5001,$A$52,BD!$K$3:$K$5001,"&lt;&gt;")=0,"",SUMIFS(BD!$K$3:$K$5001,BD!$A$3:$A$5001,U$3,BD!$B$3:$B$5001,$A$52)))</f>
        <v/>
      </c>
      <c r="V59" s="203" t="str">
        <f>IF(V$3="","",IF(COUNTIFS(BD!$A$3:$A$5001,V$3,BD!$B$3:$B$5001,$A$52,BD!$K$3:$K$5001,"&lt;&gt;")=0,"",SUMIFS(BD!$K$3:$K$5001,BD!$A$3:$A$5001,V$3,BD!$B$3:$B$5001,$A$52)))</f>
        <v/>
      </c>
      <c r="W59" s="203" t="str">
        <f>IF(W$3="","",IF(COUNTIFS(BD!$A$3:$A$5001,W$3,BD!$B$3:$B$5001,$A$52,BD!$K$3:$K$5001,"&lt;&gt;")=0,"",SUMIFS(BD!$K$3:$K$5001,BD!$A$3:$A$5001,W$3,BD!$B$3:$B$5001,$A$52)))</f>
        <v/>
      </c>
      <c r="X59" s="203" t="str">
        <f>IF(X$3="","",IF(COUNTIFS(BD!$A$3:$A$5001,X$3,BD!$B$3:$B$5001,$A$52,BD!$K$3:$K$5001,"&lt;&gt;")=0,"",SUMIFS(BD!$K$3:$K$5001,BD!$A$3:$A$5001,X$3,BD!$B$3:$B$5001,$A$52)))</f>
        <v/>
      </c>
      <c r="Y59" s="203" t="str">
        <f>IF(Y$3="","",IF(COUNTIFS(BD!$A$3:$A$5001,Y$3,BD!$B$3:$B$5001,$A$52,BD!$K$3:$K$5001,"&lt;&gt;")=0,"",SUMIFS(BD!$K$3:$K$5001,BD!$A$3:$A$5001,Y$3,BD!$B$3:$B$5001,$A$52)))</f>
        <v/>
      </c>
      <c r="Z59" s="203" t="str">
        <f>IF(Z$3="","",IF(COUNTIFS(BD!$A$3:$A$5001,Z$3,BD!$B$3:$B$5001,$A$52,BD!$K$3:$K$5001,"&lt;&gt;")=0,"",SUMIFS(BD!$K$3:$K$5001,BD!$A$3:$A$5001,Z$3,BD!$B$3:$B$5001,$A$52)))</f>
        <v/>
      </c>
      <c r="AA59" s="203" t="str">
        <f>IF(AA$3="","",IF(COUNTIFS(BD!$A$3:$A$5001,AA$3,BD!$B$3:$B$5001,$A$52,BD!$K$3:$K$5001,"&lt;&gt;")=0,"",SUMIFS(BD!$K$3:$K$5001,BD!$A$3:$A$5001,AA$3,BD!$B$3:$B$5001,$A$52)))</f>
        <v/>
      </c>
      <c r="AB59" s="203" t="str">
        <f>IF(AB$3="","",IF(COUNTIFS(BD!$A$3:$A$5001,AB$3,BD!$B$3:$B$5001,$A$52,BD!$K$3:$K$5001,"&lt;&gt;")=0,"",SUMIFS(BD!$K$3:$K$5001,BD!$A$3:$A$5001,AB$3,BD!$B$3:$B$5001,$A$52)))</f>
        <v/>
      </c>
      <c r="AC59" s="203" t="str">
        <f>IF(AC$3="","",IF(COUNTIFS(BD!$A$3:$A$5001,AC$3,BD!$B$3:$B$5001,$A$52,BD!$K$3:$K$5001,"&lt;&gt;")=0,"",SUMIFS(BD!$K$3:$K$5001,BD!$A$3:$A$5001,AC$3,BD!$B$3:$B$5001,$A$52)))</f>
        <v/>
      </c>
      <c r="AD59" s="203" t="str">
        <f>IF(AD$3="","",IF(COUNTIFS(BD!$A$3:$A$5001,AD$3,BD!$B$3:$B$5001,$A$52,BD!$K$3:$K$5001,"&lt;&gt;")=0,"",SUMIFS(BD!$K$3:$K$5001,BD!$A$3:$A$5001,AD$3,BD!$B$3:$B$5001,$A$52)))</f>
        <v/>
      </c>
      <c r="AE59" s="203" t="str">
        <f>IF(AE$3="","",IF(COUNTIFS(BD!$A$3:$A$5001,AE$3,BD!$B$3:$B$5001,$A$52,BD!$K$3:$K$5001,"&lt;&gt;")=0,"",SUMIFS(BD!$K$3:$K$5001,BD!$A$3:$A$5001,AE$3,BD!$B$3:$B$5001,$A$52)))</f>
        <v/>
      </c>
      <c r="AF59" s="203" t="str">
        <f>IF(AF$3="","",IF(COUNTIFS(BD!$A$3:$A$5001,AF$3,BD!$B$3:$B$5001,$A$52,BD!$K$3:$K$5001,"&lt;&gt;")=0,"",SUMIFS(BD!$K$3:$K$5001,BD!$A$3:$A$5001,AF$3,BD!$B$3:$B$5001,$A$52)))</f>
        <v/>
      </c>
      <c r="AG59" s="203" t="str">
        <f>IF(AG$3="","",IF(COUNTIFS(BD!$A$3:$A$5001,AG$3,BD!$B$3:$B$5001,$A$52,BD!$K$3:$K$5001,"&lt;&gt;")=0,"",SUMIFS(BD!$K$3:$K$5001,BD!$A$3:$A$5001,AG$3,BD!$B$3:$B$5001,$A$52)))</f>
        <v/>
      </c>
      <c r="AH59" s="203" t="str">
        <f>IF(AH$3="","",IF(COUNTIFS(BD!$A$3:$A$5001,AH$3,BD!$B$3:$B$5001,$A$52,BD!$K$3:$K$5001,"&lt;&gt;")=0,"",SUMIFS(BD!$K$3:$K$5001,BD!$A$3:$A$5001,AH$3,BD!$B$3:$B$5001,$A$52)))</f>
        <v/>
      </c>
      <c r="AI59" s="203" t="str">
        <f>IF(AI$3="","",IF(COUNTIFS(BD!$A$3:$A$5001,AI$3,BD!$B$3:$B$5001,$A$52,BD!$K$3:$K$5001,"&lt;&gt;")=0,"",SUMIFS(BD!$K$3:$K$5001,BD!$A$3:$A$5001,AI$3,BD!$B$3:$B$5001,$A$52)))</f>
        <v/>
      </c>
      <c r="AJ59" s="204" t="str">
        <f>IF(AJ$3="","",IF(COUNTIFS(BD!$A$3:$A$5001,AJ$3,BD!$B$3:$B$5001,$A$52,BD!$K$3:$K$5001,"&lt;&gt;")=0,"",SUMIFS(BD!$K$3:$K$5001,BD!$A$3:$A$5001,AJ$3,BD!$B$3:$B$5001,$A$52)))</f>
        <v/>
      </c>
      <c r="AK59" s="205" t="str">
        <f>IF(COUNT(F59:AJ59)=0,"",SUM(F59:AJ59))</f>
        <v/>
      </c>
    </row>
    <row r="60" ht="15.75" customHeight="1">
      <c r="A60" s="277"/>
      <c r="B60" s="269"/>
      <c r="C60" s="210" t="inlineStr">
        <is>
          <t xml:space="preserve">Pedidos Faturados</t>
        </is>
      </c>
      <c r="D60" s="211" t="str">
        <f>IFERROR(1/(1/INDEX(BD!$AF$32:$AZ$32,MATCH($A$52,BD!$AF$22:$AZ$22,0))),"")</f>
        <v/>
      </c>
      <c r="E60" s="212"/>
      <c r="F60" s="213" t="str">
        <f>IF(F$3="","",IF(COUNTIFS(BD!$A$3:$A$5001,F$3,BD!$B$3:$B$5001,$A$52,BD!$L$3:$L$5001,"&lt;&gt;")=0,"",SUMIFS(BD!$L$3:$L$5001,BD!$A$3:$A$5001,F$3,BD!$B$3:$B$5001,$A$52)))</f>
        <v/>
      </c>
      <c r="G60" s="214" t="str">
        <f>IF(G$3="","",IF(COUNTIFS(BD!$A$3:$A$5001,G$3,BD!$B$3:$B$5001,$A$52,BD!$L$3:$L$5001,"&lt;&gt;")=0,"",SUMIFS(BD!$L$3:$L$5001,BD!$A$3:$A$5001,G$3,BD!$B$3:$B$5001,$A$52)))</f>
        <v/>
      </c>
      <c r="H60" s="214" t="str">
        <f>IF(H$3="","",IF(COUNTIFS(BD!$A$3:$A$5001,H$3,BD!$B$3:$B$5001,$A$52,BD!$L$3:$L$5001,"&lt;&gt;")=0,"",SUMIFS(BD!$L$3:$L$5001,BD!$A$3:$A$5001,H$3,BD!$B$3:$B$5001,$A$52)))</f>
        <v/>
      </c>
      <c r="I60" s="214" t="str">
        <f>IF(I$3="","",IF(COUNTIFS(BD!$A$3:$A$5001,I$3,BD!$B$3:$B$5001,$A$52,BD!$L$3:$L$5001,"&lt;&gt;")=0,"",SUMIFS(BD!$L$3:$L$5001,BD!$A$3:$A$5001,I$3,BD!$B$3:$B$5001,$A$52)))</f>
        <v/>
      </c>
      <c r="J60" s="214" t="str">
        <f>IF(J$3="","",IF(COUNTIFS(BD!$A$3:$A$5001,J$3,BD!$B$3:$B$5001,$A$52,BD!$L$3:$L$5001,"&lt;&gt;")=0,"",SUMIFS(BD!$L$3:$L$5001,BD!$A$3:$A$5001,J$3,BD!$B$3:$B$5001,$A$52)))</f>
        <v/>
      </c>
      <c r="K60" s="214" t="str">
        <f>IF(K$3="","",IF(COUNTIFS(BD!$A$3:$A$5001,K$3,BD!$B$3:$B$5001,$A$52,BD!$L$3:$L$5001,"&lt;&gt;")=0,"",SUMIFS(BD!$L$3:$L$5001,BD!$A$3:$A$5001,K$3,BD!$B$3:$B$5001,$A$52)))</f>
        <v/>
      </c>
      <c r="L60" s="214" t="str">
        <f>IF(L$3="","",IF(COUNTIFS(BD!$A$3:$A$5001,L$3,BD!$B$3:$B$5001,$A$52,BD!$L$3:$L$5001,"&lt;&gt;")=0,"",SUMIFS(BD!$L$3:$L$5001,BD!$A$3:$A$5001,L$3,BD!$B$3:$B$5001,$A$52)))</f>
        <v/>
      </c>
      <c r="M60" s="214" t="str">
        <f>IF(M$3="","",IF(COUNTIFS(BD!$A$3:$A$5001,M$3,BD!$B$3:$B$5001,$A$52,BD!$L$3:$L$5001,"&lt;&gt;")=0,"",SUMIFS(BD!$L$3:$L$5001,BD!$A$3:$A$5001,M$3,BD!$B$3:$B$5001,$A$52)))</f>
        <v/>
      </c>
      <c r="N60" s="214" t="str">
        <f>IF(N$3="","",IF(COUNTIFS(BD!$A$3:$A$5001,N$3,BD!$B$3:$B$5001,$A$52,BD!$L$3:$L$5001,"&lt;&gt;")=0,"",SUMIFS(BD!$L$3:$L$5001,BD!$A$3:$A$5001,N$3,BD!$B$3:$B$5001,$A$52)))</f>
        <v/>
      </c>
      <c r="O60" s="214" t="str">
        <f>IF(O$3="","",IF(COUNTIFS(BD!$A$3:$A$5001,O$3,BD!$B$3:$B$5001,$A$52,BD!$L$3:$L$5001,"&lt;&gt;")=0,"",SUMIFS(BD!$L$3:$L$5001,BD!$A$3:$A$5001,O$3,BD!$B$3:$B$5001,$A$52)))</f>
        <v/>
      </c>
      <c r="P60" s="214" t="str">
        <f>IF(P$3="","",IF(COUNTIFS(BD!$A$3:$A$5001,P$3,BD!$B$3:$B$5001,$A$52,BD!$L$3:$L$5001,"&lt;&gt;")=0,"",SUMIFS(BD!$L$3:$L$5001,BD!$A$3:$A$5001,P$3,BD!$B$3:$B$5001,$A$52)))</f>
        <v/>
      </c>
      <c r="Q60" s="214" t="str">
        <f>IF(Q$3="","",IF(COUNTIFS(BD!$A$3:$A$5001,Q$3,BD!$B$3:$B$5001,$A$52,BD!$L$3:$L$5001,"&lt;&gt;")=0,"",SUMIFS(BD!$L$3:$L$5001,BD!$A$3:$A$5001,Q$3,BD!$B$3:$B$5001,$A$52)))</f>
        <v/>
      </c>
      <c r="R60" s="214" t="str">
        <f>IF(R$3="","",IF(COUNTIFS(BD!$A$3:$A$5001,R$3,BD!$B$3:$B$5001,$A$52,BD!$L$3:$L$5001,"&lt;&gt;")=0,"",SUMIFS(BD!$L$3:$L$5001,BD!$A$3:$A$5001,R$3,BD!$B$3:$B$5001,$A$52)))</f>
        <v/>
      </c>
      <c r="S60" s="214" t="str">
        <f>IF(S$3="","",IF(COUNTIFS(BD!$A$3:$A$5001,S$3,BD!$B$3:$B$5001,$A$52,BD!$L$3:$L$5001,"&lt;&gt;")=0,"",SUMIFS(BD!$L$3:$L$5001,BD!$A$3:$A$5001,S$3,BD!$B$3:$B$5001,$A$52)))</f>
        <v/>
      </c>
      <c r="T60" s="214" t="str">
        <f>IF(T$3="","",IF(COUNTIFS(BD!$A$3:$A$5001,T$3,BD!$B$3:$B$5001,$A$52,BD!$L$3:$L$5001,"&lt;&gt;")=0,"",SUMIFS(BD!$L$3:$L$5001,BD!$A$3:$A$5001,T$3,BD!$B$3:$B$5001,$A$52)))</f>
        <v/>
      </c>
      <c r="U60" s="214" t="str">
        <f>IF(U$3="","",IF(COUNTIFS(BD!$A$3:$A$5001,U$3,BD!$B$3:$B$5001,$A$52,BD!$L$3:$L$5001,"&lt;&gt;")=0,"",SUMIFS(BD!$L$3:$L$5001,BD!$A$3:$A$5001,U$3,BD!$B$3:$B$5001,$A$52)))</f>
        <v/>
      </c>
      <c r="V60" s="214" t="str">
        <f>IF(V$3="","",IF(COUNTIFS(BD!$A$3:$A$5001,V$3,BD!$B$3:$B$5001,$A$52,BD!$L$3:$L$5001,"&lt;&gt;")=0,"",SUMIFS(BD!$L$3:$L$5001,BD!$A$3:$A$5001,V$3,BD!$B$3:$B$5001,$A$52)))</f>
        <v/>
      </c>
      <c r="W60" s="214" t="str">
        <f>IF(W$3="","",IF(COUNTIFS(BD!$A$3:$A$5001,W$3,BD!$B$3:$B$5001,$A$52,BD!$L$3:$L$5001,"&lt;&gt;")=0,"",SUMIFS(BD!$L$3:$L$5001,BD!$A$3:$A$5001,W$3,BD!$B$3:$B$5001,$A$52)))</f>
        <v/>
      </c>
      <c r="X60" s="214" t="str">
        <f>IF(X$3="","",IF(COUNTIFS(BD!$A$3:$A$5001,X$3,BD!$B$3:$B$5001,$A$52,BD!$L$3:$L$5001,"&lt;&gt;")=0,"",SUMIFS(BD!$L$3:$L$5001,BD!$A$3:$A$5001,X$3,BD!$B$3:$B$5001,$A$52)))</f>
        <v/>
      </c>
      <c r="Y60" s="214" t="str">
        <f>IF(Y$3="","",IF(COUNTIFS(BD!$A$3:$A$5001,Y$3,BD!$B$3:$B$5001,$A$52,BD!$L$3:$L$5001,"&lt;&gt;")=0,"",SUMIFS(BD!$L$3:$L$5001,BD!$A$3:$A$5001,Y$3,BD!$B$3:$B$5001,$A$52)))</f>
        <v/>
      </c>
      <c r="Z60" s="214" t="str">
        <f>IF(Z$3="","",IF(COUNTIFS(BD!$A$3:$A$5001,Z$3,BD!$B$3:$B$5001,$A$52,BD!$L$3:$L$5001,"&lt;&gt;")=0,"",SUMIFS(BD!$L$3:$L$5001,BD!$A$3:$A$5001,Z$3,BD!$B$3:$B$5001,$A$52)))</f>
        <v/>
      </c>
      <c r="AA60" s="214" t="str">
        <f>IF(AA$3="","",IF(COUNTIFS(BD!$A$3:$A$5001,AA$3,BD!$B$3:$B$5001,$A$52,BD!$L$3:$L$5001,"&lt;&gt;")=0,"",SUMIFS(BD!$L$3:$L$5001,BD!$A$3:$A$5001,AA$3,BD!$B$3:$B$5001,$A$52)))</f>
        <v/>
      </c>
      <c r="AB60" s="214" t="str">
        <f>IF(AB$3="","",IF(COUNTIFS(BD!$A$3:$A$5001,AB$3,BD!$B$3:$B$5001,$A$52,BD!$L$3:$L$5001,"&lt;&gt;")=0,"",SUMIFS(BD!$L$3:$L$5001,BD!$A$3:$A$5001,AB$3,BD!$B$3:$B$5001,$A$52)))</f>
        <v/>
      </c>
      <c r="AC60" s="214" t="str">
        <f>IF(AC$3="","",IF(COUNTIFS(BD!$A$3:$A$5001,AC$3,BD!$B$3:$B$5001,$A$52,BD!$L$3:$L$5001,"&lt;&gt;")=0,"",SUMIFS(BD!$L$3:$L$5001,BD!$A$3:$A$5001,AC$3,BD!$B$3:$B$5001,$A$52)))</f>
        <v/>
      </c>
      <c r="AD60" s="214" t="str">
        <f>IF(AD$3="","",IF(COUNTIFS(BD!$A$3:$A$5001,AD$3,BD!$B$3:$B$5001,$A$52,BD!$L$3:$L$5001,"&lt;&gt;")=0,"",SUMIFS(BD!$L$3:$L$5001,BD!$A$3:$A$5001,AD$3,BD!$B$3:$B$5001,$A$52)))</f>
        <v/>
      </c>
      <c r="AE60" s="214" t="str">
        <f>IF(AE$3="","",IF(COUNTIFS(BD!$A$3:$A$5001,AE$3,BD!$B$3:$B$5001,$A$52,BD!$L$3:$L$5001,"&lt;&gt;")=0,"",SUMIFS(BD!$L$3:$L$5001,BD!$A$3:$A$5001,AE$3,BD!$B$3:$B$5001,$A$52)))</f>
        <v/>
      </c>
      <c r="AF60" s="214" t="str">
        <f>IF(AF$3="","",IF(COUNTIFS(BD!$A$3:$A$5001,AF$3,BD!$B$3:$B$5001,$A$52,BD!$L$3:$L$5001,"&lt;&gt;")=0,"",SUMIFS(BD!$L$3:$L$5001,BD!$A$3:$A$5001,AF$3,BD!$B$3:$B$5001,$A$52)))</f>
        <v/>
      </c>
      <c r="AG60" s="214" t="str">
        <f>IF(AG$3="","",IF(COUNTIFS(BD!$A$3:$A$5001,AG$3,BD!$B$3:$B$5001,$A$52,BD!$L$3:$L$5001,"&lt;&gt;")=0,"",SUMIFS(BD!$L$3:$L$5001,BD!$A$3:$A$5001,AG$3,BD!$B$3:$B$5001,$A$52)))</f>
        <v/>
      </c>
      <c r="AH60" s="214" t="str">
        <f>IF(AH$3="","",IF(COUNTIFS(BD!$A$3:$A$5001,AH$3,BD!$B$3:$B$5001,$A$52,BD!$L$3:$L$5001,"&lt;&gt;")=0,"",SUMIFS(BD!$L$3:$L$5001,BD!$A$3:$A$5001,AH$3,BD!$B$3:$B$5001,$A$52)))</f>
        <v/>
      </c>
      <c r="AI60" s="214" t="str">
        <f>IF(AI$3="","",IF(COUNTIFS(BD!$A$3:$A$5001,AI$3,BD!$B$3:$B$5001,$A$52,BD!$L$3:$L$5001,"&lt;&gt;")=0,"",SUMIFS(BD!$L$3:$L$5001,BD!$A$3:$A$5001,AI$3,BD!$B$3:$B$5001,$A$52)))</f>
        <v/>
      </c>
      <c r="AJ60" s="215" t="str">
        <f>IF(AJ$3="","",IF(COUNTIFS(BD!$A$3:$A$5001,AJ$3,BD!$B$3:$B$5001,$A$52,BD!$L$3:$L$5001,"&lt;&gt;")=0,"",SUMIFS(BD!$L$3:$L$5001,BD!$A$3:$A$5001,AJ$3,BD!$B$3:$B$5001,$A$52)))</f>
        <v/>
      </c>
      <c r="AK60" s="211" t="str">
        <f>IF(COUNT(F60:AJ60)=0,"",SUM(F60:AJ60))</f>
        <v/>
      </c>
    </row>
    <row r="61" ht="15.75" customHeight="1">
      <c r="A61" s="277"/>
      <c r="B61" s="270" t="inlineStr">
        <is>
          <t xml:space="preserve">NC</t>
        </is>
      </c>
      <c r="C61" s="216" t="inlineStr">
        <is>
          <t xml:space="preserve">Incidentes</t>
        </is>
      </c>
      <c r="D61" s="217" t="str">
        <f>IFERROR(1/(1/INDEX(BD!$AF$34:$AZ$34,MATCH($A$52,BD!$AF$22:$AZ$22,0))),"")</f>
        <v/>
      </c>
      <c r="E61" s="218"/>
      <c r="F61" s="219" t="str">
        <f>IF(F$3="","",IF(COUNTIFS(BD!$A$3:$A$5001,F$3,BD!$B$3:$B$5001,$A$52,BD!$N$3:$N$5001,"&lt;&gt;")=0,"",SUMIFS(BD!$N$3:$N$5001,BD!$A$3:$A$5001,F$3,BD!$B$3:$B$5001,$A$52)))</f>
        <v/>
      </c>
      <c r="G61" s="220" t="str">
        <f>IF(G$3="","",IF(COUNTIFS(BD!$A$3:$A$5001,G$3,BD!$B$3:$B$5001,$A$52,BD!$N$3:$N$5001,"&lt;&gt;")=0,"",SUMIFS(BD!$N$3:$N$5001,BD!$A$3:$A$5001,G$3,BD!$B$3:$B$5001,$A$52)))</f>
        <v/>
      </c>
      <c r="H61" s="220" t="str">
        <f>IF(H$3="","",IF(COUNTIFS(BD!$A$3:$A$5001,H$3,BD!$B$3:$B$5001,$A$52,BD!$N$3:$N$5001,"&lt;&gt;")=0,"",SUMIFS(BD!$N$3:$N$5001,BD!$A$3:$A$5001,H$3,BD!$B$3:$B$5001,$A$52)))</f>
        <v/>
      </c>
      <c r="I61" s="220" t="str">
        <f>IF(I$3="","",IF(COUNTIFS(BD!$A$3:$A$5001,I$3,BD!$B$3:$B$5001,$A$52,BD!$N$3:$N$5001,"&lt;&gt;")=0,"",SUMIFS(BD!$N$3:$N$5001,BD!$A$3:$A$5001,I$3,BD!$B$3:$B$5001,$A$52)))</f>
        <v/>
      </c>
      <c r="J61" s="220" t="str">
        <f>IF(J$3="","",IF(COUNTIFS(BD!$A$3:$A$5001,J$3,BD!$B$3:$B$5001,$A$52,BD!$N$3:$N$5001,"&lt;&gt;")=0,"",SUMIFS(BD!$N$3:$N$5001,BD!$A$3:$A$5001,J$3,BD!$B$3:$B$5001,$A$52)))</f>
        <v/>
      </c>
      <c r="K61" s="220" t="str">
        <f>IF(K$3="","",IF(COUNTIFS(BD!$A$3:$A$5001,K$3,BD!$B$3:$B$5001,$A$52,BD!$N$3:$N$5001,"&lt;&gt;")=0,"",SUMIFS(BD!$N$3:$N$5001,BD!$A$3:$A$5001,K$3,BD!$B$3:$B$5001,$A$52)))</f>
        <v/>
      </c>
      <c r="L61" s="220" t="str">
        <f>IF(L$3="","",IF(COUNTIFS(BD!$A$3:$A$5001,L$3,BD!$B$3:$B$5001,$A$52,BD!$N$3:$N$5001,"&lt;&gt;")=0,"",SUMIFS(BD!$N$3:$N$5001,BD!$A$3:$A$5001,L$3,BD!$B$3:$B$5001,$A$52)))</f>
        <v/>
      </c>
      <c r="M61" s="220" t="str">
        <f>IF(M$3="","",IF(COUNTIFS(BD!$A$3:$A$5001,M$3,BD!$B$3:$B$5001,$A$52,BD!$N$3:$N$5001,"&lt;&gt;")=0,"",SUMIFS(BD!$N$3:$N$5001,BD!$A$3:$A$5001,M$3,BD!$B$3:$B$5001,$A$52)))</f>
        <v/>
      </c>
      <c r="N61" s="220" t="str">
        <f>IF(N$3="","",IF(COUNTIFS(BD!$A$3:$A$5001,N$3,BD!$B$3:$B$5001,$A$52,BD!$N$3:$N$5001,"&lt;&gt;")=0,"",SUMIFS(BD!$N$3:$N$5001,BD!$A$3:$A$5001,N$3,BD!$B$3:$B$5001,$A$52)))</f>
        <v/>
      </c>
      <c r="O61" s="220" t="str">
        <f>IF(O$3="","",IF(COUNTIFS(BD!$A$3:$A$5001,O$3,BD!$B$3:$B$5001,$A$52,BD!$N$3:$N$5001,"&lt;&gt;")=0,"",SUMIFS(BD!$N$3:$N$5001,BD!$A$3:$A$5001,O$3,BD!$B$3:$B$5001,$A$52)))</f>
        <v/>
      </c>
      <c r="P61" s="220" t="str">
        <f>IF(P$3="","",IF(COUNTIFS(BD!$A$3:$A$5001,P$3,BD!$B$3:$B$5001,$A$52,BD!$N$3:$N$5001,"&lt;&gt;")=0,"",SUMIFS(BD!$N$3:$N$5001,BD!$A$3:$A$5001,P$3,BD!$B$3:$B$5001,$A$52)))</f>
        <v/>
      </c>
      <c r="Q61" s="220" t="str">
        <f>IF(Q$3="","",IF(COUNTIFS(BD!$A$3:$A$5001,Q$3,BD!$B$3:$B$5001,$A$52,BD!$N$3:$N$5001,"&lt;&gt;")=0,"",SUMIFS(BD!$N$3:$N$5001,BD!$A$3:$A$5001,Q$3,BD!$B$3:$B$5001,$A$52)))</f>
        <v/>
      </c>
      <c r="R61" s="220" t="str">
        <f>IF(R$3="","",IF(COUNTIFS(BD!$A$3:$A$5001,R$3,BD!$B$3:$B$5001,$A$52,BD!$N$3:$N$5001,"&lt;&gt;")=0,"",SUMIFS(BD!$N$3:$N$5001,BD!$A$3:$A$5001,R$3,BD!$B$3:$B$5001,$A$52)))</f>
        <v/>
      </c>
      <c r="S61" s="220" t="str">
        <f>IF(S$3="","",IF(COUNTIFS(BD!$A$3:$A$5001,S$3,BD!$B$3:$B$5001,$A$52,BD!$N$3:$N$5001,"&lt;&gt;")=0,"",SUMIFS(BD!$N$3:$N$5001,BD!$A$3:$A$5001,S$3,BD!$B$3:$B$5001,$A$52)))</f>
        <v/>
      </c>
      <c r="T61" s="220" t="str">
        <f>IF(T$3="","",IF(COUNTIFS(BD!$A$3:$A$5001,T$3,BD!$B$3:$B$5001,$A$52,BD!$N$3:$N$5001,"&lt;&gt;")=0,"",SUMIFS(BD!$N$3:$N$5001,BD!$A$3:$A$5001,T$3,BD!$B$3:$B$5001,$A$52)))</f>
        <v/>
      </c>
      <c r="U61" s="220" t="str">
        <f>IF(U$3="","",IF(COUNTIFS(BD!$A$3:$A$5001,U$3,BD!$B$3:$B$5001,$A$52,BD!$N$3:$N$5001,"&lt;&gt;")=0,"",SUMIFS(BD!$N$3:$N$5001,BD!$A$3:$A$5001,U$3,BD!$B$3:$B$5001,$A$52)))</f>
        <v/>
      </c>
      <c r="V61" s="220" t="str">
        <f>IF(V$3="","",IF(COUNTIFS(BD!$A$3:$A$5001,V$3,BD!$B$3:$B$5001,$A$52,BD!$N$3:$N$5001,"&lt;&gt;")=0,"",SUMIFS(BD!$N$3:$N$5001,BD!$A$3:$A$5001,V$3,BD!$B$3:$B$5001,$A$52)))</f>
        <v/>
      </c>
      <c r="W61" s="220" t="str">
        <f>IF(W$3="","",IF(COUNTIFS(BD!$A$3:$A$5001,W$3,BD!$B$3:$B$5001,$A$52,BD!$N$3:$N$5001,"&lt;&gt;")=0,"",SUMIFS(BD!$N$3:$N$5001,BD!$A$3:$A$5001,W$3,BD!$B$3:$B$5001,$A$52)))</f>
        <v/>
      </c>
      <c r="X61" s="220" t="str">
        <f>IF(X$3="","",IF(COUNTIFS(BD!$A$3:$A$5001,X$3,BD!$B$3:$B$5001,$A$52,BD!$N$3:$N$5001,"&lt;&gt;")=0,"",SUMIFS(BD!$N$3:$N$5001,BD!$A$3:$A$5001,X$3,BD!$B$3:$B$5001,$A$52)))</f>
        <v/>
      </c>
      <c r="Y61" s="220" t="str">
        <f>IF(Y$3="","",IF(COUNTIFS(BD!$A$3:$A$5001,Y$3,BD!$B$3:$B$5001,$A$52,BD!$N$3:$N$5001,"&lt;&gt;")=0,"",SUMIFS(BD!$N$3:$N$5001,BD!$A$3:$A$5001,Y$3,BD!$B$3:$B$5001,$A$52)))</f>
        <v/>
      </c>
      <c r="Z61" s="220" t="str">
        <f>IF(Z$3="","",IF(COUNTIFS(BD!$A$3:$A$5001,Z$3,BD!$B$3:$B$5001,$A$52,BD!$N$3:$N$5001,"&lt;&gt;")=0,"",SUMIFS(BD!$N$3:$N$5001,BD!$A$3:$A$5001,Z$3,BD!$B$3:$B$5001,$A$52)))</f>
        <v/>
      </c>
      <c r="AA61" s="220" t="str">
        <f>IF(AA$3="","",IF(COUNTIFS(BD!$A$3:$A$5001,AA$3,BD!$B$3:$B$5001,$A$52,BD!$N$3:$N$5001,"&lt;&gt;")=0,"",SUMIFS(BD!$N$3:$N$5001,BD!$A$3:$A$5001,AA$3,BD!$B$3:$B$5001,$A$52)))</f>
        <v/>
      </c>
      <c r="AB61" s="220" t="str">
        <f>IF(AB$3="","",IF(COUNTIFS(BD!$A$3:$A$5001,AB$3,BD!$B$3:$B$5001,$A$52,BD!$N$3:$N$5001,"&lt;&gt;")=0,"",SUMIFS(BD!$N$3:$N$5001,BD!$A$3:$A$5001,AB$3,BD!$B$3:$B$5001,$A$52)))</f>
        <v/>
      </c>
      <c r="AC61" s="220" t="str">
        <f>IF(AC$3="","",IF(COUNTIFS(BD!$A$3:$A$5001,AC$3,BD!$B$3:$B$5001,$A$52,BD!$N$3:$N$5001,"&lt;&gt;")=0,"",SUMIFS(BD!$N$3:$N$5001,BD!$A$3:$A$5001,AC$3,BD!$B$3:$B$5001,$A$52)))</f>
        <v/>
      </c>
      <c r="AD61" s="220" t="str">
        <f>IF(AD$3="","",IF(COUNTIFS(BD!$A$3:$A$5001,AD$3,BD!$B$3:$B$5001,$A$52,BD!$N$3:$N$5001,"&lt;&gt;")=0,"",SUMIFS(BD!$N$3:$N$5001,BD!$A$3:$A$5001,AD$3,BD!$B$3:$B$5001,$A$52)))</f>
        <v/>
      </c>
      <c r="AE61" s="220" t="str">
        <f>IF(AE$3="","",IF(COUNTIFS(BD!$A$3:$A$5001,AE$3,BD!$B$3:$B$5001,$A$52,BD!$N$3:$N$5001,"&lt;&gt;")=0,"",SUMIFS(BD!$N$3:$N$5001,BD!$A$3:$A$5001,AE$3,BD!$B$3:$B$5001,$A$52)))</f>
        <v/>
      </c>
      <c r="AF61" s="220" t="str">
        <f>IF(AF$3="","",IF(COUNTIFS(BD!$A$3:$A$5001,AF$3,BD!$B$3:$B$5001,$A$52,BD!$N$3:$N$5001,"&lt;&gt;")=0,"",SUMIFS(BD!$N$3:$N$5001,BD!$A$3:$A$5001,AF$3,BD!$B$3:$B$5001,$A$52)))</f>
        <v/>
      </c>
      <c r="AG61" s="220" t="str">
        <f>IF(AG$3="","",IF(COUNTIFS(BD!$A$3:$A$5001,AG$3,BD!$B$3:$B$5001,$A$52,BD!$N$3:$N$5001,"&lt;&gt;")=0,"",SUMIFS(BD!$N$3:$N$5001,BD!$A$3:$A$5001,AG$3,BD!$B$3:$B$5001,$A$52)))</f>
        <v/>
      </c>
      <c r="AH61" s="220" t="str">
        <f>IF(AH$3="","",IF(COUNTIFS(BD!$A$3:$A$5001,AH$3,BD!$B$3:$B$5001,$A$52,BD!$N$3:$N$5001,"&lt;&gt;")=0,"",SUMIFS(BD!$N$3:$N$5001,BD!$A$3:$A$5001,AH$3,BD!$B$3:$B$5001,$A$52)))</f>
        <v/>
      </c>
      <c r="AI61" s="220" t="str">
        <f>IF(AI$3="","",IF(COUNTIFS(BD!$A$3:$A$5001,AI$3,BD!$B$3:$B$5001,$A$52,BD!$N$3:$N$5001,"&lt;&gt;")=0,"",SUMIFS(BD!$N$3:$N$5001,BD!$A$3:$A$5001,AI$3,BD!$B$3:$B$5001,$A$52)))</f>
        <v/>
      </c>
      <c r="AJ61" s="221" t="str">
        <f>IF(AJ$3="","",IF(COUNTIFS(BD!$A$3:$A$5001,AJ$3,BD!$B$3:$B$5001,$A$52,BD!$N$3:$N$5001,"&lt;&gt;")=0,"",SUMIFS(BD!$N$3:$N$5001,BD!$A$3:$A$5001,AJ$3,BD!$B$3:$B$5001,$A$52)))</f>
        <v/>
      </c>
      <c r="AK61" s="222" t="str">
        <f>IF(COUNT(F61:AJ61)=0,"",SUM(F61:AJ61))</f>
        <v/>
      </c>
    </row>
    <row r="62" ht="15.75" customHeight="1">
      <c r="A62" s="277"/>
      <c r="B62" s="271"/>
      <c r="C62" s="223" t="inlineStr">
        <is>
          <t xml:space="preserve">No show</t>
        </is>
      </c>
      <c r="D62" s="224" t="str">
        <f>IFERROR(1/(1/INDEX(BD!$AF$35:$AZ$35,MATCH($A$52,BD!$AF$22:$AZ$22,0))),"")</f>
        <v/>
      </c>
      <c r="E62" s="225"/>
      <c r="F62" s="226" t="str">
        <f>IF(F$3="","",IF(COUNTIFS(BD!$A$3:$A$5001,F$3,BD!$B$3:$B$5001,$A$52,BD!$O$3:$O$5001,"&lt;&gt;")=0,"",SUMIFS(BD!$O$3:$O$5001,BD!$A$3:$A$5001,F$3,BD!$B$3:$B$5001,$A$52)))</f>
        <v/>
      </c>
      <c r="G62" s="227" t="str">
        <f>IF(G$3="","",IF(COUNTIFS(BD!$A$3:$A$5001,G$3,BD!$B$3:$B$5001,$A$52,BD!$O$3:$O$5001,"&lt;&gt;")=0,"",SUMIFS(BD!$O$3:$O$5001,BD!$A$3:$A$5001,G$3,BD!$B$3:$B$5001,$A$52)))</f>
        <v/>
      </c>
      <c r="H62" s="227" t="str">
        <f>IF(H$3="","",IF(COUNTIFS(BD!$A$3:$A$5001,H$3,BD!$B$3:$B$5001,$A$52,BD!$O$3:$O$5001,"&lt;&gt;")=0,"",SUMIFS(BD!$O$3:$O$5001,BD!$A$3:$A$5001,H$3,BD!$B$3:$B$5001,$A$52)))</f>
        <v/>
      </c>
      <c r="I62" s="227" t="str">
        <f>IF(I$3="","",IF(COUNTIFS(BD!$A$3:$A$5001,I$3,BD!$B$3:$B$5001,$A$52,BD!$O$3:$O$5001,"&lt;&gt;")=0,"",SUMIFS(BD!$O$3:$O$5001,BD!$A$3:$A$5001,I$3,BD!$B$3:$B$5001,$A$52)))</f>
        <v/>
      </c>
      <c r="J62" s="227" t="str">
        <f>IF(J$3="","",IF(COUNTIFS(BD!$A$3:$A$5001,J$3,BD!$B$3:$B$5001,$A$52,BD!$O$3:$O$5001,"&lt;&gt;")=0,"",SUMIFS(BD!$O$3:$O$5001,BD!$A$3:$A$5001,J$3,BD!$B$3:$B$5001,$A$52)))</f>
        <v/>
      </c>
      <c r="K62" s="227" t="str">
        <f>IF(K$3="","",IF(COUNTIFS(BD!$A$3:$A$5001,K$3,BD!$B$3:$B$5001,$A$52,BD!$O$3:$O$5001,"&lt;&gt;")=0,"",SUMIFS(BD!$O$3:$O$5001,BD!$A$3:$A$5001,K$3,BD!$B$3:$B$5001,$A$52)))</f>
        <v/>
      </c>
      <c r="L62" s="227" t="str">
        <f>IF(L$3="","",IF(COUNTIFS(BD!$A$3:$A$5001,L$3,BD!$B$3:$B$5001,$A$52,BD!$O$3:$O$5001,"&lt;&gt;")=0,"",SUMIFS(BD!$O$3:$O$5001,BD!$A$3:$A$5001,L$3,BD!$B$3:$B$5001,$A$52)))</f>
        <v/>
      </c>
      <c r="M62" s="227" t="str">
        <f>IF(M$3="","",IF(COUNTIFS(BD!$A$3:$A$5001,M$3,BD!$B$3:$B$5001,$A$52,BD!$O$3:$O$5001,"&lt;&gt;")=0,"",SUMIFS(BD!$O$3:$O$5001,BD!$A$3:$A$5001,M$3,BD!$B$3:$B$5001,$A$52)))</f>
        <v/>
      </c>
      <c r="N62" s="227" t="str">
        <f>IF(N$3="","",IF(COUNTIFS(BD!$A$3:$A$5001,N$3,BD!$B$3:$B$5001,$A$52,BD!$O$3:$O$5001,"&lt;&gt;")=0,"",SUMIFS(BD!$O$3:$O$5001,BD!$A$3:$A$5001,N$3,BD!$B$3:$B$5001,$A$52)))</f>
        <v/>
      </c>
      <c r="O62" s="227" t="str">
        <f>IF(O$3="","",IF(COUNTIFS(BD!$A$3:$A$5001,O$3,BD!$B$3:$B$5001,$A$52,BD!$O$3:$O$5001,"&lt;&gt;")=0,"",SUMIFS(BD!$O$3:$O$5001,BD!$A$3:$A$5001,O$3,BD!$B$3:$B$5001,$A$52)))</f>
        <v/>
      </c>
      <c r="P62" s="227" t="str">
        <f>IF(P$3="","",IF(COUNTIFS(BD!$A$3:$A$5001,P$3,BD!$B$3:$B$5001,$A$52,BD!$O$3:$O$5001,"&lt;&gt;")=0,"",SUMIFS(BD!$O$3:$O$5001,BD!$A$3:$A$5001,P$3,BD!$B$3:$B$5001,$A$52)))</f>
        <v/>
      </c>
      <c r="Q62" s="227" t="str">
        <f>IF(Q$3="","",IF(COUNTIFS(BD!$A$3:$A$5001,Q$3,BD!$B$3:$B$5001,$A$52,BD!$O$3:$O$5001,"&lt;&gt;")=0,"",SUMIFS(BD!$O$3:$O$5001,BD!$A$3:$A$5001,Q$3,BD!$B$3:$B$5001,$A$52)))</f>
        <v/>
      </c>
      <c r="R62" s="227" t="str">
        <f>IF(R$3="","",IF(COUNTIFS(BD!$A$3:$A$5001,R$3,BD!$B$3:$B$5001,$A$52,BD!$O$3:$O$5001,"&lt;&gt;")=0,"",SUMIFS(BD!$O$3:$O$5001,BD!$A$3:$A$5001,R$3,BD!$B$3:$B$5001,$A$52)))</f>
        <v/>
      </c>
      <c r="S62" s="227" t="str">
        <f>IF(S$3="","",IF(COUNTIFS(BD!$A$3:$A$5001,S$3,BD!$B$3:$B$5001,$A$52,BD!$O$3:$O$5001,"&lt;&gt;")=0,"",SUMIFS(BD!$O$3:$O$5001,BD!$A$3:$A$5001,S$3,BD!$B$3:$B$5001,$A$52)))</f>
        <v/>
      </c>
      <c r="T62" s="227" t="str">
        <f>IF(T$3="","",IF(COUNTIFS(BD!$A$3:$A$5001,T$3,BD!$B$3:$B$5001,$A$52,BD!$O$3:$O$5001,"&lt;&gt;")=0,"",SUMIFS(BD!$O$3:$O$5001,BD!$A$3:$A$5001,T$3,BD!$B$3:$B$5001,$A$52)))</f>
        <v/>
      </c>
      <c r="U62" s="227" t="str">
        <f>IF(U$3="","",IF(COUNTIFS(BD!$A$3:$A$5001,U$3,BD!$B$3:$B$5001,$A$52,BD!$O$3:$O$5001,"&lt;&gt;")=0,"",SUMIFS(BD!$O$3:$O$5001,BD!$A$3:$A$5001,U$3,BD!$B$3:$B$5001,$A$52)))</f>
        <v/>
      </c>
      <c r="V62" s="227" t="str">
        <f>IF(V$3="","",IF(COUNTIFS(BD!$A$3:$A$5001,V$3,BD!$B$3:$B$5001,$A$52,BD!$O$3:$O$5001,"&lt;&gt;")=0,"",SUMIFS(BD!$O$3:$O$5001,BD!$A$3:$A$5001,V$3,BD!$B$3:$B$5001,$A$52)))</f>
        <v/>
      </c>
      <c r="W62" s="227" t="str">
        <f>IF(W$3="","",IF(COUNTIFS(BD!$A$3:$A$5001,W$3,BD!$B$3:$B$5001,$A$52,BD!$O$3:$O$5001,"&lt;&gt;")=0,"",SUMIFS(BD!$O$3:$O$5001,BD!$A$3:$A$5001,W$3,BD!$B$3:$B$5001,$A$52)))</f>
        <v/>
      </c>
      <c r="X62" s="227" t="str">
        <f>IF(X$3="","",IF(COUNTIFS(BD!$A$3:$A$5001,X$3,BD!$B$3:$B$5001,$A$52,BD!$O$3:$O$5001,"&lt;&gt;")=0,"",SUMIFS(BD!$O$3:$O$5001,BD!$A$3:$A$5001,X$3,BD!$B$3:$B$5001,$A$52)))</f>
        <v/>
      </c>
      <c r="Y62" s="227" t="str">
        <f>IF(Y$3="","",IF(COUNTIFS(BD!$A$3:$A$5001,Y$3,BD!$B$3:$B$5001,$A$52,BD!$O$3:$O$5001,"&lt;&gt;")=0,"",SUMIFS(BD!$O$3:$O$5001,BD!$A$3:$A$5001,Y$3,BD!$B$3:$B$5001,$A$52)))</f>
        <v/>
      </c>
      <c r="Z62" s="227" t="str">
        <f>IF(Z$3="","",IF(COUNTIFS(BD!$A$3:$A$5001,Z$3,BD!$B$3:$B$5001,$A$52,BD!$O$3:$O$5001,"&lt;&gt;")=0,"",SUMIFS(BD!$O$3:$O$5001,BD!$A$3:$A$5001,Z$3,BD!$B$3:$B$5001,$A$52)))</f>
        <v/>
      </c>
      <c r="AA62" s="227" t="str">
        <f>IF(AA$3="","",IF(COUNTIFS(BD!$A$3:$A$5001,AA$3,BD!$B$3:$B$5001,$A$52,BD!$O$3:$O$5001,"&lt;&gt;")=0,"",SUMIFS(BD!$O$3:$O$5001,BD!$A$3:$A$5001,AA$3,BD!$B$3:$B$5001,$A$52)))</f>
        <v/>
      </c>
      <c r="AB62" s="227" t="str">
        <f>IF(AB$3="","",IF(COUNTIFS(BD!$A$3:$A$5001,AB$3,BD!$B$3:$B$5001,$A$52,BD!$O$3:$O$5001,"&lt;&gt;")=0,"",SUMIFS(BD!$O$3:$O$5001,BD!$A$3:$A$5001,AB$3,BD!$B$3:$B$5001,$A$52)))</f>
        <v/>
      </c>
      <c r="AC62" s="227" t="str">
        <f>IF(AC$3="","",IF(COUNTIFS(BD!$A$3:$A$5001,AC$3,BD!$B$3:$B$5001,$A$52,BD!$O$3:$O$5001,"&lt;&gt;")=0,"",SUMIFS(BD!$O$3:$O$5001,BD!$A$3:$A$5001,AC$3,BD!$B$3:$B$5001,$A$52)))</f>
        <v/>
      </c>
      <c r="AD62" s="227" t="str">
        <f>IF(AD$3="","",IF(COUNTIFS(BD!$A$3:$A$5001,AD$3,BD!$B$3:$B$5001,$A$52,BD!$O$3:$O$5001,"&lt;&gt;")=0,"",SUMIFS(BD!$O$3:$O$5001,BD!$A$3:$A$5001,AD$3,BD!$B$3:$B$5001,$A$52)))</f>
        <v/>
      </c>
      <c r="AE62" s="227" t="str">
        <f>IF(AE$3="","",IF(COUNTIFS(BD!$A$3:$A$5001,AE$3,BD!$B$3:$B$5001,$A$52,BD!$O$3:$O$5001,"&lt;&gt;")=0,"",SUMIFS(BD!$O$3:$O$5001,BD!$A$3:$A$5001,AE$3,BD!$B$3:$B$5001,$A$52)))</f>
        <v/>
      </c>
      <c r="AF62" s="227" t="str">
        <f>IF(AF$3="","",IF(COUNTIFS(BD!$A$3:$A$5001,AF$3,BD!$B$3:$B$5001,$A$52,BD!$O$3:$O$5001,"&lt;&gt;")=0,"",SUMIFS(BD!$O$3:$O$5001,BD!$A$3:$A$5001,AF$3,BD!$B$3:$B$5001,$A$52)))</f>
        <v/>
      </c>
      <c r="AG62" s="227" t="str">
        <f>IF(AG$3="","",IF(COUNTIFS(BD!$A$3:$A$5001,AG$3,BD!$B$3:$B$5001,$A$52,BD!$O$3:$O$5001,"&lt;&gt;")=0,"",SUMIFS(BD!$O$3:$O$5001,BD!$A$3:$A$5001,AG$3,BD!$B$3:$B$5001,$A$52)))</f>
        <v/>
      </c>
      <c r="AH62" s="227" t="str">
        <f>IF(AH$3="","",IF(COUNTIFS(BD!$A$3:$A$5001,AH$3,BD!$B$3:$B$5001,$A$52,BD!$O$3:$O$5001,"&lt;&gt;")=0,"",SUMIFS(BD!$O$3:$O$5001,BD!$A$3:$A$5001,AH$3,BD!$B$3:$B$5001,$A$52)))</f>
        <v/>
      </c>
      <c r="AI62" s="227" t="str">
        <f>IF(AI$3="","",IF(COUNTIFS(BD!$A$3:$A$5001,AI$3,BD!$B$3:$B$5001,$A$52,BD!$O$3:$O$5001,"&lt;&gt;")=0,"",SUMIFS(BD!$O$3:$O$5001,BD!$A$3:$A$5001,AI$3,BD!$B$3:$B$5001,$A$52)))</f>
        <v/>
      </c>
      <c r="AJ62" s="228" t="str">
        <f>IF(AJ$3="","",IF(COUNTIFS(BD!$A$3:$A$5001,AJ$3,BD!$B$3:$B$5001,$A$52,BD!$O$3:$O$5001,"&lt;&gt;")=0,"",SUMIFS(BD!$O$3:$O$5001,BD!$A$3:$A$5001,AJ$3,BD!$B$3:$B$5001,$A$52)))</f>
        <v/>
      </c>
      <c r="AK62" s="229" t="str">
        <f>IF(COUNT(F62:AJ62)=0,"",SUM(F62:AJ62))</f>
        <v/>
      </c>
    </row>
    <row r="63" ht="15.75" customHeight="1">
      <c r="A63" s="277"/>
      <c r="B63" s="271"/>
      <c r="C63" s="223" t="inlineStr">
        <is>
          <t xml:space="preserve">Backlog Intralog</t>
        </is>
      </c>
      <c r="D63" s="224" t="str">
        <f>IFERROR(1/(1/INDEX(BD!$AF$36:$AZ$36,MATCH($A$52,BD!$AF$22:$AZ$22,0))),"")</f>
        <v/>
      </c>
      <c r="E63" s="225"/>
      <c r="F63" s="226" t="str">
        <f>IF(F$3="","",IF(COUNTIFS(BD!$A$3:$A$5001,F$3,BD!$B$3:$B$5001,$A$52,BD!$P$3:$P$5001,"&lt;&gt;")=0,"",SUMIFS(BD!$P$3:$P$5001,BD!$A$3:$A$5001,F$3,BD!$B$3:$B$5001,$A$52)))</f>
        <v/>
      </c>
      <c r="G63" s="227" t="str">
        <f>IF(G$3="","",IF(COUNTIFS(BD!$A$3:$A$5001,G$3,BD!$B$3:$B$5001,$A$52,BD!$P$3:$P$5001,"&lt;&gt;")=0,"",SUMIFS(BD!$P$3:$P$5001,BD!$A$3:$A$5001,G$3,BD!$B$3:$B$5001,$A$52)))</f>
        <v/>
      </c>
      <c r="H63" s="227" t="str">
        <f>IF(H$3="","",IF(COUNTIFS(BD!$A$3:$A$5001,H$3,BD!$B$3:$B$5001,$A$52,BD!$P$3:$P$5001,"&lt;&gt;")=0,"",SUMIFS(BD!$P$3:$P$5001,BD!$A$3:$A$5001,H$3,BD!$B$3:$B$5001,$A$52)))</f>
        <v/>
      </c>
      <c r="I63" s="227" t="str">
        <f>IF(I$3="","",IF(COUNTIFS(BD!$A$3:$A$5001,I$3,BD!$B$3:$B$5001,$A$52,BD!$P$3:$P$5001,"&lt;&gt;")=0,"",SUMIFS(BD!$P$3:$P$5001,BD!$A$3:$A$5001,I$3,BD!$B$3:$B$5001,$A$52)))</f>
        <v/>
      </c>
      <c r="J63" s="227" t="str">
        <f>IF(J$3="","",IF(COUNTIFS(BD!$A$3:$A$5001,J$3,BD!$B$3:$B$5001,$A$52,BD!$P$3:$P$5001,"&lt;&gt;")=0,"",SUMIFS(BD!$P$3:$P$5001,BD!$A$3:$A$5001,J$3,BD!$B$3:$B$5001,$A$52)))</f>
        <v/>
      </c>
      <c r="K63" s="227" t="str">
        <f>IF(K$3="","",IF(COUNTIFS(BD!$A$3:$A$5001,K$3,BD!$B$3:$B$5001,$A$52,BD!$P$3:$P$5001,"&lt;&gt;")=0,"",SUMIFS(BD!$P$3:$P$5001,BD!$A$3:$A$5001,K$3,BD!$B$3:$B$5001,$A$52)))</f>
        <v/>
      </c>
      <c r="L63" s="227" t="str">
        <f>IF(L$3="","",IF(COUNTIFS(BD!$A$3:$A$5001,L$3,BD!$B$3:$B$5001,$A$52,BD!$P$3:$P$5001,"&lt;&gt;")=0,"",SUMIFS(BD!$P$3:$P$5001,BD!$A$3:$A$5001,L$3,BD!$B$3:$B$5001,$A$52)))</f>
        <v/>
      </c>
      <c r="M63" s="227" t="str">
        <f>IF(M$3="","",IF(COUNTIFS(BD!$A$3:$A$5001,M$3,BD!$B$3:$B$5001,$A$52,BD!$P$3:$P$5001,"&lt;&gt;")=0,"",SUMIFS(BD!$P$3:$P$5001,BD!$A$3:$A$5001,M$3,BD!$B$3:$B$5001,$A$52)))</f>
        <v/>
      </c>
      <c r="N63" s="227" t="str">
        <f>IF(N$3="","",IF(COUNTIFS(BD!$A$3:$A$5001,N$3,BD!$B$3:$B$5001,$A$52,BD!$P$3:$P$5001,"&lt;&gt;")=0,"",SUMIFS(BD!$P$3:$P$5001,BD!$A$3:$A$5001,N$3,BD!$B$3:$B$5001,$A$52)))</f>
        <v/>
      </c>
      <c r="O63" s="227" t="str">
        <f>IF(O$3="","",IF(COUNTIFS(BD!$A$3:$A$5001,O$3,BD!$B$3:$B$5001,$A$52,BD!$P$3:$P$5001,"&lt;&gt;")=0,"",SUMIFS(BD!$P$3:$P$5001,BD!$A$3:$A$5001,O$3,BD!$B$3:$B$5001,$A$52)))</f>
        <v/>
      </c>
      <c r="P63" s="227" t="str">
        <f>IF(P$3="","",IF(COUNTIFS(BD!$A$3:$A$5001,P$3,BD!$B$3:$B$5001,$A$52,BD!$P$3:$P$5001,"&lt;&gt;")=0,"",SUMIFS(BD!$P$3:$P$5001,BD!$A$3:$A$5001,P$3,BD!$B$3:$B$5001,$A$52)))</f>
        <v/>
      </c>
      <c r="Q63" s="227" t="str">
        <f>IF(Q$3="","",IF(COUNTIFS(BD!$A$3:$A$5001,Q$3,BD!$B$3:$B$5001,$A$52,BD!$P$3:$P$5001,"&lt;&gt;")=0,"",SUMIFS(BD!$P$3:$P$5001,BD!$A$3:$A$5001,Q$3,BD!$B$3:$B$5001,$A$52)))</f>
        <v/>
      </c>
      <c r="R63" s="227" t="str">
        <f>IF(R$3="","",IF(COUNTIFS(BD!$A$3:$A$5001,R$3,BD!$B$3:$B$5001,$A$52,BD!$P$3:$P$5001,"&lt;&gt;")=0,"",SUMIFS(BD!$P$3:$P$5001,BD!$A$3:$A$5001,R$3,BD!$B$3:$B$5001,$A$52)))</f>
        <v/>
      </c>
      <c r="S63" s="227" t="str">
        <f>IF(S$3="","",IF(COUNTIFS(BD!$A$3:$A$5001,S$3,BD!$B$3:$B$5001,$A$52,BD!$P$3:$P$5001,"&lt;&gt;")=0,"",SUMIFS(BD!$P$3:$P$5001,BD!$A$3:$A$5001,S$3,BD!$B$3:$B$5001,$A$52)))</f>
        <v/>
      </c>
      <c r="T63" s="227" t="str">
        <f>IF(T$3="","",IF(COUNTIFS(BD!$A$3:$A$5001,T$3,BD!$B$3:$B$5001,$A$52,BD!$P$3:$P$5001,"&lt;&gt;")=0,"",SUMIFS(BD!$P$3:$P$5001,BD!$A$3:$A$5001,T$3,BD!$B$3:$B$5001,$A$52)))</f>
        <v/>
      </c>
      <c r="U63" s="227" t="str">
        <f>IF(U$3="","",IF(COUNTIFS(BD!$A$3:$A$5001,U$3,BD!$B$3:$B$5001,$A$52,BD!$P$3:$P$5001,"&lt;&gt;")=0,"",SUMIFS(BD!$P$3:$P$5001,BD!$A$3:$A$5001,U$3,BD!$B$3:$B$5001,$A$52)))</f>
        <v/>
      </c>
      <c r="V63" s="227" t="str">
        <f>IF(V$3="","",IF(COUNTIFS(BD!$A$3:$A$5001,V$3,BD!$B$3:$B$5001,$A$52,BD!$P$3:$P$5001,"&lt;&gt;")=0,"",SUMIFS(BD!$P$3:$P$5001,BD!$A$3:$A$5001,V$3,BD!$B$3:$B$5001,$A$52)))</f>
        <v/>
      </c>
      <c r="W63" s="227" t="str">
        <f>IF(W$3="","",IF(COUNTIFS(BD!$A$3:$A$5001,W$3,BD!$B$3:$B$5001,$A$52,BD!$P$3:$P$5001,"&lt;&gt;")=0,"",SUMIFS(BD!$P$3:$P$5001,BD!$A$3:$A$5001,W$3,BD!$B$3:$B$5001,$A$52)))</f>
        <v/>
      </c>
      <c r="X63" s="227" t="str">
        <f>IF(X$3="","",IF(COUNTIFS(BD!$A$3:$A$5001,X$3,BD!$B$3:$B$5001,$A$52,BD!$P$3:$P$5001,"&lt;&gt;")=0,"",SUMIFS(BD!$P$3:$P$5001,BD!$A$3:$A$5001,X$3,BD!$B$3:$B$5001,$A$52)))</f>
        <v/>
      </c>
      <c r="Y63" s="227" t="str">
        <f>IF(Y$3="","",IF(COUNTIFS(BD!$A$3:$A$5001,Y$3,BD!$B$3:$B$5001,$A$52,BD!$P$3:$P$5001,"&lt;&gt;")=0,"",SUMIFS(BD!$P$3:$P$5001,BD!$A$3:$A$5001,Y$3,BD!$B$3:$B$5001,$A$52)))</f>
        <v/>
      </c>
      <c r="Z63" s="227" t="str">
        <f>IF(Z$3="","",IF(COUNTIFS(BD!$A$3:$A$5001,Z$3,BD!$B$3:$B$5001,$A$52,BD!$P$3:$P$5001,"&lt;&gt;")=0,"",SUMIFS(BD!$P$3:$P$5001,BD!$A$3:$A$5001,Z$3,BD!$B$3:$B$5001,$A$52)))</f>
        <v/>
      </c>
      <c r="AA63" s="227" t="str">
        <f>IF(AA$3="","",IF(COUNTIFS(BD!$A$3:$A$5001,AA$3,BD!$B$3:$B$5001,$A$52,BD!$P$3:$P$5001,"&lt;&gt;")=0,"",SUMIFS(BD!$P$3:$P$5001,BD!$A$3:$A$5001,AA$3,BD!$B$3:$B$5001,$A$52)))</f>
        <v/>
      </c>
      <c r="AB63" s="227" t="str">
        <f>IF(AB$3="","",IF(COUNTIFS(BD!$A$3:$A$5001,AB$3,BD!$B$3:$B$5001,$A$52,BD!$P$3:$P$5001,"&lt;&gt;")=0,"",SUMIFS(BD!$P$3:$P$5001,BD!$A$3:$A$5001,AB$3,BD!$B$3:$B$5001,$A$52)))</f>
        <v/>
      </c>
      <c r="AC63" s="227" t="str">
        <f>IF(AC$3="","",IF(COUNTIFS(BD!$A$3:$A$5001,AC$3,BD!$B$3:$B$5001,$A$52,BD!$P$3:$P$5001,"&lt;&gt;")=0,"",SUMIFS(BD!$P$3:$P$5001,BD!$A$3:$A$5001,AC$3,BD!$B$3:$B$5001,$A$52)))</f>
        <v/>
      </c>
      <c r="AD63" s="227" t="str">
        <f>IF(AD$3="","",IF(COUNTIFS(BD!$A$3:$A$5001,AD$3,BD!$B$3:$B$5001,$A$52,BD!$P$3:$P$5001,"&lt;&gt;")=0,"",SUMIFS(BD!$P$3:$P$5001,BD!$A$3:$A$5001,AD$3,BD!$B$3:$B$5001,$A$52)))</f>
        <v/>
      </c>
      <c r="AE63" s="227" t="str">
        <f>IF(AE$3="","",IF(COUNTIFS(BD!$A$3:$A$5001,AE$3,BD!$B$3:$B$5001,$A$52,BD!$P$3:$P$5001,"&lt;&gt;")=0,"",SUMIFS(BD!$P$3:$P$5001,BD!$A$3:$A$5001,AE$3,BD!$B$3:$B$5001,$A$52)))</f>
        <v/>
      </c>
      <c r="AF63" s="227" t="str">
        <f>IF(AF$3="","",IF(COUNTIFS(BD!$A$3:$A$5001,AF$3,BD!$B$3:$B$5001,$A$52,BD!$P$3:$P$5001,"&lt;&gt;")=0,"",SUMIFS(BD!$P$3:$P$5001,BD!$A$3:$A$5001,AF$3,BD!$B$3:$B$5001,$A$52)))</f>
        <v/>
      </c>
      <c r="AG63" s="227" t="str">
        <f>IF(AG$3="","",IF(COUNTIFS(BD!$A$3:$A$5001,AG$3,BD!$B$3:$B$5001,$A$52,BD!$P$3:$P$5001,"&lt;&gt;")=0,"",SUMIFS(BD!$P$3:$P$5001,BD!$A$3:$A$5001,AG$3,BD!$B$3:$B$5001,$A$52)))</f>
        <v/>
      </c>
      <c r="AH63" s="227" t="str">
        <f>IF(AH$3="","",IF(COUNTIFS(BD!$A$3:$A$5001,AH$3,BD!$B$3:$B$5001,$A$52,BD!$P$3:$P$5001,"&lt;&gt;")=0,"",SUMIFS(BD!$P$3:$P$5001,BD!$A$3:$A$5001,AH$3,BD!$B$3:$B$5001,$A$52)))</f>
        <v/>
      </c>
      <c r="AI63" s="227" t="str">
        <f>IF(AI$3="","",IF(COUNTIFS(BD!$A$3:$A$5001,AI$3,BD!$B$3:$B$5001,$A$52,BD!$P$3:$P$5001,"&lt;&gt;")=0,"",SUMIFS(BD!$P$3:$P$5001,BD!$A$3:$A$5001,AI$3,BD!$B$3:$B$5001,$A$52)))</f>
        <v/>
      </c>
      <c r="AJ63" s="228" t="str">
        <f>IF(AJ$3="","",IF(COUNTIFS(BD!$A$3:$A$5001,AJ$3,BD!$B$3:$B$5001,$A$52,BD!$P$3:$P$5001,"&lt;&gt;")=0,"",SUMIFS(BD!$P$3:$P$5001,BD!$A$3:$A$5001,AJ$3,BD!$B$3:$B$5001,$A$52)))</f>
        <v/>
      </c>
      <c r="AK63" s="229" t="str">
        <f>IFERROR(LOOKUP(9.99E+307,F63:AJ63),"")</f>
        <v/>
      </c>
    </row>
    <row r="64" ht="15.75" customHeight="1">
      <c r="A64" s="277"/>
      <c r="B64" s="272"/>
      <c r="C64" s="230" t="inlineStr">
        <is>
          <t xml:space="preserve">Backlog Cliente</t>
        </is>
      </c>
      <c r="D64" s="231" t="str">
        <f>IFERROR(1/(1/INDEX(BD!$AF$37:$AZ$37,MATCH($A$52,BD!$AF$22:$AZ$22,0))),"")</f>
        <v/>
      </c>
      <c r="E64" s="232"/>
      <c r="F64" s="233" t="str">
        <f>IF(F$3="","",IF(COUNTIFS(BD!$A$3:$A$5001,F$3,BD!$B$3:$B$5001,$A$52,BD!$Q$3:$Q$5001,"&lt;&gt;")=0,"",SUMIFS(BD!$Q$3:$Q$5001,BD!$A$3:$A$5001,F$3,BD!$B$3:$B$5001,$A$52)))</f>
        <v/>
      </c>
      <c r="G64" s="234" t="str">
        <f>IF(G$3="","",IF(COUNTIFS(BD!$A$3:$A$5001,G$3,BD!$B$3:$B$5001,$A$52,BD!$Q$3:$Q$5001,"&lt;&gt;")=0,"",SUMIFS(BD!$Q$3:$Q$5001,BD!$A$3:$A$5001,G$3,BD!$B$3:$B$5001,$A$52)))</f>
        <v/>
      </c>
      <c r="H64" s="234" t="str">
        <f>IF(H$3="","",IF(COUNTIFS(BD!$A$3:$A$5001,H$3,BD!$B$3:$B$5001,$A$52,BD!$Q$3:$Q$5001,"&lt;&gt;")=0,"",SUMIFS(BD!$Q$3:$Q$5001,BD!$A$3:$A$5001,H$3,BD!$B$3:$B$5001,$A$52)))</f>
        <v/>
      </c>
      <c r="I64" s="234" t="str">
        <f>IF(I$3="","",IF(COUNTIFS(BD!$A$3:$A$5001,I$3,BD!$B$3:$B$5001,$A$52,BD!$Q$3:$Q$5001,"&lt;&gt;")=0,"",SUMIFS(BD!$Q$3:$Q$5001,BD!$A$3:$A$5001,I$3,BD!$B$3:$B$5001,$A$52)))</f>
        <v/>
      </c>
      <c r="J64" s="234" t="str">
        <f>IF(J$3="","",IF(COUNTIFS(BD!$A$3:$A$5001,J$3,BD!$B$3:$B$5001,$A$52,BD!$Q$3:$Q$5001,"&lt;&gt;")=0,"",SUMIFS(BD!$Q$3:$Q$5001,BD!$A$3:$A$5001,J$3,BD!$B$3:$B$5001,$A$52)))</f>
        <v/>
      </c>
      <c r="K64" s="234" t="str">
        <f>IF(K$3="","",IF(COUNTIFS(BD!$A$3:$A$5001,K$3,BD!$B$3:$B$5001,$A$52,BD!$Q$3:$Q$5001,"&lt;&gt;")=0,"",SUMIFS(BD!$Q$3:$Q$5001,BD!$A$3:$A$5001,K$3,BD!$B$3:$B$5001,$A$52)))</f>
        <v/>
      </c>
      <c r="L64" s="234" t="str">
        <f>IF(L$3="","",IF(COUNTIFS(BD!$A$3:$A$5001,L$3,BD!$B$3:$B$5001,$A$52,BD!$Q$3:$Q$5001,"&lt;&gt;")=0,"",SUMIFS(BD!$Q$3:$Q$5001,BD!$A$3:$A$5001,L$3,BD!$B$3:$B$5001,$A$52)))</f>
        <v/>
      </c>
      <c r="M64" s="234" t="str">
        <f>IF(M$3="","",IF(COUNTIFS(BD!$A$3:$A$5001,M$3,BD!$B$3:$B$5001,$A$52,BD!$Q$3:$Q$5001,"&lt;&gt;")=0,"",SUMIFS(BD!$Q$3:$Q$5001,BD!$A$3:$A$5001,M$3,BD!$B$3:$B$5001,$A$52)))</f>
        <v/>
      </c>
      <c r="N64" s="234" t="str">
        <f>IF(N$3="","",IF(COUNTIFS(BD!$A$3:$A$5001,N$3,BD!$B$3:$B$5001,$A$52,BD!$Q$3:$Q$5001,"&lt;&gt;")=0,"",SUMIFS(BD!$Q$3:$Q$5001,BD!$A$3:$A$5001,N$3,BD!$B$3:$B$5001,$A$52)))</f>
        <v/>
      </c>
      <c r="O64" s="234" t="str">
        <f>IF(O$3="","",IF(COUNTIFS(BD!$A$3:$A$5001,O$3,BD!$B$3:$B$5001,$A$52,BD!$Q$3:$Q$5001,"&lt;&gt;")=0,"",SUMIFS(BD!$Q$3:$Q$5001,BD!$A$3:$A$5001,O$3,BD!$B$3:$B$5001,$A$52)))</f>
        <v/>
      </c>
      <c r="P64" s="234" t="str">
        <f>IF(P$3="","",IF(COUNTIFS(BD!$A$3:$A$5001,P$3,BD!$B$3:$B$5001,$A$52,BD!$Q$3:$Q$5001,"&lt;&gt;")=0,"",SUMIFS(BD!$Q$3:$Q$5001,BD!$A$3:$A$5001,P$3,BD!$B$3:$B$5001,$A$52)))</f>
        <v/>
      </c>
      <c r="Q64" s="234" t="str">
        <f>IF(Q$3="","",IF(COUNTIFS(BD!$A$3:$A$5001,Q$3,BD!$B$3:$B$5001,$A$52,BD!$Q$3:$Q$5001,"&lt;&gt;")=0,"",SUMIFS(BD!$Q$3:$Q$5001,BD!$A$3:$A$5001,Q$3,BD!$B$3:$B$5001,$A$52)))</f>
        <v/>
      </c>
      <c r="R64" s="234" t="str">
        <f>IF(R$3="","",IF(COUNTIFS(BD!$A$3:$A$5001,R$3,BD!$B$3:$B$5001,$A$52,BD!$Q$3:$Q$5001,"&lt;&gt;")=0,"",SUMIFS(BD!$Q$3:$Q$5001,BD!$A$3:$A$5001,R$3,BD!$B$3:$B$5001,$A$52)))</f>
        <v/>
      </c>
      <c r="S64" s="234" t="str">
        <f>IF(S$3="","",IF(COUNTIFS(BD!$A$3:$A$5001,S$3,BD!$B$3:$B$5001,$A$52,BD!$Q$3:$Q$5001,"&lt;&gt;")=0,"",SUMIFS(BD!$Q$3:$Q$5001,BD!$A$3:$A$5001,S$3,BD!$B$3:$B$5001,$A$52)))</f>
        <v/>
      </c>
      <c r="T64" s="234" t="str">
        <f>IF(T$3="","",IF(COUNTIFS(BD!$A$3:$A$5001,T$3,BD!$B$3:$B$5001,$A$52,BD!$Q$3:$Q$5001,"&lt;&gt;")=0,"",SUMIFS(BD!$Q$3:$Q$5001,BD!$A$3:$A$5001,T$3,BD!$B$3:$B$5001,$A$52)))</f>
        <v/>
      </c>
      <c r="U64" s="234" t="str">
        <f>IF(U$3="","",IF(COUNTIFS(BD!$A$3:$A$5001,U$3,BD!$B$3:$B$5001,$A$52,BD!$Q$3:$Q$5001,"&lt;&gt;")=0,"",SUMIFS(BD!$Q$3:$Q$5001,BD!$A$3:$A$5001,U$3,BD!$B$3:$B$5001,$A$52)))</f>
        <v/>
      </c>
      <c r="V64" s="234" t="str">
        <f>IF(V$3="","",IF(COUNTIFS(BD!$A$3:$A$5001,V$3,BD!$B$3:$B$5001,$A$52,BD!$Q$3:$Q$5001,"&lt;&gt;")=0,"",SUMIFS(BD!$Q$3:$Q$5001,BD!$A$3:$A$5001,V$3,BD!$B$3:$B$5001,$A$52)))</f>
        <v/>
      </c>
      <c r="W64" s="234" t="str">
        <f>IF(W$3="","",IF(COUNTIFS(BD!$A$3:$A$5001,W$3,BD!$B$3:$B$5001,$A$52,BD!$Q$3:$Q$5001,"&lt;&gt;")=0,"",SUMIFS(BD!$Q$3:$Q$5001,BD!$A$3:$A$5001,W$3,BD!$B$3:$B$5001,$A$52)))</f>
        <v/>
      </c>
      <c r="X64" s="234" t="str">
        <f>IF(X$3="","",IF(COUNTIFS(BD!$A$3:$A$5001,X$3,BD!$B$3:$B$5001,$A$52,BD!$Q$3:$Q$5001,"&lt;&gt;")=0,"",SUMIFS(BD!$Q$3:$Q$5001,BD!$A$3:$A$5001,X$3,BD!$B$3:$B$5001,$A$52)))</f>
        <v/>
      </c>
      <c r="Y64" s="234" t="str">
        <f>IF(Y$3="","",IF(COUNTIFS(BD!$A$3:$A$5001,Y$3,BD!$B$3:$B$5001,$A$52,BD!$Q$3:$Q$5001,"&lt;&gt;")=0,"",SUMIFS(BD!$Q$3:$Q$5001,BD!$A$3:$A$5001,Y$3,BD!$B$3:$B$5001,$A$52)))</f>
        <v/>
      </c>
      <c r="Z64" s="234" t="str">
        <f>IF(Z$3="","",IF(COUNTIFS(BD!$A$3:$A$5001,Z$3,BD!$B$3:$B$5001,$A$52,BD!$Q$3:$Q$5001,"&lt;&gt;")=0,"",SUMIFS(BD!$Q$3:$Q$5001,BD!$A$3:$A$5001,Z$3,BD!$B$3:$B$5001,$A$52)))</f>
        <v/>
      </c>
      <c r="AA64" s="234" t="str">
        <f>IF(AA$3="","",IF(COUNTIFS(BD!$A$3:$A$5001,AA$3,BD!$B$3:$B$5001,$A$52,BD!$Q$3:$Q$5001,"&lt;&gt;")=0,"",SUMIFS(BD!$Q$3:$Q$5001,BD!$A$3:$A$5001,AA$3,BD!$B$3:$B$5001,$A$52)))</f>
        <v/>
      </c>
      <c r="AB64" s="234" t="str">
        <f>IF(AB$3="","",IF(COUNTIFS(BD!$A$3:$A$5001,AB$3,BD!$B$3:$B$5001,$A$52,BD!$Q$3:$Q$5001,"&lt;&gt;")=0,"",SUMIFS(BD!$Q$3:$Q$5001,BD!$A$3:$A$5001,AB$3,BD!$B$3:$B$5001,$A$52)))</f>
        <v/>
      </c>
      <c r="AC64" s="234" t="str">
        <f>IF(AC$3="","",IF(COUNTIFS(BD!$A$3:$A$5001,AC$3,BD!$B$3:$B$5001,$A$52,BD!$Q$3:$Q$5001,"&lt;&gt;")=0,"",SUMIFS(BD!$Q$3:$Q$5001,BD!$A$3:$A$5001,AC$3,BD!$B$3:$B$5001,$A$52)))</f>
        <v/>
      </c>
      <c r="AD64" s="234" t="str">
        <f>IF(AD$3="","",IF(COUNTIFS(BD!$A$3:$A$5001,AD$3,BD!$B$3:$B$5001,$A$52,BD!$Q$3:$Q$5001,"&lt;&gt;")=0,"",SUMIFS(BD!$Q$3:$Q$5001,BD!$A$3:$A$5001,AD$3,BD!$B$3:$B$5001,$A$52)))</f>
        <v/>
      </c>
      <c r="AE64" s="234" t="str">
        <f>IF(AE$3="","",IF(COUNTIFS(BD!$A$3:$A$5001,AE$3,BD!$B$3:$B$5001,$A$52,BD!$Q$3:$Q$5001,"&lt;&gt;")=0,"",SUMIFS(BD!$Q$3:$Q$5001,BD!$A$3:$A$5001,AE$3,BD!$B$3:$B$5001,$A$52)))</f>
        <v/>
      </c>
      <c r="AF64" s="234" t="str">
        <f>IF(AF$3="","",IF(COUNTIFS(BD!$A$3:$A$5001,AF$3,BD!$B$3:$B$5001,$A$52,BD!$Q$3:$Q$5001,"&lt;&gt;")=0,"",SUMIFS(BD!$Q$3:$Q$5001,BD!$A$3:$A$5001,AF$3,BD!$B$3:$B$5001,$A$52)))</f>
        <v/>
      </c>
      <c r="AG64" s="234" t="str">
        <f>IF(AG$3="","",IF(COUNTIFS(BD!$A$3:$A$5001,AG$3,BD!$B$3:$B$5001,$A$52,BD!$Q$3:$Q$5001,"&lt;&gt;")=0,"",SUMIFS(BD!$Q$3:$Q$5001,BD!$A$3:$A$5001,AG$3,BD!$B$3:$B$5001,$A$52)))</f>
        <v/>
      </c>
      <c r="AH64" s="234" t="str">
        <f>IF(AH$3="","",IF(COUNTIFS(BD!$A$3:$A$5001,AH$3,BD!$B$3:$B$5001,$A$52,BD!$Q$3:$Q$5001,"&lt;&gt;")=0,"",SUMIFS(BD!$Q$3:$Q$5001,BD!$A$3:$A$5001,AH$3,BD!$B$3:$B$5001,$A$52)))</f>
        <v/>
      </c>
      <c r="AI64" s="234" t="str">
        <f>IF(AI$3="","",IF(COUNTIFS(BD!$A$3:$A$5001,AI$3,BD!$B$3:$B$5001,$A$52,BD!$Q$3:$Q$5001,"&lt;&gt;")=0,"",SUMIFS(BD!$Q$3:$Q$5001,BD!$A$3:$A$5001,AI$3,BD!$B$3:$B$5001,$A$52)))</f>
        <v/>
      </c>
      <c r="AJ64" s="235" t="str">
        <f>IF(AJ$3="","",IF(COUNTIFS(BD!$A$3:$A$5001,AJ$3,BD!$B$3:$B$5001,$A$52,BD!$Q$3:$Q$5001,"&lt;&gt;")=0,"",SUMIFS(BD!$Q$3:$Q$5001,BD!$A$3:$A$5001,AJ$3,BD!$B$3:$B$5001,$A$52)))</f>
        <v/>
      </c>
      <c r="AK64" s="231" t="str">
        <f>IFERROR(LOOKUP(9.99E+307,F64:AJ64),"")</f>
        <v/>
      </c>
    </row>
    <row r="65" ht="15.75" customHeight="1">
      <c r="A65" s="277"/>
      <c r="B65" s="285" t="inlineStr">
        <is>
          <t xml:space="preserve">OCUPAÇÃO (P.P)</t>
        </is>
      </c>
      <c r="C65" s="279" t="inlineStr">
        <is>
          <t xml:space="preserve">Posições Ocupadas</t>
        </is>
      </c>
      <c r="D65" s="280" t="str">
        <f>IFERROR(1/(1/INDEX(BD!$AF$39:$AZ$39,MATCH($A$52,BD!$AF$22:$AZ$22,0))),"")</f>
        <v/>
      </c>
      <c r="E65" s="281"/>
      <c r="F65" s="282" t="str">
        <f>IF(F$3="","",IF(COUNTIFS(BD!$A$3:$A$5001,F$3,BD!$B$3:$B$5001,$A$52,BD!$S$3:$S$5001,"&lt;&gt;")=0,"",SUMIFS(BD!$S$3:$S$5001,BD!$A$3:$A$5001,F$3,BD!$B$3:$B$5001,$A$52)))</f>
        <v/>
      </c>
      <c r="G65" s="283" t="str">
        <f>IF(G$3="","",IF(COUNTIFS(BD!$A$3:$A$5001,G$3,BD!$B$3:$B$5001,$A$52,BD!$S$3:$S$5001,"&lt;&gt;")=0,"",SUMIFS(BD!$S$3:$S$5001,BD!$A$3:$A$5001,G$3,BD!$B$3:$B$5001,$A$52)))</f>
        <v/>
      </c>
      <c r="H65" s="283" t="str">
        <f>IF(H$3="","",IF(COUNTIFS(BD!$A$3:$A$5001,H$3,BD!$B$3:$B$5001,$A$52,BD!$S$3:$S$5001,"&lt;&gt;")=0,"",SUMIFS(BD!$S$3:$S$5001,BD!$A$3:$A$5001,H$3,BD!$B$3:$B$5001,$A$52)))</f>
        <v/>
      </c>
      <c r="I65" s="283" t="str">
        <f>IF(I$3="","",IF(COUNTIFS(BD!$A$3:$A$5001,I$3,BD!$B$3:$B$5001,$A$52,BD!$S$3:$S$5001,"&lt;&gt;")=0,"",SUMIFS(BD!$S$3:$S$5001,BD!$A$3:$A$5001,I$3,BD!$B$3:$B$5001,$A$52)))</f>
        <v/>
      </c>
      <c r="J65" s="283" t="str">
        <f>IF(J$3="","",IF(COUNTIFS(BD!$A$3:$A$5001,J$3,BD!$B$3:$B$5001,$A$52,BD!$S$3:$S$5001,"&lt;&gt;")=0,"",SUMIFS(BD!$S$3:$S$5001,BD!$A$3:$A$5001,J$3,BD!$B$3:$B$5001,$A$52)))</f>
        <v/>
      </c>
      <c r="K65" s="283" t="str">
        <f>IF(K$3="","",IF(COUNTIFS(BD!$A$3:$A$5001,K$3,BD!$B$3:$B$5001,$A$52,BD!$S$3:$S$5001,"&lt;&gt;")=0,"",SUMIFS(BD!$S$3:$S$5001,BD!$A$3:$A$5001,K$3,BD!$B$3:$B$5001,$A$52)))</f>
        <v/>
      </c>
      <c r="L65" s="283" t="str">
        <f>IF(L$3="","",IF(COUNTIFS(BD!$A$3:$A$5001,L$3,BD!$B$3:$B$5001,$A$52,BD!$S$3:$S$5001,"&lt;&gt;")=0,"",SUMIFS(BD!$S$3:$S$5001,BD!$A$3:$A$5001,L$3,BD!$B$3:$B$5001,$A$52)))</f>
        <v/>
      </c>
      <c r="M65" s="283" t="str">
        <f>IF(M$3="","",IF(COUNTIFS(BD!$A$3:$A$5001,M$3,BD!$B$3:$B$5001,$A$52,BD!$S$3:$S$5001,"&lt;&gt;")=0,"",SUMIFS(BD!$S$3:$S$5001,BD!$A$3:$A$5001,M$3,BD!$B$3:$B$5001,$A$52)))</f>
        <v/>
      </c>
      <c r="N65" s="283" t="str">
        <f>IF(N$3="","",IF(COUNTIFS(BD!$A$3:$A$5001,N$3,BD!$B$3:$B$5001,$A$52,BD!$S$3:$S$5001,"&lt;&gt;")=0,"",SUMIFS(BD!$S$3:$S$5001,BD!$A$3:$A$5001,N$3,BD!$B$3:$B$5001,$A$52)))</f>
        <v/>
      </c>
      <c r="O65" s="283" t="str">
        <f>IF(O$3="","",IF(COUNTIFS(BD!$A$3:$A$5001,O$3,BD!$B$3:$B$5001,$A$52,BD!$S$3:$S$5001,"&lt;&gt;")=0,"",SUMIFS(BD!$S$3:$S$5001,BD!$A$3:$A$5001,O$3,BD!$B$3:$B$5001,$A$52)))</f>
        <v/>
      </c>
      <c r="P65" s="283" t="str">
        <f>IF(P$3="","",IF(COUNTIFS(BD!$A$3:$A$5001,P$3,BD!$B$3:$B$5001,$A$52,BD!$S$3:$S$5001,"&lt;&gt;")=0,"",SUMIFS(BD!$S$3:$S$5001,BD!$A$3:$A$5001,P$3,BD!$B$3:$B$5001,$A$52)))</f>
        <v/>
      </c>
      <c r="Q65" s="283" t="str">
        <f>IF(Q$3="","",IF(COUNTIFS(BD!$A$3:$A$5001,Q$3,BD!$B$3:$B$5001,$A$52,BD!$S$3:$S$5001,"&lt;&gt;")=0,"",SUMIFS(BD!$S$3:$S$5001,BD!$A$3:$A$5001,Q$3,BD!$B$3:$B$5001,$A$52)))</f>
        <v/>
      </c>
      <c r="R65" s="283" t="str">
        <f>IF(R$3="","",IF(COUNTIFS(BD!$A$3:$A$5001,R$3,BD!$B$3:$B$5001,$A$52,BD!$S$3:$S$5001,"&lt;&gt;")=0,"",SUMIFS(BD!$S$3:$S$5001,BD!$A$3:$A$5001,R$3,BD!$B$3:$B$5001,$A$52)))</f>
        <v/>
      </c>
      <c r="S65" s="283" t="str">
        <f>IF(S$3="","",IF(COUNTIFS(BD!$A$3:$A$5001,S$3,BD!$B$3:$B$5001,$A$52,BD!$S$3:$S$5001,"&lt;&gt;")=0,"",SUMIFS(BD!$S$3:$S$5001,BD!$A$3:$A$5001,S$3,BD!$B$3:$B$5001,$A$52)))</f>
        <v/>
      </c>
      <c r="T65" s="283" t="str">
        <f>IF(T$3="","",IF(COUNTIFS(BD!$A$3:$A$5001,T$3,BD!$B$3:$B$5001,$A$52,BD!$S$3:$S$5001,"&lt;&gt;")=0,"",SUMIFS(BD!$S$3:$S$5001,BD!$A$3:$A$5001,T$3,BD!$B$3:$B$5001,$A$52)))</f>
        <v/>
      </c>
      <c r="U65" s="283" t="str">
        <f>IF(U$3="","",IF(COUNTIFS(BD!$A$3:$A$5001,U$3,BD!$B$3:$B$5001,$A$52,BD!$S$3:$S$5001,"&lt;&gt;")=0,"",SUMIFS(BD!$S$3:$S$5001,BD!$A$3:$A$5001,U$3,BD!$B$3:$B$5001,$A$52)))</f>
        <v/>
      </c>
      <c r="V65" s="283" t="str">
        <f>IF(V$3="","",IF(COUNTIFS(BD!$A$3:$A$5001,V$3,BD!$B$3:$B$5001,$A$52,BD!$S$3:$S$5001,"&lt;&gt;")=0,"",SUMIFS(BD!$S$3:$S$5001,BD!$A$3:$A$5001,V$3,BD!$B$3:$B$5001,$A$52)))</f>
        <v/>
      </c>
      <c r="W65" s="283" t="str">
        <f>IF(W$3="","",IF(COUNTIFS(BD!$A$3:$A$5001,W$3,BD!$B$3:$B$5001,$A$52,BD!$S$3:$S$5001,"&lt;&gt;")=0,"",SUMIFS(BD!$S$3:$S$5001,BD!$A$3:$A$5001,W$3,BD!$B$3:$B$5001,$A$52)))</f>
        <v/>
      </c>
      <c r="X65" s="283" t="str">
        <f>IF(X$3="","",IF(COUNTIFS(BD!$A$3:$A$5001,X$3,BD!$B$3:$B$5001,$A$52,BD!$S$3:$S$5001,"&lt;&gt;")=0,"",SUMIFS(BD!$S$3:$S$5001,BD!$A$3:$A$5001,X$3,BD!$B$3:$B$5001,$A$52)))</f>
        <v/>
      </c>
      <c r="Y65" s="283" t="str">
        <f>IF(Y$3="","",IF(COUNTIFS(BD!$A$3:$A$5001,Y$3,BD!$B$3:$B$5001,$A$52,BD!$S$3:$S$5001,"&lt;&gt;")=0,"",SUMIFS(BD!$S$3:$S$5001,BD!$A$3:$A$5001,Y$3,BD!$B$3:$B$5001,$A$52)))</f>
        <v/>
      </c>
      <c r="Z65" s="283" t="str">
        <f>IF(Z$3="","",IF(COUNTIFS(BD!$A$3:$A$5001,Z$3,BD!$B$3:$B$5001,$A$52,BD!$S$3:$S$5001,"&lt;&gt;")=0,"",SUMIFS(BD!$S$3:$S$5001,BD!$A$3:$A$5001,Z$3,BD!$B$3:$B$5001,$A$52)))</f>
        <v/>
      </c>
      <c r="AA65" s="283" t="str">
        <f>IF(AA$3="","",IF(COUNTIFS(BD!$A$3:$A$5001,AA$3,BD!$B$3:$B$5001,$A$52,BD!$S$3:$S$5001,"&lt;&gt;")=0,"",SUMIFS(BD!$S$3:$S$5001,BD!$A$3:$A$5001,AA$3,BD!$B$3:$B$5001,$A$52)))</f>
        <v/>
      </c>
      <c r="AB65" s="283" t="str">
        <f>IF(AB$3="","",IF(COUNTIFS(BD!$A$3:$A$5001,AB$3,BD!$B$3:$B$5001,$A$52,BD!$S$3:$S$5001,"&lt;&gt;")=0,"",SUMIFS(BD!$S$3:$S$5001,BD!$A$3:$A$5001,AB$3,BD!$B$3:$B$5001,$A$52)))</f>
        <v/>
      </c>
      <c r="AC65" s="283" t="str">
        <f>IF(AC$3="","",IF(COUNTIFS(BD!$A$3:$A$5001,AC$3,BD!$B$3:$B$5001,$A$52,BD!$S$3:$S$5001,"&lt;&gt;")=0,"",SUMIFS(BD!$S$3:$S$5001,BD!$A$3:$A$5001,AC$3,BD!$B$3:$B$5001,$A$52)))</f>
        <v/>
      </c>
      <c r="AD65" s="283" t="str">
        <f>IF(AD$3="","",IF(COUNTIFS(BD!$A$3:$A$5001,AD$3,BD!$B$3:$B$5001,$A$52,BD!$S$3:$S$5001,"&lt;&gt;")=0,"",SUMIFS(BD!$S$3:$S$5001,BD!$A$3:$A$5001,AD$3,BD!$B$3:$B$5001,$A$52)))</f>
        <v/>
      </c>
      <c r="AE65" s="283" t="str">
        <f>IF(AE$3="","",IF(COUNTIFS(BD!$A$3:$A$5001,AE$3,BD!$B$3:$B$5001,$A$52,BD!$S$3:$S$5001,"&lt;&gt;")=0,"",SUMIFS(BD!$S$3:$S$5001,BD!$A$3:$A$5001,AE$3,BD!$B$3:$B$5001,$A$52)))</f>
        <v/>
      </c>
      <c r="AF65" s="283" t="str">
        <f>IF(AF$3="","",IF(COUNTIFS(BD!$A$3:$A$5001,AF$3,BD!$B$3:$B$5001,$A$52,BD!$S$3:$S$5001,"&lt;&gt;")=0,"",SUMIFS(BD!$S$3:$S$5001,BD!$A$3:$A$5001,AF$3,BD!$B$3:$B$5001,$A$52)))</f>
        <v/>
      </c>
      <c r="AG65" s="283" t="str">
        <f>IF(AG$3="","",IF(COUNTIFS(BD!$A$3:$A$5001,AG$3,BD!$B$3:$B$5001,$A$52,BD!$S$3:$S$5001,"&lt;&gt;")=0,"",SUMIFS(BD!$S$3:$S$5001,BD!$A$3:$A$5001,AG$3,BD!$B$3:$B$5001,$A$52)))</f>
        <v/>
      </c>
      <c r="AH65" s="283" t="str">
        <f>IF(AH$3="","",IF(COUNTIFS(BD!$A$3:$A$5001,AH$3,BD!$B$3:$B$5001,$A$52,BD!$S$3:$S$5001,"&lt;&gt;")=0,"",SUMIFS(BD!$S$3:$S$5001,BD!$A$3:$A$5001,AH$3,BD!$B$3:$B$5001,$A$52)))</f>
        <v/>
      </c>
      <c r="AI65" s="283" t="str">
        <f>IF(AI$3="","",IF(COUNTIFS(BD!$A$3:$A$5001,AI$3,BD!$B$3:$B$5001,$A$52,BD!$S$3:$S$5001,"&lt;&gt;")=0,"",SUMIFS(BD!$S$3:$S$5001,BD!$A$3:$A$5001,AI$3,BD!$B$3:$B$5001,$A$52)))</f>
        <v/>
      </c>
      <c r="AJ65" s="284" t="str">
        <f>IF(AJ$3="","",IF(COUNTIFS(BD!$A$3:$A$5001,AJ$3,BD!$B$3:$B$5001,$A$52,BD!$S$3:$S$5001,"&lt;&gt;")=0,"",SUMIFS(BD!$S$3:$S$5001,BD!$A$3:$A$5001,AJ$3,BD!$B$3:$B$5001,$A$52)))</f>
        <v/>
      </c>
      <c r="AK65" s="280" t="str">
        <f>IFERROR(LOOKUP(9.99E+307,F65:AJ65),"")</f>
        <v/>
      </c>
    </row>
    <row r="66" ht="15.75" customHeight="1">
      <c r="A66" s="277"/>
      <c r="B66" s="273" t="inlineStr">
        <is>
          <t xml:space="preserve">GENTE</t>
        </is>
      </c>
      <c r="C66" s="240" t="inlineStr">
        <is>
          <t xml:space="preserve">Efetivo Op.</t>
        </is>
      </c>
      <c r="D66" s="241" t="str">
        <f>IFERROR(1/(1/INDEX(BD!$AF$41:$AZ$41,MATCH($A$52,BD!$AF$22:$AZ$22,0))),"")</f>
        <v/>
      </c>
      <c r="E66" s="242"/>
      <c r="F66" s="243" t="str">
        <f>IF(F$3="","",IF(COUNTIFS(BD!$A$3:$A$5001,F$3,BD!$B$3:$B$5001,$A$52,BD!$T$3:$T$5001,"&lt;&gt;")=0,"",SUMIFS(BD!$T$3:$T$5001,BD!$A$3:$A$5001,F$3,BD!$B$3:$B$5001,$A$52)))</f>
        <v/>
      </c>
      <c r="G66" s="244" t="str">
        <f>IF(G$3="","",IF(COUNTIFS(BD!$A$3:$A$5001,G$3,BD!$B$3:$B$5001,$A$52,BD!$T$3:$T$5001,"&lt;&gt;")=0,"",SUMIFS(BD!$T$3:$T$5001,BD!$A$3:$A$5001,G$3,BD!$B$3:$B$5001,$A$52)))</f>
        <v/>
      </c>
      <c r="H66" s="244" t="str">
        <f>IF(H$3="","",IF(COUNTIFS(BD!$A$3:$A$5001,H$3,BD!$B$3:$B$5001,$A$52,BD!$T$3:$T$5001,"&lt;&gt;")=0,"",SUMIFS(BD!$T$3:$T$5001,BD!$A$3:$A$5001,H$3,BD!$B$3:$B$5001,$A$52)))</f>
        <v/>
      </c>
      <c r="I66" s="244" t="str">
        <f>IF(I$3="","",IF(COUNTIFS(BD!$A$3:$A$5001,I$3,BD!$B$3:$B$5001,$A$52,BD!$T$3:$T$5001,"&lt;&gt;")=0,"",SUMIFS(BD!$T$3:$T$5001,BD!$A$3:$A$5001,I$3,BD!$B$3:$B$5001,$A$52)))</f>
        <v/>
      </c>
      <c r="J66" s="244" t="str">
        <f>IF(J$3="","",IF(COUNTIFS(BD!$A$3:$A$5001,J$3,BD!$B$3:$B$5001,$A$52,BD!$T$3:$T$5001,"&lt;&gt;")=0,"",SUMIFS(BD!$T$3:$T$5001,BD!$A$3:$A$5001,J$3,BD!$B$3:$B$5001,$A$52)))</f>
        <v/>
      </c>
      <c r="K66" s="244" t="str">
        <f>IF(K$3="","",IF(COUNTIFS(BD!$A$3:$A$5001,K$3,BD!$B$3:$B$5001,$A$52,BD!$T$3:$T$5001,"&lt;&gt;")=0,"",SUMIFS(BD!$T$3:$T$5001,BD!$A$3:$A$5001,K$3,BD!$B$3:$B$5001,$A$52)))</f>
        <v/>
      </c>
      <c r="L66" s="244" t="str">
        <f>IF(L$3="","",IF(COUNTIFS(BD!$A$3:$A$5001,L$3,BD!$B$3:$B$5001,$A$52,BD!$T$3:$T$5001,"&lt;&gt;")=0,"",SUMIFS(BD!$T$3:$T$5001,BD!$A$3:$A$5001,L$3,BD!$B$3:$B$5001,$A$52)))</f>
        <v/>
      </c>
      <c r="M66" s="244" t="str">
        <f>IF(M$3="","",IF(COUNTIFS(BD!$A$3:$A$5001,M$3,BD!$B$3:$B$5001,$A$52,BD!$T$3:$T$5001,"&lt;&gt;")=0,"",SUMIFS(BD!$T$3:$T$5001,BD!$A$3:$A$5001,M$3,BD!$B$3:$B$5001,$A$52)))</f>
        <v/>
      </c>
      <c r="N66" s="244" t="str">
        <f>IF(N$3="","",IF(COUNTIFS(BD!$A$3:$A$5001,N$3,BD!$B$3:$B$5001,$A$52,BD!$T$3:$T$5001,"&lt;&gt;")=0,"",SUMIFS(BD!$T$3:$T$5001,BD!$A$3:$A$5001,N$3,BD!$B$3:$B$5001,$A$52)))</f>
        <v/>
      </c>
      <c r="O66" s="244" t="str">
        <f>IF(O$3="","",IF(COUNTIFS(BD!$A$3:$A$5001,O$3,BD!$B$3:$B$5001,$A$52,BD!$T$3:$T$5001,"&lt;&gt;")=0,"",SUMIFS(BD!$T$3:$T$5001,BD!$A$3:$A$5001,O$3,BD!$B$3:$B$5001,$A$52)))</f>
        <v/>
      </c>
      <c r="P66" s="244" t="str">
        <f>IF(P$3="","",IF(COUNTIFS(BD!$A$3:$A$5001,P$3,BD!$B$3:$B$5001,$A$52,BD!$T$3:$T$5001,"&lt;&gt;")=0,"",SUMIFS(BD!$T$3:$T$5001,BD!$A$3:$A$5001,P$3,BD!$B$3:$B$5001,$A$52)))</f>
        <v/>
      </c>
      <c r="Q66" s="244" t="str">
        <f>IF(Q$3="","",IF(COUNTIFS(BD!$A$3:$A$5001,Q$3,BD!$B$3:$B$5001,$A$52,BD!$T$3:$T$5001,"&lt;&gt;")=0,"",SUMIFS(BD!$T$3:$T$5001,BD!$A$3:$A$5001,Q$3,BD!$B$3:$B$5001,$A$52)))</f>
        <v/>
      </c>
      <c r="R66" s="244" t="str">
        <f>IF(R$3="","",IF(COUNTIFS(BD!$A$3:$A$5001,R$3,BD!$B$3:$B$5001,$A$52,BD!$T$3:$T$5001,"&lt;&gt;")=0,"",SUMIFS(BD!$T$3:$T$5001,BD!$A$3:$A$5001,R$3,BD!$B$3:$B$5001,$A$52)))</f>
        <v/>
      </c>
      <c r="S66" s="244" t="str">
        <f>IF(S$3="","",IF(COUNTIFS(BD!$A$3:$A$5001,S$3,BD!$B$3:$B$5001,$A$52,BD!$T$3:$T$5001,"&lt;&gt;")=0,"",SUMIFS(BD!$T$3:$T$5001,BD!$A$3:$A$5001,S$3,BD!$B$3:$B$5001,$A$52)))</f>
        <v/>
      </c>
      <c r="T66" s="244" t="str">
        <f>IF(T$3="","",IF(COUNTIFS(BD!$A$3:$A$5001,T$3,BD!$B$3:$B$5001,$A$52,BD!$T$3:$T$5001,"&lt;&gt;")=0,"",SUMIFS(BD!$T$3:$T$5001,BD!$A$3:$A$5001,T$3,BD!$B$3:$B$5001,$A$52)))</f>
        <v/>
      </c>
      <c r="U66" s="244" t="str">
        <f>IF(U$3="","",IF(COUNTIFS(BD!$A$3:$A$5001,U$3,BD!$B$3:$B$5001,$A$52,BD!$T$3:$T$5001,"&lt;&gt;")=0,"",SUMIFS(BD!$T$3:$T$5001,BD!$A$3:$A$5001,U$3,BD!$B$3:$B$5001,$A$52)))</f>
        <v/>
      </c>
      <c r="V66" s="244" t="str">
        <f>IF(V$3="","",IF(COUNTIFS(BD!$A$3:$A$5001,V$3,BD!$B$3:$B$5001,$A$52,BD!$T$3:$T$5001,"&lt;&gt;")=0,"",SUMIFS(BD!$T$3:$T$5001,BD!$A$3:$A$5001,V$3,BD!$B$3:$B$5001,$A$52)))</f>
        <v/>
      </c>
      <c r="W66" s="244" t="str">
        <f>IF(W$3="","",IF(COUNTIFS(BD!$A$3:$A$5001,W$3,BD!$B$3:$B$5001,$A$52,BD!$T$3:$T$5001,"&lt;&gt;")=0,"",SUMIFS(BD!$T$3:$T$5001,BD!$A$3:$A$5001,W$3,BD!$B$3:$B$5001,$A$52)))</f>
        <v/>
      </c>
      <c r="X66" s="244" t="str">
        <f>IF(X$3="","",IF(COUNTIFS(BD!$A$3:$A$5001,X$3,BD!$B$3:$B$5001,$A$52,BD!$T$3:$T$5001,"&lt;&gt;")=0,"",SUMIFS(BD!$T$3:$T$5001,BD!$A$3:$A$5001,X$3,BD!$B$3:$B$5001,$A$52)))</f>
        <v/>
      </c>
      <c r="Y66" s="244" t="str">
        <f>IF(Y$3="","",IF(COUNTIFS(BD!$A$3:$A$5001,Y$3,BD!$B$3:$B$5001,$A$52,BD!$T$3:$T$5001,"&lt;&gt;")=0,"",SUMIFS(BD!$T$3:$T$5001,BD!$A$3:$A$5001,Y$3,BD!$B$3:$B$5001,$A$52)))</f>
        <v/>
      </c>
      <c r="Z66" s="244" t="str">
        <f>IF(Z$3="","",IF(COUNTIFS(BD!$A$3:$A$5001,Z$3,BD!$B$3:$B$5001,$A$52,BD!$T$3:$T$5001,"&lt;&gt;")=0,"",SUMIFS(BD!$T$3:$T$5001,BD!$A$3:$A$5001,Z$3,BD!$B$3:$B$5001,$A$52)))</f>
        <v/>
      </c>
      <c r="AA66" s="244" t="str">
        <f>IF(AA$3="","",IF(COUNTIFS(BD!$A$3:$A$5001,AA$3,BD!$B$3:$B$5001,$A$52,BD!$T$3:$T$5001,"&lt;&gt;")=0,"",SUMIFS(BD!$T$3:$T$5001,BD!$A$3:$A$5001,AA$3,BD!$B$3:$B$5001,$A$52)))</f>
        <v/>
      </c>
      <c r="AB66" s="244" t="str">
        <f>IF(AB$3="","",IF(COUNTIFS(BD!$A$3:$A$5001,AB$3,BD!$B$3:$B$5001,$A$52,BD!$T$3:$T$5001,"&lt;&gt;")=0,"",SUMIFS(BD!$T$3:$T$5001,BD!$A$3:$A$5001,AB$3,BD!$B$3:$B$5001,$A$52)))</f>
        <v/>
      </c>
      <c r="AC66" s="244" t="str">
        <f>IF(AC$3="","",IF(COUNTIFS(BD!$A$3:$A$5001,AC$3,BD!$B$3:$B$5001,$A$52,BD!$T$3:$T$5001,"&lt;&gt;")=0,"",SUMIFS(BD!$T$3:$T$5001,BD!$A$3:$A$5001,AC$3,BD!$B$3:$B$5001,$A$52)))</f>
        <v/>
      </c>
      <c r="AD66" s="244" t="str">
        <f>IF(AD$3="","",IF(COUNTIFS(BD!$A$3:$A$5001,AD$3,BD!$B$3:$B$5001,$A$52,BD!$T$3:$T$5001,"&lt;&gt;")=0,"",SUMIFS(BD!$T$3:$T$5001,BD!$A$3:$A$5001,AD$3,BD!$B$3:$B$5001,$A$52)))</f>
        <v/>
      </c>
      <c r="AE66" s="244" t="str">
        <f>IF(AE$3="","",IF(COUNTIFS(BD!$A$3:$A$5001,AE$3,BD!$B$3:$B$5001,$A$52,BD!$T$3:$T$5001,"&lt;&gt;")=0,"",SUMIFS(BD!$T$3:$T$5001,BD!$A$3:$A$5001,AE$3,BD!$B$3:$B$5001,$A$52)))</f>
        <v/>
      </c>
      <c r="AF66" s="244" t="str">
        <f>IF(AF$3="","",IF(COUNTIFS(BD!$A$3:$A$5001,AF$3,BD!$B$3:$B$5001,$A$52,BD!$T$3:$T$5001,"&lt;&gt;")=0,"",SUMIFS(BD!$T$3:$T$5001,BD!$A$3:$A$5001,AF$3,BD!$B$3:$B$5001,$A$52)))</f>
        <v/>
      </c>
      <c r="AG66" s="244" t="str">
        <f>IF(AG$3="","",IF(COUNTIFS(BD!$A$3:$A$5001,AG$3,BD!$B$3:$B$5001,$A$52,BD!$T$3:$T$5001,"&lt;&gt;")=0,"",SUMIFS(BD!$T$3:$T$5001,BD!$A$3:$A$5001,AG$3,BD!$B$3:$B$5001,$A$52)))</f>
        <v/>
      </c>
      <c r="AH66" s="244" t="str">
        <f>IF(AH$3="","",IF(COUNTIFS(BD!$A$3:$A$5001,AH$3,BD!$B$3:$B$5001,$A$52,BD!$T$3:$T$5001,"&lt;&gt;")=0,"",SUMIFS(BD!$T$3:$T$5001,BD!$A$3:$A$5001,AH$3,BD!$B$3:$B$5001,$A$52)))</f>
        <v/>
      </c>
      <c r="AI66" s="244" t="str">
        <f>IF(AI$3="","",IF(COUNTIFS(BD!$A$3:$A$5001,AI$3,BD!$B$3:$B$5001,$A$52,BD!$T$3:$T$5001,"&lt;&gt;")=0,"",SUMIFS(BD!$T$3:$T$5001,BD!$A$3:$A$5001,AI$3,BD!$B$3:$B$5001,$A$52)))</f>
        <v/>
      </c>
      <c r="AJ66" s="245" t="str">
        <f>IF(AJ$3="","",IF(COUNTIFS(BD!$A$3:$A$5001,AJ$3,BD!$B$3:$B$5001,$A$52,BD!$T$3:$T$5001,"&lt;&gt;")=0,"",SUMIFS(BD!$T$3:$T$5001,BD!$A$3:$A$5001,AJ$3,BD!$B$3:$B$5001,$A$52)))</f>
        <v/>
      </c>
      <c r="AK66" s="246" t="str">
        <f>IFERROR(LOOKUP(9.99E+307,F66:AJ66),"")</f>
        <v/>
      </c>
    </row>
    <row r="67" ht="15.75" customHeight="1">
      <c r="A67" s="277"/>
      <c r="B67" s="274"/>
      <c r="C67" s="247" t="inlineStr">
        <is>
          <t xml:space="preserve">Falta</t>
        </is>
      </c>
      <c r="D67" s="248" t="str">
        <f>IFERROR(1/(1/INDEX(BD!$AF$42:$AZ$42,MATCH($A$52,BD!$AF$22:$AZ$22,0))),"")</f>
        <v/>
      </c>
      <c r="E67" s="249"/>
      <c r="F67" s="250" t="str">
        <f>IF(F$3="","",IF(COUNTIFS(BD!$A$3:$A$5001,F$3,BD!$B$3:$B$5001,$A$52,BD!$U$3:$U$5001,"&lt;&gt;")=0,"",SUMIFS(BD!$U$3:$U$5001,BD!$A$3:$A$5001,F$3,BD!$B$3:$B$5001,$A$52)))</f>
        <v/>
      </c>
      <c r="G67" s="251" t="str">
        <f>IF(G$3="","",IF(COUNTIFS(BD!$A$3:$A$5001,G$3,BD!$B$3:$B$5001,$A$52,BD!$U$3:$U$5001,"&lt;&gt;")=0,"",SUMIFS(BD!$U$3:$U$5001,BD!$A$3:$A$5001,G$3,BD!$B$3:$B$5001,$A$52)))</f>
        <v/>
      </c>
      <c r="H67" s="251" t="str">
        <f>IF(H$3="","",IF(COUNTIFS(BD!$A$3:$A$5001,H$3,BD!$B$3:$B$5001,$A$52,BD!$U$3:$U$5001,"&lt;&gt;")=0,"",SUMIFS(BD!$U$3:$U$5001,BD!$A$3:$A$5001,H$3,BD!$B$3:$B$5001,$A$52)))</f>
        <v/>
      </c>
      <c r="I67" s="251" t="str">
        <f>IF(I$3="","",IF(COUNTIFS(BD!$A$3:$A$5001,I$3,BD!$B$3:$B$5001,$A$52,BD!$U$3:$U$5001,"&lt;&gt;")=0,"",SUMIFS(BD!$U$3:$U$5001,BD!$A$3:$A$5001,I$3,BD!$B$3:$B$5001,$A$52)))</f>
        <v/>
      </c>
      <c r="J67" s="251" t="str">
        <f>IF(J$3="","",IF(COUNTIFS(BD!$A$3:$A$5001,J$3,BD!$B$3:$B$5001,$A$52,BD!$U$3:$U$5001,"&lt;&gt;")=0,"",SUMIFS(BD!$U$3:$U$5001,BD!$A$3:$A$5001,J$3,BD!$B$3:$B$5001,$A$52)))</f>
        <v/>
      </c>
      <c r="K67" s="251" t="str">
        <f>IF(K$3="","",IF(COUNTIFS(BD!$A$3:$A$5001,K$3,BD!$B$3:$B$5001,$A$52,BD!$U$3:$U$5001,"&lt;&gt;")=0,"",SUMIFS(BD!$U$3:$U$5001,BD!$A$3:$A$5001,K$3,BD!$B$3:$B$5001,$A$52)))</f>
        <v/>
      </c>
      <c r="L67" s="251" t="str">
        <f>IF(L$3="","",IF(COUNTIFS(BD!$A$3:$A$5001,L$3,BD!$B$3:$B$5001,$A$52,BD!$U$3:$U$5001,"&lt;&gt;")=0,"",SUMIFS(BD!$U$3:$U$5001,BD!$A$3:$A$5001,L$3,BD!$B$3:$B$5001,$A$52)))</f>
        <v/>
      </c>
      <c r="M67" s="251" t="str">
        <f>IF(M$3="","",IF(COUNTIFS(BD!$A$3:$A$5001,M$3,BD!$B$3:$B$5001,$A$52,BD!$U$3:$U$5001,"&lt;&gt;")=0,"",SUMIFS(BD!$U$3:$U$5001,BD!$A$3:$A$5001,M$3,BD!$B$3:$B$5001,$A$52)))</f>
        <v/>
      </c>
      <c r="N67" s="251" t="str">
        <f>IF(N$3="","",IF(COUNTIFS(BD!$A$3:$A$5001,N$3,BD!$B$3:$B$5001,$A$52,BD!$U$3:$U$5001,"&lt;&gt;")=0,"",SUMIFS(BD!$U$3:$U$5001,BD!$A$3:$A$5001,N$3,BD!$B$3:$B$5001,$A$52)))</f>
        <v/>
      </c>
      <c r="O67" s="251" t="str">
        <f>IF(O$3="","",IF(COUNTIFS(BD!$A$3:$A$5001,O$3,BD!$B$3:$B$5001,$A$52,BD!$U$3:$U$5001,"&lt;&gt;")=0,"",SUMIFS(BD!$U$3:$U$5001,BD!$A$3:$A$5001,O$3,BD!$B$3:$B$5001,$A$52)))</f>
        <v/>
      </c>
      <c r="P67" s="251" t="str">
        <f>IF(P$3="","",IF(COUNTIFS(BD!$A$3:$A$5001,P$3,BD!$B$3:$B$5001,$A$52,BD!$U$3:$U$5001,"&lt;&gt;")=0,"",SUMIFS(BD!$U$3:$U$5001,BD!$A$3:$A$5001,P$3,BD!$B$3:$B$5001,$A$52)))</f>
        <v/>
      </c>
      <c r="Q67" s="251" t="str">
        <f>IF(Q$3="","",IF(COUNTIFS(BD!$A$3:$A$5001,Q$3,BD!$B$3:$B$5001,$A$52,BD!$U$3:$U$5001,"&lt;&gt;")=0,"",SUMIFS(BD!$U$3:$U$5001,BD!$A$3:$A$5001,Q$3,BD!$B$3:$B$5001,$A$52)))</f>
        <v/>
      </c>
      <c r="R67" s="251" t="str">
        <f>IF(R$3="","",IF(COUNTIFS(BD!$A$3:$A$5001,R$3,BD!$B$3:$B$5001,$A$52,BD!$U$3:$U$5001,"&lt;&gt;")=0,"",SUMIFS(BD!$U$3:$U$5001,BD!$A$3:$A$5001,R$3,BD!$B$3:$B$5001,$A$52)))</f>
        <v/>
      </c>
      <c r="S67" s="251" t="str">
        <f>IF(S$3="","",IF(COUNTIFS(BD!$A$3:$A$5001,S$3,BD!$B$3:$B$5001,$A$52,BD!$U$3:$U$5001,"&lt;&gt;")=0,"",SUMIFS(BD!$U$3:$U$5001,BD!$A$3:$A$5001,S$3,BD!$B$3:$B$5001,$A$52)))</f>
        <v/>
      </c>
      <c r="T67" s="251" t="str">
        <f>IF(T$3="","",IF(COUNTIFS(BD!$A$3:$A$5001,T$3,BD!$B$3:$B$5001,$A$52,BD!$U$3:$U$5001,"&lt;&gt;")=0,"",SUMIFS(BD!$U$3:$U$5001,BD!$A$3:$A$5001,T$3,BD!$B$3:$B$5001,$A$52)))</f>
        <v/>
      </c>
      <c r="U67" s="251" t="str">
        <f>IF(U$3="","",IF(COUNTIFS(BD!$A$3:$A$5001,U$3,BD!$B$3:$B$5001,$A$52,BD!$U$3:$U$5001,"&lt;&gt;")=0,"",SUMIFS(BD!$U$3:$U$5001,BD!$A$3:$A$5001,U$3,BD!$B$3:$B$5001,$A$52)))</f>
        <v/>
      </c>
      <c r="V67" s="251" t="str">
        <f>IF(V$3="","",IF(COUNTIFS(BD!$A$3:$A$5001,V$3,BD!$B$3:$B$5001,$A$52,BD!$U$3:$U$5001,"&lt;&gt;")=0,"",SUMIFS(BD!$U$3:$U$5001,BD!$A$3:$A$5001,V$3,BD!$B$3:$B$5001,$A$52)))</f>
        <v/>
      </c>
      <c r="W67" s="251" t="str">
        <f>IF(W$3="","",IF(COUNTIFS(BD!$A$3:$A$5001,W$3,BD!$B$3:$B$5001,$A$52,BD!$U$3:$U$5001,"&lt;&gt;")=0,"",SUMIFS(BD!$U$3:$U$5001,BD!$A$3:$A$5001,W$3,BD!$B$3:$B$5001,$A$52)))</f>
        <v/>
      </c>
      <c r="X67" s="251" t="str">
        <f>IF(X$3="","",IF(COUNTIFS(BD!$A$3:$A$5001,X$3,BD!$B$3:$B$5001,$A$52,BD!$U$3:$U$5001,"&lt;&gt;")=0,"",SUMIFS(BD!$U$3:$U$5001,BD!$A$3:$A$5001,X$3,BD!$B$3:$B$5001,$A$52)))</f>
        <v/>
      </c>
      <c r="Y67" s="251" t="str">
        <f>IF(Y$3="","",IF(COUNTIFS(BD!$A$3:$A$5001,Y$3,BD!$B$3:$B$5001,$A$52,BD!$U$3:$U$5001,"&lt;&gt;")=0,"",SUMIFS(BD!$U$3:$U$5001,BD!$A$3:$A$5001,Y$3,BD!$B$3:$B$5001,$A$52)))</f>
        <v/>
      </c>
      <c r="Z67" s="251" t="str">
        <f>IF(Z$3="","",IF(COUNTIFS(BD!$A$3:$A$5001,Z$3,BD!$B$3:$B$5001,$A$52,BD!$U$3:$U$5001,"&lt;&gt;")=0,"",SUMIFS(BD!$U$3:$U$5001,BD!$A$3:$A$5001,Z$3,BD!$B$3:$B$5001,$A$52)))</f>
        <v/>
      </c>
      <c r="AA67" s="251" t="str">
        <f>IF(AA$3="","",IF(COUNTIFS(BD!$A$3:$A$5001,AA$3,BD!$B$3:$B$5001,$A$52,BD!$U$3:$U$5001,"&lt;&gt;")=0,"",SUMIFS(BD!$U$3:$U$5001,BD!$A$3:$A$5001,AA$3,BD!$B$3:$B$5001,$A$52)))</f>
        <v/>
      </c>
      <c r="AB67" s="251" t="str">
        <f>IF(AB$3="","",IF(COUNTIFS(BD!$A$3:$A$5001,AB$3,BD!$B$3:$B$5001,$A$52,BD!$U$3:$U$5001,"&lt;&gt;")=0,"",SUMIFS(BD!$U$3:$U$5001,BD!$A$3:$A$5001,AB$3,BD!$B$3:$B$5001,$A$52)))</f>
        <v/>
      </c>
      <c r="AC67" s="251" t="str">
        <f>IF(AC$3="","",IF(COUNTIFS(BD!$A$3:$A$5001,AC$3,BD!$B$3:$B$5001,$A$52,BD!$U$3:$U$5001,"&lt;&gt;")=0,"",SUMIFS(BD!$U$3:$U$5001,BD!$A$3:$A$5001,AC$3,BD!$B$3:$B$5001,$A$52)))</f>
        <v/>
      </c>
      <c r="AD67" s="251" t="str">
        <f>IF(AD$3="","",IF(COUNTIFS(BD!$A$3:$A$5001,AD$3,BD!$B$3:$B$5001,$A$52,BD!$U$3:$U$5001,"&lt;&gt;")=0,"",SUMIFS(BD!$U$3:$U$5001,BD!$A$3:$A$5001,AD$3,BD!$B$3:$B$5001,$A$52)))</f>
        <v/>
      </c>
      <c r="AE67" s="251" t="str">
        <f>IF(AE$3="","",IF(COUNTIFS(BD!$A$3:$A$5001,AE$3,BD!$B$3:$B$5001,$A$52,BD!$U$3:$U$5001,"&lt;&gt;")=0,"",SUMIFS(BD!$U$3:$U$5001,BD!$A$3:$A$5001,AE$3,BD!$B$3:$B$5001,$A$52)))</f>
        <v/>
      </c>
      <c r="AF67" s="251" t="str">
        <f>IF(AF$3="","",IF(COUNTIFS(BD!$A$3:$A$5001,AF$3,BD!$B$3:$B$5001,$A$52,BD!$U$3:$U$5001,"&lt;&gt;")=0,"",SUMIFS(BD!$U$3:$U$5001,BD!$A$3:$A$5001,AF$3,BD!$B$3:$B$5001,$A$52)))</f>
        <v/>
      </c>
      <c r="AG67" s="251" t="str">
        <f>IF(AG$3="","",IF(COUNTIFS(BD!$A$3:$A$5001,AG$3,BD!$B$3:$B$5001,$A$52,BD!$U$3:$U$5001,"&lt;&gt;")=0,"",SUMIFS(BD!$U$3:$U$5001,BD!$A$3:$A$5001,AG$3,BD!$B$3:$B$5001,$A$52)))</f>
        <v/>
      </c>
      <c r="AH67" s="251" t="str">
        <f>IF(AH$3="","",IF(COUNTIFS(BD!$A$3:$A$5001,AH$3,BD!$B$3:$B$5001,$A$52,BD!$U$3:$U$5001,"&lt;&gt;")=0,"",SUMIFS(BD!$U$3:$U$5001,BD!$A$3:$A$5001,AH$3,BD!$B$3:$B$5001,$A$52)))</f>
        <v/>
      </c>
      <c r="AI67" s="251" t="str">
        <f>IF(AI$3="","",IF(COUNTIFS(BD!$A$3:$A$5001,AI$3,BD!$B$3:$B$5001,$A$52,BD!$U$3:$U$5001,"&lt;&gt;")=0,"",SUMIFS(BD!$U$3:$U$5001,BD!$A$3:$A$5001,AI$3,BD!$B$3:$B$5001,$A$52)))</f>
        <v/>
      </c>
      <c r="AJ67" s="252" t="str">
        <f>IF(AJ$3="","",IF(COUNTIFS(BD!$A$3:$A$5001,AJ$3,BD!$B$3:$B$5001,$A$52,BD!$U$3:$U$5001,"&lt;&gt;")=0,"",SUMIFS(BD!$U$3:$U$5001,BD!$A$3:$A$5001,AJ$3,BD!$B$3:$B$5001,$A$52)))</f>
        <v/>
      </c>
      <c r="AK67" s="253" t="str">
        <f>IF(COUNT(F67:AJ67)=0,"",SUM(F67:AJ67))</f>
        <v/>
      </c>
    </row>
    <row r="68" ht="15.75" customHeight="1">
      <c r="A68" s="277"/>
      <c r="B68" s="274"/>
      <c r="C68" s="247" t="inlineStr">
        <is>
          <t xml:space="preserve">Absenteísmo (H/H)</t>
        </is>
      </c>
      <c r="D68" s="248" t="str">
        <f>IFERROR(1/(1/INDEX(BD!$AF$43:$AZ$43,MATCH($A$52,BD!$AF$22:$AZ$22,0))),"")</f>
        <v/>
      </c>
      <c r="E68" s="249"/>
      <c r="F68" s="254" t="str">
        <f>IF(F$3="","",IF(COUNTIFS(BD!$A$3:$A$5001,F$3,BD!$B$3:$B$5001,$A$52,BD!$V$3:$V$5001,"&lt;&gt;")=0,"",SUMIFS(BD!$V$3:$V$5001,BD!$A$3:$A$5001,F$3,BD!$B$3:$B$5001,$A$52)))</f>
        <v/>
      </c>
      <c r="G68" s="255" t="str">
        <f>IF(G$3="","",IF(COUNTIFS(BD!$A$3:$A$5001,G$3,BD!$B$3:$B$5001,$A$52,BD!$V$3:$V$5001,"&lt;&gt;")=0,"",SUMIFS(BD!$V$3:$V$5001,BD!$A$3:$A$5001,G$3,BD!$B$3:$B$5001,$A$52)))</f>
        <v/>
      </c>
      <c r="H68" s="255" t="str">
        <f>IF(H$3="","",IF(COUNTIFS(BD!$A$3:$A$5001,H$3,BD!$B$3:$B$5001,$A$52,BD!$V$3:$V$5001,"&lt;&gt;")=0,"",SUMIFS(BD!$V$3:$V$5001,BD!$A$3:$A$5001,H$3,BD!$B$3:$B$5001,$A$52)))</f>
        <v/>
      </c>
      <c r="I68" s="255" t="str">
        <f>IF(I$3="","",IF(COUNTIFS(BD!$A$3:$A$5001,I$3,BD!$B$3:$B$5001,$A$52,BD!$V$3:$V$5001,"&lt;&gt;")=0,"",SUMIFS(BD!$V$3:$V$5001,BD!$A$3:$A$5001,I$3,BD!$B$3:$B$5001,$A$52)))</f>
        <v/>
      </c>
      <c r="J68" s="255" t="str">
        <f>IF(J$3="","",IF(COUNTIFS(BD!$A$3:$A$5001,J$3,BD!$B$3:$B$5001,$A$52,BD!$V$3:$V$5001,"&lt;&gt;")=0,"",SUMIFS(BD!$V$3:$V$5001,BD!$A$3:$A$5001,J$3,BD!$B$3:$B$5001,$A$52)))</f>
        <v/>
      </c>
      <c r="K68" s="255" t="str">
        <f>IF(K$3="","",IF(COUNTIFS(BD!$A$3:$A$5001,K$3,BD!$B$3:$B$5001,$A$52,BD!$V$3:$V$5001,"&lt;&gt;")=0,"",SUMIFS(BD!$V$3:$V$5001,BD!$A$3:$A$5001,K$3,BD!$B$3:$B$5001,$A$52)))</f>
        <v/>
      </c>
      <c r="L68" s="255" t="str">
        <f>IF(L$3="","",IF(COUNTIFS(BD!$A$3:$A$5001,L$3,BD!$B$3:$B$5001,$A$52,BD!$V$3:$V$5001,"&lt;&gt;")=0,"",SUMIFS(BD!$V$3:$V$5001,BD!$A$3:$A$5001,L$3,BD!$B$3:$B$5001,$A$52)))</f>
        <v/>
      </c>
      <c r="M68" s="255" t="str">
        <f>IF(M$3="","",IF(COUNTIFS(BD!$A$3:$A$5001,M$3,BD!$B$3:$B$5001,$A$52,BD!$V$3:$V$5001,"&lt;&gt;")=0,"",SUMIFS(BD!$V$3:$V$5001,BD!$A$3:$A$5001,M$3,BD!$B$3:$B$5001,$A$52)))</f>
        <v/>
      </c>
      <c r="N68" s="255" t="str">
        <f>IF(N$3="","",IF(COUNTIFS(BD!$A$3:$A$5001,N$3,BD!$B$3:$B$5001,$A$52,BD!$V$3:$V$5001,"&lt;&gt;")=0,"",SUMIFS(BD!$V$3:$V$5001,BD!$A$3:$A$5001,N$3,BD!$B$3:$B$5001,$A$52)))</f>
        <v/>
      </c>
      <c r="O68" s="255" t="str">
        <f>IF(O$3="","",IF(COUNTIFS(BD!$A$3:$A$5001,O$3,BD!$B$3:$B$5001,$A$52,BD!$V$3:$V$5001,"&lt;&gt;")=0,"",SUMIFS(BD!$V$3:$V$5001,BD!$A$3:$A$5001,O$3,BD!$B$3:$B$5001,$A$52)))</f>
        <v/>
      </c>
      <c r="P68" s="255" t="str">
        <f>IF(P$3="","",IF(COUNTIFS(BD!$A$3:$A$5001,P$3,BD!$B$3:$B$5001,$A$52,BD!$V$3:$V$5001,"&lt;&gt;")=0,"",SUMIFS(BD!$V$3:$V$5001,BD!$A$3:$A$5001,P$3,BD!$B$3:$B$5001,$A$52)))</f>
        <v/>
      </c>
      <c r="Q68" s="255" t="str">
        <f>IF(Q$3="","",IF(COUNTIFS(BD!$A$3:$A$5001,Q$3,BD!$B$3:$B$5001,$A$52,BD!$V$3:$V$5001,"&lt;&gt;")=0,"",SUMIFS(BD!$V$3:$V$5001,BD!$A$3:$A$5001,Q$3,BD!$B$3:$B$5001,$A$52)))</f>
        <v/>
      </c>
      <c r="R68" s="255" t="str">
        <f>IF(R$3="","",IF(COUNTIFS(BD!$A$3:$A$5001,R$3,BD!$B$3:$B$5001,$A$52,BD!$V$3:$V$5001,"&lt;&gt;")=0,"",SUMIFS(BD!$V$3:$V$5001,BD!$A$3:$A$5001,R$3,BD!$B$3:$B$5001,$A$52)))</f>
        <v/>
      </c>
      <c r="S68" s="255" t="str">
        <f>IF(S$3="","",IF(COUNTIFS(BD!$A$3:$A$5001,S$3,BD!$B$3:$B$5001,$A$52,BD!$V$3:$V$5001,"&lt;&gt;")=0,"",SUMIFS(BD!$V$3:$V$5001,BD!$A$3:$A$5001,S$3,BD!$B$3:$B$5001,$A$52)))</f>
        <v/>
      </c>
      <c r="T68" s="255" t="str">
        <f>IF(T$3="","",IF(COUNTIFS(BD!$A$3:$A$5001,T$3,BD!$B$3:$B$5001,$A$52,BD!$V$3:$V$5001,"&lt;&gt;")=0,"",SUMIFS(BD!$V$3:$V$5001,BD!$A$3:$A$5001,T$3,BD!$B$3:$B$5001,$A$52)))</f>
        <v/>
      </c>
      <c r="U68" s="255" t="str">
        <f>IF(U$3="","",IF(COUNTIFS(BD!$A$3:$A$5001,U$3,BD!$B$3:$B$5001,$A$52,BD!$V$3:$V$5001,"&lt;&gt;")=0,"",SUMIFS(BD!$V$3:$V$5001,BD!$A$3:$A$5001,U$3,BD!$B$3:$B$5001,$A$52)))</f>
        <v/>
      </c>
      <c r="V68" s="255" t="str">
        <f>IF(V$3="","",IF(COUNTIFS(BD!$A$3:$A$5001,V$3,BD!$B$3:$B$5001,$A$52,BD!$V$3:$V$5001,"&lt;&gt;")=0,"",SUMIFS(BD!$V$3:$V$5001,BD!$A$3:$A$5001,V$3,BD!$B$3:$B$5001,$A$52)))</f>
        <v/>
      </c>
      <c r="W68" s="255" t="str">
        <f>IF(W$3="","",IF(COUNTIFS(BD!$A$3:$A$5001,W$3,BD!$B$3:$B$5001,$A$52,BD!$V$3:$V$5001,"&lt;&gt;")=0,"",SUMIFS(BD!$V$3:$V$5001,BD!$A$3:$A$5001,W$3,BD!$B$3:$B$5001,$A$52)))</f>
        <v/>
      </c>
      <c r="X68" s="255" t="str">
        <f>IF(X$3="","",IF(COUNTIFS(BD!$A$3:$A$5001,X$3,BD!$B$3:$B$5001,$A$52,BD!$V$3:$V$5001,"&lt;&gt;")=0,"",SUMIFS(BD!$V$3:$V$5001,BD!$A$3:$A$5001,X$3,BD!$B$3:$B$5001,$A$52)))</f>
        <v/>
      </c>
      <c r="Y68" s="255" t="str">
        <f>IF(Y$3="","",IF(COUNTIFS(BD!$A$3:$A$5001,Y$3,BD!$B$3:$B$5001,$A$52,BD!$V$3:$V$5001,"&lt;&gt;")=0,"",SUMIFS(BD!$V$3:$V$5001,BD!$A$3:$A$5001,Y$3,BD!$B$3:$B$5001,$A$52)))</f>
        <v/>
      </c>
      <c r="Z68" s="255" t="str">
        <f>IF(Z$3="","",IF(COUNTIFS(BD!$A$3:$A$5001,Z$3,BD!$B$3:$B$5001,$A$52,BD!$V$3:$V$5001,"&lt;&gt;")=0,"",SUMIFS(BD!$V$3:$V$5001,BD!$A$3:$A$5001,Z$3,BD!$B$3:$B$5001,$A$52)))</f>
        <v/>
      </c>
      <c r="AA68" s="255" t="str">
        <f>IF(AA$3="","",IF(COUNTIFS(BD!$A$3:$A$5001,AA$3,BD!$B$3:$B$5001,$A$52,BD!$V$3:$V$5001,"&lt;&gt;")=0,"",SUMIFS(BD!$V$3:$V$5001,BD!$A$3:$A$5001,AA$3,BD!$B$3:$B$5001,$A$52)))</f>
        <v/>
      </c>
      <c r="AB68" s="255" t="str">
        <f>IF(AB$3="","",IF(COUNTIFS(BD!$A$3:$A$5001,AB$3,BD!$B$3:$B$5001,$A$52,BD!$V$3:$V$5001,"&lt;&gt;")=0,"",SUMIFS(BD!$V$3:$V$5001,BD!$A$3:$A$5001,AB$3,BD!$B$3:$B$5001,$A$52)))</f>
        <v/>
      </c>
      <c r="AC68" s="255" t="str">
        <f>IF(AC$3="","",IF(COUNTIFS(BD!$A$3:$A$5001,AC$3,BD!$B$3:$B$5001,$A$52,BD!$V$3:$V$5001,"&lt;&gt;")=0,"",SUMIFS(BD!$V$3:$V$5001,BD!$A$3:$A$5001,AC$3,BD!$B$3:$B$5001,$A$52)))</f>
        <v/>
      </c>
      <c r="AD68" s="255" t="str">
        <f>IF(AD$3="","",IF(COUNTIFS(BD!$A$3:$A$5001,AD$3,BD!$B$3:$B$5001,$A$52,BD!$V$3:$V$5001,"&lt;&gt;")=0,"",SUMIFS(BD!$V$3:$V$5001,BD!$A$3:$A$5001,AD$3,BD!$B$3:$B$5001,$A$52)))</f>
        <v/>
      </c>
      <c r="AE68" s="255" t="str">
        <f>IF(AE$3="","",IF(COUNTIFS(BD!$A$3:$A$5001,AE$3,BD!$B$3:$B$5001,$A$52,BD!$V$3:$V$5001,"&lt;&gt;")=0,"",SUMIFS(BD!$V$3:$V$5001,BD!$A$3:$A$5001,AE$3,BD!$B$3:$B$5001,$A$52)))</f>
        <v/>
      </c>
      <c r="AF68" s="255" t="str">
        <f>IF(AF$3="","",IF(COUNTIFS(BD!$A$3:$A$5001,AF$3,BD!$B$3:$B$5001,$A$52,BD!$V$3:$V$5001,"&lt;&gt;")=0,"",SUMIFS(BD!$V$3:$V$5001,BD!$A$3:$A$5001,AF$3,BD!$B$3:$B$5001,$A$52)))</f>
        <v/>
      </c>
      <c r="AG68" s="255" t="str">
        <f>IF(AG$3="","",IF(COUNTIFS(BD!$A$3:$A$5001,AG$3,BD!$B$3:$B$5001,$A$52,BD!$V$3:$V$5001,"&lt;&gt;")=0,"",SUMIFS(BD!$V$3:$V$5001,BD!$A$3:$A$5001,AG$3,BD!$B$3:$B$5001,$A$52)))</f>
        <v/>
      </c>
      <c r="AH68" s="255" t="str">
        <f>IF(AH$3="","",IF(COUNTIFS(BD!$A$3:$A$5001,AH$3,BD!$B$3:$B$5001,$A$52,BD!$V$3:$V$5001,"&lt;&gt;")=0,"",SUMIFS(BD!$V$3:$V$5001,BD!$A$3:$A$5001,AH$3,BD!$B$3:$B$5001,$A$52)))</f>
        <v/>
      </c>
      <c r="AI68" s="255" t="str">
        <f>IF(AI$3="","",IF(COUNTIFS(BD!$A$3:$A$5001,AI$3,BD!$B$3:$B$5001,$A$52,BD!$V$3:$V$5001,"&lt;&gt;")=0,"",SUMIFS(BD!$V$3:$V$5001,BD!$A$3:$A$5001,AI$3,BD!$B$3:$B$5001,$A$52)))</f>
        <v/>
      </c>
      <c r="AJ68" s="256" t="str">
        <f>IF(AJ$3="","",IF(COUNTIFS(BD!$A$3:$A$5001,AJ$3,BD!$B$3:$B$5001,$A$52,BD!$V$3:$V$5001,"&lt;&gt;")=0,"",SUMIFS(BD!$V$3:$V$5001,BD!$A$3:$A$5001,AJ$3,BD!$B$3:$B$5001,$A$52)))</f>
        <v/>
      </c>
      <c r="AK68" s="257" t="str">
        <f>IF(COUNT(F68:AJ68)=0,"",SUM(F68:AJ68))</f>
        <v/>
      </c>
    </row>
    <row r="69" ht="15.75" customHeight="1">
      <c r="A69" s="277"/>
      <c r="B69" s="274"/>
      <c r="C69" s="247" t="inlineStr">
        <is>
          <t xml:space="preserve">Folga</t>
        </is>
      </c>
      <c r="D69" s="248" t="str">
        <f>IFERROR(1/(1/INDEX(BD!$AF$44:$AZ$44,MATCH($A$52,BD!$AF$22:$AZ$22,0))),"")</f>
        <v/>
      </c>
      <c r="E69" s="249"/>
      <c r="F69" s="250" t="str">
        <f>IF(F$3="","",IF(COUNTIFS(BD!$A$3:$A$5001,F$3,BD!$B$3:$B$5001,$A$52,BD!$W$3:$W$5001,"&lt;&gt;")=0,"",SUMIFS(BD!$W$3:$W$5001,BD!$A$3:$A$5001,F$3,BD!$B$3:$B$5001,$A$52)))</f>
        <v/>
      </c>
      <c r="G69" s="251" t="str">
        <f>IF(G$3="","",IF(COUNTIFS(BD!$A$3:$A$5001,G$3,BD!$B$3:$B$5001,$A$52,BD!$W$3:$W$5001,"&lt;&gt;")=0,"",SUMIFS(BD!$W$3:$W$5001,BD!$A$3:$A$5001,G$3,BD!$B$3:$B$5001,$A$52)))</f>
        <v/>
      </c>
      <c r="H69" s="251" t="str">
        <f>IF(H$3="","",IF(COUNTIFS(BD!$A$3:$A$5001,H$3,BD!$B$3:$B$5001,$A$52,BD!$W$3:$W$5001,"&lt;&gt;")=0,"",SUMIFS(BD!$W$3:$W$5001,BD!$A$3:$A$5001,H$3,BD!$B$3:$B$5001,$A$52)))</f>
        <v/>
      </c>
      <c r="I69" s="251" t="str">
        <f>IF(I$3="","",IF(COUNTIFS(BD!$A$3:$A$5001,I$3,BD!$B$3:$B$5001,$A$52,BD!$W$3:$W$5001,"&lt;&gt;")=0,"",SUMIFS(BD!$W$3:$W$5001,BD!$A$3:$A$5001,I$3,BD!$B$3:$B$5001,$A$52)))</f>
        <v/>
      </c>
      <c r="J69" s="251" t="str">
        <f>IF(J$3="","",IF(COUNTIFS(BD!$A$3:$A$5001,J$3,BD!$B$3:$B$5001,$A$52,BD!$W$3:$W$5001,"&lt;&gt;")=0,"",SUMIFS(BD!$W$3:$W$5001,BD!$A$3:$A$5001,J$3,BD!$B$3:$B$5001,$A$52)))</f>
        <v/>
      </c>
      <c r="K69" s="251" t="str">
        <f>IF(K$3="","",IF(COUNTIFS(BD!$A$3:$A$5001,K$3,BD!$B$3:$B$5001,$A$52,BD!$W$3:$W$5001,"&lt;&gt;")=0,"",SUMIFS(BD!$W$3:$W$5001,BD!$A$3:$A$5001,K$3,BD!$B$3:$B$5001,$A$52)))</f>
        <v/>
      </c>
      <c r="L69" s="251" t="str">
        <f>IF(L$3="","",IF(COUNTIFS(BD!$A$3:$A$5001,L$3,BD!$B$3:$B$5001,$A$52,BD!$W$3:$W$5001,"&lt;&gt;")=0,"",SUMIFS(BD!$W$3:$W$5001,BD!$A$3:$A$5001,L$3,BD!$B$3:$B$5001,$A$52)))</f>
        <v/>
      </c>
      <c r="M69" s="251" t="str">
        <f>IF(M$3="","",IF(COUNTIFS(BD!$A$3:$A$5001,M$3,BD!$B$3:$B$5001,$A$52,BD!$W$3:$W$5001,"&lt;&gt;")=0,"",SUMIFS(BD!$W$3:$W$5001,BD!$A$3:$A$5001,M$3,BD!$B$3:$B$5001,$A$52)))</f>
        <v/>
      </c>
      <c r="N69" s="251" t="str">
        <f>IF(N$3="","",IF(COUNTIFS(BD!$A$3:$A$5001,N$3,BD!$B$3:$B$5001,$A$52,BD!$W$3:$W$5001,"&lt;&gt;")=0,"",SUMIFS(BD!$W$3:$W$5001,BD!$A$3:$A$5001,N$3,BD!$B$3:$B$5001,$A$52)))</f>
        <v/>
      </c>
      <c r="O69" s="251" t="str">
        <f>IF(O$3="","",IF(COUNTIFS(BD!$A$3:$A$5001,O$3,BD!$B$3:$B$5001,$A$52,BD!$W$3:$W$5001,"&lt;&gt;")=0,"",SUMIFS(BD!$W$3:$W$5001,BD!$A$3:$A$5001,O$3,BD!$B$3:$B$5001,$A$52)))</f>
        <v/>
      </c>
      <c r="P69" s="251" t="str">
        <f>IF(P$3="","",IF(COUNTIFS(BD!$A$3:$A$5001,P$3,BD!$B$3:$B$5001,$A$52,BD!$W$3:$W$5001,"&lt;&gt;")=0,"",SUMIFS(BD!$W$3:$W$5001,BD!$A$3:$A$5001,P$3,BD!$B$3:$B$5001,$A$52)))</f>
        <v/>
      </c>
      <c r="Q69" s="251" t="str">
        <f>IF(Q$3="","",IF(COUNTIFS(BD!$A$3:$A$5001,Q$3,BD!$B$3:$B$5001,$A$52,BD!$W$3:$W$5001,"&lt;&gt;")=0,"",SUMIFS(BD!$W$3:$W$5001,BD!$A$3:$A$5001,Q$3,BD!$B$3:$B$5001,$A$52)))</f>
        <v/>
      </c>
      <c r="R69" s="251" t="str">
        <f>IF(R$3="","",IF(COUNTIFS(BD!$A$3:$A$5001,R$3,BD!$B$3:$B$5001,$A$52,BD!$W$3:$W$5001,"&lt;&gt;")=0,"",SUMIFS(BD!$W$3:$W$5001,BD!$A$3:$A$5001,R$3,BD!$B$3:$B$5001,$A$52)))</f>
        <v/>
      </c>
      <c r="S69" s="251" t="str">
        <f>IF(S$3="","",IF(COUNTIFS(BD!$A$3:$A$5001,S$3,BD!$B$3:$B$5001,$A$52,BD!$W$3:$W$5001,"&lt;&gt;")=0,"",SUMIFS(BD!$W$3:$W$5001,BD!$A$3:$A$5001,S$3,BD!$B$3:$B$5001,$A$52)))</f>
        <v/>
      </c>
      <c r="T69" s="251" t="str">
        <f>IF(T$3="","",IF(COUNTIFS(BD!$A$3:$A$5001,T$3,BD!$B$3:$B$5001,$A$52,BD!$W$3:$W$5001,"&lt;&gt;")=0,"",SUMIFS(BD!$W$3:$W$5001,BD!$A$3:$A$5001,T$3,BD!$B$3:$B$5001,$A$52)))</f>
        <v/>
      </c>
      <c r="U69" s="251" t="str">
        <f>IF(U$3="","",IF(COUNTIFS(BD!$A$3:$A$5001,U$3,BD!$B$3:$B$5001,$A$52,BD!$W$3:$W$5001,"&lt;&gt;")=0,"",SUMIFS(BD!$W$3:$W$5001,BD!$A$3:$A$5001,U$3,BD!$B$3:$B$5001,$A$52)))</f>
        <v/>
      </c>
      <c r="V69" s="251" t="str">
        <f>IF(V$3="","",IF(COUNTIFS(BD!$A$3:$A$5001,V$3,BD!$B$3:$B$5001,$A$52,BD!$W$3:$W$5001,"&lt;&gt;")=0,"",SUMIFS(BD!$W$3:$W$5001,BD!$A$3:$A$5001,V$3,BD!$B$3:$B$5001,$A$52)))</f>
        <v/>
      </c>
      <c r="W69" s="251" t="str">
        <f>IF(W$3="","",IF(COUNTIFS(BD!$A$3:$A$5001,W$3,BD!$B$3:$B$5001,$A$52,BD!$W$3:$W$5001,"&lt;&gt;")=0,"",SUMIFS(BD!$W$3:$W$5001,BD!$A$3:$A$5001,W$3,BD!$B$3:$B$5001,$A$52)))</f>
        <v/>
      </c>
      <c r="X69" s="251" t="str">
        <f>IF(X$3="","",IF(COUNTIFS(BD!$A$3:$A$5001,X$3,BD!$B$3:$B$5001,$A$52,BD!$W$3:$W$5001,"&lt;&gt;")=0,"",SUMIFS(BD!$W$3:$W$5001,BD!$A$3:$A$5001,X$3,BD!$B$3:$B$5001,$A$52)))</f>
        <v/>
      </c>
      <c r="Y69" s="251" t="str">
        <f>IF(Y$3="","",IF(COUNTIFS(BD!$A$3:$A$5001,Y$3,BD!$B$3:$B$5001,$A$52,BD!$W$3:$W$5001,"&lt;&gt;")=0,"",SUMIFS(BD!$W$3:$W$5001,BD!$A$3:$A$5001,Y$3,BD!$B$3:$B$5001,$A$52)))</f>
        <v/>
      </c>
      <c r="Z69" s="251" t="str">
        <f>IF(Z$3="","",IF(COUNTIFS(BD!$A$3:$A$5001,Z$3,BD!$B$3:$B$5001,$A$52,BD!$W$3:$W$5001,"&lt;&gt;")=0,"",SUMIFS(BD!$W$3:$W$5001,BD!$A$3:$A$5001,Z$3,BD!$B$3:$B$5001,$A$52)))</f>
        <v/>
      </c>
      <c r="AA69" s="251" t="str">
        <f>IF(AA$3="","",IF(COUNTIFS(BD!$A$3:$A$5001,AA$3,BD!$B$3:$B$5001,$A$52,BD!$W$3:$W$5001,"&lt;&gt;")=0,"",SUMIFS(BD!$W$3:$W$5001,BD!$A$3:$A$5001,AA$3,BD!$B$3:$B$5001,$A$52)))</f>
        <v/>
      </c>
      <c r="AB69" s="251" t="str">
        <f>IF(AB$3="","",IF(COUNTIFS(BD!$A$3:$A$5001,AB$3,BD!$B$3:$B$5001,$A$52,BD!$W$3:$W$5001,"&lt;&gt;")=0,"",SUMIFS(BD!$W$3:$W$5001,BD!$A$3:$A$5001,AB$3,BD!$B$3:$B$5001,$A$52)))</f>
        <v/>
      </c>
      <c r="AC69" s="251" t="str">
        <f>IF(AC$3="","",IF(COUNTIFS(BD!$A$3:$A$5001,AC$3,BD!$B$3:$B$5001,$A$52,BD!$W$3:$W$5001,"&lt;&gt;")=0,"",SUMIFS(BD!$W$3:$W$5001,BD!$A$3:$A$5001,AC$3,BD!$B$3:$B$5001,$A$52)))</f>
        <v/>
      </c>
      <c r="AD69" s="251" t="str">
        <f>IF(AD$3="","",IF(COUNTIFS(BD!$A$3:$A$5001,AD$3,BD!$B$3:$B$5001,$A$52,BD!$W$3:$W$5001,"&lt;&gt;")=0,"",SUMIFS(BD!$W$3:$W$5001,BD!$A$3:$A$5001,AD$3,BD!$B$3:$B$5001,$A$52)))</f>
        <v/>
      </c>
      <c r="AE69" s="251" t="str">
        <f>IF(AE$3="","",IF(COUNTIFS(BD!$A$3:$A$5001,AE$3,BD!$B$3:$B$5001,$A$52,BD!$W$3:$W$5001,"&lt;&gt;")=0,"",SUMIFS(BD!$W$3:$W$5001,BD!$A$3:$A$5001,AE$3,BD!$B$3:$B$5001,$A$52)))</f>
        <v/>
      </c>
      <c r="AF69" s="251" t="str">
        <f>IF(AF$3="","",IF(COUNTIFS(BD!$A$3:$A$5001,AF$3,BD!$B$3:$B$5001,$A$52,BD!$W$3:$W$5001,"&lt;&gt;")=0,"",SUMIFS(BD!$W$3:$W$5001,BD!$A$3:$A$5001,AF$3,BD!$B$3:$B$5001,$A$52)))</f>
        <v/>
      </c>
      <c r="AG69" s="251" t="str">
        <f>IF(AG$3="","",IF(COUNTIFS(BD!$A$3:$A$5001,AG$3,BD!$B$3:$B$5001,$A$52,BD!$W$3:$W$5001,"&lt;&gt;")=0,"",SUMIFS(BD!$W$3:$W$5001,BD!$A$3:$A$5001,AG$3,BD!$B$3:$B$5001,$A$52)))</f>
        <v/>
      </c>
      <c r="AH69" s="251" t="str">
        <f>IF(AH$3="","",IF(COUNTIFS(BD!$A$3:$A$5001,AH$3,BD!$B$3:$B$5001,$A$52,BD!$W$3:$W$5001,"&lt;&gt;")=0,"",SUMIFS(BD!$W$3:$W$5001,BD!$A$3:$A$5001,AH$3,BD!$B$3:$B$5001,$A$52)))</f>
        <v/>
      </c>
      <c r="AI69" s="251" t="str">
        <f>IF(AI$3="","",IF(COUNTIFS(BD!$A$3:$A$5001,AI$3,BD!$B$3:$B$5001,$A$52,BD!$W$3:$W$5001,"&lt;&gt;")=0,"",SUMIFS(BD!$W$3:$W$5001,BD!$A$3:$A$5001,AI$3,BD!$B$3:$B$5001,$A$52)))</f>
        <v/>
      </c>
      <c r="AJ69" s="252" t="str">
        <f>IF(AJ$3="","",IF(COUNTIFS(BD!$A$3:$A$5001,AJ$3,BD!$B$3:$B$5001,$A$52,BD!$W$3:$W$5001,"&lt;&gt;")=0,"",SUMIFS(BD!$W$3:$W$5001,BD!$A$3:$A$5001,AJ$3,BD!$B$3:$B$5001,$A$52)))</f>
        <v/>
      </c>
      <c r="AK69" s="253" t="str">
        <f>IF(COUNT(F69:AJ69)=0,"",SUM(F69:AJ69))</f>
        <v/>
      </c>
    </row>
    <row r="70" ht="15.75" customHeight="1">
      <c r="A70" s="277"/>
      <c r="B70" s="274"/>
      <c r="C70" s="247" t="inlineStr">
        <is>
          <t xml:space="preserve">Férias</t>
        </is>
      </c>
      <c r="D70" s="248" t="str">
        <f>IFERROR(1/(1/INDEX(BD!$AF$45:$AZ$45,MATCH($A$52,BD!$AF$22:$AZ$22,0))),"")</f>
        <v/>
      </c>
      <c r="E70" s="249"/>
      <c r="F70" s="250" t="str">
        <f>IF(F$3="","",IF(COUNTIFS(BD!$A$3:$A$5001,F$3,BD!$B$3:$B$5001,$A$52,BD!$X$3:$X$5001,"&lt;&gt;")=0,"",SUMIFS(BD!$X$3:$X$5001,BD!$A$3:$A$5001,F$3,BD!$B$3:$B$5001,$A$52)))</f>
        <v/>
      </c>
      <c r="G70" s="251" t="str">
        <f>IF(G$3="","",IF(COUNTIFS(BD!$A$3:$A$5001,G$3,BD!$B$3:$B$5001,$A$52,BD!$X$3:$X$5001,"&lt;&gt;")=0,"",SUMIFS(BD!$X$3:$X$5001,BD!$A$3:$A$5001,G$3,BD!$B$3:$B$5001,$A$52)))</f>
        <v/>
      </c>
      <c r="H70" s="251" t="str">
        <f>IF(H$3="","",IF(COUNTIFS(BD!$A$3:$A$5001,H$3,BD!$B$3:$B$5001,$A$52,BD!$X$3:$X$5001,"&lt;&gt;")=0,"",SUMIFS(BD!$X$3:$X$5001,BD!$A$3:$A$5001,H$3,BD!$B$3:$B$5001,$A$52)))</f>
        <v/>
      </c>
      <c r="I70" s="251" t="str">
        <f>IF(I$3="","",IF(COUNTIFS(BD!$A$3:$A$5001,I$3,BD!$B$3:$B$5001,$A$52,BD!$X$3:$X$5001,"&lt;&gt;")=0,"",SUMIFS(BD!$X$3:$X$5001,BD!$A$3:$A$5001,I$3,BD!$B$3:$B$5001,$A$52)))</f>
        <v/>
      </c>
      <c r="J70" s="251" t="str">
        <f>IF(J$3="","",IF(COUNTIFS(BD!$A$3:$A$5001,J$3,BD!$B$3:$B$5001,$A$52,BD!$X$3:$X$5001,"&lt;&gt;")=0,"",SUMIFS(BD!$X$3:$X$5001,BD!$A$3:$A$5001,J$3,BD!$B$3:$B$5001,$A$52)))</f>
        <v/>
      </c>
      <c r="K70" s="251" t="str">
        <f>IF(K$3="","",IF(COUNTIFS(BD!$A$3:$A$5001,K$3,BD!$B$3:$B$5001,$A$52,BD!$X$3:$X$5001,"&lt;&gt;")=0,"",SUMIFS(BD!$X$3:$X$5001,BD!$A$3:$A$5001,K$3,BD!$B$3:$B$5001,$A$52)))</f>
        <v/>
      </c>
      <c r="L70" s="251" t="str">
        <f>IF(L$3="","",IF(COUNTIFS(BD!$A$3:$A$5001,L$3,BD!$B$3:$B$5001,$A$52,BD!$X$3:$X$5001,"&lt;&gt;")=0,"",SUMIFS(BD!$X$3:$X$5001,BD!$A$3:$A$5001,L$3,BD!$B$3:$B$5001,$A$52)))</f>
        <v/>
      </c>
      <c r="M70" s="251" t="str">
        <f>IF(M$3="","",IF(COUNTIFS(BD!$A$3:$A$5001,M$3,BD!$B$3:$B$5001,$A$52,BD!$X$3:$X$5001,"&lt;&gt;")=0,"",SUMIFS(BD!$X$3:$X$5001,BD!$A$3:$A$5001,M$3,BD!$B$3:$B$5001,$A$52)))</f>
        <v/>
      </c>
      <c r="N70" s="251" t="str">
        <f>IF(N$3="","",IF(COUNTIFS(BD!$A$3:$A$5001,N$3,BD!$B$3:$B$5001,$A$52,BD!$X$3:$X$5001,"&lt;&gt;")=0,"",SUMIFS(BD!$X$3:$X$5001,BD!$A$3:$A$5001,N$3,BD!$B$3:$B$5001,$A$52)))</f>
        <v/>
      </c>
      <c r="O70" s="251" t="str">
        <f>IF(O$3="","",IF(COUNTIFS(BD!$A$3:$A$5001,O$3,BD!$B$3:$B$5001,$A$52,BD!$X$3:$X$5001,"&lt;&gt;")=0,"",SUMIFS(BD!$X$3:$X$5001,BD!$A$3:$A$5001,O$3,BD!$B$3:$B$5001,$A$52)))</f>
        <v/>
      </c>
      <c r="P70" s="251" t="str">
        <f>IF(P$3="","",IF(COUNTIFS(BD!$A$3:$A$5001,P$3,BD!$B$3:$B$5001,$A$52,BD!$X$3:$X$5001,"&lt;&gt;")=0,"",SUMIFS(BD!$X$3:$X$5001,BD!$A$3:$A$5001,P$3,BD!$B$3:$B$5001,$A$52)))</f>
        <v/>
      </c>
      <c r="Q70" s="251" t="str">
        <f>IF(Q$3="","",IF(COUNTIFS(BD!$A$3:$A$5001,Q$3,BD!$B$3:$B$5001,$A$52,BD!$X$3:$X$5001,"&lt;&gt;")=0,"",SUMIFS(BD!$X$3:$X$5001,BD!$A$3:$A$5001,Q$3,BD!$B$3:$B$5001,$A$52)))</f>
        <v/>
      </c>
      <c r="R70" s="251" t="str">
        <f>IF(R$3="","",IF(COUNTIFS(BD!$A$3:$A$5001,R$3,BD!$B$3:$B$5001,$A$52,BD!$X$3:$X$5001,"&lt;&gt;")=0,"",SUMIFS(BD!$X$3:$X$5001,BD!$A$3:$A$5001,R$3,BD!$B$3:$B$5001,$A$52)))</f>
        <v/>
      </c>
      <c r="S70" s="251" t="str">
        <f>IF(S$3="","",IF(COUNTIFS(BD!$A$3:$A$5001,S$3,BD!$B$3:$B$5001,$A$52,BD!$X$3:$X$5001,"&lt;&gt;")=0,"",SUMIFS(BD!$X$3:$X$5001,BD!$A$3:$A$5001,S$3,BD!$B$3:$B$5001,$A$52)))</f>
        <v/>
      </c>
      <c r="T70" s="251" t="str">
        <f>IF(T$3="","",IF(COUNTIFS(BD!$A$3:$A$5001,T$3,BD!$B$3:$B$5001,$A$52,BD!$X$3:$X$5001,"&lt;&gt;")=0,"",SUMIFS(BD!$X$3:$X$5001,BD!$A$3:$A$5001,T$3,BD!$B$3:$B$5001,$A$52)))</f>
        <v/>
      </c>
      <c r="U70" s="251" t="str">
        <f>IF(U$3="","",IF(COUNTIFS(BD!$A$3:$A$5001,U$3,BD!$B$3:$B$5001,$A$52,BD!$X$3:$X$5001,"&lt;&gt;")=0,"",SUMIFS(BD!$X$3:$X$5001,BD!$A$3:$A$5001,U$3,BD!$B$3:$B$5001,$A$52)))</f>
        <v/>
      </c>
      <c r="V70" s="251" t="str">
        <f>IF(V$3="","",IF(COUNTIFS(BD!$A$3:$A$5001,V$3,BD!$B$3:$B$5001,$A$52,BD!$X$3:$X$5001,"&lt;&gt;")=0,"",SUMIFS(BD!$X$3:$X$5001,BD!$A$3:$A$5001,V$3,BD!$B$3:$B$5001,$A$52)))</f>
        <v/>
      </c>
      <c r="W70" s="251" t="str">
        <f>IF(W$3="","",IF(COUNTIFS(BD!$A$3:$A$5001,W$3,BD!$B$3:$B$5001,$A$52,BD!$X$3:$X$5001,"&lt;&gt;")=0,"",SUMIFS(BD!$X$3:$X$5001,BD!$A$3:$A$5001,W$3,BD!$B$3:$B$5001,$A$52)))</f>
        <v/>
      </c>
      <c r="X70" s="251" t="str">
        <f>IF(X$3="","",IF(COUNTIFS(BD!$A$3:$A$5001,X$3,BD!$B$3:$B$5001,$A$52,BD!$X$3:$X$5001,"&lt;&gt;")=0,"",SUMIFS(BD!$X$3:$X$5001,BD!$A$3:$A$5001,X$3,BD!$B$3:$B$5001,$A$52)))</f>
        <v/>
      </c>
      <c r="Y70" s="251" t="str">
        <f>IF(Y$3="","",IF(COUNTIFS(BD!$A$3:$A$5001,Y$3,BD!$B$3:$B$5001,$A$52,BD!$X$3:$X$5001,"&lt;&gt;")=0,"",SUMIFS(BD!$X$3:$X$5001,BD!$A$3:$A$5001,Y$3,BD!$B$3:$B$5001,$A$52)))</f>
        <v/>
      </c>
      <c r="Z70" s="251" t="str">
        <f>IF(Z$3="","",IF(COUNTIFS(BD!$A$3:$A$5001,Z$3,BD!$B$3:$B$5001,$A$52,BD!$X$3:$X$5001,"&lt;&gt;")=0,"",SUMIFS(BD!$X$3:$X$5001,BD!$A$3:$A$5001,Z$3,BD!$B$3:$B$5001,$A$52)))</f>
        <v/>
      </c>
      <c r="AA70" s="251" t="str">
        <f>IF(AA$3="","",IF(COUNTIFS(BD!$A$3:$A$5001,AA$3,BD!$B$3:$B$5001,$A$52,BD!$X$3:$X$5001,"&lt;&gt;")=0,"",SUMIFS(BD!$X$3:$X$5001,BD!$A$3:$A$5001,AA$3,BD!$B$3:$B$5001,$A$52)))</f>
        <v/>
      </c>
      <c r="AB70" s="251" t="str">
        <f>IF(AB$3="","",IF(COUNTIFS(BD!$A$3:$A$5001,AB$3,BD!$B$3:$B$5001,$A$52,BD!$X$3:$X$5001,"&lt;&gt;")=0,"",SUMIFS(BD!$X$3:$X$5001,BD!$A$3:$A$5001,AB$3,BD!$B$3:$B$5001,$A$52)))</f>
        <v/>
      </c>
      <c r="AC70" s="251" t="str">
        <f>IF(AC$3="","",IF(COUNTIFS(BD!$A$3:$A$5001,AC$3,BD!$B$3:$B$5001,$A$52,BD!$X$3:$X$5001,"&lt;&gt;")=0,"",SUMIFS(BD!$X$3:$X$5001,BD!$A$3:$A$5001,AC$3,BD!$B$3:$B$5001,$A$52)))</f>
        <v/>
      </c>
      <c r="AD70" s="251" t="str">
        <f>IF(AD$3="","",IF(COUNTIFS(BD!$A$3:$A$5001,AD$3,BD!$B$3:$B$5001,$A$52,BD!$X$3:$X$5001,"&lt;&gt;")=0,"",SUMIFS(BD!$X$3:$X$5001,BD!$A$3:$A$5001,AD$3,BD!$B$3:$B$5001,$A$52)))</f>
        <v/>
      </c>
      <c r="AE70" s="251" t="str">
        <f>IF(AE$3="","",IF(COUNTIFS(BD!$A$3:$A$5001,AE$3,BD!$B$3:$B$5001,$A$52,BD!$X$3:$X$5001,"&lt;&gt;")=0,"",SUMIFS(BD!$X$3:$X$5001,BD!$A$3:$A$5001,AE$3,BD!$B$3:$B$5001,$A$52)))</f>
        <v/>
      </c>
      <c r="AF70" s="251" t="str">
        <f>IF(AF$3="","",IF(COUNTIFS(BD!$A$3:$A$5001,AF$3,BD!$B$3:$B$5001,$A$52,BD!$X$3:$X$5001,"&lt;&gt;")=0,"",SUMIFS(BD!$X$3:$X$5001,BD!$A$3:$A$5001,AF$3,BD!$B$3:$B$5001,$A$52)))</f>
        <v/>
      </c>
      <c r="AG70" s="251" t="str">
        <f>IF(AG$3="","",IF(COUNTIFS(BD!$A$3:$A$5001,AG$3,BD!$B$3:$B$5001,$A$52,BD!$X$3:$X$5001,"&lt;&gt;")=0,"",SUMIFS(BD!$X$3:$X$5001,BD!$A$3:$A$5001,AG$3,BD!$B$3:$B$5001,$A$52)))</f>
        <v/>
      </c>
      <c r="AH70" s="251" t="str">
        <f>IF(AH$3="","",IF(COUNTIFS(BD!$A$3:$A$5001,AH$3,BD!$B$3:$B$5001,$A$52,BD!$X$3:$X$5001,"&lt;&gt;")=0,"",SUMIFS(BD!$X$3:$X$5001,BD!$A$3:$A$5001,AH$3,BD!$B$3:$B$5001,$A$52)))</f>
        <v/>
      </c>
      <c r="AI70" s="251" t="str">
        <f>IF(AI$3="","",IF(COUNTIFS(BD!$A$3:$A$5001,AI$3,BD!$B$3:$B$5001,$A$52,BD!$X$3:$X$5001,"&lt;&gt;")=0,"",SUMIFS(BD!$X$3:$X$5001,BD!$A$3:$A$5001,AI$3,BD!$B$3:$B$5001,$A$52)))</f>
        <v/>
      </c>
      <c r="AJ70" s="252" t="str">
        <f>IF(AJ$3="","",IF(COUNTIFS(BD!$A$3:$A$5001,AJ$3,BD!$B$3:$B$5001,$A$52,BD!$X$3:$X$5001,"&lt;&gt;")=0,"",SUMIFS(BD!$X$3:$X$5001,BD!$A$3:$A$5001,AJ$3,BD!$B$3:$B$5001,$A$52)))</f>
        <v/>
      </c>
      <c r="AK70" s="253" t="str">
        <f>IF(COUNT(F70:AJ70)=0,"",SUM(F70:AJ70))</f>
        <v/>
      </c>
    </row>
    <row r="71" ht="15.75" customHeight="1">
      <c r="A71" s="277"/>
      <c r="B71" s="274"/>
      <c r="C71" s="247" t="inlineStr">
        <is>
          <t xml:space="preserve">Desligamento</t>
        </is>
      </c>
      <c r="D71" s="248" t="str">
        <f>IFERROR(1/(1/INDEX(BD!$AF$46:$AZ$46,MATCH($A$52,BD!$AF$22:$AZ$22,0))),"")</f>
        <v/>
      </c>
      <c r="E71" s="249"/>
      <c r="F71" s="250" t="str">
        <f>IF(F$3="","",IF(COUNTIFS(BD!$A$3:$A$5001,F$3,BD!$B$3:$B$5001,$A$52,BD!$Y$3:$Y$5001,"&lt;&gt;")=0,"",SUMIFS(BD!$Y$3:$Y$5001,BD!$A$3:$A$5001,F$3,BD!$B$3:$B$5001,$A$52)))</f>
        <v/>
      </c>
      <c r="G71" s="251" t="str">
        <f>IF(G$3="","",IF(COUNTIFS(BD!$A$3:$A$5001,G$3,BD!$B$3:$B$5001,$A$52,BD!$Y$3:$Y$5001,"&lt;&gt;")=0,"",SUMIFS(BD!$Y$3:$Y$5001,BD!$A$3:$A$5001,G$3,BD!$B$3:$B$5001,$A$52)))</f>
        <v/>
      </c>
      <c r="H71" s="251" t="str">
        <f>IF(H$3="","",IF(COUNTIFS(BD!$A$3:$A$5001,H$3,BD!$B$3:$B$5001,$A$52,BD!$Y$3:$Y$5001,"&lt;&gt;")=0,"",SUMIFS(BD!$Y$3:$Y$5001,BD!$A$3:$A$5001,H$3,BD!$B$3:$B$5001,$A$52)))</f>
        <v/>
      </c>
      <c r="I71" s="251" t="str">
        <f>IF(I$3="","",IF(COUNTIFS(BD!$A$3:$A$5001,I$3,BD!$B$3:$B$5001,$A$52,BD!$Y$3:$Y$5001,"&lt;&gt;")=0,"",SUMIFS(BD!$Y$3:$Y$5001,BD!$A$3:$A$5001,I$3,BD!$B$3:$B$5001,$A$52)))</f>
        <v/>
      </c>
      <c r="J71" s="251" t="str">
        <f>IF(J$3="","",IF(COUNTIFS(BD!$A$3:$A$5001,J$3,BD!$B$3:$B$5001,$A$52,BD!$Y$3:$Y$5001,"&lt;&gt;")=0,"",SUMIFS(BD!$Y$3:$Y$5001,BD!$A$3:$A$5001,J$3,BD!$B$3:$B$5001,$A$52)))</f>
        <v/>
      </c>
      <c r="K71" s="251" t="str">
        <f>IF(K$3="","",IF(COUNTIFS(BD!$A$3:$A$5001,K$3,BD!$B$3:$B$5001,$A$52,BD!$Y$3:$Y$5001,"&lt;&gt;")=0,"",SUMIFS(BD!$Y$3:$Y$5001,BD!$A$3:$A$5001,K$3,BD!$B$3:$B$5001,$A$52)))</f>
        <v/>
      </c>
      <c r="L71" s="251" t="str">
        <f>IF(L$3="","",IF(COUNTIFS(BD!$A$3:$A$5001,L$3,BD!$B$3:$B$5001,$A$52,BD!$Y$3:$Y$5001,"&lt;&gt;")=0,"",SUMIFS(BD!$Y$3:$Y$5001,BD!$A$3:$A$5001,L$3,BD!$B$3:$B$5001,$A$52)))</f>
        <v/>
      </c>
      <c r="M71" s="251" t="str">
        <f>IF(M$3="","",IF(COUNTIFS(BD!$A$3:$A$5001,M$3,BD!$B$3:$B$5001,$A$52,BD!$Y$3:$Y$5001,"&lt;&gt;")=0,"",SUMIFS(BD!$Y$3:$Y$5001,BD!$A$3:$A$5001,M$3,BD!$B$3:$B$5001,$A$52)))</f>
        <v/>
      </c>
      <c r="N71" s="251" t="str">
        <f>IF(N$3="","",IF(COUNTIFS(BD!$A$3:$A$5001,N$3,BD!$B$3:$B$5001,$A$52,BD!$Y$3:$Y$5001,"&lt;&gt;")=0,"",SUMIFS(BD!$Y$3:$Y$5001,BD!$A$3:$A$5001,N$3,BD!$B$3:$B$5001,$A$52)))</f>
        <v/>
      </c>
      <c r="O71" s="251" t="str">
        <f>IF(O$3="","",IF(COUNTIFS(BD!$A$3:$A$5001,O$3,BD!$B$3:$B$5001,$A$52,BD!$Y$3:$Y$5001,"&lt;&gt;")=0,"",SUMIFS(BD!$Y$3:$Y$5001,BD!$A$3:$A$5001,O$3,BD!$B$3:$B$5001,$A$52)))</f>
        <v/>
      </c>
      <c r="P71" s="251" t="str">
        <f>IF(P$3="","",IF(COUNTIFS(BD!$A$3:$A$5001,P$3,BD!$B$3:$B$5001,$A$52,BD!$Y$3:$Y$5001,"&lt;&gt;")=0,"",SUMIFS(BD!$Y$3:$Y$5001,BD!$A$3:$A$5001,P$3,BD!$B$3:$B$5001,$A$52)))</f>
        <v/>
      </c>
      <c r="Q71" s="251" t="str">
        <f>IF(Q$3="","",IF(COUNTIFS(BD!$A$3:$A$5001,Q$3,BD!$B$3:$B$5001,$A$52,BD!$Y$3:$Y$5001,"&lt;&gt;")=0,"",SUMIFS(BD!$Y$3:$Y$5001,BD!$A$3:$A$5001,Q$3,BD!$B$3:$B$5001,$A$52)))</f>
        <v/>
      </c>
      <c r="R71" s="251" t="str">
        <f>IF(R$3="","",IF(COUNTIFS(BD!$A$3:$A$5001,R$3,BD!$B$3:$B$5001,$A$52,BD!$Y$3:$Y$5001,"&lt;&gt;")=0,"",SUMIFS(BD!$Y$3:$Y$5001,BD!$A$3:$A$5001,R$3,BD!$B$3:$B$5001,$A$52)))</f>
        <v/>
      </c>
      <c r="S71" s="251" t="str">
        <f>IF(S$3="","",IF(COUNTIFS(BD!$A$3:$A$5001,S$3,BD!$B$3:$B$5001,$A$52,BD!$Y$3:$Y$5001,"&lt;&gt;")=0,"",SUMIFS(BD!$Y$3:$Y$5001,BD!$A$3:$A$5001,S$3,BD!$B$3:$B$5001,$A$52)))</f>
        <v/>
      </c>
      <c r="T71" s="251" t="str">
        <f>IF(T$3="","",IF(COUNTIFS(BD!$A$3:$A$5001,T$3,BD!$B$3:$B$5001,$A$52,BD!$Y$3:$Y$5001,"&lt;&gt;")=0,"",SUMIFS(BD!$Y$3:$Y$5001,BD!$A$3:$A$5001,T$3,BD!$B$3:$B$5001,$A$52)))</f>
        <v/>
      </c>
      <c r="U71" s="251" t="str">
        <f>IF(U$3="","",IF(COUNTIFS(BD!$A$3:$A$5001,U$3,BD!$B$3:$B$5001,$A$52,BD!$Y$3:$Y$5001,"&lt;&gt;")=0,"",SUMIFS(BD!$Y$3:$Y$5001,BD!$A$3:$A$5001,U$3,BD!$B$3:$B$5001,$A$52)))</f>
        <v/>
      </c>
      <c r="V71" s="251" t="str">
        <f>IF(V$3="","",IF(COUNTIFS(BD!$A$3:$A$5001,V$3,BD!$B$3:$B$5001,$A$52,BD!$Y$3:$Y$5001,"&lt;&gt;")=0,"",SUMIFS(BD!$Y$3:$Y$5001,BD!$A$3:$A$5001,V$3,BD!$B$3:$B$5001,$A$52)))</f>
        <v/>
      </c>
      <c r="W71" s="251" t="str">
        <f>IF(W$3="","",IF(COUNTIFS(BD!$A$3:$A$5001,W$3,BD!$B$3:$B$5001,$A$52,BD!$Y$3:$Y$5001,"&lt;&gt;")=0,"",SUMIFS(BD!$Y$3:$Y$5001,BD!$A$3:$A$5001,W$3,BD!$B$3:$B$5001,$A$52)))</f>
        <v/>
      </c>
      <c r="X71" s="251" t="str">
        <f>IF(X$3="","",IF(COUNTIFS(BD!$A$3:$A$5001,X$3,BD!$B$3:$B$5001,$A$52,BD!$Y$3:$Y$5001,"&lt;&gt;")=0,"",SUMIFS(BD!$Y$3:$Y$5001,BD!$A$3:$A$5001,X$3,BD!$B$3:$B$5001,$A$52)))</f>
        <v/>
      </c>
      <c r="Y71" s="251" t="str">
        <f>IF(Y$3="","",IF(COUNTIFS(BD!$A$3:$A$5001,Y$3,BD!$B$3:$B$5001,$A$52,BD!$Y$3:$Y$5001,"&lt;&gt;")=0,"",SUMIFS(BD!$Y$3:$Y$5001,BD!$A$3:$A$5001,Y$3,BD!$B$3:$B$5001,$A$52)))</f>
        <v/>
      </c>
      <c r="Z71" s="251" t="str">
        <f>IF(Z$3="","",IF(COUNTIFS(BD!$A$3:$A$5001,Z$3,BD!$B$3:$B$5001,$A$52,BD!$Y$3:$Y$5001,"&lt;&gt;")=0,"",SUMIFS(BD!$Y$3:$Y$5001,BD!$A$3:$A$5001,Z$3,BD!$B$3:$B$5001,$A$52)))</f>
        <v/>
      </c>
      <c r="AA71" s="251" t="str">
        <f>IF(AA$3="","",IF(COUNTIFS(BD!$A$3:$A$5001,AA$3,BD!$B$3:$B$5001,$A$52,BD!$Y$3:$Y$5001,"&lt;&gt;")=0,"",SUMIFS(BD!$Y$3:$Y$5001,BD!$A$3:$A$5001,AA$3,BD!$B$3:$B$5001,$A$52)))</f>
        <v/>
      </c>
      <c r="AB71" s="251" t="str">
        <f>IF(AB$3="","",IF(COUNTIFS(BD!$A$3:$A$5001,AB$3,BD!$B$3:$B$5001,$A$52,BD!$Y$3:$Y$5001,"&lt;&gt;")=0,"",SUMIFS(BD!$Y$3:$Y$5001,BD!$A$3:$A$5001,AB$3,BD!$B$3:$B$5001,$A$52)))</f>
        <v/>
      </c>
      <c r="AC71" s="251" t="str">
        <f>IF(AC$3="","",IF(COUNTIFS(BD!$A$3:$A$5001,AC$3,BD!$B$3:$B$5001,$A$52,BD!$Y$3:$Y$5001,"&lt;&gt;")=0,"",SUMIFS(BD!$Y$3:$Y$5001,BD!$A$3:$A$5001,AC$3,BD!$B$3:$B$5001,$A$52)))</f>
        <v/>
      </c>
      <c r="AD71" s="251" t="str">
        <f>IF(AD$3="","",IF(COUNTIFS(BD!$A$3:$A$5001,AD$3,BD!$B$3:$B$5001,$A$52,BD!$Y$3:$Y$5001,"&lt;&gt;")=0,"",SUMIFS(BD!$Y$3:$Y$5001,BD!$A$3:$A$5001,AD$3,BD!$B$3:$B$5001,$A$52)))</f>
        <v/>
      </c>
      <c r="AE71" s="251" t="str">
        <f>IF(AE$3="","",IF(COUNTIFS(BD!$A$3:$A$5001,AE$3,BD!$B$3:$B$5001,$A$52,BD!$Y$3:$Y$5001,"&lt;&gt;")=0,"",SUMIFS(BD!$Y$3:$Y$5001,BD!$A$3:$A$5001,AE$3,BD!$B$3:$B$5001,$A$52)))</f>
        <v/>
      </c>
      <c r="AF71" s="251" t="str">
        <f>IF(AF$3="","",IF(COUNTIFS(BD!$A$3:$A$5001,AF$3,BD!$B$3:$B$5001,$A$52,BD!$Y$3:$Y$5001,"&lt;&gt;")=0,"",SUMIFS(BD!$Y$3:$Y$5001,BD!$A$3:$A$5001,AF$3,BD!$B$3:$B$5001,$A$52)))</f>
        <v/>
      </c>
      <c r="AG71" s="251" t="str">
        <f>IF(AG$3="","",IF(COUNTIFS(BD!$A$3:$A$5001,AG$3,BD!$B$3:$B$5001,$A$52,BD!$Y$3:$Y$5001,"&lt;&gt;")=0,"",SUMIFS(BD!$Y$3:$Y$5001,BD!$A$3:$A$5001,AG$3,BD!$B$3:$B$5001,$A$52)))</f>
        <v/>
      </c>
      <c r="AH71" s="251" t="str">
        <f>IF(AH$3="","",IF(COUNTIFS(BD!$A$3:$A$5001,AH$3,BD!$B$3:$B$5001,$A$52,BD!$Y$3:$Y$5001,"&lt;&gt;")=0,"",SUMIFS(BD!$Y$3:$Y$5001,BD!$A$3:$A$5001,AH$3,BD!$B$3:$B$5001,$A$52)))</f>
        <v/>
      </c>
      <c r="AI71" s="251" t="str">
        <f>IF(AI$3="","",IF(COUNTIFS(BD!$A$3:$A$5001,AI$3,BD!$B$3:$B$5001,$A$52,BD!$Y$3:$Y$5001,"&lt;&gt;")=0,"",SUMIFS(BD!$Y$3:$Y$5001,BD!$A$3:$A$5001,AI$3,BD!$B$3:$B$5001,$A$52)))</f>
        <v/>
      </c>
      <c r="AJ71" s="252" t="str">
        <f>IF(AJ$3="","",IF(COUNTIFS(BD!$A$3:$A$5001,AJ$3,BD!$B$3:$B$5001,$A$52,BD!$Y$3:$Y$5001,"&lt;&gt;")=0,"",SUMIFS(BD!$Y$3:$Y$5001,BD!$A$3:$A$5001,AJ$3,BD!$B$3:$B$5001,$A$52)))</f>
        <v/>
      </c>
      <c r="AK71" s="253" t="str">
        <f>IF(COUNT(F71:AJ71)=0,"",SUM(F71:AJ71))</f>
        <v/>
      </c>
    </row>
    <row r="72" ht="15.75" customHeight="1">
      <c r="A72" s="277"/>
      <c r="B72" s="274"/>
      <c r="C72" s="247" t="inlineStr">
        <is>
          <t xml:space="preserve">Desvios Comportamentais</t>
        </is>
      </c>
      <c r="D72" s="248" t="str">
        <f>IFERROR(1/(1/INDEX(BD!$AF$47:$AZ$47,MATCH($A$52,BD!$AF$22:$AZ$22,0))),"")</f>
        <v/>
      </c>
      <c r="E72" s="249"/>
      <c r="F72" s="250" t="str">
        <f>IF(F$3="","",IF(COUNTIFS(BD!$A$3:$A$5001,F$3,BD!$B$3:$B$5001,$A$52,BD!$Z$3:$Z$5001,"&lt;&gt;")=0,"",SUMIFS(BD!$Z$3:$Z$5001,BD!$A$3:$A$5001,F$3,BD!$B$3:$B$5001,$A$52)))</f>
        <v/>
      </c>
      <c r="G72" s="251" t="str">
        <f>IF(G$3="","",IF(COUNTIFS(BD!$A$3:$A$5001,G$3,BD!$B$3:$B$5001,$A$52,BD!$Z$3:$Z$5001,"&lt;&gt;")=0,"",SUMIFS(BD!$Z$3:$Z$5001,BD!$A$3:$A$5001,G$3,BD!$B$3:$B$5001,$A$52)))</f>
        <v/>
      </c>
      <c r="H72" s="251" t="str">
        <f>IF(H$3="","",IF(COUNTIFS(BD!$A$3:$A$5001,H$3,BD!$B$3:$B$5001,$A$52,BD!$Z$3:$Z$5001,"&lt;&gt;")=0,"",SUMIFS(BD!$Z$3:$Z$5001,BD!$A$3:$A$5001,H$3,BD!$B$3:$B$5001,$A$52)))</f>
        <v/>
      </c>
      <c r="I72" s="251" t="str">
        <f>IF(I$3="","",IF(COUNTIFS(BD!$A$3:$A$5001,I$3,BD!$B$3:$B$5001,$A$52,BD!$Z$3:$Z$5001,"&lt;&gt;")=0,"",SUMIFS(BD!$Z$3:$Z$5001,BD!$A$3:$A$5001,I$3,BD!$B$3:$B$5001,$A$52)))</f>
        <v/>
      </c>
      <c r="J72" s="251" t="str">
        <f>IF(J$3="","",IF(COUNTIFS(BD!$A$3:$A$5001,J$3,BD!$B$3:$B$5001,$A$52,BD!$Z$3:$Z$5001,"&lt;&gt;")=0,"",SUMIFS(BD!$Z$3:$Z$5001,BD!$A$3:$A$5001,J$3,BD!$B$3:$B$5001,$A$52)))</f>
        <v/>
      </c>
      <c r="K72" s="251" t="str">
        <f>IF(K$3="","",IF(COUNTIFS(BD!$A$3:$A$5001,K$3,BD!$B$3:$B$5001,$A$52,BD!$Z$3:$Z$5001,"&lt;&gt;")=0,"",SUMIFS(BD!$Z$3:$Z$5001,BD!$A$3:$A$5001,K$3,BD!$B$3:$B$5001,$A$52)))</f>
        <v/>
      </c>
      <c r="L72" s="251" t="str">
        <f>IF(L$3="","",IF(COUNTIFS(BD!$A$3:$A$5001,L$3,BD!$B$3:$B$5001,$A$52,BD!$Z$3:$Z$5001,"&lt;&gt;")=0,"",SUMIFS(BD!$Z$3:$Z$5001,BD!$A$3:$A$5001,L$3,BD!$B$3:$B$5001,$A$52)))</f>
        <v/>
      </c>
      <c r="M72" s="251" t="str">
        <f>IF(M$3="","",IF(COUNTIFS(BD!$A$3:$A$5001,M$3,BD!$B$3:$B$5001,$A$52,BD!$Z$3:$Z$5001,"&lt;&gt;")=0,"",SUMIFS(BD!$Z$3:$Z$5001,BD!$A$3:$A$5001,M$3,BD!$B$3:$B$5001,$A$52)))</f>
        <v/>
      </c>
      <c r="N72" s="251" t="str">
        <f>IF(N$3="","",IF(COUNTIFS(BD!$A$3:$A$5001,N$3,BD!$B$3:$B$5001,$A$52,BD!$Z$3:$Z$5001,"&lt;&gt;")=0,"",SUMIFS(BD!$Z$3:$Z$5001,BD!$A$3:$A$5001,N$3,BD!$B$3:$B$5001,$A$52)))</f>
        <v/>
      </c>
      <c r="O72" s="251" t="str">
        <f>IF(O$3="","",IF(COUNTIFS(BD!$A$3:$A$5001,O$3,BD!$B$3:$B$5001,$A$52,BD!$Z$3:$Z$5001,"&lt;&gt;")=0,"",SUMIFS(BD!$Z$3:$Z$5001,BD!$A$3:$A$5001,O$3,BD!$B$3:$B$5001,$A$52)))</f>
        <v/>
      </c>
      <c r="P72" s="251" t="str">
        <f>IF(P$3="","",IF(COUNTIFS(BD!$A$3:$A$5001,P$3,BD!$B$3:$B$5001,$A$52,BD!$Z$3:$Z$5001,"&lt;&gt;")=0,"",SUMIFS(BD!$Z$3:$Z$5001,BD!$A$3:$A$5001,P$3,BD!$B$3:$B$5001,$A$52)))</f>
        <v/>
      </c>
      <c r="Q72" s="251" t="str">
        <f>IF(Q$3="","",IF(COUNTIFS(BD!$A$3:$A$5001,Q$3,BD!$B$3:$B$5001,$A$52,BD!$Z$3:$Z$5001,"&lt;&gt;")=0,"",SUMIFS(BD!$Z$3:$Z$5001,BD!$A$3:$A$5001,Q$3,BD!$B$3:$B$5001,$A$52)))</f>
        <v/>
      </c>
      <c r="R72" s="251" t="str">
        <f>IF(R$3="","",IF(COUNTIFS(BD!$A$3:$A$5001,R$3,BD!$B$3:$B$5001,$A$52,BD!$Z$3:$Z$5001,"&lt;&gt;")=0,"",SUMIFS(BD!$Z$3:$Z$5001,BD!$A$3:$A$5001,R$3,BD!$B$3:$B$5001,$A$52)))</f>
        <v/>
      </c>
      <c r="S72" s="251" t="str">
        <f>IF(S$3="","",IF(COUNTIFS(BD!$A$3:$A$5001,S$3,BD!$B$3:$B$5001,$A$52,BD!$Z$3:$Z$5001,"&lt;&gt;")=0,"",SUMIFS(BD!$Z$3:$Z$5001,BD!$A$3:$A$5001,S$3,BD!$B$3:$B$5001,$A$52)))</f>
        <v/>
      </c>
      <c r="T72" s="251" t="str">
        <f>IF(T$3="","",IF(COUNTIFS(BD!$A$3:$A$5001,T$3,BD!$B$3:$B$5001,$A$52,BD!$Z$3:$Z$5001,"&lt;&gt;")=0,"",SUMIFS(BD!$Z$3:$Z$5001,BD!$A$3:$A$5001,T$3,BD!$B$3:$B$5001,$A$52)))</f>
        <v/>
      </c>
      <c r="U72" s="251" t="str">
        <f>IF(U$3="","",IF(COUNTIFS(BD!$A$3:$A$5001,U$3,BD!$B$3:$B$5001,$A$52,BD!$Z$3:$Z$5001,"&lt;&gt;")=0,"",SUMIFS(BD!$Z$3:$Z$5001,BD!$A$3:$A$5001,U$3,BD!$B$3:$B$5001,$A$52)))</f>
        <v/>
      </c>
      <c r="V72" s="251" t="str">
        <f>IF(V$3="","",IF(COUNTIFS(BD!$A$3:$A$5001,V$3,BD!$B$3:$B$5001,$A$52,BD!$Z$3:$Z$5001,"&lt;&gt;")=0,"",SUMIFS(BD!$Z$3:$Z$5001,BD!$A$3:$A$5001,V$3,BD!$B$3:$B$5001,$A$52)))</f>
        <v/>
      </c>
      <c r="W72" s="251" t="str">
        <f>IF(W$3="","",IF(COUNTIFS(BD!$A$3:$A$5001,W$3,BD!$B$3:$B$5001,$A$52,BD!$Z$3:$Z$5001,"&lt;&gt;")=0,"",SUMIFS(BD!$Z$3:$Z$5001,BD!$A$3:$A$5001,W$3,BD!$B$3:$B$5001,$A$52)))</f>
        <v/>
      </c>
      <c r="X72" s="251" t="str">
        <f>IF(X$3="","",IF(COUNTIFS(BD!$A$3:$A$5001,X$3,BD!$B$3:$B$5001,$A$52,BD!$Z$3:$Z$5001,"&lt;&gt;")=0,"",SUMIFS(BD!$Z$3:$Z$5001,BD!$A$3:$A$5001,X$3,BD!$B$3:$B$5001,$A$52)))</f>
        <v/>
      </c>
      <c r="Y72" s="251" t="str">
        <f>IF(Y$3="","",IF(COUNTIFS(BD!$A$3:$A$5001,Y$3,BD!$B$3:$B$5001,$A$52,BD!$Z$3:$Z$5001,"&lt;&gt;")=0,"",SUMIFS(BD!$Z$3:$Z$5001,BD!$A$3:$A$5001,Y$3,BD!$B$3:$B$5001,$A$52)))</f>
        <v/>
      </c>
      <c r="Z72" s="251" t="str">
        <f>IF(Z$3="","",IF(COUNTIFS(BD!$A$3:$A$5001,Z$3,BD!$B$3:$B$5001,$A$52,BD!$Z$3:$Z$5001,"&lt;&gt;")=0,"",SUMIFS(BD!$Z$3:$Z$5001,BD!$A$3:$A$5001,Z$3,BD!$B$3:$B$5001,$A$52)))</f>
        <v/>
      </c>
      <c r="AA72" s="251" t="str">
        <f>IF(AA$3="","",IF(COUNTIFS(BD!$A$3:$A$5001,AA$3,BD!$B$3:$B$5001,$A$52,BD!$Z$3:$Z$5001,"&lt;&gt;")=0,"",SUMIFS(BD!$Z$3:$Z$5001,BD!$A$3:$A$5001,AA$3,BD!$B$3:$B$5001,$A$52)))</f>
        <v/>
      </c>
      <c r="AB72" s="251" t="str">
        <f>IF(AB$3="","",IF(COUNTIFS(BD!$A$3:$A$5001,AB$3,BD!$B$3:$B$5001,$A$52,BD!$Z$3:$Z$5001,"&lt;&gt;")=0,"",SUMIFS(BD!$Z$3:$Z$5001,BD!$A$3:$A$5001,AB$3,BD!$B$3:$B$5001,$A$52)))</f>
        <v/>
      </c>
      <c r="AC72" s="251" t="str">
        <f>IF(AC$3="","",IF(COUNTIFS(BD!$A$3:$A$5001,AC$3,BD!$B$3:$B$5001,$A$52,BD!$Z$3:$Z$5001,"&lt;&gt;")=0,"",SUMIFS(BD!$Z$3:$Z$5001,BD!$A$3:$A$5001,AC$3,BD!$B$3:$B$5001,$A$52)))</f>
        <v/>
      </c>
      <c r="AD72" s="251" t="str">
        <f>IF(AD$3="","",IF(COUNTIFS(BD!$A$3:$A$5001,AD$3,BD!$B$3:$B$5001,$A$52,BD!$Z$3:$Z$5001,"&lt;&gt;")=0,"",SUMIFS(BD!$Z$3:$Z$5001,BD!$A$3:$A$5001,AD$3,BD!$B$3:$B$5001,$A$52)))</f>
        <v/>
      </c>
      <c r="AE72" s="251" t="str">
        <f>IF(AE$3="","",IF(COUNTIFS(BD!$A$3:$A$5001,AE$3,BD!$B$3:$B$5001,$A$52,BD!$Z$3:$Z$5001,"&lt;&gt;")=0,"",SUMIFS(BD!$Z$3:$Z$5001,BD!$A$3:$A$5001,AE$3,BD!$B$3:$B$5001,$A$52)))</f>
        <v/>
      </c>
      <c r="AF72" s="251" t="str">
        <f>IF(AF$3="","",IF(COUNTIFS(BD!$A$3:$A$5001,AF$3,BD!$B$3:$B$5001,$A$52,BD!$Z$3:$Z$5001,"&lt;&gt;")=0,"",SUMIFS(BD!$Z$3:$Z$5001,BD!$A$3:$A$5001,AF$3,BD!$B$3:$B$5001,$A$52)))</f>
        <v/>
      </c>
      <c r="AG72" s="251" t="str">
        <f>IF(AG$3="","",IF(COUNTIFS(BD!$A$3:$A$5001,AG$3,BD!$B$3:$B$5001,$A$52,BD!$Z$3:$Z$5001,"&lt;&gt;")=0,"",SUMIFS(BD!$Z$3:$Z$5001,BD!$A$3:$A$5001,AG$3,BD!$B$3:$B$5001,$A$52)))</f>
        <v/>
      </c>
      <c r="AH72" s="251" t="str">
        <f>IF(AH$3="","",IF(COUNTIFS(BD!$A$3:$A$5001,AH$3,BD!$B$3:$B$5001,$A$52,BD!$Z$3:$Z$5001,"&lt;&gt;")=0,"",SUMIFS(BD!$Z$3:$Z$5001,BD!$A$3:$A$5001,AH$3,BD!$B$3:$B$5001,$A$52)))</f>
        <v/>
      </c>
      <c r="AI72" s="251" t="str">
        <f>IF(AI$3="","",IF(COUNTIFS(BD!$A$3:$A$5001,AI$3,BD!$B$3:$B$5001,$A$52,BD!$Z$3:$Z$5001,"&lt;&gt;")=0,"",SUMIFS(BD!$Z$3:$Z$5001,BD!$A$3:$A$5001,AI$3,BD!$B$3:$B$5001,$A$52)))</f>
        <v/>
      </c>
      <c r="AJ72" s="252" t="str">
        <f>IF(AJ$3="","",IF(COUNTIFS(BD!$A$3:$A$5001,AJ$3,BD!$B$3:$B$5001,$A$52,BD!$Z$3:$Z$5001,"&lt;&gt;")=0,"",SUMIFS(BD!$Z$3:$Z$5001,BD!$A$3:$A$5001,AJ$3,BD!$B$3:$B$5001,$A$52)))</f>
        <v/>
      </c>
      <c r="AK72" s="253" t="str">
        <f>IF(COUNT(F72:AJ72)=0,"",SUM(F72:AJ72))</f>
        <v/>
      </c>
    </row>
    <row r="73" ht="15.75" customHeight="1">
      <c r="A73" s="277"/>
      <c r="B73" s="274"/>
      <c r="C73" s="247" t="inlineStr">
        <is>
          <t xml:space="preserve">Acidentes CAF</t>
        </is>
      </c>
      <c r="D73" s="248" t="str">
        <f>IFERROR(1/(1/INDEX(BD!$AF$48:$AZ$48,MATCH($A$52,BD!$AF$22:$AZ$22,0))),"")</f>
        <v/>
      </c>
      <c r="E73" s="249"/>
      <c r="F73" s="250" t="str">
        <f>IF(F$3="","",IF(COUNTIFS(BD!$A$3:$A$5001,F$3,BD!$B$3:$B$5001,$A$52,BD!$AA$3:$AA$5001,"&lt;&gt;")=0,"",SUMIFS(BD!$AA$3:$AA$5001,BD!$A$3:$A$5001,F$3,BD!$B$3:$B$5001,$A$52)))</f>
        <v/>
      </c>
      <c r="G73" s="251" t="str">
        <f>IF(G$3="","",IF(COUNTIFS(BD!$A$3:$A$5001,G$3,BD!$B$3:$B$5001,$A$52,BD!$AA$3:$AA$5001,"&lt;&gt;")=0,"",SUMIFS(BD!$AA$3:$AA$5001,BD!$A$3:$A$5001,G$3,BD!$B$3:$B$5001,$A$52)))</f>
        <v/>
      </c>
      <c r="H73" s="251" t="str">
        <f>IF(H$3="","",IF(COUNTIFS(BD!$A$3:$A$5001,H$3,BD!$B$3:$B$5001,$A$52,BD!$AA$3:$AA$5001,"&lt;&gt;")=0,"",SUMIFS(BD!$AA$3:$AA$5001,BD!$A$3:$A$5001,H$3,BD!$B$3:$B$5001,$A$52)))</f>
        <v/>
      </c>
      <c r="I73" s="251" t="str">
        <f>IF(I$3="","",IF(COUNTIFS(BD!$A$3:$A$5001,I$3,BD!$B$3:$B$5001,$A$52,BD!$AA$3:$AA$5001,"&lt;&gt;")=0,"",SUMIFS(BD!$AA$3:$AA$5001,BD!$A$3:$A$5001,I$3,BD!$B$3:$B$5001,$A$52)))</f>
        <v/>
      </c>
      <c r="J73" s="251" t="str">
        <f>IF(J$3="","",IF(COUNTIFS(BD!$A$3:$A$5001,J$3,BD!$B$3:$B$5001,$A$52,BD!$AA$3:$AA$5001,"&lt;&gt;")=0,"",SUMIFS(BD!$AA$3:$AA$5001,BD!$A$3:$A$5001,J$3,BD!$B$3:$B$5001,$A$52)))</f>
        <v/>
      </c>
      <c r="K73" s="251" t="str">
        <f>IF(K$3="","",IF(COUNTIFS(BD!$A$3:$A$5001,K$3,BD!$B$3:$B$5001,$A$52,BD!$AA$3:$AA$5001,"&lt;&gt;")=0,"",SUMIFS(BD!$AA$3:$AA$5001,BD!$A$3:$A$5001,K$3,BD!$B$3:$B$5001,$A$52)))</f>
        <v/>
      </c>
      <c r="L73" s="251" t="str">
        <f>IF(L$3="","",IF(COUNTIFS(BD!$A$3:$A$5001,L$3,BD!$B$3:$B$5001,$A$52,BD!$AA$3:$AA$5001,"&lt;&gt;")=0,"",SUMIFS(BD!$AA$3:$AA$5001,BD!$A$3:$A$5001,L$3,BD!$B$3:$B$5001,$A$52)))</f>
        <v/>
      </c>
      <c r="M73" s="251" t="str">
        <f>IF(M$3="","",IF(COUNTIFS(BD!$A$3:$A$5001,M$3,BD!$B$3:$B$5001,$A$52,BD!$AA$3:$AA$5001,"&lt;&gt;")=0,"",SUMIFS(BD!$AA$3:$AA$5001,BD!$A$3:$A$5001,M$3,BD!$B$3:$B$5001,$A$52)))</f>
        <v/>
      </c>
      <c r="N73" s="251" t="str">
        <f>IF(N$3="","",IF(COUNTIFS(BD!$A$3:$A$5001,N$3,BD!$B$3:$B$5001,$A$52,BD!$AA$3:$AA$5001,"&lt;&gt;")=0,"",SUMIFS(BD!$AA$3:$AA$5001,BD!$A$3:$A$5001,N$3,BD!$B$3:$B$5001,$A$52)))</f>
        <v/>
      </c>
      <c r="O73" s="251" t="str">
        <f>IF(O$3="","",IF(COUNTIFS(BD!$A$3:$A$5001,O$3,BD!$B$3:$B$5001,$A$52,BD!$AA$3:$AA$5001,"&lt;&gt;")=0,"",SUMIFS(BD!$AA$3:$AA$5001,BD!$A$3:$A$5001,O$3,BD!$B$3:$B$5001,$A$52)))</f>
        <v/>
      </c>
      <c r="P73" s="251" t="str">
        <f>IF(P$3="","",IF(COUNTIFS(BD!$A$3:$A$5001,P$3,BD!$B$3:$B$5001,$A$52,BD!$AA$3:$AA$5001,"&lt;&gt;")=0,"",SUMIFS(BD!$AA$3:$AA$5001,BD!$A$3:$A$5001,P$3,BD!$B$3:$B$5001,$A$52)))</f>
        <v/>
      </c>
      <c r="Q73" s="251" t="str">
        <f>IF(Q$3="","",IF(COUNTIFS(BD!$A$3:$A$5001,Q$3,BD!$B$3:$B$5001,$A$52,BD!$AA$3:$AA$5001,"&lt;&gt;")=0,"",SUMIFS(BD!$AA$3:$AA$5001,BD!$A$3:$A$5001,Q$3,BD!$B$3:$B$5001,$A$52)))</f>
        <v/>
      </c>
      <c r="R73" s="251" t="str">
        <f>IF(R$3="","",IF(COUNTIFS(BD!$A$3:$A$5001,R$3,BD!$B$3:$B$5001,$A$52,BD!$AA$3:$AA$5001,"&lt;&gt;")=0,"",SUMIFS(BD!$AA$3:$AA$5001,BD!$A$3:$A$5001,R$3,BD!$B$3:$B$5001,$A$52)))</f>
        <v/>
      </c>
      <c r="S73" s="251" t="str">
        <f>IF(S$3="","",IF(COUNTIFS(BD!$A$3:$A$5001,S$3,BD!$B$3:$B$5001,$A$52,BD!$AA$3:$AA$5001,"&lt;&gt;")=0,"",SUMIFS(BD!$AA$3:$AA$5001,BD!$A$3:$A$5001,S$3,BD!$B$3:$B$5001,$A$52)))</f>
        <v/>
      </c>
      <c r="T73" s="251" t="str">
        <f>IF(T$3="","",IF(COUNTIFS(BD!$A$3:$A$5001,T$3,BD!$B$3:$B$5001,$A$52,BD!$AA$3:$AA$5001,"&lt;&gt;")=0,"",SUMIFS(BD!$AA$3:$AA$5001,BD!$A$3:$A$5001,T$3,BD!$B$3:$B$5001,$A$52)))</f>
        <v/>
      </c>
      <c r="U73" s="251" t="str">
        <f>IF(U$3="","",IF(COUNTIFS(BD!$A$3:$A$5001,U$3,BD!$B$3:$B$5001,$A$52,BD!$AA$3:$AA$5001,"&lt;&gt;")=0,"",SUMIFS(BD!$AA$3:$AA$5001,BD!$A$3:$A$5001,U$3,BD!$B$3:$B$5001,$A$52)))</f>
        <v/>
      </c>
      <c r="V73" s="251" t="str">
        <f>IF(V$3="","",IF(COUNTIFS(BD!$A$3:$A$5001,V$3,BD!$B$3:$B$5001,$A$52,BD!$AA$3:$AA$5001,"&lt;&gt;")=0,"",SUMIFS(BD!$AA$3:$AA$5001,BD!$A$3:$A$5001,V$3,BD!$B$3:$B$5001,$A$52)))</f>
        <v/>
      </c>
      <c r="W73" s="251" t="str">
        <f>IF(W$3="","",IF(COUNTIFS(BD!$A$3:$A$5001,W$3,BD!$B$3:$B$5001,$A$52,BD!$AA$3:$AA$5001,"&lt;&gt;")=0,"",SUMIFS(BD!$AA$3:$AA$5001,BD!$A$3:$A$5001,W$3,BD!$B$3:$B$5001,$A$52)))</f>
        <v/>
      </c>
      <c r="X73" s="251" t="str">
        <f>IF(X$3="","",IF(COUNTIFS(BD!$A$3:$A$5001,X$3,BD!$B$3:$B$5001,$A$52,BD!$AA$3:$AA$5001,"&lt;&gt;")=0,"",SUMIFS(BD!$AA$3:$AA$5001,BD!$A$3:$A$5001,X$3,BD!$B$3:$B$5001,$A$52)))</f>
        <v/>
      </c>
      <c r="Y73" s="251" t="str">
        <f>IF(Y$3="","",IF(COUNTIFS(BD!$A$3:$A$5001,Y$3,BD!$B$3:$B$5001,$A$52,BD!$AA$3:$AA$5001,"&lt;&gt;")=0,"",SUMIFS(BD!$AA$3:$AA$5001,BD!$A$3:$A$5001,Y$3,BD!$B$3:$B$5001,$A$52)))</f>
        <v/>
      </c>
      <c r="Z73" s="251" t="str">
        <f>IF(Z$3="","",IF(COUNTIFS(BD!$A$3:$A$5001,Z$3,BD!$B$3:$B$5001,$A$52,BD!$AA$3:$AA$5001,"&lt;&gt;")=0,"",SUMIFS(BD!$AA$3:$AA$5001,BD!$A$3:$A$5001,Z$3,BD!$B$3:$B$5001,$A$52)))</f>
        <v/>
      </c>
      <c r="AA73" s="251" t="str">
        <f>IF(AA$3="","",IF(COUNTIFS(BD!$A$3:$A$5001,AA$3,BD!$B$3:$B$5001,$A$52,BD!$AA$3:$AA$5001,"&lt;&gt;")=0,"",SUMIFS(BD!$AA$3:$AA$5001,BD!$A$3:$A$5001,AA$3,BD!$B$3:$B$5001,$A$52)))</f>
        <v/>
      </c>
      <c r="AB73" s="251" t="str">
        <f>IF(AB$3="","",IF(COUNTIFS(BD!$A$3:$A$5001,AB$3,BD!$B$3:$B$5001,$A$52,BD!$AA$3:$AA$5001,"&lt;&gt;")=0,"",SUMIFS(BD!$AA$3:$AA$5001,BD!$A$3:$A$5001,AB$3,BD!$B$3:$B$5001,$A$52)))</f>
        <v/>
      </c>
      <c r="AC73" s="251" t="str">
        <f>IF(AC$3="","",IF(COUNTIFS(BD!$A$3:$A$5001,AC$3,BD!$B$3:$B$5001,$A$52,BD!$AA$3:$AA$5001,"&lt;&gt;")=0,"",SUMIFS(BD!$AA$3:$AA$5001,BD!$A$3:$A$5001,AC$3,BD!$B$3:$B$5001,$A$52)))</f>
        <v/>
      </c>
      <c r="AD73" s="251" t="str">
        <f>IF(AD$3="","",IF(COUNTIFS(BD!$A$3:$A$5001,AD$3,BD!$B$3:$B$5001,$A$52,BD!$AA$3:$AA$5001,"&lt;&gt;")=0,"",SUMIFS(BD!$AA$3:$AA$5001,BD!$A$3:$A$5001,AD$3,BD!$B$3:$B$5001,$A$52)))</f>
        <v/>
      </c>
      <c r="AE73" s="251" t="str">
        <f>IF(AE$3="","",IF(COUNTIFS(BD!$A$3:$A$5001,AE$3,BD!$B$3:$B$5001,$A$52,BD!$AA$3:$AA$5001,"&lt;&gt;")=0,"",SUMIFS(BD!$AA$3:$AA$5001,BD!$A$3:$A$5001,AE$3,BD!$B$3:$B$5001,$A$52)))</f>
        <v/>
      </c>
      <c r="AF73" s="251" t="str">
        <f>IF(AF$3="","",IF(COUNTIFS(BD!$A$3:$A$5001,AF$3,BD!$B$3:$B$5001,$A$52,BD!$AA$3:$AA$5001,"&lt;&gt;")=0,"",SUMIFS(BD!$AA$3:$AA$5001,BD!$A$3:$A$5001,AF$3,BD!$B$3:$B$5001,$A$52)))</f>
        <v/>
      </c>
      <c r="AG73" s="251" t="str">
        <f>IF(AG$3="","",IF(COUNTIFS(BD!$A$3:$A$5001,AG$3,BD!$B$3:$B$5001,$A$52,BD!$AA$3:$AA$5001,"&lt;&gt;")=0,"",SUMIFS(BD!$AA$3:$AA$5001,BD!$A$3:$A$5001,AG$3,BD!$B$3:$B$5001,$A$52)))</f>
        <v/>
      </c>
      <c r="AH73" s="251" t="str">
        <f>IF(AH$3="","",IF(COUNTIFS(BD!$A$3:$A$5001,AH$3,BD!$B$3:$B$5001,$A$52,BD!$AA$3:$AA$5001,"&lt;&gt;")=0,"",SUMIFS(BD!$AA$3:$AA$5001,BD!$A$3:$A$5001,AH$3,BD!$B$3:$B$5001,$A$52)))</f>
        <v/>
      </c>
      <c r="AI73" s="251" t="str">
        <f>IF(AI$3="","",IF(COUNTIFS(BD!$A$3:$A$5001,AI$3,BD!$B$3:$B$5001,$A$52,BD!$AA$3:$AA$5001,"&lt;&gt;")=0,"",SUMIFS(BD!$AA$3:$AA$5001,BD!$A$3:$A$5001,AI$3,BD!$B$3:$B$5001,$A$52)))</f>
        <v/>
      </c>
      <c r="AJ73" s="252" t="str">
        <f>IF(AJ$3="","",IF(COUNTIFS(BD!$A$3:$A$5001,AJ$3,BD!$B$3:$B$5001,$A$52,BD!$AA$3:$AA$5001,"&lt;&gt;")=0,"",SUMIFS(BD!$AA$3:$AA$5001,BD!$A$3:$A$5001,AJ$3,BD!$B$3:$B$5001,$A$52)))</f>
        <v/>
      </c>
      <c r="AK73" s="253" t="str">
        <f>IF(COUNT(F73:AJ73)=0,"",SUM(F73:AJ73))</f>
        <v/>
      </c>
    </row>
    <row r="74" ht="15.75" customHeight="1">
      <c r="A74" s="278"/>
      <c r="B74" s="275"/>
      <c r="C74" s="258" t="inlineStr">
        <is>
          <t xml:space="preserve">Acidentes SAF</t>
        </is>
      </c>
      <c r="D74" s="259" t="str">
        <f>IFERROR(1/(1/INDEX(BD!$AF$49:$AZ$49,MATCH($A$52,BD!$AF$22:$AZ$22,0))),"")</f>
        <v/>
      </c>
      <c r="E74" s="260"/>
      <c r="F74" s="261" t="str">
        <f>IF(F$3="","",IF(COUNTIFS(BD!$A$3:$A$5001,F$3,BD!$B$3:$B$5001,$A$52,BD!$AB$3:$AB$5001,"&lt;&gt;")=0,"",SUMIFS(BD!$AB$3:$AB$5001,BD!$A$3:$A$5001,F$3,BD!$B$3:$B$5001,$A$52)))</f>
        <v/>
      </c>
      <c r="G74" s="262" t="str">
        <f>IF(G$3="","",IF(COUNTIFS(BD!$A$3:$A$5001,G$3,BD!$B$3:$B$5001,$A$52,BD!$AB$3:$AB$5001,"&lt;&gt;")=0,"",SUMIFS(BD!$AB$3:$AB$5001,BD!$A$3:$A$5001,G$3,BD!$B$3:$B$5001,$A$52)))</f>
        <v/>
      </c>
      <c r="H74" s="262" t="str">
        <f>IF(H$3="","",IF(COUNTIFS(BD!$A$3:$A$5001,H$3,BD!$B$3:$B$5001,$A$52,BD!$AB$3:$AB$5001,"&lt;&gt;")=0,"",SUMIFS(BD!$AB$3:$AB$5001,BD!$A$3:$A$5001,H$3,BD!$B$3:$B$5001,$A$52)))</f>
        <v/>
      </c>
      <c r="I74" s="262" t="str">
        <f>IF(I$3="","",IF(COUNTIFS(BD!$A$3:$A$5001,I$3,BD!$B$3:$B$5001,$A$52,BD!$AB$3:$AB$5001,"&lt;&gt;")=0,"",SUMIFS(BD!$AB$3:$AB$5001,BD!$A$3:$A$5001,I$3,BD!$B$3:$B$5001,$A$52)))</f>
        <v/>
      </c>
      <c r="J74" s="262" t="str">
        <f>IF(J$3="","",IF(COUNTIFS(BD!$A$3:$A$5001,J$3,BD!$B$3:$B$5001,$A$52,BD!$AB$3:$AB$5001,"&lt;&gt;")=0,"",SUMIFS(BD!$AB$3:$AB$5001,BD!$A$3:$A$5001,J$3,BD!$B$3:$B$5001,$A$52)))</f>
        <v/>
      </c>
      <c r="K74" s="262" t="str">
        <f>IF(K$3="","",IF(COUNTIFS(BD!$A$3:$A$5001,K$3,BD!$B$3:$B$5001,$A$52,BD!$AB$3:$AB$5001,"&lt;&gt;")=0,"",SUMIFS(BD!$AB$3:$AB$5001,BD!$A$3:$A$5001,K$3,BD!$B$3:$B$5001,$A$52)))</f>
        <v/>
      </c>
      <c r="L74" s="262" t="str">
        <f>IF(L$3="","",IF(COUNTIFS(BD!$A$3:$A$5001,L$3,BD!$B$3:$B$5001,$A$52,BD!$AB$3:$AB$5001,"&lt;&gt;")=0,"",SUMIFS(BD!$AB$3:$AB$5001,BD!$A$3:$A$5001,L$3,BD!$B$3:$B$5001,$A$52)))</f>
        <v/>
      </c>
      <c r="M74" s="262" t="str">
        <f>IF(M$3="","",IF(COUNTIFS(BD!$A$3:$A$5001,M$3,BD!$B$3:$B$5001,$A$52,BD!$AB$3:$AB$5001,"&lt;&gt;")=0,"",SUMIFS(BD!$AB$3:$AB$5001,BD!$A$3:$A$5001,M$3,BD!$B$3:$B$5001,$A$52)))</f>
        <v/>
      </c>
      <c r="N74" s="262" t="str">
        <f>IF(N$3="","",IF(COUNTIFS(BD!$A$3:$A$5001,N$3,BD!$B$3:$B$5001,$A$52,BD!$AB$3:$AB$5001,"&lt;&gt;")=0,"",SUMIFS(BD!$AB$3:$AB$5001,BD!$A$3:$A$5001,N$3,BD!$B$3:$B$5001,$A$52)))</f>
        <v/>
      </c>
      <c r="O74" s="262" t="str">
        <f>IF(O$3="","",IF(COUNTIFS(BD!$A$3:$A$5001,O$3,BD!$B$3:$B$5001,$A$52,BD!$AB$3:$AB$5001,"&lt;&gt;")=0,"",SUMIFS(BD!$AB$3:$AB$5001,BD!$A$3:$A$5001,O$3,BD!$B$3:$B$5001,$A$52)))</f>
        <v/>
      </c>
      <c r="P74" s="262" t="str">
        <f>IF(P$3="","",IF(COUNTIFS(BD!$A$3:$A$5001,P$3,BD!$B$3:$B$5001,$A$52,BD!$AB$3:$AB$5001,"&lt;&gt;")=0,"",SUMIFS(BD!$AB$3:$AB$5001,BD!$A$3:$A$5001,P$3,BD!$B$3:$B$5001,$A$52)))</f>
        <v/>
      </c>
      <c r="Q74" s="262" t="str">
        <f>IF(Q$3="","",IF(COUNTIFS(BD!$A$3:$A$5001,Q$3,BD!$B$3:$B$5001,$A$52,BD!$AB$3:$AB$5001,"&lt;&gt;")=0,"",SUMIFS(BD!$AB$3:$AB$5001,BD!$A$3:$A$5001,Q$3,BD!$B$3:$B$5001,$A$52)))</f>
        <v/>
      </c>
      <c r="R74" s="262" t="str">
        <f>IF(R$3="","",IF(COUNTIFS(BD!$A$3:$A$5001,R$3,BD!$B$3:$B$5001,$A$52,BD!$AB$3:$AB$5001,"&lt;&gt;")=0,"",SUMIFS(BD!$AB$3:$AB$5001,BD!$A$3:$A$5001,R$3,BD!$B$3:$B$5001,$A$52)))</f>
        <v/>
      </c>
      <c r="S74" s="262" t="str">
        <f>IF(S$3="","",IF(COUNTIFS(BD!$A$3:$A$5001,S$3,BD!$B$3:$B$5001,$A$52,BD!$AB$3:$AB$5001,"&lt;&gt;")=0,"",SUMIFS(BD!$AB$3:$AB$5001,BD!$A$3:$A$5001,S$3,BD!$B$3:$B$5001,$A$52)))</f>
        <v/>
      </c>
      <c r="T74" s="262" t="str">
        <f>IF(T$3="","",IF(COUNTIFS(BD!$A$3:$A$5001,T$3,BD!$B$3:$B$5001,$A$52,BD!$AB$3:$AB$5001,"&lt;&gt;")=0,"",SUMIFS(BD!$AB$3:$AB$5001,BD!$A$3:$A$5001,T$3,BD!$B$3:$B$5001,$A$52)))</f>
        <v/>
      </c>
      <c r="U74" s="262" t="str">
        <f>IF(U$3="","",IF(COUNTIFS(BD!$A$3:$A$5001,U$3,BD!$B$3:$B$5001,$A$52,BD!$AB$3:$AB$5001,"&lt;&gt;")=0,"",SUMIFS(BD!$AB$3:$AB$5001,BD!$A$3:$A$5001,U$3,BD!$B$3:$B$5001,$A$52)))</f>
        <v/>
      </c>
      <c r="V74" s="262" t="str">
        <f>IF(V$3="","",IF(COUNTIFS(BD!$A$3:$A$5001,V$3,BD!$B$3:$B$5001,$A$52,BD!$AB$3:$AB$5001,"&lt;&gt;")=0,"",SUMIFS(BD!$AB$3:$AB$5001,BD!$A$3:$A$5001,V$3,BD!$B$3:$B$5001,$A$52)))</f>
        <v/>
      </c>
      <c r="W74" s="262" t="str">
        <f>IF(W$3="","",IF(COUNTIFS(BD!$A$3:$A$5001,W$3,BD!$B$3:$B$5001,$A$52,BD!$AB$3:$AB$5001,"&lt;&gt;")=0,"",SUMIFS(BD!$AB$3:$AB$5001,BD!$A$3:$A$5001,W$3,BD!$B$3:$B$5001,$A$52)))</f>
        <v/>
      </c>
      <c r="X74" s="262" t="str">
        <f>IF(X$3="","",IF(COUNTIFS(BD!$A$3:$A$5001,X$3,BD!$B$3:$B$5001,$A$52,BD!$AB$3:$AB$5001,"&lt;&gt;")=0,"",SUMIFS(BD!$AB$3:$AB$5001,BD!$A$3:$A$5001,X$3,BD!$B$3:$B$5001,$A$52)))</f>
        <v/>
      </c>
      <c r="Y74" s="262" t="str">
        <f>IF(Y$3="","",IF(COUNTIFS(BD!$A$3:$A$5001,Y$3,BD!$B$3:$B$5001,$A$52,BD!$AB$3:$AB$5001,"&lt;&gt;")=0,"",SUMIFS(BD!$AB$3:$AB$5001,BD!$A$3:$A$5001,Y$3,BD!$B$3:$B$5001,$A$52)))</f>
        <v/>
      </c>
      <c r="Z74" s="262" t="str">
        <f>IF(Z$3="","",IF(COUNTIFS(BD!$A$3:$A$5001,Z$3,BD!$B$3:$B$5001,$A$52,BD!$AB$3:$AB$5001,"&lt;&gt;")=0,"",SUMIFS(BD!$AB$3:$AB$5001,BD!$A$3:$A$5001,Z$3,BD!$B$3:$B$5001,$A$52)))</f>
        <v/>
      </c>
      <c r="AA74" s="262" t="str">
        <f>IF(AA$3="","",IF(COUNTIFS(BD!$A$3:$A$5001,AA$3,BD!$B$3:$B$5001,$A$52,BD!$AB$3:$AB$5001,"&lt;&gt;")=0,"",SUMIFS(BD!$AB$3:$AB$5001,BD!$A$3:$A$5001,AA$3,BD!$B$3:$B$5001,$A$52)))</f>
        <v/>
      </c>
      <c r="AB74" s="262" t="str">
        <f>IF(AB$3="","",IF(COUNTIFS(BD!$A$3:$A$5001,AB$3,BD!$B$3:$B$5001,$A$52,BD!$AB$3:$AB$5001,"&lt;&gt;")=0,"",SUMIFS(BD!$AB$3:$AB$5001,BD!$A$3:$A$5001,AB$3,BD!$B$3:$B$5001,$A$52)))</f>
        <v/>
      </c>
      <c r="AC74" s="262" t="str">
        <f>IF(AC$3="","",IF(COUNTIFS(BD!$A$3:$A$5001,AC$3,BD!$B$3:$B$5001,$A$52,BD!$AB$3:$AB$5001,"&lt;&gt;")=0,"",SUMIFS(BD!$AB$3:$AB$5001,BD!$A$3:$A$5001,AC$3,BD!$B$3:$B$5001,$A$52)))</f>
        <v/>
      </c>
      <c r="AD74" s="262" t="str">
        <f>IF(AD$3="","",IF(COUNTIFS(BD!$A$3:$A$5001,AD$3,BD!$B$3:$B$5001,$A$52,BD!$AB$3:$AB$5001,"&lt;&gt;")=0,"",SUMIFS(BD!$AB$3:$AB$5001,BD!$A$3:$A$5001,AD$3,BD!$B$3:$B$5001,$A$52)))</f>
        <v/>
      </c>
      <c r="AE74" s="262" t="str">
        <f>IF(AE$3="","",IF(COUNTIFS(BD!$A$3:$A$5001,AE$3,BD!$B$3:$B$5001,$A$52,BD!$AB$3:$AB$5001,"&lt;&gt;")=0,"",SUMIFS(BD!$AB$3:$AB$5001,BD!$A$3:$A$5001,AE$3,BD!$B$3:$B$5001,$A$52)))</f>
        <v/>
      </c>
      <c r="AF74" s="262" t="str">
        <f>IF(AF$3="","",IF(COUNTIFS(BD!$A$3:$A$5001,AF$3,BD!$B$3:$B$5001,$A$52,BD!$AB$3:$AB$5001,"&lt;&gt;")=0,"",SUMIFS(BD!$AB$3:$AB$5001,BD!$A$3:$A$5001,AF$3,BD!$B$3:$B$5001,$A$52)))</f>
        <v/>
      </c>
      <c r="AG74" s="262" t="str">
        <f>IF(AG$3="","",IF(COUNTIFS(BD!$A$3:$A$5001,AG$3,BD!$B$3:$B$5001,$A$52,BD!$AB$3:$AB$5001,"&lt;&gt;")=0,"",SUMIFS(BD!$AB$3:$AB$5001,BD!$A$3:$A$5001,AG$3,BD!$B$3:$B$5001,$A$52)))</f>
        <v/>
      </c>
      <c r="AH74" s="262" t="str">
        <f>IF(AH$3="","",IF(COUNTIFS(BD!$A$3:$A$5001,AH$3,BD!$B$3:$B$5001,$A$52,BD!$AB$3:$AB$5001,"&lt;&gt;")=0,"",SUMIFS(BD!$AB$3:$AB$5001,BD!$A$3:$A$5001,AH$3,BD!$B$3:$B$5001,$A$52)))</f>
        <v/>
      </c>
      <c r="AI74" s="262" t="str">
        <f>IF(AI$3="","",IF(COUNTIFS(BD!$A$3:$A$5001,AI$3,BD!$B$3:$B$5001,$A$52,BD!$AB$3:$AB$5001,"&lt;&gt;")=0,"",SUMIFS(BD!$AB$3:$AB$5001,BD!$A$3:$A$5001,AI$3,BD!$B$3:$B$5001,$A$52)))</f>
        <v/>
      </c>
      <c r="AJ74" s="263" t="str">
        <f>IF(AJ$3="","",IF(COUNTIFS(BD!$A$3:$A$5001,AJ$3,BD!$B$3:$B$5001,$A$52,BD!$AB$3:$AB$5001,"&lt;&gt;")=0,"",SUMIFS(BD!$AB$3:$AB$5001,BD!$A$3:$A$5001,AJ$3,BD!$B$3:$B$5001,$A$52)))</f>
        <v/>
      </c>
      <c r="AK74" s="259" t="str">
        <f>IF(COUNT(F74:AJ74)=0,"",SUM(F74:AJ74))</f>
        <v/>
      </c>
    </row>
    <row r="76" ht="15.75" customHeight="1">
      <c r="A76" s="276" t="inlineStr">
        <is>
          <t xml:space="preserve">Nestlé</t>
        </is>
      </c>
      <c r="B76" s="264" t="inlineStr">
        <is>
          <t xml:space="preserve">IN</t>
        </is>
      </c>
      <c r="C76" s="168" t="inlineStr">
        <is>
          <t xml:space="preserve">Veículos Recebidos</t>
        </is>
      </c>
      <c r="D76" s="169" t="str">
        <f>IFERROR(1/(1/INDEX(BD!$AF$23:$AZ$23,MATCH($A$76,BD!$AF$22:$AZ$22,0))),"")</f>
        <v/>
      </c>
      <c r="E76" s="170"/>
      <c r="F76" s="171" t="str">
        <f>IF(F$3="","",IF(COUNTIFS(BD!$A$3:$A$5001,F$3,BD!$B$3:$B$5001,$A$76,BD!$C$3:$C$5001,"&lt;&gt;")=0,"",SUMIFS(BD!$C$3:$C$5001,BD!$A$3:$A$5001,F$3,BD!$B$3:$B$5001,$A$76)))</f>
        <v/>
      </c>
      <c r="G76" s="172" t="str">
        <f>IF(G$3="","",IF(COUNTIFS(BD!$A$3:$A$5001,G$3,BD!$B$3:$B$5001,$A$76,BD!$C$3:$C$5001,"&lt;&gt;")=0,"",SUMIFS(BD!$C$3:$C$5001,BD!$A$3:$A$5001,G$3,BD!$B$3:$B$5001,$A$76)))</f>
        <v/>
      </c>
      <c r="H76" s="172" t="str">
        <f>IF(H$3="","",IF(COUNTIFS(BD!$A$3:$A$5001,H$3,BD!$B$3:$B$5001,$A$76,BD!$C$3:$C$5001,"&lt;&gt;")=0,"",SUMIFS(BD!$C$3:$C$5001,BD!$A$3:$A$5001,H$3,BD!$B$3:$B$5001,$A$76)))</f>
        <v/>
      </c>
      <c r="I76" s="172" t="str">
        <f>IF(I$3="","",IF(COUNTIFS(BD!$A$3:$A$5001,I$3,BD!$B$3:$B$5001,$A$76,BD!$C$3:$C$5001,"&lt;&gt;")=0,"",SUMIFS(BD!$C$3:$C$5001,BD!$A$3:$A$5001,I$3,BD!$B$3:$B$5001,$A$76)))</f>
        <v/>
      </c>
      <c r="J76" s="172" t="str">
        <f>IF(J$3="","",IF(COUNTIFS(BD!$A$3:$A$5001,J$3,BD!$B$3:$B$5001,$A$76,BD!$C$3:$C$5001,"&lt;&gt;")=0,"",SUMIFS(BD!$C$3:$C$5001,BD!$A$3:$A$5001,J$3,BD!$B$3:$B$5001,$A$76)))</f>
        <v/>
      </c>
      <c r="K76" s="172" t="str">
        <f>IF(K$3="","",IF(COUNTIFS(BD!$A$3:$A$5001,K$3,BD!$B$3:$B$5001,$A$76,BD!$C$3:$C$5001,"&lt;&gt;")=0,"",SUMIFS(BD!$C$3:$C$5001,BD!$A$3:$A$5001,K$3,BD!$B$3:$B$5001,$A$76)))</f>
        <v/>
      </c>
      <c r="L76" s="172" t="str">
        <f>IF(L$3="","",IF(COUNTIFS(BD!$A$3:$A$5001,L$3,BD!$B$3:$B$5001,$A$76,BD!$C$3:$C$5001,"&lt;&gt;")=0,"",SUMIFS(BD!$C$3:$C$5001,BD!$A$3:$A$5001,L$3,BD!$B$3:$B$5001,$A$76)))</f>
        <v/>
      </c>
      <c r="M76" s="172" t="str">
        <f>IF(M$3="","",IF(COUNTIFS(BD!$A$3:$A$5001,M$3,BD!$B$3:$B$5001,$A$76,BD!$C$3:$C$5001,"&lt;&gt;")=0,"",SUMIFS(BD!$C$3:$C$5001,BD!$A$3:$A$5001,M$3,BD!$B$3:$B$5001,$A$76)))</f>
        <v/>
      </c>
      <c r="N76" s="172" t="str">
        <f>IF(N$3="","",IF(COUNTIFS(BD!$A$3:$A$5001,N$3,BD!$B$3:$B$5001,$A$76,BD!$C$3:$C$5001,"&lt;&gt;")=0,"",SUMIFS(BD!$C$3:$C$5001,BD!$A$3:$A$5001,N$3,BD!$B$3:$B$5001,$A$76)))</f>
        <v/>
      </c>
      <c r="O76" s="172" t="str">
        <f>IF(O$3="","",IF(COUNTIFS(BD!$A$3:$A$5001,O$3,BD!$B$3:$B$5001,$A$76,BD!$C$3:$C$5001,"&lt;&gt;")=0,"",SUMIFS(BD!$C$3:$C$5001,BD!$A$3:$A$5001,O$3,BD!$B$3:$B$5001,$A$76)))</f>
        <v/>
      </c>
      <c r="P76" s="172" t="str">
        <f>IF(P$3="","",IF(COUNTIFS(BD!$A$3:$A$5001,P$3,BD!$B$3:$B$5001,$A$76,BD!$C$3:$C$5001,"&lt;&gt;")=0,"",SUMIFS(BD!$C$3:$C$5001,BD!$A$3:$A$5001,P$3,BD!$B$3:$B$5001,$A$76)))</f>
        <v/>
      </c>
      <c r="Q76" s="172" t="str">
        <f>IF(Q$3="","",IF(COUNTIFS(BD!$A$3:$A$5001,Q$3,BD!$B$3:$B$5001,$A$76,BD!$C$3:$C$5001,"&lt;&gt;")=0,"",SUMIFS(BD!$C$3:$C$5001,BD!$A$3:$A$5001,Q$3,BD!$B$3:$B$5001,$A$76)))</f>
        <v/>
      </c>
      <c r="R76" s="172" t="str">
        <f>IF(R$3="","",IF(COUNTIFS(BD!$A$3:$A$5001,R$3,BD!$B$3:$B$5001,$A$76,BD!$C$3:$C$5001,"&lt;&gt;")=0,"",SUMIFS(BD!$C$3:$C$5001,BD!$A$3:$A$5001,R$3,BD!$B$3:$B$5001,$A$76)))</f>
        <v/>
      </c>
      <c r="S76" s="172" t="str">
        <f>IF(S$3="","",IF(COUNTIFS(BD!$A$3:$A$5001,S$3,BD!$B$3:$B$5001,$A$76,BD!$C$3:$C$5001,"&lt;&gt;")=0,"",SUMIFS(BD!$C$3:$C$5001,BD!$A$3:$A$5001,S$3,BD!$B$3:$B$5001,$A$76)))</f>
        <v/>
      </c>
      <c r="T76" s="172" t="str">
        <f>IF(T$3="","",IF(COUNTIFS(BD!$A$3:$A$5001,T$3,BD!$B$3:$B$5001,$A$76,BD!$C$3:$C$5001,"&lt;&gt;")=0,"",SUMIFS(BD!$C$3:$C$5001,BD!$A$3:$A$5001,T$3,BD!$B$3:$B$5001,$A$76)))</f>
        <v/>
      </c>
      <c r="U76" s="172" t="str">
        <f>IF(U$3="","",IF(COUNTIFS(BD!$A$3:$A$5001,U$3,BD!$B$3:$B$5001,$A$76,BD!$C$3:$C$5001,"&lt;&gt;")=0,"",SUMIFS(BD!$C$3:$C$5001,BD!$A$3:$A$5001,U$3,BD!$B$3:$B$5001,$A$76)))</f>
        <v/>
      </c>
      <c r="V76" s="172" t="str">
        <f>IF(V$3="","",IF(COUNTIFS(BD!$A$3:$A$5001,V$3,BD!$B$3:$B$5001,$A$76,BD!$C$3:$C$5001,"&lt;&gt;")=0,"",SUMIFS(BD!$C$3:$C$5001,BD!$A$3:$A$5001,V$3,BD!$B$3:$B$5001,$A$76)))</f>
        <v/>
      </c>
      <c r="W76" s="172" t="str">
        <f>IF(W$3="","",IF(COUNTIFS(BD!$A$3:$A$5001,W$3,BD!$B$3:$B$5001,$A$76,BD!$C$3:$C$5001,"&lt;&gt;")=0,"",SUMIFS(BD!$C$3:$C$5001,BD!$A$3:$A$5001,W$3,BD!$B$3:$B$5001,$A$76)))</f>
        <v/>
      </c>
      <c r="X76" s="172" t="str">
        <f>IF(X$3="","",IF(COUNTIFS(BD!$A$3:$A$5001,X$3,BD!$B$3:$B$5001,$A$76,BD!$C$3:$C$5001,"&lt;&gt;")=0,"",SUMIFS(BD!$C$3:$C$5001,BD!$A$3:$A$5001,X$3,BD!$B$3:$B$5001,$A$76)))</f>
        <v/>
      </c>
      <c r="Y76" s="172" t="str">
        <f>IF(Y$3="","",IF(COUNTIFS(BD!$A$3:$A$5001,Y$3,BD!$B$3:$B$5001,$A$76,BD!$C$3:$C$5001,"&lt;&gt;")=0,"",SUMIFS(BD!$C$3:$C$5001,BD!$A$3:$A$5001,Y$3,BD!$B$3:$B$5001,$A$76)))</f>
        <v/>
      </c>
      <c r="Z76" s="172" t="str">
        <f>IF(Z$3="","",IF(COUNTIFS(BD!$A$3:$A$5001,Z$3,BD!$B$3:$B$5001,$A$76,BD!$C$3:$C$5001,"&lt;&gt;")=0,"",SUMIFS(BD!$C$3:$C$5001,BD!$A$3:$A$5001,Z$3,BD!$B$3:$B$5001,$A$76)))</f>
        <v/>
      </c>
      <c r="AA76" s="172" t="str">
        <f>IF(AA$3="","",IF(COUNTIFS(BD!$A$3:$A$5001,AA$3,BD!$B$3:$B$5001,$A$76,BD!$C$3:$C$5001,"&lt;&gt;")=0,"",SUMIFS(BD!$C$3:$C$5001,BD!$A$3:$A$5001,AA$3,BD!$B$3:$B$5001,$A$76)))</f>
        <v/>
      </c>
      <c r="AB76" s="172" t="str">
        <f>IF(AB$3="","",IF(COUNTIFS(BD!$A$3:$A$5001,AB$3,BD!$B$3:$B$5001,$A$76,BD!$C$3:$C$5001,"&lt;&gt;")=0,"",SUMIFS(BD!$C$3:$C$5001,BD!$A$3:$A$5001,AB$3,BD!$B$3:$B$5001,$A$76)))</f>
        <v/>
      </c>
      <c r="AC76" s="172" t="str">
        <f>IF(AC$3="","",IF(COUNTIFS(BD!$A$3:$A$5001,AC$3,BD!$B$3:$B$5001,$A$76,BD!$C$3:$C$5001,"&lt;&gt;")=0,"",SUMIFS(BD!$C$3:$C$5001,BD!$A$3:$A$5001,AC$3,BD!$B$3:$B$5001,$A$76)))</f>
        <v/>
      </c>
      <c r="AD76" s="172" t="str">
        <f>IF(AD$3="","",IF(COUNTIFS(BD!$A$3:$A$5001,AD$3,BD!$B$3:$B$5001,$A$76,BD!$C$3:$C$5001,"&lt;&gt;")=0,"",SUMIFS(BD!$C$3:$C$5001,BD!$A$3:$A$5001,AD$3,BD!$B$3:$B$5001,$A$76)))</f>
        <v/>
      </c>
      <c r="AE76" s="172" t="str">
        <f>IF(AE$3="","",IF(COUNTIFS(BD!$A$3:$A$5001,AE$3,BD!$B$3:$B$5001,$A$76,BD!$C$3:$C$5001,"&lt;&gt;")=0,"",SUMIFS(BD!$C$3:$C$5001,BD!$A$3:$A$5001,AE$3,BD!$B$3:$B$5001,$A$76)))</f>
        <v/>
      </c>
      <c r="AF76" s="172" t="str">
        <f>IF(AF$3="","",IF(COUNTIFS(BD!$A$3:$A$5001,AF$3,BD!$B$3:$B$5001,$A$76,BD!$C$3:$C$5001,"&lt;&gt;")=0,"",SUMIFS(BD!$C$3:$C$5001,BD!$A$3:$A$5001,AF$3,BD!$B$3:$B$5001,$A$76)))</f>
        <v/>
      </c>
      <c r="AG76" s="172" t="str">
        <f>IF(AG$3="","",IF(COUNTIFS(BD!$A$3:$A$5001,AG$3,BD!$B$3:$B$5001,$A$76,BD!$C$3:$C$5001,"&lt;&gt;")=0,"",SUMIFS(BD!$C$3:$C$5001,BD!$A$3:$A$5001,AG$3,BD!$B$3:$B$5001,$A$76)))</f>
        <v/>
      </c>
      <c r="AH76" s="172" t="str">
        <f>IF(AH$3="","",IF(COUNTIFS(BD!$A$3:$A$5001,AH$3,BD!$B$3:$B$5001,$A$76,BD!$C$3:$C$5001,"&lt;&gt;")=0,"",SUMIFS(BD!$C$3:$C$5001,BD!$A$3:$A$5001,AH$3,BD!$B$3:$B$5001,$A$76)))</f>
        <v/>
      </c>
      <c r="AI76" s="172" t="str">
        <f>IF(AI$3="","",IF(COUNTIFS(BD!$A$3:$A$5001,AI$3,BD!$B$3:$B$5001,$A$76,BD!$C$3:$C$5001,"&lt;&gt;")=0,"",SUMIFS(BD!$C$3:$C$5001,BD!$A$3:$A$5001,AI$3,BD!$B$3:$B$5001,$A$76)))</f>
        <v/>
      </c>
      <c r="AJ76" s="173" t="str">
        <f>IF(AJ$3="","",IF(COUNTIFS(BD!$A$3:$A$5001,AJ$3,BD!$B$3:$B$5001,$A$76,BD!$C$3:$C$5001,"&lt;&gt;")=0,"",SUMIFS(BD!$C$3:$C$5001,BD!$A$3:$A$5001,AJ$3,BD!$B$3:$B$5001,$A$76)))</f>
        <v/>
      </c>
      <c r="AK76" s="174" t="str">
        <f>IF(COUNT(F76:AJ76)=0,"",SUM(F76:AJ76))</f>
        <v/>
      </c>
    </row>
    <row r="77" ht="15.75" customHeight="1">
      <c r="A77" s="277"/>
      <c r="B77" s="265"/>
      <c r="C77" s="175" t="inlineStr">
        <is>
          <t xml:space="preserve">Pallets Movimentados</t>
        </is>
      </c>
      <c r="D77" s="176" t="str">
        <f>IFERROR(1/(1/INDEX(BD!$AF$24:$AZ$24,MATCH($A$76,BD!$AF$22:$AZ$22,0))),"")</f>
        <v/>
      </c>
      <c r="E77" s="177"/>
      <c r="F77" s="178" t="str">
        <f>IF(F$3="","",IF(COUNTIFS(BD!$A$3:$A$5001,F$3,BD!$B$3:$B$5001,$A$76,BD!$D$3:$D$5001,"&lt;&gt;")=0,"",SUMIFS(BD!$D$3:$D$5001,BD!$A$3:$A$5001,F$3,BD!$B$3:$B$5001,$A$76)))</f>
        <v/>
      </c>
      <c r="G77" s="179" t="str">
        <f>IF(G$3="","",IF(COUNTIFS(BD!$A$3:$A$5001,G$3,BD!$B$3:$B$5001,$A$76,BD!$D$3:$D$5001,"&lt;&gt;")=0,"",SUMIFS(BD!$D$3:$D$5001,BD!$A$3:$A$5001,G$3,BD!$B$3:$B$5001,$A$76)))</f>
        <v/>
      </c>
      <c r="H77" s="179" t="str">
        <f>IF(H$3="","",IF(COUNTIFS(BD!$A$3:$A$5001,H$3,BD!$B$3:$B$5001,$A$76,BD!$D$3:$D$5001,"&lt;&gt;")=0,"",SUMIFS(BD!$D$3:$D$5001,BD!$A$3:$A$5001,H$3,BD!$B$3:$B$5001,$A$76)))</f>
        <v/>
      </c>
      <c r="I77" s="179" t="str">
        <f>IF(I$3="","",IF(COUNTIFS(BD!$A$3:$A$5001,I$3,BD!$B$3:$B$5001,$A$76,BD!$D$3:$D$5001,"&lt;&gt;")=0,"",SUMIFS(BD!$D$3:$D$5001,BD!$A$3:$A$5001,I$3,BD!$B$3:$B$5001,$A$76)))</f>
        <v/>
      </c>
      <c r="J77" s="179" t="str">
        <f>IF(J$3="","",IF(COUNTIFS(BD!$A$3:$A$5001,J$3,BD!$B$3:$B$5001,$A$76,BD!$D$3:$D$5001,"&lt;&gt;")=0,"",SUMIFS(BD!$D$3:$D$5001,BD!$A$3:$A$5001,J$3,BD!$B$3:$B$5001,$A$76)))</f>
        <v/>
      </c>
      <c r="K77" s="179" t="str">
        <f>IF(K$3="","",IF(COUNTIFS(BD!$A$3:$A$5001,K$3,BD!$B$3:$B$5001,$A$76,BD!$D$3:$D$5001,"&lt;&gt;")=0,"",SUMIFS(BD!$D$3:$D$5001,BD!$A$3:$A$5001,K$3,BD!$B$3:$B$5001,$A$76)))</f>
        <v/>
      </c>
      <c r="L77" s="179" t="str">
        <f>IF(L$3="","",IF(COUNTIFS(BD!$A$3:$A$5001,L$3,BD!$B$3:$B$5001,$A$76,BD!$D$3:$D$5001,"&lt;&gt;")=0,"",SUMIFS(BD!$D$3:$D$5001,BD!$A$3:$A$5001,L$3,BD!$B$3:$B$5001,$A$76)))</f>
        <v/>
      </c>
      <c r="M77" s="179" t="str">
        <f>IF(M$3="","",IF(COUNTIFS(BD!$A$3:$A$5001,M$3,BD!$B$3:$B$5001,$A$76,BD!$D$3:$D$5001,"&lt;&gt;")=0,"",SUMIFS(BD!$D$3:$D$5001,BD!$A$3:$A$5001,M$3,BD!$B$3:$B$5001,$A$76)))</f>
        <v/>
      </c>
      <c r="N77" s="179" t="str">
        <f>IF(N$3="","",IF(COUNTIFS(BD!$A$3:$A$5001,N$3,BD!$B$3:$B$5001,$A$76,BD!$D$3:$D$5001,"&lt;&gt;")=0,"",SUMIFS(BD!$D$3:$D$5001,BD!$A$3:$A$5001,N$3,BD!$B$3:$B$5001,$A$76)))</f>
        <v/>
      </c>
      <c r="O77" s="179" t="str">
        <f>IF(O$3="","",IF(COUNTIFS(BD!$A$3:$A$5001,O$3,BD!$B$3:$B$5001,$A$76,BD!$D$3:$D$5001,"&lt;&gt;")=0,"",SUMIFS(BD!$D$3:$D$5001,BD!$A$3:$A$5001,O$3,BD!$B$3:$B$5001,$A$76)))</f>
        <v/>
      </c>
      <c r="P77" s="179" t="str">
        <f>IF(P$3="","",IF(COUNTIFS(BD!$A$3:$A$5001,P$3,BD!$B$3:$B$5001,$A$76,BD!$D$3:$D$5001,"&lt;&gt;")=0,"",SUMIFS(BD!$D$3:$D$5001,BD!$A$3:$A$5001,P$3,BD!$B$3:$B$5001,$A$76)))</f>
        <v/>
      </c>
      <c r="Q77" s="179" t="str">
        <f>IF(Q$3="","",IF(COUNTIFS(BD!$A$3:$A$5001,Q$3,BD!$B$3:$B$5001,$A$76,BD!$D$3:$D$5001,"&lt;&gt;")=0,"",SUMIFS(BD!$D$3:$D$5001,BD!$A$3:$A$5001,Q$3,BD!$B$3:$B$5001,$A$76)))</f>
        <v/>
      </c>
      <c r="R77" s="179" t="str">
        <f>IF(R$3="","",IF(COUNTIFS(BD!$A$3:$A$5001,R$3,BD!$B$3:$B$5001,$A$76,BD!$D$3:$D$5001,"&lt;&gt;")=0,"",SUMIFS(BD!$D$3:$D$5001,BD!$A$3:$A$5001,R$3,BD!$B$3:$B$5001,$A$76)))</f>
        <v/>
      </c>
      <c r="S77" s="179" t="str">
        <f>IF(S$3="","",IF(COUNTIFS(BD!$A$3:$A$5001,S$3,BD!$B$3:$B$5001,$A$76,BD!$D$3:$D$5001,"&lt;&gt;")=0,"",SUMIFS(BD!$D$3:$D$5001,BD!$A$3:$A$5001,S$3,BD!$B$3:$B$5001,$A$76)))</f>
        <v/>
      </c>
      <c r="T77" s="179" t="str">
        <f>IF(T$3="","",IF(COUNTIFS(BD!$A$3:$A$5001,T$3,BD!$B$3:$B$5001,$A$76,BD!$D$3:$D$5001,"&lt;&gt;")=0,"",SUMIFS(BD!$D$3:$D$5001,BD!$A$3:$A$5001,T$3,BD!$B$3:$B$5001,$A$76)))</f>
        <v/>
      </c>
      <c r="U77" s="179" t="str">
        <f>IF(U$3="","",IF(COUNTIFS(BD!$A$3:$A$5001,U$3,BD!$B$3:$B$5001,$A$76,BD!$D$3:$D$5001,"&lt;&gt;")=0,"",SUMIFS(BD!$D$3:$D$5001,BD!$A$3:$A$5001,U$3,BD!$B$3:$B$5001,$A$76)))</f>
        <v/>
      </c>
      <c r="V77" s="179" t="str">
        <f>IF(V$3="","",IF(COUNTIFS(BD!$A$3:$A$5001,V$3,BD!$B$3:$B$5001,$A$76,BD!$D$3:$D$5001,"&lt;&gt;")=0,"",SUMIFS(BD!$D$3:$D$5001,BD!$A$3:$A$5001,V$3,BD!$B$3:$B$5001,$A$76)))</f>
        <v/>
      </c>
      <c r="W77" s="179" t="str">
        <f>IF(W$3="","",IF(COUNTIFS(BD!$A$3:$A$5001,W$3,BD!$B$3:$B$5001,$A$76,BD!$D$3:$D$5001,"&lt;&gt;")=0,"",SUMIFS(BD!$D$3:$D$5001,BD!$A$3:$A$5001,W$3,BD!$B$3:$B$5001,$A$76)))</f>
        <v/>
      </c>
      <c r="X77" s="179" t="str">
        <f>IF(X$3="","",IF(COUNTIFS(BD!$A$3:$A$5001,X$3,BD!$B$3:$B$5001,$A$76,BD!$D$3:$D$5001,"&lt;&gt;")=0,"",SUMIFS(BD!$D$3:$D$5001,BD!$A$3:$A$5001,X$3,BD!$B$3:$B$5001,$A$76)))</f>
        <v/>
      </c>
      <c r="Y77" s="179" t="str">
        <f>IF(Y$3="","",IF(COUNTIFS(BD!$A$3:$A$5001,Y$3,BD!$B$3:$B$5001,$A$76,BD!$D$3:$D$5001,"&lt;&gt;")=0,"",SUMIFS(BD!$D$3:$D$5001,BD!$A$3:$A$5001,Y$3,BD!$B$3:$B$5001,$A$76)))</f>
        <v/>
      </c>
      <c r="Z77" s="179" t="str">
        <f>IF(Z$3="","",IF(COUNTIFS(BD!$A$3:$A$5001,Z$3,BD!$B$3:$B$5001,$A$76,BD!$D$3:$D$5001,"&lt;&gt;")=0,"",SUMIFS(BD!$D$3:$D$5001,BD!$A$3:$A$5001,Z$3,BD!$B$3:$B$5001,$A$76)))</f>
        <v/>
      </c>
      <c r="AA77" s="179" t="str">
        <f>IF(AA$3="","",IF(COUNTIFS(BD!$A$3:$A$5001,AA$3,BD!$B$3:$B$5001,$A$76,BD!$D$3:$D$5001,"&lt;&gt;")=0,"",SUMIFS(BD!$D$3:$D$5001,BD!$A$3:$A$5001,AA$3,BD!$B$3:$B$5001,$A$76)))</f>
        <v/>
      </c>
      <c r="AB77" s="179" t="str">
        <f>IF(AB$3="","",IF(COUNTIFS(BD!$A$3:$A$5001,AB$3,BD!$B$3:$B$5001,$A$76,BD!$D$3:$D$5001,"&lt;&gt;")=0,"",SUMIFS(BD!$D$3:$D$5001,BD!$A$3:$A$5001,AB$3,BD!$B$3:$B$5001,$A$76)))</f>
        <v/>
      </c>
      <c r="AC77" s="179" t="str">
        <f>IF(AC$3="","",IF(COUNTIFS(BD!$A$3:$A$5001,AC$3,BD!$B$3:$B$5001,$A$76,BD!$D$3:$D$5001,"&lt;&gt;")=0,"",SUMIFS(BD!$D$3:$D$5001,BD!$A$3:$A$5001,AC$3,BD!$B$3:$B$5001,$A$76)))</f>
        <v/>
      </c>
      <c r="AD77" s="179" t="str">
        <f>IF(AD$3="","",IF(COUNTIFS(BD!$A$3:$A$5001,AD$3,BD!$B$3:$B$5001,$A$76,BD!$D$3:$D$5001,"&lt;&gt;")=0,"",SUMIFS(BD!$D$3:$D$5001,BD!$A$3:$A$5001,AD$3,BD!$B$3:$B$5001,$A$76)))</f>
        <v/>
      </c>
      <c r="AE77" s="179" t="str">
        <f>IF(AE$3="","",IF(COUNTIFS(BD!$A$3:$A$5001,AE$3,BD!$B$3:$B$5001,$A$76,BD!$D$3:$D$5001,"&lt;&gt;")=0,"",SUMIFS(BD!$D$3:$D$5001,BD!$A$3:$A$5001,AE$3,BD!$B$3:$B$5001,$A$76)))</f>
        <v/>
      </c>
      <c r="AF77" s="179" t="str">
        <f>IF(AF$3="","",IF(COUNTIFS(BD!$A$3:$A$5001,AF$3,BD!$B$3:$B$5001,$A$76,BD!$D$3:$D$5001,"&lt;&gt;")=0,"",SUMIFS(BD!$D$3:$D$5001,BD!$A$3:$A$5001,AF$3,BD!$B$3:$B$5001,$A$76)))</f>
        <v/>
      </c>
      <c r="AG77" s="179" t="str">
        <f>IF(AG$3="","",IF(COUNTIFS(BD!$A$3:$A$5001,AG$3,BD!$B$3:$B$5001,$A$76,BD!$D$3:$D$5001,"&lt;&gt;")=0,"",SUMIFS(BD!$D$3:$D$5001,BD!$A$3:$A$5001,AG$3,BD!$B$3:$B$5001,$A$76)))</f>
        <v/>
      </c>
      <c r="AH77" s="179" t="str">
        <f>IF(AH$3="","",IF(COUNTIFS(BD!$A$3:$A$5001,AH$3,BD!$B$3:$B$5001,$A$76,BD!$D$3:$D$5001,"&lt;&gt;")=0,"",SUMIFS(BD!$D$3:$D$5001,BD!$A$3:$A$5001,AH$3,BD!$B$3:$B$5001,$A$76)))</f>
        <v/>
      </c>
      <c r="AI77" s="179" t="str">
        <f>IF(AI$3="","",IF(COUNTIFS(BD!$A$3:$A$5001,AI$3,BD!$B$3:$B$5001,$A$76,BD!$D$3:$D$5001,"&lt;&gt;")=0,"",SUMIFS(BD!$D$3:$D$5001,BD!$A$3:$A$5001,AI$3,BD!$B$3:$B$5001,$A$76)))</f>
        <v/>
      </c>
      <c r="AJ77" s="180" t="str">
        <f>IF(AJ$3="","",IF(COUNTIFS(BD!$A$3:$A$5001,AJ$3,BD!$B$3:$B$5001,$A$76,BD!$D$3:$D$5001,"&lt;&gt;")=0,"",SUMIFS(BD!$D$3:$D$5001,BD!$A$3:$A$5001,AJ$3,BD!$B$3:$B$5001,$A$76)))</f>
        <v/>
      </c>
      <c r="AK77" s="181" t="str">
        <f>IF(COUNT(F77:AJ77)=0,"",SUM(F77:AJ77))</f>
        <v/>
      </c>
    </row>
    <row r="78" ht="15.75" customHeight="1">
      <c r="A78" s="277"/>
      <c r="B78" s="265"/>
      <c r="C78" s="175" t="inlineStr">
        <is>
          <t xml:space="preserve">Toneladas Movimentadas</t>
        </is>
      </c>
      <c r="D78" s="176" t="str">
        <f>IFERROR(1/(1/INDEX(BD!$AF$25:$AZ$25,MATCH($A$76,BD!$AF$22:$AZ$22,0))),"")</f>
        <v/>
      </c>
      <c r="E78" s="177"/>
      <c r="F78" s="182" t="str">
        <f>IF(F$3="","",IF(COUNTIFS(BD!$A$3:$A$5001,F$3,BD!$B$3:$B$5001,$A$76,BD!$E$3:$E$5001,"&lt;&gt;")=0,"",SUMIFS(BD!$E$3:$E$5001,BD!$A$3:$A$5001,F$3,BD!$B$3:$B$5001,$A$76)))</f>
        <v/>
      </c>
      <c r="G78" s="183" t="str">
        <f>IF(G$3="","",IF(COUNTIFS(BD!$A$3:$A$5001,G$3,BD!$B$3:$B$5001,$A$76,BD!$E$3:$E$5001,"&lt;&gt;")=0,"",SUMIFS(BD!$E$3:$E$5001,BD!$A$3:$A$5001,G$3,BD!$B$3:$B$5001,$A$76)))</f>
        <v/>
      </c>
      <c r="H78" s="183" t="str">
        <f>IF(H$3="","",IF(COUNTIFS(BD!$A$3:$A$5001,H$3,BD!$B$3:$B$5001,$A$76,BD!$E$3:$E$5001,"&lt;&gt;")=0,"",SUMIFS(BD!$E$3:$E$5001,BD!$A$3:$A$5001,H$3,BD!$B$3:$B$5001,$A$76)))</f>
        <v/>
      </c>
      <c r="I78" s="183" t="str">
        <f>IF(I$3="","",IF(COUNTIFS(BD!$A$3:$A$5001,I$3,BD!$B$3:$B$5001,$A$76,BD!$E$3:$E$5001,"&lt;&gt;")=0,"",SUMIFS(BD!$E$3:$E$5001,BD!$A$3:$A$5001,I$3,BD!$B$3:$B$5001,$A$76)))</f>
        <v/>
      </c>
      <c r="J78" s="183" t="str">
        <f>IF(J$3="","",IF(COUNTIFS(BD!$A$3:$A$5001,J$3,BD!$B$3:$B$5001,$A$76,BD!$E$3:$E$5001,"&lt;&gt;")=0,"",SUMIFS(BD!$E$3:$E$5001,BD!$A$3:$A$5001,J$3,BD!$B$3:$B$5001,$A$76)))</f>
        <v/>
      </c>
      <c r="K78" s="183" t="str">
        <f>IF(K$3="","",IF(COUNTIFS(BD!$A$3:$A$5001,K$3,BD!$B$3:$B$5001,$A$76,BD!$E$3:$E$5001,"&lt;&gt;")=0,"",SUMIFS(BD!$E$3:$E$5001,BD!$A$3:$A$5001,K$3,BD!$B$3:$B$5001,$A$76)))</f>
        <v/>
      </c>
      <c r="L78" s="183" t="str">
        <f>IF(L$3="","",IF(COUNTIFS(BD!$A$3:$A$5001,L$3,BD!$B$3:$B$5001,$A$76,BD!$E$3:$E$5001,"&lt;&gt;")=0,"",SUMIFS(BD!$E$3:$E$5001,BD!$A$3:$A$5001,L$3,BD!$B$3:$B$5001,$A$76)))</f>
        <v/>
      </c>
      <c r="M78" s="183" t="str">
        <f>IF(M$3="","",IF(COUNTIFS(BD!$A$3:$A$5001,M$3,BD!$B$3:$B$5001,$A$76,BD!$E$3:$E$5001,"&lt;&gt;")=0,"",SUMIFS(BD!$E$3:$E$5001,BD!$A$3:$A$5001,M$3,BD!$B$3:$B$5001,$A$76)))</f>
        <v/>
      </c>
      <c r="N78" s="183" t="str">
        <f>IF(N$3="","",IF(COUNTIFS(BD!$A$3:$A$5001,N$3,BD!$B$3:$B$5001,$A$76,BD!$E$3:$E$5001,"&lt;&gt;")=0,"",SUMIFS(BD!$E$3:$E$5001,BD!$A$3:$A$5001,N$3,BD!$B$3:$B$5001,$A$76)))</f>
        <v/>
      </c>
      <c r="O78" s="183" t="str">
        <f>IF(O$3="","",IF(COUNTIFS(BD!$A$3:$A$5001,O$3,BD!$B$3:$B$5001,$A$76,BD!$E$3:$E$5001,"&lt;&gt;")=0,"",SUMIFS(BD!$E$3:$E$5001,BD!$A$3:$A$5001,O$3,BD!$B$3:$B$5001,$A$76)))</f>
        <v/>
      </c>
      <c r="P78" s="183" t="str">
        <f>IF(P$3="","",IF(COUNTIFS(BD!$A$3:$A$5001,P$3,BD!$B$3:$B$5001,$A$76,BD!$E$3:$E$5001,"&lt;&gt;")=0,"",SUMIFS(BD!$E$3:$E$5001,BD!$A$3:$A$5001,P$3,BD!$B$3:$B$5001,$A$76)))</f>
        <v/>
      </c>
      <c r="Q78" s="183" t="str">
        <f>IF(Q$3="","",IF(COUNTIFS(BD!$A$3:$A$5001,Q$3,BD!$B$3:$B$5001,$A$76,BD!$E$3:$E$5001,"&lt;&gt;")=0,"",SUMIFS(BD!$E$3:$E$5001,BD!$A$3:$A$5001,Q$3,BD!$B$3:$B$5001,$A$76)))</f>
        <v/>
      </c>
      <c r="R78" s="183" t="str">
        <f>IF(R$3="","",IF(COUNTIFS(BD!$A$3:$A$5001,R$3,BD!$B$3:$B$5001,$A$76,BD!$E$3:$E$5001,"&lt;&gt;")=0,"",SUMIFS(BD!$E$3:$E$5001,BD!$A$3:$A$5001,R$3,BD!$B$3:$B$5001,$A$76)))</f>
        <v/>
      </c>
      <c r="S78" s="183" t="str">
        <f>IF(S$3="","",IF(COUNTIFS(BD!$A$3:$A$5001,S$3,BD!$B$3:$B$5001,$A$76,BD!$E$3:$E$5001,"&lt;&gt;")=0,"",SUMIFS(BD!$E$3:$E$5001,BD!$A$3:$A$5001,S$3,BD!$B$3:$B$5001,$A$76)))</f>
        <v/>
      </c>
      <c r="T78" s="183" t="str">
        <f>IF(T$3="","",IF(COUNTIFS(BD!$A$3:$A$5001,T$3,BD!$B$3:$B$5001,$A$76,BD!$E$3:$E$5001,"&lt;&gt;")=0,"",SUMIFS(BD!$E$3:$E$5001,BD!$A$3:$A$5001,T$3,BD!$B$3:$B$5001,$A$76)))</f>
        <v/>
      </c>
      <c r="U78" s="183" t="str">
        <f>IF(U$3="","",IF(COUNTIFS(BD!$A$3:$A$5001,U$3,BD!$B$3:$B$5001,$A$76,BD!$E$3:$E$5001,"&lt;&gt;")=0,"",SUMIFS(BD!$E$3:$E$5001,BD!$A$3:$A$5001,U$3,BD!$B$3:$B$5001,$A$76)))</f>
        <v/>
      </c>
      <c r="V78" s="183" t="str">
        <f>IF(V$3="","",IF(COUNTIFS(BD!$A$3:$A$5001,V$3,BD!$B$3:$B$5001,$A$76,BD!$E$3:$E$5001,"&lt;&gt;")=0,"",SUMIFS(BD!$E$3:$E$5001,BD!$A$3:$A$5001,V$3,BD!$B$3:$B$5001,$A$76)))</f>
        <v/>
      </c>
      <c r="W78" s="183" t="str">
        <f>IF(W$3="","",IF(COUNTIFS(BD!$A$3:$A$5001,W$3,BD!$B$3:$B$5001,$A$76,BD!$E$3:$E$5001,"&lt;&gt;")=0,"",SUMIFS(BD!$E$3:$E$5001,BD!$A$3:$A$5001,W$3,BD!$B$3:$B$5001,$A$76)))</f>
        <v/>
      </c>
      <c r="X78" s="183" t="str">
        <f>IF(X$3="","",IF(COUNTIFS(BD!$A$3:$A$5001,X$3,BD!$B$3:$B$5001,$A$76,BD!$E$3:$E$5001,"&lt;&gt;")=0,"",SUMIFS(BD!$E$3:$E$5001,BD!$A$3:$A$5001,X$3,BD!$B$3:$B$5001,$A$76)))</f>
        <v/>
      </c>
      <c r="Y78" s="183" t="str">
        <f>IF(Y$3="","",IF(COUNTIFS(BD!$A$3:$A$5001,Y$3,BD!$B$3:$B$5001,$A$76,BD!$E$3:$E$5001,"&lt;&gt;")=0,"",SUMIFS(BD!$E$3:$E$5001,BD!$A$3:$A$5001,Y$3,BD!$B$3:$B$5001,$A$76)))</f>
        <v/>
      </c>
      <c r="Z78" s="183" t="str">
        <f>IF(Z$3="","",IF(COUNTIFS(BD!$A$3:$A$5001,Z$3,BD!$B$3:$B$5001,$A$76,BD!$E$3:$E$5001,"&lt;&gt;")=0,"",SUMIFS(BD!$E$3:$E$5001,BD!$A$3:$A$5001,Z$3,BD!$B$3:$B$5001,$A$76)))</f>
        <v/>
      </c>
      <c r="AA78" s="183" t="str">
        <f>IF(AA$3="","",IF(COUNTIFS(BD!$A$3:$A$5001,AA$3,BD!$B$3:$B$5001,$A$76,BD!$E$3:$E$5001,"&lt;&gt;")=0,"",SUMIFS(BD!$E$3:$E$5001,BD!$A$3:$A$5001,AA$3,BD!$B$3:$B$5001,$A$76)))</f>
        <v/>
      </c>
      <c r="AB78" s="183" t="str">
        <f>IF(AB$3="","",IF(COUNTIFS(BD!$A$3:$A$5001,AB$3,BD!$B$3:$B$5001,$A$76,BD!$E$3:$E$5001,"&lt;&gt;")=0,"",SUMIFS(BD!$E$3:$E$5001,BD!$A$3:$A$5001,AB$3,BD!$B$3:$B$5001,$A$76)))</f>
        <v/>
      </c>
      <c r="AC78" s="183" t="str">
        <f>IF(AC$3="","",IF(COUNTIFS(BD!$A$3:$A$5001,AC$3,BD!$B$3:$B$5001,$A$76,BD!$E$3:$E$5001,"&lt;&gt;")=0,"",SUMIFS(BD!$E$3:$E$5001,BD!$A$3:$A$5001,AC$3,BD!$B$3:$B$5001,$A$76)))</f>
        <v/>
      </c>
      <c r="AD78" s="183" t="str">
        <f>IF(AD$3="","",IF(COUNTIFS(BD!$A$3:$A$5001,AD$3,BD!$B$3:$B$5001,$A$76,BD!$E$3:$E$5001,"&lt;&gt;")=0,"",SUMIFS(BD!$E$3:$E$5001,BD!$A$3:$A$5001,AD$3,BD!$B$3:$B$5001,$A$76)))</f>
        <v/>
      </c>
      <c r="AE78" s="183" t="str">
        <f>IF(AE$3="","",IF(COUNTIFS(BD!$A$3:$A$5001,AE$3,BD!$B$3:$B$5001,$A$76,BD!$E$3:$E$5001,"&lt;&gt;")=0,"",SUMIFS(BD!$E$3:$E$5001,BD!$A$3:$A$5001,AE$3,BD!$B$3:$B$5001,$A$76)))</f>
        <v/>
      </c>
      <c r="AF78" s="183" t="str">
        <f>IF(AF$3="","",IF(COUNTIFS(BD!$A$3:$A$5001,AF$3,BD!$B$3:$B$5001,$A$76,BD!$E$3:$E$5001,"&lt;&gt;")=0,"",SUMIFS(BD!$E$3:$E$5001,BD!$A$3:$A$5001,AF$3,BD!$B$3:$B$5001,$A$76)))</f>
        <v/>
      </c>
      <c r="AG78" s="183" t="str">
        <f>IF(AG$3="","",IF(COUNTIFS(BD!$A$3:$A$5001,AG$3,BD!$B$3:$B$5001,$A$76,BD!$E$3:$E$5001,"&lt;&gt;")=0,"",SUMIFS(BD!$E$3:$E$5001,BD!$A$3:$A$5001,AG$3,BD!$B$3:$B$5001,$A$76)))</f>
        <v/>
      </c>
      <c r="AH78" s="183" t="str">
        <f>IF(AH$3="","",IF(COUNTIFS(BD!$A$3:$A$5001,AH$3,BD!$B$3:$B$5001,$A$76,BD!$E$3:$E$5001,"&lt;&gt;")=0,"",SUMIFS(BD!$E$3:$E$5001,BD!$A$3:$A$5001,AH$3,BD!$B$3:$B$5001,$A$76)))</f>
        <v/>
      </c>
      <c r="AI78" s="183" t="str">
        <f>IF(AI$3="","",IF(COUNTIFS(BD!$A$3:$A$5001,AI$3,BD!$B$3:$B$5001,$A$76,BD!$E$3:$E$5001,"&lt;&gt;")=0,"",SUMIFS(BD!$E$3:$E$5001,BD!$A$3:$A$5001,AI$3,BD!$B$3:$B$5001,$A$76)))</f>
        <v/>
      </c>
      <c r="AJ78" s="184" t="str">
        <f>IF(AJ$3="","",IF(COUNTIFS(BD!$A$3:$A$5001,AJ$3,BD!$B$3:$B$5001,$A$76,BD!$E$3:$E$5001,"&lt;&gt;")=0,"",SUMIFS(BD!$E$3:$E$5001,BD!$A$3:$A$5001,AJ$3,BD!$B$3:$B$5001,$A$76)))</f>
        <v/>
      </c>
      <c r="AK78" s="185" t="str">
        <f>IF(COUNT(F78:AJ78)=0,"",SUM(F78:AJ78))</f>
        <v/>
      </c>
    </row>
    <row r="79" ht="15.75" customHeight="1">
      <c r="A79" s="277"/>
      <c r="B79" s="266"/>
      <c r="C79" s="186" t="inlineStr">
        <is>
          <t xml:space="preserve">Caixas Recebidas</t>
        </is>
      </c>
      <c r="D79" s="187" t="str">
        <f>IFERROR(1/(1/INDEX(BD!$AF$26:$AZ$26,MATCH($A$76,BD!$AF$22:$AZ$22,0))),"")</f>
        <v/>
      </c>
      <c r="E79" s="188"/>
      <c r="F79" s="189" t="str">
        <f>IF(F$3="","",IF(COUNTIFS(BD!$A$3:$A$5001,F$3,BD!$B$3:$B$5001,$A$76,BD!$F$3:$F$5001,"&lt;&gt;")=0,"",SUMIFS(BD!$F$3:$F$5001,BD!$A$3:$A$5001,F$3,BD!$B$3:$B$5001,$A$76)))</f>
        <v/>
      </c>
      <c r="G79" s="190" t="str">
        <f>IF(G$3="","",IF(COUNTIFS(BD!$A$3:$A$5001,G$3,BD!$B$3:$B$5001,$A$76,BD!$F$3:$F$5001,"&lt;&gt;")=0,"",SUMIFS(BD!$F$3:$F$5001,BD!$A$3:$A$5001,G$3,BD!$B$3:$B$5001,$A$76)))</f>
        <v/>
      </c>
      <c r="H79" s="190" t="str">
        <f>IF(H$3="","",IF(COUNTIFS(BD!$A$3:$A$5001,H$3,BD!$B$3:$B$5001,$A$76,BD!$F$3:$F$5001,"&lt;&gt;")=0,"",SUMIFS(BD!$F$3:$F$5001,BD!$A$3:$A$5001,H$3,BD!$B$3:$B$5001,$A$76)))</f>
        <v/>
      </c>
      <c r="I79" s="190" t="str">
        <f>IF(I$3="","",IF(COUNTIFS(BD!$A$3:$A$5001,I$3,BD!$B$3:$B$5001,$A$76,BD!$F$3:$F$5001,"&lt;&gt;")=0,"",SUMIFS(BD!$F$3:$F$5001,BD!$A$3:$A$5001,I$3,BD!$B$3:$B$5001,$A$76)))</f>
        <v/>
      </c>
      <c r="J79" s="190" t="str">
        <f>IF(J$3="","",IF(COUNTIFS(BD!$A$3:$A$5001,J$3,BD!$B$3:$B$5001,$A$76,BD!$F$3:$F$5001,"&lt;&gt;")=0,"",SUMIFS(BD!$F$3:$F$5001,BD!$A$3:$A$5001,J$3,BD!$B$3:$B$5001,$A$76)))</f>
        <v/>
      </c>
      <c r="K79" s="190" t="str">
        <f>IF(K$3="","",IF(COUNTIFS(BD!$A$3:$A$5001,K$3,BD!$B$3:$B$5001,$A$76,BD!$F$3:$F$5001,"&lt;&gt;")=0,"",SUMIFS(BD!$F$3:$F$5001,BD!$A$3:$A$5001,K$3,BD!$B$3:$B$5001,$A$76)))</f>
        <v/>
      </c>
      <c r="L79" s="190" t="str">
        <f>IF(L$3="","",IF(COUNTIFS(BD!$A$3:$A$5001,L$3,BD!$B$3:$B$5001,$A$76,BD!$F$3:$F$5001,"&lt;&gt;")=0,"",SUMIFS(BD!$F$3:$F$5001,BD!$A$3:$A$5001,L$3,BD!$B$3:$B$5001,$A$76)))</f>
        <v/>
      </c>
      <c r="M79" s="190" t="str">
        <f>IF(M$3="","",IF(COUNTIFS(BD!$A$3:$A$5001,M$3,BD!$B$3:$B$5001,$A$76,BD!$F$3:$F$5001,"&lt;&gt;")=0,"",SUMIFS(BD!$F$3:$F$5001,BD!$A$3:$A$5001,M$3,BD!$B$3:$B$5001,$A$76)))</f>
        <v/>
      </c>
      <c r="N79" s="190" t="str">
        <f>IF(N$3="","",IF(COUNTIFS(BD!$A$3:$A$5001,N$3,BD!$B$3:$B$5001,$A$76,BD!$F$3:$F$5001,"&lt;&gt;")=0,"",SUMIFS(BD!$F$3:$F$5001,BD!$A$3:$A$5001,N$3,BD!$B$3:$B$5001,$A$76)))</f>
        <v/>
      </c>
      <c r="O79" s="190" t="str">
        <f>IF(O$3="","",IF(COUNTIFS(BD!$A$3:$A$5001,O$3,BD!$B$3:$B$5001,$A$76,BD!$F$3:$F$5001,"&lt;&gt;")=0,"",SUMIFS(BD!$F$3:$F$5001,BD!$A$3:$A$5001,O$3,BD!$B$3:$B$5001,$A$76)))</f>
        <v/>
      </c>
      <c r="P79" s="190" t="str">
        <f>IF(P$3="","",IF(COUNTIFS(BD!$A$3:$A$5001,P$3,BD!$B$3:$B$5001,$A$76,BD!$F$3:$F$5001,"&lt;&gt;")=0,"",SUMIFS(BD!$F$3:$F$5001,BD!$A$3:$A$5001,P$3,BD!$B$3:$B$5001,$A$76)))</f>
        <v/>
      </c>
      <c r="Q79" s="190" t="str">
        <f>IF(Q$3="","",IF(COUNTIFS(BD!$A$3:$A$5001,Q$3,BD!$B$3:$B$5001,$A$76,BD!$F$3:$F$5001,"&lt;&gt;")=0,"",SUMIFS(BD!$F$3:$F$5001,BD!$A$3:$A$5001,Q$3,BD!$B$3:$B$5001,$A$76)))</f>
        <v/>
      </c>
      <c r="R79" s="190" t="str">
        <f>IF(R$3="","",IF(COUNTIFS(BD!$A$3:$A$5001,R$3,BD!$B$3:$B$5001,$A$76,BD!$F$3:$F$5001,"&lt;&gt;")=0,"",SUMIFS(BD!$F$3:$F$5001,BD!$A$3:$A$5001,R$3,BD!$B$3:$B$5001,$A$76)))</f>
        <v/>
      </c>
      <c r="S79" s="190" t="str">
        <f>IF(S$3="","",IF(COUNTIFS(BD!$A$3:$A$5001,S$3,BD!$B$3:$B$5001,$A$76,BD!$F$3:$F$5001,"&lt;&gt;")=0,"",SUMIFS(BD!$F$3:$F$5001,BD!$A$3:$A$5001,S$3,BD!$B$3:$B$5001,$A$76)))</f>
        <v/>
      </c>
      <c r="T79" s="190" t="str">
        <f>IF(T$3="","",IF(COUNTIFS(BD!$A$3:$A$5001,T$3,BD!$B$3:$B$5001,$A$76,BD!$F$3:$F$5001,"&lt;&gt;")=0,"",SUMIFS(BD!$F$3:$F$5001,BD!$A$3:$A$5001,T$3,BD!$B$3:$B$5001,$A$76)))</f>
        <v/>
      </c>
      <c r="U79" s="190" t="str">
        <f>IF(U$3="","",IF(COUNTIFS(BD!$A$3:$A$5001,U$3,BD!$B$3:$B$5001,$A$76,BD!$F$3:$F$5001,"&lt;&gt;")=0,"",SUMIFS(BD!$F$3:$F$5001,BD!$A$3:$A$5001,U$3,BD!$B$3:$B$5001,$A$76)))</f>
        <v/>
      </c>
      <c r="V79" s="190" t="str">
        <f>IF(V$3="","",IF(COUNTIFS(BD!$A$3:$A$5001,V$3,BD!$B$3:$B$5001,$A$76,BD!$F$3:$F$5001,"&lt;&gt;")=0,"",SUMIFS(BD!$F$3:$F$5001,BD!$A$3:$A$5001,V$3,BD!$B$3:$B$5001,$A$76)))</f>
        <v/>
      </c>
      <c r="W79" s="190" t="str">
        <f>IF(W$3="","",IF(COUNTIFS(BD!$A$3:$A$5001,W$3,BD!$B$3:$B$5001,$A$76,BD!$F$3:$F$5001,"&lt;&gt;")=0,"",SUMIFS(BD!$F$3:$F$5001,BD!$A$3:$A$5001,W$3,BD!$B$3:$B$5001,$A$76)))</f>
        <v/>
      </c>
      <c r="X79" s="190" t="str">
        <f>IF(X$3="","",IF(COUNTIFS(BD!$A$3:$A$5001,X$3,BD!$B$3:$B$5001,$A$76,BD!$F$3:$F$5001,"&lt;&gt;")=0,"",SUMIFS(BD!$F$3:$F$5001,BD!$A$3:$A$5001,X$3,BD!$B$3:$B$5001,$A$76)))</f>
        <v/>
      </c>
      <c r="Y79" s="190" t="str">
        <f>IF(Y$3="","",IF(COUNTIFS(BD!$A$3:$A$5001,Y$3,BD!$B$3:$B$5001,$A$76,BD!$F$3:$F$5001,"&lt;&gt;")=0,"",SUMIFS(BD!$F$3:$F$5001,BD!$A$3:$A$5001,Y$3,BD!$B$3:$B$5001,$A$76)))</f>
        <v/>
      </c>
      <c r="Z79" s="190" t="str">
        <f>IF(Z$3="","",IF(COUNTIFS(BD!$A$3:$A$5001,Z$3,BD!$B$3:$B$5001,$A$76,BD!$F$3:$F$5001,"&lt;&gt;")=0,"",SUMIFS(BD!$F$3:$F$5001,BD!$A$3:$A$5001,Z$3,BD!$B$3:$B$5001,$A$76)))</f>
        <v/>
      </c>
      <c r="AA79" s="190" t="str">
        <f>IF(AA$3="","",IF(COUNTIFS(BD!$A$3:$A$5001,AA$3,BD!$B$3:$B$5001,$A$76,BD!$F$3:$F$5001,"&lt;&gt;")=0,"",SUMIFS(BD!$F$3:$F$5001,BD!$A$3:$A$5001,AA$3,BD!$B$3:$B$5001,$A$76)))</f>
        <v/>
      </c>
      <c r="AB79" s="190" t="str">
        <f>IF(AB$3="","",IF(COUNTIFS(BD!$A$3:$A$5001,AB$3,BD!$B$3:$B$5001,$A$76,BD!$F$3:$F$5001,"&lt;&gt;")=0,"",SUMIFS(BD!$F$3:$F$5001,BD!$A$3:$A$5001,AB$3,BD!$B$3:$B$5001,$A$76)))</f>
        <v/>
      </c>
      <c r="AC79" s="190" t="str">
        <f>IF(AC$3="","",IF(COUNTIFS(BD!$A$3:$A$5001,AC$3,BD!$B$3:$B$5001,$A$76,BD!$F$3:$F$5001,"&lt;&gt;")=0,"",SUMIFS(BD!$F$3:$F$5001,BD!$A$3:$A$5001,AC$3,BD!$B$3:$B$5001,$A$76)))</f>
        <v/>
      </c>
      <c r="AD79" s="190" t="str">
        <f>IF(AD$3="","",IF(COUNTIFS(BD!$A$3:$A$5001,AD$3,BD!$B$3:$B$5001,$A$76,BD!$F$3:$F$5001,"&lt;&gt;")=0,"",SUMIFS(BD!$F$3:$F$5001,BD!$A$3:$A$5001,AD$3,BD!$B$3:$B$5001,$A$76)))</f>
        <v/>
      </c>
      <c r="AE79" s="190" t="str">
        <f>IF(AE$3="","",IF(COUNTIFS(BD!$A$3:$A$5001,AE$3,BD!$B$3:$B$5001,$A$76,BD!$F$3:$F$5001,"&lt;&gt;")=0,"",SUMIFS(BD!$F$3:$F$5001,BD!$A$3:$A$5001,AE$3,BD!$B$3:$B$5001,$A$76)))</f>
        <v/>
      </c>
      <c r="AF79" s="190" t="str">
        <f>IF(AF$3="","",IF(COUNTIFS(BD!$A$3:$A$5001,AF$3,BD!$B$3:$B$5001,$A$76,BD!$F$3:$F$5001,"&lt;&gt;")=0,"",SUMIFS(BD!$F$3:$F$5001,BD!$A$3:$A$5001,AF$3,BD!$B$3:$B$5001,$A$76)))</f>
        <v/>
      </c>
      <c r="AG79" s="190" t="str">
        <f>IF(AG$3="","",IF(COUNTIFS(BD!$A$3:$A$5001,AG$3,BD!$B$3:$B$5001,$A$76,BD!$F$3:$F$5001,"&lt;&gt;")=0,"",SUMIFS(BD!$F$3:$F$5001,BD!$A$3:$A$5001,AG$3,BD!$B$3:$B$5001,$A$76)))</f>
        <v/>
      </c>
      <c r="AH79" s="190" t="str">
        <f>IF(AH$3="","",IF(COUNTIFS(BD!$A$3:$A$5001,AH$3,BD!$B$3:$B$5001,$A$76,BD!$F$3:$F$5001,"&lt;&gt;")=0,"",SUMIFS(BD!$F$3:$F$5001,BD!$A$3:$A$5001,AH$3,BD!$B$3:$B$5001,$A$76)))</f>
        <v/>
      </c>
      <c r="AI79" s="190" t="str">
        <f>IF(AI$3="","",IF(COUNTIFS(BD!$A$3:$A$5001,AI$3,BD!$B$3:$B$5001,$A$76,BD!$F$3:$F$5001,"&lt;&gt;")=0,"",SUMIFS(BD!$F$3:$F$5001,BD!$A$3:$A$5001,AI$3,BD!$B$3:$B$5001,$A$76)))</f>
        <v/>
      </c>
      <c r="AJ79" s="191" t="str">
        <f>IF(AJ$3="","",IF(COUNTIFS(BD!$A$3:$A$5001,AJ$3,BD!$B$3:$B$5001,$A$76,BD!$F$3:$F$5001,"&lt;&gt;")=0,"",SUMIFS(BD!$F$3:$F$5001,BD!$A$3:$A$5001,AJ$3,BD!$B$3:$B$5001,$A$76)))</f>
        <v/>
      </c>
      <c r="AK79" s="187" t="str">
        <f>IF(COUNT(F79:AJ79)=0,"",SUM(F79:AJ79))</f>
        <v/>
      </c>
    </row>
    <row r="80" ht="15.75" customHeight="1">
      <c r="A80" s="277"/>
      <c r="B80" s="267" t="inlineStr">
        <is>
          <t xml:space="preserve">OUT</t>
        </is>
      </c>
      <c r="C80" s="192" t="inlineStr">
        <is>
          <t xml:space="preserve">Veículos Expedidos</t>
        </is>
      </c>
      <c r="D80" s="193" t="str">
        <f>IFERROR(1/(1/INDEX(BD!$AF$28:$AZ$28,MATCH($A$76,BD!$AF$22:$AZ$22,0))),"")</f>
        <v/>
      </c>
      <c r="E80" s="194"/>
      <c r="F80" s="195" t="str">
        <f>IF(F$3="","",IF(COUNTIFS(BD!$A$3:$A$5001,F$3,BD!$B$3:$B$5001,$A$76,BD!$H$3:$H$5001,"&lt;&gt;")=0,"",SUMIFS(BD!$H$3:$H$5001,BD!$A$3:$A$5001,F$3,BD!$B$3:$B$5001,$A$76)))</f>
        <v/>
      </c>
      <c r="G80" s="196" t="str">
        <f>IF(G$3="","",IF(COUNTIFS(BD!$A$3:$A$5001,G$3,BD!$B$3:$B$5001,$A$76,BD!$H$3:$H$5001,"&lt;&gt;")=0,"",SUMIFS(BD!$H$3:$H$5001,BD!$A$3:$A$5001,G$3,BD!$B$3:$B$5001,$A$76)))</f>
        <v/>
      </c>
      <c r="H80" s="196" t="str">
        <f>IF(H$3="","",IF(COUNTIFS(BD!$A$3:$A$5001,H$3,BD!$B$3:$B$5001,$A$76,BD!$H$3:$H$5001,"&lt;&gt;")=0,"",SUMIFS(BD!$H$3:$H$5001,BD!$A$3:$A$5001,H$3,BD!$B$3:$B$5001,$A$76)))</f>
        <v/>
      </c>
      <c r="I80" s="196" t="str">
        <f>IF(I$3="","",IF(COUNTIFS(BD!$A$3:$A$5001,I$3,BD!$B$3:$B$5001,$A$76,BD!$H$3:$H$5001,"&lt;&gt;")=0,"",SUMIFS(BD!$H$3:$H$5001,BD!$A$3:$A$5001,I$3,BD!$B$3:$B$5001,$A$76)))</f>
        <v/>
      </c>
      <c r="J80" s="196" t="str">
        <f>IF(J$3="","",IF(COUNTIFS(BD!$A$3:$A$5001,J$3,BD!$B$3:$B$5001,$A$76,BD!$H$3:$H$5001,"&lt;&gt;")=0,"",SUMIFS(BD!$H$3:$H$5001,BD!$A$3:$A$5001,J$3,BD!$B$3:$B$5001,$A$76)))</f>
        <v/>
      </c>
      <c r="K80" s="196" t="str">
        <f>IF(K$3="","",IF(COUNTIFS(BD!$A$3:$A$5001,K$3,BD!$B$3:$B$5001,$A$76,BD!$H$3:$H$5001,"&lt;&gt;")=0,"",SUMIFS(BD!$H$3:$H$5001,BD!$A$3:$A$5001,K$3,BD!$B$3:$B$5001,$A$76)))</f>
        <v/>
      </c>
      <c r="L80" s="196" t="str">
        <f>IF(L$3="","",IF(COUNTIFS(BD!$A$3:$A$5001,L$3,BD!$B$3:$B$5001,$A$76,BD!$H$3:$H$5001,"&lt;&gt;")=0,"",SUMIFS(BD!$H$3:$H$5001,BD!$A$3:$A$5001,L$3,BD!$B$3:$B$5001,$A$76)))</f>
        <v/>
      </c>
      <c r="M80" s="196" t="str">
        <f>IF(M$3="","",IF(COUNTIFS(BD!$A$3:$A$5001,M$3,BD!$B$3:$B$5001,$A$76,BD!$H$3:$H$5001,"&lt;&gt;")=0,"",SUMIFS(BD!$H$3:$H$5001,BD!$A$3:$A$5001,M$3,BD!$B$3:$B$5001,$A$76)))</f>
        <v/>
      </c>
      <c r="N80" s="196" t="str">
        <f>IF(N$3="","",IF(COUNTIFS(BD!$A$3:$A$5001,N$3,BD!$B$3:$B$5001,$A$76,BD!$H$3:$H$5001,"&lt;&gt;")=0,"",SUMIFS(BD!$H$3:$H$5001,BD!$A$3:$A$5001,N$3,BD!$B$3:$B$5001,$A$76)))</f>
        <v/>
      </c>
      <c r="O80" s="196" t="str">
        <f>IF(O$3="","",IF(COUNTIFS(BD!$A$3:$A$5001,O$3,BD!$B$3:$B$5001,$A$76,BD!$H$3:$H$5001,"&lt;&gt;")=0,"",SUMIFS(BD!$H$3:$H$5001,BD!$A$3:$A$5001,O$3,BD!$B$3:$B$5001,$A$76)))</f>
        <v/>
      </c>
      <c r="P80" s="196" t="str">
        <f>IF(P$3="","",IF(COUNTIFS(BD!$A$3:$A$5001,P$3,BD!$B$3:$B$5001,$A$76,BD!$H$3:$H$5001,"&lt;&gt;")=0,"",SUMIFS(BD!$H$3:$H$5001,BD!$A$3:$A$5001,P$3,BD!$B$3:$B$5001,$A$76)))</f>
        <v/>
      </c>
      <c r="Q80" s="196" t="str">
        <f>IF(Q$3="","",IF(COUNTIFS(BD!$A$3:$A$5001,Q$3,BD!$B$3:$B$5001,$A$76,BD!$H$3:$H$5001,"&lt;&gt;")=0,"",SUMIFS(BD!$H$3:$H$5001,BD!$A$3:$A$5001,Q$3,BD!$B$3:$B$5001,$A$76)))</f>
        <v/>
      </c>
      <c r="R80" s="196" t="str">
        <f>IF(R$3="","",IF(COUNTIFS(BD!$A$3:$A$5001,R$3,BD!$B$3:$B$5001,$A$76,BD!$H$3:$H$5001,"&lt;&gt;")=0,"",SUMIFS(BD!$H$3:$H$5001,BD!$A$3:$A$5001,R$3,BD!$B$3:$B$5001,$A$76)))</f>
        <v/>
      </c>
      <c r="S80" s="196" t="str">
        <f>IF(S$3="","",IF(COUNTIFS(BD!$A$3:$A$5001,S$3,BD!$B$3:$B$5001,$A$76,BD!$H$3:$H$5001,"&lt;&gt;")=0,"",SUMIFS(BD!$H$3:$H$5001,BD!$A$3:$A$5001,S$3,BD!$B$3:$B$5001,$A$76)))</f>
        <v/>
      </c>
      <c r="T80" s="196" t="str">
        <f>IF(T$3="","",IF(COUNTIFS(BD!$A$3:$A$5001,T$3,BD!$B$3:$B$5001,$A$76,BD!$H$3:$H$5001,"&lt;&gt;")=0,"",SUMIFS(BD!$H$3:$H$5001,BD!$A$3:$A$5001,T$3,BD!$B$3:$B$5001,$A$76)))</f>
        <v/>
      </c>
      <c r="U80" s="196" t="str">
        <f>IF(U$3="","",IF(COUNTIFS(BD!$A$3:$A$5001,U$3,BD!$B$3:$B$5001,$A$76,BD!$H$3:$H$5001,"&lt;&gt;")=0,"",SUMIFS(BD!$H$3:$H$5001,BD!$A$3:$A$5001,U$3,BD!$B$3:$B$5001,$A$76)))</f>
        <v/>
      </c>
      <c r="V80" s="196" t="str">
        <f>IF(V$3="","",IF(COUNTIFS(BD!$A$3:$A$5001,V$3,BD!$B$3:$B$5001,$A$76,BD!$H$3:$H$5001,"&lt;&gt;")=0,"",SUMIFS(BD!$H$3:$H$5001,BD!$A$3:$A$5001,V$3,BD!$B$3:$B$5001,$A$76)))</f>
        <v/>
      </c>
      <c r="W80" s="196" t="str">
        <f>IF(W$3="","",IF(COUNTIFS(BD!$A$3:$A$5001,W$3,BD!$B$3:$B$5001,$A$76,BD!$H$3:$H$5001,"&lt;&gt;")=0,"",SUMIFS(BD!$H$3:$H$5001,BD!$A$3:$A$5001,W$3,BD!$B$3:$B$5001,$A$76)))</f>
        <v/>
      </c>
      <c r="X80" s="196" t="str">
        <f>IF(X$3="","",IF(COUNTIFS(BD!$A$3:$A$5001,X$3,BD!$B$3:$B$5001,$A$76,BD!$H$3:$H$5001,"&lt;&gt;")=0,"",SUMIFS(BD!$H$3:$H$5001,BD!$A$3:$A$5001,X$3,BD!$B$3:$B$5001,$A$76)))</f>
        <v/>
      </c>
      <c r="Y80" s="196" t="str">
        <f>IF(Y$3="","",IF(COUNTIFS(BD!$A$3:$A$5001,Y$3,BD!$B$3:$B$5001,$A$76,BD!$H$3:$H$5001,"&lt;&gt;")=0,"",SUMIFS(BD!$H$3:$H$5001,BD!$A$3:$A$5001,Y$3,BD!$B$3:$B$5001,$A$76)))</f>
        <v/>
      </c>
      <c r="Z80" s="196" t="str">
        <f>IF(Z$3="","",IF(COUNTIFS(BD!$A$3:$A$5001,Z$3,BD!$B$3:$B$5001,$A$76,BD!$H$3:$H$5001,"&lt;&gt;")=0,"",SUMIFS(BD!$H$3:$H$5001,BD!$A$3:$A$5001,Z$3,BD!$B$3:$B$5001,$A$76)))</f>
        <v/>
      </c>
      <c r="AA80" s="196" t="str">
        <f>IF(AA$3="","",IF(COUNTIFS(BD!$A$3:$A$5001,AA$3,BD!$B$3:$B$5001,$A$76,BD!$H$3:$H$5001,"&lt;&gt;")=0,"",SUMIFS(BD!$H$3:$H$5001,BD!$A$3:$A$5001,AA$3,BD!$B$3:$B$5001,$A$76)))</f>
        <v/>
      </c>
      <c r="AB80" s="196" t="str">
        <f>IF(AB$3="","",IF(COUNTIFS(BD!$A$3:$A$5001,AB$3,BD!$B$3:$B$5001,$A$76,BD!$H$3:$H$5001,"&lt;&gt;")=0,"",SUMIFS(BD!$H$3:$H$5001,BD!$A$3:$A$5001,AB$3,BD!$B$3:$B$5001,$A$76)))</f>
        <v/>
      </c>
      <c r="AC80" s="196" t="str">
        <f>IF(AC$3="","",IF(COUNTIFS(BD!$A$3:$A$5001,AC$3,BD!$B$3:$B$5001,$A$76,BD!$H$3:$H$5001,"&lt;&gt;")=0,"",SUMIFS(BD!$H$3:$H$5001,BD!$A$3:$A$5001,AC$3,BD!$B$3:$B$5001,$A$76)))</f>
        <v/>
      </c>
      <c r="AD80" s="196" t="str">
        <f>IF(AD$3="","",IF(COUNTIFS(BD!$A$3:$A$5001,AD$3,BD!$B$3:$B$5001,$A$76,BD!$H$3:$H$5001,"&lt;&gt;")=0,"",SUMIFS(BD!$H$3:$H$5001,BD!$A$3:$A$5001,AD$3,BD!$B$3:$B$5001,$A$76)))</f>
        <v/>
      </c>
      <c r="AE80" s="196" t="str">
        <f>IF(AE$3="","",IF(COUNTIFS(BD!$A$3:$A$5001,AE$3,BD!$B$3:$B$5001,$A$76,BD!$H$3:$H$5001,"&lt;&gt;")=0,"",SUMIFS(BD!$H$3:$H$5001,BD!$A$3:$A$5001,AE$3,BD!$B$3:$B$5001,$A$76)))</f>
        <v/>
      </c>
      <c r="AF80" s="196" t="str">
        <f>IF(AF$3="","",IF(COUNTIFS(BD!$A$3:$A$5001,AF$3,BD!$B$3:$B$5001,$A$76,BD!$H$3:$H$5001,"&lt;&gt;")=0,"",SUMIFS(BD!$H$3:$H$5001,BD!$A$3:$A$5001,AF$3,BD!$B$3:$B$5001,$A$76)))</f>
        <v/>
      </c>
      <c r="AG80" s="196" t="str">
        <f>IF(AG$3="","",IF(COUNTIFS(BD!$A$3:$A$5001,AG$3,BD!$B$3:$B$5001,$A$76,BD!$H$3:$H$5001,"&lt;&gt;")=0,"",SUMIFS(BD!$H$3:$H$5001,BD!$A$3:$A$5001,AG$3,BD!$B$3:$B$5001,$A$76)))</f>
        <v/>
      </c>
      <c r="AH80" s="196" t="str">
        <f>IF(AH$3="","",IF(COUNTIFS(BD!$A$3:$A$5001,AH$3,BD!$B$3:$B$5001,$A$76,BD!$H$3:$H$5001,"&lt;&gt;")=0,"",SUMIFS(BD!$H$3:$H$5001,BD!$A$3:$A$5001,AH$3,BD!$B$3:$B$5001,$A$76)))</f>
        <v/>
      </c>
      <c r="AI80" s="196" t="str">
        <f>IF(AI$3="","",IF(COUNTIFS(BD!$A$3:$A$5001,AI$3,BD!$B$3:$B$5001,$A$76,BD!$H$3:$H$5001,"&lt;&gt;")=0,"",SUMIFS(BD!$H$3:$H$5001,BD!$A$3:$A$5001,AI$3,BD!$B$3:$B$5001,$A$76)))</f>
        <v/>
      </c>
      <c r="AJ80" s="197" t="str">
        <f>IF(AJ$3="","",IF(COUNTIFS(BD!$A$3:$A$5001,AJ$3,BD!$B$3:$B$5001,$A$76,BD!$H$3:$H$5001,"&lt;&gt;")=0,"",SUMIFS(BD!$H$3:$H$5001,BD!$A$3:$A$5001,AJ$3,BD!$B$3:$B$5001,$A$76)))</f>
        <v/>
      </c>
      <c r="AK80" s="198" t="str">
        <f>IF(COUNT(F80:AJ80)=0,"",SUM(F80:AJ80))</f>
        <v/>
      </c>
    </row>
    <row r="81" ht="15.75" customHeight="1">
      <c r="A81" s="277"/>
      <c r="B81" s="268"/>
      <c r="C81" s="199" t="inlineStr">
        <is>
          <t xml:space="preserve">Pallets Movimentados</t>
        </is>
      </c>
      <c r="D81" s="200" t="str">
        <f>IFERROR(1/(1/INDEX(BD!$AF$29:$AZ$29,MATCH($A$76,BD!$AF$22:$AZ$22,0))),"")</f>
        <v/>
      </c>
      <c r="E81" s="201"/>
      <c r="F81" s="202" t="str">
        <f>IF(F$3="","",IF(COUNTIFS(BD!$A$3:$A$5001,F$3,BD!$B$3:$B$5001,$A$76,BD!$I$3:$I$5001,"&lt;&gt;")=0,"",SUMIFS(BD!$I$3:$I$5001,BD!$A$3:$A$5001,F$3,BD!$B$3:$B$5001,$A$76)))</f>
        <v/>
      </c>
      <c r="G81" s="203" t="str">
        <f>IF(G$3="","",IF(COUNTIFS(BD!$A$3:$A$5001,G$3,BD!$B$3:$B$5001,$A$76,BD!$I$3:$I$5001,"&lt;&gt;")=0,"",SUMIFS(BD!$I$3:$I$5001,BD!$A$3:$A$5001,G$3,BD!$B$3:$B$5001,$A$76)))</f>
        <v/>
      </c>
      <c r="H81" s="203" t="str">
        <f>IF(H$3="","",IF(COUNTIFS(BD!$A$3:$A$5001,H$3,BD!$B$3:$B$5001,$A$76,BD!$I$3:$I$5001,"&lt;&gt;")=0,"",SUMIFS(BD!$I$3:$I$5001,BD!$A$3:$A$5001,H$3,BD!$B$3:$B$5001,$A$76)))</f>
        <v/>
      </c>
      <c r="I81" s="203" t="str">
        <f>IF(I$3="","",IF(COUNTIFS(BD!$A$3:$A$5001,I$3,BD!$B$3:$B$5001,$A$76,BD!$I$3:$I$5001,"&lt;&gt;")=0,"",SUMIFS(BD!$I$3:$I$5001,BD!$A$3:$A$5001,I$3,BD!$B$3:$B$5001,$A$76)))</f>
        <v/>
      </c>
      <c r="J81" s="203" t="str">
        <f>IF(J$3="","",IF(COUNTIFS(BD!$A$3:$A$5001,J$3,BD!$B$3:$B$5001,$A$76,BD!$I$3:$I$5001,"&lt;&gt;")=0,"",SUMIFS(BD!$I$3:$I$5001,BD!$A$3:$A$5001,J$3,BD!$B$3:$B$5001,$A$76)))</f>
        <v/>
      </c>
      <c r="K81" s="203" t="str">
        <f>IF(K$3="","",IF(COUNTIFS(BD!$A$3:$A$5001,K$3,BD!$B$3:$B$5001,$A$76,BD!$I$3:$I$5001,"&lt;&gt;")=0,"",SUMIFS(BD!$I$3:$I$5001,BD!$A$3:$A$5001,K$3,BD!$B$3:$B$5001,$A$76)))</f>
        <v/>
      </c>
      <c r="L81" s="203" t="str">
        <f>IF(L$3="","",IF(COUNTIFS(BD!$A$3:$A$5001,L$3,BD!$B$3:$B$5001,$A$76,BD!$I$3:$I$5001,"&lt;&gt;")=0,"",SUMIFS(BD!$I$3:$I$5001,BD!$A$3:$A$5001,L$3,BD!$B$3:$B$5001,$A$76)))</f>
        <v/>
      </c>
      <c r="M81" s="203" t="str">
        <f>IF(M$3="","",IF(COUNTIFS(BD!$A$3:$A$5001,M$3,BD!$B$3:$B$5001,$A$76,BD!$I$3:$I$5001,"&lt;&gt;")=0,"",SUMIFS(BD!$I$3:$I$5001,BD!$A$3:$A$5001,M$3,BD!$B$3:$B$5001,$A$76)))</f>
        <v/>
      </c>
      <c r="N81" s="203" t="str">
        <f>IF(N$3="","",IF(COUNTIFS(BD!$A$3:$A$5001,N$3,BD!$B$3:$B$5001,$A$76,BD!$I$3:$I$5001,"&lt;&gt;")=0,"",SUMIFS(BD!$I$3:$I$5001,BD!$A$3:$A$5001,N$3,BD!$B$3:$B$5001,$A$76)))</f>
        <v/>
      </c>
      <c r="O81" s="203" t="str">
        <f>IF(O$3="","",IF(COUNTIFS(BD!$A$3:$A$5001,O$3,BD!$B$3:$B$5001,$A$76,BD!$I$3:$I$5001,"&lt;&gt;")=0,"",SUMIFS(BD!$I$3:$I$5001,BD!$A$3:$A$5001,O$3,BD!$B$3:$B$5001,$A$76)))</f>
        <v/>
      </c>
      <c r="P81" s="203" t="str">
        <f>IF(P$3="","",IF(COUNTIFS(BD!$A$3:$A$5001,P$3,BD!$B$3:$B$5001,$A$76,BD!$I$3:$I$5001,"&lt;&gt;")=0,"",SUMIFS(BD!$I$3:$I$5001,BD!$A$3:$A$5001,P$3,BD!$B$3:$B$5001,$A$76)))</f>
        <v/>
      </c>
      <c r="Q81" s="203" t="str">
        <f>IF(Q$3="","",IF(COUNTIFS(BD!$A$3:$A$5001,Q$3,BD!$B$3:$B$5001,$A$76,BD!$I$3:$I$5001,"&lt;&gt;")=0,"",SUMIFS(BD!$I$3:$I$5001,BD!$A$3:$A$5001,Q$3,BD!$B$3:$B$5001,$A$76)))</f>
        <v/>
      </c>
      <c r="R81" s="203" t="str">
        <f>IF(R$3="","",IF(COUNTIFS(BD!$A$3:$A$5001,R$3,BD!$B$3:$B$5001,$A$76,BD!$I$3:$I$5001,"&lt;&gt;")=0,"",SUMIFS(BD!$I$3:$I$5001,BD!$A$3:$A$5001,R$3,BD!$B$3:$B$5001,$A$76)))</f>
        <v/>
      </c>
      <c r="S81" s="203" t="str">
        <f>IF(S$3="","",IF(COUNTIFS(BD!$A$3:$A$5001,S$3,BD!$B$3:$B$5001,$A$76,BD!$I$3:$I$5001,"&lt;&gt;")=0,"",SUMIFS(BD!$I$3:$I$5001,BD!$A$3:$A$5001,S$3,BD!$B$3:$B$5001,$A$76)))</f>
        <v/>
      </c>
      <c r="T81" s="203" t="str">
        <f>IF(T$3="","",IF(COUNTIFS(BD!$A$3:$A$5001,T$3,BD!$B$3:$B$5001,$A$76,BD!$I$3:$I$5001,"&lt;&gt;")=0,"",SUMIFS(BD!$I$3:$I$5001,BD!$A$3:$A$5001,T$3,BD!$B$3:$B$5001,$A$76)))</f>
        <v/>
      </c>
      <c r="U81" s="203" t="str">
        <f>IF(U$3="","",IF(COUNTIFS(BD!$A$3:$A$5001,U$3,BD!$B$3:$B$5001,$A$76,BD!$I$3:$I$5001,"&lt;&gt;")=0,"",SUMIFS(BD!$I$3:$I$5001,BD!$A$3:$A$5001,U$3,BD!$B$3:$B$5001,$A$76)))</f>
        <v/>
      </c>
      <c r="V81" s="203" t="str">
        <f>IF(V$3="","",IF(COUNTIFS(BD!$A$3:$A$5001,V$3,BD!$B$3:$B$5001,$A$76,BD!$I$3:$I$5001,"&lt;&gt;")=0,"",SUMIFS(BD!$I$3:$I$5001,BD!$A$3:$A$5001,V$3,BD!$B$3:$B$5001,$A$76)))</f>
        <v/>
      </c>
      <c r="W81" s="203" t="str">
        <f>IF(W$3="","",IF(COUNTIFS(BD!$A$3:$A$5001,W$3,BD!$B$3:$B$5001,$A$76,BD!$I$3:$I$5001,"&lt;&gt;")=0,"",SUMIFS(BD!$I$3:$I$5001,BD!$A$3:$A$5001,W$3,BD!$B$3:$B$5001,$A$76)))</f>
        <v/>
      </c>
      <c r="X81" s="203" t="str">
        <f>IF(X$3="","",IF(COUNTIFS(BD!$A$3:$A$5001,X$3,BD!$B$3:$B$5001,$A$76,BD!$I$3:$I$5001,"&lt;&gt;")=0,"",SUMIFS(BD!$I$3:$I$5001,BD!$A$3:$A$5001,X$3,BD!$B$3:$B$5001,$A$76)))</f>
        <v/>
      </c>
      <c r="Y81" s="203" t="str">
        <f>IF(Y$3="","",IF(COUNTIFS(BD!$A$3:$A$5001,Y$3,BD!$B$3:$B$5001,$A$76,BD!$I$3:$I$5001,"&lt;&gt;")=0,"",SUMIFS(BD!$I$3:$I$5001,BD!$A$3:$A$5001,Y$3,BD!$B$3:$B$5001,$A$76)))</f>
        <v/>
      </c>
      <c r="Z81" s="203" t="str">
        <f>IF(Z$3="","",IF(COUNTIFS(BD!$A$3:$A$5001,Z$3,BD!$B$3:$B$5001,$A$76,BD!$I$3:$I$5001,"&lt;&gt;")=0,"",SUMIFS(BD!$I$3:$I$5001,BD!$A$3:$A$5001,Z$3,BD!$B$3:$B$5001,$A$76)))</f>
        <v/>
      </c>
      <c r="AA81" s="203" t="str">
        <f>IF(AA$3="","",IF(COUNTIFS(BD!$A$3:$A$5001,AA$3,BD!$B$3:$B$5001,$A$76,BD!$I$3:$I$5001,"&lt;&gt;")=0,"",SUMIFS(BD!$I$3:$I$5001,BD!$A$3:$A$5001,AA$3,BD!$B$3:$B$5001,$A$76)))</f>
        <v/>
      </c>
      <c r="AB81" s="203" t="str">
        <f>IF(AB$3="","",IF(COUNTIFS(BD!$A$3:$A$5001,AB$3,BD!$B$3:$B$5001,$A$76,BD!$I$3:$I$5001,"&lt;&gt;")=0,"",SUMIFS(BD!$I$3:$I$5001,BD!$A$3:$A$5001,AB$3,BD!$B$3:$B$5001,$A$76)))</f>
        <v/>
      </c>
      <c r="AC81" s="203" t="str">
        <f>IF(AC$3="","",IF(COUNTIFS(BD!$A$3:$A$5001,AC$3,BD!$B$3:$B$5001,$A$76,BD!$I$3:$I$5001,"&lt;&gt;")=0,"",SUMIFS(BD!$I$3:$I$5001,BD!$A$3:$A$5001,AC$3,BD!$B$3:$B$5001,$A$76)))</f>
        <v/>
      </c>
      <c r="AD81" s="203" t="str">
        <f>IF(AD$3="","",IF(COUNTIFS(BD!$A$3:$A$5001,AD$3,BD!$B$3:$B$5001,$A$76,BD!$I$3:$I$5001,"&lt;&gt;")=0,"",SUMIFS(BD!$I$3:$I$5001,BD!$A$3:$A$5001,AD$3,BD!$B$3:$B$5001,$A$76)))</f>
        <v/>
      </c>
      <c r="AE81" s="203" t="str">
        <f>IF(AE$3="","",IF(COUNTIFS(BD!$A$3:$A$5001,AE$3,BD!$B$3:$B$5001,$A$76,BD!$I$3:$I$5001,"&lt;&gt;")=0,"",SUMIFS(BD!$I$3:$I$5001,BD!$A$3:$A$5001,AE$3,BD!$B$3:$B$5001,$A$76)))</f>
        <v/>
      </c>
      <c r="AF81" s="203" t="str">
        <f>IF(AF$3="","",IF(COUNTIFS(BD!$A$3:$A$5001,AF$3,BD!$B$3:$B$5001,$A$76,BD!$I$3:$I$5001,"&lt;&gt;")=0,"",SUMIFS(BD!$I$3:$I$5001,BD!$A$3:$A$5001,AF$3,BD!$B$3:$B$5001,$A$76)))</f>
        <v/>
      </c>
      <c r="AG81" s="203" t="str">
        <f>IF(AG$3="","",IF(COUNTIFS(BD!$A$3:$A$5001,AG$3,BD!$B$3:$B$5001,$A$76,BD!$I$3:$I$5001,"&lt;&gt;")=0,"",SUMIFS(BD!$I$3:$I$5001,BD!$A$3:$A$5001,AG$3,BD!$B$3:$B$5001,$A$76)))</f>
        <v/>
      </c>
      <c r="AH81" s="203" t="str">
        <f>IF(AH$3="","",IF(COUNTIFS(BD!$A$3:$A$5001,AH$3,BD!$B$3:$B$5001,$A$76,BD!$I$3:$I$5001,"&lt;&gt;")=0,"",SUMIFS(BD!$I$3:$I$5001,BD!$A$3:$A$5001,AH$3,BD!$B$3:$B$5001,$A$76)))</f>
        <v/>
      </c>
      <c r="AI81" s="203" t="str">
        <f>IF(AI$3="","",IF(COUNTIFS(BD!$A$3:$A$5001,AI$3,BD!$B$3:$B$5001,$A$76,BD!$I$3:$I$5001,"&lt;&gt;")=0,"",SUMIFS(BD!$I$3:$I$5001,BD!$A$3:$A$5001,AI$3,BD!$B$3:$B$5001,$A$76)))</f>
        <v/>
      </c>
      <c r="AJ81" s="204" t="str">
        <f>IF(AJ$3="","",IF(COUNTIFS(BD!$A$3:$A$5001,AJ$3,BD!$B$3:$B$5001,$A$76,BD!$I$3:$I$5001,"&lt;&gt;")=0,"",SUMIFS(BD!$I$3:$I$5001,BD!$A$3:$A$5001,AJ$3,BD!$B$3:$B$5001,$A$76)))</f>
        <v/>
      </c>
      <c r="AK81" s="205" t="str">
        <f>IF(COUNT(F81:AJ81)=0,"",SUM(F81:AJ81))</f>
        <v/>
      </c>
    </row>
    <row r="82" ht="15.75" customHeight="1">
      <c r="A82" s="277"/>
      <c r="B82" s="268"/>
      <c r="C82" s="199" t="inlineStr">
        <is>
          <t xml:space="preserve">Toneladas Movimentadas</t>
        </is>
      </c>
      <c r="D82" s="200" t="str">
        <f>IFERROR(1/(1/INDEX(BD!$AF$30:$AZ$30,MATCH($A$76,BD!$AF$22:$AZ$22,0))),"")</f>
        <v/>
      </c>
      <c r="E82" s="201"/>
      <c r="F82" s="206" t="str">
        <f>IF(F$3="","",IF(COUNTIFS(BD!$A$3:$A$5001,F$3,BD!$B$3:$B$5001,$A$76,BD!$J$3:$J$5001,"&lt;&gt;")=0,"",SUMIFS(BD!$J$3:$J$5001,BD!$A$3:$A$5001,F$3,BD!$B$3:$B$5001,$A$76)))</f>
        <v/>
      </c>
      <c r="G82" s="207" t="str">
        <f>IF(G$3="","",IF(COUNTIFS(BD!$A$3:$A$5001,G$3,BD!$B$3:$B$5001,$A$76,BD!$J$3:$J$5001,"&lt;&gt;")=0,"",SUMIFS(BD!$J$3:$J$5001,BD!$A$3:$A$5001,G$3,BD!$B$3:$B$5001,$A$76)))</f>
        <v/>
      </c>
      <c r="H82" s="207" t="str">
        <f>IF(H$3="","",IF(COUNTIFS(BD!$A$3:$A$5001,H$3,BD!$B$3:$B$5001,$A$76,BD!$J$3:$J$5001,"&lt;&gt;")=0,"",SUMIFS(BD!$J$3:$J$5001,BD!$A$3:$A$5001,H$3,BD!$B$3:$B$5001,$A$76)))</f>
        <v/>
      </c>
      <c r="I82" s="207" t="str">
        <f>IF(I$3="","",IF(COUNTIFS(BD!$A$3:$A$5001,I$3,BD!$B$3:$B$5001,$A$76,BD!$J$3:$J$5001,"&lt;&gt;")=0,"",SUMIFS(BD!$J$3:$J$5001,BD!$A$3:$A$5001,I$3,BD!$B$3:$B$5001,$A$76)))</f>
        <v/>
      </c>
      <c r="J82" s="207" t="str">
        <f>IF(J$3="","",IF(COUNTIFS(BD!$A$3:$A$5001,J$3,BD!$B$3:$B$5001,$A$76,BD!$J$3:$J$5001,"&lt;&gt;")=0,"",SUMIFS(BD!$J$3:$J$5001,BD!$A$3:$A$5001,J$3,BD!$B$3:$B$5001,$A$76)))</f>
        <v/>
      </c>
      <c r="K82" s="207" t="str">
        <f>IF(K$3="","",IF(COUNTIFS(BD!$A$3:$A$5001,K$3,BD!$B$3:$B$5001,$A$76,BD!$J$3:$J$5001,"&lt;&gt;")=0,"",SUMIFS(BD!$J$3:$J$5001,BD!$A$3:$A$5001,K$3,BD!$B$3:$B$5001,$A$76)))</f>
        <v/>
      </c>
      <c r="L82" s="207" t="str">
        <f>IF(L$3="","",IF(COUNTIFS(BD!$A$3:$A$5001,L$3,BD!$B$3:$B$5001,$A$76,BD!$J$3:$J$5001,"&lt;&gt;")=0,"",SUMIFS(BD!$J$3:$J$5001,BD!$A$3:$A$5001,L$3,BD!$B$3:$B$5001,$A$76)))</f>
        <v/>
      </c>
      <c r="M82" s="207" t="str">
        <f>IF(M$3="","",IF(COUNTIFS(BD!$A$3:$A$5001,M$3,BD!$B$3:$B$5001,$A$76,BD!$J$3:$J$5001,"&lt;&gt;")=0,"",SUMIFS(BD!$J$3:$J$5001,BD!$A$3:$A$5001,M$3,BD!$B$3:$B$5001,$A$76)))</f>
        <v/>
      </c>
      <c r="N82" s="207" t="str">
        <f>IF(N$3="","",IF(COUNTIFS(BD!$A$3:$A$5001,N$3,BD!$B$3:$B$5001,$A$76,BD!$J$3:$J$5001,"&lt;&gt;")=0,"",SUMIFS(BD!$J$3:$J$5001,BD!$A$3:$A$5001,N$3,BD!$B$3:$B$5001,$A$76)))</f>
        <v/>
      </c>
      <c r="O82" s="207" t="str">
        <f>IF(O$3="","",IF(COUNTIFS(BD!$A$3:$A$5001,O$3,BD!$B$3:$B$5001,$A$76,BD!$J$3:$J$5001,"&lt;&gt;")=0,"",SUMIFS(BD!$J$3:$J$5001,BD!$A$3:$A$5001,O$3,BD!$B$3:$B$5001,$A$76)))</f>
        <v/>
      </c>
      <c r="P82" s="207" t="str">
        <f>IF(P$3="","",IF(COUNTIFS(BD!$A$3:$A$5001,P$3,BD!$B$3:$B$5001,$A$76,BD!$J$3:$J$5001,"&lt;&gt;")=0,"",SUMIFS(BD!$J$3:$J$5001,BD!$A$3:$A$5001,P$3,BD!$B$3:$B$5001,$A$76)))</f>
        <v/>
      </c>
      <c r="Q82" s="207" t="str">
        <f>IF(Q$3="","",IF(COUNTIFS(BD!$A$3:$A$5001,Q$3,BD!$B$3:$B$5001,$A$76,BD!$J$3:$J$5001,"&lt;&gt;")=0,"",SUMIFS(BD!$J$3:$J$5001,BD!$A$3:$A$5001,Q$3,BD!$B$3:$B$5001,$A$76)))</f>
        <v/>
      </c>
      <c r="R82" s="207" t="str">
        <f>IF(R$3="","",IF(COUNTIFS(BD!$A$3:$A$5001,R$3,BD!$B$3:$B$5001,$A$76,BD!$J$3:$J$5001,"&lt;&gt;")=0,"",SUMIFS(BD!$J$3:$J$5001,BD!$A$3:$A$5001,R$3,BD!$B$3:$B$5001,$A$76)))</f>
        <v/>
      </c>
      <c r="S82" s="207" t="str">
        <f>IF(S$3="","",IF(COUNTIFS(BD!$A$3:$A$5001,S$3,BD!$B$3:$B$5001,$A$76,BD!$J$3:$J$5001,"&lt;&gt;")=0,"",SUMIFS(BD!$J$3:$J$5001,BD!$A$3:$A$5001,S$3,BD!$B$3:$B$5001,$A$76)))</f>
        <v/>
      </c>
      <c r="T82" s="207" t="str">
        <f>IF(T$3="","",IF(COUNTIFS(BD!$A$3:$A$5001,T$3,BD!$B$3:$B$5001,$A$76,BD!$J$3:$J$5001,"&lt;&gt;")=0,"",SUMIFS(BD!$J$3:$J$5001,BD!$A$3:$A$5001,T$3,BD!$B$3:$B$5001,$A$76)))</f>
        <v/>
      </c>
      <c r="U82" s="207" t="str">
        <f>IF(U$3="","",IF(COUNTIFS(BD!$A$3:$A$5001,U$3,BD!$B$3:$B$5001,$A$76,BD!$J$3:$J$5001,"&lt;&gt;")=0,"",SUMIFS(BD!$J$3:$J$5001,BD!$A$3:$A$5001,U$3,BD!$B$3:$B$5001,$A$76)))</f>
        <v/>
      </c>
      <c r="V82" s="207" t="str">
        <f>IF(V$3="","",IF(COUNTIFS(BD!$A$3:$A$5001,V$3,BD!$B$3:$B$5001,$A$76,BD!$J$3:$J$5001,"&lt;&gt;")=0,"",SUMIFS(BD!$J$3:$J$5001,BD!$A$3:$A$5001,V$3,BD!$B$3:$B$5001,$A$76)))</f>
        <v/>
      </c>
      <c r="W82" s="207" t="str">
        <f>IF(W$3="","",IF(COUNTIFS(BD!$A$3:$A$5001,W$3,BD!$B$3:$B$5001,$A$76,BD!$J$3:$J$5001,"&lt;&gt;")=0,"",SUMIFS(BD!$J$3:$J$5001,BD!$A$3:$A$5001,W$3,BD!$B$3:$B$5001,$A$76)))</f>
        <v/>
      </c>
      <c r="X82" s="207" t="str">
        <f>IF(X$3="","",IF(COUNTIFS(BD!$A$3:$A$5001,X$3,BD!$B$3:$B$5001,$A$76,BD!$J$3:$J$5001,"&lt;&gt;")=0,"",SUMIFS(BD!$J$3:$J$5001,BD!$A$3:$A$5001,X$3,BD!$B$3:$B$5001,$A$76)))</f>
        <v/>
      </c>
      <c r="Y82" s="207" t="str">
        <f>IF(Y$3="","",IF(COUNTIFS(BD!$A$3:$A$5001,Y$3,BD!$B$3:$B$5001,$A$76,BD!$J$3:$J$5001,"&lt;&gt;")=0,"",SUMIFS(BD!$J$3:$J$5001,BD!$A$3:$A$5001,Y$3,BD!$B$3:$B$5001,$A$76)))</f>
        <v/>
      </c>
      <c r="Z82" s="207" t="str">
        <f>IF(Z$3="","",IF(COUNTIFS(BD!$A$3:$A$5001,Z$3,BD!$B$3:$B$5001,$A$76,BD!$J$3:$J$5001,"&lt;&gt;")=0,"",SUMIFS(BD!$J$3:$J$5001,BD!$A$3:$A$5001,Z$3,BD!$B$3:$B$5001,$A$76)))</f>
        <v/>
      </c>
      <c r="AA82" s="207" t="str">
        <f>IF(AA$3="","",IF(COUNTIFS(BD!$A$3:$A$5001,AA$3,BD!$B$3:$B$5001,$A$76,BD!$J$3:$J$5001,"&lt;&gt;")=0,"",SUMIFS(BD!$J$3:$J$5001,BD!$A$3:$A$5001,AA$3,BD!$B$3:$B$5001,$A$76)))</f>
        <v/>
      </c>
      <c r="AB82" s="207" t="str">
        <f>IF(AB$3="","",IF(COUNTIFS(BD!$A$3:$A$5001,AB$3,BD!$B$3:$B$5001,$A$76,BD!$J$3:$J$5001,"&lt;&gt;")=0,"",SUMIFS(BD!$J$3:$J$5001,BD!$A$3:$A$5001,AB$3,BD!$B$3:$B$5001,$A$76)))</f>
        <v/>
      </c>
      <c r="AC82" s="207" t="str">
        <f>IF(AC$3="","",IF(COUNTIFS(BD!$A$3:$A$5001,AC$3,BD!$B$3:$B$5001,$A$76,BD!$J$3:$J$5001,"&lt;&gt;")=0,"",SUMIFS(BD!$J$3:$J$5001,BD!$A$3:$A$5001,AC$3,BD!$B$3:$B$5001,$A$76)))</f>
        <v/>
      </c>
      <c r="AD82" s="207" t="str">
        <f>IF(AD$3="","",IF(COUNTIFS(BD!$A$3:$A$5001,AD$3,BD!$B$3:$B$5001,$A$76,BD!$J$3:$J$5001,"&lt;&gt;")=0,"",SUMIFS(BD!$J$3:$J$5001,BD!$A$3:$A$5001,AD$3,BD!$B$3:$B$5001,$A$76)))</f>
        <v/>
      </c>
      <c r="AE82" s="207" t="str">
        <f>IF(AE$3="","",IF(COUNTIFS(BD!$A$3:$A$5001,AE$3,BD!$B$3:$B$5001,$A$76,BD!$J$3:$J$5001,"&lt;&gt;")=0,"",SUMIFS(BD!$J$3:$J$5001,BD!$A$3:$A$5001,AE$3,BD!$B$3:$B$5001,$A$76)))</f>
        <v/>
      </c>
      <c r="AF82" s="207" t="str">
        <f>IF(AF$3="","",IF(COUNTIFS(BD!$A$3:$A$5001,AF$3,BD!$B$3:$B$5001,$A$76,BD!$J$3:$J$5001,"&lt;&gt;")=0,"",SUMIFS(BD!$J$3:$J$5001,BD!$A$3:$A$5001,AF$3,BD!$B$3:$B$5001,$A$76)))</f>
        <v/>
      </c>
      <c r="AG82" s="207" t="str">
        <f>IF(AG$3="","",IF(COUNTIFS(BD!$A$3:$A$5001,AG$3,BD!$B$3:$B$5001,$A$76,BD!$J$3:$J$5001,"&lt;&gt;")=0,"",SUMIFS(BD!$J$3:$J$5001,BD!$A$3:$A$5001,AG$3,BD!$B$3:$B$5001,$A$76)))</f>
        <v/>
      </c>
      <c r="AH82" s="207" t="str">
        <f>IF(AH$3="","",IF(COUNTIFS(BD!$A$3:$A$5001,AH$3,BD!$B$3:$B$5001,$A$76,BD!$J$3:$J$5001,"&lt;&gt;")=0,"",SUMIFS(BD!$J$3:$J$5001,BD!$A$3:$A$5001,AH$3,BD!$B$3:$B$5001,$A$76)))</f>
        <v/>
      </c>
      <c r="AI82" s="207" t="str">
        <f>IF(AI$3="","",IF(COUNTIFS(BD!$A$3:$A$5001,AI$3,BD!$B$3:$B$5001,$A$76,BD!$J$3:$J$5001,"&lt;&gt;")=0,"",SUMIFS(BD!$J$3:$J$5001,BD!$A$3:$A$5001,AI$3,BD!$B$3:$B$5001,$A$76)))</f>
        <v/>
      </c>
      <c r="AJ82" s="208" t="str">
        <f>IF(AJ$3="","",IF(COUNTIFS(BD!$A$3:$A$5001,AJ$3,BD!$B$3:$B$5001,$A$76,BD!$J$3:$J$5001,"&lt;&gt;")=0,"",SUMIFS(BD!$J$3:$J$5001,BD!$A$3:$A$5001,AJ$3,BD!$B$3:$B$5001,$A$76)))</f>
        <v/>
      </c>
      <c r="AK82" s="209" t="str">
        <f>IF(COUNT(F82:AJ82)=0,"",SUM(F82:AJ82))</f>
        <v/>
      </c>
    </row>
    <row r="83" ht="15.75" customHeight="1">
      <c r="A83" s="277"/>
      <c r="B83" s="268"/>
      <c r="C83" s="199" t="inlineStr">
        <is>
          <t xml:space="preserve">Caixas Expedidas</t>
        </is>
      </c>
      <c r="D83" s="200" t="str">
        <f>IFERROR(1/(1/INDEX(BD!$AF$31:$AZ$31,MATCH($A$76,BD!$AF$22:$AZ$22,0))),"")</f>
        <v/>
      </c>
      <c r="E83" s="201"/>
      <c r="F83" s="202" t="str">
        <f>IF(F$3="","",IF(COUNTIFS(BD!$A$3:$A$5001,F$3,BD!$B$3:$B$5001,$A$76,BD!$K$3:$K$5001,"&lt;&gt;")=0,"",SUMIFS(BD!$K$3:$K$5001,BD!$A$3:$A$5001,F$3,BD!$B$3:$B$5001,$A$76)))</f>
        <v/>
      </c>
      <c r="G83" s="203" t="str">
        <f>IF(G$3="","",IF(COUNTIFS(BD!$A$3:$A$5001,G$3,BD!$B$3:$B$5001,$A$76,BD!$K$3:$K$5001,"&lt;&gt;")=0,"",SUMIFS(BD!$K$3:$K$5001,BD!$A$3:$A$5001,G$3,BD!$B$3:$B$5001,$A$76)))</f>
        <v/>
      </c>
      <c r="H83" s="203" t="str">
        <f>IF(H$3="","",IF(COUNTIFS(BD!$A$3:$A$5001,H$3,BD!$B$3:$B$5001,$A$76,BD!$K$3:$K$5001,"&lt;&gt;")=0,"",SUMIFS(BD!$K$3:$K$5001,BD!$A$3:$A$5001,H$3,BD!$B$3:$B$5001,$A$76)))</f>
        <v/>
      </c>
      <c r="I83" s="203" t="str">
        <f>IF(I$3="","",IF(COUNTIFS(BD!$A$3:$A$5001,I$3,BD!$B$3:$B$5001,$A$76,BD!$K$3:$K$5001,"&lt;&gt;")=0,"",SUMIFS(BD!$K$3:$K$5001,BD!$A$3:$A$5001,I$3,BD!$B$3:$B$5001,$A$76)))</f>
        <v/>
      </c>
      <c r="J83" s="203" t="str">
        <f>IF(J$3="","",IF(COUNTIFS(BD!$A$3:$A$5001,J$3,BD!$B$3:$B$5001,$A$76,BD!$K$3:$K$5001,"&lt;&gt;")=0,"",SUMIFS(BD!$K$3:$K$5001,BD!$A$3:$A$5001,J$3,BD!$B$3:$B$5001,$A$76)))</f>
        <v/>
      </c>
      <c r="K83" s="203" t="str">
        <f>IF(K$3="","",IF(COUNTIFS(BD!$A$3:$A$5001,K$3,BD!$B$3:$B$5001,$A$76,BD!$K$3:$K$5001,"&lt;&gt;")=0,"",SUMIFS(BD!$K$3:$K$5001,BD!$A$3:$A$5001,K$3,BD!$B$3:$B$5001,$A$76)))</f>
        <v/>
      </c>
      <c r="L83" s="203" t="str">
        <f>IF(L$3="","",IF(COUNTIFS(BD!$A$3:$A$5001,L$3,BD!$B$3:$B$5001,$A$76,BD!$K$3:$K$5001,"&lt;&gt;")=0,"",SUMIFS(BD!$K$3:$K$5001,BD!$A$3:$A$5001,L$3,BD!$B$3:$B$5001,$A$76)))</f>
        <v/>
      </c>
      <c r="M83" s="203" t="str">
        <f>IF(M$3="","",IF(COUNTIFS(BD!$A$3:$A$5001,M$3,BD!$B$3:$B$5001,$A$76,BD!$K$3:$K$5001,"&lt;&gt;")=0,"",SUMIFS(BD!$K$3:$K$5001,BD!$A$3:$A$5001,M$3,BD!$B$3:$B$5001,$A$76)))</f>
        <v/>
      </c>
      <c r="N83" s="203" t="str">
        <f>IF(N$3="","",IF(COUNTIFS(BD!$A$3:$A$5001,N$3,BD!$B$3:$B$5001,$A$76,BD!$K$3:$K$5001,"&lt;&gt;")=0,"",SUMIFS(BD!$K$3:$K$5001,BD!$A$3:$A$5001,N$3,BD!$B$3:$B$5001,$A$76)))</f>
        <v/>
      </c>
      <c r="O83" s="203" t="str">
        <f>IF(O$3="","",IF(COUNTIFS(BD!$A$3:$A$5001,O$3,BD!$B$3:$B$5001,$A$76,BD!$K$3:$K$5001,"&lt;&gt;")=0,"",SUMIFS(BD!$K$3:$K$5001,BD!$A$3:$A$5001,O$3,BD!$B$3:$B$5001,$A$76)))</f>
        <v/>
      </c>
      <c r="P83" s="203" t="str">
        <f>IF(P$3="","",IF(COUNTIFS(BD!$A$3:$A$5001,P$3,BD!$B$3:$B$5001,$A$76,BD!$K$3:$K$5001,"&lt;&gt;")=0,"",SUMIFS(BD!$K$3:$K$5001,BD!$A$3:$A$5001,P$3,BD!$B$3:$B$5001,$A$76)))</f>
        <v/>
      </c>
      <c r="Q83" s="203" t="str">
        <f>IF(Q$3="","",IF(COUNTIFS(BD!$A$3:$A$5001,Q$3,BD!$B$3:$B$5001,$A$76,BD!$K$3:$K$5001,"&lt;&gt;")=0,"",SUMIFS(BD!$K$3:$K$5001,BD!$A$3:$A$5001,Q$3,BD!$B$3:$B$5001,$A$76)))</f>
        <v/>
      </c>
      <c r="R83" s="203" t="str">
        <f>IF(R$3="","",IF(COUNTIFS(BD!$A$3:$A$5001,R$3,BD!$B$3:$B$5001,$A$76,BD!$K$3:$K$5001,"&lt;&gt;")=0,"",SUMIFS(BD!$K$3:$K$5001,BD!$A$3:$A$5001,R$3,BD!$B$3:$B$5001,$A$76)))</f>
        <v/>
      </c>
      <c r="S83" s="203" t="str">
        <f>IF(S$3="","",IF(COUNTIFS(BD!$A$3:$A$5001,S$3,BD!$B$3:$B$5001,$A$76,BD!$K$3:$K$5001,"&lt;&gt;")=0,"",SUMIFS(BD!$K$3:$K$5001,BD!$A$3:$A$5001,S$3,BD!$B$3:$B$5001,$A$76)))</f>
        <v/>
      </c>
      <c r="T83" s="203" t="str">
        <f>IF(T$3="","",IF(COUNTIFS(BD!$A$3:$A$5001,T$3,BD!$B$3:$B$5001,$A$76,BD!$K$3:$K$5001,"&lt;&gt;")=0,"",SUMIFS(BD!$K$3:$K$5001,BD!$A$3:$A$5001,T$3,BD!$B$3:$B$5001,$A$76)))</f>
        <v/>
      </c>
      <c r="U83" s="203" t="str">
        <f>IF(U$3="","",IF(COUNTIFS(BD!$A$3:$A$5001,U$3,BD!$B$3:$B$5001,$A$76,BD!$K$3:$K$5001,"&lt;&gt;")=0,"",SUMIFS(BD!$K$3:$K$5001,BD!$A$3:$A$5001,U$3,BD!$B$3:$B$5001,$A$76)))</f>
        <v/>
      </c>
      <c r="V83" s="203" t="str">
        <f>IF(V$3="","",IF(COUNTIFS(BD!$A$3:$A$5001,V$3,BD!$B$3:$B$5001,$A$76,BD!$K$3:$K$5001,"&lt;&gt;")=0,"",SUMIFS(BD!$K$3:$K$5001,BD!$A$3:$A$5001,V$3,BD!$B$3:$B$5001,$A$76)))</f>
        <v/>
      </c>
      <c r="W83" s="203" t="str">
        <f>IF(W$3="","",IF(COUNTIFS(BD!$A$3:$A$5001,W$3,BD!$B$3:$B$5001,$A$76,BD!$K$3:$K$5001,"&lt;&gt;")=0,"",SUMIFS(BD!$K$3:$K$5001,BD!$A$3:$A$5001,W$3,BD!$B$3:$B$5001,$A$76)))</f>
        <v/>
      </c>
      <c r="X83" s="203" t="str">
        <f>IF(X$3="","",IF(COUNTIFS(BD!$A$3:$A$5001,X$3,BD!$B$3:$B$5001,$A$76,BD!$K$3:$K$5001,"&lt;&gt;")=0,"",SUMIFS(BD!$K$3:$K$5001,BD!$A$3:$A$5001,X$3,BD!$B$3:$B$5001,$A$76)))</f>
        <v/>
      </c>
      <c r="Y83" s="203" t="str">
        <f>IF(Y$3="","",IF(COUNTIFS(BD!$A$3:$A$5001,Y$3,BD!$B$3:$B$5001,$A$76,BD!$K$3:$K$5001,"&lt;&gt;")=0,"",SUMIFS(BD!$K$3:$K$5001,BD!$A$3:$A$5001,Y$3,BD!$B$3:$B$5001,$A$76)))</f>
        <v/>
      </c>
      <c r="Z83" s="203" t="str">
        <f>IF(Z$3="","",IF(COUNTIFS(BD!$A$3:$A$5001,Z$3,BD!$B$3:$B$5001,$A$76,BD!$K$3:$K$5001,"&lt;&gt;")=0,"",SUMIFS(BD!$K$3:$K$5001,BD!$A$3:$A$5001,Z$3,BD!$B$3:$B$5001,$A$76)))</f>
        <v/>
      </c>
      <c r="AA83" s="203" t="str">
        <f>IF(AA$3="","",IF(COUNTIFS(BD!$A$3:$A$5001,AA$3,BD!$B$3:$B$5001,$A$76,BD!$K$3:$K$5001,"&lt;&gt;")=0,"",SUMIFS(BD!$K$3:$K$5001,BD!$A$3:$A$5001,AA$3,BD!$B$3:$B$5001,$A$76)))</f>
        <v/>
      </c>
      <c r="AB83" s="203" t="str">
        <f>IF(AB$3="","",IF(COUNTIFS(BD!$A$3:$A$5001,AB$3,BD!$B$3:$B$5001,$A$76,BD!$K$3:$K$5001,"&lt;&gt;")=0,"",SUMIFS(BD!$K$3:$K$5001,BD!$A$3:$A$5001,AB$3,BD!$B$3:$B$5001,$A$76)))</f>
        <v/>
      </c>
      <c r="AC83" s="203" t="str">
        <f>IF(AC$3="","",IF(COUNTIFS(BD!$A$3:$A$5001,AC$3,BD!$B$3:$B$5001,$A$76,BD!$K$3:$K$5001,"&lt;&gt;")=0,"",SUMIFS(BD!$K$3:$K$5001,BD!$A$3:$A$5001,AC$3,BD!$B$3:$B$5001,$A$76)))</f>
        <v/>
      </c>
      <c r="AD83" s="203" t="str">
        <f>IF(AD$3="","",IF(COUNTIFS(BD!$A$3:$A$5001,AD$3,BD!$B$3:$B$5001,$A$76,BD!$K$3:$K$5001,"&lt;&gt;")=0,"",SUMIFS(BD!$K$3:$K$5001,BD!$A$3:$A$5001,AD$3,BD!$B$3:$B$5001,$A$76)))</f>
        <v/>
      </c>
      <c r="AE83" s="203" t="str">
        <f>IF(AE$3="","",IF(COUNTIFS(BD!$A$3:$A$5001,AE$3,BD!$B$3:$B$5001,$A$76,BD!$K$3:$K$5001,"&lt;&gt;")=0,"",SUMIFS(BD!$K$3:$K$5001,BD!$A$3:$A$5001,AE$3,BD!$B$3:$B$5001,$A$76)))</f>
        <v/>
      </c>
      <c r="AF83" s="203" t="str">
        <f>IF(AF$3="","",IF(COUNTIFS(BD!$A$3:$A$5001,AF$3,BD!$B$3:$B$5001,$A$76,BD!$K$3:$K$5001,"&lt;&gt;")=0,"",SUMIFS(BD!$K$3:$K$5001,BD!$A$3:$A$5001,AF$3,BD!$B$3:$B$5001,$A$76)))</f>
        <v/>
      </c>
      <c r="AG83" s="203" t="str">
        <f>IF(AG$3="","",IF(COUNTIFS(BD!$A$3:$A$5001,AG$3,BD!$B$3:$B$5001,$A$76,BD!$K$3:$K$5001,"&lt;&gt;")=0,"",SUMIFS(BD!$K$3:$K$5001,BD!$A$3:$A$5001,AG$3,BD!$B$3:$B$5001,$A$76)))</f>
        <v/>
      </c>
      <c r="AH83" s="203" t="str">
        <f>IF(AH$3="","",IF(COUNTIFS(BD!$A$3:$A$5001,AH$3,BD!$B$3:$B$5001,$A$76,BD!$K$3:$K$5001,"&lt;&gt;")=0,"",SUMIFS(BD!$K$3:$K$5001,BD!$A$3:$A$5001,AH$3,BD!$B$3:$B$5001,$A$76)))</f>
        <v/>
      </c>
      <c r="AI83" s="203" t="str">
        <f>IF(AI$3="","",IF(COUNTIFS(BD!$A$3:$A$5001,AI$3,BD!$B$3:$B$5001,$A$76,BD!$K$3:$K$5001,"&lt;&gt;")=0,"",SUMIFS(BD!$K$3:$K$5001,BD!$A$3:$A$5001,AI$3,BD!$B$3:$B$5001,$A$76)))</f>
        <v/>
      </c>
      <c r="AJ83" s="204" t="str">
        <f>IF(AJ$3="","",IF(COUNTIFS(BD!$A$3:$A$5001,AJ$3,BD!$B$3:$B$5001,$A$76,BD!$K$3:$K$5001,"&lt;&gt;")=0,"",SUMIFS(BD!$K$3:$K$5001,BD!$A$3:$A$5001,AJ$3,BD!$B$3:$B$5001,$A$76)))</f>
        <v/>
      </c>
      <c r="AK83" s="205" t="str">
        <f>IF(COUNT(F83:AJ83)=0,"",SUM(F83:AJ83))</f>
        <v/>
      </c>
    </row>
    <row r="84" ht="15.75" customHeight="1">
      <c r="A84" s="277"/>
      <c r="B84" s="269"/>
      <c r="C84" s="210" t="inlineStr">
        <is>
          <t xml:space="preserve">Pedidos Faturados</t>
        </is>
      </c>
      <c r="D84" s="211" t="str">
        <f>IFERROR(1/(1/INDEX(BD!$AF$32:$AZ$32,MATCH($A$76,BD!$AF$22:$AZ$22,0))),"")</f>
        <v/>
      </c>
      <c r="E84" s="212"/>
      <c r="F84" s="213" t="str">
        <f>IF(F$3="","",IF(COUNTIFS(BD!$A$3:$A$5001,F$3,BD!$B$3:$B$5001,$A$76,BD!$L$3:$L$5001,"&lt;&gt;")=0,"",SUMIFS(BD!$L$3:$L$5001,BD!$A$3:$A$5001,F$3,BD!$B$3:$B$5001,$A$76)))</f>
        <v/>
      </c>
      <c r="G84" s="214" t="str">
        <f>IF(G$3="","",IF(COUNTIFS(BD!$A$3:$A$5001,G$3,BD!$B$3:$B$5001,$A$76,BD!$L$3:$L$5001,"&lt;&gt;")=0,"",SUMIFS(BD!$L$3:$L$5001,BD!$A$3:$A$5001,G$3,BD!$B$3:$B$5001,$A$76)))</f>
        <v/>
      </c>
      <c r="H84" s="214" t="str">
        <f>IF(H$3="","",IF(COUNTIFS(BD!$A$3:$A$5001,H$3,BD!$B$3:$B$5001,$A$76,BD!$L$3:$L$5001,"&lt;&gt;")=0,"",SUMIFS(BD!$L$3:$L$5001,BD!$A$3:$A$5001,H$3,BD!$B$3:$B$5001,$A$76)))</f>
        <v/>
      </c>
      <c r="I84" s="214" t="str">
        <f>IF(I$3="","",IF(COUNTIFS(BD!$A$3:$A$5001,I$3,BD!$B$3:$B$5001,$A$76,BD!$L$3:$L$5001,"&lt;&gt;")=0,"",SUMIFS(BD!$L$3:$L$5001,BD!$A$3:$A$5001,I$3,BD!$B$3:$B$5001,$A$76)))</f>
        <v/>
      </c>
      <c r="J84" s="214" t="str">
        <f>IF(J$3="","",IF(COUNTIFS(BD!$A$3:$A$5001,J$3,BD!$B$3:$B$5001,$A$76,BD!$L$3:$L$5001,"&lt;&gt;")=0,"",SUMIFS(BD!$L$3:$L$5001,BD!$A$3:$A$5001,J$3,BD!$B$3:$B$5001,$A$76)))</f>
        <v/>
      </c>
      <c r="K84" s="214" t="str">
        <f>IF(K$3="","",IF(COUNTIFS(BD!$A$3:$A$5001,K$3,BD!$B$3:$B$5001,$A$76,BD!$L$3:$L$5001,"&lt;&gt;")=0,"",SUMIFS(BD!$L$3:$L$5001,BD!$A$3:$A$5001,K$3,BD!$B$3:$B$5001,$A$76)))</f>
        <v/>
      </c>
      <c r="L84" s="214" t="str">
        <f>IF(L$3="","",IF(COUNTIFS(BD!$A$3:$A$5001,L$3,BD!$B$3:$B$5001,$A$76,BD!$L$3:$L$5001,"&lt;&gt;")=0,"",SUMIFS(BD!$L$3:$L$5001,BD!$A$3:$A$5001,L$3,BD!$B$3:$B$5001,$A$76)))</f>
        <v/>
      </c>
      <c r="M84" s="214" t="str">
        <f>IF(M$3="","",IF(COUNTIFS(BD!$A$3:$A$5001,M$3,BD!$B$3:$B$5001,$A$76,BD!$L$3:$L$5001,"&lt;&gt;")=0,"",SUMIFS(BD!$L$3:$L$5001,BD!$A$3:$A$5001,M$3,BD!$B$3:$B$5001,$A$76)))</f>
        <v/>
      </c>
      <c r="N84" s="214" t="str">
        <f>IF(N$3="","",IF(COUNTIFS(BD!$A$3:$A$5001,N$3,BD!$B$3:$B$5001,$A$76,BD!$L$3:$L$5001,"&lt;&gt;")=0,"",SUMIFS(BD!$L$3:$L$5001,BD!$A$3:$A$5001,N$3,BD!$B$3:$B$5001,$A$76)))</f>
        <v/>
      </c>
      <c r="O84" s="214" t="str">
        <f>IF(O$3="","",IF(COUNTIFS(BD!$A$3:$A$5001,O$3,BD!$B$3:$B$5001,$A$76,BD!$L$3:$L$5001,"&lt;&gt;")=0,"",SUMIFS(BD!$L$3:$L$5001,BD!$A$3:$A$5001,O$3,BD!$B$3:$B$5001,$A$76)))</f>
        <v/>
      </c>
      <c r="P84" s="214" t="str">
        <f>IF(P$3="","",IF(COUNTIFS(BD!$A$3:$A$5001,P$3,BD!$B$3:$B$5001,$A$76,BD!$L$3:$L$5001,"&lt;&gt;")=0,"",SUMIFS(BD!$L$3:$L$5001,BD!$A$3:$A$5001,P$3,BD!$B$3:$B$5001,$A$76)))</f>
        <v/>
      </c>
      <c r="Q84" s="214" t="str">
        <f>IF(Q$3="","",IF(COUNTIFS(BD!$A$3:$A$5001,Q$3,BD!$B$3:$B$5001,$A$76,BD!$L$3:$L$5001,"&lt;&gt;")=0,"",SUMIFS(BD!$L$3:$L$5001,BD!$A$3:$A$5001,Q$3,BD!$B$3:$B$5001,$A$76)))</f>
        <v/>
      </c>
      <c r="R84" s="214" t="str">
        <f>IF(R$3="","",IF(COUNTIFS(BD!$A$3:$A$5001,R$3,BD!$B$3:$B$5001,$A$76,BD!$L$3:$L$5001,"&lt;&gt;")=0,"",SUMIFS(BD!$L$3:$L$5001,BD!$A$3:$A$5001,R$3,BD!$B$3:$B$5001,$A$76)))</f>
        <v/>
      </c>
      <c r="S84" s="214" t="str">
        <f>IF(S$3="","",IF(COUNTIFS(BD!$A$3:$A$5001,S$3,BD!$B$3:$B$5001,$A$76,BD!$L$3:$L$5001,"&lt;&gt;")=0,"",SUMIFS(BD!$L$3:$L$5001,BD!$A$3:$A$5001,S$3,BD!$B$3:$B$5001,$A$76)))</f>
        <v/>
      </c>
      <c r="T84" s="214" t="str">
        <f>IF(T$3="","",IF(COUNTIFS(BD!$A$3:$A$5001,T$3,BD!$B$3:$B$5001,$A$76,BD!$L$3:$L$5001,"&lt;&gt;")=0,"",SUMIFS(BD!$L$3:$L$5001,BD!$A$3:$A$5001,T$3,BD!$B$3:$B$5001,$A$76)))</f>
        <v/>
      </c>
      <c r="U84" s="214" t="str">
        <f>IF(U$3="","",IF(COUNTIFS(BD!$A$3:$A$5001,U$3,BD!$B$3:$B$5001,$A$76,BD!$L$3:$L$5001,"&lt;&gt;")=0,"",SUMIFS(BD!$L$3:$L$5001,BD!$A$3:$A$5001,U$3,BD!$B$3:$B$5001,$A$76)))</f>
        <v/>
      </c>
      <c r="V84" s="214" t="str">
        <f>IF(V$3="","",IF(COUNTIFS(BD!$A$3:$A$5001,V$3,BD!$B$3:$B$5001,$A$76,BD!$L$3:$L$5001,"&lt;&gt;")=0,"",SUMIFS(BD!$L$3:$L$5001,BD!$A$3:$A$5001,V$3,BD!$B$3:$B$5001,$A$76)))</f>
        <v/>
      </c>
      <c r="W84" s="214" t="str">
        <f>IF(W$3="","",IF(COUNTIFS(BD!$A$3:$A$5001,W$3,BD!$B$3:$B$5001,$A$76,BD!$L$3:$L$5001,"&lt;&gt;")=0,"",SUMIFS(BD!$L$3:$L$5001,BD!$A$3:$A$5001,W$3,BD!$B$3:$B$5001,$A$76)))</f>
        <v/>
      </c>
      <c r="X84" s="214" t="str">
        <f>IF(X$3="","",IF(COUNTIFS(BD!$A$3:$A$5001,X$3,BD!$B$3:$B$5001,$A$76,BD!$L$3:$L$5001,"&lt;&gt;")=0,"",SUMIFS(BD!$L$3:$L$5001,BD!$A$3:$A$5001,X$3,BD!$B$3:$B$5001,$A$76)))</f>
        <v/>
      </c>
      <c r="Y84" s="214" t="str">
        <f>IF(Y$3="","",IF(COUNTIFS(BD!$A$3:$A$5001,Y$3,BD!$B$3:$B$5001,$A$76,BD!$L$3:$L$5001,"&lt;&gt;")=0,"",SUMIFS(BD!$L$3:$L$5001,BD!$A$3:$A$5001,Y$3,BD!$B$3:$B$5001,$A$76)))</f>
        <v/>
      </c>
      <c r="Z84" s="214" t="str">
        <f>IF(Z$3="","",IF(COUNTIFS(BD!$A$3:$A$5001,Z$3,BD!$B$3:$B$5001,$A$76,BD!$L$3:$L$5001,"&lt;&gt;")=0,"",SUMIFS(BD!$L$3:$L$5001,BD!$A$3:$A$5001,Z$3,BD!$B$3:$B$5001,$A$76)))</f>
        <v/>
      </c>
      <c r="AA84" s="214" t="str">
        <f>IF(AA$3="","",IF(COUNTIFS(BD!$A$3:$A$5001,AA$3,BD!$B$3:$B$5001,$A$76,BD!$L$3:$L$5001,"&lt;&gt;")=0,"",SUMIFS(BD!$L$3:$L$5001,BD!$A$3:$A$5001,AA$3,BD!$B$3:$B$5001,$A$76)))</f>
        <v/>
      </c>
      <c r="AB84" s="214" t="str">
        <f>IF(AB$3="","",IF(COUNTIFS(BD!$A$3:$A$5001,AB$3,BD!$B$3:$B$5001,$A$76,BD!$L$3:$L$5001,"&lt;&gt;")=0,"",SUMIFS(BD!$L$3:$L$5001,BD!$A$3:$A$5001,AB$3,BD!$B$3:$B$5001,$A$76)))</f>
        <v/>
      </c>
      <c r="AC84" s="214" t="str">
        <f>IF(AC$3="","",IF(COUNTIFS(BD!$A$3:$A$5001,AC$3,BD!$B$3:$B$5001,$A$76,BD!$L$3:$L$5001,"&lt;&gt;")=0,"",SUMIFS(BD!$L$3:$L$5001,BD!$A$3:$A$5001,AC$3,BD!$B$3:$B$5001,$A$76)))</f>
        <v/>
      </c>
      <c r="AD84" s="214" t="str">
        <f>IF(AD$3="","",IF(COUNTIFS(BD!$A$3:$A$5001,AD$3,BD!$B$3:$B$5001,$A$76,BD!$L$3:$L$5001,"&lt;&gt;")=0,"",SUMIFS(BD!$L$3:$L$5001,BD!$A$3:$A$5001,AD$3,BD!$B$3:$B$5001,$A$76)))</f>
        <v/>
      </c>
      <c r="AE84" s="214" t="str">
        <f>IF(AE$3="","",IF(COUNTIFS(BD!$A$3:$A$5001,AE$3,BD!$B$3:$B$5001,$A$76,BD!$L$3:$L$5001,"&lt;&gt;")=0,"",SUMIFS(BD!$L$3:$L$5001,BD!$A$3:$A$5001,AE$3,BD!$B$3:$B$5001,$A$76)))</f>
        <v/>
      </c>
      <c r="AF84" s="214" t="str">
        <f>IF(AF$3="","",IF(COUNTIFS(BD!$A$3:$A$5001,AF$3,BD!$B$3:$B$5001,$A$76,BD!$L$3:$L$5001,"&lt;&gt;")=0,"",SUMIFS(BD!$L$3:$L$5001,BD!$A$3:$A$5001,AF$3,BD!$B$3:$B$5001,$A$76)))</f>
        <v/>
      </c>
      <c r="AG84" s="214" t="str">
        <f>IF(AG$3="","",IF(COUNTIFS(BD!$A$3:$A$5001,AG$3,BD!$B$3:$B$5001,$A$76,BD!$L$3:$L$5001,"&lt;&gt;")=0,"",SUMIFS(BD!$L$3:$L$5001,BD!$A$3:$A$5001,AG$3,BD!$B$3:$B$5001,$A$76)))</f>
        <v/>
      </c>
      <c r="AH84" s="214" t="str">
        <f>IF(AH$3="","",IF(COUNTIFS(BD!$A$3:$A$5001,AH$3,BD!$B$3:$B$5001,$A$76,BD!$L$3:$L$5001,"&lt;&gt;")=0,"",SUMIFS(BD!$L$3:$L$5001,BD!$A$3:$A$5001,AH$3,BD!$B$3:$B$5001,$A$76)))</f>
        <v/>
      </c>
      <c r="AI84" s="214" t="str">
        <f>IF(AI$3="","",IF(COUNTIFS(BD!$A$3:$A$5001,AI$3,BD!$B$3:$B$5001,$A$76,BD!$L$3:$L$5001,"&lt;&gt;")=0,"",SUMIFS(BD!$L$3:$L$5001,BD!$A$3:$A$5001,AI$3,BD!$B$3:$B$5001,$A$76)))</f>
        <v/>
      </c>
      <c r="AJ84" s="215" t="str">
        <f>IF(AJ$3="","",IF(COUNTIFS(BD!$A$3:$A$5001,AJ$3,BD!$B$3:$B$5001,$A$76,BD!$L$3:$L$5001,"&lt;&gt;")=0,"",SUMIFS(BD!$L$3:$L$5001,BD!$A$3:$A$5001,AJ$3,BD!$B$3:$B$5001,$A$76)))</f>
        <v/>
      </c>
      <c r="AK84" s="211" t="str">
        <f>IF(COUNT(F84:AJ84)=0,"",SUM(F84:AJ84))</f>
        <v/>
      </c>
    </row>
    <row r="85" ht="15.75" customHeight="1">
      <c r="A85" s="277"/>
      <c r="B85" s="270" t="inlineStr">
        <is>
          <t xml:space="preserve">NC</t>
        </is>
      </c>
      <c r="C85" s="216" t="inlineStr">
        <is>
          <t xml:space="preserve">Incidentes</t>
        </is>
      </c>
      <c r="D85" s="217" t="str">
        <f>IFERROR(1/(1/INDEX(BD!$AF$34:$AZ$34,MATCH($A$76,BD!$AF$22:$AZ$22,0))),"")</f>
        <v/>
      </c>
      <c r="E85" s="218"/>
      <c r="F85" s="219" t="str">
        <f>IF(F$3="","",IF(COUNTIFS(BD!$A$3:$A$5001,F$3,BD!$B$3:$B$5001,$A$76,BD!$N$3:$N$5001,"&lt;&gt;")=0,"",SUMIFS(BD!$N$3:$N$5001,BD!$A$3:$A$5001,F$3,BD!$B$3:$B$5001,$A$76)))</f>
        <v/>
      </c>
      <c r="G85" s="220" t="str">
        <f>IF(G$3="","",IF(COUNTIFS(BD!$A$3:$A$5001,G$3,BD!$B$3:$B$5001,$A$76,BD!$N$3:$N$5001,"&lt;&gt;")=0,"",SUMIFS(BD!$N$3:$N$5001,BD!$A$3:$A$5001,G$3,BD!$B$3:$B$5001,$A$76)))</f>
        <v/>
      </c>
      <c r="H85" s="220" t="str">
        <f>IF(H$3="","",IF(COUNTIFS(BD!$A$3:$A$5001,H$3,BD!$B$3:$B$5001,$A$76,BD!$N$3:$N$5001,"&lt;&gt;")=0,"",SUMIFS(BD!$N$3:$N$5001,BD!$A$3:$A$5001,H$3,BD!$B$3:$B$5001,$A$76)))</f>
        <v/>
      </c>
      <c r="I85" s="220" t="str">
        <f>IF(I$3="","",IF(COUNTIFS(BD!$A$3:$A$5001,I$3,BD!$B$3:$B$5001,$A$76,BD!$N$3:$N$5001,"&lt;&gt;")=0,"",SUMIFS(BD!$N$3:$N$5001,BD!$A$3:$A$5001,I$3,BD!$B$3:$B$5001,$A$76)))</f>
        <v/>
      </c>
      <c r="J85" s="220" t="str">
        <f>IF(J$3="","",IF(COUNTIFS(BD!$A$3:$A$5001,J$3,BD!$B$3:$B$5001,$A$76,BD!$N$3:$N$5001,"&lt;&gt;")=0,"",SUMIFS(BD!$N$3:$N$5001,BD!$A$3:$A$5001,J$3,BD!$B$3:$B$5001,$A$76)))</f>
        <v/>
      </c>
      <c r="K85" s="220" t="str">
        <f>IF(K$3="","",IF(COUNTIFS(BD!$A$3:$A$5001,K$3,BD!$B$3:$B$5001,$A$76,BD!$N$3:$N$5001,"&lt;&gt;")=0,"",SUMIFS(BD!$N$3:$N$5001,BD!$A$3:$A$5001,K$3,BD!$B$3:$B$5001,$A$76)))</f>
        <v/>
      </c>
      <c r="L85" s="220" t="str">
        <f>IF(L$3="","",IF(COUNTIFS(BD!$A$3:$A$5001,L$3,BD!$B$3:$B$5001,$A$76,BD!$N$3:$N$5001,"&lt;&gt;")=0,"",SUMIFS(BD!$N$3:$N$5001,BD!$A$3:$A$5001,L$3,BD!$B$3:$B$5001,$A$76)))</f>
        <v/>
      </c>
      <c r="M85" s="220" t="str">
        <f>IF(M$3="","",IF(COUNTIFS(BD!$A$3:$A$5001,M$3,BD!$B$3:$B$5001,$A$76,BD!$N$3:$N$5001,"&lt;&gt;")=0,"",SUMIFS(BD!$N$3:$N$5001,BD!$A$3:$A$5001,M$3,BD!$B$3:$B$5001,$A$76)))</f>
        <v/>
      </c>
      <c r="N85" s="220" t="str">
        <f>IF(N$3="","",IF(COUNTIFS(BD!$A$3:$A$5001,N$3,BD!$B$3:$B$5001,$A$76,BD!$N$3:$N$5001,"&lt;&gt;")=0,"",SUMIFS(BD!$N$3:$N$5001,BD!$A$3:$A$5001,N$3,BD!$B$3:$B$5001,$A$76)))</f>
        <v/>
      </c>
      <c r="O85" s="220" t="str">
        <f>IF(O$3="","",IF(COUNTIFS(BD!$A$3:$A$5001,O$3,BD!$B$3:$B$5001,$A$76,BD!$N$3:$N$5001,"&lt;&gt;")=0,"",SUMIFS(BD!$N$3:$N$5001,BD!$A$3:$A$5001,O$3,BD!$B$3:$B$5001,$A$76)))</f>
        <v/>
      </c>
      <c r="P85" s="220" t="str">
        <f>IF(P$3="","",IF(COUNTIFS(BD!$A$3:$A$5001,P$3,BD!$B$3:$B$5001,$A$76,BD!$N$3:$N$5001,"&lt;&gt;")=0,"",SUMIFS(BD!$N$3:$N$5001,BD!$A$3:$A$5001,P$3,BD!$B$3:$B$5001,$A$76)))</f>
        <v/>
      </c>
      <c r="Q85" s="220" t="str">
        <f>IF(Q$3="","",IF(COUNTIFS(BD!$A$3:$A$5001,Q$3,BD!$B$3:$B$5001,$A$76,BD!$N$3:$N$5001,"&lt;&gt;")=0,"",SUMIFS(BD!$N$3:$N$5001,BD!$A$3:$A$5001,Q$3,BD!$B$3:$B$5001,$A$76)))</f>
        <v/>
      </c>
      <c r="R85" s="220" t="str">
        <f>IF(R$3="","",IF(COUNTIFS(BD!$A$3:$A$5001,R$3,BD!$B$3:$B$5001,$A$76,BD!$N$3:$N$5001,"&lt;&gt;")=0,"",SUMIFS(BD!$N$3:$N$5001,BD!$A$3:$A$5001,R$3,BD!$B$3:$B$5001,$A$76)))</f>
        <v/>
      </c>
      <c r="S85" s="220" t="str">
        <f>IF(S$3="","",IF(COUNTIFS(BD!$A$3:$A$5001,S$3,BD!$B$3:$B$5001,$A$76,BD!$N$3:$N$5001,"&lt;&gt;")=0,"",SUMIFS(BD!$N$3:$N$5001,BD!$A$3:$A$5001,S$3,BD!$B$3:$B$5001,$A$76)))</f>
        <v/>
      </c>
      <c r="T85" s="220" t="str">
        <f>IF(T$3="","",IF(COUNTIFS(BD!$A$3:$A$5001,T$3,BD!$B$3:$B$5001,$A$76,BD!$N$3:$N$5001,"&lt;&gt;")=0,"",SUMIFS(BD!$N$3:$N$5001,BD!$A$3:$A$5001,T$3,BD!$B$3:$B$5001,$A$76)))</f>
        <v/>
      </c>
      <c r="U85" s="220" t="str">
        <f>IF(U$3="","",IF(COUNTIFS(BD!$A$3:$A$5001,U$3,BD!$B$3:$B$5001,$A$76,BD!$N$3:$N$5001,"&lt;&gt;")=0,"",SUMIFS(BD!$N$3:$N$5001,BD!$A$3:$A$5001,U$3,BD!$B$3:$B$5001,$A$76)))</f>
        <v/>
      </c>
      <c r="V85" s="220" t="str">
        <f>IF(V$3="","",IF(COUNTIFS(BD!$A$3:$A$5001,V$3,BD!$B$3:$B$5001,$A$76,BD!$N$3:$N$5001,"&lt;&gt;")=0,"",SUMIFS(BD!$N$3:$N$5001,BD!$A$3:$A$5001,V$3,BD!$B$3:$B$5001,$A$76)))</f>
        <v/>
      </c>
      <c r="W85" s="220" t="str">
        <f>IF(W$3="","",IF(COUNTIFS(BD!$A$3:$A$5001,W$3,BD!$B$3:$B$5001,$A$76,BD!$N$3:$N$5001,"&lt;&gt;")=0,"",SUMIFS(BD!$N$3:$N$5001,BD!$A$3:$A$5001,W$3,BD!$B$3:$B$5001,$A$76)))</f>
        <v/>
      </c>
      <c r="X85" s="220" t="str">
        <f>IF(X$3="","",IF(COUNTIFS(BD!$A$3:$A$5001,X$3,BD!$B$3:$B$5001,$A$76,BD!$N$3:$N$5001,"&lt;&gt;")=0,"",SUMIFS(BD!$N$3:$N$5001,BD!$A$3:$A$5001,X$3,BD!$B$3:$B$5001,$A$76)))</f>
        <v/>
      </c>
      <c r="Y85" s="220" t="str">
        <f>IF(Y$3="","",IF(COUNTIFS(BD!$A$3:$A$5001,Y$3,BD!$B$3:$B$5001,$A$76,BD!$N$3:$N$5001,"&lt;&gt;")=0,"",SUMIFS(BD!$N$3:$N$5001,BD!$A$3:$A$5001,Y$3,BD!$B$3:$B$5001,$A$76)))</f>
        <v/>
      </c>
      <c r="Z85" s="220" t="str">
        <f>IF(Z$3="","",IF(COUNTIFS(BD!$A$3:$A$5001,Z$3,BD!$B$3:$B$5001,$A$76,BD!$N$3:$N$5001,"&lt;&gt;")=0,"",SUMIFS(BD!$N$3:$N$5001,BD!$A$3:$A$5001,Z$3,BD!$B$3:$B$5001,$A$76)))</f>
        <v/>
      </c>
      <c r="AA85" s="220" t="str">
        <f>IF(AA$3="","",IF(COUNTIFS(BD!$A$3:$A$5001,AA$3,BD!$B$3:$B$5001,$A$76,BD!$N$3:$N$5001,"&lt;&gt;")=0,"",SUMIFS(BD!$N$3:$N$5001,BD!$A$3:$A$5001,AA$3,BD!$B$3:$B$5001,$A$76)))</f>
        <v/>
      </c>
      <c r="AB85" s="220" t="str">
        <f>IF(AB$3="","",IF(COUNTIFS(BD!$A$3:$A$5001,AB$3,BD!$B$3:$B$5001,$A$76,BD!$N$3:$N$5001,"&lt;&gt;")=0,"",SUMIFS(BD!$N$3:$N$5001,BD!$A$3:$A$5001,AB$3,BD!$B$3:$B$5001,$A$76)))</f>
        <v/>
      </c>
      <c r="AC85" s="220" t="str">
        <f>IF(AC$3="","",IF(COUNTIFS(BD!$A$3:$A$5001,AC$3,BD!$B$3:$B$5001,$A$76,BD!$N$3:$N$5001,"&lt;&gt;")=0,"",SUMIFS(BD!$N$3:$N$5001,BD!$A$3:$A$5001,AC$3,BD!$B$3:$B$5001,$A$76)))</f>
        <v/>
      </c>
      <c r="AD85" s="220" t="str">
        <f>IF(AD$3="","",IF(COUNTIFS(BD!$A$3:$A$5001,AD$3,BD!$B$3:$B$5001,$A$76,BD!$N$3:$N$5001,"&lt;&gt;")=0,"",SUMIFS(BD!$N$3:$N$5001,BD!$A$3:$A$5001,AD$3,BD!$B$3:$B$5001,$A$76)))</f>
        <v/>
      </c>
      <c r="AE85" s="220" t="str">
        <f>IF(AE$3="","",IF(COUNTIFS(BD!$A$3:$A$5001,AE$3,BD!$B$3:$B$5001,$A$76,BD!$N$3:$N$5001,"&lt;&gt;")=0,"",SUMIFS(BD!$N$3:$N$5001,BD!$A$3:$A$5001,AE$3,BD!$B$3:$B$5001,$A$76)))</f>
        <v/>
      </c>
      <c r="AF85" s="220" t="str">
        <f>IF(AF$3="","",IF(COUNTIFS(BD!$A$3:$A$5001,AF$3,BD!$B$3:$B$5001,$A$76,BD!$N$3:$N$5001,"&lt;&gt;")=0,"",SUMIFS(BD!$N$3:$N$5001,BD!$A$3:$A$5001,AF$3,BD!$B$3:$B$5001,$A$76)))</f>
        <v/>
      </c>
      <c r="AG85" s="220" t="str">
        <f>IF(AG$3="","",IF(COUNTIFS(BD!$A$3:$A$5001,AG$3,BD!$B$3:$B$5001,$A$76,BD!$N$3:$N$5001,"&lt;&gt;")=0,"",SUMIFS(BD!$N$3:$N$5001,BD!$A$3:$A$5001,AG$3,BD!$B$3:$B$5001,$A$76)))</f>
        <v/>
      </c>
      <c r="AH85" s="220" t="str">
        <f>IF(AH$3="","",IF(COUNTIFS(BD!$A$3:$A$5001,AH$3,BD!$B$3:$B$5001,$A$76,BD!$N$3:$N$5001,"&lt;&gt;")=0,"",SUMIFS(BD!$N$3:$N$5001,BD!$A$3:$A$5001,AH$3,BD!$B$3:$B$5001,$A$76)))</f>
        <v/>
      </c>
      <c r="AI85" s="220" t="str">
        <f>IF(AI$3="","",IF(COUNTIFS(BD!$A$3:$A$5001,AI$3,BD!$B$3:$B$5001,$A$76,BD!$N$3:$N$5001,"&lt;&gt;")=0,"",SUMIFS(BD!$N$3:$N$5001,BD!$A$3:$A$5001,AI$3,BD!$B$3:$B$5001,$A$76)))</f>
        <v/>
      </c>
      <c r="AJ85" s="221" t="str">
        <f>IF(AJ$3="","",IF(COUNTIFS(BD!$A$3:$A$5001,AJ$3,BD!$B$3:$B$5001,$A$76,BD!$N$3:$N$5001,"&lt;&gt;")=0,"",SUMIFS(BD!$N$3:$N$5001,BD!$A$3:$A$5001,AJ$3,BD!$B$3:$B$5001,$A$76)))</f>
        <v/>
      </c>
      <c r="AK85" s="222" t="str">
        <f>IF(COUNT(F85:AJ85)=0,"",SUM(F85:AJ85))</f>
        <v/>
      </c>
    </row>
    <row r="86" ht="15.75" customHeight="1">
      <c r="A86" s="277"/>
      <c r="B86" s="271"/>
      <c r="C86" s="223" t="inlineStr">
        <is>
          <t xml:space="preserve">No show</t>
        </is>
      </c>
      <c r="D86" s="224" t="str">
        <f>IFERROR(1/(1/INDEX(BD!$AF$35:$AZ$35,MATCH($A$76,BD!$AF$22:$AZ$22,0))),"")</f>
        <v/>
      </c>
      <c r="E86" s="225"/>
      <c r="F86" s="226" t="str">
        <f>IF(F$3="","",IF(COUNTIFS(BD!$A$3:$A$5001,F$3,BD!$B$3:$B$5001,$A$76,BD!$O$3:$O$5001,"&lt;&gt;")=0,"",SUMIFS(BD!$O$3:$O$5001,BD!$A$3:$A$5001,F$3,BD!$B$3:$B$5001,$A$76)))</f>
        <v/>
      </c>
      <c r="G86" s="227" t="str">
        <f>IF(G$3="","",IF(COUNTIFS(BD!$A$3:$A$5001,G$3,BD!$B$3:$B$5001,$A$76,BD!$O$3:$O$5001,"&lt;&gt;")=0,"",SUMIFS(BD!$O$3:$O$5001,BD!$A$3:$A$5001,G$3,BD!$B$3:$B$5001,$A$76)))</f>
        <v/>
      </c>
      <c r="H86" s="227" t="str">
        <f>IF(H$3="","",IF(COUNTIFS(BD!$A$3:$A$5001,H$3,BD!$B$3:$B$5001,$A$76,BD!$O$3:$O$5001,"&lt;&gt;")=0,"",SUMIFS(BD!$O$3:$O$5001,BD!$A$3:$A$5001,H$3,BD!$B$3:$B$5001,$A$76)))</f>
        <v/>
      </c>
      <c r="I86" s="227" t="str">
        <f>IF(I$3="","",IF(COUNTIFS(BD!$A$3:$A$5001,I$3,BD!$B$3:$B$5001,$A$76,BD!$O$3:$O$5001,"&lt;&gt;")=0,"",SUMIFS(BD!$O$3:$O$5001,BD!$A$3:$A$5001,I$3,BD!$B$3:$B$5001,$A$76)))</f>
        <v/>
      </c>
      <c r="J86" s="227" t="str">
        <f>IF(J$3="","",IF(COUNTIFS(BD!$A$3:$A$5001,J$3,BD!$B$3:$B$5001,$A$76,BD!$O$3:$O$5001,"&lt;&gt;")=0,"",SUMIFS(BD!$O$3:$O$5001,BD!$A$3:$A$5001,J$3,BD!$B$3:$B$5001,$A$76)))</f>
        <v/>
      </c>
      <c r="K86" s="227" t="str">
        <f>IF(K$3="","",IF(COUNTIFS(BD!$A$3:$A$5001,K$3,BD!$B$3:$B$5001,$A$76,BD!$O$3:$O$5001,"&lt;&gt;")=0,"",SUMIFS(BD!$O$3:$O$5001,BD!$A$3:$A$5001,K$3,BD!$B$3:$B$5001,$A$76)))</f>
        <v/>
      </c>
      <c r="L86" s="227" t="str">
        <f>IF(L$3="","",IF(COUNTIFS(BD!$A$3:$A$5001,L$3,BD!$B$3:$B$5001,$A$76,BD!$O$3:$O$5001,"&lt;&gt;")=0,"",SUMIFS(BD!$O$3:$O$5001,BD!$A$3:$A$5001,L$3,BD!$B$3:$B$5001,$A$76)))</f>
        <v/>
      </c>
      <c r="M86" s="227" t="str">
        <f>IF(M$3="","",IF(COUNTIFS(BD!$A$3:$A$5001,M$3,BD!$B$3:$B$5001,$A$76,BD!$O$3:$O$5001,"&lt;&gt;")=0,"",SUMIFS(BD!$O$3:$O$5001,BD!$A$3:$A$5001,M$3,BD!$B$3:$B$5001,$A$76)))</f>
        <v/>
      </c>
      <c r="N86" s="227" t="str">
        <f>IF(N$3="","",IF(COUNTIFS(BD!$A$3:$A$5001,N$3,BD!$B$3:$B$5001,$A$76,BD!$O$3:$O$5001,"&lt;&gt;")=0,"",SUMIFS(BD!$O$3:$O$5001,BD!$A$3:$A$5001,N$3,BD!$B$3:$B$5001,$A$76)))</f>
        <v/>
      </c>
      <c r="O86" s="227" t="str">
        <f>IF(O$3="","",IF(COUNTIFS(BD!$A$3:$A$5001,O$3,BD!$B$3:$B$5001,$A$76,BD!$O$3:$O$5001,"&lt;&gt;")=0,"",SUMIFS(BD!$O$3:$O$5001,BD!$A$3:$A$5001,O$3,BD!$B$3:$B$5001,$A$76)))</f>
        <v/>
      </c>
      <c r="P86" s="227" t="str">
        <f>IF(P$3="","",IF(COUNTIFS(BD!$A$3:$A$5001,P$3,BD!$B$3:$B$5001,$A$76,BD!$O$3:$O$5001,"&lt;&gt;")=0,"",SUMIFS(BD!$O$3:$O$5001,BD!$A$3:$A$5001,P$3,BD!$B$3:$B$5001,$A$76)))</f>
        <v/>
      </c>
      <c r="Q86" s="227" t="str">
        <f>IF(Q$3="","",IF(COUNTIFS(BD!$A$3:$A$5001,Q$3,BD!$B$3:$B$5001,$A$76,BD!$O$3:$O$5001,"&lt;&gt;")=0,"",SUMIFS(BD!$O$3:$O$5001,BD!$A$3:$A$5001,Q$3,BD!$B$3:$B$5001,$A$76)))</f>
        <v/>
      </c>
      <c r="R86" s="227" t="str">
        <f>IF(R$3="","",IF(COUNTIFS(BD!$A$3:$A$5001,R$3,BD!$B$3:$B$5001,$A$76,BD!$O$3:$O$5001,"&lt;&gt;")=0,"",SUMIFS(BD!$O$3:$O$5001,BD!$A$3:$A$5001,R$3,BD!$B$3:$B$5001,$A$76)))</f>
        <v/>
      </c>
      <c r="S86" s="227" t="str">
        <f>IF(S$3="","",IF(COUNTIFS(BD!$A$3:$A$5001,S$3,BD!$B$3:$B$5001,$A$76,BD!$O$3:$O$5001,"&lt;&gt;")=0,"",SUMIFS(BD!$O$3:$O$5001,BD!$A$3:$A$5001,S$3,BD!$B$3:$B$5001,$A$76)))</f>
        <v/>
      </c>
      <c r="T86" s="227" t="str">
        <f>IF(T$3="","",IF(COUNTIFS(BD!$A$3:$A$5001,T$3,BD!$B$3:$B$5001,$A$76,BD!$O$3:$O$5001,"&lt;&gt;")=0,"",SUMIFS(BD!$O$3:$O$5001,BD!$A$3:$A$5001,T$3,BD!$B$3:$B$5001,$A$76)))</f>
        <v/>
      </c>
      <c r="U86" s="227" t="str">
        <f>IF(U$3="","",IF(COUNTIFS(BD!$A$3:$A$5001,U$3,BD!$B$3:$B$5001,$A$76,BD!$O$3:$O$5001,"&lt;&gt;")=0,"",SUMIFS(BD!$O$3:$O$5001,BD!$A$3:$A$5001,U$3,BD!$B$3:$B$5001,$A$76)))</f>
        <v/>
      </c>
      <c r="V86" s="227" t="str">
        <f>IF(V$3="","",IF(COUNTIFS(BD!$A$3:$A$5001,V$3,BD!$B$3:$B$5001,$A$76,BD!$O$3:$O$5001,"&lt;&gt;")=0,"",SUMIFS(BD!$O$3:$O$5001,BD!$A$3:$A$5001,V$3,BD!$B$3:$B$5001,$A$76)))</f>
        <v/>
      </c>
      <c r="W86" s="227" t="str">
        <f>IF(W$3="","",IF(COUNTIFS(BD!$A$3:$A$5001,W$3,BD!$B$3:$B$5001,$A$76,BD!$O$3:$O$5001,"&lt;&gt;")=0,"",SUMIFS(BD!$O$3:$O$5001,BD!$A$3:$A$5001,W$3,BD!$B$3:$B$5001,$A$76)))</f>
        <v/>
      </c>
      <c r="X86" s="227" t="str">
        <f>IF(X$3="","",IF(COUNTIFS(BD!$A$3:$A$5001,X$3,BD!$B$3:$B$5001,$A$76,BD!$O$3:$O$5001,"&lt;&gt;")=0,"",SUMIFS(BD!$O$3:$O$5001,BD!$A$3:$A$5001,X$3,BD!$B$3:$B$5001,$A$76)))</f>
        <v/>
      </c>
      <c r="Y86" s="227" t="str">
        <f>IF(Y$3="","",IF(COUNTIFS(BD!$A$3:$A$5001,Y$3,BD!$B$3:$B$5001,$A$76,BD!$O$3:$O$5001,"&lt;&gt;")=0,"",SUMIFS(BD!$O$3:$O$5001,BD!$A$3:$A$5001,Y$3,BD!$B$3:$B$5001,$A$76)))</f>
        <v/>
      </c>
      <c r="Z86" s="227" t="str">
        <f>IF(Z$3="","",IF(COUNTIFS(BD!$A$3:$A$5001,Z$3,BD!$B$3:$B$5001,$A$76,BD!$O$3:$O$5001,"&lt;&gt;")=0,"",SUMIFS(BD!$O$3:$O$5001,BD!$A$3:$A$5001,Z$3,BD!$B$3:$B$5001,$A$76)))</f>
        <v/>
      </c>
      <c r="AA86" s="227" t="str">
        <f>IF(AA$3="","",IF(COUNTIFS(BD!$A$3:$A$5001,AA$3,BD!$B$3:$B$5001,$A$76,BD!$O$3:$O$5001,"&lt;&gt;")=0,"",SUMIFS(BD!$O$3:$O$5001,BD!$A$3:$A$5001,AA$3,BD!$B$3:$B$5001,$A$76)))</f>
        <v/>
      </c>
      <c r="AB86" s="227" t="str">
        <f>IF(AB$3="","",IF(COUNTIFS(BD!$A$3:$A$5001,AB$3,BD!$B$3:$B$5001,$A$76,BD!$O$3:$O$5001,"&lt;&gt;")=0,"",SUMIFS(BD!$O$3:$O$5001,BD!$A$3:$A$5001,AB$3,BD!$B$3:$B$5001,$A$76)))</f>
        <v/>
      </c>
      <c r="AC86" s="227" t="str">
        <f>IF(AC$3="","",IF(COUNTIFS(BD!$A$3:$A$5001,AC$3,BD!$B$3:$B$5001,$A$76,BD!$O$3:$O$5001,"&lt;&gt;")=0,"",SUMIFS(BD!$O$3:$O$5001,BD!$A$3:$A$5001,AC$3,BD!$B$3:$B$5001,$A$76)))</f>
        <v/>
      </c>
      <c r="AD86" s="227" t="str">
        <f>IF(AD$3="","",IF(COUNTIFS(BD!$A$3:$A$5001,AD$3,BD!$B$3:$B$5001,$A$76,BD!$O$3:$O$5001,"&lt;&gt;")=0,"",SUMIFS(BD!$O$3:$O$5001,BD!$A$3:$A$5001,AD$3,BD!$B$3:$B$5001,$A$76)))</f>
        <v/>
      </c>
      <c r="AE86" s="227" t="str">
        <f>IF(AE$3="","",IF(COUNTIFS(BD!$A$3:$A$5001,AE$3,BD!$B$3:$B$5001,$A$76,BD!$O$3:$O$5001,"&lt;&gt;")=0,"",SUMIFS(BD!$O$3:$O$5001,BD!$A$3:$A$5001,AE$3,BD!$B$3:$B$5001,$A$76)))</f>
        <v/>
      </c>
      <c r="AF86" s="227" t="str">
        <f>IF(AF$3="","",IF(COUNTIFS(BD!$A$3:$A$5001,AF$3,BD!$B$3:$B$5001,$A$76,BD!$O$3:$O$5001,"&lt;&gt;")=0,"",SUMIFS(BD!$O$3:$O$5001,BD!$A$3:$A$5001,AF$3,BD!$B$3:$B$5001,$A$76)))</f>
        <v/>
      </c>
      <c r="AG86" s="227" t="str">
        <f>IF(AG$3="","",IF(COUNTIFS(BD!$A$3:$A$5001,AG$3,BD!$B$3:$B$5001,$A$76,BD!$O$3:$O$5001,"&lt;&gt;")=0,"",SUMIFS(BD!$O$3:$O$5001,BD!$A$3:$A$5001,AG$3,BD!$B$3:$B$5001,$A$76)))</f>
        <v/>
      </c>
      <c r="AH86" s="227" t="str">
        <f>IF(AH$3="","",IF(COUNTIFS(BD!$A$3:$A$5001,AH$3,BD!$B$3:$B$5001,$A$76,BD!$O$3:$O$5001,"&lt;&gt;")=0,"",SUMIFS(BD!$O$3:$O$5001,BD!$A$3:$A$5001,AH$3,BD!$B$3:$B$5001,$A$76)))</f>
        <v/>
      </c>
      <c r="AI86" s="227" t="str">
        <f>IF(AI$3="","",IF(COUNTIFS(BD!$A$3:$A$5001,AI$3,BD!$B$3:$B$5001,$A$76,BD!$O$3:$O$5001,"&lt;&gt;")=0,"",SUMIFS(BD!$O$3:$O$5001,BD!$A$3:$A$5001,AI$3,BD!$B$3:$B$5001,$A$76)))</f>
        <v/>
      </c>
      <c r="AJ86" s="228" t="str">
        <f>IF(AJ$3="","",IF(COUNTIFS(BD!$A$3:$A$5001,AJ$3,BD!$B$3:$B$5001,$A$76,BD!$O$3:$O$5001,"&lt;&gt;")=0,"",SUMIFS(BD!$O$3:$O$5001,BD!$A$3:$A$5001,AJ$3,BD!$B$3:$B$5001,$A$76)))</f>
        <v/>
      </c>
      <c r="AK86" s="229" t="str">
        <f>IF(COUNT(F86:AJ86)=0,"",SUM(F86:AJ86))</f>
        <v/>
      </c>
    </row>
    <row r="87" ht="15.75" customHeight="1">
      <c r="A87" s="277"/>
      <c r="B87" s="271"/>
      <c r="C87" s="223" t="inlineStr">
        <is>
          <t xml:space="preserve">Backlog Intralog</t>
        </is>
      </c>
      <c r="D87" s="224" t="str">
        <f>IFERROR(1/(1/INDEX(BD!$AF$36:$AZ$36,MATCH($A$76,BD!$AF$22:$AZ$22,0))),"")</f>
        <v/>
      </c>
      <c r="E87" s="225"/>
      <c r="F87" s="226" t="str">
        <f>IF(F$3="","",IF(COUNTIFS(BD!$A$3:$A$5001,F$3,BD!$B$3:$B$5001,$A$76,BD!$P$3:$P$5001,"&lt;&gt;")=0,"",SUMIFS(BD!$P$3:$P$5001,BD!$A$3:$A$5001,F$3,BD!$B$3:$B$5001,$A$76)))</f>
        <v/>
      </c>
      <c r="G87" s="227" t="str">
        <f>IF(G$3="","",IF(COUNTIFS(BD!$A$3:$A$5001,G$3,BD!$B$3:$B$5001,$A$76,BD!$P$3:$P$5001,"&lt;&gt;")=0,"",SUMIFS(BD!$P$3:$P$5001,BD!$A$3:$A$5001,G$3,BD!$B$3:$B$5001,$A$76)))</f>
        <v/>
      </c>
      <c r="H87" s="227" t="str">
        <f>IF(H$3="","",IF(COUNTIFS(BD!$A$3:$A$5001,H$3,BD!$B$3:$B$5001,$A$76,BD!$P$3:$P$5001,"&lt;&gt;")=0,"",SUMIFS(BD!$P$3:$P$5001,BD!$A$3:$A$5001,H$3,BD!$B$3:$B$5001,$A$76)))</f>
        <v/>
      </c>
      <c r="I87" s="227" t="str">
        <f>IF(I$3="","",IF(COUNTIFS(BD!$A$3:$A$5001,I$3,BD!$B$3:$B$5001,$A$76,BD!$P$3:$P$5001,"&lt;&gt;")=0,"",SUMIFS(BD!$P$3:$P$5001,BD!$A$3:$A$5001,I$3,BD!$B$3:$B$5001,$A$76)))</f>
        <v/>
      </c>
      <c r="J87" s="227" t="str">
        <f>IF(J$3="","",IF(COUNTIFS(BD!$A$3:$A$5001,J$3,BD!$B$3:$B$5001,$A$76,BD!$P$3:$P$5001,"&lt;&gt;")=0,"",SUMIFS(BD!$P$3:$P$5001,BD!$A$3:$A$5001,J$3,BD!$B$3:$B$5001,$A$76)))</f>
        <v/>
      </c>
      <c r="K87" s="227" t="str">
        <f>IF(K$3="","",IF(COUNTIFS(BD!$A$3:$A$5001,K$3,BD!$B$3:$B$5001,$A$76,BD!$P$3:$P$5001,"&lt;&gt;")=0,"",SUMIFS(BD!$P$3:$P$5001,BD!$A$3:$A$5001,K$3,BD!$B$3:$B$5001,$A$76)))</f>
        <v/>
      </c>
      <c r="L87" s="227" t="str">
        <f>IF(L$3="","",IF(COUNTIFS(BD!$A$3:$A$5001,L$3,BD!$B$3:$B$5001,$A$76,BD!$P$3:$P$5001,"&lt;&gt;")=0,"",SUMIFS(BD!$P$3:$P$5001,BD!$A$3:$A$5001,L$3,BD!$B$3:$B$5001,$A$76)))</f>
        <v/>
      </c>
      <c r="M87" s="227" t="str">
        <f>IF(M$3="","",IF(COUNTIFS(BD!$A$3:$A$5001,M$3,BD!$B$3:$B$5001,$A$76,BD!$P$3:$P$5001,"&lt;&gt;")=0,"",SUMIFS(BD!$P$3:$P$5001,BD!$A$3:$A$5001,M$3,BD!$B$3:$B$5001,$A$76)))</f>
        <v/>
      </c>
      <c r="N87" s="227" t="str">
        <f>IF(N$3="","",IF(COUNTIFS(BD!$A$3:$A$5001,N$3,BD!$B$3:$B$5001,$A$76,BD!$P$3:$P$5001,"&lt;&gt;")=0,"",SUMIFS(BD!$P$3:$P$5001,BD!$A$3:$A$5001,N$3,BD!$B$3:$B$5001,$A$76)))</f>
        <v/>
      </c>
      <c r="O87" s="227" t="str">
        <f>IF(O$3="","",IF(COUNTIFS(BD!$A$3:$A$5001,O$3,BD!$B$3:$B$5001,$A$76,BD!$P$3:$P$5001,"&lt;&gt;")=0,"",SUMIFS(BD!$P$3:$P$5001,BD!$A$3:$A$5001,O$3,BD!$B$3:$B$5001,$A$76)))</f>
        <v/>
      </c>
      <c r="P87" s="227" t="str">
        <f>IF(P$3="","",IF(COUNTIFS(BD!$A$3:$A$5001,P$3,BD!$B$3:$B$5001,$A$76,BD!$P$3:$P$5001,"&lt;&gt;")=0,"",SUMIFS(BD!$P$3:$P$5001,BD!$A$3:$A$5001,P$3,BD!$B$3:$B$5001,$A$76)))</f>
        <v/>
      </c>
      <c r="Q87" s="227" t="str">
        <f>IF(Q$3="","",IF(COUNTIFS(BD!$A$3:$A$5001,Q$3,BD!$B$3:$B$5001,$A$76,BD!$P$3:$P$5001,"&lt;&gt;")=0,"",SUMIFS(BD!$P$3:$P$5001,BD!$A$3:$A$5001,Q$3,BD!$B$3:$B$5001,$A$76)))</f>
        <v/>
      </c>
      <c r="R87" s="227" t="str">
        <f>IF(R$3="","",IF(COUNTIFS(BD!$A$3:$A$5001,R$3,BD!$B$3:$B$5001,$A$76,BD!$P$3:$P$5001,"&lt;&gt;")=0,"",SUMIFS(BD!$P$3:$P$5001,BD!$A$3:$A$5001,R$3,BD!$B$3:$B$5001,$A$76)))</f>
        <v/>
      </c>
      <c r="S87" s="227" t="str">
        <f>IF(S$3="","",IF(COUNTIFS(BD!$A$3:$A$5001,S$3,BD!$B$3:$B$5001,$A$76,BD!$P$3:$P$5001,"&lt;&gt;")=0,"",SUMIFS(BD!$P$3:$P$5001,BD!$A$3:$A$5001,S$3,BD!$B$3:$B$5001,$A$76)))</f>
        <v/>
      </c>
      <c r="T87" s="227" t="str">
        <f>IF(T$3="","",IF(COUNTIFS(BD!$A$3:$A$5001,T$3,BD!$B$3:$B$5001,$A$76,BD!$P$3:$P$5001,"&lt;&gt;")=0,"",SUMIFS(BD!$P$3:$P$5001,BD!$A$3:$A$5001,T$3,BD!$B$3:$B$5001,$A$76)))</f>
        <v/>
      </c>
      <c r="U87" s="227" t="str">
        <f>IF(U$3="","",IF(COUNTIFS(BD!$A$3:$A$5001,U$3,BD!$B$3:$B$5001,$A$76,BD!$P$3:$P$5001,"&lt;&gt;")=0,"",SUMIFS(BD!$P$3:$P$5001,BD!$A$3:$A$5001,U$3,BD!$B$3:$B$5001,$A$76)))</f>
        <v/>
      </c>
      <c r="V87" s="227" t="str">
        <f>IF(V$3="","",IF(COUNTIFS(BD!$A$3:$A$5001,V$3,BD!$B$3:$B$5001,$A$76,BD!$P$3:$P$5001,"&lt;&gt;")=0,"",SUMIFS(BD!$P$3:$P$5001,BD!$A$3:$A$5001,V$3,BD!$B$3:$B$5001,$A$76)))</f>
        <v/>
      </c>
      <c r="W87" s="227" t="str">
        <f>IF(W$3="","",IF(COUNTIFS(BD!$A$3:$A$5001,W$3,BD!$B$3:$B$5001,$A$76,BD!$P$3:$P$5001,"&lt;&gt;")=0,"",SUMIFS(BD!$P$3:$P$5001,BD!$A$3:$A$5001,W$3,BD!$B$3:$B$5001,$A$76)))</f>
        <v/>
      </c>
      <c r="X87" s="227" t="str">
        <f>IF(X$3="","",IF(COUNTIFS(BD!$A$3:$A$5001,X$3,BD!$B$3:$B$5001,$A$76,BD!$P$3:$P$5001,"&lt;&gt;")=0,"",SUMIFS(BD!$P$3:$P$5001,BD!$A$3:$A$5001,X$3,BD!$B$3:$B$5001,$A$76)))</f>
        <v/>
      </c>
      <c r="Y87" s="227" t="str">
        <f>IF(Y$3="","",IF(COUNTIFS(BD!$A$3:$A$5001,Y$3,BD!$B$3:$B$5001,$A$76,BD!$P$3:$P$5001,"&lt;&gt;")=0,"",SUMIFS(BD!$P$3:$P$5001,BD!$A$3:$A$5001,Y$3,BD!$B$3:$B$5001,$A$76)))</f>
        <v/>
      </c>
      <c r="Z87" s="227" t="str">
        <f>IF(Z$3="","",IF(COUNTIFS(BD!$A$3:$A$5001,Z$3,BD!$B$3:$B$5001,$A$76,BD!$P$3:$P$5001,"&lt;&gt;")=0,"",SUMIFS(BD!$P$3:$P$5001,BD!$A$3:$A$5001,Z$3,BD!$B$3:$B$5001,$A$76)))</f>
        <v/>
      </c>
      <c r="AA87" s="227" t="str">
        <f>IF(AA$3="","",IF(COUNTIFS(BD!$A$3:$A$5001,AA$3,BD!$B$3:$B$5001,$A$76,BD!$P$3:$P$5001,"&lt;&gt;")=0,"",SUMIFS(BD!$P$3:$P$5001,BD!$A$3:$A$5001,AA$3,BD!$B$3:$B$5001,$A$76)))</f>
        <v/>
      </c>
      <c r="AB87" s="227" t="str">
        <f>IF(AB$3="","",IF(COUNTIFS(BD!$A$3:$A$5001,AB$3,BD!$B$3:$B$5001,$A$76,BD!$P$3:$P$5001,"&lt;&gt;")=0,"",SUMIFS(BD!$P$3:$P$5001,BD!$A$3:$A$5001,AB$3,BD!$B$3:$B$5001,$A$76)))</f>
        <v/>
      </c>
      <c r="AC87" s="227" t="str">
        <f>IF(AC$3="","",IF(COUNTIFS(BD!$A$3:$A$5001,AC$3,BD!$B$3:$B$5001,$A$76,BD!$P$3:$P$5001,"&lt;&gt;")=0,"",SUMIFS(BD!$P$3:$P$5001,BD!$A$3:$A$5001,AC$3,BD!$B$3:$B$5001,$A$76)))</f>
        <v/>
      </c>
      <c r="AD87" s="227" t="str">
        <f>IF(AD$3="","",IF(COUNTIFS(BD!$A$3:$A$5001,AD$3,BD!$B$3:$B$5001,$A$76,BD!$P$3:$P$5001,"&lt;&gt;")=0,"",SUMIFS(BD!$P$3:$P$5001,BD!$A$3:$A$5001,AD$3,BD!$B$3:$B$5001,$A$76)))</f>
        <v/>
      </c>
      <c r="AE87" s="227" t="str">
        <f>IF(AE$3="","",IF(COUNTIFS(BD!$A$3:$A$5001,AE$3,BD!$B$3:$B$5001,$A$76,BD!$P$3:$P$5001,"&lt;&gt;")=0,"",SUMIFS(BD!$P$3:$P$5001,BD!$A$3:$A$5001,AE$3,BD!$B$3:$B$5001,$A$76)))</f>
        <v/>
      </c>
      <c r="AF87" s="227" t="str">
        <f>IF(AF$3="","",IF(COUNTIFS(BD!$A$3:$A$5001,AF$3,BD!$B$3:$B$5001,$A$76,BD!$P$3:$P$5001,"&lt;&gt;")=0,"",SUMIFS(BD!$P$3:$P$5001,BD!$A$3:$A$5001,AF$3,BD!$B$3:$B$5001,$A$76)))</f>
        <v/>
      </c>
      <c r="AG87" s="227" t="str">
        <f>IF(AG$3="","",IF(COUNTIFS(BD!$A$3:$A$5001,AG$3,BD!$B$3:$B$5001,$A$76,BD!$P$3:$P$5001,"&lt;&gt;")=0,"",SUMIFS(BD!$P$3:$P$5001,BD!$A$3:$A$5001,AG$3,BD!$B$3:$B$5001,$A$76)))</f>
        <v/>
      </c>
      <c r="AH87" s="227" t="str">
        <f>IF(AH$3="","",IF(COUNTIFS(BD!$A$3:$A$5001,AH$3,BD!$B$3:$B$5001,$A$76,BD!$P$3:$P$5001,"&lt;&gt;")=0,"",SUMIFS(BD!$P$3:$P$5001,BD!$A$3:$A$5001,AH$3,BD!$B$3:$B$5001,$A$76)))</f>
        <v/>
      </c>
      <c r="AI87" s="227" t="str">
        <f>IF(AI$3="","",IF(COUNTIFS(BD!$A$3:$A$5001,AI$3,BD!$B$3:$B$5001,$A$76,BD!$P$3:$P$5001,"&lt;&gt;")=0,"",SUMIFS(BD!$P$3:$P$5001,BD!$A$3:$A$5001,AI$3,BD!$B$3:$B$5001,$A$76)))</f>
        <v/>
      </c>
      <c r="AJ87" s="228" t="str">
        <f>IF(AJ$3="","",IF(COUNTIFS(BD!$A$3:$A$5001,AJ$3,BD!$B$3:$B$5001,$A$76,BD!$P$3:$P$5001,"&lt;&gt;")=0,"",SUMIFS(BD!$P$3:$P$5001,BD!$A$3:$A$5001,AJ$3,BD!$B$3:$B$5001,$A$76)))</f>
        <v/>
      </c>
      <c r="AK87" s="229" t="str">
        <f>IFERROR(LOOKUP(9.99E+307,F87:AJ87),"")</f>
        <v/>
      </c>
    </row>
    <row r="88" ht="15.75" customHeight="1">
      <c r="A88" s="277"/>
      <c r="B88" s="272"/>
      <c r="C88" s="230" t="inlineStr">
        <is>
          <t xml:space="preserve">Backlog Cliente</t>
        </is>
      </c>
      <c r="D88" s="231" t="str">
        <f>IFERROR(1/(1/INDEX(BD!$AF$37:$AZ$37,MATCH($A$76,BD!$AF$22:$AZ$22,0))),"")</f>
        <v/>
      </c>
      <c r="E88" s="232"/>
      <c r="F88" s="233" t="str">
        <f>IF(F$3="","",IF(COUNTIFS(BD!$A$3:$A$5001,F$3,BD!$B$3:$B$5001,$A$76,BD!$Q$3:$Q$5001,"&lt;&gt;")=0,"",SUMIFS(BD!$Q$3:$Q$5001,BD!$A$3:$A$5001,F$3,BD!$B$3:$B$5001,$A$76)))</f>
        <v/>
      </c>
      <c r="G88" s="234" t="str">
        <f>IF(G$3="","",IF(COUNTIFS(BD!$A$3:$A$5001,G$3,BD!$B$3:$B$5001,$A$76,BD!$Q$3:$Q$5001,"&lt;&gt;")=0,"",SUMIFS(BD!$Q$3:$Q$5001,BD!$A$3:$A$5001,G$3,BD!$B$3:$B$5001,$A$76)))</f>
        <v/>
      </c>
      <c r="H88" s="234" t="str">
        <f>IF(H$3="","",IF(COUNTIFS(BD!$A$3:$A$5001,H$3,BD!$B$3:$B$5001,$A$76,BD!$Q$3:$Q$5001,"&lt;&gt;")=0,"",SUMIFS(BD!$Q$3:$Q$5001,BD!$A$3:$A$5001,H$3,BD!$B$3:$B$5001,$A$76)))</f>
        <v/>
      </c>
      <c r="I88" s="234" t="str">
        <f>IF(I$3="","",IF(COUNTIFS(BD!$A$3:$A$5001,I$3,BD!$B$3:$B$5001,$A$76,BD!$Q$3:$Q$5001,"&lt;&gt;")=0,"",SUMIFS(BD!$Q$3:$Q$5001,BD!$A$3:$A$5001,I$3,BD!$B$3:$B$5001,$A$76)))</f>
        <v/>
      </c>
      <c r="J88" s="234" t="str">
        <f>IF(J$3="","",IF(COUNTIFS(BD!$A$3:$A$5001,J$3,BD!$B$3:$B$5001,$A$76,BD!$Q$3:$Q$5001,"&lt;&gt;")=0,"",SUMIFS(BD!$Q$3:$Q$5001,BD!$A$3:$A$5001,J$3,BD!$B$3:$B$5001,$A$76)))</f>
        <v/>
      </c>
      <c r="K88" s="234" t="str">
        <f>IF(K$3="","",IF(COUNTIFS(BD!$A$3:$A$5001,K$3,BD!$B$3:$B$5001,$A$76,BD!$Q$3:$Q$5001,"&lt;&gt;")=0,"",SUMIFS(BD!$Q$3:$Q$5001,BD!$A$3:$A$5001,K$3,BD!$B$3:$B$5001,$A$76)))</f>
        <v/>
      </c>
      <c r="L88" s="234" t="str">
        <f>IF(L$3="","",IF(COUNTIFS(BD!$A$3:$A$5001,L$3,BD!$B$3:$B$5001,$A$76,BD!$Q$3:$Q$5001,"&lt;&gt;")=0,"",SUMIFS(BD!$Q$3:$Q$5001,BD!$A$3:$A$5001,L$3,BD!$B$3:$B$5001,$A$76)))</f>
        <v/>
      </c>
      <c r="M88" s="234" t="str">
        <f>IF(M$3="","",IF(COUNTIFS(BD!$A$3:$A$5001,M$3,BD!$B$3:$B$5001,$A$76,BD!$Q$3:$Q$5001,"&lt;&gt;")=0,"",SUMIFS(BD!$Q$3:$Q$5001,BD!$A$3:$A$5001,M$3,BD!$B$3:$B$5001,$A$76)))</f>
        <v/>
      </c>
      <c r="N88" s="234" t="str">
        <f>IF(N$3="","",IF(COUNTIFS(BD!$A$3:$A$5001,N$3,BD!$B$3:$B$5001,$A$76,BD!$Q$3:$Q$5001,"&lt;&gt;")=0,"",SUMIFS(BD!$Q$3:$Q$5001,BD!$A$3:$A$5001,N$3,BD!$B$3:$B$5001,$A$76)))</f>
        <v/>
      </c>
      <c r="O88" s="234" t="str">
        <f>IF(O$3="","",IF(COUNTIFS(BD!$A$3:$A$5001,O$3,BD!$B$3:$B$5001,$A$76,BD!$Q$3:$Q$5001,"&lt;&gt;")=0,"",SUMIFS(BD!$Q$3:$Q$5001,BD!$A$3:$A$5001,O$3,BD!$B$3:$B$5001,$A$76)))</f>
        <v/>
      </c>
      <c r="P88" s="234" t="str">
        <f>IF(P$3="","",IF(COUNTIFS(BD!$A$3:$A$5001,P$3,BD!$B$3:$B$5001,$A$76,BD!$Q$3:$Q$5001,"&lt;&gt;")=0,"",SUMIFS(BD!$Q$3:$Q$5001,BD!$A$3:$A$5001,P$3,BD!$B$3:$B$5001,$A$76)))</f>
        <v/>
      </c>
      <c r="Q88" s="234" t="str">
        <f>IF(Q$3="","",IF(COUNTIFS(BD!$A$3:$A$5001,Q$3,BD!$B$3:$B$5001,$A$76,BD!$Q$3:$Q$5001,"&lt;&gt;")=0,"",SUMIFS(BD!$Q$3:$Q$5001,BD!$A$3:$A$5001,Q$3,BD!$B$3:$B$5001,$A$76)))</f>
        <v/>
      </c>
      <c r="R88" s="234" t="str">
        <f>IF(R$3="","",IF(COUNTIFS(BD!$A$3:$A$5001,R$3,BD!$B$3:$B$5001,$A$76,BD!$Q$3:$Q$5001,"&lt;&gt;")=0,"",SUMIFS(BD!$Q$3:$Q$5001,BD!$A$3:$A$5001,R$3,BD!$B$3:$B$5001,$A$76)))</f>
        <v/>
      </c>
      <c r="S88" s="234" t="str">
        <f>IF(S$3="","",IF(COUNTIFS(BD!$A$3:$A$5001,S$3,BD!$B$3:$B$5001,$A$76,BD!$Q$3:$Q$5001,"&lt;&gt;")=0,"",SUMIFS(BD!$Q$3:$Q$5001,BD!$A$3:$A$5001,S$3,BD!$B$3:$B$5001,$A$76)))</f>
        <v/>
      </c>
      <c r="T88" s="234" t="str">
        <f>IF(T$3="","",IF(COUNTIFS(BD!$A$3:$A$5001,T$3,BD!$B$3:$B$5001,$A$76,BD!$Q$3:$Q$5001,"&lt;&gt;")=0,"",SUMIFS(BD!$Q$3:$Q$5001,BD!$A$3:$A$5001,T$3,BD!$B$3:$B$5001,$A$76)))</f>
        <v/>
      </c>
      <c r="U88" s="234" t="str">
        <f>IF(U$3="","",IF(COUNTIFS(BD!$A$3:$A$5001,U$3,BD!$B$3:$B$5001,$A$76,BD!$Q$3:$Q$5001,"&lt;&gt;")=0,"",SUMIFS(BD!$Q$3:$Q$5001,BD!$A$3:$A$5001,U$3,BD!$B$3:$B$5001,$A$76)))</f>
        <v/>
      </c>
      <c r="V88" s="234" t="str">
        <f>IF(V$3="","",IF(COUNTIFS(BD!$A$3:$A$5001,V$3,BD!$B$3:$B$5001,$A$76,BD!$Q$3:$Q$5001,"&lt;&gt;")=0,"",SUMIFS(BD!$Q$3:$Q$5001,BD!$A$3:$A$5001,V$3,BD!$B$3:$B$5001,$A$76)))</f>
        <v/>
      </c>
      <c r="W88" s="234" t="str">
        <f>IF(W$3="","",IF(COUNTIFS(BD!$A$3:$A$5001,W$3,BD!$B$3:$B$5001,$A$76,BD!$Q$3:$Q$5001,"&lt;&gt;")=0,"",SUMIFS(BD!$Q$3:$Q$5001,BD!$A$3:$A$5001,W$3,BD!$B$3:$B$5001,$A$76)))</f>
        <v/>
      </c>
      <c r="X88" s="234" t="str">
        <f>IF(X$3="","",IF(COUNTIFS(BD!$A$3:$A$5001,X$3,BD!$B$3:$B$5001,$A$76,BD!$Q$3:$Q$5001,"&lt;&gt;")=0,"",SUMIFS(BD!$Q$3:$Q$5001,BD!$A$3:$A$5001,X$3,BD!$B$3:$B$5001,$A$76)))</f>
        <v/>
      </c>
      <c r="Y88" s="234" t="str">
        <f>IF(Y$3="","",IF(COUNTIFS(BD!$A$3:$A$5001,Y$3,BD!$B$3:$B$5001,$A$76,BD!$Q$3:$Q$5001,"&lt;&gt;")=0,"",SUMIFS(BD!$Q$3:$Q$5001,BD!$A$3:$A$5001,Y$3,BD!$B$3:$B$5001,$A$76)))</f>
        <v/>
      </c>
      <c r="Z88" s="234" t="str">
        <f>IF(Z$3="","",IF(COUNTIFS(BD!$A$3:$A$5001,Z$3,BD!$B$3:$B$5001,$A$76,BD!$Q$3:$Q$5001,"&lt;&gt;")=0,"",SUMIFS(BD!$Q$3:$Q$5001,BD!$A$3:$A$5001,Z$3,BD!$B$3:$B$5001,$A$76)))</f>
        <v/>
      </c>
      <c r="AA88" s="234" t="str">
        <f>IF(AA$3="","",IF(COUNTIFS(BD!$A$3:$A$5001,AA$3,BD!$B$3:$B$5001,$A$76,BD!$Q$3:$Q$5001,"&lt;&gt;")=0,"",SUMIFS(BD!$Q$3:$Q$5001,BD!$A$3:$A$5001,AA$3,BD!$B$3:$B$5001,$A$76)))</f>
        <v/>
      </c>
      <c r="AB88" s="234" t="str">
        <f>IF(AB$3="","",IF(COUNTIFS(BD!$A$3:$A$5001,AB$3,BD!$B$3:$B$5001,$A$76,BD!$Q$3:$Q$5001,"&lt;&gt;")=0,"",SUMIFS(BD!$Q$3:$Q$5001,BD!$A$3:$A$5001,AB$3,BD!$B$3:$B$5001,$A$76)))</f>
        <v/>
      </c>
      <c r="AC88" s="234" t="str">
        <f>IF(AC$3="","",IF(COUNTIFS(BD!$A$3:$A$5001,AC$3,BD!$B$3:$B$5001,$A$76,BD!$Q$3:$Q$5001,"&lt;&gt;")=0,"",SUMIFS(BD!$Q$3:$Q$5001,BD!$A$3:$A$5001,AC$3,BD!$B$3:$B$5001,$A$76)))</f>
        <v/>
      </c>
      <c r="AD88" s="234" t="str">
        <f>IF(AD$3="","",IF(COUNTIFS(BD!$A$3:$A$5001,AD$3,BD!$B$3:$B$5001,$A$76,BD!$Q$3:$Q$5001,"&lt;&gt;")=0,"",SUMIFS(BD!$Q$3:$Q$5001,BD!$A$3:$A$5001,AD$3,BD!$B$3:$B$5001,$A$76)))</f>
        <v/>
      </c>
      <c r="AE88" s="234" t="str">
        <f>IF(AE$3="","",IF(COUNTIFS(BD!$A$3:$A$5001,AE$3,BD!$B$3:$B$5001,$A$76,BD!$Q$3:$Q$5001,"&lt;&gt;")=0,"",SUMIFS(BD!$Q$3:$Q$5001,BD!$A$3:$A$5001,AE$3,BD!$B$3:$B$5001,$A$76)))</f>
        <v/>
      </c>
      <c r="AF88" s="234" t="str">
        <f>IF(AF$3="","",IF(COUNTIFS(BD!$A$3:$A$5001,AF$3,BD!$B$3:$B$5001,$A$76,BD!$Q$3:$Q$5001,"&lt;&gt;")=0,"",SUMIFS(BD!$Q$3:$Q$5001,BD!$A$3:$A$5001,AF$3,BD!$B$3:$B$5001,$A$76)))</f>
        <v/>
      </c>
      <c r="AG88" s="234" t="str">
        <f>IF(AG$3="","",IF(COUNTIFS(BD!$A$3:$A$5001,AG$3,BD!$B$3:$B$5001,$A$76,BD!$Q$3:$Q$5001,"&lt;&gt;")=0,"",SUMIFS(BD!$Q$3:$Q$5001,BD!$A$3:$A$5001,AG$3,BD!$B$3:$B$5001,$A$76)))</f>
        <v/>
      </c>
      <c r="AH88" s="234" t="str">
        <f>IF(AH$3="","",IF(COUNTIFS(BD!$A$3:$A$5001,AH$3,BD!$B$3:$B$5001,$A$76,BD!$Q$3:$Q$5001,"&lt;&gt;")=0,"",SUMIFS(BD!$Q$3:$Q$5001,BD!$A$3:$A$5001,AH$3,BD!$B$3:$B$5001,$A$76)))</f>
        <v/>
      </c>
      <c r="AI88" s="234" t="str">
        <f>IF(AI$3="","",IF(COUNTIFS(BD!$A$3:$A$5001,AI$3,BD!$B$3:$B$5001,$A$76,BD!$Q$3:$Q$5001,"&lt;&gt;")=0,"",SUMIFS(BD!$Q$3:$Q$5001,BD!$A$3:$A$5001,AI$3,BD!$B$3:$B$5001,$A$76)))</f>
        <v/>
      </c>
      <c r="AJ88" s="235" t="str">
        <f>IF(AJ$3="","",IF(COUNTIFS(BD!$A$3:$A$5001,AJ$3,BD!$B$3:$B$5001,$A$76,BD!$Q$3:$Q$5001,"&lt;&gt;")=0,"",SUMIFS(BD!$Q$3:$Q$5001,BD!$A$3:$A$5001,AJ$3,BD!$B$3:$B$5001,$A$76)))</f>
        <v/>
      </c>
      <c r="AK88" s="231" t="str">
        <f>IFERROR(LOOKUP(9.99E+307,F88:AJ88),"")</f>
        <v/>
      </c>
    </row>
    <row r="89" ht="15.75" customHeight="1">
      <c r="A89" s="277"/>
      <c r="B89" s="285" t="inlineStr">
        <is>
          <t xml:space="preserve">OCUPAÇÃO (P.P)</t>
        </is>
      </c>
      <c r="C89" s="279" t="inlineStr">
        <is>
          <t xml:space="preserve">Posições Ocupadas</t>
        </is>
      </c>
      <c r="D89" s="280" t="str">
        <f>IFERROR(1/(1/INDEX(BD!$AF$39:$AZ$39,MATCH($A$76,BD!$AF$22:$AZ$22,0))),"")</f>
        <v/>
      </c>
      <c r="E89" s="281"/>
      <c r="F89" s="282" t="str">
        <f>IF(F$3="","",IF(COUNTIFS(BD!$A$3:$A$5001,F$3,BD!$B$3:$B$5001,$A$76,BD!$S$3:$S$5001,"&lt;&gt;")=0,"",SUMIFS(BD!$S$3:$S$5001,BD!$A$3:$A$5001,F$3,BD!$B$3:$B$5001,$A$76)))</f>
        <v/>
      </c>
      <c r="G89" s="283" t="str">
        <f>IF(G$3="","",IF(COUNTIFS(BD!$A$3:$A$5001,G$3,BD!$B$3:$B$5001,$A$76,BD!$S$3:$S$5001,"&lt;&gt;")=0,"",SUMIFS(BD!$S$3:$S$5001,BD!$A$3:$A$5001,G$3,BD!$B$3:$B$5001,$A$76)))</f>
        <v/>
      </c>
      <c r="H89" s="283" t="str">
        <f>IF(H$3="","",IF(COUNTIFS(BD!$A$3:$A$5001,H$3,BD!$B$3:$B$5001,$A$76,BD!$S$3:$S$5001,"&lt;&gt;")=0,"",SUMIFS(BD!$S$3:$S$5001,BD!$A$3:$A$5001,H$3,BD!$B$3:$B$5001,$A$76)))</f>
        <v/>
      </c>
      <c r="I89" s="283" t="str">
        <f>IF(I$3="","",IF(COUNTIFS(BD!$A$3:$A$5001,I$3,BD!$B$3:$B$5001,$A$76,BD!$S$3:$S$5001,"&lt;&gt;")=0,"",SUMIFS(BD!$S$3:$S$5001,BD!$A$3:$A$5001,I$3,BD!$B$3:$B$5001,$A$76)))</f>
        <v/>
      </c>
      <c r="J89" s="283" t="str">
        <f>IF(J$3="","",IF(COUNTIFS(BD!$A$3:$A$5001,J$3,BD!$B$3:$B$5001,$A$76,BD!$S$3:$S$5001,"&lt;&gt;")=0,"",SUMIFS(BD!$S$3:$S$5001,BD!$A$3:$A$5001,J$3,BD!$B$3:$B$5001,$A$76)))</f>
        <v/>
      </c>
      <c r="K89" s="283" t="str">
        <f>IF(K$3="","",IF(COUNTIFS(BD!$A$3:$A$5001,K$3,BD!$B$3:$B$5001,$A$76,BD!$S$3:$S$5001,"&lt;&gt;")=0,"",SUMIFS(BD!$S$3:$S$5001,BD!$A$3:$A$5001,K$3,BD!$B$3:$B$5001,$A$76)))</f>
        <v/>
      </c>
      <c r="L89" s="283" t="str">
        <f>IF(L$3="","",IF(COUNTIFS(BD!$A$3:$A$5001,L$3,BD!$B$3:$B$5001,$A$76,BD!$S$3:$S$5001,"&lt;&gt;")=0,"",SUMIFS(BD!$S$3:$S$5001,BD!$A$3:$A$5001,L$3,BD!$B$3:$B$5001,$A$76)))</f>
        <v/>
      </c>
      <c r="M89" s="283" t="str">
        <f>IF(M$3="","",IF(COUNTIFS(BD!$A$3:$A$5001,M$3,BD!$B$3:$B$5001,$A$76,BD!$S$3:$S$5001,"&lt;&gt;")=0,"",SUMIFS(BD!$S$3:$S$5001,BD!$A$3:$A$5001,M$3,BD!$B$3:$B$5001,$A$76)))</f>
        <v/>
      </c>
      <c r="N89" s="283" t="str">
        <f>IF(N$3="","",IF(COUNTIFS(BD!$A$3:$A$5001,N$3,BD!$B$3:$B$5001,$A$76,BD!$S$3:$S$5001,"&lt;&gt;")=0,"",SUMIFS(BD!$S$3:$S$5001,BD!$A$3:$A$5001,N$3,BD!$B$3:$B$5001,$A$76)))</f>
        <v/>
      </c>
      <c r="O89" s="283" t="str">
        <f>IF(O$3="","",IF(COUNTIFS(BD!$A$3:$A$5001,O$3,BD!$B$3:$B$5001,$A$76,BD!$S$3:$S$5001,"&lt;&gt;")=0,"",SUMIFS(BD!$S$3:$S$5001,BD!$A$3:$A$5001,O$3,BD!$B$3:$B$5001,$A$76)))</f>
        <v/>
      </c>
      <c r="P89" s="283" t="str">
        <f>IF(P$3="","",IF(COUNTIFS(BD!$A$3:$A$5001,P$3,BD!$B$3:$B$5001,$A$76,BD!$S$3:$S$5001,"&lt;&gt;")=0,"",SUMIFS(BD!$S$3:$S$5001,BD!$A$3:$A$5001,P$3,BD!$B$3:$B$5001,$A$76)))</f>
        <v/>
      </c>
      <c r="Q89" s="283" t="str">
        <f>IF(Q$3="","",IF(COUNTIFS(BD!$A$3:$A$5001,Q$3,BD!$B$3:$B$5001,$A$76,BD!$S$3:$S$5001,"&lt;&gt;")=0,"",SUMIFS(BD!$S$3:$S$5001,BD!$A$3:$A$5001,Q$3,BD!$B$3:$B$5001,$A$76)))</f>
        <v/>
      </c>
      <c r="R89" s="283" t="str">
        <f>IF(R$3="","",IF(COUNTIFS(BD!$A$3:$A$5001,R$3,BD!$B$3:$B$5001,$A$76,BD!$S$3:$S$5001,"&lt;&gt;")=0,"",SUMIFS(BD!$S$3:$S$5001,BD!$A$3:$A$5001,R$3,BD!$B$3:$B$5001,$A$76)))</f>
        <v/>
      </c>
      <c r="S89" s="283" t="str">
        <f>IF(S$3="","",IF(COUNTIFS(BD!$A$3:$A$5001,S$3,BD!$B$3:$B$5001,$A$76,BD!$S$3:$S$5001,"&lt;&gt;")=0,"",SUMIFS(BD!$S$3:$S$5001,BD!$A$3:$A$5001,S$3,BD!$B$3:$B$5001,$A$76)))</f>
        <v/>
      </c>
      <c r="T89" s="283" t="str">
        <f>IF(T$3="","",IF(COUNTIFS(BD!$A$3:$A$5001,T$3,BD!$B$3:$B$5001,$A$76,BD!$S$3:$S$5001,"&lt;&gt;")=0,"",SUMIFS(BD!$S$3:$S$5001,BD!$A$3:$A$5001,T$3,BD!$B$3:$B$5001,$A$76)))</f>
        <v/>
      </c>
      <c r="U89" s="283" t="str">
        <f>IF(U$3="","",IF(COUNTIFS(BD!$A$3:$A$5001,U$3,BD!$B$3:$B$5001,$A$76,BD!$S$3:$S$5001,"&lt;&gt;")=0,"",SUMIFS(BD!$S$3:$S$5001,BD!$A$3:$A$5001,U$3,BD!$B$3:$B$5001,$A$76)))</f>
        <v/>
      </c>
      <c r="V89" s="283" t="str">
        <f>IF(V$3="","",IF(COUNTIFS(BD!$A$3:$A$5001,V$3,BD!$B$3:$B$5001,$A$76,BD!$S$3:$S$5001,"&lt;&gt;")=0,"",SUMIFS(BD!$S$3:$S$5001,BD!$A$3:$A$5001,V$3,BD!$B$3:$B$5001,$A$76)))</f>
        <v/>
      </c>
      <c r="W89" s="283" t="str">
        <f>IF(W$3="","",IF(COUNTIFS(BD!$A$3:$A$5001,W$3,BD!$B$3:$B$5001,$A$76,BD!$S$3:$S$5001,"&lt;&gt;")=0,"",SUMIFS(BD!$S$3:$S$5001,BD!$A$3:$A$5001,W$3,BD!$B$3:$B$5001,$A$76)))</f>
        <v/>
      </c>
      <c r="X89" s="283" t="str">
        <f>IF(X$3="","",IF(COUNTIFS(BD!$A$3:$A$5001,X$3,BD!$B$3:$B$5001,$A$76,BD!$S$3:$S$5001,"&lt;&gt;")=0,"",SUMIFS(BD!$S$3:$S$5001,BD!$A$3:$A$5001,X$3,BD!$B$3:$B$5001,$A$76)))</f>
        <v/>
      </c>
      <c r="Y89" s="283" t="str">
        <f>IF(Y$3="","",IF(COUNTIFS(BD!$A$3:$A$5001,Y$3,BD!$B$3:$B$5001,$A$76,BD!$S$3:$S$5001,"&lt;&gt;")=0,"",SUMIFS(BD!$S$3:$S$5001,BD!$A$3:$A$5001,Y$3,BD!$B$3:$B$5001,$A$76)))</f>
        <v/>
      </c>
      <c r="Z89" s="283" t="str">
        <f>IF(Z$3="","",IF(COUNTIFS(BD!$A$3:$A$5001,Z$3,BD!$B$3:$B$5001,$A$76,BD!$S$3:$S$5001,"&lt;&gt;")=0,"",SUMIFS(BD!$S$3:$S$5001,BD!$A$3:$A$5001,Z$3,BD!$B$3:$B$5001,$A$76)))</f>
        <v/>
      </c>
      <c r="AA89" s="283" t="str">
        <f>IF(AA$3="","",IF(COUNTIFS(BD!$A$3:$A$5001,AA$3,BD!$B$3:$B$5001,$A$76,BD!$S$3:$S$5001,"&lt;&gt;")=0,"",SUMIFS(BD!$S$3:$S$5001,BD!$A$3:$A$5001,AA$3,BD!$B$3:$B$5001,$A$76)))</f>
        <v/>
      </c>
      <c r="AB89" s="283" t="str">
        <f>IF(AB$3="","",IF(COUNTIFS(BD!$A$3:$A$5001,AB$3,BD!$B$3:$B$5001,$A$76,BD!$S$3:$S$5001,"&lt;&gt;")=0,"",SUMIFS(BD!$S$3:$S$5001,BD!$A$3:$A$5001,AB$3,BD!$B$3:$B$5001,$A$76)))</f>
        <v/>
      </c>
      <c r="AC89" s="283" t="str">
        <f>IF(AC$3="","",IF(COUNTIFS(BD!$A$3:$A$5001,AC$3,BD!$B$3:$B$5001,$A$76,BD!$S$3:$S$5001,"&lt;&gt;")=0,"",SUMIFS(BD!$S$3:$S$5001,BD!$A$3:$A$5001,AC$3,BD!$B$3:$B$5001,$A$76)))</f>
        <v/>
      </c>
      <c r="AD89" s="283" t="str">
        <f>IF(AD$3="","",IF(COUNTIFS(BD!$A$3:$A$5001,AD$3,BD!$B$3:$B$5001,$A$76,BD!$S$3:$S$5001,"&lt;&gt;")=0,"",SUMIFS(BD!$S$3:$S$5001,BD!$A$3:$A$5001,AD$3,BD!$B$3:$B$5001,$A$76)))</f>
        <v/>
      </c>
      <c r="AE89" s="283" t="str">
        <f>IF(AE$3="","",IF(COUNTIFS(BD!$A$3:$A$5001,AE$3,BD!$B$3:$B$5001,$A$76,BD!$S$3:$S$5001,"&lt;&gt;")=0,"",SUMIFS(BD!$S$3:$S$5001,BD!$A$3:$A$5001,AE$3,BD!$B$3:$B$5001,$A$76)))</f>
        <v/>
      </c>
      <c r="AF89" s="283" t="str">
        <f>IF(AF$3="","",IF(COUNTIFS(BD!$A$3:$A$5001,AF$3,BD!$B$3:$B$5001,$A$76,BD!$S$3:$S$5001,"&lt;&gt;")=0,"",SUMIFS(BD!$S$3:$S$5001,BD!$A$3:$A$5001,AF$3,BD!$B$3:$B$5001,$A$76)))</f>
        <v/>
      </c>
      <c r="AG89" s="283" t="str">
        <f>IF(AG$3="","",IF(COUNTIFS(BD!$A$3:$A$5001,AG$3,BD!$B$3:$B$5001,$A$76,BD!$S$3:$S$5001,"&lt;&gt;")=0,"",SUMIFS(BD!$S$3:$S$5001,BD!$A$3:$A$5001,AG$3,BD!$B$3:$B$5001,$A$76)))</f>
        <v/>
      </c>
      <c r="AH89" s="283" t="str">
        <f>IF(AH$3="","",IF(COUNTIFS(BD!$A$3:$A$5001,AH$3,BD!$B$3:$B$5001,$A$76,BD!$S$3:$S$5001,"&lt;&gt;")=0,"",SUMIFS(BD!$S$3:$S$5001,BD!$A$3:$A$5001,AH$3,BD!$B$3:$B$5001,$A$76)))</f>
        <v/>
      </c>
      <c r="AI89" s="283" t="str">
        <f>IF(AI$3="","",IF(COUNTIFS(BD!$A$3:$A$5001,AI$3,BD!$B$3:$B$5001,$A$76,BD!$S$3:$S$5001,"&lt;&gt;")=0,"",SUMIFS(BD!$S$3:$S$5001,BD!$A$3:$A$5001,AI$3,BD!$B$3:$B$5001,$A$76)))</f>
        <v/>
      </c>
      <c r="AJ89" s="284" t="str">
        <f>IF(AJ$3="","",IF(COUNTIFS(BD!$A$3:$A$5001,AJ$3,BD!$B$3:$B$5001,$A$76,BD!$S$3:$S$5001,"&lt;&gt;")=0,"",SUMIFS(BD!$S$3:$S$5001,BD!$A$3:$A$5001,AJ$3,BD!$B$3:$B$5001,$A$76)))</f>
        <v/>
      </c>
      <c r="AK89" s="280" t="str">
        <f>IFERROR(LOOKUP(9.99E+307,F89:AJ89),"")</f>
        <v/>
      </c>
    </row>
    <row r="90" ht="15.75" customHeight="1">
      <c r="A90" s="277"/>
      <c r="B90" s="273" t="inlineStr">
        <is>
          <t xml:space="preserve">GENTE</t>
        </is>
      </c>
      <c r="C90" s="240" t="inlineStr">
        <is>
          <t xml:space="preserve">Efetivo Op.</t>
        </is>
      </c>
      <c r="D90" s="241" t="str">
        <f>IFERROR(1/(1/INDEX(BD!$AF$41:$AZ$41,MATCH($A$76,BD!$AF$22:$AZ$22,0))),"")</f>
        <v/>
      </c>
      <c r="E90" s="242"/>
      <c r="F90" s="243" t="str">
        <f>IF(F$3="","",IF(COUNTIFS(BD!$A$3:$A$5001,F$3,BD!$B$3:$B$5001,$A$76,BD!$T$3:$T$5001,"&lt;&gt;")=0,"",SUMIFS(BD!$T$3:$T$5001,BD!$A$3:$A$5001,F$3,BD!$B$3:$B$5001,$A$76)))</f>
        <v/>
      </c>
      <c r="G90" s="244" t="str">
        <f>IF(G$3="","",IF(COUNTIFS(BD!$A$3:$A$5001,G$3,BD!$B$3:$B$5001,$A$76,BD!$T$3:$T$5001,"&lt;&gt;")=0,"",SUMIFS(BD!$T$3:$T$5001,BD!$A$3:$A$5001,G$3,BD!$B$3:$B$5001,$A$76)))</f>
        <v/>
      </c>
      <c r="H90" s="244" t="str">
        <f>IF(H$3="","",IF(COUNTIFS(BD!$A$3:$A$5001,H$3,BD!$B$3:$B$5001,$A$76,BD!$T$3:$T$5001,"&lt;&gt;")=0,"",SUMIFS(BD!$T$3:$T$5001,BD!$A$3:$A$5001,H$3,BD!$B$3:$B$5001,$A$76)))</f>
        <v/>
      </c>
      <c r="I90" s="244" t="str">
        <f>IF(I$3="","",IF(COUNTIFS(BD!$A$3:$A$5001,I$3,BD!$B$3:$B$5001,$A$76,BD!$T$3:$T$5001,"&lt;&gt;")=0,"",SUMIFS(BD!$T$3:$T$5001,BD!$A$3:$A$5001,I$3,BD!$B$3:$B$5001,$A$76)))</f>
        <v/>
      </c>
      <c r="J90" s="244" t="str">
        <f>IF(J$3="","",IF(COUNTIFS(BD!$A$3:$A$5001,J$3,BD!$B$3:$B$5001,$A$76,BD!$T$3:$T$5001,"&lt;&gt;")=0,"",SUMIFS(BD!$T$3:$T$5001,BD!$A$3:$A$5001,J$3,BD!$B$3:$B$5001,$A$76)))</f>
        <v/>
      </c>
      <c r="K90" s="244" t="str">
        <f>IF(K$3="","",IF(COUNTIFS(BD!$A$3:$A$5001,K$3,BD!$B$3:$B$5001,$A$76,BD!$T$3:$T$5001,"&lt;&gt;")=0,"",SUMIFS(BD!$T$3:$T$5001,BD!$A$3:$A$5001,K$3,BD!$B$3:$B$5001,$A$76)))</f>
        <v/>
      </c>
      <c r="L90" s="244" t="str">
        <f>IF(L$3="","",IF(COUNTIFS(BD!$A$3:$A$5001,L$3,BD!$B$3:$B$5001,$A$76,BD!$T$3:$T$5001,"&lt;&gt;")=0,"",SUMIFS(BD!$T$3:$T$5001,BD!$A$3:$A$5001,L$3,BD!$B$3:$B$5001,$A$76)))</f>
        <v/>
      </c>
      <c r="M90" s="244" t="str">
        <f>IF(M$3="","",IF(COUNTIFS(BD!$A$3:$A$5001,M$3,BD!$B$3:$B$5001,$A$76,BD!$T$3:$T$5001,"&lt;&gt;")=0,"",SUMIFS(BD!$T$3:$T$5001,BD!$A$3:$A$5001,M$3,BD!$B$3:$B$5001,$A$76)))</f>
        <v/>
      </c>
      <c r="N90" s="244" t="str">
        <f>IF(N$3="","",IF(COUNTIFS(BD!$A$3:$A$5001,N$3,BD!$B$3:$B$5001,$A$76,BD!$T$3:$T$5001,"&lt;&gt;")=0,"",SUMIFS(BD!$T$3:$T$5001,BD!$A$3:$A$5001,N$3,BD!$B$3:$B$5001,$A$76)))</f>
        <v/>
      </c>
      <c r="O90" s="244" t="str">
        <f>IF(O$3="","",IF(COUNTIFS(BD!$A$3:$A$5001,O$3,BD!$B$3:$B$5001,$A$76,BD!$T$3:$T$5001,"&lt;&gt;")=0,"",SUMIFS(BD!$T$3:$T$5001,BD!$A$3:$A$5001,O$3,BD!$B$3:$B$5001,$A$76)))</f>
        <v/>
      </c>
      <c r="P90" s="244" t="str">
        <f>IF(P$3="","",IF(COUNTIFS(BD!$A$3:$A$5001,P$3,BD!$B$3:$B$5001,$A$76,BD!$T$3:$T$5001,"&lt;&gt;")=0,"",SUMIFS(BD!$T$3:$T$5001,BD!$A$3:$A$5001,P$3,BD!$B$3:$B$5001,$A$76)))</f>
        <v/>
      </c>
      <c r="Q90" s="244" t="str">
        <f>IF(Q$3="","",IF(COUNTIFS(BD!$A$3:$A$5001,Q$3,BD!$B$3:$B$5001,$A$76,BD!$T$3:$T$5001,"&lt;&gt;")=0,"",SUMIFS(BD!$T$3:$T$5001,BD!$A$3:$A$5001,Q$3,BD!$B$3:$B$5001,$A$76)))</f>
        <v/>
      </c>
      <c r="R90" s="244" t="str">
        <f>IF(R$3="","",IF(COUNTIFS(BD!$A$3:$A$5001,R$3,BD!$B$3:$B$5001,$A$76,BD!$T$3:$T$5001,"&lt;&gt;")=0,"",SUMIFS(BD!$T$3:$T$5001,BD!$A$3:$A$5001,R$3,BD!$B$3:$B$5001,$A$76)))</f>
        <v/>
      </c>
      <c r="S90" s="244" t="str">
        <f>IF(S$3="","",IF(COUNTIFS(BD!$A$3:$A$5001,S$3,BD!$B$3:$B$5001,$A$76,BD!$T$3:$T$5001,"&lt;&gt;")=0,"",SUMIFS(BD!$T$3:$T$5001,BD!$A$3:$A$5001,S$3,BD!$B$3:$B$5001,$A$76)))</f>
        <v/>
      </c>
      <c r="T90" s="244" t="str">
        <f>IF(T$3="","",IF(COUNTIFS(BD!$A$3:$A$5001,T$3,BD!$B$3:$B$5001,$A$76,BD!$T$3:$T$5001,"&lt;&gt;")=0,"",SUMIFS(BD!$T$3:$T$5001,BD!$A$3:$A$5001,T$3,BD!$B$3:$B$5001,$A$76)))</f>
        <v/>
      </c>
      <c r="U90" s="244" t="str">
        <f>IF(U$3="","",IF(COUNTIFS(BD!$A$3:$A$5001,U$3,BD!$B$3:$B$5001,$A$76,BD!$T$3:$T$5001,"&lt;&gt;")=0,"",SUMIFS(BD!$T$3:$T$5001,BD!$A$3:$A$5001,U$3,BD!$B$3:$B$5001,$A$76)))</f>
        <v/>
      </c>
      <c r="V90" s="244" t="str">
        <f>IF(V$3="","",IF(COUNTIFS(BD!$A$3:$A$5001,V$3,BD!$B$3:$B$5001,$A$76,BD!$T$3:$T$5001,"&lt;&gt;")=0,"",SUMIFS(BD!$T$3:$T$5001,BD!$A$3:$A$5001,V$3,BD!$B$3:$B$5001,$A$76)))</f>
        <v/>
      </c>
      <c r="W90" s="244" t="str">
        <f>IF(W$3="","",IF(COUNTIFS(BD!$A$3:$A$5001,W$3,BD!$B$3:$B$5001,$A$76,BD!$T$3:$T$5001,"&lt;&gt;")=0,"",SUMIFS(BD!$T$3:$T$5001,BD!$A$3:$A$5001,W$3,BD!$B$3:$B$5001,$A$76)))</f>
        <v/>
      </c>
      <c r="X90" s="244" t="str">
        <f>IF(X$3="","",IF(COUNTIFS(BD!$A$3:$A$5001,X$3,BD!$B$3:$B$5001,$A$76,BD!$T$3:$T$5001,"&lt;&gt;")=0,"",SUMIFS(BD!$T$3:$T$5001,BD!$A$3:$A$5001,X$3,BD!$B$3:$B$5001,$A$76)))</f>
        <v/>
      </c>
      <c r="Y90" s="244" t="str">
        <f>IF(Y$3="","",IF(COUNTIFS(BD!$A$3:$A$5001,Y$3,BD!$B$3:$B$5001,$A$76,BD!$T$3:$T$5001,"&lt;&gt;")=0,"",SUMIFS(BD!$T$3:$T$5001,BD!$A$3:$A$5001,Y$3,BD!$B$3:$B$5001,$A$76)))</f>
        <v/>
      </c>
      <c r="Z90" s="244" t="str">
        <f>IF(Z$3="","",IF(COUNTIFS(BD!$A$3:$A$5001,Z$3,BD!$B$3:$B$5001,$A$76,BD!$T$3:$T$5001,"&lt;&gt;")=0,"",SUMIFS(BD!$T$3:$T$5001,BD!$A$3:$A$5001,Z$3,BD!$B$3:$B$5001,$A$76)))</f>
        <v/>
      </c>
      <c r="AA90" s="244" t="str">
        <f>IF(AA$3="","",IF(COUNTIFS(BD!$A$3:$A$5001,AA$3,BD!$B$3:$B$5001,$A$76,BD!$T$3:$T$5001,"&lt;&gt;")=0,"",SUMIFS(BD!$T$3:$T$5001,BD!$A$3:$A$5001,AA$3,BD!$B$3:$B$5001,$A$76)))</f>
        <v/>
      </c>
      <c r="AB90" s="244" t="str">
        <f>IF(AB$3="","",IF(COUNTIFS(BD!$A$3:$A$5001,AB$3,BD!$B$3:$B$5001,$A$76,BD!$T$3:$T$5001,"&lt;&gt;")=0,"",SUMIFS(BD!$T$3:$T$5001,BD!$A$3:$A$5001,AB$3,BD!$B$3:$B$5001,$A$76)))</f>
        <v/>
      </c>
      <c r="AC90" s="244" t="str">
        <f>IF(AC$3="","",IF(COUNTIFS(BD!$A$3:$A$5001,AC$3,BD!$B$3:$B$5001,$A$76,BD!$T$3:$T$5001,"&lt;&gt;")=0,"",SUMIFS(BD!$T$3:$T$5001,BD!$A$3:$A$5001,AC$3,BD!$B$3:$B$5001,$A$76)))</f>
        <v/>
      </c>
      <c r="AD90" s="244" t="str">
        <f>IF(AD$3="","",IF(COUNTIFS(BD!$A$3:$A$5001,AD$3,BD!$B$3:$B$5001,$A$76,BD!$T$3:$T$5001,"&lt;&gt;")=0,"",SUMIFS(BD!$T$3:$T$5001,BD!$A$3:$A$5001,AD$3,BD!$B$3:$B$5001,$A$76)))</f>
        <v/>
      </c>
      <c r="AE90" s="244" t="str">
        <f>IF(AE$3="","",IF(COUNTIFS(BD!$A$3:$A$5001,AE$3,BD!$B$3:$B$5001,$A$76,BD!$T$3:$T$5001,"&lt;&gt;")=0,"",SUMIFS(BD!$T$3:$T$5001,BD!$A$3:$A$5001,AE$3,BD!$B$3:$B$5001,$A$76)))</f>
        <v/>
      </c>
      <c r="AF90" s="244" t="str">
        <f>IF(AF$3="","",IF(COUNTIFS(BD!$A$3:$A$5001,AF$3,BD!$B$3:$B$5001,$A$76,BD!$T$3:$T$5001,"&lt;&gt;")=0,"",SUMIFS(BD!$T$3:$T$5001,BD!$A$3:$A$5001,AF$3,BD!$B$3:$B$5001,$A$76)))</f>
        <v/>
      </c>
      <c r="AG90" s="244" t="str">
        <f>IF(AG$3="","",IF(COUNTIFS(BD!$A$3:$A$5001,AG$3,BD!$B$3:$B$5001,$A$76,BD!$T$3:$T$5001,"&lt;&gt;")=0,"",SUMIFS(BD!$T$3:$T$5001,BD!$A$3:$A$5001,AG$3,BD!$B$3:$B$5001,$A$76)))</f>
        <v/>
      </c>
      <c r="AH90" s="244" t="str">
        <f>IF(AH$3="","",IF(COUNTIFS(BD!$A$3:$A$5001,AH$3,BD!$B$3:$B$5001,$A$76,BD!$T$3:$T$5001,"&lt;&gt;")=0,"",SUMIFS(BD!$T$3:$T$5001,BD!$A$3:$A$5001,AH$3,BD!$B$3:$B$5001,$A$76)))</f>
        <v/>
      </c>
      <c r="AI90" s="244" t="str">
        <f>IF(AI$3="","",IF(COUNTIFS(BD!$A$3:$A$5001,AI$3,BD!$B$3:$B$5001,$A$76,BD!$T$3:$T$5001,"&lt;&gt;")=0,"",SUMIFS(BD!$T$3:$T$5001,BD!$A$3:$A$5001,AI$3,BD!$B$3:$B$5001,$A$76)))</f>
        <v/>
      </c>
      <c r="AJ90" s="245" t="str">
        <f>IF(AJ$3="","",IF(COUNTIFS(BD!$A$3:$A$5001,AJ$3,BD!$B$3:$B$5001,$A$76,BD!$T$3:$T$5001,"&lt;&gt;")=0,"",SUMIFS(BD!$T$3:$T$5001,BD!$A$3:$A$5001,AJ$3,BD!$B$3:$B$5001,$A$76)))</f>
        <v/>
      </c>
      <c r="AK90" s="246" t="str">
        <f>IFERROR(LOOKUP(9.99E+307,F90:AJ90),"")</f>
        <v/>
      </c>
    </row>
    <row r="91" ht="15.75" customHeight="1">
      <c r="A91" s="277"/>
      <c r="B91" s="274"/>
      <c r="C91" s="247" t="inlineStr">
        <is>
          <t xml:space="preserve">Falta</t>
        </is>
      </c>
      <c r="D91" s="248" t="str">
        <f>IFERROR(1/(1/INDEX(BD!$AF$42:$AZ$42,MATCH($A$76,BD!$AF$22:$AZ$22,0))),"")</f>
        <v/>
      </c>
      <c r="E91" s="249"/>
      <c r="F91" s="250" t="str">
        <f>IF(F$3="","",IF(COUNTIFS(BD!$A$3:$A$5001,F$3,BD!$B$3:$B$5001,$A$76,BD!$U$3:$U$5001,"&lt;&gt;")=0,"",SUMIFS(BD!$U$3:$U$5001,BD!$A$3:$A$5001,F$3,BD!$B$3:$B$5001,$A$76)))</f>
        <v/>
      </c>
      <c r="G91" s="251" t="str">
        <f>IF(G$3="","",IF(COUNTIFS(BD!$A$3:$A$5001,G$3,BD!$B$3:$B$5001,$A$76,BD!$U$3:$U$5001,"&lt;&gt;")=0,"",SUMIFS(BD!$U$3:$U$5001,BD!$A$3:$A$5001,G$3,BD!$B$3:$B$5001,$A$76)))</f>
        <v/>
      </c>
      <c r="H91" s="251" t="str">
        <f>IF(H$3="","",IF(COUNTIFS(BD!$A$3:$A$5001,H$3,BD!$B$3:$B$5001,$A$76,BD!$U$3:$U$5001,"&lt;&gt;")=0,"",SUMIFS(BD!$U$3:$U$5001,BD!$A$3:$A$5001,H$3,BD!$B$3:$B$5001,$A$76)))</f>
        <v/>
      </c>
      <c r="I91" s="251" t="str">
        <f>IF(I$3="","",IF(COUNTIFS(BD!$A$3:$A$5001,I$3,BD!$B$3:$B$5001,$A$76,BD!$U$3:$U$5001,"&lt;&gt;")=0,"",SUMIFS(BD!$U$3:$U$5001,BD!$A$3:$A$5001,I$3,BD!$B$3:$B$5001,$A$76)))</f>
        <v/>
      </c>
      <c r="J91" s="251" t="str">
        <f>IF(J$3="","",IF(COUNTIFS(BD!$A$3:$A$5001,J$3,BD!$B$3:$B$5001,$A$76,BD!$U$3:$U$5001,"&lt;&gt;")=0,"",SUMIFS(BD!$U$3:$U$5001,BD!$A$3:$A$5001,J$3,BD!$B$3:$B$5001,$A$76)))</f>
        <v/>
      </c>
      <c r="K91" s="251" t="str">
        <f>IF(K$3="","",IF(COUNTIFS(BD!$A$3:$A$5001,K$3,BD!$B$3:$B$5001,$A$76,BD!$U$3:$U$5001,"&lt;&gt;")=0,"",SUMIFS(BD!$U$3:$U$5001,BD!$A$3:$A$5001,K$3,BD!$B$3:$B$5001,$A$76)))</f>
        <v/>
      </c>
      <c r="L91" s="251" t="str">
        <f>IF(L$3="","",IF(COUNTIFS(BD!$A$3:$A$5001,L$3,BD!$B$3:$B$5001,$A$76,BD!$U$3:$U$5001,"&lt;&gt;")=0,"",SUMIFS(BD!$U$3:$U$5001,BD!$A$3:$A$5001,L$3,BD!$B$3:$B$5001,$A$76)))</f>
        <v/>
      </c>
      <c r="M91" s="251" t="str">
        <f>IF(M$3="","",IF(COUNTIFS(BD!$A$3:$A$5001,M$3,BD!$B$3:$B$5001,$A$76,BD!$U$3:$U$5001,"&lt;&gt;")=0,"",SUMIFS(BD!$U$3:$U$5001,BD!$A$3:$A$5001,M$3,BD!$B$3:$B$5001,$A$76)))</f>
        <v/>
      </c>
      <c r="N91" s="251" t="str">
        <f>IF(N$3="","",IF(COUNTIFS(BD!$A$3:$A$5001,N$3,BD!$B$3:$B$5001,$A$76,BD!$U$3:$U$5001,"&lt;&gt;")=0,"",SUMIFS(BD!$U$3:$U$5001,BD!$A$3:$A$5001,N$3,BD!$B$3:$B$5001,$A$76)))</f>
        <v/>
      </c>
      <c r="O91" s="251" t="str">
        <f>IF(O$3="","",IF(COUNTIFS(BD!$A$3:$A$5001,O$3,BD!$B$3:$B$5001,$A$76,BD!$U$3:$U$5001,"&lt;&gt;")=0,"",SUMIFS(BD!$U$3:$U$5001,BD!$A$3:$A$5001,O$3,BD!$B$3:$B$5001,$A$76)))</f>
        <v/>
      </c>
      <c r="P91" s="251" t="str">
        <f>IF(P$3="","",IF(COUNTIFS(BD!$A$3:$A$5001,P$3,BD!$B$3:$B$5001,$A$76,BD!$U$3:$U$5001,"&lt;&gt;")=0,"",SUMIFS(BD!$U$3:$U$5001,BD!$A$3:$A$5001,P$3,BD!$B$3:$B$5001,$A$76)))</f>
        <v/>
      </c>
      <c r="Q91" s="251" t="str">
        <f>IF(Q$3="","",IF(COUNTIFS(BD!$A$3:$A$5001,Q$3,BD!$B$3:$B$5001,$A$76,BD!$U$3:$U$5001,"&lt;&gt;")=0,"",SUMIFS(BD!$U$3:$U$5001,BD!$A$3:$A$5001,Q$3,BD!$B$3:$B$5001,$A$76)))</f>
        <v/>
      </c>
      <c r="R91" s="251" t="str">
        <f>IF(R$3="","",IF(COUNTIFS(BD!$A$3:$A$5001,R$3,BD!$B$3:$B$5001,$A$76,BD!$U$3:$U$5001,"&lt;&gt;")=0,"",SUMIFS(BD!$U$3:$U$5001,BD!$A$3:$A$5001,R$3,BD!$B$3:$B$5001,$A$76)))</f>
        <v/>
      </c>
      <c r="S91" s="251" t="str">
        <f>IF(S$3="","",IF(COUNTIFS(BD!$A$3:$A$5001,S$3,BD!$B$3:$B$5001,$A$76,BD!$U$3:$U$5001,"&lt;&gt;")=0,"",SUMIFS(BD!$U$3:$U$5001,BD!$A$3:$A$5001,S$3,BD!$B$3:$B$5001,$A$76)))</f>
        <v/>
      </c>
      <c r="T91" s="251" t="str">
        <f>IF(T$3="","",IF(COUNTIFS(BD!$A$3:$A$5001,T$3,BD!$B$3:$B$5001,$A$76,BD!$U$3:$U$5001,"&lt;&gt;")=0,"",SUMIFS(BD!$U$3:$U$5001,BD!$A$3:$A$5001,T$3,BD!$B$3:$B$5001,$A$76)))</f>
        <v/>
      </c>
      <c r="U91" s="251" t="str">
        <f>IF(U$3="","",IF(COUNTIFS(BD!$A$3:$A$5001,U$3,BD!$B$3:$B$5001,$A$76,BD!$U$3:$U$5001,"&lt;&gt;")=0,"",SUMIFS(BD!$U$3:$U$5001,BD!$A$3:$A$5001,U$3,BD!$B$3:$B$5001,$A$76)))</f>
        <v/>
      </c>
      <c r="V91" s="251" t="str">
        <f>IF(V$3="","",IF(COUNTIFS(BD!$A$3:$A$5001,V$3,BD!$B$3:$B$5001,$A$76,BD!$U$3:$U$5001,"&lt;&gt;")=0,"",SUMIFS(BD!$U$3:$U$5001,BD!$A$3:$A$5001,V$3,BD!$B$3:$B$5001,$A$76)))</f>
        <v/>
      </c>
      <c r="W91" s="251" t="str">
        <f>IF(W$3="","",IF(COUNTIFS(BD!$A$3:$A$5001,W$3,BD!$B$3:$B$5001,$A$76,BD!$U$3:$U$5001,"&lt;&gt;")=0,"",SUMIFS(BD!$U$3:$U$5001,BD!$A$3:$A$5001,W$3,BD!$B$3:$B$5001,$A$76)))</f>
        <v/>
      </c>
      <c r="X91" s="251" t="str">
        <f>IF(X$3="","",IF(COUNTIFS(BD!$A$3:$A$5001,X$3,BD!$B$3:$B$5001,$A$76,BD!$U$3:$U$5001,"&lt;&gt;")=0,"",SUMIFS(BD!$U$3:$U$5001,BD!$A$3:$A$5001,X$3,BD!$B$3:$B$5001,$A$76)))</f>
        <v/>
      </c>
      <c r="Y91" s="251" t="str">
        <f>IF(Y$3="","",IF(COUNTIFS(BD!$A$3:$A$5001,Y$3,BD!$B$3:$B$5001,$A$76,BD!$U$3:$U$5001,"&lt;&gt;")=0,"",SUMIFS(BD!$U$3:$U$5001,BD!$A$3:$A$5001,Y$3,BD!$B$3:$B$5001,$A$76)))</f>
        <v/>
      </c>
      <c r="Z91" s="251" t="str">
        <f>IF(Z$3="","",IF(COUNTIFS(BD!$A$3:$A$5001,Z$3,BD!$B$3:$B$5001,$A$76,BD!$U$3:$U$5001,"&lt;&gt;")=0,"",SUMIFS(BD!$U$3:$U$5001,BD!$A$3:$A$5001,Z$3,BD!$B$3:$B$5001,$A$76)))</f>
        <v/>
      </c>
      <c r="AA91" s="251" t="str">
        <f>IF(AA$3="","",IF(COUNTIFS(BD!$A$3:$A$5001,AA$3,BD!$B$3:$B$5001,$A$76,BD!$U$3:$U$5001,"&lt;&gt;")=0,"",SUMIFS(BD!$U$3:$U$5001,BD!$A$3:$A$5001,AA$3,BD!$B$3:$B$5001,$A$76)))</f>
        <v/>
      </c>
      <c r="AB91" s="251" t="str">
        <f>IF(AB$3="","",IF(COUNTIFS(BD!$A$3:$A$5001,AB$3,BD!$B$3:$B$5001,$A$76,BD!$U$3:$U$5001,"&lt;&gt;")=0,"",SUMIFS(BD!$U$3:$U$5001,BD!$A$3:$A$5001,AB$3,BD!$B$3:$B$5001,$A$76)))</f>
        <v/>
      </c>
      <c r="AC91" s="251" t="str">
        <f>IF(AC$3="","",IF(COUNTIFS(BD!$A$3:$A$5001,AC$3,BD!$B$3:$B$5001,$A$76,BD!$U$3:$U$5001,"&lt;&gt;")=0,"",SUMIFS(BD!$U$3:$U$5001,BD!$A$3:$A$5001,AC$3,BD!$B$3:$B$5001,$A$76)))</f>
        <v/>
      </c>
      <c r="AD91" s="251" t="str">
        <f>IF(AD$3="","",IF(COUNTIFS(BD!$A$3:$A$5001,AD$3,BD!$B$3:$B$5001,$A$76,BD!$U$3:$U$5001,"&lt;&gt;")=0,"",SUMIFS(BD!$U$3:$U$5001,BD!$A$3:$A$5001,AD$3,BD!$B$3:$B$5001,$A$76)))</f>
        <v/>
      </c>
      <c r="AE91" s="251" t="str">
        <f>IF(AE$3="","",IF(COUNTIFS(BD!$A$3:$A$5001,AE$3,BD!$B$3:$B$5001,$A$76,BD!$U$3:$U$5001,"&lt;&gt;")=0,"",SUMIFS(BD!$U$3:$U$5001,BD!$A$3:$A$5001,AE$3,BD!$B$3:$B$5001,$A$76)))</f>
        <v/>
      </c>
      <c r="AF91" s="251" t="str">
        <f>IF(AF$3="","",IF(COUNTIFS(BD!$A$3:$A$5001,AF$3,BD!$B$3:$B$5001,$A$76,BD!$U$3:$U$5001,"&lt;&gt;")=0,"",SUMIFS(BD!$U$3:$U$5001,BD!$A$3:$A$5001,AF$3,BD!$B$3:$B$5001,$A$76)))</f>
        <v/>
      </c>
      <c r="AG91" s="251" t="str">
        <f>IF(AG$3="","",IF(COUNTIFS(BD!$A$3:$A$5001,AG$3,BD!$B$3:$B$5001,$A$76,BD!$U$3:$U$5001,"&lt;&gt;")=0,"",SUMIFS(BD!$U$3:$U$5001,BD!$A$3:$A$5001,AG$3,BD!$B$3:$B$5001,$A$76)))</f>
        <v/>
      </c>
      <c r="AH91" s="251" t="str">
        <f>IF(AH$3="","",IF(COUNTIFS(BD!$A$3:$A$5001,AH$3,BD!$B$3:$B$5001,$A$76,BD!$U$3:$U$5001,"&lt;&gt;")=0,"",SUMIFS(BD!$U$3:$U$5001,BD!$A$3:$A$5001,AH$3,BD!$B$3:$B$5001,$A$76)))</f>
        <v/>
      </c>
      <c r="AI91" s="251" t="str">
        <f>IF(AI$3="","",IF(COUNTIFS(BD!$A$3:$A$5001,AI$3,BD!$B$3:$B$5001,$A$76,BD!$U$3:$U$5001,"&lt;&gt;")=0,"",SUMIFS(BD!$U$3:$U$5001,BD!$A$3:$A$5001,AI$3,BD!$B$3:$B$5001,$A$76)))</f>
        <v/>
      </c>
      <c r="AJ91" s="252" t="str">
        <f>IF(AJ$3="","",IF(COUNTIFS(BD!$A$3:$A$5001,AJ$3,BD!$B$3:$B$5001,$A$76,BD!$U$3:$U$5001,"&lt;&gt;")=0,"",SUMIFS(BD!$U$3:$U$5001,BD!$A$3:$A$5001,AJ$3,BD!$B$3:$B$5001,$A$76)))</f>
        <v/>
      </c>
      <c r="AK91" s="253" t="str">
        <f>IF(COUNT(F91:AJ91)=0,"",SUM(F91:AJ91))</f>
        <v/>
      </c>
    </row>
    <row r="92" ht="15.75" customHeight="1">
      <c r="A92" s="277"/>
      <c r="B92" s="274"/>
      <c r="C92" s="247" t="inlineStr">
        <is>
          <t xml:space="preserve">Absenteísmo (H/H)</t>
        </is>
      </c>
      <c r="D92" s="248" t="str">
        <f>IFERROR(1/(1/INDEX(BD!$AF$43:$AZ$43,MATCH($A$76,BD!$AF$22:$AZ$22,0))),"")</f>
        <v/>
      </c>
      <c r="E92" s="249"/>
      <c r="F92" s="254" t="str">
        <f>IF(F$3="","",IF(COUNTIFS(BD!$A$3:$A$5001,F$3,BD!$B$3:$B$5001,$A$76,BD!$V$3:$V$5001,"&lt;&gt;")=0,"",SUMIFS(BD!$V$3:$V$5001,BD!$A$3:$A$5001,F$3,BD!$B$3:$B$5001,$A$76)))</f>
        <v/>
      </c>
      <c r="G92" s="255" t="str">
        <f>IF(G$3="","",IF(COUNTIFS(BD!$A$3:$A$5001,G$3,BD!$B$3:$B$5001,$A$76,BD!$V$3:$V$5001,"&lt;&gt;")=0,"",SUMIFS(BD!$V$3:$V$5001,BD!$A$3:$A$5001,G$3,BD!$B$3:$B$5001,$A$76)))</f>
        <v/>
      </c>
      <c r="H92" s="255" t="str">
        <f>IF(H$3="","",IF(COUNTIFS(BD!$A$3:$A$5001,H$3,BD!$B$3:$B$5001,$A$76,BD!$V$3:$V$5001,"&lt;&gt;")=0,"",SUMIFS(BD!$V$3:$V$5001,BD!$A$3:$A$5001,H$3,BD!$B$3:$B$5001,$A$76)))</f>
        <v/>
      </c>
      <c r="I92" s="255" t="str">
        <f>IF(I$3="","",IF(COUNTIFS(BD!$A$3:$A$5001,I$3,BD!$B$3:$B$5001,$A$76,BD!$V$3:$V$5001,"&lt;&gt;")=0,"",SUMIFS(BD!$V$3:$V$5001,BD!$A$3:$A$5001,I$3,BD!$B$3:$B$5001,$A$76)))</f>
        <v/>
      </c>
      <c r="J92" s="255" t="str">
        <f>IF(J$3="","",IF(COUNTIFS(BD!$A$3:$A$5001,J$3,BD!$B$3:$B$5001,$A$76,BD!$V$3:$V$5001,"&lt;&gt;")=0,"",SUMIFS(BD!$V$3:$V$5001,BD!$A$3:$A$5001,J$3,BD!$B$3:$B$5001,$A$76)))</f>
        <v/>
      </c>
      <c r="K92" s="255" t="str">
        <f>IF(K$3="","",IF(COUNTIFS(BD!$A$3:$A$5001,K$3,BD!$B$3:$B$5001,$A$76,BD!$V$3:$V$5001,"&lt;&gt;")=0,"",SUMIFS(BD!$V$3:$V$5001,BD!$A$3:$A$5001,K$3,BD!$B$3:$B$5001,$A$76)))</f>
        <v/>
      </c>
      <c r="L92" s="255" t="str">
        <f>IF(L$3="","",IF(COUNTIFS(BD!$A$3:$A$5001,L$3,BD!$B$3:$B$5001,$A$76,BD!$V$3:$V$5001,"&lt;&gt;")=0,"",SUMIFS(BD!$V$3:$V$5001,BD!$A$3:$A$5001,L$3,BD!$B$3:$B$5001,$A$76)))</f>
        <v/>
      </c>
      <c r="M92" s="255" t="str">
        <f>IF(M$3="","",IF(COUNTIFS(BD!$A$3:$A$5001,M$3,BD!$B$3:$B$5001,$A$76,BD!$V$3:$V$5001,"&lt;&gt;")=0,"",SUMIFS(BD!$V$3:$V$5001,BD!$A$3:$A$5001,M$3,BD!$B$3:$B$5001,$A$76)))</f>
        <v/>
      </c>
      <c r="N92" s="255" t="str">
        <f>IF(N$3="","",IF(COUNTIFS(BD!$A$3:$A$5001,N$3,BD!$B$3:$B$5001,$A$76,BD!$V$3:$V$5001,"&lt;&gt;")=0,"",SUMIFS(BD!$V$3:$V$5001,BD!$A$3:$A$5001,N$3,BD!$B$3:$B$5001,$A$76)))</f>
        <v/>
      </c>
      <c r="O92" s="255" t="str">
        <f>IF(O$3="","",IF(COUNTIFS(BD!$A$3:$A$5001,O$3,BD!$B$3:$B$5001,$A$76,BD!$V$3:$V$5001,"&lt;&gt;")=0,"",SUMIFS(BD!$V$3:$V$5001,BD!$A$3:$A$5001,O$3,BD!$B$3:$B$5001,$A$76)))</f>
        <v/>
      </c>
      <c r="P92" s="255" t="str">
        <f>IF(P$3="","",IF(COUNTIFS(BD!$A$3:$A$5001,P$3,BD!$B$3:$B$5001,$A$76,BD!$V$3:$V$5001,"&lt;&gt;")=0,"",SUMIFS(BD!$V$3:$V$5001,BD!$A$3:$A$5001,P$3,BD!$B$3:$B$5001,$A$76)))</f>
        <v/>
      </c>
      <c r="Q92" s="255" t="str">
        <f>IF(Q$3="","",IF(COUNTIFS(BD!$A$3:$A$5001,Q$3,BD!$B$3:$B$5001,$A$76,BD!$V$3:$V$5001,"&lt;&gt;")=0,"",SUMIFS(BD!$V$3:$V$5001,BD!$A$3:$A$5001,Q$3,BD!$B$3:$B$5001,$A$76)))</f>
        <v/>
      </c>
      <c r="R92" s="255" t="str">
        <f>IF(R$3="","",IF(COUNTIFS(BD!$A$3:$A$5001,R$3,BD!$B$3:$B$5001,$A$76,BD!$V$3:$V$5001,"&lt;&gt;")=0,"",SUMIFS(BD!$V$3:$V$5001,BD!$A$3:$A$5001,R$3,BD!$B$3:$B$5001,$A$76)))</f>
        <v/>
      </c>
      <c r="S92" s="255" t="str">
        <f>IF(S$3="","",IF(COUNTIFS(BD!$A$3:$A$5001,S$3,BD!$B$3:$B$5001,$A$76,BD!$V$3:$V$5001,"&lt;&gt;")=0,"",SUMIFS(BD!$V$3:$V$5001,BD!$A$3:$A$5001,S$3,BD!$B$3:$B$5001,$A$76)))</f>
        <v/>
      </c>
      <c r="T92" s="255" t="str">
        <f>IF(T$3="","",IF(COUNTIFS(BD!$A$3:$A$5001,T$3,BD!$B$3:$B$5001,$A$76,BD!$V$3:$V$5001,"&lt;&gt;")=0,"",SUMIFS(BD!$V$3:$V$5001,BD!$A$3:$A$5001,T$3,BD!$B$3:$B$5001,$A$76)))</f>
        <v/>
      </c>
      <c r="U92" s="255" t="str">
        <f>IF(U$3="","",IF(COUNTIFS(BD!$A$3:$A$5001,U$3,BD!$B$3:$B$5001,$A$76,BD!$V$3:$V$5001,"&lt;&gt;")=0,"",SUMIFS(BD!$V$3:$V$5001,BD!$A$3:$A$5001,U$3,BD!$B$3:$B$5001,$A$76)))</f>
        <v/>
      </c>
      <c r="V92" s="255" t="str">
        <f>IF(V$3="","",IF(COUNTIFS(BD!$A$3:$A$5001,V$3,BD!$B$3:$B$5001,$A$76,BD!$V$3:$V$5001,"&lt;&gt;")=0,"",SUMIFS(BD!$V$3:$V$5001,BD!$A$3:$A$5001,V$3,BD!$B$3:$B$5001,$A$76)))</f>
        <v/>
      </c>
      <c r="W92" s="255" t="str">
        <f>IF(W$3="","",IF(COUNTIFS(BD!$A$3:$A$5001,W$3,BD!$B$3:$B$5001,$A$76,BD!$V$3:$V$5001,"&lt;&gt;")=0,"",SUMIFS(BD!$V$3:$V$5001,BD!$A$3:$A$5001,W$3,BD!$B$3:$B$5001,$A$76)))</f>
        <v/>
      </c>
      <c r="X92" s="255" t="str">
        <f>IF(X$3="","",IF(COUNTIFS(BD!$A$3:$A$5001,X$3,BD!$B$3:$B$5001,$A$76,BD!$V$3:$V$5001,"&lt;&gt;")=0,"",SUMIFS(BD!$V$3:$V$5001,BD!$A$3:$A$5001,X$3,BD!$B$3:$B$5001,$A$76)))</f>
        <v/>
      </c>
      <c r="Y92" s="255" t="str">
        <f>IF(Y$3="","",IF(COUNTIFS(BD!$A$3:$A$5001,Y$3,BD!$B$3:$B$5001,$A$76,BD!$V$3:$V$5001,"&lt;&gt;")=0,"",SUMIFS(BD!$V$3:$V$5001,BD!$A$3:$A$5001,Y$3,BD!$B$3:$B$5001,$A$76)))</f>
        <v/>
      </c>
      <c r="Z92" s="255" t="str">
        <f>IF(Z$3="","",IF(COUNTIFS(BD!$A$3:$A$5001,Z$3,BD!$B$3:$B$5001,$A$76,BD!$V$3:$V$5001,"&lt;&gt;")=0,"",SUMIFS(BD!$V$3:$V$5001,BD!$A$3:$A$5001,Z$3,BD!$B$3:$B$5001,$A$76)))</f>
        <v/>
      </c>
      <c r="AA92" s="255" t="str">
        <f>IF(AA$3="","",IF(COUNTIFS(BD!$A$3:$A$5001,AA$3,BD!$B$3:$B$5001,$A$76,BD!$V$3:$V$5001,"&lt;&gt;")=0,"",SUMIFS(BD!$V$3:$V$5001,BD!$A$3:$A$5001,AA$3,BD!$B$3:$B$5001,$A$76)))</f>
        <v/>
      </c>
      <c r="AB92" s="255" t="str">
        <f>IF(AB$3="","",IF(COUNTIFS(BD!$A$3:$A$5001,AB$3,BD!$B$3:$B$5001,$A$76,BD!$V$3:$V$5001,"&lt;&gt;")=0,"",SUMIFS(BD!$V$3:$V$5001,BD!$A$3:$A$5001,AB$3,BD!$B$3:$B$5001,$A$76)))</f>
        <v/>
      </c>
      <c r="AC92" s="255" t="str">
        <f>IF(AC$3="","",IF(COUNTIFS(BD!$A$3:$A$5001,AC$3,BD!$B$3:$B$5001,$A$76,BD!$V$3:$V$5001,"&lt;&gt;")=0,"",SUMIFS(BD!$V$3:$V$5001,BD!$A$3:$A$5001,AC$3,BD!$B$3:$B$5001,$A$76)))</f>
        <v/>
      </c>
      <c r="AD92" s="255" t="str">
        <f>IF(AD$3="","",IF(COUNTIFS(BD!$A$3:$A$5001,AD$3,BD!$B$3:$B$5001,$A$76,BD!$V$3:$V$5001,"&lt;&gt;")=0,"",SUMIFS(BD!$V$3:$V$5001,BD!$A$3:$A$5001,AD$3,BD!$B$3:$B$5001,$A$76)))</f>
        <v/>
      </c>
      <c r="AE92" s="255" t="str">
        <f>IF(AE$3="","",IF(COUNTIFS(BD!$A$3:$A$5001,AE$3,BD!$B$3:$B$5001,$A$76,BD!$V$3:$V$5001,"&lt;&gt;")=0,"",SUMIFS(BD!$V$3:$V$5001,BD!$A$3:$A$5001,AE$3,BD!$B$3:$B$5001,$A$76)))</f>
        <v/>
      </c>
      <c r="AF92" s="255" t="str">
        <f>IF(AF$3="","",IF(COUNTIFS(BD!$A$3:$A$5001,AF$3,BD!$B$3:$B$5001,$A$76,BD!$V$3:$V$5001,"&lt;&gt;")=0,"",SUMIFS(BD!$V$3:$V$5001,BD!$A$3:$A$5001,AF$3,BD!$B$3:$B$5001,$A$76)))</f>
        <v/>
      </c>
      <c r="AG92" s="255" t="str">
        <f>IF(AG$3="","",IF(COUNTIFS(BD!$A$3:$A$5001,AG$3,BD!$B$3:$B$5001,$A$76,BD!$V$3:$V$5001,"&lt;&gt;")=0,"",SUMIFS(BD!$V$3:$V$5001,BD!$A$3:$A$5001,AG$3,BD!$B$3:$B$5001,$A$76)))</f>
        <v/>
      </c>
      <c r="AH92" s="255" t="str">
        <f>IF(AH$3="","",IF(COUNTIFS(BD!$A$3:$A$5001,AH$3,BD!$B$3:$B$5001,$A$76,BD!$V$3:$V$5001,"&lt;&gt;")=0,"",SUMIFS(BD!$V$3:$V$5001,BD!$A$3:$A$5001,AH$3,BD!$B$3:$B$5001,$A$76)))</f>
        <v/>
      </c>
      <c r="AI92" s="255" t="str">
        <f>IF(AI$3="","",IF(COUNTIFS(BD!$A$3:$A$5001,AI$3,BD!$B$3:$B$5001,$A$76,BD!$V$3:$V$5001,"&lt;&gt;")=0,"",SUMIFS(BD!$V$3:$V$5001,BD!$A$3:$A$5001,AI$3,BD!$B$3:$B$5001,$A$76)))</f>
        <v/>
      </c>
      <c r="AJ92" s="256" t="str">
        <f>IF(AJ$3="","",IF(COUNTIFS(BD!$A$3:$A$5001,AJ$3,BD!$B$3:$B$5001,$A$76,BD!$V$3:$V$5001,"&lt;&gt;")=0,"",SUMIFS(BD!$V$3:$V$5001,BD!$A$3:$A$5001,AJ$3,BD!$B$3:$B$5001,$A$76)))</f>
        <v/>
      </c>
      <c r="AK92" s="257" t="str">
        <f>IF(COUNT(F92:AJ92)=0,"",SUM(F92:AJ92))</f>
        <v/>
      </c>
    </row>
    <row r="93" ht="15.75" customHeight="1">
      <c r="A93" s="277"/>
      <c r="B93" s="274"/>
      <c r="C93" s="247" t="inlineStr">
        <is>
          <t xml:space="preserve">Folga</t>
        </is>
      </c>
      <c r="D93" s="248" t="str">
        <f>IFERROR(1/(1/INDEX(BD!$AF$44:$AZ$44,MATCH($A$76,BD!$AF$22:$AZ$22,0))),"")</f>
        <v/>
      </c>
      <c r="E93" s="249"/>
      <c r="F93" s="250" t="str">
        <f>IF(F$3="","",IF(COUNTIFS(BD!$A$3:$A$5001,F$3,BD!$B$3:$B$5001,$A$76,BD!$W$3:$W$5001,"&lt;&gt;")=0,"",SUMIFS(BD!$W$3:$W$5001,BD!$A$3:$A$5001,F$3,BD!$B$3:$B$5001,$A$76)))</f>
        <v/>
      </c>
      <c r="G93" s="251" t="str">
        <f>IF(G$3="","",IF(COUNTIFS(BD!$A$3:$A$5001,G$3,BD!$B$3:$B$5001,$A$76,BD!$W$3:$W$5001,"&lt;&gt;")=0,"",SUMIFS(BD!$W$3:$W$5001,BD!$A$3:$A$5001,G$3,BD!$B$3:$B$5001,$A$76)))</f>
        <v/>
      </c>
      <c r="H93" s="251" t="str">
        <f>IF(H$3="","",IF(COUNTIFS(BD!$A$3:$A$5001,H$3,BD!$B$3:$B$5001,$A$76,BD!$W$3:$W$5001,"&lt;&gt;")=0,"",SUMIFS(BD!$W$3:$W$5001,BD!$A$3:$A$5001,H$3,BD!$B$3:$B$5001,$A$76)))</f>
        <v/>
      </c>
      <c r="I93" s="251" t="str">
        <f>IF(I$3="","",IF(COUNTIFS(BD!$A$3:$A$5001,I$3,BD!$B$3:$B$5001,$A$76,BD!$W$3:$W$5001,"&lt;&gt;")=0,"",SUMIFS(BD!$W$3:$W$5001,BD!$A$3:$A$5001,I$3,BD!$B$3:$B$5001,$A$76)))</f>
        <v/>
      </c>
      <c r="J93" s="251" t="str">
        <f>IF(J$3="","",IF(COUNTIFS(BD!$A$3:$A$5001,J$3,BD!$B$3:$B$5001,$A$76,BD!$W$3:$W$5001,"&lt;&gt;")=0,"",SUMIFS(BD!$W$3:$W$5001,BD!$A$3:$A$5001,J$3,BD!$B$3:$B$5001,$A$76)))</f>
        <v/>
      </c>
      <c r="K93" s="251" t="str">
        <f>IF(K$3="","",IF(COUNTIFS(BD!$A$3:$A$5001,K$3,BD!$B$3:$B$5001,$A$76,BD!$W$3:$W$5001,"&lt;&gt;")=0,"",SUMIFS(BD!$W$3:$W$5001,BD!$A$3:$A$5001,K$3,BD!$B$3:$B$5001,$A$76)))</f>
        <v/>
      </c>
      <c r="L93" s="251" t="str">
        <f>IF(L$3="","",IF(COUNTIFS(BD!$A$3:$A$5001,L$3,BD!$B$3:$B$5001,$A$76,BD!$W$3:$W$5001,"&lt;&gt;")=0,"",SUMIFS(BD!$W$3:$W$5001,BD!$A$3:$A$5001,L$3,BD!$B$3:$B$5001,$A$76)))</f>
        <v/>
      </c>
      <c r="M93" s="251" t="str">
        <f>IF(M$3="","",IF(COUNTIFS(BD!$A$3:$A$5001,M$3,BD!$B$3:$B$5001,$A$76,BD!$W$3:$W$5001,"&lt;&gt;")=0,"",SUMIFS(BD!$W$3:$W$5001,BD!$A$3:$A$5001,M$3,BD!$B$3:$B$5001,$A$76)))</f>
        <v/>
      </c>
      <c r="N93" s="251" t="str">
        <f>IF(N$3="","",IF(COUNTIFS(BD!$A$3:$A$5001,N$3,BD!$B$3:$B$5001,$A$76,BD!$W$3:$W$5001,"&lt;&gt;")=0,"",SUMIFS(BD!$W$3:$W$5001,BD!$A$3:$A$5001,N$3,BD!$B$3:$B$5001,$A$76)))</f>
        <v/>
      </c>
      <c r="O93" s="251" t="str">
        <f>IF(O$3="","",IF(COUNTIFS(BD!$A$3:$A$5001,O$3,BD!$B$3:$B$5001,$A$76,BD!$W$3:$W$5001,"&lt;&gt;")=0,"",SUMIFS(BD!$W$3:$W$5001,BD!$A$3:$A$5001,O$3,BD!$B$3:$B$5001,$A$76)))</f>
        <v/>
      </c>
      <c r="P93" s="251" t="str">
        <f>IF(P$3="","",IF(COUNTIFS(BD!$A$3:$A$5001,P$3,BD!$B$3:$B$5001,$A$76,BD!$W$3:$W$5001,"&lt;&gt;")=0,"",SUMIFS(BD!$W$3:$W$5001,BD!$A$3:$A$5001,P$3,BD!$B$3:$B$5001,$A$76)))</f>
        <v/>
      </c>
      <c r="Q93" s="251" t="str">
        <f>IF(Q$3="","",IF(COUNTIFS(BD!$A$3:$A$5001,Q$3,BD!$B$3:$B$5001,$A$76,BD!$W$3:$W$5001,"&lt;&gt;")=0,"",SUMIFS(BD!$W$3:$W$5001,BD!$A$3:$A$5001,Q$3,BD!$B$3:$B$5001,$A$76)))</f>
        <v/>
      </c>
      <c r="R93" s="251" t="str">
        <f>IF(R$3="","",IF(COUNTIFS(BD!$A$3:$A$5001,R$3,BD!$B$3:$B$5001,$A$76,BD!$W$3:$W$5001,"&lt;&gt;")=0,"",SUMIFS(BD!$W$3:$W$5001,BD!$A$3:$A$5001,R$3,BD!$B$3:$B$5001,$A$76)))</f>
        <v/>
      </c>
      <c r="S93" s="251" t="str">
        <f>IF(S$3="","",IF(COUNTIFS(BD!$A$3:$A$5001,S$3,BD!$B$3:$B$5001,$A$76,BD!$W$3:$W$5001,"&lt;&gt;")=0,"",SUMIFS(BD!$W$3:$W$5001,BD!$A$3:$A$5001,S$3,BD!$B$3:$B$5001,$A$76)))</f>
        <v/>
      </c>
      <c r="T93" s="251" t="str">
        <f>IF(T$3="","",IF(COUNTIFS(BD!$A$3:$A$5001,T$3,BD!$B$3:$B$5001,$A$76,BD!$W$3:$W$5001,"&lt;&gt;")=0,"",SUMIFS(BD!$W$3:$W$5001,BD!$A$3:$A$5001,T$3,BD!$B$3:$B$5001,$A$76)))</f>
        <v/>
      </c>
      <c r="U93" s="251" t="str">
        <f>IF(U$3="","",IF(COUNTIFS(BD!$A$3:$A$5001,U$3,BD!$B$3:$B$5001,$A$76,BD!$W$3:$W$5001,"&lt;&gt;")=0,"",SUMIFS(BD!$W$3:$W$5001,BD!$A$3:$A$5001,U$3,BD!$B$3:$B$5001,$A$76)))</f>
        <v/>
      </c>
      <c r="V93" s="251" t="str">
        <f>IF(V$3="","",IF(COUNTIFS(BD!$A$3:$A$5001,V$3,BD!$B$3:$B$5001,$A$76,BD!$W$3:$W$5001,"&lt;&gt;")=0,"",SUMIFS(BD!$W$3:$W$5001,BD!$A$3:$A$5001,V$3,BD!$B$3:$B$5001,$A$76)))</f>
        <v/>
      </c>
      <c r="W93" s="251" t="str">
        <f>IF(W$3="","",IF(COUNTIFS(BD!$A$3:$A$5001,W$3,BD!$B$3:$B$5001,$A$76,BD!$W$3:$W$5001,"&lt;&gt;")=0,"",SUMIFS(BD!$W$3:$W$5001,BD!$A$3:$A$5001,W$3,BD!$B$3:$B$5001,$A$76)))</f>
        <v/>
      </c>
      <c r="X93" s="251" t="str">
        <f>IF(X$3="","",IF(COUNTIFS(BD!$A$3:$A$5001,X$3,BD!$B$3:$B$5001,$A$76,BD!$W$3:$W$5001,"&lt;&gt;")=0,"",SUMIFS(BD!$W$3:$W$5001,BD!$A$3:$A$5001,X$3,BD!$B$3:$B$5001,$A$76)))</f>
        <v/>
      </c>
      <c r="Y93" s="251" t="str">
        <f>IF(Y$3="","",IF(COUNTIFS(BD!$A$3:$A$5001,Y$3,BD!$B$3:$B$5001,$A$76,BD!$W$3:$W$5001,"&lt;&gt;")=0,"",SUMIFS(BD!$W$3:$W$5001,BD!$A$3:$A$5001,Y$3,BD!$B$3:$B$5001,$A$76)))</f>
        <v/>
      </c>
      <c r="Z93" s="251" t="str">
        <f>IF(Z$3="","",IF(COUNTIFS(BD!$A$3:$A$5001,Z$3,BD!$B$3:$B$5001,$A$76,BD!$W$3:$W$5001,"&lt;&gt;")=0,"",SUMIFS(BD!$W$3:$W$5001,BD!$A$3:$A$5001,Z$3,BD!$B$3:$B$5001,$A$76)))</f>
        <v/>
      </c>
      <c r="AA93" s="251" t="str">
        <f>IF(AA$3="","",IF(COUNTIFS(BD!$A$3:$A$5001,AA$3,BD!$B$3:$B$5001,$A$76,BD!$W$3:$W$5001,"&lt;&gt;")=0,"",SUMIFS(BD!$W$3:$W$5001,BD!$A$3:$A$5001,AA$3,BD!$B$3:$B$5001,$A$76)))</f>
        <v/>
      </c>
      <c r="AB93" s="251" t="str">
        <f>IF(AB$3="","",IF(COUNTIFS(BD!$A$3:$A$5001,AB$3,BD!$B$3:$B$5001,$A$76,BD!$W$3:$W$5001,"&lt;&gt;")=0,"",SUMIFS(BD!$W$3:$W$5001,BD!$A$3:$A$5001,AB$3,BD!$B$3:$B$5001,$A$76)))</f>
        <v/>
      </c>
      <c r="AC93" s="251" t="str">
        <f>IF(AC$3="","",IF(COUNTIFS(BD!$A$3:$A$5001,AC$3,BD!$B$3:$B$5001,$A$76,BD!$W$3:$W$5001,"&lt;&gt;")=0,"",SUMIFS(BD!$W$3:$W$5001,BD!$A$3:$A$5001,AC$3,BD!$B$3:$B$5001,$A$76)))</f>
        <v/>
      </c>
      <c r="AD93" s="251" t="str">
        <f>IF(AD$3="","",IF(COUNTIFS(BD!$A$3:$A$5001,AD$3,BD!$B$3:$B$5001,$A$76,BD!$W$3:$W$5001,"&lt;&gt;")=0,"",SUMIFS(BD!$W$3:$W$5001,BD!$A$3:$A$5001,AD$3,BD!$B$3:$B$5001,$A$76)))</f>
        <v/>
      </c>
      <c r="AE93" s="251" t="str">
        <f>IF(AE$3="","",IF(COUNTIFS(BD!$A$3:$A$5001,AE$3,BD!$B$3:$B$5001,$A$76,BD!$W$3:$W$5001,"&lt;&gt;")=0,"",SUMIFS(BD!$W$3:$W$5001,BD!$A$3:$A$5001,AE$3,BD!$B$3:$B$5001,$A$76)))</f>
        <v/>
      </c>
      <c r="AF93" s="251" t="str">
        <f>IF(AF$3="","",IF(COUNTIFS(BD!$A$3:$A$5001,AF$3,BD!$B$3:$B$5001,$A$76,BD!$W$3:$W$5001,"&lt;&gt;")=0,"",SUMIFS(BD!$W$3:$W$5001,BD!$A$3:$A$5001,AF$3,BD!$B$3:$B$5001,$A$76)))</f>
        <v/>
      </c>
      <c r="AG93" s="251" t="str">
        <f>IF(AG$3="","",IF(COUNTIFS(BD!$A$3:$A$5001,AG$3,BD!$B$3:$B$5001,$A$76,BD!$W$3:$W$5001,"&lt;&gt;")=0,"",SUMIFS(BD!$W$3:$W$5001,BD!$A$3:$A$5001,AG$3,BD!$B$3:$B$5001,$A$76)))</f>
        <v/>
      </c>
      <c r="AH93" s="251" t="str">
        <f>IF(AH$3="","",IF(COUNTIFS(BD!$A$3:$A$5001,AH$3,BD!$B$3:$B$5001,$A$76,BD!$W$3:$W$5001,"&lt;&gt;")=0,"",SUMIFS(BD!$W$3:$W$5001,BD!$A$3:$A$5001,AH$3,BD!$B$3:$B$5001,$A$76)))</f>
        <v/>
      </c>
      <c r="AI93" s="251" t="str">
        <f>IF(AI$3="","",IF(COUNTIFS(BD!$A$3:$A$5001,AI$3,BD!$B$3:$B$5001,$A$76,BD!$W$3:$W$5001,"&lt;&gt;")=0,"",SUMIFS(BD!$W$3:$W$5001,BD!$A$3:$A$5001,AI$3,BD!$B$3:$B$5001,$A$76)))</f>
        <v/>
      </c>
      <c r="AJ93" s="252" t="str">
        <f>IF(AJ$3="","",IF(COUNTIFS(BD!$A$3:$A$5001,AJ$3,BD!$B$3:$B$5001,$A$76,BD!$W$3:$W$5001,"&lt;&gt;")=0,"",SUMIFS(BD!$W$3:$W$5001,BD!$A$3:$A$5001,AJ$3,BD!$B$3:$B$5001,$A$76)))</f>
        <v/>
      </c>
      <c r="AK93" s="253" t="str">
        <f>IF(COUNT(F93:AJ93)=0,"",SUM(F93:AJ93))</f>
        <v/>
      </c>
    </row>
    <row r="94" ht="15.75" customHeight="1">
      <c r="A94" s="277"/>
      <c r="B94" s="274"/>
      <c r="C94" s="247" t="inlineStr">
        <is>
          <t xml:space="preserve">Férias</t>
        </is>
      </c>
      <c r="D94" s="248" t="str">
        <f>IFERROR(1/(1/INDEX(BD!$AF$45:$AZ$45,MATCH($A$76,BD!$AF$22:$AZ$22,0))),"")</f>
        <v/>
      </c>
      <c r="E94" s="249"/>
      <c r="F94" s="250" t="str">
        <f>IF(F$3="","",IF(COUNTIFS(BD!$A$3:$A$5001,F$3,BD!$B$3:$B$5001,$A$76,BD!$X$3:$X$5001,"&lt;&gt;")=0,"",SUMIFS(BD!$X$3:$X$5001,BD!$A$3:$A$5001,F$3,BD!$B$3:$B$5001,$A$76)))</f>
        <v/>
      </c>
      <c r="G94" s="251" t="str">
        <f>IF(G$3="","",IF(COUNTIFS(BD!$A$3:$A$5001,G$3,BD!$B$3:$B$5001,$A$76,BD!$X$3:$X$5001,"&lt;&gt;")=0,"",SUMIFS(BD!$X$3:$X$5001,BD!$A$3:$A$5001,G$3,BD!$B$3:$B$5001,$A$76)))</f>
        <v/>
      </c>
      <c r="H94" s="251" t="str">
        <f>IF(H$3="","",IF(COUNTIFS(BD!$A$3:$A$5001,H$3,BD!$B$3:$B$5001,$A$76,BD!$X$3:$X$5001,"&lt;&gt;")=0,"",SUMIFS(BD!$X$3:$X$5001,BD!$A$3:$A$5001,H$3,BD!$B$3:$B$5001,$A$76)))</f>
        <v/>
      </c>
      <c r="I94" s="251" t="str">
        <f>IF(I$3="","",IF(COUNTIFS(BD!$A$3:$A$5001,I$3,BD!$B$3:$B$5001,$A$76,BD!$X$3:$X$5001,"&lt;&gt;")=0,"",SUMIFS(BD!$X$3:$X$5001,BD!$A$3:$A$5001,I$3,BD!$B$3:$B$5001,$A$76)))</f>
        <v/>
      </c>
      <c r="J94" s="251" t="str">
        <f>IF(J$3="","",IF(COUNTIFS(BD!$A$3:$A$5001,J$3,BD!$B$3:$B$5001,$A$76,BD!$X$3:$X$5001,"&lt;&gt;")=0,"",SUMIFS(BD!$X$3:$X$5001,BD!$A$3:$A$5001,J$3,BD!$B$3:$B$5001,$A$76)))</f>
        <v/>
      </c>
      <c r="K94" s="251" t="str">
        <f>IF(K$3="","",IF(COUNTIFS(BD!$A$3:$A$5001,K$3,BD!$B$3:$B$5001,$A$76,BD!$X$3:$X$5001,"&lt;&gt;")=0,"",SUMIFS(BD!$X$3:$X$5001,BD!$A$3:$A$5001,K$3,BD!$B$3:$B$5001,$A$76)))</f>
        <v/>
      </c>
      <c r="L94" s="251" t="str">
        <f>IF(L$3="","",IF(COUNTIFS(BD!$A$3:$A$5001,L$3,BD!$B$3:$B$5001,$A$76,BD!$X$3:$X$5001,"&lt;&gt;")=0,"",SUMIFS(BD!$X$3:$X$5001,BD!$A$3:$A$5001,L$3,BD!$B$3:$B$5001,$A$76)))</f>
        <v/>
      </c>
      <c r="M94" s="251" t="str">
        <f>IF(M$3="","",IF(COUNTIFS(BD!$A$3:$A$5001,M$3,BD!$B$3:$B$5001,$A$76,BD!$X$3:$X$5001,"&lt;&gt;")=0,"",SUMIFS(BD!$X$3:$X$5001,BD!$A$3:$A$5001,M$3,BD!$B$3:$B$5001,$A$76)))</f>
        <v/>
      </c>
      <c r="N94" s="251" t="str">
        <f>IF(N$3="","",IF(COUNTIFS(BD!$A$3:$A$5001,N$3,BD!$B$3:$B$5001,$A$76,BD!$X$3:$X$5001,"&lt;&gt;")=0,"",SUMIFS(BD!$X$3:$X$5001,BD!$A$3:$A$5001,N$3,BD!$B$3:$B$5001,$A$76)))</f>
        <v/>
      </c>
      <c r="O94" s="251" t="str">
        <f>IF(O$3="","",IF(COUNTIFS(BD!$A$3:$A$5001,O$3,BD!$B$3:$B$5001,$A$76,BD!$X$3:$X$5001,"&lt;&gt;")=0,"",SUMIFS(BD!$X$3:$X$5001,BD!$A$3:$A$5001,O$3,BD!$B$3:$B$5001,$A$76)))</f>
        <v/>
      </c>
      <c r="P94" s="251" t="str">
        <f>IF(P$3="","",IF(COUNTIFS(BD!$A$3:$A$5001,P$3,BD!$B$3:$B$5001,$A$76,BD!$X$3:$X$5001,"&lt;&gt;")=0,"",SUMIFS(BD!$X$3:$X$5001,BD!$A$3:$A$5001,P$3,BD!$B$3:$B$5001,$A$76)))</f>
        <v/>
      </c>
      <c r="Q94" s="251" t="str">
        <f>IF(Q$3="","",IF(COUNTIFS(BD!$A$3:$A$5001,Q$3,BD!$B$3:$B$5001,$A$76,BD!$X$3:$X$5001,"&lt;&gt;")=0,"",SUMIFS(BD!$X$3:$X$5001,BD!$A$3:$A$5001,Q$3,BD!$B$3:$B$5001,$A$76)))</f>
        <v/>
      </c>
      <c r="R94" s="251" t="str">
        <f>IF(R$3="","",IF(COUNTIFS(BD!$A$3:$A$5001,R$3,BD!$B$3:$B$5001,$A$76,BD!$X$3:$X$5001,"&lt;&gt;")=0,"",SUMIFS(BD!$X$3:$X$5001,BD!$A$3:$A$5001,R$3,BD!$B$3:$B$5001,$A$76)))</f>
        <v/>
      </c>
      <c r="S94" s="251" t="str">
        <f>IF(S$3="","",IF(COUNTIFS(BD!$A$3:$A$5001,S$3,BD!$B$3:$B$5001,$A$76,BD!$X$3:$X$5001,"&lt;&gt;")=0,"",SUMIFS(BD!$X$3:$X$5001,BD!$A$3:$A$5001,S$3,BD!$B$3:$B$5001,$A$76)))</f>
        <v/>
      </c>
      <c r="T94" s="251" t="str">
        <f>IF(T$3="","",IF(COUNTIFS(BD!$A$3:$A$5001,T$3,BD!$B$3:$B$5001,$A$76,BD!$X$3:$X$5001,"&lt;&gt;")=0,"",SUMIFS(BD!$X$3:$X$5001,BD!$A$3:$A$5001,T$3,BD!$B$3:$B$5001,$A$76)))</f>
        <v/>
      </c>
      <c r="U94" s="251" t="str">
        <f>IF(U$3="","",IF(COUNTIFS(BD!$A$3:$A$5001,U$3,BD!$B$3:$B$5001,$A$76,BD!$X$3:$X$5001,"&lt;&gt;")=0,"",SUMIFS(BD!$X$3:$X$5001,BD!$A$3:$A$5001,U$3,BD!$B$3:$B$5001,$A$76)))</f>
        <v/>
      </c>
      <c r="V94" s="251" t="str">
        <f>IF(V$3="","",IF(COUNTIFS(BD!$A$3:$A$5001,V$3,BD!$B$3:$B$5001,$A$76,BD!$X$3:$X$5001,"&lt;&gt;")=0,"",SUMIFS(BD!$X$3:$X$5001,BD!$A$3:$A$5001,V$3,BD!$B$3:$B$5001,$A$76)))</f>
        <v/>
      </c>
      <c r="W94" s="251" t="str">
        <f>IF(W$3="","",IF(COUNTIFS(BD!$A$3:$A$5001,W$3,BD!$B$3:$B$5001,$A$76,BD!$X$3:$X$5001,"&lt;&gt;")=0,"",SUMIFS(BD!$X$3:$X$5001,BD!$A$3:$A$5001,W$3,BD!$B$3:$B$5001,$A$76)))</f>
        <v/>
      </c>
      <c r="X94" s="251" t="str">
        <f>IF(X$3="","",IF(COUNTIFS(BD!$A$3:$A$5001,X$3,BD!$B$3:$B$5001,$A$76,BD!$X$3:$X$5001,"&lt;&gt;")=0,"",SUMIFS(BD!$X$3:$X$5001,BD!$A$3:$A$5001,X$3,BD!$B$3:$B$5001,$A$76)))</f>
        <v/>
      </c>
      <c r="Y94" s="251" t="str">
        <f>IF(Y$3="","",IF(COUNTIFS(BD!$A$3:$A$5001,Y$3,BD!$B$3:$B$5001,$A$76,BD!$X$3:$X$5001,"&lt;&gt;")=0,"",SUMIFS(BD!$X$3:$X$5001,BD!$A$3:$A$5001,Y$3,BD!$B$3:$B$5001,$A$76)))</f>
        <v/>
      </c>
      <c r="Z94" s="251" t="str">
        <f>IF(Z$3="","",IF(COUNTIFS(BD!$A$3:$A$5001,Z$3,BD!$B$3:$B$5001,$A$76,BD!$X$3:$X$5001,"&lt;&gt;")=0,"",SUMIFS(BD!$X$3:$X$5001,BD!$A$3:$A$5001,Z$3,BD!$B$3:$B$5001,$A$76)))</f>
        <v/>
      </c>
      <c r="AA94" s="251" t="str">
        <f>IF(AA$3="","",IF(COUNTIFS(BD!$A$3:$A$5001,AA$3,BD!$B$3:$B$5001,$A$76,BD!$X$3:$X$5001,"&lt;&gt;")=0,"",SUMIFS(BD!$X$3:$X$5001,BD!$A$3:$A$5001,AA$3,BD!$B$3:$B$5001,$A$76)))</f>
        <v/>
      </c>
      <c r="AB94" s="251" t="str">
        <f>IF(AB$3="","",IF(COUNTIFS(BD!$A$3:$A$5001,AB$3,BD!$B$3:$B$5001,$A$76,BD!$X$3:$X$5001,"&lt;&gt;")=0,"",SUMIFS(BD!$X$3:$X$5001,BD!$A$3:$A$5001,AB$3,BD!$B$3:$B$5001,$A$76)))</f>
        <v/>
      </c>
      <c r="AC94" s="251" t="str">
        <f>IF(AC$3="","",IF(COUNTIFS(BD!$A$3:$A$5001,AC$3,BD!$B$3:$B$5001,$A$76,BD!$X$3:$X$5001,"&lt;&gt;")=0,"",SUMIFS(BD!$X$3:$X$5001,BD!$A$3:$A$5001,AC$3,BD!$B$3:$B$5001,$A$76)))</f>
        <v/>
      </c>
      <c r="AD94" s="251" t="str">
        <f>IF(AD$3="","",IF(COUNTIFS(BD!$A$3:$A$5001,AD$3,BD!$B$3:$B$5001,$A$76,BD!$X$3:$X$5001,"&lt;&gt;")=0,"",SUMIFS(BD!$X$3:$X$5001,BD!$A$3:$A$5001,AD$3,BD!$B$3:$B$5001,$A$76)))</f>
        <v/>
      </c>
      <c r="AE94" s="251" t="str">
        <f>IF(AE$3="","",IF(COUNTIFS(BD!$A$3:$A$5001,AE$3,BD!$B$3:$B$5001,$A$76,BD!$X$3:$X$5001,"&lt;&gt;")=0,"",SUMIFS(BD!$X$3:$X$5001,BD!$A$3:$A$5001,AE$3,BD!$B$3:$B$5001,$A$76)))</f>
        <v/>
      </c>
      <c r="AF94" s="251" t="str">
        <f>IF(AF$3="","",IF(COUNTIFS(BD!$A$3:$A$5001,AF$3,BD!$B$3:$B$5001,$A$76,BD!$X$3:$X$5001,"&lt;&gt;")=0,"",SUMIFS(BD!$X$3:$X$5001,BD!$A$3:$A$5001,AF$3,BD!$B$3:$B$5001,$A$76)))</f>
        <v/>
      </c>
      <c r="AG94" s="251" t="str">
        <f>IF(AG$3="","",IF(COUNTIFS(BD!$A$3:$A$5001,AG$3,BD!$B$3:$B$5001,$A$76,BD!$X$3:$X$5001,"&lt;&gt;")=0,"",SUMIFS(BD!$X$3:$X$5001,BD!$A$3:$A$5001,AG$3,BD!$B$3:$B$5001,$A$76)))</f>
        <v/>
      </c>
      <c r="AH94" s="251" t="str">
        <f>IF(AH$3="","",IF(COUNTIFS(BD!$A$3:$A$5001,AH$3,BD!$B$3:$B$5001,$A$76,BD!$X$3:$X$5001,"&lt;&gt;")=0,"",SUMIFS(BD!$X$3:$X$5001,BD!$A$3:$A$5001,AH$3,BD!$B$3:$B$5001,$A$76)))</f>
        <v/>
      </c>
      <c r="AI94" s="251" t="str">
        <f>IF(AI$3="","",IF(COUNTIFS(BD!$A$3:$A$5001,AI$3,BD!$B$3:$B$5001,$A$76,BD!$X$3:$X$5001,"&lt;&gt;")=0,"",SUMIFS(BD!$X$3:$X$5001,BD!$A$3:$A$5001,AI$3,BD!$B$3:$B$5001,$A$76)))</f>
        <v/>
      </c>
      <c r="AJ94" s="252" t="str">
        <f>IF(AJ$3="","",IF(COUNTIFS(BD!$A$3:$A$5001,AJ$3,BD!$B$3:$B$5001,$A$76,BD!$X$3:$X$5001,"&lt;&gt;")=0,"",SUMIFS(BD!$X$3:$X$5001,BD!$A$3:$A$5001,AJ$3,BD!$B$3:$B$5001,$A$76)))</f>
        <v/>
      </c>
      <c r="AK94" s="253" t="str">
        <f>IF(COUNT(F94:AJ94)=0,"",SUM(F94:AJ94))</f>
        <v/>
      </c>
    </row>
    <row r="95" ht="15.75" customHeight="1">
      <c r="A95" s="277"/>
      <c r="B95" s="274"/>
      <c r="C95" s="247" t="inlineStr">
        <is>
          <t xml:space="preserve">Desligamento</t>
        </is>
      </c>
      <c r="D95" s="248" t="str">
        <f>IFERROR(1/(1/INDEX(BD!$AF$46:$AZ$46,MATCH($A$76,BD!$AF$22:$AZ$22,0))),"")</f>
        <v/>
      </c>
      <c r="E95" s="249"/>
      <c r="F95" s="250" t="str">
        <f>IF(F$3="","",IF(COUNTIFS(BD!$A$3:$A$5001,F$3,BD!$B$3:$B$5001,$A$76,BD!$Y$3:$Y$5001,"&lt;&gt;")=0,"",SUMIFS(BD!$Y$3:$Y$5001,BD!$A$3:$A$5001,F$3,BD!$B$3:$B$5001,$A$76)))</f>
        <v/>
      </c>
      <c r="G95" s="251" t="str">
        <f>IF(G$3="","",IF(COUNTIFS(BD!$A$3:$A$5001,G$3,BD!$B$3:$B$5001,$A$76,BD!$Y$3:$Y$5001,"&lt;&gt;")=0,"",SUMIFS(BD!$Y$3:$Y$5001,BD!$A$3:$A$5001,G$3,BD!$B$3:$B$5001,$A$76)))</f>
        <v/>
      </c>
      <c r="H95" s="251" t="str">
        <f>IF(H$3="","",IF(COUNTIFS(BD!$A$3:$A$5001,H$3,BD!$B$3:$B$5001,$A$76,BD!$Y$3:$Y$5001,"&lt;&gt;")=0,"",SUMIFS(BD!$Y$3:$Y$5001,BD!$A$3:$A$5001,H$3,BD!$B$3:$B$5001,$A$76)))</f>
        <v/>
      </c>
      <c r="I95" s="251" t="str">
        <f>IF(I$3="","",IF(COUNTIFS(BD!$A$3:$A$5001,I$3,BD!$B$3:$B$5001,$A$76,BD!$Y$3:$Y$5001,"&lt;&gt;")=0,"",SUMIFS(BD!$Y$3:$Y$5001,BD!$A$3:$A$5001,I$3,BD!$B$3:$B$5001,$A$76)))</f>
        <v/>
      </c>
      <c r="J95" s="251" t="str">
        <f>IF(J$3="","",IF(COUNTIFS(BD!$A$3:$A$5001,J$3,BD!$B$3:$B$5001,$A$76,BD!$Y$3:$Y$5001,"&lt;&gt;")=0,"",SUMIFS(BD!$Y$3:$Y$5001,BD!$A$3:$A$5001,J$3,BD!$B$3:$B$5001,$A$76)))</f>
        <v/>
      </c>
      <c r="K95" s="251" t="str">
        <f>IF(K$3="","",IF(COUNTIFS(BD!$A$3:$A$5001,K$3,BD!$B$3:$B$5001,$A$76,BD!$Y$3:$Y$5001,"&lt;&gt;")=0,"",SUMIFS(BD!$Y$3:$Y$5001,BD!$A$3:$A$5001,K$3,BD!$B$3:$B$5001,$A$76)))</f>
        <v/>
      </c>
      <c r="L95" s="251" t="str">
        <f>IF(L$3="","",IF(COUNTIFS(BD!$A$3:$A$5001,L$3,BD!$B$3:$B$5001,$A$76,BD!$Y$3:$Y$5001,"&lt;&gt;")=0,"",SUMIFS(BD!$Y$3:$Y$5001,BD!$A$3:$A$5001,L$3,BD!$B$3:$B$5001,$A$76)))</f>
        <v/>
      </c>
      <c r="M95" s="251" t="str">
        <f>IF(M$3="","",IF(COUNTIFS(BD!$A$3:$A$5001,M$3,BD!$B$3:$B$5001,$A$76,BD!$Y$3:$Y$5001,"&lt;&gt;")=0,"",SUMIFS(BD!$Y$3:$Y$5001,BD!$A$3:$A$5001,M$3,BD!$B$3:$B$5001,$A$76)))</f>
        <v/>
      </c>
      <c r="N95" s="251" t="str">
        <f>IF(N$3="","",IF(COUNTIFS(BD!$A$3:$A$5001,N$3,BD!$B$3:$B$5001,$A$76,BD!$Y$3:$Y$5001,"&lt;&gt;")=0,"",SUMIFS(BD!$Y$3:$Y$5001,BD!$A$3:$A$5001,N$3,BD!$B$3:$B$5001,$A$76)))</f>
        <v/>
      </c>
      <c r="O95" s="251" t="str">
        <f>IF(O$3="","",IF(COUNTIFS(BD!$A$3:$A$5001,O$3,BD!$B$3:$B$5001,$A$76,BD!$Y$3:$Y$5001,"&lt;&gt;")=0,"",SUMIFS(BD!$Y$3:$Y$5001,BD!$A$3:$A$5001,O$3,BD!$B$3:$B$5001,$A$76)))</f>
        <v/>
      </c>
      <c r="P95" s="251" t="str">
        <f>IF(P$3="","",IF(COUNTIFS(BD!$A$3:$A$5001,P$3,BD!$B$3:$B$5001,$A$76,BD!$Y$3:$Y$5001,"&lt;&gt;")=0,"",SUMIFS(BD!$Y$3:$Y$5001,BD!$A$3:$A$5001,P$3,BD!$B$3:$B$5001,$A$76)))</f>
        <v/>
      </c>
      <c r="Q95" s="251" t="str">
        <f>IF(Q$3="","",IF(COUNTIFS(BD!$A$3:$A$5001,Q$3,BD!$B$3:$B$5001,$A$76,BD!$Y$3:$Y$5001,"&lt;&gt;")=0,"",SUMIFS(BD!$Y$3:$Y$5001,BD!$A$3:$A$5001,Q$3,BD!$B$3:$B$5001,$A$76)))</f>
        <v/>
      </c>
      <c r="R95" s="251" t="str">
        <f>IF(R$3="","",IF(COUNTIFS(BD!$A$3:$A$5001,R$3,BD!$B$3:$B$5001,$A$76,BD!$Y$3:$Y$5001,"&lt;&gt;")=0,"",SUMIFS(BD!$Y$3:$Y$5001,BD!$A$3:$A$5001,R$3,BD!$B$3:$B$5001,$A$76)))</f>
        <v/>
      </c>
      <c r="S95" s="251" t="str">
        <f>IF(S$3="","",IF(COUNTIFS(BD!$A$3:$A$5001,S$3,BD!$B$3:$B$5001,$A$76,BD!$Y$3:$Y$5001,"&lt;&gt;")=0,"",SUMIFS(BD!$Y$3:$Y$5001,BD!$A$3:$A$5001,S$3,BD!$B$3:$B$5001,$A$76)))</f>
        <v/>
      </c>
      <c r="T95" s="251" t="str">
        <f>IF(T$3="","",IF(COUNTIFS(BD!$A$3:$A$5001,T$3,BD!$B$3:$B$5001,$A$76,BD!$Y$3:$Y$5001,"&lt;&gt;")=0,"",SUMIFS(BD!$Y$3:$Y$5001,BD!$A$3:$A$5001,T$3,BD!$B$3:$B$5001,$A$76)))</f>
        <v/>
      </c>
      <c r="U95" s="251" t="str">
        <f>IF(U$3="","",IF(COUNTIFS(BD!$A$3:$A$5001,U$3,BD!$B$3:$B$5001,$A$76,BD!$Y$3:$Y$5001,"&lt;&gt;")=0,"",SUMIFS(BD!$Y$3:$Y$5001,BD!$A$3:$A$5001,U$3,BD!$B$3:$B$5001,$A$76)))</f>
        <v/>
      </c>
      <c r="V95" s="251" t="str">
        <f>IF(V$3="","",IF(COUNTIFS(BD!$A$3:$A$5001,V$3,BD!$B$3:$B$5001,$A$76,BD!$Y$3:$Y$5001,"&lt;&gt;")=0,"",SUMIFS(BD!$Y$3:$Y$5001,BD!$A$3:$A$5001,V$3,BD!$B$3:$B$5001,$A$76)))</f>
        <v/>
      </c>
      <c r="W95" s="251" t="str">
        <f>IF(W$3="","",IF(COUNTIFS(BD!$A$3:$A$5001,W$3,BD!$B$3:$B$5001,$A$76,BD!$Y$3:$Y$5001,"&lt;&gt;")=0,"",SUMIFS(BD!$Y$3:$Y$5001,BD!$A$3:$A$5001,W$3,BD!$B$3:$B$5001,$A$76)))</f>
        <v/>
      </c>
      <c r="X95" s="251" t="str">
        <f>IF(X$3="","",IF(COUNTIFS(BD!$A$3:$A$5001,X$3,BD!$B$3:$B$5001,$A$76,BD!$Y$3:$Y$5001,"&lt;&gt;")=0,"",SUMIFS(BD!$Y$3:$Y$5001,BD!$A$3:$A$5001,X$3,BD!$B$3:$B$5001,$A$76)))</f>
        <v/>
      </c>
      <c r="Y95" s="251" t="str">
        <f>IF(Y$3="","",IF(COUNTIFS(BD!$A$3:$A$5001,Y$3,BD!$B$3:$B$5001,$A$76,BD!$Y$3:$Y$5001,"&lt;&gt;")=0,"",SUMIFS(BD!$Y$3:$Y$5001,BD!$A$3:$A$5001,Y$3,BD!$B$3:$B$5001,$A$76)))</f>
        <v/>
      </c>
      <c r="Z95" s="251" t="str">
        <f>IF(Z$3="","",IF(COUNTIFS(BD!$A$3:$A$5001,Z$3,BD!$B$3:$B$5001,$A$76,BD!$Y$3:$Y$5001,"&lt;&gt;")=0,"",SUMIFS(BD!$Y$3:$Y$5001,BD!$A$3:$A$5001,Z$3,BD!$B$3:$B$5001,$A$76)))</f>
        <v/>
      </c>
      <c r="AA95" s="251" t="str">
        <f>IF(AA$3="","",IF(COUNTIFS(BD!$A$3:$A$5001,AA$3,BD!$B$3:$B$5001,$A$76,BD!$Y$3:$Y$5001,"&lt;&gt;")=0,"",SUMIFS(BD!$Y$3:$Y$5001,BD!$A$3:$A$5001,AA$3,BD!$B$3:$B$5001,$A$76)))</f>
        <v/>
      </c>
      <c r="AB95" s="251" t="str">
        <f>IF(AB$3="","",IF(COUNTIFS(BD!$A$3:$A$5001,AB$3,BD!$B$3:$B$5001,$A$76,BD!$Y$3:$Y$5001,"&lt;&gt;")=0,"",SUMIFS(BD!$Y$3:$Y$5001,BD!$A$3:$A$5001,AB$3,BD!$B$3:$B$5001,$A$76)))</f>
        <v/>
      </c>
      <c r="AC95" s="251" t="str">
        <f>IF(AC$3="","",IF(COUNTIFS(BD!$A$3:$A$5001,AC$3,BD!$B$3:$B$5001,$A$76,BD!$Y$3:$Y$5001,"&lt;&gt;")=0,"",SUMIFS(BD!$Y$3:$Y$5001,BD!$A$3:$A$5001,AC$3,BD!$B$3:$B$5001,$A$76)))</f>
        <v/>
      </c>
      <c r="AD95" s="251" t="str">
        <f>IF(AD$3="","",IF(COUNTIFS(BD!$A$3:$A$5001,AD$3,BD!$B$3:$B$5001,$A$76,BD!$Y$3:$Y$5001,"&lt;&gt;")=0,"",SUMIFS(BD!$Y$3:$Y$5001,BD!$A$3:$A$5001,AD$3,BD!$B$3:$B$5001,$A$76)))</f>
        <v/>
      </c>
      <c r="AE95" s="251" t="str">
        <f>IF(AE$3="","",IF(COUNTIFS(BD!$A$3:$A$5001,AE$3,BD!$B$3:$B$5001,$A$76,BD!$Y$3:$Y$5001,"&lt;&gt;")=0,"",SUMIFS(BD!$Y$3:$Y$5001,BD!$A$3:$A$5001,AE$3,BD!$B$3:$B$5001,$A$76)))</f>
        <v/>
      </c>
      <c r="AF95" s="251" t="str">
        <f>IF(AF$3="","",IF(COUNTIFS(BD!$A$3:$A$5001,AF$3,BD!$B$3:$B$5001,$A$76,BD!$Y$3:$Y$5001,"&lt;&gt;")=0,"",SUMIFS(BD!$Y$3:$Y$5001,BD!$A$3:$A$5001,AF$3,BD!$B$3:$B$5001,$A$76)))</f>
        <v/>
      </c>
      <c r="AG95" s="251" t="str">
        <f>IF(AG$3="","",IF(COUNTIFS(BD!$A$3:$A$5001,AG$3,BD!$B$3:$B$5001,$A$76,BD!$Y$3:$Y$5001,"&lt;&gt;")=0,"",SUMIFS(BD!$Y$3:$Y$5001,BD!$A$3:$A$5001,AG$3,BD!$B$3:$B$5001,$A$76)))</f>
        <v/>
      </c>
      <c r="AH95" s="251" t="str">
        <f>IF(AH$3="","",IF(COUNTIFS(BD!$A$3:$A$5001,AH$3,BD!$B$3:$B$5001,$A$76,BD!$Y$3:$Y$5001,"&lt;&gt;")=0,"",SUMIFS(BD!$Y$3:$Y$5001,BD!$A$3:$A$5001,AH$3,BD!$B$3:$B$5001,$A$76)))</f>
        <v/>
      </c>
      <c r="AI95" s="251" t="str">
        <f>IF(AI$3="","",IF(COUNTIFS(BD!$A$3:$A$5001,AI$3,BD!$B$3:$B$5001,$A$76,BD!$Y$3:$Y$5001,"&lt;&gt;")=0,"",SUMIFS(BD!$Y$3:$Y$5001,BD!$A$3:$A$5001,AI$3,BD!$B$3:$B$5001,$A$76)))</f>
        <v/>
      </c>
      <c r="AJ95" s="252" t="str">
        <f>IF(AJ$3="","",IF(COUNTIFS(BD!$A$3:$A$5001,AJ$3,BD!$B$3:$B$5001,$A$76,BD!$Y$3:$Y$5001,"&lt;&gt;")=0,"",SUMIFS(BD!$Y$3:$Y$5001,BD!$A$3:$A$5001,AJ$3,BD!$B$3:$B$5001,$A$76)))</f>
        <v/>
      </c>
      <c r="AK95" s="253" t="str">
        <f>IF(COUNT(F95:AJ95)=0,"",SUM(F95:AJ95))</f>
        <v/>
      </c>
    </row>
    <row r="96" ht="15.75" customHeight="1">
      <c r="A96" s="277"/>
      <c r="B96" s="274"/>
      <c r="C96" s="247" t="inlineStr">
        <is>
          <t xml:space="preserve">Desvios Comportamentais</t>
        </is>
      </c>
      <c r="D96" s="248" t="str">
        <f>IFERROR(1/(1/INDEX(BD!$AF$47:$AZ$47,MATCH($A$76,BD!$AF$22:$AZ$22,0))),"")</f>
        <v/>
      </c>
      <c r="E96" s="249"/>
      <c r="F96" s="250" t="str">
        <f>IF(F$3="","",IF(COUNTIFS(BD!$A$3:$A$5001,F$3,BD!$B$3:$B$5001,$A$76,BD!$Z$3:$Z$5001,"&lt;&gt;")=0,"",SUMIFS(BD!$Z$3:$Z$5001,BD!$A$3:$A$5001,F$3,BD!$B$3:$B$5001,$A$76)))</f>
        <v/>
      </c>
      <c r="G96" s="251" t="str">
        <f>IF(G$3="","",IF(COUNTIFS(BD!$A$3:$A$5001,G$3,BD!$B$3:$B$5001,$A$76,BD!$Z$3:$Z$5001,"&lt;&gt;")=0,"",SUMIFS(BD!$Z$3:$Z$5001,BD!$A$3:$A$5001,G$3,BD!$B$3:$B$5001,$A$76)))</f>
        <v/>
      </c>
      <c r="H96" s="251" t="str">
        <f>IF(H$3="","",IF(COUNTIFS(BD!$A$3:$A$5001,H$3,BD!$B$3:$B$5001,$A$76,BD!$Z$3:$Z$5001,"&lt;&gt;")=0,"",SUMIFS(BD!$Z$3:$Z$5001,BD!$A$3:$A$5001,H$3,BD!$B$3:$B$5001,$A$76)))</f>
        <v/>
      </c>
      <c r="I96" s="251" t="str">
        <f>IF(I$3="","",IF(COUNTIFS(BD!$A$3:$A$5001,I$3,BD!$B$3:$B$5001,$A$76,BD!$Z$3:$Z$5001,"&lt;&gt;")=0,"",SUMIFS(BD!$Z$3:$Z$5001,BD!$A$3:$A$5001,I$3,BD!$B$3:$B$5001,$A$76)))</f>
        <v/>
      </c>
      <c r="J96" s="251" t="str">
        <f>IF(J$3="","",IF(COUNTIFS(BD!$A$3:$A$5001,J$3,BD!$B$3:$B$5001,$A$76,BD!$Z$3:$Z$5001,"&lt;&gt;")=0,"",SUMIFS(BD!$Z$3:$Z$5001,BD!$A$3:$A$5001,J$3,BD!$B$3:$B$5001,$A$76)))</f>
        <v/>
      </c>
      <c r="K96" s="251" t="str">
        <f>IF(K$3="","",IF(COUNTIFS(BD!$A$3:$A$5001,K$3,BD!$B$3:$B$5001,$A$76,BD!$Z$3:$Z$5001,"&lt;&gt;")=0,"",SUMIFS(BD!$Z$3:$Z$5001,BD!$A$3:$A$5001,K$3,BD!$B$3:$B$5001,$A$76)))</f>
        <v/>
      </c>
      <c r="L96" s="251" t="str">
        <f>IF(L$3="","",IF(COUNTIFS(BD!$A$3:$A$5001,L$3,BD!$B$3:$B$5001,$A$76,BD!$Z$3:$Z$5001,"&lt;&gt;")=0,"",SUMIFS(BD!$Z$3:$Z$5001,BD!$A$3:$A$5001,L$3,BD!$B$3:$B$5001,$A$76)))</f>
        <v/>
      </c>
      <c r="M96" s="251" t="str">
        <f>IF(M$3="","",IF(COUNTIFS(BD!$A$3:$A$5001,M$3,BD!$B$3:$B$5001,$A$76,BD!$Z$3:$Z$5001,"&lt;&gt;")=0,"",SUMIFS(BD!$Z$3:$Z$5001,BD!$A$3:$A$5001,M$3,BD!$B$3:$B$5001,$A$76)))</f>
        <v/>
      </c>
      <c r="N96" s="251" t="str">
        <f>IF(N$3="","",IF(COUNTIFS(BD!$A$3:$A$5001,N$3,BD!$B$3:$B$5001,$A$76,BD!$Z$3:$Z$5001,"&lt;&gt;")=0,"",SUMIFS(BD!$Z$3:$Z$5001,BD!$A$3:$A$5001,N$3,BD!$B$3:$B$5001,$A$76)))</f>
        <v/>
      </c>
      <c r="O96" s="251" t="str">
        <f>IF(O$3="","",IF(COUNTIFS(BD!$A$3:$A$5001,O$3,BD!$B$3:$B$5001,$A$76,BD!$Z$3:$Z$5001,"&lt;&gt;")=0,"",SUMIFS(BD!$Z$3:$Z$5001,BD!$A$3:$A$5001,O$3,BD!$B$3:$B$5001,$A$76)))</f>
        <v/>
      </c>
      <c r="P96" s="251" t="str">
        <f>IF(P$3="","",IF(COUNTIFS(BD!$A$3:$A$5001,P$3,BD!$B$3:$B$5001,$A$76,BD!$Z$3:$Z$5001,"&lt;&gt;")=0,"",SUMIFS(BD!$Z$3:$Z$5001,BD!$A$3:$A$5001,P$3,BD!$B$3:$B$5001,$A$76)))</f>
        <v/>
      </c>
      <c r="Q96" s="251" t="str">
        <f>IF(Q$3="","",IF(COUNTIFS(BD!$A$3:$A$5001,Q$3,BD!$B$3:$B$5001,$A$76,BD!$Z$3:$Z$5001,"&lt;&gt;")=0,"",SUMIFS(BD!$Z$3:$Z$5001,BD!$A$3:$A$5001,Q$3,BD!$B$3:$B$5001,$A$76)))</f>
        <v/>
      </c>
      <c r="R96" s="251" t="str">
        <f>IF(R$3="","",IF(COUNTIFS(BD!$A$3:$A$5001,R$3,BD!$B$3:$B$5001,$A$76,BD!$Z$3:$Z$5001,"&lt;&gt;")=0,"",SUMIFS(BD!$Z$3:$Z$5001,BD!$A$3:$A$5001,R$3,BD!$B$3:$B$5001,$A$76)))</f>
        <v/>
      </c>
      <c r="S96" s="251" t="str">
        <f>IF(S$3="","",IF(COUNTIFS(BD!$A$3:$A$5001,S$3,BD!$B$3:$B$5001,$A$76,BD!$Z$3:$Z$5001,"&lt;&gt;")=0,"",SUMIFS(BD!$Z$3:$Z$5001,BD!$A$3:$A$5001,S$3,BD!$B$3:$B$5001,$A$76)))</f>
        <v/>
      </c>
      <c r="T96" s="251" t="str">
        <f>IF(T$3="","",IF(COUNTIFS(BD!$A$3:$A$5001,T$3,BD!$B$3:$B$5001,$A$76,BD!$Z$3:$Z$5001,"&lt;&gt;")=0,"",SUMIFS(BD!$Z$3:$Z$5001,BD!$A$3:$A$5001,T$3,BD!$B$3:$B$5001,$A$76)))</f>
        <v/>
      </c>
      <c r="U96" s="251" t="str">
        <f>IF(U$3="","",IF(COUNTIFS(BD!$A$3:$A$5001,U$3,BD!$B$3:$B$5001,$A$76,BD!$Z$3:$Z$5001,"&lt;&gt;")=0,"",SUMIFS(BD!$Z$3:$Z$5001,BD!$A$3:$A$5001,U$3,BD!$B$3:$B$5001,$A$76)))</f>
        <v/>
      </c>
      <c r="V96" s="251" t="str">
        <f>IF(V$3="","",IF(COUNTIFS(BD!$A$3:$A$5001,V$3,BD!$B$3:$B$5001,$A$76,BD!$Z$3:$Z$5001,"&lt;&gt;")=0,"",SUMIFS(BD!$Z$3:$Z$5001,BD!$A$3:$A$5001,V$3,BD!$B$3:$B$5001,$A$76)))</f>
        <v/>
      </c>
      <c r="W96" s="251" t="str">
        <f>IF(W$3="","",IF(COUNTIFS(BD!$A$3:$A$5001,W$3,BD!$B$3:$B$5001,$A$76,BD!$Z$3:$Z$5001,"&lt;&gt;")=0,"",SUMIFS(BD!$Z$3:$Z$5001,BD!$A$3:$A$5001,W$3,BD!$B$3:$B$5001,$A$76)))</f>
        <v/>
      </c>
      <c r="X96" s="251" t="str">
        <f>IF(X$3="","",IF(COUNTIFS(BD!$A$3:$A$5001,X$3,BD!$B$3:$B$5001,$A$76,BD!$Z$3:$Z$5001,"&lt;&gt;")=0,"",SUMIFS(BD!$Z$3:$Z$5001,BD!$A$3:$A$5001,X$3,BD!$B$3:$B$5001,$A$76)))</f>
        <v/>
      </c>
      <c r="Y96" s="251" t="str">
        <f>IF(Y$3="","",IF(COUNTIFS(BD!$A$3:$A$5001,Y$3,BD!$B$3:$B$5001,$A$76,BD!$Z$3:$Z$5001,"&lt;&gt;")=0,"",SUMIFS(BD!$Z$3:$Z$5001,BD!$A$3:$A$5001,Y$3,BD!$B$3:$B$5001,$A$76)))</f>
        <v/>
      </c>
      <c r="Z96" s="251" t="str">
        <f>IF(Z$3="","",IF(COUNTIFS(BD!$A$3:$A$5001,Z$3,BD!$B$3:$B$5001,$A$76,BD!$Z$3:$Z$5001,"&lt;&gt;")=0,"",SUMIFS(BD!$Z$3:$Z$5001,BD!$A$3:$A$5001,Z$3,BD!$B$3:$B$5001,$A$76)))</f>
        <v/>
      </c>
      <c r="AA96" s="251" t="str">
        <f>IF(AA$3="","",IF(COUNTIFS(BD!$A$3:$A$5001,AA$3,BD!$B$3:$B$5001,$A$76,BD!$Z$3:$Z$5001,"&lt;&gt;")=0,"",SUMIFS(BD!$Z$3:$Z$5001,BD!$A$3:$A$5001,AA$3,BD!$B$3:$B$5001,$A$76)))</f>
        <v/>
      </c>
      <c r="AB96" s="251" t="str">
        <f>IF(AB$3="","",IF(COUNTIFS(BD!$A$3:$A$5001,AB$3,BD!$B$3:$B$5001,$A$76,BD!$Z$3:$Z$5001,"&lt;&gt;")=0,"",SUMIFS(BD!$Z$3:$Z$5001,BD!$A$3:$A$5001,AB$3,BD!$B$3:$B$5001,$A$76)))</f>
        <v/>
      </c>
      <c r="AC96" s="251" t="str">
        <f>IF(AC$3="","",IF(COUNTIFS(BD!$A$3:$A$5001,AC$3,BD!$B$3:$B$5001,$A$76,BD!$Z$3:$Z$5001,"&lt;&gt;")=0,"",SUMIFS(BD!$Z$3:$Z$5001,BD!$A$3:$A$5001,AC$3,BD!$B$3:$B$5001,$A$76)))</f>
        <v/>
      </c>
      <c r="AD96" s="251" t="str">
        <f>IF(AD$3="","",IF(COUNTIFS(BD!$A$3:$A$5001,AD$3,BD!$B$3:$B$5001,$A$76,BD!$Z$3:$Z$5001,"&lt;&gt;")=0,"",SUMIFS(BD!$Z$3:$Z$5001,BD!$A$3:$A$5001,AD$3,BD!$B$3:$B$5001,$A$76)))</f>
        <v/>
      </c>
      <c r="AE96" s="251" t="str">
        <f>IF(AE$3="","",IF(COUNTIFS(BD!$A$3:$A$5001,AE$3,BD!$B$3:$B$5001,$A$76,BD!$Z$3:$Z$5001,"&lt;&gt;")=0,"",SUMIFS(BD!$Z$3:$Z$5001,BD!$A$3:$A$5001,AE$3,BD!$B$3:$B$5001,$A$76)))</f>
        <v/>
      </c>
      <c r="AF96" s="251" t="str">
        <f>IF(AF$3="","",IF(COUNTIFS(BD!$A$3:$A$5001,AF$3,BD!$B$3:$B$5001,$A$76,BD!$Z$3:$Z$5001,"&lt;&gt;")=0,"",SUMIFS(BD!$Z$3:$Z$5001,BD!$A$3:$A$5001,AF$3,BD!$B$3:$B$5001,$A$76)))</f>
        <v/>
      </c>
      <c r="AG96" s="251" t="str">
        <f>IF(AG$3="","",IF(COUNTIFS(BD!$A$3:$A$5001,AG$3,BD!$B$3:$B$5001,$A$76,BD!$Z$3:$Z$5001,"&lt;&gt;")=0,"",SUMIFS(BD!$Z$3:$Z$5001,BD!$A$3:$A$5001,AG$3,BD!$B$3:$B$5001,$A$76)))</f>
        <v/>
      </c>
      <c r="AH96" s="251" t="str">
        <f>IF(AH$3="","",IF(COUNTIFS(BD!$A$3:$A$5001,AH$3,BD!$B$3:$B$5001,$A$76,BD!$Z$3:$Z$5001,"&lt;&gt;")=0,"",SUMIFS(BD!$Z$3:$Z$5001,BD!$A$3:$A$5001,AH$3,BD!$B$3:$B$5001,$A$76)))</f>
        <v/>
      </c>
      <c r="AI96" s="251" t="str">
        <f>IF(AI$3="","",IF(COUNTIFS(BD!$A$3:$A$5001,AI$3,BD!$B$3:$B$5001,$A$76,BD!$Z$3:$Z$5001,"&lt;&gt;")=0,"",SUMIFS(BD!$Z$3:$Z$5001,BD!$A$3:$A$5001,AI$3,BD!$B$3:$B$5001,$A$76)))</f>
        <v/>
      </c>
      <c r="AJ96" s="252" t="str">
        <f>IF(AJ$3="","",IF(COUNTIFS(BD!$A$3:$A$5001,AJ$3,BD!$B$3:$B$5001,$A$76,BD!$Z$3:$Z$5001,"&lt;&gt;")=0,"",SUMIFS(BD!$Z$3:$Z$5001,BD!$A$3:$A$5001,AJ$3,BD!$B$3:$B$5001,$A$76)))</f>
        <v/>
      </c>
      <c r="AK96" s="253" t="str">
        <f>IF(COUNT(F96:AJ96)=0,"",SUM(F96:AJ96))</f>
        <v/>
      </c>
    </row>
    <row r="97" ht="15.75" customHeight="1">
      <c r="A97" s="277"/>
      <c r="B97" s="274"/>
      <c r="C97" s="247" t="inlineStr">
        <is>
          <t xml:space="preserve">Acidentes CAF</t>
        </is>
      </c>
      <c r="D97" s="248" t="str">
        <f>IFERROR(1/(1/INDEX(BD!$AF$48:$AZ$48,MATCH($A$76,BD!$AF$22:$AZ$22,0))),"")</f>
        <v/>
      </c>
      <c r="E97" s="249"/>
      <c r="F97" s="250" t="str">
        <f>IF(F$3="","",IF(COUNTIFS(BD!$A$3:$A$5001,F$3,BD!$B$3:$B$5001,$A$76,BD!$AA$3:$AA$5001,"&lt;&gt;")=0,"",SUMIFS(BD!$AA$3:$AA$5001,BD!$A$3:$A$5001,F$3,BD!$B$3:$B$5001,$A$76)))</f>
        <v/>
      </c>
      <c r="G97" s="251" t="str">
        <f>IF(G$3="","",IF(COUNTIFS(BD!$A$3:$A$5001,G$3,BD!$B$3:$B$5001,$A$76,BD!$AA$3:$AA$5001,"&lt;&gt;")=0,"",SUMIFS(BD!$AA$3:$AA$5001,BD!$A$3:$A$5001,G$3,BD!$B$3:$B$5001,$A$76)))</f>
        <v/>
      </c>
      <c r="H97" s="251" t="str">
        <f>IF(H$3="","",IF(COUNTIFS(BD!$A$3:$A$5001,H$3,BD!$B$3:$B$5001,$A$76,BD!$AA$3:$AA$5001,"&lt;&gt;")=0,"",SUMIFS(BD!$AA$3:$AA$5001,BD!$A$3:$A$5001,H$3,BD!$B$3:$B$5001,$A$76)))</f>
        <v/>
      </c>
      <c r="I97" s="251" t="str">
        <f>IF(I$3="","",IF(COUNTIFS(BD!$A$3:$A$5001,I$3,BD!$B$3:$B$5001,$A$76,BD!$AA$3:$AA$5001,"&lt;&gt;")=0,"",SUMIFS(BD!$AA$3:$AA$5001,BD!$A$3:$A$5001,I$3,BD!$B$3:$B$5001,$A$76)))</f>
        <v/>
      </c>
      <c r="J97" s="251" t="str">
        <f>IF(J$3="","",IF(COUNTIFS(BD!$A$3:$A$5001,J$3,BD!$B$3:$B$5001,$A$76,BD!$AA$3:$AA$5001,"&lt;&gt;")=0,"",SUMIFS(BD!$AA$3:$AA$5001,BD!$A$3:$A$5001,J$3,BD!$B$3:$B$5001,$A$76)))</f>
        <v/>
      </c>
      <c r="K97" s="251" t="str">
        <f>IF(K$3="","",IF(COUNTIFS(BD!$A$3:$A$5001,K$3,BD!$B$3:$B$5001,$A$76,BD!$AA$3:$AA$5001,"&lt;&gt;")=0,"",SUMIFS(BD!$AA$3:$AA$5001,BD!$A$3:$A$5001,K$3,BD!$B$3:$B$5001,$A$76)))</f>
        <v/>
      </c>
      <c r="L97" s="251" t="str">
        <f>IF(L$3="","",IF(COUNTIFS(BD!$A$3:$A$5001,L$3,BD!$B$3:$B$5001,$A$76,BD!$AA$3:$AA$5001,"&lt;&gt;")=0,"",SUMIFS(BD!$AA$3:$AA$5001,BD!$A$3:$A$5001,L$3,BD!$B$3:$B$5001,$A$76)))</f>
        <v/>
      </c>
      <c r="M97" s="251" t="str">
        <f>IF(M$3="","",IF(COUNTIFS(BD!$A$3:$A$5001,M$3,BD!$B$3:$B$5001,$A$76,BD!$AA$3:$AA$5001,"&lt;&gt;")=0,"",SUMIFS(BD!$AA$3:$AA$5001,BD!$A$3:$A$5001,M$3,BD!$B$3:$B$5001,$A$76)))</f>
        <v/>
      </c>
      <c r="N97" s="251" t="str">
        <f>IF(N$3="","",IF(COUNTIFS(BD!$A$3:$A$5001,N$3,BD!$B$3:$B$5001,$A$76,BD!$AA$3:$AA$5001,"&lt;&gt;")=0,"",SUMIFS(BD!$AA$3:$AA$5001,BD!$A$3:$A$5001,N$3,BD!$B$3:$B$5001,$A$76)))</f>
        <v/>
      </c>
      <c r="O97" s="251" t="str">
        <f>IF(O$3="","",IF(COUNTIFS(BD!$A$3:$A$5001,O$3,BD!$B$3:$B$5001,$A$76,BD!$AA$3:$AA$5001,"&lt;&gt;")=0,"",SUMIFS(BD!$AA$3:$AA$5001,BD!$A$3:$A$5001,O$3,BD!$B$3:$B$5001,$A$76)))</f>
        <v/>
      </c>
      <c r="P97" s="251" t="str">
        <f>IF(P$3="","",IF(COUNTIFS(BD!$A$3:$A$5001,P$3,BD!$B$3:$B$5001,$A$76,BD!$AA$3:$AA$5001,"&lt;&gt;")=0,"",SUMIFS(BD!$AA$3:$AA$5001,BD!$A$3:$A$5001,P$3,BD!$B$3:$B$5001,$A$76)))</f>
        <v/>
      </c>
      <c r="Q97" s="251" t="str">
        <f>IF(Q$3="","",IF(COUNTIFS(BD!$A$3:$A$5001,Q$3,BD!$B$3:$B$5001,$A$76,BD!$AA$3:$AA$5001,"&lt;&gt;")=0,"",SUMIFS(BD!$AA$3:$AA$5001,BD!$A$3:$A$5001,Q$3,BD!$B$3:$B$5001,$A$76)))</f>
        <v/>
      </c>
      <c r="R97" s="251" t="str">
        <f>IF(R$3="","",IF(COUNTIFS(BD!$A$3:$A$5001,R$3,BD!$B$3:$B$5001,$A$76,BD!$AA$3:$AA$5001,"&lt;&gt;")=0,"",SUMIFS(BD!$AA$3:$AA$5001,BD!$A$3:$A$5001,R$3,BD!$B$3:$B$5001,$A$76)))</f>
        <v/>
      </c>
      <c r="S97" s="251" t="str">
        <f>IF(S$3="","",IF(COUNTIFS(BD!$A$3:$A$5001,S$3,BD!$B$3:$B$5001,$A$76,BD!$AA$3:$AA$5001,"&lt;&gt;")=0,"",SUMIFS(BD!$AA$3:$AA$5001,BD!$A$3:$A$5001,S$3,BD!$B$3:$B$5001,$A$76)))</f>
        <v/>
      </c>
      <c r="T97" s="251" t="str">
        <f>IF(T$3="","",IF(COUNTIFS(BD!$A$3:$A$5001,T$3,BD!$B$3:$B$5001,$A$76,BD!$AA$3:$AA$5001,"&lt;&gt;")=0,"",SUMIFS(BD!$AA$3:$AA$5001,BD!$A$3:$A$5001,T$3,BD!$B$3:$B$5001,$A$76)))</f>
        <v/>
      </c>
      <c r="U97" s="251" t="str">
        <f>IF(U$3="","",IF(COUNTIFS(BD!$A$3:$A$5001,U$3,BD!$B$3:$B$5001,$A$76,BD!$AA$3:$AA$5001,"&lt;&gt;")=0,"",SUMIFS(BD!$AA$3:$AA$5001,BD!$A$3:$A$5001,U$3,BD!$B$3:$B$5001,$A$76)))</f>
        <v/>
      </c>
      <c r="V97" s="251" t="str">
        <f>IF(V$3="","",IF(COUNTIFS(BD!$A$3:$A$5001,V$3,BD!$B$3:$B$5001,$A$76,BD!$AA$3:$AA$5001,"&lt;&gt;")=0,"",SUMIFS(BD!$AA$3:$AA$5001,BD!$A$3:$A$5001,V$3,BD!$B$3:$B$5001,$A$76)))</f>
        <v/>
      </c>
      <c r="W97" s="251" t="str">
        <f>IF(W$3="","",IF(COUNTIFS(BD!$A$3:$A$5001,W$3,BD!$B$3:$B$5001,$A$76,BD!$AA$3:$AA$5001,"&lt;&gt;")=0,"",SUMIFS(BD!$AA$3:$AA$5001,BD!$A$3:$A$5001,W$3,BD!$B$3:$B$5001,$A$76)))</f>
        <v/>
      </c>
      <c r="X97" s="251" t="str">
        <f>IF(X$3="","",IF(COUNTIFS(BD!$A$3:$A$5001,X$3,BD!$B$3:$B$5001,$A$76,BD!$AA$3:$AA$5001,"&lt;&gt;")=0,"",SUMIFS(BD!$AA$3:$AA$5001,BD!$A$3:$A$5001,X$3,BD!$B$3:$B$5001,$A$76)))</f>
        <v/>
      </c>
      <c r="Y97" s="251" t="str">
        <f>IF(Y$3="","",IF(COUNTIFS(BD!$A$3:$A$5001,Y$3,BD!$B$3:$B$5001,$A$76,BD!$AA$3:$AA$5001,"&lt;&gt;")=0,"",SUMIFS(BD!$AA$3:$AA$5001,BD!$A$3:$A$5001,Y$3,BD!$B$3:$B$5001,$A$76)))</f>
        <v/>
      </c>
      <c r="Z97" s="251" t="str">
        <f>IF(Z$3="","",IF(COUNTIFS(BD!$A$3:$A$5001,Z$3,BD!$B$3:$B$5001,$A$76,BD!$AA$3:$AA$5001,"&lt;&gt;")=0,"",SUMIFS(BD!$AA$3:$AA$5001,BD!$A$3:$A$5001,Z$3,BD!$B$3:$B$5001,$A$76)))</f>
        <v/>
      </c>
      <c r="AA97" s="251" t="str">
        <f>IF(AA$3="","",IF(COUNTIFS(BD!$A$3:$A$5001,AA$3,BD!$B$3:$B$5001,$A$76,BD!$AA$3:$AA$5001,"&lt;&gt;")=0,"",SUMIFS(BD!$AA$3:$AA$5001,BD!$A$3:$A$5001,AA$3,BD!$B$3:$B$5001,$A$76)))</f>
        <v/>
      </c>
      <c r="AB97" s="251" t="str">
        <f>IF(AB$3="","",IF(COUNTIFS(BD!$A$3:$A$5001,AB$3,BD!$B$3:$B$5001,$A$76,BD!$AA$3:$AA$5001,"&lt;&gt;")=0,"",SUMIFS(BD!$AA$3:$AA$5001,BD!$A$3:$A$5001,AB$3,BD!$B$3:$B$5001,$A$76)))</f>
        <v/>
      </c>
      <c r="AC97" s="251" t="str">
        <f>IF(AC$3="","",IF(COUNTIFS(BD!$A$3:$A$5001,AC$3,BD!$B$3:$B$5001,$A$76,BD!$AA$3:$AA$5001,"&lt;&gt;")=0,"",SUMIFS(BD!$AA$3:$AA$5001,BD!$A$3:$A$5001,AC$3,BD!$B$3:$B$5001,$A$76)))</f>
        <v/>
      </c>
      <c r="AD97" s="251" t="str">
        <f>IF(AD$3="","",IF(COUNTIFS(BD!$A$3:$A$5001,AD$3,BD!$B$3:$B$5001,$A$76,BD!$AA$3:$AA$5001,"&lt;&gt;")=0,"",SUMIFS(BD!$AA$3:$AA$5001,BD!$A$3:$A$5001,AD$3,BD!$B$3:$B$5001,$A$76)))</f>
        <v/>
      </c>
      <c r="AE97" s="251" t="str">
        <f>IF(AE$3="","",IF(COUNTIFS(BD!$A$3:$A$5001,AE$3,BD!$B$3:$B$5001,$A$76,BD!$AA$3:$AA$5001,"&lt;&gt;")=0,"",SUMIFS(BD!$AA$3:$AA$5001,BD!$A$3:$A$5001,AE$3,BD!$B$3:$B$5001,$A$76)))</f>
        <v/>
      </c>
      <c r="AF97" s="251" t="str">
        <f>IF(AF$3="","",IF(COUNTIFS(BD!$A$3:$A$5001,AF$3,BD!$B$3:$B$5001,$A$76,BD!$AA$3:$AA$5001,"&lt;&gt;")=0,"",SUMIFS(BD!$AA$3:$AA$5001,BD!$A$3:$A$5001,AF$3,BD!$B$3:$B$5001,$A$76)))</f>
        <v/>
      </c>
      <c r="AG97" s="251" t="str">
        <f>IF(AG$3="","",IF(COUNTIFS(BD!$A$3:$A$5001,AG$3,BD!$B$3:$B$5001,$A$76,BD!$AA$3:$AA$5001,"&lt;&gt;")=0,"",SUMIFS(BD!$AA$3:$AA$5001,BD!$A$3:$A$5001,AG$3,BD!$B$3:$B$5001,$A$76)))</f>
        <v/>
      </c>
      <c r="AH97" s="251" t="str">
        <f>IF(AH$3="","",IF(COUNTIFS(BD!$A$3:$A$5001,AH$3,BD!$B$3:$B$5001,$A$76,BD!$AA$3:$AA$5001,"&lt;&gt;")=0,"",SUMIFS(BD!$AA$3:$AA$5001,BD!$A$3:$A$5001,AH$3,BD!$B$3:$B$5001,$A$76)))</f>
        <v/>
      </c>
      <c r="AI97" s="251" t="str">
        <f>IF(AI$3="","",IF(COUNTIFS(BD!$A$3:$A$5001,AI$3,BD!$B$3:$B$5001,$A$76,BD!$AA$3:$AA$5001,"&lt;&gt;")=0,"",SUMIFS(BD!$AA$3:$AA$5001,BD!$A$3:$A$5001,AI$3,BD!$B$3:$B$5001,$A$76)))</f>
        <v/>
      </c>
      <c r="AJ97" s="252" t="str">
        <f>IF(AJ$3="","",IF(COUNTIFS(BD!$A$3:$A$5001,AJ$3,BD!$B$3:$B$5001,$A$76,BD!$AA$3:$AA$5001,"&lt;&gt;")=0,"",SUMIFS(BD!$AA$3:$AA$5001,BD!$A$3:$A$5001,AJ$3,BD!$B$3:$B$5001,$A$76)))</f>
        <v/>
      </c>
      <c r="AK97" s="253" t="str">
        <f>IF(COUNT(F97:AJ97)=0,"",SUM(F97:AJ97))</f>
        <v/>
      </c>
    </row>
    <row r="98" ht="15.75" customHeight="1">
      <c r="A98" s="278"/>
      <c r="B98" s="275"/>
      <c r="C98" s="258" t="inlineStr">
        <is>
          <t xml:space="preserve">Acidentes SAF</t>
        </is>
      </c>
      <c r="D98" s="259" t="str">
        <f>IFERROR(1/(1/INDEX(BD!$AF$49:$AZ$49,MATCH($A$76,BD!$AF$22:$AZ$22,0))),"")</f>
        <v/>
      </c>
      <c r="E98" s="260"/>
      <c r="F98" s="261" t="str">
        <f>IF(F$3="","",IF(COUNTIFS(BD!$A$3:$A$5001,F$3,BD!$B$3:$B$5001,$A$76,BD!$AB$3:$AB$5001,"&lt;&gt;")=0,"",SUMIFS(BD!$AB$3:$AB$5001,BD!$A$3:$A$5001,F$3,BD!$B$3:$B$5001,$A$76)))</f>
        <v/>
      </c>
      <c r="G98" s="262" t="str">
        <f>IF(G$3="","",IF(COUNTIFS(BD!$A$3:$A$5001,G$3,BD!$B$3:$B$5001,$A$76,BD!$AB$3:$AB$5001,"&lt;&gt;")=0,"",SUMIFS(BD!$AB$3:$AB$5001,BD!$A$3:$A$5001,G$3,BD!$B$3:$B$5001,$A$76)))</f>
        <v/>
      </c>
      <c r="H98" s="262" t="str">
        <f>IF(H$3="","",IF(COUNTIFS(BD!$A$3:$A$5001,H$3,BD!$B$3:$B$5001,$A$76,BD!$AB$3:$AB$5001,"&lt;&gt;")=0,"",SUMIFS(BD!$AB$3:$AB$5001,BD!$A$3:$A$5001,H$3,BD!$B$3:$B$5001,$A$76)))</f>
        <v/>
      </c>
      <c r="I98" s="262" t="str">
        <f>IF(I$3="","",IF(COUNTIFS(BD!$A$3:$A$5001,I$3,BD!$B$3:$B$5001,$A$76,BD!$AB$3:$AB$5001,"&lt;&gt;")=0,"",SUMIFS(BD!$AB$3:$AB$5001,BD!$A$3:$A$5001,I$3,BD!$B$3:$B$5001,$A$76)))</f>
        <v/>
      </c>
      <c r="J98" s="262" t="str">
        <f>IF(J$3="","",IF(COUNTIFS(BD!$A$3:$A$5001,J$3,BD!$B$3:$B$5001,$A$76,BD!$AB$3:$AB$5001,"&lt;&gt;")=0,"",SUMIFS(BD!$AB$3:$AB$5001,BD!$A$3:$A$5001,J$3,BD!$B$3:$B$5001,$A$76)))</f>
        <v/>
      </c>
      <c r="K98" s="262" t="str">
        <f>IF(K$3="","",IF(COUNTIFS(BD!$A$3:$A$5001,K$3,BD!$B$3:$B$5001,$A$76,BD!$AB$3:$AB$5001,"&lt;&gt;")=0,"",SUMIFS(BD!$AB$3:$AB$5001,BD!$A$3:$A$5001,K$3,BD!$B$3:$B$5001,$A$76)))</f>
        <v/>
      </c>
      <c r="L98" s="262" t="str">
        <f>IF(L$3="","",IF(COUNTIFS(BD!$A$3:$A$5001,L$3,BD!$B$3:$B$5001,$A$76,BD!$AB$3:$AB$5001,"&lt;&gt;")=0,"",SUMIFS(BD!$AB$3:$AB$5001,BD!$A$3:$A$5001,L$3,BD!$B$3:$B$5001,$A$76)))</f>
        <v/>
      </c>
      <c r="M98" s="262" t="str">
        <f>IF(M$3="","",IF(COUNTIFS(BD!$A$3:$A$5001,M$3,BD!$B$3:$B$5001,$A$76,BD!$AB$3:$AB$5001,"&lt;&gt;")=0,"",SUMIFS(BD!$AB$3:$AB$5001,BD!$A$3:$A$5001,M$3,BD!$B$3:$B$5001,$A$76)))</f>
        <v/>
      </c>
      <c r="N98" s="262" t="str">
        <f>IF(N$3="","",IF(COUNTIFS(BD!$A$3:$A$5001,N$3,BD!$B$3:$B$5001,$A$76,BD!$AB$3:$AB$5001,"&lt;&gt;")=0,"",SUMIFS(BD!$AB$3:$AB$5001,BD!$A$3:$A$5001,N$3,BD!$B$3:$B$5001,$A$76)))</f>
        <v/>
      </c>
      <c r="O98" s="262" t="str">
        <f>IF(O$3="","",IF(COUNTIFS(BD!$A$3:$A$5001,O$3,BD!$B$3:$B$5001,$A$76,BD!$AB$3:$AB$5001,"&lt;&gt;")=0,"",SUMIFS(BD!$AB$3:$AB$5001,BD!$A$3:$A$5001,O$3,BD!$B$3:$B$5001,$A$76)))</f>
        <v/>
      </c>
      <c r="P98" s="262" t="str">
        <f>IF(P$3="","",IF(COUNTIFS(BD!$A$3:$A$5001,P$3,BD!$B$3:$B$5001,$A$76,BD!$AB$3:$AB$5001,"&lt;&gt;")=0,"",SUMIFS(BD!$AB$3:$AB$5001,BD!$A$3:$A$5001,P$3,BD!$B$3:$B$5001,$A$76)))</f>
        <v/>
      </c>
      <c r="Q98" s="262" t="str">
        <f>IF(Q$3="","",IF(COUNTIFS(BD!$A$3:$A$5001,Q$3,BD!$B$3:$B$5001,$A$76,BD!$AB$3:$AB$5001,"&lt;&gt;")=0,"",SUMIFS(BD!$AB$3:$AB$5001,BD!$A$3:$A$5001,Q$3,BD!$B$3:$B$5001,$A$76)))</f>
        <v/>
      </c>
      <c r="R98" s="262" t="str">
        <f>IF(R$3="","",IF(COUNTIFS(BD!$A$3:$A$5001,R$3,BD!$B$3:$B$5001,$A$76,BD!$AB$3:$AB$5001,"&lt;&gt;")=0,"",SUMIFS(BD!$AB$3:$AB$5001,BD!$A$3:$A$5001,R$3,BD!$B$3:$B$5001,$A$76)))</f>
        <v/>
      </c>
      <c r="S98" s="262" t="str">
        <f>IF(S$3="","",IF(COUNTIFS(BD!$A$3:$A$5001,S$3,BD!$B$3:$B$5001,$A$76,BD!$AB$3:$AB$5001,"&lt;&gt;")=0,"",SUMIFS(BD!$AB$3:$AB$5001,BD!$A$3:$A$5001,S$3,BD!$B$3:$B$5001,$A$76)))</f>
        <v/>
      </c>
      <c r="T98" s="262" t="str">
        <f>IF(T$3="","",IF(COUNTIFS(BD!$A$3:$A$5001,T$3,BD!$B$3:$B$5001,$A$76,BD!$AB$3:$AB$5001,"&lt;&gt;")=0,"",SUMIFS(BD!$AB$3:$AB$5001,BD!$A$3:$A$5001,T$3,BD!$B$3:$B$5001,$A$76)))</f>
        <v/>
      </c>
      <c r="U98" s="262" t="str">
        <f>IF(U$3="","",IF(COUNTIFS(BD!$A$3:$A$5001,U$3,BD!$B$3:$B$5001,$A$76,BD!$AB$3:$AB$5001,"&lt;&gt;")=0,"",SUMIFS(BD!$AB$3:$AB$5001,BD!$A$3:$A$5001,U$3,BD!$B$3:$B$5001,$A$76)))</f>
        <v/>
      </c>
      <c r="V98" s="262" t="str">
        <f>IF(V$3="","",IF(COUNTIFS(BD!$A$3:$A$5001,V$3,BD!$B$3:$B$5001,$A$76,BD!$AB$3:$AB$5001,"&lt;&gt;")=0,"",SUMIFS(BD!$AB$3:$AB$5001,BD!$A$3:$A$5001,V$3,BD!$B$3:$B$5001,$A$76)))</f>
        <v/>
      </c>
      <c r="W98" s="262" t="str">
        <f>IF(W$3="","",IF(COUNTIFS(BD!$A$3:$A$5001,W$3,BD!$B$3:$B$5001,$A$76,BD!$AB$3:$AB$5001,"&lt;&gt;")=0,"",SUMIFS(BD!$AB$3:$AB$5001,BD!$A$3:$A$5001,W$3,BD!$B$3:$B$5001,$A$76)))</f>
        <v/>
      </c>
      <c r="X98" s="262" t="str">
        <f>IF(X$3="","",IF(COUNTIFS(BD!$A$3:$A$5001,X$3,BD!$B$3:$B$5001,$A$76,BD!$AB$3:$AB$5001,"&lt;&gt;")=0,"",SUMIFS(BD!$AB$3:$AB$5001,BD!$A$3:$A$5001,X$3,BD!$B$3:$B$5001,$A$76)))</f>
        <v/>
      </c>
      <c r="Y98" s="262" t="str">
        <f>IF(Y$3="","",IF(COUNTIFS(BD!$A$3:$A$5001,Y$3,BD!$B$3:$B$5001,$A$76,BD!$AB$3:$AB$5001,"&lt;&gt;")=0,"",SUMIFS(BD!$AB$3:$AB$5001,BD!$A$3:$A$5001,Y$3,BD!$B$3:$B$5001,$A$76)))</f>
        <v/>
      </c>
      <c r="Z98" s="262" t="str">
        <f>IF(Z$3="","",IF(COUNTIFS(BD!$A$3:$A$5001,Z$3,BD!$B$3:$B$5001,$A$76,BD!$AB$3:$AB$5001,"&lt;&gt;")=0,"",SUMIFS(BD!$AB$3:$AB$5001,BD!$A$3:$A$5001,Z$3,BD!$B$3:$B$5001,$A$76)))</f>
        <v/>
      </c>
      <c r="AA98" s="262" t="str">
        <f>IF(AA$3="","",IF(COUNTIFS(BD!$A$3:$A$5001,AA$3,BD!$B$3:$B$5001,$A$76,BD!$AB$3:$AB$5001,"&lt;&gt;")=0,"",SUMIFS(BD!$AB$3:$AB$5001,BD!$A$3:$A$5001,AA$3,BD!$B$3:$B$5001,$A$76)))</f>
        <v/>
      </c>
      <c r="AB98" s="262" t="str">
        <f>IF(AB$3="","",IF(COUNTIFS(BD!$A$3:$A$5001,AB$3,BD!$B$3:$B$5001,$A$76,BD!$AB$3:$AB$5001,"&lt;&gt;")=0,"",SUMIFS(BD!$AB$3:$AB$5001,BD!$A$3:$A$5001,AB$3,BD!$B$3:$B$5001,$A$76)))</f>
        <v/>
      </c>
      <c r="AC98" s="262" t="str">
        <f>IF(AC$3="","",IF(COUNTIFS(BD!$A$3:$A$5001,AC$3,BD!$B$3:$B$5001,$A$76,BD!$AB$3:$AB$5001,"&lt;&gt;")=0,"",SUMIFS(BD!$AB$3:$AB$5001,BD!$A$3:$A$5001,AC$3,BD!$B$3:$B$5001,$A$76)))</f>
        <v/>
      </c>
      <c r="AD98" s="262" t="str">
        <f>IF(AD$3="","",IF(COUNTIFS(BD!$A$3:$A$5001,AD$3,BD!$B$3:$B$5001,$A$76,BD!$AB$3:$AB$5001,"&lt;&gt;")=0,"",SUMIFS(BD!$AB$3:$AB$5001,BD!$A$3:$A$5001,AD$3,BD!$B$3:$B$5001,$A$76)))</f>
        <v/>
      </c>
      <c r="AE98" s="262" t="str">
        <f>IF(AE$3="","",IF(COUNTIFS(BD!$A$3:$A$5001,AE$3,BD!$B$3:$B$5001,$A$76,BD!$AB$3:$AB$5001,"&lt;&gt;")=0,"",SUMIFS(BD!$AB$3:$AB$5001,BD!$A$3:$A$5001,AE$3,BD!$B$3:$B$5001,$A$76)))</f>
        <v/>
      </c>
      <c r="AF98" s="262" t="str">
        <f>IF(AF$3="","",IF(COUNTIFS(BD!$A$3:$A$5001,AF$3,BD!$B$3:$B$5001,$A$76,BD!$AB$3:$AB$5001,"&lt;&gt;")=0,"",SUMIFS(BD!$AB$3:$AB$5001,BD!$A$3:$A$5001,AF$3,BD!$B$3:$B$5001,$A$76)))</f>
        <v/>
      </c>
      <c r="AG98" s="262" t="str">
        <f>IF(AG$3="","",IF(COUNTIFS(BD!$A$3:$A$5001,AG$3,BD!$B$3:$B$5001,$A$76,BD!$AB$3:$AB$5001,"&lt;&gt;")=0,"",SUMIFS(BD!$AB$3:$AB$5001,BD!$A$3:$A$5001,AG$3,BD!$B$3:$B$5001,$A$76)))</f>
        <v/>
      </c>
      <c r="AH98" s="262" t="str">
        <f>IF(AH$3="","",IF(COUNTIFS(BD!$A$3:$A$5001,AH$3,BD!$B$3:$B$5001,$A$76,BD!$AB$3:$AB$5001,"&lt;&gt;")=0,"",SUMIFS(BD!$AB$3:$AB$5001,BD!$A$3:$A$5001,AH$3,BD!$B$3:$B$5001,$A$76)))</f>
        <v/>
      </c>
      <c r="AI98" s="262" t="str">
        <f>IF(AI$3="","",IF(COUNTIFS(BD!$A$3:$A$5001,AI$3,BD!$B$3:$B$5001,$A$76,BD!$AB$3:$AB$5001,"&lt;&gt;")=0,"",SUMIFS(BD!$AB$3:$AB$5001,BD!$A$3:$A$5001,AI$3,BD!$B$3:$B$5001,$A$76)))</f>
        <v/>
      </c>
      <c r="AJ98" s="263" t="str">
        <f>IF(AJ$3="","",IF(COUNTIFS(BD!$A$3:$A$5001,AJ$3,BD!$B$3:$B$5001,$A$76,BD!$AB$3:$AB$5001,"&lt;&gt;")=0,"",SUMIFS(BD!$AB$3:$AB$5001,BD!$A$3:$A$5001,AJ$3,BD!$B$3:$B$5001,$A$76)))</f>
        <v/>
      </c>
      <c r="AK98" s="259" t="str">
        <f>IF(COUNT(F98:AJ98)=0,"",SUM(F98:AJ98))</f>
        <v/>
      </c>
    </row>
    <row r="100" ht="15.75" customHeight="1">
      <c r="A100" s="276" t="inlineStr">
        <is>
          <t xml:space="preserve">PMB</t>
        </is>
      </c>
      <c r="B100" s="264" t="inlineStr">
        <is>
          <t xml:space="preserve">IN</t>
        </is>
      </c>
      <c r="C100" s="168" t="inlineStr">
        <is>
          <t xml:space="preserve">Veículos Recebidos</t>
        </is>
      </c>
      <c r="D100" s="169" t="str">
        <f>IFERROR(1/(1/INDEX(BD!$AF$23:$AZ$23,MATCH($A$100,BD!$AF$22:$AZ$22,0))),"")</f>
        <v/>
      </c>
      <c r="E100" s="170"/>
      <c r="F100" s="171" t="str">
        <f>IF(F$3="","",IF(COUNTIFS(BD!$A$3:$A$5001,F$3,BD!$B$3:$B$5001,$A$100,BD!$C$3:$C$5001,"&lt;&gt;")=0,"",SUMIFS(BD!$C$3:$C$5001,BD!$A$3:$A$5001,F$3,BD!$B$3:$B$5001,$A$100)))</f>
        <v/>
      </c>
      <c r="G100" s="172" t="str">
        <f>IF(G$3="","",IF(COUNTIFS(BD!$A$3:$A$5001,G$3,BD!$B$3:$B$5001,$A$100,BD!$C$3:$C$5001,"&lt;&gt;")=0,"",SUMIFS(BD!$C$3:$C$5001,BD!$A$3:$A$5001,G$3,BD!$B$3:$B$5001,$A$100)))</f>
        <v/>
      </c>
      <c r="H100" s="172" t="str">
        <f>IF(H$3="","",IF(COUNTIFS(BD!$A$3:$A$5001,H$3,BD!$B$3:$B$5001,$A$100,BD!$C$3:$C$5001,"&lt;&gt;")=0,"",SUMIFS(BD!$C$3:$C$5001,BD!$A$3:$A$5001,H$3,BD!$B$3:$B$5001,$A$100)))</f>
        <v/>
      </c>
      <c r="I100" s="172" t="str">
        <f>IF(I$3="","",IF(COUNTIFS(BD!$A$3:$A$5001,I$3,BD!$B$3:$B$5001,$A$100,BD!$C$3:$C$5001,"&lt;&gt;")=0,"",SUMIFS(BD!$C$3:$C$5001,BD!$A$3:$A$5001,I$3,BD!$B$3:$B$5001,$A$100)))</f>
        <v/>
      </c>
      <c r="J100" s="172" t="str">
        <f>IF(J$3="","",IF(COUNTIFS(BD!$A$3:$A$5001,J$3,BD!$B$3:$B$5001,$A$100,BD!$C$3:$C$5001,"&lt;&gt;")=0,"",SUMIFS(BD!$C$3:$C$5001,BD!$A$3:$A$5001,J$3,BD!$B$3:$B$5001,$A$100)))</f>
        <v/>
      </c>
      <c r="K100" s="172" t="str">
        <f>IF(K$3="","",IF(COUNTIFS(BD!$A$3:$A$5001,K$3,BD!$B$3:$B$5001,$A$100,BD!$C$3:$C$5001,"&lt;&gt;")=0,"",SUMIFS(BD!$C$3:$C$5001,BD!$A$3:$A$5001,K$3,BD!$B$3:$B$5001,$A$100)))</f>
        <v/>
      </c>
      <c r="L100" s="172" t="str">
        <f>IF(L$3="","",IF(COUNTIFS(BD!$A$3:$A$5001,L$3,BD!$B$3:$B$5001,$A$100,BD!$C$3:$C$5001,"&lt;&gt;")=0,"",SUMIFS(BD!$C$3:$C$5001,BD!$A$3:$A$5001,L$3,BD!$B$3:$B$5001,$A$100)))</f>
        <v/>
      </c>
      <c r="M100" s="172" t="str">
        <f>IF(M$3="","",IF(COUNTIFS(BD!$A$3:$A$5001,M$3,BD!$B$3:$B$5001,$A$100,BD!$C$3:$C$5001,"&lt;&gt;")=0,"",SUMIFS(BD!$C$3:$C$5001,BD!$A$3:$A$5001,M$3,BD!$B$3:$B$5001,$A$100)))</f>
        <v/>
      </c>
      <c r="N100" s="172" t="str">
        <f>IF(N$3="","",IF(COUNTIFS(BD!$A$3:$A$5001,N$3,BD!$B$3:$B$5001,$A$100,BD!$C$3:$C$5001,"&lt;&gt;")=0,"",SUMIFS(BD!$C$3:$C$5001,BD!$A$3:$A$5001,N$3,BD!$B$3:$B$5001,$A$100)))</f>
        <v/>
      </c>
      <c r="O100" s="172" t="str">
        <f>IF(O$3="","",IF(COUNTIFS(BD!$A$3:$A$5001,O$3,BD!$B$3:$B$5001,$A$100,BD!$C$3:$C$5001,"&lt;&gt;")=0,"",SUMIFS(BD!$C$3:$C$5001,BD!$A$3:$A$5001,O$3,BD!$B$3:$B$5001,$A$100)))</f>
        <v/>
      </c>
      <c r="P100" s="172" t="str">
        <f>IF(P$3="","",IF(COUNTIFS(BD!$A$3:$A$5001,P$3,BD!$B$3:$B$5001,$A$100,BD!$C$3:$C$5001,"&lt;&gt;")=0,"",SUMIFS(BD!$C$3:$C$5001,BD!$A$3:$A$5001,P$3,BD!$B$3:$B$5001,$A$100)))</f>
        <v/>
      </c>
      <c r="Q100" s="172" t="str">
        <f>IF(Q$3="","",IF(COUNTIFS(BD!$A$3:$A$5001,Q$3,BD!$B$3:$B$5001,$A$100,BD!$C$3:$C$5001,"&lt;&gt;")=0,"",SUMIFS(BD!$C$3:$C$5001,BD!$A$3:$A$5001,Q$3,BD!$B$3:$B$5001,$A$100)))</f>
        <v/>
      </c>
      <c r="R100" s="172" t="str">
        <f>IF(R$3="","",IF(COUNTIFS(BD!$A$3:$A$5001,R$3,BD!$B$3:$B$5001,$A$100,BD!$C$3:$C$5001,"&lt;&gt;")=0,"",SUMIFS(BD!$C$3:$C$5001,BD!$A$3:$A$5001,R$3,BD!$B$3:$B$5001,$A$100)))</f>
        <v/>
      </c>
      <c r="S100" s="172" t="str">
        <f>IF(S$3="","",IF(COUNTIFS(BD!$A$3:$A$5001,S$3,BD!$B$3:$B$5001,$A$100,BD!$C$3:$C$5001,"&lt;&gt;")=0,"",SUMIFS(BD!$C$3:$C$5001,BD!$A$3:$A$5001,S$3,BD!$B$3:$B$5001,$A$100)))</f>
        <v/>
      </c>
      <c r="T100" s="172" t="str">
        <f>IF(T$3="","",IF(COUNTIFS(BD!$A$3:$A$5001,T$3,BD!$B$3:$B$5001,$A$100,BD!$C$3:$C$5001,"&lt;&gt;")=0,"",SUMIFS(BD!$C$3:$C$5001,BD!$A$3:$A$5001,T$3,BD!$B$3:$B$5001,$A$100)))</f>
        <v/>
      </c>
      <c r="U100" s="172" t="str">
        <f>IF(U$3="","",IF(COUNTIFS(BD!$A$3:$A$5001,U$3,BD!$B$3:$B$5001,$A$100,BD!$C$3:$C$5001,"&lt;&gt;")=0,"",SUMIFS(BD!$C$3:$C$5001,BD!$A$3:$A$5001,U$3,BD!$B$3:$B$5001,$A$100)))</f>
        <v/>
      </c>
      <c r="V100" s="172" t="str">
        <f>IF(V$3="","",IF(COUNTIFS(BD!$A$3:$A$5001,V$3,BD!$B$3:$B$5001,$A$100,BD!$C$3:$C$5001,"&lt;&gt;")=0,"",SUMIFS(BD!$C$3:$C$5001,BD!$A$3:$A$5001,V$3,BD!$B$3:$B$5001,$A$100)))</f>
        <v/>
      </c>
      <c r="W100" s="172" t="str">
        <f>IF(W$3="","",IF(COUNTIFS(BD!$A$3:$A$5001,W$3,BD!$B$3:$B$5001,$A$100,BD!$C$3:$C$5001,"&lt;&gt;")=0,"",SUMIFS(BD!$C$3:$C$5001,BD!$A$3:$A$5001,W$3,BD!$B$3:$B$5001,$A$100)))</f>
        <v/>
      </c>
      <c r="X100" s="172" t="str">
        <f>IF(X$3="","",IF(COUNTIFS(BD!$A$3:$A$5001,X$3,BD!$B$3:$B$5001,$A$100,BD!$C$3:$C$5001,"&lt;&gt;")=0,"",SUMIFS(BD!$C$3:$C$5001,BD!$A$3:$A$5001,X$3,BD!$B$3:$B$5001,$A$100)))</f>
        <v/>
      </c>
      <c r="Y100" s="172" t="str">
        <f>IF(Y$3="","",IF(COUNTIFS(BD!$A$3:$A$5001,Y$3,BD!$B$3:$B$5001,$A$100,BD!$C$3:$C$5001,"&lt;&gt;")=0,"",SUMIFS(BD!$C$3:$C$5001,BD!$A$3:$A$5001,Y$3,BD!$B$3:$B$5001,$A$100)))</f>
        <v/>
      </c>
      <c r="Z100" s="172" t="str">
        <f>IF(Z$3="","",IF(COUNTIFS(BD!$A$3:$A$5001,Z$3,BD!$B$3:$B$5001,$A$100,BD!$C$3:$C$5001,"&lt;&gt;")=0,"",SUMIFS(BD!$C$3:$C$5001,BD!$A$3:$A$5001,Z$3,BD!$B$3:$B$5001,$A$100)))</f>
        <v/>
      </c>
      <c r="AA100" s="172" t="str">
        <f>IF(AA$3="","",IF(COUNTIFS(BD!$A$3:$A$5001,AA$3,BD!$B$3:$B$5001,$A$100,BD!$C$3:$C$5001,"&lt;&gt;")=0,"",SUMIFS(BD!$C$3:$C$5001,BD!$A$3:$A$5001,AA$3,BD!$B$3:$B$5001,$A$100)))</f>
        <v/>
      </c>
      <c r="AB100" s="172" t="str">
        <f>IF(AB$3="","",IF(COUNTIFS(BD!$A$3:$A$5001,AB$3,BD!$B$3:$B$5001,$A$100,BD!$C$3:$C$5001,"&lt;&gt;")=0,"",SUMIFS(BD!$C$3:$C$5001,BD!$A$3:$A$5001,AB$3,BD!$B$3:$B$5001,$A$100)))</f>
        <v/>
      </c>
      <c r="AC100" s="172" t="str">
        <f>IF(AC$3="","",IF(COUNTIFS(BD!$A$3:$A$5001,AC$3,BD!$B$3:$B$5001,$A$100,BD!$C$3:$C$5001,"&lt;&gt;")=0,"",SUMIFS(BD!$C$3:$C$5001,BD!$A$3:$A$5001,AC$3,BD!$B$3:$B$5001,$A$100)))</f>
        <v/>
      </c>
      <c r="AD100" s="172" t="str">
        <f>IF(AD$3="","",IF(COUNTIFS(BD!$A$3:$A$5001,AD$3,BD!$B$3:$B$5001,$A$100,BD!$C$3:$C$5001,"&lt;&gt;")=0,"",SUMIFS(BD!$C$3:$C$5001,BD!$A$3:$A$5001,AD$3,BD!$B$3:$B$5001,$A$100)))</f>
        <v/>
      </c>
      <c r="AE100" s="172" t="str">
        <f>IF(AE$3="","",IF(COUNTIFS(BD!$A$3:$A$5001,AE$3,BD!$B$3:$B$5001,$A$100,BD!$C$3:$C$5001,"&lt;&gt;")=0,"",SUMIFS(BD!$C$3:$C$5001,BD!$A$3:$A$5001,AE$3,BD!$B$3:$B$5001,$A$100)))</f>
        <v/>
      </c>
      <c r="AF100" s="172" t="str">
        <f>IF(AF$3="","",IF(COUNTIFS(BD!$A$3:$A$5001,AF$3,BD!$B$3:$B$5001,$A$100,BD!$C$3:$C$5001,"&lt;&gt;")=0,"",SUMIFS(BD!$C$3:$C$5001,BD!$A$3:$A$5001,AF$3,BD!$B$3:$B$5001,$A$100)))</f>
        <v/>
      </c>
      <c r="AG100" s="172" t="str">
        <f>IF(AG$3="","",IF(COUNTIFS(BD!$A$3:$A$5001,AG$3,BD!$B$3:$B$5001,$A$100,BD!$C$3:$C$5001,"&lt;&gt;")=0,"",SUMIFS(BD!$C$3:$C$5001,BD!$A$3:$A$5001,AG$3,BD!$B$3:$B$5001,$A$100)))</f>
        <v/>
      </c>
      <c r="AH100" s="172" t="str">
        <f>IF(AH$3="","",IF(COUNTIFS(BD!$A$3:$A$5001,AH$3,BD!$B$3:$B$5001,$A$100,BD!$C$3:$C$5001,"&lt;&gt;")=0,"",SUMIFS(BD!$C$3:$C$5001,BD!$A$3:$A$5001,AH$3,BD!$B$3:$B$5001,$A$100)))</f>
        <v/>
      </c>
      <c r="AI100" s="172" t="str">
        <f>IF(AI$3="","",IF(COUNTIFS(BD!$A$3:$A$5001,AI$3,BD!$B$3:$B$5001,$A$100,BD!$C$3:$C$5001,"&lt;&gt;")=0,"",SUMIFS(BD!$C$3:$C$5001,BD!$A$3:$A$5001,AI$3,BD!$B$3:$B$5001,$A$100)))</f>
        <v/>
      </c>
      <c r="AJ100" s="173" t="str">
        <f>IF(AJ$3="","",IF(COUNTIFS(BD!$A$3:$A$5001,AJ$3,BD!$B$3:$B$5001,$A$100,BD!$C$3:$C$5001,"&lt;&gt;")=0,"",SUMIFS(BD!$C$3:$C$5001,BD!$A$3:$A$5001,AJ$3,BD!$B$3:$B$5001,$A$100)))</f>
        <v/>
      </c>
      <c r="AK100" s="174" t="str">
        <f>IF(COUNT(F100:AJ100)=0,"",SUM(F100:AJ100))</f>
        <v/>
      </c>
    </row>
    <row r="101" ht="15.75" customHeight="1">
      <c r="A101" s="277"/>
      <c r="B101" s="265"/>
      <c r="C101" s="175" t="inlineStr">
        <is>
          <t xml:space="preserve">Pallets Movimentados</t>
        </is>
      </c>
      <c r="D101" s="176" t="str">
        <f>IFERROR(1/(1/INDEX(BD!$AF$24:$AZ$24,MATCH($A$100,BD!$AF$22:$AZ$22,0))),"")</f>
        <v/>
      </c>
      <c r="E101" s="177"/>
      <c r="F101" s="178" t="str">
        <f>IF(F$3="","",IF(COUNTIFS(BD!$A$3:$A$5001,F$3,BD!$B$3:$B$5001,$A$100,BD!$D$3:$D$5001,"&lt;&gt;")=0,"",SUMIFS(BD!$D$3:$D$5001,BD!$A$3:$A$5001,F$3,BD!$B$3:$B$5001,$A$100)))</f>
        <v/>
      </c>
      <c r="G101" s="179" t="str">
        <f>IF(G$3="","",IF(COUNTIFS(BD!$A$3:$A$5001,G$3,BD!$B$3:$B$5001,$A$100,BD!$D$3:$D$5001,"&lt;&gt;")=0,"",SUMIFS(BD!$D$3:$D$5001,BD!$A$3:$A$5001,G$3,BD!$B$3:$B$5001,$A$100)))</f>
        <v/>
      </c>
      <c r="H101" s="179" t="str">
        <f>IF(H$3="","",IF(COUNTIFS(BD!$A$3:$A$5001,H$3,BD!$B$3:$B$5001,$A$100,BD!$D$3:$D$5001,"&lt;&gt;")=0,"",SUMIFS(BD!$D$3:$D$5001,BD!$A$3:$A$5001,H$3,BD!$B$3:$B$5001,$A$100)))</f>
        <v/>
      </c>
      <c r="I101" s="179" t="str">
        <f>IF(I$3="","",IF(COUNTIFS(BD!$A$3:$A$5001,I$3,BD!$B$3:$B$5001,$A$100,BD!$D$3:$D$5001,"&lt;&gt;")=0,"",SUMIFS(BD!$D$3:$D$5001,BD!$A$3:$A$5001,I$3,BD!$B$3:$B$5001,$A$100)))</f>
        <v/>
      </c>
      <c r="J101" s="179" t="str">
        <f>IF(J$3="","",IF(COUNTIFS(BD!$A$3:$A$5001,J$3,BD!$B$3:$B$5001,$A$100,BD!$D$3:$D$5001,"&lt;&gt;")=0,"",SUMIFS(BD!$D$3:$D$5001,BD!$A$3:$A$5001,J$3,BD!$B$3:$B$5001,$A$100)))</f>
        <v/>
      </c>
      <c r="K101" s="179" t="str">
        <f>IF(K$3="","",IF(COUNTIFS(BD!$A$3:$A$5001,K$3,BD!$B$3:$B$5001,$A$100,BD!$D$3:$D$5001,"&lt;&gt;")=0,"",SUMIFS(BD!$D$3:$D$5001,BD!$A$3:$A$5001,K$3,BD!$B$3:$B$5001,$A$100)))</f>
        <v/>
      </c>
      <c r="L101" s="179" t="str">
        <f>IF(L$3="","",IF(COUNTIFS(BD!$A$3:$A$5001,L$3,BD!$B$3:$B$5001,$A$100,BD!$D$3:$D$5001,"&lt;&gt;")=0,"",SUMIFS(BD!$D$3:$D$5001,BD!$A$3:$A$5001,L$3,BD!$B$3:$B$5001,$A$100)))</f>
        <v/>
      </c>
      <c r="M101" s="179" t="str">
        <f>IF(M$3="","",IF(COUNTIFS(BD!$A$3:$A$5001,M$3,BD!$B$3:$B$5001,$A$100,BD!$D$3:$D$5001,"&lt;&gt;")=0,"",SUMIFS(BD!$D$3:$D$5001,BD!$A$3:$A$5001,M$3,BD!$B$3:$B$5001,$A$100)))</f>
        <v/>
      </c>
      <c r="N101" s="179" t="str">
        <f>IF(N$3="","",IF(COUNTIFS(BD!$A$3:$A$5001,N$3,BD!$B$3:$B$5001,$A$100,BD!$D$3:$D$5001,"&lt;&gt;")=0,"",SUMIFS(BD!$D$3:$D$5001,BD!$A$3:$A$5001,N$3,BD!$B$3:$B$5001,$A$100)))</f>
        <v/>
      </c>
      <c r="O101" s="179" t="str">
        <f>IF(O$3="","",IF(COUNTIFS(BD!$A$3:$A$5001,O$3,BD!$B$3:$B$5001,$A$100,BD!$D$3:$D$5001,"&lt;&gt;")=0,"",SUMIFS(BD!$D$3:$D$5001,BD!$A$3:$A$5001,O$3,BD!$B$3:$B$5001,$A$100)))</f>
        <v/>
      </c>
      <c r="P101" s="179" t="str">
        <f>IF(P$3="","",IF(COUNTIFS(BD!$A$3:$A$5001,P$3,BD!$B$3:$B$5001,$A$100,BD!$D$3:$D$5001,"&lt;&gt;")=0,"",SUMIFS(BD!$D$3:$D$5001,BD!$A$3:$A$5001,P$3,BD!$B$3:$B$5001,$A$100)))</f>
        <v/>
      </c>
      <c r="Q101" s="179" t="str">
        <f>IF(Q$3="","",IF(COUNTIFS(BD!$A$3:$A$5001,Q$3,BD!$B$3:$B$5001,$A$100,BD!$D$3:$D$5001,"&lt;&gt;")=0,"",SUMIFS(BD!$D$3:$D$5001,BD!$A$3:$A$5001,Q$3,BD!$B$3:$B$5001,$A$100)))</f>
        <v/>
      </c>
      <c r="R101" s="179" t="str">
        <f>IF(R$3="","",IF(COUNTIFS(BD!$A$3:$A$5001,R$3,BD!$B$3:$B$5001,$A$100,BD!$D$3:$D$5001,"&lt;&gt;")=0,"",SUMIFS(BD!$D$3:$D$5001,BD!$A$3:$A$5001,R$3,BD!$B$3:$B$5001,$A$100)))</f>
        <v/>
      </c>
      <c r="S101" s="179" t="str">
        <f>IF(S$3="","",IF(COUNTIFS(BD!$A$3:$A$5001,S$3,BD!$B$3:$B$5001,$A$100,BD!$D$3:$D$5001,"&lt;&gt;")=0,"",SUMIFS(BD!$D$3:$D$5001,BD!$A$3:$A$5001,S$3,BD!$B$3:$B$5001,$A$100)))</f>
        <v/>
      </c>
      <c r="T101" s="179" t="str">
        <f>IF(T$3="","",IF(COUNTIFS(BD!$A$3:$A$5001,T$3,BD!$B$3:$B$5001,$A$100,BD!$D$3:$D$5001,"&lt;&gt;")=0,"",SUMIFS(BD!$D$3:$D$5001,BD!$A$3:$A$5001,T$3,BD!$B$3:$B$5001,$A$100)))</f>
        <v/>
      </c>
      <c r="U101" s="179" t="str">
        <f>IF(U$3="","",IF(COUNTIFS(BD!$A$3:$A$5001,U$3,BD!$B$3:$B$5001,$A$100,BD!$D$3:$D$5001,"&lt;&gt;")=0,"",SUMIFS(BD!$D$3:$D$5001,BD!$A$3:$A$5001,U$3,BD!$B$3:$B$5001,$A$100)))</f>
        <v/>
      </c>
      <c r="V101" s="179" t="str">
        <f>IF(V$3="","",IF(COUNTIFS(BD!$A$3:$A$5001,V$3,BD!$B$3:$B$5001,$A$100,BD!$D$3:$D$5001,"&lt;&gt;")=0,"",SUMIFS(BD!$D$3:$D$5001,BD!$A$3:$A$5001,V$3,BD!$B$3:$B$5001,$A$100)))</f>
        <v/>
      </c>
      <c r="W101" s="179" t="str">
        <f>IF(W$3="","",IF(COUNTIFS(BD!$A$3:$A$5001,W$3,BD!$B$3:$B$5001,$A$100,BD!$D$3:$D$5001,"&lt;&gt;")=0,"",SUMIFS(BD!$D$3:$D$5001,BD!$A$3:$A$5001,W$3,BD!$B$3:$B$5001,$A$100)))</f>
        <v/>
      </c>
      <c r="X101" s="179" t="str">
        <f>IF(X$3="","",IF(COUNTIFS(BD!$A$3:$A$5001,X$3,BD!$B$3:$B$5001,$A$100,BD!$D$3:$D$5001,"&lt;&gt;")=0,"",SUMIFS(BD!$D$3:$D$5001,BD!$A$3:$A$5001,X$3,BD!$B$3:$B$5001,$A$100)))</f>
        <v/>
      </c>
      <c r="Y101" s="179" t="str">
        <f>IF(Y$3="","",IF(COUNTIFS(BD!$A$3:$A$5001,Y$3,BD!$B$3:$B$5001,$A$100,BD!$D$3:$D$5001,"&lt;&gt;")=0,"",SUMIFS(BD!$D$3:$D$5001,BD!$A$3:$A$5001,Y$3,BD!$B$3:$B$5001,$A$100)))</f>
        <v/>
      </c>
      <c r="Z101" s="179" t="str">
        <f>IF(Z$3="","",IF(COUNTIFS(BD!$A$3:$A$5001,Z$3,BD!$B$3:$B$5001,$A$100,BD!$D$3:$D$5001,"&lt;&gt;")=0,"",SUMIFS(BD!$D$3:$D$5001,BD!$A$3:$A$5001,Z$3,BD!$B$3:$B$5001,$A$100)))</f>
        <v/>
      </c>
      <c r="AA101" s="179" t="str">
        <f>IF(AA$3="","",IF(COUNTIFS(BD!$A$3:$A$5001,AA$3,BD!$B$3:$B$5001,$A$100,BD!$D$3:$D$5001,"&lt;&gt;")=0,"",SUMIFS(BD!$D$3:$D$5001,BD!$A$3:$A$5001,AA$3,BD!$B$3:$B$5001,$A$100)))</f>
        <v/>
      </c>
      <c r="AB101" s="179" t="str">
        <f>IF(AB$3="","",IF(COUNTIFS(BD!$A$3:$A$5001,AB$3,BD!$B$3:$B$5001,$A$100,BD!$D$3:$D$5001,"&lt;&gt;")=0,"",SUMIFS(BD!$D$3:$D$5001,BD!$A$3:$A$5001,AB$3,BD!$B$3:$B$5001,$A$100)))</f>
        <v/>
      </c>
      <c r="AC101" s="179" t="str">
        <f>IF(AC$3="","",IF(COUNTIFS(BD!$A$3:$A$5001,AC$3,BD!$B$3:$B$5001,$A$100,BD!$D$3:$D$5001,"&lt;&gt;")=0,"",SUMIFS(BD!$D$3:$D$5001,BD!$A$3:$A$5001,AC$3,BD!$B$3:$B$5001,$A$100)))</f>
        <v/>
      </c>
      <c r="AD101" s="179" t="str">
        <f>IF(AD$3="","",IF(COUNTIFS(BD!$A$3:$A$5001,AD$3,BD!$B$3:$B$5001,$A$100,BD!$D$3:$D$5001,"&lt;&gt;")=0,"",SUMIFS(BD!$D$3:$D$5001,BD!$A$3:$A$5001,AD$3,BD!$B$3:$B$5001,$A$100)))</f>
        <v/>
      </c>
      <c r="AE101" s="179" t="str">
        <f>IF(AE$3="","",IF(COUNTIFS(BD!$A$3:$A$5001,AE$3,BD!$B$3:$B$5001,$A$100,BD!$D$3:$D$5001,"&lt;&gt;")=0,"",SUMIFS(BD!$D$3:$D$5001,BD!$A$3:$A$5001,AE$3,BD!$B$3:$B$5001,$A$100)))</f>
        <v/>
      </c>
      <c r="AF101" s="179" t="str">
        <f>IF(AF$3="","",IF(COUNTIFS(BD!$A$3:$A$5001,AF$3,BD!$B$3:$B$5001,$A$100,BD!$D$3:$D$5001,"&lt;&gt;")=0,"",SUMIFS(BD!$D$3:$D$5001,BD!$A$3:$A$5001,AF$3,BD!$B$3:$B$5001,$A$100)))</f>
        <v/>
      </c>
      <c r="AG101" s="179" t="str">
        <f>IF(AG$3="","",IF(COUNTIFS(BD!$A$3:$A$5001,AG$3,BD!$B$3:$B$5001,$A$100,BD!$D$3:$D$5001,"&lt;&gt;")=0,"",SUMIFS(BD!$D$3:$D$5001,BD!$A$3:$A$5001,AG$3,BD!$B$3:$B$5001,$A$100)))</f>
        <v/>
      </c>
      <c r="AH101" s="179" t="str">
        <f>IF(AH$3="","",IF(COUNTIFS(BD!$A$3:$A$5001,AH$3,BD!$B$3:$B$5001,$A$100,BD!$D$3:$D$5001,"&lt;&gt;")=0,"",SUMIFS(BD!$D$3:$D$5001,BD!$A$3:$A$5001,AH$3,BD!$B$3:$B$5001,$A$100)))</f>
        <v/>
      </c>
      <c r="AI101" s="179" t="str">
        <f>IF(AI$3="","",IF(COUNTIFS(BD!$A$3:$A$5001,AI$3,BD!$B$3:$B$5001,$A$100,BD!$D$3:$D$5001,"&lt;&gt;")=0,"",SUMIFS(BD!$D$3:$D$5001,BD!$A$3:$A$5001,AI$3,BD!$B$3:$B$5001,$A$100)))</f>
        <v/>
      </c>
      <c r="AJ101" s="180" t="str">
        <f>IF(AJ$3="","",IF(COUNTIFS(BD!$A$3:$A$5001,AJ$3,BD!$B$3:$B$5001,$A$100,BD!$D$3:$D$5001,"&lt;&gt;")=0,"",SUMIFS(BD!$D$3:$D$5001,BD!$A$3:$A$5001,AJ$3,BD!$B$3:$B$5001,$A$100)))</f>
        <v/>
      </c>
      <c r="AK101" s="181" t="str">
        <f>IF(COUNT(F101:AJ101)=0,"",SUM(F101:AJ101))</f>
        <v/>
      </c>
    </row>
    <row r="102" ht="15.75" customHeight="1">
      <c r="A102" s="277"/>
      <c r="B102" s="265"/>
      <c r="C102" s="175" t="inlineStr">
        <is>
          <t xml:space="preserve">Toneladas Movimentadas</t>
        </is>
      </c>
      <c r="D102" s="176" t="str">
        <f>IFERROR(1/(1/INDEX(BD!$AF$25:$AZ$25,MATCH($A$100,BD!$AF$22:$AZ$22,0))),"")</f>
        <v/>
      </c>
      <c r="E102" s="177"/>
      <c r="F102" s="182" t="str">
        <f>IF(F$3="","",IF(COUNTIFS(BD!$A$3:$A$5001,F$3,BD!$B$3:$B$5001,$A$100,BD!$E$3:$E$5001,"&lt;&gt;")=0,"",SUMIFS(BD!$E$3:$E$5001,BD!$A$3:$A$5001,F$3,BD!$B$3:$B$5001,$A$100)))</f>
        <v/>
      </c>
      <c r="G102" s="183" t="str">
        <f>IF(G$3="","",IF(COUNTIFS(BD!$A$3:$A$5001,G$3,BD!$B$3:$B$5001,$A$100,BD!$E$3:$E$5001,"&lt;&gt;")=0,"",SUMIFS(BD!$E$3:$E$5001,BD!$A$3:$A$5001,G$3,BD!$B$3:$B$5001,$A$100)))</f>
        <v/>
      </c>
      <c r="H102" s="183" t="str">
        <f>IF(H$3="","",IF(COUNTIFS(BD!$A$3:$A$5001,H$3,BD!$B$3:$B$5001,$A$100,BD!$E$3:$E$5001,"&lt;&gt;")=0,"",SUMIFS(BD!$E$3:$E$5001,BD!$A$3:$A$5001,H$3,BD!$B$3:$B$5001,$A$100)))</f>
        <v/>
      </c>
      <c r="I102" s="183" t="str">
        <f>IF(I$3="","",IF(COUNTIFS(BD!$A$3:$A$5001,I$3,BD!$B$3:$B$5001,$A$100,BD!$E$3:$E$5001,"&lt;&gt;")=0,"",SUMIFS(BD!$E$3:$E$5001,BD!$A$3:$A$5001,I$3,BD!$B$3:$B$5001,$A$100)))</f>
        <v/>
      </c>
      <c r="J102" s="183" t="str">
        <f>IF(J$3="","",IF(COUNTIFS(BD!$A$3:$A$5001,J$3,BD!$B$3:$B$5001,$A$100,BD!$E$3:$E$5001,"&lt;&gt;")=0,"",SUMIFS(BD!$E$3:$E$5001,BD!$A$3:$A$5001,J$3,BD!$B$3:$B$5001,$A$100)))</f>
        <v/>
      </c>
      <c r="K102" s="183" t="str">
        <f>IF(K$3="","",IF(COUNTIFS(BD!$A$3:$A$5001,K$3,BD!$B$3:$B$5001,$A$100,BD!$E$3:$E$5001,"&lt;&gt;")=0,"",SUMIFS(BD!$E$3:$E$5001,BD!$A$3:$A$5001,K$3,BD!$B$3:$B$5001,$A$100)))</f>
        <v/>
      </c>
      <c r="L102" s="183" t="str">
        <f>IF(L$3="","",IF(COUNTIFS(BD!$A$3:$A$5001,L$3,BD!$B$3:$B$5001,$A$100,BD!$E$3:$E$5001,"&lt;&gt;")=0,"",SUMIFS(BD!$E$3:$E$5001,BD!$A$3:$A$5001,L$3,BD!$B$3:$B$5001,$A$100)))</f>
        <v/>
      </c>
      <c r="M102" s="183" t="str">
        <f>IF(M$3="","",IF(COUNTIFS(BD!$A$3:$A$5001,M$3,BD!$B$3:$B$5001,$A$100,BD!$E$3:$E$5001,"&lt;&gt;")=0,"",SUMIFS(BD!$E$3:$E$5001,BD!$A$3:$A$5001,M$3,BD!$B$3:$B$5001,$A$100)))</f>
        <v/>
      </c>
      <c r="N102" s="183" t="str">
        <f>IF(N$3="","",IF(COUNTIFS(BD!$A$3:$A$5001,N$3,BD!$B$3:$B$5001,$A$100,BD!$E$3:$E$5001,"&lt;&gt;")=0,"",SUMIFS(BD!$E$3:$E$5001,BD!$A$3:$A$5001,N$3,BD!$B$3:$B$5001,$A$100)))</f>
        <v/>
      </c>
      <c r="O102" s="183" t="str">
        <f>IF(O$3="","",IF(COUNTIFS(BD!$A$3:$A$5001,O$3,BD!$B$3:$B$5001,$A$100,BD!$E$3:$E$5001,"&lt;&gt;")=0,"",SUMIFS(BD!$E$3:$E$5001,BD!$A$3:$A$5001,O$3,BD!$B$3:$B$5001,$A$100)))</f>
        <v/>
      </c>
      <c r="P102" s="183" t="str">
        <f>IF(P$3="","",IF(COUNTIFS(BD!$A$3:$A$5001,P$3,BD!$B$3:$B$5001,$A$100,BD!$E$3:$E$5001,"&lt;&gt;")=0,"",SUMIFS(BD!$E$3:$E$5001,BD!$A$3:$A$5001,P$3,BD!$B$3:$B$5001,$A$100)))</f>
        <v/>
      </c>
      <c r="Q102" s="183" t="str">
        <f>IF(Q$3="","",IF(COUNTIFS(BD!$A$3:$A$5001,Q$3,BD!$B$3:$B$5001,$A$100,BD!$E$3:$E$5001,"&lt;&gt;")=0,"",SUMIFS(BD!$E$3:$E$5001,BD!$A$3:$A$5001,Q$3,BD!$B$3:$B$5001,$A$100)))</f>
        <v/>
      </c>
      <c r="R102" s="183" t="str">
        <f>IF(R$3="","",IF(COUNTIFS(BD!$A$3:$A$5001,R$3,BD!$B$3:$B$5001,$A$100,BD!$E$3:$E$5001,"&lt;&gt;")=0,"",SUMIFS(BD!$E$3:$E$5001,BD!$A$3:$A$5001,R$3,BD!$B$3:$B$5001,$A$100)))</f>
        <v/>
      </c>
      <c r="S102" s="183" t="str">
        <f>IF(S$3="","",IF(COUNTIFS(BD!$A$3:$A$5001,S$3,BD!$B$3:$B$5001,$A$100,BD!$E$3:$E$5001,"&lt;&gt;")=0,"",SUMIFS(BD!$E$3:$E$5001,BD!$A$3:$A$5001,S$3,BD!$B$3:$B$5001,$A$100)))</f>
        <v/>
      </c>
      <c r="T102" s="183" t="str">
        <f>IF(T$3="","",IF(COUNTIFS(BD!$A$3:$A$5001,T$3,BD!$B$3:$B$5001,$A$100,BD!$E$3:$E$5001,"&lt;&gt;")=0,"",SUMIFS(BD!$E$3:$E$5001,BD!$A$3:$A$5001,T$3,BD!$B$3:$B$5001,$A$100)))</f>
        <v/>
      </c>
      <c r="U102" s="183" t="str">
        <f>IF(U$3="","",IF(COUNTIFS(BD!$A$3:$A$5001,U$3,BD!$B$3:$B$5001,$A$100,BD!$E$3:$E$5001,"&lt;&gt;")=0,"",SUMIFS(BD!$E$3:$E$5001,BD!$A$3:$A$5001,U$3,BD!$B$3:$B$5001,$A$100)))</f>
        <v/>
      </c>
      <c r="V102" s="183" t="str">
        <f>IF(V$3="","",IF(COUNTIFS(BD!$A$3:$A$5001,V$3,BD!$B$3:$B$5001,$A$100,BD!$E$3:$E$5001,"&lt;&gt;")=0,"",SUMIFS(BD!$E$3:$E$5001,BD!$A$3:$A$5001,V$3,BD!$B$3:$B$5001,$A$100)))</f>
        <v/>
      </c>
      <c r="W102" s="183" t="str">
        <f>IF(W$3="","",IF(COUNTIFS(BD!$A$3:$A$5001,W$3,BD!$B$3:$B$5001,$A$100,BD!$E$3:$E$5001,"&lt;&gt;")=0,"",SUMIFS(BD!$E$3:$E$5001,BD!$A$3:$A$5001,W$3,BD!$B$3:$B$5001,$A$100)))</f>
        <v/>
      </c>
      <c r="X102" s="183" t="str">
        <f>IF(X$3="","",IF(COUNTIFS(BD!$A$3:$A$5001,X$3,BD!$B$3:$B$5001,$A$100,BD!$E$3:$E$5001,"&lt;&gt;")=0,"",SUMIFS(BD!$E$3:$E$5001,BD!$A$3:$A$5001,X$3,BD!$B$3:$B$5001,$A$100)))</f>
        <v/>
      </c>
      <c r="Y102" s="183" t="str">
        <f>IF(Y$3="","",IF(COUNTIFS(BD!$A$3:$A$5001,Y$3,BD!$B$3:$B$5001,$A$100,BD!$E$3:$E$5001,"&lt;&gt;")=0,"",SUMIFS(BD!$E$3:$E$5001,BD!$A$3:$A$5001,Y$3,BD!$B$3:$B$5001,$A$100)))</f>
        <v/>
      </c>
      <c r="Z102" s="183" t="str">
        <f>IF(Z$3="","",IF(COUNTIFS(BD!$A$3:$A$5001,Z$3,BD!$B$3:$B$5001,$A$100,BD!$E$3:$E$5001,"&lt;&gt;")=0,"",SUMIFS(BD!$E$3:$E$5001,BD!$A$3:$A$5001,Z$3,BD!$B$3:$B$5001,$A$100)))</f>
        <v/>
      </c>
      <c r="AA102" s="183" t="str">
        <f>IF(AA$3="","",IF(COUNTIFS(BD!$A$3:$A$5001,AA$3,BD!$B$3:$B$5001,$A$100,BD!$E$3:$E$5001,"&lt;&gt;")=0,"",SUMIFS(BD!$E$3:$E$5001,BD!$A$3:$A$5001,AA$3,BD!$B$3:$B$5001,$A$100)))</f>
        <v/>
      </c>
      <c r="AB102" s="183" t="str">
        <f>IF(AB$3="","",IF(COUNTIFS(BD!$A$3:$A$5001,AB$3,BD!$B$3:$B$5001,$A$100,BD!$E$3:$E$5001,"&lt;&gt;")=0,"",SUMIFS(BD!$E$3:$E$5001,BD!$A$3:$A$5001,AB$3,BD!$B$3:$B$5001,$A$100)))</f>
        <v/>
      </c>
      <c r="AC102" s="183" t="str">
        <f>IF(AC$3="","",IF(COUNTIFS(BD!$A$3:$A$5001,AC$3,BD!$B$3:$B$5001,$A$100,BD!$E$3:$E$5001,"&lt;&gt;")=0,"",SUMIFS(BD!$E$3:$E$5001,BD!$A$3:$A$5001,AC$3,BD!$B$3:$B$5001,$A$100)))</f>
        <v/>
      </c>
      <c r="AD102" s="183" t="str">
        <f>IF(AD$3="","",IF(COUNTIFS(BD!$A$3:$A$5001,AD$3,BD!$B$3:$B$5001,$A$100,BD!$E$3:$E$5001,"&lt;&gt;")=0,"",SUMIFS(BD!$E$3:$E$5001,BD!$A$3:$A$5001,AD$3,BD!$B$3:$B$5001,$A$100)))</f>
        <v/>
      </c>
      <c r="AE102" s="183" t="str">
        <f>IF(AE$3="","",IF(COUNTIFS(BD!$A$3:$A$5001,AE$3,BD!$B$3:$B$5001,$A$100,BD!$E$3:$E$5001,"&lt;&gt;")=0,"",SUMIFS(BD!$E$3:$E$5001,BD!$A$3:$A$5001,AE$3,BD!$B$3:$B$5001,$A$100)))</f>
        <v/>
      </c>
      <c r="AF102" s="183" t="str">
        <f>IF(AF$3="","",IF(COUNTIFS(BD!$A$3:$A$5001,AF$3,BD!$B$3:$B$5001,$A$100,BD!$E$3:$E$5001,"&lt;&gt;")=0,"",SUMIFS(BD!$E$3:$E$5001,BD!$A$3:$A$5001,AF$3,BD!$B$3:$B$5001,$A$100)))</f>
        <v/>
      </c>
      <c r="AG102" s="183" t="str">
        <f>IF(AG$3="","",IF(COUNTIFS(BD!$A$3:$A$5001,AG$3,BD!$B$3:$B$5001,$A$100,BD!$E$3:$E$5001,"&lt;&gt;")=0,"",SUMIFS(BD!$E$3:$E$5001,BD!$A$3:$A$5001,AG$3,BD!$B$3:$B$5001,$A$100)))</f>
        <v/>
      </c>
      <c r="AH102" s="183" t="str">
        <f>IF(AH$3="","",IF(COUNTIFS(BD!$A$3:$A$5001,AH$3,BD!$B$3:$B$5001,$A$100,BD!$E$3:$E$5001,"&lt;&gt;")=0,"",SUMIFS(BD!$E$3:$E$5001,BD!$A$3:$A$5001,AH$3,BD!$B$3:$B$5001,$A$100)))</f>
        <v/>
      </c>
      <c r="AI102" s="183" t="str">
        <f>IF(AI$3="","",IF(COUNTIFS(BD!$A$3:$A$5001,AI$3,BD!$B$3:$B$5001,$A$100,BD!$E$3:$E$5001,"&lt;&gt;")=0,"",SUMIFS(BD!$E$3:$E$5001,BD!$A$3:$A$5001,AI$3,BD!$B$3:$B$5001,$A$100)))</f>
        <v/>
      </c>
      <c r="AJ102" s="184" t="str">
        <f>IF(AJ$3="","",IF(COUNTIFS(BD!$A$3:$A$5001,AJ$3,BD!$B$3:$B$5001,$A$100,BD!$E$3:$E$5001,"&lt;&gt;")=0,"",SUMIFS(BD!$E$3:$E$5001,BD!$A$3:$A$5001,AJ$3,BD!$B$3:$B$5001,$A$100)))</f>
        <v/>
      </c>
      <c r="AK102" s="185" t="str">
        <f>IF(COUNT(F102:AJ102)=0,"",SUM(F102:AJ102))</f>
        <v/>
      </c>
    </row>
    <row r="103" ht="15.75" customHeight="1">
      <c r="A103" s="277"/>
      <c r="B103" s="266"/>
      <c r="C103" s="186" t="inlineStr">
        <is>
          <t xml:space="preserve">Caixas Recebidas</t>
        </is>
      </c>
      <c r="D103" s="187" t="str">
        <f>IFERROR(1/(1/INDEX(BD!$AF$26:$AZ$26,MATCH($A$100,BD!$AF$22:$AZ$22,0))),"")</f>
        <v/>
      </c>
      <c r="E103" s="188"/>
      <c r="F103" s="189" t="str">
        <f>IF(F$3="","",IF(COUNTIFS(BD!$A$3:$A$5001,F$3,BD!$B$3:$B$5001,$A$100,BD!$F$3:$F$5001,"&lt;&gt;")=0,"",SUMIFS(BD!$F$3:$F$5001,BD!$A$3:$A$5001,F$3,BD!$B$3:$B$5001,$A$100)))</f>
        <v/>
      </c>
      <c r="G103" s="190" t="str">
        <f>IF(G$3="","",IF(COUNTIFS(BD!$A$3:$A$5001,G$3,BD!$B$3:$B$5001,$A$100,BD!$F$3:$F$5001,"&lt;&gt;")=0,"",SUMIFS(BD!$F$3:$F$5001,BD!$A$3:$A$5001,G$3,BD!$B$3:$B$5001,$A$100)))</f>
        <v/>
      </c>
      <c r="H103" s="190" t="str">
        <f>IF(H$3="","",IF(COUNTIFS(BD!$A$3:$A$5001,H$3,BD!$B$3:$B$5001,$A$100,BD!$F$3:$F$5001,"&lt;&gt;")=0,"",SUMIFS(BD!$F$3:$F$5001,BD!$A$3:$A$5001,H$3,BD!$B$3:$B$5001,$A$100)))</f>
        <v/>
      </c>
      <c r="I103" s="190" t="str">
        <f>IF(I$3="","",IF(COUNTIFS(BD!$A$3:$A$5001,I$3,BD!$B$3:$B$5001,$A$100,BD!$F$3:$F$5001,"&lt;&gt;")=0,"",SUMIFS(BD!$F$3:$F$5001,BD!$A$3:$A$5001,I$3,BD!$B$3:$B$5001,$A$100)))</f>
        <v/>
      </c>
      <c r="J103" s="190" t="str">
        <f>IF(J$3="","",IF(COUNTIFS(BD!$A$3:$A$5001,J$3,BD!$B$3:$B$5001,$A$100,BD!$F$3:$F$5001,"&lt;&gt;")=0,"",SUMIFS(BD!$F$3:$F$5001,BD!$A$3:$A$5001,J$3,BD!$B$3:$B$5001,$A$100)))</f>
        <v/>
      </c>
      <c r="K103" s="190" t="str">
        <f>IF(K$3="","",IF(COUNTIFS(BD!$A$3:$A$5001,K$3,BD!$B$3:$B$5001,$A$100,BD!$F$3:$F$5001,"&lt;&gt;")=0,"",SUMIFS(BD!$F$3:$F$5001,BD!$A$3:$A$5001,K$3,BD!$B$3:$B$5001,$A$100)))</f>
        <v/>
      </c>
      <c r="L103" s="190" t="str">
        <f>IF(L$3="","",IF(COUNTIFS(BD!$A$3:$A$5001,L$3,BD!$B$3:$B$5001,$A$100,BD!$F$3:$F$5001,"&lt;&gt;")=0,"",SUMIFS(BD!$F$3:$F$5001,BD!$A$3:$A$5001,L$3,BD!$B$3:$B$5001,$A$100)))</f>
        <v/>
      </c>
      <c r="M103" s="190" t="str">
        <f>IF(M$3="","",IF(COUNTIFS(BD!$A$3:$A$5001,M$3,BD!$B$3:$B$5001,$A$100,BD!$F$3:$F$5001,"&lt;&gt;")=0,"",SUMIFS(BD!$F$3:$F$5001,BD!$A$3:$A$5001,M$3,BD!$B$3:$B$5001,$A$100)))</f>
        <v/>
      </c>
      <c r="N103" s="190" t="str">
        <f>IF(N$3="","",IF(COUNTIFS(BD!$A$3:$A$5001,N$3,BD!$B$3:$B$5001,$A$100,BD!$F$3:$F$5001,"&lt;&gt;")=0,"",SUMIFS(BD!$F$3:$F$5001,BD!$A$3:$A$5001,N$3,BD!$B$3:$B$5001,$A$100)))</f>
        <v/>
      </c>
      <c r="O103" s="190" t="str">
        <f>IF(O$3="","",IF(COUNTIFS(BD!$A$3:$A$5001,O$3,BD!$B$3:$B$5001,$A$100,BD!$F$3:$F$5001,"&lt;&gt;")=0,"",SUMIFS(BD!$F$3:$F$5001,BD!$A$3:$A$5001,O$3,BD!$B$3:$B$5001,$A$100)))</f>
        <v/>
      </c>
      <c r="P103" s="190" t="str">
        <f>IF(P$3="","",IF(COUNTIFS(BD!$A$3:$A$5001,P$3,BD!$B$3:$B$5001,$A$100,BD!$F$3:$F$5001,"&lt;&gt;")=0,"",SUMIFS(BD!$F$3:$F$5001,BD!$A$3:$A$5001,P$3,BD!$B$3:$B$5001,$A$100)))</f>
        <v/>
      </c>
      <c r="Q103" s="190" t="str">
        <f>IF(Q$3="","",IF(COUNTIFS(BD!$A$3:$A$5001,Q$3,BD!$B$3:$B$5001,$A$100,BD!$F$3:$F$5001,"&lt;&gt;")=0,"",SUMIFS(BD!$F$3:$F$5001,BD!$A$3:$A$5001,Q$3,BD!$B$3:$B$5001,$A$100)))</f>
        <v/>
      </c>
      <c r="R103" s="190" t="str">
        <f>IF(R$3="","",IF(COUNTIFS(BD!$A$3:$A$5001,R$3,BD!$B$3:$B$5001,$A$100,BD!$F$3:$F$5001,"&lt;&gt;")=0,"",SUMIFS(BD!$F$3:$F$5001,BD!$A$3:$A$5001,R$3,BD!$B$3:$B$5001,$A$100)))</f>
        <v/>
      </c>
      <c r="S103" s="190" t="str">
        <f>IF(S$3="","",IF(COUNTIFS(BD!$A$3:$A$5001,S$3,BD!$B$3:$B$5001,$A$100,BD!$F$3:$F$5001,"&lt;&gt;")=0,"",SUMIFS(BD!$F$3:$F$5001,BD!$A$3:$A$5001,S$3,BD!$B$3:$B$5001,$A$100)))</f>
        <v/>
      </c>
      <c r="T103" s="190" t="str">
        <f>IF(T$3="","",IF(COUNTIFS(BD!$A$3:$A$5001,T$3,BD!$B$3:$B$5001,$A$100,BD!$F$3:$F$5001,"&lt;&gt;")=0,"",SUMIFS(BD!$F$3:$F$5001,BD!$A$3:$A$5001,T$3,BD!$B$3:$B$5001,$A$100)))</f>
        <v/>
      </c>
      <c r="U103" s="190" t="str">
        <f>IF(U$3="","",IF(COUNTIFS(BD!$A$3:$A$5001,U$3,BD!$B$3:$B$5001,$A$100,BD!$F$3:$F$5001,"&lt;&gt;")=0,"",SUMIFS(BD!$F$3:$F$5001,BD!$A$3:$A$5001,U$3,BD!$B$3:$B$5001,$A$100)))</f>
        <v/>
      </c>
      <c r="V103" s="190" t="str">
        <f>IF(V$3="","",IF(COUNTIFS(BD!$A$3:$A$5001,V$3,BD!$B$3:$B$5001,$A$100,BD!$F$3:$F$5001,"&lt;&gt;")=0,"",SUMIFS(BD!$F$3:$F$5001,BD!$A$3:$A$5001,V$3,BD!$B$3:$B$5001,$A$100)))</f>
        <v/>
      </c>
      <c r="W103" s="190" t="str">
        <f>IF(W$3="","",IF(COUNTIFS(BD!$A$3:$A$5001,W$3,BD!$B$3:$B$5001,$A$100,BD!$F$3:$F$5001,"&lt;&gt;")=0,"",SUMIFS(BD!$F$3:$F$5001,BD!$A$3:$A$5001,W$3,BD!$B$3:$B$5001,$A$100)))</f>
        <v/>
      </c>
      <c r="X103" s="190" t="str">
        <f>IF(X$3="","",IF(COUNTIFS(BD!$A$3:$A$5001,X$3,BD!$B$3:$B$5001,$A$100,BD!$F$3:$F$5001,"&lt;&gt;")=0,"",SUMIFS(BD!$F$3:$F$5001,BD!$A$3:$A$5001,X$3,BD!$B$3:$B$5001,$A$100)))</f>
        <v/>
      </c>
      <c r="Y103" s="190" t="str">
        <f>IF(Y$3="","",IF(COUNTIFS(BD!$A$3:$A$5001,Y$3,BD!$B$3:$B$5001,$A$100,BD!$F$3:$F$5001,"&lt;&gt;")=0,"",SUMIFS(BD!$F$3:$F$5001,BD!$A$3:$A$5001,Y$3,BD!$B$3:$B$5001,$A$100)))</f>
        <v/>
      </c>
      <c r="Z103" s="190" t="str">
        <f>IF(Z$3="","",IF(COUNTIFS(BD!$A$3:$A$5001,Z$3,BD!$B$3:$B$5001,$A$100,BD!$F$3:$F$5001,"&lt;&gt;")=0,"",SUMIFS(BD!$F$3:$F$5001,BD!$A$3:$A$5001,Z$3,BD!$B$3:$B$5001,$A$100)))</f>
        <v/>
      </c>
      <c r="AA103" s="190" t="str">
        <f>IF(AA$3="","",IF(COUNTIFS(BD!$A$3:$A$5001,AA$3,BD!$B$3:$B$5001,$A$100,BD!$F$3:$F$5001,"&lt;&gt;")=0,"",SUMIFS(BD!$F$3:$F$5001,BD!$A$3:$A$5001,AA$3,BD!$B$3:$B$5001,$A$100)))</f>
        <v/>
      </c>
      <c r="AB103" s="190" t="str">
        <f>IF(AB$3="","",IF(COUNTIFS(BD!$A$3:$A$5001,AB$3,BD!$B$3:$B$5001,$A$100,BD!$F$3:$F$5001,"&lt;&gt;")=0,"",SUMIFS(BD!$F$3:$F$5001,BD!$A$3:$A$5001,AB$3,BD!$B$3:$B$5001,$A$100)))</f>
        <v/>
      </c>
      <c r="AC103" s="190" t="str">
        <f>IF(AC$3="","",IF(COUNTIFS(BD!$A$3:$A$5001,AC$3,BD!$B$3:$B$5001,$A$100,BD!$F$3:$F$5001,"&lt;&gt;")=0,"",SUMIFS(BD!$F$3:$F$5001,BD!$A$3:$A$5001,AC$3,BD!$B$3:$B$5001,$A$100)))</f>
        <v/>
      </c>
      <c r="AD103" s="190" t="str">
        <f>IF(AD$3="","",IF(COUNTIFS(BD!$A$3:$A$5001,AD$3,BD!$B$3:$B$5001,$A$100,BD!$F$3:$F$5001,"&lt;&gt;")=0,"",SUMIFS(BD!$F$3:$F$5001,BD!$A$3:$A$5001,AD$3,BD!$B$3:$B$5001,$A$100)))</f>
        <v/>
      </c>
      <c r="AE103" s="190" t="str">
        <f>IF(AE$3="","",IF(COUNTIFS(BD!$A$3:$A$5001,AE$3,BD!$B$3:$B$5001,$A$100,BD!$F$3:$F$5001,"&lt;&gt;")=0,"",SUMIFS(BD!$F$3:$F$5001,BD!$A$3:$A$5001,AE$3,BD!$B$3:$B$5001,$A$100)))</f>
        <v/>
      </c>
      <c r="AF103" s="190" t="str">
        <f>IF(AF$3="","",IF(COUNTIFS(BD!$A$3:$A$5001,AF$3,BD!$B$3:$B$5001,$A$100,BD!$F$3:$F$5001,"&lt;&gt;")=0,"",SUMIFS(BD!$F$3:$F$5001,BD!$A$3:$A$5001,AF$3,BD!$B$3:$B$5001,$A$100)))</f>
        <v/>
      </c>
      <c r="AG103" s="190" t="str">
        <f>IF(AG$3="","",IF(COUNTIFS(BD!$A$3:$A$5001,AG$3,BD!$B$3:$B$5001,$A$100,BD!$F$3:$F$5001,"&lt;&gt;")=0,"",SUMIFS(BD!$F$3:$F$5001,BD!$A$3:$A$5001,AG$3,BD!$B$3:$B$5001,$A$100)))</f>
        <v/>
      </c>
      <c r="AH103" s="190" t="str">
        <f>IF(AH$3="","",IF(COUNTIFS(BD!$A$3:$A$5001,AH$3,BD!$B$3:$B$5001,$A$100,BD!$F$3:$F$5001,"&lt;&gt;")=0,"",SUMIFS(BD!$F$3:$F$5001,BD!$A$3:$A$5001,AH$3,BD!$B$3:$B$5001,$A$100)))</f>
        <v/>
      </c>
      <c r="AI103" s="190" t="str">
        <f>IF(AI$3="","",IF(COUNTIFS(BD!$A$3:$A$5001,AI$3,BD!$B$3:$B$5001,$A$100,BD!$F$3:$F$5001,"&lt;&gt;")=0,"",SUMIFS(BD!$F$3:$F$5001,BD!$A$3:$A$5001,AI$3,BD!$B$3:$B$5001,$A$100)))</f>
        <v/>
      </c>
      <c r="AJ103" s="191" t="str">
        <f>IF(AJ$3="","",IF(COUNTIFS(BD!$A$3:$A$5001,AJ$3,BD!$B$3:$B$5001,$A$100,BD!$F$3:$F$5001,"&lt;&gt;")=0,"",SUMIFS(BD!$F$3:$F$5001,BD!$A$3:$A$5001,AJ$3,BD!$B$3:$B$5001,$A$100)))</f>
        <v/>
      </c>
      <c r="AK103" s="187" t="str">
        <f>IF(COUNT(F103:AJ103)=0,"",SUM(F103:AJ103))</f>
        <v/>
      </c>
    </row>
    <row r="104" ht="15.75" customHeight="1">
      <c r="A104" s="277"/>
      <c r="B104" s="267" t="inlineStr">
        <is>
          <t xml:space="preserve">OUT</t>
        </is>
      </c>
      <c r="C104" s="192" t="inlineStr">
        <is>
          <t xml:space="preserve">Veículos Expedidos</t>
        </is>
      </c>
      <c r="D104" s="193" t="str">
        <f>IFERROR(1/(1/INDEX(BD!$AF$28:$AZ$28,MATCH($A$100,BD!$AF$22:$AZ$22,0))),"")</f>
        <v/>
      </c>
      <c r="E104" s="194"/>
      <c r="F104" s="195" t="str">
        <f>IF(F$3="","",IF(COUNTIFS(BD!$A$3:$A$5001,F$3,BD!$B$3:$B$5001,$A$100,BD!$H$3:$H$5001,"&lt;&gt;")=0,"",SUMIFS(BD!$H$3:$H$5001,BD!$A$3:$A$5001,F$3,BD!$B$3:$B$5001,$A$100)))</f>
        <v/>
      </c>
      <c r="G104" s="196" t="str">
        <f>IF(G$3="","",IF(COUNTIFS(BD!$A$3:$A$5001,G$3,BD!$B$3:$B$5001,$A$100,BD!$H$3:$H$5001,"&lt;&gt;")=0,"",SUMIFS(BD!$H$3:$H$5001,BD!$A$3:$A$5001,G$3,BD!$B$3:$B$5001,$A$100)))</f>
        <v/>
      </c>
      <c r="H104" s="196" t="str">
        <f>IF(H$3="","",IF(COUNTIFS(BD!$A$3:$A$5001,H$3,BD!$B$3:$B$5001,$A$100,BD!$H$3:$H$5001,"&lt;&gt;")=0,"",SUMIFS(BD!$H$3:$H$5001,BD!$A$3:$A$5001,H$3,BD!$B$3:$B$5001,$A$100)))</f>
        <v/>
      </c>
      <c r="I104" s="196" t="str">
        <f>IF(I$3="","",IF(COUNTIFS(BD!$A$3:$A$5001,I$3,BD!$B$3:$B$5001,$A$100,BD!$H$3:$H$5001,"&lt;&gt;")=0,"",SUMIFS(BD!$H$3:$H$5001,BD!$A$3:$A$5001,I$3,BD!$B$3:$B$5001,$A$100)))</f>
        <v/>
      </c>
      <c r="J104" s="196" t="str">
        <f>IF(J$3="","",IF(COUNTIFS(BD!$A$3:$A$5001,J$3,BD!$B$3:$B$5001,$A$100,BD!$H$3:$H$5001,"&lt;&gt;")=0,"",SUMIFS(BD!$H$3:$H$5001,BD!$A$3:$A$5001,J$3,BD!$B$3:$B$5001,$A$100)))</f>
        <v/>
      </c>
      <c r="K104" s="196" t="str">
        <f>IF(K$3="","",IF(COUNTIFS(BD!$A$3:$A$5001,K$3,BD!$B$3:$B$5001,$A$100,BD!$H$3:$H$5001,"&lt;&gt;")=0,"",SUMIFS(BD!$H$3:$H$5001,BD!$A$3:$A$5001,K$3,BD!$B$3:$B$5001,$A$100)))</f>
        <v/>
      </c>
      <c r="L104" s="196" t="str">
        <f>IF(L$3="","",IF(COUNTIFS(BD!$A$3:$A$5001,L$3,BD!$B$3:$B$5001,$A$100,BD!$H$3:$H$5001,"&lt;&gt;")=0,"",SUMIFS(BD!$H$3:$H$5001,BD!$A$3:$A$5001,L$3,BD!$B$3:$B$5001,$A$100)))</f>
        <v/>
      </c>
      <c r="M104" s="196" t="str">
        <f>IF(M$3="","",IF(COUNTIFS(BD!$A$3:$A$5001,M$3,BD!$B$3:$B$5001,$A$100,BD!$H$3:$H$5001,"&lt;&gt;")=0,"",SUMIFS(BD!$H$3:$H$5001,BD!$A$3:$A$5001,M$3,BD!$B$3:$B$5001,$A$100)))</f>
        <v/>
      </c>
      <c r="N104" s="196" t="str">
        <f>IF(N$3="","",IF(COUNTIFS(BD!$A$3:$A$5001,N$3,BD!$B$3:$B$5001,$A$100,BD!$H$3:$H$5001,"&lt;&gt;")=0,"",SUMIFS(BD!$H$3:$H$5001,BD!$A$3:$A$5001,N$3,BD!$B$3:$B$5001,$A$100)))</f>
        <v/>
      </c>
      <c r="O104" s="196" t="str">
        <f>IF(O$3="","",IF(COUNTIFS(BD!$A$3:$A$5001,O$3,BD!$B$3:$B$5001,$A$100,BD!$H$3:$H$5001,"&lt;&gt;")=0,"",SUMIFS(BD!$H$3:$H$5001,BD!$A$3:$A$5001,O$3,BD!$B$3:$B$5001,$A$100)))</f>
        <v/>
      </c>
      <c r="P104" s="196" t="str">
        <f>IF(P$3="","",IF(COUNTIFS(BD!$A$3:$A$5001,P$3,BD!$B$3:$B$5001,$A$100,BD!$H$3:$H$5001,"&lt;&gt;")=0,"",SUMIFS(BD!$H$3:$H$5001,BD!$A$3:$A$5001,P$3,BD!$B$3:$B$5001,$A$100)))</f>
        <v/>
      </c>
      <c r="Q104" s="196" t="str">
        <f>IF(Q$3="","",IF(COUNTIFS(BD!$A$3:$A$5001,Q$3,BD!$B$3:$B$5001,$A$100,BD!$H$3:$H$5001,"&lt;&gt;")=0,"",SUMIFS(BD!$H$3:$H$5001,BD!$A$3:$A$5001,Q$3,BD!$B$3:$B$5001,$A$100)))</f>
        <v/>
      </c>
      <c r="R104" s="196" t="str">
        <f>IF(R$3="","",IF(COUNTIFS(BD!$A$3:$A$5001,R$3,BD!$B$3:$B$5001,$A$100,BD!$H$3:$H$5001,"&lt;&gt;")=0,"",SUMIFS(BD!$H$3:$H$5001,BD!$A$3:$A$5001,R$3,BD!$B$3:$B$5001,$A$100)))</f>
        <v/>
      </c>
      <c r="S104" s="196" t="str">
        <f>IF(S$3="","",IF(COUNTIFS(BD!$A$3:$A$5001,S$3,BD!$B$3:$B$5001,$A$100,BD!$H$3:$H$5001,"&lt;&gt;")=0,"",SUMIFS(BD!$H$3:$H$5001,BD!$A$3:$A$5001,S$3,BD!$B$3:$B$5001,$A$100)))</f>
        <v/>
      </c>
      <c r="T104" s="196" t="str">
        <f>IF(T$3="","",IF(COUNTIFS(BD!$A$3:$A$5001,T$3,BD!$B$3:$B$5001,$A$100,BD!$H$3:$H$5001,"&lt;&gt;")=0,"",SUMIFS(BD!$H$3:$H$5001,BD!$A$3:$A$5001,T$3,BD!$B$3:$B$5001,$A$100)))</f>
        <v/>
      </c>
      <c r="U104" s="196" t="str">
        <f>IF(U$3="","",IF(COUNTIFS(BD!$A$3:$A$5001,U$3,BD!$B$3:$B$5001,$A$100,BD!$H$3:$H$5001,"&lt;&gt;")=0,"",SUMIFS(BD!$H$3:$H$5001,BD!$A$3:$A$5001,U$3,BD!$B$3:$B$5001,$A$100)))</f>
        <v/>
      </c>
      <c r="V104" s="196" t="str">
        <f>IF(V$3="","",IF(COUNTIFS(BD!$A$3:$A$5001,V$3,BD!$B$3:$B$5001,$A$100,BD!$H$3:$H$5001,"&lt;&gt;")=0,"",SUMIFS(BD!$H$3:$H$5001,BD!$A$3:$A$5001,V$3,BD!$B$3:$B$5001,$A$100)))</f>
        <v/>
      </c>
      <c r="W104" s="196" t="str">
        <f>IF(W$3="","",IF(COUNTIFS(BD!$A$3:$A$5001,W$3,BD!$B$3:$B$5001,$A$100,BD!$H$3:$H$5001,"&lt;&gt;")=0,"",SUMIFS(BD!$H$3:$H$5001,BD!$A$3:$A$5001,W$3,BD!$B$3:$B$5001,$A$100)))</f>
        <v/>
      </c>
      <c r="X104" s="196" t="str">
        <f>IF(X$3="","",IF(COUNTIFS(BD!$A$3:$A$5001,X$3,BD!$B$3:$B$5001,$A$100,BD!$H$3:$H$5001,"&lt;&gt;")=0,"",SUMIFS(BD!$H$3:$H$5001,BD!$A$3:$A$5001,X$3,BD!$B$3:$B$5001,$A$100)))</f>
        <v/>
      </c>
      <c r="Y104" s="196" t="str">
        <f>IF(Y$3="","",IF(COUNTIFS(BD!$A$3:$A$5001,Y$3,BD!$B$3:$B$5001,$A$100,BD!$H$3:$H$5001,"&lt;&gt;")=0,"",SUMIFS(BD!$H$3:$H$5001,BD!$A$3:$A$5001,Y$3,BD!$B$3:$B$5001,$A$100)))</f>
        <v/>
      </c>
      <c r="Z104" s="196" t="str">
        <f>IF(Z$3="","",IF(COUNTIFS(BD!$A$3:$A$5001,Z$3,BD!$B$3:$B$5001,$A$100,BD!$H$3:$H$5001,"&lt;&gt;")=0,"",SUMIFS(BD!$H$3:$H$5001,BD!$A$3:$A$5001,Z$3,BD!$B$3:$B$5001,$A$100)))</f>
        <v/>
      </c>
      <c r="AA104" s="196" t="str">
        <f>IF(AA$3="","",IF(COUNTIFS(BD!$A$3:$A$5001,AA$3,BD!$B$3:$B$5001,$A$100,BD!$H$3:$H$5001,"&lt;&gt;")=0,"",SUMIFS(BD!$H$3:$H$5001,BD!$A$3:$A$5001,AA$3,BD!$B$3:$B$5001,$A$100)))</f>
        <v/>
      </c>
      <c r="AB104" s="196" t="str">
        <f>IF(AB$3="","",IF(COUNTIFS(BD!$A$3:$A$5001,AB$3,BD!$B$3:$B$5001,$A$100,BD!$H$3:$H$5001,"&lt;&gt;")=0,"",SUMIFS(BD!$H$3:$H$5001,BD!$A$3:$A$5001,AB$3,BD!$B$3:$B$5001,$A$100)))</f>
        <v/>
      </c>
      <c r="AC104" s="196" t="str">
        <f>IF(AC$3="","",IF(COUNTIFS(BD!$A$3:$A$5001,AC$3,BD!$B$3:$B$5001,$A$100,BD!$H$3:$H$5001,"&lt;&gt;")=0,"",SUMIFS(BD!$H$3:$H$5001,BD!$A$3:$A$5001,AC$3,BD!$B$3:$B$5001,$A$100)))</f>
        <v/>
      </c>
      <c r="AD104" s="196" t="str">
        <f>IF(AD$3="","",IF(COUNTIFS(BD!$A$3:$A$5001,AD$3,BD!$B$3:$B$5001,$A$100,BD!$H$3:$H$5001,"&lt;&gt;")=0,"",SUMIFS(BD!$H$3:$H$5001,BD!$A$3:$A$5001,AD$3,BD!$B$3:$B$5001,$A$100)))</f>
        <v/>
      </c>
      <c r="AE104" s="196" t="str">
        <f>IF(AE$3="","",IF(COUNTIFS(BD!$A$3:$A$5001,AE$3,BD!$B$3:$B$5001,$A$100,BD!$H$3:$H$5001,"&lt;&gt;")=0,"",SUMIFS(BD!$H$3:$H$5001,BD!$A$3:$A$5001,AE$3,BD!$B$3:$B$5001,$A$100)))</f>
        <v/>
      </c>
      <c r="AF104" s="196" t="str">
        <f>IF(AF$3="","",IF(COUNTIFS(BD!$A$3:$A$5001,AF$3,BD!$B$3:$B$5001,$A$100,BD!$H$3:$H$5001,"&lt;&gt;")=0,"",SUMIFS(BD!$H$3:$H$5001,BD!$A$3:$A$5001,AF$3,BD!$B$3:$B$5001,$A$100)))</f>
        <v/>
      </c>
      <c r="AG104" s="196" t="str">
        <f>IF(AG$3="","",IF(COUNTIFS(BD!$A$3:$A$5001,AG$3,BD!$B$3:$B$5001,$A$100,BD!$H$3:$H$5001,"&lt;&gt;")=0,"",SUMIFS(BD!$H$3:$H$5001,BD!$A$3:$A$5001,AG$3,BD!$B$3:$B$5001,$A$100)))</f>
        <v/>
      </c>
      <c r="AH104" s="196" t="str">
        <f>IF(AH$3="","",IF(COUNTIFS(BD!$A$3:$A$5001,AH$3,BD!$B$3:$B$5001,$A$100,BD!$H$3:$H$5001,"&lt;&gt;")=0,"",SUMIFS(BD!$H$3:$H$5001,BD!$A$3:$A$5001,AH$3,BD!$B$3:$B$5001,$A$100)))</f>
        <v/>
      </c>
      <c r="AI104" s="196" t="str">
        <f>IF(AI$3="","",IF(COUNTIFS(BD!$A$3:$A$5001,AI$3,BD!$B$3:$B$5001,$A$100,BD!$H$3:$H$5001,"&lt;&gt;")=0,"",SUMIFS(BD!$H$3:$H$5001,BD!$A$3:$A$5001,AI$3,BD!$B$3:$B$5001,$A$100)))</f>
        <v/>
      </c>
      <c r="AJ104" s="197" t="str">
        <f>IF(AJ$3="","",IF(COUNTIFS(BD!$A$3:$A$5001,AJ$3,BD!$B$3:$B$5001,$A$100,BD!$H$3:$H$5001,"&lt;&gt;")=0,"",SUMIFS(BD!$H$3:$H$5001,BD!$A$3:$A$5001,AJ$3,BD!$B$3:$B$5001,$A$100)))</f>
        <v/>
      </c>
      <c r="AK104" s="198" t="str">
        <f>IF(COUNT(F104:AJ104)=0,"",SUM(F104:AJ104))</f>
        <v/>
      </c>
    </row>
    <row r="105" ht="15.75" customHeight="1">
      <c r="A105" s="277"/>
      <c r="B105" s="268"/>
      <c r="C105" s="199" t="inlineStr">
        <is>
          <t xml:space="preserve">Pallets Movimentados</t>
        </is>
      </c>
      <c r="D105" s="200" t="str">
        <f>IFERROR(1/(1/INDEX(BD!$AF$29:$AZ$29,MATCH($A$100,BD!$AF$22:$AZ$22,0))),"")</f>
        <v/>
      </c>
      <c r="E105" s="201"/>
      <c r="F105" s="202" t="str">
        <f>IF(F$3="","",IF(COUNTIFS(BD!$A$3:$A$5001,F$3,BD!$B$3:$B$5001,$A$100,BD!$I$3:$I$5001,"&lt;&gt;")=0,"",SUMIFS(BD!$I$3:$I$5001,BD!$A$3:$A$5001,F$3,BD!$B$3:$B$5001,$A$100)))</f>
        <v/>
      </c>
      <c r="G105" s="203" t="str">
        <f>IF(G$3="","",IF(COUNTIFS(BD!$A$3:$A$5001,G$3,BD!$B$3:$B$5001,$A$100,BD!$I$3:$I$5001,"&lt;&gt;")=0,"",SUMIFS(BD!$I$3:$I$5001,BD!$A$3:$A$5001,G$3,BD!$B$3:$B$5001,$A$100)))</f>
        <v/>
      </c>
      <c r="H105" s="203" t="str">
        <f>IF(H$3="","",IF(COUNTIFS(BD!$A$3:$A$5001,H$3,BD!$B$3:$B$5001,$A$100,BD!$I$3:$I$5001,"&lt;&gt;")=0,"",SUMIFS(BD!$I$3:$I$5001,BD!$A$3:$A$5001,H$3,BD!$B$3:$B$5001,$A$100)))</f>
        <v/>
      </c>
      <c r="I105" s="203" t="str">
        <f>IF(I$3="","",IF(COUNTIFS(BD!$A$3:$A$5001,I$3,BD!$B$3:$B$5001,$A$100,BD!$I$3:$I$5001,"&lt;&gt;")=0,"",SUMIFS(BD!$I$3:$I$5001,BD!$A$3:$A$5001,I$3,BD!$B$3:$B$5001,$A$100)))</f>
        <v/>
      </c>
      <c r="J105" s="203" t="str">
        <f>IF(J$3="","",IF(COUNTIFS(BD!$A$3:$A$5001,J$3,BD!$B$3:$B$5001,$A$100,BD!$I$3:$I$5001,"&lt;&gt;")=0,"",SUMIFS(BD!$I$3:$I$5001,BD!$A$3:$A$5001,J$3,BD!$B$3:$B$5001,$A$100)))</f>
        <v/>
      </c>
      <c r="K105" s="203" t="str">
        <f>IF(K$3="","",IF(COUNTIFS(BD!$A$3:$A$5001,K$3,BD!$B$3:$B$5001,$A$100,BD!$I$3:$I$5001,"&lt;&gt;")=0,"",SUMIFS(BD!$I$3:$I$5001,BD!$A$3:$A$5001,K$3,BD!$B$3:$B$5001,$A$100)))</f>
        <v/>
      </c>
      <c r="L105" s="203" t="str">
        <f>IF(L$3="","",IF(COUNTIFS(BD!$A$3:$A$5001,L$3,BD!$B$3:$B$5001,$A$100,BD!$I$3:$I$5001,"&lt;&gt;")=0,"",SUMIFS(BD!$I$3:$I$5001,BD!$A$3:$A$5001,L$3,BD!$B$3:$B$5001,$A$100)))</f>
        <v/>
      </c>
      <c r="M105" s="203" t="str">
        <f>IF(M$3="","",IF(COUNTIFS(BD!$A$3:$A$5001,M$3,BD!$B$3:$B$5001,$A$100,BD!$I$3:$I$5001,"&lt;&gt;")=0,"",SUMIFS(BD!$I$3:$I$5001,BD!$A$3:$A$5001,M$3,BD!$B$3:$B$5001,$A$100)))</f>
        <v/>
      </c>
      <c r="N105" s="203" t="str">
        <f>IF(N$3="","",IF(COUNTIFS(BD!$A$3:$A$5001,N$3,BD!$B$3:$B$5001,$A$100,BD!$I$3:$I$5001,"&lt;&gt;")=0,"",SUMIFS(BD!$I$3:$I$5001,BD!$A$3:$A$5001,N$3,BD!$B$3:$B$5001,$A$100)))</f>
        <v/>
      </c>
      <c r="O105" s="203" t="str">
        <f>IF(O$3="","",IF(COUNTIFS(BD!$A$3:$A$5001,O$3,BD!$B$3:$B$5001,$A$100,BD!$I$3:$I$5001,"&lt;&gt;")=0,"",SUMIFS(BD!$I$3:$I$5001,BD!$A$3:$A$5001,O$3,BD!$B$3:$B$5001,$A$100)))</f>
        <v/>
      </c>
      <c r="P105" s="203" t="str">
        <f>IF(P$3="","",IF(COUNTIFS(BD!$A$3:$A$5001,P$3,BD!$B$3:$B$5001,$A$100,BD!$I$3:$I$5001,"&lt;&gt;")=0,"",SUMIFS(BD!$I$3:$I$5001,BD!$A$3:$A$5001,P$3,BD!$B$3:$B$5001,$A$100)))</f>
        <v/>
      </c>
      <c r="Q105" s="203" t="str">
        <f>IF(Q$3="","",IF(COUNTIFS(BD!$A$3:$A$5001,Q$3,BD!$B$3:$B$5001,$A$100,BD!$I$3:$I$5001,"&lt;&gt;")=0,"",SUMIFS(BD!$I$3:$I$5001,BD!$A$3:$A$5001,Q$3,BD!$B$3:$B$5001,$A$100)))</f>
        <v/>
      </c>
      <c r="R105" s="203" t="str">
        <f>IF(R$3="","",IF(COUNTIFS(BD!$A$3:$A$5001,R$3,BD!$B$3:$B$5001,$A$100,BD!$I$3:$I$5001,"&lt;&gt;")=0,"",SUMIFS(BD!$I$3:$I$5001,BD!$A$3:$A$5001,R$3,BD!$B$3:$B$5001,$A$100)))</f>
        <v/>
      </c>
      <c r="S105" s="203" t="str">
        <f>IF(S$3="","",IF(COUNTIFS(BD!$A$3:$A$5001,S$3,BD!$B$3:$B$5001,$A$100,BD!$I$3:$I$5001,"&lt;&gt;")=0,"",SUMIFS(BD!$I$3:$I$5001,BD!$A$3:$A$5001,S$3,BD!$B$3:$B$5001,$A$100)))</f>
        <v/>
      </c>
      <c r="T105" s="203" t="str">
        <f>IF(T$3="","",IF(COUNTIFS(BD!$A$3:$A$5001,T$3,BD!$B$3:$B$5001,$A$100,BD!$I$3:$I$5001,"&lt;&gt;")=0,"",SUMIFS(BD!$I$3:$I$5001,BD!$A$3:$A$5001,T$3,BD!$B$3:$B$5001,$A$100)))</f>
        <v/>
      </c>
      <c r="U105" s="203" t="str">
        <f>IF(U$3="","",IF(COUNTIFS(BD!$A$3:$A$5001,U$3,BD!$B$3:$B$5001,$A$100,BD!$I$3:$I$5001,"&lt;&gt;")=0,"",SUMIFS(BD!$I$3:$I$5001,BD!$A$3:$A$5001,U$3,BD!$B$3:$B$5001,$A$100)))</f>
        <v/>
      </c>
      <c r="V105" s="203" t="str">
        <f>IF(V$3="","",IF(COUNTIFS(BD!$A$3:$A$5001,V$3,BD!$B$3:$B$5001,$A$100,BD!$I$3:$I$5001,"&lt;&gt;")=0,"",SUMIFS(BD!$I$3:$I$5001,BD!$A$3:$A$5001,V$3,BD!$B$3:$B$5001,$A$100)))</f>
        <v/>
      </c>
      <c r="W105" s="203" t="str">
        <f>IF(W$3="","",IF(COUNTIFS(BD!$A$3:$A$5001,W$3,BD!$B$3:$B$5001,$A$100,BD!$I$3:$I$5001,"&lt;&gt;")=0,"",SUMIFS(BD!$I$3:$I$5001,BD!$A$3:$A$5001,W$3,BD!$B$3:$B$5001,$A$100)))</f>
        <v/>
      </c>
      <c r="X105" s="203" t="str">
        <f>IF(X$3="","",IF(COUNTIFS(BD!$A$3:$A$5001,X$3,BD!$B$3:$B$5001,$A$100,BD!$I$3:$I$5001,"&lt;&gt;")=0,"",SUMIFS(BD!$I$3:$I$5001,BD!$A$3:$A$5001,X$3,BD!$B$3:$B$5001,$A$100)))</f>
        <v/>
      </c>
      <c r="Y105" s="203" t="str">
        <f>IF(Y$3="","",IF(COUNTIFS(BD!$A$3:$A$5001,Y$3,BD!$B$3:$B$5001,$A$100,BD!$I$3:$I$5001,"&lt;&gt;")=0,"",SUMIFS(BD!$I$3:$I$5001,BD!$A$3:$A$5001,Y$3,BD!$B$3:$B$5001,$A$100)))</f>
        <v/>
      </c>
      <c r="Z105" s="203" t="str">
        <f>IF(Z$3="","",IF(COUNTIFS(BD!$A$3:$A$5001,Z$3,BD!$B$3:$B$5001,$A$100,BD!$I$3:$I$5001,"&lt;&gt;")=0,"",SUMIFS(BD!$I$3:$I$5001,BD!$A$3:$A$5001,Z$3,BD!$B$3:$B$5001,$A$100)))</f>
        <v/>
      </c>
      <c r="AA105" s="203" t="str">
        <f>IF(AA$3="","",IF(COUNTIFS(BD!$A$3:$A$5001,AA$3,BD!$B$3:$B$5001,$A$100,BD!$I$3:$I$5001,"&lt;&gt;")=0,"",SUMIFS(BD!$I$3:$I$5001,BD!$A$3:$A$5001,AA$3,BD!$B$3:$B$5001,$A$100)))</f>
        <v/>
      </c>
      <c r="AB105" s="203" t="str">
        <f>IF(AB$3="","",IF(COUNTIFS(BD!$A$3:$A$5001,AB$3,BD!$B$3:$B$5001,$A$100,BD!$I$3:$I$5001,"&lt;&gt;")=0,"",SUMIFS(BD!$I$3:$I$5001,BD!$A$3:$A$5001,AB$3,BD!$B$3:$B$5001,$A$100)))</f>
        <v/>
      </c>
      <c r="AC105" s="203" t="str">
        <f>IF(AC$3="","",IF(COUNTIFS(BD!$A$3:$A$5001,AC$3,BD!$B$3:$B$5001,$A$100,BD!$I$3:$I$5001,"&lt;&gt;")=0,"",SUMIFS(BD!$I$3:$I$5001,BD!$A$3:$A$5001,AC$3,BD!$B$3:$B$5001,$A$100)))</f>
        <v/>
      </c>
      <c r="AD105" s="203" t="str">
        <f>IF(AD$3="","",IF(COUNTIFS(BD!$A$3:$A$5001,AD$3,BD!$B$3:$B$5001,$A$100,BD!$I$3:$I$5001,"&lt;&gt;")=0,"",SUMIFS(BD!$I$3:$I$5001,BD!$A$3:$A$5001,AD$3,BD!$B$3:$B$5001,$A$100)))</f>
        <v/>
      </c>
      <c r="AE105" s="203" t="str">
        <f>IF(AE$3="","",IF(COUNTIFS(BD!$A$3:$A$5001,AE$3,BD!$B$3:$B$5001,$A$100,BD!$I$3:$I$5001,"&lt;&gt;")=0,"",SUMIFS(BD!$I$3:$I$5001,BD!$A$3:$A$5001,AE$3,BD!$B$3:$B$5001,$A$100)))</f>
        <v/>
      </c>
      <c r="AF105" s="203" t="str">
        <f>IF(AF$3="","",IF(COUNTIFS(BD!$A$3:$A$5001,AF$3,BD!$B$3:$B$5001,$A$100,BD!$I$3:$I$5001,"&lt;&gt;")=0,"",SUMIFS(BD!$I$3:$I$5001,BD!$A$3:$A$5001,AF$3,BD!$B$3:$B$5001,$A$100)))</f>
        <v/>
      </c>
      <c r="AG105" s="203" t="str">
        <f>IF(AG$3="","",IF(COUNTIFS(BD!$A$3:$A$5001,AG$3,BD!$B$3:$B$5001,$A$100,BD!$I$3:$I$5001,"&lt;&gt;")=0,"",SUMIFS(BD!$I$3:$I$5001,BD!$A$3:$A$5001,AG$3,BD!$B$3:$B$5001,$A$100)))</f>
        <v/>
      </c>
      <c r="AH105" s="203" t="str">
        <f>IF(AH$3="","",IF(COUNTIFS(BD!$A$3:$A$5001,AH$3,BD!$B$3:$B$5001,$A$100,BD!$I$3:$I$5001,"&lt;&gt;")=0,"",SUMIFS(BD!$I$3:$I$5001,BD!$A$3:$A$5001,AH$3,BD!$B$3:$B$5001,$A$100)))</f>
        <v/>
      </c>
      <c r="AI105" s="203" t="str">
        <f>IF(AI$3="","",IF(COUNTIFS(BD!$A$3:$A$5001,AI$3,BD!$B$3:$B$5001,$A$100,BD!$I$3:$I$5001,"&lt;&gt;")=0,"",SUMIFS(BD!$I$3:$I$5001,BD!$A$3:$A$5001,AI$3,BD!$B$3:$B$5001,$A$100)))</f>
        <v/>
      </c>
      <c r="AJ105" s="204" t="str">
        <f>IF(AJ$3="","",IF(COUNTIFS(BD!$A$3:$A$5001,AJ$3,BD!$B$3:$B$5001,$A$100,BD!$I$3:$I$5001,"&lt;&gt;")=0,"",SUMIFS(BD!$I$3:$I$5001,BD!$A$3:$A$5001,AJ$3,BD!$B$3:$B$5001,$A$100)))</f>
        <v/>
      </c>
      <c r="AK105" s="205" t="str">
        <f>IF(COUNT(F105:AJ105)=0,"",SUM(F105:AJ105))</f>
        <v/>
      </c>
    </row>
    <row r="106" ht="15.75" customHeight="1">
      <c r="A106" s="277"/>
      <c r="B106" s="268"/>
      <c r="C106" s="199" t="inlineStr">
        <is>
          <t xml:space="preserve">Toneladas Movimentadas</t>
        </is>
      </c>
      <c r="D106" s="200" t="str">
        <f>IFERROR(1/(1/INDEX(BD!$AF$30:$AZ$30,MATCH($A$100,BD!$AF$22:$AZ$22,0))),"")</f>
        <v/>
      </c>
      <c r="E106" s="201"/>
      <c r="F106" s="206" t="str">
        <f>IF(F$3="","",IF(COUNTIFS(BD!$A$3:$A$5001,F$3,BD!$B$3:$B$5001,$A$100,BD!$J$3:$J$5001,"&lt;&gt;")=0,"",SUMIFS(BD!$J$3:$J$5001,BD!$A$3:$A$5001,F$3,BD!$B$3:$B$5001,$A$100)))</f>
        <v/>
      </c>
      <c r="G106" s="207" t="str">
        <f>IF(G$3="","",IF(COUNTIFS(BD!$A$3:$A$5001,G$3,BD!$B$3:$B$5001,$A$100,BD!$J$3:$J$5001,"&lt;&gt;")=0,"",SUMIFS(BD!$J$3:$J$5001,BD!$A$3:$A$5001,G$3,BD!$B$3:$B$5001,$A$100)))</f>
        <v/>
      </c>
      <c r="H106" s="207" t="str">
        <f>IF(H$3="","",IF(COUNTIFS(BD!$A$3:$A$5001,H$3,BD!$B$3:$B$5001,$A$100,BD!$J$3:$J$5001,"&lt;&gt;")=0,"",SUMIFS(BD!$J$3:$J$5001,BD!$A$3:$A$5001,H$3,BD!$B$3:$B$5001,$A$100)))</f>
        <v/>
      </c>
      <c r="I106" s="207" t="str">
        <f>IF(I$3="","",IF(COUNTIFS(BD!$A$3:$A$5001,I$3,BD!$B$3:$B$5001,$A$100,BD!$J$3:$J$5001,"&lt;&gt;")=0,"",SUMIFS(BD!$J$3:$J$5001,BD!$A$3:$A$5001,I$3,BD!$B$3:$B$5001,$A$100)))</f>
        <v/>
      </c>
      <c r="J106" s="207" t="str">
        <f>IF(J$3="","",IF(COUNTIFS(BD!$A$3:$A$5001,J$3,BD!$B$3:$B$5001,$A$100,BD!$J$3:$J$5001,"&lt;&gt;")=0,"",SUMIFS(BD!$J$3:$J$5001,BD!$A$3:$A$5001,J$3,BD!$B$3:$B$5001,$A$100)))</f>
        <v/>
      </c>
      <c r="K106" s="207" t="str">
        <f>IF(K$3="","",IF(COUNTIFS(BD!$A$3:$A$5001,K$3,BD!$B$3:$B$5001,$A$100,BD!$J$3:$J$5001,"&lt;&gt;")=0,"",SUMIFS(BD!$J$3:$J$5001,BD!$A$3:$A$5001,K$3,BD!$B$3:$B$5001,$A$100)))</f>
        <v/>
      </c>
      <c r="L106" s="207" t="str">
        <f>IF(L$3="","",IF(COUNTIFS(BD!$A$3:$A$5001,L$3,BD!$B$3:$B$5001,$A$100,BD!$J$3:$J$5001,"&lt;&gt;")=0,"",SUMIFS(BD!$J$3:$J$5001,BD!$A$3:$A$5001,L$3,BD!$B$3:$B$5001,$A$100)))</f>
        <v/>
      </c>
      <c r="M106" s="207" t="str">
        <f>IF(M$3="","",IF(COUNTIFS(BD!$A$3:$A$5001,M$3,BD!$B$3:$B$5001,$A$100,BD!$J$3:$J$5001,"&lt;&gt;")=0,"",SUMIFS(BD!$J$3:$J$5001,BD!$A$3:$A$5001,M$3,BD!$B$3:$B$5001,$A$100)))</f>
        <v/>
      </c>
      <c r="N106" s="207" t="str">
        <f>IF(N$3="","",IF(COUNTIFS(BD!$A$3:$A$5001,N$3,BD!$B$3:$B$5001,$A$100,BD!$J$3:$J$5001,"&lt;&gt;")=0,"",SUMIFS(BD!$J$3:$J$5001,BD!$A$3:$A$5001,N$3,BD!$B$3:$B$5001,$A$100)))</f>
        <v/>
      </c>
      <c r="O106" s="207" t="str">
        <f>IF(O$3="","",IF(COUNTIFS(BD!$A$3:$A$5001,O$3,BD!$B$3:$B$5001,$A$100,BD!$J$3:$J$5001,"&lt;&gt;")=0,"",SUMIFS(BD!$J$3:$J$5001,BD!$A$3:$A$5001,O$3,BD!$B$3:$B$5001,$A$100)))</f>
        <v/>
      </c>
      <c r="P106" s="207" t="str">
        <f>IF(P$3="","",IF(COUNTIFS(BD!$A$3:$A$5001,P$3,BD!$B$3:$B$5001,$A$100,BD!$J$3:$J$5001,"&lt;&gt;")=0,"",SUMIFS(BD!$J$3:$J$5001,BD!$A$3:$A$5001,P$3,BD!$B$3:$B$5001,$A$100)))</f>
        <v/>
      </c>
      <c r="Q106" s="207" t="str">
        <f>IF(Q$3="","",IF(COUNTIFS(BD!$A$3:$A$5001,Q$3,BD!$B$3:$B$5001,$A$100,BD!$J$3:$J$5001,"&lt;&gt;")=0,"",SUMIFS(BD!$J$3:$J$5001,BD!$A$3:$A$5001,Q$3,BD!$B$3:$B$5001,$A$100)))</f>
        <v/>
      </c>
      <c r="R106" s="207" t="str">
        <f>IF(R$3="","",IF(COUNTIFS(BD!$A$3:$A$5001,R$3,BD!$B$3:$B$5001,$A$100,BD!$J$3:$J$5001,"&lt;&gt;")=0,"",SUMIFS(BD!$J$3:$J$5001,BD!$A$3:$A$5001,R$3,BD!$B$3:$B$5001,$A$100)))</f>
        <v/>
      </c>
      <c r="S106" s="207" t="str">
        <f>IF(S$3="","",IF(COUNTIFS(BD!$A$3:$A$5001,S$3,BD!$B$3:$B$5001,$A$100,BD!$J$3:$J$5001,"&lt;&gt;")=0,"",SUMIFS(BD!$J$3:$J$5001,BD!$A$3:$A$5001,S$3,BD!$B$3:$B$5001,$A$100)))</f>
        <v/>
      </c>
      <c r="T106" s="207" t="str">
        <f>IF(T$3="","",IF(COUNTIFS(BD!$A$3:$A$5001,T$3,BD!$B$3:$B$5001,$A$100,BD!$J$3:$J$5001,"&lt;&gt;")=0,"",SUMIFS(BD!$J$3:$J$5001,BD!$A$3:$A$5001,T$3,BD!$B$3:$B$5001,$A$100)))</f>
        <v/>
      </c>
      <c r="U106" s="207" t="str">
        <f>IF(U$3="","",IF(COUNTIFS(BD!$A$3:$A$5001,U$3,BD!$B$3:$B$5001,$A$100,BD!$J$3:$J$5001,"&lt;&gt;")=0,"",SUMIFS(BD!$J$3:$J$5001,BD!$A$3:$A$5001,U$3,BD!$B$3:$B$5001,$A$100)))</f>
        <v/>
      </c>
      <c r="V106" s="207" t="str">
        <f>IF(V$3="","",IF(COUNTIFS(BD!$A$3:$A$5001,V$3,BD!$B$3:$B$5001,$A$100,BD!$J$3:$J$5001,"&lt;&gt;")=0,"",SUMIFS(BD!$J$3:$J$5001,BD!$A$3:$A$5001,V$3,BD!$B$3:$B$5001,$A$100)))</f>
        <v/>
      </c>
      <c r="W106" s="207" t="str">
        <f>IF(W$3="","",IF(COUNTIFS(BD!$A$3:$A$5001,W$3,BD!$B$3:$B$5001,$A$100,BD!$J$3:$J$5001,"&lt;&gt;")=0,"",SUMIFS(BD!$J$3:$J$5001,BD!$A$3:$A$5001,W$3,BD!$B$3:$B$5001,$A$100)))</f>
        <v/>
      </c>
      <c r="X106" s="207" t="str">
        <f>IF(X$3="","",IF(COUNTIFS(BD!$A$3:$A$5001,X$3,BD!$B$3:$B$5001,$A$100,BD!$J$3:$J$5001,"&lt;&gt;")=0,"",SUMIFS(BD!$J$3:$J$5001,BD!$A$3:$A$5001,X$3,BD!$B$3:$B$5001,$A$100)))</f>
        <v/>
      </c>
      <c r="Y106" s="207" t="str">
        <f>IF(Y$3="","",IF(COUNTIFS(BD!$A$3:$A$5001,Y$3,BD!$B$3:$B$5001,$A$100,BD!$J$3:$J$5001,"&lt;&gt;")=0,"",SUMIFS(BD!$J$3:$J$5001,BD!$A$3:$A$5001,Y$3,BD!$B$3:$B$5001,$A$100)))</f>
        <v/>
      </c>
      <c r="Z106" s="207" t="str">
        <f>IF(Z$3="","",IF(COUNTIFS(BD!$A$3:$A$5001,Z$3,BD!$B$3:$B$5001,$A$100,BD!$J$3:$J$5001,"&lt;&gt;")=0,"",SUMIFS(BD!$J$3:$J$5001,BD!$A$3:$A$5001,Z$3,BD!$B$3:$B$5001,$A$100)))</f>
        <v/>
      </c>
      <c r="AA106" s="207" t="str">
        <f>IF(AA$3="","",IF(COUNTIFS(BD!$A$3:$A$5001,AA$3,BD!$B$3:$B$5001,$A$100,BD!$J$3:$J$5001,"&lt;&gt;")=0,"",SUMIFS(BD!$J$3:$J$5001,BD!$A$3:$A$5001,AA$3,BD!$B$3:$B$5001,$A$100)))</f>
        <v/>
      </c>
      <c r="AB106" s="207" t="str">
        <f>IF(AB$3="","",IF(COUNTIFS(BD!$A$3:$A$5001,AB$3,BD!$B$3:$B$5001,$A$100,BD!$J$3:$J$5001,"&lt;&gt;")=0,"",SUMIFS(BD!$J$3:$J$5001,BD!$A$3:$A$5001,AB$3,BD!$B$3:$B$5001,$A$100)))</f>
        <v/>
      </c>
      <c r="AC106" s="207" t="str">
        <f>IF(AC$3="","",IF(COUNTIFS(BD!$A$3:$A$5001,AC$3,BD!$B$3:$B$5001,$A$100,BD!$J$3:$J$5001,"&lt;&gt;")=0,"",SUMIFS(BD!$J$3:$J$5001,BD!$A$3:$A$5001,AC$3,BD!$B$3:$B$5001,$A$100)))</f>
        <v/>
      </c>
      <c r="AD106" s="207" t="str">
        <f>IF(AD$3="","",IF(COUNTIFS(BD!$A$3:$A$5001,AD$3,BD!$B$3:$B$5001,$A$100,BD!$J$3:$J$5001,"&lt;&gt;")=0,"",SUMIFS(BD!$J$3:$J$5001,BD!$A$3:$A$5001,AD$3,BD!$B$3:$B$5001,$A$100)))</f>
        <v/>
      </c>
      <c r="AE106" s="207" t="str">
        <f>IF(AE$3="","",IF(COUNTIFS(BD!$A$3:$A$5001,AE$3,BD!$B$3:$B$5001,$A$100,BD!$J$3:$J$5001,"&lt;&gt;")=0,"",SUMIFS(BD!$J$3:$J$5001,BD!$A$3:$A$5001,AE$3,BD!$B$3:$B$5001,$A$100)))</f>
        <v/>
      </c>
      <c r="AF106" s="207" t="str">
        <f>IF(AF$3="","",IF(COUNTIFS(BD!$A$3:$A$5001,AF$3,BD!$B$3:$B$5001,$A$100,BD!$J$3:$J$5001,"&lt;&gt;")=0,"",SUMIFS(BD!$J$3:$J$5001,BD!$A$3:$A$5001,AF$3,BD!$B$3:$B$5001,$A$100)))</f>
        <v/>
      </c>
      <c r="AG106" s="207" t="str">
        <f>IF(AG$3="","",IF(COUNTIFS(BD!$A$3:$A$5001,AG$3,BD!$B$3:$B$5001,$A$100,BD!$J$3:$J$5001,"&lt;&gt;")=0,"",SUMIFS(BD!$J$3:$J$5001,BD!$A$3:$A$5001,AG$3,BD!$B$3:$B$5001,$A$100)))</f>
        <v/>
      </c>
      <c r="AH106" s="207" t="str">
        <f>IF(AH$3="","",IF(COUNTIFS(BD!$A$3:$A$5001,AH$3,BD!$B$3:$B$5001,$A$100,BD!$J$3:$J$5001,"&lt;&gt;")=0,"",SUMIFS(BD!$J$3:$J$5001,BD!$A$3:$A$5001,AH$3,BD!$B$3:$B$5001,$A$100)))</f>
        <v/>
      </c>
      <c r="AI106" s="207" t="str">
        <f>IF(AI$3="","",IF(COUNTIFS(BD!$A$3:$A$5001,AI$3,BD!$B$3:$B$5001,$A$100,BD!$J$3:$J$5001,"&lt;&gt;")=0,"",SUMIFS(BD!$J$3:$J$5001,BD!$A$3:$A$5001,AI$3,BD!$B$3:$B$5001,$A$100)))</f>
        <v/>
      </c>
      <c r="AJ106" s="208" t="str">
        <f>IF(AJ$3="","",IF(COUNTIFS(BD!$A$3:$A$5001,AJ$3,BD!$B$3:$B$5001,$A$100,BD!$J$3:$J$5001,"&lt;&gt;")=0,"",SUMIFS(BD!$J$3:$J$5001,BD!$A$3:$A$5001,AJ$3,BD!$B$3:$B$5001,$A$100)))</f>
        <v/>
      </c>
      <c r="AK106" s="209" t="str">
        <f>IF(COUNT(F106:AJ106)=0,"",SUM(F106:AJ106))</f>
        <v/>
      </c>
    </row>
    <row r="107" ht="15.75" customHeight="1">
      <c r="A107" s="277"/>
      <c r="B107" s="268"/>
      <c r="C107" s="199" t="inlineStr">
        <is>
          <t xml:space="preserve">Caixas Expedidas</t>
        </is>
      </c>
      <c r="D107" s="200" t="str">
        <f>IFERROR(1/(1/INDEX(BD!$AF$31:$AZ$31,MATCH($A$100,BD!$AF$22:$AZ$22,0))),"")</f>
        <v/>
      </c>
      <c r="E107" s="201"/>
      <c r="F107" s="202" t="str">
        <f>IF(F$3="","",IF(COUNTIFS(BD!$A$3:$A$5001,F$3,BD!$B$3:$B$5001,$A$100,BD!$K$3:$K$5001,"&lt;&gt;")=0,"",SUMIFS(BD!$K$3:$K$5001,BD!$A$3:$A$5001,F$3,BD!$B$3:$B$5001,$A$100)))</f>
        <v/>
      </c>
      <c r="G107" s="203" t="str">
        <f>IF(G$3="","",IF(COUNTIFS(BD!$A$3:$A$5001,G$3,BD!$B$3:$B$5001,$A$100,BD!$K$3:$K$5001,"&lt;&gt;")=0,"",SUMIFS(BD!$K$3:$K$5001,BD!$A$3:$A$5001,G$3,BD!$B$3:$B$5001,$A$100)))</f>
        <v/>
      </c>
      <c r="H107" s="203" t="str">
        <f>IF(H$3="","",IF(COUNTIFS(BD!$A$3:$A$5001,H$3,BD!$B$3:$B$5001,$A$100,BD!$K$3:$K$5001,"&lt;&gt;")=0,"",SUMIFS(BD!$K$3:$K$5001,BD!$A$3:$A$5001,H$3,BD!$B$3:$B$5001,$A$100)))</f>
        <v/>
      </c>
      <c r="I107" s="203" t="str">
        <f>IF(I$3="","",IF(COUNTIFS(BD!$A$3:$A$5001,I$3,BD!$B$3:$B$5001,$A$100,BD!$K$3:$K$5001,"&lt;&gt;")=0,"",SUMIFS(BD!$K$3:$K$5001,BD!$A$3:$A$5001,I$3,BD!$B$3:$B$5001,$A$100)))</f>
        <v/>
      </c>
      <c r="J107" s="203" t="str">
        <f>IF(J$3="","",IF(COUNTIFS(BD!$A$3:$A$5001,J$3,BD!$B$3:$B$5001,$A$100,BD!$K$3:$K$5001,"&lt;&gt;")=0,"",SUMIFS(BD!$K$3:$K$5001,BD!$A$3:$A$5001,J$3,BD!$B$3:$B$5001,$A$100)))</f>
        <v/>
      </c>
      <c r="K107" s="203" t="str">
        <f>IF(K$3="","",IF(COUNTIFS(BD!$A$3:$A$5001,K$3,BD!$B$3:$B$5001,$A$100,BD!$K$3:$K$5001,"&lt;&gt;")=0,"",SUMIFS(BD!$K$3:$K$5001,BD!$A$3:$A$5001,K$3,BD!$B$3:$B$5001,$A$100)))</f>
        <v/>
      </c>
      <c r="L107" s="203" t="str">
        <f>IF(L$3="","",IF(COUNTIFS(BD!$A$3:$A$5001,L$3,BD!$B$3:$B$5001,$A$100,BD!$K$3:$K$5001,"&lt;&gt;")=0,"",SUMIFS(BD!$K$3:$K$5001,BD!$A$3:$A$5001,L$3,BD!$B$3:$B$5001,$A$100)))</f>
        <v/>
      </c>
      <c r="M107" s="203" t="str">
        <f>IF(M$3="","",IF(COUNTIFS(BD!$A$3:$A$5001,M$3,BD!$B$3:$B$5001,$A$100,BD!$K$3:$K$5001,"&lt;&gt;")=0,"",SUMIFS(BD!$K$3:$K$5001,BD!$A$3:$A$5001,M$3,BD!$B$3:$B$5001,$A$100)))</f>
        <v/>
      </c>
      <c r="N107" s="203" t="str">
        <f>IF(N$3="","",IF(COUNTIFS(BD!$A$3:$A$5001,N$3,BD!$B$3:$B$5001,$A$100,BD!$K$3:$K$5001,"&lt;&gt;")=0,"",SUMIFS(BD!$K$3:$K$5001,BD!$A$3:$A$5001,N$3,BD!$B$3:$B$5001,$A$100)))</f>
        <v/>
      </c>
      <c r="O107" s="203" t="str">
        <f>IF(O$3="","",IF(COUNTIFS(BD!$A$3:$A$5001,O$3,BD!$B$3:$B$5001,$A$100,BD!$K$3:$K$5001,"&lt;&gt;")=0,"",SUMIFS(BD!$K$3:$K$5001,BD!$A$3:$A$5001,O$3,BD!$B$3:$B$5001,$A$100)))</f>
        <v/>
      </c>
      <c r="P107" s="203" t="str">
        <f>IF(P$3="","",IF(COUNTIFS(BD!$A$3:$A$5001,P$3,BD!$B$3:$B$5001,$A$100,BD!$K$3:$K$5001,"&lt;&gt;")=0,"",SUMIFS(BD!$K$3:$K$5001,BD!$A$3:$A$5001,P$3,BD!$B$3:$B$5001,$A$100)))</f>
        <v/>
      </c>
      <c r="Q107" s="203" t="str">
        <f>IF(Q$3="","",IF(COUNTIFS(BD!$A$3:$A$5001,Q$3,BD!$B$3:$B$5001,$A$100,BD!$K$3:$K$5001,"&lt;&gt;")=0,"",SUMIFS(BD!$K$3:$K$5001,BD!$A$3:$A$5001,Q$3,BD!$B$3:$B$5001,$A$100)))</f>
        <v/>
      </c>
      <c r="R107" s="203" t="str">
        <f>IF(R$3="","",IF(COUNTIFS(BD!$A$3:$A$5001,R$3,BD!$B$3:$B$5001,$A$100,BD!$K$3:$K$5001,"&lt;&gt;")=0,"",SUMIFS(BD!$K$3:$K$5001,BD!$A$3:$A$5001,R$3,BD!$B$3:$B$5001,$A$100)))</f>
        <v/>
      </c>
      <c r="S107" s="203" t="str">
        <f>IF(S$3="","",IF(COUNTIFS(BD!$A$3:$A$5001,S$3,BD!$B$3:$B$5001,$A$100,BD!$K$3:$K$5001,"&lt;&gt;")=0,"",SUMIFS(BD!$K$3:$K$5001,BD!$A$3:$A$5001,S$3,BD!$B$3:$B$5001,$A$100)))</f>
        <v/>
      </c>
      <c r="T107" s="203" t="str">
        <f>IF(T$3="","",IF(COUNTIFS(BD!$A$3:$A$5001,T$3,BD!$B$3:$B$5001,$A$100,BD!$K$3:$K$5001,"&lt;&gt;")=0,"",SUMIFS(BD!$K$3:$K$5001,BD!$A$3:$A$5001,T$3,BD!$B$3:$B$5001,$A$100)))</f>
        <v/>
      </c>
      <c r="U107" s="203" t="str">
        <f>IF(U$3="","",IF(COUNTIFS(BD!$A$3:$A$5001,U$3,BD!$B$3:$B$5001,$A$100,BD!$K$3:$K$5001,"&lt;&gt;")=0,"",SUMIFS(BD!$K$3:$K$5001,BD!$A$3:$A$5001,U$3,BD!$B$3:$B$5001,$A$100)))</f>
        <v/>
      </c>
      <c r="V107" s="203" t="str">
        <f>IF(V$3="","",IF(COUNTIFS(BD!$A$3:$A$5001,V$3,BD!$B$3:$B$5001,$A$100,BD!$K$3:$K$5001,"&lt;&gt;")=0,"",SUMIFS(BD!$K$3:$K$5001,BD!$A$3:$A$5001,V$3,BD!$B$3:$B$5001,$A$100)))</f>
        <v/>
      </c>
      <c r="W107" s="203" t="str">
        <f>IF(W$3="","",IF(COUNTIFS(BD!$A$3:$A$5001,W$3,BD!$B$3:$B$5001,$A$100,BD!$K$3:$K$5001,"&lt;&gt;")=0,"",SUMIFS(BD!$K$3:$K$5001,BD!$A$3:$A$5001,W$3,BD!$B$3:$B$5001,$A$100)))</f>
        <v/>
      </c>
      <c r="X107" s="203" t="str">
        <f>IF(X$3="","",IF(COUNTIFS(BD!$A$3:$A$5001,X$3,BD!$B$3:$B$5001,$A$100,BD!$K$3:$K$5001,"&lt;&gt;")=0,"",SUMIFS(BD!$K$3:$K$5001,BD!$A$3:$A$5001,X$3,BD!$B$3:$B$5001,$A$100)))</f>
        <v/>
      </c>
      <c r="Y107" s="203" t="str">
        <f>IF(Y$3="","",IF(COUNTIFS(BD!$A$3:$A$5001,Y$3,BD!$B$3:$B$5001,$A$100,BD!$K$3:$K$5001,"&lt;&gt;")=0,"",SUMIFS(BD!$K$3:$K$5001,BD!$A$3:$A$5001,Y$3,BD!$B$3:$B$5001,$A$100)))</f>
        <v/>
      </c>
      <c r="Z107" s="203" t="str">
        <f>IF(Z$3="","",IF(COUNTIFS(BD!$A$3:$A$5001,Z$3,BD!$B$3:$B$5001,$A$100,BD!$K$3:$K$5001,"&lt;&gt;")=0,"",SUMIFS(BD!$K$3:$K$5001,BD!$A$3:$A$5001,Z$3,BD!$B$3:$B$5001,$A$100)))</f>
        <v/>
      </c>
      <c r="AA107" s="203" t="str">
        <f>IF(AA$3="","",IF(COUNTIFS(BD!$A$3:$A$5001,AA$3,BD!$B$3:$B$5001,$A$100,BD!$K$3:$K$5001,"&lt;&gt;")=0,"",SUMIFS(BD!$K$3:$K$5001,BD!$A$3:$A$5001,AA$3,BD!$B$3:$B$5001,$A$100)))</f>
        <v/>
      </c>
      <c r="AB107" s="203" t="str">
        <f>IF(AB$3="","",IF(COUNTIFS(BD!$A$3:$A$5001,AB$3,BD!$B$3:$B$5001,$A$100,BD!$K$3:$K$5001,"&lt;&gt;")=0,"",SUMIFS(BD!$K$3:$K$5001,BD!$A$3:$A$5001,AB$3,BD!$B$3:$B$5001,$A$100)))</f>
        <v/>
      </c>
      <c r="AC107" s="203" t="str">
        <f>IF(AC$3="","",IF(COUNTIFS(BD!$A$3:$A$5001,AC$3,BD!$B$3:$B$5001,$A$100,BD!$K$3:$K$5001,"&lt;&gt;")=0,"",SUMIFS(BD!$K$3:$K$5001,BD!$A$3:$A$5001,AC$3,BD!$B$3:$B$5001,$A$100)))</f>
        <v/>
      </c>
      <c r="AD107" s="203" t="str">
        <f>IF(AD$3="","",IF(COUNTIFS(BD!$A$3:$A$5001,AD$3,BD!$B$3:$B$5001,$A$100,BD!$K$3:$K$5001,"&lt;&gt;")=0,"",SUMIFS(BD!$K$3:$K$5001,BD!$A$3:$A$5001,AD$3,BD!$B$3:$B$5001,$A$100)))</f>
        <v/>
      </c>
      <c r="AE107" s="203" t="str">
        <f>IF(AE$3="","",IF(COUNTIFS(BD!$A$3:$A$5001,AE$3,BD!$B$3:$B$5001,$A$100,BD!$K$3:$K$5001,"&lt;&gt;")=0,"",SUMIFS(BD!$K$3:$K$5001,BD!$A$3:$A$5001,AE$3,BD!$B$3:$B$5001,$A$100)))</f>
        <v/>
      </c>
      <c r="AF107" s="203" t="str">
        <f>IF(AF$3="","",IF(COUNTIFS(BD!$A$3:$A$5001,AF$3,BD!$B$3:$B$5001,$A$100,BD!$K$3:$K$5001,"&lt;&gt;")=0,"",SUMIFS(BD!$K$3:$K$5001,BD!$A$3:$A$5001,AF$3,BD!$B$3:$B$5001,$A$100)))</f>
        <v/>
      </c>
      <c r="AG107" s="203" t="str">
        <f>IF(AG$3="","",IF(COUNTIFS(BD!$A$3:$A$5001,AG$3,BD!$B$3:$B$5001,$A$100,BD!$K$3:$K$5001,"&lt;&gt;")=0,"",SUMIFS(BD!$K$3:$K$5001,BD!$A$3:$A$5001,AG$3,BD!$B$3:$B$5001,$A$100)))</f>
        <v/>
      </c>
      <c r="AH107" s="203" t="str">
        <f>IF(AH$3="","",IF(COUNTIFS(BD!$A$3:$A$5001,AH$3,BD!$B$3:$B$5001,$A$100,BD!$K$3:$K$5001,"&lt;&gt;")=0,"",SUMIFS(BD!$K$3:$K$5001,BD!$A$3:$A$5001,AH$3,BD!$B$3:$B$5001,$A$100)))</f>
        <v/>
      </c>
      <c r="AI107" s="203" t="str">
        <f>IF(AI$3="","",IF(COUNTIFS(BD!$A$3:$A$5001,AI$3,BD!$B$3:$B$5001,$A$100,BD!$K$3:$K$5001,"&lt;&gt;")=0,"",SUMIFS(BD!$K$3:$K$5001,BD!$A$3:$A$5001,AI$3,BD!$B$3:$B$5001,$A$100)))</f>
        <v/>
      </c>
      <c r="AJ107" s="204" t="str">
        <f>IF(AJ$3="","",IF(COUNTIFS(BD!$A$3:$A$5001,AJ$3,BD!$B$3:$B$5001,$A$100,BD!$K$3:$K$5001,"&lt;&gt;")=0,"",SUMIFS(BD!$K$3:$K$5001,BD!$A$3:$A$5001,AJ$3,BD!$B$3:$B$5001,$A$100)))</f>
        <v/>
      </c>
      <c r="AK107" s="205" t="str">
        <f>IF(COUNT(F107:AJ107)=0,"",SUM(F107:AJ107))</f>
        <v/>
      </c>
    </row>
    <row r="108" ht="15.75" customHeight="1">
      <c r="A108" s="277"/>
      <c r="B108" s="269"/>
      <c r="C108" s="210" t="inlineStr">
        <is>
          <t xml:space="preserve">Pedidos Faturados</t>
        </is>
      </c>
      <c r="D108" s="211" t="str">
        <f>IFERROR(1/(1/INDEX(BD!$AF$32:$AZ$32,MATCH($A$100,BD!$AF$22:$AZ$22,0))),"")</f>
        <v/>
      </c>
      <c r="E108" s="212"/>
      <c r="F108" s="213" t="str">
        <f>IF(F$3="","",IF(COUNTIFS(BD!$A$3:$A$5001,F$3,BD!$B$3:$B$5001,$A$100,BD!$L$3:$L$5001,"&lt;&gt;")=0,"",SUMIFS(BD!$L$3:$L$5001,BD!$A$3:$A$5001,F$3,BD!$B$3:$B$5001,$A$100)))</f>
        <v/>
      </c>
      <c r="G108" s="214" t="str">
        <f>IF(G$3="","",IF(COUNTIFS(BD!$A$3:$A$5001,G$3,BD!$B$3:$B$5001,$A$100,BD!$L$3:$L$5001,"&lt;&gt;")=0,"",SUMIFS(BD!$L$3:$L$5001,BD!$A$3:$A$5001,G$3,BD!$B$3:$B$5001,$A$100)))</f>
        <v/>
      </c>
      <c r="H108" s="214" t="str">
        <f>IF(H$3="","",IF(COUNTIFS(BD!$A$3:$A$5001,H$3,BD!$B$3:$B$5001,$A$100,BD!$L$3:$L$5001,"&lt;&gt;")=0,"",SUMIFS(BD!$L$3:$L$5001,BD!$A$3:$A$5001,H$3,BD!$B$3:$B$5001,$A$100)))</f>
        <v/>
      </c>
      <c r="I108" s="214" t="str">
        <f>IF(I$3="","",IF(COUNTIFS(BD!$A$3:$A$5001,I$3,BD!$B$3:$B$5001,$A$100,BD!$L$3:$L$5001,"&lt;&gt;")=0,"",SUMIFS(BD!$L$3:$L$5001,BD!$A$3:$A$5001,I$3,BD!$B$3:$B$5001,$A$100)))</f>
        <v/>
      </c>
      <c r="J108" s="214" t="str">
        <f>IF(J$3="","",IF(COUNTIFS(BD!$A$3:$A$5001,J$3,BD!$B$3:$B$5001,$A$100,BD!$L$3:$L$5001,"&lt;&gt;")=0,"",SUMIFS(BD!$L$3:$L$5001,BD!$A$3:$A$5001,J$3,BD!$B$3:$B$5001,$A$100)))</f>
        <v/>
      </c>
      <c r="K108" s="214" t="str">
        <f>IF(K$3="","",IF(COUNTIFS(BD!$A$3:$A$5001,K$3,BD!$B$3:$B$5001,$A$100,BD!$L$3:$L$5001,"&lt;&gt;")=0,"",SUMIFS(BD!$L$3:$L$5001,BD!$A$3:$A$5001,K$3,BD!$B$3:$B$5001,$A$100)))</f>
        <v/>
      </c>
      <c r="L108" s="214" t="str">
        <f>IF(L$3="","",IF(COUNTIFS(BD!$A$3:$A$5001,L$3,BD!$B$3:$B$5001,$A$100,BD!$L$3:$L$5001,"&lt;&gt;")=0,"",SUMIFS(BD!$L$3:$L$5001,BD!$A$3:$A$5001,L$3,BD!$B$3:$B$5001,$A$100)))</f>
        <v/>
      </c>
      <c r="M108" s="214" t="str">
        <f>IF(M$3="","",IF(COUNTIFS(BD!$A$3:$A$5001,M$3,BD!$B$3:$B$5001,$A$100,BD!$L$3:$L$5001,"&lt;&gt;")=0,"",SUMIFS(BD!$L$3:$L$5001,BD!$A$3:$A$5001,M$3,BD!$B$3:$B$5001,$A$100)))</f>
        <v/>
      </c>
      <c r="N108" s="214" t="str">
        <f>IF(N$3="","",IF(COUNTIFS(BD!$A$3:$A$5001,N$3,BD!$B$3:$B$5001,$A$100,BD!$L$3:$L$5001,"&lt;&gt;")=0,"",SUMIFS(BD!$L$3:$L$5001,BD!$A$3:$A$5001,N$3,BD!$B$3:$B$5001,$A$100)))</f>
        <v/>
      </c>
      <c r="O108" s="214" t="str">
        <f>IF(O$3="","",IF(COUNTIFS(BD!$A$3:$A$5001,O$3,BD!$B$3:$B$5001,$A$100,BD!$L$3:$L$5001,"&lt;&gt;")=0,"",SUMIFS(BD!$L$3:$L$5001,BD!$A$3:$A$5001,O$3,BD!$B$3:$B$5001,$A$100)))</f>
        <v/>
      </c>
      <c r="P108" s="214" t="str">
        <f>IF(P$3="","",IF(COUNTIFS(BD!$A$3:$A$5001,P$3,BD!$B$3:$B$5001,$A$100,BD!$L$3:$L$5001,"&lt;&gt;")=0,"",SUMIFS(BD!$L$3:$L$5001,BD!$A$3:$A$5001,P$3,BD!$B$3:$B$5001,$A$100)))</f>
        <v/>
      </c>
      <c r="Q108" s="214" t="str">
        <f>IF(Q$3="","",IF(COUNTIFS(BD!$A$3:$A$5001,Q$3,BD!$B$3:$B$5001,$A$100,BD!$L$3:$L$5001,"&lt;&gt;")=0,"",SUMIFS(BD!$L$3:$L$5001,BD!$A$3:$A$5001,Q$3,BD!$B$3:$B$5001,$A$100)))</f>
        <v/>
      </c>
      <c r="R108" s="214" t="str">
        <f>IF(R$3="","",IF(COUNTIFS(BD!$A$3:$A$5001,R$3,BD!$B$3:$B$5001,$A$100,BD!$L$3:$L$5001,"&lt;&gt;")=0,"",SUMIFS(BD!$L$3:$L$5001,BD!$A$3:$A$5001,R$3,BD!$B$3:$B$5001,$A$100)))</f>
        <v/>
      </c>
      <c r="S108" s="214" t="str">
        <f>IF(S$3="","",IF(COUNTIFS(BD!$A$3:$A$5001,S$3,BD!$B$3:$B$5001,$A$100,BD!$L$3:$L$5001,"&lt;&gt;")=0,"",SUMIFS(BD!$L$3:$L$5001,BD!$A$3:$A$5001,S$3,BD!$B$3:$B$5001,$A$100)))</f>
        <v/>
      </c>
      <c r="T108" s="214" t="str">
        <f>IF(T$3="","",IF(COUNTIFS(BD!$A$3:$A$5001,T$3,BD!$B$3:$B$5001,$A$100,BD!$L$3:$L$5001,"&lt;&gt;")=0,"",SUMIFS(BD!$L$3:$L$5001,BD!$A$3:$A$5001,T$3,BD!$B$3:$B$5001,$A$100)))</f>
        <v/>
      </c>
      <c r="U108" s="214" t="str">
        <f>IF(U$3="","",IF(COUNTIFS(BD!$A$3:$A$5001,U$3,BD!$B$3:$B$5001,$A$100,BD!$L$3:$L$5001,"&lt;&gt;")=0,"",SUMIFS(BD!$L$3:$L$5001,BD!$A$3:$A$5001,U$3,BD!$B$3:$B$5001,$A$100)))</f>
        <v/>
      </c>
      <c r="V108" s="214" t="str">
        <f>IF(V$3="","",IF(COUNTIFS(BD!$A$3:$A$5001,V$3,BD!$B$3:$B$5001,$A$100,BD!$L$3:$L$5001,"&lt;&gt;")=0,"",SUMIFS(BD!$L$3:$L$5001,BD!$A$3:$A$5001,V$3,BD!$B$3:$B$5001,$A$100)))</f>
        <v/>
      </c>
      <c r="W108" s="214" t="str">
        <f>IF(W$3="","",IF(COUNTIFS(BD!$A$3:$A$5001,W$3,BD!$B$3:$B$5001,$A$100,BD!$L$3:$L$5001,"&lt;&gt;")=0,"",SUMIFS(BD!$L$3:$L$5001,BD!$A$3:$A$5001,W$3,BD!$B$3:$B$5001,$A$100)))</f>
        <v/>
      </c>
      <c r="X108" s="214" t="str">
        <f>IF(X$3="","",IF(COUNTIFS(BD!$A$3:$A$5001,X$3,BD!$B$3:$B$5001,$A$100,BD!$L$3:$L$5001,"&lt;&gt;")=0,"",SUMIFS(BD!$L$3:$L$5001,BD!$A$3:$A$5001,X$3,BD!$B$3:$B$5001,$A$100)))</f>
        <v/>
      </c>
      <c r="Y108" s="214" t="str">
        <f>IF(Y$3="","",IF(COUNTIFS(BD!$A$3:$A$5001,Y$3,BD!$B$3:$B$5001,$A$100,BD!$L$3:$L$5001,"&lt;&gt;")=0,"",SUMIFS(BD!$L$3:$L$5001,BD!$A$3:$A$5001,Y$3,BD!$B$3:$B$5001,$A$100)))</f>
        <v/>
      </c>
      <c r="Z108" s="214" t="str">
        <f>IF(Z$3="","",IF(COUNTIFS(BD!$A$3:$A$5001,Z$3,BD!$B$3:$B$5001,$A$100,BD!$L$3:$L$5001,"&lt;&gt;")=0,"",SUMIFS(BD!$L$3:$L$5001,BD!$A$3:$A$5001,Z$3,BD!$B$3:$B$5001,$A$100)))</f>
        <v/>
      </c>
      <c r="AA108" s="214" t="str">
        <f>IF(AA$3="","",IF(COUNTIFS(BD!$A$3:$A$5001,AA$3,BD!$B$3:$B$5001,$A$100,BD!$L$3:$L$5001,"&lt;&gt;")=0,"",SUMIFS(BD!$L$3:$L$5001,BD!$A$3:$A$5001,AA$3,BD!$B$3:$B$5001,$A$100)))</f>
        <v/>
      </c>
      <c r="AB108" s="214" t="str">
        <f>IF(AB$3="","",IF(COUNTIFS(BD!$A$3:$A$5001,AB$3,BD!$B$3:$B$5001,$A$100,BD!$L$3:$L$5001,"&lt;&gt;")=0,"",SUMIFS(BD!$L$3:$L$5001,BD!$A$3:$A$5001,AB$3,BD!$B$3:$B$5001,$A$100)))</f>
        <v/>
      </c>
      <c r="AC108" s="214" t="str">
        <f>IF(AC$3="","",IF(COUNTIFS(BD!$A$3:$A$5001,AC$3,BD!$B$3:$B$5001,$A$100,BD!$L$3:$L$5001,"&lt;&gt;")=0,"",SUMIFS(BD!$L$3:$L$5001,BD!$A$3:$A$5001,AC$3,BD!$B$3:$B$5001,$A$100)))</f>
        <v/>
      </c>
      <c r="AD108" s="214" t="str">
        <f>IF(AD$3="","",IF(COUNTIFS(BD!$A$3:$A$5001,AD$3,BD!$B$3:$B$5001,$A$100,BD!$L$3:$L$5001,"&lt;&gt;")=0,"",SUMIFS(BD!$L$3:$L$5001,BD!$A$3:$A$5001,AD$3,BD!$B$3:$B$5001,$A$100)))</f>
        <v/>
      </c>
      <c r="AE108" s="214" t="str">
        <f>IF(AE$3="","",IF(COUNTIFS(BD!$A$3:$A$5001,AE$3,BD!$B$3:$B$5001,$A$100,BD!$L$3:$L$5001,"&lt;&gt;")=0,"",SUMIFS(BD!$L$3:$L$5001,BD!$A$3:$A$5001,AE$3,BD!$B$3:$B$5001,$A$100)))</f>
        <v/>
      </c>
      <c r="AF108" s="214" t="str">
        <f>IF(AF$3="","",IF(COUNTIFS(BD!$A$3:$A$5001,AF$3,BD!$B$3:$B$5001,$A$100,BD!$L$3:$L$5001,"&lt;&gt;")=0,"",SUMIFS(BD!$L$3:$L$5001,BD!$A$3:$A$5001,AF$3,BD!$B$3:$B$5001,$A$100)))</f>
        <v/>
      </c>
      <c r="AG108" s="214" t="str">
        <f>IF(AG$3="","",IF(COUNTIFS(BD!$A$3:$A$5001,AG$3,BD!$B$3:$B$5001,$A$100,BD!$L$3:$L$5001,"&lt;&gt;")=0,"",SUMIFS(BD!$L$3:$L$5001,BD!$A$3:$A$5001,AG$3,BD!$B$3:$B$5001,$A$100)))</f>
        <v/>
      </c>
      <c r="AH108" s="214" t="str">
        <f>IF(AH$3="","",IF(COUNTIFS(BD!$A$3:$A$5001,AH$3,BD!$B$3:$B$5001,$A$100,BD!$L$3:$L$5001,"&lt;&gt;")=0,"",SUMIFS(BD!$L$3:$L$5001,BD!$A$3:$A$5001,AH$3,BD!$B$3:$B$5001,$A$100)))</f>
        <v/>
      </c>
      <c r="AI108" s="214" t="str">
        <f>IF(AI$3="","",IF(COUNTIFS(BD!$A$3:$A$5001,AI$3,BD!$B$3:$B$5001,$A$100,BD!$L$3:$L$5001,"&lt;&gt;")=0,"",SUMIFS(BD!$L$3:$L$5001,BD!$A$3:$A$5001,AI$3,BD!$B$3:$B$5001,$A$100)))</f>
        <v/>
      </c>
      <c r="AJ108" s="215" t="str">
        <f>IF(AJ$3="","",IF(COUNTIFS(BD!$A$3:$A$5001,AJ$3,BD!$B$3:$B$5001,$A$100,BD!$L$3:$L$5001,"&lt;&gt;")=0,"",SUMIFS(BD!$L$3:$L$5001,BD!$A$3:$A$5001,AJ$3,BD!$B$3:$B$5001,$A$100)))</f>
        <v/>
      </c>
      <c r="AK108" s="211" t="str">
        <f>IF(COUNT(F108:AJ108)=0,"",SUM(F108:AJ108))</f>
        <v/>
      </c>
    </row>
    <row r="109" ht="15.75" customHeight="1">
      <c r="A109" s="277"/>
      <c r="B109" s="270" t="inlineStr">
        <is>
          <t xml:space="preserve">NC</t>
        </is>
      </c>
      <c r="C109" s="216" t="inlineStr">
        <is>
          <t xml:space="preserve">Incidentes</t>
        </is>
      </c>
      <c r="D109" s="217" t="str">
        <f>IFERROR(1/(1/INDEX(BD!$AF$34:$AZ$34,MATCH($A$100,BD!$AF$22:$AZ$22,0))),"")</f>
        <v/>
      </c>
      <c r="E109" s="218"/>
      <c r="F109" s="219" t="str">
        <f>IF(F$3="","",IF(COUNTIFS(BD!$A$3:$A$5001,F$3,BD!$B$3:$B$5001,$A$100,BD!$N$3:$N$5001,"&lt;&gt;")=0,"",SUMIFS(BD!$N$3:$N$5001,BD!$A$3:$A$5001,F$3,BD!$B$3:$B$5001,$A$100)))</f>
        <v/>
      </c>
      <c r="G109" s="220" t="str">
        <f>IF(G$3="","",IF(COUNTIFS(BD!$A$3:$A$5001,G$3,BD!$B$3:$B$5001,$A$100,BD!$N$3:$N$5001,"&lt;&gt;")=0,"",SUMIFS(BD!$N$3:$N$5001,BD!$A$3:$A$5001,G$3,BD!$B$3:$B$5001,$A$100)))</f>
        <v/>
      </c>
      <c r="H109" s="220" t="str">
        <f>IF(H$3="","",IF(COUNTIFS(BD!$A$3:$A$5001,H$3,BD!$B$3:$B$5001,$A$100,BD!$N$3:$N$5001,"&lt;&gt;")=0,"",SUMIFS(BD!$N$3:$N$5001,BD!$A$3:$A$5001,H$3,BD!$B$3:$B$5001,$A$100)))</f>
        <v/>
      </c>
      <c r="I109" s="220" t="str">
        <f>IF(I$3="","",IF(COUNTIFS(BD!$A$3:$A$5001,I$3,BD!$B$3:$B$5001,$A$100,BD!$N$3:$N$5001,"&lt;&gt;")=0,"",SUMIFS(BD!$N$3:$N$5001,BD!$A$3:$A$5001,I$3,BD!$B$3:$B$5001,$A$100)))</f>
        <v/>
      </c>
      <c r="J109" s="220" t="str">
        <f>IF(J$3="","",IF(COUNTIFS(BD!$A$3:$A$5001,J$3,BD!$B$3:$B$5001,$A$100,BD!$N$3:$N$5001,"&lt;&gt;")=0,"",SUMIFS(BD!$N$3:$N$5001,BD!$A$3:$A$5001,J$3,BD!$B$3:$B$5001,$A$100)))</f>
        <v/>
      </c>
      <c r="K109" s="220" t="str">
        <f>IF(K$3="","",IF(COUNTIFS(BD!$A$3:$A$5001,K$3,BD!$B$3:$B$5001,$A$100,BD!$N$3:$N$5001,"&lt;&gt;")=0,"",SUMIFS(BD!$N$3:$N$5001,BD!$A$3:$A$5001,K$3,BD!$B$3:$B$5001,$A$100)))</f>
        <v/>
      </c>
      <c r="L109" s="220" t="str">
        <f>IF(L$3="","",IF(COUNTIFS(BD!$A$3:$A$5001,L$3,BD!$B$3:$B$5001,$A$100,BD!$N$3:$N$5001,"&lt;&gt;")=0,"",SUMIFS(BD!$N$3:$N$5001,BD!$A$3:$A$5001,L$3,BD!$B$3:$B$5001,$A$100)))</f>
        <v/>
      </c>
      <c r="M109" s="220" t="str">
        <f>IF(M$3="","",IF(COUNTIFS(BD!$A$3:$A$5001,M$3,BD!$B$3:$B$5001,$A$100,BD!$N$3:$N$5001,"&lt;&gt;")=0,"",SUMIFS(BD!$N$3:$N$5001,BD!$A$3:$A$5001,M$3,BD!$B$3:$B$5001,$A$100)))</f>
        <v/>
      </c>
      <c r="N109" s="220" t="str">
        <f>IF(N$3="","",IF(COUNTIFS(BD!$A$3:$A$5001,N$3,BD!$B$3:$B$5001,$A$100,BD!$N$3:$N$5001,"&lt;&gt;")=0,"",SUMIFS(BD!$N$3:$N$5001,BD!$A$3:$A$5001,N$3,BD!$B$3:$B$5001,$A$100)))</f>
        <v/>
      </c>
      <c r="O109" s="220" t="str">
        <f>IF(O$3="","",IF(COUNTIFS(BD!$A$3:$A$5001,O$3,BD!$B$3:$B$5001,$A$100,BD!$N$3:$N$5001,"&lt;&gt;")=0,"",SUMIFS(BD!$N$3:$N$5001,BD!$A$3:$A$5001,O$3,BD!$B$3:$B$5001,$A$100)))</f>
        <v/>
      </c>
      <c r="P109" s="220" t="str">
        <f>IF(P$3="","",IF(COUNTIFS(BD!$A$3:$A$5001,P$3,BD!$B$3:$B$5001,$A$100,BD!$N$3:$N$5001,"&lt;&gt;")=0,"",SUMIFS(BD!$N$3:$N$5001,BD!$A$3:$A$5001,P$3,BD!$B$3:$B$5001,$A$100)))</f>
        <v/>
      </c>
      <c r="Q109" s="220" t="str">
        <f>IF(Q$3="","",IF(COUNTIFS(BD!$A$3:$A$5001,Q$3,BD!$B$3:$B$5001,$A$100,BD!$N$3:$N$5001,"&lt;&gt;")=0,"",SUMIFS(BD!$N$3:$N$5001,BD!$A$3:$A$5001,Q$3,BD!$B$3:$B$5001,$A$100)))</f>
        <v/>
      </c>
      <c r="R109" s="220" t="str">
        <f>IF(R$3="","",IF(COUNTIFS(BD!$A$3:$A$5001,R$3,BD!$B$3:$B$5001,$A$100,BD!$N$3:$N$5001,"&lt;&gt;")=0,"",SUMIFS(BD!$N$3:$N$5001,BD!$A$3:$A$5001,R$3,BD!$B$3:$B$5001,$A$100)))</f>
        <v/>
      </c>
      <c r="S109" s="220" t="str">
        <f>IF(S$3="","",IF(COUNTIFS(BD!$A$3:$A$5001,S$3,BD!$B$3:$B$5001,$A$100,BD!$N$3:$N$5001,"&lt;&gt;")=0,"",SUMIFS(BD!$N$3:$N$5001,BD!$A$3:$A$5001,S$3,BD!$B$3:$B$5001,$A$100)))</f>
        <v/>
      </c>
      <c r="T109" s="220" t="str">
        <f>IF(T$3="","",IF(COUNTIFS(BD!$A$3:$A$5001,T$3,BD!$B$3:$B$5001,$A$100,BD!$N$3:$N$5001,"&lt;&gt;")=0,"",SUMIFS(BD!$N$3:$N$5001,BD!$A$3:$A$5001,T$3,BD!$B$3:$B$5001,$A$100)))</f>
        <v/>
      </c>
      <c r="U109" s="220" t="str">
        <f>IF(U$3="","",IF(COUNTIFS(BD!$A$3:$A$5001,U$3,BD!$B$3:$B$5001,$A$100,BD!$N$3:$N$5001,"&lt;&gt;")=0,"",SUMIFS(BD!$N$3:$N$5001,BD!$A$3:$A$5001,U$3,BD!$B$3:$B$5001,$A$100)))</f>
        <v/>
      </c>
      <c r="V109" s="220" t="str">
        <f>IF(V$3="","",IF(COUNTIFS(BD!$A$3:$A$5001,V$3,BD!$B$3:$B$5001,$A$100,BD!$N$3:$N$5001,"&lt;&gt;")=0,"",SUMIFS(BD!$N$3:$N$5001,BD!$A$3:$A$5001,V$3,BD!$B$3:$B$5001,$A$100)))</f>
        <v/>
      </c>
      <c r="W109" s="220" t="str">
        <f>IF(W$3="","",IF(COUNTIFS(BD!$A$3:$A$5001,W$3,BD!$B$3:$B$5001,$A$100,BD!$N$3:$N$5001,"&lt;&gt;")=0,"",SUMIFS(BD!$N$3:$N$5001,BD!$A$3:$A$5001,W$3,BD!$B$3:$B$5001,$A$100)))</f>
        <v/>
      </c>
      <c r="X109" s="220" t="str">
        <f>IF(X$3="","",IF(COUNTIFS(BD!$A$3:$A$5001,X$3,BD!$B$3:$B$5001,$A$100,BD!$N$3:$N$5001,"&lt;&gt;")=0,"",SUMIFS(BD!$N$3:$N$5001,BD!$A$3:$A$5001,X$3,BD!$B$3:$B$5001,$A$100)))</f>
        <v/>
      </c>
      <c r="Y109" s="220" t="str">
        <f>IF(Y$3="","",IF(COUNTIFS(BD!$A$3:$A$5001,Y$3,BD!$B$3:$B$5001,$A$100,BD!$N$3:$N$5001,"&lt;&gt;")=0,"",SUMIFS(BD!$N$3:$N$5001,BD!$A$3:$A$5001,Y$3,BD!$B$3:$B$5001,$A$100)))</f>
        <v/>
      </c>
      <c r="Z109" s="220" t="str">
        <f>IF(Z$3="","",IF(COUNTIFS(BD!$A$3:$A$5001,Z$3,BD!$B$3:$B$5001,$A$100,BD!$N$3:$N$5001,"&lt;&gt;")=0,"",SUMIFS(BD!$N$3:$N$5001,BD!$A$3:$A$5001,Z$3,BD!$B$3:$B$5001,$A$100)))</f>
        <v/>
      </c>
      <c r="AA109" s="220" t="str">
        <f>IF(AA$3="","",IF(COUNTIFS(BD!$A$3:$A$5001,AA$3,BD!$B$3:$B$5001,$A$100,BD!$N$3:$N$5001,"&lt;&gt;")=0,"",SUMIFS(BD!$N$3:$N$5001,BD!$A$3:$A$5001,AA$3,BD!$B$3:$B$5001,$A$100)))</f>
        <v/>
      </c>
      <c r="AB109" s="220" t="str">
        <f>IF(AB$3="","",IF(COUNTIFS(BD!$A$3:$A$5001,AB$3,BD!$B$3:$B$5001,$A$100,BD!$N$3:$N$5001,"&lt;&gt;")=0,"",SUMIFS(BD!$N$3:$N$5001,BD!$A$3:$A$5001,AB$3,BD!$B$3:$B$5001,$A$100)))</f>
        <v/>
      </c>
      <c r="AC109" s="220" t="str">
        <f>IF(AC$3="","",IF(COUNTIFS(BD!$A$3:$A$5001,AC$3,BD!$B$3:$B$5001,$A$100,BD!$N$3:$N$5001,"&lt;&gt;")=0,"",SUMIFS(BD!$N$3:$N$5001,BD!$A$3:$A$5001,AC$3,BD!$B$3:$B$5001,$A$100)))</f>
        <v/>
      </c>
      <c r="AD109" s="220" t="str">
        <f>IF(AD$3="","",IF(COUNTIFS(BD!$A$3:$A$5001,AD$3,BD!$B$3:$B$5001,$A$100,BD!$N$3:$N$5001,"&lt;&gt;")=0,"",SUMIFS(BD!$N$3:$N$5001,BD!$A$3:$A$5001,AD$3,BD!$B$3:$B$5001,$A$100)))</f>
        <v/>
      </c>
      <c r="AE109" s="220" t="str">
        <f>IF(AE$3="","",IF(COUNTIFS(BD!$A$3:$A$5001,AE$3,BD!$B$3:$B$5001,$A$100,BD!$N$3:$N$5001,"&lt;&gt;")=0,"",SUMIFS(BD!$N$3:$N$5001,BD!$A$3:$A$5001,AE$3,BD!$B$3:$B$5001,$A$100)))</f>
        <v/>
      </c>
      <c r="AF109" s="220" t="str">
        <f>IF(AF$3="","",IF(COUNTIFS(BD!$A$3:$A$5001,AF$3,BD!$B$3:$B$5001,$A$100,BD!$N$3:$N$5001,"&lt;&gt;")=0,"",SUMIFS(BD!$N$3:$N$5001,BD!$A$3:$A$5001,AF$3,BD!$B$3:$B$5001,$A$100)))</f>
        <v/>
      </c>
      <c r="AG109" s="220" t="str">
        <f>IF(AG$3="","",IF(COUNTIFS(BD!$A$3:$A$5001,AG$3,BD!$B$3:$B$5001,$A$100,BD!$N$3:$N$5001,"&lt;&gt;")=0,"",SUMIFS(BD!$N$3:$N$5001,BD!$A$3:$A$5001,AG$3,BD!$B$3:$B$5001,$A$100)))</f>
        <v/>
      </c>
      <c r="AH109" s="220" t="str">
        <f>IF(AH$3="","",IF(COUNTIFS(BD!$A$3:$A$5001,AH$3,BD!$B$3:$B$5001,$A$100,BD!$N$3:$N$5001,"&lt;&gt;")=0,"",SUMIFS(BD!$N$3:$N$5001,BD!$A$3:$A$5001,AH$3,BD!$B$3:$B$5001,$A$100)))</f>
        <v/>
      </c>
      <c r="AI109" s="220" t="str">
        <f>IF(AI$3="","",IF(COUNTIFS(BD!$A$3:$A$5001,AI$3,BD!$B$3:$B$5001,$A$100,BD!$N$3:$N$5001,"&lt;&gt;")=0,"",SUMIFS(BD!$N$3:$N$5001,BD!$A$3:$A$5001,AI$3,BD!$B$3:$B$5001,$A$100)))</f>
        <v/>
      </c>
      <c r="AJ109" s="221" t="str">
        <f>IF(AJ$3="","",IF(COUNTIFS(BD!$A$3:$A$5001,AJ$3,BD!$B$3:$B$5001,$A$100,BD!$N$3:$N$5001,"&lt;&gt;")=0,"",SUMIFS(BD!$N$3:$N$5001,BD!$A$3:$A$5001,AJ$3,BD!$B$3:$B$5001,$A$100)))</f>
        <v/>
      </c>
      <c r="AK109" s="222" t="str">
        <f>IF(COUNT(F109:AJ109)=0,"",SUM(F109:AJ109))</f>
        <v/>
      </c>
    </row>
    <row r="110" ht="15.75" customHeight="1">
      <c r="A110" s="277"/>
      <c r="B110" s="271"/>
      <c r="C110" s="223" t="inlineStr">
        <is>
          <t xml:space="preserve">No show</t>
        </is>
      </c>
      <c r="D110" s="224" t="str">
        <f>IFERROR(1/(1/INDEX(BD!$AF$35:$AZ$35,MATCH($A$100,BD!$AF$22:$AZ$22,0))),"")</f>
        <v/>
      </c>
      <c r="E110" s="225"/>
      <c r="F110" s="226" t="str">
        <f>IF(F$3="","",IF(COUNTIFS(BD!$A$3:$A$5001,F$3,BD!$B$3:$B$5001,$A$100,BD!$O$3:$O$5001,"&lt;&gt;")=0,"",SUMIFS(BD!$O$3:$O$5001,BD!$A$3:$A$5001,F$3,BD!$B$3:$B$5001,$A$100)))</f>
        <v/>
      </c>
      <c r="G110" s="227" t="str">
        <f>IF(G$3="","",IF(COUNTIFS(BD!$A$3:$A$5001,G$3,BD!$B$3:$B$5001,$A$100,BD!$O$3:$O$5001,"&lt;&gt;")=0,"",SUMIFS(BD!$O$3:$O$5001,BD!$A$3:$A$5001,G$3,BD!$B$3:$B$5001,$A$100)))</f>
        <v/>
      </c>
      <c r="H110" s="227" t="str">
        <f>IF(H$3="","",IF(COUNTIFS(BD!$A$3:$A$5001,H$3,BD!$B$3:$B$5001,$A$100,BD!$O$3:$O$5001,"&lt;&gt;")=0,"",SUMIFS(BD!$O$3:$O$5001,BD!$A$3:$A$5001,H$3,BD!$B$3:$B$5001,$A$100)))</f>
        <v/>
      </c>
      <c r="I110" s="227" t="str">
        <f>IF(I$3="","",IF(COUNTIFS(BD!$A$3:$A$5001,I$3,BD!$B$3:$B$5001,$A$100,BD!$O$3:$O$5001,"&lt;&gt;")=0,"",SUMIFS(BD!$O$3:$O$5001,BD!$A$3:$A$5001,I$3,BD!$B$3:$B$5001,$A$100)))</f>
        <v/>
      </c>
      <c r="J110" s="227" t="str">
        <f>IF(J$3="","",IF(COUNTIFS(BD!$A$3:$A$5001,J$3,BD!$B$3:$B$5001,$A$100,BD!$O$3:$O$5001,"&lt;&gt;")=0,"",SUMIFS(BD!$O$3:$O$5001,BD!$A$3:$A$5001,J$3,BD!$B$3:$B$5001,$A$100)))</f>
        <v/>
      </c>
      <c r="K110" s="227" t="str">
        <f>IF(K$3="","",IF(COUNTIFS(BD!$A$3:$A$5001,K$3,BD!$B$3:$B$5001,$A$100,BD!$O$3:$O$5001,"&lt;&gt;")=0,"",SUMIFS(BD!$O$3:$O$5001,BD!$A$3:$A$5001,K$3,BD!$B$3:$B$5001,$A$100)))</f>
        <v/>
      </c>
      <c r="L110" s="227" t="str">
        <f>IF(L$3="","",IF(COUNTIFS(BD!$A$3:$A$5001,L$3,BD!$B$3:$B$5001,$A$100,BD!$O$3:$O$5001,"&lt;&gt;")=0,"",SUMIFS(BD!$O$3:$O$5001,BD!$A$3:$A$5001,L$3,BD!$B$3:$B$5001,$A$100)))</f>
        <v/>
      </c>
      <c r="M110" s="227" t="str">
        <f>IF(M$3="","",IF(COUNTIFS(BD!$A$3:$A$5001,M$3,BD!$B$3:$B$5001,$A$100,BD!$O$3:$O$5001,"&lt;&gt;")=0,"",SUMIFS(BD!$O$3:$O$5001,BD!$A$3:$A$5001,M$3,BD!$B$3:$B$5001,$A$100)))</f>
        <v/>
      </c>
      <c r="N110" s="227" t="str">
        <f>IF(N$3="","",IF(COUNTIFS(BD!$A$3:$A$5001,N$3,BD!$B$3:$B$5001,$A$100,BD!$O$3:$O$5001,"&lt;&gt;")=0,"",SUMIFS(BD!$O$3:$O$5001,BD!$A$3:$A$5001,N$3,BD!$B$3:$B$5001,$A$100)))</f>
        <v/>
      </c>
      <c r="O110" s="227" t="str">
        <f>IF(O$3="","",IF(COUNTIFS(BD!$A$3:$A$5001,O$3,BD!$B$3:$B$5001,$A$100,BD!$O$3:$O$5001,"&lt;&gt;")=0,"",SUMIFS(BD!$O$3:$O$5001,BD!$A$3:$A$5001,O$3,BD!$B$3:$B$5001,$A$100)))</f>
        <v/>
      </c>
      <c r="P110" s="227" t="str">
        <f>IF(P$3="","",IF(COUNTIFS(BD!$A$3:$A$5001,P$3,BD!$B$3:$B$5001,$A$100,BD!$O$3:$O$5001,"&lt;&gt;")=0,"",SUMIFS(BD!$O$3:$O$5001,BD!$A$3:$A$5001,P$3,BD!$B$3:$B$5001,$A$100)))</f>
        <v/>
      </c>
      <c r="Q110" s="227" t="str">
        <f>IF(Q$3="","",IF(COUNTIFS(BD!$A$3:$A$5001,Q$3,BD!$B$3:$B$5001,$A$100,BD!$O$3:$O$5001,"&lt;&gt;")=0,"",SUMIFS(BD!$O$3:$O$5001,BD!$A$3:$A$5001,Q$3,BD!$B$3:$B$5001,$A$100)))</f>
        <v/>
      </c>
      <c r="R110" s="227" t="str">
        <f>IF(R$3="","",IF(COUNTIFS(BD!$A$3:$A$5001,R$3,BD!$B$3:$B$5001,$A$100,BD!$O$3:$O$5001,"&lt;&gt;")=0,"",SUMIFS(BD!$O$3:$O$5001,BD!$A$3:$A$5001,R$3,BD!$B$3:$B$5001,$A$100)))</f>
        <v/>
      </c>
      <c r="S110" s="227" t="str">
        <f>IF(S$3="","",IF(COUNTIFS(BD!$A$3:$A$5001,S$3,BD!$B$3:$B$5001,$A$100,BD!$O$3:$O$5001,"&lt;&gt;")=0,"",SUMIFS(BD!$O$3:$O$5001,BD!$A$3:$A$5001,S$3,BD!$B$3:$B$5001,$A$100)))</f>
        <v/>
      </c>
      <c r="T110" s="227" t="str">
        <f>IF(T$3="","",IF(COUNTIFS(BD!$A$3:$A$5001,T$3,BD!$B$3:$B$5001,$A$100,BD!$O$3:$O$5001,"&lt;&gt;")=0,"",SUMIFS(BD!$O$3:$O$5001,BD!$A$3:$A$5001,T$3,BD!$B$3:$B$5001,$A$100)))</f>
        <v/>
      </c>
      <c r="U110" s="227" t="str">
        <f>IF(U$3="","",IF(COUNTIFS(BD!$A$3:$A$5001,U$3,BD!$B$3:$B$5001,$A$100,BD!$O$3:$O$5001,"&lt;&gt;")=0,"",SUMIFS(BD!$O$3:$O$5001,BD!$A$3:$A$5001,U$3,BD!$B$3:$B$5001,$A$100)))</f>
        <v/>
      </c>
      <c r="V110" s="227" t="str">
        <f>IF(V$3="","",IF(COUNTIFS(BD!$A$3:$A$5001,V$3,BD!$B$3:$B$5001,$A$100,BD!$O$3:$O$5001,"&lt;&gt;")=0,"",SUMIFS(BD!$O$3:$O$5001,BD!$A$3:$A$5001,V$3,BD!$B$3:$B$5001,$A$100)))</f>
        <v/>
      </c>
      <c r="W110" s="227" t="str">
        <f>IF(W$3="","",IF(COUNTIFS(BD!$A$3:$A$5001,W$3,BD!$B$3:$B$5001,$A$100,BD!$O$3:$O$5001,"&lt;&gt;")=0,"",SUMIFS(BD!$O$3:$O$5001,BD!$A$3:$A$5001,W$3,BD!$B$3:$B$5001,$A$100)))</f>
        <v/>
      </c>
      <c r="X110" s="227" t="str">
        <f>IF(X$3="","",IF(COUNTIFS(BD!$A$3:$A$5001,X$3,BD!$B$3:$B$5001,$A$100,BD!$O$3:$O$5001,"&lt;&gt;")=0,"",SUMIFS(BD!$O$3:$O$5001,BD!$A$3:$A$5001,X$3,BD!$B$3:$B$5001,$A$100)))</f>
        <v/>
      </c>
      <c r="Y110" s="227" t="str">
        <f>IF(Y$3="","",IF(COUNTIFS(BD!$A$3:$A$5001,Y$3,BD!$B$3:$B$5001,$A$100,BD!$O$3:$O$5001,"&lt;&gt;")=0,"",SUMIFS(BD!$O$3:$O$5001,BD!$A$3:$A$5001,Y$3,BD!$B$3:$B$5001,$A$100)))</f>
        <v/>
      </c>
      <c r="Z110" s="227" t="str">
        <f>IF(Z$3="","",IF(COUNTIFS(BD!$A$3:$A$5001,Z$3,BD!$B$3:$B$5001,$A$100,BD!$O$3:$O$5001,"&lt;&gt;")=0,"",SUMIFS(BD!$O$3:$O$5001,BD!$A$3:$A$5001,Z$3,BD!$B$3:$B$5001,$A$100)))</f>
        <v/>
      </c>
      <c r="AA110" s="227" t="str">
        <f>IF(AA$3="","",IF(COUNTIFS(BD!$A$3:$A$5001,AA$3,BD!$B$3:$B$5001,$A$100,BD!$O$3:$O$5001,"&lt;&gt;")=0,"",SUMIFS(BD!$O$3:$O$5001,BD!$A$3:$A$5001,AA$3,BD!$B$3:$B$5001,$A$100)))</f>
        <v/>
      </c>
      <c r="AB110" s="227" t="str">
        <f>IF(AB$3="","",IF(COUNTIFS(BD!$A$3:$A$5001,AB$3,BD!$B$3:$B$5001,$A$100,BD!$O$3:$O$5001,"&lt;&gt;")=0,"",SUMIFS(BD!$O$3:$O$5001,BD!$A$3:$A$5001,AB$3,BD!$B$3:$B$5001,$A$100)))</f>
        <v/>
      </c>
      <c r="AC110" s="227" t="str">
        <f>IF(AC$3="","",IF(COUNTIFS(BD!$A$3:$A$5001,AC$3,BD!$B$3:$B$5001,$A$100,BD!$O$3:$O$5001,"&lt;&gt;")=0,"",SUMIFS(BD!$O$3:$O$5001,BD!$A$3:$A$5001,AC$3,BD!$B$3:$B$5001,$A$100)))</f>
        <v/>
      </c>
      <c r="AD110" s="227" t="str">
        <f>IF(AD$3="","",IF(COUNTIFS(BD!$A$3:$A$5001,AD$3,BD!$B$3:$B$5001,$A$100,BD!$O$3:$O$5001,"&lt;&gt;")=0,"",SUMIFS(BD!$O$3:$O$5001,BD!$A$3:$A$5001,AD$3,BD!$B$3:$B$5001,$A$100)))</f>
        <v/>
      </c>
      <c r="AE110" s="227" t="str">
        <f>IF(AE$3="","",IF(COUNTIFS(BD!$A$3:$A$5001,AE$3,BD!$B$3:$B$5001,$A$100,BD!$O$3:$O$5001,"&lt;&gt;")=0,"",SUMIFS(BD!$O$3:$O$5001,BD!$A$3:$A$5001,AE$3,BD!$B$3:$B$5001,$A$100)))</f>
        <v/>
      </c>
      <c r="AF110" s="227" t="str">
        <f>IF(AF$3="","",IF(COUNTIFS(BD!$A$3:$A$5001,AF$3,BD!$B$3:$B$5001,$A$100,BD!$O$3:$O$5001,"&lt;&gt;")=0,"",SUMIFS(BD!$O$3:$O$5001,BD!$A$3:$A$5001,AF$3,BD!$B$3:$B$5001,$A$100)))</f>
        <v/>
      </c>
      <c r="AG110" s="227" t="str">
        <f>IF(AG$3="","",IF(COUNTIFS(BD!$A$3:$A$5001,AG$3,BD!$B$3:$B$5001,$A$100,BD!$O$3:$O$5001,"&lt;&gt;")=0,"",SUMIFS(BD!$O$3:$O$5001,BD!$A$3:$A$5001,AG$3,BD!$B$3:$B$5001,$A$100)))</f>
        <v/>
      </c>
      <c r="AH110" s="227" t="str">
        <f>IF(AH$3="","",IF(COUNTIFS(BD!$A$3:$A$5001,AH$3,BD!$B$3:$B$5001,$A$100,BD!$O$3:$O$5001,"&lt;&gt;")=0,"",SUMIFS(BD!$O$3:$O$5001,BD!$A$3:$A$5001,AH$3,BD!$B$3:$B$5001,$A$100)))</f>
        <v/>
      </c>
      <c r="AI110" s="227" t="str">
        <f>IF(AI$3="","",IF(COUNTIFS(BD!$A$3:$A$5001,AI$3,BD!$B$3:$B$5001,$A$100,BD!$O$3:$O$5001,"&lt;&gt;")=0,"",SUMIFS(BD!$O$3:$O$5001,BD!$A$3:$A$5001,AI$3,BD!$B$3:$B$5001,$A$100)))</f>
        <v/>
      </c>
      <c r="AJ110" s="228" t="str">
        <f>IF(AJ$3="","",IF(COUNTIFS(BD!$A$3:$A$5001,AJ$3,BD!$B$3:$B$5001,$A$100,BD!$O$3:$O$5001,"&lt;&gt;")=0,"",SUMIFS(BD!$O$3:$O$5001,BD!$A$3:$A$5001,AJ$3,BD!$B$3:$B$5001,$A$100)))</f>
        <v/>
      </c>
      <c r="AK110" s="229" t="str">
        <f>IF(COUNT(F110:AJ110)=0,"",SUM(F110:AJ110))</f>
        <v/>
      </c>
    </row>
    <row r="111" ht="15.75" customHeight="1">
      <c r="A111" s="277"/>
      <c r="B111" s="271"/>
      <c r="C111" s="223" t="inlineStr">
        <is>
          <t xml:space="preserve">Backlog Intralog</t>
        </is>
      </c>
      <c r="D111" s="224" t="str">
        <f>IFERROR(1/(1/INDEX(BD!$AF$36:$AZ$36,MATCH($A$100,BD!$AF$22:$AZ$22,0))),"")</f>
        <v/>
      </c>
      <c r="E111" s="225"/>
      <c r="F111" s="226" t="str">
        <f>IF(F$3="","",IF(COUNTIFS(BD!$A$3:$A$5001,F$3,BD!$B$3:$B$5001,$A$100,BD!$P$3:$P$5001,"&lt;&gt;")=0,"",SUMIFS(BD!$P$3:$P$5001,BD!$A$3:$A$5001,F$3,BD!$B$3:$B$5001,$A$100)))</f>
        <v/>
      </c>
      <c r="G111" s="227" t="str">
        <f>IF(G$3="","",IF(COUNTIFS(BD!$A$3:$A$5001,G$3,BD!$B$3:$B$5001,$A$100,BD!$P$3:$P$5001,"&lt;&gt;")=0,"",SUMIFS(BD!$P$3:$P$5001,BD!$A$3:$A$5001,G$3,BD!$B$3:$B$5001,$A$100)))</f>
        <v/>
      </c>
      <c r="H111" s="227" t="str">
        <f>IF(H$3="","",IF(COUNTIFS(BD!$A$3:$A$5001,H$3,BD!$B$3:$B$5001,$A$100,BD!$P$3:$P$5001,"&lt;&gt;")=0,"",SUMIFS(BD!$P$3:$P$5001,BD!$A$3:$A$5001,H$3,BD!$B$3:$B$5001,$A$100)))</f>
        <v/>
      </c>
      <c r="I111" s="227" t="str">
        <f>IF(I$3="","",IF(COUNTIFS(BD!$A$3:$A$5001,I$3,BD!$B$3:$B$5001,$A$100,BD!$P$3:$P$5001,"&lt;&gt;")=0,"",SUMIFS(BD!$P$3:$P$5001,BD!$A$3:$A$5001,I$3,BD!$B$3:$B$5001,$A$100)))</f>
        <v/>
      </c>
      <c r="J111" s="227" t="str">
        <f>IF(J$3="","",IF(COUNTIFS(BD!$A$3:$A$5001,J$3,BD!$B$3:$B$5001,$A$100,BD!$P$3:$P$5001,"&lt;&gt;")=0,"",SUMIFS(BD!$P$3:$P$5001,BD!$A$3:$A$5001,J$3,BD!$B$3:$B$5001,$A$100)))</f>
        <v/>
      </c>
      <c r="K111" s="227" t="str">
        <f>IF(K$3="","",IF(COUNTIFS(BD!$A$3:$A$5001,K$3,BD!$B$3:$B$5001,$A$100,BD!$P$3:$P$5001,"&lt;&gt;")=0,"",SUMIFS(BD!$P$3:$P$5001,BD!$A$3:$A$5001,K$3,BD!$B$3:$B$5001,$A$100)))</f>
        <v/>
      </c>
      <c r="L111" s="227" t="str">
        <f>IF(L$3="","",IF(COUNTIFS(BD!$A$3:$A$5001,L$3,BD!$B$3:$B$5001,$A$100,BD!$P$3:$P$5001,"&lt;&gt;")=0,"",SUMIFS(BD!$P$3:$P$5001,BD!$A$3:$A$5001,L$3,BD!$B$3:$B$5001,$A$100)))</f>
        <v/>
      </c>
      <c r="M111" s="227" t="str">
        <f>IF(M$3="","",IF(COUNTIFS(BD!$A$3:$A$5001,M$3,BD!$B$3:$B$5001,$A$100,BD!$P$3:$P$5001,"&lt;&gt;")=0,"",SUMIFS(BD!$P$3:$P$5001,BD!$A$3:$A$5001,M$3,BD!$B$3:$B$5001,$A$100)))</f>
        <v/>
      </c>
      <c r="N111" s="227" t="str">
        <f>IF(N$3="","",IF(COUNTIFS(BD!$A$3:$A$5001,N$3,BD!$B$3:$B$5001,$A$100,BD!$P$3:$P$5001,"&lt;&gt;")=0,"",SUMIFS(BD!$P$3:$P$5001,BD!$A$3:$A$5001,N$3,BD!$B$3:$B$5001,$A$100)))</f>
        <v/>
      </c>
      <c r="O111" s="227" t="str">
        <f>IF(O$3="","",IF(COUNTIFS(BD!$A$3:$A$5001,O$3,BD!$B$3:$B$5001,$A$100,BD!$P$3:$P$5001,"&lt;&gt;")=0,"",SUMIFS(BD!$P$3:$P$5001,BD!$A$3:$A$5001,O$3,BD!$B$3:$B$5001,$A$100)))</f>
        <v/>
      </c>
      <c r="P111" s="227" t="str">
        <f>IF(P$3="","",IF(COUNTIFS(BD!$A$3:$A$5001,P$3,BD!$B$3:$B$5001,$A$100,BD!$P$3:$P$5001,"&lt;&gt;")=0,"",SUMIFS(BD!$P$3:$P$5001,BD!$A$3:$A$5001,P$3,BD!$B$3:$B$5001,$A$100)))</f>
        <v/>
      </c>
      <c r="Q111" s="227" t="str">
        <f>IF(Q$3="","",IF(COUNTIFS(BD!$A$3:$A$5001,Q$3,BD!$B$3:$B$5001,$A$100,BD!$P$3:$P$5001,"&lt;&gt;")=0,"",SUMIFS(BD!$P$3:$P$5001,BD!$A$3:$A$5001,Q$3,BD!$B$3:$B$5001,$A$100)))</f>
        <v/>
      </c>
      <c r="R111" s="227" t="str">
        <f>IF(R$3="","",IF(COUNTIFS(BD!$A$3:$A$5001,R$3,BD!$B$3:$B$5001,$A$100,BD!$P$3:$P$5001,"&lt;&gt;")=0,"",SUMIFS(BD!$P$3:$P$5001,BD!$A$3:$A$5001,R$3,BD!$B$3:$B$5001,$A$100)))</f>
        <v/>
      </c>
      <c r="S111" s="227" t="str">
        <f>IF(S$3="","",IF(COUNTIFS(BD!$A$3:$A$5001,S$3,BD!$B$3:$B$5001,$A$100,BD!$P$3:$P$5001,"&lt;&gt;")=0,"",SUMIFS(BD!$P$3:$P$5001,BD!$A$3:$A$5001,S$3,BD!$B$3:$B$5001,$A$100)))</f>
        <v/>
      </c>
      <c r="T111" s="227" t="str">
        <f>IF(T$3="","",IF(COUNTIFS(BD!$A$3:$A$5001,T$3,BD!$B$3:$B$5001,$A$100,BD!$P$3:$P$5001,"&lt;&gt;")=0,"",SUMIFS(BD!$P$3:$P$5001,BD!$A$3:$A$5001,T$3,BD!$B$3:$B$5001,$A$100)))</f>
        <v/>
      </c>
      <c r="U111" s="227" t="str">
        <f>IF(U$3="","",IF(COUNTIFS(BD!$A$3:$A$5001,U$3,BD!$B$3:$B$5001,$A$100,BD!$P$3:$P$5001,"&lt;&gt;")=0,"",SUMIFS(BD!$P$3:$P$5001,BD!$A$3:$A$5001,U$3,BD!$B$3:$B$5001,$A$100)))</f>
        <v/>
      </c>
      <c r="V111" s="227" t="str">
        <f>IF(V$3="","",IF(COUNTIFS(BD!$A$3:$A$5001,V$3,BD!$B$3:$B$5001,$A$100,BD!$P$3:$P$5001,"&lt;&gt;")=0,"",SUMIFS(BD!$P$3:$P$5001,BD!$A$3:$A$5001,V$3,BD!$B$3:$B$5001,$A$100)))</f>
        <v/>
      </c>
      <c r="W111" s="227" t="str">
        <f>IF(W$3="","",IF(COUNTIFS(BD!$A$3:$A$5001,W$3,BD!$B$3:$B$5001,$A$100,BD!$P$3:$P$5001,"&lt;&gt;")=0,"",SUMIFS(BD!$P$3:$P$5001,BD!$A$3:$A$5001,W$3,BD!$B$3:$B$5001,$A$100)))</f>
        <v/>
      </c>
      <c r="X111" s="227" t="str">
        <f>IF(X$3="","",IF(COUNTIFS(BD!$A$3:$A$5001,X$3,BD!$B$3:$B$5001,$A$100,BD!$P$3:$P$5001,"&lt;&gt;")=0,"",SUMIFS(BD!$P$3:$P$5001,BD!$A$3:$A$5001,X$3,BD!$B$3:$B$5001,$A$100)))</f>
        <v/>
      </c>
      <c r="Y111" s="227" t="str">
        <f>IF(Y$3="","",IF(COUNTIFS(BD!$A$3:$A$5001,Y$3,BD!$B$3:$B$5001,$A$100,BD!$P$3:$P$5001,"&lt;&gt;")=0,"",SUMIFS(BD!$P$3:$P$5001,BD!$A$3:$A$5001,Y$3,BD!$B$3:$B$5001,$A$100)))</f>
        <v/>
      </c>
      <c r="Z111" s="227" t="str">
        <f>IF(Z$3="","",IF(COUNTIFS(BD!$A$3:$A$5001,Z$3,BD!$B$3:$B$5001,$A$100,BD!$P$3:$P$5001,"&lt;&gt;")=0,"",SUMIFS(BD!$P$3:$P$5001,BD!$A$3:$A$5001,Z$3,BD!$B$3:$B$5001,$A$100)))</f>
        <v/>
      </c>
      <c r="AA111" s="227" t="str">
        <f>IF(AA$3="","",IF(COUNTIFS(BD!$A$3:$A$5001,AA$3,BD!$B$3:$B$5001,$A$100,BD!$P$3:$P$5001,"&lt;&gt;")=0,"",SUMIFS(BD!$P$3:$P$5001,BD!$A$3:$A$5001,AA$3,BD!$B$3:$B$5001,$A$100)))</f>
        <v/>
      </c>
      <c r="AB111" s="227" t="str">
        <f>IF(AB$3="","",IF(COUNTIFS(BD!$A$3:$A$5001,AB$3,BD!$B$3:$B$5001,$A$100,BD!$P$3:$P$5001,"&lt;&gt;")=0,"",SUMIFS(BD!$P$3:$P$5001,BD!$A$3:$A$5001,AB$3,BD!$B$3:$B$5001,$A$100)))</f>
        <v/>
      </c>
      <c r="AC111" s="227" t="str">
        <f>IF(AC$3="","",IF(COUNTIFS(BD!$A$3:$A$5001,AC$3,BD!$B$3:$B$5001,$A$100,BD!$P$3:$P$5001,"&lt;&gt;")=0,"",SUMIFS(BD!$P$3:$P$5001,BD!$A$3:$A$5001,AC$3,BD!$B$3:$B$5001,$A$100)))</f>
        <v/>
      </c>
      <c r="AD111" s="227" t="str">
        <f>IF(AD$3="","",IF(COUNTIFS(BD!$A$3:$A$5001,AD$3,BD!$B$3:$B$5001,$A$100,BD!$P$3:$P$5001,"&lt;&gt;")=0,"",SUMIFS(BD!$P$3:$P$5001,BD!$A$3:$A$5001,AD$3,BD!$B$3:$B$5001,$A$100)))</f>
        <v/>
      </c>
      <c r="AE111" s="227" t="str">
        <f>IF(AE$3="","",IF(COUNTIFS(BD!$A$3:$A$5001,AE$3,BD!$B$3:$B$5001,$A$100,BD!$P$3:$P$5001,"&lt;&gt;")=0,"",SUMIFS(BD!$P$3:$P$5001,BD!$A$3:$A$5001,AE$3,BD!$B$3:$B$5001,$A$100)))</f>
        <v/>
      </c>
      <c r="AF111" s="227" t="str">
        <f>IF(AF$3="","",IF(COUNTIFS(BD!$A$3:$A$5001,AF$3,BD!$B$3:$B$5001,$A$100,BD!$P$3:$P$5001,"&lt;&gt;")=0,"",SUMIFS(BD!$P$3:$P$5001,BD!$A$3:$A$5001,AF$3,BD!$B$3:$B$5001,$A$100)))</f>
        <v/>
      </c>
      <c r="AG111" s="227" t="str">
        <f>IF(AG$3="","",IF(COUNTIFS(BD!$A$3:$A$5001,AG$3,BD!$B$3:$B$5001,$A$100,BD!$P$3:$P$5001,"&lt;&gt;")=0,"",SUMIFS(BD!$P$3:$P$5001,BD!$A$3:$A$5001,AG$3,BD!$B$3:$B$5001,$A$100)))</f>
        <v/>
      </c>
      <c r="AH111" s="227" t="str">
        <f>IF(AH$3="","",IF(COUNTIFS(BD!$A$3:$A$5001,AH$3,BD!$B$3:$B$5001,$A$100,BD!$P$3:$P$5001,"&lt;&gt;")=0,"",SUMIFS(BD!$P$3:$P$5001,BD!$A$3:$A$5001,AH$3,BD!$B$3:$B$5001,$A$100)))</f>
        <v/>
      </c>
      <c r="AI111" s="227" t="str">
        <f>IF(AI$3="","",IF(COUNTIFS(BD!$A$3:$A$5001,AI$3,BD!$B$3:$B$5001,$A$100,BD!$P$3:$P$5001,"&lt;&gt;")=0,"",SUMIFS(BD!$P$3:$P$5001,BD!$A$3:$A$5001,AI$3,BD!$B$3:$B$5001,$A$100)))</f>
        <v/>
      </c>
      <c r="AJ111" s="228" t="str">
        <f>IF(AJ$3="","",IF(COUNTIFS(BD!$A$3:$A$5001,AJ$3,BD!$B$3:$B$5001,$A$100,BD!$P$3:$P$5001,"&lt;&gt;")=0,"",SUMIFS(BD!$P$3:$P$5001,BD!$A$3:$A$5001,AJ$3,BD!$B$3:$B$5001,$A$100)))</f>
        <v/>
      </c>
      <c r="AK111" s="229" t="str">
        <f>IFERROR(LOOKUP(9.99E+307,F111:AJ111),"")</f>
        <v/>
      </c>
    </row>
    <row r="112" ht="15.75" customHeight="1">
      <c r="A112" s="277"/>
      <c r="B112" s="272"/>
      <c r="C112" s="230" t="inlineStr">
        <is>
          <t xml:space="preserve">Backlog Cliente</t>
        </is>
      </c>
      <c r="D112" s="231" t="str">
        <f>IFERROR(1/(1/INDEX(BD!$AF$37:$AZ$37,MATCH($A$100,BD!$AF$22:$AZ$22,0))),"")</f>
        <v/>
      </c>
      <c r="E112" s="232"/>
      <c r="F112" s="233" t="str">
        <f>IF(F$3="","",IF(COUNTIFS(BD!$A$3:$A$5001,F$3,BD!$B$3:$B$5001,$A$100,BD!$Q$3:$Q$5001,"&lt;&gt;")=0,"",SUMIFS(BD!$Q$3:$Q$5001,BD!$A$3:$A$5001,F$3,BD!$B$3:$B$5001,$A$100)))</f>
        <v/>
      </c>
      <c r="G112" s="234" t="str">
        <f>IF(G$3="","",IF(COUNTIFS(BD!$A$3:$A$5001,G$3,BD!$B$3:$B$5001,$A$100,BD!$Q$3:$Q$5001,"&lt;&gt;")=0,"",SUMIFS(BD!$Q$3:$Q$5001,BD!$A$3:$A$5001,G$3,BD!$B$3:$B$5001,$A$100)))</f>
        <v/>
      </c>
      <c r="H112" s="234" t="str">
        <f>IF(H$3="","",IF(COUNTIFS(BD!$A$3:$A$5001,H$3,BD!$B$3:$B$5001,$A$100,BD!$Q$3:$Q$5001,"&lt;&gt;")=0,"",SUMIFS(BD!$Q$3:$Q$5001,BD!$A$3:$A$5001,H$3,BD!$B$3:$B$5001,$A$100)))</f>
        <v/>
      </c>
      <c r="I112" s="234" t="str">
        <f>IF(I$3="","",IF(COUNTIFS(BD!$A$3:$A$5001,I$3,BD!$B$3:$B$5001,$A$100,BD!$Q$3:$Q$5001,"&lt;&gt;")=0,"",SUMIFS(BD!$Q$3:$Q$5001,BD!$A$3:$A$5001,I$3,BD!$B$3:$B$5001,$A$100)))</f>
        <v/>
      </c>
      <c r="J112" s="234" t="str">
        <f>IF(J$3="","",IF(COUNTIFS(BD!$A$3:$A$5001,J$3,BD!$B$3:$B$5001,$A$100,BD!$Q$3:$Q$5001,"&lt;&gt;")=0,"",SUMIFS(BD!$Q$3:$Q$5001,BD!$A$3:$A$5001,J$3,BD!$B$3:$B$5001,$A$100)))</f>
        <v/>
      </c>
      <c r="K112" s="234" t="str">
        <f>IF(K$3="","",IF(COUNTIFS(BD!$A$3:$A$5001,K$3,BD!$B$3:$B$5001,$A$100,BD!$Q$3:$Q$5001,"&lt;&gt;")=0,"",SUMIFS(BD!$Q$3:$Q$5001,BD!$A$3:$A$5001,K$3,BD!$B$3:$B$5001,$A$100)))</f>
        <v/>
      </c>
      <c r="L112" s="234" t="str">
        <f>IF(L$3="","",IF(COUNTIFS(BD!$A$3:$A$5001,L$3,BD!$B$3:$B$5001,$A$100,BD!$Q$3:$Q$5001,"&lt;&gt;")=0,"",SUMIFS(BD!$Q$3:$Q$5001,BD!$A$3:$A$5001,L$3,BD!$B$3:$B$5001,$A$100)))</f>
        <v/>
      </c>
      <c r="M112" s="234" t="str">
        <f>IF(M$3="","",IF(COUNTIFS(BD!$A$3:$A$5001,M$3,BD!$B$3:$B$5001,$A$100,BD!$Q$3:$Q$5001,"&lt;&gt;")=0,"",SUMIFS(BD!$Q$3:$Q$5001,BD!$A$3:$A$5001,M$3,BD!$B$3:$B$5001,$A$100)))</f>
        <v/>
      </c>
      <c r="N112" s="234" t="str">
        <f>IF(N$3="","",IF(COUNTIFS(BD!$A$3:$A$5001,N$3,BD!$B$3:$B$5001,$A$100,BD!$Q$3:$Q$5001,"&lt;&gt;")=0,"",SUMIFS(BD!$Q$3:$Q$5001,BD!$A$3:$A$5001,N$3,BD!$B$3:$B$5001,$A$100)))</f>
        <v/>
      </c>
      <c r="O112" s="234" t="str">
        <f>IF(O$3="","",IF(COUNTIFS(BD!$A$3:$A$5001,O$3,BD!$B$3:$B$5001,$A$100,BD!$Q$3:$Q$5001,"&lt;&gt;")=0,"",SUMIFS(BD!$Q$3:$Q$5001,BD!$A$3:$A$5001,O$3,BD!$B$3:$B$5001,$A$100)))</f>
        <v/>
      </c>
      <c r="P112" s="234" t="str">
        <f>IF(P$3="","",IF(COUNTIFS(BD!$A$3:$A$5001,P$3,BD!$B$3:$B$5001,$A$100,BD!$Q$3:$Q$5001,"&lt;&gt;")=0,"",SUMIFS(BD!$Q$3:$Q$5001,BD!$A$3:$A$5001,P$3,BD!$B$3:$B$5001,$A$100)))</f>
        <v/>
      </c>
      <c r="Q112" s="234" t="str">
        <f>IF(Q$3="","",IF(COUNTIFS(BD!$A$3:$A$5001,Q$3,BD!$B$3:$B$5001,$A$100,BD!$Q$3:$Q$5001,"&lt;&gt;")=0,"",SUMIFS(BD!$Q$3:$Q$5001,BD!$A$3:$A$5001,Q$3,BD!$B$3:$B$5001,$A$100)))</f>
        <v/>
      </c>
      <c r="R112" s="234" t="str">
        <f>IF(R$3="","",IF(COUNTIFS(BD!$A$3:$A$5001,R$3,BD!$B$3:$B$5001,$A$100,BD!$Q$3:$Q$5001,"&lt;&gt;")=0,"",SUMIFS(BD!$Q$3:$Q$5001,BD!$A$3:$A$5001,R$3,BD!$B$3:$B$5001,$A$100)))</f>
        <v/>
      </c>
      <c r="S112" s="234" t="str">
        <f>IF(S$3="","",IF(COUNTIFS(BD!$A$3:$A$5001,S$3,BD!$B$3:$B$5001,$A$100,BD!$Q$3:$Q$5001,"&lt;&gt;")=0,"",SUMIFS(BD!$Q$3:$Q$5001,BD!$A$3:$A$5001,S$3,BD!$B$3:$B$5001,$A$100)))</f>
        <v/>
      </c>
      <c r="T112" s="234" t="str">
        <f>IF(T$3="","",IF(COUNTIFS(BD!$A$3:$A$5001,T$3,BD!$B$3:$B$5001,$A$100,BD!$Q$3:$Q$5001,"&lt;&gt;")=0,"",SUMIFS(BD!$Q$3:$Q$5001,BD!$A$3:$A$5001,T$3,BD!$B$3:$B$5001,$A$100)))</f>
        <v/>
      </c>
      <c r="U112" s="234" t="str">
        <f>IF(U$3="","",IF(COUNTIFS(BD!$A$3:$A$5001,U$3,BD!$B$3:$B$5001,$A$100,BD!$Q$3:$Q$5001,"&lt;&gt;")=0,"",SUMIFS(BD!$Q$3:$Q$5001,BD!$A$3:$A$5001,U$3,BD!$B$3:$B$5001,$A$100)))</f>
        <v/>
      </c>
      <c r="V112" s="234" t="str">
        <f>IF(V$3="","",IF(COUNTIFS(BD!$A$3:$A$5001,V$3,BD!$B$3:$B$5001,$A$100,BD!$Q$3:$Q$5001,"&lt;&gt;")=0,"",SUMIFS(BD!$Q$3:$Q$5001,BD!$A$3:$A$5001,V$3,BD!$B$3:$B$5001,$A$100)))</f>
        <v/>
      </c>
      <c r="W112" s="234" t="str">
        <f>IF(W$3="","",IF(COUNTIFS(BD!$A$3:$A$5001,W$3,BD!$B$3:$B$5001,$A$100,BD!$Q$3:$Q$5001,"&lt;&gt;")=0,"",SUMIFS(BD!$Q$3:$Q$5001,BD!$A$3:$A$5001,W$3,BD!$B$3:$B$5001,$A$100)))</f>
        <v/>
      </c>
      <c r="X112" s="234" t="str">
        <f>IF(X$3="","",IF(COUNTIFS(BD!$A$3:$A$5001,X$3,BD!$B$3:$B$5001,$A$100,BD!$Q$3:$Q$5001,"&lt;&gt;")=0,"",SUMIFS(BD!$Q$3:$Q$5001,BD!$A$3:$A$5001,X$3,BD!$B$3:$B$5001,$A$100)))</f>
        <v/>
      </c>
      <c r="Y112" s="234" t="str">
        <f>IF(Y$3="","",IF(COUNTIFS(BD!$A$3:$A$5001,Y$3,BD!$B$3:$B$5001,$A$100,BD!$Q$3:$Q$5001,"&lt;&gt;")=0,"",SUMIFS(BD!$Q$3:$Q$5001,BD!$A$3:$A$5001,Y$3,BD!$B$3:$B$5001,$A$100)))</f>
        <v/>
      </c>
      <c r="Z112" s="234" t="str">
        <f>IF(Z$3="","",IF(COUNTIFS(BD!$A$3:$A$5001,Z$3,BD!$B$3:$B$5001,$A$100,BD!$Q$3:$Q$5001,"&lt;&gt;")=0,"",SUMIFS(BD!$Q$3:$Q$5001,BD!$A$3:$A$5001,Z$3,BD!$B$3:$B$5001,$A$100)))</f>
        <v/>
      </c>
      <c r="AA112" s="234" t="str">
        <f>IF(AA$3="","",IF(COUNTIFS(BD!$A$3:$A$5001,AA$3,BD!$B$3:$B$5001,$A$100,BD!$Q$3:$Q$5001,"&lt;&gt;")=0,"",SUMIFS(BD!$Q$3:$Q$5001,BD!$A$3:$A$5001,AA$3,BD!$B$3:$B$5001,$A$100)))</f>
        <v/>
      </c>
      <c r="AB112" s="234" t="str">
        <f>IF(AB$3="","",IF(COUNTIFS(BD!$A$3:$A$5001,AB$3,BD!$B$3:$B$5001,$A$100,BD!$Q$3:$Q$5001,"&lt;&gt;")=0,"",SUMIFS(BD!$Q$3:$Q$5001,BD!$A$3:$A$5001,AB$3,BD!$B$3:$B$5001,$A$100)))</f>
        <v/>
      </c>
      <c r="AC112" s="234" t="str">
        <f>IF(AC$3="","",IF(COUNTIFS(BD!$A$3:$A$5001,AC$3,BD!$B$3:$B$5001,$A$100,BD!$Q$3:$Q$5001,"&lt;&gt;")=0,"",SUMIFS(BD!$Q$3:$Q$5001,BD!$A$3:$A$5001,AC$3,BD!$B$3:$B$5001,$A$100)))</f>
        <v/>
      </c>
      <c r="AD112" s="234" t="str">
        <f>IF(AD$3="","",IF(COUNTIFS(BD!$A$3:$A$5001,AD$3,BD!$B$3:$B$5001,$A$100,BD!$Q$3:$Q$5001,"&lt;&gt;")=0,"",SUMIFS(BD!$Q$3:$Q$5001,BD!$A$3:$A$5001,AD$3,BD!$B$3:$B$5001,$A$100)))</f>
        <v/>
      </c>
      <c r="AE112" s="234" t="str">
        <f>IF(AE$3="","",IF(COUNTIFS(BD!$A$3:$A$5001,AE$3,BD!$B$3:$B$5001,$A$100,BD!$Q$3:$Q$5001,"&lt;&gt;")=0,"",SUMIFS(BD!$Q$3:$Q$5001,BD!$A$3:$A$5001,AE$3,BD!$B$3:$B$5001,$A$100)))</f>
        <v/>
      </c>
      <c r="AF112" s="234" t="str">
        <f>IF(AF$3="","",IF(COUNTIFS(BD!$A$3:$A$5001,AF$3,BD!$B$3:$B$5001,$A$100,BD!$Q$3:$Q$5001,"&lt;&gt;")=0,"",SUMIFS(BD!$Q$3:$Q$5001,BD!$A$3:$A$5001,AF$3,BD!$B$3:$B$5001,$A$100)))</f>
        <v/>
      </c>
      <c r="AG112" s="234" t="str">
        <f>IF(AG$3="","",IF(COUNTIFS(BD!$A$3:$A$5001,AG$3,BD!$B$3:$B$5001,$A$100,BD!$Q$3:$Q$5001,"&lt;&gt;")=0,"",SUMIFS(BD!$Q$3:$Q$5001,BD!$A$3:$A$5001,AG$3,BD!$B$3:$B$5001,$A$100)))</f>
        <v/>
      </c>
      <c r="AH112" s="234" t="str">
        <f>IF(AH$3="","",IF(COUNTIFS(BD!$A$3:$A$5001,AH$3,BD!$B$3:$B$5001,$A$100,BD!$Q$3:$Q$5001,"&lt;&gt;")=0,"",SUMIFS(BD!$Q$3:$Q$5001,BD!$A$3:$A$5001,AH$3,BD!$B$3:$B$5001,$A$100)))</f>
        <v/>
      </c>
      <c r="AI112" s="234" t="str">
        <f>IF(AI$3="","",IF(COUNTIFS(BD!$A$3:$A$5001,AI$3,BD!$B$3:$B$5001,$A$100,BD!$Q$3:$Q$5001,"&lt;&gt;")=0,"",SUMIFS(BD!$Q$3:$Q$5001,BD!$A$3:$A$5001,AI$3,BD!$B$3:$B$5001,$A$100)))</f>
        <v/>
      </c>
      <c r="AJ112" s="235" t="str">
        <f>IF(AJ$3="","",IF(COUNTIFS(BD!$A$3:$A$5001,AJ$3,BD!$B$3:$B$5001,$A$100,BD!$Q$3:$Q$5001,"&lt;&gt;")=0,"",SUMIFS(BD!$Q$3:$Q$5001,BD!$A$3:$A$5001,AJ$3,BD!$B$3:$B$5001,$A$100)))</f>
        <v/>
      </c>
      <c r="AK112" s="231" t="str">
        <f>IFERROR(LOOKUP(9.99E+307,F112:AJ112),"")</f>
        <v/>
      </c>
    </row>
    <row r="113" ht="15.75" customHeight="1">
      <c r="A113" s="277"/>
      <c r="B113" s="264" t="inlineStr">
        <is>
          <t xml:space="preserve">OCUPAÇÃO (P.P)</t>
        </is>
      </c>
      <c r="C113" s="168" t="inlineStr">
        <is>
          <t xml:space="preserve">Posições Disponíveis</t>
        </is>
      </c>
      <c r="D113" s="169" t="str">
        <f>IFERROR(1/(1/INDEX(BD!$AF$38:$AZ$38,MATCH($A$100,BD!$AF$22:$AZ$22,0))),"")</f>
        <v/>
      </c>
      <c r="E113" s="170"/>
      <c r="F113" s="171" t="str">
        <f>IF(F$3="","",IF(COUNTIFS(BD!$A$3:$A$5001,F$3,BD!$B$3:$B$5001,$A$100,BD!$R$3:$R$5001,"&lt;&gt;")=0,"",SUMIFS(BD!$R$3:$R$5001,BD!$A$3:$A$5001,F$3,BD!$B$3:$B$5001,$A$100)))</f>
        <v/>
      </c>
      <c r="G113" s="172" t="str">
        <f>IF(G$3="","",IF(COUNTIFS(BD!$A$3:$A$5001,G$3,BD!$B$3:$B$5001,$A$100,BD!$R$3:$R$5001,"&lt;&gt;")=0,"",SUMIFS(BD!$R$3:$R$5001,BD!$A$3:$A$5001,G$3,BD!$B$3:$B$5001,$A$100)))</f>
        <v/>
      </c>
      <c r="H113" s="172" t="str">
        <f>IF(H$3="","",IF(COUNTIFS(BD!$A$3:$A$5001,H$3,BD!$B$3:$B$5001,$A$100,BD!$R$3:$R$5001,"&lt;&gt;")=0,"",SUMIFS(BD!$R$3:$R$5001,BD!$A$3:$A$5001,H$3,BD!$B$3:$B$5001,$A$100)))</f>
        <v/>
      </c>
      <c r="I113" s="172" t="str">
        <f>IF(I$3="","",IF(COUNTIFS(BD!$A$3:$A$5001,I$3,BD!$B$3:$B$5001,$A$100,BD!$R$3:$R$5001,"&lt;&gt;")=0,"",SUMIFS(BD!$R$3:$R$5001,BD!$A$3:$A$5001,I$3,BD!$B$3:$B$5001,$A$100)))</f>
        <v/>
      </c>
      <c r="J113" s="172" t="str">
        <f>IF(J$3="","",IF(COUNTIFS(BD!$A$3:$A$5001,J$3,BD!$B$3:$B$5001,$A$100,BD!$R$3:$R$5001,"&lt;&gt;")=0,"",SUMIFS(BD!$R$3:$R$5001,BD!$A$3:$A$5001,J$3,BD!$B$3:$B$5001,$A$100)))</f>
        <v/>
      </c>
      <c r="K113" s="172" t="str">
        <f>IF(K$3="","",IF(COUNTIFS(BD!$A$3:$A$5001,K$3,BD!$B$3:$B$5001,$A$100,BD!$R$3:$R$5001,"&lt;&gt;")=0,"",SUMIFS(BD!$R$3:$R$5001,BD!$A$3:$A$5001,K$3,BD!$B$3:$B$5001,$A$100)))</f>
        <v/>
      </c>
      <c r="L113" s="172" t="str">
        <f>IF(L$3="","",IF(COUNTIFS(BD!$A$3:$A$5001,L$3,BD!$B$3:$B$5001,$A$100,BD!$R$3:$R$5001,"&lt;&gt;")=0,"",SUMIFS(BD!$R$3:$R$5001,BD!$A$3:$A$5001,L$3,BD!$B$3:$B$5001,$A$100)))</f>
        <v/>
      </c>
      <c r="M113" s="172" t="str">
        <f>IF(M$3="","",IF(COUNTIFS(BD!$A$3:$A$5001,M$3,BD!$B$3:$B$5001,$A$100,BD!$R$3:$R$5001,"&lt;&gt;")=0,"",SUMIFS(BD!$R$3:$R$5001,BD!$A$3:$A$5001,M$3,BD!$B$3:$B$5001,$A$100)))</f>
        <v/>
      </c>
      <c r="N113" s="172" t="str">
        <f>IF(N$3="","",IF(COUNTIFS(BD!$A$3:$A$5001,N$3,BD!$B$3:$B$5001,$A$100,BD!$R$3:$R$5001,"&lt;&gt;")=0,"",SUMIFS(BD!$R$3:$R$5001,BD!$A$3:$A$5001,N$3,BD!$B$3:$B$5001,$A$100)))</f>
        <v/>
      </c>
      <c r="O113" s="172" t="str">
        <f>IF(O$3="","",IF(COUNTIFS(BD!$A$3:$A$5001,O$3,BD!$B$3:$B$5001,$A$100,BD!$R$3:$R$5001,"&lt;&gt;")=0,"",SUMIFS(BD!$R$3:$R$5001,BD!$A$3:$A$5001,O$3,BD!$B$3:$B$5001,$A$100)))</f>
        <v/>
      </c>
      <c r="P113" s="172" t="str">
        <f>IF(P$3="","",IF(COUNTIFS(BD!$A$3:$A$5001,P$3,BD!$B$3:$B$5001,$A$100,BD!$R$3:$R$5001,"&lt;&gt;")=0,"",SUMIFS(BD!$R$3:$R$5001,BD!$A$3:$A$5001,P$3,BD!$B$3:$B$5001,$A$100)))</f>
        <v/>
      </c>
      <c r="Q113" s="172" t="str">
        <f>IF(Q$3="","",IF(COUNTIFS(BD!$A$3:$A$5001,Q$3,BD!$B$3:$B$5001,$A$100,BD!$R$3:$R$5001,"&lt;&gt;")=0,"",SUMIFS(BD!$R$3:$R$5001,BD!$A$3:$A$5001,Q$3,BD!$B$3:$B$5001,$A$100)))</f>
        <v/>
      </c>
      <c r="R113" s="172" t="str">
        <f>IF(R$3="","",IF(COUNTIFS(BD!$A$3:$A$5001,R$3,BD!$B$3:$B$5001,$A$100,BD!$R$3:$R$5001,"&lt;&gt;")=0,"",SUMIFS(BD!$R$3:$R$5001,BD!$A$3:$A$5001,R$3,BD!$B$3:$B$5001,$A$100)))</f>
        <v/>
      </c>
      <c r="S113" s="172" t="str">
        <f>IF(S$3="","",IF(COUNTIFS(BD!$A$3:$A$5001,S$3,BD!$B$3:$B$5001,$A$100,BD!$R$3:$R$5001,"&lt;&gt;")=0,"",SUMIFS(BD!$R$3:$R$5001,BD!$A$3:$A$5001,S$3,BD!$B$3:$B$5001,$A$100)))</f>
        <v/>
      </c>
      <c r="T113" s="172" t="str">
        <f>IF(T$3="","",IF(COUNTIFS(BD!$A$3:$A$5001,T$3,BD!$B$3:$B$5001,$A$100,BD!$R$3:$R$5001,"&lt;&gt;")=0,"",SUMIFS(BD!$R$3:$R$5001,BD!$A$3:$A$5001,T$3,BD!$B$3:$B$5001,$A$100)))</f>
        <v/>
      </c>
      <c r="U113" s="172" t="str">
        <f>IF(U$3="","",IF(COUNTIFS(BD!$A$3:$A$5001,U$3,BD!$B$3:$B$5001,$A$100,BD!$R$3:$R$5001,"&lt;&gt;")=0,"",SUMIFS(BD!$R$3:$R$5001,BD!$A$3:$A$5001,U$3,BD!$B$3:$B$5001,$A$100)))</f>
        <v/>
      </c>
      <c r="V113" s="172" t="str">
        <f>IF(V$3="","",IF(COUNTIFS(BD!$A$3:$A$5001,V$3,BD!$B$3:$B$5001,$A$100,BD!$R$3:$R$5001,"&lt;&gt;")=0,"",SUMIFS(BD!$R$3:$R$5001,BD!$A$3:$A$5001,V$3,BD!$B$3:$B$5001,$A$100)))</f>
        <v/>
      </c>
      <c r="W113" s="172" t="str">
        <f>IF(W$3="","",IF(COUNTIFS(BD!$A$3:$A$5001,W$3,BD!$B$3:$B$5001,$A$100,BD!$R$3:$R$5001,"&lt;&gt;")=0,"",SUMIFS(BD!$R$3:$R$5001,BD!$A$3:$A$5001,W$3,BD!$B$3:$B$5001,$A$100)))</f>
        <v/>
      </c>
      <c r="X113" s="172" t="str">
        <f>IF(X$3="","",IF(COUNTIFS(BD!$A$3:$A$5001,X$3,BD!$B$3:$B$5001,$A$100,BD!$R$3:$R$5001,"&lt;&gt;")=0,"",SUMIFS(BD!$R$3:$R$5001,BD!$A$3:$A$5001,X$3,BD!$B$3:$B$5001,$A$100)))</f>
        <v/>
      </c>
      <c r="Y113" s="172" t="str">
        <f>IF(Y$3="","",IF(COUNTIFS(BD!$A$3:$A$5001,Y$3,BD!$B$3:$B$5001,$A$100,BD!$R$3:$R$5001,"&lt;&gt;")=0,"",SUMIFS(BD!$R$3:$R$5001,BD!$A$3:$A$5001,Y$3,BD!$B$3:$B$5001,$A$100)))</f>
        <v/>
      </c>
      <c r="Z113" s="172" t="str">
        <f>IF(Z$3="","",IF(COUNTIFS(BD!$A$3:$A$5001,Z$3,BD!$B$3:$B$5001,$A$100,BD!$R$3:$R$5001,"&lt;&gt;")=0,"",SUMIFS(BD!$R$3:$R$5001,BD!$A$3:$A$5001,Z$3,BD!$B$3:$B$5001,$A$100)))</f>
        <v/>
      </c>
      <c r="AA113" s="172" t="str">
        <f>IF(AA$3="","",IF(COUNTIFS(BD!$A$3:$A$5001,AA$3,BD!$B$3:$B$5001,$A$100,BD!$R$3:$R$5001,"&lt;&gt;")=0,"",SUMIFS(BD!$R$3:$R$5001,BD!$A$3:$A$5001,AA$3,BD!$B$3:$B$5001,$A$100)))</f>
        <v/>
      </c>
      <c r="AB113" s="172" t="str">
        <f>IF(AB$3="","",IF(COUNTIFS(BD!$A$3:$A$5001,AB$3,BD!$B$3:$B$5001,$A$100,BD!$R$3:$R$5001,"&lt;&gt;")=0,"",SUMIFS(BD!$R$3:$R$5001,BD!$A$3:$A$5001,AB$3,BD!$B$3:$B$5001,$A$100)))</f>
        <v/>
      </c>
      <c r="AC113" s="172" t="str">
        <f>IF(AC$3="","",IF(COUNTIFS(BD!$A$3:$A$5001,AC$3,BD!$B$3:$B$5001,$A$100,BD!$R$3:$R$5001,"&lt;&gt;")=0,"",SUMIFS(BD!$R$3:$R$5001,BD!$A$3:$A$5001,AC$3,BD!$B$3:$B$5001,$A$100)))</f>
        <v/>
      </c>
      <c r="AD113" s="172" t="str">
        <f>IF(AD$3="","",IF(COUNTIFS(BD!$A$3:$A$5001,AD$3,BD!$B$3:$B$5001,$A$100,BD!$R$3:$R$5001,"&lt;&gt;")=0,"",SUMIFS(BD!$R$3:$R$5001,BD!$A$3:$A$5001,AD$3,BD!$B$3:$B$5001,$A$100)))</f>
        <v/>
      </c>
      <c r="AE113" s="172" t="str">
        <f>IF(AE$3="","",IF(COUNTIFS(BD!$A$3:$A$5001,AE$3,BD!$B$3:$B$5001,$A$100,BD!$R$3:$R$5001,"&lt;&gt;")=0,"",SUMIFS(BD!$R$3:$R$5001,BD!$A$3:$A$5001,AE$3,BD!$B$3:$B$5001,$A$100)))</f>
        <v/>
      </c>
      <c r="AF113" s="172" t="str">
        <f>IF(AF$3="","",IF(COUNTIFS(BD!$A$3:$A$5001,AF$3,BD!$B$3:$B$5001,$A$100,BD!$R$3:$R$5001,"&lt;&gt;")=0,"",SUMIFS(BD!$R$3:$R$5001,BD!$A$3:$A$5001,AF$3,BD!$B$3:$B$5001,$A$100)))</f>
        <v/>
      </c>
      <c r="AG113" s="172" t="str">
        <f>IF(AG$3="","",IF(COUNTIFS(BD!$A$3:$A$5001,AG$3,BD!$B$3:$B$5001,$A$100,BD!$R$3:$R$5001,"&lt;&gt;")=0,"",SUMIFS(BD!$R$3:$R$5001,BD!$A$3:$A$5001,AG$3,BD!$B$3:$B$5001,$A$100)))</f>
        <v/>
      </c>
      <c r="AH113" s="172" t="str">
        <f>IF(AH$3="","",IF(COUNTIFS(BD!$A$3:$A$5001,AH$3,BD!$B$3:$B$5001,$A$100,BD!$R$3:$R$5001,"&lt;&gt;")=0,"",SUMIFS(BD!$R$3:$R$5001,BD!$A$3:$A$5001,AH$3,BD!$B$3:$B$5001,$A$100)))</f>
        <v/>
      </c>
      <c r="AI113" s="172" t="str">
        <f>IF(AI$3="","",IF(COUNTIFS(BD!$A$3:$A$5001,AI$3,BD!$B$3:$B$5001,$A$100,BD!$R$3:$R$5001,"&lt;&gt;")=0,"",SUMIFS(BD!$R$3:$R$5001,BD!$A$3:$A$5001,AI$3,BD!$B$3:$B$5001,$A$100)))</f>
        <v/>
      </c>
      <c r="AJ113" s="173" t="str">
        <f>IF(AJ$3="","",IF(COUNTIFS(BD!$A$3:$A$5001,AJ$3,BD!$B$3:$B$5001,$A$100,BD!$R$3:$R$5001,"&lt;&gt;")=0,"",SUMIFS(BD!$R$3:$R$5001,BD!$A$3:$A$5001,AJ$3,BD!$B$3:$B$5001,$A$100)))</f>
        <v/>
      </c>
      <c r="AK113" s="174" t="str">
        <f>IF(COUNT(F113:AJ113)&gt;0,LOOKUP(9.99E+307,F113:AJ113),IFERROR(IF(INDEX(BD!$AC$3:$AC$5001,MATCH($A$100,BD!$B$3:$B$5001,0))&amp;""="Contrato","",INDEX(BD!$AC$3:$AC$5001,MATCH($A$100,BD!$B$3:$B$5001,0))&amp;""),""))</f>
        <v/>
      </c>
    </row>
    <row r="114" ht="15.75" customHeight="1">
      <c r="A114" s="277"/>
      <c r="B114" s="265"/>
      <c r="C114" s="175" t="inlineStr">
        <is>
          <t xml:space="preserve">Posições Ocupadas</t>
        </is>
      </c>
      <c r="D114" s="176" t="str">
        <f>IFERROR(1/(1/INDEX(BD!$AF$39:$AZ$39,MATCH($A$100,BD!$AF$22:$AZ$22,0))),"")</f>
        <v/>
      </c>
      <c r="E114" s="177"/>
      <c r="F114" s="178" t="str">
        <f>IF(F$3="","",IF(COUNTIFS(BD!$A$3:$A$5001,F$3,BD!$B$3:$B$5001,$A$100,BD!$S$3:$S$5001,"&lt;&gt;")=0,"",SUMIFS(BD!$S$3:$S$5001,BD!$A$3:$A$5001,F$3,BD!$B$3:$B$5001,$A$100)))</f>
        <v/>
      </c>
      <c r="G114" s="179" t="str">
        <f>IF(G$3="","",IF(COUNTIFS(BD!$A$3:$A$5001,G$3,BD!$B$3:$B$5001,$A$100,BD!$S$3:$S$5001,"&lt;&gt;")=0,"",SUMIFS(BD!$S$3:$S$5001,BD!$A$3:$A$5001,G$3,BD!$B$3:$B$5001,$A$100)))</f>
        <v/>
      </c>
      <c r="H114" s="179" t="str">
        <f>IF(H$3="","",IF(COUNTIFS(BD!$A$3:$A$5001,H$3,BD!$B$3:$B$5001,$A$100,BD!$S$3:$S$5001,"&lt;&gt;")=0,"",SUMIFS(BD!$S$3:$S$5001,BD!$A$3:$A$5001,H$3,BD!$B$3:$B$5001,$A$100)))</f>
        <v/>
      </c>
      <c r="I114" s="179" t="str">
        <f>IF(I$3="","",IF(COUNTIFS(BD!$A$3:$A$5001,I$3,BD!$B$3:$B$5001,$A$100,BD!$S$3:$S$5001,"&lt;&gt;")=0,"",SUMIFS(BD!$S$3:$S$5001,BD!$A$3:$A$5001,I$3,BD!$B$3:$B$5001,$A$100)))</f>
        <v/>
      </c>
      <c r="J114" s="179" t="str">
        <f>IF(J$3="","",IF(COUNTIFS(BD!$A$3:$A$5001,J$3,BD!$B$3:$B$5001,$A$100,BD!$S$3:$S$5001,"&lt;&gt;")=0,"",SUMIFS(BD!$S$3:$S$5001,BD!$A$3:$A$5001,J$3,BD!$B$3:$B$5001,$A$100)))</f>
        <v/>
      </c>
      <c r="K114" s="179" t="str">
        <f>IF(K$3="","",IF(COUNTIFS(BD!$A$3:$A$5001,K$3,BD!$B$3:$B$5001,$A$100,BD!$S$3:$S$5001,"&lt;&gt;")=0,"",SUMIFS(BD!$S$3:$S$5001,BD!$A$3:$A$5001,K$3,BD!$B$3:$B$5001,$A$100)))</f>
        <v/>
      </c>
      <c r="L114" s="179" t="str">
        <f>IF(L$3="","",IF(COUNTIFS(BD!$A$3:$A$5001,L$3,BD!$B$3:$B$5001,$A$100,BD!$S$3:$S$5001,"&lt;&gt;")=0,"",SUMIFS(BD!$S$3:$S$5001,BD!$A$3:$A$5001,L$3,BD!$B$3:$B$5001,$A$100)))</f>
        <v/>
      </c>
      <c r="M114" s="179" t="str">
        <f>IF(M$3="","",IF(COUNTIFS(BD!$A$3:$A$5001,M$3,BD!$B$3:$B$5001,$A$100,BD!$S$3:$S$5001,"&lt;&gt;")=0,"",SUMIFS(BD!$S$3:$S$5001,BD!$A$3:$A$5001,M$3,BD!$B$3:$B$5001,$A$100)))</f>
        <v/>
      </c>
      <c r="N114" s="179" t="str">
        <f>IF(N$3="","",IF(COUNTIFS(BD!$A$3:$A$5001,N$3,BD!$B$3:$B$5001,$A$100,BD!$S$3:$S$5001,"&lt;&gt;")=0,"",SUMIFS(BD!$S$3:$S$5001,BD!$A$3:$A$5001,N$3,BD!$B$3:$B$5001,$A$100)))</f>
        <v/>
      </c>
      <c r="O114" s="179" t="str">
        <f>IF(O$3="","",IF(COUNTIFS(BD!$A$3:$A$5001,O$3,BD!$B$3:$B$5001,$A$100,BD!$S$3:$S$5001,"&lt;&gt;")=0,"",SUMIFS(BD!$S$3:$S$5001,BD!$A$3:$A$5001,O$3,BD!$B$3:$B$5001,$A$100)))</f>
        <v/>
      </c>
      <c r="P114" s="179" t="str">
        <f>IF(P$3="","",IF(COUNTIFS(BD!$A$3:$A$5001,P$3,BD!$B$3:$B$5001,$A$100,BD!$S$3:$S$5001,"&lt;&gt;")=0,"",SUMIFS(BD!$S$3:$S$5001,BD!$A$3:$A$5001,P$3,BD!$B$3:$B$5001,$A$100)))</f>
        <v/>
      </c>
      <c r="Q114" s="179" t="str">
        <f>IF(Q$3="","",IF(COUNTIFS(BD!$A$3:$A$5001,Q$3,BD!$B$3:$B$5001,$A$100,BD!$S$3:$S$5001,"&lt;&gt;")=0,"",SUMIFS(BD!$S$3:$S$5001,BD!$A$3:$A$5001,Q$3,BD!$B$3:$B$5001,$A$100)))</f>
        <v/>
      </c>
      <c r="R114" s="179" t="str">
        <f>IF(R$3="","",IF(COUNTIFS(BD!$A$3:$A$5001,R$3,BD!$B$3:$B$5001,$A$100,BD!$S$3:$S$5001,"&lt;&gt;")=0,"",SUMIFS(BD!$S$3:$S$5001,BD!$A$3:$A$5001,R$3,BD!$B$3:$B$5001,$A$100)))</f>
        <v/>
      </c>
      <c r="S114" s="179" t="str">
        <f>IF(S$3="","",IF(COUNTIFS(BD!$A$3:$A$5001,S$3,BD!$B$3:$B$5001,$A$100,BD!$S$3:$S$5001,"&lt;&gt;")=0,"",SUMIFS(BD!$S$3:$S$5001,BD!$A$3:$A$5001,S$3,BD!$B$3:$B$5001,$A$100)))</f>
        <v/>
      </c>
      <c r="T114" s="179" t="str">
        <f>IF(T$3="","",IF(COUNTIFS(BD!$A$3:$A$5001,T$3,BD!$B$3:$B$5001,$A$100,BD!$S$3:$S$5001,"&lt;&gt;")=0,"",SUMIFS(BD!$S$3:$S$5001,BD!$A$3:$A$5001,T$3,BD!$B$3:$B$5001,$A$100)))</f>
        <v/>
      </c>
      <c r="U114" s="179" t="str">
        <f>IF(U$3="","",IF(COUNTIFS(BD!$A$3:$A$5001,U$3,BD!$B$3:$B$5001,$A$100,BD!$S$3:$S$5001,"&lt;&gt;")=0,"",SUMIFS(BD!$S$3:$S$5001,BD!$A$3:$A$5001,U$3,BD!$B$3:$B$5001,$A$100)))</f>
        <v/>
      </c>
      <c r="V114" s="179" t="str">
        <f>IF(V$3="","",IF(COUNTIFS(BD!$A$3:$A$5001,V$3,BD!$B$3:$B$5001,$A$100,BD!$S$3:$S$5001,"&lt;&gt;")=0,"",SUMIFS(BD!$S$3:$S$5001,BD!$A$3:$A$5001,V$3,BD!$B$3:$B$5001,$A$100)))</f>
        <v/>
      </c>
      <c r="W114" s="179" t="str">
        <f>IF(W$3="","",IF(COUNTIFS(BD!$A$3:$A$5001,W$3,BD!$B$3:$B$5001,$A$100,BD!$S$3:$S$5001,"&lt;&gt;")=0,"",SUMIFS(BD!$S$3:$S$5001,BD!$A$3:$A$5001,W$3,BD!$B$3:$B$5001,$A$100)))</f>
        <v/>
      </c>
      <c r="X114" s="179" t="str">
        <f>IF(X$3="","",IF(COUNTIFS(BD!$A$3:$A$5001,X$3,BD!$B$3:$B$5001,$A$100,BD!$S$3:$S$5001,"&lt;&gt;")=0,"",SUMIFS(BD!$S$3:$S$5001,BD!$A$3:$A$5001,X$3,BD!$B$3:$B$5001,$A$100)))</f>
        <v/>
      </c>
      <c r="Y114" s="179" t="str">
        <f>IF(Y$3="","",IF(COUNTIFS(BD!$A$3:$A$5001,Y$3,BD!$B$3:$B$5001,$A$100,BD!$S$3:$S$5001,"&lt;&gt;")=0,"",SUMIFS(BD!$S$3:$S$5001,BD!$A$3:$A$5001,Y$3,BD!$B$3:$B$5001,$A$100)))</f>
        <v/>
      </c>
      <c r="Z114" s="179" t="str">
        <f>IF(Z$3="","",IF(COUNTIFS(BD!$A$3:$A$5001,Z$3,BD!$B$3:$B$5001,$A$100,BD!$S$3:$S$5001,"&lt;&gt;")=0,"",SUMIFS(BD!$S$3:$S$5001,BD!$A$3:$A$5001,Z$3,BD!$B$3:$B$5001,$A$100)))</f>
        <v/>
      </c>
      <c r="AA114" s="179" t="str">
        <f>IF(AA$3="","",IF(COUNTIFS(BD!$A$3:$A$5001,AA$3,BD!$B$3:$B$5001,$A$100,BD!$S$3:$S$5001,"&lt;&gt;")=0,"",SUMIFS(BD!$S$3:$S$5001,BD!$A$3:$A$5001,AA$3,BD!$B$3:$B$5001,$A$100)))</f>
        <v/>
      </c>
      <c r="AB114" s="179" t="str">
        <f>IF(AB$3="","",IF(COUNTIFS(BD!$A$3:$A$5001,AB$3,BD!$B$3:$B$5001,$A$100,BD!$S$3:$S$5001,"&lt;&gt;")=0,"",SUMIFS(BD!$S$3:$S$5001,BD!$A$3:$A$5001,AB$3,BD!$B$3:$B$5001,$A$100)))</f>
        <v/>
      </c>
      <c r="AC114" s="179" t="str">
        <f>IF(AC$3="","",IF(COUNTIFS(BD!$A$3:$A$5001,AC$3,BD!$B$3:$B$5001,$A$100,BD!$S$3:$S$5001,"&lt;&gt;")=0,"",SUMIFS(BD!$S$3:$S$5001,BD!$A$3:$A$5001,AC$3,BD!$B$3:$B$5001,$A$100)))</f>
        <v/>
      </c>
      <c r="AD114" s="179" t="str">
        <f>IF(AD$3="","",IF(COUNTIFS(BD!$A$3:$A$5001,AD$3,BD!$B$3:$B$5001,$A$100,BD!$S$3:$S$5001,"&lt;&gt;")=0,"",SUMIFS(BD!$S$3:$S$5001,BD!$A$3:$A$5001,AD$3,BD!$B$3:$B$5001,$A$100)))</f>
        <v/>
      </c>
      <c r="AE114" s="179" t="str">
        <f>IF(AE$3="","",IF(COUNTIFS(BD!$A$3:$A$5001,AE$3,BD!$B$3:$B$5001,$A$100,BD!$S$3:$S$5001,"&lt;&gt;")=0,"",SUMIFS(BD!$S$3:$S$5001,BD!$A$3:$A$5001,AE$3,BD!$B$3:$B$5001,$A$100)))</f>
        <v/>
      </c>
      <c r="AF114" s="179" t="str">
        <f>IF(AF$3="","",IF(COUNTIFS(BD!$A$3:$A$5001,AF$3,BD!$B$3:$B$5001,$A$100,BD!$S$3:$S$5001,"&lt;&gt;")=0,"",SUMIFS(BD!$S$3:$S$5001,BD!$A$3:$A$5001,AF$3,BD!$B$3:$B$5001,$A$100)))</f>
        <v/>
      </c>
      <c r="AG114" s="179" t="str">
        <f>IF(AG$3="","",IF(COUNTIFS(BD!$A$3:$A$5001,AG$3,BD!$B$3:$B$5001,$A$100,BD!$S$3:$S$5001,"&lt;&gt;")=0,"",SUMIFS(BD!$S$3:$S$5001,BD!$A$3:$A$5001,AG$3,BD!$B$3:$B$5001,$A$100)))</f>
        <v/>
      </c>
      <c r="AH114" s="179" t="str">
        <f>IF(AH$3="","",IF(COUNTIFS(BD!$A$3:$A$5001,AH$3,BD!$B$3:$B$5001,$A$100,BD!$S$3:$S$5001,"&lt;&gt;")=0,"",SUMIFS(BD!$S$3:$S$5001,BD!$A$3:$A$5001,AH$3,BD!$B$3:$B$5001,$A$100)))</f>
        <v/>
      </c>
      <c r="AI114" s="179" t="str">
        <f>IF(AI$3="","",IF(COUNTIFS(BD!$A$3:$A$5001,AI$3,BD!$B$3:$B$5001,$A$100,BD!$S$3:$S$5001,"&lt;&gt;")=0,"",SUMIFS(BD!$S$3:$S$5001,BD!$A$3:$A$5001,AI$3,BD!$B$3:$B$5001,$A$100)))</f>
        <v/>
      </c>
      <c r="AJ114" s="180" t="str">
        <f>IF(AJ$3="","",IF(COUNTIFS(BD!$A$3:$A$5001,AJ$3,BD!$B$3:$B$5001,$A$100,BD!$S$3:$S$5001,"&lt;&gt;")=0,"",SUMIFS(BD!$S$3:$S$5001,BD!$A$3:$A$5001,AJ$3,BD!$B$3:$B$5001,$A$100)))</f>
        <v/>
      </c>
      <c r="AK114" s="181" t="str">
        <f>IFERROR(LOOKUP(9.99E+307,F114:AJ114),"")</f>
        <v/>
      </c>
    </row>
    <row r="115" ht="15.75" customHeight="1">
      <c r="A115" s="277"/>
      <c r="B115" s="266"/>
      <c r="C115" s="186" t="inlineStr">
        <is>
          <t xml:space="preserve">Taxa de Ocupação</t>
        </is>
      </c>
      <c r="D115" s="236" t="str">
        <f>IFERROR(1/(1/INDEX(BD!$AF$40:$AZ$40,MATCH($A$100,BD!$AF$22:$AZ$22,0))),"")</f>
        <v/>
      </c>
      <c r="E115" s="188"/>
      <c r="F115" s="237" t="str">
        <f>IF(AND(ISNUMBER(F113),ISNUMBER(F114)),IF(F113&gt;0,F114/F113,""),"")</f>
        <v/>
      </c>
      <c r="G115" s="238" t="str">
        <f>IF(AND(ISNUMBER(G113),ISNUMBER(G114)),IF(G113&gt;0,G114/G113,""),"")</f>
        <v/>
      </c>
      <c r="H115" s="238" t="str">
        <f>IF(AND(ISNUMBER(H113),ISNUMBER(H114)),IF(H113&gt;0,H114/H113,""),"")</f>
        <v/>
      </c>
      <c r="I115" s="238" t="str">
        <f>IF(AND(ISNUMBER(I113),ISNUMBER(I114)),IF(I113&gt;0,I114/I113,""),"")</f>
        <v/>
      </c>
      <c r="J115" s="238" t="str">
        <f>IF(AND(ISNUMBER(J113),ISNUMBER(J114)),IF(J113&gt;0,J114/J113,""),"")</f>
        <v/>
      </c>
      <c r="K115" s="238" t="str">
        <f>IF(AND(ISNUMBER(K113),ISNUMBER(K114)),IF(K113&gt;0,K114/K113,""),"")</f>
        <v/>
      </c>
      <c r="L115" s="238" t="str">
        <f>IF(AND(ISNUMBER(L113),ISNUMBER(L114)),IF(L113&gt;0,L114/L113,""),"")</f>
        <v/>
      </c>
      <c r="M115" s="238" t="str">
        <f>IF(AND(ISNUMBER(M113),ISNUMBER(M114)),IF(M113&gt;0,M114/M113,""),"")</f>
        <v/>
      </c>
      <c r="N115" s="238" t="str">
        <f>IF(AND(ISNUMBER(N113),ISNUMBER(N114)),IF(N113&gt;0,N114/N113,""),"")</f>
        <v/>
      </c>
      <c r="O115" s="238" t="str">
        <f>IF(AND(ISNUMBER(O113),ISNUMBER(O114)),IF(O113&gt;0,O114/O113,""),"")</f>
        <v/>
      </c>
      <c r="P115" s="238" t="str">
        <f>IF(AND(ISNUMBER(P113),ISNUMBER(P114)),IF(P113&gt;0,P114/P113,""),"")</f>
        <v/>
      </c>
      <c r="Q115" s="238" t="str">
        <f>IF(AND(ISNUMBER(Q113),ISNUMBER(Q114)),IF(Q113&gt;0,Q114/Q113,""),"")</f>
        <v/>
      </c>
      <c r="R115" s="238" t="str">
        <f>IF(AND(ISNUMBER(R113),ISNUMBER(R114)),IF(R113&gt;0,R114/R113,""),"")</f>
        <v/>
      </c>
      <c r="S115" s="238" t="str">
        <f>IF(AND(ISNUMBER(S113),ISNUMBER(S114)),IF(S113&gt;0,S114/S113,""),"")</f>
        <v/>
      </c>
      <c r="T115" s="238" t="str">
        <f>IF(AND(ISNUMBER(T113),ISNUMBER(T114)),IF(T113&gt;0,T114/T113,""),"")</f>
        <v/>
      </c>
      <c r="U115" s="238" t="str">
        <f>IF(AND(ISNUMBER(U113),ISNUMBER(U114)),IF(U113&gt;0,U114/U113,""),"")</f>
        <v/>
      </c>
      <c r="V115" s="238" t="str">
        <f>IF(AND(ISNUMBER(V113),ISNUMBER(V114)),IF(V113&gt;0,V114/V113,""),"")</f>
        <v/>
      </c>
      <c r="W115" s="238" t="str">
        <f>IF(AND(ISNUMBER(W113),ISNUMBER(W114)),IF(W113&gt;0,W114/W113,""),"")</f>
        <v/>
      </c>
      <c r="X115" s="238" t="str">
        <f>IF(AND(ISNUMBER(X113),ISNUMBER(X114)),IF(X113&gt;0,X114/X113,""),"")</f>
        <v/>
      </c>
      <c r="Y115" s="238" t="str">
        <f>IF(AND(ISNUMBER(Y113),ISNUMBER(Y114)),IF(Y113&gt;0,Y114/Y113,""),"")</f>
        <v/>
      </c>
      <c r="Z115" s="238" t="str">
        <f>IF(AND(ISNUMBER(Z113),ISNUMBER(Z114)),IF(Z113&gt;0,Z114/Z113,""),"")</f>
        <v/>
      </c>
      <c r="AA115" s="238" t="str">
        <f>IF(AND(ISNUMBER(AA113),ISNUMBER(AA114)),IF(AA113&gt;0,AA114/AA113,""),"")</f>
        <v/>
      </c>
      <c r="AB115" s="238" t="str">
        <f>IF(AND(ISNUMBER(AB113),ISNUMBER(AB114)),IF(AB113&gt;0,AB114/AB113,""),"")</f>
        <v/>
      </c>
      <c r="AC115" s="238" t="str">
        <f>IF(AND(ISNUMBER(AC113),ISNUMBER(AC114)),IF(AC113&gt;0,AC114/AC113,""),"")</f>
        <v/>
      </c>
      <c r="AD115" s="238" t="str">
        <f>IF(AND(ISNUMBER(AD113),ISNUMBER(AD114)),IF(AD113&gt;0,AD114/AD113,""),"")</f>
        <v/>
      </c>
      <c r="AE115" s="238" t="str">
        <f>IF(AND(ISNUMBER(AE113),ISNUMBER(AE114)),IF(AE113&gt;0,AE114/AE113,""),"")</f>
        <v/>
      </c>
      <c r="AF115" s="238" t="str">
        <f>IF(AND(ISNUMBER(AF113),ISNUMBER(AF114)),IF(AF113&gt;0,AF114/AF113,""),"")</f>
        <v/>
      </c>
      <c r="AG115" s="238" t="str">
        <f>IF(AND(ISNUMBER(AG113),ISNUMBER(AG114)),IF(AG113&gt;0,AG114/AG113,""),"")</f>
        <v/>
      </c>
      <c r="AH115" s="238" t="str">
        <f>IF(AND(ISNUMBER(AH113),ISNUMBER(AH114)),IF(AH113&gt;0,AH114/AH113,""),"")</f>
        <v/>
      </c>
      <c r="AI115" s="238" t="str">
        <f>IF(AND(ISNUMBER(AI113),ISNUMBER(AI114)),IF(AI113&gt;0,AI114/AI113,""),"")</f>
        <v/>
      </c>
      <c r="AJ115" s="239" t="str">
        <f>IF(AND(ISNUMBER(AJ113),ISNUMBER(AJ114)),IF(AJ113&gt;0,AJ114/AJ113,""),"")</f>
        <v/>
      </c>
      <c r="AK115" s="236" t="str">
        <f>IF(AND(ISNUMBER(AK113),ISNUMBER(AK114)),IF(AK113&gt;0,AK114/AK113,""),"")</f>
        <v/>
      </c>
    </row>
    <row r="116" ht="15.75" customHeight="1">
      <c r="A116" s="277"/>
      <c r="B116" s="273" t="inlineStr">
        <is>
          <t xml:space="preserve">GENTE</t>
        </is>
      </c>
      <c r="C116" s="240" t="inlineStr">
        <is>
          <t xml:space="preserve">Efetivo Op.</t>
        </is>
      </c>
      <c r="D116" s="241" t="str">
        <f>IFERROR(1/(1/INDEX(BD!$AF$41:$AZ$41,MATCH($A$100,BD!$AF$22:$AZ$22,0))),"")</f>
        <v/>
      </c>
      <c r="E116" s="242"/>
      <c r="F116" s="243" t="str">
        <f>IF(F$3="","",IF(COUNTIFS(BD!$A$3:$A$5001,F$3,BD!$B$3:$B$5001,$A$100,BD!$T$3:$T$5001,"&lt;&gt;")=0,"",SUMIFS(BD!$T$3:$T$5001,BD!$A$3:$A$5001,F$3,BD!$B$3:$B$5001,$A$100)))</f>
        <v/>
      </c>
      <c r="G116" s="244" t="str">
        <f>IF(G$3="","",IF(COUNTIFS(BD!$A$3:$A$5001,G$3,BD!$B$3:$B$5001,$A$100,BD!$T$3:$T$5001,"&lt;&gt;")=0,"",SUMIFS(BD!$T$3:$T$5001,BD!$A$3:$A$5001,G$3,BD!$B$3:$B$5001,$A$100)))</f>
        <v/>
      </c>
      <c r="H116" s="244" t="str">
        <f>IF(H$3="","",IF(COUNTIFS(BD!$A$3:$A$5001,H$3,BD!$B$3:$B$5001,$A$100,BD!$T$3:$T$5001,"&lt;&gt;")=0,"",SUMIFS(BD!$T$3:$T$5001,BD!$A$3:$A$5001,H$3,BD!$B$3:$B$5001,$A$100)))</f>
        <v/>
      </c>
      <c r="I116" s="244" t="str">
        <f>IF(I$3="","",IF(COUNTIFS(BD!$A$3:$A$5001,I$3,BD!$B$3:$B$5001,$A$100,BD!$T$3:$T$5001,"&lt;&gt;")=0,"",SUMIFS(BD!$T$3:$T$5001,BD!$A$3:$A$5001,I$3,BD!$B$3:$B$5001,$A$100)))</f>
        <v/>
      </c>
      <c r="J116" s="244" t="str">
        <f>IF(J$3="","",IF(COUNTIFS(BD!$A$3:$A$5001,J$3,BD!$B$3:$B$5001,$A$100,BD!$T$3:$T$5001,"&lt;&gt;")=0,"",SUMIFS(BD!$T$3:$T$5001,BD!$A$3:$A$5001,J$3,BD!$B$3:$B$5001,$A$100)))</f>
        <v/>
      </c>
      <c r="K116" s="244" t="str">
        <f>IF(K$3="","",IF(COUNTIFS(BD!$A$3:$A$5001,K$3,BD!$B$3:$B$5001,$A$100,BD!$T$3:$T$5001,"&lt;&gt;")=0,"",SUMIFS(BD!$T$3:$T$5001,BD!$A$3:$A$5001,K$3,BD!$B$3:$B$5001,$A$100)))</f>
        <v/>
      </c>
      <c r="L116" s="244" t="str">
        <f>IF(L$3="","",IF(COUNTIFS(BD!$A$3:$A$5001,L$3,BD!$B$3:$B$5001,$A$100,BD!$T$3:$T$5001,"&lt;&gt;")=0,"",SUMIFS(BD!$T$3:$T$5001,BD!$A$3:$A$5001,L$3,BD!$B$3:$B$5001,$A$100)))</f>
        <v/>
      </c>
      <c r="M116" s="244" t="str">
        <f>IF(M$3="","",IF(COUNTIFS(BD!$A$3:$A$5001,M$3,BD!$B$3:$B$5001,$A$100,BD!$T$3:$T$5001,"&lt;&gt;")=0,"",SUMIFS(BD!$T$3:$T$5001,BD!$A$3:$A$5001,M$3,BD!$B$3:$B$5001,$A$100)))</f>
        <v/>
      </c>
      <c r="N116" s="244" t="str">
        <f>IF(N$3="","",IF(COUNTIFS(BD!$A$3:$A$5001,N$3,BD!$B$3:$B$5001,$A$100,BD!$T$3:$T$5001,"&lt;&gt;")=0,"",SUMIFS(BD!$T$3:$T$5001,BD!$A$3:$A$5001,N$3,BD!$B$3:$B$5001,$A$100)))</f>
        <v/>
      </c>
      <c r="O116" s="244" t="str">
        <f>IF(O$3="","",IF(COUNTIFS(BD!$A$3:$A$5001,O$3,BD!$B$3:$B$5001,$A$100,BD!$T$3:$T$5001,"&lt;&gt;")=0,"",SUMIFS(BD!$T$3:$T$5001,BD!$A$3:$A$5001,O$3,BD!$B$3:$B$5001,$A$100)))</f>
        <v/>
      </c>
      <c r="P116" s="244" t="str">
        <f>IF(P$3="","",IF(COUNTIFS(BD!$A$3:$A$5001,P$3,BD!$B$3:$B$5001,$A$100,BD!$T$3:$T$5001,"&lt;&gt;")=0,"",SUMIFS(BD!$T$3:$T$5001,BD!$A$3:$A$5001,P$3,BD!$B$3:$B$5001,$A$100)))</f>
        <v/>
      </c>
      <c r="Q116" s="244" t="str">
        <f>IF(Q$3="","",IF(COUNTIFS(BD!$A$3:$A$5001,Q$3,BD!$B$3:$B$5001,$A$100,BD!$T$3:$T$5001,"&lt;&gt;")=0,"",SUMIFS(BD!$T$3:$T$5001,BD!$A$3:$A$5001,Q$3,BD!$B$3:$B$5001,$A$100)))</f>
        <v/>
      </c>
      <c r="R116" s="244" t="str">
        <f>IF(R$3="","",IF(COUNTIFS(BD!$A$3:$A$5001,R$3,BD!$B$3:$B$5001,$A$100,BD!$T$3:$T$5001,"&lt;&gt;")=0,"",SUMIFS(BD!$T$3:$T$5001,BD!$A$3:$A$5001,R$3,BD!$B$3:$B$5001,$A$100)))</f>
        <v/>
      </c>
      <c r="S116" s="244" t="str">
        <f>IF(S$3="","",IF(COUNTIFS(BD!$A$3:$A$5001,S$3,BD!$B$3:$B$5001,$A$100,BD!$T$3:$T$5001,"&lt;&gt;")=0,"",SUMIFS(BD!$T$3:$T$5001,BD!$A$3:$A$5001,S$3,BD!$B$3:$B$5001,$A$100)))</f>
        <v/>
      </c>
      <c r="T116" s="244" t="str">
        <f>IF(T$3="","",IF(COUNTIFS(BD!$A$3:$A$5001,T$3,BD!$B$3:$B$5001,$A$100,BD!$T$3:$T$5001,"&lt;&gt;")=0,"",SUMIFS(BD!$T$3:$T$5001,BD!$A$3:$A$5001,T$3,BD!$B$3:$B$5001,$A$100)))</f>
        <v/>
      </c>
      <c r="U116" s="244" t="str">
        <f>IF(U$3="","",IF(COUNTIFS(BD!$A$3:$A$5001,U$3,BD!$B$3:$B$5001,$A$100,BD!$T$3:$T$5001,"&lt;&gt;")=0,"",SUMIFS(BD!$T$3:$T$5001,BD!$A$3:$A$5001,U$3,BD!$B$3:$B$5001,$A$100)))</f>
        <v/>
      </c>
      <c r="V116" s="244" t="str">
        <f>IF(V$3="","",IF(COUNTIFS(BD!$A$3:$A$5001,V$3,BD!$B$3:$B$5001,$A$100,BD!$T$3:$T$5001,"&lt;&gt;")=0,"",SUMIFS(BD!$T$3:$T$5001,BD!$A$3:$A$5001,V$3,BD!$B$3:$B$5001,$A$100)))</f>
        <v/>
      </c>
      <c r="W116" s="244" t="str">
        <f>IF(W$3="","",IF(COUNTIFS(BD!$A$3:$A$5001,W$3,BD!$B$3:$B$5001,$A$100,BD!$T$3:$T$5001,"&lt;&gt;")=0,"",SUMIFS(BD!$T$3:$T$5001,BD!$A$3:$A$5001,W$3,BD!$B$3:$B$5001,$A$100)))</f>
        <v/>
      </c>
      <c r="X116" s="244" t="str">
        <f>IF(X$3="","",IF(COUNTIFS(BD!$A$3:$A$5001,X$3,BD!$B$3:$B$5001,$A$100,BD!$T$3:$T$5001,"&lt;&gt;")=0,"",SUMIFS(BD!$T$3:$T$5001,BD!$A$3:$A$5001,X$3,BD!$B$3:$B$5001,$A$100)))</f>
        <v/>
      </c>
      <c r="Y116" s="244" t="str">
        <f>IF(Y$3="","",IF(COUNTIFS(BD!$A$3:$A$5001,Y$3,BD!$B$3:$B$5001,$A$100,BD!$T$3:$T$5001,"&lt;&gt;")=0,"",SUMIFS(BD!$T$3:$T$5001,BD!$A$3:$A$5001,Y$3,BD!$B$3:$B$5001,$A$100)))</f>
        <v/>
      </c>
      <c r="Z116" s="244" t="str">
        <f>IF(Z$3="","",IF(COUNTIFS(BD!$A$3:$A$5001,Z$3,BD!$B$3:$B$5001,$A$100,BD!$T$3:$T$5001,"&lt;&gt;")=0,"",SUMIFS(BD!$T$3:$T$5001,BD!$A$3:$A$5001,Z$3,BD!$B$3:$B$5001,$A$100)))</f>
        <v/>
      </c>
      <c r="AA116" s="244" t="str">
        <f>IF(AA$3="","",IF(COUNTIFS(BD!$A$3:$A$5001,AA$3,BD!$B$3:$B$5001,$A$100,BD!$T$3:$T$5001,"&lt;&gt;")=0,"",SUMIFS(BD!$T$3:$T$5001,BD!$A$3:$A$5001,AA$3,BD!$B$3:$B$5001,$A$100)))</f>
        <v/>
      </c>
      <c r="AB116" s="244" t="str">
        <f>IF(AB$3="","",IF(COUNTIFS(BD!$A$3:$A$5001,AB$3,BD!$B$3:$B$5001,$A$100,BD!$T$3:$T$5001,"&lt;&gt;")=0,"",SUMIFS(BD!$T$3:$T$5001,BD!$A$3:$A$5001,AB$3,BD!$B$3:$B$5001,$A$100)))</f>
        <v/>
      </c>
      <c r="AC116" s="244" t="str">
        <f>IF(AC$3="","",IF(COUNTIFS(BD!$A$3:$A$5001,AC$3,BD!$B$3:$B$5001,$A$100,BD!$T$3:$T$5001,"&lt;&gt;")=0,"",SUMIFS(BD!$T$3:$T$5001,BD!$A$3:$A$5001,AC$3,BD!$B$3:$B$5001,$A$100)))</f>
        <v/>
      </c>
      <c r="AD116" s="244" t="str">
        <f>IF(AD$3="","",IF(COUNTIFS(BD!$A$3:$A$5001,AD$3,BD!$B$3:$B$5001,$A$100,BD!$T$3:$T$5001,"&lt;&gt;")=0,"",SUMIFS(BD!$T$3:$T$5001,BD!$A$3:$A$5001,AD$3,BD!$B$3:$B$5001,$A$100)))</f>
        <v/>
      </c>
      <c r="AE116" s="244" t="str">
        <f>IF(AE$3="","",IF(COUNTIFS(BD!$A$3:$A$5001,AE$3,BD!$B$3:$B$5001,$A$100,BD!$T$3:$T$5001,"&lt;&gt;")=0,"",SUMIFS(BD!$T$3:$T$5001,BD!$A$3:$A$5001,AE$3,BD!$B$3:$B$5001,$A$100)))</f>
        <v/>
      </c>
      <c r="AF116" s="244" t="str">
        <f>IF(AF$3="","",IF(COUNTIFS(BD!$A$3:$A$5001,AF$3,BD!$B$3:$B$5001,$A$100,BD!$T$3:$T$5001,"&lt;&gt;")=0,"",SUMIFS(BD!$T$3:$T$5001,BD!$A$3:$A$5001,AF$3,BD!$B$3:$B$5001,$A$100)))</f>
        <v/>
      </c>
      <c r="AG116" s="244" t="str">
        <f>IF(AG$3="","",IF(COUNTIFS(BD!$A$3:$A$5001,AG$3,BD!$B$3:$B$5001,$A$100,BD!$T$3:$T$5001,"&lt;&gt;")=0,"",SUMIFS(BD!$T$3:$T$5001,BD!$A$3:$A$5001,AG$3,BD!$B$3:$B$5001,$A$100)))</f>
        <v/>
      </c>
      <c r="AH116" s="244" t="str">
        <f>IF(AH$3="","",IF(COUNTIFS(BD!$A$3:$A$5001,AH$3,BD!$B$3:$B$5001,$A$100,BD!$T$3:$T$5001,"&lt;&gt;")=0,"",SUMIFS(BD!$T$3:$T$5001,BD!$A$3:$A$5001,AH$3,BD!$B$3:$B$5001,$A$100)))</f>
        <v/>
      </c>
      <c r="AI116" s="244" t="str">
        <f>IF(AI$3="","",IF(COUNTIFS(BD!$A$3:$A$5001,AI$3,BD!$B$3:$B$5001,$A$100,BD!$T$3:$T$5001,"&lt;&gt;")=0,"",SUMIFS(BD!$T$3:$T$5001,BD!$A$3:$A$5001,AI$3,BD!$B$3:$B$5001,$A$100)))</f>
        <v/>
      </c>
      <c r="AJ116" s="245" t="str">
        <f>IF(AJ$3="","",IF(COUNTIFS(BD!$A$3:$A$5001,AJ$3,BD!$B$3:$B$5001,$A$100,BD!$T$3:$T$5001,"&lt;&gt;")=0,"",SUMIFS(BD!$T$3:$T$5001,BD!$A$3:$A$5001,AJ$3,BD!$B$3:$B$5001,$A$100)))</f>
        <v/>
      </c>
      <c r="AK116" s="246" t="str">
        <f>IFERROR(LOOKUP(9.99E+307,F116:AJ116),"")</f>
        <v/>
      </c>
    </row>
    <row r="117" ht="15.75" customHeight="1">
      <c r="A117" s="277"/>
      <c r="B117" s="274"/>
      <c r="C117" s="247" t="inlineStr">
        <is>
          <t xml:space="preserve">Falta</t>
        </is>
      </c>
      <c r="D117" s="248" t="str">
        <f>IFERROR(1/(1/INDEX(BD!$AF$42:$AZ$42,MATCH($A$100,BD!$AF$22:$AZ$22,0))),"")</f>
        <v/>
      </c>
      <c r="E117" s="249"/>
      <c r="F117" s="250" t="str">
        <f>IF(F$3="","",IF(COUNTIFS(BD!$A$3:$A$5001,F$3,BD!$B$3:$B$5001,$A$100,BD!$U$3:$U$5001,"&lt;&gt;")=0,"",SUMIFS(BD!$U$3:$U$5001,BD!$A$3:$A$5001,F$3,BD!$B$3:$B$5001,$A$100)))</f>
        <v/>
      </c>
      <c r="G117" s="251" t="str">
        <f>IF(G$3="","",IF(COUNTIFS(BD!$A$3:$A$5001,G$3,BD!$B$3:$B$5001,$A$100,BD!$U$3:$U$5001,"&lt;&gt;")=0,"",SUMIFS(BD!$U$3:$U$5001,BD!$A$3:$A$5001,G$3,BD!$B$3:$B$5001,$A$100)))</f>
        <v/>
      </c>
      <c r="H117" s="251" t="str">
        <f>IF(H$3="","",IF(COUNTIFS(BD!$A$3:$A$5001,H$3,BD!$B$3:$B$5001,$A$100,BD!$U$3:$U$5001,"&lt;&gt;")=0,"",SUMIFS(BD!$U$3:$U$5001,BD!$A$3:$A$5001,H$3,BD!$B$3:$B$5001,$A$100)))</f>
        <v/>
      </c>
      <c r="I117" s="251" t="str">
        <f>IF(I$3="","",IF(COUNTIFS(BD!$A$3:$A$5001,I$3,BD!$B$3:$B$5001,$A$100,BD!$U$3:$U$5001,"&lt;&gt;")=0,"",SUMIFS(BD!$U$3:$U$5001,BD!$A$3:$A$5001,I$3,BD!$B$3:$B$5001,$A$100)))</f>
        <v/>
      </c>
      <c r="J117" s="251" t="str">
        <f>IF(J$3="","",IF(COUNTIFS(BD!$A$3:$A$5001,J$3,BD!$B$3:$B$5001,$A$100,BD!$U$3:$U$5001,"&lt;&gt;")=0,"",SUMIFS(BD!$U$3:$U$5001,BD!$A$3:$A$5001,J$3,BD!$B$3:$B$5001,$A$100)))</f>
        <v/>
      </c>
      <c r="K117" s="251" t="str">
        <f>IF(K$3="","",IF(COUNTIFS(BD!$A$3:$A$5001,K$3,BD!$B$3:$B$5001,$A$100,BD!$U$3:$U$5001,"&lt;&gt;")=0,"",SUMIFS(BD!$U$3:$U$5001,BD!$A$3:$A$5001,K$3,BD!$B$3:$B$5001,$A$100)))</f>
        <v/>
      </c>
      <c r="L117" s="251" t="str">
        <f>IF(L$3="","",IF(COUNTIFS(BD!$A$3:$A$5001,L$3,BD!$B$3:$B$5001,$A$100,BD!$U$3:$U$5001,"&lt;&gt;")=0,"",SUMIFS(BD!$U$3:$U$5001,BD!$A$3:$A$5001,L$3,BD!$B$3:$B$5001,$A$100)))</f>
        <v/>
      </c>
      <c r="M117" s="251" t="str">
        <f>IF(M$3="","",IF(COUNTIFS(BD!$A$3:$A$5001,M$3,BD!$B$3:$B$5001,$A$100,BD!$U$3:$U$5001,"&lt;&gt;")=0,"",SUMIFS(BD!$U$3:$U$5001,BD!$A$3:$A$5001,M$3,BD!$B$3:$B$5001,$A$100)))</f>
        <v/>
      </c>
      <c r="N117" s="251" t="str">
        <f>IF(N$3="","",IF(COUNTIFS(BD!$A$3:$A$5001,N$3,BD!$B$3:$B$5001,$A$100,BD!$U$3:$U$5001,"&lt;&gt;")=0,"",SUMIFS(BD!$U$3:$U$5001,BD!$A$3:$A$5001,N$3,BD!$B$3:$B$5001,$A$100)))</f>
        <v/>
      </c>
      <c r="O117" s="251" t="str">
        <f>IF(O$3="","",IF(COUNTIFS(BD!$A$3:$A$5001,O$3,BD!$B$3:$B$5001,$A$100,BD!$U$3:$U$5001,"&lt;&gt;")=0,"",SUMIFS(BD!$U$3:$U$5001,BD!$A$3:$A$5001,O$3,BD!$B$3:$B$5001,$A$100)))</f>
        <v/>
      </c>
      <c r="P117" s="251" t="str">
        <f>IF(P$3="","",IF(COUNTIFS(BD!$A$3:$A$5001,P$3,BD!$B$3:$B$5001,$A$100,BD!$U$3:$U$5001,"&lt;&gt;")=0,"",SUMIFS(BD!$U$3:$U$5001,BD!$A$3:$A$5001,P$3,BD!$B$3:$B$5001,$A$100)))</f>
        <v/>
      </c>
      <c r="Q117" s="251" t="str">
        <f>IF(Q$3="","",IF(COUNTIFS(BD!$A$3:$A$5001,Q$3,BD!$B$3:$B$5001,$A$100,BD!$U$3:$U$5001,"&lt;&gt;")=0,"",SUMIFS(BD!$U$3:$U$5001,BD!$A$3:$A$5001,Q$3,BD!$B$3:$B$5001,$A$100)))</f>
        <v/>
      </c>
      <c r="R117" s="251" t="str">
        <f>IF(R$3="","",IF(COUNTIFS(BD!$A$3:$A$5001,R$3,BD!$B$3:$B$5001,$A$100,BD!$U$3:$U$5001,"&lt;&gt;")=0,"",SUMIFS(BD!$U$3:$U$5001,BD!$A$3:$A$5001,R$3,BD!$B$3:$B$5001,$A$100)))</f>
        <v/>
      </c>
      <c r="S117" s="251" t="str">
        <f>IF(S$3="","",IF(COUNTIFS(BD!$A$3:$A$5001,S$3,BD!$B$3:$B$5001,$A$100,BD!$U$3:$U$5001,"&lt;&gt;")=0,"",SUMIFS(BD!$U$3:$U$5001,BD!$A$3:$A$5001,S$3,BD!$B$3:$B$5001,$A$100)))</f>
        <v/>
      </c>
      <c r="T117" s="251" t="str">
        <f>IF(T$3="","",IF(COUNTIFS(BD!$A$3:$A$5001,T$3,BD!$B$3:$B$5001,$A$100,BD!$U$3:$U$5001,"&lt;&gt;")=0,"",SUMIFS(BD!$U$3:$U$5001,BD!$A$3:$A$5001,T$3,BD!$B$3:$B$5001,$A$100)))</f>
        <v/>
      </c>
      <c r="U117" s="251" t="str">
        <f>IF(U$3="","",IF(COUNTIFS(BD!$A$3:$A$5001,U$3,BD!$B$3:$B$5001,$A$100,BD!$U$3:$U$5001,"&lt;&gt;")=0,"",SUMIFS(BD!$U$3:$U$5001,BD!$A$3:$A$5001,U$3,BD!$B$3:$B$5001,$A$100)))</f>
        <v/>
      </c>
      <c r="V117" s="251" t="str">
        <f>IF(V$3="","",IF(COUNTIFS(BD!$A$3:$A$5001,V$3,BD!$B$3:$B$5001,$A$100,BD!$U$3:$U$5001,"&lt;&gt;")=0,"",SUMIFS(BD!$U$3:$U$5001,BD!$A$3:$A$5001,V$3,BD!$B$3:$B$5001,$A$100)))</f>
        <v/>
      </c>
      <c r="W117" s="251" t="str">
        <f>IF(W$3="","",IF(COUNTIFS(BD!$A$3:$A$5001,W$3,BD!$B$3:$B$5001,$A$100,BD!$U$3:$U$5001,"&lt;&gt;")=0,"",SUMIFS(BD!$U$3:$U$5001,BD!$A$3:$A$5001,W$3,BD!$B$3:$B$5001,$A$100)))</f>
        <v/>
      </c>
      <c r="X117" s="251" t="str">
        <f>IF(X$3="","",IF(COUNTIFS(BD!$A$3:$A$5001,X$3,BD!$B$3:$B$5001,$A$100,BD!$U$3:$U$5001,"&lt;&gt;")=0,"",SUMIFS(BD!$U$3:$U$5001,BD!$A$3:$A$5001,X$3,BD!$B$3:$B$5001,$A$100)))</f>
        <v/>
      </c>
      <c r="Y117" s="251" t="str">
        <f>IF(Y$3="","",IF(COUNTIFS(BD!$A$3:$A$5001,Y$3,BD!$B$3:$B$5001,$A$100,BD!$U$3:$U$5001,"&lt;&gt;")=0,"",SUMIFS(BD!$U$3:$U$5001,BD!$A$3:$A$5001,Y$3,BD!$B$3:$B$5001,$A$100)))</f>
        <v/>
      </c>
      <c r="Z117" s="251" t="str">
        <f>IF(Z$3="","",IF(COUNTIFS(BD!$A$3:$A$5001,Z$3,BD!$B$3:$B$5001,$A$100,BD!$U$3:$U$5001,"&lt;&gt;")=0,"",SUMIFS(BD!$U$3:$U$5001,BD!$A$3:$A$5001,Z$3,BD!$B$3:$B$5001,$A$100)))</f>
        <v/>
      </c>
      <c r="AA117" s="251" t="str">
        <f>IF(AA$3="","",IF(COUNTIFS(BD!$A$3:$A$5001,AA$3,BD!$B$3:$B$5001,$A$100,BD!$U$3:$U$5001,"&lt;&gt;")=0,"",SUMIFS(BD!$U$3:$U$5001,BD!$A$3:$A$5001,AA$3,BD!$B$3:$B$5001,$A$100)))</f>
        <v/>
      </c>
      <c r="AB117" s="251" t="str">
        <f>IF(AB$3="","",IF(COUNTIFS(BD!$A$3:$A$5001,AB$3,BD!$B$3:$B$5001,$A$100,BD!$U$3:$U$5001,"&lt;&gt;")=0,"",SUMIFS(BD!$U$3:$U$5001,BD!$A$3:$A$5001,AB$3,BD!$B$3:$B$5001,$A$100)))</f>
        <v/>
      </c>
      <c r="AC117" s="251" t="str">
        <f>IF(AC$3="","",IF(COUNTIFS(BD!$A$3:$A$5001,AC$3,BD!$B$3:$B$5001,$A$100,BD!$U$3:$U$5001,"&lt;&gt;")=0,"",SUMIFS(BD!$U$3:$U$5001,BD!$A$3:$A$5001,AC$3,BD!$B$3:$B$5001,$A$100)))</f>
        <v/>
      </c>
      <c r="AD117" s="251" t="str">
        <f>IF(AD$3="","",IF(COUNTIFS(BD!$A$3:$A$5001,AD$3,BD!$B$3:$B$5001,$A$100,BD!$U$3:$U$5001,"&lt;&gt;")=0,"",SUMIFS(BD!$U$3:$U$5001,BD!$A$3:$A$5001,AD$3,BD!$B$3:$B$5001,$A$100)))</f>
        <v/>
      </c>
      <c r="AE117" s="251" t="str">
        <f>IF(AE$3="","",IF(COUNTIFS(BD!$A$3:$A$5001,AE$3,BD!$B$3:$B$5001,$A$100,BD!$U$3:$U$5001,"&lt;&gt;")=0,"",SUMIFS(BD!$U$3:$U$5001,BD!$A$3:$A$5001,AE$3,BD!$B$3:$B$5001,$A$100)))</f>
        <v/>
      </c>
      <c r="AF117" s="251" t="str">
        <f>IF(AF$3="","",IF(COUNTIFS(BD!$A$3:$A$5001,AF$3,BD!$B$3:$B$5001,$A$100,BD!$U$3:$U$5001,"&lt;&gt;")=0,"",SUMIFS(BD!$U$3:$U$5001,BD!$A$3:$A$5001,AF$3,BD!$B$3:$B$5001,$A$100)))</f>
        <v/>
      </c>
      <c r="AG117" s="251" t="str">
        <f>IF(AG$3="","",IF(COUNTIFS(BD!$A$3:$A$5001,AG$3,BD!$B$3:$B$5001,$A$100,BD!$U$3:$U$5001,"&lt;&gt;")=0,"",SUMIFS(BD!$U$3:$U$5001,BD!$A$3:$A$5001,AG$3,BD!$B$3:$B$5001,$A$100)))</f>
        <v/>
      </c>
      <c r="AH117" s="251" t="str">
        <f>IF(AH$3="","",IF(COUNTIFS(BD!$A$3:$A$5001,AH$3,BD!$B$3:$B$5001,$A$100,BD!$U$3:$U$5001,"&lt;&gt;")=0,"",SUMIFS(BD!$U$3:$U$5001,BD!$A$3:$A$5001,AH$3,BD!$B$3:$B$5001,$A$100)))</f>
        <v/>
      </c>
      <c r="AI117" s="251" t="str">
        <f>IF(AI$3="","",IF(COUNTIFS(BD!$A$3:$A$5001,AI$3,BD!$B$3:$B$5001,$A$100,BD!$U$3:$U$5001,"&lt;&gt;")=0,"",SUMIFS(BD!$U$3:$U$5001,BD!$A$3:$A$5001,AI$3,BD!$B$3:$B$5001,$A$100)))</f>
        <v/>
      </c>
      <c r="AJ117" s="252" t="str">
        <f>IF(AJ$3="","",IF(COUNTIFS(BD!$A$3:$A$5001,AJ$3,BD!$B$3:$B$5001,$A$100,BD!$U$3:$U$5001,"&lt;&gt;")=0,"",SUMIFS(BD!$U$3:$U$5001,BD!$A$3:$A$5001,AJ$3,BD!$B$3:$B$5001,$A$100)))</f>
        <v/>
      </c>
      <c r="AK117" s="253" t="str">
        <f>IF(COUNT(F117:AJ117)=0,"",SUM(F117:AJ117))</f>
        <v/>
      </c>
    </row>
    <row r="118" ht="15.75" customHeight="1">
      <c r="A118" s="277"/>
      <c r="B118" s="274"/>
      <c r="C118" s="247" t="inlineStr">
        <is>
          <t xml:space="preserve">Absenteísmo (H/H)</t>
        </is>
      </c>
      <c r="D118" s="248" t="str">
        <f>IFERROR(1/(1/INDEX(BD!$AF$43:$AZ$43,MATCH($A$100,BD!$AF$22:$AZ$22,0))),"")</f>
        <v/>
      </c>
      <c r="E118" s="249"/>
      <c r="F118" s="254" t="str">
        <f>IF(F$3="","",IF(COUNTIFS(BD!$A$3:$A$5001,F$3,BD!$B$3:$B$5001,$A$100,BD!$V$3:$V$5001,"&lt;&gt;")=0,"",SUMIFS(BD!$V$3:$V$5001,BD!$A$3:$A$5001,F$3,BD!$B$3:$B$5001,$A$100)))</f>
        <v/>
      </c>
      <c r="G118" s="255" t="str">
        <f>IF(G$3="","",IF(COUNTIFS(BD!$A$3:$A$5001,G$3,BD!$B$3:$B$5001,$A$100,BD!$V$3:$V$5001,"&lt;&gt;")=0,"",SUMIFS(BD!$V$3:$V$5001,BD!$A$3:$A$5001,G$3,BD!$B$3:$B$5001,$A$100)))</f>
        <v/>
      </c>
      <c r="H118" s="255" t="str">
        <f>IF(H$3="","",IF(COUNTIFS(BD!$A$3:$A$5001,H$3,BD!$B$3:$B$5001,$A$100,BD!$V$3:$V$5001,"&lt;&gt;")=0,"",SUMIFS(BD!$V$3:$V$5001,BD!$A$3:$A$5001,H$3,BD!$B$3:$B$5001,$A$100)))</f>
        <v/>
      </c>
      <c r="I118" s="255" t="str">
        <f>IF(I$3="","",IF(COUNTIFS(BD!$A$3:$A$5001,I$3,BD!$B$3:$B$5001,$A$100,BD!$V$3:$V$5001,"&lt;&gt;")=0,"",SUMIFS(BD!$V$3:$V$5001,BD!$A$3:$A$5001,I$3,BD!$B$3:$B$5001,$A$100)))</f>
        <v/>
      </c>
      <c r="J118" s="255" t="str">
        <f>IF(J$3="","",IF(COUNTIFS(BD!$A$3:$A$5001,J$3,BD!$B$3:$B$5001,$A$100,BD!$V$3:$V$5001,"&lt;&gt;")=0,"",SUMIFS(BD!$V$3:$V$5001,BD!$A$3:$A$5001,J$3,BD!$B$3:$B$5001,$A$100)))</f>
        <v/>
      </c>
      <c r="K118" s="255" t="str">
        <f>IF(K$3="","",IF(COUNTIFS(BD!$A$3:$A$5001,K$3,BD!$B$3:$B$5001,$A$100,BD!$V$3:$V$5001,"&lt;&gt;")=0,"",SUMIFS(BD!$V$3:$V$5001,BD!$A$3:$A$5001,K$3,BD!$B$3:$B$5001,$A$100)))</f>
        <v/>
      </c>
      <c r="L118" s="255" t="str">
        <f>IF(L$3="","",IF(COUNTIFS(BD!$A$3:$A$5001,L$3,BD!$B$3:$B$5001,$A$100,BD!$V$3:$V$5001,"&lt;&gt;")=0,"",SUMIFS(BD!$V$3:$V$5001,BD!$A$3:$A$5001,L$3,BD!$B$3:$B$5001,$A$100)))</f>
        <v/>
      </c>
      <c r="M118" s="255" t="str">
        <f>IF(M$3="","",IF(COUNTIFS(BD!$A$3:$A$5001,M$3,BD!$B$3:$B$5001,$A$100,BD!$V$3:$V$5001,"&lt;&gt;")=0,"",SUMIFS(BD!$V$3:$V$5001,BD!$A$3:$A$5001,M$3,BD!$B$3:$B$5001,$A$100)))</f>
        <v/>
      </c>
      <c r="N118" s="255" t="str">
        <f>IF(N$3="","",IF(COUNTIFS(BD!$A$3:$A$5001,N$3,BD!$B$3:$B$5001,$A$100,BD!$V$3:$V$5001,"&lt;&gt;")=0,"",SUMIFS(BD!$V$3:$V$5001,BD!$A$3:$A$5001,N$3,BD!$B$3:$B$5001,$A$100)))</f>
        <v/>
      </c>
      <c r="O118" s="255" t="str">
        <f>IF(O$3="","",IF(COUNTIFS(BD!$A$3:$A$5001,O$3,BD!$B$3:$B$5001,$A$100,BD!$V$3:$V$5001,"&lt;&gt;")=0,"",SUMIFS(BD!$V$3:$V$5001,BD!$A$3:$A$5001,O$3,BD!$B$3:$B$5001,$A$100)))</f>
        <v/>
      </c>
      <c r="P118" s="255" t="str">
        <f>IF(P$3="","",IF(COUNTIFS(BD!$A$3:$A$5001,P$3,BD!$B$3:$B$5001,$A$100,BD!$V$3:$V$5001,"&lt;&gt;")=0,"",SUMIFS(BD!$V$3:$V$5001,BD!$A$3:$A$5001,P$3,BD!$B$3:$B$5001,$A$100)))</f>
        <v/>
      </c>
      <c r="Q118" s="255" t="str">
        <f>IF(Q$3="","",IF(COUNTIFS(BD!$A$3:$A$5001,Q$3,BD!$B$3:$B$5001,$A$100,BD!$V$3:$V$5001,"&lt;&gt;")=0,"",SUMIFS(BD!$V$3:$V$5001,BD!$A$3:$A$5001,Q$3,BD!$B$3:$B$5001,$A$100)))</f>
        <v/>
      </c>
      <c r="R118" s="255" t="str">
        <f>IF(R$3="","",IF(COUNTIFS(BD!$A$3:$A$5001,R$3,BD!$B$3:$B$5001,$A$100,BD!$V$3:$V$5001,"&lt;&gt;")=0,"",SUMIFS(BD!$V$3:$V$5001,BD!$A$3:$A$5001,R$3,BD!$B$3:$B$5001,$A$100)))</f>
        <v/>
      </c>
      <c r="S118" s="255" t="str">
        <f>IF(S$3="","",IF(COUNTIFS(BD!$A$3:$A$5001,S$3,BD!$B$3:$B$5001,$A$100,BD!$V$3:$V$5001,"&lt;&gt;")=0,"",SUMIFS(BD!$V$3:$V$5001,BD!$A$3:$A$5001,S$3,BD!$B$3:$B$5001,$A$100)))</f>
        <v/>
      </c>
      <c r="T118" s="255" t="str">
        <f>IF(T$3="","",IF(COUNTIFS(BD!$A$3:$A$5001,T$3,BD!$B$3:$B$5001,$A$100,BD!$V$3:$V$5001,"&lt;&gt;")=0,"",SUMIFS(BD!$V$3:$V$5001,BD!$A$3:$A$5001,T$3,BD!$B$3:$B$5001,$A$100)))</f>
        <v/>
      </c>
      <c r="U118" s="255" t="str">
        <f>IF(U$3="","",IF(COUNTIFS(BD!$A$3:$A$5001,U$3,BD!$B$3:$B$5001,$A$100,BD!$V$3:$V$5001,"&lt;&gt;")=0,"",SUMIFS(BD!$V$3:$V$5001,BD!$A$3:$A$5001,U$3,BD!$B$3:$B$5001,$A$100)))</f>
        <v/>
      </c>
      <c r="V118" s="255" t="str">
        <f>IF(V$3="","",IF(COUNTIFS(BD!$A$3:$A$5001,V$3,BD!$B$3:$B$5001,$A$100,BD!$V$3:$V$5001,"&lt;&gt;")=0,"",SUMIFS(BD!$V$3:$V$5001,BD!$A$3:$A$5001,V$3,BD!$B$3:$B$5001,$A$100)))</f>
        <v/>
      </c>
      <c r="W118" s="255" t="str">
        <f>IF(W$3="","",IF(COUNTIFS(BD!$A$3:$A$5001,W$3,BD!$B$3:$B$5001,$A$100,BD!$V$3:$V$5001,"&lt;&gt;")=0,"",SUMIFS(BD!$V$3:$V$5001,BD!$A$3:$A$5001,W$3,BD!$B$3:$B$5001,$A$100)))</f>
        <v/>
      </c>
      <c r="X118" s="255" t="str">
        <f>IF(X$3="","",IF(COUNTIFS(BD!$A$3:$A$5001,X$3,BD!$B$3:$B$5001,$A$100,BD!$V$3:$V$5001,"&lt;&gt;")=0,"",SUMIFS(BD!$V$3:$V$5001,BD!$A$3:$A$5001,X$3,BD!$B$3:$B$5001,$A$100)))</f>
        <v/>
      </c>
      <c r="Y118" s="255" t="str">
        <f>IF(Y$3="","",IF(COUNTIFS(BD!$A$3:$A$5001,Y$3,BD!$B$3:$B$5001,$A$100,BD!$V$3:$V$5001,"&lt;&gt;")=0,"",SUMIFS(BD!$V$3:$V$5001,BD!$A$3:$A$5001,Y$3,BD!$B$3:$B$5001,$A$100)))</f>
        <v/>
      </c>
      <c r="Z118" s="255" t="str">
        <f>IF(Z$3="","",IF(COUNTIFS(BD!$A$3:$A$5001,Z$3,BD!$B$3:$B$5001,$A$100,BD!$V$3:$V$5001,"&lt;&gt;")=0,"",SUMIFS(BD!$V$3:$V$5001,BD!$A$3:$A$5001,Z$3,BD!$B$3:$B$5001,$A$100)))</f>
        <v/>
      </c>
      <c r="AA118" s="255" t="str">
        <f>IF(AA$3="","",IF(COUNTIFS(BD!$A$3:$A$5001,AA$3,BD!$B$3:$B$5001,$A$100,BD!$V$3:$V$5001,"&lt;&gt;")=0,"",SUMIFS(BD!$V$3:$V$5001,BD!$A$3:$A$5001,AA$3,BD!$B$3:$B$5001,$A$100)))</f>
        <v/>
      </c>
      <c r="AB118" s="255" t="str">
        <f>IF(AB$3="","",IF(COUNTIFS(BD!$A$3:$A$5001,AB$3,BD!$B$3:$B$5001,$A$100,BD!$V$3:$V$5001,"&lt;&gt;")=0,"",SUMIFS(BD!$V$3:$V$5001,BD!$A$3:$A$5001,AB$3,BD!$B$3:$B$5001,$A$100)))</f>
        <v/>
      </c>
      <c r="AC118" s="255" t="str">
        <f>IF(AC$3="","",IF(COUNTIFS(BD!$A$3:$A$5001,AC$3,BD!$B$3:$B$5001,$A$100,BD!$V$3:$V$5001,"&lt;&gt;")=0,"",SUMIFS(BD!$V$3:$V$5001,BD!$A$3:$A$5001,AC$3,BD!$B$3:$B$5001,$A$100)))</f>
        <v/>
      </c>
      <c r="AD118" s="255" t="str">
        <f>IF(AD$3="","",IF(COUNTIFS(BD!$A$3:$A$5001,AD$3,BD!$B$3:$B$5001,$A$100,BD!$V$3:$V$5001,"&lt;&gt;")=0,"",SUMIFS(BD!$V$3:$V$5001,BD!$A$3:$A$5001,AD$3,BD!$B$3:$B$5001,$A$100)))</f>
        <v/>
      </c>
      <c r="AE118" s="255" t="str">
        <f>IF(AE$3="","",IF(COUNTIFS(BD!$A$3:$A$5001,AE$3,BD!$B$3:$B$5001,$A$100,BD!$V$3:$V$5001,"&lt;&gt;")=0,"",SUMIFS(BD!$V$3:$V$5001,BD!$A$3:$A$5001,AE$3,BD!$B$3:$B$5001,$A$100)))</f>
        <v/>
      </c>
      <c r="AF118" s="255" t="str">
        <f>IF(AF$3="","",IF(COUNTIFS(BD!$A$3:$A$5001,AF$3,BD!$B$3:$B$5001,$A$100,BD!$V$3:$V$5001,"&lt;&gt;")=0,"",SUMIFS(BD!$V$3:$V$5001,BD!$A$3:$A$5001,AF$3,BD!$B$3:$B$5001,$A$100)))</f>
        <v/>
      </c>
      <c r="AG118" s="255" t="str">
        <f>IF(AG$3="","",IF(COUNTIFS(BD!$A$3:$A$5001,AG$3,BD!$B$3:$B$5001,$A$100,BD!$V$3:$V$5001,"&lt;&gt;")=0,"",SUMIFS(BD!$V$3:$V$5001,BD!$A$3:$A$5001,AG$3,BD!$B$3:$B$5001,$A$100)))</f>
        <v/>
      </c>
      <c r="AH118" s="255" t="str">
        <f>IF(AH$3="","",IF(COUNTIFS(BD!$A$3:$A$5001,AH$3,BD!$B$3:$B$5001,$A$100,BD!$V$3:$V$5001,"&lt;&gt;")=0,"",SUMIFS(BD!$V$3:$V$5001,BD!$A$3:$A$5001,AH$3,BD!$B$3:$B$5001,$A$100)))</f>
        <v/>
      </c>
      <c r="AI118" s="255" t="str">
        <f>IF(AI$3="","",IF(COUNTIFS(BD!$A$3:$A$5001,AI$3,BD!$B$3:$B$5001,$A$100,BD!$V$3:$V$5001,"&lt;&gt;")=0,"",SUMIFS(BD!$V$3:$V$5001,BD!$A$3:$A$5001,AI$3,BD!$B$3:$B$5001,$A$100)))</f>
        <v/>
      </c>
      <c r="AJ118" s="256" t="str">
        <f>IF(AJ$3="","",IF(COUNTIFS(BD!$A$3:$A$5001,AJ$3,BD!$B$3:$B$5001,$A$100,BD!$V$3:$V$5001,"&lt;&gt;")=0,"",SUMIFS(BD!$V$3:$V$5001,BD!$A$3:$A$5001,AJ$3,BD!$B$3:$B$5001,$A$100)))</f>
        <v/>
      </c>
      <c r="AK118" s="257" t="str">
        <f>IF(COUNT(F118:AJ118)=0,"",SUM(F118:AJ118))</f>
        <v/>
      </c>
    </row>
    <row r="119" ht="15.75" customHeight="1">
      <c r="A119" s="277"/>
      <c r="B119" s="274"/>
      <c r="C119" s="247" t="inlineStr">
        <is>
          <t xml:space="preserve">Folga</t>
        </is>
      </c>
      <c r="D119" s="248" t="str">
        <f>IFERROR(1/(1/INDEX(BD!$AF$44:$AZ$44,MATCH($A$100,BD!$AF$22:$AZ$22,0))),"")</f>
        <v/>
      </c>
      <c r="E119" s="249"/>
      <c r="F119" s="250" t="str">
        <f>IF(F$3="","",IF(COUNTIFS(BD!$A$3:$A$5001,F$3,BD!$B$3:$B$5001,$A$100,BD!$W$3:$W$5001,"&lt;&gt;")=0,"",SUMIFS(BD!$W$3:$W$5001,BD!$A$3:$A$5001,F$3,BD!$B$3:$B$5001,$A$100)))</f>
        <v/>
      </c>
      <c r="G119" s="251" t="str">
        <f>IF(G$3="","",IF(COUNTIFS(BD!$A$3:$A$5001,G$3,BD!$B$3:$B$5001,$A$100,BD!$W$3:$W$5001,"&lt;&gt;")=0,"",SUMIFS(BD!$W$3:$W$5001,BD!$A$3:$A$5001,G$3,BD!$B$3:$B$5001,$A$100)))</f>
        <v/>
      </c>
      <c r="H119" s="251" t="str">
        <f>IF(H$3="","",IF(COUNTIFS(BD!$A$3:$A$5001,H$3,BD!$B$3:$B$5001,$A$100,BD!$W$3:$W$5001,"&lt;&gt;")=0,"",SUMIFS(BD!$W$3:$W$5001,BD!$A$3:$A$5001,H$3,BD!$B$3:$B$5001,$A$100)))</f>
        <v/>
      </c>
      <c r="I119" s="251" t="str">
        <f>IF(I$3="","",IF(COUNTIFS(BD!$A$3:$A$5001,I$3,BD!$B$3:$B$5001,$A$100,BD!$W$3:$W$5001,"&lt;&gt;")=0,"",SUMIFS(BD!$W$3:$W$5001,BD!$A$3:$A$5001,I$3,BD!$B$3:$B$5001,$A$100)))</f>
        <v/>
      </c>
      <c r="J119" s="251" t="str">
        <f>IF(J$3="","",IF(COUNTIFS(BD!$A$3:$A$5001,J$3,BD!$B$3:$B$5001,$A$100,BD!$W$3:$W$5001,"&lt;&gt;")=0,"",SUMIFS(BD!$W$3:$W$5001,BD!$A$3:$A$5001,J$3,BD!$B$3:$B$5001,$A$100)))</f>
        <v/>
      </c>
      <c r="K119" s="251" t="str">
        <f>IF(K$3="","",IF(COUNTIFS(BD!$A$3:$A$5001,K$3,BD!$B$3:$B$5001,$A$100,BD!$W$3:$W$5001,"&lt;&gt;")=0,"",SUMIFS(BD!$W$3:$W$5001,BD!$A$3:$A$5001,K$3,BD!$B$3:$B$5001,$A$100)))</f>
        <v/>
      </c>
      <c r="L119" s="251" t="str">
        <f>IF(L$3="","",IF(COUNTIFS(BD!$A$3:$A$5001,L$3,BD!$B$3:$B$5001,$A$100,BD!$W$3:$W$5001,"&lt;&gt;")=0,"",SUMIFS(BD!$W$3:$W$5001,BD!$A$3:$A$5001,L$3,BD!$B$3:$B$5001,$A$100)))</f>
        <v/>
      </c>
      <c r="M119" s="251" t="str">
        <f>IF(M$3="","",IF(COUNTIFS(BD!$A$3:$A$5001,M$3,BD!$B$3:$B$5001,$A$100,BD!$W$3:$W$5001,"&lt;&gt;")=0,"",SUMIFS(BD!$W$3:$W$5001,BD!$A$3:$A$5001,M$3,BD!$B$3:$B$5001,$A$100)))</f>
        <v/>
      </c>
      <c r="N119" s="251" t="str">
        <f>IF(N$3="","",IF(COUNTIFS(BD!$A$3:$A$5001,N$3,BD!$B$3:$B$5001,$A$100,BD!$W$3:$W$5001,"&lt;&gt;")=0,"",SUMIFS(BD!$W$3:$W$5001,BD!$A$3:$A$5001,N$3,BD!$B$3:$B$5001,$A$100)))</f>
        <v/>
      </c>
      <c r="O119" s="251" t="str">
        <f>IF(O$3="","",IF(COUNTIFS(BD!$A$3:$A$5001,O$3,BD!$B$3:$B$5001,$A$100,BD!$W$3:$W$5001,"&lt;&gt;")=0,"",SUMIFS(BD!$W$3:$W$5001,BD!$A$3:$A$5001,O$3,BD!$B$3:$B$5001,$A$100)))</f>
        <v/>
      </c>
      <c r="P119" s="251" t="str">
        <f>IF(P$3="","",IF(COUNTIFS(BD!$A$3:$A$5001,P$3,BD!$B$3:$B$5001,$A$100,BD!$W$3:$W$5001,"&lt;&gt;")=0,"",SUMIFS(BD!$W$3:$W$5001,BD!$A$3:$A$5001,P$3,BD!$B$3:$B$5001,$A$100)))</f>
        <v/>
      </c>
      <c r="Q119" s="251" t="str">
        <f>IF(Q$3="","",IF(COUNTIFS(BD!$A$3:$A$5001,Q$3,BD!$B$3:$B$5001,$A$100,BD!$W$3:$W$5001,"&lt;&gt;")=0,"",SUMIFS(BD!$W$3:$W$5001,BD!$A$3:$A$5001,Q$3,BD!$B$3:$B$5001,$A$100)))</f>
        <v/>
      </c>
      <c r="R119" s="251" t="str">
        <f>IF(R$3="","",IF(COUNTIFS(BD!$A$3:$A$5001,R$3,BD!$B$3:$B$5001,$A$100,BD!$W$3:$W$5001,"&lt;&gt;")=0,"",SUMIFS(BD!$W$3:$W$5001,BD!$A$3:$A$5001,R$3,BD!$B$3:$B$5001,$A$100)))</f>
        <v/>
      </c>
      <c r="S119" s="251" t="str">
        <f>IF(S$3="","",IF(COUNTIFS(BD!$A$3:$A$5001,S$3,BD!$B$3:$B$5001,$A$100,BD!$W$3:$W$5001,"&lt;&gt;")=0,"",SUMIFS(BD!$W$3:$W$5001,BD!$A$3:$A$5001,S$3,BD!$B$3:$B$5001,$A$100)))</f>
        <v/>
      </c>
      <c r="T119" s="251" t="str">
        <f>IF(T$3="","",IF(COUNTIFS(BD!$A$3:$A$5001,T$3,BD!$B$3:$B$5001,$A$100,BD!$W$3:$W$5001,"&lt;&gt;")=0,"",SUMIFS(BD!$W$3:$W$5001,BD!$A$3:$A$5001,T$3,BD!$B$3:$B$5001,$A$100)))</f>
        <v/>
      </c>
      <c r="U119" s="251" t="str">
        <f>IF(U$3="","",IF(COUNTIFS(BD!$A$3:$A$5001,U$3,BD!$B$3:$B$5001,$A$100,BD!$W$3:$W$5001,"&lt;&gt;")=0,"",SUMIFS(BD!$W$3:$W$5001,BD!$A$3:$A$5001,U$3,BD!$B$3:$B$5001,$A$100)))</f>
        <v/>
      </c>
      <c r="V119" s="251" t="str">
        <f>IF(V$3="","",IF(COUNTIFS(BD!$A$3:$A$5001,V$3,BD!$B$3:$B$5001,$A$100,BD!$W$3:$W$5001,"&lt;&gt;")=0,"",SUMIFS(BD!$W$3:$W$5001,BD!$A$3:$A$5001,V$3,BD!$B$3:$B$5001,$A$100)))</f>
        <v/>
      </c>
      <c r="W119" s="251" t="str">
        <f>IF(W$3="","",IF(COUNTIFS(BD!$A$3:$A$5001,W$3,BD!$B$3:$B$5001,$A$100,BD!$W$3:$W$5001,"&lt;&gt;")=0,"",SUMIFS(BD!$W$3:$W$5001,BD!$A$3:$A$5001,W$3,BD!$B$3:$B$5001,$A$100)))</f>
        <v/>
      </c>
      <c r="X119" s="251" t="str">
        <f>IF(X$3="","",IF(COUNTIFS(BD!$A$3:$A$5001,X$3,BD!$B$3:$B$5001,$A$100,BD!$W$3:$W$5001,"&lt;&gt;")=0,"",SUMIFS(BD!$W$3:$W$5001,BD!$A$3:$A$5001,X$3,BD!$B$3:$B$5001,$A$100)))</f>
        <v/>
      </c>
      <c r="Y119" s="251" t="str">
        <f>IF(Y$3="","",IF(COUNTIFS(BD!$A$3:$A$5001,Y$3,BD!$B$3:$B$5001,$A$100,BD!$W$3:$W$5001,"&lt;&gt;")=0,"",SUMIFS(BD!$W$3:$W$5001,BD!$A$3:$A$5001,Y$3,BD!$B$3:$B$5001,$A$100)))</f>
        <v/>
      </c>
      <c r="Z119" s="251" t="str">
        <f>IF(Z$3="","",IF(COUNTIFS(BD!$A$3:$A$5001,Z$3,BD!$B$3:$B$5001,$A$100,BD!$W$3:$W$5001,"&lt;&gt;")=0,"",SUMIFS(BD!$W$3:$W$5001,BD!$A$3:$A$5001,Z$3,BD!$B$3:$B$5001,$A$100)))</f>
        <v/>
      </c>
      <c r="AA119" s="251" t="str">
        <f>IF(AA$3="","",IF(COUNTIFS(BD!$A$3:$A$5001,AA$3,BD!$B$3:$B$5001,$A$100,BD!$W$3:$W$5001,"&lt;&gt;")=0,"",SUMIFS(BD!$W$3:$W$5001,BD!$A$3:$A$5001,AA$3,BD!$B$3:$B$5001,$A$100)))</f>
        <v/>
      </c>
      <c r="AB119" s="251" t="str">
        <f>IF(AB$3="","",IF(COUNTIFS(BD!$A$3:$A$5001,AB$3,BD!$B$3:$B$5001,$A$100,BD!$W$3:$W$5001,"&lt;&gt;")=0,"",SUMIFS(BD!$W$3:$W$5001,BD!$A$3:$A$5001,AB$3,BD!$B$3:$B$5001,$A$100)))</f>
        <v/>
      </c>
      <c r="AC119" s="251" t="str">
        <f>IF(AC$3="","",IF(COUNTIFS(BD!$A$3:$A$5001,AC$3,BD!$B$3:$B$5001,$A$100,BD!$W$3:$W$5001,"&lt;&gt;")=0,"",SUMIFS(BD!$W$3:$W$5001,BD!$A$3:$A$5001,AC$3,BD!$B$3:$B$5001,$A$100)))</f>
        <v/>
      </c>
      <c r="AD119" s="251" t="str">
        <f>IF(AD$3="","",IF(COUNTIFS(BD!$A$3:$A$5001,AD$3,BD!$B$3:$B$5001,$A$100,BD!$W$3:$W$5001,"&lt;&gt;")=0,"",SUMIFS(BD!$W$3:$W$5001,BD!$A$3:$A$5001,AD$3,BD!$B$3:$B$5001,$A$100)))</f>
        <v/>
      </c>
      <c r="AE119" s="251" t="str">
        <f>IF(AE$3="","",IF(COUNTIFS(BD!$A$3:$A$5001,AE$3,BD!$B$3:$B$5001,$A$100,BD!$W$3:$W$5001,"&lt;&gt;")=0,"",SUMIFS(BD!$W$3:$W$5001,BD!$A$3:$A$5001,AE$3,BD!$B$3:$B$5001,$A$100)))</f>
        <v/>
      </c>
      <c r="AF119" s="251" t="str">
        <f>IF(AF$3="","",IF(COUNTIFS(BD!$A$3:$A$5001,AF$3,BD!$B$3:$B$5001,$A$100,BD!$W$3:$W$5001,"&lt;&gt;")=0,"",SUMIFS(BD!$W$3:$W$5001,BD!$A$3:$A$5001,AF$3,BD!$B$3:$B$5001,$A$100)))</f>
        <v/>
      </c>
      <c r="AG119" s="251" t="str">
        <f>IF(AG$3="","",IF(COUNTIFS(BD!$A$3:$A$5001,AG$3,BD!$B$3:$B$5001,$A$100,BD!$W$3:$W$5001,"&lt;&gt;")=0,"",SUMIFS(BD!$W$3:$W$5001,BD!$A$3:$A$5001,AG$3,BD!$B$3:$B$5001,$A$100)))</f>
        <v/>
      </c>
      <c r="AH119" s="251" t="str">
        <f>IF(AH$3="","",IF(COUNTIFS(BD!$A$3:$A$5001,AH$3,BD!$B$3:$B$5001,$A$100,BD!$W$3:$W$5001,"&lt;&gt;")=0,"",SUMIFS(BD!$W$3:$W$5001,BD!$A$3:$A$5001,AH$3,BD!$B$3:$B$5001,$A$100)))</f>
        <v/>
      </c>
      <c r="AI119" s="251" t="str">
        <f>IF(AI$3="","",IF(COUNTIFS(BD!$A$3:$A$5001,AI$3,BD!$B$3:$B$5001,$A$100,BD!$W$3:$W$5001,"&lt;&gt;")=0,"",SUMIFS(BD!$W$3:$W$5001,BD!$A$3:$A$5001,AI$3,BD!$B$3:$B$5001,$A$100)))</f>
        <v/>
      </c>
      <c r="AJ119" s="252" t="str">
        <f>IF(AJ$3="","",IF(COUNTIFS(BD!$A$3:$A$5001,AJ$3,BD!$B$3:$B$5001,$A$100,BD!$W$3:$W$5001,"&lt;&gt;")=0,"",SUMIFS(BD!$W$3:$W$5001,BD!$A$3:$A$5001,AJ$3,BD!$B$3:$B$5001,$A$100)))</f>
        <v/>
      </c>
      <c r="AK119" s="253" t="str">
        <f>IF(COUNT(F119:AJ119)=0,"",SUM(F119:AJ119))</f>
        <v/>
      </c>
    </row>
    <row r="120" ht="15.75" customHeight="1">
      <c r="A120" s="277"/>
      <c r="B120" s="274"/>
      <c r="C120" s="247" t="inlineStr">
        <is>
          <t xml:space="preserve">Férias</t>
        </is>
      </c>
      <c r="D120" s="248" t="str">
        <f>IFERROR(1/(1/INDEX(BD!$AF$45:$AZ$45,MATCH($A$100,BD!$AF$22:$AZ$22,0))),"")</f>
        <v/>
      </c>
      <c r="E120" s="249"/>
      <c r="F120" s="250" t="str">
        <f>IF(F$3="","",IF(COUNTIFS(BD!$A$3:$A$5001,F$3,BD!$B$3:$B$5001,$A$100,BD!$X$3:$X$5001,"&lt;&gt;")=0,"",SUMIFS(BD!$X$3:$X$5001,BD!$A$3:$A$5001,F$3,BD!$B$3:$B$5001,$A$100)))</f>
        <v/>
      </c>
      <c r="G120" s="251" t="str">
        <f>IF(G$3="","",IF(COUNTIFS(BD!$A$3:$A$5001,G$3,BD!$B$3:$B$5001,$A$100,BD!$X$3:$X$5001,"&lt;&gt;")=0,"",SUMIFS(BD!$X$3:$X$5001,BD!$A$3:$A$5001,G$3,BD!$B$3:$B$5001,$A$100)))</f>
        <v/>
      </c>
      <c r="H120" s="251" t="str">
        <f>IF(H$3="","",IF(COUNTIFS(BD!$A$3:$A$5001,H$3,BD!$B$3:$B$5001,$A$100,BD!$X$3:$X$5001,"&lt;&gt;")=0,"",SUMIFS(BD!$X$3:$X$5001,BD!$A$3:$A$5001,H$3,BD!$B$3:$B$5001,$A$100)))</f>
        <v/>
      </c>
      <c r="I120" s="251" t="str">
        <f>IF(I$3="","",IF(COUNTIFS(BD!$A$3:$A$5001,I$3,BD!$B$3:$B$5001,$A$100,BD!$X$3:$X$5001,"&lt;&gt;")=0,"",SUMIFS(BD!$X$3:$X$5001,BD!$A$3:$A$5001,I$3,BD!$B$3:$B$5001,$A$100)))</f>
        <v/>
      </c>
      <c r="J120" s="251" t="str">
        <f>IF(J$3="","",IF(COUNTIFS(BD!$A$3:$A$5001,J$3,BD!$B$3:$B$5001,$A$100,BD!$X$3:$X$5001,"&lt;&gt;")=0,"",SUMIFS(BD!$X$3:$X$5001,BD!$A$3:$A$5001,J$3,BD!$B$3:$B$5001,$A$100)))</f>
        <v/>
      </c>
      <c r="K120" s="251" t="str">
        <f>IF(K$3="","",IF(COUNTIFS(BD!$A$3:$A$5001,K$3,BD!$B$3:$B$5001,$A$100,BD!$X$3:$X$5001,"&lt;&gt;")=0,"",SUMIFS(BD!$X$3:$X$5001,BD!$A$3:$A$5001,K$3,BD!$B$3:$B$5001,$A$100)))</f>
        <v/>
      </c>
      <c r="L120" s="251" t="str">
        <f>IF(L$3="","",IF(COUNTIFS(BD!$A$3:$A$5001,L$3,BD!$B$3:$B$5001,$A$100,BD!$X$3:$X$5001,"&lt;&gt;")=0,"",SUMIFS(BD!$X$3:$X$5001,BD!$A$3:$A$5001,L$3,BD!$B$3:$B$5001,$A$100)))</f>
        <v/>
      </c>
      <c r="M120" s="251" t="str">
        <f>IF(M$3="","",IF(COUNTIFS(BD!$A$3:$A$5001,M$3,BD!$B$3:$B$5001,$A$100,BD!$X$3:$X$5001,"&lt;&gt;")=0,"",SUMIFS(BD!$X$3:$X$5001,BD!$A$3:$A$5001,M$3,BD!$B$3:$B$5001,$A$100)))</f>
        <v/>
      </c>
      <c r="N120" s="251" t="str">
        <f>IF(N$3="","",IF(COUNTIFS(BD!$A$3:$A$5001,N$3,BD!$B$3:$B$5001,$A$100,BD!$X$3:$X$5001,"&lt;&gt;")=0,"",SUMIFS(BD!$X$3:$X$5001,BD!$A$3:$A$5001,N$3,BD!$B$3:$B$5001,$A$100)))</f>
        <v/>
      </c>
      <c r="O120" s="251" t="str">
        <f>IF(O$3="","",IF(COUNTIFS(BD!$A$3:$A$5001,O$3,BD!$B$3:$B$5001,$A$100,BD!$X$3:$X$5001,"&lt;&gt;")=0,"",SUMIFS(BD!$X$3:$X$5001,BD!$A$3:$A$5001,O$3,BD!$B$3:$B$5001,$A$100)))</f>
        <v/>
      </c>
      <c r="P120" s="251" t="str">
        <f>IF(P$3="","",IF(COUNTIFS(BD!$A$3:$A$5001,P$3,BD!$B$3:$B$5001,$A$100,BD!$X$3:$X$5001,"&lt;&gt;")=0,"",SUMIFS(BD!$X$3:$X$5001,BD!$A$3:$A$5001,P$3,BD!$B$3:$B$5001,$A$100)))</f>
        <v/>
      </c>
      <c r="Q120" s="251" t="str">
        <f>IF(Q$3="","",IF(COUNTIFS(BD!$A$3:$A$5001,Q$3,BD!$B$3:$B$5001,$A$100,BD!$X$3:$X$5001,"&lt;&gt;")=0,"",SUMIFS(BD!$X$3:$X$5001,BD!$A$3:$A$5001,Q$3,BD!$B$3:$B$5001,$A$100)))</f>
        <v/>
      </c>
      <c r="R120" s="251" t="str">
        <f>IF(R$3="","",IF(COUNTIFS(BD!$A$3:$A$5001,R$3,BD!$B$3:$B$5001,$A$100,BD!$X$3:$X$5001,"&lt;&gt;")=0,"",SUMIFS(BD!$X$3:$X$5001,BD!$A$3:$A$5001,R$3,BD!$B$3:$B$5001,$A$100)))</f>
        <v/>
      </c>
      <c r="S120" s="251" t="str">
        <f>IF(S$3="","",IF(COUNTIFS(BD!$A$3:$A$5001,S$3,BD!$B$3:$B$5001,$A$100,BD!$X$3:$X$5001,"&lt;&gt;")=0,"",SUMIFS(BD!$X$3:$X$5001,BD!$A$3:$A$5001,S$3,BD!$B$3:$B$5001,$A$100)))</f>
        <v/>
      </c>
      <c r="T120" s="251" t="str">
        <f>IF(T$3="","",IF(COUNTIFS(BD!$A$3:$A$5001,T$3,BD!$B$3:$B$5001,$A$100,BD!$X$3:$X$5001,"&lt;&gt;")=0,"",SUMIFS(BD!$X$3:$X$5001,BD!$A$3:$A$5001,T$3,BD!$B$3:$B$5001,$A$100)))</f>
        <v/>
      </c>
      <c r="U120" s="251" t="str">
        <f>IF(U$3="","",IF(COUNTIFS(BD!$A$3:$A$5001,U$3,BD!$B$3:$B$5001,$A$100,BD!$X$3:$X$5001,"&lt;&gt;")=0,"",SUMIFS(BD!$X$3:$X$5001,BD!$A$3:$A$5001,U$3,BD!$B$3:$B$5001,$A$100)))</f>
        <v/>
      </c>
      <c r="V120" s="251" t="str">
        <f>IF(V$3="","",IF(COUNTIFS(BD!$A$3:$A$5001,V$3,BD!$B$3:$B$5001,$A$100,BD!$X$3:$X$5001,"&lt;&gt;")=0,"",SUMIFS(BD!$X$3:$X$5001,BD!$A$3:$A$5001,V$3,BD!$B$3:$B$5001,$A$100)))</f>
        <v/>
      </c>
      <c r="W120" s="251" t="str">
        <f>IF(W$3="","",IF(COUNTIFS(BD!$A$3:$A$5001,W$3,BD!$B$3:$B$5001,$A$100,BD!$X$3:$X$5001,"&lt;&gt;")=0,"",SUMIFS(BD!$X$3:$X$5001,BD!$A$3:$A$5001,W$3,BD!$B$3:$B$5001,$A$100)))</f>
        <v/>
      </c>
      <c r="X120" s="251" t="str">
        <f>IF(X$3="","",IF(COUNTIFS(BD!$A$3:$A$5001,X$3,BD!$B$3:$B$5001,$A$100,BD!$X$3:$X$5001,"&lt;&gt;")=0,"",SUMIFS(BD!$X$3:$X$5001,BD!$A$3:$A$5001,X$3,BD!$B$3:$B$5001,$A$100)))</f>
        <v/>
      </c>
      <c r="Y120" s="251" t="str">
        <f>IF(Y$3="","",IF(COUNTIFS(BD!$A$3:$A$5001,Y$3,BD!$B$3:$B$5001,$A$100,BD!$X$3:$X$5001,"&lt;&gt;")=0,"",SUMIFS(BD!$X$3:$X$5001,BD!$A$3:$A$5001,Y$3,BD!$B$3:$B$5001,$A$100)))</f>
        <v/>
      </c>
      <c r="Z120" s="251" t="str">
        <f>IF(Z$3="","",IF(COUNTIFS(BD!$A$3:$A$5001,Z$3,BD!$B$3:$B$5001,$A$100,BD!$X$3:$X$5001,"&lt;&gt;")=0,"",SUMIFS(BD!$X$3:$X$5001,BD!$A$3:$A$5001,Z$3,BD!$B$3:$B$5001,$A$100)))</f>
        <v/>
      </c>
      <c r="AA120" s="251" t="str">
        <f>IF(AA$3="","",IF(COUNTIFS(BD!$A$3:$A$5001,AA$3,BD!$B$3:$B$5001,$A$100,BD!$X$3:$X$5001,"&lt;&gt;")=0,"",SUMIFS(BD!$X$3:$X$5001,BD!$A$3:$A$5001,AA$3,BD!$B$3:$B$5001,$A$100)))</f>
        <v/>
      </c>
      <c r="AB120" s="251" t="str">
        <f>IF(AB$3="","",IF(COUNTIFS(BD!$A$3:$A$5001,AB$3,BD!$B$3:$B$5001,$A$100,BD!$X$3:$X$5001,"&lt;&gt;")=0,"",SUMIFS(BD!$X$3:$X$5001,BD!$A$3:$A$5001,AB$3,BD!$B$3:$B$5001,$A$100)))</f>
        <v/>
      </c>
      <c r="AC120" s="251" t="str">
        <f>IF(AC$3="","",IF(COUNTIFS(BD!$A$3:$A$5001,AC$3,BD!$B$3:$B$5001,$A$100,BD!$X$3:$X$5001,"&lt;&gt;")=0,"",SUMIFS(BD!$X$3:$X$5001,BD!$A$3:$A$5001,AC$3,BD!$B$3:$B$5001,$A$100)))</f>
        <v/>
      </c>
      <c r="AD120" s="251" t="str">
        <f>IF(AD$3="","",IF(COUNTIFS(BD!$A$3:$A$5001,AD$3,BD!$B$3:$B$5001,$A$100,BD!$X$3:$X$5001,"&lt;&gt;")=0,"",SUMIFS(BD!$X$3:$X$5001,BD!$A$3:$A$5001,AD$3,BD!$B$3:$B$5001,$A$100)))</f>
        <v/>
      </c>
      <c r="AE120" s="251" t="str">
        <f>IF(AE$3="","",IF(COUNTIFS(BD!$A$3:$A$5001,AE$3,BD!$B$3:$B$5001,$A$100,BD!$X$3:$X$5001,"&lt;&gt;")=0,"",SUMIFS(BD!$X$3:$X$5001,BD!$A$3:$A$5001,AE$3,BD!$B$3:$B$5001,$A$100)))</f>
        <v/>
      </c>
      <c r="AF120" s="251" t="str">
        <f>IF(AF$3="","",IF(COUNTIFS(BD!$A$3:$A$5001,AF$3,BD!$B$3:$B$5001,$A$100,BD!$X$3:$X$5001,"&lt;&gt;")=0,"",SUMIFS(BD!$X$3:$X$5001,BD!$A$3:$A$5001,AF$3,BD!$B$3:$B$5001,$A$100)))</f>
        <v/>
      </c>
      <c r="AG120" s="251" t="str">
        <f>IF(AG$3="","",IF(COUNTIFS(BD!$A$3:$A$5001,AG$3,BD!$B$3:$B$5001,$A$100,BD!$X$3:$X$5001,"&lt;&gt;")=0,"",SUMIFS(BD!$X$3:$X$5001,BD!$A$3:$A$5001,AG$3,BD!$B$3:$B$5001,$A$100)))</f>
        <v/>
      </c>
      <c r="AH120" s="251" t="str">
        <f>IF(AH$3="","",IF(COUNTIFS(BD!$A$3:$A$5001,AH$3,BD!$B$3:$B$5001,$A$100,BD!$X$3:$X$5001,"&lt;&gt;")=0,"",SUMIFS(BD!$X$3:$X$5001,BD!$A$3:$A$5001,AH$3,BD!$B$3:$B$5001,$A$100)))</f>
        <v/>
      </c>
      <c r="AI120" s="251" t="str">
        <f>IF(AI$3="","",IF(COUNTIFS(BD!$A$3:$A$5001,AI$3,BD!$B$3:$B$5001,$A$100,BD!$X$3:$X$5001,"&lt;&gt;")=0,"",SUMIFS(BD!$X$3:$X$5001,BD!$A$3:$A$5001,AI$3,BD!$B$3:$B$5001,$A$100)))</f>
        <v/>
      </c>
      <c r="AJ120" s="252" t="str">
        <f>IF(AJ$3="","",IF(COUNTIFS(BD!$A$3:$A$5001,AJ$3,BD!$B$3:$B$5001,$A$100,BD!$X$3:$X$5001,"&lt;&gt;")=0,"",SUMIFS(BD!$X$3:$X$5001,BD!$A$3:$A$5001,AJ$3,BD!$B$3:$B$5001,$A$100)))</f>
        <v/>
      </c>
      <c r="AK120" s="253" t="str">
        <f>IF(COUNT(F120:AJ120)=0,"",SUM(F120:AJ120))</f>
        <v/>
      </c>
    </row>
    <row r="121" ht="15.75" customHeight="1">
      <c r="A121" s="277"/>
      <c r="B121" s="274"/>
      <c r="C121" s="247" t="inlineStr">
        <is>
          <t xml:space="preserve">Desligamento</t>
        </is>
      </c>
      <c r="D121" s="248" t="str">
        <f>IFERROR(1/(1/INDEX(BD!$AF$46:$AZ$46,MATCH($A$100,BD!$AF$22:$AZ$22,0))),"")</f>
        <v/>
      </c>
      <c r="E121" s="249"/>
      <c r="F121" s="250" t="str">
        <f>IF(F$3="","",IF(COUNTIFS(BD!$A$3:$A$5001,F$3,BD!$B$3:$B$5001,$A$100,BD!$Y$3:$Y$5001,"&lt;&gt;")=0,"",SUMIFS(BD!$Y$3:$Y$5001,BD!$A$3:$A$5001,F$3,BD!$B$3:$B$5001,$A$100)))</f>
        <v/>
      </c>
      <c r="G121" s="251" t="str">
        <f>IF(G$3="","",IF(COUNTIFS(BD!$A$3:$A$5001,G$3,BD!$B$3:$B$5001,$A$100,BD!$Y$3:$Y$5001,"&lt;&gt;")=0,"",SUMIFS(BD!$Y$3:$Y$5001,BD!$A$3:$A$5001,G$3,BD!$B$3:$B$5001,$A$100)))</f>
        <v/>
      </c>
      <c r="H121" s="251" t="str">
        <f>IF(H$3="","",IF(COUNTIFS(BD!$A$3:$A$5001,H$3,BD!$B$3:$B$5001,$A$100,BD!$Y$3:$Y$5001,"&lt;&gt;")=0,"",SUMIFS(BD!$Y$3:$Y$5001,BD!$A$3:$A$5001,H$3,BD!$B$3:$B$5001,$A$100)))</f>
        <v/>
      </c>
      <c r="I121" s="251" t="str">
        <f>IF(I$3="","",IF(COUNTIFS(BD!$A$3:$A$5001,I$3,BD!$B$3:$B$5001,$A$100,BD!$Y$3:$Y$5001,"&lt;&gt;")=0,"",SUMIFS(BD!$Y$3:$Y$5001,BD!$A$3:$A$5001,I$3,BD!$B$3:$B$5001,$A$100)))</f>
        <v/>
      </c>
      <c r="J121" s="251" t="str">
        <f>IF(J$3="","",IF(COUNTIFS(BD!$A$3:$A$5001,J$3,BD!$B$3:$B$5001,$A$100,BD!$Y$3:$Y$5001,"&lt;&gt;")=0,"",SUMIFS(BD!$Y$3:$Y$5001,BD!$A$3:$A$5001,J$3,BD!$B$3:$B$5001,$A$100)))</f>
        <v/>
      </c>
      <c r="K121" s="251" t="str">
        <f>IF(K$3="","",IF(COUNTIFS(BD!$A$3:$A$5001,K$3,BD!$B$3:$B$5001,$A$100,BD!$Y$3:$Y$5001,"&lt;&gt;")=0,"",SUMIFS(BD!$Y$3:$Y$5001,BD!$A$3:$A$5001,K$3,BD!$B$3:$B$5001,$A$100)))</f>
        <v/>
      </c>
      <c r="L121" s="251" t="str">
        <f>IF(L$3="","",IF(COUNTIFS(BD!$A$3:$A$5001,L$3,BD!$B$3:$B$5001,$A$100,BD!$Y$3:$Y$5001,"&lt;&gt;")=0,"",SUMIFS(BD!$Y$3:$Y$5001,BD!$A$3:$A$5001,L$3,BD!$B$3:$B$5001,$A$100)))</f>
        <v/>
      </c>
      <c r="M121" s="251" t="str">
        <f>IF(M$3="","",IF(COUNTIFS(BD!$A$3:$A$5001,M$3,BD!$B$3:$B$5001,$A$100,BD!$Y$3:$Y$5001,"&lt;&gt;")=0,"",SUMIFS(BD!$Y$3:$Y$5001,BD!$A$3:$A$5001,M$3,BD!$B$3:$B$5001,$A$100)))</f>
        <v/>
      </c>
      <c r="N121" s="251" t="str">
        <f>IF(N$3="","",IF(COUNTIFS(BD!$A$3:$A$5001,N$3,BD!$B$3:$B$5001,$A$100,BD!$Y$3:$Y$5001,"&lt;&gt;")=0,"",SUMIFS(BD!$Y$3:$Y$5001,BD!$A$3:$A$5001,N$3,BD!$B$3:$B$5001,$A$100)))</f>
        <v/>
      </c>
      <c r="O121" s="251" t="str">
        <f>IF(O$3="","",IF(COUNTIFS(BD!$A$3:$A$5001,O$3,BD!$B$3:$B$5001,$A$100,BD!$Y$3:$Y$5001,"&lt;&gt;")=0,"",SUMIFS(BD!$Y$3:$Y$5001,BD!$A$3:$A$5001,O$3,BD!$B$3:$B$5001,$A$100)))</f>
        <v/>
      </c>
      <c r="P121" s="251" t="str">
        <f>IF(P$3="","",IF(COUNTIFS(BD!$A$3:$A$5001,P$3,BD!$B$3:$B$5001,$A$100,BD!$Y$3:$Y$5001,"&lt;&gt;")=0,"",SUMIFS(BD!$Y$3:$Y$5001,BD!$A$3:$A$5001,P$3,BD!$B$3:$B$5001,$A$100)))</f>
        <v/>
      </c>
      <c r="Q121" s="251" t="str">
        <f>IF(Q$3="","",IF(COUNTIFS(BD!$A$3:$A$5001,Q$3,BD!$B$3:$B$5001,$A$100,BD!$Y$3:$Y$5001,"&lt;&gt;")=0,"",SUMIFS(BD!$Y$3:$Y$5001,BD!$A$3:$A$5001,Q$3,BD!$B$3:$B$5001,$A$100)))</f>
        <v/>
      </c>
      <c r="R121" s="251" t="str">
        <f>IF(R$3="","",IF(COUNTIFS(BD!$A$3:$A$5001,R$3,BD!$B$3:$B$5001,$A$100,BD!$Y$3:$Y$5001,"&lt;&gt;")=0,"",SUMIFS(BD!$Y$3:$Y$5001,BD!$A$3:$A$5001,R$3,BD!$B$3:$B$5001,$A$100)))</f>
        <v/>
      </c>
      <c r="S121" s="251" t="str">
        <f>IF(S$3="","",IF(COUNTIFS(BD!$A$3:$A$5001,S$3,BD!$B$3:$B$5001,$A$100,BD!$Y$3:$Y$5001,"&lt;&gt;")=0,"",SUMIFS(BD!$Y$3:$Y$5001,BD!$A$3:$A$5001,S$3,BD!$B$3:$B$5001,$A$100)))</f>
        <v/>
      </c>
      <c r="T121" s="251" t="str">
        <f>IF(T$3="","",IF(COUNTIFS(BD!$A$3:$A$5001,T$3,BD!$B$3:$B$5001,$A$100,BD!$Y$3:$Y$5001,"&lt;&gt;")=0,"",SUMIFS(BD!$Y$3:$Y$5001,BD!$A$3:$A$5001,T$3,BD!$B$3:$B$5001,$A$100)))</f>
        <v/>
      </c>
      <c r="U121" s="251" t="str">
        <f>IF(U$3="","",IF(COUNTIFS(BD!$A$3:$A$5001,U$3,BD!$B$3:$B$5001,$A$100,BD!$Y$3:$Y$5001,"&lt;&gt;")=0,"",SUMIFS(BD!$Y$3:$Y$5001,BD!$A$3:$A$5001,U$3,BD!$B$3:$B$5001,$A$100)))</f>
        <v/>
      </c>
      <c r="V121" s="251" t="str">
        <f>IF(V$3="","",IF(COUNTIFS(BD!$A$3:$A$5001,V$3,BD!$B$3:$B$5001,$A$100,BD!$Y$3:$Y$5001,"&lt;&gt;")=0,"",SUMIFS(BD!$Y$3:$Y$5001,BD!$A$3:$A$5001,V$3,BD!$B$3:$B$5001,$A$100)))</f>
        <v/>
      </c>
      <c r="W121" s="251" t="str">
        <f>IF(W$3="","",IF(COUNTIFS(BD!$A$3:$A$5001,W$3,BD!$B$3:$B$5001,$A$100,BD!$Y$3:$Y$5001,"&lt;&gt;")=0,"",SUMIFS(BD!$Y$3:$Y$5001,BD!$A$3:$A$5001,W$3,BD!$B$3:$B$5001,$A$100)))</f>
        <v/>
      </c>
      <c r="X121" s="251" t="str">
        <f>IF(X$3="","",IF(COUNTIFS(BD!$A$3:$A$5001,X$3,BD!$B$3:$B$5001,$A$100,BD!$Y$3:$Y$5001,"&lt;&gt;")=0,"",SUMIFS(BD!$Y$3:$Y$5001,BD!$A$3:$A$5001,X$3,BD!$B$3:$B$5001,$A$100)))</f>
        <v/>
      </c>
      <c r="Y121" s="251" t="str">
        <f>IF(Y$3="","",IF(COUNTIFS(BD!$A$3:$A$5001,Y$3,BD!$B$3:$B$5001,$A$100,BD!$Y$3:$Y$5001,"&lt;&gt;")=0,"",SUMIFS(BD!$Y$3:$Y$5001,BD!$A$3:$A$5001,Y$3,BD!$B$3:$B$5001,$A$100)))</f>
        <v/>
      </c>
      <c r="Z121" s="251" t="str">
        <f>IF(Z$3="","",IF(COUNTIFS(BD!$A$3:$A$5001,Z$3,BD!$B$3:$B$5001,$A$100,BD!$Y$3:$Y$5001,"&lt;&gt;")=0,"",SUMIFS(BD!$Y$3:$Y$5001,BD!$A$3:$A$5001,Z$3,BD!$B$3:$B$5001,$A$100)))</f>
        <v/>
      </c>
      <c r="AA121" s="251" t="str">
        <f>IF(AA$3="","",IF(COUNTIFS(BD!$A$3:$A$5001,AA$3,BD!$B$3:$B$5001,$A$100,BD!$Y$3:$Y$5001,"&lt;&gt;")=0,"",SUMIFS(BD!$Y$3:$Y$5001,BD!$A$3:$A$5001,AA$3,BD!$B$3:$B$5001,$A$100)))</f>
        <v/>
      </c>
      <c r="AB121" s="251" t="str">
        <f>IF(AB$3="","",IF(COUNTIFS(BD!$A$3:$A$5001,AB$3,BD!$B$3:$B$5001,$A$100,BD!$Y$3:$Y$5001,"&lt;&gt;")=0,"",SUMIFS(BD!$Y$3:$Y$5001,BD!$A$3:$A$5001,AB$3,BD!$B$3:$B$5001,$A$100)))</f>
        <v/>
      </c>
      <c r="AC121" s="251" t="str">
        <f>IF(AC$3="","",IF(COUNTIFS(BD!$A$3:$A$5001,AC$3,BD!$B$3:$B$5001,$A$100,BD!$Y$3:$Y$5001,"&lt;&gt;")=0,"",SUMIFS(BD!$Y$3:$Y$5001,BD!$A$3:$A$5001,AC$3,BD!$B$3:$B$5001,$A$100)))</f>
        <v/>
      </c>
      <c r="AD121" s="251" t="str">
        <f>IF(AD$3="","",IF(COUNTIFS(BD!$A$3:$A$5001,AD$3,BD!$B$3:$B$5001,$A$100,BD!$Y$3:$Y$5001,"&lt;&gt;")=0,"",SUMIFS(BD!$Y$3:$Y$5001,BD!$A$3:$A$5001,AD$3,BD!$B$3:$B$5001,$A$100)))</f>
        <v/>
      </c>
      <c r="AE121" s="251" t="str">
        <f>IF(AE$3="","",IF(COUNTIFS(BD!$A$3:$A$5001,AE$3,BD!$B$3:$B$5001,$A$100,BD!$Y$3:$Y$5001,"&lt;&gt;")=0,"",SUMIFS(BD!$Y$3:$Y$5001,BD!$A$3:$A$5001,AE$3,BD!$B$3:$B$5001,$A$100)))</f>
        <v/>
      </c>
      <c r="AF121" s="251" t="str">
        <f>IF(AF$3="","",IF(COUNTIFS(BD!$A$3:$A$5001,AF$3,BD!$B$3:$B$5001,$A$100,BD!$Y$3:$Y$5001,"&lt;&gt;")=0,"",SUMIFS(BD!$Y$3:$Y$5001,BD!$A$3:$A$5001,AF$3,BD!$B$3:$B$5001,$A$100)))</f>
        <v/>
      </c>
      <c r="AG121" s="251" t="str">
        <f>IF(AG$3="","",IF(COUNTIFS(BD!$A$3:$A$5001,AG$3,BD!$B$3:$B$5001,$A$100,BD!$Y$3:$Y$5001,"&lt;&gt;")=0,"",SUMIFS(BD!$Y$3:$Y$5001,BD!$A$3:$A$5001,AG$3,BD!$B$3:$B$5001,$A$100)))</f>
        <v/>
      </c>
      <c r="AH121" s="251" t="str">
        <f>IF(AH$3="","",IF(COUNTIFS(BD!$A$3:$A$5001,AH$3,BD!$B$3:$B$5001,$A$100,BD!$Y$3:$Y$5001,"&lt;&gt;")=0,"",SUMIFS(BD!$Y$3:$Y$5001,BD!$A$3:$A$5001,AH$3,BD!$B$3:$B$5001,$A$100)))</f>
        <v/>
      </c>
      <c r="AI121" s="251" t="str">
        <f>IF(AI$3="","",IF(COUNTIFS(BD!$A$3:$A$5001,AI$3,BD!$B$3:$B$5001,$A$100,BD!$Y$3:$Y$5001,"&lt;&gt;")=0,"",SUMIFS(BD!$Y$3:$Y$5001,BD!$A$3:$A$5001,AI$3,BD!$B$3:$B$5001,$A$100)))</f>
        <v/>
      </c>
      <c r="AJ121" s="252" t="str">
        <f>IF(AJ$3="","",IF(COUNTIFS(BD!$A$3:$A$5001,AJ$3,BD!$B$3:$B$5001,$A$100,BD!$Y$3:$Y$5001,"&lt;&gt;")=0,"",SUMIFS(BD!$Y$3:$Y$5001,BD!$A$3:$A$5001,AJ$3,BD!$B$3:$B$5001,$A$100)))</f>
        <v/>
      </c>
      <c r="AK121" s="253" t="str">
        <f>IF(COUNT(F121:AJ121)=0,"",SUM(F121:AJ121))</f>
        <v/>
      </c>
    </row>
    <row r="122" ht="15.75" customHeight="1">
      <c r="A122" s="277"/>
      <c r="B122" s="274"/>
      <c r="C122" s="247" t="inlineStr">
        <is>
          <t xml:space="preserve">Desvios Comportamentais</t>
        </is>
      </c>
      <c r="D122" s="248" t="str">
        <f>IFERROR(1/(1/INDEX(BD!$AF$47:$AZ$47,MATCH($A$100,BD!$AF$22:$AZ$22,0))),"")</f>
        <v/>
      </c>
      <c r="E122" s="249"/>
      <c r="F122" s="250" t="str">
        <f>IF(F$3="","",IF(COUNTIFS(BD!$A$3:$A$5001,F$3,BD!$B$3:$B$5001,$A$100,BD!$Z$3:$Z$5001,"&lt;&gt;")=0,"",SUMIFS(BD!$Z$3:$Z$5001,BD!$A$3:$A$5001,F$3,BD!$B$3:$B$5001,$A$100)))</f>
        <v/>
      </c>
      <c r="G122" s="251" t="str">
        <f>IF(G$3="","",IF(COUNTIFS(BD!$A$3:$A$5001,G$3,BD!$B$3:$B$5001,$A$100,BD!$Z$3:$Z$5001,"&lt;&gt;")=0,"",SUMIFS(BD!$Z$3:$Z$5001,BD!$A$3:$A$5001,G$3,BD!$B$3:$B$5001,$A$100)))</f>
        <v/>
      </c>
      <c r="H122" s="251" t="str">
        <f>IF(H$3="","",IF(COUNTIFS(BD!$A$3:$A$5001,H$3,BD!$B$3:$B$5001,$A$100,BD!$Z$3:$Z$5001,"&lt;&gt;")=0,"",SUMIFS(BD!$Z$3:$Z$5001,BD!$A$3:$A$5001,H$3,BD!$B$3:$B$5001,$A$100)))</f>
        <v/>
      </c>
      <c r="I122" s="251" t="str">
        <f>IF(I$3="","",IF(COUNTIFS(BD!$A$3:$A$5001,I$3,BD!$B$3:$B$5001,$A$100,BD!$Z$3:$Z$5001,"&lt;&gt;")=0,"",SUMIFS(BD!$Z$3:$Z$5001,BD!$A$3:$A$5001,I$3,BD!$B$3:$B$5001,$A$100)))</f>
        <v/>
      </c>
      <c r="J122" s="251" t="str">
        <f>IF(J$3="","",IF(COUNTIFS(BD!$A$3:$A$5001,J$3,BD!$B$3:$B$5001,$A$100,BD!$Z$3:$Z$5001,"&lt;&gt;")=0,"",SUMIFS(BD!$Z$3:$Z$5001,BD!$A$3:$A$5001,J$3,BD!$B$3:$B$5001,$A$100)))</f>
        <v/>
      </c>
      <c r="K122" s="251" t="str">
        <f>IF(K$3="","",IF(COUNTIFS(BD!$A$3:$A$5001,K$3,BD!$B$3:$B$5001,$A$100,BD!$Z$3:$Z$5001,"&lt;&gt;")=0,"",SUMIFS(BD!$Z$3:$Z$5001,BD!$A$3:$A$5001,K$3,BD!$B$3:$B$5001,$A$100)))</f>
        <v/>
      </c>
      <c r="L122" s="251" t="str">
        <f>IF(L$3="","",IF(COUNTIFS(BD!$A$3:$A$5001,L$3,BD!$B$3:$B$5001,$A$100,BD!$Z$3:$Z$5001,"&lt;&gt;")=0,"",SUMIFS(BD!$Z$3:$Z$5001,BD!$A$3:$A$5001,L$3,BD!$B$3:$B$5001,$A$100)))</f>
        <v/>
      </c>
      <c r="M122" s="251" t="str">
        <f>IF(M$3="","",IF(COUNTIFS(BD!$A$3:$A$5001,M$3,BD!$B$3:$B$5001,$A$100,BD!$Z$3:$Z$5001,"&lt;&gt;")=0,"",SUMIFS(BD!$Z$3:$Z$5001,BD!$A$3:$A$5001,M$3,BD!$B$3:$B$5001,$A$100)))</f>
        <v/>
      </c>
      <c r="N122" s="251" t="str">
        <f>IF(N$3="","",IF(COUNTIFS(BD!$A$3:$A$5001,N$3,BD!$B$3:$B$5001,$A$100,BD!$Z$3:$Z$5001,"&lt;&gt;")=0,"",SUMIFS(BD!$Z$3:$Z$5001,BD!$A$3:$A$5001,N$3,BD!$B$3:$B$5001,$A$100)))</f>
        <v/>
      </c>
      <c r="O122" s="251" t="str">
        <f>IF(O$3="","",IF(COUNTIFS(BD!$A$3:$A$5001,O$3,BD!$B$3:$B$5001,$A$100,BD!$Z$3:$Z$5001,"&lt;&gt;")=0,"",SUMIFS(BD!$Z$3:$Z$5001,BD!$A$3:$A$5001,O$3,BD!$B$3:$B$5001,$A$100)))</f>
        <v/>
      </c>
      <c r="P122" s="251" t="str">
        <f>IF(P$3="","",IF(COUNTIFS(BD!$A$3:$A$5001,P$3,BD!$B$3:$B$5001,$A$100,BD!$Z$3:$Z$5001,"&lt;&gt;")=0,"",SUMIFS(BD!$Z$3:$Z$5001,BD!$A$3:$A$5001,P$3,BD!$B$3:$B$5001,$A$100)))</f>
        <v/>
      </c>
      <c r="Q122" s="251" t="str">
        <f>IF(Q$3="","",IF(COUNTIFS(BD!$A$3:$A$5001,Q$3,BD!$B$3:$B$5001,$A$100,BD!$Z$3:$Z$5001,"&lt;&gt;")=0,"",SUMIFS(BD!$Z$3:$Z$5001,BD!$A$3:$A$5001,Q$3,BD!$B$3:$B$5001,$A$100)))</f>
        <v/>
      </c>
      <c r="R122" s="251" t="str">
        <f>IF(R$3="","",IF(COUNTIFS(BD!$A$3:$A$5001,R$3,BD!$B$3:$B$5001,$A$100,BD!$Z$3:$Z$5001,"&lt;&gt;")=0,"",SUMIFS(BD!$Z$3:$Z$5001,BD!$A$3:$A$5001,R$3,BD!$B$3:$B$5001,$A$100)))</f>
        <v/>
      </c>
      <c r="S122" s="251" t="str">
        <f>IF(S$3="","",IF(COUNTIFS(BD!$A$3:$A$5001,S$3,BD!$B$3:$B$5001,$A$100,BD!$Z$3:$Z$5001,"&lt;&gt;")=0,"",SUMIFS(BD!$Z$3:$Z$5001,BD!$A$3:$A$5001,S$3,BD!$B$3:$B$5001,$A$100)))</f>
        <v/>
      </c>
      <c r="T122" s="251" t="str">
        <f>IF(T$3="","",IF(COUNTIFS(BD!$A$3:$A$5001,T$3,BD!$B$3:$B$5001,$A$100,BD!$Z$3:$Z$5001,"&lt;&gt;")=0,"",SUMIFS(BD!$Z$3:$Z$5001,BD!$A$3:$A$5001,T$3,BD!$B$3:$B$5001,$A$100)))</f>
        <v/>
      </c>
      <c r="U122" s="251" t="str">
        <f>IF(U$3="","",IF(COUNTIFS(BD!$A$3:$A$5001,U$3,BD!$B$3:$B$5001,$A$100,BD!$Z$3:$Z$5001,"&lt;&gt;")=0,"",SUMIFS(BD!$Z$3:$Z$5001,BD!$A$3:$A$5001,U$3,BD!$B$3:$B$5001,$A$100)))</f>
        <v/>
      </c>
      <c r="V122" s="251" t="str">
        <f>IF(V$3="","",IF(COUNTIFS(BD!$A$3:$A$5001,V$3,BD!$B$3:$B$5001,$A$100,BD!$Z$3:$Z$5001,"&lt;&gt;")=0,"",SUMIFS(BD!$Z$3:$Z$5001,BD!$A$3:$A$5001,V$3,BD!$B$3:$B$5001,$A$100)))</f>
        <v/>
      </c>
      <c r="W122" s="251" t="str">
        <f>IF(W$3="","",IF(COUNTIFS(BD!$A$3:$A$5001,W$3,BD!$B$3:$B$5001,$A$100,BD!$Z$3:$Z$5001,"&lt;&gt;")=0,"",SUMIFS(BD!$Z$3:$Z$5001,BD!$A$3:$A$5001,W$3,BD!$B$3:$B$5001,$A$100)))</f>
        <v/>
      </c>
      <c r="X122" s="251" t="str">
        <f>IF(X$3="","",IF(COUNTIFS(BD!$A$3:$A$5001,X$3,BD!$B$3:$B$5001,$A$100,BD!$Z$3:$Z$5001,"&lt;&gt;")=0,"",SUMIFS(BD!$Z$3:$Z$5001,BD!$A$3:$A$5001,X$3,BD!$B$3:$B$5001,$A$100)))</f>
        <v/>
      </c>
      <c r="Y122" s="251" t="str">
        <f>IF(Y$3="","",IF(COUNTIFS(BD!$A$3:$A$5001,Y$3,BD!$B$3:$B$5001,$A$100,BD!$Z$3:$Z$5001,"&lt;&gt;")=0,"",SUMIFS(BD!$Z$3:$Z$5001,BD!$A$3:$A$5001,Y$3,BD!$B$3:$B$5001,$A$100)))</f>
        <v/>
      </c>
      <c r="Z122" s="251" t="str">
        <f>IF(Z$3="","",IF(COUNTIFS(BD!$A$3:$A$5001,Z$3,BD!$B$3:$B$5001,$A$100,BD!$Z$3:$Z$5001,"&lt;&gt;")=0,"",SUMIFS(BD!$Z$3:$Z$5001,BD!$A$3:$A$5001,Z$3,BD!$B$3:$B$5001,$A$100)))</f>
        <v/>
      </c>
      <c r="AA122" s="251" t="str">
        <f>IF(AA$3="","",IF(COUNTIFS(BD!$A$3:$A$5001,AA$3,BD!$B$3:$B$5001,$A$100,BD!$Z$3:$Z$5001,"&lt;&gt;")=0,"",SUMIFS(BD!$Z$3:$Z$5001,BD!$A$3:$A$5001,AA$3,BD!$B$3:$B$5001,$A$100)))</f>
        <v/>
      </c>
      <c r="AB122" s="251" t="str">
        <f>IF(AB$3="","",IF(COUNTIFS(BD!$A$3:$A$5001,AB$3,BD!$B$3:$B$5001,$A$100,BD!$Z$3:$Z$5001,"&lt;&gt;")=0,"",SUMIFS(BD!$Z$3:$Z$5001,BD!$A$3:$A$5001,AB$3,BD!$B$3:$B$5001,$A$100)))</f>
        <v/>
      </c>
      <c r="AC122" s="251" t="str">
        <f>IF(AC$3="","",IF(COUNTIFS(BD!$A$3:$A$5001,AC$3,BD!$B$3:$B$5001,$A$100,BD!$Z$3:$Z$5001,"&lt;&gt;")=0,"",SUMIFS(BD!$Z$3:$Z$5001,BD!$A$3:$A$5001,AC$3,BD!$B$3:$B$5001,$A$100)))</f>
        <v/>
      </c>
      <c r="AD122" s="251" t="str">
        <f>IF(AD$3="","",IF(COUNTIFS(BD!$A$3:$A$5001,AD$3,BD!$B$3:$B$5001,$A$100,BD!$Z$3:$Z$5001,"&lt;&gt;")=0,"",SUMIFS(BD!$Z$3:$Z$5001,BD!$A$3:$A$5001,AD$3,BD!$B$3:$B$5001,$A$100)))</f>
        <v/>
      </c>
      <c r="AE122" s="251" t="str">
        <f>IF(AE$3="","",IF(COUNTIFS(BD!$A$3:$A$5001,AE$3,BD!$B$3:$B$5001,$A$100,BD!$Z$3:$Z$5001,"&lt;&gt;")=0,"",SUMIFS(BD!$Z$3:$Z$5001,BD!$A$3:$A$5001,AE$3,BD!$B$3:$B$5001,$A$100)))</f>
        <v/>
      </c>
      <c r="AF122" s="251" t="str">
        <f>IF(AF$3="","",IF(COUNTIFS(BD!$A$3:$A$5001,AF$3,BD!$B$3:$B$5001,$A$100,BD!$Z$3:$Z$5001,"&lt;&gt;")=0,"",SUMIFS(BD!$Z$3:$Z$5001,BD!$A$3:$A$5001,AF$3,BD!$B$3:$B$5001,$A$100)))</f>
        <v/>
      </c>
      <c r="AG122" s="251" t="str">
        <f>IF(AG$3="","",IF(COUNTIFS(BD!$A$3:$A$5001,AG$3,BD!$B$3:$B$5001,$A$100,BD!$Z$3:$Z$5001,"&lt;&gt;")=0,"",SUMIFS(BD!$Z$3:$Z$5001,BD!$A$3:$A$5001,AG$3,BD!$B$3:$B$5001,$A$100)))</f>
        <v/>
      </c>
      <c r="AH122" s="251" t="str">
        <f>IF(AH$3="","",IF(COUNTIFS(BD!$A$3:$A$5001,AH$3,BD!$B$3:$B$5001,$A$100,BD!$Z$3:$Z$5001,"&lt;&gt;")=0,"",SUMIFS(BD!$Z$3:$Z$5001,BD!$A$3:$A$5001,AH$3,BD!$B$3:$B$5001,$A$100)))</f>
        <v/>
      </c>
      <c r="AI122" s="251" t="str">
        <f>IF(AI$3="","",IF(COUNTIFS(BD!$A$3:$A$5001,AI$3,BD!$B$3:$B$5001,$A$100,BD!$Z$3:$Z$5001,"&lt;&gt;")=0,"",SUMIFS(BD!$Z$3:$Z$5001,BD!$A$3:$A$5001,AI$3,BD!$B$3:$B$5001,$A$100)))</f>
        <v/>
      </c>
      <c r="AJ122" s="252" t="str">
        <f>IF(AJ$3="","",IF(COUNTIFS(BD!$A$3:$A$5001,AJ$3,BD!$B$3:$B$5001,$A$100,BD!$Z$3:$Z$5001,"&lt;&gt;")=0,"",SUMIFS(BD!$Z$3:$Z$5001,BD!$A$3:$A$5001,AJ$3,BD!$B$3:$B$5001,$A$100)))</f>
        <v/>
      </c>
      <c r="AK122" s="253" t="str">
        <f>IF(COUNT(F122:AJ122)=0,"",SUM(F122:AJ122))</f>
        <v/>
      </c>
    </row>
    <row r="123" ht="15.75" customHeight="1">
      <c r="A123" s="277"/>
      <c r="B123" s="274"/>
      <c r="C123" s="247" t="inlineStr">
        <is>
          <t xml:space="preserve">Acidentes CAF</t>
        </is>
      </c>
      <c r="D123" s="248" t="str">
        <f>IFERROR(1/(1/INDEX(BD!$AF$48:$AZ$48,MATCH($A$100,BD!$AF$22:$AZ$22,0))),"")</f>
        <v/>
      </c>
      <c r="E123" s="249"/>
      <c r="F123" s="250" t="str">
        <f>IF(F$3="","",IF(COUNTIFS(BD!$A$3:$A$5001,F$3,BD!$B$3:$B$5001,$A$100,BD!$AA$3:$AA$5001,"&lt;&gt;")=0,"",SUMIFS(BD!$AA$3:$AA$5001,BD!$A$3:$A$5001,F$3,BD!$B$3:$B$5001,$A$100)))</f>
        <v/>
      </c>
      <c r="G123" s="251" t="str">
        <f>IF(G$3="","",IF(COUNTIFS(BD!$A$3:$A$5001,G$3,BD!$B$3:$B$5001,$A$100,BD!$AA$3:$AA$5001,"&lt;&gt;")=0,"",SUMIFS(BD!$AA$3:$AA$5001,BD!$A$3:$A$5001,G$3,BD!$B$3:$B$5001,$A$100)))</f>
        <v/>
      </c>
      <c r="H123" s="251" t="str">
        <f>IF(H$3="","",IF(COUNTIFS(BD!$A$3:$A$5001,H$3,BD!$B$3:$B$5001,$A$100,BD!$AA$3:$AA$5001,"&lt;&gt;")=0,"",SUMIFS(BD!$AA$3:$AA$5001,BD!$A$3:$A$5001,H$3,BD!$B$3:$B$5001,$A$100)))</f>
        <v/>
      </c>
      <c r="I123" s="251" t="str">
        <f>IF(I$3="","",IF(COUNTIFS(BD!$A$3:$A$5001,I$3,BD!$B$3:$B$5001,$A$100,BD!$AA$3:$AA$5001,"&lt;&gt;")=0,"",SUMIFS(BD!$AA$3:$AA$5001,BD!$A$3:$A$5001,I$3,BD!$B$3:$B$5001,$A$100)))</f>
        <v/>
      </c>
      <c r="J123" s="251" t="str">
        <f>IF(J$3="","",IF(COUNTIFS(BD!$A$3:$A$5001,J$3,BD!$B$3:$B$5001,$A$100,BD!$AA$3:$AA$5001,"&lt;&gt;")=0,"",SUMIFS(BD!$AA$3:$AA$5001,BD!$A$3:$A$5001,J$3,BD!$B$3:$B$5001,$A$100)))</f>
        <v/>
      </c>
      <c r="K123" s="251" t="str">
        <f>IF(K$3="","",IF(COUNTIFS(BD!$A$3:$A$5001,K$3,BD!$B$3:$B$5001,$A$100,BD!$AA$3:$AA$5001,"&lt;&gt;")=0,"",SUMIFS(BD!$AA$3:$AA$5001,BD!$A$3:$A$5001,K$3,BD!$B$3:$B$5001,$A$100)))</f>
        <v/>
      </c>
      <c r="L123" s="251" t="str">
        <f>IF(L$3="","",IF(COUNTIFS(BD!$A$3:$A$5001,L$3,BD!$B$3:$B$5001,$A$100,BD!$AA$3:$AA$5001,"&lt;&gt;")=0,"",SUMIFS(BD!$AA$3:$AA$5001,BD!$A$3:$A$5001,L$3,BD!$B$3:$B$5001,$A$100)))</f>
        <v/>
      </c>
      <c r="M123" s="251" t="str">
        <f>IF(M$3="","",IF(COUNTIFS(BD!$A$3:$A$5001,M$3,BD!$B$3:$B$5001,$A$100,BD!$AA$3:$AA$5001,"&lt;&gt;")=0,"",SUMIFS(BD!$AA$3:$AA$5001,BD!$A$3:$A$5001,M$3,BD!$B$3:$B$5001,$A$100)))</f>
        <v/>
      </c>
      <c r="N123" s="251" t="str">
        <f>IF(N$3="","",IF(COUNTIFS(BD!$A$3:$A$5001,N$3,BD!$B$3:$B$5001,$A$100,BD!$AA$3:$AA$5001,"&lt;&gt;")=0,"",SUMIFS(BD!$AA$3:$AA$5001,BD!$A$3:$A$5001,N$3,BD!$B$3:$B$5001,$A$100)))</f>
        <v/>
      </c>
      <c r="O123" s="251" t="str">
        <f>IF(O$3="","",IF(COUNTIFS(BD!$A$3:$A$5001,O$3,BD!$B$3:$B$5001,$A$100,BD!$AA$3:$AA$5001,"&lt;&gt;")=0,"",SUMIFS(BD!$AA$3:$AA$5001,BD!$A$3:$A$5001,O$3,BD!$B$3:$B$5001,$A$100)))</f>
        <v/>
      </c>
      <c r="P123" s="251" t="str">
        <f>IF(P$3="","",IF(COUNTIFS(BD!$A$3:$A$5001,P$3,BD!$B$3:$B$5001,$A$100,BD!$AA$3:$AA$5001,"&lt;&gt;")=0,"",SUMIFS(BD!$AA$3:$AA$5001,BD!$A$3:$A$5001,P$3,BD!$B$3:$B$5001,$A$100)))</f>
        <v/>
      </c>
      <c r="Q123" s="251" t="str">
        <f>IF(Q$3="","",IF(COUNTIFS(BD!$A$3:$A$5001,Q$3,BD!$B$3:$B$5001,$A$100,BD!$AA$3:$AA$5001,"&lt;&gt;")=0,"",SUMIFS(BD!$AA$3:$AA$5001,BD!$A$3:$A$5001,Q$3,BD!$B$3:$B$5001,$A$100)))</f>
        <v/>
      </c>
      <c r="R123" s="251" t="str">
        <f>IF(R$3="","",IF(COUNTIFS(BD!$A$3:$A$5001,R$3,BD!$B$3:$B$5001,$A$100,BD!$AA$3:$AA$5001,"&lt;&gt;")=0,"",SUMIFS(BD!$AA$3:$AA$5001,BD!$A$3:$A$5001,R$3,BD!$B$3:$B$5001,$A$100)))</f>
        <v/>
      </c>
      <c r="S123" s="251" t="str">
        <f>IF(S$3="","",IF(COUNTIFS(BD!$A$3:$A$5001,S$3,BD!$B$3:$B$5001,$A$100,BD!$AA$3:$AA$5001,"&lt;&gt;")=0,"",SUMIFS(BD!$AA$3:$AA$5001,BD!$A$3:$A$5001,S$3,BD!$B$3:$B$5001,$A$100)))</f>
        <v/>
      </c>
      <c r="T123" s="251" t="str">
        <f>IF(T$3="","",IF(COUNTIFS(BD!$A$3:$A$5001,T$3,BD!$B$3:$B$5001,$A$100,BD!$AA$3:$AA$5001,"&lt;&gt;")=0,"",SUMIFS(BD!$AA$3:$AA$5001,BD!$A$3:$A$5001,T$3,BD!$B$3:$B$5001,$A$100)))</f>
        <v/>
      </c>
      <c r="U123" s="251" t="str">
        <f>IF(U$3="","",IF(COUNTIFS(BD!$A$3:$A$5001,U$3,BD!$B$3:$B$5001,$A$100,BD!$AA$3:$AA$5001,"&lt;&gt;")=0,"",SUMIFS(BD!$AA$3:$AA$5001,BD!$A$3:$A$5001,U$3,BD!$B$3:$B$5001,$A$100)))</f>
        <v/>
      </c>
      <c r="V123" s="251" t="str">
        <f>IF(V$3="","",IF(COUNTIFS(BD!$A$3:$A$5001,V$3,BD!$B$3:$B$5001,$A$100,BD!$AA$3:$AA$5001,"&lt;&gt;")=0,"",SUMIFS(BD!$AA$3:$AA$5001,BD!$A$3:$A$5001,V$3,BD!$B$3:$B$5001,$A$100)))</f>
        <v/>
      </c>
      <c r="W123" s="251" t="str">
        <f>IF(W$3="","",IF(COUNTIFS(BD!$A$3:$A$5001,W$3,BD!$B$3:$B$5001,$A$100,BD!$AA$3:$AA$5001,"&lt;&gt;")=0,"",SUMIFS(BD!$AA$3:$AA$5001,BD!$A$3:$A$5001,W$3,BD!$B$3:$B$5001,$A$100)))</f>
        <v/>
      </c>
      <c r="X123" s="251" t="str">
        <f>IF(X$3="","",IF(COUNTIFS(BD!$A$3:$A$5001,X$3,BD!$B$3:$B$5001,$A$100,BD!$AA$3:$AA$5001,"&lt;&gt;")=0,"",SUMIFS(BD!$AA$3:$AA$5001,BD!$A$3:$A$5001,X$3,BD!$B$3:$B$5001,$A$100)))</f>
        <v/>
      </c>
      <c r="Y123" s="251" t="str">
        <f>IF(Y$3="","",IF(COUNTIFS(BD!$A$3:$A$5001,Y$3,BD!$B$3:$B$5001,$A$100,BD!$AA$3:$AA$5001,"&lt;&gt;")=0,"",SUMIFS(BD!$AA$3:$AA$5001,BD!$A$3:$A$5001,Y$3,BD!$B$3:$B$5001,$A$100)))</f>
        <v/>
      </c>
      <c r="Z123" s="251" t="str">
        <f>IF(Z$3="","",IF(COUNTIFS(BD!$A$3:$A$5001,Z$3,BD!$B$3:$B$5001,$A$100,BD!$AA$3:$AA$5001,"&lt;&gt;")=0,"",SUMIFS(BD!$AA$3:$AA$5001,BD!$A$3:$A$5001,Z$3,BD!$B$3:$B$5001,$A$100)))</f>
        <v/>
      </c>
      <c r="AA123" s="251" t="str">
        <f>IF(AA$3="","",IF(COUNTIFS(BD!$A$3:$A$5001,AA$3,BD!$B$3:$B$5001,$A$100,BD!$AA$3:$AA$5001,"&lt;&gt;")=0,"",SUMIFS(BD!$AA$3:$AA$5001,BD!$A$3:$A$5001,AA$3,BD!$B$3:$B$5001,$A$100)))</f>
        <v/>
      </c>
      <c r="AB123" s="251" t="str">
        <f>IF(AB$3="","",IF(COUNTIFS(BD!$A$3:$A$5001,AB$3,BD!$B$3:$B$5001,$A$100,BD!$AA$3:$AA$5001,"&lt;&gt;")=0,"",SUMIFS(BD!$AA$3:$AA$5001,BD!$A$3:$A$5001,AB$3,BD!$B$3:$B$5001,$A$100)))</f>
        <v/>
      </c>
      <c r="AC123" s="251" t="str">
        <f>IF(AC$3="","",IF(COUNTIFS(BD!$A$3:$A$5001,AC$3,BD!$B$3:$B$5001,$A$100,BD!$AA$3:$AA$5001,"&lt;&gt;")=0,"",SUMIFS(BD!$AA$3:$AA$5001,BD!$A$3:$A$5001,AC$3,BD!$B$3:$B$5001,$A$100)))</f>
        <v/>
      </c>
      <c r="AD123" s="251" t="str">
        <f>IF(AD$3="","",IF(COUNTIFS(BD!$A$3:$A$5001,AD$3,BD!$B$3:$B$5001,$A$100,BD!$AA$3:$AA$5001,"&lt;&gt;")=0,"",SUMIFS(BD!$AA$3:$AA$5001,BD!$A$3:$A$5001,AD$3,BD!$B$3:$B$5001,$A$100)))</f>
        <v/>
      </c>
      <c r="AE123" s="251" t="str">
        <f>IF(AE$3="","",IF(COUNTIFS(BD!$A$3:$A$5001,AE$3,BD!$B$3:$B$5001,$A$100,BD!$AA$3:$AA$5001,"&lt;&gt;")=0,"",SUMIFS(BD!$AA$3:$AA$5001,BD!$A$3:$A$5001,AE$3,BD!$B$3:$B$5001,$A$100)))</f>
        <v/>
      </c>
      <c r="AF123" s="251" t="str">
        <f>IF(AF$3="","",IF(COUNTIFS(BD!$A$3:$A$5001,AF$3,BD!$B$3:$B$5001,$A$100,BD!$AA$3:$AA$5001,"&lt;&gt;")=0,"",SUMIFS(BD!$AA$3:$AA$5001,BD!$A$3:$A$5001,AF$3,BD!$B$3:$B$5001,$A$100)))</f>
        <v/>
      </c>
      <c r="AG123" s="251" t="str">
        <f>IF(AG$3="","",IF(COUNTIFS(BD!$A$3:$A$5001,AG$3,BD!$B$3:$B$5001,$A$100,BD!$AA$3:$AA$5001,"&lt;&gt;")=0,"",SUMIFS(BD!$AA$3:$AA$5001,BD!$A$3:$A$5001,AG$3,BD!$B$3:$B$5001,$A$100)))</f>
        <v/>
      </c>
      <c r="AH123" s="251" t="str">
        <f>IF(AH$3="","",IF(COUNTIFS(BD!$A$3:$A$5001,AH$3,BD!$B$3:$B$5001,$A$100,BD!$AA$3:$AA$5001,"&lt;&gt;")=0,"",SUMIFS(BD!$AA$3:$AA$5001,BD!$A$3:$A$5001,AH$3,BD!$B$3:$B$5001,$A$100)))</f>
        <v/>
      </c>
      <c r="AI123" s="251" t="str">
        <f>IF(AI$3="","",IF(COUNTIFS(BD!$A$3:$A$5001,AI$3,BD!$B$3:$B$5001,$A$100,BD!$AA$3:$AA$5001,"&lt;&gt;")=0,"",SUMIFS(BD!$AA$3:$AA$5001,BD!$A$3:$A$5001,AI$3,BD!$B$3:$B$5001,$A$100)))</f>
        <v/>
      </c>
      <c r="AJ123" s="252" t="str">
        <f>IF(AJ$3="","",IF(COUNTIFS(BD!$A$3:$A$5001,AJ$3,BD!$B$3:$B$5001,$A$100,BD!$AA$3:$AA$5001,"&lt;&gt;")=0,"",SUMIFS(BD!$AA$3:$AA$5001,BD!$A$3:$A$5001,AJ$3,BD!$B$3:$B$5001,$A$100)))</f>
        <v/>
      </c>
      <c r="AK123" s="253" t="str">
        <f>IF(COUNT(F123:AJ123)=0,"",SUM(F123:AJ123))</f>
        <v/>
      </c>
    </row>
    <row r="124" ht="15.75" customHeight="1">
      <c r="A124" s="278"/>
      <c r="B124" s="275"/>
      <c r="C124" s="258" t="inlineStr">
        <is>
          <t xml:space="preserve">Acidentes SAF</t>
        </is>
      </c>
      <c r="D124" s="259" t="str">
        <f>IFERROR(1/(1/INDEX(BD!$AF$49:$AZ$49,MATCH($A$100,BD!$AF$22:$AZ$22,0))),"")</f>
        <v/>
      </c>
      <c r="E124" s="260"/>
      <c r="F124" s="261" t="str">
        <f>IF(F$3="","",IF(COUNTIFS(BD!$A$3:$A$5001,F$3,BD!$B$3:$B$5001,$A$100,BD!$AB$3:$AB$5001,"&lt;&gt;")=0,"",SUMIFS(BD!$AB$3:$AB$5001,BD!$A$3:$A$5001,F$3,BD!$B$3:$B$5001,$A$100)))</f>
        <v/>
      </c>
      <c r="G124" s="262" t="str">
        <f>IF(G$3="","",IF(COUNTIFS(BD!$A$3:$A$5001,G$3,BD!$B$3:$B$5001,$A$100,BD!$AB$3:$AB$5001,"&lt;&gt;")=0,"",SUMIFS(BD!$AB$3:$AB$5001,BD!$A$3:$A$5001,G$3,BD!$B$3:$B$5001,$A$100)))</f>
        <v/>
      </c>
      <c r="H124" s="262" t="str">
        <f>IF(H$3="","",IF(COUNTIFS(BD!$A$3:$A$5001,H$3,BD!$B$3:$B$5001,$A$100,BD!$AB$3:$AB$5001,"&lt;&gt;")=0,"",SUMIFS(BD!$AB$3:$AB$5001,BD!$A$3:$A$5001,H$3,BD!$B$3:$B$5001,$A$100)))</f>
        <v/>
      </c>
      <c r="I124" s="262" t="str">
        <f>IF(I$3="","",IF(COUNTIFS(BD!$A$3:$A$5001,I$3,BD!$B$3:$B$5001,$A$100,BD!$AB$3:$AB$5001,"&lt;&gt;")=0,"",SUMIFS(BD!$AB$3:$AB$5001,BD!$A$3:$A$5001,I$3,BD!$B$3:$B$5001,$A$100)))</f>
        <v/>
      </c>
      <c r="J124" s="262" t="str">
        <f>IF(J$3="","",IF(COUNTIFS(BD!$A$3:$A$5001,J$3,BD!$B$3:$B$5001,$A$100,BD!$AB$3:$AB$5001,"&lt;&gt;")=0,"",SUMIFS(BD!$AB$3:$AB$5001,BD!$A$3:$A$5001,J$3,BD!$B$3:$B$5001,$A$100)))</f>
        <v/>
      </c>
      <c r="K124" s="262" t="str">
        <f>IF(K$3="","",IF(COUNTIFS(BD!$A$3:$A$5001,K$3,BD!$B$3:$B$5001,$A$100,BD!$AB$3:$AB$5001,"&lt;&gt;")=0,"",SUMIFS(BD!$AB$3:$AB$5001,BD!$A$3:$A$5001,K$3,BD!$B$3:$B$5001,$A$100)))</f>
        <v/>
      </c>
      <c r="L124" s="262" t="str">
        <f>IF(L$3="","",IF(COUNTIFS(BD!$A$3:$A$5001,L$3,BD!$B$3:$B$5001,$A$100,BD!$AB$3:$AB$5001,"&lt;&gt;")=0,"",SUMIFS(BD!$AB$3:$AB$5001,BD!$A$3:$A$5001,L$3,BD!$B$3:$B$5001,$A$100)))</f>
        <v/>
      </c>
      <c r="M124" s="262" t="str">
        <f>IF(M$3="","",IF(COUNTIFS(BD!$A$3:$A$5001,M$3,BD!$B$3:$B$5001,$A$100,BD!$AB$3:$AB$5001,"&lt;&gt;")=0,"",SUMIFS(BD!$AB$3:$AB$5001,BD!$A$3:$A$5001,M$3,BD!$B$3:$B$5001,$A$100)))</f>
        <v/>
      </c>
      <c r="N124" s="262" t="str">
        <f>IF(N$3="","",IF(COUNTIFS(BD!$A$3:$A$5001,N$3,BD!$B$3:$B$5001,$A$100,BD!$AB$3:$AB$5001,"&lt;&gt;")=0,"",SUMIFS(BD!$AB$3:$AB$5001,BD!$A$3:$A$5001,N$3,BD!$B$3:$B$5001,$A$100)))</f>
        <v/>
      </c>
      <c r="O124" s="262" t="str">
        <f>IF(O$3="","",IF(COUNTIFS(BD!$A$3:$A$5001,O$3,BD!$B$3:$B$5001,$A$100,BD!$AB$3:$AB$5001,"&lt;&gt;")=0,"",SUMIFS(BD!$AB$3:$AB$5001,BD!$A$3:$A$5001,O$3,BD!$B$3:$B$5001,$A$100)))</f>
        <v/>
      </c>
      <c r="P124" s="262" t="str">
        <f>IF(P$3="","",IF(COUNTIFS(BD!$A$3:$A$5001,P$3,BD!$B$3:$B$5001,$A$100,BD!$AB$3:$AB$5001,"&lt;&gt;")=0,"",SUMIFS(BD!$AB$3:$AB$5001,BD!$A$3:$A$5001,P$3,BD!$B$3:$B$5001,$A$100)))</f>
        <v/>
      </c>
      <c r="Q124" s="262" t="str">
        <f>IF(Q$3="","",IF(COUNTIFS(BD!$A$3:$A$5001,Q$3,BD!$B$3:$B$5001,$A$100,BD!$AB$3:$AB$5001,"&lt;&gt;")=0,"",SUMIFS(BD!$AB$3:$AB$5001,BD!$A$3:$A$5001,Q$3,BD!$B$3:$B$5001,$A$100)))</f>
        <v/>
      </c>
      <c r="R124" s="262" t="str">
        <f>IF(R$3="","",IF(COUNTIFS(BD!$A$3:$A$5001,R$3,BD!$B$3:$B$5001,$A$100,BD!$AB$3:$AB$5001,"&lt;&gt;")=0,"",SUMIFS(BD!$AB$3:$AB$5001,BD!$A$3:$A$5001,R$3,BD!$B$3:$B$5001,$A$100)))</f>
        <v/>
      </c>
      <c r="S124" s="262" t="str">
        <f>IF(S$3="","",IF(COUNTIFS(BD!$A$3:$A$5001,S$3,BD!$B$3:$B$5001,$A$100,BD!$AB$3:$AB$5001,"&lt;&gt;")=0,"",SUMIFS(BD!$AB$3:$AB$5001,BD!$A$3:$A$5001,S$3,BD!$B$3:$B$5001,$A$100)))</f>
        <v/>
      </c>
      <c r="T124" s="262" t="str">
        <f>IF(T$3="","",IF(COUNTIFS(BD!$A$3:$A$5001,T$3,BD!$B$3:$B$5001,$A$100,BD!$AB$3:$AB$5001,"&lt;&gt;")=0,"",SUMIFS(BD!$AB$3:$AB$5001,BD!$A$3:$A$5001,T$3,BD!$B$3:$B$5001,$A$100)))</f>
        <v/>
      </c>
      <c r="U124" s="262" t="str">
        <f>IF(U$3="","",IF(COUNTIFS(BD!$A$3:$A$5001,U$3,BD!$B$3:$B$5001,$A$100,BD!$AB$3:$AB$5001,"&lt;&gt;")=0,"",SUMIFS(BD!$AB$3:$AB$5001,BD!$A$3:$A$5001,U$3,BD!$B$3:$B$5001,$A$100)))</f>
        <v/>
      </c>
      <c r="V124" s="262" t="str">
        <f>IF(V$3="","",IF(COUNTIFS(BD!$A$3:$A$5001,V$3,BD!$B$3:$B$5001,$A$100,BD!$AB$3:$AB$5001,"&lt;&gt;")=0,"",SUMIFS(BD!$AB$3:$AB$5001,BD!$A$3:$A$5001,V$3,BD!$B$3:$B$5001,$A$100)))</f>
        <v/>
      </c>
      <c r="W124" s="262" t="str">
        <f>IF(W$3="","",IF(COUNTIFS(BD!$A$3:$A$5001,W$3,BD!$B$3:$B$5001,$A$100,BD!$AB$3:$AB$5001,"&lt;&gt;")=0,"",SUMIFS(BD!$AB$3:$AB$5001,BD!$A$3:$A$5001,W$3,BD!$B$3:$B$5001,$A$100)))</f>
        <v/>
      </c>
      <c r="X124" s="262" t="str">
        <f>IF(X$3="","",IF(COUNTIFS(BD!$A$3:$A$5001,X$3,BD!$B$3:$B$5001,$A$100,BD!$AB$3:$AB$5001,"&lt;&gt;")=0,"",SUMIFS(BD!$AB$3:$AB$5001,BD!$A$3:$A$5001,X$3,BD!$B$3:$B$5001,$A$100)))</f>
        <v/>
      </c>
      <c r="Y124" s="262" t="str">
        <f>IF(Y$3="","",IF(COUNTIFS(BD!$A$3:$A$5001,Y$3,BD!$B$3:$B$5001,$A$100,BD!$AB$3:$AB$5001,"&lt;&gt;")=0,"",SUMIFS(BD!$AB$3:$AB$5001,BD!$A$3:$A$5001,Y$3,BD!$B$3:$B$5001,$A$100)))</f>
        <v/>
      </c>
      <c r="Z124" s="262" t="str">
        <f>IF(Z$3="","",IF(COUNTIFS(BD!$A$3:$A$5001,Z$3,BD!$B$3:$B$5001,$A$100,BD!$AB$3:$AB$5001,"&lt;&gt;")=0,"",SUMIFS(BD!$AB$3:$AB$5001,BD!$A$3:$A$5001,Z$3,BD!$B$3:$B$5001,$A$100)))</f>
        <v/>
      </c>
      <c r="AA124" s="262" t="str">
        <f>IF(AA$3="","",IF(COUNTIFS(BD!$A$3:$A$5001,AA$3,BD!$B$3:$B$5001,$A$100,BD!$AB$3:$AB$5001,"&lt;&gt;")=0,"",SUMIFS(BD!$AB$3:$AB$5001,BD!$A$3:$A$5001,AA$3,BD!$B$3:$B$5001,$A$100)))</f>
        <v/>
      </c>
      <c r="AB124" s="262" t="str">
        <f>IF(AB$3="","",IF(COUNTIFS(BD!$A$3:$A$5001,AB$3,BD!$B$3:$B$5001,$A$100,BD!$AB$3:$AB$5001,"&lt;&gt;")=0,"",SUMIFS(BD!$AB$3:$AB$5001,BD!$A$3:$A$5001,AB$3,BD!$B$3:$B$5001,$A$100)))</f>
        <v/>
      </c>
      <c r="AC124" s="262" t="str">
        <f>IF(AC$3="","",IF(COUNTIFS(BD!$A$3:$A$5001,AC$3,BD!$B$3:$B$5001,$A$100,BD!$AB$3:$AB$5001,"&lt;&gt;")=0,"",SUMIFS(BD!$AB$3:$AB$5001,BD!$A$3:$A$5001,AC$3,BD!$B$3:$B$5001,$A$100)))</f>
        <v/>
      </c>
      <c r="AD124" s="262" t="str">
        <f>IF(AD$3="","",IF(COUNTIFS(BD!$A$3:$A$5001,AD$3,BD!$B$3:$B$5001,$A$100,BD!$AB$3:$AB$5001,"&lt;&gt;")=0,"",SUMIFS(BD!$AB$3:$AB$5001,BD!$A$3:$A$5001,AD$3,BD!$B$3:$B$5001,$A$100)))</f>
        <v/>
      </c>
      <c r="AE124" s="262" t="str">
        <f>IF(AE$3="","",IF(COUNTIFS(BD!$A$3:$A$5001,AE$3,BD!$B$3:$B$5001,$A$100,BD!$AB$3:$AB$5001,"&lt;&gt;")=0,"",SUMIFS(BD!$AB$3:$AB$5001,BD!$A$3:$A$5001,AE$3,BD!$B$3:$B$5001,$A$100)))</f>
        <v/>
      </c>
      <c r="AF124" s="262" t="str">
        <f>IF(AF$3="","",IF(COUNTIFS(BD!$A$3:$A$5001,AF$3,BD!$B$3:$B$5001,$A$100,BD!$AB$3:$AB$5001,"&lt;&gt;")=0,"",SUMIFS(BD!$AB$3:$AB$5001,BD!$A$3:$A$5001,AF$3,BD!$B$3:$B$5001,$A$100)))</f>
        <v/>
      </c>
      <c r="AG124" s="262" t="str">
        <f>IF(AG$3="","",IF(COUNTIFS(BD!$A$3:$A$5001,AG$3,BD!$B$3:$B$5001,$A$100,BD!$AB$3:$AB$5001,"&lt;&gt;")=0,"",SUMIFS(BD!$AB$3:$AB$5001,BD!$A$3:$A$5001,AG$3,BD!$B$3:$B$5001,$A$100)))</f>
        <v/>
      </c>
      <c r="AH124" s="262" t="str">
        <f>IF(AH$3="","",IF(COUNTIFS(BD!$A$3:$A$5001,AH$3,BD!$B$3:$B$5001,$A$100,BD!$AB$3:$AB$5001,"&lt;&gt;")=0,"",SUMIFS(BD!$AB$3:$AB$5001,BD!$A$3:$A$5001,AH$3,BD!$B$3:$B$5001,$A$100)))</f>
        <v/>
      </c>
      <c r="AI124" s="262" t="str">
        <f>IF(AI$3="","",IF(COUNTIFS(BD!$A$3:$A$5001,AI$3,BD!$B$3:$B$5001,$A$100,BD!$AB$3:$AB$5001,"&lt;&gt;")=0,"",SUMIFS(BD!$AB$3:$AB$5001,BD!$A$3:$A$5001,AI$3,BD!$B$3:$B$5001,$A$100)))</f>
        <v/>
      </c>
      <c r="AJ124" s="263" t="str">
        <f>IF(AJ$3="","",IF(COUNTIFS(BD!$A$3:$A$5001,AJ$3,BD!$B$3:$B$5001,$A$100,BD!$AB$3:$AB$5001,"&lt;&gt;")=0,"",SUMIFS(BD!$AB$3:$AB$5001,BD!$A$3:$A$5001,AJ$3,BD!$B$3:$B$5001,$A$100)))</f>
        <v/>
      </c>
      <c r="AK124" s="259" t="str">
        <f>IF(COUNT(F124:AJ124)=0,"",SUM(F124:AJ124))</f>
        <v/>
      </c>
    </row>
    <row r="126" ht="20" customHeight="1" hidden="1">
      <c r="A126" s="286" t="inlineStr">
        <is>
          <t xml:space="preserve">VAGAS PARA NOVOS CLIENTES — reexiba as linhas de um bloco, digite o nome do cliente na coluna CLIENTE (igual ao da BD) e exclua as linhas que ele não usa</t>
        </is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8"/>
    </row>
    <row r="127" ht="15.75" customHeight="1" hidden="1">
      <c r="A127" s="276"/>
      <c r="B127" s="264" t="inlineStr">
        <is>
          <t xml:space="preserve">IN</t>
        </is>
      </c>
      <c r="C127" s="168" t="inlineStr">
        <is>
          <t xml:space="preserve">Veículos Recebidos</t>
        </is>
      </c>
      <c r="D127" s="169" t="str">
        <f>IFERROR(1/(1/INDEX(BD!$AF$23:$AZ$23,MATCH($A$127,BD!$AF$22:$AZ$22,0))),"")</f>
        <v/>
      </c>
      <c r="E127" s="170"/>
      <c r="F127" s="171" t="str">
        <f>IF(F$3="","",IF(COUNTIFS(BD!$A$3:$A$5001,F$3,BD!$B$3:$B$5001,$A$127,BD!$C$3:$C$5001,"&lt;&gt;")=0,"",SUMIFS(BD!$C$3:$C$5001,BD!$A$3:$A$5001,F$3,BD!$B$3:$B$5001,$A$127)))</f>
        <v/>
      </c>
      <c r="G127" s="172" t="str">
        <f>IF(G$3="","",IF(COUNTIFS(BD!$A$3:$A$5001,G$3,BD!$B$3:$B$5001,$A$127,BD!$C$3:$C$5001,"&lt;&gt;")=0,"",SUMIFS(BD!$C$3:$C$5001,BD!$A$3:$A$5001,G$3,BD!$B$3:$B$5001,$A$127)))</f>
        <v/>
      </c>
      <c r="H127" s="172" t="str">
        <f>IF(H$3="","",IF(COUNTIFS(BD!$A$3:$A$5001,H$3,BD!$B$3:$B$5001,$A$127,BD!$C$3:$C$5001,"&lt;&gt;")=0,"",SUMIFS(BD!$C$3:$C$5001,BD!$A$3:$A$5001,H$3,BD!$B$3:$B$5001,$A$127)))</f>
        <v/>
      </c>
      <c r="I127" s="172" t="str">
        <f>IF(I$3="","",IF(COUNTIFS(BD!$A$3:$A$5001,I$3,BD!$B$3:$B$5001,$A$127,BD!$C$3:$C$5001,"&lt;&gt;")=0,"",SUMIFS(BD!$C$3:$C$5001,BD!$A$3:$A$5001,I$3,BD!$B$3:$B$5001,$A$127)))</f>
        <v/>
      </c>
      <c r="J127" s="172" t="str">
        <f>IF(J$3="","",IF(COUNTIFS(BD!$A$3:$A$5001,J$3,BD!$B$3:$B$5001,$A$127,BD!$C$3:$C$5001,"&lt;&gt;")=0,"",SUMIFS(BD!$C$3:$C$5001,BD!$A$3:$A$5001,J$3,BD!$B$3:$B$5001,$A$127)))</f>
        <v/>
      </c>
      <c r="K127" s="172" t="str">
        <f>IF(K$3="","",IF(COUNTIFS(BD!$A$3:$A$5001,K$3,BD!$B$3:$B$5001,$A$127,BD!$C$3:$C$5001,"&lt;&gt;")=0,"",SUMIFS(BD!$C$3:$C$5001,BD!$A$3:$A$5001,K$3,BD!$B$3:$B$5001,$A$127)))</f>
        <v/>
      </c>
      <c r="L127" s="172" t="str">
        <f>IF(L$3="","",IF(COUNTIFS(BD!$A$3:$A$5001,L$3,BD!$B$3:$B$5001,$A$127,BD!$C$3:$C$5001,"&lt;&gt;")=0,"",SUMIFS(BD!$C$3:$C$5001,BD!$A$3:$A$5001,L$3,BD!$B$3:$B$5001,$A$127)))</f>
        <v/>
      </c>
      <c r="M127" s="172" t="str">
        <f>IF(M$3="","",IF(COUNTIFS(BD!$A$3:$A$5001,M$3,BD!$B$3:$B$5001,$A$127,BD!$C$3:$C$5001,"&lt;&gt;")=0,"",SUMIFS(BD!$C$3:$C$5001,BD!$A$3:$A$5001,M$3,BD!$B$3:$B$5001,$A$127)))</f>
        <v/>
      </c>
      <c r="N127" s="172" t="str">
        <f>IF(N$3="","",IF(COUNTIFS(BD!$A$3:$A$5001,N$3,BD!$B$3:$B$5001,$A$127,BD!$C$3:$C$5001,"&lt;&gt;")=0,"",SUMIFS(BD!$C$3:$C$5001,BD!$A$3:$A$5001,N$3,BD!$B$3:$B$5001,$A$127)))</f>
        <v/>
      </c>
      <c r="O127" s="172" t="str">
        <f>IF(O$3="","",IF(COUNTIFS(BD!$A$3:$A$5001,O$3,BD!$B$3:$B$5001,$A$127,BD!$C$3:$C$5001,"&lt;&gt;")=0,"",SUMIFS(BD!$C$3:$C$5001,BD!$A$3:$A$5001,O$3,BD!$B$3:$B$5001,$A$127)))</f>
        <v/>
      </c>
      <c r="P127" s="172" t="str">
        <f>IF(P$3="","",IF(COUNTIFS(BD!$A$3:$A$5001,P$3,BD!$B$3:$B$5001,$A$127,BD!$C$3:$C$5001,"&lt;&gt;")=0,"",SUMIFS(BD!$C$3:$C$5001,BD!$A$3:$A$5001,P$3,BD!$B$3:$B$5001,$A$127)))</f>
        <v/>
      </c>
      <c r="Q127" s="172" t="str">
        <f>IF(Q$3="","",IF(COUNTIFS(BD!$A$3:$A$5001,Q$3,BD!$B$3:$B$5001,$A$127,BD!$C$3:$C$5001,"&lt;&gt;")=0,"",SUMIFS(BD!$C$3:$C$5001,BD!$A$3:$A$5001,Q$3,BD!$B$3:$B$5001,$A$127)))</f>
        <v/>
      </c>
      <c r="R127" s="172" t="str">
        <f>IF(R$3="","",IF(COUNTIFS(BD!$A$3:$A$5001,R$3,BD!$B$3:$B$5001,$A$127,BD!$C$3:$C$5001,"&lt;&gt;")=0,"",SUMIFS(BD!$C$3:$C$5001,BD!$A$3:$A$5001,R$3,BD!$B$3:$B$5001,$A$127)))</f>
        <v/>
      </c>
      <c r="S127" s="172" t="str">
        <f>IF(S$3="","",IF(COUNTIFS(BD!$A$3:$A$5001,S$3,BD!$B$3:$B$5001,$A$127,BD!$C$3:$C$5001,"&lt;&gt;")=0,"",SUMIFS(BD!$C$3:$C$5001,BD!$A$3:$A$5001,S$3,BD!$B$3:$B$5001,$A$127)))</f>
        <v/>
      </c>
      <c r="T127" s="172" t="str">
        <f>IF(T$3="","",IF(COUNTIFS(BD!$A$3:$A$5001,T$3,BD!$B$3:$B$5001,$A$127,BD!$C$3:$C$5001,"&lt;&gt;")=0,"",SUMIFS(BD!$C$3:$C$5001,BD!$A$3:$A$5001,T$3,BD!$B$3:$B$5001,$A$127)))</f>
        <v/>
      </c>
      <c r="U127" s="172" t="str">
        <f>IF(U$3="","",IF(COUNTIFS(BD!$A$3:$A$5001,U$3,BD!$B$3:$B$5001,$A$127,BD!$C$3:$C$5001,"&lt;&gt;")=0,"",SUMIFS(BD!$C$3:$C$5001,BD!$A$3:$A$5001,U$3,BD!$B$3:$B$5001,$A$127)))</f>
        <v/>
      </c>
      <c r="V127" s="172" t="str">
        <f>IF(V$3="","",IF(COUNTIFS(BD!$A$3:$A$5001,V$3,BD!$B$3:$B$5001,$A$127,BD!$C$3:$C$5001,"&lt;&gt;")=0,"",SUMIFS(BD!$C$3:$C$5001,BD!$A$3:$A$5001,V$3,BD!$B$3:$B$5001,$A$127)))</f>
        <v/>
      </c>
      <c r="W127" s="172" t="str">
        <f>IF(W$3="","",IF(COUNTIFS(BD!$A$3:$A$5001,W$3,BD!$B$3:$B$5001,$A$127,BD!$C$3:$C$5001,"&lt;&gt;")=0,"",SUMIFS(BD!$C$3:$C$5001,BD!$A$3:$A$5001,W$3,BD!$B$3:$B$5001,$A$127)))</f>
        <v/>
      </c>
      <c r="X127" s="172" t="str">
        <f>IF(X$3="","",IF(COUNTIFS(BD!$A$3:$A$5001,X$3,BD!$B$3:$B$5001,$A$127,BD!$C$3:$C$5001,"&lt;&gt;")=0,"",SUMIFS(BD!$C$3:$C$5001,BD!$A$3:$A$5001,X$3,BD!$B$3:$B$5001,$A$127)))</f>
        <v/>
      </c>
      <c r="Y127" s="172" t="str">
        <f>IF(Y$3="","",IF(COUNTIFS(BD!$A$3:$A$5001,Y$3,BD!$B$3:$B$5001,$A$127,BD!$C$3:$C$5001,"&lt;&gt;")=0,"",SUMIFS(BD!$C$3:$C$5001,BD!$A$3:$A$5001,Y$3,BD!$B$3:$B$5001,$A$127)))</f>
        <v/>
      </c>
      <c r="Z127" s="172" t="str">
        <f>IF(Z$3="","",IF(COUNTIFS(BD!$A$3:$A$5001,Z$3,BD!$B$3:$B$5001,$A$127,BD!$C$3:$C$5001,"&lt;&gt;")=0,"",SUMIFS(BD!$C$3:$C$5001,BD!$A$3:$A$5001,Z$3,BD!$B$3:$B$5001,$A$127)))</f>
        <v/>
      </c>
      <c r="AA127" s="172" t="str">
        <f>IF(AA$3="","",IF(COUNTIFS(BD!$A$3:$A$5001,AA$3,BD!$B$3:$B$5001,$A$127,BD!$C$3:$C$5001,"&lt;&gt;")=0,"",SUMIFS(BD!$C$3:$C$5001,BD!$A$3:$A$5001,AA$3,BD!$B$3:$B$5001,$A$127)))</f>
        <v/>
      </c>
      <c r="AB127" s="172" t="str">
        <f>IF(AB$3="","",IF(COUNTIFS(BD!$A$3:$A$5001,AB$3,BD!$B$3:$B$5001,$A$127,BD!$C$3:$C$5001,"&lt;&gt;")=0,"",SUMIFS(BD!$C$3:$C$5001,BD!$A$3:$A$5001,AB$3,BD!$B$3:$B$5001,$A$127)))</f>
        <v/>
      </c>
      <c r="AC127" s="172" t="str">
        <f>IF(AC$3="","",IF(COUNTIFS(BD!$A$3:$A$5001,AC$3,BD!$B$3:$B$5001,$A$127,BD!$C$3:$C$5001,"&lt;&gt;")=0,"",SUMIFS(BD!$C$3:$C$5001,BD!$A$3:$A$5001,AC$3,BD!$B$3:$B$5001,$A$127)))</f>
        <v/>
      </c>
      <c r="AD127" s="172" t="str">
        <f>IF(AD$3="","",IF(COUNTIFS(BD!$A$3:$A$5001,AD$3,BD!$B$3:$B$5001,$A$127,BD!$C$3:$C$5001,"&lt;&gt;")=0,"",SUMIFS(BD!$C$3:$C$5001,BD!$A$3:$A$5001,AD$3,BD!$B$3:$B$5001,$A$127)))</f>
        <v/>
      </c>
      <c r="AE127" s="172" t="str">
        <f>IF(AE$3="","",IF(COUNTIFS(BD!$A$3:$A$5001,AE$3,BD!$B$3:$B$5001,$A$127,BD!$C$3:$C$5001,"&lt;&gt;")=0,"",SUMIFS(BD!$C$3:$C$5001,BD!$A$3:$A$5001,AE$3,BD!$B$3:$B$5001,$A$127)))</f>
        <v/>
      </c>
      <c r="AF127" s="172" t="str">
        <f>IF(AF$3="","",IF(COUNTIFS(BD!$A$3:$A$5001,AF$3,BD!$B$3:$B$5001,$A$127,BD!$C$3:$C$5001,"&lt;&gt;")=0,"",SUMIFS(BD!$C$3:$C$5001,BD!$A$3:$A$5001,AF$3,BD!$B$3:$B$5001,$A$127)))</f>
        <v/>
      </c>
      <c r="AG127" s="172" t="str">
        <f>IF(AG$3="","",IF(COUNTIFS(BD!$A$3:$A$5001,AG$3,BD!$B$3:$B$5001,$A$127,BD!$C$3:$C$5001,"&lt;&gt;")=0,"",SUMIFS(BD!$C$3:$C$5001,BD!$A$3:$A$5001,AG$3,BD!$B$3:$B$5001,$A$127)))</f>
        <v/>
      </c>
      <c r="AH127" s="172" t="str">
        <f>IF(AH$3="","",IF(COUNTIFS(BD!$A$3:$A$5001,AH$3,BD!$B$3:$B$5001,$A$127,BD!$C$3:$C$5001,"&lt;&gt;")=0,"",SUMIFS(BD!$C$3:$C$5001,BD!$A$3:$A$5001,AH$3,BD!$B$3:$B$5001,$A$127)))</f>
        <v/>
      </c>
      <c r="AI127" s="172" t="str">
        <f>IF(AI$3="","",IF(COUNTIFS(BD!$A$3:$A$5001,AI$3,BD!$B$3:$B$5001,$A$127,BD!$C$3:$C$5001,"&lt;&gt;")=0,"",SUMIFS(BD!$C$3:$C$5001,BD!$A$3:$A$5001,AI$3,BD!$B$3:$B$5001,$A$127)))</f>
        <v/>
      </c>
      <c r="AJ127" s="173" t="str">
        <f>IF(AJ$3="","",IF(COUNTIFS(BD!$A$3:$A$5001,AJ$3,BD!$B$3:$B$5001,$A$127,BD!$C$3:$C$5001,"&lt;&gt;")=0,"",SUMIFS(BD!$C$3:$C$5001,BD!$A$3:$A$5001,AJ$3,BD!$B$3:$B$5001,$A$127)))</f>
        <v/>
      </c>
      <c r="AK127" s="174" t="str">
        <f>IF(COUNT(F127:AJ127)=0,"",SUM(F127:AJ127))</f>
        <v/>
      </c>
    </row>
    <row r="128" ht="15.75" customHeight="1" hidden="1">
      <c r="A128" s="277"/>
      <c r="B128" s="265"/>
      <c r="C128" s="175" t="inlineStr">
        <is>
          <t xml:space="preserve">Pallets Movimentados</t>
        </is>
      </c>
      <c r="D128" s="176" t="str">
        <f>IFERROR(1/(1/INDEX(BD!$AF$24:$AZ$24,MATCH($A$127,BD!$AF$22:$AZ$22,0))),"")</f>
        <v/>
      </c>
      <c r="E128" s="177"/>
      <c r="F128" s="178" t="str">
        <f>IF(F$3="","",IF(COUNTIFS(BD!$A$3:$A$5001,F$3,BD!$B$3:$B$5001,$A$127,BD!$D$3:$D$5001,"&lt;&gt;")=0,"",SUMIFS(BD!$D$3:$D$5001,BD!$A$3:$A$5001,F$3,BD!$B$3:$B$5001,$A$127)))</f>
        <v/>
      </c>
      <c r="G128" s="179" t="str">
        <f>IF(G$3="","",IF(COUNTIFS(BD!$A$3:$A$5001,G$3,BD!$B$3:$B$5001,$A$127,BD!$D$3:$D$5001,"&lt;&gt;")=0,"",SUMIFS(BD!$D$3:$D$5001,BD!$A$3:$A$5001,G$3,BD!$B$3:$B$5001,$A$127)))</f>
        <v/>
      </c>
      <c r="H128" s="179" t="str">
        <f>IF(H$3="","",IF(COUNTIFS(BD!$A$3:$A$5001,H$3,BD!$B$3:$B$5001,$A$127,BD!$D$3:$D$5001,"&lt;&gt;")=0,"",SUMIFS(BD!$D$3:$D$5001,BD!$A$3:$A$5001,H$3,BD!$B$3:$B$5001,$A$127)))</f>
        <v/>
      </c>
      <c r="I128" s="179" t="str">
        <f>IF(I$3="","",IF(COUNTIFS(BD!$A$3:$A$5001,I$3,BD!$B$3:$B$5001,$A$127,BD!$D$3:$D$5001,"&lt;&gt;")=0,"",SUMIFS(BD!$D$3:$D$5001,BD!$A$3:$A$5001,I$3,BD!$B$3:$B$5001,$A$127)))</f>
        <v/>
      </c>
      <c r="J128" s="179" t="str">
        <f>IF(J$3="","",IF(COUNTIFS(BD!$A$3:$A$5001,J$3,BD!$B$3:$B$5001,$A$127,BD!$D$3:$D$5001,"&lt;&gt;")=0,"",SUMIFS(BD!$D$3:$D$5001,BD!$A$3:$A$5001,J$3,BD!$B$3:$B$5001,$A$127)))</f>
        <v/>
      </c>
      <c r="K128" s="179" t="str">
        <f>IF(K$3="","",IF(COUNTIFS(BD!$A$3:$A$5001,K$3,BD!$B$3:$B$5001,$A$127,BD!$D$3:$D$5001,"&lt;&gt;")=0,"",SUMIFS(BD!$D$3:$D$5001,BD!$A$3:$A$5001,K$3,BD!$B$3:$B$5001,$A$127)))</f>
        <v/>
      </c>
      <c r="L128" s="179" t="str">
        <f>IF(L$3="","",IF(COUNTIFS(BD!$A$3:$A$5001,L$3,BD!$B$3:$B$5001,$A$127,BD!$D$3:$D$5001,"&lt;&gt;")=0,"",SUMIFS(BD!$D$3:$D$5001,BD!$A$3:$A$5001,L$3,BD!$B$3:$B$5001,$A$127)))</f>
        <v/>
      </c>
      <c r="M128" s="179" t="str">
        <f>IF(M$3="","",IF(COUNTIFS(BD!$A$3:$A$5001,M$3,BD!$B$3:$B$5001,$A$127,BD!$D$3:$D$5001,"&lt;&gt;")=0,"",SUMIFS(BD!$D$3:$D$5001,BD!$A$3:$A$5001,M$3,BD!$B$3:$B$5001,$A$127)))</f>
        <v/>
      </c>
      <c r="N128" s="179" t="str">
        <f>IF(N$3="","",IF(COUNTIFS(BD!$A$3:$A$5001,N$3,BD!$B$3:$B$5001,$A$127,BD!$D$3:$D$5001,"&lt;&gt;")=0,"",SUMIFS(BD!$D$3:$D$5001,BD!$A$3:$A$5001,N$3,BD!$B$3:$B$5001,$A$127)))</f>
        <v/>
      </c>
      <c r="O128" s="179" t="str">
        <f>IF(O$3="","",IF(COUNTIFS(BD!$A$3:$A$5001,O$3,BD!$B$3:$B$5001,$A$127,BD!$D$3:$D$5001,"&lt;&gt;")=0,"",SUMIFS(BD!$D$3:$D$5001,BD!$A$3:$A$5001,O$3,BD!$B$3:$B$5001,$A$127)))</f>
        <v/>
      </c>
      <c r="P128" s="179" t="str">
        <f>IF(P$3="","",IF(COUNTIFS(BD!$A$3:$A$5001,P$3,BD!$B$3:$B$5001,$A$127,BD!$D$3:$D$5001,"&lt;&gt;")=0,"",SUMIFS(BD!$D$3:$D$5001,BD!$A$3:$A$5001,P$3,BD!$B$3:$B$5001,$A$127)))</f>
        <v/>
      </c>
      <c r="Q128" s="179" t="str">
        <f>IF(Q$3="","",IF(COUNTIFS(BD!$A$3:$A$5001,Q$3,BD!$B$3:$B$5001,$A$127,BD!$D$3:$D$5001,"&lt;&gt;")=0,"",SUMIFS(BD!$D$3:$D$5001,BD!$A$3:$A$5001,Q$3,BD!$B$3:$B$5001,$A$127)))</f>
        <v/>
      </c>
      <c r="R128" s="179" t="str">
        <f>IF(R$3="","",IF(COUNTIFS(BD!$A$3:$A$5001,R$3,BD!$B$3:$B$5001,$A$127,BD!$D$3:$D$5001,"&lt;&gt;")=0,"",SUMIFS(BD!$D$3:$D$5001,BD!$A$3:$A$5001,R$3,BD!$B$3:$B$5001,$A$127)))</f>
        <v/>
      </c>
      <c r="S128" s="179" t="str">
        <f>IF(S$3="","",IF(COUNTIFS(BD!$A$3:$A$5001,S$3,BD!$B$3:$B$5001,$A$127,BD!$D$3:$D$5001,"&lt;&gt;")=0,"",SUMIFS(BD!$D$3:$D$5001,BD!$A$3:$A$5001,S$3,BD!$B$3:$B$5001,$A$127)))</f>
        <v/>
      </c>
      <c r="T128" s="179" t="str">
        <f>IF(T$3="","",IF(COUNTIFS(BD!$A$3:$A$5001,T$3,BD!$B$3:$B$5001,$A$127,BD!$D$3:$D$5001,"&lt;&gt;")=0,"",SUMIFS(BD!$D$3:$D$5001,BD!$A$3:$A$5001,T$3,BD!$B$3:$B$5001,$A$127)))</f>
        <v/>
      </c>
      <c r="U128" s="179" t="str">
        <f>IF(U$3="","",IF(COUNTIFS(BD!$A$3:$A$5001,U$3,BD!$B$3:$B$5001,$A$127,BD!$D$3:$D$5001,"&lt;&gt;")=0,"",SUMIFS(BD!$D$3:$D$5001,BD!$A$3:$A$5001,U$3,BD!$B$3:$B$5001,$A$127)))</f>
        <v/>
      </c>
      <c r="V128" s="179" t="str">
        <f>IF(V$3="","",IF(COUNTIFS(BD!$A$3:$A$5001,V$3,BD!$B$3:$B$5001,$A$127,BD!$D$3:$D$5001,"&lt;&gt;")=0,"",SUMIFS(BD!$D$3:$D$5001,BD!$A$3:$A$5001,V$3,BD!$B$3:$B$5001,$A$127)))</f>
        <v/>
      </c>
      <c r="W128" s="179" t="str">
        <f>IF(W$3="","",IF(COUNTIFS(BD!$A$3:$A$5001,W$3,BD!$B$3:$B$5001,$A$127,BD!$D$3:$D$5001,"&lt;&gt;")=0,"",SUMIFS(BD!$D$3:$D$5001,BD!$A$3:$A$5001,W$3,BD!$B$3:$B$5001,$A$127)))</f>
        <v/>
      </c>
      <c r="X128" s="179" t="str">
        <f>IF(X$3="","",IF(COUNTIFS(BD!$A$3:$A$5001,X$3,BD!$B$3:$B$5001,$A$127,BD!$D$3:$D$5001,"&lt;&gt;")=0,"",SUMIFS(BD!$D$3:$D$5001,BD!$A$3:$A$5001,X$3,BD!$B$3:$B$5001,$A$127)))</f>
        <v/>
      </c>
      <c r="Y128" s="179" t="str">
        <f>IF(Y$3="","",IF(COUNTIFS(BD!$A$3:$A$5001,Y$3,BD!$B$3:$B$5001,$A$127,BD!$D$3:$D$5001,"&lt;&gt;")=0,"",SUMIFS(BD!$D$3:$D$5001,BD!$A$3:$A$5001,Y$3,BD!$B$3:$B$5001,$A$127)))</f>
        <v/>
      </c>
      <c r="Z128" s="179" t="str">
        <f>IF(Z$3="","",IF(COUNTIFS(BD!$A$3:$A$5001,Z$3,BD!$B$3:$B$5001,$A$127,BD!$D$3:$D$5001,"&lt;&gt;")=0,"",SUMIFS(BD!$D$3:$D$5001,BD!$A$3:$A$5001,Z$3,BD!$B$3:$B$5001,$A$127)))</f>
        <v/>
      </c>
      <c r="AA128" s="179" t="str">
        <f>IF(AA$3="","",IF(COUNTIFS(BD!$A$3:$A$5001,AA$3,BD!$B$3:$B$5001,$A$127,BD!$D$3:$D$5001,"&lt;&gt;")=0,"",SUMIFS(BD!$D$3:$D$5001,BD!$A$3:$A$5001,AA$3,BD!$B$3:$B$5001,$A$127)))</f>
        <v/>
      </c>
      <c r="AB128" s="179" t="str">
        <f>IF(AB$3="","",IF(COUNTIFS(BD!$A$3:$A$5001,AB$3,BD!$B$3:$B$5001,$A$127,BD!$D$3:$D$5001,"&lt;&gt;")=0,"",SUMIFS(BD!$D$3:$D$5001,BD!$A$3:$A$5001,AB$3,BD!$B$3:$B$5001,$A$127)))</f>
        <v/>
      </c>
      <c r="AC128" s="179" t="str">
        <f>IF(AC$3="","",IF(COUNTIFS(BD!$A$3:$A$5001,AC$3,BD!$B$3:$B$5001,$A$127,BD!$D$3:$D$5001,"&lt;&gt;")=0,"",SUMIFS(BD!$D$3:$D$5001,BD!$A$3:$A$5001,AC$3,BD!$B$3:$B$5001,$A$127)))</f>
        <v/>
      </c>
      <c r="AD128" s="179" t="str">
        <f>IF(AD$3="","",IF(COUNTIFS(BD!$A$3:$A$5001,AD$3,BD!$B$3:$B$5001,$A$127,BD!$D$3:$D$5001,"&lt;&gt;")=0,"",SUMIFS(BD!$D$3:$D$5001,BD!$A$3:$A$5001,AD$3,BD!$B$3:$B$5001,$A$127)))</f>
        <v/>
      </c>
      <c r="AE128" s="179" t="str">
        <f>IF(AE$3="","",IF(COUNTIFS(BD!$A$3:$A$5001,AE$3,BD!$B$3:$B$5001,$A$127,BD!$D$3:$D$5001,"&lt;&gt;")=0,"",SUMIFS(BD!$D$3:$D$5001,BD!$A$3:$A$5001,AE$3,BD!$B$3:$B$5001,$A$127)))</f>
        <v/>
      </c>
      <c r="AF128" s="179" t="str">
        <f>IF(AF$3="","",IF(COUNTIFS(BD!$A$3:$A$5001,AF$3,BD!$B$3:$B$5001,$A$127,BD!$D$3:$D$5001,"&lt;&gt;")=0,"",SUMIFS(BD!$D$3:$D$5001,BD!$A$3:$A$5001,AF$3,BD!$B$3:$B$5001,$A$127)))</f>
        <v/>
      </c>
      <c r="AG128" s="179" t="str">
        <f>IF(AG$3="","",IF(COUNTIFS(BD!$A$3:$A$5001,AG$3,BD!$B$3:$B$5001,$A$127,BD!$D$3:$D$5001,"&lt;&gt;")=0,"",SUMIFS(BD!$D$3:$D$5001,BD!$A$3:$A$5001,AG$3,BD!$B$3:$B$5001,$A$127)))</f>
        <v/>
      </c>
      <c r="AH128" s="179" t="str">
        <f>IF(AH$3="","",IF(COUNTIFS(BD!$A$3:$A$5001,AH$3,BD!$B$3:$B$5001,$A$127,BD!$D$3:$D$5001,"&lt;&gt;")=0,"",SUMIFS(BD!$D$3:$D$5001,BD!$A$3:$A$5001,AH$3,BD!$B$3:$B$5001,$A$127)))</f>
        <v/>
      </c>
      <c r="AI128" s="179" t="str">
        <f>IF(AI$3="","",IF(COUNTIFS(BD!$A$3:$A$5001,AI$3,BD!$B$3:$B$5001,$A$127,BD!$D$3:$D$5001,"&lt;&gt;")=0,"",SUMIFS(BD!$D$3:$D$5001,BD!$A$3:$A$5001,AI$3,BD!$B$3:$B$5001,$A$127)))</f>
        <v/>
      </c>
      <c r="AJ128" s="180" t="str">
        <f>IF(AJ$3="","",IF(COUNTIFS(BD!$A$3:$A$5001,AJ$3,BD!$B$3:$B$5001,$A$127,BD!$D$3:$D$5001,"&lt;&gt;")=0,"",SUMIFS(BD!$D$3:$D$5001,BD!$A$3:$A$5001,AJ$3,BD!$B$3:$B$5001,$A$127)))</f>
        <v/>
      </c>
      <c r="AK128" s="181" t="str">
        <f>IF(COUNT(F128:AJ128)=0,"",SUM(F128:AJ128))</f>
        <v/>
      </c>
    </row>
    <row r="129" ht="15.75" customHeight="1" hidden="1">
      <c r="A129" s="277"/>
      <c r="B129" s="265"/>
      <c r="C129" s="175" t="inlineStr">
        <is>
          <t xml:space="preserve">Toneladas Movimentadas</t>
        </is>
      </c>
      <c r="D129" s="176" t="str">
        <f>IFERROR(1/(1/INDEX(BD!$AF$25:$AZ$25,MATCH($A$127,BD!$AF$22:$AZ$22,0))),"")</f>
        <v/>
      </c>
      <c r="E129" s="177"/>
      <c r="F129" s="182" t="str">
        <f>IF(F$3="","",IF(COUNTIFS(BD!$A$3:$A$5001,F$3,BD!$B$3:$B$5001,$A$127,BD!$E$3:$E$5001,"&lt;&gt;")=0,"",SUMIFS(BD!$E$3:$E$5001,BD!$A$3:$A$5001,F$3,BD!$B$3:$B$5001,$A$127)))</f>
        <v/>
      </c>
      <c r="G129" s="183" t="str">
        <f>IF(G$3="","",IF(COUNTIFS(BD!$A$3:$A$5001,G$3,BD!$B$3:$B$5001,$A$127,BD!$E$3:$E$5001,"&lt;&gt;")=0,"",SUMIFS(BD!$E$3:$E$5001,BD!$A$3:$A$5001,G$3,BD!$B$3:$B$5001,$A$127)))</f>
        <v/>
      </c>
      <c r="H129" s="183" t="str">
        <f>IF(H$3="","",IF(COUNTIFS(BD!$A$3:$A$5001,H$3,BD!$B$3:$B$5001,$A$127,BD!$E$3:$E$5001,"&lt;&gt;")=0,"",SUMIFS(BD!$E$3:$E$5001,BD!$A$3:$A$5001,H$3,BD!$B$3:$B$5001,$A$127)))</f>
        <v/>
      </c>
      <c r="I129" s="183" t="str">
        <f>IF(I$3="","",IF(COUNTIFS(BD!$A$3:$A$5001,I$3,BD!$B$3:$B$5001,$A$127,BD!$E$3:$E$5001,"&lt;&gt;")=0,"",SUMIFS(BD!$E$3:$E$5001,BD!$A$3:$A$5001,I$3,BD!$B$3:$B$5001,$A$127)))</f>
        <v/>
      </c>
      <c r="J129" s="183" t="str">
        <f>IF(J$3="","",IF(COUNTIFS(BD!$A$3:$A$5001,J$3,BD!$B$3:$B$5001,$A$127,BD!$E$3:$E$5001,"&lt;&gt;")=0,"",SUMIFS(BD!$E$3:$E$5001,BD!$A$3:$A$5001,J$3,BD!$B$3:$B$5001,$A$127)))</f>
        <v/>
      </c>
      <c r="K129" s="183" t="str">
        <f>IF(K$3="","",IF(COUNTIFS(BD!$A$3:$A$5001,K$3,BD!$B$3:$B$5001,$A$127,BD!$E$3:$E$5001,"&lt;&gt;")=0,"",SUMIFS(BD!$E$3:$E$5001,BD!$A$3:$A$5001,K$3,BD!$B$3:$B$5001,$A$127)))</f>
        <v/>
      </c>
      <c r="L129" s="183" t="str">
        <f>IF(L$3="","",IF(COUNTIFS(BD!$A$3:$A$5001,L$3,BD!$B$3:$B$5001,$A$127,BD!$E$3:$E$5001,"&lt;&gt;")=0,"",SUMIFS(BD!$E$3:$E$5001,BD!$A$3:$A$5001,L$3,BD!$B$3:$B$5001,$A$127)))</f>
        <v/>
      </c>
      <c r="M129" s="183" t="str">
        <f>IF(M$3="","",IF(COUNTIFS(BD!$A$3:$A$5001,M$3,BD!$B$3:$B$5001,$A$127,BD!$E$3:$E$5001,"&lt;&gt;")=0,"",SUMIFS(BD!$E$3:$E$5001,BD!$A$3:$A$5001,M$3,BD!$B$3:$B$5001,$A$127)))</f>
        <v/>
      </c>
      <c r="N129" s="183" t="str">
        <f>IF(N$3="","",IF(COUNTIFS(BD!$A$3:$A$5001,N$3,BD!$B$3:$B$5001,$A$127,BD!$E$3:$E$5001,"&lt;&gt;")=0,"",SUMIFS(BD!$E$3:$E$5001,BD!$A$3:$A$5001,N$3,BD!$B$3:$B$5001,$A$127)))</f>
        <v/>
      </c>
      <c r="O129" s="183" t="str">
        <f>IF(O$3="","",IF(COUNTIFS(BD!$A$3:$A$5001,O$3,BD!$B$3:$B$5001,$A$127,BD!$E$3:$E$5001,"&lt;&gt;")=0,"",SUMIFS(BD!$E$3:$E$5001,BD!$A$3:$A$5001,O$3,BD!$B$3:$B$5001,$A$127)))</f>
        <v/>
      </c>
      <c r="P129" s="183" t="str">
        <f>IF(P$3="","",IF(COUNTIFS(BD!$A$3:$A$5001,P$3,BD!$B$3:$B$5001,$A$127,BD!$E$3:$E$5001,"&lt;&gt;")=0,"",SUMIFS(BD!$E$3:$E$5001,BD!$A$3:$A$5001,P$3,BD!$B$3:$B$5001,$A$127)))</f>
        <v/>
      </c>
      <c r="Q129" s="183" t="str">
        <f>IF(Q$3="","",IF(COUNTIFS(BD!$A$3:$A$5001,Q$3,BD!$B$3:$B$5001,$A$127,BD!$E$3:$E$5001,"&lt;&gt;")=0,"",SUMIFS(BD!$E$3:$E$5001,BD!$A$3:$A$5001,Q$3,BD!$B$3:$B$5001,$A$127)))</f>
        <v/>
      </c>
      <c r="R129" s="183" t="str">
        <f>IF(R$3="","",IF(COUNTIFS(BD!$A$3:$A$5001,R$3,BD!$B$3:$B$5001,$A$127,BD!$E$3:$E$5001,"&lt;&gt;")=0,"",SUMIFS(BD!$E$3:$E$5001,BD!$A$3:$A$5001,R$3,BD!$B$3:$B$5001,$A$127)))</f>
        <v/>
      </c>
      <c r="S129" s="183" t="str">
        <f>IF(S$3="","",IF(COUNTIFS(BD!$A$3:$A$5001,S$3,BD!$B$3:$B$5001,$A$127,BD!$E$3:$E$5001,"&lt;&gt;")=0,"",SUMIFS(BD!$E$3:$E$5001,BD!$A$3:$A$5001,S$3,BD!$B$3:$B$5001,$A$127)))</f>
        <v/>
      </c>
      <c r="T129" s="183" t="str">
        <f>IF(T$3="","",IF(COUNTIFS(BD!$A$3:$A$5001,T$3,BD!$B$3:$B$5001,$A$127,BD!$E$3:$E$5001,"&lt;&gt;")=0,"",SUMIFS(BD!$E$3:$E$5001,BD!$A$3:$A$5001,T$3,BD!$B$3:$B$5001,$A$127)))</f>
        <v/>
      </c>
      <c r="U129" s="183" t="str">
        <f>IF(U$3="","",IF(COUNTIFS(BD!$A$3:$A$5001,U$3,BD!$B$3:$B$5001,$A$127,BD!$E$3:$E$5001,"&lt;&gt;")=0,"",SUMIFS(BD!$E$3:$E$5001,BD!$A$3:$A$5001,U$3,BD!$B$3:$B$5001,$A$127)))</f>
        <v/>
      </c>
      <c r="V129" s="183" t="str">
        <f>IF(V$3="","",IF(COUNTIFS(BD!$A$3:$A$5001,V$3,BD!$B$3:$B$5001,$A$127,BD!$E$3:$E$5001,"&lt;&gt;")=0,"",SUMIFS(BD!$E$3:$E$5001,BD!$A$3:$A$5001,V$3,BD!$B$3:$B$5001,$A$127)))</f>
        <v/>
      </c>
      <c r="W129" s="183" t="str">
        <f>IF(W$3="","",IF(COUNTIFS(BD!$A$3:$A$5001,W$3,BD!$B$3:$B$5001,$A$127,BD!$E$3:$E$5001,"&lt;&gt;")=0,"",SUMIFS(BD!$E$3:$E$5001,BD!$A$3:$A$5001,W$3,BD!$B$3:$B$5001,$A$127)))</f>
        <v/>
      </c>
      <c r="X129" s="183" t="str">
        <f>IF(X$3="","",IF(COUNTIFS(BD!$A$3:$A$5001,X$3,BD!$B$3:$B$5001,$A$127,BD!$E$3:$E$5001,"&lt;&gt;")=0,"",SUMIFS(BD!$E$3:$E$5001,BD!$A$3:$A$5001,X$3,BD!$B$3:$B$5001,$A$127)))</f>
        <v/>
      </c>
      <c r="Y129" s="183" t="str">
        <f>IF(Y$3="","",IF(COUNTIFS(BD!$A$3:$A$5001,Y$3,BD!$B$3:$B$5001,$A$127,BD!$E$3:$E$5001,"&lt;&gt;")=0,"",SUMIFS(BD!$E$3:$E$5001,BD!$A$3:$A$5001,Y$3,BD!$B$3:$B$5001,$A$127)))</f>
        <v/>
      </c>
      <c r="Z129" s="183" t="str">
        <f>IF(Z$3="","",IF(COUNTIFS(BD!$A$3:$A$5001,Z$3,BD!$B$3:$B$5001,$A$127,BD!$E$3:$E$5001,"&lt;&gt;")=0,"",SUMIFS(BD!$E$3:$E$5001,BD!$A$3:$A$5001,Z$3,BD!$B$3:$B$5001,$A$127)))</f>
        <v/>
      </c>
      <c r="AA129" s="183" t="str">
        <f>IF(AA$3="","",IF(COUNTIFS(BD!$A$3:$A$5001,AA$3,BD!$B$3:$B$5001,$A$127,BD!$E$3:$E$5001,"&lt;&gt;")=0,"",SUMIFS(BD!$E$3:$E$5001,BD!$A$3:$A$5001,AA$3,BD!$B$3:$B$5001,$A$127)))</f>
        <v/>
      </c>
      <c r="AB129" s="183" t="str">
        <f>IF(AB$3="","",IF(COUNTIFS(BD!$A$3:$A$5001,AB$3,BD!$B$3:$B$5001,$A$127,BD!$E$3:$E$5001,"&lt;&gt;")=0,"",SUMIFS(BD!$E$3:$E$5001,BD!$A$3:$A$5001,AB$3,BD!$B$3:$B$5001,$A$127)))</f>
        <v/>
      </c>
      <c r="AC129" s="183" t="str">
        <f>IF(AC$3="","",IF(COUNTIFS(BD!$A$3:$A$5001,AC$3,BD!$B$3:$B$5001,$A$127,BD!$E$3:$E$5001,"&lt;&gt;")=0,"",SUMIFS(BD!$E$3:$E$5001,BD!$A$3:$A$5001,AC$3,BD!$B$3:$B$5001,$A$127)))</f>
        <v/>
      </c>
      <c r="AD129" s="183" t="str">
        <f>IF(AD$3="","",IF(COUNTIFS(BD!$A$3:$A$5001,AD$3,BD!$B$3:$B$5001,$A$127,BD!$E$3:$E$5001,"&lt;&gt;")=0,"",SUMIFS(BD!$E$3:$E$5001,BD!$A$3:$A$5001,AD$3,BD!$B$3:$B$5001,$A$127)))</f>
        <v/>
      </c>
      <c r="AE129" s="183" t="str">
        <f>IF(AE$3="","",IF(COUNTIFS(BD!$A$3:$A$5001,AE$3,BD!$B$3:$B$5001,$A$127,BD!$E$3:$E$5001,"&lt;&gt;")=0,"",SUMIFS(BD!$E$3:$E$5001,BD!$A$3:$A$5001,AE$3,BD!$B$3:$B$5001,$A$127)))</f>
        <v/>
      </c>
      <c r="AF129" s="183" t="str">
        <f>IF(AF$3="","",IF(COUNTIFS(BD!$A$3:$A$5001,AF$3,BD!$B$3:$B$5001,$A$127,BD!$E$3:$E$5001,"&lt;&gt;")=0,"",SUMIFS(BD!$E$3:$E$5001,BD!$A$3:$A$5001,AF$3,BD!$B$3:$B$5001,$A$127)))</f>
        <v/>
      </c>
      <c r="AG129" s="183" t="str">
        <f>IF(AG$3="","",IF(COUNTIFS(BD!$A$3:$A$5001,AG$3,BD!$B$3:$B$5001,$A$127,BD!$E$3:$E$5001,"&lt;&gt;")=0,"",SUMIFS(BD!$E$3:$E$5001,BD!$A$3:$A$5001,AG$3,BD!$B$3:$B$5001,$A$127)))</f>
        <v/>
      </c>
      <c r="AH129" s="183" t="str">
        <f>IF(AH$3="","",IF(COUNTIFS(BD!$A$3:$A$5001,AH$3,BD!$B$3:$B$5001,$A$127,BD!$E$3:$E$5001,"&lt;&gt;")=0,"",SUMIFS(BD!$E$3:$E$5001,BD!$A$3:$A$5001,AH$3,BD!$B$3:$B$5001,$A$127)))</f>
        <v/>
      </c>
      <c r="AI129" s="183" t="str">
        <f>IF(AI$3="","",IF(COUNTIFS(BD!$A$3:$A$5001,AI$3,BD!$B$3:$B$5001,$A$127,BD!$E$3:$E$5001,"&lt;&gt;")=0,"",SUMIFS(BD!$E$3:$E$5001,BD!$A$3:$A$5001,AI$3,BD!$B$3:$B$5001,$A$127)))</f>
        <v/>
      </c>
      <c r="AJ129" s="184" t="str">
        <f>IF(AJ$3="","",IF(COUNTIFS(BD!$A$3:$A$5001,AJ$3,BD!$B$3:$B$5001,$A$127,BD!$E$3:$E$5001,"&lt;&gt;")=0,"",SUMIFS(BD!$E$3:$E$5001,BD!$A$3:$A$5001,AJ$3,BD!$B$3:$B$5001,$A$127)))</f>
        <v/>
      </c>
      <c r="AK129" s="185" t="str">
        <f>IF(COUNT(F129:AJ129)=0,"",SUM(F129:AJ129))</f>
        <v/>
      </c>
    </row>
    <row r="130" ht="15.75" customHeight="1" hidden="1">
      <c r="A130" s="277"/>
      <c r="B130" s="265"/>
      <c r="C130" s="175" t="inlineStr">
        <is>
          <t xml:space="preserve">Caixas Recebidas</t>
        </is>
      </c>
      <c r="D130" s="176" t="str">
        <f>IFERROR(1/(1/INDEX(BD!$AF$26:$AZ$26,MATCH($A$127,BD!$AF$22:$AZ$22,0))),"")</f>
        <v/>
      </c>
      <c r="E130" s="177"/>
      <c r="F130" s="178" t="str">
        <f>IF(F$3="","",IF(COUNTIFS(BD!$A$3:$A$5001,F$3,BD!$B$3:$B$5001,$A$127,BD!$F$3:$F$5001,"&lt;&gt;")=0,"",SUMIFS(BD!$F$3:$F$5001,BD!$A$3:$A$5001,F$3,BD!$B$3:$B$5001,$A$127)))</f>
        <v/>
      </c>
      <c r="G130" s="179" t="str">
        <f>IF(G$3="","",IF(COUNTIFS(BD!$A$3:$A$5001,G$3,BD!$B$3:$B$5001,$A$127,BD!$F$3:$F$5001,"&lt;&gt;")=0,"",SUMIFS(BD!$F$3:$F$5001,BD!$A$3:$A$5001,G$3,BD!$B$3:$B$5001,$A$127)))</f>
        <v/>
      </c>
      <c r="H130" s="179" t="str">
        <f>IF(H$3="","",IF(COUNTIFS(BD!$A$3:$A$5001,H$3,BD!$B$3:$B$5001,$A$127,BD!$F$3:$F$5001,"&lt;&gt;")=0,"",SUMIFS(BD!$F$3:$F$5001,BD!$A$3:$A$5001,H$3,BD!$B$3:$B$5001,$A$127)))</f>
        <v/>
      </c>
      <c r="I130" s="179" t="str">
        <f>IF(I$3="","",IF(COUNTIFS(BD!$A$3:$A$5001,I$3,BD!$B$3:$B$5001,$A$127,BD!$F$3:$F$5001,"&lt;&gt;")=0,"",SUMIFS(BD!$F$3:$F$5001,BD!$A$3:$A$5001,I$3,BD!$B$3:$B$5001,$A$127)))</f>
        <v/>
      </c>
      <c r="J130" s="179" t="str">
        <f>IF(J$3="","",IF(COUNTIFS(BD!$A$3:$A$5001,J$3,BD!$B$3:$B$5001,$A$127,BD!$F$3:$F$5001,"&lt;&gt;")=0,"",SUMIFS(BD!$F$3:$F$5001,BD!$A$3:$A$5001,J$3,BD!$B$3:$B$5001,$A$127)))</f>
        <v/>
      </c>
      <c r="K130" s="179" t="str">
        <f>IF(K$3="","",IF(COUNTIFS(BD!$A$3:$A$5001,K$3,BD!$B$3:$B$5001,$A$127,BD!$F$3:$F$5001,"&lt;&gt;")=0,"",SUMIFS(BD!$F$3:$F$5001,BD!$A$3:$A$5001,K$3,BD!$B$3:$B$5001,$A$127)))</f>
        <v/>
      </c>
      <c r="L130" s="179" t="str">
        <f>IF(L$3="","",IF(COUNTIFS(BD!$A$3:$A$5001,L$3,BD!$B$3:$B$5001,$A$127,BD!$F$3:$F$5001,"&lt;&gt;")=0,"",SUMIFS(BD!$F$3:$F$5001,BD!$A$3:$A$5001,L$3,BD!$B$3:$B$5001,$A$127)))</f>
        <v/>
      </c>
      <c r="M130" s="179" t="str">
        <f>IF(M$3="","",IF(COUNTIFS(BD!$A$3:$A$5001,M$3,BD!$B$3:$B$5001,$A$127,BD!$F$3:$F$5001,"&lt;&gt;")=0,"",SUMIFS(BD!$F$3:$F$5001,BD!$A$3:$A$5001,M$3,BD!$B$3:$B$5001,$A$127)))</f>
        <v/>
      </c>
      <c r="N130" s="179" t="str">
        <f>IF(N$3="","",IF(COUNTIFS(BD!$A$3:$A$5001,N$3,BD!$B$3:$B$5001,$A$127,BD!$F$3:$F$5001,"&lt;&gt;")=0,"",SUMIFS(BD!$F$3:$F$5001,BD!$A$3:$A$5001,N$3,BD!$B$3:$B$5001,$A$127)))</f>
        <v/>
      </c>
      <c r="O130" s="179" t="str">
        <f>IF(O$3="","",IF(COUNTIFS(BD!$A$3:$A$5001,O$3,BD!$B$3:$B$5001,$A$127,BD!$F$3:$F$5001,"&lt;&gt;")=0,"",SUMIFS(BD!$F$3:$F$5001,BD!$A$3:$A$5001,O$3,BD!$B$3:$B$5001,$A$127)))</f>
        <v/>
      </c>
      <c r="P130" s="179" t="str">
        <f>IF(P$3="","",IF(COUNTIFS(BD!$A$3:$A$5001,P$3,BD!$B$3:$B$5001,$A$127,BD!$F$3:$F$5001,"&lt;&gt;")=0,"",SUMIFS(BD!$F$3:$F$5001,BD!$A$3:$A$5001,P$3,BD!$B$3:$B$5001,$A$127)))</f>
        <v/>
      </c>
      <c r="Q130" s="179" t="str">
        <f>IF(Q$3="","",IF(COUNTIFS(BD!$A$3:$A$5001,Q$3,BD!$B$3:$B$5001,$A$127,BD!$F$3:$F$5001,"&lt;&gt;")=0,"",SUMIFS(BD!$F$3:$F$5001,BD!$A$3:$A$5001,Q$3,BD!$B$3:$B$5001,$A$127)))</f>
        <v/>
      </c>
      <c r="R130" s="179" t="str">
        <f>IF(R$3="","",IF(COUNTIFS(BD!$A$3:$A$5001,R$3,BD!$B$3:$B$5001,$A$127,BD!$F$3:$F$5001,"&lt;&gt;")=0,"",SUMIFS(BD!$F$3:$F$5001,BD!$A$3:$A$5001,R$3,BD!$B$3:$B$5001,$A$127)))</f>
        <v/>
      </c>
      <c r="S130" s="179" t="str">
        <f>IF(S$3="","",IF(COUNTIFS(BD!$A$3:$A$5001,S$3,BD!$B$3:$B$5001,$A$127,BD!$F$3:$F$5001,"&lt;&gt;")=0,"",SUMIFS(BD!$F$3:$F$5001,BD!$A$3:$A$5001,S$3,BD!$B$3:$B$5001,$A$127)))</f>
        <v/>
      </c>
      <c r="T130" s="179" t="str">
        <f>IF(T$3="","",IF(COUNTIFS(BD!$A$3:$A$5001,T$3,BD!$B$3:$B$5001,$A$127,BD!$F$3:$F$5001,"&lt;&gt;")=0,"",SUMIFS(BD!$F$3:$F$5001,BD!$A$3:$A$5001,T$3,BD!$B$3:$B$5001,$A$127)))</f>
        <v/>
      </c>
      <c r="U130" s="179" t="str">
        <f>IF(U$3="","",IF(COUNTIFS(BD!$A$3:$A$5001,U$3,BD!$B$3:$B$5001,$A$127,BD!$F$3:$F$5001,"&lt;&gt;")=0,"",SUMIFS(BD!$F$3:$F$5001,BD!$A$3:$A$5001,U$3,BD!$B$3:$B$5001,$A$127)))</f>
        <v/>
      </c>
      <c r="V130" s="179" t="str">
        <f>IF(V$3="","",IF(COUNTIFS(BD!$A$3:$A$5001,V$3,BD!$B$3:$B$5001,$A$127,BD!$F$3:$F$5001,"&lt;&gt;")=0,"",SUMIFS(BD!$F$3:$F$5001,BD!$A$3:$A$5001,V$3,BD!$B$3:$B$5001,$A$127)))</f>
        <v/>
      </c>
      <c r="W130" s="179" t="str">
        <f>IF(W$3="","",IF(COUNTIFS(BD!$A$3:$A$5001,W$3,BD!$B$3:$B$5001,$A$127,BD!$F$3:$F$5001,"&lt;&gt;")=0,"",SUMIFS(BD!$F$3:$F$5001,BD!$A$3:$A$5001,W$3,BD!$B$3:$B$5001,$A$127)))</f>
        <v/>
      </c>
      <c r="X130" s="179" t="str">
        <f>IF(X$3="","",IF(COUNTIFS(BD!$A$3:$A$5001,X$3,BD!$B$3:$B$5001,$A$127,BD!$F$3:$F$5001,"&lt;&gt;")=0,"",SUMIFS(BD!$F$3:$F$5001,BD!$A$3:$A$5001,X$3,BD!$B$3:$B$5001,$A$127)))</f>
        <v/>
      </c>
      <c r="Y130" s="179" t="str">
        <f>IF(Y$3="","",IF(COUNTIFS(BD!$A$3:$A$5001,Y$3,BD!$B$3:$B$5001,$A$127,BD!$F$3:$F$5001,"&lt;&gt;")=0,"",SUMIFS(BD!$F$3:$F$5001,BD!$A$3:$A$5001,Y$3,BD!$B$3:$B$5001,$A$127)))</f>
        <v/>
      </c>
      <c r="Z130" s="179" t="str">
        <f>IF(Z$3="","",IF(COUNTIFS(BD!$A$3:$A$5001,Z$3,BD!$B$3:$B$5001,$A$127,BD!$F$3:$F$5001,"&lt;&gt;")=0,"",SUMIFS(BD!$F$3:$F$5001,BD!$A$3:$A$5001,Z$3,BD!$B$3:$B$5001,$A$127)))</f>
        <v/>
      </c>
      <c r="AA130" s="179" t="str">
        <f>IF(AA$3="","",IF(COUNTIFS(BD!$A$3:$A$5001,AA$3,BD!$B$3:$B$5001,$A$127,BD!$F$3:$F$5001,"&lt;&gt;")=0,"",SUMIFS(BD!$F$3:$F$5001,BD!$A$3:$A$5001,AA$3,BD!$B$3:$B$5001,$A$127)))</f>
        <v/>
      </c>
      <c r="AB130" s="179" t="str">
        <f>IF(AB$3="","",IF(COUNTIFS(BD!$A$3:$A$5001,AB$3,BD!$B$3:$B$5001,$A$127,BD!$F$3:$F$5001,"&lt;&gt;")=0,"",SUMIFS(BD!$F$3:$F$5001,BD!$A$3:$A$5001,AB$3,BD!$B$3:$B$5001,$A$127)))</f>
        <v/>
      </c>
      <c r="AC130" s="179" t="str">
        <f>IF(AC$3="","",IF(COUNTIFS(BD!$A$3:$A$5001,AC$3,BD!$B$3:$B$5001,$A$127,BD!$F$3:$F$5001,"&lt;&gt;")=0,"",SUMIFS(BD!$F$3:$F$5001,BD!$A$3:$A$5001,AC$3,BD!$B$3:$B$5001,$A$127)))</f>
        <v/>
      </c>
      <c r="AD130" s="179" t="str">
        <f>IF(AD$3="","",IF(COUNTIFS(BD!$A$3:$A$5001,AD$3,BD!$B$3:$B$5001,$A$127,BD!$F$3:$F$5001,"&lt;&gt;")=0,"",SUMIFS(BD!$F$3:$F$5001,BD!$A$3:$A$5001,AD$3,BD!$B$3:$B$5001,$A$127)))</f>
        <v/>
      </c>
      <c r="AE130" s="179" t="str">
        <f>IF(AE$3="","",IF(COUNTIFS(BD!$A$3:$A$5001,AE$3,BD!$B$3:$B$5001,$A$127,BD!$F$3:$F$5001,"&lt;&gt;")=0,"",SUMIFS(BD!$F$3:$F$5001,BD!$A$3:$A$5001,AE$3,BD!$B$3:$B$5001,$A$127)))</f>
        <v/>
      </c>
      <c r="AF130" s="179" t="str">
        <f>IF(AF$3="","",IF(COUNTIFS(BD!$A$3:$A$5001,AF$3,BD!$B$3:$B$5001,$A$127,BD!$F$3:$F$5001,"&lt;&gt;")=0,"",SUMIFS(BD!$F$3:$F$5001,BD!$A$3:$A$5001,AF$3,BD!$B$3:$B$5001,$A$127)))</f>
        <v/>
      </c>
      <c r="AG130" s="179" t="str">
        <f>IF(AG$3="","",IF(COUNTIFS(BD!$A$3:$A$5001,AG$3,BD!$B$3:$B$5001,$A$127,BD!$F$3:$F$5001,"&lt;&gt;")=0,"",SUMIFS(BD!$F$3:$F$5001,BD!$A$3:$A$5001,AG$3,BD!$B$3:$B$5001,$A$127)))</f>
        <v/>
      </c>
      <c r="AH130" s="179" t="str">
        <f>IF(AH$3="","",IF(COUNTIFS(BD!$A$3:$A$5001,AH$3,BD!$B$3:$B$5001,$A$127,BD!$F$3:$F$5001,"&lt;&gt;")=0,"",SUMIFS(BD!$F$3:$F$5001,BD!$A$3:$A$5001,AH$3,BD!$B$3:$B$5001,$A$127)))</f>
        <v/>
      </c>
      <c r="AI130" s="179" t="str">
        <f>IF(AI$3="","",IF(COUNTIFS(BD!$A$3:$A$5001,AI$3,BD!$B$3:$B$5001,$A$127,BD!$F$3:$F$5001,"&lt;&gt;")=0,"",SUMIFS(BD!$F$3:$F$5001,BD!$A$3:$A$5001,AI$3,BD!$B$3:$B$5001,$A$127)))</f>
        <v/>
      </c>
      <c r="AJ130" s="180" t="str">
        <f>IF(AJ$3="","",IF(COUNTIFS(BD!$A$3:$A$5001,AJ$3,BD!$B$3:$B$5001,$A$127,BD!$F$3:$F$5001,"&lt;&gt;")=0,"",SUMIFS(BD!$F$3:$F$5001,BD!$A$3:$A$5001,AJ$3,BD!$B$3:$B$5001,$A$127)))</f>
        <v/>
      </c>
      <c r="AK130" s="181" t="str">
        <f>IF(COUNT(F130:AJ130)=0,"",SUM(F130:AJ130))</f>
        <v/>
      </c>
    </row>
    <row r="131" ht="15.75" customHeight="1" hidden="1">
      <c r="A131" s="277"/>
      <c r="B131" s="266"/>
      <c r="C131" s="186" t="inlineStr">
        <is>
          <t xml:space="preserve">Bags Recebidos</t>
        </is>
      </c>
      <c r="D131" s="187" t="str">
        <f>IFERROR(1/(1/INDEX(BD!$AF$27:$AZ$27,MATCH($A$127,BD!$AF$22:$AZ$22,0))),"")</f>
        <v/>
      </c>
      <c r="E131" s="188"/>
      <c r="F131" s="189" t="str">
        <f>IF(F$3="","",IF(COUNTIFS(BD!$A$3:$A$5001,F$3,BD!$B$3:$B$5001,$A$127,BD!$G$3:$G$5001,"&lt;&gt;")=0,"",SUMIFS(BD!$G$3:$G$5001,BD!$A$3:$A$5001,F$3,BD!$B$3:$B$5001,$A$127)))</f>
        <v/>
      </c>
      <c r="G131" s="190" t="str">
        <f>IF(G$3="","",IF(COUNTIFS(BD!$A$3:$A$5001,G$3,BD!$B$3:$B$5001,$A$127,BD!$G$3:$G$5001,"&lt;&gt;")=0,"",SUMIFS(BD!$G$3:$G$5001,BD!$A$3:$A$5001,G$3,BD!$B$3:$B$5001,$A$127)))</f>
        <v/>
      </c>
      <c r="H131" s="190" t="str">
        <f>IF(H$3="","",IF(COUNTIFS(BD!$A$3:$A$5001,H$3,BD!$B$3:$B$5001,$A$127,BD!$G$3:$G$5001,"&lt;&gt;")=0,"",SUMIFS(BD!$G$3:$G$5001,BD!$A$3:$A$5001,H$3,BD!$B$3:$B$5001,$A$127)))</f>
        <v/>
      </c>
      <c r="I131" s="190" t="str">
        <f>IF(I$3="","",IF(COUNTIFS(BD!$A$3:$A$5001,I$3,BD!$B$3:$B$5001,$A$127,BD!$G$3:$G$5001,"&lt;&gt;")=0,"",SUMIFS(BD!$G$3:$G$5001,BD!$A$3:$A$5001,I$3,BD!$B$3:$B$5001,$A$127)))</f>
        <v/>
      </c>
      <c r="J131" s="190" t="str">
        <f>IF(J$3="","",IF(COUNTIFS(BD!$A$3:$A$5001,J$3,BD!$B$3:$B$5001,$A$127,BD!$G$3:$G$5001,"&lt;&gt;")=0,"",SUMIFS(BD!$G$3:$G$5001,BD!$A$3:$A$5001,J$3,BD!$B$3:$B$5001,$A$127)))</f>
        <v/>
      </c>
      <c r="K131" s="190" t="str">
        <f>IF(K$3="","",IF(COUNTIFS(BD!$A$3:$A$5001,K$3,BD!$B$3:$B$5001,$A$127,BD!$G$3:$G$5001,"&lt;&gt;")=0,"",SUMIFS(BD!$G$3:$G$5001,BD!$A$3:$A$5001,K$3,BD!$B$3:$B$5001,$A$127)))</f>
        <v/>
      </c>
      <c r="L131" s="190" t="str">
        <f>IF(L$3="","",IF(COUNTIFS(BD!$A$3:$A$5001,L$3,BD!$B$3:$B$5001,$A$127,BD!$G$3:$G$5001,"&lt;&gt;")=0,"",SUMIFS(BD!$G$3:$G$5001,BD!$A$3:$A$5001,L$3,BD!$B$3:$B$5001,$A$127)))</f>
        <v/>
      </c>
      <c r="M131" s="190" t="str">
        <f>IF(M$3="","",IF(COUNTIFS(BD!$A$3:$A$5001,M$3,BD!$B$3:$B$5001,$A$127,BD!$G$3:$G$5001,"&lt;&gt;")=0,"",SUMIFS(BD!$G$3:$G$5001,BD!$A$3:$A$5001,M$3,BD!$B$3:$B$5001,$A$127)))</f>
        <v/>
      </c>
      <c r="N131" s="190" t="str">
        <f>IF(N$3="","",IF(COUNTIFS(BD!$A$3:$A$5001,N$3,BD!$B$3:$B$5001,$A$127,BD!$G$3:$G$5001,"&lt;&gt;")=0,"",SUMIFS(BD!$G$3:$G$5001,BD!$A$3:$A$5001,N$3,BD!$B$3:$B$5001,$A$127)))</f>
        <v/>
      </c>
      <c r="O131" s="190" t="str">
        <f>IF(O$3="","",IF(COUNTIFS(BD!$A$3:$A$5001,O$3,BD!$B$3:$B$5001,$A$127,BD!$G$3:$G$5001,"&lt;&gt;")=0,"",SUMIFS(BD!$G$3:$G$5001,BD!$A$3:$A$5001,O$3,BD!$B$3:$B$5001,$A$127)))</f>
        <v/>
      </c>
      <c r="P131" s="190" t="str">
        <f>IF(P$3="","",IF(COUNTIFS(BD!$A$3:$A$5001,P$3,BD!$B$3:$B$5001,$A$127,BD!$G$3:$G$5001,"&lt;&gt;")=0,"",SUMIFS(BD!$G$3:$G$5001,BD!$A$3:$A$5001,P$3,BD!$B$3:$B$5001,$A$127)))</f>
        <v/>
      </c>
      <c r="Q131" s="190" t="str">
        <f>IF(Q$3="","",IF(COUNTIFS(BD!$A$3:$A$5001,Q$3,BD!$B$3:$B$5001,$A$127,BD!$G$3:$G$5001,"&lt;&gt;")=0,"",SUMIFS(BD!$G$3:$G$5001,BD!$A$3:$A$5001,Q$3,BD!$B$3:$B$5001,$A$127)))</f>
        <v/>
      </c>
      <c r="R131" s="190" t="str">
        <f>IF(R$3="","",IF(COUNTIFS(BD!$A$3:$A$5001,R$3,BD!$B$3:$B$5001,$A$127,BD!$G$3:$G$5001,"&lt;&gt;")=0,"",SUMIFS(BD!$G$3:$G$5001,BD!$A$3:$A$5001,R$3,BD!$B$3:$B$5001,$A$127)))</f>
        <v/>
      </c>
      <c r="S131" s="190" t="str">
        <f>IF(S$3="","",IF(COUNTIFS(BD!$A$3:$A$5001,S$3,BD!$B$3:$B$5001,$A$127,BD!$G$3:$G$5001,"&lt;&gt;")=0,"",SUMIFS(BD!$G$3:$G$5001,BD!$A$3:$A$5001,S$3,BD!$B$3:$B$5001,$A$127)))</f>
        <v/>
      </c>
      <c r="T131" s="190" t="str">
        <f>IF(T$3="","",IF(COUNTIFS(BD!$A$3:$A$5001,T$3,BD!$B$3:$B$5001,$A$127,BD!$G$3:$G$5001,"&lt;&gt;")=0,"",SUMIFS(BD!$G$3:$G$5001,BD!$A$3:$A$5001,T$3,BD!$B$3:$B$5001,$A$127)))</f>
        <v/>
      </c>
      <c r="U131" s="190" t="str">
        <f>IF(U$3="","",IF(COUNTIFS(BD!$A$3:$A$5001,U$3,BD!$B$3:$B$5001,$A$127,BD!$G$3:$G$5001,"&lt;&gt;")=0,"",SUMIFS(BD!$G$3:$G$5001,BD!$A$3:$A$5001,U$3,BD!$B$3:$B$5001,$A$127)))</f>
        <v/>
      </c>
      <c r="V131" s="190" t="str">
        <f>IF(V$3="","",IF(COUNTIFS(BD!$A$3:$A$5001,V$3,BD!$B$3:$B$5001,$A$127,BD!$G$3:$G$5001,"&lt;&gt;")=0,"",SUMIFS(BD!$G$3:$G$5001,BD!$A$3:$A$5001,V$3,BD!$B$3:$B$5001,$A$127)))</f>
        <v/>
      </c>
      <c r="W131" s="190" t="str">
        <f>IF(W$3="","",IF(COUNTIFS(BD!$A$3:$A$5001,W$3,BD!$B$3:$B$5001,$A$127,BD!$G$3:$G$5001,"&lt;&gt;")=0,"",SUMIFS(BD!$G$3:$G$5001,BD!$A$3:$A$5001,W$3,BD!$B$3:$B$5001,$A$127)))</f>
        <v/>
      </c>
      <c r="X131" s="190" t="str">
        <f>IF(X$3="","",IF(COUNTIFS(BD!$A$3:$A$5001,X$3,BD!$B$3:$B$5001,$A$127,BD!$G$3:$G$5001,"&lt;&gt;")=0,"",SUMIFS(BD!$G$3:$G$5001,BD!$A$3:$A$5001,X$3,BD!$B$3:$B$5001,$A$127)))</f>
        <v/>
      </c>
      <c r="Y131" s="190" t="str">
        <f>IF(Y$3="","",IF(COUNTIFS(BD!$A$3:$A$5001,Y$3,BD!$B$3:$B$5001,$A$127,BD!$G$3:$G$5001,"&lt;&gt;")=0,"",SUMIFS(BD!$G$3:$G$5001,BD!$A$3:$A$5001,Y$3,BD!$B$3:$B$5001,$A$127)))</f>
        <v/>
      </c>
      <c r="Z131" s="190" t="str">
        <f>IF(Z$3="","",IF(COUNTIFS(BD!$A$3:$A$5001,Z$3,BD!$B$3:$B$5001,$A$127,BD!$G$3:$G$5001,"&lt;&gt;")=0,"",SUMIFS(BD!$G$3:$G$5001,BD!$A$3:$A$5001,Z$3,BD!$B$3:$B$5001,$A$127)))</f>
        <v/>
      </c>
      <c r="AA131" s="190" t="str">
        <f>IF(AA$3="","",IF(COUNTIFS(BD!$A$3:$A$5001,AA$3,BD!$B$3:$B$5001,$A$127,BD!$G$3:$G$5001,"&lt;&gt;")=0,"",SUMIFS(BD!$G$3:$G$5001,BD!$A$3:$A$5001,AA$3,BD!$B$3:$B$5001,$A$127)))</f>
        <v/>
      </c>
      <c r="AB131" s="190" t="str">
        <f>IF(AB$3="","",IF(COUNTIFS(BD!$A$3:$A$5001,AB$3,BD!$B$3:$B$5001,$A$127,BD!$G$3:$G$5001,"&lt;&gt;")=0,"",SUMIFS(BD!$G$3:$G$5001,BD!$A$3:$A$5001,AB$3,BD!$B$3:$B$5001,$A$127)))</f>
        <v/>
      </c>
      <c r="AC131" s="190" t="str">
        <f>IF(AC$3="","",IF(COUNTIFS(BD!$A$3:$A$5001,AC$3,BD!$B$3:$B$5001,$A$127,BD!$G$3:$G$5001,"&lt;&gt;")=0,"",SUMIFS(BD!$G$3:$G$5001,BD!$A$3:$A$5001,AC$3,BD!$B$3:$B$5001,$A$127)))</f>
        <v/>
      </c>
      <c r="AD131" s="190" t="str">
        <f>IF(AD$3="","",IF(COUNTIFS(BD!$A$3:$A$5001,AD$3,BD!$B$3:$B$5001,$A$127,BD!$G$3:$G$5001,"&lt;&gt;")=0,"",SUMIFS(BD!$G$3:$G$5001,BD!$A$3:$A$5001,AD$3,BD!$B$3:$B$5001,$A$127)))</f>
        <v/>
      </c>
      <c r="AE131" s="190" t="str">
        <f>IF(AE$3="","",IF(COUNTIFS(BD!$A$3:$A$5001,AE$3,BD!$B$3:$B$5001,$A$127,BD!$G$3:$G$5001,"&lt;&gt;")=0,"",SUMIFS(BD!$G$3:$G$5001,BD!$A$3:$A$5001,AE$3,BD!$B$3:$B$5001,$A$127)))</f>
        <v/>
      </c>
      <c r="AF131" s="190" t="str">
        <f>IF(AF$3="","",IF(COUNTIFS(BD!$A$3:$A$5001,AF$3,BD!$B$3:$B$5001,$A$127,BD!$G$3:$G$5001,"&lt;&gt;")=0,"",SUMIFS(BD!$G$3:$G$5001,BD!$A$3:$A$5001,AF$3,BD!$B$3:$B$5001,$A$127)))</f>
        <v/>
      </c>
      <c r="AG131" s="190" t="str">
        <f>IF(AG$3="","",IF(COUNTIFS(BD!$A$3:$A$5001,AG$3,BD!$B$3:$B$5001,$A$127,BD!$G$3:$G$5001,"&lt;&gt;")=0,"",SUMIFS(BD!$G$3:$G$5001,BD!$A$3:$A$5001,AG$3,BD!$B$3:$B$5001,$A$127)))</f>
        <v/>
      </c>
      <c r="AH131" s="190" t="str">
        <f>IF(AH$3="","",IF(COUNTIFS(BD!$A$3:$A$5001,AH$3,BD!$B$3:$B$5001,$A$127,BD!$G$3:$G$5001,"&lt;&gt;")=0,"",SUMIFS(BD!$G$3:$G$5001,BD!$A$3:$A$5001,AH$3,BD!$B$3:$B$5001,$A$127)))</f>
        <v/>
      </c>
      <c r="AI131" s="190" t="str">
        <f>IF(AI$3="","",IF(COUNTIFS(BD!$A$3:$A$5001,AI$3,BD!$B$3:$B$5001,$A$127,BD!$G$3:$G$5001,"&lt;&gt;")=0,"",SUMIFS(BD!$G$3:$G$5001,BD!$A$3:$A$5001,AI$3,BD!$B$3:$B$5001,$A$127)))</f>
        <v/>
      </c>
      <c r="AJ131" s="191" t="str">
        <f>IF(AJ$3="","",IF(COUNTIFS(BD!$A$3:$A$5001,AJ$3,BD!$B$3:$B$5001,$A$127,BD!$G$3:$G$5001,"&lt;&gt;")=0,"",SUMIFS(BD!$G$3:$G$5001,BD!$A$3:$A$5001,AJ$3,BD!$B$3:$B$5001,$A$127)))</f>
        <v/>
      </c>
      <c r="AK131" s="187" t="str">
        <f>IF(COUNT(F131:AJ131)=0,"",SUM(F131:AJ131))</f>
        <v/>
      </c>
    </row>
    <row r="132" ht="15.75" customHeight="1" hidden="1">
      <c r="A132" s="277"/>
      <c r="B132" s="267" t="inlineStr">
        <is>
          <t xml:space="preserve">OUT</t>
        </is>
      </c>
      <c r="C132" s="192" t="inlineStr">
        <is>
          <t xml:space="preserve">Veículos Expedidos</t>
        </is>
      </c>
      <c r="D132" s="193" t="str">
        <f>IFERROR(1/(1/INDEX(BD!$AF$28:$AZ$28,MATCH($A$127,BD!$AF$22:$AZ$22,0))),"")</f>
        <v/>
      </c>
      <c r="E132" s="194"/>
      <c r="F132" s="195" t="str">
        <f>IF(F$3="","",IF(COUNTIFS(BD!$A$3:$A$5001,F$3,BD!$B$3:$B$5001,$A$127,BD!$H$3:$H$5001,"&lt;&gt;")=0,"",SUMIFS(BD!$H$3:$H$5001,BD!$A$3:$A$5001,F$3,BD!$B$3:$B$5001,$A$127)))</f>
        <v/>
      </c>
      <c r="G132" s="196" t="str">
        <f>IF(G$3="","",IF(COUNTIFS(BD!$A$3:$A$5001,G$3,BD!$B$3:$B$5001,$A$127,BD!$H$3:$H$5001,"&lt;&gt;")=0,"",SUMIFS(BD!$H$3:$H$5001,BD!$A$3:$A$5001,G$3,BD!$B$3:$B$5001,$A$127)))</f>
        <v/>
      </c>
      <c r="H132" s="196" t="str">
        <f>IF(H$3="","",IF(COUNTIFS(BD!$A$3:$A$5001,H$3,BD!$B$3:$B$5001,$A$127,BD!$H$3:$H$5001,"&lt;&gt;")=0,"",SUMIFS(BD!$H$3:$H$5001,BD!$A$3:$A$5001,H$3,BD!$B$3:$B$5001,$A$127)))</f>
        <v/>
      </c>
      <c r="I132" s="196" t="str">
        <f>IF(I$3="","",IF(COUNTIFS(BD!$A$3:$A$5001,I$3,BD!$B$3:$B$5001,$A$127,BD!$H$3:$H$5001,"&lt;&gt;")=0,"",SUMIFS(BD!$H$3:$H$5001,BD!$A$3:$A$5001,I$3,BD!$B$3:$B$5001,$A$127)))</f>
        <v/>
      </c>
      <c r="J132" s="196" t="str">
        <f>IF(J$3="","",IF(COUNTIFS(BD!$A$3:$A$5001,J$3,BD!$B$3:$B$5001,$A$127,BD!$H$3:$H$5001,"&lt;&gt;")=0,"",SUMIFS(BD!$H$3:$H$5001,BD!$A$3:$A$5001,J$3,BD!$B$3:$B$5001,$A$127)))</f>
        <v/>
      </c>
      <c r="K132" s="196" t="str">
        <f>IF(K$3="","",IF(COUNTIFS(BD!$A$3:$A$5001,K$3,BD!$B$3:$B$5001,$A$127,BD!$H$3:$H$5001,"&lt;&gt;")=0,"",SUMIFS(BD!$H$3:$H$5001,BD!$A$3:$A$5001,K$3,BD!$B$3:$B$5001,$A$127)))</f>
        <v/>
      </c>
      <c r="L132" s="196" t="str">
        <f>IF(L$3="","",IF(COUNTIFS(BD!$A$3:$A$5001,L$3,BD!$B$3:$B$5001,$A$127,BD!$H$3:$H$5001,"&lt;&gt;")=0,"",SUMIFS(BD!$H$3:$H$5001,BD!$A$3:$A$5001,L$3,BD!$B$3:$B$5001,$A$127)))</f>
        <v/>
      </c>
      <c r="M132" s="196" t="str">
        <f>IF(M$3="","",IF(COUNTIFS(BD!$A$3:$A$5001,M$3,BD!$B$3:$B$5001,$A$127,BD!$H$3:$H$5001,"&lt;&gt;")=0,"",SUMIFS(BD!$H$3:$H$5001,BD!$A$3:$A$5001,M$3,BD!$B$3:$B$5001,$A$127)))</f>
        <v/>
      </c>
      <c r="N132" s="196" t="str">
        <f>IF(N$3="","",IF(COUNTIFS(BD!$A$3:$A$5001,N$3,BD!$B$3:$B$5001,$A$127,BD!$H$3:$H$5001,"&lt;&gt;")=0,"",SUMIFS(BD!$H$3:$H$5001,BD!$A$3:$A$5001,N$3,BD!$B$3:$B$5001,$A$127)))</f>
        <v/>
      </c>
      <c r="O132" s="196" t="str">
        <f>IF(O$3="","",IF(COUNTIFS(BD!$A$3:$A$5001,O$3,BD!$B$3:$B$5001,$A$127,BD!$H$3:$H$5001,"&lt;&gt;")=0,"",SUMIFS(BD!$H$3:$H$5001,BD!$A$3:$A$5001,O$3,BD!$B$3:$B$5001,$A$127)))</f>
        <v/>
      </c>
      <c r="P132" s="196" t="str">
        <f>IF(P$3="","",IF(COUNTIFS(BD!$A$3:$A$5001,P$3,BD!$B$3:$B$5001,$A$127,BD!$H$3:$H$5001,"&lt;&gt;")=0,"",SUMIFS(BD!$H$3:$H$5001,BD!$A$3:$A$5001,P$3,BD!$B$3:$B$5001,$A$127)))</f>
        <v/>
      </c>
      <c r="Q132" s="196" t="str">
        <f>IF(Q$3="","",IF(COUNTIFS(BD!$A$3:$A$5001,Q$3,BD!$B$3:$B$5001,$A$127,BD!$H$3:$H$5001,"&lt;&gt;")=0,"",SUMIFS(BD!$H$3:$H$5001,BD!$A$3:$A$5001,Q$3,BD!$B$3:$B$5001,$A$127)))</f>
        <v/>
      </c>
      <c r="R132" s="196" t="str">
        <f>IF(R$3="","",IF(COUNTIFS(BD!$A$3:$A$5001,R$3,BD!$B$3:$B$5001,$A$127,BD!$H$3:$H$5001,"&lt;&gt;")=0,"",SUMIFS(BD!$H$3:$H$5001,BD!$A$3:$A$5001,R$3,BD!$B$3:$B$5001,$A$127)))</f>
        <v/>
      </c>
      <c r="S132" s="196" t="str">
        <f>IF(S$3="","",IF(COUNTIFS(BD!$A$3:$A$5001,S$3,BD!$B$3:$B$5001,$A$127,BD!$H$3:$H$5001,"&lt;&gt;")=0,"",SUMIFS(BD!$H$3:$H$5001,BD!$A$3:$A$5001,S$3,BD!$B$3:$B$5001,$A$127)))</f>
        <v/>
      </c>
      <c r="T132" s="196" t="str">
        <f>IF(T$3="","",IF(COUNTIFS(BD!$A$3:$A$5001,T$3,BD!$B$3:$B$5001,$A$127,BD!$H$3:$H$5001,"&lt;&gt;")=0,"",SUMIFS(BD!$H$3:$H$5001,BD!$A$3:$A$5001,T$3,BD!$B$3:$B$5001,$A$127)))</f>
        <v/>
      </c>
      <c r="U132" s="196" t="str">
        <f>IF(U$3="","",IF(COUNTIFS(BD!$A$3:$A$5001,U$3,BD!$B$3:$B$5001,$A$127,BD!$H$3:$H$5001,"&lt;&gt;")=0,"",SUMIFS(BD!$H$3:$H$5001,BD!$A$3:$A$5001,U$3,BD!$B$3:$B$5001,$A$127)))</f>
        <v/>
      </c>
      <c r="V132" s="196" t="str">
        <f>IF(V$3="","",IF(COUNTIFS(BD!$A$3:$A$5001,V$3,BD!$B$3:$B$5001,$A$127,BD!$H$3:$H$5001,"&lt;&gt;")=0,"",SUMIFS(BD!$H$3:$H$5001,BD!$A$3:$A$5001,V$3,BD!$B$3:$B$5001,$A$127)))</f>
        <v/>
      </c>
      <c r="W132" s="196" t="str">
        <f>IF(W$3="","",IF(COUNTIFS(BD!$A$3:$A$5001,W$3,BD!$B$3:$B$5001,$A$127,BD!$H$3:$H$5001,"&lt;&gt;")=0,"",SUMIFS(BD!$H$3:$H$5001,BD!$A$3:$A$5001,W$3,BD!$B$3:$B$5001,$A$127)))</f>
        <v/>
      </c>
      <c r="X132" s="196" t="str">
        <f>IF(X$3="","",IF(COUNTIFS(BD!$A$3:$A$5001,X$3,BD!$B$3:$B$5001,$A$127,BD!$H$3:$H$5001,"&lt;&gt;")=0,"",SUMIFS(BD!$H$3:$H$5001,BD!$A$3:$A$5001,X$3,BD!$B$3:$B$5001,$A$127)))</f>
        <v/>
      </c>
      <c r="Y132" s="196" t="str">
        <f>IF(Y$3="","",IF(COUNTIFS(BD!$A$3:$A$5001,Y$3,BD!$B$3:$B$5001,$A$127,BD!$H$3:$H$5001,"&lt;&gt;")=0,"",SUMIFS(BD!$H$3:$H$5001,BD!$A$3:$A$5001,Y$3,BD!$B$3:$B$5001,$A$127)))</f>
        <v/>
      </c>
      <c r="Z132" s="196" t="str">
        <f>IF(Z$3="","",IF(COUNTIFS(BD!$A$3:$A$5001,Z$3,BD!$B$3:$B$5001,$A$127,BD!$H$3:$H$5001,"&lt;&gt;")=0,"",SUMIFS(BD!$H$3:$H$5001,BD!$A$3:$A$5001,Z$3,BD!$B$3:$B$5001,$A$127)))</f>
        <v/>
      </c>
      <c r="AA132" s="196" t="str">
        <f>IF(AA$3="","",IF(COUNTIFS(BD!$A$3:$A$5001,AA$3,BD!$B$3:$B$5001,$A$127,BD!$H$3:$H$5001,"&lt;&gt;")=0,"",SUMIFS(BD!$H$3:$H$5001,BD!$A$3:$A$5001,AA$3,BD!$B$3:$B$5001,$A$127)))</f>
        <v/>
      </c>
      <c r="AB132" s="196" t="str">
        <f>IF(AB$3="","",IF(COUNTIFS(BD!$A$3:$A$5001,AB$3,BD!$B$3:$B$5001,$A$127,BD!$H$3:$H$5001,"&lt;&gt;")=0,"",SUMIFS(BD!$H$3:$H$5001,BD!$A$3:$A$5001,AB$3,BD!$B$3:$B$5001,$A$127)))</f>
        <v/>
      </c>
      <c r="AC132" s="196" t="str">
        <f>IF(AC$3="","",IF(COUNTIFS(BD!$A$3:$A$5001,AC$3,BD!$B$3:$B$5001,$A$127,BD!$H$3:$H$5001,"&lt;&gt;")=0,"",SUMIFS(BD!$H$3:$H$5001,BD!$A$3:$A$5001,AC$3,BD!$B$3:$B$5001,$A$127)))</f>
        <v/>
      </c>
      <c r="AD132" s="196" t="str">
        <f>IF(AD$3="","",IF(COUNTIFS(BD!$A$3:$A$5001,AD$3,BD!$B$3:$B$5001,$A$127,BD!$H$3:$H$5001,"&lt;&gt;")=0,"",SUMIFS(BD!$H$3:$H$5001,BD!$A$3:$A$5001,AD$3,BD!$B$3:$B$5001,$A$127)))</f>
        <v/>
      </c>
      <c r="AE132" s="196" t="str">
        <f>IF(AE$3="","",IF(COUNTIFS(BD!$A$3:$A$5001,AE$3,BD!$B$3:$B$5001,$A$127,BD!$H$3:$H$5001,"&lt;&gt;")=0,"",SUMIFS(BD!$H$3:$H$5001,BD!$A$3:$A$5001,AE$3,BD!$B$3:$B$5001,$A$127)))</f>
        <v/>
      </c>
      <c r="AF132" s="196" t="str">
        <f>IF(AF$3="","",IF(COUNTIFS(BD!$A$3:$A$5001,AF$3,BD!$B$3:$B$5001,$A$127,BD!$H$3:$H$5001,"&lt;&gt;")=0,"",SUMIFS(BD!$H$3:$H$5001,BD!$A$3:$A$5001,AF$3,BD!$B$3:$B$5001,$A$127)))</f>
        <v/>
      </c>
      <c r="AG132" s="196" t="str">
        <f>IF(AG$3="","",IF(COUNTIFS(BD!$A$3:$A$5001,AG$3,BD!$B$3:$B$5001,$A$127,BD!$H$3:$H$5001,"&lt;&gt;")=0,"",SUMIFS(BD!$H$3:$H$5001,BD!$A$3:$A$5001,AG$3,BD!$B$3:$B$5001,$A$127)))</f>
        <v/>
      </c>
      <c r="AH132" s="196" t="str">
        <f>IF(AH$3="","",IF(COUNTIFS(BD!$A$3:$A$5001,AH$3,BD!$B$3:$B$5001,$A$127,BD!$H$3:$H$5001,"&lt;&gt;")=0,"",SUMIFS(BD!$H$3:$H$5001,BD!$A$3:$A$5001,AH$3,BD!$B$3:$B$5001,$A$127)))</f>
        <v/>
      </c>
      <c r="AI132" s="196" t="str">
        <f>IF(AI$3="","",IF(COUNTIFS(BD!$A$3:$A$5001,AI$3,BD!$B$3:$B$5001,$A$127,BD!$H$3:$H$5001,"&lt;&gt;")=0,"",SUMIFS(BD!$H$3:$H$5001,BD!$A$3:$A$5001,AI$3,BD!$B$3:$B$5001,$A$127)))</f>
        <v/>
      </c>
      <c r="AJ132" s="197" t="str">
        <f>IF(AJ$3="","",IF(COUNTIFS(BD!$A$3:$A$5001,AJ$3,BD!$B$3:$B$5001,$A$127,BD!$H$3:$H$5001,"&lt;&gt;")=0,"",SUMIFS(BD!$H$3:$H$5001,BD!$A$3:$A$5001,AJ$3,BD!$B$3:$B$5001,$A$127)))</f>
        <v/>
      </c>
      <c r="AK132" s="198" t="str">
        <f>IF(COUNT(F132:AJ132)=0,"",SUM(F132:AJ132))</f>
        <v/>
      </c>
    </row>
    <row r="133" ht="15.75" customHeight="1" hidden="1">
      <c r="A133" s="277"/>
      <c r="B133" s="268"/>
      <c r="C133" s="199" t="inlineStr">
        <is>
          <t xml:space="preserve">Pallets Movimentados</t>
        </is>
      </c>
      <c r="D133" s="200" t="str">
        <f>IFERROR(1/(1/INDEX(BD!$AF$29:$AZ$29,MATCH($A$127,BD!$AF$22:$AZ$22,0))),"")</f>
        <v/>
      </c>
      <c r="E133" s="201"/>
      <c r="F133" s="202" t="str">
        <f>IF(F$3="","",IF(COUNTIFS(BD!$A$3:$A$5001,F$3,BD!$B$3:$B$5001,$A$127,BD!$I$3:$I$5001,"&lt;&gt;")=0,"",SUMIFS(BD!$I$3:$I$5001,BD!$A$3:$A$5001,F$3,BD!$B$3:$B$5001,$A$127)))</f>
        <v/>
      </c>
      <c r="G133" s="203" t="str">
        <f>IF(G$3="","",IF(COUNTIFS(BD!$A$3:$A$5001,G$3,BD!$B$3:$B$5001,$A$127,BD!$I$3:$I$5001,"&lt;&gt;")=0,"",SUMIFS(BD!$I$3:$I$5001,BD!$A$3:$A$5001,G$3,BD!$B$3:$B$5001,$A$127)))</f>
        <v/>
      </c>
      <c r="H133" s="203" t="str">
        <f>IF(H$3="","",IF(COUNTIFS(BD!$A$3:$A$5001,H$3,BD!$B$3:$B$5001,$A$127,BD!$I$3:$I$5001,"&lt;&gt;")=0,"",SUMIFS(BD!$I$3:$I$5001,BD!$A$3:$A$5001,H$3,BD!$B$3:$B$5001,$A$127)))</f>
        <v/>
      </c>
      <c r="I133" s="203" t="str">
        <f>IF(I$3="","",IF(COUNTIFS(BD!$A$3:$A$5001,I$3,BD!$B$3:$B$5001,$A$127,BD!$I$3:$I$5001,"&lt;&gt;")=0,"",SUMIFS(BD!$I$3:$I$5001,BD!$A$3:$A$5001,I$3,BD!$B$3:$B$5001,$A$127)))</f>
        <v/>
      </c>
      <c r="J133" s="203" t="str">
        <f>IF(J$3="","",IF(COUNTIFS(BD!$A$3:$A$5001,J$3,BD!$B$3:$B$5001,$A$127,BD!$I$3:$I$5001,"&lt;&gt;")=0,"",SUMIFS(BD!$I$3:$I$5001,BD!$A$3:$A$5001,J$3,BD!$B$3:$B$5001,$A$127)))</f>
        <v/>
      </c>
      <c r="K133" s="203" t="str">
        <f>IF(K$3="","",IF(COUNTIFS(BD!$A$3:$A$5001,K$3,BD!$B$3:$B$5001,$A$127,BD!$I$3:$I$5001,"&lt;&gt;")=0,"",SUMIFS(BD!$I$3:$I$5001,BD!$A$3:$A$5001,K$3,BD!$B$3:$B$5001,$A$127)))</f>
        <v/>
      </c>
      <c r="L133" s="203" t="str">
        <f>IF(L$3="","",IF(COUNTIFS(BD!$A$3:$A$5001,L$3,BD!$B$3:$B$5001,$A$127,BD!$I$3:$I$5001,"&lt;&gt;")=0,"",SUMIFS(BD!$I$3:$I$5001,BD!$A$3:$A$5001,L$3,BD!$B$3:$B$5001,$A$127)))</f>
        <v/>
      </c>
      <c r="M133" s="203" t="str">
        <f>IF(M$3="","",IF(COUNTIFS(BD!$A$3:$A$5001,M$3,BD!$B$3:$B$5001,$A$127,BD!$I$3:$I$5001,"&lt;&gt;")=0,"",SUMIFS(BD!$I$3:$I$5001,BD!$A$3:$A$5001,M$3,BD!$B$3:$B$5001,$A$127)))</f>
        <v/>
      </c>
      <c r="N133" s="203" t="str">
        <f>IF(N$3="","",IF(COUNTIFS(BD!$A$3:$A$5001,N$3,BD!$B$3:$B$5001,$A$127,BD!$I$3:$I$5001,"&lt;&gt;")=0,"",SUMIFS(BD!$I$3:$I$5001,BD!$A$3:$A$5001,N$3,BD!$B$3:$B$5001,$A$127)))</f>
        <v/>
      </c>
      <c r="O133" s="203" t="str">
        <f>IF(O$3="","",IF(COUNTIFS(BD!$A$3:$A$5001,O$3,BD!$B$3:$B$5001,$A$127,BD!$I$3:$I$5001,"&lt;&gt;")=0,"",SUMIFS(BD!$I$3:$I$5001,BD!$A$3:$A$5001,O$3,BD!$B$3:$B$5001,$A$127)))</f>
        <v/>
      </c>
      <c r="P133" s="203" t="str">
        <f>IF(P$3="","",IF(COUNTIFS(BD!$A$3:$A$5001,P$3,BD!$B$3:$B$5001,$A$127,BD!$I$3:$I$5001,"&lt;&gt;")=0,"",SUMIFS(BD!$I$3:$I$5001,BD!$A$3:$A$5001,P$3,BD!$B$3:$B$5001,$A$127)))</f>
        <v/>
      </c>
      <c r="Q133" s="203" t="str">
        <f>IF(Q$3="","",IF(COUNTIFS(BD!$A$3:$A$5001,Q$3,BD!$B$3:$B$5001,$A$127,BD!$I$3:$I$5001,"&lt;&gt;")=0,"",SUMIFS(BD!$I$3:$I$5001,BD!$A$3:$A$5001,Q$3,BD!$B$3:$B$5001,$A$127)))</f>
        <v/>
      </c>
      <c r="R133" s="203" t="str">
        <f>IF(R$3="","",IF(COUNTIFS(BD!$A$3:$A$5001,R$3,BD!$B$3:$B$5001,$A$127,BD!$I$3:$I$5001,"&lt;&gt;")=0,"",SUMIFS(BD!$I$3:$I$5001,BD!$A$3:$A$5001,R$3,BD!$B$3:$B$5001,$A$127)))</f>
        <v/>
      </c>
      <c r="S133" s="203" t="str">
        <f>IF(S$3="","",IF(COUNTIFS(BD!$A$3:$A$5001,S$3,BD!$B$3:$B$5001,$A$127,BD!$I$3:$I$5001,"&lt;&gt;")=0,"",SUMIFS(BD!$I$3:$I$5001,BD!$A$3:$A$5001,S$3,BD!$B$3:$B$5001,$A$127)))</f>
        <v/>
      </c>
      <c r="T133" s="203" t="str">
        <f>IF(T$3="","",IF(COUNTIFS(BD!$A$3:$A$5001,T$3,BD!$B$3:$B$5001,$A$127,BD!$I$3:$I$5001,"&lt;&gt;")=0,"",SUMIFS(BD!$I$3:$I$5001,BD!$A$3:$A$5001,T$3,BD!$B$3:$B$5001,$A$127)))</f>
        <v/>
      </c>
      <c r="U133" s="203" t="str">
        <f>IF(U$3="","",IF(COUNTIFS(BD!$A$3:$A$5001,U$3,BD!$B$3:$B$5001,$A$127,BD!$I$3:$I$5001,"&lt;&gt;")=0,"",SUMIFS(BD!$I$3:$I$5001,BD!$A$3:$A$5001,U$3,BD!$B$3:$B$5001,$A$127)))</f>
        <v/>
      </c>
      <c r="V133" s="203" t="str">
        <f>IF(V$3="","",IF(COUNTIFS(BD!$A$3:$A$5001,V$3,BD!$B$3:$B$5001,$A$127,BD!$I$3:$I$5001,"&lt;&gt;")=0,"",SUMIFS(BD!$I$3:$I$5001,BD!$A$3:$A$5001,V$3,BD!$B$3:$B$5001,$A$127)))</f>
        <v/>
      </c>
      <c r="W133" s="203" t="str">
        <f>IF(W$3="","",IF(COUNTIFS(BD!$A$3:$A$5001,W$3,BD!$B$3:$B$5001,$A$127,BD!$I$3:$I$5001,"&lt;&gt;")=0,"",SUMIFS(BD!$I$3:$I$5001,BD!$A$3:$A$5001,W$3,BD!$B$3:$B$5001,$A$127)))</f>
        <v/>
      </c>
      <c r="X133" s="203" t="str">
        <f>IF(X$3="","",IF(COUNTIFS(BD!$A$3:$A$5001,X$3,BD!$B$3:$B$5001,$A$127,BD!$I$3:$I$5001,"&lt;&gt;")=0,"",SUMIFS(BD!$I$3:$I$5001,BD!$A$3:$A$5001,X$3,BD!$B$3:$B$5001,$A$127)))</f>
        <v/>
      </c>
      <c r="Y133" s="203" t="str">
        <f>IF(Y$3="","",IF(COUNTIFS(BD!$A$3:$A$5001,Y$3,BD!$B$3:$B$5001,$A$127,BD!$I$3:$I$5001,"&lt;&gt;")=0,"",SUMIFS(BD!$I$3:$I$5001,BD!$A$3:$A$5001,Y$3,BD!$B$3:$B$5001,$A$127)))</f>
        <v/>
      </c>
      <c r="Z133" s="203" t="str">
        <f>IF(Z$3="","",IF(COUNTIFS(BD!$A$3:$A$5001,Z$3,BD!$B$3:$B$5001,$A$127,BD!$I$3:$I$5001,"&lt;&gt;")=0,"",SUMIFS(BD!$I$3:$I$5001,BD!$A$3:$A$5001,Z$3,BD!$B$3:$B$5001,$A$127)))</f>
        <v/>
      </c>
      <c r="AA133" s="203" t="str">
        <f>IF(AA$3="","",IF(COUNTIFS(BD!$A$3:$A$5001,AA$3,BD!$B$3:$B$5001,$A$127,BD!$I$3:$I$5001,"&lt;&gt;")=0,"",SUMIFS(BD!$I$3:$I$5001,BD!$A$3:$A$5001,AA$3,BD!$B$3:$B$5001,$A$127)))</f>
        <v/>
      </c>
      <c r="AB133" s="203" t="str">
        <f>IF(AB$3="","",IF(COUNTIFS(BD!$A$3:$A$5001,AB$3,BD!$B$3:$B$5001,$A$127,BD!$I$3:$I$5001,"&lt;&gt;")=0,"",SUMIFS(BD!$I$3:$I$5001,BD!$A$3:$A$5001,AB$3,BD!$B$3:$B$5001,$A$127)))</f>
        <v/>
      </c>
      <c r="AC133" s="203" t="str">
        <f>IF(AC$3="","",IF(COUNTIFS(BD!$A$3:$A$5001,AC$3,BD!$B$3:$B$5001,$A$127,BD!$I$3:$I$5001,"&lt;&gt;")=0,"",SUMIFS(BD!$I$3:$I$5001,BD!$A$3:$A$5001,AC$3,BD!$B$3:$B$5001,$A$127)))</f>
        <v/>
      </c>
      <c r="AD133" s="203" t="str">
        <f>IF(AD$3="","",IF(COUNTIFS(BD!$A$3:$A$5001,AD$3,BD!$B$3:$B$5001,$A$127,BD!$I$3:$I$5001,"&lt;&gt;")=0,"",SUMIFS(BD!$I$3:$I$5001,BD!$A$3:$A$5001,AD$3,BD!$B$3:$B$5001,$A$127)))</f>
        <v/>
      </c>
      <c r="AE133" s="203" t="str">
        <f>IF(AE$3="","",IF(COUNTIFS(BD!$A$3:$A$5001,AE$3,BD!$B$3:$B$5001,$A$127,BD!$I$3:$I$5001,"&lt;&gt;")=0,"",SUMIFS(BD!$I$3:$I$5001,BD!$A$3:$A$5001,AE$3,BD!$B$3:$B$5001,$A$127)))</f>
        <v/>
      </c>
      <c r="AF133" s="203" t="str">
        <f>IF(AF$3="","",IF(COUNTIFS(BD!$A$3:$A$5001,AF$3,BD!$B$3:$B$5001,$A$127,BD!$I$3:$I$5001,"&lt;&gt;")=0,"",SUMIFS(BD!$I$3:$I$5001,BD!$A$3:$A$5001,AF$3,BD!$B$3:$B$5001,$A$127)))</f>
        <v/>
      </c>
      <c r="AG133" s="203" t="str">
        <f>IF(AG$3="","",IF(COUNTIFS(BD!$A$3:$A$5001,AG$3,BD!$B$3:$B$5001,$A$127,BD!$I$3:$I$5001,"&lt;&gt;")=0,"",SUMIFS(BD!$I$3:$I$5001,BD!$A$3:$A$5001,AG$3,BD!$B$3:$B$5001,$A$127)))</f>
        <v/>
      </c>
      <c r="AH133" s="203" t="str">
        <f>IF(AH$3="","",IF(COUNTIFS(BD!$A$3:$A$5001,AH$3,BD!$B$3:$B$5001,$A$127,BD!$I$3:$I$5001,"&lt;&gt;")=0,"",SUMIFS(BD!$I$3:$I$5001,BD!$A$3:$A$5001,AH$3,BD!$B$3:$B$5001,$A$127)))</f>
        <v/>
      </c>
      <c r="AI133" s="203" t="str">
        <f>IF(AI$3="","",IF(COUNTIFS(BD!$A$3:$A$5001,AI$3,BD!$B$3:$B$5001,$A$127,BD!$I$3:$I$5001,"&lt;&gt;")=0,"",SUMIFS(BD!$I$3:$I$5001,BD!$A$3:$A$5001,AI$3,BD!$B$3:$B$5001,$A$127)))</f>
        <v/>
      </c>
      <c r="AJ133" s="204" t="str">
        <f>IF(AJ$3="","",IF(COUNTIFS(BD!$A$3:$A$5001,AJ$3,BD!$B$3:$B$5001,$A$127,BD!$I$3:$I$5001,"&lt;&gt;")=0,"",SUMIFS(BD!$I$3:$I$5001,BD!$A$3:$A$5001,AJ$3,BD!$B$3:$B$5001,$A$127)))</f>
        <v/>
      </c>
      <c r="AK133" s="205" t="str">
        <f>IF(COUNT(F133:AJ133)=0,"",SUM(F133:AJ133))</f>
        <v/>
      </c>
    </row>
    <row r="134" ht="15.75" customHeight="1" hidden="1">
      <c r="A134" s="277"/>
      <c r="B134" s="268"/>
      <c r="C134" s="199" t="inlineStr">
        <is>
          <t xml:space="preserve">Toneladas Movimentadas</t>
        </is>
      </c>
      <c r="D134" s="200" t="str">
        <f>IFERROR(1/(1/INDEX(BD!$AF$30:$AZ$30,MATCH($A$127,BD!$AF$22:$AZ$22,0))),"")</f>
        <v/>
      </c>
      <c r="E134" s="201"/>
      <c r="F134" s="206" t="str">
        <f>IF(F$3="","",IF(COUNTIFS(BD!$A$3:$A$5001,F$3,BD!$B$3:$B$5001,$A$127,BD!$J$3:$J$5001,"&lt;&gt;")=0,"",SUMIFS(BD!$J$3:$J$5001,BD!$A$3:$A$5001,F$3,BD!$B$3:$B$5001,$A$127)))</f>
        <v/>
      </c>
      <c r="G134" s="207" t="str">
        <f>IF(G$3="","",IF(COUNTIFS(BD!$A$3:$A$5001,G$3,BD!$B$3:$B$5001,$A$127,BD!$J$3:$J$5001,"&lt;&gt;")=0,"",SUMIFS(BD!$J$3:$J$5001,BD!$A$3:$A$5001,G$3,BD!$B$3:$B$5001,$A$127)))</f>
        <v/>
      </c>
      <c r="H134" s="207" t="str">
        <f>IF(H$3="","",IF(COUNTIFS(BD!$A$3:$A$5001,H$3,BD!$B$3:$B$5001,$A$127,BD!$J$3:$J$5001,"&lt;&gt;")=0,"",SUMIFS(BD!$J$3:$J$5001,BD!$A$3:$A$5001,H$3,BD!$B$3:$B$5001,$A$127)))</f>
        <v/>
      </c>
      <c r="I134" s="207" t="str">
        <f>IF(I$3="","",IF(COUNTIFS(BD!$A$3:$A$5001,I$3,BD!$B$3:$B$5001,$A$127,BD!$J$3:$J$5001,"&lt;&gt;")=0,"",SUMIFS(BD!$J$3:$J$5001,BD!$A$3:$A$5001,I$3,BD!$B$3:$B$5001,$A$127)))</f>
        <v/>
      </c>
      <c r="J134" s="207" t="str">
        <f>IF(J$3="","",IF(COUNTIFS(BD!$A$3:$A$5001,J$3,BD!$B$3:$B$5001,$A$127,BD!$J$3:$J$5001,"&lt;&gt;")=0,"",SUMIFS(BD!$J$3:$J$5001,BD!$A$3:$A$5001,J$3,BD!$B$3:$B$5001,$A$127)))</f>
        <v/>
      </c>
      <c r="K134" s="207" t="str">
        <f>IF(K$3="","",IF(COUNTIFS(BD!$A$3:$A$5001,K$3,BD!$B$3:$B$5001,$A$127,BD!$J$3:$J$5001,"&lt;&gt;")=0,"",SUMIFS(BD!$J$3:$J$5001,BD!$A$3:$A$5001,K$3,BD!$B$3:$B$5001,$A$127)))</f>
        <v/>
      </c>
      <c r="L134" s="207" t="str">
        <f>IF(L$3="","",IF(COUNTIFS(BD!$A$3:$A$5001,L$3,BD!$B$3:$B$5001,$A$127,BD!$J$3:$J$5001,"&lt;&gt;")=0,"",SUMIFS(BD!$J$3:$J$5001,BD!$A$3:$A$5001,L$3,BD!$B$3:$B$5001,$A$127)))</f>
        <v/>
      </c>
      <c r="M134" s="207" t="str">
        <f>IF(M$3="","",IF(COUNTIFS(BD!$A$3:$A$5001,M$3,BD!$B$3:$B$5001,$A$127,BD!$J$3:$J$5001,"&lt;&gt;")=0,"",SUMIFS(BD!$J$3:$J$5001,BD!$A$3:$A$5001,M$3,BD!$B$3:$B$5001,$A$127)))</f>
        <v/>
      </c>
      <c r="N134" s="207" t="str">
        <f>IF(N$3="","",IF(COUNTIFS(BD!$A$3:$A$5001,N$3,BD!$B$3:$B$5001,$A$127,BD!$J$3:$J$5001,"&lt;&gt;")=0,"",SUMIFS(BD!$J$3:$J$5001,BD!$A$3:$A$5001,N$3,BD!$B$3:$B$5001,$A$127)))</f>
        <v/>
      </c>
      <c r="O134" s="207" t="str">
        <f>IF(O$3="","",IF(COUNTIFS(BD!$A$3:$A$5001,O$3,BD!$B$3:$B$5001,$A$127,BD!$J$3:$J$5001,"&lt;&gt;")=0,"",SUMIFS(BD!$J$3:$J$5001,BD!$A$3:$A$5001,O$3,BD!$B$3:$B$5001,$A$127)))</f>
        <v/>
      </c>
      <c r="P134" s="207" t="str">
        <f>IF(P$3="","",IF(COUNTIFS(BD!$A$3:$A$5001,P$3,BD!$B$3:$B$5001,$A$127,BD!$J$3:$J$5001,"&lt;&gt;")=0,"",SUMIFS(BD!$J$3:$J$5001,BD!$A$3:$A$5001,P$3,BD!$B$3:$B$5001,$A$127)))</f>
        <v/>
      </c>
      <c r="Q134" s="207" t="str">
        <f>IF(Q$3="","",IF(COUNTIFS(BD!$A$3:$A$5001,Q$3,BD!$B$3:$B$5001,$A$127,BD!$J$3:$J$5001,"&lt;&gt;")=0,"",SUMIFS(BD!$J$3:$J$5001,BD!$A$3:$A$5001,Q$3,BD!$B$3:$B$5001,$A$127)))</f>
        <v/>
      </c>
      <c r="R134" s="207" t="str">
        <f>IF(R$3="","",IF(COUNTIFS(BD!$A$3:$A$5001,R$3,BD!$B$3:$B$5001,$A$127,BD!$J$3:$J$5001,"&lt;&gt;")=0,"",SUMIFS(BD!$J$3:$J$5001,BD!$A$3:$A$5001,R$3,BD!$B$3:$B$5001,$A$127)))</f>
        <v/>
      </c>
      <c r="S134" s="207" t="str">
        <f>IF(S$3="","",IF(COUNTIFS(BD!$A$3:$A$5001,S$3,BD!$B$3:$B$5001,$A$127,BD!$J$3:$J$5001,"&lt;&gt;")=0,"",SUMIFS(BD!$J$3:$J$5001,BD!$A$3:$A$5001,S$3,BD!$B$3:$B$5001,$A$127)))</f>
        <v/>
      </c>
      <c r="T134" s="207" t="str">
        <f>IF(T$3="","",IF(COUNTIFS(BD!$A$3:$A$5001,T$3,BD!$B$3:$B$5001,$A$127,BD!$J$3:$J$5001,"&lt;&gt;")=0,"",SUMIFS(BD!$J$3:$J$5001,BD!$A$3:$A$5001,T$3,BD!$B$3:$B$5001,$A$127)))</f>
        <v/>
      </c>
      <c r="U134" s="207" t="str">
        <f>IF(U$3="","",IF(COUNTIFS(BD!$A$3:$A$5001,U$3,BD!$B$3:$B$5001,$A$127,BD!$J$3:$J$5001,"&lt;&gt;")=0,"",SUMIFS(BD!$J$3:$J$5001,BD!$A$3:$A$5001,U$3,BD!$B$3:$B$5001,$A$127)))</f>
        <v/>
      </c>
      <c r="V134" s="207" t="str">
        <f>IF(V$3="","",IF(COUNTIFS(BD!$A$3:$A$5001,V$3,BD!$B$3:$B$5001,$A$127,BD!$J$3:$J$5001,"&lt;&gt;")=0,"",SUMIFS(BD!$J$3:$J$5001,BD!$A$3:$A$5001,V$3,BD!$B$3:$B$5001,$A$127)))</f>
        <v/>
      </c>
      <c r="W134" s="207" t="str">
        <f>IF(W$3="","",IF(COUNTIFS(BD!$A$3:$A$5001,W$3,BD!$B$3:$B$5001,$A$127,BD!$J$3:$J$5001,"&lt;&gt;")=0,"",SUMIFS(BD!$J$3:$J$5001,BD!$A$3:$A$5001,W$3,BD!$B$3:$B$5001,$A$127)))</f>
        <v/>
      </c>
      <c r="X134" s="207" t="str">
        <f>IF(X$3="","",IF(COUNTIFS(BD!$A$3:$A$5001,X$3,BD!$B$3:$B$5001,$A$127,BD!$J$3:$J$5001,"&lt;&gt;")=0,"",SUMIFS(BD!$J$3:$J$5001,BD!$A$3:$A$5001,X$3,BD!$B$3:$B$5001,$A$127)))</f>
        <v/>
      </c>
      <c r="Y134" s="207" t="str">
        <f>IF(Y$3="","",IF(COUNTIFS(BD!$A$3:$A$5001,Y$3,BD!$B$3:$B$5001,$A$127,BD!$J$3:$J$5001,"&lt;&gt;")=0,"",SUMIFS(BD!$J$3:$J$5001,BD!$A$3:$A$5001,Y$3,BD!$B$3:$B$5001,$A$127)))</f>
        <v/>
      </c>
      <c r="Z134" s="207" t="str">
        <f>IF(Z$3="","",IF(COUNTIFS(BD!$A$3:$A$5001,Z$3,BD!$B$3:$B$5001,$A$127,BD!$J$3:$J$5001,"&lt;&gt;")=0,"",SUMIFS(BD!$J$3:$J$5001,BD!$A$3:$A$5001,Z$3,BD!$B$3:$B$5001,$A$127)))</f>
        <v/>
      </c>
      <c r="AA134" s="207" t="str">
        <f>IF(AA$3="","",IF(COUNTIFS(BD!$A$3:$A$5001,AA$3,BD!$B$3:$B$5001,$A$127,BD!$J$3:$J$5001,"&lt;&gt;")=0,"",SUMIFS(BD!$J$3:$J$5001,BD!$A$3:$A$5001,AA$3,BD!$B$3:$B$5001,$A$127)))</f>
        <v/>
      </c>
      <c r="AB134" s="207" t="str">
        <f>IF(AB$3="","",IF(COUNTIFS(BD!$A$3:$A$5001,AB$3,BD!$B$3:$B$5001,$A$127,BD!$J$3:$J$5001,"&lt;&gt;")=0,"",SUMIFS(BD!$J$3:$J$5001,BD!$A$3:$A$5001,AB$3,BD!$B$3:$B$5001,$A$127)))</f>
        <v/>
      </c>
      <c r="AC134" s="207" t="str">
        <f>IF(AC$3="","",IF(COUNTIFS(BD!$A$3:$A$5001,AC$3,BD!$B$3:$B$5001,$A$127,BD!$J$3:$J$5001,"&lt;&gt;")=0,"",SUMIFS(BD!$J$3:$J$5001,BD!$A$3:$A$5001,AC$3,BD!$B$3:$B$5001,$A$127)))</f>
        <v/>
      </c>
      <c r="AD134" s="207" t="str">
        <f>IF(AD$3="","",IF(COUNTIFS(BD!$A$3:$A$5001,AD$3,BD!$B$3:$B$5001,$A$127,BD!$J$3:$J$5001,"&lt;&gt;")=0,"",SUMIFS(BD!$J$3:$J$5001,BD!$A$3:$A$5001,AD$3,BD!$B$3:$B$5001,$A$127)))</f>
        <v/>
      </c>
      <c r="AE134" s="207" t="str">
        <f>IF(AE$3="","",IF(COUNTIFS(BD!$A$3:$A$5001,AE$3,BD!$B$3:$B$5001,$A$127,BD!$J$3:$J$5001,"&lt;&gt;")=0,"",SUMIFS(BD!$J$3:$J$5001,BD!$A$3:$A$5001,AE$3,BD!$B$3:$B$5001,$A$127)))</f>
        <v/>
      </c>
      <c r="AF134" s="207" t="str">
        <f>IF(AF$3="","",IF(COUNTIFS(BD!$A$3:$A$5001,AF$3,BD!$B$3:$B$5001,$A$127,BD!$J$3:$J$5001,"&lt;&gt;")=0,"",SUMIFS(BD!$J$3:$J$5001,BD!$A$3:$A$5001,AF$3,BD!$B$3:$B$5001,$A$127)))</f>
        <v/>
      </c>
      <c r="AG134" s="207" t="str">
        <f>IF(AG$3="","",IF(COUNTIFS(BD!$A$3:$A$5001,AG$3,BD!$B$3:$B$5001,$A$127,BD!$J$3:$J$5001,"&lt;&gt;")=0,"",SUMIFS(BD!$J$3:$J$5001,BD!$A$3:$A$5001,AG$3,BD!$B$3:$B$5001,$A$127)))</f>
        <v/>
      </c>
      <c r="AH134" s="207" t="str">
        <f>IF(AH$3="","",IF(COUNTIFS(BD!$A$3:$A$5001,AH$3,BD!$B$3:$B$5001,$A$127,BD!$J$3:$J$5001,"&lt;&gt;")=0,"",SUMIFS(BD!$J$3:$J$5001,BD!$A$3:$A$5001,AH$3,BD!$B$3:$B$5001,$A$127)))</f>
        <v/>
      </c>
      <c r="AI134" s="207" t="str">
        <f>IF(AI$3="","",IF(COUNTIFS(BD!$A$3:$A$5001,AI$3,BD!$B$3:$B$5001,$A$127,BD!$J$3:$J$5001,"&lt;&gt;")=0,"",SUMIFS(BD!$J$3:$J$5001,BD!$A$3:$A$5001,AI$3,BD!$B$3:$B$5001,$A$127)))</f>
        <v/>
      </c>
      <c r="AJ134" s="208" t="str">
        <f>IF(AJ$3="","",IF(COUNTIFS(BD!$A$3:$A$5001,AJ$3,BD!$B$3:$B$5001,$A$127,BD!$J$3:$J$5001,"&lt;&gt;")=0,"",SUMIFS(BD!$J$3:$J$5001,BD!$A$3:$A$5001,AJ$3,BD!$B$3:$B$5001,$A$127)))</f>
        <v/>
      </c>
      <c r="AK134" s="209" t="str">
        <f>IF(COUNT(F134:AJ134)=0,"",SUM(F134:AJ134))</f>
        <v/>
      </c>
    </row>
    <row r="135" ht="15.75" customHeight="1" hidden="1">
      <c r="A135" s="277"/>
      <c r="B135" s="268"/>
      <c r="C135" s="199" t="inlineStr">
        <is>
          <t xml:space="preserve">Caixas Expedidas</t>
        </is>
      </c>
      <c r="D135" s="200" t="str">
        <f>IFERROR(1/(1/INDEX(BD!$AF$31:$AZ$31,MATCH($A$127,BD!$AF$22:$AZ$22,0))),"")</f>
        <v/>
      </c>
      <c r="E135" s="201"/>
      <c r="F135" s="202" t="str">
        <f>IF(F$3="","",IF(COUNTIFS(BD!$A$3:$A$5001,F$3,BD!$B$3:$B$5001,$A$127,BD!$K$3:$K$5001,"&lt;&gt;")=0,"",SUMIFS(BD!$K$3:$K$5001,BD!$A$3:$A$5001,F$3,BD!$B$3:$B$5001,$A$127)))</f>
        <v/>
      </c>
      <c r="G135" s="203" t="str">
        <f>IF(G$3="","",IF(COUNTIFS(BD!$A$3:$A$5001,G$3,BD!$B$3:$B$5001,$A$127,BD!$K$3:$K$5001,"&lt;&gt;")=0,"",SUMIFS(BD!$K$3:$K$5001,BD!$A$3:$A$5001,G$3,BD!$B$3:$B$5001,$A$127)))</f>
        <v/>
      </c>
      <c r="H135" s="203" t="str">
        <f>IF(H$3="","",IF(COUNTIFS(BD!$A$3:$A$5001,H$3,BD!$B$3:$B$5001,$A$127,BD!$K$3:$K$5001,"&lt;&gt;")=0,"",SUMIFS(BD!$K$3:$K$5001,BD!$A$3:$A$5001,H$3,BD!$B$3:$B$5001,$A$127)))</f>
        <v/>
      </c>
      <c r="I135" s="203" t="str">
        <f>IF(I$3="","",IF(COUNTIFS(BD!$A$3:$A$5001,I$3,BD!$B$3:$B$5001,$A$127,BD!$K$3:$K$5001,"&lt;&gt;")=0,"",SUMIFS(BD!$K$3:$K$5001,BD!$A$3:$A$5001,I$3,BD!$B$3:$B$5001,$A$127)))</f>
        <v/>
      </c>
      <c r="J135" s="203" t="str">
        <f>IF(J$3="","",IF(COUNTIFS(BD!$A$3:$A$5001,J$3,BD!$B$3:$B$5001,$A$127,BD!$K$3:$K$5001,"&lt;&gt;")=0,"",SUMIFS(BD!$K$3:$K$5001,BD!$A$3:$A$5001,J$3,BD!$B$3:$B$5001,$A$127)))</f>
        <v/>
      </c>
      <c r="K135" s="203" t="str">
        <f>IF(K$3="","",IF(COUNTIFS(BD!$A$3:$A$5001,K$3,BD!$B$3:$B$5001,$A$127,BD!$K$3:$K$5001,"&lt;&gt;")=0,"",SUMIFS(BD!$K$3:$K$5001,BD!$A$3:$A$5001,K$3,BD!$B$3:$B$5001,$A$127)))</f>
        <v/>
      </c>
      <c r="L135" s="203" t="str">
        <f>IF(L$3="","",IF(COUNTIFS(BD!$A$3:$A$5001,L$3,BD!$B$3:$B$5001,$A$127,BD!$K$3:$K$5001,"&lt;&gt;")=0,"",SUMIFS(BD!$K$3:$K$5001,BD!$A$3:$A$5001,L$3,BD!$B$3:$B$5001,$A$127)))</f>
        <v/>
      </c>
      <c r="M135" s="203" t="str">
        <f>IF(M$3="","",IF(COUNTIFS(BD!$A$3:$A$5001,M$3,BD!$B$3:$B$5001,$A$127,BD!$K$3:$K$5001,"&lt;&gt;")=0,"",SUMIFS(BD!$K$3:$K$5001,BD!$A$3:$A$5001,M$3,BD!$B$3:$B$5001,$A$127)))</f>
        <v/>
      </c>
      <c r="N135" s="203" t="str">
        <f>IF(N$3="","",IF(COUNTIFS(BD!$A$3:$A$5001,N$3,BD!$B$3:$B$5001,$A$127,BD!$K$3:$K$5001,"&lt;&gt;")=0,"",SUMIFS(BD!$K$3:$K$5001,BD!$A$3:$A$5001,N$3,BD!$B$3:$B$5001,$A$127)))</f>
        <v/>
      </c>
      <c r="O135" s="203" t="str">
        <f>IF(O$3="","",IF(COUNTIFS(BD!$A$3:$A$5001,O$3,BD!$B$3:$B$5001,$A$127,BD!$K$3:$K$5001,"&lt;&gt;")=0,"",SUMIFS(BD!$K$3:$K$5001,BD!$A$3:$A$5001,O$3,BD!$B$3:$B$5001,$A$127)))</f>
        <v/>
      </c>
      <c r="P135" s="203" t="str">
        <f>IF(P$3="","",IF(COUNTIFS(BD!$A$3:$A$5001,P$3,BD!$B$3:$B$5001,$A$127,BD!$K$3:$K$5001,"&lt;&gt;")=0,"",SUMIFS(BD!$K$3:$K$5001,BD!$A$3:$A$5001,P$3,BD!$B$3:$B$5001,$A$127)))</f>
        <v/>
      </c>
      <c r="Q135" s="203" t="str">
        <f>IF(Q$3="","",IF(COUNTIFS(BD!$A$3:$A$5001,Q$3,BD!$B$3:$B$5001,$A$127,BD!$K$3:$K$5001,"&lt;&gt;")=0,"",SUMIFS(BD!$K$3:$K$5001,BD!$A$3:$A$5001,Q$3,BD!$B$3:$B$5001,$A$127)))</f>
        <v/>
      </c>
      <c r="R135" s="203" t="str">
        <f>IF(R$3="","",IF(COUNTIFS(BD!$A$3:$A$5001,R$3,BD!$B$3:$B$5001,$A$127,BD!$K$3:$K$5001,"&lt;&gt;")=0,"",SUMIFS(BD!$K$3:$K$5001,BD!$A$3:$A$5001,R$3,BD!$B$3:$B$5001,$A$127)))</f>
        <v/>
      </c>
      <c r="S135" s="203" t="str">
        <f>IF(S$3="","",IF(COUNTIFS(BD!$A$3:$A$5001,S$3,BD!$B$3:$B$5001,$A$127,BD!$K$3:$K$5001,"&lt;&gt;")=0,"",SUMIFS(BD!$K$3:$K$5001,BD!$A$3:$A$5001,S$3,BD!$B$3:$B$5001,$A$127)))</f>
        <v/>
      </c>
      <c r="T135" s="203" t="str">
        <f>IF(T$3="","",IF(COUNTIFS(BD!$A$3:$A$5001,T$3,BD!$B$3:$B$5001,$A$127,BD!$K$3:$K$5001,"&lt;&gt;")=0,"",SUMIFS(BD!$K$3:$K$5001,BD!$A$3:$A$5001,T$3,BD!$B$3:$B$5001,$A$127)))</f>
        <v/>
      </c>
      <c r="U135" s="203" t="str">
        <f>IF(U$3="","",IF(COUNTIFS(BD!$A$3:$A$5001,U$3,BD!$B$3:$B$5001,$A$127,BD!$K$3:$K$5001,"&lt;&gt;")=0,"",SUMIFS(BD!$K$3:$K$5001,BD!$A$3:$A$5001,U$3,BD!$B$3:$B$5001,$A$127)))</f>
        <v/>
      </c>
      <c r="V135" s="203" t="str">
        <f>IF(V$3="","",IF(COUNTIFS(BD!$A$3:$A$5001,V$3,BD!$B$3:$B$5001,$A$127,BD!$K$3:$K$5001,"&lt;&gt;")=0,"",SUMIFS(BD!$K$3:$K$5001,BD!$A$3:$A$5001,V$3,BD!$B$3:$B$5001,$A$127)))</f>
        <v/>
      </c>
      <c r="W135" s="203" t="str">
        <f>IF(W$3="","",IF(COUNTIFS(BD!$A$3:$A$5001,W$3,BD!$B$3:$B$5001,$A$127,BD!$K$3:$K$5001,"&lt;&gt;")=0,"",SUMIFS(BD!$K$3:$K$5001,BD!$A$3:$A$5001,W$3,BD!$B$3:$B$5001,$A$127)))</f>
        <v/>
      </c>
      <c r="X135" s="203" t="str">
        <f>IF(X$3="","",IF(COUNTIFS(BD!$A$3:$A$5001,X$3,BD!$B$3:$B$5001,$A$127,BD!$K$3:$K$5001,"&lt;&gt;")=0,"",SUMIFS(BD!$K$3:$K$5001,BD!$A$3:$A$5001,X$3,BD!$B$3:$B$5001,$A$127)))</f>
        <v/>
      </c>
      <c r="Y135" s="203" t="str">
        <f>IF(Y$3="","",IF(COUNTIFS(BD!$A$3:$A$5001,Y$3,BD!$B$3:$B$5001,$A$127,BD!$K$3:$K$5001,"&lt;&gt;")=0,"",SUMIFS(BD!$K$3:$K$5001,BD!$A$3:$A$5001,Y$3,BD!$B$3:$B$5001,$A$127)))</f>
        <v/>
      </c>
      <c r="Z135" s="203" t="str">
        <f>IF(Z$3="","",IF(COUNTIFS(BD!$A$3:$A$5001,Z$3,BD!$B$3:$B$5001,$A$127,BD!$K$3:$K$5001,"&lt;&gt;")=0,"",SUMIFS(BD!$K$3:$K$5001,BD!$A$3:$A$5001,Z$3,BD!$B$3:$B$5001,$A$127)))</f>
        <v/>
      </c>
      <c r="AA135" s="203" t="str">
        <f>IF(AA$3="","",IF(COUNTIFS(BD!$A$3:$A$5001,AA$3,BD!$B$3:$B$5001,$A$127,BD!$K$3:$K$5001,"&lt;&gt;")=0,"",SUMIFS(BD!$K$3:$K$5001,BD!$A$3:$A$5001,AA$3,BD!$B$3:$B$5001,$A$127)))</f>
        <v/>
      </c>
      <c r="AB135" s="203" t="str">
        <f>IF(AB$3="","",IF(COUNTIFS(BD!$A$3:$A$5001,AB$3,BD!$B$3:$B$5001,$A$127,BD!$K$3:$K$5001,"&lt;&gt;")=0,"",SUMIFS(BD!$K$3:$K$5001,BD!$A$3:$A$5001,AB$3,BD!$B$3:$B$5001,$A$127)))</f>
        <v/>
      </c>
      <c r="AC135" s="203" t="str">
        <f>IF(AC$3="","",IF(COUNTIFS(BD!$A$3:$A$5001,AC$3,BD!$B$3:$B$5001,$A$127,BD!$K$3:$K$5001,"&lt;&gt;")=0,"",SUMIFS(BD!$K$3:$K$5001,BD!$A$3:$A$5001,AC$3,BD!$B$3:$B$5001,$A$127)))</f>
        <v/>
      </c>
      <c r="AD135" s="203" t="str">
        <f>IF(AD$3="","",IF(COUNTIFS(BD!$A$3:$A$5001,AD$3,BD!$B$3:$B$5001,$A$127,BD!$K$3:$K$5001,"&lt;&gt;")=0,"",SUMIFS(BD!$K$3:$K$5001,BD!$A$3:$A$5001,AD$3,BD!$B$3:$B$5001,$A$127)))</f>
        <v/>
      </c>
      <c r="AE135" s="203" t="str">
        <f>IF(AE$3="","",IF(COUNTIFS(BD!$A$3:$A$5001,AE$3,BD!$B$3:$B$5001,$A$127,BD!$K$3:$K$5001,"&lt;&gt;")=0,"",SUMIFS(BD!$K$3:$K$5001,BD!$A$3:$A$5001,AE$3,BD!$B$3:$B$5001,$A$127)))</f>
        <v/>
      </c>
      <c r="AF135" s="203" t="str">
        <f>IF(AF$3="","",IF(COUNTIFS(BD!$A$3:$A$5001,AF$3,BD!$B$3:$B$5001,$A$127,BD!$K$3:$K$5001,"&lt;&gt;")=0,"",SUMIFS(BD!$K$3:$K$5001,BD!$A$3:$A$5001,AF$3,BD!$B$3:$B$5001,$A$127)))</f>
        <v/>
      </c>
      <c r="AG135" s="203" t="str">
        <f>IF(AG$3="","",IF(COUNTIFS(BD!$A$3:$A$5001,AG$3,BD!$B$3:$B$5001,$A$127,BD!$K$3:$K$5001,"&lt;&gt;")=0,"",SUMIFS(BD!$K$3:$K$5001,BD!$A$3:$A$5001,AG$3,BD!$B$3:$B$5001,$A$127)))</f>
        <v/>
      </c>
      <c r="AH135" s="203" t="str">
        <f>IF(AH$3="","",IF(COUNTIFS(BD!$A$3:$A$5001,AH$3,BD!$B$3:$B$5001,$A$127,BD!$K$3:$K$5001,"&lt;&gt;")=0,"",SUMIFS(BD!$K$3:$K$5001,BD!$A$3:$A$5001,AH$3,BD!$B$3:$B$5001,$A$127)))</f>
        <v/>
      </c>
      <c r="AI135" s="203" t="str">
        <f>IF(AI$3="","",IF(COUNTIFS(BD!$A$3:$A$5001,AI$3,BD!$B$3:$B$5001,$A$127,BD!$K$3:$K$5001,"&lt;&gt;")=0,"",SUMIFS(BD!$K$3:$K$5001,BD!$A$3:$A$5001,AI$3,BD!$B$3:$B$5001,$A$127)))</f>
        <v/>
      </c>
      <c r="AJ135" s="204" t="str">
        <f>IF(AJ$3="","",IF(COUNTIFS(BD!$A$3:$A$5001,AJ$3,BD!$B$3:$B$5001,$A$127,BD!$K$3:$K$5001,"&lt;&gt;")=0,"",SUMIFS(BD!$K$3:$K$5001,BD!$A$3:$A$5001,AJ$3,BD!$B$3:$B$5001,$A$127)))</f>
        <v/>
      </c>
      <c r="AK135" s="205" t="str">
        <f>IF(COUNT(F135:AJ135)=0,"",SUM(F135:AJ135))</f>
        <v/>
      </c>
    </row>
    <row r="136" ht="15.75" customHeight="1" hidden="1">
      <c r="A136" s="277"/>
      <c r="B136" s="268"/>
      <c r="C136" s="199" t="inlineStr">
        <is>
          <t xml:space="preserve">Pedidos Faturados</t>
        </is>
      </c>
      <c r="D136" s="200" t="str">
        <f>IFERROR(1/(1/INDEX(BD!$AF$32:$AZ$32,MATCH($A$127,BD!$AF$22:$AZ$22,0))),"")</f>
        <v/>
      </c>
      <c r="E136" s="201"/>
      <c r="F136" s="202" t="str">
        <f>IF(F$3="","",IF(COUNTIFS(BD!$A$3:$A$5001,F$3,BD!$B$3:$B$5001,$A$127,BD!$L$3:$L$5001,"&lt;&gt;")=0,"",SUMIFS(BD!$L$3:$L$5001,BD!$A$3:$A$5001,F$3,BD!$B$3:$B$5001,$A$127)))</f>
        <v/>
      </c>
      <c r="G136" s="203" t="str">
        <f>IF(G$3="","",IF(COUNTIFS(BD!$A$3:$A$5001,G$3,BD!$B$3:$B$5001,$A$127,BD!$L$3:$L$5001,"&lt;&gt;")=0,"",SUMIFS(BD!$L$3:$L$5001,BD!$A$3:$A$5001,G$3,BD!$B$3:$B$5001,$A$127)))</f>
        <v/>
      </c>
      <c r="H136" s="203" t="str">
        <f>IF(H$3="","",IF(COUNTIFS(BD!$A$3:$A$5001,H$3,BD!$B$3:$B$5001,$A$127,BD!$L$3:$L$5001,"&lt;&gt;")=0,"",SUMIFS(BD!$L$3:$L$5001,BD!$A$3:$A$5001,H$3,BD!$B$3:$B$5001,$A$127)))</f>
        <v/>
      </c>
      <c r="I136" s="203" t="str">
        <f>IF(I$3="","",IF(COUNTIFS(BD!$A$3:$A$5001,I$3,BD!$B$3:$B$5001,$A$127,BD!$L$3:$L$5001,"&lt;&gt;")=0,"",SUMIFS(BD!$L$3:$L$5001,BD!$A$3:$A$5001,I$3,BD!$B$3:$B$5001,$A$127)))</f>
        <v/>
      </c>
      <c r="J136" s="203" t="str">
        <f>IF(J$3="","",IF(COUNTIFS(BD!$A$3:$A$5001,J$3,BD!$B$3:$B$5001,$A$127,BD!$L$3:$L$5001,"&lt;&gt;")=0,"",SUMIFS(BD!$L$3:$L$5001,BD!$A$3:$A$5001,J$3,BD!$B$3:$B$5001,$A$127)))</f>
        <v/>
      </c>
      <c r="K136" s="203" t="str">
        <f>IF(K$3="","",IF(COUNTIFS(BD!$A$3:$A$5001,K$3,BD!$B$3:$B$5001,$A$127,BD!$L$3:$L$5001,"&lt;&gt;")=0,"",SUMIFS(BD!$L$3:$L$5001,BD!$A$3:$A$5001,K$3,BD!$B$3:$B$5001,$A$127)))</f>
        <v/>
      </c>
      <c r="L136" s="203" t="str">
        <f>IF(L$3="","",IF(COUNTIFS(BD!$A$3:$A$5001,L$3,BD!$B$3:$B$5001,$A$127,BD!$L$3:$L$5001,"&lt;&gt;")=0,"",SUMIFS(BD!$L$3:$L$5001,BD!$A$3:$A$5001,L$3,BD!$B$3:$B$5001,$A$127)))</f>
        <v/>
      </c>
      <c r="M136" s="203" t="str">
        <f>IF(M$3="","",IF(COUNTIFS(BD!$A$3:$A$5001,M$3,BD!$B$3:$B$5001,$A$127,BD!$L$3:$L$5001,"&lt;&gt;")=0,"",SUMIFS(BD!$L$3:$L$5001,BD!$A$3:$A$5001,M$3,BD!$B$3:$B$5001,$A$127)))</f>
        <v/>
      </c>
      <c r="N136" s="203" t="str">
        <f>IF(N$3="","",IF(COUNTIFS(BD!$A$3:$A$5001,N$3,BD!$B$3:$B$5001,$A$127,BD!$L$3:$L$5001,"&lt;&gt;")=0,"",SUMIFS(BD!$L$3:$L$5001,BD!$A$3:$A$5001,N$3,BD!$B$3:$B$5001,$A$127)))</f>
        <v/>
      </c>
      <c r="O136" s="203" t="str">
        <f>IF(O$3="","",IF(COUNTIFS(BD!$A$3:$A$5001,O$3,BD!$B$3:$B$5001,$A$127,BD!$L$3:$L$5001,"&lt;&gt;")=0,"",SUMIFS(BD!$L$3:$L$5001,BD!$A$3:$A$5001,O$3,BD!$B$3:$B$5001,$A$127)))</f>
        <v/>
      </c>
      <c r="P136" s="203" t="str">
        <f>IF(P$3="","",IF(COUNTIFS(BD!$A$3:$A$5001,P$3,BD!$B$3:$B$5001,$A$127,BD!$L$3:$L$5001,"&lt;&gt;")=0,"",SUMIFS(BD!$L$3:$L$5001,BD!$A$3:$A$5001,P$3,BD!$B$3:$B$5001,$A$127)))</f>
        <v/>
      </c>
      <c r="Q136" s="203" t="str">
        <f>IF(Q$3="","",IF(COUNTIFS(BD!$A$3:$A$5001,Q$3,BD!$B$3:$B$5001,$A$127,BD!$L$3:$L$5001,"&lt;&gt;")=0,"",SUMIFS(BD!$L$3:$L$5001,BD!$A$3:$A$5001,Q$3,BD!$B$3:$B$5001,$A$127)))</f>
        <v/>
      </c>
      <c r="R136" s="203" t="str">
        <f>IF(R$3="","",IF(COUNTIFS(BD!$A$3:$A$5001,R$3,BD!$B$3:$B$5001,$A$127,BD!$L$3:$L$5001,"&lt;&gt;")=0,"",SUMIFS(BD!$L$3:$L$5001,BD!$A$3:$A$5001,R$3,BD!$B$3:$B$5001,$A$127)))</f>
        <v/>
      </c>
      <c r="S136" s="203" t="str">
        <f>IF(S$3="","",IF(COUNTIFS(BD!$A$3:$A$5001,S$3,BD!$B$3:$B$5001,$A$127,BD!$L$3:$L$5001,"&lt;&gt;")=0,"",SUMIFS(BD!$L$3:$L$5001,BD!$A$3:$A$5001,S$3,BD!$B$3:$B$5001,$A$127)))</f>
        <v/>
      </c>
      <c r="T136" s="203" t="str">
        <f>IF(T$3="","",IF(COUNTIFS(BD!$A$3:$A$5001,T$3,BD!$B$3:$B$5001,$A$127,BD!$L$3:$L$5001,"&lt;&gt;")=0,"",SUMIFS(BD!$L$3:$L$5001,BD!$A$3:$A$5001,T$3,BD!$B$3:$B$5001,$A$127)))</f>
        <v/>
      </c>
      <c r="U136" s="203" t="str">
        <f>IF(U$3="","",IF(COUNTIFS(BD!$A$3:$A$5001,U$3,BD!$B$3:$B$5001,$A$127,BD!$L$3:$L$5001,"&lt;&gt;")=0,"",SUMIFS(BD!$L$3:$L$5001,BD!$A$3:$A$5001,U$3,BD!$B$3:$B$5001,$A$127)))</f>
        <v/>
      </c>
      <c r="V136" s="203" t="str">
        <f>IF(V$3="","",IF(COUNTIFS(BD!$A$3:$A$5001,V$3,BD!$B$3:$B$5001,$A$127,BD!$L$3:$L$5001,"&lt;&gt;")=0,"",SUMIFS(BD!$L$3:$L$5001,BD!$A$3:$A$5001,V$3,BD!$B$3:$B$5001,$A$127)))</f>
        <v/>
      </c>
      <c r="W136" s="203" t="str">
        <f>IF(W$3="","",IF(COUNTIFS(BD!$A$3:$A$5001,W$3,BD!$B$3:$B$5001,$A$127,BD!$L$3:$L$5001,"&lt;&gt;")=0,"",SUMIFS(BD!$L$3:$L$5001,BD!$A$3:$A$5001,W$3,BD!$B$3:$B$5001,$A$127)))</f>
        <v/>
      </c>
      <c r="X136" s="203" t="str">
        <f>IF(X$3="","",IF(COUNTIFS(BD!$A$3:$A$5001,X$3,BD!$B$3:$B$5001,$A$127,BD!$L$3:$L$5001,"&lt;&gt;")=0,"",SUMIFS(BD!$L$3:$L$5001,BD!$A$3:$A$5001,X$3,BD!$B$3:$B$5001,$A$127)))</f>
        <v/>
      </c>
      <c r="Y136" s="203" t="str">
        <f>IF(Y$3="","",IF(COUNTIFS(BD!$A$3:$A$5001,Y$3,BD!$B$3:$B$5001,$A$127,BD!$L$3:$L$5001,"&lt;&gt;")=0,"",SUMIFS(BD!$L$3:$L$5001,BD!$A$3:$A$5001,Y$3,BD!$B$3:$B$5001,$A$127)))</f>
        <v/>
      </c>
      <c r="Z136" s="203" t="str">
        <f>IF(Z$3="","",IF(COUNTIFS(BD!$A$3:$A$5001,Z$3,BD!$B$3:$B$5001,$A$127,BD!$L$3:$L$5001,"&lt;&gt;")=0,"",SUMIFS(BD!$L$3:$L$5001,BD!$A$3:$A$5001,Z$3,BD!$B$3:$B$5001,$A$127)))</f>
        <v/>
      </c>
      <c r="AA136" s="203" t="str">
        <f>IF(AA$3="","",IF(COUNTIFS(BD!$A$3:$A$5001,AA$3,BD!$B$3:$B$5001,$A$127,BD!$L$3:$L$5001,"&lt;&gt;")=0,"",SUMIFS(BD!$L$3:$L$5001,BD!$A$3:$A$5001,AA$3,BD!$B$3:$B$5001,$A$127)))</f>
        <v/>
      </c>
      <c r="AB136" s="203" t="str">
        <f>IF(AB$3="","",IF(COUNTIFS(BD!$A$3:$A$5001,AB$3,BD!$B$3:$B$5001,$A$127,BD!$L$3:$L$5001,"&lt;&gt;")=0,"",SUMIFS(BD!$L$3:$L$5001,BD!$A$3:$A$5001,AB$3,BD!$B$3:$B$5001,$A$127)))</f>
        <v/>
      </c>
      <c r="AC136" s="203" t="str">
        <f>IF(AC$3="","",IF(COUNTIFS(BD!$A$3:$A$5001,AC$3,BD!$B$3:$B$5001,$A$127,BD!$L$3:$L$5001,"&lt;&gt;")=0,"",SUMIFS(BD!$L$3:$L$5001,BD!$A$3:$A$5001,AC$3,BD!$B$3:$B$5001,$A$127)))</f>
        <v/>
      </c>
      <c r="AD136" s="203" t="str">
        <f>IF(AD$3="","",IF(COUNTIFS(BD!$A$3:$A$5001,AD$3,BD!$B$3:$B$5001,$A$127,BD!$L$3:$L$5001,"&lt;&gt;")=0,"",SUMIFS(BD!$L$3:$L$5001,BD!$A$3:$A$5001,AD$3,BD!$B$3:$B$5001,$A$127)))</f>
        <v/>
      </c>
      <c r="AE136" s="203" t="str">
        <f>IF(AE$3="","",IF(COUNTIFS(BD!$A$3:$A$5001,AE$3,BD!$B$3:$B$5001,$A$127,BD!$L$3:$L$5001,"&lt;&gt;")=0,"",SUMIFS(BD!$L$3:$L$5001,BD!$A$3:$A$5001,AE$3,BD!$B$3:$B$5001,$A$127)))</f>
        <v/>
      </c>
      <c r="AF136" s="203" t="str">
        <f>IF(AF$3="","",IF(COUNTIFS(BD!$A$3:$A$5001,AF$3,BD!$B$3:$B$5001,$A$127,BD!$L$3:$L$5001,"&lt;&gt;")=0,"",SUMIFS(BD!$L$3:$L$5001,BD!$A$3:$A$5001,AF$3,BD!$B$3:$B$5001,$A$127)))</f>
        <v/>
      </c>
      <c r="AG136" s="203" t="str">
        <f>IF(AG$3="","",IF(COUNTIFS(BD!$A$3:$A$5001,AG$3,BD!$B$3:$B$5001,$A$127,BD!$L$3:$L$5001,"&lt;&gt;")=0,"",SUMIFS(BD!$L$3:$L$5001,BD!$A$3:$A$5001,AG$3,BD!$B$3:$B$5001,$A$127)))</f>
        <v/>
      </c>
      <c r="AH136" s="203" t="str">
        <f>IF(AH$3="","",IF(COUNTIFS(BD!$A$3:$A$5001,AH$3,BD!$B$3:$B$5001,$A$127,BD!$L$3:$L$5001,"&lt;&gt;")=0,"",SUMIFS(BD!$L$3:$L$5001,BD!$A$3:$A$5001,AH$3,BD!$B$3:$B$5001,$A$127)))</f>
        <v/>
      </c>
      <c r="AI136" s="203" t="str">
        <f>IF(AI$3="","",IF(COUNTIFS(BD!$A$3:$A$5001,AI$3,BD!$B$3:$B$5001,$A$127,BD!$L$3:$L$5001,"&lt;&gt;")=0,"",SUMIFS(BD!$L$3:$L$5001,BD!$A$3:$A$5001,AI$3,BD!$B$3:$B$5001,$A$127)))</f>
        <v/>
      </c>
      <c r="AJ136" s="204" t="str">
        <f>IF(AJ$3="","",IF(COUNTIFS(BD!$A$3:$A$5001,AJ$3,BD!$B$3:$B$5001,$A$127,BD!$L$3:$L$5001,"&lt;&gt;")=0,"",SUMIFS(BD!$L$3:$L$5001,BD!$A$3:$A$5001,AJ$3,BD!$B$3:$B$5001,$A$127)))</f>
        <v/>
      </c>
      <c r="AK136" s="205" t="str">
        <f>IF(COUNT(F136:AJ136)=0,"",SUM(F136:AJ136))</f>
        <v/>
      </c>
    </row>
    <row r="137" ht="15.75" customHeight="1" hidden="1">
      <c r="A137" s="277"/>
      <c r="B137" s="269"/>
      <c r="C137" s="210" t="inlineStr">
        <is>
          <t xml:space="preserve">Bags Expedidos</t>
        </is>
      </c>
      <c r="D137" s="211" t="str">
        <f>IFERROR(1/(1/INDEX(BD!$AF$33:$AZ$33,MATCH($A$127,BD!$AF$22:$AZ$22,0))),"")</f>
        <v/>
      </c>
      <c r="E137" s="212"/>
      <c r="F137" s="213" t="str">
        <f>IF(F$3="","",IF(COUNTIFS(BD!$A$3:$A$5001,F$3,BD!$B$3:$B$5001,$A$127,BD!$M$3:$M$5001,"&lt;&gt;")=0,"",SUMIFS(BD!$M$3:$M$5001,BD!$A$3:$A$5001,F$3,BD!$B$3:$B$5001,$A$127)))</f>
        <v/>
      </c>
      <c r="G137" s="214" t="str">
        <f>IF(G$3="","",IF(COUNTIFS(BD!$A$3:$A$5001,G$3,BD!$B$3:$B$5001,$A$127,BD!$M$3:$M$5001,"&lt;&gt;")=0,"",SUMIFS(BD!$M$3:$M$5001,BD!$A$3:$A$5001,G$3,BD!$B$3:$B$5001,$A$127)))</f>
        <v/>
      </c>
      <c r="H137" s="214" t="str">
        <f>IF(H$3="","",IF(COUNTIFS(BD!$A$3:$A$5001,H$3,BD!$B$3:$B$5001,$A$127,BD!$M$3:$M$5001,"&lt;&gt;")=0,"",SUMIFS(BD!$M$3:$M$5001,BD!$A$3:$A$5001,H$3,BD!$B$3:$B$5001,$A$127)))</f>
        <v/>
      </c>
      <c r="I137" s="214" t="str">
        <f>IF(I$3="","",IF(COUNTIFS(BD!$A$3:$A$5001,I$3,BD!$B$3:$B$5001,$A$127,BD!$M$3:$M$5001,"&lt;&gt;")=0,"",SUMIFS(BD!$M$3:$M$5001,BD!$A$3:$A$5001,I$3,BD!$B$3:$B$5001,$A$127)))</f>
        <v/>
      </c>
      <c r="J137" s="214" t="str">
        <f>IF(J$3="","",IF(COUNTIFS(BD!$A$3:$A$5001,J$3,BD!$B$3:$B$5001,$A$127,BD!$M$3:$M$5001,"&lt;&gt;")=0,"",SUMIFS(BD!$M$3:$M$5001,BD!$A$3:$A$5001,J$3,BD!$B$3:$B$5001,$A$127)))</f>
        <v/>
      </c>
      <c r="K137" s="214" t="str">
        <f>IF(K$3="","",IF(COUNTIFS(BD!$A$3:$A$5001,K$3,BD!$B$3:$B$5001,$A$127,BD!$M$3:$M$5001,"&lt;&gt;")=0,"",SUMIFS(BD!$M$3:$M$5001,BD!$A$3:$A$5001,K$3,BD!$B$3:$B$5001,$A$127)))</f>
        <v/>
      </c>
      <c r="L137" s="214" t="str">
        <f>IF(L$3="","",IF(COUNTIFS(BD!$A$3:$A$5001,L$3,BD!$B$3:$B$5001,$A$127,BD!$M$3:$M$5001,"&lt;&gt;")=0,"",SUMIFS(BD!$M$3:$M$5001,BD!$A$3:$A$5001,L$3,BD!$B$3:$B$5001,$A$127)))</f>
        <v/>
      </c>
      <c r="M137" s="214" t="str">
        <f>IF(M$3="","",IF(COUNTIFS(BD!$A$3:$A$5001,M$3,BD!$B$3:$B$5001,$A$127,BD!$M$3:$M$5001,"&lt;&gt;")=0,"",SUMIFS(BD!$M$3:$M$5001,BD!$A$3:$A$5001,M$3,BD!$B$3:$B$5001,$A$127)))</f>
        <v/>
      </c>
      <c r="N137" s="214" t="str">
        <f>IF(N$3="","",IF(COUNTIFS(BD!$A$3:$A$5001,N$3,BD!$B$3:$B$5001,$A$127,BD!$M$3:$M$5001,"&lt;&gt;")=0,"",SUMIFS(BD!$M$3:$M$5001,BD!$A$3:$A$5001,N$3,BD!$B$3:$B$5001,$A$127)))</f>
        <v/>
      </c>
      <c r="O137" s="214" t="str">
        <f>IF(O$3="","",IF(COUNTIFS(BD!$A$3:$A$5001,O$3,BD!$B$3:$B$5001,$A$127,BD!$M$3:$M$5001,"&lt;&gt;")=0,"",SUMIFS(BD!$M$3:$M$5001,BD!$A$3:$A$5001,O$3,BD!$B$3:$B$5001,$A$127)))</f>
        <v/>
      </c>
      <c r="P137" s="214" t="str">
        <f>IF(P$3="","",IF(COUNTIFS(BD!$A$3:$A$5001,P$3,BD!$B$3:$B$5001,$A$127,BD!$M$3:$M$5001,"&lt;&gt;")=0,"",SUMIFS(BD!$M$3:$M$5001,BD!$A$3:$A$5001,P$3,BD!$B$3:$B$5001,$A$127)))</f>
        <v/>
      </c>
      <c r="Q137" s="214" t="str">
        <f>IF(Q$3="","",IF(COUNTIFS(BD!$A$3:$A$5001,Q$3,BD!$B$3:$B$5001,$A$127,BD!$M$3:$M$5001,"&lt;&gt;")=0,"",SUMIFS(BD!$M$3:$M$5001,BD!$A$3:$A$5001,Q$3,BD!$B$3:$B$5001,$A$127)))</f>
        <v/>
      </c>
      <c r="R137" s="214" t="str">
        <f>IF(R$3="","",IF(COUNTIFS(BD!$A$3:$A$5001,R$3,BD!$B$3:$B$5001,$A$127,BD!$M$3:$M$5001,"&lt;&gt;")=0,"",SUMIFS(BD!$M$3:$M$5001,BD!$A$3:$A$5001,R$3,BD!$B$3:$B$5001,$A$127)))</f>
        <v/>
      </c>
      <c r="S137" s="214" t="str">
        <f>IF(S$3="","",IF(COUNTIFS(BD!$A$3:$A$5001,S$3,BD!$B$3:$B$5001,$A$127,BD!$M$3:$M$5001,"&lt;&gt;")=0,"",SUMIFS(BD!$M$3:$M$5001,BD!$A$3:$A$5001,S$3,BD!$B$3:$B$5001,$A$127)))</f>
        <v/>
      </c>
      <c r="T137" s="214" t="str">
        <f>IF(T$3="","",IF(COUNTIFS(BD!$A$3:$A$5001,T$3,BD!$B$3:$B$5001,$A$127,BD!$M$3:$M$5001,"&lt;&gt;")=0,"",SUMIFS(BD!$M$3:$M$5001,BD!$A$3:$A$5001,T$3,BD!$B$3:$B$5001,$A$127)))</f>
        <v/>
      </c>
      <c r="U137" s="214" t="str">
        <f>IF(U$3="","",IF(COUNTIFS(BD!$A$3:$A$5001,U$3,BD!$B$3:$B$5001,$A$127,BD!$M$3:$M$5001,"&lt;&gt;")=0,"",SUMIFS(BD!$M$3:$M$5001,BD!$A$3:$A$5001,U$3,BD!$B$3:$B$5001,$A$127)))</f>
        <v/>
      </c>
      <c r="V137" s="214" t="str">
        <f>IF(V$3="","",IF(COUNTIFS(BD!$A$3:$A$5001,V$3,BD!$B$3:$B$5001,$A$127,BD!$M$3:$M$5001,"&lt;&gt;")=0,"",SUMIFS(BD!$M$3:$M$5001,BD!$A$3:$A$5001,V$3,BD!$B$3:$B$5001,$A$127)))</f>
        <v/>
      </c>
      <c r="W137" s="214" t="str">
        <f>IF(W$3="","",IF(COUNTIFS(BD!$A$3:$A$5001,W$3,BD!$B$3:$B$5001,$A$127,BD!$M$3:$M$5001,"&lt;&gt;")=0,"",SUMIFS(BD!$M$3:$M$5001,BD!$A$3:$A$5001,W$3,BD!$B$3:$B$5001,$A$127)))</f>
        <v/>
      </c>
      <c r="X137" s="214" t="str">
        <f>IF(X$3="","",IF(COUNTIFS(BD!$A$3:$A$5001,X$3,BD!$B$3:$B$5001,$A$127,BD!$M$3:$M$5001,"&lt;&gt;")=0,"",SUMIFS(BD!$M$3:$M$5001,BD!$A$3:$A$5001,X$3,BD!$B$3:$B$5001,$A$127)))</f>
        <v/>
      </c>
      <c r="Y137" s="214" t="str">
        <f>IF(Y$3="","",IF(COUNTIFS(BD!$A$3:$A$5001,Y$3,BD!$B$3:$B$5001,$A$127,BD!$M$3:$M$5001,"&lt;&gt;")=0,"",SUMIFS(BD!$M$3:$M$5001,BD!$A$3:$A$5001,Y$3,BD!$B$3:$B$5001,$A$127)))</f>
        <v/>
      </c>
      <c r="Z137" s="214" t="str">
        <f>IF(Z$3="","",IF(COUNTIFS(BD!$A$3:$A$5001,Z$3,BD!$B$3:$B$5001,$A$127,BD!$M$3:$M$5001,"&lt;&gt;")=0,"",SUMIFS(BD!$M$3:$M$5001,BD!$A$3:$A$5001,Z$3,BD!$B$3:$B$5001,$A$127)))</f>
        <v/>
      </c>
      <c r="AA137" s="214" t="str">
        <f>IF(AA$3="","",IF(COUNTIFS(BD!$A$3:$A$5001,AA$3,BD!$B$3:$B$5001,$A$127,BD!$M$3:$M$5001,"&lt;&gt;")=0,"",SUMIFS(BD!$M$3:$M$5001,BD!$A$3:$A$5001,AA$3,BD!$B$3:$B$5001,$A$127)))</f>
        <v/>
      </c>
      <c r="AB137" s="214" t="str">
        <f>IF(AB$3="","",IF(COUNTIFS(BD!$A$3:$A$5001,AB$3,BD!$B$3:$B$5001,$A$127,BD!$M$3:$M$5001,"&lt;&gt;")=0,"",SUMIFS(BD!$M$3:$M$5001,BD!$A$3:$A$5001,AB$3,BD!$B$3:$B$5001,$A$127)))</f>
        <v/>
      </c>
      <c r="AC137" s="214" t="str">
        <f>IF(AC$3="","",IF(COUNTIFS(BD!$A$3:$A$5001,AC$3,BD!$B$3:$B$5001,$A$127,BD!$M$3:$M$5001,"&lt;&gt;")=0,"",SUMIFS(BD!$M$3:$M$5001,BD!$A$3:$A$5001,AC$3,BD!$B$3:$B$5001,$A$127)))</f>
        <v/>
      </c>
      <c r="AD137" s="214" t="str">
        <f>IF(AD$3="","",IF(COUNTIFS(BD!$A$3:$A$5001,AD$3,BD!$B$3:$B$5001,$A$127,BD!$M$3:$M$5001,"&lt;&gt;")=0,"",SUMIFS(BD!$M$3:$M$5001,BD!$A$3:$A$5001,AD$3,BD!$B$3:$B$5001,$A$127)))</f>
        <v/>
      </c>
      <c r="AE137" s="214" t="str">
        <f>IF(AE$3="","",IF(COUNTIFS(BD!$A$3:$A$5001,AE$3,BD!$B$3:$B$5001,$A$127,BD!$M$3:$M$5001,"&lt;&gt;")=0,"",SUMIFS(BD!$M$3:$M$5001,BD!$A$3:$A$5001,AE$3,BD!$B$3:$B$5001,$A$127)))</f>
        <v/>
      </c>
      <c r="AF137" s="214" t="str">
        <f>IF(AF$3="","",IF(COUNTIFS(BD!$A$3:$A$5001,AF$3,BD!$B$3:$B$5001,$A$127,BD!$M$3:$M$5001,"&lt;&gt;")=0,"",SUMIFS(BD!$M$3:$M$5001,BD!$A$3:$A$5001,AF$3,BD!$B$3:$B$5001,$A$127)))</f>
        <v/>
      </c>
      <c r="AG137" s="214" t="str">
        <f>IF(AG$3="","",IF(COUNTIFS(BD!$A$3:$A$5001,AG$3,BD!$B$3:$B$5001,$A$127,BD!$M$3:$M$5001,"&lt;&gt;")=0,"",SUMIFS(BD!$M$3:$M$5001,BD!$A$3:$A$5001,AG$3,BD!$B$3:$B$5001,$A$127)))</f>
        <v/>
      </c>
      <c r="AH137" s="214" t="str">
        <f>IF(AH$3="","",IF(COUNTIFS(BD!$A$3:$A$5001,AH$3,BD!$B$3:$B$5001,$A$127,BD!$M$3:$M$5001,"&lt;&gt;")=0,"",SUMIFS(BD!$M$3:$M$5001,BD!$A$3:$A$5001,AH$3,BD!$B$3:$B$5001,$A$127)))</f>
        <v/>
      </c>
      <c r="AI137" s="214" t="str">
        <f>IF(AI$3="","",IF(COUNTIFS(BD!$A$3:$A$5001,AI$3,BD!$B$3:$B$5001,$A$127,BD!$M$3:$M$5001,"&lt;&gt;")=0,"",SUMIFS(BD!$M$3:$M$5001,BD!$A$3:$A$5001,AI$3,BD!$B$3:$B$5001,$A$127)))</f>
        <v/>
      </c>
      <c r="AJ137" s="215" t="str">
        <f>IF(AJ$3="","",IF(COUNTIFS(BD!$A$3:$A$5001,AJ$3,BD!$B$3:$B$5001,$A$127,BD!$M$3:$M$5001,"&lt;&gt;")=0,"",SUMIFS(BD!$M$3:$M$5001,BD!$A$3:$A$5001,AJ$3,BD!$B$3:$B$5001,$A$127)))</f>
        <v/>
      </c>
      <c r="AK137" s="211" t="str">
        <f>IF(COUNT(F137:AJ137)=0,"",SUM(F137:AJ137))</f>
        <v/>
      </c>
    </row>
    <row r="138" ht="15.75" customHeight="1" hidden="1">
      <c r="A138" s="277"/>
      <c r="B138" s="270" t="inlineStr">
        <is>
          <t xml:space="preserve">NC</t>
        </is>
      </c>
      <c r="C138" s="216" t="inlineStr">
        <is>
          <t xml:space="preserve">Incidentes</t>
        </is>
      </c>
      <c r="D138" s="217" t="str">
        <f>IFERROR(1/(1/INDEX(BD!$AF$34:$AZ$34,MATCH($A$127,BD!$AF$22:$AZ$22,0))),"")</f>
        <v/>
      </c>
      <c r="E138" s="218"/>
      <c r="F138" s="219" t="str">
        <f>IF(F$3="","",IF(COUNTIFS(BD!$A$3:$A$5001,F$3,BD!$B$3:$B$5001,$A$127,BD!$N$3:$N$5001,"&lt;&gt;")=0,"",SUMIFS(BD!$N$3:$N$5001,BD!$A$3:$A$5001,F$3,BD!$B$3:$B$5001,$A$127)))</f>
        <v/>
      </c>
      <c r="G138" s="220" t="str">
        <f>IF(G$3="","",IF(COUNTIFS(BD!$A$3:$A$5001,G$3,BD!$B$3:$B$5001,$A$127,BD!$N$3:$N$5001,"&lt;&gt;")=0,"",SUMIFS(BD!$N$3:$N$5001,BD!$A$3:$A$5001,G$3,BD!$B$3:$B$5001,$A$127)))</f>
        <v/>
      </c>
      <c r="H138" s="220" t="str">
        <f>IF(H$3="","",IF(COUNTIFS(BD!$A$3:$A$5001,H$3,BD!$B$3:$B$5001,$A$127,BD!$N$3:$N$5001,"&lt;&gt;")=0,"",SUMIFS(BD!$N$3:$N$5001,BD!$A$3:$A$5001,H$3,BD!$B$3:$B$5001,$A$127)))</f>
        <v/>
      </c>
      <c r="I138" s="220" t="str">
        <f>IF(I$3="","",IF(COUNTIFS(BD!$A$3:$A$5001,I$3,BD!$B$3:$B$5001,$A$127,BD!$N$3:$N$5001,"&lt;&gt;")=0,"",SUMIFS(BD!$N$3:$N$5001,BD!$A$3:$A$5001,I$3,BD!$B$3:$B$5001,$A$127)))</f>
        <v/>
      </c>
      <c r="J138" s="220" t="str">
        <f>IF(J$3="","",IF(COUNTIFS(BD!$A$3:$A$5001,J$3,BD!$B$3:$B$5001,$A$127,BD!$N$3:$N$5001,"&lt;&gt;")=0,"",SUMIFS(BD!$N$3:$N$5001,BD!$A$3:$A$5001,J$3,BD!$B$3:$B$5001,$A$127)))</f>
        <v/>
      </c>
      <c r="K138" s="220" t="str">
        <f>IF(K$3="","",IF(COUNTIFS(BD!$A$3:$A$5001,K$3,BD!$B$3:$B$5001,$A$127,BD!$N$3:$N$5001,"&lt;&gt;")=0,"",SUMIFS(BD!$N$3:$N$5001,BD!$A$3:$A$5001,K$3,BD!$B$3:$B$5001,$A$127)))</f>
        <v/>
      </c>
      <c r="L138" s="220" t="str">
        <f>IF(L$3="","",IF(COUNTIFS(BD!$A$3:$A$5001,L$3,BD!$B$3:$B$5001,$A$127,BD!$N$3:$N$5001,"&lt;&gt;")=0,"",SUMIFS(BD!$N$3:$N$5001,BD!$A$3:$A$5001,L$3,BD!$B$3:$B$5001,$A$127)))</f>
        <v/>
      </c>
      <c r="M138" s="220" t="str">
        <f>IF(M$3="","",IF(COUNTIFS(BD!$A$3:$A$5001,M$3,BD!$B$3:$B$5001,$A$127,BD!$N$3:$N$5001,"&lt;&gt;")=0,"",SUMIFS(BD!$N$3:$N$5001,BD!$A$3:$A$5001,M$3,BD!$B$3:$B$5001,$A$127)))</f>
        <v/>
      </c>
      <c r="N138" s="220" t="str">
        <f>IF(N$3="","",IF(COUNTIFS(BD!$A$3:$A$5001,N$3,BD!$B$3:$B$5001,$A$127,BD!$N$3:$N$5001,"&lt;&gt;")=0,"",SUMIFS(BD!$N$3:$N$5001,BD!$A$3:$A$5001,N$3,BD!$B$3:$B$5001,$A$127)))</f>
        <v/>
      </c>
      <c r="O138" s="220" t="str">
        <f>IF(O$3="","",IF(COUNTIFS(BD!$A$3:$A$5001,O$3,BD!$B$3:$B$5001,$A$127,BD!$N$3:$N$5001,"&lt;&gt;")=0,"",SUMIFS(BD!$N$3:$N$5001,BD!$A$3:$A$5001,O$3,BD!$B$3:$B$5001,$A$127)))</f>
        <v/>
      </c>
      <c r="P138" s="220" t="str">
        <f>IF(P$3="","",IF(COUNTIFS(BD!$A$3:$A$5001,P$3,BD!$B$3:$B$5001,$A$127,BD!$N$3:$N$5001,"&lt;&gt;")=0,"",SUMIFS(BD!$N$3:$N$5001,BD!$A$3:$A$5001,P$3,BD!$B$3:$B$5001,$A$127)))</f>
        <v/>
      </c>
      <c r="Q138" s="220" t="str">
        <f>IF(Q$3="","",IF(COUNTIFS(BD!$A$3:$A$5001,Q$3,BD!$B$3:$B$5001,$A$127,BD!$N$3:$N$5001,"&lt;&gt;")=0,"",SUMIFS(BD!$N$3:$N$5001,BD!$A$3:$A$5001,Q$3,BD!$B$3:$B$5001,$A$127)))</f>
        <v/>
      </c>
      <c r="R138" s="220" t="str">
        <f>IF(R$3="","",IF(COUNTIFS(BD!$A$3:$A$5001,R$3,BD!$B$3:$B$5001,$A$127,BD!$N$3:$N$5001,"&lt;&gt;")=0,"",SUMIFS(BD!$N$3:$N$5001,BD!$A$3:$A$5001,R$3,BD!$B$3:$B$5001,$A$127)))</f>
        <v/>
      </c>
      <c r="S138" s="220" t="str">
        <f>IF(S$3="","",IF(COUNTIFS(BD!$A$3:$A$5001,S$3,BD!$B$3:$B$5001,$A$127,BD!$N$3:$N$5001,"&lt;&gt;")=0,"",SUMIFS(BD!$N$3:$N$5001,BD!$A$3:$A$5001,S$3,BD!$B$3:$B$5001,$A$127)))</f>
        <v/>
      </c>
      <c r="T138" s="220" t="str">
        <f>IF(T$3="","",IF(COUNTIFS(BD!$A$3:$A$5001,T$3,BD!$B$3:$B$5001,$A$127,BD!$N$3:$N$5001,"&lt;&gt;")=0,"",SUMIFS(BD!$N$3:$N$5001,BD!$A$3:$A$5001,T$3,BD!$B$3:$B$5001,$A$127)))</f>
        <v/>
      </c>
      <c r="U138" s="220" t="str">
        <f>IF(U$3="","",IF(COUNTIFS(BD!$A$3:$A$5001,U$3,BD!$B$3:$B$5001,$A$127,BD!$N$3:$N$5001,"&lt;&gt;")=0,"",SUMIFS(BD!$N$3:$N$5001,BD!$A$3:$A$5001,U$3,BD!$B$3:$B$5001,$A$127)))</f>
        <v/>
      </c>
      <c r="V138" s="220" t="str">
        <f>IF(V$3="","",IF(COUNTIFS(BD!$A$3:$A$5001,V$3,BD!$B$3:$B$5001,$A$127,BD!$N$3:$N$5001,"&lt;&gt;")=0,"",SUMIFS(BD!$N$3:$N$5001,BD!$A$3:$A$5001,V$3,BD!$B$3:$B$5001,$A$127)))</f>
        <v/>
      </c>
      <c r="W138" s="220" t="str">
        <f>IF(W$3="","",IF(COUNTIFS(BD!$A$3:$A$5001,W$3,BD!$B$3:$B$5001,$A$127,BD!$N$3:$N$5001,"&lt;&gt;")=0,"",SUMIFS(BD!$N$3:$N$5001,BD!$A$3:$A$5001,W$3,BD!$B$3:$B$5001,$A$127)))</f>
        <v/>
      </c>
      <c r="X138" s="220" t="str">
        <f>IF(X$3="","",IF(COUNTIFS(BD!$A$3:$A$5001,X$3,BD!$B$3:$B$5001,$A$127,BD!$N$3:$N$5001,"&lt;&gt;")=0,"",SUMIFS(BD!$N$3:$N$5001,BD!$A$3:$A$5001,X$3,BD!$B$3:$B$5001,$A$127)))</f>
        <v/>
      </c>
      <c r="Y138" s="220" t="str">
        <f>IF(Y$3="","",IF(COUNTIFS(BD!$A$3:$A$5001,Y$3,BD!$B$3:$B$5001,$A$127,BD!$N$3:$N$5001,"&lt;&gt;")=0,"",SUMIFS(BD!$N$3:$N$5001,BD!$A$3:$A$5001,Y$3,BD!$B$3:$B$5001,$A$127)))</f>
        <v/>
      </c>
      <c r="Z138" s="220" t="str">
        <f>IF(Z$3="","",IF(COUNTIFS(BD!$A$3:$A$5001,Z$3,BD!$B$3:$B$5001,$A$127,BD!$N$3:$N$5001,"&lt;&gt;")=0,"",SUMIFS(BD!$N$3:$N$5001,BD!$A$3:$A$5001,Z$3,BD!$B$3:$B$5001,$A$127)))</f>
        <v/>
      </c>
      <c r="AA138" s="220" t="str">
        <f>IF(AA$3="","",IF(COUNTIFS(BD!$A$3:$A$5001,AA$3,BD!$B$3:$B$5001,$A$127,BD!$N$3:$N$5001,"&lt;&gt;")=0,"",SUMIFS(BD!$N$3:$N$5001,BD!$A$3:$A$5001,AA$3,BD!$B$3:$B$5001,$A$127)))</f>
        <v/>
      </c>
      <c r="AB138" s="220" t="str">
        <f>IF(AB$3="","",IF(COUNTIFS(BD!$A$3:$A$5001,AB$3,BD!$B$3:$B$5001,$A$127,BD!$N$3:$N$5001,"&lt;&gt;")=0,"",SUMIFS(BD!$N$3:$N$5001,BD!$A$3:$A$5001,AB$3,BD!$B$3:$B$5001,$A$127)))</f>
        <v/>
      </c>
      <c r="AC138" s="220" t="str">
        <f>IF(AC$3="","",IF(COUNTIFS(BD!$A$3:$A$5001,AC$3,BD!$B$3:$B$5001,$A$127,BD!$N$3:$N$5001,"&lt;&gt;")=0,"",SUMIFS(BD!$N$3:$N$5001,BD!$A$3:$A$5001,AC$3,BD!$B$3:$B$5001,$A$127)))</f>
        <v/>
      </c>
      <c r="AD138" s="220" t="str">
        <f>IF(AD$3="","",IF(COUNTIFS(BD!$A$3:$A$5001,AD$3,BD!$B$3:$B$5001,$A$127,BD!$N$3:$N$5001,"&lt;&gt;")=0,"",SUMIFS(BD!$N$3:$N$5001,BD!$A$3:$A$5001,AD$3,BD!$B$3:$B$5001,$A$127)))</f>
        <v/>
      </c>
      <c r="AE138" s="220" t="str">
        <f>IF(AE$3="","",IF(COUNTIFS(BD!$A$3:$A$5001,AE$3,BD!$B$3:$B$5001,$A$127,BD!$N$3:$N$5001,"&lt;&gt;")=0,"",SUMIFS(BD!$N$3:$N$5001,BD!$A$3:$A$5001,AE$3,BD!$B$3:$B$5001,$A$127)))</f>
        <v/>
      </c>
      <c r="AF138" s="220" t="str">
        <f>IF(AF$3="","",IF(COUNTIFS(BD!$A$3:$A$5001,AF$3,BD!$B$3:$B$5001,$A$127,BD!$N$3:$N$5001,"&lt;&gt;")=0,"",SUMIFS(BD!$N$3:$N$5001,BD!$A$3:$A$5001,AF$3,BD!$B$3:$B$5001,$A$127)))</f>
        <v/>
      </c>
      <c r="AG138" s="220" t="str">
        <f>IF(AG$3="","",IF(COUNTIFS(BD!$A$3:$A$5001,AG$3,BD!$B$3:$B$5001,$A$127,BD!$N$3:$N$5001,"&lt;&gt;")=0,"",SUMIFS(BD!$N$3:$N$5001,BD!$A$3:$A$5001,AG$3,BD!$B$3:$B$5001,$A$127)))</f>
        <v/>
      </c>
      <c r="AH138" s="220" t="str">
        <f>IF(AH$3="","",IF(COUNTIFS(BD!$A$3:$A$5001,AH$3,BD!$B$3:$B$5001,$A$127,BD!$N$3:$N$5001,"&lt;&gt;")=0,"",SUMIFS(BD!$N$3:$N$5001,BD!$A$3:$A$5001,AH$3,BD!$B$3:$B$5001,$A$127)))</f>
        <v/>
      </c>
      <c r="AI138" s="220" t="str">
        <f>IF(AI$3="","",IF(COUNTIFS(BD!$A$3:$A$5001,AI$3,BD!$B$3:$B$5001,$A$127,BD!$N$3:$N$5001,"&lt;&gt;")=0,"",SUMIFS(BD!$N$3:$N$5001,BD!$A$3:$A$5001,AI$3,BD!$B$3:$B$5001,$A$127)))</f>
        <v/>
      </c>
      <c r="AJ138" s="221" t="str">
        <f>IF(AJ$3="","",IF(COUNTIFS(BD!$A$3:$A$5001,AJ$3,BD!$B$3:$B$5001,$A$127,BD!$N$3:$N$5001,"&lt;&gt;")=0,"",SUMIFS(BD!$N$3:$N$5001,BD!$A$3:$A$5001,AJ$3,BD!$B$3:$B$5001,$A$127)))</f>
        <v/>
      </c>
      <c r="AK138" s="222" t="str">
        <f>IF(COUNT(F138:AJ138)=0,"",SUM(F138:AJ138))</f>
        <v/>
      </c>
    </row>
    <row r="139" ht="15.75" customHeight="1" hidden="1">
      <c r="A139" s="277"/>
      <c r="B139" s="271"/>
      <c r="C139" s="223" t="inlineStr">
        <is>
          <t xml:space="preserve">No show</t>
        </is>
      </c>
      <c r="D139" s="224" t="str">
        <f>IFERROR(1/(1/INDEX(BD!$AF$35:$AZ$35,MATCH($A$127,BD!$AF$22:$AZ$22,0))),"")</f>
        <v/>
      </c>
      <c r="E139" s="225"/>
      <c r="F139" s="226" t="str">
        <f>IF(F$3="","",IF(COUNTIFS(BD!$A$3:$A$5001,F$3,BD!$B$3:$B$5001,$A$127,BD!$O$3:$O$5001,"&lt;&gt;")=0,"",SUMIFS(BD!$O$3:$O$5001,BD!$A$3:$A$5001,F$3,BD!$B$3:$B$5001,$A$127)))</f>
        <v/>
      </c>
      <c r="G139" s="227" t="str">
        <f>IF(G$3="","",IF(COUNTIFS(BD!$A$3:$A$5001,G$3,BD!$B$3:$B$5001,$A$127,BD!$O$3:$O$5001,"&lt;&gt;")=0,"",SUMIFS(BD!$O$3:$O$5001,BD!$A$3:$A$5001,G$3,BD!$B$3:$B$5001,$A$127)))</f>
        <v/>
      </c>
      <c r="H139" s="227" t="str">
        <f>IF(H$3="","",IF(COUNTIFS(BD!$A$3:$A$5001,H$3,BD!$B$3:$B$5001,$A$127,BD!$O$3:$O$5001,"&lt;&gt;")=0,"",SUMIFS(BD!$O$3:$O$5001,BD!$A$3:$A$5001,H$3,BD!$B$3:$B$5001,$A$127)))</f>
        <v/>
      </c>
      <c r="I139" s="227" t="str">
        <f>IF(I$3="","",IF(COUNTIFS(BD!$A$3:$A$5001,I$3,BD!$B$3:$B$5001,$A$127,BD!$O$3:$O$5001,"&lt;&gt;")=0,"",SUMIFS(BD!$O$3:$O$5001,BD!$A$3:$A$5001,I$3,BD!$B$3:$B$5001,$A$127)))</f>
        <v/>
      </c>
      <c r="J139" s="227" t="str">
        <f>IF(J$3="","",IF(COUNTIFS(BD!$A$3:$A$5001,J$3,BD!$B$3:$B$5001,$A$127,BD!$O$3:$O$5001,"&lt;&gt;")=0,"",SUMIFS(BD!$O$3:$O$5001,BD!$A$3:$A$5001,J$3,BD!$B$3:$B$5001,$A$127)))</f>
        <v/>
      </c>
      <c r="K139" s="227" t="str">
        <f>IF(K$3="","",IF(COUNTIFS(BD!$A$3:$A$5001,K$3,BD!$B$3:$B$5001,$A$127,BD!$O$3:$O$5001,"&lt;&gt;")=0,"",SUMIFS(BD!$O$3:$O$5001,BD!$A$3:$A$5001,K$3,BD!$B$3:$B$5001,$A$127)))</f>
        <v/>
      </c>
      <c r="L139" s="227" t="str">
        <f>IF(L$3="","",IF(COUNTIFS(BD!$A$3:$A$5001,L$3,BD!$B$3:$B$5001,$A$127,BD!$O$3:$O$5001,"&lt;&gt;")=0,"",SUMIFS(BD!$O$3:$O$5001,BD!$A$3:$A$5001,L$3,BD!$B$3:$B$5001,$A$127)))</f>
        <v/>
      </c>
      <c r="M139" s="227" t="str">
        <f>IF(M$3="","",IF(COUNTIFS(BD!$A$3:$A$5001,M$3,BD!$B$3:$B$5001,$A$127,BD!$O$3:$O$5001,"&lt;&gt;")=0,"",SUMIFS(BD!$O$3:$O$5001,BD!$A$3:$A$5001,M$3,BD!$B$3:$B$5001,$A$127)))</f>
        <v/>
      </c>
      <c r="N139" s="227" t="str">
        <f>IF(N$3="","",IF(COUNTIFS(BD!$A$3:$A$5001,N$3,BD!$B$3:$B$5001,$A$127,BD!$O$3:$O$5001,"&lt;&gt;")=0,"",SUMIFS(BD!$O$3:$O$5001,BD!$A$3:$A$5001,N$3,BD!$B$3:$B$5001,$A$127)))</f>
        <v/>
      </c>
      <c r="O139" s="227" t="str">
        <f>IF(O$3="","",IF(COUNTIFS(BD!$A$3:$A$5001,O$3,BD!$B$3:$B$5001,$A$127,BD!$O$3:$O$5001,"&lt;&gt;")=0,"",SUMIFS(BD!$O$3:$O$5001,BD!$A$3:$A$5001,O$3,BD!$B$3:$B$5001,$A$127)))</f>
        <v/>
      </c>
      <c r="P139" s="227" t="str">
        <f>IF(P$3="","",IF(COUNTIFS(BD!$A$3:$A$5001,P$3,BD!$B$3:$B$5001,$A$127,BD!$O$3:$O$5001,"&lt;&gt;")=0,"",SUMIFS(BD!$O$3:$O$5001,BD!$A$3:$A$5001,P$3,BD!$B$3:$B$5001,$A$127)))</f>
        <v/>
      </c>
      <c r="Q139" s="227" t="str">
        <f>IF(Q$3="","",IF(COUNTIFS(BD!$A$3:$A$5001,Q$3,BD!$B$3:$B$5001,$A$127,BD!$O$3:$O$5001,"&lt;&gt;")=0,"",SUMIFS(BD!$O$3:$O$5001,BD!$A$3:$A$5001,Q$3,BD!$B$3:$B$5001,$A$127)))</f>
        <v/>
      </c>
      <c r="R139" s="227" t="str">
        <f>IF(R$3="","",IF(COUNTIFS(BD!$A$3:$A$5001,R$3,BD!$B$3:$B$5001,$A$127,BD!$O$3:$O$5001,"&lt;&gt;")=0,"",SUMIFS(BD!$O$3:$O$5001,BD!$A$3:$A$5001,R$3,BD!$B$3:$B$5001,$A$127)))</f>
        <v/>
      </c>
      <c r="S139" s="227" t="str">
        <f>IF(S$3="","",IF(COUNTIFS(BD!$A$3:$A$5001,S$3,BD!$B$3:$B$5001,$A$127,BD!$O$3:$O$5001,"&lt;&gt;")=0,"",SUMIFS(BD!$O$3:$O$5001,BD!$A$3:$A$5001,S$3,BD!$B$3:$B$5001,$A$127)))</f>
        <v/>
      </c>
      <c r="T139" s="227" t="str">
        <f>IF(T$3="","",IF(COUNTIFS(BD!$A$3:$A$5001,T$3,BD!$B$3:$B$5001,$A$127,BD!$O$3:$O$5001,"&lt;&gt;")=0,"",SUMIFS(BD!$O$3:$O$5001,BD!$A$3:$A$5001,T$3,BD!$B$3:$B$5001,$A$127)))</f>
        <v/>
      </c>
      <c r="U139" s="227" t="str">
        <f>IF(U$3="","",IF(COUNTIFS(BD!$A$3:$A$5001,U$3,BD!$B$3:$B$5001,$A$127,BD!$O$3:$O$5001,"&lt;&gt;")=0,"",SUMIFS(BD!$O$3:$O$5001,BD!$A$3:$A$5001,U$3,BD!$B$3:$B$5001,$A$127)))</f>
        <v/>
      </c>
      <c r="V139" s="227" t="str">
        <f>IF(V$3="","",IF(COUNTIFS(BD!$A$3:$A$5001,V$3,BD!$B$3:$B$5001,$A$127,BD!$O$3:$O$5001,"&lt;&gt;")=0,"",SUMIFS(BD!$O$3:$O$5001,BD!$A$3:$A$5001,V$3,BD!$B$3:$B$5001,$A$127)))</f>
        <v/>
      </c>
      <c r="W139" s="227" t="str">
        <f>IF(W$3="","",IF(COUNTIFS(BD!$A$3:$A$5001,W$3,BD!$B$3:$B$5001,$A$127,BD!$O$3:$O$5001,"&lt;&gt;")=0,"",SUMIFS(BD!$O$3:$O$5001,BD!$A$3:$A$5001,W$3,BD!$B$3:$B$5001,$A$127)))</f>
        <v/>
      </c>
      <c r="X139" s="227" t="str">
        <f>IF(X$3="","",IF(COUNTIFS(BD!$A$3:$A$5001,X$3,BD!$B$3:$B$5001,$A$127,BD!$O$3:$O$5001,"&lt;&gt;")=0,"",SUMIFS(BD!$O$3:$O$5001,BD!$A$3:$A$5001,X$3,BD!$B$3:$B$5001,$A$127)))</f>
        <v/>
      </c>
      <c r="Y139" s="227" t="str">
        <f>IF(Y$3="","",IF(COUNTIFS(BD!$A$3:$A$5001,Y$3,BD!$B$3:$B$5001,$A$127,BD!$O$3:$O$5001,"&lt;&gt;")=0,"",SUMIFS(BD!$O$3:$O$5001,BD!$A$3:$A$5001,Y$3,BD!$B$3:$B$5001,$A$127)))</f>
        <v/>
      </c>
      <c r="Z139" s="227" t="str">
        <f>IF(Z$3="","",IF(COUNTIFS(BD!$A$3:$A$5001,Z$3,BD!$B$3:$B$5001,$A$127,BD!$O$3:$O$5001,"&lt;&gt;")=0,"",SUMIFS(BD!$O$3:$O$5001,BD!$A$3:$A$5001,Z$3,BD!$B$3:$B$5001,$A$127)))</f>
        <v/>
      </c>
      <c r="AA139" s="227" t="str">
        <f>IF(AA$3="","",IF(COUNTIFS(BD!$A$3:$A$5001,AA$3,BD!$B$3:$B$5001,$A$127,BD!$O$3:$O$5001,"&lt;&gt;")=0,"",SUMIFS(BD!$O$3:$O$5001,BD!$A$3:$A$5001,AA$3,BD!$B$3:$B$5001,$A$127)))</f>
        <v/>
      </c>
      <c r="AB139" s="227" t="str">
        <f>IF(AB$3="","",IF(COUNTIFS(BD!$A$3:$A$5001,AB$3,BD!$B$3:$B$5001,$A$127,BD!$O$3:$O$5001,"&lt;&gt;")=0,"",SUMIFS(BD!$O$3:$O$5001,BD!$A$3:$A$5001,AB$3,BD!$B$3:$B$5001,$A$127)))</f>
        <v/>
      </c>
      <c r="AC139" s="227" t="str">
        <f>IF(AC$3="","",IF(COUNTIFS(BD!$A$3:$A$5001,AC$3,BD!$B$3:$B$5001,$A$127,BD!$O$3:$O$5001,"&lt;&gt;")=0,"",SUMIFS(BD!$O$3:$O$5001,BD!$A$3:$A$5001,AC$3,BD!$B$3:$B$5001,$A$127)))</f>
        <v/>
      </c>
      <c r="AD139" s="227" t="str">
        <f>IF(AD$3="","",IF(COUNTIFS(BD!$A$3:$A$5001,AD$3,BD!$B$3:$B$5001,$A$127,BD!$O$3:$O$5001,"&lt;&gt;")=0,"",SUMIFS(BD!$O$3:$O$5001,BD!$A$3:$A$5001,AD$3,BD!$B$3:$B$5001,$A$127)))</f>
        <v/>
      </c>
      <c r="AE139" s="227" t="str">
        <f>IF(AE$3="","",IF(COUNTIFS(BD!$A$3:$A$5001,AE$3,BD!$B$3:$B$5001,$A$127,BD!$O$3:$O$5001,"&lt;&gt;")=0,"",SUMIFS(BD!$O$3:$O$5001,BD!$A$3:$A$5001,AE$3,BD!$B$3:$B$5001,$A$127)))</f>
        <v/>
      </c>
      <c r="AF139" s="227" t="str">
        <f>IF(AF$3="","",IF(COUNTIFS(BD!$A$3:$A$5001,AF$3,BD!$B$3:$B$5001,$A$127,BD!$O$3:$O$5001,"&lt;&gt;")=0,"",SUMIFS(BD!$O$3:$O$5001,BD!$A$3:$A$5001,AF$3,BD!$B$3:$B$5001,$A$127)))</f>
        <v/>
      </c>
      <c r="AG139" s="227" t="str">
        <f>IF(AG$3="","",IF(COUNTIFS(BD!$A$3:$A$5001,AG$3,BD!$B$3:$B$5001,$A$127,BD!$O$3:$O$5001,"&lt;&gt;")=0,"",SUMIFS(BD!$O$3:$O$5001,BD!$A$3:$A$5001,AG$3,BD!$B$3:$B$5001,$A$127)))</f>
        <v/>
      </c>
      <c r="AH139" s="227" t="str">
        <f>IF(AH$3="","",IF(COUNTIFS(BD!$A$3:$A$5001,AH$3,BD!$B$3:$B$5001,$A$127,BD!$O$3:$O$5001,"&lt;&gt;")=0,"",SUMIFS(BD!$O$3:$O$5001,BD!$A$3:$A$5001,AH$3,BD!$B$3:$B$5001,$A$127)))</f>
        <v/>
      </c>
      <c r="AI139" s="227" t="str">
        <f>IF(AI$3="","",IF(COUNTIFS(BD!$A$3:$A$5001,AI$3,BD!$B$3:$B$5001,$A$127,BD!$O$3:$O$5001,"&lt;&gt;")=0,"",SUMIFS(BD!$O$3:$O$5001,BD!$A$3:$A$5001,AI$3,BD!$B$3:$B$5001,$A$127)))</f>
        <v/>
      </c>
      <c r="AJ139" s="228" t="str">
        <f>IF(AJ$3="","",IF(COUNTIFS(BD!$A$3:$A$5001,AJ$3,BD!$B$3:$B$5001,$A$127,BD!$O$3:$O$5001,"&lt;&gt;")=0,"",SUMIFS(BD!$O$3:$O$5001,BD!$A$3:$A$5001,AJ$3,BD!$B$3:$B$5001,$A$127)))</f>
        <v/>
      </c>
      <c r="AK139" s="229" t="str">
        <f>IF(COUNT(F139:AJ139)=0,"",SUM(F139:AJ139))</f>
        <v/>
      </c>
    </row>
    <row r="140" ht="15.75" customHeight="1" hidden="1">
      <c r="A140" s="277"/>
      <c r="B140" s="271"/>
      <c r="C140" s="223" t="inlineStr">
        <is>
          <t xml:space="preserve">Backlog Intralog</t>
        </is>
      </c>
      <c r="D140" s="224" t="str">
        <f>IFERROR(1/(1/INDEX(BD!$AF$36:$AZ$36,MATCH($A$127,BD!$AF$22:$AZ$22,0))),"")</f>
        <v/>
      </c>
      <c r="E140" s="225"/>
      <c r="F140" s="226" t="str">
        <f>IF(F$3="","",IF(COUNTIFS(BD!$A$3:$A$5001,F$3,BD!$B$3:$B$5001,$A$127,BD!$P$3:$P$5001,"&lt;&gt;")=0,"",SUMIFS(BD!$P$3:$P$5001,BD!$A$3:$A$5001,F$3,BD!$B$3:$B$5001,$A$127)))</f>
        <v/>
      </c>
      <c r="G140" s="227" t="str">
        <f>IF(G$3="","",IF(COUNTIFS(BD!$A$3:$A$5001,G$3,BD!$B$3:$B$5001,$A$127,BD!$P$3:$P$5001,"&lt;&gt;")=0,"",SUMIFS(BD!$P$3:$P$5001,BD!$A$3:$A$5001,G$3,BD!$B$3:$B$5001,$A$127)))</f>
        <v/>
      </c>
      <c r="H140" s="227" t="str">
        <f>IF(H$3="","",IF(COUNTIFS(BD!$A$3:$A$5001,H$3,BD!$B$3:$B$5001,$A$127,BD!$P$3:$P$5001,"&lt;&gt;")=0,"",SUMIFS(BD!$P$3:$P$5001,BD!$A$3:$A$5001,H$3,BD!$B$3:$B$5001,$A$127)))</f>
        <v/>
      </c>
      <c r="I140" s="227" t="str">
        <f>IF(I$3="","",IF(COUNTIFS(BD!$A$3:$A$5001,I$3,BD!$B$3:$B$5001,$A$127,BD!$P$3:$P$5001,"&lt;&gt;")=0,"",SUMIFS(BD!$P$3:$P$5001,BD!$A$3:$A$5001,I$3,BD!$B$3:$B$5001,$A$127)))</f>
        <v/>
      </c>
      <c r="J140" s="227" t="str">
        <f>IF(J$3="","",IF(COUNTIFS(BD!$A$3:$A$5001,J$3,BD!$B$3:$B$5001,$A$127,BD!$P$3:$P$5001,"&lt;&gt;")=0,"",SUMIFS(BD!$P$3:$P$5001,BD!$A$3:$A$5001,J$3,BD!$B$3:$B$5001,$A$127)))</f>
        <v/>
      </c>
      <c r="K140" s="227" t="str">
        <f>IF(K$3="","",IF(COUNTIFS(BD!$A$3:$A$5001,K$3,BD!$B$3:$B$5001,$A$127,BD!$P$3:$P$5001,"&lt;&gt;")=0,"",SUMIFS(BD!$P$3:$P$5001,BD!$A$3:$A$5001,K$3,BD!$B$3:$B$5001,$A$127)))</f>
        <v/>
      </c>
      <c r="L140" s="227" t="str">
        <f>IF(L$3="","",IF(COUNTIFS(BD!$A$3:$A$5001,L$3,BD!$B$3:$B$5001,$A$127,BD!$P$3:$P$5001,"&lt;&gt;")=0,"",SUMIFS(BD!$P$3:$P$5001,BD!$A$3:$A$5001,L$3,BD!$B$3:$B$5001,$A$127)))</f>
        <v/>
      </c>
      <c r="M140" s="227" t="str">
        <f>IF(M$3="","",IF(COUNTIFS(BD!$A$3:$A$5001,M$3,BD!$B$3:$B$5001,$A$127,BD!$P$3:$P$5001,"&lt;&gt;")=0,"",SUMIFS(BD!$P$3:$P$5001,BD!$A$3:$A$5001,M$3,BD!$B$3:$B$5001,$A$127)))</f>
        <v/>
      </c>
      <c r="N140" s="227" t="str">
        <f>IF(N$3="","",IF(COUNTIFS(BD!$A$3:$A$5001,N$3,BD!$B$3:$B$5001,$A$127,BD!$P$3:$P$5001,"&lt;&gt;")=0,"",SUMIFS(BD!$P$3:$P$5001,BD!$A$3:$A$5001,N$3,BD!$B$3:$B$5001,$A$127)))</f>
        <v/>
      </c>
      <c r="O140" s="227" t="str">
        <f>IF(O$3="","",IF(COUNTIFS(BD!$A$3:$A$5001,O$3,BD!$B$3:$B$5001,$A$127,BD!$P$3:$P$5001,"&lt;&gt;")=0,"",SUMIFS(BD!$P$3:$P$5001,BD!$A$3:$A$5001,O$3,BD!$B$3:$B$5001,$A$127)))</f>
        <v/>
      </c>
      <c r="P140" s="227" t="str">
        <f>IF(P$3="","",IF(COUNTIFS(BD!$A$3:$A$5001,P$3,BD!$B$3:$B$5001,$A$127,BD!$P$3:$P$5001,"&lt;&gt;")=0,"",SUMIFS(BD!$P$3:$P$5001,BD!$A$3:$A$5001,P$3,BD!$B$3:$B$5001,$A$127)))</f>
        <v/>
      </c>
      <c r="Q140" s="227" t="str">
        <f>IF(Q$3="","",IF(COUNTIFS(BD!$A$3:$A$5001,Q$3,BD!$B$3:$B$5001,$A$127,BD!$P$3:$P$5001,"&lt;&gt;")=0,"",SUMIFS(BD!$P$3:$P$5001,BD!$A$3:$A$5001,Q$3,BD!$B$3:$B$5001,$A$127)))</f>
        <v/>
      </c>
      <c r="R140" s="227" t="str">
        <f>IF(R$3="","",IF(COUNTIFS(BD!$A$3:$A$5001,R$3,BD!$B$3:$B$5001,$A$127,BD!$P$3:$P$5001,"&lt;&gt;")=0,"",SUMIFS(BD!$P$3:$P$5001,BD!$A$3:$A$5001,R$3,BD!$B$3:$B$5001,$A$127)))</f>
        <v/>
      </c>
      <c r="S140" s="227" t="str">
        <f>IF(S$3="","",IF(COUNTIFS(BD!$A$3:$A$5001,S$3,BD!$B$3:$B$5001,$A$127,BD!$P$3:$P$5001,"&lt;&gt;")=0,"",SUMIFS(BD!$P$3:$P$5001,BD!$A$3:$A$5001,S$3,BD!$B$3:$B$5001,$A$127)))</f>
        <v/>
      </c>
      <c r="T140" s="227" t="str">
        <f>IF(T$3="","",IF(COUNTIFS(BD!$A$3:$A$5001,T$3,BD!$B$3:$B$5001,$A$127,BD!$P$3:$P$5001,"&lt;&gt;")=0,"",SUMIFS(BD!$P$3:$P$5001,BD!$A$3:$A$5001,T$3,BD!$B$3:$B$5001,$A$127)))</f>
        <v/>
      </c>
      <c r="U140" s="227" t="str">
        <f>IF(U$3="","",IF(COUNTIFS(BD!$A$3:$A$5001,U$3,BD!$B$3:$B$5001,$A$127,BD!$P$3:$P$5001,"&lt;&gt;")=0,"",SUMIFS(BD!$P$3:$P$5001,BD!$A$3:$A$5001,U$3,BD!$B$3:$B$5001,$A$127)))</f>
        <v/>
      </c>
      <c r="V140" s="227" t="str">
        <f>IF(V$3="","",IF(COUNTIFS(BD!$A$3:$A$5001,V$3,BD!$B$3:$B$5001,$A$127,BD!$P$3:$P$5001,"&lt;&gt;")=0,"",SUMIFS(BD!$P$3:$P$5001,BD!$A$3:$A$5001,V$3,BD!$B$3:$B$5001,$A$127)))</f>
        <v/>
      </c>
      <c r="W140" s="227" t="str">
        <f>IF(W$3="","",IF(COUNTIFS(BD!$A$3:$A$5001,W$3,BD!$B$3:$B$5001,$A$127,BD!$P$3:$P$5001,"&lt;&gt;")=0,"",SUMIFS(BD!$P$3:$P$5001,BD!$A$3:$A$5001,W$3,BD!$B$3:$B$5001,$A$127)))</f>
        <v/>
      </c>
      <c r="X140" s="227" t="str">
        <f>IF(X$3="","",IF(COUNTIFS(BD!$A$3:$A$5001,X$3,BD!$B$3:$B$5001,$A$127,BD!$P$3:$P$5001,"&lt;&gt;")=0,"",SUMIFS(BD!$P$3:$P$5001,BD!$A$3:$A$5001,X$3,BD!$B$3:$B$5001,$A$127)))</f>
        <v/>
      </c>
      <c r="Y140" s="227" t="str">
        <f>IF(Y$3="","",IF(COUNTIFS(BD!$A$3:$A$5001,Y$3,BD!$B$3:$B$5001,$A$127,BD!$P$3:$P$5001,"&lt;&gt;")=0,"",SUMIFS(BD!$P$3:$P$5001,BD!$A$3:$A$5001,Y$3,BD!$B$3:$B$5001,$A$127)))</f>
        <v/>
      </c>
      <c r="Z140" s="227" t="str">
        <f>IF(Z$3="","",IF(COUNTIFS(BD!$A$3:$A$5001,Z$3,BD!$B$3:$B$5001,$A$127,BD!$P$3:$P$5001,"&lt;&gt;")=0,"",SUMIFS(BD!$P$3:$P$5001,BD!$A$3:$A$5001,Z$3,BD!$B$3:$B$5001,$A$127)))</f>
        <v/>
      </c>
      <c r="AA140" s="227" t="str">
        <f>IF(AA$3="","",IF(COUNTIFS(BD!$A$3:$A$5001,AA$3,BD!$B$3:$B$5001,$A$127,BD!$P$3:$P$5001,"&lt;&gt;")=0,"",SUMIFS(BD!$P$3:$P$5001,BD!$A$3:$A$5001,AA$3,BD!$B$3:$B$5001,$A$127)))</f>
        <v/>
      </c>
      <c r="AB140" s="227" t="str">
        <f>IF(AB$3="","",IF(COUNTIFS(BD!$A$3:$A$5001,AB$3,BD!$B$3:$B$5001,$A$127,BD!$P$3:$P$5001,"&lt;&gt;")=0,"",SUMIFS(BD!$P$3:$P$5001,BD!$A$3:$A$5001,AB$3,BD!$B$3:$B$5001,$A$127)))</f>
        <v/>
      </c>
      <c r="AC140" s="227" t="str">
        <f>IF(AC$3="","",IF(COUNTIFS(BD!$A$3:$A$5001,AC$3,BD!$B$3:$B$5001,$A$127,BD!$P$3:$P$5001,"&lt;&gt;")=0,"",SUMIFS(BD!$P$3:$P$5001,BD!$A$3:$A$5001,AC$3,BD!$B$3:$B$5001,$A$127)))</f>
        <v/>
      </c>
      <c r="AD140" s="227" t="str">
        <f>IF(AD$3="","",IF(COUNTIFS(BD!$A$3:$A$5001,AD$3,BD!$B$3:$B$5001,$A$127,BD!$P$3:$P$5001,"&lt;&gt;")=0,"",SUMIFS(BD!$P$3:$P$5001,BD!$A$3:$A$5001,AD$3,BD!$B$3:$B$5001,$A$127)))</f>
        <v/>
      </c>
      <c r="AE140" s="227" t="str">
        <f>IF(AE$3="","",IF(COUNTIFS(BD!$A$3:$A$5001,AE$3,BD!$B$3:$B$5001,$A$127,BD!$P$3:$P$5001,"&lt;&gt;")=0,"",SUMIFS(BD!$P$3:$P$5001,BD!$A$3:$A$5001,AE$3,BD!$B$3:$B$5001,$A$127)))</f>
        <v/>
      </c>
      <c r="AF140" s="227" t="str">
        <f>IF(AF$3="","",IF(COUNTIFS(BD!$A$3:$A$5001,AF$3,BD!$B$3:$B$5001,$A$127,BD!$P$3:$P$5001,"&lt;&gt;")=0,"",SUMIFS(BD!$P$3:$P$5001,BD!$A$3:$A$5001,AF$3,BD!$B$3:$B$5001,$A$127)))</f>
        <v/>
      </c>
      <c r="AG140" s="227" t="str">
        <f>IF(AG$3="","",IF(COUNTIFS(BD!$A$3:$A$5001,AG$3,BD!$B$3:$B$5001,$A$127,BD!$P$3:$P$5001,"&lt;&gt;")=0,"",SUMIFS(BD!$P$3:$P$5001,BD!$A$3:$A$5001,AG$3,BD!$B$3:$B$5001,$A$127)))</f>
        <v/>
      </c>
      <c r="AH140" s="227" t="str">
        <f>IF(AH$3="","",IF(COUNTIFS(BD!$A$3:$A$5001,AH$3,BD!$B$3:$B$5001,$A$127,BD!$P$3:$P$5001,"&lt;&gt;")=0,"",SUMIFS(BD!$P$3:$P$5001,BD!$A$3:$A$5001,AH$3,BD!$B$3:$B$5001,$A$127)))</f>
        <v/>
      </c>
      <c r="AI140" s="227" t="str">
        <f>IF(AI$3="","",IF(COUNTIFS(BD!$A$3:$A$5001,AI$3,BD!$B$3:$B$5001,$A$127,BD!$P$3:$P$5001,"&lt;&gt;")=0,"",SUMIFS(BD!$P$3:$P$5001,BD!$A$3:$A$5001,AI$3,BD!$B$3:$B$5001,$A$127)))</f>
        <v/>
      </c>
      <c r="AJ140" s="228" t="str">
        <f>IF(AJ$3="","",IF(COUNTIFS(BD!$A$3:$A$5001,AJ$3,BD!$B$3:$B$5001,$A$127,BD!$P$3:$P$5001,"&lt;&gt;")=0,"",SUMIFS(BD!$P$3:$P$5001,BD!$A$3:$A$5001,AJ$3,BD!$B$3:$B$5001,$A$127)))</f>
        <v/>
      </c>
      <c r="AK140" s="229" t="str">
        <f>IFERROR(LOOKUP(9.99E+307,F140:AJ140),"")</f>
        <v/>
      </c>
    </row>
    <row r="141" ht="15.75" customHeight="1" hidden="1">
      <c r="A141" s="277"/>
      <c r="B141" s="272"/>
      <c r="C141" s="230" t="inlineStr">
        <is>
          <t xml:space="preserve">Backlog Cliente</t>
        </is>
      </c>
      <c r="D141" s="231" t="str">
        <f>IFERROR(1/(1/INDEX(BD!$AF$37:$AZ$37,MATCH($A$127,BD!$AF$22:$AZ$22,0))),"")</f>
        <v/>
      </c>
      <c r="E141" s="232"/>
      <c r="F141" s="233" t="str">
        <f>IF(F$3="","",IF(COUNTIFS(BD!$A$3:$A$5001,F$3,BD!$B$3:$B$5001,$A$127,BD!$Q$3:$Q$5001,"&lt;&gt;")=0,"",SUMIFS(BD!$Q$3:$Q$5001,BD!$A$3:$A$5001,F$3,BD!$B$3:$B$5001,$A$127)))</f>
        <v/>
      </c>
      <c r="G141" s="234" t="str">
        <f>IF(G$3="","",IF(COUNTIFS(BD!$A$3:$A$5001,G$3,BD!$B$3:$B$5001,$A$127,BD!$Q$3:$Q$5001,"&lt;&gt;")=0,"",SUMIFS(BD!$Q$3:$Q$5001,BD!$A$3:$A$5001,G$3,BD!$B$3:$B$5001,$A$127)))</f>
        <v/>
      </c>
      <c r="H141" s="234" t="str">
        <f>IF(H$3="","",IF(COUNTIFS(BD!$A$3:$A$5001,H$3,BD!$B$3:$B$5001,$A$127,BD!$Q$3:$Q$5001,"&lt;&gt;")=0,"",SUMIFS(BD!$Q$3:$Q$5001,BD!$A$3:$A$5001,H$3,BD!$B$3:$B$5001,$A$127)))</f>
        <v/>
      </c>
      <c r="I141" s="234" t="str">
        <f>IF(I$3="","",IF(COUNTIFS(BD!$A$3:$A$5001,I$3,BD!$B$3:$B$5001,$A$127,BD!$Q$3:$Q$5001,"&lt;&gt;")=0,"",SUMIFS(BD!$Q$3:$Q$5001,BD!$A$3:$A$5001,I$3,BD!$B$3:$B$5001,$A$127)))</f>
        <v/>
      </c>
      <c r="J141" s="234" t="str">
        <f>IF(J$3="","",IF(COUNTIFS(BD!$A$3:$A$5001,J$3,BD!$B$3:$B$5001,$A$127,BD!$Q$3:$Q$5001,"&lt;&gt;")=0,"",SUMIFS(BD!$Q$3:$Q$5001,BD!$A$3:$A$5001,J$3,BD!$B$3:$B$5001,$A$127)))</f>
        <v/>
      </c>
      <c r="K141" s="234" t="str">
        <f>IF(K$3="","",IF(COUNTIFS(BD!$A$3:$A$5001,K$3,BD!$B$3:$B$5001,$A$127,BD!$Q$3:$Q$5001,"&lt;&gt;")=0,"",SUMIFS(BD!$Q$3:$Q$5001,BD!$A$3:$A$5001,K$3,BD!$B$3:$B$5001,$A$127)))</f>
        <v/>
      </c>
      <c r="L141" s="234" t="str">
        <f>IF(L$3="","",IF(COUNTIFS(BD!$A$3:$A$5001,L$3,BD!$B$3:$B$5001,$A$127,BD!$Q$3:$Q$5001,"&lt;&gt;")=0,"",SUMIFS(BD!$Q$3:$Q$5001,BD!$A$3:$A$5001,L$3,BD!$B$3:$B$5001,$A$127)))</f>
        <v/>
      </c>
      <c r="M141" s="234" t="str">
        <f>IF(M$3="","",IF(COUNTIFS(BD!$A$3:$A$5001,M$3,BD!$B$3:$B$5001,$A$127,BD!$Q$3:$Q$5001,"&lt;&gt;")=0,"",SUMIFS(BD!$Q$3:$Q$5001,BD!$A$3:$A$5001,M$3,BD!$B$3:$B$5001,$A$127)))</f>
        <v/>
      </c>
      <c r="N141" s="234" t="str">
        <f>IF(N$3="","",IF(COUNTIFS(BD!$A$3:$A$5001,N$3,BD!$B$3:$B$5001,$A$127,BD!$Q$3:$Q$5001,"&lt;&gt;")=0,"",SUMIFS(BD!$Q$3:$Q$5001,BD!$A$3:$A$5001,N$3,BD!$B$3:$B$5001,$A$127)))</f>
        <v/>
      </c>
      <c r="O141" s="234" t="str">
        <f>IF(O$3="","",IF(COUNTIFS(BD!$A$3:$A$5001,O$3,BD!$B$3:$B$5001,$A$127,BD!$Q$3:$Q$5001,"&lt;&gt;")=0,"",SUMIFS(BD!$Q$3:$Q$5001,BD!$A$3:$A$5001,O$3,BD!$B$3:$B$5001,$A$127)))</f>
        <v/>
      </c>
      <c r="P141" s="234" t="str">
        <f>IF(P$3="","",IF(COUNTIFS(BD!$A$3:$A$5001,P$3,BD!$B$3:$B$5001,$A$127,BD!$Q$3:$Q$5001,"&lt;&gt;")=0,"",SUMIFS(BD!$Q$3:$Q$5001,BD!$A$3:$A$5001,P$3,BD!$B$3:$B$5001,$A$127)))</f>
        <v/>
      </c>
      <c r="Q141" s="234" t="str">
        <f>IF(Q$3="","",IF(COUNTIFS(BD!$A$3:$A$5001,Q$3,BD!$B$3:$B$5001,$A$127,BD!$Q$3:$Q$5001,"&lt;&gt;")=0,"",SUMIFS(BD!$Q$3:$Q$5001,BD!$A$3:$A$5001,Q$3,BD!$B$3:$B$5001,$A$127)))</f>
        <v/>
      </c>
      <c r="R141" s="234" t="str">
        <f>IF(R$3="","",IF(COUNTIFS(BD!$A$3:$A$5001,R$3,BD!$B$3:$B$5001,$A$127,BD!$Q$3:$Q$5001,"&lt;&gt;")=0,"",SUMIFS(BD!$Q$3:$Q$5001,BD!$A$3:$A$5001,R$3,BD!$B$3:$B$5001,$A$127)))</f>
        <v/>
      </c>
      <c r="S141" s="234" t="str">
        <f>IF(S$3="","",IF(COUNTIFS(BD!$A$3:$A$5001,S$3,BD!$B$3:$B$5001,$A$127,BD!$Q$3:$Q$5001,"&lt;&gt;")=0,"",SUMIFS(BD!$Q$3:$Q$5001,BD!$A$3:$A$5001,S$3,BD!$B$3:$B$5001,$A$127)))</f>
        <v/>
      </c>
      <c r="T141" s="234" t="str">
        <f>IF(T$3="","",IF(COUNTIFS(BD!$A$3:$A$5001,T$3,BD!$B$3:$B$5001,$A$127,BD!$Q$3:$Q$5001,"&lt;&gt;")=0,"",SUMIFS(BD!$Q$3:$Q$5001,BD!$A$3:$A$5001,T$3,BD!$B$3:$B$5001,$A$127)))</f>
        <v/>
      </c>
      <c r="U141" s="234" t="str">
        <f>IF(U$3="","",IF(COUNTIFS(BD!$A$3:$A$5001,U$3,BD!$B$3:$B$5001,$A$127,BD!$Q$3:$Q$5001,"&lt;&gt;")=0,"",SUMIFS(BD!$Q$3:$Q$5001,BD!$A$3:$A$5001,U$3,BD!$B$3:$B$5001,$A$127)))</f>
        <v/>
      </c>
      <c r="V141" s="234" t="str">
        <f>IF(V$3="","",IF(COUNTIFS(BD!$A$3:$A$5001,V$3,BD!$B$3:$B$5001,$A$127,BD!$Q$3:$Q$5001,"&lt;&gt;")=0,"",SUMIFS(BD!$Q$3:$Q$5001,BD!$A$3:$A$5001,V$3,BD!$B$3:$B$5001,$A$127)))</f>
        <v/>
      </c>
      <c r="W141" s="234" t="str">
        <f>IF(W$3="","",IF(COUNTIFS(BD!$A$3:$A$5001,W$3,BD!$B$3:$B$5001,$A$127,BD!$Q$3:$Q$5001,"&lt;&gt;")=0,"",SUMIFS(BD!$Q$3:$Q$5001,BD!$A$3:$A$5001,W$3,BD!$B$3:$B$5001,$A$127)))</f>
        <v/>
      </c>
      <c r="X141" s="234" t="str">
        <f>IF(X$3="","",IF(COUNTIFS(BD!$A$3:$A$5001,X$3,BD!$B$3:$B$5001,$A$127,BD!$Q$3:$Q$5001,"&lt;&gt;")=0,"",SUMIFS(BD!$Q$3:$Q$5001,BD!$A$3:$A$5001,X$3,BD!$B$3:$B$5001,$A$127)))</f>
        <v/>
      </c>
      <c r="Y141" s="234" t="str">
        <f>IF(Y$3="","",IF(COUNTIFS(BD!$A$3:$A$5001,Y$3,BD!$B$3:$B$5001,$A$127,BD!$Q$3:$Q$5001,"&lt;&gt;")=0,"",SUMIFS(BD!$Q$3:$Q$5001,BD!$A$3:$A$5001,Y$3,BD!$B$3:$B$5001,$A$127)))</f>
        <v/>
      </c>
      <c r="Z141" s="234" t="str">
        <f>IF(Z$3="","",IF(COUNTIFS(BD!$A$3:$A$5001,Z$3,BD!$B$3:$B$5001,$A$127,BD!$Q$3:$Q$5001,"&lt;&gt;")=0,"",SUMIFS(BD!$Q$3:$Q$5001,BD!$A$3:$A$5001,Z$3,BD!$B$3:$B$5001,$A$127)))</f>
        <v/>
      </c>
      <c r="AA141" s="234" t="str">
        <f>IF(AA$3="","",IF(COUNTIFS(BD!$A$3:$A$5001,AA$3,BD!$B$3:$B$5001,$A$127,BD!$Q$3:$Q$5001,"&lt;&gt;")=0,"",SUMIFS(BD!$Q$3:$Q$5001,BD!$A$3:$A$5001,AA$3,BD!$B$3:$B$5001,$A$127)))</f>
        <v/>
      </c>
      <c r="AB141" s="234" t="str">
        <f>IF(AB$3="","",IF(COUNTIFS(BD!$A$3:$A$5001,AB$3,BD!$B$3:$B$5001,$A$127,BD!$Q$3:$Q$5001,"&lt;&gt;")=0,"",SUMIFS(BD!$Q$3:$Q$5001,BD!$A$3:$A$5001,AB$3,BD!$B$3:$B$5001,$A$127)))</f>
        <v/>
      </c>
      <c r="AC141" s="234" t="str">
        <f>IF(AC$3="","",IF(COUNTIFS(BD!$A$3:$A$5001,AC$3,BD!$B$3:$B$5001,$A$127,BD!$Q$3:$Q$5001,"&lt;&gt;")=0,"",SUMIFS(BD!$Q$3:$Q$5001,BD!$A$3:$A$5001,AC$3,BD!$B$3:$B$5001,$A$127)))</f>
        <v/>
      </c>
      <c r="AD141" s="234" t="str">
        <f>IF(AD$3="","",IF(COUNTIFS(BD!$A$3:$A$5001,AD$3,BD!$B$3:$B$5001,$A$127,BD!$Q$3:$Q$5001,"&lt;&gt;")=0,"",SUMIFS(BD!$Q$3:$Q$5001,BD!$A$3:$A$5001,AD$3,BD!$B$3:$B$5001,$A$127)))</f>
        <v/>
      </c>
      <c r="AE141" s="234" t="str">
        <f>IF(AE$3="","",IF(COUNTIFS(BD!$A$3:$A$5001,AE$3,BD!$B$3:$B$5001,$A$127,BD!$Q$3:$Q$5001,"&lt;&gt;")=0,"",SUMIFS(BD!$Q$3:$Q$5001,BD!$A$3:$A$5001,AE$3,BD!$B$3:$B$5001,$A$127)))</f>
        <v/>
      </c>
      <c r="AF141" s="234" t="str">
        <f>IF(AF$3="","",IF(COUNTIFS(BD!$A$3:$A$5001,AF$3,BD!$B$3:$B$5001,$A$127,BD!$Q$3:$Q$5001,"&lt;&gt;")=0,"",SUMIFS(BD!$Q$3:$Q$5001,BD!$A$3:$A$5001,AF$3,BD!$B$3:$B$5001,$A$127)))</f>
        <v/>
      </c>
      <c r="AG141" s="234" t="str">
        <f>IF(AG$3="","",IF(COUNTIFS(BD!$A$3:$A$5001,AG$3,BD!$B$3:$B$5001,$A$127,BD!$Q$3:$Q$5001,"&lt;&gt;")=0,"",SUMIFS(BD!$Q$3:$Q$5001,BD!$A$3:$A$5001,AG$3,BD!$B$3:$B$5001,$A$127)))</f>
        <v/>
      </c>
      <c r="AH141" s="234" t="str">
        <f>IF(AH$3="","",IF(COUNTIFS(BD!$A$3:$A$5001,AH$3,BD!$B$3:$B$5001,$A$127,BD!$Q$3:$Q$5001,"&lt;&gt;")=0,"",SUMIFS(BD!$Q$3:$Q$5001,BD!$A$3:$A$5001,AH$3,BD!$B$3:$B$5001,$A$127)))</f>
        <v/>
      </c>
      <c r="AI141" s="234" t="str">
        <f>IF(AI$3="","",IF(COUNTIFS(BD!$A$3:$A$5001,AI$3,BD!$B$3:$B$5001,$A$127,BD!$Q$3:$Q$5001,"&lt;&gt;")=0,"",SUMIFS(BD!$Q$3:$Q$5001,BD!$A$3:$A$5001,AI$3,BD!$B$3:$B$5001,$A$127)))</f>
        <v/>
      </c>
      <c r="AJ141" s="235" t="str">
        <f>IF(AJ$3="","",IF(COUNTIFS(BD!$A$3:$A$5001,AJ$3,BD!$B$3:$B$5001,$A$127,BD!$Q$3:$Q$5001,"&lt;&gt;")=0,"",SUMIFS(BD!$Q$3:$Q$5001,BD!$A$3:$A$5001,AJ$3,BD!$B$3:$B$5001,$A$127)))</f>
        <v/>
      </c>
      <c r="AK141" s="231" t="str">
        <f>IFERROR(LOOKUP(9.99E+307,F141:AJ141),"")</f>
        <v/>
      </c>
    </row>
    <row r="142" ht="15.75" customHeight="1" hidden="1">
      <c r="A142" s="277"/>
      <c r="B142" s="264" t="inlineStr">
        <is>
          <t xml:space="preserve">OCUPAÇÃO (P.P)</t>
        </is>
      </c>
      <c r="C142" s="168" t="inlineStr">
        <is>
          <t xml:space="preserve">Posições Disponíveis</t>
        </is>
      </c>
      <c r="D142" s="169" t="str">
        <f>IFERROR(1/(1/INDEX(BD!$AF$38:$AZ$38,MATCH($A$127,BD!$AF$22:$AZ$22,0))),"")</f>
        <v/>
      </c>
      <c r="E142" s="170"/>
      <c r="F142" s="171" t="str">
        <f>IF(F$3="","",IF(COUNTIFS(BD!$A$3:$A$5001,F$3,BD!$B$3:$B$5001,$A$127,BD!$R$3:$R$5001,"&lt;&gt;")=0,"",SUMIFS(BD!$R$3:$R$5001,BD!$A$3:$A$5001,F$3,BD!$B$3:$B$5001,$A$127)))</f>
        <v/>
      </c>
      <c r="G142" s="172" t="str">
        <f>IF(G$3="","",IF(COUNTIFS(BD!$A$3:$A$5001,G$3,BD!$B$3:$B$5001,$A$127,BD!$R$3:$R$5001,"&lt;&gt;")=0,"",SUMIFS(BD!$R$3:$R$5001,BD!$A$3:$A$5001,G$3,BD!$B$3:$B$5001,$A$127)))</f>
        <v/>
      </c>
      <c r="H142" s="172" t="str">
        <f>IF(H$3="","",IF(COUNTIFS(BD!$A$3:$A$5001,H$3,BD!$B$3:$B$5001,$A$127,BD!$R$3:$R$5001,"&lt;&gt;")=0,"",SUMIFS(BD!$R$3:$R$5001,BD!$A$3:$A$5001,H$3,BD!$B$3:$B$5001,$A$127)))</f>
        <v/>
      </c>
      <c r="I142" s="172" t="str">
        <f>IF(I$3="","",IF(COUNTIFS(BD!$A$3:$A$5001,I$3,BD!$B$3:$B$5001,$A$127,BD!$R$3:$R$5001,"&lt;&gt;")=0,"",SUMIFS(BD!$R$3:$R$5001,BD!$A$3:$A$5001,I$3,BD!$B$3:$B$5001,$A$127)))</f>
        <v/>
      </c>
      <c r="J142" s="172" t="str">
        <f>IF(J$3="","",IF(COUNTIFS(BD!$A$3:$A$5001,J$3,BD!$B$3:$B$5001,$A$127,BD!$R$3:$R$5001,"&lt;&gt;")=0,"",SUMIFS(BD!$R$3:$R$5001,BD!$A$3:$A$5001,J$3,BD!$B$3:$B$5001,$A$127)))</f>
        <v/>
      </c>
      <c r="K142" s="172" t="str">
        <f>IF(K$3="","",IF(COUNTIFS(BD!$A$3:$A$5001,K$3,BD!$B$3:$B$5001,$A$127,BD!$R$3:$R$5001,"&lt;&gt;")=0,"",SUMIFS(BD!$R$3:$R$5001,BD!$A$3:$A$5001,K$3,BD!$B$3:$B$5001,$A$127)))</f>
        <v/>
      </c>
      <c r="L142" s="172" t="str">
        <f>IF(L$3="","",IF(COUNTIFS(BD!$A$3:$A$5001,L$3,BD!$B$3:$B$5001,$A$127,BD!$R$3:$R$5001,"&lt;&gt;")=0,"",SUMIFS(BD!$R$3:$R$5001,BD!$A$3:$A$5001,L$3,BD!$B$3:$B$5001,$A$127)))</f>
        <v/>
      </c>
      <c r="M142" s="172" t="str">
        <f>IF(M$3="","",IF(COUNTIFS(BD!$A$3:$A$5001,M$3,BD!$B$3:$B$5001,$A$127,BD!$R$3:$R$5001,"&lt;&gt;")=0,"",SUMIFS(BD!$R$3:$R$5001,BD!$A$3:$A$5001,M$3,BD!$B$3:$B$5001,$A$127)))</f>
        <v/>
      </c>
      <c r="N142" s="172" t="str">
        <f>IF(N$3="","",IF(COUNTIFS(BD!$A$3:$A$5001,N$3,BD!$B$3:$B$5001,$A$127,BD!$R$3:$R$5001,"&lt;&gt;")=0,"",SUMIFS(BD!$R$3:$R$5001,BD!$A$3:$A$5001,N$3,BD!$B$3:$B$5001,$A$127)))</f>
        <v/>
      </c>
      <c r="O142" s="172" t="str">
        <f>IF(O$3="","",IF(COUNTIFS(BD!$A$3:$A$5001,O$3,BD!$B$3:$B$5001,$A$127,BD!$R$3:$R$5001,"&lt;&gt;")=0,"",SUMIFS(BD!$R$3:$R$5001,BD!$A$3:$A$5001,O$3,BD!$B$3:$B$5001,$A$127)))</f>
        <v/>
      </c>
      <c r="P142" s="172" t="str">
        <f>IF(P$3="","",IF(COUNTIFS(BD!$A$3:$A$5001,P$3,BD!$B$3:$B$5001,$A$127,BD!$R$3:$R$5001,"&lt;&gt;")=0,"",SUMIFS(BD!$R$3:$R$5001,BD!$A$3:$A$5001,P$3,BD!$B$3:$B$5001,$A$127)))</f>
        <v/>
      </c>
      <c r="Q142" s="172" t="str">
        <f>IF(Q$3="","",IF(COUNTIFS(BD!$A$3:$A$5001,Q$3,BD!$B$3:$B$5001,$A$127,BD!$R$3:$R$5001,"&lt;&gt;")=0,"",SUMIFS(BD!$R$3:$R$5001,BD!$A$3:$A$5001,Q$3,BD!$B$3:$B$5001,$A$127)))</f>
        <v/>
      </c>
      <c r="R142" s="172" t="str">
        <f>IF(R$3="","",IF(COUNTIFS(BD!$A$3:$A$5001,R$3,BD!$B$3:$B$5001,$A$127,BD!$R$3:$R$5001,"&lt;&gt;")=0,"",SUMIFS(BD!$R$3:$R$5001,BD!$A$3:$A$5001,R$3,BD!$B$3:$B$5001,$A$127)))</f>
        <v/>
      </c>
      <c r="S142" s="172" t="str">
        <f>IF(S$3="","",IF(COUNTIFS(BD!$A$3:$A$5001,S$3,BD!$B$3:$B$5001,$A$127,BD!$R$3:$R$5001,"&lt;&gt;")=0,"",SUMIFS(BD!$R$3:$R$5001,BD!$A$3:$A$5001,S$3,BD!$B$3:$B$5001,$A$127)))</f>
        <v/>
      </c>
      <c r="T142" s="172" t="str">
        <f>IF(T$3="","",IF(COUNTIFS(BD!$A$3:$A$5001,T$3,BD!$B$3:$B$5001,$A$127,BD!$R$3:$R$5001,"&lt;&gt;")=0,"",SUMIFS(BD!$R$3:$R$5001,BD!$A$3:$A$5001,T$3,BD!$B$3:$B$5001,$A$127)))</f>
        <v/>
      </c>
      <c r="U142" s="172" t="str">
        <f>IF(U$3="","",IF(COUNTIFS(BD!$A$3:$A$5001,U$3,BD!$B$3:$B$5001,$A$127,BD!$R$3:$R$5001,"&lt;&gt;")=0,"",SUMIFS(BD!$R$3:$R$5001,BD!$A$3:$A$5001,U$3,BD!$B$3:$B$5001,$A$127)))</f>
        <v/>
      </c>
      <c r="V142" s="172" t="str">
        <f>IF(V$3="","",IF(COUNTIFS(BD!$A$3:$A$5001,V$3,BD!$B$3:$B$5001,$A$127,BD!$R$3:$R$5001,"&lt;&gt;")=0,"",SUMIFS(BD!$R$3:$R$5001,BD!$A$3:$A$5001,V$3,BD!$B$3:$B$5001,$A$127)))</f>
        <v/>
      </c>
      <c r="W142" s="172" t="str">
        <f>IF(W$3="","",IF(COUNTIFS(BD!$A$3:$A$5001,W$3,BD!$B$3:$B$5001,$A$127,BD!$R$3:$R$5001,"&lt;&gt;")=0,"",SUMIFS(BD!$R$3:$R$5001,BD!$A$3:$A$5001,W$3,BD!$B$3:$B$5001,$A$127)))</f>
        <v/>
      </c>
      <c r="X142" s="172" t="str">
        <f>IF(X$3="","",IF(COUNTIFS(BD!$A$3:$A$5001,X$3,BD!$B$3:$B$5001,$A$127,BD!$R$3:$R$5001,"&lt;&gt;")=0,"",SUMIFS(BD!$R$3:$R$5001,BD!$A$3:$A$5001,X$3,BD!$B$3:$B$5001,$A$127)))</f>
        <v/>
      </c>
      <c r="Y142" s="172" t="str">
        <f>IF(Y$3="","",IF(COUNTIFS(BD!$A$3:$A$5001,Y$3,BD!$B$3:$B$5001,$A$127,BD!$R$3:$R$5001,"&lt;&gt;")=0,"",SUMIFS(BD!$R$3:$R$5001,BD!$A$3:$A$5001,Y$3,BD!$B$3:$B$5001,$A$127)))</f>
        <v/>
      </c>
      <c r="Z142" s="172" t="str">
        <f>IF(Z$3="","",IF(COUNTIFS(BD!$A$3:$A$5001,Z$3,BD!$B$3:$B$5001,$A$127,BD!$R$3:$R$5001,"&lt;&gt;")=0,"",SUMIFS(BD!$R$3:$R$5001,BD!$A$3:$A$5001,Z$3,BD!$B$3:$B$5001,$A$127)))</f>
        <v/>
      </c>
      <c r="AA142" s="172" t="str">
        <f>IF(AA$3="","",IF(COUNTIFS(BD!$A$3:$A$5001,AA$3,BD!$B$3:$B$5001,$A$127,BD!$R$3:$R$5001,"&lt;&gt;")=0,"",SUMIFS(BD!$R$3:$R$5001,BD!$A$3:$A$5001,AA$3,BD!$B$3:$B$5001,$A$127)))</f>
        <v/>
      </c>
      <c r="AB142" s="172" t="str">
        <f>IF(AB$3="","",IF(COUNTIFS(BD!$A$3:$A$5001,AB$3,BD!$B$3:$B$5001,$A$127,BD!$R$3:$R$5001,"&lt;&gt;")=0,"",SUMIFS(BD!$R$3:$R$5001,BD!$A$3:$A$5001,AB$3,BD!$B$3:$B$5001,$A$127)))</f>
        <v/>
      </c>
      <c r="AC142" s="172" t="str">
        <f>IF(AC$3="","",IF(COUNTIFS(BD!$A$3:$A$5001,AC$3,BD!$B$3:$B$5001,$A$127,BD!$R$3:$R$5001,"&lt;&gt;")=0,"",SUMIFS(BD!$R$3:$R$5001,BD!$A$3:$A$5001,AC$3,BD!$B$3:$B$5001,$A$127)))</f>
        <v/>
      </c>
      <c r="AD142" s="172" t="str">
        <f>IF(AD$3="","",IF(COUNTIFS(BD!$A$3:$A$5001,AD$3,BD!$B$3:$B$5001,$A$127,BD!$R$3:$R$5001,"&lt;&gt;")=0,"",SUMIFS(BD!$R$3:$R$5001,BD!$A$3:$A$5001,AD$3,BD!$B$3:$B$5001,$A$127)))</f>
        <v/>
      </c>
      <c r="AE142" s="172" t="str">
        <f>IF(AE$3="","",IF(COUNTIFS(BD!$A$3:$A$5001,AE$3,BD!$B$3:$B$5001,$A$127,BD!$R$3:$R$5001,"&lt;&gt;")=0,"",SUMIFS(BD!$R$3:$R$5001,BD!$A$3:$A$5001,AE$3,BD!$B$3:$B$5001,$A$127)))</f>
        <v/>
      </c>
      <c r="AF142" s="172" t="str">
        <f>IF(AF$3="","",IF(COUNTIFS(BD!$A$3:$A$5001,AF$3,BD!$B$3:$B$5001,$A$127,BD!$R$3:$R$5001,"&lt;&gt;")=0,"",SUMIFS(BD!$R$3:$R$5001,BD!$A$3:$A$5001,AF$3,BD!$B$3:$B$5001,$A$127)))</f>
        <v/>
      </c>
      <c r="AG142" s="172" t="str">
        <f>IF(AG$3="","",IF(COUNTIFS(BD!$A$3:$A$5001,AG$3,BD!$B$3:$B$5001,$A$127,BD!$R$3:$R$5001,"&lt;&gt;")=0,"",SUMIFS(BD!$R$3:$R$5001,BD!$A$3:$A$5001,AG$3,BD!$B$3:$B$5001,$A$127)))</f>
        <v/>
      </c>
      <c r="AH142" s="172" t="str">
        <f>IF(AH$3="","",IF(COUNTIFS(BD!$A$3:$A$5001,AH$3,BD!$B$3:$B$5001,$A$127,BD!$R$3:$R$5001,"&lt;&gt;")=0,"",SUMIFS(BD!$R$3:$R$5001,BD!$A$3:$A$5001,AH$3,BD!$B$3:$B$5001,$A$127)))</f>
        <v/>
      </c>
      <c r="AI142" s="172" t="str">
        <f>IF(AI$3="","",IF(COUNTIFS(BD!$A$3:$A$5001,AI$3,BD!$B$3:$B$5001,$A$127,BD!$R$3:$R$5001,"&lt;&gt;")=0,"",SUMIFS(BD!$R$3:$R$5001,BD!$A$3:$A$5001,AI$3,BD!$B$3:$B$5001,$A$127)))</f>
        <v/>
      </c>
      <c r="AJ142" s="173" t="str">
        <f>IF(AJ$3="","",IF(COUNTIFS(BD!$A$3:$A$5001,AJ$3,BD!$B$3:$B$5001,$A$127,BD!$R$3:$R$5001,"&lt;&gt;")=0,"",SUMIFS(BD!$R$3:$R$5001,BD!$A$3:$A$5001,AJ$3,BD!$B$3:$B$5001,$A$127)))</f>
        <v/>
      </c>
      <c r="AK142" s="174" t="str">
        <f>IF(COUNT(F142:AJ142)&gt;0,LOOKUP(9.99E+307,F142:AJ142),IFERROR(IF(INDEX(BD!$AC$3:$AC$5001,MATCH($A$127,BD!$B$3:$B$5001,0))&amp;""="Contrato","",INDEX(BD!$AC$3:$AC$5001,MATCH($A$127,BD!$B$3:$B$5001,0))&amp;""),""))</f>
        <v/>
      </c>
    </row>
    <row r="143" ht="15.75" customHeight="1" hidden="1">
      <c r="A143" s="277"/>
      <c r="B143" s="265"/>
      <c r="C143" s="175" t="inlineStr">
        <is>
          <t xml:space="preserve">Posições Ocupadas</t>
        </is>
      </c>
      <c r="D143" s="176" t="str">
        <f>IFERROR(1/(1/INDEX(BD!$AF$39:$AZ$39,MATCH($A$127,BD!$AF$22:$AZ$22,0))),"")</f>
        <v/>
      </c>
      <c r="E143" s="177"/>
      <c r="F143" s="178" t="str">
        <f>IF(F$3="","",IF(COUNTIFS(BD!$A$3:$A$5001,F$3,BD!$B$3:$B$5001,$A$127,BD!$S$3:$S$5001,"&lt;&gt;")=0,"",SUMIFS(BD!$S$3:$S$5001,BD!$A$3:$A$5001,F$3,BD!$B$3:$B$5001,$A$127)))</f>
        <v/>
      </c>
      <c r="G143" s="179" t="str">
        <f>IF(G$3="","",IF(COUNTIFS(BD!$A$3:$A$5001,G$3,BD!$B$3:$B$5001,$A$127,BD!$S$3:$S$5001,"&lt;&gt;")=0,"",SUMIFS(BD!$S$3:$S$5001,BD!$A$3:$A$5001,G$3,BD!$B$3:$B$5001,$A$127)))</f>
        <v/>
      </c>
      <c r="H143" s="179" t="str">
        <f>IF(H$3="","",IF(COUNTIFS(BD!$A$3:$A$5001,H$3,BD!$B$3:$B$5001,$A$127,BD!$S$3:$S$5001,"&lt;&gt;")=0,"",SUMIFS(BD!$S$3:$S$5001,BD!$A$3:$A$5001,H$3,BD!$B$3:$B$5001,$A$127)))</f>
        <v/>
      </c>
      <c r="I143" s="179" t="str">
        <f>IF(I$3="","",IF(COUNTIFS(BD!$A$3:$A$5001,I$3,BD!$B$3:$B$5001,$A$127,BD!$S$3:$S$5001,"&lt;&gt;")=0,"",SUMIFS(BD!$S$3:$S$5001,BD!$A$3:$A$5001,I$3,BD!$B$3:$B$5001,$A$127)))</f>
        <v/>
      </c>
      <c r="J143" s="179" t="str">
        <f>IF(J$3="","",IF(COUNTIFS(BD!$A$3:$A$5001,J$3,BD!$B$3:$B$5001,$A$127,BD!$S$3:$S$5001,"&lt;&gt;")=0,"",SUMIFS(BD!$S$3:$S$5001,BD!$A$3:$A$5001,J$3,BD!$B$3:$B$5001,$A$127)))</f>
        <v/>
      </c>
      <c r="K143" s="179" t="str">
        <f>IF(K$3="","",IF(COUNTIFS(BD!$A$3:$A$5001,K$3,BD!$B$3:$B$5001,$A$127,BD!$S$3:$S$5001,"&lt;&gt;")=0,"",SUMIFS(BD!$S$3:$S$5001,BD!$A$3:$A$5001,K$3,BD!$B$3:$B$5001,$A$127)))</f>
        <v/>
      </c>
      <c r="L143" s="179" t="str">
        <f>IF(L$3="","",IF(COUNTIFS(BD!$A$3:$A$5001,L$3,BD!$B$3:$B$5001,$A$127,BD!$S$3:$S$5001,"&lt;&gt;")=0,"",SUMIFS(BD!$S$3:$S$5001,BD!$A$3:$A$5001,L$3,BD!$B$3:$B$5001,$A$127)))</f>
        <v/>
      </c>
      <c r="M143" s="179" t="str">
        <f>IF(M$3="","",IF(COUNTIFS(BD!$A$3:$A$5001,M$3,BD!$B$3:$B$5001,$A$127,BD!$S$3:$S$5001,"&lt;&gt;")=0,"",SUMIFS(BD!$S$3:$S$5001,BD!$A$3:$A$5001,M$3,BD!$B$3:$B$5001,$A$127)))</f>
        <v/>
      </c>
      <c r="N143" s="179" t="str">
        <f>IF(N$3="","",IF(COUNTIFS(BD!$A$3:$A$5001,N$3,BD!$B$3:$B$5001,$A$127,BD!$S$3:$S$5001,"&lt;&gt;")=0,"",SUMIFS(BD!$S$3:$S$5001,BD!$A$3:$A$5001,N$3,BD!$B$3:$B$5001,$A$127)))</f>
        <v/>
      </c>
      <c r="O143" s="179" t="str">
        <f>IF(O$3="","",IF(COUNTIFS(BD!$A$3:$A$5001,O$3,BD!$B$3:$B$5001,$A$127,BD!$S$3:$S$5001,"&lt;&gt;")=0,"",SUMIFS(BD!$S$3:$S$5001,BD!$A$3:$A$5001,O$3,BD!$B$3:$B$5001,$A$127)))</f>
        <v/>
      </c>
      <c r="P143" s="179" t="str">
        <f>IF(P$3="","",IF(COUNTIFS(BD!$A$3:$A$5001,P$3,BD!$B$3:$B$5001,$A$127,BD!$S$3:$S$5001,"&lt;&gt;")=0,"",SUMIFS(BD!$S$3:$S$5001,BD!$A$3:$A$5001,P$3,BD!$B$3:$B$5001,$A$127)))</f>
        <v/>
      </c>
      <c r="Q143" s="179" t="str">
        <f>IF(Q$3="","",IF(COUNTIFS(BD!$A$3:$A$5001,Q$3,BD!$B$3:$B$5001,$A$127,BD!$S$3:$S$5001,"&lt;&gt;")=0,"",SUMIFS(BD!$S$3:$S$5001,BD!$A$3:$A$5001,Q$3,BD!$B$3:$B$5001,$A$127)))</f>
        <v/>
      </c>
      <c r="R143" s="179" t="str">
        <f>IF(R$3="","",IF(COUNTIFS(BD!$A$3:$A$5001,R$3,BD!$B$3:$B$5001,$A$127,BD!$S$3:$S$5001,"&lt;&gt;")=0,"",SUMIFS(BD!$S$3:$S$5001,BD!$A$3:$A$5001,R$3,BD!$B$3:$B$5001,$A$127)))</f>
        <v/>
      </c>
      <c r="S143" s="179" t="str">
        <f>IF(S$3="","",IF(COUNTIFS(BD!$A$3:$A$5001,S$3,BD!$B$3:$B$5001,$A$127,BD!$S$3:$S$5001,"&lt;&gt;")=0,"",SUMIFS(BD!$S$3:$S$5001,BD!$A$3:$A$5001,S$3,BD!$B$3:$B$5001,$A$127)))</f>
        <v/>
      </c>
      <c r="T143" s="179" t="str">
        <f>IF(T$3="","",IF(COUNTIFS(BD!$A$3:$A$5001,T$3,BD!$B$3:$B$5001,$A$127,BD!$S$3:$S$5001,"&lt;&gt;")=0,"",SUMIFS(BD!$S$3:$S$5001,BD!$A$3:$A$5001,T$3,BD!$B$3:$B$5001,$A$127)))</f>
        <v/>
      </c>
      <c r="U143" s="179" t="str">
        <f>IF(U$3="","",IF(COUNTIFS(BD!$A$3:$A$5001,U$3,BD!$B$3:$B$5001,$A$127,BD!$S$3:$S$5001,"&lt;&gt;")=0,"",SUMIFS(BD!$S$3:$S$5001,BD!$A$3:$A$5001,U$3,BD!$B$3:$B$5001,$A$127)))</f>
        <v/>
      </c>
      <c r="V143" s="179" t="str">
        <f>IF(V$3="","",IF(COUNTIFS(BD!$A$3:$A$5001,V$3,BD!$B$3:$B$5001,$A$127,BD!$S$3:$S$5001,"&lt;&gt;")=0,"",SUMIFS(BD!$S$3:$S$5001,BD!$A$3:$A$5001,V$3,BD!$B$3:$B$5001,$A$127)))</f>
        <v/>
      </c>
      <c r="W143" s="179" t="str">
        <f>IF(W$3="","",IF(COUNTIFS(BD!$A$3:$A$5001,W$3,BD!$B$3:$B$5001,$A$127,BD!$S$3:$S$5001,"&lt;&gt;")=0,"",SUMIFS(BD!$S$3:$S$5001,BD!$A$3:$A$5001,W$3,BD!$B$3:$B$5001,$A$127)))</f>
        <v/>
      </c>
      <c r="X143" s="179" t="str">
        <f>IF(X$3="","",IF(COUNTIFS(BD!$A$3:$A$5001,X$3,BD!$B$3:$B$5001,$A$127,BD!$S$3:$S$5001,"&lt;&gt;")=0,"",SUMIFS(BD!$S$3:$S$5001,BD!$A$3:$A$5001,X$3,BD!$B$3:$B$5001,$A$127)))</f>
        <v/>
      </c>
      <c r="Y143" s="179" t="str">
        <f>IF(Y$3="","",IF(COUNTIFS(BD!$A$3:$A$5001,Y$3,BD!$B$3:$B$5001,$A$127,BD!$S$3:$S$5001,"&lt;&gt;")=0,"",SUMIFS(BD!$S$3:$S$5001,BD!$A$3:$A$5001,Y$3,BD!$B$3:$B$5001,$A$127)))</f>
        <v/>
      </c>
      <c r="Z143" s="179" t="str">
        <f>IF(Z$3="","",IF(COUNTIFS(BD!$A$3:$A$5001,Z$3,BD!$B$3:$B$5001,$A$127,BD!$S$3:$S$5001,"&lt;&gt;")=0,"",SUMIFS(BD!$S$3:$S$5001,BD!$A$3:$A$5001,Z$3,BD!$B$3:$B$5001,$A$127)))</f>
        <v/>
      </c>
      <c r="AA143" s="179" t="str">
        <f>IF(AA$3="","",IF(COUNTIFS(BD!$A$3:$A$5001,AA$3,BD!$B$3:$B$5001,$A$127,BD!$S$3:$S$5001,"&lt;&gt;")=0,"",SUMIFS(BD!$S$3:$S$5001,BD!$A$3:$A$5001,AA$3,BD!$B$3:$B$5001,$A$127)))</f>
        <v/>
      </c>
      <c r="AB143" s="179" t="str">
        <f>IF(AB$3="","",IF(COUNTIFS(BD!$A$3:$A$5001,AB$3,BD!$B$3:$B$5001,$A$127,BD!$S$3:$S$5001,"&lt;&gt;")=0,"",SUMIFS(BD!$S$3:$S$5001,BD!$A$3:$A$5001,AB$3,BD!$B$3:$B$5001,$A$127)))</f>
        <v/>
      </c>
      <c r="AC143" s="179" t="str">
        <f>IF(AC$3="","",IF(COUNTIFS(BD!$A$3:$A$5001,AC$3,BD!$B$3:$B$5001,$A$127,BD!$S$3:$S$5001,"&lt;&gt;")=0,"",SUMIFS(BD!$S$3:$S$5001,BD!$A$3:$A$5001,AC$3,BD!$B$3:$B$5001,$A$127)))</f>
        <v/>
      </c>
      <c r="AD143" s="179" t="str">
        <f>IF(AD$3="","",IF(COUNTIFS(BD!$A$3:$A$5001,AD$3,BD!$B$3:$B$5001,$A$127,BD!$S$3:$S$5001,"&lt;&gt;")=0,"",SUMIFS(BD!$S$3:$S$5001,BD!$A$3:$A$5001,AD$3,BD!$B$3:$B$5001,$A$127)))</f>
        <v/>
      </c>
      <c r="AE143" s="179" t="str">
        <f>IF(AE$3="","",IF(COUNTIFS(BD!$A$3:$A$5001,AE$3,BD!$B$3:$B$5001,$A$127,BD!$S$3:$S$5001,"&lt;&gt;")=0,"",SUMIFS(BD!$S$3:$S$5001,BD!$A$3:$A$5001,AE$3,BD!$B$3:$B$5001,$A$127)))</f>
        <v/>
      </c>
      <c r="AF143" s="179" t="str">
        <f>IF(AF$3="","",IF(COUNTIFS(BD!$A$3:$A$5001,AF$3,BD!$B$3:$B$5001,$A$127,BD!$S$3:$S$5001,"&lt;&gt;")=0,"",SUMIFS(BD!$S$3:$S$5001,BD!$A$3:$A$5001,AF$3,BD!$B$3:$B$5001,$A$127)))</f>
        <v/>
      </c>
      <c r="AG143" s="179" t="str">
        <f>IF(AG$3="","",IF(COUNTIFS(BD!$A$3:$A$5001,AG$3,BD!$B$3:$B$5001,$A$127,BD!$S$3:$S$5001,"&lt;&gt;")=0,"",SUMIFS(BD!$S$3:$S$5001,BD!$A$3:$A$5001,AG$3,BD!$B$3:$B$5001,$A$127)))</f>
        <v/>
      </c>
      <c r="AH143" s="179" t="str">
        <f>IF(AH$3="","",IF(COUNTIFS(BD!$A$3:$A$5001,AH$3,BD!$B$3:$B$5001,$A$127,BD!$S$3:$S$5001,"&lt;&gt;")=0,"",SUMIFS(BD!$S$3:$S$5001,BD!$A$3:$A$5001,AH$3,BD!$B$3:$B$5001,$A$127)))</f>
        <v/>
      </c>
      <c r="AI143" s="179" t="str">
        <f>IF(AI$3="","",IF(COUNTIFS(BD!$A$3:$A$5001,AI$3,BD!$B$3:$B$5001,$A$127,BD!$S$3:$S$5001,"&lt;&gt;")=0,"",SUMIFS(BD!$S$3:$S$5001,BD!$A$3:$A$5001,AI$3,BD!$B$3:$B$5001,$A$127)))</f>
        <v/>
      </c>
      <c r="AJ143" s="180" t="str">
        <f>IF(AJ$3="","",IF(COUNTIFS(BD!$A$3:$A$5001,AJ$3,BD!$B$3:$B$5001,$A$127,BD!$S$3:$S$5001,"&lt;&gt;")=0,"",SUMIFS(BD!$S$3:$S$5001,BD!$A$3:$A$5001,AJ$3,BD!$B$3:$B$5001,$A$127)))</f>
        <v/>
      </c>
      <c r="AK143" s="181" t="str">
        <f>IFERROR(LOOKUP(9.99E+307,F143:AJ143),"")</f>
        <v/>
      </c>
    </row>
    <row r="144" ht="15.75" customHeight="1" hidden="1">
      <c r="A144" s="277"/>
      <c r="B144" s="266"/>
      <c r="C144" s="186" t="inlineStr">
        <is>
          <t xml:space="preserve">Taxa de Ocupação</t>
        </is>
      </c>
      <c r="D144" s="236" t="str">
        <f>IFERROR(1/(1/INDEX(BD!$AF$40:$AZ$40,MATCH($A$127,BD!$AF$22:$AZ$22,0))),"")</f>
        <v/>
      </c>
      <c r="E144" s="188"/>
      <c r="F144" s="237" t="str">
        <f>IF(AND(ISNUMBER(F142),ISNUMBER(F143)),IF(F142&gt;0,F143/F142,""),"")</f>
        <v/>
      </c>
      <c r="G144" s="238" t="str">
        <f>IF(AND(ISNUMBER(G142),ISNUMBER(G143)),IF(G142&gt;0,G143/G142,""),"")</f>
        <v/>
      </c>
      <c r="H144" s="238" t="str">
        <f>IF(AND(ISNUMBER(H142),ISNUMBER(H143)),IF(H142&gt;0,H143/H142,""),"")</f>
        <v/>
      </c>
      <c r="I144" s="238" t="str">
        <f>IF(AND(ISNUMBER(I142),ISNUMBER(I143)),IF(I142&gt;0,I143/I142,""),"")</f>
        <v/>
      </c>
      <c r="J144" s="238" t="str">
        <f>IF(AND(ISNUMBER(J142),ISNUMBER(J143)),IF(J142&gt;0,J143/J142,""),"")</f>
        <v/>
      </c>
      <c r="K144" s="238" t="str">
        <f>IF(AND(ISNUMBER(K142),ISNUMBER(K143)),IF(K142&gt;0,K143/K142,""),"")</f>
        <v/>
      </c>
      <c r="L144" s="238" t="str">
        <f>IF(AND(ISNUMBER(L142),ISNUMBER(L143)),IF(L142&gt;0,L143/L142,""),"")</f>
        <v/>
      </c>
      <c r="M144" s="238" t="str">
        <f>IF(AND(ISNUMBER(M142),ISNUMBER(M143)),IF(M142&gt;0,M143/M142,""),"")</f>
        <v/>
      </c>
      <c r="N144" s="238" t="str">
        <f>IF(AND(ISNUMBER(N142),ISNUMBER(N143)),IF(N142&gt;0,N143/N142,""),"")</f>
        <v/>
      </c>
      <c r="O144" s="238" t="str">
        <f>IF(AND(ISNUMBER(O142),ISNUMBER(O143)),IF(O142&gt;0,O143/O142,""),"")</f>
        <v/>
      </c>
      <c r="P144" s="238" t="str">
        <f>IF(AND(ISNUMBER(P142),ISNUMBER(P143)),IF(P142&gt;0,P143/P142,""),"")</f>
        <v/>
      </c>
      <c r="Q144" s="238" t="str">
        <f>IF(AND(ISNUMBER(Q142),ISNUMBER(Q143)),IF(Q142&gt;0,Q143/Q142,""),"")</f>
        <v/>
      </c>
      <c r="R144" s="238" t="str">
        <f>IF(AND(ISNUMBER(R142),ISNUMBER(R143)),IF(R142&gt;0,R143/R142,""),"")</f>
        <v/>
      </c>
      <c r="S144" s="238" t="str">
        <f>IF(AND(ISNUMBER(S142),ISNUMBER(S143)),IF(S142&gt;0,S143/S142,""),"")</f>
        <v/>
      </c>
      <c r="T144" s="238" t="str">
        <f>IF(AND(ISNUMBER(T142),ISNUMBER(T143)),IF(T142&gt;0,T143/T142,""),"")</f>
        <v/>
      </c>
      <c r="U144" s="238" t="str">
        <f>IF(AND(ISNUMBER(U142),ISNUMBER(U143)),IF(U142&gt;0,U143/U142,""),"")</f>
        <v/>
      </c>
      <c r="V144" s="238" t="str">
        <f>IF(AND(ISNUMBER(V142),ISNUMBER(V143)),IF(V142&gt;0,V143/V142,""),"")</f>
        <v/>
      </c>
      <c r="W144" s="238" t="str">
        <f>IF(AND(ISNUMBER(W142),ISNUMBER(W143)),IF(W142&gt;0,W143/W142,""),"")</f>
        <v/>
      </c>
      <c r="X144" s="238" t="str">
        <f>IF(AND(ISNUMBER(X142),ISNUMBER(X143)),IF(X142&gt;0,X143/X142,""),"")</f>
        <v/>
      </c>
      <c r="Y144" s="238" t="str">
        <f>IF(AND(ISNUMBER(Y142),ISNUMBER(Y143)),IF(Y142&gt;0,Y143/Y142,""),"")</f>
        <v/>
      </c>
      <c r="Z144" s="238" t="str">
        <f>IF(AND(ISNUMBER(Z142),ISNUMBER(Z143)),IF(Z142&gt;0,Z143/Z142,""),"")</f>
        <v/>
      </c>
      <c r="AA144" s="238" t="str">
        <f>IF(AND(ISNUMBER(AA142),ISNUMBER(AA143)),IF(AA142&gt;0,AA143/AA142,""),"")</f>
        <v/>
      </c>
      <c r="AB144" s="238" t="str">
        <f>IF(AND(ISNUMBER(AB142),ISNUMBER(AB143)),IF(AB142&gt;0,AB143/AB142,""),"")</f>
        <v/>
      </c>
      <c r="AC144" s="238" t="str">
        <f>IF(AND(ISNUMBER(AC142),ISNUMBER(AC143)),IF(AC142&gt;0,AC143/AC142,""),"")</f>
        <v/>
      </c>
      <c r="AD144" s="238" t="str">
        <f>IF(AND(ISNUMBER(AD142),ISNUMBER(AD143)),IF(AD142&gt;0,AD143/AD142,""),"")</f>
        <v/>
      </c>
      <c r="AE144" s="238" t="str">
        <f>IF(AND(ISNUMBER(AE142),ISNUMBER(AE143)),IF(AE142&gt;0,AE143/AE142,""),"")</f>
        <v/>
      </c>
      <c r="AF144" s="238" t="str">
        <f>IF(AND(ISNUMBER(AF142),ISNUMBER(AF143)),IF(AF142&gt;0,AF143/AF142,""),"")</f>
        <v/>
      </c>
      <c r="AG144" s="238" t="str">
        <f>IF(AND(ISNUMBER(AG142),ISNUMBER(AG143)),IF(AG142&gt;0,AG143/AG142,""),"")</f>
        <v/>
      </c>
      <c r="AH144" s="238" t="str">
        <f>IF(AND(ISNUMBER(AH142),ISNUMBER(AH143)),IF(AH142&gt;0,AH143/AH142,""),"")</f>
        <v/>
      </c>
      <c r="AI144" s="238" t="str">
        <f>IF(AND(ISNUMBER(AI142),ISNUMBER(AI143)),IF(AI142&gt;0,AI143/AI142,""),"")</f>
        <v/>
      </c>
      <c r="AJ144" s="239" t="str">
        <f>IF(AND(ISNUMBER(AJ142),ISNUMBER(AJ143)),IF(AJ142&gt;0,AJ143/AJ142,""),"")</f>
        <v/>
      </c>
      <c r="AK144" s="236" t="str">
        <f>IF(AND(ISNUMBER(AK142),ISNUMBER(AK143)),IF(AK142&gt;0,AK143/AK142,""),"")</f>
        <v/>
      </c>
    </row>
    <row r="145" ht="15.75" customHeight="1" hidden="1">
      <c r="A145" s="277"/>
      <c r="B145" s="273" t="inlineStr">
        <is>
          <t xml:space="preserve">GENTE</t>
        </is>
      </c>
      <c r="C145" s="240" t="inlineStr">
        <is>
          <t xml:space="preserve">Efetivo Op.</t>
        </is>
      </c>
      <c r="D145" s="241" t="str">
        <f>IFERROR(1/(1/INDEX(BD!$AF$41:$AZ$41,MATCH($A$127,BD!$AF$22:$AZ$22,0))),"")</f>
        <v/>
      </c>
      <c r="E145" s="242"/>
      <c r="F145" s="243" t="str">
        <f>IF(F$3="","",IF(COUNTIFS(BD!$A$3:$A$5001,F$3,BD!$B$3:$B$5001,$A$127,BD!$T$3:$T$5001,"&lt;&gt;")=0,"",SUMIFS(BD!$T$3:$T$5001,BD!$A$3:$A$5001,F$3,BD!$B$3:$B$5001,$A$127)))</f>
        <v/>
      </c>
      <c r="G145" s="244" t="str">
        <f>IF(G$3="","",IF(COUNTIFS(BD!$A$3:$A$5001,G$3,BD!$B$3:$B$5001,$A$127,BD!$T$3:$T$5001,"&lt;&gt;")=0,"",SUMIFS(BD!$T$3:$T$5001,BD!$A$3:$A$5001,G$3,BD!$B$3:$B$5001,$A$127)))</f>
        <v/>
      </c>
      <c r="H145" s="244" t="str">
        <f>IF(H$3="","",IF(COUNTIFS(BD!$A$3:$A$5001,H$3,BD!$B$3:$B$5001,$A$127,BD!$T$3:$T$5001,"&lt;&gt;")=0,"",SUMIFS(BD!$T$3:$T$5001,BD!$A$3:$A$5001,H$3,BD!$B$3:$B$5001,$A$127)))</f>
        <v/>
      </c>
      <c r="I145" s="244" t="str">
        <f>IF(I$3="","",IF(COUNTIFS(BD!$A$3:$A$5001,I$3,BD!$B$3:$B$5001,$A$127,BD!$T$3:$T$5001,"&lt;&gt;")=0,"",SUMIFS(BD!$T$3:$T$5001,BD!$A$3:$A$5001,I$3,BD!$B$3:$B$5001,$A$127)))</f>
        <v/>
      </c>
      <c r="J145" s="244" t="str">
        <f>IF(J$3="","",IF(COUNTIFS(BD!$A$3:$A$5001,J$3,BD!$B$3:$B$5001,$A$127,BD!$T$3:$T$5001,"&lt;&gt;")=0,"",SUMIFS(BD!$T$3:$T$5001,BD!$A$3:$A$5001,J$3,BD!$B$3:$B$5001,$A$127)))</f>
        <v/>
      </c>
      <c r="K145" s="244" t="str">
        <f>IF(K$3="","",IF(COUNTIFS(BD!$A$3:$A$5001,K$3,BD!$B$3:$B$5001,$A$127,BD!$T$3:$T$5001,"&lt;&gt;")=0,"",SUMIFS(BD!$T$3:$T$5001,BD!$A$3:$A$5001,K$3,BD!$B$3:$B$5001,$A$127)))</f>
        <v/>
      </c>
      <c r="L145" s="244" t="str">
        <f>IF(L$3="","",IF(COUNTIFS(BD!$A$3:$A$5001,L$3,BD!$B$3:$B$5001,$A$127,BD!$T$3:$T$5001,"&lt;&gt;")=0,"",SUMIFS(BD!$T$3:$T$5001,BD!$A$3:$A$5001,L$3,BD!$B$3:$B$5001,$A$127)))</f>
        <v/>
      </c>
      <c r="M145" s="244" t="str">
        <f>IF(M$3="","",IF(COUNTIFS(BD!$A$3:$A$5001,M$3,BD!$B$3:$B$5001,$A$127,BD!$T$3:$T$5001,"&lt;&gt;")=0,"",SUMIFS(BD!$T$3:$T$5001,BD!$A$3:$A$5001,M$3,BD!$B$3:$B$5001,$A$127)))</f>
        <v/>
      </c>
      <c r="N145" s="244" t="str">
        <f>IF(N$3="","",IF(COUNTIFS(BD!$A$3:$A$5001,N$3,BD!$B$3:$B$5001,$A$127,BD!$T$3:$T$5001,"&lt;&gt;")=0,"",SUMIFS(BD!$T$3:$T$5001,BD!$A$3:$A$5001,N$3,BD!$B$3:$B$5001,$A$127)))</f>
        <v/>
      </c>
      <c r="O145" s="244" t="str">
        <f>IF(O$3="","",IF(COUNTIFS(BD!$A$3:$A$5001,O$3,BD!$B$3:$B$5001,$A$127,BD!$T$3:$T$5001,"&lt;&gt;")=0,"",SUMIFS(BD!$T$3:$T$5001,BD!$A$3:$A$5001,O$3,BD!$B$3:$B$5001,$A$127)))</f>
        <v/>
      </c>
      <c r="P145" s="244" t="str">
        <f>IF(P$3="","",IF(COUNTIFS(BD!$A$3:$A$5001,P$3,BD!$B$3:$B$5001,$A$127,BD!$T$3:$T$5001,"&lt;&gt;")=0,"",SUMIFS(BD!$T$3:$T$5001,BD!$A$3:$A$5001,P$3,BD!$B$3:$B$5001,$A$127)))</f>
        <v/>
      </c>
      <c r="Q145" s="244" t="str">
        <f>IF(Q$3="","",IF(COUNTIFS(BD!$A$3:$A$5001,Q$3,BD!$B$3:$B$5001,$A$127,BD!$T$3:$T$5001,"&lt;&gt;")=0,"",SUMIFS(BD!$T$3:$T$5001,BD!$A$3:$A$5001,Q$3,BD!$B$3:$B$5001,$A$127)))</f>
        <v/>
      </c>
      <c r="R145" s="244" t="str">
        <f>IF(R$3="","",IF(COUNTIFS(BD!$A$3:$A$5001,R$3,BD!$B$3:$B$5001,$A$127,BD!$T$3:$T$5001,"&lt;&gt;")=0,"",SUMIFS(BD!$T$3:$T$5001,BD!$A$3:$A$5001,R$3,BD!$B$3:$B$5001,$A$127)))</f>
        <v/>
      </c>
      <c r="S145" s="244" t="str">
        <f>IF(S$3="","",IF(COUNTIFS(BD!$A$3:$A$5001,S$3,BD!$B$3:$B$5001,$A$127,BD!$T$3:$T$5001,"&lt;&gt;")=0,"",SUMIFS(BD!$T$3:$T$5001,BD!$A$3:$A$5001,S$3,BD!$B$3:$B$5001,$A$127)))</f>
        <v/>
      </c>
      <c r="T145" s="244" t="str">
        <f>IF(T$3="","",IF(COUNTIFS(BD!$A$3:$A$5001,T$3,BD!$B$3:$B$5001,$A$127,BD!$T$3:$T$5001,"&lt;&gt;")=0,"",SUMIFS(BD!$T$3:$T$5001,BD!$A$3:$A$5001,T$3,BD!$B$3:$B$5001,$A$127)))</f>
        <v/>
      </c>
      <c r="U145" s="244" t="str">
        <f>IF(U$3="","",IF(COUNTIFS(BD!$A$3:$A$5001,U$3,BD!$B$3:$B$5001,$A$127,BD!$T$3:$T$5001,"&lt;&gt;")=0,"",SUMIFS(BD!$T$3:$T$5001,BD!$A$3:$A$5001,U$3,BD!$B$3:$B$5001,$A$127)))</f>
        <v/>
      </c>
      <c r="V145" s="244" t="str">
        <f>IF(V$3="","",IF(COUNTIFS(BD!$A$3:$A$5001,V$3,BD!$B$3:$B$5001,$A$127,BD!$T$3:$T$5001,"&lt;&gt;")=0,"",SUMIFS(BD!$T$3:$T$5001,BD!$A$3:$A$5001,V$3,BD!$B$3:$B$5001,$A$127)))</f>
        <v/>
      </c>
      <c r="W145" s="244" t="str">
        <f>IF(W$3="","",IF(COUNTIFS(BD!$A$3:$A$5001,W$3,BD!$B$3:$B$5001,$A$127,BD!$T$3:$T$5001,"&lt;&gt;")=0,"",SUMIFS(BD!$T$3:$T$5001,BD!$A$3:$A$5001,W$3,BD!$B$3:$B$5001,$A$127)))</f>
        <v/>
      </c>
      <c r="X145" s="244" t="str">
        <f>IF(X$3="","",IF(COUNTIFS(BD!$A$3:$A$5001,X$3,BD!$B$3:$B$5001,$A$127,BD!$T$3:$T$5001,"&lt;&gt;")=0,"",SUMIFS(BD!$T$3:$T$5001,BD!$A$3:$A$5001,X$3,BD!$B$3:$B$5001,$A$127)))</f>
        <v/>
      </c>
      <c r="Y145" s="244" t="str">
        <f>IF(Y$3="","",IF(COUNTIFS(BD!$A$3:$A$5001,Y$3,BD!$B$3:$B$5001,$A$127,BD!$T$3:$T$5001,"&lt;&gt;")=0,"",SUMIFS(BD!$T$3:$T$5001,BD!$A$3:$A$5001,Y$3,BD!$B$3:$B$5001,$A$127)))</f>
        <v/>
      </c>
      <c r="Z145" s="244" t="str">
        <f>IF(Z$3="","",IF(COUNTIFS(BD!$A$3:$A$5001,Z$3,BD!$B$3:$B$5001,$A$127,BD!$T$3:$T$5001,"&lt;&gt;")=0,"",SUMIFS(BD!$T$3:$T$5001,BD!$A$3:$A$5001,Z$3,BD!$B$3:$B$5001,$A$127)))</f>
        <v/>
      </c>
      <c r="AA145" s="244" t="str">
        <f>IF(AA$3="","",IF(COUNTIFS(BD!$A$3:$A$5001,AA$3,BD!$B$3:$B$5001,$A$127,BD!$T$3:$T$5001,"&lt;&gt;")=0,"",SUMIFS(BD!$T$3:$T$5001,BD!$A$3:$A$5001,AA$3,BD!$B$3:$B$5001,$A$127)))</f>
        <v/>
      </c>
      <c r="AB145" s="244" t="str">
        <f>IF(AB$3="","",IF(COUNTIFS(BD!$A$3:$A$5001,AB$3,BD!$B$3:$B$5001,$A$127,BD!$T$3:$T$5001,"&lt;&gt;")=0,"",SUMIFS(BD!$T$3:$T$5001,BD!$A$3:$A$5001,AB$3,BD!$B$3:$B$5001,$A$127)))</f>
        <v/>
      </c>
      <c r="AC145" s="244" t="str">
        <f>IF(AC$3="","",IF(COUNTIFS(BD!$A$3:$A$5001,AC$3,BD!$B$3:$B$5001,$A$127,BD!$T$3:$T$5001,"&lt;&gt;")=0,"",SUMIFS(BD!$T$3:$T$5001,BD!$A$3:$A$5001,AC$3,BD!$B$3:$B$5001,$A$127)))</f>
        <v/>
      </c>
      <c r="AD145" s="244" t="str">
        <f>IF(AD$3="","",IF(COUNTIFS(BD!$A$3:$A$5001,AD$3,BD!$B$3:$B$5001,$A$127,BD!$T$3:$T$5001,"&lt;&gt;")=0,"",SUMIFS(BD!$T$3:$T$5001,BD!$A$3:$A$5001,AD$3,BD!$B$3:$B$5001,$A$127)))</f>
        <v/>
      </c>
      <c r="AE145" s="244" t="str">
        <f>IF(AE$3="","",IF(COUNTIFS(BD!$A$3:$A$5001,AE$3,BD!$B$3:$B$5001,$A$127,BD!$T$3:$T$5001,"&lt;&gt;")=0,"",SUMIFS(BD!$T$3:$T$5001,BD!$A$3:$A$5001,AE$3,BD!$B$3:$B$5001,$A$127)))</f>
        <v/>
      </c>
      <c r="AF145" s="244" t="str">
        <f>IF(AF$3="","",IF(COUNTIFS(BD!$A$3:$A$5001,AF$3,BD!$B$3:$B$5001,$A$127,BD!$T$3:$T$5001,"&lt;&gt;")=0,"",SUMIFS(BD!$T$3:$T$5001,BD!$A$3:$A$5001,AF$3,BD!$B$3:$B$5001,$A$127)))</f>
        <v/>
      </c>
      <c r="AG145" s="244" t="str">
        <f>IF(AG$3="","",IF(COUNTIFS(BD!$A$3:$A$5001,AG$3,BD!$B$3:$B$5001,$A$127,BD!$T$3:$T$5001,"&lt;&gt;")=0,"",SUMIFS(BD!$T$3:$T$5001,BD!$A$3:$A$5001,AG$3,BD!$B$3:$B$5001,$A$127)))</f>
        <v/>
      </c>
      <c r="AH145" s="244" t="str">
        <f>IF(AH$3="","",IF(COUNTIFS(BD!$A$3:$A$5001,AH$3,BD!$B$3:$B$5001,$A$127,BD!$T$3:$T$5001,"&lt;&gt;")=0,"",SUMIFS(BD!$T$3:$T$5001,BD!$A$3:$A$5001,AH$3,BD!$B$3:$B$5001,$A$127)))</f>
        <v/>
      </c>
      <c r="AI145" s="244" t="str">
        <f>IF(AI$3="","",IF(COUNTIFS(BD!$A$3:$A$5001,AI$3,BD!$B$3:$B$5001,$A$127,BD!$T$3:$T$5001,"&lt;&gt;")=0,"",SUMIFS(BD!$T$3:$T$5001,BD!$A$3:$A$5001,AI$3,BD!$B$3:$B$5001,$A$127)))</f>
        <v/>
      </c>
      <c r="AJ145" s="245" t="str">
        <f>IF(AJ$3="","",IF(COUNTIFS(BD!$A$3:$A$5001,AJ$3,BD!$B$3:$B$5001,$A$127,BD!$T$3:$T$5001,"&lt;&gt;")=0,"",SUMIFS(BD!$T$3:$T$5001,BD!$A$3:$A$5001,AJ$3,BD!$B$3:$B$5001,$A$127)))</f>
        <v/>
      </c>
      <c r="AK145" s="246" t="str">
        <f>IFERROR(LOOKUP(9.99E+307,F145:AJ145),"")</f>
        <v/>
      </c>
    </row>
    <row r="146" ht="15.75" customHeight="1" hidden="1">
      <c r="A146" s="277"/>
      <c r="B146" s="274"/>
      <c r="C146" s="247" t="inlineStr">
        <is>
          <t xml:space="preserve">Falta</t>
        </is>
      </c>
      <c r="D146" s="248" t="str">
        <f>IFERROR(1/(1/INDEX(BD!$AF$42:$AZ$42,MATCH($A$127,BD!$AF$22:$AZ$22,0))),"")</f>
        <v/>
      </c>
      <c r="E146" s="249"/>
      <c r="F146" s="250" t="str">
        <f>IF(F$3="","",IF(COUNTIFS(BD!$A$3:$A$5001,F$3,BD!$B$3:$B$5001,$A$127,BD!$U$3:$U$5001,"&lt;&gt;")=0,"",SUMIFS(BD!$U$3:$U$5001,BD!$A$3:$A$5001,F$3,BD!$B$3:$B$5001,$A$127)))</f>
        <v/>
      </c>
      <c r="G146" s="251" t="str">
        <f>IF(G$3="","",IF(COUNTIFS(BD!$A$3:$A$5001,G$3,BD!$B$3:$B$5001,$A$127,BD!$U$3:$U$5001,"&lt;&gt;")=0,"",SUMIFS(BD!$U$3:$U$5001,BD!$A$3:$A$5001,G$3,BD!$B$3:$B$5001,$A$127)))</f>
        <v/>
      </c>
      <c r="H146" s="251" t="str">
        <f>IF(H$3="","",IF(COUNTIFS(BD!$A$3:$A$5001,H$3,BD!$B$3:$B$5001,$A$127,BD!$U$3:$U$5001,"&lt;&gt;")=0,"",SUMIFS(BD!$U$3:$U$5001,BD!$A$3:$A$5001,H$3,BD!$B$3:$B$5001,$A$127)))</f>
        <v/>
      </c>
      <c r="I146" s="251" t="str">
        <f>IF(I$3="","",IF(COUNTIFS(BD!$A$3:$A$5001,I$3,BD!$B$3:$B$5001,$A$127,BD!$U$3:$U$5001,"&lt;&gt;")=0,"",SUMIFS(BD!$U$3:$U$5001,BD!$A$3:$A$5001,I$3,BD!$B$3:$B$5001,$A$127)))</f>
        <v/>
      </c>
      <c r="J146" s="251" t="str">
        <f>IF(J$3="","",IF(COUNTIFS(BD!$A$3:$A$5001,J$3,BD!$B$3:$B$5001,$A$127,BD!$U$3:$U$5001,"&lt;&gt;")=0,"",SUMIFS(BD!$U$3:$U$5001,BD!$A$3:$A$5001,J$3,BD!$B$3:$B$5001,$A$127)))</f>
        <v/>
      </c>
      <c r="K146" s="251" t="str">
        <f>IF(K$3="","",IF(COUNTIFS(BD!$A$3:$A$5001,K$3,BD!$B$3:$B$5001,$A$127,BD!$U$3:$U$5001,"&lt;&gt;")=0,"",SUMIFS(BD!$U$3:$U$5001,BD!$A$3:$A$5001,K$3,BD!$B$3:$B$5001,$A$127)))</f>
        <v/>
      </c>
      <c r="L146" s="251" t="str">
        <f>IF(L$3="","",IF(COUNTIFS(BD!$A$3:$A$5001,L$3,BD!$B$3:$B$5001,$A$127,BD!$U$3:$U$5001,"&lt;&gt;")=0,"",SUMIFS(BD!$U$3:$U$5001,BD!$A$3:$A$5001,L$3,BD!$B$3:$B$5001,$A$127)))</f>
        <v/>
      </c>
      <c r="M146" s="251" t="str">
        <f>IF(M$3="","",IF(COUNTIFS(BD!$A$3:$A$5001,M$3,BD!$B$3:$B$5001,$A$127,BD!$U$3:$U$5001,"&lt;&gt;")=0,"",SUMIFS(BD!$U$3:$U$5001,BD!$A$3:$A$5001,M$3,BD!$B$3:$B$5001,$A$127)))</f>
        <v/>
      </c>
      <c r="N146" s="251" t="str">
        <f>IF(N$3="","",IF(COUNTIFS(BD!$A$3:$A$5001,N$3,BD!$B$3:$B$5001,$A$127,BD!$U$3:$U$5001,"&lt;&gt;")=0,"",SUMIFS(BD!$U$3:$U$5001,BD!$A$3:$A$5001,N$3,BD!$B$3:$B$5001,$A$127)))</f>
        <v/>
      </c>
      <c r="O146" s="251" t="str">
        <f>IF(O$3="","",IF(COUNTIFS(BD!$A$3:$A$5001,O$3,BD!$B$3:$B$5001,$A$127,BD!$U$3:$U$5001,"&lt;&gt;")=0,"",SUMIFS(BD!$U$3:$U$5001,BD!$A$3:$A$5001,O$3,BD!$B$3:$B$5001,$A$127)))</f>
        <v/>
      </c>
      <c r="P146" s="251" t="str">
        <f>IF(P$3="","",IF(COUNTIFS(BD!$A$3:$A$5001,P$3,BD!$B$3:$B$5001,$A$127,BD!$U$3:$U$5001,"&lt;&gt;")=0,"",SUMIFS(BD!$U$3:$U$5001,BD!$A$3:$A$5001,P$3,BD!$B$3:$B$5001,$A$127)))</f>
        <v/>
      </c>
      <c r="Q146" s="251" t="str">
        <f>IF(Q$3="","",IF(COUNTIFS(BD!$A$3:$A$5001,Q$3,BD!$B$3:$B$5001,$A$127,BD!$U$3:$U$5001,"&lt;&gt;")=0,"",SUMIFS(BD!$U$3:$U$5001,BD!$A$3:$A$5001,Q$3,BD!$B$3:$B$5001,$A$127)))</f>
        <v/>
      </c>
      <c r="R146" s="251" t="str">
        <f>IF(R$3="","",IF(COUNTIFS(BD!$A$3:$A$5001,R$3,BD!$B$3:$B$5001,$A$127,BD!$U$3:$U$5001,"&lt;&gt;")=0,"",SUMIFS(BD!$U$3:$U$5001,BD!$A$3:$A$5001,R$3,BD!$B$3:$B$5001,$A$127)))</f>
        <v/>
      </c>
      <c r="S146" s="251" t="str">
        <f>IF(S$3="","",IF(COUNTIFS(BD!$A$3:$A$5001,S$3,BD!$B$3:$B$5001,$A$127,BD!$U$3:$U$5001,"&lt;&gt;")=0,"",SUMIFS(BD!$U$3:$U$5001,BD!$A$3:$A$5001,S$3,BD!$B$3:$B$5001,$A$127)))</f>
        <v/>
      </c>
      <c r="T146" s="251" t="str">
        <f>IF(T$3="","",IF(COUNTIFS(BD!$A$3:$A$5001,T$3,BD!$B$3:$B$5001,$A$127,BD!$U$3:$U$5001,"&lt;&gt;")=0,"",SUMIFS(BD!$U$3:$U$5001,BD!$A$3:$A$5001,T$3,BD!$B$3:$B$5001,$A$127)))</f>
        <v/>
      </c>
      <c r="U146" s="251" t="str">
        <f>IF(U$3="","",IF(COUNTIFS(BD!$A$3:$A$5001,U$3,BD!$B$3:$B$5001,$A$127,BD!$U$3:$U$5001,"&lt;&gt;")=0,"",SUMIFS(BD!$U$3:$U$5001,BD!$A$3:$A$5001,U$3,BD!$B$3:$B$5001,$A$127)))</f>
        <v/>
      </c>
      <c r="V146" s="251" t="str">
        <f>IF(V$3="","",IF(COUNTIFS(BD!$A$3:$A$5001,V$3,BD!$B$3:$B$5001,$A$127,BD!$U$3:$U$5001,"&lt;&gt;")=0,"",SUMIFS(BD!$U$3:$U$5001,BD!$A$3:$A$5001,V$3,BD!$B$3:$B$5001,$A$127)))</f>
        <v/>
      </c>
      <c r="W146" s="251" t="str">
        <f>IF(W$3="","",IF(COUNTIFS(BD!$A$3:$A$5001,W$3,BD!$B$3:$B$5001,$A$127,BD!$U$3:$U$5001,"&lt;&gt;")=0,"",SUMIFS(BD!$U$3:$U$5001,BD!$A$3:$A$5001,W$3,BD!$B$3:$B$5001,$A$127)))</f>
        <v/>
      </c>
      <c r="X146" s="251" t="str">
        <f>IF(X$3="","",IF(COUNTIFS(BD!$A$3:$A$5001,X$3,BD!$B$3:$B$5001,$A$127,BD!$U$3:$U$5001,"&lt;&gt;")=0,"",SUMIFS(BD!$U$3:$U$5001,BD!$A$3:$A$5001,X$3,BD!$B$3:$B$5001,$A$127)))</f>
        <v/>
      </c>
      <c r="Y146" s="251" t="str">
        <f>IF(Y$3="","",IF(COUNTIFS(BD!$A$3:$A$5001,Y$3,BD!$B$3:$B$5001,$A$127,BD!$U$3:$U$5001,"&lt;&gt;")=0,"",SUMIFS(BD!$U$3:$U$5001,BD!$A$3:$A$5001,Y$3,BD!$B$3:$B$5001,$A$127)))</f>
        <v/>
      </c>
      <c r="Z146" s="251" t="str">
        <f>IF(Z$3="","",IF(COUNTIFS(BD!$A$3:$A$5001,Z$3,BD!$B$3:$B$5001,$A$127,BD!$U$3:$U$5001,"&lt;&gt;")=0,"",SUMIFS(BD!$U$3:$U$5001,BD!$A$3:$A$5001,Z$3,BD!$B$3:$B$5001,$A$127)))</f>
        <v/>
      </c>
      <c r="AA146" s="251" t="str">
        <f>IF(AA$3="","",IF(COUNTIFS(BD!$A$3:$A$5001,AA$3,BD!$B$3:$B$5001,$A$127,BD!$U$3:$U$5001,"&lt;&gt;")=0,"",SUMIFS(BD!$U$3:$U$5001,BD!$A$3:$A$5001,AA$3,BD!$B$3:$B$5001,$A$127)))</f>
        <v/>
      </c>
      <c r="AB146" s="251" t="str">
        <f>IF(AB$3="","",IF(COUNTIFS(BD!$A$3:$A$5001,AB$3,BD!$B$3:$B$5001,$A$127,BD!$U$3:$U$5001,"&lt;&gt;")=0,"",SUMIFS(BD!$U$3:$U$5001,BD!$A$3:$A$5001,AB$3,BD!$B$3:$B$5001,$A$127)))</f>
        <v/>
      </c>
      <c r="AC146" s="251" t="str">
        <f>IF(AC$3="","",IF(COUNTIFS(BD!$A$3:$A$5001,AC$3,BD!$B$3:$B$5001,$A$127,BD!$U$3:$U$5001,"&lt;&gt;")=0,"",SUMIFS(BD!$U$3:$U$5001,BD!$A$3:$A$5001,AC$3,BD!$B$3:$B$5001,$A$127)))</f>
        <v/>
      </c>
      <c r="AD146" s="251" t="str">
        <f>IF(AD$3="","",IF(COUNTIFS(BD!$A$3:$A$5001,AD$3,BD!$B$3:$B$5001,$A$127,BD!$U$3:$U$5001,"&lt;&gt;")=0,"",SUMIFS(BD!$U$3:$U$5001,BD!$A$3:$A$5001,AD$3,BD!$B$3:$B$5001,$A$127)))</f>
        <v/>
      </c>
      <c r="AE146" s="251" t="str">
        <f>IF(AE$3="","",IF(COUNTIFS(BD!$A$3:$A$5001,AE$3,BD!$B$3:$B$5001,$A$127,BD!$U$3:$U$5001,"&lt;&gt;")=0,"",SUMIFS(BD!$U$3:$U$5001,BD!$A$3:$A$5001,AE$3,BD!$B$3:$B$5001,$A$127)))</f>
        <v/>
      </c>
      <c r="AF146" s="251" t="str">
        <f>IF(AF$3="","",IF(COUNTIFS(BD!$A$3:$A$5001,AF$3,BD!$B$3:$B$5001,$A$127,BD!$U$3:$U$5001,"&lt;&gt;")=0,"",SUMIFS(BD!$U$3:$U$5001,BD!$A$3:$A$5001,AF$3,BD!$B$3:$B$5001,$A$127)))</f>
        <v/>
      </c>
      <c r="AG146" s="251" t="str">
        <f>IF(AG$3="","",IF(COUNTIFS(BD!$A$3:$A$5001,AG$3,BD!$B$3:$B$5001,$A$127,BD!$U$3:$U$5001,"&lt;&gt;")=0,"",SUMIFS(BD!$U$3:$U$5001,BD!$A$3:$A$5001,AG$3,BD!$B$3:$B$5001,$A$127)))</f>
        <v/>
      </c>
      <c r="AH146" s="251" t="str">
        <f>IF(AH$3="","",IF(COUNTIFS(BD!$A$3:$A$5001,AH$3,BD!$B$3:$B$5001,$A$127,BD!$U$3:$U$5001,"&lt;&gt;")=0,"",SUMIFS(BD!$U$3:$U$5001,BD!$A$3:$A$5001,AH$3,BD!$B$3:$B$5001,$A$127)))</f>
        <v/>
      </c>
      <c r="AI146" s="251" t="str">
        <f>IF(AI$3="","",IF(COUNTIFS(BD!$A$3:$A$5001,AI$3,BD!$B$3:$B$5001,$A$127,BD!$U$3:$U$5001,"&lt;&gt;")=0,"",SUMIFS(BD!$U$3:$U$5001,BD!$A$3:$A$5001,AI$3,BD!$B$3:$B$5001,$A$127)))</f>
        <v/>
      </c>
      <c r="AJ146" s="252" t="str">
        <f>IF(AJ$3="","",IF(COUNTIFS(BD!$A$3:$A$5001,AJ$3,BD!$B$3:$B$5001,$A$127,BD!$U$3:$U$5001,"&lt;&gt;")=0,"",SUMIFS(BD!$U$3:$U$5001,BD!$A$3:$A$5001,AJ$3,BD!$B$3:$B$5001,$A$127)))</f>
        <v/>
      </c>
      <c r="AK146" s="253" t="str">
        <f>IF(COUNT(F146:AJ146)=0,"",SUM(F146:AJ146))</f>
        <v/>
      </c>
    </row>
    <row r="147" ht="15.75" customHeight="1" hidden="1">
      <c r="A147" s="277"/>
      <c r="B147" s="274"/>
      <c r="C147" s="247" t="inlineStr">
        <is>
          <t xml:space="preserve">Absenteísmo (H/H)</t>
        </is>
      </c>
      <c r="D147" s="248" t="str">
        <f>IFERROR(1/(1/INDEX(BD!$AF$43:$AZ$43,MATCH($A$127,BD!$AF$22:$AZ$22,0))),"")</f>
        <v/>
      </c>
      <c r="E147" s="249"/>
      <c r="F147" s="254" t="str">
        <f>IF(F$3="","",IF(COUNTIFS(BD!$A$3:$A$5001,F$3,BD!$B$3:$B$5001,$A$127,BD!$V$3:$V$5001,"&lt;&gt;")=0,"",SUMIFS(BD!$V$3:$V$5001,BD!$A$3:$A$5001,F$3,BD!$B$3:$B$5001,$A$127)))</f>
        <v/>
      </c>
      <c r="G147" s="255" t="str">
        <f>IF(G$3="","",IF(COUNTIFS(BD!$A$3:$A$5001,G$3,BD!$B$3:$B$5001,$A$127,BD!$V$3:$V$5001,"&lt;&gt;")=0,"",SUMIFS(BD!$V$3:$V$5001,BD!$A$3:$A$5001,G$3,BD!$B$3:$B$5001,$A$127)))</f>
        <v/>
      </c>
      <c r="H147" s="255" t="str">
        <f>IF(H$3="","",IF(COUNTIFS(BD!$A$3:$A$5001,H$3,BD!$B$3:$B$5001,$A$127,BD!$V$3:$V$5001,"&lt;&gt;")=0,"",SUMIFS(BD!$V$3:$V$5001,BD!$A$3:$A$5001,H$3,BD!$B$3:$B$5001,$A$127)))</f>
        <v/>
      </c>
      <c r="I147" s="255" t="str">
        <f>IF(I$3="","",IF(COUNTIFS(BD!$A$3:$A$5001,I$3,BD!$B$3:$B$5001,$A$127,BD!$V$3:$V$5001,"&lt;&gt;")=0,"",SUMIFS(BD!$V$3:$V$5001,BD!$A$3:$A$5001,I$3,BD!$B$3:$B$5001,$A$127)))</f>
        <v/>
      </c>
      <c r="J147" s="255" t="str">
        <f>IF(J$3="","",IF(COUNTIFS(BD!$A$3:$A$5001,J$3,BD!$B$3:$B$5001,$A$127,BD!$V$3:$V$5001,"&lt;&gt;")=0,"",SUMIFS(BD!$V$3:$V$5001,BD!$A$3:$A$5001,J$3,BD!$B$3:$B$5001,$A$127)))</f>
        <v/>
      </c>
      <c r="K147" s="255" t="str">
        <f>IF(K$3="","",IF(COUNTIFS(BD!$A$3:$A$5001,K$3,BD!$B$3:$B$5001,$A$127,BD!$V$3:$V$5001,"&lt;&gt;")=0,"",SUMIFS(BD!$V$3:$V$5001,BD!$A$3:$A$5001,K$3,BD!$B$3:$B$5001,$A$127)))</f>
        <v/>
      </c>
      <c r="L147" s="255" t="str">
        <f>IF(L$3="","",IF(COUNTIFS(BD!$A$3:$A$5001,L$3,BD!$B$3:$B$5001,$A$127,BD!$V$3:$V$5001,"&lt;&gt;")=0,"",SUMIFS(BD!$V$3:$V$5001,BD!$A$3:$A$5001,L$3,BD!$B$3:$B$5001,$A$127)))</f>
        <v/>
      </c>
      <c r="M147" s="255" t="str">
        <f>IF(M$3="","",IF(COUNTIFS(BD!$A$3:$A$5001,M$3,BD!$B$3:$B$5001,$A$127,BD!$V$3:$V$5001,"&lt;&gt;")=0,"",SUMIFS(BD!$V$3:$V$5001,BD!$A$3:$A$5001,M$3,BD!$B$3:$B$5001,$A$127)))</f>
        <v/>
      </c>
      <c r="N147" s="255" t="str">
        <f>IF(N$3="","",IF(COUNTIFS(BD!$A$3:$A$5001,N$3,BD!$B$3:$B$5001,$A$127,BD!$V$3:$V$5001,"&lt;&gt;")=0,"",SUMIFS(BD!$V$3:$V$5001,BD!$A$3:$A$5001,N$3,BD!$B$3:$B$5001,$A$127)))</f>
        <v/>
      </c>
      <c r="O147" s="255" t="str">
        <f>IF(O$3="","",IF(COUNTIFS(BD!$A$3:$A$5001,O$3,BD!$B$3:$B$5001,$A$127,BD!$V$3:$V$5001,"&lt;&gt;")=0,"",SUMIFS(BD!$V$3:$V$5001,BD!$A$3:$A$5001,O$3,BD!$B$3:$B$5001,$A$127)))</f>
        <v/>
      </c>
      <c r="P147" s="255" t="str">
        <f>IF(P$3="","",IF(COUNTIFS(BD!$A$3:$A$5001,P$3,BD!$B$3:$B$5001,$A$127,BD!$V$3:$V$5001,"&lt;&gt;")=0,"",SUMIFS(BD!$V$3:$V$5001,BD!$A$3:$A$5001,P$3,BD!$B$3:$B$5001,$A$127)))</f>
        <v/>
      </c>
      <c r="Q147" s="255" t="str">
        <f>IF(Q$3="","",IF(COUNTIFS(BD!$A$3:$A$5001,Q$3,BD!$B$3:$B$5001,$A$127,BD!$V$3:$V$5001,"&lt;&gt;")=0,"",SUMIFS(BD!$V$3:$V$5001,BD!$A$3:$A$5001,Q$3,BD!$B$3:$B$5001,$A$127)))</f>
        <v/>
      </c>
      <c r="R147" s="255" t="str">
        <f>IF(R$3="","",IF(COUNTIFS(BD!$A$3:$A$5001,R$3,BD!$B$3:$B$5001,$A$127,BD!$V$3:$V$5001,"&lt;&gt;")=0,"",SUMIFS(BD!$V$3:$V$5001,BD!$A$3:$A$5001,R$3,BD!$B$3:$B$5001,$A$127)))</f>
        <v/>
      </c>
      <c r="S147" s="255" t="str">
        <f>IF(S$3="","",IF(COUNTIFS(BD!$A$3:$A$5001,S$3,BD!$B$3:$B$5001,$A$127,BD!$V$3:$V$5001,"&lt;&gt;")=0,"",SUMIFS(BD!$V$3:$V$5001,BD!$A$3:$A$5001,S$3,BD!$B$3:$B$5001,$A$127)))</f>
        <v/>
      </c>
      <c r="T147" s="255" t="str">
        <f>IF(T$3="","",IF(COUNTIFS(BD!$A$3:$A$5001,T$3,BD!$B$3:$B$5001,$A$127,BD!$V$3:$V$5001,"&lt;&gt;")=0,"",SUMIFS(BD!$V$3:$V$5001,BD!$A$3:$A$5001,T$3,BD!$B$3:$B$5001,$A$127)))</f>
        <v/>
      </c>
      <c r="U147" s="255" t="str">
        <f>IF(U$3="","",IF(COUNTIFS(BD!$A$3:$A$5001,U$3,BD!$B$3:$B$5001,$A$127,BD!$V$3:$V$5001,"&lt;&gt;")=0,"",SUMIFS(BD!$V$3:$V$5001,BD!$A$3:$A$5001,U$3,BD!$B$3:$B$5001,$A$127)))</f>
        <v/>
      </c>
      <c r="V147" s="255" t="str">
        <f>IF(V$3="","",IF(COUNTIFS(BD!$A$3:$A$5001,V$3,BD!$B$3:$B$5001,$A$127,BD!$V$3:$V$5001,"&lt;&gt;")=0,"",SUMIFS(BD!$V$3:$V$5001,BD!$A$3:$A$5001,V$3,BD!$B$3:$B$5001,$A$127)))</f>
        <v/>
      </c>
      <c r="W147" s="255" t="str">
        <f>IF(W$3="","",IF(COUNTIFS(BD!$A$3:$A$5001,W$3,BD!$B$3:$B$5001,$A$127,BD!$V$3:$V$5001,"&lt;&gt;")=0,"",SUMIFS(BD!$V$3:$V$5001,BD!$A$3:$A$5001,W$3,BD!$B$3:$B$5001,$A$127)))</f>
        <v/>
      </c>
      <c r="X147" s="255" t="str">
        <f>IF(X$3="","",IF(COUNTIFS(BD!$A$3:$A$5001,X$3,BD!$B$3:$B$5001,$A$127,BD!$V$3:$V$5001,"&lt;&gt;")=0,"",SUMIFS(BD!$V$3:$V$5001,BD!$A$3:$A$5001,X$3,BD!$B$3:$B$5001,$A$127)))</f>
        <v/>
      </c>
      <c r="Y147" s="255" t="str">
        <f>IF(Y$3="","",IF(COUNTIFS(BD!$A$3:$A$5001,Y$3,BD!$B$3:$B$5001,$A$127,BD!$V$3:$V$5001,"&lt;&gt;")=0,"",SUMIFS(BD!$V$3:$V$5001,BD!$A$3:$A$5001,Y$3,BD!$B$3:$B$5001,$A$127)))</f>
        <v/>
      </c>
      <c r="Z147" s="255" t="str">
        <f>IF(Z$3="","",IF(COUNTIFS(BD!$A$3:$A$5001,Z$3,BD!$B$3:$B$5001,$A$127,BD!$V$3:$V$5001,"&lt;&gt;")=0,"",SUMIFS(BD!$V$3:$V$5001,BD!$A$3:$A$5001,Z$3,BD!$B$3:$B$5001,$A$127)))</f>
        <v/>
      </c>
      <c r="AA147" s="255" t="str">
        <f>IF(AA$3="","",IF(COUNTIFS(BD!$A$3:$A$5001,AA$3,BD!$B$3:$B$5001,$A$127,BD!$V$3:$V$5001,"&lt;&gt;")=0,"",SUMIFS(BD!$V$3:$V$5001,BD!$A$3:$A$5001,AA$3,BD!$B$3:$B$5001,$A$127)))</f>
        <v/>
      </c>
      <c r="AB147" s="255" t="str">
        <f>IF(AB$3="","",IF(COUNTIFS(BD!$A$3:$A$5001,AB$3,BD!$B$3:$B$5001,$A$127,BD!$V$3:$V$5001,"&lt;&gt;")=0,"",SUMIFS(BD!$V$3:$V$5001,BD!$A$3:$A$5001,AB$3,BD!$B$3:$B$5001,$A$127)))</f>
        <v/>
      </c>
      <c r="AC147" s="255" t="str">
        <f>IF(AC$3="","",IF(COUNTIFS(BD!$A$3:$A$5001,AC$3,BD!$B$3:$B$5001,$A$127,BD!$V$3:$V$5001,"&lt;&gt;")=0,"",SUMIFS(BD!$V$3:$V$5001,BD!$A$3:$A$5001,AC$3,BD!$B$3:$B$5001,$A$127)))</f>
        <v/>
      </c>
      <c r="AD147" s="255" t="str">
        <f>IF(AD$3="","",IF(COUNTIFS(BD!$A$3:$A$5001,AD$3,BD!$B$3:$B$5001,$A$127,BD!$V$3:$V$5001,"&lt;&gt;")=0,"",SUMIFS(BD!$V$3:$V$5001,BD!$A$3:$A$5001,AD$3,BD!$B$3:$B$5001,$A$127)))</f>
        <v/>
      </c>
      <c r="AE147" s="255" t="str">
        <f>IF(AE$3="","",IF(COUNTIFS(BD!$A$3:$A$5001,AE$3,BD!$B$3:$B$5001,$A$127,BD!$V$3:$V$5001,"&lt;&gt;")=0,"",SUMIFS(BD!$V$3:$V$5001,BD!$A$3:$A$5001,AE$3,BD!$B$3:$B$5001,$A$127)))</f>
        <v/>
      </c>
      <c r="AF147" s="255" t="str">
        <f>IF(AF$3="","",IF(COUNTIFS(BD!$A$3:$A$5001,AF$3,BD!$B$3:$B$5001,$A$127,BD!$V$3:$V$5001,"&lt;&gt;")=0,"",SUMIFS(BD!$V$3:$V$5001,BD!$A$3:$A$5001,AF$3,BD!$B$3:$B$5001,$A$127)))</f>
        <v/>
      </c>
      <c r="AG147" s="255" t="str">
        <f>IF(AG$3="","",IF(COUNTIFS(BD!$A$3:$A$5001,AG$3,BD!$B$3:$B$5001,$A$127,BD!$V$3:$V$5001,"&lt;&gt;")=0,"",SUMIFS(BD!$V$3:$V$5001,BD!$A$3:$A$5001,AG$3,BD!$B$3:$B$5001,$A$127)))</f>
        <v/>
      </c>
      <c r="AH147" s="255" t="str">
        <f>IF(AH$3="","",IF(COUNTIFS(BD!$A$3:$A$5001,AH$3,BD!$B$3:$B$5001,$A$127,BD!$V$3:$V$5001,"&lt;&gt;")=0,"",SUMIFS(BD!$V$3:$V$5001,BD!$A$3:$A$5001,AH$3,BD!$B$3:$B$5001,$A$127)))</f>
        <v/>
      </c>
      <c r="AI147" s="255" t="str">
        <f>IF(AI$3="","",IF(COUNTIFS(BD!$A$3:$A$5001,AI$3,BD!$B$3:$B$5001,$A$127,BD!$V$3:$V$5001,"&lt;&gt;")=0,"",SUMIFS(BD!$V$3:$V$5001,BD!$A$3:$A$5001,AI$3,BD!$B$3:$B$5001,$A$127)))</f>
        <v/>
      </c>
      <c r="AJ147" s="256" t="str">
        <f>IF(AJ$3="","",IF(COUNTIFS(BD!$A$3:$A$5001,AJ$3,BD!$B$3:$B$5001,$A$127,BD!$V$3:$V$5001,"&lt;&gt;")=0,"",SUMIFS(BD!$V$3:$V$5001,BD!$A$3:$A$5001,AJ$3,BD!$B$3:$B$5001,$A$127)))</f>
        <v/>
      </c>
      <c r="AK147" s="257" t="str">
        <f>IF(COUNT(F147:AJ147)=0,"",SUM(F147:AJ147))</f>
        <v/>
      </c>
    </row>
    <row r="148" ht="15.75" customHeight="1" hidden="1">
      <c r="A148" s="277"/>
      <c r="B148" s="274"/>
      <c r="C148" s="247" t="inlineStr">
        <is>
          <t xml:space="preserve">Folga</t>
        </is>
      </c>
      <c r="D148" s="248" t="str">
        <f>IFERROR(1/(1/INDEX(BD!$AF$44:$AZ$44,MATCH($A$127,BD!$AF$22:$AZ$22,0))),"")</f>
        <v/>
      </c>
      <c r="E148" s="249"/>
      <c r="F148" s="250" t="str">
        <f>IF(F$3="","",IF(COUNTIFS(BD!$A$3:$A$5001,F$3,BD!$B$3:$B$5001,$A$127,BD!$W$3:$W$5001,"&lt;&gt;")=0,"",SUMIFS(BD!$W$3:$W$5001,BD!$A$3:$A$5001,F$3,BD!$B$3:$B$5001,$A$127)))</f>
        <v/>
      </c>
      <c r="G148" s="251" t="str">
        <f>IF(G$3="","",IF(COUNTIFS(BD!$A$3:$A$5001,G$3,BD!$B$3:$B$5001,$A$127,BD!$W$3:$W$5001,"&lt;&gt;")=0,"",SUMIFS(BD!$W$3:$W$5001,BD!$A$3:$A$5001,G$3,BD!$B$3:$B$5001,$A$127)))</f>
        <v/>
      </c>
      <c r="H148" s="251" t="str">
        <f>IF(H$3="","",IF(COUNTIFS(BD!$A$3:$A$5001,H$3,BD!$B$3:$B$5001,$A$127,BD!$W$3:$W$5001,"&lt;&gt;")=0,"",SUMIFS(BD!$W$3:$W$5001,BD!$A$3:$A$5001,H$3,BD!$B$3:$B$5001,$A$127)))</f>
        <v/>
      </c>
      <c r="I148" s="251" t="str">
        <f>IF(I$3="","",IF(COUNTIFS(BD!$A$3:$A$5001,I$3,BD!$B$3:$B$5001,$A$127,BD!$W$3:$W$5001,"&lt;&gt;")=0,"",SUMIFS(BD!$W$3:$W$5001,BD!$A$3:$A$5001,I$3,BD!$B$3:$B$5001,$A$127)))</f>
        <v/>
      </c>
      <c r="J148" s="251" t="str">
        <f>IF(J$3="","",IF(COUNTIFS(BD!$A$3:$A$5001,J$3,BD!$B$3:$B$5001,$A$127,BD!$W$3:$W$5001,"&lt;&gt;")=0,"",SUMIFS(BD!$W$3:$W$5001,BD!$A$3:$A$5001,J$3,BD!$B$3:$B$5001,$A$127)))</f>
        <v/>
      </c>
      <c r="K148" s="251" t="str">
        <f>IF(K$3="","",IF(COUNTIFS(BD!$A$3:$A$5001,K$3,BD!$B$3:$B$5001,$A$127,BD!$W$3:$W$5001,"&lt;&gt;")=0,"",SUMIFS(BD!$W$3:$W$5001,BD!$A$3:$A$5001,K$3,BD!$B$3:$B$5001,$A$127)))</f>
        <v/>
      </c>
      <c r="L148" s="251" t="str">
        <f>IF(L$3="","",IF(COUNTIFS(BD!$A$3:$A$5001,L$3,BD!$B$3:$B$5001,$A$127,BD!$W$3:$W$5001,"&lt;&gt;")=0,"",SUMIFS(BD!$W$3:$W$5001,BD!$A$3:$A$5001,L$3,BD!$B$3:$B$5001,$A$127)))</f>
        <v/>
      </c>
      <c r="M148" s="251" t="str">
        <f>IF(M$3="","",IF(COUNTIFS(BD!$A$3:$A$5001,M$3,BD!$B$3:$B$5001,$A$127,BD!$W$3:$W$5001,"&lt;&gt;")=0,"",SUMIFS(BD!$W$3:$W$5001,BD!$A$3:$A$5001,M$3,BD!$B$3:$B$5001,$A$127)))</f>
        <v/>
      </c>
      <c r="N148" s="251" t="str">
        <f>IF(N$3="","",IF(COUNTIFS(BD!$A$3:$A$5001,N$3,BD!$B$3:$B$5001,$A$127,BD!$W$3:$W$5001,"&lt;&gt;")=0,"",SUMIFS(BD!$W$3:$W$5001,BD!$A$3:$A$5001,N$3,BD!$B$3:$B$5001,$A$127)))</f>
        <v/>
      </c>
      <c r="O148" s="251" t="str">
        <f>IF(O$3="","",IF(COUNTIFS(BD!$A$3:$A$5001,O$3,BD!$B$3:$B$5001,$A$127,BD!$W$3:$W$5001,"&lt;&gt;")=0,"",SUMIFS(BD!$W$3:$W$5001,BD!$A$3:$A$5001,O$3,BD!$B$3:$B$5001,$A$127)))</f>
        <v/>
      </c>
      <c r="P148" s="251" t="str">
        <f>IF(P$3="","",IF(COUNTIFS(BD!$A$3:$A$5001,P$3,BD!$B$3:$B$5001,$A$127,BD!$W$3:$W$5001,"&lt;&gt;")=0,"",SUMIFS(BD!$W$3:$W$5001,BD!$A$3:$A$5001,P$3,BD!$B$3:$B$5001,$A$127)))</f>
        <v/>
      </c>
      <c r="Q148" s="251" t="str">
        <f>IF(Q$3="","",IF(COUNTIFS(BD!$A$3:$A$5001,Q$3,BD!$B$3:$B$5001,$A$127,BD!$W$3:$W$5001,"&lt;&gt;")=0,"",SUMIFS(BD!$W$3:$W$5001,BD!$A$3:$A$5001,Q$3,BD!$B$3:$B$5001,$A$127)))</f>
        <v/>
      </c>
      <c r="R148" s="251" t="str">
        <f>IF(R$3="","",IF(COUNTIFS(BD!$A$3:$A$5001,R$3,BD!$B$3:$B$5001,$A$127,BD!$W$3:$W$5001,"&lt;&gt;")=0,"",SUMIFS(BD!$W$3:$W$5001,BD!$A$3:$A$5001,R$3,BD!$B$3:$B$5001,$A$127)))</f>
        <v/>
      </c>
      <c r="S148" s="251" t="str">
        <f>IF(S$3="","",IF(COUNTIFS(BD!$A$3:$A$5001,S$3,BD!$B$3:$B$5001,$A$127,BD!$W$3:$W$5001,"&lt;&gt;")=0,"",SUMIFS(BD!$W$3:$W$5001,BD!$A$3:$A$5001,S$3,BD!$B$3:$B$5001,$A$127)))</f>
        <v/>
      </c>
      <c r="T148" s="251" t="str">
        <f>IF(T$3="","",IF(COUNTIFS(BD!$A$3:$A$5001,T$3,BD!$B$3:$B$5001,$A$127,BD!$W$3:$W$5001,"&lt;&gt;")=0,"",SUMIFS(BD!$W$3:$W$5001,BD!$A$3:$A$5001,T$3,BD!$B$3:$B$5001,$A$127)))</f>
        <v/>
      </c>
      <c r="U148" s="251" t="str">
        <f>IF(U$3="","",IF(COUNTIFS(BD!$A$3:$A$5001,U$3,BD!$B$3:$B$5001,$A$127,BD!$W$3:$W$5001,"&lt;&gt;")=0,"",SUMIFS(BD!$W$3:$W$5001,BD!$A$3:$A$5001,U$3,BD!$B$3:$B$5001,$A$127)))</f>
        <v/>
      </c>
      <c r="V148" s="251" t="str">
        <f>IF(V$3="","",IF(COUNTIFS(BD!$A$3:$A$5001,V$3,BD!$B$3:$B$5001,$A$127,BD!$W$3:$W$5001,"&lt;&gt;")=0,"",SUMIFS(BD!$W$3:$W$5001,BD!$A$3:$A$5001,V$3,BD!$B$3:$B$5001,$A$127)))</f>
        <v/>
      </c>
      <c r="W148" s="251" t="str">
        <f>IF(W$3="","",IF(COUNTIFS(BD!$A$3:$A$5001,W$3,BD!$B$3:$B$5001,$A$127,BD!$W$3:$W$5001,"&lt;&gt;")=0,"",SUMIFS(BD!$W$3:$W$5001,BD!$A$3:$A$5001,W$3,BD!$B$3:$B$5001,$A$127)))</f>
        <v/>
      </c>
      <c r="X148" s="251" t="str">
        <f>IF(X$3="","",IF(COUNTIFS(BD!$A$3:$A$5001,X$3,BD!$B$3:$B$5001,$A$127,BD!$W$3:$W$5001,"&lt;&gt;")=0,"",SUMIFS(BD!$W$3:$W$5001,BD!$A$3:$A$5001,X$3,BD!$B$3:$B$5001,$A$127)))</f>
        <v/>
      </c>
      <c r="Y148" s="251" t="str">
        <f>IF(Y$3="","",IF(COUNTIFS(BD!$A$3:$A$5001,Y$3,BD!$B$3:$B$5001,$A$127,BD!$W$3:$W$5001,"&lt;&gt;")=0,"",SUMIFS(BD!$W$3:$W$5001,BD!$A$3:$A$5001,Y$3,BD!$B$3:$B$5001,$A$127)))</f>
        <v/>
      </c>
      <c r="Z148" s="251" t="str">
        <f>IF(Z$3="","",IF(COUNTIFS(BD!$A$3:$A$5001,Z$3,BD!$B$3:$B$5001,$A$127,BD!$W$3:$W$5001,"&lt;&gt;")=0,"",SUMIFS(BD!$W$3:$W$5001,BD!$A$3:$A$5001,Z$3,BD!$B$3:$B$5001,$A$127)))</f>
        <v/>
      </c>
      <c r="AA148" s="251" t="str">
        <f>IF(AA$3="","",IF(COUNTIFS(BD!$A$3:$A$5001,AA$3,BD!$B$3:$B$5001,$A$127,BD!$W$3:$W$5001,"&lt;&gt;")=0,"",SUMIFS(BD!$W$3:$W$5001,BD!$A$3:$A$5001,AA$3,BD!$B$3:$B$5001,$A$127)))</f>
        <v/>
      </c>
      <c r="AB148" s="251" t="str">
        <f>IF(AB$3="","",IF(COUNTIFS(BD!$A$3:$A$5001,AB$3,BD!$B$3:$B$5001,$A$127,BD!$W$3:$W$5001,"&lt;&gt;")=0,"",SUMIFS(BD!$W$3:$W$5001,BD!$A$3:$A$5001,AB$3,BD!$B$3:$B$5001,$A$127)))</f>
        <v/>
      </c>
      <c r="AC148" s="251" t="str">
        <f>IF(AC$3="","",IF(COUNTIFS(BD!$A$3:$A$5001,AC$3,BD!$B$3:$B$5001,$A$127,BD!$W$3:$W$5001,"&lt;&gt;")=0,"",SUMIFS(BD!$W$3:$W$5001,BD!$A$3:$A$5001,AC$3,BD!$B$3:$B$5001,$A$127)))</f>
        <v/>
      </c>
      <c r="AD148" s="251" t="str">
        <f>IF(AD$3="","",IF(COUNTIFS(BD!$A$3:$A$5001,AD$3,BD!$B$3:$B$5001,$A$127,BD!$W$3:$W$5001,"&lt;&gt;")=0,"",SUMIFS(BD!$W$3:$W$5001,BD!$A$3:$A$5001,AD$3,BD!$B$3:$B$5001,$A$127)))</f>
        <v/>
      </c>
      <c r="AE148" s="251" t="str">
        <f>IF(AE$3="","",IF(COUNTIFS(BD!$A$3:$A$5001,AE$3,BD!$B$3:$B$5001,$A$127,BD!$W$3:$W$5001,"&lt;&gt;")=0,"",SUMIFS(BD!$W$3:$W$5001,BD!$A$3:$A$5001,AE$3,BD!$B$3:$B$5001,$A$127)))</f>
        <v/>
      </c>
      <c r="AF148" s="251" t="str">
        <f>IF(AF$3="","",IF(COUNTIFS(BD!$A$3:$A$5001,AF$3,BD!$B$3:$B$5001,$A$127,BD!$W$3:$W$5001,"&lt;&gt;")=0,"",SUMIFS(BD!$W$3:$W$5001,BD!$A$3:$A$5001,AF$3,BD!$B$3:$B$5001,$A$127)))</f>
        <v/>
      </c>
      <c r="AG148" s="251" t="str">
        <f>IF(AG$3="","",IF(COUNTIFS(BD!$A$3:$A$5001,AG$3,BD!$B$3:$B$5001,$A$127,BD!$W$3:$W$5001,"&lt;&gt;")=0,"",SUMIFS(BD!$W$3:$W$5001,BD!$A$3:$A$5001,AG$3,BD!$B$3:$B$5001,$A$127)))</f>
        <v/>
      </c>
      <c r="AH148" s="251" t="str">
        <f>IF(AH$3="","",IF(COUNTIFS(BD!$A$3:$A$5001,AH$3,BD!$B$3:$B$5001,$A$127,BD!$W$3:$W$5001,"&lt;&gt;")=0,"",SUMIFS(BD!$W$3:$W$5001,BD!$A$3:$A$5001,AH$3,BD!$B$3:$B$5001,$A$127)))</f>
        <v/>
      </c>
      <c r="AI148" s="251" t="str">
        <f>IF(AI$3="","",IF(COUNTIFS(BD!$A$3:$A$5001,AI$3,BD!$B$3:$B$5001,$A$127,BD!$W$3:$W$5001,"&lt;&gt;")=0,"",SUMIFS(BD!$W$3:$W$5001,BD!$A$3:$A$5001,AI$3,BD!$B$3:$B$5001,$A$127)))</f>
        <v/>
      </c>
      <c r="AJ148" s="252" t="str">
        <f>IF(AJ$3="","",IF(COUNTIFS(BD!$A$3:$A$5001,AJ$3,BD!$B$3:$B$5001,$A$127,BD!$W$3:$W$5001,"&lt;&gt;")=0,"",SUMIFS(BD!$W$3:$W$5001,BD!$A$3:$A$5001,AJ$3,BD!$B$3:$B$5001,$A$127)))</f>
        <v/>
      </c>
      <c r="AK148" s="253" t="str">
        <f>IF(COUNT(F148:AJ148)=0,"",SUM(F148:AJ148))</f>
        <v/>
      </c>
    </row>
    <row r="149" ht="15.75" customHeight="1" hidden="1">
      <c r="A149" s="277"/>
      <c r="B149" s="274"/>
      <c r="C149" s="247" t="inlineStr">
        <is>
          <t xml:space="preserve">Férias</t>
        </is>
      </c>
      <c r="D149" s="248" t="str">
        <f>IFERROR(1/(1/INDEX(BD!$AF$45:$AZ$45,MATCH($A$127,BD!$AF$22:$AZ$22,0))),"")</f>
        <v/>
      </c>
      <c r="E149" s="249"/>
      <c r="F149" s="250" t="str">
        <f>IF(F$3="","",IF(COUNTIFS(BD!$A$3:$A$5001,F$3,BD!$B$3:$B$5001,$A$127,BD!$X$3:$X$5001,"&lt;&gt;")=0,"",SUMIFS(BD!$X$3:$X$5001,BD!$A$3:$A$5001,F$3,BD!$B$3:$B$5001,$A$127)))</f>
        <v/>
      </c>
      <c r="G149" s="251" t="str">
        <f>IF(G$3="","",IF(COUNTIFS(BD!$A$3:$A$5001,G$3,BD!$B$3:$B$5001,$A$127,BD!$X$3:$X$5001,"&lt;&gt;")=0,"",SUMIFS(BD!$X$3:$X$5001,BD!$A$3:$A$5001,G$3,BD!$B$3:$B$5001,$A$127)))</f>
        <v/>
      </c>
      <c r="H149" s="251" t="str">
        <f>IF(H$3="","",IF(COUNTIFS(BD!$A$3:$A$5001,H$3,BD!$B$3:$B$5001,$A$127,BD!$X$3:$X$5001,"&lt;&gt;")=0,"",SUMIFS(BD!$X$3:$X$5001,BD!$A$3:$A$5001,H$3,BD!$B$3:$B$5001,$A$127)))</f>
        <v/>
      </c>
      <c r="I149" s="251" t="str">
        <f>IF(I$3="","",IF(COUNTIFS(BD!$A$3:$A$5001,I$3,BD!$B$3:$B$5001,$A$127,BD!$X$3:$X$5001,"&lt;&gt;")=0,"",SUMIFS(BD!$X$3:$X$5001,BD!$A$3:$A$5001,I$3,BD!$B$3:$B$5001,$A$127)))</f>
        <v/>
      </c>
      <c r="J149" s="251" t="str">
        <f>IF(J$3="","",IF(COUNTIFS(BD!$A$3:$A$5001,J$3,BD!$B$3:$B$5001,$A$127,BD!$X$3:$X$5001,"&lt;&gt;")=0,"",SUMIFS(BD!$X$3:$X$5001,BD!$A$3:$A$5001,J$3,BD!$B$3:$B$5001,$A$127)))</f>
        <v/>
      </c>
      <c r="K149" s="251" t="str">
        <f>IF(K$3="","",IF(COUNTIFS(BD!$A$3:$A$5001,K$3,BD!$B$3:$B$5001,$A$127,BD!$X$3:$X$5001,"&lt;&gt;")=0,"",SUMIFS(BD!$X$3:$X$5001,BD!$A$3:$A$5001,K$3,BD!$B$3:$B$5001,$A$127)))</f>
        <v/>
      </c>
      <c r="L149" s="251" t="str">
        <f>IF(L$3="","",IF(COUNTIFS(BD!$A$3:$A$5001,L$3,BD!$B$3:$B$5001,$A$127,BD!$X$3:$X$5001,"&lt;&gt;")=0,"",SUMIFS(BD!$X$3:$X$5001,BD!$A$3:$A$5001,L$3,BD!$B$3:$B$5001,$A$127)))</f>
        <v/>
      </c>
      <c r="M149" s="251" t="str">
        <f>IF(M$3="","",IF(COUNTIFS(BD!$A$3:$A$5001,M$3,BD!$B$3:$B$5001,$A$127,BD!$X$3:$X$5001,"&lt;&gt;")=0,"",SUMIFS(BD!$X$3:$X$5001,BD!$A$3:$A$5001,M$3,BD!$B$3:$B$5001,$A$127)))</f>
        <v/>
      </c>
      <c r="N149" s="251" t="str">
        <f>IF(N$3="","",IF(COUNTIFS(BD!$A$3:$A$5001,N$3,BD!$B$3:$B$5001,$A$127,BD!$X$3:$X$5001,"&lt;&gt;")=0,"",SUMIFS(BD!$X$3:$X$5001,BD!$A$3:$A$5001,N$3,BD!$B$3:$B$5001,$A$127)))</f>
        <v/>
      </c>
      <c r="O149" s="251" t="str">
        <f>IF(O$3="","",IF(COUNTIFS(BD!$A$3:$A$5001,O$3,BD!$B$3:$B$5001,$A$127,BD!$X$3:$X$5001,"&lt;&gt;")=0,"",SUMIFS(BD!$X$3:$X$5001,BD!$A$3:$A$5001,O$3,BD!$B$3:$B$5001,$A$127)))</f>
        <v/>
      </c>
      <c r="P149" s="251" t="str">
        <f>IF(P$3="","",IF(COUNTIFS(BD!$A$3:$A$5001,P$3,BD!$B$3:$B$5001,$A$127,BD!$X$3:$X$5001,"&lt;&gt;")=0,"",SUMIFS(BD!$X$3:$X$5001,BD!$A$3:$A$5001,P$3,BD!$B$3:$B$5001,$A$127)))</f>
        <v/>
      </c>
      <c r="Q149" s="251" t="str">
        <f>IF(Q$3="","",IF(COUNTIFS(BD!$A$3:$A$5001,Q$3,BD!$B$3:$B$5001,$A$127,BD!$X$3:$X$5001,"&lt;&gt;")=0,"",SUMIFS(BD!$X$3:$X$5001,BD!$A$3:$A$5001,Q$3,BD!$B$3:$B$5001,$A$127)))</f>
        <v/>
      </c>
      <c r="R149" s="251" t="str">
        <f>IF(R$3="","",IF(COUNTIFS(BD!$A$3:$A$5001,R$3,BD!$B$3:$B$5001,$A$127,BD!$X$3:$X$5001,"&lt;&gt;")=0,"",SUMIFS(BD!$X$3:$X$5001,BD!$A$3:$A$5001,R$3,BD!$B$3:$B$5001,$A$127)))</f>
        <v/>
      </c>
      <c r="S149" s="251" t="str">
        <f>IF(S$3="","",IF(COUNTIFS(BD!$A$3:$A$5001,S$3,BD!$B$3:$B$5001,$A$127,BD!$X$3:$X$5001,"&lt;&gt;")=0,"",SUMIFS(BD!$X$3:$X$5001,BD!$A$3:$A$5001,S$3,BD!$B$3:$B$5001,$A$127)))</f>
        <v/>
      </c>
      <c r="T149" s="251" t="str">
        <f>IF(T$3="","",IF(COUNTIFS(BD!$A$3:$A$5001,T$3,BD!$B$3:$B$5001,$A$127,BD!$X$3:$X$5001,"&lt;&gt;")=0,"",SUMIFS(BD!$X$3:$X$5001,BD!$A$3:$A$5001,T$3,BD!$B$3:$B$5001,$A$127)))</f>
        <v/>
      </c>
      <c r="U149" s="251" t="str">
        <f>IF(U$3="","",IF(COUNTIFS(BD!$A$3:$A$5001,U$3,BD!$B$3:$B$5001,$A$127,BD!$X$3:$X$5001,"&lt;&gt;")=0,"",SUMIFS(BD!$X$3:$X$5001,BD!$A$3:$A$5001,U$3,BD!$B$3:$B$5001,$A$127)))</f>
        <v/>
      </c>
      <c r="V149" s="251" t="str">
        <f>IF(V$3="","",IF(COUNTIFS(BD!$A$3:$A$5001,V$3,BD!$B$3:$B$5001,$A$127,BD!$X$3:$X$5001,"&lt;&gt;")=0,"",SUMIFS(BD!$X$3:$X$5001,BD!$A$3:$A$5001,V$3,BD!$B$3:$B$5001,$A$127)))</f>
        <v/>
      </c>
      <c r="W149" s="251" t="str">
        <f>IF(W$3="","",IF(COUNTIFS(BD!$A$3:$A$5001,W$3,BD!$B$3:$B$5001,$A$127,BD!$X$3:$X$5001,"&lt;&gt;")=0,"",SUMIFS(BD!$X$3:$X$5001,BD!$A$3:$A$5001,W$3,BD!$B$3:$B$5001,$A$127)))</f>
        <v/>
      </c>
      <c r="X149" s="251" t="str">
        <f>IF(X$3="","",IF(COUNTIFS(BD!$A$3:$A$5001,X$3,BD!$B$3:$B$5001,$A$127,BD!$X$3:$X$5001,"&lt;&gt;")=0,"",SUMIFS(BD!$X$3:$X$5001,BD!$A$3:$A$5001,X$3,BD!$B$3:$B$5001,$A$127)))</f>
        <v/>
      </c>
      <c r="Y149" s="251" t="str">
        <f>IF(Y$3="","",IF(COUNTIFS(BD!$A$3:$A$5001,Y$3,BD!$B$3:$B$5001,$A$127,BD!$X$3:$X$5001,"&lt;&gt;")=0,"",SUMIFS(BD!$X$3:$X$5001,BD!$A$3:$A$5001,Y$3,BD!$B$3:$B$5001,$A$127)))</f>
        <v/>
      </c>
      <c r="Z149" s="251" t="str">
        <f>IF(Z$3="","",IF(COUNTIFS(BD!$A$3:$A$5001,Z$3,BD!$B$3:$B$5001,$A$127,BD!$X$3:$X$5001,"&lt;&gt;")=0,"",SUMIFS(BD!$X$3:$X$5001,BD!$A$3:$A$5001,Z$3,BD!$B$3:$B$5001,$A$127)))</f>
        <v/>
      </c>
      <c r="AA149" s="251" t="str">
        <f>IF(AA$3="","",IF(COUNTIFS(BD!$A$3:$A$5001,AA$3,BD!$B$3:$B$5001,$A$127,BD!$X$3:$X$5001,"&lt;&gt;")=0,"",SUMIFS(BD!$X$3:$X$5001,BD!$A$3:$A$5001,AA$3,BD!$B$3:$B$5001,$A$127)))</f>
        <v/>
      </c>
      <c r="AB149" s="251" t="str">
        <f>IF(AB$3="","",IF(COUNTIFS(BD!$A$3:$A$5001,AB$3,BD!$B$3:$B$5001,$A$127,BD!$X$3:$X$5001,"&lt;&gt;")=0,"",SUMIFS(BD!$X$3:$X$5001,BD!$A$3:$A$5001,AB$3,BD!$B$3:$B$5001,$A$127)))</f>
        <v/>
      </c>
      <c r="AC149" s="251" t="str">
        <f>IF(AC$3="","",IF(COUNTIFS(BD!$A$3:$A$5001,AC$3,BD!$B$3:$B$5001,$A$127,BD!$X$3:$X$5001,"&lt;&gt;")=0,"",SUMIFS(BD!$X$3:$X$5001,BD!$A$3:$A$5001,AC$3,BD!$B$3:$B$5001,$A$127)))</f>
        <v/>
      </c>
      <c r="AD149" s="251" t="str">
        <f>IF(AD$3="","",IF(COUNTIFS(BD!$A$3:$A$5001,AD$3,BD!$B$3:$B$5001,$A$127,BD!$X$3:$X$5001,"&lt;&gt;")=0,"",SUMIFS(BD!$X$3:$X$5001,BD!$A$3:$A$5001,AD$3,BD!$B$3:$B$5001,$A$127)))</f>
        <v/>
      </c>
      <c r="AE149" s="251" t="str">
        <f>IF(AE$3="","",IF(COUNTIFS(BD!$A$3:$A$5001,AE$3,BD!$B$3:$B$5001,$A$127,BD!$X$3:$X$5001,"&lt;&gt;")=0,"",SUMIFS(BD!$X$3:$X$5001,BD!$A$3:$A$5001,AE$3,BD!$B$3:$B$5001,$A$127)))</f>
        <v/>
      </c>
      <c r="AF149" s="251" t="str">
        <f>IF(AF$3="","",IF(COUNTIFS(BD!$A$3:$A$5001,AF$3,BD!$B$3:$B$5001,$A$127,BD!$X$3:$X$5001,"&lt;&gt;")=0,"",SUMIFS(BD!$X$3:$X$5001,BD!$A$3:$A$5001,AF$3,BD!$B$3:$B$5001,$A$127)))</f>
        <v/>
      </c>
      <c r="AG149" s="251" t="str">
        <f>IF(AG$3="","",IF(COUNTIFS(BD!$A$3:$A$5001,AG$3,BD!$B$3:$B$5001,$A$127,BD!$X$3:$X$5001,"&lt;&gt;")=0,"",SUMIFS(BD!$X$3:$X$5001,BD!$A$3:$A$5001,AG$3,BD!$B$3:$B$5001,$A$127)))</f>
        <v/>
      </c>
      <c r="AH149" s="251" t="str">
        <f>IF(AH$3="","",IF(COUNTIFS(BD!$A$3:$A$5001,AH$3,BD!$B$3:$B$5001,$A$127,BD!$X$3:$X$5001,"&lt;&gt;")=0,"",SUMIFS(BD!$X$3:$X$5001,BD!$A$3:$A$5001,AH$3,BD!$B$3:$B$5001,$A$127)))</f>
        <v/>
      </c>
      <c r="AI149" s="251" t="str">
        <f>IF(AI$3="","",IF(COUNTIFS(BD!$A$3:$A$5001,AI$3,BD!$B$3:$B$5001,$A$127,BD!$X$3:$X$5001,"&lt;&gt;")=0,"",SUMIFS(BD!$X$3:$X$5001,BD!$A$3:$A$5001,AI$3,BD!$B$3:$B$5001,$A$127)))</f>
        <v/>
      </c>
      <c r="AJ149" s="252" t="str">
        <f>IF(AJ$3="","",IF(COUNTIFS(BD!$A$3:$A$5001,AJ$3,BD!$B$3:$B$5001,$A$127,BD!$X$3:$X$5001,"&lt;&gt;")=0,"",SUMIFS(BD!$X$3:$X$5001,BD!$A$3:$A$5001,AJ$3,BD!$B$3:$B$5001,$A$127)))</f>
        <v/>
      </c>
      <c r="AK149" s="253" t="str">
        <f>IF(COUNT(F149:AJ149)=0,"",SUM(F149:AJ149))</f>
        <v/>
      </c>
    </row>
    <row r="150" ht="15.75" customHeight="1" hidden="1">
      <c r="A150" s="277"/>
      <c r="B150" s="274"/>
      <c r="C150" s="247" t="inlineStr">
        <is>
          <t xml:space="preserve">Desligamento</t>
        </is>
      </c>
      <c r="D150" s="248" t="str">
        <f>IFERROR(1/(1/INDEX(BD!$AF$46:$AZ$46,MATCH($A$127,BD!$AF$22:$AZ$22,0))),"")</f>
        <v/>
      </c>
      <c r="E150" s="249"/>
      <c r="F150" s="250" t="str">
        <f>IF(F$3="","",IF(COUNTIFS(BD!$A$3:$A$5001,F$3,BD!$B$3:$B$5001,$A$127,BD!$Y$3:$Y$5001,"&lt;&gt;")=0,"",SUMIFS(BD!$Y$3:$Y$5001,BD!$A$3:$A$5001,F$3,BD!$B$3:$B$5001,$A$127)))</f>
        <v/>
      </c>
      <c r="G150" s="251" t="str">
        <f>IF(G$3="","",IF(COUNTIFS(BD!$A$3:$A$5001,G$3,BD!$B$3:$B$5001,$A$127,BD!$Y$3:$Y$5001,"&lt;&gt;")=0,"",SUMIFS(BD!$Y$3:$Y$5001,BD!$A$3:$A$5001,G$3,BD!$B$3:$B$5001,$A$127)))</f>
        <v/>
      </c>
      <c r="H150" s="251" t="str">
        <f>IF(H$3="","",IF(COUNTIFS(BD!$A$3:$A$5001,H$3,BD!$B$3:$B$5001,$A$127,BD!$Y$3:$Y$5001,"&lt;&gt;")=0,"",SUMIFS(BD!$Y$3:$Y$5001,BD!$A$3:$A$5001,H$3,BD!$B$3:$B$5001,$A$127)))</f>
        <v/>
      </c>
      <c r="I150" s="251" t="str">
        <f>IF(I$3="","",IF(COUNTIFS(BD!$A$3:$A$5001,I$3,BD!$B$3:$B$5001,$A$127,BD!$Y$3:$Y$5001,"&lt;&gt;")=0,"",SUMIFS(BD!$Y$3:$Y$5001,BD!$A$3:$A$5001,I$3,BD!$B$3:$B$5001,$A$127)))</f>
        <v/>
      </c>
      <c r="J150" s="251" t="str">
        <f>IF(J$3="","",IF(COUNTIFS(BD!$A$3:$A$5001,J$3,BD!$B$3:$B$5001,$A$127,BD!$Y$3:$Y$5001,"&lt;&gt;")=0,"",SUMIFS(BD!$Y$3:$Y$5001,BD!$A$3:$A$5001,J$3,BD!$B$3:$B$5001,$A$127)))</f>
        <v/>
      </c>
      <c r="K150" s="251" t="str">
        <f>IF(K$3="","",IF(COUNTIFS(BD!$A$3:$A$5001,K$3,BD!$B$3:$B$5001,$A$127,BD!$Y$3:$Y$5001,"&lt;&gt;")=0,"",SUMIFS(BD!$Y$3:$Y$5001,BD!$A$3:$A$5001,K$3,BD!$B$3:$B$5001,$A$127)))</f>
        <v/>
      </c>
      <c r="L150" s="251" t="str">
        <f>IF(L$3="","",IF(COUNTIFS(BD!$A$3:$A$5001,L$3,BD!$B$3:$B$5001,$A$127,BD!$Y$3:$Y$5001,"&lt;&gt;")=0,"",SUMIFS(BD!$Y$3:$Y$5001,BD!$A$3:$A$5001,L$3,BD!$B$3:$B$5001,$A$127)))</f>
        <v/>
      </c>
      <c r="M150" s="251" t="str">
        <f>IF(M$3="","",IF(COUNTIFS(BD!$A$3:$A$5001,M$3,BD!$B$3:$B$5001,$A$127,BD!$Y$3:$Y$5001,"&lt;&gt;")=0,"",SUMIFS(BD!$Y$3:$Y$5001,BD!$A$3:$A$5001,M$3,BD!$B$3:$B$5001,$A$127)))</f>
        <v/>
      </c>
      <c r="N150" s="251" t="str">
        <f>IF(N$3="","",IF(COUNTIFS(BD!$A$3:$A$5001,N$3,BD!$B$3:$B$5001,$A$127,BD!$Y$3:$Y$5001,"&lt;&gt;")=0,"",SUMIFS(BD!$Y$3:$Y$5001,BD!$A$3:$A$5001,N$3,BD!$B$3:$B$5001,$A$127)))</f>
        <v/>
      </c>
      <c r="O150" s="251" t="str">
        <f>IF(O$3="","",IF(COUNTIFS(BD!$A$3:$A$5001,O$3,BD!$B$3:$B$5001,$A$127,BD!$Y$3:$Y$5001,"&lt;&gt;")=0,"",SUMIFS(BD!$Y$3:$Y$5001,BD!$A$3:$A$5001,O$3,BD!$B$3:$B$5001,$A$127)))</f>
        <v/>
      </c>
      <c r="P150" s="251" t="str">
        <f>IF(P$3="","",IF(COUNTIFS(BD!$A$3:$A$5001,P$3,BD!$B$3:$B$5001,$A$127,BD!$Y$3:$Y$5001,"&lt;&gt;")=0,"",SUMIFS(BD!$Y$3:$Y$5001,BD!$A$3:$A$5001,P$3,BD!$B$3:$B$5001,$A$127)))</f>
        <v/>
      </c>
      <c r="Q150" s="251" t="str">
        <f>IF(Q$3="","",IF(COUNTIFS(BD!$A$3:$A$5001,Q$3,BD!$B$3:$B$5001,$A$127,BD!$Y$3:$Y$5001,"&lt;&gt;")=0,"",SUMIFS(BD!$Y$3:$Y$5001,BD!$A$3:$A$5001,Q$3,BD!$B$3:$B$5001,$A$127)))</f>
        <v/>
      </c>
      <c r="R150" s="251" t="str">
        <f>IF(R$3="","",IF(COUNTIFS(BD!$A$3:$A$5001,R$3,BD!$B$3:$B$5001,$A$127,BD!$Y$3:$Y$5001,"&lt;&gt;")=0,"",SUMIFS(BD!$Y$3:$Y$5001,BD!$A$3:$A$5001,R$3,BD!$B$3:$B$5001,$A$127)))</f>
        <v/>
      </c>
      <c r="S150" s="251" t="str">
        <f>IF(S$3="","",IF(COUNTIFS(BD!$A$3:$A$5001,S$3,BD!$B$3:$B$5001,$A$127,BD!$Y$3:$Y$5001,"&lt;&gt;")=0,"",SUMIFS(BD!$Y$3:$Y$5001,BD!$A$3:$A$5001,S$3,BD!$B$3:$B$5001,$A$127)))</f>
        <v/>
      </c>
      <c r="T150" s="251" t="str">
        <f>IF(T$3="","",IF(COUNTIFS(BD!$A$3:$A$5001,T$3,BD!$B$3:$B$5001,$A$127,BD!$Y$3:$Y$5001,"&lt;&gt;")=0,"",SUMIFS(BD!$Y$3:$Y$5001,BD!$A$3:$A$5001,T$3,BD!$B$3:$B$5001,$A$127)))</f>
        <v/>
      </c>
      <c r="U150" s="251" t="str">
        <f>IF(U$3="","",IF(COUNTIFS(BD!$A$3:$A$5001,U$3,BD!$B$3:$B$5001,$A$127,BD!$Y$3:$Y$5001,"&lt;&gt;")=0,"",SUMIFS(BD!$Y$3:$Y$5001,BD!$A$3:$A$5001,U$3,BD!$B$3:$B$5001,$A$127)))</f>
        <v/>
      </c>
      <c r="V150" s="251" t="str">
        <f>IF(V$3="","",IF(COUNTIFS(BD!$A$3:$A$5001,V$3,BD!$B$3:$B$5001,$A$127,BD!$Y$3:$Y$5001,"&lt;&gt;")=0,"",SUMIFS(BD!$Y$3:$Y$5001,BD!$A$3:$A$5001,V$3,BD!$B$3:$B$5001,$A$127)))</f>
        <v/>
      </c>
      <c r="W150" s="251" t="str">
        <f>IF(W$3="","",IF(COUNTIFS(BD!$A$3:$A$5001,W$3,BD!$B$3:$B$5001,$A$127,BD!$Y$3:$Y$5001,"&lt;&gt;")=0,"",SUMIFS(BD!$Y$3:$Y$5001,BD!$A$3:$A$5001,W$3,BD!$B$3:$B$5001,$A$127)))</f>
        <v/>
      </c>
      <c r="X150" s="251" t="str">
        <f>IF(X$3="","",IF(COUNTIFS(BD!$A$3:$A$5001,X$3,BD!$B$3:$B$5001,$A$127,BD!$Y$3:$Y$5001,"&lt;&gt;")=0,"",SUMIFS(BD!$Y$3:$Y$5001,BD!$A$3:$A$5001,X$3,BD!$B$3:$B$5001,$A$127)))</f>
        <v/>
      </c>
      <c r="Y150" s="251" t="str">
        <f>IF(Y$3="","",IF(COUNTIFS(BD!$A$3:$A$5001,Y$3,BD!$B$3:$B$5001,$A$127,BD!$Y$3:$Y$5001,"&lt;&gt;")=0,"",SUMIFS(BD!$Y$3:$Y$5001,BD!$A$3:$A$5001,Y$3,BD!$B$3:$B$5001,$A$127)))</f>
        <v/>
      </c>
      <c r="Z150" s="251" t="str">
        <f>IF(Z$3="","",IF(COUNTIFS(BD!$A$3:$A$5001,Z$3,BD!$B$3:$B$5001,$A$127,BD!$Y$3:$Y$5001,"&lt;&gt;")=0,"",SUMIFS(BD!$Y$3:$Y$5001,BD!$A$3:$A$5001,Z$3,BD!$B$3:$B$5001,$A$127)))</f>
        <v/>
      </c>
      <c r="AA150" s="251" t="str">
        <f>IF(AA$3="","",IF(COUNTIFS(BD!$A$3:$A$5001,AA$3,BD!$B$3:$B$5001,$A$127,BD!$Y$3:$Y$5001,"&lt;&gt;")=0,"",SUMIFS(BD!$Y$3:$Y$5001,BD!$A$3:$A$5001,AA$3,BD!$B$3:$B$5001,$A$127)))</f>
        <v/>
      </c>
      <c r="AB150" s="251" t="str">
        <f>IF(AB$3="","",IF(COUNTIFS(BD!$A$3:$A$5001,AB$3,BD!$B$3:$B$5001,$A$127,BD!$Y$3:$Y$5001,"&lt;&gt;")=0,"",SUMIFS(BD!$Y$3:$Y$5001,BD!$A$3:$A$5001,AB$3,BD!$B$3:$B$5001,$A$127)))</f>
        <v/>
      </c>
      <c r="AC150" s="251" t="str">
        <f>IF(AC$3="","",IF(COUNTIFS(BD!$A$3:$A$5001,AC$3,BD!$B$3:$B$5001,$A$127,BD!$Y$3:$Y$5001,"&lt;&gt;")=0,"",SUMIFS(BD!$Y$3:$Y$5001,BD!$A$3:$A$5001,AC$3,BD!$B$3:$B$5001,$A$127)))</f>
        <v/>
      </c>
      <c r="AD150" s="251" t="str">
        <f>IF(AD$3="","",IF(COUNTIFS(BD!$A$3:$A$5001,AD$3,BD!$B$3:$B$5001,$A$127,BD!$Y$3:$Y$5001,"&lt;&gt;")=0,"",SUMIFS(BD!$Y$3:$Y$5001,BD!$A$3:$A$5001,AD$3,BD!$B$3:$B$5001,$A$127)))</f>
        <v/>
      </c>
      <c r="AE150" s="251" t="str">
        <f>IF(AE$3="","",IF(COUNTIFS(BD!$A$3:$A$5001,AE$3,BD!$B$3:$B$5001,$A$127,BD!$Y$3:$Y$5001,"&lt;&gt;")=0,"",SUMIFS(BD!$Y$3:$Y$5001,BD!$A$3:$A$5001,AE$3,BD!$B$3:$B$5001,$A$127)))</f>
        <v/>
      </c>
      <c r="AF150" s="251" t="str">
        <f>IF(AF$3="","",IF(COUNTIFS(BD!$A$3:$A$5001,AF$3,BD!$B$3:$B$5001,$A$127,BD!$Y$3:$Y$5001,"&lt;&gt;")=0,"",SUMIFS(BD!$Y$3:$Y$5001,BD!$A$3:$A$5001,AF$3,BD!$B$3:$B$5001,$A$127)))</f>
        <v/>
      </c>
      <c r="AG150" s="251" t="str">
        <f>IF(AG$3="","",IF(COUNTIFS(BD!$A$3:$A$5001,AG$3,BD!$B$3:$B$5001,$A$127,BD!$Y$3:$Y$5001,"&lt;&gt;")=0,"",SUMIFS(BD!$Y$3:$Y$5001,BD!$A$3:$A$5001,AG$3,BD!$B$3:$B$5001,$A$127)))</f>
        <v/>
      </c>
      <c r="AH150" s="251" t="str">
        <f>IF(AH$3="","",IF(COUNTIFS(BD!$A$3:$A$5001,AH$3,BD!$B$3:$B$5001,$A$127,BD!$Y$3:$Y$5001,"&lt;&gt;")=0,"",SUMIFS(BD!$Y$3:$Y$5001,BD!$A$3:$A$5001,AH$3,BD!$B$3:$B$5001,$A$127)))</f>
        <v/>
      </c>
      <c r="AI150" s="251" t="str">
        <f>IF(AI$3="","",IF(COUNTIFS(BD!$A$3:$A$5001,AI$3,BD!$B$3:$B$5001,$A$127,BD!$Y$3:$Y$5001,"&lt;&gt;")=0,"",SUMIFS(BD!$Y$3:$Y$5001,BD!$A$3:$A$5001,AI$3,BD!$B$3:$B$5001,$A$127)))</f>
        <v/>
      </c>
      <c r="AJ150" s="252" t="str">
        <f>IF(AJ$3="","",IF(COUNTIFS(BD!$A$3:$A$5001,AJ$3,BD!$B$3:$B$5001,$A$127,BD!$Y$3:$Y$5001,"&lt;&gt;")=0,"",SUMIFS(BD!$Y$3:$Y$5001,BD!$A$3:$A$5001,AJ$3,BD!$B$3:$B$5001,$A$127)))</f>
        <v/>
      </c>
      <c r="AK150" s="253" t="str">
        <f>IF(COUNT(F150:AJ150)=0,"",SUM(F150:AJ150))</f>
        <v/>
      </c>
    </row>
    <row r="151" ht="15.75" customHeight="1" hidden="1">
      <c r="A151" s="277"/>
      <c r="B151" s="274"/>
      <c r="C151" s="247" t="inlineStr">
        <is>
          <t xml:space="preserve">Desvios Comportamentais</t>
        </is>
      </c>
      <c r="D151" s="248" t="str">
        <f>IFERROR(1/(1/INDEX(BD!$AF$47:$AZ$47,MATCH($A$127,BD!$AF$22:$AZ$22,0))),"")</f>
        <v/>
      </c>
      <c r="E151" s="249"/>
      <c r="F151" s="250" t="str">
        <f>IF(F$3="","",IF(COUNTIFS(BD!$A$3:$A$5001,F$3,BD!$B$3:$B$5001,$A$127,BD!$Z$3:$Z$5001,"&lt;&gt;")=0,"",SUMIFS(BD!$Z$3:$Z$5001,BD!$A$3:$A$5001,F$3,BD!$B$3:$B$5001,$A$127)))</f>
        <v/>
      </c>
      <c r="G151" s="251" t="str">
        <f>IF(G$3="","",IF(COUNTIFS(BD!$A$3:$A$5001,G$3,BD!$B$3:$B$5001,$A$127,BD!$Z$3:$Z$5001,"&lt;&gt;")=0,"",SUMIFS(BD!$Z$3:$Z$5001,BD!$A$3:$A$5001,G$3,BD!$B$3:$B$5001,$A$127)))</f>
        <v/>
      </c>
      <c r="H151" s="251" t="str">
        <f>IF(H$3="","",IF(COUNTIFS(BD!$A$3:$A$5001,H$3,BD!$B$3:$B$5001,$A$127,BD!$Z$3:$Z$5001,"&lt;&gt;")=0,"",SUMIFS(BD!$Z$3:$Z$5001,BD!$A$3:$A$5001,H$3,BD!$B$3:$B$5001,$A$127)))</f>
        <v/>
      </c>
      <c r="I151" s="251" t="str">
        <f>IF(I$3="","",IF(COUNTIFS(BD!$A$3:$A$5001,I$3,BD!$B$3:$B$5001,$A$127,BD!$Z$3:$Z$5001,"&lt;&gt;")=0,"",SUMIFS(BD!$Z$3:$Z$5001,BD!$A$3:$A$5001,I$3,BD!$B$3:$B$5001,$A$127)))</f>
        <v/>
      </c>
      <c r="J151" s="251" t="str">
        <f>IF(J$3="","",IF(COUNTIFS(BD!$A$3:$A$5001,J$3,BD!$B$3:$B$5001,$A$127,BD!$Z$3:$Z$5001,"&lt;&gt;")=0,"",SUMIFS(BD!$Z$3:$Z$5001,BD!$A$3:$A$5001,J$3,BD!$B$3:$B$5001,$A$127)))</f>
        <v/>
      </c>
      <c r="K151" s="251" t="str">
        <f>IF(K$3="","",IF(COUNTIFS(BD!$A$3:$A$5001,K$3,BD!$B$3:$B$5001,$A$127,BD!$Z$3:$Z$5001,"&lt;&gt;")=0,"",SUMIFS(BD!$Z$3:$Z$5001,BD!$A$3:$A$5001,K$3,BD!$B$3:$B$5001,$A$127)))</f>
        <v/>
      </c>
      <c r="L151" s="251" t="str">
        <f>IF(L$3="","",IF(COUNTIFS(BD!$A$3:$A$5001,L$3,BD!$B$3:$B$5001,$A$127,BD!$Z$3:$Z$5001,"&lt;&gt;")=0,"",SUMIFS(BD!$Z$3:$Z$5001,BD!$A$3:$A$5001,L$3,BD!$B$3:$B$5001,$A$127)))</f>
        <v/>
      </c>
      <c r="M151" s="251" t="str">
        <f>IF(M$3="","",IF(COUNTIFS(BD!$A$3:$A$5001,M$3,BD!$B$3:$B$5001,$A$127,BD!$Z$3:$Z$5001,"&lt;&gt;")=0,"",SUMIFS(BD!$Z$3:$Z$5001,BD!$A$3:$A$5001,M$3,BD!$B$3:$B$5001,$A$127)))</f>
        <v/>
      </c>
      <c r="N151" s="251" t="str">
        <f>IF(N$3="","",IF(COUNTIFS(BD!$A$3:$A$5001,N$3,BD!$B$3:$B$5001,$A$127,BD!$Z$3:$Z$5001,"&lt;&gt;")=0,"",SUMIFS(BD!$Z$3:$Z$5001,BD!$A$3:$A$5001,N$3,BD!$B$3:$B$5001,$A$127)))</f>
        <v/>
      </c>
      <c r="O151" s="251" t="str">
        <f>IF(O$3="","",IF(COUNTIFS(BD!$A$3:$A$5001,O$3,BD!$B$3:$B$5001,$A$127,BD!$Z$3:$Z$5001,"&lt;&gt;")=0,"",SUMIFS(BD!$Z$3:$Z$5001,BD!$A$3:$A$5001,O$3,BD!$B$3:$B$5001,$A$127)))</f>
        <v/>
      </c>
      <c r="P151" s="251" t="str">
        <f>IF(P$3="","",IF(COUNTIFS(BD!$A$3:$A$5001,P$3,BD!$B$3:$B$5001,$A$127,BD!$Z$3:$Z$5001,"&lt;&gt;")=0,"",SUMIFS(BD!$Z$3:$Z$5001,BD!$A$3:$A$5001,P$3,BD!$B$3:$B$5001,$A$127)))</f>
        <v/>
      </c>
      <c r="Q151" s="251" t="str">
        <f>IF(Q$3="","",IF(COUNTIFS(BD!$A$3:$A$5001,Q$3,BD!$B$3:$B$5001,$A$127,BD!$Z$3:$Z$5001,"&lt;&gt;")=0,"",SUMIFS(BD!$Z$3:$Z$5001,BD!$A$3:$A$5001,Q$3,BD!$B$3:$B$5001,$A$127)))</f>
        <v/>
      </c>
      <c r="R151" s="251" t="str">
        <f>IF(R$3="","",IF(COUNTIFS(BD!$A$3:$A$5001,R$3,BD!$B$3:$B$5001,$A$127,BD!$Z$3:$Z$5001,"&lt;&gt;")=0,"",SUMIFS(BD!$Z$3:$Z$5001,BD!$A$3:$A$5001,R$3,BD!$B$3:$B$5001,$A$127)))</f>
        <v/>
      </c>
      <c r="S151" s="251" t="str">
        <f>IF(S$3="","",IF(COUNTIFS(BD!$A$3:$A$5001,S$3,BD!$B$3:$B$5001,$A$127,BD!$Z$3:$Z$5001,"&lt;&gt;")=0,"",SUMIFS(BD!$Z$3:$Z$5001,BD!$A$3:$A$5001,S$3,BD!$B$3:$B$5001,$A$127)))</f>
        <v/>
      </c>
      <c r="T151" s="251" t="str">
        <f>IF(T$3="","",IF(COUNTIFS(BD!$A$3:$A$5001,T$3,BD!$B$3:$B$5001,$A$127,BD!$Z$3:$Z$5001,"&lt;&gt;")=0,"",SUMIFS(BD!$Z$3:$Z$5001,BD!$A$3:$A$5001,T$3,BD!$B$3:$B$5001,$A$127)))</f>
        <v/>
      </c>
      <c r="U151" s="251" t="str">
        <f>IF(U$3="","",IF(COUNTIFS(BD!$A$3:$A$5001,U$3,BD!$B$3:$B$5001,$A$127,BD!$Z$3:$Z$5001,"&lt;&gt;")=0,"",SUMIFS(BD!$Z$3:$Z$5001,BD!$A$3:$A$5001,U$3,BD!$B$3:$B$5001,$A$127)))</f>
        <v/>
      </c>
      <c r="V151" s="251" t="str">
        <f>IF(V$3="","",IF(COUNTIFS(BD!$A$3:$A$5001,V$3,BD!$B$3:$B$5001,$A$127,BD!$Z$3:$Z$5001,"&lt;&gt;")=0,"",SUMIFS(BD!$Z$3:$Z$5001,BD!$A$3:$A$5001,V$3,BD!$B$3:$B$5001,$A$127)))</f>
        <v/>
      </c>
      <c r="W151" s="251" t="str">
        <f>IF(W$3="","",IF(COUNTIFS(BD!$A$3:$A$5001,W$3,BD!$B$3:$B$5001,$A$127,BD!$Z$3:$Z$5001,"&lt;&gt;")=0,"",SUMIFS(BD!$Z$3:$Z$5001,BD!$A$3:$A$5001,W$3,BD!$B$3:$B$5001,$A$127)))</f>
        <v/>
      </c>
      <c r="X151" s="251" t="str">
        <f>IF(X$3="","",IF(COUNTIFS(BD!$A$3:$A$5001,X$3,BD!$B$3:$B$5001,$A$127,BD!$Z$3:$Z$5001,"&lt;&gt;")=0,"",SUMIFS(BD!$Z$3:$Z$5001,BD!$A$3:$A$5001,X$3,BD!$B$3:$B$5001,$A$127)))</f>
        <v/>
      </c>
      <c r="Y151" s="251" t="str">
        <f>IF(Y$3="","",IF(COUNTIFS(BD!$A$3:$A$5001,Y$3,BD!$B$3:$B$5001,$A$127,BD!$Z$3:$Z$5001,"&lt;&gt;")=0,"",SUMIFS(BD!$Z$3:$Z$5001,BD!$A$3:$A$5001,Y$3,BD!$B$3:$B$5001,$A$127)))</f>
        <v/>
      </c>
      <c r="Z151" s="251" t="str">
        <f>IF(Z$3="","",IF(COUNTIFS(BD!$A$3:$A$5001,Z$3,BD!$B$3:$B$5001,$A$127,BD!$Z$3:$Z$5001,"&lt;&gt;")=0,"",SUMIFS(BD!$Z$3:$Z$5001,BD!$A$3:$A$5001,Z$3,BD!$B$3:$B$5001,$A$127)))</f>
        <v/>
      </c>
      <c r="AA151" s="251" t="str">
        <f>IF(AA$3="","",IF(COUNTIFS(BD!$A$3:$A$5001,AA$3,BD!$B$3:$B$5001,$A$127,BD!$Z$3:$Z$5001,"&lt;&gt;")=0,"",SUMIFS(BD!$Z$3:$Z$5001,BD!$A$3:$A$5001,AA$3,BD!$B$3:$B$5001,$A$127)))</f>
        <v/>
      </c>
      <c r="AB151" s="251" t="str">
        <f>IF(AB$3="","",IF(COUNTIFS(BD!$A$3:$A$5001,AB$3,BD!$B$3:$B$5001,$A$127,BD!$Z$3:$Z$5001,"&lt;&gt;")=0,"",SUMIFS(BD!$Z$3:$Z$5001,BD!$A$3:$A$5001,AB$3,BD!$B$3:$B$5001,$A$127)))</f>
        <v/>
      </c>
      <c r="AC151" s="251" t="str">
        <f>IF(AC$3="","",IF(COUNTIFS(BD!$A$3:$A$5001,AC$3,BD!$B$3:$B$5001,$A$127,BD!$Z$3:$Z$5001,"&lt;&gt;")=0,"",SUMIFS(BD!$Z$3:$Z$5001,BD!$A$3:$A$5001,AC$3,BD!$B$3:$B$5001,$A$127)))</f>
        <v/>
      </c>
      <c r="AD151" s="251" t="str">
        <f>IF(AD$3="","",IF(COUNTIFS(BD!$A$3:$A$5001,AD$3,BD!$B$3:$B$5001,$A$127,BD!$Z$3:$Z$5001,"&lt;&gt;")=0,"",SUMIFS(BD!$Z$3:$Z$5001,BD!$A$3:$A$5001,AD$3,BD!$B$3:$B$5001,$A$127)))</f>
        <v/>
      </c>
      <c r="AE151" s="251" t="str">
        <f>IF(AE$3="","",IF(COUNTIFS(BD!$A$3:$A$5001,AE$3,BD!$B$3:$B$5001,$A$127,BD!$Z$3:$Z$5001,"&lt;&gt;")=0,"",SUMIFS(BD!$Z$3:$Z$5001,BD!$A$3:$A$5001,AE$3,BD!$B$3:$B$5001,$A$127)))</f>
        <v/>
      </c>
      <c r="AF151" s="251" t="str">
        <f>IF(AF$3="","",IF(COUNTIFS(BD!$A$3:$A$5001,AF$3,BD!$B$3:$B$5001,$A$127,BD!$Z$3:$Z$5001,"&lt;&gt;")=0,"",SUMIFS(BD!$Z$3:$Z$5001,BD!$A$3:$A$5001,AF$3,BD!$B$3:$B$5001,$A$127)))</f>
        <v/>
      </c>
      <c r="AG151" s="251" t="str">
        <f>IF(AG$3="","",IF(COUNTIFS(BD!$A$3:$A$5001,AG$3,BD!$B$3:$B$5001,$A$127,BD!$Z$3:$Z$5001,"&lt;&gt;")=0,"",SUMIFS(BD!$Z$3:$Z$5001,BD!$A$3:$A$5001,AG$3,BD!$B$3:$B$5001,$A$127)))</f>
        <v/>
      </c>
      <c r="AH151" s="251" t="str">
        <f>IF(AH$3="","",IF(COUNTIFS(BD!$A$3:$A$5001,AH$3,BD!$B$3:$B$5001,$A$127,BD!$Z$3:$Z$5001,"&lt;&gt;")=0,"",SUMIFS(BD!$Z$3:$Z$5001,BD!$A$3:$A$5001,AH$3,BD!$B$3:$B$5001,$A$127)))</f>
        <v/>
      </c>
      <c r="AI151" s="251" t="str">
        <f>IF(AI$3="","",IF(COUNTIFS(BD!$A$3:$A$5001,AI$3,BD!$B$3:$B$5001,$A$127,BD!$Z$3:$Z$5001,"&lt;&gt;")=0,"",SUMIFS(BD!$Z$3:$Z$5001,BD!$A$3:$A$5001,AI$3,BD!$B$3:$B$5001,$A$127)))</f>
        <v/>
      </c>
      <c r="AJ151" s="252" t="str">
        <f>IF(AJ$3="","",IF(COUNTIFS(BD!$A$3:$A$5001,AJ$3,BD!$B$3:$B$5001,$A$127,BD!$Z$3:$Z$5001,"&lt;&gt;")=0,"",SUMIFS(BD!$Z$3:$Z$5001,BD!$A$3:$A$5001,AJ$3,BD!$B$3:$B$5001,$A$127)))</f>
        <v/>
      </c>
      <c r="AK151" s="253" t="str">
        <f>IF(COUNT(F151:AJ151)=0,"",SUM(F151:AJ151))</f>
        <v/>
      </c>
    </row>
    <row r="152" ht="15.75" customHeight="1" hidden="1">
      <c r="A152" s="277"/>
      <c r="B152" s="274"/>
      <c r="C152" s="247" t="inlineStr">
        <is>
          <t xml:space="preserve">Acidentes CAF</t>
        </is>
      </c>
      <c r="D152" s="248" t="str">
        <f>IFERROR(1/(1/INDEX(BD!$AF$48:$AZ$48,MATCH($A$127,BD!$AF$22:$AZ$22,0))),"")</f>
        <v/>
      </c>
      <c r="E152" s="249"/>
      <c r="F152" s="250" t="str">
        <f>IF(F$3="","",IF(COUNTIFS(BD!$A$3:$A$5001,F$3,BD!$B$3:$B$5001,$A$127,BD!$AA$3:$AA$5001,"&lt;&gt;")=0,"",SUMIFS(BD!$AA$3:$AA$5001,BD!$A$3:$A$5001,F$3,BD!$B$3:$B$5001,$A$127)))</f>
        <v/>
      </c>
      <c r="G152" s="251" t="str">
        <f>IF(G$3="","",IF(COUNTIFS(BD!$A$3:$A$5001,G$3,BD!$B$3:$B$5001,$A$127,BD!$AA$3:$AA$5001,"&lt;&gt;")=0,"",SUMIFS(BD!$AA$3:$AA$5001,BD!$A$3:$A$5001,G$3,BD!$B$3:$B$5001,$A$127)))</f>
        <v/>
      </c>
      <c r="H152" s="251" t="str">
        <f>IF(H$3="","",IF(COUNTIFS(BD!$A$3:$A$5001,H$3,BD!$B$3:$B$5001,$A$127,BD!$AA$3:$AA$5001,"&lt;&gt;")=0,"",SUMIFS(BD!$AA$3:$AA$5001,BD!$A$3:$A$5001,H$3,BD!$B$3:$B$5001,$A$127)))</f>
        <v/>
      </c>
      <c r="I152" s="251" t="str">
        <f>IF(I$3="","",IF(COUNTIFS(BD!$A$3:$A$5001,I$3,BD!$B$3:$B$5001,$A$127,BD!$AA$3:$AA$5001,"&lt;&gt;")=0,"",SUMIFS(BD!$AA$3:$AA$5001,BD!$A$3:$A$5001,I$3,BD!$B$3:$B$5001,$A$127)))</f>
        <v/>
      </c>
      <c r="J152" s="251" t="str">
        <f>IF(J$3="","",IF(COUNTIFS(BD!$A$3:$A$5001,J$3,BD!$B$3:$B$5001,$A$127,BD!$AA$3:$AA$5001,"&lt;&gt;")=0,"",SUMIFS(BD!$AA$3:$AA$5001,BD!$A$3:$A$5001,J$3,BD!$B$3:$B$5001,$A$127)))</f>
        <v/>
      </c>
      <c r="K152" s="251" t="str">
        <f>IF(K$3="","",IF(COUNTIFS(BD!$A$3:$A$5001,K$3,BD!$B$3:$B$5001,$A$127,BD!$AA$3:$AA$5001,"&lt;&gt;")=0,"",SUMIFS(BD!$AA$3:$AA$5001,BD!$A$3:$A$5001,K$3,BD!$B$3:$B$5001,$A$127)))</f>
        <v/>
      </c>
      <c r="L152" s="251" t="str">
        <f>IF(L$3="","",IF(COUNTIFS(BD!$A$3:$A$5001,L$3,BD!$B$3:$B$5001,$A$127,BD!$AA$3:$AA$5001,"&lt;&gt;")=0,"",SUMIFS(BD!$AA$3:$AA$5001,BD!$A$3:$A$5001,L$3,BD!$B$3:$B$5001,$A$127)))</f>
        <v/>
      </c>
      <c r="M152" s="251" t="str">
        <f>IF(M$3="","",IF(COUNTIFS(BD!$A$3:$A$5001,M$3,BD!$B$3:$B$5001,$A$127,BD!$AA$3:$AA$5001,"&lt;&gt;")=0,"",SUMIFS(BD!$AA$3:$AA$5001,BD!$A$3:$A$5001,M$3,BD!$B$3:$B$5001,$A$127)))</f>
        <v/>
      </c>
      <c r="N152" s="251" t="str">
        <f>IF(N$3="","",IF(COUNTIFS(BD!$A$3:$A$5001,N$3,BD!$B$3:$B$5001,$A$127,BD!$AA$3:$AA$5001,"&lt;&gt;")=0,"",SUMIFS(BD!$AA$3:$AA$5001,BD!$A$3:$A$5001,N$3,BD!$B$3:$B$5001,$A$127)))</f>
        <v/>
      </c>
      <c r="O152" s="251" t="str">
        <f>IF(O$3="","",IF(COUNTIFS(BD!$A$3:$A$5001,O$3,BD!$B$3:$B$5001,$A$127,BD!$AA$3:$AA$5001,"&lt;&gt;")=0,"",SUMIFS(BD!$AA$3:$AA$5001,BD!$A$3:$A$5001,O$3,BD!$B$3:$B$5001,$A$127)))</f>
        <v/>
      </c>
      <c r="P152" s="251" t="str">
        <f>IF(P$3="","",IF(COUNTIFS(BD!$A$3:$A$5001,P$3,BD!$B$3:$B$5001,$A$127,BD!$AA$3:$AA$5001,"&lt;&gt;")=0,"",SUMIFS(BD!$AA$3:$AA$5001,BD!$A$3:$A$5001,P$3,BD!$B$3:$B$5001,$A$127)))</f>
        <v/>
      </c>
      <c r="Q152" s="251" t="str">
        <f>IF(Q$3="","",IF(COUNTIFS(BD!$A$3:$A$5001,Q$3,BD!$B$3:$B$5001,$A$127,BD!$AA$3:$AA$5001,"&lt;&gt;")=0,"",SUMIFS(BD!$AA$3:$AA$5001,BD!$A$3:$A$5001,Q$3,BD!$B$3:$B$5001,$A$127)))</f>
        <v/>
      </c>
      <c r="R152" s="251" t="str">
        <f>IF(R$3="","",IF(COUNTIFS(BD!$A$3:$A$5001,R$3,BD!$B$3:$B$5001,$A$127,BD!$AA$3:$AA$5001,"&lt;&gt;")=0,"",SUMIFS(BD!$AA$3:$AA$5001,BD!$A$3:$A$5001,R$3,BD!$B$3:$B$5001,$A$127)))</f>
        <v/>
      </c>
      <c r="S152" s="251" t="str">
        <f>IF(S$3="","",IF(COUNTIFS(BD!$A$3:$A$5001,S$3,BD!$B$3:$B$5001,$A$127,BD!$AA$3:$AA$5001,"&lt;&gt;")=0,"",SUMIFS(BD!$AA$3:$AA$5001,BD!$A$3:$A$5001,S$3,BD!$B$3:$B$5001,$A$127)))</f>
        <v/>
      </c>
      <c r="T152" s="251" t="str">
        <f>IF(T$3="","",IF(COUNTIFS(BD!$A$3:$A$5001,T$3,BD!$B$3:$B$5001,$A$127,BD!$AA$3:$AA$5001,"&lt;&gt;")=0,"",SUMIFS(BD!$AA$3:$AA$5001,BD!$A$3:$A$5001,T$3,BD!$B$3:$B$5001,$A$127)))</f>
        <v/>
      </c>
      <c r="U152" s="251" t="str">
        <f>IF(U$3="","",IF(COUNTIFS(BD!$A$3:$A$5001,U$3,BD!$B$3:$B$5001,$A$127,BD!$AA$3:$AA$5001,"&lt;&gt;")=0,"",SUMIFS(BD!$AA$3:$AA$5001,BD!$A$3:$A$5001,U$3,BD!$B$3:$B$5001,$A$127)))</f>
        <v/>
      </c>
      <c r="V152" s="251" t="str">
        <f>IF(V$3="","",IF(COUNTIFS(BD!$A$3:$A$5001,V$3,BD!$B$3:$B$5001,$A$127,BD!$AA$3:$AA$5001,"&lt;&gt;")=0,"",SUMIFS(BD!$AA$3:$AA$5001,BD!$A$3:$A$5001,V$3,BD!$B$3:$B$5001,$A$127)))</f>
        <v/>
      </c>
      <c r="W152" s="251" t="str">
        <f>IF(W$3="","",IF(COUNTIFS(BD!$A$3:$A$5001,W$3,BD!$B$3:$B$5001,$A$127,BD!$AA$3:$AA$5001,"&lt;&gt;")=0,"",SUMIFS(BD!$AA$3:$AA$5001,BD!$A$3:$A$5001,W$3,BD!$B$3:$B$5001,$A$127)))</f>
        <v/>
      </c>
      <c r="X152" s="251" t="str">
        <f>IF(X$3="","",IF(COUNTIFS(BD!$A$3:$A$5001,X$3,BD!$B$3:$B$5001,$A$127,BD!$AA$3:$AA$5001,"&lt;&gt;")=0,"",SUMIFS(BD!$AA$3:$AA$5001,BD!$A$3:$A$5001,X$3,BD!$B$3:$B$5001,$A$127)))</f>
        <v/>
      </c>
      <c r="Y152" s="251" t="str">
        <f>IF(Y$3="","",IF(COUNTIFS(BD!$A$3:$A$5001,Y$3,BD!$B$3:$B$5001,$A$127,BD!$AA$3:$AA$5001,"&lt;&gt;")=0,"",SUMIFS(BD!$AA$3:$AA$5001,BD!$A$3:$A$5001,Y$3,BD!$B$3:$B$5001,$A$127)))</f>
        <v/>
      </c>
      <c r="Z152" s="251" t="str">
        <f>IF(Z$3="","",IF(COUNTIFS(BD!$A$3:$A$5001,Z$3,BD!$B$3:$B$5001,$A$127,BD!$AA$3:$AA$5001,"&lt;&gt;")=0,"",SUMIFS(BD!$AA$3:$AA$5001,BD!$A$3:$A$5001,Z$3,BD!$B$3:$B$5001,$A$127)))</f>
        <v/>
      </c>
      <c r="AA152" s="251" t="str">
        <f>IF(AA$3="","",IF(COUNTIFS(BD!$A$3:$A$5001,AA$3,BD!$B$3:$B$5001,$A$127,BD!$AA$3:$AA$5001,"&lt;&gt;")=0,"",SUMIFS(BD!$AA$3:$AA$5001,BD!$A$3:$A$5001,AA$3,BD!$B$3:$B$5001,$A$127)))</f>
        <v/>
      </c>
      <c r="AB152" s="251" t="str">
        <f>IF(AB$3="","",IF(COUNTIFS(BD!$A$3:$A$5001,AB$3,BD!$B$3:$B$5001,$A$127,BD!$AA$3:$AA$5001,"&lt;&gt;")=0,"",SUMIFS(BD!$AA$3:$AA$5001,BD!$A$3:$A$5001,AB$3,BD!$B$3:$B$5001,$A$127)))</f>
        <v/>
      </c>
      <c r="AC152" s="251" t="str">
        <f>IF(AC$3="","",IF(COUNTIFS(BD!$A$3:$A$5001,AC$3,BD!$B$3:$B$5001,$A$127,BD!$AA$3:$AA$5001,"&lt;&gt;")=0,"",SUMIFS(BD!$AA$3:$AA$5001,BD!$A$3:$A$5001,AC$3,BD!$B$3:$B$5001,$A$127)))</f>
        <v/>
      </c>
      <c r="AD152" s="251" t="str">
        <f>IF(AD$3="","",IF(COUNTIFS(BD!$A$3:$A$5001,AD$3,BD!$B$3:$B$5001,$A$127,BD!$AA$3:$AA$5001,"&lt;&gt;")=0,"",SUMIFS(BD!$AA$3:$AA$5001,BD!$A$3:$A$5001,AD$3,BD!$B$3:$B$5001,$A$127)))</f>
        <v/>
      </c>
      <c r="AE152" s="251" t="str">
        <f>IF(AE$3="","",IF(COUNTIFS(BD!$A$3:$A$5001,AE$3,BD!$B$3:$B$5001,$A$127,BD!$AA$3:$AA$5001,"&lt;&gt;")=0,"",SUMIFS(BD!$AA$3:$AA$5001,BD!$A$3:$A$5001,AE$3,BD!$B$3:$B$5001,$A$127)))</f>
        <v/>
      </c>
      <c r="AF152" s="251" t="str">
        <f>IF(AF$3="","",IF(COUNTIFS(BD!$A$3:$A$5001,AF$3,BD!$B$3:$B$5001,$A$127,BD!$AA$3:$AA$5001,"&lt;&gt;")=0,"",SUMIFS(BD!$AA$3:$AA$5001,BD!$A$3:$A$5001,AF$3,BD!$B$3:$B$5001,$A$127)))</f>
        <v/>
      </c>
      <c r="AG152" s="251" t="str">
        <f>IF(AG$3="","",IF(COUNTIFS(BD!$A$3:$A$5001,AG$3,BD!$B$3:$B$5001,$A$127,BD!$AA$3:$AA$5001,"&lt;&gt;")=0,"",SUMIFS(BD!$AA$3:$AA$5001,BD!$A$3:$A$5001,AG$3,BD!$B$3:$B$5001,$A$127)))</f>
        <v/>
      </c>
      <c r="AH152" s="251" t="str">
        <f>IF(AH$3="","",IF(COUNTIFS(BD!$A$3:$A$5001,AH$3,BD!$B$3:$B$5001,$A$127,BD!$AA$3:$AA$5001,"&lt;&gt;")=0,"",SUMIFS(BD!$AA$3:$AA$5001,BD!$A$3:$A$5001,AH$3,BD!$B$3:$B$5001,$A$127)))</f>
        <v/>
      </c>
      <c r="AI152" s="251" t="str">
        <f>IF(AI$3="","",IF(COUNTIFS(BD!$A$3:$A$5001,AI$3,BD!$B$3:$B$5001,$A$127,BD!$AA$3:$AA$5001,"&lt;&gt;")=0,"",SUMIFS(BD!$AA$3:$AA$5001,BD!$A$3:$A$5001,AI$3,BD!$B$3:$B$5001,$A$127)))</f>
        <v/>
      </c>
      <c r="AJ152" s="252" t="str">
        <f>IF(AJ$3="","",IF(COUNTIFS(BD!$A$3:$A$5001,AJ$3,BD!$B$3:$B$5001,$A$127,BD!$AA$3:$AA$5001,"&lt;&gt;")=0,"",SUMIFS(BD!$AA$3:$AA$5001,BD!$A$3:$A$5001,AJ$3,BD!$B$3:$B$5001,$A$127)))</f>
        <v/>
      </c>
      <c r="AK152" s="253" t="str">
        <f>IF(COUNT(F152:AJ152)=0,"",SUM(F152:AJ152))</f>
        <v/>
      </c>
    </row>
    <row r="153" ht="15.75" customHeight="1" hidden="1">
      <c r="A153" s="278"/>
      <c r="B153" s="275"/>
      <c r="C153" s="258" t="inlineStr">
        <is>
          <t xml:space="preserve">Acidentes SAF</t>
        </is>
      </c>
      <c r="D153" s="259" t="str">
        <f>IFERROR(1/(1/INDEX(BD!$AF$49:$AZ$49,MATCH($A$127,BD!$AF$22:$AZ$22,0))),"")</f>
        <v/>
      </c>
      <c r="E153" s="260"/>
      <c r="F153" s="261" t="str">
        <f>IF(F$3="","",IF(COUNTIFS(BD!$A$3:$A$5001,F$3,BD!$B$3:$B$5001,$A$127,BD!$AB$3:$AB$5001,"&lt;&gt;")=0,"",SUMIFS(BD!$AB$3:$AB$5001,BD!$A$3:$A$5001,F$3,BD!$B$3:$B$5001,$A$127)))</f>
        <v/>
      </c>
      <c r="G153" s="262" t="str">
        <f>IF(G$3="","",IF(COUNTIFS(BD!$A$3:$A$5001,G$3,BD!$B$3:$B$5001,$A$127,BD!$AB$3:$AB$5001,"&lt;&gt;")=0,"",SUMIFS(BD!$AB$3:$AB$5001,BD!$A$3:$A$5001,G$3,BD!$B$3:$B$5001,$A$127)))</f>
        <v/>
      </c>
      <c r="H153" s="262" t="str">
        <f>IF(H$3="","",IF(COUNTIFS(BD!$A$3:$A$5001,H$3,BD!$B$3:$B$5001,$A$127,BD!$AB$3:$AB$5001,"&lt;&gt;")=0,"",SUMIFS(BD!$AB$3:$AB$5001,BD!$A$3:$A$5001,H$3,BD!$B$3:$B$5001,$A$127)))</f>
        <v/>
      </c>
      <c r="I153" s="262" t="str">
        <f>IF(I$3="","",IF(COUNTIFS(BD!$A$3:$A$5001,I$3,BD!$B$3:$B$5001,$A$127,BD!$AB$3:$AB$5001,"&lt;&gt;")=0,"",SUMIFS(BD!$AB$3:$AB$5001,BD!$A$3:$A$5001,I$3,BD!$B$3:$B$5001,$A$127)))</f>
        <v/>
      </c>
      <c r="J153" s="262" t="str">
        <f>IF(J$3="","",IF(COUNTIFS(BD!$A$3:$A$5001,J$3,BD!$B$3:$B$5001,$A$127,BD!$AB$3:$AB$5001,"&lt;&gt;")=0,"",SUMIFS(BD!$AB$3:$AB$5001,BD!$A$3:$A$5001,J$3,BD!$B$3:$B$5001,$A$127)))</f>
        <v/>
      </c>
      <c r="K153" s="262" t="str">
        <f>IF(K$3="","",IF(COUNTIFS(BD!$A$3:$A$5001,K$3,BD!$B$3:$B$5001,$A$127,BD!$AB$3:$AB$5001,"&lt;&gt;")=0,"",SUMIFS(BD!$AB$3:$AB$5001,BD!$A$3:$A$5001,K$3,BD!$B$3:$B$5001,$A$127)))</f>
        <v/>
      </c>
      <c r="L153" s="262" t="str">
        <f>IF(L$3="","",IF(COUNTIFS(BD!$A$3:$A$5001,L$3,BD!$B$3:$B$5001,$A$127,BD!$AB$3:$AB$5001,"&lt;&gt;")=0,"",SUMIFS(BD!$AB$3:$AB$5001,BD!$A$3:$A$5001,L$3,BD!$B$3:$B$5001,$A$127)))</f>
        <v/>
      </c>
      <c r="M153" s="262" t="str">
        <f>IF(M$3="","",IF(COUNTIFS(BD!$A$3:$A$5001,M$3,BD!$B$3:$B$5001,$A$127,BD!$AB$3:$AB$5001,"&lt;&gt;")=0,"",SUMIFS(BD!$AB$3:$AB$5001,BD!$A$3:$A$5001,M$3,BD!$B$3:$B$5001,$A$127)))</f>
        <v/>
      </c>
      <c r="N153" s="262" t="str">
        <f>IF(N$3="","",IF(COUNTIFS(BD!$A$3:$A$5001,N$3,BD!$B$3:$B$5001,$A$127,BD!$AB$3:$AB$5001,"&lt;&gt;")=0,"",SUMIFS(BD!$AB$3:$AB$5001,BD!$A$3:$A$5001,N$3,BD!$B$3:$B$5001,$A$127)))</f>
        <v/>
      </c>
      <c r="O153" s="262" t="str">
        <f>IF(O$3="","",IF(COUNTIFS(BD!$A$3:$A$5001,O$3,BD!$B$3:$B$5001,$A$127,BD!$AB$3:$AB$5001,"&lt;&gt;")=0,"",SUMIFS(BD!$AB$3:$AB$5001,BD!$A$3:$A$5001,O$3,BD!$B$3:$B$5001,$A$127)))</f>
        <v/>
      </c>
      <c r="P153" s="262" t="str">
        <f>IF(P$3="","",IF(COUNTIFS(BD!$A$3:$A$5001,P$3,BD!$B$3:$B$5001,$A$127,BD!$AB$3:$AB$5001,"&lt;&gt;")=0,"",SUMIFS(BD!$AB$3:$AB$5001,BD!$A$3:$A$5001,P$3,BD!$B$3:$B$5001,$A$127)))</f>
        <v/>
      </c>
      <c r="Q153" s="262" t="str">
        <f>IF(Q$3="","",IF(COUNTIFS(BD!$A$3:$A$5001,Q$3,BD!$B$3:$B$5001,$A$127,BD!$AB$3:$AB$5001,"&lt;&gt;")=0,"",SUMIFS(BD!$AB$3:$AB$5001,BD!$A$3:$A$5001,Q$3,BD!$B$3:$B$5001,$A$127)))</f>
        <v/>
      </c>
      <c r="R153" s="262" t="str">
        <f>IF(R$3="","",IF(COUNTIFS(BD!$A$3:$A$5001,R$3,BD!$B$3:$B$5001,$A$127,BD!$AB$3:$AB$5001,"&lt;&gt;")=0,"",SUMIFS(BD!$AB$3:$AB$5001,BD!$A$3:$A$5001,R$3,BD!$B$3:$B$5001,$A$127)))</f>
        <v/>
      </c>
      <c r="S153" s="262" t="str">
        <f>IF(S$3="","",IF(COUNTIFS(BD!$A$3:$A$5001,S$3,BD!$B$3:$B$5001,$A$127,BD!$AB$3:$AB$5001,"&lt;&gt;")=0,"",SUMIFS(BD!$AB$3:$AB$5001,BD!$A$3:$A$5001,S$3,BD!$B$3:$B$5001,$A$127)))</f>
        <v/>
      </c>
      <c r="T153" s="262" t="str">
        <f>IF(T$3="","",IF(COUNTIFS(BD!$A$3:$A$5001,T$3,BD!$B$3:$B$5001,$A$127,BD!$AB$3:$AB$5001,"&lt;&gt;")=0,"",SUMIFS(BD!$AB$3:$AB$5001,BD!$A$3:$A$5001,T$3,BD!$B$3:$B$5001,$A$127)))</f>
        <v/>
      </c>
      <c r="U153" s="262" t="str">
        <f>IF(U$3="","",IF(COUNTIFS(BD!$A$3:$A$5001,U$3,BD!$B$3:$B$5001,$A$127,BD!$AB$3:$AB$5001,"&lt;&gt;")=0,"",SUMIFS(BD!$AB$3:$AB$5001,BD!$A$3:$A$5001,U$3,BD!$B$3:$B$5001,$A$127)))</f>
        <v/>
      </c>
      <c r="V153" s="262" t="str">
        <f>IF(V$3="","",IF(COUNTIFS(BD!$A$3:$A$5001,V$3,BD!$B$3:$B$5001,$A$127,BD!$AB$3:$AB$5001,"&lt;&gt;")=0,"",SUMIFS(BD!$AB$3:$AB$5001,BD!$A$3:$A$5001,V$3,BD!$B$3:$B$5001,$A$127)))</f>
        <v/>
      </c>
      <c r="W153" s="262" t="str">
        <f>IF(W$3="","",IF(COUNTIFS(BD!$A$3:$A$5001,W$3,BD!$B$3:$B$5001,$A$127,BD!$AB$3:$AB$5001,"&lt;&gt;")=0,"",SUMIFS(BD!$AB$3:$AB$5001,BD!$A$3:$A$5001,W$3,BD!$B$3:$B$5001,$A$127)))</f>
        <v/>
      </c>
      <c r="X153" s="262" t="str">
        <f>IF(X$3="","",IF(COUNTIFS(BD!$A$3:$A$5001,X$3,BD!$B$3:$B$5001,$A$127,BD!$AB$3:$AB$5001,"&lt;&gt;")=0,"",SUMIFS(BD!$AB$3:$AB$5001,BD!$A$3:$A$5001,X$3,BD!$B$3:$B$5001,$A$127)))</f>
        <v/>
      </c>
      <c r="Y153" s="262" t="str">
        <f>IF(Y$3="","",IF(COUNTIFS(BD!$A$3:$A$5001,Y$3,BD!$B$3:$B$5001,$A$127,BD!$AB$3:$AB$5001,"&lt;&gt;")=0,"",SUMIFS(BD!$AB$3:$AB$5001,BD!$A$3:$A$5001,Y$3,BD!$B$3:$B$5001,$A$127)))</f>
        <v/>
      </c>
      <c r="Z153" s="262" t="str">
        <f>IF(Z$3="","",IF(COUNTIFS(BD!$A$3:$A$5001,Z$3,BD!$B$3:$B$5001,$A$127,BD!$AB$3:$AB$5001,"&lt;&gt;")=0,"",SUMIFS(BD!$AB$3:$AB$5001,BD!$A$3:$A$5001,Z$3,BD!$B$3:$B$5001,$A$127)))</f>
        <v/>
      </c>
      <c r="AA153" s="262" t="str">
        <f>IF(AA$3="","",IF(COUNTIFS(BD!$A$3:$A$5001,AA$3,BD!$B$3:$B$5001,$A$127,BD!$AB$3:$AB$5001,"&lt;&gt;")=0,"",SUMIFS(BD!$AB$3:$AB$5001,BD!$A$3:$A$5001,AA$3,BD!$B$3:$B$5001,$A$127)))</f>
        <v/>
      </c>
      <c r="AB153" s="262" t="str">
        <f>IF(AB$3="","",IF(COUNTIFS(BD!$A$3:$A$5001,AB$3,BD!$B$3:$B$5001,$A$127,BD!$AB$3:$AB$5001,"&lt;&gt;")=0,"",SUMIFS(BD!$AB$3:$AB$5001,BD!$A$3:$A$5001,AB$3,BD!$B$3:$B$5001,$A$127)))</f>
        <v/>
      </c>
      <c r="AC153" s="262" t="str">
        <f>IF(AC$3="","",IF(COUNTIFS(BD!$A$3:$A$5001,AC$3,BD!$B$3:$B$5001,$A$127,BD!$AB$3:$AB$5001,"&lt;&gt;")=0,"",SUMIFS(BD!$AB$3:$AB$5001,BD!$A$3:$A$5001,AC$3,BD!$B$3:$B$5001,$A$127)))</f>
        <v/>
      </c>
      <c r="AD153" s="262" t="str">
        <f>IF(AD$3="","",IF(COUNTIFS(BD!$A$3:$A$5001,AD$3,BD!$B$3:$B$5001,$A$127,BD!$AB$3:$AB$5001,"&lt;&gt;")=0,"",SUMIFS(BD!$AB$3:$AB$5001,BD!$A$3:$A$5001,AD$3,BD!$B$3:$B$5001,$A$127)))</f>
        <v/>
      </c>
      <c r="AE153" s="262" t="str">
        <f>IF(AE$3="","",IF(COUNTIFS(BD!$A$3:$A$5001,AE$3,BD!$B$3:$B$5001,$A$127,BD!$AB$3:$AB$5001,"&lt;&gt;")=0,"",SUMIFS(BD!$AB$3:$AB$5001,BD!$A$3:$A$5001,AE$3,BD!$B$3:$B$5001,$A$127)))</f>
        <v/>
      </c>
      <c r="AF153" s="262" t="str">
        <f>IF(AF$3="","",IF(COUNTIFS(BD!$A$3:$A$5001,AF$3,BD!$B$3:$B$5001,$A$127,BD!$AB$3:$AB$5001,"&lt;&gt;")=0,"",SUMIFS(BD!$AB$3:$AB$5001,BD!$A$3:$A$5001,AF$3,BD!$B$3:$B$5001,$A$127)))</f>
        <v/>
      </c>
      <c r="AG153" s="262" t="str">
        <f>IF(AG$3="","",IF(COUNTIFS(BD!$A$3:$A$5001,AG$3,BD!$B$3:$B$5001,$A$127,BD!$AB$3:$AB$5001,"&lt;&gt;")=0,"",SUMIFS(BD!$AB$3:$AB$5001,BD!$A$3:$A$5001,AG$3,BD!$B$3:$B$5001,$A$127)))</f>
        <v/>
      </c>
      <c r="AH153" s="262" t="str">
        <f>IF(AH$3="","",IF(COUNTIFS(BD!$A$3:$A$5001,AH$3,BD!$B$3:$B$5001,$A$127,BD!$AB$3:$AB$5001,"&lt;&gt;")=0,"",SUMIFS(BD!$AB$3:$AB$5001,BD!$A$3:$A$5001,AH$3,BD!$B$3:$B$5001,$A$127)))</f>
        <v/>
      </c>
      <c r="AI153" s="262" t="str">
        <f>IF(AI$3="","",IF(COUNTIFS(BD!$A$3:$A$5001,AI$3,BD!$B$3:$B$5001,$A$127,BD!$AB$3:$AB$5001,"&lt;&gt;")=0,"",SUMIFS(BD!$AB$3:$AB$5001,BD!$A$3:$A$5001,AI$3,BD!$B$3:$B$5001,$A$127)))</f>
        <v/>
      </c>
      <c r="AJ153" s="263" t="str">
        <f>IF(AJ$3="","",IF(COUNTIFS(BD!$A$3:$A$5001,AJ$3,BD!$B$3:$B$5001,$A$127,BD!$AB$3:$AB$5001,"&lt;&gt;")=0,"",SUMIFS(BD!$AB$3:$AB$5001,BD!$A$3:$A$5001,AJ$3,BD!$B$3:$B$5001,$A$127)))</f>
        <v/>
      </c>
      <c r="AK153" s="259" t="str">
        <f>IF(COUNT(F153:AJ153)=0,"",SUM(F153:AJ153))</f>
        <v/>
      </c>
    </row>
    <row r="155" ht="15.75" customHeight="1" hidden="1">
      <c r="A155" s="276"/>
      <c r="B155" s="264" t="inlineStr">
        <is>
          <t xml:space="preserve">IN</t>
        </is>
      </c>
      <c r="C155" s="168" t="inlineStr">
        <is>
          <t xml:space="preserve">Veículos Recebidos</t>
        </is>
      </c>
      <c r="D155" s="169" t="str">
        <f>IFERROR(1/(1/INDEX(BD!$AF$23:$AZ$23,MATCH($A$155,BD!$AF$22:$AZ$22,0))),"")</f>
        <v/>
      </c>
      <c r="E155" s="170"/>
      <c r="F155" s="171" t="str">
        <f>IF(F$3="","",IF(COUNTIFS(BD!$A$3:$A$5001,F$3,BD!$B$3:$B$5001,$A$155,BD!$C$3:$C$5001,"&lt;&gt;")=0,"",SUMIFS(BD!$C$3:$C$5001,BD!$A$3:$A$5001,F$3,BD!$B$3:$B$5001,$A$155)))</f>
        <v/>
      </c>
      <c r="G155" s="172" t="str">
        <f>IF(G$3="","",IF(COUNTIFS(BD!$A$3:$A$5001,G$3,BD!$B$3:$B$5001,$A$155,BD!$C$3:$C$5001,"&lt;&gt;")=0,"",SUMIFS(BD!$C$3:$C$5001,BD!$A$3:$A$5001,G$3,BD!$B$3:$B$5001,$A$155)))</f>
        <v/>
      </c>
      <c r="H155" s="172" t="str">
        <f>IF(H$3="","",IF(COUNTIFS(BD!$A$3:$A$5001,H$3,BD!$B$3:$B$5001,$A$155,BD!$C$3:$C$5001,"&lt;&gt;")=0,"",SUMIFS(BD!$C$3:$C$5001,BD!$A$3:$A$5001,H$3,BD!$B$3:$B$5001,$A$155)))</f>
        <v/>
      </c>
      <c r="I155" s="172" t="str">
        <f>IF(I$3="","",IF(COUNTIFS(BD!$A$3:$A$5001,I$3,BD!$B$3:$B$5001,$A$155,BD!$C$3:$C$5001,"&lt;&gt;")=0,"",SUMIFS(BD!$C$3:$C$5001,BD!$A$3:$A$5001,I$3,BD!$B$3:$B$5001,$A$155)))</f>
        <v/>
      </c>
      <c r="J155" s="172" t="str">
        <f>IF(J$3="","",IF(COUNTIFS(BD!$A$3:$A$5001,J$3,BD!$B$3:$B$5001,$A$155,BD!$C$3:$C$5001,"&lt;&gt;")=0,"",SUMIFS(BD!$C$3:$C$5001,BD!$A$3:$A$5001,J$3,BD!$B$3:$B$5001,$A$155)))</f>
        <v/>
      </c>
      <c r="K155" s="172" t="str">
        <f>IF(K$3="","",IF(COUNTIFS(BD!$A$3:$A$5001,K$3,BD!$B$3:$B$5001,$A$155,BD!$C$3:$C$5001,"&lt;&gt;")=0,"",SUMIFS(BD!$C$3:$C$5001,BD!$A$3:$A$5001,K$3,BD!$B$3:$B$5001,$A$155)))</f>
        <v/>
      </c>
      <c r="L155" s="172" t="str">
        <f>IF(L$3="","",IF(COUNTIFS(BD!$A$3:$A$5001,L$3,BD!$B$3:$B$5001,$A$155,BD!$C$3:$C$5001,"&lt;&gt;")=0,"",SUMIFS(BD!$C$3:$C$5001,BD!$A$3:$A$5001,L$3,BD!$B$3:$B$5001,$A$155)))</f>
        <v/>
      </c>
      <c r="M155" s="172" t="str">
        <f>IF(M$3="","",IF(COUNTIFS(BD!$A$3:$A$5001,M$3,BD!$B$3:$B$5001,$A$155,BD!$C$3:$C$5001,"&lt;&gt;")=0,"",SUMIFS(BD!$C$3:$C$5001,BD!$A$3:$A$5001,M$3,BD!$B$3:$B$5001,$A$155)))</f>
        <v/>
      </c>
      <c r="N155" s="172" t="str">
        <f>IF(N$3="","",IF(COUNTIFS(BD!$A$3:$A$5001,N$3,BD!$B$3:$B$5001,$A$155,BD!$C$3:$C$5001,"&lt;&gt;")=0,"",SUMIFS(BD!$C$3:$C$5001,BD!$A$3:$A$5001,N$3,BD!$B$3:$B$5001,$A$155)))</f>
        <v/>
      </c>
      <c r="O155" s="172" t="str">
        <f>IF(O$3="","",IF(COUNTIFS(BD!$A$3:$A$5001,O$3,BD!$B$3:$B$5001,$A$155,BD!$C$3:$C$5001,"&lt;&gt;")=0,"",SUMIFS(BD!$C$3:$C$5001,BD!$A$3:$A$5001,O$3,BD!$B$3:$B$5001,$A$155)))</f>
        <v/>
      </c>
      <c r="P155" s="172" t="str">
        <f>IF(P$3="","",IF(COUNTIFS(BD!$A$3:$A$5001,P$3,BD!$B$3:$B$5001,$A$155,BD!$C$3:$C$5001,"&lt;&gt;")=0,"",SUMIFS(BD!$C$3:$C$5001,BD!$A$3:$A$5001,P$3,BD!$B$3:$B$5001,$A$155)))</f>
        <v/>
      </c>
      <c r="Q155" s="172" t="str">
        <f>IF(Q$3="","",IF(COUNTIFS(BD!$A$3:$A$5001,Q$3,BD!$B$3:$B$5001,$A$155,BD!$C$3:$C$5001,"&lt;&gt;")=0,"",SUMIFS(BD!$C$3:$C$5001,BD!$A$3:$A$5001,Q$3,BD!$B$3:$B$5001,$A$155)))</f>
        <v/>
      </c>
      <c r="R155" s="172" t="str">
        <f>IF(R$3="","",IF(COUNTIFS(BD!$A$3:$A$5001,R$3,BD!$B$3:$B$5001,$A$155,BD!$C$3:$C$5001,"&lt;&gt;")=0,"",SUMIFS(BD!$C$3:$C$5001,BD!$A$3:$A$5001,R$3,BD!$B$3:$B$5001,$A$155)))</f>
        <v/>
      </c>
      <c r="S155" s="172" t="str">
        <f>IF(S$3="","",IF(COUNTIFS(BD!$A$3:$A$5001,S$3,BD!$B$3:$B$5001,$A$155,BD!$C$3:$C$5001,"&lt;&gt;")=0,"",SUMIFS(BD!$C$3:$C$5001,BD!$A$3:$A$5001,S$3,BD!$B$3:$B$5001,$A$155)))</f>
        <v/>
      </c>
      <c r="T155" s="172" t="str">
        <f>IF(T$3="","",IF(COUNTIFS(BD!$A$3:$A$5001,T$3,BD!$B$3:$B$5001,$A$155,BD!$C$3:$C$5001,"&lt;&gt;")=0,"",SUMIFS(BD!$C$3:$C$5001,BD!$A$3:$A$5001,T$3,BD!$B$3:$B$5001,$A$155)))</f>
        <v/>
      </c>
      <c r="U155" s="172" t="str">
        <f>IF(U$3="","",IF(COUNTIFS(BD!$A$3:$A$5001,U$3,BD!$B$3:$B$5001,$A$155,BD!$C$3:$C$5001,"&lt;&gt;")=0,"",SUMIFS(BD!$C$3:$C$5001,BD!$A$3:$A$5001,U$3,BD!$B$3:$B$5001,$A$155)))</f>
        <v/>
      </c>
      <c r="V155" s="172" t="str">
        <f>IF(V$3="","",IF(COUNTIFS(BD!$A$3:$A$5001,V$3,BD!$B$3:$B$5001,$A$155,BD!$C$3:$C$5001,"&lt;&gt;")=0,"",SUMIFS(BD!$C$3:$C$5001,BD!$A$3:$A$5001,V$3,BD!$B$3:$B$5001,$A$155)))</f>
        <v/>
      </c>
      <c r="W155" s="172" t="str">
        <f>IF(W$3="","",IF(COUNTIFS(BD!$A$3:$A$5001,W$3,BD!$B$3:$B$5001,$A$155,BD!$C$3:$C$5001,"&lt;&gt;")=0,"",SUMIFS(BD!$C$3:$C$5001,BD!$A$3:$A$5001,W$3,BD!$B$3:$B$5001,$A$155)))</f>
        <v/>
      </c>
      <c r="X155" s="172" t="str">
        <f>IF(X$3="","",IF(COUNTIFS(BD!$A$3:$A$5001,X$3,BD!$B$3:$B$5001,$A$155,BD!$C$3:$C$5001,"&lt;&gt;")=0,"",SUMIFS(BD!$C$3:$C$5001,BD!$A$3:$A$5001,X$3,BD!$B$3:$B$5001,$A$155)))</f>
        <v/>
      </c>
      <c r="Y155" s="172" t="str">
        <f>IF(Y$3="","",IF(COUNTIFS(BD!$A$3:$A$5001,Y$3,BD!$B$3:$B$5001,$A$155,BD!$C$3:$C$5001,"&lt;&gt;")=0,"",SUMIFS(BD!$C$3:$C$5001,BD!$A$3:$A$5001,Y$3,BD!$B$3:$B$5001,$A$155)))</f>
        <v/>
      </c>
      <c r="Z155" s="172" t="str">
        <f>IF(Z$3="","",IF(COUNTIFS(BD!$A$3:$A$5001,Z$3,BD!$B$3:$B$5001,$A$155,BD!$C$3:$C$5001,"&lt;&gt;")=0,"",SUMIFS(BD!$C$3:$C$5001,BD!$A$3:$A$5001,Z$3,BD!$B$3:$B$5001,$A$155)))</f>
        <v/>
      </c>
      <c r="AA155" s="172" t="str">
        <f>IF(AA$3="","",IF(COUNTIFS(BD!$A$3:$A$5001,AA$3,BD!$B$3:$B$5001,$A$155,BD!$C$3:$C$5001,"&lt;&gt;")=0,"",SUMIFS(BD!$C$3:$C$5001,BD!$A$3:$A$5001,AA$3,BD!$B$3:$B$5001,$A$155)))</f>
        <v/>
      </c>
      <c r="AB155" s="172" t="str">
        <f>IF(AB$3="","",IF(COUNTIFS(BD!$A$3:$A$5001,AB$3,BD!$B$3:$B$5001,$A$155,BD!$C$3:$C$5001,"&lt;&gt;")=0,"",SUMIFS(BD!$C$3:$C$5001,BD!$A$3:$A$5001,AB$3,BD!$B$3:$B$5001,$A$155)))</f>
        <v/>
      </c>
      <c r="AC155" s="172" t="str">
        <f>IF(AC$3="","",IF(COUNTIFS(BD!$A$3:$A$5001,AC$3,BD!$B$3:$B$5001,$A$155,BD!$C$3:$C$5001,"&lt;&gt;")=0,"",SUMIFS(BD!$C$3:$C$5001,BD!$A$3:$A$5001,AC$3,BD!$B$3:$B$5001,$A$155)))</f>
        <v/>
      </c>
      <c r="AD155" s="172" t="str">
        <f>IF(AD$3="","",IF(COUNTIFS(BD!$A$3:$A$5001,AD$3,BD!$B$3:$B$5001,$A$155,BD!$C$3:$C$5001,"&lt;&gt;")=0,"",SUMIFS(BD!$C$3:$C$5001,BD!$A$3:$A$5001,AD$3,BD!$B$3:$B$5001,$A$155)))</f>
        <v/>
      </c>
      <c r="AE155" s="172" t="str">
        <f>IF(AE$3="","",IF(COUNTIFS(BD!$A$3:$A$5001,AE$3,BD!$B$3:$B$5001,$A$155,BD!$C$3:$C$5001,"&lt;&gt;")=0,"",SUMIFS(BD!$C$3:$C$5001,BD!$A$3:$A$5001,AE$3,BD!$B$3:$B$5001,$A$155)))</f>
        <v/>
      </c>
      <c r="AF155" s="172" t="str">
        <f>IF(AF$3="","",IF(COUNTIFS(BD!$A$3:$A$5001,AF$3,BD!$B$3:$B$5001,$A$155,BD!$C$3:$C$5001,"&lt;&gt;")=0,"",SUMIFS(BD!$C$3:$C$5001,BD!$A$3:$A$5001,AF$3,BD!$B$3:$B$5001,$A$155)))</f>
        <v/>
      </c>
      <c r="AG155" s="172" t="str">
        <f>IF(AG$3="","",IF(COUNTIFS(BD!$A$3:$A$5001,AG$3,BD!$B$3:$B$5001,$A$155,BD!$C$3:$C$5001,"&lt;&gt;")=0,"",SUMIFS(BD!$C$3:$C$5001,BD!$A$3:$A$5001,AG$3,BD!$B$3:$B$5001,$A$155)))</f>
        <v/>
      </c>
      <c r="AH155" s="172" t="str">
        <f>IF(AH$3="","",IF(COUNTIFS(BD!$A$3:$A$5001,AH$3,BD!$B$3:$B$5001,$A$155,BD!$C$3:$C$5001,"&lt;&gt;")=0,"",SUMIFS(BD!$C$3:$C$5001,BD!$A$3:$A$5001,AH$3,BD!$B$3:$B$5001,$A$155)))</f>
        <v/>
      </c>
      <c r="AI155" s="172" t="str">
        <f>IF(AI$3="","",IF(COUNTIFS(BD!$A$3:$A$5001,AI$3,BD!$B$3:$B$5001,$A$155,BD!$C$3:$C$5001,"&lt;&gt;")=0,"",SUMIFS(BD!$C$3:$C$5001,BD!$A$3:$A$5001,AI$3,BD!$B$3:$B$5001,$A$155)))</f>
        <v/>
      </c>
      <c r="AJ155" s="173" t="str">
        <f>IF(AJ$3="","",IF(COUNTIFS(BD!$A$3:$A$5001,AJ$3,BD!$B$3:$B$5001,$A$155,BD!$C$3:$C$5001,"&lt;&gt;")=0,"",SUMIFS(BD!$C$3:$C$5001,BD!$A$3:$A$5001,AJ$3,BD!$B$3:$B$5001,$A$155)))</f>
        <v/>
      </c>
      <c r="AK155" s="174" t="str">
        <f>IF(COUNT(F155:AJ155)=0,"",SUM(F155:AJ155))</f>
        <v/>
      </c>
    </row>
    <row r="156" ht="15.75" customHeight="1" hidden="1">
      <c r="A156" s="277"/>
      <c r="B156" s="265"/>
      <c r="C156" s="175" t="inlineStr">
        <is>
          <t xml:space="preserve">Pallets Movimentados</t>
        </is>
      </c>
      <c r="D156" s="176" t="str">
        <f>IFERROR(1/(1/INDEX(BD!$AF$24:$AZ$24,MATCH($A$155,BD!$AF$22:$AZ$22,0))),"")</f>
        <v/>
      </c>
      <c r="E156" s="177"/>
      <c r="F156" s="178" t="str">
        <f>IF(F$3="","",IF(COUNTIFS(BD!$A$3:$A$5001,F$3,BD!$B$3:$B$5001,$A$155,BD!$D$3:$D$5001,"&lt;&gt;")=0,"",SUMIFS(BD!$D$3:$D$5001,BD!$A$3:$A$5001,F$3,BD!$B$3:$B$5001,$A$155)))</f>
        <v/>
      </c>
      <c r="G156" s="179" t="str">
        <f>IF(G$3="","",IF(COUNTIFS(BD!$A$3:$A$5001,G$3,BD!$B$3:$B$5001,$A$155,BD!$D$3:$D$5001,"&lt;&gt;")=0,"",SUMIFS(BD!$D$3:$D$5001,BD!$A$3:$A$5001,G$3,BD!$B$3:$B$5001,$A$155)))</f>
        <v/>
      </c>
      <c r="H156" s="179" t="str">
        <f>IF(H$3="","",IF(COUNTIFS(BD!$A$3:$A$5001,H$3,BD!$B$3:$B$5001,$A$155,BD!$D$3:$D$5001,"&lt;&gt;")=0,"",SUMIFS(BD!$D$3:$D$5001,BD!$A$3:$A$5001,H$3,BD!$B$3:$B$5001,$A$155)))</f>
        <v/>
      </c>
      <c r="I156" s="179" t="str">
        <f>IF(I$3="","",IF(COUNTIFS(BD!$A$3:$A$5001,I$3,BD!$B$3:$B$5001,$A$155,BD!$D$3:$D$5001,"&lt;&gt;")=0,"",SUMIFS(BD!$D$3:$D$5001,BD!$A$3:$A$5001,I$3,BD!$B$3:$B$5001,$A$155)))</f>
        <v/>
      </c>
      <c r="J156" s="179" t="str">
        <f>IF(J$3="","",IF(COUNTIFS(BD!$A$3:$A$5001,J$3,BD!$B$3:$B$5001,$A$155,BD!$D$3:$D$5001,"&lt;&gt;")=0,"",SUMIFS(BD!$D$3:$D$5001,BD!$A$3:$A$5001,J$3,BD!$B$3:$B$5001,$A$155)))</f>
        <v/>
      </c>
      <c r="K156" s="179" t="str">
        <f>IF(K$3="","",IF(COUNTIFS(BD!$A$3:$A$5001,K$3,BD!$B$3:$B$5001,$A$155,BD!$D$3:$D$5001,"&lt;&gt;")=0,"",SUMIFS(BD!$D$3:$D$5001,BD!$A$3:$A$5001,K$3,BD!$B$3:$B$5001,$A$155)))</f>
        <v/>
      </c>
      <c r="L156" s="179" t="str">
        <f>IF(L$3="","",IF(COUNTIFS(BD!$A$3:$A$5001,L$3,BD!$B$3:$B$5001,$A$155,BD!$D$3:$D$5001,"&lt;&gt;")=0,"",SUMIFS(BD!$D$3:$D$5001,BD!$A$3:$A$5001,L$3,BD!$B$3:$B$5001,$A$155)))</f>
        <v/>
      </c>
      <c r="M156" s="179" t="str">
        <f>IF(M$3="","",IF(COUNTIFS(BD!$A$3:$A$5001,M$3,BD!$B$3:$B$5001,$A$155,BD!$D$3:$D$5001,"&lt;&gt;")=0,"",SUMIFS(BD!$D$3:$D$5001,BD!$A$3:$A$5001,M$3,BD!$B$3:$B$5001,$A$155)))</f>
        <v/>
      </c>
      <c r="N156" s="179" t="str">
        <f>IF(N$3="","",IF(COUNTIFS(BD!$A$3:$A$5001,N$3,BD!$B$3:$B$5001,$A$155,BD!$D$3:$D$5001,"&lt;&gt;")=0,"",SUMIFS(BD!$D$3:$D$5001,BD!$A$3:$A$5001,N$3,BD!$B$3:$B$5001,$A$155)))</f>
        <v/>
      </c>
      <c r="O156" s="179" t="str">
        <f>IF(O$3="","",IF(COUNTIFS(BD!$A$3:$A$5001,O$3,BD!$B$3:$B$5001,$A$155,BD!$D$3:$D$5001,"&lt;&gt;")=0,"",SUMIFS(BD!$D$3:$D$5001,BD!$A$3:$A$5001,O$3,BD!$B$3:$B$5001,$A$155)))</f>
        <v/>
      </c>
      <c r="P156" s="179" t="str">
        <f>IF(P$3="","",IF(COUNTIFS(BD!$A$3:$A$5001,P$3,BD!$B$3:$B$5001,$A$155,BD!$D$3:$D$5001,"&lt;&gt;")=0,"",SUMIFS(BD!$D$3:$D$5001,BD!$A$3:$A$5001,P$3,BD!$B$3:$B$5001,$A$155)))</f>
        <v/>
      </c>
      <c r="Q156" s="179" t="str">
        <f>IF(Q$3="","",IF(COUNTIFS(BD!$A$3:$A$5001,Q$3,BD!$B$3:$B$5001,$A$155,BD!$D$3:$D$5001,"&lt;&gt;")=0,"",SUMIFS(BD!$D$3:$D$5001,BD!$A$3:$A$5001,Q$3,BD!$B$3:$B$5001,$A$155)))</f>
        <v/>
      </c>
      <c r="R156" s="179" t="str">
        <f>IF(R$3="","",IF(COUNTIFS(BD!$A$3:$A$5001,R$3,BD!$B$3:$B$5001,$A$155,BD!$D$3:$D$5001,"&lt;&gt;")=0,"",SUMIFS(BD!$D$3:$D$5001,BD!$A$3:$A$5001,R$3,BD!$B$3:$B$5001,$A$155)))</f>
        <v/>
      </c>
      <c r="S156" s="179" t="str">
        <f>IF(S$3="","",IF(COUNTIFS(BD!$A$3:$A$5001,S$3,BD!$B$3:$B$5001,$A$155,BD!$D$3:$D$5001,"&lt;&gt;")=0,"",SUMIFS(BD!$D$3:$D$5001,BD!$A$3:$A$5001,S$3,BD!$B$3:$B$5001,$A$155)))</f>
        <v/>
      </c>
      <c r="T156" s="179" t="str">
        <f>IF(T$3="","",IF(COUNTIFS(BD!$A$3:$A$5001,T$3,BD!$B$3:$B$5001,$A$155,BD!$D$3:$D$5001,"&lt;&gt;")=0,"",SUMIFS(BD!$D$3:$D$5001,BD!$A$3:$A$5001,T$3,BD!$B$3:$B$5001,$A$155)))</f>
        <v/>
      </c>
      <c r="U156" s="179" t="str">
        <f>IF(U$3="","",IF(COUNTIFS(BD!$A$3:$A$5001,U$3,BD!$B$3:$B$5001,$A$155,BD!$D$3:$D$5001,"&lt;&gt;")=0,"",SUMIFS(BD!$D$3:$D$5001,BD!$A$3:$A$5001,U$3,BD!$B$3:$B$5001,$A$155)))</f>
        <v/>
      </c>
      <c r="V156" s="179" t="str">
        <f>IF(V$3="","",IF(COUNTIFS(BD!$A$3:$A$5001,V$3,BD!$B$3:$B$5001,$A$155,BD!$D$3:$D$5001,"&lt;&gt;")=0,"",SUMIFS(BD!$D$3:$D$5001,BD!$A$3:$A$5001,V$3,BD!$B$3:$B$5001,$A$155)))</f>
        <v/>
      </c>
      <c r="W156" s="179" t="str">
        <f>IF(W$3="","",IF(COUNTIFS(BD!$A$3:$A$5001,W$3,BD!$B$3:$B$5001,$A$155,BD!$D$3:$D$5001,"&lt;&gt;")=0,"",SUMIFS(BD!$D$3:$D$5001,BD!$A$3:$A$5001,W$3,BD!$B$3:$B$5001,$A$155)))</f>
        <v/>
      </c>
      <c r="X156" s="179" t="str">
        <f>IF(X$3="","",IF(COUNTIFS(BD!$A$3:$A$5001,X$3,BD!$B$3:$B$5001,$A$155,BD!$D$3:$D$5001,"&lt;&gt;")=0,"",SUMIFS(BD!$D$3:$D$5001,BD!$A$3:$A$5001,X$3,BD!$B$3:$B$5001,$A$155)))</f>
        <v/>
      </c>
      <c r="Y156" s="179" t="str">
        <f>IF(Y$3="","",IF(COUNTIFS(BD!$A$3:$A$5001,Y$3,BD!$B$3:$B$5001,$A$155,BD!$D$3:$D$5001,"&lt;&gt;")=0,"",SUMIFS(BD!$D$3:$D$5001,BD!$A$3:$A$5001,Y$3,BD!$B$3:$B$5001,$A$155)))</f>
        <v/>
      </c>
      <c r="Z156" s="179" t="str">
        <f>IF(Z$3="","",IF(COUNTIFS(BD!$A$3:$A$5001,Z$3,BD!$B$3:$B$5001,$A$155,BD!$D$3:$D$5001,"&lt;&gt;")=0,"",SUMIFS(BD!$D$3:$D$5001,BD!$A$3:$A$5001,Z$3,BD!$B$3:$B$5001,$A$155)))</f>
        <v/>
      </c>
      <c r="AA156" s="179" t="str">
        <f>IF(AA$3="","",IF(COUNTIFS(BD!$A$3:$A$5001,AA$3,BD!$B$3:$B$5001,$A$155,BD!$D$3:$D$5001,"&lt;&gt;")=0,"",SUMIFS(BD!$D$3:$D$5001,BD!$A$3:$A$5001,AA$3,BD!$B$3:$B$5001,$A$155)))</f>
        <v/>
      </c>
      <c r="AB156" s="179" t="str">
        <f>IF(AB$3="","",IF(COUNTIFS(BD!$A$3:$A$5001,AB$3,BD!$B$3:$B$5001,$A$155,BD!$D$3:$D$5001,"&lt;&gt;")=0,"",SUMIFS(BD!$D$3:$D$5001,BD!$A$3:$A$5001,AB$3,BD!$B$3:$B$5001,$A$155)))</f>
        <v/>
      </c>
      <c r="AC156" s="179" t="str">
        <f>IF(AC$3="","",IF(COUNTIFS(BD!$A$3:$A$5001,AC$3,BD!$B$3:$B$5001,$A$155,BD!$D$3:$D$5001,"&lt;&gt;")=0,"",SUMIFS(BD!$D$3:$D$5001,BD!$A$3:$A$5001,AC$3,BD!$B$3:$B$5001,$A$155)))</f>
        <v/>
      </c>
      <c r="AD156" s="179" t="str">
        <f>IF(AD$3="","",IF(COUNTIFS(BD!$A$3:$A$5001,AD$3,BD!$B$3:$B$5001,$A$155,BD!$D$3:$D$5001,"&lt;&gt;")=0,"",SUMIFS(BD!$D$3:$D$5001,BD!$A$3:$A$5001,AD$3,BD!$B$3:$B$5001,$A$155)))</f>
        <v/>
      </c>
      <c r="AE156" s="179" t="str">
        <f>IF(AE$3="","",IF(COUNTIFS(BD!$A$3:$A$5001,AE$3,BD!$B$3:$B$5001,$A$155,BD!$D$3:$D$5001,"&lt;&gt;")=0,"",SUMIFS(BD!$D$3:$D$5001,BD!$A$3:$A$5001,AE$3,BD!$B$3:$B$5001,$A$155)))</f>
        <v/>
      </c>
      <c r="AF156" s="179" t="str">
        <f>IF(AF$3="","",IF(COUNTIFS(BD!$A$3:$A$5001,AF$3,BD!$B$3:$B$5001,$A$155,BD!$D$3:$D$5001,"&lt;&gt;")=0,"",SUMIFS(BD!$D$3:$D$5001,BD!$A$3:$A$5001,AF$3,BD!$B$3:$B$5001,$A$155)))</f>
        <v/>
      </c>
      <c r="AG156" s="179" t="str">
        <f>IF(AG$3="","",IF(COUNTIFS(BD!$A$3:$A$5001,AG$3,BD!$B$3:$B$5001,$A$155,BD!$D$3:$D$5001,"&lt;&gt;")=0,"",SUMIFS(BD!$D$3:$D$5001,BD!$A$3:$A$5001,AG$3,BD!$B$3:$B$5001,$A$155)))</f>
        <v/>
      </c>
      <c r="AH156" s="179" t="str">
        <f>IF(AH$3="","",IF(COUNTIFS(BD!$A$3:$A$5001,AH$3,BD!$B$3:$B$5001,$A$155,BD!$D$3:$D$5001,"&lt;&gt;")=0,"",SUMIFS(BD!$D$3:$D$5001,BD!$A$3:$A$5001,AH$3,BD!$B$3:$B$5001,$A$155)))</f>
        <v/>
      </c>
      <c r="AI156" s="179" t="str">
        <f>IF(AI$3="","",IF(COUNTIFS(BD!$A$3:$A$5001,AI$3,BD!$B$3:$B$5001,$A$155,BD!$D$3:$D$5001,"&lt;&gt;")=0,"",SUMIFS(BD!$D$3:$D$5001,BD!$A$3:$A$5001,AI$3,BD!$B$3:$B$5001,$A$155)))</f>
        <v/>
      </c>
      <c r="AJ156" s="180" t="str">
        <f>IF(AJ$3="","",IF(COUNTIFS(BD!$A$3:$A$5001,AJ$3,BD!$B$3:$B$5001,$A$155,BD!$D$3:$D$5001,"&lt;&gt;")=0,"",SUMIFS(BD!$D$3:$D$5001,BD!$A$3:$A$5001,AJ$3,BD!$B$3:$B$5001,$A$155)))</f>
        <v/>
      </c>
      <c r="AK156" s="181" t="str">
        <f>IF(COUNT(F156:AJ156)=0,"",SUM(F156:AJ156))</f>
        <v/>
      </c>
    </row>
    <row r="157" ht="15.75" customHeight="1" hidden="1">
      <c r="A157" s="277"/>
      <c r="B157" s="265"/>
      <c r="C157" s="175" t="inlineStr">
        <is>
          <t xml:space="preserve">Toneladas Movimentadas</t>
        </is>
      </c>
      <c r="D157" s="176" t="str">
        <f>IFERROR(1/(1/INDEX(BD!$AF$25:$AZ$25,MATCH($A$155,BD!$AF$22:$AZ$22,0))),"")</f>
        <v/>
      </c>
      <c r="E157" s="177"/>
      <c r="F157" s="182" t="str">
        <f>IF(F$3="","",IF(COUNTIFS(BD!$A$3:$A$5001,F$3,BD!$B$3:$B$5001,$A$155,BD!$E$3:$E$5001,"&lt;&gt;")=0,"",SUMIFS(BD!$E$3:$E$5001,BD!$A$3:$A$5001,F$3,BD!$B$3:$B$5001,$A$155)))</f>
        <v/>
      </c>
      <c r="G157" s="183" t="str">
        <f>IF(G$3="","",IF(COUNTIFS(BD!$A$3:$A$5001,G$3,BD!$B$3:$B$5001,$A$155,BD!$E$3:$E$5001,"&lt;&gt;")=0,"",SUMIFS(BD!$E$3:$E$5001,BD!$A$3:$A$5001,G$3,BD!$B$3:$B$5001,$A$155)))</f>
        <v/>
      </c>
      <c r="H157" s="183" t="str">
        <f>IF(H$3="","",IF(COUNTIFS(BD!$A$3:$A$5001,H$3,BD!$B$3:$B$5001,$A$155,BD!$E$3:$E$5001,"&lt;&gt;")=0,"",SUMIFS(BD!$E$3:$E$5001,BD!$A$3:$A$5001,H$3,BD!$B$3:$B$5001,$A$155)))</f>
        <v/>
      </c>
      <c r="I157" s="183" t="str">
        <f>IF(I$3="","",IF(COUNTIFS(BD!$A$3:$A$5001,I$3,BD!$B$3:$B$5001,$A$155,BD!$E$3:$E$5001,"&lt;&gt;")=0,"",SUMIFS(BD!$E$3:$E$5001,BD!$A$3:$A$5001,I$3,BD!$B$3:$B$5001,$A$155)))</f>
        <v/>
      </c>
      <c r="J157" s="183" t="str">
        <f>IF(J$3="","",IF(COUNTIFS(BD!$A$3:$A$5001,J$3,BD!$B$3:$B$5001,$A$155,BD!$E$3:$E$5001,"&lt;&gt;")=0,"",SUMIFS(BD!$E$3:$E$5001,BD!$A$3:$A$5001,J$3,BD!$B$3:$B$5001,$A$155)))</f>
        <v/>
      </c>
      <c r="K157" s="183" t="str">
        <f>IF(K$3="","",IF(COUNTIFS(BD!$A$3:$A$5001,K$3,BD!$B$3:$B$5001,$A$155,BD!$E$3:$E$5001,"&lt;&gt;")=0,"",SUMIFS(BD!$E$3:$E$5001,BD!$A$3:$A$5001,K$3,BD!$B$3:$B$5001,$A$155)))</f>
        <v/>
      </c>
      <c r="L157" s="183" t="str">
        <f>IF(L$3="","",IF(COUNTIFS(BD!$A$3:$A$5001,L$3,BD!$B$3:$B$5001,$A$155,BD!$E$3:$E$5001,"&lt;&gt;")=0,"",SUMIFS(BD!$E$3:$E$5001,BD!$A$3:$A$5001,L$3,BD!$B$3:$B$5001,$A$155)))</f>
        <v/>
      </c>
      <c r="M157" s="183" t="str">
        <f>IF(M$3="","",IF(COUNTIFS(BD!$A$3:$A$5001,M$3,BD!$B$3:$B$5001,$A$155,BD!$E$3:$E$5001,"&lt;&gt;")=0,"",SUMIFS(BD!$E$3:$E$5001,BD!$A$3:$A$5001,M$3,BD!$B$3:$B$5001,$A$155)))</f>
        <v/>
      </c>
      <c r="N157" s="183" t="str">
        <f>IF(N$3="","",IF(COUNTIFS(BD!$A$3:$A$5001,N$3,BD!$B$3:$B$5001,$A$155,BD!$E$3:$E$5001,"&lt;&gt;")=0,"",SUMIFS(BD!$E$3:$E$5001,BD!$A$3:$A$5001,N$3,BD!$B$3:$B$5001,$A$155)))</f>
        <v/>
      </c>
      <c r="O157" s="183" t="str">
        <f>IF(O$3="","",IF(COUNTIFS(BD!$A$3:$A$5001,O$3,BD!$B$3:$B$5001,$A$155,BD!$E$3:$E$5001,"&lt;&gt;")=0,"",SUMIFS(BD!$E$3:$E$5001,BD!$A$3:$A$5001,O$3,BD!$B$3:$B$5001,$A$155)))</f>
        <v/>
      </c>
      <c r="P157" s="183" t="str">
        <f>IF(P$3="","",IF(COUNTIFS(BD!$A$3:$A$5001,P$3,BD!$B$3:$B$5001,$A$155,BD!$E$3:$E$5001,"&lt;&gt;")=0,"",SUMIFS(BD!$E$3:$E$5001,BD!$A$3:$A$5001,P$3,BD!$B$3:$B$5001,$A$155)))</f>
        <v/>
      </c>
      <c r="Q157" s="183" t="str">
        <f>IF(Q$3="","",IF(COUNTIFS(BD!$A$3:$A$5001,Q$3,BD!$B$3:$B$5001,$A$155,BD!$E$3:$E$5001,"&lt;&gt;")=0,"",SUMIFS(BD!$E$3:$E$5001,BD!$A$3:$A$5001,Q$3,BD!$B$3:$B$5001,$A$155)))</f>
        <v/>
      </c>
      <c r="R157" s="183" t="str">
        <f>IF(R$3="","",IF(COUNTIFS(BD!$A$3:$A$5001,R$3,BD!$B$3:$B$5001,$A$155,BD!$E$3:$E$5001,"&lt;&gt;")=0,"",SUMIFS(BD!$E$3:$E$5001,BD!$A$3:$A$5001,R$3,BD!$B$3:$B$5001,$A$155)))</f>
        <v/>
      </c>
      <c r="S157" s="183" t="str">
        <f>IF(S$3="","",IF(COUNTIFS(BD!$A$3:$A$5001,S$3,BD!$B$3:$B$5001,$A$155,BD!$E$3:$E$5001,"&lt;&gt;")=0,"",SUMIFS(BD!$E$3:$E$5001,BD!$A$3:$A$5001,S$3,BD!$B$3:$B$5001,$A$155)))</f>
        <v/>
      </c>
      <c r="T157" s="183" t="str">
        <f>IF(T$3="","",IF(COUNTIFS(BD!$A$3:$A$5001,T$3,BD!$B$3:$B$5001,$A$155,BD!$E$3:$E$5001,"&lt;&gt;")=0,"",SUMIFS(BD!$E$3:$E$5001,BD!$A$3:$A$5001,T$3,BD!$B$3:$B$5001,$A$155)))</f>
        <v/>
      </c>
      <c r="U157" s="183" t="str">
        <f>IF(U$3="","",IF(COUNTIFS(BD!$A$3:$A$5001,U$3,BD!$B$3:$B$5001,$A$155,BD!$E$3:$E$5001,"&lt;&gt;")=0,"",SUMIFS(BD!$E$3:$E$5001,BD!$A$3:$A$5001,U$3,BD!$B$3:$B$5001,$A$155)))</f>
        <v/>
      </c>
      <c r="V157" s="183" t="str">
        <f>IF(V$3="","",IF(COUNTIFS(BD!$A$3:$A$5001,V$3,BD!$B$3:$B$5001,$A$155,BD!$E$3:$E$5001,"&lt;&gt;")=0,"",SUMIFS(BD!$E$3:$E$5001,BD!$A$3:$A$5001,V$3,BD!$B$3:$B$5001,$A$155)))</f>
        <v/>
      </c>
      <c r="W157" s="183" t="str">
        <f>IF(W$3="","",IF(COUNTIFS(BD!$A$3:$A$5001,W$3,BD!$B$3:$B$5001,$A$155,BD!$E$3:$E$5001,"&lt;&gt;")=0,"",SUMIFS(BD!$E$3:$E$5001,BD!$A$3:$A$5001,W$3,BD!$B$3:$B$5001,$A$155)))</f>
        <v/>
      </c>
      <c r="X157" s="183" t="str">
        <f>IF(X$3="","",IF(COUNTIFS(BD!$A$3:$A$5001,X$3,BD!$B$3:$B$5001,$A$155,BD!$E$3:$E$5001,"&lt;&gt;")=0,"",SUMIFS(BD!$E$3:$E$5001,BD!$A$3:$A$5001,X$3,BD!$B$3:$B$5001,$A$155)))</f>
        <v/>
      </c>
      <c r="Y157" s="183" t="str">
        <f>IF(Y$3="","",IF(COUNTIFS(BD!$A$3:$A$5001,Y$3,BD!$B$3:$B$5001,$A$155,BD!$E$3:$E$5001,"&lt;&gt;")=0,"",SUMIFS(BD!$E$3:$E$5001,BD!$A$3:$A$5001,Y$3,BD!$B$3:$B$5001,$A$155)))</f>
        <v/>
      </c>
      <c r="Z157" s="183" t="str">
        <f>IF(Z$3="","",IF(COUNTIFS(BD!$A$3:$A$5001,Z$3,BD!$B$3:$B$5001,$A$155,BD!$E$3:$E$5001,"&lt;&gt;")=0,"",SUMIFS(BD!$E$3:$E$5001,BD!$A$3:$A$5001,Z$3,BD!$B$3:$B$5001,$A$155)))</f>
        <v/>
      </c>
      <c r="AA157" s="183" t="str">
        <f>IF(AA$3="","",IF(COUNTIFS(BD!$A$3:$A$5001,AA$3,BD!$B$3:$B$5001,$A$155,BD!$E$3:$E$5001,"&lt;&gt;")=0,"",SUMIFS(BD!$E$3:$E$5001,BD!$A$3:$A$5001,AA$3,BD!$B$3:$B$5001,$A$155)))</f>
        <v/>
      </c>
      <c r="AB157" s="183" t="str">
        <f>IF(AB$3="","",IF(COUNTIFS(BD!$A$3:$A$5001,AB$3,BD!$B$3:$B$5001,$A$155,BD!$E$3:$E$5001,"&lt;&gt;")=0,"",SUMIFS(BD!$E$3:$E$5001,BD!$A$3:$A$5001,AB$3,BD!$B$3:$B$5001,$A$155)))</f>
        <v/>
      </c>
      <c r="AC157" s="183" t="str">
        <f>IF(AC$3="","",IF(COUNTIFS(BD!$A$3:$A$5001,AC$3,BD!$B$3:$B$5001,$A$155,BD!$E$3:$E$5001,"&lt;&gt;")=0,"",SUMIFS(BD!$E$3:$E$5001,BD!$A$3:$A$5001,AC$3,BD!$B$3:$B$5001,$A$155)))</f>
        <v/>
      </c>
      <c r="AD157" s="183" t="str">
        <f>IF(AD$3="","",IF(COUNTIFS(BD!$A$3:$A$5001,AD$3,BD!$B$3:$B$5001,$A$155,BD!$E$3:$E$5001,"&lt;&gt;")=0,"",SUMIFS(BD!$E$3:$E$5001,BD!$A$3:$A$5001,AD$3,BD!$B$3:$B$5001,$A$155)))</f>
        <v/>
      </c>
      <c r="AE157" s="183" t="str">
        <f>IF(AE$3="","",IF(COUNTIFS(BD!$A$3:$A$5001,AE$3,BD!$B$3:$B$5001,$A$155,BD!$E$3:$E$5001,"&lt;&gt;")=0,"",SUMIFS(BD!$E$3:$E$5001,BD!$A$3:$A$5001,AE$3,BD!$B$3:$B$5001,$A$155)))</f>
        <v/>
      </c>
      <c r="AF157" s="183" t="str">
        <f>IF(AF$3="","",IF(COUNTIFS(BD!$A$3:$A$5001,AF$3,BD!$B$3:$B$5001,$A$155,BD!$E$3:$E$5001,"&lt;&gt;")=0,"",SUMIFS(BD!$E$3:$E$5001,BD!$A$3:$A$5001,AF$3,BD!$B$3:$B$5001,$A$155)))</f>
        <v/>
      </c>
      <c r="AG157" s="183" t="str">
        <f>IF(AG$3="","",IF(COUNTIFS(BD!$A$3:$A$5001,AG$3,BD!$B$3:$B$5001,$A$155,BD!$E$3:$E$5001,"&lt;&gt;")=0,"",SUMIFS(BD!$E$3:$E$5001,BD!$A$3:$A$5001,AG$3,BD!$B$3:$B$5001,$A$155)))</f>
        <v/>
      </c>
      <c r="AH157" s="183" t="str">
        <f>IF(AH$3="","",IF(COUNTIFS(BD!$A$3:$A$5001,AH$3,BD!$B$3:$B$5001,$A$155,BD!$E$3:$E$5001,"&lt;&gt;")=0,"",SUMIFS(BD!$E$3:$E$5001,BD!$A$3:$A$5001,AH$3,BD!$B$3:$B$5001,$A$155)))</f>
        <v/>
      </c>
      <c r="AI157" s="183" t="str">
        <f>IF(AI$3="","",IF(COUNTIFS(BD!$A$3:$A$5001,AI$3,BD!$B$3:$B$5001,$A$155,BD!$E$3:$E$5001,"&lt;&gt;")=0,"",SUMIFS(BD!$E$3:$E$5001,BD!$A$3:$A$5001,AI$3,BD!$B$3:$B$5001,$A$155)))</f>
        <v/>
      </c>
      <c r="AJ157" s="184" t="str">
        <f>IF(AJ$3="","",IF(COUNTIFS(BD!$A$3:$A$5001,AJ$3,BD!$B$3:$B$5001,$A$155,BD!$E$3:$E$5001,"&lt;&gt;")=0,"",SUMIFS(BD!$E$3:$E$5001,BD!$A$3:$A$5001,AJ$3,BD!$B$3:$B$5001,$A$155)))</f>
        <v/>
      </c>
      <c r="AK157" s="185" t="str">
        <f>IF(COUNT(F157:AJ157)=0,"",SUM(F157:AJ157))</f>
        <v/>
      </c>
    </row>
    <row r="158" ht="15.75" customHeight="1" hidden="1">
      <c r="A158" s="277"/>
      <c r="B158" s="265"/>
      <c r="C158" s="175" t="inlineStr">
        <is>
          <t xml:space="preserve">Caixas Recebidas</t>
        </is>
      </c>
      <c r="D158" s="176" t="str">
        <f>IFERROR(1/(1/INDEX(BD!$AF$26:$AZ$26,MATCH($A$155,BD!$AF$22:$AZ$22,0))),"")</f>
        <v/>
      </c>
      <c r="E158" s="177"/>
      <c r="F158" s="178" t="str">
        <f>IF(F$3="","",IF(COUNTIFS(BD!$A$3:$A$5001,F$3,BD!$B$3:$B$5001,$A$155,BD!$F$3:$F$5001,"&lt;&gt;")=0,"",SUMIFS(BD!$F$3:$F$5001,BD!$A$3:$A$5001,F$3,BD!$B$3:$B$5001,$A$155)))</f>
        <v/>
      </c>
      <c r="G158" s="179" t="str">
        <f>IF(G$3="","",IF(COUNTIFS(BD!$A$3:$A$5001,G$3,BD!$B$3:$B$5001,$A$155,BD!$F$3:$F$5001,"&lt;&gt;")=0,"",SUMIFS(BD!$F$3:$F$5001,BD!$A$3:$A$5001,G$3,BD!$B$3:$B$5001,$A$155)))</f>
        <v/>
      </c>
      <c r="H158" s="179" t="str">
        <f>IF(H$3="","",IF(COUNTIFS(BD!$A$3:$A$5001,H$3,BD!$B$3:$B$5001,$A$155,BD!$F$3:$F$5001,"&lt;&gt;")=0,"",SUMIFS(BD!$F$3:$F$5001,BD!$A$3:$A$5001,H$3,BD!$B$3:$B$5001,$A$155)))</f>
        <v/>
      </c>
      <c r="I158" s="179" t="str">
        <f>IF(I$3="","",IF(COUNTIFS(BD!$A$3:$A$5001,I$3,BD!$B$3:$B$5001,$A$155,BD!$F$3:$F$5001,"&lt;&gt;")=0,"",SUMIFS(BD!$F$3:$F$5001,BD!$A$3:$A$5001,I$3,BD!$B$3:$B$5001,$A$155)))</f>
        <v/>
      </c>
      <c r="J158" s="179" t="str">
        <f>IF(J$3="","",IF(COUNTIFS(BD!$A$3:$A$5001,J$3,BD!$B$3:$B$5001,$A$155,BD!$F$3:$F$5001,"&lt;&gt;")=0,"",SUMIFS(BD!$F$3:$F$5001,BD!$A$3:$A$5001,J$3,BD!$B$3:$B$5001,$A$155)))</f>
        <v/>
      </c>
      <c r="K158" s="179" t="str">
        <f>IF(K$3="","",IF(COUNTIFS(BD!$A$3:$A$5001,K$3,BD!$B$3:$B$5001,$A$155,BD!$F$3:$F$5001,"&lt;&gt;")=0,"",SUMIFS(BD!$F$3:$F$5001,BD!$A$3:$A$5001,K$3,BD!$B$3:$B$5001,$A$155)))</f>
        <v/>
      </c>
      <c r="L158" s="179" t="str">
        <f>IF(L$3="","",IF(COUNTIFS(BD!$A$3:$A$5001,L$3,BD!$B$3:$B$5001,$A$155,BD!$F$3:$F$5001,"&lt;&gt;")=0,"",SUMIFS(BD!$F$3:$F$5001,BD!$A$3:$A$5001,L$3,BD!$B$3:$B$5001,$A$155)))</f>
        <v/>
      </c>
      <c r="M158" s="179" t="str">
        <f>IF(M$3="","",IF(COUNTIFS(BD!$A$3:$A$5001,M$3,BD!$B$3:$B$5001,$A$155,BD!$F$3:$F$5001,"&lt;&gt;")=0,"",SUMIFS(BD!$F$3:$F$5001,BD!$A$3:$A$5001,M$3,BD!$B$3:$B$5001,$A$155)))</f>
        <v/>
      </c>
      <c r="N158" s="179" t="str">
        <f>IF(N$3="","",IF(COUNTIFS(BD!$A$3:$A$5001,N$3,BD!$B$3:$B$5001,$A$155,BD!$F$3:$F$5001,"&lt;&gt;")=0,"",SUMIFS(BD!$F$3:$F$5001,BD!$A$3:$A$5001,N$3,BD!$B$3:$B$5001,$A$155)))</f>
        <v/>
      </c>
      <c r="O158" s="179" t="str">
        <f>IF(O$3="","",IF(COUNTIFS(BD!$A$3:$A$5001,O$3,BD!$B$3:$B$5001,$A$155,BD!$F$3:$F$5001,"&lt;&gt;")=0,"",SUMIFS(BD!$F$3:$F$5001,BD!$A$3:$A$5001,O$3,BD!$B$3:$B$5001,$A$155)))</f>
        <v/>
      </c>
      <c r="P158" s="179" t="str">
        <f>IF(P$3="","",IF(COUNTIFS(BD!$A$3:$A$5001,P$3,BD!$B$3:$B$5001,$A$155,BD!$F$3:$F$5001,"&lt;&gt;")=0,"",SUMIFS(BD!$F$3:$F$5001,BD!$A$3:$A$5001,P$3,BD!$B$3:$B$5001,$A$155)))</f>
        <v/>
      </c>
      <c r="Q158" s="179" t="str">
        <f>IF(Q$3="","",IF(COUNTIFS(BD!$A$3:$A$5001,Q$3,BD!$B$3:$B$5001,$A$155,BD!$F$3:$F$5001,"&lt;&gt;")=0,"",SUMIFS(BD!$F$3:$F$5001,BD!$A$3:$A$5001,Q$3,BD!$B$3:$B$5001,$A$155)))</f>
        <v/>
      </c>
      <c r="R158" s="179" t="str">
        <f>IF(R$3="","",IF(COUNTIFS(BD!$A$3:$A$5001,R$3,BD!$B$3:$B$5001,$A$155,BD!$F$3:$F$5001,"&lt;&gt;")=0,"",SUMIFS(BD!$F$3:$F$5001,BD!$A$3:$A$5001,R$3,BD!$B$3:$B$5001,$A$155)))</f>
        <v/>
      </c>
      <c r="S158" s="179" t="str">
        <f>IF(S$3="","",IF(COUNTIFS(BD!$A$3:$A$5001,S$3,BD!$B$3:$B$5001,$A$155,BD!$F$3:$F$5001,"&lt;&gt;")=0,"",SUMIFS(BD!$F$3:$F$5001,BD!$A$3:$A$5001,S$3,BD!$B$3:$B$5001,$A$155)))</f>
        <v/>
      </c>
      <c r="T158" s="179" t="str">
        <f>IF(T$3="","",IF(COUNTIFS(BD!$A$3:$A$5001,T$3,BD!$B$3:$B$5001,$A$155,BD!$F$3:$F$5001,"&lt;&gt;")=0,"",SUMIFS(BD!$F$3:$F$5001,BD!$A$3:$A$5001,T$3,BD!$B$3:$B$5001,$A$155)))</f>
        <v/>
      </c>
      <c r="U158" s="179" t="str">
        <f>IF(U$3="","",IF(COUNTIFS(BD!$A$3:$A$5001,U$3,BD!$B$3:$B$5001,$A$155,BD!$F$3:$F$5001,"&lt;&gt;")=0,"",SUMIFS(BD!$F$3:$F$5001,BD!$A$3:$A$5001,U$3,BD!$B$3:$B$5001,$A$155)))</f>
        <v/>
      </c>
      <c r="V158" s="179" t="str">
        <f>IF(V$3="","",IF(COUNTIFS(BD!$A$3:$A$5001,V$3,BD!$B$3:$B$5001,$A$155,BD!$F$3:$F$5001,"&lt;&gt;")=0,"",SUMIFS(BD!$F$3:$F$5001,BD!$A$3:$A$5001,V$3,BD!$B$3:$B$5001,$A$155)))</f>
        <v/>
      </c>
      <c r="W158" s="179" t="str">
        <f>IF(W$3="","",IF(COUNTIFS(BD!$A$3:$A$5001,W$3,BD!$B$3:$B$5001,$A$155,BD!$F$3:$F$5001,"&lt;&gt;")=0,"",SUMIFS(BD!$F$3:$F$5001,BD!$A$3:$A$5001,W$3,BD!$B$3:$B$5001,$A$155)))</f>
        <v/>
      </c>
      <c r="X158" s="179" t="str">
        <f>IF(X$3="","",IF(COUNTIFS(BD!$A$3:$A$5001,X$3,BD!$B$3:$B$5001,$A$155,BD!$F$3:$F$5001,"&lt;&gt;")=0,"",SUMIFS(BD!$F$3:$F$5001,BD!$A$3:$A$5001,X$3,BD!$B$3:$B$5001,$A$155)))</f>
        <v/>
      </c>
      <c r="Y158" s="179" t="str">
        <f>IF(Y$3="","",IF(COUNTIFS(BD!$A$3:$A$5001,Y$3,BD!$B$3:$B$5001,$A$155,BD!$F$3:$F$5001,"&lt;&gt;")=0,"",SUMIFS(BD!$F$3:$F$5001,BD!$A$3:$A$5001,Y$3,BD!$B$3:$B$5001,$A$155)))</f>
        <v/>
      </c>
      <c r="Z158" s="179" t="str">
        <f>IF(Z$3="","",IF(COUNTIFS(BD!$A$3:$A$5001,Z$3,BD!$B$3:$B$5001,$A$155,BD!$F$3:$F$5001,"&lt;&gt;")=0,"",SUMIFS(BD!$F$3:$F$5001,BD!$A$3:$A$5001,Z$3,BD!$B$3:$B$5001,$A$155)))</f>
        <v/>
      </c>
      <c r="AA158" s="179" t="str">
        <f>IF(AA$3="","",IF(COUNTIFS(BD!$A$3:$A$5001,AA$3,BD!$B$3:$B$5001,$A$155,BD!$F$3:$F$5001,"&lt;&gt;")=0,"",SUMIFS(BD!$F$3:$F$5001,BD!$A$3:$A$5001,AA$3,BD!$B$3:$B$5001,$A$155)))</f>
        <v/>
      </c>
      <c r="AB158" s="179" t="str">
        <f>IF(AB$3="","",IF(COUNTIFS(BD!$A$3:$A$5001,AB$3,BD!$B$3:$B$5001,$A$155,BD!$F$3:$F$5001,"&lt;&gt;")=0,"",SUMIFS(BD!$F$3:$F$5001,BD!$A$3:$A$5001,AB$3,BD!$B$3:$B$5001,$A$155)))</f>
        <v/>
      </c>
      <c r="AC158" s="179" t="str">
        <f>IF(AC$3="","",IF(COUNTIFS(BD!$A$3:$A$5001,AC$3,BD!$B$3:$B$5001,$A$155,BD!$F$3:$F$5001,"&lt;&gt;")=0,"",SUMIFS(BD!$F$3:$F$5001,BD!$A$3:$A$5001,AC$3,BD!$B$3:$B$5001,$A$155)))</f>
        <v/>
      </c>
      <c r="AD158" s="179" t="str">
        <f>IF(AD$3="","",IF(COUNTIFS(BD!$A$3:$A$5001,AD$3,BD!$B$3:$B$5001,$A$155,BD!$F$3:$F$5001,"&lt;&gt;")=0,"",SUMIFS(BD!$F$3:$F$5001,BD!$A$3:$A$5001,AD$3,BD!$B$3:$B$5001,$A$155)))</f>
        <v/>
      </c>
      <c r="AE158" s="179" t="str">
        <f>IF(AE$3="","",IF(COUNTIFS(BD!$A$3:$A$5001,AE$3,BD!$B$3:$B$5001,$A$155,BD!$F$3:$F$5001,"&lt;&gt;")=0,"",SUMIFS(BD!$F$3:$F$5001,BD!$A$3:$A$5001,AE$3,BD!$B$3:$B$5001,$A$155)))</f>
        <v/>
      </c>
      <c r="AF158" s="179" t="str">
        <f>IF(AF$3="","",IF(COUNTIFS(BD!$A$3:$A$5001,AF$3,BD!$B$3:$B$5001,$A$155,BD!$F$3:$F$5001,"&lt;&gt;")=0,"",SUMIFS(BD!$F$3:$F$5001,BD!$A$3:$A$5001,AF$3,BD!$B$3:$B$5001,$A$155)))</f>
        <v/>
      </c>
      <c r="AG158" s="179" t="str">
        <f>IF(AG$3="","",IF(COUNTIFS(BD!$A$3:$A$5001,AG$3,BD!$B$3:$B$5001,$A$155,BD!$F$3:$F$5001,"&lt;&gt;")=0,"",SUMIFS(BD!$F$3:$F$5001,BD!$A$3:$A$5001,AG$3,BD!$B$3:$B$5001,$A$155)))</f>
        <v/>
      </c>
      <c r="AH158" s="179" t="str">
        <f>IF(AH$3="","",IF(COUNTIFS(BD!$A$3:$A$5001,AH$3,BD!$B$3:$B$5001,$A$155,BD!$F$3:$F$5001,"&lt;&gt;")=0,"",SUMIFS(BD!$F$3:$F$5001,BD!$A$3:$A$5001,AH$3,BD!$B$3:$B$5001,$A$155)))</f>
        <v/>
      </c>
      <c r="AI158" s="179" t="str">
        <f>IF(AI$3="","",IF(COUNTIFS(BD!$A$3:$A$5001,AI$3,BD!$B$3:$B$5001,$A$155,BD!$F$3:$F$5001,"&lt;&gt;")=0,"",SUMIFS(BD!$F$3:$F$5001,BD!$A$3:$A$5001,AI$3,BD!$B$3:$B$5001,$A$155)))</f>
        <v/>
      </c>
      <c r="AJ158" s="180" t="str">
        <f>IF(AJ$3="","",IF(COUNTIFS(BD!$A$3:$A$5001,AJ$3,BD!$B$3:$B$5001,$A$155,BD!$F$3:$F$5001,"&lt;&gt;")=0,"",SUMIFS(BD!$F$3:$F$5001,BD!$A$3:$A$5001,AJ$3,BD!$B$3:$B$5001,$A$155)))</f>
        <v/>
      </c>
      <c r="AK158" s="181" t="str">
        <f>IF(COUNT(F158:AJ158)=0,"",SUM(F158:AJ158))</f>
        <v/>
      </c>
    </row>
    <row r="159" ht="15.75" customHeight="1" hidden="1">
      <c r="A159" s="277"/>
      <c r="B159" s="266"/>
      <c r="C159" s="186" t="inlineStr">
        <is>
          <t xml:space="preserve">Bags Recebidos</t>
        </is>
      </c>
      <c r="D159" s="187" t="str">
        <f>IFERROR(1/(1/INDEX(BD!$AF$27:$AZ$27,MATCH($A$155,BD!$AF$22:$AZ$22,0))),"")</f>
        <v/>
      </c>
      <c r="E159" s="188"/>
      <c r="F159" s="189" t="str">
        <f>IF(F$3="","",IF(COUNTIFS(BD!$A$3:$A$5001,F$3,BD!$B$3:$B$5001,$A$155,BD!$G$3:$G$5001,"&lt;&gt;")=0,"",SUMIFS(BD!$G$3:$G$5001,BD!$A$3:$A$5001,F$3,BD!$B$3:$B$5001,$A$155)))</f>
        <v/>
      </c>
      <c r="G159" s="190" t="str">
        <f>IF(G$3="","",IF(COUNTIFS(BD!$A$3:$A$5001,G$3,BD!$B$3:$B$5001,$A$155,BD!$G$3:$G$5001,"&lt;&gt;")=0,"",SUMIFS(BD!$G$3:$G$5001,BD!$A$3:$A$5001,G$3,BD!$B$3:$B$5001,$A$155)))</f>
        <v/>
      </c>
      <c r="H159" s="190" t="str">
        <f>IF(H$3="","",IF(COUNTIFS(BD!$A$3:$A$5001,H$3,BD!$B$3:$B$5001,$A$155,BD!$G$3:$G$5001,"&lt;&gt;")=0,"",SUMIFS(BD!$G$3:$G$5001,BD!$A$3:$A$5001,H$3,BD!$B$3:$B$5001,$A$155)))</f>
        <v/>
      </c>
      <c r="I159" s="190" t="str">
        <f>IF(I$3="","",IF(COUNTIFS(BD!$A$3:$A$5001,I$3,BD!$B$3:$B$5001,$A$155,BD!$G$3:$G$5001,"&lt;&gt;")=0,"",SUMIFS(BD!$G$3:$G$5001,BD!$A$3:$A$5001,I$3,BD!$B$3:$B$5001,$A$155)))</f>
        <v/>
      </c>
      <c r="J159" s="190" t="str">
        <f>IF(J$3="","",IF(COUNTIFS(BD!$A$3:$A$5001,J$3,BD!$B$3:$B$5001,$A$155,BD!$G$3:$G$5001,"&lt;&gt;")=0,"",SUMIFS(BD!$G$3:$G$5001,BD!$A$3:$A$5001,J$3,BD!$B$3:$B$5001,$A$155)))</f>
        <v/>
      </c>
      <c r="K159" s="190" t="str">
        <f>IF(K$3="","",IF(COUNTIFS(BD!$A$3:$A$5001,K$3,BD!$B$3:$B$5001,$A$155,BD!$G$3:$G$5001,"&lt;&gt;")=0,"",SUMIFS(BD!$G$3:$G$5001,BD!$A$3:$A$5001,K$3,BD!$B$3:$B$5001,$A$155)))</f>
        <v/>
      </c>
      <c r="L159" s="190" t="str">
        <f>IF(L$3="","",IF(COUNTIFS(BD!$A$3:$A$5001,L$3,BD!$B$3:$B$5001,$A$155,BD!$G$3:$G$5001,"&lt;&gt;")=0,"",SUMIFS(BD!$G$3:$G$5001,BD!$A$3:$A$5001,L$3,BD!$B$3:$B$5001,$A$155)))</f>
        <v/>
      </c>
      <c r="M159" s="190" t="str">
        <f>IF(M$3="","",IF(COUNTIFS(BD!$A$3:$A$5001,M$3,BD!$B$3:$B$5001,$A$155,BD!$G$3:$G$5001,"&lt;&gt;")=0,"",SUMIFS(BD!$G$3:$G$5001,BD!$A$3:$A$5001,M$3,BD!$B$3:$B$5001,$A$155)))</f>
        <v/>
      </c>
      <c r="N159" s="190" t="str">
        <f>IF(N$3="","",IF(COUNTIFS(BD!$A$3:$A$5001,N$3,BD!$B$3:$B$5001,$A$155,BD!$G$3:$G$5001,"&lt;&gt;")=0,"",SUMIFS(BD!$G$3:$G$5001,BD!$A$3:$A$5001,N$3,BD!$B$3:$B$5001,$A$155)))</f>
        <v/>
      </c>
      <c r="O159" s="190" t="str">
        <f>IF(O$3="","",IF(COUNTIFS(BD!$A$3:$A$5001,O$3,BD!$B$3:$B$5001,$A$155,BD!$G$3:$G$5001,"&lt;&gt;")=0,"",SUMIFS(BD!$G$3:$G$5001,BD!$A$3:$A$5001,O$3,BD!$B$3:$B$5001,$A$155)))</f>
        <v/>
      </c>
      <c r="P159" s="190" t="str">
        <f>IF(P$3="","",IF(COUNTIFS(BD!$A$3:$A$5001,P$3,BD!$B$3:$B$5001,$A$155,BD!$G$3:$G$5001,"&lt;&gt;")=0,"",SUMIFS(BD!$G$3:$G$5001,BD!$A$3:$A$5001,P$3,BD!$B$3:$B$5001,$A$155)))</f>
        <v/>
      </c>
      <c r="Q159" s="190" t="str">
        <f>IF(Q$3="","",IF(COUNTIFS(BD!$A$3:$A$5001,Q$3,BD!$B$3:$B$5001,$A$155,BD!$G$3:$G$5001,"&lt;&gt;")=0,"",SUMIFS(BD!$G$3:$G$5001,BD!$A$3:$A$5001,Q$3,BD!$B$3:$B$5001,$A$155)))</f>
        <v/>
      </c>
      <c r="R159" s="190" t="str">
        <f>IF(R$3="","",IF(COUNTIFS(BD!$A$3:$A$5001,R$3,BD!$B$3:$B$5001,$A$155,BD!$G$3:$G$5001,"&lt;&gt;")=0,"",SUMIFS(BD!$G$3:$G$5001,BD!$A$3:$A$5001,R$3,BD!$B$3:$B$5001,$A$155)))</f>
        <v/>
      </c>
      <c r="S159" s="190" t="str">
        <f>IF(S$3="","",IF(COUNTIFS(BD!$A$3:$A$5001,S$3,BD!$B$3:$B$5001,$A$155,BD!$G$3:$G$5001,"&lt;&gt;")=0,"",SUMIFS(BD!$G$3:$G$5001,BD!$A$3:$A$5001,S$3,BD!$B$3:$B$5001,$A$155)))</f>
        <v/>
      </c>
      <c r="T159" s="190" t="str">
        <f>IF(T$3="","",IF(COUNTIFS(BD!$A$3:$A$5001,T$3,BD!$B$3:$B$5001,$A$155,BD!$G$3:$G$5001,"&lt;&gt;")=0,"",SUMIFS(BD!$G$3:$G$5001,BD!$A$3:$A$5001,T$3,BD!$B$3:$B$5001,$A$155)))</f>
        <v/>
      </c>
      <c r="U159" s="190" t="str">
        <f>IF(U$3="","",IF(COUNTIFS(BD!$A$3:$A$5001,U$3,BD!$B$3:$B$5001,$A$155,BD!$G$3:$G$5001,"&lt;&gt;")=0,"",SUMIFS(BD!$G$3:$G$5001,BD!$A$3:$A$5001,U$3,BD!$B$3:$B$5001,$A$155)))</f>
        <v/>
      </c>
      <c r="V159" s="190" t="str">
        <f>IF(V$3="","",IF(COUNTIFS(BD!$A$3:$A$5001,V$3,BD!$B$3:$B$5001,$A$155,BD!$G$3:$G$5001,"&lt;&gt;")=0,"",SUMIFS(BD!$G$3:$G$5001,BD!$A$3:$A$5001,V$3,BD!$B$3:$B$5001,$A$155)))</f>
        <v/>
      </c>
      <c r="W159" s="190" t="str">
        <f>IF(W$3="","",IF(COUNTIFS(BD!$A$3:$A$5001,W$3,BD!$B$3:$B$5001,$A$155,BD!$G$3:$G$5001,"&lt;&gt;")=0,"",SUMIFS(BD!$G$3:$G$5001,BD!$A$3:$A$5001,W$3,BD!$B$3:$B$5001,$A$155)))</f>
        <v/>
      </c>
      <c r="X159" s="190" t="str">
        <f>IF(X$3="","",IF(COUNTIFS(BD!$A$3:$A$5001,X$3,BD!$B$3:$B$5001,$A$155,BD!$G$3:$G$5001,"&lt;&gt;")=0,"",SUMIFS(BD!$G$3:$G$5001,BD!$A$3:$A$5001,X$3,BD!$B$3:$B$5001,$A$155)))</f>
        <v/>
      </c>
      <c r="Y159" s="190" t="str">
        <f>IF(Y$3="","",IF(COUNTIFS(BD!$A$3:$A$5001,Y$3,BD!$B$3:$B$5001,$A$155,BD!$G$3:$G$5001,"&lt;&gt;")=0,"",SUMIFS(BD!$G$3:$G$5001,BD!$A$3:$A$5001,Y$3,BD!$B$3:$B$5001,$A$155)))</f>
        <v/>
      </c>
      <c r="Z159" s="190" t="str">
        <f>IF(Z$3="","",IF(COUNTIFS(BD!$A$3:$A$5001,Z$3,BD!$B$3:$B$5001,$A$155,BD!$G$3:$G$5001,"&lt;&gt;")=0,"",SUMIFS(BD!$G$3:$G$5001,BD!$A$3:$A$5001,Z$3,BD!$B$3:$B$5001,$A$155)))</f>
        <v/>
      </c>
      <c r="AA159" s="190" t="str">
        <f>IF(AA$3="","",IF(COUNTIFS(BD!$A$3:$A$5001,AA$3,BD!$B$3:$B$5001,$A$155,BD!$G$3:$G$5001,"&lt;&gt;")=0,"",SUMIFS(BD!$G$3:$G$5001,BD!$A$3:$A$5001,AA$3,BD!$B$3:$B$5001,$A$155)))</f>
        <v/>
      </c>
      <c r="AB159" s="190" t="str">
        <f>IF(AB$3="","",IF(COUNTIFS(BD!$A$3:$A$5001,AB$3,BD!$B$3:$B$5001,$A$155,BD!$G$3:$G$5001,"&lt;&gt;")=0,"",SUMIFS(BD!$G$3:$G$5001,BD!$A$3:$A$5001,AB$3,BD!$B$3:$B$5001,$A$155)))</f>
        <v/>
      </c>
      <c r="AC159" s="190" t="str">
        <f>IF(AC$3="","",IF(COUNTIFS(BD!$A$3:$A$5001,AC$3,BD!$B$3:$B$5001,$A$155,BD!$G$3:$G$5001,"&lt;&gt;")=0,"",SUMIFS(BD!$G$3:$G$5001,BD!$A$3:$A$5001,AC$3,BD!$B$3:$B$5001,$A$155)))</f>
        <v/>
      </c>
      <c r="AD159" s="190" t="str">
        <f>IF(AD$3="","",IF(COUNTIFS(BD!$A$3:$A$5001,AD$3,BD!$B$3:$B$5001,$A$155,BD!$G$3:$G$5001,"&lt;&gt;")=0,"",SUMIFS(BD!$G$3:$G$5001,BD!$A$3:$A$5001,AD$3,BD!$B$3:$B$5001,$A$155)))</f>
        <v/>
      </c>
      <c r="AE159" s="190" t="str">
        <f>IF(AE$3="","",IF(COUNTIFS(BD!$A$3:$A$5001,AE$3,BD!$B$3:$B$5001,$A$155,BD!$G$3:$G$5001,"&lt;&gt;")=0,"",SUMIFS(BD!$G$3:$G$5001,BD!$A$3:$A$5001,AE$3,BD!$B$3:$B$5001,$A$155)))</f>
        <v/>
      </c>
      <c r="AF159" s="190" t="str">
        <f>IF(AF$3="","",IF(COUNTIFS(BD!$A$3:$A$5001,AF$3,BD!$B$3:$B$5001,$A$155,BD!$G$3:$G$5001,"&lt;&gt;")=0,"",SUMIFS(BD!$G$3:$G$5001,BD!$A$3:$A$5001,AF$3,BD!$B$3:$B$5001,$A$155)))</f>
        <v/>
      </c>
      <c r="AG159" s="190" t="str">
        <f>IF(AG$3="","",IF(COUNTIFS(BD!$A$3:$A$5001,AG$3,BD!$B$3:$B$5001,$A$155,BD!$G$3:$G$5001,"&lt;&gt;")=0,"",SUMIFS(BD!$G$3:$G$5001,BD!$A$3:$A$5001,AG$3,BD!$B$3:$B$5001,$A$155)))</f>
        <v/>
      </c>
      <c r="AH159" s="190" t="str">
        <f>IF(AH$3="","",IF(COUNTIFS(BD!$A$3:$A$5001,AH$3,BD!$B$3:$B$5001,$A$155,BD!$G$3:$G$5001,"&lt;&gt;")=0,"",SUMIFS(BD!$G$3:$G$5001,BD!$A$3:$A$5001,AH$3,BD!$B$3:$B$5001,$A$155)))</f>
        <v/>
      </c>
      <c r="AI159" s="190" t="str">
        <f>IF(AI$3="","",IF(COUNTIFS(BD!$A$3:$A$5001,AI$3,BD!$B$3:$B$5001,$A$155,BD!$G$3:$G$5001,"&lt;&gt;")=0,"",SUMIFS(BD!$G$3:$G$5001,BD!$A$3:$A$5001,AI$3,BD!$B$3:$B$5001,$A$155)))</f>
        <v/>
      </c>
      <c r="AJ159" s="191" t="str">
        <f>IF(AJ$3="","",IF(COUNTIFS(BD!$A$3:$A$5001,AJ$3,BD!$B$3:$B$5001,$A$155,BD!$G$3:$G$5001,"&lt;&gt;")=0,"",SUMIFS(BD!$G$3:$G$5001,BD!$A$3:$A$5001,AJ$3,BD!$B$3:$B$5001,$A$155)))</f>
        <v/>
      </c>
      <c r="AK159" s="187" t="str">
        <f>IF(COUNT(F159:AJ159)=0,"",SUM(F159:AJ159))</f>
        <v/>
      </c>
    </row>
    <row r="160" ht="15.75" customHeight="1" hidden="1">
      <c r="A160" s="277"/>
      <c r="B160" s="267" t="inlineStr">
        <is>
          <t xml:space="preserve">OUT</t>
        </is>
      </c>
      <c r="C160" s="192" t="inlineStr">
        <is>
          <t xml:space="preserve">Veículos Expedidos</t>
        </is>
      </c>
      <c r="D160" s="193" t="str">
        <f>IFERROR(1/(1/INDEX(BD!$AF$28:$AZ$28,MATCH($A$155,BD!$AF$22:$AZ$22,0))),"")</f>
        <v/>
      </c>
      <c r="E160" s="194"/>
      <c r="F160" s="195" t="str">
        <f>IF(F$3="","",IF(COUNTIFS(BD!$A$3:$A$5001,F$3,BD!$B$3:$B$5001,$A$155,BD!$H$3:$H$5001,"&lt;&gt;")=0,"",SUMIFS(BD!$H$3:$H$5001,BD!$A$3:$A$5001,F$3,BD!$B$3:$B$5001,$A$155)))</f>
        <v/>
      </c>
      <c r="G160" s="196" t="str">
        <f>IF(G$3="","",IF(COUNTIFS(BD!$A$3:$A$5001,G$3,BD!$B$3:$B$5001,$A$155,BD!$H$3:$H$5001,"&lt;&gt;")=0,"",SUMIFS(BD!$H$3:$H$5001,BD!$A$3:$A$5001,G$3,BD!$B$3:$B$5001,$A$155)))</f>
        <v/>
      </c>
      <c r="H160" s="196" t="str">
        <f>IF(H$3="","",IF(COUNTIFS(BD!$A$3:$A$5001,H$3,BD!$B$3:$B$5001,$A$155,BD!$H$3:$H$5001,"&lt;&gt;")=0,"",SUMIFS(BD!$H$3:$H$5001,BD!$A$3:$A$5001,H$3,BD!$B$3:$B$5001,$A$155)))</f>
        <v/>
      </c>
      <c r="I160" s="196" t="str">
        <f>IF(I$3="","",IF(COUNTIFS(BD!$A$3:$A$5001,I$3,BD!$B$3:$B$5001,$A$155,BD!$H$3:$H$5001,"&lt;&gt;")=0,"",SUMIFS(BD!$H$3:$H$5001,BD!$A$3:$A$5001,I$3,BD!$B$3:$B$5001,$A$155)))</f>
        <v/>
      </c>
      <c r="J160" s="196" t="str">
        <f>IF(J$3="","",IF(COUNTIFS(BD!$A$3:$A$5001,J$3,BD!$B$3:$B$5001,$A$155,BD!$H$3:$H$5001,"&lt;&gt;")=0,"",SUMIFS(BD!$H$3:$H$5001,BD!$A$3:$A$5001,J$3,BD!$B$3:$B$5001,$A$155)))</f>
        <v/>
      </c>
      <c r="K160" s="196" t="str">
        <f>IF(K$3="","",IF(COUNTIFS(BD!$A$3:$A$5001,K$3,BD!$B$3:$B$5001,$A$155,BD!$H$3:$H$5001,"&lt;&gt;")=0,"",SUMIFS(BD!$H$3:$H$5001,BD!$A$3:$A$5001,K$3,BD!$B$3:$B$5001,$A$155)))</f>
        <v/>
      </c>
      <c r="L160" s="196" t="str">
        <f>IF(L$3="","",IF(COUNTIFS(BD!$A$3:$A$5001,L$3,BD!$B$3:$B$5001,$A$155,BD!$H$3:$H$5001,"&lt;&gt;")=0,"",SUMIFS(BD!$H$3:$H$5001,BD!$A$3:$A$5001,L$3,BD!$B$3:$B$5001,$A$155)))</f>
        <v/>
      </c>
      <c r="M160" s="196" t="str">
        <f>IF(M$3="","",IF(COUNTIFS(BD!$A$3:$A$5001,M$3,BD!$B$3:$B$5001,$A$155,BD!$H$3:$H$5001,"&lt;&gt;")=0,"",SUMIFS(BD!$H$3:$H$5001,BD!$A$3:$A$5001,M$3,BD!$B$3:$B$5001,$A$155)))</f>
        <v/>
      </c>
      <c r="N160" s="196" t="str">
        <f>IF(N$3="","",IF(COUNTIFS(BD!$A$3:$A$5001,N$3,BD!$B$3:$B$5001,$A$155,BD!$H$3:$H$5001,"&lt;&gt;")=0,"",SUMIFS(BD!$H$3:$H$5001,BD!$A$3:$A$5001,N$3,BD!$B$3:$B$5001,$A$155)))</f>
        <v/>
      </c>
      <c r="O160" s="196" t="str">
        <f>IF(O$3="","",IF(COUNTIFS(BD!$A$3:$A$5001,O$3,BD!$B$3:$B$5001,$A$155,BD!$H$3:$H$5001,"&lt;&gt;")=0,"",SUMIFS(BD!$H$3:$H$5001,BD!$A$3:$A$5001,O$3,BD!$B$3:$B$5001,$A$155)))</f>
        <v/>
      </c>
      <c r="P160" s="196" t="str">
        <f>IF(P$3="","",IF(COUNTIFS(BD!$A$3:$A$5001,P$3,BD!$B$3:$B$5001,$A$155,BD!$H$3:$H$5001,"&lt;&gt;")=0,"",SUMIFS(BD!$H$3:$H$5001,BD!$A$3:$A$5001,P$3,BD!$B$3:$B$5001,$A$155)))</f>
        <v/>
      </c>
      <c r="Q160" s="196" t="str">
        <f>IF(Q$3="","",IF(COUNTIFS(BD!$A$3:$A$5001,Q$3,BD!$B$3:$B$5001,$A$155,BD!$H$3:$H$5001,"&lt;&gt;")=0,"",SUMIFS(BD!$H$3:$H$5001,BD!$A$3:$A$5001,Q$3,BD!$B$3:$B$5001,$A$155)))</f>
        <v/>
      </c>
      <c r="R160" s="196" t="str">
        <f>IF(R$3="","",IF(COUNTIFS(BD!$A$3:$A$5001,R$3,BD!$B$3:$B$5001,$A$155,BD!$H$3:$H$5001,"&lt;&gt;")=0,"",SUMIFS(BD!$H$3:$H$5001,BD!$A$3:$A$5001,R$3,BD!$B$3:$B$5001,$A$155)))</f>
        <v/>
      </c>
      <c r="S160" s="196" t="str">
        <f>IF(S$3="","",IF(COUNTIFS(BD!$A$3:$A$5001,S$3,BD!$B$3:$B$5001,$A$155,BD!$H$3:$H$5001,"&lt;&gt;")=0,"",SUMIFS(BD!$H$3:$H$5001,BD!$A$3:$A$5001,S$3,BD!$B$3:$B$5001,$A$155)))</f>
        <v/>
      </c>
      <c r="T160" s="196" t="str">
        <f>IF(T$3="","",IF(COUNTIFS(BD!$A$3:$A$5001,T$3,BD!$B$3:$B$5001,$A$155,BD!$H$3:$H$5001,"&lt;&gt;")=0,"",SUMIFS(BD!$H$3:$H$5001,BD!$A$3:$A$5001,T$3,BD!$B$3:$B$5001,$A$155)))</f>
        <v/>
      </c>
      <c r="U160" s="196" t="str">
        <f>IF(U$3="","",IF(COUNTIFS(BD!$A$3:$A$5001,U$3,BD!$B$3:$B$5001,$A$155,BD!$H$3:$H$5001,"&lt;&gt;")=0,"",SUMIFS(BD!$H$3:$H$5001,BD!$A$3:$A$5001,U$3,BD!$B$3:$B$5001,$A$155)))</f>
        <v/>
      </c>
      <c r="V160" s="196" t="str">
        <f>IF(V$3="","",IF(COUNTIFS(BD!$A$3:$A$5001,V$3,BD!$B$3:$B$5001,$A$155,BD!$H$3:$H$5001,"&lt;&gt;")=0,"",SUMIFS(BD!$H$3:$H$5001,BD!$A$3:$A$5001,V$3,BD!$B$3:$B$5001,$A$155)))</f>
        <v/>
      </c>
      <c r="W160" s="196" t="str">
        <f>IF(W$3="","",IF(COUNTIFS(BD!$A$3:$A$5001,W$3,BD!$B$3:$B$5001,$A$155,BD!$H$3:$H$5001,"&lt;&gt;")=0,"",SUMIFS(BD!$H$3:$H$5001,BD!$A$3:$A$5001,W$3,BD!$B$3:$B$5001,$A$155)))</f>
        <v/>
      </c>
      <c r="X160" s="196" t="str">
        <f>IF(X$3="","",IF(COUNTIFS(BD!$A$3:$A$5001,X$3,BD!$B$3:$B$5001,$A$155,BD!$H$3:$H$5001,"&lt;&gt;")=0,"",SUMIFS(BD!$H$3:$H$5001,BD!$A$3:$A$5001,X$3,BD!$B$3:$B$5001,$A$155)))</f>
        <v/>
      </c>
      <c r="Y160" s="196" t="str">
        <f>IF(Y$3="","",IF(COUNTIFS(BD!$A$3:$A$5001,Y$3,BD!$B$3:$B$5001,$A$155,BD!$H$3:$H$5001,"&lt;&gt;")=0,"",SUMIFS(BD!$H$3:$H$5001,BD!$A$3:$A$5001,Y$3,BD!$B$3:$B$5001,$A$155)))</f>
        <v/>
      </c>
      <c r="Z160" s="196" t="str">
        <f>IF(Z$3="","",IF(COUNTIFS(BD!$A$3:$A$5001,Z$3,BD!$B$3:$B$5001,$A$155,BD!$H$3:$H$5001,"&lt;&gt;")=0,"",SUMIFS(BD!$H$3:$H$5001,BD!$A$3:$A$5001,Z$3,BD!$B$3:$B$5001,$A$155)))</f>
        <v/>
      </c>
      <c r="AA160" s="196" t="str">
        <f>IF(AA$3="","",IF(COUNTIFS(BD!$A$3:$A$5001,AA$3,BD!$B$3:$B$5001,$A$155,BD!$H$3:$H$5001,"&lt;&gt;")=0,"",SUMIFS(BD!$H$3:$H$5001,BD!$A$3:$A$5001,AA$3,BD!$B$3:$B$5001,$A$155)))</f>
        <v/>
      </c>
      <c r="AB160" s="196" t="str">
        <f>IF(AB$3="","",IF(COUNTIFS(BD!$A$3:$A$5001,AB$3,BD!$B$3:$B$5001,$A$155,BD!$H$3:$H$5001,"&lt;&gt;")=0,"",SUMIFS(BD!$H$3:$H$5001,BD!$A$3:$A$5001,AB$3,BD!$B$3:$B$5001,$A$155)))</f>
        <v/>
      </c>
      <c r="AC160" s="196" t="str">
        <f>IF(AC$3="","",IF(COUNTIFS(BD!$A$3:$A$5001,AC$3,BD!$B$3:$B$5001,$A$155,BD!$H$3:$H$5001,"&lt;&gt;")=0,"",SUMIFS(BD!$H$3:$H$5001,BD!$A$3:$A$5001,AC$3,BD!$B$3:$B$5001,$A$155)))</f>
        <v/>
      </c>
      <c r="AD160" s="196" t="str">
        <f>IF(AD$3="","",IF(COUNTIFS(BD!$A$3:$A$5001,AD$3,BD!$B$3:$B$5001,$A$155,BD!$H$3:$H$5001,"&lt;&gt;")=0,"",SUMIFS(BD!$H$3:$H$5001,BD!$A$3:$A$5001,AD$3,BD!$B$3:$B$5001,$A$155)))</f>
        <v/>
      </c>
      <c r="AE160" s="196" t="str">
        <f>IF(AE$3="","",IF(COUNTIFS(BD!$A$3:$A$5001,AE$3,BD!$B$3:$B$5001,$A$155,BD!$H$3:$H$5001,"&lt;&gt;")=0,"",SUMIFS(BD!$H$3:$H$5001,BD!$A$3:$A$5001,AE$3,BD!$B$3:$B$5001,$A$155)))</f>
        <v/>
      </c>
      <c r="AF160" s="196" t="str">
        <f>IF(AF$3="","",IF(COUNTIFS(BD!$A$3:$A$5001,AF$3,BD!$B$3:$B$5001,$A$155,BD!$H$3:$H$5001,"&lt;&gt;")=0,"",SUMIFS(BD!$H$3:$H$5001,BD!$A$3:$A$5001,AF$3,BD!$B$3:$B$5001,$A$155)))</f>
        <v/>
      </c>
      <c r="AG160" s="196" t="str">
        <f>IF(AG$3="","",IF(COUNTIFS(BD!$A$3:$A$5001,AG$3,BD!$B$3:$B$5001,$A$155,BD!$H$3:$H$5001,"&lt;&gt;")=0,"",SUMIFS(BD!$H$3:$H$5001,BD!$A$3:$A$5001,AG$3,BD!$B$3:$B$5001,$A$155)))</f>
        <v/>
      </c>
      <c r="AH160" s="196" t="str">
        <f>IF(AH$3="","",IF(COUNTIFS(BD!$A$3:$A$5001,AH$3,BD!$B$3:$B$5001,$A$155,BD!$H$3:$H$5001,"&lt;&gt;")=0,"",SUMIFS(BD!$H$3:$H$5001,BD!$A$3:$A$5001,AH$3,BD!$B$3:$B$5001,$A$155)))</f>
        <v/>
      </c>
      <c r="AI160" s="196" t="str">
        <f>IF(AI$3="","",IF(COUNTIFS(BD!$A$3:$A$5001,AI$3,BD!$B$3:$B$5001,$A$155,BD!$H$3:$H$5001,"&lt;&gt;")=0,"",SUMIFS(BD!$H$3:$H$5001,BD!$A$3:$A$5001,AI$3,BD!$B$3:$B$5001,$A$155)))</f>
        <v/>
      </c>
      <c r="AJ160" s="197" t="str">
        <f>IF(AJ$3="","",IF(COUNTIFS(BD!$A$3:$A$5001,AJ$3,BD!$B$3:$B$5001,$A$155,BD!$H$3:$H$5001,"&lt;&gt;")=0,"",SUMIFS(BD!$H$3:$H$5001,BD!$A$3:$A$5001,AJ$3,BD!$B$3:$B$5001,$A$155)))</f>
        <v/>
      </c>
      <c r="AK160" s="198" t="str">
        <f>IF(COUNT(F160:AJ160)=0,"",SUM(F160:AJ160))</f>
        <v/>
      </c>
    </row>
    <row r="161" ht="15.75" customHeight="1" hidden="1">
      <c r="A161" s="277"/>
      <c r="B161" s="268"/>
      <c r="C161" s="199" t="inlineStr">
        <is>
          <t xml:space="preserve">Pallets Movimentados</t>
        </is>
      </c>
      <c r="D161" s="200" t="str">
        <f>IFERROR(1/(1/INDEX(BD!$AF$29:$AZ$29,MATCH($A$155,BD!$AF$22:$AZ$22,0))),"")</f>
        <v/>
      </c>
      <c r="E161" s="201"/>
      <c r="F161" s="202" t="str">
        <f>IF(F$3="","",IF(COUNTIFS(BD!$A$3:$A$5001,F$3,BD!$B$3:$B$5001,$A$155,BD!$I$3:$I$5001,"&lt;&gt;")=0,"",SUMIFS(BD!$I$3:$I$5001,BD!$A$3:$A$5001,F$3,BD!$B$3:$B$5001,$A$155)))</f>
        <v/>
      </c>
      <c r="G161" s="203" t="str">
        <f>IF(G$3="","",IF(COUNTIFS(BD!$A$3:$A$5001,G$3,BD!$B$3:$B$5001,$A$155,BD!$I$3:$I$5001,"&lt;&gt;")=0,"",SUMIFS(BD!$I$3:$I$5001,BD!$A$3:$A$5001,G$3,BD!$B$3:$B$5001,$A$155)))</f>
        <v/>
      </c>
      <c r="H161" s="203" t="str">
        <f>IF(H$3="","",IF(COUNTIFS(BD!$A$3:$A$5001,H$3,BD!$B$3:$B$5001,$A$155,BD!$I$3:$I$5001,"&lt;&gt;")=0,"",SUMIFS(BD!$I$3:$I$5001,BD!$A$3:$A$5001,H$3,BD!$B$3:$B$5001,$A$155)))</f>
        <v/>
      </c>
      <c r="I161" s="203" t="str">
        <f>IF(I$3="","",IF(COUNTIFS(BD!$A$3:$A$5001,I$3,BD!$B$3:$B$5001,$A$155,BD!$I$3:$I$5001,"&lt;&gt;")=0,"",SUMIFS(BD!$I$3:$I$5001,BD!$A$3:$A$5001,I$3,BD!$B$3:$B$5001,$A$155)))</f>
        <v/>
      </c>
      <c r="J161" s="203" t="str">
        <f>IF(J$3="","",IF(COUNTIFS(BD!$A$3:$A$5001,J$3,BD!$B$3:$B$5001,$A$155,BD!$I$3:$I$5001,"&lt;&gt;")=0,"",SUMIFS(BD!$I$3:$I$5001,BD!$A$3:$A$5001,J$3,BD!$B$3:$B$5001,$A$155)))</f>
        <v/>
      </c>
      <c r="K161" s="203" t="str">
        <f>IF(K$3="","",IF(COUNTIFS(BD!$A$3:$A$5001,K$3,BD!$B$3:$B$5001,$A$155,BD!$I$3:$I$5001,"&lt;&gt;")=0,"",SUMIFS(BD!$I$3:$I$5001,BD!$A$3:$A$5001,K$3,BD!$B$3:$B$5001,$A$155)))</f>
        <v/>
      </c>
      <c r="L161" s="203" t="str">
        <f>IF(L$3="","",IF(COUNTIFS(BD!$A$3:$A$5001,L$3,BD!$B$3:$B$5001,$A$155,BD!$I$3:$I$5001,"&lt;&gt;")=0,"",SUMIFS(BD!$I$3:$I$5001,BD!$A$3:$A$5001,L$3,BD!$B$3:$B$5001,$A$155)))</f>
        <v/>
      </c>
      <c r="M161" s="203" t="str">
        <f>IF(M$3="","",IF(COUNTIFS(BD!$A$3:$A$5001,M$3,BD!$B$3:$B$5001,$A$155,BD!$I$3:$I$5001,"&lt;&gt;")=0,"",SUMIFS(BD!$I$3:$I$5001,BD!$A$3:$A$5001,M$3,BD!$B$3:$B$5001,$A$155)))</f>
        <v/>
      </c>
      <c r="N161" s="203" t="str">
        <f>IF(N$3="","",IF(COUNTIFS(BD!$A$3:$A$5001,N$3,BD!$B$3:$B$5001,$A$155,BD!$I$3:$I$5001,"&lt;&gt;")=0,"",SUMIFS(BD!$I$3:$I$5001,BD!$A$3:$A$5001,N$3,BD!$B$3:$B$5001,$A$155)))</f>
        <v/>
      </c>
      <c r="O161" s="203" t="str">
        <f>IF(O$3="","",IF(COUNTIFS(BD!$A$3:$A$5001,O$3,BD!$B$3:$B$5001,$A$155,BD!$I$3:$I$5001,"&lt;&gt;")=0,"",SUMIFS(BD!$I$3:$I$5001,BD!$A$3:$A$5001,O$3,BD!$B$3:$B$5001,$A$155)))</f>
        <v/>
      </c>
      <c r="P161" s="203" t="str">
        <f>IF(P$3="","",IF(COUNTIFS(BD!$A$3:$A$5001,P$3,BD!$B$3:$B$5001,$A$155,BD!$I$3:$I$5001,"&lt;&gt;")=0,"",SUMIFS(BD!$I$3:$I$5001,BD!$A$3:$A$5001,P$3,BD!$B$3:$B$5001,$A$155)))</f>
        <v/>
      </c>
      <c r="Q161" s="203" t="str">
        <f>IF(Q$3="","",IF(COUNTIFS(BD!$A$3:$A$5001,Q$3,BD!$B$3:$B$5001,$A$155,BD!$I$3:$I$5001,"&lt;&gt;")=0,"",SUMIFS(BD!$I$3:$I$5001,BD!$A$3:$A$5001,Q$3,BD!$B$3:$B$5001,$A$155)))</f>
        <v/>
      </c>
      <c r="R161" s="203" t="str">
        <f>IF(R$3="","",IF(COUNTIFS(BD!$A$3:$A$5001,R$3,BD!$B$3:$B$5001,$A$155,BD!$I$3:$I$5001,"&lt;&gt;")=0,"",SUMIFS(BD!$I$3:$I$5001,BD!$A$3:$A$5001,R$3,BD!$B$3:$B$5001,$A$155)))</f>
        <v/>
      </c>
      <c r="S161" s="203" t="str">
        <f>IF(S$3="","",IF(COUNTIFS(BD!$A$3:$A$5001,S$3,BD!$B$3:$B$5001,$A$155,BD!$I$3:$I$5001,"&lt;&gt;")=0,"",SUMIFS(BD!$I$3:$I$5001,BD!$A$3:$A$5001,S$3,BD!$B$3:$B$5001,$A$155)))</f>
        <v/>
      </c>
      <c r="T161" s="203" t="str">
        <f>IF(T$3="","",IF(COUNTIFS(BD!$A$3:$A$5001,T$3,BD!$B$3:$B$5001,$A$155,BD!$I$3:$I$5001,"&lt;&gt;")=0,"",SUMIFS(BD!$I$3:$I$5001,BD!$A$3:$A$5001,T$3,BD!$B$3:$B$5001,$A$155)))</f>
        <v/>
      </c>
      <c r="U161" s="203" t="str">
        <f>IF(U$3="","",IF(COUNTIFS(BD!$A$3:$A$5001,U$3,BD!$B$3:$B$5001,$A$155,BD!$I$3:$I$5001,"&lt;&gt;")=0,"",SUMIFS(BD!$I$3:$I$5001,BD!$A$3:$A$5001,U$3,BD!$B$3:$B$5001,$A$155)))</f>
        <v/>
      </c>
      <c r="V161" s="203" t="str">
        <f>IF(V$3="","",IF(COUNTIFS(BD!$A$3:$A$5001,V$3,BD!$B$3:$B$5001,$A$155,BD!$I$3:$I$5001,"&lt;&gt;")=0,"",SUMIFS(BD!$I$3:$I$5001,BD!$A$3:$A$5001,V$3,BD!$B$3:$B$5001,$A$155)))</f>
        <v/>
      </c>
      <c r="W161" s="203" t="str">
        <f>IF(W$3="","",IF(COUNTIFS(BD!$A$3:$A$5001,W$3,BD!$B$3:$B$5001,$A$155,BD!$I$3:$I$5001,"&lt;&gt;")=0,"",SUMIFS(BD!$I$3:$I$5001,BD!$A$3:$A$5001,W$3,BD!$B$3:$B$5001,$A$155)))</f>
        <v/>
      </c>
      <c r="X161" s="203" t="str">
        <f>IF(X$3="","",IF(COUNTIFS(BD!$A$3:$A$5001,X$3,BD!$B$3:$B$5001,$A$155,BD!$I$3:$I$5001,"&lt;&gt;")=0,"",SUMIFS(BD!$I$3:$I$5001,BD!$A$3:$A$5001,X$3,BD!$B$3:$B$5001,$A$155)))</f>
        <v/>
      </c>
      <c r="Y161" s="203" t="str">
        <f>IF(Y$3="","",IF(COUNTIFS(BD!$A$3:$A$5001,Y$3,BD!$B$3:$B$5001,$A$155,BD!$I$3:$I$5001,"&lt;&gt;")=0,"",SUMIFS(BD!$I$3:$I$5001,BD!$A$3:$A$5001,Y$3,BD!$B$3:$B$5001,$A$155)))</f>
        <v/>
      </c>
      <c r="Z161" s="203" t="str">
        <f>IF(Z$3="","",IF(COUNTIFS(BD!$A$3:$A$5001,Z$3,BD!$B$3:$B$5001,$A$155,BD!$I$3:$I$5001,"&lt;&gt;")=0,"",SUMIFS(BD!$I$3:$I$5001,BD!$A$3:$A$5001,Z$3,BD!$B$3:$B$5001,$A$155)))</f>
        <v/>
      </c>
      <c r="AA161" s="203" t="str">
        <f>IF(AA$3="","",IF(COUNTIFS(BD!$A$3:$A$5001,AA$3,BD!$B$3:$B$5001,$A$155,BD!$I$3:$I$5001,"&lt;&gt;")=0,"",SUMIFS(BD!$I$3:$I$5001,BD!$A$3:$A$5001,AA$3,BD!$B$3:$B$5001,$A$155)))</f>
        <v/>
      </c>
      <c r="AB161" s="203" t="str">
        <f>IF(AB$3="","",IF(COUNTIFS(BD!$A$3:$A$5001,AB$3,BD!$B$3:$B$5001,$A$155,BD!$I$3:$I$5001,"&lt;&gt;")=0,"",SUMIFS(BD!$I$3:$I$5001,BD!$A$3:$A$5001,AB$3,BD!$B$3:$B$5001,$A$155)))</f>
        <v/>
      </c>
      <c r="AC161" s="203" t="str">
        <f>IF(AC$3="","",IF(COUNTIFS(BD!$A$3:$A$5001,AC$3,BD!$B$3:$B$5001,$A$155,BD!$I$3:$I$5001,"&lt;&gt;")=0,"",SUMIFS(BD!$I$3:$I$5001,BD!$A$3:$A$5001,AC$3,BD!$B$3:$B$5001,$A$155)))</f>
        <v/>
      </c>
      <c r="AD161" s="203" t="str">
        <f>IF(AD$3="","",IF(COUNTIFS(BD!$A$3:$A$5001,AD$3,BD!$B$3:$B$5001,$A$155,BD!$I$3:$I$5001,"&lt;&gt;")=0,"",SUMIFS(BD!$I$3:$I$5001,BD!$A$3:$A$5001,AD$3,BD!$B$3:$B$5001,$A$155)))</f>
        <v/>
      </c>
      <c r="AE161" s="203" t="str">
        <f>IF(AE$3="","",IF(COUNTIFS(BD!$A$3:$A$5001,AE$3,BD!$B$3:$B$5001,$A$155,BD!$I$3:$I$5001,"&lt;&gt;")=0,"",SUMIFS(BD!$I$3:$I$5001,BD!$A$3:$A$5001,AE$3,BD!$B$3:$B$5001,$A$155)))</f>
        <v/>
      </c>
      <c r="AF161" s="203" t="str">
        <f>IF(AF$3="","",IF(COUNTIFS(BD!$A$3:$A$5001,AF$3,BD!$B$3:$B$5001,$A$155,BD!$I$3:$I$5001,"&lt;&gt;")=0,"",SUMIFS(BD!$I$3:$I$5001,BD!$A$3:$A$5001,AF$3,BD!$B$3:$B$5001,$A$155)))</f>
        <v/>
      </c>
      <c r="AG161" s="203" t="str">
        <f>IF(AG$3="","",IF(COUNTIFS(BD!$A$3:$A$5001,AG$3,BD!$B$3:$B$5001,$A$155,BD!$I$3:$I$5001,"&lt;&gt;")=0,"",SUMIFS(BD!$I$3:$I$5001,BD!$A$3:$A$5001,AG$3,BD!$B$3:$B$5001,$A$155)))</f>
        <v/>
      </c>
      <c r="AH161" s="203" t="str">
        <f>IF(AH$3="","",IF(COUNTIFS(BD!$A$3:$A$5001,AH$3,BD!$B$3:$B$5001,$A$155,BD!$I$3:$I$5001,"&lt;&gt;")=0,"",SUMIFS(BD!$I$3:$I$5001,BD!$A$3:$A$5001,AH$3,BD!$B$3:$B$5001,$A$155)))</f>
        <v/>
      </c>
      <c r="AI161" s="203" t="str">
        <f>IF(AI$3="","",IF(COUNTIFS(BD!$A$3:$A$5001,AI$3,BD!$B$3:$B$5001,$A$155,BD!$I$3:$I$5001,"&lt;&gt;")=0,"",SUMIFS(BD!$I$3:$I$5001,BD!$A$3:$A$5001,AI$3,BD!$B$3:$B$5001,$A$155)))</f>
        <v/>
      </c>
      <c r="AJ161" s="204" t="str">
        <f>IF(AJ$3="","",IF(COUNTIFS(BD!$A$3:$A$5001,AJ$3,BD!$B$3:$B$5001,$A$155,BD!$I$3:$I$5001,"&lt;&gt;")=0,"",SUMIFS(BD!$I$3:$I$5001,BD!$A$3:$A$5001,AJ$3,BD!$B$3:$B$5001,$A$155)))</f>
        <v/>
      </c>
      <c r="AK161" s="205" t="str">
        <f>IF(COUNT(F161:AJ161)=0,"",SUM(F161:AJ161))</f>
        <v/>
      </c>
    </row>
    <row r="162" ht="15.75" customHeight="1" hidden="1">
      <c r="A162" s="277"/>
      <c r="B162" s="268"/>
      <c r="C162" s="199" t="inlineStr">
        <is>
          <t xml:space="preserve">Toneladas Movimentadas</t>
        </is>
      </c>
      <c r="D162" s="200" t="str">
        <f>IFERROR(1/(1/INDEX(BD!$AF$30:$AZ$30,MATCH($A$155,BD!$AF$22:$AZ$22,0))),"")</f>
        <v/>
      </c>
      <c r="E162" s="201"/>
      <c r="F162" s="206" t="str">
        <f>IF(F$3="","",IF(COUNTIFS(BD!$A$3:$A$5001,F$3,BD!$B$3:$B$5001,$A$155,BD!$J$3:$J$5001,"&lt;&gt;")=0,"",SUMIFS(BD!$J$3:$J$5001,BD!$A$3:$A$5001,F$3,BD!$B$3:$B$5001,$A$155)))</f>
        <v/>
      </c>
      <c r="G162" s="207" t="str">
        <f>IF(G$3="","",IF(COUNTIFS(BD!$A$3:$A$5001,G$3,BD!$B$3:$B$5001,$A$155,BD!$J$3:$J$5001,"&lt;&gt;")=0,"",SUMIFS(BD!$J$3:$J$5001,BD!$A$3:$A$5001,G$3,BD!$B$3:$B$5001,$A$155)))</f>
        <v/>
      </c>
      <c r="H162" s="207" t="str">
        <f>IF(H$3="","",IF(COUNTIFS(BD!$A$3:$A$5001,H$3,BD!$B$3:$B$5001,$A$155,BD!$J$3:$J$5001,"&lt;&gt;")=0,"",SUMIFS(BD!$J$3:$J$5001,BD!$A$3:$A$5001,H$3,BD!$B$3:$B$5001,$A$155)))</f>
        <v/>
      </c>
      <c r="I162" s="207" t="str">
        <f>IF(I$3="","",IF(COUNTIFS(BD!$A$3:$A$5001,I$3,BD!$B$3:$B$5001,$A$155,BD!$J$3:$J$5001,"&lt;&gt;")=0,"",SUMIFS(BD!$J$3:$J$5001,BD!$A$3:$A$5001,I$3,BD!$B$3:$B$5001,$A$155)))</f>
        <v/>
      </c>
      <c r="J162" s="207" t="str">
        <f>IF(J$3="","",IF(COUNTIFS(BD!$A$3:$A$5001,J$3,BD!$B$3:$B$5001,$A$155,BD!$J$3:$J$5001,"&lt;&gt;")=0,"",SUMIFS(BD!$J$3:$J$5001,BD!$A$3:$A$5001,J$3,BD!$B$3:$B$5001,$A$155)))</f>
        <v/>
      </c>
      <c r="K162" s="207" t="str">
        <f>IF(K$3="","",IF(COUNTIFS(BD!$A$3:$A$5001,K$3,BD!$B$3:$B$5001,$A$155,BD!$J$3:$J$5001,"&lt;&gt;")=0,"",SUMIFS(BD!$J$3:$J$5001,BD!$A$3:$A$5001,K$3,BD!$B$3:$B$5001,$A$155)))</f>
        <v/>
      </c>
      <c r="L162" s="207" t="str">
        <f>IF(L$3="","",IF(COUNTIFS(BD!$A$3:$A$5001,L$3,BD!$B$3:$B$5001,$A$155,BD!$J$3:$J$5001,"&lt;&gt;")=0,"",SUMIFS(BD!$J$3:$J$5001,BD!$A$3:$A$5001,L$3,BD!$B$3:$B$5001,$A$155)))</f>
        <v/>
      </c>
      <c r="M162" s="207" t="str">
        <f>IF(M$3="","",IF(COUNTIFS(BD!$A$3:$A$5001,M$3,BD!$B$3:$B$5001,$A$155,BD!$J$3:$J$5001,"&lt;&gt;")=0,"",SUMIFS(BD!$J$3:$J$5001,BD!$A$3:$A$5001,M$3,BD!$B$3:$B$5001,$A$155)))</f>
        <v/>
      </c>
      <c r="N162" s="207" t="str">
        <f>IF(N$3="","",IF(COUNTIFS(BD!$A$3:$A$5001,N$3,BD!$B$3:$B$5001,$A$155,BD!$J$3:$J$5001,"&lt;&gt;")=0,"",SUMIFS(BD!$J$3:$J$5001,BD!$A$3:$A$5001,N$3,BD!$B$3:$B$5001,$A$155)))</f>
        <v/>
      </c>
      <c r="O162" s="207" t="str">
        <f>IF(O$3="","",IF(COUNTIFS(BD!$A$3:$A$5001,O$3,BD!$B$3:$B$5001,$A$155,BD!$J$3:$J$5001,"&lt;&gt;")=0,"",SUMIFS(BD!$J$3:$J$5001,BD!$A$3:$A$5001,O$3,BD!$B$3:$B$5001,$A$155)))</f>
        <v/>
      </c>
      <c r="P162" s="207" t="str">
        <f>IF(P$3="","",IF(COUNTIFS(BD!$A$3:$A$5001,P$3,BD!$B$3:$B$5001,$A$155,BD!$J$3:$J$5001,"&lt;&gt;")=0,"",SUMIFS(BD!$J$3:$J$5001,BD!$A$3:$A$5001,P$3,BD!$B$3:$B$5001,$A$155)))</f>
        <v/>
      </c>
      <c r="Q162" s="207" t="str">
        <f>IF(Q$3="","",IF(COUNTIFS(BD!$A$3:$A$5001,Q$3,BD!$B$3:$B$5001,$A$155,BD!$J$3:$J$5001,"&lt;&gt;")=0,"",SUMIFS(BD!$J$3:$J$5001,BD!$A$3:$A$5001,Q$3,BD!$B$3:$B$5001,$A$155)))</f>
        <v/>
      </c>
      <c r="R162" s="207" t="str">
        <f>IF(R$3="","",IF(COUNTIFS(BD!$A$3:$A$5001,R$3,BD!$B$3:$B$5001,$A$155,BD!$J$3:$J$5001,"&lt;&gt;")=0,"",SUMIFS(BD!$J$3:$J$5001,BD!$A$3:$A$5001,R$3,BD!$B$3:$B$5001,$A$155)))</f>
        <v/>
      </c>
      <c r="S162" s="207" t="str">
        <f>IF(S$3="","",IF(COUNTIFS(BD!$A$3:$A$5001,S$3,BD!$B$3:$B$5001,$A$155,BD!$J$3:$J$5001,"&lt;&gt;")=0,"",SUMIFS(BD!$J$3:$J$5001,BD!$A$3:$A$5001,S$3,BD!$B$3:$B$5001,$A$155)))</f>
        <v/>
      </c>
      <c r="T162" s="207" t="str">
        <f>IF(T$3="","",IF(COUNTIFS(BD!$A$3:$A$5001,T$3,BD!$B$3:$B$5001,$A$155,BD!$J$3:$J$5001,"&lt;&gt;")=0,"",SUMIFS(BD!$J$3:$J$5001,BD!$A$3:$A$5001,T$3,BD!$B$3:$B$5001,$A$155)))</f>
        <v/>
      </c>
      <c r="U162" s="207" t="str">
        <f>IF(U$3="","",IF(COUNTIFS(BD!$A$3:$A$5001,U$3,BD!$B$3:$B$5001,$A$155,BD!$J$3:$J$5001,"&lt;&gt;")=0,"",SUMIFS(BD!$J$3:$J$5001,BD!$A$3:$A$5001,U$3,BD!$B$3:$B$5001,$A$155)))</f>
        <v/>
      </c>
      <c r="V162" s="207" t="str">
        <f>IF(V$3="","",IF(COUNTIFS(BD!$A$3:$A$5001,V$3,BD!$B$3:$B$5001,$A$155,BD!$J$3:$J$5001,"&lt;&gt;")=0,"",SUMIFS(BD!$J$3:$J$5001,BD!$A$3:$A$5001,V$3,BD!$B$3:$B$5001,$A$155)))</f>
        <v/>
      </c>
      <c r="W162" s="207" t="str">
        <f>IF(W$3="","",IF(COUNTIFS(BD!$A$3:$A$5001,W$3,BD!$B$3:$B$5001,$A$155,BD!$J$3:$J$5001,"&lt;&gt;")=0,"",SUMIFS(BD!$J$3:$J$5001,BD!$A$3:$A$5001,W$3,BD!$B$3:$B$5001,$A$155)))</f>
        <v/>
      </c>
      <c r="X162" s="207" t="str">
        <f>IF(X$3="","",IF(COUNTIFS(BD!$A$3:$A$5001,X$3,BD!$B$3:$B$5001,$A$155,BD!$J$3:$J$5001,"&lt;&gt;")=0,"",SUMIFS(BD!$J$3:$J$5001,BD!$A$3:$A$5001,X$3,BD!$B$3:$B$5001,$A$155)))</f>
        <v/>
      </c>
      <c r="Y162" s="207" t="str">
        <f>IF(Y$3="","",IF(COUNTIFS(BD!$A$3:$A$5001,Y$3,BD!$B$3:$B$5001,$A$155,BD!$J$3:$J$5001,"&lt;&gt;")=0,"",SUMIFS(BD!$J$3:$J$5001,BD!$A$3:$A$5001,Y$3,BD!$B$3:$B$5001,$A$155)))</f>
        <v/>
      </c>
      <c r="Z162" s="207" t="str">
        <f>IF(Z$3="","",IF(COUNTIFS(BD!$A$3:$A$5001,Z$3,BD!$B$3:$B$5001,$A$155,BD!$J$3:$J$5001,"&lt;&gt;")=0,"",SUMIFS(BD!$J$3:$J$5001,BD!$A$3:$A$5001,Z$3,BD!$B$3:$B$5001,$A$155)))</f>
        <v/>
      </c>
      <c r="AA162" s="207" t="str">
        <f>IF(AA$3="","",IF(COUNTIFS(BD!$A$3:$A$5001,AA$3,BD!$B$3:$B$5001,$A$155,BD!$J$3:$J$5001,"&lt;&gt;")=0,"",SUMIFS(BD!$J$3:$J$5001,BD!$A$3:$A$5001,AA$3,BD!$B$3:$B$5001,$A$155)))</f>
        <v/>
      </c>
      <c r="AB162" s="207" t="str">
        <f>IF(AB$3="","",IF(COUNTIFS(BD!$A$3:$A$5001,AB$3,BD!$B$3:$B$5001,$A$155,BD!$J$3:$J$5001,"&lt;&gt;")=0,"",SUMIFS(BD!$J$3:$J$5001,BD!$A$3:$A$5001,AB$3,BD!$B$3:$B$5001,$A$155)))</f>
        <v/>
      </c>
      <c r="AC162" s="207" t="str">
        <f>IF(AC$3="","",IF(COUNTIFS(BD!$A$3:$A$5001,AC$3,BD!$B$3:$B$5001,$A$155,BD!$J$3:$J$5001,"&lt;&gt;")=0,"",SUMIFS(BD!$J$3:$J$5001,BD!$A$3:$A$5001,AC$3,BD!$B$3:$B$5001,$A$155)))</f>
        <v/>
      </c>
      <c r="AD162" s="207" t="str">
        <f>IF(AD$3="","",IF(COUNTIFS(BD!$A$3:$A$5001,AD$3,BD!$B$3:$B$5001,$A$155,BD!$J$3:$J$5001,"&lt;&gt;")=0,"",SUMIFS(BD!$J$3:$J$5001,BD!$A$3:$A$5001,AD$3,BD!$B$3:$B$5001,$A$155)))</f>
        <v/>
      </c>
      <c r="AE162" s="207" t="str">
        <f>IF(AE$3="","",IF(COUNTIFS(BD!$A$3:$A$5001,AE$3,BD!$B$3:$B$5001,$A$155,BD!$J$3:$J$5001,"&lt;&gt;")=0,"",SUMIFS(BD!$J$3:$J$5001,BD!$A$3:$A$5001,AE$3,BD!$B$3:$B$5001,$A$155)))</f>
        <v/>
      </c>
      <c r="AF162" s="207" t="str">
        <f>IF(AF$3="","",IF(COUNTIFS(BD!$A$3:$A$5001,AF$3,BD!$B$3:$B$5001,$A$155,BD!$J$3:$J$5001,"&lt;&gt;")=0,"",SUMIFS(BD!$J$3:$J$5001,BD!$A$3:$A$5001,AF$3,BD!$B$3:$B$5001,$A$155)))</f>
        <v/>
      </c>
      <c r="AG162" s="207" t="str">
        <f>IF(AG$3="","",IF(COUNTIFS(BD!$A$3:$A$5001,AG$3,BD!$B$3:$B$5001,$A$155,BD!$J$3:$J$5001,"&lt;&gt;")=0,"",SUMIFS(BD!$J$3:$J$5001,BD!$A$3:$A$5001,AG$3,BD!$B$3:$B$5001,$A$155)))</f>
        <v/>
      </c>
      <c r="AH162" s="207" t="str">
        <f>IF(AH$3="","",IF(COUNTIFS(BD!$A$3:$A$5001,AH$3,BD!$B$3:$B$5001,$A$155,BD!$J$3:$J$5001,"&lt;&gt;")=0,"",SUMIFS(BD!$J$3:$J$5001,BD!$A$3:$A$5001,AH$3,BD!$B$3:$B$5001,$A$155)))</f>
        <v/>
      </c>
      <c r="AI162" s="207" t="str">
        <f>IF(AI$3="","",IF(COUNTIFS(BD!$A$3:$A$5001,AI$3,BD!$B$3:$B$5001,$A$155,BD!$J$3:$J$5001,"&lt;&gt;")=0,"",SUMIFS(BD!$J$3:$J$5001,BD!$A$3:$A$5001,AI$3,BD!$B$3:$B$5001,$A$155)))</f>
        <v/>
      </c>
      <c r="AJ162" s="208" t="str">
        <f>IF(AJ$3="","",IF(COUNTIFS(BD!$A$3:$A$5001,AJ$3,BD!$B$3:$B$5001,$A$155,BD!$J$3:$J$5001,"&lt;&gt;")=0,"",SUMIFS(BD!$J$3:$J$5001,BD!$A$3:$A$5001,AJ$3,BD!$B$3:$B$5001,$A$155)))</f>
        <v/>
      </c>
      <c r="AK162" s="209" t="str">
        <f>IF(COUNT(F162:AJ162)=0,"",SUM(F162:AJ162))</f>
        <v/>
      </c>
    </row>
    <row r="163" ht="15.75" customHeight="1" hidden="1">
      <c r="A163" s="277"/>
      <c r="B163" s="268"/>
      <c r="C163" s="199" t="inlineStr">
        <is>
          <t xml:space="preserve">Caixas Expedidas</t>
        </is>
      </c>
      <c r="D163" s="200" t="str">
        <f>IFERROR(1/(1/INDEX(BD!$AF$31:$AZ$31,MATCH($A$155,BD!$AF$22:$AZ$22,0))),"")</f>
        <v/>
      </c>
      <c r="E163" s="201"/>
      <c r="F163" s="202" t="str">
        <f>IF(F$3="","",IF(COUNTIFS(BD!$A$3:$A$5001,F$3,BD!$B$3:$B$5001,$A$155,BD!$K$3:$K$5001,"&lt;&gt;")=0,"",SUMIFS(BD!$K$3:$K$5001,BD!$A$3:$A$5001,F$3,BD!$B$3:$B$5001,$A$155)))</f>
        <v/>
      </c>
      <c r="G163" s="203" t="str">
        <f>IF(G$3="","",IF(COUNTIFS(BD!$A$3:$A$5001,G$3,BD!$B$3:$B$5001,$A$155,BD!$K$3:$K$5001,"&lt;&gt;")=0,"",SUMIFS(BD!$K$3:$K$5001,BD!$A$3:$A$5001,G$3,BD!$B$3:$B$5001,$A$155)))</f>
        <v/>
      </c>
      <c r="H163" s="203" t="str">
        <f>IF(H$3="","",IF(COUNTIFS(BD!$A$3:$A$5001,H$3,BD!$B$3:$B$5001,$A$155,BD!$K$3:$K$5001,"&lt;&gt;")=0,"",SUMIFS(BD!$K$3:$K$5001,BD!$A$3:$A$5001,H$3,BD!$B$3:$B$5001,$A$155)))</f>
        <v/>
      </c>
      <c r="I163" s="203" t="str">
        <f>IF(I$3="","",IF(COUNTIFS(BD!$A$3:$A$5001,I$3,BD!$B$3:$B$5001,$A$155,BD!$K$3:$K$5001,"&lt;&gt;")=0,"",SUMIFS(BD!$K$3:$K$5001,BD!$A$3:$A$5001,I$3,BD!$B$3:$B$5001,$A$155)))</f>
        <v/>
      </c>
      <c r="J163" s="203" t="str">
        <f>IF(J$3="","",IF(COUNTIFS(BD!$A$3:$A$5001,J$3,BD!$B$3:$B$5001,$A$155,BD!$K$3:$K$5001,"&lt;&gt;")=0,"",SUMIFS(BD!$K$3:$K$5001,BD!$A$3:$A$5001,J$3,BD!$B$3:$B$5001,$A$155)))</f>
        <v/>
      </c>
      <c r="K163" s="203" t="str">
        <f>IF(K$3="","",IF(COUNTIFS(BD!$A$3:$A$5001,K$3,BD!$B$3:$B$5001,$A$155,BD!$K$3:$K$5001,"&lt;&gt;")=0,"",SUMIFS(BD!$K$3:$K$5001,BD!$A$3:$A$5001,K$3,BD!$B$3:$B$5001,$A$155)))</f>
        <v/>
      </c>
      <c r="L163" s="203" t="str">
        <f>IF(L$3="","",IF(COUNTIFS(BD!$A$3:$A$5001,L$3,BD!$B$3:$B$5001,$A$155,BD!$K$3:$K$5001,"&lt;&gt;")=0,"",SUMIFS(BD!$K$3:$K$5001,BD!$A$3:$A$5001,L$3,BD!$B$3:$B$5001,$A$155)))</f>
        <v/>
      </c>
      <c r="M163" s="203" t="str">
        <f>IF(M$3="","",IF(COUNTIFS(BD!$A$3:$A$5001,M$3,BD!$B$3:$B$5001,$A$155,BD!$K$3:$K$5001,"&lt;&gt;")=0,"",SUMIFS(BD!$K$3:$K$5001,BD!$A$3:$A$5001,M$3,BD!$B$3:$B$5001,$A$155)))</f>
        <v/>
      </c>
      <c r="N163" s="203" t="str">
        <f>IF(N$3="","",IF(COUNTIFS(BD!$A$3:$A$5001,N$3,BD!$B$3:$B$5001,$A$155,BD!$K$3:$K$5001,"&lt;&gt;")=0,"",SUMIFS(BD!$K$3:$K$5001,BD!$A$3:$A$5001,N$3,BD!$B$3:$B$5001,$A$155)))</f>
        <v/>
      </c>
      <c r="O163" s="203" t="str">
        <f>IF(O$3="","",IF(COUNTIFS(BD!$A$3:$A$5001,O$3,BD!$B$3:$B$5001,$A$155,BD!$K$3:$K$5001,"&lt;&gt;")=0,"",SUMIFS(BD!$K$3:$K$5001,BD!$A$3:$A$5001,O$3,BD!$B$3:$B$5001,$A$155)))</f>
        <v/>
      </c>
      <c r="P163" s="203" t="str">
        <f>IF(P$3="","",IF(COUNTIFS(BD!$A$3:$A$5001,P$3,BD!$B$3:$B$5001,$A$155,BD!$K$3:$K$5001,"&lt;&gt;")=0,"",SUMIFS(BD!$K$3:$K$5001,BD!$A$3:$A$5001,P$3,BD!$B$3:$B$5001,$A$155)))</f>
        <v/>
      </c>
      <c r="Q163" s="203" t="str">
        <f>IF(Q$3="","",IF(COUNTIFS(BD!$A$3:$A$5001,Q$3,BD!$B$3:$B$5001,$A$155,BD!$K$3:$K$5001,"&lt;&gt;")=0,"",SUMIFS(BD!$K$3:$K$5001,BD!$A$3:$A$5001,Q$3,BD!$B$3:$B$5001,$A$155)))</f>
        <v/>
      </c>
      <c r="R163" s="203" t="str">
        <f>IF(R$3="","",IF(COUNTIFS(BD!$A$3:$A$5001,R$3,BD!$B$3:$B$5001,$A$155,BD!$K$3:$K$5001,"&lt;&gt;")=0,"",SUMIFS(BD!$K$3:$K$5001,BD!$A$3:$A$5001,R$3,BD!$B$3:$B$5001,$A$155)))</f>
        <v/>
      </c>
      <c r="S163" s="203" t="str">
        <f>IF(S$3="","",IF(COUNTIFS(BD!$A$3:$A$5001,S$3,BD!$B$3:$B$5001,$A$155,BD!$K$3:$K$5001,"&lt;&gt;")=0,"",SUMIFS(BD!$K$3:$K$5001,BD!$A$3:$A$5001,S$3,BD!$B$3:$B$5001,$A$155)))</f>
        <v/>
      </c>
      <c r="T163" s="203" t="str">
        <f>IF(T$3="","",IF(COUNTIFS(BD!$A$3:$A$5001,T$3,BD!$B$3:$B$5001,$A$155,BD!$K$3:$K$5001,"&lt;&gt;")=0,"",SUMIFS(BD!$K$3:$K$5001,BD!$A$3:$A$5001,T$3,BD!$B$3:$B$5001,$A$155)))</f>
        <v/>
      </c>
      <c r="U163" s="203" t="str">
        <f>IF(U$3="","",IF(COUNTIFS(BD!$A$3:$A$5001,U$3,BD!$B$3:$B$5001,$A$155,BD!$K$3:$K$5001,"&lt;&gt;")=0,"",SUMIFS(BD!$K$3:$K$5001,BD!$A$3:$A$5001,U$3,BD!$B$3:$B$5001,$A$155)))</f>
        <v/>
      </c>
      <c r="V163" s="203" t="str">
        <f>IF(V$3="","",IF(COUNTIFS(BD!$A$3:$A$5001,V$3,BD!$B$3:$B$5001,$A$155,BD!$K$3:$K$5001,"&lt;&gt;")=0,"",SUMIFS(BD!$K$3:$K$5001,BD!$A$3:$A$5001,V$3,BD!$B$3:$B$5001,$A$155)))</f>
        <v/>
      </c>
      <c r="W163" s="203" t="str">
        <f>IF(W$3="","",IF(COUNTIFS(BD!$A$3:$A$5001,W$3,BD!$B$3:$B$5001,$A$155,BD!$K$3:$K$5001,"&lt;&gt;")=0,"",SUMIFS(BD!$K$3:$K$5001,BD!$A$3:$A$5001,W$3,BD!$B$3:$B$5001,$A$155)))</f>
        <v/>
      </c>
      <c r="X163" s="203" t="str">
        <f>IF(X$3="","",IF(COUNTIFS(BD!$A$3:$A$5001,X$3,BD!$B$3:$B$5001,$A$155,BD!$K$3:$K$5001,"&lt;&gt;")=0,"",SUMIFS(BD!$K$3:$K$5001,BD!$A$3:$A$5001,X$3,BD!$B$3:$B$5001,$A$155)))</f>
        <v/>
      </c>
      <c r="Y163" s="203" t="str">
        <f>IF(Y$3="","",IF(COUNTIFS(BD!$A$3:$A$5001,Y$3,BD!$B$3:$B$5001,$A$155,BD!$K$3:$K$5001,"&lt;&gt;")=0,"",SUMIFS(BD!$K$3:$K$5001,BD!$A$3:$A$5001,Y$3,BD!$B$3:$B$5001,$A$155)))</f>
        <v/>
      </c>
      <c r="Z163" s="203" t="str">
        <f>IF(Z$3="","",IF(COUNTIFS(BD!$A$3:$A$5001,Z$3,BD!$B$3:$B$5001,$A$155,BD!$K$3:$K$5001,"&lt;&gt;")=0,"",SUMIFS(BD!$K$3:$K$5001,BD!$A$3:$A$5001,Z$3,BD!$B$3:$B$5001,$A$155)))</f>
        <v/>
      </c>
      <c r="AA163" s="203" t="str">
        <f>IF(AA$3="","",IF(COUNTIFS(BD!$A$3:$A$5001,AA$3,BD!$B$3:$B$5001,$A$155,BD!$K$3:$K$5001,"&lt;&gt;")=0,"",SUMIFS(BD!$K$3:$K$5001,BD!$A$3:$A$5001,AA$3,BD!$B$3:$B$5001,$A$155)))</f>
        <v/>
      </c>
      <c r="AB163" s="203" t="str">
        <f>IF(AB$3="","",IF(COUNTIFS(BD!$A$3:$A$5001,AB$3,BD!$B$3:$B$5001,$A$155,BD!$K$3:$K$5001,"&lt;&gt;")=0,"",SUMIFS(BD!$K$3:$K$5001,BD!$A$3:$A$5001,AB$3,BD!$B$3:$B$5001,$A$155)))</f>
        <v/>
      </c>
      <c r="AC163" s="203" t="str">
        <f>IF(AC$3="","",IF(COUNTIFS(BD!$A$3:$A$5001,AC$3,BD!$B$3:$B$5001,$A$155,BD!$K$3:$K$5001,"&lt;&gt;")=0,"",SUMIFS(BD!$K$3:$K$5001,BD!$A$3:$A$5001,AC$3,BD!$B$3:$B$5001,$A$155)))</f>
        <v/>
      </c>
      <c r="AD163" s="203" t="str">
        <f>IF(AD$3="","",IF(COUNTIFS(BD!$A$3:$A$5001,AD$3,BD!$B$3:$B$5001,$A$155,BD!$K$3:$K$5001,"&lt;&gt;")=0,"",SUMIFS(BD!$K$3:$K$5001,BD!$A$3:$A$5001,AD$3,BD!$B$3:$B$5001,$A$155)))</f>
        <v/>
      </c>
      <c r="AE163" s="203" t="str">
        <f>IF(AE$3="","",IF(COUNTIFS(BD!$A$3:$A$5001,AE$3,BD!$B$3:$B$5001,$A$155,BD!$K$3:$K$5001,"&lt;&gt;")=0,"",SUMIFS(BD!$K$3:$K$5001,BD!$A$3:$A$5001,AE$3,BD!$B$3:$B$5001,$A$155)))</f>
        <v/>
      </c>
      <c r="AF163" s="203" t="str">
        <f>IF(AF$3="","",IF(COUNTIFS(BD!$A$3:$A$5001,AF$3,BD!$B$3:$B$5001,$A$155,BD!$K$3:$K$5001,"&lt;&gt;")=0,"",SUMIFS(BD!$K$3:$K$5001,BD!$A$3:$A$5001,AF$3,BD!$B$3:$B$5001,$A$155)))</f>
        <v/>
      </c>
      <c r="AG163" s="203" t="str">
        <f>IF(AG$3="","",IF(COUNTIFS(BD!$A$3:$A$5001,AG$3,BD!$B$3:$B$5001,$A$155,BD!$K$3:$K$5001,"&lt;&gt;")=0,"",SUMIFS(BD!$K$3:$K$5001,BD!$A$3:$A$5001,AG$3,BD!$B$3:$B$5001,$A$155)))</f>
        <v/>
      </c>
      <c r="AH163" s="203" t="str">
        <f>IF(AH$3="","",IF(COUNTIFS(BD!$A$3:$A$5001,AH$3,BD!$B$3:$B$5001,$A$155,BD!$K$3:$K$5001,"&lt;&gt;")=0,"",SUMIFS(BD!$K$3:$K$5001,BD!$A$3:$A$5001,AH$3,BD!$B$3:$B$5001,$A$155)))</f>
        <v/>
      </c>
      <c r="AI163" s="203" t="str">
        <f>IF(AI$3="","",IF(COUNTIFS(BD!$A$3:$A$5001,AI$3,BD!$B$3:$B$5001,$A$155,BD!$K$3:$K$5001,"&lt;&gt;")=0,"",SUMIFS(BD!$K$3:$K$5001,BD!$A$3:$A$5001,AI$3,BD!$B$3:$B$5001,$A$155)))</f>
        <v/>
      </c>
      <c r="AJ163" s="204" t="str">
        <f>IF(AJ$3="","",IF(COUNTIFS(BD!$A$3:$A$5001,AJ$3,BD!$B$3:$B$5001,$A$155,BD!$K$3:$K$5001,"&lt;&gt;")=0,"",SUMIFS(BD!$K$3:$K$5001,BD!$A$3:$A$5001,AJ$3,BD!$B$3:$B$5001,$A$155)))</f>
        <v/>
      </c>
      <c r="AK163" s="205" t="str">
        <f>IF(COUNT(F163:AJ163)=0,"",SUM(F163:AJ163))</f>
        <v/>
      </c>
    </row>
    <row r="164" ht="15.75" customHeight="1" hidden="1">
      <c r="A164" s="277"/>
      <c r="B164" s="268"/>
      <c r="C164" s="199" t="inlineStr">
        <is>
          <t xml:space="preserve">Pedidos Faturados</t>
        </is>
      </c>
      <c r="D164" s="200" t="str">
        <f>IFERROR(1/(1/INDEX(BD!$AF$32:$AZ$32,MATCH($A$155,BD!$AF$22:$AZ$22,0))),"")</f>
        <v/>
      </c>
      <c r="E164" s="201"/>
      <c r="F164" s="202" t="str">
        <f>IF(F$3="","",IF(COUNTIFS(BD!$A$3:$A$5001,F$3,BD!$B$3:$B$5001,$A$155,BD!$L$3:$L$5001,"&lt;&gt;")=0,"",SUMIFS(BD!$L$3:$L$5001,BD!$A$3:$A$5001,F$3,BD!$B$3:$B$5001,$A$155)))</f>
        <v/>
      </c>
      <c r="G164" s="203" t="str">
        <f>IF(G$3="","",IF(COUNTIFS(BD!$A$3:$A$5001,G$3,BD!$B$3:$B$5001,$A$155,BD!$L$3:$L$5001,"&lt;&gt;")=0,"",SUMIFS(BD!$L$3:$L$5001,BD!$A$3:$A$5001,G$3,BD!$B$3:$B$5001,$A$155)))</f>
        <v/>
      </c>
      <c r="H164" s="203" t="str">
        <f>IF(H$3="","",IF(COUNTIFS(BD!$A$3:$A$5001,H$3,BD!$B$3:$B$5001,$A$155,BD!$L$3:$L$5001,"&lt;&gt;")=0,"",SUMIFS(BD!$L$3:$L$5001,BD!$A$3:$A$5001,H$3,BD!$B$3:$B$5001,$A$155)))</f>
        <v/>
      </c>
      <c r="I164" s="203" t="str">
        <f>IF(I$3="","",IF(COUNTIFS(BD!$A$3:$A$5001,I$3,BD!$B$3:$B$5001,$A$155,BD!$L$3:$L$5001,"&lt;&gt;")=0,"",SUMIFS(BD!$L$3:$L$5001,BD!$A$3:$A$5001,I$3,BD!$B$3:$B$5001,$A$155)))</f>
        <v/>
      </c>
      <c r="J164" s="203" t="str">
        <f>IF(J$3="","",IF(COUNTIFS(BD!$A$3:$A$5001,J$3,BD!$B$3:$B$5001,$A$155,BD!$L$3:$L$5001,"&lt;&gt;")=0,"",SUMIFS(BD!$L$3:$L$5001,BD!$A$3:$A$5001,J$3,BD!$B$3:$B$5001,$A$155)))</f>
        <v/>
      </c>
      <c r="K164" s="203" t="str">
        <f>IF(K$3="","",IF(COUNTIFS(BD!$A$3:$A$5001,K$3,BD!$B$3:$B$5001,$A$155,BD!$L$3:$L$5001,"&lt;&gt;")=0,"",SUMIFS(BD!$L$3:$L$5001,BD!$A$3:$A$5001,K$3,BD!$B$3:$B$5001,$A$155)))</f>
        <v/>
      </c>
      <c r="L164" s="203" t="str">
        <f>IF(L$3="","",IF(COUNTIFS(BD!$A$3:$A$5001,L$3,BD!$B$3:$B$5001,$A$155,BD!$L$3:$L$5001,"&lt;&gt;")=0,"",SUMIFS(BD!$L$3:$L$5001,BD!$A$3:$A$5001,L$3,BD!$B$3:$B$5001,$A$155)))</f>
        <v/>
      </c>
      <c r="M164" s="203" t="str">
        <f>IF(M$3="","",IF(COUNTIFS(BD!$A$3:$A$5001,M$3,BD!$B$3:$B$5001,$A$155,BD!$L$3:$L$5001,"&lt;&gt;")=0,"",SUMIFS(BD!$L$3:$L$5001,BD!$A$3:$A$5001,M$3,BD!$B$3:$B$5001,$A$155)))</f>
        <v/>
      </c>
      <c r="N164" s="203" t="str">
        <f>IF(N$3="","",IF(COUNTIFS(BD!$A$3:$A$5001,N$3,BD!$B$3:$B$5001,$A$155,BD!$L$3:$L$5001,"&lt;&gt;")=0,"",SUMIFS(BD!$L$3:$L$5001,BD!$A$3:$A$5001,N$3,BD!$B$3:$B$5001,$A$155)))</f>
        <v/>
      </c>
      <c r="O164" s="203" t="str">
        <f>IF(O$3="","",IF(COUNTIFS(BD!$A$3:$A$5001,O$3,BD!$B$3:$B$5001,$A$155,BD!$L$3:$L$5001,"&lt;&gt;")=0,"",SUMIFS(BD!$L$3:$L$5001,BD!$A$3:$A$5001,O$3,BD!$B$3:$B$5001,$A$155)))</f>
        <v/>
      </c>
      <c r="P164" s="203" t="str">
        <f>IF(P$3="","",IF(COUNTIFS(BD!$A$3:$A$5001,P$3,BD!$B$3:$B$5001,$A$155,BD!$L$3:$L$5001,"&lt;&gt;")=0,"",SUMIFS(BD!$L$3:$L$5001,BD!$A$3:$A$5001,P$3,BD!$B$3:$B$5001,$A$155)))</f>
        <v/>
      </c>
      <c r="Q164" s="203" t="str">
        <f>IF(Q$3="","",IF(COUNTIFS(BD!$A$3:$A$5001,Q$3,BD!$B$3:$B$5001,$A$155,BD!$L$3:$L$5001,"&lt;&gt;")=0,"",SUMIFS(BD!$L$3:$L$5001,BD!$A$3:$A$5001,Q$3,BD!$B$3:$B$5001,$A$155)))</f>
        <v/>
      </c>
      <c r="R164" s="203" t="str">
        <f>IF(R$3="","",IF(COUNTIFS(BD!$A$3:$A$5001,R$3,BD!$B$3:$B$5001,$A$155,BD!$L$3:$L$5001,"&lt;&gt;")=0,"",SUMIFS(BD!$L$3:$L$5001,BD!$A$3:$A$5001,R$3,BD!$B$3:$B$5001,$A$155)))</f>
        <v/>
      </c>
      <c r="S164" s="203" t="str">
        <f>IF(S$3="","",IF(COUNTIFS(BD!$A$3:$A$5001,S$3,BD!$B$3:$B$5001,$A$155,BD!$L$3:$L$5001,"&lt;&gt;")=0,"",SUMIFS(BD!$L$3:$L$5001,BD!$A$3:$A$5001,S$3,BD!$B$3:$B$5001,$A$155)))</f>
        <v/>
      </c>
      <c r="T164" s="203" t="str">
        <f>IF(T$3="","",IF(COUNTIFS(BD!$A$3:$A$5001,T$3,BD!$B$3:$B$5001,$A$155,BD!$L$3:$L$5001,"&lt;&gt;")=0,"",SUMIFS(BD!$L$3:$L$5001,BD!$A$3:$A$5001,T$3,BD!$B$3:$B$5001,$A$155)))</f>
        <v/>
      </c>
      <c r="U164" s="203" t="str">
        <f>IF(U$3="","",IF(COUNTIFS(BD!$A$3:$A$5001,U$3,BD!$B$3:$B$5001,$A$155,BD!$L$3:$L$5001,"&lt;&gt;")=0,"",SUMIFS(BD!$L$3:$L$5001,BD!$A$3:$A$5001,U$3,BD!$B$3:$B$5001,$A$155)))</f>
        <v/>
      </c>
      <c r="V164" s="203" t="str">
        <f>IF(V$3="","",IF(COUNTIFS(BD!$A$3:$A$5001,V$3,BD!$B$3:$B$5001,$A$155,BD!$L$3:$L$5001,"&lt;&gt;")=0,"",SUMIFS(BD!$L$3:$L$5001,BD!$A$3:$A$5001,V$3,BD!$B$3:$B$5001,$A$155)))</f>
        <v/>
      </c>
      <c r="W164" s="203" t="str">
        <f>IF(W$3="","",IF(COUNTIFS(BD!$A$3:$A$5001,W$3,BD!$B$3:$B$5001,$A$155,BD!$L$3:$L$5001,"&lt;&gt;")=0,"",SUMIFS(BD!$L$3:$L$5001,BD!$A$3:$A$5001,W$3,BD!$B$3:$B$5001,$A$155)))</f>
        <v/>
      </c>
      <c r="X164" s="203" t="str">
        <f>IF(X$3="","",IF(COUNTIFS(BD!$A$3:$A$5001,X$3,BD!$B$3:$B$5001,$A$155,BD!$L$3:$L$5001,"&lt;&gt;")=0,"",SUMIFS(BD!$L$3:$L$5001,BD!$A$3:$A$5001,X$3,BD!$B$3:$B$5001,$A$155)))</f>
        <v/>
      </c>
      <c r="Y164" s="203" t="str">
        <f>IF(Y$3="","",IF(COUNTIFS(BD!$A$3:$A$5001,Y$3,BD!$B$3:$B$5001,$A$155,BD!$L$3:$L$5001,"&lt;&gt;")=0,"",SUMIFS(BD!$L$3:$L$5001,BD!$A$3:$A$5001,Y$3,BD!$B$3:$B$5001,$A$155)))</f>
        <v/>
      </c>
      <c r="Z164" s="203" t="str">
        <f>IF(Z$3="","",IF(COUNTIFS(BD!$A$3:$A$5001,Z$3,BD!$B$3:$B$5001,$A$155,BD!$L$3:$L$5001,"&lt;&gt;")=0,"",SUMIFS(BD!$L$3:$L$5001,BD!$A$3:$A$5001,Z$3,BD!$B$3:$B$5001,$A$155)))</f>
        <v/>
      </c>
      <c r="AA164" s="203" t="str">
        <f>IF(AA$3="","",IF(COUNTIFS(BD!$A$3:$A$5001,AA$3,BD!$B$3:$B$5001,$A$155,BD!$L$3:$L$5001,"&lt;&gt;")=0,"",SUMIFS(BD!$L$3:$L$5001,BD!$A$3:$A$5001,AA$3,BD!$B$3:$B$5001,$A$155)))</f>
        <v/>
      </c>
      <c r="AB164" s="203" t="str">
        <f>IF(AB$3="","",IF(COUNTIFS(BD!$A$3:$A$5001,AB$3,BD!$B$3:$B$5001,$A$155,BD!$L$3:$L$5001,"&lt;&gt;")=0,"",SUMIFS(BD!$L$3:$L$5001,BD!$A$3:$A$5001,AB$3,BD!$B$3:$B$5001,$A$155)))</f>
        <v/>
      </c>
      <c r="AC164" s="203" t="str">
        <f>IF(AC$3="","",IF(COUNTIFS(BD!$A$3:$A$5001,AC$3,BD!$B$3:$B$5001,$A$155,BD!$L$3:$L$5001,"&lt;&gt;")=0,"",SUMIFS(BD!$L$3:$L$5001,BD!$A$3:$A$5001,AC$3,BD!$B$3:$B$5001,$A$155)))</f>
        <v/>
      </c>
      <c r="AD164" s="203" t="str">
        <f>IF(AD$3="","",IF(COUNTIFS(BD!$A$3:$A$5001,AD$3,BD!$B$3:$B$5001,$A$155,BD!$L$3:$L$5001,"&lt;&gt;")=0,"",SUMIFS(BD!$L$3:$L$5001,BD!$A$3:$A$5001,AD$3,BD!$B$3:$B$5001,$A$155)))</f>
        <v/>
      </c>
      <c r="AE164" s="203" t="str">
        <f>IF(AE$3="","",IF(COUNTIFS(BD!$A$3:$A$5001,AE$3,BD!$B$3:$B$5001,$A$155,BD!$L$3:$L$5001,"&lt;&gt;")=0,"",SUMIFS(BD!$L$3:$L$5001,BD!$A$3:$A$5001,AE$3,BD!$B$3:$B$5001,$A$155)))</f>
        <v/>
      </c>
      <c r="AF164" s="203" t="str">
        <f>IF(AF$3="","",IF(COUNTIFS(BD!$A$3:$A$5001,AF$3,BD!$B$3:$B$5001,$A$155,BD!$L$3:$L$5001,"&lt;&gt;")=0,"",SUMIFS(BD!$L$3:$L$5001,BD!$A$3:$A$5001,AF$3,BD!$B$3:$B$5001,$A$155)))</f>
        <v/>
      </c>
      <c r="AG164" s="203" t="str">
        <f>IF(AG$3="","",IF(COUNTIFS(BD!$A$3:$A$5001,AG$3,BD!$B$3:$B$5001,$A$155,BD!$L$3:$L$5001,"&lt;&gt;")=0,"",SUMIFS(BD!$L$3:$L$5001,BD!$A$3:$A$5001,AG$3,BD!$B$3:$B$5001,$A$155)))</f>
        <v/>
      </c>
      <c r="AH164" s="203" t="str">
        <f>IF(AH$3="","",IF(COUNTIFS(BD!$A$3:$A$5001,AH$3,BD!$B$3:$B$5001,$A$155,BD!$L$3:$L$5001,"&lt;&gt;")=0,"",SUMIFS(BD!$L$3:$L$5001,BD!$A$3:$A$5001,AH$3,BD!$B$3:$B$5001,$A$155)))</f>
        <v/>
      </c>
      <c r="AI164" s="203" t="str">
        <f>IF(AI$3="","",IF(COUNTIFS(BD!$A$3:$A$5001,AI$3,BD!$B$3:$B$5001,$A$155,BD!$L$3:$L$5001,"&lt;&gt;")=0,"",SUMIFS(BD!$L$3:$L$5001,BD!$A$3:$A$5001,AI$3,BD!$B$3:$B$5001,$A$155)))</f>
        <v/>
      </c>
      <c r="AJ164" s="204" t="str">
        <f>IF(AJ$3="","",IF(COUNTIFS(BD!$A$3:$A$5001,AJ$3,BD!$B$3:$B$5001,$A$155,BD!$L$3:$L$5001,"&lt;&gt;")=0,"",SUMIFS(BD!$L$3:$L$5001,BD!$A$3:$A$5001,AJ$3,BD!$B$3:$B$5001,$A$155)))</f>
        <v/>
      </c>
      <c r="AK164" s="205" t="str">
        <f>IF(COUNT(F164:AJ164)=0,"",SUM(F164:AJ164))</f>
        <v/>
      </c>
    </row>
    <row r="165" ht="15.75" customHeight="1" hidden="1">
      <c r="A165" s="277"/>
      <c r="B165" s="269"/>
      <c r="C165" s="210" t="inlineStr">
        <is>
          <t xml:space="preserve">Bags Expedidos</t>
        </is>
      </c>
      <c r="D165" s="211" t="str">
        <f>IFERROR(1/(1/INDEX(BD!$AF$33:$AZ$33,MATCH($A$155,BD!$AF$22:$AZ$22,0))),"")</f>
        <v/>
      </c>
      <c r="E165" s="212"/>
      <c r="F165" s="213" t="str">
        <f>IF(F$3="","",IF(COUNTIFS(BD!$A$3:$A$5001,F$3,BD!$B$3:$B$5001,$A$155,BD!$M$3:$M$5001,"&lt;&gt;")=0,"",SUMIFS(BD!$M$3:$M$5001,BD!$A$3:$A$5001,F$3,BD!$B$3:$B$5001,$A$155)))</f>
        <v/>
      </c>
      <c r="G165" s="214" t="str">
        <f>IF(G$3="","",IF(COUNTIFS(BD!$A$3:$A$5001,G$3,BD!$B$3:$B$5001,$A$155,BD!$M$3:$M$5001,"&lt;&gt;")=0,"",SUMIFS(BD!$M$3:$M$5001,BD!$A$3:$A$5001,G$3,BD!$B$3:$B$5001,$A$155)))</f>
        <v/>
      </c>
      <c r="H165" s="214" t="str">
        <f>IF(H$3="","",IF(COUNTIFS(BD!$A$3:$A$5001,H$3,BD!$B$3:$B$5001,$A$155,BD!$M$3:$M$5001,"&lt;&gt;")=0,"",SUMIFS(BD!$M$3:$M$5001,BD!$A$3:$A$5001,H$3,BD!$B$3:$B$5001,$A$155)))</f>
        <v/>
      </c>
      <c r="I165" s="214" t="str">
        <f>IF(I$3="","",IF(COUNTIFS(BD!$A$3:$A$5001,I$3,BD!$B$3:$B$5001,$A$155,BD!$M$3:$M$5001,"&lt;&gt;")=0,"",SUMIFS(BD!$M$3:$M$5001,BD!$A$3:$A$5001,I$3,BD!$B$3:$B$5001,$A$155)))</f>
        <v/>
      </c>
      <c r="J165" s="214" t="str">
        <f>IF(J$3="","",IF(COUNTIFS(BD!$A$3:$A$5001,J$3,BD!$B$3:$B$5001,$A$155,BD!$M$3:$M$5001,"&lt;&gt;")=0,"",SUMIFS(BD!$M$3:$M$5001,BD!$A$3:$A$5001,J$3,BD!$B$3:$B$5001,$A$155)))</f>
        <v/>
      </c>
      <c r="K165" s="214" t="str">
        <f>IF(K$3="","",IF(COUNTIFS(BD!$A$3:$A$5001,K$3,BD!$B$3:$B$5001,$A$155,BD!$M$3:$M$5001,"&lt;&gt;")=0,"",SUMIFS(BD!$M$3:$M$5001,BD!$A$3:$A$5001,K$3,BD!$B$3:$B$5001,$A$155)))</f>
        <v/>
      </c>
      <c r="L165" s="214" t="str">
        <f>IF(L$3="","",IF(COUNTIFS(BD!$A$3:$A$5001,L$3,BD!$B$3:$B$5001,$A$155,BD!$M$3:$M$5001,"&lt;&gt;")=0,"",SUMIFS(BD!$M$3:$M$5001,BD!$A$3:$A$5001,L$3,BD!$B$3:$B$5001,$A$155)))</f>
        <v/>
      </c>
      <c r="M165" s="214" t="str">
        <f>IF(M$3="","",IF(COUNTIFS(BD!$A$3:$A$5001,M$3,BD!$B$3:$B$5001,$A$155,BD!$M$3:$M$5001,"&lt;&gt;")=0,"",SUMIFS(BD!$M$3:$M$5001,BD!$A$3:$A$5001,M$3,BD!$B$3:$B$5001,$A$155)))</f>
        <v/>
      </c>
      <c r="N165" s="214" t="str">
        <f>IF(N$3="","",IF(COUNTIFS(BD!$A$3:$A$5001,N$3,BD!$B$3:$B$5001,$A$155,BD!$M$3:$M$5001,"&lt;&gt;")=0,"",SUMIFS(BD!$M$3:$M$5001,BD!$A$3:$A$5001,N$3,BD!$B$3:$B$5001,$A$155)))</f>
        <v/>
      </c>
      <c r="O165" s="214" t="str">
        <f>IF(O$3="","",IF(COUNTIFS(BD!$A$3:$A$5001,O$3,BD!$B$3:$B$5001,$A$155,BD!$M$3:$M$5001,"&lt;&gt;")=0,"",SUMIFS(BD!$M$3:$M$5001,BD!$A$3:$A$5001,O$3,BD!$B$3:$B$5001,$A$155)))</f>
        <v/>
      </c>
      <c r="P165" s="214" t="str">
        <f>IF(P$3="","",IF(COUNTIFS(BD!$A$3:$A$5001,P$3,BD!$B$3:$B$5001,$A$155,BD!$M$3:$M$5001,"&lt;&gt;")=0,"",SUMIFS(BD!$M$3:$M$5001,BD!$A$3:$A$5001,P$3,BD!$B$3:$B$5001,$A$155)))</f>
        <v/>
      </c>
      <c r="Q165" s="214" t="str">
        <f>IF(Q$3="","",IF(COUNTIFS(BD!$A$3:$A$5001,Q$3,BD!$B$3:$B$5001,$A$155,BD!$M$3:$M$5001,"&lt;&gt;")=0,"",SUMIFS(BD!$M$3:$M$5001,BD!$A$3:$A$5001,Q$3,BD!$B$3:$B$5001,$A$155)))</f>
        <v/>
      </c>
      <c r="R165" s="214" t="str">
        <f>IF(R$3="","",IF(COUNTIFS(BD!$A$3:$A$5001,R$3,BD!$B$3:$B$5001,$A$155,BD!$M$3:$M$5001,"&lt;&gt;")=0,"",SUMIFS(BD!$M$3:$M$5001,BD!$A$3:$A$5001,R$3,BD!$B$3:$B$5001,$A$155)))</f>
        <v/>
      </c>
      <c r="S165" s="214" t="str">
        <f>IF(S$3="","",IF(COUNTIFS(BD!$A$3:$A$5001,S$3,BD!$B$3:$B$5001,$A$155,BD!$M$3:$M$5001,"&lt;&gt;")=0,"",SUMIFS(BD!$M$3:$M$5001,BD!$A$3:$A$5001,S$3,BD!$B$3:$B$5001,$A$155)))</f>
        <v/>
      </c>
      <c r="T165" s="214" t="str">
        <f>IF(T$3="","",IF(COUNTIFS(BD!$A$3:$A$5001,T$3,BD!$B$3:$B$5001,$A$155,BD!$M$3:$M$5001,"&lt;&gt;")=0,"",SUMIFS(BD!$M$3:$M$5001,BD!$A$3:$A$5001,T$3,BD!$B$3:$B$5001,$A$155)))</f>
        <v/>
      </c>
      <c r="U165" s="214" t="str">
        <f>IF(U$3="","",IF(COUNTIFS(BD!$A$3:$A$5001,U$3,BD!$B$3:$B$5001,$A$155,BD!$M$3:$M$5001,"&lt;&gt;")=0,"",SUMIFS(BD!$M$3:$M$5001,BD!$A$3:$A$5001,U$3,BD!$B$3:$B$5001,$A$155)))</f>
        <v/>
      </c>
      <c r="V165" s="214" t="str">
        <f>IF(V$3="","",IF(COUNTIFS(BD!$A$3:$A$5001,V$3,BD!$B$3:$B$5001,$A$155,BD!$M$3:$M$5001,"&lt;&gt;")=0,"",SUMIFS(BD!$M$3:$M$5001,BD!$A$3:$A$5001,V$3,BD!$B$3:$B$5001,$A$155)))</f>
        <v/>
      </c>
      <c r="W165" s="214" t="str">
        <f>IF(W$3="","",IF(COUNTIFS(BD!$A$3:$A$5001,W$3,BD!$B$3:$B$5001,$A$155,BD!$M$3:$M$5001,"&lt;&gt;")=0,"",SUMIFS(BD!$M$3:$M$5001,BD!$A$3:$A$5001,W$3,BD!$B$3:$B$5001,$A$155)))</f>
        <v/>
      </c>
      <c r="X165" s="214" t="str">
        <f>IF(X$3="","",IF(COUNTIFS(BD!$A$3:$A$5001,X$3,BD!$B$3:$B$5001,$A$155,BD!$M$3:$M$5001,"&lt;&gt;")=0,"",SUMIFS(BD!$M$3:$M$5001,BD!$A$3:$A$5001,X$3,BD!$B$3:$B$5001,$A$155)))</f>
        <v/>
      </c>
      <c r="Y165" s="214" t="str">
        <f>IF(Y$3="","",IF(COUNTIFS(BD!$A$3:$A$5001,Y$3,BD!$B$3:$B$5001,$A$155,BD!$M$3:$M$5001,"&lt;&gt;")=0,"",SUMIFS(BD!$M$3:$M$5001,BD!$A$3:$A$5001,Y$3,BD!$B$3:$B$5001,$A$155)))</f>
        <v/>
      </c>
      <c r="Z165" s="214" t="str">
        <f>IF(Z$3="","",IF(COUNTIFS(BD!$A$3:$A$5001,Z$3,BD!$B$3:$B$5001,$A$155,BD!$M$3:$M$5001,"&lt;&gt;")=0,"",SUMIFS(BD!$M$3:$M$5001,BD!$A$3:$A$5001,Z$3,BD!$B$3:$B$5001,$A$155)))</f>
        <v/>
      </c>
      <c r="AA165" s="214" t="str">
        <f>IF(AA$3="","",IF(COUNTIFS(BD!$A$3:$A$5001,AA$3,BD!$B$3:$B$5001,$A$155,BD!$M$3:$M$5001,"&lt;&gt;")=0,"",SUMIFS(BD!$M$3:$M$5001,BD!$A$3:$A$5001,AA$3,BD!$B$3:$B$5001,$A$155)))</f>
        <v/>
      </c>
      <c r="AB165" s="214" t="str">
        <f>IF(AB$3="","",IF(COUNTIFS(BD!$A$3:$A$5001,AB$3,BD!$B$3:$B$5001,$A$155,BD!$M$3:$M$5001,"&lt;&gt;")=0,"",SUMIFS(BD!$M$3:$M$5001,BD!$A$3:$A$5001,AB$3,BD!$B$3:$B$5001,$A$155)))</f>
        <v/>
      </c>
      <c r="AC165" s="214" t="str">
        <f>IF(AC$3="","",IF(COUNTIFS(BD!$A$3:$A$5001,AC$3,BD!$B$3:$B$5001,$A$155,BD!$M$3:$M$5001,"&lt;&gt;")=0,"",SUMIFS(BD!$M$3:$M$5001,BD!$A$3:$A$5001,AC$3,BD!$B$3:$B$5001,$A$155)))</f>
        <v/>
      </c>
      <c r="AD165" s="214" t="str">
        <f>IF(AD$3="","",IF(COUNTIFS(BD!$A$3:$A$5001,AD$3,BD!$B$3:$B$5001,$A$155,BD!$M$3:$M$5001,"&lt;&gt;")=0,"",SUMIFS(BD!$M$3:$M$5001,BD!$A$3:$A$5001,AD$3,BD!$B$3:$B$5001,$A$155)))</f>
        <v/>
      </c>
      <c r="AE165" s="214" t="str">
        <f>IF(AE$3="","",IF(COUNTIFS(BD!$A$3:$A$5001,AE$3,BD!$B$3:$B$5001,$A$155,BD!$M$3:$M$5001,"&lt;&gt;")=0,"",SUMIFS(BD!$M$3:$M$5001,BD!$A$3:$A$5001,AE$3,BD!$B$3:$B$5001,$A$155)))</f>
        <v/>
      </c>
      <c r="AF165" s="214" t="str">
        <f>IF(AF$3="","",IF(COUNTIFS(BD!$A$3:$A$5001,AF$3,BD!$B$3:$B$5001,$A$155,BD!$M$3:$M$5001,"&lt;&gt;")=0,"",SUMIFS(BD!$M$3:$M$5001,BD!$A$3:$A$5001,AF$3,BD!$B$3:$B$5001,$A$155)))</f>
        <v/>
      </c>
      <c r="AG165" s="214" t="str">
        <f>IF(AG$3="","",IF(COUNTIFS(BD!$A$3:$A$5001,AG$3,BD!$B$3:$B$5001,$A$155,BD!$M$3:$M$5001,"&lt;&gt;")=0,"",SUMIFS(BD!$M$3:$M$5001,BD!$A$3:$A$5001,AG$3,BD!$B$3:$B$5001,$A$155)))</f>
        <v/>
      </c>
      <c r="AH165" s="214" t="str">
        <f>IF(AH$3="","",IF(COUNTIFS(BD!$A$3:$A$5001,AH$3,BD!$B$3:$B$5001,$A$155,BD!$M$3:$M$5001,"&lt;&gt;")=0,"",SUMIFS(BD!$M$3:$M$5001,BD!$A$3:$A$5001,AH$3,BD!$B$3:$B$5001,$A$155)))</f>
        <v/>
      </c>
      <c r="AI165" s="214" t="str">
        <f>IF(AI$3="","",IF(COUNTIFS(BD!$A$3:$A$5001,AI$3,BD!$B$3:$B$5001,$A$155,BD!$M$3:$M$5001,"&lt;&gt;")=0,"",SUMIFS(BD!$M$3:$M$5001,BD!$A$3:$A$5001,AI$3,BD!$B$3:$B$5001,$A$155)))</f>
        <v/>
      </c>
      <c r="AJ165" s="215" t="str">
        <f>IF(AJ$3="","",IF(COUNTIFS(BD!$A$3:$A$5001,AJ$3,BD!$B$3:$B$5001,$A$155,BD!$M$3:$M$5001,"&lt;&gt;")=0,"",SUMIFS(BD!$M$3:$M$5001,BD!$A$3:$A$5001,AJ$3,BD!$B$3:$B$5001,$A$155)))</f>
        <v/>
      </c>
      <c r="AK165" s="211" t="str">
        <f>IF(COUNT(F165:AJ165)=0,"",SUM(F165:AJ165))</f>
        <v/>
      </c>
    </row>
    <row r="166" ht="15.75" customHeight="1" hidden="1">
      <c r="A166" s="277"/>
      <c r="B166" s="270" t="inlineStr">
        <is>
          <t xml:space="preserve">NC</t>
        </is>
      </c>
      <c r="C166" s="216" t="inlineStr">
        <is>
          <t xml:space="preserve">Incidentes</t>
        </is>
      </c>
      <c r="D166" s="217" t="str">
        <f>IFERROR(1/(1/INDEX(BD!$AF$34:$AZ$34,MATCH($A$155,BD!$AF$22:$AZ$22,0))),"")</f>
        <v/>
      </c>
      <c r="E166" s="218"/>
      <c r="F166" s="219" t="str">
        <f>IF(F$3="","",IF(COUNTIFS(BD!$A$3:$A$5001,F$3,BD!$B$3:$B$5001,$A$155,BD!$N$3:$N$5001,"&lt;&gt;")=0,"",SUMIFS(BD!$N$3:$N$5001,BD!$A$3:$A$5001,F$3,BD!$B$3:$B$5001,$A$155)))</f>
        <v/>
      </c>
      <c r="G166" s="220" t="str">
        <f>IF(G$3="","",IF(COUNTIFS(BD!$A$3:$A$5001,G$3,BD!$B$3:$B$5001,$A$155,BD!$N$3:$N$5001,"&lt;&gt;")=0,"",SUMIFS(BD!$N$3:$N$5001,BD!$A$3:$A$5001,G$3,BD!$B$3:$B$5001,$A$155)))</f>
        <v/>
      </c>
      <c r="H166" s="220" t="str">
        <f>IF(H$3="","",IF(COUNTIFS(BD!$A$3:$A$5001,H$3,BD!$B$3:$B$5001,$A$155,BD!$N$3:$N$5001,"&lt;&gt;")=0,"",SUMIFS(BD!$N$3:$N$5001,BD!$A$3:$A$5001,H$3,BD!$B$3:$B$5001,$A$155)))</f>
        <v/>
      </c>
      <c r="I166" s="220" t="str">
        <f>IF(I$3="","",IF(COUNTIFS(BD!$A$3:$A$5001,I$3,BD!$B$3:$B$5001,$A$155,BD!$N$3:$N$5001,"&lt;&gt;")=0,"",SUMIFS(BD!$N$3:$N$5001,BD!$A$3:$A$5001,I$3,BD!$B$3:$B$5001,$A$155)))</f>
        <v/>
      </c>
      <c r="J166" s="220" t="str">
        <f>IF(J$3="","",IF(COUNTIFS(BD!$A$3:$A$5001,J$3,BD!$B$3:$B$5001,$A$155,BD!$N$3:$N$5001,"&lt;&gt;")=0,"",SUMIFS(BD!$N$3:$N$5001,BD!$A$3:$A$5001,J$3,BD!$B$3:$B$5001,$A$155)))</f>
        <v/>
      </c>
      <c r="K166" s="220" t="str">
        <f>IF(K$3="","",IF(COUNTIFS(BD!$A$3:$A$5001,K$3,BD!$B$3:$B$5001,$A$155,BD!$N$3:$N$5001,"&lt;&gt;")=0,"",SUMIFS(BD!$N$3:$N$5001,BD!$A$3:$A$5001,K$3,BD!$B$3:$B$5001,$A$155)))</f>
        <v/>
      </c>
      <c r="L166" s="220" t="str">
        <f>IF(L$3="","",IF(COUNTIFS(BD!$A$3:$A$5001,L$3,BD!$B$3:$B$5001,$A$155,BD!$N$3:$N$5001,"&lt;&gt;")=0,"",SUMIFS(BD!$N$3:$N$5001,BD!$A$3:$A$5001,L$3,BD!$B$3:$B$5001,$A$155)))</f>
        <v/>
      </c>
      <c r="M166" s="220" t="str">
        <f>IF(M$3="","",IF(COUNTIFS(BD!$A$3:$A$5001,M$3,BD!$B$3:$B$5001,$A$155,BD!$N$3:$N$5001,"&lt;&gt;")=0,"",SUMIFS(BD!$N$3:$N$5001,BD!$A$3:$A$5001,M$3,BD!$B$3:$B$5001,$A$155)))</f>
        <v/>
      </c>
      <c r="N166" s="220" t="str">
        <f>IF(N$3="","",IF(COUNTIFS(BD!$A$3:$A$5001,N$3,BD!$B$3:$B$5001,$A$155,BD!$N$3:$N$5001,"&lt;&gt;")=0,"",SUMIFS(BD!$N$3:$N$5001,BD!$A$3:$A$5001,N$3,BD!$B$3:$B$5001,$A$155)))</f>
        <v/>
      </c>
      <c r="O166" s="220" t="str">
        <f>IF(O$3="","",IF(COUNTIFS(BD!$A$3:$A$5001,O$3,BD!$B$3:$B$5001,$A$155,BD!$N$3:$N$5001,"&lt;&gt;")=0,"",SUMIFS(BD!$N$3:$N$5001,BD!$A$3:$A$5001,O$3,BD!$B$3:$B$5001,$A$155)))</f>
        <v/>
      </c>
      <c r="P166" s="220" t="str">
        <f>IF(P$3="","",IF(COUNTIFS(BD!$A$3:$A$5001,P$3,BD!$B$3:$B$5001,$A$155,BD!$N$3:$N$5001,"&lt;&gt;")=0,"",SUMIFS(BD!$N$3:$N$5001,BD!$A$3:$A$5001,P$3,BD!$B$3:$B$5001,$A$155)))</f>
        <v/>
      </c>
      <c r="Q166" s="220" t="str">
        <f>IF(Q$3="","",IF(COUNTIFS(BD!$A$3:$A$5001,Q$3,BD!$B$3:$B$5001,$A$155,BD!$N$3:$N$5001,"&lt;&gt;")=0,"",SUMIFS(BD!$N$3:$N$5001,BD!$A$3:$A$5001,Q$3,BD!$B$3:$B$5001,$A$155)))</f>
        <v/>
      </c>
      <c r="R166" s="220" t="str">
        <f>IF(R$3="","",IF(COUNTIFS(BD!$A$3:$A$5001,R$3,BD!$B$3:$B$5001,$A$155,BD!$N$3:$N$5001,"&lt;&gt;")=0,"",SUMIFS(BD!$N$3:$N$5001,BD!$A$3:$A$5001,R$3,BD!$B$3:$B$5001,$A$155)))</f>
        <v/>
      </c>
      <c r="S166" s="220" t="str">
        <f>IF(S$3="","",IF(COUNTIFS(BD!$A$3:$A$5001,S$3,BD!$B$3:$B$5001,$A$155,BD!$N$3:$N$5001,"&lt;&gt;")=0,"",SUMIFS(BD!$N$3:$N$5001,BD!$A$3:$A$5001,S$3,BD!$B$3:$B$5001,$A$155)))</f>
        <v/>
      </c>
      <c r="T166" s="220" t="str">
        <f>IF(T$3="","",IF(COUNTIFS(BD!$A$3:$A$5001,T$3,BD!$B$3:$B$5001,$A$155,BD!$N$3:$N$5001,"&lt;&gt;")=0,"",SUMIFS(BD!$N$3:$N$5001,BD!$A$3:$A$5001,T$3,BD!$B$3:$B$5001,$A$155)))</f>
        <v/>
      </c>
      <c r="U166" s="220" t="str">
        <f>IF(U$3="","",IF(COUNTIFS(BD!$A$3:$A$5001,U$3,BD!$B$3:$B$5001,$A$155,BD!$N$3:$N$5001,"&lt;&gt;")=0,"",SUMIFS(BD!$N$3:$N$5001,BD!$A$3:$A$5001,U$3,BD!$B$3:$B$5001,$A$155)))</f>
        <v/>
      </c>
      <c r="V166" s="220" t="str">
        <f>IF(V$3="","",IF(COUNTIFS(BD!$A$3:$A$5001,V$3,BD!$B$3:$B$5001,$A$155,BD!$N$3:$N$5001,"&lt;&gt;")=0,"",SUMIFS(BD!$N$3:$N$5001,BD!$A$3:$A$5001,V$3,BD!$B$3:$B$5001,$A$155)))</f>
        <v/>
      </c>
      <c r="W166" s="220" t="str">
        <f>IF(W$3="","",IF(COUNTIFS(BD!$A$3:$A$5001,W$3,BD!$B$3:$B$5001,$A$155,BD!$N$3:$N$5001,"&lt;&gt;")=0,"",SUMIFS(BD!$N$3:$N$5001,BD!$A$3:$A$5001,W$3,BD!$B$3:$B$5001,$A$155)))</f>
        <v/>
      </c>
      <c r="X166" s="220" t="str">
        <f>IF(X$3="","",IF(COUNTIFS(BD!$A$3:$A$5001,X$3,BD!$B$3:$B$5001,$A$155,BD!$N$3:$N$5001,"&lt;&gt;")=0,"",SUMIFS(BD!$N$3:$N$5001,BD!$A$3:$A$5001,X$3,BD!$B$3:$B$5001,$A$155)))</f>
        <v/>
      </c>
      <c r="Y166" s="220" t="str">
        <f>IF(Y$3="","",IF(COUNTIFS(BD!$A$3:$A$5001,Y$3,BD!$B$3:$B$5001,$A$155,BD!$N$3:$N$5001,"&lt;&gt;")=0,"",SUMIFS(BD!$N$3:$N$5001,BD!$A$3:$A$5001,Y$3,BD!$B$3:$B$5001,$A$155)))</f>
        <v/>
      </c>
      <c r="Z166" s="220" t="str">
        <f>IF(Z$3="","",IF(COUNTIFS(BD!$A$3:$A$5001,Z$3,BD!$B$3:$B$5001,$A$155,BD!$N$3:$N$5001,"&lt;&gt;")=0,"",SUMIFS(BD!$N$3:$N$5001,BD!$A$3:$A$5001,Z$3,BD!$B$3:$B$5001,$A$155)))</f>
        <v/>
      </c>
      <c r="AA166" s="220" t="str">
        <f>IF(AA$3="","",IF(COUNTIFS(BD!$A$3:$A$5001,AA$3,BD!$B$3:$B$5001,$A$155,BD!$N$3:$N$5001,"&lt;&gt;")=0,"",SUMIFS(BD!$N$3:$N$5001,BD!$A$3:$A$5001,AA$3,BD!$B$3:$B$5001,$A$155)))</f>
        <v/>
      </c>
      <c r="AB166" s="220" t="str">
        <f>IF(AB$3="","",IF(COUNTIFS(BD!$A$3:$A$5001,AB$3,BD!$B$3:$B$5001,$A$155,BD!$N$3:$N$5001,"&lt;&gt;")=0,"",SUMIFS(BD!$N$3:$N$5001,BD!$A$3:$A$5001,AB$3,BD!$B$3:$B$5001,$A$155)))</f>
        <v/>
      </c>
      <c r="AC166" s="220" t="str">
        <f>IF(AC$3="","",IF(COUNTIFS(BD!$A$3:$A$5001,AC$3,BD!$B$3:$B$5001,$A$155,BD!$N$3:$N$5001,"&lt;&gt;")=0,"",SUMIFS(BD!$N$3:$N$5001,BD!$A$3:$A$5001,AC$3,BD!$B$3:$B$5001,$A$155)))</f>
        <v/>
      </c>
      <c r="AD166" s="220" t="str">
        <f>IF(AD$3="","",IF(COUNTIFS(BD!$A$3:$A$5001,AD$3,BD!$B$3:$B$5001,$A$155,BD!$N$3:$N$5001,"&lt;&gt;")=0,"",SUMIFS(BD!$N$3:$N$5001,BD!$A$3:$A$5001,AD$3,BD!$B$3:$B$5001,$A$155)))</f>
        <v/>
      </c>
      <c r="AE166" s="220" t="str">
        <f>IF(AE$3="","",IF(COUNTIFS(BD!$A$3:$A$5001,AE$3,BD!$B$3:$B$5001,$A$155,BD!$N$3:$N$5001,"&lt;&gt;")=0,"",SUMIFS(BD!$N$3:$N$5001,BD!$A$3:$A$5001,AE$3,BD!$B$3:$B$5001,$A$155)))</f>
        <v/>
      </c>
      <c r="AF166" s="220" t="str">
        <f>IF(AF$3="","",IF(COUNTIFS(BD!$A$3:$A$5001,AF$3,BD!$B$3:$B$5001,$A$155,BD!$N$3:$N$5001,"&lt;&gt;")=0,"",SUMIFS(BD!$N$3:$N$5001,BD!$A$3:$A$5001,AF$3,BD!$B$3:$B$5001,$A$155)))</f>
        <v/>
      </c>
      <c r="AG166" s="220" t="str">
        <f>IF(AG$3="","",IF(COUNTIFS(BD!$A$3:$A$5001,AG$3,BD!$B$3:$B$5001,$A$155,BD!$N$3:$N$5001,"&lt;&gt;")=0,"",SUMIFS(BD!$N$3:$N$5001,BD!$A$3:$A$5001,AG$3,BD!$B$3:$B$5001,$A$155)))</f>
        <v/>
      </c>
      <c r="AH166" s="220" t="str">
        <f>IF(AH$3="","",IF(COUNTIFS(BD!$A$3:$A$5001,AH$3,BD!$B$3:$B$5001,$A$155,BD!$N$3:$N$5001,"&lt;&gt;")=0,"",SUMIFS(BD!$N$3:$N$5001,BD!$A$3:$A$5001,AH$3,BD!$B$3:$B$5001,$A$155)))</f>
        <v/>
      </c>
      <c r="AI166" s="220" t="str">
        <f>IF(AI$3="","",IF(COUNTIFS(BD!$A$3:$A$5001,AI$3,BD!$B$3:$B$5001,$A$155,BD!$N$3:$N$5001,"&lt;&gt;")=0,"",SUMIFS(BD!$N$3:$N$5001,BD!$A$3:$A$5001,AI$3,BD!$B$3:$B$5001,$A$155)))</f>
        <v/>
      </c>
      <c r="AJ166" s="221" t="str">
        <f>IF(AJ$3="","",IF(COUNTIFS(BD!$A$3:$A$5001,AJ$3,BD!$B$3:$B$5001,$A$155,BD!$N$3:$N$5001,"&lt;&gt;")=0,"",SUMIFS(BD!$N$3:$N$5001,BD!$A$3:$A$5001,AJ$3,BD!$B$3:$B$5001,$A$155)))</f>
        <v/>
      </c>
      <c r="AK166" s="222" t="str">
        <f>IF(COUNT(F166:AJ166)=0,"",SUM(F166:AJ166))</f>
        <v/>
      </c>
    </row>
    <row r="167" ht="15.75" customHeight="1" hidden="1">
      <c r="A167" s="277"/>
      <c r="B167" s="271"/>
      <c r="C167" s="223" t="inlineStr">
        <is>
          <t xml:space="preserve">No show</t>
        </is>
      </c>
      <c r="D167" s="224" t="str">
        <f>IFERROR(1/(1/INDEX(BD!$AF$35:$AZ$35,MATCH($A$155,BD!$AF$22:$AZ$22,0))),"")</f>
        <v/>
      </c>
      <c r="E167" s="225"/>
      <c r="F167" s="226" t="str">
        <f>IF(F$3="","",IF(COUNTIFS(BD!$A$3:$A$5001,F$3,BD!$B$3:$B$5001,$A$155,BD!$O$3:$O$5001,"&lt;&gt;")=0,"",SUMIFS(BD!$O$3:$O$5001,BD!$A$3:$A$5001,F$3,BD!$B$3:$B$5001,$A$155)))</f>
        <v/>
      </c>
      <c r="G167" s="227" t="str">
        <f>IF(G$3="","",IF(COUNTIFS(BD!$A$3:$A$5001,G$3,BD!$B$3:$B$5001,$A$155,BD!$O$3:$O$5001,"&lt;&gt;")=0,"",SUMIFS(BD!$O$3:$O$5001,BD!$A$3:$A$5001,G$3,BD!$B$3:$B$5001,$A$155)))</f>
        <v/>
      </c>
      <c r="H167" s="227" t="str">
        <f>IF(H$3="","",IF(COUNTIFS(BD!$A$3:$A$5001,H$3,BD!$B$3:$B$5001,$A$155,BD!$O$3:$O$5001,"&lt;&gt;")=0,"",SUMIFS(BD!$O$3:$O$5001,BD!$A$3:$A$5001,H$3,BD!$B$3:$B$5001,$A$155)))</f>
        <v/>
      </c>
      <c r="I167" s="227" t="str">
        <f>IF(I$3="","",IF(COUNTIFS(BD!$A$3:$A$5001,I$3,BD!$B$3:$B$5001,$A$155,BD!$O$3:$O$5001,"&lt;&gt;")=0,"",SUMIFS(BD!$O$3:$O$5001,BD!$A$3:$A$5001,I$3,BD!$B$3:$B$5001,$A$155)))</f>
        <v/>
      </c>
      <c r="J167" s="227" t="str">
        <f>IF(J$3="","",IF(COUNTIFS(BD!$A$3:$A$5001,J$3,BD!$B$3:$B$5001,$A$155,BD!$O$3:$O$5001,"&lt;&gt;")=0,"",SUMIFS(BD!$O$3:$O$5001,BD!$A$3:$A$5001,J$3,BD!$B$3:$B$5001,$A$155)))</f>
        <v/>
      </c>
      <c r="K167" s="227" t="str">
        <f>IF(K$3="","",IF(COUNTIFS(BD!$A$3:$A$5001,K$3,BD!$B$3:$B$5001,$A$155,BD!$O$3:$O$5001,"&lt;&gt;")=0,"",SUMIFS(BD!$O$3:$O$5001,BD!$A$3:$A$5001,K$3,BD!$B$3:$B$5001,$A$155)))</f>
        <v/>
      </c>
      <c r="L167" s="227" t="str">
        <f>IF(L$3="","",IF(COUNTIFS(BD!$A$3:$A$5001,L$3,BD!$B$3:$B$5001,$A$155,BD!$O$3:$O$5001,"&lt;&gt;")=0,"",SUMIFS(BD!$O$3:$O$5001,BD!$A$3:$A$5001,L$3,BD!$B$3:$B$5001,$A$155)))</f>
        <v/>
      </c>
      <c r="M167" s="227" t="str">
        <f>IF(M$3="","",IF(COUNTIFS(BD!$A$3:$A$5001,M$3,BD!$B$3:$B$5001,$A$155,BD!$O$3:$O$5001,"&lt;&gt;")=0,"",SUMIFS(BD!$O$3:$O$5001,BD!$A$3:$A$5001,M$3,BD!$B$3:$B$5001,$A$155)))</f>
        <v/>
      </c>
      <c r="N167" s="227" t="str">
        <f>IF(N$3="","",IF(COUNTIFS(BD!$A$3:$A$5001,N$3,BD!$B$3:$B$5001,$A$155,BD!$O$3:$O$5001,"&lt;&gt;")=0,"",SUMIFS(BD!$O$3:$O$5001,BD!$A$3:$A$5001,N$3,BD!$B$3:$B$5001,$A$155)))</f>
        <v/>
      </c>
      <c r="O167" s="227" t="str">
        <f>IF(O$3="","",IF(COUNTIFS(BD!$A$3:$A$5001,O$3,BD!$B$3:$B$5001,$A$155,BD!$O$3:$O$5001,"&lt;&gt;")=0,"",SUMIFS(BD!$O$3:$O$5001,BD!$A$3:$A$5001,O$3,BD!$B$3:$B$5001,$A$155)))</f>
        <v/>
      </c>
      <c r="P167" s="227" t="str">
        <f>IF(P$3="","",IF(COUNTIFS(BD!$A$3:$A$5001,P$3,BD!$B$3:$B$5001,$A$155,BD!$O$3:$O$5001,"&lt;&gt;")=0,"",SUMIFS(BD!$O$3:$O$5001,BD!$A$3:$A$5001,P$3,BD!$B$3:$B$5001,$A$155)))</f>
        <v/>
      </c>
      <c r="Q167" s="227" t="str">
        <f>IF(Q$3="","",IF(COUNTIFS(BD!$A$3:$A$5001,Q$3,BD!$B$3:$B$5001,$A$155,BD!$O$3:$O$5001,"&lt;&gt;")=0,"",SUMIFS(BD!$O$3:$O$5001,BD!$A$3:$A$5001,Q$3,BD!$B$3:$B$5001,$A$155)))</f>
        <v/>
      </c>
      <c r="R167" s="227" t="str">
        <f>IF(R$3="","",IF(COUNTIFS(BD!$A$3:$A$5001,R$3,BD!$B$3:$B$5001,$A$155,BD!$O$3:$O$5001,"&lt;&gt;")=0,"",SUMIFS(BD!$O$3:$O$5001,BD!$A$3:$A$5001,R$3,BD!$B$3:$B$5001,$A$155)))</f>
        <v/>
      </c>
      <c r="S167" s="227" t="str">
        <f>IF(S$3="","",IF(COUNTIFS(BD!$A$3:$A$5001,S$3,BD!$B$3:$B$5001,$A$155,BD!$O$3:$O$5001,"&lt;&gt;")=0,"",SUMIFS(BD!$O$3:$O$5001,BD!$A$3:$A$5001,S$3,BD!$B$3:$B$5001,$A$155)))</f>
        <v/>
      </c>
      <c r="T167" s="227" t="str">
        <f>IF(T$3="","",IF(COUNTIFS(BD!$A$3:$A$5001,T$3,BD!$B$3:$B$5001,$A$155,BD!$O$3:$O$5001,"&lt;&gt;")=0,"",SUMIFS(BD!$O$3:$O$5001,BD!$A$3:$A$5001,T$3,BD!$B$3:$B$5001,$A$155)))</f>
        <v/>
      </c>
      <c r="U167" s="227" t="str">
        <f>IF(U$3="","",IF(COUNTIFS(BD!$A$3:$A$5001,U$3,BD!$B$3:$B$5001,$A$155,BD!$O$3:$O$5001,"&lt;&gt;")=0,"",SUMIFS(BD!$O$3:$O$5001,BD!$A$3:$A$5001,U$3,BD!$B$3:$B$5001,$A$155)))</f>
        <v/>
      </c>
      <c r="V167" s="227" t="str">
        <f>IF(V$3="","",IF(COUNTIFS(BD!$A$3:$A$5001,V$3,BD!$B$3:$B$5001,$A$155,BD!$O$3:$O$5001,"&lt;&gt;")=0,"",SUMIFS(BD!$O$3:$O$5001,BD!$A$3:$A$5001,V$3,BD!$B$3:$B$5001,$A$155)))</f>
        <v/>
      </c>
      <c r="W167" s="227" t="str">
        <f>IF(W$3="","",IF(COUNTIFS(BD!$A$3:$A$5001,W$3,BD!$B$3:$B$5001,$A$155,BD!$O$3:$O$5001,"&lt;&gt;")=0,"",SUMIFS(BD!$O$3:$O$5001,BD!$A$3:$A$5001,W$3,BD!$B$3:$B$5001,$A$155)))</f>
        <v/>
      </c>
      <c r="X167" s="227" t="str">
        <f>IF(X$3="","",IF(COUNTIFS(BD!$A$3:$A$5001,X$3,BD!$B$3:$B$5001,$A$155,BD!$O$3:$O$5001,"&lt;&gt;")=0,"",SUMIFS(BD!$O$3:$O$5001,BD!$A$3:$A$5001,X$3,BD!$B$3:$B$5001,$A$155)))</f>
        <v/>
      </c>
      <c r="Y167" s="227" t="str">
        <f>IF(Y$3="","",IF(COUNTIFS(BD!$A$3:$A$5001,Y$3,BD!$B$3:$B$5001,$A$155,BD!$O$3:$O$5001,"&lt;&gt;")=0,"",SUMIFS(BD!$O$3:$O$5001,BD!$A$3:$A$5001,Y$3,BD!$B$3:$B$5001,$A$155)))</f>
        <v/>
      </c>
      <c r="Z167" s="227" t="str">
        <f>IF(Z$3="","",IF(COUNTIFS(BD!$A$3:$A$5001,Z$3,BD!$B$3:$B$5001,$A$155,BD!$O$3:$O$5001,"&lt;&gt;")=0,"",SUMIFS(BD!$O$3:$O$5001,BD!$A$3:$A$5001,Z$3,BD!$B$3:$B$5001,$A$155)))</f>
        <v/>
      </c>
      <c r="AA167" s="227" t="str">
        <f>IF(AA$3="","",IF(COUNTIFS(BD!$A$3:$A$5001,AA$3,BD!$B$3:$B$5001,$A$155,BD!$O$3:$O$5001,"&lt;&gt;")=0,"",SUMIFS(BD!$O$3:$O$5001,BD!$A$3:$A$5001,AA$3,BD!$B$3:$B$5001,$A$155)))</f>
        <v/>
      </c>
      <c r="AB167" s="227" t="str">
        <f>IF(AB$3="","",IF(COUNTIFS(BD!$A$3:$A$5001,AB$3,BD!$B$3:$B$5001,$A$155,BD!$O$3:$O$5001,"&lt;&gt;")=0,"",SUMIFS(BD!$O$3:$O$5001,BD!$A$3:$A$5001,AB$3,BD!$B$3:$B$5001,$A$155)))</f>
        <v/>
      </c>
      <c r="AC167" s="227" t="str">
        <f>IF(AC$3="","",IF(COUNTIFS(BD!$A$3:$A$5001,AC$3,BD!$B$3:$B$5001,$A$155,BD!$O$3:$O$5001,"&lt;&gt;")=0,"",SUMIFS(BD!$O$3:$O$5001,BD!$A$3:$A$5001,AC$3,BD!$B$3:$B$5001,$A$155)))</f>
        <v/>
      </c>
      <c r="AD167" s="227" t="str">
        <f>IF(AD$3="","",IF(COUNTIFS(BD!$A$3:$A$5001,AD$3,BD!$B$3:$B$5001,$A$155,BD!$O$3:$O$5001,"&lt;&gt;")=0,"",SUMIFS(BD!$O$3:$O$5001,BD!$A$3:$A$5001,AD$3,BD!$B$3:$B$5001,$A$155)))</f>
        <v/>
      </c>
      <c r="AE167" s="227" t="str">
        <f>IF(AE$3="","",IF(COUNTIFS(BD!$A$3:$A$5001,AE$3,BD!$B$3:$B$5001,$A$155,BD!$O$3:$O$5001,"&lt;&gt;")=0,"",SUMIFS(BD!$O$3:$O$5001,BD!$A$3:$A$5001,AE$3,BD!$B$3:$B$5001,$A$155)))</f>
        <v/>
      </c>
      <c r="AF167" s="227" t="str">
        <f>IF(AF$3="","",IF(COUNTIFS(BD!$A$3:$A$5001,AF$3,BD!$B$3:$B$5001,$A$155,BD!$O$3:$O$5001,"&lt;&gt;")=0,"",SUMIFS(BD!$O$3:$O$5001,BD!$A$3:$A$5001,AF$3,BD!$B$3:$B$5001,$A$155)))</f>
        <v/>
      </c>
      <c r="AG167" s="227" t="str">
        <f>IF(AG$3="","",IF(COUNTIFS(BD!$A$3:$A$5001,AG$3,BD!$B$3:$B$5001,$A$155,BD!$O$3:$O$5001,"&lt;&gt;")=0,"",SUMIFS(BD!$O$3:$O$5001,BD!$A$3:$A$5001,AG$3,BD!$B$3:$B$5001,$A$155)))</f>
        <v/>
      </c>
      <c r="AH167" s="227" t="str">
        <f>IF(AH$3="","",IF(COUNTIFS(BD!$A$3:$A$5001,AH$3,BD!$B$3:$B$5001,$A$155,BD!$O$3:$O$5001,"&lt;&gt;")=0,"",SUMIFS(BD!$O$3:$O$5001,BD!$A$3:$A$5001,AH$3,BD!$B$3:$B$5001,$A$155)))</f>
        <v/>
      </c>
      <c r="AI167" s="227" t="str">
        <f>IF(AI$3="","",IF(COUNTIFS(BD!$A$3:$A$5001,AI$3,BD!$B$3:$B$5001,$A$155,BD!$O$3:$O$5001,"&lt;&gt;")=0,"",SUMIFS(BD!$O$3:$O$5001,BD!$A$3:$A$5001,AI$3,BD!$B$3:$B$5001,$A$155)))</f>
        <v/>
      </c>
      <c r="AJ167" s="228" t="str">
        <f>IF(AJ$3="","",IF(COUNTIFS(BD!$A$3:$A$5001,AJ$3,BD!$B$3:$B$5001,$A$155,BD!$O$3:$O$5001,"&lt;&gt;")=0,"",SUMIFS(BD!$O$3:$O$5001,BD!$A$3:$A$5001,AJ$3,BD!$B$3:$B$5001,$A$155)))</f>
        <v/>
      </c>
      <c r="AK167" s="229" t="str">
        <f>IF(COUNT(F167:AJ167)=0,"",SUM(F167:AJ167))</f>
        <v/>
      </c>
    </row>
    <row r="168" ht="15.75" customHeight="1" hidden="1">
      <c r="A168" s="277"/>
      <c r="B168" s="271"/>
      <c r="C168" s="223" t="inlineStr">
        <is>
          <t xml:space="preserve">Backlog Intralog</t>
        </is>
      </c>
      <c r="D168" s="224" t="str">
        <f>IFERROR(1/(1/INDEX(BD!$AF$36:$AZ$36,MATCH($A$155,BD!$AF$22:$AZ$22,0))),"")</f>
        <v/>
      </c>
      <c r="E168" s="225"/>
      <c r="F168" s="226" t="str">
        <f>IF(F$3="","",IF(COUNTIFS(BD!$A$3:$A$5001,F$3,BD!$B$3:$B$5001,$A$155,BD!$P$3:$P$5001,"&lt;&gt;")=0,"",SUMIFS(BD!$P$3:$P$5001,BD!$A$3:$A$5001,F$3,BD!$B$3:$B$5001,$A$155)))</f>
        <v/>
      </c>
      <c r="G168" s="227" t="str">
        <f>IF(G$3="","",IF(COUNTIFS(BD!$A$3:$A$5001,G$3,BD!$B$3:$B$5001,$A$155,BD!$P$3:$P$5001,"&lt;&gt;")=0,"",SUMIFS(BD!$P$3:$P$5001,BD!$A$3:$A$5001,G$3,BD!$B$3:$B$5001,$A$155)))</f>
        <v/>
      </c>
      <c r="H168" s="227" t="str">
        <f>IF(H$3="","",IF(COUNTIFS(BD!$A$3:$A$5001,H$3,BD!$B$3:$B$5001,$A$155,BD!$P$3:$P$5001,"&lt;&gt;")=0,"",SUMIFS(BD!$P$3:$P$5001,BD!$A$3:$A$5001,H$3,BD!$B$3:$B$5001,$A$155)))</f>
        <v/>
      </c>
      <c r="I168" s="227" t="str">
        <f>IF(I$3="","",IF(COUNTIFS(BD!$A$3:$A$5001,I$3,BD!$B$3:$B$5001,$A$155,BD!$P$3:$P$5001,"&lt;&gt;")=0,"",SUMIFS(BD!$P$3:$P$5001,BD!$A$3:$A$5001,I$3,BD!$B$3:$B$5001,$A$155)))</f>
        <v/>
      </c>
      <c r="J168" s="227" t="str">
        <f>IF(J$3="","",IF(COUNTIFS(BD!$A$3:$A$5001,J$3,BD!$B$3:$B$5001,$A$155,BD!$P$3:$P$5001,"&lt;&gt;")=0,"",SUMIFS(BD!$P$3:$P$5001,BD!$A$3:$A$5001,J$3,BD!$B$3:$B$5001,$A$155)))</f>
        <v/>
      </c>
      <c r="K168" s="227" t="str">
        <f>IF(K$3="","",IF(COUNTIFS(BD!$A$3:$A$5001,K$3,BD!$B$3:$B$5001,$A$155,BD!$P$3:$P$5001,"&lt;&gt;")=0,"",SUMIFS(BD!$P$3:$P$5001,BD!$A$3:$A$5001,K$3,BD!$B$3:$B$5001,$A$155)))</f>
        <v/>
      </c>
      <c r="L168" s="227" t="str">
        <f>IF(L$3="","",IF(COUNTIFS(BD!$A$3:$A$5001,L$3,BD!$B$3:$B$5001,$A$155,BD!$P$3:$P$5001,"&lt;&gt;")=0,"",SUMIFS(BD!$P$3:$P$5001,BD!$A$3:$A$5001,L$3,BD!$B$3:$B$5001,$A$155)))</f>
        <v/>
      </c>
      <c r="M168" s="227" t="str">
        <f>IF(M$3="","",IF(COUNTIFS(BD!$A$3:$A$5001,M$3,BD!$B$3:$B$5001,$A$155,BD!$P$3:$P$5001,"&lt;&gt;")=0,"",SUMIFS(BD!$P$3:$P$5001,BD!$A$3:$A$5001,M$3,BD!$B$3:$B$5001,$A$155)))</f>
        <v/>
      </c>
      <c r="N168" s="227" t="str">
        <f>IF(N$3="","",IF(COUNTIFS(BD!$A$3:$A$5001,N$3,BD!$B$3:$B$5001,$A$155,BD!$P$3:$P$5001,"&lt;&gt;")=0,"",SUMIFS(BD!$P$3:$P$5001,BD!$A$3:$A$5001,N$3,BD!$B$3:$B$5001,$A$155)))</f>
        <v/>
      </c>
      <c r="O168" s="227" t="str">
        <f>IF(O$3="","",IF(COUNTIFS(BD!$A$3:$A$5001,O$3,BD!$B$3:$B$5001,$A$155,BD!$P$3:$P$5001,"&lt;&gt;")=0,"",SUMIFS(BD!$P$3:$P$5001,BD!$A$3:$A$5001,O$3,BD!$B$3:$B$5001,$A$155)))</f>
        <v/>
      </c>
      <c r="P168" s="227" t="str">
        <f>IF(P$3="","",IF(COUNTIFS(BD!$A$3:$A$5001,P$3,BD!$B$3:$B$5001,$A$155,BD!$P$3:$P$5001,"&lt;&gt;")=0,"",SUMIFS(BD!$P$3:$P$5001,BD!$A$3:$A$5001,P$3,BD!$B$3:$B$5001,$A$155)))</f>
        <v/>
      </c>
      <c r="Q168" s="227" t="str">
        <f>IF(Q$3="","",IF(COUNTIFS(BD!$A$3:$A$5001,Q$3,BD!$B$3:$B$5001,$A$155,BD!$P$3:$P$5001,"&lt;&gt;")=0,"",SUMIFS(BD!$P$3:$P$5001,BD!$A$3:$A$5001,Q$3,BD!$B$3:$B$5001,$A$155)))</f>
        <v/>
      </c>
      <c r="R168" s="227" t="str">
        <f>IF(R$3="","",IF(COUNTIFS(BD!$A$3:$A$5001,R$3,BD!$B$3:$B$5001,$A$155,BD!$P$3:$P$5001,"&lt;&gt;")=0,"",SUMIFS(BD!$P$3:$P$5001,BD!$A$3:$A$5001,R$3,BD!$B$3:$B$5001,$A$155)))</f>
        <v/>
      </c>
      <c r="S168" s="227" t="str">
        <f>IF(S$3="","",IF(COUNTIFS(BD!$A$3:$A$5001,S$3,BD!$B$3:$B$5001,$A$155,BD!$P$3:$P$5001,"&lt;&gt;")=0,"",SUMIFS(BD!$P$3:$P$5001,BD!$A$3:$A$5001,S$3,BD!$B$3:$B$5001,$A$155)))</f>
        <v/>
      </c>
      <c r="T168" s="227" t="str">
        <f>IF(T$3="","",IF(COUNTIFS(BD!$A$3:$A$5001,T$3,BD!$B$3:$B$5001,$A$155,BD!$P$3:$P$5001,"&lt;&gt;")=0,"",SUMIFS(BD!$P$3:$P$5001,BD!$A$3:$A$5001,T$3,BD!$B$3:$B$5001,$A$155)))</f>
        <v/>
      </c>
      <c r="U168" s="227" t="str">
        <f>IF(U$3="","",IF(COUNTIFS(BD!$A$3:$A$5001,U$3,BD!$B$3:$B$5001,$A$155,BD!$P$3:$P$5001,"&lt;&gt;")=0,"",SUMIFS(BD!$P$3:$P$5001,BD!$A$3:$A$5001,U$3,BD!$B$3:$B$5001,$A$155)))</f>
        <v/>
      </c>
      <c r="V168" s="227" t="str">
        <f>IF(V$3="","",IF(COUNTIFS(BD!$A$3:$A$5001,V$3,BD!$B$3:$B$5001,$A$155,BD!$P$3:$P$5001,"&lt;&gt;")=0,"",SUMIFS(BD!$P$3:$P$5001,BD!$A$3:$A$5001,V$3,BD!$B$3:$B$5001,$A$155)))</f>
        <v/>
      </c>
      <c r="W168" s="227" t="str">
        <f>IF(W$3="","",IF(COUNTIFS(BD!$A$3:$A$5001,W$3,BD!$B$3:$B$5001,$A$155,BD!$P$3:$P$5001,"&lt;&gt;")=0,"",SUMIFS(BD!$P$3:$P$5001,BD!$A$3:$A$5001,W$3,BD!$B$3:$B$5001,$A$155)))</f>
        <v/>
      </c>
      <c r="X168" s="227" t="str">
        <f>IF(X$3="","",IF(COUNTIFS(BD!$A$3:$A$5001,X$3,BD!$B$3:$B$5001,$A$155,BD!$P$3:$P$5001,"&lt;&gt;")=0,"",SUMIFS(BD!$P$3:$P$5001,BD!$A$3:$A$5001,X$3,BD!$B$3:$B$5001,$A$155)))</f>
        <v/>
      </c>
      <c r="Y168" s="227" t="str">
        <f>IF(Y$3="","",IF(COUNTIFS(BD!$A$3:$A$5001,Y$3,BD!$B$3:$B$5001,$A$155,BD!$P$3:$P$5001,"&lt;&gt;")=0,"",SUMIFS(BD!$P$3:$P$5001,BD!$A$3:$A$5001,Y$3,BD!$B$3:$B$5001,$A$155)))</f>
        <v/>
      </c>
      <c r="Z168" s="227" t="str">
        <f>IF(Z$3="","",IF(COUNTIFS(BD!$A$3:$A$5001,Z$3,BD!$B$3:$B$5001,$A$155,BD!$P$3:$P$5001,"&lt;&gt;")=0,"",SUMIFS(BD!$P$3:$P$5001,BD!$A$3:$A$5001,Z$3,BD!$B$3:$B$5001,$A$155)))</f>
        <v/>
      </c>
      <c r="AA168" s="227" t="str">
        <f>IF(AA$3="","",IF(COUNTIFS(BD!$A$3:$A$5001,AA$3,BD!$B$3:$B$5001,$A$155,BD!$P$3:$P$5001,"&lt;&gt;")=0,"",SUMIFS(BD!$P$3:$P$5001,BD!$A$3:$A$5001,AA$3,BD!$B$3:$B$5001,$A$155)))</f>
        <v/>
      </c>
      <c r="AB168" s="227" t="str">
        <f>IF(AB$3="","",IF(COUNTIFS(BD!$A$3:$A$5001,AB$3,BD!$B$3:$B$5001,$A$155,BD!$P$3:$P$5001,"&lt;&gt;")=0,"",SUMIFS(BD!$P$3:$P$5001,BD!$A$3:$A$5001,AB$3,BD!$B$3:$B$5001,$A$155)))</f>
        <v/>
      </c>
      <c r="AC168" s="227" t="str">
        <f>IF(AC$3="","",IF(COUNTIFS(BD!$A$3:$A$5001,AC$3,BD!$B$3:$B$5001,$A$155,BD!$P$3:$P$5001,"&lt;&gt;")=0,"",SUMIFS(BD!$P$3:$P$5001,BD!$A$3:$A$5001,AC$3,BD!$B$3:$B$5001,$A$155)))</f>
        <v/>
      </c>
      <c r="AD168" s="227" t="str">
        <f>IF(AD$3="","",IF(COUNTIFS(BD!$A$3:$A$5001,AD$3,BD!$B$3:$B$5001,$A$155,BD!$P$3:$P$5001,"&lt;&gt;")=0,"",SUMIFS(BD!$P$3:$P$5001,BD!$A$3:$A$5001,AD$3,BD!$B$3:$B$5001,$A$155)))</f>
        <v/>
      </c>
      <c r="AE168" s="227" t="str">
        <f>IF(AE$3="","",IF(COUNTIFS(BD!$A$3:$A$5001,AE$3,BD!$B$3:$B$5001,$A$155,BD!$P$3:$P$5001,"&lt;&gt;")=0,"",SUMIFS(BD!$P$3:$P$5001,BD!$A$3:$A$5001,AE$3,BD!$B$3:$B$5001,$A$155)))</f>
        <v/>
      </c>
      <c r="AF168" s="227" t="str">
        <f>IF(AF$3="","",IF(COUNTIFS(BD!$A$3:$A$5001,AF$3,BD!$B$3:$B$5001,$A$155,BD!$P$3:$P$5001,"&lt;&gt;")=0,"",SUMIFS(BD!$P$3:$P$5001,BD!$A$3:$A$5001,AF$3,BD!$B$3:$B$5001,$A$155)))</f>
        <v/>
      </c>
      <c r="AG168" s="227" t="str">
        <f>IF(AG$3="","",IF(COUNTIFS(BD!$A$3:$A$5001,AG$3,BD!$B$3:$B$5001,$A$155,BD!$P$3:$P$5001,"&lt;&gt;")=0,"",SUMIFS(BD!$P$3:$P$5001,BD!$A$3:$A$5001,AG$3,BD!$B$3:$B$5001,$A$155)))</f>
        <v/>
      </c>
      <c r="AH168" s="227" t="str">
        <f>IF(AH$3="","",IF(COUNTIFS(BD!$A$3:$A$5001,AH$3,BD!$B$3:$B$5001,$A$155,BD!$P$3:$P$5001,"&lt;&gt;")=0,"",SUMIFS(BD!$P$3:$P$5001,BD!$A$3:$A$5001,AH$3,BD!$B$3:$B$5001,$A$155)))</f>
        <v/>
      </c>
      <c r="AI168" s="227" t="str">
        <f>IF(AI$3="","",IF(COUNTIFS(BD!$A$3:$A$5001,AI$3,BD!$B$3:$B$5001,$A$155,BD!$P$3:$P$5001,"&lt;&gt;")=0,"",SUMIFS(BD!$P$3:$P$5001,BD!$A$3:$A$5001,AI$3,BD!$B$3:$B$5001,$A$155)))</f>
        <v/>
      </c>
      <c r="AJ168" s="228" t="str">
        <f>IF(AJ$3="","",IF(COUNTIFS(BD!$A$3:$A$5001,AJ$3,BD!$B$3:$B$5001,$A$155,BD!$P$3:$P$5001,"&lt;&gt;")=0,"",SUMIFS(BD!$P$3:$P$5001,BD!$A$3:$A$5001,AJ$3,BD!$B$3:$B$5001,$A$155)))</f>
        <v/>
      </c>
      <c r="AK168" s="229" t="str">
        <f>IFERROR(LOOKUP(9.99E+307,F168:AJ168),"")</f>
        <v/>
      </c>
    </row>
    <row r="169" ht="15.75" customHeight="1" hidden="1">
      <c r="A169" s="277"/>
      <c r="B169" s="272"/>
      <c r="C169" s="230" t="inlineStr">
        <is>
          <t xml:space="preserve">Backlog Cliente</t>
        </is>
      </c>
      <c r="D169" s="231" t="str">
        <f>IFERROR(1/(1/INDEX(BD!$AF$37:$AZ$37,MATCH($A$155,BD!$AF$22:$AZ$22,0))),"")</f>
        <v/>
      </c>
      <c r="E169" s="232"/>
      <c r="F169" s="233" t="str">
        <f>IF(F$3="","",IF(COUNTIFS(BD!$A$3:$A$5001,F$3,BD!$B$3:$B$5001,$A$155,BD!$Q$3:$Q$5001,"&lt;&gt;")=0,"",SUMIFS(BD!$Q$3:$Q$5001,BD!$A$3:$A$5001,F$3,BD!$B$3:$B$5001,$A$155)))</f>
        <v/>
      </c>
      <c r="G169" s="234" t="str">
        <f>IF(G$3="","",IF(COUNTIFS(BD!$A$3:$A$5001,G$3,BD!$B$3:$B$5001,$A$155,BD!$Q$3:$Q$5001,"&lt;&gt;")=0,"",SUMIFS(BD!$Q$3:$Q$5001,BD!$A$3:$A$5001,G$3,BD!$B$3:$B$5001,$A$155)))</f>
        <v/>
      </c>
      <c r="H169" s="234" t="str">
        <f>IF(H$3="","",IF(COUNTIFS(BD!$A$3:$A$5001,H$3,BD!$B$3:$B$5001,$A$155,BD!$Q$3:$Q$5001,"&lt;&gt;")=0,"",SUMIFS(BD!$Q$3:$Q$5001,BD!$A$3:$A$5001,H$3,BD!$B$3:$B$5001,$A$155)))</f>
        <v/>
      </c>
      <c r="I169" s="234" t="str">
        <f>IF(I$3="","",IF(COUNTIFS(BD!$A$3:$A$5001,I$3,BD!$B$3:$B$5001,$A$155,BD!$Q$3:$Q$5001,"&lt;&gt;")=0,"",SUMIFS(BD!$Q$3:$Q$5001,BD!$A$3:$A$5001,I$3,BD!$B$3:$B$5001,$A$155)))</f>
        <v/>
      </c>
      <c r="J169" s="234" t="str">
        <f>IF(J$3="","",IF(COUNTIFS(BD!$A$3:$A$5001,J$3,BD!$B$3:$B$5001,$A$155,BD!$Q$3:$Q$5001,"&lt;&gt;")=0,"",SUMIFS(BD!$Q$3:$Q$5001,BD!$A$3:$A$5001,J$3,BD!$B$3:$B$5001,$A$155)))</f>
        <v/>
      </c>
      <c r="K169" s="234" t="str">
        <f>IF(K$3="","",IF(COUNTIFS(BD!$A$3:$A$5001,K$3,BD!$B$3:$B$5001,$A$155,BD!$Q$3:$Q$5001,"&lt;&gt;")=0,"",SUMIFS(BD!$Q$3:$Q$5001,BD!$A$3:$A$5001,K$3,BD!$B$3:$B$5001,$A$155)))</f>
        <v/>
      </c>
      <c r="L169" s="234" t="str">
        <f>IF(L$3="","",IF(COUNTIFS(BD!$A$3:$A$5001,L$3,BD!$B$3:$B$5001,$A$155,BD!$Q$3:$Q$5001,"&lt;&gt;")=0,"",SUMIFS(BD!$Q$3:$Q$5001,BD!$A$3:$A$5001,L$3,BD!$B$3:$B$5001,$A$155)))</f>
        <v/>
      </c>
      <c r="M169" s="234" t="str">
        <f>IF(M$3="","",IF(COUNTIFS(BD!$A$3:$A$5001,M$3,BD!$B$3:$B$5001,$A$155,BD!$Q$3:$Q$5001,"&lt;&gt;")=0,"",SUMIFS(BD!$Q$3:$Q$5001,BD!$A$3:$A$5001,M$3,BD!$B$3:$B$5001,$A$155)))</f>
        <v/>
      </c>
      <c r="N169" s="234" t="str">
        <f>IF(N$3="","",IF(COUNTIFS(BD!$A$3:$A$5001,N$3,BD!$B$3:$B$5001,$A$155,BD!$Q$3:$Q$5001,"&lt;&gt;")=0,"",SUMIFS(BD!$Q$3:$Q$5001,BD!$A$3:$A$5001,N$3,BD!$B$3:$B$5001,$A$155)))</f>
        <v/>
      </c>
      <c r="O169" s="234" t="str">
        <f>IF(O$3="","",IF(COUNTIFS(BD!$A$3:$A$5001,O$3,BD!$B$3:$B$5001,$A$155,BD!$Q$3:$Q$5001,"&lt;&gt;")=0,"",SUMIFS(BD!$Q$3:$Q$5001,BD!$A$3:$A$5001,O$3,BD!$B$3:$B$5001,$A$155)))</f>
        <v/>
      </c>
      <c r="P169" s="234" t="str">
        <f>IF(P$3="","",IF(COUNTIFS(BD!$A$3:$A$5001,P$3,BD!$B$3:$B$5001,$A$155,BD!$Q$3:$Q$5001,"&lt;&gt;")=0,"",SUMIFS(BD!$Q$3:$Q$5001,BD!$A$3:$A$5001,P$3,BD!$B$3:$B$5001,$A$155)))</f>
        <v/>
      </c>
      <c r="Q169" s="234" t="str">
        <f>IF(Q$3="","",IF(COUNTIFS(BD!$A$3:$A$5001,Q$3,BD!$B$3:$B$5001,$A$155,BD!$Q$3:$Q$5001,"&lt;&gt;")=0,"",SUMIFS(BD!$Q$3:$Q$5001,BD!$A$3:$A$5001,Q$3,BD!$B$3:$B$5001,$A$155)))</f>
        <v/>
      </c>
      <c r="R169" s="234" t="str">
        <f>IF(R$3="","",IF(COUNTIFS(BD!$A$3:$A$5001,R$3,BD!$B$3:$B$5001,$A$155,BD!$Q$3:$Q$5001,"&lt;&gt;")=0,"",SUMIFS(BD!$Q$3:$Q$5001,BD!$A$3:$A$5001,R$3,BD!$B$3:$B$5001,$A$155)))</f>
        <v/>
      </c>
      <c r="S169" s="234" t="str">
        <f>IF(S$3="","",IF(COUNTIFS(BD!$A$3:$A$5001,S$3,BD!$B$3:$B$5001,$A$155,BD!$Q$3:$Q$5001,"&lt;&gt;")=0,"",SUMIFS(BD!$Q$3:$Q$5001,BD!$A$3:$A$5001,S$3,BD!$B$3:$B$5001,$A$155)))</f>
        <v/>
      </c>
      <c r="T169" s="234" t="str">
        <f>IF(T$3="","",IF(COUNTIFS(BD!$A$3:$A$5001,T$3,BD!$B$3:$B$5001,$A$155,BD!$Q$3:$Q$5001,"&lt;&gt;")=0,"",SUMIFS(BD!$Q$3:$Q$5001,BD!$A$3:$A$5001,T$3,BD!$B$3:$B$5001,$A$155)))</f>
        <v/>
      </c>
      <c r="U169" s="234" t="str">
        <f>IF(U$3="","",IF(COUNTIFS(BD!$A$3:$A$5001,U$3,BD!$B$3:$B$5001,$A$155,BD!$Q$3:$Q$5001,"&lt;&gt;")=0,"",SUMIFS(BD!$Q$3:$Q$5001,BD!$A$3:$A$5001,U$3,BD!$B$3:$B$5001,$A$155)))</f>
        <v/>
      </c>
      <c r="V169" s="234" t="str">
        <f>IF(V$3="","",IF(COUNTIFS(BD!$A$3:$A$5001,V$3,BD!$B$3:$B$5001,$A$155,BD!$Q$3:$Q$5001,"&lt;&gt;")=0,"",SUMIFS(BD!$Q$3:$Q$5001,BD!$A$3:$A$5001,V$3,BD!$B$3:$B$5001,$A$155)))</f>
        <v/>
      </c>
      <c r="W169" s="234" t="str">
        <f>IF(W$3="","",IF(COUNTIFS(BD!$A$3:$A$5001,W$3,BD!$B$3:$B$5001,$A$155,BD!$Q$3:$Q$5001,"&lt;&gt;")=0,"",SUMIFS(BD!$Q$3:$Q$5001,BD!$A$3:$A$5001,W$3,BD!$B$3:$B$5001,$A$155)))</f>
        <v/>
      </c>
      <c r="X169" s="234" t="str">
        <f>IF(X$3="","",IF(COUNTIFS(BD!$A$3:$A$5001,X$3,BD!$B$3:$B$5001,$A$155,BD!$Q$3:$Q$5001,"&lt;&gt;")=0,"",SUMIFS(BD!$Q$3:$Q$5001,BD!$A$3:$A$5001,X$3,BD!$B$3:$B$5001,$A$155)))</f>
        <v/>
      </c>
      <c r="Y169" s="234" t="str">
        <f>IF(Y$3="","",IF(COUNTIFS(BD!$A$3:$A$5001,Y$3,BD!$B$3:$B$5001,$A$155,BD!$Q$3:$Q$5001,"&lt;&gt;")=0,"",SUMIFS(BD!$Q$3:$Q$5001,BD!$A$3:$A$5001,Y$3,BD!$B$3:$B$5001,$A$155)))</f>
        <v/>
      </c>
      <c r="Z169" s="234" t="str">
        <f>IF(Z$3="","",IF(COUNTIFS(BD!$A$3:$A$5001,Z$3,BD!$B$3:$B$5001,$A$155,BD!$Q$3:$Q$5001,"&lt;&gt;")=0,"",SUMIFS(BD!$Q$3:$Q$5001,BD!$A$3:$A$5001,Z$3,BD!$B$3:$B$5001,$A$155)))</f>
        <v/>
      </c>
      <c r="AA169" s="234" t="str">
        <f>IF(AA$3="","",IF(COUNTIFS(BD!$A$3:$A$5001,AA$3,BD!$B$3:$B$5001,$A$155,BD!$Q$3:$Q$5001,"&lt;&gt;")=0,"",SUMIFS(BD!$Q$3:$Q$5001,BD!$A$3:$A$5001,AA$3,BD!$B$3:$B$5001,$A$155)))</f>
        <v/>
      </c>
      <c r="AB169" s="234" t="str">
        <f>IF(AB$3="","",IF(COUNTIFS(BD!$A$3:$A$5001,AB$3,BD!$B$3:$B$5001,$A$155,BD!$Q$3:$Q$5001,"&lt;&gt;")=0,"",SUMIFS(BD!$Q$3:$Q$5001,BD!$A$3:$A$5001,AB$3,BD!$B$3:$B$5001,$A$155)))</f>
        <v/>
      </c>
      <c r="AC169" s="234" t="str">
        <f>IF(AC$3="","",IF(COUNTIFS(BD!$A$3:$A$5001,AC$3,BD!$B$3:$B$5001,$A$155,BD!$Q$3:$Q$5001,"&lt;&gt;")=0,"",SUMIFS(BD!$Q$3:$Q$5001,BD!$A$3:$A$5001,AC$3,BD!$B$3:$B$5001,$A$155)))</f>
        <v/>
      </c>
      <c r="AD169" s="234" t="str">
        <f>IF(AD$3="","",IF(COUNTIFS(BD!$A$3:$A$5001,AD$3,BD!$B$3:$B$5001,$A$155,BD!$Q$3:$Q$5001,"&lt;&gt;")=0,"",SUMIFS(BD!$Q$3:$Q$5001,BD!$A$3:$A$5001,AD$3,BD!$B$3:$B$5001,$A$155)))</f>
        <v/>
      </c>
      <c r="AE169" s="234" t="str">
        <f>IF(AE$3="","",IF(COUNTIFS(BD!$A$3:$A$5001,AE$3,BD!$B$3:$B$5001,$A$155,BD!$Q$3:$Q$5001,"&lt;&gt;")=0,"",SUMIFS(BD!$Q$3:$Q$5001,BD!$A$3:$A$5001,AE$3,BD!$B$3:$B$5001,$A$155)))</f>
        <v/>
      </c>
      <c r="AF169" s="234" t="str">
        <f>IF(AF$3="","",IF(COUNTIFS(BD!$A$3:$A$5001,AF$3,BD!$B$3:$B$5001,$A$155,BD!$Q$3:$Q$5001,"&lt;&gt;")=0,"",SUMIFS(BD!$Q$3:$Q$5001,BD!$A$3:$A$5001,AF$3,BD!$B$3:$B$5001,$A$155)))</f>
        <v/>
      </c>
      <c r="AG169" s="234" t="str">
        <f>IF(AG$3="","",IF(COUNTIFS(BD!$A$3:$A$5001,AG$3,BD!$B$3:$B$5001,$A$155,BD!$Q$3:$Q$5001,"&lt;&gt;")=0,"",SUMIFS(BD!$Q$3:$Q$5001,BD!$A$3:$A$5001,AG$3,BD!$B$3:$B$5001,$A$155)))</f>
        <v/>
      </c>
      <c r="AH169" s="234" t="str">
        <f>IF(AH$3="","",IF(COUNTIFS(BD!$A$3:$A$5001,AH$3,BD!$B$3:$B$5001,$A$155,BD!$Q$3:$Q$5001,"&lt;&gt;")=0,"",SUMIFS(BD!$Q$3:$Q$5001,BD!$A$3:$A$5001,AH$3,BD!$B$3:$B$5001,$A$155)))</f>
        <v/>
      </c>
      <c r="AI169" s="234" t="str">
        <f>IF(AI$3="","",IF(COUNTIFS(BD!$A$3:$A$5001,AI$3,BD!$B$3:$B$5001,$A$155,BD!$Q$3:$Q$5001,"&lt;&gt;")=0,"",SUMIFS(BD!$Q$3:$Q$5001,BD!$A$3:$A$5001,AI$3,BD!$B$3:$B$5001,$A$155)))</f>
        <v/>
      </c>
      <c r="AJ169" s="235" t="str">
        <f>IF(AJ$3="","",IF(COUNTIFS(BD!$A$3:$A$5001,AJ$3,BD!$B$3:$B$5001,$A$155,BD!$Q$3:$Q$5001,"&lt;&gt;")=0,"",SUMIFS(BD!$Q$3:$Q$5001,BD!$A$3:$A$5001,AJ$3,BD!$B$3:$B$5001,$A$155)))</f>
        <v/>
      </c>
      <c r="AK169" s="231" t="str">
        <f>IFERROR(LOOKUP(9.99E+307,F169:AJ169),"")</f>
        <v/>
      </c>
    </row>
    <row r="170" ht="15.75" customHeight="1" hidden="1">
      <c r="A170" s="277"/>
      <c r="B170" s="264" t="inlineStr">
        <is>
          <t xml:space="preserve">OCUPAÇÃO (P.P)</t>
        </is>
      </c>
      <c r="C170" s="168" t="inlineStr">
        <is>
          <t xml:space="preserve">Posições Disponíveis</t>
        </is>
      </c>
      <c r="D170" s="169" t="str">
        <f>IFERROR(1/(1/INDEX(BD!$AF$38:$AZ$38,MATCH($A$155,BD!$AF$22:$AZ$22,0))),"")</f>
        <v/>
      </c>
      <c r="E170" s="170"/>
      <c r="F170" s="171" t="str">
        <f>IF(F$3="","",IF(COUNTIFS(BD!$A$3:$A$5001,F$3,BD!$B$3:$B$5001,$A$155,BD!$R$3:$R$5001,"&lt;&gt;")=0,"",SUMIFS(BD!$R$3:$R$5001,BD!$A$3:$A$5001,F$3,BD!$B$3:$B$5001,$A$155)))</f>
        <v/>
      </c>
      <c r="G170" s="172" t="str">
        <f>IF(G$3="","",IF(COUNTIFS(BD!$A$3:$A$5001,G$3,BD!$B$3:$B$5001,$A$155,BD!$R$3:$R$5001,"&lt;&gt;")=0,"",SUMIFS(BD!$R$3:$R$5001,BD!$A$3:$A$5001,G$3,BD!$B$3:$B$5001,$A$155)))</f>
        <v/>
      </c>
      <c r="H170" s="172" t="str">
        <f>IF(H$3="","",IF(COUNTIFS(BD!$A$3:$A$5001,H$3,BD!$B$3:$B$5001,$A$155,BD!$R$3:$R$5001,"&lt;&gt;")=0,"",SUMIFS(BD!$R$3:$R$5001,BD!$A$3:$A$5001,H$3,BD!$B$3:$B$5001,$A$155)))</f>
        <v/>
      </c>
      <c r="I170" s="172" t="str">
        <f>IF(I$3="","",IF(COUNTIFS(BD!$A$3:$A$5001,I$3,BD!$B$3:$B$5001,$A$155,BD!$R$3:$R$5001,"&lt;&gt;")=0,"",SUMIFS(BD!$R$3:$R$5001,BD!$A$3:$A$5001,I$3,BD!$B$3:$B$5001,$A$155)))</f>
        <v/>
      </c>
      <c r="J170" s="172" t="str">
        <f>IF(J$3="","",IF(COUNTIFS(BD!$A$3:$A$5001,J$3,BD!$B$3:$B$5001,$A$155,BD!$R$3:$R$5001,"&lt;&gt;")=0,"",SUMIFS(BD!$R$3:$R$5001,BD!$A$3:$A$5001,J$3,BD!$B$3:$B$5001,$A$155)))</f>
        <v/>
      </c>
      <c r="K170" s="172" t="str">
        <f>IF(K$3="","",IF(COUNTIFS(BD!$A$3:$A$5001,K$3,BD!$B$3:$B$5001,$A$155,BD!$R$3:$R$5001,"&lt;&gt;")=0,"",SUMIFS(BD!$R$3:$R$5001,BD!$A$3:$A$5001,K$3,BD!$B$3:$B$5001,$A$155)))</f>
        <v/>
      </c>
      <c r="L170" s="172" t="str">
        <f>IF(L$3="","",IF(COUNTIFS(BD!$A$3:$A$5001,L$3,BD!$B$3:$B$5001,$A$155,BD!$R$3:$R$5001,"&lt;&gt;")=0,"",SUMIFS(BD!$R$3:$R$5001,BD!$A$3:$A$5001,L$3,BD!$B$3:$B$5001,$A$155)))</f>
        <v/>
      </c>
      <c r="M170" s="172" t="str">
        <f>IF(M$3="","",IF(COUNTIFS(BD!$A$3:$A$5001,M$3,BD!$B$3:$B$5001,$A$155,BD!$R$3:$R$5001,"&lt;&gt;")=0,"",SUMIFS(BD!$R$3:$R$5001,BD!$A$3:$A$5001,M$3,BD!$B$3:$B$5001,$A$155)))</f>
        <v/>
      </c>
      <c r="N170" s="172" t="str">
        <f>IF(N$3="","",IF(COUNTIFS(BD!$A$3:$A$5001,N$3,BD!$B$3:$B$5001,$A$155,BD!$R$3:$R$5001,"&lt;&gt;")=0,"",SUMIFS(BD!$R$3:$R$5001,BD!$A$3:$A$5001,N$3,BD!$B$3:$B$5001,$A$155)))</f>
        <v/>
      </c>
      <c r="O170" s="172" t="str">
        <f>IF(O$3="","",IF(COUNTIFS(BD!$A$3:$A$5001,O$3,BD!$B$3:$B$5001,$A$155,BD!$R$3:$R$5001,"&lt;&gt;")=0,"",SUMIFS(BD!$R$3:$R$5001,BD!$A$3:$A$5001,O$3,BD!$B$3:$B$5001,$A$155)))</f>
        <v/>
      </c>
      <c r="P170" s="172" t="str">
        <f>IF(P$3="","",IF(COUNTIFS(BD!$A$3:$A$5001,P$3,BD!$B$3:$B$5001,$A$155,BD!$R$3:$R$5001,"&lt;&gt;")=0,"",SUMIFS(BD!$R$3:$R$5001,BD!$A$3:$A$5001,P$3,BD!$B$3:$B$5001,$A$155)))</f>
        <v/>
      </c>
      <c r="Q170" s="172" t="str">
        <f>IF(Q$3="","",IF(COUNTIFS(BD!$A$3:$A$5001,Q$3,BD!$B$3:$B$5001,$A$155,BD!$R$3:$R$5001,"&lt;&gt;")=0,"",SUMIFS(BD!$R$3:$R$5001,BD!$A$3:$A$5001,Q$3,BD!$B$3:$B$5001,$A$155)))</f>
        <v/>
      </c>
      <c r="R170" s="172" t="str">
        <f>IF(R$3="","",IF(COUNTIFS(BD!$A$3:$A$5001,R$3,BD!$B$3:$B$5001,$A$155,BD!$R$3:$R$5001,"&lt;&gt;")=0,"",SUMIFS(BD!$R$3:$R$5001,BD!$A$3:$A$5001,R$3,BD!$B$3:$B$5001,$A$155)))</f>
        <v/>
      </c>
      <c r="S170" s="172" t="str">
        <f>IF(S$3="","",IF(COUNTIFS(BD!$A$3:$A$5001,S$3,BD!$B$3:$B$5001,$A$155,BD!$R$3:$R$5001,"&lt;&gt;")=0,"",SUMIFS(BD!$R$3:$R$5001,BD!$A$3:$A$5001,S$3,BD!$B$3:$B$5001,$A$155)))</f>
        <v/>
      </c>
      <c r="T170" s="172" t="str">
        <f>IF(T$3="","",IF(COUNTIFS(BD!$A$3:$A$5001,T$3,BD!$B$3:$B$5001,$A$155,BD!$R$3:$R$5001,"&lt;&gt;")=0,"",SUMIFS(BD!$R$3:$R$5001,BD!$A$3:$A$5001,T$3,BD!$B$3:$B$5001,$A$155)))</f>
        <v/>
      </c>
      <c r="U170" s="172" t="str">
        <f>IF(U$3="","",IF(COUNTIFS(BD!$A$3:$A$5001,U$3,BD!$B$3:$B$5001,$A$155,BD!$R$3:$R$5001,"&lt;&gt;")=0,"",SUMIFS(BD!$R$3:$R$5001,BD!$A$3:$A$5001,U$3,BD!$B$3:$B$5001,$A$155)))</f>
        <v/>
      </c>
      <c r="V170" s="172" t="str">
        <f>IF(V$3="","",IF(COUNTIFS(BD!$A$3:$A$5001,V$3,BD!$B$3:$B$5001,$A$155,BD!$R$3:$R$5001,"&lt;&gt;")=0,"",SUMIFS(BD!$R$3:$R$5001,BD!$A$3:$A$5001,V$3,BD!$B$3:$B$5001,$A$155)))</f>
        <v/>
      </c>
      <c r="W170" s="172" t="str">
        <f>IF(W$3="","",IF(COUNTIFS(BD!$A$3:$A$5001,W$3,BD!$B$3:$B$5001,$A$155,BD!$R$3:$R$5001,"&lt;&gt;")=0,"",SUMIFS(BD!$R$3:$R$5001,BD!$A$3:$A$5001,W$3,BD!$B$3:$B$5001,$A$155)))</f>
        <v/>
      </c>
      <c r="X170" s="172" t="str">
        <f>IF(X$3="","",IF(COUNTIFS(BD!$A$3:$A$5001,X$3,BD!$B$3:$B$5001,$A$155,BD!$R$3:$R$5001,"&lt;&gt;")=0,"",SUMIFS(BD!$R$3:$R$5001,BD!$A$3:$A$5001,X$3,BD!$B$3:$B$5001,$A$155)))</f>
        <v/>
      </c>
      <c r="Y170" s="172" t="str">
        <f>IF(Y$3="","",IF(COUNTIFS(BD!$A$3:$A$5001,Y$3,BD!$B$3:$B$5001,$A$155,BD!$R$3:$R$5001,"&lt;&gt;")=0,"",SUMIFS(BD!$R$3:$R$5001,BD!$A$3:$A$5001,Y$3,BD!$B$3:$B$5001,$A$155)))</f>
        <v/>
      </c>
      <c r="Z170" s="172" t="str">
        <f>IF(Z$3="","",IF(COUNTIFS(BD!$A$3:$A$5001,Z$3,BD!$B$3:$B$5001,$A$155,BD!$R$3:$R$5001,"&lt;&gt;")=0,"",SUMIFS(BD!$R$3:$R$5001,BD!$A$3:$A$5001,Z$3,BD!$B$3:$B$5001,$A$155)))</f>
        <v/>
      </c>
      <c r="AA170" s="172" t="str">
        <f>IF(AA$3="","",IF(COUNTIFS(BD!$A$3:$A$5001,AA$3,BD!$B$3:$B$5001,$A$155,BD!$R$3:$R$5001,"&lt;&gt;")=0,"",SUMIFS(BD!$R$3:$R$5001,BD!$A$3:$A$5001,AA$3,BD!$B$3:$B$5001,$A$155)))</f>
        <v/>
      </c>
      <c r="AB170" s="172" t="str">
        <f>IF(AB$3="","",IF(COUNTIFS(BD!$A$3:$A$5001,AB$3,BD!$B$3:$B$5001,$A$155,BD!$R$3:$R$5001,"&lt;&gt;")=0,"",SUMIFS(BD!$R$3:$R$5001,BD!$A$3:$A$5001,AB$3,BD!$B$3:$B$5001,$A$155)))</f>
        <v/>
      </c>
      <c r="AC170" s="172" t="str">
        <f>IF(AC$3="","",IF(COUNTIFS(BD!$A$3:$A$5001,AC$3,BD!$B$3:$B$5001,$A$155,BD!$R$3:$R$5001,"&lt;&gt;")=0,"",SUMIFS(BD!$R$3:$R$5001,BD!$A$3:$A$5001,AC$3,BD!$B$3:$B$5001,$A$155)))</f>
        <v/>
      </c>
      <c r="AD170" s="172" t="str">
        <f>IF(AD$3="","",IF(COUNTIFS(BD!$A$3:$A$5001,AD$3,BD!$B$3:$B$5001,$A$155,BD!$R$3:$R$5001,"&lt;&gt;")=0,"",SUMIFS(BD!$R$3:$R$5001,BD!$A$3:$A$5001,AD$3,BD!$B$3:$B$5001,$A$155)))</f>
        <v/>
      </c>
      <c r="AE170" s="172" t="str">
        <f>IF(AE$3="","",IF(COUNTIFS(BD!$A$3:$A$5001,AE$3,BD!$B$3:$B$5001,$A$155,BD!$R$3:$R$5001,"&lt;&gt;")=0,"",SUMIFS(BD!$R$3:$R$5001,BD!$A$3:$A$5001,AE$3,BD!$B$3:$B$5001,$A$155)))</f>
        <v/>
      </c>
      <c r="AF170" s="172" t="str">
        <f>IF(AF$3="","",IF(COUNTIFS(BD!$A$3:$A$5001,AF$3,BD!$B$3:$B$5001,$A$155,BD!$R$3:$R$5001,"&lt;&gt;")=0,"",SUMIFS(BD!$R$3:$R$5001,BD!$A$3:$A$5001,AF$3,BD!$B$3:$B$5001,$A$155)))</f>
        <v/>
      </c>
      <c r="AG170" s="172" t="str">
        <f>IF(AG$3="","",IF(COUNTIFS(BD!$A$3:$A$5001,AG$3,BD!$B$3:$B$5001,$A$155,BD!$R$3:$R$5001,"&lt;&gt;")=0,"",SUMIFS(BD!$R$3:$R$5001,BD!$A$3:$A$5001,AG$3,BD!$B$3:$B$5001,$A$155)))</f>
        <v/>
      </c>
      <c r="AH170" s="172" t="str">
        <f>IF(AH$3="","",IF(COUNTIFS(BD!$A$3:$A$5001,AH$3,BD!$B$3:$B$5001,$A$155,BD!$R$3:$R$5001,"&lt;&gt;")=0,"",SUMIFS(BD!$R$3:$R$5001,BD!$A$3:$A$5001,AH$3,BD!$B$3:$B$5001,$A$155)))</f>
        <v/>
      </c>
      <c r="AI170" s="172" t="str">
        <f>IF(AI$3="","",IF(COUNTIFS(BD!$A$3:$A$5001,AI$3,BD!$B$3:$B$5001,$A$155,BD!$R$3:$R$5001,"&lt;&gt;")=0,"",SUMIFS(BD!$R$3:$R$5001,BD!$A$3:$A$5001,AI$3,BD!$B$3:$B$5001,$A$155)))</f>
        <v/>
      </c>
      <c r="AJ170" s="173" t="str">
        <f>IF(AJ$3="","",IF(COUNTIFS(BD!$A$3:$A$5001,AJ$3,BD!$B$3:$B$5001,$A$155,BD!$R$3:$R$5001,"&lt;&gt;")=0,"",SUMIFS(BD!$R$3:$R$5001,BD!$A$3:$A$5001,AJ$3,BD!$B$3:$B$5001,$A$155)))</f>
        <v/>
      </c>
      <c r="AK170" s="174" t="str">
        <f>IF(COUNT(F170:AJ170)&gt;0,LOOKUP(9.99E+307,F170:AJ170),IFERROR(IF(INDEX(BD!$AC$3:$AC$5001,MATCH($A$155,BD!$B$3:$B$5001,0))&amp;""="Contrato","",INDEX(BD!$AC$3:$AC$5001,MATCH($A$155,BD!$B$3:$B$5001,0))&amp;""),""))</f>
        <v/>
      </c>
    </row>
    <row r="171" ht="15.75" customHeight="1" hidden="1">
      <c r="A171" s="277"/>
      <c r="B171" s="265"/>
      <c r="C171" s="175" t="inlineStr">
        <is>
          <t xml:space="preserve">Posições Ocupadas</t>
        </is>
      </c>
      <c r="D171" s="176" t="str">
        <f>IFERROR(1/(1/INDEX(BD!$AF$39:$AZ$39,MATCH($A$155,BD!$AF$22:$AZ$22,0))),"")</f>
        <v/>
      </c>
      <c r="E171" s="177"/>
      <c r="F171" s="178" t="str">
        <f>IF(F$3="","",IF(COUNTIFS(BD!$A$3:$A$5001,F$3,BD!$B$3:$B$5001,$A$155,BD!$S$3:$S$5001,"&lt;&gt;")=0,"",SUMIFS(BD!$S$3:$S$5001,BD!$A$3:$A$5001,F$3,BD!$B$3:$B$5001,$A$155)))</f>
        <v/>
      </c>
      <c r="G171" s="179" t="str">
        <f>IF(G$3="","",IF(COUNTIFS(BD!$A$3:$A$5001,G$3,BD!$B$3:$B$5001,$A$155,BD!$S$3:$S$5001,"&lt;&gt;")=0,"",SUMIFS(BD!$S$3:$S$5001,BD!$A$3:$A$5001,G$3,BD!$B$3:$B$5001,$A$155)))</f>
        <v/>
      </c>
      <c r="H171" s="179" t="str">
        <f>IF(H$3="","",IF(COUNTIFS(BD!$A$3:$A$5001,H$3,BD!$B$3:$B$5001,$A$155,BD!$S$3:$S$5001,"&lt;&gt;")=0,"",SUMIFS(BD!$S$3:$S$5001,BD!$A$3:$A$5001,H$3,BD!$B$3:$B$5001,$A$155)))</f>
        <v/>
      </c>
      <c r="I171" s="179" t="str">
        <f>IF(I$3="","",IF(COUNTIFS(BD!$A$3:$A$5001,I$3,BD!$B$3:$B$5001,$A$155,BD!$S$3:$S$5001,"&lt;&gt;")=0,"",SUMIFS(BD!$S$3:$S$5001,BD!$A$3:$A$5001,I$3,BD!$B$3:$B$5001,$A$155)))</f>
        <v/>
      </c>
      <c r="J171" s="179" t="str">
        <f>IF(J$3="","",IF(COUNTIFS(BD!$A$3:$A$5001,J$3,BD!$B$3:$B$5001,$A$155,BD!$S$3:$S$5001,"&lt;&gt;")=0,"",SUMIFS(BD!$S$3:$S$5001,BD!$A$3:$A$5001,J$3,BD!$B$3:$B$5001,$A$155)))</f>
        <v/>
      </c>
      <c r="K171" s="179" t="str">
        <f>IF(K$3="","",IF(COUNTIFS(BD!$A$3:$A$5001,K$3,BD!$B$3:$B$5001,$A$155,BD!$S$3:$S$5001,"&lt;&gt;")=0,"",SUMIFS(BD!$S$3:$S$5001,BD!$A$3:$A$5001,K$3,BD!$B$3:$B$5001,$A$155)))</f>
        <v/>
      </c>
      <c r="L171" s="179" t="str">
        <f>IF(L$3="","",IF(COUNTIFS(BD!$A$3:$A$5001,L$3,BD!$B$3:$B$5001,$A$155,BD!$S$3:$S$5001,"&lt;&gt;")=0,"",SUMIFS(BD!$S$3:$S$5001,BD!$A$3:$A$5001,L$3,BD!$B$3:$B$5001,$A$155)))</f>
        <v/>
      </c>
      <c r="M171" s="179" t="str">
        <f>IF(M$3="","",IF(COUNTIFS(BD!$A$3:$A$5001,M$3,BD!$B$3:$B$5001,$A$155,BD!$S$3:$S$5001,"&lt;&gt;")=0,"",SUMIFS(BD!$S$3:$S$5001,BD!$A$3:$A$5001,M$3,BD!$B$3:$B$5001,$A$155)))</f>
        <v/>
      </c>
      <c r="N171" s="179" t="str">
        <f>IF(N$3="","",IF(COUNTIFS(BD!$A$3:$A$5001,N$3,BD!$B$3:$B$5001,$A$155,BD!$S$3:$S$5001,"&lt;&gt;")=0,"",SUMIFS(BD!$S$3:$S$5001,BD!$A$3:$A$5001,N$3,BD!$B$3:$B$5001,$A$155)))</f>
        <v/>
      </c>
      <c r="O171" s="179" t="str">
        <f>IF(O$3="","",IF(COUNTIFS(BD!$A$3:$A$5001,O$3,BD!$B$3:$B$5001,$A$155,BD!$S$3:$S$5001,"&lt;&gt;")=0,"",SUMIFS(BD!$S$3:$S$5001,BD!$A$3:$A$5001,O$3,BD!$B$3:$B$5001,$A$155)))</f>
        <v/>
      </c>
      <c r="P171" s="179" t="str">
        <f>IF(P$3="","",IF(COUNTIFS(BD!$A$3:$A$5001,P$3,BD!$B$3:$B$5001,$A$155,BD!$S$3:$S$5001,"&lt;&gt;")=0,"",SUMIFS(BD!$S$3:$S$5001,BD!$A$3:$A$5001,P$3,BD!$B$3:$B$5001,$A$155)))</f>
        <v/>
      </c>
      <c r="Q171" s="179" t="str">
        <f>IF(Q$3="","",IF(COUNTIFS(BD!$A$3:$A$5001,Q$3,BD!$B$3:$B$5001,$A$155,BD!$S$3:$S$5001,"&lt;&gt;")=0,"",SUMIFS(BD!$S$3:$S$5001,BD!$A$3:$A$5001,Q$3,BD!$B$3:$B$5001,$A$155)))</f>
        <v/>
      </c>
      <c r="R171" s="179" t="str">
        <f>IF(R$3="","",IF(COUNTIFS(BD!$A$3:$A$5001,R$3,BD!$B$3:$B$5001,$A$155,BD!$S$3:$S$5001,"&lt;&gt;")=0,"",SUMIFS(BD!$S$3:$S$5001,BD!$A$3:$A$5001,R$3,BD!$B$3:$B$5001,$A$155)))</f>
        <v/>
      </c>
      <c r="S171" s="179" t="str">
        <f>IF(S$3="","",IF(COUNTIFS(BD!$A$3:$A$5001,S$3,BD!$B$3:$B$5001,$A$155,BD!$S$3:$S$5001,"&lt;&gt;")=0,"",SUMIFS(BD!$S$3:$S$5001,BD!$A$3:$A$5001,S$3,BD!$B$3:$B$5001,$A$155)))</f>
        <v/>
      </c>
      <c r="T171" s="179" t="str">
        <f>IF(T$3="","",IF(COUNTIFS(BD!$A$3:$A$5001,T$3,BD!$B$3:$B$5001,$A$155,BD!$S$3:$S$5001,"&lt;&gt;")=0,"",SUMIFS(BD!$S$3:$S$5001,BD!$A$3:$A$5001,T$3,BD!$B$3:$B$5001,$A$155)))</f>
        <v/>
      </c>
      <c r="U171" s="179" t="str">
        <f>IF(U$3="","",IF(COUNTIFS(BD!$A$3:$A$5001,U$3,BD!$B$3:$B$5001,$A$155,BD!$S$3:$S$5001,"&lt;&gt;")=0,"",SUMIFS(BD!$S$3:$S$5001,BD!$A$3:$A$5001,U$3,BD!$B$3:$B$5001,$A$155)))</f>
        <v/>
      </c>
      <c r="V171" s="179" t="str">
        <f>IF(V$3="","",IF(COUNTIFS(BD!$A$3:$A$5001,V$3,BD!$B$3:$B$5001,$A$155,BD!$S$3:$S$5001,"&lt;&gt;")=0,"",SUMIFS(BD!$S$3:$S$5001,BD!$A$3:$A$5001,V$3,BD!$B$3:$B$5001,$A$155)))</f>
        <v/>
      </c>
      <c r="W171" s="179" t="str">
        <f>IF(W$3="","",IF(COUNTIFS(BD!$A$3:$A$5001,W$3,BD!$B$3:$B$5001,$A$155,BD!$S$3:$S$5001,"&lt;&gt;")=0,"",SUMIFS(BD!$S$3:$S$5001,BD!$A$3:$A$5001,W$3,BD!$B$3:$B$5001,$A$155)))</f>
        <v/>
      </c>
      <c r="X171" s="179" t="str">
        <f>IF(X$3="","",IF(COUNTIFS(BD!$A$3:$A$5001,X$3,BD!$B$3:$B$5001,$A$155,BD!$S$3:$S$5001,"&lt;&gt;")=0,"",SUMIFS(BD!$S$3:$S$5001,BD!$A$3:$A$5001,X$3,BD!$B$3:$B$5001,$A$155)))</f>
        <v/>
      </c>
      <c r="Y171" s="179" t="str">
        <f>IF(Y$3="","",IF(COUNTIFS(BD!$A$3:$A$5001,Y$3,BD!$B$3:$B$5001,$A$155,BD!$S$3:$S$5001,"&lt;&gt;")=0,"",SUMIFS(BD!$S$3:$S$5001,BD!$A$3:$A$5001,Y$3,BD!$B$3:$B$5001,$A$155)))</f>
        <v/>
      </c>
      <c r="Z171" s="179" t="str">
        <f>IF(Z$3="","",IF(COUNTIFS(BD!$A$3:$A$5001,Z$3,BD!$B$3:$B$5001,$A$155,BD!$S$3:$S$5001,"&lt;&gt;")=0,"",SUMIFS(BD!$S$3:$S$5001,BD!$A$3:$A$5001,Z$3,BD!$B$3:$B$5001,$A$155)))</f>
        <v/>
      </c>
      <c r="AA171" s="179" t="str">
        <f>IF(AA$3="","",IF(COUNTIFS(BD!$A$3:$A$5001,AA$3,BD!$B$3:$B$5001,$A$155,BD!$S$3:$S$5001,"&lt;&gt;")=0,"",SUMIFS(BD!$S$3:$S$5001,BD!$A$3:$A$5001,AA$3,BD!$B$3:$B$5001,$A$155)))</f>
        <v/>
      </c>
      <c r="AB171" s="179" t="str">
        <f>IF(AB$3="","",IF(COUNTIFS(BD!$A$3:$A$5001,AB$3,BD!$B$3:$B$5001,$A$155,BD!$S$3:$S$5001,"&lt;&gt;")=0,"",SUMIFS(BD!$S$3:$S$5001,BD!$A$3:$A$5001,AB$3,BD!$B$3:$B$5001,$A$155)))</f>
        <v/>
      </c>
      <c r="AC171" s="179" t="str">
        <f>IF(AC$3="","",IF(COUNTIFS(BD!$A$3:$A$5001,AC$3,BD!$B$3:$B$5001,$A$155,BD!$S$3:$S$5001,"&lt;&gt;")=0,"",SUMIFS(BD!$S$3:$S$5001,BD!$A$3:$A$5001,AC$3,BD!$B$3:$B$5001,$A$155)))</f>
        <v/>
      </c>
      <c r="AD171" s="179" t="str">
        <f>IF(AD$3="","",IF(COUNTIFS(BD!$A$3:$A$5001,AD$3,BD!$B$3:$B$5001,$A$155,BD!$S$3:$S$5001,"&lt;&gt;")=0,"",SUMIFS(BD!$S$3:$S$5001,BD!$A$3:$A$5001,AD$3,BD!$B$3:$B$5001,$A$155)))</f>
        <v/>
      </c>
      <c r="AE171" s="179" t="str">
        <f>IF(AE$3="","",IF(COUNTIFS(BD!$A$3:$A$5001,AE$3,BD!$B$3:$B$5001,$A$155,BD!$S$3:$S$5001,"&lt;&gt;")=0,"",SUMIFS(BD!$S$3:$S$5001,BD!$A$3:$A$5001,AE$3,BD!$B$3:$B$5001,$A$155)))</f>
        <v/>
      </c>
      <c r="AF171" s="179" t="str">
        <f>IF(AF$3="","",IF(COUNTIFS(BD!$A$3:$A$5001,AF$3,BD!$B$3:$B$5001,$A$155,BD!$S$3:$S$5001,"&lt;&gt;")=0,"",SUMIFS(BD!$S$3:$S$5001,BD!$A$3:$A$5001,AF$3,BD!$B$3:$B$5001,$A$155)))</f>
        <v/>
      </c>
      <c r="AG171" s="179" t="str">
        <f>IF(AG$3="","",IF(COUNTIFS(BD!$A$3:$A$5001,AG$3,BD!$B$3:$B$5001,$A$155,BD!$S$3:$S$5001,"&lt;&gt;")=0,"",SUMIFS(BD!$S$3:$S$5001,BD!$A$3:$A$5001,AG$3,BD!$B$3:$B$5001,$A$155)))</f>
        <v/>
      </c>
      <c r="AH171" s="179" t="str">
        <f>IF(AH$3="","",IF(COUNTIFS(BD!$A$3:$A$5001,AH$3,BD!$B$3:$B$5001,$A$155,BD!$S$3:$S$5001,"&lt;&gt;")=0,"",SUMIFS(BD!$S$3:$S$5001,BD!$A$3:$A$5001,AH$3,BD!$B$3:$B$5001,$A$155)))</f>
        <v/>
      </c>
      <c r="AI171" s="179" t="str">
        <f>IF(AI$3="","",IF(COUNTIFS(BD!$A$3:$A$5001,AI$3,BD!$B$3:$B$5001,$A$155,BD!$S$3:$S$5001,"&lt;&gt;")=0,"",SUMIFS(BD!$S$3:$S$5001,BD!$A$3:$A$5001,AI$3,BD!$B$3:$B$5001,$A$155)))</f>
        <v/>
      </c>
      <c r="AJ171" s="180" t="str">
        <f>IF(AJ$3="","",IF(COUNTIFS(BD!$A$3:$A$5001,AJ$3,BD!$B$3:$B$5001,$A$155,BD!$S$3:$S$5001,"&lt;&gt;")=0,"",SUMIFS(BD!$S$3:$S$5001,BD!$A$3:$A$5001,AJ$3,BD!$B$3:$B$5001,$A$155)))</f>
        <v/>
      </c>
      <c r="AK171" s="181" t="str">
        <f>IFERROR(LOOKUP(9.99E+307,F171:AJ171),"")</f>
        <v/>
      </c>
    </row>
    <row r="172" ht="15.75" customHeight="1" hidden="1">
      <c r="A172" s="277"/>
      <c r="B172" s="266"/>
      <c r="C172" s="186" t="inlineStr">
        <is>
          <t xml:space="preserve">Taxa de Ocupação</t>
        </is>
      </c>
      <c r="D172" s="236" t="str">
        <f>IFERROR(1/(1/INDEX(BD!$AF$40:$AZ$40,MATCH($A$155,BD!$AF$22:$AZ$22,0))),"")</f>
        <v/>
      </c>
      <c r="E172" s="188"/>
      <c r="F172" s="237" t="str">
        <f>IF(AND(ISNUMBER(F170),ISNUMBER(F171)),IF(F170&gt;0,F171/F170,""),"")</f>
        <v/>
      </c>
      <c r="G172" s="238" t="str">
        <f>IF(AND(ISNUMBER(G170),ISNUMBER(G171)),IF(G170&gt;0,G171/G170,""),"")</f>
        <v/>
      </c>
      <c r="H172" s="238" t="str">
        <f>IF(AND(ISNUMBER(H170),ISNUMBER(H171)),IF(H170&gt;0,H171/H170,""),"")</f>
        <v/>
      </c>
      <c r="I172" s="238" t="str">
        <f>IF(AND(ISNUMBER(I170),ISNUMBER(I171)),IF(I170&gt;0,I171/I170,""),"")</f>
        <v/>
      </c>
      <c r="J172" s="238" t="str">
        <f>IF(AND(ISNUMBER(J170),ISNUMBER(J171)),IF(J170&gt;0,J171/J170,""),"")</f>
        <v/>
      </c>
      <c r="K172" s="238" t="str">
        <f>IF(AND(ISNUMBER(K170),ISNUMBER(K171)),IF(K170&gt;0,K171/K170,""),"")</f>
        <v/>
      </c>
      <c r="L172" s="238" t="str">
        <f>IF(AND(ISNUMBER(L170),ISNUMBER(L171)),IF(L170&gt;0,L171/L170,""),"")</f>
        <v/>
      </c>
      <c r="M172" s="238" t="str">
        <f>IF(AND(ISNUMBER(M170),ISNUMBER(M171)),IF(M170&gt;0,M171/M170,""),"")</f>
        <v/>
      </c>
      <c r="N172" s="238" t="str">
        <f>IF(AND(ISNUMBER(N170),ISNUMBER(N171)),IF(N170&gt;0,N171/N170,""),"")</f>
        <v/>
      </c>
      <c r="O172" s="238" t="str">
        <f>IF(AND(ISNUMBER(O170),ISNUMBER(O171)),IF(O170&gt;0,O171/O170,""),"")</f>
        <v/>
      </c>
      <c r="P172" s="238" t="str">
        <f>IF(AND(ISNUMBER(P170),ISNUMBER(P171)),IF(P170&gt;0,P171/P170,""),"")</f>
        <v/>
      </c>
      <c r="Q172" s="238" t="str">
        <f>IF(AND(ISNUMBER(Q170),ISNUMBER(Q171)),IF(Q170&gt;0,Q171/Q170,""),"")</f>
        <v/>
      </c>
      <c r="R172" s="238" t="str">
        <f>IF(AND(ISNUMBER(R170),ISNUMBER(R171)),IF(R170&gt;0,R171/R170,""),"")</f>
        <v/>
      </c>
      <c r="S172" s="238" t="str">
        <f>IF(AND(ISNUMBER(S170),ISNUMBER(S171)),IF(S170&gt;0,S171/S170,""),"")</f>
        <v/>
      </c>
      <c r="T172" s="238" t="str">
        <f>IF(AND(ISNUMBER(T170),ISNUMBER(T171)),IF(T170&gt;0,T171/T170,""),"")</f>
        <v/>
      </c>
      <c r="U172" s="238" t="str">
        <f>IF(AND(ISNUMBER(U170),ISNUMBER(U171)),IF(U170&gt;0,U171/U170,""),"")</f>
        <v/>
      </c>
      <c r="V172" s="238" t="str">
        <f>IF(AND(ISNUMBER(V170),ISNUMBER(V171)),IF(V170&gt;0,V171/V170,""),"")</f>
        <v/>
      </c>
      <c r="W172" s="238" t="str">
        <f>IF(AND(ISNUMBER(W170),ISNUMBER(W171)),IF(W170&gt;0,W171/W170,""),"")</f>
        <v/>
      </c>
      <c r="X172" s="238" t="str">
        <f>IF(AND(ISNUMBER(X170),ISNUMBER(X171)),IF(X170&gt;0,X171/X170,""),"")</f>
        <v/>
      </c>
      <c r="Y172" s="238" t="str">
        <f>IF(AND(ISNUMBER(Y170),ISNUMBER(Y171)),IF(Y170&gt;0,Y171/Y170,""),"")</f>
        <v/>
      </c>
      <c r="Z172" s="238" t="str">
        <f>IF(AND(ISNUMBER(Z170),ISNUMBER(Z171)),IF(Z170&gt;0,Z171/Z170,""),"")</f>
        <v/>
      </c>
      <c r="AA172" s="238" t="str">
        <f>IF(AND(ISNUMBER(AA170),ISNUMBER(AA171)),IF(AA170&gt;0,AA171/AA170,""),"")</f>
        <v/>
      </c>
      <c r="AB172" s="238" t="str">
        <f>IF(AND(ISNUMBER(AB170),ISNUMBER(AB171)),IF(AB170&gt;0,AB171/AB170,""),"")</f>
        <v/>
      </c>
      <c r="AC172" s="238" t="str">
        <f>IF(AND(ISNUMBER(AC170),ISNUMBER(AC171)),IF(AC170&gt;0,AC171/AC170,""),"")</f>
        <v/>
      </c>
      <c r="AD172" s="238" t="str">
        <f>IF(AND(ISNUMBER(AD170),ISNUMBER(AD171)),IF(AD170&gt;0,AD171/AD170,""),"")</f>
        <v/>
      </c>
      <c r="AE172" s="238" t="str">
        <f>IF(AND(ISNUMBER(AE170),ISNUMBER(AE171)),IF(AE170&gt;0,AE171/AE170,""),"")</f>
        <v/>
      </c>
      <c r="AF172" s="238" t="str">
        <f>IF(AND(ISNUMBER(AF170),ISNUMBER(AF171)),IF(AF170&gt;0,AF171/AF170,""),"")</f>
        <v/>
      </c>
      <c r="AG172" s="238" t="str">
        <f>IF(AND(ISNUMBER(AG170),ISNUMBER(AG171)),IF(AG170&gt;0,AG171/AG170,""),"")</f>
        <v/>
      </c>
      <c r="AH172" s="238" t="str">
        <f>IF(AND(ISNUMBER(AH170),ISNUMBER(AH171)),IF(AH170&gt;0,AH171/AH170,""),"")</f>
        <v/>
      </c>
      <c r="AI172" s="238" t="str">
        <f>IF(AND(ISNUMBER(AI170),ISNUMBER(AI171)),IF(AI170&gt;0,AI171/AI170,""),"")</f>
        <v/>
      </c>
      <c r="AJ172" s="239" t="str">
        <f>IF(AND(ISNUMBER(AJ170),ISNUMBER(AJ171)),IF(AJ170&gt;0,AJ171/AJ170,""),"")</f>
        <v/>
      </c>
      <c r="AK172" s="236" t="str">
        <f>IF(AND(ISNUMBER(AK170),ISNUMBER(AK171)),IF(AK170&gt;0,AK171/AK170,""),"")</f>
        <v/>
      </c>
    </row>
    <row r="173" ht="15.75" customHeight="1" hidden="1">
      <c r="A173" s="277"/>
      <c r="B173" s="273" t="inlineStr">
        <is>
          <t xml:space="preserve">GENTE</t>
        </is>
      </c>
      <c r="C173" s="240" t="inlineStr">
        <is>
          <t xml:space="preserve">Efetivo Op.</t>
        </is>
      </c>
      <c r="D173" s="241" t="str">
        <f>IFERROR(1/(1/INDEX(BD!$AF$41:$AZ$41,MATCH($A$155,BD!$AF$22:$AZ$22,0))),"")</f>
        <v/>
      </c>
      <c r="E173" s="242"/>
      <c r="F173" s="243" t="str">
        <f>IF(F$3="","",IF(COUNTIFS(BD!$A$3:$A$5001,F$3,BD!$B$3:$B$5001,$A$155,BD!$T$3:$T$5001,"&lt;&gt;")=0,"",SUMIFS(BD!$T$3:$T$5001,BD!$A$3:$A$5001,F$3,BD!$B$3:$B$5001,$A$155)))</f>
        <v/>
      </c>
      <c r="G173" s="244" t="str">
        <f>IF(G$3="","",IF(COUNTIFS(BD!$A$3:$A$5001,G$3,BD!$B$3:$B$5001,$A$155,BD!$T$3:$T$5001,"&lt;&gt;")=0,"",SUMIFS(BD!$T$3:$T$5001,BD!$A$3:$A$5001,G$3,BD!$B$3:$B$5001,$A$155)))</f>
        <v/>
      </c>
      <c r="H173" s="244" t="str">
        <f>IF(H$3="","",IF(COUNTIFS(BD!$A$3:$A$5001,H$3,BD!$B$3:$B$5001,$A$155,BD!$T$3:$T$5001,"&lt;&gt;")=0,"",SUMIFS(BD!$T$3:$T$5001,BD!$A$3:$A$5001,H$3,BD!$B$3:$B$5001,$A$155)))</f>
        <v/>
      </c>
      <c r="I173" s="244" t="str">
        <f>IF(I$3="","",IF(COUNTIFS(BD!$A$3:$A$5001,I$3,BD!$B$3:$B$5001,$A$155,BD!$T$3:$T$5001,"&lt;&gt;")=0,"",SUMIFS(BD!$T$3:$T$5001,BD!$A$3:$A$5001,I$3,BD!$B$3:$B$5001,$A$155)))</f>
        <v/>
      </c>
      <c r="J173" s="244" t="str">
        <f>IF(J$3="","",IF(COUNTIFS(BD!$A$3:$A$5001,J$3,BD!$B$3:$B$5001,$A$155,BD!$T$3:$T$5001,"&lt;&gt;")=0,"",SUMIFS(BD!$T$3:$T$5001,BD!$A$3:$A$5001,J$3,BD!$B$3:$B$5001,$A$155)))</f>
        <v/>
      </c>
      <c r="K173" s="244" t="str">
        <f>IF(K$3="","",IF(COUNTIFS(BD!$A$3:$A$5001,K$3,BD!$B$3:$B$5001,$A$155,BD!$T$3:$T$5001,"&lt;&gt;")=0,"",SUMIFS(BD!$T$3:$T$5001,BD!$A$3:$A$5001,K$3,BD!$B$3:$B$5001,$A$155)))</f>
        <v/>
      </c>
      <c r="L173" s="244" t="str">
        <f>IF(L$3="","",IF(COUNTIFS(BD!$A$3:$A$5001,L$3,BD!$B$3:$B$5001,$A$155,BD!$T$3:$T$5001,"&lt;&gt;")=0,"",SUMIFS(BD!$T$3:$T$5001,BD!$A$3:$A$5001,L$3,BD!$B$3:$B$5001,$A$155)))</f>
        <v/>
      </c>
      <c r="M173" s="244" t="str">
        <f>IF(M$3="","",IF(COUNTIFS(BD!$A$3:$A$5001,M$3,BD!$B$3:$B$5001,$A$155,BD!$T$3:$T$5001,"&lt;&gt;")=0,"",SUMIFS(BD!$T$3:$T$5001,BD!$A$3:$A$5001,M$3,BD!$B$3:$B$5001,$A$155)))</f>
        <v/>
      </c>
      <c r="N173" s="244" t="str">
        <f>IF(N$3="","",IF(COUNTIFS(BD!$A$3:$A$5001,N$3,BD!$B$3:$B$5001,$A$155,BD!$T$3:$T$5001,"&lt;&gt;")=0,"",SUMIFS(BD!$T$3:$T$5001,BD!$A$3:$A$5001,N$3,BD!$B$3:$B$5001,$A$155)))</f>
        <v/>
      </c>
      <c r="O173" s="244" t="str">
        <f>IF(O$3="","",IF(COUNTIFS(BD!$A$3:$A$5001,O$3,BD!$B$3:$B$5001,$A$155,BD!$T$3:$T$5001,"&lt;&gt;")=0,"",SUMIFS(BD!$T$3:$T$5001,BD!$A$3:$A$5001,O$3,BD!$B$3:$B$5001,$A$155)))</f>
        <v/>
      </c>
      <c r="P173" s="244" t="str">
        <f>IF(P$3="","",IF(COUNTIFS(BD!$A$3:$A$5001,P$3,BD!$B$3:$B$5001,$A$155,BD!$T$3:$T$5001,"&lt;&gt;")=0,"",SUMIFS(BD!$T$3:$T$5001,BD!$A$3:$A$5001,P$3,BD!$B$3:$B$5001,$A$155)))</f>
        <v/>
      </c>
      <c r="Q173" s="244" t="str">
        <f>IF(Q$3="","",IF(COUNTIFS(BD!$A$3:$A$5001,Q$3,BD!$B$3:$B$5001,$A$155,BD!$T$3:$T$5001,"&lt;&gt;")=0,"",SUMIFS(BD!$T$3:$T$5001,BD!$A$3:$A$5001,Q$3,BD!$B$3:$B$5001,$A$155)))</f>
        <v/>
      </c>
      <c r="R173" s="244" t="str">
        <f>IF(R$3="","",IF(COUNTIFS(BD!$A$3:$A$5001,R$3,BD!$B$3:$B$5001,$A$155,BD!$T$3:$T$5001,"&lt;&gt;")=0,"",SUMIFS(BD!$T$3:$T$5001,BD!$A$3:$A$5001,R$3,BD!$B$3:$B$5001,$A$155)))</f>
        <v/>
      </c>
      <c r="S173" s="244" t="str">
        <f>IF(S$3="","",IF(COUNTIFS(BD!$A$3:$A$5001,S$3,BD!$B$3:$B$5001,$A$155,BD!$T$3:$T$5001,"&lt;&gt;")=0,"",SUMIFS(BD!$T$3:$T$5001,BD!$A$3:$A$5001,S$3,BD!$B$3:$B$5001,$A$155)))</f>
        <v/>
      </c>
      <c r="T173" s="244" t="str">
        <f>IF(T$3="","",IF(COUNTIFS(BD!$A$3:$A$5001,T$3,BD!$B$3:$B$5001,$A$155,BD!$T$3:$T$5001,"&lt;&gt;")=0,"",SUMIFS(BD!$T$3:$T$5001,BD!$A$3:$A$5001,T$3,BD!$B$3:$B$5001,$A$155)))</f>
        <v/>
      </c>
      <c r="U173" s="244" t="str">
        <f>IF(U$3="","",IF(COUNTIFS(BD!$A$3:$A$5001,U$3,BD!$B$3:$B$5001,$A$155,BD!$T$3:$T$5001,"&lt;&gt;")=0,"",SUMIFS(BD!$T$3:$T$5001,BD!$A$3:$A$5001,U$3,BD!$B$3:$B$5001,$A$155)))</f>
        <v/>
      </c>
      <c r="V173" s="244" t="str">
        <f>IF(V$3="","",IF(COUNTIFS(BD!$A$3:$A$5001,V$3,BD!$B$3:$B$5001,$A$155,BD!$T$3:$T$5001,"&lt;&gt;")=0,"",SUMIFS(BD!$T$3:$T$5001,BD!$A$3:$A$5001,V$3,BD!$B$3:$B$5001,$A$155)))</f>
        <v/>
      </c>
      <c r="W173" s="244" t="str">
        <f>IF(W$3="","",IF(COUNTIFS(BD!$A$3:$A$5001,W$3,BD!$B$3:$B$5001,$A$155,BD!$T$3:$T$5001,"&lt;&gt;")=0,"",SUMIFS(BD!$T$3:$T$5001,BD!$A$3:$A$5001,W$3,BD!$B$3:$B$5001,$A$155)))</f>
        <v/>
      </c>
      <c r="X173" s="244" t="str">
        <f>IF(X$3="","",IF(COUNTIFS(BD!$A$3:$A$5001,X$3,BD!$B$3:$B$5001,$A$155,BD!$T$3:$T$5001,"&lt;&gt;")=0,"",SUMIFS(BD!$T$3:$T$5001,BD!$A$3:$A$5001,X$3,BD!$B$3:$B$5001,$A$155)))</f>
        <v/>
      </c>
      <c r="Y173" s="244" t="str">
        <f>IF(Y$3="","",IF(COUNTIFS(BD!$A$3:$A$5001,Y$3,BD!$B$3:$B$5001,$A$155,BD!$T$3:$T$5001,"&lt;&gt;")=0,"",SUMIFS(BD!$T$3:$T$5001,BD!$A$3:$A$5001,Y$3,BD!$B$3:$B$5001,$A$155)))</f>
        <v/>
      </c>
      <c r="Z173" s="244" t="str">
        <f>IF(Z$3="","",IF(COUNTIFS(BD!$A$3:$A$5001,Z$3,BD!$B$3:$B$5001,$A$155,BD!$T$3:$T$5001,"&lt;&gt;")=0,"",SUMIFS(BD!$T$3:$T$5001,BD!$A$3:$A$5001,Z$3,BD!$B$3:$B$5001,$A$155)))</f>
        <v/>
      </c>
      <c r="AA173" s="244" t="str">
        <f>IF(AA$3="","",IF(COUNTIFS(BD!$A$3:$A$5001,AA$3,BD!$B$3:$B$5001,$A$155,BD!$T$3:$T$5001,"&lt;&gt;")=0,"",SUMIFS(BD!$T$3:$T$5001,BD!$A$3:$A$5001,AA$3,BD!$B$3:$B$5001,$A$155)))</f>
        <v/>
      </c>
      <c r="AB173" s="244" t="str">
        <f>IF(AB$3="","",IF(COUNTIFS(BD!$A$3:$A$5001,AB$3,BD!$B$3:$B$5001,$A$155,BD!$T$3:$T$5001,"&lt;&gt;")=0,"",SUMIFS(BD!$T$3:$T$5001,BD!$A$3:$A$5001,AB$3,BD!$B$3:$B$5001,$A$155)))</f>
        <v/>
      </c>
      <c r="AC173" s="244" t="str">
        <f>IF(AC$3="","",IF(COUNTIFS(BD!$A$3:$A$5001,AC$3,BD!$B$3:$B$5001,$A$155,BD!$T$3:$T$5001,"&lt;&gt;")=0,"",SUMIFS(BD!$T$3:$T$5001,BD!$A$3:$A$5001,AC$3,BD!$B$3:$B$5001,$A$155)))</f>
        <v/>
      </c>
      <c r="AD173" s="244" t="str">
        <f>IF(AD$3="","",IF(COUNTIFS(BD!$A$3:$A$5001,AD$3,BD!$B$3:$B$5001,$A$155,BD!$T$3:$T$5001,"&lt;&gt;")=0,"",SUMIFS(BD!$T$3:$T$5001,BD!$A$3:$A$5001,AD$3,BD!$B$3:$B$5001,$A$155)))</f>
        <v/>
      </c>
      <c r="AE173" s="244" t="str">
        <f>IF(AE$3="","",IF(COUNTIFS(BD!$A$3:$A$5001,AE$3,BD!$B$3:$B$5001,$A$155,BD!$T$3:$T$5001,"&lt;&gt;")=0,"",SUMIFS(BD!$T$3:$T$5001,BD!$A$3:$A$5001,AE$3,BD!$B$3:$B$5001,$A$155)))</f>
        <v/>
      </c>
      <c r="AF173" s="244" t="str">
        <f>IF(AF$3="","",IF(COUNTIFS(BD!$A$3:$A$5001,AF$3,BD!$B$3:$B$5001,$A$155,BD!$T$3:$T$5001,"&lt;&gt;")=0,"",SUMIFS(BD!$T$3:$T$5001,BD!$A$3:$A$5001,AF$3,BD!$B$3:$B$5001,$A$155)))</f>
        <v/>
      </c>
      <c r="AG173" s="244" t="str">
        <f>IF(AG$3="","",IF(COUNTIFS(BD!$A$3:$A$5001,AG$3,BD!$B$3:$B$5001,$A$155,BD!$T$3:$T$5001,"&lt;&gt;")=0,"",SUMIFS(BD!$T$3:$T$5001,BD!$A$3:$A$5001,AG$3,BD!$B$3:$B$5001,$A$155)))</f>
        <v/>
      </c>
      <c r="AH173" s="244" t="str">
        <f>IF(AH$3="","",IF(COUNTIFS(BD!$A$3:$A$5001,AH$3,BD!$B$3:$B$5001,$A$155,BD!$T$3:$T$5001,"&lt;&gt;")=0,"",SUMIFS(BD!$T$3:$T$5001,BD!$A$3:$A$5001,AH$3,BD!$B$3:$B$5001,$A$155)))</f>
        <v/>
      </c>
      <c r="AI173" s="244" t="str">
        <f>IF(AI$3="","",IF(COUNTIFS(BD!$A$3:$A$5001,AI$3,BD!$B$3:$B$5001,$A$155,BD!$T$3:$T$5001,"&lt;&gt;")=0,"",SUMIFS(BD!$T$3:$T$5001,BD!$A$3:$A$5001,AI$3,BD!$B$3:$B$5001,$A$155)))</f>
        <v/>
      </c>
      <c r="AJ173" s="245" t="str">
        <f>IF(AJ$3="","",IF(COUNTIFS(BD!$A$3:$A$5001,AJ$3,BD!$B$3:$B$5001,$A$155,BD!$T$3:$T$5001,"&lt;&gt;")=0,"",SUMIFS(BD!$T$3:$T$5001,BD!$A$3:$A$5001,AJ$3,BD!$B$3:$B$5001,$A$155)))</f>
        <v/>
      </c>
      <c r="AK173" s="246" t="str">
        <f>IFERROR(LOOKUP(9.99E+307,F173:AJ173),"")</f>
        <v/>
      </c>
    </row>
    <row r="174" ht="15.75" customHeight="1" hidden="1">
      <c r="A174" s="277"/>
      <c r="B174" s="274"/>
      <c r="C174" s="247" t="inlineStr">
        <is>
          <t xml:space="preserve">Falta</t>
        </is>
      </c>
      <c r="D174" s="248" t="str">
        <f>IFERROR(1/(1/INDEX(BD!$AF$42:$AZ$42,MATCH($A$155,BD!$AF$22:$AZ$22,0))),"")</f>
        <v/>
      </c>
      <c r="E174" s="249"/>
      <c r="F174" s="250" t="str">
        <f>IF(F$3="","",IF(COUNTIFS(BD!$A$3:$A$5001,F$3,BD!$B$3:$B$5001,$A$155,BD!$U$3:$U$5001,"&lt;&gt;")=0,"",SUMIFS(BD!$U$3:$U$5001,BD!$A$3:$A$5001,F$3,BD!$B$3:$B$5001,$A$155)))</f>
        <v/>
      </c>
      <c r="G174" s="251" t="str">
        <f>IF(G$3="","",IF(COUNTIFS(BD!$A$3:$A$5001,G$3,BD!$B$3:$B$5001,$A$155,BD!$U$3:$U$5001,"&lt;&gt;")=0,"",SUMIFS(BD!$U$3:$U$5001,BD!$A$3:$A$5001,G$3,BD!$B$3:$B$5001,$A$155)))</f>
        <v/>
      </c>
      <c r="H174" s="251" t="str">
        <f>IF(H$3="","",IF(COUNTIFS(BD!$A$3:$A$5001,H$3,BD!$B$3:$B$5001,$A$155,BD!$U$3:$U$5001,"&lt;&gt;")=0,"",SUMIFS(BD!$U$3:$U$5001,BD!$A$3:$A$5001,H$3,BD!$B$3:$B$5001,$A$155)))</f>
        <v/>
      </c>
      <c r="I174" s="251" t="str">
        <f>IF(I$3="","",IF(COUNTIFS(BD!$A$3:$A$5001,I$3,BD!$B$3:$B$5001,$A$155,BD!$U$3:$U$5001,"&lt;&gt;")=0,"",SUMIFS(BD!$U$3:$U$5001,BD!$A$3:$A$5001,I$3,BD!$B$3:$B$5001,$A$155)))</f>
        <v/>
      </c>
      <c r="J174" s="251" t="str">
        <f>IF(J$3="","",IF(COUNTIFS(BD!$A$3:$A$5001,J$3,BD!$B$3:$B$5001,$A$155,BD!$U$3:$U$5001,"&lt;&gt;")=0,"",SUMIFS(BD!$U$3:$U$5001,BD!$A$3:$A$5001,J$3,BD!$B$3:$B$5001,$A$155)))</f>
        <v/>
      </c>
      <c r="K174" s="251" t="str">
        <f>IF(K$3="","",IF(COUNTIFS(BD!$A$3:$A$5001,K$3,BD!$B$3:$B$5001,$A$155,BD!$U$3:$U$5001,"&lt;&gt;")=0,"",SUMIFS(BD!$U$3:$U$5001,BD!$A$3:$A$5001,K$3,BD!$B$3:$B$5001,$A$155)))</f>
        <v/>
      </c>
      <c r="L174" s="251" t="str">
        <f>IF(L$3="","",IF(COUNTIFS(BD!$A$3:$A$5001,L$3,BD!$B$3:$B$5001,$A$155,BD!$U$3:$U$5001,"&lt;&gt;")=0,"",SUMIFS(BD!$U$3:$U$5001,BD!$A$3:$A$5001,L$3,BD!$B$3:$B$5001,$A$155)))</f>
        <v/>
      </c>
      <c r="M174" s="251" t="str">
        <f>IF(M$3="","",IF(COUNTIFS(BD!$A$3:$A$5001,M$3,BD!$B$3:$B$5001,$A$155,BD!$U$3:$U$5001,"&lt;&gt;")=0,"",SUMIFS(BD!$U$3:$U$5001,BD!$A$3:$A$5001,M$3,BD!$B$3:$B$5001,$A$155)))</f>
        <v/>
      </c>
      <c r="N174" s="251" t="str">
        <f>IF(N$3="","",IF(COUNTIFS(BD!$A$3:$A$5001,N$3,BD!$B$3:$B$5001,$A$155,BD!$U$3:$U$5001,"&lt;&gt;")=0,"",SUMIFS(BD!$U$3:$U$5001,BD!$A$3:$A$5001,N$3,BD!$B$3:$B$5001,$A$155)))</f>
        <v/>
      </c>
      <c r="O174" s="251" t="str">
        <f>IF(O$3="","",IF(COUNTIFS(BD!$A$3:$A$5001,O$3,BD!$B$3:$B$5001,$A$155,BD!$U$3:$U$5001,"&lt;&gt;")=0,"",SUMIFS(BD!$U$3:$U$5001,BD!$A$3:$A$5001,O$3,BD!$B$3:$B$5001,$A$155)))</f>
        <v/>
      </c>
      <c r="P174" s="251" t="str">
        <f>IF(P$3="","",IF(COUNTIFS(BD!$A$3:$A$5001,P$3,BD!$B$3:$B$5001,$A$155,BD!$U$3:$U$5001,"&lt;&gt;")=0,"",SUMIFS(BD!$U$3:$U$5001,BD!$A$3:$A$5001,P$3,BD!$B$3:$B$5001,$A$155)))</f>
        <v/>
      </c>
      <c r="Q174" s="251" t="str">
        <f>IF(Q$3="","",IF(COUNTIFS(BD!$A$3:$A$5001,Q$3,BD!$B$3:$B$5001,$A$155,BD!$U$3:$U$5001,"&lt;&gt;")=0,"",SUMIFS(BD!$U$3:$U$5001,BD!$A$3:$A$5001,Q$3,BD!$B$3:$B$5001,$A$155)))</f>
        <v/>
      </c>
      <c r="R174" s="251" t="str">
        <f>IF(R$3="","",IF(COUNTIFS(BD!$A$3:$A$5001,R$3,BD!$B$3:$B$5001,$A$155,BD!$U$3:$U$5001,"&lt;&gt;")=0,"",SUMIFS(BD!$U$3:$U$5001,BD!$A$3:$A$5001,R$3,BD!$B$3:$B$5001,$A$155)))</f>
        <v/>
      </c>
      <c r="S174" s="251" t="str">
        <f>IF(S$3="","",IF(COUNTIFS(BD!$A$3:$A$5001,S$3,BD!$B$3:$B$5001,$A$155,BD!$U$3:$U$5001,"&lt;&gt;")=0,"",SUMIFS(BD!$U$3:$U$5001,BD!$A$3:$A$5001,S$3,BD!$B$3:$B$5001,$A$155)))</f>
        <v/>
      </c>
      <c r="T174" s="251" t="str">
        <f>IF(T$3="","",IF(COUNTIFS(BD!$A$3:$A$5001,T$3,BD!$B$3:$B$5001,$A$155,BD!$U$3:$U$5001,"&lt;&gt;")=0,"",SUMIFS(BD!$U$3:$U$5001,BD!$A$3:$A$5001,T$3,BD!$B$3:$B$5001,$A$155)))</f>
        <v/>
      </c>
      <c r="U174" s="251" t="str">
        <f>IF(U$3="","",IF(COUNTIFS(BD!$A$3:$A$5001,U$3,BD!$B$3:$B$5001,$A$155,BD!$U$3:$U$5001,"&lt;&gt;")=0,"",SUMIFS(BD!$U$3:$U$5001,BD!$A$3:$A$5001,U$3,BD!$B$3:$B$5001,$A$155)))</f>
        <v/>
      </c>
      <c r="V174" s="251" t="str">
        <f>IF(V$3="","",IF(COUNTIFS(BD!$A$3:$A$5001,V$3,BD!$B$3:$B$5001,$A$155,BD!$U$3:$U$5001,"&lt;&gt;")=0,"",SUMIFS(BD!$U$3:$U$5001,BD!$A$3:$A$5001,V$3,BD!$B$3:$B$5001,$A$155)))</f>
        <v/>
      </c>
      <c r="W174" s="251" t="str">
        <f>IF(W$3="","",IF(COUNTIFS(BD!$A$3:$A$5001,W$3,BD!$B$3:$B$5001,$A$155,BD!$U$3:$U$5001,"&lt;&gt;")=0,"",SUMIFS(BD!$U$3:$U$5001,BD!$A$3:$A$5001,W$3,BD!$B$3:$B$5001,$A$155)))</f>
        <v/>
      </c>
      <c r="X174" s="251" t="str">
        <f>IF(X$3="","",IF(COUNTIFS(BD!$A$3:$A$5001,X$3,BD!$B$3:$B$5001,$A$155,BD!$U$3:$U$5001,"&lt;&gt;")=0,"",SUMIFS(BD!$U$3:$U$5001,BD!$A$3:$A$5001,X$3,BD!$B$3:$B$5001,$A$155)))</f>
        <v/>
      </c>
      <c r="Y174" s="251" t="str">
        <f>IF(Y$3="","",IF(COUNTIFS(BD!$A$3:$A$5001,Y$3,BD!$B$3:$B$5001,$A$155,BD!$U$3:$U$5001,"&lt;&gt;")=0,"",SUMIFS(BD!$U$3:$U$5001,BD!$A$3:$A$5001,Y$3,BD!$B$3:$B$5001,$A$155)))</f>
        <v/>
      </c>
      <c r="Z174" s="251" t="str">
        <f>IF(Z$3="","",IF(COUNTIFS(BD!$A$3:$A$5001,Z$3,BD!$B$3:$B$5001,$A$155,BD!$U$3:$U$5001,"&lt;&gt;")=0,"",SUMIFS(BD!$U$3:$U$5001,BD!$A$3:$A$5001,Z$3,BD!$B$3:$B$5001,$A$155)))</f>
        <v/>
      </c>
      <c r="AA174" s="251" t="str">
        <f>IF(AA$3="","",IF(COUNTIFS(BD!$A$3:$A$5001,AA$3,BD!$B$3:$B$5001,$A$155,BD!$U$3:$U$5001,"&lt;&gt;")=0,"",SUMIFS(BD!$U$3:$U$5001,BD!$A$3:$A$5001,AA$3,BD!$B$3:$B$5001,$A$155)))</f>
        <v/>
      </c>
      <c r="AB174" s="251" t="str">
        <f>IF(AB$3="","",IF(COUNTIFS(BD!$A$3:$A$5001,AB$3,BD!$B$3:$B$5001,$A$155,BD!$U$3:$U$5001,"&lt;&gt;")=0,"",SUMIFS(BD!$U$3:$U$5001,BD!$A$3:$A$5001,AB$3,BD!$B$3:$B$5001,$A$155)))</f>
        <v/>
      </c>
      <c r="AC174" s="251" t="str">
        <f>IF(AC$3="","",IF(COUNTIFS(BD!$A$3:$A$5001,AC$3,BD!$B$3:$B$5001,$A$155,BD!$U$3:$U$5001,"&lt;&gt;")=0,"",SUMIFS(BD!$U$3:$U$5001,BD!$A$3:$A$5001,AC$3,BD!$B$3:$B$5001,$A$155)))</f>
        <v/>
      </c>
      <c r="AD174" s="251" t="str">
        <f>IF(AD$3="","",IF(COUNTIFS(BD!$A$3:$A$5001,AD$3,BD!$B$3:$B$5001,$A$155,BD!$U$3:$U$5001,"&lt;&gt;")=0,"",SUMIFS(BD!$U$3:$U$5001,BD!$A$3:$A$5001,AD$3,BD!$B$3:$B$5001,$A$155)))</f>
        <v/>
      </c>
      <c r="AE174" s="251" t="str">
        <f>IF(AE$3="","",IF(COUNTIFS(BD!$A$3:$A$5001,AE$3,BD!$B$3:$B$5001,$A$155,BD!$U$3:$U$5001,"&lt;&gt;")=0,"",SUMIFS(BD!$U$3:$U$5001,BD!$A$3:$A$5001,AE$3,BD!$B$3:$B$5001,$A$155)))</f>
        <v/>
      </c>
      <c r="AF174" s="251" t="str">
        <f>IF(AF$3="","",IF(COUNTIFS(BD!$A$3:$A$5001,AF$3,BD!$B$3:$B$5001,$A$155,BD!$U$3:$U$5001,"&lt;&gt;")=0,"",SUMIFS(BD!$U$3:$U$5001,BD!$A$3:$A$5001,AF$3,BD!$B$3:$B$5001,$A$155)))</f>
        <v/>
      </c>
      <c r="AG174" s="251" t="str">
        <f>IF(AG$3="","",IF(COUNTIFS(BD!$A$3:$A$5001,AG$3,BD!$B$3:$B$5001,$A$155,BD!$U$3:$U$5001,"&lt;&gt;")=0,"",SUMIFS(BD!$U$3:$U$5001,BD!$A$3:$A$5001,AG$3,BD!$B$3:$B$5001,$A$155)))</f>
        <v/>
      </c>
      <c r="AH174" s="251" t="str">
        <f>IF(AH$3="","",IF(COUNTIFS(BD!$A$3:$A$5001,AH$3,BD!$B$3:$B$5001,$A$155,BD!$U$3:$U$5001,"&lt;&gt;")=0,"",SUMIFS(BD!$U$3:$U$5001,BD!$A$3:$A$5001,AH$3,BD!$B$3:$B$5001,$A$155)))</f>
        <v/>
      </c>
      <c r="AI174" s="251" t="str">
        <f>IF(AI$3="","",IF(COUNTIFS(BD!$A$3:$A$5001,AI$3,BD!$B$3:$B$5001,$A$155,BD!$U$3:$U$5001,"&lt;&gt;")=0,"",SUMIFS(BD!$U$3:$U$5001,BD!$A$3:$A$5001,AI$3,BD!$B$3:$B$5001,$A$155)))</f>
        <v/>
      </c>
      <c r="AJ174" s="252" t="str">
        <f>IF(AJ$3="","",IF(COUNTIFS(BD!$A$3:$A$5001,AJ$3,BD!$B$3:$B$5001,$A$155,BD!$U$3:$U$5001,"&lt;&gt;")=0,"",SUMIFS(BD!$U$3:$U$5001,BD!$A$3:$A$5001,AJ$3,BD!$B$3:$B$5001,$A$155)))</f>
        <v/>
      </c>
      <c r="AK174" s="253" t="str">
        <f>IF(COUNT(F174:AJ174)=0,"",SUM(F174:AJ174))</f>
        <v/>
      </c>
    </row>
    <row r="175" ht="15.75" customHeight="1" hidden="1">
      <c r="A175" s="277"/>
      <c r="B175" s="274"/>
      <c r="C175" s="247" t="inlineStr">
        <is>
          <t xml:space="preserve">Absenteísmo (H/H)</t>
        </is>
      </c>
      <c r="D175" s="248" t="str">
        <f>IFERROR(1/(1/INDEX(BD!$AF$43:$AZ$43,MATCH($A$155,BD!$AF$22:$AZ$22,0))),"")</f>
        <v/>
      </c>
      <c r="E175" s="249"/>
      <c r="F175" s="254" t="str">
        <f>IF(F$3="","",IF(COUNTIFS(BD!$A$3:$A$5001,F$3,BD!$B$3:$B$5001,$A$155,BD!$V$3:$V$5001,"&lt;&gt;")=0,"",SUMIFS(BD!$V$3:$V$5001,BD!$A$3:$A$5001,F$3,BD!$B$3:$B$5001,$A$155)))</f>
        <v/>
      </c>
      <c r="G175" s="255" t="str">
        <f>IF(G$3="","",IF(COUNTIFS(BD!$A$3:$A$5001,G$3,BD!$B$3:$B$5001,$A$155,BD!$V$3:$V$5001,"&lt;&gt;")=0,"",SUMIFS(BD!$V$3:$V$5001,BD!$A$3:$A$5001,G$3,BD!$B$3:$B$5001,$A$155)))</f>
        <v/>
      </c>
      <c r="H175" s="255" t="str">
        <f>IF(H$3="","",IF(COUNTIFS(BD!$A$3:$A$5001,H$3,BD!$B$3:$B$5001,$A$155,BD!$V$3:$V$5001,"&lt;&gt;")=0,"",SUMIFS(BD!$V$3:$V$5001,BD!$A$3:$A$5001,H$3,BD!$B$3:$B$5001,$A$155)))</f>
        <v/>
      </c>
      <c r="I175" s="255" t="str">
        <f>IF(I$3="","",IF(COUNTIFS(BD!$A$3:$A$5001,I$3,BD!$B$3:$B$5001,$A$155,BD!$V$3:$V$5001,"&lt;&gt;")=0,"",SUMIFS(BD!$V$3:$V$5001,BD!$A$3:$A$5001,I$3,BD!$B$3:$B$5001,$A$155)))</f>
        <v/>
      </c>
      <c r="J175" s="255" t="str">
        <f>IF(J$3="","",IF(COUNTIFS(BD!$A$3:$A$5001,J$3,BD!$B$3:$B$5001,$A$155,BD!$V$3:$V$5001,"&lt;&gt;")=0,"",SUMIFS(BD!$V$3:$V$5001,BD!$A$3:$A$5001,J$3,BD!$B$3:$B$5001,$A$155)))</f>
        <v/>
      </c>
      <c r="K175" s="255" t="str">
        <f>IF(K$3="","",IF(COUNTIFS(BD!$A$3:$A$5001,K$3,BD!$B$3:$B$5001,$A$155,BD!$V$3:$V$5001,"&lt;&gt;")=0,"",SUMIFS(BD!$V$3:$V$5001,BD!$A$3:$A$5001,K$3,BD!$B$3:$B$5001,$A$155)))</f>
        <v/>
      </c>
      <c r="L175" s="255" t="str">
        <f>IF(L$3="","",IF(COUNTIFS(BD!$A$3:$A$5001,L$3,BD!$B$3:$B$5001,$A$155,BD!$V$3:$V$5001,"&lt;&gt;")=0,"",SUMIFS(BD!$V$3:$V$5001,BD!$A$3:$A$5001,L$3,BD!$B$3:$B$5001,$A$155)))</f>
        <v/>
      </c>
      <c r="M175" s="255" t="str">
        <f>IF(M$3="","",IF(COUNTIFS(BD!$A$3:$A$5001,M$3,BD!$B$3:$B$5001,$A$155,BD!$V$3:$V$5001,"&lt;&gt;")=0,"",SUMIFS(BD!$V$3:$V$5001,BD!$A$3:$A$5001,M$3,BD!$B$3:$B$5001,$A$155)))</f>
        <v/>
      </c>
      <c r="N175" s="255" t="str">
        <f>IF(N$3="","",IF(COUNTIFS(BD!$A$3:$A$5001,N$3,BD!$B$3:$B$5001,$A$155,BD!$V$3:$V$5001,"&lt;&gt;")=0,"",SUMIFS(BD!$V$3:$V$5001,BD!$A$3:$A$5001,N$3,BD!$B$3:$B$5001,$A$155)))</f>
        <v/>
      </c>
      <c r="O175" s="255" t="str">
        <f>IF(O$3="","",IF(COUNTIFS(BD!$A$3:$A$5001,O$3,BD!$B$3:$B$5001,$A$155,BD!$V$3:$V$5001,"&lt;&gt;")=0,"",SUMIFS(BD!$V$3:$V$5001,BD!$A$3:$A$5001,O$3,BD!$B$3:$B$5001,$A$155)))</f>
        <v/>
      </c>
      <c r="P175" s="255" t="str">
        <f>IF(P$3="","",IF(COUNTIFS(BD!$A$3:$A$5001,P$3,BD!$B$3:$B$5001,$A$155,BD!$V$3:$V$5001,"&lt;&gt;")=0,"",SUMIFS(BD!$V$3:$V$5001,BD!$A$3:$A$5001,P$3,BD!$B$3:$B$5001,$A$155)))</f>
        <v/>
      </c>
      <c r="Q175" s="255" t="str">
        <f>IF(Q$3="","",IF(COUNTIFS(BD!$A$3:$A$5001,Q$3,BD!$B$3:$B$5001,$A$155,BD!$V$3:$V$5001,"&lt;&gt;")=0,"",SUMIFS(BD!$V$3:$V$5001,BD!$A$3:$A$5001,Q$3,BD!$B$3:$B$5001,$A$155)))</f>
        <v/>
      </c>
      <c r="R175" s="255" t="str">
        <f>IF(R$3="","",IF(COUNTIFS(BD!$A$3:$A$5001,R$3,BD!$B$3:$B$5001,$A$155,BD!$V$3:$V$5001,"&lt;&gt;")=0,"",SUMIFS(BD!$V$3:$V$5001,BD!$A$3:$A$5001,R$3,BD!$B$3:$B$5001,$A$155)))</f>
        <v/>
      </c>
      <c r="S175" s="255" t="str">
        <f>IF(S$3="","",IF(COUNTIFS(BD!$A$3:$A$5001,S$3,BD!$B$3:$B$5001,$A$155,BD!$V$3:$V$5001,"&lt;&gt;")=0,"",SUMIFS(BD!$V$3:$V$5001,BD!$A$3:$A$5001,S$3,BD!$B$3:$B$5001,$A$155)))</f>
        <v/>
      </c>
      <c r="T175" s="255" t="str">
        <f>IF(T$3="","",IF(COUNTIFS(BD!$A$3:$A$5001,T$3,BD!$B$3:$B$5001,$A$155,BD!$V$3:$V$5001,"&lt;&gt;")=0,"",SUMIFS(BD!$V$3:$V$5001,BD!$A$3:$A$5001,T$3,BD!$B$3:$B$5001,$A$155)))</f>
        <v/>
      </c>
      <c r="U175" s="255" t="str">
        <f>IF(U$3="","",IF(COUNTIFS(BD!$A$3:$A$5001,U$3,BD!$B$3:$B$5001,$A$155,BD!$V$3:$V$5001,"&lt;&gt;")=0,"",SUMIFS(BD!$V$3:$V$5001,BD!$A$3:$A$5001,U$3,BD!$B$3:$B$5001,$A$155)))</f>
        <v/>
      </c>
      <c r="V175" s="255" t="str">
        <f>IF(V$3="","",IF(COUNTIFS(BD!$A$3:$A$5001,V$3,BD!$B$3:$B$5001,$A$155,BD!$V$3:$V$5001,"&lt;&gt;")=0,"",SUMIFS(BD!$V$3:$V$5001,BD!$A$3:$A$5001,V$3,BD!$B$3:$B$5001,$A$155)))</f>
        <v/>
      </c>
      <c r="W175" s="255" t="str">
        <f>IF(W$3="","",IF(COUNTIFS(BD!$A$3:$A$5001,W$3,BD!$B$3:$B$5001,$A$155,BD!$V$3:$V$5001,"&lt;&gt;")=0,"",SUMIFS(BD!$V$3:$V$5001,BD!$A$3:$A$5001,W$3,BD!$B$3:$B$5001,$A$155)))</f>
        <v/>
      </c>
      <c r="X175" s="255" t="str">
        <f>IF(X$3="","",IF(COUNTIFS(BD!$A$3:$A$5001,X$3,BD!$B$3:$B$5001,$A$155,BD!$V$3:$V$5001,"&lt;&gt;")=0,"",SUMIFS(BD!$V$3:$V$5001,BD!$A$3:$A$5001,X$3,BD!$B$3:$B$5001,$A$155)))</f>
        <v/>
      </c>
      <c r="Y175" s="255" t="str">
        <f>IF(Y$3="","",IF(COUNTIFS(BD!$A$3:$A$5001,Y$3,BD!$B$3:$B$5001,$A$155,BD!$V$3:$V$5001,"&lt;&gt;")=0,"",SUMIFS(BD!$V$3:$V$5001,BD!$A$3:$A$5001,Y$3,BD!$B$3:$B$5001,$A$155)))</f>
        <v/>
      </c>
      <c r="Z175" s="255" t="str">
        <f>IF(Z$3="","",IF(COUNTIFS(BD!$A$3:$A$5001,Z$3,BD!$B$3:$B$5001,$A$155,BD!$V$3:$V$5001,"&lt;&gt;")=0,"",SUMIFS(BD!$V$3:$V$5001,BD!$A$3:$A$5001,Z$3,BD!$B$3:$B$5001,$A$155)))</f>
        <v/>
      </c>
      <c r="AA175" s="255" t="str">
        <f>IF(AA$3="","",IF(COUNTIFS(BD!$A$3:$A$5001,AA$3,BD!$B$3:$B$5001,$A$155,BD!$V$3:$V$5001,"&lt;&gt;")=0,"",SUMIFS(BD!$V$3:$V$5001,BD!$A$3:$A$5001,AA$3,BD!$B$3:$B$5001,$A$155)))</f>
        <v/>
      </c>
      <c r="AB175" s="255" t="str">
        <f>IF(AB$3="","",IF(COUNTIFS(BD!$A$3:$A$5001,AB$3,BD!$B$3:$B$5001,$A$155,BD!$V$3:$V$5001,"&lt;&gt;")=0,"",SUMIFS(BD!$V$3:$V$5001,BD!$A$3:$A$5001,AB$3,BD!$B$3:$B$5001,$A$155)))</f>
        <v/>
      </c>
      <c r="AC175" s="255" t="str">
        <f>IF(AC$3="","",IF(COUNTIFS(BD!$A$3:$A$5001,AC$3,BD!$B$3:$B$5001,$A$155,BD!$V$3:$V$5001,"&lt;&gt;")=0,"",SUMIFS(BD!$V$3:$V$5001,BD!$A$3:$A$5001,AC$3,BD!$B$3:$B$5001,$A$155)))</f>
        <v/>
      </c>
      <c r="AD175" s="255" t="str">
        <f>IF(AD$3="","",IF(COUNTIFS(BD!$A$3:$A$5001,AD$3,BD!$B$3:$B$5001,$A$155,BD!$V$3:$V$5001,"&lt;&gt;")=0,"",SUMIFS(BD!$V$3:$V$5001,BD!$A$3:$A$5001,AD$3,BD!$B$3:$B$5001,$A$155)))</f>
        <v/>
      </c>
      <c r="AE175" s="255" t="str">
        <f>IF(AE$3="","",IF(COUNTIFS(BD!$A$3:$A$5001,AE$3,BD!$B$3:$B$5001,$A$155,BD!$V$3:$V$5001,"&lt;&gt;")=0,"",SUMIFS(BD!$V$3:$V$5001,BD!$A$3:$A$5001,AE$3,BD!$B$3:$B$5001,$A$155)))</f>
        <v/>
      </c>
      <c r="AF175" s="255" t="str">
        <f>IF(AF$3="","",IF(COUNTIFS(BD!$A$3:$A$5001,AF$3,BD!$B$3:$B$5001,$A$155,BD!$V$3:$V$5001,"&lt;&gt;")=0,"",SUMIFS(BD!$V$3:$V$5001,BD!$A$3:$A$5001,AF$3,BD!$B$3:$B$5001,$A$155)))</f>
        <v/>
      </c>
      <c r="AG175" s="255" t="str">
        <f>IF(AG$3="","",IF(COUNTIFS(BD!$A$3:$A$5001,AG$3,BD!$B$3:$B$5001,$A$155,BD!$V$3:$V$5001,"&lt;&gt;")=0,"",SUMIFS(BD!$V$3:$V$5001,BD!$A$3:$A$5001,AG$3,BD!$B$3:$B$5001,$A$155)))</f>
        <v/>
      </c>
      <c r="AH175" s="255" t="str">
        <f>IF(AH$3="","",IF(COUNTIFS(BD!$A$3:$A$5001,AH$3,BD!$B$3:$B$5001,$A$155,BD!$V$3:$V$5001,"&lt;&gt;")=0,"",SUMIFS(BD!$V$3:$V$5001,BD!$A$3:$A$5001,AH$3,BD!$B$3:$B$5001,$A$155)))</f>
        <v/>
      </c>
      <c r="AI175" s="255" t="str">
        <f>IF(AI$3="","",IF(COUNTIFS(BD!$A$3:$A$5001,AI$3,BD!$B$3:$B$5001,$A$155,BD!$V$3:$V$5001,"&lt;&gt;")=0,"",SUMIFS(BD!$V$3:$V$5001,BD!$A$3:$A$5001,AI$3,BD!$B$3:$B$5001,$A$155)))</f>
        <v/>
      </c>
      <c r="AJ175" s="256" t="str">
        <f>IF(AJ$3="","",IF(COUNTIFS(BD!$A$3:$A$5001,AJ$3,BD!$B$3:$B$5001,$A$155,BD!$V$3:$V$5001,"&lt;&gt;")=0,"",SUMIFS(BD!$V$3:$V$5001,BD!$A$3:$A$5001,AJ$3,BD!$B$3:$B$5001,$A$155)))</f>
        <v/>
      </c>
      <c r="AK175" s="257" t="str">
        <f>IF(COUNT(F175:AJ175)=0,"",SUM(F175:AJ175))</f>
        <v/>
      </c>
    </row>
    <row r="176" ht="15.75" customHeight="1" hidden="1">
      <c r="A176" s="277"/>
      <c r="B176" s="274"/>
      <c r="C176" s="247" t="inlineStr">
        <is>
          <t xml:space="preserve">Folga</t>
        </is>
      </c>
      <c r="D176" s="248" t="str">
        <f>IFERROR(1/(1/INDEX(BD!$AF$44:$AZ$44,MATCH($A$155,BD!$AF$22:$AZ$22,0))),"")</f>
        <v/>
      </c>
      <c r="E176" s="249"/>
      <c r="F176" s="250" t="str">
        <f>IF(F$3="","",IF(COUNTIFS(BD!$A$3:$A$5001,F$3,BD!$B$3:$B$5001,$A$155,BD!$W$3:$W$5001,"&lt;&gt;")=0,"",SUMIFS(BD!$W$3:$W$5001,BD!$A$3:$A$5001,F$3,BD!$B$3:$B$5001,$A$155)))</f>
        <v/>
      </c>
      <c r="G176" s="251" t="str">
        <f>IF(G$3="","",IF(COUNTIFS(BD!$A$3:$A$5001,G$3,BD!$B$3:$B$5001,$A$155,BD!$W$3:$W$5001,"&lt;&gt;")=0,"",SUMIFS(BD!$W$3:$W$5001,BD!$A$3:$A$5001,G$3,BD!$B$3:$B$5001,$A$155)))</f>
        <v/>
      </c>
      <c r="H176" s="251" t="str">
        <f>IF(H$3="","",IF(COUNTIFS(BD!$A$3:$A$5001,H$3,BD!$B$3:$B$5001,$A$155,BD!$W$3:$W$5001,"&lt;&gt;")=0,"",SUMIFS(BD!$W$3:$W$5001,BD!$A$3:$A$5001,H$3,BD!$B$3:$B$5001,$A$155)))</f>
        <v/>
      </c>
      <c r="I176" s="251" t="str">
        <f>IF(I$3="","",IF(COUNTIFS(BD!$A$3:$A$5001,I$3,BD!$B$3:$B$5001,$A$155,BD!$W$3:$W$5001,"&lt;&gt;")=0,"",SUMIFS(BD!$W$3:$W$5001,BD!$A$3:$A$5001,I$3,BD!$B$3:$B$5001,$A$155)))</f>
        <v/>
      </c>
      <c r="J176" s="251" t="str">
        <f>IF(J$3="","",IF(COUNTIFS(BD!$A$3:$A$5001,J$3,BD!$B$3:$B$5001,$A$155,BD!$W$3:$W$5001,"&lt;&gt;")=0,"",SUMIFS(BD!$W$3:$W$5001,BD!$A$3:$A$5001,J$3,BD!$B$3:$B$5001,$A$155)))</f>
        <v/>
      </c>
      <c r="K176" s="251" t="str">
        <f>IF(K$3="","",IF(COUNTIFS(BD!$A$3:$A$5001,K$3,BD!$B$3:$B$5001,$A$155,BD!$W$3:$W$5001,"&lt;&gt;")=0,"",SUMIFS(BD!$W$3:$W$5001,BD!$A$3:$A$5001,K$3,BD!$B$3:$B$5001,$A$155)))</f>
        <v/>
      </c>
      <c r="L176" s="251" t="str">
        <f>IF(L$3="","",IF(COUNTIFS(BD!$A$3:$A$5001,L$3,BD!$B$3:$B$5001,$A$155,BD!$W$3:$W$5001,"&lt;&gt;")=0,"",SUMIFS(BD!$W$3:$W$5001,BD!$A$3:$A$5001,L$3,BD!$B$3:$B$5001,$A$155)))</f>
        <v/>
      </c>
      <c r="M176" s="251" t="str">
        <f>IF(M$3="","",IF(COUNTIFS(BD!$A$3:$A$5001,M$3,BD!$B$3:$B$5001,$A$155,BD!$W$3:$W$5001,"&lt;&gt;")=0,"",SUMIFS(BD!$W$3:$W$5001,BD!$A$3:$A$5001,M$3,BD!$B$3:$B$5001,$A$155)))</f>
        <v/>
      </c>
      <c r="N176" s="251" t="str">
        <f>IF(N$3="","",IF(COUNTIFS(BD!$A$3:$A$5001,N$3,BD!$B$3:$B$5001,$A$155,BD!$W$3:$W$5001,"&lt;&gt;")=0,"",SUMIFS(BD!$W$3:$W$5001,BD!$A$3:$A$5001,N$3,BD!$B$3:$B$5001,$A$155)))</f>
        <v/>
      </c>
      <c r="O176" s="251" t="str">
        <f>IF(O$3="","",IF(COUNTIFS(BD!$A$3:$A$5001,O$3,BD!$B$3:$B$5001,$A$155,BD!$W$3:$W$5001,"&lt;&gt;")=0,"",SUMIFS(BD!$W$3:$W$5001,BD!$A$3:$A$5001,O$3,BD!$B$3:$B$5001,$A$155)))</f>
        <v/>
      </c>
      <c r="P176" s="251" t="str">
        <f>IF(P$3="","",IF(COUNTIFS(BD!$A$3:$A$5001,P$3,BD!$B$3:$B$5001,$A$155,BD!$W$3:$W$5001,"&lt;&gt;")=0,"",SUMIFS(BD!$W$3:$W$5001,BD!$A$3:$A$5001,P$3,BD!$B$3:$B$5001,$A$155)))</f>
        <v/>
      </c>
      <c r="Q176" s="251" t="str">
        <f>IF(Q$3="","",IF(COUNTIFS(BD!$A$3:$A$5001,Q$3,BD!$B$3:$B$5001,$A$155,BD!$W$3:$W$5001,"&lt;&gt;")=0,"",SUMIFS(BD!$W$3:$W$5001,BD!$A$3:$A$5001,Q$3,BD!$B$3:$B$5001,$A$155)))</f>
        <v/>
      </c>
      <c r="R176" s="251" t="str">
        <f>IF(R$3="","",IF(COUNTIFS(BD!$A$3:$A$5001,R$3,BD!$B$3:$B$5001,$A$155,BD!$W$3:$W$5001,"&lt;&gt;")=0,"",SUMIFS(BD!$W$3:$W$5001,BD!$A$3:$A$5001,R$3,BD!$B$3:$B$5001,$A$155)))</f>
        <v/>
      </c>
      <c r="S176" s="251" t="str">
        <f>IF(S$3="","",IF(COUNTIFS(BD!$A$3:$A$5001,S$3,BD!$B$3:$B$5001,$A$155,BD!$W$3:$W$5001,"&lt;&gt;")=0,"",SUMIFS(BD!$W$3:$W$5001,BD!$A$3:$A$5001,S$3,BD!$B$3:$B$5001,$A$155)))</f>
        <v/>
      </c>
      <c r="T176" s="251" t="str">
        <f>IF(T$3="","",IF(COUNTIFS(BD!$A$3:$A$5001,T$3,BD!$B$3:$B$5001,$A$155,BD!$W$3:$W$5001,"&lt;&gt;")=0,"",SUMIFS(BD!$W$3:$W$5001,BD!$A$3:$A$5001,T$3,BD!$B$3:$B$5001,$A$155)))</f>
        <v/>
      </c>
      <c r="U176" s="251" t="str">
        <f>IF(U$3="","",IF(COUNTIFS(BD!$A$3:$A$5001,U$3,BD!$B$3:$B$5001,$A$155,BD!$W$3:$W$5001,"&lt;&gt;")=0,"",SUMIFS(BD!$W$3:$W$5001,BD!$A$3:$A$5001,U$3,BD!$B$3:$B$5001,$A$155)))</f>
        <v/>
      </c>
      <c r="V176" s="251" t="str">
        <f>IF(V$3="","",IF(COUNTIFS(BD!$A$3:$A$5001,V$3,BD!$B$3:$B$5001,$A$155,BD!$W$3:$W$5001,"&lt;&gt;")=0,"",SUMIFS(BD!$W$3:$W$5001,BD!$A$3:$A$5001,V$3,BD!$B$3:$B$5001,$A$155)))</f>
        <v/>
      </c>
      <c r="W176" s="251" t="str">
        <f>IF(W$3="","",IF(COUNTIFS(BD!$A$3:$A$5001,W$3,BD!$B$3:$B$5001,$A$155,BD!$W$3:$W$5001,"&lt;&gt;")=0,"",SUMIFS(BD!$W$3:$W$5001,BD!$A$3:$A$5001,W$3,BD!$B$3:$B$5001,$A$155)))</f>
        <v/>
      </c>
      <c r="X176" s="251" t="str">
        <f>IF(X$3="","",IF(COUNTIFS(BD!$A$3:$A$5001,X$3,BD!$B$3:$B$5001,$A$155,BD!$W$3:$W$5001,"&lt;&gt;")=0,"",SUMIFS(BD!$W$3:$W$5001,BD!$A$3:$A$5001,X$3,BD!$B$3:$B$5001,$A$155)))</f>
        <v/>
      </c>
      <c r="Y176" s="251" t="str">
        <f>IF(Y$3="","",IF(COUNTIFS(BD!$A$3:$A$5001,Y$3,BD!$B$3:$B$5001,$A$155,BD!$W$3:$W$5001,"&lt;&gt;")=0,"",SUMIFS(BD!$W$3:$W$5001,BD!$A$3:$A$5001,Y$3,BD!$B$3:$B$5001,$A$155)))</f>
        <v/>
      </c>
      <c r="Z176" s="251" t="str">
        <f>IF(Z$3="","",IF(COUNTIFS(BD!$A$3:$A$5001,Z$3,BD!$B$3:$B$5001,$A$155,BD!$W$3:$W$5001,"&lt;&gt;")=0,"",SUMIFS(BD!$W$3:$W$5001,BD!$A$3:$A$5001,Z$3,BD!$B$3:$B$5001,$A$155)))</f>
        <v/>
      </c>
      <c r="AA176" s="251" t="str">
        <f>IF(AA$3="","",IF(COUNTIFS(BD!$A$3:$A$5001,AA$3,BD!$B$3:$B$5001,$A$155,BD!$W$3:$W$5001,"&lt;&gt;")=0,"",SUMIFS(BD!$W$3:$W$5001,BD!$A$3:$A$5001,AA$3,BD!$B$3:$B$5001,$A$155)))</f>
        <v/>
      </c>
      <c r="AB176" s="251" t="str">
        <f>IF(AB$3="","",IF(COUNTIFS(BD!$A$3:$A$5001,AB$3,BD!$B$3:$B$5001,$A$155,BD!$W$3:$W$5001,"&lt;&gt;")=0,"",SUMIFS(BD!$W$3:$W$5001,BD!$A$3:$A$5001,AB$3,BD!$B$3:$B$5001,$A$155)))</f>
        <v/>
      </c>
      <c r="AC176" s="251" t="str">
        <f>IF(AC$3="","",IF(COUNTIFS(BD!$A$3:$A$5001,AC$3,BD!$B$3:$B$5001,$A$155,BD!$W$3:$W$5001,"&lt;&gt;")=0,"",SUMIFS(BD!$W$3:$W$5001,BD!$A$3:$A$5001,AC$3,BD!$B$3:$B$5001,$A$155)))</f>
        <v/>
      </c>
      <c r="AD176" s="251" t="str">
        <f>IF(AD$3="","",IF(COUNTIFS(BD!$A$3:$A$5001,AD$3,BD!$B$3:$B$5001,$A$155,BD!$W$3:$W$5001,"&lt;&gt;")=0,"",SUMIFS(BD!$W$3:$W$5001,BD!$A$3:$A$5001,AD$3,BD!$B$3:$B$5001,$A$155)))</f>
        <v/>
      </c>
      <c r="AE176" s="251" t="str">
        <f>IF(AE$3="","",IF(COUNTIFS(BD!$A$3:$A$5001,AE$3,BD!$B$3:$B$5001,$A$155,BD!$W$3:$W$5001,"&lt;&gt;")=0,"",SUMIFS(BD!$W$3:$W$5001,BD!$A$3:$A$5001,AE$3,BD!$B$3:$B$5001,$A$155)))</f>
        <v/>
      </c>
      <c r="AF176" s="251" t="str">
        <f>IF(AF$3="","",IF(COUNTIFS(BD!$A$3:$A$5001,AF$3,BD!$B$3:$B$5001,$A$155,BD!$W$3:$W$5001,"&lt;&gt;")=0,"",SUMIFS(BD!$W$3:$W$5001,BD!$A$3:$A$5001,AF$3,BD!$B$3:$B$5001,$A$155)))</f>
        <v/>
      </c>
      <c r="AG176" s="251" t="str">
        <f>IF(AG$3="","",IF(COUNTIFS(BD!$A$3:$A$5001,AG$3,BD!$B$3:$B$5001,$A$155,BD!$W$3:$W$5001,"&lt;&gt;")=0,"",SUMIFS(BD!$W$3:$W$5001,BD!$A$3:$A$5001,AG$3,BD!$B$3:$B$5001,$A$155)))</f>
        <v/>
      </c>
      <c r="AH176" s="251" t="str">
        <f>IF(AH$3="","",IF(COUNTIFS(BD!$A$3:$A$5001,AH$3,BD!$B$3:$B$5001,$A$155,BD!$W$3:$W$5001,"&lt;&gt;")=0,"",SUMIFS(BD!$W$3:$W$5001,BD!$A$3:$A$5001,AH$3,BD!$B$3:$B$5001,$A$155)))</f>
        <v/>
      </c>
      <c r="AI176" s="251" t="str">
        <f>IF(AI$3="","",IF(COUNTIFS(BD!$A$3:$A$5001,AI$3,BD!$B$3:$B$5001,$A$155,BD!$W$3:$W$5001,"&lt;&gt;")=0,"",SUMIFS(BD!$W$3:$W$5001,BD!$A$3:$A$5001,AI$3,BD!$B$3:$B$5001,$A$155)))</f>
        <v/>
      </c>
      <c r="AJ176" s="252" t="str">
        <f>IF(AJ$3="","",IF(COUNTIFS(BD!$A$3:$A$5001,AJ$3,BD!$B$3:$B$5001,$A$155,BD!$W$3:$W$5001,"&lt;&gt;")=0,"",SUMIFS(BD!$W$3:$W$5001,BD!$A$3:$A$5001,AJ$3,BD!$B$3:$B$5001,$A$155)))</f>
        <v/>
      </c>
      <c r="AK176" s="253" t="str">
        <f>IF(COUNT(F176:AJ176)=0,"",SUM(F176:AJ176))</f>
        <v/>
      </c>
    </row>
    <row r="177" ht="15.75" customHeight="1" hidden="1">
      <c r="A177" s="277"/>
      <c r="B177" s="274"/>
      <c r="C177" s="247" t="inlineStr">
        <is>
          <t xml:space="preserve">Férias</t>
        </is>
      </c>
      <c r="D177" s="248" t="str">
        <f>IFERROR(1/(1/INDEX(BD!$AF$45:$AZ$45,MATCH($A$155,BD!$AF$22:$AZ$22,0))),"")</f>
        <v/>
      </c>
      <c r="E177" s="249"/>
      <c r="F177" s="250" t="str">
        <f>IF(F$3="","",IF(COUNTIFS(BD!$A$3:$A$5001,F$3,BD!$B$3:$B$5001,$A$155,BD!$X$3:$X$5001,"&lt;&gt;")=0,"",SUMIFS(BD!$X$3:$X$5001,BD!$A$3:$A$5001,F$3,BD!$B$3:$B$5001,$A$155)))</f>
        <v/>
      </c>
      <c r="G177" s="251" t="str">
        <f>IF(G$3="","",IF(COUNTIFS(BD!$A$3:$A$5001,G$3,BD!$B$3:$B$5001,$A$155,BD!$X$3:$X$5001,"&lt;&gt;")=0,"",SUMIFS(BD!$X$3:$X$5001,BD!$A$3:$A$5001,G$3,BD!$B$3:$B$5001,$A$155)))</f>
        <v/>
      </c>
      <c r="H177" s="251" t="str">
        <f>IF(H$3="","",IF(COUNTIFS(BD!$A$3:$A$5001,H$3,BD!$B$3:$B$5001,$A$155,BD!$X$3:$X$5001,"&lt;&gt;")=0,"",SUMIFS(BD!$X$3:$X$5001,BD!$A$3:$A$5001,H$3,BD!$B$3:$B$5001,$A$155)))</f>
        <v/>
      </c>
      <c r="I177" s="251" t="str">
        <f>IF(I$3="","",IF(COUNTIFS(BD!$A$3:$A$5001,I$3,BD!$B$3:$B$5001,$A$155,BD!$X$3:$X$5001,"&lt;&gt;")=0,"",SUMIFS(BD!$X$3:$X$5001,BD!$A$3:$A$5001,I$3,BD!$B$3:$B$5001,$A$155)))</f>
        <v/>
      </c>
      <c r="J177" s="251" t="str">
        <f>IF(J$3="","",IF(COUNTIFS(BD!$A$3:$A$5001,J$3,BD!$B$3:$B$5001,$A$155,BD!$X$3:$X$5001,"&lt;&gt;")=0,"",SUMIFS(BD!$X$3:$X$5001,BD!$A$3:$A$5001,J$3,BD!$B$3:$B$5001,$A$155)))</f>
        <v/>
      </c>
      <c r="K177" s="251" t="str">
        <f>IF(K$3="","",IF(COUNTIFS(BD!$A$3:$A$5001,K$3,BD!$B$3:$B$5001,$A$155,BD!$X$3:$X$5001,"&lt;&gt;")=0,"",SUMIFS(BD!$X$3:$X$5001,BD!$A$3:$A$5001,K$3,BD!$B$3:$B$5001,$A$155)))</f>
        <v/>
      </c>
      <c r="L177" s="251" t="str">
        <f>IF(L$3="","",IF(COUNTIFS(BD!$A$3:$A$5001,L$3,BD!$B$3:$B$5001,$A$155,BD!$X$3:$X$5001,"&lt;&gt;")=0,"",SUMIFS(BD!$X$3:$X$5001,BD!$A$3:$A$5001,L$3,BD!$B$3:$B$5001,$A$155)))</f>
        <v/>
      </c>
      <c r="M177" s="251" t="str">
        <f>IF(M$3="","",IF(COUNTIFS(BD!$A$3:$A$5001,M$3,BD!$B$3:$B$5001,$A$155,BD!$X$3:$X$5001,"&lt;&gt;")=0,"",SUMIFS(BD!$X$3:$X$5001,BD!$A$3:$A$5001,M$3,BD!$B$3:$B$5001,$A$155)))</f>
        <v/>
      </c>
      <c r="N177" s="251" t="str">
        <f>IF(N$3="","",IF(COUNTIFS(BD!$A$3:$A$5001,N$3,BD!$B$3:$B$5001,$A$155,BD!$X$3:$X$5001,"&lt;&gt;")=0,"",SUMIFS(BD!$X$3:$X$5001,BD!$A$3:$A$5001,N$3,BD!$B$3:$B$5001,$A$155)))</f>
        <v/>
      </c>
      <c r="O177" s="251" t="str">
        <f>IF(O$3="","",IF(COUNTIFS(BD!$A$3:$A$5001,O$3,BD!$B$3:$B$5001,$A$155,BD!$X$3:$X$5001,"&lt;&gt;")=0,"",SUMIFS(BD!$X$3:$X$5001,BD!$A$3:$A$5001,O$3,BD!$B$3:$B$5001,$A$155)))</f>
        <v/>
      </c>
      <c r="P177" s="251" t="str">
        <f>IF(P$3="","",IF(COUNTIFS(BD!$A$3:$A$5001,P$3,BD!$B$3:$B$5001,$A$155,BD!$X$3:$X$5001,"&lt;&gt;")=0,"",SUMIFS(BD!$X$3:$X$5001,BD!$A$3:$A$5001,P$3,BD!$B$3:$B$5001,$A$155)))</f>
        <v/>
      </c>
      <c r="Q177" s="251" t="str">
        <f>IF(Q$3="","",IF(COUNTIFS(BD!$A$3:$A$5001,Q$3,BD!$B$3:$B$5001,$A$155,BD!$X$3:$X$5001,"&lt;&gt;")=0,"",SUMIFS(BD!$X$3:$X$5001,BD!$A$3:$A$5001,Q$3,BD!$B$3:$B$5001,$A$155)))</f>
        <v/>
      </c>
      <c r="R177" s="251" t="str">
        <f>IF(R$3="","",IF(COUNTIFS(BD!$A$3:$A$5001,R$3,BD!$B$3:$B$5001,$A$155,BD!$X$3:$X$5001,"&lt;&gt;")=0,"",SUMIFS(BD!$X$3:$X$5001,BD!$A$3:$A$5001,R$3,BD!$B$3:$B$5001,$A$155)))</f>
        <v/>
      </c>
      <c r="S177" s="251" t="str">
        <f>IF(S$3="","",IF(COUNTIFS(BD!$A$3:$A$5001,S$3,BD!$B$3:$B$5001,$A$155,BD!$X$3:$X$5001,"&lt;&gt;")=0,"",SUMIFS(BD!$X$3:$X$5001,BD!$A$3:$A$5001,S$3,BD!$B$3:$B$5001,$A$155)))</f>
        <v/>
      </c>
      <c r="T177" s="251" t="str">
        <f>IF(T$3="","",IF(COUNTIFS(BD!$A$3:$A$5001,T$3,BD!$B$3:$B$5001,$A$155,BD!$X$3:$X$5001,"&lt;&gt;")=0,"",SUMIFS(BD!$X$3:$X$5001,BD!$A$3:$A$5001,T$3,BD!$B$3:$B$5001,$A$155)))</f>
        <v/>
      </c>
      <c r="U177" s="251" t="str">
        <f>IF(U$3="","",IF(COUNTIFS(BD!$A$3:$A$5001,U$3,BD!$B$3:$B$5001,$A$155,BD!$X$3:$X$5001,"&lt;&gt;")=0,"",SUMIFS(BD!$X$3:$X$5001,BD!$A$3:$A$5001,U$3,BD!$B$3:$B$5001,$A$155)))</f>
        <v/>
      </c>
      <c r="V177" s="251" t="str">
        <f>IF(V$3="","",IF(COUNTIFS(BD!$A$3:$A$5001,V$3,BD!$B$3:$B$5001,$A$155,BD!$X$3:$X$5001,"&lt;&gt;")=0,"",SUMIFS(BD!$X$3:$X$5001,BD!$A$3:$A$5001,V$3,BD!$B$3:$B$5001,$A$155)))</f>
        <v/>
      </c>
      <c r="W177" s="251" t="str">
        <f>IF(W$3="","",IF(COUNTIFS(BD!$A$3:$A$5001,W$3,BD!$B$3:$B$5001,$A$155,BD!$X$3:$X$5001,"&lt;&gt;")=0,"",SUMIFS(BD!$X$3:$X$5001,BD!$A$3:$A$5001,W$3,BD!$B$3:$B$5001,$A$155)))</f>
        <v/>
      </c>
      <c r="X177" s="251" t="str">
        <f>IF(X$3="","",IF(COUNTIFS(BD!$A$3:$A$5001,X$3,BD!$B$3:$B$5001,$A$155,BD!$X$3:$X$5001,"&lt;&gt;")=0,"",SUMIFS(BD!$X$3:$X$5001,BD!$A$3:$A$5001,X$3,BD!$B$3:$B$5001,$A$155)))</f>
        <v/>
      </c>
      <c r="Y177" s="251" t="str">
        <f>IF(Y$3="","",IF(COUNTIFS(BD!$A$3:$A$5001,Y$3,BD!$B$3:$B$5001,$A$155,BD!$X$3:$X$5001,"&lt;&gt;")=0,"",SUMIFS(BD!$X$3:$X$5001,BD!$A$3:$A$5001,Y$3,BD!$B$3:$B$5001,$A$155)))</f>
        <v/>
      </c>
      <c r="Z177" s="251" t="str">
        <f>IF(Z$3="","",IF(COUNTIFS(BD!$A$3:$A$5001,Z$3,BD!$B$3:$B$5001,$A$155,BD!$X$3:$X$5001,"&lt;&gt;")=0,"",SUMIFS(BD!$X$3:$X$5001,BD!$A$3:$A$5001,Z$3,BD!$B$3:$B$5001,$A$155)))</f>
        <v/>
      </c>
      <c r="AA177" s="251" t="str">
        <f>IF(AA$3="","",IF(COUNTIFS(BD!$A$3:$A$5001,AA$3,BD!$B$3:$B$5001,$A$155,BD!$X$3:$X$5001,"&lt;&gt;")=0,"",SUMIFS(BD!$X$3:$X$5001,BD!$A$3:$A$5001,AA$3,BD!$B$3:$B$5001,$A$155)))</f>
        <v/>
      </c>
      <c r="AB177" s="251" t="str">
        <f>IF(AB$3="","",IF(COUNTIFS(BD!$A$3:$A$5001,AB$3,BD!$B$3:$B$5001,$A$155,BD!$X$3:$X$5001,"&lt;&gt;")=0,"",SUMIFS(BD!$X$3:$X$5001,BD!$A$3:$A$5001,AB$3,BD!$B$3:$B$5001,$A$155)))</f>
        <v/>
      </c>
      <c r="AC177" s="251" t="str">
        <f>IF(AC$3="","",IF(COUNTIFS(BD!$A$3:$A$5001,AC$3,BD!$B$3:$B$5001,$A$155,BD!$X$3:$X$5001,"&lt;&gt;")=0,"",SUMIFS(BD!$X$3:$X$5001,BD!$A$3:$A$5001,AC$3,BD!$B$3:$B$5001,$A$155)))</f>
        <v/>
      </c>
      <c r="AD177" s="251" t="str">
        <f>IF(AD$3="","",IF(COUNTIFS(BD!$A$3:$A$5001,AD$3,BD!$B$3:$B$5001,$A$155,BD!$X$3:$X$5001,"&lt;&gt;")=0,"",SUMIFS(BD!$X$3:$X$5001,BD!$A$3:$A$5001,AD$3,BD!$B$3:$B$5001,$A$155)))</f>
        <v/>
      </c>
      <c r="AE177" s="251" t="str">
        <f>IF(AE$3="","",IF(COUNTIFS(BD!$A$3:$A$5001,AE$3,BD!$B$3:$B$5001,$A$155,BD!$X$3:$X$5001,"&lt;&gt;")=0,"",SUMIFS(BD!$X$3:$X$5001,BD!$A$3:$A$5001,AE$3,BD!$B$3:$B$5001,$A$155)))</f>
        <v/>
      </c>
      <c r="AF177" s="251" t="str">
        <f>IF(AF$3="","",IF(COUNTIFS(BD!$A$3:$A$5001,AF$3,BD!$B$3:$B$5001,$A$155,BD!$X$3:$X$5001,"&lt;&gt;")=0,"",SUMIFS(BD!$X$3:$X$5001,BD!$A$3:$A$5001,AF$3,BD!$B$3:$B$5001,$A$155)))</f>
        <v/>
      </c>
      <c r="AG177" s="251" t="str">
        <f>IF(AG$3="","",IF(COUNTIFS(BD!$A$3:$A$5001,AG$3,BD!$B$3:$B$5001,$A$155,BD!$X$3:$X$5001,"&lt;&gt;")=0,"",SUMIFS(BD!$X$3:$X$5001,BD!$A$3:$A$5001,AG$3,BD!$B$3:$B$5001,$A$155)))</f>
        <v/>
      </c>
      <c r="AH177" s="251" t="str">
        <f>IF(AH$3="","",IF(COUNTIFS(BD!$A$3:$A$5001,AH$3,BD!$B$3:$B$5001,$A$155,BD!$X$3:$X$5001,"&lt;&gt;")=0,"",SUMIFS(BD!$X$3:$X$5001,BD!$A$3:$A$5001,AH$3,BD!$B$3:$B$5001,$A$155)))</f>
        <v/>
      </c>
      <c r="AI177" s="251" t="str">
        <f>IF(AI$3="","",IF(COUNTIFS(BD!$A$3:$A$5001,AI$3,BD!$B$3:$B$5001,$A$155,BD!$X$3:$X$5001,"&lt;&gt;")=0,"",SUMIFS(BD!$X$3:$X$5001,BD!$A$3:$A$5001,AI$3,BD!$B$3:$B$5001,$A$155)))</f>
        <v/>
      </c>
      <c r="AJ177" s="252" t="str">
        <f>IF(AJ$3="","",IF(COUNTIFS(BD!$A$3:$A$5001,AJ$3,BD!$B$3:$B$5001,$A$155,BD!$X$3:$X$5001,"&lt;&gt;")=0,"",SUMIFS(BD!$X$3:$X$5001,BD!$A$3:$A$5001,AJ$3,BD!$B$3:$B$5001,$A$155)))</f>
        <v/>
      </c>
      <c r="AK177" s="253" t="str">
        <f>IF(COUNT(F177:AJ177)=0,"",SUM(F177:AJ177))</f>
        <v/>
      </c>
    </row>
    <row r="178" ht="15.75" customHeight="1" hidden="1">
      <c r="A178" s="277"/>
      <c r="B178" s="274"/>
      <c r="C178" s="247" t="inlineStr">
        <is>
          <t xml:space="preserve">Desligamento</t>
        </is>
      </c>
      <c r="D178" s="248" t="str">
        <f>IFERROR(1/(1/INDEX(BD!$AF$46:$AZ$46,MATCH($A$155,BD!$AF$22:$AZ$22,0))),"")</f>
        <v/>
      </c>
      <c r="E178" s="249"/>
      <c r="F178" s="250" t="str">
        <f>IF(F$3="","",IF(COUNTIFS(BD!$A$3:$A$5001,F$3,BD!$B$3:$B$5001,$A$155,BD!$Y$3:$Y$5001,"&lt;&gt;")=0,"",SUMIFS(BD!$Y$3:$Y$5001,BD!$A$3:$A$5001,F$3,BD!$B$3:$B$5001,$A$155)))</f>
        <v/>
      </c>
      <c r="G178" s="251" t="str">
        <f>IF(G$3="","",IF(COUNTIFS(BD!$A$3:$A$5001,G$3,BD!$B$3:$B$5001,$A$155,BD!$Y$3:$Y$5001,"&lt;&gt;")=0,"",SUMIFS(BD!$Y$3:$Y$5001,BD!$A$3:$A$5001,G$3,BD!$B$3:$B$5001,$A$155)))</f>
        <v/>
      </c>
      <c r="H178" s="251" t="str">
        <f>IF(H$3="","",IF(COUNTIFS(BD!$A$3:$A$5001,H$3,BD!$B$3:$B$5001,$A$155,BD!$Y$3:$Y$5001,"&lt;&gt;")=0,"",SUMIFS(BD!$Y$3:$Y$5001,BD!$A$3:$A$5001,H$3,BD!$B$3:$B$5001,$A$155)))</f>
        <v/>
      </c>
      <c r="I178" s="251" t="str">
        <f>IF(I$3="","",IF(COUNTIFS(BD!$A$3:$A$5001,I$3,BD!$B$3:$B$5001,$A$155,BD!$Y$3:$Y$5001,"&lt;&gt;")=0,"",SUMIFS(BD!$Y$3:$Y$5001,BD!$A$3:$A$5001,I$3,BD!$B$3:$B$5001,$A$155)))</f>
        <v/>
      </c>
      <c r="J178" s="251" t="str">
        <f>IF(J$3="","",IF(COUNTIFS(BD!$A$3:$A$5001,J$3,BD!$B$3:$B$5001,$A$155,BD!$Y$3:$Y$5001,"&lt;&gt;")=0,"",SUMIFS(BD!$Y$3:$Y$5001,BD!$A$3:$A$5001,J$3,BD!$B$3:$B$5001,$A$155)))</f>
        <v/>
      </c>
      <c r="K178" s="251" t="str">
        <f>IF(K$3="","",IF(COUNTIFS(BD!$A$3:$A$5001,K$3,BD!$B$3:$B$5001,$A$155,BD!$Y$3:$Y$5001,"&lt;&gt;")=0,"",SUMIFS(BD!$Y$3:$Y$5001,BD!$A$3:$A$5001,K$3,BD!$B$3:$B$5001,$A$155)))</f>
        <v/>
      </c>
      <c r="L178" s="251" t="str">
        <f>IF(L$3="","",IF(COUNTIFS(BD!$A$3:$A$5001,L$3,BD!$B$3:$B$5001,$A$155,BD!$Y$3:$Y$5001,"&lt;&gt;")=0,"",SUMIFS(BD!$Y$3:$Y$5001,BD!$A$3:$A$5001,L$3,BD!$B$3:$B$5001,$A$155)))</f>
        <v/>
      </c>
      <c r="M178" s="251" t="str">
        <f>IF(M$3="","",IF(COUNTIFS(BD!$A$3:$A$5001,M$3,BD!$B$3:$B$5001,$A$155,BD!$Y$3:$Y$5001,"&lt;&gt;")=0,"",SUMIFS(BD!$Y$3:$Y$5001,BD!$A$3:$A$5001,M$3,BD!$B$3:$B$5001,$A$155)))</f>
        <v/>
      </c>
      <c r="N178" s="251" t="str">
        <f>IF(N$3="","",IF(COUNTIFS(BD!$A$3:$A$5001,N$3,BD!$B$3:$B$5001,$A$155,BD!$Y$3:$Y$5001,"&lt;&gt;")=0,"",SUMIFS(BD!$Y$3:$Y$5001,BD!$A$3:$A$5001,N$3,BD!$B$3:$B$5001,$A$155)))</f>
        <v/>
      </c>
      <c r="O178" s="251" t="str">
        <f>IF(O$3="","",IF(COUNTIFS(BD!$A$3:$A$5001,O$3,BD!$B$3:$B$5001,$A$155,BD!$Y$3:$Y$5001,"&lt;&gt;")=0,"",SUMIFS(BD!$Y$3:$Y$5001,BD!$A$3:$A$5001,O$3,BD!$B$3:$B$5001,$A$155)))</f>
        <v/>
      </c>
      <c r="P178" s="251" t="str">
        <f>IF(P$3="","",IF(COUNTIFS(BD!$A$3:$A$5001,P$3,BD!$B$3:$B$5001,$A$155,BD!$Y$3:$Y$5001,"&lt;&gt;")=0,"",SUMIFS(BD!$Y$3:$Y$5001,BD!$A$3:$A$5001,P$3,BD!$B$3:$B$5001,$A$155)))</f>
        <v/>
      </c>
      <c r="Q178" s="251" t="str">
        <f>IF(Q$3="","",IF(COUNTIFS(BD!$A$3:$A$5001,Q$3,BD!$B$3:$B$5001,$A$155,BD!$Y$3:$Y$5001,"&lt;&gt;")=0,"",SUMIFS(BD!$Y$3:$Y$5001,BD!$A$3:$A$5001,Q$3,BD!$B$3:$B$5001,$A$155)))</f>
        <v/>
      </c>
      <c r="R178" s="251" t="str">
        <f>IF(R$3="","",IF(COUNTIFS(BD!$A$3:$A$5001,R$3,BD!$B$3:$B$5001,$A$155,BD!$Y$3:$Y$5001,"&lt;&gt;")=0,"",SUMIFS(BD!$Y$3:$Y$5001,BD!$A$3:$A$5001,R$3,BD!$B$3:$B$5001,$A$155)))</f>
        <v/>
      </c>
      <c r="S178" s="251" t="str">
        <f>IF(S$3="","",IF(COUNTIFS(BD!$A$3:$A$5001,S$3,BD!$B$3:$B$5001,$A$155,BD!$Y$3:$Y$5001,"&lt;&gt;")=0,"",SUMIFS(BD!$Y$3:$Y$5001,BD!$A$3:$A$5001,S$3,BD!$B$3:$B$5001,$A$155)))</f>
        <v/>
      </c>
      <c r="T178" s="251" t="str">
        <f>IF(T$3="","",IF(COUNTIFS(BD!$A$3:$A$5001,T$3,BD!$B$3:$B$5001,$A$155,BD!$Y$3:$Y$5001,"&lt;&gt;")=0,"",SUMIFS(BD!$Y$3:$Y$5001,BD!$A$3:$A$5001,T$3,BD!$B$3:$B$5001,$A$155)))</f>
        <v/>
      </c>
      <c r="U178" s="251" t="str">
        <f>IF(U$3="","",IF(COUNTIFS(BD!$A$3:$A$5001,U$3,BD!$B$3:$B$5001,$A$155,BD!$Y$3:$Y$5001,"&lt;&gt;")=0,"",SUMIFS(BD!$Y$3:$Y$5001,BD!$A$3:$A$5001,U$3,BD!$B$3:$B$5001,$A$155)))</f>
        <v/>
      </c>
      <c r="V178" s="251" t="str">
        <f>IF(V$3="","",IF(COUNTIFS(BD!$A$3:$A$5001,V$3,BD!$B$3:$B$5001,$A$155,BD!$Y$3:$Y$5001,"&lt;&gt;")=0,"",SUMIFS(BD!$Y$3:$Y$5001,BD!$A$3:$A$5001,V$3,BD!$B$3:$B$5001,$A$155)))</f>
        <v/>
      </c>
      <c r="W178" s="251" t="str">
        <f>IF(W$3="","",IF(COUNTIFS(BD!$A$3:$A$5001,W$3,BD!$B$3:$B$5001,$A$155,BD!$Y$3:$Y$5001,"&lt;&gt;")=0,"",SUMIFS(BD!$Y$3:$Y$5001,BD!$A$3:$A$5001,W$3,BD!$B$3:$B$5001,$A$155)))</f>
        <v/>
      </c>
      <c r="X178" s="251" t="str">
        <f>IF(X$3="","",IF(COUNTIFS(BD!$A$3:$A$5001,X$3,BD!$B$3:$B$5001,$A$155,BD!$Y$3:$Y$5001,"&lt;&gt;")=0,"",SUMIFS(BD!$Y$3:$Y$5001,BD!$A$3:$A$5001,X$3,BD!$B$3:$B$5001,$A$155)))</f>
        <v/>
      </c>
      <c r="Y178" s="251" t="str">
        <f>IF(Y$3="","",IF(COUNTIFS(BD!$A$3:$A$5001,Y$3,BD!$B$3:$B$5001,$A$155,BD!$Y$3:$Y$5001,"&lt;&gt;")=0,"",SUMIFS(BD!$Y$3:$Y$5001,BD!$A$3:$A$5001,Y$3,BD!$B$3:$B$5001,$A$155)))</f>
        <v/>
      </c>
      <c r="Z178" s="251" t="str">
        <f>IF(Z$3="","",IF(COUNTIFS(BD!$A$3:$A$5001,Z$3,BD!$B$3:$B$5001,$A$155,BD!$Y$3:$Y$5001,"&lt;&gt;")=0,"",SUMIFS(BD!$Y$3:$Y$5001,BD!$A$3:$A$5001,Z$3,BD!$B$3:$B$5001,$A$155)))</f>
        <v/>
      </c>
      <c r="AA178" s="251" t="str">
        <f>IF(AA$3="","",IF(COUNTIFS(BD!$A$3:$A$5001,AA$3,BD!$B$3:$B$5001,$A$155,BD!$Y$3:$Y$5001,"&lt;&gt;")=0,"",SUMIFS(BD!$Y$3:$Y$5001,BD!$A$3:$A$5001,AA$3,BD!$B$3:$B$5001,$A$155)))</f>
        <v/>
      </c>
      <c r="AB178" s="251" t="str">
        <f>IF(AB$3="","",IF(COUNTIFS(BD!$A$3:$A$5001,AB$3,BD!$B$3:$B$5001,$A$155,BD!$Y$3:$Y$5001,"&lt;&gt;")=0,"",SUMIFS(BD!$Y$3:$Y$5001,BD!$A$3:$A$5001,AB$3,BD!$B$3:$B$5001,$A$155)))</f>
        <v/>
      </c>
      <c r="AC178" s="251" t="str">
        <f>IF(AC$3="","",IF(COUNTIFS(BD!$A$3:$A$5001,AC$3,BD!$B$3:$B$5001,$A$155,BD!$Y$3:$Y$5001,"&lt;&gt;")=0,"",SUMIFS(BD!$Y$3:$Y$5001,BD!$A$3:$A$5001,AC$3,BD!$B$3:$B$5001,$A$155)))</f>
        <v/>
      </c>
      <c r="AD178" s="251" t="str">
        <f>IF(AD$3="","",IF(COUNTIFS(BD!$A$3:$A$5001,AD$3,BD!$B$3:$B$5001,$A$155,BD!$Y$3:$Y$5001,"&lt;&gt;")=0,"",SUMIFS(BD!$Y$3:$Y$5001,BD!$A$3:$A$5001,AD$3,BD!$B$3:$B$5001,$A$155)))</f>
        <v/>
      </c>
      <c r="AE178" s="251" t="str">
        <f>IF(AE$3="","",IF(COUNTIFS(BD!$A$3:$A$5001,AE$3,BD!$B$3:$B$5001,$A$155,BD!$Y$3:$Y$5001,"&lt;&gt;")=0,"",SUMIFS(BD!$Y$3:$Y$5001,BD!$A$3:$A$5001,AE$3,BD!$B$3:$B$5001,$A$155)))</f>
        <v/>
      </c>
      <c r="AF178" s="251" t="str">
        <f>IF(AF$3="","",IF(COUNTIFS(BD!$A$3:$A$5001,AF$3,BD!$B$3:$B$5001,$A$155,BD!$Y$3:$Y$5001,"&lt;&gt;")=0,"",SUMIFS(BD!$Y$3:$Y$5001,BD!$A$3:$A$5001,AF$3,BD!$B$3:$B$5001,$A$155)))</f>
        <v/>
      </c>
      <c r="AG178" s="251" t="str">
        <f>IF(AG$3="","",IF(COUNTIFS(BD!$A$3:$A$5001,AG$3,BD!$B$3:$B$5001,$A$155,BD!$Y$3:$Y$5001,"&lt;&gt;")=0,"",SUMIFS(BD!$Y$3:$Y$5001,BD!$A$3:$A$5001,AG$3,BD!$B$3:$B$5001,$A$155)))</f>
        <v/>
      </c>
      <c r="AH178" s="251" t="str">
        <f>IF(AH$3="","",IF(COUNTIFS(BD!$A$3:$A$5001,AH$3,BD!$B$3:$B$5001,$A$155,BD!$Y$3:$Y$5001,"&lt;&gt;")=0,"",SUMIFS(BD!$Y$3:$Y$5001,BD!$A$3:$A$5001,AH$3,BD!$B$3:$B$5001,$A$155)))</f>
        <v/>
      </c>
      <c r="AI178" s="251" t="str">
        <f>IF(AI$3="","",IF(COUNTIFS(BD!$A$3:$A$5001,AI$3,BD!$B$3:$B$5001,$A$155,BD!$Y$3:$Y$5001,"&lt;&gt;")=0,"",SUMIFS(BD!$Y$3:$Y$5001,BD!$A$3:$A$5001,AI$3,BD!$B$3:$B$5001,$A$155)))</f>
        <v/>
      </c>
      <c r="AJ178" s="252" t="str">
        <f>IF(AJ$3="","",IF(COUNTIFS(BD!$A$3:$A$5001,AJ$3,BD!$B$3:$B$5001,$A$155,BD!$Y$3:$Y$5001,"&lt;&gt;")=0,"",SUMIFS(BD!$Y$3:$Y$5001,BD!$A$3:$A$5001,AJ$3,BD!$B$3:$B$5001,$A$155)))</f>
        <v/>
      </c>
      <c r="AK178" s="253" t="str">
        <f>IF(COUNT(F178:AJ178)=0,"",SUM(F178:AJ178))</f>
        <v/>
      </c>
    </row>
    <row r="179" ht="15.75" customHeight="1" hidden="1">
      <c r="A179" s="277"/>
      <c r="B179" s="274"/>
      <c r="C179" s="247" t="inlineStr">
        <is>
          <t xml:space="preserve">Desvios Comportamentais</t>
        </is>
      </c>
      <c r="D179" s="248" t="str">
        <f>IFERROR(1/(1/INDEX(BD!$AF$47:$AZ$47,MATCH($A$155,BD!$AF$22:$AZ$22,0))),"")</f>
        <v/>
      </c>
      <c r="E179" s="249"/>
      <c r="F179" s="250" t="str">
        <f>IF(F$3="","",IF(COUNTIFS(BD!$A$3:$A$5001,F$3,BD!$B$3:$B$5001,$A$155,BD!$Z$3:$Z$5001,"&lt;&gt;")=0,"",SUMIFS(BD!$Z$3:$Z$5001,BD!$A$3:$A$5001,F$3,BD!$B$3:$B$5001,$A$155)))</f>
        <v/>
      </c>
      <c r="G179" s="251" t="str">
        <f>IF(G$3="","",IF(COUNTIFS(BD!$A$3:$A$5001,G$3,BD!$B$3:$B$5001,$A$155,BD!$Z$3:$Z$5001,"&lt;&gt;")=0,"",SUMIFS(BD!$Z$3:$Z$5001,BD!$A$3:$A$5001,G$3,BD!$B$3:$B$5001,$A$155)))</f>
        <v/>
      </c>
      <c r="H179" s="251" t="str">
        <f>IF(H$3="","",IF(COUNTIFS(BD!$A$3:$A$5001,H$3,BD!$B$3:$B$5001,$A$155,BD!$Z$3:$Z$5001,"&lt;&gt;")=0,"",SUMIFS(BD!$Z$3:$Z$5001,BD!$A$3:$A$5001,H$3,BD!$B$3:$B$5001,$A$155)))</f>
        <v/>
      </c>
      <c r="I179" s="251" t="str">
        <f>IF(I$3="","",IF(COUNTIFS(BD!$A$3:$A$5001,I$3,BD!$B$3:$B$5001,$A$155,BD!$Z$3:$Z$5001,"&lt;&gt;")=0,"",SUMIFS(BD!$Z$3:$Z$5001,BD!$A$3:$A$5001,I$3,BD!$B$3:$B$5001,$A$155)))</f>
        <v/>
      </c>
      <c r="J179" s="251" t="str">
        <f>IF(J$3="","",IF(COUNTIFS(BD!$A$3:$A$5001,J$3,BD!$B$3:$B$5001,$A$155,BD!$Z$3:$Z$5001,"&lt;&gt;")=0,"",SUMIFS(BD!$Z$3:$Z$5001,BD!$A$3:$A$5001,J$3,BD!$B$3:$B$5001,$A$155)))</f>
        <v/>
      </c>
      <c r="K179" s="251" t="str">
        <f>IF(K$3="","",IF(COUNTIFS(BD!$A$3:$A$5001,K$3,BD!$B$3:$B$5001,$A$155,BD!$Z$3:$Z$5001,"&lt;&gt;")=0,"",SUMIFS(BD!$Z$3:$Z$5001,BD!$A$3:$A$5001,K$3,BD!$B$3:$B$5001,$A$155)))</f>
        <v/>
      </c>
      <c r="L179" s="251" t="str">
        <f>IF(L$3="","",IF(COUNTIFS(BD!$A$3:$A$5001,L$3,BD!$B$3:$B$5001,$A$155,BD!$Z$3:$Z$5001,"&lt;&gt;")=0,"",SUMIFS(BD!$Z$3:$Z$5001,BD!$A$3:$A$5001,L$3,BD!$B$3:$B$5001,$A$155)))</f>
        <v/>
      </c>
      <c r="M179" s="251" t="str">
        <f>IF(M$3="","",IF(COUNTIFS(BD!$A$3:$A$5001,M$3,BD!$B$3:$B$5001,$A$155,BD!$Z$3:$Z$5001,"&lt;&gt;")=0,"",SUMIFS(BD!$Z$3:$Z$5001,BD!$A$3:$A$5001,M$3,BD!$B$3:$B$5001,$A$155)))</f>
        <v/>
      </c>
      <c r="N179" s="251" t="str">
        <f>IF(N$3="","",IF(COUNTIFS(BD!$A$3:$A$5001,N$3,BD!$B$3:$B$5001,$A$155,BD!$Z$3:$Z$5001,"&lt;&gt;")=0,"",SUMIFS(BD!$Z$3:$Z$5001,BD!$A$3:$A$5001,N$3,BD!$B$3:$B$5001,$A$155)))</f>
        <v/>
      </c>
      <c r="O179" s="251" t="str">
        <f>IF(O$3="","",IF(COUNTIFS(BD!$A$3:$A$5001,O$3,BD!$B$3:$B$5001,$A$155,BD!$Z$3:$Z$5001,"&lt;&gt;")=0,"",SUMIFS(BD!$Z$3:$Z$5001,BD!$A$3:$A$5001,O$3,BD!$B$3:$B$5001,$A$155)))</f>
        <v/>
      </c>
      <c r="P179" s="251" t="str">
        <f>IF(P$3="","",IF(COUNTIFS(BD!$A$3:$A$5001,P$3,BD!$B$3:$B$5001,$A$155,BD!$Z$3:$Z$5001,"&lt;&gt;")=0,"",SUMIFS(BD!$Z$3:$Z$5001,BD!$A$3:$A$5001,P$3,BD!$B$3:$B$5001,$A$155)))</f>
        <v/>
      </c>
      <c r="Q179" s="251" t="str">
        <f>IF(Q$3="","",IF(COUNTIFS(BD!$A$3:$A$5001,Q$3,BD!$B$3:$B$5001,$A$155,BD!$Z$3:$Z$5001,"&lt;&gt;")=0,"",SUMIFS(BD!$Z$3:$Z$5001,BD!$A$3:$A$5001,Q$3,BD!$B$3:$B$5001,$A$155)))</f>
        <v/>
      </c>
      <c r="R179" s="251" t="str">
        <f>IF(R$3="","",IF(COUNTIFS(BD!$A$3:$A$5001,R$3,BD!$B$3:$B$5001,$A$155,BD!$Z$3:$Z$5001,"&lt;&gt;")=0,"",SUMIFS(BD!$Z$3:$Z$5001,BD!$A$3:$A$5001,R$3,BD!$B$3:$B$5001,$A$155)))</f>
        <v/>
      </c>
      <c r="S179" s="251" t="str">
        <f>IF(S$3="","",IF(COUNTIFS(BD!$A$3:$A$5001,S$3,BD!$B$3:$B$5001,$A$155,BD!$Z$3:$Z$5001,"&lt;&gt;")=0,"",SUMIFS(BD!$Z$3:$Z$5001,BD!$A$3:$A$5001,S$3,BD!$B$3:$B$5001,$A$155)))</f>
        <v/>
      </c>
      <c r="T179" s="251" t="str">
        <f>IF(T$3="","",IF(COUNTIFS(BD!$A$3:$A$5001,T$3,BD!$B$3:$B$5001,$A$155,BD!$Z$3:$Z$5001,"&lt;&gt;")=0,"",SUMIFS(BD!$Z$3:$Z$5001,BD!$A$3:$A$5001,T$3,BD!$B$3:$B$5001,$A$155)))</f>
        <v/>
      </c>
      <c r="U179" s="251" t="str">
        <f>IF(U$3="","",IF(COUNTIFS(BD!$A$3:$A$5001,U$3,BD!$B$3:$B$5001,$A$155,BD!$Z$3:$Z$5001,"&lt;&gt;")=0,"",SUMIFS(BD!$Z$3:$Z$5001,BD!$A$3:$A$5001,U$3,BD!$B$3:$B$5001,$A$155)))</f>
        <v/>
      </c>
      <c r="V179" s="251" t="str">
        <f>IF(V$3="","",IF(COUNTIFS(BD!$A$3:$A$5001,V$3,BD!$B$3:$B$5001,$A$155,BD!$Z$3:$Z$5001,"&lt;&gt;")=0,"",SUMIFS(BD!$Z$3:$Z$5001,BD!$A$3:$A$5001,V$3,BD!$B$3:$B$5001,$A$155)))</f>
        <v/>
      </c>
      <c r="W179" s="251" t="str">
        <f>IF(W$3="","",IF(COUNTIFS(BD!$A$3:$A$5001,W$3,BD!$B$3:$B$5001,$A$155,BD!$Z$3:$Z$5001,"&lt;&gt;")=0,"",SUMIFS(BD!$Z$3:$Z$5001,BD!$A$3:$A$5001,W$3,BD!$B$3:$B$5001,$A$155)))</f>
        <v/>
      </c>
      <c r="X179" s="251" t="str">
        <f>IF(X$3="","",IF(COUNTIFS(BD!$A$3:$A$5001,X$3,BD!$B$3:$B$5001,$A$155,BD!$Z$3:$Z$5001,"&lt;&gt;")=0,"",SUMIFS(BD!$Z$3:$Z$5001,BD!$A$3:$A$5001,X$3,BD!$B$3:$B$5001,$A$155)))</f>
        <v/>
      </c>
      <c r="Y179" s="251" t="str">
        <f>IF(Y$3="","",IF(COUNTIFS(BD!$A$3:$A$5001,Y$3,BD!$B$3:$B$5001,$A$155,BD!$Z$3:$Z$5001,"&lt;&gt;")=0,"",SUMIFS(BD!$Z$3:$Z$5001,BD!$A$3:$A$5001,Y$3,BD!$B$3:$B$5001,$A$155)))</f>
        <v/>
      </c>
      <c r="Z179" s="251" t="str">
        <f>IF(Z$3="","",IF(COUNTIFS(BD!$A$3:$A$5001,Z$3,BD!$B$3:$B$5001,$A$155,BD!$Z$3:$Z$5001,"&lt;&gt;")=0,"",SUMIFS(BD!$Z$3:$Z$5001,BD!$A$3:$A$5001,Z$3,BD!$B$3:$B$5001,$A$155)))</f>
        <v/>
      </c>
      <c r="AA179" s="251" t="str">
        <f>IF(AA$3="","",IF(COUNTIFS(BD!$A$3:$A$5001,AA$3,BD!$B$3:$B$5001,$A$155,BD!$Z$3:$Z$5001,"&lt;&gt;")=0,"",SUMIFS(BD!$Z$3:$Z$5001,BD!$A$3:$A$5001,AA$3,BD!$B$3:$B$5001,$A$155)))</f>
        <v/>
      </c>
      <c r="AB179" s="251" t="str">
        <f>IF(AB$3="","",IF(COUNTIFS(BD!$A$3:$A$5001,AB$3,BD!$B$3:$B$5001,$A$155,BD!$Z$3:$Z$5001,"&lt;&gt;")=0,"",SUMIFS(BD!$Z$3:$Z$5001,BD!$A$3:$A$5001,AB$3,BD!$B$3:$B$5001,$A$155)))</f>
        <v/>
      </c>
      <c r="AC179" s="251" t="str">
        <f>IF(AC$3="","",IF(COUNTIFS(BD!$A$3:$A$5001,AC$3,BD!$B$3:$B$5001,$A$155,BD!$Z$3:$Z$5001,"&lt;&gt;")=0,"",SUMIFS(BD!$Z$3:$Z$5001,BD!$A$3:$A$5001,AC$3,BD!$B$3:$B$5001,$A$155)))</f>
        <v/>
      </c>
      <c r="AD179" s="251" t="str">
        <f>IF(AD$3="","",IF(COUNTIFS(BD!$A$3:$A$5001,AD$3,BD!$B$3:$B$5001,$A$155,BD!$Z$3:$Z$5001,"&lt;&gt;")=0,"",SUMIFS(BD!$Z$3:$Z$5001,BD!$A$3:$A$5001,AD$3,BD!$B$3:$B$5001,$A$155)))</f>
        <v/>
      </c>
      <c r="AE179" s="251" t="str">
        <f>IF(AE$3="","",IF(COUNTIFS(BD!$A$3:$A$5001,AE$3,BD!$B$3:$B$5001,$A$155,BD!$Z$3:$Z$5001,"&lt;&gt;")=0,"",SUMIFS(BD!$Z$3:$Z$5001,BD!$A$3:$A$5001,AE$3,BD!$B$3:$B$5001,$A$155)))</f>
        <v/>
      </c>
      <c r="AF179" s="251" t="str">
        <f>IF(AF$3="","",IF(COUNTIFS(BD!$A$3:$A$5001,AF$3,BD!$B$3:$B$5001,$A$155,BD!$Z$3:$Z$5001,"&lt;&gt;")=0,"",SUMIFS(BD!$Z$3:$Z$5001,BD!$A$3:$A$5001,AF$3,BD!$B$3:$B$5001,$A$155)))</f>
        <v/>
      </c>
      <c r="AG179" s="251" t="str">
        <f>IF(AG$3="","",IF(COUNTIFS(BD!$A$3:$A$5001,AG$3,BD!$B$3:$B$5001,$A$155,BD!$Z$3:$Z$5001,"&lt;&gt;")=0,"",SUMIFS(BD!$Z$3:$Z$5001,BD!$A$3:$A$5001,AG$3,BD!$B$3:$B$5001,$A$155)))</f>
        <v/>
      </c>
      <c r="AH179" s="251" t="str">
        <f>IF(AH$3="","",IF(COUNTIFS(BD!$A$3:$A$5001,AH$3,BD!$B$3:$B$5001,$A$155,BD!$Z$3:$Z$5001,"&lt;&gt;")=0,"",SUMIFS(BD!$Z$3:$Z$5001,BD!$A$3:$A$5001,AH$3,BD!$B$3:$B$5001,$A$155)))</f>
        <v/>
      </c>
      <c r="AI179" s="251" t="str">
        <f>IF(AI$3="","",IF(COUNTIFS(BD!$A$3:$A$5001,AI$3,BD!$B$3:$B$5001,$A$155,BD!$Z$3:$Z$5001,"&lt;&gt;")=0,"",SUMIFS(BD!$Z$3:$Z$5001,BD!$A$3:$A$5001,AI$3,BD!$B$3:$B$5001,$A$155)))</f>
        <v/>
      </c>
      <c r="AJ179" s="252" t="str">
        <f>IF(AJ$3="","",IF(COUNTIFS(BD!$A$3:$A$5001,AJ$3,BD!$B$3:$B$5001,$A$155,BD!$Z$3:$Z$5001,"&lt;&gt;")=0,"",SUMIFS(BD!$Z$3:$Z$5001,BD!$A$3:$A$5001,AJ$3,BD!$B$3:$B$5001,$A$155)))</f>
        <v/>
      </c>
      <c r="AK179" s="253" t="str">
        <f>IF(COUNT(F179:AJ179)=0,"",SUM(F179:AJ179))</f>
        <v/>
      </c>
    </row>
    <row r="180" ht="15.75" customHeight="1" hidden="1">
      <c r="A180" s="277"/>
      <c r="B180" s="274"/>
      <c r="C180" s="247" t="inlineStr">
        <is>
          <t xml:space="preserve">Acidentes CAF</t>
        </is>
      </c>
      <c r="D180" s="248" t="str">
        <f>IFERROR(1/(1/INDEX(BD!$AF$48:$AZ$48,MATCH($A$155,BD!$AF$22:$AZ$22,0))),"")</f>
        <v/>
      </c>
      <c r="E180" s="249"/>
      <c r="F180" s="250" t="str">
        <f>IF(F$3="","",IF(COUNTIFS(BD!$A$3:$A$5001,F$3,BD!$B$3:$B$5001,$A$155,BD!$AA$3:$AA$5001,"&lt;&gt;")=0,"",SUMIFS(BD!$AA$3:$AA$5001,BD!$A$3:$A$5001,F$3,BD!$B$3:$B$5001,$A$155)))</f>
        <v/>
      </c>
      <c r="G180" s="251" t="str">
        <f>IF(G$3="","",IF(COUNTIFS(BD!$A$3:$A$5001,G$3,BD!$B$3:$B$5001,$A$155,BD!$AA$3:$AA$5001,"&lt;&gt;")=0,"",SUMIFS(BD!$AA$3:$AA$5001,BD!$A$3:$A$5001,G$3,BD!$B$3:$B$5001,$A$155)))</f>
        <v/>
      </c>
      <c r="H180" s="251" t="str">
        <f>IF(H$3="","",IF(COUNTIFS(BD!$A$3:$A$5001,H$3,BD!$B$3:$B$5001,$A$155,BD!$AA$3:$AA$5001,"&lt;&gt;")=0,"",SUMIFS(BD!$AA$3:$AA$5001,BD!$A$3:$A$5001,H$3,BD!$B$3:$B$5001,$A$155)))</f>
        <v/>
      </c>
      <c r="I180" s="251" t="str">
        <f>IF(I$3="","",IF(COUNTIFS(BD!$A$3:$A$5001,I$3,BD!$B$3:$B$5001,$A$155,BD!$AA$3:$AA$5001,"&lt;&gt;")=0,"",SUMIFS(BD!$AA$3:$AA$5001,BD!$A$3:$A$5001,I$3,BD!$B$3:$B$5001,$A$155)))</f>
        <v/>
      </c>
      <c r="J180" s="251" t="str">
        <f>IF(J$3="","",IF(COUNTIFS(BD!$A$3:$A$5001,J$3,BD!$B$3:$B$5001,$A$155,BD!$AA$3:$AA$5001,"&lt;&gt;")=0,"",SUMIFS(BD!$AA$3:$AA$5001,BD!$A$3:$A$5001,J$3,BD!$B$3:$B$5001,$A$155)))</f>
        <v/>
      </c>
      <c r="K180" s="251" t="str">
        <f>IF(K$3="","",IF(COUNTIFS(BD!$A$3:$A$5001,K$3,BD!$B$3:$B$5001,$A$155,BD!$AA$3:$AA$5001,"&lt;&gt;")=0,"",SUMIFS(BD!$AA$3:$AA$5001,BD!$A$3:$A$5001,K$3,BD!$B$3:$B$5001,$A$155)))</f>
        <v/>
      </c>
      <c r="L180" s="251" t="str">
        <f>IF(L$3="","",IF(COUNTIFS(BD!$A$3:$A$5001,L$3,BD!$B$3:$B$5001,$A$155,BD!$AA$3:$AA$5001,"&lt;&gt;")=0,"",SUMIFS(BD!$AA$3:$AA$5001,BD!$A$3:$A$5001,L$3,BD!$B$3:$B$5001,$A$155)))</f>
        <v/>
      </c>
      <c r="M180" s="251" t="str">
        <f>IF(M$3="","",IF(COUNTIFS(BD!$A$3:$A$5001,M$3,BD!$B$3:$B$5001,$A$155,BD!$AA$3:$AA$5001,"&lt;&gt;")=0,"",SUMIFS(BD!$AA$3:$AA$5001,BD!$A$3:$A$5001,M$3,BD!$B$3:$B$5001,$A$155)))</f>
        <v/>
      </c>
      <c r="N180" s="251" t="str">
        <f>IF(N$3="","",IF(COUNTIFS(BD!$A$3:$A$5001,N$3,BD!$B$3:$B$5001,$A$155,BD!$AA$3:$AA$5001,"&lt;&gt;")=0,"",SUMIFS(BD!$AA$3:$AA$5001,BD!$A$3:$A$5001,N$3,BD!$B$3:$B$5001,$A$155)))</f>
        <v/>
      </c>
      <c r="O180" s="251" t="str">
        <f>IF(O$3="","",IF(COUNTIFS(BD!$A$3:$A$5001,O$3,BD!$B$3:$B$5001,$A$155,BD!$AA$3:$AA$5001,"&lt;&gt;")=0,"",SUMIFS(BD!$AA$3:$AA$5001,BD!$A$3:$A$5001,O$3,BD!$B$3:$B$5001,$A$155)))</f>
        <v/>
      </c>
      <c r="P180" s="251" t="str">
        <f>IF(P$3="","",IF(COUNTIFS(BD!$A$3:$A$5001,P$3,BD!$B$3:$B$5001,$A$155,BD!$AA$3:$AA$5001,"&lt;&gt;")=0,"",SUMIFS(BD!$AA$3:$AA$5001,BD!$A$3:$A$5001,P$3,BD!$B$3:$B$5001,$A$155)))</f>
        <v/>
      </c>
      <c r="Q180" s="251" t="str">
        <f>IF(Q$3="","",IF(COUNTIFS(BD!$A$3:$A$5001,Q$3,BD!$B$3:$B$5001,$A$155,BD!$AA$3:$AA$5001,"&lt;&gt;")=0,"",SUMIFS(BD!$AA$3:$AA$5001,BD!$A$3:$A$5001,Q$3,BD!$B$3:$B$5001,$A$155)))</f>
        <v/>
      </c>
      <c r="R180" s="251" t="str">
        <f>IF(R$3="","",IF(COUNTIFS(BD!$A$3:$A$5001,R$3,BD!$B$3:$B$5001,$A$155,BD!$AA$3:$AA$5001,"&lt;&gt;")=0,"",SUMIFS(BD!$AA$3:$AA$5001,BD!$A$3:$A$5001,R$3,BD!$B$3:$B$5001,$A$155)))</f>
        <v/>
      </c>
      <c r="S180" s="251" t="str">
        <f>IF(S$3="","",IF(COUNTIFS(BD!$A$3:$A$5001,S$3,BD!$B$3:$B$5001,$A$155,BD!$AA$3:$AA$5001,"&lt;&gt;")=0,"",SUMIFS(BD!$AA$3:$AA$5001,BD!$A$3:$A$5001,S$3,BD!$B$3:$B$5001,$A$155)))</f>
        <v/>
      </c>
      <c r="T180" s="251" t="str">
        <f>IF(T$3="","",IF(COUNTIFS(BD!$A$3:$A$5001,T$3,BD!$B$3:$B$5001,$A$155,BD!$AA$3:$AA$5001,"&lt;&gt;")=0,"",SUMIFS(BD!$AA$3:$AA$5001,BD!$A$3:$A$5001,T$3,BD!$B$3:$B$5001,$A$155)))</f>
        <v/>
      </c>
      <c r="U180" s="251" t="str">
        <f>IF(U$3="","",IF(COUNTIFS(BD!$A$3:$A$5001,U$3,BD!$B$3:$B$5001,$A$155,BD!$AA$3:$AA$5001,"&lt;&gt;")=0,"",SUMIFS(BD!$AA$3:$AA$5001,BD!$A$3:$A$5001,U$3,BD!$B$3:$B$5001,$A$155)))</f>
        <v/>
      </c>
      <c r="V180" s="251" t="str">
        <f>IF(V$3="","",IF(COUNTIFS(BD!$A$3:$A$5001,V$3,BD!$B$3:$B$5001,$A$155,BD!$AA$3:$AA$5001,"&lt;&gt;")=0,"",SUMIFS(BD!$AA$3:$AA$5001,BD!$A$3:$A$5001,V$3,BD!$B$3:$B$5001,$A$155)))</f>
        <v/>
      </c>
      <c r="W180" s="251" t="str">
        <f>IF(W$3="","",IF(COUNTIFS(BD!$A$3:$A$5001,W$3,BD!$B$3:$B$5001,$A$155,BD!$AA$3:$AA$5001,"&lt;&gt;")=0,"",SUMIFS(BD!$AA$3:$AA$5001,BD!$A$3:$A$5001,W$3,BD!$B$3:$B$5001,$A$155)))</f>
        <v/>
      </c>
      <c r="X180" s="251" t="str">
        <f>IF(X$3="","",IF(COUNTIFS(BD!$A$3:$A$5001,X$3,BD!$B$3:$B$5001,$A$155,BD!$AA$3:$AA$5001,"&lt;&gt;")=0,"",SUMIFS(BD!$AA$3:$AA$5001,BD!$A$3:$A$5001,X$3,BD!$B$3:$B$5001,$A$155)))</f>
        <v/>
      </c>
      <c r="Y180" s="251" t="str">
        <f>IF(Y$3="","",IF(COUNTIFS(BD!$A$3:$A$5001,Y$3,BD!$B$3:$B$5001,$A$155,BD!$AA$3:$AA$5001,"&lt;&gt;")=0,"",SUMIFS(BD!$AA$3:$AA$5001,BD!$A$3:$A$5001,Y$3,BD!$B$3:$B$5001,$A$155)))</f>
        <v/>
      </c>
      <c r="Z180" s="251" t="str">
        <f>IF(Z$3="","",IF(COUNTIFS(BD!$A$3:$A$5001,Z$3,BD!$B$3:$B$5001,$A$155,BD!$AA$3:$AA$5001,"&lt;&gt;")=0,"",SUMIFS(BD!$AA$3:$AA$5001,BD!$A$3:$A$5001,Z$3,BD!$B$3:$B$5001,$A$155)))</f>
        <v/>
      </c>
      <c r="AA180" s="251" t="str">
        <f>IF(AA$3="","",IF(COUNTIFS(BD!$A$3:$A$5001,AA$3,BD!$B$3:$B$5001,$A$155,BD!$AA$3:$AA$5001,"&lt;&gt;")=0,"",SUMIFS(BD!$AA$3:$AA$5001,BD!$A$3:$A$5001,AA$3,BD!$B$3:$B$5001,$A$155)))</f>
        <v/>
      </c>
      <c r="AB180" s="251" t="str">
        <f>IF(AB$3="","",IF(COUNTIFS(BD!$A$3:$A$5001,AB$3,BD!$B$3:$B$5001,$A$155,BD!$AA$3:$AA$5001,"&lt;&gt;")=0,"",SUMIFS(BD!$AA$3:$AA$5001,BD!$A$3:$A$5001,AB$3,BD!$B$3:$B$5001,$A$155)))</f>
        <v/>
      </c>
      <c r="AC180" s="251" t="str">
        <f>IF(AC$3="","",IF(COUNTIFS(BD!$A$3:$A$5001,AC$3,BD!$B$3:$B$5001,$A$155,BD!$AA$3:$AA$5001,"&lt;&gt;")=0,"",SUMIFS(BD!$AA$3:$AA$5001,BD!$A$3:$A$5001,AC$3,BD!$B$3:$B$5001,$A$155)))</f>
        <v/>
      </c>
      <c r="AD180" s="251" t="str">
        <f>IF(AD$3="","",IF(COUNTIFS(BD!$A$3:$A$5001,AD$3,BD!$B$3:$B$5001,$A$155,BD!$AA$3:$AA$5001,"&lt;&gt;")=0,"",SUMIFS(BD!$AA$3:$AA$5001,BD!$A$3:$A$5001,AD$3,BD!$B$3:$B$5001,$A$155)))</f>
        <v/>
      </c>
      <c r="AE180" s="251" t="str">
        <f>IF(AE$3="","",IF(COUNTIFS(BD!$A$3:$A$5001,AE$3,BD!$B$3:$B$5001,$A$155,BD!$AA$3:$AA$5001,"&lt;&gt;")=0,"",SUMIFS(BD!$AA$3:$AA$5001,BD!$A$3:$A$5001,AE$3,BD!$B$3:$B$5001,$A$155)))</f>
        <v/>
      </c>
      <c r="AF180" s="251" t="str">
        <f>IF(AF$3="","",IF(COUNTIFS(BD!$A$3:$A$5001,AF$3,BD!$B$3:$B$5001,$A$155,BD!$AA$3:$AA$5001,"&lt;&gt;")=0,"",SUMIFS(BD!$AA$3:$AA$5001,BD!$A$3:$A$5001,AF$3,BD!$B$3:$B$5001,$A$155)))</f>
        <v/>
      </c>
      <c r="AG180" s="251" t="str">
        <f>IF(AG$3="","",IF(COUNTIFS(BD!$A$3:$A$5001,AG$3,BD!$B$3:$B$5001,$A$155,BD!$AA$3:$AA$5001,"&lt;&gt;")=0,"",SUMIFS(BD!$AA$3:$AA$5001,BD!$A$3:$A$5001,AG$3,BD!$B$3:$B$5001,$A$155)))</f>
        <v/>
      </c>
      <c r="AH180" s="251" t="str">
        <f>IF(AH$3="","",IF(COUNTIFS(BD!$A$3:$A$5001,AH$3,BD!$B$3:$B$5001,$A$155,BD!$AA$3:$AA$5001,"&lt;&gt;")=0,"",SUMIFS(BD!$AA$3:$AA$5001,BD!$A$3:$A$5001,AH$3,BD!$B$3:$B$5001,$A$155)))</f>
        <v/>
      </c>
      <c r="AI180" s="251" t="str">
        <f>IF(AI$3="","",IF(COUNTIFS(BD!$A$3:$A$5001,AI$3,BD!$B$3:$B$5001,$A$155,BD!$AA$3:$AA$5001,"&lt;&gt;")=0,"",SUMIFS(BD!$AA$3:$AA$5001,BD!$A$3:$A$5001,AI$3,BD!$B$3:$B$5001,$A$155)))</f>
        <v/>
      </c>
      <c r="AJ180" s="252" t="str">
        <f>IF(AJ$3="","",IF(COUNTIFS(BD!$A$3:$A$5001,AJ$3,BD!$B$3:$B$5001,$A$155,BD!$AA$3:$AA$5001,"&lt;&gt;")=0,"",SUMIFS(BD!$AA$3:$AA$5001,BD!$A$3:$A$5001,AJ$3,BD!$B$3:$B$5001,$A$155)))</f>
        <v/>
      </c>
      <c r="AK180" s="253" t="str">
        <f>IF(COUNT(F180:AJ180)=0,"",SUM(F180:AJ180))</f>
        <v/>
      </c>
    </row>
    <row r="181" ht="15.75" customHeight="1" hidden="1">
      <c r="A181" s="278"/>
      <c r="B181" s="275"/>
      <c r="C181" s="258" t="inlineStr">
        <is>
          <t xml:space="preserve">Acidentes SAF</t>
        </is>
      </c>
      <c r="D181" s="259" t="str">
        <f>IFERROR(1/(1/INDEX(BD!$AF$49:$AZ$49,MATCH($A$155,BD!$AF$22:$AZ$22,0))),"")</f>
        <v/>
      </c>
      <c r="E181" s="260"/>
      <c r="F181" s="261" t="str">
        <f>IF(F$3="","",IF(COUNTIFS(BD!$A$3:$A$5001,F$3,BD!$B$3:$B$5001,$A$155,BD!$AB$3:$AB$5001,"&lt;&gt;")=0,"",SUMIFS(BD!$AB$3:$AB$5001,BD!$A$3:$A$5001,F$3,BD!$B$3:$B$5001,$A$155)))</f>
        <v/>
      </c>
      <c r="G181" s="262" t="str">
        <f>IF(G$3="","",IF(COUNTIFS(BD!$A$3:$A$5001,G$3,BD!$B$3:$B$5001,$A$155,BD!$AB$3:$AB$5001,"&lt;&gt;")=0,"",SUMIFS(BD!$AB$3:$AB$5001,BD!$A$3:$A$5001,G$3,BD!$B$3:$B$5001,$A$155)))</f>
        <v/>
      </c>
      <c r="H181" s="262" t="str">
        <f>IF(H$3="","",IF(COUNTIFS(BD!$A$3:$A$5001,H$3,BD!$B$3:$B$5001,$A$155,BD!$AB$3:$AB$5001,"&lt;&gt;")=0,"",SUMIFS(BD!$AB$3:$AB$5001,BD!$A$3:$A$5001,H$3,BD!$B$3:$B$5001,$A$155)))</f>
        <v/>
      </c>
      <c r="I181" s="262" t="str">
        <f>IF(I$3="","",IF(COUNTIFS(BD!$A$3:$A$5001,I$3,BD!$B$3:$B$5001,$A$155,BD!$AB$3:$AB$5001,"&lt;&gt;")=0,"",SUMIFS(BD!$AB$3:$AB$5001,BD!$A$3:$A$5001,I$3,BD!$B$3:$B$5001,$A$155)))</f>
        <v/>
      </c>
      <c r="J181" s="262" t="str">
        <f>IF(J$3="","",IF(COUNTIFS(BD!$A$3:$A$5001,J$3,BD!$B$3:$B$5001,$A$155,BD!$AB$3:$AB$5001,"&lt;&gt;")=0,"",SUMIFS(BD!$AB$3:$AB$5001,BD!$A$3:$A$5001,J$3,BD!$B$3:$B$5001,$A$155)))</f>
        <v/>
      </c>
      <c r="K181" s="262" t="str">
        <f>IF(K$3="","",IF(COUNTIFS(BD!$A$3:$A$5001,K$3,BD!$B$3:$B$5001,$A$155,BD!$AB$3:$AB$5001,"&lt;&gt;")=0,"",SUMIFS(BD!$AB$3:$AB$5001,BD!$A$3:$A$5001,K$3,BD!$B$3:$B$5001,$A$155)))</f>
        <v/>
      </c>
      <c r="L181" s="262" t="str">
        <f>IF(L$3="","",IF(COUNTIFS(BD!$A$3:$A$5001,L$3,BD!$B$3:$B$5001,$A$155,BD!$AB$3:$AB$5001,"&lt;&gt;")=0,"",SUMIFS(BD!$AB$3:$AB$5001,BD!$A$3:$A$5001,L$3,BD!$B$3:$B$5001,$A$155)))</f>
        <v/>
      </c>
      <c r="M181" s="262" t="str">
        <f>IF(M$3="","",IF(COUNTIFS(BD!$A$3:$A$5001,M$3,BD!$B$3:$B$5001,$A$155,BD!$AB$3:$AB$5001,"&lt;&gt;")=0,"",SUMIFS(BD!$AB$3:$AB$5001,BD!$A$3:$A$5001,M$3,BD!$B$3:$B$5001,$A$155)))</f>
        <v/>
      </c>
      <c r="N181" s="262" t="str">
        <f>IF(N$3="","",IF(COUNTIFS(BD!$A$3:$A$5001,N$3,BD!$B$3:$B$5001,$A$155,BD!$AB$3:$AB$5001,"&lt;&gt;")=0,"",SUMIFS(BD!$AB$3:$AB$5001,BD!$A$3:$A$5001,N$3,BD!$B$3:$B$5001,$A$155)))</f>
        <v/>
      </c>
      <c r="O181" s="262" t="str">
        <f>IF(O$3="","",IF(COUNTIFS(BD!$A$3:$A$5001,O$3,BD!$B$3:$B$5001,$A$155,BD!$AB$3:$AB$5001,"&lt;&gt;")=0,"",SUMIFS(BD!$AB$3:$AB$5001,BD!$A$3:$A$5001,O$3,BD!$B$3:$B$5001,$A$155)))</f>
        <v/>
      </c>
      <c r="P181" s="262" t="str">
        <f>IF(P$3="","",IF(COUNTIFS(BD!$A$3:$A$5001,P$3,BD!$B$3:$B$5001,$A$155,BD!$AB$3:$AB$5001,"&lt;&gt;")=0,"",SUMIFS(BD!$AB$3:$AB$5001,BD!$A$3:$A$5001,P$3,BD!$B$3:$B$5001,$A$155)))</f>
        <v/>
      </c>
      <c r="Q181" s="262" t="str">
        <f>IF(Q$3="","",IF(COUNTIFS(BD!$A$3:$A$5001,Q$3,BD!$B$3:$B$5001,$A$155,BD!$AB$3:$AB$5001,"&lt;&gt;")=0,"",SUMIFS(BD!$AB$3:$AB$5001,BD!$A$3:$A$5001,Q$3,BD!$B$3:$B$5001,$A$155)))</f>
        <v/>
      </c>
      <c r="R181" s="262" t="str">
        <f>IF(R$3="","",IF(COUNTIFS(BD!$A$3:$A$5001,R$3,BD!$B$3:$B$5001,$A$155,BD!$AB$3:$AB$5001,"&lt;&gt;")=0,"",SUMIFS(BD!$AB$3:$AB$5001,BD!$A$3:$A$5001,R$3,BD!$B$3:$B$5001,$A$155)))</f>
        <v/>
      </c>
      <c r="S181" s="262" t="str">
        <f>IF(S$3="","",IF(COUNTIFS(BD!$A$3:$A$5001,S$3,BD!$B$3:$B$5001,$A$155,BD!$AB$3:$AB$5001,"&lt;&gt;")=0,"",SUMIFS(BD!$AB$3:$AB$5001,BD!$A$3:$A$5001,S$3,BD!$B$3:$B$5001,$A$155)))</f>
        <v/>
      </c>
      <c r="T181" s="262" t="str">
        <f>IF(T$3="","",IF(COUNTIFS(BD!$A$3:$A$5001,T$3,BD!$B$3:$B$5001,$A$155,BD!$AB$3:$AB$5001,"&lt;&gt;")=0,"",SUMIFS(BD!$AB$3:$AB$5001,BD!$A$3:$A$5001,T$3,BD!$B$3:$B$5001,$A$155)))</f>
        <v/>
      </c>
      <c r="U181" s="262" t="str">
        <f>IF(U$3="","",IF(COUNTIFS(BD!$A$3:$A$5001,U$3,BD!$B$3:$B$5001,$A$155,BD!$AB$3:$AB$5001,"&lt;&gt;")=0,"",SUMIFS(BD!$AB$3:$AB$5001,BD!$A$3:$A$5001,U$3,BD!$B$3:$B$5001,$A$155)))</f>
        <v/>
      </c>
      <c r="V181" s="262" t="str">
        <f>IF(V$3="","",IF(COUNTIFS(BD!$A$3:$A$5001,V$3,BD!$B$3:$B$5001,$A$155,BD!$AB$3:$AB$5001,"&lt;&gt;")=0,"",SUMIFS(BD!$AB$3:$AB$5001,BD!$A$3:$A$5001,V$3,BD!$B$3:$B$5001,$A$155)))</f>
        <v/>
      </c>
      <c r="W181" s="262" t="str">
        <f>IF(W$3="","",IF(COUNTIFS(BD!$A$3:$A$5001,W$3,BD!$B$3:$B$5001,$A$155,BD!$AB$3:$AB$5001,"&lt;&gt;")=0,"",SUMIFS(BD!$AB$3:$AB$5001,BD!$A$3:$A$5001,W$3,BD!$B$3:$B$5001,$A$155)))</f>
        <v/>
      </c>
      <c r="X181" s="262" t="str">
        <f>IF(X$3="","",IF(COUNTIFS(BD!$A$3:$A$5001,X$3,BD!$B$3:$B$5001,$A$155,BD!$AB$3:$AB$5001,"&lt;&gt;")=0,"",SUMIFS(BD!$AB$3:$AB$5001,BD!$A$3:$A$5001,X$3,BD!$B$3:$B$5001,$A$155)))</f>
        <v/>
      </c>
      <c r="Y181" s="262" t="str">
        <f>IF(Y$3="","",IF(COUNTIFS(BD!$A$3:$A$5001,Y$3,BD!$B$3:$B$5001,$A$155,BD!$AB$3:$AB$5001,"&lt;&gt;")=0,"",SUMIFS(BD!$AB$3:$AB$5001,BD!$A$3:$A$5001,Y$3,BD!$B$3:$B$5001,$A$155)))</f>
        <v/>
      </c>
      <c r="Z181" s="262" t="str">
        <f>IF(Z$3="","",IF(COUNTIFS(BD!$A$3:$A$5001,Z$3,BD!$B$3:$B$5001,$A$155,BD!$AB$3:$AB$5001,"&lt;&gt;")=0,"",SUMIFS(BD!$AB$3:$AB$5001,BD!$A$3:$A$5001,Z$3,BD!$B$3:$B$5001,$A$155)))</f>
        <v/>
      </c>
      <c r="AA181" s="262" t="str">
        <f>IF(AA$3="","",IF(COUNTIFS(BD!$A$3:$A$5001,AA$3,BD!$B$3:$B$5001,$A$155,BD!$AB$3:$AB$5001,"&lt;&gt;")=0,"",SUMIFS(BD!$AB$3:$AB$5001,BD!$A$3:$A$5001,AA$3,BD!$B$3:$B$5001,$A$155)))</f>
        <v/>
      </c>
      <c r="AB181" s="262" t="str">
        <f>IF(AB$3="","",IF(COUNTIFS(BD!$A$3:$A$5001,AB$3,BD!$B$3:$B$5001,$A$155,BD!$AB$3:$AB$5001,"&lt;&gt;")=0,"",SUMIFS(BD!$AB$3:$AB$5001,BD!$A$3:$A$5001,AB$3,BD!$B$3:$B$5001,$A$155)))</f>
        <v/>
      </c>
      <c r="AC181" s="262" t="str">
        <f>IF(AC$3="","",IF(COUNTIFS(BD!$A$3:$A$5001,AC$3,BD!$B$3:$B$5001,$A$155,BD!$AB$3:$AB$5001,"&lt;&gt;")=0,"",SUMIFS(BD!$AB$3:$AB$5001,BD!$A$3:$A$5001,AC$3,BD!$B$3:$B$5001,$A$155)))</f>
        <v/>
      </c>
      <c r="AD181" s="262" t="str">
        <f>IF(AD$3="","",IF(COUNTIFS(BD!$A$3:$A$5001,AD$3,BD!$B$3:$B$5001,$A$155,BD!$AB$3:$AB$5001,"&lt;&gt;")=0,"",SUMIFS(BD!$AB$3:$AB$5001,BD!$A$3:$A$5001,AD$3,BD!$B$3:$B$5001,$A$155)))</f>
        <v/>
      </c>
      <c r="AE181" s="262" t="str">
        <f>IF(AE$3="","",IF(COUNTIFS(BD!$A$3:$A$5001,AE$3,BD!$B$3:$B$5001,$A$155,BD!$AB$3:$AB$5001,"&lt;&gt;")=0,"",SUMIFS(BD!$AB$3:$AB$5001,BD!$A$3:$A$5001,AE$3,BD!$B$3:$B$5001,$A$155)))</f>
        <v/>
      </c>
      <c r="AF181" s="262" t="str">
        <f>IF(AF$3="","",IF(COUNTIFS(BD!$A$3:$A$5001,AF$3,BD!$B$3:$B$5001,$A$155,BD!$AB$3:$AB$5001,"&lt;&gt;")=0,"",SUMIFS(BD!$AB$3:$AB$5001,BD!$A$3:$A$5001,AF$3,BD!$B$3:$B$5001,$A$155)))</f>
        <v/>
      </c>
      <c r="AG181" s="262" t="str">
        <f>IF(AG$3="","",IF(COUNTIFS(BD!$A$3:$A$5001,AG$3,BD!$B$3:$B$5001,$A$155,BD!$AB$3:$AB$5001,"&lt;&gt;")=0,"",SUMIFS(BD!$AB$3:$AB$5001,BD!$A$3:$A$5001,AG$3,BD!$B$3:$B$5001,$A$155)))</f>
        <v/>
      </c>
      <c r="AH181" s="262" t="str">
        <f>IF(AH$3="","",IF(COUNTIFS(BD!$A$3:$A$5001,AH$3,BD!$B$3:$B$5001,$A$155,BD!$AB$3:$AB$5001,"&lt;&gt;")=0,"",SUMIFS(BD!$AB$3:$AB$5001,BD!$A$3:$A$5001,AH$3,BD!$B$3:$B$5001,$A$155)))</f>
        <v/>
      </c>
      <c r="AI181" s="262" t="str">
        <f>IF(AI$3="","",IF(COUNTIFS(BD!$A$3:$A$5001,AI$3,BD!$B$3:$B$5001,$A$155,BD!$AB$3:$AB$5001,"&lt;&gt;")=0,"",SUMIFS(BD!$AB$3:$AB$5001,BD!$A$3:$A$5001,AI$3,BD!$B$3:$B$5001,$A$155)))</f>
        <v/>
      </c>
      <c r="AJ181" s="263" t="str">
        <f>IF(AJ$3="","",IF(COUNTIFS(BD!$A$3:$A$5001,AJ$3,BD!$B$3:$B$5001,$A$155,BD!$AB$3:$AB$5001,"&lt;&gt;")=0,"",SUMIFS(BD!$AB$3:$AB$5001,BD!$A$3:$A$5001,AJ$3,BD!$B$3:$B$5001,$A$155)))</f>
        <v/>
      </c>
      <c r="AK181" s="259" t="str">
        <f>IF(COUNT(F181:AJ181)=0,"",SUM(F181:AJ181))</f>
        <v/>
      </c>
    </row>
    <row r="183" ht="15.75" customHeight="1" hidden="1">
      <c r="A183" s="276"/>
      <c r="B183" s="264" t="inlineStr">
        <is>
          <t xml:space="preserve">IN</t>
        </is>
      </c>
      <c r="C183" s="168" t="inlineStr">
        <is>
          <t xml:space="preserve">Veículos Recebidos</t>
        </is>
      </c>
      <c r="D183" s="169" t="str">
        <f>IFERROR(1/(1/INDEX(BD!$AF$23:$AZ$23,MATCH($A$183,BD!$AF$22:$AZ$22,0))),"")</f>
        <v/>
      </c>
      <c r="E183" s="170"/>
      <c r="F183" s="171" t="str">
        <f>IF(F$3="","",IF(COUNTIFS(BD!$A$3:$A$5001,F$3,BD!$B$3:$B$5001,$A$183,BD!$C$3:$C$5001,"&lt;&gt;")=0,"",SUMIFS(BD!$C$3:$C$5001,BD!$A$3:$A$5001,F$3,BD!$B$3:$B$5001,$A$183)))</f>
        <v/>
      </c>
      <c r="G183" s="172" t="str">
        <f>IF(G$3="","",IF(COUNTIFS(BD!$A$3:$A$5001,G$3,BD!$B$3:$B$5001,$A$183,BD!$C$3:$C$5001,"&lt;&gt;")=0,"",SUMIFS(BD!$C$3:$C$5001,BD!$A$3:$A$5001,G$3,BD!$B$3:$B$5001,$A$183)))</f>
        <v/>
      </c>
      <c r="H183" s="172" t="str">
        <f>IF(H$3="","",IF(COUNTIFS(BD!$A$3:$A$5001,H$3,BD!$B$3:$B$5001,$A$183,BD!$C$3:$C$5001,"&lt;&gt;")=0,"",SUMIFS(BD!$C$3:$C$5001,BD!$A$3:$A$5001,H$3,BD!$B$3:$B$5001,$A$183)))</f>
        <v/>
      </c>
      <c r="I183" s="172" t="str">
        <f>IF(I$3="","",IF(COUNTIFS(BD!$A$3:$A$5001,I$3,BD!$B$3:$B$5001,$A$183,BD!$C$3:$C$5001,"&lt;&gt;")=0,"",SUMIFS(BD!$C$3:$C$5001,BD!$A$3:$A$5001,I$3,BD!$B$3:$B$5001,$A$183)))</f>
        <v/>
      </c>
      <c r="J183" s="172" t="str">
        <f>IF(J$3="","",IF(COUNTIFS(BD!$A$3:$A$5001,J$3,BD!$B$3:$B$5001,$A$183,BD!$C$3:$C$5001,"&lt;&gt;")=0,"",SUMIFS(BD!$C$3:$C$5001,BD!$A$3:$A$5001,J$3,BD!$B$3:$B$5001,$A$183)))</f>
        <v/>
      </c>
      <c r="K183" s="172" t="str">
        <f>IF(K$3="","",IF(COUNTIFS(BD!$A$3:$A$5001,K$3,BD!$B$3:$B$5001,$A$183,BD!$C$3:$C$5001,"&lt;&gt;")=0,"",SUMIFS(BD!$C$3:$C$5001,BD!$A$3:$A$5001,K$3,BD!$B$3:$B$5001,$A$183)))</f>
        <v/>
      </c>
      <c r="L183" s="172" t="str">
        <f>IF(L$3="","",IF(COUNTIFS(BD!$A$3:$A$5001,L$3,BD!$B$3:$B$5001,$A$183,BD!$C$3:$C$5001,"&lt;&gt;")=0,"",SUMIFS(BD!$C$3:$C$5001,BD!$A$3:$A$5001,L$3,BD!$B$3:$B$5001,$A$183)))</f>
        <v/>
      </c>
      <c r="M183" s="172" t="str">
        <f>IF(M$3="","",IF(COUNTIFS(BD!$A$3:$A$5001,M$3,BD!$B$3:$B$5001,$A$183,BD!$C$3:$C$5001,"&lt;&gt;")=0,"",SUMIFS(BD!$C$3:$C$5001,BD!$A$3:$A$5001,M$3,BD!$B$3:$B$5001,$A$183)))</f>
        <v/>
      </c>
      <c r="N183" s="172" t="str">
        <f>IF(N$3="","",IF(COUNTIFS(BD!$A$3:$A$5001,N$3,BD!$B$3:$B$5001,$A$183,BD!$C$3:$C$5001,"&lt;&gt;")=0,"",SUMIFS(BD!$C$3:$C$5001,BD!$A$3:$A$5001,N$3,BD!$B$3:$B$5001,$A$183)))</f>
        <v/>
      </c>
      <c r="O183" s="172" t="str">
        <f>IF(O$3="","",IF(COUNTIFS(BD!$A$3:$A$5001,O$3,BD!$B$3:$B$5001,$A$183,BD!$C$3:$C$5001,"&lt;&gt;")=0,"",SUMIFS(BD!$C$3:$C$5001,BD!$A$3:$A$5001,O$3,BD!$B$3:$B$5001,$A$183)))</f>
        <v/>
      </c>
      <c r="P183" s="172" t="str">
        <f>IF(P$3="","",IF(COUNTIFS(BD!$A$3:$A$5001,P$3,BD!$B$3:$B$5001,$A$183,BD!$C$3:$C$5001,"&lt;&gt;")=0,"",SUMIFS(BD!$C$3:$C$5001,BD!$A$3:$A$5001,P$3,BD!$B$3:$B$5001,$A$183)))</f>
        <v/>
      </c>
      <c r="Q183" s="172" t="str">
        <f>IF(Q$3="","",IF(COUNTIFS(BD!$A$3:$A$5001,Q$3,BD!$B$3:$B$5001,$A$183,BD!$C$3:$C$5001,"&lt;&gt;")=0,"",SUMIFS(BD!$C$3:$C$5001,BD!$A$3:$A$5001,Q$3,BD!$B$3:$B$5001,$A$183)))</f>
        <v/>
      </c>
      <c r="R183" s="172" t="str">
        <f>IF(R$3="","",IF(COUNTIFS(BD!$A$3:$A$5001,R$3,BD!$B$3:$B$5001,$A$183,BD!$C$3:$C$5001,"&lt;&gt;")=0,"",SUMIFS(BD!$C$3:$C$5001,BD!$A$3:$A$5001,R$3,BD!$B$3:$B$5001,$A$183)))</f>
        <v/>
      </c>
      <c r="S183" s="172" t="str">
        <f>IF(S$3="","",IF(COUNTIFS(BD!$A$3:$A$5001,S$3,BD!$B$3:$B$5001,$A$183,BD!$C$3:$C$5001,"&lt;&gt;")=0,"",SUMIFS(BD!$C$3:$C$5001,BD!$A$3:$A$5001,S$3,BD!$B$3:$B$5001,$A$183)))</f>
        <v/>
      </c>
      <c r="T183" s="172" t="str">
        <f>IF(T$3="","",IF(COUNTIFS(BD!$A$3:$A$5001,T$3,BD!$B$3:$B$5001,$A$183,BD!$C$3:$C$5001,"&lt;&gt;")=0,"",SUMIFS(BD!$C$3:$C$5001,BD!$A$3:$A$5001,T$3,BD!$B$3:$B$5001,$A$183)))</f>
        <v/>
      </c>
      <c r="U183" s="172" t="str">
        <f>IF(U$3="","",IF(COUNTIFS(BD!$A$3:$A$5001,U$3,BD!$B$3:$B$5001,$A$183,BD!$C$3:$C$5001,"&lt;&gt;")=0,"",SUMIFS(BD!$C$3:$C$5001,BD!$A$3:$A$5001,U$3,BD!$B$3:$B$5001,$A$183)))</f>
        <v/>
      </c>
      <c r="V183" s="172" t="str">
        <f>IF(V$3="","",IF(COUNTIFS(BD!$A$3:$A$5001,V$3,BD!$B$3:$B$5001,$A$183,BD!$C$3:$C$5001,"&lt;&gt;")=0,"",SUMIFS(BD!$C$3:$C$5001,BD!$A$3:$A$5001,V$3,BD!$B$3:$B$5001,$A$183)))</f>
        <v/>
      </c>
      <c r="W183" s="172" t="str">
        <f>IF(W$3="","",IF(COUNTIFS(BD!$A$3:$A$5001,W$3,BD!$B$3:$B$5001,$A$183,BD!$C$3:$C$5001,"&lt;&gt;")=0,"",SUMIFS(BD!$C$3:$C$5001,BD!$A$3:$A$5001,W$3,BD!$B$3:$B$5001,$A$183)))</f>
        <v/>
      </c>
      <c r="X183" s="172" t="str">
        <f>IF(X$3="","",IF(COUNTIFS(BD!$A$3:$A$5001,X$3,BD!$B$3:$B$5001,$A$183,BD!$C$3:$C$5001,"&lt;&gt;")=0,"",SUMIFS(BD!$C$3:$C$5001,BD!$A$3:$A$5001,X$3,BD!$B$3:$B$5001,$A$183)))</f>
        <v/>
      </c>
      <c r="Y183" s="172" t="str">
        <f>IF(Y$3="","",IF(COUNTIFS(BD!$A$3:$A$5001,Y$3,BD!$B$3:$B$5001,$A$183,BD!$C$3:$C$5001,"&lt;&gt;")=0,"",SUMIFS(BD!$C$3:$C$5001,BD!$A$3:$A$5001,Y$3,BD!$B$3:$B$5001,$A$183)))</f>
        <v/>
      </c>
      <c r="Z183" s="172" t="str">
        <f>IF(Z$3="","",IF(COUNTIFS(BD!$A$3:$A$5001,Z$3,BD!$B$3:$B$5001,$A$183,BD!$C$3:$C$5001,"&lt;&gt;")=0,"",SUMIFS(BD!$C$3:$C$5001,BD!$A$3:$A$5001,Z$3,BD!$B$3:$B$5001,$A$183)))</f>
        <v/>
      </c>
      <c r="AA183" s="172" t="str">
        <f>IF(AA$3="","",IF(COUNTIFS(BD!$A$3:$A$5001,AA$3,BD!$B$3:$B$5001,$A$183,BD!$C$3:$C$5001,"&lt;&gt;")=0,"",SUMIFS(BD!$C$3:$C$5001,BD!$A$3:$A$5001,AA$3,BD!$B$3:$B$5001,$A$183)))</f>
        <v/>
      </c>
      <c r="AB183" s="172" t="str">
        <f>IF(AB$3="","",IF(COUNTIFS(BD!$A$3:$A$5001,AB$3,BD!$B$3:$B$5001,$A$183,BD!$C$3:$C$5001,"&lt;&gt;")=0,"",SUMIFS(BD!$C$3:$C$5001,BD!$A$3:$A$5001,AB$3,BD!$B$3:$B$5001,$A$183)))</f>
        <v/>
      </c>
      <c r="AC183" s="172" t="str">
        <f>IF(AC$3="","",IF(COUNTIFS(BD!$A$3:$A$5001,AC$3,BD!$B$3:$B$5001,$A$183,BD!$C$3:$C$5001,"&lt;&gt;")=0,"",SUMIFS(BD!$C$3:$C$5001,BD!$A$3:$A$5001,AC$3,BD!$B$3:$B$5001,$A$183)))</f>
        <v/>
      </c>
      <c r="AD183" s="172" t="str">
        <f>IF(AD$3="","",IF(COUNTIFS(BD!$A$3:$A$5001,AD$3,BD!$B$3:$B$5001,$A$183,BD!$C$3:$C$5001,"&lt;&gt;")=0,"",SUMIFS(BD!$C$3:$C$5001,BD!$A$3:$A$5001,AD$3,BD!$B$3:$B$5001,$A$183)))</f>
        <v/>
      </c>
      <c r="AE183" s="172" t="str">
        <f>IF(AE$3="","",IF(COUNTIFS(BD!$A$3:$A$5001,AE$3,BD!$B$3:$B$5001,$A$183,BD!$C$3:$C$5001,"&lt;&gt;")=0,"",SUMIFS(BD!$C$3:$C$5001,BD!$A$3:$A$5001,AE$3,BD!$B$3:$B$5001,$A$183)))</f>
        <v/>
      </c>
      <c r="AF183" s="172" t="str">
        <f>IF(AF$3="","",IF(COUNTIFS(BD!$A$3:$A$5001,AF$3,BD!$B$3:$B$5001,$A$183,BD!$C$3:$C$5001,"&lt;&gt;")=0,"",SUMIFS(BD!$C$3:$C$5001,BD!$A$3:$A$5001,AF$3,BD!$B$3:$B$5001,$A$183)))</f>
        <v/>
      </c>
      <c r="AG183" s="172" t="str">
        <f>IF(AG$3="","",IF(COUNTIFS(BD!$A$3:$A$5001,AG$3,BD!$B$3:$B$5001,$A$183,BD!$C$3:$C$5001,"&lt;&gt;")=0,"",SUMIFS(BD!$C$3:$C$5001,BD!$A$3:$A$5001,AG$3,BD!$B$3:$B$5001,$A$183)))</f>
        <v/>
      </c>
      <c r="AH183" s="172" t="str">
        <f>IF(AH$3="","",IF(COUNTIFS(BD!$A$3:$A$5001,AH$3,BD!$B$3:$B$5001,$A$183,BD!$C$3:$C$5001,"&lt;&gt;")=0,"",SUMIFS(BD!$C$3:$C$5001,BD!$A$3:$A$5001,AH$3,BD!$B$3:$B$5001,$A$183)))</f>
        <v/>
      </c>
      <c r="AI183" s="172" t="str">
        <f>IF(AI$3="","",IF(COUNTIFS(BD!$A$3:$A$5001,AI$3,BD!$B$3:$B$5001,$A$183,BD!$C$3:$C$5001,"&lt;&gt;")=0,"",SUMIFS(BD!$C$3:$C$5001,BD!$A$3:$A$5001,AI$3,BD!$B$3:$B$5001,$A$183)))</f>
        <v/>
      </c>
      <c r="AJ183" s="173" t="str">
        <f>IF(AJ$3="","",IF(COUNTIFS(BD!$A$3:$A$5001,AJ$3,BD!$B$3:$B$5001,$A$183,BD!$C$3:$C$5001,"&lt;&gt;")=0,"",SUMIFS(BD!$C$3:$C$5001,BD!$A$3:$A$5001,AJ$3,BD!$B$3:$B$5001,$A$183)))</f>
        <v/>
      </c>
      <c r="AK183" s="174" t="str">
        <f>IF(COUNT(F183:AJ183)=0,"",SUM(F183:AJ183))</f>
        <v/>
      </c>
    </row>
    <row r="184" ht="15.75" customHeight="1" hidden="1">
      <c r="A184" s="277"/>
      <c r="B184" s="265"/>
      <c r="C184" s="175" t="inlineStr">
        <is>
          <t xml:space="preserve">Pallets Movimentados</t>
        </is>
      </c>
      <c r="D184" s="176" t="str">
        <f>IFERROR(1/(1/INDEX(BD!$AF$24:$AZ$24,MATCH($A$183,BD!$AF$22:$AZ$22,0))),"")</f>
        <v/>
      </c>
      <c r="E184" s="177"/>
      <c r="F184" s="178" t="str">
        <f>IF(F$3="","",IF(COUNTIFS(BD!$A$3:$A$5001,F$3,BD!$B$3:$B$5001,$A$183,BD!$D$3:$D$5001,"&lt;&gt;")=0,"",SUMIFS(BD!$D$3:$D$5001,BD!$A$3:$A$5001,F$3,BD!$B$3:$B$5001,$A$183)))</f>
        <v/>
      </c>
      <c r="G184" s="179" t="str">
        <f>IF(G$3="","",IF(COUNTIFS(BD!$A$3:$A$5001,G$3,BD!$B$3:$B$5001,$A$183,BD!$D$3:$D$5001,"&lt;&gt;")=0,"",SUMIFS(BD!$D$3:$D$5001,BD!$A$3:$A$5001,G$3,BD!$B$3:$B$5001,$A$183)))</f>
        <v/>
      </c>
      <c r="H184" s="179" t="str">
        <f>IF(H$3="","",IF(COUNTIFS(BD!$A$3:$A$5001,H$3,BD!$B$3:$B$5001,$A$183,BD!$D$3:$D$5001,"&lt;&gt;")=0,"",SUMIFS(BD!$D$3:$D$5001,BD!$A$3:$A$5001,H$3,BD!$B$3:$B$5001,$A$183)))</f>
        <v/>
      </c>
      <c r="I184" s="179" t="str">
        <f>IF(I$3="","",IF(COUNTIFS(BD!$A$3:$A$5001,I$3,BD!$B$3:$B$5001,$A$183,BD!$D$3:$D$5001,"&lt;&gt;")=0,"",SUMIFS(BD!$D$3:$D$5001,BD!$A$3:$A$5001,I$3,BD!$B$3:$B$5001,$A$183)))</f>
        <v/>
      </c>
      <c r="J184" s="179" t="str">
        <f>IF(J$3="","",IF(COUNTIFS(BD!$A$3:$A$5001,J$3,BD!$B$3:$B$5001,$A$183,BD!$D$3:$D$5001,"&lt;&gt;")=0,"",SUMIFS(BD!$D$3:$D$5001,BD!$A$3:$A$5001,J$3,BD!$B$3:$B$5001,$A$183)))</f>
        <v/>
      </c>
      <c r="K184" s="179" t="str">
        <f>IF(K$3="","",IF(COUNTIFS(BD!$A$3:$A$5001,K$3,BD!$B$3:$B$5001,$A$183,BD!$D$3:$D$5001,"&lt;&gt;")=0,"",SUMIFS(BD!$D$3:$D$5001,BD!$A$3:$A$5001,K$3,BD!$B$3:$B$5001,$A$183)))</f>
        <v/>
      </c>
      <c r="L184" s="179" t="str">
        <f>IF(L$3="","",IF(COUNTIFS(BD!$A$3:$A$5001,L$3,BD!$B$3:$B$5001,$A$183,BD!$D$3:$D$5001,"&lt;&gt;")=0,"",SUMIFS(BD!$D$3:$D$5001,BD!$A$3:$A$5001,L$3,BD!$B$3:$B$5001,$A$183)))</f>
        <v/>
      </c>
      <c r="M184" s="179" t="str">
        <f>IF(M$3="","",IF(COUNTIFS(BD!$A$3:$A$5001,M$3,BD!$B$3:$B$5001,$A$183,BD!$D$3:$D$5001,"&lt;&gt;")=0,"",SUMIFS(BD!$D$3:$D$5001,BD!$A$3:$A$5001,M$3,BD!$B$3:$B$5001,$A$183)))</f>
        <v/>
      </c>
      <c r="N184" s="179" t="str">
        <f>IF(N$3="","",IF(COUNTIFS(BD!$A$3:$A$5001,N$3,BD!$B$3:$B$5001,$A$183,BD!$D$3:$D$5001,"&lt;&gt;")=0,"",SUMIFS(BD!$D$3:$D$5001,BD!$A$3:$A$5001,N$3,BD!$B$3:$B$5001,$A$183)))</f>
        <v/>
      </c>
      <c r="O184" s="179" t="str">
        <f>IF(O$3="","",IF(COUNTIFS(BD!$A$3:$A$5001,O$3,BD!$B$3:$B$5001,$A$183,BD!$D$3:$D$5001,"&lt;&gt;")=0,"",SUMIFS(BD!$D$3:$D$5001,BD!$A$3:$A$5001,O$3,BD!$B$3:$B$5001,$A$183)))</f>
        <v/>
      </c>
      <c r="P184" s="179" t="str">
        <f>IF(P$3="","",IF(COUNTIFS(BD!$A$3:$A$5001,P$3,BD!$B$3:$B$5001,$A$183,BD!$D$3:$D$5001,"&lt;&gt;")=0,"",SUMIFS(BD!$D$3:$D$5001,BD!$A$3:$A$5001,P$3,BD!$B$3:$B$5001,$A$183)))</f>
        <v/>
      </c>
      <c r="Q184" s="179" t="str">
        <f>IF(Q$3="","",IF(COUNTIFS(BD!$A$3:$A$5001,Q$3,BD!$B$3:$B$5001,$A$183,BD!$D$3:$D$5001,"&lt;&gt;")=0,"",SUMIFS(BD!$D$3:$D$5001,BD!$A$3:$A$5001,Q$3,BD!$B$3:$B$5001,$A$183)))</f>
        <v/>
      </c>
      <c r="R184" s="179" t="str">
        <f>IF(R$3="","",IF(COUNTIFS(BD!$A$3:$A$5001,R$3,BD!$B$3:$B$5001,$A$183,BD!$D$3:$D$5001,"&lt;&gt;")=0,"",SUMIFS(BD!$D$3:$D$5001,BD!$A$3:$A$5001,R$3,BD!$B$3:$B$5001,$A$183)))</f>
        <v/>
      </c>
      <c r="S184" s="179" t="str">
        <f>IF(S$3="","",IF(COUNTIFS(BD!$A$3:$A$5001,S$3,BD!$B$3:$B$5001,$A$183,BD!$D$3:$D$5001,"&lt;&gt;")=0,"",SUMIFS(BD!$D$3:$D$5001,BD!$A$3:$A$5001,S$3,BD!$B$3:$B$5001,$A$183)))</f>
        <v/>
      </c>
      <c r="T184" s="179" t="str">
        <f>IF(T$3="","",IF(COUNTIFS(BD!$A$3:$A$5001,T$3,BD!$B$3:$B$5001,$A$183,BD!$D$3:$D$5001,"&lt;&gt;")=0,"",SUMIFS(BD!$D$3:$D$5001,BD!$A$3:$A$5001,T$3,BD!$B$3:$B$5001,$A$183)))</f>
        <v/>
      </c>
      <c r="U184" s="179" t="str">
        <f>IF(U$3="","",IF(COUNTIFS(BD!$A$3:$A$5001,U$3,BD!$B$3:$B$5001,$A$183,BD!$D$3:$D$5001,"&lt;&gt;")=0,"",SUMIFS(BD!$D$3:$D$5001,BD!$A$3:$A$5001,U$3,BD!$B$3:$B$5001,$A$183)))</f>
        <v/>
      </c>
      <c r="V184" s="179" t="str">
        <f>IF(V$3="","",IF(COUNTIFS(BD!$A$3:$A$5001,V$3,BD!$B$3:$B$5001,$A$183,BD!$D$3:$D$5001,"&lt;&gt;")=0,"",SUMIFS(BD!$D$3:$D$5001,BD!$A$3:$A$5001,V$3,BD!$B$3:$B$5001,$A$183)))</f>
        <v/>
      </c>
      <c r="W184" s="179" t="str">
        <f>IF(W$3="","",IF(COUNTIFS(BD!$A$3:$A$5001,W$3,BD!$B$3:$B$5001,$A$183,BD!$D$3:$D$5001,"&lt;&gt;")=0,"",SUMIFS(BD!$D$3:$D$5001,BD!$A$3:$A$5001,W$3,BD!$B$3:$B$5001,$A$183)))</f>
        <v/>
      </c>
      <c r="X184" s="179" t="str">
        <f>IF(X$3="","",IF(COUNTIFS(BD!$A$3:$A$5001,X$3,BD!$B$3:$B$5001,$A$183,BD!$D$3:$D$5001,"&lt;&gt;")=0,"",SUMIFS(BD!$D$3:$D$5001,BD!$A$3:$A$5001,X$3,BD!$B$3:$B$5001,$A$183)))</f>
        <v/>
      </c>
      <c r="Y184" s="179" t="str">
        <f>IF(Y$3="","",IF(COUNTIFS(BD!$A$3:$A$5001,Y$3,BD!$B$3:$B$5001,$A$183,BD!$D$3:$D$5001,"&lt;&gt;")=0,"",SUMIFS(BD!$D$3:$D$5001,BD!$A$3:$A$5001,Y$3,BD!$B$3:$B$5001,$A$183)))</f>
        <v/>
      </c>
      <c r="Z184" s="179" t="str">
        <f>IF(Z$3="","",IF(COUNTIFS(BD!$A$3:$A$5001,Z$3,BD!$B$3:$B$5001,$A$183,BD!$D$3:$D$5001,"&lt;&gt;")=0,"",SUMIFS(BD!$D$3:$D$5001,BD!$A$3:$A$5001,Z$3,BD!$B$3:$B$5001,$A$183)))</f>
        <v/>
      </c>
      <c r="AA184" s="179" t="str">
        <f>IF(AA$3="","",IF(COUNTIFS(BD!$A$3:$A$5001,AA$3,BD!$B$3:$B$5001,$A$183,BD!$D$3:$D$5001,"&lt;&gt;")=0,"",SUMIFS(BD!$D$3:$D$5001,BD!$A$3:$A$5001,AA$3,BD!$B$3:$B$5001,$A$183)))</f>
        <v/>
      </c>
      <c r="AB184" s="179" t="str">
        <f>IF(AB$3="","",IF(COUNTIFS(BD!$A$3:$A$5001,AB$3,BD!$B$3:$B$5001,$A$183,BD!$D$3:$D$5001,"&lt;&gt;")=0,"",SUMIFS(BD!$D$3:$D$5001,BD!$A$3:$A$5001,AB$3,BD!$B$3:$B$5001,$A$183)))</f>
        <v/>
      </c>
      <c r="AC184" s="179" t="str">
        <f>IF(AC$3="","",IF(COUNTIFS(BD!$A$3:$A$5001,AC$3,BD!$B$3:$B$5001,$A$183,BD!$D$3:$D$5001,"&lt;&gt;")=0,"",SUMIFS(BD!$D$3:$D$5001,BD!$A$3:$A$5001,AC$3,BD!$B$3:$B$5001,$A$183)))</f>
        <v/>
      </c>
      <c r="AD184" s="179" t="str">
        <f>IF(AD$3="","",IF(COUNTIFS(BD!$A$3:$A$5001,AD$3,BD!$B$3:$B$5001,$A$183,BD!$D$3:$D$5001,"&lt;&gt;")=0,"",SUMIFS(BD!$D$3:$D$5001,BD!$A$3:$A$5001,AD$3,BD!$B$3:$B$5001,$A$183)))</f>
        <v/>
      </c>
      <c r="AE184" s="179" t="str">
        <f>IF(AE$3="","",IF(COUNTIFS(BD!$A$3:$A$5001,AE$3,BD!$B$3:$B$5001,$A$183,BD!$D$3:$D$5001,"&lt;&gt;")=0,"",SUMIFS(BD!$D$3:$D$5001,BD!$A$3:$A$5001,AE$3,BD!$B$3:$B$5001,$A$183)))</f>
        <v/>
      </c>
      <c r="AF184" s="179" t="str">
        <f>IF(AF$3="","",IF(COUNTIFS(BD!$A$3:$A$5001,AF$3,BD!$B$3:$B$5001,$A$183,BD!$D$3:$D$5001,"&lt;&gt;")=0,"",SUMIFS(BD!$D$3:$D$5001,BD!$A$3:$A$5001,AF$3,BD!$B$3:$B$5001,$A$183)))</f>
        <v/>
      </c>
      <c r="AG184" s="179" t="str">
        <f>IF(AG$3="","",IF(COUNTIFS(BD!$A$3:$A$5001,AG$3,BD!$B$3:$B$5001,$A$183,BD!$D$3:$D$5001,"&lt;&gt;")=0,"",SUMIFS(BD!$D$3:$D$5001,BD!$A$3:$A$5001,AG$3,BD!$B$3:$B$5001,$A$183)))</f>
        <v/>
      </c>
      <c r="AH184" s="179" t="str">
        <f>IF(AH$3="","",IF(COUNTIFS(BD!$A$3:$A$5001,AH$3,BD!$B$3:$B$5001,$A$183,BD!$D$3:$D$5001,"&lt;&gt;")=0,"",SUMIFS(BD!$D$3:$D$5001,BD!$A$3:$A$5001,AH$3,BD!$B$3:$B$5001,$A$183)))</f>
        <v/>
      </c>
      <c r="AI184" s="179" t="str">
        <f>IF(AI$3="","",IF(COUNTIFS(BD!$A$3:$A$5001,AI$3,BD!$B$3:$B$5001,$A$183,BD!$D$3:$D$5001,"&lt;&gt;")=0,"",SUMIFS(BD!$D$3:$D$5001,BD!$A$3:$A$5001,AI$3,BD!$B$3:$B$5001,$A$183)))</f>
        <v/>
      </c>
      <c r="AJ184" s="180" t="str">
        <f>IF(AJ$3="","",IF(COUNTIFS(BD!$A$3:$A$5001,AJ$3,BD!$B$3:$B$5001,$A$183,BD!$D$3:$D$5001,"&lt;&gt;")=0,"",SUMIFS(BD!$D$3:$D$5001,BD!$A$3:$A$5001,AJ$3,BD!$B$3:$B$5001,$A$183)))</f>
        <v/>
      </c>
      <c r="AK184" s="181" t="str">
        <f>IF(COUNT(F184:AJ184)=0,"",SUM(F184:AJ184))</f>
        <v/>
      </c>
    </row>
    <row r="185" ht="15.75" customHeight="1" hidden="1">
      <c r="A185" s="277"/>
      <c r="B185" s="265"/>
      <c r="C185" s="175" t="inlineStr">
        <is>
          <t xml:space="preserve">Toneladas Movimentadas</t>
        </is>
      </c>
      <c r="D185" s="176" t="str">
        <f>IFERROR(1/(1/INDEX(BD!$AF$25:$AZ$25,MATCH($A$183,BD!$AF$22:$AZ$22,0))),"")</f>
        <v/>
      </c>
      <c r="E185" s="177"/>
      <c r="F185" s="182" t="str">
        <f>IF(F$3="","",IF(COUNTIFS(BD!$A$3:$A$5001,F$3,BD!$B$3:$B$5001,$A$183,BD!$E$3:$E$5001,"&lt;&gt;")=0,"",SUMIFS(BD!$E$3:$E$5001,BD!$A$3:$A$5001,F$3,BD!$B$3:$B$5001,$A$183)))</f>
        <v/>
      </c>
      <c r="G185" s="183" t="str">
        <f>IF(G$3="","",IF(COUNTIFS(BD!$A$3:$A$5001,G$3,BD!$B$3:$B$5001,$A$183,BD!$E$3:$E$5001,"&lt;&gt;")=0,"",SUMIFS(BD!$E$3:$E$5001,BD!$A$3:$A$5001,G$3,BD!$B$3:$B$5001,$A$183)))</f>
        <v/>
      </c>
      <c r="H185" s="183" t="str">
        <f>IF(H$3="","",IF(COUNTIFS(BD!$A$3:$A$5001,H$3,BD!$B$3:$B$5001,$A$183,BD!$E$3:$E$5001,"&lt;&gt;")=0,"",SUMIFS(BD!$E$3:$E$5001,BD!$A$3:$A$5001,H$3,BD!$B$3:$B$5001,$A$183)))</f>
        <v/>
      </c>
      <c r="I185" s="183" t="str">
        <f>IF(I$3="","",IF(COUNTIFS(BD!$A$3:$A$5001,I$3,BD!$B$3:$B$5001,$A$183,BD!$E$3:$E$5001,"&lt;&gt;")=0,"",SUMIFS(BD!$E$3:$E$5001,BD!$A$3:$A$5001,I$3,BD!$B$3:$B$5001,$A$183)))</f>
        <v/>
      </c>
      <c r="J185" s="183" t="str">
        <f>IF(J$3="","",IF(COUNTIFS(BD!$A$3:$A$5001,J$3,BD!$B$3:$B$5001,$A$183,BD!$E$3:$E$5001,"&lt;&gt;")=0,"",SUMIFS(BD!$E$3:$E$5001,BD!$A$3:$A$5001,J$3,BD!$B$3:$B$5001,$A$183)))</f>
        <v/>
      </c>
      <c r="K185" s="183" t="str">
        <f>IF(K$3="","",IF(COUNTIFS(BD!$A$3:$A$5001,K$3,BD!$B$3:$B$5001,$A$183,BD!$E$3:$E$5001,"&lt;&gt;")=0,"",SUMIFS(BD!$E$3:$E$5001,BD!$A$3:$A$5001,K$3,BD!$B$3:$B$5001,$A$183)))</f>
        <v/>
      </c>
      <c r="L185" s="183" t="str">
        <f>IF(L$3="","",IF(COUNTIFS(BD!$A$3:$A$5001,L$3,BD!$B$3:$B$5001,$A$183,BD!$E$3:$E$5001,"&lt;&gt;")=0,"",SUMIFS(BD!$E$3:$E$5001,BD!$A$3:$A$5001,L$3,BD!$B$3:$B$5001,$A$183)))</f>
        <v/>
      </c>
      <c r="M185" s="183" t="str">
        <f>IF(M$3="","",IF(COUNTIFS(BD!$A$3:$A$5001,M$3,BD!$B$3:$B$5001,$A$183,BD!$E$3:$E$5001,"&lt;&gt;")=0,"",SUMIFS(BD!$E$3:$E$5001,BD!$A$3:$A$5001,M$3,BD!$B$3:$B$5001,$A$183)))</f>
        <v/>
      </c>
      <c r="N185" s="183" t="str">
        <f>IF(N$3="","",IF(COUNTIFS(BD!$A$3:$A$5001,N$3,BD!$B$3:$B$5001,$A$183,BD!$E$3:$E$5001,"&lt;&gt;")=0,"",SUMIFS(BD!$E$3:$E$5001,BD!$A$3:$A$5001,N$3,BD!$B$3:$B$5001,$A$183)))</f>
        <v/>
      </c>
      <c r="O185" s="183" t="str">
        <f>IF(O$3="","",IF(COUNTIFS(BD!$A$3:$A$5001,O$3,BD!$B$3:$B$5001,$A$183,BD!$E$3:$E$5001,"&lt;&gt;")=0,"",SUMIFS(BD!$E$3:$E$5001,BD!$A$3:$A$5001,O$3,BD!$B$3:$B$5001,$A$183)))</f>
        <v/>
      </c>
      <c r="P185" s="183" t="str">
        <f>IF(P$3="","",IF(COUNTIFS(BD!$A$3:$A$5001,P$3,BD!$B$3:$B$5001,$A$183,BD!$E$3:$E$5001,"&lt;&gt;")=0,"",SUMIFS(BD!$E$3:$E$5001,BD!$A$3:$A$5001,P$3,BD!$B$3:$B$5001,$A$183)))</f>
        <v/>
      </c>
      <c r="Q185" s="183" t="str">
        <f>IF(Q$3="","",IF(COUNTIFS(BD!$A$3:$A$5001,Q$3,BD!$B$3:$B$5001,$A$183,BD!$E$3:$E$5001,"&lt;&gt;")=0,"",SUMIFS(BD!$E$3:$E$5001,BD!$A$3:$A$5001,Q$3,BD!$B$3:$B$5001,$A$183)))</f>
        <v/>
      </c>
      <c r="R185" s="183" t="str">
        <f>IF(R$3="","",IF(COUNTIFS(BD!$A$3:$A$5001,R$3,BD!$B$3:$B$5001,$A$183,BD!$E$3:$E$5001,"&lt;&gt;")=0,"",SUMIFS(BD!$E$3:$E$5001,BD!$A$3:$A$5001,R$3,BD!$B$3:$B$5001,$A$183)))</f>
        <v/>
      </c>
      <c r="S185" s="183" t="str">
        <f>IF(S$3="","",IF(COUNTIFS(BD!$A$3:$A$5001,S$3,BD!$B$3:$B$5001,$A$183,BD!$E$3:$E$5001,"&lt;&gt;")=0,"",SUMIFS(BD!$E$3:$E$5001,BD!$A$3:$A$5001,S$3,BD!$B$3:$B$5001,$A$183)))</f>
        <v/>
      </c>
      <c r="T185" s="183" t="str">
        <f>IF(T$3="","",IF(COUNTIFS(BD!$A$3:$A$5001,T$3,BD!$B$3:$B$5001,$A$183,BD!$E$3:$E$5001,"&lt;&gt;")=0,"",SUMIFS(BD!$E$3:$E$5001,BD!$A$3:$A$5001,T$3,BD!$B$3:$B$5001,$A$183)))</f>
        <v/>
      </c>
      <c r="U185" s="183" t="str">
        <f>IF(U$3="","",IF(COUNTIFS(BD!$A$3:$A$5001,U$3,BD!$B$3:$B$5001,$A$183,BD!$E$3:$E$5001,"&lt;&gt;")=0,"",SUMIFS(BD!$E$3:$E$5001,BD!$A$3:$A$5001,U$3,BD!$B$3:$B$5001,$A$183)))</f>
        <v/>
      </c>
      <c r="V185" s="183" t="str">
        <f>IF(V$3="","",IF(COUNTIFS(BD!$A$3:$A$5001,V$3,BD!$B$3:$B$5001,$A$183,BD!$E$3:$E$5001,"&lt;&gt;")=0,"",SUMIFS(BD!$E$3:$E$5001,BD!$A$3:$A$5001,V$3,BD!$B$3:$B$5001,$A$183)))</f>
        <v/>
      </c>
      <c r="W185" s="183" t="str">
        <f>IF(W$3="","",IF(COUNTIFS(BD!$A$3:$A$5001,W$3,BD!$B$3:$B$5001,$A$183,BD!$E$3:$E$5001,"&lt;&gt;")=0,"",SUMIFS(BD!$E$3:$E$5001,BD!$A$3:$A$5001,W$3,BD!$B$3:$B$5001,$A$183)))</f>
        <v/>
      </c>
      <c r="X185" s="183" t="str">
        <f>IF(X$3="","",IF(COUNTIFS(BD!$A$3:$A$5001,X$3,BD!$B$3:$B$5001,$A$183,BD!$E$3:$E$5001,"&lt;&gt;")=0,"",SUMIFS(BD!$E$3:$E$5001,BD!$A$3:$A$5001,X$3,BD!$B$3:$B$5001,$A$183)))</f>
        <v/>
      </c>
      <c r="Y185" s="183" t="str">
        <f>IF(Y$3="","",IF(COUNTIFS(BD!$A$3:$A$5001,Y$3,BD!$B$3:$B$5001,$A$183,BD!$E$3:$E$5001,"&lt;&gt;")=0,"",SUMIFS(BD!$E$3:$E$5001,BD!$A$3:$A$5001,Y$3,BD!$B$3:$B$5001,$A$183)))</f>
        <v/>
      </c>
      <c r="Z185" s="183" t="str">
        <f>IF(Z$3="","",IF(COUNTIFS(BD!$A$3:$A$5001,Z$3,BD!$B$3:$B$5001,$A$183,BD!$E$3:$E$5001,"&lt;&gt;")=0,"",SUMIFS(BD!$E$3:$E$5001,BD!$A$3:$A$5001,Z$3,BD!$B$3:$B$5001,$A$183)))</f>
        <v/>
      </c>
      <c r="AA185" s="183" t="str">
        <f>IF(AA$3="","",IF(COUNTIFS(BD!$A$3:$A$5001,AA$3,BD!$B$3:$B$5001,$A$183,BD!$E$3:$E$5001,"&lt;&gt;")=0,"",SUMIFS(BD!$E$3:$E$5001,BD!$A$3:$A$5001,AA$3,BD!$B$3:$B$5001,$A$183)))</f>
        <v/>
      </c>
      <c r="AB185" s="183" t="str">
        <f>IF(AB$3="","",IF(COUNTIFS(BD!$A$3:$A$5001,AB$3,BD!$B$3:$B$5001,$A$183,BD!$E$3:$E$5001,"&lt;&gt;")=0,"",SUMIFS(BD!$E$3:$E$5001,BD!$A$3:$A$5001,AB$3,BD!$B$3:$B$5001,$A$183)))</f>
        <v/>
      </c>
      <c r="AC185" s="183" t="str">
        <f>IF(AC$3="","",IF(COUNTIFS(BD!$A$3:$A$5001,AC$3,BD!$B$3:$B$5001,$A$183,BD!$E$3:$E$5001,"&lt;&gt;")=0,"",SUMIFS(BD!$E$3:$E$5001,BD!$A$3:$A$5001,AC$3,BD!$B$3:$B$5001,$A$183)))</f>
        <v/>
      </c>
      <c r="AD185" s="183" t="str">
        <f>IF(AD$3="","",IF(COUNTIFS(BD!$A$3:$A$5001,AD$3,BD!$B$3:$B$5001,$A$183,BD!$E$3:$E$5001,"&lt;&gt;")=0,"",SUMIFS(BD!$E$3:$E$5001,BD!$A$3:$A$5001,AD$3,BD!$B$3:$B$5001,$A$183)))</f>
        <v/>
      </c>
      <c r="AE185" s="183" t="str">
        <f>IF(AE$3="","",IF(COUNTIFS(BD!$A$3:$A$5001,AE$3,BD!$B$3:$B$5001,$A$183,BD!$E$3:$E$5001,"&lt;&gt;")=0,"",SUMIFS(BD!$E$3:$E$5001,BD!$A$3:$A$5001,AE$3,BD!$B$3:$B$5001,$A$183)))</f>
        <v/>
      </c>
      <c r="AF185" s="183" t="str">
        <f>IF(AF$3="","",IF(COUNTIFS(BD!$A$3:$A$5001,AF$3,BD!$B$3:$B$5001,$A$183,BD!$E$3:$E$5001,"&lt;&gt;")=0,"",SUMIFS(BD!$E$3:$E$5001,BD!$A$3:$A$5001,AF$3,BD!$B$3:$B$5001,$A$183)))</f>
        <v/>
      </c>
      <c r="AG185" s="183" t="str">
        <f>IF(AG$3="","",IF(COUNTIFS(BD!$A$3:$A$5001,AG$3,BD!$B$3:$B$5001,$A$183,BD!$E$3:$E$5001,"&lt;&gt;")=0,"",SUMIFS(BD!$E$3:$E$5001,BD!$A$3:$A$5001,AG$3,BD!$B$3:$B$5001,$A$183)))</f>
        <v/>
      </c>
      <c r="AH185" s="183" t="str">
        <f>IF(AH$3="","",IF(COUNTIFS(BD!$A$3:$A$5001,AH$3,BD!$B$3:$B$5001,$A$183,BD!$E$3:$E$5001,"&lt;&gt;")=0,"",SUMIFS(BD!$E$3:$E$5001,BD!$A$3:$A$5001,AH$3,BD!$B$3:$B$5001,$A$183)))</f>
        <v/>
      </c>
      <c r="AI185" s="183" t="str">
        <f>IF(AI$3="","",IF(COUNTIFS(BD!$A$3:$A$5001,AI$3,BD!$B$3:$B$5001,$A$183,BD!$E$3:$E$5001,"&lt;&gt;")=0,"",SUMIFS(BD!$E$3:$E$5001,BD!$A$3:$A$5001,AI$3,BD!$B$3:$B$5001,$A$183)))</f>
        <v/>
      </c>
      <c r="AJ185" s="184" t="str">
        <f>IF(AJ$3="","",IF(COUNTIFS(BD!$A$3:$A$5001,AJ$3,BD!$B$3:$B$5001,$A$183,BD!$E$3:$E$5001,"&lt;&gt;")=0,"",SUMIFS(BD!$E$3:$E$5001,BD!$A$3:$A$5001,AJ$3,BD!$B$3:$B$5001,$A$183)))</f>
        <v/>
      </c>
      <c r="AK185" s="185" t="str">
        <f>IF(COUNT(F185:AJ185)=0,"",SUM(F185:AJ185))</f>
        <v/>
      </c>
    </row>
    <row r="186" ht="15.75" customHeight="1" hidden="1">
      <c r="A186" s="277"/>
      <c r="B186" s="265"/>
      <c r="C186" s="175" t="inlineStr">
        <is>
          <t xml:space="preserve">Caixas Recebidas</t>
        </is>
      </c>
      <c r="D186" s="176" t="str">
        <f>IFERROR(1/(1/INDEX(BD!$AF$26:$AZ$26,MATCH($A$183,BD!$AF$22:$AZ$22,0))),"")</f>
        <v/>
      </c>
      <c r="E186" s="177"/>
      <c r="F186" s="178" t="str">
        <f>IF(F$3="","",IF(COUNTIFS(BD!$A$3:$A$5001,F$3,BD!$B$3:$B$5001,$A$183,BD!$F$3:$F$5001,"&lt;&gt;")=0,"",SUMIFS(BD!$F$3:$F$5001,BD!$A$3:$A$5001,F$3,BD!$B$3:$B$5001,$A$183)))</f>
        <v/>
      </c>
      <c r="G186" s="179" t="str">
        <f>IF(G$3="","",IF(COUNTIFS(BD!$A$3:$A$5001,G$3,BD!$B$3:$B$5001,$A$183,BD!$F$3:$F$5001,"&lt;&gt;")=0,"",SUMIFS(BD!$F$3:$F$5001,BD!$A$3:$A$5001,G$3,BD!$B$3:$B$5001,$A$183)))</f>
        <v/>
      </c>
      <c r="H186" s="179" t="str">
        <f>IF(H$3="","",IF(COUNTIFS(BD!$A$3:$A$5001,H$3,BD!$B$3:$B$5001,$A$183,BD!$F$3:$F$5001,"&lt;&gt;")=0,"",SUMIFS(BD!$F$3:$F$5001,BD!$A$3:$A$5001,H$3,BD!$B$3:$B$5001,$A$183)))</f>
        <v/>
      </c>
      <c r="I186" s="179" t="str">
        <f>IF(I$3="","",IF(COUNTIFS(BD!$A$3:$A$5001,I$3,BD!$B$3:$B$5001,$A$183,BD!$F$3:$F$5001,"&lt;&gt;")=0,"",SUMIFS(BD!$F$3:$F$5001,BD!$A$3:$A$5001,I$3,BD!$B$3:$B$5001,$A$183)))</f>
        <v/>
      </c>
      <c r="J186" s="179" t="str">
        <f>IF(J$3="","",IF(COUNTIFS(BD!$A$3:$A$5001,J$3,BD!$B$3:$B$5001,$A$183,BD!$F$3:$F$5001,"&lt;&gt;")=0,"",SUMIFS(BD!$F$3:$F$5001,BD!$A$3:$A$5001,J$3,BD!$B$3:$B$5001,$A$183)))</f>
        <v/>
      </c>
      <c r="K186" s="179" t="str">
        <f>IF(K$3="","",IF(COUNTIFS(BD!$A$3:$A$5001,K$3,BD!$B$3:$B$5001,$A$183,BD!$F$3:$F$5001,"&lt;&gt;")=0,"",SUMIFS(BD!$F$3:$F$5001,BD!$A$3:$A$5001,K$3,BD!$B$3:$B$5001,$A$183)))</f>
        <v/>
      </c>
      <c r="L186" s="179" t="str">
        <f>IF(L$3="","",IF(COUNTIFS(BD!$A$3:$A$5001,L$3,BD!$B$3:$B$5001,$A$183,BD!$F$3:$F$5001,"&lt;&gt;")=0,"",SUMIFS(BD!$F$3:$F$5001,BD!$A$3:$A$5001,L$3,BD!$B$3:$B$5001,$A$183)))</f>
        <v/>
      </c>
      <c r="M186" s="179" t="str">
        <f>IF(M$3="","",IF(COUNTIFS(BD!$A$3:$A$5001,M$3,BD!$B$3:$B$5001,$A$183,BD!$F$3:$F$5001,"&lt;&gt;")=0,"",SUMIFS(BD!$F$3:$F$5001,BD!$A$3:$A$5001,M$3,BD!$B$3:$B$5001,$A$183)))</f>
        <v/>
      </c>
      <c r="N186" s="179" t="str">
        <f>IF(N$3="","",IF(COUNTIFS(BD!$A$3:$A$5001,N$3,BD!$B$3:$B$5001,$A$183,BD!$F$3:$F$5001,"&lt;&gt;")=0,"",SUMIFS(BD!$F$3:$F$5001,BD!$A$3:$A$5001,N$3,BD!$B$3:$B$5001,$A$183)))</f>
        <v/>
      </c>
      <c r="O186" s="179" t="str">
        <f>IF(O$3="","",IF(COUNTIFS(BD!$A$3:$A$5001,O$3,BD!$B$3:$B$5001,$A$183,BD!$F$3:$F$5001,"&lt;&gt;")=0,"",SUMIFS(BD!$F$3:$F$5001,BD!$A$3:$A$5001,O$3,BD!$B$3:$B$5001,$A$183)))</f>
        <v/>
      </c>
      <c r="P186" s="179" t="str">
        <f>IF(P$3="","",IF(COUNTIFS(BD!$A$3:$A$5001,P$3,BD!$B$3:$B$5001,$A$183,BD!$F$3:$F$5001,"&lt;&gt;")=0,"",SUMIFS(BD!$F$3:$F$5001,BD!$A$3:$A$5001,P$3,BD!$B$3:$B$5001,$A$183)))</f>
        <v/>
      </c>
      <c r="Q186" s="179" t="str">
        <f>IF(Q$3="","",IF(COUNTIFS(BD!$A$3:$A$5001,Q$3,BD!$B$3:$B$5001,$A$183,BD!$F$3:$F$5001,"&lt;&gt;")=0,"",SUMIFS(BD!$F$3:$F$5001,BD!$A$3:$A$5001,Q$3,BD!$B$3:$B$5001,$A$183)))</f>
        <v/>
      </c>
      <c r="R186" s="179" t="str">
        <f>IF(R$3="","",IF(COUNTIFS(BD!$A$3:$A$5001,R$3,BD!$B$3:$B$5001,$A$183,BD!$F$3:$F$5001,"&lt;&gt;")=0,"",SUMIFS(BD!$F$3:$F$5001,BD!$A$3:$A$5001,R$3,BD!$B$3:$B$5001,$A$183)))</f>
        <v/>
      </c>
      <c r="S186" s="179" t="str">
        <f>IF(S$3="","",IF(COUNTIFS(BD!$A$3:$A$5001,S$3,BD!$B$3:$B$5001,$A$183,BD!$F$3:$F$5001,"&lt;&gt;")=0,"",SUMIFS(BD!$F$3:$F$5001,BD!$A$3:$A$5001,S$3,BD!$B$3:$B$5001,$A$183)))</f>
        <v/>
      </c>
      <c r="T186" s="179" t="str">
        <f>IF(T$3="","",IF(COUNTIFS(BD!$A$3:$A$5001,T$3,BD!$B$3:$B$5001,$A$183,BD!$F$3:$F$5001,"&lt;&gt;")=0,"",SUMIFS(BD!$F$3:$F$5001,BD!$A$3:$A$5001,T$3,BD!$B$3:$B$5001,$A$183)))</f>
        <v/>
      </c>
      <c r="U186" s="179" t="str">
        <f>IF(U$3="","",IF(COUNTIFS(BD!$A$3:$A$5001,U$3,BD!$B$3:$B$5001,$A$183,BD!$F$3:$F$5001,"&lt;&gt;")=0,"",SUMIFS(BD!$F$3:$F$5001,BD!$A$3:$A$5001,U$3,BD!$B$3:$B$5001,$A$183)))</f>
        <v/>
      </c>
      <c r="V186" s="179" t="str">
        <f>IF(V$3="","",IF(COUNTIFS(BD!$A$3:$A$5001,V$3,BD!$B$3:$B$5001,$A$183,BD!$F$3:$F$5001,"&lt;&gt;")=0,"",SUMIFS(BD!$F$3:$F$5001,BD!$A$3:$A$5001,V$3,BD!$B$3:$B$5001,$A$183)))</f>
        <v/>
      </c>
      <c r="W186" s="179" t="str">
        <f>IF(W$3="","",IF(COUNTIFS(BD!$A$3:$A$5001,W$3,BD!$B$3:$B$5001,$A$183,BD!$F$3:$F$5001,"&lt;&gt;")=0,"",SUMIFS(BD!$F$3:$F$5001,BD!$A$3:$A$5001,W$3,BD!$B$3:$B$5001,$A$183)))</f>
        <v/>
      </c>
      <c r="X186" s="179" t="str">
        <f>IF(X$3="","",IF(COUNTIFS(BD!$A$3:$A$5001,X$3,BD!$B$3:$B$5001,$A$183,BD!$F$3:$F$5001,"&lt;&gt;")=0,"",SUMIFS(BD!$F$3:$F$5001,BD!$A$3:$A$5001,X$3,BD!$B$3:$B$5001,$A$183)))</f>
        <v/>
      </c>
      <c r="Y186" s="179" t="str">
        <f>IF(Y$3="","",IF(COUNTIFS(BD!$A$3:$A$5001,Y$3,BD!$B$3:$B$5001,$A$183,BD!$F$3:$F$5001,"&lt;&gt;")=0,"",SUMIFS(BD!$F$3:$F$5001,BD!$A$3:$A$5001,Y$3,BD!$B$3:$B$5001,$A$183)))</f>
        <v/>
      </c>
      <c r="Z186" s="179" t="str">
        <f>IF(Z$3="","",IF(COUNTIFS(BD!$A$3:$A$5001,Z$3,BD!$B$3:$B$5001,$A$183,BD!$F$3:$F$5001,"&lt;&gt;")=0,"",SUMIFS(BD!$F$3:$F$5001,BD!$A$3:$A$5001,Z$3,BD!$B$3:$B$5001,$A$183)))</f>
        <v/>
      </c>
      <c r="AA186" s="179" t="str">
        <f>IF(AA$3="","",IF(COUNTIFS(BD!$A$3:$A$5001,AA$3,BD!$B$3:$B$5001,$A$183,BD!$F$3:$F$5001,"&lt;&gt;")=0,"",SUMIFS(BD!$F$3:$F$5001,BD!$A$3:$A$5001,AA$3,BD!$B$3:$B$5001,$A$183)))</f>
        <v/>
      </c>
      <c r="AB186" s="179" t="str">
        <f>IF(AB$3="","",IF(COUNTIFS(BD!$A$3:$A$5001,AB$3,BD!$B$3:$B$5001,$A$183,BD!$F$3:$F$5001,"&lt;&gt;")=0,"",SUMIFS(BD!$F$3:$F$5001,BD!$A$3:$A$5001,AB$3,BD!$B$3:$B$5001,$A$183)))</f>
        <v/>
      </c>
      <c r="AC186" s="179" t="str">
        <f>IF(AC$3="","",IF(COUNTIFS(BD!$A$3:$A$5001,AC$3,BD!$B$3:$B$5001,$A$183,BD!$F$3:$F$5001,"&lt;&gt;")=0,"",SUMIFS(BD!$F$3:$F$5001,BD!$A$3:$A$5001,AC$3,BD!$B$3:$B$5001,$A$183)))</f>
        <v/>
      </c>
      <c r="AD186" s="179" t="str">
        <f>IF(AD$3="","",IF(COUNTIFS(BD!$A$3:$A$5001,AD$3,BD!$B$3:$B$5001,$A$183,BD!$F$3:$F$5001,"&lt;&gt;")=0,"",SUMIFS(BD!$F$3:$F$5001,BD!$A$3:$A$5001,AD$3,BD!$B$3:$B$5001,$A$183)))</f>
        <v/>
      </c>
      <c r="AE186" s="179" t="str">
        <f>IF(AE$3="","",IF(COUNTIFS(BD!$A$3:$A$5001,AE$3,BD!$B$3:$B$5001,$A$183,BD!$F$3:$F$5001,"&lt;&gt;")=0,"",SUMIFS(BD!$F$3:$F$5001,BD!$A$3:$A$5001,AE$3,BD!$B$3:$B$5001,$A$183)))</f>
        <v/>
      </c>
      <c r="AF186" s="179" t="str">
        <f>IF(AF$3="","",IF(COUNTIFS(BD!$A$3:$A$5001,AF$3,BD!$B$3:$B$5001,$A$183,BD!$F$3:$F$5001,"&lt;&gt;")=0,"",SUMIFS(BD!$F$3:$F$5001,BD!$A$3:$A$5001,AF$3,BD!$B$3:$B$5001,$A$183)))</f>
        <v/>
      </c>
      <c r="AG186" s="179" t="str">
        <f>IF(AG$3="","",IF(COUNTIFS(BD!$A$3:$A$5001,AG$3,BD!$B$3:$B$5001,$A$183,BD!$F$3:$F$5001,"&lt;&gt;")=0,"",SUMIFS(BD!$F$3:$F$5001,BD!$A$3:$A$5001,AG$3,BD!$B$3:$B$5001,$A$183)))</f>
        <v/>
      </c>
      <c r="AH186" s="179" t="str">
        <f>IF(AH$3="","",IF(COUNTIFS(BD!$A$3:$A$5001,AH$3,BD!$B$3:$B$5001,$A$183,BD!$F$3:$F$5001,"&lt;&gt;")=0,"",SUMIFS(BD!$F$3:$F$5001,BD!$A$3:$A$5001,AH$3,BD!$B$3:$B$5001,$A$183)))</f>
        <v/>
      </c>
      <c r="AI186" s="179" t="str">
        <f>IF(AI$3="","",IF(COUNTIFS(BD!$A$3:$A$5001,AI$3,BD!$B$3:$B$5001,$A$183,BD!$F$3:$F$5001,"&lt;&gt;")=0,"",SUMIFS(BD!$F$3:$F$5001,BD!$A$3:$A$5001,AI$3,BD!$B$3:$B$5001,$A$183)))</f>
        <v/>
      </c>
      <c r="AJ186" s="180" t="str">
        <f>IF(AJ$3="","",IF(COUNTIFS(BD!$A$3:$A$5001,AJ$3,BD!$B$3:$B$5001,$A$183,BD!$F$3:$F$5001,"&lt;&gt;")=0,"",SUMIFS(BD!$F$3:$F$5001,BD!$A$3:$A$5001,AJ$3,BD!$B$3:$B$5001,$A$183)))</f>
        <v/>
      </c>
      <c r="AK186" s="181" t="str">
        <f>IF(COUNT(F186:AJ186)=0,"",SUM(F186:AJ186))</f>
        <v/>
      </c>
    </row>
    <row r="187" ht="15.75" customHeight="1" hidden="1">
      <c r="A187" s="277"/>
      <c r="B187" s="266"/>
      <c r="C187" s="186" t="inlineStr">
        <is>
          <t xml:space="preserve">Bags Recebidos</t>
        </is>
      </c>
      <c r="D187" s="187" t="str">
        <f>IFERROR(1/(1/INDEX(BD!$AF$27:$AZ$27,MATCH($A$183,BD!$AF$22:$AZ$22,0))),"")</f>
        <v/>
      </c>
      <c r="E187" s="188"/>
      <c r="F187" s="189" t="str">
        <f>IF(F$3="","",IF(COUNTIFS(BD!$A$3:$A$5001,F$3,BD!$B$3:$B$5001,$A$183,BD!$G$3:$G$5001,"&lt;&gt;")=0,"",SUMIFS(BD!$G$3:$G$5001,BD!$A$3:$A$5001,F$3,BD!$B$3:$B$5001,$A$183)))</f>
        <v/>
      </c>
      <c r="G187" s="190" t="str">
        <f>IF(G$3="","",IF(COUNTIFS(BD!$A$3:$A$5001,G$3,BD!$B$3:$B$5001,$A$183,BD!$G$3:$G$5001,"&lt;&gt;")=0,"",SUMIFS(BD!$G$3:$G$5001,BD!$A$3:$A$5001,G$3,BD!$B$3:$B$5001,$A$183)))</f>
        <v/>
      </c>
      <c r="H187" s="190" t="str">
        <f>IF(H$3="","",IF(COUNTIFS(BD!$A$3:$A$5001,H$3,BD!$B$3:$B$5001,$A$183,BD!$G$3:$G$5001,"&lt;&gt;")=0,"",SUMIFS(BD!$G$3:$G$5001,BD!$A$3:$A$5001,H$3,BD!$B$3:$B$5001,$A$183)))</f>
        <v/>
      </c>
      <c r="I187" s="190" t="str">
        <f>IF(I$3="","",IF(COUNTIFS(BD!$A$3:$A$5001,I$3,BD!$B$3:$B$5001,$A$183,BD!$G$3:$G$5001,"&lt;&gt;")=0,"",SUMIFS(BD!$G$3:$G$5001,BD!$A$3:$A$5001,I$3,BD!$B$3:$B$5001,$A$183)))</f>
        <v/>
      </c>
      <c r="J187" s="190" t="str">
        <f>IF(J$3="","",IF(COUNTIFS(BD!$A$3:$A$5001,J$3,BD!$B$3:$B$5001,$A$183,BD!$G$3:$G$5001,"&lt;&gt;")=0,"",SUMIFS(BD!$G$3:$G$5001,BD!$A$3:$A$5001,J$3,BD!$B$3:$B$5001,$A$183)))</f>
        <v/>
      </c>
      <c r="K187" s="190" t="str">
        <f>IF(K$3="","",IF(COUNTIFS(BD!$A$3:$A$5001,K$3,BD!$B$3:$B$5001,$A$183,BD!$G$3:$G$5001,"&lt;&gt;")=0,"",SUMIFS(BD!$G$3:$G$5001,BD!$A$3:$A$5001,K$3,BD!$B$3:$B$5001,$A$183)))</f>
        <v/>
      </c>
      <c r="L187" s="190" t="str">
        <f>IF(L$3="","",IF(COUNTIFS(BD!$A$3:$A$5001,L$3,BD!$B$3:$B$5001,$A$183,BD!$G$3:$G$5001,"&lt;&gt;")=0,"",SUMIFS(BD!$G$3:$G$5001,BD!$A$3:$A$5001,L$3,BD!$B$3:$B$5001,$A$183)))</f>
        <v/>
      </c>
      <c r="M187" s="190" t="str">
        <f>IF(M$3="","",IF(COUNTIFS(BD!$A$3:$A$5001,M$3,BD!$B$3:$B$5001,$A$183,BD!$G$3:$G$5001,"&lt;&gt;")=0,"",SUMIFS(BD!$G$3:$G$5001,BD!$A$3:$A$5001,M$3,BD!$B$3:$B$5001,$A$183)))</f>
        <v/>
      </c>
      <c r="N187" s="190" t="str">
        <f>IF(N$3="","",IF(COUNTIFS(BD!$A$3:$A$5001,N$3,BD!$B$3:$B$5001,$A$183,BD!$G$3:$G$5001,"&lt;&gt;")=0,"",SUMIFS(BD!$G$3:$G$5001,BD!$A$3:$A$5001,N$3,BD!$B$3:$B$5001,$A$183)))</f>
        <v/>
      </c>
      <c r="O187" s="190" t="str">
        <f>IF(O$3="","",IF(COUNTIFS(BD!$A$3:$A$5001,O$3,BD!$B$3:$B$5001,$A$183,BD!$G$3:$G$5001,"&lt;&gt;")=0,"",SUMIFS(BD!$G$3:$G$5001,BD!$A$3:$A$5001,O$3,BD!$B$3:$B$5001,$A$183)))</f>
        <v/>
      </c>
      <c r="P187" s="190" t="str">
        <f>IF(P$3="","",IF(COUNTIFS(BD!$A$3:$A$5001,P$3,BD!$B$3:$B$5001,$A$183,BD!$G$3:$G$5001,"&lt;&gt;")=0,"",SUMIFS(BD!$G$3:$G$5001,BD!$A$3:$A$5001,P$3,BD!$B$3:$B$5001,$A$183)))</f>
        <v/>
      </c>
      <c r="Q187" s="190" t="str">
        <f>IF(Q$3="","",IF(COUNTIFS(BD!$A$3:$A$5001,Q$3,BD!$B$3:$B$5001,$A$183,BD!$G$3:$G$5001,"&lt;&gt;")=0,"",SUMIFS(BD!$G$3:$G$5001,BD!$A$3:$A$5001,Q$3,BD!$B$3:$B$5001,$A$183)))</f>
        <v/>
      </c>
      <c r="R187" s="190" t="str">
        <f>IF(R$3="","",IF(COUNTIFS(BD!$A$3:$A$5001,R$3,BD!$B$3:$B$5001,$A$183,BD!$G$3:$G$5001,"&lt;&gt;")=0,"",SUMIFS(BD!$G$3:$G$5001,BD!$A$3:$A$5001,R$3,BD!$B$3:$B$5001,$A$183)))</f>
        <v/>
      </c>
      <c r="S187" s="190" t="str">
        <f>IF(S$3="","",IF(COUNTIFS(BD!$A$3:$A$5001,S$3,BD!$B$3:$B$5001,$A$183,BD!$G$3:$G$5001,"&lt;&gt;")=0,"",SUMIFS(BD!$G$3:$G$5001,BD!$A$3:$A$5001,S$3,BD!$B$3:$B$5001,$A$183)))</f>
        <v/>
      </c>
      <c r="T187" s="190" t="str">
        <f>IF(T$3="","",IF(COUNTIFS(BD!$A$3:$A$5001,T$3,BD!$B$3:$B$5001,$A$183,BD!$G$3:$G$5001,"&lt;&gt;")=0,"",SUMIFS(BD!$G$3:$G$5001,BD!$A$3:$A$5001,T$3,BD!$B$3:$B$5001,$A$183)))</f>
        <v/>
      </c>
      <c r="U187" s="190" t="str">
        <f>IF(U$3="","",IF(COUNTIFS(BD!$A$3:$A$5001,U$3,BD!$B$3:$B$5001,$A$183,BD!$G$3:$G$5001,"&lt;&gt;")=0,"",SUMIFS(BD!$G$3:$G$5001,BD!$A$3:$A$5001,U$3,BD!$B$3:$B$5001,$A$183)))</f>
        <v/>
      </c>
      <c r="V187" s="190" t="str">
        <f>IF(V$3="","",IF(COUNTIFS(BD!$A$3:$A$5001,V$3,BD!$B$3:$B$5001,$A$183,BD!$G$3:$G$5001,"&lt;&gt;")=0,"",SUMIFS(BD!$G$3:$G$5001,BD!$A$3:$A$5001,V$3,BD!$B$3:$B$5001,$A$183)))</f>
        <v/>
      </c>
      <c r="W187" s="190" t="str">
        <f>IF(W$3="","",IF(COUNTIFS(BD!$A$3:$A$5001,W$3,BD!$B$3:$B$5001,$A$183,BD!$G$3:$G$5001,"&lt;&gt;")=0,"",SUMIFS(BD!$G$3:$G$5001,BD!$A$3:$A$5001,W$3,BD!$B$3:$B$5001,$A$183)))</f>
        <v/>
      </c>
      <c r="X187" s="190" t="str">
        <f>IF(X$3="","",IF(COUNTIFS(BD!$A$3:$A$5001,X$3,BD!$B$3:$B$5001,$A$183,BD!$G$3:$G$5001,"&lt;&gt;")=0,"",SUMIFS(BD!$G$3:$G$5001,BD!$A$3:$A$5001,X$3,BD!$B$3:$B$5001,$A$183)))</f>
        <v/>
      </c>
      <c r="Y187" s="190" t="str">
        <f>IF(Y$3="","",IF(COUNTIFS(BD!$A$3:$A$5001,Y$3,BD!$B$3:$B$5001,$A$183,BD!$G$3:$G$5001,"&lt;&gt;")=0,"",SUMIFS(BD!$G$3:$G$5001,BD!$A$3:$A$5001,Y$3,BD!$B$3:$B$5001,$A$183)))</f>
        <v/>
      </c>
      <c r="Z187" s="190" t="str">
        <f>IF(Z$3="","",IF(COUNTIFS(BD!$A$3:$A$5001,Z$3,BD!$B$3:$B$5001,$A$183,BD!$G$3:$G$5001,"&lt;&gt;")=0,"",SUMIFS(BD!$G$3:$G$5001,BD!$A$3:$A$5001,Z$3,BD!$B$3:$B$5001,$A$183)))</f>
        <v/>
      </c>
      <c r="AA187" s="190" t="str">
        <f>IF(AA$3="","",IF(COUNTIFS(BD!$A$3:$A$5001,AA$3,BD!$B$3:$B$5001,$A$183,BD!$G$3:$G$5001,"&lt;&gt;")=0,"",SUMIFS(BD!$G$3:$G$5001,BD!$A$3:$A$5001,AA$3,BD!$B$3:$B$5001,$A$183)))</f>
        <v/>
      </c>
      <c r="AB187" s="190" t="str">
        <f>IF(AB$3="","",IF(COUNTIFS(BD!$A$3:$A$5001,AB$3,BD!$B$3:$B$5001,$A$183,BD!$G$3:$G$5001,"&lt;&gt;")=0,"",SUMIFS(BD!$G$3:$G$5001,BD!$A$3:$A$5001,AB$3,BD!$B$3:$B$5001,$A$183)))</f>
        <v/>
      </c>
      <c r="AC187" s="190" t="str">
        <f>IF(AC$3="","",IF(COUNTIFS(BD!$A$3:$A$5001,AC$3,BD!$B$3:$B$5001,$A$183,BD!$G$3:$G$5001,"&lt;&gt;")=0,"",SUMIFS(BD!$G$3:$G$5001,BD!$A$3:$A$5001,AC$3,BD!$B$3:$B$5001,$A$183)))</f>
        <v/>
      </c>
      <c r="AD187" s="190" t="str">
        <f>IF(AD$3="","",IF(COUNTIFS(BD!$A$3:$A$5001,AD$3,BD!$B$3:$B$5001,$A$183,BD!$G$3:$G$5001,"&lt;&gt;")=0,"",SUMIFS(BD!$G$3:$G$5001,BD!$A$3:$A$5001,AD$3,BD!$B$3:$B$5001,$A$183)))</f>
        <v/>
      </c>
      <c r="AE187" s="190" t="str">
        <f>IF(AE$3="","",IF(COUNTIFS(BD!$A$3:$A$5001,AE$3,BD!$B$3:$B$5001,$A$183,BD!$G$3:$G$5001,"&lt;&gt;")=0,"",SUMIFS(BD!$G$3:$G$5001,BD!$A$3:$A$5001,AE$3,BD!$B$3:$B$5001,$A$183)))</f>
        <v/>
      </c>
      <c r="AF187" s="190" t="str">
        <f>IF(AF$3="","",IF(COUNTIFS(BD!$A$3:$A$5001,AF$3,BD!$B$3:$B$5001,$A$183,BD!$G$3:$G$5001,"&lt;&gt;")=0,"",SUMIFS(BD!$G$3:$G$5001,BD!$A$3:$A$5001,AF$3,BD!$B$3:$B$5001,$A$183)))</f>
        <v/>
      </c>
      <c r="AG187" s="190" t="str">
        <f>IF(AG$3="","",IF(COUNTIFS(BD!$A$3:$A$5001,AG$3,BD!$B$3:$B$5001,$A$183,BD!$G$3:$G$5001,"&lt;&gt;")=0,"",SUMIFS(BD!$G$3:$G$5001,BD!$A$3:$A$5001,AG$3,BD!$B$3:$B$5001,$A$183)))</f>
        <v/>
      </c>
      <c r="AH187" s="190" t="str">
        <f>IF(AH$3="","",IF(COUNTIFS(BD!$A$3:$A$5001,AH$3,BD!$B$3:$B$5001,$A$183,BD!$G$3:$G$5001,"&lt;&gt;")=0,"",SUMIFS(BD!$G$3:$G$5001,BD!$A$3:$A$5001,AH$3,BD!$B$3:$B$5001,$A$183)))</f>
        <v/>
      </c>
      <c r="AI187" s="190" t="str">
        <f>IF(AI$3="","",IF(COUNTIFS(BD!$A$3:$A$5001,AI$3,BD!$B$3:$B$5001,$A$183,BD!$G$3:$G$5001,"&lt;&gt;")=0,"",SUMIFS(BD!$G$3:$G$5001,BD!$A$3:$A$5001,AI$3,BD!$B$3:$B$5001,$A$183)))</f>
        <v/>
      </c>
      <c r="AJ187" s="191" t="str">
        <f>IF(AJ$3="","",IF(COUNTIFS(BD!$A$3:$A$5001,AJ$3,BD!$B$3:$B$5001,$A$183,BD!$G$3:$G$5001,"&lt;&gt;")=0,"",SUMIFS(BD!$G$3:$G$5001,BD!$A$3:$A$5001,AJ$3,BD!$B$3:$B$5001,$A$183)))</f>
        <v/>
      </c>
      <c r="AK187" s="187" t="str">
        <f>IF(COUNT(F187:AJ187)=0,"",SUM(F187:AJ187))</f>
        <v/>
      </c>
    </row>
    <row r="188" ht="15.75" customHeight="1" hidden="1">
      <c r="A188" s="277"/>
      <c r="B188" s="267" t="inlineStr">
        <is>
          <t xml:space="preserve">OUT</t>
        </is>
      </c>
      <c r="C188" s="192" t="inlineStr">
        <is>
          <t xml:space="preserve">Veículos Expedidos</t>
        </is>
      </c>
      <c r="D188" s="193" t="str">
        <f>IFERROR(1/(1/INDEX(BD!$AF$28:$AZ$28,MATCH($A$183,BD!$AF$22:$AZ$22,0))),"")</f>
        <v/>
      </c>
      <c r="E188" s="194"/>
      <c r="F188" s="195" t="str">
        <f>IF(F$3="","",IF(COUNTIFS(BD!$A$3:$A$5001,F$3,BD!$B$3:$B$5001,$A$183,BD!$H$3:$H$5001,"&lt;&gt;")=0,"",SUMIFS(BD!$H$3:$H$5001,BD!$A$3:$A$5001,F$3,BD!$B$3:$B$5001,$A$183)))</f>
        <v/>
      </c>
      <c r="G188" s="196" t="str">
        <f>IF(G$3="","",IF(COUNTIFS(BD!$A$3:$A$5001,G$3,BD!$B$3:$B$5001,$A$183,BD!$H$3:$H$5001,"&lt;&gt;")=0,"",SUMIFS(BD!$H$3:$H$5001,BD!$A$3:$A$5001,G$3,BD!$B$3:$B$5001,$A$183)))</f>
        <v/>
      </c>
      <c r="H188" s="196" t="str">
        <f>IF(H$3="","",IF(COUNTIFS(BD!$A$3:$A$5001,H$3,BD!$B$3:$B$5001,$A$183,BD!$H$3:$H$5001,"&lt;&gt;")=0,"",SUMIFS(BD!$H$3:$H$5001,BD!$A$3:$A$5001,H$3,BD!$B$3:$B$5001,$A$183)))</f>
        <v/>
      </c>
      <c r="I188" s="196" t="str">
        <f>IF(I$3="","",IF(COUNTIFS(BD!$A$3:$A$5001,I$3,BD!$B$3:$B$5001,$A$183,BD!$H$3:$H$5001,"&lt;&gt;")=0,"",SUMIFS(BD!$H$3:$H$5001,BD!$A$3:$A$5001,I$3,BD!$B$3:$B$5001,$A$183)))</f>
        <v/>
      </c>
      <c r="J188" s="196" t="str">
        <f>IF(J$3="","",IF(COUNTIFS(BD!$A$3:$A$5001,J$3,BD!$B$3:$B$5001,$A$183,BD!$H$3:$H$5001,"&lt;&gt;")=0,"",SUMIFS(BD!$H$3:$H$5001,BD!$A$3:$A$5001,J$3,BD!$B$3:$B$5001,$A$183)))</f>
        <v/>
      </c>
      <c r="K188" s="196" t="str">
        <f>IF(K$3="","",IF(COUNTIFS(BD!$A$3:$A$5001,K$3,BD!$B$3:$B$5001,$A$183,BD!$H$3:$H$5001,"&lt;&gt;")=0,"",SUMIFS(BD!$H$3:$H$5001,BD!$A$3:$A$5001,K$3,BD!$B$3:$B$5001,$A$183)))</f>
        <v/>
      </c>
      <c r="L188" s="196" t="str">
        <f>IF(L$3="","",IF(COUNTIFS(BD!$A$3:$A$5001,L$3,BD!$B$3:$B$5001,$A$183,BD!$H$3:$H$5001,"&lt;&gt;")=0,"",SUMIFS(BD!$H$3:$H$5001,BD!$A$3:$A$5001,L$3,BD!$B$3:$B$5001,$A$183)))</f>
        <v/>
      </c>
      <c r="M188" s="196" t="str">
        <f>IF(M$3="","",IF(COUNTIFS(BD!$A$3:$A$5001,M$3,BD!$B$3:$B$5001,$A$183,BD!$H$3:$H$5001,"&lt;&gt;")=0,"",SUMIFS(BD!$H$3:$H$5001,BD!$A$3:$A$5001,M$3,BD!$B$3:$B$5001,$A$183)))</f>
        <v/>
      </c>
      <c r="N188" s="196" t="str">
        <f>IF(N$3="","",IF(COUNTIFS(BD!$A$3:$A$5001,N$3,BD!$B$3:$B$5001,$A$183,BD!$H$3:$H$5001,"&lt;&gt;")=0,"",SUMIFS(BD!$H$3:$H$5001,BD!$A$3:$A$5001,N$3,BD!$B$3:$B$5001,$A$183)))</f>
        <v/>
      </c>
      <c r="O188" s="196" t="str">
        <f>IF(O$3="","",IF(COUNTIFS(BD!$A$3:$A$5001,O$3,BD!$B$3:$B$5001,$A$183,BD!$H$3:$H$5001,"&lt;&gt;")=0,"",SUMIFS(BD!$H$3:$H$5001,BD!$A$3:$A$5001,O$3,BD!$B$3:$B$5001,$A$183)))</f>
        <v/>
      </c>
      <c r="P188" s="196" t="str">
        <f>IF(P$3="","",IF(COUNTIFS(BD!$A$3:$A$5001,P$3,BD!$B$3:$B$5001,$A$183,BD!$H$3:$H$5001,"&lt;&gt;")=0,"",SUMIFS(BD!$H$3:$H$5001,BD!$A$3:$A$5001,P$3,BD!$B$3:$B$5001,$A$183)))</f>
        <v/>
      </c>
      <c r="Q188" s="196" t="str">
        <f>IF(Q$3="","",IF(COUNTIFS(BD!$A$3:$A$5001,Q$3,BD!$B$3:$B$5001,$A$183,BD!$H$3:$H$5001,"&lt;&gt;")=0,"",SUMIFS(BD!$H$3:$H$5001,BD!$A$3:$A$5001,Q$3,BD!$B$3:$B$5001,$A$183)))</f>
        <v/>
      </c>
      <c r="R188" s="196" t="str">
        <f>IF(R$3="","",IF(COUNTIFS(BD!$A$3:$A$5001,R$3,BD!$B$3:$B$5001,$A$183,BD!$H$3:$H$5001,"&lt;&gt;")=0,"",SUMIFS(BD!$H$3:$H$5001,BD!$A$3:$A$5001,R$3,BD!$B$3:$B$5001,$A$183)))</f>
        <v/>
      </c>
      <c r="S188" s="196" t="str">
        <f>IF(S$3="","",IF(COUNTIFS(BD!$A$3:$A$5001,S$3,BD!$B$3:$B$5001,$A$183,BD!$H$3:$H$5001,"&lt;&gt;")=0,"",SUMIFS(BD!$H$3:$H$5001,BD!$A$3:$A$5001,S$3,BD!$B$3:$B$5001,$A$183)))</f>
        <v/>
      </c>
      <c r="T188" s="196" t="str">
        <f>IF(T$3="","",IF(COUNTIFS(BD!$A$3:$A$5001,T$3,BD!$B$3:$B$5001,$A$183,BD!$H$3:$H$5001,"&lt;&gt;")=0,"",SUMIFS(BD!$H$3:$H$5001,BD!$A$3:$A$5001,T$3,BD!$B$3:$B$5001,$A$183)))</f>
        <v/>
      </c>
      <c r="U188" s="196" t="str">
        <f>IF(U$3="","",IF(COUNTIFS(BD!$A$3:$A$5001,U$3,BD!$B$3:$B$5001,$A$183,BD!$H$3:$H$5001,"&lt;&gt;")=0,"",SUMIFS(BD!$H$3:$H$5001,BD!$A$3:$A$5001,U$3,BD!$B$3:$B$5001,$A$183)))</f>
        <v/>
      </c>
      <c r="V188" s="196" t="str">
        <f>IF(V$3="","",IF(COUNTIFS(BD!$A$3:$A$5001,V$3,BD!$B$3:$B$5001,$A$183,BD!$H$3:$H$5001,"&lt;&gt;")=0,"",SUMIFS(BD!$H$3:$H$5001,BD!$A$3:$A$5001,V$3,BD!$B$3:$B$5001,$A$183)))</f>
        <v/>
      </c>
      <c r="W188" s="196" t="str">
        <f>IF(W$3="","",IF(COUNTIFS(BD!$A$3:$A$5001,W$3,BD!$B$3:$B$5001,$A$183,BD!$H$3:$H$5001,"&lt;&gt;")=0,"",SUMIFS(BD!$H$3:$H$5001,BD!$A$3:$A$5001,W$3,BD!$B$3:$B$5001,$A$183)))</f>
        <v/>
      </c>
      <c r="X188" s="196" t="str">
        <f>IF(X$3="","",IF(COUNTIFS(BD!$A$3:$A$5001,X$3,BD!$B$3:$B$5001,$A$183,BD!$H$3:$H$5001,"&lt;&gt;")=0,"",SUMIFS(BD!$H$3:$H$5001,BD!$A$3:$A$5001,X$3,BD!$B$3:$B$5001,$A$183)))</f>
        <v/>
      </c>
      <c r="Y188" s="196" t="str">
        <f>IF(Y$3="","",IF(COUNTIFS(BD!$A$3:$A$5001,Y$3,BD!$B$3:$B$5001,$A$183,BD!$H$3:$H$5001,"&lt;&gt;")=0,"",SUMIFS(BD!$H$3:$H$5001,BD!$A$3:$A$5001,Y$3,BD!$B$3:$B$5001,$A$183)))</f>
        <v/>
      </c>
      <c r="Z188" s="196" t="str">
        <f>IF(Z$3="","",IF(COUNTIFS(BD!$A$3:$A$5001,Z$3,BD!$B$3:$B$5001,$A$183,BD!$H$3:$H$5001,"&lt;&gt;")=0,"",SUMIFS(BD!$H$3:$H$5001,BD!$A$3:$A$5001,Z$3,BD!$B$3:$B$5001,$A$183)))</f>
        <v/>
      </c>
      <c r="AA188" s="196" t="str">
        <f>IF(AA$3="","",IF(COUNTIFS(BD!$A$3:$A$5001,AA$3,BD!$B$3:$B$5001,$A$183,BD!$H$3:$H$5001,"&lt;&gt;")=0,"",SUMIFS(BD!$H$3:$H$5001,BD!$A$3:$A$5001,AA$3,BD!$B$3:$B$5001,$A$183)))</f>
        <v/>
      </c>
      <c r="AB188" s="196" t="str">
        <f>IF(AB$3="","",IF(COUNTIFS(BD!$A$3:$A$5001,AB$3,BD!$B$3:$B$5001,$A$183,BD!$H$3:$H$5001,"&lt;&gt;")=0,"",SUMIFS(BD!$H$3:$H$5001,BD!$A$3:$A$5001,AB$3,BD!$B$3:$B$5001,$A$183)))</f>
        <v/>
      </c>
      <c r="AC188" s="196" t="str">
        <f>IF(AC$3="","",IF(COUNTIFS(BD!$A$3:$A$5001,AC$3,BD!$B$3:$B$5001,$A$183,BD!$H$3:$H$5001,"&lt;&gt;")=0,"",SUMIFS(BD!$H$3:$H$5001,BD!$A$3:$A$5001,AC$3,BD!$B$3:$B$5001,$A$183)))</f>
        <v/>
      </c>
      <c r="AD188" s="196" t="str">
        <f>IF(AD$3="","",IF(COUNTIFS(BD!$A$3:$A$5001,AD$3,BD!$B$3:$B$5001,$A$183,BD!$H$3:$H$5001,"&lt;&gt;")=0,"",SUMIFS(BD!$H$3:$H$5001,BD!$A$3:$A$5001,AD$3,BD!$B$3:$B$5001,$A$183)))</f>
        <v/>
      </c>
      <c r="AE188" s="196" t="str">
        <f>IF(AE$3="","",IF(COUNTIFS(BD!$A$3:$A$5001,AE$3,BD!$B$3:$B$5001,$A$183,BD!$H$3:$H$5001,"&lt;&gt;")=0,"",SUMIFS(BD!$H$3:$H$5001,BD!$A$3:$A$5001,AE$3,BD!$B$3:$B$5001,$A$183)))</f>
        <v/>
      </c>
      <c r="AF188" s="196" t="str">
        <f>IF(AF$3="","",IF(COUNTIFS(BD!$A$3:$A$5001,AF$3,BD!$B$3:$B$5001,$A$183,BD!$H$3:$H$5001,"&lt;&gt;")=0,"",SUMIFS(BD!$H$3:$H$5001,BD!$A$3:$A$5001,AF$3,BD!$B$3:$B$5001,$A$183)))</f>
        <v/>
      </c>
      <c r="AG188" s="196" t="str">
        <f>IF(AG$3="","",IF(COUNTIFS(BD!$A$3:$A$5001,AG$3,BD!$B$3:$B$5001,$A$183,BD!$H$3:$H$5001,"&lt;&gt;")=0,"",SUMIFS(BD!$H$3:$H$5001,BD!$A$3:$A$5001,AG$3,BD!$B$3:$B$5001,$A$183)))</f>
        <v/>
      </c>
      <c r="AH188" s="196" t="str">
        <f>IF(AH$3="","",IF(COUNTIFS(BD!$A$3:$A$5001,AH$3,BD!$B$3:$B$5001,$A$183,BD!$H$3:$H$5001,"&lt;&gt;")=0,"",SUMIFS(BD!$H$3:$H$5001,BD!$A$3:$A$5001,AH$3,BD!$B$3:$B$5001,$A$183)))</f>
        <v/>
      </c>
      <c r="AI188" s="196" t="str">
        <f>IF(AI$3="","",IF(COUNTIFS(BD!$A$3:$A$5001,AI$3,BD!$B$3:$B$5001,$A$183,BD!$H$3:$H$5001,"&lt;&gt;")=0,"",SUMIFS(BD!$H$3:$H$5001,BD!$A$3:$A$5001,AI$3,BD!$B$3:$B$5001,$A$183)))</f>
        <v/>
      </c>
      <c r="AJ188" s="197" t="str">
        <f>IF(AJ$3="","",IF(COUNTIFS(BD!$A$3:$A$5001,AJ$3,BD!$B$3:$B$5001,$A$183,BD!$H$3:$H$5001,"&lt;&gt;")=0,"",SUMIFS(BD!$H$3:$H$5001,BD!$A$3:$A$5001,AJ$3,BD!$B$3:$B$5001,$A$183)))</f>
        <v/>
      </c>
      <c r="AK188" s="198" t="str">
        <f>IF(COUNT(F188:AJ188)=0,"",SUM(F188:AJ188))</f>
        <v/>
      </c>
    </row>
    <row r="189" ht="15.75" customHeight="1" hidden="1">
      <c r="A189" s="277"/>
      <c r="B189" s="268"/>
      <c r="C189" s="199" t="inlineStr">
        <is>
          <t xml:space="preserve">Pallets Movimentados</t>
        </is>
      </c>
      <c r="D189" s="200" t="str">
        <f>IFERROR(1/(1/INDEX(BD!$AF$29:$AZ$29,MATCH($A$183,BD!$AF$22:$AZ$22,0))),"")</f>
        <v/>
      </c>
      <c r="E189" s="201"/>
      <c r="F189" s="202" t="str">
        <f>IF(F$3="","",IF(COUNTIFS(BD!$A$3:$A$5001,F$3,BD!$B$3:$B$5001,$A$183,BD!$I$3:$I$5001,"&lt;&gt;")=0,"",SUMIFS(BD!$I$3:$I$5001,BD!$A$3:$A$5001,F$3,BD!$B$3:$B$5001,$A$183)))</f>
        <v/>
      </c>
      <c r="G189" s="203" t="str">
        <f>IF(G$3="","",IF(COUNTIFS(BD!$A$3:$A$5001,G$3,BD!$B$3:$B$5001,$A$183,BD!$I$3:$I$5001,"&lt;&gt;")=0,"",SUMIFS(BD!$I$3:$I$5001,BD!$A$3:$A$5001,G$3,BD!$B$3:$B$5001,$A$183)))</f>
        <v/>
      </c>
      <c r="H189" s="203" t="str">
        <f>IF(H$3="","",IF(COUNTIFS(BD!$A$3:$A$5001,H$3,BD!$B$3:$B$5001,$A$183,BD!$I$3:$I$5001,"&lt;&gt;")=0,"",SUMIFS(BD!$I$3:$I$5001,BD!$A$3:$A$5001,H$3,BD!$B$3:$B$5001,$A$183)))</f>
        <v/>
      </c>
      <c r="I189" s="203" t="str">
        <f>IF(I$3="","",IF(COUNTIFS(BD!$A$3:$A$5001,I$3,BD!$B$3:$B$5001,$A$183,BD!$I$3:$I$5001,"&lt;&gt;")=0,"",SUMIFS(BD!$I$3:$I$5001,BD!$A$3:$A$5001,I$3,BD!$B$3:$B$5001,$A$183)))</f>
        <v/>
      </c>
      <c r="J189" s="203" t="str">
        <f>IF(J$3="","",IF(COUNTIFS(BD!$A$3:$A$5001,J$3,BD!$B$3:$B$5001,$A$183,BD!$I$3:$I$5001,"&lt;&gt;")=0,"",SUMIFS(BD!$I$3:$I$5001,BD!$A$3:$A$5001,J$3,BD!$B$3:$B$5001,$A$183)))</f>
        <v/>
      </c>
      <c r="K189" s="203" t="str">
        <f>IF(K$3="","",IF(COUNTIFS(BD!$A$3:$A$5001,K$3,BD!$B$3:$B$5001,$A$183,BD!$I$3:$I$5001,"&lt;&gt;")=0,"",SUMIFS(BD!$I$3:$I$5001,BD!$A$3:$A$5001,K$3,BD!$B$3:$B$5001,$A$183)))</f>
        <v/>
      </c>
      <c r="L189" s="203" t="str">
        <f>IF(L$3="","",IF(COUNTIFS(BD!$A$3:$A$5001,L$3,BD!$B$3:$B$5001,$A$183,BD!$I$3:$I$5001,"&lt;&gt;")=0,"",SUMIFS(BD!$I$3:$I$5001,BD!$A$3:$A$5001,L$3,BD!$B$3:$B$5001,$A$183)))</f>
        <v/>
      </c>
      <c r="M189" s="203" t="str">
        <f>IF(M$3="","",IF(COUNTIFS(BD!$A$3:$A$5001,M$3,BD!$B$3:$B$5001,$A$183,BD!$I$3:$I$5001,"&lt;&gt;")=0,"",SUMIFS(BD!$I$3:$I$5001,BD!$A$3:$A$5001,M$3,BD!$B$3:$B$5001,$A$183)))</f>
        <v/>
      </c>
      <c r="N189" s="203" t="str">
        <f>IF(N$3="","",IF(COUNTIFS(BD!$A$3:$A$5001,N$3,BD!$B$3:$B$5001,$A$183,BD!$I$3:$I$5001,"&lt;&gt;")=0,"",SUMIFS(BD!$I$3:$I$5001,BD!$A$3:$A$5001,N$3,BD!$B$3:$B$5001,$A$183)))</f>
        <v/>
      </c>
      <c r="O189" s="203" t="str">
        <f>IF(O$3="","",IF(COUNTIFS(BD!$A$3:$A$5001,O$3,BD!$B$3:$B$5001,$A$183,BD!$I$3:$I$5001,"&lt;&gt;")=0,"",SUMIFS(BD!$I$3:$I$5001,BD!$A$3:$A$5001,O$3,BD!$B$3:$B$5001,$A$183)))</f>
        <v/>
      </c>
      <c r="P189" s="203" t="str">
        <f>IF(P$3="","",IF(COUNTIFS(BD!$A$3:$A$5001,P$3,BD!$B$3:$B$5001,$A$183,BD!$I$3:$I$5001,"&lt;&gt;")=0,"",SUMIFS(BD!$I$3:$I$5001,BD!$A$3:$A$5001,P$3,BD!$B$3:$B$5001,$A$183)))</f>
        <v/>
      </c>
      <c r="Q189" s="203" t="str">
        <f>IF(Q$3="","",IF(COUNTIFS(BD!$A$3:$A$5001,Q$3,BD!$B$3:$B$5001,$A$183,BD!$I$3:$I$5001,"&lt;&gt;")=0,"",SUMIFS(BD!$I$3:$I$5001,BD!$A$3:$A$5001,Q$3,BD!$B$3:$B$5001,$A$183)))</f>
        <v/>
      </c>
      <c r="R189" s="203" t="str">
        <f>IF(R$3="","",IF(COUNTIFS(BD!$A$3:$A$5001,R$3,BD!$B$3:$B$5001,$A$183,BD!$I$3:$I$5001,"&lt;&gt;")=0,"",SUMIFS(BD!$I$3:$I$5001,BD!$A$3:$A$5001,R$3,BD!$B$3:$B$5001,$A$183)))</f>
        <v/>
      </c>
      <c r="S189" s="203" t="str">
        <f>IF(S$3="","",IF(COUNTIFS(BD!$A$3:$A$5001,S$3,BD!$B$3:$B$5001,$A$183,BD!$I$3:$I$5001,"&lt;&gt;")=0,"",SUMIFS(BD!$I$3:$I$5001,BD!$A$3:$A$5001,S$3,BD!$B$3:$B$5001,$A$183)))</f>
        <v/>
      </c>
      <c r="T189" s="203" t="str">
        <f>IF(T$3="","",IF(COUNTIFS(BD!$A$3:$A$5001,T$3,BD!$B$3:$B$5001,$A$183,BD!$I$3:$I$5001,"&lt;&gt;")=0,"",SUMIFS(BD!$I$3:$I$5001,BD!$A$3:$A$5001,T$3,BD!$B$3:$B$5001,$A$183)))</f>
        <v/>
      </c>
      <c r="U189" s="203" t="str">
        <f>IF(U$3="","",IF(COUNTIFS(BD!$A$3:$A$5001,U$3,BD!$B$3:$B$5001,$A$183,BD!$I$3:$I$5001,"&lt;&gt;")=0,"",SUMIFS(BD!$I$3:$I$5001,BD!$A$3:$A$5001,U$3,BD!$B$3:$B$5001,$A$183)))</f>
        <v/>
      </c>
      <c r="V189" s="203" t="str">
        <f>IF(V$3="","",IF(COUNTIFS(BD!$A$3:$A$5001,V$3,BD!$B$3:$B$5001,$A$183,BD!$I$3:$I$5001,"&lt;&gt;")=0,"",SUMIFS(BD!$I$3:$I$5001,BD!$A$3:$A$5001,V$3,BD!$B$3:$B$5001,$A$183)))</f>
        <v/>
      </c>
      <c r="W189" s="203" t="str">
        <f>IF(W$3="","",IF(COUNTIFS(BD!$A$3:$A$5001,W$3,BD!$B$3:$B$5001,$A$183,BD!$I$3:$I$5001,"&lt;&gt;")=0,"",SUMIFS(BD!$I$3:$I$5001,BD!$A$3:$A$5001,W$3,BD!$B$3:$B$5001,$A$183)))</f>
        <v/>
      </c>
      <c r="X189" s="203" t="str">
        <f>IF(X$3="","",IF(COUNTIFS(BD!$A$3:$A$5001,X$3,BD!$B$3:$B$5001,$A$183,BD!$I$3:$I$5001,"&lt;&gt;")=0,"",SUMIFS(BD!$I$3:$I$5001,BD!$A$3:$A$5001,X$3,BD!$B$3:$B$5001,$A$183)))</f>
        <v/>
      </c>
      <c r="Y189" s="203" t="str">
        <f>IF(Y$3="","",IF(COUNTIFS(BD!$A$3:$A$5001,Y$3,BD!$B$3:$B$5001,$A$183,BD!$I$3:$I$5001,"&lt;&gt;")=0,"",SUMIFS(BD!$I$3:$I$5001,BD!$A$3:$A$5001,Y$3,BD!$B$3:$B$5001,$A$183)))</f>
        <v/>
      </c>
      <c r="Z189" s="203" t="str">
        <f>IF(Z$3="","",IF(COUNTIFS(BD!$A$3:$A$5001,Z$3,BD!$B$3:$B$5001,$A$183,BD!$I$3:$I$5001,"&lt;&gt;")=0,"",SUMIFS(BD!$I$3:$I$5001,BD!$A$3:$A$5001,Z$3,BD!$B$3:$B$5001,$A$183)))</f>
        <v/>
      </c>
      <c r="AA189" s="203" t="str">
        <f>IF(AA$3="","",IF(COUNTIFS(BD!$A$3:$A$5001,AA$3,BD!$B$3:$B$5001,$A$183,BD!$I$3:$I$5001,"&lt;&gt;")=0,"",SUMIFS(BD!$I$3:$I$5001,BD!$A$3:$A$5001,AA$3,BD!$B$3:$B$5001,$A$183)))</f>
        <v/>
      </c>
      <c r="AB189" s="203" t="str">
        <f>IF(AB$3="","",IF(COUNTIFS(BD!$A$3:$A$5001,AB$3,BD!$B$3:$B$5001,$A$183,BD!$I$3:$I$5001,"&lt;&gt;")=0,"",SUMIFS(BD!$I$3:$I$5001,BD!$A$3:$A$5001,AB$3,BD!$B$3:$B$5001,$A$183)))</f>
        <v/>
      </c>
      <c r="AC189" s="203" t="str">
        <f>IF(AC$3="","",IF(COUNTIFS(BD!$A$3:$A$5001,AC$3,BD!$B$3:$B$5001,$A$183,BD!$I$3:$I$5001,"&lt;&gt;")=0,"",SUMIFS(BD!$I$3:$I$5001,BD!$A$3:$A$5001,AC$3,BD!$B$3:$B$5001,$A$183)))</f>
        <v/>
      </c>
      <c r="AD189" s="203" t="str">
        <f>IF(AD$3="","",IF(COUNTIFS(BD!$A$3:$A$5001,AD$3,BD!$B$3:$B$5001,$A$183,BD!$I$3:$I$5001,"&lt;&gt;")=0,"",SUMIFS(BD!$I$3:$I$5001,BD!$A$3:$A$5001,AD$3,BD!$B$3:$B$5001,$A$183)))</f>
        <v/>
      </c>
      <c r="AE189" s="203" t="str">
        <f>IF(AE$3="","",IF(COUNTIFS(BD!$A$3:$A$5001,AE$3,BD!$B$3:$B$5001,$A$183,BD!$I$3:$I$5001,"&lt;&gt;")=0,"",SUMIFS(BD!$I$3:$I$5001,BD!$A$3:$A$5001,AE$3,BD!$B$3:$B$5001,$A$183)))</f>
        <v/>
      </c>
      <c r="AF189" s="203" t="str">
        <f>IF(AF$3="","",IF(COUNTIFS(BD!$A$3:$A$5001,AF$3,BD!$B$3:$B$5001,$A$183,BD!$I$3:$I$5001,"&lt;&gt;")=0,"",SUMIFS(BD!$I$3:$I$5001,BD!$A$3:$A$5001,AF$3,BD!$B$3:$B$5001,$A$183)))</f>
        <v/>
      </c>
      <c r="AG189" s="203" t="str">
        <f>IF(AG$3="","",IF(COUNTIFS(BD!$A$3:$A$5001,AG$3,BD!$B$3:$B$5001,$A$183,BD!$I$3:$I$5001,"&lt;&gt;")=0,"",SUMIFS(BD!$I$3:$I$5001,BD!$A$3:$A$5001,AG$3,BD!$B$3:$B$5001,$A$183)))</f>
        <v/>
      </c>
      <c r="AH189" s="203" t="str">
        <f>IF(AH$3="","",IF(COUNTIFS(BD!$A$3:$A$5001,AH$3,BD!$B$3:$B$5001,$A$183,BD!$I$3:$I$5001,"&lt;&gt;")=0,"",SUMIFS(BD!$I$3:$I$5001,BD!$A$3:$A$5001,AH$3,BD!$B$3:$B$5001,$A$183)))</f>
        <v/>
      </c>
      <c r="AI189" s="203" t="str">
        <f>IF(AI$3="","",IF(COUNTIFS(BD!$A$3:$A$5001,AI$3,BD!$B$3:$B$5001,$A$183,BD!$I$3:$I$5001,"&lt;&gt;")=0,"",SUMIFS(BD!$I$3:$I$5001,BD!$A$3:$A$5001,AI$3,BD!$B$3:$B$5001,$A$183)))</f>
        <v/>
      </c>
      <c r="AJ189" s="204" t="str">
        <f>IF(AJ$3="","",IF(COUNTIFS(BD!$A$3:$A$5001,AJ$3,BD!$B$3:$B$5001,$A$183,BD!$I$3:$I$5001,"&lt;&gt;")=0,"",SUMIFS(BD!$I$3:$I$5001,BD!$A$3:$A$5001,AJ$3,BD!$B$3:$B$5001,$A$183)))</f>
        <v/>
      </c>
      <c r="AK189" s="205" t="str">
        <f>IF(COUNT(F189:AJ189)=0,"",SUM(F189:AJ189))</f>
        <v/>
      </c>
    </row>
    <row r="190" ht="15.75" customHeight="1" hidden="1">
      <c r="A190" s="277"/>
      <c r="B190" s="268"/>
      <c r="C190" s="199" t="inlineStr">
        <is>
          <t xml:space="preserve">Toneladas Movimentadas</t>
        </is>
      </c>
      <c r="D190" s="200" t="str">
        <f>IFERROR(1/(1/INDEX(BD!$AF$30:$AZ$30,MATCH($A$183,BD!$AF$22:$AZ$22,0))),"")</f>
        <v/>
      </c>
      <c r="E190" s="201"/>
      <c r="F190" s="206" t="str">
        <f>IF(F$3="","",IF(COUNTIFS(BD!$A$3:$A$5001,F$3,BD!$B$3:$B$5001,$A$183,BD!$J$3:$J$5001,"&lt;&gt;")=0,"",SUMIFS(BD!$J$3:$J$5001,BD!$A$3:$A$5001,F$3,BD!$B$3:$B$5001,$A$183)))</f>
        <v/>
      </c>
      <c r="G190" s="207" t="str">
        <f>IF(G$3="","",IF(COUNTIFS(BD!$A$3:$A$5001,G$3,BD!$B$3:$B$5001,$A$183,BD!$J$3:$J$5001,"&lt;&gt;")=0,"",SUMIFS(BD!$J$3:$J$5001,BD!$A$3:$A$5001,G$3,BD!$B$3:$B$5001,$A$183)))</f>
        <v/>
      </c>
      <c r="H190" s="207" t="str">
        <f>IF(H$3="","",IF(COUNTIFS(BD!$A$3:$A$5001,H$3,BD!$B$3:$B$5001,$A$183,BD!$J$3:$J$5001,"&lt;&gt;")=0,"",SUMIFS(BD!$J$3:$J$5001,BD!$A$3:$A$5001,H$3,BD!$B$3:$B$5001,$A$183)))</f>
        <v/>
      </c>
      <c r="I190" s="207" t="str">
        <f>IF(I$3="","",IF(COUNTIFS(BD!$A$3:$A$5001,I$3,BD!$B$3:$B$5001,$A$183,BD!$J$3:$J$5001,"&lt;&gt;")=0,"",SUMIFS(BD!$J$3:$J$5001,BD!$A$3:$A$5001,I$3,BD!$B$3:$B$5001,$A$183)))</f>
        <v/>
      </c>
      <c r="J190" s="207" t="str">
        <f>IF(J$3="","",IF(COUNTIFS(BD!$A$3:$A$5001,J$3,BD!$B$3:$B$5001,$A$183,BD!$J$3:$J$5001,"&lt;&gt;")=0,"",SUMIFS(BD!$J$3:$J$5001,BD!$A$3:$A$5001,J$3,BD!$B$3:$B$5001,$A$183)))</f>
        <v/>
      </c>
      <c r="K190" s="207" t="str">
        <f>IF(K$3="","",IF(COUNTIFS(BD!$A$3:$A$5001,K$3,BD!$B$3:$B$5001,$A$183,BD!$J$3:$J$5001,"&lt;&gt;")=0,"",SUMIFS(BD!$J$3:$J$5001,BD!$A$3:$A$5001,K$3,BD!$B$3:$B$5001,$A$183)))</f>
        <v/>
      </c>
      <c r="L190" s="207" t="str">
        <f>IF(L$3="","",IF(COUNTIFS(BD!$A$3:$A$5001,L$3,BD!$B$3:$B$5001,$A$183,BD!$J$3:$J$5001,"&lt;&gt;")=0,"",SUMIFS(BD!$J$3:$J$5001,BD!$A$3:$A$5001,L$3,BD!$B$3:$B$5001,$A$183)))</f>
        <v/>
      </c>
      <c r="M190" s="207" t="str">
        <f>IF(M$3="","",IF(COUNTIFS(BD!$A$3:$A$5001,M$3,BD!$B$3:$B$5001,$A$183,BD!$J$3:$J$5001,"&lt;&gt;")=0,"",SUMIFS(BD!$J$3:$J$5001,BD!$A$3:$A$5001,M$3,BD!$B$3:$B$5001,$A$183)))</f>
        <v/>
      </c>
      <c r="N190" s="207" t="str">
        <f>IF(N$3="","",IF(COUNTIFS(BD!$A$3:$A$5001,N$3,BD!$B$3:$B$5001,$A$183,BD!$J$3:$J$5001,"&lt;&gt;")=0,"",SUMIFS(BD!$J$3:$J$5001,BD!$A$3:$A$5001,N$3,BD!$B$3:$B$5001,$A$183)))</f>
        <v/>
      </c>
      <c r="O190" s="207" t="str">
        <f>IF(O$3="","",IF(COUNTIFS(BD!$A$3:$A$5001,O$3,BD!$B$3:$B$5001,$A$183,BD!$J$3:$J$5001,"&lt;&gt;")=0,"",SUMIFS(BD!$J$3:$J$5001,BD!$A$3:$A$5001,O$3,BD!$B$3:$B$5001,$A$183)))</f>
        <v/>
      </c>
      <c r="P190" s="207" t="str">
        <f>IF(P$3="","",IF(COUNTIFS(BD!$A$3:$A$5001,P$3,BD!$B$3:$B$5001,$A$183,BD!$J$3:$J$5001,"&lt;&gt;")=0,"",SUMIFS(BD!$J$3:$J$5001,BD!$A$3:$A$5001,P$3,BD!$B$3:$B$5001,$A$183)))</f>
        <v/>
      </c>
      <c r="Q190" s="207" t="str">
        <f>IF(Q$3="","",IF(COUNTIFS(BD!$A$3:$A$5001,Q$3,BD!$B$3:$B$5001,$A$183,BD!$J$3:$J$5001,"&lt;&gt;")=0,"",SUMIFS(BD!$J$3:$J$5001,BD!$A$3:$A$5001,Q$3,BD!$B$3:$B$5001,$A$183)))</f>
        <v/>
      </c>
      <c r="R190" s="207" t="str">
        <f>IF(R$3="","",IF(COUNTIFS(BD!$A$3:$A$5001,R$3,BD!$B$3:$B$5001,$A$183,BD!$J$3:$J$5001,"&lt;&gt;")=0,"",SUMIFS(BD!$J$3:$J$5001,BD!$A$3:$A$5001,R$3,BD!$B$3:$B$5001,$A$183)))</f>
        <v/>
      </c>
      <c r="S190" s="207" t="str">
        <f>IF(S$3="","",IF(COUNTIFS(BD!$A$3:$A$5001,S$3,BD!$B$3:$B$5001,$A$183,BD!$J$3:$J$5001,"&lt;&gt;")=0,"",SUMIFS(BD!$J$3:$J$5001,BD!$A$3:$A$5001,S$3,BD!$B$3:$B$5001,$A$183)))</f>
        <v/>
      </c>
      <c r="T190" s="207" t="str">
        <f>IF(T$3="","",IF(COUNTIFS(BD!$A$3:$A$5001,T$3,BD!$B$3:$B$5001,$A$183,BD!$J$3:$J$5001,"&lt;&gt;")=0,"",SUMIFS(BD!$J$3:$J$5001,BD!$A$3:$A$5001,T$3,BD!$B$3:$B$5001,$A$183)))</f>
        <v/>
      </c>
      <c r="U190" s="207" t="str">
        <f>IF(U$3="","",IF(COUNTIFS(BD!$A$3:$A$5001,U$3,BD!$B$3:$B$5001,$A$183,BD!$J$3:$J$5001,"&lt;&gt;")=0,"",SUMIFS(BD!$J$3:$J$5001,BD!$A$3:$A$5001,U$3,BD!$B$3:$B$5001,$A$183)))</f>
        <v/>
      </c>
      <c r="V190" s="207" t="str">
        <f>IF(V$3="","",IF(COUNTIFS(BD!$A$3:$A$5001,V$3,BD!$B$3:$B$5001,$A$183,BD!$J$3:$J$5001,"&lt;&gt;")=0,"",SUMIFS(BD!$J$3:$J$5001,BD!$A$3:$A$5001,V$3,BD!$B$3:$B$5001,$A$183)))</f>
        <v/>
      </c>
      <c r="W190" s="207" t="str">
        <f>IF(W$3="","",IF(COUNTIFS(BD!$A$3:$A$5001,W$3,BD!$B$3:$B$5001,$A$183,BD!$J$3:$J$5001,"&lt;&gt;")=0,"",SUMIFS(BD!$J$3:$J$5001,BD!$A$3:$A$5001,W$3,BD!$B$3:$B$5001,$A$183)))</f>
        <v/>
      </c>
      <c r="X190" s="207" t="str">
        <f>IF(X$3="","",IF(COUNTIFS(BD!$A$3:$A$5001,X$3,BD!$B$3:$B$5001,$A$183,BD!$J$3:$J$5001,"&lt;&gt;")=0,"",SUMIFS(BD!$J$3:$J$5001,BD!$A$3:$A$5001,X$3,BD!$B$3:$B$5001,$A$183)))</f>
        <v/>
      </c>
      <c r="Y190" s="207" t="str">
        <f>IF(Y$3="","",IF(COUNTIFS(BD!$A$3:$A$5001,Y$3,BD!$B$3:$B$5001,$A$183,BD!$J$3:$J$5001,"&lt;&gt;")=0,"",SUMIFS(BD!$J$3:$J$5001,BD!$A$3:$A$5001,Y$3,BD!$B$3:$B$5001,$A$183)))</f>
        <v/>
      </c>
      <c r="Z190" s="207" t="str">
        <f>IF(Z$3="","",IF(COUNTIFS(BD!$A$3:$A$5001,Z$3,BD!$B$3:$B$5001,$A$183,BD!$J$3:$J$5001,"&lt;&gt;")=0,"",SUMIFS(BD!$J$3:$J$5001,BD!$A$3:$A$5001,Z$3,BD!$B$3:$B$5001,$A$183)))</f>
        <v/>
      </c>
      <c r="AA190" s="207" t="str">
        <f>IF(AA$3="","",IF(COUNTIFS(BD!$A$3:$A$5001,AA$3,BD!$B$3:$B$5001,$A$183,BD!$J$3:$J$5001,"&lt;&gt;")=0,"",SUMIFS(BD!$J$3:$J$5001,BD!$A$3:$A$5001,AA$3,BD!$B$3:$B$5001,$A$183)))</f>
        <v/>
      </c>
      <c r="AB190" s="207" t="str">
        <f>IF(AB$3="","",IF(COUNTIFS(BD!$A$3:$A$5001,AB$3,BD!$B$3:$B$5001,$A$183,BD!$J$3:$J$5001,"&lt;&gt;")=0,"",SUMIFS(BD!$J$3:$J$5001,BD!$A$3:$A$5001,AB$3,BD!$B$3:$B$5001,$A$183)))</f>
        <v/>
      </c>
      <c r="AC190" s="207" t="str">
        <f>IF(AC$3="","",IF(COUNTIFS(BD!$A$3:$A$5001,AC$3,BD!$B$3:$B$5001,$A$183,BD!$J$3:$J$5001,"&lt;&gt;")=0,"",SUMIFS(BD!$J$3:$J$5001,BD!$A$3:$A$5001,AC$3,BD!$B$3:$B$5001,$A$183)))</f>
        <v/>
      </c>
      <c r="AD190" s="207" t="str">
        <f>IF(AD$3="","",IF(COUNTIFS(BD!$A$3:$A$5001,AD$3,BD!$B$3:$B$5001,$A$183,BD!$J$3:$J$5001,"&lt;&gt;")=0,"",SUMIFS(BD!$J$3:$J$5001,BD!$A$3:$A$5001,AD$3,BD!$B$3:$B$5001,$A$183)))</f>
        <v/>
      </c>
      <c r="AE190" s="207" t="str">
        <f>IF(AE$3="","",IF(COUNTIFS(BD!$A$3:$A$5001,AE$3,BD!$B$3:$B$5001,$A$183,BD!$J$3:$J$5001,"&lt;&gt;")=0,"",SUMIFS(BD!$J$3:$J$5001,BD!$A$3:$A$5001,AE$3,BD!$B$3:$B$5001,$A$183)))</f>
        <v/>
      </c>
      <c r="AF190" s="207" t="str">
        <f>IF(AF$3="","",IF(COUNTIFS(BD!$A$3:$A$5001,AF$3,BD!$B$3:$B$5001,$A$183,BD!$J$3:$J$5001,"&lt;&gt;")=0,"",SUMIFS(BD!$J$3:$J$5001,BD!$A$3:$A$5001,AF$3,BD!$B$3:$B$5001,$A$183)))</f>
        <v/>
      </c>
      <c r="AG190" s="207" t="str">
        <f>IF(AG$3="","",IF(COUNTIFS(BD!$A$3:$A$5001,AG$3,BD!$B$3:$B$5001,$A$183,BD!$J$3:$J$5001,"&lt;&gt;")=0,"",SUMIFS(BD!$J$3:$J$5001,BD!$A$3:$A$5001,AG$3,BD!$B$3:$B$5001,$A$183)))</f>
        <v/>
      </c>
      <c r="AH190" s="207" t="str">
        <f>IF(AH$3="","",IF(COUNTIFS(BD!$A$3:$A$5001,AH$3,BD!$B$3:$B$5001,$A$183,BD!$J$3:$J$5001,"&lt;&gt;")=0,"",SUMIFS(BD!$J$3:$J$5001,BD!$A$3:$A$5001,AH$3,BD!$B$3:$B$5001,$A$183)))</f>
        <v/>
      </c>
      <c r="AI190" s="207" t="str">
        <f>IF(AI$3="","",IF(COUNTIFS(BD!$A$3:$A$5001,AI$3,BD!$B$3:$B$5001,$A$183,BD!$J$3:$J$5001,"&lt;&gt;")=0,"",SUMIFS(BD!$J$3:$J$5001,BD!$A$3:$A$5001,AI$3,BD!$B$3:$B$5001,$A$183)))</f>
        <v/>
      </c>
      <c r="AJ190" s="208" t="str">
        <f>IF(AJ$3="","",IF(COUNTIFS(BD!$A$3:$A$5001,AJ$3,BD!$B$3:$B$5001,$A$183,BD!$J$3:$J$5001,"&lt;&gt;")=0,"",SUMIFS(BD!$J$3:$J$5001,BD!$A$3:$A$5001,AJ$3,BD!$B$3:$B$5001,$A$183)))</f>
        <v/>
      </c>
      <c r="AK190" s="209" t="str">
        <f>IF(COUNT(F190:AJ190)=0,"",SUM(F190:AJ190))</f>
        <v/>
      </c>
    </row>
    <row r="191" ht="15.75" customHeight="1" hidden="1">
      <c r="A191" s="277"/>
      <c r="B191" s="268"/>
      <c r="C191" s="199" t="inlineStr">
        <is>
          <t xml:space="preserve">Caixas Expedidas</t>
        </is>
      </c>
      <c r="D191" s="200" t="str">
        <f>IFERROR(1/(1/INDEX(BD!$AF$31:$AZ$31,MATCH($A$183,BD!$AF$22:$AZ$22,0))),"")</f>
        <v/>
      </c>
      <c r="E191" s="201"/>
      <c r="F191" s="202" t="str">
        <f>IF(F$3="","",IF(COUNTIFS(BD!$A$3:$A$5001,F$3,BD!$B$3:$B$5001,$A$183,BD!$K$3:$K$5001,"&lt;&gt;")=0,"",SUMIFS(BD!$K$3:$K$5001,BD!$A$3:$A$5001,F$3,BD!$B$3:$B$5001,$A$183)))</f>
        <v/>
      </c>
      <c r="G191" s="203" t="str">
        <f>IF(G$3="","",IF(COUNTIFS(BD!$A$3:$A$5001,G$3,BD!$B$3:$B$5001,$A$183,BD!$K$3:$K$5001,"&lt;&gt;")=0,"",SUMIFS(BD!$K$3:$K$5001,BD!$A$3:$A$5001,G$3,BD!$B$3:$B$5001,$A$183)))</f>
        <v/>
      </c>
      <c r="H191" s="203" t="str">
        <f>IF(H$3="","",IF(COUNTIFS(BD!$A$3:$A$5001,H$3,BD!$B$3:$B$5001,$A$183,BD!$K$3:$K$5001,"&lt;&gt;")=0,"",SUMIFS(BD!$K$3:$K$5001,BD!$A$3:$A$5001,H$3,BD!$B$3:$B$5001,$A$183)))</f>
        <v/>
      </c>
      <c r="I191" s="203" t="str">
        <f>IF(I$3="","",IF(COUNTIFS(BD!$A$3:$A$5001,I$3,BD!$B$3:$B$5001,$A$183,BD!$K$3:$K$5001,"&lt;&gt;")=0,"",SUMIFS(BD!$K$3:$K$5001,BD!$A$3:$A$5001,I$3,BD!$B$3:$B$5001,$A$183)))</f>
        <v/>
      </c>
      <c r="J191" s="203" t="str">
        <f>IF(J$3="","",IF(COUNTIFS(BD!$A$3:$A$5001,J$3,BD!$B$3:$B$5001,$A$183,BD!$K$3:$K$5001,"&lt;&gt;")=0,"",SUMIFS(BD!$K$3:$K$5001,BD!$A$3:$A$5001,J$3,BD!$B$3:$B$5001,$A$183)))</f>
        <v/>
      </c>
      <c r="K191" s="203" t="str">
        <f>IF(K$3="","",IF(COUNTIFS(BD!$A$3:$A$5001,K$3,BD!$B$3:$B$5001,$A$183,BD!$K$3:$K$5001,"&lt;&gt;")=0,"",SUMIFS(BD!$K$3:$K$5001,BD!$A$3:$A$5001,K$3,BD!$B$3:$B$5001,$A$183)))</f>
        <v/>
      </c>
      <c r="L191" s="203" t="str">
        <f>IF(L$3="","",IF(COUNTIFS(BD!$A$3:$A$5001,L$3,BD!$B$3:$B$5001,$A$183,BD!$K$3:$K$5001,"&lt;&gt;")=0,"",SUMIFS(BD!$K$3:$K$5001,BD!$A$3:$A$5001,L$3,BD!$B$3:$B$5001,$A$183)))</f>
        <v/>
      </c>
      <c r="M191" s="203" t="str">
        <f>IF(M$3="","",IF(COUNTIFS(BD!$A$3:$A$5001,M$3,BD!$B$3:$B$5001,$A$183,BD!$K$3:$K$5001,"&lt;&gt;")=0,"",SUMIFS(BD!$K$3:$K$5001,BD!$A$3:$A$5001,M$3,BD!$B$3:$B$5001,$A$183)))</f>
        <v/>
      </c>
      <c r="N191" s="203" t="str">
        <f>IF(N$3="","",IF(COUNTIFS(BD!$A$3:$A$5001,N$3,BD!$B$3:$B$5001,$A$183,BD!$K$3:$K$5001,"&lt;&gt;")=0,"",SUMIFS(BD!$K$3:$K$5001,BD!$A$3:$A$5001,N$3,BD!$B$3:$B$5001,$A$183)))</f>
        <v/>
      </c>
      <c r="O191" s="203" t="str">
        <f>IF(O$3="","",IF(COUNTIFS(BD!$A$3:$A$5001,O$3,BD!$B$3:$B$5001,$A$183,BD!$K$3:$K$5001,"&lt;&gt;")=0,"",SUMIFS(BD!$K$3:$K$5001,BD!$A$3:$A$5001,O$3,BD!$B$3:$B$5001,$A$183)))</f>
        <v/>
      </c>
      <c r="P191" s="203" t="str">
        <f>IF(P$3="","",IF(COUNTIFS(BD!$A$3:$A$5001,P$3,BD!$B$3:$B$5001,$A$183,BD!$K$3:$K$5001,"&lt;&gt;")=0,"",SUMIFS(BD!$K$3:$K$5001,BD!$A$3:$A$5001,P$3,BD!$B$3:$B$5001,$A$183)))</f>
        <v/>
      </c>
      <c r="Q191" s="203" t="str">
        <f>IF(Q$3="","",IF(COUNTIFS(BD!$A$3:$A$5001,Q$3,BD!$B$3:$B$5001,$A$183,BD!$K$3:$K$5001,"&lt;&gt;")=0,"",SUMIFS(BD!$K$3:$K$5001,BD!$A$3:$A$5001,Q$3,BD!$B$3:$B$5001,$A$183)))</f>
        <v/>
      </c>
      <c r="R191" s="203" t="str">
        <f>IF(R$3="","",IF(COUNTIFS(BD!$A$3:$A$5001,R$3,BD!$B$3:$B$5001,$A$183,BD!$K$3:$K$5001,"&lt;&gt;")=0,"",SUMIFS(BD!$K$3:$K$5001,BD!$A$3:$A$5001,R$3,BD!$B$3:$B$5001,$A$183)))</f>
        <v/>
      </c>
      <c r="S191" s="203" t="str">
        <f>IF(S$3="","",IF(COUNTIFS(BD!$A$3:$A$5001,S$3,BD!$B$3:$B$5001,$A$183,BD!$K$3:$K$5001,"&lt;&gt;")=0,"",SUMIFS(BD!$K$3:$K$5001,BD!$A$3:$A$5001,S$3,BD!$B$3:$B$5001,$A$183)))</f>
        <v/>
      </c>
      <c r="T191" s="203" t="str">
        <f>IF(T$3="","",IF(COUNTIFS(BD!$A$3:$A$5001,T$3,BD!$B$3:$B$5001,$A$183,BD!$K$3:$K$5001,"&lt;&gt;")=0,"",SUMIFS(BD!$K$3:$K$5001,BD!$A$3:$A$5001,T$3,BD!$B$3:$B$5001,$A$183)))</f>
        <v/>
      </c>
      <c r="U191" s="203" t="str">
        <f>IF(U$3="","",IF(COUNTIFS(BD!$A$3:$A$5001,U$3,BD!$B$3:$B$5001,$A$183,BD!$K$3:$K$5001,"&lt;&gt;")=0,"",SUMIFS(BD!$K$3:$K$5001,BD!$A$3:$A$5001,U$3,BD!$B$3:$B$5001,$A$183)))</f>
        <v/>
      </c>
      <c r="V191" s="203" t="str">
        <f>IF(V$3="","",IF(COUNTIFS(BD!$A$3:$A$5001,V$3,BD!$B$3:$B$5001,$A$183,BD!$K$3:$K$5001,"&lt;&gt;")=0,"",SUMIFS(BD!$K$3:$K$5001,BD!$A$3:$A$5001,V$3,BD!$B$3:$B$5001,$A$183)))</f>
        <v/>
      </c>
      <c r="W191" s="203" t="str">
        <f>IF(W$3="","",IF(COUNTIFS(BD!$A$3:$A$5001,W$3,BD!$B$3:$B$5001,$A$183,BD!$K$3:$K$5001,"&lt;&gt;")=0,"",SUMIFS(BD!$K$3:$K$5001,BD!$A$3:$A$5001,W$3,BD!$B$3:$B$5001,$A$183)))</f>
        <v/>
      </c>
      <c r="X191" s="203" t="str">
        <f>IF(X$3="","",IF(COUNTIFS(BD!$A$3:$A$5001,X$3,BD!$B$3:$B$5001,$A$183,BD!$K$3:$K$5001,"&lt;&gt;")=0,"",SUMIFS(BD!$K$3:$K$5001,BD!$A$3:$A$5001,X$3,BD!$B$3:$B$5001,$A$183)))</f>
        <v/>
      </c>
      <c r="Y191" s="203" t="str">
        <f>IF(Y$3="","",IF(COUNTIFS(BD!$A$3:$A$5001,Y$3,BD!$B$3:$B$5001,$A$183,BD!$K$3:$K$5001,"&lt;&gt;")=0,"",SUMIFS(BD!$K$3:$K$5001,BD!$A$3:$A$5001,Y$3,BD!$B$3:$B$5001,$A$183)))</f>
        <v/>
      </c>
      <c r="Z191" s="203" t="str">
        <f>IF(Z$3="","",IF(COUNTIFS(BD!$A$3:$A$5001,Z$3,BD!$B$3:$B$5001,$A$183,BD!$K$3:$K$5001,"&lt;&gt;")=0,"",SUMIFS(BD!$K$3:$K$5001,BD!$A$3:$A$5001,Z$3,BD!$B$3:$B$5001,$A$183)))</f>
        <v/>
      </c>
      <c r="AA191" s="203" t="str">
        <f>IF(AA$3="","",IF(COUNTIFS(BD!$A$3:$A$5001,AA$3,BD!$B$3:$B$5001,$A$183,BD!$K$3:$K$5001,"&lt;&gt;")=0,"",SUMIFS(BD!$K$3:$K$5001,BD!$A$3:$A$5001,AA$3,BD!$B$3:$B$5001,$A$183)))</f>
        <v/>
      </c>
      <c r="AB191" s="203" t="str">
        <f>IF(AB$3="","",IF(COUNTIFS(BD!$A$3:$A$5001,AB$3,BD!$B$3:$B$5001,$A$183,BD!$K$3:$K$5001,"&lt;&gt;")=0,"",SUMIFS(BD!$K$3:$K$5001,BD!$A$3:$A$5001,AB$3,BD!$B$3:$B$5001,$A$183)))</f>
        <v/>
      </c>
      <c r="AC191" s="203" t="str">
        <f>IF(AC$3="","",IF(COUNTIFS(BD!$A$3:$A$5001,AC$3,BD!$B$3:$B$5001,$A$183,BD!$K$3:$K$5001,"&lt;&gt;")=0,"",SUMIFS(BD!$K$3:$K$5001,BD!$A$3:$A$5001,AC$3,BD!$B$3:$B$5001,$A$183)))</f>
        <v/>
      </c>
      <c r="AD191" s="203" t="str">
        <f>IF(AD$3="","",IF(COUNTIFS(BD!$A$3:$A$5001,AD$3,BD!$B$3:$B$5001,$A$183,BD!$K$3:$K$5001,"&lt;&gt;")=0,"",SUMIFS(BD!$K$3:$K$5001,BD!$A$3:$A$5001,AD$3,BD!$B$3:$B$5001,$A$183)))</f>
        <v/>
      </c>
      <c r="AE191" s="203" t="str">
        <f>IF(AE$3="","",IF(COUNTIFS(BD!$A$3:$A$5001,AE$3,BD!$B$3:$B$5001,$A$183,BD!$K$3:$K$5001,"&lt;&gt;")=0,"",SUMIFS(BD!$K$3:$K$5001,BD!$A$3:$A$5001,AE$3,BD!$B$3:$B$5001,$A$183)))</f>
        <v/>
      </c>
      <c r="AF191" s="203" t="str">
        <f>IF(AF$3="","",IF(COUNTIFS(BD!$A$3:$A$5001,AF$3,BD!$B$3:$B$5001,$A$183,BD!$K$3:$K$5001,"&lt;&gt;")=0,"",SUMIFS(BD!$K$3:$K$5001,BD!$A$3:$A$5001,AF$3,BD!$B$3:$B$5001,$A$183)))</f>
        <v/>
      </c>
      <c r="AG191" s="203" t="str">
        <f>IF(AG$3="","",IF(COUNTIFS(BD!$A$3:$A$5001,AG$3,BD!$B$3:$B$5001,$A$183,BD!$K$3:$K$5001,"&lt;&gt;")=0,"",SUMIFS(BD!$K$3:$K$5001,BD!$A$3:$A$5001,AG$3,BD!$B$3:$B$5001,$A$183)))</f>
        <v/>
      </c>
      <c r="AH191" s="203" t="str">
        <f>IF(AH$3="","",IF(COUNTIFS(BD!$A$3:$A$5001,AH$3,BD!$B$3:$B$5001,$A$183,BD!$K$3:$K$5001,"&lt;&gt;")=0,"",SUMIFS(BD!$K$3:$K$5001,BD!$A$3:$A$5001,AH$3,BD!$B$3:$B$5001,$A$183)))</f>
        <v/>
      </c>
      <c r="AI191" s="203" t="str">
        <f>IF(AI$3="","",IF(COUNTIFS(BD!$A$3:$A$5001,AI$3,BD!$B$3:$B$5001,$A$183,BD!$K$3:$K$5001,"&lt;&gt;")=0,"",SUMIFS(BD!$K$3:$K$5001,BD!$A$3:$A$5001,AI$3,BD!$B$3:$B$5001,$A$183)))</f>
        <v/>
      </c>
      <c r="AJ191" s="204" t="str">
        <f>IF(AJ$3="","",IF(COUNTIFS(BD!$A$3:$A$5001,AJ$3,BD!$B$3:$B$5001,$A$183,BD!$K$3:$K$5001,"&lt;&gt;")=0,"",SUMIFS(BD!$K$3:$K$5001,BD!$A$3:$A$5001,AJ$3,BD!$B$3:$B$5001,$A$183)))</f>
        <v/>
      </c>
      <c r="AK191" s="205" t="str">
        <f>IF(COUNT(F191:AJ191)=0,"",SUM(F191:AJ191))</f>
        <v/>
      </c>
    </row>
    <row r="192" ht="15.75" customHeight="1" hidden="1">
      <c r="A192" s="277"/>
      <c r="B192" s="268"/>
      <c r="C192" s="199" t="inlineStr">
        <is>
          <t xml:space="preserve">Pedidos Faturados</t>
        </is>
      </c>
      <c r="D192" s="200" t="str">
        <f>IFERROR(1/(1/INDEX(BD!$AF$32:$AZ$32,MATCH($A$183,BD!$AF$22:$AZ$22,0))),"")</f>
        <v/>
      </c>
      <c r="E192" s="201"/>
      <c r="F192" s="202" t="str">
        <f>IF(F$3="","",IF(COUNTIFS(BD!$A$3:$A$5001,F$3,BD!$B$3:$B$5001,$A$183,BD!$L$3:$L$5001,"&lt;&gt;")=0,"",SUMIFS(BD!$L$3:$L$5001,BD!$A$3:$A$5001,F$3,BD!$B$3:$B$5001,$A$183)))</f>
        <v/>
      </c>
      <c r="G192" s="203" t="str">
        <f>IF(G$3="","",IF(COUNTIFS(BD!$A$3:$A$5001,G$3,BD!$B$3:$B$5001,$A$183,BD!$L$3:$L$5001,"&lt;&gt;")=0,"",SUMIFS(BD!$L$3:$L$5001,BD!$A$3:$A$5001,G$3,BD!$B$3:$B$5001,$A$183)))</f>
        <v/>
      </c>
      <c r="H192" s="203" t="str">
        <f>IF(H$3="","",IF(COUNTIFS(BD!$A$3:$A$5001,H$3,BD!$B$3:$B$5001,$A$183,BD!$L$3:$L$5001,"&lt;&gt;")=0,"",SUMIFS(BD!$L$3:$L$5001,BD!$A$3:$A$5001,H$3,BD!$B$3:$B$5001,$A$183)))</f>
        <v/>
      </c>
      <c r="I192" s="203" t="str">
        <f>IF(I$3="","",IF(COUNTIFS(BD!$A$3:$A$5001,I$3,BD!$B$3:$B$5001,$A$183,BD!$L$3:$L$5001,"&lt;&gt;")=0,"",SUMIFS(BD!$L$3:$L$5001,BD!$A$3:$A$5001,I$3,BD!$B$3:$B$5001,$A$183)))</f>
        <v/>
      </c>
      <c r="J192" s="203" t="str">
        <f>IF(J$3="","",IF(COUNTIFS(BD!$A$3:$A$5001,J$3,BD!$B$3:$B$5001,$A$183,BD!$L$3:$L$5001,"&lt;&gt;")=0,"",SUMIFS(BD!$L$3:$L$5001,BD!$A$3:$A$5001,J$3,BD!$B$3:$B$5001,$A$183)))</f>
        <v/>
      </c>
      <c r="K192" s="203" t="str">
        <f>IF(K$3="","",IF(COUNTIFS(BD!$A$3:$A$5001,K$3,BD!$B$3:$B$5001,$A$183,BD!$L$3:$L$5001,"&lt;&gt;")=0,"",SUMIFS(BD!$L$3:$L$5001,BD!$A$3:$A$5001,K$3,BD!$B$3:$B$5001,$A$183)))</f>
        <v/>
      </c>
      <c r="L192" s="203" t="str">
        <f>IF(L$3="","",IF(COUNTIFS(BD!$A$3:$A$5001,L$3,BD!$B$3:$B$5001,$A$183,BD!$L$3:$L$5001,"&lt;&gt;")=0,"",SUMIFS(BD!$L$3:$L$5001,BD!$A$3:$A$5001,L$3,BD!$B$3:$B$5001,$A$183)))</f>
        <v/>
      </c>
      <c r="M192" s="203" t="str">
        <f>IF(M$3="","",IF(COUNTIFS(BD!$A$3:$A$5001,M$3,BD!$B$3:$B$5001,$A$183,BD!$L$3:$L$5001,"&lt;&gt;")=0,"",SUMIFS(BD!$L$3:$L$5001,BD!$A$3:$A$5001,M$3,BD!$B$3:$B$5001,$A$183)))</f>
        <v/>
      </c>
      <c r="N192" s="203" t="str">
        <f>IF(N$3="","",IF(COUNTIFS(BD!$A$3:$A$5001,N$3,BD!$B$3:$B$5001,$A$183,BD!$L$3:$L$5001,"&lt;&gt;")=0,"",SUMIFS(BD!$L$3:$L$5001,BD!$A$3:$A$5001,N$3,BD!$B$3:$B$5001,$A$183)))</f>
        <v/>
      </c>
      <c r="O192" s="203" t="str">
        <f>IF(O$3="","",IF(COUNTIFS(BD!$A$3:$A$5001,O$3,BD!$B$3:$B$5001,$A$183,BD!$L$3:$L$5001,"&lt;&gt;")=0,"",SUMIFS(BD!$L$3:$L$5001,BD!$A$3:$A$5001,O$3,BD!$B$3:$B$5001,$A$183)))</f>
        <v/>
      </c>
      <c r="P192" s="203" t="str">
        <f>IF(P$3="","",IF(COUNTIFS(BD!$A$3:$A$5001,P$3,BD!$B$3:$B$5001,$A$183,BD!$L$3:$L$5001,"&lt;&gt;")=0,"",SUMIFS(BD!$L$3:$L$5001,BD!$A$3:$A$5001,P$3,BD!$B$3:$B$5001,$A$183)))</f>
        <v/>
      </c>
      <c r="Q192" s="203" t="str">
        <f>IF(Q$3="","",IF(COUNTIFS(BD!$A$3:$A$5001,Q$3,BD!$B$3:$B$5001,$A$183,BD!$L$3:$L$5001,"&lt;&gt;")=0,"",SUMIFS(BD!$L$3:$L$5001,BD!$A$3:$A$5001,Q$3,BD!$B$3:$B$5001,$A$183)))</f>
        <v/>
      </c>
      <c r="R192" s="203" t="str">
        <f>IF(R$3="","",IF(COUNTIFS(BD!$A$3:$A$5001,R$3,BD!$B$3:$B$5001,$A$183,BD!$L$3:$L$5001,"&lt;&gt;")=0,"",SUMIFS(BD!$L$3:$L$5001,BD!$A$3:$A$5001,R$3,BD!$B$3:$B$5001,$A$183)))</f>
        <v/>
      </c>
      <c r="S192" s="203" t="str">
        <f>IF(S$3="","",IF(COUNTIFS(BD!$A$3:$A$5001,S$3,BD!$B$3:$B$5001,$A$183,BD!$L$3:$L$5001,"&lt;&gt;")=0,"",SUMIFS(BD!$L$3:$L$5001,BD!$A$3:$A$5001,S$3,BD!$B$3:$B$5001,$A$183)))</f>
        <v/>
      </c>
      <c r="T192" s="203" t="str">
        <f>IF(T$3="","",IF(COUNTIFS(BD!$A$3:$A$5001,T$3,BD!$B$3:$B$5001,$A$183,BD!$L$3:$L$5001,"&lt;&gt;")=0,"",SUMIFS(BD!$L$3:$L$5001,BD!$A$3:$A$5001,T$3,BD!$B$3:$B$5001,$A$183)))</f>
        <v/>
      </c>
      <c r="U192" s="203" t="str">
        <f>IF(U$3="","",IF(COUNTIFS(BD!$A$3:$A$5001,U$3,BD!$B$3:$B$5001,$A$183,BD!$L$3:$L$5001,"&lt;&gt;")=0,"",SUMIFS(BD!$L$3:$L$5001,BD!$A$3:$A$5001,U$3,BD!$B$3:$B$5001,$A$183)))</f>
        <v/>
      </c>
      <c r="V192" s="203" t="str">
        <f>IF(V$3="","",IF(COUNTIFS(BD!$A$3:$A$5001,V$3,BD!$B$3:$B$5001,$A$183,BD!$L$3:$L$5001,"&lt;&gt;")=0,"",SUMIFS(BD!$L$3:$L$5001,BD!$A$3:$A$5001,V$3,BD!$B$3:$B$5001,$A$183)))</f>
        <v/>
      </c>
      <c r="W192" s="203" t="str">
        <f>IF(W$3="","",IF(COUNTIFS(BD!$A$3:$A$5001,W$3,BD!$B$3:$B$5001,$A$183,BD!$L$3:$L$5001,"&lt;&gt;")=0,"",SUMIFS(BD!$L$3:$L$5001,BD!$A$3:$A$5001,W$3,BD!$B$3:$B$5001,$A$183)))</f>
        <v/>
      </c>
      <c r="X192" s="203" t="str">
        <f>IF(X$3="","",IF(COUNTIFS(BD!$A$3:$A$5001,X$3,BD!$B$3:$B$5001,$A$183,BD!$L$3:$L$5001,"&lt;&gt;")=0,"",SUMIFS(BD!$L$3:$L$5001,BD!$A$3:$A$5001,X$3,BD!$B$3:$B$5001,$A$183)))</f>
        <v/>
      </c>
      <c r="Y192" s="203" t="str">
        <f>IF(Y$3="","",IF(COUNTIFS(BD!$A$3:$A$5001,Y$3,BD!$B$3:$B$5001,$A$183,BD!$L$3:$L$5001,"&lt;&gt;")=0,"",SUMIFS(BD!$L$3:$L$5001,BD!$A$3:$A$5001,Y$3,BD!$B$3:$B$5001,$A$183)))</f>
        <v/>
      </c>
      <c r="Z192" s="203" t="str">
        <f>IF(Z$3="","",IF(COUNTIFS(BD!$A$3:$A$5001,Z$3,BD!$B$3:$B$5001,$A$183,BD!$L$3:$L$5001,"&lt;&gt;")=0,"",SUMIFS(BD!$L$3:$L$5001,BD!$A$3:$A$5001,Z$3,BD!$B$3:$B$5001,$A$183)))</f>
        <v/>
      </c>
      <c r="AA192" s="203" t="str">
        <f>IF(AA$3="","",IF(COUNTIFS(BD!$A$3:$A$5001,AA$3,BD!$B$3:$B$5001,$A$183,BD!$L$3:$L$5001,"&lt;&gt;")=0,"",SUMIFS(BD!$L$3:$L$5001,BD!$A$3:$A$5001,AA$3,BD!$B$3:$B$5001,$A$183)))</f>
        <v/>
      </c>
      <c r="AB192" s="203" t="str">
        <f>IF(AB$3="","",IF(COUNTIFS(BD!$A$3:$A$5001,AB$3,BD!$B$3:$B$5001,$A$183,BD!$L$3:$L$5001,"&lt;&gt;")=0,"",SUMIFS(BD!$L$3:$L$5001,BD!$A$3:$A$5001,AB$3,BD!$B$3:$B$5001,$A$183)))</f>
        <v/>
      </c>
      <c r="AC192" s="203" t="str">
        <f>IF(AC$3="","",IF(COUNTIFS(BD!$A$3:$A$5001,AC$3,BD!$B$3:$B$5001,$A$183,BD!$L$3:$L$5001,"&lt;&gt;")=0,"",SUMIFS(BD!$L$3:$L$5001,BD!$A$3:$A$5001,AC$3,BD!$B$3:$B$5001,$A$183)))</f>
        <v/>
      </c>
      <c r="AD192" s="203" t="str">
        <f>IF(AD$3="","",IF(COUNTIFS(BD!$A$3:$A$5001,AD$3,BD!$B$3:$B$5001,$A$183,BD!$L$3:$L$5001,"&lt;&gt;")=0,"",SUMIFS(BD!$L$3:$L$5001,BD!$A$3:$A$5001,AD$3,BD!$B$3:$B$5001,$A$183)))</f>
        <v/>
      </c>
      <c r="AE192" s="203" t="str">
        <f>IF(AE$3="","",IF(COUNTIFS(BD!$A$3:$A$5001,AE$3,BD!$B$3:$B$5001,$A$183,BD!$L$3:$L$5001,"&lt;&gt;")=0,"",SUMIFS(BD!$L$3:$L$5001,BD!$A$3:$A$5001,AE$3,BD!$B$3:$B$5001,$A$183)))</f>
        <v/>
      </c>
      <c r="AF192" s="203" t="str">
        <f>IF(AF$3="","",IF(COUNTIFS(BD!$A$3:$A$5001,AF$3,BD!$B$3:$B$5001,$A$183,BD!$L$3:$L$5001,"&lt;&gt;")=0,"",SUMIFS(BD!$L$3:$L$5001,BD!$A$3:$A$5001,AF$3,BD!$B$3:$B$5001,$A$183)))</f>
        <v/>
      </c>
      <c r="AG192" s="203" t="str">
        <f>IF(AG$3="","",IF(COUNTIFS(BD!$A$3:$A$5001,AG$3,BD!$B$3:$B$5001,$A$183,BD!$L$3:$L$5001,"&lt;&gt;")=0,"",SUMIFS(BD!$L$3:$L$5001,BD!$A$3:$A$5001,AG$3,BD!$B$3:$B$5001,$A$183)))</f>
        <v/>
      </c>
      <c r="AH192" s="203" t="str">
        <f>IF(AH$3="","",IF(COUNTIFS(BD!$A$3:$A$5001,AH$3,BD!$B$3:$B$5001,$A$183,BD!$L$3:$L$5001,"&lt;&gt;")=0,"",SUMIFS(BD!$L$3:$L$5001,BD!$A$3:$A$5001,AH$3,BD!$B$3:$B$5001,$A$183)))</f>
        <v/>
      </c>
      <c r="AI192" s="203" t="str">
        <f>IF(AI$3="","",IF(COUNTIFS(BD!$A$3:$A$5001,AI$3,BD!$B$3:$B$5001,$A$183,BD!$L$3:$L$5001,"&lt;&gt;")=0,"",SUMIFS(BD!$L$3:$L$5001,BD!$A$3:$A$5001,AI$3,BD!$B$3:$B$5001,$A$183)))</f>
        <v/>
      </c>
      <c r="AJ192" s="204" t="str">
        <f>IF(AJ$3="","",IF(COUNTIFS(BD!$A$3:$A$5001,AJ$3,BD!$B$3:$B$5001,$A$183,BD!$L$3:$L$5001,"&lt;&gt;")=0,"",SUMIFS(BD!$L$3:$L$5001,BD!$A$3:$A$5001,AJ$3,BD!$B$3:$B$5001,$A$183)))</f>
        <v/>
      </c>
      <c r="AK192" s="205" t="str">
        <f>IF(COUNT(F192:AJ192)=0,"",SUM(F192:AJ192))</f>
        <v/>
      </c>
    </row>
    <row r="193" ht="15.75" customHeight="1" hidden="1">
      <c r="A193" s="277"/>
      <c r="B193" s="269"/>
      <c r="C193" s="210" t="inlineStr">
        <is>
          <t xml:space="preserve">Bags Expedidos</t>
        </is>
      </c>
      <c r="D193" s="211" t="str">
        <f>IFERROR(1/(1/INDEX(BD!$AF$33:$AZ$33,MATCH($A$183,BD!$AF$22:$AZ$22,0))),"")</f>
        <v/>
      </c>
      <c r="E193" s="212"/>
      <c r="F193" s="213" t="str">
        <f>IF(F$3="","",IF(COUNTIFS(BD!$A$3:$A$5001,F$3,BD!$B$3:$B$5001,$A$183,BD!$M$3:$M$5001,"&lt;&gt;")=0,"",SUMIFS(BD!$M$3:$M$5001,BD!$A$3:$A$5001,F$3,BD!$B$3:$B$5001,$A$183)))</f>
        <v/>
      </c>
      <c r="G193" s="214" t="str">
        <f>IF(G$3="","",IF(COUNTIFS(BD!$A$3:$A$5001,G$3,BD!$B$3:$B$5001,$A$183,BD!$M$3:$M$5001,"&lt;&gt;")=0,"",SUMIFS(BD!$M$3:$M$5001,BD!$A$3:$A$5001,G$3,BD!$B$3:$B$5001,$A$183)))</f>
        <v/>
      </c>
      <c r="H193" s="214" t="str">
        <f>IF(H$3="","",IF(COUNTIFS(BD!$A$3:$A$5001,H$3,BD!$B$3:$B$5001,$A$183,BD!$M$3:$M$5001,"&lt;&gt;")=0,"",SUMIFS(BD!$M$3:$M$5001,BD!$A$3:$A$5001,H$3,BD!$B$3:$B$5001,$A$183)))</f>
        <v/>
      </c>
      <c r="I193" s="214" t="str">
        <f>IF(I$3="","",IF(COUNTIFS(BD!$A$3:$A$5001,I$3,BD!$B$3:$B$5001,$A$183,BD!$M$3:$M$5001,"&lt;&gt;")=0,"",SUMIFS(BD!$M$3:$M$5001,BD!$A$3:$A$5001,I$3,BD!$B$3:$B$5001,$A$183)))</f>
        <v/>
      </c>
      <c r="J193" s="214" t="str">
        <f>IF(J$3="","",IF(COUNTIFS(BD!$A$3:$A$5001,J$3,BD!$B$3:$B$5001,$A$183,BD!$M$3:$M$5001,"&lt;&gt;")=0,"",SUMIFS(BD!$M$3:$M$5001,BD!$A$3:$A$5001,J$3,BD!$B$3:$B$5001,$A$183)))</f>
        <v/>
      </c>
      <c r="K193" s="214" t="str">
        <f>IF(K$3="","",IF(COUNTIFS(BD!$A$3:$A$5001,K$3,BD!$B$3:$B$5001,$A$183,BD!$M$3:$M$5001,"&lt;&gt;")=0,"",SUMIFS(BD!$M$3:$M$5001,BD!$A$3:$A$5001,K$3,BD!$B$3:$B$5001,$A$183)))</f>
        <v/>
      </c>
      <c r="L193" s="214" t="str">
        <f>IF(L$3="","",IF(COUNTIFS(BD!$A$3:$A$5001,L$3,BD!$B$3:$B$5001,$A$183,BD!$M$3:$M$5001,"&lt;&gt;")=0,"",SUMIFS(BD!$M$3:$M$5001,BD!$A$3:$A$5001,L$3,BD!$B$3:$B$5001,$A$183)))</f>
        <v/>
      </c>
      <c r="M193" s="214" t="str">
        <f>IF(M$3="","",IF(COUNTIFS(BD!$A$3:$A$5001,M$3,BD!$B$3:$B$5001,$A$183,BD!$M$3:$M$5001,"&lt;&gt;")=0,"",SUMIFS(BD!$M$3:$M$5001,BD!$A$3:$A$5001,M$3,BD!$B$3:$B$5001,$A$183)))</f>
        <v/>
      </c>
      <c r="N193" s="214" t="str">
        <f>IF(N$3="","",IF(COUNTIFS(BD!$A$3:$A$5001,N$3,BD!$B$3:$B$5001,$A$183,BD!$M$3:$M$5001,"&lt;&gt;")=0,"",SUMIFS(BD!$M$3:$M$5001,BD!$A$3:$A$5001,N$3,BD!$B$3:$B$5001,$A$183)))</f>
        <v/>
      </c>
      <c r="O193" s="214" t="str">
        <f>IF(O$3="","",IF(COUNTIFS(BD!$A$3:$A$5001,O$3,BD!$B$3:$B$5001,$A$183,BD!$M$3:$M$5001,"&lt;&gt;")=0,"",SUMIFS(BD!$M$3:$M$5001,BD!$A$3:$A$5001,O$3,BD!$B$3:$B$5001,$A$183)))</f>
        <v/>
      </c>
      <c r="P193" s="214" t="str">
        <f>IF(P$3="","",IF(COUNTIFS(BD!$A$3:$A$5001,P$3,BD!$B$3:$B$5001,$A$183,BD!$M$3:$M$5001,"&lt;&gt;")=0,"",SUMIFS(BD!$M$3:$M$5001,BD!$A$3:$A$5001,P$3,BD!$B$3:$B$5001,$A$183)))</f>
        <v/>
      </c>
      <c r="Q193" s="214" t="str">
        <f>IF(Q$3="","",IF(COUNTIFS(BD!$A$3:$A$5001,Q$3,BD!$B$3:$B$5001,$A$183,BD!$M$3:$M$5001,"&lt;&gt;")=0,"",SUMIFS(BD!$M$3:$M$5001,BD!$A$3:$A$5001,Q$3,BD!$B$3:$B$5001,$A$183)))</f>
        <v/>
      </c>
      <c r="R193" s="214" t="str">
        <f>IF(R$3="","",IF(COUNTIFS(BD!$A$3:$A$5001,R$3,BD!$B$3:$B$5001,$A$183,BD!$M$3:$M$5001,"&lt;&gt;")=0,"",SUMIFS(BD!$M$3:$M$5001,BD!$A$3:$A$5001,R$3,BD!$B$3:$B$5001,$A$183)))</f>
        <v/>
      </c>
      <c r="S193" s="214" t="str">
        <f>IF(S$3="","",IF(COUNTIFS(BD!$A$3:$A$5001,S$3,BD!$B$3:$B$5001,$A$183,BD!$M$3:$M$5001,"&lt;&gt;")=0,"",SUMIFS(BD!$M$3:$M$5001,BD!$A$3:$A$5001,S$3,BD!$B$3:$B$5001,$A$183)))</f>
        <v/>
      </c>
      <c r="T193" s="214" t="str">
        <f>IF(T$3="","",IF(COUNTIFS(BD!$A$3:$A$5001,T$3,BD!$B$3:$B$5001,$A$183,BD!$M$3:$M$5001,"&lt;&gt;")=0,"",SUMIFS(BD!$M$3:$M$5001,BD!$A$3:$A$5001,T$3,BD!$B$3:$B$5001,$A$183)))</f>
        <v/>
      </c>
      <c r="U193" s="214" t="str">
        <f>IF(U$3="","",IF(COUNTIFS(BD!$A$3:$A$5001,U$3,BD!$B$3:$B$5001,$A$183,BD!$M$3:$M$5001,"&lt;&gt;")=0,"",SUMIFS(BD!$M$3:$M$5001,BD!$A$3:$A$5001,U$3,BD!$B$3:$B$5001,$A$183)))</f>
        <v/>
      </c>
      <c r="V193" s="214" t="str">
        <f>IF(V$3="","",IF(COUNTIFS(BD!$A$3:$A$5001,V$3,BD!$B$3:$B$5001,$A$183,BD!$M$3:$M$5001,"&lt;&gt;")=0,"",SUMIFS(BD!$M$3:$M$5001,BD!$A$3:$A$5001,V$3,BD!$B$3:$B$5001,$A$183)))</f>
        <v/>
      </c>
      <c r="W193" s="214" t="str">
        <f>IF(W$3="","",IF(COUNTIFS(BD!$A$3:$A$5001,W$3,BD!$B$3:$B$5001,$A$183,BD!$M$3:$M$5001,"&lt;&gt;")=0,"",SUMIFS(BD!$M$3:$M$5001,BD!$A$3:$A$5001,W$3,BD!$B$3:$B$5001,$A$183)))</f>
        <v/>
      </c>
      <c r="X193" s="214" t="str">
        <f>IF(X$3="","",IF(COUNTIFS(BD!$A$3:$A$5001,X$3,BD!$B$3:$B$5001,$A$183,BD!$M$3:$M$5001,"&lt;&gt;")=0,"",SUMIFS(BD!$M$3:$M$5001,BD!$A$3:$A$5001,X$3,BD!$B$3:$B$5001,$A$183)))</f>
        <v/>
      </c>
      <c r="Y193" s="214" t="str">
        <f>IF(Y$3="","",IF(COUNTIFS(BD!$A$3:$A$5001,Y$3,BD!$B$3:$B$5001,$A$183,BD!$M$3:$M$5001,"&lt;&gt;")=0,"",SUMIFS(BD!$M$3:$M$5001,BD!$A$3:$A$5001,Y$3,BD!$B$3:$B$5001,$A$183)))</f>
        <v/>
      </c>
      <c r="Z193" s="214" t="str">
        <f>IF(Z$3="","",IF(COUNTIFS(BD!$A$3:$A$5001,Z$3,BD!$B$3:$B$5001,$A$183,BD!$M$3:$M$5001,"&lt;&gt;")=0,"",SUMIFS(BD!$M$3:$M$5001,BD!$A$3:$A$5001,Z$3,BD!$B$3:$B$5001,$A$183)))</f>
        <v/>
      </c>
      <c r="AA193" s="214" t="str">
        <f>IF(AA$3="","",IF(COUNTIFS(BD!$A$3:$A$5001,AA$3,BD!$B$3:$B$5001,$A$183,BD!$M$3:$M$5001,"&lt;&gt;")=0,"",SUMIFS(BD!$M$3:$M$5001,BD!$A$3:$A$5001,AA$3,BD!$B$3:$B$5001,$A$183)))</f>
        <v/>
      </c>
      <c r="AB193" s="214" t="str">
        <f>IF(AB$3="","",IF(COUNTIFS(BD!$A$3:$A$5001,AB$3,BD!$B$3:$B$5001,$A$183,BD!$M$3:$M$5001,"&lt;&gt;")=0,"",SUMIFS(BD!$M$3:$M$5001,BD!$A$3:$A$5001,AB$3,BD!$B$3:$B$5001,$A$183)))</f>
        <v/>
      </c>
      <c r="AC193" s="214" t="str">
        <f>IF(AC$3="","",IF(COUNTIFS(BD!$A$3:$A$5001,AC$3,BD!$B$3:$B$5001,$A$183,BD!$M$3:$M$5001,"&lt;&gt;")=0,"",SUMIFS(BD!$M$3:$M$5001,BD!$A$3:$A$5001,AC$3,BD!$B$3:$B$5001,$A$183)))</f>
        <v/>
      </c>
      <c r="AD193" s="214" t="str">
        <f>IF(AD$3="","",IF(COUNTIFS(BD!$A$3:$A$5001,AD$3,BD!$B$3:$B$5001,$A$183,BD!$M$3:$M$5001,"&lt;&gt;")=0,"",SUMIFS(BD!$M$3:$M$5001,BD!$A$3:$A$5001,AD$3,BD!$B$3:$B$5001,$A$183)))</f>
        <v/>
      </c>
      <c r="AE193" s="214" t="str">
        <f>IF(AE$3="","",IF(COUNTIFS(BD!$A$3:$A$5001,AE$3,BD!$B$3:$B$5001,$A$183,BD!$M$3:$M$5001,"&lt;&gt;")=0,"",SUMIFS(BD!$M$3:$M$5001,BD!$A$3:$A$5001,AE$3,BD!$B$3:$B$5001,$A$183)))</f>
        <v/>
      </c>
      <c r="AF193" s="214" t="str">
        <f>IF(AF$3="","",IF(COUNTIFS(BD!$A$3:$A$5001,AF$3,BD!$B$3:$B$5001,$A$183,BD!$M$3:$M$5001,"&lt;&gt;")=0,"",SUMIFS(BD!$M$3:$M$5001,BD!$A$3:$A$5001,AF$3,BD!$B$3:$B$5001,$A$183)))</f>
        <v/>
      </c>
      <c r="AG193" s="214" t="str">
        <f>IF(AG$3="","",IF(COUNTIFS(BD!$A$3:$A$5001,AG$3,BD!$B$3:$B$5001,$A$183,BD!$M$3:$M$5001,"&lt;&gt;")=0,"",SUMIFS(BD!$M$3:$M$5001,BD!$A$3:$A$5001,AG$3,BD!$B$3:$B$5001,$A$183)))</f>
        <v/>
      </c>
      <c r="AH193" s="214" t="str">
        <f>IF(AH$3="","",IF(COUNTIFS(BD!$A$3:$A$5001,AH$3,BD!$B$3:$B$5001,$A$183,BD!$M$3:$M$5001,"&lt;&gt;")=0,"",SUMIFS(BD!$M$3:$M$5001,BD!$A$3:$A$5001,AH$3,BD!$B$3:$B$5001,$A$183)))</f>
        <v/>
      </c>
      <c r="AI193" s="214" t="str">
        <f>IF(AI$3="","",IF(COUNTIFS(BD!$A$3:$A$5001,AI$3,BD!$B$3:$B$5001,$A$183,BD!$M$3:$M$5001,"&lt;&gt;")=0,"",SUMIFS(BD!$M$3:$M$5001,BD!$A$3:$A$5001,AI$3,BD!$B$3:$B$5001,$A$183)))</f>
        <v/>
      </c>
      <c r="AJ193" s="215" t="str">
        <f>IF(AJ$3="","",IF(COUNTIFS(BD!$A$3:$A$5001,AJ$3,BD!$B$3:$B$5001,$A$183,BD!$M$3:$M$5001,"&lt;&gt;")=0,"",SUMIFS(BD!$M$3:$M$5001,BD!$A$3:$A$5001,AJ$3,BD!$B$3:$B$5001,$A$183)))</f>
        <v/>
      </c>
      <c r="AK193" s="211" t="str">
        <f>IF(COUNT(F193:AJ193)=0,"",SUM(F193:AJ193))</f>
        <v/>
      </c>
    </row>
    <row r="194" ht="15.75" customHeight="1" hidden="1">
      <c r="A194" s="277"/>
      <c r="B194" s="270" t="inlineStr">
        <is>
          <t xml:space="preserve">NC</t>
        </is>
      </c>
      <c r="C194" s="216" t="inlineStr">
        <is>
          <t xml:space="preserve">Incidentes</t>
        </is>
      </c>
      <c r="D194" s="217" t="str">
        <f>IFERROR(1/(1/INDEX(BD!$AF$34:$AZ$34,MATCH($A$183,BD!$AF$22:$AZ$22,0))),"")</f>
        <v/>
      </c>
      <c r="E194" s="218"/>
      <c r="F194" s="219" t="str">
        <f>IF(F$3="","",IF(COUNTIFS(BD!$A$3:$A$5001,F$3,BD!$B$3:$B$5001,$A$183,BD!$N$3:$N$5001,"&lt;&gt;")=0,"",SUMIFS(BD!$N$3:$N$5001,BD!$A$3:$A$5001,F$3,BD!$B$3:$B$5001,$A$183)))</f>
        <v/>
      </c>
      <c r="G194" s="220" t="str">
        <f>IF(G$3="","",IF(COUNTIFS(BD!$A$3:$A$5001,G$3,BD!$B$3:$B$5001,$A$183,BD!$N$3:$N$5001,"&lt;&gt;")=0,"",SUMIFS(BD!$N$3:$N$5001,BD!$A$3:$A$5001,G$3,BD!$B$3:$B$5001,$A$183)))</f>
        <v/>
      </c>
      <c r="H194" s="220" t="str">
        <f>IF(H$3="","",IF(COUNTIFS(BD!$A$3:$A$5001,H$3,BD!$B$3:$B$5001,$A$183,BD!$N$3:$N$5001,"&lt;&gt;")=0,"",SUMIFS(BD!$N$3:$N$5001,BD!$A$3:$A$5001,H$3,BD!$B$3:$B$5001,$A$183)))</f>
        <v/>
      </c>
      <c r="I194" s="220" t="str">
        <f>IF(I$3="","",IF(COUNTIFS(BD!$A$3:$A$5001,I$3,BD!$B$3:$B$5001,$A$183,BD!$N$3:$N$5001,"&lt;&gt;")=0,"",SUMIFS(BD!$N$3:$N$5001,BD!$A$3:$A$5001,I$3,BD!$B$3:$B$5001,$A$183)))</f>
        <v/>
      </c>
      <c r="J194" s="220" t="str">
        <f>IF(J$3="","",IF(COUNTIFS(BD!$A$3:$A$5001,J$3,BD!$B$3:$B$5001,$A$183,BD!$N$3:$N$5001,"&lt;&gt;")=0,"",SUMIFS(BD!$N$3:$N$5001,BD!$A$3:$A$5001,J$3,BD!$B$3:$B$5001,$A$183)))</f>
        <v/>
      </c>
      <c r="K194" s="220" t="str">
        <f>IF(K$3="","",IF(COUNTIFS(BD!$A$3:$A$5001,K$3,BD!$B$3:$B$5001,$A$183,BD!$N$3:$N$5001,"&lt;&gt;")=0,"",SUMIFS(BD!$N$3:$N$5001,BD!$A$3:$A$5001,K$3,BD!$B$3:$B$5001,$A$183)))</f>
        <v/>
      </c>
      <c r="L194" s="220" t="str">
        <f>IF(L$3="","",IF(COUNTIFS(BD!$A$3:$A$5001,L$3,BD!$B$3:$B$5001,$A$183,BD!$N$3:$N$5001,"&lt;&gt;")=0,"",SUMIFS(BD!$N$3:$N$5001,BD!$A$3:$A$5001,L$3,BD!$B$3:$B$5001,$A$183)))</f>
        <v/>
      </c>
      <c r="M194" s="220" t="str">
        <f>IF(M$3="","",IF(COUNTIFS(BD!$A$3:$A$5001,M$3,BD!$B$3:$B$5001,$A$183,BD!$N$3:$N$5001,"&lt;&gt;")=0,"",SUMIFS(BD!$N$3:$N$5001,BD!$A$3:$A$5001,M$3,BD!$B$3:$B$5001,$A$183)))</f>
        <v/>
      </c>
      <c r="N194" s="220" t="str">
        <f>IF(N$3="","",IF(COUNTIFS(BD!$A$3:$A$5001,N$3,BD!$B$3:$B$5001,$A$183,BD!$N$3:$N$5001,"&lt;&gt;")=0,"",SUMIFS(BD!$N$3:$N$5001,BD!$A$3:$A$5001,N$3,BD!$B$3:$B$5001,$A$183)))</f>
        <v/>
      </c>
      <c r="O194" s="220" t="str">
        <f>IF(O$3="","",IF(COUNTIFS(BD!$A$3:$A$5001,O$3,BD!$B$3:$B$5001,$A$183,BD!$N$3:$N$5001,"&lt;&gt;")=0,"",SUMIFS(BD!$N$3:$N$5001,BD!$A$3:$A$5001,O$3,BD!$B$3:$B$5001,$A$183)))</f>
        <v/>
      </c>
      <c r="P194" s="220" t="str">
        <f>IF(P$3="","",IF(COUNTIFS(BD!$A$3:$A$5001,P$3,BD!$B$3:$B$5001,$A$183,BD!$N$3:$N$5001,"&lt;&gt;")=0,"",SUMIFS(BD!$N$3:$N$5001,BD!$A$3:$A$5001,P$3,BD!$B$3:$B$5001,$A$183)))</f>
        <v/>
      </c>
      <c r="Q194" s="220" t="str">
        <f>IF(Q$3="","",IF(COUNTIFS(BD!$A$3:$A$5001,Q$3,BD!$B$3:$B$5001,$A$183,BD!$N$3:$N$5001,"&lt;&gt;")=0,"",SUMIFS(BD!$N$3:$N$5001,BD!$A$3:$A$5001,Q$3,BD!$B$3:$B$5001,$A$183)))</f>
        <v/>
      </c>
      <c r="R194" s="220" t="str">
        <f>IF(R$3="","",IF(COUNTIFS(BD!$A$3:$A$5001,R$3,BD!$B$3:$B$5001,$A$183,BD!$N$3:$N$5001,"&lt;&gt;")=0,"",SUMIFS(BD!$N$3:$N$5001,BD!$A$3:$A$5001,R$3,BD!$B$3:$B$5001,$A$183)))</f>
        <v/>
      </c>
      <c r="S194" s="220" t="str">
        <f>IF(S$3="","",IF(COUNTIFS(BD!$A$3:$A$5001,S$3,BD!$B$3:$B$5001,$A$183,BD!$N$3:$N$5001,"&lt;&gt;")=0,"",SUMIFS(BD!$N$3:$N$5001,BD!$A$3:$A$5001,S$3,BD!$B$3:$B$5001,$A$183)))</f>
        <v/>
      </c>
      <c r="T194" s="220" t="str">
        <f>IF(T$3="","",IF(COUNTIFS(BD!$A$3:$A$5001,T$3,BD!$B$3:$B$5001,$A$183,BD!$N$3:$N$5001,"&lt;&gt;")=0,"",SUMIFS(BD!$N$3:$N$5001,BD!$A$3:$A$5001,T$3,BD!$B$3:$B$5001,$A$183)))</f>
        <v/>
      </c>
      <c r="U194" s="220" t="str">
        <f>IF(U$3="","",IF(COUNTIFS(BD!$A$3:$A$5001,U$3,BD!$B$3:$B$5001,$A$183,BD!$N$3:$N$5001,"&lt;&gt;")=0,"",SUMIFS(BD!$N$3:$N$5001,BD!$A$3:$A$5001,U$3,BD!$B$3:$B$5001,$A$183)))</f>
        <v/>
      </c>
      <c r="V194" s="220" t="str">
        <f>IF(V$3="","",IF(COUNTIFS(BD!$A$3:$A$5001,V$3,BD!$B$3:$B$5001,$A$183,BD!$N$3:$N$5001,"&lt;&gt;")=0,"",SUMIFS(BD!$N$3:$N$5001,BD!$A$3:$A$5001,V$3,BD!$B$3:$B$5001,$A$183)))</f>
        <v/>
      </c>
      <c r="W194" s="220" t="str">
        <f>IF(W$3="","",IF(COUNTIFS(BD!$A$3:$A$5001,W$3,BD!$B$3:$B$5001,$A$183,BD!$N$3:$N$5001,"&lt;&gt;")=0,"",SUMIFS(BD!$N$3:$N$5001,BD!$A$3:$A$5001,W$3,BD!$B$3:$B$5001,$A$183)))</f>
        <v/>
      </c>
      <c r="X194" s="220" t="str">
        <f>IF(X$3="","",IF(COUNTIFS(BD!$A$3:$A$5001,X$3,BD!$B$3:$B$5001,$A$183,BD!$N$3:$N$5001,"&lt;&gt;")=0,"",SUMIFS(BD!$N$3:$N$5001,BD!$A$3:$A$5001,X$3,BD!$B$3:$B$5001,$A$183)))</f>
        <v/>
      </c>
      <c r="Y194" s="220" t="str">
        <f>IF(Y$3="","",IF(COUNTIFS(BD!$A$3:$A$5001,Y$3,BD!$B$3:$B$5001,$A$183,BD!$N$3:$N$5001,"&lt;&gt;")=0,"",SUMIFS(BD!$N$3:$N$5001,BD!$A$3:$A$5001,Y$3,BD!$B$3:$B$5001,$A$183)))</f>
        <v/>
      </c>
      <c r="Z194" s="220" t="str">
        <f>IF(Z$3="","",IF(COUNTIFS(BD!$A$3:$A$5001,Z$3,BD!$B$3:$B$5001,$A$183,BD!$N$3:$N$5001,"&lt;&gt;")=0,"",SUMIFS(BD!$N$3:$N$5001,BD!$A$3:$A$5001,Z$3,BD!$B$3:$B$5001,$A$183)))</f>
        <v/>
      </c>
      <c r="AA194" s="220" t="str">
        <f>IF(AA$3="","",IF(COUNTIFS(BD!$A$3:$A$5001,AA$3,BD!$B$3:$B$5001,$A$183,BD!$N$3:$N$5001,"&lt;&gt;")=0,"",SUMIFS(BD!$N$3:$N$5001,BD!$A$3:$A$5001,AA$3,BD!$B$3:$B$5001,$A$183)))</f>
        <v/>
      </c>
      <c r="AB194" s="220" t="str">
        <f>IF(AB$3="","",IF(COUNTIFS(BD!$A$3:$A$5001,AB$3,BD!$B$3:$B$5001,$A$183,BD!$N$3:$N$5001,"&lt;&gt;")=0,"",SUMIFS(BD!$N$3:$N$5001,BD!$A$3:$A$5001,AB$3,BD!$B$3:$B$5001,$A$183)))</f>
        <v/>
      </c>
      <c r="AC194" s="220" t="str">
        <f>IF(AC$3="","",IF(COUNTIFS(BD!$A$3:$A$5001,AC$3,BD!$B$3:$B$5001,$A$183,BD!$N$3:$N$5001,"&lt;&gt;")=0,"",SUMIFS(BD!$N$3:$N$5001,BD!$A$3:$A$5001,AC$3,BD!$B$3:$B$5001,$A$183)))</f>
        <v/>
      </c>
      <c r="AD194" s="220" t="str">
        <f>IF(AD$3="","",IF(COUNTIFS(BD!$A$3:$A$5001,AD$3,BD!$B$3:$B$5001,$A$183,BD!$N$3:$N$5001,"&lt;&gt;")=0,"",SUMIFS(BD!$N$3:$N$5001,BD!$A$3:$A$5001,AD$3,BD!$B$3:$B$5001,$A$183)))</f>
        <v/>
      </c>
      <c r="AE194" s="220" t="str">
        <f>IF(AE$3="","",IF(COUNTIFS(BD!$A$3:$A$5001,AE$3,BD!$B$3:$B$5001,$A$183,BD!$N$3:$N$5001,"&lt;&gt;")=0,"",SUMIFS(BD!$N$3:$N$5001,BD!$A$3:$A$5001,AE$3,BD!$B$3:$B$5001,$A$183)))</f>
        <v/>
      </c>
      <c r="AF194" s="220" t="str">
        <f>IF(AF$3="","",IF(COUNTIFS(BD!$A$3:$A$5001,AF$3,BD!$B$3:$B$5001,$A$183,BD!$N$3:$N$5001,"&lt;&gt;")=0,"",SUMIFS(BD!$N$3:$N$5001,BD!$A$3:$A$5001,AF$3,BD!$B$3:$B$5001,$A$183)))</f>
        <v/>
      </c>
      <c r="AG194" s="220" t="str">
        <f>IF(AG$3="","",IF(COUNTIFS(BD!$A$3:$A$5001,AG$3,BD!$B$3:$B$5001,$A$183,BD!$N$3:$N$5001,"&lt;&gt;")=0,"",SUMIFS(BD!$N$3:$N$5001,BD!$A$3:$A$5001,AG$3,BD!$B$3:$B$5001,$A$183)))</f>
        <v/>
      </c>
      <c r="AH194" s="220" t="str">
        <f>IF(AH$3="","",IF(COUNTIFS(BD!$A$3:$A$5001,AH$3,BD!$B$3:$B$5001,$A$183,BD!$N$3:$N$5001,"&lt;&gt;")=0,"",SUMIFS(BD!$N$3:$N$5001,BD!$A$3:$A$5001,AH$3,BD!$B$3:$B$5001,$A$183)))</f>
        <v/>
      </c>
      <c r="AI194" s="220" t="str">
        <f>IF(AI$3="","",IF(COUNTIFS(BD!$A$3:$A$5001,AI$3,BD!$B$3:$B$5001,$A$183,BD!$N$3:$N$5001,"&lt;&gt;")=0,"",SUMIFS(BD!$N$3:$N$5001,BD!$A$3:$A$5001,AI$3,BD!$B$3:$B$5001,$A$183)))</f>
        <v/>
      </c>
      <c r="AJ194" s="221" t="str">
        <f>IF(AJ$3="","",IF(COUNTIFS(BD!$A$3:$A$5001,AJ$3,BD!$B$3:$B$5001,$A$183,BD!$N$3:$N$5001,"&lt;&gt;")=0,"",SUMIFS(BD!$N$3:$N$5001,BD!$A$3:$A$5001,AJ$3,BD!$B$3:$B$5001,$A$183)))</f>
        <v/>
      </c>
      <c r="AK194" s="222" t="str">
        <f>IF(COUNT(F194:AJ194)=0,"",SUM(F194:AJ194))</f>
        <v/>
      </c>
    </row>
    <row r="195" ht="15.75" customHeight="1" hidden="1">
      <c r="A195" s="277"/>
      <c r="B195" s="271"/>
      <c r="C195" s="223" t="inlineStr">
        <is>
          <t xml:space="preserve">No show</t>
        </is>
      </c>
      <c r="D195" s="224" t="str">
        <f>IFERROR(1/(1/INDEX(BD!$AF$35:$AZ$35,MATCH($A$183,BD!$AF$22:$AZ$22,0))),"")</f>
        <v/>
      </c>
      <c r="E195" s="225"/>
      <c r="F195" s="226" t="str">
        <f>IF(F$3="","",IF(COUNTIFS(BD!$A$3:$A$5001,F$3,BD!$B$3:$B$5001,$A$183,BD!$O$3:$O$5001,"&lt;&gt;")=0,"",SUMIFS(BD!$O$3:$O$5001,BD!$A$3:$A$5001,F$3,BD!$B$3:$B$5001,$A$183)))</f>
        <v/>
      </c>
      <c r="G195" s="227" t="str">
        <f>IF(G$3="","",IF(COUNTIFS(BD!$A$3:$A$5001,G$3,BD!$B$3:$B$5001,$A$183,BD!$O$3:$O$5001,"&lt;&gt;")=0,"",SUMIFS(BD!$O$3:$O$5001,BD!$A$3:$A$5001,G$3,BD!$B$3:$B$5001,$A$183)))</f>
        <v/>
      </c>
      <c r="H195" s="227" t="str">
        <f>IF(H$3="","",IF(COUNTIFS(BD!$A$3:$A$5001,H$3,BD!$B$3:$B$5001,$A$183,BD!$O$3:$O$5001,"&lt;&gt;")=0,"",SUMIFS(BD!$O$3:$O$5001,BD!$A$3:$A$5001,H$3,BD!$B$3:$B$5001,$A$183)))</f>
        <v/>
      </c>
      <c r="I195" s="227" t="str">
        <f>IF(I$3="","",IF(COUNTIFS(BD!$A$3:$A$5001,I$3,BD!$B$3:$B$5001,$A$183,BD!$O$3:$O$5001,"&lt;&gt;")=0,"",SUMIFS(BD!$O$3:$O$5001,BD!$A$3:$A$5001,I$3,BD!$B$3:$B$5001,$A$183)))</f>
        <v/>
      </c>
      <c r="J195" s="227" t="str">
        <f>IF(J$3="","",IF(COUNTIFS(BD!$A$3:$A$5001,J$3,BD!$B$3:$B$5001,$A$183,BD!$O$3:$O$5001,"&lt;&gt;")=0,"",SUMIFS(BD!$O$3:$O$5001,BD!$A$3:$A$5001,J$3,BD!$B$3:$B$5001,$A$183)))</f>
        <v/>
      </c>
      <c r="K195" s="227" t="str">
        <f>IF(K$3="","",IF(COUNTIFS(BD!$A$3:$A$5001,K$3,BD!$B$3:$B$5001,$A$183,BD!$O$3:$O$5001,"&lt;&gt;")=0,"",SUMIFS(BD!$O$3:$O$5001,BD!$A$3:$A$5001,K$3,BD!$B$3:$B$5001,$A$183)))</f>
        <v/>
      </c>
      <c r="L195" s="227" t="str">
        <f>IF(L$3="","",IF(COUNTIFS(BD!$A$3:$A$5001,L$3,BD!$B$3:$B$5001,$A$183,BD!$O$3:$O$5001,"&lt;&gt;")=0,"",SUMIFS(BD!$O$3:$O$5001,BD!$A$3:$A$5001,L$3,BD!$B$3:$B$5001,$A$183)))</f>
        <v/>
      </c>
      <c r="M195" s="227" t="str">
        <f>IF(M$3="","",IF(COUNTIFS(BD!$A$3:$A$5001,M$3,BD!$B$3:$B$5001,$A$183,BD!$O$3:$O$5001,"&lt;&gt;")=0,"",SUMIFS(BD!$O$3:$O$5001,BD!$A$3:$A$5001,M$3,BD!$B$3:$B$5001,$A$183)))</f>
        <v/>
      </c>
      <c r="N195" s="227" t="str">
        <f>IF(N$3="","",IF(COUNTIFS(BD!$A$3:$A$5001,N$3,BD!$B$3:$B$5001,$A$183,BD!$O$3:$O$5001,"&lt;&gt;")=0,"",SUMIFS(BD!$O$3:$O$5001,BD!$A$3:$A$5001,N$3,BD!$B$3:$B$5001,$A$183)))</f>
        <v/>
      </c>
      <c r="O195" s="227" t="str">
        <f>IF(O$3="","",IF(COUNTIFS(BD!$A$3:$A$5001,O$3,BD!$B$3:$B$5001,$A$183,BD!$O$3:$O$5001,"&lt;&gt;")=0,"",SUMIFS(BD!$O$3:$O$5001,BD!$A$3:$A$5001,O$3,BD!$B$3:$B$5001,$A$183)))</f>
        <v/>
      </c>
      <c r="P195" s="227" t="str">
        <f>IF(P$3="","",IF(COUNTIFS(BD!$A$3:$A$5001,P$3,BD!$B$3:$B$5001,$A$183,BD!$O$3:$O$5001,"&lt;&gt;")=0,"",SUMIFS(BD!$O$3:$O$5001,BD!$A$3:$A$5001,P$3,BD!$B$3:$B$5001,$A$183)))</f>
        <v/>
      </c>
      <c r="Q195" s="227" t="str">
        <f>IF(Q$3="","",IF(COUNTIFS(BD!$A$3:$A$5001,Q$3,BD!$B$3:$B$5001,$A$183,BD!$O$3:$O$5001,"&lt;&gt;")=0,"",SUMIFS(BD!$O$3:$O$5001,BD!$A$3:$A$5001,Q$3,BD!$B$3:$B$5001,$A$183)))</f>
        <v/>
      </c>
      <c r="R195" s="227" t="str">
        <f>IF(R$3="","",IF(COUNTIFS(BD!$A$3:$A$5001,R$3,BD!$B$3:$B$5001,$A$183,BD!$O$3:$O$5001,"&lt;&gt;")=0,"",SUMIFS(BD!$O$3:$O$5001,BD!$A$3:$A$5001,R$3,BD!$B$3:$B$5001,$A$183)))</f>
        <v/>
      </c>
      <c r="S195" s="227" t="str">
        <f>IF(S$3="","",IF(COUNTIFS(BD!$A$3:$A$5001,S$3,BD!$B$3:$B$5001,$A$183,BD!$O$3:$O$5001,"&lt;&gt;")=0,"",SUMIFS(BD!$O$3:$O$5001,BD!$A$3:$A$5001,S$3,BD!$B$3:$B$5001,$A$183)))</f>
        <v/>
      </c>
      <c r="T195" s="227" t="str">
        <f>IF(T$3="","",IF(COUNTIFS(BD!$A$3:$A$5001,T$3,BD!$B$3:$B$5001,$A$183,BD!$O$3:$O$5001,"&lt;&gt;")=0,"",SUMIFS(BD!$O$3:$O$5001,BD!$A$3:$A$5001,T$3,BD!$B$3:$B$5001,$A$183)))</f>
        <v/>
      </c>
      <c r="U195" s="227" t="str">
        <f>IF(U$3="","",IF(COUNTIFS(BD!$A$3:$A$5001,U$3,BD!$B$3:$B$5001,$A$183,BD!$O$3:$O$5001,"&lt;&gt;")=0,"",SUMIFS(BD!$O$3:$O$5001,BD!$A$3:$A$5001,U$3,BD!$B$3:$B$5001,$A$183)))</f>
        <v/>
      </c>
      <c r="V195" s="227" t="str">
        <f>IF(V$3="","",IF(COUNTIFS(BD!$A$3:$A$5001,V$3,BD!$B$3:$B$5001,$A$183,BD!$O$3:$O$5001,"&lt;&gt;")=0,"",SUMIFS(BD!$O$3:$O$5001,BD!$A$3:$A$5001,V$3,BD!$B$3:$B$5001,$A$183)))</f>
        <v/>
      </c>
      <c r="W195" s="227" t="str">
        <f>IF(W$3="","",IF(COUNTIFS(BD!$A$3:$A$5001,W$3,BD!$B$3:$B$5001,$A$183,BD!$O$3:$O$5001,"&lt;&gt;")=0,"",SUMIFS(BD!$O$3:$O$5001,BD!$A$3:$A$5001,W$3,BD!$B$3:$B$5001,$A$183)))</f>
        <v/>
      </c>
      <c r="X195" s="227" t="str">
        <f>IF(X$3="","",IF(COUNTIFS(BD!$A$3:$A$5001,X$3,BD!$B$3:$B$5001,$A$183,BD!$O$3:$O$5001,"&lt;&gt;")=0,"",SUMIFS(BD!$O$3:$O$5001,BD!$A$3:$A$5001,X$3,BD!$B$3:$B$5001,$A$183)))</f>
        <v/>
      </c>
      <c r="Y195" s="227" t="str">
        <f>IF(Y$3="","",IF(COUNTIFS(BD!$A$3:$A$5001,Y$3,BD!$B$3:$B$5001,$A$183,BD!$O$3:$O$5001,"&lt;&gt;")=0,"",SUMIFS(BD!$O$3:$O$5001,BD!$A$3:$A$5001,Y$3,BD!$B$3:$B$5001,$A$183)))</f>
        <v/>
      </c>
      <c r="Z195" s="227" t="str">
        <f>IF(Z$3="","",IF(COUNTIFS(BD!$A$3:$A$5001,Z$3,BD!$B$3:$B$5001,$A$183,BD!$O$3:$O$5001,"&lt;&gt;")=0,"",SUMIFS(BD!$O$3:$O$5001,BD!$A$3:$A$5001,Z$3,BD!$B$3:$B$5001,$A$183)))</f>
        <v/>
      </c>
      <c r="AA195" s="227" t="str">
        <f>IF(AA$3="","",IF(COUNTIFS(BD!$A$3:$A$5001,AA$3,BD!$B$3:$B$5001,$A$183,BD!$O$3:$O$5001,"&lt;&gt;")=0,"",SUMIFS(BD!$O$3:$O$5001,BD!$A$3:$A$5001,AA$3,BD!$B$3:$B$5001,$A$183)))</f>
        <v/>
      </c>
      <c r="AB195" s="227" t="str">
        <f>IF(AB$3="","",IF(COUNTIFS(BD!$A$3:$A$5001,AB$3,BD!$B$3:$B$5001,$A$183,BD!$O$3:$O$5001,"&lt;&gt;")=0,"",SUMIFS(BD!$O$3:$O$5001,BD!$A$3:$A$5001,AB$3,BD!$B$3:$B$5001,$A$183)))</f>
        <v/>
      </c>
      <c r="AC195" s="227" t="str">
        <f>IF(AC$3="","",IF(COUNTIFS(BD!$A$3:$A$5001,AC$3,BD!$B$3:$B$5001,$A$183,BD!$O$3:$O$5001,"&lt;&gt;")=0,"",SUMIFS(BD!$O$3:$O$5001,BD!$A$3:$A$5001,AC$3,BD!$B$3:$B$5001,$A$183)))</f>
        <v/>
      </c>
      <c r="AD195" s="227" t="str">
        <f>IF(AD$3="","",IF(COUNTIFS(BD!$A$3:$A$5001,AD$3,BD!$B$3:$B$5001,$A$183,BD!$O$3:$O$5001,"&lt;&gt;")=0,"",SUMIFS(BD!$O$3:$O$5001,BD!$A$3:$A$5001,AD$3,BD!$B$3:$B$5001,$A$183)))</f>
        <v/>
      </c>
      <c r="AE195" s="227" t="str">
        <f>IF(AE$3="","",IF(COUNTIFS(BD!$A$3:$A$5001,AE$3,BD!$B$3:$B$5001,$A$183,BD!$O$3:$O$5001,"&lt;&gt;")=0,"",SUMIFS(BD!$O$3:$O$5001,BD!$A$3:$A$5001,AE$3,BD!$B$3:$B$5001,$A$183)))</f>
        <v/>
      </c>
      <c r="AF195" s="227" t="str">
        <f>IF(AF$3="","",IF(COUNTIFS(BD!$A$3:$A$5001,AF$3,BD!$B$3:$B$5001,$A$183,BD!$O$3:$O$5001,"&lt;&gt;")=0,"",SUMIFS(BD!$O$3:$O$5001,BD!$A$3:$A$5001,AF$3,BD!$B$3:$B$5001,$A$183)))</f>
        <v/>
      </c>
      <c r="AG195" s="227" t="str">
        <f>IF(AG$3="","",IF(COUNTIFS(BD!$A$3:$A$5001,AG$3,BD!$B$3:$B$5001,$A$183,BD!$O$3:$O$5001,"&lt;&gt;")=0,"",SUMIFS(BD!$O$3:$O$5001,BD!$A$3:$A$5001,AG$3,BD!$B$3:$B$5001,$A$183)))</f>
        <v/>
      </c>
      <c r="AH195" s="227" t="str">
        <f>IF(AH$3="","",IF(COUNTIFS(BD!$A$3:$A$5001,AH$3,BD!$B$3:$B$5001,$A$183,BD!$O$3:$O$5001,"&lt;&gt;")=0,"",SUMIFS(BD!$O$3:$O$5001,BD!$A$3:$A$5001,AH$3,BD!$B$3:$B$5001,$A$183)))</f>
        <v/>
      </c>
      <c r="AI195" s="227" t="str">
        <f>IF(AI$3="","",IF(COUNTIFS(BD!$A$3:$A$5001,AI$3,BD!$B$3:$B$5001,$A$183,BD!$O$3:$O$5001,"&lt;&gt;")=0,"",SUMIFS(BD!$O$3:$O$5001,BD!$A$3:$A$5001,AI$3,BD!$B$3:$B$5001,$A$183)))</f>
        <v/>
      </c>
      <c r="AJ195" s="228" t="str">
        <f>IF(AJ$3="","",IF(COUNTIFS(BD!$A$3:$A$5001,AJ$3,BD!$B$3:$B$5001,$A$183,BD!$O$3:$O$5001,"&lt;&gt;")=0,"",SUMIFS(BD!$O$3:$O$5001,BD!$A$3:$A$5001,AJ$3,BD!$B$3:$B$5001,$A$183)))</f>
        <v/>
      </c>
      <c r="AK195" s="229" t="str">
        <f>IF(COUNT(F195:AJ195)=0,"",SUM(F195:AJ195))</f>
        <v/>
      </c>
    </row>
    <row r="196" ht="15.75" customHeight="1" hidden="1">
      <c r="A196" s="277"/>
      <c r="B196" s="271"/>
      <c r="C196" s="223" t="inlineStr">
        <is>
          <t xml:space="preserve">Backlog Intralog</t>
        </is>
      </c>
      <c r="D196" s="224" t="str">
        <f>IFERROR(1/(1/INDEX(BD!$AF$36:$AZ$36,MATCH($A$183,BD!$AF$22:$AZ$22,0))),"")</f>
        <v/>
      </c>
      <c r="E196" s="225"/>
      <c r="F196" s="226" t="str">
        <f>IF(F$3="","",IF(COUNTIFS(BD!$A$3:$A$5001,F$3,BD!$B$3:$B$5001,$A$183,BD!$P$3:$P$5001,"&lt;&gt;")=0,"",SUMIFS(BD!$P$3:$P$5001,BD!$A$3:$A$5001,F$3,BD!$B$3:$B$5001,$A$183)))</f>
        <v/>
      </c>
      <c r="G196" s="227" t="str">
        <f>IF(G$3="","",IF(COUNTIFS(BD!$A$3:$A$5001,G$3,BD!$B$3:$B$5001,$A$183,BD!$P$3:$P$5001,"&lt;&gt;")=0,"",SUMIFS(BD!$P$3:$P$5001,BD!$A$3:$A$5001,G$3,BD!$B$3:$B$5001,$A$183)))</f>
        <v/>
      </c>
      <c r="H196" s="227" t="str">
        <f>IF(H$3="","",IF(COUNTIFS(BD!$A$3:$A$5001,H$3,BD!$B$3:$B$5001,$A$183,BD!$P$3:$P$5001,"&lt;&gt;")=0,"",SUMIFS(BD!$P$3:$P$5001,BD!$A$3:$A$5001,H$3,BD!$B$3:$B$5001,$A$183)))</f>
        <v/>
      </c>
      <c r="I196" s="227" t="str">
        <f>IF(I$3="","",IF(COUNTIFS(BD!$A$3:$A$5001,I$3,BD!$B$3:$B$5001,$A$183,BD!$P$3:$P$5001,"&lt;&gt;")=0,"",SUMIFS(BD!$P$3:$P$5001,BD!$A$3:$A$5001,I$3,BD!$B$3:$B$5001,$A$183)))</f>
        <v/>
      </c>
      <c r="J196" s="227" t="str">
        <f>IF(J$3="","",IF(COUNTIFS(BD!$A$3:$A$5001,J$3,BD!$B$3:$B$5001,$A$183,BD!$P$3:$P$5001,"&lt;&gt;")=0,"",SUMIFS(BD!$P$3:$P$5001,BD!$A$3:$A$5001,J$3,BD!$B$3:$B$5001,$A$183)))</f>
        <v/>
      </c>
      <c r="K196" s="227" t="str">
        <f>IF(K$3="","",IF(COUNTIFS(BD!$A$3:$A$5001,K$3,BD!$B$3:$B$5001,$A$183,BD!$P$3:$P$5001,"&lt;&gt;")=0,"",SUMIFS(BD!$P$3:$P$5001,BD!$A$3:$A$5001,K$3,BD!$B$3:$B$5001,$A$183)))</f>
        <v/>
      </c>
      <c r="L196" s="227" t="str">
        <f>IF(L$3="","",IF(COUNTIFS(BD!$A$3:$A$5001,L$3,BD!$B$3:$B$5001,$A$183,BD!$P$3:$P$5001,"&lt;&gt;")=0,"",SUMIFS(BD!$P$3:$P$5001,BD!$A$3:$A$5001,L$3,BD!$B$3:$B$5001,$A$183)))</f>
        <v/>
      </c>
      <c r="M196" s="227" t="str">
        <f>IF(M$3="","",IF(COUNTIFS(BD!$A$3:$A$5001,M$3,BD!$B$3:$B$5001,$A$183,BD!$P$3:$P$5001,"&lt;&gt;")=0,"",SUMIFS(BD!$P$3:$P$5001,BD!$A$3:$A$5001,M$3,BD!$B$3:$B$5001,$A$183)))</f>
        <v/>
      </c>
      <c r="N196" s="227" t="str">
        <f>IF(N$3="","",IF(COUNTIFS(BD!$A$3:$A$5001,N$3,BD!$B$3:$B$5001,$A$183,BD!$P$3:$P$5001,"&lt;&gt;")=0,"",SUMIFS(BD!$P$3:$P$5001,BD!$A$3:$A$5001,N$3,BD!$B$3:$B$5001,$A$183)))</f>
        <v/>
      </c>
      <c r="O196" s="227" t="str">
        <f>IF(O$3="","",IF(COUNTIFS(BD!$A$3:$A$5001,O$3,BD!$B$3:$B$5001,$A$183,BD!$P$3:$P$5001,"&lt;&gt;")=0,"",SUMIFS(BD!$P$3:$P$5001,BD!$A$3:$A$5001,O$3,BD!$B$3:$B$5001,$A$183)))</f>
        <v/>
      </c>
      <c r="P196" s="227" t="str">
        <f>IF(P$3="","",IF(COUNTIFS(BD!$A$3:$A$5001,P$3,BD!$B$3:$B$5001,$A$183,BD!$P$3:$P$5001,"&lt;&gt;")=0,"",SUMIFS(BD!$P$3:$P$5001,BD!$A$3:$A$5001,P$3,BD!$B$3:$B$5001,$A$183)))</f>
        <v/>
      </c>
      <c r="Q196" s="227" t="str">
        <f>IF(Q$3="","",IF(COUNTIFS(BD!$A$3:$A$5001,Q$3,BD!$B$3:$B$5001,$A$183,BD!$P$3:$P$5001,"&lt;&gt;")=0,"",SUMIFS(BD!$P$3:$P$5001,BD!$A$3:$A$5001,Q$3,BD!$B$3:$B$5001,$A$183)))</f>
        <v/>
      </c>
      <c r="R196" s="227" t="str">
        <f>IF(R$3="","",IF(COUNTIFS(BD!$A$3:$A$5001,R$3,BD!$B$3:$B$5001,$A$183,BD!$P$3:$P$5001,"&lt;&gt;")=0,"",SUMIFS(BD!$P$3:$P$5001,BD!$A$3:$A$5001,R$3,BD!$B$3:$B$5001,$A$183)))</f>
        <v/>
      </c>
      <c r="S196" s="227" t="str">
        <f>IF(S$3="","",IF(COUNTIFS(BD!$A$3:$A$5001,S$3,BD!$B$3:$B$5001,$A$183,BD!$P$3:$P$5001,"&lt;&gt;")=0,"",SUMIFS(BD!$P$3:$P$5001,BD!$A$3:$A$5001,S$3,BD!$B$3:$B$5001,$A$183)))</f>
        <v/>
      </c>
      <c r="T196" s="227" t="str">
        <f>IF(T$3="","",IF(COUNTIFS(BD!$A$3:$A$5001,T$3,BD!$B$3:$B$5001,$A$183,BD!$P$3:$P$5001,"&lt;&gt;")=0,"",SUMIFS(BD!$P$3:$P$5001,BD!$A$3:$A$5001,T$3,BD!$B$3:$B$5001,$A$183)))</f>
        <v/>
      </c>
      <c r="U196" s="227" t="str">
        <f>IF(U$3="","",IF(COUNTIFS(BD!$A$3:$A$5001,U$3,BD!$B$3:$B$5001,$A$183,BD!$P$3:$P$5001,"&lt;&gt;")=0,"",SUMIFS(BD!$P$3:$P$5001,BD!$A$3:$A$5001,U$3,BD!$B$3:$B$5001,$A$183)))</f>
        <v/>
      </c>
      <c r="V196" s="227" t="str">
        <f>IF(V$3="","",IF(COUNTIFS(BD!$A$3:$A$5001,V$3,BD!$B$3:$B$5001,$A$183,BD!$P$3:$P$5001,"&lt;&gt;")=0,"",SUMIFS(BD!$P$3:$P$5001,BD!$A$3:$A$5001,V$3,BD!$B$3:$B$5001,$A$183)))</f>
        <v/>
      </c>
      <c r="W196" s="227" t="str">
        <f>IF(W$3="","",IF(COUNTIFS(BD!$A$3:$A$5001,W$3,BD!$B$3:$B$5001,$A$183,BD!$P$3:$P$5001,"&lt;&gt;")=0,"",SUMIFS(BD!$P$3:$P$5001,BD!$A$3:$A$5001,W$3,BD!$B$3:$B$5001,$A$183)))</f>
        <v/>
      </c>
      <c r="X196" s="227" t="str">
        <f>IF(X$3="","",IF(COUNTIFS(BD!$A$3:$A$5001,X$3,BD!$B$3:$B$5001,$A$183,BD!$P$3:$P$5001,"&lt;&gt;")=0,"",SUMIFS(BD!$P$3:$P$5001,BD!$A$3:$A$5001,X$3,BD!$B$3:$B$5001,$A$183)))</f>
        <v/>
      </c>
      <c r="Y196" s="227" t="str">
        <f>IF(Y$3="","",IF(COUNTIFS(BD!$A$3:$A$5001,Y$3,BD!$B$3:$B$5001,$A$183,BD!$P$3:$P$5001,"&lt;&gt;")=0,"",SUMIFS(BD!$P$3:$P$5001,BD!$A$3:$A$5001,Y$3,BD!$B$3:$B$5001,$A$183)))</f>
        <v/>
      </c>
      <c r="Z196" s="227" t="str">
        <f>IF(Z$3="","",IF(COUNTIFS(BD!$A$3:$A$5001,Z$3,BD!$B$3:$B$5001,$A$183,BD!$P$3:$P$5001,"&lt;&gt;")=0,"",SUMIFS(BD!$P$3:$P$5001,BD!$A$3:$A$5001,Z$3,BD!$B$3:$B$5001,$A$183)))</f>
        <v/>
      </c>
      <c r="AA196" s="227" t="str">
        <f>IF(AA$3="","",IF(COUNTIFS(BD!$A$3:$A$5001,AA$3,BD!$B$3:$B$5001,$A$183,BD!$P$3:$P$5001,"&lt;&gt;")=0,"",SUMIFS(BD!$P$3:$P$5001,BD!$A$3:$A$5001,AA$3,BD!$B$3:$B$5001,$A$183)))</f>
        <v/>
      </c>
      <c r="AB196" s="227" t="str">
        <f>IF(AB$3="","",IF(COUNTIFS(BD!$A$3:$A$5001,AB$3,BD!$B$3:$B$5001,$A$183,BD!$P$3:$P$5001,"&lt;&gt;")=0,"",SUMIFS(BD!$P$3:$P$5001,BD!$A$3:$A$5001,AB$3,BD!$B$3:$B$5001,$A$183)))</f>
        <v/>
      </c>
      <c r="AC196" s="227" t="str">
        <f>IF(AC$3="","",IF(COUNTIFS(BD!$A$3:$A$5001,AC$3,BD!$B$3:$B$5001,$A$183,BD!$P$3:$P$5001,"&lt;&gt;")=0,"",SUMIFS(BD!$P$3:$P$5001,BD!$A$3:$A$5001,AC$3,BD!$B$3:$B$5001,$A$183)))</f>
        <v/>
      </c>
      <c r="AD196" s="227" t="str">
        <f>IF(AD$3="","",IF(COUNTIFS(BD!$A$3:$A$5001,AD$3,BD!$B$3:$B$5001,$A$183,BD!$P$3:$P$5001,"&lt;&gt;")=0,"",SUMIFS(BD!$P$3:$P$5001,BD!$A$3:$A$5001,AD$3,BD!$B$3:$B$5001,$A$183)))</f>
        <v/>
      </c>
      <c r="AE196" s="227" t="str">
        <f>IF(AE$3="","",IF(COUNTIFS(BD!$A$3:$A$5001,AE$3,BD!$B$3:$B$5001,$A$183,BD!$P$3:$P$5001,"&lt;&gt;")=0,"",SUMIFS(BD!$P$3:$P$5001,BD!$A$3:$A$5001,AE$3,BD!$B$3:$B$5001,$A$183)))</f>
        <v/>
      </c>
      <c r="AF196" s="227" t="str">
        <f>IF(AF$3="","",IF(COUNTIFS(BD!$A$3:$A$5001,AF$3,BD!$B$3:$B$5001,$A$183,BD!$P$3:$P$5001,"&lt;&gt;")=0,"",SUMIFS(BD!$P$3:$P$5001,BD!$A$3:$A$5001,AF$3,BD!$B$3:$B$5001,$A$183)))</f>
        <v/>
      </c>
      <c r="AG196" s="227" t="str">
        <f>IF(AG$3="","",IF(COUNTIFS(BD!$A$3:$A$5001,AG$3,BD!$B$3:$B$5001,$A$183,BD!$P$3:$P$5001,"&lt;&gt;")=0,"",SUMIFS(BD!$P$3:$P$5001,BD!$A$3:$A$5001,AG$3,BD!$B$3:$B$5001,$A$183)))</f>
        <v/>
      </c>
      <c r="AH196" s="227" t="str">
        <f>IF(AH$3="","",IF(COUNTIFS(BD!$A$3:$A$5001,AH$3,BD!$B$3:$B$5001,$A$183,BD!$P$3:$P$5001,"&lt;&gt;")=0,"",SUMIFS(BD!$P$3:$P$5001,BD!$A$3:$A$5001,AH$3,BD!$B$3:$B$5001,$A$183)))</f>
        <v/>
      </c>
      <c r="AI196" s="227" t="str">
        <f>IF(AI$3="","",IF(COUNTIFS(BD!$A$3:$A$5001,AI$3,BD!$B$3:$B$5001,$A$183,BD!$P$3:$P$5001,"&lt;&gt;")=0,"",SUMIFS(BD!$P$3:$P$5001,BD!$A$3:$A$5001,AI$3,BD!$B$3:$B$5001,$A$183)))</f>
        <v/>
      </c>
      <c r="AJ196" s="228" t="str">
        <f>IF(AJ$3="","",IF(COUNTIFS(BD!$A$3:$A$5001,AJ$3,BD!$B$3:$B$5001,$A$183,BD!$P$3:$P$5001,"&lt;&gt;")=0,"",SUMIFS(BD!$P$3:$P$5001,BD!$A$3:$A$5001,AJ$3,BD!$B$3:$B$5001,$A$183)))</f>
        <v/>
      </c>
      <c r="AK196" s="229" t="str">
        <f>IFERROR(LOOKUP(9.99E+307,F196:AJ196),"")</f>
        <v/>
      </c>
    </row>
    <row r="197" ht="15.75" customHeight="1" hidden="1">
      <c r="A197" s="277"/>
      <c r="B197" s="272"/>
      <c r="C197" s="230" t="inlineStr">
        <is>
          <t xml:space="preserve">Backlog Cliente</t>
        </is>
      </c>
      <c r="D197" s="231" t="str">
        <f>IFERROR(1/(1/INDEX(BD!$AF$37:$AZ$37,MATCH($A$183,BD!$AF$22:$AZ$22,0))),"")</f>
        <v/>
      </c>
      <c r="E197" s="232"/>
      <c r="F197" s="233" t="str">
        <f>IF(F$3="","",IF(COUNTIFS(BD!$A$3:$A$5001,F$3,BD!$B$3:$B$5001,$A$183,BD!$Q$3:$Q$5001,"&lt;&gt;")=0,"",SUMIFS(BD!$Q$3:$Q$5001,BD!$A$3:$A$5001,F$3,BD!$B$3:$B$5001,$A$183)))</f>
        <v/>
      </c>
      <c r="G197" s="234" t="str">
        <f>IF(G$3="","",IF(COUNTIFS(BD!$A$3:$A$5001,G$3,BD!$B$3:$B$5001,$A$183,BD!$Q$3:$Q$5001,"&lt;&gt;")=0,"",SUMIFS(BD!$Q$3:$Q$5001,BD!$A$3:$A$5001,G$3,BD!$B$3:$B$5001,$A$183)))</f>
        <v/>
      </c>
      <c r="H197" s="234" t="str">
        <f>IF(H$3="","",IF(COUNTIFS(BD!$A$3:$A$5001,H$3,BD!$B$3:$B$5001,$A$183,BD!$Q$3:$Q$5001,"&lt;&gt;")=0,"",SUMIFS(BD!$Q$3:$Q$5001,BD!$A$3:$A$5001,H$3,BD!$B$3:$B$5001,$A$183)))</f>
        <v/>
      </c>
      <c r="I197" s="234" t="str">
        <f>IF(I$3="","",IF(COUNTIFS(BD!$A$3:$A$5001,I$3,BD!$B$3:$B$5001,$A$183,BD!$Q$3:$Q$5001,"&lt;&gt;")=0,"",SUMIFS(BD!$Q$3:$Q$5001,BD!$A$3:$A$5001,I$3,BD!$B$3:$B$5001,$A$183)))</f>
        <v/>
      </c>
      <c r="J197" s="234" t="str">
        <f>IF(J$3="","",IF(COUNTIFS(BD!$A$3:$A$5001,J$3,BD!$B$3:$B$5001,$A$183,BD!$Q$3:$Q$5001,"&lt;&gt;")=0,"",SUMIFS(BD!$Q$3:$Q$5001,BD!$A$3:$A$5001,J$3,BD!$B$3:$B$5001,$A$183)))</f>
        <v/>
      </c>
      <c r="K197" s="234" t="str">
        <f>IF(K$3="","",IF(COUNTIFS(BD!$A$3:$A$5001,K$3,BD!$B$3:$B$5001,$A$183,BD!$Q$3:$Q$5001,"&lt;&gt;")=0,"",SUMIFS(BD!$Q$3:$Q$5001,BD!$A$3:$A$5001,K$3,BD!$B$3:$B$5001,$A$183)))</f>
        <v/>
      </c>
      <c r="L197" s="234" t="str">
        <f>IF(L$3="","",IF(COUNTIFS(BD!$A$3:$A$5001,L$3,BD!$B$3:$B$5001,$A$183,BD!$Q$3:$Q$5001,"&lt;&gt;")=0,"",SUMIFS(BD!$Q$3:$Q$5001,BD!$A$3:$A$5001,L$3,BD!$B$3:$B$5001,$A$183)))</f>
        <v/>
      </c>
      <c r="M197" s="234" t="str">
        <f>IF(M$3="","",IF(COUNTIFS(BD!$A$3:$A$5001,M$3,BD!$B$3:$B$5001,$A$183,BD!$Q$3:$Q$5001,"&lt;&gt;")=0,"",SUMIFS(BD!$Q$3:$Q$5001,BD!$A$3:$A$5001,M$3,BD!$B$3:$B$5001,$A$183)))</f>
        <v/>
      </c>
      <c r="N197" s="234" t="str">
        <f>IF(N$3="","",IF(COUNTIFS(BD!$A$3:$A$5001,N$3,BD!$B$3:$B$5001,$A$183,BD!$Q$3:$Q$5001,"&lt;&gt;")=0,"",SUMIFS(BD!$Q$3:$Q$5001,BD!$A$3:$A$5001,N$3,BD!$B$3:$B$5001,$A$183)))</f>
        <v/>
      </c>
      <c r="O197" s="234" t="str">
        <f>IF(O$3="","",IF(COUNTIFS(BD!$A$3:$A$5001,O$3,BD!$B$3:$B$5001,$A$183,BD!$Q$3:$Q$5001,"&lt;&gt;")=0,"",SUMIFS(BD!$Q$3:$Q$5001,BD!$A$3:$A$5001,O$3,BD!$B$3:$B$5001,$A$183)))</f>
        <v/>
      </c>
      <c r="P197" s="234" t="str">
        <f>IF(P$3="","",IF(COUNTIFS(BD!$A$3:$A$5001,P$3,BD!$B$3:$B$5001,$A$183,BD!$Q$3:$Q$5001,"&lt;&gt;")=0,"",SUMIFS(BD!$Q$3:$Q$5001,BD!$A$3:$A$5001,P$3,BD!$B$3:$B$5001,$A$183)))</f>
        <v/>
      </c>
      <c r="Q197" s="234" t="str">
        <f>IF(Q$3="","",IF(COUNTIFS(BD!$A$3:$A$5001,Q$3,BD!$B$3:$B$5001,$A$183,BD!$Q$3:$Q$5001,"&lt;&gt;")=0,"",SUMIFS(BD!$Q$3:$Q$5001,BD!$A$3:$A$5001,Q$3,BD!$B$3:$B$5001,$A$183)))</f>
        <v/>
      </c>
      <c r="R197" s="234" t="str">
        <f>IF(R$3="","",IF(COUNTIFS(BD!$A$3:$A$5001,R$3,BD!$B$3:$B$5001,$A$183,BD!$Q$3:$Q$5001,"&lt;&gt;")=0,"",SUMIFS(BD!$Q$3:$Q$5001,BD!$A$3:$A$5001,R$3,BD!$B$3:$B$5001,$A$183)))</f>
        <v/>
      </c>
      <c r="S197" s="234" t="str">
        <f>IF(S$3="","",IF(COUNTIFS(BD!$A$3:$A$5001,S$3,BD!$B$3:$B$5001,$A$183,BD!$Q$3:$Q$5001,"&lt;&gt;")=0,"",SUMIFS(BD!$Q$3:$Q$5001,BD!$A$3:$A$5001,S$3,BD!$B$3:$B$5001,$A$183)))</f>
        <v/>
      </c>
      <c r="T197" s="234" t="str">
        <f>IF(T$3="","",IF(COUNTIFS(BD!$A$3:$A$5001,T$3,BD!$B$3:$B$5001,$A$183,BD!$Q$3:$Q$5001,"&lt;&gt;")=0,"",SUMIFS(BD!$Q$3:$Q$5001,BD!$A$3:$A$5001,T$3,BD!$B$3:$B$5001,$A$183)))</f>
        <v/>
      </c>
      <c r="U197" s="234" t="str">
        <f>IF(U$3="","",IF(COUNTIFS(BD!$A$3:$A$5001,U$3,BD!$B$3:$B$5001,$A$183,BD!$Q$3:$Q$5001,"&lt;&gt;")=0,"",SUMIFS(BD!$Q$3:$Q$5001,BD!$A$3:$A$5001,U$3,BD!$B$3:$B$5001,$A$183)))</f>
        <v/>
      </c>
      <c r="V197" s="234" t="str">
        <f>IF(V$3="","",IF(COUNTIFS(BD!$A$3:$A$5001,V$3,BD!$B$3:$B$5001,$A$183,BD!$Q$3:$Q$5001,"&lt;&gt;")=0,"",SUMIFS(BD!$Q$3:$Q$5001,BD!$A$3:$A$5001,V$3,BD!$B$3:$B$5001,$A$183)))</f>
        <v/>
      </c>
      <c r="W197" s="234" t="str">
        <f>IF(W$3="","",IF(COUNTIFS(BD!$A$3:$A$5001,W$3,BD!$B$3:$B$5001,$A$183,BD!$Q$3:$Q$5001,"&lt;&gt;")=0,"",SUMIFS(BD!$Q$3:$Q$5001,BD!$A$3:$A$5001,W$3,BD!$B$3:$B$5001,$A$183)))</f>
        <v/>
      </c>
      <c r="X197" s="234" t="str">
        <f>IF(X$3="","",IF(COUNTIFS(BD!$A$3:$A$5001,X$3,BD!$B$3:$B$5001,$A$183,BD!$Q$3:$Q$5001,"&lt;&gt;")=0,"",SUMIFS(BD!$Q$3:$Q$5001,BD!$A$3:$A$5001,X$3,BD!$B$3:$B$5001,$A$183)))</f>
        <v/>
      </c>
      <c r="Y197" s="234" t="str">
        <f>IF(Y$3="","",IF(COUNTIFS(BD!$A$3:$A$5001,Y$3,BD!$B$3:$B$5001,$A$183,BD!$Q$3:$Q$5001,"&lt;&gt;")=0,"",SUMIFS(BD!$Q$3:$Q$5001,BD!$A$3:$A$5001,Y$3,BD!$B$3:$B$5001,$A$183)))</f>
        <v/>
      </c>
      <c r="Z197" s="234" t="str">
        <f>IF(Z$3="","",IF(COUNTIFS(BD!$A$3:$A$5001,Z$3,BD!$B$3:$B$5001,$A$183,BD!$Q$3:$Q$5001,"&lt;&gt;")=0,"",SUMIFS(BD!$Q$3:$Q$5001,BD!$A$3:$A$5001,Z$3,BD!$B$3:$B$5001,$A$183)))</f>
        <v/>
      </c>
      <c r="AA197" s="234" t="str">
        <f>IF(AA$3="","",IF(COUNTIFS(BD!$A$3:$A$5001,AA$3,BD!$B$3:$B$5001,$A$183,BD!$Q$3:$Q$5001,"&lt;&gt;")=0,"",SUMIFS(BD!$Q$3:$Q$5001,BD!$A$3:$A$5001,AA$3,BD!$B$3:$B$5001,$A$183)))</f>
        <v/>
      </c>
      <c r="AB197" s="234" t="str">
        <f>IF(AB$3="","",IF(COUNTIFS(BD!$A$3:$A$5001,AB$3,BD!$B$3:$B$5001,$A$183,BD!$Q$3:$Q$5001,"&lt;&gt;")=0,"",SUMIFS(BD!$Q$3:$Q$5001,BD!$A$3:$A$5001,AB$3,BD!$B$3:$B$5001,$A$183)))</f>
        <v/>
      </c>
      <c r="AC197" s="234" t="str">
        <f>IF(AC$3="","",IF(COUNTIFS(BD!$A$3:$A$5001,AC$3,BD!$B$3:$B$5001,$A$183,BD!$Q$3:$Q$5001,"&lt;&gt;")=0,"",SUMIFS(BD!$Q$3:$Q$5001,BD!$A$3:$A$5001,AC$3,BD!$B$3:$B$5001,$A$183)))</f>
        <v/>
      </c>
      <c r="AD197" s="234" t="str">
        <f>IF(AD$3="","",IF(COUNTIFS(BD!$A$3:$A$5001,AD$3,BD!$B$3:$B$5001,$A$183,BD!$Q$3:$Q$5001,"&lt;&gt;")=0,"",SUMIFS(BD!$Q$3:$Q$5001,BD!$A$3:$A$5001,AD$3,BD!$B$3:$B$5001,$A$183)))</f>
        <v/>
      </c>
      <c r="AE197" s="234" t="str">
        <f>IF(AE$3="","",IF(COUNTIFS(BD!$A$3:$A$5001,AE$3,BD!$B$3:$B$5001,$A$183,BD!$Q$3:$Q$5001,"&lt;&gt;")=0,"",SUMIFS(BD!$Q$3:$Q$5001,BD!$A$3:$A$5001,AE$3,BD!$B$3:$B$5001,$A$183)))</f>
        <v/>
      </c>
      <c r="AF197" s="234" t="str">
        <f>IF(AF$3="","",IF(COUNTIFS(BD!$A$3:$A$5001,AF$3,BD!$B$3:$B$5001,$A$183,BD!$Q$3:$Q$5001,"&lt;&gt;")=0,"",SUMIFS(BD!$Q$3:$Q$5001,BD!$A$3:$A$5001,AF$3,BD!$B$3:$B$5001,$A$183)))</f>
        <v/>
      </c>
      <c r="AG197" s="234" t="str">
        <f>IF(AG$3="","",IF(COUNTIFS(BD!$A$3:$A$5001,AG$3,BD!$B$3:$B$5001,$A$183,BD!$Q$3:$Q$5001,"&lt;&gt;")=0,"",SUMIFS(BD!$Q$3:$Q$5001,BD!$A$3:$A$5001,AG$3,BD!$B$3:$B$5001,$A$183)))</f>
        <v/>
      </c>
      <c r="AH197" s="234" t="str">
        <f>IF(AH$3="","",IF(COUNTIFS(BD!$A$3:$A$5001,AH$3,BD!$B$3:$B$5001,$A$183,BD!$Q$3:$Q$5001,"&lt;&gt;")=0,"",SUMIFS(BD!$Q$3:$Q$5001,BD!$A$3:$A$5001,AH$3,BD!$B$3:$B$5001,$A$183)))</f>
        <v/>
      </c>
      <c r="AI197" s="234" t="str">
        <f>IF(AI$3="","",IF(COUNTIFS(BD!$A$3:$A$5001,AI$3,BD!$B$3:$B$5001,$A$183,BD!$Q$3:$Q$5001,"&lt;&gt;")=0,"",SUMIFS(BD!$Q$3:$Q$5001,BD!$A$3:$A$5001,AI$3,BD!$B$3:$B$5001,$A$183)))</f>
        <v/>
      </c>
      <c r="AJ197" s="235" t="str">
        <f>IF(AJ$3="","",IF(COUNTIFS(BD!$A$3:$A$5001,AJ$3,BD!$B$3:$B$5001,$A$183,BD!$Q$3:$Q$5001,"&lt;&gt;")=0,"",SUMIFS(BD!$Q$3:$Q$5001,BD!$A$3:$A$5001,AJ$3,BD!$B$3:$B$5001,$A$183)))</f>
        <v/>
      </c>
      <c r="AK197" s="231" t="str">
        <f>IFERROR(LOOKUP(9.99E+307,F197:AJ197),"")</f>
        <v/>
      </c>
    </row>
    <row r="198" ht="15.75" customHeight="1" hidden="1">
      <c r="A198" s="277"/>
      <c r="B198" s="264" t="inlineStr">
        <is>
          <t xml:space="preserve">OCUPAÇÃO (P.P)</t>
        </is>
      </c>
      <c r="C198" s="168" t="inlineStr">
        <is>
          <t xml:space="preserve">Posições Disponíveis</t>
        </is>
      </c>
      <c r="D198" s="169" t="str">
        <f>IFERROR(1/(1/INDEX(BD!$AF$38:$AZ$38,MATCH($A$183,BD!$AF$22:$AZ$22,0))),"")</f>
        <v/>
      </c>
      <c r="E198" s="170"/>
      <c r="F198" s="171" t="str">
        <f>IF(F$3="","",IF(COUNTIFS(BD!$A$3:$A$5001,F$3,BD!$B$3:$B$5001,$A$183,BD!$R$3:$R$5001,"&lt;&gt;")=0,"",SUMIFS(BD!$R$3:$R$5001,BD!$A$3:$A$5001,F$3,BD!$B$3:$B$5001,$A$183)))</f>
        <v/>
      </c>
      <c r="G198" s="172" t="str">
        <f>IF(G$3="","",IF(COUNTIFS(BD!$A$3:$A$5001,G$3,BD!$B$3:$B$5001,$A$183,BD!$R$3:$R$5001,"&lt;&gt;")=0,"",SUMIFS(BD!$R$3:$R$5001,BD!$A$3:$A$5001,G$3,BD!$B$3:$B$5001,$A$183)))</f>
        <v/>
      </c>
      <c r="H198" s="172" t="str">
        <f>IF(H$3="","",IF(COUNTIFS(BD!$A$3:$A$5001,H$3,BD!$B$3:$B$5001,$A$183,BD!$R$3:$R$5001,"&lt;&gt;")=0,"",SUMIFS(BD!$R$3:$R$5001,BD!$A$3:$A$5001,H$3,BD!$B$3:$B$5001,$A$183)))</f>
        <v/>
      </c>
      <c r="I198" s="172" t="str">
        <f>IF(I$3="","",IF(COUNTIFS(BD!$A$3:$A$5001,I$3,BD!$B$3:$B$5001,$A$183,BD!$R$3:$R$5001,"&lt;&gt;")=0,"",SUMIFS(BD!$R$3:$R$5001,BD!$A$3:$A$5001,I$3,BD!$B$3:$B$5001,$A$183)))</f>
        <v/>
      </c>
      <c r="J198" s="172" t="str">
        <f>IF(J$3="","",IF(COUNTIFS(BD!$A$3:$A$5001,J$3,BD!$B$3:$B$5001,$A$183,BD!$R$3:$R$5001,"&lt;&gt;")=0,"",SUMIFS(BD!$R$3:$R$5001,BD!$A$3:$A$5001,J$3,BD!$B$3:$B$5001,$A$183)))</f>
        <v/>
      </c>
      <c r="K198" s="172" t="str">
        <f>IF(K$3="","",IF(COUNTIFS(BD!$A$3:$A$5001,K$3,BD!$B$3:$B$5001,$A$183,BD!$R$3:$R$5001,"&lt;&gt;")=0,"",SUMIFS(BD!$R$3:$R$5001,BD!$A$3:$A$5001,K$3,BD!$B$3:$B$5001,$A$183)))</f>
        <v/>
      </c>
      <c r="L198" s="172" t="str">
        <f>IF(L$3="","",IF(COUNTIFS(BD!$A$3:$A$5001,L$3,BD!$B$3:$B$5001,$A$183,BD!$R$3:$R$5001,"&lt;&gt;")=0,"",SUMIFS(BD!$R$3:$R$5001,BD!$A$3:$A$5001,L$3,BD!$B$3:$B$5001,$A$183)))</f>
        <v/>
      </c>
      <c r="M198" s="172" t="str">
        <f>IF(M$3="","",IF(COUNTIFS(BD!$A$3:$A$5001,M$3,BD!$B$3:$B$5001,$A$183,BD!$R$3:$R$5001,"&lt;&gt;")=0,"",SUMIFS(BD!$R$3:$R$5001,BD!$A$3:$A$5001,M$3,BD!$B$3:$B$5001,$A$183)))</f>
        <v/>
      </c>
      <c r="N198" s="172" t="str">
        <f>IF(N$3="","",IF(COUNTIFS(BD!$A$3:$A$5001,N$3,BD!$B$3:$B$5001,$A$183,BD!$R$3:$R$5001,"&lt;&gt;")=0,"",SUMIFS(BD!$R$3:$R$5001,BD!$A$3:$A$5001,N$3,BD!$B$3:$B$5001,$A$183)))</f>
        <v/>
      </c>
      <c r="O198" s="172" t="str">
        <f>IF(O$3="","",IF(COUNTIFS(BD!$A$3:$A$5001,O$3,BD!$B$3:$B$5001,$A$183,BD!$R$3:$R$5001,"&lt;&gt;")=0,"",SUMIFS(BD!$R$3:$R$5001,BD!$A$3:$A$5001,O$3,BD!$B$3:$B$5001,$A$183)))</f>
        <v/>
      </c>
      <c r="P198" s="172" t="str">
        <f>IF(P$3="","",IF(COUNTIFS(BD!$A$3:$A$5001,P$3,BD!$B$3:$B$5001,$A$183,BD!$R$3:$R$5001,"&lt;&gt;")=0,"",SUMIFS(BD!$R$3:$R$5001,BD!$A$3:$A$5001,P$3,BD!$B$3:$B$5001,$A$183)))</f>
        <v/>
      </c>
      <c r="Q198" s="172" t="str">
        <f>IF(Q$3="","",IF(COUNTIFS(BD!$A$3:$A$5001,Q$3,BD!$B$3:$B$5001,$A$183,BD!$R$3:$R$5001,"&lt;&gt;")=0,"",SUMIFS(BD!$R$3:$R$5001,BD!$A$3:$A$5001,Q$3,BD!$B$3:$B$5001,$A$183)))</f>
        <v/>
      </c>
      <c r="R198" s="172" t="str">
        <f>IF(R$3="","",IF(COUNTIFS(BD!$A$3:$A$5001,R$3,BD!$B$3:$B$5001,$A$183,BD!$R$3:$R$5001,"&lt;&gt;")=0,"",SUMIFS(BD!$R$3:$R$5001,BD!$A$3:$A$5001,R$3,BD!$B$3:$B$5001,$A$183)))</f>
        <v/>
      </c>
      <c r="S198" s="172" t="str">
        <f>IF(S$3="","",IF(COUNTIFS(BD!$A$3:$A$5001,S$3,BD!$B$3:$B$5001,$A$183,BD!$R$3:$R$5001,"&lt;&gt;")=0,"",SUMIFS(BD!$R$3:$R$5001,BD!$A$3:$A$5001,S$3,BD!$B$3:$B$5001,$A$183)))</f>
        <v/>
      </c>
      <c r="T198" s="172" t="str">
        <f>IF(T$3="","",IF(COUNTIFS(BD!$A$3:$A$5001,T$3,BD!$B$3:$B$5001,$A$183,BD!$R$3:$R$5001,"&lt;&gt;")=0,"",SUMIFS(BD!$R$3:$R$5001,BD!$A$3:$A$5001,T$3,BD!$B$3:$B$5001,$A$183)))</f>
        <v/>
      </c>
      <c r="U198" s="172" t="str">
        <f>IF(U$3="","",IF(COUNTIFS(BD!$A$3:$A$5001,U$3,BD!$B$3:$B$5001,$A$183,BD!$R$3:$R$5001,"&lt;&gt;")=0,"",SUMIFS(BD!$R$3:$R$5001,BD!$A$3:$A$5001,U$3,BD!$B$3:$B$5001,$A$183)))</f>
        <v/>
      </c>
      <c r="V198" s="172" t="str">
        <f>IF(V$3="","",IF(COUNTIFS(BD!$A$3:$A$5001,V$3,BD!$B$3:$B$5001,$A$183,BD!$R$3:$R$5001,"&lt;&gt;")=0,"",SUMIFS(BD!$R$3:$R$5001,BD!$A$3:$A$5001,V$3,BD!$B$3:$B$5001,$A$183)))</f>
        <v/>
      </c>
      <c r="W198" s="172" t="str">
        <f>IF(W$3="","",IF(COUNTIFS(BD!$A$3:$A$5001,W$3,BD!$B$3:$B$5001,$A$183,BD!$R$3:$R$5001,"&lt;&gt;")=0,"",SUMIFS(BD!$R$3:$R$5001,BD!$A$3:$A$5001,W$3,BD!$B$3:$B$5001,$A$183)))</f>
        <v/>
      </c>
      <c r="X198" s="172" t="str">
        <f>IF(X$3="","",IF(COUNTIFS(BD!$A$3:$A$5001,X$3,BD!$B$3:$B$5001,$A$183,BD!$R$3:$R$5001,"&lt;&gt;")=0,"",SUMIFS(BD!$R$3:$R$5001,BD!$A$3:$A$5001,X$3,BD!$B$3:$B$5001,$A$183)))</f>
        <v/>
      </c>
      <c r="Y198" s="172" t="str">
        <f>IF(Y$3="","",IF(COUNTIFS(BD!$A$3:$A$5001,Y$3,BD!$B$3:$B$5001,$A$183,BD!$R$3:$R$5001,"&lt;&gt;")=0,"",SUMIFS(BD!$R$3:$R$5001,BD!$A$3:$A$5001,Y$3,BD!$B$3:$B$5001,$A$183)))</f>
        <v/>
      </c>
      <c r="Z198" s="172" t="str">
        <f>IF(Z$3="","",IF(COUNTIFS(BD!$A$3:$A$5001,Z$3,BD!$B$3:$B$5001,$A$183,BD!$R$3:$R$5001,"&lt;&gt;")=0,"",SUMIFS(BD!$R$3:$R$5001,BD!$A$3:$A$5001,Z$3,BD!$B$3:$B$5001,$A$183)))</f>
        <v/>
      </c>
      <c r="AA198" s="172" t="str">
        <f>IF(AA$3="","",IF(COUNTIFS(BD!$A$3:$A$5001,AA$3,BD!$B$3:$B$5001,$A$183,BD!$R$3:$R$5001,"&lt;&gt;")=0,"",SUMIFS(BD!$R$3:$R$5001,BD!$A$3:$A$5001,AA$3,BD!$B$3:$B$5001,$A$183)))</f>
        <v/>
      </c>
      <c r="AB198" s="172" t="str">
        <f>IF(AB$3="","",IF(COUNTIFS(BD!$A$3:$A$5001,AB$3,BD!$B$3:$B$5001,$A$183,BD!$R$3:$R$5001,"&lt;&gt;")=0,"",SUMIFS(BD!$R$3:$R$5001,BD!$A$3:$A$5001,AB$3,BD!$B$3:$B$5001,$A$183)))</f>
        <v/>
      </c>
      <c r="AC198" s="172" t="str">
        <f>IF(AC$3="","",IF(COUNTIFS(BD!$A$3:$A$5001,AC$3,BD!$B$3:$B$5001,$A$183,BD!$R$3:$R$5001,"&lt;&gt;")=0,"",SUMIFS(BD!$R$3:$R$5001,BD!$A$3:$A$5001,AC$3,BD!$B$3:$B$5001,$A$183)))</f>
        <v/>
      </c>
      <c r="AD198" s="172" t="str">
        <f>IF(AD$3="","",IF(COUNTIFS(BD!$A$3:$A$5001,AD$3,BD!$B$3:$B$5001,$A$183,BD!$R$3:$R$5001,"&lt;&gt;")=0,"",SUMIFS(BD!$R$3:$R$5001,BD!$A$3:$A$5001,AD$3,BD!$B$3:$B$5001,$A$183)))</f>
        <v/>
      </c>
      <c r="AE198" s="172" t="str">
        <f>IF(AE$3="","",IF(COUNTIFS(BD!$A$3:$A$5001,AE$3,BD!$B$3:$B$5001,$A$183,BD!$R$3:$R$5001,"&lt;&gt;")=0,"",SUMIFS(BD!$R$3:$R$5001,BD!$A$3:$A$5001,AE$3,BD!$B$3:$B$5001,$A$183)))</f>
        <v/>
      </c>
      <c r="AF198" s="172" t="str">
        <f>IF(AF$3="","",IF(COUNTIFS(BD!$A$3:$A$5001,AF$3,BD!$B$3:$B$5001,$A$183,BD!$R$3:$R$5001,"&lt;&gt;")=0,"",SUMIFS(BD!$R$3:$R$5001,BD!$A$3:$A$5001,AF$3,BD!$B$3:$B$5001,$A$183)))</f>
        <v/>
      </c>
      <c r="AG198" s="172" t="str">
        <f>IF(AG$3="","",IF(COUNTIFS(BD!$A$3:$A$5001,AG$3,BD!$B$3:$B$5001,$A$183,BD!$R$3:$R$5001,"&lt;&gt;")=0,"",SUMIFS(BD!$R$3:$R$5001,BD!$A$3:$A$5001,AG$3,BD!$B$3:$B$5001,$A$183)))</f>
        <v/>
      </c>
      <c r="AH198" s="172" t="str">
        <f>IF(AH$3="","",IF(COUNTIFS(BD!$A$3:$A$5001,AH$3,BD!$B$3:$B$5001,$A$183,BD!$R$3:$R$5001,"&lt;&gt;")=0,"",SUMIFS(BD!$R$3:$R$5001,BD!$A$3:$A$5001,AH$3,BD!$B$3:$B$5001,$A$183)))</f>
        <v/>
      </c>
      <c r="AI198" s="172" t="str">
        <f>IF(AI$3="","",IF(COUNTIFS(BD!$A$3:$A$5001,AI$3,BD!$B$3:$B$5001,$A$183,BD!$R$3:$R$5001,"&lt;&gt;")=0,"",SUMIFS(BD!$R$3:$R$5001,BD!$A$3:$A$5001,AI$3,BD!$B$3:$B$5001,$A$183)))</f>
        <v/>
      </c>
      <c r="AJ198" s="173" t="str">
        <f>IF(AJ$3="","",IF(COUNTIFS(BD!$A$3:$A$5001,AJ$3,BD!$B$3:$B$5001,$A$183,BD!$R$3:$R$5001,"&lt;&gt;")=0,"",SUMIFS(BD!$R$3:$R$5001,BD!$A$3:$A$5001,AJ$3,BD!$B$3:$B$5001,$A$183)))</f>
        <v/>
      </c>
      <c r="AK198" s="174" t="str">
        <f>IF(COUNT(F198:AJ198)&gt;0,LOOKUP(9.99E+307,F198:AJ198),IFERROR(IF(INDEX(BD!$AC$3:$AC$5001,MATCH($A$183,BD!$B$3:$B$5001,0))&amp;""="Contrato","",INDEX(BD!$AC$3:$AC$5001,MATCH($A$183,BD!$B$3:$B$5001,0))&amp;""),""))</f>
        <v/>
      </c>
    </row>
    <row r="199" ht="15.75" customHeight="1" hidden="1">
      <c r="A199" s="277"/>
      <c r="B199" s="265"/>
      <c r="C199" s="175" t="inlineStr">
        <is>
          <t xml:space="preserve">Posições Ocupadas</t>
        </is>
      </c>
      <c r="D199" s="176" t="str">
        <f>IFERROR(1/(1/INDEX(BD!$AF$39:$AZ$39,MATCH($A$183,BD!$AF$22:$AZ$22,0))),"")</f>
        <v/>
      </c>
      <c r="E199" s="177"/>
      <c r="F199" s="178" t="str">
        <f>IF(F$3="","",IF(COUNTIFS(BD!$A$3:$A$5001,F$3,BD!$B$3:$B$5001,$A$183,BD!$S$3:$S$5001,"&lt;&gt;")=0,"",SUMIFS(BD!$S$3:$S$5001,BD!$A$3:$A$5001,F$3,BD!$B$3:$B$5001,$A$183)))</f>
        <v/>
      </c>
      <c r="G199" s="179" t="str">
        <f>IF(G$3="","",IF(COUNTIFS(BD!$A$3:$A$5001,G$3,BD!$B$3:$B$5001,$A$183,BD!$S$3:$S$5001,"&lt;&gt;")=0,"",SUMIFS(BD!$S$3:$S$5001,BD!$A$3:$A$5001,G$3,BD!$B$3:$B$5001,$A$183)))</f>
        <v/>
      </c>
      <c r="H199" s="179" t="str">
        <f>IF(H$3="","",IF(COUNTIFS(BD!$A$3:$A$5001,H$3,BD!$B$3:$B$5001,$A$183,BD!$S$3:$S$5001,"&lt;&gt;")=0,"",SUMIFS(BD!$S$3:$S$5001,BD!$A$3:$A$5001,H$3,BD!$B$3:$B$5001,$A$183)))</f>
        <v/>
      </c>
      <c r="I199" s="179" t="str">
        <f>IF(I$3="","",IF(COUNTIFS(BD!$A$3:$A$5001,I$3,BD!$B$3:$B$5001,$A$183,BD!$S$3:$S$5001,"&lt;&gt;")=0,"",SUMIFS(BD!$S$3:$S$5001,BD!$A$3:$A$5001,I$3,BD!$B$3:$B$5001,$A$183)))</f>
        <v/>
      </c>
      <c r="J199" s="179" t="str">
        <f>IF(J$3="","",IF(COUNTIFS(BD!$A$3:$A$5001,J$3,BD!$B$3:$B$5001,$A$183,BD!$S$3:$S$5001,"&lt;&gt;")=0,"",SUMIFS(BD!$S$3:$S$5001,BD!$A$3:$A$5001,J$3,BD!$B$3:$B$5001,$A$183)))</f>
        <v/>
      </c>
      <c r="K199" s="179" t="str">
        <f>IF(K$3="","",IF(COUNTIFS(BD!$A$3:$A$5001,K$3,BD!$B$3:$B$5001,$A$183,BD!$S$3:$S$5001,"&lt;&gt;")=0,"",SUMIFS(BD!$S$3:$S$5001,BD!$A$3:$A$5001,K$3,BD!$B$3:$B$5001,$A$183)))</f>
        <v/>
      </c>
      <c r="L199" s="179" t="str">
        <f>IF(L$3="","",IF(COUNTIFS(BD!$A$3:$A$5001,L$3,BD!$B$3:$B$5001,$A$183,BD!$S$3:$S$5001,"&lt;&gt;")=0,"",SUMIFS(BD!$S$3:$S$5001,BD!$A$3:$A$5001,L$3,BD!$B$3:$B$5001,$A$183)))</f>
        <v/>
      </c>
      <c r="M199" s="179" t="str">
        <f>IF(M$3="","",IF(COUNTIFS(BD!$A$3:$A$5001,M$3,BD!$B$3:$B$5001,$A$183,BD!$S$3:$S$5001,"&lt;&gt;")=0,"",SUMIFS(BD!$S$3:$S$5001,BD!$A$3:$A$5001,M$3,BD!$B$3:$B$5001,$A$183)))</f>
        <v/>
      </c>
      <c r="N199" s="179" t="str">
        <f>IF(N$3="","",IF(COUNTIFS(BD!$A$3:$A$5001,N$3,BD!$B$3:$B$5001,$A$183,BD!$S$3:$S$5001,"&lt;&gt;")=0,"",SUMIFS(BD!$S$3:$S$5001,BD!$A$3:$A$5001,N$3,BD!$B$3:$B$5001,$A$183)))</f>
        <v/>
      </c>
      <c r="O199" s="179" t="str">
        <f>IF(O$3="","",IF(COUNTIFS(BD!$A$3:$A$5001,O$3,BD!$B$3:$B$5001,$A$183,BD!$S$3:$S$5001,"&lt;&gt;")=0,"",SUMIFS(BD!$S$3:$S$5001,BD!$A$3:$A$5001,O$3,BD!$B$3:$B$5001,$A$183)))</f>
        <v/>
      </c>
      <c r="P199" s="179" t="str">
        <f>IF(P$3="","",IF(COUNTIFS(BD!$A$3:$A$5001,P$3,BD!$B$3:$B$5001,$A$183,BD!$S$3:$S$5001,"&lt;&gt;")=0,"",SUMIFS(BD!$S$3:$S$5001,BD!$A$3:$A$5001,P$3,BD!$B$3:$B$5001,$A$183)))</f>
        <v/>
      </c>
      <c r="Q199" s="179" t="str">
        <f>IF(Q$3="","",IF(COUNTIFS(BD!$A$3:$A$5001,Q$3,BD!$B$3:$B$5001,$A$183,BD!$S$3:$S$5001,"&lt;&gt;")=0,"",SUMIFS(BD!$S$3:$S$5001,BD!$A$3:$A$5001,Q$3,BD!$B$3:$B$5001,$A$183)))</f>
        <v/>
      </c>
      <c r="R199" s="179" t="str">
        <f>IF(R$3="","",IF(COUNTIFS(BD!$A$3:$A$5001,R$3,BD!$B$3:$B$5001,$A$183,BD!$S$3:$S$5001,"&lt;&gt;")=0,"",SUMIFS(BD!$S$3:$S$5001,BD!$A$3:$A$5001,R$3,BD!$B$3:$B$5001,$A$183)))</f>
        <v/>
      </c>
      <c r="S199" s="179" t="str">
        <f>IF(S$3="","",IF(COUNTIFS(BD!$A$3:$A$5001,S$3,BD!$B$3:$B$5001,$A$183,BD!$S$3:$S$5001,"&lt;&gt;")=0,"",SUMIFS(BD!$S$3:$S$5001,BD!$A$3:$A$5001,S$3,BD!$B$3:$B$5001,$A$183)))</f>
        <v/>
      </c>
      <c r="T199" s="179" t="str">
        <f>IF(T$3="","",IF(COUNTIFS(BD!$A$3:$A$5001,T$3,BD!$B$3:$B$5001,$A$183,BD!$S$3:$S$5001,"&lt;&gt;")=0,"",SUMIFS(BD!$S$3:$S$5001,BD!$A$3:$A$5001,T$3,BD!$B$3:$B$5001,$A$183)))</f>
        <v/>
      </c>
      <c r="U199" s="179" t="str">
        <f>IF(U$3="","",IF(COUNTIFS(BD!$A$3:$A$5001,U$3,BD!$B$3:$B$5001,$A$183,BD!$S$3:$S$5001,"&lt;&gt;")=0,"",SUMIFS(BD!$S$3:$S$5001,BD!$A$3:$A$5001,U$3,BD!$B$3:$B$5001,$A$183)))</f>
        <v/>
      </c>
      <c r="V199" s="179" t="str">
        <f>IF(V$3="","",IF(COUNTIFS(BD!$A$3:$A$5001,V$3,BD!$B$3:$B$5001,$A$183,BD!$S$3:$S$5001,"&lt;&gt;")=0,"",SUMIFS(BD!$S$3:$S$5001,BD!$A$3:$A$5001,V$3,BD!$B$3:$B$5001,$A$183)))</f>
        <v/>
      </c>
      <c r="W199" s="179" t="str">
        <f>IF(W$3="","",IF(COUNTIFS(BD!$A$3:$A$5001,W$3,BD!$B$3:$B$5001,$A$183,BD!$S$3:$S$5001,"&lt;&gt;")=0,"",SUMIFS(BD!$S$3:$S$5001,BD!$A$3:$A$5001,W$3,BD!$B$3:$B$5001,$A$183)))</f>
        <v/>
      </c>
      <c r="X199" s="179" t="str">
        <f>IF(X$3="","",IF(COUNTIFS(BD!$A$3:$A$5001,X$3,BD!$B$3:$B$5001,$A$183,BD!$S$3:$S$5001,"&lt;&gt;")=0,"",SUMIFS(BD!$S$3:$S$5001,BD!$A$3:$A$5001,X$3,BD!$B$3:$B$5001,$A$183)))</f>
        <v/>
      </c>
      <c r="Y199" s="179" t="str">
        <f>IF(Y$3="","",IF(COUNTIFS(BD!$A$3:$A$5001,Y$3,BD!$B$3:$B$5001,$A$183,BD!$S$3:$S$5001,"&lt;&gt;")=0,"",SUMIFS(BD!$S$3:$S$5001,BD!$A$3:$A$5001,Y$3,BD!$B$3:$B$5001,$A$183)))</f>
        <v/>
      </c>
      <c r="Z199" s="179" t="str">
        <f>IF(Z$3="","",IF(COUNTIFS(BD!$A$3:$A$5001,Z$3,BD!$B$3:$B$5001,$A$183,BD!$S$3:$S$5001,"&lt;&gt;")=0,"",SUMIFS(BD!$S$3:$S$5001,BD!$A$3:$A$5001,Z$3,BD!$B$3:$B$5001,$A$183)))</f>
        <v/>
      </c>
      <c r="AA199" s="179" t="str">
        <f>IF(AA$3="","",IF(COUNTIFS(BD!$A$3:$A$5001,AA$3,BD!$B$3:$B$5001,$A$183,BD!$S$3:$S$5001,"&lt;&gt;")=0,"",SUMIFS(BD!$S$3:$S$5001,BD!$A$3:$A$5001,AA$3,BD!$B$3:$B$5001,$A$183)))</f>
        <v/>
      </c>
      <c r="AB199" s="179" t="str">
        <f>IF(AB$3="","",IF(COUNTIFS(BD!$A$3:$A$5001,AB$3,BD!$B$3:$B$5001,$A$183,BD!$S$3:$S$5001,"&lt;&gt;")=0,"",SUMIFS(BD!$S$3:$S$5001,BD!$A$3:$A$5001,AB$3,BD!$B$3:$B$5001,$A$183)))</f>
        <v/>
      </c>
      <c r="AC199" s="179" t="str">
        <f>IF(AC$3="","",IF(COUNTIFS(BD!$A$3:$A$5001,AC$3,BD!$B$3:$B$5001,$A$183,BD!$S$3:$S$5001,"&lt;&gt;")=0,"",SUMIFS(BD!$S$3:$S$5001,BD!$A$3:$A$5001,AC$3,BD!$B$3:$B$5001,$A$183)))</f>
        <v/>
      </c>
      <c r="AD199" s="179" t="str">
        <f>IF(AD$3="","",IF(COUNTIFS(BD!$A$3:$A$5001,AD$3,BD!$B$3:$B$5001,$A$183,BD!$S$3:$S$5001,"&lt;&gt;")=0,"",SUMIFS(BD!$S$3:$S$5001,BD!$A$3:$A$5001,AD$3,BD!$B$3:$B$5001,$A$183)))</f>
        <v/>
      </c>
      <c r="AE199" s="179" t="str">
        <f>IF(AE$3="","",IF(COUNTIFS(BD!$A$3:$A$5001,AE$3,BD!$B$3:$B$5001,$A$183,BD!$S$3:$S$5001,"&lt;&gt;")=0,"",SUMIFS(BD!$S$3:$S$5001,BD!$A$3:$A$5001,AE$3,BD!$B$3:$B$5001,$A$183)))</f>
        <v/>
      </c>
      <c r="AF199" s="179" t="str">
        <f>IF(AF$3="","",IF(COUNTIFS(BD!$A$3:$A$5001,AF$3,BD!$B$3:$B$5001,$A$183,BD!$S$3:$S$5001,"&lt;&gt;")=0,"",SUMIFS(BD!$S$3:$S$5001,BD!$A$3:$A$5001,AF$3,BD!$B$3:$B$5001,$A$183)))</f>
        <v/>
      </c>
      <c r="AG199" s="179" t="str">
        <f>IF(AG$3="","",IF(COUNTIFS(BD!$A$3:$A$5001,AG$3,BD!$B$3:$B$5001,$A$183,BD!$S$3:$S$5001,"&lt;&gt;")=0,"",SUMIFS(BD!$S$3:$S$5001,BD!$A$3:$A$5001,AG$3,BD!$B$3:$B$5001,$A$183)))</f>
        <v/>
      </c>
      <c r="AH199" s="179" t="str">
        <f>IF(AH$3="","",IF(COUNTIFS(BD!$A$3:$A$5001,AH$3,BD!$B$3:$B$5001,$A$183,BD!$S$3:$S$5001,"&lt;&gt;")=0,"",SUMIFS(BD!$S$3:$S$5001,BD!$A$3:$A$5001,AH$3,BD!$B$3:$B$5001,$A$183)))</f>
        <v/>
      </c>
      <c r="AI199" s="179" t="str">
        <f>IF(AI$3="","",IF(COUNTIFS(BD!$A$3:$A$5001,AI$3,BD!$B$3:$B$5001,$A$183,BD!$S$3:$S$5001,"&lt;&gt;")=0,"",SUMIFS(BD!$S$3:$S$5001,BD!$A$3:$A$5001,AI$3,BD!$B$3:$B$5001,$A$183)))</f>
        <v/>
      </c>
      <c r="AJ199" s="180" t="str">
        <f>IF(AJ$3="","",IF(COUNTIFS(BD!$A$3:$A$5001,AJ$3,BD!$B$3:$B$5001,$A$183,BD!$S$3:$S$5001,"&lt;&gt;")=0,"",SUMIFS(BD!$S$3:$S$5001,BD!$A$3:$A$5001,AJ$3,BD!$B$3:$B$5001,$A$183)))</f>
        <v/>
      </c>
      <c r="AK199" s="181" t="str">
        <f>IFERROR(LOOKUP(9.99E+307,F199:AJ199),"")</f>
        <v/>
      </c>
    </row>
    <row r="200" ht="15.75" customHeight="1" hidden="1">
      <c r="A200" s="277"/>
      <c r="B200" s="266"/>
      <c r="C200" s="186" t="inlineStr">
        <is>
          <t xml:space="preserve">Taxa de Ocupação</t>
        </is>
      </c>
      <c r="D200" s="236" t="str">
        <f>IFERROR(1/(1/INDEX(BD!$AF$40:$AZ$40,MATCH($A$183,BD!$AF$22:$AZ$22,0))),"")</f>
        <v/>
      </c>
      <c r="E200" s="188"/>
      <c r="F200" s="237" t="str">
        <f>IF(AND(ISNUMBER(F198),ISNUMBER(F199)),IF(F198&gt;0,F199/F198,""),"")</f>
        <v/>
      </c>
      <c r="G200" s="238" t="str">
        <f>IF(AND(ISNUMBER(G198),ISNUMBER(G199)),IF(G198&gt;0,G199/G198,""),"")</f>
        <v/>
      </c>
      <c r="H200" s="238" t="str">
        <f>IF(AND(ISNUMBER(H198),ISNUMBER(H199)),IF(H198&gt;0,H199/H198,""),"")</f>
        <v/>
      </c>
      <c r="I200" s="238" t="str">
        <f>IF(AND(ISNUMBER(I198),ISNUMBER(I199)),IF(I198&gt;0,I199/I198,""),"")</f>
        <v/>
      </c>
      <c r="J200" s="238" t="str">
        <f>IF(AND(ISNUMBER(J198),ISNUMBER(J199)),IF(J198&gt;0,J199/J198,""),"")</f>
        <v/>
      </c>
      <c r="K200" s="238" t="str">
        <f>IF(AND(ISNUMBER(K198),ISNUMBER(K199)),IF(K198&gt;0,K199/K198,""),"")</f>
        <v/>
      </c>
      <c r="L200" s="238" t="str">
        <f>IF(AND(ISNUMBER(L198),ISNUMBER(L199)),IF(L198&gt;0,L199/L198,""),"")</f>
        <v/>
      </c>
      <c r="M200" s="238" t="str">
        <f>IF(AND(ISNUMBER(M198),ISNUMBER(M199)),IF(M198&gt;0,M199/M198,""),"")</f>
        <v/>
      </c>
      <c r="N200" s="238" t="str">
        <f>IF(AND(ISNUMBER(N198),ISNUMBER(N199)),IF(N198&gt;0,N199/N198,""),"")</f>
        <v/>
      </c>
      <c r="O200" s="238" t="str">
        <f>IF(AND(ISNUMBER(O198),ISNUMBER(O199)),IF(O198&gt;0,O199/O198,""),"")</f>
        <v/>
      </c>
      <c r="P200" s="238" t="str">
        <f>IF(AND(ISNUMBER(P198),ISNUMBER(P199)),IF(P198&gt;0,P199/P198,""),"")</f>
        <v/>
      </c>
      <c r="Q200" s="238" t="str">
        <f>IF(AND(ISNUMBER(Q198),ISNUMBER(Q199)),IF(Q198&gt;0,Q199/Q198,""),"")</f>
        <v/>
      </c>
      <c r="R200" s="238" t="str">
        <f>IF(AND(ISNUMBER(R198),ISNUMBER(R199)),IF(R198&gt;0,R199/R198,""),"")</f>
        <v/>
      </c>
      <c r="S200" s="238" t="str">
        <f>IF(AND(ISNUMBER(S198),ISNUMBER(S199)),IF(S198&gt;0,S199/S198,""),"")</f>
        <v/>
      </c>
      <c r="T200" s="238" t="str">
        <f>IF(AND(ISNUMBER(T198),ISNUMBER(T199)),IF(T198&gt;0,T199/T198,""),"")</f>
        <v/>
      </c>
      <c r="U200" s="238" t="str">
        <f>IF(AND(ISNUMBER(U198),ISNUMBER(U199)),IF(U198&gt;0,U199/U198,""),"")</f>
        <v/>
      </c>
      <c r="V200" s="238" t="str">
        <f>IF(AND(ISNUMBER(V198),ISNUMBER(V199)),IF(V198&gt;0,V199/V198,""),"")</f>
        <v/>
      </c>
      <c r="W200" s="238" t="str">
        <f>IF(AND(ISNUMBER(W198),ISNUMBER(W199)),IF(W198&gt;0,W199/W198,""),"")</f>
        <v/>
      </c>
      <c r="X200" s="238" t="str">
        <f>IF(AND(ISNUMBER(X198),ISNUMBER(X199)),IF(X198&gt;0,X199/X198,""),"")</f>
        <v/>
      </c>
      <c r="Y200" s="238" t="str">
        <f>IF(AND(ISNUMBER(Y198),ISNUMBER(Y199)),IF(Y198&gt;0,Y199/Y198,""),"")</f>
        <v/>
      </c>
      <c r="Z200" s="238" t="str">
        <f>IF(AND(ISNUMBER(Z198),ISNUMBER(Z199)),IF(Z198&gt;0,Z199/Z198,""),"")</f>
        <v/>
      </c>
      <c r="AA200" s="238" t="str">
        <f>IF(AND(ISNUMBER(AA198),ISNUMBER(AA199)),IF(AA198&gt;0,AA199/AA198,""),"")</f>
        <v/>
      </c>
      <c r="AB200" s="238" t="str">
        <f>IF(AND(ISNUMBER(AB198),ISNUMBER(AB199)),IF(AB198&gt;0,AB199/AB198,""),"")</f>
        <v/>
      </c>
      <c r="AC200" s="238" t="str">
        <f>IF(AND(ISNUMBER(AC198),ISNUMBER(AC199)),IF(AC198&gt;0,AC199/AC198,""),"")</f>
        <v/>
      </c>
      <c r="AD200" s="238" t="str">
        <f>IF(AND(ISNUMBER(AD198),ISNUMBER(AD199)),IF(AD198&gt;0,AD199/AD198,""),"")</f>
        <v/>
      </c>
      <c r="AE200" s="238" t="str">
        <f>IF(AND(ISNUMBER(AE198),ISNUMBER(AE199)),IF(AE198&gt;0,AE199/AE198,""),"")</f>
        <v/>
      </c>
      <c r="AF200" s="238" t="str">
        <f>IF(AND(ISNUMBER(AF198),ISNUMBER(AF199)),IF(AF198&gt;0,AF199/AF198,""),"")</f>
        <v/>
      </c>
      <c r="AG200" s="238" t="str">
        <f>IF(AND(ISNUMBER(AG198),ISNUMBER(AG199)),IF(AG198&gt;0,AG199/AG198,""),"")</f>
        <v/>
      </c>
      <c r="AH200" s="238" t="str">
        <f>IF(AND(ISNUMBER(AH198),ISNUMBER(AH199)),IF(AH198&gt;0,AH199/AH198,""),"")</f>
        <v/>
      </c>
      <c r="AI200" s="238" t="str">
        <f>IF(AND(ISNUMBER(AI198),ISNUMBER(AI199)),IF(AI198&gt;0,AI199/AI198,""),"")</f>
        <v/>
      </c>
      <c r="AJ200" s="239" t="str">
        <f>IF(AND(ISNUMBER(AJ198),ISNUMBER(AJ199)),IF(AJ198&gt;0,AJ199/AJ198,""),"")</f>
        <v/>
      </c>
      <c r="AK200" s="236" t="str">
        <f>IF(AND(ISNUMBER(AK198),ISNUMBER(AK199)),IF(AK198&gt;0,AK199/AK198,""),"")</f>
        <v/>
      </c>
    </row>
    <row r="201" ht="15.75" customHeight="1" hidden="1">
      <c r="A201" s="277"/>
      <c r="B201" s="273" t="inlineStr">
        <is>
          <t xml:space="preserve">GENTE</t>
        </is>
      </c>
      <c r="C201" s="240" t="inlineStr">
        <is>
          <t xml:space="preserve">Efetivo Op.</t>
        </is>
      </c>
      <c r="D201" s="241" t="str">
        <f>IFERROR(1/(1/INDEX(BD!$AF$41:$AZ$41,MATCH($A$183,BD!$AF$22:$AZ$22,0))),"")</f>
        <v/>
      </c>
      <c r="E201" s="242"/>
      <c r="F201" s="243" t="str">
        <f>IF(F$3="","",IF(COUNTIFS(BD!$A$3:$A$5001,F$3,BD!$B$3:$B$5001,$A$183,BD!$T$3:$T$5001,"&lt;&gt;")=0,"",SUMIFS(BD!$T$3:$T$5001,BD!$A$3:$A$5001,F$3,BD!$B$3:$B$5001,$A$183)))</f>
        <v/>
      </c>
      <c r="G201" s="244" t="str">
        <f>IF(G$3="","",IF(COUNTIFS(BD!$A$3:$A$5001,G$3,BD!$B$3:$B$5001,$A$183,BD!$T$3:$T$5001,"&lt;&gt;")=0,"",SUMIFS(BD!$T$3:$T$5001,BD!$A$3:$A$5001,G$3,BD!$B$3:$B$5001,$A$183)))</f>
        <v/>
      </c>
      <c r="H201" s="244" t="str">
        <f>IF(H$3="","",IF(COUNTIFS(BD!$A$3:$A$5001,H$3,BD!$B$3:$B$5001,$A$183,BD!$T$3:$T$5001,"&lt;&gt;")=0,"",SUMIFS(BD!$T$3:$T$5001,BD!$A$3:$A$5001,H$3,BD!$B$3:$B$5001,$A$183)))</f>
        <v/>
      </c>
      <c r="I201" s="244" t="str">
        <f>IF(I$3="","",IF(COUNTIFS(BD!$A$3:$A$5001,I$3,BD!$B$3:$B$5001,$A$183,BD!$T$3:$T$5001,"&lt;&gt;")=0,"",SUMIFS(BD!$T$3:$T$5001,BD!$A$3:$A$5001,I$3,BD!$B$3:$B$5001,$A$183)))</f>
        <v/>
      </c>
      <c r="J201" s="244" t="str">
        <f>IF(J$3="","",IF(COUNTIFS(BD!$A$3:$A$5001,J$3,BD!$B$3:$B$5001,$A$183,BD!$T$3:$T$5001,"&lt;&gt;")=0,"",SUMIFS(BD!$T$3:$T$5001,BD!$A$3:$A$5001,J$3,BD!$B$3:$B$5001,$A$183)))</f>
        <v/>
      </c>
      <c r="K201" s="244" t="str">
        <f>IF(K$3="","",IF(COUNTIFS(BD!$A$3:$A$5001,K$3,BD!$B$3:$B$5001,$A$183,BD!$T$3:$T$5001,"&lt;&gt;")=0,"",SUMIFS(BD!$T$3:$T$5001,BD!$A$3:$A$5001,K$3,BD!$B$3:$B$5001,$A$183)))</f>
        <v/>
      </c>
      <c r="L201" s="244" t="str">
        <f>IF(L$3="","",IF(COUNTIFS(BD!$A$3:$A$5001,L$3,BD!$B$3:$B$5001,$A$183,BD!$T$3:$T$5001,"&lt;&gt;")=0,"",SUMIFS(BD!$T$3:$T$5001,BD!$A$3:$A$5001,L$3,BD!$B$3:$B$5001,$A$183)))</f>
        <v/>
      </c>
      <c r="M201" s="244" t="str">
        <f>IF(M$3="","",IF(COUNTIFS(BD!$A$3:$A$5001,M$3,BD!$B$3:$B$5001,$A$183,BD!$T$3:$T$5001,"&lt;&gt;")=0,"",SUMIFS(BD!$T$3:$T$5001,BD!$A$3:$A$5001,M$3,BD!$B$3:$B$5001,$A$183)))</f>
        <v/>
      </c>
      <c r="N201" s="244" t="str">
        <f>IF(N$3="","",IF(COUNTIFS(BD!$A$3:$A$5001,N$3,BD!$B$3:$B$5001,$A$183,BD!$T$3:$T$5001,"&lt;&gt;")=0,"",SUMIFS(BD!$T$3:$T$5001,BD!$A$3:$A$5001,N$3,BD!$B$3:$B$5001,$A$183)))</f>
        <v/>
      </c>
      <c r="O201" s="244" t="str">
        <f>IF(O$3="","",IF(COUNTIFS(BD!$A$3:$A$5001,O$3,BD!$B$3:$B$5001,$A$183,BD!$T$3:$T$5001,"&lt;&gt;")=0,"",SUMIFS(BD!$T$3:$T$5001,BD!$A$3:$A$5001,O$3,BD!$B$3:$B$5001,$A$183)))</f>
        <v/>
      </c>
      <c r="P201" s="244" t="str">
        <f>IF(P$3="","",IF(COUNTIFS(BD!$A$3:$A$5001,P$3,BD!$B$3:$B$5001,$A$183,BD!$T$3:$T$5001,"&lt;&gt;")=0,"",SUMIFS(BD!$T$3:$T$5001,BD!$A$3:$A$5001,P$3,BD!$B$3:$B$5001,$A$183)))</f>
        <v/>
      </c>
      <c r="Q201" s="244" t="str">
        <f>IF(Q$3="","",IF(COUNTIFS(BD!$A$3:$A$5001,Q$3,BD!$B$3:$B$5001,$A$183,BD!$T$3:$T$5001,"&lt;&gt;")=0,"",SUMIFS(BD!$T$3:$T$5001,BD!$A$3:$A$5001,Q$3,BD!$B$3:$B$5001,$A$183)))</f>
        <v/>
      </c>
      <c r="R201" s="244" t="str">
        <f>IF(R$3="","",IF(COUNTIFS(BD!$A$3:$A$5001,R$3,BD!$B$3:$B$5001,$A$183,BD!$T$3:$T$5001,"&lt;&gt;")=0,"",SUMIFS(BD!$T$3:$T$5001,BD!$A$3:$A$5001,R$3,BD!$B$3:$B$5001,$A$183)))</f>
        <v/>
      </c>
      <c r="S201" s="244" t="str">
        <f>IF(S$3="","",IF(COUNTIFS(BD!$A$3:$A$5001,S$3,BD!$B$3:$B$5001,$A$183,BD!$T$3:$T$5001,"&lt;&gt;")=0,"",SUMIFS(BD!$T$3:$T$5001,BD!$A$3:$A$5001,S$3,BD!$B$3:$B$5001,$A$183)))</f>
        <v/>
      </c>
      <c r="T201" s="244" t="str">
        <f>IF(T$3="","",IF(COUNTIFS(BD!$A$3:$A$5001,T$3,BD!$B$3:$B$5001,$A$183,BD!$T$3:$T$5001,"&lt;&gt;")=0,"",SUMIFS(BD!$T$3:$T$5001,BD!$A$3:$A$5001,T$3,BD!$B$3:$B$5001,$A$183)))</f>
        <v/>
      </c>
      <c r="U201" s="244" t="str">
        <f>IF(U$3="","",IF(COUNTIFS(BD!$A$3:$A$5001,U$3,BD!$B$3:$B$5001,$A$183,BD!$T$3:$T$5001,"&lt;&gt;")=0,"",SUMIFS(BD!$T$3:$T$5001,BD!$A$3:$A$5001,U$3,BD!$B$3:$B$5001,$A$183)))</f>
        <v/>
      </c>
      <c r="V201" s="244" t="str">
        <f>IF(V$3="","",IF(COUNTIFS(BD!$A$3:$A$5001,V$3,BD!$B$3:$B$5001,$A$183,BD!$T$3:$T$5001,"&lt;&gt;")=0,"",SUMIFS(BD!$T$3:$T$5001,BD!$A$3:$A$5001,V$3,BD!$B$3:$B$5001,$A$183)))</f>
        <v/>
      </c>
      <c r="W201" s="244" t="str">
        <f>IF(W$3="","",IF(COUNTIFS(BD!$A$3:$A$5001,W$3,BD!$B$3:$B$5001,$A$183,BD!$T$3:$T$5001,"&lt;&gt;")=0,"",SUMIFS(BD!$T$3:$T$5001,BD!$A$3:$A$5001,W$3,BD!$B$3:$B$5001,$A$183)))</f>
        <v/>
      </c>
      <c r="X201" s="244" t="str">
        <f>IF(X$3="","",IF(COUNTIFS(BD!$A$3:$A$5001,X$3,BD!$B$3:$B$5001,$A$183,BD!$T$3:$T$5001,"&lt;&gt;")=0,"",SUMIFS(BD!$T$3:$T$5001,BD!$A$3:$A$5001,X$3,BD!$B$3:$B$5001,$A$183)))</f>
        <v/>
      </c>
      <c r="Y201" s="244" t="str">
        <f>IF(Y$3="","",IF(COUNTIFS(BD!$A$3:$A$5001,Y$3,BD!$B$3:$B$5001,$A$183,BD!$T$3:$T$5001,"&lt;&gt;")=0,"",SUMIFS(BD!$T$3:$T$5001,BD!$A$3:$A$5001,Y$3,BD!$B$3:$B$5001,$A$183)))</f>
        <v/>
      </c>
      <c r="Z201" s="244" t="str">
        <f>IF(Z$3="","",IF(COUNTIFS(BD!$A$3:$A$5001,Z$3,BD!$B$3:$B$5001,$A$183,BD!$T$3:$T$5001,"&lt;&gt;")=0,"",SUMIFS(BD!$T$3:$T$5001,BD!$A$3:$A$5001,Z$3,BD!$B$3:$B$5001,$A$183)))</f>
        <v/>
      </c>
      <c r="AA201" s="244" t="str">
        <f>IF(AA$3="","",IF(COUNTIFS(BD!$A$3:$A$5001,AA$3,BD!$B$3:$B$5001,$A$183,BD!$T$3:$T$5001,"&lt;&gt;")=0,"",SUMIFS(BD!$T$3:$T$5001,BD!$A$3:$A$5001,AA$3,BD!$B$3:$B$5001,$A$183)))</f>
        <v/>
      </c>
      <c r="AB201" s="244" t="str">
        <f>IF(AB$3="","",IF(COUNTIFS(BD!$A$3:$A$5001,AB$3,BD!$B$3:$B$5001,$A$183,BD!$T$3:$T$5001,"&lt;&gt;")=0,"",SUMIFS(BD!$T$3:$T$5001,BD!$A$3:$A$5001,AB$3,BD!$B$3:$B$5001,$A$183)))</f>
        <v/>
      </c>
      <c r="AC201" s="244" t="str">
        <f>IF(AC$3="","",IF(COUNTIFS(BD!$A$3:$A$5001,AC$3,BD!$B$3:$B$5001,$A$183,BD!$T$3:$T$5001,"&lt;&gt;")=0,"",SUMIFS(BD!$T$3:$T$5001,BD!$A$3:$A$5001,AC$3,BD!$B$3:$B$5001,$A$183)))</f>
        <v/>
      </c>
      <c r="AD201" s="244" t="str">
        <f>IF(AD$3="","",IF(COUNTIFS(BD!$A$3:$A$5001,AD$3,BD!$B$3:$B$5001,$A$183,BD!$T$3:$T$5001,"&lt;&gt;")=0,"",SUMIFS(BD!$T$3:$T$5001,BD!$A$3:$A$5001,AD$3,BD!$B$3:$B$5001,$A$183)))</f>
        <v/>
      </c>
      <c r="AE201" s="244" t="str">
        <f>IF(AE$3="","",IF(COUNTIFS(BD!$A$3:$A$5001,AE$3,BD!$B$3:$B$5001,$A$183,BD!$T$3:$T$5001,"&lt;&gt;")=0,"",SUMIFS(BD!$T$3:$T$5001,BD!$A$3:$A$5001,AE$3,BD!$B$3:$B$5001,$A$183)))</f>
        <v/>
      </c>
      <c r="AF201" s="244" t="str">
        <f>IF(AF$3="","",IF(COUNTIFS(BD!$A$3:$A$5001,AF$3,BD!$B$3:$B$5001,$A$183,BD!$T$3:$T$5001,"&lt;&gt;")=0,"",SUMIFS(BD!$T$3:$T$5001,BD!$A$3:$A$5001,AF$3,BD!$B$3:$B$5001,$A$183)))</f>
        <v/>
      </c>
      <c r="AG201" s="244" t="str">
        <f>IF(AG$3="","",IF(COUNTIFS(BD!$A$3:$A$5001,AG$3,BD!$B$3:$B$5001,$A$183,BD!$T$3:$T$5001,"&lt;&gt;")=0,"",SUMIFS(BD!$T$3:$T$5001,BD!$A$3:$A$5001,AG$3,BD!$B$3:$B$5001,$A$183)))</f>
        <v/>
      </c>
      <c r="AH201" s="244" t="str">
        <f>IF(AH$3="","",IF(COUNTIFS(BD!$A$3:$A$5001,AH$3,BD!$B$3:$B$5001,$A$183,BD!$T$3:$T$5001,"&lt;&gt;")=0,"",SUMIFS(BD!$T$3:$T$5001,BD!$A$3:$A$5001,AH$3,BD!$B$3:$B$5001,$A$183)))</f>
        <v/>
      </c>
      <c r="AI201" s="244" t="str">
        <f>IF(AI$3="","",IF(COUNTIFS(BD!$A$3:$A$5001,AI$3,BD!$B$3:$B$5001,$A$183,BD!$T$3:$T$5001,"&lt;&gt;")=0,"",SUMIFS(BD!$T$3:$T$5001,BD!$A$3:$A$5001,AI$3,BD!$B$3:$B$5001,$A$183)))</f>
        <v/>
      </c>
      <c r="AJ201" s="245" t="str">
        <f>IF(AJ$3="","",IF(COUNTIFS(BD!$A$3:$A$5001,AJ$3,BD!$B$3:$B$5001,$A$183,BD!$T$3:$T$5001,"&lt;&gt;")=0,"",SUMIFS(BD!$T$3:$T$5001,BD!$A$3:$A$5001,AJ$3,BD!$B$3:$B$5001,$A$183)))</f>
        <v/>
      </c>
      <c r="AK201" s="246" t="str">
        <f>IFERROR(LOOKUP(9.99E+307,F201:AJ201),"")</f>
        <v/>
      </c>
    </row>
    <row r="202" ht="15.75" customHeight="1" hidden="1">
      <c r="A202" s="277"/>
      <c r="B202" s="274"/>
      <c r="C202" s="247" t="inlineStr">
        <is>
          <t xml:space="preserve">Falta</t>
        </is>
      </c>
      <c r="D202" s="248" t="str">
        <f>IFERROR(1/(1/INDEX(BD!$AF$42:$AZ$42,MATCH($A$183,BD!$AF$22:$AZ$22,0))),"")</f>
        <v/>
      </c>
      <c r="E202" s="249"/>
      <c r="F202" s="250" t="str">
        <f>IF(F$3="","",IF(COUNTIFS(BD!$A$3:$A$5001,F$3,BD!$B$3:$B$5001,$A$183,BD!$U$3:$U$5001,"&lt;&gt;")=0,"",SUMIFS(BD!$U$3:$U$5001,BD!$A$3:$A$5001,F$3,BD!$B$3:$B$5001,$A$183)))</f>
        <v/>
      </c>
      <c r="G202" s="251" t="str">
        <f>IF(G$3="","",IF(COUNTIFS(BD!$A$3:$A$5001,G$3,BD!$B$3:$B$5001,$A$183,BD!$U$3:$U$5001,"&lt;&gt;")=0,"",SUMIFS(BD!$U$3:$U$5001,BD!$A$3:$A$5001,G$3,BD!$B$3:$B$5001,$A$183)))</f>
        <v/>
      </c>
      <c r="H202" s="251" t="str">
        <f>IF(H$3="","",IF(COUNTIFS(BD!$A$3:$A$5001,H$3,BD!$B$3:$B$5001,$A$183,BD!$U$3:$U$5001,"&lt;&gt;")=0,"",SUMIFS(BD!$U$3:$U$5001,BD!$A$3:$A$5001,H$3,BD!$B$3:$B$5001,$A$183)))</f>
        <v/>
      </c>
      <c r="I202" s="251" t="str">
        <f>IF(I$3="","",IF(COUNTIFS(BD!$A$3:$A$5001,I$3,BD!$B$3:$B$5001,$A$183,BD!$U$3:$U$5001,"&lt;&gt;")=0,"",SUMIFS(BD!$U$3:$U$5001,BD!$A$3:$A$5001,I$3,BD!$B$3:$B$5001,$A$183)))</f>
        <v/>
      </c>
      <c r="J202" s="251" t="str">
        <f>IF(J$3="","",IF(COUNTIFS(BD!$A$3:$A$5001,J$3,BD!$B$3:$B$5001,$A$183,BD!$U$3:$U$5001,"&lt;&gt;")=0,"",SUMIFS(BD!$U$3:$U$5001,BD!$A$3:$A$5001,J$3,BD!$B$3:$B$5001,$A$183)))</f>
        <v/>
      </c>
      <c r="K202" s="251" t="str">
        <f>IF(K$3="","",IF(COUNTIFS(BD!$A$3:$A$5001,K$3,BD!$B$3:$B$5001,$A$183,BD!$U$3:$U$5001,"&lt;&gt;")=0,"",SUMIFS(BD!$U$3:$U$5001,BD!$A$3:$A$5001,K$3,BD!$B$3:$B$5001,$A$183)))</f>
        <v/>
      </c>
      <c r="L202" s="251" t="str">
        <f>IF(L$3="","",IF(COUNTIFS(BD!$A$3:$A$5001,L$3,BD!$B$3:$B$5001,$A$183,BD!$U$3:$U$5001,"&lt;&gt;")=0,"",SUMIFS(BD!$U$3:$U$5001,BD!$A$3:$A$5001,L$3,BD!$B$3:$B$5001,$A$183)))</f>
        <v/>
      </c>
      <c r="M202" s="251" t="str">
        <f>IF(M$3="","",IF(COUNTIFS(BD!$A$3:$A$5001,M$3,BD!$B$3:$B$5001,$A$183,BD!$U$3:$U$5001,"&lt;&gt;")=0,"",SUMIFS(BD!$U$3:$U$5001,BD!$A$3:$A$5001,M$3,BD!$B$3:$B$5001,$A$183)))</f>
        <v/>
      </c>
      <c r="N202" s="251" t="str">
        <f>IF(N$3="","",IF(COUNTIFS(BD!$A$3:$A$5001,N$3,BD!$B$3:$B$5001,$A$183,BD!$U$3:$U$5001,"&lt;&gt;")=0,"",SUMIFS(BD!$U$3:$U$5001,BD!$A$3:$A$5001,N$3,BD!$B$3:$B$5001,$A$183)))</f>
        <v/>
      </c>
      <c r="O202" s="251" t="str">
        <f>IF(O$3="","",IF(COUNTIFS(BD!$A$3:$A$5001,O$3,BD!$B$3:$B$5001,$A$183,BD!$U$3:$U$5001,"&lt;&gt;")=0,"",SUMIFS(BD!$U$3:$U$5001,BD!$A$3:$A$5001,O$3,BD!$B$3:$B$5001,$A$183)))</f>
        <v/>
      </c>
      <c r="P202" s="251" t="str">
        <f>IF(P$3="","",IF(COUNTIFS(BD!$A$3:$A$5001,P$3,BD!$B$3:$B$5001,$A$183,BD!$U$3:$U$5001,"&lt;&gt;")=0,"",SUMIFS(BD!$U$3:$U$5001,BD!$A$3:$A$5001,P$3,BD!$B$3:$B$5001,$A$183)))</f>
        <v/>
      </c>
      <c r="Q202" s="251" t="str">
        <f>IF(Q$3="","",IF(COUNTIFS(BD!$A$3:$A$5001,Q$3,BD!$B$3:$B$5001,$A$183,BD!$U$3:$U$5001,"&lt;&gt;")=0,"",SUMIFS(BD!$U$3:$U$5001,BD!$A$3:$A$5001,Q$3,BD!$B$3:$B$5001,$A$183)))</f>
        <v/>
      </c>
      <c r="R202" s="251" t="str">
        <f>IF(R$3="","",IF(COUNTIFS(BD!$A$3:$A$5001,R$3,BD!$B$3:$B$5001,$A$183,BD!$U$3:$U$5001,"&lt;&gt;")=0,"",SUMIFS(BD!$U$3:$U$5001,BD!$A$3:$A$5001,R$3,BD!$B$3:$B$5001,$A$183)))</f>
        <v/>
      </c>
      <c r="S202" s="251" t="str">
        <f>IF(S$3="","",IF(COUNTIFS(BD!$A$3:$A$5001,S$3,BD!$B$3:$B$5001,$A$183,BD!$U$3:$U$5001,"&lt;&gt;")=0,"",SUMIFS(BD!$U$3:$U$5001,BD!$A$3:$A$5001,S$3,BD!$B$3:$B$5001,$A$183)))</f>
        <v/>
      </c>
      <c r="T202" s="251" t="str">
        <f>IF(T$3="","",IF(COUNTIFS(BD!$A$3:$A$5001,T$3,BD!$B$3:$B$5001,$A$183,BD!$U$3:$U$5001,"&lt;&gt;")=0,"",SUMIFS(BD!$U$3:$U$5001,BD!$A$3:$A$5001,T$3,BD!$B$3:$B$5001,$A$183)))</f>
        <v/>
      </c>
      <c r="U202" s="251" t="str">
        <f>IF(U$3="","",IF(COUNTIFS(BD!$A$3:$A$5001,U$3,BD!$B$3:$B$5001,$A$183,BD!$U$3:$U$5001,"&lt;&gt;")=0,"",SUMIFS(BD!$U$3:$U$5001,BD!$A$3:$A$5001,U$3,BD!$B$3:$B$5001,$A$183)))</f>
        <v/>
      </c>
      <c r="V202" s="251" t="str">
        <f>IF(V$3="","",IF(COUNTIFS(BD!$A$3:$A$5001,V$3,BD!$B$3:$B$5001,$A$183,BD!$U$3:$U$5001,"&lt;&gt;")=0,"",SUMIFS(BD!$U$3:$U$5001,BD!$A$3:$A$5001,V$3,BD!$B$3:$B$5001,$A$183)))</f>
        <v/>
      </c>
      <c r="W202" s="251" t="str">
        <f>IF(W$3="","",IF(COUNTIFS(BD!$A$3:$A$5001,W$3,BD!$B$3:$B$5001,$A$183,BD!$U$3:$U$5001,"&lt;&gt;")=0,"",SUMIFS(BD!$U$3:$U$5001,BD!$A$3:$A$5001,W$3,BD!$B$3:$B$5001,$A$183)))</f>
        <v/>
      </c>
      <c r="X202" s="251" t="str">
        <f>IF(X$3="","",IF(COUNTIFS(BD!$A$3:$A$5001,X$3,BD!$B$3:$B$5001,$A$183,BD!$U$3:$U$5001,"&lt;&gt;")=0,"",SUMIFS(BD!$U$3:$U$5001,BD!$A$3:$A$5001,X$3,BD!$B$3:$B$5001,$A$183)))</f>
        <v/>
      </c>
      <c r="Y202" s="251" t="str">
        <f>IF(Y$3="","",IF(COUNTIFS(BD!$A$3:$A$5001,Y$3,BD!$B$3:$B$5001,$A$183,BD!$U$3:$U$5001,"&lt;&gt;")=0,"",SUMIFS(BD!$U$3:$U$5001,BD!$A$3:$A$5001,Y$3,BD!$B$3:$B$5001,$A$183)))</f>
        <v/>
      </c>
      <c r="Z202" s="251" t="str">
        <f>IF(Z$3="","",IF(COUNTIFS(BD!$A$3:$A$5001,Z$3,BD!$B$3:$B$5001,$A$183,BD!$U$3:$U$5001,"&lt;&gt;")=0,"",SUMIFS(BD!$U$3:$U$5001,BD!$A$3:$A$5001,Z$3,BD!$B$3:$B$5001,$A$183)))</f>
        <v/>
      </c>
      <c r="AA202" s="251" t="str">
        <f>IF(AA$3="","",IF(COUNTIFS(BD!$A$3:$A$5001,AA$3,BD!$B$3:$B$5001,$A$183,BD!$U$3:$U$5001,"&lt;&gt;")=0,"",SUMIFS(BD!$U$3:$U$5001,BD!$A$3:$A$5001,AA$3,BD!$B$3:$B$5001,$A$183)))</f>
        <v/>
      </c>
      <c r="AB202" s="251" t="str">
        <f>IF(AB$3="","",IF(COUNTIFS(BD!$A$3:$A$5001,AB$3,BD!$B$3:$B$5001,$A$183,BD!$U$3:$U$5001,"&lt;&gt;")=0,"",SUMIFS(BD!$U$3:$U$5001,BD!$A$3:$A$5001,AB$3,BD!$B$3:$B$5001,$A$183)))</f>
        <v/>
      </c>
      <c r="AC202" s="251" t="str">
        <f>IF(AC$3="","",IF(COUNTIFS(BD!$A$3:$A$5001,AC$3,BD!$B$3:$B$5001,$A$183,BD!$U$3:$U$5001,"&lt;&gt;")=0,"",SUMIFS(BD!$U$3:$U$5001,BD!$A$3:$A$5001,AC$3,BD!$B$3:$B$5001,$A$183)))</f>
        <v/>
      </c>
      <c r="AD202" s="251" t="str">
        <f>IF(AD$3="","",IF(COUNTIFS(BD!$A$3:$A$5001,AD$3,BD!$B$3:$B$5001,$A$183,BD!$U$3:$U$5001,"&lt;&gt;")=0,"",SUMIFS(BD!$U$3:$U$5001,BD!$A$3:$A$5001,AD$3,BD!$B$3:$B$5001,$A$183)))</f>
        <v/>
      </c>
      <c r="AE202" s="251" t="str">
        <f>IF(AE$3="","",IF(COUNTIFS(BD!$A$3:$A$5001,AE$3,BD!$B$3:$B$5001,$A$183,BD!$U$3:$U$5001,"&lt;&gt;")=0,"",SUMIFS(BD!$U$3:$U$5001,BD!$A$3:$A$5001,AE$3,BD!$B$3:$B$5001,$A$183)))</f>
        <v/>
      </c>
      <c r="AF202" s="251" t="str">
        <f>IF(AF$3="","",IF(COUNTIFS(BD!$A$3:$A$5001,AF$3,BD!$B$3:$B$5001,$A$183,BD!$U$3:$U$5001,"&lt;&gt;")=0,"",SUMIFS(BD!$U$3:$U$5001,BD!$A$3:$A$5001,AF$3,BD!$B$3:$B$5001,$A$183)))</f>
        <v/>
      </c>
      <c r="AG202" s="251" t="str">
        <f>IF(AG$3="","",IF(COUNTIFS(BD!$A$3:$A$5001,AG$3,BD!$B$3:$B$5001,$A$183,BD!$U$3:$U$5001,"&lt;&gt;")=0,"",SUMIFS(BD!$U$3:$U$5001,BD!$A$3:$A$5001,AG$3,BD!$B$3:$B$5001,$A$183)))</f>
        <v/>
      </c>
      <c r="AH202" s="251" t="str">
        <f>IF(AH$3="","",IF(COUNTIFS(BD!$A$3:$A$5001,AH$3,BD!$B$3:$B$5001,$A$183,BD!$U$3:$U$5001,"&lt;&gt;")=0,"",SUMIFS(BD!$U$3:$U$5001,BD!$A$3:$A$5001,AH$3,BD!$B$3:$B$5001,$A$183)))</f>
        <v/>
      </c>
      <c r="AI202" s="251" t="str">
        <f>IF(AI$3="","",IF(COUNTIFS(BD!$A$3:$A$5001,AI$3,BD!$B$3:$B$5001,$A$183,BD!$U$3:$U$5001,"&lt;&gt;")=0,"",SUMIFS(BD!$U$3:$U$5001,BD!$A$3:$A$5001,AI$3,BD!$B$3:$B$5001,$A$183)))</f>
        <v/>
      </c>
      <c r="AJ202" s="252" t="str">
        <f>IF(AJ$3="","",IF(COUNTIFS(BD!$A$3:$A$5001,AJ$3,BD!$B$3:$B$5001,$A$183,BD!$U$3:$U$5001,"&lt;&gt;")=0,"",SUMIFS(BD!$U$3:$U$5001,BD!$A$3:$A$5001,AJ$3,BD!$B$3:$B$5001,$A$183)))</f>
        <v/>
      </c>
      <c r="AK202" s="253" t="str">
        <f>IF(COUNT(F202:AJ202)=0,"",SUM(F202:AJ202))</f>
        <v/>
      </c>
    </row>
    <row r="203" ht="15.75" customHeight="1" hidden="1">
      <c r="A203" s="277"/>
      <c r="B203" s="274"/>
      <c r="C203" s="247" t="inlineStr">
        <is>
          <t xml:space="preserve">Absenteísmo (H/H)</t>
        </is>
      </c>
      <c r="D203" s="248" t="str">
        <f>IFERROR(1/(1/INDEX(BD!$AF$43:$AZ$43,MATCH($A$183,BD!$AF$22:$AZ$22,0))),"")</f>
        <v/>
      </c>
      <c r="E203" s="249"/>
      <c r="F203" s="254" t="str">
        <f>IF(F$3="","",IF(COUNTIFS(BD!$A$3:$A$5001,F$3,BD!$B$3:$B$5001,$A$183,BD!$V$3:$V$5001,"&lt;&gt;")=0,"",SUMIFS(BD!$V$3:$V$5001,BD!$A$3:$A$5001,F$3,BD!$B$3:$B$5001,$A$183)))</f>
        <v/>
      </c>
      <c r="G203" s="255" t="str">
        <f>IF(G$3="","",IF(COUNTIFS(BD!$A$3:$A$5001,G$3,BD!$B$3:$B$5001,$A$183,BD!$V$3:$V$5001,"&lt;&gt;")=0,"",SUMIFS(BD!$V$3:$V$5001,BD!$A$3:$A$5001,G$3,BD!$B$3:$B$5001,$A$183)))</f>
        <v/>
      </c>
      <c r="H203" s="255" t="str">
        <f>IF(H$3="","",IF(COUNTIFS(BD!$A$3:$A$5001,H$3,BD!$B$3:$B$5001,$A$183,BD!$V$3:$V$5001,"&lt;&gt;")=0,"",SUMIFS(BD!$V$3:$V$5001,BD!$A$3:$A$5001,H$3,BD!$B$3:$B$5001,$A$183)))</f>
        <v/>
      </c>
      <c r="I203" s="255" t="str">
        <f>IF(I$3="","",IF(COUNTIFS(BD!$A$3:$A$5001,I$3,BD!$B$3:$B$5001,$A$183,BD!$V$3:$V$5001,"&lt;&gt;")=0,"",SUMIFS(BD!$V$3:$V$5001,BD!$A$3:$A$5001,I$3,BD!$B$3:$B$5001,$A$183)))</f>
        <v/>
      </c>
      <c r="J203" s="255" t="str">
        <f>IF(J$3="","",IF(COUNTIFS(BD!$A$3:$A$5001,J$3,BD!$B$3:$B$5001,$A$183,BD!$V$3:$V$5001,"&lt;&gt;")=0,"",SUMIFS(BD!$V$3:$V$5001,BD!$A$3:$A$5001,J$3,BD!$B$3:$B$5001,$A$183)))</f>
        <v/>
      </c>
      <c r="K203" s="255" t="str">
        <f>IF(K$3="","",IF(COUNTIFS(BD!$A$3:$A$5001,K$3,BD!$B$3:$B$5001,$A$183,BD!$V$3:$V$5001,"&lt;&gt;")=0,"",SUMIFS(BD!$V$3:$V$5001,BD!$A$3:$A$5001,K$3,BD!$B$3:$B$5001,$A$183)))</f>
        <v/>
      </c>
      <c r="L203" s="255" t="str">
        <f>IF(L$3="","",IF(COUNTIFS(BD!$A$3:$A$5001,L$3,BD!$B$3:$B$5001,$A$183,BD!$V$3:$V$5001,"&lt;&gt;")=0,"",SUMIFS(BD!$V$3:$V$5001,BD!$A$3:$A$5001,L$3,BD!$B$3:$B$5001,$A$183)))</f>
        <v/>
      </c>
      <c r="M203" s="255" t="str">
        <f>IF(M$3="","",IF(COUNTIFS(BD!$A$3:$A$5001,M$3,BD!$B$3:$B$5001,$A$183,BD!$V$3:$V$5001,"&lt;&gt;")=0,"",SUMIFS(BD!$V$3:$V$5001,BD!$A$3:$A$5001,M$3,BD!$B$3:$B$5001,$A$183)))</f>
        <v/>
      </c>
      <c r="N203" s="255" t="str">
        <f>IF(N$3="","",IF(COUNTIFS(BD!$A$3:$A$5001,N$3,BD!$B$3:$B$5001,$A$183,BD!$V$3:$V$5001,"&lt;&gt;")=0,"",SUMIFS(BD!$V$3:$V$5001,BD!$A$3:$A$5001,N$3,BD!$B$3:$B$5001,$A$183)))</f>
        <v/>
      </c>
      <c r="O203" s="255" t="str">
        <f>IF(O$3="","",IF(COUNTIFS(BD!$A$3:$A$5001,O$3,BD!$B$3:$B$5001,$A$183,BD!$V$3:$V$5001,"&lt;&gt;")=0,"",SUMIFS(BD!$V$3:$V$5001,BD!$A$3:$A$5001,O$3,BD!$B$3:$B$5001,$A$183)))</f>
        <v/>
      </c>
      <c r="P203" s="255" t="str">
        <f>IF(P$3="","",IF(COUNTIFS(BD!$A$3:$A$5001,P$3,BD!$B$3:$B$5001,$A$183,BD!$V$3:$V$5001,"&lt;&gt;")=0,"",SUMIFS(BD!$V$3:$V$5001,BD!$A$3:$A$5001,P$3,BD!$B$3:$B$5001,$A$183)))</f>
        <v/>
      </c>
      <c r="Q203" s="255" t="str">
        <f>IF(Q$3="","",IF(COUNTIFS(BD!$A$3:$A$5001,Q$3,BD!$B$3:$B$5001,$A$183,BD!$V$3:$V$5001,"&lt;&gt;")=0,"",SUMIFS(BD!$V$3:$V$5001,BD!$A$3:$A$5001,Q$3,BD!$B$3:$B$5001,$A$183)))</f>
        <v/>
      </c>
      <c r="R203" s="255" t="str">
        <f>IF(R$3="","",IF(COUNTIFS(BD!$A$3:$A$5001,R$3,BD!$B$3:$B$5001,$A$183,BD!$V$3:$V$5001,"&lt;&gt;")=0,"",SUMIFS(BD!$V$3:$V$5001,BD!$A$3:$A$5001,R$3,BD!$B$3:$B$5001,$A$183)))</f>
        <v/>
      </c>
      <c r="S203" s="255" t="str">
        <f>IF(S$3="","",IF(COUNTIFS(BD!$A$3:$A$5001,S$3,BD!$B$3:$B$5001,$A$183,BD!$V$3:$V$5001,"&lt;&gt;")=0,"",SUMIFS(BD!$V$3:$V$5001,BD!$A$3:$A$5001,S$3,BD!$B$3:$B$5001,$A$183)))</f>
        <v/>
      </c>
      <c r="T203" s="255" t="str">
        <f>IF(T$3="","",IF(COUNTIFS(BD!$A$3:$A$5001,T$3,BD!$B$3:$B$5001,$A$183,BD!$V$3:$V$5001,"&lt;&gt;")=0,"",SUMIFS(BD!$V$3:$V$5001,BD!$A$3:$A$5001,T$3,BD!$B$3:$B$5001,$A$183)))</f>
        <v/>
      </c>
      <c r="U203" s="255" t="str">
        <f>IF(U$3="","",IF(COUNTIFS(BD!$A$3:$A$5001,U$3,BD!$B$3:$B$5001,$A$183,BD!$V$3:$V$5001,"&lt;&gt;")=0,"",SUMIFS(BD!$V$3:$V$5001,BD!$A$3:$A$5001,U$3,BD!$B$3:$B$5001,$A$183)))</f>
        <v/>
      </c>
      <c r="V203" s="255" t="str">
        <f>IF(V$3="","",IF(COUNTIFS(BD!$A$3:$A$5001,V$3,BD!$B$3:$B$5001,$A$183,BD!$V$3:$V$5001,"&lt;&gt;")=0,"",SUMIFS(BD!$V$3:$V$5001,BD!$A$3:$A$5001,V$3,BD!$B$3:$B$5001,$A$183)))</f>
        <v/>
      </c>
      <c r="W203" s="255" t="str">
        <f>IF(W$3="","",IF(COUNTIFS(BD!$A$3:$A$5001,W$3,BD!$B$3:$B$5001,$A$183,BD!$V$3:$V$5001,"&lt;&gt;")=0,"",SUMIFS(BD!$V$3:$V$5001,BD!$A$3:$A$5001,W$3,BD!$B$3:$B$5001,$A$183)))</f>
        <v/>
      </c>
      <c r="X203" s="255" t="str">
        <f>IF(X$3="","",IF(COUNTIFS(BD!$A$3:$A$5001,X$3,BD!$B$3:$B$5001,$A$183,BD!$V$3:$V$5001,"&lt;&gt;")=0,"",SUMIFS(BD!$V$3:$V$5001,BD!$A$3:$A$5001,X$3,BD!$B$3:$B$5001,$A$183)))</f>
        <v/>
      </c>
      <c r="Y203" s="255" t="str">
        <f>IF(Y$3="","",IF(COUNTIFS(BD!$A$3:$A$5001,Y$3,BD!$B$3:$B$5001,$A$183,BD!$V$3:$V$5001,"&lt;&gt;")=0,"",SUMIFS(BD!$V$3:$V$5001,BD!$A$3:$A$5001,Y$3,BD!$B$3:$B$5001,$A$183)))</f>
        <v/>
      </c>
      <c r="Z203" s="255" t="str">
        <f>IF(Z$3="","",IF(COUNTIFS(BD!$A$3:$A$5001,Z$3,BD!$B$3:$B$5001,$A$183,BD!$V$3:$V$5001,"&lt;&gt;")=0,"",SUMIFS(BD!$V$3:$V$5001,BD!$A$3:$A$5001,Z$3,BD!$B$3:$B$5001,$A$183)))</f>
        <v/>
      </c>
      <c r="AA203" s="255" t="str">
        <f>IF(AA$3="","",IF(COUNTIFS(BD!$A$3:$A$5001,AA$3,BD!$B$3:$B$5001,$A$183,BD!$V$3:$V$5001,"&lt;&gt;")=0,"",SUMIFS(BD!$V$3:$V$5001,BD!$A$3:$A$5001,AA$3,BD!$B$3:$B$5001,$A$183)))</f>
        <v/>
      </c>
      <c r="AB203" s="255" t="str">
        <f>IF(AB$3="","",IF(COUNTIFS(BD!$A$3:$A$5001,AB$3,BD!$B$3:$B$5001,$A$183,BD!$V$3:$V$5001,"&lt;&gt;")=0,"",SUMIFS(BD!$V$3:$V$5001,BD!$A$3:$A$5001,AB$3,BD!$B$3:$B$5001,$A$183)))</f>
        <v/>
      </c>
      <c r="AC203" s="255" t="str">
        <f>IF(AC$3="","",IF(COUNTIFS(BD!$A$3:$A$5001,AC$3,BD!$B$3:$B$5001,$A$183,BD!$V$3:$V$5001,"&lt;&gt;")=0,"",SUMIFS(BD!$V$3:$V$5001,BD!$A$3:$A$5001,AC$3,BD!$B$3:$B$5001,$A$183)))</f>
        <v/>
      </c>
      <c r="AD203" s="255" t="str">
        <f>IF(AD$3="","",IF(COUNTIFS(BD!$A$3:$A$5001,AD$3,BD!$B$3:$B$5001,$A$183,BD!$V$3:$V$5001,"&lt;&gt;")=0,"",SUMIFS(BD!$V$3:$V$5001,BD!$A$3:$A$5001,AD$3,BD!$B$3:$B$5001,$A$183)))</f>
        <v/>
      </c>
      <c r="AE203" s="255" t="str">
        <f>IF(AE$3="","",IF(COUNTIFS(BD!$A$3:$A$5001,AE$3,BD!$B$3:$B$5001,$A$183,BD!$V$3:$V$5001,"&lt;&gt;")=0,"",SUMIFS(BD!$V$3:$V$5001,BD!$A$3:$A$5001,AE$3,BD!$B$3:$B$5001,$A$183)))</f>
        <v/>
      </c>
      <c r="AF203" s="255" t="str">
        <f>IF(AF$3="","",IF(COUNTIFS(BD!$A$3:$A$5001,AF$3,BD!$B$3:$B$5001,$A$183,BD!$V$3:$V$5001,"&lt;&gt;")=0,"",SUMIFS(BD!$V$3:$V$5001,BD!$A$3:$A$5001,AF$3,BD!$B$3:$B$5001,$A$183)))</f>
        <v/>
      </c>
      <c r="AG203" s="255" t="str">
        <f>IF(AG$3="","",IF(COUNTIFS(BD!$A$3:$A$5001,AG$3,BD!$B$3:$B$5001,$A$183,BD!$V$3:$V$5001,"&lt;&gt;")=0,"",SUMIFS(BD!$V$3:$V$5001,BD!$A$3:$A$5001,AG$3,BD!$B$3:$B$5001,$A$183)))</f>
        <v/>
      </c>
      <c r="AH203" s="255" t="str">
        <f>IF(AH$3="","",IF(COUNTIFS(BD!$A$3:$A$5001,AH$3,BD!$B$3:$B$5001,$A$183,BD!$V$3:$V$5001,"&lt;&gt;")=0,"",SUMIFS(BD!$V$3:$V$5001,BD!$A$3:$A$5001,AH$3,BD!$B$3:$B$5001,$A$183)))</f>
        <v/>
      </c>
      <c r="AI203" s="255" t="str">
        <f>IF(AI$3="","",IF(COUNTIFS(BD!$A$3:$A$5001,AI$3,BD!$B$3:$B$5001,$A$183,BD!$V$3:$V$5001,"&lt;&gt;")=0,"",SUMIFS(BD!$V$3:$V$5001,BD!$A$3:$A$5001,AI$3,BD!$B$3:$B$5001,$A$183)))</f>
        <v/>
      </c>
      <c r="AJ203" s="256" t="str">
        <f>IF(AJ$3="","",IF(COUNTIFS(BD!$A$3:$A$5001,AJ$3,BD!$B$3:$B$5001,$A$183,BD!$V$3:$V$5001,"&lt;&gt;")=0,"",SUMIFS(BD!$V$3:$V$5001,BD!$A$3:$A$5001,AJ$3,BD!$B$3:$B$5001,$A$183)))</f>
        <v/>
      </c>
      <c r="AK203" s="257" t="str">
        <f>IF(COUNT(F203:AJ203)=0,"",SUM(F203:AJ203))</f>
        <v/>
      </c>
    </row>
    <row r="204" ht="15.75" customHeight="1" hidden="1">
      <c r="A204" s="277"/>
      <c r="B204" s="274"/>
      <c r="C204" s="247" t="inlineStr">
        <is>
          <t xml:space="preserve">Folga</t>
        </is>
      </c>
      <c r="D204" s="248" t="str">
        <f>IFERROR(1/(1/INDEX(BD!$AF$44:$AZ$44,MATCH($A$183,BD!$AF$22:$AZ$22,0))),"")</f>
        <v/>
      </c>
      <c r="E204" s="249"/>
      <c r="F204" s="250" t="str">
        <f>IF(F$3="","",IF(COUNTIFS(BD!$A$3:$A$5001,F$3,BD!$B$3:$B$5001,$A$183,BD!$W$3:$W$5001,"&lt;&gt;")=0,"",SUMIFS(BD!$W$3:$W$5001,BD!$A$3:$A$5001,F$3,BD!$B$3:$B$5001,$A$183)))</f>
        <v/>
      </c>
      <c r="G204" s="251" t="str">
        <f>IF(G$3="","",IF(COUNTIFS(BD!$A$3:$A$5001,G$3,BD!$B$3:$B$5001,$A$183,BD!$W$3:$W$5001,"&lt;&gt;")=0,"",SUMIFS(BD!$W$3:$W$5001,BD!$A$3:$A$5001,G$3,BD!$B$3:$B$5001,$A$183)))</f>
        <v/>
      </c>
      <c r="H204" s="251" t="str">
        <f>IF(H$3="","",IF(COUNTIFS(BD!$A$3:$A$5001,H$3,BD!$B$3:$B$5001,$A$183,BD!$W$3:$W$5001,"&lt;&gt;")=0,"",SUMIFS(BD!$W$3:$W$5001,BD!$A$3:$A$5001,H$3,BD!$B$3:$B$5001,$A$183)))</f>
        <v/>
      </c>
      <c r="I204" s="251" t="str">
        <f>IF(I$3="","",IF(COUNTIFS(BD!$A$3:$A$5001,I$3,BD!$B$3:$B$5001,$A$183,BD!$W$3:$W$5001,"&lt;&gt;")=0,"",SUMIFS(BD!$W$3:$W$5001,BD!$A$3:$A$5001,I$3,BD!$B$3:$B$5001,$A$183)))</f>
        <v/>
      </c>
      <c r="J204" s="251" t="str">
        <f>IF(J$3="","",IF(COUNTIFS(BD!$A$3:$A$5001,J$3,BD!$B$3:$B$5001,$A$183,BD!$W$3:$W$5001,"&lt;&gt;")=0,"",SUMIFS(BD!$W$3:$W$5001,BD!$A$3:$A$5001,J$3,BD!$B$3:$B$5001,$A$183)))</f>
        <v/>
      </c>
      <c r="K204" s="251" t="str">
        <f>IF(K$3="","",IF(COUNTIFS(BD!$A$3:$A$5001,K$3,BD!$B$3:$B$5001,$A$183,BD!$W$3:$W$5001,"&lt;&gt;")=0,"",SUMIFS(BD!$W$3:$W$5001,BD!$A$3:$A$5001,K$3,BD!$B$3:$B$5001,$A$183)))</f>
        <v/>
      </c>
      <c r="L204" s="251" t="str">
        <f>IF(L$3="","",IF(COUNTIFS(BD!$A$3:$A$5001,L$3,BD!$B$3:$B$5001,$A$183,BD!$W$3:$W$5001,"&lt;&gt;")=0,"",SUMIFS(BD!$W$3:$W$5001,BD!$A$3:$A$5001,L$3,BD!$B$3:$B$5001,$A$183)))</f>
        <v/>
      </c>
      <c r="M204" s="251" t="str">
        <f>IF(M$3="","",IF(COUNTIFS(BD!$A$3:$A$5001,M$3,BD!$B$3:$B$5001,$A$183,BD!$W$3:$W$5001,"&lt;&gt;")=0,"",SUMIFS(BD!$W$3:$W$5001,BD!$A$3:$A$5001,M$3,BD!$B$3:$B$5001,$A$183)))</f>
        <v/>
      </c>
      <c r="N204" s="251" t="str">
        <f>IF(N$3="","",IF(COUNTIFS(BD!$A$3:$A$5001,N$3,BD!$B$3:$B$5001,$A$183,BD!$W$3:$W$5001,"&lt;&gt;")=0,"",SUMIFS(BD!$W$3:$W$5001,BD!$A$3:$A$5001,N$3,BD!$B$3:$B$5001,$A$183)))</f>
        <v/>
      </c>
      <c r="O204" s="251" t="str">
        <f>IF(O$3="","",IF(COUNTIFS(BD!$A$3:$A$5001,O$3,BD!$B$3:$B$5001,$A$183,BD!$W$3:$W$5001,"&lt;&gt;")=0,"",SUMIFS(BD!$W$3:$W$5001,BD!$A$3:$A$5001,O$3,BD!$B$3:$B$5001,$A$183)))</f>
        <v/>
      </c>
      <c r="P204" s="251" t="str">
        <f>IF(P$3="","",IF(COUNTIFS(BD!$A$3:$A$5001,P$3,BD!$B$3:$B$5001,$A$183,BD!$W$3:$W$5001,"&lt;&gt;")=0,"",SUMIFS(BD!$W$3:$W$5001,BD!$A$3:$A$5001,P$3,BD!$B$3:$B$5001,$A$183)))</f>
        <v/>
      </c>
      <c r="Q204" s="251" t="str">
        <f>IF(Q$3="","",IF(COUNTIFS(BD!$A$3:$A$5001,Q$3,BD!$B$3:$B$5001,$A$183,BD!$W$3:$W$5001,"&lt;&gt;")=0,"",SUMIFS(BD!$W$3:$W$5001,BD!$A$3:$A$5001,Q$3,BD!$B$3:$B$5001,$A$183)))</f>
        <v/>
      </c>
      <c r="R204" s="251" t="str">
        <f>IF(R$3="","",IF(COUNTIFS(BD!$A$3:$A$5001,R$3,BD!$B$3:$B$5001,$A$183,BD!$W$3:$W$5001,"&lt;&gt;")=0,"",SUMIFS(BD!$W$3:$W$5001,BD!$A$3:$A$5001,R$3,BD!$B$3:$B$5001,$A$183)))</f>
        <v/>
      </c>
      <c r="S204" s="251" t="str">
        <f>IF(S$3="","",IF(COUNTIFS(BD!$A$3:$A$5001,S$3,BD!$B$3:$B$5001,$A$183,BD!$W$3:$W$5001,"&lt;&gt;")=0,"",SUMIFS(BD!$W$3:$W$5001,BD!$A$3:$A$5001,S$3,BD!$B$3:$B$5001,$A$183)))</f>
        <v/>
      </c>
      <c r="T204" s="251" t="str">
        <f>IF(T$3="","",IF(COUNTIFS(BD!$A$3:$A$5001,T$3,BD!$B$3:$B$5001,$A$183,BD!$W$3:$W$5001,"&lt;&gt;")=0,"",SUMIFS(BD!$W$3:$W$5001,BD!$A$3:$A$5001,T$3,BD!$B$3:$B$5001,$A$183)))</f>
        <v/>
      </c>
      <c r="U204" s="251" t="str">
        <f>IF(U$3="","",IF(COUNTIFS(BD!$A$3:$A$5001,U$3,BD!$B$3:$B$5001,$A$183,BD!$W$3:$W$5001,"&lt;&gt;")=0,"",SUMIFS(BD!$W$3:$W$5001,BD!$A$3:$A$5001,U$3,BD!$B$3:$B$5001,$A$183)))</f>
        <v/>
      </c>
      <c r="V204" s="251" t="str">
        <f>IF(V$3="","",IF(COUNTIFS(BD!$A$3:$A$5001,V$3,BD!$B$3:$B$5001,$A$183,BD!$W$3:$W$5001,"&lt;&gt;")=0,"",SUMIFS(BD!$W$3:$W$5001,BD!$A$3:$A$5001,V$3,BD!$B$3:$B$5001,$A$183)))</f>
        <v/>
      </c>
      <c r="W204" s="251" t="str">
        <f>IF(W$3="","",IF(COUNTIFS(BD!$A$3:$A$5001,W$3,BD!$B$3:$B$5001,$A$183,BD!$W$3:$W$5001,"&lt;&gt;")=0,"",SUMIFS(BD!$W$3:$W$5001,BD!$A$3:$A$5001,W$3,BD!$B$3:$B$5001,$A$183)))</f>
        <v/>
      </c>
      <c r="X204" s="251" t="str">
        <f>IF(X$3="","",IF(COUNTIFS(BD!$A$3:$A$5001,X$3,BD!$B$3:$B$5001,$A$183,BD!$W$3:$W$5001,"&lt;&gt;")=0,"",SUMIFS(BD!$W$3:$W$5001,BD!$A$3:$A$5001,X$3,BD!$B$3:$B$5001,$A$183)))</f>
        <v/>
      </c>
      <c r="Y204" s="251" t="str">
        <f>IF(Y$3="","",IF(COUNTIFS(BD!$A$3:$A$5001,Y$3,BD!$B$3:$B$5001,$A$183,BD!$W$3:$W$5001,"&lt;&gt;")=0,"",SUMIFS(BD!$W$3:$W$5001,BD!$A$3:$A$5001,Y$3,BD!$B$3:$B$5001,$A$183)))</f>
        <v/>
      </c>
      <c r="Z204" s="251" t="str">
        <f>IF(Z$3="","",IF(COUNTIFS(BD!$A$3:$A$5001,Z$3,BD!$B$3:$B$5001,$A$183,BD!$W$3:$W$5001,"&lt;&gt;")=0,"",SUMIFS(BD!$W$3:$W$5001,BD!$A$3:$A$5001,Z$3,BD!$B$3:$B$5001,$A$183)))</f>
        <v/>
      </c>
      <c r="AA204" s="251" t="str">
        <f>IF(AA$3="","",IF(COUNTIFS(BD!$A$3:$A$5001,AA$3,BD!$B$3:$B$5001,$A$183,BD!$W$3:$W$5001,"&lt;&gt;")=0,"",SUMIFS(BD!$W$3:$W$5001,BD!$A$3:$A$5001,AA$3,BD!$B$3:$B$5001,$A$183)))</f>
        <v/>
      </c>
      <c r="AB204" s="251" t="str">
        <f>IF(AB$3="","",IF(COUNTIFS(BD!$A$3:$A$5001,AB$3,BD!$B$3:$B$5001,$A$183,BD!$W$3:$W$5001,"&lt;&gt;")=0,"",SUMIFS(BD!$W$3:$W$5001,BD!$A$3:$A$5001,AB$3,BD!$B$3:$B$5001,$A$183)))</f>
        <v/>
      </c>
      <c r="AC204" s="251" t="str">
        <f>IF(AC$3="","",IF(COUNTIFS(BD!$A$3:$A$5001,AC$3,BD!$B$3:$B$5001,$A$183,BD!$W$3:$W$5001,"&lt;&gt;")=0,"",SUMIFS(BD!$W$3:$W$5001,BD!$A$3:$A$5001,AC$3,BD!$B$3:$B$5001,$A$183)))</f>
        <v/>
      </c>
      <c r="AD204" s="251" t="str">
        <f>IF(AD$3="","",IF(COUNTIFS(BD!$A$3:$A$5001,AD$3,BD!$B$3:$B$5001,$A$183,BD!$W$3:$W$5001,"&lt;&gt;")=0,"",SUMIFS(BD!$W$3:$W$5001,BD!$A$3:$A$5001,AD$3,BD!$B$3:$B$5001,$A$183)))</f>
        <v/>
      </c>
      <c r="AE204" s="251" t="str">
        <f>IF(AE$3="","",IF(COUNTIFS(BD!$A$3:$A$5001,AE$3,BD!$B$3:$B$5001,$A$183,BD!$W$3:$W$5001,"&lt;&gt;")=0,"",SUMIFS(BD!$W$3:$W$5001,BD!$A$3:$A$5001,AE$3,BD!$B$3:$B$5001,$A$183)))</f>
        <v/>
      </c>
      <c r="AF204" s="251" t="str">
        <f>IF(AF$3="","",IF(COUNTIFS(BD!$A$3:$A$5001,AF$3,BD!$B$3:$B$5001,$A$183,BD!$W$3:$W$5001,"&lt;&gt;")=0,"",SUMIFS(BD!$W$3:$W$5001,BD!$A$3:$A$5001,AF$3,BD!$B$3:$B$5001,$A$183)))</f>
        <v/>
      </c>
      <c r="AG204" s="251" t="str">
        <f>IF(AG$3="","",IF(COUNTIFS(BD!$A$3:$A$5001,AG$3,BD!$B$3:$B$5001,$A$183,BD!$W$3:$W$5001,"&lt;&gt;")=0,"",SUMIFS(BD!$W$3:$W$5001,BD!$A$3:$A$5001,AG$3,BD!$B$3:$B$5001,$A$183)))</f>
        <v/>
      </c>
      <c r="AH204" s="251" t="str">
        <f>IF(AH$3="","",IF(COUNTIFS(BD!$A$3:$A$5001,AH$3,BD!$B$3:$B$5001,$A$183,BD!$W$3:$W$5001,"&lt;&gt;")=0,"",SUMIFS(BD!$W$3:$W$5001,BD!$A$3:$A$5001,AH$3,BD!$B$3:$B$5001,$A$183)))</f>
        <v/>
      </c>
      <c r="AI204" s="251" t="str">
        <f>IF(AI$3="","",IF(COUNTIFS(BD!$A$3:$A$5001,AI$3,BD!$B$3:$B$5001,$A$183,BD!$W$3:$W$5001,"&lt;&gt;")=0,"",SUMIFS(BD!$W$3:$W$5001,BD!$A$3:$A$5001,AI$3,BD!$B$3:$B$5001,$A$183)))</f>
        <v/>
      </c>
      <c r="AJ204" s="252" t="str">
        <f>IF(AJ$3="","",IF(COUNTIFS(BD!$A$3:$A$5001,AJ$3,BD!$B$3:$B$5001,$A$183,BD!$W$3:$W$5001,"&lt;&gt;")=0,"",SUMIFS(BD!$W$3:$W$5001,BD!$A$3:$A$5001,AJ$3,BD!$B$3:$B$5001,$A$183)))</f>
        <v/>
      </c>
      <c r="AK204" s="253" t="str">
        <f>IF(COUNT(F204:AJ204)=0,"",SUM(F204:AJ204))</f>
        <v/>
      </c>
    </row>
    <row r="205" ht="15.75" customHeight="1" hidden="1">
      <c r="A205" s="277"/>
      <c r="B205" s="274"/>
      <c r="C205" s="247" t="inlineStr">
        <is>
          <t xml:space="preserve">Férias</t>
        </is>
      </c>
      <c r="D205" s="248" t="str">
        <f>IFERROR(1/(1/INDEX(BD!$AF$45:$AZ$45,MATCH($A$183,BD!$AF$22:$AZ$22,0))),"")</f>
        <v/>
      </c>
      <c r="E205" s="249"/>
      <c r="F205" s="250" t="str">
        <f>IF(F$3="","",IF(COUNTIFS(BD!$A$3:$A$5001,F$3,BD!$B$3:$B$5001,$A$183,BD!$X$3:$X$5001,"&lt;&gt;")=0,"",SUMIFS(BD!$X$3:$X$5001,BD!$A$3:$A$5001,F$3,BD!$B$3:$B$5001,$A$183)))</f>
        <v/>
      </c>
      <c r="G205" s="251" t="str">
        <f>IF(G$3="","",IF(COUNTIFS(BD!$A$3:$A$5001,G$3,BD!$B$3:$B$5001,$A$183,BD!$X$3:$X$5001,"&lt;&gt;")=0,"",SUMIFS(BD!$X$3:$X$5001,BD!$A$3:$A$5001,G$3,BD!$B$3:$B$5001,$A$183)))</f>
        <v/>
      </c>
      <c r="H205" s="251" t="str">
        <f>IF(H$3="","",IF(COUNTIFS(BD!$A$3:$A$5001,H$3,BD!$B$3:$B$5001,$A$183,BD!$X$3:$X$5001,"&lt;&gt;")=0,"",SUMIFS(BD!$X$3:$X$5001,BD!$A$3:$A$5001,H$3,BD!$B$3:$B$5001,$A$183)))</f>
        <v/>
      </c>
      <c r="I205" s="251" t="str">
        <f>IF(I$3="","",IF(COUNTIFS(BD!$A$3:$A$5001,I$3,BD!$B$3:$B$5001,$A$183,BD!$X$3:$X$5001,"&lt;&gt;")=0,"",SUMIFS(BD!$X$3:$X$5001,BD!$A$3:$A$5001,I$3,BD!$B$3:$B$5001,$A$183)))</f>
        <v/>
      </c>
      <c r="J205" s="251" t="str">
        <f>IF(J$3="","",IF(COUNTIFS(BD!$A$3:$A$5001,J$3,BD!$B$3:$B$5001,$A$183,BD!$X$3:$X$5001,"&lt;&gt;")=0,"",SUMIFS(BD!$X$3:$X$5001,BD!$A$3:$A$5001,J$3,BD!$B$3:$B$5001,$A$183)))</f>
        <v/>
      </c>
      <c r="K205" s="251" t="str">
        <f>IF(K$3="","",IF(COUNTIFS(BD!$A$3:$A$5001,K$3,BD!$B$3:$B$5001,$A$183,BD!$X$3:$X$5001,"&lt;&gt;")=0,"",SUMIFS(BD!$X$3:$X$5001,BD!$A$3:$A$5001,K$3,BD!$B$3:$B$5001,$A$183)))</f>
        <v/>
      </c>
      <c r="L205" s="251" t="str">
        <f>IF(L$3="","",IF(COUNTIFS(BD!$A$3:$A$5001,L$3,BD!$B$3:$B$5001,$A$183,BD!$X$3:$X$5001,"&lt;&gt;")=0,"",SUMIFS(BD!$X$3:$X$5001,BD!$A$3:$A$5001,L$3,BD!$B$3:$B$5001,$A$183)))</f>
        <v/>
      </c>
      <c r="M205" s="251" t="str">
        <f>IF(M$3="","",IF(COUNTIFS(BD!$A$3:$A$5001,M$3,BD!$B$3:$B$5001,$A$183,BD!$X$3:$X$5001,"&lt;&gt;")=0,"",SUMIFS(BD!$X$3:$X$5001,BD!$A$3:$A$5001,M$3,BD!$B$3:$B$5001,$A$183)))</f>
        <v/>
      </c>
      <c r="N205" s="251" t="str">
        <f>IF(N$3="","",IF(COUNTIFS(BD!$A$3:$A$5001,N$3,BD!$B$3:$B$5001,$A$183,BD!$X$3:$X$5001,"&lt;&gt;")=0,"",SUMIFS(BD!$X$3:$X$5001,BD!$A$3:$A$5001,N$3,BD!$B$3:$B$5001,$A$183)))</f>
        <v/>
      </c>
      <c r="O205" s="251" t="str">
        <f>IF(O$3="","",IF(COUNTIFS(BD!$A$3:$A$5001,O$3,BD!$B$3:$B$5001,$A$183,BD!$X$3:$X$5001,"&lt;&gt;")=0,"",SUMIFS(BD!$X$3:$X$5001,BD!$A$3:$A$5001,O$3,BD!$B$3:$B$5001,$A$183)))</f>
        <v/>
      </c>
      <c r="P205" s="251" t="str">
        <f>IF(P$3="","",IF(COUNTIFS(BD!$A$3:$A$5001,P$3,BD!$B$3:$B$5001,$A$183,BD!$X$3:$X$5001,"&lt;&gt;")=0,"",SUMIFS(BD!$X$3:$X$5001,BD!$A$3:$A$5001,P$3,BD!$B$3:$B$5001,$A$183)))</f>
        <v/>
      </c>
      <c r="Q205" s="251" t="str">
        <f>IF(Q$3="","",IF(COUNTIFS(BD!$A$3:$A$5001,Q$3,BD!$B$3:$B$5001,$A$183,BD!$X$3:$X$5001,"&lt;&gt;")=0,"",SUMIFS(BD!$X$3:$X$5001,BD!$A$3:$A$5001,Q$3,BD!$B$3:$B$5001,$A$183)))</f>
        <v/>
      </c>
      <c r="R205" s="251" t="str">
        <f>IF(R$3="","",IF(COUNTIFS(BD!$A$3:$A$5001,R$3,BD!$B$3:$B$5001,$A$183,BD!$X$3:$X$5001,"&lt;&gt;")=0,"",SUMIFS(BD!$X$3:$X$5001,BD!$A$3:$A$5001,R$3,BD!$B$3:$B$5001,$A$183)))</f>
        <v/>
      </c>
      <c r="S205" s="251" t="str">
        <f>IF(S$3="","",IF(COUNTIFS(BD!$A$3:$A$5001,S$3,BD!$B$3:$B$5001,$A$183,BD!$X$3:$X$5001,"&lt;&gt;")=0,"",SUMIFS(BD!$X$3:$X$5001,BD!$A$3:$A$5001,S$3,BD!$B$3:$B$5001,$A$183)))</f>
        <v/>
      </c>
      <c r="T205" s="251" t="str">
        <f>IF(T$3="","",IF(COUNTIFS(BD!$A$3:$A$5001,T$3,BD!$B$3:$B$5001,$A$183,BD!$X$3:$X$5001,"&lt;&gt;")=0,"",SUMIFS(BD!$X$3:$X$5001,BD!$A$3:$A$5001,T$3,BD!$B$3:$B$5001,$A$183)))</f>
        <v/>
      </c>
      <c r="U205" s="251" t="str">
        <f>IF(U$3="","",IF(COUNTIFS(BD!$A$3:$A$5001,U$3,BD!$B$3:$B$5001,$A$183,BD!$X$3:$X$5001,"&lt;&gt;")=0,"",SUMIFS(BD!$X$3:$X$5001,BD!$A$3:$A$5001,U$3,BD!$B$3:$B$5001,$A$183)))</f>
        <v/>
      </c>
      <c r="V205" s="251" t="str">
        <f>IF(V$3="","",IF(COUNTIFS(BD!$A$3:$A$5001,V$3,BD!$B$3:$B$5001,$A$183,BD!$X$3:$X$5001,"&lt;&gt;")=0,"",SUMIFS(BD!$X$3:$X$5001,BD!$A$3:$A$5001,V$3,BD!$B$3:$B$5001,$A$183)))</f>
        <v/>
      </c>
      <c r="W205" s="251" t="str">
        <f>IF(W$3="","",IF(COUNTIFS(BD!$A$3:$A$5001,W$3,BD!$B$3:$B$5001,$A$183,BD!$X$3:$X$5001,"&lt;&gt;")=0,"",SUMIFS(BD!$X$3:$X$5001,BD!$A$3:$A$5001,W$3,BD!$B$3:$B$5001,$A$183)))</f>
        <v/>
      </c>
      <c r="X205" s="251" t="str">
        <f>IF(X$3="","",IF(COUNTIFS(BD!$A$3:$A$5001,X$3,BD!$B$3:$B$5001,$A$183,BD!$X$3:$X$5001,"&lt;&gt;")=0,"",SUMIFS(BD!$X$3:$X$5001,BD!$A$3:$A$5001,X$3,BD!$B$3:$B$5001,$A$183)))</f>
        <v/>
      </c>
      <c r="Y205" s="251" t="str">
        <f>IF(Y$3="","",IF(COUNTIFS(BD!$A$3:$A$5001,Y$3,BD!$B$3:$B$5001,$A$183,BD!$X$3:$X$5001,"&lt;&gt;")=0,"",SUMIFS(BD!$X$3:$X$5001,BD!$A$3:$A$5001,Y$3,BD!$B$3:$B$5001,$A$183)))</f>
        <v/>
      </c>
      <c r="Z205" s="251" t="str">
        <f>IF(Z$3="","",IF(COUNTIFS(BD!$A$3:$A$5001,Z$3,BD!$B$3:$B$5001,$A$183,BD!$X$3:$X$5001,"&lt;&gt;")=0,"",SUMIFS(BD!$X$3:$X$5001,BD!$A$3:$A$5001,Z$3,BD!$B$3:$B$5001,$A$183)))</f>
        <v/>
      </c>
      <c r="AA205" s="251" t="str">
        <f>IF(AA$3="","",IF(COUNTIFS(BD!$A$3:$A$5001,AA$3,BD!$B$3:$B$5001,$A$183,BD!$X$3:$X$5001,"&lt;&gt;")=0,"",SUMIFS(BD!$X$3:$X$5001,BD!$A$3:$A$5001,AA$3,BD!$B$3:$B$5001,$A$183)))</f>
        <v/>
      </c>
      <c r="AB205" s="251" t="str">
        <f>IF(AB$3="","",IF(COUNTIFS(BD!$A$3:$A$5001,AB$3,BD!$B$3:$B$5001,$A$183,BD!$X$3:$X$5001,"&lt;&gt;")=0,"",SUMIFS(BD!$X$3:$X$5001,BD!$A$3:$A$5001,AB$3,BD!$B$3:$B$5001,$A$183)))</f>
        <v/>
      </c>
      <c r="AC205" s="251" t="str">
        <f>IF(AC$3="","",IF(COUNTIFS(BD!$A$3:$A$5001,AC$3,BD!$B$3:$B$5001,$A$183,BD!$X$3:$X$5001,"&lt;&gt;")=0,"",SUMIFS(BD!$X$3:$X$5001,BD!$A$3:$A$5001,AC$3,BD!$B$3:$B$5001,$A$183)))</f>
        <v/>
      </c>
      <c r="AD205" s="251" t="str">
        <f>IF(AD$3="","",IF(COUNTIFS(BD!$A$3:$A$5001,AD$3,BD!$B$3:$B$5001,$A$183,BD!$X$3:$X$5001,"&lt;&gt;")=0,"",SUMIFS(BD!$X$3:$X$5001,BD!$A$3:$A$5001,AD$3,BD!$B$3:$B$5001,$A$183)))</f>
        <v/>
      </c>
      <c r="AE205" s="251" t="str">
        <f>IF(AE$3="","",IF(COUNTIFS(BD!$A$3:$A$5001,AE$3,BD!$B$3:$B$5001,$A$183,BD!$X$3:$X$5001,"&lt;&gt;")=0,"",SUMIFS(BD!$X$3:$X$5001,BD!$A$3:$A$5001,AE$3,BD!$B$3:$B$5001,$A$183)))</f>
        <v/>
      </c>
      <c r="AF205" s="251" t="str">
        <f>IF(AF$3="","",IF(COUNTIFS(BD!$A$3:$A$5001,AF$3,BD!$B$3:$B$5001,$A$183,BD!$X$3:$X$5001,"&lt;&gt;")=0,"",SUMIFS(BD!$X$3:$X$5001,BD!$A$3:$A$5001,AF$3,BD!$B$3:$B$5001,$A$183)))</f>
        <v/>
      </c>
      <c r="AG205" s="251" t="str">
        <f>IF(AG$3="","",IF(COUNTIFS(BD!$A$3:$A$5001,AG$3,BD!$B$3:$B$5001,$A$183,BD!$X$3:$X$5001,"&lt;&gt;")=0,"",SUMIFS(BD!$X$3:$X$5001,BD!$A$3:$A$5001,AG$3,BD!$B$3:$B$5001,$A$183)))</f>
        <v/>
      </c>
      <c r="AH205" s="251" t="str">
        <f>IF(AH$3="","",IF(COUNTIFS(BD!$A$3:$A$5001,AH$3,BD!$B$3:$B$5001,$A$183,BD!$X$3:$X$5001,"&lt;&gt;")=0,"",SUMIFS(BD!$X$3:$X$5001,BD!$A$3:$A$5001,AH$3,BD!$B$3:$B$5001,$A$183)))</f>
        <v/>
      </c>
      <c r="AI205" s="251" t="str">
        <f>IF(AI$3="","",IF(COUNTIFS(BD!$A$3:$A$5001,AI$3,BD!$B$3:$B$5001,$A$183,BD!$X$3:$X$5001,"&lt;&gt;")=0,"",SUMIFS(BD!$X$3:$X$5001,BD!$A$3:$A$5001,AI$3,BD!$B$3:$B$5001,$A$183)))</f>
        <v/>
      </c>
      <c r="AJ205" s="252" t="str">
        <f>IF(AJ$3="","",IF(COUNTIFS(BD!$A$3:$A$5001,AJ$3,BD!$B$3:$B$5001,$A$183,BD!$X$3:$X$5001,"&lt;&gt;")=0,"",SUMIFS(BD!$X$3:$X$5001,BD!$A$3:$A$5001,AJ$3,BD!$B$3:$B$5001,$A$183)))</f>
        <v/>
      </c>
      <c r="AK205" s="253" t="str">
        <f>IF(COUNT(F205:AJ205)=0,"",SUM(F205:AJ205))</f>
        <v/>
      </c>
    </row>
    <row r="206" ht="15.75" customHeight="1" hidden="1">
      <c r="A206" s="277"/>
      <c r="B206" s="274"/>
      <c r="C206" s="247" t="inlineStr">
        <is>
          <t xml:space="preserve">Desligamento</t>
        </is>
      </c>
      <c r="D206" s="248" t="str">
        <f>IFERROR(1/(1/INDEX(BD!$AF$46:$AZ$46,MATCH($A$183,BD!$AF$22:$AZ$22,0))),"")</f>
        <v/>
      </c>
      <c r="E206" s="249"/>
      <c r="F206" s="250" t="str">
        <f>IF(F$3="","",IF(COUNTIFS(BD!$A$3:$A$5001,F$3,BD!$B$3:$B$5001,$A$183,BD!$Y$3:$Y$5001,"&lt;&gt;")=0,"",SUMIFS(BD!$Y$3:$Y$5001,BD!$A$3:$A$5001,F$3,BD!$B$3:$B$5001,$A$183)))</f>
        <v/>
      </c>
      <c r="G206" s="251" t="str">
        <f>IF(G$3="","",IF(COUNTIFS(BD!$A$3:$A$5001,G$3,BD!$B$3:$B$5001,$A$183,BD!$Y$3:$Y$5001,"&lt;&gt;")=0,"",SUMIFS(BD!$Y$3:$Y$5001,BD!$A$3:$A$5001,G$3,BD!$B$3:$B$5001,$A$183)))</f>
        <v/>
      </c>
      <c r="H206" s="251" t="str">
        <f>IF(H$3="","",IF(COUNTIFS(BD!$A$3:$A$5001,H$3,BD!$B$3:$B$5001,$A$183,BD!$Y$3:$Y$5001,"&lt;&gt;")=0,"",SUMIFS(BD!$Y$3:$Y$5001,BD!$A$3:$A$5001,H$3,BD!$B$3:$B$5001,$A$183)))</f>
        <v/>
      </c>
      <c r="I206" s="251" t="str">
        <f>IF(I$3="","",IF(COUNTIFS(BD!$A$3:$A$5001,I$3,BD!$B$3:$B$5001,$A$183,BD!$Y$3:$Y$5001,"&lt;&gt;")=0,"",SUMIFS(BD!$Y$3:$Y$5001,BD!$A$3:$A$5001,I$3,BD!$B$3:$B$5001,$A$183)))</f>
        <v/>
      </c>
      <c r="J206" s="251" t="str">
        <f>IF(J$3="","",IF(COUNTIFS(BD!$A$3:$A$5001,J$3,BD!$B$3:$B$5001,$A$183,BD!$Y$3:$Y$5001,"&lt;&gt;")=0,"",SUMIFS(BD!$Y$3:$Y$5001,BD!$A$3:$A$5001,J$3,BD!$B$3:$B$5001,$A$183)))</f>
        <v/>
      </c>
      <c r="K206" s="251" t="str">
        <f>IF(K$3="","",IF(COUNTIFS(BD!$A$3:$A$5001,K$3,BD!$B$3:$B$5001,$A$183,BD!$Y$3:$Y$5001,"&lt;&gt;")=0,"",SUMIFS(BD!$Y$3:$Y$5001,BD!$A$3:$A$5001,K$3,BD!$B$3:$B$5001,$A$183)))</f>
        <v/>
      </c>
      <c r="L206" s="251" t="str">
        <f>IF(L$3="","",IF(COUNTIFS(BD!$A$3:$A$5001,L$3,BD!$B$3:$B$5001,$A$183,BD!$Y$3:$Y$5001,"&lt;&gt;")=0,"",SUMIFS(BD!$Y$3:$Y$5001,BD!$A$3:$A$5001,L$3,BD!$B$3:$B$5001,$A$183)))</f>
        <v/>
      </c>
      <c r="M206" s="251" t="str">
        <f>IF(M$3="","",IF(COUNTIFS(BD!$A$3:$A$5001,M$3,BD!$B$3:$B$5001,$A$183,BD!$Y$3:$Y$5001,"&lt;&gt;")=0,"",SUMIFS(BD!$Y$3:$Y$5001,BD!$A$3:$A$5001,M$3,BD!$B$3:$B$5001,$A$183)))</f>
        <v/>
      </c>
      <c r="N206" s="251" t="str">
        <f>IF(N$3="","",IF(COUNTIFS(BD!$A$3:$A$5001,N$3,BD!$B$3:$B$5001,$A$183,BD!$Y$3:$Y$5001,"&lt;&gt;")=0,"",SUMIFS(BD!$Y$3:$Y$5001,BD!$A$3:$A$5001,N$3,BD!$B$3:$B$5001,$A$183)))</f>
        <v/>
      </c>
      <c r="O206" s="251" t="str">
        <f>IF(O$3="","",IF(COUNTIFS(BD!$A$3:$A$5001,O$3,BD!$B$3:$B$5001,$A$183,BD!$Y$3:$Y$5001,"&lt;&gt;")=0,"",SUMIFS(BD!$Y$3:$Y$5001,BD!$A$3:$A$5001,O$3,BD!$B$3:$B$5001,$A$183)))</f>
        <v/>
      </c>
      <c r="P206" s="251" t="str">
        <f>IF(P$3="","",IF(COUNTIFS(BD!$A$3:$A$5001,P$3,BD!$B$3:$B$5001,$A$183,BD!$Y$3:$Y$5001,"&lt;&gt;")=0,"",SUMIFS(BD!$Y$3:$Y$5001,BD!$A$3:$A$5001,P$3,BD!$B$3:$B$5001,$A$183)))</f>
        <v/>
      </c>
      <c r="Q206" s="251" t="str">
        <f>IF(Q$3="","",IF(COUNTIFS(BD!$A$3:$A$5001,Q$3,BD!$B$3:$B$5001,$A$183,BD!$Y$3:$Y$5001,"&lt;&gt;")=0,"",SUMIFS(BD!$Y$3:$Y$5001,BD!$A$3:$A$5001,Q$3,BD!$B$3:$B$5001,$A$183)))</f>
        <v/>
      </c>
      <c r="R206" s="251" t="str">
        <f>IF(R$3="","",IF(COUNTIFS(BD!$A$3:$A$5001,R$3,BD!$B$3:$B$5001,$A$183,BD!$Y$3:$Y$5001,"&lt;&gt;")=0,"",SUMIFS(BD!$Y$3:$Y$5001,BD!$A$3:$A$5001,R$3,BD!$B$3:$B$5001,$A$183)))</f>
        <v/>
      </c>
      <c r="S206" s="251" t="str">
        <f>IF(S$3="","",IF(COUNTIFS(BD!$A$3:$A$5001,S$3,BD!$B$3:$B$5001,$A$183,BD!$Y$3:$Y$5001,"&lt;&gt;")=0,"",SUMIFS(BD!$Y$3:$Y$5001,BD!$A$3:$A$5001,S$3,BD!$B$3:$B$5001,$A$183)))</f>
        <v/>
      </c>
      <c r="T206" s="251" t="str">
        <f>IF(T$3="","",IF(COUNTIFS(BD!$A$3:$A$5001,T$3,BD!$B$3:$B$5001,$A$183,BD!$Y$3:$Y$5001,"&lt;&gt;")=0,"",SUMIFS(BD!$Y$3:$Y$5001,BD!$A$3:$A$5001,T$3,BD!$B$3:$B$5001,$A$183)))</f>
        <v/>
      </c>
      <c r="U206" s="251" t="str">
        <f>IF(U$3="","",IF(COUNTIFS(BD!$A$3:$A$5001,U$3,BD!$B$3:$B$5001,$A$183,BD!$Y$3:$Y$5001,"&lt;&gt;")=0,"",SUMIFS(BD!$Y$3:$Y$5001,BD!$A$3:$A$5001,U$3,BD!$B$3:$B$5001,$A$183)))</f>
        <v/>
      </c>
      <c r="V206" s="251" t="str">
        <f>IF(V$3="","",IF(COUNTIFS(BD!$A$3:$A$5001,V$3,BD!$B$3:$B$5001,$A$183,BD!$Y$3:$Y$5001,"&lt;&gt;")=0,"",SUMIFS(BD!$Y$3:$Y$5001,BD!$A$3:$A$5001,V$3,BD!$B$3:$B$5001,$A$183)))</f>
        <v/>
      </c>
      <c r="W206" s="251" t="str">
        <f>IF(W$3="","",IF(COUNTIFS(BD!$A$3:$A$5001,W$3,BD!$B$3:$B$5001,$A$183,BD!$Y$3:$Y$5001,"&lt;&gt;")=0,"",SUMIFS(BD!$Y$3:$Y$5001,BD!$A$3:$A$5001,W$3,BD!$B$3:$B$5001,$A$183)))</f>
        <v/>
      </c>
      <c r="X206" s="251" t="str">
        <f>IF(X$3="","",IF(COUNTIFS(BD!$A$3:$A$5001,X$3,BD!$B$3:$B$5001,$A$183,BD!$Y$3:$Y$5001,"&lt;&gt;")=0,"",SUMIFS(BD!$Y$3:$Y$5001,BD!$A$3:$A$5001,X$3,BD!$B$3:$B$5001,$A$183)))</f>
        <v/>
      </c>
      <c r="Y206" s="251" t="str">
        <f>IF(Y$3="","",IF(COUNTIFS(BD!$A$3:$A$5001,Y$3,BD!$B$3:$B$5001,$A$183,BD!$Y$3:$Y$5001,"&lt;&gt;")=0,"",SUMIFS(BD!$Y$3:$Y$5001,BD!$A$3:$A$5001,Y$3,BD!$B$3:$B$5001,$A$183)))</f>
        <v/>
      </c>
      <c r="Z206" s="251" t="str">
        <f>IF(Z$3="","",IF(COUNTIFS(BD!$A$3:$A$5001,Z$3,BD!$B$3:$B$5001,$A$183,BD!$Y$3:$Y$5001,"&lt;&gt;")=0,"",SUMIFS(BD!$Y$3:$Y$5001,BD!$A$3:$A$5001,Z$3,BD!$B$3:$B$5001,$A$183)))</f>
        <v/>
      </c>
      <c r="AA206" s="251" t="str">
        <f>IF(AA$3="","",IF(COUNTIFS(BD!$A$3:$A$5001,AA$3,BD!$B$3:$B$5001,$A$183,BD!$Y$3:$Y$5001,"&lt;&gt;")=0,"",SUMIFS(BD!$Y$3:$Y$5001,BD!$A$3:$A$5001,AA$3,BD!$B$3:$B$5001,$A$183)))</f>
        <v/>
      </c>
      <c r="AB206" s="251" t="str">
        <f>IF(AB$3="","",IF(COUNTIFS(BD!$A$3:$A$5001,AB$3,BD!$B$3:$B$5001,$A$183,BD!$Y$3:$Y$5001,"&lt;&gt;")=0,"",SUMIFS(BD!$Y$3:$Y$5001,BD!$A$3:$A$5001,AB$3,BD!$B$3:$B$5001,$A$183)))</f>
        <v/>
      </c>
      <c r="AC206" s="251" t="str">
        <f>IF(AC$3="","",IF(COUNTIFS(BD!$A$3:$A$5001,AC$3,BD!$B$3:$B$5001,$A$183,BD!$Y$3:$Y$5001,"&lt;&gt;")=0,"",SUMIFS(BD!$Y$3:$Y$5001,BD!$A$3:$A$5001,AC$3,BD!$B$3:$B$5001,$A$183)))</f>
        <v/>
      </c>
      <c r="AD206" s="251" t="str">
        <f>IF(AD$3="","",IF(COUNTIFS(BD!$A$3:$A$5001,AD$3,BD!$B$3:$B$5001,$A$183,BD!$Y$3:$Y$5001,"&lt;&gt;")=0,"",SUMIFS(BD!$Y$3:$Y$5001,BD!$A$3:$A$5001,AD$3,BD!$B$3:$B$5001,$A$183)))</f>
        <v/>
      </c>
      <c r="AE206" s="251" t="str">
        <f>IF(AE$3="","",IF(COUNTIFS(BD!$A$3:$A$5001,AE$3,BD!$B$3:$B$5001,$A$183,BD!$Y$3:$Y$5001,"&lt;&gt;")=0,"",SUMIFS(BD!$Y$3:$Y$5001,BD!$A$3:$A$5001,AE$3,BD!$B$3:$B$5001,$A$183)))</f>
        <v/>
      </c>
      <c r="AF206" s="251" t="str">
        <f>IF(AF$3="","",IF(COUNTIFS(BD!$A$3:$A$5001,AF$3,BD!$B$3:$B$5001,$A$183,BD!$Y$3:$Y$5001,"&lt;&gt;")=0,"",SUMIFS(BD!$Y$3:$Y$5001,BD!$A$3:$A$5001,AF$3,BD!$B$3:$B$5001,$A$183)))</f>
        <v/>
      </c>
      <c r="AG206" s="251" t="str">
        <f>IF(AG$3="","",IF(COUNTIFS(BD!$A$3:$A$5001,AG$3,BD!$B$3:$B$5001,$A$183,BD!$Y$3:$Y$5001,"&lt;&gt;")=0,"",SUMIFS(BD!$Y$3:$Y$5001,BD!$A$3:$A$5001,AG$3,BD!$B$3:$B$5001,$A$183)))</f>
        <v/>
      </c>
      <c r="AH206" s="251" t="str">
        <f>IF(AH$3="","",IF(COUNTIFS(BD!$A$3:$A$5001,AH$3,BD!$B$3:$B$5001,$A$183,BD!$Y$3:$Y$5001,"&lt;&gt;")=0,"",SUMIFS(BD!$Y$3:$Y$5001,BD!$A$3:$A$5001,AH$3,BD!$B$3:$B$5001,$A$183)))</f>
        <v/>
      </c>
      <c r="AI206" s="251" t="str">
        <f>IF(AI$3="","",IF(COUNTIFS(BD!$A$3:$A$5001,AI$3,BD!$B$3:$B$5001,$A$183,BD!$Y$3:$Y$5001,"&lt;&gt;")=0,"",SUMIFS(BD!$Y$3:$Y$5001,BD!$A$3:$A$5001,AI$3,BD!$B$3:$B$5001,$A$183)))</f>
        <v/>
      </c>
      <c r="AJ206" s="252" t="str">
        <f>IF(AJ$3="","",IF(COUNTIFS(BD!$A$3:$A$5001,AJ$3,BD!$B$3:$B$5001,$A$183,BD!$Y$3:$Y$5001,"&lt;&gt;")=0,"",SUMIFS(BD!$Y$3:$Y$5001,BD!$A$3:$A$5001,AJ$3,BD!$B$3:$B$5001,$A$183)))</f>
        <v/>
      </c>
      <c r="AK206" s="253" t="str">
        <f>IF(COUNT(F206:AJ206)=0,"",SUM(F206:AJ206))</f>
        <v/>
      </c>
    </row>
    <row r="207" ht="15.75" customHeight="1" hidden="1">
      <c r="A207" s="277"/>
      <c r="B207" s="274"/>
      <c r="C207" s="247" t="inlineStr">
        <is>
          <t xml:space="preserve">Desvios Comportamentais</t>
        </is>
      </c>
      <c r="D207" s="248" t="str">
        <f>IFERROR(1/(1/INDEX(BD!$AF$47:$AZ$47,MATCH($A$183,BD!$AF$22:$AZ$22,0))),"")</f>
        <v/>
      </c>
      <c r="E207" s="249"/>
      <c r="F207" s="250" t="str">
        <f>IF(F$3="","",IF(COUNTIFS(BD!$A$3:$A$5001,F$3,BD!$B$3:$B$5001,$A$183,BD!$Z$3:$Z$5001,"&lt;&gt;")=0,"",SUMIFS(BD!$Z$3:$Z$5001,BD!$A$3:$A$5001,F$3,BD!$B$3:$B$5001,$A$183)))</f>
        <v/>
      </c>
      <c r="G207" s="251" t="str">
        <f>IF(G$3="","",IF(COUNTIFS(BD!$A$3:$A$5001,G$3,BD!$B$3:$B$5001,$A$183,BD!$Z$3:$Z$5001,"&lt;&gt;")=0,"",SUMIFS(BD!$Z$3:$Z$5001,BD!$A$3:$A$5001,G$3,BD!$B$3:$B$5001,$A$183)))</f>
        <v/>
      </c>
      <c r="H207" s="251" t="str">
        <f>IF(H$3="","",IF(COUNTIFS(BD!$A$3:$A$5001,H$3,BD!$B$3:$B$5001,$A$183,BD!$Z$3:$Z$5001,"&lt;&gt;")=0,"",SUMIFS(BD!$Z$3:$Z$5001,BD!$A$3:$A$5001,H$3,BD!$B$3:$B$5001,$A$183)))</f>
        <v/>
      </c>
      <c r="I207" s="251" t="str">
        <f>IF(I$3="","",IF(COUNTIFS(BD!$A$3:$A$5001,I$3,BD!$B$3:$B$5001,$A$183,BD!$Z$3:$Z$5001,"&lt;&gt;")=0,"",SUMIFS(BD!$Z$3:$Z$5001,BD!$A$3:$A$5001,I$3,BD!$B$3:$B$5001,$A$183)))</f>
        <v/>
      </c>
      <c r="J207" s="251" t="str">
        <f>IF(J$3="","",IF(COUNTIFS(BD!$A$3:$A$5001,J$3,BD!$B$3:$B$5001,$A$183,BD!$Z$3:$Z$5001,"&lt;&gt;")=0,"",SUMIFS(BD!$Z$3:$Z$5001,BD!$A$3:$A$5001,J$3,BD!$B$3:$B$5001,$A$183)))</f>
        <v/>
      </c>
      <c r="K207" s="251" t="str">
        <f>IF(K$3="","",IF(COUNTIFS(BD!$A$3:$A$5001,K$3,BD!$B$3:$B$5001,$A$183,BD!$Z$3:$Z$5001,"&lt;&gt;")=0,"",SUMIFS(BD!$Z$3:$Z$5001,BD!$A$3:$A$5001,K$3,BD!$B$3:$B$5001,$A$183)))</f>
        <v/>
      </c>
      <c r="L207" s="251" t="str">
        <f>IF(L$3="","",IF(COUNTIFS(BD!$A$3:$A$5001,L$3,BD!$B$3:$B$5001,$A$183,BD!$Z$3:$Z$5001,"&lt;&gt;")=0,"",SUMIFS(BD!$Z$3:$Z$5001,BD!$A$3:$A$5001,L$3,BD!$B$3:$B$5001,$A$183)))</f>
        <v/>
      </c>
      <c r="M207" s="251" t="str">
        <f>IF(M$3="","",IF(COUNTIFS(BD!$A$3:$A$5001,M$3,BD!$B$3:$B$5001,$A$183,BD!$Z$3:$Z$5001,"&lt;&gt;")=0,"",SUMIFS(BD!$Z$3:$Z$5001,BD!$A$3:$A$5001,M$3,BD!$B$3:$B$5001,$A$183)))</f>
        <v/>
      </c>
      <c r="N207" s="251" t="str">
        <f>IF(N$3="","",IF(COUNTIFS(BD!$A$3:$A$5001,N$3,BD!$B$3:$B$5001,$A$183,BD!$Z$3:$Z$5001,"&lt;&gt;")=0,"",SUMIFS(BD!$Z$3:$Z$5001,BD!$A$3:$A$5001,N$3,BD!$B$3:$B$5001,$A$183)))</f>
        <v/>
      </c>
      <c r="O207" s="251" t="str">
        <f>IF(O$3="","",IF(COUNTIFS(BD!$A$3:$A$5001,O$3,BD!$B$3:$B$5001,$A$183,BD!$Z$3:$Z$5001,"&lt;&gt;")=0,"",SUMIFS(BD!$Z$3:$Z$5001,BD!$A$3:$A$5001,O$3,BD!$B$3:$B$5001,$A$183)))</f>
        <v/>
      </c>
      <c r="P207" s="251" t="str">
        <f>IF(P$3="","",IF(COUNTIFS(BD!$A$3:$A$5001,P$3,BD!$B$3:$B$5001,$A$183,BD!$Z$3:$Z$5001,"&lt;&gt;")=0,"",SUMIFS(BD!$Z$3:$Z$5001,BD!$A$3:$A$5001,P$3,BD!$B$3:$B$5001,$A$183)))</f>
        <v/>
      </c>
      <c r="Q207" s="251" t="str">
        <f>IF(Q$3="","",IF(COUNTIFS(BD!$A$3:$A$5001,Q$3,BD!$B$3:$B$5001,$A$183,BD!$Z$3:$Z$5001,"&lt;&gt;")=0,"",SUMIFS(BD!$Z$3:$Z$5001,BD!$A$3:$A$5001,Q$3,BD!$B$3:$B$5001,$A$183)))</f>
        <v/>
      </c>
      <c r="R207" s="251" t="str">
        <f>IF(R$3="","",IF(COUNTIFS(BD!$A$3:$A$5001,R$3,BD!$B$3:$B$5001,$A$183,BD!$Z$3:$Z$5001,"&lt;&gt;")=0,"",SUMIFS(BD!$Z$3:$Z$5001,BD!$A$3:$A$5001,R$3,BD!$B$3:$B$5001,$A$183)))</f>
        <v/>
      </c>
      <c r="S207" s="251" t="str">
        <f>IF(S$3="","",IF(COUNTIFS(BD!$A$3:$A$5001,S$3,BD!$B$3:$B$5001,$A$183,BD!$Z$3:$Z$5001,"&lt;&gt;")=0,"",SUMIFS(BD!$Z$3:$Z$5001,BD!$A$3:$A$5001,S$3,BD!$B$3:$B$5001,$A$183)))</f>
        <v/>
      </c>
      <c r="T207" s="251" t="str">
        <f>IF(T$3="","",IF(COUNTIFS(BD!$A$3:$A$5001,T$3,BD!$B$3:$B$5001,$A$183,BD!$Z$3:$Z$5001,"&lt;&gt;")=0,"",SUMIFS(BD!$Z$3:$Z$5001,BD!$A$3:$A$5001,T$3,BD!$B$3:$B$5001,$A$183)))</f>
        <v/>
      </c>
      <c r="U207" s="251" t="str">
        <f>IF(U$3="","",IF(COUNTIFS(BD!$A$3:$A$5001,U$3,BD!$B$3:$B$5001,$A$183,BD!$Z$3:$Z$5001,"&lt;&gt;")=0,"",SUMIFS(BD!$Z$3:$Z$5001,BD!$A$3:$A$5001,U$3,BD!$B$3:$B$5001,$A$183)))</f>
        <v/>
      </c>
      <c r="V207" s="251" t="str">
        <f>IF(V$3="","",IF(COUNTIFS(BD!$A$3:$A$5001,V$3,BD!$B$3:$B$5001,$A$183,BD!$Z$3:$Z$5001,"&lt;&gt;")=0,"",SUMIFS(BD!$Z$3:$Z$5001,BD!$A$3:$A$5001,V$3,BD!$B$3:$B$5001,$A$183)))</f>
        <v/>
      </c>
      <c r="W207" s="251" t="str">
        <f>IF(W$3="","",IF(COUNTIFS(BD!$A$3:$A$5001,W$3,BD!$B$3:$B$5001,$A$183,BD!$Z$3:$Z$5001,"&lt;&gt;")=0,"",SUMIFS(BD!$Z$3:$Z$5001,BD!$A$3:$A$5001,W$3,BD!$B$3:$B$5001,$A$183)))</f>
        <v/>
      </c>
      <c r="X207" s="251" t="str">
        <f>IF(X$3="","",IF(COUNTIFS(BD!$A$3:$A$5001,X$3,BD!$B$3:$B$5001,$A$183,BD!$Z$3:$Z$5001,"&lt;&gt;")=0,"",SUMIFS(BD!$Z$3:$Z$5001,BD!$A$3:$A$5001,X$3,BD!$B$3:$B$5001,$A$183)))</f>
        <v/>
      </c>
      <c r="Y207" s="251" t="str">
        <f>IF(Y$3="","",IF(COUNTIFS(BD!$A$3:$A$5001,Y$3,BD!$B$3:$B$5001,$A$183,BD!$Z$3:$Z$5001,"&lt;&gt;")=0,"",SUMIFS(BD!$Z$3:$Z$5001,BD!$A$3:$A$5001,Y$3,BD!$B$3:$B$5001,$A$183)))</f>
        <v/>
      </c>
      <c r="Z207" s="251" t="str">
        <f>IF(Z$3="","",IF(COUNTIFS(BD!$A$3:$A$5001,Z$3,BD!$B$3:$B$5001,$A$183,BD!$Z$3:$Z$5001,"&lt;&gt;")=0,"",SUMIFS(BD!$Z$3:$Z$5001,BD!$A$3:$A$5001,Z$3,BD!$B$3:$B$5001,$A$183)))</f>
        <v/>
      </c>
      <c r="AA207" s="251" t="str">
        <f>IF(AA$3="","",IF(COUNTIFS(BD!$A$3:$A$5001,AA$3,BD!$B$3:$B$5001,$A$183,BD!$Z$3:$Z$5001,"&lt;&gt;")=0,"",SUMIFS(BD!$Z$3:$Z$5001,BD!$A$3:$A$5001,AA$3,BD!$B$3:$B$5001,$A$183)))</f>
        <v/>
      </c>
      <c r="AB207" s="251" t="str">
        <f>IF(AB$3="","",IF(COUNTIFS(BD!$A$3:$A$5001,AB$3,BD!$B$3:$B$5001,$A$183,BD!$Z$3:$Z$5001,"&lt;&gt;")=0,"",SUMIFS(BD!$Z$3:$Z$5001,BD!$A$3:$A$5001,AB$3,BD!$B$3:$B$5001,$A$183)))</f>
        <v/>
      </c>
      <c r="AC207" s="251" t="str">
        <f>IF(AC$3="","",IF(COUNTIFS(BD!$A$3:$A$5001,AC$3,BD!$B$3:$B$5001,$A$183,BD!$Z$3:$Z$5001,"&lt;&gt;")=0,"",SUMIFS(BD!$Z$3:$Z$5001,BD!$A$3:$A$5001,AC$3,BD!$B$3:$B$5001,$A$183)))</f>
        <v/>
      </c>
      <c r="AD207" s="251" t="str">
        <f>IF(AD$3="","",IF(COUNTIFS(BD!$A$3:$A$5001,AD$3,BD!$B$3:$B$5001,$A$183,BD!$Z$3:$Z$5001,"&lt;&gt;")=0,"",SUMIFS(BD!$Z$3:$Z$5001,BD!$A$3:$A$5001,AD$3,BD!$B$3:$B$5001,$A$183)))</f>
        <v/>
      </c>
      <c r="AE207" s="251" t="str">
        <f>IF(AE$3="","",IF(COUNTIFS(BD!$A$3:$A$5001,AE$3,BD!$B$3:$B$5001,$A$183,BD!$Z$3:$Z$5001,"&lt;&gt;")=0,"",SUMIFS(BD!$Z$3:$Z$5001,BD!$A$3:$A$5001,AE$3,BD!$B$3:$B$5001,$A$183)))</f>
        <v/>
      </c>
      <c r="AF207" s="251" t="str">
        <f>IF(AF$3="","",IF(COUNTIFS(BD!$A$3:$A$5001,AF$3,BD!$B$3:$B$5001,$A$183,BD!$Z$3:$Z$5001,"&lt;&gt;")=0,"",SUMIFS(BD!$Z$3:$Z$5001,BD!$A$3:$A$5001,AF$3,BD!$B$3:$B$5001,$A$183)))</f>
        <v/>
      </c>
      <c r="AG207" s="251" t="str">
        <f>IF(AG$3="","",IF(COUNTIFS(BD!$A$3:$A$5001,AG$3,BD!$B$3:$B$5001,$A$183,BD!$Z$3:$Z$5001,"&lt;&gt;")=0,"",SUMIFS(BD!$Z$3:$Z$5001,BD!$A$3:$A$5001,AG$3,BD!$B$3:$B$5001,$A$183)))</f>
        <v/>
      </c>
      <c r="AH207" s="251" t="str">
        <f>IF(AH$3="","",IF(COUNTIFS(BD!$A$3:$A$5001,AH$3,BD!$B$3:$B$5001,$A$183,BD!$Z$3:$Z$5001,"&lt;&gt;")=0,"",SUMIFS(BD!$Z$3:$Z$5001,BD!$A$3:$A$5001,AH$3,BD!$B$3:$B$5001,$A$183)))</f>
        <v/>
      </c>
      <c r="AI207" s="251" t="str">
        <f>IF(AI$3="","",IF(COUNTIFS(BD!$A$3:$A$5001,AI$3,BD!$B$3:$B$5001,$A$183,BD!$Z$3:$Z$5001,"&lt;&gt;")=0,"",SUMIFS(BD!$Z$3:$Z$5001,BD!$A$3:$A$5001,AI$3,BD!$B$3:$B$5001,$A$183)))</f>
        <v/>
      </c>
      <c r="AJ207" s="252" t="str">
        <f>IF(AJ$3="","",IF(COUNTIFS(BD!$A$3:$A$5001,AJ$3,BD!$B$3:$B$5001,$A$183,BD!$Z$3:$Z$5001,"&lt;&gt;")=0,"",SUMIFS(BD!$Z$3:$Z$5001,BD!$A$3:$A$5001,AJ$3,BD!$B$3:$B$5001,$A$183)))</f>
        <v/>
      </c>
      <c r="AK207" s="253" t="str">
        <f>IF(COUNT(F207:AJ207)=0,"",SUM(F207:AJ207))</f>
        <v/>
      </c>
    </row>
    <row r="208" ht="15.75" customHeight="1" hidden="1">
      <c r="A208" s="277"/>
      <c r="B208" s="274"/>
      <c r="C208" s="247" t="inlineStr">
        <is>
          <t xml:space="preserve">Acidentes CAF</t>
        </is>
      </c>
      <c r="D208" s="248" t="str">
        <f>IFERROR(1/(1/INDEX(BD!$AF$48:$AZ$48,MATCH($A$183,BD!$AF$22:$AZ$22,0))),"")</f>
        <v/>
      </c>
      <c r="E208" s="249"/>
      <c r="F208" s="250" t="str">
        <f>IF(F$3="","",IF(COUNTIFS(BD!$A$3:$A$5001,F$3,BD!$B$3:$B$5001,$A$183,BD!$AA$3:$AA$5001,"&lt;&gt;")=0,"",SUMIFS(BD!$AA$3:$AA$5001,BD!$A$3:$A$5001,F$3,BD!$B$3:$B$5001,$A$183)))</f>
        <v/>
      </c>
      <c r="G208" s="251" t="str">
        <f>IF(G$3="","",IF(COUNTIFS(BD!$A$3:$A$5001,G$3,BD!$B$3:$B$5001,$A$183,BD!$AA$3:$AA$5001,"&lt;&gt;")=0,"",SUMIFS(BD!$AA$3:$AA$5001,BD!$A$3:$A$5001,G$3,BD!$B$3:$B$5001,$A$183)))</f>
        <v/>
      </c>
      <c r="H208" s="251" t="str">
        <f>IF(H$3="","",IF(COUNTIFS(BD!$A$3:$A$5001,H$3,BD!$B$3:$B$5001,$A$183,BD!$AA$3:$AA$5001,"&lt;&gt;")=0,"",SUMIFS(BD!$AA$3:$AA$5001,BD!$A$3:$A$5001,H$3,BD!$B$3:$B$5001,$A$183)))</f>
        <v/>
      </c>
      <c r="I208" s="251" t="str">
        <f>IF(I$3="","",IF(COUNTIFS(BD!$A$3:$A$5001,I$3,BD!$B$3:$B$5001,$A$183,BD!$AA$3:$AA$5001,"&lt;&gt;")=0,"",SUMIFS(BD!$AA$3:$AA$5001,BD!$A$3:$A$5001,I$3,BD!$B$3:$B$5001,$A$183)))</f>
        <v/>
      </c>
      <c r="J208" s="251" t="str">
        <f>IF(J$3="","",IF(COUNTIFS(BD!$A$3:$A$5001,J$3,BD!$B$3:$B$5001,$A$183,BD!$AA$3:$AA$5001,"&lt;&gt;")=0,"",SUMIFS(BD!$AA$3:$AA$5001,BD!$A$3:$A$5001,J$3,BD!$B$3:$B$5001,$A$183)))</f>
        <v/>
      </c>
      <c r="K208" s="251" t="str">
        <f>IF(K$3="","",IF(COUNTIFS(BD!$A$3:$A$5001,K$3,BD!$B$3:$B$5001,$A$183,BD!$AA$3:$AA$5001,"&lt;&gt;")=0,"",SUMIFS(BD!$AA$3:$AA$5001,BD!$A$3:$A$5001,K$3,BD!$B$3:$B$5001,$A$183)))</f>
        <v/>
      </c>
      <c r="L208" s="251" t="str">
        <f>IF(L$3="","",IF(COUNTIFS(BD!$A$3:$A$5001,L$3,BD!$B$3:$B$5001,$A$183,BD!$AA$3:$AA$5001,"&lt;&gt;")=0,"",SUMIFS(BD!$AA$3:$AA$5001,BD!$A$3:$A$5001,L$3,BD!$B$3:$B$5001,$A$183)))</f>
        <v/>
      </c>
      <c r="M208" s="251" t="str">
        <f>IF(M$3="","",IF(COUNTIFS(BD!$A$3:$A$5001,M$3,BD!$B$3:$B$5001,$A$183,BD!$AA$3:$AA$5001,"&lt;&gt;")=0,"",SUMIFS(BD!$AA$3:$AA$5001,BD!$A$3:$A$5001,M$3,BD!$B$3:$B$5001,$A$183)))</f>
        <v/>
      </c>
      <c r="N208" s="251" t="str">
        <f>IF(N$3="","",IF(COUNTIFS(BD!$A$3:$A$5001,N$3,BD!$B$3:$B$5001,$A$183,BD!$AA$3:$AA$5001,"&lt;&gt;")=0,"",SUMIFS(BD!$AA$3:$AA$5001,BD!$A$3:$A$5001,N$3,BD!$B$3:$B$5001,$A$183)))</f>
        <v/>
      </c>
      <c r="O208" s="251" t="str">
        <f>IF(O$3="","",IF(COUNTIFS(BD!$A$3:$A$5001,O$3,BD!$B$3:$B$5001,$A$183,BD!$AA$3:$AA$5001,"&lt;&gt;")=0,"",SUMIFS(BD!$AA$3:$AA$5001,BD!$A$3:$A$5001,O$3,BD!$B$3:$B$5001,$A$183)))</f>
        <v/>
      </c>
      <c r="P208" s="251" t="str">
        <f>IF(P$3="","",IF(COUNTIFS(BD!$A$3:$A$5001,P$3,BD!$B$3:$B$5001,$A$183,BD!$AA$3:$AA$5001,"&lt;&gt;")=0,"",SUMIFS(BD!$AA$3:$AA$5001,BD!$A$3:$A$5001,P$3,BD!$B$3:$B$5001,$A$183)))</f>
        <v/>
      </c>
      <c r="Q208" s="251" t="str">
        <f>IF(Q$3="","",IF(COUNTIFS(BD!$A$3:$A$5001,Q$3,BD!$B$3:$B$5001,$A$183,BD!$AA$3:$AA$5001,"&lt;&gt;")=0,"",SUMIFS(BD!$AA$3:$AA$5001,BD!$A$3:$A$5001,Q$3,BD!$B$3:$B$5001,$A$183)))</f>
        <v/>
      </c>
      <c r="R208" s="251" t="str">
        <f>IF(R$3="","",IF(COUNTIFS(BD!$A$3:$A$5001,R$3,BD!$B$3:$B$5001,$A$183,BD!$AA$3:$AA$5001,"&lt;&gt;")=0,"",SUMIFS(BD!$AA$3:$AA$5001,BD!$A$3:$A$5001,R$3,BD!$B$3:$B$5001,$A$183)))</f>
        <v/>
      </c>
      <c r="S208" s="251" t="str">
        <f>IF(S$3="","",IF(COUNTIFS(BD!$A$3:$A$5001,S$3,BD!$B$3:$B$5001,$A$183,BD!$AA$3:$AA$5001,"&lt;&gt;")=0,"",SUMIFS(BD!$AA$3:$AA$5001,BD!$A$3:$A$5001,S$3,BD!$B$3:$B$5001,$A$183)))</f>
        <v/>
      </c>
      <c r="T208" s="251" t="str">
        <f>IF(T$3="","",IF(COUNTIFS(BD!$A$3:$A$5001,T$3,BD!$B$3:$B$5001,$A$183,BD!$AA$3:$AA$5001,"&lt;&gt;")=0,"",SUMIFS(BD!$AA$3:$AA$5001,BD!$A$3:$A$5001,T$3,BD!$B$3:$B$5001,$A$183)))</f>
        <v/>
      </c>
      <c r="U208" s="251" t="str">
        <f>IF(U$3="","",IF(COUNTIFS(BD!$A$3:$A$5001,U$3,BD!$B$3:$B$5001,$A$183,BD!$AA$3:$AA$5001,"&lt;&gt;")=0,"",SUMIFS(BD!$AA$3:$AA$5001,BD!$A$3:$A$5001,U$3,BD!$B$3:$B$5001,$A$183)))</f>
        <v/>
      </c>
      <c r="V208" s="251" t="str">
        <f>IF(V$3="","",IF(COUNTIFS(BD!$A$3:$A$5001,V$3,BD!$B$3:$B$5001,$A$183,BD!$AA$3:$AA$5001,"&lt;&gt;")=0,"",SUMIFS(BD!$AA$3:$AA$5001,BD!$A$3:$A$5001,V$3,BD!$B$3:$B$5001,$A$183)))</f>
        <v/>
      </c>
      <c r="W208" s="251" t="str">
        <f>IF(W$3="","",IF(COUNTIFS(BD!$A$3:$A$5001,W$3,BD!$B$3:$B$5001,$A$183,BD!$AA$3:$AA$5001,"&lt;&gt;")=0,"",SUMIFS(BD!$AA$3:$AA$5001,BD!$A$3:$A$5001,W$3,BD!$B$3:$B$5001,$A$183)))</f>
        <v/>
      </c>
      <c r="X208" s="251" t="str">
        <f>IF(X$3="","",IF(COUNTIFS(BD!$A$3:$A$5001,X$3,BD!$B$3:$B$5001,$A$183,BD!$AA$3:$AA$5001,"&lt;&gt;")=0,"",SUMIFS(BD!$AA$3:$AA$5001,BD!$A$3:$A$5001,X$3,BD!$B$3:$B$5001,$A$183)))</f>
        <v/>
      </c>
      <c r="Y208" s="251" t="str">
        <f>IF(Y$3="","",IF(COUNTIFS(BD!$A$3:$A$5001,Y$3,BD!$B$3:$B$5001,$A$183,BD!$AA$3:$AA$5001,"&lt;&gt;")=0,"",SUMIFS(BD!$AA$3:$AA$5001,BD!$A$3:$A$5001,Y$3,BD!$B$3:$B$5001,$A$183)))</f>
        <v/>
      </c>
      <c r="Z208" s="251" t="str">
        <f>IF(Z$3="","",IF(COUNTIFS(BD!$A$3:$A$5001,Z$3,BD!$B$3:$B$5001,$A$183,BD!$AA$3:$AA$5001,"&lt;&gt;")=0,"",SUMIFS(BD!$AA$3:$AA$5001,BD!$A$3:$A$5001,Z$3,BD!$B$3:$B$5001,$A$183)))</f>
        <v/>
      </c>
      <c r="AA208" s="251" t="str">
        <f>IF(AA$3="","",IF(COUNTIFS(BD!$A$3:$A$5001,AA$3,BD!$B$3:$B$5001,$A$183,BD!$AA$3:$AA$5001,"&lt;&gt;")=0,"",SUMIFS(BD!$AA$3:$AA$5001,BD!$A$3:$A$5001,AA$3,BD!$B$3:$B$5001,$A$183)))</f>
        <v/>
      </c>
      <c r="AB208" s="251" t="str">
        <f>IF(AB$3="","",IF(COUNTIFS(BD!$A$3:$A$5001,AB$3,BD!$B$3:$B$5001,$A$183,BD!$AA$3:$AA$5001,"&lt;&gt;")=0,"",SUMIFS(BD!$AA$3:$AA$5001,BD!$A$3:$A$5001,AB$3,BD!$B$3:$B$5001,$A$183)))</f>
        <v/>
      </c>
      <c r="AC208" s="251" t="str">
        <f>IF(AC$3="","",IF(COUNTIFS(BD!$A$3:$A$5001,AC$3,BD!$B$3:$B$5001,$A$183,BD!$AA$3:$AA$5001,"&lt;&gt;")=0,"",SUMIFS(BD!$AA$3:$AA$5001,BD!$A$3:$A$5001,AC$3,BD!$B$3:$B$5001,$A$183)))</f>
        <v/>
      </c>
      <c r="AD208" s="251" t="str">
        <f>IF(AD$3="","",IF(COUNTIFS(BD!$A$3:$A$5001,AD$3,BD!$B$3:$B$5001,$A$183,BD!$AA$3:$AA$5001,"&lt;&gt;")=0,"",SUMIFS(BD!$AA$3:$AA$5001,BD!$A$3:$A$5001,AD$3,BD!$B$3:$B$5001,$A$183)))</f>
        <v/>
      </c>
      <c r="AE208" s="251" t="str">
        <f>IF(AE$3="","",IF(COUNTIFS(BD!$A$3:$A$5001,AE$3,BD!$B$3:$B$5001,$A$183,BD!$AA$3:$AA$5001,"&lt;&gt;")=0,"",SUMIFS(BD!$AA$3:$AA$5001,BD!$A$3:$A$5001,AE$3,BD!$B$3:$B$5001,$A$183)))</f>
        <v/>
      </c>
      <c r="AF208" s="251" t="str">
        <f>IF(AF$3="","",IF(COUNTIFS(BD!$A$3:$A$5001,AF$3,BD!$B$3:$B$5001,$A$183,BD!$AA$3:$AA$5001,"&lt;&gt;")=0,"",SUMIFS(BD!$AA$3:$AA$5001,BD!$A$3:$A$5001,AF$3,BD!$B$3:$B$5001,$A$183)))</f>
        <v/>
      </c>
      <c r="AG208" s="251" t="str">
        <f>IF(AG$3="","",IF(COUNTIFS(BD!$A$3:$A$5001,AG$3,BD!$B$3:$B$5001,$A$183,BD!$AA$3:$AA$5001,"&lt;&gt;")=0,"",SUMIFS(BD!$AA$3:$AA$5001,BD!$A$3:$A$5001,AG$3,BD!$B$3:$B$5001,$A$183)))</f>
        <v/>
      </c>
      <c r="AH208" s="251" t="str">
        <f>IF(AH$3="","",IF(COUNTIFS(BD!$A$3:$A$5001,AH$3,BD!$B$3:$B$5001,$A$183,BD!$AA$3:$AA$5001,"&lt;&gt;")=0,"",SUMIFS(BD!$AA$3:$AA$5001,BD!$A$3:$A$5001,AH$3,BD!$B$3:$B$5001,$A$183)))</f>
        <v/>
      </c>
      <c r="AI208" s="251" t="str">
        <f>IF(AI$3="","",IF(COUNTIFS(BD!$A$3:$A$5001,AI$3,BD!$B$3:$B$5001,$A$183,BD!$AA$3:$AA$5001,"&lt;&gt;")=0,"",SUMIFS(BD!$AA$3:$AA$5001,BD!$A$3:$A$5001,AI$3,BD!$B$3:$B$5001,$A$183)))</f>
        <v/>
      </c>
      <c r="AJ208" s="252" t="str">
        <f>IF(AJ$3="","",IF(COUNTIFS(BD!$A$3:$A$5001,AJ$3,BD!$B$3:$B$5001,$A$183,BD!$AA$3:$AA$5001,"&lt;&gt;")=0,"",SUMIFS(BD!$AA$3:$AA$5001,BD!$A$3:$A$5001,AJ$3,BD!$B$3:$B$5001,$A$183)))</f>
        <v/>
      </c>
      <c r="AK208" s="253" t="str">
        <f>IF(COUNT(F208:AJ208)=0,"",SUM(F208:AJ208))</f>
        <v/>
      </c>
    </row>
    <row r="209" ht="15.75" customHeight="1" hidden="1">
      <c r="A209" s="278"/>
      <c r="B209" s="275"/>
      <c r="C209" s="258" t="inlineStr">
        <is>
          <t xml:space="preserve">Acidentes SAF</t>
        </is>
      </c>
      <c r="D209" s="259" t="str">
        <f>IFERROR(1/(1/INDEX(BD!$AF$49:$AZ$49,MATCH($A$183,BD!$AF$22:$AZ$22,0))),"")</f>
        <v/>
      </c>
      <c r="E209" s="260"/>
      <c r="F209" s="261" t="str">
        <f>IF(F$3="","",IF(COUNTIFS(BD!$A$3:$A$5001,F$3,BD!$B$3:$B$5001,$A$183,BD!$AB$3:$AB$5001,"&lt;&gt;")=0,"",SUMIFS(BD!$AB$3:$AB$5001,BD!$A$3:$A$5001,F$3,BD!$B$3:$B$5001,$A$183)))</f>
        <v/>
      </c>
      <c r="G209" s="262" t="str">
        <f>IF(G$3="","",IF(COUNTIFS(BD!$A$3:$A$5001,G$3,BD!$B$3:$B$5001,$A$183,BD!$AB$3:$AB$5001,"&lt;&gt;")=0,"",SUMIFS(BD!$AB$3:$AB$5001,BD!$A$3:$A$5001,G$3,BD!$B$3:$B$5001,$A$183)))</f>
        <v/>
      </c>
      <c r="H209" s="262" t="str">
        <f>IF(H$3="","",IF(COUNTIFS(BD!$A$3:$A$5001,H$3,BD!$B$3:$B$5001,$A$183,BD!$AB$3:$AB$5001,"&lt;&gt;")=0,"",SUMIFS(BD!$AB$3:$AB$5001,BD!$A$3:$A$5001,H$3,BD!$B$3:$B$5001,$A$183)))</f>
        <v/>
      </c>
      <c r="I209" s="262" t="str">
        <f>IF(I$3="","",IF(COUNTIFS(BD!$A$3:$A$5001,I$3,BD!$B$3:$B$5001,$A$183,BD!$AB$3:$AB$5001,"&lt;&gt;")=0,"",SUMIFS(BD!$AB$3:$AB$5001,BD!$A$3:$A$5001,I$3,BD!$B$3:$B$5001,$A$183)))</f>
        <v/>
      </c>
      <c r="J209" s="262" t="str">
        <f>IF(J$3="","",IF(COUNTIFS(BD!$A$3:$A$5001,J$3,BD!$B$3:$B$5001,$A$183,BD!$AB$3:$AB$5001,"&lt;&gt;")=0,"",SUMIFS(BD!$AB$3:$AB$5001,BD!$A$3:$A$5001,J$3,BD!$B$3:$B$5001,$A$183)))</f>
        <v/>
      </c>
      <c r="K209" s="262" t="str">
        <f>IF(K$3="","",IF(COUNTIFS(BD!$A$3:$A$5001,K$3,BD!$B$3:$B$5001,$A$183,BD!$AB$3:$AB$5001,"&lt;&gt;")=0,"",SUMIFS(BD!$AB$3:$AB$5001,BD!$A$3:$A$5001,K$3,BD!$B$3:$B$5001,$A$183)))</f>
        <v/>
      </c>
      <c r="L209" s="262" t="str">
        <f>IF(L$3="","",IF(COUNTIFS(BD!$A$3:$A$5001,L$3,BD!$B$3:$B$5001,$A$183,BD!$AB$3:$AB$5001,"&lt;&gt;")=0,"",SUMIFS(BD!$AB$3:$AB$5001,BD!$A$3:$A$5001,L$3,BD!$B$3:$B$5001,$A$183)))</f>
        <v/>
      </c>
      <c r="M209" s="262" t="str">
        <f>IF(M$3="","",IF(COUNTIFS(BD!$A$3:$A$5001,M$3,BD!$B$3:$B$5001,$A$183,BD!$AB$3:$AB$5001,"&lt;&gt;")=0,"",SUMIFS(BD!$AB$3:$AB$5001,BD!$A$3:$A$5001,M$3,BD!$B$3:$B$5001,$A$183)))</f>
        <v/>
      </c>
      <c r="N209" s="262" t="str">
        <f>IF(N$3="","",IF(COUNTIFS(BD!$A$3:$A$5001,N$3,BD!$B$3:$B$5001,$A$183,BD!$AB$3:$AB$5001,"&lt;&gt;")=0,"",SUMIFS(BD!$AB$3:$AB$5001,BD!$A$3:$A$5001,N$3,BD!$B$3:$B$5001,$A$183)))</f>
        <v/>
      </c>
      <c r="O209" s="262" t="str">
        <f>IF(O$3="","",IF(COUNTIFS(BD!$A$3:$A$5001,O$3,BD!$B$3:$B$5001,$A$183,BD!$AB$3:$AB$5001,"&lt;&gt;")=0,"",SUMIFS(BD!$AB$3:$AB$5001,BD!$A$3:$A$5001,O$3,BD!$B$3:$B$5001,$A$183)))</f>
        <v/>
      </c>
      <c r="P209" s="262" t="str">
        <f>IF(P$3="","",IF(COUNTIFS(BD!$A$3:$A$5001,P$3,BD!$B$3:$B$5001,$A$183,BD!$AB$3:$AB$5001,"&lt;&gt;")=0,"",SUMIFS(BD!$AB$3:$AB$5001,BD!$A$3:$A$5001,P$3,BD!$B$3:$B$5001,$A$183)))</f>
        <v/>
      </c>
      <c r="Q209" s="262" t="str">
        <f>IF(Q$3="","",IF(COUNTIFS(BD!$A$3:$A$5001,Q$3,BD!$B$3:$B$5001,$A$183,BD!$AB$3:$AB$5001,"&lt;&gt;")=0,"",SUMIFS(BD!$AB$3:$AB$5001,BD!$A$3:$A$5001,Q$3,BD!$B$3:$B$5001,$A$183)))</f>
        <v/>
      </c>
      <c r="R209" s="262" t="str">
        <f>IF(R$3="","",IF(COUNTIFS(BD!$A$3:$A$5001,R$3,BD!$B$3:$B$5001,$A$183,BD!$AB$3:$AB$5001,"&lt;&gt;")=0,"",SUMIFS(BD!$AB$3:$AB$5001,BD!$A$3:$A$5001,R$3,BD!$B$3:$B$5001,$A$183)))</f>
        <v/>
      </c>
      <c r="S209" s="262" t="str">
        <f>IF(S$3="","",IF(COUNTIFS(BD!$A$3:$A$5001,S$3,BD!$B$3:$B$5001,$A$183,BD!$AB$3:$AB$5001,"&lt;&gt;")=0,"",SUMIFS(BD!$AB$3:$AB$5001,BD!$A$3:$A$5001,S$3,BD!$B$3:$B$5001,$A$183)))</f>
        <v/>
      </c>
      <c r="T209" s="262" t="str">
        <f>IF(T$3="","",IF(COUNTIFS(BD!$A$3:$A$5001,T$3,BD!$B$3:$B$5001,$A$183,BD!$AB$3:$AB$5001,"&lt;&gt;")=0,"",SUMIFS(BD!$AB$3:$AB$5001,BD!$A$3:$A$5001,T$3,BD!$B$3:$B$5001,$A$183)))</f>
        <v/>
      </c>
      <c r="U209" s="262" t="str">
        <f>IF(U$3="","",IF(COUNTIFS(BD!$A$3:$A$5001,U$3,BD!$B$3:$B$5001,$A$183,BD!$AB$3:$AB$5001,"&lt;&gt;")=0,"",SUMIFS(BD!$AB$3:$AB$5001,BD!$A$3:$A$5001,U$3,BD!$B$3:$B$5001,$A$183)))</f>
        <v/>
      </c>
      <c r="V209" s="262" t="str">
        <f>IF(V$3="","",IF(COUNTIFS(BD!$A$3:$A$5001,V$3,BD!$B$3:$B$5001,$A$183,BD!$AB$3:$AB$5001,"&lt;&gt;")=0,"",SUMIFS(BD!$AB$3:$AB$5001,BD!$A$3:$A$5001,V$3,BD!$B$3:$B$5001,$A$183)))</f>
        <v/>
      </c>
      <c r="W209" s="262" t="str">
        <f>IF(W$3="","",IF(COUNTIFS(BD!$A$3:$A$5001,W$3,BD!$B$3:$B$5001,$A$183,BD!$AB$3:$AB$5001,"&lt;&gt;")=0,"",SUMIFS(BD!$AB$3:$AB$5001,BD!$A$3:$A$5001,W$3,BD!$B$3:$B$5001,$A$183)))</f>
        <v/>
      </c>
      <c r="X209" s="262" t="str">
        <f>IF(X$3="","",IF(COUNTIFS(BD!$A$3:$A$5001,X$3,BD!$B$3:$B$5001,$A$183,BD!$AB$3:$AB$5001,"&lt;&gt;")=0,"",SUMIFS(BD!$AB$3:$AB$5001,BD!$A$3:$A$5001,X$3,BD!$B$3:$B$5001,$A$183)))</f>
        <v/>
      </c>
      <c r="Y209" s="262" t="str">
        <f>IF(Y$3="","",IF(COUNTIFS(BD!$A$3:$A$5001,Y$3,BD!$B$3:$B$5001,$A$183,BD!$AB$3:$AB$5001,"&lt;&gt;")=0,"",SUMIFS(BD!$AB$3:$AB$5001,BD!$A$3:$A$5001,Y$3,BD!$B$3:$B$5001,$A$183)))</f>
        <v/>
      </c>
      <c r="Z209" s="262" t="str">
        <f>IF(Z$3="","",IF(COUNTIFS(BD!$A$3:$A$5001,Z$3,BD!$B$3:$B$5001,$A$183,BD!$AB$3:$AB$5001,"&lt;&gt;")=0,"",SUMIFS(BD!$AB$3:$AB$5001,BD!$A$3:$A$5001,Z$3,BD!$B$3:$B$5001,$A$183)))</f>
        <v/>
      </c>
      <c r="AA209" s="262" t="str">
        <f>IF(AA$3="","",IF(COUNTIFS(BD!$A$3:$A$5001,AA$3,BD!$B$3:$B$5001,$A$183,BD!$AB$3:$AB$5001,"&lt;&gt;")=0,"",SUMIFS(BD!$AB$3:$AB$5001,BD!$A$3:$A$5001,AA$3,BD!$B$3:$B$5001,$A$183)))</f>
        <v/>
      </c>
      <c r="AB209" s="262" t="str">
        <f>IF(AB$3="","",IF(COUNTIFS(BD!$A$3:$A$5001,AB$3,BD!$B$3:$B$5001,$A$183,BD!$AB$3:$AB$5001,"&lt;&gt;")=0,"",SUMIFS(BD!$AB$3:$AB$5001,BD!$A$3:$A$5001,AB$3,BD!$B$3:$B$5001,$A$183)))</f>
        <v/>
      </c>
      <c r="AC209" s="262" t="str">
        <f>IF(AC$3="","",IF(COUNTIFS(BD!$A$3:$A$5001,AC$3,BD!$B$3:$B$5001,$A$183,BD!$AB$3:$AB$5001,"&lt;&gt;")=0,"",SUMIFS(BD!$AB$3:$AB$5001,BD!$A$3:$A$5001,AC$3,BD!$B$3:$B$5001,$A$183)))</f>
        <v/>
      </c>
      <c r="AD209" s="262" t="str">
        <f>IF(AD$3="","",IF(COUNTIFS(BD!$A$3:$A$5001,AD$3,BD!$B$3:$B$5001,$A$183,BD!$AB$3:$AB$5001,"&lt;&gt;")=0,"",SUMIFS(BD!$AB$3:$AB$5001,BD!$A$3:$A$5001,AD$3,BD!$B$3:$B$5001,$A$183)))</f>
        <v/>
      </c>
      <c r="AE209" s="262" t="str">
        <f>IF(AE$3="","",IF(COUNTIFS(BD!$A$3:$A$5001,AE$3,BD!$B$3:$B$5001,$A$183,BD!$AB$3:$AB$5001,"&lt;&gt;")=0,"",SUMIFS(BD!$AB$3:$AB$5001,BD!$A$3:$A$5001,AE$3,BD!$B$3:$B$5001,$A$183)))</f>
        <v/>
      </c>
      <c r="AF209" s="262" t="str">
        <f>IF(AF$3="","",IF(COUNTIFS(BD!$A$3:$A$5001,AF$3,BD!$B$3:$B$5001,$A$183,BD!$AB$3:$AB$5001,"&lt;&gt;")=0,"",SUMIFS(BD!$AB$3:$AB$5001,BD!$A$3:$A$5001,AF$3,BD!$B$3:$B$5001,$A$183)))</f>
        <v/>
      </c>
      <c r="AG209" s="262" t="str">
        <f>IF(AG$3="","",IF(COUNTIFS(BD!$A$3:$A$5001,AG$3,BD!$B$3:$B$5001,$A$183,BD!$AB$3:$AB$5001,"&lt;&gt;")=0,"",SUMIFS(BD!$AB$3:$AB$5001,BD!$A$3:$A$5001,AG$3,BD!$B$3:$B$5001,$A$183)))</f>
        <v/>
      </c>
      <c r="AH209" s="262" t="str">
        <f>IF(AH$3="","",IF(COUNTIFS(BD!$A$3:$A$5001,AH$3,BD!$B$3:$B$5001,$A$183,BD!$AB$3:$AB$5001,"&lt;&gt;")=0,"",SUMIFS(BD!$AB$3:$AB$5001,BD!$A$3:$A$5001,AH$3,BD!$B$3:$B$5001,$A$183)))</f>
        <v/>
      </c>
      <c r="AI209" s="262" t="str">
        <f>IF(AI$3="","",IF(COUNTIFS(BD!$A$3:$A$5001,AI$3,BD!$B$3:$B$5001,$A$183,BD!$AB$3:$AB$5001,"&lt;&gt;")=0,"",SUMIFS(BD!$AB$3:$AB$5001,BD!$A$3:$A$5001,AI$3,BD!$B$3:$B$5001,$A$183)))</f>
        <v/>
      </c>
      <c r="AJ209" s="263" t="str">
        <f>IF(AJ$3="","",IF(COUNTIFS(BD!$A$3:$A$5001,AJ$3,BD!$B$3:$B$5001,$A$183,BD!$AB$3:$AB$5001,"&lt;&gt;")=0,"",SUMIFS(BD!$AB$3:$AB$5001,BD!$A$3:$A$5001,AJ$3,BD!$B$3:$B$5001,$A$183)))</f>
        <v/>
      </c>
      <c r="AK209" s="259" t="str">
        <f>IF(COUNT(F209:AJ209)=0,"",SUM(F209:AJ209))</f>
        <v/>
      </c>
    </row>
    <row r="211" ht="15.75" customHeight="1" hidden="1">
      <c r="A211" s="276"/>
      <c r="B211" s="264" t="inlineStr">
        <is>
          <t xml:space="preserve">IN</t>
        </is>
      </c>
      <c r="C211" s="168" t="inlineStr">
        <is>
          <t xml:space="preserve">Veículos Recebidos</t>
        </is>
      </c>
      <c r="D211" s="169" t="str">
        <f>IFERROR(1/(1/INDEX(BD!$AF$23:$AZ$23,MATCH($A$211,BD!$AF$22:$AZ$22,0))),"")</f>
        <v/>
      </c>
      <c r="E211" s="170"/>
      <c r="F211" s="171" t="str">
        <f>IF(F$3="","",IF(COUNTIFS(BD!$A$3:$A$5001,F$3,BD!$B$3:$B$5001,$A$211,BD!$C$3:$C$5001,"&lt;&gt;")=0,"",SUMIFS(BD!$C$3:$C$5001,BD!$A$3:$A$5001,F$3,BD!$B$3:$B$5001,$A$211)))</f>
        <v/>
      </c>
      <c r="G211" s="172" t="str">
        <f>IF(G$3="","",IF(COUNTIFS(BD!$A$3:$A$5001,G$3,BD!$B$3:$B$5001,$A$211,BD!$C$3:$C$5001,"&lt;&gt;")=0,"",SUMIFS(BD!$C$3:$C$5001,BD!$A$3:$A$5001,G$3,BD!$B$3:$B$5001,$A$211)))</f>
        <v/>
      </c>
      <c r="H211" s="172" t="str">
        <f>IF(H$3="","",IF(COUNTIFS(BD!$A$3:$A$5001,H$3,BD!$B$3:$B$5001,$A$211,BD!$C$3:$C$5001,"&lt;&gt;")=0,"",SUMIFS(BD!$C$3:$C$5001,BD!$A$3:$A$5001,H$3,BD!$B$3:$B$5001,$A$211)))</f>
        <v/>
      </c>
      <c r="I211" s="172" t="str">
        <f>IF(I$3="","",IF(COUNTIFS(BD!$A$3:$A$5001,I$3,BD!$B$3:$B$5001,$A$211,BD!$C$3:$C$5001,"&lt;&gt;")=0,"",SUMIFS(BD!$C$3:$C$5001,BD!$A$3:$A$5001,I$3,BD!$B$3:$B$5001,$A$211)))</f>
        <v/>
      </c>
      <c r="J211" s="172" t="str">
        <f>IF(J$3="","",IF(COUNTIFS(BD!$A$3:$A$5001,J$3,BD!$B$3:$B$5001,$A$211,BD!$C$3:$C$5001,"&lt;&gt;")=0,"",SUMIFS(BD!$C$3:$C$5001,BD!$A$3:$A$5001,J$3,BD!$B$3:$B$5001,$A$211)))</f>
        <v/>
      </c>
      <c r="K211" s="172" t="str">
        <f>IF(K$3="","",IF(COUNTIFS(BD!$A$3:$A$5001,K$3,BD!$B$3:$B$5001,$A$211,BD!$C$3:$C$5001,"&lt;&gt;")=0,"",SUMIFS(BD!$C$3:$C$5001,BD!$A$3:$A$5001,K$3,BD!$B$3:$B$5001,$A$211)))</f>
        <v/>
      </c>
      <c r="L211" s="172" t="str">
        <f>IF(L$3="","",IF(COUNTIFS(BD!$A$3:$A$5001,L$3,BD!$B$3:$B$5001,$A$211,BD!$C$3:$C$5001,"&lt;&gt;")=0,"",SUMIFS(BD!$C$3:$C$5001,BD!$A$3:$A$5001,L$3,BD!$B$3:$B$5001,$A$211)))</f>
        <v/>
      </c>
      <c r="M211" s="172" t="str">
        <f>IF(M$3="","",IF(COUNTIFS(BD!$A$3:$A$5001,M$3,BD!$B$3:$B$5001,$A$211,BD!$C$3:$C$5001,"&lt;&gt;")=0,"",SUMIFS(BD!$C$3:$C$5001,BD!$A$3:$A$5001,M$3,BD!$B$3:$B$5001,$A$211)))</f>
        <v/>
      </c>
      <c r="N211" s="172" t="str">
        <f>IF(N$3="","",IF(COUNTIFS(BD!$A$3:$A$5001,N$3,BD!$B$3:$B$5001,$A$211,BD!$C$3:$C$5001,"&lt;&gt;")=0,"",SUMIFS(BD!$C$3:$C$5001,BD!$A$3:$A$5001,N$3,BD!$B$3:$B$5001,$A$211)))</f>
        <v/>
      </c>
      <c r="O211" s="172" t="str">
        <f>IF(O$3="","",IF(COUNTIFS(BD!$A$3:$A$5001,O$3,BD!$B$3:$B$5001,$A$211,BD!$C$3:$C$5001,"&lt;&gt;")=0,"",SUMIFS(BD!$C$3:$C$5001,BD!$A$3:$A$5001,O$3,BD!$B$3:$B$5001,$A$211)))</f>
        <v/>
      </c>
      <c r="P211" s="172" t="str">
        <f>IF(P$3="","",IF(COUNTIFS(BD!$A$3:$A$5001,P$3,BD!$B$3:$B$5001,$A$211,BD!$C$3:$C$5001,"&lt;&gt;")=0,"",SUMIFS(BD!$C$3:$C$5001,BD!$A$3:$A$5001,P$3,BD!$B$3:$B$5001,$A$211)))</f>
        <v/>
      </c>
      <c r="Q211" s="172" t="str">
        <f>IF(Q$3="","",IF(COUNTIFS(BD!$A$3:$A$5001,Q$3,BD!$B$3:$B$5001,$A$211,BD!$C$3:$C$5001,"&lt;&gt;")=0,"",SUMIFS(BD!$C$3:$C$5001,BD!$A$3:$A$5001,Q$3,BD!$B$3:$B$5001,$A$211)))</f>
        <v/>
      </c>
      <c r="R211" s="172" t="str">
        <f>IF(R$3="","",IF(COUNTIFS(BD!$A$3:$A$5001,R$3,BD!$B$3:$B$5001,$A$211,BD!$C$3:$C$5001,"&lt;&gt;")=0,"",SUMIFS(BD!$C$3:$C$5001,BD!$A$3:$A$5001,R$3,BD!$B$3:$B$5001,$A$211)))</f>
        <v/>
      </c>
      <c r="S211" s="172" t="str">
        <f>IF(S$3="","",IF(COUNTIFS(BD!$A$3:$A$5001,S$3,BD!$B$3:$B$5001,$A$211,BD!$C$3:$C$5001,"&lt;&gt;")=0,"",SUMIFS(BD!$C$3:$C$5001,BD!$A$3:$A$5001,S$3,BD!$B$3:$B$5001,$A$211)))</f>
        <v/>
      </c>
      <c r="T211" s="172" t="str">
        <f>IF(T$3="","",IF(COUNTIFS(BD!$A$3:$A$5001,T$3,BD!$B$3:$B$5001,$A$211,BD!$C$3:$C$5001,"&lt;&gt;")=0,"",SUMIFS(BD!$C$3:$C$5001,BD!$A$3:$A$5001,T$3,BD!$B$3:$B$5001,$A$211)))</f>
        <v/>
      </c>
      <c r="U211" s="172" t="str">
        <f>IF(U$3="","",IF(COUNTIFS(BD!$A$3:$A$5001,U$3,BD!$B$3:$B$5001,$A$211,BD!$C$3:$C$5001,"&lt;&gt;")=0,"",SUMIFS(BD!$C$3:$C$5001,BD!$A$3:$A$5001,U$3,BD!$B$3:$B$5001,$A$211)))</f>
        <v/>
      </c>
      <c r="V211" s="172" t="str">
        <f>IF(V$3="","",IF(COUNTIFS(BD!$A$3:$A$5001,V$3,BD!$B$3:$B$5001,$A$211,BD!$C$3:$C$5001,"&lt;&gt;")=0,"",SUMIFS(BD!$C$3:$C$5001,BD!$A$3:$A$5001,V$3,BD!$B$3:$B$5001,$A$211)))</f>
        <v/>
      </c>
      <c r="W211" s="172" t="str">
        <f>IF(W$3="","",IF(COUNTIFS(BD!$A$3:$A$5001,W$3,BD!$B$3:$B$5001,$A$211,BD!$C$3:$C$5001,"&lt;&gt;")=0,"",SUMIFS(BD!$C$3:$C$5001,BD!$A$3:$A$5001,W$3,BD!$B$3:$B$5001,$A$211)))</f>
        <v/>
      </c>
      <c r="X211" s="172" t="str">
        <f>IF(X$3="","",IF(COUNTIFS(BD!$A$3:$A$5001,X$3,BD!$B$3:$B$5001,$A$211,BD!$C$3:$C$5001,"&lt;&gt;")=0,"",SUMIFS(BD!$C$3:$C$5001,BD!$A$3:$A$5001,X$3,BD!$B$3:$B$5001,$A$211)))</f>
        <v/>
      </c>
      <c r="Y211" s="172" t="str">
        <f>IF(Y$3="","",IF(COUNTIFS(BD!$A$3:$A$5001,Y$3,BD!$B$3:$B$5001,$A$211,BD!$C$3:$C$5001,"&lt;&gt;")=0,"",SUMIFS(BD!$C$3:$C$5001,BD!$A$3:$A$5001,Y$3,BD!$B$3:$B$5001,$A$211)))</f>
        <v/>
      </c>
      <c r="Z211" s="172" t="str">
        <f>IF(Z$3="","",IF(COUNTIFS(BD!$A$3:$A$5001,Z$3,BD!$B$3:$B$5001,$A$211,BD!$C$3:$C$5001,"&lt;&gt;")=0,"",SUMIFS(BD!$C$3:$C$5001,BD!$A$3:$A$5001,Z$3,BD!$B$3:$B$5001,$A$211)))</f>
        <v/>
      </c>
      <c r="AA211" s="172" t="str">
        <f>IF(AA$3="","",IF(COUNTIFS(BD!$A$3:$A$5001,AA$3,BD!$B$3:$B$5001,$A$211,BD!$C$3:$C$5001,"&lt;&gt;")=0,"",SUMIFS(BD!$C$3:$C$5001,BD!$A$3:$A$5001,AA$3,BD!$B$3:$B$5001,$A$211)))</f>
        <v/>
      </c>
      <c r="AB211" s="172" t="str">
        <f>IF(AB$3="","",IF(COUNTIFS(BD!$A$3:$A$5001,AB$3,BD!$B$3:$B$5001,$A$211,BD!$C$3:$C$5001,"&lt;&gt;")=0,"",SUMIFS(BD!$C$3:$C$5001,BD!$A$3:$A$5001,AB$3,BD!$B$3:$B$5001,$A$211)))</f>
        <v/>
      </c>
      <c r="AC211" s="172" t="str">
        <f>IF(AC$3="","",IF(COUNTIFS(BD!$A$3:$A$5001,AC$3,BD!$B$3:$B$5001,$A$211,BD!$C$3:$C$5001,"&lt;&gt;")=0,"",SUMIFS(BD!$C$3:$C$5001,BD!$A$3:$A$5001,AC$3,BD!$B$3:$B$5001,$A$211)))</f>
        <v/>
      </c>
      <c r="AD211" s="172" t="str">
        <f>IF(AD$3="","",IF(COUNTIFS(BD!$A$3:$A$5001,AD$3,BD!$B$3:$B$5001,$A$211,BD!$C$3:$C$5001,"&lt;&gt;")=0,"",SUMIFS(BD!$C$3:$C$5001,BD!$A$3:$A$5001,AD$3,BD!$B$3:$B$5001,$A$211)))</f>
        <v/>
      </c>
      <c r="AE211" s="172" t="str">
        <f>IF(AE$3="","",IF(COUNTIFS(BD!$A$3:$A$5001,AE$3,BD!$B$3:$B$5001,$A$211,BD!$C$3:$C$5001,"&lt;&gt;")=0,"",SUMIFS(BD!$C$3:$C$5001,BD!$A$3:$A$5001,AE$3,BD!$B$3:$B$5001,$A$211)))</f>
        <v/>
      </c>
      <c r="AF211" s="172" t="str">
        <f>IF(AF$3="","",IF(COUNTIFS(BD!$A$3:$A$5001,AF$3,BD!$B$3:$B$5001,$A$211,BD!$C$3:$C$5001,"&lt;&gt;")=0,"",SUMIFS(BD!$C$3:$C$5001,BD!$A$3:$A$5001,AF$3,BD!$B$3:$B$5001,$A$211)))</f>
        <v/>
      </c>
      <c r="AG211" s="172" t="str">
        <f>IF(AG$3="","",IF(COUNTIFS(BD!$A$3:$A$5001,AG$3,BD!$B$3:$B$5001,$A$211,BD!$C$3:$C$5001,"&lt;&gt;")=0,"",SUMIFS(BD!$C$3:$C$5001,BD!$A$3:$A$5001,AG$3,BD!$B$3:$B$5001,$A$211)))</f>
        <v/>
      </c>
      <c r="AH211" s="172" t="str">
        <f>IF(AH$3="","",IF(COUNTIFS(BD!$A$3:$A$5001,AH$3,BD!$B$3:$B$5001,$A$211,BD!$C$3:$C$5001,"&lt;&gt;")=0,"",SUMIFS(BD!$C$3:$C$5001,BD!$A$3:$A$5001,AH$3,BD!$B$3:$B$5001,$A$211)))</f>
        <v/>
      </c>
      <c r="AI211" s="172" t="str">
        <f>IF(AI$3="","",IF(COUNTIFS(BD!$A$3:$A$5001,AI$3,BD!$B$3:$B$5001,$A$211,BD!$C$3:$C$5001,"&lt;&gt;")=0,"",SUMIFS(BD!$C$3:$C$5001,BD!$A$3:$A$5001,AI$3,BD!$B$3:$B$5001,$A$211)))</f>
        <v/>
      </c>
      <c r="AJ211" s="173" t="str">
        <f>IF(AJ$3="","",IF(COUNTIFS(BD!$A$3:$A$5001,AJ$3,BD!$B$3:$B$5001,$A$211,BD!$C$3:$C$5001,"&lt;&gt;")=0,"",SUMIFS(BD!$C$3:$C$5001,BD!$A$3:$A$5001,AJ$3,BD!$B$3:$B$5001,$A$211)))</f>
        <v/>
      </c>
      <c r="AK211" s="174" t="str">
        <f>IF(COUNT(F211:AJ211)=0,"",SUM(F211:AJ211))</f>
        <v/>
      </c>
    </row>
    <row r="212" ht="15.75" customHeight="1" hidden="1">
      <c r="A212" s="277"/>
      <c r="B212" s="265"/>
      <c r="C212" s="175" t="inlineStr">
        <is>
          <t xml:space="preserve">Pallets Movimentados</t>
        </is>
      </c>
      <c r="D212" s="176" t="str">
        <f>IFERROR(1/(1/INDEX(BD!$AF$24:$AZ$24,MATCH($A$211,BD!$AF$22:$AZ$22,0))),"")</f>
        <v/>
      </c>
      <c r="E212" s="177"/>
      <c r="F212" s="178" t="str">
        <f>IF(F$3="","",IF(COUNTIFS(BD!$A$3:$A$5001,F$3,BD!$B$3:$B$5001,$A$211,BD!$D$3:$D$5001,"&lt;&gt;")=0,"",SUMIFS(BD!$D$3:$D$5001,BD!$A$3:$A$5001,F$3,BD!$B$3:$B$5001,$A$211)))</f>
        <v/>
      </c>
      <c r="G212" s="179" t="str">
        <f>IF(G$3="","",IF(COUNTIFS(BD!$A$3:$A$5001,G$3,BD!$B$3:$B$5001,$A$211,BD!$D$3:$D$5001,"&lt;&gt;")=0,"",SUMIFS(BD!$D$3:$D$5001,BD!$A$3:$A$5001,G$3,BD!$B$3:$B$5001,$A$211)))</f>
        <v/>
      </c>
      <c r="H212" s="179" t="str">
        <f>IF(H$3="","",IF(COUNTIFS(BD!$A$3:$A$5001,H$3,BD!$B$3:$B$5001,$A$211,BD!$D$3:$D$5001,"&lt;&gt;")=0,"",SUMIFS(BD!$D$3:$D$5001,BD!$A$3:$A$5001,H$3,BD!$B$3:$B$5001,$A$211)))</f>
        <v/>
      </c>
      <c r="I212" s="179" t="str">
        <f>IF(I$3="","",IF(COUNTIFS(BD!$A$3:$A$5001,I$3,BD!$B$3:$B$5001,$A$211,BD!$D$3:$D$5001,"&lt;&gt;")=0,"",SUMIFS(BD!$D$3:$D$5001,BD!$A$3:$A$5001,I$3,BD!$B$3:$B$5001,$A$211)))</f>
        <v/>
      </c>
      <c r="J212" s="179" t="str">
        <f>IF(J$3="","",IF(COUNTIFS(BD!$A$3:$A$5001,J$3,BD!$B$3:$B$5001,$A$211,BD!$D$3:$D$5001,"&lt;&gt;")=0,"",SUMIFS(BD!$D$3:$D$5001,BD!$A$3:$A$5001,J$3,BD!$B$3:$B$5001,$A$211)))</f>
        <v/>
      </c>
      <c r="K212" s="179" t="str">
        <f>IF(K$3="","",IF(COUNTIFS(BD!$A$3:$A$5001,K$3,BD!$B$3:$B$5001,$A$211,BD!$D$3:$D$5001,"&lt;&gt;")=0,"",SUMIFS(BD!$D$3:$D$5001,BD!$A$3:$A$5001,K$3,BD!$B$3:$B$5001,$A$211)))</f>
        <v/>
      </c>
      <c r="L212" s="179" t="str">
        <f>IF(L$3="","",IF(COUNTIFS(BD!$A$3:$A$5001,L$3,BD!$B$3:$B$5001,$A$211,BD!$D$3:$D$5001,"&lt;&gt;")=0,"",SUMIFS(BD!$D$3:$D$5001,BD!$A$3:$A$5001,L$3,BD!$B$3:$B$5001,$A$211)))</f>
        <v/>
      </c>
      <c r="M212" s="179" t="str">
        <f>IF(M$3="","",IF(COUNTIFS(BD!$A$3:$A$5001,M$3,BD!$B$3:$B$5001,$A$211,BD!$D$3:$D$5001,"&lt;&gt;")=0,"",SUMIFS(BD!$D$3:$D$5001,BD!$A$3:$A$5001,M$3,BD!$B$3:$B$5001,$A$211)))</f>
        <v/>
      </c>
      <c r="N212" s="179" t="str">
        <f>IF(N$3="","",IF(COUNTIFS(BD!$A$3:$A$5001,N$3,BD!$B$3:$B$5001,$A$211,BD!$D$3:$D$5001,"&lt;&gt;")=0,"",SUMIFS(BD!$D$3:$D$5001,BD!$A$3:$A$5001,N$3,BD!$B$3:$B$5001,$A$211)))</f>
        <v/>
      </c>
      <c r="O212" s="179" t="str">
        <f>IF(O$3="","",IF(COUNTIFS(BD!$A$3:$A$5001,O$3,BD!$B$3:$B$5001,$A$211,BD!$D$3:$D$5001,"&lt;&gt;")=0,"",SUMIFS(BD!$D$3:$D$5001,BD!$A$3:$A$5001,O$3,BD!$B$3:$B$5001,$A$211)))</f>
        <v/>
      </c>
      <c r="P212" s="179" t="str">
        <f>IF(P$3="","",IF(COUNTIFS(BD!$A$3:$A$5001,P$3,BD!$B$3:$B$5001,$A$211,BD!$D$3:$D$5001,"&lt;&gt;")=0,"",SUMIFS(BD!$D$3:$D$5001,BD!$A$3:$A$5001,P$3,BD!$B$3:$B$5001,$A$211)))</f>
        <v/>
      </c>
      <c r="Q212" s="179" t="str">
        <f>IF(Q$3="","",IF(COUNTIFS(BD!$A$3:$A$5001,Q$3,BD!$B$3:$B$5001,$A$211,BD!$D$3:$D$5001,"&lt;&gt;")=0,"",SUMIFS(BD!$D$3:$D$5001,BD!$A$3:$A$5001,Q$3,BD!$B$3:$B$5001,$A$211)))</f>
        <v/>
      </c>
      <c r="R212" s="179" t="str">
        <f>IF(R$3="","",IF(COUNTIFS(BD!$A$3:$A$5001,R$3,BD!$B$3:$B$5001,$A$211,BD!$D$3:$D$5001,"&lt;&gt;")=0,"",SUMIFS(BD!$D$3:$D$5001,BD!$A$3:$A$5001,R$3,BD!$B$3:$B$5001,$A$211)))</f>
        <v/>
      </c>
      <c r="S212" s="179" t="str">
        <f>IF(S$3="","",IF(COUNTIFS(BD!$A$3:$A$5001,S$3,BD!$B$3:$B$5001,$A$211,BD!$D$3:$D$5001,"&lt;&gt;")=0,"",SUMIFS(BD!$D$3:$D$5001,BD!$A$3:$A$5001,S$3,BD!$B$3:$B$5001,$A$211)))</f>
        <v/>
      </c>
      <c r="T212" s="179" t="str">
        <f>IF(T$3="","",IF(COUNTIFS(BD!$A$3:$A$5001,T$3,BD!$B$3:$B$5001,$A$211,BD!$D$3:$D$5001,"&lt;&gt;")=0,"",SUMIFS(BD!$D$3:$D$5001,BD!$A$3:$A$5001,T$3,BD!$B$3:$B$5001,$A$211)))</f>
        <v/>
      </c>
      <c r="U212" s="179" t="str">
        <f>IF(U$3="","",IF(COUNTIFS(BD!$A$3:$A$5001,U$3,BD!$B$3:$B$5001,$A$211,BD!$D$3:$D$5001,"&lt;&gt;")=0,"",SUMIFS(BD!$D$3:$D$5001,BD!$A$3:$A$5001,U$3,BD!$B$3:$B$5001,$A$211)))</f>
        <v/>
      </c>
      <c r="V212" s="179" t="str">
        <f>IF(V$3="","",IF(COUNTIFS(BD!$A$3:$A$5001,V$3,BD!$B$3:$B$5001,$A$211,BD!$D$3:$D$5001,"&lt;&gt;")=0,"",SUMIFS(BD!$D$3:$D$5001,BD!$A$3:$A$5001,V$3,BD!$B$3:$B$5001,$A$211)))</f>
        <v/>
      </c>
      <c r="W212" s="179" t="str">
        <f>IF(W$3="","",IF(COUNTIFS(BD!$A$3:$A$5001,W$3,BD!$B$3:$B$5001,$A$211,BD!$D$3:$D$5001,"&lt;&gt;")=0,"",SUMIFS(BD!$D$3:$D$5001,BD!$A$3:$A$5001,W$3,BD!$B$3:$B$5001,$A$211)))</f>
        <v/>
      </c>
      <c r="X212" s="179" t="str">
        <f>IF(X$3="","",IF(COUNTIFS(BD!$A$3:$A$5001,X$3,BD!$B$3:$B$5001,$A$211,BD!$D$3:$D$5001,"&lt;&gt;")=0,"",SUMIFS(BD!$D$3:$D$5001,BD!$A$3:$A$5001,X$3,BD!$B$3:$B$5001,$A$211)))</f>
        <v/>
      </c>
      <c r="Y212" s="179" t="str">
        <f>IF(Y$3="","",IF(COUNTIFS(BD!$A$3:$A$5001,Y$3,BD!$B$3:$B$5001,$A$211,BD!$D$3:$D$5001,"&lt;&gt;")=0,"",SUMIFS(BD!$D$3:$D$5001,BD!$A$3:$A$5001,Y$3,BD!$B$3:$B$5001,$A$211)))</f>
        <v/>
      </c>
      <c r="Z212" s="179" t="str">
        <f>IF(Z$3="","",IF(COUNTIFS(BD!$A$3:$A$5001,Z$3,BD!$B$3:$B$5001,$A$211,BD!$D$3:$D$5001,"&lt;&gt;")=0,"",SUMIFS(BD!$D$3:$D$5001,BD!$A$3:$A$5001,Z$3,BD!$B$3:$B$5001,$A$211)))</f>
        <v/>
      </c>
      <c r="AA212" s="179" t="str">
        <f>IF(AA$3="","",IF(COUNTIFS(BD!$A$3:$A$5001,AA$3,BD!$B$3:$B$5001,$A$211,BD!$D$3:$D$5001,"&lt;&gt;")=0,"",SUMIFS(BD!$D$3:$D$5001,BD!$A$3:$A$5001,AA$3,BD!$B$3:$B$5001,$A$211)))</f>
        <v/>
      </c>
      <c r="AB212" s="179" t="str">
        <f>IF(AB$3="","",IF(COUNTIFS(BD!$A$3:$A$5001,AB$3,BD!$B$3:$B$5001,$A$211,BD!$D$3:$D$5001,"&lt;&gt;")=0,"",SUMIFS(BD!$D$3:$D$5001,BD!$A$3:$A$5001,AB$3,BD!$B$3:$B$5001,$A$211)))</f>
        <v/>
      </c>
      <c r="AC212" s="179" t="str">
        <f>IF(AC$3="","",IF(COUNTIFS(BD!$A$3:$A$5001,AC$3,BD!$B$3:$B$5001,$A$211,BD!$D$3:$D$5001,"&lt;&gt;")=0,"",SUMIFS(BD!$D$3:$D$5001,BD!$A$3:$A$5001,AC$3,BD!$B$3:$B$5001,$A$211)))</f>
        <v/>
      </c>
      <c r="AD212" s="179" t="str">
        <f>IF(AD$3="","",IF(COUNTIFS(BD!$A$3:$A$5001,AD$3,BD!$B$3:$B$5001,$A$211,BD!$D$3:$D$5001,"&lt;&gt;")=0,"",SUMIFS(BD!$D$3:$D$5001,BD!$A$3:$A$5001,AD$3,BD!$B$3:$B$5001,$A$211)))</f>
        <v/>
      </c>
      <c r="AE212" s="179" t="str">
        <f>IF(AE$3="","",IF(COUNTIFS(BD!$A$3:$A$5001,AE$3,BD!$B$3:$B$5001,$A$211,BD!$D$3:$D$5001,"&lt;&gt;")=0,"",SUMIFS(BD!$D$3:$D$5001,BD!$A$3:$A$5001,AE$3,BD!$B$3:$B$5001,$A$211)))</f>
        <v/>
      </c>
      <c r="AF212" s="179" t="str">
        <f>IF(AF$3="","",IF(COUNTIFS(BD!$A$3:$A$5001,AF$3,BD!$B$3:$B$5001,$A$211,BD!$D$3:$D$5001,"&lt;&gt;")=0,"",SUMIFS(BD!$D$3:$D$5001,BD!$A$3:$A$5001,AF$3,BD!$B$3:$B$5001,$A$211)))</f>
        <v/>
      </c>
      <c r="AG212" s="179" t="str">
        <f>IF(AG$3="","",IF(COUNTIFS(BD!$A$3:$A$5001,AG$3,BD!$B$3:$B$5001,$A$211,BD!$D$3:$D$5001,"&lt;&gt;")=0,"",SUMIFS(BD!$D$3:$D$5001,BD!$A$3:$A$5001,AG$3,BD!$B$3:$B$5001,$A$211)))</f>
        <v/>
      </c>
      <c r="AH212" s="179" t="str">
        <f>IF(AH$3="","",IF(COUNTIFS(BD!$A$3:$A$5001,AH$3,BD!$B$3:$B$5001,$A$211,BD!$D$3:$D$5001,"&lt;&gt;")=0,"",SUMIFS(BD!$D$3:$D$5001,BD!$A$3:$A$5001,AH$3,BD!$B$3:$B$5001,$A$211)))</f>
        <v/>
      </c>
      <c r="AI212" s="179" t="str">
        <f>IF(AI$3="","",IF(COUNTIFS(BD!$A$3:$A$5001,AI$3,BD!$B$3:$B$5001,$A$211,BD!$D$3:$D$5001,"&lt;&gt;")=0,"",SUMIFS(BD!$D$3:$D$5001,BD!$A$3:$A$5001,AI$3,BD!$B$3:$B$5001,$A$211)))</f>
        <v/>
      </c>
      <c r="AJ212" s="180" t="str">
        <f>IF(AJ$3="","",IF(COUNTIFS(BD!$A$3:$A$5001,AJ$3,BD!$B$3:$B$5001,$A$211,BD!$D$3:$D$5001,"&lt;&gt;")=0,"",SUMIFS(BD!$D$3:$D$5001,BD!$A$3:$A$5001,AJ$3,BD!$B$3:$B$5001,$A$211)))</f>
        <v/>
      </c>
      <c r="AK212" s="181" t="str">
        <f>IF(COUNT(F212:AJ212)=0,"",SUM(F212:AJ212))</f>
        <v/>
      </c>
    </row>
    <row r="213" ht="15.75" customHeight="1" hidden="1">
      <c r="A213" s="277"/>
      <c r="B213" s="265"/>
      <c r="C213" s="175" t="inlineStr">
        <is>
          <t xml:space="preserve">Toneladas Movimentadas</t>
        </is>
      </c>
      <c r="D213" s="176" t="str">
        <f>IFERROR(1/(1/INDEX(BD!$AF$25:$AZ$25,MATCH($A$211,BD!$AF$22:$AZ$22,0))),"")</f>
        <v/>
      </c>
      <c r="E213" s="177"/>
      <c r="F213" s="182" t="str">
        <f>IF(F$3="","",IF(COUNTIFS(BD!$A$3:$A$5001,F$3,BD!$B$3:$B$5001,$A$211,BD!$E$3:$E$5001,"&lt;&gt;")=0,"",SUMIFS(BD!$E$3:$E$5001,BD!$A$3:$A$5001,F$3,BD!$B$3:$B$5001,$A$211)))</f>
        <v/>
      </c>
      <c r="G213" s="183" t="str">
        <f>IF(G$3="","",IF(COUNTIFS(BD!$A$3:$A$5001,G$3,BD!$B$3:$B$5001,$A$211,BD!$E$3:$E$5001,"&lt;&gt;")=0,"",SUMIFS(BD!$E$3:$E$5001,BD!$A$3:$A$5001,G$3,BD!$B$3:$B$5001,$A$211)))</f>
        <v/>
      </c>
      <c r="H213" s="183" t="str">
        <f>IF(H$3="","",IF(COUNTIFS(BD!$A$3:$A$5001,H$3,BD!$B$3:$B$5001,$A$211,BD!$E$3:$E$5001,"&lt;&gt;")=0,"",SUMIFS(BD!$E$3:$E$5001,BD!$A$3:$A$5001,H$3,BD!$B$3:$B$5001,$A$211)))</f>
        <v/>
      </c>
      <c r="I213" s="183" t="str">
        <f>IF(I$3="","",IF(COUNTIFS(BD!$A$3:$A$5001,I$3,BD!$B$3:$B$5001,$A$211,BD!$E$3:$E$5001,"&lt;&gt;")=0,"",SUMIFS(BD!$E$3:$E$5001,BD!$A$3:$A$5001,I$3,BD!$B$3:$B$5001,$A$211)))</f>
        <v/>
      </c>
      <c r="J213" s="183" t="str">
        <f>IF(J$3="","",IF(COUNTIFS(BD!$A$3:$A$5001,J$3,BD!$B$3:$B$5001,$A$211,BD!$E$3:$E$5001,"&lt;&gt;")=0,"",SUMIFS(BD!$E$3:$E$5001,BD!$A$3:$A$5001,J$3,BD!$B$3:$B$5001,$A$211)))</f>
        <v/>
      </c>
      <c r="K213" s="183" t="str">
        <f>IF(K$3="","",IF(COUNTIFS(BD!$A$3:$A$5001,K$3,BD!$B$3:$B$5001,$A$211,BD!$E$3:$E$5001,"&lt;&gt;")=0,"",SUMIFS(BD!$E$3:$E$5001,BD!$A$3:$A$5001,K$3,BD!$B$3:$B$5001,$A$211)))</f>
        <v/>
      </c>
      <c r="L213" s="183" t="str">
        <f>IF(L$3="","",IF(COUNTIFS(BD!$A$3:$A$5001,L$3,BD!$B$3:$B$5001,$A$211,BD!$E$3:$E$5001,"&lt;&gt;")=0,"",SUMIFS(BD!$E$3:$E$5001,BD!$A$3:$A$5001,L$3,BD!$B$3:$B$5001,$A$211)))</f>
        <v/>
      </c>
      <c r="M213" s="183" t="str">
        <f>IF(M$3="","",IF(COUNTIFS(BD!$A$3:$A$5001,M$3,BD!$B$3:$B$5001,$A$211,BD!$E$3:$E$5001,"&lt;&gt;")=0,"",SUMIFS(BD!$E$3:$E$5001,BD!$A$3:$A$5001,M$3,BD!$B$3:$B$5001,$A$211)))</f>
        <v/>
      </c>
      <c r="N213" s="183" t="str">
        <f>IF(N$3="","",IF(COUNTIFS(BD!$A$3:$A$5001,N$3,BD!$B$3:$B$5001,$A$211,BD!$E$3:$E$5001,"&lt;&gt;")=0,"",SUMIFS(BD!$E$3:$E$5001,BD!$A$3:$A$5001,N$3,BD!$B$3:$B$5001,$A$211)))</f>
        <v/>
      </c>
      <c r="O213" s="183" t="str">
        <f>IF(O$3="","",IF(COUNTIFS(BD!$A$3:$A$5001,O$3,BD!$B$3:$B$5001,$A$211,BD!$E$3:$E$5001,"&lt;&gt;")=0,"",SUMIFS(BD!$E$3:$E$5001,BD!$A$3:$A$5001,O$3,BD!$B$3:$B$5001,$A$211)))</f>
        <v/>
      </c>
      <c r="P213" s="183" t="str">
        <f>IF(P$3="","",IF(COUNTIFS(BD!$A$3:$A$5001,P$3,BD!$B$3:$B$5001,$A$211,BD!$E$3:$E$5001,"&lt;&gt;")=0,"",SUMIFS(BD!$E$3:$E$5001,BD!$A$3:$A$5001,P$3,BD!$B$3:$B$5001,$A$211)))</f>
        <v/>
      </c>
      <c r="Q213" s="183" t="str">
        <f>IF(Q$3="","",IF(COUNTIFS(BD!$A$3:$A$5001,Q$3,BD!$B$3:$B$5001,$A$211,BD!$E$3:$E$5001,"&lt;&gt;")=0,"",SUMIFS(BD!$E$3:$E$5001,BD!$A$3:$A$5001,Q$3,BD!$B$3:$B$5001,$A$211)))</f>
        <v/>
      </c>
      <c r="R213" s="183" t="str">
        <f>IF(R$3="","",IF(COUNTIFS(BD!$A$3:$A$5001,R$3,BD!$B$3:$B$5001,$A$211,BD!$E$3:$E$5001,"&lt;&gt;")=0,"",SUMIFS(BD!$E$3:$E$5001,BD!$A$3:$A$5001,R$3,BD!$B$3:$B$5001,$A$211)))</f>
        <v/>
      </c>
      <c r="S213" s="183" t="str">
        <f>IF(S$3="","",IF(COUNTIFS(BD!$A$3:$A$5001,S$3,BD!$B$3:$B$5001,$A$211,BD!$E$3:$E$5001,"&lt;&gt;")=0,"",SUMIFS(BD!$E$3:$E$5001,BD!$A$3:$A$5001,S$3,BD!$B$3:$B$5001,$A$211)))</f>
        <v/>
      </c>
      <c r="T213" s="183" t="str">
        <f>IF(T$3="","",IF(COUNTIFS(BD!$A$3:$A$5001,T$3,BD!$B$3:$B$5001,$A$211,BD!$E$3:$E$5001,"&lt;&gt;")=0,"",SUMIFS(BD!$E$3:$E$5001,BD!$A$3:$A$5001,T$3,BD!$B$3:$B$5001,$A$211)))</f>
        <v/>
      </c>
      <c r="U213" s="183" t="str">
        <f>IF(U$3="","",IF(COUNTIFS(BD!$A$3:$A$5001,U$3,BD!$B$3:$B$5001,$A$211,BD!$E$3:$E$5001,"&lt;&gt;")=0,"",SUMIFS(BD!$E$3:$E$5001,BD!$A$3:$A$5001,U$3,BD!$B$3:$B$5001,$A$211)))</f>
        <v/>
      </c>
      <c r="V213" s="183" t="str">
        <f>IF(V$3="","",IF(COUNTIFS(BD!$A$3:$A$5001,V$3,BD!$B$3:$B$5001,$A$211,BD!$E$3:$E$5001,"&lt;&gt;")=0,"",SUMIFS(BD!$E$3:$E$5001,BD!$A$3:$A$5001,V$3,BD!$B$3:$B$5001,$A$211)))</f>
        <v/>
      </c>
      <c r="W213" s="183" t="str">
        <f>IF(W$3="","",IF(COUNTIFS(BD!$A$3:$A$5001,W$3,BD!$B$3:$B$5001,$A$211,BD!$E$3:$E$5001,"&lt;&gt;")=0,"",SUMIFS(BD!$E$3:$E$5001,BD!$A$3:$A$5001,W$3,BD!$B$3:$B$5001,$A$211)))</f>
        <v/>
      </c>
      <c r="X213" s="183" t="str">
        <f>IF(X$3="","",IF(COUNTIFS(BD!$A$3:$A$5001,X$3,BD!$B$3:$B$5001,$A$211,BD!$E$3:$E$5001,"&lt;&gt;")=0,"",SUMIFS(BD!$E$3:$E$5001,BD!$A$3:$A$5001,X$3,BD!$B$3:$B$5001,$A$211)))</f>
        <v/>
      </c>
      <c r="Y213" s="183" t="str">
        <f>IF(Y$3="","",IF(COUNTIFS(BD!$A$3:$A$5001,Y$3,BD!$B$3:$B$5001,$A$211,BD!$E$3:$E$5001,"&lt;&gt;")=0,"",SUMIFS(BD!$E$3:$E$5001,BD!$A$3:$A$5001,Y$3,BD!$B$3:$B$5001,$A$211)))</f>
        <v/>
      </c>
      <c r="Z213" s="183" t="str">
        <f>IF(Z$3="","",IF(COUNTIFS(BD!$A$3:$A$5001,Z$3,BD!$B$3:$B$5001,$A$211,BD!$E$3:$E$5001,"&lt;&gt;")=0,"",SUMIFS(BD!$E$3:$E$5001,BD!$A$3:$A$5001,Z$3,BD!$B$3:$B$5001,$A$211)))</f>
        <v/>
      </c>
      <c r="AA213" s="183" t="str">
        <f>IF(AA$3="","",IF(COUNTIFS(BD!$A$3:$A$5001,AA$3,BD!$B$3:$B$5001,$A$211,BD!$E$3:$E$5001,"&lt;&gt;")=0,"",SUMIFS(BD!$E$3:$E$5001,BD!$A$3:$A$5001,AA$3,BD!$B$3:$B$5001,$A$211)))</f>
        <v/>
      </c>
      <c r="AB213" s="183" t="str">
        <f>IF(AB$3="","",IF(COUNTIFS(BD!$A$3:$A$5001,AB$3,BD!$B$3:$B$5001,$A$211,BD!$E$3:$E$5001,"&lt;&gt;")=0,"",SUMIFS(BD!$E$3:$E$5001,BD!$A$3:$A$5001,AB$3,BD!$B$3:$B$5001,$A$211)))</f>
        <v/>
      </c>
      <c r="AC213" s="183" t="str">
        <f>IF(AC$3="","",IF(COUNTIFS(BD!$A$3:$A$5001,AC$3,BD!$B$3:$B$5001,$A$211,BD!$E$3:$E$5001,"&lt;&gt;")=0,"",SUMIFS(BD!$E$3:$E$5001,BD!$A$3:$A$5001,AC$3,BD!$B$3:$B$5001,$A$211)))</f>
        <v/>
      </c>
      <c r="AD213" s="183" t="str">
        <f>IF(AD$3="","",IF(COUNTIFS(BD!$A$3:$A$5001,AD$3,BD!$B$3:$B$5001,$A$211,BD!$E$3:$E$5001,"&lt;&gt;")=0,"",SUMIFS(BD!$E$3:$E$5001,BD!$A$3:$A$5001,AD$3,BD!$B$3:$B$5001,$A$211)))</f>
        <v/>
      </c>
      <c r="AE213" s="183" t="str">
        <f>IF(AE$3="","",IF(COUNTIFS(BD!$A$3:$A$5001,AE$3,BD!$B$3:$B$5001,$A$211,BD!$E$3:$E$5001,"&lt;&gt;")=0,"",SUMIFS(BD!$E$3:$E$5001,BD!$A$3:$A$5001,AE$3,BD!$B$3:$B$5001,$A$211)))</f>
        <v/>
      </c>
      <c r="AF213" s="183" t="str">
        <f>IF(AF$3="","",IF(COUNTIFS(BD!$A$3:$A$5001,AF$3,BD!$B$3:$B$5001,$A$211,BD!$E$3:$E$5001,"&lt;&gt;")=0,"",SUMIFS(BD!$E$3:$E$5001,BD!$A$3:$A$5001,AF$3,BD!$B$3:$B$5001,$A$211)))</f>
        <v/>
      </c>
      <c r="AG213" s="183" t="str">
        <f>IF(AG$3="","",IF(COUNTIFS(BD!$A$3:$A$5001,AG$3,BD!$B$3:$B$5001,$A$211,BD!$E$3:$E$5001,"&lt;&gt;")=0,"",SUMIFS(BD!$E$3:$E$5001,BD!$A$3:$A$5001,AG$3,BD!$B$3:$B$5001,$A$211)))</f>
        <v/>
      </c>
      <c r="AH213" s="183" t="str">
        <f>IF(AH$3="","",IF(COUNTIFS(BD!$A$3:$A$5001,AH$3,BD!$B$3:$B$5001,$A$211,BD!$E$3:$E$5001,"&lt;&gt;")=0,"",SUMIFS(BD!$E$3:$E$5001,BD!$A$3:$A$5001,AH$3,BD!$B$3:$B$5001,$A$211)))</f>
        <v/>
      </c>
      <c r="AI213" s="183" t="str">
        <f>IF(AI$3="","",IF(COUNTIFS(BD!$A$3:$A$5001,AI$3,BD!$B$3:$B$5001,$A$211,BD!$E$3:$E$5001,"&lt;&gt;")=0,"",SUMIFS(BD!$E$3:$E$5001,BD!$A$3:$A$5001,AI$3,BD!$B$3:$B$5001,$A$211)))</f>
        <v/>
      </c>
      <c r="AJ213" s="184" t="str">
        <f>IF(AJ$3="","",IF(COUNTIFS(BD!$A$3:$A$5001,AJ$3,BD!$B$3:$B$5001,$A$211,BD!$E$3:$E$5001,"&lt;&gt;")=0,"",SUMIFS(BD!$E$3:$E$5001,BD!$A$3:$A$5001,AJ$3,BD!$B$3:$B$5001,$A$211)))</f>
        <v/>
      </c>
      <c r="AK213" s="185" t="str">
        <f>IF(COUNT(F213:AJ213)=0,"",SUM(F213:AJ213))</f>
        <v/>
      </c>
    </row>
    <row r="214" ht="15.75" customHeight="1" hidden="1">
      <c r="A214" s="277"/>
      <c r="B214" s="265"/>
      <c r="C214" s="175" t="inlineStr">
        <is>
          <t xml:space="preserve">Caixas Recebidas</t>
        </is>
      </c>
      <c r="D214" s="176" t="str">
        <f>IFERROR(1/(1/INDEX(BD!$AF$26:$AZ$26,MATCH($A$211,BD!$AF$22:$AZ$22,0))),"")</f>
        <v/>
      </c>
      <c r="E214" s="177"/>
      <c r="F214" s="178" t="str">
        <f>IF(F$3="","",IF(COUNTIFS(BD!$A$3:$A$5001,F$3,BD!$B$3:$B$5001,$A$211,BD!$F$3:$F$5001,"&lt;&gt;")=0,"",SUMIFS(BD!$F$3:$F$5001,BD!$A$3:$A$5001,F$3,BD!$B$3:$B$5001,$A$211)))</f>
        <v/>
      </c>
      <c r="G214" s="179" t="str">
        <f>IF(G$3="","",IF(COUNTIFS(BD!$A$3:$A$5001,G$3,BD!$B$3:$B$5001,$A$211,BD!$F$3:$F$5001,"&lt;&gt;")=0,"",SUMIFS(BD!$F$3:$F$5001,BD!$A$3:$A$5001,G$3,BD!$B$3:$B$5001,$A$211)))</f>
        <v/>
      </c>
      <c r="H214" s="179" t="str">
        <f>IF(H$3="","",IF(COUNTIFS(BD!$A$3:$A$5001,H$3,BD!$B$3:$B$5001,$A$211,BD!$F$3:$F$5001,"&lt;&gt;")=0,"",SUMIFS(BD!$F$3:$F$5001,BD!$A$3:$A$5001,H$3,BD!$B$3:$B$5001,$A$211)))</f>
        <v/>
      </c>
      <c r="I214" s="179" t="str">
        <f>IF(I$3="","",IF(COUNTIFS(BD!$A$3:$A$5001,I$3,BD!$B$3:$B$5001,$A$211,BD!$F$3:$F$5001,"&lt;&gt;")=0,"",SUMIFS(BD!$F$3:$F$5001,BD!$A$3:$A$5001,I$3,BD!$B$3:$B$5001,$A$211)))</f>
        <v/>
      </c>
      <c r="J214" s="179" t="str">
        <f>IF(J$3="","",IF(COUNTIFS(BD!$A$3:$A$5001,J$3,BD!$B$3:$B$5001,$A$211,BD!$F$3:$F$5001,"&lt;&gt;")=0,"",SUMIFS(BD!$F$3:$F$5001,BD!$A$3:$A$5001,J$3,BD!$B$3:$B$5001,$A$211)))</f>
        <v/>
      </c>
      <c r="K214" s="179" t="str">
        <f>IF(K$3="","",IF(COUNTIFS(BD!$A$3:$A$5001,K$3,BD!$B$3:$B$5001,$A$211,BD!$F$3:$F$5001,"&lt;&gt;")=0,"",SUMIFS(BD!$F$3:$F$5001,BD!$A$3:$A$5001,K$3,BD!$B$3:$B$5001,$A$211)))</f>
        <v/>
      </c>
      <c r="L214" s="179" t="str">
        <f>IF(L$3="","",IF(COUNTIFS(BD!$A$3:$A$5001,L$3,BD!$B$3:$B$5001,$A$211,BD!$F$3:$F$5001,"&lt;&gt;")=0,"",SUMIFS(BD!$F$3:$F$5001,BD!$A$3:$A$5001,L$3,BD!$B$3:$B$5001,$A$211)))</f>
        <v/>
      </c>
      <c r="M214" s="179" t="str">
        <f>IF(M$3="","",IF(COUNTIFS(BD!$A$3:$A$5001,M$3,BD!$B$3:$B$5001,$A$211,BD!$F$3:$F$5001,"&lt;&gt;")=0,"",SUMIFS(BD!$F$3:$F$5001,BD!$A$3:$A$5001,M$3,BD!$B$3:$B$5001,$A$211)))</f>
        <v/>
      </c>
      <c r="N214" s="179" t="str">
        <f>IF(N$3="","",IF(COUNTIFS(BD!$A$3:$A$5001,N$3,BD!$B$3:$B$5001,$A$211,BD!$F$3:$F$5001,"&lt;&gt;")=0,"",SUMIFS(BD!$F$3:$F$5001,BD!$A$3:$A$5001,N$3,BD!$B$3:$B$5001,$A$211)))</f>
        <v/>
      </c>
      <c r="O214" s="179" t="str">
        <f>IF(O$3="","",IF(COUNTIFS(BD!$A$3:$A$5001,O$3,BD!$B$3:$B$5001,$A$211,BD!$F$3:$F$5001,"&lt;&gt;")=0,"",SUMIFS(BD!$F$3:$F$5001,BD!$A$3:$A$5001,O$3,BD!$B$3:$B$5001,$A$211)))</f>
        <v/>
      </c>
      <c r="P214" s="179" t="str">
        <f>IF(P$3="","",IF(COUNTIFS(BD!$A$3:$A$5001,P$3,BD!$B$3:$B$5001,$A$211,BD!$F$3:$F$5001,"&lt;&gt;")=0,"",SUMIFS(BD!$F$3:$F$5001,BD!$A$3:$A$5001,P$3,BD!$B$3:$B$5001,$A$211)))</f>
        <v/>
      </c>
      <c r="Q214" s="179" t="str">
        <f>IF(Q$3="","",IF(COUNTIFS(BD!$A$3:$A$5001,Q$3,BD!$B$3:$B$5001,$A$211,BD!$F$3:$F$5001,"&lt;&gt;")=0,"",SUMIFS(BD!$F$3:$F$5001,BD!$A$3:$A$5001,Q$3,BD!$B$3:$B$5001,$A$211)))</f>
        <v/>
      </c>
      <c r="R214" s="179" t="str">
        <f>IF(R$3="","",IF(COUNTIFS(BD!$A$3:$A$5001,R$3,BD!$B$3:$B$5001,$A$211,BD!$F$3:$F$5001,"&lt;&gt;")=0,"",SUMIFS(BD!$F$3:$F$5001,BD!$A$3:$A$5001,R$3,BD!$B$3:$B$5001,$A$211)))</f>
        <v/>
      </c>
      <c r="S214" s="179" t="str">
        <f>IF(S$3="","",IF(COUNTIFS(BD!$A$3:$A$5001,S$3,BD!$B$3:$B$5001,$A$211,BD!$F$3:$F$5001,"&lt;&gt;")=0,"",SUMIFS(BD!$F$3:$F$5001,BD!$A$3:$A$5001,S$3,BD!$B$3:$B$5001,$A$211)))</f>
        <v/>
      </c>
      <c r="T214" s="179" t="str">
        <f>IF(T$3="","",IF(COUNTIFS(BD!$A$3:$A$5001,T$3,BD!$B$3:$B$5001,$A$211,BD!$F$3:$F$5001,"&lt;&gt;")=0,"",SUMIFS(BD!$F$3:$F$5001,BD!$A$3:$A$5001,T$3,BD!$B$3:$B$5001,$A$211)))</f>
        <v/>
      </c>
      <c r="U214" s="179" t="str">
        <f>IF(U$3="","",IF(COUNTIFS(BD!$A$3:$A$5001,U$3,BD!$B$3:$B$5001,$A$211,BD!$F$3:$F$5001,"&lt;&gt;")=0,"",SUMIFS(BD!$F$3:$F$5001,BD!$A$3:$A$5001,U$3,BD!$B$3:$B$5001,$A$211)))</f>
        <v/>
      </c>
      <c r="V214" s="179" t="str">
        <f>IF(V$3="","",IF(COUNTIFS(BD!$A$3:$A$5001,V$3,BD!$B$3:$B$5001,$A$211,BD!$F$3:$F$5001,"&lt;&gt;")=0,"",SUMIFS(BD!$F$3:$F$5001,BD!$A$3:$A$5001,V$3,BD!$B$3:$B$5001,$A$211)))</f>
        <v/>
      </c>
      <c r="W214" s="179" t="str">
        <f>IF(W$3="","",IF(COUNTIFS(BD!$A$3:$A$5001,W$3,BD!$B$3:$B$5001,$A$211,BD!$F$3:$F$5001,"&lt;&gt;")=0,"",SUMIFS(BD!$F$3:$F$5001,BD!$A$3:$A$5001,W$3,BD!$B$3:$B$5001,$A$211)))</f>
        <v/>
      </c>
      <c r="X214" s="179" t="str">
        <f>IF(X$3="","",IF(COUNTIFS(BD!$A$3:$A$5001,X$3,BD!$B$3:$B$5001,$A$211,BD!$F$3:$F$5001,"&lt;&gt;")=0,"",SUMIFS(BD!$F$3:$F$5001,BD!$A$3:$A$5001,X$3,BD!$B$3:$B$5001,$A$211)))</f>
        <v/>
      </c>
      <c r="Y214" s="179" t="str">
        <f>IF(Y$3="","",IF(COUNTIFS(BD!$A$3:$A$5001,Y$3,BD!$B$3:$B$5001,$A$211,BD!$F$3:$F$5001,"&lt;&gt;")=0,"",SUMIFS(BD!$F$3:$F$5001,BD!$A$3:$A$5001,Y$3,BD!$B$3:$B$5001,$A$211)))</f>
        <v/>
      </c>
      <c r="Z214" s="179" t="str">
        <f>IF(Z$3="","",IF(COUNTIFS(BD!$A$3:$A$5001,Z$3,BD!$B$3:$B$5001,$A$211,BD!$F$3:$F$5001,"&lt;&gt;")=0,"",SUMIFS(BD!$F$3:$F$5001,BD!$A$3:$A$5001,Z$3,BD!$B$3:$B$5001,$A$211)))</f>
        <v/>
      </c>
      <c r="AA214" s="179" t="str">
        <f>IF(AA$3="","",IF(COUNTIFS(BD!$A$3:$A$5001,AA$3,BD!$B$3:$B$5001,$A$211,BD!$F$3:$F$5001,"&lt;&gt;")=0,"",SUMIFS(BD!$F$3:$F$5001,BD!$A$3:$A$5001,AA$3,BD!$B$3:$B$5001,$A$211)))</f>
        <v/>
      </c>
      <c r="AB214" s="179" t="str">
        <f>IF(AB$3="","",IF(COUNTIFS(BD!$A$3:$A$5001,AB$3,BD!$B$3:$B$5001,$A$211,BD!$F$3:$F$5001,"&lt;&gt;")=0,"",SUMIFS(BD!$F$3:$F$5001,BD!$A$3:$A$5001,AB$3,BD!$B$3:$B$5001,$A$211)))</f>
        <v/>
      </c>
      <c r="AC214" s="179" t="str">
        <f>IF(AC$3="","",IF(COUNTIFS(BD!$A$3:$A$5001,AC$3,BD!$B$3:$B$5001,$A$211,BD!$F$3:$F$5001,"&lt;&gt;")=0,"",SUMIFS(BD!$F$3:$F$5001,BD!$A$3:$A$5001,AC$3,BD!$B$3:$B$5001,$A$211)))</f>
        <v/>
      </c>
      <c r="AD214" s="179" t="str">
        <f>IF(AD$3="","",IF(COUNTIFS(BD!$A$3:$A$5001,AD$3,BD!$B$3:$B$5001,$A$211,BD!$F$3:$F$5001,"&lt;&gt;")=0,"",SUMIFS(BD!$F$3:$F$5001,BD!$A$3:$A$5001,AD$3,BD!$B$3:$B$5001,$A$211)))</f>
        <v/>
      </c>
      <c r="AE214" s="179" t="str">
        <f>IF(AE$3="","",IF(COUNTIFS(BD!$A$3:$A$5001,AE$3,BD!$B$3:$B$5001,$A$211,BD!$F$3:$F$5001,"&lt;&gt;")=0,"",SUMIFS(BD!$F$3:$F$5001,BD!$A$3:$A$5001,AE$3,BD!$B$3:$B$5001,$A$211)))</f>
        <v/>
      </c>
      <c r="AF214" s="179" t="str">
        <f>IF(AF$3="","",IF(COUNTIFS(BD!$A$3:$A$5001,AF$3,BD!$B$3:$B$5001,$A$211,BD!$F$3:$F$5001,"&lt;&gt;")=0,"",SUMIFS(BD!$F$3:$F$5001,BD!$A$3:$A$5001,AF$3,BD!$B$3:$B$5001,$A$211)))</f>
        <v/>
      </c>
      <c r="AG214" s="179" t="str">
        <f>IF(AG$3="","",IF(COUNTIFS(BD!$A$3:$A$5001,AG$3,BD!$B$3:$B$5001,$A$211,BD!$F$3:$F$5001,"&lt;&gt;")=0,"",SUMIFS(BD!$F$3:$F$5001,BD!$A$3:$A$5001,AG$3,BD!$B$3:$B$5001,$A$211)))</f>
        <v/>
      </c>
      <c r="AH214" s="179" t="str">
        <f>IF(AH$3="","",IF(COUNTIFS(BD!$A$3:$A$5001,AH$3,BD!$B$3:$B$5001,$A$211,BD!$F$3:$F$5001,"&lt;&gt;")=0,"",SUMIFS(BD!$F$3:$F$5001,BD!$A$3:$A$5001,AH$3,BD!$B$3:$B$5001,$A$211)))</f>
        <v/>
      </c>
      <c r="AI214" s="179" t="str">
        <f>IF(AI$3="","",IF(COUNTIFS(BD!$A$3:$A$5001,AI$3,BD!$B$3:$B$5001,$A$211,BD!$F$3:$F$5001,"&lt;&gt;")=0,"",SUMIFS(BD!$F$3:$F$5001,BD!$A$3:$A$5001,AI$3,BD!$B$3:$B$5001,$A$211)))</f>
        <v/>
      </c>
      <c r="AJ214" s="180" t="str">
        <f>IF(AJ$3="","",IF(COUNTIFS(BD!$A$3:$A$5001,AJ$3,BD!$B$3:$B$5001,$A$211,BD!$F$3:$F$5001,"&lt;&gt;")=0,"",SUMIFS(BD!$F$3:$F$5001,BD!$A$3:$A$5001,AJ$3,BD!$B$3:$B$5001,$A$211)))</f>
        <v/>
      </c>
      <c r="AK214" s="181" t="str">
        <f>IF(COUNT(F214:AJ214)=0,"",SUM(F214:AJ214))</f>
        <v/>
      </c>
    </row>
    <row r="215" ht="15.75" customHeight="1" hidden="1">
      <c r="A215" s="277"/>
      <c r="B215" s="266"/>
      <c r="C215" s="186" t="inlineStr">
        <is>
          <t xml:space="preserve">Bags Recebidos</t>
        </is>
      </c>
      <c r="D215" s="187" t="str">
        <f>IFERROR(1/(1/INDEX(BD!$AF$27:$AZ$27,MATCH($A$211,BD!$AF$22:$AZ$22,0))),"")</f>
        <v/>
      </c>
      <c r="E215" s="188"/>
      <c r="F215" s="189" t="str">
        <f>IF(F$3="","",IF(COUNTIFS(BD!$A$3:$A$5001,F$3,BD!$B$3:$B$5001,$A$211,BD!$G$3:$G$5001,"&lt;&gt;")=0,"",SUMIFS(BD!$G$3:$G$5001,BD!$A$3:$A$5001,F$3,BD!$B$3:$B$5001,$A$211)))</f>
        <v/>
      </c>
      <c r="G215" s="190" t="str">
        <f>IF(G$3="","",IF(COUNTIFS(BD!$A$3:$A$5001,G$3,BD!$B$3:$B$5001,$A$211,BD!$G$3:$G$5001,"&lt;&gt;")=0,"",SUMIFS(BD!$G$3:$G$5001,BD!$A$3:$A$5001,G$3,BD!$B$3:$B$5001,$A$211)))</f>
        <v/>
      </c>
      <c r="H215" s="190" t="str">
        <f>IF(H$3="","",IF(COUNTIFS(BD!$A$3:$A$5001,H$3,BD!$B$3:$B$5001,$A$211,BD!$G$3:$G$5001,"&lt;&gt;")=0,"",SUMIFS(BD!$G$3:$G$5001,BD!$A$3:$A$5001,H$3,BD!$B$3:$B$5001,$A$211)))</f>
        <v/>
      </c>
      <c r="I215" s="190" t="str">
        <f>IF(I$3="","",IF(COUNTIFS(BD!$A$3:$A$5001,I$3,BD!$B$3:$B$5001,$A$211,BD!$G$3:$G$5001,"&lt;&gt;")=0,"",SUMIFS(BD!$G$3:$G$5001,BD!$A$3:$A$5001,I$3,BD!$B$3:$B$5001,$A$211)))</f>
        <v/>
      </c>
      <c r="J215" s="190" t="str">
        <f>IF(J$3="","",IF(COUNTIFS(BD!$A$3:$A$5001,J$3,BD!$B$3:$B$5001,$A$211,BD!$G$3:$G$5001,"&lt;&gt;")=0,"",SUMIFS(BD!$G$3:$G$5001,BD!$A$3:$A$5001,J$3,BD!$B$3:$B$5001,$A$211)))</f>
        <v/>
      </c>
      <c r="K215" s="190" t="str">
        <f>IF(K$3="","",IF(COUNTIFS(BD!$A$3:$A$5001,K$3,BD!$B$3:$B$5001,$A$211,BD!$G$3:$G$5001,"&lt;&gt;")=0,"",SUMIFS(BD!$G$3:$G$5001,BD!$A$3:$A$5001,K$3,BD!$B$3:$B$5001,$A$211)))</f>
        <v/>
      </c>
      <c r="L215" s="190" t="str">
        <f>IF(L$3="","",IF(COUNTIFS(BD!$A$3:$A$5001,L$3,BD!$B$3:$B$5001,$A$211,BD!$G$3:$G$5001,"&lt;&gt;")=0,"",SUMIFS(BD!$G$3:$G$5001,BD!$A$3:$A$5001,L$3,BD!$B$3:$B$5001,$A$211)))</f>
        <v/>
      </c>
      <c r="M215" s="190" t="str">
        <f>IF(M$3="","",IF(COUNTIFS(BD!$A$3:$A$5001,M$3,BD!$B$3:$B$5001,$A$211,BD!$G$3:$G$5001,"&lt;&gt;")=0,"",SUMIFS(BD!$G$3:$G$5001,BD!$A$3:$A$5001,M$3,BD!$B$3:$B$5001,$A$211)))</f>
        <v/>
      </c>
      <c r="N215" s="190" t="str">
        <f>IF(N$3="","",IF(COUNTIFS(BD!$A$3:$A$5001,N$3,BD!$B$3:$B$5001,$A$211,BD!$G$3:$G$5001,"&lt;&gt;")=0,"",SUMIFS(BD!$G$3:$G$5001,BD!$A$3:$A$5001,N$3,BD!$B$3:$B$5001,$A$211)))</f>
        <v/>
      </c>
      <c r="O215" s="190" t="str">
        <f>IF(O$3="","",IF(COUNTIFS(BD!$A$3:$A$5001,O$3,BD!$B$3:$B$5001,$A$211,BD!$G$3:$G$5001,"&lt;&gt;")=0,"",SUMIFS(BD!$G$3:$G$5001,BD!$A$3:$A$5001,O$3,BD!$B$3:$B$5001,$A$211)))</f>
        <v/>
      </c>
      <c r="P215" s="190" t="str">
        <f>IF(P$3="","",IF(COUNTIFS(BD!$A$3:$A$5001,P$3,BD!$B$3:$B$5001,$A$211,BD!$G$3:$G$5001,"&lt;&gt;")=0,"",SUMIFS(BD!$G$3:$G$5001,BD!$A$3:$A$5001,P$3,BD!$B$3:$B$5001,$A$211)))</f>
        <v/>
      </c>
      <c r="Q215" s="190" t="str">
        <f>IF(Q$3="","",IF(COUNTIFS(BD!$A$3:$A$5001,Q$3,BD!$B$3:$B$5001,$A$211,BD!$G$3:$G$5001,"&lt;&gt;")=0,"",SUMIFS(BD!$G$3:$G$5001,BD!$A$3:$A$5001,Q$3,BD!$B$3:$B$5001,$A$211)))</f>
        <v/>
      </c>
      <c r="R215" s="190" t="str">
        <f>IF(R$3="","",IF(COUNTIFS(BD!$A$3:$A$5001,R$3,BD!$B$3:$B$5001,$A$211,BD!$G$3:$G$5001,"&lt;&gt;")=0,"",SUMIFS(BD!$G$3:$G$5001,BD!$A$3:$A$5001,R$3,BD!$B$3:$B$5001,$A$211)))</f>
        <v/>
      </c>
      <c r="S215" s="190" t="str">
        <f>IF(S$3="","",IF(COUNTIFS(BD!$A$3:$A$5001,S$3,BD!$B$3:$B$5001,$A$211,BD!$G$3:$G$5001,"&lt;&gt;")=0,"",SUMIFS(BD!$G$3:$G$5001,BD!$A$3:$A$5001,S$3,BD!$B$3:$B$5001,$A$211)))</f>
        <v/>
      </c>
      <c r="T215" s="190" t="str">
        <f>IF(T$3="","",IF(COUNTIFS(BD!$A$3:$A$5001,T$3,BD!$B$3:$B$5001,$A$211,BD!$G$3:$G$5001,"&lt;&gt;")=0,"",SUMIFS(BD!$G$3:$G$5001,BD!$A$3:$A$5001,T$3,BD!$B$3:$B$5001,$A$211)))</f>
        <v/>
      </c>
      <c r="U215" s="190" t="str">
        <f>IF(U$3="","",IF(COUNTIFS(BD!$A$3:$A$5001,U$3,BD!$B$3:$B$5001,$A$211,BD!$G$3:$G$5001,"&lt;&gt;")=0,"",SUMIFS(BD!$G$3:$G$5001,BD!$A$3:$A$5001,U$3,BD!$B$3:$B$5001,$A$211)))</f>
        <v/>
      </c>
      <c r="V215" s="190" t="str">
        <f>IF(V$3="","",IF(COUNTIFS(BD!$A$3:$A$5001,V$3,BD!$B$3:$B$5001,$A$211,BD!$G$3:$G$5001,"&lt;&gt;")=0,"",SUMIFS(BD!$G$3:$G$5001,BD!$A$3:$A$5001,V$3,BD!$B$3:$B$5001,$A$211)))</f>
        <v/>
      </c>
      <c r="W215" s="190" t="str">
        <f>IF(W$3="","",IF(COUNTIFS(BD!$A$3:$A$5001,W$3,BD!$B$3:$B$5001,$A$211,BD!$G$3:$G$5001,"&lt;&gt;")=0,"",SUMIFS(BD!$G$3:$G$5001,BD!$A$3:$A$5001,W$3,BD!$B$3:$B$5001,$A$211)))</f>
        <v/>
      </c>
      <c r="X215" s="190" t="str">
        <f>IF(X$3="","",IF(COUNTIFS(BD!$A$3:$A$5001,X$3,BD!$B$3:$B$5001,$A$211,BD!$G$3:$G$5001,"&lt;&gt;")=0,"",SUMIFS(BD!$G$3:$G$5001,BD!$A$3:$A$5001,X$3,BD!$B$3:$B$5001,$A$211)))</f>
        <v/>
      </c>
      <c r="Y215" s="190" t="str">
        <f>IF(Y$3="","",IF(COUNTIFS(BD!$A$3:$A$5001,Y$3,BD!$B$3:$B$5001,$A$211,BD!$G$3:$G$5001,"&lt;&gt;")=0,"",SUMIFS(BD!$G$3:$G$5001,BD!$A$3:$A$5001,Y$3,BD!$B$3:$B$5001,$A$211)))</f>
        <v/>
      </c>
      <c r="Z215" s="190" t="str">
        <f>IF(Z$3="","",IF(COUNTIFS(BD!$A$3:$A$5001,Z$3,BD!$B$3:$B$5001,$A$211,BD!$G$3:$G$5001,"&lt;&gt;")=0,"",SUMIFS(BD!$G$3:$G$5001,BD!$A$3:$A$5001,Z$3,BD!$B$3:$B$5001,$A$211)))</f>
        <v/>
      </c>
      <c r="AA215" s="190" t="str">
        <f>IF(AA$3="","",IF(COUNTIFS(BD!$A$3:$A$5001,AA$3,BD!$B$3:$B$5001,$A$211,BD!$G$3:$G$5001,"&lt;&gt;")=0,"",SUMIFS(BD!$G$3:$G$5001,BD!$A$3:$A$5001,AA$3,BD!$B$3:$B$5001,$A$211)))</f>
        <v/>
      </c>
      <c r="AB215" s="190" t="str">
        <f>IF(AB$3="","",IF(COUNTIFS(BD!$A$3:$A$5001,AB$3,BD!$B$3:$B$5001,$A$211,BD!$G$3:$G$5001,"&lt;&gt;")=0,"",SUMIFS(BD!$G$3:$G$5001,BD!$A$3:$A$5001,AB$3,BD!$B$3:$B$5001,$A$211)))</f>
        <v/>
      </c>
      <c r="AC215" s="190" t="str">
        <f>IF(AC$3="","",IF(COUNTIFS(BD!$A$3:$A$5001,AC$3,BD!$B$3:$B$5001,$A$211,BD!$G$3:$G$5001,"&lt;&gt;")=0,"",SUMIFS(BD!$G$3:$G$5001,BD!$A$3:$A$5001,AC$3,BD!$B$3:$B$5001,$A$211)))</f>
        <v/>
      </c>
      <c r="AD215" s="190" t="str">
        <f>IF(AD$3="","",IF(COUNTIFS(BD!$A$3:$A$5001,AD$3,BD!$B$3:$B$5001,$A$211,BD!$G$3:$G$5001,"&lt;&gt;")=0,"",SUMIFS(BD!$G$3:$G$5001,BD!$A$3:$A$5001,AD$3,BD!$B$3:$B$5001,$A$211)))</f>
        <v/>
      </c>
      <c r="AE215" s="190" t="str">
        <f>IF(AE$3="","",IF(COUNTIFS(BD!$A$3:$A$5001,AE$3,BD!$B$3:$B$5001,$A$211,BD!$G$3:$G$5001,"&lt;&gt;")=0,"",SUMIFS(BD!$G$3:$G$5001,BD!$A$3:$A$5001,AE$3,BD!$B$3:$B$5001,$A$211)))</f>
        <v/>
      </c>
      <c r="AF215" s="190" t="str">
        <f>IF(AF$3="","",IF(COUNTIFS(BD!$A$3:$A$5001,AF$3,BD!$B$3:$B$5001,$A$211,BD!$G$3:$G$5001,"&lt;&gt;")=0,"",SUMIFS(BD!$G$3:$G$5001,BD!$A$3:$A$5001,AF$3,BD!$B$3:$B$5001,$A$211)))</f>
        <v/>
      </c>
      <c r="AG215" s="190" t="str">
        <f>IF(AG$3="","",IF(COUNTIFS(BD!$A$3:$A$5001,AG$3,BD!$B$3:$B$5001,$A$211,BD!$G$3:$G$5001,"&lt;&gt;")=0,"",SUMIFS(BD!$G$3:$G$5001,BD!$A$3:$A$5001,AG$3,BD!$B$3:$B$5001,$A$211)))</f>
        <v/>
      </c>
      <c r="AH215" s="190" t="str">
        <f>IF(AH$3="","",IF(COUNTIFS(BD!$A$3:$A$5001,AH$3,BD!$B$3:$B$5001,$A$211,BD!$G$3:$G$5001,"&lt;&gt;")=0,"",SUMIFS(BD!$G$3:$G$5001,BD!$A$3:$A$5001,AH$3,BD!$B$3:$B$5001,$A$211)))</f>
        <v/>
      </c>
      <c r="AI215" s="190" t="str">
        <f>IF(AI$3="","",IF(COUNTIFS(BD!$A$3:$A$5001,AI$3,BD!$B$3:$B$5001,$A$211,BD!$G$3:$G$5001,"&lt;&gt;")=0,"",SUMIFS(BD!$G$3:$G$5001,BD!$A$3:$A$5001,AI$3,BD!$B$3:$B$5001,$A$211)))</f>
        <v/>
      </c>
      <c r="AJ215" s="191" t="str">
        <f>IF(AJ$3="","",IF(COUNTIFS(BD!$A$3:$A$5001,AJ$3,BD!$B$3:$B$5001,$A$211,BD!$G$3:$G$5001,"&lt;&gt;")=0,"",SUMIFS(BD!$G$3:$G$5001,BD!$A$3:$A$5001,AJ$3,BD!$B$3:$B$5001,$A$211)))</f>
        <v/>
      </c>
      <c r="AK215" s="187" t="str">
        <f>IF(COUNT(F215:AJ215)=0,"",SUM(F215:AJ215))</f>
        <v/>
      </c>
    </row>
    <row r="216" ht="15.75" customHeight="1" hidden="1">
      <c r="A216" s="277"/>
      <c r="B216" s="267" t="inlineStr">
        <is>
          <t xml:space="preserve">OUT</t>
        </is>
      </c>
      <c r="C216" s="192" t="inlineStr">
        <is>
          <t xml:space="preserve">Veículos Expedidos</t>
        </is>
      </c>
      <c r="D216" s="193" t="str">
        <f>IFERROR(1/(1/INDEX(BD!$AF$28:$AZ$28,MATCH($A$211,BD!$AF$22:$AZ$22,0))),"")</f>
        <v/>
      </c>
      <c r="E216" s="194"/>
      <c r="F216" s="195" t="str">
        <f>IF(F$3="","",IF(COUNTIFS(BD!$A$3:$A$5001,F$3,BD!$B$3:$B$5001,$A$211,BD!$H$3:$H$5001,"&lt;&gt;")=0,"",SUMIFS(BD!$H$3:$H$5001,BD!$A$3:$A$5001,F$3,BD!$B$3:$B$5001,$A$211)))</f>
        <v/>
      </c>
      <c r="G216" s="196" t="str">
        <f>IF(G$3="","",IF(COUNTIFS(BD!$A$3:$A$5001,G$3,BD!$B$3:$B$5001,$A$211,BD!$H$3:$H$5001,"&lt;&gt;")=0,"",SUMIFS(BD!$H$3:$H$5001,BD!$A$3:$A$5001,G$3,BD!$B$3:$B$5001,$A$211)))</f>
        <v/>
      </c>
      <c r="H216" s="196" t="str">
        <f>IF(H$3="","",IF(COUNTIFS(BD!$A$3:$A$5001,H$3,BD!$B$3:$B$5001,$A$211,BD!$H$3:$H$5001,"&lt;&gt;")=0,"",SUMIFS(BD!$H$3:$H$5001,BD!$A$3:$A$5001,H$3,BD!$B$3:$B$5001,$A$211)))</f>
        <v/>
      </c>
      <c r="I216" s="196" t="str">
        <f>IF(I$3="","",IF(COUNTIFS(BD!$A$3:$A$5001,I$3,BD!$B$3:$B$5001,$A$211,BD!$H$3:$H$5001,"&lt;&gt;")=0,"",SUMIFS(BD!$H$3:$H$5001,BD!$A$3:$A$5001,I$3,BD!$B$3:$B$5001,$A$211)))</f>
        <v/>
      </c>
      <c r="J216" s="196" t="str">
        <f>IF(J$3="","",IF(COUNTIFS(BD!$A$3:$A$5001,J$3,BD!$B$3:$B$5001,$A$211,BD!$H$3:$H$5001,"&lt;&gt;")=0,"",SUMIFS(BD!$H$3:$H$5001,BD!$A$3:$A$5001,J$3,BD!$B$3:$B$5001,$A$211)))</f>
        <v/>
      </c>
      <c r="K216" s="196" t="str">
        <f>IF(K$3="","",IF(COUNTIFS(BD!$A$3:$A$5001,K$3,BD!$B$3:$B$5001,$A$211,BD!$H$3:$H$5001,"&lt;&gt;")=0,"",SUMIFS(BD!$H$3:$H$5001,BD!$A$3:$A$5001,K$3,BD!$B$3:$B$5001,$A$211)))</f>
        <v/>
      </c>
      <c r="L216" s="196" t="str">
        <f>IF(L$3="","",IF(COUNTIFS(BD!$A$3:$A$5001,L$3,BD!$B$3:$B$5001,$A$211,BD!$H$3:$H$5001,"&lt;&gt;")=0,"",SUMIFS(BD!$H$3:$H$5001,BD!$A$3:$A$5001,L$3,BD!$B$3:$B$5001,$A$211)))</f>
        <v/>
      </c>
      <c r="M216" s="196" t="str">
        <f>IF(M$3="","",IF(COUNTIFS(BD!$A$3:$A$5001,M$3,BD!$B$3:$B$5001,$A$211,BD!$H$3:$H$5001,"&lt;&gt;")=0,"",SUMIFS(BD!$H$3:$H$5001,BD!$A$3:$A$5001,M$3,BD!$B$3:$B$5001,$A$211)))</f>
        <v/>
      </c>
      <c r="N216" s="196" t="str">
        <f>IF(N$3="","",IF(COUNTIFS(BD!$A$3:$A$5001,N$3,BD!$B$3:$B$5001,$A$211,BD!$H$3:$H$5001,"&lt;&gt;")=0,"",SUMIFS(BD!$H$3:$H$5001,BD!$A$3:$A$5001,N$3,BD!$B$3:$B$5001,$A$211)))</f>
        <v/>
      </c>
      <c r="O216" s="196" t="str">
        <f>IF(O$3="","",IF(COUNTIFS(BD!$A$3:$A$5001,O$3,BD!$B$3:$B$5001,$A$211,BD!$H$3:$H$5001,"&lt;&gt;")=0,"",SUMIFS(BD!$H$3:$H$5001,BD!$A$3:$A$5001,O$3,BD!$B$3:$B$5001,$A$211)))</f>
        <v/>
      </c>
      <c r="P216" s="196" t="str">
        <f>IF(P$3="","",IF(COUNTIFS(BD!$A$3:$A$5001,P$3,BD!$B$3:$B$5001,$A$211,BD!$H$3:$H$5001,"&lt;&gt;")=0,"",SUMIFS(BD!$H$3:$H$5001,BD!$A$3:$A$5001,P$3,BD!$B$3:$B$5001,$A$211)))</f>
        <v/>
      </c>
      <c r="Q216" s="196" t="str">
        <f>IF(Q$3="","",IF(COUNTIFS(BD!$A$3:$A$5001,Q$3,BD!$B$3:$B$5001,$A$211,BD!$H$3:$H$5001,"&lt;&gt;")=0,"",SUMIFS(BD!$H$3:$H$5001,BD!$A$3:$A$5001,Q$3,BD!$B$3:$B$5001,$A$211)))</f>
        <v/>
      </c>
      <c r="R216" s="196" t="str">
        <f>IF(R$3="","",IF(COUNTIFS(BD!$A$3:$A$5001,R$3,BD!$B$3:$B$5001,$A$211,BD!$H$3:$H$5001,"&lt;&gt;")=0,"",SUMIFS(BD!$H$3:$H$5001,BD!$A$3:$A$5001,R$3,BD!$B$3:$B$5001,$A$211)))</f>
        <v/>
      </c>
      <c r="S216" s="196" t="str">
        <f>IF(S$3="","",IF(COUNTIFS(BD!$A$3:$A$5001,S$3,BD!$B$3:$B$5001,$A$211,BD!$H$3:$H$5001,"&lt;&gt;")=0,"",SUMIFS(BD!$H$3:$H$5001,BD!$A$3:$A$5001,S$3,BD!$B$3:$B$5001,$A$211)))</f>
        <v/>
      </c>
      <c r="T216" s="196" t="str">
        <f>IF(T$3="","",IF(COUNTIFS(BD!$A$3:$A$5001,T$3,BD!$B$3:$B$5001,$A$211,BD!$H$3:$H$5001,"&lt;&gt;")=0,"",SUMIFS(BD!$H$3:$H$5001,BD!$A$3:$A$5001,T$3,BD!$B$3:$B$5001,$A$211)))</f>
        <v/>
      </c>
      <c r="U216" s="196" t="str">
        <f>IF(U$3="","",IF(COUNTIFS(BD!$A$3:$A$5001,U$3,BD!$B$3:$B$5001,$A$211,BD!$H$3:$H$5001,"&lt;&gt;")=0,"",SUMIFS(BD!$H$3:$H$5001,BD!$A$3:$A$5001,U$3,BD!$B$3:$B$5001,$A$211)))</f>
        <v/>
      </c>
      <c r="V216" s="196" t="str">
        <f>IF(V$3="","",IF(COUNTIFS(BD!$A$3:$A$5001,V$3,BD!$B$3:$B$5001,$A$211,BD!$H$3:$H$5001,"&lt;&gt;")=0,"",SUMIFS(BD!$H$3:$H$5001,BD!$A$3:$A$5001,V$3,BD!$B$3:$B$5001,$A$211)))</f>
        <v/>
      </c>
      <c r="W216" s="196" t="str">
        <f>IF(W$3="","",IF(COUNTIFS(BD!$A$3:$A$5001,W$3,BD!$B$3:$B$5001,$A$211,BD!$H$3:$H$5001,"&lt;&gt;")=0,"",SUMIFS(BD!$H$3:$H$5001,BD!$A$3:$A$5001,W$3,BD!$B$3:$B$5001,$A$211)))</f>
        <v/>
      </c>
      <c r="X216" s="196" t="str">
        <f>IF(X$3="","",IF(COUNTIFS(BD!$A$3:$A$5001,X$3,BD!$B$3:$B$5001,$A$211,BD!$H$3:$H$5001,"&lt;&gt;")=0,"",SUMIFS(BD!$H$3:$H$5001,BD!$A$3:$A$5001,X$3,BD!$B$3:$B$5001,$A$211)))</f>
        <v/>
      </c>
      <c r="Y216" s="196" t="str">
        <f>IF(Y$3="","",IF(COUNTIFS(BD!$A$3:$A$5001,Y$3,BD!$B$3:$B$5001,$A$211,BD!$H$3:$H$5001,"&lt;&gt;")=0,"",SUMIFS(BD!$H$3:$H$5001,BD!$A$3:$A$5001,Y$3,BD!$B$3:$B$5001,$A$211)))</f>
        <v/>
      </c>
      <c r="Z216" s="196" t="str">
        <f>IF(Z$3="","",IF(COUNTIFS(BD!$A$3:$A$5001,Z$3,BD!$B$3:$B$5001,$A$211,BD!$H$3:$H$5001,"&lt;&gt;")=0,"",SUMIFS(BD!$H$3:$H$5001,BD!$A$3:$A$5001,Z$3,BD!$B$3:$B$5001,$A$211)))</f>
        <v/>
      </c>
      <c r="AA216" s="196" t="str">
        <f>IF(AA$3="","",IF(COUNTIFS(BD!$A$3:$A$5001,AA$3,BD!$B$3:$B$5001,$A$211,BD!$H$3:$H$5001,"&lt;&gt;")=0,"",SUMIFS(BD!$H$3:$H$5001,BD!$A$3:$A$5001,AA$3,BD!$B$3:$B$5001,$A$211)))</f>
        <v/>
      </c>
      <c r="AB216" s="196" t="str">
        <f>IF(AB$3="","",IF(COUNTIFS(BD!$A$3:$A$5001,AB$3,BD!$B$3:$B$5001,$A$211,BD!$H$3:$H$5001,"&lt;&gt;")=0,"",SUMIFS(BD!$H$3:$H$5001,BD!$A$3:$A$5001,AB$3,BD!$B$3:$B$5001,$A$211)))</f>
        <v/>
      </c>
      <c r="AC216" s="196" t="str">
        <f>IF(AC$3="","",IF(COUNTIFS(BD!$A$3:$A$5001,AC$3,BD!$B$3:$B$5001,$A$211,BD!$H$3:$H$5001,"&lt;&gt;")=0,"",SUMIFS(BD!$H$3:$H$5001,BD!$A$3:$A$5001,AC$3,BD!$B$3:$B$5001,$A$211)))</f>
        <v/>
      </c>
      <c r="AD216" s="196" t="str">
        <f>IF(AD$3="","",IF(COUNTIFS(BD!$A$3:$A$5001,AD$3,BD!$B$3:$B$5001,$A$211,BD!$H$3:$H$5001,"&lt;&gt;")=0,"",SUMIFS(BD!$H$3:$H$5001,BD!$A$3:$A$5001,AD$3,BD!$B$3:$B$5001,$A$211)))</f>
        <v/>
      </c>
      <c r="AE216" s="196" t="str">
        <f>IF(AE$3="","",IF(COUNTIFS(BD!$A$3:$A$5001,AE$3,BD!$B$3:$B$5001,$A$211,BD!$H$3:$H$5001,"&lt;&gt;")=0,"",SUMIFS(BD!$H$3:$H$5001,BD!$A$3:$A$5001,AE$3,BD!$B$3:$B$5001,$A$211)))</f>
        <v/>
      </c>
      <c r="AF216" s="196" t="str">
        <f>IF(AF$3="","",IF(COUNTIFS(BD!$A$3:$A$5001,AF$3,BD!$B$3:$B$5001,$A$211,BD!$H$3:$H$5001,"&lt;&gt;")=0,"",SUMIFS(BD!$H$3:$H$5001,BD!$A$3:$A$5001,AF$3,BD!$B$3:$B$5001,$A$211)))</f>
        <v/>
      </c>
      <c r="AG216" s="196" t="str">
        <f>IF(AG$3="","",IF(COUNTIFS(BD!$A$3:$A$5001,AG$3,BD!$B$3:$B$5001,$A$211,BD!$H$3:$H$5001,"&lt;&gt;")=0,"",SUMIFS(BD!$H$3:$H$5001,BD!$A$3:$A$5001,AG$3,BD!$B$3:$B$5001,$A$211)))</f>
        <v/>
      </c>
      <c r="AH216" s="196" t="str">
        <f>IF(AH$3="","",IF(COUNTIFS(BD!$A$3:$A$5001,AH$3,BD!$B$3:$B$5001,$A$211,BD!$H$3:$H$5001,"&lt;&gt;")=0,"",SUMIFS(BD!$H$3:$H$5001,BD!$A$3:$A$5001,AH$3,BD!$B$3:$B$5001,$A$211)))</f>
        <v/>
      </c>
      <c r="AI216" s="196" t="str">
        <f>IF(AI$3="","",IF(COUNTIFS(BD!$A$3:$A$5001,AI$3,BD!$B$3:$B$5001,$A$211,BD!$H$3:$H$5001,"&lt;&gt;")=0,"",SUMIFS(BD!$H$3:$H$5001,BD!$A$3:$A$5001,AI$3,BD!$B$3:$B$5001,$A$211)))</f>
        <v/>
      </c>
      <c r="AJ216" s="197" t="str">
        <f>IF(AJ$3="","",IF(COUNTIFS(BD!$A$3:$A$5001,AJ$3,BD!$B$3:$B$5001,$A$211,BD!$H$3:$H$5001,"&lt;&gt;")=0,"",SUMIFS(BD!$H$3:$H$5001,BD!$A$3:$A$5001,AJ$3,BD!$B$3:$B$5001,$A$211)))</f>
        <v/>
      </c>
      <c r="AK216" s="198" t="str">
        <f>IF(COUNT(F216:AJ216)=0,"",SUM(F216:AJ216))</f>
        <v/>
      </c>
    </row>
    <row r="217" ht="15.75" customHeight="1" hidden="1">
      <c r="A217" s="277"/>
      <c r="B217" s="268"/>
      <c r="C217" s="199" t="inlineStr">
        <is>
          <t xml:space="preserve">Pallets Movimentados</t>
        </is>
      </c>
      <c r="D217" s="200" t="str">
        <f>IFERROR(1/(1/INDEX(BD!$AF$29:$AZ$29,MATCH($A$211,BD!$AF$22:$AZ$22,0))),"")</f>
        <v/>
      </c>
      <c r="E217" s="201"/>
      <c r="F217" s="202" t="str">
        <f>IF(F$3="","",IF(COUNTIFS(BD!$A$3:$A$5001,F$3,BD!$B$3:$B$5001,$A$211,BD!$I$3:$I$5001,"&lt;&gt;")=0,"",SUMIFS(BD!$I$3:$I$5001,BD!$A$3:$A$5001,F$3,BD!$B$3:$B$5001,$A$211)))</f>
        <v/>
      </c>
      <c r="G217" s="203" t="str">
        <f>IF(G$3="","",IF(COUNTIFS(BD!$A$3:$A$5001,G$3,BD!$B$3:$B$5001,$A$211,BD!$I$3:$I$5001,"&lt;&gt;")=0,"",SUMIFS(BD!$I$3:$I$5001,BD!$A$3:$A$5001,G$3,BD!$B$3:$B$5001,$A$211)))</f>
        <v/>
      </c>
      <c r="H217" s="203" t="str">
        <f>IF(H$3="","",IF(COUNTIFS(BD!$A$3:$A$5001,H$3,BD!$B$3:$B$5001,$A$211,BD!$I$3:$I$5001,"&lt;&gt;")=0,"",SUMIFS(BD!$I$3:$I$5001,BD!$A$3:$A$5001,H$3,BD!$B$3:$B$5001,$A$211)))</f>
        <v/>
      </c>
      <c r="I217" s="203" t="str">
        <f>IF(I$3="","",IF(COUNTIFS(BD!$A$3:$A$5001,I$3,BD!$B$3:$B$5001,$A$211,BD!$I$3:$I$5001,"&lt;&gt;")=0,"",SUMIFS(BD!$I$3:$I$5001,BD!$A$3:$A$5001,I$3,BD!$B$3:$B$5001,$A$211)))</f>
        <v/>
      </c>
      <c r="J217" s="203" t="str">
        <f>IF(J$3="","",IF(COUNTIFS(BD!$A$3:$A$5001,J$3,BD!$B$3:$B$5001,$A$211,BD!$I$3:$I$5001,"&lt;&gt;")=0,"",SUMIFS(BD!$I$3:$I$5001,BD!$A$3:$A$5001,J$3,BD!$B$3:$B$5001,$A$211)))</f>
        <v/>
      </c>
      <c r="K217" s="203" t="str">
        <f>IF(K$3="","",IF(COUNTIFS(BD!$A$3:$A$5001,K$3,BD!$B$3:$B$5001,$A$211,BD!$I$3:$I$5001,"&lt;&gt;")=0,"",SUMIFS(BD!$I$3:$I$5001,BD!$A$3:$A$5001,K$3,BD!$B$3:$B$5001,$A$211)))</f>
        <v/>
      </c>
      <c r="L217" s="203" t="str">
        <f>IF(L$3="","",IF(COUNTIFS(BD!$A$3:$A$5001,L$3,BD!$B$3:$B$5001,$A$211,BD!$I$3:$I$5001,"&lt;&gt;")=0,"",SUMIFS(BD!$I$3:$I$5001,BD!$A$3:$A$5001,L$3,BD!$B$3:$B$5001,$A$211)))</f>
        <v/>
      </c>
      <c r="M217" s="203" t="str">
        <f>IF(M$3="","",IF(COUNTIFS(BD!$A$3:$A$5001,M$3,BD!$B$3:$B$5001,$A$211,BD!$I$3:$I$5001,"&lt;&gt;")=0,"",SUMIFS(BD!$I$3:$I$5001,BD!$A$3:$A$5001,M$3,BD!$B$3:$B$5001,$A$211)))</f>
        <v/>
      </c>
      <c r="N217" s="203" t="str">
        <f>IF(N$3="","",IF(COUNTIFS(BD!$A$3:$A$5001,N$3,BD!$B$3:$B$5001,$A$211,BD!$I$3:$I$5001,"&lt;&gt;")=0,"",SUMIFS(BD!$I$3:$I$5001,BD!$A$3:$A$5001,N$3,BD!$B$3:$B$5001,$A$211)))</f>
        <v/>
      </c>
      <c r="O217" s="203" t="str">
        <f>IF(O$3="","",IF(COUNTIFS(BD!$A$3:$A$5001,O$3,BD!$B$3:$B$5001,$A$211,BD!$I$3:$I$5001,"&lt;&gt;")=0,"",SUMIFS(BD!$I$3:$I$5001,BD!$A$3:$A$5001,O$3,BD!$B$3:$B$5001,$A$211)))</f>
        <v/>
      </c>
      <c r="P217" s="203" t="str">
        <f>IF(P$3="","",IF(COUNTIFS(BD!$A$3:$A$5001,P$3,BD!$B$3:$B$5001,$A$211,BD!$I$3:$I$5001,"&lt;&gt;")=0,"",SUMIFS(BD!$I$3:$I$5001,BD!$A$3:$A$5001,P$3,BD!$B$3:$B$5001,$A$211)))</f>
        <v/>
      </c>
      <c r="Q217" s="203" t="str">
        <f>IF(Q$3="","",IF(COUNTIFS(BD!$A$3:$A$5001,Q$3,BD!$B$3:$B$5001,$A$211,BD!$I$3:$I$5001,"&lt;&gt;")=0,"",SUMIFS(BD!$I$3:$I$5001,BD!$A$3:$A$5001,Q$3,BD!$B$3:$B$5001,$A$211)))</f>
        <v/>
      </c>
      <c r="R217" s="203" t="str">
        <f>IF(R$3="","",IF(COUNTIFS(BD!$A$3:$A$5001,R$3,BD!$B$3:$B$5001,$A$211,BD!$I$3:$I$5001,"&lt;&gt;")=0,"",SUMIFS(BD!$I$3:$I$5001,BD!$A$3:$A$5001,R$3,BD!$B$3:$B$5001,$A$211)))</f>
        <v/>
      </c>
      <c r="S217" s="203" t="str">
        <f>IF(S$3="","",IF(COUNTIFS(BD!$A$3:$A$5001,S$3,BD!$B$3:$B$5001,$A$211,BD!$I$3:$I$5001,"&lt;&gt;")=0,"",SUMIFS(BD!$I$3:$I$5001,BD!$A$3:$A$5001,S$3,BD!$B$3:$B$5001,$A$211)))</f>
        <v/>
      </c>
      <c r="T217" s="203" t="str">
        <f>IF(T$3="","",IF(COUNTIFS(BD!$A$3:$A$5001,T$3,BD!$B$3:$B$5001,$A$211,BD!$I$3:$I$5001,"&lt;&gt;")=0,"",SUMIFS(BD!$I$3:$I$5001,BD!$A$3:$A$5001,T$3,BD!$B$3:$B$5001,$A$211)))</f>
        <v/>
      </c>
      <c r="U217" s="203" t="str">
        <f>IF(U$3="","",IF(COUNTIFS(BD!$A$3:$A$5001,U$3,BD!$B$3:$B$5001,$A$211,BD!$I$3:$I$5001,"&lt;&gt;")=0,"",SUMIFS(BD!$I$3:$I$5001,BD!$A$3:$A$5001,U$3,BD!$B$3:$B$5001,$A$211)))</f>
        <v/>
      </c>
      <c r="V217" s="203" t="str">
        <f>IF(V$3="","",IF(COUNTIFS(BD!$A$3:$A$5001,V$3,BD!$B$3:$B$5001,$A$211,BD!$I$3:$I$5001,"&lt;&gt;")=0,"",SUMIFS(BD!$I$3:$I$5001,BD!$A$3:$A$5001,V$3,BD!$B$3:$B$5001,$A$211)))</f>
        <v/>
      </c>
      <c r="W217" s="203" t="str">
        <f>IF(W$3="","",IF(COUNTIFS(BD!$A$3:$A$5001,W$3,BD!$B$3:$B$5001,$A$211,BD!$I$3:$I$5001,"&lt;&gt;")=0,"",SUMIFS(BD!$I$3:$I$5001,BD!$A$3:$A$5001,W$3,BD!$B$3:$B$5001,$A$211)))</f>
        <v/>
      </c>
      <c r="X217" s="203" t="str">
        <f>IF(X$3="","",IF(COUNTIFS(BD!$A$3:$A$5001,X$3,BD!$B$3:$B$5001,$A$211,BD!$I$3:$I$5001,"&lt;&gt;")=0,"",SUMIFS(BD!$I$3:$I$5001,BD!$A$3:$A$5001,X$3,BD!$B$3:$B$5001,$A$211)))</f>
        <v/>
      </c>
      <c r="Y217" s="203" t="str">
        <f>IF(Y$3="","",IF(COUNTIFS(BD!$A$3:$A$5001,Y$3,BD!$B$3:$B$5001,$A$211,BD!$I$3:$I$5001,"&lt;&gt;")=0,"",SUMIFS(BD!$I$3:$I$5001,BD!$A$3:$A$5001,Y$3,BD!$B$3:$B$5001,$A$211)))</f>
        <v/>
      </c>
      <c r="Z217" s="203" t="str">
        <f>IF(Z$3="","",IF(COUNTIFS(BD!$A$3:$A$5001,Z$3,BD!$B$3:$B$5001,$A$211,BD!$I$3:$I$5001,"&lt;&gt;")=0,"",SUMIFS(BD!$I$3:$I$5001,BD!$A$3:$A$5001,Z$3,BD!$B$3:$B$5001,$A$211)))</f>
        <v/>
      </c>
      <c r="AA217" s="203" t="str">
        <f>IF(AA$3="","",IF(COUNTIFS(BD!$A$3:$A$5001,AA$3,BD!$B$3:$B$5001,$A$211,BD!$I$3:$I$5001,"&lt;&gt;")=0,"",SUMIFS(BD!$I$3:$I$5001,BD!$A$3:$A$5001,AA$3,BD!$B$3:$B$5001,$A$211)))</f>
        <v/>
      </c>
      <c r="AB217" s="203" t="str">
        <f>IF(AB$3="","",IF(COUNTIFS(BD!$A$3:$A$5001,AB$3,BD!$B$3:$B$5001,$A$211,BD!$I$3:$I$5001,"&lt;&gt;")=0,"",SUMIFS(BD!$I$3:$I$5001,BD!$A$3:$A$5001,AB$3,BD!$B$3:$B$5001,$A$211)))</f>
        <v/>
      </c>
      <c r="AC217" s="203" t="str">
        <f>IF(AC$3="","",IF(COUNTIFS(BD!$A$3:$A$5001,AC$3,BD!$B$3:$B$5001,$A$211,BD!$I$3:$I$5001,"&lt;&gt;")=0,"",SUMIFS(BD!$I$3:$I$5001,BD!$A$3:$A$5001,AC$3,BD!$B$3:$B$5001,$A$211)))</f>
        <v/>
      </c>
      <c r="AD217" s="203" t="str">
        <f>IF(AD$3="","",IF(COUNTIFS(BD!$A$3:$A$5001,AD$3,BD!$B$3:$B$5001,$A$211,BD!$I$3:$I$5001,"&lt;&gt;")=0,"",SUMIFS(BD!$I$3:$I$5001,BD!$A$3:$A$5001,AD$3,BD!$B$3:$B$5001,$A$211)))</f>
        <v/>
      </c>
      <c r="AE217" s="203" t="str">
        <f>IF(AE$3="","",IF(COUNTIFS(BD!$A$3:$A$5001,AE$3,BD!$B$3:$B$5001,$A$211,BD!$I$3:$I$5001,"&lt;&gt;")=0,"",SUMIFS(BD!$I$3:$I$5001,BD!$A$3:$A$5001,AE$3,BD!$B$3:$B$5001,$A$211)))</f>
        <v/>
      </c>
      <c r="AF217" s="203" t="str">
        <f>IF(AF$3="","",IF(COUNTIFS(BD!$A$3:$A$5001,AF$3,BD!$B$3:$B$5001,$A$211,BD!$I$3:$I$5001,"&lt;&gt;")=0,"",SUMIFS(BD!$I$3:$I$5001,BD!$A$3:$A$5001,AF$3,BD!$B$3:$B$5001,$A$211)))</f>
        <v/>
      </c>
      <c r="AG217" s="203" t="str">
        <f>IF(AG$3="","",IF(COUNTIFS(BD!$A$3:$A$5001,AG$3,BD!$B$3:$B$5001,$A$211,BD!$I$3:$I$5001,"&lt;&gt;")=0,"",SUMIFS(BD!$I$3:$I$5001,BD!$A$3:$A$5001,AG$3,BD!$B$3:$B$5001,$A$211)))</f>
        <v/>
      </c>
      <c r="AH217" s="203" t="str">
        <f>IF(AH$3="","",IF(COUNTIFS(BD!$A$3:$A$5001,AH$3,BD!$B$3:$B$5001,$A$211,BD!$I$3:$I$5001,"&lt;&gt;")=0,"",SUMIFS(BD!$I$3:$I$5001,BD!$A$3:$A$5001,AH$3,BD!$B$3:$B$5001,$A$211)))</f>
        <v/>
      </c>
      <c r="AI217" s="203" t="str">
        <f>IF(AI$3="","",IF(COUNTIFS(BD!$A$3:$A$5001,AI$3,BD!$B$3:$B$5001,$A$211,BD!$I$3:$I$5001,"&lt;&gt;")=0,"",SUMIFS(BD!$I$3:$I$5001,BD!$A$3:$A$5001,AI$3,BD!$B$3:$B$5001,$A$211)))</f>
        <v/>
      </c>
      <c r="AJ217" s="204" t="str">
        <f>IF(AJ$3="","",IF(COUNTIFS(BD!$A$3:$A$5001,AJ$3,BD!$B$3:$B$5001,$A$211,BD!$I$3:$I$5001,"&lt;&gt;")=0,"",SUMIFS(BD!$I$3:$I$5001,BD!$A$3:$A$5001,AJ$3,BD!$B$3:$B$5001,$A$211)))</f>
        <v/>
      </c>
      <c r="AK217" s="205" t="str">
        <f>IF(COUNT(F217:AJ217)=0,"",SUM(F217:AJ217))</f>
        <v/>
      </c>
    </row>
    <row r="218" ht="15.75" customHeight="1" hidden="1">
      <c r="A218" s="277"/>
      <c r="B218" s="268"/>
      <c r="C218" s="199" t="inlineStr">
        <is>
          <t xml:space="preserve">Toneladas Movimentadas</t>
        </is>
      </c>
      <c r="D218" s="200" t="str">
        <f>IFERROR(1/(1/INDEX(BD!$AF$30:$AZ$30,MATCH($A$211,BD!$AF$22:$AZ$22,0))),"")</f>
        <v/>
      </c>
      <c r="E218" s="201"/>
      <c r="F218" s="206" t="str">
        <f>IF(F$3="","",IF(COUNTIFS(BD!$A$3:$A$5001,F$3,BD!$B$3:$B$5001,$A$211,BD!$J$3:$J$5001,"&lt;&gt;")=0,"",SUMIFS(BD!$J$3:$J$5001,BD!$A$3:$A$5001,F$3,BD!$B$3:$B$5001,$A$211)))</f>
        <v/>
      </c>
      <c r="G218" s="207" t="str">
        <f>IF(G$3="","",IF(COUNTIFS(BD!$A$3:$A$5001,G$3,BD!$B$3:$B$5001,$A$211,BD!$J$3:$J$5001,"&lt;&gt;")=0,"",SUMIFS(BD!$J$3:$J$5001,BD!$A$3:$A$5001,G$3,BD!$B$3:$B$5001,$A$211)))</f>
        <v/>
      </c>
      <c r="H218" s="207" t="str">
        <f>IF(H$3="","",IF(COUNTIFS(BD!$A$3:$A$5001,H$3,BD!$B$3:$B$5001,$A$211,BD!$J$3:$J$5001,"&lt;&gt;")=0,"",SUMIFS(BD!$J$3:$J$5001,BD!$A$3:$A$5001,H$3,BD!$B$3:$B$5001,$A$211)))</f>
        <v/>
      </c>
      <c r="I218" s="207" t="str">
        <f>IF(I$3="","",IF(COUNTIFS(BD!$A$3:$A$5001,I$3,BD!$B$3:$B$5001,$A$211,BD!$J$3:$J$5001,"&lt;&gt;")=0,"",SUMIFS(BD!$J$3:$J$5001,BD!$A$3:$A$5001,I$3,BD!$B$3:$B$5001,$A$211)))</f>
        <v/>
      </c>
      <c r="J218" s="207" t="str">
        <f>IF(J$3="","",IF(COUNTIFS(BD!$A$3:$A$5001,J$3,BD!$B$3:$B$5001,$A$211,BD!$J$3:$J$5001,"&lt;&gt;")=0,"",SUMIFS(BD!$J$3:$J$5001,BD!$A$3:$A$5001,J$3,BD!$B$3:$B$5001,$A$211)))</f>
        <v/>
      </c>
      <c r="K218" s="207" t="str">
        <f>IF(K$3="","",IF(COUNTIFS(BD!$A$3:$A$5001,K$3,BD!$B$3:$B$5001,$A$211,BD!$J$3:$J$5001,"&lt;&gt;")=0,"",SUMIFS(BD!$J$3:$J$5001,BD!$A$3:$A$5001,K$3,BD!$B$3:$B$5001,$A$211)))</f>
        <v/>
      </c>
      <c r="L218" s="207" t="str">
        <f>IF(L$3="","",IF(COUNTIFS(BD!$A$3:$A$5001,L$3,BD!$B$3:$B$5001,$A$211,BD!$J$3:$J$5001,"&lt;&gt;")=0,"",SUMIFS(BD!$J$3:$J$5001,BD!$A$3:$A$5001,L$3,BD!$B$3:$B$5001,$A$211)))</f>
        <v/>
      </c>
      <c r="M218" s="207" t="str">
        <f>IF(M$3="","",IF(COUNTIFS(BD!$A$3:$A$5001,M$3,BD!$B$3:$B$5001,$A$211,BD!$J$3:$J$5001,"&lt;&gt;")=0,"",SUMIFS(BD!$J$3:$J$5001,BD!$A$3:$A$5001,M$3,BD!$B$3:$B$5001,$A$211)))</f>
        <v/>
      </c>
      <c r="N218" s="207" t="str">
        <f>IF(N$3="","",IF(COUNTIFS(BD!$A$3:$A$5001,N$3,BD!$B$3:$B$5001,$A$211,BD!$J$3:$J$5001,"&lt;&gt;")=0,"",SUMIFS(BD!$J$3:$J$5001,BD!$A$3:$A$5001,N$3,BD!$B$3:$B$5001,$A$211)))</f>
        <v/>
      </c>
      <c r="O218" s="207" t="str">
        <f>IF(O$3="","",IF(COUNTIFS(BD!$A$3:$A$5001,O$3,BD!$B$3:$B$5001,$A$211,BD!$J$3:$J$5001,"&lt;&gt;")=0,"",SUMIFS(BD!$J$3:$J$5001,BD!$A$3:$A$5001,O$3,BD!$B$3:$B$5001,$A$211)))</f>
        <v/>
      </c>
      <c r="P218" s="207" t="str">
        <f>IF(P$3="","",IF(COUNTIFS(BD!$A$3:$A$5001,P$3,BD!$B$3:$B$5001,$A$211,BD!$J$3:$J$5001,"&lt;&gt;")=0,"",SUMIFS(BD!$J$3:$J$5001,BD!$A$3:$A$5001,P$3,BD!$B$3:$B$5001,$A$211)))</f>
        <v/>
      </c>
      <c r="Q218" s="207" t="str">
        <f>IF(Q$3="","",IF(COUNTIFS(BD!$A$3:$A$5001,Q$3,BD!$B$3:$B$5001,$A$211,BD!$J$3:$J$5001,"&lt;&gt;")=0,"",SUMIFS(BD!$J$3:$J$5001,BD!$A$3:$A$5001,Q$3,BD!$B$3:$B$5001,$A$211)))</f>
        <v/>
      </c>
      <c r="R218" s="207" t="str">
        <f>IF(R$3="","",IF(COUNTIFS(BD!$A$3:$A$5001,R$3,BD!$B$3:$B$5001,$A$211,BD!$J$3:$J$5001,"&lt;&gt;")=0,"",SUMIFS(BD!$J$3:$J$5001,BD!$A$3:$A$5001,R$3,BD!$B$3:$B$5001,$A$211)))</f>
        <v/>
      </c>
      <c r="S218" s="207" t="str">
        <f>IF(S$3="","",IF(COUNTIFS(BD!$A$3:$A$5001,S$3,BD!$B$3:$B$5001,$A$211,BD!$J$3:$J$5001,"&lt;&gt;")=0,"",SUMIFS(BD!$J$3:$J$5001,BD!$A$3:$A$5001,S$3,BD!$B$3:$B$5001,$A$211)))</f>
        <v/>
      </c>
      <c r="T218" s="207" t="str">
        <f>IF(T$3="","",IF(COUNTIFS(BD!$A$3:$A$5001,T$3,BD!$B$3:$B$5001,$A$211,BD!$J$3:$J$5001,"&lt;&gt;")=0,"",SUMIFS(BD!$J$3:$J$5001,BD!$A$3:$A$5001,T$3,BD!$B$3:$B$5001,$A$211)))</f>
        <v/>
      </c>
      <c r="U218" s="207" t="str">
        <f>IF(U$3="","",IF(COUNTIFS(BD!$A$3:$A$5001,U$3,BD!$B$3:$B$5001,$A$211,BD!$J$3:$J$5001,"&lt;&gt;")=0,"",SUMIFS(BD!$J$3:$J$5001,BD!$A$3:$A$5001,U$3,BD!$B$3:$B$5001,$A$211)))</f>
        <v/>
      </c>
      <c r="V218" s="207" t="str">
        <f>IF(V$3="","",IF(COUNTIFS(BD!$A$3:$A$5001,V$3,BD!$B$3:$B$5001,$A$211,BD!$J$3:$J$5001,"&lt;&gt;")=0,"",SUMIFS(BD!$J$3:$J$5001,BD!$A$3:$A$5001,V$3,BD!$B$3:$B$5001,$A$211)))</f>
        <v/>
      </c>
      <c r="W218" s="207" t="str">
        <f>IF(W$3="","",IF(COUNTIFS(BD!$A$3:$A$5001,W$3,BD!$B$3:$B$5001,$A$211,BD!$J$3:$J$5001,"&lt;&gt;")=0,"",SUMIFS(BD!$J$3:$J$5001,BD!$A$3:$A$5001,W$3,BD!$B$3:$B$5001,$A$211)))</f>
        <v/>
      </c>
      <c r="X218" s="207" t="str">
        <f>IF(X$3="","",IF(COUNTIFS(BD!$A$3:$A$5001,X$3,BD!$B$3:$B$5001,$A$211,BD!$J$3:$J$5001,"&lt;&gt;")=0,"",SUMIFS(BD!$J$3:$J$5001,BD!$A$3:$A$5001,X$3,BD!$B$3:$B$5001,$A$211)))</f>
        <v/>
      </c>
      <c r="Y218" s="207" t="str">
        <f>IF(Y$3="","",IF(COUNTIFS(BD!$A$3:$A$5001,Y$3,BD!$B$3:$B$5001,$A$211,BD!$J$3:$J$5001,"&lt;&gt;")=0,"",SUMIFS(BD!$J$3:$J$5001,BD!$A$3:$A$5001,Y$3,BD!$B$3:$B$5001,$A$211)))</f>
        <v/>
      </c>
      <c r="Z218" s="207" t="str">
        <f>IF(Z$3="","",IF(COUNTIFS(BD!$A$3:$A$5001,Z$3,BD!$B$3:$B$5001,$A$211,BD!$J$3:$J$5001,"&lt;&gt;")=0,"",SUMIFS(BD!$J$3:$J$5001,BD!$A$3:$A$5001,Z$3,BD!$B$3:$B$5001,$A$211)))</f>
        <v/>
      </c>
      <c r="AA218" s="207" t="str">
        <f>IF(AA$3="","",IF(COUNTIFS(BD!$A$3:$A$5001,AA$3,BD!$B$3:$B$5001,$A$211,BD!$J$3:$J$5001,"&lt;&gt;")=0,"",SUMIFS(BD!$J$3:$J$5001,BD!$A$3:$A$5001,AA$3,BD!$B$3:$B$5001,$A$211)))</f>
        <v/>
      </c>
      <c r="AB218" s="207" t="str">
        <f>IF(AB$3="","",IF(COUNTIFS(BD!$A$3:$A$5001,AB$3,BD!$B$3:$B$5001,$A$211,BD!$J$3:$J$5001,"&lt;&gt;")=0,"",SUMIFS(BD!$J$3:$J$5001,BD!$A$3:$A$5001,AB$3,BD!$B$3:$B$5001,$A$211)))</f>
        <v/>
      </c>
      <c r="AC218" s="207" t="str">
        <f>IF(AC$3="","",IF(COUNTIFS(BD!$A$3:$A$5001,AC$3,BD!$B$3:$B$5001,$A$211,BD!$J$3:$J$5001,"&lt;&gt;")=0,"",SUMIFS(BD!$J$3:$J$5001,BD!$A$3:$A$5001,AC$3,BD!$B$3:$B$5001,$A$211)))</f>
        <v/>
      </c>
      <c r="AD218" s="207" t="str">
        <f>IF(AD$3="","",IF(COUNTIFS(BD!$A$3:$A$5001,AD$3,BD!$B$3:$B$5001,$A$211,BD!$J$3:$J$5001,"&lt;&gt;")=0,"",SUMIFS(BD!$J$3:$J$5001,BD!$A$3:$A$5001,AD$3,BD!$B$3:$B$5001,$A$211)))</f>
        <v/>
      </c>
      <c r="AE218" s="207" t="str">
        <f>IF(AE$3="","",IF(COUNTIFS(BD!$A$3:$A$5001,AE$3,BD!$B$3:$B$5001,$A$211,BD!$J$3:$J$5001,"&lt;&gt;")=0,"",SUMIFS(BD!$J$3:$J$5001,BD!$A$3:$A$5001,AE$3,BD!$B$3:$B$5001,$A$211)))</f>
        <v/>
      </c>
      <c r="AF218" s="207" t="str">
        <f>IF(AF$3="","",IF(COUNTIFS(BD!$A$3:$A$5001,AF$3,BD!$B$3:$B$5001,$A$211,BD!$J$3:$J$5001,"&lt;&gt;")=0,"",SUMIFS(BD!$J$3:$J$5001,BD!$A$3:$A$5001,AF$3,BD!$B$3:$B$5001,$A$211)))</f>
        <v/>
      </c>
      <c r="AG218" s="207" t="str">
        <f>IF(AG$3="","",IF(COUNTIFS(BD!$A$3:$A$5001,AG$3,BD!$B$3:$B$5001,$A$211,BD!$J$3:$J$5001,"&lt;&gt;")=0,"",SUMIFS(BD!$J$3:$J$5001,BD!$A$3:$A$5001,AG$3,BD!$B$3:$B$5001,$A$211)))</f>
        <v/>
      </c>
      <c r="AH218" s="207" t="str">
        <f>IF(AH$3="","",IF(COUNTIFS(BD!$A$3:$A$5001,AH$3,BD!$B$3:$B$5001,$A$211,BD!$J$3:$J$5001,"&lt;&gt;")=0,"",SUMIFS(BD!$J$3:$J$5001,BD!$A$3:$A$5001,AH$3,BD!$B$3:$B$5001,$A$211)))</f>
        <v/>
      </c>
      <c r="AI218" s="207" t="str">
        <f>IF(AI$3="","",IF(COUNTIFS(BD!$A$3:$A$5001,AI$3,BD!$B$3:$B$5001,$A$211,BD!$J$3:$J$5001,"&lt;&gt;")=0,"",SUMIFS(BD!$J$3:$J$5001,BD!$A$3:$A$5001,AI$3,BD!$B$3:$B$5001,$A$211)))</f>
        <v/>
      </c>
      <c r="AJ218" s="208" t="str">
        <f>IF(AJ$3="","",IF(COUNTIFS(BD!$A$3:$A$5001,AJ$3,BD!$B$3:$B$5001,$A$211,BD!$J$3:$J$5001,"&lt;&gt;")=0,"",SUMIFS(BD!$J$3:$J$5001,BD!$A$3:$A$5001,AJ$3,BD!$B$3:$B$5001,$A$211)))</f>
        <v/>
      </c>
      <c r="AK218" s="209" t="str">
        <f>IF(COUNT(F218:AJ218)=0,"",SUM(F218:AJ218))</f>
        <v/>
      </c>
    </row>
    <row r="219" ht="15.75" customHeight="1" hidden="1">
      <c r="A219" s="277"/>
      <c r="B219" s="268"/>
      <c r="C219" s="199" t="inlineStr">
        <is>
          <t xml:space="preserve">Caixas Expedidas</t>
        </is>
      </c>
      <c r="D219" s="200" t="str">
        <f>IFERROR(1/(1/INDEX(BD!$AF$31:$AZ$31,MATCH($A$211,BD!$AF$22:$AZ$22,0))),"")</f>
        <v/>
      </c>
      <c r="E219" s="201"/>
      <c r="F219" s="202" t="str">
        <f>IF(F$3="","",IF(COUNTIFS(BD!$A$3:$A$5001,F$3,BD!$B$3:$B$5001,$A$211,BD!$K$3:$K$5001,"&lt;&gt;")=0,"",SUMIFS(BD!$K$3:$K$5001,BD!$A$3:$A$5001,F$3,BD!$B$3:$B$5001,$A$211)))</f>
        <v/>
      </c>
      <c r="G219" s="203" t="str">
        <f>IF(G$3="","",IF(COUNTIFS(BD!$A$3:$A$5001,G$3,BD!$B$3:$B$5001,$A$211,BD!$K$3:$K$5001,"&lt;&gt;")=0,"",SUMIFS(BD!$K$3:$K$5001,BD!$A$3:$A$5001,G$3,BD!$B$3:$B$5001,$A$211)))</f>
        <v/>
      </c>
      <c r="H219" s="203" t="str">
        <f>IF(H$3="","",IF(COUNTIFS(BD!$A$3:$A$5001,H$3,BD!$B$3:$B$5001,$A$211,BD!$K$3:$K$5001,"&lt;&gt;")=0,"",SUMIFS(BD!$K$3:$K$5001,BD!$A$3:$A$5001,H$3,BD!$B$3:$B$5001,$A$211)))</f>
        <v/>
      </c>
      <c r="I219" s="203" t="str">
        <f>IF(I$3="","",IF(COUNTIFS(BD!$A$3:$A$5001,I$3,BD!$B$3:$B$5001,$A$211,BD!$K$3:$K$5001,"&lt;&gt;")=0,"",SUMIFS(BD!$K$3:$K$5001,BD!$A$3:$A$5001,I$3,BD!$B$3:$B$5001,$A$211)))</f>
        <v/>
      </c>
      <c r="J219" s="203" t="str">
        <f>IF(J$3="","",IF(COUNTIFS(BD!$A$3:$A$5001,J$3,BD!$B$3:$B$5001,$A$211,BD!$K$3:$K$5001,"&lt;&gt;")=0,"",SUMIFS(BD!$K$3:$K$5001,BD!$A$3:$A$5001,J$3,BD!$B$3:$B$5001,$A$211)))</f>
        <v/>
      </c>
      <c r="K219" s="203" t="str">
        <f>IF(K$3="","",IF(COUNTIFS(BD!$A$3:$A$5001,K$3,BD!$B$3:$B$5001,$A$211,BD!$K$3:$K$5001,"&lt;&gt;")=0,"",SUMIFS(BD!$K$3:$K$5001,BD!$A$3:$A$5001,K$3,BD!$B$3:$B$5001,$A$211)))</f>
        <v/>
      </c>
      <c r="L219" s="203" t="str">
        <f>IF(L$3="","",IF(COUNTIFS(BD!$A$3:$A$5001,L$3,BD!$B$3:$B$5001,$A$211,BD!$K$3:$K$5001,"&lt;&gt;")=0,"",SUMIFS(BD!$K$3:$K$5001,BD!$A$3:$A$5001,L$3,BD!$B$3:$B$5001,$A$211)))</f>
        <v/>
      </c>
      <c r="M219" s="203" t="str">
        <f>IF(M$3="","",IF(COUNTIFS(BD!$A$3:$A$5001,M$3,BD!$B$3:$B$5001,$A$211,BD!$K$3:$K$5001,"&lt;&gt;")=0,"",SUMIFS(BD!$K$3:$K$5001,BD!$A$3:$A$5001,M$3,BD!$B$3:$B$5001,$A$211)))</f>
        <v/>
      </c>
      <c r="N219" s="203" t="str">
        <f>IF(N$3="","",IF(COUNTIFS(BD!$A$3:$A$5001,N$3,BD!$B$3:$B$5001,$A$211,BD!$K$3:$K$5001,"&lt;&gt;")=0,"",SUMIFS(BD!$K$3:$K$5001,BD!$A$3:$A$5001,N$3,BD!$B$3:$B$5001,$A$211)))</f>
        <v/>
      </c>
      <c r="O219" s="203" t="str">
        <f>IF(O$3="","",IF(COUNTIFS(BD!$A$3:$A$5001,O$3,BD!$B$3:$B$5001,$A$211,BD!$K$3:$K$5001,"&lt;&gt;")=0,"",SUMIFS(BD!$K$3:$K$5001,BD!$A$3:$A$5001,O$3,BD!$B$3:$B$5001,$A$211)))</f>
        <v/>
      </c>
      <c r="P219" s="203" t="str">
        <f>IF(P$3="","",IF(COUNTIFS(BD!$A$3:$A$5001,P$3,BD!$B$3:$B$5001,$A$211,BD!$K$3:$K$5001,"&lt;&gt;")=0,"",SUMIFS(BD!$K$3:$K$5001,BD!$A$3:$A$5001,P$3,BD!$B$3:$B$5001,$A$211)))</f>
        <v/>
      </c>
      <c r="Q219" s="203" t="str">
        <f>IF(Q$3="","",IF(COUNTIFS(BD!$A$3:$A$5001,Q$3,BD!$B$3:$B$5001,$A$211,BD!$K$3:$K$5001,"&lt;&gt;")=0,"",SUMIFS(BD!$K$3:$K$5001,BD!$A$3:$A$5001,Q$3,BD!$B$3:$B$5001,$A$211)))</f>
        <v/>
      </c>
      <c r="R219" s="203" t="str">
        <f>IF(R$3="","",IF(COUNTIFS(BD!$A$3:$A$5001,R$3,BD!$B$3:$B$5001,$A$211,BD!$K$3:$K$5001,"&lt;&gt;")=0,"",SUMIFS(BD!$K$3:$K$5001,BD!$A$3:$A$5001,R$3,BD!$B$3:$B$5001,$A$211)))</f>
        <v/>
      </c>
      <c r="S219" s="203" t="str">
        <f>IF(S$3="","",IF(COUNTIFS(BD!$A$3:$A$5001,S$3,BD!$B$3:$B$5001,$A$211,BD!$K$3:$K$5001,"&lt;&gt;")=0,"",SUMIFS(BD!$K$3:$K$5001,BD!$A$3:$A$5001,S$3,BD!$B$3:$B$5001,$A$211)))</f>
        <v/>
      </c>
      <c r="T219" s="203" t="str">
        <f>IF(T$3="","",IF(COUNTIFS(BD!$A$3:$A$5001,T$3,BD!$B$3:$B$5001,$A$211,BD!$K$3:$K$5001,"&lt;&gt;")=0,"",SUMIFS(BD!$K$3:$K$5001,BD!$A$3:$A$5001,T$3,BD!$B$3:$B$5001,$A$211)))</f>
        <v/>
      </c>
      <c r="U219" s="203" t="str">
        <f>IF(U$3="","",IF(COUNTIFS(BD!$A$3:$A$5001,U$3,BD!$B$3:$B$5001,$A$211,BD!$K$3:$K$5001,"&lt;&gt;")=0,"",SUMIFS(BD!$K$3:$K$5001,BD!$A$3:$A$5001,U$3,BD!$B$3:$B$5001,$A$211)))</f>
        <v/>
      </c>
      <c r="V219" s="203" t="str">
        <f>IF(V$3="","",IF(COUNTIFS(BD!$A$3:$A$5001,V$3,BD!$B$3:$B$5001,$A$211,BD!$K$3:$K$5001,"&lt;&gt;")=0,"",SUMIFS(BD!$K$3:$K$5001,BD!$A$3:$A$5001,V$3,BD!$B$3:$B$5001,$A$211)))</f>
        <v/>
      </c>
      <c r="W219" s="203" t="str">
        <f>IF(W$3="","",IF(COUNTIFS(BD!$A$3:$A$5001,W$3,BD!$B$3:$B$5001,$A$211,BD!$K$3:$K$5001,"&lt;&gt;")=0,"",SUMIFS(BD!$K$3:$K$5001,BD!$A$3:$A$5001,W$3,BD!$B$3:$B$5001,$A$211)))</f>
        <v/>
      </c>
      <c r="X219" s="203" t="str">
        <f>IF(X$3="","",IF(COUNTIFS(BD!$A$3:$A$5001,X$3,BD!$B$3:$B$5001,$A$211,BD!$K$3:$K$5001,"&lt;&gt;")=0,"",SUMIFS(BD!$K$3:$K$5001,BD!$A$3:$A$5001,X$3,BD!$B$3:$B$5001,$A$211)))</f>
        <v/>
      </c>
      <c r="Y219" s="203" t="str">
        <f>IF(Y$3="","",IF(COUNTIFS(BD!$A$3:$A$5001,Y$3,BD!$B$3:$B$5001,$A$211,BD!$K$3:$K$5001,"&lt;&gt;")=0,"",SUMIFS(BD!$K$3:$K$5001,BD!$A$3:$A$5001,Y$3,BD!$B$3:$B$5001,$A$211)))</f>
        <v/>
      </c>
      <c r="Z219" s="203" t="str">
        <f>IF(Z$3="","",IF(COUNTIFS(BD!$A$3:$A$5001,Z$3,BD!$B$3:$B$5001,$A$211,BD!$K$3:$K$5001,"&lt;&gt;")=0,"",SUMIFS(BD!$K$3:$K$5001,BD!$A$3:$A$5001,Z$3,BD!$B$3:$B$5001,$A$211)))</f>
        <v/>
      </c>
      <c r="AA219" s="203" t="str">
        <f>IF(AA$3="","",IF(COUNTIFS(BD!$A$3:$A$5001,AA$3,BD!$B$3:$B$5001,$A$211,BD!$K$3:$K$5001,"&lt;&gt;")=0,"",SUMIFS(BD!$K$3:$K$5001,BD!$A$3:$A$5001,AA$3,BD!$B$3:$B$5001,$A$211)))</f>
        <v/>
      </c>
      <c r="AB219" s="203" t="str">
        <f>IF(AB$3="","",IF(COUNTIFS(BD!$A$3:$A$5001,AB$3,BD!$B$3:$B$5001,$A$211,BD!$K$3:$K$5001,"&lt;&gt;")=0,"",SUMIFS(BD!$K$3:$K$5001,BD!$A$3:$A$5001,AB$3,BD!$B$3:$B$5001,$A$211)))</f>
        <v/>
      </c>
      <c r="AC219" s="203" t="str">
        <f>IF(AC$3="","",IF(COUNTIFS(BD!$A$3:$A$5001,AC$3,BD!$B$3:$B$5001,$A$211,BD!$K$3:$K$5001,"&lt;&gt;")=0,"",SUMIFS(BD!$K$3:$K$5001,BD!$A$3:$A$5001,AC$3,BD!$B$3:$B$5001,$A$211)))</f>
        <v/>
      </c>
      <c r="AD219" s="203" t="str">
        <f>IF(AD$3="","",IF(COUNTIFS(BD!$A$3:$A$5001,AD$3,BD!$B$3:$B$5001,$A$211,BD!$K$3:$K$5001,"&lt;&gt;")=0,"",SUMIFS(BD!$K$3:$K$5001,BD!$A$3:$A$5001,AD$3,BD!$B$3:$B$5001,$A$211)))</f>
        <v/>
      </c>
      <c r="AE219" s="203" t="str">
        <f>IF(AE$3="","",IF(COUNTIFS(BD!$A$3:$A$5001,AE$3,BD!$B$3:$B$5001,$A$211,BD!$K$3:$K$5001,"&lt;&gt;")=0,"",SUMIFS(BD!$K$3:$K$5001,BD!$A$3:$A$5001,AE$3,BD!$B$3:$B$5001,$A$211)))</f>
        <v/>
      </c>
      <c r="AF219" s="203" t="str">
        <f>IF(AF$3="","",IF(COUNTIFS(BD!$A$3:$A$5001,AF$3,BD!$B$3:$B$5001,$A$211,BD!$K$3:$K$5001,"&lt;&gt;")=0,"",SUMIFS(BD!$K$3:$K$5001,BD!$A$3:$A$5001,AF$3,BD!$B$3:$B$5001,$A$211)))</f>
        <v/>
      </c>
      <c r="AG219" s="203" t="str">
        <f>IF(AG$3="","",IF(COUNTIFS(BD!$A$3:$A$5001,AG$3,BD!$B$3:$B$5001,$A$211,BD!$K$3:$K$5001,"&lt;&gt;")=0,"",SUMIFS(BD!$K$3:$K$5001,BD!$A$3:$A$5001,AG$3,BD!$B$3:$B$5001,$A$211)))</f>
        <v/>
      </c>
      <c r="AH219" s="203" t="str">
        <f>IF(AH$3="","",IF(COUNTIFS(BD!$A$3:$A$5001,AH$3,BD!$B$3:$B$5001,$A$211,BD!$K$3:$K$5001,"&lt;&gt;")=0,"",SUMIFS(BD!$K$3:$K$5001,BD!$A$3:$A$5001,AH$3,BD!$B$3:$B$5001,$A$211)))</f>
        <v/>
      </c>
      <c r="AI219" s="203" t="str">
        <f>IF(AI$3="","",IF(COUNTIFS(BD!$A$3:$A$5001,AI$3,BD!$B$3:$B$5001,$A$211,BD!$K$3:$K$5001,"&lt;&gt;")=0,"",SUMIFS(BD!$K$3:$K$5001,BD!$A$3:$A$5001,AI$3,BD!$B$3:$B$5001,$A$211)))</f>
        <v/>
      </c>
      <c r="AJ219" s="204" t="str">
        <f>IF(AJ$3="","",IF(COUNTIFS(BD!$A$3:$A$5001,AJ$3,BD!$B$3:$B$5001,$A$211,BD!$K$3:$K$5001,"&lt;&gt;")=0,"",SUMIFS(BD!$K$3:$K$5001,BD!$A$3:$A$5001,AJ$3,BD!$B$3:$B$5001,$A$211)))</f>
        <v/>
      </c>
      <c r="AK219" s="205" t="str">
        <f>IF(COUNT(F219:AJ219)=0,"",SUM(F219:AJ219))</f>
        <v/>
      </c>
    </row>
    <row r="220" ht="15.75" customHeight="1" hidden="1">
      <c r="A220" s="277"/>
      <c r="B220" s="268"/>
      <c r="C220" s="199" t="inlineStr">
        <is>
          <t xml:space="preserve">Pedidos Faturados</t>
        </is>
      </c>
      <c r="D220" s="200" t="str">
        <f>IFERROR(1/(1/INDEX(BD!$AF$32:$AZ$32,MATCH($A$211,BD!$AF$22:$AZ$22,0))),"")</f>
        <v/>
      </c>
      <c r="E220" s="201"/>
      <c r="F220" s="202" t="str">
        <f>IF(F$3="","",IF(COUNTIFS(BD!$A$3:$A$5001,F$3,BD!$B$3:$B$5001,$A$211,BD!$L$3:$L$5001,"&lt;&gt;")=0,"",SUMIFS(BD!$L$3:$L$5001,BD!$A$3:$A$5001,F$3,BD!$B$3:$B$5001,$A$211)))</f>
        <v/>
      </c>
      <c r="G220" s="203" t="str">
        <f>IF(G$3="","",IF(COUNTIFS(BD!$A$3:$A$5001,G$3,BD!$B$3:$B$5001,$A$211,BD!$L$3:$L$5001,"&lt;&gt;")=0,"",SUMIFS(BD!$L$3:$L$5001,BD!$A$3:$A$5001,G$3,BD!$B$3:$B$5001,$A$211)))</f>
        <v/>
      </c>
      <c r="H220" s="203" t="str">
        <f>IF(H$3="","",IF(COUNTIFS(BD!$A$3:$A$5001,H$3,BD!$B$3:$B$5001,$A$211,BD!$L$3:$L$5001,"&lt;&gt;")=0,"",SUMIFS(BD!$L$3:$L$5001,BD!$A$3:$A$5001,H$3,BD!$B$3:$B$5001,$A$211)))</f>
        <v/>
      </c>
      <c r="I220" s="203" t="str">
        <f>IF(I$3="","",IF(COUNTIFS(BD!$A$3:$A$5001,I$3,BD!$B$3:$B$5001,$A$211,BD!$L$3:$L$5001,"&lt;&gt;")=0,"",SUMIFS(BD!$L$3:$L$5001,BD!$A$3:$A$5001,I$3,BD!$B$3:$B$5001,$A$211)))</f>
        <v/>
      </c>
      <c r="J220" s="203" t="str">
        <f>IF(J$3="","",IF(COUNTIFS(BD!$A$3:$A$5001,J$3,BD!$B$3:$B$5001,$A$211,BD!$L$3:$L$5001,"&lt;&gt;")=0,"",SUMIFS(BD!$L$3:$L$5001,BD!$A$3:$A$5001,J$3,BD!$B$3:$B$5001,$A$211)))</f>
        <v/>
      </c>
      <c r="K220" s="203" t="str">
        <f>IF(K$3="","",IF(COUNTIFS(BD!$A$3:$A$5001,K$3,BD!$B$3:$B$5001,$A$211,BD!$L$3:$L$5001,"&lt;&gt;")=0,"",SUMIFS(BD!$L$3:$L$5001,BD!$A$3:$A$5001,K$3,BD!$B$3:$B$5001,$A$211)))</f>
        <v/>
      </c>
      <c r="L220" s="203" t="str">
        <f>IF(L$3="","",IF(COUNTIFS(BD!$A$3:$A$5001,L$3,BD!$B$3:$B$5001,$A$211,BD!$L$3:$L$5001,"&lt;&gt;")=0,"",SUMIFS(BD!$L$3:$L$5001,BD!$A$3:$A$5001,L$3,BD!$B$3:$B$5001,$A$211)))</f>
        <v/>
      </c>
      <c r="M220" s="203" t="str">
        <f>IF(M$3="","",IF(COUNTIFS(BD!$A$3:$A$5001,M$3,BD!$B$3:$B$5001,$A$211,BD!$L$3:$L$5001,"&lt;&gt;")=0,"",SUMIFS(BD!$L$3:$L$5001,BD!$A$3:$A$5001,M$3,BD!$B$3:$B$5001,$A$211)))</f>
        <v/>
      </c>
      <c r="N220" s="203" t="str">
        <f>IF(N$3="","",IF(COUNTIFS(BD!$A$3:$A$5001,N$3,BD!$B$3:$B$5001,$A$211,BD!$L$3:$L$5001,"&lt;&gt;")=0,"",SUMIFS(BD!$L$3:$L$5001,BD!$A$3:$A$5001,N$3,BD!$B$3:$B$5001,$A$211)))</f>
        <v/>
      </c>
      <c r="O220" s="203" t="str">
        <f>IF(O$3="","",IF(COUNTIFS(BD!$A$3:$A$5001,O$3,BD!$B$3:$B$5001,$A$211,BD!$L$3:$L$5001,"&lt;&gt;")=0,"",SUMIFS(BD!$L$3:$L$5001,BD!$A$3:$A$5001,O$3,BD!$B$3:$B$5001,$A$211)))</f>
        <v/>
      </c>
      <c r="P220" s="203" t="str">
        <f>IF(P$3="","",IF(COUNTIFS(BD!$A$3:$A$5001,P$3,BD!$B$3:$B$5001,$A$211,BD!$L$3:$L$5001,"&lt;&gt;")=0,"",SUMIFS(BD!$L$3:$L$5001,BD!$A$3:$A$5001,P$3,BD!$B$3:$B$5001,$A$211)))</f>
        <v/>
      </c>
      <c r="Q220" s="203" t="str">
        <f>IF(Q$3="","",IF(COUNTIFS(BD!$A$3:$A$5001,Q$3,BD!$B$3:$B$5001,$A$211,BD!$L$3:$L$5001,"&lt;&gt;")=0,"",SUMIFS(BD!$L$3:$L$5001,BD!$A$3:$A$5001,Q$3,BD!$B$3:$B$5001,$A$211)))</f>
        <v/>
      </c>
      <c r="R220" s="203" t="str">
        <f>IF(R$3="","",IF(COUNTIFS(BD!$A$3:$A$5001,R$3,BD!$B$3:$B$5001,$A$211,BD!$L$3:$L$5001,"&lt;&gt;")=0,"",SUMIFS(BD!$L$3:$L$5001,BD!$A$3:$A$5001,R$3,BD!$B$3:$B$5001,$A$211)))</f>
        <v/>
      </c>
      <c r="S220" s="203" t="str">
        <f>IF(S$3="","",IF(COUNTIFS(BD!$A$3:$A$5001,S$3,BD!$B$3:$B$5001,$A$211,BD!$L$3:$L$5001,"&lt;&gt;")=0,"",SUMIFS(BD!$L$3:$L$5001,BD!$A$3:$A$5001,S$3,BD!$B$3:$B$5001,$A$211)))</f>
        <v/>
      </c>
      <c r="T220" s="203" t="str">
        <f>IF(T$3="","",IF(COUNTIFS(BD!$A$3:$A$5001,T$3,BD!$B$3:$B$5001,$A$211,BD!$L$3:$L$5001,"&lt;&gt;")=0,"",SUMIFS(BD!$L$3:$L$5001,BD!$A$3:$A$5001,T$3,BD!$B$3:$B$5001,$A$211)))</f>
        <v/>
      </c>
      <c r="U220" s="203" t="str">
        <f>IF(U$3="","",IF(COUNTIFS(BD!$A$3:$A$5001,U$3,BD!$B$3:$B$5001,$A$211,BD!$L$3:$L$5001,"&lt;&gt;")=0,"",SUMIFS(BD!$L$3:$L$5001,BD!$A$3:$A$5001,U$3,BD!$B$3:$B$5001,$A$211)))</f>
        <v/>
      </c>
      <c r="V220" s="203" t="str">
        <f>IF(V$3="","",IF(COUNTIFS(BD!$A$3:$A$5001,V$3,BD!$B$3:$B$5001,$A$211,BD!$L$3:$L$5001,"&lt;&gt;")=0,"",SUMIFS(BD!$L$3:$L$5001,BD!$A$3:$A$5001,V$3,BD!$B$3:$B$5001,$A$211)))</f>
        <v/>
      </c>
      <c r="W220" s="203" t="str">
        <f>IF(W$3="","",IF(COUNTIFS(BD!$A$3:$A$5001,W$3,BD!$B$3:$B$5001,$A$211,BD!$L$3:$L$5001,"&lt;&gt;")=0,"",SUMIFS(BD!$L$3:$L$5001,BD!$A$3:$A$5001,W$3,BD!$B$3:$B$5001,$A$211)))</f>
        <v/>
      </c>
      <c r="X220" s="203" t="str">
        <f>IF(X$3="","",IF(COUNTIFS(BD!$A$3:$A$5001,X$3,BD!$B$3:$B$5001,$A$211,BD!$L$3:$L$5001,"&lt;&gt;")=0,"",SUMIFS(BD!$L$3:$L$5001,BD!$A$3:$A$5001,X$3,BD!$B$3:$B$5001,$A$211)))</f>
        <v/>
      </c>
      <c r="Y220" s="203" t="str">
        <f>IF(Y$3="","",IF(COUNTIFS(BD!$A$3:$A$5001,Y$3,BD!$B$3:$B$5001,$A$211,BD!$L$3:$L$5001,"&lt;&gt;")=0,"",SUMIFS(BD!$L$3:$L$5001,BD!$A$3:$A$5001,Y$3,BD!$B$3:$B$5001,$A$211)))</f>
        <v/>
      </c>
      <c r="Z220" s="203" t="str">
        <f>IF(Z$3="","",IF(COUNTIFS(BD!$A$3:$A$5001,Z$3,BD!$B$3:$B$5001,$A$211,BD!$L$3:$L$5001,"&lt;&gt;")=0,"",SUMIFS(BD!$L$3:$L$5001,BD!$A$3:$A$5001,Z$3,BD!$B$3:$B$5001,$A$211)))</f>
        <v/>
      </c>
      <c r="AA220" s="203" t="str">
        <f>IF(AA$3="","",IF(COUNTIFS(BD!$A$3:$A$5001,AA$3,BD!$B$3:$B$5001,$A$211,BD!$L$3:$L$5001,"&lt;&gt;")=0,"",SUMIFS(BD!$L$3:$L$5001,BD!$A$3:$A$5001,AA$3,BD!$B$3:$B$5001,$A$211)))</f>
        <v/>
      </c>
      <c r="AB220" s="203" t="str">
        <f>IF(AB$3="","",IF(COUNTIFS(BD!$A$3:$A$5001,AB$3,BD!$B$3:$B$5001,$A$211,BD!$L$3:$L$5001,"&lt;&gt;")=0,"",SUMIFS(BD!$L$3:$L$5001,BD!$A$3:$A$5001,AB$3,BD!$B$3:$B$5001,$A$211)))</f>
        <v/>
      </c>
      <c r="AC220" s="203" t="str">
        <f>IF(AC$3="","",IF(COUNTIFS(BD!$A$3:$A$5001,AC$3,BD!$B$3:$B$5001,$A$211,BD!$L$3:$L$5001,"&lt;&gt;")=0,"",SUMIFS(BD!$L$3:$L$5001,BD!$A$3:$A$5001,AC$3,BD!$B$3:$B$5001,$A$211)))</f>
        <v/>
      </c>
      <c r="AD220" s="203" t="str">
        <f>IF(AD$3="","",IF(COUNTIFS(BD!$A$3:$A$5001,AD$3,BD!$B$3:$B$5001,$A$211,BD!$L$3:$L$5001,"&lt;&gt;")=0,"",SUMIFS(BD!$L$3:$L$5001,BD!$A$3:$A$5001,AD$3,BD!$B$3:$B$5001,$A$211)))</f>
        <v/>
      </c>
      <c r="AE220" s="203" t="str">
        <f>IF(AE$3="","",IF(COUNTIFS(BD!$A$3:$A$5001,AE$3,BD!$B$3:$B$5001,$A$211,BD!$L$3:$L$5001,"&lt;&gt;")=0,"",SUMIFS(BD!$L$3:$L$5001,BD!$A$3:$A$5001,AE$3,BD!$B$3:$B$5001,$A$211)))</f>
        <v/>
      </c>
      <c r="AF220" s="203" t="str">
        <f>IF(AF$3="","",IF(COUNTIFS(BD!$A$3:$A$5001,AF$3,BD!$B$3:$B$5001,$A$211,BD!$L$3:$L$5001,"&lt;&gt;")=0,"",SUMIFS(BD!$L$3:$L$5001,BD!$A$3:$A$5001,AF$3,BD!$B$3:$B$5001,$A$211)))</f>
        <v/>
      </c>
      <c r="AG220" s="203" t="str">
        <f>IF(AG$3="","",IF(COUNTIFS(BD!$A$3:$A$5001,AG$3,BD!$B$3:$B$5001,$A$211,BD!$L$3:$L$5001,"&lt;&gt;")=0,"",SUMIFS(BD!$L$3:$L$5001,BD!$A$3:$A$5001,AG$3,BD!$B$3:$B$5001,$A$211)))</f>
        <v/>
      </c>
      <c r="AH220" s="203" t="str">
        <f>IF(AH$3="","",IF(COUNTIFS(BD!$A$3:$A$5001,AH$3,BD!$B$3:$B$5001,$A$211,BD!$L$3:$L$5001,"&lt;&gt;")=0,"",SUMIFS(BD!$L$3:$L$5001,BD!$A$3:$A$5001,AH$3,BD!$B$3:$B$5001,$A$211)))</f>
        <v/>
      </c>
      <c r="AI220" s="203" t="str">
        <f>IF(AI$3="","",IF(COUNTIFS(BD!$A$3:$A$5001,AI$3,BD!$B$3:$B$5001,$A$211,BD!$L$3:$L$5001,"&lt;&gt;")=0,"",SUMIFS(BD!$L$3:$L$5001,BD!$A$3:$A$5001,AI$3,BD!$B$3:$B$5001,$A$211)))</f>
        <v/>
      </c>
      <c r="AJ220" s="204" t="str">
        <f>IF(AJ$3="","",IF(COUNTIFS(BD!$A$3:$A$5001,AJ$3,BD!$B$3:$B$5001,$A$211,BD!$L$3:$L$5001,"&lt;&gt;")=0,"",SUMIFS(BD!$L$3:$L$5001,BD!$A$3:$A$5001,AJ$3,BD!$B$3:$B$5001,$A$211)))</f>
        <v/>
      </c>
      <c r="AK220" s="205" t="str">
        <f>IF(COUNT(F220:AJ220)=0,"",SUM(F220:AJ220))</f>
        <v/>
      </c>
    </row>
    <row r="221" ht="15.75" customHeight="1" hidden="1">
      <c r="A221" s="277"/>
      <c r="B221" s="269"/>
      <c r="C221" s="210" t="inlineStr">
        <is>
          <t xml:space="preserve">Bags Expedidos</t>
        </is>
      </c>
      <c r="D221" s="211" t="str">
        <f>IFERROR(1/(1/INDEX(BD!$AF$33:$AZ$33,MATCH($A$211,BD!$AF$22:$AZ$22,0))),"")</f>
        <v/>
      </c>
      <c r="E221" s="212"/>
      <c r="F221" s="213" t="str">
        <f>IF(F$3="","",IF(COUNTIFS(BD!$A$3:$A$5001,F$3,BD!$B$3:$B$5001,$A$211,BD!$M$3:$M$5001,"&lt;&gt;")=0,"",SUMIFS(BD!$M$3:$M$5001,BD!$A$3:$A$5001,F$3,BD!$B$3:$B$5001,$A$211)))</f>
        <v/>
      </c>
      <c r="G221" s="214" t="str">
        <f>IF(G$3="","",IF(COUNTIFS(BD!$A$3:$A$5001,G$3,BD!$B$3:$B$5001,$A$211,BD!$M$3:$M$5001,"&lt;&gt;")=0,"",SUMIFS(BD!$M$3:$M$5001,BD!$A$3:$A$5001,G$3,BD!$B$3:$B$5001,$A$211)))</f>
        <v/>
      </c>
      <c r="H221" s="214" t="str">
        <f>IF(H$3="","",IF(COUNTIFS(BD!$A$3:$A$5001,H$3,BD!$B$3:$B$5001,$A$211,BD!$M$3:$M$5001,"&lt;&gt;")=0,"",SUMIFS(BD!$M$3:$M$5001,BD!$A$3:$A$5001,H$3,BD!$B$3:$B$5001,$A$211)))</f>
        <v/>
      </c>
      <c r="I221" s="214" t="str">
        <f>IF(I$3="","",IF(COUNTIFS(BD!$A$3:$A$5001,I$3,BD!$B$3:$B$5001,$A$211,BD!$M$3:$M$5001,"&lt;&gt;")=0,"",SUMIFS(BD!$M$3:$M$5001,BD!$A$3:$A$5001,I$3,BD!$B$3:$B$5001,$A$211)))</f>
        <v/>
      </c>
      <c r="J221" s="214" t="str">
        <f>IF(J$3="","",IF(COUNTIFS(BD!$A$3:$A$5001,J$3,BD!$B$3:$B$5001,$A$211,BD!$M$3:$M$5001,"&lt;&gt;")=0,"",SUMIFS(BD!$M$3:$M$5001,BD!$A$3:$A$5001,J$3,BD!$B$3:$B$5001,$A$211)))</f>
        <v/>
      </c>
      <c r="K221" s="214" t="str">
        <f>IF(K$3="","",IF(COUNTIFS(BD!$A$3:$A$5001,K$3,BD!$B$3:$B$5001,$A$211,BD!$M$3:$M$5001,"&lt;&gt;")=0,"",SUMIFS(BD!$M$3:$M$5001,BD!$A$3:$A$5001,K$3,BD!$B$3:$B$5001,$A$211)))</f>
        <v/>
      </c>
      <c r="L221" s="214" t="str">
        <f>IF(L$3="","",IF(COUNTIFS(BD!$A$3:$A$5001,L$3,BD!$B$3:$B$5001,$A$211,BD!$M$3:$M$5001,"&lt;&gt;")=0,"",SUMIFS(BD!$M$3:$M$5001,BD!$A$3:$A$5001,L$3,BD!$B$3:$B$5001,$A$211)))</f>
        <v/>
      </c>
      <c r="M221" s="214" t="str">
        <f>IF(M$3="","",IF(COUNTIFS(BD!$A$3:$A$5001,M$3,BD!$B$3:$B$5001,$A$211,BD!$M$3:$M$5001,"&lt;&gt;")=0,"",SUMIFS(BD!$M$3:$M$5001,BD!$A$3:$A$5001,M$3,BD!$B$3:$B$5001,$A$211)))</f>
        <v/>
      </c>
      <c r="N221" s="214" t="str">
        <f>IF(N$3="","",IF(COUNTIFS(BD!$A$3:$A$5001,N$3,BD!$B$3:$B$5001,$A$211,BD!$M$3:$M$5001,"&lt;&gt;")=0,"",SUMIFS(BD!$M$3:$M$5001,BD!$A$3:$A$5001,N$3,BD!$B$3:$B$5001,$A$211)))</f>
        <v/>
      </c>
      <c r="O221" s="214" t="str">
        <f>IF(O$3="","",IF(COUNTIFS(BD!$A$3:$A$5001,O$3,BD!$B$3:$B$5001,$A$211,BD!$M$3:$M$5001,"&lt;&gt;")=0,"",SUMIFS(BD!$M$3:$M$5001,BD!$A$3:$A$5001,O$3,BD!$B$3:$B$5001,$A$211)))</f>
        <v/>
      </c>
      <c r="P221" s="214" t="str">
        <f>IF(P$3="","",IF(COUNTIFS(BD!$A$3:$A$5001,P$3,BD!$B$3:$B$5001,$A$211,BD!$M$3:$M$5001,"&lt;&gt;")=0,"",SUMIFS(BD!$M$3:$M$5001,BD!$A$3:$A$5001,P$3,BD!$B$3:$B$5001,$A$211)))</f>
        <v/>
      </c>
      <c r="Q221" s="214" t="str">
        <f>IF(Q$3="","",IF(COUNTIFS(BD!$A$3:$A$5001,Q$3,BD!$B$3:$B$5001,$A$211,BD!$M$3:$M$5001,"&lt;&gt;")=0,"",SUMIFS(BD!$M$3:$M$5001,BD!$A$3:$A$5001,Q$3,BD!$B$3:$B$5001,$A$211)))</f>
        <v/>
      </c>
      <c r="R221" s="214" t="str">
        <f>IF(R$3="","",IF(COUNTIFS(BD!$A$3:$A$5001,R$3,BD!$B$3:$B$5001,$A$211,BD!$M$3:$M$5001,"&lt;&gt;")=0,"",SUMIFS(BD!$M$3:$M$5001,BD!$A$3:$A$5001,R$3,BD!$B$3:$B$5001,$A$211)))</f>
        <v/>
      </c>
      <c r="S221" s="214" t="str">
        <f>IF(S$3="","",IF(COUNTIFS(BD!$A$3:$A$5001,S$3,BD!$B$3:$B$5001,$A$211,BD!$M$3:$M$5001,"&lt;&gt;")=0,"",SUMIFS(BD!$M$3:$M$5001,BD!$A$3:$A$5001,S$3,BD!$B$3:$B$5001,$A$211)))</f>
        <v/>
      </c>
      <c r="T221" s="214" t="str">
        <f>IF(T$3="","",IF(COUNTIFS(BD!$A$3:$A$5001,T$3,BD!$B$3:$B$5001,$A$211,BD!$M$3:$M$5001,"&lt;&gt;")=0,"",SUMIFS(BD!$M$3:$M$5001,BD!$A$3:$A$5001,T$3,BD!$B$3:$B$5001,$A$211)))</f>
        <v/>
      </c>
      <c r="U221" s="214" t="str">
        <f>IF(U$3="","",IF(COUNTIFS(BD!$A$3:$A$5001,U$3,BD!$B$3:$B$5001,$A$211,BD!$M$3:$M$5001,"&lt;&gt;")=0,"",SUMIFS(BD!$M$3:$M$5001,BD!$A$3:$A$5001,U$3,BD!$B$3:$B$5001,$A$211)))</f>
        <v/>
      </c>
      <c r="V221" s="214" t="str">
        <f>IF(V$3="","",IF(COUNTIFS(BD!$A$3:$A$5001,V$3,BD!$B$3:$B$5001,$A$211,BD!$M$3:$M$5001,"&lt;&gt;")=0,"",SUMIFS(BD!$M$3:$M$5001,BD!$A$3:$A$5001,V$3,BD!$B$3:$B$5001,$A$211)))</f>
        <v/>
      </c>
      <c r="W221" s="214" t="str">
        <f>IF(W$3="","",IF(COUNTIFS(BD!$A$3:$A$5001,W$3,BD!$B$3:$B$5001,$A$211,BD!$M$3:$M$5001,"&lt;&gt;")=0,"",SUMIFS(BD!$M$3:$M$5001,BD!$A$3:$A$5001,W$3,BD!$B$3:$B$5001,$A$211)))</f>
        <v/>
      </c>
      <c r="X221" s="214" t="str">
        <f>IF(X$3="","",IF(COUNTIFS(BD!$A$3:$A$5001,X$3,BD!$B$3:$B$5001,$A$211,BD!$M$3:$M$5001,"&lt;&gt;")=0,"",SUMIFS(BD!$M$3:$M$5001,BD!$A$3:$A$5001,X$3,BD!$B$3:$B$5001,$A$211)))</f>
        <v/>
      </c>
      <c r="Y221" s="214" t="str">
        <f>IF(Y$3="","",IF(COUNTIFS(BD!$A$3:$A$5001,Y$3,BD!$B$3:$B$5001,$A$211,BD!$M$3:$M$5001,"&lt;&gt;")=0,"",SUMIFS(BD!$M$3:$M$5001,BD!$A$3:$A$5001,Y$3,BD!$B$3:$B$5001,$A$211)))</f>
        <v/>
      </c>
      <c r="Z221" s="214" t="str">
        <f>IF(Z$3="","",IF(COUNTIFS(BD!$A$3:$A$5001,Z$3,BD!$B$3:$B$5001,$A$211,BD!$M$3:$M$5001,"&lt;&gt;")=0,"",SUMIFS(BD!$M$3:$M$5001,BD!$A$3:$A$5001,Z$3,BD!$B$3:$B$5001,$A$211)))</f>
        <v/>
      </c>
      <c r="AA221" s="214" t="str">
        <f>IF(AA$3="","",IF(COUNTIFS(BD!$A$3:$A$5001,AA$3,BD!$B$3:$B$5001,$A$211,BD!$M$3:$M$5001,"&lt;&gt;")=0,"",SUMIFS(BD!$M$3:$M$5001,BD!$A$3:$A$5001,AA$3,BD!$B$3:$B$5001,$A$211)))</f>
        <v/>
      </c>
      <c r="AB221" s="214" t="str">
        <f>IF(AB$3="","",IF(COUNTIFS(BD!$A$3:$A$5001,AB$3,BD!$B$3:$B$5001,$A$211,BD!$M$3:$M$5001,"&lt;&gt;")=0,"",SUMIFS(BD!$M$3:$M$5001,BD!$A$3:$A$5001,AB$3,BD!$B$3:$B$5001,$A$211)))</f>
        <v/>
      </c>
      <c r="AC221" s="214" t="str">
        <f>IF(AC$3="","",IF(COUNTIFS(BD!$A$3:$A$5001,AC$3,BD!$B$3:$B$5001,$A$211,BD!$M$3:$M$5001,"&lt;&gt;")=0,"",SUMIFS(BD!$M$3:$M$5001,BD!$A$3:$A$5001,AC$3,BD!$B$3:$B$5001,$A$211)))</f>
        <v/>
      </c>
      <c r="AD221" s="214" t="str">
        <f>IF(AD$3="","",IF(COUNTIFS(BD!$A$3:$A$5001,AD$3,BD!$B$3:$B$5001,$A$211,BD!$M$3:$M$5001,"&lt;&gt;")=0,"",SUMIFS(BD!$M$3:$M$5001,BD!$A$3:$A$5001,AD$3,BD!$B$3:$B$5001,$A$211)))</f>
        <v/>
      </c>
      <c r="AE221" s="214" t="str">
        <f>IF(AE$3="","",IF(COUNTIFS(BD!$A$3:$A$5001,AE$3,BD!$B$3:$B$5001,$A$211,BD!$M$3:$M$5001,"&lt;&gt;")=0,"",SUMIFS(BD!$M$3:$M$5001,BD!$A$3:$A$5001,AE$3,BD!$B$3:$B$5001,$A$211)))</f>
        <v/>
      </c>
      <c r="AF221" s="214" t="str">
        <f>IF(AF$3="","",IF(COUNTIFS(BD!$A$3:$A$5001,AF$3,BD!$B$3:$B$5001,$A$211,BD!$M$3:$M$5001,"&lt;&gt;")=0,"",SUMIFS(BD!$M$3:$M$5001,BD!$A$3:$A$5001,AF$3,BD!$B$3:$B$5001,$A$211)))</f>
        <v/>
      </c>
      <c r="AG221" s="214" t="str">
        <f>IF(AG$3="","",IF(COUNTIFS(BD!$A$3:$A$5001,AG$3,BD!$B$3:$B$5001,$A$211,BD!$M$3:$M$5001,"&lt;&gt;")=0,"",SUMIFS(BD!$M$3:$M$5001,BD!$A$3:$A$5001,AG$3,BD!$B$3:$B$5001,$A$211)))</f>
        <v/>
      </c>
      <c r="AH221" s="214" t="str">
        <f>IF(AH$3="","",IF(COUNTIFS(BD!$A$3:$A$5001,AH$3,BD!$B$3:$B$5001,$A$211,BD!$M$3:$M$5001,"&lt;&gt;")=0,"",SUMIFS(BD!$M$3:$M$5001,BD!$A$3:$A$5001,AH$3,BD!$B$3:$B$5001,$A$211)))</f>
        <v/>
      </c>
      <c r="AI221" s="214" t="str">
        <f>IF(AI$3="","",IF(COUNTIFS(BD!$A$3:$A$5001,AI$3,BD!$B$3:$B$5001,$A$211,BD!$M$3:$M$5001,"&lt;&gt;")=0,"",SUMIFS(BD!$M$3:$M$5001,BD!$A$3:$A$5001,AI$3,BD!$B$3:$B$5001,$A$211)))</f>
        <v/>
      </c>
      <c r="AJ221" s="215" t="str">
        <f>IF(AJ$3="","",IF(COUNTIFS(BD!$A$3:$A$5001,AJ$3,BD!$B$3:$B$5001,$A$211,BD!$M$3:$M$5001,"&lt;&gt;")=0,"",SUMIFS(BD!$M$3:$M$5001,BD!$A$3:$A$5001,AJ$3,BD!$B$3:$B$5001,$A$211)))</f>
        <v/>
      </c>
      <c r="AK221" s="211" t="str">
        <f>IF(COUNT(F221:AJ221)=0,"",SUM(F221:AJ221))</f>
        <v/>
      </c>
    </row>
    <row r="222" ht="15.75" customHeight="1" hidden="1">
      <c r="A222" s="277"/>
      <c r="B222" s="270" t="inlineStr">
        <is>
          <t xml:space="preserve">NC</t>
        </is>
      </c>
      <c r="C222" s="216" t="inlineStr">
        <is>
          <t xml:space="preserve">Incidentes</t>
        </is>
      </c>
      <c r="D222" s="217" t="str">
        <f>IFERROR(1/(1/INDEX(BD!$AF$34:$AZ$34,MATCH($A$211,BD!$AF$22:$AZ$22,0))),"")</f>
        <v/>
      </c>
      <c r="E222" s="218"/>
      <c r="F222" s="219" t="str">
        <f>IF(F$3="","",IF(COUNTIFS(BD!$A$3:$A$5001,F$3,BD!$B$3:$B$5001,$A$211,BD!$N$3:$N$5001,"&lt;&gt;")=0,"",SUMIFS(BD!$N$3:$N$5001,BD!$A$3:$A$5001,F$3,BD!$B$3:$B$5001,$A$211)))</f>
        <v/>
      </c>
      <c r="G222" s="220" t="str">
        <f>IF(G$3="","",IF(COUNTIFS(BD!$A$3:$A$5001,G$3,BD!$B$3:$B$5001,$A$211,BD!$N$3:$N$5001,"&lt;&gt;")=0,"",SUMIFS(BD!$N$3:$N$5001,BD!$A$3:$A$5001,G$3,BD!$B$3:$B$5001,$A$211)))</f>
        <v/>
      </c>
      <c r="H222" s="220" t="str">
        <f>IF(H$3="","",IF(COUNTIFS(BD!$A$3:$A$5001,H$3,BD!$B$3:$B$5001,$A$211,BD!$N$3:$N$5001,"&lt;&gt;")=0,"",SUMIFS(BD!$N$3:$N$5001,BD!$A$3:$A$5001,H$3,BD!$B$3:$B$5001,$A$211)))</f>
        <v/>
      </c>
      <c r="I222" s="220" t="str">
        <f>IF(I$3="","",IF(COUNTIFS(BD!$A$3:$A$5001,I$3,BD!$B$3:$B$5001,$A$211,BD!$N$3:$N$5001,"&lt;&gt;")=0,"",SUMIFS(BD!$N$3:$N$5001,BD!$A$3:$A$5001,I$3,BD!$B$3:$B$5001,$A$211)))</f>
        <v/>
      </c>
      <c r="J222" s="220" t="str">
        <f>IF(J$3="","",IF(COUNTIFS(BD!$A$3:$A$5001,J$3,BD!$B$3:$B$5001,$A$211,BD!$N$3:$N$5001,"&lt;&gt;")=0,"",SUMIFS(BD!$N$3:$N$5001,BD!$A$3:$A$5001,J$3,BD!$B$3:$B$5001,$A$211)))</f>
        <v/>
      </c>
      <c r="K222" s="220" t="str">
        <f>IF(K$3="","",IF(COUNTIFS(BD!$A$3:$A$5001,K$3,BD!$B$3:$B$5001,$A$211,BD!$N$3:$N$5001,"&lt;&gt;")=0,"",SUMIFS(BD!$N$3:$N$5001,BD!$A$3:$A$5001,K$3,BD!$B$3:$B$5001,$A$211)))</f>
        <v/>
      </c>
      <c r="L222" s="220" t="str">
        <f>IF(L$3="","",IF(COUNTIFS(BD!$A$3:$A$5001,L$3,BD!$B$3:$B$5001,$A$211,BD!$N$3:$N$5001,"&lt;&gt;")=0,"",SUMIFS(BD!$N$3:$N$5001,BD!$A$3:$A$5001,L$3,BD!$B$3:$B$5001,$A$211)))</f>
        <v/>
      </c>
      <c r="M222" s="220" t="str">
        <f>IF(M$3="","",IF(COUNTIFS(BD!$A$3:$A$5001,M$3,BD!$B$3:$B$5001,$A$211,BD!$N$3:$N$5001,"&lt;&gt;")=0,"",SUMIFS(BD!$N$3:$N$5001,BD!$A$3:$A$5001,M$3,BD!$B$3:$B$5001,$A$211)))</f>
        <v/>
      </c>
      <c r="N222" s="220" t="str">
        <f>IF(N$3="","",IF(COUNTIFS(BD!$A$3:$A$5001,N$3,BD!$B$3:$B$5001,$A$211,BD!$N$3:$N$5001,"&lt;&gt;")=0,"",SUMIFS(BD!$N$3:$N$5001,BD!$A$3:$A$5001,N$3,BD!$B$3:$B$5001,$A$211)))</f>
        <v/>
      </c>
      <c r="O222" s="220" t="str">
        <f>IF(O$3="","",IF(COUNTIFS(BD!$A$3:$A$5001,O$3,BD!$B$3:$B$5001,$A$211,BD!$N$3:$N$5001,"&lt;&gt;")=0,"",SUMIFS(BD!$N$3:$N$5001,BD!$A$3:$A$5001,O$3,BD!$B$3:$B$5001,$A$211)))</f>
        <v/>
      </c>
      <c r="P222" s="220" t="str">
        <f>IF(P$3="","",IF(COUNTIFS(BD!$A$3:$A$5001,P$3,BD!$B$3:$B$5001,$A$211,BD!$N$3:$N$5001,"&lt;&gt;")=0,"",SUMIFS(BD!$N$3:$N$5001,BD!$A$3:$A$5001,P$3,BD!$B$3:$B$5001,$A$211)))</f>
        <v/>
      </c>
      <c r="Q222" s="220" t="str">
        <f>IF(Q$3="","",IF(COUNTIFS(BD!$A$3:$A$5001,Q$3,BD!$B$3:$B$5001,$A$211,BD!$N$3:$N$5001,"&lt;&gt;")=0,"",SUMIFS(BD!$N$3:$N$5001,BD!$A$3:$A$5001,Q$3,BD!$B$3:$B$5001,$A$211)))</f>
        <v/>
      </c>
      <c r="R222" s="220" t="str">
        <f>IF(R$3="","",IF(COUNTIFS(BD!$A$3:$A$5001,R$3,BD!$B$3:$B$5001,$A$211,BD!$N$3:$N$5001,"&lt;&gt;")=0,"",SUMIFS(BD!$N$3:$N$5001,BD!$A$3:$A$5001,R$3,BD!$B$3:$B$5001,$A$211)))</f>
        <v/>
      </c>
      <c r="S222" s="220" t="str">
        <f>IF(S$3="","",IF(COUNTIFS(BD!$A$3:$A$5001,S$3,BD!$B$3:$B$5001,$A$211,BD!$N$3:$N$5001,"&lt;&gt;")=0,"",SUMIFS(BD!$N$3:$N$5001,BD!$A$3:$A$5001,S$3,BD!$B$3:$B$5001,$A$211)))</f>
        <v/>
      </c>
      <c r="T222" s="220" t="str">
        <f>IF(T$3="","",IF(COUNTIFS(BD!$A$3:$A$5001,T$3,BD!$B$3:$B$5001,$A$211,BD!$N$3:$N$5001,"&lt;&gt;")=0,"",SUMIFS(BD!$N$3:$N$5001,BD!$A$3:$A$5001,T$3,BD!$B$3:$B$5001,$A$211)))</f>
        <v/>
      </c>
      <c r="U222" s="220" t="str">
        <f>IF(U$3="","",IF(COUNTIFS(BD!$A$3:$A$5001,U$3,BD!$B$3:$B$5001,$A$211,BD!$N$3:$N$5001,"&lt;&gt;")=0,"",SUMIFS(BD!$N$3:$N$5001,BD!$A$3:$A$5001,U$3,BD!$B$3:$B$5001,$A$211)))</f>
        <v/>
      </c>
      <c r="V222" s="220" t="str">
        <f>IF(V$3="","",IF(COUNTIFS(BD!$A$3:$A$5001,V$3,BD!$B$3:$B$5001,$A$211,BD!$N$3:$N$5001,"&lt;&gt;")=0,"",SUMIFS(BD!$N$3:$N$5001,BD!$A$3:$A$5001,V$3,BD!$B$3:$B$5001,$A$211)))</f>
        <v/>
      </c>
      <c r="W222" s="220" t="str">
        <f>IF(W$3="","",IF(COUNTIFS(BD!$A$3:$A$5001,W$3,BD!$B$3:$B$5001,$A$211,BD!$N$3:$N$5001,"&lt;&gt;")=0,"",SUMIFS(BD!$N$3:$N$5001,BD!$A$3:$A$5001,W$3,BD!$B$3:$B$5001,$A$211)))</f>
        <v/>
      </c>
      <c r="X222" s="220" t="str">
        <f>IF(X$3="","",IF(COUNTIFS(BD!$A$3:$A$5001,X$3,BD!$B$3:$B$5001,$A$211,BD!$N$3:$N$5001,"&lt;&gt;")=0,"",SUMIFS(BD!$N$3:$N$5001,BD!$A$3:$A$5001,X$3,BD!$B$3:$B$5001,$A$211)))</f>
        <v/>
      </c>
      <c r="Y222" s="220" t="str">
        <f>IF(Y$3="","",IF(COUNTIFS(BD!$A$3:$A$5001,Y$3,BD!$B$3:$B$5001,$A$211,BD!$N$3:$N$5001,"&lt;&gt;")=0,"",SUMIFS(BD!$N$3:$N$5001,BD!$A$3:$A$5001,Y$3,BD!$B$3:$B$5001,$A$211)))</f>
        <v/>
      </c>
      <c r="Z222" s="220" t="str">
        <f>IF(Z$3="","",IF(COUNTIFS(BD!$A$3:$A$5001,Z$3,BD!$B$3:$B$5001,$A$211,BD!$N$3:$N$5001,"&lt;&gt;")=0,"",SUMIFS(BD!$N$3:$N$5001,BD!$A$3:$A$5001,Z$3,BD!$B$3:$B$5001,$A$211)))</f>
        <v/>
      </c>
      <c r="AA222" s="220" t="str">
        <f>IF(AA$3="","",IF(COUNTIFS(BD!$A$3:$A$5001,AA$3,BD!$B$3:$B$5001,$A$211,BD!$N$3:$N$5001,"&lt;&gt;")=0,"",SUMIFS(BD!$N$3:$N$5001,BD!$A$3:$A$5001,AA$3,BD!$B$3:$B$5001,$A$211)))</f>
        <v/>
      </c>
      <c r="AB222" s="220" t="str">
        <f>IF(AB$3="","",IF(COUNTIFS(BD!$A$3:$A$5001,AB$3,BD!$B$3:$B$5001,$A$211,BD!$N$3:$N$5001,"&lt;&gt;")=0,"",SUMIFS(BD!$N$3:$N$5001,BD!$A$3:$A$5001,AB$3,BD!$B$3:$B$5001,$A$211)))</f>
        <v/>
      </c>
      <c r="AC222" s="220" t="str">
        <f>IF(AC$3="","",IF(COUNTIFS(BD!$A$3:$A$5001,AC$3,BD!$B$3:$B$5001,$A$211,BD!$N$3:$N$5001,"&lt;&gt;")=0,"",SUMIFS(BD!$N$3:$N$5001,BD!$A$3:$A$5001,AC$3,BD!$B$3:$B$5001,$A$211)))</f>
        <v/>
      </c>
      <c r="AD222" s="220" t="str">
        <f>IF(AD$3="","",IF(COUNTIFS(BD!$A$3:$A$5001,AD$3,BD!$B$3:$B$5001,$A$211,BD!$N$3:$N$5001,"&lt;&gt;")=0,"",SUMIFS(BD!$N$3:$N$5001,BD!$A$3:$A$5001,AD$3,BD!$B$3:$B$5001,$A$211)))</f>
        <v/>
      </c>
      <c r="AE222" s="220" t="str">
        <f>IF(AE$3="","",IF(COUNTIFS(BD!$A$3:$A$5001,AE$3,BD!$B$3:$B$5001,$A$211,BD!$N$3:$N$5001,"&lt;&gt;")=0,"",SUMIFS(BD!$N$3:$N$5001,BD!$A$3:$A$5001,AE$3,BD!$B$3:$B$5001,$A$211)))</f>
        <v/>
      </c>
      <c r="AF222" s="220" t="str">
        <f>IF(AF$3="","",IF(COUNTIFS(BD!$A$3:$A$5001,AF$3,BD!$B$3:$B$5001,$A$211,BD!$N$3:$N$5001,"&lt;&gt;")=0,"",SUMIFS(BD!$N$3:$N$5001,BD!$A$3:$A$5001,AF$3,BD!$B$3:$B$5001,$A$211)))</f>
        <v/>
      </c>
      <c r="AG222" s="220" t="str">
        <f>IF(AG$3="","",IF(COUNTIFS(BD!$A$3:$A$5001,AG$3,BD!$B$3:$B$5001,$A$211,BD!$N$3:$N$5001,"&lt;&gt;")=0,"",SUMIFS(BD!$N$3:$N$5001,BD!$A$3:$A$5001,AG$3,BD!$B$3:$B$5001,$A$211)))</f>
        <v/>
      </c>
      <c r="AH222" s="220" t="str">
        <f>IF(AH$3="","",IF(COUNTIFS(BD!$A$3:$A$5001,AH$3,BD!$B$3:$B$5001,$A$211,BD!$N$3:$N$5001,"&lt;&gt;")=0,"",SUMIFS(BD!$N$3:$N$5001,BD!$A$3:$A$5001,AH$3,BD!$B$3:$B$5001,$A$211)))</f>
        <v/>
      </c>
      <c r="AI222" s="220" t="str">
        <f>IF(AI$3="","",IF(COUNTIFS(BD!$A$3:$A$5001,AI$3,BD!$B$3:$B$5001,$A$211,BD!$N$3:$N$5001,"&lt;&gt;")=0,"",SUMIFS(BD!$N$3:$N$5001,BD!$A$3:$A$5001,AI$3,BD!$B$3:$B$5001,$A$211)))</f>
        <v/>
      </c>
      <c r="AJ222" s="221" t="str">
        <f>IF(AJ$3="","",IF(COUNTIFS(BD!$A$3:$A$5001,AJ$3,BD!$B$3:$B$5001,$A$211,BD!$N$3:$N$5001,"&lt;&gt;")=0,"",SUMIFS(BD!$N$3:$N$5001,BD!$A$3:$A$5001,AJ$3,BD!$B$3:$B$5001,$A$211)))</f>
        <v/>
      </c>
      <c r="AK222" s="222" t="str">
        <f>IF(COUNT(F222:AJ222)=0,"",SUM(F222:AJ222))</f>
        <v/>
      </c>
    </row>
    <row r="223" ht="15.75" customHeight="1" hidden="1">
      <c r="A223" s="277"/>
      <c r="B223" s="271"/>
      <c r="C223" s="223" t="inlineStr">
        <is>
          <t xml:space="preserve">No show</t>
        </is>
      </c>
      <c r="D223" s="224" t="str">
        <f>IFERROR(1/(1/INDEX(BD!$AF$35:$AZ$35,MATCH($A$211,BD!$AF$22:$AZ$22,0))),"")</f>
        <v/>
      </c>
      <c r="E223" s="225"/>
      <c r="F223" s="226" t="str">
        <f>IF(F$3="","",IF(COUNTIFS(BD!$A$3:$A$5001,F$3,BD!$B$3:$B$5001,$A$211,BD!$O$3:$O$5001,"&lt;&gt;")=0,"",SUMIFS(BD!$O$3:$O$5001,BD!$A$3:$A$5001,F$3,BD!$B$3:$B$5001,$A$211)))</f>
        <v/>
      </c>
      <c r="G223" s="227" t="str">
        <f>IF(G$3="","",IF(COUNTIFS(BD!$A$3:$A$5001,G$3,BD!$B$3:$B$5001,$A$211,BD!$O$3:$O$5001,"&lt;&gt;")=0,"",SUMIFS(BD!$O$3:$O$5001,BD!$A$3:$A$5001,G$3,BD!$B$3:$B$5001,$A$211)))</f>
        <v/>
      </c>
      <c r="H223" s="227" t="str">
        <f>IF(H$3="","",IF(COUNTIFS(BD!$A$3:$A$5001,H$3,BD!$B$3:$B$5001,$A$211,BD!$O$3:$O$5001,"&lt;&gt;")=0,"",SUMIFS(BD!$O$3:$O$5001,BD!$A$3:$A$5001,H$3,BD!$B$3:$B$5001,$A$211)))</f>
        <v/>
      </c>
      <c r="I223" s="227" t="str">
        <f>IF(I$3="","",IF(COUNTIFS(BD!$A$3:$A$5001,I$3,BD!$B$3:$B$5001,$A$211,BD!$O$3:$O$5001,"&lt;&gt;")=0,"",SUMIFS(BD!$O$3:$O$5001,BD!$A$3:$A$5001,I$3,BD!$B$3:$B$5001,$A$211)))</f>
        <v/>
      </c>
      <c r="J223" s="227" t="str">
        <f>IF(J$3="","",IF(COUNTIFS(BD!$A$3:$A$5001,J$3,BD!$B$3:$B$5001,$A$211,BD!$O$3:$O$5001,"&lt;&gt;")=0,"",SUMIFS(BD!$O$3:$O$5001,BD!$A$3:$A$5001,J$3,BD!$B$3:$B$5001,$A$211)))</f>
        <v/>
      </c>
      <c r="K223" s="227" t="str">
        <f>IF(K$3="","",IF(COUNTIFS(BD!$A$3:$A$5001,K$3,BD!$B$3:$B$5001,$A$211,BD!$O$3:$O$5001,"&lt;&gt;")=0,"",SUMIFS(BD!$O$3:$O$5001,BD!$A$3:$A$5001,K$3,BD!$B$3:$B$5001,$A$211)))</f>
        <v/>
      </c>
      <c r="L223" s="227" t="str">
        <f>IF(L$3="","",IF(COUNTIFS(BD!$A$3:$A$5001,L$3,BD!$B$3:$B$5001,$A$211,BD!$O$3:$O$5001,"&lt;&gt;")=0,"",SUMIFS(BD!$O$3:$O$5001,BD!$A$3:$A$5001,L$3,BD!$B$3:$B$5001,$A$211)))</f>
        <v/>
      </c>
      <c r="M223" s="227" t="str">
        <f>IF(M$3="","",IF(COUNTIFS(BD!$A$3:$A$5001,M$3,BD!$B$3:$B$5001,$A$211,BD!$O$3:$O$5001,"&lt;&gt;")=0,"",SUMIFS(BD!$O$3:$O$5001,BD!$A$3:$A$5001,M$3,BD!$B$3:$B$5001,$A$211)))</f>
        <v/>
      </c>
      <c r="N223" s="227" t="str">
        <f>IF(N$3="","",IF(COUNTIFS(BD!$A$3:$A$5001,N$3,BD!$B$3:$B$5001,$A$211,BD!$O$3:$O$5001,"&lt;&gt;")=0,"",SUMIFS(BD!$O$3:$O$5001,BD!$A$3:$A$5001,N$3,BD!$B$3:$B$5001,$A$211)))</f>
        <v/>
      </c>
      <c r="O223" s="227" t="str">
        <f>IF(O$3="","",IF(COUNTIFS(BD!$A$3:$A$5001,O$3,BD!$B$3:$B$5001,$A$211,BD!$O$3:$O$5001,"&lt;&gt;")=0,"",SUMIFS(BD!$O$3:$O$5001,BD!$A$3:$A$5001,O$3,BD!$B$3:$B$5001,$A$211)))</f>
        <v/>
      </c>
      <c r="P223" s="227" t="str">
        <f>IF(P$3="","",IF(COUNTIFS(BD!$A$3:$A$5001,P$3,BD!$B$3:$B$5001,$A$211,BD!$O$3:$O$5001,"&lt;&gt;")=0,"",SUMIFS(BD!$O$3:$O$5001,BD!$A$3:$A$5001,P$3,BD!$B$3:$B$5001,$A$211)))</f>
        <v/>
      </c>
      <c r="Q223" s="227" t="str">
        <f>IF(Q$3="","",IF(COUNTIFS(BD!$A$3:$A$5001,Q$3,BD!$B$3:$B$5001,$A$211,BD!$O$3:$O$5001,"&lt;&gt;")=0,"",SUMIFS(BD!$O$3:$O$5001,BD!$A$3:$A$5001,Q$3,BD!$B$3:$B$5001,$A$211)))</f>
        <v/>
      </c>
      <c r="R223" s="227" t="str">
        <f>IF(R$3="","",IF(COUNTIFS(BD!$A$3:$A$5001,R$3,BD!$B$3:$B$5001,$A$211,BD!$O$3:$O$5001,"&lt;&gt;")=0,"",SUMIFS(BD!$O$3:$O$5001,BD!$A$3:$A$5001,R$3,BD!$B$3:$B$5001,$A$211)))</f>
        <v/>
      </c>
      <c r="S223" s="227" t="str">
        <f>IF(S$3="","",IF(COUNTIFS(BD!$A$3:$A$5001,S$3,BD!$B$3:$B$5001,$A$211,BD!$O$3:$O$5001,"&lt;&gt;")=0,"",SUMIFS(BD!$O$3:$O$5001,BD!$A$3:$A$5001,S$3,BD!$B$3:$B$5001,$A$211)))</f>
        <v/>
      </c>
      <c r="T223" s="227" t="str">
        <f>IF(T$3="","",IF(COUNTIFS(BD!$A$3:$A$5001,T$3,BD!$B$3:$B$5001,$A$211,BD!$O$3:$O$5001,"&lt;&gt;")=0,"",SUMIFS(BD!$O$3:$O$5001,BD!$A$3:$A$5001,T$3,BD!$B$3:$B$5001,$A$211)))</f>
        <v/>
      </c>
      <c r="U223" s="227" t="str">
        <f>IF(U$3="","",IF(COUNTIFS(BD!$A$3:$A$5001,U$3,BD!$B$3:$B$5001,$A$211,BD!$O$3:$O$5001,"&lt;&gt;")=0,"",SUMIFS(BD!$O$3:$O$5001,BD!$A$3:$A$5001,U$3,BD!$B$3:$B$5001,$A$211)))</f>
        <v/>
      </c>
      <c r="V223" s="227" t="str">
        <f>IF(V$3="","",IF(COUNTIFS(BD!$A$3:$A$5001,V$3,BD!$B$3:$B$5001,$A$211,BD!$O$3:$O$5001,"&lt;&gt;")=0,"",SUMIFS(BD!$O$3:$O$5001,BD!$A$3:$A$5001,V$3,BD!$B$3:$B$5001,$A$211)))</f>
        <v/>
      </c>
      <c r="W223" s="227" t="str">
        <f>IF(W$3="","",IF(COUNTIFS(BD!$A$3:$A$5001,W$3,BD!$B$3:$B$5001,$A$211,BD!$O$3:$O$5001,"&lt;&gt;")=0,"",SUMIFS(BD!$O$3:$O$5001,BD!$A$3:$A$5001,W$3,BD!$B$3:$B$5001,$A$211)))</f>
        <v/>
      </c>
      <c r="X223" s="227" t="str">
        <f>IF(X$3="","",IF(COUNTIFS(BD!$A$3:$A$5001,X$3,BD!$B$3:$B$5001,$A$211,BD!$O$3:$O$5001,"&lt;&gt;")=0,"",SUMIFS(BD!$O$3:$O$5001,BD!$A$3:$A$5001,X$3,BD!$B$3:$B$5001,$A$211)))</f>
        <v/>
      </c>
      <c r="Y223" s="227" t="str">
        <f>IF(Y$3="","",IF(COUNTIFS(BD!$A$3:$A$5001,Y$3,BD!$B$3:$B$5001,$A$211,BD!$O$3:$O$5001,"&lt;&gt;")=0,"",SUMIFS(BD!$O$3:$O$5001,BD!$A$3:$A$5001,Y$3,BD!$B$3:$B$5001,$A$211)))</f>
        <v/>
      </c>
      <c r="Z223" s="227" t="str">
        <f>IF(Z$3="","",IF(COUNTIFS(BD!$A$3:$A$5001,Z$3,BD!$B$3:$B$5001,$A$211,BD!$O$3:$O$5001,"&lt;&gt;")=0,"",SUMIFS(BD!$O$3:$O$5001,BD!$A$3:$A$5001,Z$3,BD!$B$3:$B$5001,$A$211)))</f>
        <v/>
      </c>
      <c r="AA223" s="227" t="str">
        <f>IF(AA$3="","",IF(COUNTIFS(BD!$A$3:$A$5001,AA$3,BD!$B$3:$B$5001,$A$211,BD!$O$3:$O$5001,"&lt;&gt;")=0,"",SUMIFS(BD!$O$3:$O$5001,BD!$A$3:$A$5001,AA$3,BD!$B$3:$B$5001,$A$211)))</f>
        <v/>
      </c>
      <c r="AB223" s="227" t="str">
        <f>IF(AB$3="","",IF(COUNTIFS(BD!$A$3:$A$5001,AB$3,BD!$B$3:$B$5001,$A$211,BD!$O$3:$O$5001,"&lt;&gt;")=0,"",SUMIFS(BD!$O$3:$O$5001,BD!$A$3:$A$5001,AB$3,BD!$B$3:$B$5001,$A$211)))</f>
        <v/>
      </c>
      <c r="AC223" s="227" t="str">
        <f>IF(AC$3="","",IF(COUNTIFS(BD!$A$3:$A$5001,AC$3,BD!$B$3:$B$5001,$A$211,BD!$O$3:$O$5001,"&lt;&gt;")=0,"",SUMIFS(BD!$O$3:$O$5001,BD!$A$3:$A$5001,AC$3,BD!$B$3:$B$5001,$A$211)))</f>
        <v/>
      </c>
      <c r="AD223" s="227" t="str">
        <f>IF(AD$3="","",IF(COUNTIFS(BD!$A$3:$A$5001,AD$3,BD!$B$3:$B$5001,$A$211,BD!$O$3:$O$5001,"&lt;&gt;")=0,"",SUMIFS(BD!$O$3:$O$5001,BD!$A$3:$A$5001,AD$3,BD!$B$3:$B$5001,$A$211)))</f>
        <v/>
      </c>
      <c r="AE223" s="227" t="str">
        <f>IF(AE$3="","",IF(COUNTIFS(BD!$A$3:$A$5001,AE$3,BD!$B$3:$B$5001,$A$211,BD!$O$3:$O$5001,"&lt;&gt;")=0,"",SUMIFS(BD!$O$3:$O$5001,BD!$A$3:$A$5001,AE$3,BD!$B$3:$B$5001,$A$211)))</f>
        <v/>
      </c>
      <c r="AF223" s="227" t="str">
        <f>IF(AF$3="","",IF(COUNTIFS(BD!$A$3:$A$5001,AF$3,BD!$B$3:$B$5001,$A$211,BD!$O$3:$O$5001,"&lt;&gt;")=0,"",SUMIFS(BD!$O$3:$O$5001,BD!$A$3:$A$5001,AF$3,BD!$B$3:$B$5001,$A$211)))</f>
        <v/>
      </c>
      <c r="AG223" s="227" t="str">
        <f>IF(AG$3="","",IF(COUNTIFS(BD!$A$3:$A$5001,AG$3,BD!$B$3:$B$5001,$A$211,BD!$O$3:$O$5001,"&lt;&gt;")=0,"",SUMIFS(BD!$O$3:$O$5001,BD!$A$3:$A$5001,AG$3,BD!$B$3:$B$5001,$A$211)))</f>
        <v/>
      </c>
      <c r="AH223" s="227" t="str">
        <f>IF(AH$3="","",IF(COUNTIFS(BD!$A$3:$A$5001,AH$3,BD!$B$3:$B$5001,$A$211,BD!$O$3:$O$5001,"&lt;&gt;")=0,"",SUMIFS(BD!$O$3:$O$5001,BD!$A$3:$A$5001,AH$3,BD!$B$3:$B$5001,$A$211)))</f>
        <v/>
      </c>
      <c r="AI223" s="227" t="str">
        <f>IF(AI$3="","",IF(COUNTIFS(BD!$A$3:$A$5001,AI$3,BD!$B$3:$B$5001,$A$211,BD!$O$3:$O$5001,"&lt;&gt;")=0,"",SUMIFS(BD!$O$3:$O$5001,BD!$A$3:$A$5001,AI$3,BD!$B$3:$B$5001,$A$211)))</f>
        <v/>
      </c>
      <c r="AJ223" s="228" t="str">
        <f>IF(AJ$3="","",IF(COUNTIFS(BD!$A$3:$A$5001,AJ$3,BD!$B$3:$B$5001,$A$211,BD!$O$3:$O$5001,"&lt;&gt;")=0,"",SUMIFS(BD!$O$3:$O$5001,BD!$A$3:$A$5001,AJ$3,BD!$B$3:$B$5001,$A$211)))</f>
        <v/>
      </c>
      <c r="AK223" s="229" t="str">
        <f>IF(COUNT(F223:AJ223)=0,"",SUM(F223:AJ223))</f>
        <v/>
      </c>
    </row>
    <row r="224" ht="15.75" customHeight="1" hidden="1">
      <c r="A224" s="277"/>
      <c r="B224" s="271"/>
      <c r="C224" s="223" t="inlineStr">
        <is>
          <t xml:space="preserve">Backlog Intralog</t>
        </is>
      </c>
      <c r="D224" s="224" t="str">
        <f>IFERROR(1/(1/INDEX(BD!$AF$36:$AZ$36,MATCH($A$211,BD!$AF$22:$AZ$22,0))),"")</f>
        <v/>
      </c>
      <c r="E224" s="225"/>
      <c r="F224" s="226" t="str">
        <f>IF(F$3="","",IF(COUNTIFS(BD!$A$3:$A$5001,F$3,BD!$B$3:$B$5001,$A$211,BD!$P$3:$P$5001,"&lt;&gt;")=0,"",SUMIFS(BD!$P$3:$P$5001,BD!$A$3:$A$5001,F$3,BD!$B$3:$B$5001,$A$211)))</f>
        <v/>
      </c>
      <c r="G224" s="227" t="str">
        <f>IF(G$3="","",IF(COUNTIFS(BD!$A$3:$A$5001,G$3,BD!$B$3:$B$5001,$A$211,BD!$P$3:$P$5001,"&lt;&gt;")=0,"",SUMIFS(BD!$P$3:$P$5001,BD!$A$3:$A$5001,G$3,BD!$B$3:$B$5001,$A$211)))</f>
        <v/>
      </c>
      <c r="H224" s="227" t="str">
        <f>IF(H$3="","",IF(COUNTIFS(BD!$A$3:$A$5001,H$3,BD!$B$3:$B$5001,$A$211,BD!$P$3:$P$5001,"&lt;&gt;")=0,"",SUMIFS(BD!$P$3:$P$5001,BD!$A$3:$A$5001,H$3,BD!$B$3:$B$5001,$A$211)))</f>
        <v/>
      </c>
      <c r="I224" s="227" t="str">
        <f>IF(I$3="","",IF(COUNTIFS(BD!$A$3:$A$5001,I$3,BD!$B$3:$B$5001,$A$211,BD!$P$3:$P$5001,"&lt;&gt;")=0,"",SUMIFS(BD!$P$3:$P$5001,BD!$A$3:$A$5001,I$3,BD!$B$3:$B$5001,$A$211)))</f>
        <v/>
      </c>
      <c r="J224" s="227" t="str">
        <f>IF(J$3="","",IF(COUNTIFS(BD!$A$3:$A$5001,J$3,BD!$B$3:$B$5001,$A$211,BD!$P$3:$P$5001,"&lt;&gt;")=0,"",SUMIFS(BD!$P$3:$P$5001,BD!$A$3:$A$5001,J$3,BD!$B$3:$B$5001,$A$211)))</f>
        <v/>
      </c>
      <c r="K224" s="227" t="str">
        <f>IF(K$3="","",IF(COUNTIFS(BD!$A$3:$A$5001,K$3,BD!$B$3:$B$5001,$A$211,BD!$P$3:$P$5001,"&lt;&gt;")=0,"",SUMIFS(BD!$P$3:$P$5001,BD!$A$3:$A$5001,K$3,BD!$B$3:$B$5001,$A$211)))</f>
        <v/>
      </c>
      <c r="L224" s="227" t="str">
        <f>IF(L$3="","",IF(COUNTIFS(BD!$A$3:$A$5001,L$3,BD!$B$3:$B$5001,$A$211,BD!$P$3:$P$5001,"&lt;&gt;")=0,"",SUMIFS(BD!$P$3:$P$5001,BD!$A$3:$A$5001,L$3,BD!$B$3:$B$5001,$A$211)))</f>
        <v/>
      </c>
      <c r="M224" s="227" t="str">
        <f>IF(M$3="","",IF(COUNTIFS(BD!$A$3:$A$5001,M$3,BD!$B$3:$B$5001,$A$211,BD!$P$3:$P$5001,"&lt;&gt;")=0,"",SUMIFS(BD!$P$3:$P$5001,BD!$A$3:$A$5001,M$3,BD!$B$3:$B$5001,$A$211)))</f>
        <v/>
      </c>
      <c r="N224" s="227" t="str">
        <f>IF(N$3="","",IF(COUNTIFS(BD!$A$3:$A$5001,N$3,BD!$B$3:$B$5001,$A$211,BD!$P$3:$P$5001,"&lt;&gt;")=0,"",SUMIFS(BD!$P$3:$P$5001,BD!$A$3:$A$5001,N$3,BD!$B$3:$B$5001,$A$211)))</f>
        <v/>
      </c>
      <c r="O224" s="227" t="str">
        <f>IF(O$3="","",IF(COUNTIFS(BD!$A$3:$A$5001,O$3,BD!$B$3:$B$5001,$A$211,BD!$P$3:$P$5001,"&lt;&gt;")=0,"",SUMIFS(BD!$P$3:$P$5001,BD!$A$3:$A$5001,O$3,BD!$B$3:$B$5001,$A$211)))</f>
        <v/>
      </c>
      <c r="P224" s="227" t="str">
        <f>IF(P$3="","",IF(COUNTIFS(BD!$A$3:$A$5001,P$3,BD!$B$3:$B$5001,$A$211,BD!$P$3:$P$5001,"&lt;&gt;")=0,"",SUMIFS(BD!$P$3:$P$5001,BD!$A$3:$A$5001,P$3,BD!$B$3:$B$5001,$A$211)))</f>
        <v/>
      </c>
      <c r="Q224" s="227" t="str">
        <f>IF(Q$3="","",IF(COUNTIFS(BD!$A$3:$A$5001,Q$3,BD!$B$3:$B$5001,$A$211,BD!$P$3:$P$5001,"&lt;&gt;")=0,"",SUMIFS(BD!$P$3:$P$5001,BD!$A$3:$A$5001,Q$3,BD!$B$3:$B$5001,$A$211)))</f>
        <v/>
      </c>
      <c r="R224" s="227" t="str">
        <f>IF(R$3="","",IF(COUNTIFS(BD!$A$3:$A$5001,R$3,BD!$B$3:$B$5001,$A$211,BD!$P$3:$P$5001,"&lt;&gt;")=0,"",SUMIFS(BD!$P$3:$P$5001,BD!$A$3:$A$5001,R$3,BD!$B$3:$B$5001,$A$211)))</f>
        <v/>
      </c>
      <c r="S224" s="227" t="str">
        <f>IF(S$3="","",IF(COUNTIFS(BD!$A$3:$A$5001,S$3,BD!$B$3:$B$5001,$A$211,BD!$P$3:$P$5001,"&lt;&gt;")=0,"",SUMIFS(BD!$P$3:$P$5001,BD!$A$3:$A$5001,S$3,BD!$B$3:$B$5001,$A$211)))</f>
        <v/>
      </c>
      <c r="T224" s="227" t="str">
        <f>IF(T$3="","",IF(COUNTIFS(BD!$A$3:$A$5001,T$3,BD!$B$3:$B$5001,$A$211,BD!$P$3:$P$5001,"&lt;&gt;")=0,"",SUMIFS(BD!$P$3:$P$5001,BD!$A$3:$A$5001,T$3,BD!$B$3:$B$5001,$A$211)))</f>
        <v/>
      </c>
      <c r="U224" s="227" t="str">
        <f>IF(U$3="","",IF(COUNTIFS(BD!$A$3:$A$5001,U$3,BD!$B$3:$B$5001,$A$211,BD!$P$3:$P$5001,"&lt;&gt;")=0,"",SUMIFS(BD!$P$3:$P$5001,BD!$A$3:$A$5001,U$3,BD!$B$3:$B$5001,$A$211)))</f>
        <v/>
      </c>
      <c r="V224" s="227" t="str">
        <f>IF(V$3="","",IF(COUNTIFS(BD!$A$3:$A$5001,V$3,BD!$B$3:$B$5001,$A$211,BD!$P$3:$P$5001,"&lt;&gt;")=0,"",SUMIFS(BD!$P$3:$P$5001,BD!$A$3:$A$5001,V$3,BD!$B$3:$B$5001,$A$211)))</f>
        <v/>
      </c>
      <c r="W224" s="227" t="str">
        <f>IF(W$3="","",IF(COUNTIFS(BD!$A$3:$A$5001,W$3,BD!$B$3:$B$5001,$A$211,BD!$P$3:$P$5001,"&lt;&gt;")=0,"",SUMIFS(BD!$P$3:$P$5001,BD!$A$3:$A$5001,W$3,BD!$B$3:$B$5001,$A$211)))</f>
        <v/>
      </c>
      <c r="X224" s="227" t="str">
        <f>IF(X$3="","",IF(COUNTIFS(BD!$A$3:$A$5001,X$3,BD!$B$3:$B$5001,$A$211,BD!$P$3:$P$5001,"&lt;&gt;")=0,"",SUMIFS(BD!$P$3:$P$5001,BD!$A$3:$A$5001,X$3,BD!$B$3:$B$5001,$A$211)))</f>
        <v/>
      </c>
      <c r="Y224" s="227" t="str">
        <f>IF(Y$3="","",IF(COUNTIFS(BD!$A$3:$A$5001,Y$3,BD!$B$3:$B$5001,$A$211,BD!$P$3:$P$5001,"&lt;&gt;")=0,"",SUMIFS(BD!$P$3:$P$5001,BD!$A$3:$A$5001,Y$3,BD!$B$3:$B$5001,$A$211)))</f>
        <v/>
      </c>
      <c r="Z224" s="227" t="str">
        <f>IF(Z$3="","",IF(COUNTIFS(BD!$A$3:$A$5001,Z$3,BD!$B$3:$B$5001,$A$211,BD!$P$3:$P$5001,"&lt;&gt;")=0,"",SUMIFS(BD!$P$3:$P$5001,BD!$A$3:$A$5001,Z$3,BD!$B$3:$B$5001,$A$211)))</f>
        <v/>
      </c>
      <c r="AA224" s="227" t="str">
        <f>IF(AA$3="","",IF(COUNTIFS(BD!$A$3:$A$5001,AA$3,BD!$B$3:$B$5001,$A$211,BD!$P$3:$P$5001,"&lt;&gt;")=0,"",SUMIFS(BD!$P$3:$P$5001,BD!$A$3:$A$5001,AA$3,BD!$B$3:$B$5001,$A$211)))</f>
        <v/>
      </c>
      <c r="AB224" s="227" t="str">
        <f>IF(AB$3="","",IF(COUNTIFS(BD!$A$3:$A$5001,AB$3,BD!$B$3:$B$5001,$A$211,BD!$P$3:$P$5001,"&lt;&gt;")=0,"",SUMIFS(BD!$P$3:$P$5001,BD!$A$3:$A$5001,AB$3,BD!$B$3:$B$5001,$A$211)))</f>
        <v/>
      </c>
      <c r="AC224" s="227" t="str">
        <f>IF(AC$3="","",IF(COUNTIFS(BD!$A$3:$A$5001,AC$3,BD!$B$3:$B$5001,$A$211,BD!$P$3:$P$5001,"&lt;&gt;")=0,"",SUMIFS(BD!$P$3:$P$5001,BD!$A$3:$A$5001,AC$3,BD!$B$3:$B$5001,$A$211)))</f>
        <v/>
      </c>
      <c r="AD224" s="227" t="str">
        <f>IF(AD$3="","",IF(COUNTIFS(BD!$A$3:$A$5001,AD$3,BD!$B$3:$B$5001,$A$211,BD!$P$3:$P$5001,"&lt;&gt;")=0,"",SUMIFS(BD!$P$3:$P$5001,BD!$A$3:$A$5001,AD$3,BD!$B$3:$B$5001,$A$211)))</f>
        <v/>
      </c>
      <c r="AE224" s="227" t="str">
        <f>IF(AE$3="","",IF(COUNTIFS(BD!$A$3:$A$5001,AE$3,BD!$B$3:$B$5001,$A$211,BD!$P$3:$P$5001,"&lt;&gt;")=0,"",SUMIFS(BD!$P$3:$P$5001,BD!$A$3:$A$5001,AE$3,BD!$B$3:$B$5001,$A$211)))</f>
        <v/>
      </c>
      <c r="AF224" s="227" t="str">
        <f>IF(AF$3="","",IF(COUNTIFS(BD!$A$3:$A$5001,AF$3,BD!$B$3:$B$5001,$A$211,BD!$P$3:$P$5001,"&lt;&gt;")=0,"",SUMIFS(BD!$P$3:$P$5001,BD!$A$3:$A$5001,AF$3,BD!$B$3:$B$5001,$A$211)))</f>
        <v/>
      </c>
      <c r="AG224" s="227" t="str">
        <f>IF(AG$3="","",IF(COUNTIFS(BD!$A$3:$A$5001,AG$3,BD!$B$3:$B$5001,$A$211,BD!$P$3:$P$5001,"&lt;&gt;")=0,"",SUMIFS(BD!$P$3:$P$5001,BD!$A$3:$A$5001,AG$3,BD!$B$3:$B$5001,$A$211)))</f>
        <v/>
      </c>
      <c r="AH224" s="227" t="str">
        <f>IF(AH$3="","",IF(COUNTIFS(BD!$A$3:$A$5001,AH$3,BD!$B$3:$B$5001,$A$211,BD!$P$3:$P$5001,"&lt;&gt;")=0,"",SUMIFS(BD!$P$3:$P$5001,BD!$A$3:$A$5001,AH$3,BD!$B$3:$B$5001,$A$211)))</f>
        <v/>
      </c>
      <c r="AI224" s="227" t="str">
        <f>IF(AI$3="","",IF(COUNTIFS(BD!$A$3:$A$5001,AI$3,BD!$B$3:$B$5001,$A$211,BD!$P$3:$P$5001,"&lt;&gt;")=0,"",SUMIFS(BD!$P$3:$P$5001,BD!$A$3:$A$5001,AI$3,BD!$B$3:$B$5001,$A$211)))</f>
        <v/>
      </c>
      <c r="AJ224" s="228" t="str">
        <f>IF(AJ$3="","",IF(COUNTIFS(BD!$A$3:$A$5001,AJ$3,BD!$B$3:$B$5001,$A$211,BD!$P$3:$P$5001,"&lt;&gt;")=0,"",SUMIFS(BD!$P$3:$P$5001,BD!$A$3:$A$5001,AJ$3,BD!$B$3:$B$5001,$A$211)))</f>
        <v/>
      </c>
      <c r="AK224" s="229" t="str">
        <f>IFERROR(LOOKUP(9.99E+307,F224:AJ224),"")</f>
        <v/>
      </c>
    </row>
    <row r="225" ht="15.75" customHeight="1" hidden="1">
      <c r="A225" s="277"/>
      <c r="B225" s="272"/>
      <c r="C225" s="230" t="inlineStr">
        <is>
          <t xml:space="preserve">Backlog Cliente</t>
        </is>
      </c>
      <c r="D225" s="231" t="str">
        <f>IFERROR(1/(1/INDEX(BD!$AF$37:$AZ$37,MATCH($A$211,BD!$AF$22:$AZ$22,0))),"")</f>
        <v/>
      </c>
      <c r="E225" s="232"/>
      <c r="F225" s="233" t="str">
        <f>IF(F$3="","",IF(COUNTIFS(BD!$A$3:$A$5001,F$3,BD!$B$3:$B$5001,$A$211,BD!$Q$3:$Q$5001,"&lt;&gt;")=0,"",SUMIFS(BD!$Q$3:$Q$5001,BD!$A$3:$A$5001,F$3,BD!$B$3:$B$5001,$A$211)))</f>
        <v/>
      </c>
      <c r="G225" s="234" t="str">
        <f>IF(G$3="","",IF(COUNTIFS(BD!$A$3:$A$5001,G$3,BD!$B$3:$B$5001,$A$211,BD!$Q$3:$Q$5001,"&lt;&gt;")=0,"",SUMIFS(BD!$Q$3:$Q$5001,BD!$A$3:$A$5001,G$3,BD!$B$3:$B$5001,$A$211)))</f>
        <v/>
      </c>
      <c r="H225" s="234" t="str">
        <f>IF(H$3="","",IF(COUNTIFS(BD!$A$3:$A$5001,H$3,BD!$B$3:$B$5001,$A$211,BD!$Q$3:$Q$5001,"&lt;&gt;")=0,"",SUMIFS(BD!$Q$3:$Q$5001,BD!$A$3:$A$5001,H$3,BD!$B$3:$B$5001,$A$211)))</f>
        <v/>
      </c>
      <c r="I225" s="234" t="str">
        <f>IF(I$3="","",IF(COUNTIFS(BD!$A$3:$A$5001,I$3,BD!$B$3:$B$5001,$A$211,BD!$Q$3:$Q$5001,"&lt;&gt;")=0,"",SUMIFS(BD!$Q$3:$Q$5001,BD!$A$3:$A$5001,I$3,BD!$B$3:$B$5001,$A$211)))</f>
        <v/>
      </c>
      <c r="J225" s="234" t="str">
        <f>IF(J$3="","",IF(COUNTIFS(BD!$A$3:$A$5001,J$3,BD!$B$3:$B$5001,$A$211,BD!$Q$3:$Q$5001,"&lt;&gt;")=0,"",SUMIFS(BD!$Q$3:$Q$5001,BD!$A$3:$A$5001,J$3,BD!$B$3:$B$5001,$A$211)))</f>
        <v/>
      </c>
      <c r="K225" s="234" t="str">
        <f>IF(K$3="","",IF(COUNTIFS(BD!$A$3:$A$5001,K$3,BD!$B$3:$B$5001,$A$211,BD!$Q$3:$Q$5001,"&lt;&gt;")=0,"",SUMIFS(BD!$Q$3:$Q$5001,BD!$A$3:$A$5001,K$3,BD!$B$3:$B$5001,$A$211)))</f>
        <v/>
      </c>
      <c r="L225" s="234" t="str">
        <f>IF(L$3="","",IF(COUNTIFS(BD!$A$3:$A$5001,L$3,BD!$B$3:$B$5001,$A$211,BD!$Q$3:$Q$5001,"&lt;&gt;")=0,"",SUMIFS(BD!$Q$3:$Q$5001,BD!$A$3:$A$5001,L$3,BD!$B$3:$B$5001,$A$211)))</f>
        <v/>
      </c>
      <c r="M225" s="234" t="str">
        <f>IF(M$3="","",IF(COUNTIFS(BD!$A$3:$A$5001,M$3,BD!$B$3:$B$5001,$A$211,BD!$Q$3:$Q$5001,"&lt;&gt;")=0,"",SUMIFS(BD!$Q$3:$Q$5001,BD!$A$3:$A$5001,M$3,BD!$B$3:$B$5001,$A$211)))</f>
        <v/>
      </c>
      <c r="N225" s="234" t="str">
        <f>IF(N$3="","",IF(COUNTIFS(BD!$A$3:$A$5001,N$3,BD!$B$3:$B$5001,$A$211,BD!$Q$3:$Q$5001,"&lt;&gt;")=0,"",SUMIFS(BD!$Q$3:$Q$5001,BD!$A$3:$A$5001,N$3,BD!$B$3:$B$5001,$A$211)))</f>
        <v/>
      </c>
      <c r="O225" s="234" t="str">
        <f>IF(O$3="","",IF(COUNTIFS(BD!$A$3:$A$5001,O$3,BD!$B$3:$B$5001,$A$211,BD!$Q$3:$Q$5001,"&lt;&gt;")=0,"",SUMIFS(BD!$Q$3:$Q$5001,BD!$A$3:$A$5001,O$3,BD!$B$3:$B$5001,$A$211)))</f>
        <v/>
      </c>
      <c r="P225" s="234" t="str">
        <f>IF(P$3="","",IF(COUNTIFS(BD!$A$3:$A$5001,P$3,BD!$B$3:$B$5001,$A$211,BD!$Q$3:$Q$5001,"&lt;&gt;")=0,"",SUMIFS(BD!$Q$3:$Q$5001,BD!$A$3:$A$5001,P$3,BD!$B$3:$B$5001,$A$211)))</f>
        <v/>
      </c>
      <c r="Q225" s="234" t="str">
        <f>IF(Q$3="","",IF(COUNTIFS(BD!$A$3:$A$5001,Q$3,BD!$B$3:$B$5001,$A$211,BD!$Q$3:$Q$5001,"&lt;&gt;")=0,"",SUMIFS(BD!$Q$3:$Q$5001,BD!$A$3:$A$5001,Q$3,BD!$B$3:$B$5001,$A$211)))</f>
        <v/>
      </c>
      <c r="R225" s="234" t="str">
        <f>IF(R$3="","",IF(COUNTIFS(BD!$A$3:$A$5001,R$3,BD!$B$3:$B$5001,$A$211,BD!$Q$3:$Q$5001,"&lt;&gt;")=0,"",SUMIFS(BD!$Q$3:$Q$5001,BD!$A$3:$A$5001,R$3,BD!$B$3:$B$5001,$A$211)))</f>
        <v/>
      </c>
      <c r="S225" s="234" t="str">
        <f>IF(S$3="","",IF(COUNTIFS(BD!$A$3:$A$5001,S$3,BD!$B$3:$B$5001,$A$211,BD!$Q$3:$Q$5001,"&lt;&gt;")=0,"",SUMIFS(BD!$Q$3:$Q$5001,BD!$A$3:$A$5001,S$3,BD!$B$3:$B$5001,$A$211)))</f>
        <v/>
      </c>
      <c r="T225" s="234" t="str">
        <f>IF(T$3="","",IF(COUNTIFS(BD!$A$3:$A$5001,T$3,BD!$B$3:$B$5001,$A$211,BD!$Q$3:$Q$5001,"&lt;&gt;")=0,"",SUMIFS(BD!$Q$3:$Q$5001,BD!$A$3:$A$5001,T$3,BD!$B$3:$B$5001,$A$211)))</f>
        <v/>
      </c>
      <c r="U225" s="234" t="str">
        <f>IF(U$3="","",IF(COUNTIFS(BD!$A$3:$A$5001,U$3,BD!$B$3:$B$5001,$A$211,BD!$Q$3:$Q$5001,"&lt;&gt;")=0,"",SUMIFS(BD!$Q$3:$Q$5001,BD!$A$3:$A$5001,U$3,BD!$B$3:$B$5001,$A$211)))</f>
        <v/>
      </c>
      <c r="V225" s="234" t="str">
        <f>IF(V$3="","",IF(COUNTIFS(BD!$A$3:$A$5001,V$3,BD!$B$3:$B$5001,$A$211,BD!$Q$3:$Q$5001,"&lt;&gt;")=0,"",SUMIFS(BD!$Q$3:$Q$5001,BD!$A$3:$A$5001,V$3,BD!$B$3:$B$5001,$A$211)))</f>
        <v/>
      </c>
      <c r="W225" s="234" t="str">
        <f>IF(W$3="","",IF(COUNTIFS(BD!$A$3:$A$5001,W$3,BD!$B$3:$B$5001,$A$211,BD!$Q$3:$Q$5001,"&lt;&gt;")=0,"",SUMIFS(BD!$Q$3:$Q$5001,BD!$A$3:$A$5001,W$3,BD!$B$3:$B$5001,$A$211)))</f>
        <v/>
      </c>
      <c r="X225" s="234" t="str">
        <f>IF(X$3="","",IF(COUNTIFS(BD!$A$3:$A$5001,X$3,BD!$B$3:$B$5001,$A$211,BD!$Q$3:$Q$5001,"&lt;&gt;")=0,"",SUMIFS(BD!$Q$3:$Q$5001,BD!$A$3:$A$5001,X$3,BD!$B$3:$B$5001,$A$211)))</f>
        <v/>
      </c>
      <c r="Y225" s="234" t="str">
        <f>IF(Y$3="","",IF(COUNTIFS(BD!$A$3:$A$5001,Y$3,BD!$B$3:$B$5001,$A$211,BD!$Q$3:$Q$5001,"&lt;&gt;")=0,"",SUMIFS(BD!$Q$3:$Q$5001,BD!$A$3:$A$5001,Y$3,BD!$B$3:$B$5001,$A$211)))</f>
        <v/>
      </c>
      <c r="Z225" s="234" t="str">
        <f>IF(Z$3="","",IF(COUNTIFS(BD!$A$3:$A$5001,Z$3,BD!$B$3:$B$5001,$A$211,BD!$Q$3:$Q$5001,"&lt;&gt;")=0,"",SUMIFS(BD!$Q$3:$Q$5001,BD!$A$3:$A$5001,Z$3,BD!$B$3:$B$5001,$A$211)))</f>
        <v/>
      </c>
      <c r="AA225" s="234" t="str">
        <f>IF(AA$3="","",IF(COUNTIFS(BD!$A$3:$A$5001,AA$3,BD!$B$3:$B$5001,$A$211,BD!$Q$3:$Q$5001,"&lt;&gt;")=0,"",SUMIFS(BD!$Q$3:$Q$5001,BD!$A$3:$A$5001,AA$3,BD!$B$3:$B$5001,$A$211)))</f>
        <v/>
      </c>
      <c r="AB225" s="234" t="str">
        <f>IF(AB$3="","",IF(COUNTIFS(BD!$A$3:$A$5001,AB$3,BD!$B$3:$B$5001,$A$211,BD!$Q$3:$Q$5001,"&lt;&gt;")=0,"",SUMIFS(BD!$Q$3:$Q$5001,BD!$A$3:$A$5001,AB$3,BD!$B$3:$B$5001,$A$211)))</f>
        <v/>
      </c>
      <c r="AC225" s="234" t="str">
        <f>IF(AC$3="","",IF(COUNTIFS(BD!$A$3:$A$5001,AC$3,BD!$B$3:$B$5001,$A$211,BD!$Q$3:$Q$5001,"&lt;&gt;")=0,"",SUMIFS(BD!$Q$3:$Q$5001,BD!$A$3:$A$5001,AC$3,BD!$B$3:$B$5001,$A$211)))</f>
        <v/>
      </c>
      <c r="AD225" s="234" t="str">
        <f>IF(AD$3="","",IF(COUNTIFS(BD!$A$3:$A$5001,AD$3,BD!$B$3:$B$5001,$A$211,BD!$Q$3:$Q$5001,"&lt;&gt;")=0,"",SUMIFS(BD!$Q$3:$Q$5001,BD!$A$3:$A$5001,AD$3,BD!$B$3:$B$5001,$A$211)))</f>
        <v/>
      </c>
      <c r="AE225" s="234" t="str">
        <f>IF(AE$3="","",IF(COUNTIFS(BD!$A$3:$A$5001,AE$3,BD!$B$3:$B$5001,$A$211,BD!$Q$3:$Q$5001,"&lt;&gt;")=0,"",SUMIFS(BD!$Q$3:$Q$5001,BD!$A$3:$A$5001,AE$3,BD!$B$3:$B$5001,$A$211)))</f>
        <v/>
      </c>
      <c r="AF225" s="234" t="str">
        <f>IF(AF$3="","",IF(COUNTIFS(BD!$A$3:$A$5001,AF$3,BD!$B$3:$B$5001,$A$211,BD!$Q$3:$Q$5001,"&lt;&gt;")=0,"",SUMIFS(BD!$Q$3:$Q$5001,BD!$A$3:$A$5001,AF$3,BD!$B$3:$B$5001,$A$211)))</f>
        <v/>
      </c>
      <c r="AG225" s="234" t="str">
        <f>IF(AG$3="","",IF(COUNTIFS(BD!$A$3:$A$5001,AG$3,BD!$B$3:$B$5001,$A$211,BD!$Q$3:$Q$5001,"&lt;&gt;")=0,"",SUMIFS(BD!$Q$3:$Q$5001,BD!$A$3:$A$5001,AG$3,BD!$B$3:$B$5001,$A$211)))</f>
        <v/>
      </c>
      <c r="AH225" s="234" t="str">
        <f>IF(AH$3="","",IF(COUNTIFS(BD!$A$3:$A$5001,AH$3,BD!$B$3:$B$5001,$A$211,BD!$Q$3:$Q$5001,"&lt;&gt;")=0,"",SUMIFS(BD!$Q$3:$Q$5001,BD!$A$3:$A$5001,AH$3,BD!$B$3:$B$5001,$A$211)))</f>
        <v/>
      </c>
      <c r="AI225" s="234" t="str">
        <f>IF(AI$3="","",IF(COUNTIFS(BD!$A$3:$A$5001,AI$3,BD!$B$3:$B$5001,$A$211,BD!$Q$3:$Q$5001,"&lt;&gt;")=0,"",SUMIFS(BD!$Q$3:$Q$5001,BD!$A$3:$A$5001,AI$3,BD!$B$3:$B$5001,$A$211)))</f>
        <v/>
      </c>
      <c r="AJ225" s="235" t="str">
        <f>IF(AJ$3="","",IF(COUNTIFS(BD!$A$3:$A$5001,AJ$3,BD!$B$3:$B$5001,$A$211,BD!$Q$3:$Q$5001,"&lt;&gt;")=0,"",SUMIFS(BD!$Q$3:$Q$5001,BD!$A$3:$A$5001,AJ$3,BD!$B$3:$B$5001,$A$211)))</f>
        <v/>
      </c>
      <c r="AK225" s="231" t="str">
        <f>IFERROR(LOOKUP(9.99E+307,F225:AJ225),"")</f>
        <v/>
      </c>
    </row>
    <row r="226" ht="15.75" customHeight="1" hidden="1">
      <c r="A226" s="277"/>
      <c r="B226" s="264" t="inlineStr">
        <is>
          <t xml:space="preserve">OCUPAÇÃO (P.P)</t>
        </is>
      </c>
      <c r="C226" s="168" t="inlineStr">
        <is>
          <t xml:space="preserve">Posições Disponíveis</t>
        </is>
      </c>
      <c r="D226" s="169" t="str">
        <f>IFERROR(1/(1/INDEX(BD!$AF$38:$AZ$38,MATCH($A$211,BD!$AF$22:$AZ$22,0))),"")</f>
        <v/>
      </c>
      <c r="E226" s="170"/>
      <c r="F226" s="171" t="str">
        <f>IF(F$3="","",IF(COUNTIFS(BD!$A$3:$A$5001,F$3,BD!$B$3:$B$5001,$A$211,BD!$R$3:$R$5001,"&lt;&gt;")=0,"",SUMIFS(BD!$R$3:$R$5001,BD!$A$3:$A$5001,F$3,BD!$B$3:$B$5001,$A$211)))</f>
        <v/>
      </c>
      <c r="G226" s="172" t="str">
        <f>IF(G$3="","",IF(COUNTIFS(BD!$A$3:$A$5001,G$3,BD!$B$3:$B$5001,$A$211,BD!$R$3:$R$5001,"&lt;&gt;")=0,"",SUMIFS(BD!$R$3:$R$5001,BD!$A$3:$A$5001,G$3,BD!$B$3:$B$5001,$A$211)))</f>
        <v/>
      </c>
      <c r="H226" s="172" t="str">
        <f>IF(H$3="","",IF(COUNTIFS(BD!$A$3:$A$5001,H$3,BD!$B$3:$B$5001,$A$211,BD!$R$3:$R$5001,"&lt;&gt;")=0,"",SUMIFS(BD!$R$3:$R$5001,BD!$A$3:$A$5001,H$3,BD!$B$3:$B$5001,$A$211)))</f>
        <v/>
      </c>
      <c r="I226" s="172" t="str">
        <f>IF(I$3="","",IF(COUNTIFS(BD!$A$3:$A$5001,I$3,BD!$B$3:$B$5001,$A$211,BD!$R$3:$R$5001,"&lt;&gt;")=0,"",SUMIFS(BD!$R$3:$R$5001,BD!$A$3:$A$5001,I$3,BD!$B$3:$B$5001,$A$211)))</f>
        <v/>
      </c>
      <c r="J226" s="172" t="str">
        <f>IF(J$3="","",IF(COUNTIFS(BD!$A$3:$A$5001,J$3,BD!$B$3:$B$5001,$A$211,BD!$R$3:$R$5001,"&lt;&gt;")=0,"",SUMIFS(BD!$R$3:$R$5001,BD!$A$3:$A$5001,J$3,BD!$B$3:$B$5001,$A$211)))</f>
        <v/>
      </c>
      <c r="K226" s="172" t="str">
        <f>IF(K$3="","",IF(COUNTIFS(BD!$A$3:$A$5001,K$3,BD!$B$3:$B$5001,$A$211,BD!$R$3:$R$5001,"&lt;&gt;")=0,"",SUMIFS(BD!$R$3:$R$5001,BD!$A$3:$A$5001,K$3,BD!$B$3:$B$5001,$A$211)))</f>
        <v/>
      </c>
      <c r="L226" s="172" t="str">
        <f>IF(L$3="","",IF(COUNTIFS(BD!$A$3:$A$5001,L$3,BD!$B$3:$B$5001,$A$211,BD!$R$3:$R$5001,"&lt;&gt;")=0,"",SUMIFS(BD!$R$3:$R$5001,BD!$A$3:$A$5001,L$3,BD!$B$3:$B$5001,$A$211)))</f>
        <v/>
      </c>
      <c r="M226" s="172" t="str">
        <f>IF(M$3="","",IF(COUNTIFS(BD!$A$3:$A$5001,M$3,BD!$B$3:$B$5001,$A$211,BD!$R$3:$R$5001,"&lt;&gt;")=0,"",SUMIFS(BD!$R$3:$R$5001,BD!$A$3:$A$5001,M$3,BD!$B$3:$B$5001,$A$211)))</f>
        <v/>
      </c>
      <c r="N226" s="172" t="str">
        <f>IF(N$3="","",IF(COUNTIFS(BD!$A$3:$A$5001,N$3,BD!$B$3:$B$5001,$A$211,BD!$R$3:$R$5001,"&lt;&gt;")=0,"",SUMIFS(BD!$R$3:$R$5001,BD!$A$3:$A$5001,N$3,BD!$B$3:$B$5001,$A$211)))</f>
        <v/>
      </c>
      <c r="O226" s="172" t="str">
        <f>IF(O$3="","",IF(COUNTIFS(BD!$A$3:$A$5001,O$3,BD!$B$3:$B$5001,$A$211,BD!$R$3:$R$5001,"&lt;&gt;")=0,"",SUMIFS(BD!$R$3:$R$5001,BD!$A$3:$A$5001,O$3,BD!$B$3:$B$5001,$A$211)))</f>
        <v/>
      </c>
      <c r="P226" s="172" t="str">
        <f>IF(P$3="","",IF(COUNTIFS(BD!$A$3:$A$5001,P$3,BD!$B$3:$B$5001,$A$211,BD!$R$3:$R$5001,"&lt;&gt;")=0,"",SUMIFS(BD!$R$3:$R$5001,BD!$A$3:$A$5001,P$3,BD!$B$3:$B$5001,$A$211)))</f>
        <v/>
      </c>
      <c r="Q226" s="172" t="str">
        <f>IF(Q$3="","",IF(COUNTIFS(BD!$A$3:$A$5001,Q$3,BD!$B$3:$B$5001,$A$211,BD!$R$3:$R$5001,"&lt;&gt;")=0,"",SUMIFS(BD!$R$3:$R$5001,BD!$A$3:$A$5001,Q$3,BD!$B$3:$B$5001,$A$211)))</f>
        <v/>
      </c>
      <c r="R226" s="172" t="str">
        <f>IF(R$3="","",IF(COUNTIFS(BD!$A$3:$A$5001,R$3,BD!$B$3:$B$5001,$A$211,BD!$R$3:$R$5001,"&lt;&gt;")=0,"",SUMIFS(BD!$R$3:$R$5001,BD!$A$3:$A$5001,R$3,BD!$B$3:$B$5001,$A$211)))</f>
        <v/>
      </c>
      <c r="S226" s="172" t="str">
        <f>IF(S$3="","",IF(COUNTIFS(BD!$A$3:$A$5001,S$3,BD!$B$3:$B$5001,$A$211,BD!$R$3:$R$5001,"&lt;&gt;")=0,"",SUMIFS(BD!$R$3:$R$5001,BD!$A$3:$A$5001,S$3,BD!$B$3:$B$5001,$A$211)))</f>
        <v/>
      </c>
      <c r="T226" s="172" t="str">
        <f>IF(T$3="","",IF(COUNTIFS(BD!$A$3:$A$5001,T$3,BD!$B$3:$B$5001,$A$211,BD!$R$3:$R$5001,"&lt;&gt;")=0,"",SUMIFS(BD!$R$3:$R$5001,BD!$A$3:$A$5001,T$3,BD!$B$3:$B$5001,$A$211)))</f>
        <v/>
      </c>
      <c r="U226" s="172" t="str">
        <f>IF(U$3="","",IF(COUNTIFS(BD!$A$3:$A$5001,U$3,BD!$B$3:$B$5001,$A$211,BD!$R$3:$R$5001,"&lt;&gt;")=0,"",SUMIFS(BD!$R$3:$R$5001,BD!$A$3:$A$5001,U$3,BD!$B$3:$B$5001,$A$211)))</f>
        <v/>
      </c>
      <c r="V226" s="172" t="str">
        <f>IF(V$3="","",IF(COUNTIFS(BD!$A$3:$A$5001,V$3,BD!$B$3:$B$5001,$A$211,BD!$R$3:$R$5001,"&lt;&gt;")=0,"",SUMIFS(BD!$R$3:$R$5001,BD!$A$3:$A$5001,V$3,BD!$B$3:$B$5001,$A$211)))</f>
        <v/>
      </c>
      <c r="W226" s="172" t="str">
        <f>IF(W$3="","",IF(COUNTIFS(BD!$A$3:$A$5001,W$3,BD!$B$3:$B$5001,$A$211,BD!$R$3:$R$5001,"&lt;&gt;")=0,"",SUMIFS(BD!$R$3:$R$5001,BD!$A$3:$A$5001,W$3,BD!$B$3:$B$5001,$A$211)))</f>
        <v/>
      </c>
      <c r="X226" s="172" t="str">
        <f>IF(X$3="","",IF(COUNTIFS(BD!$A$3:$A$5001,X$3,BD!$B$3:$B$5001,$A$211,BD!$R$3:$R$5001,"&lt;&gt;")=0,"",SUMIFS(BD!$R$3:$R$5001,BD!$A$3:$A$5001,X$3,BD!$B$3:$B$5001,$A$211)))</f>
        <v/>
      </c>
      <c r="Y226" s="172" t="str">
        <f>IF(Y$3="","",IF(COUNTIFS(BD!$A$3:$A$5001,Y$3,BD!$B$3:$B$5001,$A$211,BD!$R$3:$R$5001,"&lt;&gt;")=0,"",SUMIFS(BD!$R$3:$R$5001,BD!$A$3:$A$5001,Y$3,BD!$B$3:$B$5001,$A$211)))</f>
        <v/>
      </c>
      <c r="Z226" s="172" t="str">
        <f>IF(Z$3="","",IF(COUNTIFS(BD!$A$3:$A$5001,Z$3,BD!$B$3:$B$5001,$A$211,BD!$R$3:$R$5001,"&lt;&gt;")=0,"",SUMIFS(BD!$R$3:$R$5001,BD!$A$3:$A$5001,Z$3,BD!$B$3:$B$5001,$A$211)))</f>
        <v/>
      </c>
      <c r="AA226" s="172" t="str">
        <f>IF(AA$3="","",IF(COUNTIFS(BD!$A$3:$A$5001,AA$3,BD!$B$3:$B$5001,$A$211,BD!$R$3:$R$5001,"&lt;&gt;")=0,"",SUMIFS(BD!$R$3:$R$5001,BD!$A$3:$A$5001,AA$3,BD!$B$3:$B$5001,$A$211)))</f>
        <v/>
      </c>
      <c r="AB226" s="172" t="str">
        <f>IF(AB$3="","",IF(COUNTIFS(BD!$A$3:$A$5001,AB$3,BD!$B$3:$B$5001,$A$211,BD!$R$3:$R$5001,"&lt;&gt;")=0,"",SUMIFS(BD!$R$3:$R$5001,BD!$A$3:$A$5001,AB$3,BD!$B$3:$B$5001,$A$211)))</f>
        <v/>
      </c>
      <c r="AC226" s="172" t="str">
        <f>IF(AC$3="","",IF(COUNTIFS(BD!$A$3:$A$5001,AC$3,BD!$B$3:$B$5001,$A$211,BD!$R$3:$R$5001,"&lt;&gt;")=0,"",SUMIFS(BD!$R$3:$R$5001,BD!$A$3:$A$5001,AC$3,BD!$B$3:$B$5001,$A$211)))</f>
        <v/>
      </c>
      <c r="AD226" s="172" t="str">
        <f>IF(AD$3="","",IF(COUNTIFS(BD!$A$3:$A$5001,AD$3,BD!$B$3:$B$5001,$A$211,BD!$R$3:$R$5001,"&lt;&gt;")=0,"",SUMIFS(BD!$R$3:$R$5001,BD!$A$3:$A$5001,AD$3,BD!$B$3:$B$5001,$A$211)))</f>
        <v/>
      </c>
      <c r="AE226" s="172" t="str">
        <f>IF(AE$3="","",IF(COUNTIFS(BD!$A$3:$A$5001,AE$3,BD!$B$3:$B$5001,$A$211,BD!$R$3:$R$5001,"&lt;&gt;")=0,"",SUMIFS(BD!$R$3:$R$5001,BD!$A$3:$A$5001,AE$3,BD!$B$3:$B$5001,$A$211)))</f>
        <v/>
      </c>
      <c r="AF226" s="172" t="str">
        <f>IF(AF$3="","",IF(COUNTIFS(BD!$A$3:$A$5001,AF$3,BD!$B$3:$B$5001,$A$211,BD!$R$3:$R$5001,"&lt;&gt;")=0,"",SUMIFS(BD!$R$3:$R$5001,BD!$A$3:$A$5001,AF$3,BD!$B$3:$B$5001,$A$211)))</f>
        <v/>
      </c>
      <c r="AG226" s="172" t="str">
        <f>IF(AG$3="","",IF(COUNTIFS(BD!$A$3:$A$5001,AG$3,BD!$B$3:$B$5001,$A$211,BD!$R$3:$R$5001,"&lt;&gt;")=0,"",SUMIFS(BD!$R$3:$R$5001,BD!$A$3:$A$5001,AG$3,BD!$B$3:$B$5001,$A$211)))</f>
        <v/>
      </c>
      <c r="AH226" s="172" t="str">
        <f>IF(AH$3="","",IF(COUNTIFS(BD!$A$3:$A$5001,AH$3,BD!$B$3:$B$5001,$A$211,BD!$R$3:$R$5001,"&lt;&gt;")=0,"",SUMIFS(BD!$R$3:$R$5001,BD!$A$3:$A$5001,AH$3,BD!$B$3:$B$5001,$A$211)))</f>
        <v/>
      </c>
      <c r="AI226" s="172" t="str">
        <f>IF(AI$3="","",IF(COUNTIFS(BD!$A$3:$A$5001,AI$3,BD!$B$3:$B$5001,$A$211,BD!$R$3:$R$5001,"&lt;&gt;")=0,"",SUMIFS(BD!$R$3:$R$5001,BD!$A$3:$A$5001,AI$3,BD!$B$3:$B$5001,$A$211)))</f>
        <v/>
      </c>
      <c r="AJ226" s="173" t="str">
        <f>IF(AJ$3="","",IF(COUNTIFS(BD!$A$3:$A$5001,AJ$3,BD!$B$3:$B$5001,$A$211,BD!$R$3:$R$5001,"&lt;&gt;")=0,"",SUMIFS(BD!$R$3:$R$5001,BD!$A$3:$A$5001,AJ$3,BD!$B$3:$B$5001,$A$211)))</f>
        <v/>
      </c>
      <c r="AK226" s="174" t="str">
        <f>IF(COUNT(F226:AJ226)&gt;0,LOOKUP(9.99E+307,F226:AJ226),IFERROR(IF(INDEX(BD!$AC$3:$AC$5001,MATCH($A$211,BD!$B$3:$B$5001,0))&amp;""="Contrato","",INDEX(BD!$AC$3:$AC$5001,MATCH($A$211,BD!$B$3:$B$5001,0))&amp;""),""))</f>
        <v/>
      </c>
    </row>
    <row r="227" ht="15.75" customHeight="1" hidden="1">
      <c r="A227" s="277"/>
      <c r="B227" s="265"/>
      <c r="C227" s="175" t="inlineStr">
        <is>
          <t xml:space="preserve">Posições Ocupadas</t>
        </is>
      </c>
      <c r="D227" s="176" t="str">
        <f>IFERROR(1/(1/INDEX(BD!$AF$39:$AZ$39,MATCH($A$211,BD!$AF$22:$AZ$22,0))),"")</f>
        <v/>
      </c>
      <c r="E227" s="177"/>
      <c r="F227" s="178" t="str">
        <f>IF(F$3="","",IF(COUNTIFS(BD!$A$3:$A$5001,F$3,BD!$B$3:$B$5001,$A$211,BD!$S$3:$S$5001,"&lt;&gt;")=0,"",SUMIFS(BD!$S$3:$S$5001,BD!$A$3:$A$5001,F$3,BD!$B$3:$B$5001,$A$211)))</f>
        <v/>
      </c>
      <c r="G227" s="179" t="str">
        <f>IF(G$3="","",IF(COUNTIFS(BD!$A$3:$A$5001,G$3,BD!$B$3:$B$5001,$A$211,BD!$S$3:$S$5001,"&lt;&gt;")=0,"",SUMIFS(BD!$S$3:$S$5001,BD!$A$3:$A$5001,G$3,BD!$B$3:$B$5001,$A$211)))</f>
        <v/>
      </c>
      <c r="H227" s="179" t="str">
        <f>IF(H$3="","",IF(COUNTIFS(BD!$A$3:$A$5001,H$3,BD!$B$3:$B$5001,$A$211,BD!$S$3:$S$5001,"&lt;&gt;")=0,"",SUMIFS(BD!$S$3:$S$5001,BD!$A$3:$A$5001,H$3,BD!$B$3:$B$5001,$A$211)))</f>
        <v/>
      </c>
      <c r="I227" s="179" t="str">
        <f>IF(I$3="","",IF(COUNTIFS(BD!$A$3:$A$5001,I$3,BD!$B$3:$B$5001,$A$211,BD!$S$3:$S$5001,"&lt;&gt;")=0,"",SUMIFS(BD!$S$3:$S$5001,BD!$A$3:$A$5001,I$3,BD!$B$3:$B$5001,$A$211)))</f>
        <v/>
      </c>
      <c r="J227" s="179" t="str">
        <f>IF(J$3="","",IF(COUNTIFS(BD!$A$3:$A$5001,J$3,BD!$B$3:$B$5001,$A$211,BD!$S$3:$S$5001,"&lt;&gt;")=0,"",SUMIFS(BD!$S$3:$S$5001,BD!$A$3:$A$5001,J$3,BD!$B$3:$B$5001,$A$211)))</f>
        <v/>
      </c>
      <c r="K227" s="179" t="str">
        <f>IF(K$3="","",IF(COUNTIFS(BD!$A$3:$A$5001,K$3,BD!$B$3:$B$5001,$A$211,BD!$S$3:$S$5001,"&lt;&gt;")=0,"",SUMIFS(BD!$S$3:$S$5001,BD!$A$3:$A$5001,K$3,BD!$B$3:$B$5001,$A$211)))</f>
        <v/>
      </c>
      <c r="L227" s="179" t="str">
        <f>IF(L$3="","",IF(COUNTIFS(BD!$A$3:$A$5001,L$3,BD!$B$3:$B$5001,$A$211,BD!$S$3:$S$5001,"&lt;&gt;")=0,"",SUMIFS(BD!$S$3:$S$5001,BD!$A$3:$A$5001,L$3,BD!$B$3:$B$5001,$A$211)))</f>
        <v/>
      </c>
      <c r="M227" s="179" t="str">
        <f>IF(M$3="","",IF(COUNTIFS(BD!$A$3:$A$5001,M$3,BD!$B$3:$B$5001,$A$211,BD!$S$3:$S$5001,"&lt;&gt;")=0,"",SUMIFS(BD!$S$3:$S$5001,BD!$A$3:$A$5001,M$3,BD!$B$3:$B$5001,$A$211)))</f>
        <v/>
      </c>
      <c r="N227" s="179" t="str">
        <f>IF(N$3="","",IF(COUNTIFS(BD!$A$3:$A$5001,N$3,BD!$B$3:$B$5001,$A$211,BD!$S$3:$S$5001,"&lt;&gt;")=0,"",SUMIFS(BD!$S$3:$S$5001,BD!$A$3:$A$5001,N$3,BD!$B$3:$B$5001,$A$211)))</f>
        <v/>
      </c>
      <c r="O227" s="179" t="str">
        <f>IF(O$3="","",IF(COUNTIFS(BD!$A$3:$A$5001,O$3,BD!$B$3:$B$5001,$A$211,BD!$S$3:$S$5001,"&lt;&gt;")=0,"",SUMIFS(BD!$S$3:$S$5001,BD!$A$3:$A$5001,O$3,BD!$B$3:$B$5001,$A$211)))</f>
        <v/>
      </c>
      <c r="P227" s="179" t="str">
        <f>IF(P$3="","",IF(COUNTIFS(BD!$A$3:$A$5001,P$3,BD!$B$3:$B$5001,$A$211,BD!$S$3:$S$5001,"&lt;&gt;")=0,"",SUMIFS(BD!$S$3:$S$5001,BD!$A$3:$A$5001,P$3,BD!$B$3:$B$5001,$A$211)))</f>
        <v/>
      </c>
      <c r="Q227" s="179" t="str">
        <f>IF(Q$3="","",IF(COUNTIFS(BD!$A$3:$A$5001,Q$3,BD!$B$3:$B$5001,$A$211,BD!$S$3:$S$5001,"&lt;&gt;")=0,"",SUMIFS(BD!$S$3:$S$5001,BD!$A$3:$A$5001,Q$3,BD!$B$3:$B$5001,$A$211)))</f>
        <v/>
      </c>
      <c r="R227" s="179" t="str">
        <f>IF(R$3="","",IF(COUNTIFS(BD!$A$3:$A$5001,R$3,BD!$B$3:$B$5001,$A$211,BD!$S$3:$S$5001,"&lt;&gt;")=0,"",SUMIFS(BD!$S$3:$S$5001,BD!$A$3:$A$5001,R$3,BD!$B$3:$B$5001,$A$211)))</f>
        <v/>
      </c>
      <c r="S227" s="179" t="str">
        <f>IF(S$3="","",IF(COUNTIFS(BD!$A$3:$A$5001,S$3,BD!$B$3:$B$5001,$A$211,BD!$S$3:$S$5001,"&lt;&gt;")=0,"",SUMIFS(BD!$S$3:$S$5001,BD!$A$3:$A$5001,S$3,BD!$B$3:$B$5001,$A$211)))</f>
        <v/>
      </c>
      <c r="T227" s="179" t="str">
        <f>IF(T$3="","",IF(COUNTIFS(BD!$A$3:$A$5001,T$3,BD!$B$3:$B$5001,$A$211,BD!$S$3:$S$5001,"&lt;&gt;")=0,"",SUMIFS(BD!$S$3:$S$5001,BD!$A$3:$A$5001,T$3,BD!$B$3:$B$5001,$A$211)))</f>
        <v/>
      </c>
      <c r="U227" s="179" t="str">
        <f>IF(U$3="","",IF(COUNTIFS(BD!$A$3:$A$5001,U$3,BD!$B$3:$B$5001,$A$211,BD!$S$3:$S$5001,"&lt;&gt;")=0,"",SUMIFS(BD!$S$3:$S$5001,BD!$A$3:$A$5001,U$3,BD!$B$3:$B$5001,$A$211)))</f>
        <v/>
      </c>
      <c r="V227" s="179" t="str">
        <f>IF(V$3="","",IF(COUNTIFS(BD!$A$3:$A$5001,V$3,BD!$B$3:$B$5001,$A$211,BD!$S$3:$S$5001,"&lt;&gt;")=0,"",SUMIFS(BD!$S$3:$S$5001,BD!$A$3:$A$5001,V$3,BD!$B$3:$B$5001,$A$211)))</f>
        <v/>
      </c>
      <c r="W227" s="179" t="str">
        <f>IF(W$3="","",IF(COUNTIFS(BD!$A$3:$A$5001,W$3,BD!$B$3:$B$5001,$A$211,BD!$S$3:$S$5001,"&lt;&gt;")=0,"",SUMIFS(BD!$S$3:$S$5001,BD!$A$3:$A$5001,W$3,BD!$B$3:$B$5001,$A$211)))</f>
        <v/>
      </c>
      <c r="X227" s="179" t="str">
        <f>IF(X$3="","",IF(COUNTIFS(BD!$A$3:$A$5001,X$3,BD!$B$3:$B$5001,$A$211,BD!$S$3:$S$5001,"&lt;&gt;")=0,"",SUMIFS(BD!$S$3:$S$5001,BD!$A$3:$A$5001,X$3,BD!$B$3:$B$5001,$A$211)))</f>
        <v/>
      </c>
      <c r="Y227" s="179" t="str">
        <f>IF(Y$3="","",IF(COUNTIFS(BD!$A$3:$A$5001,Y$3,BD!$B$3:$B$5001,$A$211,BD!$S$3:$S$5001,"&lt;&gt;")=0,"",SUMIFS(BD!$S$3:$S$5001,BD!$A$3:$A$5001,Y$3,BD!$B$3:$B$5001,$A$211)))</f>
        <v/>
      </c>
      <c r="Z227" s="179" t="str">
        <f>IF(Z$3="","",IF(COUNTIFS(BD!$A$3:$A$5001,Z$3,BD!$B$3:$B$5001,$A$211,BD!$S$3:$S$5001,"&lt;&gt;")=0,"",SUMIFS(BD!$S$3:$S$5001,BD!$A$3:$A$5001,Z$3,BD!$B$3:$B$5001,$A$211)))</f>
        <v/>
      </c>
      <c r="AA227" s="179" t="str">
        <f>IF(AA$3="","",IF(COUNTIFS(BD!$A$3:$A$5001,AA$3,BD!$B$3:$B$5001,$A$211,BD!$S$3:$S$5001,"&lt;&gt;")=0,"",SUMIFS(BD!$S$3:$S$5001,BD!$A$3:$A$5001,AA$3,BD!$B$3:$B$5001,$A$211)))</f>
        <v/>
      </c>
      <c r="AB227" s="179" t="str">
        <f>IF(AB$3="","",IF(COUNTIFS(BD!$A$3:$A$5001,AB$3,BD!$B$3:$B$5001,$A$211,BD!$S$3:$S$5001,"&lt;&gt;")=0,"",SUMIFS(BD!$S$3:$S$5001,BD!$A$3:$A$5001,AB$3,BD!$B$3:$B$5001,$A$211)))</f>
        <v/>
      </c>
      <c r="AC227" s="179" t="str">
        <f>IF(AC$3="","",IF(COUNTIFS(BD!$A$3:$A$5001,AC$3,BD!$B$3:$B$5001,$A$211,BD!$S$3:$S$5001,"&lt;&gt;")=0,"",SUMIFS(BD!$S$3:$S$5001,BD!$A$3:$A$5001,AC$3,BD!$B$3:$B$5001,$A$211)))</f>
        <v/>
      </c>
      <c r="AD227" s="179" t="str">
        <f>IF(AD$3="","",IF(COUNTIFS(BD!$A$3:$A$5001,AD$3,BD!$B$3:$B$5001,$A$211,BD!$S$3:$S$5001,"&lt;&gt;")=0,"",SUMIFS(BD!$S$3:$S$5001,BD!$A$3:$A$5001,AD$3,BD!$B$3:$B$5001,$A$211)))</f>
        <v/>
      </c>
      <c r="AE227" s="179" t="str">
        <f>IF(AE$3="","",IF(COUNTIFS(BD!$A$3:$A$5001,AE$3,BD!$B$3:$B$5001,$A$211,BD!$S$3:$S$5001,"&lt;&gt;")=0,"",SUMIFS(BD!$S$3:$S$5001,BD!$A$3:$A$5001,AE$3,BD!$B$3:$B$5001,$A$211)))</f>
        <v/>
      </c>
      <c r="AF227" s="179" t="str">
        <f>IF(AF$3="","",IF(COUNTIFS(BD!$A$3:$A$5001,AF$3,BD!$B$3:$B$5001,$A$211,BD!$S$3:$S$5001,"&lt;&gt;")=0,"",SUMIFS(BD!$S$3:$S$5001,BD!$A$3:$A$5001,AF$3,BD!$B$3:$B$5001,$A$211)))</f>
        <v/>
      </c>
      <c r="AG227" s="179" t="str">
        <f>IF(AG$3="","",IF(COUNTIFS(BD!$A$3:$A$5001,AG$3,BD!$B$3:$B$5001,$A$211,BD!$S$3:$S$5001,"&lt;&gt;")=0,"",SUMIFS(BD!$S$3:$S$5001,BD!$A$3:$A$5001,AG$3,BD!$B$3:$B$5001,$A$211)))</f>
        <v/>
      </c>
      <c r="AH227" s="179" t="str">
        <f>IF(AH$3="","",IF(COUNTIFS(BD!$A$3:$A$5001,AH$3,BD!$B$3:$B$5001,$A$211,BD!$S$3:$S$5001,"&lt;&gt;")=0,"",SUMIFS(BD!$S$3:$S$5001,BD!$A$3:$A$5001,AH$3,BD!$B$3:$B$5001,$A$211)))</f>
        <v/>
      </c>
      <c r="AI227" s="179" t="str">
        <f>IF(AI$3="","",IF(COUNTIFS(BD!$A$3:$A$5001,AI$3,BD!$B$3:$B$5001,$A$211,BD!$S$3:$S$5001,"&lt;&gt;")=0,"",SUMIFS(BD!$S$3:$S$5001,BD!$A$3:$A$5001,AI$3,BD!$B$3:$B$5001,$A$211)))</f>
        <v/>
      </c>
      <c r="AJ227" s="180" t="str">
        <f>IF(AJ$3="","",IF(COUNTIFS(BD!$A$3:$A$5001,AJ$3,BD!$B$3:$B$5001,$A$211,BD!$S$3:$S$5001,"&lt;&gt;")=0,"",SUMIFS(BD!$S$3:$S$5001,BD!$A$3:$A$5001,AJ$3,BD!$B$3:$B$5001,$A$211)))</f>
        <v/>
      </c>
      <c r="AK227" s="181" t="str">
        <f>IFERROR(LOOKUP(9.99E+307,F227:AJ227),"")</f>
        <v/>
      </c>
    </row>
    <row r="228" ht="15.75" customHeight="1" hidden="1">
      <c r="A228" s="277"/>
      <c r="B228" s="266"/>
      <c r="C228" s="186" t="inlineStr">
        <is>
          <t xml:space="preserve">Taxa de Ocupação</t>
        </is>
      </c>
      <c r="D228" s="236" t="str">
        <f>IFERROR(1/(1/INDEX(BD!$AF$40:$AZ$40,MATCH($A$211,BD!$AF$22:$AZ$22,0))),"")</f>
        <v/>
      </c>
      <c r="E228" s="188"/>
      <c r="F228" s="237" t="str">
        <f>IF(AND(ISNUMBER(F226),ISNUMBER(F227)),IF(F226&gt;0,F227/F226,""),"")</f>
        <v/>
      </c>
      <c r="G228" s="238" t="str">
        <f>IF(AND(ISNUMBER(G226),ISNUMBER(G227)),IF(G226&gt;0,G227/G226,""),"")</f>
        <v/>
      </c>
      <c r="H228" s="238" t="str">
        <f>IF(AND(ISNUMBER(H226),ISNUMBER(H227)),IF(H226&gt;0,H227/H226,""),"")</f>
        <v/>
      </c>
      <c r="I228" s="238" t="str">
        <f>IF(AND(ISNUMBER(I226),ISNUMBER(I227)),IF(I226&gt;0,I227/I226,""),"")</f>
        <v/>
      </c>
      <c r="J228" s="238" t="str">
        <f>IF(AND(ISNUMBER(J226),ISNUMBER(J227)),IF(J226&gt;0,J227/J226,""),"")</f>
        <v/>
      </c>
      <c r="K228" s="238" t="str">
        <f>IF(AND(ISNUMBER(K226),ISNUMBER(K227)),IF(K226&gt;0,K227/K226,""),"")</f>
        <v/>
      </c>
      <c r="L228" s="238" t="str">
        <f>IF(AND(ISNUMBER(L226),ISNUMBER(L227)),IF(L226&gt;0,L227/L226,""),"")</f>
        <v/>
      </c>
      <c r="M228" s="238" t="str">
        <f>IF(AND(ISNUMBER(M226),ISNUMBER(M227)),IF(M226&gt;0,M227/M226,""),"")</f>
        <v/>
      </c>
      <c r="N228" s="238" t="str">
        <f>IF(AND(ISNUMBER(N226),ISNUMBER(N227)),IF(N226&gt;0,N227/N226,""),"")</f>
        <v/>
      </c>
      <c r="O228" s="238" t="str">
        <f>IF(AND(ISNUMBER(O226),ISNUMBER(O227)),IF(O226&gt;0,O227/O226,""),"")</f>
        <v/>
      </c>
      <c r="P228" s="238" t="str">
        <f>IF(AND(ISNUMBER(P226),ISNUMBER(P227)),IF(P226&gt;0,P227/P226,""),"")</f>
        <v/>
      </c>
      <c r="Q228" s="238" t="str">
        <f>IF(AND(ISNUMBER(Q226),ISNUMBER(Q227)),IF(Q226&gt;0,Q227/Q226,""),"")</f>
        <v/>
      </c>
      <c r="R228" s="238" t="str">
        <f>IF(AND(ISNUMBER(R226),ISNUMBER(R227)),IF(R226&gt;0,R227/R226,""),"")</f>
        <v/>
      </c>
      <c r="S228" s="238" t="str">
        <f>IF(AND(ISNUMBER(S226),ISNUMBER(S227)),IF(S226&gt;0,S227/S226,""),"")</f>
        <v/>
      </c>
      <c r="T228" s="238" t="str">
        <f>IF(AND(ISNUMBER(T226),ISNUMBER(T227)),IF(T226&gt;0,T227/T226,""),"")</f>
        <v/>
      </c>
      <c r="U228" s="238" t="str">
        <f>IF(AND(ISNUMBER(U226),ISNUMBER(U227)),IF(U226&gt;0,U227/U226,""),"")</f>
        <v/>
      </c>
      <c r="V228" s="238" t="str">
        <f>IF(AND(ISNUMBER(V226),ISNUMBER(V227)),IF(V226&gt;0,V227/V226,""),"")</f>
        <v/>
      </c>
      <c r="W228" s="238" t="str">
        <f>IF(AND(ISNUMBER(W226),ISNUMBER(W227)),IF(W226&gt;0,W227/W226,""),"")</f>
        <v/>
      </c>
      <c r="X228" s="238" t="str">
        <f>IF(AND(ISNUMBER(X226),ISNUMBER(X227)),IF(X226&gt;0,X227/X226,""),"")</f>
        <v/>
      </c>
      <c r="Y228" s="238" t="str">
        <f>IF(AND(ISNUMBER(Y226),ISNUMBER(Y227)),IF(Y226&gt;0,Y227/Y226,""),"")</f>
        <v/>
      </c>
      <c r="Z228" s="238" t="str">
        <f>IF(AND(ISNUMBER(Z226),ISNUMBER(Z227)),IF(Z226&gt;0,Z227/Z226,""),"")</f>
        <v/>
      </c>
      <c r="AA228" s="238" t="str">
        <f>IF(AND(ISNUMBER(AA226),ISNUMBER(AA227)),IF(AA226&gt;0,AA227/AA226,""),"")</f>
        <v/>
      </c>
      <c r="AB228" s="238" t="str">
        <f>IF(AND(ISNUMBER(AB226),ISNUMBER(AB227)),IF(AB226&gt;0,AB227/AB226,""),"")</f>
        <v/>
      </c>
      <c r="AC228" s="238" t="str">
        <f>IF(AND(ISNUMBER(AC226),ISNUMBER(AC227)),IF(AC226&gt;0,AC227/AC226,""),"")</f>
        <v/>
      </c>
      <c r="AD228" s="238" t="str">
        <f>IF(AND(ISNUMBER(AD226),ISNUMBER(AD227)),IF(AD226&gt;0,AD227/AD226,""),"")</f>
        <v/>
      </c>
      <c r="AE228" s="238" t="str">
        <f>IF(AND(ISNUMBER(AE226),ISNUMBER(AE227)),IF(AE226&gt;0,AE227/AE226,""),"")</f>
        <v/>
      </c>
      <c r="AF228" s="238" t="str">
        <f>IF(AND(ISNUMBER(AF226),ISNUMBER(AF227)),IF(AF226&gt;0,AF227/AF226,""),"")</f>
        <v/>
      </c>
      <c r="AG228" s="238" t="str">
        <f>IF(AND(ISNUMBER(AG226),ISNUMBER(AG227)),IF(AG226&gt;0,AG227/AG226,""),"")</f>
        <v/>
      </c>
      <c r="AH228" s="238" t="str">
        <f>IF(AND(ISNUMBER(AH226),ISNUMBER(AH227)),IF(AH226&gt;0,AH227/AH226,""),"")</f>
        <v/>
      </c>
      <c r="AI228" s="238" t="str">
        <f>IF(AND(ISNUMBER(AI226),ISNUMBER(AI227)),IF(AI226&gt;0,AI227/AI226,""),"")</f>
        <v/>
      </c>
      <c r="AJ228" s="239" t="str">
        <f>IF(AND(ISNUMBER(AJ226),ISNUMBER(AJ227)),IF(AJ226&gt;0,AJ227/AJ226,""),"")</f>
        <v/>
      </c>
      <c r="AK228" s="236" t="str">
        <f>IF(AND(ISNUMBER(AK226),ISNUMBER(AK227)),IF(AK226&gt;0,AK227/AK226,""),"")</f>
        <v/>
      </c>
    </row>
    <row r="229" ht="15.75" customHeight="1" hidden="1">
      <c r="A229" s="277"/>
      <c r="B229" s="273" t="inlineStr">
        <is>
          <t xml:space="preserve">GENTE</t>
        </is>
      </c>
      <c r="C229" s="240" t="inlineStr">
        <is>
          <t xml:space="preserve">Efetivo Op.</t>
        </is>
      </c>
      <c r="D229" s="241" t="str">
        <f>IFERROR(1/(1/INDEX(BD!$AF$41:$AZ$41,MATCH($A$211,BD!$AF$22:$AZ$22,0))),"")</f>
        <v/>
      </c>
      <c r="E229" s="242"/>
      <c r="F229" s="243" t="str">
        <f>IF(F$3="","",IF(COUNTIFS(BD!$A$3:$A$5001,F$3,BD!$B$3:$B$5001,$A$211,BD!$T$3:$T$5001,"&lt;&gt;")=0,"",SUMIFS(BD!$T$3:$T$5001,BD!$A$3:$A$5001,F$3,BD!$B$3:$B$5001,$A$211)))</f>
        <v/>
      </c>
      <c r="G229" s="244" t="str">
        <f>IF(G$3="","",IF(COUNTIFS(BD!$A$3:$A$5001,G$3,BD!$B$3:$B$5001,$A$211,BD!$T$3:$T$5001,"&lt;&gt;")=0,"",SUMIFS(BD!$T$3:$T$5001,BD!$A$3:$A$5001,G$3,BD!$B$3:$B$5001,$A$211)))</f>
        <v/>
      </c>
      <c r="H229" s="244" t="str">
        <f>IF(H$3="","",IF(COUNTIFS(BD!$A$3:$A$5001,H$3,BD!$B$3:$B$5001,$A$211,BD!$T$3:$T$5001,"&lt;&gt;")=0,"",SUMIFS(BD!$T$3:$T$5001,BD!$A$3:$A$5001,H$3,BD!$B$3:$B$5001,$A$211)))</f>
        <v/>
      </c>
      <c r="I229" s="244" t="str">
        <f>IF(I$3="","",IF(COUNTIFS(BD!$A$3:$A$5001,I$3,BD!$B$3:$B$5001,$A$211,BD!$T$3:$T$5001,"&lt;&gt;")=0,"",SUMIFS(BD!$T$3:$T$5001,BD!$A$3:$A$5001,I$3,BD!$B$3:$B$5001,$A$211)))</f>
        <v/>
      </c>
      <c r="J229" s="244" t="str">
        <f>IF(J$3="","",IF(COUNTIFS(BD!$A$3:$A$5001,J$3,BD!$B$3:$B$5001,$A$211,BD!$T$3:$T$5001,"&lt;&gt;")=0,"",SUMIFS(BD!$T$3:$T$5001,BD!$A$3:$A$5001,J$3,BD!$B$3:$B$5001,$A$211)))</f>
        <v/>
      </c>
      <c r="K229" s="244" t="str">
        <f>IF(K$3="","",IF(COUNTIFS(BD!$A$3:$A$5001,K$3,BD!$B$3:$B$5001,$A$211,BD!$T$3:$T$5001,"&lt;&gt;")=0,"",SUMIFS(BD!$T$3:$T$5001,BD!$A$3:$A$5001,K$3,BD!$B$3:$B$5001,$A$211)))</f>
        <v/>
      </c>
      <c r="L229" s="244" t="str">
        <f>IF(L$3="","",IF(COUNTIFS(BD!$A$3:$A$5001,L$3,BD!$B$3:$B$5001,$A$211,BD!$T$3:$T$5001,"&lt;&gt;")=0,"",SUMIFS(BD!$T$3:$T$5001,BD!$A$3:$A$5001,L$3,BD!$B$3:$B$5001,$A$211)))</f>
        <v/>
      </c>
      <c r="M229" s="244" t="str">
        <f>IF(M$3="","",IF(COUNTIFS(BD!$A$3:$A$5001,M$3,BD!$B$3:$B$5001,$A$211,BD!$T$3:$T$5001,"&lt;&gt;")=0,"",SUMIFS(BD!$T$3:$T$5001,BD!$A$3:$A$5001,M$3,BD!$B$3:$B$5001,$A$211)))</f>
        <v/>
      </c>
      <c r="N229" s="244" t="str">
        <f>IF(N$3="","",IF(COUNTIFS(BD!$A$3:$A$5001,N$3,BD!$B$3:$B$5001,$A$211,BD!$T$3:$T$5001,"&lt;&gt;")=0,"",SUMIFS(BD!$T$3:$T$5001,BD!$A$3:$A$5001,N$3,BD!$B$3:$B$5001,$A$211)))</f>
        <v/>
      </c>
      <c r="O229" s="244" t="str">
        <f>IF(O$3="","",IF(COUNTIFS(BD!$A$3:$A$5001,O$3,BD!$B$3:$B$5001,$A$211,BD!$T$3:$T$5001,"&lt;&gt;")=0,"",SUMIFS(BD!$T$3:$T$5001,BD!$A$3:$A$5001,O$3,BD!$B$3:$B$5001,$A$211)))</f>
        <v/>
      </c>
      <c r="P229" s="244" t="str">
        <f>IF(P$3="","",IF(COUNTIFS(BD!$A$3:$A$5001,P$3,BD!$B$3:$B$5001,$A$211,BD!$T$3:$T$5001,"&lt;&gt;")=0,"",SUMIFS(BD!$T$3:$T$5001,BD!$A$3:$A$5001,P$3,BD!$B$3:$B$5001,$A$211)))</f>
        <v/>
      </c>
      <c r="Q229" s="244" t="str">
        <f>IF(Q$3="","",IF(COUNTIFS(BD!$A$3:$A$5001,Q$3,BD!$B$3:$B$5001,$A$211,BD!$T$3:$T$5001,"&lt;&gt;")=0,"",SUMIFS(BD!$T$3:$T$5001,BD!$A$3:$A$5001,Q$3,BD!$B$3:$B$5001,$A$211)))</f>
        <v/>
      </c>
      <c r="R229" s="244" t="str">
        <f>IF(R$3="","",IF(COUNTIFS(BD!$A$3:$A$5001,R$3,BD!$B$3:$B$5001,$A$211,BD!$T$3:$T$5001,"&lt;&gt;")=0,"",SUMIFS(BD!$T$3:$T$5001,BD!$A$3:$A$5001,R$3,BD!$B$3:$B$5001,$A$211)))</f>
        <v/>
      </c>
      <c r="S229" s="244" t="str">
        <f>IF(S$3="","",IF(COUNTIFS(BD!$A$3:$A$5001,S$3,BD!$B$3:$B$5001,$A$211,BD!$T$3:$T$5001,"&lt;&gt;")=0,"",SUMIFS(BD!$T$3:$T$5001,BD!$A$3:$A$5001,S$3,BD!$B$3:$B$5001,$A$211)))</f>
        <v/>
      </c>
      <c r="T229" s="244" t="str">
        <f>IF(T$3="","",IF(COUNTIFS(BD!$A$3:$A$5001,T$3,BD!$B$3:$B$5001,$A$211,BD!$T$3:$T$5001,"&lt;&gt;")=0,"",SUMIFS(BD!$T$3:$T$5001,BD!$A$3:$A$5001,T$3,BD!$B$3:$B$5001,$A$211)))</f>
        <v/>
      </c>
      <c r="U229" s="244" t="str">
        <f>IF(U$3="","",IF(COUNTIFS(BD!$A$3:$A$5001,U$3,BD!$B$3:$B$5001,$A$211,BD!$T$3:$T$5001,"&lt;&gt;")=0,"",SUMIFS(BD!$T$3:$T$5001,BD!$A$3:$A$5001,U$3,BD!$B$3:$B$5001,$A$211)))</f>
        <v/>
      </c>
      <c r="V229" s="244" t="str">
        <f>IF(V$3="","",IF(COUNTIFS(BD!$A$3:$A$5001,V$3,BD!$B$3:$B$5001,$A$211,BD!$T$3:$T$5001,"&lt;&gt;")=0,"",SUMIFS(BD!$T$3:$T$5001,BD!$A$3:$A$5001,V$3,BD!$B$3:$B$5001,$A$211)))</f>
        <v/>
      </c>
      <c r="W229" s="244" t="str">
        <f>IF(W$3="","",IF(COUNTIFS(BD!$A$3:$A$5001,W$3,BD!$B$3:$B$5001,$A$211,BD!$T$3:$T$5001,"&lt;&gt;")=0,"",SUMIFS(BD!$T$3:$T$5001,BD!$A$3:$A$5001,W$3,BD!$B$3:$B$5001,$A$211)))</f>
        <v/>
      </c>
      <c r="X229" s="244" t="str">
        <f>IF(X$3="","",IF(COUNTIFS(BD!$A$3:$A$5001,X$3,BD!$B$3:$B$5001,$A$211,BD!$T$3:$T$5001,"&lt;&gt;")=0,"",SUMIFS(BD!$T$3:$T$5001,BD!$A$3:$A$5001,X$3,BD!$B$3:$B$5001,$A$211)))</f>
        <v/>
      </c>
      <c r="Y229" s="244" t="str">
        <f>IF(Y$3="","",IF(COUNTIFS(BD!$A$3:$A$5001,Y$3,BD!$B$3:$B$5001,$A$211,BD!$T$3:$T$5001,"&lt;&gt;")=0,"",SUMIFS(BD!$T$3:$T$5001,BD!$A$3:$A$5001,Y$3,BD!$B$3:$B$5001,$A$211)))</f>
        <v/>
      </c>
      <c r="Z229" s="244" t="str">
        <f>IF(Z$3="","",IF(COUNTIFS(BD!$A$3:$A$5001,Z$3,BD!$B$3:$B$5001,$A$211,BD!$T$3:$T$5001,"&lt;&gt;")=0,"",SUMIFS(BD!$T$3:$T$5001,BD!$A$3:$A$5001,Z$3,BD!$B$3:$B$5001,$A$211)))</f>
        <v/>
      </c>
      <c r="AA229" s="244" t="str">
        <f>IF(AA$3="","",IF(COUNTIFS(BD!$A$3:$A$5001,AA$3,BD!$B$3:$B$5001,$A$211,BD!$T$3:$T$5001,"&lt;&gt;")=0,"",SUMIFS(BD!$T$3:$T$5001,BD!$A$3:$A$5001,AA$3,BD!$B$3:$B$5001,$A$211)))</f>
        <v/>
      </c>
      <c r="AB229" s="244" t="str">
        <f>IF(AB$3="","",IF(COUNTIFS(BD!$A$3:$A$5001,AB$3,BD!$B$3:$B$5001,$A$211,BD!$T$3:$T$5001,"&lt;&gt;")=0,"",SUMIFS(BD!$T$3:$T$5001,BD!$A$3:$A$5001,AB$3,BD!$B$3:$B$5001,$A$211)))</f>
        <v/>
      </c>
      <c r="AC229" s="244" t="str">
        <f>IF(AC$3="","",IF(COUNTIFS(BD!$A$3:$A$5001,AC$3,BD!$B$3:$B$5001,$A$211,BD!$T$3:$T$5001,"&lt;&gt;")=0,"",SUMIFS(BD!$T$3:$T$5001,BD!$A$3:$A$5001,AC$3,BD!$B$3:$B$5001,$A$211)))</f>
        <v/>
      </c>
      <c r="AD229" s="244" t="str">
        <f>IF(AD$3="","",IF(COUNTIFS(BD!$A$3:$A$5001,AD$3,BD!$B$3:$B$5001,$A$211,BD!$T$3:$T$5001,"&lt;&gt;")=0,"",SUMIFS(BD!$T$3:$T$5001,BD!$A$3:$A$5001,AD$3,BD!$B$3:$B$5001,$A$211)))</f>
        <v/>
      </c>
      <c r="AE229" s="244" t="str">
        <f>IF(AE$3="","",IF(COUNTIFS(BD!$A$3:$A$5001,AE$3,BD!$B$3:$B$5001,$A$211,BD!$T$3:$T$5001,"&lt;&gt;")=0,"",SUMIFS(BD!$T$3:$T$5001,BD!$A$3:$A$5001,AE$3,BD!$B$3:$B$5001,$A$211)))</f>
        <v/>
      </c>
      <c r="AF229" s="244" t="str">
        <f>IF(AF$3="","",IF(COUNTIFS(BD!$A$3:$A$5001,AF$3,BD!$B$3:$B$5001,$A$211,BD!$T$3:$T$5001,"&lt;&gt;")=0,"",SUMIFS(BD!$T$3:$T$5001,BD!$A$3:$A$5001,AF$3,BD!$B$3:$B$5001,$A$211)))</f>
        <v/>
      </c>
      <c r="AG229" s="244" t="str">
        <f>IF(AG$3="","",IF(COUNTIFS(BD!$A$3:$A$5001,AG$3,BD!$B$3:$B$5001,$A$211,BD!$T$3:$T$5001,"&lt;&gt;")=0,"",SUMIFS(BD!$T$3:$T$5001,BD!$A$3:$A$5001,AG$3,BD!$B$3:$B$5001,$A$211)))</f>
        <v/>
      </c>
      <c r="AH229" s="244" t="str">
        <f>IF(AH$3="","",IF(COUNTIFS(BD!$A$3:$A$5001,AH$3,BD!$B$3:$B$5001,$A$211,BD!$T$3:$T$5001,"&lt;&gt;")=0,"",SUMIFS(BD!$T$3:$T$5001,BD!$A$3:$A$5001,AH$3,BD!$B$3:$B$5001,$A$211)))</f>
        <v/>
      </c>
      <c r="AI229" s="244" t="str">
        <f>IF(AI$3="","",IF(COUNTIFS(BD!$A$3:$A$5001,AI$3,BD!$B$3:$B$5001,$A$211,BD!$T$3:$T$5001,"&lt;&gt;")=0,"",SUMIFS(BD!$T$3:$T$5001,BD!$A$3:$A$5001,AI$3,BD!$B$3:$B$5001,$A$211)))</f>
        <v/>
      </c>
      <c r="AJ229" s="245" t="str">
        <f>IF(AJ$3="","",IF(COUNTIFS(BD!$A$3:$A$5001,AJ$3,BD!$B$3:$B$5001,$A$211,BD!$T$3:$T$5001,"&lt;&gt;")=0,"",SUMIFS(BD!$T$3:$T$5001,BD!$A$3:$A$5001,AJ$3,BD!$B$3:$B$5001,$A$211)))</f>
        <v/>
      </c>
      <c r="AK229" s="246" t="str">
        <f>IFERROR(LOOKUP(9.99E+307,F229:AJ229),"")</f>
        <v/>
      </c>
    </row>
    <row r="230" ht="15.75" customHeight="1" hidden="1">
      <c r="A230" s="277"/>
      <c r="B230" s="274"/>
      <c r="C230" s="247" t="inlineStr">
        <is>
          <t xml:space="preserve">Falta</t>
        </is>
      </c>
      <c r="D230" s="248" t="str">
        <f>IFERROR(1/(1/INDEX(BD!$AF$42:$AZ$42,MATCH($A$211,BD!$AF$22:$AZ$22,0))),"")</f>
        <v/>
      </c>
      <c r="E230" s="249"/>
      <c r="F230" s="250" t="str">
        <f>IF(F$3="","",IF(COUNTIFS(BD!$A$3:$A$5001,F$3,BD!$B$3:$B$5001,$A$211,BD!$U$3:$U$5001,"&lt;&gt;")=0,"",SUMIFS(BD!$U$3:$U$5001,BD!$A$3:$A$5001,F$3,BD!$B$3:$B$5001,$A$211)))</f>
        <v/>
      </c>
      <c r="G230" s="251" t="str">
        <f>IF(G$3="","",IF(COUNTIFS(BD!$A$3:$A$5001,G$3,BD!$B$3:$B$5001,$A$211,BD!$U$3:$U$5001,"&lt;&gt;")=0,"",SUMIFS(BD!$U$3:$U$5001,BD!$A$3:$A$5001,G$3,BD!$B$3:$B$5001,$A$211)))</f>
        <v/>
      </c>
      <c r="H230" s="251" t="str">
        <f>IF(H$3="","",IF(COUNTIFS(BD!$A$3:$A$5001,H$3,BD!$B$3:$B$5001,$A$211,BD!$U$3:$U$5001,"&lt;&gt;")=0,"",SUMIFS(BD!$U$3:$U$5001,BD!$A$3:$A$5001,H$3,BD!$B$3:$B$5001,$A$211)))</f>
        <v/>
      </c>
      <c r="I230" s="251" t="str">
        <f>IF(I$3="","",IF(COUNTIFS(BD!$A$3:$A$5001,I$3,BD!$B$3:$B$5001,$A$211,BD!$U$3:$U$5001,"&lt;&gt;")=0,"",SUMIFS(BD!$U$3:$U$5001,BD!$A$3:$A$5001,I$3,BD!$B$3:$B$5001,$A$211)))</f>
        <v/>
      </c>
      <c r="J230" s="251" t="str">
        <f>IF(J$3="","",IF(COUNTIFS(BD!$A$3:$A$5001,J$3,BD!$B$3:$B$5001,$A$211,BD!$U$3:$U$5001,"&lt;&gt;")=0,"",SUMIFS(BD!$U$3:$U$5001,BD!$A$3:$A$5001,J$3,BD!$B$3:$B$5001,$A$211)))</f>
        <v/>
      </c>
      <c r="K230" s="251" t="str">
        <f>IF(K$3="","",IF(COUNTIFS(BD!$A$3:$A$5001,K$3,BD!$B$3:$B$5001,$A$211,BD!$U$3:$U$5001,"&lt;&gt;")=0,"",SUMIFS(BD!$U$3:$U$5001,BD!$A$3:$A$5001,K$3,BD!$B$3:$B$5001,$A$211)))</f>
        <v/>
      </c>
      <c r="L230" s="251" t="str">
        <f>IF(L$3="","",IF(COUNTIFS(BD!$A$3:$A$5001,L$3,BD!$B$3:$B$5001,$A$211,BD!$U$3:$U$5001,"&lt;&gt;")=0,"",SUMIFS(BD!$U$3:$U$5001,BD!$A$3:$A$5001,L$3,BD!$B$3:$B$5001,$A$211)))</f>
        <v/>
      </c>
      <c r="M230" s="251" t="str">
        <f>IF(M$3="","",IF(COUNTIFS(BD!$A$3:$A$5001,M$3,BD!$B$3:$B$5001,$A$211,BD!$U$3:$U$5001,"&lt;&gt;")=0,"",SUMIFS(BD!$U$3:$U$5001,BD!$A$3:$A$5001,M$3,BD!$B$3:$B$5001,$A$211)))</f>
        <v/>
      </c>
      <c r="N230" s="251" t="str">
        <f>IF(N$3="","",IF(COUNTIFS(BD!$A$3:$A$5001,N$3,BD!$B$3:$B$5001,$A$211,BD!$U$3:$U$5001,"&lt;&gt;")=0,"",SUMIFS(BD!$U$3:$U$5001,BD!$A$3:$A$5001,N$3,BD!$B$3:$B$5001,$A$211)))</f>
        <v/>
      </c>
      <c r="O230" s="251" t="str">
        <f>IF(O$3="","",IF(COUNTIFS(BD!$A$3:$A$5001,O$3,BD!$B$3:$B$5001,$A$211,BD!$U$3:$U$5001,"&lt;&gt;")=0,"",SUMIFS(BD!$U$3:$U$5001,BD!$A$3:$A$5001,O$3,BD!$B$3:$B$5001,$A$211)))</f>
        <v/>
      </c>
      <c r="P230" s="251" t="str">
        <f>IF(P$3="","",IF(COUNTIFS(BD!$A$3:$A$5001,P$3,BD!$B$3:$B$5001,$A$211,BD!$U$3:$U$5001,"&lt;&gt;")=0,"",SUMIFS(BD!$U$3:$U$5001,BD!$A$3:$A$5001,P$3,BD!$B$3:$B$5001,$A$211)))</f>
        <v/>
      </c>
      <c r="Q230" s="251" t="str">
        <f>IF(Q$3="","",IF(COUNTIFS(BD!$A$3:$A$5001,Q$3,BD!$B$3:$B$5001,$A$211,BD!$U$3:$U$5001,"&lt;&gt;")=0,"",SUMIFS(BD!$U$3:$U$5001,BD!$A$3:$A$5001,Q$3,BD!$B$3:$B$5001,$A$211)))</f>
        <v/>
      </c>
      <c r="R230" s="251" t="str">
        <f>IF(R$3="","",IF(COUNTIFS(BD!$A$3:$A$5001,R$3,BD!$B$3:$B$5001,$A$211,BD!$U$3:$U$5001,"&lt;&gt;")=0,"",SUMIFS(BD!$U$3:$U$5001,BD!$A$3:$A$5001,R$3,BD!$B$3:$B$5001,$A$211)))</f>
        <v/>
      </c>
      <c r="S230" s="251" t="str">
        <f>IF(S$3="","",IF(COUNTIFS(BD!$A$3:$A$5001,S$3,BD!$B$3:$B$5001,$A$211,BD!$U$3:$U$5001,"&lt;&gt;")=0,"",SUMIFS(BD!$U$3:$U$5001,BD!$A$3:$A$5001,S$3,BD!$B$3:$B$5001,$A$211)))</f>
        <v/>
      </c>
      <c r="T230" s="251" t="str">
        <f>IF(T$3="","",IF(COUNTIFS(BD!$A$3:$A$5001,T$3,BD!$B$3:$B$5001,$A$211,BD!$U$3:$U$5001,"&lt;&gt;")=0,"",SUMIFS(BD!$U$3:$U$5001,BD!$A$3:$A$5001,T$3,BD!$B$3:$B$5001,$A$211)))</f>
        <v/>
      </c>
      <c r="U230" s="251" t="str">
        <f>IF(U$3="","",IF(COUNTIFS(BD!$A$3:$A$5001,U$3,BD!$B$3:$B$5001,$A$211,BD!$U$3:$U$5001,"&lt;&gt;")=0,"",SUMIFS(BD!$U$3:$U$5001,BD!$A$3:$A$5001,U$3,BD!$B$3:$B$5001,$A$211)))</f>
        <v/>
      </c>
      <c r="V230" s="251" t="str">
        <f>IF(V$3="","",IF(COUNTIFS(BD!$A$3:$A$5001,V$3,BD!$B$3:$B$5001,$A$211,BD!$U$3:$U$5001,"&lt;&gt;")=0,"",SUMIFS(BD!$U$3:$U$5001,BD!$A$3:$A$5001,V$3,BD!$B$3:$B$5001,$A$211)))</f>
        <v/>
      </c>
      <c r="W230" s="251" t="str">
        <f>IF(W$3="","",IF(COUNTIFS(BD!$A$3:$A$5001,W$3,BD!$B$3:$B$5001,$A$211,BD!$U$3:$U$5001,"&lt;&gt;")=0,"",SUMIFS(BD!$U$3:$U$5001,BD!$A$3:$A$5001,W$3,BD!$B$3:$B$5001,$A$211)))</f>
        <v/>
      </c>
      <c r="X230" s="251" t="str">
        <f>IF(X$3="","",IF(COUNTIFS(BD!$A$3:$A$5001,X$3,BD!$B$3:$B$5001,$A$211,BD!$U$3:$U$5001,"&lt;&gt;")=0,"",SUMIFS(BD!$U$3:$U$5001,BD!$A$3:$A$5001,X$3,BD!$B$3:$B$5001,$A$211)))</f>
        <v/>
      </c>
      <c r="Y230" s="251" t="str">
        <f>IF(Y$3="","",IF(COUNTIFS(BD!$A$3:$A$5001,Y$3,BD!$B$3:$B$5001,$A$211,BD!$U$3:$U$5001,"&lt;&gt;")=0,"",SUMIFS(BD!$U$3:$U$5001,BD!$A$3:$A$5001,Y$3,BD!$B$3:$B$5001,$A$211)))</f>
        <v/>
      </c>
      <c r="Z230" s="251" t="str">
        <f>IF(Z$3="","",IF(COUNTIFS(BD!$A$3:$A$5001,Z$3,BD!$B$3:$B$5001,$A$211,BD!$U$3:$U$5001,"&lt;&gt;")=0,"",SUMIFS(BD!$U$3:$U$5001,BD!$A$3:$A$5001,Z$3,BD!$B$3:$B$5001,$A$211)))</f>
        <v/>
      </c>
      <c r="AA230" s="251" t="str">
        <f>IF(AA$3="","",IF(COUNTIFS(BD!$A$3:$A$5001,AA$3,BD!$B$3:$B$5001,$A$211,BD!$U$3:$U$5001,"&lt;&gt;")=0,"",SUMIFS(BD!$U$3:$U$5001,BD!$A$3:$A$5001,AA$3,BD!$B$3:$B$5001,$A$211)))</f>
        <v/>
      </c>
      <c r="AB230" s="251" t="str">
        <f>IF(AB$3="","",IF(COUNTIFS(BD!$A$3:$A$5001,AB$3,BD!$B$3:$B$5001,$A$211,BD!$U$3:$U$5001,"&lt;&gt;")=0,"",SUMIFS(BD!$U$3:$U$5001,BD!$A$3:$A$5001,AB$3,BD!$B$3:$B$5001,$A$211)))</f>
        <v/>
      </c>
      <c r="AC230" s="251" t="str">
        <f>IF(AC$3="","",IF(COUNTIFS(BD!$A$3:$A$5001,AC$3,BD!$B$3:$B$5001,$A$211,BD!$U$3:$U$5001,"&lt;&gt;")=0,"",SUMIFS(BD!$U$3:$U$5001,BD!$A$3:$A$5001,AC$3,BD!$B$3:$B$5001,$A$211)))</f>
        <v/>
      </c>
      <c r="AD230" s="251" t="str">
        <f>IF(AD$3="","",IF(COUNTIFS(BD!$A$3:$A$5001,AD$3,BD!$B$3:$B$5001,$A$211,BD!$U$3:$U$5001,"&lt;&gt;")=0,"",SUMIFS(BD!$U$3:$U$5001,BD!$A$3:$A$5001,AD$3,BD!$B$3:$B$5001,$A$211)))</f>
        <v/>
      </c>
      <c r="AE230" s="251" t="str">
        <f>IF(AE$3="","",IF(COUNTIFS(BD!$A$3:$A$5001,AE$3,BD!$B$3:$B$5001,$A$211,BD!$U$3:$U$5001,"&lt;&gt;")=0,"",SUMIFS(BD!$U$3:$U$5001,BD!$A$3:$A$5001,AE$3,BD!$B$3:$B$5001,$A$211)))</f>
        <v/>
      </c>
      <c r="AF230" s="251" t="str">
        <f>IF(AF$3="","",IF(COUNTIFS(BD!$A$3:$A$5001,AF$3,BD!$B$3:$B$5001,$A$211,BD!$U$3:$U$5001,"&lt;&gt;")=0,"",SUMIFS(BD!$U$3:$U$5001,BD!$A$3:$A$5001,AF$3,BD!$B$3:$B$5001,$A$211)))</f>
        <v/>
      </c>
      <c r="AG230" s="251" t="str">
        <f>IF(AG$3="","",IF(COUNTIFS(BD!$A$3:$A$5001,AG$3,BD!$B$3:$B$5001,$A$211,BD!$U$3:$U$5001,"&lt;&gt;")=0,"",SUMIFS(BD!$U$3:$U$5001,BD!$A$3:$A$5001,AG$3,BD!$B$3:$B$5001,$A$211)))</f>
        <v/>
      </c>
      <c r="AH230" s="251" t="str">
        <f>IF(AH$3="","",IF(COUNTIFS(BD!$A$3:$A$5001,AH$3,BD!$B$3:$B$5001,$A$211,BD!$U$3:$U$5001,"&lt;&gt;")=0,"",SUMIFS(BD!$U$3:$U$5001,BD!$A$3:$A$5001,AH$3,BD!$B$3:$B$5001,$A$211)))</f>
        <v/>
      </c>
      <c r="AI230" s="251" t="str">
        <f>IF(AI$3="","",IF(COUNTIFS(BD!$A$3:$A$5001,AI$3,BD!$B$3:$B$5001,$A$211,BD!$U$3:$U$5001,"&lt;&gt;")=0,"",SUMIFS(BD!$U$3:$U$5001,BD!$A$3:$A$5001,AI$3,BD!$B$3:$B$5001,$A$211)))</f>
        <v/>
      </c>
      <c r="AJ230" s="252" t="str">
        <f>IF(AJ$3="","",IF(COUNTIFS(BD!$A$3:$A$5001,AJ$3,BD!$B$3:$B$5001,$A$211,BD!$U$3:$U$5001,"&lt;&gt;")=0,"",SUMIFS(BD!$U$3:$U$5001,BD!$A$3:$A$5001,AJ$3,BD!$B$3:$B$5001,$A$211)))</f>
        <v/>
      </c>
      <c r="AK230" s="253" t="str">
        <f>IF(COUNT(F230:AJ230)=0,"",SUM(F230:AJ230))</f>
        <v/>
      </c>
    </row>
    <row r="231" ht="15.75" customHeight="1" hidden="1">
      <c r="A231" s="277"/>
      <c r="B231" s="274"/>
      <c r="C231" s="247" t="inlineStr">
        <is>
          <t xml:space="preserve">Absenteísmo (H/H)</t>
        </is>
      </c>
      <c r="D231" s="248" t="str">
        <f>IFERROR(1/(1/INDEX(BD!$AF$43:$AZ$43,MATCH($A$211,BD!$AF$22:$AZ$22,0))),"")</f>
        <v/>
      </c>
      <c r="E231" s="249"/>
      <c r="F231" s="254" t="str">
        <f>IF(F$3="","",IF(COUNTIFS(BD!$A$3:$A$5001,F$3,BD!$B$3:$B$5001,$A$211,BD!$V$3:$V$5001,"&lt;&gt;")=0,"",SUMIFS(BD!$V$3:$V$5001,BD!$A$3:$A$5001,F$3,BD!$B$3:$B$5001,$A$211)))</f>
        <v/>
      </c>
      <c r="G231" s="255" t="str">
        <f>IF(G$3="","",IF(COUNTIFS(BD!$A$3:$A$5001,G$3,BD!$B$3:$B$5001,$A$211,BD!$V$3:$V$5001,"&lt;&gt;")=0,"",SUMIFS(BD!$V$3:$V$5001,BD!$A$3:$A$5001,G$3,BD!$B$3:$B$5001,$A$211)))</f>
        <v/>
      </c>
      <c r="H231" s="255" t="str">
        <f>IF(H$3="","",IF(COUNTIFS(BD!$A$3:$A$5001,H$3,BD!$B$3:$B$5001,$A$211,BD!$V$3:$V$5001,"&lt;&gt;")=0,"",SUMIFS(BD!$V$3:$V$5001,BD!$A$3:$A$5001,H$3,BD!$B$3:$B$5001,$A$211)))</f>
        <v/>
      </c>
      <c r="I231" s="255" t="str">
        <f>IF(I$3="","",IF(COUNTIFS(BD!$A$3:$A$5001,I$3,BD!$B$3:$B$5001,$A$211,BD!$V$3:$V$5001,"&lt;&gt;")=0,"",SUMIFS(BD!$V$3:$V$5001,BD!$A$3:$A$5001,I$3,BD!$B$3:$B$5001,$A$211)))</f>
        <v/>
      </c>
      <c r="J231" s="255" t="str">
        <f>IF(J$3="","",IF(COUNTIFS(BD!$A$3:$A$5001,J$3,BD!$B$3:$B$5001,$A$211,BD!$V$3:$V$5001,"&lt;&gt;")=0,"",SUMIFS(BD!$V$3:$V$5001,BD!$A$3:$A$5001,J$3,BD!$B$3:$B$5001,$A$211)))</f>
        <v/>
      </c>
      <c r="K231" s="255" t="str">
        <f>IF(K$3="","",IF(COUNTIFS(BD!$A$3:$A$5001,K$3,BD!$B$3:$B$5001,$A$211,BD!$V$3:$V$5001,"&lt;&gt;")=0,"",SUMIFS(BD!$V$3:$V$5001,BD!$A$3:$A$5001,K$3,BD!$B$3:$B$5001,$A$211)))</f>
        <v/>
      </c>
      <c r="L231" s="255" t="str">
        <f>IF(L$3="","",IF(COUNTIFS(BD!$A$3:$A$5001,L$3,BD!$B$3:$B$5001,$A$211,BD!$V$3:$V$5001,"&lt;&gt;")=0,"",SUMIFS(BD!$V$3:$V$5001,BD!$A$3:$A$5001,L$3,BD!$B$3:$B$5001,$A$211)))</f>
        <v/>
      </c>
      <c r="M231" s="255" t="str">
        <f>IF(M$3="","",IF(COUNTIFS(BD!$A$3:$A$5001,M$3,BD!$B$3:$B$5001,$A$211,BD!$V$3:$V$5001,"&lt;&gt;")=0,"",SUMIFS(BD!$V$3:$V$5001,BD!$A$3:$A$5001,M$3,BD!$B$3:$B$5001,$A$211)))</f>
        <v/>
      </c>
      <c r="N231" s="255" t="str">
        <f>IF(N$3="","",IF(COUNTIFS(BD!$A$3:$A$5001,N$3,BD!$B$3:$B$5001,$A$211,BD!$V$3:$V$5001,"&lt;&gt;")=0,"",SUMIFS(BD!$V$3:$V$5001,BD!$A$3:$A$5001,N$3,BD!$B$3:$B$5001,$A$211)))</f>
        <v/>
      </c>
      <c r="O231" s="255" t="str">
        <f>IF(O$3="","",IF(COUNTIFS(BD!$A$3:$A$5001,O$3,BD!$B$3:$B$5001,$A$211,BD!$V$3:$V$5001,"&lt;&gt;")=0,"",SUMIFS(BD!$V$3:$V$5001,BD!$A$3:$A$5001,O$3,BD!$B$3:$B$5001,$A$211)))</f>
        <v/>
      </c>
      <c r="P231" s="255" t="str">
        <f>IF(P$3="","",IF(COUNTIFS(BD!$A$3:$A$5001,P$3,BD!$B$3:$B$5001,$A$211,BD!$V$3:$V$5001,"&lt;&gt;")=0,"",SUMIFS(BD!$V$3:$V$5001,BD!$A$3:$A$5001,P$3,BD!$B$3:$B$5001,$A$211)))</f>
        <v/>
      </c>
      <c r="Q231" s="255" t="str">
        <f>IF(Q$3="","",IF(COUNTIFS(BD!$A$3:$A$5001,Q$3,BD!$B$3:$B$5001,$A$211,BD!$V$3:$V$5001,"&lt;&gt;")=0,"",SUMIFS(BD!$V$3:$V$5001,BD!$A$3:$A$5001,Q$3,BD!$B$3:$B$5001,$A$211)))</f>
        <v/>
      </c>
      <c r="R231" s="255" t="str">
        <f>IF(R$3="","",IF(COUNTIFS(BD!$A$3:$A$5001,R$3,BD!$B$3:$B$5001,$A$211,BD!$V$3:$V$5001,"&lt;&gt;")=0,"",SUMIFS(BD!$V$3:$V$5001,BD!$A$3:$A$5001,R$3,BD!$B$3:$B$5001,$A$211)))</f>
        <v/>
      </c>
      <c r="S231" s="255" t="str">
        <f>IF(S$3="","",IF(COUNTIFS(BD!$A$3:$A$5001,S$3,BD!$B$3:$B$5001,$A$211,BD!$V$3:$V$5001,"&lt;&gt;")=0,"",SUMIFS(BD!$V$3:$V$5001,BD!$A$3:$A$5001,S$3,BD!$B$3:$B$5001,$A$211)))</f>
        <v/>
      </c>
      <c r="T231" s="255" t="str">
        <f>IF(T$3="","",IF(COUNTIFS(BD!$A$3:$A$5001,T$3,BD!$B$3:$B$5001,$A$211,BD!$V$3:$V$5001,"&lt;&gt;")=0,"",SUMIFS(BD!$V$3:$V$5001,BD!$A$3:$A$5001,T$3,BD!$B$3:$B$5001,$A$211)))</f>
        <v/>
      </c>
      <c r="U231" s="255" t="str">
        <f>IF(U$3="","",IF(COUNTIFS(BD!$A$3:$A$5001,U$3,BD!$B$3:$B$5001,$A$211,BD!$V$3:$V$5001,"&lt;&gt;")=0,"",SUMIFS(BD!$V$3:$V$5001,BD!$A$3:$A$5001,U$3,BD!$B$3:$B$5001,$A$211)))</f>
        <v/>
      </c>
      <c r="V231" s="255" t="str">
        <f>IF(V$3="","",IF(COUNTIFS(BD!$A$3:$A$5001,V$3,BD!$B$3:$B$5001,$A$211,BD!$V$3:$V$5001,"&lt;&gt;")=0,"",SUMIFS(BD!$V$3:$V$5001,BD!$A$3:$A$5001,V$3,BD!$B$3:$B$5001,$A$211)))</f>
        <v/>
      </c>
      <c r="W231" s="255" t="str">
        <f>IF(W$3="","",IF(COUNTIFS(BD!$A$3:$A$5001,W$3,BD!$B$3:$B$5001,$A$211,BD!$V$3:$V$5001,"&lt;&gt;")=0,"",SUMIFS(BD!$V$3:$V$5001,BD!$A$3:$A$5001,W$3,BD!$B$3:$B$5001,$A$211)))</f>
        <v/>
      </c>
      <c r="X231" s="255" t="str">
        <f>IF(X$3="","",IF(COUNTIFS(BD!$A$3:$A$5001,X$3,BD!$B$3:$B$5001,$A$211,BD!$V$3:$V$5001,"&lt;&gt;")=0,"",SUMIFS(BD!$V$3:$V$5001,BD!$A$3:$A$5001,X$3,BD!$B$3:$B$5001,$A$211)))</f>
        <v/>
      </c>
      <c r="Y231" s="255" t="str">
        <f>IF(Y$3="","",IF(COUNTIFS(BD!$A$3:$A$5001,Y$3,BD!$B$3:$B$5001,$A$211,BD!$V$3:$V$5001,"&lt;&gt;")=0,"",SUMIFS(BD!$V$3:$V$5001,BD!$A$3:$A$5001,Y$3,BD!$B$3:$B$5001,$A$211)))</f>
        <v/>
      </c>
      <c r="Z231" s="255" t="str">
        <f>IF(Z$3="","",IF(COUNTIFS(BD!$A$3:$A$5001,Z$3,BD!$B$3:$B$5001,$A$211,BD!$V$3:$V$5001,"&lt;&gt;")=0,"",SUMIFS(BD!$V$3:$V$5001,BD!$A$3:$A$5001,Z$3,BD!$B$3:$B$5001,$A$211)))</f>
        <v/>
      </c>
      <c r="AA231" s="255" t="str">
        <f>IF(AA$3="","",IF(COUNTIFS(BD!$A$3:$A$5001,AA$3,BD!$B$3:$B$5001,$A$211,BD!$V$3:$V$5001,"&lt;&gt;")=0,"",SUMIFS(BD!$V$3:$V$5001,BD!$A$3:$A$5001,AA$3,BD!$B$3:$B$5001,$A$211)))</f>
        <v/>
      </c>
      <c r="AB231" s="255" t="str">
        <f>IF(AB$3="","",IF(COUNTIFS(BD!$A$3:$A$5001,AB$3,BD!$B$3:$B$5001,$A$211,BD!$V$3:$V$5001,"&lt;&gt;")=0,"",SUMIFS(BD!$V$3:$V$5001,BD!$A$3:$A$5001,AB$3,BD!$B$3:$B$5001,$A$211)))</f>
        <v/>
      </c>
      <c r="AC231" s="255" t="str">
        <f>IF(AC$3="","",IF(COUNTIFS(BD!$A$3:$A$5001,AC$3,BD!$B$3:$B$5001,$A$211,BD!$V$3:$V$5001,"&lt;&gt;")=0,"",SUMIFS(BD!$V$3:$V$5001,BD!$A$3:$A$5001,AC$3,BD!$B$3:$B$5001,$A$211)))</f>
        <v/>
      </c>
      <c r="AD231" s="255" t="str">
        <f>IF(AD$3="","",IF(COUNTIFS(BD!$A$3:$A$5001,AD$3,BD!$B$3:$B$5001,$A$211,BD!$V$3:$V$5001,"&lt;&gt;")=0,"",SUMIFS(BD!$V$3:$V$5001,BD!$A$3:$A$5001,AD$3,BD!$B$3:$B$5001,$A$211)))</f>
        <v/>
      </c>
      <c r="AE231" s="255" t="str">
        <f>IF(AE$3="","",IF(COUNTIFS(BD!$A$3:$A$5001,AE$3,BD!$B$3:$B$5001,$A$211,BD!$V$3:$V$5001,"&lt;&gt;")=0,"",SUMIFS(BD!$V$3:$V$5001,BD!$A$3:$A$5001,AE$3,BD!$B$3:$B$5001,$A$211)))</f>
        <v/>
      </c>
      <c r="AF231" s="255" t="str">
        <f>IF(AF$3="","",IF(COUNTIFS(BD!$A$3:$A$5001,AF$3,BD!$B$3:$B$5001,$A$211,BD!$V$3:$V$5001,"&lt;&gt;")=0,"",SUMIFS(BD!$V$3:$V$5001,BD!$A$3:$A$5001,AF$3,BD!$B$3:$B$5001,$A$211)))</f>
        <v/>
      </c>
      <c r="AG231" s="255" t="str">
        <f>IF(AG$3="","",IF(COUNTIFS(BD!$A$3:$A$5001,AG$3,BD!$B$3:$B$5001,$A$211,BD!$V$3:$V$5001,"&lt;&gt;")=0,"",SUMIFS(BD!$V$3:$V$5001,BD!$A$3:$A$5001,AG$3,BD!$B$3:$B$5001,$A$211)))</f>
        <v/>
      </c>
      <c r="AH231" s="255" t="str">
        <f>IF(AH$3="","",IF(COUNTIFS(BD!$A$3:$A$5001,AH$3,BD!$B$3:$B$5001,$A$211,BD!$V$3:$V$5001,"&lt;&gt;")=0,"",SUMIFS(BD!$V$3:$V$5001,BD!$A$3:$A$5001,AH$3,BD!$B$3:$B$5001,$A$211)))</f>
        <v/>
      </c>
      <c r="AI231" s="255" t="str">
        <f>IF(AI$3="","",IF(COUNTIFS(BD!$A$3:$A$5001,AI$3,BD!$B$3:$B$5001,$A$211,BD!$V$3:$V$5001,"&lt;&gt;")=0,"",SUMIFS(BD!$V$3:$V$5001,BD!$A$3:$A$5001,AI$3,BD!$B$3:$B$5001,$A$211)))</f>
        <v/>
      </c>
      <c r="AJ231" s="256" t="str">
        <f>IF(AJ$3="","",IF(COUNTIFS(BD!$A$3:$A$5001,AJ$3,BD!$B$3:$B$5001,$A$211,BD!$V$3:$V$5001,"&lt;&gt;")=0,"",SUMIFS(BD!$V$3:$V$5001,BD!$A$3:$A$5001,AJ$3,BD!$B$3:$B$5001,$A$211)))</f>
        <v/>
      </c>
      <c r="AK231" s="257" t="str">
        <f>IF(COUNT(F231:AJ231)=0,"",SUM(F231:AJ231))</f>
        <v/>
      </c>
    </row>
    <row r="232" ht="15.75" customHeight="1" hidden="1">
      <c r="A232" s="277"/>
      <c r="B232" s="274"/>
      <c r="C232" s="247" t="inlineStr">
        <is>
          <t xml:space="preserve">Folga</t>
        </is>
      </c>
      <c r="D232" s="248" t="str">
        <f>IFERROR(1/(1/INDEX(BD!$AF$44:$AZ$44,MATCH($A$211,BD!$AF$22:$AZ$22,0))),"")</f>
        <v/>
      </c>
      <c r="E232" s="249"/>
      <c r="F232" s="250" t="str">
        <f>IF(F$3="","",IF(COUNTIFS(BD!$A$3:$A$5001,F$3,BD!$B$3:$B$5001,$A$211,BD!$W$3:$W$5001,"&lt;&gt;")=0,"",SUMIFS(BD!$W$3:$W$5001,BD!$A$3:$A$5001,F$3,BD!$B$3:$B$5001,$A$211)))</f>
        <v/>
      </c>
      <c r="G232" s="251" t="str">
        <f>IF(G$3="","",IF(COUNTIFS(BD!$A$3:$A$5001,G$3,BD!$B$3:$B$5001,$A$211,BD!$W$3:$W$5001,"&lt;&gt;")=0,"",SUMIFS(BD!$W$3:$W$5001,BD!$A$3:$A$5001,G$3,BD!$B$3:$B$5001,$A$211)))</f>
        <v/>
      </c>
      <c r="H232" s="251" t="str">
        <f>IF(H$3="","",IF(COUNTIFS(BD!$A$3:$A$5001,H$3,BD!$B$3:$B$5001,$A$211,BD!$W$3:$W$5001,"&lt;&gt;")=0,"",SUMIFS(BD!$W$3:$W$5001,BD!$A$3:$A$5001,H$3,BD!$B$3:$B$5001,$A$211)))</f>
        <v/>
      </c>
      <c r="I232" s="251" t="str">
        <f>IF(I$3="","",IF(COUNTIFS(BD!$A$3:$A$5001,I$3,BD!$B$3:$B$5001,$A$211,BD!$W$3:$W$5001,"&lt;&gt;")=0,"",SUMIFS(BD!$W$3:$W$5001,BD!$A$3:$A$5001,I$3,BD!$B$3:$B$5001,$A$211)))</f>
        <v/>
      </c>
      <c r="J232" s="251" t="str">
        <f>IF(J$3="","",IF(COUNTIFS(BD!$A$3:$A$5001,J$3,BD!$B$3:$B$5001,$A$211,BD!$W$3:$W$5001,"&lt;&gt;")=0,"",SUMIFS(BD!$W$3:$W$5001,BD!$A$3:$A$5001,J$3,BD!$B$3:$B$5001,$A$211)))</f>
        <v/>
      </c>
      <c r="K232" s="251" t="str">
        <f>IF(K$3="","",IF(COUNTIFS(BD!$A$3:$A$5001,K$3,BD!$B$3:$B$5001,$A$211,BD!$W$3:$W$5001,"&lt;&gt;")=0,"",SUMIFS(BD!$W$3:$W$5001,BD!$A$3:$A$5001,K$3,BD!$B$3:$B$5001,$A$211)))</f>
        <v/>
      </c>
      <c r="L232" s="251" t="str">
        <f>IF(L$3="","",IF(COUNTIFS(BD!$A$3:$A$5001,L$3,BD!$B$3:$B$5001,$A$211,BD!$W$3:$W$5001,"&lt;&gt;")=0,"",SUMIFS(BD!$W$3:$W$5001,BD!$A$3:$A$5001,L$3,BD!$B$3:$B$5001,$A$211)))</f>
        <v/>
      </c>
      <c r="M232" s="251" t="str">
        <f>IF(M$3="","",IF(COUNTIFS(BD!$A$3:$A$5001,M$3,BD!$B$3:$B$5001,$A$211,BD!$W$3:$W$5001,"&lt;&gt;")=0,"",SUMIFS(BD!$W$3:$W$5001,BD!$A$3:$A$5001,M$3,BD!$B$3:$B$5001,$A$211)))</f>
        <v/>
      </c>
      <c r="N232" s="251" t="str">
        <f>IF(N$3="","",IF(COUNTIFS(BD!$A$3:$A$5001,N$3,BD!$B$3:$B$5001,$A$211,BD!$W$3:$W$5001,"&lt;&gt;")=0,"",SUMIFS(BD!$W$3:$W$5001,BD!$A$3:$A$5001,N$3,BD!$B$3:$B$5001,$A$211)))</f>
        <v/>
      </c>
      <c r="O232" s="251" t="str">
        <f>IF(O$3="","",IF(COUNTIFS(BD!$A$3:$A$5001,O$3,BD!$B$3:$B$5001,$A$211,BD!$W$3:$W$5001,"&lt;&gt;")=0,"",SUMIFS(BD!$W$3:$W$5001,BD!$A$3:$A$5001,O$3,BD!$B$3:$B$5001,$A$211)))</f>
        <v/>
      </c>
      <c r="P232" s="251" t="str">
        <f>IF(P$3="","",IF(COUNTIFS(BD!$A$3:$A$5001,P$3,BD!$B$3:$B$5001,$A$211,BD!$W$3:$W$5001,"&lt;&gt;")=0,"",SUMIFS(BD!$W$3:$W$5001,BD!$A$3:$A$5001,P$3,BD!$B$3:$B$5001,$A$211)))</f>
        <v/>
      </c>
      <c r="Q232" s="251" t="str">
        <f>IF(Q$3="","",IF(COUNTIFS(BD!$A$3:$A$5001,Q$3,BD!$B$3:$B$5001,$A$211,BD!$W$3:$W$5001,"&lt;&gt;")=0,"",SUMIFS(BD!$W$3:$W$5001,BD!$A$3:$A$5001,Q$3,BD!$B$3:$B$5001,$A$211)))</f>
        <v/>
      </c>
      <c r="R232" s="251" t="str">
        <f>IF(R$3="","",IF(COUNTIFS(BD!$A$3:$A$5001,R$3,BD!$B$3:$B$5001,$A$211,BD!$W$3:$W$5001,"&lt;&gt;")=0,"",SUMIFS(BD!$W$3:$W$5001,BD!$A$3:$A$5001,R$3,BD!$B$3:$B$5001,$A$211)))</f>
        <v/>
      </c>
      <c r="S232" s="251" t="str">
        <f>IF(S$3="","",IF(COUNTIFS(BD!$A$3:$A$5001,S$3,BD!$B$3:$B$5001,$A$211,BD!$W$3:$W$5001,"&lt;&gt;")=0,"",SUMIFS(BD!$W$3:$W$5001,BD!$A$3:$A$5001,S$3,BD!$B$3:$B$5001,$A$211)))</f>
        <v/>
      </c>
      <c r="T232" s="251" t="str">
        <f>IF(T$3="","",IF(COUNTIFS(BD!$A$3:$A$5001,T$3,BD!$B$3:$B$5001,$A$211,BD!$W$3:$W$5001,"&lt;&gt;")=0,"",SUMIFS(BD!$W$3:$W$5001,BD!$A$3:$A$5001,T$3,BD!$B$3:$B$5001,$A$211)))</f>
        <v/>
      </c>
      <c r="U232" s="251" t="str">
        <f>IF(U$3="","",IF(COUNTIFS(BD!$A$3:$A$5001,U$3,BD!$B$3:$B$5001,$A$211,BD!$W$3:$W$5001,"&lt;&gt;")=0,"",SUMIFS(BD!$W$3:$W$5001,BD!$A$3:$A$5001,U$3,BD!$B$3:$B$5001,$A$211)))</f>
        <v/>
      </c>
      <c r="V232" s="251" t="str">
        <f>IF(V$3="","",IF(COUNTIFS(BD!$A$3:$A$5001,V$3,BD!$B$3:$B$5001,$A$211,BD!$W$3:$W$5001,"&lt;&gt;")=0,"",SUMIFS(BD!$W$3:$W$5001,BD!$A$3:$A$5001,V$3,BD!$B$3:$B$5001,$A$211)))</f>
        <v/>
      </c>
      <c r="W232" s="251" t="str">
        <f>IF(W$3="","",IF(COUNTIFS(BD!$A$3:$A$5001,W$3,BD!$B$3:$B$5001,$A$211,BD!$W$3:$W$5001,"&lt;&gt;")=0,"",SUMIFS(BD!$W$3:$W$5001,BD!$A$3:$A$5001,W$3,BD!$B$3:$B$5001,$A$211)))</f>
        <v/>
      </c>
      <c r="X232" s="251" t="str">
        <f>IF(X$3="","",IF(COUNTIFS(BD!$A$3:$A$5001,X$3,BD!$B$3:$B$5001,$A$211,BD!$W$3:$W$5001,"&lt;&gt;")=0,"",SUMIFS(BD!$W$3:$W$5001,BD!$A$3:$A$5001,X$3,BD!$B$3:$B$5001,$A$211)))</f>
        <v/>
      </c>
      <c r="Y232" s="251" t="str">
        <f>IF(Y$3="","",IF(COUNTIFS(BD!$A$3:$A$5001,Y$3,BD!$B$3:$B$5001,$A$211,BD!$W$3:$W$5001,"&lt;&gt;")=0,"",SUMIFS(BD!$W$3:$W$5001,BD!$A$3:$A$5001,Y$3,BD!$B$3:$B$5001,$A$211)))</f>
        <v/>
      </c>
      <c r="Z232" s="251" t="str">
        <f>IF(Z$3="","",IF(COUNTIFS(BD!$A$3:$A$5001,Z$3,BD!$B$3:$B$5001,$A$211,BD!$W$3:$W$5001,"&lt;&gt;")=0,"",SUMIFS(BD!$W$3:$W$5001,BD!$A$3:$A$5001,Z$3,BD!$B$3:$B$5001,$A$211)))</f>
        <v/>
      </c>
      <c r="AA232" s="251" t="str">
        <f>IF(AA$3="","",IF(COUNTIFS(BD!$A$3:$A$5001,AA$3,BD!$B$3:$B$5001,$A$211,BD!$W$3:$W$5001,"&lt;&gt;")=0,"",SUMIFS(BD!$W$3:$W$5001,BD!$A$3:$A$5001,AA$3,BD!$B$3:$B$5001,$A$211)))</f>
        <v/>
      </c>
      <c r="AB232" s="251" t="str">
        <f>IF(AB$3="","",IF(COUNTIFS(BD!$A$3:$A$5001,AB$3,BD!$B$3:$B$5001,$A$211,BD!$W$3:$W$5001,"&lt;&gt;")=0,"",SUMIFS(BD!$W$3:$W$5001,BD!$A$3:$A$5001,AB$3,BD!$B$3:$B$5001,$A$211)))</f>
        <v/>
      </c>
      <c r="AC232" s="251" t="str">
        <f>IF(AC$3="","",IF(COUNTIFS(BD!$A$3:$A$5001,AC$3,BD!$B$3:$B$5001,$A$211,BD!$W$3:$W$5001,"&lt;&gt;")=0,"",SUMIFS(BD!$W$3:$W$5001,BD!$A$3:$A$5001,AC$3,BD!$B$3:$B$5001,$A$211)))</f>
        <v/>
      </c>
      <c r="AD232" s="251" t="str">
        <f>IF(AD$3="","",IF(COUNTIFS(BD!$A$3:$A$5001,AD$3,BD!$B$3:$B$5001,$A$211,BD!$W$3:$W$5001,"&lt;&gt;")=0,"",SUMIFS(BD!$W$3:$W$5001,BD!$A$3:$A$5001,AD$3,BD!$B$3:$B$5001,$A$211)))</f>
        <v/>
      </c>
      <c r="AE232" s="251" t="str">
        <f>IF(AE$3="","",IF(COUNTIFS(BD!$A$3:$A$5001,AE$3,BD!$B$3:$B$5001,$A$211,BD!$W$3:$W$5001,"&lt;&gt;")=0,"",SUMIFS(BD!$W$3:$W$5001,BD!$A$3:$A$5001,AE$3,BD!$B$3:$B$5001,$A$211)))</f>
        <v/>
      </c>
      <c r="AF232" s="251" t="str">
        <f>IF(AF$3="","",IF(COUNTIFS(BD!$A$3:$A$5001,AF$3,BD!$B$3:$B$5001,$A$211,BD!$W$3:$W$5001,"&lt;&gt;")=0,"",SUMIFS(BD!$W$3:$W$5001,BD!$A$3:$A$5001,AF$3,BD!$B$3:$B$5001,$A$211)))</f>
        <v/>
      </c>
      <c r="AG232" s="251" t="str">
        <f>IF(AG$3="","",IF(COUNTIFS(BD!$A$3:$A$5001,AG$3,BD!$B$3:$B$5001,$A$211,BD!$W$3:$W$5001,"&lt;&gt;")=0,"",SUMIFS(BD!$W$3:$W$5001,BD!$A$3:$A$5001,AG$3,BD!$B$3:$B$5001,$A$211)))</f>
        <v/>
      </c>
      <c r="AH232" s="251" t="str">
        <f>IF(AH$3="","",IF(COUNTIFS(BD!$A$3:$A$5001,AH$3,BD!$B$3:$B$5001,$A$211,BD!$W$3:$W$5001,"&lt;&gt;")=0,"",SUMIFS(BD!$W$3:$W$5001,BD!$A$3:$A$5001,AH$3,BD!$B$3:$B$5001,$A$211)))</f>
        <v/>
      </c>
      <c r="AI232" s="251" t="str">
        <f>IF(AI$3="","",IF(COUNTIFS(BD!$A$3:$A$5001,AI$3,BD!$B$3:$B$5001,$A$211,BD!$W$3:$W$5001,"&lt;&gt;")=0,"",SUMIFS(BD!$W$3:$W$5001,BD!$A$3:$A$5001,AI$3,BD!$B$3:$B$5001,$A$211)))</f>
        <v/>
      </c>
      <c r="AJ232" s="252" t="str">
        <f>IF(AJ$3="","",IF(COUNTIFS(BD!$A$3:$A$5001,AJ$3,BD!$B$3:$B$5001,$A$211,BD!$W$3:$W$5001,"&lt;&gt;")=0,"",SUMIFS(BD!$W$3:$W$5001,BD!$A$3:$A$5001,AJ$3,BD!$B$3:$B$5001,$A$211)))</f>
        <v/>
      </c>
      <c r="AK232" s="253" t="str">
        <f>IF(COUNT(F232:AJ232)=0,"",SUM(F232:AJ232))</f>
        <v/>
      </c>
    </row>
    <row r="233" ht="15.75" customHeight="1" hidden="1">
      <c r="A233" s="277"/>
      <c r="B233" s="274"/>
      <c r="C233" s="247" t="inlineStr">
        <is>
          <t xml:space="preserve">Férias</t>
        </is>
      </c>
      <c r="D233" s="248" t="str">
        <f>IFERROR(1/(1/INDEX(BD!$AF$45:$AZ$45,MATCH($A$211,BD!$AF$22:$AZ$22,0))),"")</f>
        <v/>
      </c>
      <c r="E233" s="249"/>
      <c r="F233" s="250" t="str">
        <f>IF(F$3="","",IF(COUNTIFS(BD!$A$3:$A$5001,F$3,BD!$B$3:$B$5001,$A$211,BD!$X$3:$X$5001,"&lt;&gt;")=0,"",SUMIFS(BD!$X$3:$X$5001,BD!$A$3:$A$5001,F$3,BD!$B$3:$B$5001,$A$211)))</f>
        <v/>
      </c>
      <c r="G233" s="251" t="str">
        <f>IF(G$3="","",IF(COUNTIFS(BD!$A$3:$A$5001,G$3,BD!$B$3:$B$5001,$A$211,BD!$X$3:$X$5001,"&lt;&gt;")=0,"",SUMIFS(BD!$X$3:$X$5001,BD!$A$3:$A$5001,G$3,BD!$B$3:$B$5001,$A$211)))</f>
        <v/>
      </c>
      <c r="H233" s="251" t="str">
        <f>IF(H$3="","",IF(COUNTIFS(BD!$A$3:$A$5001,H$3,BD!$B$3:$B$5001,$A$211,BD!$X$3:$X$5001,"&lt;&gt;")=0,"",SUMIFS(BD!$X$3:$X$5001,BD!$A$3:$A$5001,H$3,BD!$B$3:$B$5001,$A$211)))</f>
        <v/>
      </c>
      <c r="I233" s="251" t="str">
        <f>IF(I$3="","",IF(COUNTIFS(BD!$A$3:$A$5001,I$3,BD!$B$3:$B$5001,$A$211,BD!$X$3:$X$5001,"&lt;&gt;")=0,"",SUMIFS(BD!$X$3:$X$5001,BD!$A$3:$A$5001,I$3,BD!$B$3:$B$5001,$A$211)))</f>
        <v/>
      </c>
      <c r="J233" s="251" t="str">
        <f>IF(J$3="","",IF(COUNTIFS(BD!$A$3:$A$5001,J$3,BD!$B$3:$B$5001,$A$211,BD!$X$3:$X$5001,"&lt;&gt;")=0,"",SUMIFS(BD!$X$3:$X$5001,BD!$A$3:$A$5001,J$3,BD!$B$3:$B$5001,$A$211)))</f>
        <v/>
      </c>
      <c r="K233" s="251" t="str">
        <f>IF(K$3="","",IF(COUNTIFS(BD!$A$3:$A$5001,K$3,BD!$B$3:$B$5001,$A$211,BD!$X$3:$X$5001,"&lt;&gt;")=0,"",SUMIFS(BD!$X$3:$X$5001,BD!$A$3:$A$5001,K$3,BD!$B$3:$B$5001,$A$211)))</f>
        <v/>
      </c>
      <c r="L233" s="251" t="str">
        <f>IF(L$3="","",IF(COUNTIFS(BD!$A$3:$A$5001,L$3,BD!$B$3:$B$5001,$A$211,BD!$X$3:$X$5001,"&lt;&gt;")=0,"",SUMIFS(BD!$X$3:$X$5001,BD!$A$3:$A$5001,L$3,BD!$B$3:$B$5001,$A$211)))</f>
        <v/>
      </c>
      <c r="M233" s="251" t="str">
        <f>IF(M$3="","",IF(COUNTIFS(BD!$A$3:$A$5001,M$3,BD!$B$3:$B$5001,$A$211,BD!$X$3:$X$5001,"&lt;&gt;")=0,"",SUMIFS(BD!$X$3:$X$5001,BD!$A$3:$A$5001,M$3,BD!$B$3:$B$5001,$A$211)))</f>
        <v/>
      </c>
      <c r="N233" s="251" t="str">
        <f>IF(N$3="","",IF(COUNTIFS(BD!$A$3:$A$5001,N$3,BD!$B$3:$B$5001,$A$211,BD!$X$3:$X$5001,"&lt;&gt;")=0,"",SUMIFS(BD!$X$3:$X$5001,BD!$A$3:$A$5001,N$3,BD!$B$3:$B$5001,$A$211)))</f>
        <v/>
      </c>
      <c r="O233" s="251" t="str">
        <f>IF(O$3="","",IF(COUNTIFS(BD!$A$3:$A$5001,O$3,BD!$B$3:$B$5001,$A$211,BD!$X$3:$X$5001,"&lt;&gt;")=0,"",SUMIFS(BD!$X$3:$X$5001,BD!$A$3:$A$5001,O$3,BD!$B$3:$B$5001,$A$211)))</f>
        <v/>
      </c>
      <c r="P233" s="251" t="str">
        <f>IF(P$3="","",IF(COUNTIFS(BD!$A$3:$A$5001,P$3,BD!$B$3:$B$5001,$A$211,BD!$X$3:$X$5001,"&lt;&gt;")=0,"",SUMIFS(BD!$X$3:$X$5001,BD!$A$3:$A$5001,P$3,BD!$B$3:$B$5001,$A$211)))</f>
        <v/>
      </c>
      <c r="Q233" s="251" t="str">
        <f>IF(Q$3="","",IF(COUNTIFS(BD!$A$3:$A$5001,Q$3,BD!$B$3:$B$5001,$A$211,BD!$X$3:$X$5001,"&lt;&gt;")=0,"",SUMIFS(BD!$X$3:$X$5001,BD!$A$3:$A$5001,Q$3,BD!$B$3:$B$5001,$A$211)))</f>
        <v/>
      </c>
      <c r="R233" s="251" t="str">
        <f>IF(R$3="","",IF(COUNTIFS(BD!$A$3:$A$5001,R$3,BD!$B$3:$B$5001,$A$211,BD!$X$3:$X$5001,"&lt;&gt;")=0,"",SUMIFS(BD!$X$3:$X$5001,BD!$A$3:$A$5001,R$3,BD!$B$3:$B$5001,$A$211)))</f>
        <v/>
      </c>
      <c r="S233" s="251" t="str">
        <f>IF(S$3="","",IF(COUNTIFS(BD!$A$3:$A$5001,S$3,BD!$B$3:$B$5001,$A$211,BD!$X$3:$X$5001,"&lt;&gt;")=0,"",SUMIFS(BD!$X$3:$X$5001,BD!$A$3:$A$5001,S$3,BD!$B$3:$B$5001,$A$211)))</f>
        <v/>
      </c>
      <c r="T233" s="251" t="str">
        <f>IF(T$3="","",IF(COUNTIFS(BD!$A$3:$A$5001,T$3,BD!$B$3:$B$5001,$A$211,BD!$X$3:$X$5001,"&lt;&gt;")=0,"",SUMIFS(BD!$X$3:$X$5001,BD!$A$3:$A$5001,T$3,BD!$B$3:$B$5001,$A$211)))</f>
        <v/>
      </c>
      <c r="U233" s="251" t="str">
        <f>IF(U$3="","",IF(COUNTIFS(BD!$A$3:$A$5001,U$3,BD!$B$3:$B$5001,$A$211,BD!$X$3:$X$5001,"&lt;&gt;")=0,"",SUMIFS(BD!$X$3:$X$5001,BD!$A$3:$A$5001,U$3,BD!$B$3:$B$5001,$A$211)))</f>
        <v/>
      </c>
      <c r="V233" s="251" t="str">
        <f>IF(V$3="","",IF(COUNTIFS(BD!$A$3:$A$5001,V$3,BD!$B$3:$B$5001,$A$211,BD!$X$3:$X$5001,"&lt;&gt;")=0,"",SUMIFS(BD!$X$3:$X$5001,BD!$A$3:$A$5001,V$3,BD!$B$3:$B$5001,$A$211)))</f>
        <v/>
      </c>
      <c r="W233" s="251" t="str">
        <f>IF(W$3="","",IF(COUNTIFS(BD!$A$3:$A$5001,W$3,BD!$B$3:$B$5001,$A$211,BD!$X$3:$X$5001,"&lt;&gt;")=0,"",SUMIFS(BD!$X$3:$X$5001,BD!$A$3:$A$5001,W$3,BD!$B$3:$B$5001,$A$211)))</f>
        <v/>
      </c>
      <c r="X233" s="251" t="str">
        <f>IF(X$3="","",IF(COUNTIFS(BD!$A$3:$A$5001,X$3,BD!$B$3:$B$5001,$A$211,BD!$X$3:$X$5001,"&lt;&gt;")=0,"",SUMIFS(BD!$X$3:$X$5001,BD!$A$3:$A$5001,X$3,BD!$B$3:$B$5001,$A$211)))</f>
        <v/>
      </c>
      <c r="Y233" s="251" t="str">
        <f>IF(Y$3="","",IF(COUNTIFS(BD!$A$3:$A$5001,Y$3,BD!$B$3:$B$5001,$A$211,BD!$X$3:$X$5001,"&lt;&gt;")=0,"",SUMIFS(BD!$X$3:$X$5001,BD!$A$3:$A$5001,Y$3,BD!$B$3:$B$5001,$A$211)))</f>
        <v/>
      </c>
      <c r="Z233" s="251" t="str">
        <f>IF(Z$3="","",IF(COUNTIFS(BD!$A$3:$A$5001,Z$3,BD!$B$3:$B$5001,$A$211,BD!$X$3:$X$5001,"&lt;&gt;")=0,"",SUMIFS(BD!$X$3:$X$5001,BD!$A$3:$A$5001,Z$3,BD!$B$3:$B$5001,$A$211)))</f>
        <v/>
      </c>
      <c r="AA233" s="251" t="str">
        <f>IF(AA$3="","",IF(COUNTIFS(BD!$A$3:$A$5001,AA$3,BD!$B$3:$B$5001,$A$211,BD!$X$3:$X$5001,"&lt;&gt;")=0,"",SUMIFS(BD!$X$3:$X$5001,BD!$A$3:$A$5001,AA$3,BD!$B$3:$B$5001,$A$211)))</f>
        <v/>
      </c>
      <c r="AB233" s="251" t="str">
        <f>IF(AB$3="","",IF(COUNTIFS(BD!$A$3:$A$5001,AB$3,BD!$B$3:$B$5001,$A$211,BD!$X$3:$X$5001,"&lt;&gt;")=0,"",SUMIFS(BD!$X$3:$X$5001,BD!$A$3:$A$5001,AB$3,BD!$B$3:$B$5001,$A$211)))</f>
        <v/>
      </c>
      <c r="AC233" s="251" t="str">
        <f>IF(AC$3="","",IF(COUNTIFS(BD!$A$3:$A$5001,AC$3,BD!$B$3:$B$5001,$A$211,BD!$X$3:$X$5001,"&lt;&gt;")=0,"",SUMIFS(BD!$X$3:$X$5001,BD!$A$3:$A$5001,AC$3,BD!$B$3:$B$5001,$A$211)))</f>
        <v/>
      </c>
      <c r="AD233" s="251" t="str">
        <f>IF(AD$3="","",IF(COUNTIFS(BD!$A$3:$A$5001,AD$3,BD!$B$3:$B$5001,$A$211,BD!$X$3:$X$5001,"&lt;&gt;")=0,"",SUMIFS(BD!$X$3:$X$5001,BD!$A$3:$A$5001,AD$3,BD!$B$3:$B$5001,$A$211)))</f>
        <v/>
      </c>
      <c r="AE233" s="251" t="str">
        <f>IF(AE$3="","",IF(COUNTIFS(BD!$A$3:$A$5001,AE$3,BD!$B$3:$B$5001,$A$211,BD!$X$3:$X$5001,"&lt;&gt;")=0,"",SUMIFS(BD!$X$3:$X$5001,BD!$A$3:$A$5001,AE$3,BD!$B$3:$B$5001,$A$211)))</f>
        <v/>
      </c>
      <c r="AF233" s="251" t="str">
        <f>IF(AF$3="","",IF(COUNTIFS(BD!$A$3:$A$5001,AF$3,BD!$B$3:$B$5001,$A$211,BD!$X$3:$X$5001,"&lt;&gt;")=0,"",SUMIFS(BD!$X$3:$X$5001,BD!$A$3:$A$5001,AF$3,BD!$B$3:$B$5001,$A$211)))</f>
        <v/>
      </c>
      <c r="AG233" s="251" t="str">
        <f>IF(AG$3="","",IF(COUNTIFS(BD!$A$3:$A$5001,AG$3,BD!$B$3:$B$5001,$A$211,BD!$X$3:$X$5001,"&lt;&gt;")=0,"",SUMIFS(BD!$X$3:$X$5001,BD!$A$3:$A$5001,AG$3,BD!$B$3:$B$5001,$A$211)))</f>
        <v/>
      </c>
      <c r="AH233" s="251" t="str">
        <f>IF(AH$3="","",IF(COUNTIFS(BD!$A$3:$A$5001,AH$3,BD!$B$3:$B$5001,$A$211,BD!$X$3:$X$5001,"&lt;&gt;")=0,"",SUMIFS(BD!$X$3:$X$5001,BD!$A$3:$A$5001,AH$3,BD!$B$3:$B$5001,$A$211)))</f>
        <v/>
      </c>
      <c r="AI233" s="251" t="str">
        <f>IF(AI$3="","",IF(COUNTIFS(BD!$A$3:$A$5001,AI$3,BD!$B$3:$B$5001,$A$211,BD!$X$3:$X$5001,"&lt;&gt;")=0,"",SUMIFS(BD!$X$3:$X$5001,BD!$A$3:$A$5001,AI$3,BD!$B$3:$B$5001,$A$211)))</f>
        <v/>
      </c>
      <c r="AJ233" s="252" t="str">
        <f>IF(AJ$3="","",IF(COUNTIFS(BD!$A$3:$A$5001,AJ$3,BD!$B$3:$B$5001,$A$211,BD!$X$3:$X$5001,"&lt;&gt;")=0,"",SUMIFS(BD!$X$3:$X$5001,BD!$A$3:$A$5001,AJ$3,BD!$B$3:$B$5001,$A$211)))</f>
        <v/>
      </c>
      <c r="AK233" s="253" t="str">
        <f>IF(COUNT(F233:AJ233)=0,"",SUM(F233:AJ233))</f>
        <v/>
      </c>
    </row>
    <row r="234" ht="15.75" customHeight="1" hidden="1">
      <c r="A234" s="277"/>
      <c r="B234" s="274"/>
      <c r="C234" s="247" t="inlineStr">
        <is>
          <t xml:space="preserve">Desligamento</t>
        </is>
      </c>
      <c r="D234" s="248" t="str">
        <f>IFERROR(1/(1/INDEX(BD!$AF$46:$AZ$46,MATCH($A$211,BD!$AF$22:$AZ$22,0))),"")</f>
        <v/>
      </c>
      <c r="E234" s="249"/>
      <c r="F234" s="250" t="str">
        <f>IF(F$3="","",IF(COUNTIFS(BD!$A$3:$A$5001,F$3,BD!$B$3:$B$5001,$A$211,BD!$Y$3:$Y$5001,"&lt;&gt;")=0,"",SUMIFS(BD!$Y$3:$Y$5001,BD!$A$3:$A$5001,F$3,BD!$B$3:$B$5001,$A$211)))</f>
        <v/>
      </c>
      <c r="G234" s="251" t="str">
        <f>IF(G$3="","",IF(COUNTIFS(BD!$A$3:$A$5001,G$3,BD!$B$3:$B$5001,$A$211,BD!$Y$3:$Y$5001,"&lt;&gt;")=0,"",SUMIFS(BD!$Y$3:$Y$5001,BD!$A$3:$A$5001,G$3,BD!$B$3:$B$5001,$A$211)))</f>
        <v/>
      </c>
      <c r="H234" s="251" t="str">
        <f>IF(H$3="","",IF(COUNTIFS(BD!$A$3:$A$5001,H$3,BD!$B$3:$B$5001,$A$211,BD!$Y$3:$Y$5001,"&lt;&gt;")=0,"",SUMIFS(BD!$Y$3:$Y$5001,BD!$A$3:$A$5001,H$3,BD!$B$3:$B$5001,$A$211)))</f>
        <v/>
      </c>
      <c r="I234" s="251" t="str">
        <f>IF(I$3="","",IF(COUNTIFS(BD!$A$3:$A$5001,I$3,BD!$B$3:$B$5001,$A$211,BD!$Y$3:$Y$5001,"&lt;&gt;")=0,"",SUMIFS(BD!$Y$3:$Y$5001,BD!$A$3:$A$5001,I$3,BD!$B$3:$B$5001,$A$211)))</f>
        <v/>
      </c>
      <c r="J234" s="251" t="str">
        <f>IF(J$3="","",IF(COUNTIFS(BD!$A$3:$A$5001,J$3,BD!$B$3:$B$5001,$A$211,BD!$Y$3:$Y$5001,"&lt;&gt;")=0,"",SUMIFS(BD!$Y$3:$Y$5001,BD!$A$3:$A$5001,J$3,BD!$B$3:$B$5001,$A$211)))</f>
        <v/>
      </c>
      <c r="K234" s="251" t="str">
        <f>IF(K$3="","",IF(COUNTIFS(BD!$A$3:$A$5001,K$3,BD!$B$3:$B$5001,$A$211,BD!$Y$3:$Y$5001,"&lt;&gt;")=0,"",SUMIFS(BD!$Y$3:$Y$5001,BD!$A$3:$A$5001,K$3,BD!$B$3:$B$5001,$A$211)))</f>
        <v/>
      </c>
      <c r="L234" s="251" t="str">
        <f>IF(L$3="","",IF(COUNTIFS(BD!$A$3:$A$5001,L$3,BD!$B$3:$B$5001,$A$211,BD!$Y$3:$Y$5001,"&lt;&gt;")=0,"",SUMIFS(BD!$Y$3:$Y$5001,BD!$A$3:$A$5001,L$3,BD!$B$3:$B$5001,$A$211)))</f>
        <v/>
      </c>
      <c r="M234" s="251" t="str">
        <f>IF(M$3="","",IF(COUNTIFS(BD!$A$3:$A$5001,M$3,BD!$B$3:$B$5001,$A$211,BD!$Y$3:$Y$5001,"&lt;&gt;")=0,"",SUMIFS(BD!$Y$3:$Y$5001,BD!$A$3:$A$5001,M$3,BD!$B$3:$B$5001,$A$211)))</f>
        <v/>
      </c>
      <c r="N234" s="251" t="str">
        <f>IF(N$3="","",IF(COUNTIFS(BD!$A$3:$A$5001,N$3,BD!$B$3:$B$5001,$A$211,BD!$Y$3:$Y$5001,"&lt;&gt;")=0,"",SUMIFS(BD!$Y$3:$Y$5001,BD!$A$3:$A$5001,N$3,BD!$B$3:$B$5001,$A$211)))</f>
        <v/>
      </c>
      <c r="O234" s="251" t="str">
        <f>IF(O$3="","",IF(COUNTIFS(BD!$A$3:$A$5001,O$3,BD!$B$3:$B$5001,$A$211,BD!$Y$3:$Y$5001,"&lt;&gt;")=0,"",SUMIFS(BD!$Y$3:$Y$5001,BD!$A$3:$A$5001,O$3,BD!$B$3:$B$5001,$A$211)))</f>
        <v/>
      </c>
      <c r="P234" s="251" t="str">
        <f>IF(P$3="","",IF(COUNTIFS(BD!$A$3:$A$5001,P$3,BD!$B$3:$B$5001,$A$211,BD!$Y$3:$Y$5001,"&lt;&gt;")=0,"",SUMIFS(BD!$Y$3:$Y$5001,BD!$A$3:$A$5001,P$3,BD!$B$3:$B$5001,$A$211)))</f>
        <v/>
      </c>
      <c r="Q234" s="251" t="str">
        <f>IF(Q$3="","",IF(COUNTIFS(BD!$A$3:$A$5001,Q$3,BD!$B$3:$B$5001,$A$211,BD!$Y$3:$Y$5001,"&lt;&gt;")=0,"",SUMIFS(BD!$Y$3:$Y$5001,BD!$A$3:$A$5001,Q$3,BD!$B$3:$B$5001,$A$211)))</f>
        <v/>
      </c>
      <c r="R234" s="251" t="str">
        <f>IF(R$3="","",IF(COUNTIFS(BD!$A$3:$A$5001,R$3,BD!$B$3:$B$5001,$A$211,BD!$Y$3:$Y$5001,"&lt;&gt;")=0,"",SUMIFS(BD!$Y$3:$Y$5001,BD!$A$3:$A$5001,R$3,BD!$B$3:$B$5001,$A$211)))</f>
        <v/>
      </c>
      <c r="S234" s="251" t="str">
        <f>IF(S$3="","",IF(COUNTIFS(BD!$A$3:$A$5001,S$3,BD!$B$3:$B$5001,$A$211,BD!$Y$3:$Y$5001,"&lt;&gt;")=0,"",SUMIFS(BD!$Y$3:$Y$5001,BD!$A$3:$A$5001,S$3,BD!$B$3:$B$5001,$A$211)))</f>
        <v/>
      </c>
      <c r="T234" s="251" t="str">
        <f>IF(T$3="","",IF(COUNTIFS(BD!$A$3:$A$5001,T$3,BD!$B$3:$B$5001,$A$211,BD!$Y$3:$Y$5001,"&lt;&gt;")=0,"",SUMIFS(BD!$Y$3:$Y$5001,BD!$A$3:$A$5001,T$3,BD!$B$3:$B$5001,$A$211)))</f>
        <v/>
      </c>
      <c r="U234" s="251" t="str">
        <f>IF(U$3="","",IF(COUNTIFS(BD!$A$3:$A$5001,U$3,BD!$B$3:$B$5001,$A$211,BD!$Y$3:$Y$5001,"&lt;&gt;")=0,"",SUMIFS(BD!$Y$3:$Y$5001,BD!$A$3:$A$5001,U$3,BD!$B$3:$B$5001,$A$211)))</f>
        <v/>
      </c>
      <c r="V234" s="251" t="str">
        <f>IF(V$3="","",IF(COUNTIFS(BD!$A$3:$A$5001,V$3,BD!$B$3:$B$5001,$A$211,BD!$Y$3:$Y$5001,"&lt;&gt;")=0,"",SUMIFS(BD!$Y$3:$Y$5001,BD!$A$3:$A$5001,V$3,BD!$B$3:$B$5001,$A$211)))</f>
        <v/>
      </c>
      <c r="W234" s="251" t="str">
        <f>IF(W$3="","",IF(COUNTIFS(BD!$A$3:$A$5001,W$3,BD!$B$3:$B$5001,$A$211,BD!$Y$3:$Y$5001,"&lt;&gt;")=0,"",SUMIFS(BD!$Y$3:$Y$5001,BD!$A$3:$A$5001,W$3,BD!$B$3:$B$5001,$A$211)))</f>
        <v/>
      </c>
      <c r="X234" s="251" t="str">
        <f>IF(X$3="","",IF(COUNTIFS(BD!$A$3:$A$5001,X$3,BD!$B$3:$B$5001,$A$211,BD!$Y$3:$Y$5001,"&lt;&gt;")=0,"",SUMIFS(BD!$Y$3:$Y$5001,BD!$A$3:$A$5001,X$3,BD!$B$3:$B$5001,$A$211)))</f>
        <v/>
      </c>
      <c r="Y234" s="251" t="str">
        <f>IF(Y$3="","",IF(COUNTIFS(BD!$A$3:$A$5001,Y$3,BD!$B$3:$B$5001,$A$211,BD!$Y$3:$Y$5001,"&lt;&gt;")=0,"",SUMIFS(BD!$Y$3:$Y$5001,BD!$A$3:$A$5001,Y$3,BD!$B$3:$B$5001,$A$211)))</f>
        <v/>
      </c>
      <c r="Z234" s="251" t="str">
        <f>IF(Z$3="","",IF(COUNTIFS(BD!$A$3:$A$5001,Z$3,BD!$B$3:$B$5001,$A$211,BD!$Y$3:$Y$5001,"&lt;&gt;")=0,"",SUMIFS(BD!$Y$3:$Y$5001,BD!$A$3:$A$5001,Z$3,BD!$B$3:$B$5001,$A$211)))</f>
        <v/>
      </c>
      <c r="AA234" s="251" t="str">
        <f>IF(AA$3="","",IF(COUNTIFS(BD!$A$3:$A$5001,AA$3,BD!$B$3:$B$5001,$A$211,BD!$Y$3:$Y$5001,"&lt;&gt;")=0,"",SUMIFS(BD!$Y$3:$Y$5001,BD!$A$3:$A$5001,AA$3,BD!$B$3:$B$5001,$A$211)))</f>
        <v/>
      </c>
      <c r="AB234" s="251" t="str">
        <f>IF(AB$3="","",IF(COUNTIFS(BD!$A$3:$A$5001,AB$3,BD!$B$3:$B$5001,$A$211,BD!$Y$3:$Y$5001,"&lt;&gt;")=0,"",SUMIFS(BD!$Y$3:$Y$5001,BD!$A$3:$A$5001,AB$3,BD!$B$3:$B$5001,$A$211)))</f>
        <v/>
      </c>
      <c r="AC234" s="251" t="str">
        <f>IF(AC$3="","",IF(COUNTIFS(BD!$A$3:$A$5001,AC$3,BD!$B$3:$B$5001,$A$211,BD!$Y$3:$Y$5001,"&lt;&gt;")=0,"",SUMIFS(BD!$Y$3:$Y$5001,BD!$A$3:$A$5001,AC$3,BD!$B$3:$B$5001,$A$211)))</f>
        <v/>
      </c>
      <c r="AD234" s="251" t="str">
        <f>IF(AD$3="","",IF(COUNTIFS(BD!$A$3:$A$5001,AD$3,BD!$B$3:$B$5001,$A$211,BD!$Y$3:$Y$5001,"&lt;&gt;")=0,"",SUMIFS(BD!$Y$3:$Y$5001,BD!$A$3:$A$5001,AD$3,BD!$B$3:$B$5001,$A$211)))</f>
        <v/>
      </c>
      <c r="AE234" s="251" t="str">
        <f>IF(AE$3="","",IF(COUNTIFS(BD!$A$3:$A$5001,AE$3,BD!$B$3:$B$5001,$A$211,BD!$Y$3:$Y$5001,"&lt;&gt;")=0,"",SUMIFS(BD!$Y$3:$Y$5001,BD!$A$3:$A$5001,AE$3,BD!$B$3:$B$5001,$A$211)))</f>
        <v/>
      </c>
      <c r="AF234" s="251" t="str">
        <f>IF(AF$3="","",IF(COUNTIFS(BD!$A$3:$A$5001,AF$3,BD!$B$3:$B$5001,$A$211,BD!$Y$3:$Y$5001,"&lt;&gt;")=0,"",SUMIFS(BD!$Y$3:$Y$5001,BD!$A$3:$A$5001,AF$3,BD!$B$3:$B$5001,$A$211)))</f>
        <v/>
      </c>
      <c r="AG234" s="251" t="str">
        <f>IF(AG$3="","",IF(COUNTIFS(BD!$A$3:$A$5001,AG$3,BD!$B$3:$B$5001,$A$211,BD!$Y$3:$Y$5001,"&lt;&gt;")=0,"",SUMIFS(BD!$Y$3:$Y$5001,BD!$A$3:$A$5001,AG$3,BD!$B$3:$B$5001,$A$211)))</f>
        <v/>
      </c>
      <c r="AH234" s="251" t="str">
        <f>IF(AH$3="","",IF(COUNTIFS(BD!$A$3:$A$5001,AH$3,BD!$B$3:$B$5001,$A$211,BD!$Y$3:$Y$5001,"&lt;&gt;")=0,"",SUMIFS(BD!$Y$3:$Y$5001,BD!$A$3:$A$5001,AH$3,BD!$B$3:$B$5001,$A$211)))</f>
        <v/>
      </c>
      <c r="AI234" s="251" t="str">
        <f>IF(AI$3="","",IF(COUNTIFS(BD!$A$3:$A$5001,AI$3,BD!$B$3:$B$5001,$A$211,BD!$Y$3:$Y$5001,"&lt;&gt;")=0,"",SUMIFS(BD!$Y$3:$Y$5001,BD!$A$3:$A$5001,AI$3,BD!$B$3:$B$5001,$A$211)))</f>
        <v/>
      </c>
      <c r="AJ234" s="252" t="str">
        <f>IF(AJ$3="","",IF(COUNTIFS(BD!$A$3:$A$5001,AJ$3,BD!$B$3:$B$5001,$A$211,BD!$Y$3:$Y$5001,"&lt;&gt;")=0,"",SUMIFS(BD!$Y$3:$Y$5001,BD!$A$3:$A$5001,AJ$3,BD!$B$3:$B$5001,$A$211)))</f>
        <v/>
      </c>
      <c r="AK234" s="253" t="str">
        <f>IF(COUNT(F234:AJ234)=0,"",SUM(F234:AJ234))</f>
        <v/>
      </c>
    </row>
    <row r="235" ht="15.75" customHeight="1" hidden="1">
      <c r="A235" s="277"/>
      <c r="B235" s="274"/>
      <c r="C235" s="247" t="inlineStr">
        <is>
          <t xml:space="preserve">Desvios Comportamentais</t>
        </is>
      </c>
      <c r="D235" s="248" t="str">
        <f>IFERROR(1/(1/INDEX(BD!$AF$47:$AZ$47,MATCH($A$211,BD!$AF$22:$AZ$22,0))),"")</f>
        <v/>
      </c>
      <c r="E235" s="249"/>
      <c r="F235" s="250" t="str">
        <f>IF(F$3="","",IF(COUNTIFS(BD!$A$3:$A$5001,F$3,BD!$B$3:$B$5001,$A$211,BD!$Z$3:$Z$5001,"&lt;&gt;")=0,"",SUMIFS(BD!$Z$3:$Z$5001,BD!$A$3:$A$5001,F$3,BD!$B$3:$B$5001,$A$211)))</f>
        <v/>
      </c>
      <c r="G235" s="251" t="str">
        <f>IF(G$3="","",IF(COUNTIFS(BD!$A$3:$A$5001,G$3,BD!$B$3:$B$5001,$A$211,BD!$Z$3:$Z$5001,"&lt;&gt;")=0,"",SUMIFS(BD!$Z$3:$Z$5001,BD!$A$3:$A$5001,G$3,BD!$B$3:$B$5001,$A$211)))</f>
        <v/>
      </c>
      <c r="H235" s="251" t="str">
        <f>IF(H$3="","",IF(COUNTIFS(BD!$A$3:$A$5001,H$3,BD!$B$3:$B$5001,$A$211,BD!$Z$3:$Z$5001,"&lt;&gt;")=0,"",SUMIFS(BD!$Z$3:$Z$5001,BD!$A$3:$A$5001,H$3,BD!$B$3:$B$5001,$A$211)))</f>
        <v/>
      </c>
      <c r="I235" s="251" t="str">
        <f>IF(I$3="","",IF(COUNTIFS(BD!$A$3:$A$5001,I$3,BD!$B$3:$B$5001,$A$211,BD!$Z$3:$Z$5001,"&lt;&gt;")=0,"",SUMIFS(BD!$Z$3:$Z$5001,BD!$A$3:$A$5001,I$3,BD!$B$3:$B$5001,$A$211)))</f>
        <v/>
      </c>
      <c r="J235" s="251" t="str">
        <f>IF(J$3="","",IF(COUNTIFS(BD!$A$3:$A$5001,J$3,BD!$B$3:$B$5001,$A$211,BD!$Z$3:$Z$5001,"&lt;&gt;")=0,"",SUMIFS(BD!$Z$3:$Z$5001,BD!$A$3:$A$5001,J$3,BD!$B$3:$B$5001,$A$211)))</f>
        <v/>
      </c>
      <c r="K235" s="251" t="str">
        <f>IF(K$3="","",IF(COUNTIFS(BD!$A$3:$A$5001,K$3,BD!$B$3:$B$5001,$A$211,BD!$Z$3:$Z$5001,"&lt;&gt;")=0,"",SUMIFS(BD!$Z$3:$Z$5001,BD!$A$3:$A$5001,K$3,BD!$B$3:$B$5001,$A$211)))</f>
        <v/>
      </c>
      <c r="L235" s="251" t="str">
        <f>IF(L$3="","",IF(COUNTIFS(BD!$A$3:$A$5001,L$3,BD!$B$3:$B$5001,$A$211,BD!$Z$3:$Z$5001,"&lt;&gt;")=0,"",SUMIFS(BD!$Z$3:$Z$5001,BD!$A$3:$A$5001,L$3,BD!$B$3:$B$5001,$A$211)))</f>
        <v/>
      </c>
      <c r="M235" s="251" t="str">
        <f>IF(M$3="","",IF(COUNTIFS(BD!$A$3:$A$5001,M$3,BD!$B$3:$B$5001,$A$211,BD!$Z$3:$Z$5001,"&lt;&gt;")=0,"",SUMIFS(BD!$Z$3:$Z$5001,BD!$A$3:$A$5001,M$3,BD!$B$3:$B$5001,$A$211)))</f>
        <v/>
      </c>
      <c r="N235" s="251" t="str">
        <f>IF(N$3="","",IF(COUNTIFS(BD!$A$3:$A$5001,N$3,BD!$B$3:$B$5001,$A$211,BD!$Z$3:$Z$5001,"&lt;&gt;")=0,"",SUMIFS(BD!$Z$3:$Z$5001,BD!$A$3:$A$5001,N$3,BD!$B$3:$B$5001,$A$211)))</f>
        <v/>
      </c>
      <c r="O235" s="251" t="str">
        <f>IF(O$3="","",IF(COUNTIFS(BD!$A$3:$A$5001,O$3,BD!$B$3:$B$5001,$A$211,BD!$Z$3:$Z$5001,"&lt;&gt;")=0,"",SUMIFS(BD!$Z$3:$Z$5001,BD!$A$3:$A$5001,O$3,BD!$B$3:$B$5001,$A$211)))</f>
        <v/>
      </c>
      <c r="P235" s="251" t="str">
        <f>IF(P$3="","",IF(COUNTIFS(BD!$A$3:$A$5001,P$3,BD!$B$3:$B$5001,$A$211,BD!$Z$3:$Z$5001,"&lt;&gt;")=0,"",SUMIFS(BD!$Z$3:$Z$5001,BD!$A$3:$A$5001,P$3,BD!$B$3:$B$5001,$A$211)))</f>
        <v/>
      </c>
      <c r="Q235" s="251" t="str">
        <f>IF(Q$3="","",IF(COUNTIFS(BD!$A$3:$A$5001,Q$3,BD!$B$3:$B$5001,$A$211,BD!$Z$3:$Z$5001,"&lt;&gt;")=0,"",SUMIFS(BD!$Z$3:$Z$5001,BD!$A$3:$A$5001,Q$3,BD!$B$3:$B$5001,$A$211)))</f>
        <v/>
      </c>
      <c r="R235" s="251" t="str">
        <f>IF(R$3="","",IF(COUNTIFS(BD!$A$3:$A$5001,R$3,BD!$B$3:$B$5001,$A$211,BD!$Z$3:$Z$5001,"&lt;&gt;")=0,"",SUMIFS(BD!$Z$3:$Z$5001,BD!$A$3:$A$5001,R$3,BD!$B$3:$B$5001,$A$211)))</f>
        <v/>
      </c>
      <c r="S235" s="251" t="str">
        <f>IF(S$3="","",IF(COUNTIFS(BD!$A$3:$A$5001,S$3,BD!$B$3:$B$5001,$A$211,BD!$Z$3:$Z$5001,"&lt;&gt;")=0,"",SUMIFS(BD!$Z$3:$Z$5001,BD!$A$3:$A$5001,S$3,BD!$B$3:$B$5001,$A$211)))</f>
        <v/>
      </c>
      <c r="T235" s="251" t="str">
        <f>IF(T$3="","",IF(COUNTIFS(BD!$A$3:$A$5001,T$3,BD!$B$3:$B$5001,$A$211,BD!$Z$3:$Z$5001,"&lt;&gt;")=0,"",SUMIFS(BD!$Z$3:$Z$5001,BD!$A$3:$A$5001,T$3,BD!$B$3:$B$5001,$A$211)))</f>
        <v/>
      </c>
      <c r="U235" s="251" t="str">
        <f>IF(U$3="","",IF(COUNTIFS(BD!$A$3:$A$5001,U$3,BD!$B$3:$B$5001,$A$211,BD!$Z$3:$Z$5001,"&lt;&gt;")=0,"",SUMIFS(BD!$Z$3:$Z$5001,BD!$A$3:$A$5001,U$3,BD!$B$3:$B$5001,$A$211)))</f>
        <v/>
      </c>
      <c r="V235" s="251" t="str">
        <f>IF(V$3="","",IF(COUNTIFS(BD!$A$3:$A$5001,V$3,BD!$B$3:$B$5001,$A$211,BD!$Z$3:$Z$5001,"&lt;&gt;")=0,"",SUMIFS(BD!$Z$3:$Z$5001,BD!$A$3:$A$5001,V$3,BD!$B$3:$B$5001,$A$211)))</f>
        <v/>
      </c>
      <c r="W235" s="251" t="str">
        <f>IF(W$3="","",IF(COUNTIFS(BD!$A$3:$A$5001,W$3,BD!$B$3:$B$5001,$A$211,BD!$Z$3:$Z$5001,"&lt;&gt;")=0,"",SUMIFS(BD!$Z$3:$Z$5001,BD!$A$3:$A$5001,W$3,BD!$B$3:$B$5001,$A$211)))</f>
        <v/>
      </c>
      <c r="X235" s="251" t="str">
        <f>IF(X$3="","",IF(COUNTIFS(BD!$A$3:$A$5001,X$3,BD!$B$3:$B$5001,$A$211,BD!$Z$3:$Z$5001,"&lt;&gt;")=0,"",SUMIFS(BD!$Z$3:$Z$5001,BD!$A$3:$A$5001,X$3,BD!$B$3:$B$5001,$A$211)))</f>
        <v/>
      </c>
      <c r="Y235" s="251" t="str">
        <f>IF(Y$3="","",IF(COUNTIFS(BD!$A$3:$A$5001,Y$3,BD!$B$3:$B$5001,$A$211,BD!$Z$3:$Z$5001,"&lt;&gt;")=0,"",SUMIFS(BD!$Z$3:$Z$5001,BD!$A$3:$A$5001,Y$3,BD!$B$3:$B$5001,$A$211)))</f>
        <v/>
      </c>
      <c r="Z235" s="251" t="str">
        <f>IF(Z$3="","",IF(COUNTIFS(BD!$A$3:$A$5001,Z$3,BD!$B$3:$B$5001,$A$211,BD!$Z$3:$Z$5001,"&lt;&gt;")=0,"",SUMIFS(BD!$Z$3:$Z$5001,BD!$A$3:$A$5001,Z$3,BD!$B$3:$B$5001,$A$211)))</f>
        <v/>
      </c>
      <c r="AA235" s="251" t="str">
        <f>IF(AA$3="","",IF(COUNTIFS(BD!$A$3:$A$5001,AA$3,BD!$B$3:$B$5001,$A$211,BD!$Z$3:$Z$5001,"&lt;&gt;")=0,"",SUMIFS(BD!$Z$3:$Z$5001,BD!$A$3:$A$5001,AA$3,BD!$B$3:$B$5001,$A$211)))</f>
        <v/>
      </c>
      <c r="AB235" s="251" t="str">
        <f>IF(AB$3="","",IF(COUNTIFS(BD!$A$3:$A$5001,AB$3,BD!$B$3:$B$5001,$A$211,BD!$Z$3:$Z$5001,"&lt;&gt;")=0,"",SUMIFS(BD!$Z$3:$Z$5001,BD!$A$3:$A$5001,AB$3,BD!$B$3:$B$5001,$A$211)))</f>
        <v/>
      </c>
      <c r="AC235" s="251" t="str">
        <f>IF(AC$3="","",IF(COUNTIFS(BD!$A$3:$A$5001,AC$3,BD!$B$3:$B$5001,$A$211,BD!$Z$3:$Z$5001,"&lt;&gt;")=0,"",SUMIFS(BD!$Z$3:$Z$5001,BD!$A$3:$A$5001,AC$3,BD!$B$3:$B$5001,$A$211)))</f>
        <v/>
      </c>
      <c r="AD235" s="251" t="str">
        <f>IF(AD$3="","",IF(COUNTIFS(BD!$A$3:$A$5001,AD$3,BD!$B$3:$B$5001,$A$211,BD!$Z$3:$Z$5001,"&lt;&gt;")=0,"",SUMIFS(BD!$Z$3:$Z$5001,BD!$A$3:$A$5001,AD$3,BD!$B$3:$B$5001,$A$211)))</f>
        <v/>
      </c>
      <c r="AE235" s="251" t="str">
        <f>IF(AE$3="","",IF(COUNTIFS(BD!$A$3:$A$5001,AE$3,BD!$B$3:$B$5001,$A$211,BD!$Z$3:$Z$5001,"&lt;&gt;")=0,"",SUMIFS(BD!$Z$3:$Z$5001,BD!$A$3:$A$5001,AE$3,BD!$B$3:$B$5001,$A$211)))</f>
        <v/>
      </c>
      <c r="AF235" s="251" t="str">
        <f>IF(AF$3="","",IF(COUNTIFS(BD!$A$3:$A$5001,AF$3,BD!$B$3:$B$5001,$A$211,BD!$Z$3:$Z$5001,"&lt;&gt;")=0,"",SUMIFS(BD!$Z$3:$Z$5001,BD!$A$3:$A$5001,AF$3,BD!$B$3:$B$5001,$A$211)))</f>
        <v/>
      </c>
      <c r="AG235" s="251" t="str">
        <f>IF(AG$3="","",IF(COUNTIFS(BD!$A$3:$A$5001,AG$3,BD!$B$3:$B$5001,$A$211,BD!$Z$3:$Z$5001,"&lt;&gt;")=0,"",SUMIFS(BD!$Z$3:$Z$5001,BD!$A$3:$A$5001,AG$3,BD!$B$3:$B$5001,$A$211)))</f>
        <v/>
      </c>
      <c r="AH235" s="251" t="str">
        <f>IF(AH$3="","",IF(COUNTIFS(BD!$A$3:$A$5001,AH$3,BD!$B$3:$B$5001,$A$211,BD!$Z$3:$Z$5001,"&lt;&gt;")=0,"",SUMIFS(BD!$Z$3:$Z$5001,BD!$A$3:$A$5001,AH$3,BD!$B$3:$B$5001,$A$211)))</f>
        <v/>
      </c>
      <c r="AI235" s="251" t="str">
        <f>IF(AI$3="","",IF(COUNTIFS(BD!$A$3:$A$5001,AI$3,BD!$B$3:$B$5001,$A$211,BD!$Z$3:$Z$5001,"&lt;&gt;")=0,"",SUMIFS(BD!$Z$3:$Z$5001,BD!$A$3:$A$5001,AI$3,BD!$B$3:$B$5001,$A$211)))</f>
        <v/>
      </c>
      <c r="AJ235" s="252" t="str">
        <f>IF(AJ$3="","",IF(COUNTIFS(BD!$A$3:$A$5001,AJ$3,BD!$B$3:$B$5001,$A$211,BD!$Z$3:$Z$5001,"&lt;&gt;")=0,"",SUMIFS(BD!$Z$3:$Z$5001,BD!$A$3:$A$5001,AJ$3,BD!$B$3:$B$5001,$A$211)))</f>
        <v/>
      </c>
      <c r="AK235" s="253" t="str">
        <f>IF(COUNT(F235:AJ235)=0,"",SUM(F235:AJ235))</f>
        <v/>
      </c>
    </row>
    <row r="236" ht="15.75" customHeight="1" hidden="1">
      <c r="A236" s="277"/>
      <c r="B236" s="274"/>
      <c r="C236" s="247" t="inlineStr">
        <is>
          <t xml:space="preserve">Acidentes CAF</t>
        </is>
      </c>
      <c r="D236" s="248" t="str">
        <f>IFERROR(1/(1/INDEX(BD!$AF$48:$AZ$48,MATCH($A$211,BD!$AF$22:$AZ$22,0))),"")</f>
        <v/>
      </c>
      <c r="E236" s="249"/>
      <c r="F236" s="250" t="str">
        <f>IF(F$3="","",IF(COUNTIFS(BD!$A$3:$A$5001,F$3,BD!$B$3:$B$5001,$A$211,BD!$AA$3:$AA$5001,"&lt;&gt;")=0,"",SUMIFS(BD!$AA$3:$AA$5001,BD!$A$3:$A$5001,F$3,BD!$B$3:$B$5001,$A$211)))</f>
        <v/>
      </c>
      <c r="G236" s="251" t="str">
        <f>IF(G$3="","",IF(COUNTIFS(BD!$A$3:$A$5001,G$3,BD!$B$3:$B$5001,$A$211,BD!$AA$3:$AA$5001,"&lt;&gt;")=0,"",SUMIFS(BD!$AA$3:$AA$5001,BD!$A$3:$A$5001,G$3,BD!$B$3:$B$5001,$A$211)))</f>
        <v/>
      </c>
      <c r="H236" s="251" t="str">
        <f>IF(H$3="","",IF(COUNTIFS(BD!$A$3:$A$5001,H$3,BD!$B$3:$B$5001,$A$211,BD!$AA$3:$AA$5001,"&lt;&gt;")=0,"",SUMIFS(BD!$AA$3:$AA$5001,BD!$A$3:$A$5001,H$3,BD!$B$3:$B$5001,$A$211)))</f>
        <v/>
      </c>
      <c r="I236" s="251" t="str">
        <f>IF(I$3="","",IF(COUNTIFS(BD!$A$3:$A$5001,I$3,BD!$B$3:$B$5001,$A$211,BD!$AA$3:$AA$5001,"&lt;&gt;")=0,"",SUMIFS(BD!$AA$3:$AA$5001,BD!$A$3:$A$5001,I$3,BD!$B$3:$B$5001,$A$211)))</f>
        <v/>
      </c>
      <c r="J236" s="251" t="str">
        <f>IF(J$3="","",IF(COUNTIFS(BD!$A$3:$A$5001,J$3,BD!$B$3:$B$5001,$A$211,BD!$AA$3:$AA$5001,"&lt;&gt;")=0,"",SUMIFS(BD!$AA$3:$AA$5001,BD!$A$3:$A$5001,J$3,BD!$B$3:$B$5001,$A$211)))</f>
        <v/>
      </c>
      <c r="K236" s="251" t="str">
        <f>IF(K$3="","",IF(COUNTIFS(BD!$A$3:$A$5001,K$3,BD!$B$3:$B$5001,$A$211,BD!$AA$3:$AA$5001,"&lt;&gt;")=0,"",SUMIFS(BD!$AA$3:$AA$5001,BD!$A$3:$A$5001,K$3,BD!$B$3:$B$5001,$A$211)))</f>
        <v/>
      </c>
      <c r="L236" s="251" t="str">
        <f>IF(L$3="","",IF(COUNTIFS(BD!$A$3:$A$5001,L$3,BD!$B$3:$B$5001,$A$211,BD!$AA$3:$AA$5001,"&lt;&gt;")=0,"",SUMIFS(BD!$AA$3:$AA$5001,BD!$A$3:$A$5001,L$3,BD!$B$3:$B$5001,$A$211)))</f>
        <v/>
      </c>
      <c r="M236" s="251" t="str">
        <f>IF(M$3="","",IF(COUNTIFS(BD!$A$3:$A$5001,M$3,BD!$B$3:$B$5001,$A$211,BD!$AA$3:$AA$5001,"&lt;&gt;")=0,"",SUMIFS(BD!$AA$3:$AA$5001,BD!$A$3:$A$5001,M$3,BD!$B$3:$B$5001,$A$211)))</f>
        <v/>
      </c>
      <c r="N236" s="251" t="str">
        <f>IF(N$3="","",IF(COUNTIFS(BD!$A$3:$A$5001,N$3,BD!$B$3:$B$5001,$A$211,BD!$AA$3:$AA$5001,"&lt;&gt;")=0,"",SUMIFS(BD!$AA$3:$AA$5001,BD!$A$3:$A$5001,N$3,BD!$B$3:$B$5001,$A$211)))</f>
        <v/>
      </c>
      <c r="O236" s="251" t="str">
        <f>IF(O$3="","",IF(COUNTIFS(BD!$A$3:$A$5001,O$3,BD!$B$3:$B$5001,$A$211,BD!$AA$3:$AA$5001,"&lt;&gt;")=0,"",SUMIFS(BD!$AA$3:$AA$5001,BD!$A$3:$A$5001,O$3,BD!$B$3:$B$5001,$A$211)))</f>
        <v/>
      </c>
      <c r="P236" s="251" t="str">
        <f>IF(P$3="","",IF(COUNTIFS(BD!$A$3:$A$5001,P$3,BD!$B$3:$B$5001,$A$211,BD!$AA$3:$AA$5001,"&lt;&gt;")=0,"",SUMIFS(BD!$AA$3:$AA$5001,BD!$A$3:$A$5001,P$3,BD!$B$3:$B$5001,$A$211)))</f>
        <v/>
      </c>
      <c r="Q236" s="251" t="str">
        <f>IF(Q$3="","",IF(COUNTIFS(BD!$A$3:$A$5001,Q$3,BD!$B$3:$B$5001,$A$211,BD!$AA$3:$AA$5001,"&lt;&gt;")=0,"",SUMIFS(BD!$AA$3:$AA$5001,BD!$A$3:$A$5001,Q$3,BD!$B$3:$B$5001,$A$211)))</f>
        <v/>
      </c>
      <c r="R236" s="251" t="str">
        <f>IF(R$3="","",IF(COUNTIFS(BD!$A$3:$A$5001,R$3,BD!$B$3:$B$5001,$A$211,BD!$AA$3:$AA$5001,"&lt;&gt;")=0,"",SUMIFS(BD!$AA$3:$AA$5001,BD!$A$3:$A$5001,R$3,BD!$B$3:$B$5001,$A$211)))</f>
        <v/>
      </c>
      <c r="S236" s="251" t="str">
        <f>IF(S$3="","",IF(COUNTIFS(BD!$A$3:$A$5001,S$3,BD!$B$3:$B$5001,$A$211,BD!$AA$3:$AA$5001,"&lt;&gt;")=0,"",SUMIFS(BD!$AA$3:$AA$5001,BD!$A$3:$A$5001,S$3,BD!$B$3:$B$5001,$A$211)))</f>
        <v/>
      </c>
      <c r="T236" s="251" t="str">
        <f>IF(T$3="","",IF(COUNTIFS(BD!$A$3:$A$5001,T$3,BD!$B$3:$B$5001,$A$211,BD!$AA$3:$AA$5001,"&lt;&gt;")=0,"",SUMIFS(BD!$AA$3:$AA$5001,BD!$A$3:$A$5001,T$3,BD!$B$3:$B$5001,$A$211)))</f>
        <v/>
      </c>
      <c r="U236" s="251" t="str">
        <f>IF(U$3="","",IF(COUNTIFS(BD!$A$3:$A$5001,U$3,BD!$B$3:$B$5001,$A$211,BD!$AA$3:$AA$5001,"&lt;&gt;")=0,"",SUMIFS(BD!$AA$3:$AA$5001,BD!$A$3:$A$5001,U$3,BD!$B$3:$B$5001,$A$211)))</f>
        <v/>
      </c>
      <c r="V236" s="251" t="str">
        <f>IF(V$3="","",IF(COUNTIFS(BD!$A$3:$A$5001,V$3,BD!$B$3:$B$5001,$A$211,BD!$AA$3:$AA$5001,"&lt;&gt;")=0,"",SUMIFS(BD!$AA$3:$AA$5001,BD!$A$3:$A$5001,V$3,BD!$B$3:$B$5001,$A$211)))</f>
        <v/>
      </c>
      <c r="W236" s="251" t="str">
        <f>IF(W$3="","",IF(COUNTIFS(BD!$A$3:$A$5001,W$3,BD!$B$3:$B$5001,$A$211,BD!$AA$3:$AA$5001,"&lt;&gt;")=0,"",SUMIFS(BD!$AA$3:$AA$5001,BD!$A$3:$A$5001,W$3,BD!$B$3:$B$5001,$A$211)))</f>
        <v/>
      </c>
      <c r="X236" s="251" t="str">
        <f>IF(X$3="","",IF(COUNTIFS(BD!$A$3:$A$5001,X$3,BD!$B$3:$B$5001,$A$211,BD!$AA$3:$AA$5001,"&lt;&gt;")=0,"",SUMIFS(BD!$AA$3:$AA$5001,BD!$A$3:$A$5001,X$3,BD!$B$3:$B$5001,$A$211)))</f>
        <v/>
      </c>
      <c r="Y236" s="251" t="str">
        <f>IF(Y$3="","",IF(COUNTIFS(BD!$A$3:$A$5001,Y$3,BD!$B$3:$B$5001,$A$211,BD!$AA$3:$AA$5001,"&lt;&gt;")=0,"",SUMIFS(BD!$AA$3:$AA$5001,BD!$A$3:$A$5001,Y$3,BD!$B$3:$B$5001,$A$211)))</f>
        <v/>
      </c>
      <c r="Z236" s="251" t="str">
        <f>IF(Z$3="","",IF(COUNTIFS(BD!$A$3:$A$5001,Z$3,BD!$B$3:$B$5001,$A$211,BD!$AA$3:$AA$5001,"&lt;&gt;")=0,"",SUMIFS(BD!$AA$3:$AA$5001,BD!$A$3:$A$5001,Z$3,BD!$B$3:$B$5001,$A$211)))</f>
        <v/>
      </c>
      <c r="AA236" s="251" t="str">
        <f>IF(AA$3="","",IF(COUNTIFS(BD!$A$3:$A$5001,AA$3,BD!$B$3:$B$5001,$A$211,BD!$AA$3:$AA$5001,"&lt;&gt;")=0,"",SUMIFS(BD!$AA$3:$AA$5001,BD!$A$3:$A$5001,AA$3,BD!$B$3:$B$5001,$A$211)))</f>
        <v/>
      </c>
      <c r="AB236" s="251" t="str">
        <f>IF(AB$3="","",IF(COUNTIFS(BD!$A$3:$A$5001,AB$3,BD!$B$3:$B$5001,$A$211,BD!$AA$3:$AA$5001,"&lt;&gt;")=0,"",SUMIFS(BD!$AA$3:$AA$5001,BD!$A$3:$A$5001,AB$3,BD!$B$3:$B$5001,$A$211)))</f>
        <v/>
      </c>
      <c r="AC236" s="251" t="str">
        <f>IF(AC$3="","",IF(COUNTIFS(BD!$A$3:$A$5001,AC$3,BD!$B$3:$B$5001,$A$211,BD!$AA$3:$AA$5001,"&lt;&gt;")=0,"",SUMIFS(BD!$AA$3:$AA$5001,BD!$A$3:$A$5001,AC$3,BD!$B$3:$B$5001,$A$211)))</f>
        <v/>
      </c>
      <c r="AD236" s="251" t="str">
        <f>IF(AD$3="","",IF(COUNTIFS(BD!$A$3:$A$5001,AD$3,BD!$B$3:$B$5001,$A$211,BD!$AA$3:$AA$5001,"&lt;&gt;")=0,"",SUMIFS(BD!$AA$3:$AA$5001,BD!$A$3:$A$5001,AD$3,BD!$B$3:$B$5001,$A$211)))</f>
        <v/>
      </c>
      <c r="AE236" s="251" t="str">
        <f>IF(AE$3="","",IF(COUNTIFS(BD!$A$3:$A$5001,AE$3,BD!$B$3:$B$5001,$A$211,BD!$AA$3:$AA$5001,"&lt;&gt;")=0,"",SUMIFS(BD!$AA$3:$AA$5001,BD!$A$3:$A$5001,AE$3,BD!$B$3:$B$5001,$A$211)))</f>
        <v/>
      </c>
      <c r="AF236" s="251" t="str">
        <f>IF(AF$3="","",IF(COUNTIFS(BD!$A$3:$A$5001,AF$3,BD!$B$3:$B$5001,$A$211,BD!$AA$3:$AA$5001,"&lt;&gt;")=0,"",SUMIFS(BD!$AA$3:$AA$5001,BD!$A$3:$A$5001,AF$3,BD!$B$3:$B$5001,$A$211)))</f>
        <v/>
      </c>
      <c r="AG236" s="251" t="str">
        <f>IF(AG$3="","",IF(COUNTIFS(BD!$A$3:$A$5001,AG$3,BD!$B$3:$B$5001,$A$211,BD!$AA$3:$AA$5001,"&lt;&gt;")=0,"",SUMIFS(BD!$AA$3:$AA$5001,BD!$A$3:$A$5001,AG$3,BD!$B$3:$B$5001,$A$211)))</f>
        <v/>
      </c>
      <c r="AH236" s="251" t="str">
        <f>IF(AH$3="","",IF(COUNTIFS(BD!$A$3:$A$5001,AH$3,BD!$B$3:$B$5001,$A$211,BD!$AA$3:$AA$5001,"&lt;&gt;")=0,"",SUMIFS(BD!$AA$3:$AA$5001,BD!$A$3:$A$5001,AH$3,BD!$B$3:$B$5001,$A$211)))</f>
        <v/>
      </c>
      <c r="AI236" s="251" t="str">
        <f>IF(AI$3="","",IF(COUNTIFS(BD!$A$3:$A$5001,AI$3,BD!$B$3:$B$5001,$A$211,BD!$AA$3:$AA$5001,"&lt;&gt;")=0,"",SUMIFS(BD!$AA$3:$AA$5001,BD!$A$3:$A$5001,AI$3,BD!$B$3:$B$5001,$A$211)))</f>
        <v/>
      </c>
      <c r="AJ236" s="252" t="str">
        <f>IF(AJ$3="","",IF(COUNTIFS(BD!$A$3:$A$5001,AJ$3,BD!$B$3:$B$5001,$A$211,BD!$AA$3:$AA$5001,"&lt;&gt;")=0,"",SUMIFS(BD!$AA$3:$AA$5001,BD!$A$3:$A$5001,AJ$3,BD!$B$3:$B$5001,$A$211)))</f>
        <v/>
      </c>
      <c r="AK236" s="253" t="str">
        <f>IF(COUNT(F236:AJ236)=0,"",SUM(F236:AJ236))</f>
        <v/>
      </c>
    </row>
    <row r="237" ht="15.75" customHeight="1" hidden="1">
      <c r="A237" s="278"/>
      <c r="B237" s="275"/>
      <c r="C237" s="258" t="inlineStr">
        <is>
          <t xml:space="preserve">Acidentes SAF</t>
        </is>
      </c>
      <c r="D237" s="259" t="str">
        <f>IFERROR(1/(1/INDEX(BD!$AF$49:$AZ$49,MATCH($A$211,BD!$AF$22:$AZ$22,0))),"")</f>
        <v/>
      </c>
      <c r="E237" s="260"/>
      <c r="F237" s="261" t="str">
        <f>IF(F$3="","",IF(COUNTIFS(BD!$A$3:$A$5001,F$3,BD!$B$3:$B$5001,$A$211,BD!$AB$3:$AB$5001,"&lt;&gt;")=0,"",SUMIFS(BD!$AB$3:$AB$5001,BD!$A$3:$A$5001,F$3,BD!$B$3:$B$5001,$A$211)))</f>
        <v/>
      </c>
      <c r="G237" s="262" t="str">
        <f>IF(G$3="","",IF(COUNTIFS(BD!$A$3:$A$5001,G$3,BD!$B$3:$B$5001,$A$211,BD!$AB$3:$AB$5001,"&lt;&gt;")=0,"",SUMIFS(BD!$AB$3:$AB$5001,BD!$A$3:$A$5001,G$3,BD!$B$3:$B$5001,$A$211)))</f>
        <v/>
      </c>
      <c r="H237" s="262" t="str">
        <f>IF(H$3="","",IF(COUNTIFS(BD!$A$3:$A$5001,H$3,BD!$B$3:$B$5001,$A$211,BD!$AB$3:$AB$5001,"&lt;&gt;")=0,"",SUMIFS(BD!$AB$3:$AB$5001,BD!$A$3:$A$5001,H$3,BD!$B$3:$B$5001,$A$211)))</f>
        <v/>
      </c>
      <c r="I237" s="262" t="str">
        <f>IF(I$3="","",IF(COUNTIFS(BD!$A$3:$A$5001,I$3,BD!$B$3:$B$5001,$A$211,BD!$AB$3:$AB$5001,"&lt;&gt;")=0,"",SUMIFS(BD!$AB$3:$AB$5001,BD!$A$3:$A$5001,I$3,BD!$B$3:$B$5001,$A$211)))</f>
        <v/>
      </c>
      <c r="J237" s="262" t="str">
        <f>IF(J$3="","",IF(COUNTIFS(BD!$A$3:$A$5001,J$3,BD!$B$3:$B$5001,$A$211,BD!$AB$3:$AB$5001,"&lt;&gt;")=0,"",SUMIFS(BD!$AB$3:$AB$5001,BD!$A$3:$A$5001,J$3,BD!$B$3:$B$5001,$A$211)))</f>
        <v/>
      </c>
      <c r="K237" s="262" t="str">
        <f>IF(K$3="","",IF(COUNTIFS(BD!$A$3:$A$5001,K$3,BD!$B$3:$B$5001,$A$211,BD!$AB$3:$AB$5001,"&lt;&gt;")=0,"",SUMIFS(BD!$AB$3:$AB$5001,BD!$A$3:$A$5001,K$3,BD!$B$3:$B$5001,$A$211)))</f>
        <v/>
      </c>
      <c r="L237" s="262" t="str">
        <f>IF(L$3="","",IF(COUNTIFS(BD!$A$3:$A$5001,L$3,BD!$B$3:$B$5001,$A$211,BD!$AB$3:$AB$5001,"&lt;&gt;")=0,"",SUMIFS(BD!$AB$3:$AB$5001,BD!$A$3:$A$5001,L$3,BD!$B$3:$B$5001,$A$211)))</f>
        <v/>
      </c>
      <c r="M237" s="262" t="str">
        <f>IF(M$3="","",IF(COUNTIFS(BD!$A$3:$A$5001,M$3,BD!$B$3:$B$5001,$A$211,BD!$AB$3:$AB$5001,"&lt;&gt;")=0,"",SUMIFS(BD!$AB$3:$AB$5001,BD!$A$3:$A$5001,M$3,BD!$B$3:$B$5001,$A$211)))</f>
        <v/>
      </c>
      <c r="N237" s="262" t="str">
        <f>IF(N$3="","",IF(COUNTIFS(BD!$A$3:$A$5001,N$3,BD!$B$3:$B$5001,$A$211,BD!$AB$3:$AB$5001,"&lt;&gt;")=0,"",SUMIFS(BD!$AB$3:$AB$5001,BD!$A$3:$A$5001,N$3,BD!$B$3:$B$5001,$A$211)))</f>
        <v/>
      </c>
      <c r="O237" s="262" t="str">
        <f>IF(O$3="","",IF(COUNTIFS(BD!$A$3:$A$5001,O$3,BD!$B$3:$B$5001,$A$211,BD!$AB$3:$AB$5001,"&lt;&gt;")=0,"",SUMIFS(BD!$AB$3:$AB$5001,BD!$A$3:$A$5001,O$3,BD!$B$3:$B$5001,$A$211)))</f>
        <v/>
      </c>
      <c r="P237" s="262" t="str">
        <f>IF(P$3="","",IF(COUNTIFS(BD!$A$3:$A$5001,P$3,BD!$B$3:$B$5001,$A$211,BD!$AB$3:$AB$5001,"&lt;&gt;")=0,"",SUMIFS(BD!$AB$3:$AB$5001,BD!$A$3:$A$5001,P$3,BD!$B$3:$B$5001,$A$211)))</f>
        <v/>
      </c>
      <c r="Q237" s="262" t="str">
        <f>IF(Q$3="","",IF(COUNTIFS(BD!$A$3:$A$5001,Q$3,BD!$B$3:$B$5001,$A$211,BD!$AB$3:$AB$5001,"&lt;&gt;")=0,"",SUMIFS(BD!$AB$3:$AB$5001,BD!$A$3:$A$5001,Q$3,BD!$B$3:$B$5001,$A$211)))</f>
        <v/>
      </c>
      <c r="R237" s="262" t="str">
        <f>IF(R$3="","",IF(COUNTIFS(BD!$A$3:$A$5001,R$3,BD!$B$3:$B$5001,$A$211,BD!$AB$3:$AB$5001,"&lt;&gt;")=0,"",SUMIFS(BD!$AB$3:$AB$5001,BD!$A$3:$A$5001,R$3,BD!$B$3:$B$5001,$A$211)))</f>
        <v/>
      </c>
      <c r="S237" s="262" t="str">
        <f>IF(S$3="","",IF(COUNTIFS(BD!$A$3:$A$5001,S$3,BD!$B$3:$B$5001,$A$211,BD!$AB$3:$AB$5001,"&lt;&gt;")=0,"",SUMIFS(BD!$AB$3:$AB$5001,BD!$A$3:$A$5001,S$3,BD!$B$3:$B$5001,$A$211)))</f>
        <v/>
      </c>
      <c r="T237" s="262" t="str">
        <f>IF(T$3="","",IF(COUNTIFS(BD!$A$3:$A$5001,T$3,BD!$B$3:$B$5001,$A$211,BD!$AB$3:$AB$5001,"&lt;&gt;")=0,"",SUMIFS(BD!$AB$3:$AB$5001,BD!$A$3:$A$5001,T$3,BD!$B$3:$B$5001,$A$211)))</f>
        <v/>
      </c>
      <c r="U237" s="262" t="str">
        <f>IF(U$3="","",IF(COUNTIFS(BD!$A$3:$A$5001,U$3,BD!$B$3:$B$5001,$A$211,BD!$AB$3:$AB$5001,"&lt;&gt;")=0,"",SUMIFS(BD!$AB$3:$AB$5001,BD!$A$3:$A$5001,U$3,BD!$B$3:$B$5001,$A$211)))</f>
        <v/>
      </c>
      <c r="V237" s="262" t="str">
        <f>IF(V$3="","",IF(COUNTIFS(BD!$A$3:$A$5001,V$3,BD!$B$3:$B$5001,$A$211,BD!$AB$3:$AB$5001,"&lt;&gt;")=0,"",SUMIFS(BD!$AB$3:$AB$5001,BD!$A$3:$A$5001,V$3,BD!$B$3:$B$5001,$A$211)))</f>
        <v/>
      </c>
      <c r="W237" s="262" t="str">
        <f>IF(W$3="","",IF(COUNTIFS(BD!$A$3:$A$5001,W$3,BD!$B$3:$B$5001,$A$211,BD!$AB$3:$AB$5001,"&lt;&gt;")=0,"",SUMIFS(BD!$AB$3:$AB$5001,BD!$A$3:$A$5001,W$3,BD!$B$3:$B$5001,$A$211)))</f>
        <v/>
      </c>
      <c r="X237" s="262" t="str">
        <f>IF(X$3="","",IF(COUNTIFS(BD!$A$3:$A$5001,X$3,BD!$B$3:$B$5001,$A$211,BD!$AB$3:$AB$5001,"&lt;&gt;")=0,"",SUMIFS(BD!$AB$3:$AB$5001,BD!$A$3:$A$5001,X$3,BD!$B$3:$B$5001,$A$211)))</f>
        <v/>
      </c>
      <c r="Y237" s="262" t="str">
        <f>IF(Y$3="","",IF(COUNTIFS(BD!$A$3:$A$5001,Y$3,BD!$B$3:$B$5001,$A$211,BD!$AB$3:$AB$5001,"&lt;&gt;")=0,"",SUMIFS(BD!$AB$3:$AB$5001,BD!$A$3:$A$5001,Y$3,BD!$B$3:$B$5001,$A$211)))</f>
        <v/>
      </c>
      <c r="Z237" s="262" t="str">
        <f>IF(Z$3="","",IF(COUNTIFS(BD!$A$3:$A$5001,Z$3,BD!$B$3:$B$5001,$A$211,BD!$AB$3:$AB$5001,"&lt;&gt;")=0,"",SUMIFS(BD!$AB$3:$AB$5001,BD!$A$3:$A$5001,Z$3,BD!$B$3:$B$5001,$A$211)))</f>
        <v/>
      </c>
      <c r="AA237" s="262" t="str">
        <f>IF(AA$3="","",IF(COUNTIFS(BD!$A$3:$A$5001,AA$3,BD!$B$3:$B$5001,$A$211,BD!$AB$3:$AB$5001,"&lt;&gt;")=0,"",SUMIFS(BD!$AB$3:$AB$5001,BD!$A$3:$A$5001,AA$3,BD!$B$3:$B$5001,$A$211)))</f>
        <v/>
      </c>
      <c r="AB237" s="262" t="str">
        <f>IF(AB$3="","",IF(COUNTIFS(BD!$A$3:$A$5001,AB$3,BD!$B$3:$B$5001,$A$211,BD!$AB$3:$AB$5001,"&lt;&gt;")=0,"",SUMIFS(BD!$AB$3:$AB$5001,BD!$A$3:$A$5001,AB$3,BD!$B$3:$B$5001,$A$211)))</f>
        <v/>
      </c>
      <c r="AC237" s="262" t="str">
        <f>IF(AC$3="","",IF(COUNTIFS(BD!$A$3:$A$5001,AC$3,BD!$B$3:$B$5001,$A$211,BD!$AB$3:$AB$5001,"&lt;&gt;")=0,"",SUMIFS(BD!$AB$3:$AB$5001,BD!$A$3:$A$5001,AC$3,BD!$B$3:$B$5001,$A$211)))</f>
        <v/>
      </c>
      <c r="AD237" s="262" t="str">
        <f>IF(AD$3="","",IF(COUNTIFS(BD!$A$3:$A$5001,AD$3,BD!$B$3:$B$5001,$A$211,BD!$AB$3:$AB$5001,"&lt;&gt;")=0,"",SUMIFS(BD!$AB$3:$AB$5001,BD!$A$3:$A$5001,AD$3,BD!$B$3:$B$5001,$A$211)))</f>
        <v/>
      </c>
      <c r="AE237" s="262" t="str">
        <f>IF(AE$3="","",IF(COUNTIFS(BD!$A$3:$A$5001,AE$3,BD!$B$3:$B$5001,$A$211,BD!$AB$3:$AB$5001,"&lt;&gt;")=0,"",SUMIFS(BD!$AB$3:$AB$5001,BD!$A$3:$A$5001,AE$3,BD!$B$3:$B$5001,$A$211)))</f>
        <v/>
      </c>
      <c r="AF237" s="262" t="str">
        <f>IF(AF$3="","",IF(COUNTIFS(BD!$A$3:$A$5001,AF$3,BD!$B$3:$B$5001,$A$211,BD!$AB$3:$AB$5001,"&lt;&gt;")=0,"",SUMIFS(BD!$AB$3:$AB$5001,BD!$A$3:$A$5001,AF$3,BD!$B$3:$B$5001,$A$211)))</f>
        <v/>
      </c>
      <c r="AG237" s="262" t="str">
        <f>IF(AG$3="","",IF(COUNTIFS(BD!$A$3:$A$5001,AG$3,BD!$B$3:$B$5001,$A$211,BD!$AB$3:$AB$5001,"&lt;&gt;")=0,"",SUMIFS(BD!$AB$3:$AB$5001,BD!$A$3:$A$5001,AG$3,BD!$B$3:$B$5001,$A$211)))</f>
        <v/>
      </c>
      <c r="AH237" s="262" t="str">
        <f>IF(AH$3="","",IF(COUNTIFS(BD!$A$3:$A$5001,AH$3,BD!$B$3:$B$5001,$A$211,BD!$AB$3:$AB$5001,"&lt;&gt;")=0,"",SUMIFS(BD!$AB$3:$AB$5001,BD!$A$3:$A$5001,AH$3,BD!$B$3:$B$5001,$A$211)))</f>
        <v/>
      </c>
      <c r="AI237" s="262" t="str">
        <f>IF(AI$3="","",IF(COUNTIFS(BD!$A$3:$A$5001,AI$3,BD!$B$3:$B$5001,$A$211,BD!$AB$3:$AB$5001,"&lt;&gt;")=0,"",SUMIFS(BD!$AB$3:$AB$5001,BD!$A$3:$A$5001,AI$3,BD!$B$3:$B$5001,$A$211)))</f>
        <v/>
      </c>
      <c r="AJ237" s="263" t="str">
        <f>IF(AJ$3="","",IF(COUNTIFS(BD!$A$3:$A$5001,AJ$3,BD!$B$3:$B$5001,$A$211,BD!$AB$3:$AB$5001,"&lt;&gt;")=0,"",SUMIFS(BD!$AB$3:$AB$5001,BD!$A$3:$A$5001,AJ$3,BD!$B$3:$B$5001,$A$211)))</f>
        <v/>
      </c>
      <c r="AK237" s="259" t="str">
        <f>IF(COUNT(F237:AJ237)=0,"",SUM(F237:AJ237))</f>
        <v/>
      </c>
    </row>
    <row r="239" ht="15.75" customHeight="1" hidden="1">
      <c r="A239" s="276"/>
      <c r="B239" s="264" t="inlineStr">
        <is>
          <t xml:space="preserve">IN</t>
        </is>
      </c>
      <c r="C239" s="168" t="inlineStr">
        <is>
          <t xml:space="preserve">Veículos Recebidos</t>
        </is>
      </c>
      <c r="D239" s="169" t="str">
        <f>IFERROR(1/(1/INDEX(BD!$AF$23:$AZ$23,MATCH($A$239,BD!$AF$22:$AZ$22,0))),"")</f>
        <v/>
      </c>
      <c r="E239" s="170"/>
      <c r="F239" s="171" t="str">
        <f>IF(F$3="","",IF(COUNTIFS(BD!$A$3:$A$5001,F$3,BD!$B$3:$B$5001,$A$239,BD!$C$3:$C$5001,"&lt;&gt;")=0,"",SUMIFS(BD!$C$3:$C$5001,BD!$A$3:$A$5001,F$3,BD!$B$3:$B$5001,$A$239)))</f>
        <v/>
      </c>
      <c r="G239" s="172" t="str">
        <f>IF(G$3="","",IF(COUNTIFS(BD!$A$3:$A$5001,G$3,BD!$B$3:$B$5001,$A$239,BD!$C$3:$C$5001,"&lt;&gt;")=0,"",SUMIFS(BD!$C$3:$C$5001,BD!$A$3:$A$5001,G$3,BD!$B$3:$B$5001,$A$239)))</f>
        <v/>
      </c>
      <c r="H239" s="172" t="str">
        <f>IF(H$3="","",IF(COUNTIFS(BD!$A$3:$A$5001,H$3,BD!$B$3:$B$5001,$A$239,BD!$C$3:$C$5001,"&lt;&gt;")=0,"",SUMIFS(BD!$C$3:$C$5001,BD!$A$3:$A$5001,H$3,BD!$B$3:$B$5001,$A$239)))</f>
        <v/>
      </c>
      <c r="I239" s="172" t="str">
        <f>IF(I$3="","",IF(COUNTIFS(BD!$A$3:$A$5001,I$3,BD!$B$3:$B$5001,$A$239,BD!$C$3:$C$5001,"&lt;&gt;")=0,"",SUMIFS(BD!$C$3:$C$5001,BD!$A$3:$A$5001,I$3,BD!$B$3:$B$5001,$A$239)))</f>
        <v/>
      </c>
      <c r="J239" s="172" t="str">
        <f>IF(J$3="","",IF(COUNTIFS(BD!$A$3:$A$5001,J$3,BD!$B$3:$B$5001,$A$239,BD!$C$3:$C$5001,"&lt;&gt;")=0,"",SUMIFS(BD!$C$3:$C$5001,BD!$A$3:$A$5001,J$3,BD!$B$3:$B$5001,$A$239)))</f>
        <v/>
      </c>
      <c r="K239" s="172" t="str">
        <f>IF(K$3="","",IF(COUNTIFS(BD!$A$3:$A$5001,K$3,BD!$B$3:$B$5001,$A$239,BD!$C$3:$C$5001,"&lt;&gt;")=0,"",SUMIFS(BD!$C$3:$C$5001,BD!$A$3:$A$5001,K$3,BD!$B$3:$B$5001,$A$239)))</f>
        <v/>
      </c>
      <c r="L239" s="172" t="str">
        <f>IF(L$3="","",IF(COUNTIFS(BD!$A$3:$A$5001,L$3,BD!$B$3:$B$5001,$A$239,BD!$C$3:$C$5001,"&lt;&gt;")=0,"",SUMIFS(BD!$C$3:$C$5001,BD!$A$3:$A$5001,L$3,BD!$B$3:$B$5001,$A$239)))</f>
        <v/>
      </c>
      <c r="M239" s="172" t="str">
        <f>IF(M$3="","",IF(COUNTIFS(BD!$A$3:$A$5001,M$3,BD!$B$3:$B$5001,$A$239,BD!$C$3:$C$5001,"&lt;&gt;")=0,"",SUMIFS(BD!$C$3:$C$5001,BD!$A$3:$A$5001,M$3,BD!$B$3:$B$5001,$A$239)))</f>
        <v/>
      </c>
      <c r="N239" s="172" t="str">
        <f>IF(N$3="","",IF(COUNTIFS(BD!$A$3:$A$5001,N$3,BD!$B$3:$B$5001,$A$239,BD!$C$3:$C$5001,"&lt;&gt;")=0,"",SUMIFS(BD!$C$3:$C$5001,BD!$A$3:$A$5001,N$3,BD!$B$3:$B$5001,$A$239)))</f>
        <v/>
      </c>
      <c r="O239" s="172" t="str">
        <f>IF(O$3="","",IF(COUNTIFS(BD!$A$3:$A$5001,O$3,BD!$B$3:$B$5001,$A$239,BD!$C$3:$C$5001,"&lt;&gt;")=0,"",SUMIFS(BD!$C$3:$C$5001,BD!$A$3:$A$5001,O$3,BD!$B$3:$B$5001,$A$239)))</f>
        <v/>
      </c>
      <c r="P239" s="172" t="str">
        <f>IF(P$3="","",IF(COUNTIFS(BD!$A$3:$A$5001,P$3,BD!$B$3:$B$5001,$A$239,BD!$C$3:$C$5001,"&lt;&gt;")=0,"",SUMIFS(BD!$C$3:$C$5001,BD!$A$3:$A$5001,P$3,BD!$B$3:$B$5001,$A$239)))</f>
        <v/>
      </c>
      <c r="Q239" s="172" t="str">
        <f>IF(Q$3="","",IF(COUNTIFS(BD!$A$3:$A$5001,Q$3,BD!$B$3:$B$5001,$A$239,BD!$C$3:$C$5001,"&lt;&gt;")=0,"",SUMIFS(BD!$C$3:$C$5001,BD!$A$3:$A$5001,Q$3,BD!$B$3:$B$5001,$A$239)))</f>
        <v/>
      </c>
      <c r="R239" s="172" t="str">
        <f>IF(R$3="","",IF(COUNTIFS(BD!$A$3:$A$5001,R$3,BD!$B$3:$B$5001,$A$239,BD!$C$3:$C$5001,"&lt;&gt;")=0,"",SUMIFS(BD!$C$3:$C$5001,BD!$A$3:$A$5001,R$3,BD!$B$3:$B$5001,$A$239)))</f>
        <v/>
      </c>
      <c r="S239" s="172" t="str">
        <f>IF(S$3="","",IF(COUNTIFS(BD!$A$3:$A$5001,S$3,BD!$B$3:$B$5001,$A$239,BD!$C$3:$C$5001,"&lt;&gt;")=0,"",SUMIFS(BD!$C$3:$C$5001,BD!$A$3:$A$5001,S$3,BD!$B$3:$B$5001,$A$239)))</f>
        <v/>
      </c>
      <c r="T239" s="172" t="str">
        <f>IF(T$3="","",IF(COUNTIFS(BD!$A$3:$A$5001,T$3,BD!$B$3:$B$5001,$A$239,BD!$C$3:$C$5001,"&lt;&gt;")=0,"",SUMIFS(BD!$C$3:$C$5001,BD!$A$3:$A$5001,T$3,BD!$B$3:$B$5001,$A$239)))</f>
        <v/>
      </c>
      <c r="U239" s="172" t="str">
        <f>IF(U$3="","",IF(COUNTIFS(BD!$A$3:$A$5001,U$3,BD!$B$3:$B$5001,$A$239,BD!$C$3:$C$5001,"&lt;&gt;")=0,"",SUMIFS(BD!$C$3:$C$5001,BD!$A$3:$A$5001,U$3,BD!$B$3:$B$5001,$A$239)))</f>
        <v/>
      </c>
      <c r="V239" s="172" t="str">
        <f>IF(V$3="","",IF(COUNTIFS(BD!$A$3:$A$5001,V$3,BD!$B$3:$B$5001,$A$239,BD!$C$3:$C$5001,"&lt;&gt;")=0,"",SUMIFS(BD!$C$3:$C$5001,BD!$A$3:$A$5001,V$3,BD!$B$3:$B$5001,$A$239)))</f>
        <v/>
      </c>
      <c r="W239" s="172" t="str">
        <f>IF(W$3="","",IF(COUNTIFS(BD!$A$3:$A$5001,W$3,BD!$B$3:$B$5001,$A$239,BD!$C$3:$C$5001,"&lt;&gt;")=0,"",SUMIFS(BD!$C$3:$C$5001,BD!$A$3:$A$5001,W$3,BD!$B$3:$B$5001,$A$239)))</f>
        <v/>
      </c>
      <c r="X239" s="172" t="str">
        <f>IF(X$3="","",IF(COUNTIFS(BD!$A$3:$A$5001,X$3,BD!$B$3:$B$5001,$A$239,BD!$C$3:$C$5001,"&lt;&gt;")=0,"",SUMIFS(BD!$C$3:$C$5001,BD!$A$3:$A$5001,X$3,BD!$B$3:$B$5001,$A$239)))</f>
        <v/>
      </c>
      <c r="Y239" s="172" t="str">
        <f>IF(Y$3="","",IF(COUNTIFS(BD!$A$3:$A$5001,Y$3,BD!$B$3:$B$5001,$A$239,BD!$C$3:$C$5001,"&lt;&gt;")=0,"",SUMIFS(BD!$C$3:$C$5001,BD!$A$3:$A$5001,Y$3,BD!$B$3:$B$5001,$A$239)))</f>
        <v/>
      </c>
      <c r="Z239" s="172" t="str">
        <f>IF(Z$3="","",IF(COUNTIFS(BD!$A$3:$A$5001,Z$3,BD!$B$3:$B$5001,$A$239,BD!$C$3:$C$5001,"&lt;&gt;")=0,"",SUMIFS(BD!$C$3:$C$5001,BD!$A$3:$A$5001,Z$3,BD!$B$3:$B$5001,$A$239)))</f>
        <v/>
      </c>
      <c r="AA239" s="172" t="str">
        <f>IF(AA$3="","",IF(COUNTIFS(BD!$A$3:$A$5001,AA$3,BD!$B$3:$B$5001,$A$239,BD!$C$3:$C$5001,"&lt;&gt;")=0,"",SUMIFS(BD!$C$3:$C$5001,BD!$A$3:$A$5001,AA$3,BD!$B$3:$B$5001,$A$239)))</f>
        <v/>
      </c>
      <c r="AB239" s="172" t="str">
        <f>IF(AB$3="","",IF(COUNTIFS(BD!$A$3:$A$5001,AB$3,BD!$B$3:$B$5001,$A$239,BD!$C$3:$C$5001,"&lt;&gt;")=0,"",SUMIFS(BD!$C$3:$C$5001,BD!$A$3:$A$5001,AB$3,BD!$B$3:$B$5001,$A$239)))</f>
        <v/>
      </c>
      <c r="AC239" s="172" t="str">
        <f>IF(AC$3="","",IF(COUNTIFS(BD!$A$3:$A$5001,AC$3,BD!$B$3:$B$5001,$A$239,BD!$C$3:$C$5001,"&lt;&gt;")=0,"",SUMIFS(BD!$C$3:$C$5001,BD!$A$3:$A$5001,AC$3,BD!$B$3:$B$5001,$A$239)))</f>
        <v/>
      </c>
      <c r="AD239" s="172" t="str">
        <f>IF(AD$3="","",IF(COUNTIFS(BD!$A$3:$A$5001,AD$3,BD!$B$3:$B$5001,$A$239,BD!$C$3:$C$5001,"&lt;&gt;")=0,"",SUMIFS(BD!$C$3:$C$5001,BD!$A$3:$A$5001,AD$3,BD!$B$3:$B$5001,$A$239)))</f>
        <v/>
      </c>
      <c r="AE239" s="172" t="str">
        <f>IF(AE$3="","",IF(COUNTIFS(BD!$A$3:$A$5001,AE$3,BD!$B$3:$B$5001,$A$239,BD!$C$3:$C$5001,"&lt;&gt;")=0,"",SUMIFS(BD!$C$3:$C$5001,BD!$A$3:$A$5001,AE$3,BD!$B$3:$B$5001,$A$239)))</f>
        <v/>
      </c>
      <c r="AF239" s="172" t="str">
        <f>IF(AF$3="","",IF(COUNTIFS(BD!$A$3:$A$5001,AF$3,BD!$B$3:$B$5001,$A$239,BD!$C$3:$C$5001,"&lt;&gt;")=0,"",SUMIFS(BD!$C$3:$C$5001,BD!$A$3:$A$5001,AF$3,BD!$B$3:$B$5001,$A$239)))</f>
        <v/>
      </c>
      <c r="AG239" s="172" t="str">
        <f>IF(AG$3="","",IF(COUNTIFS(BD!$A$3:$A$5001,AG$3,BD!$B$3:$B$5001,$A$239,BD!$C$3:$C$5001,"&lt;&gt;")=0,"",SUMIFS(BD!$C$3:$C$5001,BD!$A$3:$A$5001,AG$3,BD!$B$3:$B$5001,$A$239)))</f>
        <v/>
      </c>
      <c r="AH239" s="172" t="str">
        <f>IF(AH$3="","",IF(COUNTIFS(BD!$A$3:$A$5001,AH$3,BD!$B$3:$B$5001,$A$239,BD!$C$3:$C$5001,"&lt;&gt;")=0,"",SUMIFS(BD!$C$3:$C$5001,BD!$A$3:$A$5001,AH$3,BD!$B$3:$B$5001,$A$239)))</f>
        <v/>
      </c>
      <c r="AI239" s="172" t="str">
        <f>IF(AI$3="","",IF(COUNTIFS(BD!$A$3:$A$5001,AI$3,BD!$B$3:$B$5001,$A$239,BD!$C$3:$C$5001,"&lt;&gt;")=0,"",SUMIFS(BD!$C$3:$C$5001,BD!$A$3:$A$5001,AI$3,BD!$B$3:$B$5001,$A$239)))</f>
        <v/>
      </c>
      <c r="AJ239" s="173" t="str">
        <f>IF(AJ$3="","",IF(COUNTIFS(BD!$A$3:$A$5001,AJ$3,BD!$B$3:$B$5001,$A$239,BD!$C$3:$C$5001,"&lt;&gt;")=0,"",SUMIFS(BD!$C$3:$C$5001,BD!$A$3:$A$5001,AJ$3,BD!$B$3:$B$5001,$A$239)))</f>
        <v/>
      </c>
      <c r="AK239" s="174" t="str">
        <f>IF(COUNT(F239:AJ239)=0,"",SUM(F239:AJ239))</f>
        <v/>
      </c>
    </row>
    <row r="240" ht="15.75" customHeight="1" hidden="1">
      <c r="A240" s="277"/>
      <c r="B240" s="265"/>
      <c r="C240" s="175" t="inlineStr">
        <is>
          <t xml:space="preserve">Pallets Movimentados</t>
        </is>
      </c>
      <c r="D240" s="176" t="str">
        <f>IFERROR(1/(1/INDEX(BD!$AF$24:$AZ$24,MATCH($A$239,BD!$AF$22:$AZ$22,0))),"")</f>
        <v/>
      </c>
      <c r="E240" s="177"/>
      <c r="F240" s="178" t="str">
        <f>IF(F$3="","",IF(COUNTIFS(BD!$A$3:$A$5001,F$3,BD!$B$3:$B$5001,$A$239,BD!$D$3:$D$5001,"&lt;&gt;")=0,"",SUMIFS(BD!$D$3:$D$5001,BD!$A$3:$A$5001,F$3,BD!$B$3:$B$5001,$A$239)))</f>
        <v/>
      </c>
      <c r="G240" s="179" t="str">
        <f>IF(G$3="","",IF(COUNTIFS(BD!$A$3:$A$5001,G$3,BD!$B$3:$B$5001,$A$239,BD!$D$3:$D$5001,"&lt;&gt;")=0,"",SUMIFS(BD!$D$3:$D$5001,BD!$A$3:$A$5001,G$3,BD!$B$3:$B$5001,$A$239)))</f>
        <v/>
      </c>
      <c r="H240" s="179" t="str">
        <f>IF(H$3="","",IF(COUNTIFS(BD!$A$3:$A$5001,H$3,BD!$B$3:$B$5001,$A$239,BD!$D$3:$D$5001,"&lt;&gt;")=0,"",SUMIFS(BD!$D$3:$D$5001,BD!$A$3:$A$5001,H$3,BD!$B$3:$B$5001,$A$239)))</f>
        <v/>
      </c>
      <c r="I240" s="179" t="str">
        <f>IF(I$3="","",IF(COUNTIFS(BD!$A$3:$A$5001,I$3,BD!$B$3:$B$5001,$A$239,BD!$D$3:$D$5001,"&lt;&gt;")=0,"",SUMIFS(BD!$D$3:$D$5001,BD!$A$3:$A$5001,I$3,BD!$B$3:$B$5001,$A$239)))</f>
        <v/>
      </c>
      <c r="J240" s="179" t="str">
        <f>IF(J$3="","",IF(COUNTIFS(BD!$A$3:$A$5001,J$3,BD!$B$3:$B$5001,$A$239,BD!$D$3:$D$5001,"&lt;&gt;")=0,"",SUMIFS(BD!$D$3:$D$5001,BD!$A$3:$A$5001,J$3,BD!$B$3:$B$5001,$A$239)))</f>
        <v/>
      </c>
      <c r="K240" s="179" t="str">
        <f>IF(K$3="","",IF(COUNTIFS(BD!$A$3:$A$5001,K$3,BD!$B$3:$B$5001,$A$239,BD!$D$3:$D$5001,"&lt;&gt;")=0,"",SUMIFS(BD!$D$3:$D$5001,BD!$A$3:$A$5001,K$3,BD!$B$3:$B$5001,$A$239)))</f>
        <v/>
      </c>
      <c r="L240" s="179" t="str">
        <f>IF(L$3="","",IF(COUNTIFS(BD!$A$3:$A$5001,L$3,BD!$B$3:$B$5001,$A$239,BD!$D$3:$D$5001,"&lt;&gt;")=0,"",SUMIFS(BD!$D$3:$D$5001,BD!$A$3:$A$5001,L$3,BD!$B$3:$B$5001,$A$239)))</f>
        <v/>
      </c>
      <c r="M240" s="179" t="str">
        <f>IF(M$3="","",IF(COUNTIFS(BD!$A$3:$A$5001,M$3,BD!$B$3:$B$5001,$A$239,BD!$D$3:$D$5001,"&lt;&gt;")=0,"",SUMIFS(BD!$D$3:$D$5001,BD!$A$3:$A$5001,M$3,BD!$B$3:$B$5001,$A$239)))</f>
        <v/>
      </c>
      <c r="N240" s="179" t="str">
        <f>IF(N$3="","",IF(COUNTIFS(BD!$A$3:$A$5001,N$3,BD!$B$3:$B$5001,$A$239,BD!$D$3:$D$5001,"&lt;&gt;")=0,"",SUMIFS(BD!$D$3:$D$5001,BD!$A$3:$A$5001,N$3,BD!$B$3:$B$5001,$A$239)))</f>
        <v/>
      </c>
      <c r="O240" s="179" t="str">
        <f>IF(O$3="","",IF(COUNTIFS(BD!$A$3:$A$5001,O$3,BD!$B$3:$B$5001,$A$239,BD!$D$3:$D$5001,"&lt;&gt;")=0,"",SUMIFS(BD!$D$3:$D$5001,BD!$A$3:$A$5001,O$3,BD!$B$3:$B$5001,$A$239)))</f>
        <v/>
      </c>
      <c r="P240" s="179" t="str">
        <f>IF(P$3="","",IF(COUNTIFS(BD!$A$3:$A$5001,P$3,BD!$B$3:$B$5001,$A$239,BD!$D$3:$D$5001,"&lt;&gt;")=0,"",SUMIFS(BD!$D$3:$D$5001,BD!$A$3:$A$5001,P$3,BD!$B$3:$B$5001,$A$239)))</f>
        <v/>
      </c>
      <c r="Q240" s="179" t="str">
        <f>IF(Q$3="","",IF(COUNTIFS(BD!$A$3:$A$5001,Q$3,BD!$B$3:$B$5001,$A$239,BD!$D$3:$D$5001,"&lt;&gt;")=0,"",SUMIFS(BD!$D$3:$D$5001,BD!$A$3:$A$5001,Q$3,BD!$B$3:$B$5001,$A$239)))</f>
        <v/>
      </c>
      <c r="R240" s="179" t="str">
        <f>IF(R$3="","",IF(COUNTIFS(BD!$A$3:$A$5001,R$3,BD!$B$3:$B$5001,$A$239,BD!$D$3:$D$5001,"&lt;&gt;")=0,"",SUMIFS(BD!$D$3:$D$5001,BD!$A$3:$A$5001,R$3,BD!$B$3:$B$5001,$A$239)))</f>
        <v/>
      </c>
      <c r="S240" s="179" t="str">
        <f>IF(S$3="","",IF(COUNTIFS(BD!$A$3:$A$5001,S$3,BD!$B$3:$B$5001,$A$239,BD!$D$3:$D$5001,"&lt;&gt;")=0,"",SUMIFS(BD!$D$3:$D$5001,BD!$A$3:$A$5001,S$3,BD!$B$3:$B$5001,$A$239)))</f>
        <v/>
      </c>
      <c r="T240" s="179" t="str">
        <f>IF(T$3="","",IF(COUNTIFS(BD!$A$3:$A$5001,T$3,BD!$B$3:$B$5001,$A$239,BD!$D$3:$D$5001,"&lt;&gt;")=0,"",SUMIFS(BD!$D$3:$D$5001,BD!$A$3:$A$5001,T$3,BD!$B$3:$B$5001,$A$239)))</f>
        <v/>
      </c>
      <c r="U240" s="179" t="str">
        <f>IF(U$3="","",IF(COUNTIFS(BD!$A$3:$A$5001,U$3,BD!$B$3:$B$5001,$A$239,BD!$D$3:$D$5001,"&lt;&gt;")=0,"",SUMIFS(BD!$D$3:$D$5001,BD!$A$3:$A$5001,U$3,BD!$B$3:$B$5001,$A$239)))</f>
        <v/>
      </c>
      <c r="V240" s="179" t="str">
        <f>IF(V$3="","",IF(COUNTIFS(BD!$A$3:$A$5001,V$3,BD!$B$3:$B$5001,$A$239,BD!$D$3:$D$5001,"&lt;&gt;")=0,"",SUMIFS(BD!$D$3:$D$5001,BD!$A$3:$A$5001,V$3,BD!$B$3:$B$5001,$A$239)))</f>
        <v/>
      </c>
      <c r="W240" s="179" t="str">
        <f>IF(W$3="","",IF(COUNTIFS(BD!$A$3:$A$5001,W$3,BD!$B$3:$B$5001,$A$239,BD!$D$3:$D$5001,"&lt;&gt;")=0,"",SUMIFS(BD!$D$3:$D$5001,BD!$A$3:$A$5001,W$3,BD!$B$3:$B$5001,$A$239)))</f>
        <v/>
      </c>
      <c r="X240" s="179" t="str">
        <f>IF(X$3="","",IF(COUNTIFS(BD!$A$3:$A$5001,X$3,BD!$B$3:$B$5001,$A$239,BD!$D$3:$D$5001,"&lt;&gt;")=0,"",SUMIFS(BD!$D$3:$D$5001,BD!$A$3:$A$5001,X$3,BD!$B$3:$B$5001,$A$239)))</f>
        <v/>
      </c>
      <c r="Y240" s="179" t="str">
        <f>IF(Y$3="","",IF(COUNTIFS(BD!$A$3:$A$5001,Y$3,BD!$B$3:$B$5001,$A$239,BD!$D$3:$D$5001,"&lt;&gt;")=0,"",SUMIFS(BD!$D$3:$D$5001,BD!$A$3:$A$5001,Y$3,BD!$B$3:$B$5001,$A$239)))</f>
        <v/>
      </c>
      <c r="Z240" s="179" t="str">
        <f>IF(Z$3="","",IF(COUNTIFS(BD!$A$3:$A$5001,Z$3,BD!$B$3:$B$5001,$A$239,BD!$D$3:$D$5001,"&lt;&gt;")=0,"",SUMIFS(BD!$D$3:$D$5001,BD!$A$3:$A$5001,Z$3,BD!$B$3:$B$5001,$A$239)))</f>
        <v/>
      </c>
      <c r="AA240" s="179" t="str">
        <f>IF(AA$3="","",IF(COUNTIFS(BD!$A$3:$A$5001,AA$3,BD!$B$3:$B$5001,$A$239,BD!$D$3:$D$5001,"&lt;&gt;")=0,"",SUMIFS(BD!$D$3:$D$5001,BD!$A$3:$A$5001,AA$3,BD!$B$3:$B$5001,$A$239)))</f>
        <v/>
      </c>
      <c r="AB240" s="179" t="str">
        <f>IF(AB$3="","",IF(COUNTIFS(BD!$A$3:$A$5001,AB$3,BD!$B$3:$B$5001,$A$239,BD!$D$3:$D$5001,"&lt;&gt;")=0,"",SUMIFS(BD!$D$3:$D$5001,BD!$A$3:$A$5001,AB$3,BD!$B$3:$B$5001,$A$239)))</f>
        <v/>
      </c>
      <c r="AC240" s="179" t="str">
        <f>IF(AC$3="","",IF(COUNTIFS(BD!$A$3:$A$5001,AC$3,BD!$B$3:$B$5001,$A$239,BD!$D$3:$D$5001,"&lt;&gt;")=0,"",SUMIFS(BD!$D$3:$D$5001,BD!$A$3:$A$5001,AC$3,BD!$B$3:$B$5001,$A$239)))</f>
        <v/>
      </c>
      <c r="AD240" s="179" t="str">
        <f>IF(AD$3="","",IF(COUNTIFS(BD!$A$3:$A$5001,AD$3,BD!$B$3:$B$5001,$A$239,BD!$D$3:$D$5001,"&lt;&gt;")=0,"",SUMIFS(BD!$D$3:$D$5001,BD!$A$3:$A$5001,AD$3,BD!$B$3:$B$5001,$A$239)))</f>
        <v/>
      </c>
      <c r="AE240" s="179" t="str">
        <f>IF(AE$3="","",IF(COUNTIFS(BD!$A$3:$A$5001,AE$3,BD!$B$3:$B$5001,$A$239,BD!$D$3:$D$5001,"&lt;&gt;")=0,"",SUMIFS(BD!$D$3:$D$5001,BD!$A$3:$A$5001,AE$3,BD!$B$3:$B$5001,$A$239)))</f>
        <v/>
      </c>
      <c r="AF240" s="179" t="str">
        <f>IF(AF$3="","",IF(COUNTIFS(BD!$A$3:$A$5001,AF$3,BD!$B$3:$B$5001,$A$239,BD!$D$3:$D$5001,"&lt;&gt;")=0,"",SUMIFS(BD!$D$3:$D$5001,BD!$A$3:$A$5001,AF$3,BD!$B$3:$B$5001,$A$239)))</f>
        <v/>
      </c>
      <c r="AG240" s="179" t="str">
        <f>IF(AG$3="","",IF(COUNTIFS(BD!$A$3:$A$5001,AG$3,BD!$B$3:$B$5001,$A$239,BD!$D$3:$D$5001,"&lt;&gt;")=0,"",SUMIFS(BD!$D$3:$D$5001,BD!$A$3:$A$5001,AG$3,BD!$B$3:$B$5001,$A$239)))</f>
        <v/>
      </c>
      <c r="AH240" s="179" t="str">
        <f>IF(AH$3="","",IF(COUNTIFS(BD!$A$3:$A$5001,AH$3,BD!$B$3:$B$5001,$A$239,BD!$D$3:$D$5001,"&lt;&gt;")=0,"",SUMIFS(BD!$D$3:$D$5001,BD!$A$3:$A$5001,AH$3,BD!$B$3:$B$5001,$A$239)))</f>
        <v/>
      </c>
      <c r="AI240" s="179" t="str">
        <f>IF(AI$3="","",IF(COUNTIFS(BD!$A$3:$A$5001,AI$3,BD!$B$3:$B$5001,$A$239,BD!$D$3:$D$5001,"&lt;&gt;")=0,"",SUMIFS(BD!$D$3:$D$5001,BD!$A$3:$A$5001,AI$3,BD!$B$3:$B$5001,$A$239)))</f>
        <v/>
      </c>
      <c r="AJ240" s="180" t="str">
        <f>IF(AJ$3="","",IF(COUNTIFS(BD!$A$3:$A$5001,AJ$3,BD!$B$3:$B$5001,$A$239,BD!$D$3:$D$5001,"&lt;&gt;")=0,"",SUMIFS(BD!$D$3:$D$5001,BD!$A$3:$A$5001,AJ$3,BD!$B$3:$B$5001,$A$239)))</f>
        <v/>
      </c>
      <c r="AK240" s="181" t="str">
        <f>IF(COUNT(F240:AJ240)=0,"",SUM(F240:AJ240))</f>
        <v/>
      </c>
    </row>
    <row r="241" ht="15.75" customHeight="1" hidden="1">
      <c r="A241" s="277"/>
      <c r="B241" s="265"/>
      <c r="C241" s="175" t="inlineStr">
        <is>
          <t xml:space="preserve">Toneladas Movimentadas</t>
        </is>
      </c>
      <c r="D241" s="176" t="str">
        <f>IFERROR(1/(1/INDEX(BD!$AF$25:$AZ$25,MATCH($A$239,BD!$AF$22:$AZ$22,0))),"")</f>
        <v/>
      </c>
      <c r="E241" s="177"/>
      <c r="F241" s="182" t="str">
        <f>IF(F$3="","",IF(COUNTIFS(BD!$A$3:$A$5001,F$3,BD!$B$3:$B$5001,$A$239,BD!$E$3:$E$5001,"&lt;&gt;")=0,"",SUMIFS(BD!$E$3:$E$5001,BD!$A$3:$A$5001,F$3,BD!$B$3:$B$5001,$A$239)))</f>
        <v/>
      </c>
      <c r="G241" s="183" t="str">
        <f>IF(G$3="","",IF(COUNTIFS(BD!$A$3:$A$5001,G$3,BD!$B$3:$B$5001,$A$239,BD!$E$3:$E$5001,"&lt;&gt;")=0,"",SUMIFS(BD!$E$3:$E$5001,BD!$A$3:$A$5001,G$3,BD!$B$3:$B$5001,$A$239)))</f>
        <v/>
      </c>
      <c r="H241" s="183" t="str">
        <f>IF(H$3="","",IF(COUNTIFS(BD!$A$3:$A$5001,H$3,BD!$B$3:$B$5001,$A$239,BD!$E$3:$E$5001,"&lt;&gt;")=0,"",SUMIFS(BD!$E$3:$E$5001,BD!$A$3:$A$5001,H$3,BD!$B$3:$B$5001,$A$239)))</f>
        <v/>
      </c>
      <c r="I241" s="183" t="str">
        <f>IF(I$3="","",IF(COUNTIFS(BD!$A$3:$A$5001,I$3,BD!$B$3:$B$5001,$A$239,BD!$E$3:$E$5001,"&lt;&gt;")=0,"",SUMIFS(BD!$E$3:$E$5001,BD!$A$3:$A$5001,I$3,BD!$B$3:$B$5001,$A$239)))</f>
        <v/>
      </c>
      <c r="J241" s="183" t="str">
        <f>IF(J$3="","",IF(COUNTIFS(BD!$A$3:$A$5001,J$3,BD!$B$3:$B$5001,$A$239,BD!$E$3:$E$5001,"&lt;&gt;")=0,"",SUMIFS(BD!$E$3:$E$5001,BD!$A$3:$A$5001,J$3,BD!$B$3:$B$5001,$A$239)))</f>
        <v/>
      </c>
      <c r="K241" s="183" t="str">
        <f>IF(K$3="","",IF(COUNTIFS(BD!$A$3:$A$5001,K$3,BD!$B$3:$B$5001,$A$239,BD!$E$3:$E$5001,"&lt;&gt;")=0,"",SUMIFS(BD!$E$3:$E$5001,BD!$A$3:$A$5001,K$3,BD!$B$3:$B$5001,$A$239)))</f>
        <v/>
      </c>
      <c r="L241" s="183" t="str">
        <f>IF(L$3="","",IF(COUNTIFS(BD!$A$3:$A$5001,L$3,BD!$B$3:$B$5001,$A$239,BD!$E$3:$E$5001,"&lt;&gt;")=0,"",SUMIFS(BD!$E$3:$E$5001,BD!$A$3:$A$5001,L$3,BD!$B$3:$B$5001,$A$239)))</f>
        <v/>
      </c>
      <c r="M241" s="183" t="str">
        <f>IF(M$3="","",IF(COUNTIFS(BD!$A$3:$A$5001,M$3,BD!$B$3:$B$5001,$A$239,BD!$E$3:$E$5001,"&lt;&gt;")=0,"",SUMIFS(BD!$E$3:$E$5001,BD!$A$3:$A$5001,M$3,BD!$B$3:$B$5001,$A$239)))</f>
        <v/>
      </c>
      <c r="N241" s="183" t="str">
        <f>IF(N$3="","",IF(COUNTIFS(BD!$A$3:$A$5001,N$3,BD!$B$3:$B$5001,$A$239,BD!$E$3:$E$5001,"&lt;&gt;")=0,"",SUMIFS(BD!$E$3:$E$5001,BD!$A$3:$A$5001,N$3,BD!$B$3:$B$5001,$A$239)))</f>
        <v/>
      </c>
      <c r="O241" s="183" t="str">
        <f>IF(O$3="","",IF(COUNTIFS(BD!$A$3:$A$5001,O$3,BD!$B$3:$B$5001,$A$239,BD!$E$3:$E$5001,"&lt;&gt;")=0,"",SUMIFS(BD!$E$3:$E$5001,BD!$A$3:$A$5001,O$3,BD!$B$3:$B$5001,$A$239)))</f>
        <v/>
      </c>
      <c r="P241" s="183" t="str">
        <f>IF(P$3="","",IF(COUNTIFS(BD!$A$3:$A$5001,P$3,BD!$B$3:$B$5001,$A$239,BD!$E$3:$E$5001,"&lt;&gt;")=0,"",SUMIFS(BD!$E$3:$E$5001,BD!$A$3:$A$5001,P$3,BD!$B$3:$B$5001,$A$239)))</f>
        <v/>
      </c>
      <c r="Q241" s="183" t="str">
        <f>IF(Q$3="","",IF(COUNTIFS(BD!$A$3:$A$5001,Q$3,BD!$B$3:$B$5001,$A$239,BD!$E$3:$E$5001,"&lt;&gt;")=0,"",SUMIFS(BD!$E$3:$E$5001,BD!$A$3:$A$5001,Q$3,BD!$B$3:$B$5001,$A$239)))</f>
        <v/>
      </c>
      <c r="R241" s="183" t="str">
        <f>IF(R$3="","",IF(COUNTIFS(BD!$A$3:$A$5001,R$3,BD!$B$3:$B$5001,$A$239,BD!$E$3:$E$5001,"&lt;&gt;")=0,"",SUMIFS(BD!$E$3:$E$5001,BD!$A$3:$A$5001,R$3,BD!$B$3:$B$5001,$A$239)))</f>
        <v/>
      </c>
      <c r="S241" s="183" t="str">
        <f>IF(S$3="","",IF(COUNTIFS(BD!$A$3:$A$5001,S$3,BD!$B$3:$B$5001,$A$239,BD!$E$3:$E$5001,"&lt;&gt;")=0,"",SUMIFS(BD!$E$3:$E$5001,BD!$A$3:$A$5001,S$3,BD!$B$3:$B$5001,$A$239)))</f>
        <v/>
      </c>
      <c r="T241" s="183" t="str">
        <f>IF(T$3="","",IF(COUNTIFS(BD!$A$3:$A$5001,T$3,BD!$B$3:$B$5001,$A$239,BD!$E$3:$E$5001,"&lt;&gt;")=0,"",SUMIFS(BD!$E$3:$E$5001,BD!$A$3:$A$5001,T$3,BD!$B$3:$B$5001,$A$239)))</f>
        <v/>
      </c>
      <c r="U241" s="183" t="str">
        <f>IF(U$3="","",IF(COUNTIFS(BD!$A$3:$A$5001,U$3,BD!$B$3:$B$5001,$A$239,BD!$E$3:$E$5001,"&lt;&gt;")=0,"",SUMIFS(BD!$E$3:$E$5001,BD!$A$3:$A$5001,U$3,BD!$B$3:$B$5001,$A$239)))</f>
        <v/>
      </c>
      <c r="V241" s="183" t="str">
        <f>IF(V$3="","",IF(COUNTIFS(BD!$A$3:$A$5001,V$3,BD!$B$3:$B$5001,$A$239,BD!$E$3:$E$5001,"&lt;&gt;")=0,"",SUMIFS(BD!$E$3:$E$5001,BD!$A$3:$A$5001,V$3,BD!$B$3:$B$5001,$A$239)))</f>
        <v/>
      </c>
      <c r="W241" s="183" t="str">
        <f>IF(W$3="","",IF(COUNTIFS(BD!$A$3:$A$5001,W$3,BD!$B$3:$B$5001,$A$239,BD!$E$3:$E$5001,"&lt;&gt;")=0,"",SUMIFS(BD!$E$3:$E$5001,BD!$A$3:$A$5001,W$3,BD!$B$3:$B$5001,$A$239)))</f>
        <v/>
      </c>
      <c r="X241" s="183" t="str">
        <f>IF(X$3="","",IF(COUNTIFS(BD!$A$3:$A$5001,X$3,BD!$B$3:$B$5001,$A$239,BD!$E$3:$E$5001,"&lt;&gt;")=0,"",SUMIFS(BD!$E$3:$E$5001,BD!$A$3:$A$5001,X$3,BD!$B$3:$B$5001,$A$239)))</f>
        <v/>
      </c>
      <c r="Y241" s="183" t="str">
        <f>IF(Y$3="","",IF(COUNTIFS(BD!$A$3:$A$5001,Y$3,BD!$B$3:$B$5001,$A$239,BD!$E$3:$E$5001,"&lt;&gt;")=0,"",SUMIFS(BD!$E$3:$E$5001,BD!$A$3:$A$5001,Y$3,BD!$B$3:$B$5001,$A$239)))</f>
        <v/>
      </c>
      <c r="Z241" s="183" t="str">
        <f>IF(Z$3="","",IF(COUNTIFS(BD!$A$3:$A$5001,Z$3,BD!$B$3:$B$5001,$A$239,BD!$E$3:$E$5001,"&lt;&gt;")=0,"",SUMIFS(BD!$E$3:$E$5001,BD!$A$3:$A$5001,Z$3,BD!$B$3:$B$5001,$A$239)))</f>
        <v/>
      </c>
      <c r="AA241" s="183" t="str">
        <f>IF(AA$3="","",IF(COUNTIFS(BD!$A$3:$A$5001,AA$3,BD!$B$3:$B$5001,$A$239,BD!$E$3:$E$5001,"&lt;&gt;")=0,"",SUMIFS(BD!$E$3:$E$5001,BD!$A$3:$A$5001,AA$3,BD!$B$3:$B$5001,$A$239)))</f>
        <v/>
      </c>
      <c r="AB241" s="183" t="str">
        <f>IF(AB$3="","",IF(COUNTIFS(BD!$A$3:$A$5001,AB$3,BD!$B$3:$B$5001,$A$239,BD!$E$3:$E$5001,"&lt;&gt;")=0,"",SUMIFS(BD!$E$3:$E$5001,BD!$A$3:$A$5001,AB$3,BD!$B$3:$B$5001,$A$239)))</f>
        <v/>
      </c>
      <c r="AC241" s="183" t="str">
        <f>IF(AC$3="","",IF(COUNTIFS(BD!$A$3:$A$5001,AC$3,BD!$B$3:$B$5001,$A$239,BD!$E$3:$E$5001,"&lt;&gt;")=0,"",SUMIFS(BD!$E$3:$E$5001,BD!$A$3:$A$5001,AC$3,BD!$B$3:$B$5001,$A$239)))</f>
        <v/>
      </c>
      <c r="AD241" s="183" t="str">
        <f>IF(AD$3="","",IF(COUNTIFS(BD!$A$3:$A$5001,AD$3,BD!$B$3:$B$5001,$A$239,BD!$E$3:$E$5001,"&lt;&gt;")=0,"",SUMIFS(BD!$E$3:$E$5001,BD!$A$3:$A$5001,AD$3,BD!$B$3:$B$5001,$A$239)))</f>
        <v/>
      </c>
      <c r="AE241" s="183" t="str">
        <f>IF(AE$3="","",IF(COUNTIFS(BD!$A$3:$A$5001,AE$3,BD!$B$3:$B$5001,$A$239,BD!$E$3:$E$5001,"&lt;&gt;")=0,"",SUMIFS(BD!$E$3:$E$5001,BD!$A$3:$A$5001,AE$3,BD!$B$3:$B$5001,$A$239)))</f>
        <v/>
      </c>
      <c r="AF241" s="183" t="str">
        <f>IF(AF$3="","",IF(COUNTIFS(BD!$A$3:$A$5001,AF$3,BD!$B$3:$B$5001,$A$239,BD!$E$3:$E$5001,"&lt;&gt;")=0,"",SUMIFS(BD!$E$3:$E$5001,BD!$A$3:$A$5001,AF$3,BD!$B$3:$B$5001,$A$239)))</f>
        <v/>
      </c>
      <c r="AG241" s="183" t="str">
        <f>IF(AG$3="","",IF(COUNTIFS(BD!$A$3:$A$5001,AG$3,BD!$B$3:$B$5001,$A$239,BD!$E$3:$E$5001,"&lt;&gt;")=0,"",SUMIFS(BD!$E$3:$E$5001,BD!$A$3:$A$5001,AG$3,BD!$B$3:$B$5001,$A$239)))</f>
        <v/>
      </c>
      <c r="AH241" s="183" t="str">
        <f>IF(AH$3="","",IF(COUNTIFS(BD!$A$3:$A$5001,AH$3,BD!$B$3:$B$5001,$A$239,BD!$E$3:$E$5001,"&lt;&gt;")=0,"",SUMIFS(BD!$E$3:$E$5001,BD!$A$3:$A$5001,AH$3,BD!$B$3:$B$5001,$A$239)))</f>
        <v/>
      </c>
      <c r="AI241" s="183" t="str">
        <f>IF(AI$3="","",IF(COUNTIFS(BD!$A$3:$A$5001,AI$3,BD!$B$3:$B$5001,$A$239,BD!$E$3:$E$5001,"&lt;&gt;")=0,"",SUMIFS(BD!$E$3:$E$5001,BD!$A$3:$A$5001,AI$3,BD!$B$3:$B$5001,$A$239)))</f>
        <v/>
      </c>
      <c r="AJ241" s="184" t="str">
        <f>IF(AJ$3="","",IF(COUNTIFS(BD!$A$3:$A$5001,AJ$3,BD!$B$3:$B$5001,$A$239,BD!$E$3:$E$5001,"&lt;&gt;")=0,"",SUMIFS(BD!$E$3:$E$5001,BD!$A$3:$A$5001,AJ$3,BD!$B$3:$B$5001,$A$239)))</f>
        <v/>
      </c>
      <c r="AK241" s="185" t="str">
        <f>IF(COUNT(F241:AJ241)=0,"",SUM(F241:AJ241))</f>
        <v/>
      </c>
    </row>
    <row r="242" ht="15.75" customHeight="1" hidden="1">
      <c r="A242" s="277"/>
      <c r="B242" s="265"/>
      <c r="C242" s="175" t="inlineStr">
        <is>
          <t xml:space="preserve">Caixas Recebidas</t>
        </is>
      </c>
      <c r="D242" s="176" t="str">
        <f>IFERROR(1/(1/INDEX(BD!$AF$26:$AZ$26,MATCH($A$239,BD!$AF$22:$AZ$22,0))),"")</f>
        <v/>
      </c>
      <c r="E242" s="177"/>
      <c r="F242" s="178" t="str">
        <f>IF(F$3="","",IF(COUNTIFS(BD!$A$3:$A$5001,F$3,BD!$B$3:$B$5001,$A$239,BD!$F$3:$F$5001,"&lt;&gt;")=0,"",SUMIFS(BD!$F$3:$F$5001,BD!$A$3:$A$5001,F$3,BD!$B$3:$B$5001,$A$239)))</f>
        <v/>
      </c>
      <c r="G242" s="179" t="str">
        <f>IF(G$3="","",IF(COUNTIFS(BD!$A$3:$A$5001,G$3,BD!$B$3:$B$5001,$A$239,BD!$F$3:$F$5001,"&lt;&gt;")=0,"",SUMIFS(BD!$F$3:$F$5001,BD!$A$3:$A$5001,G$3,BD!$B$3:$B$5001,$A$239)))</f>
        <v/>
      </c>
      <c r="H242" s="179" t="str">
        <f>IF(H$3="","",IF(COUNTIFS(BD!$A$3:$A$5001,H$3,BD!$B$3:$B$5001,$A$239,BD!$F$3:$F$5001,"&lt;&gt;")=0,"",SUMIFS(BD!$F$3:$F$5001,BD!$A$3:$A$5001,H$3,BD!$B$3:$B$5001,$A$239)))</f>
        <v/>
      </c>
      <c r="I242" s="179" t="str">
        <f>IF(I$3="","",IF(COUNTIFS(BD!$A$3:$A$5001,I$3,BD!$B$3:$B$5001,$A$239,BD!$F$3:$F$5001,"&lt;&gt;")=0,"",SUMIFS(BD!$F$3:$F$5001,BD!$A$3:$A$5001,I$3,BD!$B$3:$B$5001,$A$239)))</f>
        <v/>
      </c>
      <c r="J242" s="179" t="str">
        <f>IF(J$3="","",IF(COUNTIFS(BD!$A$3:$A$5001,J$3,BD!$B$3:$B$5001,$A$239,BD!$F$3:$F$5001,"&lt;&gt;")=0,"",SUMIFS(BD!$F$3:$F$5001,BD!$A$3:$A$5001,J$3,BD!$B$3:$B$5001,$A$239)))</f>
        <v/>
      </c>
      <c r="K242" s="179" t="str">
        <f>IF(K$3="","",IF(COUNTIFS(BD!$A$3:$A$5001,K$3,BD!$B$3:$B$5001,$A$239,BD!$F$3:$F$5001,"&lt;&gt;")=0,"",SUMIFS(BD!$F$3:$F$5001,BD!$A$3:$A$5001,K$3,BD!$B$3:$B$5001,$A$239)))</f>
        <v/>
      </c>
      <c r="L242" s="179" t="str">
        <f>IF(L$3="","",IF(COUNTIFS(BD!$A$3:$A$5001,L$3,BD!$B$3:$B$5001,$A$239,BD!$F$3:$F$5001,"&lt;&gt;")=0,"",SUMIFS(BD!$F$3:$F$5001,BD!$A$3:$A$5001,L$3,BD!$B$3:$B$5001,$A$239)))</f>
        <v/>
      </c>
      <c r="M242" s="179" t="str">
        <f>IF(M$3="","",IF(COUNTIFS(BD!$A$3:$A$5001,M$3,BD!$B$3:$B$5001,$A$239,BD!$F$3:$F$5001,"&lt;&gt;")=0,"",SUMIFS(BD!$F$3:$F$5001,BD!$A$3:$A$5001,M$3,BD!$B$3:$B$5001,$A$239)))</f>
        <v/>
      </c>
      <c r="N242" s="179" t="str">
        <f>IF(N$3="","",IF(COUNTIFS(BD!$A$3:$A$5001,N$3,BD!$B$3:$B$5001,$A$239,BD!$F$3:$F$5001,"&lt;&gt;")=0,"",SUMIFS(BD!$F$3:$F$5001,BD!$A$3:$A$5001,N$3,BD!$B$3:$B$5001,$A$239)))</f>
        <v/>
      </c>
      <c r="O242" s="179" t="str">
        <f>IF(O$3="","",IF(COUNTIFS(BD!$A$3:$A$5001,O$3,BD!$B$3:$B$5001,$A$239,BD!$F$3:$F$5001,"&lt;&gt;")=0,"",SUMIFS(BD!$F$3:$F$5001,BD!$A$3:$A$5001,O$3,BD!$B$3:$B$5001,$A$239)))</f>
        <v/>
      </c>
      <c r="P242" s="179" t="str">
        <f>IF(P$3="","",IF(COUNTIFS(BD!$A$3:$A$5001,P$3,BD!$B$3:$B$5001,$A$239,BD!$F$3:$F$5001,"&lt;&gt;")=0,"",SUMIFS(BD!$F$3:$F$5001,BD!$A$3:$A$5001,P$3,BD!$B$3:$B$5001,$A$239)))</f>
        <v/>
      </c>
      <c r="Q242" s="179" t="str">
        <f>IF(Q$3="","",IF(COUNTIFS(BD!$A$3:$A$5001,Q$3,BD!$B$3:$B$5001,$A$239,BD!$F$3:$F$5001,"&lt;&gt;")=0,"",SUMIFS(BD!$F$3:$F$5001,BD!$A$3:$A$5001,Q$3,BD!$B$3:$B$5001,$A$239)))</f>
        <v/>
      </c>
      <c r="R242" s="179" t="str">
        <f>IF(R$3="","",IF(COUNTIFS(BD!$A$3:$A$5001,R$3,BD!$B$3:$B$5001,$A$239,BD!$F$3:$F$5001,"&lt;&gt;")=0,"",SUMIFS(BD!$F$3:$F$5001,BD!$A$3:$A$5001,R$3,BD!$B$3:$B$5001,$A$239)))</f>
        <v/>
      </c>
      <c r="S242" s="179" t="str">
        <f>IF(S$3="","",IF(COUNTIFS(BD!$A$3:$A$5001,S$3,BD!$B$3:$B$5001,$A$239,BD!$F$3:$F$5001,"&lt;&gt;")=0,"",SUMIFS(BD!$F$3:$F$5001,BD!$A$3:$A$5001,S$3,BD!$B$3:$B$5001,$A$239)))</f>
        <v/>
      </c>
      <c r="T242" s="179" t="str">
        <f>IF(T$3="","",IF(COUNTIFS(BD!$A$3:$A$5001,T$3,BD!$B$3:$B$5001,$A$239,BD!$F$3:$F$5001,"&lt;&gt;")=0,"",SUMIFS(BD!$F$3:$F$5001,BD!$A$3:$A$5001,T$3,BD!$B$3:$B$5001,$A$239)))</f>
        <v/>
      </c>
      <c r="U242" s="179" t="str">
        <f>IF(U$3="","",IF(COUNTIFS(BD!$A$3:$A$5001,U$3,BD!$B$3:$B$5001,$A$239,BD!$F$3:$F$5001,"&lt;&gt;")=0,"",SUMIFS(BD!$F$3:$F$5001,BD!$A$3:$A$5001,U$3,BD!$B$3:$B$5001,$A$239)))</f>
        <v/>
      </c>
      <c r="V242" s="179" t="str">
        <f>IF(V$3="","",IF(COUNTIFS(BD!$A$3:$A$5001,V$3,BD!$B$3:$B$5001,$A$239,BD!$F$3:$F$5001,"&lt;&gt;")=0,"",SUMIFS(BD!$F$3:$F$5001,BD!$A$3:$A$5001,V$3,BD!$B$3:$B$5001,$A$239)))</f>
        <v/>
      </c>
      <c r="W242" s="179" t="str">
        <f>IF(W$3="","",IF(COUNTIFS(BD!$A$3:$A$5001,W$3,BD!$B$3:$B$5001,$A$239,BD!$F$3:$F$5001,"&lt;&gt;")=0,"",SUMIFS(BD!$F$3:$F$5001,BD!$A$3:$A$5001,W$3,BD!$B$3:$B$5001,$A$239)))</f>
        <v/>
      </c>
      <c r="X242" s="179" t="str">
        <f>IF(X$3="","",IF(COUNTIFS(BD!$A$3:$A$5001,X$3,BD!$B$3:$B$5001,$A$239,BD!$F$3:$F$5001,"&lt;&gt;")=0,"",SUMIFS(BD!$F$3:$F$5001,BD!$A$3:$A$5001,X$3,BD!$B$3:$B$5001,$A$239)))</f>
        <v/>
      </c>
      <c r="Y242" s="179" t="str">
        <f>IF(Y$3="","",IF(COUNTIFS(BD!$A$3:$A$5001,Y$3,BD!$B$3:$B$5001,$A$239,BD!$F$3:$F$5001,"&lt;&gt;")=0,"",SUMIFS(BD!$F$3:$F$5001,BD!$A$3:$A$5001,Y$3,BD!$B$3:$B$5001,$A$239)))</f>
        <v/>
      </c>
      <c r="Z242" s="179" t="str">
        <f>IF(Z$3="","",IF(COUNTIFS(BD!$A$3:$A$5001,Z$3,BD!$B$3:$B$5001,$A$239,BD!$F$3:$F$5001,"&lt;&gt;")=0,"",SUMIFS(BD!$F$3:$F$5001,BD!$A$3:$A$5001,Z$3,BD!$B$3:$B$5001,$A$239)))</f>
        <v/>
      </c>
      <c r="AA242" s="179" t="str">
        <f>IF(AA$3="","",IF(COUNTIFS(BD!$A$3:$A$5001,AA$3,BD!$B$3:$B$5001,$A$239,BD!$F$3:$F$5001,"&lt;&gt;")=0,"",SUMIFS(BD!$F$3:$F$5001,BD!$A$3:$A$5001,AA$3,BD!$B$3:$B$5001,$A$239)))</f>
        <v/>
      </c>
      <c r="AB242" s="179" t="str">
        <f>IF(AB$3="","",IF(COUNTIFS(BD!$A$3:$A$5001,AB$3,BD!$B$3:$B$5001,$A$239,BD!$F$3:$F$5001,"&lt;&gt;")=0,"",SUMIFS(BD!$F$3:$F$5001,BD!$A$3:$A$5001,AB$3,BD!$B$3:$B$5001,$A$239)))</f>
        <v/>
      </c>
      <c r="AC242" s="179" t="str">
        <f>IF(AC$3="","",IF(COUNTIFS(BD!$A$3:$A$5001,AC$3,BD!$B$3:$B$5001,$A$239,BD!$F$3:$F$5001,"&lt;&gt;")=0,"",SUMIFS(BD!$F$3:$F$5001,BD!$A$3:$A$5001,AC$3,BD!$B$3:$B$5001,$A$239)))</f>
        <v/>
      </c>
      <c r="AD242" s="179" t="str">
        <f>IF(AD$3="","",IF(COUNTIFS(BD!$A$3:$A$5001,AD$3,BD!$B$3:$B$5001,$A$239,BD!$F$3:$F$5001,"&lt;&gt;")=0,"",SUMIFS(BD!$F$3:$F$5001,BD!$A$3:$A$5001,AD$3,BD!$B$3:$B$5001,$A$239)))</f>
        <v/>
      </c>
      <c r="AE242" s="179" t="str">
        <f>IF(AE$3="","",IF(COUNTIFS(BD!$A$3:$A$5001,AE$3,BD!$B$3:$B$5001,$A$239,BD!$F$3:$F$5001,"&lt;&gt;")=0,"",SUMIFS(BD!$F$3:$F$5001,BD!$A$3:$A$5001,AE$3,BD!$B$3:$B$5001,$A$239)))</f>
        <v/>
      </c>
      <c r="AF242" s="179" t="str">
        <f>IF(AF$3="","",IF(COUNTIFS(BD!$A$3:$A$5001,AF$3,BD!$B$3:$B$5001,$A$239,BD!$F$3:$F$5001,"&lt;&gt;")=0,"",SUMIFS(BD!$F$3:$F$5001,BD!$A$3:$A$5001,AF$3,BD!$B$3:$B$5001,$A$239)))</f>
        <v/>
      </c>
      <c r="AG242" s="179" t="str">
        <f>IF(AG$3="","",IF(COUNTIFS(BD!$A$3:$A$5001,AG$3,BD!$B$3:$B$5001,$A$239,BD!$F$3:$F$5001,"&lt;&gt;")=0,"",SUMIFS(BD!$F$3:$F$5001,BD!$A$3:$A$5001,AG$3,BD!$B$3:$B$5001,$A$239)))</f>
        <v/>
      </c>
      <c r="AH242" s="179" t="str">
        <f>IF(AH$3="","",IF(COUNTIFS(BD!$A$3:$A$5001,AH$3,BD!$B$3:$B$5001,$A$239,BD!$F$3:$F$5001,"&lt;&gt;")=0,"",SUMIFS(BD!$F$3:$F$5001,BD!$A$3:$A$5001,AH$3,BD!$B$3:$B$5001,$A$239)))</f>
        <v/>
      </c>
      <c r="AI242" s="179" t="str">
        <f>IF(AI$3="","",IF(COUNTIFS(BD!$A$3:$A$5001,AI$3,BD!$B$3:$B$5001,$A$239,BD!$F$3:$F$5001,"&lt;&gt;")=0,"",SUMIFS(BD!$F$3:$F$5001,BD!$A$3:$A$5001,AI$3,BD!$B$3:$B$5001,$A$239)))</f>
        <v/>
      </c>
      <c r="AJ242" s="180" t="str">
        <f>IF(AJ$3="","",IF(COUNTIFS(BD!$A$3:$A$5001,AJ$3,BD!$B$3:$B$5001,$A$239,BD!$F$3:$F$5001,"&lt;&gt;")=0,"",SUMIFS(BD!$F$3:$F$5001,BD!$A$3:$A$5001,AJ$3,BD!$B$3:$B$5001,$A$239)))</f>
        <v/>
      </c>
      <c r="AK242" s="181" t="str">
        <f>IF(COUNT(F242:AJ242)=0,"",SUM(F242:AJ242))</f>
        <v/>
      </c>
    </row>
    <row r="243" ht="15.75" customHeight="1" hidden="1">
      <c r="A243" s="277"/>
      <c r="B243" s="266"/>
      <c r="C243" s="186" t="inlineStr">
        <is>
          <t xml:space="preserve">Bags Recebidos</t>
        </is>
      </c>
      <c r="D243" s="187" t="str">
        <f>IFERROR(1/(1/INDEX(BD!$AF$27:$AZ$27,MATCH($A$239,BD!$AF$22:$AZ$22,0))),"")</f>
        <v/>
      </c>
      <c r="E243" s="188"/>
      <c r="F243" s="189" t="str">
        <f>IF(F$3="","",IF(COUNTIFS(BD!$A$3:$A$5001,F$3,BD!$B$3:$B$5001,$A$239,BD!$G$3:$G$5001,"&lt;&gt;")=0,"",SUMIFS(BD!$G$3:$G$5001,BD!$A$3:$A$5001,F$3,BD!$B$3:$B$5001,$A$239)))</f>
        <v/>
      </c>
      <c r="G243" s="190" t="str">
        <f>IF(G$3="","",IF(COUNTIFS(BD!$A$3:$A$5001,G$3,BD!$B$3:$B$5001,$A$239,BD!$G$3:$G$5001,"&lt;&gt;")=0,"",SUMIFS(BD!$G$3:$G$5001,BD!$A$3:$A$5001,G$3,BD!$B$3:$B$5001,$A$239)))</f>
        <v/>
      </c>
      <c r="H243" s="190" t="str">
        <f>IF(H$3="","",IF(COUNTIFS(BD!$A$3:$A$5001,H$3,BD!$B$3:$B$5001,$A$239,BD!$G$3:$G$5001,"&lt;&gt;")=0,"",SUMIFS(BD!$G$3:$G$5001,BD!$A$3:$A$5001,H$3,BD!$B$3:$B$5001,$A$239)))</f>
        <v/>
      </c>
      <c r="I243" s="190" t="str">
        <f>IF(I$3="","",IF(COUNTIFS(BD!$A$3:$A$5001,I$3,BD!$B$3:$B$5001,$A$239,BD!$G$3:$G$5001,"&lt;&gt;")=0,"",SUMIFS(BD!$G$3:$G$5001,BD!$A$3:$A$5001,I$3,BD!$B$3:$B$5001,$A$239)))</f>
        <v/>
      </c>
      <c r="J243" s="190" t="str">
        <f>IF(J$3="","",IF(COUNTIFS(BD!$A$3:$A$5001,J$3,BD!$B$3:$B$5001,$A$239,BD!$G$3:$G$5001,"&lt;&gt;")=0,"",SUMIFS(BD!$G$3:$G$5001,BD!$A$3:$A$5001,J$3,BD!$B$3:$B$5001,$A$239)))</f>
        <v/>
      </c>
      <c r="K243" s="190" t="str">
        <f>IF(K$3="","",IF(COUNTIFS(BD!$A$3:$A$5001,K$3,BD!$B$3:$B$5001,$A$239,BD!$G$3:$G$5001,"&lt;&gt;")=0,"",SUMIFS(BD!$G$3:$G$5001,BD!$A$3:$A$5001,K$3,BD!$B$3:$B$5001,$A$239)))</f>
        <v/>
      </c>
      <c r="L243" s="190" t="str">
        <f>IF(L$3="","",IF(COUNTIFS(BD!$A$3:$A$5001,L$3,BD!$B$3:$B$5001,$A$239,BD!$G$3:$G$5001,"&lt;&gt;")=0,"",SUMIFS(BD!$G$3:$G$5001,BD!$A$3:$A$5001,L$3,BD!$B$3:$B$5001,$A$239)))</f>
        <v/>
      </c>
      <c r="M243" s="190" t="str">
        <f>IF(M$3="","",IF(COUNTIFS(BD!$A$3:$A$5001,M$3,BD!$B$3:$B$5001,$A$239,BD!$G$3:$G$5001,"&lt;&gt;")=0,"",SUMIFS(BD!$G$3:$G$5001,BD!$A$3:$A$5001,M$3,BD!$B$3:$B$5001,$A$239)))</f>
        <v/>
      </c>
      <c r="N243" s="190" t="str">
        <f>IF(N$3="","",IF(COUNTIFS(BD!$A$3:$A$5001,N$3,BD!$B$3:$B$5001,$A$239,BD!$G$3:$G$5001,"&lt;&gt;")=0,"",SUMIFS(BD!$G$3:$G$5001,BD!$A$3:$A$5001,N$3,BD!$B$3:$B$5001,$A$239)))</f>
        <v/>
      </c>
      <c r="O243" s="190" t="str">
        <f>IF(O$3="","",IF(COUNTIFS(BD!$A$3:$A$5001,O$3,BD!$B$3:$B$5001,$A$239,BD!$G$3:$G$5001,"&lt;&gt;")=0,"",SUMIFS(BD!$G$3:$G$5001,BD!$A$3:$A$5001,O$3,BD!$B$3:$B$5001,$A$239)))</f>
        <v/>
      </c>
      <c r="P243" s="190" t="str">
        <f>IF(P$3="","",IF(COUNTIFS(BD!$A$3:$A$5001,P$3,BD!$B$3:$B$5001,$A$239,BD!$G$3:$G$5001,"&lt;&gt;")=0,"",SUMIFS(BD!$G$3:$G$5001,BD!$A$3:$A$5001,P$3,BD!$B$3:$B$5001,$A$239)))</f>
        <v/>
      </c>
      <c r="Q243" s="190" t="str">
        <f>IF(Q$3="","",IF(COUNTIFS(BD!$A$3:$A$5001,Q$3,BD!$B$3:$B$5001,$A$239,BD!$G$3:$G$5001,"&lt;&gt;")=0,"",SUMIFS(BD!$G$3:$G$5001,BD!$A$3:$A$5001,Q$3,BD!$B$3:$B$5001,$A$239)))</f>
        <v/>
      </c>
      <c r="R243" s="190" t="str">
        <f>IF(R$3="","",IF(COUNTIFS(BD!$A$3:$A$5001,R$3,BD!$B$3:$B$5001,$A$239,BD!$G$3:$G$5001,"&lt;&gt;")=0,"",SUMIFS(BD!$G$3:$G$5001,BD!$A$3:$A$5001,R$3,BD!$B$3:$B$5001,$A$239)))</f>
        <v/>
      </c>
      <c r="S243" s="190" t="str">
        <f>IF(S$3="","",IF(COUNTIFS(BD!$A$3:$A$5001,S$3,BD!$B$3:$B$5001,$A$239,BD!$G$3:$G$5001,"&lt;&gt;")=0,"",SUMIFS(BD!$G$3:$G$5001,BD!$A$3:$A$5001,S$3,BD!$B$3:$B$5001,$A$239)))</f>
        <v/>
      </c>
      <c r="T243" s="190" t="str">
        <f>IF(T$3="","",IF(COUNTIFS(BD!$A$3:$A$5001,T$3,BD!$B$3:$B$5001,$A$239,BD!$G$3:$G$5001,"&lt;&gt;")=0,"",SUMIFS(BD!$G$3:$G$5001,BD!$A$3:$A$5001,T$3,BD!$B$3:$B$5001,$A$239)))</f>
        <v/>
      </c>
      <c r="U243" s="190" t="str">
        <f>IF(U$3="","",IF(COUNTIFS(BD!$A$3:$A$5001,U$3,BD!$B$3:$B$5001,$A$239,BD!$G$3:$G$5001,"&lt;&gt;")=0,"",SUMIFS(BD!$G$3:$G$5001,BD!$A$3:$A$5001,U$3,BD!$B$3:$B$5001,$A$239)))</f>
        <v/>
      </c>
      <c r="V243" s="190" t="str">
        <f>IF(V$3="","",IF(COUNTIFS(BD!$A$3:$A$5001,V$3,BD!$B$3:$B$5001,$A$239,BD!$G$3:$G$5001,"&lt;&gt;")=0,"",SUMIFS(BD!$G$3:$G$5001,BD!$A$3:$A$5001,V$3,BD!$B$3:$B$5001,$A$239)))</f>
        <v/>
      </c>
      <c r="W243" s="190" t="str">
        <f>IF(W$3="","",IF(COUNTIFS(BD!$A$3:$A$5001,W$3,BD!$B$3:$B$5001,$A$239,BD!$G$3:$G$5001,"&lt;&gt;")=0,"",SUMIFS(BD!$G$3:$G$5001,BD!$A$3:$A$5001,W$3,BD!$B$3:$B$5001,$A$239)))</f>
        <v/>
      </c>
      <c r="X243" s="190" t="str">
        <f>IF(X$3="","",IF(COUNTIFS(BD!$A$3:$A$5001,X$3,BD!$B$3:$B$5001,$A$239,BD!$G$3:$G$5001,"&lt;&gt;")=0,"",SUMIFS(BD!$G$3:$G$5001,BD!$A$3:$A$5001,X$3,BD!$B$3:$B$5001,$A$239)))</f>
        <v/>
      </c>
      <c r="Y243" s="190" t="str">
        <f>IF(Y$3="","",IF(COUNTIFS(BD!$A$3:$A$5001,Y$3,BD!$B$3:$B$5001,$A$239,BD!$G$3:$G$5001,"&lt;&gt;")=0,"",SUMIFS(BD!$G$3:$G$5001,BD!$A$3:$A$5001,Y$3,BD!$B$3:$B$5001,$A$239)))</f>
        <v/>
      </c>
      <c r="Z243" s="190" t="str">
        <f>IF(Z$3="","",IF(COUNTIFS(BD!$A$3:$A$5001,Z$3,BD!$B$3:$B$5001,$A$239,BD!$G$3:$G$5001,"&lt;&gt;")=0,"",SUMIFS(BD!$G$3:$G$5001,BD!$A$3:$A$5001,Z$3,BD!$B$3:$B$5001,$A$239)))</f>
        <v/>
      </c>
      <c r="AA243" s="190" t="str">
        <f>IF(AA$3="","",IF(COUNTIFS(BD!$A$3:$A$5001,AA$3,BD!$B$3:$B$5001,$A$239,BD!$G$3:$G$5001,"&lt;&gt;")=0,"",SUMIFS(BD!$G$3:$G$5001,BD!$A$3:$A$5001,AA$3,BD!$B$3:$B$5001,$A$239)))</f>
        <v/>
      </c>
      <c r="AB243" s="190" t="str">
        <f>IF(AB$3="","",IF(COUNTIFS(BD!$A$3:$A$5001,AB$3,BD!$B$3:$B$5001,$A$239,BD!$G$3:$G$5001,"&lt;&gt;")=0,"",SUMIFS(BD!$G$3:$G$5001,BD!$A$3:$A$5001,AB$3,BD!$B$3:$B$5001,$A$239)))</f>
        <v/>
      </c>
      <c r="AC243" s="190" t="str">
        <f>IF(AC$3="","",IF(COUNTIFS(BD!$A$3:$A$5001,AC$3,BD!$B$3:$B$5001,$A$239,BD!$G$3:$G$5001,"&lt;&gt;")=0,"",SUMIFS(BD!$G$3:$G$5001,BD!$A$3:$A$5001,AC$3,BD!$B$3:$B$5001,$A$239)))</f>
        <v/>
      </c>
      <c r="AD243" s="190" t="str">
        <f>IF(AD$3="","",IF(COUNTIFS(BD!$A$3:$A$5001,AD$3,BD!$B$3:$B$5001,$A$239,BD!$G$3:$G$5001,"&lt;&gt;")=0,"",SUMIFS(BD!$G$3:$G$5001,BD!$A$3:$A$5001,AD$3,BD!$B$3:$B$5001,$A$239)))</f>
        <v/>
      </c>
      <c r="AE243" s="190" t="str">
        <f>IF(AE$3="","",IF(COUNTIFS(BD!$A$3:$A$5001,AE$3,BD!$B$3:$B$5001,$A$239,BD!$G$3:$G$5001,"&lt;&gt;")=0,"",SUMIFS(BD!$G$3:$G$5001,BD!$A$3:$A$5001,AE$3,BD!$B$3:$B$5001,$A$239)))</f>
        <v/>
      </c>
      <c r="AF243" s="190" t="str">
        <f>IF(AF$3="","",IF(COUNTIFS(BD!$A$3:$A$5001,AF$3,BD!$B$3:$B$5001,$A$239,BD!$G$3:$G$5001,"&lt;&gt;")=0,"",SUMIFS(BD!$G$3:$G$5001,BD!$A$3:$A$5001,AF$3,BD!$B$3:$B$5001,$A$239)))</f>
        <v/>
      </c>
      <c r="AG243" s="190" t="str">
        <f>IF(AG$3="","",IF(COUNTIFS(BD!$A$3:$A$5001,AG$3,BD!$B$3:$B$5001,$A$239,BD!$G$3:$G$5001,"&lt;&gt;")=0,"",SUMIFS(BD!$G$3:$G$5001,BD!$A$3:$A$5001,AG$3,BD!$B$3:$B$5001,$A$239)))</f>
        <v/>
      </c>
      <c r="AH243" s="190" t="str">
        <f>IF(AH$3="","",IF(COUNTIFS(BD!$A$3:$A$5001,AH$3,BD!$B$3:$B$5001,$A$239,BD!$G$3:$G$5001,"&lt;&gt;")=0,"",SUMIFS(BD!$G$3:$G$5001,BD!$A$3:$A$5001,AH$3,BD!$B$3:$B$5001,$A$239)))</f>
        <v/>
      </c>
      <c r="AI243" s="190" t="str">
        <f>IF(AI$3="","",IF(COUNTIFS(BD!$A$3:$A$5001,AI$3,BD!$B$3:$B$5001,$A$239,BD!$G$3:$G$5001,"&lt;&gt;")=0,"",SUMIFS(BD!$G$3:$G$5001,BD!$A$3:$A$5001,AI$3,BD!$B$3:$B$5001,$A$239)))</f>
        <v/>
      </c>
      <c r="AJ243" s="191" t="str">
        <f>IF(AJ$3="","",IF(COUNTIFS(BD!$A$3:$A$5001,AJ$3,BD!$B$3:$B$5001,$A$239,BD!$G$3:$G$5001,"&lt;&gt;")=0,"",SUMIFS(BD!$G$3:$G$5001,BD!$A$3:$A$5001,AJ$3,BD!$B$3:$B$5001,$A$239)))</f>
        <v/>
      </c>
      <c r="AK243" s="187" t="str">
        <f>IF(COUNT(F243:AJ243)=0,"",SUM(F243:AJ243))</f>
        <v/>
      </c>
    </row>
    <row r="244" ht="15.75" customHeight="1" hidden="1">
      <c r="A244" s="277"/>
      <c r="B244" s="267" t="inlineStr">
        <is>
          <t xml:space="preserve">OUT</t>
        </is>
      </c>
      <c r="C244" s="192" t="inlineStr">
        <is>
          <t xml:space="preserve">Veículos Expedidos</t>
        </is>
      </c>
      <c r="D244" s="193" t="str">
        <f>IFERROR(1/(1/INDEX(BD!$AF$28:$AZ$28,MATCH($A$239,BD!$AF$22:$AZ$22,0))),"")</f>
        <v/>
      </c>
      <c r="E244" s="194"/>
      <c r="F244" s="195" t="str">
        <f>IF(F$3="","",IF(COUNTIFS(BD!$A$3:$A$5001,F$3,BD!$B$3:$B$5001,$A$239,BD!$H$3:$H$5001,"&lt;&gt;")=0,"",SUMIFS(BD!$H$3:$H$5001,BD!$A$3:$A$5001,F$3,BD!$B$3:$B$5001,$A$239)))</f>
        <v/>
      </c>
      <c r="G244" s="196" t="str">
        <f>IF(G$3="","",IF(COUNTIFS(BD!$A$3:$A$5001,G$3,BD!$B$3:$B$5001,$A$239,BD!$H$3:$H$5001,"&lt;&gt;")=0,"",SUMIFS(BD!$H$3:$H$5001,BD!$A$3:$A$5001,G$3,BD!$B$3:$B$5001,$A$239)))</f>
        <v/>
      </c>
      <c r="H244" s="196" t="str">
        <f>IF(H$3="","",IF(COUNTIFS(BD!$A$3:$A$5001,H$3,BD!$B$3:$B$5001,$A$239,BD!$H$3:$H$5001,"&lt;&gt;")=0,"",SUMIFS(BD!$H$3:$H$5001,BD!$A$3:$A$5001,H$3,BD!$B$3:$B$5001,$A$239)))</f>
        <v/>
      </c>
      <c r="I244" s="196" t="str">
        <f>IF(I$3="","",IF(COUNTIFS(BD!$A$3:$A$5001,I$3,BD!$B$3:$B$5001,$A$239,BD!$H$3:$H$5001,"&lt;&gt;")=0,"",SUMIFS(BD!$H$3:$H$5001,BD!$A$3:$A$5001,I$3,BD!$B$3:$B$5001,$A$239)))</f>
        <v/>
      </c>
      <c r="J244" s="196" t="str">
        <f>IF(J$3="","",IF(COUNTIFS(BD!$A$3:$A$5001,J$3,BD!$B$3:$B$5001,$A$239,BD!$H$3:$H$5001,"&lt;&gt;")=0,"",SUMIFS(BD!$H$3:$H$5001,BD!$A$3:$A$5001,J$3,BD!$B$3:$B$5001,$A$239)))</f>
        <v/>
      </c>
      <c r="K244" s="196" t="str">
        <f>IF(K$3="","",IF(COUNTIFS(BD!$A$3:$A$5001,K$3,BD!$B$3:$B$5001,$A$239,BD!$H$3:$H$5001,"&lt;&gt;")=0,"",SUMIFS(BD!$H$3:$H$5001,BD!$A$3:$A$5001,K$3,BD!$B$3:$B$5001,$A$239)))</f>
        <v/>
      </c>
      <c r="L244" s="196" t="str">
        <f>IF(L$3="","",IF(COUNTIFS(BD!$A$3:$A$5001,L$3,BD!$B$3:$B$5001,$A$239,BD!$H$3:$H$5001,"&lt;&gt;")=0,"",SUMIFS(BD!$H$3:$H$5001,BD!$A$3:$A$5001,L$3,BD!$B$3:$B$5001,$A$239)))</f>
        <v/>
      </c>
      <c r="M244" s="196" t="str">
        <f>IF(M$3="","",IF(COUNTIFS(BD!$A$3:$A$5001,M$3,BD!$B$3:$B$5001,$A$239,BD!$H$3:$H$5001,"&lt;&gt;")=0,"",SUMIFS(BD!$H$3:$H$5001,BD!$A$3:$A$5001,M$3,BD!$B$3:$B$5001,$A$239)))</f>
        <v/>
      </c>
      <c r="N244" s="196" t="str">
        <f>IF(N$3="","",IF(COUNTIFS(BD!$A$3:$A$5001,N$3,BD!$B$3:$B$5001,$A$239,BD!$H$3:$H$5001,"&lt;&gt;")=0,"",SUMIFS(BD!$H$3:$H$5001,BD!$A$3:$A$5001,N$3,BD!$B$3:$B$5001,$A$239)))</f>
        <v/>
      </c>
      <c r="O244" s="196" t="str">
        <f>IF(O$3="","",IF(COUNTIFS(BD!$A$3:$A$5001,O$3,BD!$B$3:$B$5001,$A$239,BD!$H$3:$H$5001,"&lt;&gt;")=0,"",SUMIFS(BD!$H$3:$H$5001,BD!$A$3:$A$5001,O$3,BD!$B$3:$B$5001,$A$239)))</f>
        <v/>
      </c>
      <c r="P244" s="196" t="str">
        <f>IF(P$3="","",IF(COUNTIFS(BD!$A$3:$A$5001,P$3,BD!$B$3:$B$5001,$A$239,BD!$H$3:$H$5001,"&lt;&gt;")=0,"",SUMIFS(BD!$H$3:$H$5001,BD!$A$3:$A$5001,P$3,BD!$B$3:$B$5001,$A$239)))</f>
        <v/>
      </c>
      <c r="Q244" s="196" t="str">
        <f>IF(Q$3="","",IF(COUNTIFS(BD!$A$3:$A$5001,Q$3,BD!$B$3:$B$5001,$A$239,BD!$H$3:$H$5001,"&lt;&gt;")=0,"",SUMIFS(BD!$H$3:$H$5001,BD!$A$3:$A$5001,Q$3,BD!$B$3:$B$5001,$A$239)))</f>
        <v/>
      </c>
      <c r="R244" s="196" t="str">
        <f>IF(R$3="","",IF(COUNTIFS(BD!$A$3:$A$5001,R$3,BD!$B$3:$B$5001,$A$239,BD!$H$3:$H$5001,"&lt;&gt;")=0,"",SUMIFS(BD!$H$3:$H$5001,BD!$A$3:$A$5001,R$3,BD!$B$3:$B$5001,$A$239)))</f>
        <v/>
      </c>
      <c r="S244" s="196" t="str">
        <f>IF(S$3="","",IF(COUNTIFS(BD!$A$3:$A$5001,S$3,BD!$B$3:$B$5001,$A$239,BD!$H$3:$H$5001,"&lt;&gt;")=0,"",SUMIFS(BD!$H$3:$H$5001,BD!$A$3:$A$5001,S$3,BD!$B$3:$B$5001,$A$239)))</f>
        <v/>
      </c>
      <c r="T244" s="196" t="str">
        <f>IF(T$3="","",IF(COUNTIFS(BD!$A$3:$A$5001,T$3,BD!$B$3:$B$5001,$A$239,BD!$H$3:$H$5001,"&lt;&gt;")=0,"",SUMIFS(BD!$H$3:$H$5001,BD!$A$3:$A$5001,T$3,BD!$B$3:$B$5001,$A$239)))</f>
        <v/>
      </c>
      <c r="U244" s="196" t="str">
        <f>IF(U$3="","",IF(COUNTIFS(BD!$A$3:$A$5001,U$3,BD!$B$3:$B$5001,$A$239,BD!$H$3:$H$5001,"&lt;&gt;")=0,"",SUMIFS(BD!$H$3:$H$5001,BD!$A$3:$A$5001,U$3,BD!$B$3:$B$5001,$A$239)))</f>
        <v/>
      </c>
      <c r="V244" s="196" t="str">
        <f>IF(V$3="","",IF(COUNTIFS(BD!$A$3:$A$5001,V$3,BD!$B$3:$B$5001,$A$239,BD!$H$3:$H$5001,"&lt;&gt;")=0,"",SUMIFS(BD!$H$3:$H$5001,BD!$A$3:$A$5001,V$3,BD!$B$3:$B$5001,$A$239)))</f>
        <v/>
      </c>
      <c r="W244" s="196" t="str">
        <f>IF(W$3="","",IF(COUNTIFS(BD!$A$3:$A$5001,W$3,BD!$B$3:$B$5001,$A$239,BD!$H$3:$H$5001,"&lt;&gt;")=0,"",SUMIFS(BD!$H$3:$H$5001,BD!$A$3:$A$5001,W$3,BD!$B$3:$B$5001,$A$239)))</f>
        <v/>
      </c>
      <c r="X244" s="196" t="str">
        <f>IF(X$3="","",IF(COUNTIFS(BD!$A$3:$A$5001,X$3,BD!$B$3:$B$5001,$A$239,BD!$H$3:$H$5001,"&lt;&gt;")=0,"",SUMIFS(BD!$H$3:$H$5001,BD!$A$3:$A$5001,X$3,BD!$B$3:$B$5001,$A$239)))</f>
        <v/>
      </c>
      <c r="Y244" s="196" t="str">
        <f>IF(Y$3="","",IF(COUNTIFS(BD!$A$3:$A$5001,Y$3,BD!$B$3:$B$5001,$A$239,BD!$H$3:$H$5001,"&lt;&gt;")=0,"",SUMIFS(BD!$H$3:$H$5001,BD!$A$3:$A$5001,Y$3,BD!$B$3:$B$5001,$A$239)))</f>
        <v/>
      </c>
      <c r="Z244" s="196" t="str">
        <f>IF(Z$3="","",IF(COUNTIFS(BD!$A$3:$A$5001,Z$3,BD!$B$3:$B$5001,$A$239,BD!$H$3:$H$5001,"&lt;&gt;")=0,"",SUMIFS(BD!$H$3:$H$5001,BD!$A$3:$A$5001,Z$3,BD!$B$3:$B$5001,$A$239)))</f>
        <v/>
      </c>
      <c r="AA244" s="196" t="str">
        <f>IF(AA$3="","",IF(COUNTIFS(BD!$A$3:$A$5001,AA$3,BD!$B$3:$B$5001,$A$239,BD!$H$3:$H$5001,"&lt;&gt;")=0,"",SUMIFS(BD!$H$3:$H$5001,BD!$A$3:$A$5001,AA$3,BD!$B$3:$B$5001,$A$239)))</f>
        <v/>
      </c>
      <c r="AB244" s="196" t="str">
        <f>IF(AB$3="","",IF(COUNTIFS(BD!$A$3:$A$5001,AB$3,BD!$B$3:$B$5001,$A$239,BD!$H$3:$H$5001,"&lt;&gt;")=0,"",SUMIFS(BD!$H$3:$H$5001,BD!$A$3:$A$5001,AB$3,BD!$B$3:$B$5001,$A$239)))</f>
        <v/>
      </c>
      <c r="AC244" s="196" t="str">
        <f>IF(AC$3="","",IF(COUNTIFS(BD!$A$3:$A$5001,AC$3,BD!$B$3:$B$5001,$A$239,BD!$H$3:$H$5001,"&lt;&gt;")=0,"",SUMIFS(BD!$H$3:$H$5001,BD!$A$3:$A$5001,AC$3,BD!$B$3:$B$5001,$A$239)))</f>
        <v/>
      </c>
      <c r="AD244" s="196" t="str">
        <f>IF(AD$3="","",IF(COUNTIFS(BD!$A$3:$A$5001,AD$3,BD!$B$3:$B$5001,$A$239,BD!$H$3:$H$5001,"&lt;&gt;")=0,"",SUMIFS(BD!$H$3:$H$5001,BD!$A$3:$A$5001,AD$3,BD!$B$3:$B$5001,$A$239)))</f>
        <v/>
      </c>
      <c r="AE244" s="196" t="str">
        <f>IF(AE$3="","",IF(COUNTIFS(BD!$A$3:$A$5001,AE$3,BD!$B$3:$B$5001,$A$239,BD!$H$3:$H$5001,"&lt;&gt;")=0,"",SUMIFS(BD!$H$3:$H$5001,BD!$A$3:$A$5001,AE$3,BD!$B$3:$B$5001,$A$239)))</f>
        <v/>
      </c>
      <c r="AF244" s="196" t="str">
        <f>IF(AF$3="","",IF(COUNTIFS(BD!$A$3:$A$5001,AF$3,BD!$B$3:$B$5001,$A$239,BD!$H$3:$H$5001,"&lt;&gt;")=0,"",SUMIFS(BD!$H$3:$H$5001,BD!$A$3:$A$5001,AF$3,BD!$B$3:$B$5001,$A$239)))</f>
        <v/>
      </c>
      <c r="AG244" s="196" t="str">
        <f>IF(AG$3="","",IF(COUNTIFS(BD!$A$3:$A$5001,AG$3,BD!$B$3:$B$5001,$A$239,BD!$H$3:$H$5001,"&lt;&gt;")=0,"",SUMIFS(BD!$H$3:$H$5001,BD!$A$3:$A$5001,AG$3,BD!$B$3:$B$5001,$A$239)))</f>
        <v/>
      </c>
      <c r="AH244" s="196" t="str">
        <f>IF(AH$3="","",IF(COUNTIFS(BD!$A$3:$A$5001,AH$3,BD!$B$3:$B$5001,$A$239,BD!$H$3:$H$5001,"&lt;&gt;")=0,"",SUMIFS(BD!$H$3:$H$5001,BD!$A$3:$A$5001,AH$3,BD!$B$3:$B$5001,$A$239)))</f>
        <v/>
      </c>
      <c r="AI244" s="196" t="str">
        <f>IF(AI$3="","",IF(COUNTIFS(BD!$A$3:$A$5001,AI$3,BD!$B$3:$B$5001,$A$239,BD!$H$3:$H$5001,"&lt;&gt;")=0,"",SUMIFS(BD!$H$3:$H$5001,BD!$A$3:$A$5001,AI$3,BD!$B$3:$B$5001,$A$239)))</f>
        <v/>
      </c>
      <c r="AJ244" s="197" t="str">
        <f>IF(AJ$3="","",IF(COUNTIFS(BD!$A$3:$A$5001,AJ$3,BD!$B$3:$B$5001,$A$239,BD!$H$3:$H$5001,"&lt;&gt;")=0,"",SUMIFS(BD!$H$3:$H$5001,BD!$A$3:$A$5001,AJ$3,BD!$B$3:$B$5001,$A$239)))</f>
        <v/>
      </c>
      <c r="AK244" s="198" t="str">
        <f>IF(COUNT(F244:AJ244)=0,"",SUM(F244:AJ244))</f>
        <v/>
      </c>
    </row>
    <row r="245" ht="15.75" customHeight="1" hidden="1">
      <c r="A245" s="277"/>
      <c r="B245" s="268"/>
      <c r="C245" s="199" t="inlineStr">
        <is>
          <t xml:space="preserve">Pallets Movimentados</t>
        </is>
      </c>
      <c r="D245" s="200" t="str">
        <f>IFERROR(1/(1/INDEX(BD!$AF$29:$AZ$29,MATCH($A$239,BD!$AF$22:$AZ$22,0))),"")</f>
        <v/>
      </c>
      <c r="E245" s="201"/>
      <c r="F245" s="202" t="str">
        <f>IF(F$3="","",IF(COUNTIFS(BD!$A$3:$A$5001,F$3,BD!$B$3:$B$5001,$A$239,BD!$I$3:$I$5001,"&lt;&gt;")=0,"",SUMIFS(BD!$I$3:$I$5001,BD!$A$3:$A$5001,F$3,BD!$B$3:$B$5001,$A$239)))</f>
        <v/>
      </c>
      <c r="G245" s="203" t="str">
        <f>IF(G$3="","",IF(COUNTIFS(BD!$A$3:$A$5001,G$3,BD!$B$3:$B$5001,$A$239,BD!$I$3:$I$5001,"&lt;&gt;")=0,"",SUMIFS(BD!$I$3:$I$5001,BD!$A$3:$A$5001,G$3,BD!$B$3:$B$5001,$A$239)))</f>
        <v/>
      </c>
      <c r="H245" s="203" t="str">
        <f>IF(H$3="","",IF(COUNTIFS(BD!$A$3:$A$5001,H$3,BD!$B$3:$B$5001,$A$239,BD!$I$3:$I$5001,"&lt;&gt;")=0,"",SUMIFS(BD!$I$3:$I$5001,BD!$A$3:$A$5001,H$3,BD!$B$3:$B$5001,$A$239)))</f>
        <v/>
      </c>
      <c r="I245" s="203" t="str">
        <f>IF(I$3="","",IF(COUNTIFS(BD!$A$3:$A$5001,I$3,BD!$B$3:$B$5001,$A$239,BD!$I$3:$I$5001,"&lt;&gt;")=0,"",SUMIFS(BD!$I$3:$I$5001,BD!$A$3:$A$5001,I$3,BD!$B$3:$B$5001,$A$239)))</f>
        <v/>
      </c>
      <c r="J245" s="203" t="str">
        <f>IF(J$3="","",IF(COUNTIFS(BD!$A$3:$A$5001,J$3,BD!$B$3:$B$5001,$A$239,BD!$I$3:$I$5001,"&lt;&gt;")=0,"",SUMIFS(BD!$I$3:$I$5001,BD!$A$3:$A$5001,J$3,BD!$B$3:$B$5001,$A$239)))</f>
        <v/>
      </c>
      <c r="K245" s="203" t="str">
        <f>IF(K$3="","",IF(COUNTIFS(BD!$A$3:$A$5001,K$3,BD!$B$3:$B$5001,$A$239,BD!$I$3:$I$5001,"&lt;&gt;")=0,"",SUMIFS(BD!$I$3:$I$5001,BD!$A$3:$A$5001,K$3,BD!$B$3:$B$5001,$A$239)))</f>
        <v/>
      </c>
      <c r="L245" s="203" t="str">
        <f>IF(L$3="","",IF(COUNTIFS(BD!$A$3:$A$5001,L$3,BD!$B$3:$B$5001,$A$239,BD!$I$3:$I$5001,"&lt;&gt;")=0,"",SUMIFS(BD!$I$3:$I$5001,BD!$A$3:$A$5001,L$3,BD!$B$3:$B$5001,$A$239)))</f>
        <v/>
      </c>
      <c r="M245" s="203" t="str">
        <f>IF(M$3="","",IF(COUNTIFS(BD!$A$3:$A$5001,M$3,BD!$B$3:$B$5001,$A$239,BD!$I$3:$I$5001,"&lt;&gt;")=0,"",SUMIFS(BD!$I$3:$I$5001,BD!$A$3:$A$5001,M$3,BD!$B$3:$B$5001,$A$239)))</f>
        <v/>
      </c>
      <c r="N245" s="203" t="str">
        <f>IF(N$3="","",IF(COUNTIFS(BD!$A$3:$A$5001,N$3,BD!$B$3:$B$5001,$A$239,BD!$I$3:$I$5001,"&lt;&gt;")=0,"",SUMIFS(BD!$I$3:$I$5001,BD!$A$3:$A$5001,N$3,BD!$B$3:$B$5001,$A$239)))</f>
        <v/>
      </c>
      <c r="O245" s="203" t="str">
        <f>IF(O$3="","",IF(COUNTIFS(BD!$A$3:$A$5001,O$3,BD!$B$3:$B$5001,$A$239,BD!$I$3:$I$5001,"&lt;&gt;")=0,"",SUMIFS(BD!$I$3:$I$5001,BD!$A$3:$A$5001,O$3,BD!$B$3:$B$5001,$A$239)))</f>
        <v/>
      </c>
      <c r="P245" s="203" t="str">
        <f>IF(P$3="","",IF(COUNTIFS(BD!$A$3:$A$5001,P$3,BD!$B$3:$B$5001,$A$239,BD!$I$3:$I$5001,"&lt;&gt;")=0,"",SUMIFS(BD!$I$3:$I$5001,BD!$A$3:$A$5001,P$3,BD!$B$3:$B$5001,$A$239)))</f>
        <v/>
      </c>
      <c r="Q245" s="203" t="str">
        <f>IF(Q$3="","",IF(COUNTIFS(BD!$A$3:$A$5001,Q$3,BD!$B$3:$B$5001,$A$239,BD!$I$3:$I$5001,"&lt;&gt;")=0,"",SUMIFS(BD!$I$3:$I$5001,BD!$A$3:$A$5001,Q$3,BD!$B$3:$B$5001,$A$239)))</f>
        <v/>
      </c>
      <c r="R245" s="203" t="str">
        <f>IF(R$3="","",IF(COUNTIFS(BD!$A$3:$A$5001,R$3,BD!$B$3:$B$5001,$A$239,BD!$I$3:$I$5001,"&lt;&gt;")=0,"",SUMIFS(BD!$I$3:$I$5001,BD!$A$3:$A$5001,R$3,BD!$B$3:$B$5001,$A$239)))</f>
        <v/>
      </c>
      <c r="S245" s="203" t="str">
        <f>IF(S$3="","",IF(COUNTIFS(BD!$A$3:$A$5001,S$3,BD!$B$3:$B$5001,$A$239,BD!$I$3:$I$5001,"&lt;&gt;")=0,"",SUMIFS(BD!$I$3:$I$5001,BD!$A$3:$A$5001,S$3,BD!$B$3:$B$5001,$A$239)))</f>
        <v/>
      </c>
      <c r="T245" s="203" t="str">
        <f>IF(T$3="","",IF(COUNTIFS(BD!$A$3:$A$5001,T$3,BD!$B$3:$B$5001,$A$239,BD!$I$3:$I$5001,"&lt;&gt;")=0,"",SUMIFS(BD!$I$3:$I$5001,BD!$A$3:$A$5001,T$3,BD!$B$3:$B$5001,$A$239)))</f>
        <v/>
      </c>
      <c r="U245" s="203" t="str">
        <f>IF(U$3="","",IF(COUNTIFS(BD!$A$3:$A$5001,U$3,BD!$B$3:$B$5001,$A$239,BD!$I$3:$I$5001,"&lt;&gt;")=0,"",SUMIFS(BD!$I$3:$I$5001,BD!$A$3:$A$5001,U$3,BD!$B$3:$B$5001,$A$239)))</f>
        <v/>
      </c>
      <c r="V245" s="203" t="str">
        <f>IF(V$3="","",IF(COUNTIFS(BD!$A$3:$A$5001,V$3,BD!$B$3:$B$5001,$A$239,BD!$I$3:$I$5001,"&lt;&gt;")=0,"",SUMIFS(BD!$I$3:$I$5001,BD!$A$3:$A$5001,V$3,BD!$B$3:$B$5001,$A$239)))</f>
        <v/>
      </c>
      <c r="W245" s="203" t="str">
        <f>IF(W$3="","",IF(COUNTIFS(BD!$A$3:$A$5001,W$3,BD!$B$3:$B$5001,$A$239,BD!$I$3:$I$5001,"&lt;&gt;")=0,"",SUMIFS(BD!$I$3:$I$5001,BD!$A$3:$A$5001,W$3,BD!$B$3:$B$5001,$A$239)))</f>
        <v/>
      </c>
      <c r="X245" s="203" t="str">
        <f>IF(X$3="","",IF(COUNTIFS(BD!$A$3:$A$5001,X$3,BD!$B$3:$B$5001,$A$239,BD!$I$3:$I$5001,"&lt;&gt;")=0,"",SUMIFS(BD!$I$3:$I$5001,BD!$A$3:$A$5001,X$3,BD!$B$3:$B$5001,$A$239)))</f>
        <v/>
      </c>
      <c r="Y245" s="203" t="str">
        <f>IF(Y$3="","",IF(COUNTIFS(BD!$A$3:$A$5001,Y$3,BD!$B$3:$B$5001,$A$239,BD!$I$3:$I$5001,"&lt;&gt;")=0,"",SUMIFS(BD!$I$3:$I$5001,BD!$A$3:$A$5001,Y$3,BD!$B$3:$B$5001,$A$239)))</f>
        <v/>
      </c>
      <c r="Z245" s="203" t="str">
        <f>IF(Z$3="","",IF(COUNTIFS(BD!$A$3:$A$5001,Z$3,BD!$B$3:$B$5001,$A$239,BD!$I$3:$I$5001,"&lt;&gt;")=0,"",SUMIFS(BD!$I$3:$I$5001,BD!$A$3:$A$5001,Z$3,BD!$B$3:$B$5001,$A$239)))</f>
        <v/>
      </c>
      <c r="AA245" s="203" t="str">
        <f>IF(AA$3="","",IF(COUNTIFS(BD!$A$3:$A$5001,AA$3,BD!$B$3:$B$5001,$A$239,BD!$I$3:$I$5001,"&lt;&gt;")=0,"",SUMIFS(BD!$I$3:$I$5001,BD!$A$3:$A$5001,AA$3,BD!$B$3:$B$5001,$A$239)))</f>
        <v/>
      </c>
      <c r="AB245" s="203" t="str">
        <f>IF(AB$3="","",IF(COUNTIFS(BD!$A$3:$A$5001,AB$3,BD!$B$3:$B$5001,$A$239,BD!$I$3:$I$5001,"&lt;&gt;")=0,"",SUMIFS(BD!$I$3:$I$5001,BD!$A$3:$A$5001,AB$3,BD!$B$3:$B$5001,$A$239)))</f>
        <v/>
      </c>
      <c r="AC245" s="203" t="str">
        <f>IF(AC$3="","",IF(COUNTIFS(BD!$A$3:$A$5001,AC$3,BD!$B$3:$B$5001,$A$239,BD!$I$3:$I$5001,"&lt;&gt;")=0,"",SUMIFS(BD!$I$3:$I$5001,BD!$A$3:$A$5001,AC$3,BD!$B$3:$B$5001,$A$239)))</f>
        <v/>
      </c>
      <c r="AD245" s="203" t="str">
        <f>IF(AD$3="","",IF(COUNTIFS(BD!$A$3:$A$5001,AD$3,BD!$B$3:$B$5001,$A$239,BD!$I$3:$I$5001,"&lt;&gt;")=0,"",SUMIFS(BD!$I$3:$I$5001,BD!$A$3:$A$5001,AD$3,BD!$B$3:$B$5001,$A$239)))</f>
        <v/>
      </c>
      <c r="AE245" s="203" t="str">
        <f>IF(AE$3="","",IF(COUNTIFS(BD!$A$3:$A$5001,AE$3,BD!$B$3:$B$5001,$A$239,BD!$I$3:$I$5001,"&lt;&gt;")=0,"",SUMIFS(BD!$I$3:$I$5001,BD!$A$3:$A$5001,AE$3,BD!$B$3:$B$5001,$A$239)))</f>
        <v/>
      </c>
      <c r="AF245" s="203" t="str">
        <f>IF(AF$3="","",IF(COUNTIFS(BD!$A$3:$A$5001,AF$3,BD!$B$3:$B$5001,$A$239,BD!$I$3:$I$5001,"&lt;&gt;")=0,"",SUMIFS(BD!$I$3:$I$5001,BD!$A$3:$A$5001,AF$3,BD!$B$3:$B$5001,$A$239)))</f>
        <v/>
      </c>
      <c r="AG245" s="203" t="str">
        <f>IF(AG$3="","",IF(COUNTIFS(BD!$A$3:$A$5001,AG$3,BD!$B$3:$B$5001,$A$239,BD!$I$3:$I$5001,"&lt;&gt;")=0,"",SUMIFS(BD!$I$3:$I$5001,BD!$A$3:$A$5001,AG$3,BD!$B$3:$B$5001,$A$239)))</f>
        <v/>
      </c>
      <c r="AH245" s="203" t="str">
        <f>IF(AH$3="","",IF(COUNTIFS(BD!$A$3:$A$5001,AH$3,BD!$B$3:$B$5001,$A$239,BD!$I$3:$I$5001,"&lt;&gt;")=0,"",SUMIFS(BD!$I$3:$I$5001,BD!$A$3:$A$5001,AH$3,BD!$B$3:$B$5001,$A$239)))</f>
        <v/>
      </c>
      <c r="AI245" s="203" t="str">
        <f>IF(AI$3="","",IF(COUNTIFS(BD!$A$3:$A$5001,AI$3,BD!$B$3:$B$5001,$A$239,BD!$I$3:$I$5001,"&lt;&gt;")=0,"",SUMIFS(BD!$I$3:$I$5001,BD!$A$3:$A$5001,AI$3,BD!$B$3:$B$5001,$A$239)))</f>
        <v/>
      </c>
      <c r="AJ245" s="204" t="str">
        <f>IF(AJ$3="","",IF(COUNTIFS(BD!$A$3:$A$5001,AJ$3,BD!$B$3:$B$5001,$A$239,BD!$I$3:$I$5001,"&lt;&gt;")=0,"",SUMIFS(BD!$I$3:$I$5001,BD!$A$3:$A$5001,AJ$3,BD!$B$3:$B$5001,$A$239)))</f>
        <v/>
      </c>
      <c r="AK245" s="205" t="str">
        <f>IF(COUNT(F245:AJ245)=0,"",SUM(F245:AJ245))</f>
        <v/>
      </c>
    </row>
    <row r="246" ht="15.75" customHeight="1" hidden="1">
      <c r="A246" s="277"/>
      <c r="B246" s="268"/>
      <c r="C246" s="199" t="inlineStr">
        <is>
          <t xml:space="preserve">Toneladas Movimentadas</t>
        </is>
      </c>
      <c r="D246" s="200" t="str">
        <f>IFERROR(1/(1/INDEX(BD!$AF$30:$AZ$30,MATCH($A$239,BD!$AF$22:$AZ$22,0))),"")</f>
        <v/>
      </c>
      <c r="E246" s="201"/>
      <c r="F246" s="206" t="str">
        <f>IF(F$3="","",IF(COUNTIFS(BD!$A$3:$A$5001,F$3,BD!$B$3:$B$5001,$A$239,BD!$J$3:$J$5001,"&lt;&gt;")=0,"",SUMIFS(BD!$J$3:$J$5001,BD!$A$3:$A$5001,F$3,BD!$B$3:$B$5001,$A$239)))</f>
        <v/>
      </c>
      <c r="G246" s="207" t="str">
        <f>IF(G$3="","",IF(COUNTIFS(BD!$A$3:$A$5001,G$3,BD!$B$3:$B$5001,$A$239,BD!$J$3:$J$5001,"&lt;&gt;")=0,"",SUMIFS(BD!$J$3:$J$5001,BD!$A$3:$A$5001,G$3,BD!$B$3:$B$5001,$A$239)))</f>
        <v/>
      </c>
      <c r="H246" s="207" t="str">
        <f>IF(H$3="","",IF(COUNTIFS(BD!$A$3:$A$5001,H$3,BD!$B$3:$B$5001,$A$239,BD!$J$3:$J$5001,"&lt;&gt;")=0,"",SUMIFS(BD!$J$3:$J$5001,BD!$A$3:$A$5001,H$3,BD!$B$3:$B$5001,$A$239)))</f>
        <v/>
      </c>
      <c r="I246" s="207" t="str">
        <f>IF(I$3="","",IF(COUNTIFS(BD!$A$3:$A$5001,I$3,BD!$B$3:$B$5001,$A$239,BD!$J$3:$J$5001,"&lt;&gt;")=0,"",SUMIFS(BD!$J$3:$J$5001,BD!$A$3:$A$5001,I$3,BD!$B$3:$B$5001,$A$239)))</f>
        <v/>
      </c>
      <c r="J246" s="207" t="str">
        <f>IF(J$3="","",IF(COUNTIFS(BD!$A$3:$A$5001,J$3,BD!$B$3:$B$5001,$A$239,BD!$J$3:$J$5001,"&lt;&gt;")=0,"",SUMIFS(BD!$J$3:$J$5001,BD!$A$3:$A$5001,J$3,BD!$B$3:$B$5001,$A$239)))</f>
        <v/>
      </c>
      <c r="K246" s="207" t="str">
        <f>IF(K$3="","",IF(COUNTIFS(BD!$A$3:$A$5001,K$3,BD!$B$3:$B$5001,$A$239,BD!$J$3:$J$5001,"&lt;&gt;")=0,"",SUMIFS(BD!$J$3:$J$5001,BD!$A$3:$A$5001,K$3,BD!$B$3:$B$5001,$A$239)))</f>
        <v/>
      </c>
      <c r="L246" s="207" t="str">
        <f>IF(L$3="","",IF(COUNTIFS(BD!$A$3:$A$5001,L$3,BD!$B$3:$B$5001,$A$239,BD!$J$3:$J$5001,"&lt;&gt;")=0,"",SUMIFS(BD!$J$3:$J$5001,BD!$A$3:$A$5001,L$3,BD!$B$3:$B$5001,$A$239)))</f>
        <v/>
      </c>
      <c r="M246" s="207" t="str">
        <f>IF(M$3="","",IF(COUNTIFS(BD!$A$3:$A$5001,M$3,BD!$B$3:$B$5001,$A$239,BD!$J$3:$J$5001,"&lt;&gt;")=0,"",SUMIFS(BD!$J$3:$J$5001,BD!$A$3:$A$5001,M$3,BD!$B$3:$B$5001,$A$239)))</f>
        <v/>
      </c>
      <c r="N246" s="207" t="str">
        <f>IF(N$3="","",IF(COUNTIFS(BD!$A$3:$A$5001,N$3,BD!$B$3:$B$5001,$A$239,BD!$J$3:$J$5001,"&lt;&gt;")=0,"",SUMIFS(BD!$J$3:$J$5001,BD!$A$3:$A$5001,N$3,BD!$B$3:$B$5001,$A$239)))</f>
        <v/>
      </c>
      <c r="O246" s="207" t="str">
        <f>IF(O$3="","",IF(COUNTIFS(BD!$A$3:$A$5001,O$3,BD!$B$3:$B$5001,$A$239,BD!$J$3:$J$5001,"&lt;&gt;")=0,"",SUMIFS(BD!$J$3:$J$5001,BD!$A$3:$A$5001,O$3,BD!$B$3:$B$5001,$A$239)))</f>
        <v/>
      </c>
      <c r="P246" s="207" t="str">
        <f>IF(P$3="","",IF(COUNTIFS(BD!$A$3:$A$5001,P$3,BD!$B$3:$B$5001,$A$239,BD!$J$3:$J$5001,"&lt;&gt;")=0,"",SUMIFS(BD!$J$3:$J$5001,BD!$A$3:$A$5001,P$3,BD!$B$3:$B$5001,$A$239)))</f>
        <v/>
      </c>
      <c r="Q246" s="207" t="str">
        <f>IF(Q$3="","",IF(COUNTIFS(BD!$A$3:$A$5001,Q$3,BD!$B$3:$B$5001,$A$239,BD!$J$3:$J$5001,"&lt;&gt;")=0,"",SUMIFS(BD!$J$3:$J$5001,BD!$A$3:$A$5001,Q$3,BD!$B$3:$B$5001,$A$239)))</f>
        <v/>
      </c>
      <c r="R246" s="207" t="str">
        <f>IF(R$3="","",IF(COUNTIFS(BD!$A$3:$A$5001,R$3,BD!$B$3:$B$5001,$A$239,BD!$J$3:$J$5001,"&lt;&gt;")=0,"",SUMIFS(BD!$J$3:$J$5001,BD!$A$3:$A$5001,R$3,BD!$B$3:$B$5001,$A$239)))</f>
        <v/>
      </c>
      <c r="S246" s="207" t="str">
        <f>IF(S$3="","",IF(COUNTIFS(BD!$A$3:$A$5001,S$3,BD!$B$3:$B$5001,$A$239,BD!$J$3:$J$5001,"&lt;&gt;")=0,"",SUMIFS(BD!$J$3:$J$5001,BD!$A$3:$A$5001,S$3,BD!$B$3:$B$5001,$A$239)))</f>
        <v/>
      </c>
      <c r="T246" s="207" t="str">
        <f>IF(T$3="","",IF(COUNTIFS(BD!$A$3:$A$5001,T$3,BD!$B$3:$B$5001,$A$239,BD!$J$3:$J$5001,"&lt;&gt;")=0,"",SUMIFS(BD!$J$3:$J$5001,BD!$A$3:$A$5001,T$3,BD!$B$3:$B$5001,$A$239)))</f>
        <v/>
      </c>
      <c r="U246" s="207" t="str">
        <f>IF(U$3="","",IF(COUNTIFS(BD!$A$3:$A$5001,U$3,BD!$B$3:$B$5001,$A$239,BD!$J$3:$J$5001,"&lt;&gt;")=0,"",SUMIFS(BD!$J$3:$J$5001,BD!$A$3:$A$5001,U$3,BD!$B$3:$B$5001,$A$239)))</f>
        <v/>
      </c>
      <c r="V246" s="207" t="str">
        <f>IF(V$3="","",IF(COUNTIFS(BD!$A$3:$A$5001,V$3,BD!$B$3:$B$5001,$A$239,BD!$J$3:$J$5001,"&lt;&gt;")=0,"",SUMIFS(BD!$J$3:$J$5001,BD!$A$3:$A$5001,V$3,BD!$B$3:$B$5001,$A$239)))</f>
        <v/>
      </c>
      <c r="W246" s="207" t="str">
        <f>IF(W$3="","",IF(COUNTIFS(BD!$A$3:$A$5001,W$3,BD!$B$3:$B$5001,$A$239,BD!$J$3:$J$5001,"&lt;&gt;")=0,"",SUMIFS(BD!$J$3:$J$5001,BD!$A$3:$A$5001,W$3,BD!$B$3:$B$5001,$A$239)))</f>
        <v/>
      </c>
      <c r="X246" s="207" t="str">
        <f>IF(X$3="","",IF(COUNTIFS(BD!$A$3:$A$5001,X$3,BD!$B$3:$B$5001,$A$239,BD!$J$3:$J$5001,"&lt;&gt;")=0,"",SUMIFS(BD!$J$3:$J$5001,BD!$A$3:$A$5001,X$3,BD!$B$3:$B$5001,$A$239)))</f>
        <v/>
      </c>
      <c r="Y246" s="207" t="str">
        <f>IF(Y$3="","",IF(COUNTIFS(BD!$A$3:$A$5001,Y$3,BD!$B$3:$B$5001,$A$239,BD!$J$3:$J$5001,"&lt;&gt;")=0,"",SUMIFS(BD!$J$3:$J$5001,BD!$A$3:$A$5001,Y$3,BD!$B$3:$B$5001,$A$239)))</f>
        <v/>
      </c>
      <c r="Z246" s="207" t="str">
        <f>IF(Z$3="","",IF(COUNTIFS(BD!$A$3:$A$5001,Z$3,BD!$B$3:$B$5001,$A$239,BD!$J$3:$J$5001,"&lt;&gt;")=0,"",SUMIFS(BD!$J$3:$J$5001,BD!$A$3:$A$5001,Z$3,BD!$B$3:$B$5001,$A$239)))</f>
        <v/>
      </c>
      <c r="AA246" s="207" t="str">
        <f>IF(AA$3="","",IF(COUNTIFS(BD!$A$3:$A$5001,AA$3,BD!$B$3:$B$5001,$A$239,BD!$J$3:$J$5001,"&lt;&gt;")=0,"",SUMIFS(BD!$J$3:$J$5001,BD!$A$3:$A$5001,AA$3,BD!$B$3:$B$5001,$A$239)))</f>
        <v/>
      </c>
      <c r="AB246" s="207" t="str">
        <f>IF(AB$3="","",IF(COUNTIFS(BD!$A$3:$A$5001,AB$3,BD!$B$3:$B$5001,$A$239,BD!$J$3:$J$5001,"&lt;&gt;")=0,"",SUMIFS(BD!$J$3:$J$5001,BD!$A$3:$A$5001,AB$3,BD!$B$3:$B$5001,$A$239)))</f>
        <v/>
      </c>
      <c r="AC246" s="207" t="str">
        <f>IF(AC$3="","",IF(COUNTIFS(BD!$A$3:$A$5001,AC$3,BD!$B$3:$B$5001,$A$239,BD!$J$3:$J$5001,"&lt;&gt;")=0,"",SUMIFS(BD!$J$3:$J$5001,BD!$A$3:$A$5001,AC$3,BD!$B$3:$B$5001,$A$239)))</f>
        <v/>
      </c>
      <c r="AD246" s="207" t="str">
        <f>IF(AD$3="","",IF(COUNTIFS(BD!$A$3:$A$5001,AD$3,BD!$B$3:$B$5001,$A$239,BD!$J$3:$J$5001,"&lt;&gt;")=0,"",SUMIFS(BD!$J$3:$J$5001,BD!$A$3:$A$5001,AD$3,BD!$B$3:$B$5001,$A$239)))</f>
        <v/>
      </c>
      <c r="AE246" s="207" t="str">
        <f>IF(AE$3="","",IF(COUNTIFS(BD!$A$3:$A$5001,AE$3,BD!$B$3:$B$5001,$A$239,BD!$J$3:$J$5001,"&lt;&gt;")=0,"",SUMIFS(BD!$J$3:$J$5001,BD!$A$3:$A$5001,AE$3,BD!$B$3:$B$5001,$A$239)))</f>
        <v/>
      </c>
      <c r="AF246" s="207" t="str">
        <f>IF(AF$3="","",IF(COUNTIFS(BD!$A$3:$A$5001,AF$3,BD!$B$3:$B$5001,$A$239,BD!$J$3:$J$5001,"&lt;&gt;")=0,"",SUMIFS(BD!$J$3:$J$5001,BD!$A$3:$A$5001,AF$3,BD!$B$3:$B$5001,$A$239)))</f>
        <v/>
      </c>
      <c r="AG246" s="207" t="str">
        <f>IF(AG$3="","",IF(COUNTIFS(BD!$A$3:$A$5001,AG$3,BD!$B$3:$B$5001,$A$239,BD!$J$3:$J$5001,"&lt;&gt;")=0,"",SUMIFS(BD!$J$3:$J$5001,BD!$A$3:$A$5001,AG$3,BD!$B$3:$B$5001,$A$239)))</f>
        <v/>
      </c>
      <c r="AH246" s="207" t="str">
        <f>IF(AH$3="","",IF(COUNTIFS(BD!$A$3:$A$5001,AH$3,BD!$B$3:$B$5001,$A$239,BD!$J$3:$J$5001,"&lt;&gt;")=0,"",SUMIFS(BD!$J$3:$J$5001,BD!$A$3:$A$5001,AH$3,BD!$B$3:$B$5001,$A$239)))</f>
        <v/>
      </c>
      <c r="AI246" s="207" t="str">
        <f>IF(AI$3="","",IF(COUNTIFS(BD!$A$3:$A$5001,AI$3,BD!$B$3:$B$5001,$A$239,BD!$J$3:$J$5001,"&lt;&gt;")=0,"",SUMIFS(BD!$J$3:$J$5001,BD!$A$3:$A$5001,AI$3,BD!$B$3:$B$5001,$A$239)))</f>
        <v/>
      </c>
      <c r="AJ246" s="208" t="str">
        <f>IF(AJ$3="","",IF(COUNTIFS(BD!$A$3:$A$5001,AJ$3,BD!$B$3:$B$5001,$A$239,BD!$J$3:$J$5001,"&lt;&gt;")=0,"",SUMIFS(BD!$J$3:$J$5001,BD!$A$3:$A$5001,AJ$3,BD!$B$3:$B$5001,$A$239)))</f>
        <v/>
      </c>
      <c r="AK246" s="209" t="str">
        <f>IF(COUNT(F246:AJ246)=0,"",SUM(F246:AJ246))</f>
        <v/>
      </c>
    </row>
    <row r="247" ht="15.75" customHeight="1" hidden="1">
      <c r="A247" s="277"/>
      <c r="B247" s="268"/>
      <c r="C247" s="199" t="inlineStr">
        <is>
          <t xml:space="preserve">Caixas Expedidas</t>
        </is>
      </c>
      <c r="D247" s="200" t="str">
        <f>IFERROR(1/(1/INDEX(BD!$AF$31:$AZ$31,MATCH($A$239,BD!$AF$22:$AZ$22,0))),"")</f>
        <v/>
      </c>
      <c r="E247" s="201"/>
      <c r="F247" s="202" t="str">
        <f>IF(F$3="","",IF(COUNTIFS(BD!$A$3:$A$5001,F$3,BD!$B$3:$B$5001,$A$239,BD!$K$3:$K$5001,"&lt;&gt;")=0,"",SUMIFS(BD!$K$3:$K$5001,BD!$A$3:$A$5001,F$3,BD!$B$3:$B$5001,$A$239)))</f>
        <v/>
      </c>
      <c r="G247" s="203" t="str">
        <f>IF(G$3="","",IF(COUNTIFS(BD!$A$3:$A$5001,G$3,BD!$B$3:$B$5001,$A$239,BD!$K$3:$K$5001,"&lt;&gt;")=0,"",SUMIFS(BD!$K$3:$K$5001,BD!$A$3:$A$5001,G$3,BD!$B$3:$B$5001,$A$239)))</f>
        <v/>
      </c>
      <c r="H247" s="203" t="str">
        <f>IF(H$3="","",IF(COUNTIFS(BD!$A$3:$A$5001,H$3,BD!$B$3:$B$5001,$A$239,BD!$K$3:$K$5001,"&lt;&gt;")=0,"",SUMIFS(BD!$K$3:$K$5001,BD!$A$3:$A$5001,H$3,BD!$B$3:$B$5001,$A$239)))</f>
        <v/>
      </c>
      <c r="I247" s="203" t="str">
        <f>IF(I$3="","",IF(COUNTIFS(BD!$A$3:$A$5001,I$3,BD!$B$3:$B$5001,$A$239,BD!$K$3:$K$5001,"&lt;&gt;")=0,"",SUMIFS(BD!$K$3:$K$5001,BD!$A$3:$A$5001,I$3,BD!$B$3:$B$5001,$A$239)))</f>
        <v/>
      </c>
      <c r="J247" s="203" t="str">
        <f>IF(J$3="","",IF(COUNTIFS(BD!$A$3:$A$5001,J$3,BD!$B$3:$B$5001,$A$239,BD!$K$3:$K$5001,"&lt;&gt;")=0,"",SUMIFS(BD!$K$3:$K$5001,BD!$A$3:$A$5001,J$3,BD!$B$3:$B$5001,$A$239)))</f>
        <v/>
      </c>
      <c r="K247" s="203" t="str">
        <f>IF(K$3="","",IF(COUNTIFS(BD!$A$3:$A$5001,K$3,BD!$B$3:$B$5001,$A$239,BD!$K$3:$K$5001,"&lt;&gt;")=0,"",SUMIFS(BD!$K$3:$K$5001,BD!$A$3:$A$5001,K$3,BD!$B$3:$B$5001,$A$239)))</f>
        <v/>
      </c>
      <c r="L247" s="203" t="str">
        <f>IF(L$3="","",IF(COUNTIFS(BD!$A$3:$A$5001,L$3,BD!$B$3:$B$5001,$A$239,BD!$K$3:$K$5001,"&lt;&gt;")=0,"",SUMIFS(BD!$K$3:$K$5001,BD!$A$3:$A$5001,L$3,BD!$B$3:$B$5001,$A$239)))</f>
        <v/>
      </c>
      <c r="M247" s="203" t="str">
        <f>IF(M$3="","",IF(COUNTIFS(BD!$A$3:$A$5001,M$3,BD!$B$3:$B$5001,$A$239,BD!$K$3:$K$5001,"&lt;&gt;")=0,"",SUMIFS(BD!$K$3:$K$5001,BD!$A$3:$A$5001,M$3,BD!$B$3:$B$5001,$A$239)))</f>
        <v/>
      </c>
      <c r="N247" s="203" t="str">
        <f>IF(N$3="","",IF(COUNTIFS(BD!$A$3:$A$5001,N$3,BD!$B$3:$B$5001,$A$239,BD!$K$3:$K$5001,"&lt;&gt;")=0,"",SUMIFS(BD!$K$3:$K$5001,BD!$A$3:$A$5001,N$3,BD!$B$3:$B$5001,$A$239)))</f>
        <v/>
      </c>
      <c r="O247" s="203" t="str">
        <f>IF(O$3="","",IF(COUNTIFS(BD!$A$3:$A$5001,O$3,BD!$B$3:$B$5001,$A$239,BD!$K$3:$K$5001,"&lt;&gt;")=0,"",SUMIFS(BD!$K$3:$K$5001,BD!$A$3:$A$5001,O$3,BD!$B$3:$B$5001,$A$239)))</f>
        <v/>
      </c>
      <c r="P247" s="203" t="str">
        <f>IF(P$3="","",IF(COUNTIFS(BD!$A$3:$A$5001,P$3,BD!$B$3:$B$5001,$A$239,BD!$K$3:$K$5001,"&lt;&gt;")=0,"",SUMIFS(BD!$K$3:$K$5001,BD!$A$3:$A$5001,P$3,BD!$B$3:$B$5001,$A$239)))</f>
        <v/>
      </c>
      <c r="Q247" s="203" t="str">
        <f>IF(Q$3="","",IF(COUNTIFS(BD!$A$3:$A$5001,Q$3,BD!$B$3:$B$5001,$A$239,BD!$K$3:$K$5001,"&lt;&gt;")=0,"",SUMIFS(BD!$K$3:$K$5001,BD!$A$3:$A$5001,Q$3,BD!$B$3:$B$5001,$A$239)))</f>
        <v/>
      </c>
      <c r="R247" s="203" t="str">
        <f>IF(R$3="","",IF(COUNTIFS(BD!$A$3:$A$5001,R$3,BD!$B$3:$B$5001,$A$239,BD!$K$3:$K$5001,"&lt;&gt;")=0,"",SUMIFS(BD!$K$3:$K$5001,BD!$A$3:$A$5001,R$3,BD!$B$3:$B$5001,$A$239)))</f>
        <v/>
      </c>
      <c r="S247" s="203" t="str">
        <f>IF(S$3="","",IF(COUNTIFS(BD!$A$3:$A$5001,S$3,BD!$B$3:$B$5001,$A$239,BD!$K$3:$K$5001,"&lt;&gt;")=0,"",SUMIFS(BD!$K$3:$K$5001,BD!$A$3:$A$5001,S$3,BD!$B$3:$B$5001,$A$239)))</f>
        <v/>
      </c>
      <c r="T247" s="203" t="str">
        <f>IF(T$3="","",IF(COUNTIFS(BD!$A$3:$A$5001,T$3,BD!$B$3:$B$5001,$A$239,BD!$K$3:$K$5001,"&lt;&gt;")=0,"",SUMIFS(BD!$K$3:$K$5001,BD!$A$3:$A$5001,T$3,BD!$B$3:$B$5001,$A$239)))</f>
        <v/>
      </c>
      <c r="U247" s="203" t="str">
        <f>IF(U$3="","",IF(COUNTIFS(BD!$A$3:$A$5001,U$3,BD!$B$3:$B$5001,$A$239,BD!$K$3:$K$5001,"&lt;&gt;")=0,"",SUMIFS(BD!$K$3:$K$5001,BD!$A$3:$A$5001,U$3,BD!$B$3:$B$5001,$A$239)))</f>
        <v/>
      </c>
      <c r="V247" s="203" t="str">
        <f>IF(V$3="","",IF(COUNTIFS(BD!$A$3:$A$5001,V$3,BD!$B$3:$B$5001,$A$239,BD!$K$3:$K$5001,"&lt;&gt;")=0,"",SUMIFS(BD!$K$3:$K$5001,BD!$A$3:$A$5001,V$3,BD!$B$3:$B$5001,$A$239)))</f>
        <v/>
      </c>
      <c r="W247" s="203" t="str">
        <f>IF(W$3="","",IF(COUNTIFS(BD!$A$3:$A$5001,W$3,BD!$B$3:$B$5001,$A$239,BD!$K$3:$K$5001,"&lt;&gt;")=0,"",SUMIFS(BD!$K$3:$K$5001,BD!$A$3:$A$5001,W$3,BD!$B$3:$B$5001,$A$239)))</f>
        <v/>
      </c>
      <c r="X247" s="203" t="str">
        <f>IF(X$3="","",IF(COUNTIFS(BD!$A$3:$A$5001,X$3,BD!$B$3:$B$5001,$A$239,BD!$K$3:$K$5001,"&lt;&gt;")=0,"",SUMIFS(BD!$K$3:$K$5001,BD!$A$3:$A$5001,X$3,BD!$B$3:$B$5001,$A$239)))</f>
        <v/>
      </c>
      <c r="Y247" s="203" t="str">
        <f>IF(Y$3="","",IF(COUNTIFS(BD!$A$3:$A$5001,Y$3,BD!$B$3:$B$5001,$A$239,BD!$K$3:$K$5001,"&lt;&gt;")=0,"",SUMIFS(BD!$K$3:$K$5001,BD!$A$3:$A$5001,Y$3,BD!$B$3:$B$5001,$A$239)))</f>
        <v/>
      </c>
      <c r="Z247" s="203" t="str">
        <f>IF(Z$3="","",IF(COUNTIFS(BD!$A$3:$A$5001,Z$3,BD!$B$3:$B$5001,$A$239,BD!$K$3:$K$5001,"&lt;&gt;")=0,"",SUMIFS(BD!$K$3:$K$5001,BD!$A$3:$A$5001,Z$3,BD!$B$3:$B$5001,$A$239)))</f>
        <v/>
      </c>
      <c r="AA247" s="203" t="str">
        <f>IF(AA$3="","",IF(COUNTIFS(BD!$A$3:$A$5001,AA$3,BD!$B$3:$B$5001,$A$239,BD!$K$3:$K$5001,"&lt;&gt;")=0,"",SUMIFS(BD!$K$3:$K$5001,BD!$A$3:$A$5001,AA$3,BD!$B$3:$B$5001,$A$239)))</f>
        <v/>
      </c>
      <c r="AB247" s="203" t="str">
        <f>IF(AB$3="","",IF(COUNTIFS(BD!$A$3:$A$5001,AB$3,BD!$B$3:$B$5001,$A$239,BD!$K$3:$K$5001,"&lt;&gt;")=0,"",SUMIFS(BD!$K$3:$K$5001,BD!$A$3:$A$5001,AB$3,BD!$B$3:$B$5001,$A$239)))</f>
        <v/>
      </c>
      <c r="AC247" s="203" t="str">
        <f>IF(AC$3="","",IF(COUNTIFS(BD!$A$3:$A$5001,AC$3,BD!$B$3:$B$5001,$A$239,BD!$K$3:$K$5001,"&lt;&gt;")=0,"",SUMIFS(BD!$K$3:$K$5001,BD!$A$3:$A$5001,AC$3,BD!$B$3:$B$5001,$A$239)))</f>
        <v/>
      </c>
      <c r="AD247" s="203" t="str">
        <f>IF(AD$3="","",IF(COUNTIFS(BD!$A$3:$A$5001,AD$3,BD!$B$3:$B$5001,$A$239,BD!$K$3:$K$5001,"&lt;&gt;")=0,"",SUMIFS(BD!$K$3:$K$5001,BD!$A$3:$A$5001,AD$3,BD!$B$3:$B$5001,$A$239)))</f>
        <v/>
      </c>
      <c r="AE247" s="203" t="str">
        <f>IF(AE$3="","",IF(COUNTIFS(BD!$A$3:$A$5001,AE$3,BD!$B$3:$B$5001,$A$239,BD!$K$3:$K$5001,"&lt;&gt;")=0,"",SUMIFS(BD!$K$3:$K$5001,BD!$A$3:$A$5001,AE$3,BD!$B$3:$B$5001,$A$239)))</f>
        <v/>
      </c>
      <c r="AF247" s="203" t="str">
        <f>IF(AF$3="","",IF(COUNTIFS(BD!$A$3:$A$5001,AF$3,BD!$B$3:$B$5001,$A$239,BD!$K$3:$K$5001,"&lt;&gt;")=0,"",SUMIFS(BD!$K$3:$K$5001,BD!$A$3:$A$5001,AF$3,BD!$B$3:$B$5001,$A$239)))</f>
        <v/>
      </c>
      <c r="AG247" s="203" t="str">
        <f>IF(AG$3="","",IF(COUNTIFS(BD!$A$3:$A$5001,AG$3,BD!$B$3:$B$5001,$A$239,BD!$K$3:$K$5001,"&lt;&gt;")=0,"",SUMIFS(BD!$K$3:$K$5001,BD!$A$3:$A$5001,AG$3,BD!$B$3:$B$5001,$A$239)))</f>
        <v/>
      </c>
      <c r="AH247" s="203" t="str">
        <f>IF(AH$3="","",IF(COUNTIFS(BD!$A$3:$A$5001,AH$3,BD!$B$3:$B$5001,$A$239,BD!$K$3:$K$5001,"&lt;&gt;")=0,"",SUMIFS(BD!$K$3:$K$5001,BD!$A$3:$A$5001,AH$3,BD!$B$3:$B$5001,$A$239)))</f>
        <v/>
      </c>
      <c r="AI247" s="203" t="str">
        <f>IF(AI$3="","",IF(COUNTIFS(BD!$A$3:$A$5001,AI$3,BD!$B$3:$B$5001,$A$239,BD!$K$3:$K$5001,"&lt;&gt;")=0,"",SUMIFS(BD!$K$3:$K$5001,BD!$A$3:$A$5001,AI$3,BD!$B$3:$B$5001,$A$239)))</f>
        <v/>
      </c>
      <c r="AJ247" s="204" t="str">
        <f>IF(AJ$3="","",IF(COUNTIFS(BD!$A$3:$A$5001,AJ$3,BD!$B$3:$B$5001,$A$239,BD!$K$3:$K$5001,"&lt;&gt;")=0,"",SUMIFS(BD!$K$3:$K$5001,BD!$A$3:$A$5001,AJ$3,BD!$B$3:$B$5001,$A$239)))</f>
        <v/>
      </c>
      <c r="AK247" s="205" t="str">
        <f>IF(COUNT(F247:AJ247)=0,"",SUM(F247:AJ247))</f>
        <v/>
      </c>
    </row>
    <row r="248" ht="15.75" customHeight="1" hidden="1">
      <c r="A248" s="277"/>
      <c r="B248" s="268"/>
      <c r="C248" s="199" t="inlineStr">
        <is>
          <t xml:space="preserve">Pedidos Faturados</t>
        </is>
      </c>
      <c r="D248" s="200" t="str">
        <f>IFERROR(1/(1/INDEX(BD!$AF$32:$AZ$32,MATCH($A$239,BD!$AF$22:$AZ$22,0))),"")</f>
        <v/>
      </c>
      <c r="E248" s="201"/>
      <c r="F248" s="202" t="str">
        <f>IF(F$3="","",IF(COUNTIFS(BD!$A$3:$A$5001,F$3,BD!$B$3:$B$5001,$A$239,BD!$L$3:$L$5001,"&lt;&gt;")=0,"",SUMIFS(BD!$L$3:$L$5001,BD!$A$3:$A$5001,F$3,BD!$B$3:$B$5001,$A$239)))</f>
        <v/>
      </c>
      <c r="G248" s="203" t="str">
        <f>IF(G$3="","",IF(COUNTIFS(BD!$A$3:$A$5001,G$3,BD!$B$3:$B$5001,$A$239,BD!$L$3:$L$5001,"&lt;&gt;")=0,"",SUMIFS(BD!$L$3:$L$5001,BD!$A$3:$A$5001,G$3,BD!$B$3:$B$5001,$A$239)))</f>
        <v/>
      </c>
      <c r="H248" s="203" t="str">
        <f>IF(H$3="","",IF(COUNTIFS(BD!$A$3:$A$5001,H$3,BD!$B$3:$B$5001,$A$239,BD!$L$3:$L$5001,"&lt;&gt;")=0,"",SUMIFS(BD!$L$3:$L$5001,BD!$A$3:$A$5001,H$3,BD!$B$3:$B$5001,$A$239)))</f>
        <v/>
      </c>
      <c r="I248" s="203" t="str">
        <f>IF(I$3="","",IF(COUNTIFS(BD!$A$3:$A$5001,I$3,BD!$B$3:$B$5001,$A$239,BD!$L$3:$L$5001,"&lt;&gt;")=0,"",SUMIFS(BD!$L$3:$L$5001,BD!$A$3:$A$5001,I$3,BD!$B$3:$B$5001,$A$239)))</f>
        <v/>
      </c>
      <c r="J248" s="203" t="str">
        <f>IF(J$3="","",IF(COUNTIFS(BD!$A$3:$A$5001,J$3,BD!$B$3:$B$5001,$A$239,BD!$L$3:$L$5001,"&lt;&gt;")=0,"",SUMIFS(BD!$L$3:$L$5001,BD!$A$3:$A$5001,J$3,BD!$B$3:$B$5001,$A$239)))</f>
        <v/>
      </c>
      <c r="K248" s="203" t="str">
        <f>IF(K$3="","",IF(COUNTIFS(BD!$A$3:$A$5001,K$3,BD!$B$3:$B$5001,$A$239,BD!$L$3:$L$5001,"&lt;&gt;")=0,"",SUMIFS(BD!$L$3:$L$5001,BD!$A$3:$A$5001,K$3,BD!$B$3:$B$5001,$A$239)))</f>
        <v/>
      </c>
      <c r="L248" s="203" t="str">
        <f>IF(L$3="","",IF(COUNTIFS(BD!$A$3:$A$5001,L$3,BD!$B$3:$B$5001,$A$239,BD!$L$3:$L$5001,"&lt;&gt;")=0,"",SUMIFS(BD!$L$3:$L$5001,BD!$A$3:$A$5001,L$3,BD!$B$3:$B$5001,$A$239)))</f>
        <v/>
      </c>
      <c r="M248" s="203" t="str">
        <f>IF(M$3="","",IF(COUNTIFS(BD!$A$3:$A$5001,M$3,BD!$B$3:$B$5001,$A$239,BD!$L$3:$L$5001,"&lt;&gt;")=0,"",SUMIFS(BD!$L$3:$L$5001,BD!$A$3:$A$5001,M$3,BD!$B$3:$B$5001,$A$239)))</f>
        <v/>
      </c>
      <c r="N248" s="203" t="str">
        <f>IF(N$3="","",IF(COUNTIFS(BD!$A$3:$A$5001,N$3,BD!$B$3:$B$5001,$A$239,BD!$L$3:$L$5001,"&lt;&gt;")=0,"",SUMIFS(BD!$L$3:$L$5001,BD!$A$3:$A$5001,N$3,BD!$B$3:$B$5001,$A$239)))</f>
        <v/>
      </c>
      <c r="O248" s="203" t="str">
        <f>IF(O$3="","",IF(COUNTIFS(BD!$A$3:$A$5001,O$3,BD!$B$3:$B$5001,$A$239,BD!$L$3:$L$5001,"&lt;&gt;")=0,"",SUMIFS(BD!$L$3:$L$5001,BD!$A$3:$A$5001,O$3,BD!$B$3:$B$5001,$A$239)))</f>
        <v/>
      </c>
      <c r="P248" s="203" t="str">
        <f>IF(P$3="","",IF(COUNTIFS(BD!$A$3:$A$5001,P$3,BD!$B$3:$B$5001,$A$239,BD!$L$3:$L$5001,"&lt;&gt;")=0,"",SUMIFS(BD!$L$3:$L$5001,BD!$A$3:$A$5001,P$3,BD!$B$3:$B$5001,$A$239)))</f>
        <v/>
      </c>
      <c r="Q248" s="203" t="str">
        <f>IF(Q$3="","",IF(COUNTIFS(BD!$A$3:$A$5001,Q$3,BD!$B$3:$B$5001,$A$239,BD!$L$3:$L$5001,"&lt;&gt;")=0,"",SUMIFS(BD!$L$3:$L$5001,BD!$A$3:$A$5001,Q$3,BD!$B$3:$B$5001,$A$239)))</f>
        <v/>
      </c>
      <c r="R248" s="203" t="str">
        <f>IF(R$3="","",IF(COUNTIFS(BD!$A$3:$A$5001,R$3,BD!$B$3:$B$5001,$A$239,BD!$L$3:$L$5001,"&lt;&gt;")=0,"",SUMIFS(BD!$L$3:$L$5001,BD!$A$3:$A$5001,R$3,BD!$B$3:$B$5001,$A$239)))</f>
        <v/>
      </c>
      <c r="S248" s="203" t="str">
        <f>IF(S$3="","",IF(COUNTIFS(BD!$A$3:$A$5001,S$3,BD!$B$3:$B$5001,$A$239,BD!$L$3:$L$5001,"&lt;&gt;")=0,"",SUMIFS(BD!$L$3:$L$5001,BD!$A$3:$A$5001,S$3,BD!$B$3:$B$5001,$A$239)))</f>
        <v/>
      </c>
      <c r="T248" s="203" t="str">
        <f>IF(T$3="","",IF(COUNTIFS(BD!$A$3:$A$5001,T$3,BD!$B$3:$B$5001,$A$239,BD!$L$3:$L$5001,"&lt;&gt;")=0,"",SUMIFS(BD!$L$3:$L$5001,BD!$A$3:$A$5001,T$3,BD!$B$3:$B$5001,$A$239)))</f>
        <v/>
      </c>
      <c r="U248" s="203" t="str">
        <f>IF(U$3="","",IF(COUNTIFS(BD!$A$3:$A$5001,U$3,BD!$B$3:$B$5001,$A$239,BD!$L$3:$L$5001,"&lt;&gt;")=0,"",SUMIFS(BD!$L$3:$L$5001,BD!$A$3:$A$5001,U$3,BD!$B$3:$B$5001,$A$239)))</f>
        <v/>
      </c>
      <c r="V248" s="203" t="str">
        <f>IF(V$3="","",IF(COUNTIFS(BD!$A$3:$A$5001,V$3,BD!$B$3:$B$5001,$A$239,BD!$L$3:$L$5001,"&lt;&gt;")=0,"",SUMIFS(BD!$L$3:$L$5001,BD!$A$3:$A$5001,V$3,BD!$B$3:$B$5001,$A$239)))</f>
        <v/>
      </c>
      <c r="W248" s="203" t="str">
        <f>IF(W$3="","",IF(COUNTIFS(BD!$A$3:$A$5001,W$3,BD!$B$3:$B$5001,$A$239,BD!$L$3:$L$5001,"&lt;&gt;")=0,"",SUMIFS(BD!$L$3:$L$5001,BD!$A$3:$A$5001,W$3,BD!$B$3:$B$5001,$A$239)))</f>
        <v/>
      </c>
      <c r="X248" s="203" t="str">
        <f>IF(X$3="","",IF(COUNTIFS(BD!$A$3:$A$5001,X$3,BD!$B$3:$B$5001,$A$239,BD!$L$3:$L$5001,"&lt;&gt;")=0,"",SUMIFS(BD!$L$3:$L$5001,BD!$A$3:$A$5001,X$3,BD!$B$3:$B$5001,$A$239)))</f>
        <v/>
      </c>
      <c r="Y248" s="203" t="str">
        <f>IF(Y$3="","",IF(COUNTIFS(BD!$A$3:$A$5001,Y$3,BD!$B$3:$B$5001,$A$239,BD!$L$3:$L$5001,"&lt;&gt;")=0,"",SUMIFS(BD!$L$3:$L$5001,BD!$A$3:$A$5001,Y$3,BD!$B$3:$B$5001,$A$239)))</f>
        <v/>
      </c>
      <c r="Z248" s="203" t="str">
        <f>IF(Z$3="","",IF(COUNTIFS(BD!$A$3:$A$5001,Z$3,BD!$B$3:$B$5001,$A$239,BD!$L$3:$L$5001,"&lt;&gt;")=0,"",SUMIFS(BD!$L$3:$L$5001,BD!$A$3:$A$5001,Z$3,BD!$B$3:$B$5001,$A$239)))</f>
        <v/>
      </c>
      <c r="AA248" s="203" t="str">
        <f>IF(AA$3="","",IF(COUNTIFS(BD!$A$3:$A$5001,AA$3,BD!$B$3:$B$5001,$A$239,BD!$L$3:$L$5001,"&lt;&gt;")=0,"",SUMIFS(BD!$L$3:$L$5001,BD!$A$3:$A$5001,AA$3,BD!$B$3:$B$5001,$A$239)))</f>
        <v/>
      </c>
      <c r="AB248" s="203" t="str">
        <f>IF(AB$3="","",IF(COUNTIFS(BD!$A$3:$A$5001,AB$3,BD!$B$3:$B$5001,$A$239,BD!$L$3:$L$5001,"&lt;&gt;")=0,"",SUMIFS(BD!$L$3:$L$5001,BD!$A$3:$A$5001,AB$3,BD!$B$3:$B$5001,$A$239)))</f>
        <v/>
      </c>
      <c r="AC248" s="203" t="str">
        <f>IF(AC$3="","",IF(COUNTIFS(BD!$A$3:$A$5001,AC$3,BD!$B$3:$B$5001,$A$239,BD!$L$3:$L$5001,"&lt;&gt;")=0,"",SUMIFS(BD!$L$3:$L$5001,BD!$A$3:$A$5001,AC$3,BD!$B$3:$B$5001,$A$239)))</f>
        <v/>
      </c>
      <c r="AD248" s="203" t="str">
        <f>IF(AD$3="","",IF(COUNTIFS(BD!$A$3:$A$5001,AD$3,BD!$B$3:$B$5001,$A$239,BD!$L$3:$L$5001,"&lt;&gt;")=0,"",SUMIFS(BD!$L$3:$L$5001,BD!$A$3:$A$5001,AD$3,BD!$B$3:$B$5001,$A$239)))</f>
        <v/>
      </c>
      <c r="AE248" s="203" t="str">
        <f>IF(AE$3="","",IF(COUNTIFS(BD!$A$3:$A$5001,AE$3,BD!$B$3:$B$5001,$A$239,BD!$L$3:$L$5001,"&lt;&gt;")=0,"",SUMIFS(BD!$L$3:$L$5001,BD!$A$3:$A$5001,AE$3,BD!$B$3:$B$5001,$A$239)))</f>
        <v/>
      </c>
      <c r="AF248" s="203" t="str">
        <f>IF(AF$3="","",IF(COUNTIFS(BD!$A$3:$A$5001,AF$3,BD!$B$3:$B$5001,$A$239,BD!$L$3:$L$5001,"&lt;&gt;")=0,"",SUMIFS(BD!$L$3:$L$5001,BD!$A$3:$A$5001,AF$3,BD!$B$3:$B$5001,$A$239)))</f>
        <v/>
      </c>
      <c r="AG248" s="203" t="str">
        <f>IF(AG$3="","",IF(COUNTIFS(BD!$A$3:$A$5001,AG$3,BD!$B$3:$B$5001,$A$239,BD!$L$3:$L$5001,"&lt;&gt;")=0,"",SUMIFS(BD!$L$3:$L$5001,BD!$A$3:$A$5001,AG$3,BD!$B$3:$B$5001,$A$239)))</f>
        <v/>
      </c>
      <c r="AH248" s="203" t="str">
        <f>IF(AH$3="","",IF(COUNTIFS(BD!$A$3:$A$5001,AH$3,BD!$B$3:$B$5001,$A$239,BD!$L$3:$L$5001,"&lt;&gt;")=0,"",SUMIFS(BD!$L$3:$L$5001,BD!$A$3:$A$5001,AH$3,BD!$B$3:$B$5001,$A$239)))</f>
        <v/>
      </c>
      <c r="AI248" s="203" t="str">
        <f>IF(AI$3="","",IF(COUNTIFS(BD!$A$3:$A$5001,AI$3,BD!$B$3:$B$5001,$A$239,BD!$L$3:$L$5001,"&lt;&gt;")=0,"",SUMIFS(BD!$L$3:$L$5001,BD!$A$3:$A$5001,AI$3,BD!$B$3:$B$5001,$A$239)))</f>
        <v/>
      </c>
      <c r="AJ248" s="204" t="str">
        <f>IF(AJ$3="","",IF(COUNTIFS(BD!$A$3:$A$5001,AJ$3,BD!$B$3:$B$5001,$A$239,BD!$L$3:$L$5001,"&lt;&gt;")=0,"",SUMIFS(BD!$L$3:$L$5001,BD!$A$3:$A$5001,AJ$3,BD!$B$3:$B$5001,$A$239)))</f>
        <v/>
      </c>
      <c r="AK248" s="205" t="str">
        <f>IF(COUNT(F248:AJ248)=0,"",SUM(F248:AJ248))</f>
        <v/>
      </c>
    </row>
    <row r="249" ht="15.75" customHeight="1" hidden="1">
      <c r="A249" s="277"/>
      <c r="B249" s="269"/>
      <c r="C249" s="210" t="inlineStr">
        <is>
          <t xml:space="preserve">Bags Expedidos</t>
        </is>
      </c>
      <c r="D249" s="211" t="str">
        <f>IFERROR(1/(1/INDEX(BD!$AF$33:$AZ$33,MATCH($A$239,BD!$AF$22:$AZ$22,0))),"")</f>
        <v/>
      </c>
      <c r="E249" s="212"/>
      <c r="F249" s="213" t="str">
        <f>IF(F$3="","",IF(COUNTIFS(BD!$A$3:$A$5001,F$3,BD!$B$3:$B$5001,$A$239,BD!$M$3:$M$5001,"&lt;&gt;")=0,"",SUMIFS(BD!$M$3:$M$5001,BD!$A$3:$A$5001,F$3,BD!$B$3:$B$5001,$A$239)))</f>
        <v/>
      </c>
      <c r="G249" s="214" t="str">
        <f>IF(G$3="","",IF(COUNTIFS(BD!$A$3:$A$5001,G$3,BD!$B$3:$B$5001,$A$239,BD!$M$3:$M$5001,"&lt;&gt;")=0,"",SUMIFS(BD!$M$3:$M$5001,BD!$A$3:$A$5001,G$3,BD!$B$3:$B$5001,$A$239)))</f>
        <v/>
      </c>
      <c r="H249" s="214" t="str">
        <f>IF(H$3="","",IF(COUNTIFS(BD!$A$3:$A$5001,H$3,BD!$B$3:$B$5001,$A$239,BD!$M$3:$M$5001,"&lt;&gt;")=0,"",SUMIFS(BD!$M$3:$M$5001,BD!$A$3:$A$5001,H$3,BD!$B$3:$B$5001,$A$239)))</f>
        <v/>
      </c>
      <c r="I249" s="214" t="str">
        <f>IF(I$3="","",IF(COUNTIFS(BD!$A$3:$A$5001,I$3,BD!$B$3:$B$5001,$A$239,BD!$M$3:$M$5001,"&lt;&gt;")=0,"",SUMIFS(BD!$M$3:$M$5001,BD!$A$3:$A$5001,I$3,BD!$B$3:$B$5001,$A$239)))</f>
        <v/>
      </c>
      <c r="J249" s="214" t="str">
        <f>IF(J$3="","",IF(COUNTIFS(BD!$A$3:$A$5001,J$3,BD!$B$3:$B$5001,$A$239,BD!$M$3:$M$5001,"&lt;&gt;")=0,"",SUMIFS(BD!$M$3:$M$5001,BD!$A$3:$A$5001,J$3,BD!$B$3:$B$5001,$A$239)))</f>
        <v/>
      </c>
      <c r="K249" s="214" t="str">
        <f>IF(K$3="","",IF(COUNTIFS(BD!$A$3:$A$5001,K$3,BD!$B$3:$B$5001,$A$239,BD!$M$3:$M$5001,"&lt;&gt;")=0,"",SUMIFS(BD!$M$3:$M$5001,BD!$A$3:$A$5001,K$3,BD!$B$3:$B$5001,$A$239)))</f>
        <v/>
      </c>
      <c r="L249" s="214" t="str">
        <f>IF(L$3="","",IF(COUNTIFS(BD!$A$3:$A$5001,L$3,BD!$B$3:$B$5001,$A$239,BD!$M$3:$M$5001,"&lt;&gt;")=0,"",SUMIFS(BD!$M$3:$M$5001,BD!$A$3:$A$5001,L$3,BD!$B$3:$B$5001,$A$239)))</f>
        <v/>
      </c>
      <c r="M249" s="214" t="str">
        <f>IF(M$3="","",IF(COUNTIFS(BD!$A$3:$A$5001,M$3,BD!$B$3:$B$5001,$A$239,BD!$M$3:$M$5001,"&lt;&gt;")=0,"",SUMIFS(BD!$M$3:$M$5001,BD!$A$3:$A$5001,M$3,BD!$B$3:$B$5001,$A$239)))</f>
        <v/>
      </c>
      <c r="N249" s="214" t="str">
        <f>IF(N$3="","",IF(COUNTIFS(BD!$A$3:$A$5001,N$3,BD!$B$3:$B$5001,$A$239,BD!$M$3:$M$5001,"&lt;&gt;")=0,"",SUMIFS(BD!$M$3:$M$5001,BD!$A$3:$A$5001,N$3,BD!$B$3:$B$5001,$A$239)))</f>
        <v/>
      </c>
      <c r="O249" s="214" t="str">
        <f>IF(O$3="","",IF(COUNTIFS(BD!$A$3:$A$5001,O$3,BD!$B$3:$B$5001,$A$239,BD!$M$3:$M$5001,"&lt;&gt;")=0,"",SUMIFS(BD!$M$3:$M$5001,BD!$A$3:$A$5001,O$3,BD!$B$3:$B$5001,$A$239)))</f>
        <v/>
      </c>
      <c r="P249" s="214" t="str">
        <f>IF(P$3="","",IF(COUNTIFS(BD!$A$3:$A$5001,P$3,BD!$B$3:$B$5001,$A$239,BD!$M$3:$M$5001,"&lt;&gt;")=0,"",SUMIFS(BD!$M$3:$M$5001,BD!$A$3:$A$5001,P$3,BD!$B$3:$B$5001,$A$239)))</f>
        <v/>
      </c>
      <c r="Q249" s="214" t="str">
        <f>IF(Q$3="","",IF(COUNTIFS(BD!$A$3:$A$5001,Q$3,BD!$B$3:$B$5001,$A$239,BD!$M$3:$M$5001,"&lt;&gt;")=0,"",SUMIFS(BD!$M$3:$M$5001,BD!$A$3:$A$5001,Q$3,BD!$B$3:$B$5001,$A$239)))</f>
        <v/>
      </c>
      <c r="R249" s="214" t="str">
        <f>IF(R$3="","",IF(COUNTIFS(BD!$A$3:$A$5001,R$3,BD!$B$3:$B$5001,$A$239,BD!$M$3:$M$5001,"&lt;&gt;")=0,"",SUMIFS(BD!$M$3:$M$5001,BD!$A$3:$A$5001,R$3,BD!$B$3:$B$5001,$A$239)))</f>
        <v/>
      </c>
      <c r="S249" s="214" t="str">
        <f>IF(S$3="","",IF(COUNTIFS(BD!$A$3:$A$5001,S$3,BD!$B$3:$B$5001,$A$239,BD!$M$3:$M$5001,"&lt;&gt;")=0,"",SUMIFS(BD!$M$3:$M$5001,BD!$A$3:$A$5001,S$3,BD!$B$3:$B$5001,$A$239)))</f>
        <v/>
      </c>
      <c r="T249" s="214" t="str">
        <f>IF(T$3="","",IF(COUNTIFS(BD!$A$3:$A$5001,T$3,BD!$B$3:$B$5001,$A$239,BD!$M$3:$M$5001,"&lt;&gt;")=0,"",SUMIFS(BD!$M$3:$M$5001,BD!$A$3:$A$5001,T$3,BD!$B$3:$B$5001,$A$239)))</f>
        <v/>
      </c>
      <c r="U249" s="214" t="str">
        <f>IF(U$3="","",IF(COUNTIFS(BD!$A$3:$A$5001,U$3,BD!$B$3:$B$5001,$A$239,BD!$M$3:$M$5001,"&lt;&gt;")=0,"",SUMIFS(BD!$M$3:$M$5001,BD!$A$3:$A$5001,U$3,BD!$B$3:$B$5001,$A$239)))</f>
        <v/>
      </c>
      <c r="V249" s="214" t="str">
        <f>IF(V$3="","",IF(COUNTIFS(BD!$A$3:$A$5001,V$3,BD!$B$3:$B$5001,$A$239,BD!$M$3:$M$5001,"&lt;&gt;")=0,"",SUMIFS(BD!$M$3:$M$5001,BD!$A$3:$A$5001,V$3,BD!$B$3:$B$5001,$A$239)))</f>
        <v/>
      </c>
      <c r="W249" s="214" t="str">
        <f>IF(W$3="","",IF(COUNTIFS(BD!$A$3:$A$5001,W$3,BD!$B$3:$B$5001,$A$239,BD!$M$3:$M$5001,"&lt;&gt;")=0,"",SUMIFS(BD!$M$3:$M$5001,BD!$A$3:$A$5001,W$3,BD!$B$3:$B$5001,$A$239)))</f>
        <v/>
      </c>
      <c r="X249" s="214" t="str">
        <f>IF(X$3="","",IF(COUNTIFS(BD!$A$3:$A$5001,X$3,BD!$B$3:$B$5001,$A$239,BD!$M$3:$M$5001,"&lt;&gt;")=0,"",SUMIFS(BD!$M$3:$M$5001,BD!$A$3:$A$5001,X$3,BD!$B$3:$B$5001,$A$239)))</f>
        <v/>
      </c>
      <c r="Y249" s="214" t="str">
        <f>IF(Y$3="","",IF(COUNTIFS(BD!$A$3:$A$5001,Y$3,BD!$B$3:$B$5001,$A$239,BD!$M$3:$M$5001,"&lt;&gt;")=0,"",SUMIFS(BD!$M$3:$M$5001,BD!$A$3:$A$5001,Y$3,BD!$B$3:$B$5001,$A$239)))</f>
        <v/>
      </c>
      <c r="Z249" s="214" t="str">
        <f>IF(Z$3="","",IF(COUNTIFS(BD!$A$3:$A$5001,Z$3,BD!$B$3:$B$5001,$A$239,BD!$M$3:$M$5001,"&lt;&gt;")=0,"",SUMIFS(BD!$M$3:$M$5001,BD!$A$3:$A$5001,Z$3,BD!$B$3:$B$5001,$A$239)))</f>
        <v/>
      </c>
      <c r="AA249" s="214" t="str">
        <f>IF(AA$3="","",IF(COUNTIFS(BD!$A$3:$A$5001,AA$3,BD!$B$3:$B$5001,$A$239,BD!$M$3:$M$5001,"&lt;&gt;")=0,"",SUMIFS(BD!$M$3:$M$5001,BD!$A$3:$A$5001,AA$3,BD!$B$3:$B$5001,$A$239)))</f>
        <v/>
      </c>
      <c r="AB249" s="214" t="str">
        <f>IF(AB$3="","",IF(COUNTIFS(BD!$A$3:$A$5001,AB$3,BD!$B$3:$B$5001,$A$239,BD!$M$3:$M$5001,"&lt;&gt;")=0,"",SUMIFS(BD!$M$3:$M$5001,BD!$A$3:$A$5001,AB$3,BD!$B$3:$B$5001,$A$239)))</f>
        <v/>
      </c>
      <c r="AC249" s="214" t="str">
        <f>IF(AC$3="","",IF(COUNTIFS(BD!$A$3:$A$5001,AC$3,BD!$B$3:$B$5001,$A$239,BD!$M$3:$M$5001,"&lt;&gt;")=0,"",SUMIFS(BD!$M$3:$M$5001,BD!$A$3:$A$5001,AC$3,BD!$B$3:$B$5001,$A$239)))</f>
        <v/>
      </c>
      <c r="AD249" s="214" t="str">
        <f>IF(AD$3="","",IF(COUNTIFS(BD!$A$3:$A$5001,AD$3,BD!$B$3:$B$5001,$A$239,BD!$M$3:$M$5001,"&lt;&gt;")=0,"",SUMIFS(BD!$M$3:$M$5001,BD!$A$3:$A$5001,AD$3,BD!$B$3:$B$5001,$A$239)))</f>
        <v/>
      </c>
      <c r="AE249" s="214" t="str">
        <f>IF(AE$3="","",IF(COUNTIFS(BD!$A$3:$A$5001,AE$3,BD!$B$3:$B$5001,$A$239,BD!$M$3:$M$5001,"&lt;&gt;")=0,"",SUMIFS(BD!$M$3:$M$5001,BD!$A$3:$A$5001,AE$3,BD!$B$3:$B$5001,$A$239)))</f>
        <v/>
      </c>
      <c r="AF249" s="214" t="str">
        <f>IF(AF$3="","",IF(COUNTIFS(BD!$A$3:$A$5001,AF$3,BD!$B$3:$B$5001,$A$239,BD!$M$3:$M$5001,"&lt;&gt;")=0,"",SUMIFS(BD!$M$3:$M$5001,BD!$A$3:$A$5001,AF$3,BD!$B$3:$B$5001,$A$239)))</f>
        <v/>
      </c>
      <c r="AG249" s="214" t="str">
        <f>IF(AG$3="","",IF(COUNTIFS(BD!$A$3:$A$5001,AG$3,BD!$B$3:$B$5001,$A$239,BD!$M$3:$M$5001,"&lt;&gt;")=0,"",SUMIFS(BD!$M$3:$M$5001,BD!$A$3:$A$5001,AG$3,BD!$B$3:$B$5001,$A$239)))</f>
        <v/>
      </c>
      <c r="AH249" s="214" t="str">
        <f>IF(AH$3="","",IF(COUNTIFS(BD!$A$3:$A$5001,AH$3,BD!$B$3:$B$5001,$A$239,BD!$M$3:$M$5001,"&lt;&gt;")=0,"",SUMIFS(BD!$M$3:$M$5001,BD!$A$3:$A$5001,AH$3,BD!$B$3:$B$5001,$A$239)))</f>
        <v/>
      </c>
      <c r="AI249" s="214" t="str">
        <f>IF(AI$3="","",IF(COUNTIFS(BD!$A$3:$A$5001,AI$3,BD!$B$3:$B$5001,$A$239,BD!$M$3:$M$5001,"&lt;&gt;")=0,"",SUMIFS(BD!$M$3:$M$5001,BD!$A$3:$A$5001,AI$3,BD!$B$3:$B$5001,$A$239)))</f>
        <v/>
      </c>
      <c r="AJ249" s="215" t="str">
        <f>IF(AJ$3="","",IF(COUNTIFS(BD!$A$3:$A$5001,AJ$3,BD!$B$3:$B$5001,$A$239,BD!$M$3:$M$5001,"&lt;&gt;")=0,"",SUMIFS(BD!$M$3:$M$5001,BD!$A$3:$A$5001,AJ$3,BD!$B$3:$B$5001,$A$239)))</f>
        <v/>
      </c>
      <c r="AK249" s="211" t="str">
        <f>IF(COUNT(F249:AJ249)=0,"",SUM(F249:AJ249))</f>
        <v/>
      </c>
    </row>
    <row r="250" ht="15.75" customHeight="1" hidden="1">
      <c r="A250" s="277"/>
      <c r="B250" s="270" t="inlineStr">
        <is>
          <t xml:space="preserve">NC</t>
        </is>
      </c>
      <c r="C250" s="216" t="inlineStr">
        <is>
          <t xml:space="preserve">Incidentes</t>
        </is>
      </c>
      <c r="D250" s="217" t="str">
        <f>IFERROR(1/(1/INDEX(BD!$AF$34:$AZ$34,MATCH($A$239,BD!$AF$22:$AZ$22,0))),"")</f>
        <v/>
      </c>
      <c r="E250" s="218"/>
      <c r="F250" s="219" t="str">
        <f>IF(F$3="","",IF(COUNTIFS(BD!$A$3:$A$5001,F$3,BD!$B$3:$B$5001,$A$239,BD!$N$3:$N$5001,"&lt;&gt;")=0,"",SUMIFS(BD!$N$3:$N$5001,BD!$A$3:$A$5001,F$3,BD!$B$3:$B$5001,$A$239)))</f>
        <v/>
      </c>
      <c r="G250" s="220" t="str">
        <f>IF(G$3="","",IF(COUNTIFS(BD!$A$3:$A$5001,G$3,BD!$B$3:$B$5001,$A$239,BD!$N$3:$N$5001,"&lt;&gt;")=0,"",SUMIFS(BD!$N$3:$N$5001,BD!$A$3:$A$5001,G$3,BD!$B$3:$B$5001,$A$239)))</f>
        <v/>
      </c>
      <c r="H250" s="220" t="str">
        <f>IF(H$3="","",IF(COUNTIFS(BD!$A$3:$A$5001,H$3,BD!$B$3:$B$5001,$A$239,BD!$N$3:$N$5001,"&lt;&gt;")=0,"",SUMIFS(BD!$N$3:$N$5001,BD!$A$3:$A$5001,H$3,BD!$B$3:$B$5001,$A$239)))</f>
        <v/>
      </c>
      <c r="I250" s="220" t="str">
        <f>IF(I$3="","",IF(COUNTIFS(BD!$A$3:$A$5001,I$3,BD!$B$3:$B$5001,$A$239,BD!$N$3:$N$5001,"&lt;&gt;")=0,"",SUMIFS(BD!$N$3:$N$5001,BD!$A$3:$A$5001,I$3,BD!$B$3:$B$5001,$A$239)))</f>
        <v/>
      </c>
      <c r="J250" s="220" t="str">
        <f>IF(J$3="","",IF(COUNTIFS(BD!$A$3:$A$5001,J$3,BD!$B$3:$B$5001,$A$239,BD!$N$3:$N$5001,"&lt;&gt;")=0,"",SUMIFS(BD!$N$3:$N$5001,BD!$A$3:$A$5001,J$3,BD!$B$3:$B$5001,$A$239)))</f>
        <v/>
      </c>
      <c r="K250" s="220" t="str">
        <f>IF(K$3="","",IF(COUNTIFS(BD!$A$3:$A$5001,K$3,BD!$B$3:$B$5001,$A$239,BD!$N$3:$N$5001,"&lt;&gt;")=0,"",SUMIFS(BD!$N$3:$N$5001,BD!$A$3:$A$5001,K$3,BD!$B$3:$B$5001,$A$239)))</f>
        <v/>
      </c>
      <c r="L250" s="220" t="str">
        <f>IF(L$3="","",IF(COUNTIFS(BD!$A$3:$A$5001,L$3,BD!$B$3:$B$5001,$A$239,BD!$N$3:$N$5001,"&lt;&gt;")=0,"",SUMIFS(BD!$N$3:$N$5001,BD!$A$3:$A$5001,L$3,BD!$B$3:$B$5001,$A$239)))</f>
        <v/>
      </c>
      <c r="M250" s="220" t="str">
        <f>IF(M$3="","",IF(COUNTIFS(BD!$A$3:$A$5001,M$3,BD!$B$3:$B$5001,$A$239,BD!$N$3:$N$5001,"&lt;&gt;")=0,"",SUMIFS(BD!$N$3:$N$5001,BD!$A$3:$A$5001,M$3,BD!$B$3:$B$5001,$A$239)))</f>
        <v/>
      </c>
      <c r="N250" s="220" t="str">
        <f>IF(N$3="","",IF(COUNTIFS(BD!$A$3:$A$5001,N$3,BD!$B$3:$B$5001,$A$239,BD!$N$3:$N$5001,"&lt;&gt;")=0,"",SUMIFS(BD!$N$3:$N$5001,BD!$A$3:$A$5001,N$3,BD!$B$3:$B$5001,$A$239)))</f>
        <v/>
      </c>
      <c r="O250" s="220" t="str">
        <f>IF(O$3="","",IF(COUNTIFS(BD!$A$3:$A$5001,O$3,BD!$B$3:$B$5001,$A$239,BD!$N$3:$N$5001,"&lt;&gt;")=0,"",SUMIFS(BD!$N$3:$N$5001,BD!$A$3:$A$5001,O$3,BD!$B$3:$B$5001,$A$239)))</f>
        <v/>
      </c>
      <c r="P250" s="220" t="str">
        <f>IF(P$3="","",IF(COUNTIFS(BD!$A$3:$A$5001,P$3,BD!$B$3:$B$5001,$A$239,BD!$N$3:$N$5001,"&lt;&gt;")=0,"",SUMIFS(BD!$N$3:$N$5001,BD!$A$3:$A$5001,P$3,BD!$B$3:$B$5001,$A$239)))</f>
        <v/>
      </c>
      <c r="Q250" s="220" t="str">
        <f>IF(Q$3="","",IF(COUNTIFS(BD!$A$3:$A$5001,Q$3,BD!$B$3:$B$5001,$A$239,BD!$N$3:$N$5001,"&lt;&gt;")=0,"",SUMIFS(BD!$N$3:$N$5001,BD!$A$3:$A$5001,Q$3,BD!$B$3:$B$5001,$A$239)))</f>
        <v/>
      </c>
      <c r="R250" s="220" t="str">
        <f>IF(R$3="","",IF(COUNTIFS(BD!$A$3:$A$5001,R$3,BD!$B$3:$B$5001,$A$239,BD!$N$3:$N$5001,"&lt;&gt;")=0,"",SUMIFS(BD!$N$3:$N$5001,BD!$A$3:$A$5001,R$3,BD!$B$3:$B$5001,$A$239)))</f>
        <v/>
      </c>
      <c r="S250" s="220" t="str">
        <f>IF(S$3="","",IF(COUNTIFS(BD!$A$3:$A$5001,S$3,BD!$B$3:$B$5001,$A$239,BD!$N$3:$N$5001,"&lt;&gt;")=0,"",SUMIFS(BD!$N$3:$N$5001,BD!$A$3:$A$5001,S$3,BD!$B$3:$B$5001,$A$239)))</f>
        <v/>
      </c>
      <c r="T250" s="220" t="str">
        <f>IF(T$3="","",IF(COUNTIFS(BD!$A$3:$A$5001,T$3,BD!$B$3:$B$5001,$A$239,BD!$N$3:$N$5001,"&lt;&gt;")=0,"",SUMIFS(BD!$N$3:$N$5001,BD!$A$3:$A$5001,T$3,BD!$B$3:$B$5001,$A$239)))</f>
        <v/>
      </c>
      <c r="U250" s="220" t="str">
        <f>IF(U$3="","",IF(COUNTIFS(BD!$A$3:$A$5001,U$3,BD!$B$3:$B$5001,$A$239,BD!$N$3:$N$5001,"&lt;&gt;")=0,"",SUMIFS(BD!$N$3:$N$5001,BD!$A$3:$A$5001,U$3,BD!$B$3:$B$5001,$A$239)))</f>
        <v/>
      </c>
      <c r="V250" s="220" t="str">
        <f>IF(V$3="","",IF(COUNTIFS(BD!$A$3:$A$5001,V$3,BD!$B$3:$B$5001,$A$239,BD!$N$3:$N$5001,"&lt;&gt;")=0,"",SUMIFS(BD!$N$3:$N$5001,BD!$A$3:$A$5001,V$3,BD!$B$3:$B$5001,$A$239)))</f>
        <v/>
      </c>
      <c r="W250" s="220" t="str">
        <f>IF(W$3="","",IF(COUNTIFS(BD!$A$3:$A$5001,W$3,BD!$B$3:$B$5001,$A$239,BD!$N$3:$N$5001,"&lt;&gt;")=0,"",SUMIFS(BD!$N$3:$N$5001,BD!$A$3:$A$5001,W$3,BD!$B$3:$B$5001,$A$239)))</f>
        <v/>
      </c>
      <c r="X250" s="220" t="str">
        <f>IF(X$3="","",IF(COUNTIFS(BD!$A$3:$A$5001,X$3,BD!$B$3:$B$5001,$A$239,BD!$N$3:$N$5001,"&lt;&gt;")=0,"",SUMIFS(BD!$N$3:$N$5001,BD!$A$3:$A$5001,X$3,BD!$B$3:$B$5001,$A$239)))</f>
        <v/>
      </c>
      <c r="Y250" s="220" t="str">
        <f>IF(Y$3="","",IF(COUNTIFS(BD!$A$3:$A$5001,Y$3,BD!$B$3:$B$5001,$A$239,BD!$N$3:$N$5001,"&lt;&gt;")=0,"",SUMIFS(BD!$N$3:$N$5001,BD!$A$3:$A$5001,Y$3,BD!$B$3:$B$5001,$A$239)))</f>
        <v/>
      </c>
      <c r="Z250" s="220" t="str">
        <f>IF(Z$3="","",IF(COUNTIFS(BD!$A$3:$A$5001,Z$3,BD!$B$3:$B$5001,$A$239,BD!$N$3:$N$5001,"&lt;&gt;")=0,"",SUMIFS(BD!$N$3:$N$5001,BD!$A$3:$A$5001,Z$3,BD!$B$3:$B$5001,$A$239)))</f>
        <v/>
      </c>
      <c r="AA250" s="220" t="str">
        <f>IF(AA$3="","",IF(COUNTIFS(BD!$A$3:$A$5001,AA$3,BD!$B$3:$B$5001,$A$239,BD!$N$3:$N$5001,"&lt;&gt;")=0,"",SUMIFS(BD!$N$3:$N$5001,BD!$A$3:$A$5001,AA$3,BD!$B$3:$B$5001,$A$239)))</f>
        <v/>
      </c>
      <c r="AB250" s="220" t="str">
        <f>IF(AB$3="","",IF(COUNTIFS(BD!$A$3:$A$5001,AB$3,BD!$B$3:$B$5001,$A$239,BD!$N$3:$N$5001,"&lt;&gt;")=0,"",SUMIFS(BD!$N$3:$N$5001,BD!$A$3:$A$5001,AB$3,BD!$B$3:$B$5001,$A$239)))</f>
        <v/>
      </c>
      <c r="AC250" s="220" t="str">
        <f>IF(AC$3="","",IF(COUNTIFS(BD!$A$3:$A$5001,AC$3,BD!$B$3:$B$5001,$A$239,BD!$N$3:$N$5001,"&lt;&gt;")=0,"",SUMIFS(BD!$N$3:$N$5001,BD!$A$3:$A$5001,AC$3,BD!$B$3:$B$5001,$A$239)))</f>
        <v/>
      </c>
      <c r="AD250" s="220" t="str">
        <f>IF(AD$3="","",IF(COUNTIFS(BD!$A$3:$A$5001,AD$3,BD!$B$3:$B$5001,$A$239,BD!$N$3:$N$5001,"&lt;&gt;")=0,"",SUMIFS(BD!$N$3:$N$5001,BD!$A$3:$A$5001,AD$3,BD!$B$3:$B$5001,$A$239)))</f>
        <v/>
      </c>
      <c r="AE250" s="220" t="str">
        <f>IF(AE$3="","",IF(COUNTIFS(BD!$A$3:$A$5001,AE$3,BD!$B$3:$B$5001,$A$239,BD!$N$3:$N$5001,"&lt;&gt;")=0,"",SUMIFS(BD!$N$3:$N$5001,BD!$A$3:$A$5001,AE$3,BD!$B$3:$B$5001,$A$239)))</f>
        <v/>
      </c>
      <c r="AF250" s="220" t="str">
        <f>IF(AF$3="","",IF(COUNTIFS(BD!$A$3:$A$5001,AF$3,BD!$B$3:$B$5001,$A$239,BD!$N$3:$N$5001,"&lt;&gt;")=0,"",SUMIFS(BD!$N$3:$N$5001,BD!$A$3:$A$5001,AF$3,BD!$B$3:$B$5001,$A$239)))</f>
        <v/>
      </c>
      <c r="AG250" s="220" t="str">
        <f>IF(AG$3="","",IF(COUNTIFS(BD!$A$3:$A$5001,AG$3,BD!$B$3:$B$5001,$A$239,BD!$N$3:$N$5001,"&lt;&gt;")=0,"",SUMIFS(BD!$N$3:$N$5001,BD!$A$3:$A$5001,AG$3,BD!$B$3:$B$5001,$A$239)))</f>
        <v/>
      </c>
      <c r="AH250" s="220" t="str">
        <f>IF(AH$3="","",IF(COUNTIFS(BD!$A$3:$A$5001,AH$3,BD!$B$3:$B$5001,$A$239,BD!$N$3:$N$5001,"&lt;&gt;")=0,"",SUMIFS(BD!$N$3:$N$5001,BD!$A$3:$A$5001,AH$3,BD!$B$3:$B$5001,$A$239)))</f>
        <v/>
      </c>
      <c r="AI250" s="220" t="str">
        <f>IF(AI$3="","",IF(COUNTIFS(BD!$A$3:$A$5001,AI$3,BD!$B$3:$B$5001,$A$239,BD!$N$3:$N$5001,"&lt;&gt;")=0,"",SUMIFS(BD!$N$3:$N$5001,BD!$A$3:$A$5001,AI$3,BD!$B$3:$B$5001,$A$239)))</f>
        <v/>
      </c>
      <c r="AJ250" s="221" t="str">
        <f>IF(AJ$3="","",IF(COUNTIFS(BD!$A$3:$A$5001,AJ$3,BD!$B$3:$B$5001,$A$239,BD!$N$3:$N$5001,"&lt;&gt;")=0,"",SUMIFS(BD!$N$3:$N$5001,BD!$A$3:$A$5001,AJ$3,BD!$B$3:$B$5001,$A$239)))</f>
        <v/>
      </c>
      <c r="AK250" s="222" t="str">
        <f>IF(COUNT(F250:AJ250)=0,"",SUM(F250:AJ250))</f>
        <v/>
      </c>
    </row>
    <row r="251" ht="15.75" customHeight="1" hidden="1">
      <c r="A251" s="277"/>
      <c r="B251" s="271"/>
      <c r="C251" s="223" t="inlineStr">
        <is>
          <t xml:space="preserve">No show</t>
        </is>
      </c>
      <c r="D251" s="224" t="str">
        <f>IFERROR(1/(1/INDEX(BD!$AF$35:$AZ$35,MATCH($A$239,BD!$AF$22:$AZ$22,0))),"")</f>
        <v/>
      </c>
      <c r="E251" s="225"/>
      <c r="F251" s="226" t="str">
        <f>IF(F$3="","",IF(COUNTIFS(BD!$A$3:$A$5001,F$3,BD!$B$3:$B$5001,$A$239,BD!$O$3:$O$5001,"&lt;&gt;")=0,"",SUMIFS(BD!$O$3:$O$5001,BD!$A$3:$A$5001,F$3,BD!$B$3:$B$5001,$A$239)))</f>
        <v/>
      </c>
      <c r="G251" s="227" t="str">
        <f>IF(G$3="","",IF(COUNTIFS(BD!$A$3:$A$5001,G$3,BD!$B$3:$B$5001,$A$239,BD!$O$3:$O$5001,"&lt;&gt;")=0,"",SUMIFS(BD!$O$3:$O$5001,BD!$A$3:$A$5001,G$3,BD!$B$3:$B$5001,$A$239)))</f>
        <v/>
      </c>
      <c r="H251" s="227" t="str">
        <f>IF(H$3="","",IF(COUNTIFS(BD!$A$3:$A$5001,H$3,BD!$B$3:$B$5001,$A$239,BD!$O$3:$O$5001,"&lt;&gt;")=0,"",SUMIFS(BD!$O$3:$O$5001,BD!$A$3:$A$5001,H$3,BD!$B$3:$B$5001,$A$239)))</f>
        <v/>
      </c>
      <c r="I251" s="227" t="str">
        <f>IF(I$3="","",IF(COUNTIFS(BD!$A$3:$A$5001,I$3,BD!$B$3:$B$5001,$A$239,BD!$O$3:$O$5001,"&lt;&gt;")=0,"",SUMIFS(BD!$O$3:$O$5001,BD!$A$3:$A$5001,I$3,BD!$B$3:$B$5001,$A$239)))</f>
        <v/>
      </c>
      <c r="J251" s="227" t="str">
        <f>IF(J$3="","",IF(COUNTIFS(BD!$A$3:$A$5001,J$3,BD!$B$3:$B$5001,$A$239,BD!$O$3:$O$5001,"&lt;&gt;")=0,"",SUMIFS(BD!$O$3:$O$5001,BD!$A$3:$A$5001,J$3,BD!$B$3:$B$5001,$A$239)))</f>
        <v/>
      </c>
      <c r="K251" s="227" t="str">
        <f>IF(K$3="","",IF(COUNTIFS(BD!$A$3:$A$5001,K$3,BD!$B$3:$B$5001,$A$239,BD!$O$3:$O$5001,"&lt;&gt;")=0,"",SUMIFS(BD!$O$3:$O$5001,BD!$A$3:$A$5001,K$3,BD!$B$3:$B$5001,$A$239)))</f>
        <v/>
      </c>
      <c r="L251" s="227" t="str">
        <f>IF(L$3="","",IF(COUNTIFS(BD!$A$3:$A$5001,L$3,BD!$B$3:$B$5001,$A$239,BD!$O$3:$O$5001,"&lt;&gt;")=0,"",SUMIFS(BD!$O$3:$O$5001,BD!$A$3:$A$5001,L$3,BD!$B$3:$B$5001,$A$239)))</f>
        <v/>
      </c>
      <c r="M251" s="227" t="str">
        <f>IF(M$3="","",IF(COUNTIFS(BD!$A$3:$A$5001,M$3,BD!$B$3:$B$5001,$A$239,BD!$O$3:$O$5001,"&lt;&gt;")=0,"",SUMIFS(BD!$O$3:$O$5001,BD!$A$3:$A$5001,M$3,BD!$B$3:$B$5001,$A$239)))</f>
        <v/>
      </c>
      <c r="N251" s="227" t="str">
        <f>IF(N$3="","",IF(COUNTIFS(BD!$A$3:$A$5001,N$3,BD!$B$3:$B$5001,$A$239,BD!$O$3:$O$5001,"&lt;&gt;")=0,"",SUMIFS(BD!$O$3:$O$5001,BD!$A$3:$A$5001,N$3,BD!$B$3:$B$5001,$A$239)))</f>
        <v/>
      </c>
      <c r="O251" s="227" t="str">
        <f>IF(O$3="","",IF(COUNTIFS(BD!$A$3:$A$5001,O$3,BD!$B$3:$B$5001,$A$239,BD!$O$3:$O$5001,"&lt;&gt;")=0,"",SUMIFS(BD!$O$3:$O$5001,BD!$A$3:$A$5001,O$3,BD!$B$3:$B$5001,$A$239)))</f>
        <v/>
      </c>
      <c r="P251" s="227" t="str">
        <f>IF(P$3="","",IF(COUNTIFS(BD!$A$3:$A$5001,P$3,BD!$B$3:$B$5001,$A$239,BD!$O$3:$O$5001,"&lt;&gt;")=0,"",SUMIFS(BD!$O$3:$O$5001,BD!$A$3:$A$5001,P$3,BD!$B$3:$B$5001,$A$239)))</f>
        <v/>
      </c>
      <c r="Q251" s="227" t="str">
        <f>IF(Q$3="","",IF(COUNTIFS(BD!$A$3:$A$5001,Q$3,BD!$B$3:$B$5001,$A$239,BD!$O$3:$O$5001,"&lt;&gt;")=0,"",SUMIFS(BD!$O$3:$O$5001,BD!$A$3:$A$5001,Q$3,BD!$B$3:$B$5001,$A$239)))</f>
        <v/>
      </c>
      <c r="R251" s="227" t="str">
        <f>IF(R$3="","",IF(COUNTIFS(BD!$A$3:$A$5001,R$3,BD!$B$3:$B$5001,$A$239,BD!$O$3:$O$5001,"&lt;&gt;")=0,"",SUMIFS(BD!$O$3:$O$5001,BD!$A$3:$A$5001,R$3,BD!$B$3:$B$5001,$A$239)))</f>
        <v/>
      </c>
      <c r="S251" s="227" t="str">
        <f>IF(S$3="","",IF(COUNTIFS(BD!$A$3:$A$5001,S$3,BD!$B$3:$B$5001,$A$239,BD!$O$3:$O$5001,"&lt;&gt;")=0,"",SUMIFS(BD!$O$3:$O$5001,BD!$A$3:$A$5001,S$3,BD!$B$3:$B$5001,$A$239)))</f>
        <v/>
      </c>
      <c r="T251" s="227" t="str">
        <f>IF(T$3="","",IF(COUNTIFS(BD!$A$3:$A$5001,T$3,BD!$B$3:$B$5001,$A$239,BD!$O$3:$O$5001,"&lt;&gt;")=0,"",SUMIFS(BD!$O$3:$O$5001,BD!$A$3:$A$5001,T$3,BD!$B$3:$B$5001,$A$239)))</f>
        <v/>
      </c>
      <c r="U251" s="227" t="str">
        <f>IF(U$3="","",IF(COUNTIFS(BD!$A$3:$A$5001,U$3,BD!$B$3:$B$5001,$A$239,BD!$O$3:$O$5001,"&lt;&gt;")=0,"",SUMIFS(BD!$O$3:$O$5001,BD!$A$3:$A$5001,U$3,BD!$B$3:$B$5001,$A$239)))</f>
        <v/>
      </c>
      <c r="V251" s="227" t="str">
        <f>IF(V$3="","",IF(COUNTIFS(BD!$A$3:$A$5001,V$3,BD!$B$3:$B$5001,$A$239,BD!$O$3:$O$5001,"&lt;&gt;")=0,"",SUMIFS(BD!$O$3:$O$5001,BD!$A$3:$A$5001,V$3,BD!$B$3:$B$5001,$A$239)))</f>
        <v/>
      </c>
      <c r="W251" s="227" t="str">
        <f>IF(W$3="","",IF(COUNTIFS(BD!$A$3:$A$5001,W$3,BD!$B$3:$B$5001,$A$239,BD!$O$3:$O$5001,"&lt;&gt;")=0,"",SUMIFS(BD!$O$3:$O$5001,BD!$A$3:$A$5001,W$3,BD!$B$3:$B$5001,$A$239)))</f>
        <v/>
      </c>
      <c r="X251" s="227" t="str">
        <f>IF(X$3="","",IF(COUNTIFS(BD!$A$3:$A$5001,X$3,BD!$B$3:$B$5001,$A$239,BD!$O$3:$O$5001,"&lt;&gt;")=0,"",SUMIFS(BD!$O$3:$O$5001,BD!$A$3:$A$5001,X$3,BD!$B$3:$B$5001,$A$239)))</f>
        <v/>
      </c>
      <c r="Y251" s="227" t="str">
        <f>IF(Y$3="","",IF(COUNTIFS(BD!$A$3:$A$5001,Y$3,BD!$B$3:$B$5001,$A$239,BD!$O$3:$O$5001,"&lt;&gt;")=0,"",SUMIFS(BD!$O$3:$O$5001,BD!$A$3:$A$5001,Y$3,BD!$B$3:$B$5001,$A$239)))</f>
        <v/>
      </c>
      <c r="Z251" s="227" t="str">
        <f>IF(Z$3="","",IF(COUNTIFS(BD!$A$3:$A$5001,Z$3,BD!$B$3:$B$5001,$A$239,BD!$O$3:$O$5001,"&lt;&gt;")=0,"",SUMIFS(BD!$O$3:$O$5001,BD!$A$3:$A$5001,Z$3,BD!$B$3:$B$5001,$A$239)))</f>
        <v/>
      </c>
      <c r="AA251" s="227" t="str">
        <f>IF(AA$3="","",IF(COUNTIFS(BD!$A$3:$A$5001,AA$3,BD!$B$3:$B$5001,$A$239,BD!$O$3:$O$5001,"&lt;&gt;")=0,"",SUMIFS(BD!$O$3:$O$5001,BD!$A$3:$A$5001,AA$3,BD!$B$3:$B$5001,$A$239)))</f>
        <v/>
      </c>
      <c r="AB251" s="227" t="str">
        <f>IF(AB$3="","",IF(COUNTIFS(BD!$A$3:$A$5001,AB$3,BD!$B$3:$B$5001,$A$239,BD!$O$3:$O$5001,"&lt;&gt;")=0,"",SUMIFS(BD!$O$3:$O$5001,BD!$A$3:$A$5001,AB$3,BD!$B$3:$B$5001,$A$239)))</f>
        <v/>
      </c>
      <c r="AC251" s="227" t="str">
        <f>IF(AC$3="","",IF(COUNTIFS(BD!$A$3:$A$5001,AC$3,BD!$B$3:$B$5001,$A$239,BD!$O$3:$O$5001,"&lt;&gt;")=0,"",SUMIFS(BD!$O$3:$O$5001,BD!$A$3:$A$5001,AC$3,BD!$B$3:$B$5001,$A$239)))</f>
        <v/>
      </c>
      <c r="AD251" s="227" t="str">
        <f>IF(AD$3="","",IF(COUNTIFS(BD!$A$3:$A$5001,AD$3,BD!$B$3:$B$5001,$A$239,BD!$O$3:$O$5001,"&lt;&gt;")=0,"",SUMIFS(BD!$O$3:$O$5001,BD!$A$3:$A$5001,AD$3,BD!$B$3:$B$5001,$A$239)))</f>
        <v/>
      </c>
      <c r="AE251" s="227" t="str">
        <f>IF(AE$3="","",IF(COUNTIFS(BD!$A$3:$A$5001,AE$3,BD!$B$3:$B$5001,$A$239,BD!$O$3:$O$5001,"&lt;&gt;")=0,"",SUMIFS(BD!$O$3:$O$5001,BD!$A$3:$A$5001,AE$3,BD!$B$3:$B$5001,$A$239)))</f>
        <v/>
      </c>
      <c r="AF251" s="227" t="str">
        <f>IF(AF$3="","",IF(COUNTIFS(BD!$A$3:$A$5001,AF$3,BD!$B$3:$B$5001,$A$239,BD!$O$3:$O$5001,"&lt;&gt;")=0,"",SUMIFS(BD!$O$3:$O$5001,BD!$A$3:$A$5001,AF$3,BD!$B$3:$B$5001,$A$239)))</f>
        <v/>
      </c>
      <c r="AG251" s="227" t="str">
        <f>IF(AG$3="","",IF(COUNTIFS(BD!$A$3:$A$5001,AG$3,BD!$B$3:$B$5001,$A$239,BD!$O$3:$O$5001,"&lt;&gt;")=0,"",SUMIFS(BD!$O$3:$O$5001,BD!$A$3:$A$5001,AG$3,BD!$B$3:$B$5001,$A$239)))</f>
        <v/>
      </c>
      <c r="AH251" s="227" t="str">
        <f>IF(AH$3="","",IF(COUNTIFS(BD!$A$3:$A$5001,AH$3,BD!$B$3:$B$5001,$A$239,BD!$O$3:$O$5001,"&lt;&gt;")=0,"",SUMIFS(BD!$O$3:$O$5001,BD!$A$3:$A$5001,AH$3,BD!$B$3:$B$5001,$A$239)))</f>
        <v/>
      </c>
      <c r="AI251" s="227" t="str">
        <f>IF(AI$3="","",IF(COUNTIFS(BD!$A$3:$A$5001,AI$3,BD!$B$3:$B$5001,$A$239,BD!$O$3:$O$5001,"&lt;&gt;")=0,"",SUMIFS(BD!$O$3:$O$5001,BD!$A$3:$A$5001,AI$3,BD!$B$3:$B$5001,$A$239)))</f>
        <v/>
      </c>
      <c r="AJ251" s="228" t="str">
        <f>IF(AJ$3="","",IF(COUNTIFS(BD!$A$3:$A$5001,AJ$3,BD!$B$3:$B$5001,$A$239,BD!$O$3:$O$5001,"&lt;&gt;")=0,"",SUMIFS(BD!$O$3:$O$5001,BD!$A$3:$A$5001,AJ$3,BD!$B$3:$B$5001,$A$239)))</f>
        <v/>
      </c>
      <c r="AK251" s="229" t="str">
        <f>IF(COUNT(F251:AJ251)=0,"",SUM(F251:AJ251))</f>
        <v/>
      </c>
    </row>
    <row r="252" ht="15.75" customHeight="1" hidden="1">
      <c r="A252" s="277"/>
      <c r="B252" s="271"/>
      <c r="C252" s="223" t="inlineStr">
        <is>
          <t xml:space="preserve">Backlog Intralog</t>
        </is>
      </c>
      <c r="D252" s="224" t="str">
        <f>IFERROR(1/(1/INDEX(BD!$AF$36:$AZ$36,MATCH($A$239,BD!$AF$22:$AZ$22,0))),"")</f>
        <v/>
      </c>
      <c r="E252" s="225"/>
      <c r="F252" s="226" t="str">
        <f>IF(F$3="","",IF(COUNTIFS(BD!$A$3:$A$5001,F$3,BD!$B$3:$B$5001,$A$239,BD!$P$3:$P$5001,"&lt;&gt;")=0,"",SUMIFS(BD!$P$3:$P$5001,BD!$A$3:$A$5001,F$3,BD!$B$3:$B$5001,$A$239)))</f>
        <v/>
      </c>
      <c r="G252" s="227" t="str">
        <f>IF(G$3="","",IF(COUNTIFS(BD!$A$3:$A$5001,G$3,BD!$B$3:$B$5001,$A$239,BD!$P$3:$P$5001,"&lt;&gt;")=0,"",SUMIFS(BD!$P$3:$P$5001,BD!$A$3:$A$5001,G$3,BD!$B$3:$B$5001,$A$239)))</f>
        <v/>
      </c>
      <c r="H252" s="227" t="str">
        <f>IF(H$3="","",IF(COUNTIFS(BD!$A$3:$A$5001,H$3,BD!$B$3:$B$5001,$A$239,BD!$P$3:$P$5001,"&lt;&gt;")=0,"",SUMIFS(BD!$P$3:$P$5001,BD!$A$3:$A$5001,H$3,BD!$B$3:$B$5001,$A$239)))</f>
        <v/>
      </c>
      <c r="I252" s="227" t="str">
        <f>IF(I$3="","",IF(COUNTIFS(BD!$A$3:$A$5001,I$3,BD!$B$3:$B$5001,$A$239,BD!$P$3:$P$5001,"&lt;&gt;")=0,"",SUMIFS(BD!$P$3:$P$5001,BD!$A$3:$A$5001,I$3,BD!$B$3:$B$5001,$A$239)))</f>
        <v/>
      </c>
      <c r="J252" s="227" t="str">
        <f>IF(J$3="","",IF(COUNTIFS(BD!$A$3:$A$5001,J$3,BD!$B$3:$B$5001,$A$239,BD!$P$3:$P$5001,"&lt;&gt;")=0,"",SUMIFS(BD!$P$3:$P$5001,BD!$A$3:$A$5001,J$3,BD!$B$3:$B$5001,$A$239)))</f>
        <v/>
      </c>
      <c r="K252" s="227" t="str">
        <f>IF(K$3="","",IF(COUNTIFS(BD!$A$3:$A$5001,K$3,BD!$B$3:$B$5001,$A$239,BD!$P$3:$P$5001,"&lt;&gt;")=0,"",SUMIFS(BD!$P$3:$P$5001,BD!$A$3:$A$5001,K$3,BD!$B$3:$B$5001,$A$239)))</f>
        <v/>
      </c>
      <c r="L252" s="227" t="str">
        <f>IF(L$3="","",IF(COUNTIFS(BD!$A$3:$A$5001,L$3,BD!$B$3:$B$5001,$A$239,BD!$P$3:$P$5001,"&lt;&gt;")=0,"",SUMIFS(BD!$P$3:$P$5001,BD!$A$3:$A$5001,L$3,BD!$B$3:$B$5001,$A$239)))</f>
        <v/>
      </c>
      <c r="M252" s="227" t="str">
        <f>IF(M$3="","",IF(COUNTIFS(BD!$A$3:$A$5001,M$3,BD!$B$3:$B$5001,$A$239,BD!$P$3:$P$5001,"&lt;&gt;")=0,"",SUMIFS(BD!$P$3:$P$5001,BD!$A$3:$A$5001,M$3,BD!$B$3:$B$5001,$A$239)))</f>
        <v/>
      </c>
      <c r="N252" s="227" t="str">
        <f>IF(N$3="","",IF(COUNTIFS(BD!$A$3:$A$5001,N$3,BD!$B$3:$B$5001,$A$239,BD!$P$3:$P$5001,"&lt;&gt;")=0,"",SUMIFS(BD!$P$3:$P$5001,BD!$A$3:$A$5001,N$3,BD!$B$3:$B$5001,$A$239)))</f>
        <v/>
      </c>
      <c r="O252" s="227" t="str">
        <f>IF(O$3="","",IF(COUNTIFS(BD!$A$3:$A$5001,O$3,BD!$B$3:$B$5001,$A$239,BD!$P$3:$P$5001,"&lt;&gt;")=0,"",SUMIFS(BD!$P$3:$P$5001,BD!$A$3:$A$5001,O$3,BD!$B$3:$B$5001,$A$239)))</f>
        <v/>
      </c>
      <c r="P252" s="227" t="str">
        <f>IF(P$3="","",IF(COUNTIFS(BD!$A$3:$A$5001,P$3,BD!$B$3:$B$5001,$A$239,BD!$P$3:$P$5001,"&lt;&gt;")=0,"",SUMIFS(BD!$P$3:$P$5001,BD!$A$3:$A$5001,P$3,BD!$B$3:$B$5001,$A$239)))</f>
        <v/>
      </c>
      <c r="Q252" s="227" t="str">
        <f>IF(Q$3="","",IF(COUNTIFS(BD!$A$3:$A$5001,Q$3,BD!$B$3:$B$5001,$A$239,BD!$P$3:$P$5001,"&lt;&gt;")=0,"",SUMIFS(BD!$P$3:$P$5001,BD!$A$3:$A$5001,Q$3,BD!$B$3:$B$5001,$A$239)))</f>
        <v/>
      </c>
      <c r="R252" s="227" t="str">
        <f>IF(R$3="","",IF(COUNTIFS(BD!$A$3:$A$5001,R$3,BD!$B$3:$B$5001,$A$239,BD!$P$3:$P$5001,"&lt;&gt;")=0,"",SUMIFS(BD!$P$3:$P$5001,BD!$A$3:$A$5001,R$3,BD!$B$3:$B$5001,$A$239)))</f>
        <v/>
      </c>
      <c r="S252" s="227" t="str">
        <f>IF(S$3="","",IF(COUNTIFS(BD!$A$3:$A$5001,S$3,BD!$B$3:$B$5001,$A$239,BD!$P$3:$P$5001,"&lt;&gt;")=0,"",SUMIFS(BD!$P$3:$P$5001,BD!$A$3:$A$5001,S$3,BD!$B$3:$B$5001,$A$239)))</f>
        <v/>
      </c>
      <c r="T252" s="227" t="str">
        <f>IF(T$3="","",IF(COUNTIFS(BD!$A$3:$A$5001,T$3,BD!$B$3:$B$5001,$A$239,BD!$P$3:$P$5001,"&lt;&gt;")=0,"",SUMIFS(BD!$P$3:$P$5001,BD!$A$3:$A$5001,T$3,BD!$B$3:$B$5001,$A$239)))</f>
        <v/>
      </c>
      <c r="U252" s="227" t="str">
        <f>IF(U$3="","",IF(COUNTIFS(BD!$A$3:$A$5001,U$3,BD!$B$3:$B$5001,$A$239,BD!$P$3:$P$5001,"&lt;&gt;")=0,"",SUMIFS(BD!$P$3:$P$5001,BD!$A$3:$A$5001,U$3,BD!$B$3:$B$5001,$A$239)))</f>
        <v/>
      </c>
      <c r="V252" s="227" t="str">
        <f>IF(V$3="","",IF(COUNTIFS(BD!$A$3:$A$5001,V$3,BD!$B$3:$B$5001,$A$239,BD!$P$3:$P$5001,"&lt;&gt;")=0,"",SUMIFS(BD!$P$3:$P$5001,BD!$A$3:$A$5001,V$3,BD!$B$3:$B$5001,$A$239)))</f>
        <v/>
      </c>
      <c r="W252" s="227" t="str">
        <f>IF(W$3="","",IF(COUNTIFS(BD!$A$3:$A$5001,W$3,BD!$B$3:$B$5001,$A$239,BD!$P$3:$P$5001,"&lt;&gt;")=0,"",SUMIFS(BD!$P$3:$P$5001,BD!$A$3:$A$5001,W$3,BD!$B$3:$B$5001,$A$239)))</f>
        <v/>
      </c>
      <c r="X252" s="227" t="str">
        <f>IF(X$3="","",IF(COUNTIFS(BD!$A$3:$A$5001,X$3,BD!$B$3:$B$5001,$A$239,BD!$P$3:$P$5001,"&lt;&gt;")=0,"",SUMIFS(BD!$P$3:$P$5001,BD!$A$3:$A$5001,X$3,BD!$B$3:$B$5001,$A$239)))</f>
        <v/>
      </c>
      <c r="Y252" s="227" t="str">
        <f>IF(Y$3="","",IF(COUNTIFS(BD!$A$3:$A$5001,Y$3,BD!$B$3:$B$5001,$A$239,BD!$P$3:$P$5001,"&lt;&gt;")=0,"",SUMIFS(BD!$P$3:$P$5001,BD!$A$3:$A$5001,Y$3,BD!$B$3:$B$5001,$A$239)))</f>
        <v/>
      </c>
      <c r="Z252" s="227" t="str">
        <f>IF(Z$3="","",IF(COUNTIFS(BD!$A$3:$A$5001,Z$3,BD!$B$3:$B$5001,$A$239,BD!$P$3:$P$5001,"&lt;&gt;")=0,"",SUMIFS(BD!$P$3:$P$5001,BD!$A$3:$A$5001,Z$3,BD!$B$3:$B$5001,$A$239)))</f>
        <v/>
      </c>
      <c r="AA252" s="227" t="str">
        <f>IF(AA$3="","",IF(COUNTIFS(BD!$A$3:$A$5001,AA$3,BD!$B$3:$B$5001,$A$239,BD!$P$3:$P$5001,"&lt;&gt;")=0,"",SUMIFS(BD!$P$3:$P$5001,BD!$A$3:$A$5001,AA$3,BD!$B$3:$B$5001,$A$239)))</f>
        <v/>
      </c>
      <c r="AB252" s="227" t="str">
        <f>IF(AB$3="","",IF(COUNTIFS(BD!$A$3:$A$5001,AB$3,BD!$B$3:$B$5001,$A$239,BD!$P$3:$P$5001,"&lt;&gt;")=0,"",SUMIFS(BD!$P$3:$P$5001,BD!$A$3:$A$5001,AB$3,BD!$B$3:$B$5001,$A$239)))</f>
        <v/>
      </c>
      <c r="AC252" s="227" t="str">
        <f>IF(AC$3="","",IF(COUNTIFS(BD!$A$3:$A$5001,AC$3,BD!$B$3:$B$5001,$A$239,BD!$P$3:$P$5001,"&lt;&gt;")=0,"",SUMIFS(BD!$P$3:$P$5001,BD!$A$3:$A$5001,AC$3,BD!$B$3:$B$5001,$A$239)))</f>
        <v/>
      </c>
      <c r="AD252" s="227" t="str">
        <f>IF(AD$3="","",IF(COUNTIFS(BD!$A$3:$A$5001,AD$3,BD!$B$3:$B$5001,$A$239,BD!$P$3:$P$5001,"&lt;&gt;")=0,"",SUMIFS(BD!$P$3:$P$5001,BD!$A$3:$A$5001,AD$3,BD!$B$3:$B$5001,$A$239)))</f>
        <v/>
      </c>
      <c r="AE252" s="227" t="str">
        <f>IF(AE$3="","",IF(COUNTIFS(BD!$A$3:$A$5001,AE$3,BD!$B$3:$B$5001,$A$239,BD!$P$3:$P$5001,"&lt;&gt;")=0,"",SUMIFS(BD!$P$3:$P$5001,BD!$A$3:$A$5001,AE$3,BD!$B$3:$B$5001,$A$239)))</f>
        <v/>
      </c>
      <c r="AF252" s="227" t="str">
        <f>IF(AF$3="","",IF(COUNTIFS(BD!$A$3:$A$5001,AF$3,BD!$B$3:$B$5001,$A$239,BD!$P$3:$P$5001,"&lt;&gt;")=0,"",SUMIFS(BD!$P$3:$P$5001,BD!$A$3:$A$5001,AF$3,BD!$B$3:$B$5001,$A$239)))</f>
        <v/>
      </c>
      <c r="AG252" s="227" t="str">
        <f>IF(AG$3="","",IF(COUNTIFS(BD!$A$3:$A$5001,AG$3,BD!$B$3:$B$5001,$A$239,BD!$P$3:$P$5001,"&lt;&gt;")=0,"",SUMIFS(BD!$P$3:$P$5001,BD!$A$3:$A$5001,AG$3,BD!$B$3:$B$5001,$A$239)))</f>
        <v/>
      </c>
      <c r="AH252" s="227" t="str">
        <f>IF(AH$3="","",IF(COUNTIFS(BD!$A$3:$A$5001,AH$3,BD!$B$3:$B$5001,$A$239,BD!$P$3:$P$5001,"&lt;&gt;")=0,"",SUMIFS(BD!$P$3:$P$5001,BD!$A$3:$A$5001,AH$3,BD!$B$3:$B$5001,$A$239)))</f>
        <v/>
      </c>
      <c r="AI252" s="227" t="str">
        <f>IF(AI$3="","",IF(COUNTIFS(BD!$A$3:$A$5001,AI$3,BD!$B$3:$B$5001,$A$239,BD!$P$3:$P$5001,"&lt;&gt;")=0,"",SUMIFS(BD!$P$3:$P$5001,BD!$A$3:$A$5001,AI$3,BD!$B$3:$B$5001,$A$239)))</f>
        <v/>
      </c>
      <c r="AJ252" s="228" t="str">
        <f>IF(AJ$3="","",IF(COUNTIFS(BD!$A$3:$A$5001,AJ$3,BD!$B$3:$B$5001,$A$239,BD!$P$3:$P$5001,"&lt;&gt;")=0,"",SUMIFS(BD!$P$3:$P$5001,BD!$A$3:$A$5001,AJ$3,BD!$B$3:$B$5001,$A$239)))</f>
        <v/>
      </c>
      <c r="AK252" s="229" t="str">
        <f>IFERROR(LOOKUP(9.99E+307,F252:AJ252),"")</f>
        <v/>
      </c>
    </row>
    <row r="253" ht="15.75" customHeight="1" hidden="1">
      <c r="A253" s="277"/>
      <c r="B253" s="272"/>
      <c r="C253" s="230" t="inlineStr">
        <is>
          <t xml:space="preserve">Backlog Cliente</t>
        </is>
      </c>
      <c r="D253" s="231" t="str">
        <f>IFERROR(1/(1/INDEX(BD!$AF$37:$AZ$37,MATCH($A$239,BD!$AF$22:$AZ$22,0))),"")</f>
        <v/>
      </c>
      <c r="E253" s="232"/>
      <c r="F253" s="233" t="str">
        <f>IF(F$3="","",IF(COUNTIFS(BD!$A$3:$A$5001,F$3,BD!$B$3:$B$5001,$A$239,BD!$Q$3:$Q$5001,"&lt;&gt;")=0,"",SUMIFS(BD!$Q$3:$Q$5001,BD!$A$3:$A$5001,F$3,BD!$B$3:$B$5001,$A$239)))</f>
        <v/>
      </c>
      <c r="G253" s="234" t="str">
        <f>IF(G$3="","",IF(COUNTIFS(BD!$A$3:$A$5001,G$3,BD!$B$3:$B$5001,$A$239,BD!$Q$3:$Q$5001,"&lt;&gt;")=0,"",SUMIFS(BD!$Q$3:$Q$5001,BD!$A$3:$A$5001,G$3,BD!$B$3:$B$5001,$A$239)))</f>
        <v/>
      </c>
      <c r="H253" s="234" t="str">
        <f>IF(H$3="","",IF(COUNTIFS(BD!$A$3:$A$5001,H$3,BD!$B$3:$B$5001,$A$239,BD!$Q$3:$Q$5001,"&lt;&gt;")=0,"",SUMIFS(BD!$Q$3:$Q$5001,BD!$A$3:$A$5001,H$3,BD!$B$3:$B$5001,$A$239)))</f>
        <v/>
      </c>
      <c r="I253" s="234" t="str">
        <f>IF(I$3="","",IF(COUNTIFS(BD!$A$3:$A$5001,I$3,BD!$B$3:$B$5001,$A$239,BD!$Q$3:$Q$5001,"&lt;&gt;")=0,"",SUMIFS(BD!$Q$3:$Q$5001,BD!$A$3:$A$5001,I$3,BD!$B$3:$B$5001,$A$239)))</f>
        <v/>
      </c>
      <c r="J253" s="234" t="str">
        <f>IF(J$3="","",IF(COUNTIFS(BD!$A$3:$A$5001,J$3,BD!$B$3:$B$5001,$A$239,BD!$Q$3:$Q$5001,"&lt;&gt;")=0,"",SUMIFS(BD!$Q$3:$Q$5001,BD!$A$3:$A$5001,J$3,BD!$B$3:$B$5001,$A$239)))</f>
        <v/>
      </c>
      <c r="K253" s="234" t="str">
        <f>IF(K$3="","",IF(COUNTIFS(BD!$A$3:$A$5001,K$3,BD!$B$3:$B$5001,$A$239,BD!$Q$3:$Q$5001,"&lt;&gt;")=0,"",SUMIFS(BD!$Q$3:$Q$5001,BD!$A$3:$A$5001,K$3,BD!$B$3:$B$5001,$A$239)))</f>
        <v/>
      </c>
      <c r="L253" s="234" t="str">
        <f>IF(L$3="","",IF(COUNTIFS(BD!$A$3:$A$5001,L$3,BD!$B$3:$B$5001,$A$239,BD!$Q$3:$Q$5001,"&lt;&gt;")=0,"",SUMIFS(BD!$Q$3:$Q$5001,BD!$A$3:$A$5001,L$3,BD!$B$3:$B$5001,$A$239)))</f>
        <v/>
      </c>
      <c r="M253" s="234" t="str">
        <f>IF(M$3="","",IF(COUNTIFS(BD!$A$3:$A$5001,M$3,BD!$B$3:$B$5001,$A$239,BD!$Q$3:$Q$5001,"&lt;&gt;")=0,"",SUMIFS(BD!$Q$3:$Q$5001,BD!$A$3:$A$5001,M$3,BD!$B$3:$B$5001,$A$239)))</f>
        <v/>
      </c>
      <c r="N253" s="234" t="str">
        <f>IF(N$3="","",IF(COUNTIFS(BD!$A$3:$A$5001,N$3,BD!$B$3:$B$5001,$A$239,BD!$Q$3:$Q$5001,"&lt;&gt;")=0,"",SUMIFS(BD!$Q$3:$Q$5001,BD!$A$3:$A$5001,N$3,BD!$B$3:$B$5001,$A$239)))</f>
        <v/>
      </c>
      <c r="O253" s="234" t="str">
        <f>IF(O$3="","",IF(COUNTIFS(BD!$A$3:$A$5001,O$3,BD!$B$3:$B$5001,$A$239,BD!$Q$3:$Q$5001,"&lt;&gt;")=0,"",SUMIFS(BD!$Q$3:$Q$5001,BD!$A$3:$A$5001,O$3,BD!$B$3:$B$5001,$A$239)))</f>
        <v/>
      </c>
      <c r="P253" s="234" t="str">
        <f>IF(P$3="","",IF(COUNTIFS(BD!$A$3:$A$5001,P$3,BD!$B$3:$B$5001,$A$239,BD!$Q$3:$Q$5001,"&lt;&gt;")=0,"",SUMIFS(BD!$Q$3:$Q$5001,BD!$A$3:$A$5001,P$3,BD!$B$3:$B$5001,$A$239)))</f>
        <v/>
      </c>
      <c r="Q253" s="234" t="str">
        <f>IF(Q$3="","",IF(COUNTIFS(BD!$A$3:$A$5001,Q$3,BD!$B$3:$B$5001,$A$239,BD!$Q$3:$Q$5001,"&lt;&gt;")=0,"",SUMIFS(BD!$Q$3:$Q$5001,BD!$A$3:$A$5001,Q$3,BD!$B$3:$B$5001,$A$239)))</f>
        <v/>
      </c>
      <c r="R253" s="234" t="str">
        <f>IF(R$3="","",IF(COUNTIFS(BD!$A$3:$A$5001,R$3,BD!$B$3:$B$5001,$A$239,BD!$Q$3:$Q$5001,"&lt;&gt;")=0,"",SUMIFS(BD!$Q$3:$Q$5001,BD!$A$3:$A$5001,R$3,BD!$B$3:$B$5001,$A$239)))</f>
        <v/>
      </c>
      <c r="S253" s="234" t="str">
        <f>IF(S$3="","",IF(COUNTIFS(BD!$A$3:$A$5001,S$3,BD!$B$3:$B$5001,$A$239,BD!$Q$3:$Q$5001,"&lt;&gt;")=0,"",SUMIFS(BD!$Q$3:$Q$5001,BD!$A$3:$A$5001,S$3,BD!$B$3:$B$5001,$A$239)))</f>
        <v/>
      </c>
      <c r="T253" s="234" t="str">
        <f>IF(T$3="","",IF(COUNTIFS(BD!$A$3:$A$5001,T$3,BD!$B$3:$B$5001,$A$239,BD!$Q$3:$Q$5001,"&lt;&gt;")=0,"",SUMIFS(BD!$Q$3:$Q$5001,BD!$A$3:$A$5001,T$3,BD!$B$3:$B$5001,$A$239)))</f>
        <v/>
      </c>
      <c r="U253" s="234" t="str">
        <f>IF(U$3="","",IF(COUNTIFS(BD!$A$3:$A$5001,U$3,BD!$B$3:$B$5001,$A$239,BD!$Q$3:$Q$5001,"&lt;&gt;")=0,"",SUMIFS(BD!$Q$3:$Q$5001,BD!$A$3:$A$5001,U$3,BD!$B$3:$B$5001,$A$239)))</f>
        <v/>
      </c>
      <c r="V253" s="234" t="str">
        <f>IF(V$3="","",IF(COUNTIFS(BD!$A$3:$A$5001,V$3,BD!$B$3:$B$5001,$A$239,BD!$Q$3:$Q$5001,"&lt;&gt;")=0,"",SUMIFS(BD!$Q$3:$Q$5001,BD!$A$3:$A$5001,V$3,BD!$B$3:$B$5001,$A$239)))</f>
        <v/>
      </c>
      <c r="W253" s="234" t="str">
        <f>IF(W$3="","",IF(COUNTIFS(BD!$A$3:$A$5001,W$3,BD!$B$3:$B$5001,$A$239,BD!$Q$3:$Q$5001,"&lt;&gt;")=0,"",SUMIFS(BD!$Q$3:$Q$5001,BD!$A$3:$A$5001,W$3,BD!$B$3:$B$5001,$A$239)))</f>
        <v/>
      </c>
      <c r="X253" s="234" t="str">
        <f>IF(X$3="","",IF(COUNTIFS(BD!$A$3:$A$5001,X$3,BD!$B$3:$B$5001,$A$239,BD!$Q$3:$Q$5001,"&lt;&gt;")=0,"",SUMIFS(BD!$Q$3:$Q$5001,BD!$A$3:$A$5001,X$3,BD!$B$3:$B$5001,$A$239)))</f>
        <v/>
      </c>
      <c r="Y253" s="234" t="str">
        <f>IF(Y$3="","",IF(COUNTIFS(BD!$A$3:$A$5001,Y$3,BD!$B$3:$B$5001,$A$239,BD!$Q$3:$Q$5001,"&lt;&gt;")=0,"",SUMIFS(BD!$Q$3:$Q$5001,BD!$A$3:$A$5001,Y$3,BD!$B$3:$B$5001,$A$239)))</f>
        <v/>
      </c>
      <c r="Z253" s="234" t="str">
        <f>IF(Z$3="","",IF(COUNTIFS(BD!$A$3:$A$5001,Z$3,BD!$B$3:$B$5001,$A$239,BD!$Q$3:$Q$5001,"&lt;&gt;")=0,"",SUMIFS(BD!$Q$3:$Q$5001,BD!$A$3:$A$5001,Z$3,BD!$B$3:$B$5001,$A$239)))</f>
        <v/>
      </c>
      <c r="AA253" s="234" t="str">
        <f>IF(AA$3="","",IF(COUNTIFS(BD!$A$3:$A$5001,AA$3,BD!$B$3:$B$5001,$A$239,BD!$Q$3:$Q$5001,"&lt;&gt;")=0,"",SUMIFS(BD!$Q$3:$Q$5001,BD!$A$3:$A$5001,AA$3,BD!$B$3:$B$5001,$A$239)))</f>
        <v/>
      </c>
      <c r="AB253" s="234" t="str">
        <f>IF(AB$3="","",IF(COUNTIFS(BD!$A$3:$A$5001,AB$3,BD!$B$3:$B$5001,$A$239,BD!$Q$3:$Q$5001,"&lt;&gt;")=0,"",SUMIFS(BD!$Q$3:$Q$5001,BD!$A$3:$A$5001,AB$3,BD!$B$3:$B$5001,$A$239)))</f>
        <v/>
      </c>
      <c r="AC253" s="234" t="str">
        <f>IF(AC$3="","",IF(COUNTIFS(BD!$A$3:$A$5001,AC$3,BD!$B$3:$B$5001,$A$239,BD!$Q$3:$Q$5001,"&lt;&gt;")=0,"",SUMIFS(BD!$Q$3:$Q$5001,BD!$A$3:$A$5001,AC$3,BD!$B$3:$B$5001,$A$239)))</f>
        <v/>
      </c>
      <c r="AD253" s="234" t="str">
        <f>IF(AD$3="","",IF(COUNTIFS(BD!$A$3:$A$5001,AD$3,BD!$B$3:$B$5001,$A$239,BD!$Q$3:$Q$5001,"&lt;&gt;")=0,"",SUMIFS(BD!$Q$3:$Q$5001,BD!$A$3:$A$5001,AD$3,BD!$B$3:$B$5001,$A$239)))</f>
        <v/>
      </c>
      <c r="AE253" s="234" t="str">
        <f>IF(AE$3="","",IF(COUNTIFS(BD!$A$3:$A$5001,AE$3,BD!$B$3:$B$5001,$A$239,BD!$Q$3:$Q$5001,"&lt;&gt;")=0,"",SUMIFS(BD!$Q$3:$Q$5001,BD!$A$3:$A$5001,AE$3,BD!$B$3:$B$5001,$A$239)))</f>
        <v/>
      </c>
      <c r="AF253" s="234" t="str">
        <f>IF(AF$3="","",IF(COUNTIFS(BD!$A$3:$A$5001,AF$3,BD!$B$3:$B$5001,$A$239,BD!$Q$3:$Q$5001,"&lt;&gt;")=0,"",SUMIFS(BD!$Q$3:$Q$5001,BD!$A$3:$A$5001,AF$3,BD!$B$3:$B$5001,$A$239)))</f>
        <v/>
      </c>
      <c r="AG253" s="234" t="str">
        <f>IF(AG$3="","",IF(COUNTIFS(BD!$A$3:$A$5001,AG$3,BD!$B$3:$B$5001,$A$239,BD!$Q$3:$Q$5001,"&lt;&gt;")=0,"",SUMIFS(BD!$Q$3:$Q$5001,BD!$A$3:$A$5001,AG$3,BD!$B$3:$B$5001,$A$239)))</f>
        <v/>
      </c>
      <c r="AH253" s="234" t="str">
        <f>IF(AH$3="","",IF(COUNTIFS(BD!$A$3:$A$5001,AH$3,BD!$B$3:$B$5001,$A$239,BD!$Q$3:$Q$5001,"&lt;&gt;")=0,"",SUMIFS(BD!$Q$3:$Q$5001,BD!$A$3:$A$5001,AH$3,BD!$B$3:$B$5001,$A$239)))</f>
        <v/>
      </c>
      <c r="AI253" s="234" t="str">
        <f>IF(AI$3="","",IF(COUNTIFS(BD!$A$3:$A$5001,AI$3,BD!$B$3:$B$5001,$A$239,BD!$Q$3:$Q$5001,"&lt;&gt;")=0,"",SUMIFS(BD!$Q$3:$Q$5001,BD!$A$3:$A$5001,AI$3,BD!$B$3:$B$5001,$A$239)))</f>
        <v/>
      </c>
      <c r="AJ253" s="235" t="str">
        <f>IF(AJ$3="","",IF(COUNTIFS(BD!$A$3:$A$5001,AJ$3,BD!$B$3:$B$5001,$A$239,BD!$Q$3:$Q$5001,"&lt;&gt;")=0,"",SUMIFS(BD!$Q$3:$Q$5001,BD!$A$3:$A$5001,AJ$3,BD!$B$3:$B$5001,$A$239)))</f>
        <v/>
      </c>
      <c r="AK253" s="231" t="str">
        <f>IFERROR(LOOKUP(9.99E+307,F253:AJ253),"")</f>
        <v/>
      </c>
    </row>
    <row r="254" ht="15.75" customHeight="1" hidden="1">
      <c r="A254" s="277"/>
      <c r="B254" s="264" t="inlineStr">
        <is>
          <t xml:space="preserve">OCUPAÇÃO (P.P)</t>
        </is>
      </c>
      <c r="C254" s="168" t="inlineStr">
        <is>
          <t xml:space="preserve">Posições Disponíveis</t>
        </is>
      </c>
      <c r="D254" s="169" t="str">
        <f>IFERROR(1/(1/INDEX(BD!$AF$38:$AZ$38,MATCH($A$239,BD!$AF$22:$AZ$22,0))),"")</f>
        <v/>
      </c>
      <c r="E254" s="170"/>
      <c r="F254" s="171" t="str">
        <f>IF(F$3="","",IF(COUNTIFS(BD!$A$3:$A$5001,F$3,BD!$B$3:$B$5001,$A$239,BD!$R$3:$R$5001,"&lt;&gt;")=0,"",SUMIFS(BD!$R$3:$R$5001,BD!$A$3:$A$5001,F$3,BD!$B$3:$B$5001,$A$239)))</f>
        <v/>
      </c>
      <c r="G254" s="172" t="str">
        <f>IF(G$3="","",IF(COUNTIFS(BD!$A$3:$A$5001,G$3,BD!$B$3:$B$5001,$A$239,BD!$R$3:$R$5001,"&lt;&gt;")=0,"",SUMIFS(BD!$R$3:$R$5001,BD!$A$3:$A$5001,G$3,BD!$B$3:$B$5001,$A$239)))</f>
        <v/>
      </c>
      <c r="H254" s="172" t="str">
        <f>IF(H$3="","",IF(COUNTIFS(BD!$A$3:$A$5001,H$3,BD!$B$3:$B$5001,$A$239,BD!$R$3:$R$5001,"&lt;&gt;")=0,"",SUMIFS(BD!$R$3:$R$5001,BD!$A$3:$A$5001,H$3,BD!$B$3:$B$5001,$A$239)))</f>
        <v/>
      </c>
      <c r="I254" s="172" t="str">
        <f>IF(I$3="","",IF(COUNTIFS(BD!$A$3:$A$5001,I$3,BD!$B$3:$B$5001,$A$239,BD!$R$3:$R$5001,"&lt;&gt;")=0,"",SUMIFS(BD!$R$3:$R$5001,BD!$A$3:$A$5001,I$3,BD!$B$3:$B$5001,$A$239)))</f>
        <v/>
      </c>
      <c r="J254" s="172" t="str">
        <f>IF(J$3="","",IF(COUNTIFS(BD!$A$3:$A$5001,J$3,BD!$B$3:$B$5001,$A$239,BD!$R$3:$R$5001,"&lt;&gt;")=0,"",SUMIFS(BD!$R$3:$R$5001,BD!$A$3:$A$5001,J$3,BD!$B$3:$B$5001,$A$239)))</f>
        <v/>
      </c>
      <c r="K254" s="172" t="str">
        <f>IF(K$3="","",IF(COUNTIFS(BD!$A$3:$A$5001,K$3,BD!$B$3:$B$5001,$A$239,BD!$R$3:$R$5001,"&lt;&gt;")=0,"",SUMIFS(BD!$R$3:$R$5001,BD!$A$3:$A$5001,K$3,BD!$B$3:$B$5001,$A$239)))</f>
        <v/>
      </c>
      <c r="L254" s="172" t="str">
        <f>IF(L$3="","",IF(COUNTIFS(BD!$A$3:$A$5001,L$3,BD!$B$3:$B$5001,$A$239,BD!$R$3:$R$5001,"&lt;&gt;")=0,"",SUMIFS(BD!$R$3:$R$5001,BD!$A$3:$A$5001,L$3,BD!$B$3:$B$5001,$A$239)))</f>
        <v/>
      </c>
      <c r="M254" s="172" t="str">
        <f>IF(M$3="","",IF(COUNTIFS(BD!$A$3:$A$5001,M$3,BD!$B$3:$B$5001,$A$239,BD!$R$3:$R$5001,"&lt;&gt;")=0,"",SUMIFS(BD!$R$3:$R$5001,BD!$A$3:$A$5001,M$3,BD!$B$3:$B$5001,$A$239)))</f>
        <v/>
      </c>
      <c r="N254" s="172" t="str">
        <f>IF(N$3="","",IF(COUNTIFS(BD!$A$3:$A$5001,N$3,BD!$B$3:$B$5001,$A$239,BD!$R$3:$R$5001,"&lt;&gt;")=0,"",SUMIFS(BD!$R$3:$R$5001,BD!$A$3:$A$5001,N$3,BD!$B$3:$B$5001,$A$239)))</f>
        <v/>
      </c>
      <c r="O254" s="172" t="str">
        <f>IF(O$3="","",IF(COUNTIFS(BD!$A$3:$A$5001,O$3,BD!$B$3:$B$5001,$A$239,BD!$R$3:$R$5001,"&lt;&gt;")=0,"",SUMIFS(BD!$R$3:$R$5001,BD!$A$3:$A$5001,O$3,BD!$B$3:$B$5001,$A$239)))</f>
        <v/>
      </c>
      <c r="P254" s="172" t="str">
        <f>IF(P$3="","",IF(COUNTIFS(BD!$A$3:$A$5001,P$3,BD!$B$3:$B$5001,$A$239,BD!$R$3:$R$5001,"&lt;&gt;")=0,"",SUMIFS(BD!$R$3:$R$5001,BD!$A$3:$A$5001,P$3,BD!$B$3:$B$5001,$A$239)))</f>
        <v/>
      </c>
      <c r="Q254" s="172" t="str">
        <f>IF(Q$3="","",IF(COUNTIFS(BD!$A$3:$A$5001,Q$3,BD!$B$3:$B$5001,$A$239,BD!$R$3:$R$5001,"&lt;&gt;")=0,"",SUMIFS(BD!$R$3:$R$5001,BD!$A$3:$A$5001,Q$3,BD!$B$3:$B$5001,$A$239)))</f>
        <v/>
      </c>
      <c r="R254" s="172" t="str">
        <f>IF(R$3="","",IF(COUNTIFS(BD!$A$3:$A$5001,R$3,BD!$B$3:$B$5001,$A$239,BD!$R$3:$R$5001,"&lt;&gt;")=0,"",SUMIFS(BD!$R$3:$R$5001,BD!$A$3:$A$5001,R$3,BD!$B$3:$B$5001,$A$239)))</f>
        <v/>
      </c>
      <c r="S254" s="172" t="str">
        <f>IF(S$3="","",IF(COUNTIFS(BD!$A$3:$A$5001,S$3,BD!$B$3:$B$5001,$A$239,BD!$R$3:$R$5001,"&lt;&gt;")=0,"",SUMIFS(BD!$R$3:$R$5001,BD!$A$3:$A$5001,S$3,BD!$B$3:$B$5001,$A$239)))</f>
        <v/>
      </c>
      <c r="T254" s="172" t="str">
        <f>IF(T$3="","",IF(COUNTIFS(BD!$A$3:$A$5001,T$3,BD!$B$3:$B$5001,$A$239,BD!$R$3:$R$5001,"&lt;&gt;")=0,"",SUMIFS(BD!$R$3:$R$5001,BD!$A$3:$A$5001,T$3,BD!$B$3:$B$5001,$A$239)))</f>
        <v/>
      </c>
      <c r="U254" s="172" t="str">
        <f>IF(U$3="","",IF(COUNTIFS(BD!$A$3:$A$5001,U$3,BD!$B$3:$B$5001,$A$239,BD!$R$3:$R$5001,"&lt;&gt;")=0,"",SUMIFS(BD!$R$3:$R$5001,BD!$A$3:$A$5001,U$3,BD!$B$3:$B$5001,$A$239)))</f>
        <v/>
      </c>
      <c r="V254" s="172" t="str">
        <f>IF(V$3="","",IF(COUNTIFS(BD!$A$3:$A$5001,V$3,BD!$B$3:$B$5001,$A$239,BD!$R$3:$R$5001,"&lt;&gt;")=0,"",SUMIFS(BD!$R$3:$R$5001,BD!$A$3:$A$5001,V$3,BD!$B$3:$B$5001,$A$239)))</f>
        <v/>
      </c>
      <c r="W254" s="172" t="str">
        <f>IF(W$3="","",IF(COUNTIFS(BD!$A$3:$A$5001,W$3,BD!$B$3:$B$5001,$A$239,BD!$R$3:$R$5001,"&lt;&gt;")=0,"",SUMIFS(BD!$R$3:$R$5001,BD!$A$3:$A$5001,W$3,BD!$B$3:$B$5001,$A$239)))</f>
        <v/>
      </c>
      <c r="X254" s="172" t="str">
        <f>IF(X$3="","",IF(COUNTIFS(BD!$A$3:$A$5001,X$3,BD!$B$3:$B$5001,$A$239,BD!$R$3:$R$5001,"&lt;&gt;")=0,"",SUMIFS(BD!$R$3:$R$5001,BD!$A$3:$A$5001,X$3,BD!$B$3:$B$5001,$A$239)))</f>
        <v/>
      </c>
      <c r="Y254" s="172" t="str">
        <f>IF(Y$3="","",IF(COUNTIFS(BD!$A$3:$A$5001,Y$3,BD!$B$3:$B$5001,$A$239,BD!$R$3:$R$5001,"&lt;&gt;")=0,"",SUMIFS(BD!$R$3:$R$5001,BD!$A$3:$A$5001,Y$3,BD!$B$3:$B$5001,$A$239)))</f>
        <v/>
      </c>
      <c r="Z254" s="172" t="str">
        <f>IF(Z$3="","",IF(COUNTIFS(BD!$A$3:$A$5001,Z$3,BD!$B$3:$B$5001,$A$239,BD!$R$3:$R$5001,"&lt;&gt;")=0,"",SUMIFS(BD!$R$3:$R$5001,BD!$A$3:$A$5001,Z$3,BD!$B$3:$B$5001,$A$239)))</f>
        <v/>
      </c>
      <c r="AA254" s="172" t="str">
        <f>IF(AA$3="","",IF(COUNTIFS(BD!$A$3:$A$5001,AA$3,BD!$B$3:$B$5001,$A$239,BD!$R$3:$R$5001,"&lt;&gt;")=0,"",SUMIFS(BD!$R$3:$R$5001,BD!$A$3:$A$5001,AA$3,BD!$B$3:$B$5001,$A$239)))</f>
        <v/>
      </c>
      <c r="AB254" s="172" t="str">
        <f>IF(AB$3="","",IF(COUNTIFS(BD!$A$3:$A$5001,AB$3,BD!$B$3:$B$5001,$A$239,BD!$R$3:$R$5001,"&lt;&gt;")=0,"",SUMIFS(BD!$R$3:$R$5001,BD!$A$3:$A$5001,AB$3,BD!$B$3:$B$5001,$A$239)))</f>
        <v/>
      </c>
      <c r="AC254" s="172" t="str">
        <f>IF(AC$3="","",IF(COUNTIFS(BD!$A$3:$A$5001,AC$3,BD!$B$3:$B$5001,$A$239,BD!$R$3:$R$5001,"&lt;&gt;")=0,"",SUMIFS(BD!$R$3:$R$5001,BD!$A$3:$A$5001,AC$3,BD!$B$3:$B$5001,$A$239)))</f>
        <v/>
      </c>
      <c r="AD254" s="172" t="str">
        <f>IF(AD$3="","",IF(COUNTIFS(BD!$A$3:$A$5001,AD$3,BD!$B$3:$B$5001,$A$239,BD!$R$3:$R$5001,"&lt;&gt;")=0,"",SUMIFS(BD!$R$3:$R$5001,BD!$A$3:$A$5001,AD$3,BD!$B$3:$B$5001,$A$239)))</f>
        <v/>
      </c>
      <c r="AE254" s="172" t="str">
        <f>IF(AE$3="","",IF(COUNTIFS(BD!$A$3:$A$5001,AE$3,BD!$B$3:$B$5001,$A$239,BD!$R$3:$R$5001,"&lt;&gt;")=0,"",SUMIFS(BD!$R$3:$R$5001,BD!$A$3:$A$5001,AE$3,BD!$B$3:$B$5001,$A$239)))</f>
        <v/>
      </c>
      <c r="AF254" s="172" t="str">
        <f>IF(AF$3="","",IF(COUNTIFS(BD!$A$3:$A$5001,AF$3,BD!$B$3:$B$5001,$A$239,BD!$R$3:$R$5001,"&lt;&gt;")=0,"",SUMIFS(BD!$R$3:$R$5001,BD!$A$3:$A$5001,AF$3,BD!$B$3:$B$5001,$A$239)))</f>
        <v/>
      </c>
      <c r="AG254" s="172" t="str">
        <f>IF(AG$3="","",IF(COUNTIFS(BD!$A$3:$A$5001,AG$3,BD!$B$3:$B$5001,$A$239,BD!$R$3:$R$5001,"&lt;&gt;")=0,"",SUMIFS(BD!$R$3:$R$5001,BD!$A$3:$A$5001,AG$3,BD!$B$3:$B$5001,$A$239)))</f>
        <v/>
      </c>
      <c r="AH254" s="172" t="str">
        <f>IF(AH$3="","",IF(COUNTIFS(BD!$A$3:$A$5001,AH$3,BD!$B$3:$B$5001,$A$239,BD!$R$3:$R$5001,"&lt;&gt;")=0,"",SUMIFS(BD!$R$3:$R$5001,BD!$A$3:$A$5001,AH$3,BD!$B$3:$B$5001,$A$239)))</f>
        <v/>
      </c>
      <c r="AI254" s="172" t="str">
        <f>IF(AI$3="","",IF(COUNTIFS(BD!$A$3:$A$5001,AI$3,BD!$B$3:$B$5001,$A$239,BD!$R$3:$R$5001,"&lt;&gt;")=0,"",SUMIFS(BD!$R$3:$R$5001,BD!$A$3:$A$5001,AI$3,BD!$B$3:$B$5001,$A$239)))</f>
        <v/>
      </c>
      <c r="AJ254" s="173" t="str">
        <f>IF(AJ$3="","",IF(COUNTIFS(BD!$A$3:$A$5001,AJ$3,BD!$B$3:$B$5001,$A$239,BD!$R$3:$R$5001,"&lt;&gt;")=0,"",SUMIFS(BD!$R$3:$R$5001,BD!$A$3:$A$5001,AJ$3,BD!$B$3:$B$5001,$A$239)))</f>
        <v/>
      </c>
      <c r="AK254" s="174" t="str">
        <f>IF(COUNT(F254:AJ254)&gt;0,LOOKUP(9.99E+307,F254:AJ254),IFERROR(IF(INDEX(BD!$AC$3:$AC$5001,MATCH($A$239,BD!$B$3:$B$5001,0))&amp;""="Contrato","",INDEX(BD!$AC$3:$AC$5001,MATCH($A$239,BD!$B$3:$B$5001,0))&amp;""),""))</f>
        <v/>
      </c>
    </row>
    <row r="255" ht="15.75" customHeight="1" hidden="1">
      <c r="A255" s="277"/>
      <c r="B255" s="265"/>
      <c r="C255" s="175" t="inlineStr">
        <is>
          <t xml:space="preserve">Posições Ocupadas</t>
        </is>
      </c>
      <c r="D255" s="176" t="str">
        <f>IFERROR(1/(1/INDEX(BD!$AF$39:$AZ$39,MATCH($A$239,BD!$AF$22:$AZ$22,0))),"")</f>
        <v/>
      </c>
      <c r="E255" s="177"/>
      <c r="F255" s="178" t="str">
        <f>IF(F$3="","",IF(COUNTIFS(BD!$A$3:$A$5001,F$3,BD!$B$3:$B$5001,$A$239,BD!$S$3:$S$5001,"&lt;&gt;")=0,"",SUMIFS(BD!$S$3:$S$5001,BD!$A$3:$A$5001,F$3,BD!$B$3:$B$5001,$A$239)))</f>
        <v/>
      </c>
      <c r="G255" s="179" t="str">
        <f>IF(G$3="","",IF(COUNTIFS(BD!$A$3:$A$5001,G$3,BD!$B$3:$B$5001,$A$239,BD!$S$3:$S$5001,"&lt;&gt;")=0,"",SUMIFS(BD!$S$3:$S$5001,BD!$A$3:$A$5001,G$3,BD!$B$3:$B$5001,$A$239)))</f>
        <v/>
      </c>
      <c r="H255" s="179" t="str">
        <f>IF(H$3="","",IF(COUNTIFS(BD!$A$3:$A$5001,H$3,BD!$B$3:$B$5001,$A$239,BD!$S$3:$S$5001,"&lt;&gt;")=0,"",SUMIFS(BD!$S$3:$S$5001,BD!$A$3:$A$5001,H$3,BD!$B$3:$B$5001,$A$239)))</f>
        <v/>
      </c>
      <c r="I255" s="179" t="str">
        <f>IF(I$3="","",IF(COUNTIFS(BD!$A$3:$A$5001,I$3,BD!$B$3:$B$5001,$A$239,BD!$S$3:$S$5001,"&lt;&gt;")=0,"",SUMIFS(BD!$S$3:$S$5001,BD!$A$3:$A$5001,I$3,BD!$B$3:$B$5001,$A$239)))</f>
        <v/>
      </c>
      <c r="J255" s="179" t="str">
        <f>IF(J$3="","",IF(COUNTIFS(BD!$A$3:$A$5001,J$3,BD!$B$3:$B$5001,$A$239,BD!$S$3:$S$5001,"&lt;&gt;")=0,"",SUMIFS(BD!$S$3:$S$5001,BD!$A$3:$A$5001,J$3,BD!$B$3:$B$5001,$A$239)))</f>
        <v/>
      </c>
      <c r="K255" s="179" t="str">
        <f>IF(K$3="","",IF(COUNTIFS(BD!$A$3:$A$5001,K$3,BD!$B$3:$B$5001,$A$239,BD!$S$3:$S$5001,"&lt;&gt;")=0,"",SUMIFS(BD!$S$3:$S$5001,BD!$A$3:$A$5001,K$3,BD!$B$3:$B$5001,$A$239)))</f>
        <v/>
      </c>
      <c r="L255" s="179" t="str">
        <f>IF(L$3="","",IF(COUNTIFS(BD!$A$3:$A$5001,L$3,BD!$B$3:$B$5001,$A$239,BD!$S$3:$S$5001,"&lt;&gt;")=0,"",SUMIFS(BD!$S$3:$S$5001,BD!$A$3:$A$5001,L$3,BD!$B$3:$B$5001,$A$239)))</f>
        <v/>
      </c>
      <c r="M255" s="179" t="str">
        <f>IF(M$3="","",IF(COUNTIFS(BD!$A$3:$A$5001,M$3,BD!$B$3:$B$5001,$A$239,BD!$S$3:$S$5001,"&lt;&gt;")=0,"",SUMIFS(BD!$S$3:$S$5001,BD!$A$3:$A$5001,M$3,BD!$B$3:$B$5001,$A$239)))</f>
        <v/>
      </c>
      <c r="N255" s="179" t="str">
        <f>IF(N$3="","",IF(COUNTIFS(BD!$A$3:$A$5001,N$3,BD!$B$3:$B$5001,$A$239,BD!$S$3:$S$5001,"&lt;&gt;")=0,"",SUMIFS(BD!$S$3:$S$5001,BD!$A$3:$A$5001,N$3,BD!$B$3:$B$5001,$A$239)))</f>
        <v/>
      </c>
      <c r="O255" s="179" t="str">
        <f>IF(O$3="","",IF(COUNTIFS(BD!$A$3:$A$5001,O$3,BD!$B$3:$B$5001,$A$239,BD!$S$3:$S$5001,"&lt;&gt;")=0,"",SUMIFS(BD!$S$3:$S$5001,BD!$A$3:$A$5001,O$3,BD!$B$3:$B$5001,$A$239)))</f>
        <v/>
      </c>
      <c r="P255" s="179" t="str">
        <f>IF(P$3="","",IF(COUNTIFS(BD!$A$3:$A$5001,P$3,BD!$B$3:$B$5001,$A$239,BD!$S$3:$S$5001,"&lt;&gt;")=0,"",SUMIFS(BD!$S$3:$S$5001,BD!$A$3:$A$5001,P$3,BD!$B$3:$B$5001,$A$239)))</f>
        <v/>
      </c>
      <c r="Q255" s="179" t="str">
        <f>IF(Q$3="","",IF(COUNTIFS(BD!$A$3:$A$5001,Q$3,BD!$B$3:$B$5001,$A$239,BD!$S$3:$S$5001,"&lt;&gt;")=0,"",SUMIFS(BD!$S$3:$S$5001,BD!$A$3:$A$5001,Q$3,BD!$B$3:$B$5001,$A$239)))</f>
        <v/>
      </c>
      <c r="R255" s="179" t="str">
        <f>IF(R$3="","",IF(COUNTIFS(BD!$A$3:$A$5001,R$3,BD!$B$3:$B$5001,$A$239,BD!$S$3:$S$5001,"&lt;&gt;")=0,"",SUMIFS(BD!$S$3:$S$5001,BD!$A$3:$A$5001,R$3,BD!$B$3:$B$5001,$A$239)))</f>
        <v/>
      </c>
      <c r="S255" s="179" t="str">
        <f>IF(S$3="","",IF(COUNTIFS(BD!$A$3:$A$5001,S$3,BD!$B$3:$B$5001,$A$239,BD!$S$3:$S$5001,"&lt;&gt;")=0,"",SUMIFS(BD!$S$3:$S$5001,BD!$A$3:$A$5001,S$3,BD!$B$3:$B$5001,$A$239)))</f>
        <v/>
      </c>
      <c r="T255" s="179" t="str">
        <f>IF(T$3="","",IF(COUNTIFS(BD!$A$3:$A$5001,T$3,BD!$B$3:$B$5001,$A$239,BD!$S$3:$S$5001,"&lt;&gt;")=0,"",SUMIFS(BD!$S$3:$S$5001,BD!$A$3:$A$5001,T$3,BD!$B$3:$B$5001,$A$239)))</f>
        <v/>
      </c>
      <c r="U255" s="179" t="str">
        <f>IF(U$3="","",IF(COUNTIFS(BD!$A$3:$A$5001,U$3,BD!$B$3:$B$5001,$A$239,BD!$S$3:$S$5001,"&lt;&gt;")=0,"",SUMIFS(BD!$S$3:$S$5001,BD!$A$3:$A$5001,U$3,BD!$B$3:$B$5001,$A$239)))</f>
        <v/>
      </c>
      <c r="V255" s="179" t="str">
        <f>IF(V$3="","",IF(COUNTIFS(BD!$A$3:$A$5001,V$3,BD!$B$3:$B$5001,$A$239,BD!$S$3:$S$5001,"&lt;&gt;")=0,"",SUMIFS(BD!$S$3:$S$5001,BD!$A$3:$A$5001,V$3,BD!$B$3:$B$5001,$A$239)))</f>
        <v/>
      </c>
      <c r="W255" s="179" t="str">
        <f>IF(W$3="","",IF(COUNTIFS(BD!$A$3:$A$5001,W$3,BD!$B$3:$B$5001,$A$239,BD!$S$3:$S$5001,"&lt;&gt;")=0,"",SUMIFS(BD!$S$3:$S$5001,BD!$A$3:$A$5001,W$3,BD!$B$3:$B$5001,$A$239)))</f>
        <v/>
      </c>
      <c r="X255" s="179" t="str">
        <f>IF(X$3="","",IF(COUNTIFS(BD!$A$3:$A$5001,X$3,BD!$B$3:$B$5001,$A$239,BD!$S$3:$S$5001,"&lt;&gt;")=0,"",SUMIFS(BD!$S$3:$S$5001,BD!$A$3:$A$5001,X$3,BD!$B$3:$B$5001,$A$239)))</f>
        <v/>
      </c>
      <c r="Y255" s="179" t="str">
        <f>IF(Y$3="","",IF(COUNTIFS(BD!$A$3:$A$5001,Y$3,BD!$B$3:$B$5001,$A$239,BD!$S$3:$S$5001,"&lt;&gt;")=0,"",SUMIFS(BD!$S$3:$S$5001,BD!$A$3:$A$5001,Y$3,BD!$B$3:$B$5001,$A$239)))</f>
        <v/>
      </c>
      <c r="Z255" s="179" t="str">
        <f>IF(Z$3="","",IF(COUNTIFS(BD!$A$3:$A$5001,Z$3,BD!$B$3:$B$5001,$A$239,BD!$S$3:$S$5001,"&lt;&gt;")=0,"",SUMIFS(BD!$S$3:$S$5001,BD!$A$3:$A$5001,Z$3,BD!$B$3:$B$5001,$A$239)))</f>
        <v/>
      </c>
      <c r="AA255" s="179" t="str">
        <f>IF(AA$3="","",IF(COUNTIFS(BD!$A$3:$A$5001,AA$3,BD!$B$3:$B$5001,$A$239,BD!$S$3:$S$5001,"&lt;&gt;")=0,"",SUMIFS(BD!$S$3:$S$5001,BD!$A$3:$A$5001,AA$3,BD!$B$3:$B$5001,$A$239)))</f>
        <v/>
      </c>
      <c r="AB255" s="179" t="str">
        <f>IF(AB$3="","",IF(COUNTIFS(BD!$A$3:$A$5001,AB$3,BD!$B$3:$B$5001,$A$239,BD!$S$3:$S$5001,"&lt;&gt;")=0,"",SUMIFS(BD!$S$3:$S$5001,BD!$A$3:$A$5001,AB$3,BD!$B$3:$B$5001,$A$239)))</f>
        <v/>
      </c>
      <c r="AC255" s="179" t="str">
        <f>IF(AC$3="","",IF(COUNTIFS(BD!$A$3:$A$5001,AC$3,BD!$B$3:$B$5001,$A$239,BD!$S$3:$S$5001,"&lt;&gt;")=0,"",SUMIFS(BD!$S$3:$S$5001,BD!$A$3:$A$5001,AC$3,BD!$B$3:$B$5001,$A$239)))</f>
        <v/>
      </c>
      <c r="AD255" s="179" t="str">
        <f>IF(AD$3="","",IF(COUNTIFS(BD!$A$3:$A$5001,AD$3,BD!$B$3:$B$5001,$A$239,BD!$S$3:$S$5001,"&lt;&gt;")=0,"",SUMIFS(BD!$S$3:$S$5001,BD!$A$3:$A$5001,AD$3,BD!$B$3:$B$5001,$A$239)))</f>
        <v/>
      </c>
      <c r="AE255" s="179" t="str">
        <f>IF(AE$3="","",IF(COUNTIFS(BD!$A$3:$A$5001,AE$3,BD!$B$3:$B$5001,$A$239,BD!$S$3:$S$5001,"&lt;&gt;")=0,"",SUMIFS(BD!$S$3:$S$5001,BD!$A$3:$A$5001,AE$3,BD!$B$3:$B$5001,$A$239)))</f>
        <v/>
      </c>
      <c r="AF255" s="179" t="str">
        <f>IF(AF$3="","",IF(COUNTIFS(BD!$A$3:$A$5001,AF$3,BD!$B$3:$B$5001,$A$239,BD!$S$3:$S$5001,"&lt;&gt;")=0,"",SUMIFS(BD!$S$3:$S$5001,BD!$A$3:$A$5001,AF$3,BD!$B$3:$B$5001,$A$239)))</f>
        <v/>
      </c>
      <c r="AG255" s="179" t="str">
        <f>IF(AG$3="","",IF(COUNTIFS(BD!$A$3:$A$5001,AG$3,BD!$B$3:$B$5001,$A$239,BD!$S$3:$S$5001,"&lt;&gt;")=0,"",SUMIFS(BD!$S$3:$S$5001,BD!$A$3:$A$5001,AG$3,BD!$B$3:$B$5001,$A$239)))</f>
        <v/>
      </c>
      <c r="AH255" s="179" t="str">
        <f>IF(AH$3="","",IF(COUNTIFS(BD!$A$3:$A$5001,AH$3,BD!$B$3:$B$5001,$A$239,BD!$S$3:$S$5001,"&lt;&gt;")=0,"",SUMIFS(BD!$S$3:$S$5001,BD!$A$3:$A$5001,AH$3,BD!$B$3:$B$5001,$A$239)))</f>
        <v/>
      </c>
      <c r="AI255" s="179" t="str">
        <f>IF(AI$3="","",IF(COUNTIFS(BD!$A$3:$A$5001,AI$3,BD!$B$3:$B$5001,$A$239,BD!$S$3:$S$5001,"&lt;&gt;")=0,"",SUMIFS(BD!$S$3:$S$5001,BD!$A$3:$A$5001,AI$3,BD!$B$3:$B$5001,$A$239)))</f>
        <v/>
      </c>
      <c r="AJ255" s="180" t="str">
        <f>IF(AJ$3="","",IF(COUNTIFS(BD!$A$3:$A$5001,AJ$3,BD!$B$3:$B$5001,$A$239,BD!$S$3:$S$5001,"&lt;&gt;")=0,"",SUMIFS(BD!$S$3:$S$5001,BD!$A$3:$A$5001,AJ$3,BD!$B$3:$B$5001,$A$239)))</f>
        <v/>
      </c>
      <c r="AK255" s="181" t="str">
        <f>IFERROR(LOOKUP(9.99E+307,F255:AJ255),"")</f>
        <v/>
      </c>
    </row>
    <row r="256" ht="15.75" customHeight="1" hidden="1">
      <c r="A256" s="277"/>
      <c r="B256" s="266"/>
      <c r="C256" s="186" t="inlineStr">
        <is>
          <t xml:space="preserve">Taxa de Ocupação</t>
        </is>
      </c>
      <c r="D256" s="236" t="str">
        <f>IFERROR(1/(1/INDEX(BD!$AF$40:$AZ$40,MATCH($A$239,BD!$AF$22:$AZ$22,0))),"")</f>
        <v/>
      </c>
      <c r="E256" s="188"/>
      <c r="F256" s="237" t="str">
        <f>IF(AND(ISNUMBER(F254),ISNUMBER(F255)),IF(F254&gt;0,F255/F254,""),"")</f>
        <v/>
      </c>
      <c r="G256" s="238" t="str">
        <f>IF(AND(ISNUMBER(G254),ISNUMBER(G255)),IF(G254&gt;0,G255/G254,""),"")</f>
        <v/>
      </c>
      <c r="H256" s="238" t="str">
        <f>IF(AND(ISNUMBER(H254),ISNUMBER(H255)),IF(H254&gt;0,H255/H254,""),"")</f>
        <v/>
      </c>
      <c r="I256" s="238" t="str">
        <f>IF(AND(ISNUMBER(I254),ISNUMBER(I255)),IF(I254&gt;0,I255/I254,""),"")</f>
        <v/>
      </c>
      <c r="J256" s="238" t="str">
        <f>IF(AND(ISNUMBER(J254),ISNUMBER(J255)),IF(J254&gt;0,J255/J254,""),"")</f>
        <v/>
      </c>
      <c r="K256" s="238" t="str">
        <f>IF(AND(ISNUMBER(K254),ISNUMBER(K255)),IF(K254&gt;0,K255/K254,""),"")</f>
        <v/>
      </c>
      <c r="L256" s="238" t="str">
        <f>IF(AND(ISNUMBER(L254),ISNUMBER(L255)),IF(L254&gt;0,L255/L254,""),"")</f>
        <v/>
      </c>
      <c r="M256" s="238" t="str">
        <f>IF(AND(ISNUMBER(M254),ISNUMBER(M255)),IF(M254&gt;0,M255/M254,""),"")</f>
        <v/>
      </c>
      <c r="N256" s="238" t="str">
        <f>IF(AND(ISNUMBER(N254),ISNUMBER(N255)),IF(N254&gt;0,N255/N254,""),"")</f>
        <v/>
      </c>
      <c r="O256" s="238" t="str">
        <f>IF(AND(ISNUMBER(O254),ISNUMBER(O255)),IF(O254&gt;0,O255/O254,""),"")</f>
        <v/>
      </c>
      <c r="P256" s="238" t="str">
        <f>IF(AND(ISNUMBER(P254),ISNUMBER(P255)),IF(P254&gt;0,P255/P254,""),"")</f>
        <v/>
      </c>
      <c r="Q256" s="238" t="str">
        <f>IF(AND(ISNUMBER(Q254),ISNUMBER(Q255)),IF(Q254&gt;0,Q255/Q254,""),"")</f>
        <v/>
      </c>
      <c r="R256" s="238" t="str">
        <f>IF(AND(ISNUMBER(R254),ISNUMBER(R255)),IF(R254&gt;0,R255/R254,""),"")</f>
        <v/>
      </c>
      <c r="S256" s="238" t="str">
        <f>IF(AND(ISNUMBER(S254),ISNUMBER(S255)),IF(S254&gt;0,S255/S254,""),"")</f>
        <v/>
      </c>
      <c r="T256" s="238" t="str">
        <f>IF(AND(ISNUMBER(T254),ISNUMBER(T255)),IF(T254&gt;0,T255/T254,""),"")</f>
        <v/>
      </c>
      <c r="U256" s="238" t="str">
        <f>IF(AND(ISNUMBER(U254),ISNUMBER(U255)),IF(U254&gt;0,U255/U254,""),"")</f>
        <v/>
      </c>
      <c r="V256" s="238" t="str">
        <f>IF(AND(ISNUMBER(V254),ISNUMBER(V255)),IF(V254&gt;0,V255/V254,""),"")</f>
        <v/>
      </c>
      <c r="W256" s="238" t="str">
        <f>IF(AND(ISNUMBER(W254),ISNUMBER(W255)),IF(W254&gt;0,W255/W254,""),"")</f>
        <v/>
      </c>
      <c r="X256" s="238" t="str">
        <f>IF(AND(ISNUMBER(X254),ISNUMBER(X255)),IF(X254&gt;0,X255/X254,""),"")</f>
        <v/>
      </c>
      <c r="Y256" s="238" t="str">
        <f>IF(AND(ISNUMBER(Y254),ISNUMBER(Y255)),IF(Y254&gt;0,Y255/Y254,""),"")</f>
        <v/>
      </c>
      <c r="Z256" s="238" t="str">
        <f>IF(AND(ISNUMBER(Z254),ISNUMBER(Z255)),IF(Z254&gt;0,Z255/Z254,""),"")</f>
        <v/>
      </c>
      <c r="AA256" s="238" t="str">
        <f>IF(AND(ISNUMBER(AA254),ISNUMBER(AA255)),IF(AA254&gt;0,AA255/AA254,""),"")</f>
        <v/>
      </c>
      <c r="AB256" s="238" t="str">
        <f>IF(AND(ISNUMBER(AB254),ISNUMBER(AB255)),IF(AB254&gt;0,AB255/AB254,""),"")</f>
        <v/>
      </c>
      <c r="AC256" s="238" t="str">
        <f>IF(AND(ISNUMBER(AC254),ISNUMBER(AC255)),IF(AC254&gt;0,AC255/AC254,""),"")</f>
        <v/>
      </c>
      <c r="AD256" s="238" t="str">
        <f>IF(AND(ISNUMBER(AD254),ISNUMBER(AD255)),IF(AD254&gt;0,AD255/AD254,""),"")</f>
        <v/>
      </c>
      <c r="AE256" s="238" t="str">
        <f>IF(AND(ISNUMBER(AE254),ISNUMBER(AE255)),IF(AE254&gt;0,AE255/AE254,""),"")</f>
        <v/>
      </c>
      <c r="AF256" s="238" t="str">
        <f>IF(AND(ISNUMBER(AF254),ISNUMBER(AF255)),IF(AF254&gt;0,AF255/AF254,""),"")</f>
        <v/>
      </c>
      <c r="AG256" s="238" t="str">
        <f>IF(AND(ISNUMBER(AG254),ISNUMBER(AG255)),IF(AG254&gt;0,AG255/AG254,""),"")</f>
        <v/>
      </c>
      <c r="AH256" s="238" t="str">
        <f>IF(AND(ISNUMBER(AH254),ISNUMBER(AH255)),IF(AH254&gt;0,AH255/AH254,""),"")</f>
        <v/>
      </c>
      <c r="AI256" s="238" t="str">
        <f>IF(AND(ISNUMBER(AI254),ISNUMBER(AI255)),IF(AI254&gt;0,AI255/AI254,""),"")</f>
        <v/>
      </c>
      <c r="AJ256" s="239" t="str">
        <f>IF(AND(ISNUMBER(AJ254),ISNUMBER(AJ255)),IF(AJ254&gt;0,AJ255/AJ254,""),"")</f>
        <v/>
      </c>
      <c r="AK256" s="236" t="str">
        <f>IF(AND(ISNUMBER(AK254),ISNUMBER(AK255)),IF(AK254&gt;0,AK255/AK254,""),"")</f>
        <v/>
      </c>
    </row>
    <row r="257" ht="15.75" customHeight="1" hidden="1">
      <c r="A257" s="277"/>
      <c r="B257" s="273" t="inlineStr">
        <is>
          <t xml:space="preserve">GENTE</t>
        </is>
      </c>
      <c r="C257" s="240" t="inlineStr">
        <is>
          <t xml:space="preserve">Efetivo Op.</t>
        </is>
      </c>
      <c r="D257" s="241" t="str">
        <f>IFERROR(1/(1/INDEX(BD!$AF$41:$AZ$41,MATCH($A$239,BD!$AF$22:$AZ$22,0))),"")</f>
        <v/>
      </c>
      <c r="E257" s="242"/>
      <c r="F257" s="243" t="str">
        <f>IF(F$3="","",IF(COUNTIFS(BD!$A$3:$A$5001,F$3,BD!$B$3:$B$5001,$A$239,BD!$T$3:$T$5001,"&lt;&gt;")=0,"",SUMIFS(BD!$T$3:$T$5001,BD!$A$3:$A$5001,F$3,BD!$B$3:$B$5001,$A$239)))</f>
        <v/>
      </c>
      <c r="G257" s="244" t="str">
        <f>IF(G$3="","",IF(COUNTIFS(BD!$A$3:$A$5001,G$3,BD!$B$3:$B$5001,$A$239,BD!$T$3:$T$5001,"&lt;&gt;")=0,"",SUMIFS(BD!$T$3:$T$5001,BD!$A$3:$A$5001,G$3,BD!$B$3:$B$5001,$A$239)))</f>
        <v/>
      </c>
      <c r="H257" s="244" t="str">
        <f>IF(H$3="","",IF(COUNTIFS(BD!$A$3:$A$5001,H$3,BD!$B$3:$B$5001,$A$239,BD!$T$3:$T$5001,"&lt;&gt;")=0,"",SUMIFS(BD!$T$3:$T$5001,BD!$A$3:$A$5001,H$3,BD!$B$3:$B$5001,$A$239)))</f>
        <v/>
      </c>
      <c r="I257" s="244" t="str">
        <f>IF(I$3="","",IF(COUNTIFS(BD!$A$3:$A$5001,I$3,BD!$B$3:$B$5001,$A$239,BD!$T$3:$T$5001,"&lt;&gt;")=0,"",SUMIFS(BD!$T$3:$T$5001,BD!$A$3:$A$5001,I$3,BD!$B$3:$B$5001,$A$239)))</f>
        <v/>
      </c>
      <c r="J257" s="244" t="str">
        <f>IF(J$3="","",IF(COUNTIFS(BD!$A$3:$A$5001,J$3,BD!$B$3:$B$5001,$A$239,BD!$T$3:$T$5001,"&lt;&gt;")=0,"",SUMIFS(BD!$T$3:$T$5001,BD!$A$3:$A$5001,J$3,BD!$B$3:$B$5001,$A$239)))</f>
        <v/>
      </c>
      <c r="K257" s="244" t="str">
        <f>IF(K$3="","",IF(COUNTIFS(BD!$A$3:$A$5001,K$3,BD!$B$3:$B$5001,$A$239,BD!$T$3:$T$5001,"&lt;&gt;")=0,"",SUMIFS(BD!$T$3:$T$5001,BD!$A$3:$A$5001,K$3,BD!$B$3:$B$5001,$A$239)))</f>
        <v/>
      </c>
      <c r="L257" s="244" t="str">
        <f>IF(L$3="","",IF(COUNTIFS(BD!$A$3:$A$5001,L$3,BD!$B$3:$B$5001,$A$239,BD!$T$3:$T$5001,"&lt;&gt;")=0,"",SUMIFS(BD!$T$3:$T$5001,BD!$A$3:$A$5001,L$3,BD!$B$3:$B$5001,$A$239)))</f>
        <v/>
      </c>
      <c r="M257" s="244" t="str">
        <f>IF(M$3="","",IF(COUNTIFS(BD!$A$3:$A$5001,M$3,BD!$B$3:$B$5001,$A$239,BD!$T$3:$T$5001,"&lt;&gt;")=0,"",SUMIFS(BD!$T$3:$T$5001,BD!$A$3:$A$5001,M$3,BD!$B$3:$B$5001,$A$239)))</f>
        <v/>
      </c>
      <c r="N257" s="244" t="str">
        <f>IF(N$3="","",IF(COUNTIFS(BD!$A$3:$A$5001,N$3,BD!$B$3:$B$5001,$A$239,BD!$T$3:$T$5001,"&lt;&gt;")=0,"",SUMIFS(BD!$T$3:$T$5001,BD!$A$3:$A$5001,N$3,BD!$B$3:$B$5001,$A$239)))</f>
        <v/>
      </c>
      <c r="O257" s="244" t="str">
        <f>IF(O$3="","",IF(COUNTIFS(BD!$A$3:$A$5001,O$3,BD!$B$3:$B$5001,$A$239,BD!$T$3:$T$5001,"&lt;&gt;")=0,"",SUMIFS(BD!$T$3:$T$5001,BD!$A$3:$A$5001,O$3,BD!$B$3:$B$5001,$A$239)))</f>
        <v/>
      </c>
      <c r="P257" s="244" t="str">
        <f>IF(P$3="","",IF(COUNTIFS(BD!$A$3:$A$5001,P$3,BD!$B$3:$B$5001,$A$239,BD!$T$3:$T$5001,"&lt;&gt;")=0,"",SUMIFS(BD!$T$3:$T$5001,BD!$A$3:$A$5001,P$3,BD!$B$3:$B$5001,$A$239)))</f>
        <v/>
      </c>
      <c r="Q257" s="244" t="str">
        <f>IF(Q$3="","",IF(COUNTIFS(BD!$A$3:$A$5001,Q$3,BD!$B$3:$B$5001,$A$239,BD!$T$3:$T$5001,"&lt;&gt;")=0,"",SUMIFS(BD!$T$3:$T$5001,BD!$A$3:$A$5001,Q$3,BD!$B$3:$B$5001,$A$239)))</f>
        <v/>
      </c>
      <c r="R257" s="244" t="str">
        <f>IF(R$3="","",IF(COUNTIFS(BD!$A$3:$A$5001,R$3,BD!$B$3:$B$5001,$A$239,BD!$T$3:$T$5001,"&lt;&gt;")=0,"",SUMIFS(BD!$T$3:$T$5001,BD!$A$3:$A$5001,R$3,BD!$B$3:$B$5001,$A$239)))</f>
        <v/>
      </c>
      <c r="S257" s="244" t="str">
        <f>IF(S$3="","",IF(COUNTIFS(BD!$A$3:$A$5001,S$3,BD!$B$3:$B$5001,$A$239,BD!$T$3:$T$5001,"&lt;&gt;")=0,"",SUMIFS(BD!$T$3:$T$5001,BD!$A$3:$A$5001,S$3,BD!$B$3:$B$5001,$A$239)))</f>
        <v/>
      </c>
      <c r="T257" s="244" t="str">
        <f>IF(T$3="","",IF(COUNTIFS(BD!$A$3:$A$5001,T$3,BD!$B$3:$B$5001,$A$239,BD!$T$3:$T$5001,"&lt;&gt;")=0,"",SUMIFS(BD!$T$3:$T$5001,BD!$A$3:$A$5001,T$3,BD!$B$3:$B$5001,$A$239)))</f>
        <v/>
      </c>
      <c r="U257" s="244" t="str">
        <f>IF(U$3="","",IF(COUNTIFS(BD!$A$3:$A$5001,U$3,BD!$B$3:$B$5001,$A$239,BD!$T$3:$T$5001,"&lt;&gt;")=0,"",SUMIFS(BD!$T$3:$T$5001,BD!$A$3:$A$5001,U$3,BD!$B$3:$B$5001,$A$239)))</f>
        <v/>
      </c>
      <c r="V257" s="244" t="str">
        <f>IF(V$3="","",IF(COUNTIFS(BD!$A$3:$A$5001,V$3,BD!$B$3:$B$5001,$A$239,BD!$T$3:$T$5001,"&lt;&gt;")=0,"",SUMIFS(BD!$T$3:$T$5001,BD!$A$3:$A$5001,V$3,BD!$B$3:$B$5001,$A$239)))</f>
        <v/>
      </c>
      <c r="W257" s="244" t="str">
        <f>IF(W$3="","",IF(COUNTIFS(BD!$A$3:$A$5001,W$3,BD!$B$3:$B$5001,$A$239,BD!$T$3:$T$5001,"&lt;&gt;")=0,"",SUMIFS(BD!$T$3:$T$5001,BD!$A$3:$A$5001,W$3,BD!$B$3:$B$5001,$A$239)))</f>
        <v/>
      </c>
      <c r="X257" s="244" t="str">
        <f>IF(X$3="","",IF(COUNTIFS(BD!$A$3:$A$5001,X$3,BD!$B$3:$B$5001,$A$239,BD!$T$3:$T$5001,"&lt;&gt;")=0,"",SUMIFS(BD!$T$3:$T$5001,BD!$A$3:$A$5001,X$3,BD!$B$3:$B$5001,$A$239)))</f>
        <v/>
      </c>
      <c r="Y257" s="244" t="str">
        <f>IF(Y$3="","",IF(COUNTIFS(BD!$A$3:$A$5001,Y$3,BD!$B$3:$B$5001,$A$239,BD!$T$3:$T$5001,"&lt;&gt;")=0,"",SUMIFS(BD!$T$3:$T$5001,BD!$A$3:$A$5001,Y$3,BD!$B$3:$B$5001,$A$239)))</f>
        <v/>
      </c>
      <c r="Z257" s="244" t="str">
        <f>IF(Z$3="","",IF(COUNTIFS(BD!$A$3:$A$5001,Z$3,BD!$B$3:$B$5001,$A$239,BD!$T$3:$T$5001,"&lt;&gt;")=0,"",SUMIFS(BD!$T$3:$T$5001,BD!$A$3:$A$5001,Z$3,BD!$B$3:$B$5001,$A$239)))</f>
        <v/>
      </c>
      <c r="AA257" s="244" t="str">
        <f>IF(AA$3="","",IF(COUNTIFS(BD!$A$3:$A$5001,AA$3,BD!$B$3:$B$5001,$A$239,BD!$T$3:$T$5001,"&lt;&gt;")=0,"",SUMIFS(BD!$T$3:$T$5001,BD!$A$3:$A$5001,AA$3,BD!$B$3:$B$5001,$A$239)))</f>
        <v/>
      </c>
      <c r="AB257" s="244" t="str">
        <f>IF(AB$3="","",IF(COUNTIFS(BD!$A$3:$A$5001,AB$3,BD!$B$3:$B$5001,$A$239,BD!$T$3:$T$5001,"&lt;&gt;")=0,"",SUMIFS(BD!$T$3:$T$5001,BD!$A$3:$A$5001,AB$3,BD!$B$3:$B$5001,$A$239)))</f>
        <v/>
      </c>
      <c r="AC257" s="244" t="str">
        <f>IF(AC$3="","",IF(COUNTIFS(BD!$A$3:$A$5001,AC$3,BD!$B$3:$B$5001,$A$239,BD!$T$3:$T$5001,"&lt;&gt;")=0,"",SUMIFS(BD!$T$3:$T$5001,BD!$A$3:$A$5001,AC$3,BD!$B$3:$B$5001,$A$239)))</f>
        <v/>
      </c>
      <c r="AD257" s="244" t="str">
        <f>IF(AD$3="","",IF(COUNTIFS(BD!$A$3:$A$5001,AD$3,BD!$B$3:$B$5001,$A$239,BD!$T$3:$T$5001,"&lt;&gt;")=0,"",SUMIFS(BD!$T$3:$T$5001,BD!$A$3:$A$5001,AD$3,BD!$B$3:$B$5001,$A$239)))</f>
        <v/>
      </c>
      <c r="AE257" s="244" t="str">
        <f>IF(AE$3="","",IF(COUNTIFS(BD!$A$3:$A$5001,AE$3,BD!$B$3:$B$5001,$A$239,BD!$T$3:$T$5001,"&lt;&gt;")=0,"",SUMIFS(BD!$T$3:$T$5001,BD!$A$3:$A$5001,AE$3,BD!$B$3:$B$5001,$A$239)))</f>
        <v/>
      </c>
      <c r="AF257" s="244" t="str">
        <f>IF(AF$3="","",IF(COUNTIFS(BD!$A$3:$A$5001,AF$3,BD!$B$3:$B$5001,$A$239,BD!$T$3:$T$5001,"&lt;&gt;")=0,"",SUMIFS(BD!$T$3:$T$5001,BD!$A$3:$A$5001,AF$3,BD!$B$3:$B$5001,$A$239)))</f>
        <v/>
      </c>
      <c r="AG257" s="244" t="str">
        <f>IF(AG$3="","",IF(COUNTIFS(BD!$A$3:$A$5001,AG$3,BD!$B$3:$B$5001,$A$239,BD!$T$3:$T$5001,"&lt;&gt;")=0,"",SUMIFS(BD!$T$3:$T$5001,BD!$A$3:$A$5001,AG$3,BD!$B$3:$B$5001,$A$239)))</f>
        <v/>
      </c>
      <c r="AH257" s="244" t="str">
        <f>IF(AH$3="","",IF(COUNTIFS(BD!$A$3:$A$5001,AH$3,BD!$B$3:$B$5001,$A$239,BD!$T$3:$T$5001,"&lt;&gt;")=0,"",SUMIFS(BD!$T$3:$T$5001,BD!$A$3:$A$5001,AH$3,BD!$B$3:$B$5001,$A$239)))</f>
        <v/>
      </c>
      <c r="AI257" s="244" t="str">
        <f>IF(AI$3="","",IF(COUNTIFS(BD!$A$3:$A$5001,AI$3,BD!$B$3:$B$5001,$A$239,BD!$T$3:$T$5001,"&lt;&gt;")=0,"",SUMIFS(BD!$T$3:$T$5001,BD!$A$3:$A$5001,AI$3,BD!$B$3:$B$5001,$A$239)))</f>
        <v/>
      </c>
      <c r="AJ257" s="245" t="str">
        <f>IF(AJ$3="","",IF(COUNTIFS(BD!$A$3:$A$5001,AJ$3,BD!$B$3:$B$5001,$A$239,BD!$T$3:$T$5001,"&lt;&gt;")=0,"",SUMIFS(BD!$T$3:$T$5001,BD!$A$3:$A$5001,AJ$3,BD!$B$3:$B$5001,$A$239)))</f>
        <v/>
      </c>
      <c r="AK257" s="246" t="str">
        <f>IFERROR(LOOKUP(9.99E+307,F257:AJ257),"")</f>
        <v/>
      </c>
    </row>
    <row r="258" ht="15.75" customHeight="1" hidden="1">
      <c r="A258" s="277"/>
      <c r="B258" s="274"/>
      <c r="C258" s="247" t="inlineStr">
        <is>
          <t xml:space="preserve">Falta</t>
        </is>
      </c>
      <c r="D258" s="248" t="str">
        <f>IFERROR(1/(1/INDEX(BD!$AF$42:$AZ$42,MATCH($A$239,BD!$AF$22:$AZ$22,0))),"")</f>
        <v/>
      </c>
      <c r="E258" s="249"/>
      <c r="F258" s="250" t="str">
        <f>IF(F$3="","",IF(COUNTIFS(BD!$A$3:$A$5001,F$3,BD!$B$3:$B$5001,$A$239,BD!$U$3:$U$5001,"&lt;&gt;")=0,"",SUMIFS(BD!$U$3:$U$5001,BD!$A$3:$A$5001,F$3,BD!$B$3:$B$5001,$A$239)))</f>
        <v/>
      </c>
      <c r="G258" s="251" t="str">
        <f>IF(G$3="","",IF(COUNTIFS(BD!$A$3:$A$5001,G$3,BD!$B$3:$B$5001,$A$239,BD!$U$3:$U$5001,"&lt;&gt;")=0,"",SUMIFS(BD!$U$3:$U$5001,BD!$A$3:$A$5001,G$3,BD!$B$3:$B$5001,$A$239)))</f>
        <v/>
      </c>
      <c r="H258" s="251" t="str">
        <f>IF(H$3="","",IF(COUNTIFS(BD!$A$3:$A$5001,H$3,BD!$B$3:$B$5001,$A$239,BD!$U$3:$U$5001,"&lt;&gt;")=0,"",SUMIFS(BD!$U$3:$U$5001,BD!$A$3:$A$5001,H$3,BD!$B$3:$B$5001,$A$239)))</f>
        <v/>
      </c>
      <c r="I258" s="251" t="str">
        <f>IF(I$3="","",IF(COUNTIFS(BD!$A$3:$A$5001,I$3,BD!$B$3:$B$5001,$A$239,BD!$U$3:$U$5001,"&lt;&gt;")=0,"",SUMIFS(BD!$U$3:$U$5001,BD!$A$3:$A$5001,I$3,BD!$B$3:$B$5001,$A$239)))</f>
        <v/>
      </c>
      <c r="J258" s="251" t="str">
        <f>IF(J$3="","",IF(COUNTIFS(BD!$A$3:$A$5001,J$3,BD!$B$3:$B$5001,$A$239,BD!$U$3:$U$5001,"&lt;&gt;")=0,"",SUMIFS(BD!$U$3:$U$5001,BD!$A$3:$A$5001,J$3,BD!$B$3:$B$5001,$A$239)))</f>
        <v/>
      </c>
      <c r="K258" s="251" t="str">
        <f>IF(K$3="","",IF(COUNTIFS(BD!$A$3:$A$5001,K$3,BD!$B$3:$B$5001,$A$239,BD!$U$3:$U$5001,"&lt;&gt;")=0,"",SUMIFS(BD!$U$3:$U$5001,BD!$A$3:$A$5001,K$3,BD!$B$3:$B$5001,$A$239)))</f>
        <v/>
      </c>
      <c r="L258" s="251" t="str">
        <f>IF(L$3="","",IF(COUNTIFS(BD!$A$3:$A$5001,L$3,BD!$B$3:$B$5001,$A$239,BD!$U$3:$U$5001,"&lt;&gt;")=0,"",SUMIFS(BD!$U$3:$U$5001,BD!$A$3:$A$5001,L$3,BD!$B$3:$B$5001,$A$239)))</f>
        <v/>
      </c>
      <c r="M258" s="251" t="str">
        <f>IF(M$3="","",IF(COUNTIFS(BD!$A$3:$A$5001,M$3,BD!$B$3:$B$5001,$A$239,BD!$U$3:$U$5001,"&lt;&gt;")=0,"",SUMIFS(BD!$U$3:$U$5001,BD!$A$3:$A$5001,M$3,BD!$B$3:$B$5001,$A$239)))</f>
        <v/>
      </c>
      <c r="N258" s="251" t="str">
        <f>IF(N$3="","",IF(COUNTIFS(BD!$A$3:$A$5001,N$3,BD!$B$3:$B$5001,$A$239,BD!$U$3:$U$5001,"&lt;&gt;")=0,"",SUMIFS(BD!$U$3:$U$5001,BD!$A$3:$A$5001,N$3,BD!$B$3:$B$5001,$A$239)))</f>
        <v/>
      </c>
      <c r="O258" s="251" t="str">
        <f>IF(O$3="","",IF(COUNTIFS(BD!$A$3:$A$5001,O$3,BD!$B$3:$B$5001,$A$239,BD!$U$3:$U$5001,"&lt;&gt;")=0,"",SUMIFS(BD!$U$3:$U$5001,BD!$A$3:$A$5001,O$3,BD!$B$3:$B$5001,$A$239)))</f>
        <v/>
      </c>
      <c r="P258" s="251" t="str">
        <f>IF(P$3="","",IF(COUNTIFS(BD!$A$3:$A$5001,P$3,BD!$B$3:$B$5001,$A$239,BD!$U$3:$U$5001,"&lt;&gt;")=0,"",SUMIFS(BD!$U$3:$U$5001,BD!$A$3:$A$5001,P$3,BD!$B$3:$B$5001,$A$239)))</f>
        <v/>
      </c>
      <c r="Q258" s="251" t="str">
        <f>IF(Q$3="","",IF(COUNTIFS(BD!$A$3:$A$5001,Q$3,BD!$B$3:$B$5001,$A$239,BD!$U$3:$U$5001,"&lt;&gt;")=0,"",SUMIFS(BD!$U$3:$U$5001,BD!$A$3:$A$5001,Q$3,BD!$B$3:$B$5001,$A$239)))</f>
        <v/>
      </c>
      <c r="R258" s="251" t="str">
        <f>IF(R$3="","",IF(COUNTIFS(BD!$A$3:$A$5001,R$3,BD!$B$3:$B$5001,$A$239,BD!$U$3:$U$5001,"&lt;&gt;")=0,"",SUMIFS(BD!$U$3:$U$5001,BD!$A$3:$A$5001,R$3,BD!$B$3:$B$5001,$A$239)))</f>
        <v/>
      </c>
      <c r="S258" s="251" t="str">
        <f>IF(S$3="","",IF(COUNTIFS(BD!$A$3:$A$5001,S$3,BD!$B$3:$B$5001,$A$239,BD!$U$3:$U$5001,"&lt;&gt;")=0,"",SUMIFS(BD!$U$3:$U$5001,BD!$A$3:$A$5001,S$3,BD!$B$3:$B$5001,$A$239)))</f>
        <v/>
      </c>
      <c r="T258" s="251" t="str">
        <f>IF(T$3="","",IF(COUNTIFS(BD!$A$3:$A$5001,T$3,BD!$B$3:$B$5001,$A$239,BD!$U$3:$U$5001,"&lt;&gt;")=0,"",SUMIFS(BD!$U$3:$U$5001,BD!$A$3:$A$5001,T$3,BD!$B$3:$B$5001,$A$239)))</f>
        <v/>
      </c>
      <c r="U258" s="251" t="str">
        <f>IF(U$3="","",IF(COUNTIFS(BD!$A$3:$A$5001,U$3,BD!$B$3:$B$5001,$A$239,BD!$U$3:$U$5001,"&lt;&gt;")=0,"",SUMIFS(BD!$U$3:$U$5001,BD!$A$3:$A$5001,U$3,BD!$B$3:$B$5001,$A$239)))</f>
        <v/>
      </c>
      <c r="V258" s="251" t="str">
        <f>IF(V$3="","",IF(COUNTIFS(BD!$A$3:$A$5001,V$3,BD!$B$3:$B$5001,$A$239,BD!$U$3:$U$5001,"&lt;&gt;")=0,"",SUMIFS(BD!$U$3:$U$5001,BD!$A$3:$A$5001,V$3,BD!$B$3:$B$5001,$A$239)))</f>
        <v/>
      </c>
      <c r="W258" s="251" t="str">
        <f>IF(W$3="","",IF(COUNTIFS(BD!$A$3:$A$5001,W$3,BD!$B$3:$B$5001,$A$239,BD!$U$3:$U$5001,"&lt;&gt;")=0,"",SUMIFS(BD!$U$3:$U$5001,BD!$A$3:$A$5001,W$3,BD!$B$3:$B$5001,$A$239)))</f>
        <v/>
      </c>
      <c r="X258" s="251" t="str">
        <f>IF(X$3="","",IF(COUNTIFS(BD!$A$3:$A$5001,X$3,BD!$B$3:$B$5001,$A$239,BD!$U$3:$U$5001,"&lt;&gt;")=0,"",SUMIFS(BD!$U$3:$U$5001,BD!$A$3:$A$5001,X$3,BD!$B$3:$B$5001,$A$239)))</f>
        <v/>
      </c>
      <c r="Y258" s="251" t="str">
        <f>IF(Y$3="","",IF(COUNTIFS(BD!$A$3:$A$5001,Y$3,BD!$B$3:$B$5001,$A$239,BD!$U$3:$U$5001,"&lt;&gt;")=0,"",SUMIFS(BD!$U$3:$U$5001,BD!$A$3:$A$5001,Y$3,BD!$B$3:$B$5001,$A$239)))</f>
        <v/>
      </c>
      <c r="Z258" s="251" t="str">
        <f>IF(Z$3="","",IF(COUNTIFS(BD!$A$3:$A$5001,Z$3,BD!$B$3:$B$5001,$A$239,BD!$U$3:$U$5001,"&lt;&gt;")=0,"",SUMIFS(BD!$U$3:$U$5001,BD!$A$3:$A$5001,Z$3,BD!$B$3:$B$5001,$A$239)))</f>
        <v/>
      </c>
      <c r="AA258" s="251" t="str">
        <f>IF(AA$3="","",IF(COUNTIFS(BD!$A$3:$A$5001,AA$3,BD!$B$3:$B$5001,$A$239,BD!$U$3:$U$5001,"&lt;&gt;")=0,"",SUMIFS(BD!$U$3:$U$5001,BD!$A$3:$A$5001,AA$3,BD!$B$3:$B$5001,$A$239)))</f>
        <v/>
      </c>
      <c r="AB258" s="251" t="str">
        <f>IF(AB$3="","",IF(COUNTIFS(BD!$A$3:$A$5001,AB$3,BD!$B$3:$B$5001,$A$239,BD!$U$3:$U$5001,"&lt;&gt;")=0,"",SUMIFS(BD!$U$3:$U$5001,BD!$A$3:$A$5001,AB$3,BD!$B$3:$B$5001,$A$239)))</f>
        <v/>
      </c>
      <c r="AC258" s="251" t="str">
        <f>IF(AC$3="","",IF(COUNTIFS(BD!$A$3:$A$5001,AC$3,BD!$B$3:$B$5001,$A$239,BD!$U$3:$U$5001,"&lt;&gt;")=0,"",SUMIFS(BD!$U$3:$U$5001,BD!$A$3:$A$5001,AC$3,BD!$B$3:$B$5001,$A$239)))</f>
        <v/>
      </c>
      <c r="AD258" s="251" t="str">
        <f>IF(AD$3="","",IF(COUNTIFS(BD!$A$3:$A$5001,AD$3,BD!$B$3:$B$5001,$A$239,BD!$U$3:$U$5001,"&lt;&gt;")=0,"",SUMIFS(BD!$U$3:$U$5001,BD!$A$3:$A$5001,AD$3,BD!$B$3:$B$5001,$A$239)))</f>
        <v/>
      </c>
      <c r="AE258" s="251" t="str">
        <f>IF(AE$3="","",IF(COUNTIFS(BD!$A$3:$A$5001,AE$3,BD!$B$3:$B$5001,$A$239,BD!$U$3:$U$5001,"&lt;&gt;")=0,"",SUMIFS(BD!$U$3:$U$5001,BD!$A$3:$A$5001,AE$3,BD!$B$3:$B$5001,$A$239)))</f>
        <v/>
      </c>
      <c r="AF258" s="251" t="str">
        <f>IF(AF$3="","",IF(COUNTIFS(BD!$A$3:$A$5001,AF$3,BD!$B$3:$B$5001,$A$239,BD!$U$3:$U$5001,"&lt;&gt;")=0,"",SUMIFS(BD!$U$3:$U$5001,BD!$A$3:$A$5001,AF$3,BD!$B$3:$B$5001,$A$239)))</f>
        <v/>
      </c>
      <c r="AG258" s="251" t="str">
        <f>IF(AG$3="","",IF(COUNTIFS(BD!$A$3:$A$5001,AG$3,BD!$B$3:$B$5001,$A$239,BD!$U$3:$U$5001,"&lt;&gt;")=0,"",SUMIFS(BD!$U$3:$U$5001,BD!$A$3:$A$5001,AG$3,BD!$B$3:$B$5001,$A$239)))</f>
        <v/>
      </c>
      <c r="AH258" s="251" t="str">
        <f>IF(AH$3="","",IF(COUNTIFS(BD!$A$3:$A$5001,AH$3,BD!$B$3:$B$5001,$A$239,BD!$U$3:$U$5001,"&lt;&gt;")=0,"",SUMIFS(BD!$U$3:$U$5001,BD!$A$3:$A$5001,AH$3,BD!$B$3:$B$5001,$A$239)))</f>
        <v/>
      </c>
      <c r="AI258" s="251" t="str">
        <f>IF(AI$3="","",IF(COUNTIFS(BD!$A$3:$A$5001,AI$3,BD!$B$3:$B$5001,$A$239,BD!$U$3:$U$5001,"&lt;&gt;")=0,"",SUMIFS(BD!$U$3:$U$5001,BD!$A$3:$A$5001,AI$3,BD!$B$3:$B$5001,$A$239)))</f>
        <v/>
      </c>
      <c r="AJ258" s="252" t="str">
        <f>IF(AJ$3="","",IF(COUNTIFS(BD!$A$3:$A$5001,AJ$3,BD!$B$3:$B$5001,$A$239,BD!$U$3:$U$5001,"&lt;&gt;")=0,"",SUMIFS(BD!$U$3:$U$5001,BD!$A$3:$A$5001,AJ$3,BD!$B$3:$B$5001,$A$239)))</f>
        <v/>
      </c>
      <c r="AK258" s="253" t="str">
        <f>IF(COUNT(F258:AJ258)=0,"",SUM(F258:AJ258))</f>
        <v/>
      </c>
    </row>
    <row r="259" ht="15.75" customHeight="1" hidden="1">
      <c r="A259" s="277"/>
      <c r="B259" s="274"/>
      <c r="C259" s="247" t="inlineStr">
        <is>
          <t xml:space="preserve">Absenteísmo (H/H)</t>
        </is>
      </c>
      <c r="D259" s="248" t="str">
        <f>IFERROR(1/(1/INDEX(BD!$AF$43:$AZ$43,MATCH($A$239,BD!$AF$22:$AZ$22,0))),"")</f>
        <v/>
      </c>
      <c r="E259" s="249"/>
      <c r="F259" s="254" t="str">
        <f>IF(F$3="","",IF(COUNTIFS(BD!$A$3:$A$5001,F$3,BD!$B$3:$B$5001,$A$239,BD!$V$3:$V$5001,"&lt;&gt;")=0,"",SUMIFS(BD!$V$3:$V$5001,BD!$A$3:$A$5001,F$3,BD!$B$3:$B$5001,$A$239)))</f>
        <v/>
      </c>
      <c r="G259" s="255" t="str">
        <f>IF(G$3="","",IF(COUNTIFS(BD!$A$3:$A$5001,G$3,BD!$B$3:$B$5001,$A$239,BD!$V$3:$V$5001,"&lt;&gt;")=0,"",SUMIFS(BD!$V$3:$V$5001,BD!$A$3:$A$5001,G$3,BD!$B$3:$B$5001,$A$239)))</f>
        <v/>
      </c>
      <c r="H259" s="255" t="str">
        <f>IF(H$3="","",IF(COUNTIFS(BD!$A$3:$A$5001,H$3,BD!$B$3:$B$5001,$A$239,BD!$V$3:$V$5001,"&lt;&gt;")=0,"",SUMIFS(BD!$V$3:$V$5001,BD!$A$3:$A$5001,H$3,BD!$B$3:$B$5001,$A$239)))</f>
        <v/>
      </c>
      <c r="I259" s="255" t="str">
        <f>IF(I$3="","",IF(COUNTIFS(BD!$A$3:$A$5001,I$3,BD!$B$3:$B$5001,$A$239,BD!$V$3:$V$5001,"&lt;&gt;")=0,"",SUMIFS(BD!$V$3:$V$5001,BD!$A$3:$A$5001,I$3,BD!$B$3:$B$5001,$A$239)))</f>
        <v/>
      </c>
      <c r="J259" s="255" t="str">
        <f>IF(J$3="","",IF(COUNTIFS(BD!$A$3:$A$5001,J$3,BD!$B$3:$B$5001,$A$239,BD!$V$3:$V$5001,"&lt;&gt;")=0,"",SUMIFS(BD!$V$3:$V$5001,BD!$A$3:$A$5001,J$3,BD!$B$3:$B$5001,$A$239)))</f>
        <v/>
      </c>
      <c r="K259" s="255" t="str">
        <f>IF(K$3="","",IF(COUNTIFS(BD!$A$3:$A$5001,K$3,BD!$B$3:$B$5001,$A$239,BD!$V$3:$V$5001,"&lt;&gt;")=0,"",SUMIFS(BD!$V$3:$V$5001,BD!$A$3:$A$5001,K$3,BD!$B$3:$B$5001,$A$239)))</f>
        <v/>
      </c>
      <c r="L259" s="255" t="str">
        <f>IF(L$3="","",IF(COUNTIFS(BD!$A$3:$A$5001,L$3,BD!$B$3:$B$5001,$A$239,BD!$V$3:$V$5001,"&lt;&gt;")=0,"",SUMIFS(BD!$V$3:$V$5001,BD!$A$3:$A$5001,L$3,BD!$B$3:$B$5001,$A$239)))</f>
        <v/>
      </c>
      <c r="M259" s="255" t="str">
        <f>IF(M$3="","",IF(COUNTIFS(BD!$A$3:$A$5001,M$3,BD!$B$3:$B$5001,$A$239,BD!$V$3:$V$5001,"&lt;&gt;")=0,"",SUMIFS(BD!$V$3:$V$5001,BD!$A$3:$A$5001,M$3,BD!$B$3:$B$5001,$A$239)))</f>
        <v/>
      </c>
      <c r="N259" s="255" t="str">
        <f>IF(N$3="","",IF(COUNTIFS(BD!$A$3:$A$5001,N$3,BD!$B$3:$B$5001,$A$239,BD!$V$3:$V$5001,"&lt;&gt;")=0,"",SUMIFS(BD!$V$3:$V$5001,BD!$A$3:$A$5001,N$3,BD!$B$3:$B$5001,$A$239)))</f>
        <v/>
      </c>
      <c r="O259" s="255" t="str">
        <f>IF(O$3="","",IF(COUNTIFS(BD!$A$3:$A$5001,O$3,BD!$B$3:$B$5001,$A$239,BD!$V$3:$V$5001,"&lt;&gt;")=0,"",SUMIFS(BD!$V$3:$V$5001,BD!$A$3:$A$5001,O$3,BD!$B$3:$B$5001,$A$239)))</f>
        <v/>
      </c>
      <c r="P259" s="255" t="str">
        <f>IF(P$3="","",IF(COUNTIFS(BD!$A$3:$A$5001,P$3,BD!$B$3:$B$5001,$A$239,BD!$V$3:$V$5001,"&lt;&gt;")=0,"",SUMIFS(BD!$V$3:$V$5001,BD!$A$3:$A$5001,P$3,BD!$B$3:$B$5001,$A$239)))</f>
        <v/>
      </c>
      <c r="Q259" s="255" t="str">
        <f>IF(Q$3="","",IF(COUNTIFS(BD!$A$3:$A$5001,Q$3,BD!$B$3:$B$5001,$A$239,BD!$V$3:$V$5001,"&lt;&gt;")=0,"",SUMIFS(BD!$V$3:$V$5001,BD!$A$3:$A$5001,Q$3,BD!$B$3:$B$5001,$A$239)))</f>
        <v/>
      </c>
      <c r="R259" s="255" t="str">
        <f>IF(R$3="","",IF(COUNTIFS(BD!$A$3:$A$5001,R$3,BD!$B$3:$B$5001,$A$239,BD!$V$3:$V$5001,"&lt;&gt;")=0,"",SUMIFS(BD!$V$3:$V$5001,BD!$A$3:$A$5001,R$3,BD!$B$3:$B$5001,$A$239)))</f>
        <v/>
      </c>
      <c r="S259" s="255" t="str">
        <f>IF(S$3="","",IF(COUNTIFS(BD!$A$3:$A$5001,S$3,BD!$B$3:$B$5001,$A$239,BD!$V$3:$V$5001,"&lt;&gt;")=0,"",SUMIFS(BD!$V$3:$V$5001,BD!$A$3:$A$5001,S$3,BD!$B$3:$B$5001,$A$239)))</f>
        <v/>
      </c>
      <c r="T259" s="255" t="str">
        <f>IF(T$3="","",IF(COUNTIFS(BD!$A$3:$A$5001,T$3,BD!$B$3:$B$5001,$A$239,BD!$V$3:$V$5001,"&lt;&gt;")=0,"",SUMIFS(BD!$V$3:$V$5001,BD!$A$3:$A$5001,T$3,BD!$B$3:$B$5001,$A$239)))</f>
        <v/>
      </c>
      <c r="U259" s="255" t="str">
        <f>IF(U$3="","",IF(COUNTIFS(BD!$A$3:$A$5001,U$3,BD!$B$3:$B$5001,$A$239,BD!$V$3:$V$5001,"&lt;&gt;")=0,"",SUMIFS(BD!$V$3:$V$5001,BD!$A$3:$A$5001,U$3,BD!$B$3:$B$5001,$A$239)))</f>
        <v/>
      </c>
      <c r="V259" s="255" t="str">
        <f>IF(V$3="","",IF(COUNTIFS(BD!$A$3:$A$5001,V$3,BD!$B$3:$B$5001,$A$239,BD!$V$3:$V$5001,"&lt;&gt;")=0,"",SUMIFS(BD!$V$3:$V$5001,BD!$A$3:$A$5001,V$3,BD!$B$3:$B$5001,$A$239)))</f>
        <v/>
      </c>
      <c r="W259" s="255" t="str">
        <f>IF(W$3="","",IF(COUNTIFS(BD!$A$3:$A$5001,W$3,BD!$B$3:$B$5001,$A$239,BD!$V$3:$V$5001,"&lt;&gt;")=0,"",SUMIFS(BD!$V$3:$V$5001,BD!$A$3:$A$5001,W$3,BD!$B$3:$B$5001,$A$239)))</f>
        <v/>
      </c>
      <c r="X259" s="255" t="str">
        <f>IF(X$3="","",IF(COUNTIFS(BD!$A$3:$A$5001,X$3,BD!$B$3:$B$5001,$A$239,BD!$V$3:$V$5001,"&lt;&gt;")=0,"",SUMIFS(BD!$V$3:$V$5001,BD!$A$3:$A$5001,X$3,BD!$B$3:$B$5001,$A$239)))</f>
        <v/>
      </c>
      <c r="Y259" s="255" t="str">
        <f>IF(Y$3="","",IF(COUNTIFS(BD!$A$3:$A$5001,Y$3,BD!$B$3:$B$5001,$A$239,BD!$V$3:$V$5001,"&lt;&gt;")=0,"",SUMIFS(BD!$V$3:$V$5001,BD!$A$3:$A$5001,Y$3,BD!$B$3:$B$5001,$A$239)))</f>
        <v/>
      </c>
      <c r="Z259" s="255" t="str">
        <f>IF(Z$3="","",IF(COUNTIFS(BD!$A$3:$A$5001,Z$3,BD!$B$3:$B$5001,$A$239,BD!$V$3:$V$5001,"&lt;&gt;")=0,"",SUMIFS(BD!$V$3:$V$5001,BD!$A$3:$A$5001,Z$3,BD!$B$3:$B$5001,$A$239)))</f>
        <v/>
      </c>
      <c r="AA259" s="255" t="str">
        <f>IF(AA$3="","",IF(COUNTIFS(BD!$A$3:$A$5001,AA$3,BD!$B$3:$B$5001,$A$239,BD!$V$3:$V$5001,"&lt;&gt;")=0,"",SUMIFS(BD!$V$3:$V$5001,BD!$A$3:$A$5001,AA$3,BD!$B$3:$B$5001,$A$239)))</f>
        <v/>
      </c>
      <c r="AB259" s="255" t="str">
        <f>IF(AB$3="","",IF(COUNTIFS(BD!$A$3:$A$5001,AB$3,BD!$B$3:$B$5001,$A$239,BD!$V$3:$V$5001,"&lt;&gt;")=0,"",SUMIFS(BD!$V$3:$V$5001,BD!$A$3:$A$5001,AB$3,BD!$B$3:$B$5001,$A$239)))</f>
        <v/>
      </c>
      <c r="AC259" s="255" t="str">
        <f>IF(AC$3="","",IF(COUNTIFS(BD!$A$3:$A$5001,AC$3,BD!$B$3:$B$5001,$A$239,BD!$V$3:$V$5001,"&lt;&gt;")=0,"",SUMIFS(BD!$V$3:$V$5001,BD!$A$3:$A$5001,AC$3,BD!$B$3:$B$5001,$A$239)))</f>
        <v/>
      </c>
      <c r="AD259" s="255" t="str">
        <f>IF(AD$3="","",IF(COUNTIFS(BD!$A$3:$A$5001,AD$3,BD!$B$3:$B$5001,$A$239,BD!$V$3:$V$5001,"&lt;&gt;")=0,"",SUMIFS(BD!$V$3:$V$5001,BD!$A$3:$A$5001,AD$3,BD!$B$3:$B$5001,$A$239)))</f>
        <v/>
      </c>
      <c r="AE259" s="255" t="str">
        <f>IF(AE$3="","",IF(COUNTIFS(BD!$A$3:$A$5001,AE$3,BD!$B$3:$B$5001,$A$239,BD!$V$3:$V$5001,"&lt;&gt;")=0,"",SUMIFS(BD!$V$3:$V$5001,BD!$A$3:$A$5001,AE$3,BD!$B$3:$B$5001,$A$239)))</f>
        <v/>
      </c>
      <c r="AF259" s="255" t="str">
        <f>IF(AF$3="","",IF(COUNTIFS(BD!$A$3:$A$5001,AF$3,BD!$B$3:$B$5001,$A$239,BD!$V$3:$V$5001,"&lt;&gt;")=0,"",SUMIFS(BD!$V$3:$V$5001,BD!$A$3:$A$5001,AF$3,BD!$B$3:$B$5001,$A$239)))</f>
        <v/>
      </c>
      <c r="AG259" s="255" t="str">
        <f>IF(AG$3="","",IF(COUNTIFS(BD!$A$3:$A$5001,AG$3,BD!$B$3:$B$5001,$A$239,BD!$V$3:$V$5001,"&lt;&gt;")=0,"",SUMIFS(BD!$V$3:$V$5001,BD!$A$3:$A$5001,AG$3,BD!$B$3:$B$5001,$A$239)))</f>
        <v/>
      </c>
      <c r="AH259" s="255" t="str">
        <f>IF(AH$3="","",IF(COUNTIFS(BD!$A$3:$A$5001,AH$3,BD!$B$3:$B$5001,$A$239,BD!$V$3:$V$5001,"&lt;&gt;")=0,"",SUMIFS(BD!$V$3:$V$5001,BD!$A$3:$A$5001,AH$3,BD!$B$3:$B$5001,$A$239)))</f>
        <v/>
      </c>
      <c r="AI259" s="255" t="str">
        <f>IF(AI$3="","",IF(COUNTIFS(BD!$A$3:$A$5001,AI$3,BD!$B$3:$B$5001,$A$239,BD!$V$3:$V$5001,"&lt;&gt;")=0,"",SUMIFS(BD!$V$3:$V$5001,BD!$A$3:$A$5001,AI$3,BD!$B$3:$B$5001,$A$239)))</f>
        <v/>
      </c>
      <c r="AJ259" s="256" t="str">
        <f>IF(AJ$3="","",IF(COUNTIFS(BD!$A$3:$A$5001,AJ$3,BD!$B$3:$B$5001,$A$239,BD!$V$3:$V$5001,"&lt;&gt;")=0,"",SUMIFS(BD!$V$3:$V$5001,BD!$A$3:$A$5001,AJ$3,BD!$B$3:$B$5001,$A$239)))</f>
        <v/>
      </c>
      <c r="AK259" s="257" t="str">
        <f>IF(COUNT(F259:AJ259)=0,"",SUM(F259:AJ259))</f>
        <v/>
      </c>
    </row>
    <row r="260" ht="15.75" customHeight="1" hidden="1">
      <c r="A260" s="277"/>
      <c r="B260" s="274"/>
      <c r="C260" s="247" t="inlineStr">
        <is>
          <t xml:space="preserve">Folga</t>
        </is>
      </c>
      <c r="D260" s="248" t="str">
        <f>IFERROR(1/(1/INDEX(BD!$AF$44:$AZ$44,MATCH($A$239,BD!$AF$22:$AZ$22,0))),"")</f>
        <v/>
      </c>
      <c r="E260" s="249"/>
      <c r="F260" s="250" t="str">
        <f>IF(F$3="","",IF(COUNTIFS(BD!$A$3:$A$5001,F$3,BD!$B$3:$B$5001,$A$239,BD!$W$3:$W$5001,"&lt;&gt;")=0,"",SUMIFS(BD!$W$3:$W$5001,BD!$A$3:$A$5001,F$3,BD!$B$3:$B$5001,$A$239)))</f>
        <v/>
      </c>
      <c r="G260" s="251" t="str">
        <f>IF(G$3="","",IF(COUNTIFS(BD!$A$3:$A$5001,G$3,BD!$B$3:$B$5001,$A$239,BD!$W$3:$W$5001,"&lt;&gt;")=0,"",SUMIFS(BD!$W$3:$W$5001,BD!$A$3:$A$5001,G$3,BD!$B$3:$B$5001,$A$239)))</f>
        <v/>
      </c>
      <c r="H260" s="251" t="str">
        <f>IF(H$3="","",IF(COUNTIFS(BD!$A$3:$A$5001,H$3,BD!$B$3:$B$5001,$A$239,BD!$W$3:$W$5001,"&lt;&gt;")=0,"",SUMIFS(BD!$W$3:$W$5001,BD!$A$3:$A$5001,H$3,BD!$B$3:$B$5001,$A$239)))</f>
        <v/>
      </c>
      <c r="I260" s="251" t="str">
        <f>IF(I$3="","",IF(COUNTIFS(BD!$A$3:$A$5001,I$3,BD!$B$3:$B$5001,$A$239,BD!$W$3:$W$5001,"&lt;&gt;")=0,"",SUMIFS(BD!$W$3:$W$5001,BD!$A$3:$A$5001,I$3,BD!$B$3:$B$5001,$A$239)))</f>
        <v/>
      </c>
      <c r="J260" s="251" t="str">
        <f>IF(J$3="","",IF(COUNTIFS(BD!$A$3:$A$5001,J$3,BD!$B$3:$B$5001,$A$239,BD!$W$3:$W$5001,"&lt;&gt;")=0,"",SUMIFS(BD!$W$3:$W$5001,BD!$A$3:$A$5001,J$3,BD!$B$3:$B$5001,$A$239)))</f>
        <v/>
      </c>
      <c r="K260" s="251" t="str">
        <f>IF(K$3="","",IF(COUNTIFS(BD!$A$3:$A$5001,K$3,BD!$B$3:$B$5001,$A$239,BD!$W$3:$W$5001,"&lt;&gt;")=0,"",SUMIFS(BD!$W$3:$W$5001,BD!$A$3:$A$5001,K$3,BD!$B$3:$B$5001,$A$239)))</f>
        <v/>
      </c>
      <c r="L260" s="251" t="str">
        <f>IF(L$3="","",IF(COUNTIFS(BD!$A$3:$A$5001,L$3,BD!$B$3:$B$5001,$A$239,BD!$W$3:$W$5001,"&lt;&gt;")=0,"",SUMIFS(BD!$W$3:$W$5001,BD!$A$3:$A$5001,L$3,BD!$B$3:$B$5001,$A$239)))</f>
        <v/>
      </c>
      <c r="M260" s="251" t="str">
        <f>IF(M$3="","",IF(COUNTIFS(BD!$A$3:$A$5001,M$3,BD!$B$3:$B$5001,$A$239,BD!$W$3:$W$5001,"&lt;&gt;")=0,"",SUMIFS(BD!$W$3:$W$5001,BD!$A$3:$A$5001,M$3,BD!$B$3:$B$5001,$A$239)))</f>
        <v/>
      </c>
      <c r="N260" s="251" t="str">
        <f>IF(N$3="","",IF(COUNTIFS(BD!$A$3:$A$5001,N$3,BD!$B$3:$B$5001,$A$239,BD!$W$3:$W$5001,"&lt;&gt;")=0,"",SUMIFS(BD!$W$3:$W$5001,BD!$A$3:$A$5001,N$3,BD!$B$3:$B$5001,$A$239)))</f>
        <v/>
      </c>
      <c r="O260" s="251" t="str">
        <f>IF(O$3="","",IF(COUNTIFS(BD!$A$3:$A$5001,O$3,BD!$B$3:$B$5001,$A$239,BD!$W$3:$W$5001,"&lt;&gt;")=0,"",SUMIFS(BD!$W$3:$W$5001,BD!$A$3:$A$5001,O$3,BD!$B$3:$B$5001,$A$239)))</f>
        <v/>
      </c>
      <c r="P260" s="251" t="str">
        <f>IF(P$3="","",IF(COUNTIFS(BD!$A$3:$A$5001,P$3,BD!$B$3:$B$5001,$A$239,BD!$W$3:$W$5001,"&lt;&gt;")=0,"",SUMIFS(BD!$W$3:$W$5001,BD!$A$3:$A$5001,P$3,BD!$B$3:$B$5001,$A$239)))</f>
        <v/>
      </c>
      <c r="Q260" s="251" t="str">
        <f>IF(Q$3="","",IF(COUNTIFS(BD!$A$3:$A$5001,Q$3,BD!$B$3:$B$5001,$A$239,BD!$W$3:$W$5001,"&lt;&gt;")=0,"",SUMIFS(BD!$W$3:$W$5001,BD!$A$3:$A$5001,Q$3,BD!$B$3:$B$5001,$A$239)))</f>
        <v/>
      </c>
      <c r="R260" s="251" t="str">
        <f>IF(R$3="","",IF(COUNTIFS(BD!$A$3:$A$5001,R$3,BD!$B$3:$B$5001,$A$239,BD!$W$3:$W$5001,"&lt;&gt;")=0,"",SUMIFS(BD!$W$3:$W$5001,BD!$A$3:$A$5001,R$3,BD!$B$3:$B$5001,$A$239)))</f>
        <v/>
      </c>
      <c r="S260" s="251" t="str">
        <f>IF(S$3="","",IF(COUNTIFS(BD!$A$3:$A$5001,S$3,BD!$B$3:$B$5001,$A$239,BD!$W$3:$W$5001,"&lt;&gt;")=0,"",SUMIFS(BD!$W$3:$W$5001,BD!$A$3:$A$5001,S$3,BD!$B$3:$B$5001,$A$239)))</f>
        <v/>
      </c>
      <c r="T260" s="251" t="str">
        <f>IF(T$3="","",IF(COUNTIFS(BD!$A$3:$A$5001,T$3,BD!$B$3:$B$5001,$A$239,BD!$W$3:$W$5001,"&lt;&gt;")=0,"",SUMIFS(BD!$W$3:$W$5001,BD!$A$3:$A$5001,T$3,BD!$B$3:$B$5001,$A$239)))</f>
        <v/>
      </c>
      <c r="U260" s="251" t="str">
        <f>IF(U$3="","",IF(COUNTIFS(BD!$A$3:$A$5001,U$3,BD!$B$3:$B$5001,$A$239,BD!$W$3:$W$5001,"&lt;&gt;")=0,"",SUMIFS(BD!$W$3:$W$5001,BD!$A$3:$A$5001,U$3,BD!$B$3:$B$5001,$A$239)))</f>
        <v/>
      </c>
      <c r="V260" s="251" t="str">
        <f>IF(V$3="","",IF(COUNTIFS(BD!$A$3:$A$5001,V$3,BD!$B$3:$B$5001,$A$239,BD!$W$3:$W$5001,"&lt;&gt;")=0,"",SUMIFS(BD!$W$3:$W$5001,BD!$A$3:$A$5001,V$3,BD!$B$3:$B$5001,$A$239)))</f>
        <v/>
      </c>
      <c r="W260" s="251" t="str">
        <f>IF(W$3="","",IF(COUNTIFS(BD!$A$3:$A$5001,W$3,BD!$B$3:$B$5001,$A$239,BD!$W$3:$W$5001,"&lt;&gt;")=0,"",SUMIFS(BD!$W$3:$W$5001,BD!$A$3:$A$5001,W$3,BD!$B$3:$B$5001,$A$239)))</f>
        <v/>
      </c>
      <c r="X260" s="251" t="str">
        <f>IF(X$3="","",IF(COUNTIFS(BD!$A$3:$A$5001,X$3,BD!$B$3:$B$5001,$A$239,BD!$W$3:$W$5001,"&lt;&gt;")=0,"",SUMIFS(BD!$W$3:$W$5001,BD!$A$3:$A$5001,X$3,BD!$B$3:$B$5001,$A$239)))</f>
        <v/>
      </c>
      <c r="Y260" s="251" t="str">
        <f>IF(Y$3="","",IF(COUNTIFS(BD!$A$3:$A$5001,Y$3,BD!$B$3:$B$5001,$A$239,BD!$W$3:$W$5001,"&lt;&gt;")=0,"",SUMIFS(BD!$W$3:$W$5001,BD!$A$3:$A$5001,Y$3,BD!$B$3:$B$5001,$A$239)))</f>
        <v/>
      </c>
      <c r="Z260" s="251" t="str">
        <f>IF(Z$3="","",IF(COUNTIFS(BD!$A$3:$A$5001,Z$3,BD!$B$3:$B$5001,$A$239,BD!$W$3:$W$5001,"&lt;&gt;")=0,"",SUMIFS(BD!$W$3:$W$5001,BD!$A$3:$A$5001,Z$3,BD!$B$3:$B$5001,$A$239)))</f>
        <v/>
      </c>
      <c r="AA260" s="251" t="str">
        <f>IF(AA$3="","",IF(COUNTIFS(BD!$A$3:$A$5001,AA$3,BD!$B$3:$B$5001,$A$239,BD!$W$3:$W$5001,"&lt;&gt;")=0,"",SUMIFS(BD!$W$3:$W$5001,BD!$A$3:$A$5001,AA$3,BD!$B$3:$B$5001,$A$239)))</f>
        <v/>
      </c>
      <c r="AB260" s="251" t="str">
        <f>IF(AB$3="","",IF(COUNTIFS(BD!$A$3:$A$5001,AB$3,BD!$B$3:$B$5001,$A$239,BD!$W$3:$W$5001,"&lt;&gt;")=0,"",SUMIFS(BD!$W$3:$W$5001,BD!$A$3:$A$5001,AB$3,BD!$B$3:$B$5001,$A$239)))</f>
        <v/>
      </c>
      <c r="AC260" s="251" t="str">
        <f>IF(AC$3="","",IF(COUNTIFS(BD!$A$3:$A$5001,AC$3,BD!$B$3:$B$5001,$A$239,BD!$W$3:$W$5001,"&lt;&gt;")=0,"",SUMIFS(BD!$W$3:$W$5001,BD!$A$3:$A$5001,AC$3,BD!$B$3:$B$5001,$A$239)))</f>
        <v/>
      </c>
      <c r="AD260" s="251" t="str">
        <f>IF(AD$3="","",IF(COUNTIFS(BD!$A$3:$A$5001,AD$3,BD!$B$3:$B$5001,$A$239,BD!$W$3:$W$5001,"&lt;&gt;")=0,"",SUMIFS(BD!$W$3:$W$5001,BD!$A$3:$A$5001,AD$3,BD!$B$3:$B$5001,$A$239)))</f>
        <v/>
      </c>
      <c r="AE260" s="251" t="str">
        <f>IF(AE$3="","",IF(COUNTIFS(BD!$A$3:$A$5001,AE$3,BD!$B$3:$B$5001,$A$239,BD!$W$3:$W$5001,"&lt;&gt;")=0,"",SUMIFS(BD!$W$3:$W$5001,BD!$A$3:$A$5001,AE$3,BD!$B$3:$B$5001,$A$239)))</f>
        <v/>
      </c>
      <c r="AF260" s="251" t="str">
        <f>IF(AF$3="","",IF(COUNTIFS(BD!$A$3:$A$5001,AF$3,BD!$B$3:$B$5001,$A$239,BD!$W$3:$W$5001,"&lt;&gt;")=0,"",SUMIFS(BD!$W$3:$W$5001,BD!$A$3:$A$5001,AF$3,BD!$B$3:$B$5001,$A$239)))</f>
        <v/>
      </c>
      <c r="AG260" s="251" t="str">
        <f>IF(AG$3="","",IF(COUNTIFS(BD!$A$3:$A$5001,AG$3,BD!$B$3:$B$5001,$A$239,BD!$W$3:$W$5001,"&lt;&gt;")=0,"",SUMIFS(BD!$W$3:$W$5001,BD!$A$3:$A$5001,AG$3,BD!$B$3:$B$5001,$A$239)))</f>
        <v/>
      </c>
      <c r="AH260" s="251" t="str">
        <f>IF(AH$3="","",IF(COUNTIFS(BD!$A$3:$A$5001,AH$3,BD!$B$3:$B$5001,$A$239,BD!$W$3:$W$5001,"&lt;&gt;")=0,"",SUMIFS(BD!$W$3:$W$5001,BD!$A$3:$A$5001,AH$3,BD!$B$3:$B$5001,$A$239)))</f>
        <v/>
      </c>
      <c r="AI260" s="251" t="str">
        <f>IF(AI$3="","",IF(COUNTIFS(BD!$A$3:$A$5001,AI$3,BD!$B$3:$B$5001,$A$239,BD!$W$3:$W$5001,"&lt;&gt;")=0,"",SUMIFS(BD!$W$3:$W$5001,BD!$A$3:$A$5001,AI$3,BD!$B$3:$B$5001,$A$239)))</f>
        <v/>
      </c>
      <c r="AJ260" s="252" t="str">
        <f>IF(AJ$3="","",IF(COUNTIFS(BD!$A$3:$A$5001,AJ$3,BD!$B$3:$B$5001,$A$239,BD!$W$3:$W$5001,"&lt;&gt;")=0,"",SUMIFS(BD!$W$3:$W$5001,BD!$A$3:$A$5001,AJ$3,BD!$B$3:$B$5001,$A$239)))</f>
        <v/>
      </c>
      <c r="AK260" s="253" t="str">
        <f>IF(COUNT(F260:AJ260)=0,"",SUM(F260:AJ260))</f>
        <v/>
      </c>
    </row>
    <row r="261" ht="15.75" customHeight="1" hidden="1">
      <c r="A261" s="277"/>
      <c r="B261" s="274"/>
      <c r="C261" s="247" t="inlineStr">
        <is>
          <t xml:space="preserve">Férias</t>
        </is>
      </c>
      <c r="D261" s="248" t="str">
        <f>IFERROR(1/(1/INDEX(BD!$AF$45:$AZ$45,MATCH($A$239,BD!$AF$22:$AZ$22,0))),"")</f>
        <v/>
      </c>
      <c r="E261" s="249"/>
      <c r="F261" s="250" t="str">
        <f>IF(F$3="","",IF(COUNTIFS(BD!$A$3:$A$5001,F$3,BD!$B$3:$B$5001,$A$239,BD!$X$3:$X$5001,"&lt;&gt;")=0,"",SUMIFS(BD!$X$3:$X$5001,BD!$A$3:$A$5001,F$3,BD!$B$3:$B$5001,$A$239)))</f>
        <v/>
      </c>
      <c r="G261" s="251" t="str">
        <f>IF(G$3="","",IF(COUNTIFS(BD!$A$3:$A$5001,G$3,BD!$B$3:$B$5001,$A$239,BD!$X$3:$X$5001,"&lt;&gt;")=0,"",SUMIFS(BD!$X$3:$X$5001,BD!$A$3:$A$5001,G$3,BD!$B$3:$B$5001,$A$239)))</f>
        <v/>
      </c>
      <c r="H261" s="251" t="str">
        <f>IF(H$3="","",IF(COUNTIFS(BD!$A$3:$A$5001,H$3,BD!$B$3:$B$5001,$A$239,BD!$X$3:$X$5001,"&lt;&gt;")=0,"",SUMIFS(BD!$X$3:$X$5001,BD!$A$3:$A$5001,H$3,BD!$B$3:$B$5001,$A$239)))</f>
        <v/>
      </c>
      <c r="I261" s="251" t="str">
        <f>IF(I$3="","",IF(COUNTIFS(BD!$A$3:$A$5001,I$3,BD!$B$3:$B$5001,$A$239,BD!$X$3:$X$5001,"&lt;&gt;")=0,"",SUMIFS(BD!$X$3:$X$5001,BD!$A$3:$A$5001,I$3,BD!$B$3:$B$5001,$A$239)))</f>
        <v/>
      </c>
      <c r="J261" s="251" t="str">
        <f>IF(J$3="","",IF(COUNTIFS(BD!$A$3:$A$5001,J$3,BD!$B$3:$B$5001,$A$239,BD!$X$3:$X$5001,"&lt;&gt;")=0,"",SUMIFS(BD!$X$3:$X$5001,BD!$A$3:$A$5001,J$3,BD!$B$3:$B$5001,$A$239)))</f>
        <v/>
      </c>
      <c r="K261" s="251" t="str">
        <f>IF(K$3="","",IF(COUNTIFS(BD!$A$3:$A$5001,K$3,BD!$B$3:$B$5001,$A$239,BD!$X$3:$X$5001,"&lt;&gt;")=0,"",SUMIFS(BD!$X$3:$X$5001,BD!$A$3:$A$5001,K$3,BD!$B$3:$B$5001,$A$239)))</f>
        <v/>
      </c>
      <c r="L261" s="251" t="str">
        <f>IF(L$3="","",IF(COUNTIFS(BD!$A$3:$A$5001,L$3,BD!$B$3:$B$5001,$A$239,BD!$X$3:$X$5001,"&lt;&gt;")=0,"",SUMIFS(BD!$X$3:$X$5001,BD!$A$3:$A$5001,L$3,BD!$B$3:$B$5001,$A$239)))</f>
        <v/>
      </c>
      <c r="M261" s="251" t="str">
        <f>IF(M$3="","",IF(COUNTIFS(BD!$A$3:$A$5001,M$3,BD!$B$3:$B$5001,$A$239,BD!$X$3:$X$5001,"&lt;&gt;")=0,"",SUMIFS(BD!$X$3:$X$5001,BD!$A$3:$A$5001,M$3,BD!$B$3:$B$5001,$A$239)))</f>
        <v/>
      </c>
      <c r="N261" s="251" t="str">
        <f>IF(N$3="","",IF(COUNTIFS(BD!$A$3:$A$5001,N$3,BD!$B$3:$B$5001,$A$239,BD!$X$3:$X$5001,"&lt;&gt;")=0,"",SUMIFS(BD!$X$3:$X$5001,BD!$A$3:$A$5001,N$3,BD!$B$3:$B$5001,$A$239)))</f>
        <v/>
      </c>
      <c r="O261" s="251" t="str">
        <f>IF(O$3="","",IF(COUNTIFS(BD!$A$3:$A$5001,O$3,BD!$B$3:$B$5001,$A$239,BD!$X$3:$X$5001,"&lt;&gt;")=0,"",SUMIFS(BD!$X$3:$X$5001,BD!$A$3:$A$5001,O$3,BD!$B$3:$B$5001,$A$239)))</f>
        <v/>
      </c>
      <c r="P261" s="251" t="str">
        <f>IF(P$3="","",IF(COUNTIFS(BD!$A$3:$A$5001,P$3,BD!$B$3:$B$5001,$A$239,BD!$X$3:$X$5001,"&lt;&gt;")=0,"",SUMIFS(BD!$X$3:$X$5001,BD!$A$3:$A$5001,P$3,BD!$B$3:$B$5001,$A$239)))</f>
        <v/>
      </c>
      <c r="Q261" s="251" t="str">
        <f>IF(Q$3="","",IF(COUNTIFS(BD!$A$3:$A$5001,Q$3,BD!$B$3:$B$5001,$A$239,BD!$X$3:$X$5001,"&lt;&gt;")=0,"",SUMIFS(BD!$X$3:$X$5001,BD!$A$3:$A$5001,Q$3,BD!$B$3:$B$5001,$A$239)))</f>
        <v/>
      </c>
      <c r="R261" s="251" t="str">
        <f>IF(R$3="","",IF(COUNTIFS(BD!$A$3:$A$5001,R$3,BD!$B$3:$B$5001,$A$239,BD!$X$3:$X$5001,"&lt;&gt;")=0,"",SUMIFS(BD!$X$3:$X$5001,BD!$A$3:$A$5001,R$3,BD!$B$3:$B$5001,$A$239)))</f>
        <v/>
      </c>
      <c r="S261" s="251" t="str">
        <f>IF(S$3="","",IF(COUNTIFS(BD!$A$3:$A$5001,S$3,BD!$B$3:$B$5001,$A$239,BD!$X$3:$X$5001,"&lt;&gt;")=0,"",SUMIFS(BD!$X$3:$X$5001,BD!$A$3:$A$5001,S$3,BD!$B$3:$B$5001,$A$239)))</f>
        <v/>
      </c>
      <c r="T261" s="251" t="str">
        <f>IF(T$3="","",IF(COUNTIFS(BD!$A$3:$A$5001,T$3,BD!$B$3:$B$5001,$A$239,BD!$X$3:$X$5001,"&lt;&gt;")=0,"",SUMIFS(BD!$X$3:$X$5001,BD!$A$3:$A$5001,T$3,BD!$B$3:$B$5001,$A$239)))</f>
        <v/>
      </c>
      <c r="U261" s="251" t="str">
        <f>IF(U$3="","",IF(COUNTIFS(BD!$A$3:$A$5001,U$3,BD!$B$3:$B$5001,$A$239,BD!$X$3:$X$5001,"&lt;&gt;")=0,"",SUMIFS(BD!$X$3:$X$5001,BD!$A$3:$A$5001,U$3,BD!$B$3:$B$5001,$A$239)))</f>
        <v/>
      </c>
      <c r="V261" s="251" t="str">
        <f>IF(V$3="","",IF(COUNTIFS(BD!$A$3:$A$5001,V$3,BD!$B$3:$B$5001,$A$239,BD!$X$3:$X$5001,"&lt;&gt;")=0,"",SUMIFS(BD!$X$3:$X$5001,BD!$A$3:$A$5001,V$3,BD!$B$3:$B$5001,$A$239)))</f>
        <v/>
      </c>
      <c r="W261" s="251" t="str">
        <f>IF(W$3="","",IF(COUNTIFS(BD!$A$3:$A$5001,W$3,BD!$B$3:$B$5001,$A$239,BD!$X$3:$X$5001,"&lt;&gt;")=0,"",SUMIFS(BD!$X$3:$X$5001,BD!$A$3:$A$5001,W$3,BD!$B$3:$B$5001,$A$239)))</f>
        <v/>
      </c>
      <c r="X261" s="251" t="str">
        <f>IF(X$3="","",IF(COUNTIFS(BD!$A$3:$A$5001,X$3,BD!$B$3:$B$5001,$A$239,BD!$X$3:$X$5001,"&lt;&gt;")=0,"",SUMIFS(BD!$X$3:$X$5001,BD!$A$3:$A$5001,X$3,BD!$B$3:$B$5001,$A$239)))</f>
        <v/>
      </c>
      <c r="Y261" s="251" t="str">
        <f>IF(Y$3="","",IF(COUNTIFS(BD!$A$3:$A$5001,Y$3,BD!$B$3:$B$5001,$A$239,BD!$X$3:$X$5001,"&lt;&gt;")=0,"",SUMIFS(BD!$X$3:$X$5001,BD!$A$3:$A$5001,Y$3,BD!$B$3:$B$5001,$A$239)))</f>
        <v/>
      </c>
      <c r="Z261" s="251" t="str">
        <f>IF(Z$3="","",IF(COUNTIFS(BD!$A$3:$A$5001,Z$3,BD!$B$3:$B$5001,$A$239,BD!$X$3:$X$5001,"&lt;&gt;")=0,"",SUMIFS(BD!$X$3:$X$5001,BD!$A$3:$A$5001,Z$3,BD!$B$3:$B$5001,$A$239)))</f>
        <v/>
      </c>
      <c r="AA261" s="251" t="str">
        <f>IF(AA$3="","",IF(COUNTIFS(BD!$A$3:$A$5001,AA$3,BD!$B$3:$B$5001,$A$239,BD!$X$3:$X$5001,"&lt;&gt;")=0,"",SUMIFS(BD!$X$3:$X$5001,BD!$A$3:$A$5001,AA$3,BD!$B$3:$B$5001,$A$239)))</f>
        <v/>
      </c>
      <c r="AB261" s="251" t="str">
        <f>IF(AB$3="","",IF(COUNTIFS(BD!$A$3:$A$5001,AB$3,BD!$B$3:$B$5001,$A$239,BD!$X$3:$X$5001,"&lt;&gt;")=0,"",SUMIFS(BD!$X$3:$X$5001,BD!$A$3:$A$5001,AB$3,BD!$B$3:$B$5001,$A$239)))</f>
        <v/>
      </c>
      <c r="AC261" s="251" t="str">
        <f>IF(AC$3="","",IF(COUNTIFS(BD!$A$3:$A$5001,AC$3,BD!$B$3:$B$5001,$A$239,BD!$X$3:$X$5001,"&lt;&gt;")=0,"",SUMIFS(BD!$X$3:$X$5001,BD!$A$3:$A$5001,AC$3,BD!$B$3:$B$5001,$A$239)))</f>
        <v/>
      </c>
      <c r="AD261" s="251" t="str">
        <f>IF(AD$3="","",IF(COUNTIFS(BD!$A$3:$A$5001,AD$3,BD!$B$3:$B$5001,$A$239,BD!$X$3:$X$5001,"&lt;&gt;")=0,"",SUMIFS(BD!$X$3:$X$5001,BD!$A$3:$A$5001,AD$3,BD!$B$3:$B$5001,$A$239)))</f>
        <v/>
      </c>
      <c r="AE261" s="251" t="str">
        <f>IF(AE$3="","",IF(COUNTIFS(BD!$A$3:$A$5001,AE$3,BD!$B$3:$B$5001,$A$239,BD!$X$3:$X$5001,"&lt;&gt;")=0,"",SUMIFS(BD!$X$3:$X$5001,BD!$A$3:$A$5001,AE$3,BD!$B$3:$B$5001,$A$239)))</f>
        <v/>
      </c>
      <c r="AF261" s="251" t="str">
        <f>IF(AF$3="","",IF(COUNTIFS(BD!$A$3:$A$5001,AF$3,BD!$B$3:$B$5001,$A$239,BD!$X$3:$X$5001,"&lt;&gt;")=0,"",SUMIFS(BD!$X$3:$X$5001,BD!$A$3:$A$5001,AF$3,BD!$B$3:$B$5001,$A$239)))</f>
        <v/>
      </c>
      <c r="AG261" s="251" t="str">
        <f>IF(AG$3="","",IF(COUNTIFS(BD!$A$3:$A$5001,AG$3,BD!$B$3:$B$5001,$A$239,BD!$X$3:$X$5001,"&lt;&gt;")=0,"",SUMIFS(BD!$X$3:$X$5001,BD!$A$3:$A$5001,AG$3,BD!$B$3:$B$5001,$A$239)))</f>
        <v/>
      </c>
      <c r="AH261" s="251" t="str">
        <f>IF(AH$3="","",IF(COUNTIFS(BD!$A$3:$A$5001,AH$3,BD!$B$3:$B$5001,$A$239,BD!$X$3:$X$5001,"&lt;&gt;")=0,"",SUMIFS(BD!$X$3:$X$5001,BD!$A$3:$A$5001,AH$3,BD!$B$3:$B$5001,$A$239)))</f>
        <v/>
      </c>
      <c r="AI261" s="251" t="str">
        <f>IF(AI$3="","",IF(COUNTIFS(BD!$A$3:$A$5001,AI$3,BD!$B$3:$B$5001,$A$239,BD!$X$3:$X$5001,"&lt;&gt;")=0,"",SUMIFS(BD!$X$3:$X$5001,BD!$A$3:$A$5001,AI$3,BD!$B$3:$B$5001,$A$239)))</f>
        <v/>
      </c>
      <c r="AJ261" s="252" t="str">
        <f>IF(AJ$3="","",IF(COUNTIFS(BD!$A$3:$A$5001,AJ$3,BD!$B$3:$B$5001,$A$239,BD!$X$3:$X$5001,"&lt;&gt;")=0,"",SUMIFS(BD!$X$3:$X$5001,BD!$A$3:$A$5001,AJ$3,BD!$B$3:$B$5001,$A$239)))</f>
        <v/>
      </c>
      <c r="AK261" s="253" t="str">
        <f>IF(COUNT(F261:AJ261)=0,"",SUM(F261:AJ261))</f>
        <v/>
      </c>
    </row>
    <row r="262" ht="15.75" customHeight="1" hidden="1">
      <c r="A262" s="277"/>
      <c r="B262" s="274"/>
      <c r="C262" s="247" t="inlineStr">
        <is>
          <t xml:space="preserve">Desligamento</t>
        </is>
      </c>
      <c r="D262" s="248" t="str">
        <f>IFERROR(1/(1/INDEX(BD!$AF$46:$AZ$46,MATCH($A$239,BD!$AF$22:$AZ$22,0))),"")</f>
        <v/>
      </c>
      <c r="E262" s="249"/>
      <c r="F262" s="250" t="str">
        <f>IF(F$3="","",IF(COUNTIFS(BD!$A$3:$A$5001,F$3,BD!$B$3:$B$5001,$A$239,BD!$Y$3:$Y$5001,"&lt;&gt;")=0,"",SUMIFS(BD!$Y$3:$Y$5001,BD!$A$3:$A$5001,F$3,BD!$B$3:$B$5001,$A$239)))</f>
        <v/>
      </c>
      <c r="G262" s="251" t="str">
        <f>IF(G$3="","",IF(COUNTIFS(BD!$A$3:$A$5001,G$3,BD!$B$3:$B$5001,$A$239,BD!$Y$3:$Y$5001,"&lt;&gt;")=0,"",SUMIFS(BD!$Y$3:$Y$5001,BD!$A$3:$A$5001,G$3,BD!$B$3:$B$5001,$A$239)))</f>
        <v/>
      </c>
      <c r="H262" s="251" t="str">
        <f>IF(H$3="","",IF(COUNTIFS(BD!$A$3:$A$5001,H$3,BD!$B$3:$B$5001,$A$239,BD!$Y$3:$Y$5001,"&lt;&gt;")=0,"",SUMIFS(BD!$Y$3:$Y$5001,BD!$A$3:$A$5001,H$3,BD!$B$3:$B$5001,$A$239)))</f>
        <v/>
      </c>
      <c r="I262" s="251" t="str">
        <f>IF(I$3="","",IF(COUNTIFS(BD!$A$3:$A$5001,I$3,BD!$B$3:$B$5001,$A$239,BD!$Y$3:$Y$5001,"&lt;&gt;")=0,"",SUMIFS(BD!$Y$3:$Y$5001,BD!$A$3:$A$5001,I$3,BD!$B$3:$B$5001,$A$239)))</f>
        <v/>
      </c>
      <c r="J262" s="251" t="str">
        <f>IF(J$3="","",IF(COUNTIFS(BD!$A$3:$A$5001,J$3,BD!$B$3:$B$5001,$A$239,BD!$Y$3:$Y$5001,"&lt;&gt;")=0,"",SUMIFS(BD!$Y$3:$Y$5001,BD!$A$3:$A$5001,J$3,BD!$B$3:$B$5001,$A$239)))</f>
        <v/>
      </c>
      <c r="K262" s="251" t="str">
        <f>IF(K$3="","",IF(COUNTIFS(BD!$A$3:$A$5001,K$3,BD!$B$3:$B$5001,$A$239,BD!$Y$3:$Y$5001,"&lt;&gt;")=0,"",SUMIFS(BD!$Y$3:$Y$5001,BD!$A$3:$A$5001,K$3,BD!$B$3:$B$5001,$A$239)))</f>
        <v/>
      </c>
      <c r="L262" s="251" t="str">
        <f>IF(L$3="","",IF(COUNTIFS(BD!$A$3:$A$5001,L$3,BD!$B$3:$B$5001,$A$239,BD!$Y$3:$Y$5001,"&lt;&gt;")=0,"",SUMIFS(BD!$Y$3:$Y$5001,BD!$A$3:$A$5001,L$3,BD!$B$3:$B$5001,$A$239)))</f>
        <v/>
      </c>
      <c r="M262" s="251" t="str">
        <f>IF(M$3="","",IF(COUNTIFS(BD!$A$3:$A$5001,M$3,BD!$B$3:$B$5001,$A$239,BD!$Y$3:$Y$5001,"&lt;&gt;")=0,"",SUMIFS(BD!$Y$3:$Y$5001,BD!$A$3:$A$5001,M$3,BD!$B$3:$B$5001,$A$239)))</f>
        <v/>
      </c>
      <c r="N262" s="251" t="str">
        <f>IF(N$3="","",IF(COUNTIFS(BD!$A$3:$A$5001,N$3,BD!$B$3:$B$5001,$A$239,BD!$Y$3:$Y$5001,"&lt;&gt;")=0,"",SUMIFS(BD!$Y$3:$Y$5001,BD!$A$3:$A$5001,N$3,BD!$B$3:$B$5001,$A$239)))</f>
        <v/>
      </c>
      <c r="O262" s="251" t="str">
        <f>IF(O$3="","",IF(COUNTIFS(BD!$A$3:$A$5001,O$3,BD!$B$3:$B$5001,$A$239,BD!$Y$3:$Y$5001,"&lt;&gt;")=0,"",SUMIFS(BD!$Y$3:$Y$5001,BD!$A$3:$A$5001,O$3,BD!$B$3:$B$5001,$A$239)))</f>
        <v/>
      </c>
      <c r="P262" s="251" t="str">
        <f>IF(P$3="","",IF(COUNTIFS(BD!$A$3:$A$5001,P$3,BD!$B$3:$B$5001,$A$239,BD!$Y$3:$Y$5001,"&lt;&gt;")=0,"",SUMIFS(BD!$Y$3:$Y$5001,BD!$A$3:$A$5001,P$3,BD!$B$3:$B$5001,$A$239)))</f>
        <v/>
      </c>
      <c r="Q262" s="251" t="str">
        <f>IF(Q$3="","",IF(COUNTIFS(BD!$A$3:$A$5001,Q$3,BD!$B$3:$B$5001,$A$239,BD!$Y$3:$Y$5001,"&lt;&gt;")=0,"",SUMIFS(BD!$Y$3:$Y$5001,BD!$A$3:$A$5001,Q$3,BD!$B$3:$B$5001,$A$239)))</f>
        <v/>
      </c>
      <c r="R262" s="251" t="str">
        <f>IF(R$3="","",IF(COUNTIFS(BD!$A$3:$A$5001,R$3,BD!$B$3:$B$5001,$A$239,BD!$Y$3:$Y$5001,"&lt;&gt;")=0,"",SUMIFS(BD!$Y$3:$Y$5001,BD!$A$3:$A$5001,R$3,BD!$B$3:$B$5001,$A$239)))</f>
        <v/>
      </c>
      <c r="S262" s="251" t="str">
        <f>IF(S$3="","",IF(COUNTIFS(BD!$A$3:$A$5001,S$3,BD!$B$3:$B$5001,$A$239,BD!$Y$3:$Y$5001,"&lt;&gt;")=0,"",SUMIFS(BD!$Y$3:$Y$5001,BD!$A$3:$A$5001,S$3,BD!$B$3:$B$5001,$A$239)))</f>
        <v/>
      </c>
      <c r="T262" s="251" t="str">
        <f>IF(T$3="","",IF(COUNTIFS(BD!$A$3:$A$5001,T$3,BD!$B$3:$B$5001,$A$239,BD!$Y$3:$Y$5001,"&lt;&gt;")=0,"",SUMIFS(BD!$Y$3:$Y$5001,BD!$A$3:$A$5001,T$3,BD!$B$3:$B$5001,$A$239)))</f>
        <v/>
      </c>
      <c r="U262" s="251" t="str">
        <f>IF(U$3="","",IF(COUNTIFS(BD!$A$3:$A$5001,U$3,BD!$B$3:$B$5001,$A$239,BD!$Y$3:$Y$5001,"&lt;&gt;")=0,"",SUMIFS(BD!$Y$3:$Y$5001,BD!$A$3:$A$5001,U$3,BD!$B$3:$B$5001,$A$239)))</f>
        <v/>
      </c>
      <c r="V262" s="251" t="str">
        <f>IF(V$3="","",IF(COUNTIFS(BD!$A$3:$A$5001,V$3,BD!$B$3:$B$5001,$A$239,BD!$Y$3:$Y$5001,"&lt;&gt;")=0,"",SUMIFS(BD!$Y$3:$Y$5001,BD!$A$3:$A$5001,V$3,BD!$B$3:$B$5001,$A$239)))</f>
        <v/>
      </c>
      <c r="W262" s="251" t="str">
        <f>IF(W$3="","",IF(COUNTIFS(BD!$A$3:$A$5001,W$3,BD!$B$3:$B$5001,$A$239,BD!$Y$3:$Y$5001,"&lt;&gt;")=0,"",SUMIFS(BD!$Y$3:$Y$5001,BD!$A$3:$A$5001,W$3,BD!$B$3:$B$5001,$A$239)))</f>
        <v/>
      </c>
      <c r="X262" s="251" t="str">
        <f>IF(X$3="","",IF(COUNTIFS(BD!$A$3:$A$5001,X$3,BD!$B$3:$B$5001,$A$239,BD!$Y$3:$Y$5001,"&lt;&gt;")=0,"",SUMIFS(BD!$Y$3:$Y$5001,BD!$A$3:$A$5001,X$3,BD!$B$3:$B$5001,$A$239)))</f>
        <v/>
      </c>
      <c r="Y262" s="251" t="str">
        <f>IF(Y$3="","",IF(COUNTIFS(BD!$A$3:$A$5001,Y$3,BD!$B$3:$B$5001,$A$239,BD!$Y$3:$Y$5001,"&lt;&gt;")=0,"",SUMIFS(BD!$Y$3:$Y$5001,BD!$A$3:$A$5001,Y$3,BD!$B$3:$B$5001,$A$239)))</f>
        <v/>
      </c>
      <c r="Z262" s="251" t="str">
        <f>IF(Z$3="","",IF(COUNTIFS(BD!$A$3:$A$5001,Z$3,BD!$B$3:$B$5001,$A$239,BD!$Y$3:$Y$5001,"&lt;&gt;")=0,"",SUMIFS(BD!$Y$3:$Y$5001,BD!$A$3:$A$5001,Z$3,BD!$B$3:$B$5001,$A$239)))</f>
        <v/>
      </c>
      <c r="AA262" s="251" t="str">
        <f>IF(AA$3="","",IF(COUNTIFS(BD!$A$3:$A$5001,AA$3,BD!$B$3:$B$5001,$A$239,BD!$Y$3:$Y$5001,"&lt;&gt;")=0,"",SUMIFS(BD!$Y$3:$Y$5001,BD!$A$3:$A$5001,AA$3,BD!$B$3:$B$5001,$A$239)))</f>
        <v/>
      </c>
      <c r="AB262" s="251" t="str">
        <f>IF(AB$3="","",IF(COUNTIFS(BD!$A$3:$A$5001,AB$3,BD!$B$3:$B$5001,$A$239,BD!$Y$3:$Y$5001,"&lt;&gt;")=0,"",SUMIFS(BD!$Y$3:$Y$5001,BD!$A$3:$A$5001,AB$3,BD!$B$3:$B$5001,$A$239)))</f>
        <v/>
      </c>
      <c r="AC262" s="251" t="str">
        <f>IF(AC$3="","",IF(COUNTIFS(BD!$A$3:$A$5001,AC$3,BD!$B$3:$B$5001,$A$239,BD!$Y$3:$Y$5001,"&lt;&gt;")=0,"",SUMIFS(BD!$Y$3:$Y$5001,BD!$A$3:$A$5001,AC$3,BD!$B$3:$B$5001,$A$239)))</f>
        <v/>
      </c>
      <c r="AD262" s="251" t="str">
        <f>IF(AD$3="","",IF(COUNTIFS(BD!$A$3:$A$5001,AD$3,BD!$B$3:$B$5001,$A$239,BD!$Y$3:$Y$5001,"&lt;&gt;")=0,"",SUMIFS(BD!$Y$3:$Y$5001,BD!$A$3:$A$5001,AD$3,BD!$B$3:$B$5001,$A$239)))</f>
        <v/>
      </c>
      <c r="AE262" s="251" t="str">
        <f>IF(AE$3="","",IF(COUNTIFS(BD!$A$3:$A$5001,AE$3,BD!$B$3:$B$5001,$A$239,BD!$Y$3:$Y$5001,"&lt;&gt;")=0,"",SUMIFS(BD!$Y$3:$Y$5001,BD!$A$3:$A$5001,AE$3,BD!$B$3:$B$5001,$A$239)))</f>
        <v/>
      </c>
      <c r="AF262" s="251" t="str">
        <f>IF(AF$3="","",IF(COUNTIFS(BD!$A$3:$A$5001,AF$3,BD!$B$3:$B$5001,$A$239,BD!$Y$3:$Y$5001,"&lt;&gt;")=0,"",SUMIFS(BD!$Y$3:$Y$5001,BD!$A$3:$A$5001,AF$3,BD!$B$3:$B$5001,$A$239)))</f>
        <v/>
      </c>
      <c r="AG262" s="251" t="str">
        <f>IF(AG$3="","",IF(COUNTIFS(BD!$A$3:$A$5001,AG$3,BD!$B$3:$B$5001,$A$239,BD!$Y$3:$Y$5001,"&lt;&gt;")=0,"",SUMIFS(BD!$Y$3:$Y$5001,BD!$A$3:$A$5001,AG$3,BD!$B$3:$B$5001,$A$239)))</f>
        <v/>
      </c>
      <c r="AH262" s="251" t="str">
        <f>IF(AH$3="","",IF(COUNTIFS(BD!$A$3:$A$5001,AH$3,BD!$B$3:$B$5001,$A$239,BD!$Y$3:$Y$5001,"&lt;&gt;")=0,"",SUMIFS(BD!$Y$3:$Y$5001,BD!$A$3:$A$5001,AH$3,BD!$B$3:$B$5001,$A$239)))</f>
        <v/>
      </c>
      <c r="AI262" s="251" t="str">
        <f>IF(AI$3="","",IF(COUNTIFS(BD!$A$3:$A$5001,AI$3,BD!$B$3:$B$5001,$A$239,BD!$Y$3:$Y$5001,"&lt;&gt;")=0,"",SUMIFS(BD!$Y$3:$Y$5001,BD!$A$3:$A$5001,AI$3,BD!$B$3:$B$5001,$A$239)))</f>
        <v/>
      </c>
      <c r="AJ262" s="252" t="str">
        <f>IF(AJ$3="","",IF(COUNTIFS(BD!$A$3:$A$5001,AJ$3,BD!$B$3:$B$5001,$A$239,BD!$Y$3:$Y$5001,"&lt;&gt;")=0,"",SUMIFS(BD!$Y$3:$Y$5001,BD!$A$3:$A$5001,AJ$3,BD!$B$3:$B$5001,$A$239)))</f>
        <v/>
      </c>
      <c r="AK262" s="253" t="str">
        <f>IF(COUNT(F262:AJ262)=0,"",SUM(F262:AJ262))</f>
        <v/>
      </c>
    </row>
    <row r="263" ht="15.75" customHeight="1" hidden="1">
      <c r="A263" s="277"/>
      <c r="B263" s="274"/>
      <c r="C263" s="247" t="inlineStr">
        <is>
          <t xml:space="preserve">Desvios Comportamentais</t>
        </is>
      </c>
      <c r="D263" s="248" t="str">
        <f>IFERROR(1/(1/INDEX(BD!$AF$47:$AZ$47,MATCH($A$239,BD!$AF$22:$AZ$22,0))),"")</f>
        <v/>
      </c>
      <c r="E263" s="249"/>
      <c r="F263" s="250" t="str">
        <f>IF(F$3="","",IF(COUNTIFS(BD!$A$3:$A$5001,F$3,BD!$B$3:$B$5001,$A$239,BD!$Z$3:$Z$5001,"&lt;&gt;")=0,"",SUMIFS(BD!$Z$3:$Z$5001,BD!$A$3:$A$5001,F$3,BD!$B$3:$B$5001,$A$239)))</f>
        <v/>
      </c>
      <c r="G263" s="251" t="str">
        <f>IF(G$3="","",IF(COUNTIFS(BD!$A$3:$A$5001,G$3,BD!$B$3:$B$5001,$A$239,BD!$Z$3:$Z$5001,"&lt;&gt;")=0,"",SUMIFS(BD!$Z$3:$Z$5001,BD!$A$3:$A$5001,G$3,BD!$B$3:$B$5001,$A$239)))</f>
        <v/>
      </c>
      <c r="H263" s="251" t="str">
        <f>IF(H$3="","",IF(COUNTIFS(BD!$A$3:$A$5001,H$3,BD!$B$3:$B$5001,$A$239,BD!$Z$3:$Z$5001,"&lt;&gt;")=0,"",SUMIFS(BD!$Z$3:$Z$5001,BD!$A$3:$A$5001,H$3,BD!$B$3:$B$5001,$A$239)))</f>
        <v/>
      </c>
      <c r="I263" s="251" t="str">
        <f>IF(I$3="","",IF(COUNTIFS(BD!$A$3:$A$5001,I$3,BD!$B$3:$B$5001,$A$239,BD!$Z$3:$Z$5001,"&lt;&gt;")=0,"",SUMIFS(BD!$Z$3:$Z$5001,BD!$A$3:$A$5001,I$3,BD!$B$3:$B$5001,$A$239)))</f>
        <v/>
      </c>
      <c r="J263" s="251" t="str">
        <f>IF(J$3="","",IF(COUNTIFS(BD!$A$3:$A$5001,J$3,BD!$B$3:$B$5001,$A$239,BD!$Z$3:$Z$5001,"&lt;&gt;")=0,"",SUMIFS(BD!$Z$3:$Z$5001,BD!$A$3:$A$5001,J$3,BD!$B$3:$B$5001,$A$239)))</f>
        <v/>
      </c>
      <c r="K263" s="251" t="str">
        <f>IF(K$3="","",IF(COUNTIFS(BD!$A$3:$A$5001,K$3,BD!$B$3:$B$5001,$A$239,BD!$Z$3:$Z$5001,"&lt;&gt;")=0,"",SUMIFS(BD!$Z$3:$Z$5001,BD!$A$3:$A$5001,K$3,BD!$B$3:$B$5001,$A$239)))</f>
        <v/>
      </c>
      <c r="L263" s="251" t="str">
        <f>IF(L$3="","",IF(COUNTIFS(BD!$A$3:$A$5001,L$3,BD!$B$3:$B$5001,$A$239,BD!$Z$3:$Z$5001,"&lt;&gt;")=0,"",SUMIFS(BD!$Z$3:$Z$5001,BD!$A$3:$A$5001,L$3,BD!$B$3:$B$5001,$A$239)))</f>
        <v/>
      </c>
      <c r="M263" s="251" t="str">
        <f>IF(M$3="","",IF(COUNTIFS(BD!$A$3:$A$5001,M$3,BD!$B$3:$B$5001,$A$239,BD!$Z$3:$Z$5001,"&lt;&gt;")=0,"",SUMIFS(BD!$Z$3:$Z$5001,BD!$A$3:$A$5001,M$3,BD!$B$3:$B$5001,$A$239)))</f>
        <v/>
      </c>
      <c r="N263" s="251" t="str">
        <f>IF(N$3="","",IF(COUNTIFS(BD!$A$3:$A$5001,N$3,BD!$B$3:$B$5001,$A$239,BD!$Z$3:$Z$5001,"&lt;&gt;")=0,"",SUMIFS(BD!$Z$3:$Z$5001,BD!$A$3:$A$5001,N$3,BD!$B$3:$B$5001,$A$239)))</f>
        <v/>
      </c>
      <c r="O263" s="251" t="str">
        <f>IF(O$3="","",IF(COUNTIFS(BD!$A$3:$A$5001,O$3,BD!$B$3:$B$5001,$A$239,BD!$Z$3:$Z$5001,"&lt;&gt;")=0,"",SUMIFS(BD!$Z$3:$Z$5001,BD!$A$3:$A$5001,O$3,BD!$B$3:$B$5001,$A$239)))</f>
        <v/>
      </c>
      <c r="P263" s="251" t="str">
        <f>IF(P$3="","",IF(COUNTIFS(BD!$A$3:$A$5001,P$3,BD!$B$3:$B$5001,$A$239,BD!$Z$3:$Z$5001,"&lt;&gt;")=0,"",SUMIFS(BD!$Z$3:$Z$5001,BD!$A$3:$A$5001,P$3,BD!$B$3:$B$5001,$A$239)))</f>
        <v/>
      </c>
      <c r="Q263" s="251" t="str">
        <f>IF(Q$3="","",IF(COUNTIFS(BD!$A$3:$A$5001,Q$3,BD!$B$3:$B$5001,$A$239,BD!$Z$3:$Z$5001,"&lt;&gt;")=0,"",SUMIFS(BD!$Z$3:$Z$5001,BD!$A$3:$A$5001,Q$3,BD!$B$3:$B$5001,$A$239)))</f>
        <v/>
      </c>
      <c r="R263" s="251" t="str">
        <f>IF(R$3="","",IF(COUNTIFS(BD!$A$3:$A$5001,R$3,BD!$B$3:$B$5001,$A$239,BD!$Z$3:$Z$5001,"&lt;&gt;")=0,"",SUMIFS(BD!$Z$3:$Z$5001,BD!$A$3:$A$5001,R$3,BD!$B$3:$B$5001,$A$239)))</f>
        <v/>
      </c>
      <c r="S263" s="251" t="str">
        <f>IF(S$3="","",IF(COUNTIFS(BD!$A$3:$A$5001,S$3,BD!$B$3:$B$5001,$A$239,BD!$Z$3:$Z$5001,"&lt;&gt;")=0,"",SUMIFS(BD!$Z$3:$Z$5001,BD!$A$3:$A$5001,S$3,BD!$B$3:$B$5001,$A$239)))</f>
        <v/>
      </c>
      <c r="T263" s="251" t="str">
        <f>IF(T$3="","",IF(COUNTIFS(BD!$A$3:$A$5001,T$3,BD!$B$3:$B$5001,$A$239,BD!$Z$3:$Z$5001,"&lt;&gt;")=0,"",SUMIFS(BD!$Z$3:$Z$5001,BD!$A$3:$A$5001,T$3,BD!$B$3:$B$5001,$A$239)))</f>
        <v/>
      </c>
      <c r="U263" s="251" t="str">
        <f>IF(U$3="","",IF(COUNTIFS(BD!$A$3:$A$5001,U$3,BD!$B$3:$B$5001,$A$239,BD!$Z$3:$Z$5001,"&lt;&gt;")=0,"",SUMIFS(BD!$Z$3:$Z$5001,BD!$A$3:$A$5001,U$3,BD!$B$3:$B$5001,$A$239)))</f>
        <v/>
      </c>
      <c r="V263" s="251" t="str">
        <f>IF(V$3="","",IF(COUNTIFS(BD!$A$3:$A$5001,V$3,BD!$B$3:$B$5001,$A$239,BD!$Z$3:$Z$5001,"&lt;&gt;")=0,"",SUMIFS(BD!$Z$3:$Z$5001,BD!$A$3:$A$5001,V$3,BD!$B$3:$B$5001,$A$239)))</f>
        <v/>
      </c>
      <c r="W263" s="251" t="str">
        <f>IF(W$3="","",IF(COUNTIFS(BD!$A$3:$A$5001,W$3,BD!$B$3:$B$5001,$A$239,BD!$Z$3:$Z$5001,"&lt;&gt;")=0,"",SUMIFS(BD!$Z$3:$Z$5001,BD!$A$3:$A$5001,W$3,BD!$B$3:$B$5001,$A$239)))</f>
        <v/>
      </c>
      <c r="X263" s="251" t="str">
        <f>IF(X$3="","",IF(COUNTIFS(BD!$A$3:$A$5001,X$3,BD!$B$3:$B$5001,$A$239,BD!$Z$3:$Z$5001,"&lt;&gt;")=0,"",SUMIFS(BD!$Z$3:$Z$5001,BD!$A$3:$A$5001,X$3,BD!$B$3:$B$5001,$A$239)))</f>
        <v/>
      </c>
      <c r="Y263" s="251" t="str">
        <f>IF(Y$3="","",IF(COUNTIFS(BD!$A$3:$A$5001,Y$3,BD!$B$3:$B$5001,$A$239,BD!$Z$3:$Z$5001,"&lt;&gt;")=0,"",SUMIFS(BD!$Z$3:$Z$5001,BD!$A$3:$A$5001,Y$3,BD!$B$3:$B$5001,$A$239)))</f>
        <v/>
      </c>
      <c r="Z263" s="251" t="str">
        <f>IF(Z$3="","",IF(COUNTIFS(BD!$A$3:$A$5001,Z$3,BD!$B$3:$B$5001,$A$239,BD!$Z$3:$Z$5001,"&lt;&gt;")=0,"",SUMIFS(BD!$Z$3:$Z$5001,BD!$A$3:$A$5001,Z$3,BD!$B$3:$B$5001,$A$239)))</f>
        <v/>
      </c>
      <c r="AA263" s="251" t="str">
        <f>IF(AA$3="","",IF(COUNTIFS(BD!$A$3:$A$5001,AA$3,BD!$B$3:$B$5001,$A$239,BD!$Z$3:$Z$5001,"&lt;&gt;")=0,"",SUMIFS(BD!$Z$3:$Z$5001,BD!$A$3:$A$5001,AA$3,BD!$B$3:$B$5001,$A$239)))</f>
        <v/>
      </c>
      <c r="AB263" s="251" t="str">
        <f>IF(AB$3="","",IF(COUNTIFS(BD!$A$3:$A$5001,AB$3,BD!$B$3:$B$5001,$A$239,BD!$Z$3:$Z$5001,"&lt;&gt;")=0,"",SUMIFS(BD!$Z$3:$Z$5001,BD!$A$3:$A$5001,AB$3,BD!$B$3:$B$5001,$A$239)))</f>
        <v/>
      </c>
      <c r="AC263" s="251" t="str">
        <f>IF(AC$3="","",IF(COUNTIFS(BD!$A$3:$A$5001,AC$3,BD!$B$3:$B$5001,$A$239,BD!$Z$3:$Z$5001,"&lt;&gt;")=0,"",SUMIFS(BD!$Z$3:$Z$5001,BD!$A$3:$A$5001,AC$3,BD!$B$3:$B$5001,$A$239)))</f>
        <v/>
      </c>
      <c r="AD263" s="251" t="str">
        <f>IF(AD$3="","",IF(COUNTIFS(BD!$A$3:$A$5001,AD$3,BD!$B$3:$B$5001,$A$239,BD!$Z$3:$Z$5001,"&lt;&gt;")=0,"",SUMIFS(BD!$Z$3:$Z$5001,BD!$A$3:$A$5001,AD$3,BD!$B$3:$B$5001,$A$239)))</f>
        <v/>
      </c>
      <c r="AE263" s="251" t="str">
        <f>IF(AE$3="","",IF(COUNTIFS(BD!$A$3:$A$5001,AE$3,BD!$B$3:$B$5001,$A$239,BD!$Z$3:$Z$5001,"&lt;&gt;")=0,"",SUMIFS(BD!$Z$3:$Z$5001,BD!$A$3:$A$5001,AE$3,BD!$B$3:$B$5001,$A$239)))</f>
        <v/>
      </c>
      <c r="AF263" s="251" t="str">
        <f>IF(AF$3="","",IF(COUNTIFS(BD!$A$3:$A$5001,AF$3,BD!$B$3:$B$5001,$A$239,BD!$Z$3:$Z$5001,"&lt;&gt;")=0,"",SUMIFS(BD!$Z$3:$Z$5001,BD!$A$3:$A$5001,AF$3,BD!$B$3:$B$5001,$A$239)))</f>
        <v/>
      </c>
      <c r="AG263" s="251" t="str">
        <f>IF(AG$3="","",IF(COUNTIFS(BD!$A$3:$A$5001,AG$3,BD!$B$3:$B$5001,$A$239,BD!$Z$3:$Z$5001,"&lt;&gt;")=0,"",SUMIFS(BD!$Z$3:$Z$5001,BD!$A$3:$A$5001,AG$3,BD!$B$3:$B$5001,$A$239)))</f>
        <v/>
      </c>
      <c r="AH263" s="251" t="str">
        <f>IF(AH$3="","",IF(COUNTIFS(BD!$A$3:$A$5001,AH$3,BD!$B$3:$B$5001,$A$239,BD!$Z$3:$Z$5001,"&lt;&gt;")=0,"",SUMIFS(BD!$Z$3:$Z$5001,BD!$A$3:$A$5001,AH$3,BD!$B$3:$B$5001,$A$239)))</f>
        <v/>
      </c>
      <c r="AI263" s="251" t="str">
        <f>IF(AI$3="","",IF(COUNTIFS(BD!$A$3:$A$5001,AI$3,BD!$B$3:$B$5001,$A$239,BD!$Z$3:$Z$5001,"&lt;&gt;")=0,"",SUMIFS(BD!$Z$3:$Z$5001,BD!$A$3:$A$5001,AI$3,BD!$B$3:$B$5001,$A$239)))</f>
        <v/>
      </c>
      <c r="AJ263" s="252" t="str">
        <f>IF(AJ$3="","",IF(COUNTIFS(BD!$A$3:$A$5001,AJ$3,BD!$B$3:$B$5001,$A$239,BD!$Z$3:$Z$5001,"&lt;&gt;")=0,"",SUMIFS(BD!$Z$3:$Z$5001,BD!$A$3:$A$5001,AJ$3,BD!$B$3:$B$5001,$A$239)))</f>
        <v/>
      </c>
      <c r="AK263" s="253" t="str">
        <f>IF(COUNT(F263:AJ263)=0,"",SUM(F263:AJ263))</f>
        <v/>
      </c>
    </row>
    <row r="264" ht="15.75" customHeight="1" hidden="1">
      <c r="A264" s="277"/>
      <c r="B264" s="274"/>
      <c r="C264" s="247" t="inlineStr">
        <is>
          <t xml:space="preserve">Acidentes CAF</t>
        </is>
      </c>
      <c r="D264" s="248" t="str">
        <f>IFERROR(1/(1/INDEX(BD!$AF$48:$AZ$48,MATCH($A$239,BD!$AF$22:$AZ$22,0))),"")</f>
        <v/>
      </c>
      <c r="E264" s="249"/>
      <c r="F264" s="250" t="str">
        <f>IF(F$3="","",IF(COUNTIFS(BD!$A$3:$A$5001,F$3,BD!$B$3:$B$5001,$A$239,BD!$AA$3:$AA$5001,"&lt;&gt;")=0,"",SUMIFS(BD!$AA$3:$AA$5001,BD!$A$3:$A$5001,F$3,BD!$B$3:$B$5001,$A$239)))</f>
        <v/>
      </c>
      <c r="G264" s="251" t="str">
        <f>IF(G$3="","",IF(COUNTIFS(BD!$A$3:$A$5001,G$3,BD!$B$3:$B$5001,$A$239,BD!$AA$3:$AA$5001,"&lt;&gt;")=0,"",SUMIFS(BD!$AA$3:$AA$5001,BD!$A$3:$A$5001,G$3,BD!$B$3:$B$5001,$A$239)))</f>
        <v/>
      </c>
      <c r="H264" s="251" t="str">
        <f>IF(H$3="","",IF(COUNTIFS(BD!$A$3:$A$5001,H$3,BD!$B$3:$B$5001,$A$239,BD!$AA$3:$AA$5001,"&lt;&gt;")=0,"",SUMIFS(BD!$AA$3:$AA$5001,BD!$A$3:$A$5001,H$3,BD!$B$3:$B$5001,$A$239)))</f>
        <v/>
      </c>
      <c r="I264" s="251" t="str">
        <f>IF(I$3="","",IF(COUNTIFS(BD!$A$3:$A$5001,I$3,BD!$B$3:$B$5001,$A$239,BD!$AA$3:$AA$5001,"&lt;&gt;")=0,"",SUMIFS(BD!$AA$3:$AA$5001,BD!$A$3:$A$5001,I$3,BD!$B$3:$B$5001,$A$239)))</f>
        <v/>
      </c>
      <c r="J264" s="251" t="str">
        <f>IF(J$3="","",IF(COUNTIFS(BD!$A$3:$A$5001,J$3,BD!$B$3:$B$5001,$A$239,BD!$AA$3:$AA$5001,"&lt;&gt;")=0,"",SUMIFS(BD!$AA$3:$AA$5001,BD!$A$3:$A$5001,J$3,BD!$B$3:$B$5001,$A$239)))</f>
        <v/>
      </c>
      <c r="K264" s="251" t="str">
        <f>IF(K$3="","",IF(COUNTIFS(BD!$A$3:$A$5001,K$3,BD!$B$3:$B$5001,$A$239,BD!$AA$3:$AA$5001,"&lt;&gt;")=0,"",SUMIFS(BD!$AA$3:$AA$5001,BD!$A$3:$A$5001,K$3,BD!$B$3:$B$5001,$A$239)))</f>
        <v/>
      </c>
      <c r="L264" s="251" t="str">
        <f>IF(L$3="","",IF(COUNTIFS(BD!$A$3:$A$5001,L$3,BD!$B$3:$B$5001,$A$239,BD!$AA$3:$AA$5001,"&lt;&gt;")=0,"",SUMIFS(BD!$AA$3:$AA$5001,BD!$A$3:$A$5001,L$3,BD!$B$3:$B$5001,$A$239)))</f>
        <v/>
      </c>
      <c r="M264" s="251" t="str">
        <f>IF(M$3="","",IF(COUNTIFS(BD!$A$3:$A$5001,M$3,BD!$B$3:$B$5001,$A$239,BD!$AA$3:$AA$5001,"&lt;&gt;")=0,"",SUMIFS(BD!$AA$3:$AA$5001,BD!$A$3:$A$5001,M$3,BD!$B$3:$B$5001,$A$239)))</f>
        <v/>
      </c>
      <c r="N264" s="251" t="str">
        <f>IF(N$3="","",IF(COUNTIFS(BD!$A$3:$A$5001,N$3,BD!$B$3:$B$5001,$A$239,BD!$AA$3:$AA$5001,"&lt;&gt;")=0,"",SUMIFS(BD!$AA$3:$AA$5001,BD!$A$3:$A$5001,N$3,BD!$B$3:$B$5001,$A$239)))</f>
        <v/>
      </c>
      <c r="O264" s="251" t="str">
        <f>IF(O$3="","",IF(COUNTIFS(BD!$A$3:$A$5001,O$3,BD!$B$3:$B$5001,$A$239,BD!$AA$3:$AA$5001,"&lt;&gt;")=0,"",SUMIFS(BD!$AA$3:$AA$5001,BD!$A$3:$A$5001,O$3,BD!$B$3:$B$5001,$A$239)))</f>
        <v/>
      </c>
      <c r="P264" s="251" t="str">
        <f>IF(P$3="","",IF(COUNTIFS(BD!$A$3:$A$5001,P$3,BD!$B$3:$B$5001,$A$239,BD!$AA$3:$AA$5001,"&lt;&gt;")=0,"",SUMIFS(BD!$AA$3:$AA$5001,BD!$A$3:$A$5001,P$3,BD!$B$3:$B$5001,$A$239)))</f>
        <v/>
      </c>
      <c r="Q264" s="251" t="str">
        <f>IF(Q$3="","",IF(COUNTIFS(BD!$A$3:$A$5001,Q$3,BD!$B$3:$B$5001,$A$239,BD!$AA$3:$AA$5001,"&lt;&gt;")=0,"",SUMIFS(BD!$AA$3:$AA$5001,BD!$A$3:$A$5001,Q$3,BD!$B$3:$B$5001,$A$239)))</f>
        <v/>
      </c>
      <c r="R264" s="251" t="str">
        <f>IF(R$3="","",IF(COUNTIFS(BD!$A$3:$A$5001,R$3,BD!$B$3:$B$5001,$A$239,BD!$AA$3:$AA$5001,"&lt;&gt;")=0,"",SUMIFS(BD!$AA$3:$AA$5001,BD!$A$3:$A$5001,R$3,BD!$B$3:$B$5001,$A$239)))</f>
        <v/>
      </c>
      <c r="S264" s="251" t="str">
        <f>IF(S$3="","",IF(COUNTIFS(BD!$A$3:$A$5001,S$3,BD!$B$3:$B$5001,$A$239,BD!$AA$3:$AA$5001,"&lt;&gt;")=0,"",SUMIFS(BD!$AA$3:$AA$5001,BD!$A$3:$A$5001,S$3,BD!$B$3:$B$5001,$A$239)))</f>
        <v/>
      </c>
      <c r="T264" s="251" t="str">
        <f>IF(T$3="","",IF(COUNTIFS(BD!$A$3:$A$5001,T$3,BD!$B$3:$B$5001,$A$239,BD!$AA$3:$AA$5001,"&lt;&gt;")=0,"",SUMIFS(BD!$AA$3:$AA$5001,BD!$A$3:$A$5001,T$3,BD!$B$3:$B$5001,$A$239)))</f>
        <v/>
      </c>
      <c r="U264" s="251" t="str">
        <f>IF(U$3="","",IF(COUNTIFS(BD!$A$3:$A$5001,U$3,BD!$B$3:$B$5001,$A$239,BD!$AA$3:$AA$5001,"&lt;&gt;")=0,"",SUMIFS(BD!$AA$3:$AA$5001,BD!$A$3:$A$5001,U$3,BD!$B$3:$B$5001,$A$239)))</f>
        <v/>
      </c>
      <c r="V264" s="251" t="str">
        <f>IF(V$3="","",IF(COUNTIFS(BD!$A$3:$A$5001,V$3,BD!$B$3:$B$5001,$A$239,BD!$AA$3:$AA$5001,"&lt;&gt;")=0,"",SUMIFS(BD!$AA$3:$AA$5001,BD!$A$3:$A$5001,V$3,BD!$B$3:$B$5001,$A$239)))</f>
        <v/>
      </c>
      <c r="W264" s="251" t="str">
        <f>IF(W$3="","",IF(COUNTIFS(BD!$A$3:$A$5001,W$3,BD!$B$3:$B$5001,$A$239,BD!$AA$3:$AA$5001,"&lt;&gt;")=0,"",SUMIFS(BD!$AA$3:$AA$5001,BD!$A$3:$A$5001,W$3,BD!$B$3:$B$5001,$A$239)))</f>
        <v/>
      </c>
      <c r="X264" s="251" t="str">
        <f>IF(X$3="","",IF(COUNTIFS(BD!$A$3:$A$5001,X$3,BD!$B$3:$B$5001,$A$239,BD!$AA$3:$AA$5001,"&lt;&gt;")=0,"",SUMIFS(BD!$AA$3:$AA$5001,BD!$A$3:$A$5001,X$3,BD!$B$3:$B$5001,$A$239)))</f>
        <v/>
      </c>
      <c r="Y264" s="251" t="str">
        <f>IF(Y$3="","",IF(COUNTIFS(BD!$A$3:$A$5001,Y$3,BD!$B$3:$B$5001,$A$239,BD!$AA$3:$AA$5001,"&lt;&gt;")=0,"",SUMIFS(BD!$AA$3:$AA$5001,BD!$A$3:$A$5001,Y$3,BD!$B$3:$B$5001,$A$239)))</f>
        <v/>
      </c>
      <c r="Z264" s="251" t="str">
        <f>IF(Z$3="","",IF(COUNTIFS(BD!$A$3:$A$5001,Z$3,BD!$B$3:$B$5001,$A$239,BD!$AA$3:$AA$5001,"&lt;&gt;")=0,"",SUMIFS(BD!$AA$3:$AA$5001,BD!$A$3:$A$5001,Z$3,BD!$B$3:$B$5001,$A$239)))</f>
        <v/>
      </c>
      <c r="AA264" s="251" t="str">
        <f>IF(AA$3="","",IF(COUNTIFS(BD!$A$3:$A$5001,AA$3,BD!$B$3:$B$5001,$A$239,BD!$AA$3:$AA$5001,"&lt;&gt;")=0,"",SUMIFS(BD!$AA$3:$AA$5001,BD!$A$3:$A$5001,AA$3,BD!$B$3:$B$5001,$A$239)))</f>
        <v/>
      </c>
      <c r="AB264" s="251" t="str">
        <f>IF(AB$3="","",IF(COUNTIFS(BD!$A$3:$A$5001,AB$3,BD!$B$3:$B$5001,$A$239,BD!$AA$3:$AA$5001,"&lt;&gt;")=0,"",SUMIFS(BD!$AA$3:$AA$5001,BD!$A$3:$A$5001,AB$3,BD!$B$3:$B$5001,$A$239)))</f>
        <v/>
      </c>
      <c r="AC264" s="251" t="str">
        <f>IF(AC$3="","",IF(COUNTIFS(BD!$A$3:$A$5001,AC$3,BD!$B$3:$B$5001,$A$239,BD!$AA$3:$AA$5001,"&lt;&gt;")=0,"",SUMIFS(BD!$AA$3:$AA$5001,BD!$A$3:$A$5001,AC$3,BD!$B$3:$B$5001,$A$239)))</f>
        <v/>
      </c>
      <c r="AD264" s="251" t="str">
        <f>IF(AD$3="","",IF(COUNTIFS(BD!$A$3:$A$5001,AD$3,BD!$B$3:$B$5001,$A$239,BD!$AA$3:$AA$5001,"&lt;&gt;")=0,"",SUMIFS(BD!$AA$3:$AA$5001,BD!$A$3:$A$5001,AD$3,BD!$B$3:$B$5001,$A$239)))</f>
        <v/>
      </c>
      <c r="AE264" s="251" t="str">
        <f>IF(AE$3="","",IF(COUNTIFS(BD!$A$3:$A$5001,AE$3,BD!$B$3:$B$5001,$A$239,BD!$AA$3:$AA$5001,"&lt;&gt;")=0,"",SUMIFS(BD!$AA$3:$AA$5001,BD!$A$3:$A$5001,AE$3,BD!$B$3:$B$5001,$A$239)))</f>
        <v/>
      </c>
      <c r="AF264" s="251" t="str">
        <f>IF(AF$3="","",IF(COUNTIFS(BD!$A$3:$A$5001,AF$3,BD!$B$3:$B$5001,$A$239,BD!$AA$3:$AA$5001,"&lt;&gt;")=0,"",SUMIFS(BD!$AA$3:$AA$5001,BD!$A$3:$A$5001,AF$3,BD!$B$3:$B$5001,$A$239)))</f>
        <v/>
      </c>
      <c r="AG264" s="251" t="str">
        <f>IF(AG$3="","",IF(COUNTIFS(BD!$A$3:$A$5001,AG$3,BD!$B$3:$B$5001,$A$239,BD!$AA$3:$AA$5001,"&lt;&gt;")=0,"",SUMIFS(BD!$AA$3:$AA$5001,BD!$A$3:$A$5001,AG$3,BD!$B$3:$B$5001,$A$239)))</f>
        <v/>
      </c>
      <c r="AH264" s="251" t="str">
        <f>IF(AH$3="","",IF(COUNTIFS(BD!$A$3:$A$5001,AH$3,BD!$B$3:$B$5001,$A$239,BD!$AA$3:$AA$5001,"&lt;&gt;")=0,"",SUMIFS(BD!$AA$3:$AA$5001,BD!$A$3:$A$5001,AH$3,BD!$B$3:$B$5001,$A$239)))</f>
        <v/>
      </c>
      <c r="AI264" s="251" t="str">
        <f>IF(AI$3="","",IF(COUNTIFS(BD!$A$3:$A$5001,AI$3,BD!$B$3:$B$5001,$A$239,BD!$AA$3:$AA$5001,"&lt;&gt;")=0,"",SUMIFS(BD!$AA$3:$AA$5001,BD!$A$3:$A$5001,AI$3,BD!$B$3:$B$5001,$A$239)))</f>
        <v/>
      </c>
      <c r="AJ264" s="252" t="str">
        <f>IF(AJ$3="","",IF(COUNTIFS(BD!$A$3:$A$5001,AJ$3,BD!$B$3:$B$5001,$A$239,BD!$AA$3:$AA$5001,"&lt;&gt;")=0,"",SUMIFS(BD!$AA$3:$AA$5001,BD!$A$3:$A$5001,AJ$3,BD!$B$3:$B$5001,$A$239)))</f>
        <v/>
      </c>
      <c r="AK264" s="253" t="str">
        <f>IF(COUNT(F264:AJ264)=0,"",SUM(F264:AJ264))</f>
        <v/>
      </c>
    </row>
    <row r="265" ht="15.75" customHeight="1" hidden="1">
      <c r="A265" s="278"/>
      <c r="B265" s="275"/>
      <c r="C265" s="258" t="inlineStr">
        <is>
          <t xml:space="preserve">Acidentes SAF</t>
        </is>
      </c>
      <c r="D265" s="259" t="str">
        <f>IFERROR(1/(1/INDEX(BD!$AF$49:$AZ$49,MATCH($A$239,BD!$AF$22:$AZ$22,0))),"")</f>
        <v/>
      </c>
      <c r="E265" s="260"/>
      <c r="F265" s="261" t="str">
        <f>IF(F$3="","",IF(COUNTIFS(BD!$A$3:$A$5001,F$3,BD!$B$3:$B$5001,$A$239,BD!$AB$3:$AB$5001,"&lt;&gt;")=0,"",SUMIFS(BD!$AB$3:$AB$5001,BD!$A$3:$A$5001,F$3,BD!$B$3:$B$5001,$A$239)))</f>
        <v/>
      </c>
      <c r="G265" s="262" t="str">
        <f>IF(G$3="","",IF(COUNTIFS(BD!$A$3:$A$5001,G$3,BD!$B$3:$B$5001,$A$239,BD!$AB$3:$AB$5001,"&lt;&gt;")=0,"",SUMIFS(BD!$AB$3:$AB$5001,BD!$A$3:$A$5001,G$3,BD!$B$3:$B$5001,$A$239)))</f>
        <v/>
      </c>
      <c r="H265" s="262" t="str">
        <f>IF(H$3="","",IF(COUNTIFS(BD!$A$3:$A$5001,H$3,BD!$B$3:$B$5001,$A$239,BD!$AB$3:$AB$5001,"&lt;&gt;")=0,"",SUMIFS(BD!$AB$3:$AB$5001,BD!$A$3:$A$5001,H$3,BD!$B$3:$B$5001,$A$239)))</f>
        <v/>
      </c>
      <c r="I265" s="262" t="str">
        <f>IF(I$3="","",IF(COUNTIFS(BD!$A$3:$A$5001,I$3,BD!$B$3:$B$5001,$A$239,BD!$AB$3:$AB$5001,"&lt;&gt;")=0,"",SUMIFS(BD!$AB$3:$AB$5001,BD!$A$3:$A$5001,I$3,BD!$B$3:$B$5001,$A$239)))</f>
        <v/>
      </c>
      <c r="J265" s="262" t="str">
        <f>IF(J$3="","",IF(COUNTIFS(BD!$A$3:$A$5001,J$3,BD!$B$3:$B$5001,$A$239,BD!$AB$3:$AB$5001,"&lt;&gt;")=0,"",SUMIFS(BD!$AB$3:$AB$5001,BD!$A$3:$A$5001,J$3,BD!$B$3:$B$5001,$A$239)))</f>
        <v/>
      </c>
      <c r="K265" s="262" t="str">
        <f>IF(K$3="","",IF(COUNTIFS(BD!$A$3:$A$5001,K$3,BD!$B$3:$B$5001,$A$239,BD!$AB$3:$AB$5001,"&lt;&gt;")=0,"",SUMIFS(BD!$AB$3:$AB$5001,BD!$A$3:$A$5001,K$3,BD!$B$3:$B$5001,$A$239)))</f>
        <v/>
      </c>
      <c r="L265" s="262" t="str">
        <f>IF(L$3="","",IF(COUNTIFS(BD!$A$3:$A$5001,L$3,BD!$B$3:$B$5001,$A$239,BD!$AB$3:$AB$5001,"&lt;&gt;")=0,"",SUMIFS(BD!$AB$3:$AB$5001,BD!$A$3:$A$5001,L$3,BD!$B$3:$B$5001,$A$239)))</f>
        <v/>
      </c>
      <c r="M265" s="262" t="str">
        <f>IF(M$3="","",IF(COUNTIFS(BD!$A$3:$A$5001,M$3,BD!$B$3:$B$5001,$A$239,BD!$AB$3:$AB$5001,"&lt;&gt;")=0,"",SUMIFS(BD!$AB$3:$AB$5001,BD!$A$3:$A$5001,M$3,BD!$B$3:$B$5001,$A$239)))</f>
        <v/>
      </c>
      <c r="N265" s="262" t="str">
        <f>IF(N$3="","",IF(COUNTIFS(BD!$A$3:$A$5001,N$3,BD!$B$3:$B$5001,$A$239,BD!$AB$3:$AB$5001,"&lt;&gt;")=0,"",SUMIFS(BD!$AB$3:$AB$5001,BD!$A$3:$A$5001,N$3,BD!$B$3:$B$5001,$A$239)))</f>
        <v/>
      </c>
      <c r="O265" s="262" t="str">
        <f>IF(O$3="","",IF(COUNTIFS(BD!$A$3:$A$5001,O$3,BD!$B$3:$B$5001,$A$239,BD!$AB$3:$AB$5001,"&lt;&gt;")=0,"",SUMIFS(BD!$AB$3:$AB$5001,BD!$A$3:$A$5001,O$3,BD!$B$3:$B$5001,$A$239)))</f>
        <v/>
      </c>
      <c r="P265" s="262" t="str">
        <f>IF(P$3="","",IF(COUNTIFS(BD!$A$3:$A$5001,P$3,BD!$B$3:$B$5001,$A$239,BD!$AB$3:$AB$5001,"&lt;&gt;")=0,"",SUMIFS(BD!$AB$3:$AB$5001,BD!$A$3:$A$5001,P$3,BD!$B$3:$B$5001,$A$239)))</f>
        <v/>
      </c>
      <c r="Q265" s="262" t="str">
        <f>IF(Q$3="","",IF(COUNTIFS(BD!$A$3:$A$5001,Q$3,BD!$B$3:$B$5001,$A$239,BD!$AB$3:$AB$5001,"&lt;&gt;")=0,"",SUMIFS(BD!$AB$3:$AB$5001,BD!$A$3:$A$5001,Q$3,BD!$B$3:$B$5001,$A$239)))</f>
        <v/>
      </c>
      <c r="R265" s="262" t="str">
        <f>IF(R$3="","",IF(COUNTIFS(BD!$A$3:$A$5001,R$3,BD!$B$3:$B$5001,$A$239,BD!$AB$3:$AB$5001,"&lt;&gt;")=0,"",SUMIFS(BD!$AB$3:$AB$5001,BD!$A$3:$A$5001,R$3,BD!$B$3:$B$5001,$A$239)))</f>
        <v/>
      </c>
      <c r="S265" s="262" t="str">
        <f>IF(S$3="","",IF(COUNTIFS(BD!$A$3:$A$5001,S$3,BD!$B$3:$B$5001,$A$239,BD!$AB$3:$AB$5001,"&lt;&gt;")=0,"",SUMIFS(BD!$AB$3:$AB$5001,BD!$A$3:$A$5001,S$3,BD!$B$3:$B$5001,$A$239)))</f>
        <v/>
      </c>
      <c r="T265" s="262" t="str">
        <f>IF(T$3="","",IF(COUNTIFS(BD!$A$3:$A$5001,T$3,BD!$B$3:$B$5001,$A$239,BD!$AB$3:$AB$5001,"&lt;&gt;")=0,"",SUMIFS(BD!$AB$3:$AB$5001,BD!$A$3:$A$5001,T$3,BD!$B$3:$B$5001,$A$239)))</f>
        <v/>
      </c>
      <c r="U265" s="262" t="str">
        <f>IF(U$3="","",IF(COUNTIFS(BD!$A$3:$A$5001,U$3,BD!$B$3:$B$5001,$A$239,BD!$AB$3:$AB$5001,"&lt;&gt;")=0,"",SUMIFS(BD!$AB$3:$AB$5001,BD!$A$3:$A$5001,U$3,BD!$B$3:$B$5001,$A$239)))</f>
        <v/>
      </c>
      <c r="V265" s="262" t="str">
        <f>IF(V$3="","",IF(COUNTIFS(BD!$A$3:$A$5001,V$3,BD!$B$3:$B$5001,$A$239,BD!$AB$3:$AB$5001,"&lt;&gt;")=0,"",SUMIFS(BD!$AB$3:$AB$5001,BD!$A$3:$A$5001,V$3,BD!$B$3:$B$5001,$A$239)))</f>
        <v/>
      </c>
      <c r="W265" s="262" t="str">
        <f>IF(W$3="","",IF(COUNTIFS(BD!$A$3:$A$5001,W$3,BD!$B$3:$B$5001,$A$239,BD!$AB$3:$AB$5001,"&lt;&gt;")=0,"",SUMIFS(BD!$AB$3:$AB$5001,BD!$A$3:$A$5001,W$3,BD!$B$3:$B$5001,$A$239)))</f>
        <v/>
      </c>
      <c r="X265" s="262" t="str">
        <f>IF(X$3="","",IF(COUNTIFS(BD!$A$3:$A$5001,X$3,BD!$B$3:$B$5001,$A$239,BD!$AB$3:$AB$5001,"&lt;&gt;")=0,"",SUMIFS(BD!$AB$3:$AB$5001,BD!$A$3:$A$5001,X$3,BD!$B$3:$B$5001,$A$239)))</f>
        <v/>
      </c>
      <c r="Y265" s="262" t="str">
        <f>IF(Y$3="","",IF(COUNTIFS(BD!$A$3:$A$5001,Y$3,BD!$B$3:$B$5001,$A$239,BD!$AB$3:$AB$5001,"&lt;&gt;")=0,"",SUMIFS(BD!$AB$3:$AB$5001,BD!$A$3:$A$5001,Y$3,BD!$B$3:$B$5001,$A$239)))</f>
        <v/>
      </c>
      <c r="Z265" s="262" t="str">
        <f>IF(Z$3="","",IF(COUNTIFS(BD!$A$3:$A$5001,Z$3,BD!$B$3:$B$5001,$A$239,BD!$AB$3:$AB$5001,"&lt;&gt;")=0,"",SUMIFS(BD!$AB$3:$AB$5001,BD!$A$3:$A$5001,Z$3,BD!$B$3:$B$5001,$A$239)))</f>
        <v/>
      </c>
      <c r="AA265" s="262" t="str">
        <f>IF(AA$3="","",IF(COUNTIFS(BD!$A$3:$A$5001,AA$3,BD!$B$3:$B$5001,$A$239,BD!$AB$3:$AB$5001,"&lt;&gt;")=0,"",SUMIFS(BD!$AB$3:$AB$5001,BD!$A$3:$A$5001,AA$3,BD!$B$3:$B$5001,$A$239)))</f>
        <v/>
      </c>
      <c r="AB265" s="262" t="str">
        <f>IF(AB$3="","",IF(COUNTIFS(BD!$A$3:$A$5001,AB$3,BD!$B$3:$B$5001,$A$239,BD!$AB$3:$AB$5001,"&lt;&gt;")=0,"",SUMIFS(BD!$AB$3:$AB$5001,BD!$A$3:$A$5001,AB$3,BD!$B$3:$B$5001,$A$239)))</f>
        <v/>
      </c>
      <c r="AC265" s="262" t="str">
        <f>IF(AC$3="","",IF(COUNTIFS(BD!$A$3:$A$5001,AC$3,BD!$B$3:$B$5001,$A$239,BD!$AB$3:$AB$5001,"&lt;&gt;")=0,"",SUMIFS(BD!$AB$3:$AB$5001,BD!$A$3:$A$5001,AC$3,BD!$B$3:$B$5001,$A$239)))</f>
        <v/>
      </c>
      <c r="AD265" s="262" t="str">
        <f>IF(AD$3="","",IF(COUNTIFS(BD!$A$3:$A$5001,AD$3,BD!$B$3:$B$5001,$A$239,BD!$AB$3:$AB$5001,"&lt;&gt;")=0,"",SUMIFS(BD!$AB$3:$AB$5001,BD!$A$3:$A$5001,AD$3,BD!$B$3:$B$5001,$A$239)))</f>
        <v/>
      </c>
      <c r="AE265" s="262" t="str">
        <f>IF(AE$3="","",IF(COUNTIFS(BD!$A$3:$A$5001,AE$3,BD!$B$3:$B$5001,$A$239,BD!$AB$3:$AB$5001,"&lt;&gt;")=0,"",SUMIFS(BD!$AB$3:$AB$5001,BD!$A$3:$A$5001,AE$3,BD!$B$3:$B$5001,$A$239)))</f>
        <v/>
      </c>
      <c r="AF265" s="262" t="str">
        <f>IF(AF$3="","",IF(COUNTIFS(BD!$A$3:$A$5001,AF$3,BD!$B$3:$B$5001,$A$239,BD!$AB$3:$AB$5001,"&lt;&gt;")=0,"",SUMIFS(BD!$AB$3:$AB$5001,BD!$A$3:$A$5001,AF$3,BD!$B$3:$B$5001,$A$239)))</f>
        <v/>
      </c>
      <c r="AG265" s="262" t="str">
        <f>IF(AG$3="","",IF(COUNTIFS(BD!$A$3:$A$5001,AG$3,BD!$B$3:$B$5001,$A$239,BD!$AB$3:$AB$5001,"&lt;&gt;")=0,"",SUMIFS(BD!$AB$3:$AB$5001,BD!$A$3:$A$5001,AG$3,BD!$B$3:$B$5001,$A$239)))</f>
        <v/>
      </c>
      <c r="AH265" s="262" t="str">
        <f>IF(AH$3="","",IF(COUNTIFS(BD!$A$3:$A$5001,AH$3,BD!$B$3:$B$5001,$A$239,BD!$AB$3:$AB$5001,"&lt;&gt;")=0,"",SUMIFS(BD!$AB$3:$AB$5001,BD!$A$3:$A$5001,AH$3,BD!$B$3:$B$5001,$A$239)))</f>
        <v/>
      </c>
      <c r="AI265" s="262" t="str">
        <f>IF(AI$3="","",IF(COUNTIFS(BD!$A$3:$A$5001,AI$3,BD!$B$3:$B$5001,$A$239,BD!$AB$3:$AB$5001,"&lt;&gt;")=0,"",SUMIFS(BD!$AB$3:$AB$5001,BD!$A$3:$A$5001,AI$3,BD!$B$3:$B$5001,$A$239)))</f>
        <v/>
      </c>
      <c r="AJ265" s="263" t="str">
        <f>IF(AJ$3="","",IF(COUNTIFS(BD!$A$3:$A$5001,AJ$3,BD!$B$3:$B$5001,$A$239,BD!$AB$3:$AB$5001,"&lt;&gt;")=0,"",SUMIFS(BD!$AB$3:$AB$5001,BD!$A$3:$A$5001,AJ$3,BD!$B$3:$B$5001,$A$239)))</f>
        <v/>
      </c>
      <c r="AK265" s="259" t="str">
        <f>IF(COUNT(F265:AJ265)=0,"",SUM(F265:AJ265))</f>
        <v/>
      </c>
    </row>
    <row r="267" ht="15.75" customHeight="1" hidden="1">
      <c r="A267" s="276"/>
      <c r="B267" s="264" t="inlineStr">
        <is>
          <t xml:space="preserve">IN</t>
        </is>
      </c>
      <c r="C267" s="168" t="inlineStr">
        <is>
          <t xml:space="preserve">Veículos Recebidos</t>
        </is>
      </c>
      <c r="D267" s="169" t="str">
        <f>IFERROR(1/(1/INDEX(BD!$AF$23:$AZ$23,MATCH($A$267,BD!$AF$22:$AZ$22,0))),"")</f>
        <v/>
      </c>
      <c r="E267" s="170"/>
      <c r="F267" s="171" t="str">
        <f>IF(F$3="","",IF(COUNTIFS(BD!$A$3:$A$5001,F$3,BD!$B$3:$B$5001,$A$267,BD!$C$3:$C$5001,"&lt;&gt;")=0,"",SUMIFS(BD!$C$3:$C$5001,BD!$A$3:$A$5001,F$3,BD!$B$3:$B$5001,$A$267)))</f>
        <v/>
      </c>
      <c r="G267" s="172" t="str">
        <f>IF(G$3="","",IF(COUNTIFS(BD!$A$3:$A$5001,G$3,BD!$B$3:$B$5001,$A$267,BD!$C$3:$C$5001,"&lt;&gt;")=0,"",SUMIFS(BD!$C$3:$C$5001,BD!$A$3:$A$5001,G$3,BD!$B$3:$B$5001,$A$267)))</f>
        <v/>
      </c>
      <c r="H267" s="172" t="str">
        <f>IF(H$3="","",IF(COUNTIFS(BD!$A$3:$A$5001,H$3,BD!$B$3:$B$5001,$A$267,BD!$C$3:$C$5001,"&lt;&gt;")=0,"",SUMIFS(BD!$C$3:$C$5001,BD!$A$3:$A$5001,H$3,BD!$B$3:$B$5001,$A$267)))</f>
        <v/>
      </c>
      <c r="I267" s="172" t="str">
        <f>IF(I$3="","",IF(COUNTIFS(BD!$A$3:$A$5001,I$3,BD!$B$3:$B$5001,$A$267,BD!$C$3:$C$5001,"&lt;&gt;")=0,"",SUMIFS(BD!$C$3:$C$5001,BD!$A$3:$A$5001,I$3,BD!$B$3:$B$5001,$A$267)))</f>
        <v/>
      </c>
      <c r="J267" s="172" t="str">
        <f>IF(J$3="","",IF(COUNTIFS(BD!$A$3:$A$5001,J$3,BD!$B$3:$B$5001,$A$267,BD!$C$3:$C$5001,"&lt;&gt;")=0,"",SUMIFS(BD!$C$3:$C$5001,BD!$A$3:$A$5001,J$3,BD!$B$3:$B$5001,$A$267)))</f>
        <v/>
      </c>
      <c r="K267" s="172" t="str">
        <f>IF(K$3="","",IF(COUNTIFS(BD!$A$3:$A$5001,K$3,BD!$B$3:$B$5001,$A$267,BD!$C$3:$C$5001,"&lt;&gt;")=0,"",SUMIFS(BD!$C$3:$C$5001,BD!$A$3:$A$5001,K$3,BD!$B$3:$B$5001,$A$267)))</f>
        <v/>
      </c>
      <c r="L267" s="172" t="str">
        <f>IF(L$3="","",IF(COUNTIFS(BD!$A$3:$A$5001,L$3,BD!$B$3:$B$5001,$A$267,BD!$C$3:$C$5001,"&lt;&gt;")=0,"",SUMIFS(BD!$C$3:$C$5001,BD!$A$3:$A$5001,L$3,BD!$B$3:$B$5001,$A$267)))</f>
        <v/>
      </c>
      <c r="M267" s="172" t="str">
        <f>IF(M$3="","",IF(COUNTIFS(BD!$A$3:$A$5001,M$3,BD!$B$3:$B$5001,$A$267,BD!$C$3:$C$5001,"&lt;&gt;")=0,"",SUMIFS(BD!$C$3:$C$5001,BD!$A$3:$A$5001,M$3,BD!$B$3:$B$5001,$A$267)))</f>
        <v/>
      </c>
      <c r="N267" s="172" t="str">
        <f>IF(N$3="","",IF(COUNTIFS(BD!$A$3:$A$5001,N$3,BD!$B$3:$B$5001,$A$267,BD!$C$3:$C$5001,"&lt;&gt;")=0,"",SUMIFS(BD!$C$3:$C$5001,BD!$A$3:$A$5001,N$3,BD!$B$3:$B$5001,$A$267)))</f>
        <v/>
      </c>
      <c r="O267" s="172" t="str">
        <f>IF(O$3="","",IF(COUNTIFS(BD!$A$3:$A$5001,O$3,BD!$B$3:$B$5001,$A$267,BD!$C$3:$C$5001,"&lt;&gt;")=0,"",SUMIFS(BD!$C$3:$C$5001,BD!$A$3:$A$5001,O$3,BD!$B$3:$B$5001,$A$267)))</f>
        <v/>
      </c>
      <c r="P267" s="172" t="str">
        <f>IF(P$3="","",IF(COUNTIFS(BD!$A$3:$A$5001,P$3,BD!$B$3:$B$5001,$A$267,BD!$C$3:$C$5001,"&lt;&gt;")=0,"",SUMIFS(BD!$C$3:$C$5001,BD!$A$3:$A$5001,P$3,BD!$B$3:$B$5001,$A$267)))</f>
        <v/>
      </c>
      <c r="Q267" s="172" t="str">
        <f>IF(Q$3="","",IF(COUNTIFS(BD!$A$3:$A$5001,Q$3,BD!$B$3:$B$5001,$A$267,BD!$C$3:$C$5001,"&lt;&gt;")=0,"",SUMIFS(BD!$C$3:$C$5001,BD!$A$3:$A$5001,Q$3,BD!$B$3:$B$5001,$A$267)))</f>
        <v/>
      </c>
      <c r="R267" s="172" t="str">
        <f>IF(R$3="","",IF(COUNTIFS(BD!$A$3:$A$5001,R$3,BD!$B$3:$B$5001,$A$267,BD!$C$3:$C$5001,"&lt;&gt;")=0,"",SUMIFS(BD!$C$3:$C$5001,BD!$A$3:$A$5001,R$3,BD!$B$3:$B$5001,$A$267)))</f>
        <v/>
      </c>
      <c r="S267" s="172" t="str">
        <f>IF(S$3="","",IF(COUNTIFS(BD!$A$3:$A$5001,S$3,BD!$B$3:$B$5001,$A$267,BD!$C$3:$C$5001,"&lt;&gt;")=0,"",SUMIFS(BD!$C$3:$C$5001,BD!$A$3:$A$5001,S$3,BD!$B$3:$B$5001,$A$267)))</f>
        <v/>
      </c>
      <c r="T267" s="172" t="str">
        <f>IF(T$3="","",IF(COUNTIFS(BD!$A$3:$A$5001,T$3,BD!$B$3:$B$5001,$A$267,BD!$C$3:$C$5001,"&lt;&gt;")=0,"",SUMIFS(BD!$C$3:$C$5001,BD!$A$3:$A$5001,T$3,BD!$B$3:$B$5001,$A$267)))</f>
        <v/>
      </c>
      <c r="U267" s="172" t="str">
        <f>IF(U$3="","",IF(COUNTIFS(BD!$A$3:$A$5001,U$3,BD!$B$3:$B$5001,$A$267,BD!$C$3:$C$5001,"&lt;&gt;")=0,"",SUMIFS(BD!$C$3:$C$5001,BD!$A$3:$A$5001,U$3,BD!$B$3:$B$5001,$A$267)))</f>
        <v/>
      </c>
      <c r="V267" s="172" t="str">
        <f>IF(V$3="","",IF(COUNTIFS(BD!$A$3:$A$5001,V$3,BD!$B$3:$B$5001,$A$267,BD!$C$3:$C$5001,"&lt;&gt;")=0,"",SUMIFS(BD!$C$3:$C$5001,BD!$A$3:$A$5001,V$3,BD!$B$3:$B$5001,$A$267)))</f>
        <v/>
      </c>
      <c r="W267" s="172" t="str">
        <f>IF(W$3="","",IF(COUNTIFS(BD!$A$3:$A$5001,W$3,BD!$B$3:$B$5001,$A$267,BD!$C$3:$C$5001,"&lt;&gt;")=0,"",SUMIFS(BD!$C$3:$C$5001,BD!$A$3:$A$5001,W$3,BD!$B$3:$B$5001,$A$267)))</f>
        <v/>
      </c>
      <c r="X267" s="172" t="str">
        <f>IF(X$3="","",IF(COUNTIFS(BD!$A$3:$A$5001,X$3,BD!$B$3:$B$5001,$A$267,BD!$C$3:$C$5001,"&lt;&gt;")=0,"",SUMIFS(BD!$C$3:$C$5001,BD!$A$3:$A$5001,X$3,BD!$B$3:$B$5001,$A$267)))</f>
        <v/>
      </c>
      <c r="Y267" s="172" t="str">
        <f>IF(Y$3="","",IF(COUNTIFS(BD!$A$3:$A$5001,Y$3,BD!$B$3:$B$5001,$A$267,BD!$C$3:$C$5001,"&lt;&gt;")=0,"",SUMIFS(BD!$C$3:$C$5001,BD!$A$3:$A$5001,Y$3,BD!$B$3:$B$5001,$A$267)))</f>
        <v/>
      </c>
      <c r="Z267" s="172" t="str">
        <f>IF(Z$3="","",IF(COUNTIFS(BD!$A$3:$A$5001,Z$3,BD!$B$3:$B$5001,$A$267,BD!$C$3:$C$5001,"&lt;&gt;")=0,"",SUMIFS(BD!$C$3:$C$5001,BD!$A$3:$A$5001,Z$3,BD!$B$3:$B$5001,$A$267)))</f>
        <v/>
      </c>
      <c r="AA267" s="172" t="str">
        <f>IF(AA$3="","",IF(COUNTIFS(BD!$A$3:$A$5001,AA$3,BD!$B$3:$B$5001,$A$267,BD!$C$3:$C$5001,"&lt;&gt;")=0,"",SUMIFS(BD!$C$3:$C$5001,BD!$A$3:$A$5001,AA$3,BD!$B$3:$B$5001,$A$267)))</f>
        <v/>
      </c>
      <c r="AB267" s="172" t="str">
        <f>IF(AB$3="","",IF(COUNTIFS(BD!$A$3:$A$5001,AB$3,BD!$B$3:$B$5001,$A$267,BD!$C$3:$C$5001,"&lt;&gt;")=0,"",SUMIFS(BD!$C$3:$C$5001,BD!$A$3:$A$5001,AB$3,BD!$B$3:$B$5001,$A$267)))</f>
        <v/>
      </c>
      <c r="AC267" s="172" t="str">
        <f>IF(AC$3="","",IF(COUNTIFS(BD!$A$3:$A$5001,AC$3,BD!$B$3:$B$5001,$A$267,BD!$C$3:$C$5001,"&lt;&gt;")=0,"",SUMIFS(BD!$C$3:$C$5001,BD!$A$3:$A$5001,AC$3,BD!$B$3:$B$5001,$A$267)))</f>
        <v/>
      </c>
      <c r="AD267" s="172" t="str">
        <f>IF(AD$3="","",IF(COUNTIFS(BD!$A$3:$A$5001,AD$3,BD!$B$3:$B$5001,$A$267,BD!$C$3:$C$5001,"&lt;&gt;")=0,"",SUMIFS(BD!$C$3:$C$5001,BD!$A$3:$A$5001,AD$3,BD!$B$3:$B$5001,$A$267)))</f>
        <v/>
      </c>
      <c r="AE267" s="172" t="str">
        <f>IF(AE$3="","",IF(COUNTIFS(BD!$A$3:$A$5001,AE$3,BD!$B$3:$B$5001,$A$267,BD!$C$3:$C$5001,"&lt;&gt;")=0,"",SUMIFS(BD!$C$3:$C$5001,BD!$A$3:$A$5001,AE$3,BD!$B$3:$B$5001,$A$267)))</f>
        <v/>
      </c>
      <c r="AF267" s="172" t="str">
        <f>IF(AF$3="","",IF(COUNTIFS(BD!$A$3:$A$5001,AF$3,BD!$B$3:$B$5001,$A$267,BD!$C$3:$C$5001,"&lt;&gt;")=0,"",SUMIFS(BD!$C$3:$C$5001,BD!$A$3:$A$5001,AF$3,BD!$B$3:$B$5001,$A$267)))</f>
        <v/>
      </c>
      <c r="AG267" s="172" t="str">
        <f>IF(AG$3="","",IF(COUNTIFS(BD!$A$3:$A$5001,AG$3,BD!$B$3:$B$5001,$A$267,BD!$C$3:$C$5001,"&lt;&gt;")=0,"",SUMIFS(BD!$C$3:$C$5001,BD!$A$3:$A$5001,AG$3,BD!$B$3:$B$5001,$A$267)))</f>
        <v/>
      </c>
      <c r="AH267" s="172" t="str">
        <f>IF(AH$3="","",IF(COUNTIFS(BD!$A$3:$A$5001,AH$3,BD!$B$3:$B$5001,$A$267,BD!$C$3:$C$5001,"&lt;&gt;")=0,"",SUMIFS(BD!$C$3:$C$5001,BD!$A$3:$A$5001,AH$3,BD!$B$3:$B$5001,$A$267)))</f>
        <v/>
      </c>
      <c r="AI267" s="172" t="str">
        <f>IF(AI$3="","",IF(COUNTIFS(BD!$A$3:$A$5001,AI$3,BD!$B$3:$B$5001,$A$267,BD!$C$3:$C$5001,"&lt;&gt;")=0,"",SUMIFS(BD!$C$3:$C$5001,BD!$A$3:$A$5001,AI$3,BD!$B$3:$B$5001,$A$267)))</f>
        <v/>
      </c>
      <c r="AJ267" s="173" t="str">
        <f>IF(AJ$3="","",IF(COUNTIFS(BD!$A$3:$A$5001,AJ$3,BD!$B$3:$B$5001,$A$267,BD!$C$3:$C$5001,"&lt;&gt;")=0,"",SUMIFS(BD!$C$3:$C$5001,BD!$A$3:$A$5001,AJ$3,BD!$B$3:$B$5001,$A$267)))</f>
        <v/>
      </c>
      <c r="AK267" s="174" t="str">
        <f>IF(COUNT(F267:AJ267)=0,"",SUM(F267:AJ267))</f>
        <v/>
      </c>
    </row>
    <row r="268" ht="15.75" customHeight="1" hidden="1">
      <c r="A268" s="277"/>
      <c r="B268" s="265"/>
      <c r="C268" s="175" t="inlineStr">
        <is>
          <t xml:space="preserve">Pallets Movimentados</t>
        </is>
      </c>
      <c r="D268" s="176" t="str">
        <f>IFERROR(1/(1/INDEX(BD!$AF$24:$AZ$24,MATCH($A$267,BD!$AF$22:$AZ$22,0))),"")</f>
        <v/>
      </c>
      <c r="E268" s="177"/>
      <c r="F268" s="178" t="str">
        <f>IF(F$3="","",IF(COUNTIFS(BD!$A$3:$A$5001,F$3,BD!$B$3:$B$5001,$A$267,BD!$D$3:$D$5001,"&lt;&gt;")=0,"",SUMIFS(BD!$D$3:$D$5001,BD!$A$3:$A$5001,F$3,BD!$B$3:$B$5001,$A$267)))</f>
        <v/>
      </c>
      <c r="G268" s="179" t="str">
        <f>IF(G$3="","",IF(COUNTIFS(BD!$A$3:$A$5001,G$3,BD!$B$3:$B$5001,$A$267,BD!$D$3:$D$5001,"&lt;&gt;")=0,"",SUMIFS(BD!$D$3:$D$5001,BD!$A$3:$A$5001,G$3,BD!$B$3:$B$5001,$A$267)))</f>
        <v/>
      </c>
      <c r="H268" s="179" t="str">
        <f>IF(H$3="","",IF(COUNTIFS(BD!$A$3:$A$5001,H$3,BD!$B$3:$B$5001,$A$267,BD!$D$3:$D$5001,"&lt;&gt;")=0,"",SUMIFS(BD!$D$3:$D$5001,BD!$A$3:$A$5001,H$3,BD!$B$3:$B$5001,$A$267)))</f>
        <v/>
      </c>
      <c r="I268" s="179" t="str">
        <f>IF(I$3="","",IF(COUNTIFS(BD!$A$3:$A$5001,I$3,BD!$B$3:$B$5001,$A$267,BD!$D$3:$D$5001,"&lt;&gt;")=0,"",SUMIFS(BD!$D$3:$D$5001,BD!$A$3:$A$5001,I$3,BD!$B$3:$B$5001,$A$267)))</f>
        <v/>
      </c>
      <c r="J268" s="179" t="str">
        <f>IF(J$3="","",IF(COUNTIFS(BD!$A$3:$A$5001,J$3,BD!$B$3:$B$5001,$A$267,BD!$D$3:$D$5001,"&lt;&gt;")=0,"",SUMIFS(BD!$D$3:$D$5001,BD!$A$3:$A$5001,J$3,BD!$B$3:$B$5001,$A$267)))</f>
        <v/>
      </c>
      <c r="K268" s="179" t="str">
        <f>IF(K$3="","",IF(COUNTIFS(BD!$A$3:$A$5001,K$3,BD!$B$3:$B$5001,$A$267,BD!$D$3:$D$5001,"&lt;&gt;")=0,"",SUMIFS(BD!$D$3:$D$5001,BD!$A$3:$A$5001,K$3,BD!$B$3:$B$5001,$A$267)))</f>
        <v/>
      </c>
      <c r="L268" s="179" t="str">
        <f>IF(L$3="","",IF(COUNTIFS(BD!$A$3:$A$5001,L$3,BD!$B$3:$B$5001,$A$267,BD!$D$3:$D$5001,"&lt;&gt;")=0,"",SUMIFS(BD!$D$3:$D$5001,BD!$A$3:$A$5001,L$3,BD!$B$3:$B$5001,$A$267)))</f>
        <v/>
      </c>
      <c r="M268" s="179" t="str">
        <f>IF(M$3="","",IF(COUNTIFS(BD!$A$3:$A$5001,M$3,BD!$B$3:$B$5001,$A$267,BD!$D$3:$D$5001,"&lt;&gt;")=0,"",SUMIFS(BD!$D$3:$D$5001,BD!$A$3:$A$5001,M$3,BD!$B$3:$B$5001,$A$267)))</f>
        <v/>
      </c>
      <c r="N268" s="179" t="str">
        <f>IF(N$3="","",IF(COUNTIFS(BD!$A$3:$A$5001,N$3,BD!$B$3:$B$5001,$A$267,BD!$D$3:$D$5001,"&lt;&gt;")=0,"",SUMIFS(BD!$D$3:$D$5001,BD!$A$3:$A$5001,N$3,BD!$B$3:$B$5001,$A$267)))</f>
        <v/>
      </c>
      <c r="O268" s="179" t="str">
        <f>IF(O$3="","",IF(COUNTIFS(BD!$A$3:$A$5001,O$3,BD!$B$3:$B$5001,$A$267,BD!$D$3:$D$5001,"&lt;&gt;")=0,"",SUMIFS(BD!$D$3:$D$5001,BD!$A$3:$A$5001,O$3,BD!$B$3:$B$5001,$A$267)))</f>
        <v/>
      </c>
      <c r="P268" s="179" t="str">
        <f>IF(P$3="","",IF(COUNTIFS(BD!$A$3:$A$5001,P$3,BD!$B$3:$B$5001,$A$267,BD!$D$3:$D$5001,"&lt;&gt;")=0,"",SUMIFS(BD!$D$3:$D$5001,BD!$A$3:$A$5001,P$3,BD!$B$3:$B$5001,$A$267)))</f>
        <v/>
      </c>
      <c r="Q268" s="179" t="str">
        <f>IF(Q$3="","",IF(COUNTIFS(BD!$A$3:$A$5001,Q$3,BD!$B$3:$B$5001,$A$267,BD!$D$3:$D$5001,"&lt;&gt;")=0,"",SUMIFS(BD!$D$3:$D$5001,BD!$A$3:$A$5001,Q$3,BD!$B$3:$B$5001,$A$267)))</f>
        <v/>
      </c>
      <c r="R268" s="179" t="str">
        <f>IF(R$3="","",IF(COUNTIFS(BD!$A$3:$A$5001,R$3,BD!$B$3:$B$5001,$A$267,BD!$D$3:$D$5001,"&lt;&gt;")=0,"",SUMIFS(BD!$D$3:$D$5001,BD!$A$3:$A$5001,R$3,BD!$B$3:$B$5001,$A$267)))</f>
        <v/>
      </c>
      <c r="S268" s="179" t="str">
        <f>IF(S$3="","",IF(COUNTIFS(BD!$A$3:$A$5001,S$3,BD!$B$3:$B$5001,$A$267,BD!$D$3:$D$5001,"&lt;&gt;")=0,"",SUMIFS(BD!$D$3:$D$5001,BD!$A$3:$A$5001,S$3,BD!$B$3:$B$5001,$A$267)))</f>
        <v/>
      </c>
      <c r="T268" s="179" t="str">
        <f>IF(T$3="","",IF(COUNTIFS(BD!$A$3:$A$5001,T$3,BD!$B$3:$B$5001,$A$267,BD!$D$3:$D$5001,"&lt;&gt;")=0,"",SUMIFS(BD!$D$3:$D$5001,BD!$A$3:$A$5001,T$3,BD!$B$3:$B$5001,$A$267)))</f>
        <v/>
      </c>
      <c r="U268" s="179" t="str">
        <f>IF(U$3="","",IF(COUNTIFS(BD!$A$3:$A$5001,U$3,BD!$B$3:$B$5001,$A$267,BD!$D$3:$D$5001,"&lt;&gt;")=0,"",SUMIFS(BD!$D$3:$D$5001,BD!$A$3:$A$5001,U$3,BD!$B$3:$B$5001,$A$267)))</f>
        <v/>
      </c>
      <c r="V268" s="179" t="str">
        <f>IF(V$3="","",IF(COUNTIFS(BD!$A$3:$A$5001,V$3,BD!$B$3:$B$5001,$A$267,BD!$D$3:$D$5001,"&lt;&gt;")=0,"",SUMIFS(BD!$D$3:$D$5001,BD!$A$3:$A$5001,V$3,BD!$B$3:$B$5001,$A$267)))</f>
        <v/>
      </c>
      <c r="W268" s="179" t="str">
        <f>IF(W$3="","",IF(COUNTIFS(BD!$A$3:$A$5001,W$3,BD!$B$3:$B$5001,$A$267,BD!$D$3:$D$5001,"&lt;&gt;")=0,"",SUMIFS(BD!$D$3:$D$5001,BD!$A$3:$A$5001,W$3,BD!$B$3:$B$5001,$A$267)))</f>
        <v/>
      </c>
      <c r="X268" s="179" t="str">
        <f>IF(X$3="","",IF(COUNTIFS(BD!$A$3:$A$5001,X$3,BD!$B$3:$B$5001,$A$267,BD!$D$3:$D$5001,"&lt;&gt;")=0,"",SUMIFS(BD!$D$3:$D$5001,BD!$A$3:$A$5001,X$3,BD!$B$3:$B$5001,$A$267)))</f>
        <v/>
      </c>
      <c r="Y268" s="179" t="str">
        <f>IF(Y$3="","",IF(COUNTIFS(BD!$A$3:$A$5001,Y$3,BD!$B$3:$B$5001,$A$267,BD!$D$3:$D$5001,"&lt;&gt;")=0,"",SUMIFS(BD!$D$3:$D$5001,BD!$A$3:$A$5001,Y$3,BD!$B$3:$B$5001,$A$267)))</f>
        <v/>
      </c>
      <c r="Z268" s="179" t="str">
        <f>IF(Z$3="","",IF(COUNTIFS(BD!$A$3:$A$5001,Z$3,BD!$B$3:$B$5001,$A$267,BD!$D$3:$D$5001,"&lt;&gt;")=0,"",SUMIFS(BD!$D$3:$D$5001,BD!$A$3:$A$5001,Z$3,BD!$B$3:$B$5001,$A$267)))</f>
        <v/>
      </c>
      <c r="AA268" s="179" t="str">
        <f>IF(AA$3="","",IF(COUNTIFS(BD!$A$3:$A$5001,AA$3,BD!$B$3:$B$5001,$A$267,BD!$D$3:$D$5001,"&lt;&gt;")=0,"",SUMIFS(BD!$D$3:$D$5001,BD!$A$3:$A$5001,AA$3,BD!$B$3:$B$5001,$A$267)))</f>
        <v/>
      </c>
      <c r="AB268" s="179" t="str">
        <f>IF(AB$3="","",IF(COUNTIFS(BD!$A$3:$A$5001,AB$3,BD!$B$3:$B$5001,$A$267,BD!$D$3:$D$5001,"&lt;&gt;")=0,"",SUMIFS(BD!$D$3:$D$5001,BD!$A$3:$A$5001,AB$3,BD!$B$3:$B$5001,$A$267)))</f>
        <v/>
      </c>
      <c r="AC268" s="179" t="str">
        <f>IF(AC$3="","",IF(COUNTIFS(BD!$A$3:$A$5001,AC$3,BD!$B$3:$B$5001,$A$267,BD!$D$3:$D$5001,"&lt;&gt;")=0,"",SUMIFS(BD!$D$3:$D$5001,BD!$A$3:$A$5001,AC$3,BD!$B$3:$B$5001,$A$267)))</f>
        <v/>
      </c>
      <c r="AD268" s="179" t="str">
        <f>IF(AD$3="","",IF(COUNTIFS(BD!$A$3:$A$5001,AD$3,BD!$B$3:$B$5001,$A$267,BD!$D$3:$D$5001,"&lt;&gt;")=0,"",SUMIFS(BD!$D$3:$D$5001,BD!$A$3:$A$5001,AD$3,BD!$B$3:$B$5001,$A$267)))</f>
        <v/>
      </c>
      <c r="AE268" s="179" t="str">
        <f>IF(AE$3="","",IF(COUNTIFS(BD!$A$3:$A$5001,AE$3,BD!$B$3:$B$5001,$A$267,BD!$D$3:$D$5001,"&lt;&gt;")=0,"",SUMIFS(BD!$D$3:$D$5001,BD!$A$3:$A$5001,AE$3,BD!$B$3:$B$5001,$A$267)))</f>
        <v/>
      </c>
      <c r="AF268" s="179" t="str">
        <f>IF(AF$3="","",IF(COUNTIFS(BD!$A$3:$A$5001,AF$3,BD!$B$3:$B$5001,$A$267,BD!$D$3:$D$5001,"&lt;&gt;")=0,"",SUMIFS(BD!$D$3:$D$5001,BD!$A$3:$A$5001,AF$3,BD!$B$3:$B$5001,$A$267)))</f>
        <v/>
      </c>
      <c r="AG268" s="179" t="str">
        <f>IF(AG$3="","",IF(COUNTIFS(BD!$A$3:$A$5001,AG$3,BD!$B$3:$B$5001,$A$267,BD!$D$3:$D$5001,"&lt;&gt;")=0,"",SUMIFS(BD!$D$3:$D$5001,BD!$A$3:$A$5001,AG$3,BD!$B$3:$B$5001,$A$267)))</f>
        <v/>
      </c>
      <c r="AH268" s="179" t="str">
        <f>IF(AH$3="","",IF(COUNTIFS(BD!$A$3:$A$5001,AH$3,BD!$B$3:$B$5001,$A$267,BD!$D$3:$D$5001,"&lt;&gt;")=0,"",SUMIFS(BD!$D$3:$D$5001,BD!$A$3:$A$5001,AH$3,BD!$B$3:$B$5001,$A$267)))</f>
        <v/>
      </c>
      <c r="AI268" s="179" t="str">
        <f>IF(AI$3="","",IF(COUNTIFS(BD!$A$3:$A$5001,AI$3,BD!$B$3:$B$5001,$A$267,BD!$D$3:$D$5001,"&lt;&gt;")=0,"",SUMIFS(BD!$D$3:$D$5001,BD!$A$3:$A$5001,AI$3,BD!$B$3:$B$5001,$A$267)))</f>
        <v/>
      </c>
      <c r="AJ268" s="180" t="str">
        <f>IF(AJ$3="","",IF(COUNTIFS(BD!$A$3:$A$5001,AJ$3,BD!$B$3:$B$5001,$A$267,BD!$D$3:$D$5001,"&lt;&gt;")=0,"",SUMIFS(BD!$D$3:$D$5001,BD!$A$3:$A$5001,AJ$3,BD!$B$3:$B$5001,$A$267)))</f>
        <v/>
      </c>
      <c r="AK268" s="181" t="str">
        <f>IF(COUNT(F268:AJ268)=0,"",SUM(F268:AJ268))</f>
        <v/>
      </c>
    </row>
    <row r="269" ht="15.75" customHeight="1" hidden="1">
      <c r="A269" s="277"/>
      <c r="B269" s="265"/>
      <c r="C269" s="175" t="inlineStr">
        <is>
          <t xml:space="preserve">Toneladas Movimentadas</t>
        </is>
      </c>
      <c r="D269" s="176" t="str">
        <f>IFERROR(1/(1/INDEX(BD!$AF$25:$AZ$25,MATCH($A$267,BD!$AF$22:$AZ$22,0))),"")</f>
        <v/>
      </c>
      <c r="E269" s="177"/>
      <c r="F269" s="182" t="str">
        <f>IF(F$3="","",IF(COUNTIFS(BD!$A$3:$A$5001,F$3,BD!$B$3:$B$5001,$A$267,BD!$E$3:$E$5001,"&lt;&gt;")=0,"",SUMIFS(BD!$E$3:$E$5001,BD!$A$3:$A$5001,F$3,BD!$B$3:$B$5001,$A$267)))</f>
        <v/>
      </c>
      <c r="G269" s="183" t="str">
        <f>IF(G$3="","",IF(COUNTIFS(BD!$A$3:$A$5001,G$3,BD!$B$3:$B$5001,$A$267,BD!$E$3:$E$5001,"&lt;&gt;")=0,"",SUMIFS(BD!$E$3:$E$5001,BD!$A$3:$A$5001,G$3,BD!$B$3:$B$5001,$A$267)))</f>
        <v/>
      </c>
      <c r="H269" s="183" t="str">
        <f>IF(H$3="","",IF(COUNTIFS(BD!$A$3:$A$5001,H$3,BD!$B$3:$B$5001,$A$267,BD!$E$3:$E$5001,"&lt;&gt;")=0,"",SUMIFS(BD!$E$3:$E$5001,BD!$A$3:$A$5001,H$3,BD!$B$3:$B$5001,$A$267)))</f>
        <v/>
      </c>
      <c r="I269" s="183" t="str">
        <f>IF(I$3="","",IF(COUNTIFS(BD!$A$3:$A$5001,I$3,BD!$B$3:$B$5001,$A$267,BD!$E$3:$E$5001,"&lt;&gt;")=0,"",SUMIFS(BD!$E$3:$E$5001,BD!$A$3:$A$5001,I$3,BD!$B$3:$B$5001,$A$267)))</f>
        <v/>
      </c>
      <c r="J269" s="183" t="str">
        <f>IF(J$3="","",IF(COUNTIFS(BD!$A$3:$A$5001,J$3,BD!$B$3:$B$5001,$A$267,BD!$E$3:$E$5001,"&lt;&gt;")=0,"",SUMIFS(BD!$E$3:$E$5001,BD!$A$3:$A$5001,J$3,BD!$B$3:$B$5001,$A$267)))</f>
        <v/>
      </c>
      <c r="K269" s="183" t="str">
        <f>IF(K$3="","",IF(COUNTIFS(BD!$A$3:$A$5001,K$3,BD!$B$3:$B$5001,$A$267,BD!$E$3:$E$5001,"&lt;&gt;")=0,"",SUMIFS(BD!$E$3:$E$5001,BD!$A$3:$A$5001,K$3,BD!$B$3:$B$5001,$A$267)))</f>
        <v/>
      </c>
      <c r="L269" s="183" t="str">
        <f>IF(L$3="","",IF(COUNTIFS(BD!$A$3:$A$5001,L$3,BD!$B$3:$B$5001,$A$267,BD!$E$3:$E$5001,"&lt;&gt;")=0,"",SUMIFS(BD!$E$3:$E$5001,BD!$A$3:$A$5001,L$3,BD!$B$3:$B$5001,$A$267)))</f>
        <v/>
      </c>
      <c r="M269" s="183" t="str">
        <f>IF(M$3="","",IF(COUNTIFS(BD!$A$3:$A$5001,M$3,BD!$B$3:$B$5001,$A$267,BD!$E$3:$E$5001,"&lt;&gt;")=0,"",SUMIFS(BD!$E$3:$E$5001,BD!$A$3:$A$5001,M$3,BD!$B$3:$B$5001,$A$267)))</f>
        <v/>
      </c>
      <c r="N269" s="183" t="str">
        <f>IF(N$3="","",IF(COUNTIFS(BD!$A$3:$A$5001,N$3,BD!$B$3:$B$5001,$A$267,BD!$E$3:$E$5001,"&lt;&gt;")=0,"",SUMIFS(BD!$E$3:$E$5001,BD!$A$3:$A$5001,N$3,BD!$B$3:$B$5001,$A$267)))</f>
        <v/>
      </c>
      <c r="O269" s="183" t="str">
        <f>IF(O$3="","",IF(COUNTIFS(BD!$A$3:$A$5001,O$3,BD!$B$3:$B$5001,$A$267,BD!$E$3:$E$5001,"&lt;&gt;")=0,"",SUMIFS(BD!$E$3:$E$5001,BD!$A$3:$A$5001,O$3,BD!$B$3:$B$5001,$A$267)))</f>
        <v/>
      </c>
      <c r="P269" s="183" t="str">
        <f>IF(P$3="","",IF(COUNTIFS(BD!$A$3:$A$5001,P$3,BD!$B$3:$B$5001,$A$267,BD!$E$3:$E$5001,"&lt;&gt;")=0,"",SUMIFS(BD!$E$3:$E$5001,BD!$A$3:$A$5001,P$3,BD!$B$3:$B$5001,$A$267)))</f>
        <v/>
      </c>
      <c r="Q269" s="183" t="str">
        <f>IF(Q$3="","",IF(COUNTIFS(BD!$A$3:$A$5001,Q$3,BD!$B$3:$B$5001,$A$267,BD!$E$3:$E$5001,"&lt;&gt;")=0,"",SUMIFS(BD!$E$3:$E$5001,BD!$A$3:$A$5001,Q$3,BD!$B$3:$B$5001,$A$267)))</f>
        <v/>
      </c>
      <c r="R269" s="183" t="str">
        <f>IF(R$3="","",IF(COUNTIFS(BD!$A$3:$A$5001,R$3,BD!$B$3:$B$5001,$A$267,BD!$E$3:$E$5001,"&lt;&gt;")=0,"",SUMIFS(BD!$E$3:$E$5001,BD!$A$3:$A$5001,R$3,BD!$B$3:$B$5001,$A$267)))</f>
        <v/>
      </c>
      <c r="S269" s="183" t="str">
        <f>IF(S$3="","",IF(COUNTIFS(BD!$A$3:$A$5001,S$3,BD!$B$3:$B$5001,$A$267,BD!$E$3:$E$5001,"&lt;&gt;")=0,"",SUMIFS(BD!$E$3:$E$5001,BD!$A$3:$A$5001,S$3,BD!$B$3:$B$5001,$A$267)))</f>
        <v/>
      </c>
      <c r="T269" s="183" t="str">
        <f>IF(T$3="","",IF(COUNTIFS(BD!$A$3:$A$5001,T$3,BD!$B$3:$B$5001,$A$267,BD!$E$3:$E$5001,"&lt;&gt;")=0,"",SUMIFS(BD!$E$3:$E$5001,BD!$A$3:$A$5001,T$3,BD!$B$3:$B$5001,$A$267)))</f>
        <v/>
      </c>
      <c r="U269" s="183" t="str">
        <f>IF(U$3="","",IF(COUNTIFS(BD!$A$3:$A$5001,U$3,BD!$B$3:$B$5001,$A$267,BD!$E$3:$E$5001,"&lt;&gt;")=0,"",SUMIFS(BD!$E$3:$E$5001,BD!$A$3:$A$5001,U$3,BD!$B$3:$B$5001,$A$267)))</f>
        <v/>
      </c>
      <c r="V269" s="183" t="str">
        <f>IF(V$3="","",IF(COUNTIFS(BD!$A$3:$A$5001,V$3,BD!$B$3:$B$5001,$A$267,BD!$E$3:$E$5001,"&lt;&gt;")=0,"",SUMIFS(BD!$E$3:$E$5001,BD!$A$3:$A$5001,V$3,BD!$B$3:$B$5001,$A$267)))</f>
        <v/>
      </c>
      <c r="W269" s="183" t="str">
        <f>IF(W$3="","",IF(COUNTIFS(BD!$A$3:$A$5001,W$3,BD!$B$3:$B$5001,$A$267,BD!$E$3:$E$5001,"&lt;&gt;")=0,"",SUMIFS(BD!$E$3:$E$5001,BD!$A$3:$A$5001,W$3,BD!$B$3:$B$5001,$A$267)))</f>
        <v/>
      </c>
      <c r="X269" s="183" t="str">
        <f>IF(X$3="","",IF(COUNTIFS(BD!$A$3:$A$5001,X$3,BD!$B$3:$B$5001,$A$267,BD!$E$3:$E$5001,"&lt;&gt;")=0,"",SUMIFS(BD!$E$3:$E$5001,BD!$A$3:$A$5001,X$3,BD!$B$3:$B$5001,$A$267)))</f>
        <v/>
      </c>
      <c r="Y269" s="183" t="str">
        <f>IF(Y$3="","",IF(COUNTIFS(BD!$A$3:$A$5001,Y$3,BD!$B$3:$B$5001,$A$267,BD!$E$3:$E$5001,"&lt;&gt;")=0,"",SUMIFS(BD!$E$3:$E$5001,BD!$A$3:$A$5001,Y$3,BD!$B$3:$B$5001,$A$267)))</f>
        <v/>
      </c>
      <c r="Z269" s="183" t="str">
        <f>IF(Z$3="","",IF(COUNTIFS(BD!$A$3:$A$5001,Z$3,BD!$B$3:$B$5001,$A$267,BD!$E$3:$E$5001,"&lt;&gt;")=0,"",SUMIFS(BD!$E$3:$E$5001,BD!$A$3:$A$5001,Z$3,BD!$B$3:$B$5001,$A$267)))</f>
        <v/>
      </c>
      <c r="AA269" s="183" t="str">
        <f>IF(AA$3="","",IF(COUNTIFS(BD!$A$3:$A$5001,AA$3,BD!$B$3:$B$5001,$A$267,BD!$E$3:$E$5001,"&lt;&gt;")=0,"",SUMIFS(BD!$E$3:$E$5001,BD!$A$3:$A$5001,AA$3,BD!$B$3:$B$5001,$A$267)))</f>
        <v/>
      </c>
      <c r="AB269" s="183" t="str">
        <f>IF(AB$3="","",IF(COUNTIFS(BD!$A$3:$A$5001,AB$3,BD!$B$3:$B$5001,$A$267,BD!$E$3:$E$5001,"&lt;&gt;")=0,"",SUMIFS(BD!$E$3:$E$5001,BD!$A$3:$A$5001,AB$3,BD!$B$3:$B$5001,$A$267)))</f>
        <v/>
      </c>
      <c r="AC269" s="183" t="str">
        <f>IF(AC$3="","",IF(COUNTIFS(BD!$A$3:$A$5001,AC$3,BD!$B$3:$B$5001,$A$267,BD!$E$3:$E$5001,"&lt;&gt;")=0,"",SUMIFS(BD!$E$3:$E$5001,BD!$A$3:$A$5001,AC$3,BD!$B$3:$B$5001,$A$267)))</f>
        <v/>
      </c>
      <c r="AD269" s="183" t="str">
        <f>IF(AD$3="","",IF(COUNTIFS(BD!$A$3:$A$5001,AD$3,BD!$B$3:$B$5001,$A$267,BD!$E$3:$E$5001,"&lt;&gt;")=0,"",SUMIFS(BD!$E$3:$E$5001,BD!$A$3:$A$5001,AD$3,BD!$B$3:$B$5001,$A$267)))</f>
        <v/>
      </c>
      <c r="AE269" s="183" t="str">
        <f>IF(AE$3="","",IF(COUNTIFS(BD!$A$3:$A$5001,AE$3,BD!$B$3:$B$5001,$A$267,BD!$E$3:$E$5001,"&lt;&gt;")=0,"",SUMIFS(BD!$E$3:$E$5001,BD!$A$3:$A$5001,AE$3,BD!$B$3:$B$5001,$A$267)))</f>
        <v/>
      </c>
      <c r="AF269" s="183" t="str">
        <f>IF(AF$3="","",IF(COUNTIFS(BD!$A$3:$A$5001,AF$3,BD!$B$3:$B$5001,$A$267,BD!$E$3:$E$5001,"&lt;&gt;")=0,"",SUMIFS(BD!$E$3:$E$5001,BD!$A$3:$A$5001,AF$3,BD!$B$3:$B$5001,$A$267)))</f>
        <v/>
      </c>
      <c r="AG269" s="183" t="str">
        <f>IF(AG$3="","",IF(COUNTIFS(BD!$A$3:$A$5001,AG$3,BD!$B$3:$B$5001,$A$267,BD!$E$3:$E$5001,"&lt;&gt;")=0,"",SUMIFS(BD!$E$3:$E$5001,BD!$A$3:$A$5001,AG$3,BD!$B$3:$B$5001,$A$267)))</f>
        <v/>
      </c>
      <c r="AH269" s="183" t="str">
        <f>IF(AH$3="","",IF(COUNTIFS(BD!$A$3:$A$5001,AH$3,BD!$B$3:$B$5001,$A$267,BD!$E$3:$E$5001,"&lt;&gt;")=0,"",SUMIFS(BD!$E$3:$E$5001,BD!$A$3:$A$5001,AH$3,BD!$B$3:$B$5001,$A$267)))</f>
        <v/>
      </c>
      <c r="AI269" s="183" t="str">
        <f>IF(AI$3="","",IF(COUNTIFS(BD!$A$3:$A$5001,AI$3,BD!$B$3:$B$5001,$A$267,BD!$E$3:$E$5001,"&lt;&gt;")=0,"",SUMIFS(BD!$E$3:$E$5001,BD!$A$3:$A$5001,AI$3,BD!$B$3:$B$5001,$A$267)))</f>
        <v/>
      </c>
      <c r="AJ269" s="184" t="str">
        <f>IF(AJ$3="","",IF(COUNTIFS(BD!$A$3:$A$5001,AJ$3,BD!$B$3:$B$5001,$A$267,BD!$E$3:$E$5001,"&lt;&gt;")=0,"",SUMIFS(BD!$E$3:$E$5001,BD!$A$3:$A$5001,AJ$3,BD!$B$3:$B$5001,$A$267)))</f>
        <v/>
      </c>
      <c r="AK269" s="185" t="str">
        <f>IF(COUNT(F269:AJ269)=0,"",SUM(F269:AJ269))</f>
        <v/>
      </c>
    </row>
    <row r="270" ht="15.75" customHeight="1" hidden="1">
      <c r="A270" s="277"/>
      <c r="B270" s="265"/>
      <c r="C270" s="175" t="inlineStr">
        <is>
          <t xml:space="preserve">Caixas Recebidas</t>
        </is>
      </c>
      <c r="D270" s="176" t="str">
        <f>IFERROR(1/(1/INDEX(BD!$AF$26:$AZ$26,MATCH($A$267,BD!$AF$22:$AZ$22,0))),"")</f>
        <v/>
      </c>
      <c r="E270" s="177"/>
      <c r="F270" s="178" t="str">
        <f>IF(F$3="","",IF(COUNTIFS(BD!$A$3:$A$5001,F$3,BD!$B$3:$B$5001,$A$267,BD!$F$3:$F$5001,"&lt;&gt;")=0,"",SUMIFS(BD!$F$3:$F$5001,BD!$A$3:$A$5001,F$3,BD!$B$3:$B$5001,$A$267)))</f>
        <v/>
      </c>
      <c r="G270" s="179" t="str">
        <f>IF(G$3="","",IF(COUNTIFS(BD!$A$3:$A$5001,G$3,BD!$B$3:$B$5001,$A$267,BD!$F$3:$F$5001,"&lt;&gt;")=0,"",SUMIFS(BD!$F$3:$F$5001,BD!$A$3:$A$5001,G$3,BD!$B$3:$B$5001,$A$267)))</f>
        <v/>
      </c>
      <c r="H270" s="179" t="str">
        <f>IF(H$3="","",IF(COUNTIFS(BD!$A$3:$A$5001,H$3,BD!$B$3:$B$5001,$A$267,BD!$F$3:$F$5001,"&lt;&gt;")=0,"",SUMIFS(BD!$F$3:$F$5001,BD!$A$3:$A$5001,H$3,BD!$B$3:$B$5001,$A$267)))</f>
        <v/>
      </c>
      <c r="I270" s="179" t="str">
        <f>IF(I$3="","",IF(COUNTIFS(BD!$A$3:$A$5001,I$3,BD!$B$3:$B$5001,$A$267,BD!$F$3:$F$5001,"&lt;&gt;")=0,"",SUMIFS(BD!$F$3:$F$5001,BD!$A$3:$A$5001,I$3,BD!$B$3:$B$5001,$A$267)))</f>
        <v/>
      </c>
      <c r="J270" s="179" t="str">
        <f>IF(J$3="","",IF(COUNTIFS(BD!$A$3:$A$5001,J$3,BD!$B$3:$B$5001,$A$267,BD!$F$3:$F$5001,"&lt;&gt;")=0,"",SUMIFS(BD!$F$3:$F$5001,BD!$A$3:$A$5001,J$3,BD!$B$3:$B$5001,$A$267)))</f>
        <v/>
      </c>
      <c r="K270" s="179" t="str">
        <f>IF(K$3="","",IF(COUNTIFS(BD!$A$3:$A$5001,K$3,BD!$B$3:$B$5001,$A$267,BD!$F$3:$F$5001,"&lt;&gt;")=0,"",SUMIFS(BD!$F$3:$F$5001,BD!$A$3:$A$5001,K$3,BD!$B$3:$B$5001,$A$267)))</f>
        <v/>
      </c>
      <c r="L270" s="179" t="str">
        <f>IF(L$3="","",IF(COUNTIFS(BD!$A$3:$A$5001,L$3,BD!$B$3:$B$5001,$A$267,BD!$F$3:$F$5001,"&lt;&gt;")=0,"",SUMIFS(BD!$F$3:$F$5001,BD!$A$3:$A$5001,L$3,BD!$B$3:$B$5001,$A$267)))</f>
        <v/>
      </c>
      <c r="M270" s="179" t="str">
        <f>IF(M$3="","",IF(COUNTIFS(BD!$A$3:$A$5001,M$3,BD!$B$3:$B$5001,$A$267,BD!$F$3:$F$5001,"&lt;&gt;")=0,"",SUMIFS(BD!$F$3:$F$5001,BD!$A$3:$A$5001,M$3,BD!$B$3:$B$5001,$A$267)))</f>
        <v/>
      </c>
      <c r="N270" s="179" t="str">
        <f>IF(N$3="","",IF(COUNTIFS(BD!$A$3:$A$5001,N$3,BD!$B$3:$B$5001,$A$267,BD!$F$3:$F$5001,"&lt;&gt;")=0,"",SUMIFS(BD!$F$3:$F$5001,BD!$A$3:$A$5001,N$3,BD!$B$3:$B$5001,$A$267)))</f>
        <v/>
      </c>
      <c r="O270" s="179" t="str">
        <f>IF(O$3="","",IF(COUNTIFS(BD!$A$3:$A$5001,O$3,BD!$B$3:$B$5001,$A$267,BD!$F$3:$F$5001,"&lt;&gt;")=0,"",SUMIFS(BD!$F$3:$F$5001,BD!$A$3:$A$5001,O$3,BD!$B$3:$B$5001,$A$267)))</f>
        <v/>
      </c>
      <c r="P270" s="179" t="str">
        <f>IF(P$3="","",IF(COUNTIFS(BD!$A$3:$A$5001,P$3,BD!$B$3:$B$5001,$A$267,BD!$F$3:$F$5001,"&lt;&gt;")=0,"",SUMIFS(BD!$F$3:$F$5001,BD!$A$3:$A$5001,P$3,BD!$B$3:$B$5001,$A$267)))</f>
        <v/>
      </c>
      <c r="Q270" s="179" t="str">
        <f>IF(Q$3="","",IF(COUNTIFS(BD!$A$3:$A$5001,Q$3,BD!$B$3:$B$5001,$A$267,BD!$F$3:$F$5001,"&lt;&gt;")=0,"",SUMIFS(BD!$F$3:$F$5001,BD!$A$3:$A$5001,Q$3,BD!$B$3:$B$5001,$A$267)))</f>
        <v/>
      </c>
      <c r="R270" s="179" t="str">
        <f>IF(R$3="","",IF(COUNTIFS(BD!$A$3:$A$5001,R$3,BD!$B$3:$B$5001,$A$267,BD!$F$3:$F$5001,"&lt;&gt;")=0,"",SUMIFS(BD!$F$3:$F$5001,BD!$A$3:$A$5001,R$3,BD!$B$3:$B$5001,$A$267)))</f>
        <v/>
      </c>
      <c r="S270" s="179" t="str">
        <f>IF(S$3="","",IF(COUNTIFS(BD!$A$3:$A$5001,S$3,BD!$B$3:$B$5001,$A$267,BD!$F$3:$F$5001,"&lt;&gt;")=0,"",SUMIFS(BD!$F$3:$F$5001,BD!$A$3:$A$5001,S$3,BD!$B$3:$B$5001,$A$267)))</f>
        <v/>
      </c>
      <c r="T270" s="179" t="str">
        <f>IF(T$3="","",IF(COUNTIFS(BD!$A$3:$A$5001,T$3,BD!$B$3:$B$5001,$A$267,BD!$F$3:$F$5001,"&lt;&gt;")=0,"",SUMIFS(BD!$F$3:$F$5001,BD!$A$3:$A$5001,T$3,BD!$B$3:$B$5001,$A$267)))</f>
        <v/>
      </c>
      <c r="U270" s="179" t="str">
        <f>IF(U$3="","",IF(COUNTIFS(BD!$A$3:$A$5001,U$3,BD!$B$3:$B$5001,$A$267,BD!$F$3:$F$5001,"&lt;&gt;")=0,"",SUMIFS(BD!$F$3:$F$5001,BD!$A$3:$A$5001,U$3,BD!$B$3:$B$5001,$A$267)))</f>
        <v/>
      </c>
      <c r="V270" s="179" t="str">
        <f>IF(V$3="","",IF(COUNTIFS(BD!$A$3:$A$5001,V$3,BD!$B$3:$B$5001,$A$267,BD!$F$3:$F$5001,"&lt;&gt;")=0,"",SUMIFS(BD!$F$3:$F$5001,BD!$A$3:$A$5001,V$3,BD!$B$3:$B$5001,$A$267)))</f>
        <v/>
      </c>
      <c r="W270" s="179" t="str">
        <f>IF(W$3="","",IF(COUNTIFS(BD!$A$3:$A$5001,W$3,BD!$B$3:$B$5001,$A$267,BD!$F$3:$F$5001,"&lt;&gt;")=0,"",SUMIFS(BD!$F$3:$F$5001,BD!$A$3:$A$5001,W$3,BD!$B$3:$B$5001,$A$267)))</f>
        <v/>
      </c>
      <c r="X270" s="179" t="str">
        <f>IF(X$3="","",IF(COUNTIFS(BD!$A$3:$A$5001,X$3,BD!$B$3:$B$5001,$A$267,BD!$F$3:$F$5001,"&lt;&gt;")=0,"",SUMIFS(BD!$F$3:$F$5001,BD!$A$3:$A$5001,X$3,BD!$B$3:$B$5001,$A$267)))</f>
        <v/>
      </c>
      <c r="Y270" s="179" t="str">
        <f>IF(Y$3="","",IF(COUNTIFS(BD!$A$3:$A$5001,Y$3,BD!$B$3:$B$5001,$A$267,BD!$F$3:$F$5001,"&lt;&gt;")=0,"",SUMIFS(BD!$F$3:$F$5001,BD!$A$3:$A$5001,Y$3,BD!$B$3:$B$5001,$A$267)))</f>
        <v/>
      </c>
      <c r="Z270" s="179" t="str">
        <f>IF(Z$3="","",IF(COUNTIFS(BD!$A$3:$A$5001,Z$3,BD!$B$3:$B$5001,$A$267,BD!$F$3:$F$5001,"&lt;&gt;")=0,"",SUMIFS(BD!$F$3:$F$5001,BD!$A$3:$A$5001,Z$3,BD!$B$3:$B$5001,$A$267)))</f>
        <v/>
      </c>
      <c r="AA270" s="179" t="str">
        <f>IF(AA$3="","",IF(COUNTIFS(BD!$A$3:$A$5001,AA$3,BD!$B$3:$B$5001,$A$267,BD!$F$3:$F$5001,"&lt;&gt;")=0,"",SUMIFS(BD!$F$3:$F$5001,BD!$A$3:$A$5001,AA$3,BD!$B$3:$B$5001,$A$267)))</f>
        <v/>
      </c>
      <c r="AB270" s="179" t="str">
        <f>IF(AB$3="","",IF(COUNTIFS(BD!$A$3:$A$5001,AB$3,BD!$B$3:$B$5001,$A$267,BD!$F$3:$F$5001,"&lt;&gt;")=0,"",SUMIFS(BD!$F$3:$F$5001,BD!$A$3:$A$5001,AB$3,BD!$B$3:$B$5001,$A$267)))</f>
        <v/>
      </c>
      <c r="AC270" s="179" t="str">
        <f>IF(AC$3="","",IF(COUNTIFS(BD!$A$3:$A$5001,AC$3,BD!$B$3:$B$5001,$A$267,BD!$F$3:$F$5001,"&lt;&gt;")=0,"",SUMIFS(BD!$F$3:$F$5001,BD!$A$3:$A$5001,AC$3,BD!$B$3:$B$5001,$A$267)))</f>
        <v/>
      </c>
      <c r="AD270" s="179" t="str">
        <f>IF(AD$3="","",IF(COUNTIFS(BD!$A$3:$A$5001,AD$3,BD!$B$3:$B$5001,$A$267,BD!$F$3:$F$5001,"&lt;&gt;")=0,"",SUMIFS(BD!$F$3:$F$5001,BD!$A$3:$A$5001,AD$3,BD!$B$3:$B$5001,$A$267)))</f>
        <v/>
      </c>
      <c r="AE270" s="179" t="str">
        <f>IF(AE$3="","",IF(COUNTIFS(BD!$A$3:$A$5001,AE$3,BD!$B$3:$B$5001,$A$267,BD!$F$3:$F$5001,"&lt;&gt;")=0,"",SUMIFS(BD!$F$3:$F$5001,BD!$A$3:$A$5001,AE$3,BD!$B$3:$B$5001,$A$267)))</f>
        <v/>
      </c>
      <c r="AF270" s="179" t="str">
        <f>IF(AF$3="","",IF(COUNTIFS(BD!$A$3:$A$5001,AF$3,BD!$B$3:$B$5001,$A$267,BD!$F$3:$F$5001,"&lt;&gt;")=0,"",SUMIFS(BD!$F$3:$F$5001,BD!$A$3:$A$5001,AF$3,BD!$B$3:$B$5001,$A$267)))</f>
        <v/>
      </c>
      <c r="AG270" s="179" t="str">
        <f>IF(AG$3="","",IF(COUNTIFS(BD!$A$3:$A$5001,AG$3,BD!$B$3:$B$5001,$A$267,BD!$F$3:$F$5001,"&lt;&gt;")=0,"",SUMIFS(BD!$F$3:$F$5001,BD!$A$3:$A$5001,AG$3,BD!$B$3:$B$5001,$A$267)))</f>
        <v/>
      </c>
      <c r="AH270" s="179" t="str">
        <f>IF(AH$3="","",IF(COUNTIFS(BD!$A$3:$A$5001,AH$3,BD!$B$3:$B$5001,$A$267,BD!$F$3:$F$5001,"&lt;&gt;")=0,"",SUMIFS(BD!$F$3:$F$5001,BD!$A$3:$A$5001,AH$3,BD!$B$3:$B$5001,$A$267)))</f>
        <v/>
      </c>
      <c r="AI270" s="179" t="str">
        <f>IF(AI$3="","",IF(COUNTIFS(BD!$A$3:$A$5001,AI$3,BD!$B$3:$B$5001,$A$267,BD!$F$3:$F$5001,"&lt;&gt;")=0,"",SUMIFS(BD!$F$3:$F$5001,BD!$A$3:$A$5001,AI$3,BD!$B$3:$B$5001,$A$267)))</f>
        <v/>
      </c>
      <c r="AJ270" s="180" t="str">
        <f>IF(AJ$3="","",IF(COUNTIFS(BD!$A$3:$A$5001,AJ$3,BD!$B$3:$B$5001,$A$267,BD!$F$3:$F$5001,"&lt;&gt;")=0,"",SUMIFS(BD!$F$3:$F$5001,BD!$A$3:$A$5001,AJ$3,BD!$B$3:$B$5001,$A$267)))</f>
        <v/>
      </c>
      <c r="AK270" s="181" t="str">
        <f>IF(COUNT(F270:AJ270)=0,"",SUM(F270:AJ270))</f>
        <v/>
      </c>
    </row>
    <row r="271" ht="15.75" customHeight="1" hidden="1">
      <c r="A271" s="277"/>
      <c r="B271" s="266"/>
      <c r="C271" s="186" t="inlineStr">
        <is>
          <t xml:space="preserve">Bags Recebidos</t>
        </is>
      </c>
      <c r="D271" s="187" t="str">
        <f>IFERROR(1/(1/INDEX(BD!$AF$27:$AZ$27,MATCH($A$267,BD!$AF$22:$AZ$22,0))),"")</f>
        <v/>
      </c>
      <c r="E271" s="188"/>
      <c r="F271" s="189" t="str">
        <f>IF(F$3="","",IF(COUNTIFS(BD!$A$3:$A$5001,F$3,BD!$B$3:$B$5001,$A$267,BD!$G$3:$G$5001,"&lt;&gt;")=0,"",SUMIFS(BD!$G$3:$G$5001,BD!$A$3:$A$5001,F$3,BD!$B$3:$B$5001,$A$267)))</f>
        <v/>
      </c>
      <c r="G271" s="190" t="str">
        <f>IF(G$3="","",IF(COUNTIFS(BD!$A$3:$A$5001,G$3,BD!$B$3:$B$5001,$A$267,BD!$G$3:$G$5001,"&lt;&gt;")=0,"",SUMIFS(BD!$G$3:$G$5001,BD!$A$3:$A$5001,G$3,BD!$B$3:$B$5001,$A$267)))</f>
        <v/>
      </c>
      <c r="H271" s="190" t="str">
        <f>IF(H$3="","",IF(COUNTIFS(BD!$A$3:$A$5001,H$3,BD!$B$3:$B$5001,$A$267,BD!$G$3:$G$5001,"&lt;&gt;")=0,"",SUMIFS(BD!$G$3:$G$5001,BD!$A$3:$A$5001,H$3,BD!$B$3:$B$5001,$A$267)))</f>
        <v/>
      </c>
      <c r="I271" s="190" t="str">
        <f>IF(I$3="","",IF(COUNTIFS(BD!$A$3:$A$5001,I$3,BD!$B$3:$B$5001,$A$267,BD!$G$3:$G$5001,"&lt;&gt;")=0,"",SUMIFS(BD!$G$3:$G$5001,BD!$A$3:$A$5001,I$3,BD!$B$3:$B$5001,$A$267)))</f>
        <v/>
      </c>
      <c r="J271" s="190" t="str">
        <f>IF(J$3="","",IF(COUNTIFS(BD!$A$3:$A$5001,J$3,BD!$B$3:$B$5001,$A$267,BD!$G$3:$G$5001,"&lt;&gt;")=0,"",SUMIFS(BD!$G$3:$G$5001,BD!$A$3:$A$5001,J$3,BD!$B$3:$B$5001,$A$267)))</f>
        <v/>
      </c>
      <c r="K271" s="190" t="str">
        <f>IF(K$3="","",IF(COUNTIFS(BD!$A$3:$A$5001,K$3,BD!$B$3:$B$5001,$A$267,BD!$G$3:$G$5001,"&lt;&gt;")=0,"",SUMIFS(BD!$G$3:$G$5001,BD!$A$3:$A$5001,K$3,BD!$B$3:$B$5001,$A$267)))</f>
        <v/>
      </c>
      <c r="L271" s="190" t="str">
        <f>IF(L$3="","",IF(COUNTIFS(BD!$A$3:$A$5001,L$3,BD!$B$3:$B$5001,$A$267,BD!$G$3:$G$5001,"&lt;&gt;")=0,"",SUMIFS(BD!$G$3:$G$5001,BD!$A$3:$A$5001,L$3,BD!$B$3:$B$5001,$A$267)))</f>
        <v/>
      </c>
      <c r="M271" s="190" t="str">
        <f>IF(M$3="","",IF(COUNTIFS(BD!$A$3:$A$5001,M$3,BD!$B$3:$B$5001,$A$267,BD!$G$3:$G$5001,"&lt;&gt;")=0,"",SUMIFS(BD!$G$3:$G$5001,BD!$A$3:$A$5001,M$3,BD!$B$3:$B$5001,$A$267)))</f>
        <v/>
      </c>
      <c r="N271" s="190" t="str">
        <f>IF(N$3="","",IF(COUNTIFS(BD!$A$3:$A$5001,N$3,BD!$B$3:$B$5001,$A$267,BD!$G$3:$G$5001,"&lt;&gt;")=0,"",SUMIFS(BD!$G$3:$G$5001,BD!$A$3:$A$5001,N$3,BD!$B$3:$B$5001,$A$267)))</f>
        <v/>
      </c>
      <c r="O271" s="190" t="str">
        <f>IF(O$3="","",IF(COUNTIFS(BD!$A$3:$A$5001,O$3,BD!$B$3:$B$5001,$A$267,BD!$G$3:$G$5001,"&lt;&gt;")=0,"",SUMIFS(BD!$G$3:$G$5001,BD!$A$3:$A$5001,O$3,BD!$B$3:$B$5001,$A$267)))</f>
        <v/>
      </c>
      <c r="P271" s="190" t="str">
        <f>IF(P$3="","",IF(COUNTIFS(BD!$A$3:$A$5001,P$3,BD!$B$3:$B$5001,$A$267,BD!$G$3:$G$5001,"&lt;&gt;")=0,"",SUMIFS(BD!$G$3:$G$5001,BD!$A$3:$A$5001,P$3,BD!$B$3:$B$5001,$A$267)))</f>
        <v/>
      </c>
      <c r="Q271" s="190" t="str">
        <f>IF(Q$3="","",IF(COUNTIFS(BD!$A$3:$A$5001,Q$3,BD!$B$3:$B$5001,$A$267,BD!$G$3:$G$5001,"&lt;&gt;")=0,"",SUMIFS(BD!$G$3:$G$5001,BD!$A$3:$A$5001,Q$3,BD!$B$3:$B$5001,$A$267)))</f>
        <v/>
      </c>
      <c r="R271" s="190" t="str">
        <f>IF(R$3="","",IF(COUNTIFS(BD!$A$3:$A$5001,R$3,BD!$B$3:$B$5001,$A$267,BD!$G$3:$G$5001,"&lt;&gt;")=0,"",SUMIFS(BD!$G$3:$G$5001,BD!$A$3:$A$5001,R$3,BD!$B$3:$B$5001,$A$267)))</f>
        <v/>
      </c>
      <c r="S271" s="190" t="str">
        <f>IF(S$3="","",IF(COUNTIFS(BD!$A$3:$A$5001,S$3,BD!$B$3:$B$5001,$A$267,BD!$G$3:$G$5001,"&lt;&gt;")=0,"",SUMIFS(BD!$G$3:$G$5001,BD!$A$3:$A$5001,S$3,BD!$B$3:$B$5001,$A$267)))</f>
        <v/>
      </c>
      <c r="T271" s="190" t="str">
        <f>IF(T$3="","",IF(COUNTIFS(BD!$A$3:$A$5001,T$3,BD!$B$3:$B$5001,$A$267,BD!$G$3:$G$5001,"&lt;&gt;")=0,"",SUMIFS(BD!$G$3:$G$5001,BD!$A$3:$A$5001,T$3,BD!$B$3:$B$5001,$A$267)))</f>
        <v/>
      </c>
      <c r="U271" s="190" t="str">
        <f>IF(U$3="","",IF(COUNTIFS(BD!$A$3:$A$5001,U$3,BD!$B$3:$B$5001,$A$267,BD!$G$3:$G$5001,"&lt;&gt;")=0,"",SUMIFS(BD!$G$3:$G$5001,BD!$A$3:$A$5001,U$3,BD!$B$3:$B$5001,$A$267)))</f>
        <v/>
      </c>
      <c r="V271" s="190" t="str">
        <f>IF(V$3="","",IF(COUNTIFS(BD!$A$3:$A$5001,V$3,BD!$B$3:$B$5001,$A$267,BD!$G$3:$G$5001,"&lt;&gt;")=0,"",SUMIFS(BD!$G$3:$G$5001,BD!$A$3:$A$5001,V$3,BD!$B$3:$B$5001,$A$267)))</f>
        <v/>
      </c>
      <c r="W271" s="190" t="str">
        <f>IF(W$3="","",IF(COUNTIFS(BD!$A$3:$A$5001,W$3,BD!$B$3:$B$5001,$A$267,BD!$G$3:$G$5001,"&lt;&gt;")=0,"",SUMIFS(BD!$G$3:$G$5001,BD!$A$3:$A$5001,W$3,BD!$B$3:$B$5001,$A$267)))</f>
        <v/>
      </c>
      <c r="X271" s="190" t="str">
        <f>IF(X$3="","",IF(COUNTIFS(BD!$A$3:$A$5001,X$3,BD!$B$3:$B$5001,$A$267,BD!$G$3:$G$5001,"&lt;&gt;")=0,"",SUMIFS(BD!$G$3:$G$5001,BD!$A$3:$A$5001,X$3,BD!$B$3:$B$5001,$A$267)))</f>
        <v/>
      </c>
      <c r="Y271" s="190" t="str">
        <f>IF(Y$3="","",IF(COUNTIFS(BD!$A$3:$A$5001,Y$3,BD!$B$3:$B$5001,$A$267,BD!$G$3:$G$5001,"&lt;&gt;")=0,"",SUMIFS(BD!$G$3:$G$5001,BD!$A$3:$A$5001,Y$3,BD!$B$3:$B$5001,$A$267)))</f>
        <v/>
      </c>
      <c r="Z271" s="190" t="str">
        <f>IF(Z$3="","",IF(COUNTIFS(BD!$A$3:$A$5001,Z$3,BD!$B$3:$B$5001,$A$267,BD!$G$3:$G$5001,"&lt;&gt;")=0,"",SUMIFS(BD!$G$3:$G$5001,BD!$A$3:$A$5001,Z$3,BD!$B$3:$B$5001,$A$267)))</f>
        <v/>
      </c>
      <c r="AA271" s="190" t="str">
        <f>IF(AA$3="","",IF(COUNTIFS(BD!$A$3:$A$5001,AA$3,BD!$B$3:$B$5001,$A$267,BD!$G$3:$G$5001,"&lt;&gt;")=0,"",SUMIFS(BD!$G$3:$G$5001,BD!$A$3:$A$5001,AA$3,BD!$B$3:$B$5001,$A$267)))</f>
        <v/>
      </c>
      <c r="AB271" s="190" t="str">
        <f>IF(AB$3="","",IF(COUNTIFS(BD!$A$3:$A$5001,AB$3,BD!$B$3:$B$5001,$A$267,BD!$G$3:$G$5001,"&lt;&gt;")=0,"",SUMIFS(BD!$G$3:$G$5001,BD!$A$3:$A$5001,AB$3,BD!$B$3:$B$5001,$A$267)))</f>
        <v/>
      </c>
      <c r="AC271" s="190" t="str">
        <f>IF(AC$3="","",IF(COUNTIFS(BD!$A$3:$A$5001,AC$3,BD!$B$3:$B$5001,$A$267,BD!$G$3:$G$5001,"&lt;&gt;")=0,"",SUMIFS(BD!$G$3:$G$5001,BD!$A$3:$A$5001,AC$3,BD!$B$3:$B$5001,$A$267)))</f>
        <v/>
      </c>
      <c r="AD271" s="190" t="str">
        <f>IF(AD$3="","",IF(COUNTIFS(BD!$A$3:$A$5001,AD$3,BD!$B$3:$B$5001,$A$267,BD!$G$3:$G$5001,"&lt;&gt;")=0,"",SUMIFS(BD!$G$3:$G$5001,BD!$A$3:$A$5001,AD$3,BD!$B$3:$B$5001,$A$267)))</f>
        <v/>
      </c>
      <c r="AE271" s="190" t="str">
        <f>IF(AE$3="","",IF(COUNTIFS(BD!$A$3:$A$5001,AE$3,BD!$B$3:$B$5001,$A$267,BD!$G$3:$G$5001,"&lt;&gt;")=0,"",SUMIFS(BD!$G$3:$G$5001,BD!$A$3:$A$5001,AE$3,BD!$B$3:$B$5001,$A$267)))</f>
        <v/>
      </c>
      <c r="AF271" s="190" t="str">
        <f>IF(AF$3="","",IF(COUNTIFS(BD!$A$3:$A$5001,AF$3,BD!$B$3:$B$5001,$A$267,BD!$G$3:$G$5001,"&lt;&gt;")=0,"",SUMIFS(BD!$G$3:$G$5001,BD!$A$3:$A$5001,AF$3,BD!$B$3:$B$5001,$A$267)))</f>
        <v/>
      </c>
      <c r="AG271" s="190" t="str">
        <f>IF(AG$3="","",IF(COUNTIFS(BD!$A$3:$A$5001,AG$3,BD!$B$3:$B$5001,$A$267,BD!$G$3:$G$5001,"&lt;&gt;")=0,"",SUMIFS(BD!$G$3:$G$5001,BD!$A$3:$A$5001,AG$3,BD!$B$3:$B$5001,$A$267)))</f>
        <v/>
      </c>
      <c r="AH271" s="190" t="str">
        <f>IF(AH$3="","",IF(COUNTIFS(BD!$A$3:$A$5001,AH$3,BD!$B$3:$B$5001,$A$267,BD!$G$3:$G$5001,"&lt;&gt;")=0,"",SUMIFS(BD!$G$3:$G$5001,BD!$A$3:$A$5001,AH$3,BD!$B$3:$B$5001,$A$267)))</f>
        <v/>
      </c>
      <c r="AI271" s="190" t="str">
        <f>IF(AI$3="","",IF(COUNTIFS(BD!$A$3:$A$5001,AI$3,BD!$B$3:$B$5001,$A$267,BD!$G$3:$G$5001,"&lt;&gt;")=0,"",SUMIFS(BD!$G$3:$G$5001,BD!$A$3:$A$5001,AI$3,BD!$B$3:$B$5001,$A$267)))</f>
        <v/>
      </c>
      <c r="AJ271" s="191" t="str">
        <f>IF(AJ$3="","",IF(COUNTIFS(BD!$A$3:$A$5001,AJ$3,BD!$B$3:$B$5001,$A$267,BD!$G$3:$G$5001,"&lt;&gt;")=0,"",SUMIFS(BD!$G$3:$G$5001,BD!$A$3:$A$5001,AJ$3,BD!$B$3:$B$5001,$A$267)))</f>
        <v/>
      </c>
      <c r="AK271" s="187" t="str">
        <f>IF(COUNT(F271:AJ271)=0,"",SUM(F271:AJ271))</f>
        <v/>
      </c>
    </row>
    <row r="272" ht="15.75" customHeight="1" hidden="1">
      <c r="A272" s="277"/>
      <c r="B272" s="267" t="inlineStr">
        <is>
          <t xml:space="preserve">OUT</t>
        </is>
      </c>
      <c r="C272" s="192" t="inlineStr">
        <is>
          <t xml:space="preserve">Veículos Expedidos</t>
        </is>
      </c>
      <c r="D272" s="193" t="str">
        <f>IFERROR(1/(1/INDEX(BD!$AF$28:$AZ$28,MATCH($A$267,BD!$AF$22:$AZ$22,0))),"")</f>
        <v/>
      </c>
      <c r="E272" s="194"/>
      <c r="F272" s="195" t="str">
        <f>IF(F$3="","",IF(COUNTIFS(BD!$A$3:$A$5001,F$3,BD!$B$3:$B$5001,$A$267,BD!$H$3:$H$5001,"&lt;&gt;")=0,"",SUMIFS(BD!$H$3:$H$5001,BD!$A$3:$A$5001,F$3,BD!$B$3:$B$5001,$A$267)))</f>
        <v/>
      </c>
      <c r="G272" s="196" t="str">
        <f>IF(G$3="","",IF(COUNTIFS(BD!$A$3:$A$5001,G$3,BD!$B$3:$B$5001,$A$267,BD!$H$3:$H$5001,"&lt;&gt;")=0,"",SUMIFS(BD!$H$3:$H$5001,BD!$A$3:$A$5001,G$3,BD!$B$3:$B$5001,$A$267)))</f>
        <v/>
      </c>
      <c r="H272" s="196" t="str">
        <f>IF(H$3="","",IF(COUNTIFS(BD!$A$3:$A$5001,H$3,BD!$B$3:$B$5001,$A$267,BD!$H$3:$H$5001,"&lt;&gt;")=0,"",SUMIFS(BD!$H$3:$H$5001,BD!$A$3:$A$5001,H$3,BD!$B$3:$B$5001,$A$267)))</f>
        <v/>
      </c>
      <c r="I272" s="196" t="str">
        <f>IF(I$3="","",IF(COUNTIFS(BD!$A$3:$A$5001,I$3,BD!$B$3:$B$5001,$A$267,BD!$H$3:$H$5001,"&lt;&gt;")=0,"",SUMIFS(BD!$H$3:$H$5001,BD!$A$3:$A$5001,I$3,BD!$B$3:$B$5001,$A$267)))</f>
        <v/>
      </c>
      <c r="J272" s="196" t="str">
        <f>IF(J$3="","",IF(COUNTIFS(BD!$A$3:$A$5001,J$3,BD!$B$3:$B$5001,$A$267,BD!$H$3:$H$5001,"&lt;&gt;")=0,"",SUMIFS(BD!$H$3:$H$5001,BD!$A$3:$A$5001,J$3,BD!$B$3:$B$5001,$A$267)))</f>
        <v/>
      </c>
      <c r="K272" s="196" t="str">
        <f>IF(K$3="","",IF(COUNTIFS(BD!$A$3:$A$5001,K$3,BD!$B$3:$B$5001,$A$267,BD!$H$3:$H$5001,"&lt;&gt;")=0,"",SUMIFS(BD!$H$3:$H$5001,BD!$A$3:$A$5001,K$3,BD!$B$3:$B$5001,$A$267)))</f>
        <v/>
      </c>
      <c r="L272" s="196" t="str">
        <f>IF(L$3="","",IF(COUNTIFS(BD!$A$3:$A$5001,L$3,BD!$B$3:$B$5001,$A$267,BD!$H$3:$H$5001,"&lt;&gt;")=0,"",SUMIFS(BD!$H$3:$H$5001,BD!$A$3:$A$5001,L$3,BD!$B$3:$B$5001,$A$267)))</f>
        <v/>
      </c>
      <c r="M272" s="196" t="str">
        <f>IF(M$3="","",IF(COUNTIFS(BD!$A$3:$A$5001,M$3,BD!$B$3:$B$5001,$A$267,BD!$H$3:$H$5001,"&lt;&gt;")=0,"",SUMIFS(BD!$H$3:$H$5001,BD!$A$3:$A$5001,M$3,BD!$B$3:$B$5001,$A$267)))</f>
        <v/>
      </c>
      <c r="N272" s="196" t="str">
        <f>IF(N$3="","",IF(COUNTIFS(BD!$A$3:$A$5001,N$3,BD!$B$3:$B$5001,$A$267,BD!$H$3:$H$5001,"&lt;&gt;")=0,"",SUMIFS(BD!$H$3:$H$5001,BD!$A$3:$A$5001,N$3,BD!$B$3:$B$5001,$A$267)))</f>
        <v/>
      </c>
      <c r="O272" s="196" t="str">
        <f>IF(O$3="","",IF(COUNTIFS(BD!$A$3:$A$5001,O$3,BD!$B$3:$B$5001,$A$267,BD!$H$3:$H$5001,"&lt;&gt;")=0,"",SUMIFS(BD!$H$3:$H$5001,BD!$A$3:$A$5001,O$3,BD!$B$3:$B$5001,$A$267)))</f>
        <v/>
      </c>
      <c r="P272" s="196" t="str">
        <f>IF(P$3="","",IF(COUNTIFS(BD!$A$3:$A$5001,P$3,BD!$B$3:$B$5001,$A$267,BD!$H$3:$H$5001,"&lt;&gt;")=0,"",SUMIFS(BD!$H$3:$H$5001,BD!$A$3:$A$5001,P$3,BD!$B$3:$B$5001,$A$267)))</f>
        <v/>
      </c>
      <c r="Q272" s="196" t="str">
        <f>IF(Q$3="","",IF(COUNTIFS(BD!$A$3:$A$5001,Q$3,BD!$B$3:$B$5001,$A$267,BD!$H$3:$H$5001,"&lt;&gt;")=0,"",SUMIFS(BD!$H$3:$H$5001,BD!$A$3:$A$5001,Q$3,BD!$B$3:$B$5001,$A$267)))</f>
        <v/>
      </c>
      <c r="R272" s="196" t="str">
        <f>IF(R$3="","",IF(COUNTIFS(BD!$A$3:$A$5001,R$3,BD!$B$3:$B$5001,$A$267,BD!$H$3:$H$5001,"&lt;&gt;")=0,"",SUMIFS(BD!$H$3:$H$5001,BD!$A$3:$A$5001,R$3,BD!$B$3:$B$5001,$A$267)))</f>
        <v/>
      </c>
      <c r="S272" s="196" t="str">
        <f>IF(S$3="","",IF(COUNTIFS(BD!$A$3:$A$5001,S$3,BD!$B$3:$B$5001,$A$267,BD!$H$3:$H$5001,"&lt;&gt;")=0,"",SUMIFS(BD!$H$3:$H$5001,BD!$A$3:$A$5001,S$3,BD!$B$3:$B$5001,$A$267)))</f>
        <v/>
      </c>
      <c r="T272" s="196" t="str">
        <f>IF(T$3="","",IF(COUNTIFS(BD!$A$3:$A$5001,T$3,BD!$B$3:$B$5001,$A$267,BD!$H$3:$H$5001,"&lt;&gt;")=0,"",SUMIFS(BD!$H$3:$H$5001,BD!$A$3:$A$5001,T$3,BD!$B$3:$B$5001,$A$267)))</f>
        <v/>
      </c>
      <c r="U272" s="196" t="str">
        <f>IF(U$3="","",IF(COUNTIFS(BD!$A$3:$A$5001,U$3,BD!$B$3:$B$5001,$A$267,BD!$H$3:$H$5001,"&lt;&gt;")=0,"",SUMIFS(BD!$H$3:$H$5001,BD!$A$3:$A$5001,U$3,BD!$B$3:$B$5001,$A$267)))</f>
        <v/>
      </c>
      <c r="V272" s="196" t="str">
        <f>IF(V$3="","",IF(COUNTIFS(BD!$A$3:$A$5001,V$3,BD!$B$3:$B$5001,$A$267,BD!$H$3:$H$5001,"&lt;&gt;")=0,"",SUMIFS(BD!$H$3:$H$5001,BD!$A$3:$A$5001,V$3,BD!$B$3:$B$5001,$A$267)))</f>
        <v/>
      </c>
      <c r="W272" s="196" t="str">
        <f>IF(W$3="","",IF(COUNTIFS(BD!$A$3:$A$5001,W$3,BD!$B$3:$B$5001,$A$267,BD!$H$3:$H$5001,"&lt;&gt;")=0,"",SUMIFS(BD!$H$3:$H$5001,BD!$A$3:$A$5001,W$3,BD!$B$3:$B$5001,$A$267)))</f>
        <v/>
      </c>
      <c r="X272" s="196" t="str">
        <f>IF(X$3="","",IF(COUNTIFS(BD!$A$3:$A$5001,X$3,BD!$B$3:$B$5001,$A$267,BD!$H$3:$H$5001,"&lt;&gt;")=0,"",SUMIFS(BD!$H$3:$H$5001,BD!$A$3:$A$5001,X$3,BD!$B$3:$B$5001,$A$267)))</f>
        <v/>
      </c>
      <c r="Y272" s="196" t="str">
        <f>IF(Y$3="","",IF(COUNTIFS(BD!$A$3:$A$5001,Y$3,BD!$B$3:$B$5001,$A$267,BD!$H$3:$H$5001,"&lt;&gt;")=0,"",SUMIFS(BD!$H$3:$H$5001,BD!$A$3:$A$5001,Y$3,BD!$B$3:$B$5001,$A$267)))</f>
        <v/>
      </c>
      <c r="Z272" s="196" t="str">
        <f>IF(Z$3="","",IF(COUNTIFS(BD!$A$3:$A$5001,Z$3,BD!$B$3:$B$5001,$A$267,BD!$H$3:$H$5001,"&lt;&gt;")=0,"",SUMIFS(BD!$H$3:$H$5001,BD!$A$3:$A$5001,Z$3,BD!$B$3:$B$5001,$A$267)))</f>
        <v/>
      </c>
      <c r="AA272" s="196" t="str">
        <f>IF(AA$3="","",IF(COUNTIFS(BD!$A$3:$A$5001,AA$3,BD!$B$3:$B$5001,$A$267,BD!$H$3:$H$5001,"&lt;&gt;")=0,"",SUMIFS(BD!$H$3:$H$5001,BD!$A$3:$A$5001,AA$3,BD!$B$3:$B$5001,$A$267)))</f>
        <v/>
      </c>
      <c r="AB272" s="196" t="str">
        <f>IF(AB$3="","",IF(COUNTIFS(BD!$A$3:$A$5001,AB$3,BD!$B$3:$B$5001,$A$267,BD!$H$3:$H$5001,"&lt;&gt;")=0,"",SUMIFS(BD!$H$3:$H$5001,BD!$A$3:$A$5001,AB$3,BD!$B$3:$B$5001,$A$267)))</f>
        <v/>
      </c>
      <c r="AC272" s="196" t="str">
        <f>IF(AC$3="","",IF(COUNTIFS(BD!$A$3:$A$5001,AC$3,BD!$B$3:$B$5001,$A$267,BD!$H$3:$H$5001,"&lt;&gt;")=0,"",SUMIFS(BD!$H$3:$H$5001,BD!$A$3:$A$5001,AC$3,BD!$B$3:$B$5001,$A$267)))</f>
        <v/>
      </c>
      <c r="AD272" s="196" t="str">
        <f>IF(AD$3="","",IF(COUNTIFS(BD!$A$3:$A$5001,AD$3,BD!$B$3:$B$5001,$A$267,BD!$H$3:$H$5001,"&lt;&gt;")=0,"",SUMIFS(BD!$H$3:$H$5001,BD!$A$3:$A$5001,AD$3,BD!$B$3:$B$5001,$A$267)))</f>
        <v/>
      </c>
      <c r="AE272" s="196" t="str">
        <f>IF(AE$3="","",IF(COUNTIFS(BD!$A$3:$A$5001,AE$3,BD!$B$3:$B$5001,$A$267,BD!$H$3:$H$5001,"&lt;&gt;")=0,"",SUMIFS(BD!$H$3:$H$5001,BD!$A$3:$A$5001,AE$3,BD!$B$3:$B$5001,$A$267)))</f>
        <v/>
      </c>
      <c r="AF272" s="196" t="str">
        <f>IF(AF$3="","",IF(COUNTIFS(BD!$A$3:$A$5001,AF$3,BD!$B$3:$B$5001,$A$267,BD!$H$3:$H$5001,"&lt;&gt;")=0,"",SUMIFS(BD!$H$3:$H$5001,BD!$A$3:$A$5001,AF$3,BD!$B$3:$B$5001,$A$267)))</f>
        <v/>
      </c>
      <c r="AG272" s="196" t="str">
        <f>IF(AG$3="","",IF(COUNTIFS(BD!$A$3:$A$5001,AG$3,BD!$B$3:$B$5001,$A$267,BD!$H$3:$H$5001,"&lt;&gt;")=0,"",SUMIFS(BD!$H$3:$H$5001,BD!$A$3:$A$5001,AG$3,BD!$B$3:$B$5001,$A$267)))</f>
        <v/>
      </c>
      <c r="AH272" s="196" t="str">
        <f>IF(AH$3="","",IF(COUNTIFS(BD!$A$3:$A$5001,AH$3,BD!$B$3:$B$5001,$A$267,BD!$H$3:$H$5001,"&lt;&gt;")=0,"",SUMIFS(BD!$H$3:$H$5001,BD!$A$3:$A$5001,AH$3,BD!$B$3:$B$5001,$A$267)))</f>
        <v/>
      </c>
      <c r="AI272" s="196" t="str">
        <f>IF(AI$3="","",IF(COUNTIFS(BD!$A$3:$A$5001,AI$3,BD!$B$3:$B$5001,$A$267,BD!$H$3:$H$5001,"&lt;&gt;")=0,"",SUMIFS(BD!$H$3:$H$5001,BD!$A$3:$A$5001,AI$3,BD!$B$3:$B$5001,$A$267)))</f>
        <v/>
      </c>
      <c r="AJ272" s="197" t="str">
        <f>IF(AJ$3="","",IF(COUNTIFS(BD!$A$3:$A$5001,AJ$3,BD!$B$3:$B$5001,$A$267,BD!$H$3:$H$5001,"&lt;&gt;")=0,"",SUMIFS(BD!$H$3:$H$5001,BD!$A$3:$A$5001,AJ$3,BD!$B$3:$B$5001,$A$267)))</f>
        <v/>
      </c>
      <c r="AK272" s="198" t="str">
        <f>IF(COUNT(F272:AJ272)=0,"",SUM(F272:AJ272))</f>
        <v/>
      </c>
    </row>
    <row r="273" ht="15.75" customHeight="1" hidden="1">
      <c r="A273" s="277"/>
      <c r="B273" s="268"/>
      <c r="C273" s="199" t="inlineStr">
        <is>
          <t xml:space="preserve">Pallets Movimentados</t>
        </is>
      </c>
      <c r="D273" s="200" t="str">
        <f>IFERROR(1/(1/INDEX(BD!$AF$29:$AZ$29,MATCH($A$267,BD!$AF$22:$AZ$22,0))),"")</f>
        <v/>
      </c>
      <c r="E273" s="201"/>
      <c r="F273" s="202" t="str">
        <f>IF(F$3="","",IF(COUNTIFS(BD!$A$3:$A$5001,F$3,BD!$B$3:$B$5001,$A$267,BD!$I$3:$I$5001,"&lt;&gt;")=0,"",SUMIFS(BD!$I$3:$I$5001,BD!$A$3:$A$5001,F$3,BD!$B$3:$B$5001,$A$267)))</f>
        <v/>
      </c>
      <c r="G273" s="203" t="str">
        <f>IF(G$3="","",IF(COUNTIFS(BD!$A$3:$A$5001,G$3,BD!$B$3:$B$5001,$A$267,BD!$I$3:$I$5001,"&lt;&gt;")=0,"",SUMIFS(BD!$I$3:$I$5001,BD!$A$3:$A$5001,G$3,BD!$B$3:$B$5001,$A$267)))</f>
        <v/>
      </c>
      <c r="H273" s="203" t="str">
        <f>IF(H$3="","",IF(COUNTIFS(BD!$A$3:$A$5001,H$3,BD!$B$3:$B$5001,$A$267,BD!$I$3:$I$5001,"&lt;&gt;")=0,"",SUMIFS(BD!$I$3:$I$5001,BD!$A$3:$A$5001,H$3,BD!$B$3:$B$5001,$A$267)))</f>
        <v/>
      </c>
      <c r="I273" s="203" t="str">
        <f>IF(I$3="","",IF(COUNTIFS(BD!$A$3:$A$5001,I$3,BD!$B$3:$B$5001,$A$267,BD!$I$3:$I$5001,"&lt;&gt;")=0,"",SUMIFS(BD!$I$3:$I$5001,BD!$A$3:$A$5001,I$3,BD!$B$3:$B$5001,$A$267)))</f>
        <v/>
      </c>
      <c r="J273" s="203" t="str">
        <f>IF(J$3="","",IF(COUNTIFS(BD!$A$3:$A$5001,J$3,BD!$B$3:$B$5001,$A$267,BD!$I$3:$I$5001,"&lt;&gt;")=0,"",SUMIFS(BD!$I$3:$I$5001,BD!$A$3:$A$5001,J$3,BD!$B$3:$B$5001,$A$267)))</f>
        <v/>
      </c>
      <c r="K273" s="203" t="str">
        <f>IF(K$3="","",IF(COUNTIFS(BD!$A$3:$A$5001,K$3,BD!$B$3:$B$5001,$A$267,BD!$I$3:$I$5001,"&lt;&gt;")=0,"",SUMIFS(BD!$I$3:$I$5001,BD!$A$3:$A$5001,K$3,BD!$B$3:$B$5001,$A$267)))</f>
        <v/>
      </c>
      <c r="L273" s="203" t="str">
        <f>IF(L$3="","",IF(COUNTIFS(BD!$A$3:$A$5001,L$3,BD!$B$3:$B$5001,$A$267,BD!$I$3:$I$5001,"&lt;&gt;")=0,"",SUMIFS(BD!$I$3:$I$5001,BD!$A$3:$A$5001,L$3,BD!$B$3:$B$5001,$A$267)))</f>
        <v/>
      </c>
      <c r="M273" s="203" t="str">
        <f>IF(M$3="","",IF(COUNTIFS(BD!$A$3:$A$5001,M$3,BD!$B$3:$B$5001,$A$267,BD!$I$3:$I$5001,"&lt;&gt;")=0,"",SUMIFS(BD!$I$3:$I$5001,BD!$A$3:$A$5001,M$3,BD!$B$3:$B$5001,$A$267)))</f>
        <v/>
      </c>
      <c r="N273" s="203" t="str">
        <f>IF(N$3="","",IF(COUNTIFS(BD!$A$3:$A$5001,N$3,BD!$B$3:$B$5001,$A$267,BD!$I$3:$I$5001,"&lt;&gt;")=0,"",SUMIFS(BD!$I$3:$I$5001,BD!$A$3:$A$5001,N$3,BD!$B$3:$B$5001,$A$267)))</f>
        <v/>
      </c>
      <c r="O273" s="203" t="str">
        <f>IF(O$3="","",IF(COUNTIFS(BD!$A$3:$A$5001,O$3,BD!$B$3:$B$5001,$A$267,BD!$I$3:$I$5001,"&lt;&gt;")=0,"",SUMIFS(BD!$I$3:$I$5001,BD!$A$3:$A$5001,O$3,BD!$B$3:$B$5001,$A$267)))</f>
        <v/>
      </c>
      <c r="P273" s="203" t="str">
        <f>IF(P$3="","",IF(COUNTIFS(BD!$A$3:$A$5001,P$3,BD!$B$3:$B$5001,$A$267,BD!$I$3:$I$5001,"&lt;&gt;")=0,"",SUMIFS(BD!$I$3:$I$5001,BD!$A$3:$A$5001,P$3,BD!$B$3:$B$5001,$A$267)))</f>
        <v/>
      </c>
      <c r="Q273" s="203" t="str">
        <f>IF(Q$3="","",IF(COUNTIFS(BD!$A$3:$A$5001,Q$3,BD!$B$3:$B$5001,$A$267,BD!$I$3:$I$5001,"&lt;&gt;")=0,"",SUMIFS(BD!$I$3:$I$5001,BD!$A$3:$A$5001,Q$3,BD!$B$3:$B$5001,$A$267)))</f>
        <v/>
      </c>
      <c r="R273" s="203" t="str">
        <f>IF(R$3="","",IF(COUNTIFS(BD!$A$3:$A$5001,R$3,BD!$B$3:$B$5001,$A$267,BD!$I$3:$I$5001,"&lt;&gt;")=0,"",SUMIFS(BD!$I$3:$I$5001,BD!$A$3:$A$5001,R$3,BD!$B$3:$B$5001,$A$267)))</f>
        <v/>
      </c>
      <c r="S273" s="203" t="str">
        <f>IF(S$3="","",IF(COUNTIFS(BD!$A$3:$A$5001,S$3,BD!$B$3:$B$5001,$A$267,BD!$I$3:$I$5001,"&lt;&gt;")=0,"",SUMIFS(BD!$I$3:$I$5001,BD!$A$3:$A$5001,S$3,BD!$B$3:$B$5001,$A$267)))</f>
        <v/>
      </c>
      <c r="T273" s="203" t="str">
        <f>IF(T$3="","",IF(COUNTIFS(BD!$A$3:$A$5001,T$3,BD!$B$3:$B$5001,$A$267,BD!$I$3:$I$5001,"&lt;&gt;")=0,"",SUMIFS(BD!$I$3:$I$5001,BD!$A$3:$A$5001,T$3,BD!$B$3:$B$5001,$A$267)))</f>
        <v/>
      </c>
      <c r="U273" s="203" t="str">
        <f>IF(U$3="","",IF(COUNTIFS(BD!$A$3:$A$5001,U$3,BD!$B$3:$B$5001,$A$267,BD!$I$3:$I$5001,"&lt;&gt;")=0,"",SUMIFS(BD!$I$3:$I$5001,BD!$A$3:$A$5001,U$3,BD!$B$3:$B$5001,$A$267)))</f>
        <v/>
      </c>
      <c r="V273" s="203" t="str">
        <f>IF(V$3="","",IF(COUNTIFS(BD!$A$3:$A$5001,V$3,BD!$B$3:$B$5001,$A$267,BD!$I$3:$I$5001,"&lt;&gt;")=0,"",SUMIFS(BD!$I$3:$I$5001,BD!$A$3:$A$5001,V$3,BD!$B$3:$B$5001,$A$267)))</f>
        <v/>
      </c>
      <c r="W273" s="203" t="str">
        <f>IF(W$3="","",IF(COUNTIFS(BD!$A$3:$A$5001,W$3,BD!$B$3:$B$5001,$A$267,BD!$I$3:$I$5001,"&lt;&gt;")=0,"",SUMIFS(BD!$I$3:$I$5001,BD!$A$3:$A$5001,W$3,BD!$B$3:$B$5001,$A$267)))</f>
        <v/>
      </c>
      <c r="X273" s="203" t="str">
        <f>IF(X$3="","",IF(COUNTIFS(BD!$A$3:$A$5001,X$3,BD!$B$3:$B$5001,$A$267,BD!$I$3:$I$5001,"&lt;&gt;")=0,"",SUMIFS(BD!$I$3:$I$5001,BD!$A$3:$A$5001,X$3,BD!$B$3:$B$5001,$A$267)))</f>
        <v/>
      </c>
      <c r="Y273" s="203" t="str">
        <f>IF(Y$3="","",IF(COUNTIFS(BD!$A$3:$A$5001,Y$3,BD!$B$3:$B$5001,$A$267,BD!$I$3:$I$5001,"&lt;&gt;")=0,"",SUMIFS(BD!$I$3:$I$5001,BD!$A$3:$A$5001,Y$3,BD!$B$3:$B$5001,$A$267)))</f>
        <v/>
      </c>
      <c r="Z273" s="203" t="str">
        <f>IF(Z$3="","",IF(COUNTIFS(BD!$A$3:$A$5001,Z$3,BD!$B$3:$B$5001,$A$267,BD!$I$3:$I$5001,"&lt;&gt;")=0,"",SUMIFS(BD!$I$3:$I$5001,BD!$A$3:$A$5001,Z$3,BD!$B$3:$B$5001,$A$267)))</f>
        <v/>
      </c>
      <c r="AA273" s="203" t="str">
        <f>IF(AA$3="","",IF(COUNTIFS(BD!$A$3:$A$5001,AA$3,BD!$B$3:$B$5001,$A$267,BD!$I$3:$I$5001,"&lt;&gt;")=0,"",SUMIFS(BD!$I$3:$I$5001,BD!$A$3:$A$5001,AA$3,BD!$B$3:$B$5001,$A$267)))</f>
        <v/>
      </c>
      <c r="AB273" s="203" t="str">
        <f>IF(AB$3="","",IF(COUNTIFS(BD!$A$3:$A$5001,AB$3,BD!$B$3:$B$5001,$A$267,BD!$I$3:$I$5001,"&lt;&gt;")=0,"",SUMIFS(BD!$I$3:$I$5001,BD!$A$3:$A$5001,AB$3,BD!$B$3:$B$5001,$A$267)))</f>
        <v/>
      </c>
      <c r="AC273" s="203" t="str">
        <f>IF(AC$3="","",IF(COUNTIFS(BD!$A$3:$A$5001,AC$3,BD!$B$3:$B$5001,$A$267,BD!$I$3:$I$5001,"&lt;&gt;")=0,"",SUMIFS(BD!$I$3:$I$5001,BD!$A$3:$A$5001,AC$3,BD!$B$3:$B$5001,$A$267)))</f>
        <v/>
      </c>
      <c r="AD273" s="203" t="str">
        <f>IF(AD$3="","",IF(COUNTIFS(BD!$A$3:$A$5001,AD$3,BD!$B$3:$B$5001,$A$267,BD!$I$3:$I$5001,"&lt;&gt;")=0,"",SUMIFS(BD!$I$3:$I$5001,BD!$A$3:$A$5001,AD$3,BD!$B$3:$B$5001,$A$267)))</f>
        <v/>
      </c>
      <c r="AE273" s="203" t="str">
        <f>IF(AE$3="","",IF(COUNTIFS(BD!$A$3:$A$5001,AE$3,BD!$B$3:$B$5001,$A$267,BD!$I$3:$I$5001,"&lt;&gt;")=0,"",SUMIFS(BD!$I$3:$I$5001,BD!$A$3:$A$5001,AE$3,BD!$B$3:$B$5001,$A$267)))</f>
        <v/>
      </c>
      <c r="AF273" s="203" t="str">
        <f>IF(AF$3="","",IF(COUNTIFS(BD!$A$3:$A$5001,AF$3,BD!$B$3:$B$5001,$A$267,BD!$I$3:$I$5001,"&lt;&gt;")=0,"",SUMIFS(BD!$I$3:$I$5001,BD!$A$3:$A$5001,AF$3,BD!$B$3:$B$5001,$A$267)))</f>
        <v/>
      </c>
      <c r="AG273" s="203" t="str">
        <f>IF(AG$3="","",IF(COUNTIFS(BD!$A$3:$A$5001,AG$3,BD!$B$3:$B$5001,$A$267,BD!$I$3:$I$5001,"&lt;&gt;")=0,"",SUMIFS(BD!$I$3:$I$5001,BD!$A$3:$A$5001,AG$3,BD!$B$3:$B$5001,$A$267)))</f>
        <v/>
      </c>
      <c r="AH273" s="203" t="str">
        <f>IF(AH$3="","",IF(COUNTIFS(BD!$A$3:$A$5001,AH$3,BD!$B$3:$B$5001,$A$267,BD!$I$3:$I$5001,"&lt;&gt;")=0,"",SUMIFS(BD!$I$3:$I$5001,BD!$A$3:$A$5001,AH$3,BD!$B$3:$B$5001,$A$267)))</f>
        <v/>
      </c>
      <c r="AI273" s="203" t="str">
        <f>IF(AI$3="","",IF(COUNTIFS(BD!$A$3:$A$5001,AI$3,BD!$B$3:$B$5001,$A$267,BD!$I$3:$I$5001,"&lt;&gt;")=0,"",SUMIFS(BD!$I$3:$I$5001,BD!$A$3:$A$5001,AI$3,BD!$B$3:$B$5001,$A$267)))</f>
        <v/>
      </c>
      <c r="AJ273" s="204" t="str">
        <f>IF(AJ$3="","",IF(COUNTIFS(BD!$A$3:$A$5001,AJ$3,BD!$B$3:$B$5001,$A$267,BD!$I$3:$I$5001,"&lt;&gt;")=0,"",SUMIFS(BD!$I$3:$I$5001,BD!$A$3:$A$5001,AJ$3,BD!$B$3:$B$5001,$A$267)))</f>
        <v/>
      </c>
      <c r="AK273" s="205" t="str">
        <f>IF(COUNT(F273:AJ273)=0,"",SUM(F273:AJ273))</f>
        <v/>
      </c>
    </row>
    <row r="274" ht="15.75" customHeight="1" hidden="1">
      <c r="A274" s="277"/>
      <c r="B274" s="268"/>
      <c r="C274" s="199" t="inlineStr">
        <is>
          <t xml:space="preserve">Toneladas Movimentadas</t>
        </is>
      </c>
      <c r="D274" s="200" t="str">
        <f>IFERROR(1/(1/INDEX(BD!$AF$30:$AZ$30,MATCH($A$267,BD!$AF$22:$AZ$22,0))),"")</f>
        <v/>
      </c>
      <c r="E274" s="201"/>
      <c r="F274" s="206" t="str">
        <f>IF(F$3="","",IF(COUNTIFS(BD!$A$3:$A$5001,F$3,BD!$B$3:$B$5001,$A$267,BD!$J$3:$J$5001,"&lt;&gt;")=0,"",SUMIFS(BD!$J$3:$J$5001,BD!$A$3:$A$5001,F$3,BD!$B$3:$B$5001,$A$267)))</f>
        <v/>
      </c>
      <c r="G274" s="207" t="str">
        <f>IF(G$3="","",IF(COUNTIFS(BD!$A$3:$A$5001,G$3,BD!$B$3:$B$5001,$A$267,BD!$J$3:$J$5001,"&lt;&gt;")=0,"",SUMIFS(BD!$J$3:$J$5001,BD!$A$3:$A$5001,G$3,BD!$B$3:$B$5001,$A$267)))</f>
        <v/>
      </c>
      <c r="H274" s="207" t="str">
        <f>IF(H$3="","",IF(COUNTIFS(BD!$A$3:$A$5001,H$3,BD!$B$3:$B$5001,$A$267,BD!$J$3:$J$5001,"&lt;&gt;")=0,"",SUMIFS(BD!$J$3:$J$5001,BD!$A$3:$A$5001,H$3,BD!$B$3:$B$5001,$A$267)))</f>
        <v/>
      </c>
      <c r="I274" s="207" t="str">
        <f>IF(I$3="","",IF(COUNTIFS(BD!$A$3:$A$5001,I$3,BD!$B$3:$B$5001,$A$267,BD!$J$3:$J$5001,"&lt;&gt;")=0,"",SUMIFS(BD!$J$3:$J$5001,BD!$A$3:$A$5001,I$3,BD!$B$3:$B$5001,$A$267)))</f>
        <v/>
      </c>
      <c r="J274" s="207" t="str">
        <f>IF(J$3="","",IF(COUNTIFS(BD!$A$3:$A$5001,J$3,BD!$B$3:$B$5001,$A$267,BD!$J$3:$J$5001,"&lt;&gt;")=0,"",SUMIFS(BD!$J$3:$J$5001,BD!$A$3:$A$5001,J$3,BD!$B$3:$B$5001,$A$267)))</f>
        <v/>
      </c>
      <c r="K274" s="207" t="str">
        <f>IF(K$3="","",IF(COUNTIFS(BD!$A$3:$A$5001,K$3,BD!$B$3:$B$5001,$A$267,BD!$J$3:$J$5001,"&lt;&gt;")=0,"",SUMIFS(BD!$J$3:$J$5001,BD!$A$3:$A$5001,K$3,BD!$B$3:$B$5001,$A$267)))</f>
        <v/>
      </c>
      <c r="L274" s="207" t="str">
        <f>IF(L$3="","",IF(COUNTIFS(BD!$A$3:$A$5001,L$3,BD!$B$3:$B$5001,$A$267,BD!$J$3:$J$5001,"&lt;&gt;")=0,"",SUMIFS(BD!$J$3:$J$5001,BD!$A$3:$A$5001,L$3,BD!$B$3:$B$5001,$A$267)))</f>
        <v/>
      </c>
      <c r="M274" s="207" t="str">
        <f>IF(M$3="","",IF(COUNTIFS(BD!$A$3:$A$5001,M$3,BD!$B$3:$B$5001,$A$267,BD!$J$3:$J$5001,"&lt;&gt;")=0,"",SUMIFS(BD!$J$3:$J$5001,BD!$A$3:$A$5001,M$3,BD!$B$3:$B$5001,$A$267)))</f>
        <v/>
      </c>
      <c r="N274" s="207" t="str">
        <f>IF(N$3="","",IF(COUNTIFS(BD!$A$3:$A$5001,N$3,BD!$B$3:$B$5001,$A$267,BD!$J$3:$J$5001,"&lt;&gt;")=0,"",SUMIFS(BD!$J$3:$J$5001,BD!$A$3:$A$5001,N$3,BD!$B$3:$B$5001,$A$267)))</f>
        <v/>
      </c>
      <c r="O274" s="207" t="str">
        <f>IF(O$3="","",IF(COUNTIFS(BD!$A$3:$A$5001,O$3,BD!$B$3:$B$5001,$A$267,BD!$J$3:$J$5001,"&lt;&gt;")=0,"",SUMIFS(BD!$J$3:$J$5001,BD!$A$3:$A$5001,O$3,BD!$B$3:$B$5001,$A$267)))</f>
        <v/>
      </c>
      <c r="P274" s="207" t="str">
        <f>IF(P$3="","",IF(COUNTIFS(BD!$A$3:$A$5001,P$3,BD!$B$3:$B$5001,$A$267,BD!$J$3:$J$5001,"&lt;&gt;")=0,"",SUMIFS(BD!$J$3:$J$5001,BD!$A$3:$A$5001,P$3,BD!$B$3:$B$5001,$A$267)))</f>
        <v/>
      </c>
      <c r="Q274" s="207" t="str">
        <f>IF(Q$3="","",IF(COUNTIFS(BD!$A$3:$A$5001,Q$3,BD!$B$3:$B$5001,$A$267,BD!$J$3:$J$5001,"&lt;&gt;")=0,"",SUMIFS(BD!$J$3:$J$5001,BD!$A$3:$A$5001,Q$3,BD!$B$3:$B$5001,$A$267)))</f>
        <v/>
      </c>
      <c r="R274" s="207" t="str">
        <f>IF(R$3="","",IF(COUNTIFS(BD!$A$3:$A$5001,R$3,BD!$B$3:$B$5001,$A$267,BD!$J$3:$J$5001,"&lt;&gt;")=0,"",SUMIFS(BD!$J$3:$J$5001,BD!$A$3:$A$5001,R$3,BD!$B$3:$B$5001,$A$267)))</f>
        <v/>
      </c>
      <c r="S274" s="207" t="str">
        <f>IF(S$3="","",IF(COUNTIFS(BD!$A$3:$A$5001,S$3,BD!$B$3:$B$5001,$A$267,BD!$J$3:$J$5001,"&lt;&gt;")=0,"",SUMIFS(BD!$J$3:$J$5001,BD!$A$3:$A$5001,S$3,BD!$B$3:$B$5001,$A$267)))</f>
        <v/>
      </c>
      <c r="T274" s="207" t="str">
        <f>IF(T$3="","",IF(COUNTIFS(BD!$A$3:$A$5001,T$3,BD!$B$3:$B$5001,$A$267,BD!$J$3:$J$5001,"&lt;&gt;")=0,"",SUMIFS(BD!$J$3:$J$5001,BD!$A$3:$A$5001,T$3,BD!$B$3:$B$5001,$A$267)))</f>
        <v/>
      </c>
      <c r="U274" s="207" t="str">
        <f>IF(U$3="","",IF(COUNTIFS(BD!$A$3:$A$5001,U$3,BD!$B$3:$B$5001,$A$267,BD!$J$3:$J$5001,"&lt;&gt;")=0,"",SUMIFS(BD!$J$3:$J$5001,BD!$A$3:$A$5001,U$3,BD!$B$3:$B$5001,$A$267)))</f>
        <v/>
      </c>
      <c r="V274" s="207" t="str">
        <f>IF(V$3="","",IF(COUNTIFS(BD!$A$3:$A$5001,V$3,BD!$B$3:$B$5001,$A$267,BD!$J$3:$J$5001,"&lt;&gt;")=0,"",SUMIFS(BD!$J$3:$J$5001,BD!$A$3:$A$5001,V$3,BD!$B$3:$B$5001,$A$267)))</f>
        <v/>
      </c>
      <c r="W274" s="207" t="str">
        <f>IF(W$3="","",IF(COUNTIFS(BD!$A$3:$A$5001,W$3,BD!$B$3:$B$5001,$A$267,BD!$J$3:$J$5001,"&lt;&gt;")=0,"",SUMIFS(BD!$J$3:$J$5001,BD!$A$3:$A$5001,W$3,BD!$B$3:$B$5001,$A$267)))</f>
        <v/>
      </c>
      <c r="X274" s="207" t="str">
        <f>IF(X$3="","",IF(COUNTIFS(BD!$A$3:$A$5001,X$3,BD!$B$3:$B$5001,$A$267,BD!$J$3:$J$5001,"&lt;&gt;")=0,"",SUMIFS(BD!$J$3:$J$5001,BD!$A$3:$A$5001,X$3,BD!$B$3:$B$5001,$A$267)))</f>
        <v/>
      </c>
      <c r="Y274" s="207" t="str">
        <f>IF(Y$3="","",IF(COUNTIFS(BD!$A$3:$A$5001,Y$3,BD!$B$3:$B$5001,$A$267,BD!$J$3:$J$5001,"&lt;&gt;")=0,"",SUMIFS(BD!$J$3:$J$5001,BD!$A$3:$A$5001,Y$3,BD!$B$3:$B$5001,$A$267)))</f>
        <v/>
      </c>
      <c r="Z274" s="207" t="str">
        <f>IF(Z$3="","",IF(COUNTIFS(BD!$A$3:$A$5001,Z$3,BD!$B$3:$B$5001,$A$267,BD!$J$3:$J$5001,"&lt;&gt;")=0,"",SUMIFS(BD!$J$3:$J$5001,BD!$A$3:$A$5001,Z$3,BD!$B$3:$B$5001,$A$267)))</f>
        <v/>
      </c>
      <c r="AA274" s="207" t="str">
        <f>IF(AA$3="","",IF(COUNTIFS(BD!$A$3:$A$5001,AA$3,BD!$B$3:$B$5001,$A$267,BD!$J$3:$J$5001,"&lt;&gt;")=0,"",SUMIFS(BD!$J$3:$J$5001,BD!$A$3:$A$5001,AA$3,BD!$B$3:$B$5001,$A$267)))</f>
        <v/>
      </c>
      <c r="AB274" s="207" t="str">
        <f>IF(AB$3="","",IF(COUNTIFS(BD!$A$3:$A$5001,AB$3,BD!$B$3:$B$5001,$A$267,BD!$J$3:$J$5001,"&lt;&gt;")=0,"",SUMIFS(BD!$J$3:$J$5001,BD!$A$3:$A$5001,AB$3,BD!$B$3:$B$5001,$A$267)))</f>
        <v/>
      </c>
      <c r="AC274" s="207" t="str">
        <f>IF(AC$3="","",IF(COUNTIFS(BD!$A$3:$A$5001,AC$3,BD!$B$3:$B$5001,$A$267,BD!$J$3:$J$5001,"&lt;&gt;")=0,"",SUMIFS(BD!$J$3:$J$5001,BD!$A$3:$A$5001,AC$3,BD!$B$3:$B$5001,$A$267)))</f>
        <v/>
      </c>
      <c r="AD274" s="207" t="str">
        <f>IF(AD$3="","",IF(COUNTIFS(BD!$A$3:$A$5001,AD$3,BD!$B$3:$B$5001,$A$267,BD!$J$3:$J$5001,"&lt;&gt;")=0,"",SUMIFS(BD!$J$3:$J$5001,BD!$A$3:$A$5001,AD$3,BD!$B$3:$B$5001,$A$267)))</f>
        <v/>
      </c>
      <c r="AE274" s="207" t="str">
        <f>IF(AE$3="","",IF(COUNTIFS(BD!$A$3:$A$5001,AE$3,BD!$B$3:$B$5001,$A$267,BD!$J$3:$J$5001,"&lt;&gt;")=0,"",SUMIFS(BD!$J$3:$J$5001,BD!$A$3:$A$5001,AE$3,BD!$B$3:$B$5001,$A$267)))</f>
        <v/>
      </c>
      <c r="AF274" s="207" t="str">
        <f>IF(AF$3="","",IF(COUNTIFS(BD!$A$3:$A$5001,AF$3,BD!$B$3:$B$5001,$A$267,BD!$J$3:$J$5001,"&lt;&gt;")=0,"",SUMIFS(BD!$J$3:$J$5001,BD!$A$3:$A$5001,AF$3,BD!$B$3:$B$5001,$A$267)))</f>
        <v/>
      </c>
      <c r="AG274" s="207" t="str">
        <f>IF(AG$3="","",IF(COUNTIFS(BD!$A$3:$A$5001,AG$3,BD!$B$3:$B$5001,$A$267,BD!$J$3:$J$5001,"&lt;&gt;")=0,"",SUMIFS(BD!$J$3:$J$5001,BD!$A$3:$A$5001,AG$3,BD!$B$3:$B$5001,$A$267)))</f>
        <v/>
      </c>
      <c r="AH274" s="207" t="str">
        <f>IF(AH$3="","",IF(COUNTIFS(BD!$A$3:$A$5001,AH$3,BD!$B$3:$B$5001,$A$267,BD!$J$3:$J$5001,"&lt;&gt;")=0,"",SUMIFS(BD!$J$3:$J$5001,BD!$A$3:$A$5001,AH$3,BD!$B$3:$B$5001,$A$267)))</f>
        <v/>
      </c>
      <c r="AI274" s="207" t="str">
        <f>IF(AI$3="","",IF(COUNTIFS(BD!$A$3:$A$5001,AI$3,BD!$B$3:$B$5001,$A$267,BD!$J$3:$J$5001,"&lt;&gt;")=0,"",SUMIFS(BD!$J$3:$J$5001,BD!$A$3:$A$5001,AI$3,BD!$B$3:$B$5001,$A$267)))</f>
        <v/>
      </c>
      <c r="AJ274" s="208" t="str">
        <f>IF(AJ$3="","",IF(COUNTIFS(BD!$A$3:$A$5001,AJ$3,BD!$B$3:$B$5001,$A$267,BD!$J$3:$J$5001,"&lt;&gt;")=0,"",SUMIFS(BD!$J$3:$J$5001,BD!$A$3:$A$5001,AJ$3,BD!$B$3:$B$5001,$A$267)))</f>
        <v/>
      </c>
      <c r="AK274" s="209" t="str">
        <f>IF(COUNT(F274:AJ274)=0,"",SUM(F274:AJ274))</f>
        <v/>
      </c>
    </row>
    <row r="275" ht="15.75" customHeight="1" hidden="1">
      <c r="A275" s="277"/>
      <c r="B275" s="268"/>
      <c r="C275" s="199" t="inlineStr">
        <is>
          <t xml:space="preserve">Caixas Expedidas</t>
        </is>
      </c>
      <c r="D275" s="200" t="str">
        <f>IFERROR(1/(1/INDEX(BD!$AF$31:$AZ$31,MATCH($A$267,BD!$AF$22:$AZ$22,0))),"")</f>
        <v/>
      </c>
      <c r="E275" s="201"/>
      <c r="F275" s="202" t="str">
        <f>IF(F$3="","",IF(COUNTIFS(BD!$A$3:$A$5001,F$3,BD!$B$3:$B$5001,$A$267,BD!$K$3:$K$5001,"&lt;&gt;")=0,"",SUMIFS(BD!$K$3:$K$5001,BD!$A$3:$A$5001,F$3,BD!$B$3:$B$5001,$A$267)))</f>
        <v/>
      </c>
      <c r="G275" s="203" t="str">
        <f>IF(G$3="","",IF(COUNTIFS(BD!$A$3:$A$5001,G$3,BD!$B$3:$B$5001,$A$267,BD!$K$3:$K$5001,"&lt;&gt;")=0,"",SUMIFS(BD!$K$3:$K$5001,BD!$A$3:$A$5001,G$3,BD!$B$3:$B$5001,$A$267)))</f>
        <v/>
      </c>
      <c r="H275" s="203" t="str">
        <f>IF(H$3="","",IF(COUNTIFS(BD!$A$3:$A$5001,H$3,BD!$B$3:$B$5001,$A$267,BD!$K$3:$K$5001,"&lt;&gt;")=0,"",SUMIFS(BD!$K$3:$K$5001,BD!$A$3:$A$5001,H$3,BD!$B$3:$B$5001,$A$267)))</f>
        <v/>
      </c>
      <c r="I275" s="203" t="str">
        <f>IF(I$3="","",IF(COUNTIFS(BD!$A$3:$A$5001,I$3,BD!$B$3:$B$5001,$A$267,BD!$K$3:$K$5001,"&lt;&gt;")=0,"",SUMIFS(BD!$K$3:$K$5001,BD!$A$3:$A$5001,I$3,BD!$B$3:$B$5001,$A$267)))</f>
        <v/>
      </c>
      <c r="J275" s="203" t="str">
        <f>IF(J$3="","",IF(COUNTIFS(BD!$A$3:$A$5001,J$3,BD!$B$3:$B$5001,$A$267,BD!$K$3:$K$5001,"&lt;&gt;")=0,"",SUMIFS(BD!$K$3:$K$5001,BD!$A$3:$A$5001,J$3,BD!$B$3:$B$5001,$A$267)))</f>
        <v/>
      </c>
      <c r="K275" s="203" t="str">
        <f>IF(K$3="","",IF(COUNTIFS(BD!$A$3:$A$5001,K$3,BD!$B$3:$B$5001,$A$267,BD!$K$3:$K$5001,"&lt;&gt;")=0,"",SUMIFS(BD!$K$3:$K$5001,BD!$A$3:$A$5001,K$3,BD!$B$3:$B$5001,$A$267)))</f>
        <v/>
      </c>
      <c r="L275" s="203" t="str">
        <f>IF(L$3="","",IF(COUNTIFS(BD!$A$3:$A$5001,L$3,BD!$B$3:$B$5001,$A$267,BD!$K$3:$K$5001,"&lt;&gt;")=0,"",SUMIFS(BD!$K$3:$K$5001,BD!$A$3:$A$5001,L$3,BD!$B$3:$B$5001,$A$267)))</f>
        <v/>
      </c>
      <c r="M275" s="203" t="str">
        <f>IF(M$3="","",IF(COUNTIFS(BD!$A$3:$A$5001,M$3,BD!$B$3:$B$5001,$A$267,BD!$K$3:$K$5001,"&lt;&gt;")=0,"",SUMIFS(BD!$K$3:$K$5001,BD!$A$3:$A$5001,M$3,BD!$B$3:$B$5001,$A$267)))</f>
        <v/>
      </c>
      <c r="N275" s="203" t="str">
        <f>IF(N$3="","",IF(COUNTIFS(BD!$A$3:$A$5001,N$3,BD!$B$3:$B$5001,$A$267,BD!$K$3:$K$5001,"&lt;&gt;")=0,"",SUMIFS(BD!$K$3:$K$5001,BD!$A$3:$A$5001,N$3,BD!$B$3:$B$5001,$A$267)))</f>
        <v/>
      </c>
      <c r="O275" s="203" t="str">
        <f>IF(O$3="","",IF(COUNTIFS(BD!$A$3:$A$5001,O$3,BD!$B$3:$B$5001,$A$267,BD!$K$3:$K$5001,"&lt;&gt;")=0,"",SUMIFS(BD!$K$3:$K$5001,BD!$A$3:$A$5001,O$3,BD!$B$3:$B$5001,$A$267)))</f>
        <v/>
      </c>
      <c r="P275" s="203" t="str">
        <f>IF(P$3="","",IF(COUNTIFS(BD!$A$3:$A$5001,P$3,BD!$B$3:$B$5001,$A$267,BD!$K$3:$K$5001,"&lt;&gt;")=0,"",SUMIFS(BD!$K$3:$K$5001,BD!$A$3:$A$5001,P$3,BD!$B$3:$B$5001,$A$267)))</f>
        <v/>
      </c>
      <c r="Q275" s="203" t="str">
        <f>IF(Q$3="","",IF(COUNTIFS(BD!$A$3:$A$5001,Q$3,BD!$B$3:$B$5001,$A$267,BD!$K$3:$K$5001,"&lt;&gt;")=0,"",SUMIFS(BD!$K$3:$K$5001,BD!$A$3:$A$5001,Q$3,BD!$B$3:$B$5001,$A$267)))</f>
        <v/>
      </c>
      <c r="R275" s="203" t="str">
        <f>IF(R$3="","",IF(COUNTIFS(BD!$A$3:$A$5001,R$3,BD!$B$3:$B$5001,$A$267,BD!$K$3:$K$5001,"&lt;&gt;")=0,"",SUMIFS(BD!$K$3:$K$5001,BD!$A$3:$A$5001,R$3,BD!$B$3:$B$5001,$A$267)))</f>
        <v/>
      </c>
      <c r="S275" s="203" t="str">
        <f>IF(S$3="","",IF(COUNTIFS(BD!$A$3:$A$5001,S$3,BD!$B$3:$B$5001,$A$267,BD!$K$3:$K$5001,"&lt;&gt;")=0,"",SUMIFS(BD!$K$3:$K$5001,BD!$A$3:$A$5001,S$3,BD!$B$3:$B$5001,$A$267)))</f>
        <v/>
      </c>
      <c r="T275" s="203" t="str">
        <f>IF(T$3="","",IF(COUNTIFS(BD!$A$3:$A$5001,T$3,BD!$B$3:$B$5001,$A$267,BD!$K$3:$K$5001,"&lt;&gt;")=0,"",SUMIFS(BD!$K$3:$K$5001,BD!$A$3:$A$5001,T$3,BD!$B$3:$B$5001,$A$267)))</f>
        <v/>
      </c>
      <c r="U275" s="203" t="str">
        <f>IF(U$3="","",IF(COUNTIFS(BD!$A$3:$A$5001,U$3,BD!$B$3:$B$5001,$A$267,BD!$K$3:$K$5001,"&lt;&gt;")=0,"",SUMIFS(BD!$K$3:$K$5001,BD!$A$3:$A$5001,U$3,BD!$B$3:$B$5001,$A$267)))</f>
        <v/>
      </c>
      <c r="V275" s="203" t="str">
        <f>IF(V$3="","",IF(COUNTIFS(BD!$A$3:$A$5001,V$3,BD!$B$3:$B$5001,$A$267,BD!$K$3:$K$5001,"&lt;&gt;")=0,"",SUMIFS(BD!$K$3:$K$5001,BD!$A$3:$A$5001,V$3,BD!$B$3:$B$5001,$A$267)))</f>
        <v/>
      </c>
      <c r="W275" s="203" t="str">
        <f>IF(W$3="","",IF(COUNTIFS(BD!$A$3:$A$5001,W$3,BD!$B$3:$B$5001,$A$267,BD!$K$3:$K$5001,"&lt;&gt;")=0,"",SUMIFS(BD!$K$3:$K$5001,BD!$A$3:$A$5001,W$3,BD!$B$3:$B$5001,$A$267)))</f>
        <v/>
      </c>
      <c r="X275" s="203" t="str">
        <f>IF(X$3="","",IF(COUNTIFS(BD!$A$3:$A$5001,X$3,BD!$B$3:$B$5001,$A$267,BD!$K$3:$K$5001,"&lt;&gt;")=0,"",SUMIFS(BD!$K$3:$K$5001,BD!$A$3:$A$5001,X$3,BD!$B$3:$B$5001,$A$267)))</f>
        <v/>
      </c>
      <c r="Y275" s="203" t="str">
        <f>IF(Y$3="","",IF(COUNTIFS(BD!$A$3:$A$5001,Y$3,BD!$B$3:$B$5001,$A$267,BD!$K$3:$K$5001,"&lt;&gt;")=0,"",SUMIFS(BD!$K$3:$K$5001,BD!$A$3:$A$5001,Y$3,BD!$B$3:$B$5001,$A$267)))</f>
        <v/>
      </c>
      <c r="Z275" s="203" t="str">
        <f>IF(Z$3="","",IF(COUNTIFS(BD!$A$3:$A$5001,Z$3,BD!$B$3:$B$5001,$A$267,BD!$K$3:$K$5001,"&lt;&gt;")=0,"",SUMIFS(BD!$K$3:$K$5001,BD!$A$3:$A$5001,Z$3,BD!$B$3:$B$5001,$A$267)))</f>
        <v/>
      </c>
      <c r="AA275" s="203" t="str">
        <f>IF(AA$3="","",IF(COUNTIFS(BD!$A$3:$A$5001,AA$3,BD!$B$3:$B$5001,$A$267,BD!$K$3:$K$5001,"&lt;&gt;")=0,"",SUMIFS(BD!$K$3:$K$5001,BD!$A$3:$A$5001,AA$3,BD!$B$3:$B$5001,$A$267)))</f>
        <v/>
      </c>
      <c r="AB275" s="203" t="str">
        <f>IF(AB$3="","",IF(COUNTIFS(BD!$A$3:$A$5001,AB$3,BD!$B$3:$B$5001,$A$267,BD!$K$3:$K$5001,"&lt;&gt;")=0,"",SUMIFS(BD!$K$3:$K$5001,BD!$A$3:$A$5001,AB$3,BD!$B$3:$B$5001,$A$267)))</f>
        <v/>
      </c>
      <c r="AC275" s="203" t="str">
        <f>IF(AC$3="","",IF(COUNTIFS(BD!$A$3:$A$5001,AC$3,BD!$B$3:$B$5001,$A$267,BD!$K$3:$K$5001,"&lt;&gt;")=0,"",SUMIFS(BD!$K$3:$K$5001,BD!$A$3:$A$5001,AC$3,BD!$B$3:$B$5001,$A$267)))</f>
        <v/>
      </c>
      <c r="AD275" s="203" t="str">
        <f>IF(AD$3="","",IF(COUNTIFS(BD!$A$3:$A$5001,AD$3,BD!$B$3:$B$5001,$A$267,BD!$K$3:$K$5001,"&lt;&gt;")=0,"",SUMIFS(BD!$K$3:$K$5001,BD!$A$3:$A$5001,AD$3,BD!$B$3:$B$5001,$A$267)))</f>
        <v/>
      </c>
      <c r="AE275" s="203" t="str">
        <f>IF(AE$3="","",IF(COUNTIFS(BD!$A$3:$A$5001,AE$3,BD!$B$3:$B$5001,$A$267,BD!$K$3:$K$5001,"&lt;&gt;")=0,"",SUMIFS(BD!$K$3:$K$5001,BD!$A$3:$A$5001,AE$3,BD!$B$3:$B$5001,$A$267)))</f>
        <v/>
      </c>
      <c r="AF275" s="203" t="str">
        <f>IF(AF$3="","",IF(COUNTIFS(BD!$A$3:$A$5001,AF$3,BD!$B$3:$B$5001,$A$267,BD!$K$3:$K$5001,"&lt;&gt;")=0,"",SUMIFS(BD!$K$3:$K$5001,BD!$A$3:$A$5001,AF$3,BD!$B$3:$B$5001,$A$267)))</f>
        <v/>
      </c>
      <c r="AG275" s="203" t="str">
        <f>IF(AG$3="","",IF(COUNTIFS(BD!$A$3:$A$5001,AG$3,BD!$B$3:$B$5001,$A$267,BD!$K$3:$K$5001,"&lt;&gt;")=0,"",SUMIFS(BD!$K$3:$K$5001,BD!$A$3:$A$5001,AG$3,BD!$B$3:$B$5001,$A$267)))</f>
        <v/>
      </c>
      <c r="AH275" s="203" t="str">
        <f>IF(AH$3="","",IF(COUNTIFS(BD!$A$3:$A$5001,AH$3,BD!$B$3:$B$5001,$A$267,BD!$K$3:$K$5001,"&lt;&gt;")=0,"",SUMIFS(BD!$K$3:$K$5001,BD!$A$3:$A$5001,AH$3,BD!$B$3:$B$5001,$A$267)))</f>
        <v/>
      </c>
      <c r="AI275" s="203" t="str">
        <f>IF(AI$3="","",IF(COUNTIFS(BD!$A$3:$A$5001,AI$3,BD!$B$3:$B$5001,$A$267,BD!$K$3:$K$5001,"&lt;&gt;")=0,"",SUMIFS(BD!$K$3:$K$5001,BD!$A$3:$A$5001,AI$3,BD!$B$3:$B$5001,$A$267)))</f>
        <v/>
      </c>
      <c r="AJ275" s="204" t="str">
        <f>IF(AJ$3="","",IF(COUNTIFS(BD!$A$3:$A$5001,AJ$3,BD!$B$3:$B$5001,$A$267,BD!$K$3:$K$5001,"&lt;&gt;")=0,"",SUMIFS(BD!$K$3:$K$5001,BD!$A$3:$A$5001,AJ$3,BD!$B$3:$B$5001,$A$267)))</f>
        <v/>
      </c>
      <c r="AK275" s="205" t="str">
        <f>IF(COUNT(F275:AJ275)=0,"",SUM(F275:AJ275))</f>
        <v/>
      </c>
    </row>
    <row r="276" ht="15.75" customHeight="1" hidden="1">
      <c r="A276" s="277"/>
      <c r="B276" s="268"/>
      <c r="C276" s="199" t="inlineStr">
        <is>
          <t xml:space="preserve">Pedidos Faturados</t>
        </is>
      </c>
      <c r="D276" s="200" t="str">
        <f>IFERROR(1/(1/INDEX(BD!$AF$32:$AZ$32,MATCH($A$267,BD!$AF$22:$AZ$22,0))),"")</f>
        <v/>
      </c>
      <c r="E276" s="201"/>
      <c r="F276" s="202" t="str">
        <f>IF(F$3="","",IF(COUNTIFS(BD!$A$3:$A$5001,F$3,BD!$B$3:$B$5001,$A$267,BD!$L$3:$L$5001,"&lt;&gt;")=0,"",SUMIFS(BD!$L$3:$L$5001,BD!$A$3:$A$5001,F$3,BD!$B$3:$B$5001,$A$267)))</f>
        <v/>
      </c>
      <c r="G276" s="203" t="str">
        <f>IF(G$3="","",IF(COUNTIFS(BD!$A$3:$A$5001,G$3,BD!$B$3:$B$5001,$A$267,BD!$L$3:$L$5001,"&lt;&gt;")=0,"",SUMIFS(BD!$L$3:$L$5001,BD!$A$3:$A$5001,G$3,BD!$B$3:$B$5001,$A$267)))</f>
        <v/>
      </c>
      <c r="H276" s="203" t="str">
        <f>IF(H$3="","",IF(COUNTIFS(BD!$A$3:$A$5001,H$3,BD!$B$3:$B$5001,$A$267,BD!$L$3:$L$5001,"&lt;&gt;")=0,"",SUMIFS(BD!$L$3:$L$5001,BD!$A$3:$A$5001,H$3,BD!$B$3:$B$5001,$A$267)))</f>
        <v/>
      </c>
      <c r="I276" s="203" t="str">
        <f>IF(I$3="","",IF(COUNTIFS(BD!$A$3:$A$5001,I$3,BD!$B$3:$B$5001,$A$267,BD!$L$3:$L$5001,"&lt;&gt;")=0,"",SUMIFS(BD!$L$3:$L$5001,BD!$A$3:$A$5001,I$3,BD!$B$3:$B$5001,$A$267)))</f>
        <v/>
      </c>
      <c r="J276" s="203" t="str">
        <f>IF(J$3="","",IF(COUNTIFS(BD!$A$3:$A$5001,J$3,BD!$B$3:$B$5001,$A$267,BD!$L$3:$L$5001,"&lt;&gt;")=0,"",SUMIFS(BD!$L$3:$L$5001,BD!$A$3:$A$5001,J$3,BD!$B$3:$B$5001,$A$267)))</f>
        <v/>
      </c>
      <c r="K276" s="203" t="str">
        <f>IF(K$3="","",IF(COUNTIFS(BD!$A$3:$A$5001,K$3,BD!$B$3:$B$5001,$A$267,BD!$L$3:$L$5001,"&lt;&gt;")=0,"",SUMIFS(BD!$L$3:$L$5001,BD!$A$3:$A$5001,K$3,BD!$B$3:$B$5001,$A$267)))</f>
        <v/>
      </c>
      <c r="L276" s="203" t="str">
        <f>IF(L$3="","",IF(COUNTIFS(BD!$A$3:$A$5001,L$3,BD!$B$3:$B$5001,$A$267,BD!$L$3:$L$5001,"&lt;&gt;")=0,"",SUMIFS(BD!$L$3:$L$5001,BD!$A$3:$A$5001,L$3,BD!$B$3:$B$5001,$A$267)))</f>
        <v/>
      </c>
      <c r="M276" s="203" t="str">
        <f>IF(M$3="","",IF(COUNTIFS(BD!$A$3:$A$5001,M$3,BD!$B$3:$B$5001,$A$267,BD!$L$3:$L$5001,"&lt;&gt;")=0,"",SUMIFS(BD!$L$3:$L$5001,BD!$A$3:$A$5001,M$3,BD!$B$3:$B$5001,$A$267)))</f>
        <v/>
      </c>
      <c r="N276" s="203" t="str">
        <f>IF(N$3="","",IF(COUNTIFS(BD!$A$3:$A$5001,N$3,BD!$B$3:$B$5001,$A$267,BD!$L$3:$L$5001,"&lt;&gt;")=0,"",SUMIFS(BD!$L$3:$L$5001,BD!$A$3:$A$5001,N$3,BD!$B$3:$B$5001,$A$267)))</f>
        <v/>
      </c>
      <c r="O276" s="203" t="str">
        <f>IF(O$3="","",IF(COUNTIFS(BD!$A$3:$A$5001,O$3,BD!$B$3:$B$5001,$A$267,BD!$L$3:$L$5001,"&lt;&gt;")=0,"",SUMIFS(BD!$L$3:$L$5001,BD!$A$3:$A$5001,O$3,BD!$B$3:$B$5001,$A$267)))</f>
        <v/>
      </c>
      <c r="P276" s="203" t="str">
        <f>IF(P$3="","",IF(COUNTIFS(BD!$A$3:$A$5001,P$3,BD!$B$3:$B$5001,$A$267,BD!$L$3:$L$5001,"&lt;&gt;")=0,"",SUMIFS(BD!$L$3:$L$5001,BD!$A$3:$A$5001,P$3,BD!$B$3:$B$5001,$A$267)))</f>
        <v/>
      </c>
      <c r="Q276" s="203" t="str">
        <f>IF(Q$3="","",IF(COUNTIFS(BD!$A$3:$A$5001,Q$3,BD!$B$3:$B$5001,$A$267,BD!$L$3:$L$5001,"&lt;&gt;")=0,"",SUMIFS(BD!$L$3:$L$5001,BD!$A$3:$A$5001,Q$3,BD!$B$3:$B$5001,$A$267)))</f>
        <v/>
      </c>
      <c r="R276" s="203" t="str">
        <f>IF(R$3="","",IF(COUNTIFS(BD!$A$3:$A$5001,R$3,BD!$B$3:$B$5001,$A$267,BD!$L$3:$L$5001,"&lt;&gt;")=0,"",SUMIFS(BD!$L$3:$L$5001,BD!$A$3:$A$5001,R$3,BD!$B$3:$B$5001,$A$267)))</f>
        <v/>
      </c>
      <c r="S276" s="203" t="str">
        <f>IF(S$3="","",IF(COUNTIFS(BD!$A$3:$A$5001,S$3,BD!$B$3:$B$5001,$A$267,BD!$L$3:$L$5001,"&lt;&gt;")=0,"",SUMIFS(BD!$L$3:$L$5001,BD!$A$3:$A$5001,S$3,BD!$B$3:$B$5001,$A$267)))</f>
        <v/>
      </c>
      <c r="T276" s="203" t="str">
        <f>IF(T$3="","",IF(COUNTIFS(BD!$A$3:$A$5001,T$3,BD!$B$3:$B$5001,$A$267,BD!$L$3:$L$5001,"&lt;&gt;")=0,"",SUMIFS(BD!$L$3:$L$5001,BD!$A$3:$A$5001,T$3,BD!$B$3:$B$5001,$A$267)))</f>
        <v/>
      </c>
      <c r="U276" s="203" t="str">
        <f>IF(U$3="","",IF(COUNTIFS(BD!$A$3:$A$5001,U$3,BD!$B$3:$B$5001,$A$267,BD!$L$3:$L$5001,"&lt;&gt;")=0,"",SUMIFS(BD!$L$3:$L$5001,BD!$A$3:$A$5001,U$3,BD!$B$3:$B$5001,$A$267)))</f>
        <v/>
      </c>
      <c r="V276" s="203" t="str">
        <f>IF(V$3="","",IF(COUNTIFS(BD!$A$3:$A$5001,V$3,BD!$B$3:$B$5001,$A$267,BD!$L$3:$L$5001,"&lt;&gt;")=0,"",SUMIFS(BD!$L$3:$L$5001,BD!$A$3:$A$5001,V$3,BD!$B$3:$B$5001,$A$267)))</f>
        <v/>
      </c>
      <c r="W276" s="203" t="str">
        <f>IF(W$3="","",IF(COUNTIFS(BD!$A$3:$A$5001,W$3,BD!$B$3:$B$5001,$A$267,BD!$L$3:$L$5001,"&lt;&gt;")=0,"",SUMIFS(BD!$L$3:$L$5001,BD!$A$3:$A$5001,W$3,BD!$B$3:$B$5001,$A$267)))</f>
        <v/>
      </c>
      <c r="X276" s="203" t="str">
        <f>IF(X$3="","",IF(COUNTIFS(BD!$A$3:$A$5001,X$3,BD!$B$3:$B$5001,$A$267,BD!$L$3:$L$5001,"&lt;&gt;")=0,"",SUMIFS(BD!$L$3:$L$5001,BD!$A$3:$A$5001,X$3,BD!$B$3:$B$5001,$A$267)))</f>
        <v/>
      </c>
      <c r="Y276" s="203" t="str">
        <f>IF(Y$3="","",IF(COUNTIFS(BD!$A$3:$A$5001,Y$3,BD!$B$3:$B$5001,$A$267,BD!$L$3:$L$5001,"&lt;&gt;")=0,"",SUMIFS(BD!$L$3:$L$5001,BD!$A$3:$A$5001,Y$3,BD!$B$3:$B$5001,$A$267)))</f>
        <v/>
      </c>
      <c r="Z276" s="203" t="str">
        <f>IF(Z$3="","",IF(COUNTIFS(BD!$A$3:$A$5001,Z$3,BD!$B$3:$B$5001,$A$267,BD!$L$3:$L$5001,"&lt;&gt;")=0,"",SUMIFS(BD!$L$3:$L$5001,BD!$A$3:$A$5001,Z$3,BD!$B$3:$B$5001,$A$267)))</f>
        <v/>
      </c>
      <c r="AA276" s="203" t="str">
        <f>IF(AA$3="","",IF(COUNTIFS(BD!$A$3:$A$5001,AA$3,BD!$B$3:$B$5001,$A$267,BD!$L$3:$L$5001,"&lt;&gt;")=0,"",SUMIFS(BD!$L$3:$L$5001,BD!$A$3:$A$5001,AA$3,BD!$B$3:$B$5001,$A$267)))</f>
        <v/>
      </c>
      <c r="AB276" s="203" t="str">
        <f>IF(AB$3="","",IF(COUNTIFS(BD!$A$3:$A$5001,AB$3,BD!$B$3:$B$5001,$A$267,BD!$L$3:$L$5001,"&lt;&gt;")=0,"",SUMIFS(BD!$L$3:$L$5001,BD!$A$3:$A$5001,AB$3,BD!$B$3:$B$5001,$A$267)))</f>
        <v/>
      </c>
      <c r="AC276" s="203" t="str">
        <f>IF(AC$3="","",IF(COUNTIFS(BD!$A$3:$A$5001,AC$3,BD!$B$3:$B$5001,$A$267,BD!$L$3:$L$5001,"&lt;&gt;")=0,"",SUMIFS(BD!$L$3:$L$5001,BD!$A$3:$A$5001,AC$3,BD!$B$3:$B$5001,$A$267)))</f>
        <v/>
      </c>
      <c r="AD276" s="203" t="str">
        <f>IF(AD$3="","",IF(COUNTIFS(BD!$A$3:$A$5001,AD$3,BD!$B$3:$B$5001,$A$267,BD!$L$3:$L$5001,"&lt;&gt;")=0,"",SUMIFS(BD!$L$3:$L$5001,BD!$A$3:$A$5001,AD$3,BD!$B$3:$B$5001,$A$267)))</f>
        <v/>
      </c>
      <c r="AE276" s="203" t="str">
        <f>IF(AE$3="","",IF(COUNTIFS(BD!$A$3:$A$5001,AE$3,BD!$B$3:$B$5001,$A$267,BD!$L$3:$L$5001,"&lt;&gt;")=0,"",SUMIFS(BD!$L$3:$L$5001,BD!$A$3:$A$5001,AE$3,BD!$B$3:$B$5001,$A$267)))</f>
        <v/>
      </c>
      <c r="AF276" s="203" t="str">
        <f>IF(AF$3="","",IF(COUNTIFS(BD!$A$3:$A$5001,AF$3,BD!$B$3:$B$5001,$A$267,BD!$L$3:$L$5001,"&lt;&gt;")=0,"",SUMIFS(BD!$L$3:$L$5001,BD!$A$3:$A$5001,AF$3,BD!$B$3:$B$5001,$A$267)))</f>
        <v/>
      </c>
      <c r="AG276" s="203" t="str">
        <f>IF(AG$3="","",IF(COUNTIFS(BD!$A$3:$A$5001,AG$3,BD!$B$3:$B$5001,$A$267,BD!$L$3:$L$5001,"&lt;&gt;")=0,"",SUMIFS(BD!$L$3:$L$5001,BD!$A$3:$A$5001,AG$3,BD!$B$3:$B$5001,$A$267)))</f>
        <v/>
      </c>
      <c r="AH276" s="203" t="str">
        <f>IF(AH$3="","",IF(COUNTIFS(BD!$A$3:$A$5001,AH$3,BD!$B$3:$B$5001,$A$267,BD!$L$3:$L$5001,"&lt;&gt;")=0,"",SUMIFS(BD!$L$3:$L$5001,BD!$A$3:$A$5001,AH$3,BD!$B$3:$B$5001,$A$267)))</f>
        <v/>
      </c>
      <c r="AI276" s="203" t="str">
        <f>IF(AI$3="","",IF(COUNTIFS(BD!$A$3:$A$5001,AI$3,BD!$B$3:$B$5001,$A$267,BD!$L$3:$L$5001,"&lt;&gt;")=0,"",SUMIFS(BD!$L$3:$L$5001,BD!$A$3:$A$5001,AI$3,BD!$B$3:$B$5001,$A$267)))</f>
        <v/>
      </c>
      <c r="AJ276" s="204" t="str">
        <f>IF(AJ$3="","",IF(COUNTIFS(BD!$A$3:$A$5001,AJ$3,BD!$B$3:$B$5001,$A$267,BD!$L$3:$L$5001,"&lt;&gt;")=0,"",SUMIFS(BD!$L$3:$L$5001,BD!$A$3:$A$5001,AJ$3,BD!$B$3:$B$5001,$A$267)))</f>
        <v/>
      </c>
      <c r="AK276" s="205" t="str">
        <f>IF(COUNT(F276:AJ276)=0,"",SUM(F276:AJ276))</f>
        <v/>
      </c>
    </row>
    <row r="277" ht="15.75" customHeight="1" hidden="1">
      <c r="A277" s="277"/>
      <c r="B277" s="269"/>
      <c r="C277" s="210" t="inlineStr">
        <is>
          <t xml:space="preserve">Bags Expedidos</t>
        </is>
      </c>
      <c r="D277" s="211" t="str">
        <f>IFERROR(1/(1/INDEX(BD!$AF$33:$AZ$33,MATCH($A$267,BD!$AF$22:$AZ$22,0))),"")</f>
        <v/>
      </c>
      <c r="E277" s="212"/>
      <c r="F277" s="213" t="str">
        <f>IF(F$3="","",IF(COUNTIFS(BD!$A$3:$A$5001,F$3,BD!$B$3:$B$5001,$A$267,BD!$M$3:$M$5001,"&lt;&gt;")=0,"",SUMIFS(BD!$M$3:$M$5001,BD!$A$3:$A$5001,F$3,BD!$B$3:$B$5001,$A$267)))</f>
        <v/>
      </c>
      <c r="G277" s="214" t="str">
        <f>IF(G$3="","",IF(COUNTIFS(BD!$A$3:$A$5001,G$3,BD!$B$3:$B$5001,$A$267,BD!$M$3:$M$5001,"&lt;&gt;")=0,"",SUMIFS(BD!$M$3:$M$5001,BD!$A$3:$A$5001,G$3,BD!$B$3:$B$5001,$A$267)))</f>
        <v/>
      </c>
      <c r="H277" s="214" t="str">
        <f>IF(H$3="","",IF(COUNTIFS(BD!$A$3:$A$5001,H$3,BD!$B$3:$B$5001,$A$267,BD!$M$3:$M$5001,"&lt;&gt;")=0,"",SUMIFS(BD!$M$3:$M$5001,BD!$A$3:$A$5001,H$3,BD!$B$3:$B$5001,$A$267)))</f>
        <v/>
      </c>
      <c r="I277" s="214" t="str">
        <f>IF(I$3="","",IF(COUNTIFS(BD!$A$3:$A$5001,I$3,BD!$B$3:$B$5001,$A$267,BD!$M$3:$M$5001,"&lt;&gt;")=0,"",SUMIFS(BD!$M$3:$M$5001,BD!$A$3:$A$5001,I$3,BD!$B$3:$B$5001,$A$267)))</f>
        <v/>
      </c>
      <c r="J277" s="214" t="str">
        <f>IF(J$3="","",IF(COUNTIFS(BD!$A$3:$A$5001,J$3,BD!$B$3:$B$5001,$A$267,BD!$M$3:$M$5001,"&lt;&gt;")=0,"",SUMIFS(BD!$M$3:$M$5001,BD!$A$3:$A$5001,J$3,BD!$B$3:$B$5001,$A$267)))</f>
        <v/>
      </c>
      <c r="K277" s="214" t="str">
        <f>IF(K$3="","",IF(COUNTIFS(BD!$A$3:$A$5001,K$3,BD!$B$3:$B$5001,$A$267,BD!$M$3:$M$5001,"&lt;&gt;")=0,"",SUMIFS(BD!$M$3:$M$5001,BD!$A$3:$A$5001,K$3,BD!$B$3:$B$5001,$A$267)))</f>
        <v/>
      </c>
      <c r="L277" s="214" t="str">
        <f>IF(L$3="","",IF(COUNTIFS(BD!$A$3:$A$5001,L$3,BD!$B$3:$B$5001,$A$267,BD!$M$3:$M$5001,"&lt;&gt;")=0,"",SUMIFS(BD!$M$3:$M$5001,BD!$A$3:$A$5001,L$3,BD!$B$3:$B$5001,$A$267)))</f>
        <v/>
      </c>
      <c r="M277" s="214" t="str">
        <f>IF(M$3="","",IF(COUNTIFS(BD!$A$3:$A$5001,M$3,BD!$B$3:$B$5001,$A$267,BD!$M$3:$M$5001,"&lt;&gt;")=0,"",SUMIFS(BD!$M$3:$M$5001,BD!$A$3:$A$5001,M$3,BD!$B$3:$B$5001,$A$267)))</f>
        <v/>
      </c>
      <c r="N277" s="214" t="str">
        <f>IF(N$3="","",IF(COUNTIFS(BD!$A$3:$A$5001,N$3,BD!$B$3:$B$5001,$A$267,BD!$M$3:$M$5001,"&lt;&gt;")=0,"",SUMIFS(BD!$M$3:$M$5001,BD!$A$3:$A$5001,N$3,BD!$B$3:$B$5001,$A$267)))</f>
        <v/>
      </c>
      <c r="O277" s="214" t="str">
        <f>IF(O$3="","",IF(COUNTIFS(BD!$A$3:$A$5001,O$3,BD!$B$3:$B$5001,$A$267,BD!$M$3:$M$5001,"&lt;&gt;")=0,"",SUMIFS(BD!$M$3:$M$5001,BD!$A$3:$A$5001,O$3,BD!$B$3:$B$5001,$A$267)))</f>
        <v/>
      </c>
      <c r="P277" s="214" t="str">
        <f>IF(P$3="","",IF(COUNTIFS(BD!$A$3:$A$5001,P$3,BD!$B$3:$B$5001,$A$267,BD!$M$3:$M$5001,"&lt;&gt;")=0,"",SUMIFS(BD!$M$3:$M$5001,BD!$A$3:$A$5001,P$3,BD!$B$3:$B$5001,$A$267)))</f>
        <v/>
      </c>
      <c r="Q277" s="214" t="str">
        <f>IF(Q$3="","",IF(COUNTIFS(BD!$A$3:$A$5001,Q$3,BD!$B$3:$B$5001,$A$267,BD!$M$3:$M$5001,"&lt;&gt;")=0,"",SUMIFS(BD!$M$3:$M$5001,BD!$A$3:$A$5001,Q$3,BD!$B$3:$B$5001,$A$267)))</f>
        <v/>
      </c>
      <c r="R277" s="214" t="str">
        <f>IF(R$3="","",IF(COUNTIFS(BD!$A$3:$A$5001,R$3,BD!$B$3:$B$5001,$A$267,BD!$M$3:$M$5001,"&lt;&gt;")=0,"",SUMIFS(BD!$M$3:$M$5001,BD!$A$3:$A$5001,R$3,BD!$B$3:$B$5001,$A$267)))</f>
        <v/>
      </c>
      <c r="S277" s="214" t="str">
        <f>IF(S$3="","",IF(COUNTIFS(BD!$A$3:$A$5001,S$3,BD!$B$3:$B$5001,$A$267,BD!$M$3:$M$5001,"&lt;&gt;")=0,"",SUMIFS(BD!$M$3:$M$5001,BD!$A$3:$A$5001,S$3,BD!$B$3:$B$5001,$A$267)))</f>
        <v/>
      </c>
      <c r="T277" s="214" t="str">
        <f>IF(T$3="","",IF(COUNTIFS(BD!$A$3:$A$5001,T$3,BD!$B$3:$B$5001,$A$267,BD!$M$3:$M$5001,"&lt;&gt;")=0,"",SUMIFS(BD!$M$3:$M$5001,BD!$A$3:$A$5001,T$3,BD!$B$3:$B$5001,$A$267)))</f>
        <v/>
      </c>
      <c r="U277" s="214" t="str">
        <f>IF(U$3="","",IF(COUNTIFS(BD!$A$3:$A$5001,U$3,BD!$B$3:$B$5001,$A$267,BD!$M$3:$M$5001,"&lt;&gt;")=0,"",SUMIFS(BD!$M$3:$M$5001,BD!$A$3:$A$5001,U$3,BD!$B$3:$B$5001,$A$267)))</f>
        <v/>
      </c>
      <c r="V277" s="214" t="str">
        <f>IF(V$3="","",IF(COUNTIFS(BD!$A$3:$A$5001,V$3,BD!$B$3:$B$5001,$A$267,BD!$M$3:$M$5001,"&lt;&gt;")=0,"",SUMIFS(BD!$M$3:$M$5001,BD!$A$3:$A$5001,V$3,BD!$B$3:$B$5001,$A$267)))</f>
        <v/>
      </c>
      <c r="W277" s="214" t="str">
        <f>IF(W$3="","",IF(COUNTIFS(BD!$A$3:$A$5001,W$3,BD!$B$3:$B$5001,$A$267,BD!$M$3:$M$5001,"&lt;&gt;")=0,"",SUMIFS(BD!$M$3:$M$5001,BD!$A$3:$A$5001,W$3,BD!$B$3:$B$5001,$A$267)))</f>
        <v/>
      </c>
      <c r="X277" s="214" t="str">
        <f>IF(X$3="","",IF(COUNTIFS(BD!$A$3:$A$5001,X$3,BD!$B$3:$B$5001,$A$267,BD!$M$3:$M$5001,"&lt;&gt;")=0,"",SUMIFS(BD!$M$3:$M$5001,BD!$A$3:$A$5001,X$3,BD!$B$3:$B$5001,$A$267)))</f>
        <v/>
      </c>
      <c r="Y277" s="214" t="str">
        <f>IF(Y$3="","",IF(COUNTIFS(BD!$A$3:$A$5001,Y$3,BD!$B$3:$B$5001,$A$267,BD!$M$3:$M$5001,"&lt;&gt;")=0,"",SUMIFS(BD!$M$3:$M$5001,BD!$A$3:$A$5001,Y$3,BD!$B$3:$B$5001,$A$267)))</f>
        <v/>
      </c>
      <c r="Z277" s="214" t="str">
        <f>IF(Z$3="","",IF(COUNTIFS(BD!$A$3:$A$5001,Z$3,BD!$B$3:$B$5001,$A$267,BD!$M$3:$M$5001,"&lt;&gt;")=0,"",SUMIFS(BD!$M$3:$M$5001,BD!$A$3:$A$5001,Z$3,BD!$B$3:$B$5001,$A$267)))</f>
        <v/>
      </c>
      <c r="AA277" s="214" t="str">
        <f>IF(AA$3="","",IF(COUNTIFS(BD!$A$3:$A$5001,AA$3,BD!$B$3:$B$5001,$A$267,BD!$M$3:$M$5001,"&lt;&gt;")=0,"",SUMIFS(BD!$M$3:$M$5001,BD!$A$3:$A$5001,AA$3,BD!$B$3:$B$5001,$A$267)))</f>
        <v/>
      </c>
      <c r="AB277" s="214" t="str">
        <f>IF(AB$3="","",IF(COUNTIFS(BD!$A$3:$A$5001,AB$3,BD!$B$3:$B$5001,$A$267,BD!$M$3:$M$5001,"&lt;&gt;")=0,"",SUMIFS(BD!$M$3:$M$5001,BD!$A$3:$A$5001,AB$3,BD!$B$3:$B$5001,$A$267)))</f>
        <v/>
      </c>
      <c r="AC277" s="214" t="str">
        <f>IF(AC$3="","",IF(COUNTIFS(BD!$A$3:$A$5001,AC$3,BD!$B$3:$B$5001,$A$267,BD!$M$3:$M$5001,"&lt;&gt;")=0,"",SUMIFS(BD!$M$3:$M$5001,BD!$A$3:$A$5001,AC$3,BD!$B$3:$B$5001,$A$267)))</f>
        <v/>
      </c>
      <c r="AD277" s="214" t="str">
        <f>IF(AD$3="","",IF(COUNTIFS(BD!$A$3:$A$5001,AD$3,BD!$B$3:$B$5001,$A$267,BD!$M$3:$M$5001,"&lt;&gt;")=0,"",SUMIFS(BD!$M$3:$M$5001,BD!$A$3:$A$5001,AD$3,BD!$B$3:$B$5001,$A$267)))</f>
        <v/>
      </c>
      <c r="AE277" s="214" t="str">
        <f>IF(AE$3="","",IF(COUNTIFS(BD!$A$3:$A$5001,AE$3,BD!$B$3:$B$5001,$A$267,BD!$M$3:$M$5001,"&lt;&gt;")=0,"",SUMIFS(BD!$M$3:$M$5001,BD!$A$3:$A$5001,AE$3,BD!$B$3:$B$5001,$A$267)))</f>
        <v/>
      </c>
      <c r="AF277" s="214" t="str">
        <f>IF(AF$3="","",IF(COUNTIFS(BD!$A$3:$A$5001,AF$3,BD!$B$3:$B$5001,$A$267,BD!$M$3:$M$5001,"&lt;&gt;")=0,"",SUMIFS(BD!$M$3:$M$5001,BD!$A$3:$A$5001,AF$3,BD!$B$3:$B$5001,$A$267)))</f>
        <v/>
      </c>
      <c r="AG277" s="214" t="str">
        <f>IF(AG$3="","",IF(COUNTIFS(BD!$A$3:$A$5001,AG$3,BD!$B$3:$B$5001,$A$267,BD!$M$3:$M$5001,"&lt;&gt;")=0,"",SUMIFS(BD!$M$3:$M$5001,BD!$A$3:$A$5001,AG$3,BD!$B$3:$B$5001,$A$267)))</f>
        <v/>
      </c>
      <c r="AH277" s="214" t="str">
        <f>IF(AH$3="","",IF(COUNTIFS(BD!$A$3:$A$5001,AH$3,BD!$B$3:$B$5001,$A$267,BD!$M$3:$M$5001,"&lt;&gt;")=0,"",SUMIFS(BD!$M$3:$M$5001,BD!$A$3:$A$5001,AH$3,BD!$B$3:$B$5001,$A$267)))</f>
        <v/>
      </c>
      <c r="AI277" s="214" t="str">
        <f>IF(AI$3="","",IF(COUNTIFS(BD!$A$3:$A$5001,AI$3,BD!$B$3:$B$5001,$A$267,BD!$M$3:$M$5001,"&lt;&gt;")=0,"",SUMIFS(BD!$M$3:$M$5001,BD!$A$3:$A$5001,AI$3,BD!$B$3:$B$5001,$A$267)))</f>
        <v/>
      </c>
      <c r="AJ277" s="215" t="str">
        <f>IF(AJ$3="","",IF(COUNTIFS(BD!$A$3:$A$5001,AJ$3,BD!$B$3:$B$5001,$A$267,BD!$M$3:$M$5001,"&lt;&gt;")=0,"",SUMIFS(BD!$M$3:$M$5001,BD!$A$3:$A$5001,AJ$3,BD!$B$3:$B$5001,$A$267)))</f>
        <v/>
      </c>
      <c r="AK277" s="211" t="str">
        <f>IF(COUNT(F277:AJ277)=0,"",SUM(F277:AJ277))</f>
        <v/>
      </c>
    </row>
    <row r="278" ht="15.75" customHeight="1" hidden="1">
      <c r="A278" s="277"/>
      <c r="B278" s="270" t="inlineStr">
        <is>
          <t xml:space="preserve">NC</t>
        </is>
      </c>
      <c r="C278" s="216" t="inlineStr">
        <is>
          <t xml:space="preserve">Incidentes</t>
        </is>
      </c>
      <c r="D278" s="217" t="str">
        <f>IFERROR(1/(1/INDEX(BD!$AF$34:$AZ$34,MATCH($A$267,BD!$AF$22:$AZ$22,0))),"")</f>
        <v/>
      </c>
      <c r="E278" s="218"/>
      <c r="F278" s="219" t="str">
        <f>IF(F$3="","",IF(COUNTIFS(BD!$A$3:$A$5001,F$3,BD!$B$3:$B$5001,$A$267,BD!$N$3:$N$5001,"&lt;&gt;")=0,"",SUMIFS(BD!$N$3:$N$5001,BD!$A$3:$A$5001,F$3,BD!$B$3:$B$5001,$A$267)))</f>
        <v/>
      </c>
      <c r="G278" s="220" t="str">
        <f>IF(G$3="","",IF(COUNTIFS(BD!$A$3:$A$5001,G$3,BD!$B$3:$B$5001,$A$267,BD!$N$3:$N$5001,"&lt;&gt;")=0,"",SUMIFS(BD!$N$3:$N$5001,BD!$A$3:$A$5001,G$3,BD!$B$3:$B$5001,$A$267)))</f>
        <v/>
      </c>
      <c r="H278" s="220" t="str">
        <f>IF(H$3="","",IF(COUNTIFS(BD!$A$3:$A$5001,H$3,BD!$B$3:$B$5001,$A$267,BD!$N$3:$N$5001,"&lt;&gt;")=0,"",SUMIFS(BD!$N$3:$N$5001,BD!$A$3:$A$5001,H$3,BD!$B$3:$B$5001,$A$267)))</f>
        <v/>
      </c>
      <c r="I278" s="220" t="str">
        <f>IF(I$3="","",IF(COUNTIFS(BD!$A$3:$A$5001,I$3,BD!$B$3:$B$5001,$A$267,BD!$N$3:$N$5001,"&lt;&gt;")=0,"",SUMIFS(BD!$N$3:$N$5001,BD!$A$3:$A$5001,I$3,BD!$B$3:$B$5001,$A$267)))</f>
        <v/>
      </c>
      <c r="J278" s="220" t="str">
        <f>IF(J$3="","",IF(COUNTIFS(BD!$A$3:$A$5001,J$3,BD!$B$3:$B$5001,$A$267,BD!$N$3:$N$5001,"&lt;&gt;")=0,"",SUMIFS(BD!$N$3:$N$5001,BD!$A$3:$A$5001,J$3,BD!$B$3:$B$5001,$A$267)))</f>
        <v/>
      </c>
      <c r="K278" s="220" t="str">
        <f>IF(K$3="","",IF(COUNTIFS(BD!$A$3:$A$5001,K$3,BD!$B$3:$B$5001,$A$267,BD!$N$3:$N$5001,"&lt;&gt;")=0,"",SUMIFS(BD!$N$3:$N$5001,BD!$A$3:$A$5001,K$3,BD!$B$3:$B$5001,$A$267)))</f>
        <v/>
      </c>
      <c r="L278" s="220" t="str">
        <f>IF(L$3="","",IF(COUNTIFS(BD!$A$3:$A$5001,L$3,BD!$B$3:$B$5001,$A$267,BD!$N$3:$N$5001,"&lt;&gt;")=0,"",SUMIFS(BD!$N$3:$N$5001,BD!$A$3:$A$5001,L$3,BD!$B$3:$B$5001,$A$267)))</f>
        <v/>
      </c>
      <c r="M278" s="220" t="str">
        <f>IF(M$3="","",IF(COUNTIFS(BD!$A$3:$A$5001,M$3,BD!$B$3:$B$5001,$A$267,BD!$N$3:$N$5001,"&lt;&gt;")=0,"",SUMIFS(BD!$N$3:$N$5001,BD!$A$3:$A$5001,M$3,BD!$B$3:$B$5001,$A$267)))</f>
        <v/>
      </c>
      <c r="N278" s="220" t="str">
        <f>IF(N$3="","",IF(COUNTIFS(BD!$A$3:$A$5001,N$3,BD!$B$3:$B$5001,$A$267,BD!$N$3:$N$5001,"&lt;&gt;")=0,"",SUMIFS(BD!$N$3:$N$5001,BD!$A$3:$A$5001,N$3,BD!$B$3:$B$5001,$A$267)))</f>
        <v/>
      </c>
      <c r="O278" s="220" t="str">
        <f>IF(O$3="","",IF(COUNTIFS(BD!$A$3:$A$5001,O$3,BD!$B$3:$B$5001,$A$267,BD!$N$3:$N$5001,"&lt;&gt;")=0,"",SUMIFS(BD!$N$3:$N$5001,BD!$A$3:$A$5001,O$3,BD!$B$3:$B$5001,$A$267)))</f>
        <v/>
      </c>
      <c r="P278" s="220" t="str">
        <f>IF(P$3="","",IF(COUNTIFS(BD!$A$3:$A$5001,P$3,BD!$B$3:$B$5001,$A$267,BD!$N$3:$N$5001,"&lt;&gt;")=0,"",SUMIFS(BD!$N$3:$N$5001,BD!$A$3:$A$5001,P$3,BD!$B$3:$B$5001,$A$267)))</f>
        <v/>
      </c>
      <c r="Q278" s="220" t="str">
        <f>IF(Q$3="","",IF(COUNTIFS(BD!$A$3:$A$5001,Q$3,BD!$B$3:$B$5001,$A$267,BD!$N$3:$N$5001,"&lt;&gt;")=0,"",SUMIFS(BD!$N$3:$N$5001,BD!$A$3:$A$5001,Q$3,BD!$B$3:$B$5001,$A$267)))</f>
        <v/>
      </c>
      <c r="R278" s="220" t="str">
        <f>IF(R$3="","",IF(COUNTIFS(BD!$A$3:$A$5001,R$3,BD!$B$3:$B$5001,$A$267,BD!$N$3:$N$5001,"&lt;&gt;")=0,"",SUMIFS(BD!$N$3:$N$5001,BD!$A$3:$A$5001,R$3,BD!$B$3:$B$5001,$A$267)))</f>
        <v/>
      </c>
      <c r="S278" s="220" t="str">
        <f>IF(S$3="","",IF(COUNTIFS(BD!$A$3:$A$5001,S$3,BD!$B$3:$B$5001,$A$267,BD!$N$3:$N$5001,"&lt;&gt;")=0,"",SUMIFS(BD!$N$3:$N$5001,BD!$A$3:$A$5001,S$3,BD!$B$3:$B$5001,$A$267)))</f>
        <v/>
      </c>
      <c r="T278" s="220" t="str">
        <f>IF(T$3="","",IF(COUNTIFS(BD!$A$3:$A$5001,T$3,BD!$B$3:$B$5001,$A$267,BD!$N$3:$N$5001,"&lt;&gt;")=0,"",SUMIFS(BD!$N$3:$N$5001,BD!$A$3:$A$5001,T$3,BD!$B$3:$B$5001,$A$267)))</f>
        <v/>
      </c>
      <c r="U278" s="220" t="str">
        <f>IF(U$3="","",IF(COUNTIFS(BD!$A$3:$A$5001,U$3,BD!$B$3:$B$5001,$A$267,BD!$N$3:$N$5001,"&lt;&gt;")=0,"",SUMIFS(BD!$N$3:$N$5001,BD!$A$3:$A$5001,U$3,BD!$B$3:$B$5001,$A$267)))</f>
        <v/>
      </c>
      <c r="V278" s="220" t="str">
        <f>IF(V$3="","",IF(COUNTIFS(BD!$A$3:$A$5001,V$3,BD!$B$3:$B$5001,$A$267,BD!$N$3:$N$5001,"&lt;&gt;")=0,"",SUMIFS(BD!$N$3:$N$5001,BD!$A$3:$A$5001,V$3,BD!$B$3:$B$5001,$A$267)))</f>
        <v/>
      </c>
      <c r="W278" s="220" t="str">
        <f>IF(W$3="","",IF(COUNTIFS(BD!$A$3:$A$5001,W$3,BD!$B$3:$B$5001,$A$267,BD!$N$3:$N$5001,"&lt;&gt;")=0,"",SUMIFS(BD!$N$3:$N$5001,BD!$A$3:$A$5001,W$3,BD!$B$3:$B$5001,$A$267)))</f>
        <v/>
      </c>
      <c r="X278" s="220" t="str">
        <f>IF(X$3="","",IF(COUNTIFS(BD!$A$3:$A$5001,X$3,BD!$B$3:$B$5001,$A$267,BD!$N$3:$N$5001,"&lt;&gt;")=0,"",SUMIFS(BD!$N$3:$N$5001,BD!$A$3:$A$5001,X$3,BD!$B$3:$B$5001,$A$267)))</f>
        <v/>
      </c>
      <c r="Y278" s="220" t="str">
        <f>IF(Y$3="","",IF(COUNTIFS(BD!$A$3:$A$5001,Y$3,BD!$B$3:$B$5001,$A$267,BD!$N$3:$N$5001,"&lt;&gt;")=0,"",SUMIFS(BD!$N$3:$N$5001,BD!$A$3:$A$5001,Y$3,BD!$B$3:$B$5001,$A$267)))</f>
        <v/>
      </c>
      <c r="Z278" s="220" t="str">
        <f>IF(Z$3="","",IF(COUNTIFS(BD!$A$3:$A$5001,Z$3,BD!$B$3:$B$5001,$A$267,BD!$N$3:$N$5001,"&lt;&gt;")=0,"",SUMIFS(BD!$N$3:$N$5001,BD!$A$3:$A$5001,Z$3,BD!$B$3:$B$5001,$A$267)))</f>
        <v/>
      </c>
      <c r="AA278" s="220" t="str">
        <f>IF(AA$3="","",IF(COUNTIFS(BD!$A$3:$A$5001,AA$3,BD!$B$3:$B$5001,$A$267,BD!$N$3:$N$5001,"&lt;&gt;")=0,"",SUMIFS(BD!$N$3:$N$5001,BD!$A$3:$A$5001,AA$3,BD!$B$3:$B$5001,$A$267)))</f>
        <v/>
      </c>
      <c r="AB278" s="220" t="str">
        <f>IF(AB$3="","",IF(COUNTIFS(BD!$A$3:$A$5001,AB$3,BD!$B$3:$B$5001,$A$267,BD!$N$3:$N$5001,"&lt;&gt;")=0,"",SUMIFS(BD!$N$3:$N$5001,BD!$A$3:$A$5001,AB$3,BD!$B$3:$B$5001,$A$267)))</f>
        <v/>
      </c>
      <c r="AC278" s="220" t="str">
        <f>IF(AC$3="","",IF(COUNTIFS(BD!$A$3:$A$5001,AC$3,BD!$B$3:$B$5001,$A$267,BD!$N$3:$N$5001,"&lt;&gt;")=0,"",SUMIFS(BD!$N$3:$N$5001,BD!$A$3:$A$5001,AC$3,BD!$B$3:$B$5001,$A$267)))</f>
        <v/>
      </c>
      <c r="AD278" s="220" t="str">
        <f>IF(AD$3="","",IF(COUNTIFS(BD!$A$3:$A$5001,AD$3,BD!$B$3:$B$5001,$A$267,BD!$N$3:$N$5001,"&lt;&gt;")=0,"",SUMIFS(BD!$N$3:$N$5001,BD!$A$3:$A$5001,AD$3,BD!$B$3:$B$5001,$A$267)))</f>
        <v/>
      </c>
      <c r="AE278" s="220" t="str">
        <f>IF(AE$3="","",IF(COUNTIFS(BD!$A$3:$A$5001,AE$3,BD!$B$3:$B$5001,$A$267,BD!$N$3:$N$5001,"&lt;&gt;")=0,"",SUMIFS(BD!$N$3:$N$5001,BD!$A$3:$A$5001,AE$3,BD!$B$3:$B$5001,$A$267)))</f>
        <v/>
      </c>
      <c r="AF278" s="220" t="str">
        <f>IF(AF$3="","",IF(COUNTIFS(BD!$A$3:$A$5001,AF$3,BD!$B$3:$B$5001,$A$267,BD!$N$3:$N$5001,"&lt;&gt;")=0,"",SUMIFS(BD!$N$3:$N$5001,BD!$A$3:$A$5001,AF$3,BD!$B$3:$B$5001,$A$267)))</f>
        <v/>
      </c>
      <c r="AG278" s="220" t="str">
        <f>IF(AG$3="","",IF(COUNTIFS(BD!$A$3:$A$5001,AG$3,BD!$B$3:$B$5001,$A$267,BD!$N$3:$N$5001,"&lt;&gt;")=0,"",SUMIFS(BD!$N$3:$N$5001,BD!$A$3:$A$5001,AG$3,BD!$B$3:$B$5001,$A$267)))</f>
        <v/>
      </c>
      <c r="AH278" s="220" t="str">
        <f>IF(AH$3="","",IF(COUNTIFS(BD!$A$3:$A$5001,AH$3,BD!$B$3:$B$5001,$A$267,BD!$N$3:$N$5001,"&lt;&gt;")=0,"",SUMIFS(BD!$N$3:$N$5001,BD!$A$3:$A$5001,AH$3,BD!$B$3:$B$5001,$A$267)))</f>
        <v/>
      </c>
      <c r="AI278" s="220" t="str">
        <f>IF(AI$3="","",IF(COUNTIFS(BD!$A$3:$A$5001,AI$3,BD!$B$3:$B$5001,$A$267,BD!$N$3:$N$5001,"&lt;&gt;")=0,"",SUMIFS(BD!$N$3:$N$5001,BD!$A$3:$A$5001,AI$3,BD!$B$3:$B$5001,$A$267)))</f>
        <v/>
      </c>
      <c r="AJ278" s="221" t="str">
        <f>IF(AJ$3="","",IF(COUNTIFS(BD!$A$3:$A$5001,AJ$3,BD!$B$3:$B$5001,$A$267,BD!$N$3:$N$5001,"&lt;&gt;")=0,"",SUMIFS(BD!$N$3:$N$5001,BD!$A$3:$A$5001,AJ$3,BD!$B$3:$B$5001,$A$267)))</f>
        <v/>
      </c>
      <c r="AK278" s="222" t="str">
        <f>IF(COUNT(F278:AJ278)=0,"",SUM(F278:AJ278))</f>
        <v/>
      </c>
    </row>
    <row r="279" ht="15.75" customHeight="1" hidden="1">
      <c r="A279" s="277"/>
      <c r="B279" s="271"/>
      <c r="C279" s="223" t="inlineStr">
        <is>
          <t xml:space="preserve">No show</t>
        </is>
      </c>
      <c r="D279" s="224" t="str">
        <f>IFERROR(1/(1/INDEX(BD!$AF$35:$AZ$35,MATCH($A$267,BD!$AF$22:$AZ$22,0))),"")</f>
        <v/>
      </c>
      <c r="E279" s="225"/>
      <c r="F279" s="226" t="str">
        <f>IF(F$3="","",IF(COUNTIFS(BD!$A$3:$A$5001,F$3,BD!$B$3:$B$5001,$A$267,BD!$O$3:$O$5001,"&lt;&gt;")=0,"",SUMIFS(BD!$O$3:$O$5001,BD!$A$3:$A$5001,F$3,BD!$B$3:$B$5001,$A$267)))</f>
        <v/>
      </c>
      <c r="G279" s="227" t="str">
        <f>IF(G$3="","",IF(COUNTIFS(BD!$A$3:$A$5001,G$3,BD!$B$3:$B$5001,$A$267,BD!$O$3:$O$5001,"&lt;&gt;")=0,"",SUMIFS(BD!$O$3:$O$5001,BD!$A$3:$A$5001,G$3,BD!$B$3:$B$5001,$A$267)))</f>
        <v/>
      </c>
      <c r="H279" s="227" t="str">
        <f>IF(H$3="","",IF(COUNTIFS(BD!$A$3:$A$5001,H$3,BD!$B$3:$B$5001,$A$267,BD!$O$3:$O$5001,"&lt;&gt;")=0,"",SUMIFS(BD!$O$3:$O$5001,BD!$A$3:$A$5001,H$3,BD!$B$3:$B$5001,$A$267)))</f>
        <v/>
      </c>
      <c r="I279" s="227" t="str">
        <f>IF(I$3="","",IF(COUNTIFS(BD!$A$3:$A$5001,I$3,BD!$B$3:$B$5001,$A$267,BD!$O$3:$O$5001,"&lt;&gt;")=0,"",SUMIFS(BD!$O$3:$O$5001,BD!$A$3:$A$5001,I$3,BD!$B$3:$B$5001,$A$267)))</f>
        <v/>
      </c>
      <c r="J279" s="227" t="str">
        <f>IF(J$3="","",IF(COUNTIFS(BD!$A$3:$A$5001,J$3,BD!$B$3:$B$5001,$A$267,BD!$O$3:$O$5001,"&lt;&gt;")=0,"",SUMIFS(BD!$O$3:$O$5001,BD!$A$3:$A$5001,J$3,BD!$B$3:$B$5001,$A$267)))</f>
        <v/>
      </c>
      <c r="K279" s="227" t="str">
        <f>IF(K$3="","",IF(COUNTIFS(BD!$A$3:$A$5001,K$3,BD!$B$3:$B$5001,$A$267,BD!$O$3:$O$5001,"&lt;&gt;")=0,"",SUMIFS(BD!$O$3:$O$5001,BD!$A$3:$A$5001,K$3,BD!$B$3:$B$5001,$A$267)))</f>
        <v/>
      </c>
      <c r="L279" s="227" t="str">
        <f>IF(L$3="","",IF(COUNTIFS(BD!$A$3:$A$5001,L$3,BD!$B$3:$B$5001,$A$267,BD!$O$3:$O$5001,"&lt;&gt;")=0,"",SUMIFS(BD!$O$3:$O$5001,BD!$A$3:$A$5001,L$3,BD!$B$3:$B$5001,$A$267)))</f>
        <v/>
      </c>
      <c r="M279" s="227" t="str">
        <f>IF(M$3="","",IF(COUNTIFS(BD!$A$3:$A$5001,M$3,BD!$B$3:$B$5001,$A$267,BD!$O$3:$O$5001,"&lt;&gt;")=0,"",SUMIFS(BD!$O$3:$O$5001,BD!$A$3:$A$5001,M$3,BD!$B$3:$B$5001,$A$267)))</f>
        <v/>
      </c>
      <c r="N279" s="227" t="str">
        <f>IF(N$3="","",IF(COUNTIFS(BD!$A$3:$A$5001,N$3,BD!$B$3:$B$5001,$A$267,BD!$O$3:$O$5001,"&lt;&gt;")=0,"",SUMIFS(BD!$O$3:$O$5001,BD!$A$3:$A$5001,N$3,BD!$B$3:$B$5001,$A$267)))</f>
        <v/>
      </c>
      <c r="O279" s="227" t="str">
        <f>IF(O$3="","",IF(COUNTIFS(BD!$A$3:$A$5001,O$3,BD!$B$3:$B$5001,$A$267,BD!$O$3:$O$5001,"&lt;&gt;")=0,"",SUMIFS(BD!$O$3:$O$5001,BD!$A$3:$A$5001,O$3,BD!$B$3:$B$5001,$A$267)))</f>
        <v/>
      </c>
      <c r="P279" s="227" t="str">
        <f>IF(P$3="","",IF(COUNTIFS(BD!$A$3:$A$5001,P$3,BD!$B$3:$B$5001,$A$267,BD!$O$3:$O$5001,"&lt;&gt;")=0,"",SUMIFS(BD!$O$3:$O$5001,BD!$A$3:$A$5001,P$3,BD!$B$3:$B$5001,$A$267)))</f>
        <v/>
      </c>
      <c r="Q279" s="227" t="str">
        <f>IF(Q$3="","",IF(COUNTIFS(BD!$A$3:$A$5001,Q$3,BD!$B$3:$B$5001,$A$267,BD!$O$3:$O$5001,"&lt;&gt;")=0,"",SUMIFS(BD!$O$3:$O$5001,BD!$A$3:$A$5001,Q$3,BD!$B$3:$B$5001,$A$267)))</f>
        <v/>
      </c>
      <c r="R279" s="227" t="str">
        <f>IF(R$3="","",IF(COUNTIFS(BD!$A$3:$A$5001,R$3,BD!$B$3:$B$5001,$A$267,BD!$O$3:$O$5001,"&lt;&gt;")=0,"",SUMIFS(BD!$O$3:$O$5001,BD!$A$3:$A$5001,R$3,BD!$B$3:$B$5001,$A$267)))</f>
        <v/>
      </c>
      <c r="S279" s="227" t="str">
        <f>IF(S$3="","",IF(COUNTIFS(BD!$A$3:$A$5001,S$3,BD!$B$3:$B$5001,$A$267,BD!$O$3:$O$5001,"&lt;&gt;")=0,"",SUMIFS(BD!$O$3:$O$5001,BD!$A$3:$A$5001,S$3,BD!$B$3:$B$5001,$A$267)))</f>
        <v/>
      </c>
      <c r="T279" s="227" t="str">
        <f>IF(T$3="","",IF(COUNTIFS(BD!$A$3:$A$5001,T$3,BD!$B$3:$B$5001,$A$267,BD!$O$3:$O$5001,"&lt;&gt;")=0,"",SUMIFS(BD!$O$3:$O$5001,BD!$A$3:$A$5001,T$3,BD!$B$3:$B$5001,$A$267)))</f>
        <v/>
      </c>
      <c r="U279" s="227" t="str">
        <f>IF(U$3="","",IF(COUNTIFS(BD!$A$3:$A$5001,U$3,BD!$B$3:$B$5001,$A$267,BD!$O$3:$O$5001,"&lt;&gt;")=0,"",SUMIFS(BD!$O$3:$O$5001,BD!$A$3:$A$5001,U$3,BD!$B$3:$B$5001,$A$267)))</f>
        <v/>
      </c>
      <c r="V279" s="227" t="str">
        <f>IF(V$3="","",IF(COUNTIFS(BD!$A$3:$A$5001,V$3,BD!$B$3:$B$5001,$A$267,BD!$O$3:$O$5001,"&lt;&gt;")=0,"",SUMIFS(BD!$O$3:$O$5001,BD!$A$3:$A$5001,V$3,BD!$B$3:$B$5001,$A$267)))</f>
        <v/>
      </c>
      <c r="W279" s="227" t="str">
        <f>IF(W$3="","",IF(COUNTIFS(BD!$A$3:$A$5001,W$3,BD!$B$3:$B$5001,$A$267,BD!$O$3:$O$5001,"&lt;&gt;")=0,"",SUMIFS(BD!$O$3:$O$5001,BD!$A$3:$A$5001,W$3,BD!$B$3:$B$5001,$A$267)))</f>
        <v/>
      </c>
      <c r="X279" s="227" t="str">
        <f>IF(X$3="","",IF(COUNTIFS(BD!$A$3:$A$5001,X$3,BD!$B$3:$B$5001,$A$267,BD!$O$3:$O$5001,"&lt;&gt;")=0,"",SUMIFS(BD!$O$3:$O$5001,BD!$A$3:$A$5001,X$3,BD!$B$3:$B$5001,$A$267)))</f>
        <v/>
      </c>
      <c r="Y279" s="227" t="str">
        <f>IF(Y$3="","",IF(COUNTIFS(BD!$A$3:$A$5001,Y$3,BD!$B$3:$B$5001,$A$267,BD!$O$3:$O$5001,"&lt;&gt;")=0,"",SUMIFS(BD!$O$3:$O$5001,BD!$A$3:$A$5001,Y$3,BD!$B$3:$B$5001,$A$267)))</f>
        <v/>
      </c>
      <c r="Z279" s="227" t="str">
        <f>IF(Z$3="","",IF(COUNTIFS(BD!$A$3:$A$5001,Z$3,BD!$B$3:$B$5001,$A$267,BD!$O$3:$O$5001,"&lt;&gt;")=0,"",SUMIFS(BD!$O$3:$O$5001,BD!$A$3:$A$5001,Z$3,BD!$B$3:$B$5001,$A$267)))</f>
        <v/>
      </c>
      <c r="AA279" s="227" t="str">
        <f>IF(AA$3="","",IF(COUNTIFS(BD!$A$3:$A$5001,AA$3,BD!$B$3:$B$5001,$A$267,BD!$O$3:$O$5001,"&lt;&gt;")=0,"",SUMIFS(BD!$O$3:$O$5001,BD!$A$3:$A$5001,AA$3,BD!$B$3:$B$5001,$A$267)))</f>
        <v/>
      </c>
      <c r="AB279" s="227" t="str">
        <f>IF(AB$3="","",IF(COUNTIFS(BD!$A$3:$A$5001,AB$3,BD!$B$3:$B$5001,$A$267,BD!$O$3:$O$5001,"&lt;&gt;")=0,"",SUMIFS(BD!$O$3:$O$5001,BD!$A$3:$A$5001,AB$3,BD!$B$3:$B$5001,$A$267)))</f>
        <v/>
      </c>
      <c r="AC279" s="227" t="str">
        <f>IF(AC$3="","",IF(COUNTIFS(BD!$A$3:$A$5001,AC$3,BD!$B$3:$B$5001,$A$267,BD!$O$3:$O$5001,"&lt;&gt;")=0,"",SUMIFS(BD!$O$3:$O$5001,BD!$A$3:$A$5001,AC$3,BD!$B$3:$B$5001,$A$267)))</f>
        <v/>
      </c>
      <c r="AD279" s="227" t="str">
        <f>IF(AD$3="","",IF(COUNTIFS(BD!$A$3:$A$5001,AD$3,BD!$B$3:$B$5001,$A$267,BD!$O$3:$O$5001,"&lt;&gt;")=0,"",SUMIFS(BD!$O$3:$O$5001,BD!$A$3:$A$5001,AD$3,BD!$B$3:$B$5001,$A$267)))</f>
        <v/>
      </c>
      <c r="AE279" s="227" t="str">
        <f>IF(AE$3="","",IF(COUNTIFS(BD!$A$3:$A$5001,AE$3,BD!$B$3:$B$5001,$A$267,BD!$O$3:$O$5001,"&lt;&gt;")=0,"",SUMIFS(BD!$O$3:$O$5001,BD!$A$3:$A$5001,AE$3,BD!$B$3:$B$5001,$A$267)))</f>
        <v/>
      </c>
      <c r="AF279" s="227" t="str">
        <f>IF(AF$3="","",IF(COUNTIFS(BD!$A$3:$A$5001,AF$3,BD!$B$3:$B$5001,$A$267,BD!$O$3:$O$5001,"&lt;&gt;")=0,"",SUMIFS(BD!$O$3:$O$5001,BD!$A$3:$A$5001,AF$3,BD!$B$3:$B$5001,$A$267)))</f>
        <v/>
      </c>
      <c r="AG279" s="227" t="str">
        <f>IF(AG$3="","",IF(COUNTIFS(BD!$A$3:$A$5001,AG$3,BD!$B$3:$B$5001,$A$267,BD!$O$3:$O$5001,"&lt;&gt;")=0,"",SUMIFS(BD!$O$3:$O$5001,BD!$A$3:$A$5001,AG$3,BD!$B$3:$B$5001,$A$267)))</f>
        <v/>
      </c>
      <c r="AH279" s="227" t="str">
        <f>IF(AH$3="","",IF(COUNTIFS(BD!$A$3:$A$5001,AH$3,BD!$B$3:$B$5001,$A$267,BD!$O$3:$O$5001,"&lt;&gt;")=0,"",SUMIFS(BD!$O$3:$O$5001,BD!$A$3:$A$5001,AH$3,BD!$B$3:$B$5001,$A$267)))</f>
        <v/>
      </c>
      <c r="AI279" s="227" t="str">
        <f>IF(AI$3="","",IF(COUNTIFS(BD!$A$3:$A$5001,AI$3,BD!$B$3:$B$5001,$A$267,BD!$O$3:$O$5001,"&lt;&gt;")=0,"",SUMIFS(BD!$O$3:$O$5001,BD!$A$3:$A$5001,AI$3,BD!$B$3:$B$5001,$A$267)))</f>
        <v/>
      </c>
      <c r="AJ279" s="228" t="str">
        <f>IF(AJ$3="","",IF(COUNTIFS(BD!$A$3:$A$5001,AJ$3,BD!$B$3:$B$5001,$A$267,BD!$O$3:$O$5001,"&lt;&gt;")=0,"",SUMIFS(BD!$O$3:$O$5001,BD!$A$3:$A$5001,AJ$3,BD!$B$3:$B$5001,$A$267)))</f>
        <v/>
      </c>
      <c r="AK279" s="229" t="str">
        <f>IF(COUNT(F279:AJ279)=0,"",SUM(F279:AJ279))</f>
        <v/>
      </c>
    </row>
    <row r="280" ht="15.75" customHeight="1" hidden="1">
      <c r="A280" s="277"/>
      <c r="B280" s="271"/>
      <c r="C280" s="223" t="inlineStr">
        <is>
          <t xml:space="preserve">Backlog Intralog</t>
        </is>
      </c>
      <c r="D280" s="224" t="str">
        <f>IFERROR(1/(1/INDEX(BD!$AF$36:$AZ$36,MATCH($A$267,BD!$AF$22:$AZ$22,0))),"")</f>
        <v/>
      </c>
      <c r="E280" s="225"/>
      <c r="F280" s="226" t="str">
        <f>IF(F$3="","",IF(COUNTIFS(BD!$A$3:$A$5001,F$3,BD!$B$3:$B$5001,$A$267,BD!$P$3:$P$5001,"&lt;&gt;")=0,"",SUMIFS(BD!$P$3:$P$5001,BD!$A$3:$A$5001,F$3,BD!$B$3:$B$5001,$A$267)))</f>
        <v/>
      </c>
      <c r="G280" s="227" t="str">
        <f>IF(G$3="","",IF(COUNTIFS(BD!$A$3:$A$5001,G$3,BD!$B$3:$B$5001,$A$267,BD!$P$3:$P$5001,"&lt;&gt;")=0,"",SUMIFS(BD!$P$3:$P$5001,BD!$A$3:$A$5001,G$3,BD!$B$3:$B$5001,$A$267)))</f>
        <v/>
      </c>
      <c r="H280" s="227" t="str">
        <f>IF(H$3="","",IF(COUNTIFS(BD!$A$3:$A$5001,H$3,BD!$B$3:$B$5001,$A$267,BD!$P$3:$P$5001,"&lt;&gt;")=0,"",SUMIFS(BD!$P$3:$P$5001,BD!$A$3:$A$5001,H$3,BD!$B$3:$B$5001,$A$267)))</f>
        <v/>
      </c>
      <c r="I280" s="227" t="str">
        <f>IF(I$3="","",IF(COUNTIFS(BD!$A$3:$A$5001,I$3,BD!$B$3:$B$5001,$A$267,BD!$P$3:$P$5001,"&lt;&gt;")=0,"",SUMIFS(BD!$P$3:$P$5001,BD!$A$3:$A$5001,I$3,BD!$B$3:$B$5001,$A$267)))</f>
        <v/>
      </c>
      <c r="J280" s="227" t="str">
        <f>IF(J$3="","",IF(COUNTIFS(BD!$A$3:$A$5001,J$3,BD!$B$3:$B$5001,$A$267,BD!$P$3:$P$5001,"&lt;&gt;")=0,"",SUMIFS(BD!$P$3:$P$5001,BD!$A$3:$A$5001,J$3,BD!$B$3:$B$5001,$A$267)))</f>
        <v/>
      </c>
      <c r="K280" s="227" t="str">
        <f>IF(K$3="","",IF(COUNTIFS(BD!$A$3:$A$5001,K$3,BD!$B$3:$B$5001,$A$267,BD!$P$3:$P$5001,"&lt;&gt;")=0,"",SUMIFS(BD!$P$3:$P$5001,BD!$A$3:$A$5001,K$3,BD!$B$3:$B$5001,$A$267)))</f>
        <v/>
      </c>
      <c r="L280" s="227" t="str">
        <f>IF(L$3="","",IF(COUNTIFS(BD!$A$3:$A$5001,L$3,BD!$B$3:$B$5001,$A$267,BD!$P$3:$P$5001,"&lt;&gt;")=0,"",SUMIFS(BD!$P$3:$P$5001,BD!$A$3:$A$5001,L$3,BD!$B$3:$B$5001,$A$267)))</f>
        <v/>
      </c>
      <c r="M280" s="227" t="str">
        <f>IF(M$3="","",IF(COUNTIFS(BD!$A$3:$A$5001,M$3,BD!$B$3:$B$5001,$A$267,BD!$P$3:$P$5001,"&lt;&gt;")=0,"",SUMIFS(BD!$P$3:$P$5001,BD!$A$3:$A$5001,M$3,BD!$B$3:$B$5001,$A$267)))</f>
        <v/>
      </c>
      <c r="N280" s="227" t="str">
        <f>IF(N$3="","",IF(COUNTIFS(BD!$A$3:$A$5001,N$3,BD!$B$3:$B$5001,$A$267,BD!$P$3:$P$5001,"&lt;&gt;")=0,"",SUMIFS(BD!$P$3:$P$5001,BD!$A$3:$A$5001,N$3,BD!$B$3:$B$5001,$A$267)))</f>
        <v/>
      </c>
      <c r="O280" s="227" t="str">
        <f>IF(O$3="","",IF(COUNTIFS(BD!$A$3:$A$5001,O$3,BD!$B$3:$B$5001,$A$267,BD!$P$3:$P$5001,"&lt;&gt;")=0,"",SUMIFS(BD!$P$3:$P$5001,BD!$A$3:$A$5001,O$3,BD!$B$3:$B$5001,$A$267)))</f>
        <v/>
      </c>
      <c r="P280" s="227" t="str">
        <f>IF(P$3="","",IF(COUNTIFS(BD!$A$3:$A$5001,P$3,BD!$B$3:$B$5001,$A$267,BD!$P$3:$P$5001,"&lt;&gt;")=0,"",SUMIFS(BD!$P$3:$P$5001,BD!$A$3:$A$5001,P$3,BD!$B$3:$B$5001,$A$267)))</f>
        <v/>
      </c>
      <c r="Q280" s="227" t="str">
        <f>IF(Q$3="","",IF(COUNTIFS(BD!$A$3:$A$5001,Q$3,BD!$B$3:$B$5001,$A$267,BD!$P$3:$P$5001,"&lt;&gt;")=0,"",SUMIFS(BD!$P$3:$P$5001,BD!$A$3:$A$5001,Q$3,BD!$B$3:$B$5001,$A$267)))</f>
        <v/>
      </c>
      <c r="R280" s="227" t="str">
        <f>IF(R$3="","",IF(COUNTIFS(BD!$A$3:$A$5001,R$3,BD!$B$3:$B$5001,$A$267,BD!$P$3:$P$5001,"&lt;&gt;")=0,"",SUMIFS(BD!$P$3:$P$5001,BD!$A$3:$A$5001,R$3,BD!$B$3:$B$5001,$A$267)))</f>
        <v/>
      </c>
      <c r="S280" s="227" t="str">
        <f>IF(S$3="","",IF(COUNTIFS(BD!$A$3:$A$5001,S$3,BD!$B$3:$B$5001,$A$267,BD!$P$3:$P$5001,"&lt;&gt;")=0,"",SUMIFS(BD!$P$3:$P$5001,BD!$A$3:$A$5001,S$3,BD!$B$3:$B$5001,$A$267)))</f>
        <v/>
      </c>
      <c r="T280" s="227" t="str">
        <f>IF(T$3="","",IF(COUNTIFS(BD!$A$3:$A$5001,T$3,BD!$B$3:$B$5001,$A$267,BD!$P$3:$P$5001,"&lt;&gt;")=0,"",SUMIFS(BD!$P$3:$P$5001,BD!$A$3:$A$5001,T$3,BD!$B$3:$B$5001,$A$267)))</f>
        <v/>
      </c>
      <c r="U280" s="227" t="str">
        <f>IF(U$3="","",IF(COUNTIFS(BD!$A$3:$A$5001,U$3,BD!$B$3:$B$5001,$A$267,BD!$P$3:$P$5001,"&lt;&gt;")=0,"",SUMIFS(BD!$P$3:$P$5001,BD!$A$3:$A$5001,U$3,BD!$B$3:$B$5001,$A$267)))</f>
        <v/>
      </c>
      <c r="V280" s="227" t="str">
        <f>IF(V$3="","",IF(COUNTIFS(BD!$A$3:$A$5001,V$3,BD!$B$3:$B$5001,$A$267,BD!$P$3:$P$5001,"&lt;&gt;")=0,"",SUMIFS(BD!$P$3:$P$5001,BD!$A$3:$A$5001,V$3,BD!$B$3:$B$5001,$A$267)))</f>
        <v/>
      </c>
      <c r="W280" s="227" t="str">
        <f>IF(W$3="","",IF(COUNTIFS(BD!$A$3:$A$5001,W$3,BD!$B$3:$B$5001,$A$267,BD!$P$3:$P$5001,"&lt;&gt;")=0,"",SUMIFS(BD!$P$3:$P$5001,BD!$A$3:$A$5001,W$3,BD!$B$3:$B$5001,$A$267)))</f>
        <v/>
      </c>
      <c r="X280" s="227" t="str">
        <f>IF(X$3="","",IF(COUNTIFS(BD!$A$3:$A$5001,X$3,BD!$B$3:$B$5001,$A$267,BD!$P$3:$P$5001,"&lt;&gt;")=0,"",SUMIFS(BD!$P$3:$P$5001,BD!$A$3:$A$5001,X$3,BD!$B$3:$B$5001,$A$267)))</f>
        <v/>
      </c>
      <c r="Y280" s="227" t="str">
        <f>IF(Y$3="","",IF(COUNTIFS(BD!$A$3:$A$5001,Y$3,BD!$B$3:$B$5001,$A$267,BD!$P$3:$P$5001,"&lt;&gt;")=0,"",SUMIFS(BD!$P$3:$P$5001,BD!$A$3:$A$5001,Y$3,BD!$B$3:$B$5001,$A$267)))</f>
        <v/>
      </c>
      <c r="Z280" s="227" t="str">
        <f>IF(Z$3="","",IF(COUNTIFS(BD!$A$3:$A$5001,Z$3,BD!$B$3:$B$5001,$A$267,BD!$P$3:$P$5001,"&lt;&gt;")=0,"",SUMIFS(BD!$P$3:$P$5001,BD!$A$3:$A$5001,Z$3,BD!$B$3:$B$5001,$A$267)))</f>
        <v/>
      </c>
      <c r="AA280" s="227" t="str">
        <f>IF(AA$3="","",IF(COUNTIFS(BD!$A$3:$A$5001,AA$3,BD!$B$3:$B$5001,$A$267,BD!$P$3:$P$5001,"&lt;&gt;")=0,"",SUMIFS(BD!$P$3:$P$5001,BD!$A$3:$A$5001,AA$3,BD!$B$3:$B$5001,$A$267)))</f>
        <v/>
      </c>
      <c r="AB280" s="227" t="str">
        <f>IF(AB$3="","",IF(COUNTIFS(BD!$A$3:$A$5001,AB$3,BD!$B$3:$B$5001,$A$267,BD!$P$3:$P$5001,"&lt;&gt;")=0,"",SUMIFS(BD!$P$3:$P$5001,BD!$A$3:$A$5001,AB$3,BD!$B$3:$B$5001,$A$267)))</f>
        <v/>
      </c>
      <c r="AC280" s="227" t="str">
        <f>IF(AC$3="","",IF(COUNTIFS(BD!$A$3:$A$5001,AC$3,BD!$B$3:$B$5001,$A$267,BD!$P$3:$P$5001,"&lt;&gt;")=0,"",SUMIFS(BD!$P$3:$P$5001,BD!$A$3:$A$5001,AC$3,BD!$B$3:$B$5001,$A$267)))</f>
        <v/>
      </c>
      <c r="AD280" s="227" t="str">
        <f>IF(AD$3="","",IF(COUNTIFS(BD!$A$3:$A$5001,AD$3,BD!$B$3:$B$5001,$A$267,BD!$P$3:$P$5001,"&lt;&gt;")=0,"",SUMIFS(BD!$P$3:$P$5001,BD!$A$3:$A$5001,AD$3,BD!$B$3:$B$5001,$A$267)))</f>
        <v/>
      </c>
      <c r="AE280" s="227" t="str">
        <f>IF(AE$3="","",IF(COUNTIFS(BD!$A$3:$A$5001,AE$3,BD!$B$3:$B$5001,$A$267,BD!$P$3:$P$5001,"&lt;&gt;")=0,"",SUMIFS(BD!$P$3:$P$5001,BD!$A$3:$A$5001,AE$3,BD!$B$3:$B$5001,$A$267)))</f>
        <v/>
      </c>
      <c r="AF280" s="227" t="str">
        <f>IF(AF$3="","",IF(COUNTIFS(BD!$A$3:$A$5001,AF$3,BD!$B$3:$B$5001,$A$267,BD!$P$3:$P$5001,"&lt;&gt;")=0,"",SUMIFS(BD!$P$3:$P$5001,BD!$A$3:$A$5001,AF$3,BD!$B$3:$B$5001,$A$267)))</f>
        <v/>
      </c>
      <c r="AG280" s="227" t="str">
        <f>IF(AG$3="","",IF(COUNTIFS(BD!$A$3:$A$5001,AG$3,BD!$B$3:$B$5001,$A$267,BD!$P$3:$P$5001,"&lt;&gt;")=0,"",SUMIFS(BD!$P$3:$P$5001,BD!$A$3:$A$5001,AG$3,BD!$B$3:$B$5001,$A$267)))</f>
        <v/>
      </c>
      <c r="AH280" s="227" t="str">
        <f>IF(AH$3="","",IF(COUNTIFS(BD!$A$3:$A$5001,AH$3,BD!$B$3:$B$5001,$A$267,BD!$P$3:$P$5001,"&lt;&gt;")=0,"",SUMIFS(BD!$P$3:$P$5001,BD!$A$3:$A$5001,AH$3,BD!$B$3:$B$5001,$A$267)))</f>
        <v/>
      </c>
      <c r="AI280" s="227" t="str">
        <f>IF(AI$3="","",IF(COUNTIFS(BD!$A$3:$A$5001,AI$3,BD!$B$3:$B$5001,$A$267,BD!$P$3:$P$5001,"&lt;&gt;")=0,"",SUMIFS(BD!$P$3:$P$5001,BD!$A$3:$A$5001,AI$3,BD!$B$3:$B$5001,$A$267)))</f>
        <v/>
      </c>
      <c r="AJ280" s="228" t="str">
        <f>IF(AJ$3="","",IF(COUNTIFS(BD!$A$3:$A$5001,AJ$3,BD!$B$3:$B$5001,$A$267,BD!$P$3:$P$5001,"&lt;&gt;")=0,"",SUMIFS(BD!$P$3:$P$5001,BD!$A$3:$A$5001,AJ$3,BD!$B$3:$B$5001,$A$267)))</f>
        <v/>
      </c>
      <c r="AK280" s="229" t="str">
        <f>IFERROR(LOOKUP(9.99E+307,F280:AJ280),"")</f>
        <v/>
      </c>
    </row>
    <row r="281" ht="15.75" customHeight="1" hidden="1">
      <c r="A281" s="277"/>
      <c r="B281" s="272"/>
      <c r="C281" s="230" t="inlineStr">
        <is>
          <t xml:space="preserve">Backlog Cliente</t>
        </is>
      </c>
      <c r="D281" s="231" t="str">
        <f>IFERROR(1/(1/INDEX(BD!$AF$37:$AZ$37,MATCH($A$267,BD!$AF$22:$AZ$22,0))),"")</f>
        <v/>
      </c>
      <c r="E281" s="232"/>
      <c r="F281" s="233" t="str">
        <f>IF(F$3="","",IF(COUNTIFS(BD!$A$3:$A$5001,F$3,BD!$B$3:$B$5001,$A$267,BD!$Q$3:$Q$5001,"&lt;&gt;")=0,"",SUMIFS(BD!$Q$3:$Q$5001,BD!$A$3:$A$5001,F$3,BD!$B$3:$B$5001,$A$267)))</f>
        <v/>
      </c>
      <c r="G281" s="234" t="str">
        <f>IF(G$3="","",IF(COUNTIFS(BD!$A$3:$A$5001,G$3,BD!$B$3:$B$5001,$A$267,BD!$Q$3:$Q$5001,"&lt;&gt;")=0,"",SUMIFS(BD!$Q$3:$Q$5001,BD!$A$3:$A$5001,G$3,BD!$B$3:$B$5001,$A$267)))</f>
        <v/>
      </c>
      <c r="H281" s="234" t="str">
        <f>IF(H$3="","",IF(COUNTIFS(BD!$A$3:$A$5001,H$3,BD!$B$3:$B$5001,$A$267,BD!$Q$3:$Q$5001,"&lt;&gt;")=0,"",SUMIFS(BD!$Q$3:$Q$5001,BD!$A$3:$A$5001,H$3,BD!$B$3:$B$5001,$A$267)))</f>
        <v/>
      </c>
      <c r="I281" s="234" t="str">
        <f>IF(I$3="","",IF(COUNTIFS(BD!$A$3:$A$5001,I$3,BD!$B$3:$B$5001,$A$267,BD!$Q$3:$Q$5001,"&lt;&gt;")=0,"",SUMIFS(BD!$Q$3:$Q$5001,BD!$A$3:$A$5001,I$3,BD!$B$3:$B$5001,$A$267)))</f>
        <v/>
      </c>
      <c r="J281" s="234" t="str">
        <f>IF(J$3="","",IF(COUNTIFS(BD!$A$3:$A$5001,J$3,BD!$B$3:$B$5001,$A$267,BD!$Q$3:$Q$5001,"&lt;&gt;")=0,"",SUMIFS(BD!$Q$3:$Q$5001,BD!$A$3:$A$5001,J$3,BD!$B$3:$B$5001,$A$267)))</f>
        <v/>
      </c>
      <c r="K281" s="234" t="str">
        <f>IF(K$3="","",IF(COUNTIFS(BD!$A$3:$A$5001,K$3,BD!$B$3:$B$5001,$A$267,BD!$Q$3:$Q$5001,"&lt;&gt;")=0,"",SUMIFS(BD!$Q$3:$Q$5001,BD!$A$3:$A$5001,K$3,BD!$B$3:$B$5001,$A$267)))</f>
        <v/>
      </c>
      <c r="L281" s="234" t="str">
        <f>IF(L$3="","",IF(COUNTIFS(BD!$A$3:$A$5001,L$3,BD!$B$3:$B$5001,$A$267,BD!$Q$3:$Q$5001,"&lt;&gt;")=0,"",SUMIFS(BD!$Q$3:$Q$5001,BD!$A$3:$A$5001,L$3,BD!$B$3:$B$5001,$A$267)))</f>
        <v/>
      </c>
      <c r="M281" s="234" t="str">
        <f>IF(M$3="","",IF(COUNTIFS(BD!$A$3:$A$5001,M$3,BD!$B$3:$B$5001,$A$267,BD!$Q$3:$Q$5001,"&lt;&gt;")=0,"",SUMIFS(BD!$Q$3:$Q$5001,BD!$A$3:$A$5001,M$3,BD!$B$3:$B$5001,$A$267)))</f>
        <v/>
      </c>
      <c r="N281" s="234" t="str">
        <f>IF(N$3="","",IF(COUNTIFS(BD!$A$3:$A$5001,N$3,BD!$B$3:$B$5001,$A$267,BD!$Q$3:$Q$5001,"&lt;&gt;")=0,"",SUMIFS(BD!$Q$3:$Q$5001,BD!$A$3:$A$5001,N$3,BD!$B$3:$B$5001,$A$267)))</f>
        <v/>
      </c>
      <c r="O281" s="234" t="str">
        <f>IF(O$3="","",IF(COUNTIFS(BD!$A$3:$A$5001,O$3,BD!$B$3:$B$5001,$A$267,BD!$Q$3:$Q$5001,"&lt;&gt;")=0,"",SUMIFS(BD!$Q$3:$Q$5001,BD!$A$3:$A$5001,O$3,BD!$B$3:$B$5001,$A$267)))</f>
        <v/>
      </c>
      <c r="P281" s="234" t="str">
        <f>IF(P$3="","",IF(COUNTIFS(BD!$A$3:$A$5001,P$3,BD!$B$3:$B$5001,$A$267,BD!$Q$3:$Q$5001,"&lt;&gt;")=0,"",SUMIFS(BD!$Q$3:$Q$5001,BD!$A$3:$A$5001,P$3,BD!$B$3:$B$5001,$A$267)))</f>
        <v/>
      </c>
      <c r="Q281" s="234" t="str">
        <f>IF(Q$3="","",IF(COUNTIFS(BD!$A$3:$A$5001,Q$3,BD!$B$3:$B$5001,$A$267,BD!$Q$3:$Q$5001,"&lt;&gt;")=0,"",SUMIFS(BD!$Q$3:$Q$5001,BD!$A$3:$A$5001,Q$3,BD!$B$3:$B$5001,$A$267)))</f>
        <v/>
      </c>
      <c r="R281" s="234" t="str">
        <f>IF(R$3="","",IF(COUNTIFS(BD!$A$3:$A$5001,R$3,BD!$B$3:$B$5001,$A$267,BD!$Q$3:$Q$5001,"&lt;&gt;")=0,"",SUMIFS(BD!$Q$3:$Q$5001,BD!$A$3:$A$5001,R$3,BD!$B$3:$B$5001,$A$267)))</f>
        <v/>
      </c>
      <c r="S281" s="234" t="str">
        <f>IF(S$3="","",IF(COUNTIFS(BD!$A$3:$A$5001,S$3,BD!$B$3:$B$5001,$A$267,BD!$Q$3:$Q$5001,"&lt;&gt;")=0,"",SUMIFS(BD!$Q$3:$Q$5001,BD!$A$3:$A$5001,S$3,BD!$B$3:$B$5001,$A$267)))</f>
        <v/>
      </c>
      <c r="T281" s="234" t="str">
        <f>IF(T$3="","",IF(COUNTIFS(BD!$A$3:$A$5001,T$3,BD!$B$3:$B$5001,$A$267,BD!$Q$3:$Q$5001,"&lt;&gt;")=0,"",SUMIFS(BD!$Q$3:$Q$5001,BD!$A$3:$A$5001,T$3,BD!$B$3:$B$5001,$A$267)))</f>
        <v/>
      </c>
      <c r="U281" s="234" t="str">
        <f>IF(U$3="","",IF(COUNTIFS(BD!$A$3:$A$5001,U$3,BD!$B$3:$B$5001,$A$267,BD!$Q$3:$Q$5001,"&lt;&gt;")=0,"",SUMIFS(BD!$Q$3:$Q$5001,BD!$A$3:$A$5001,U$3,BD!$B$3:$B$5001,$A$267)))</f>
        <v/>
      </c>
      <c r="V281" s="234" t="str">
        <f>IF(V$3="","",IF(COUNTIFS(BD!$A$3:$A$5001,V$3,BD!$B$3:$B$5001,$A$267,BD!$Q$3:$Q$5001,"&lt;&gt;")=0,"",SUMIFS(BD!$Q$3:$Q$5001,BD!$A$3:$A$5001,V$3,BD!$B$3:$B$5001,$A$267)))</f>
        <v/>
      </c>
      <c r="W281" s="234" t="str">
        <f>IF(W$3="","",IF(COUNTIFS(BD!$A$3:$A$5001,W$3,BD!$B$3:$B$5001,$A$267,BD!$Q$3:$Q$5001,"&lt;&gt;")=0,"",SUMIFS(BD!$Q$3:$Q$5001,BD!$A$3:$A$5001,W$3,BD!$B$3:$B$5001,$A$267)))</f>
        <v/>
      </c>
      <c r="X281" s="234" t="str">
        <f>IF(X$3="","",IF(COUNTIFS(BD!$A$3:$A$5001,X$3,BD!$B$3:$B$5001,$A$267,BD!$Q$3:$Q$5001,"&lt;&gt;")=0,"",SUMIFS(BD!$Q$3:$Q$5001,BD!$A$3:$A$5001,X$3,BD!$B$3:$B$5001,$A$267)))</f>
        <v/>
      </c>
      <c r="Y281" s="234" t="str">
        <f>IF(Y$3="","",IF(COUNTIFS(BD!$A$3:$A$5001,Y$3,BD!$B$3:$B$5001,$A$267,BD!$Q$3:$Q$5001,"&lt;&gt;")=0,"",SUMIFS(BD!$Q$3:$Q$5001,BD!$A$3:$A$5001,Y$3,BD!$B$3:$B$5001,$A$267)))</f>
        <v/>
      </c>
      <c r="Z281" s="234" t="str">
        <f>IF(Z$3="","",IF(COUNTIFS(BD!$A$3:$A$5001,Z$3,BD!$B$3:$B$5001,$A$267,BD!$Q$3:$Q$5001,"&lt;&gt;")=0,"",SUMIFS(BD!$Q$3:$Q$5001,BD!$A$3:$A$5001,Z$3,BD!$B$3:$B$5001,$A$267)))</f>
        <v/>
      </c>
      <c r="AA281" s="234" t="str">
        <f>IF(AA$3="","",IF(COUNTIFS(BD!$A$3:$A$5001,AA$3,BD!$B$3:$B$5001,$A$267,BD!$Q$3:$Q$5001,"&lt;&gt;")=0,"",SUMIFS(BD!$Q$3:$Q$5001,BD!$A$3:$A$5001,AA$3,BD!$B$3:$B$5001,$A$267)))</f>
        <v/>
      </c>
      <c r="AB281" s="234" t="str">
        <f>IF(AB$3="","",IF(COUNTIFS(BD!$A$3:$A$5001,AB$3,BD!$B$3:$B$5001,$A$267,BD!$Q$3:$Q$5001,"&lt;&gt;")=0,"",SUMIFS(BD!$Q$3:$Q$5001,BD!$A$3:$A$5001,AB$3,BD!$B$3:$B$5001,$A$267)))</f>
        <v/>
      </c>
      <c r="AC281" s="234" t="str">
        <f>IF(AC$3="","",IF(COUNTIFS(BD!$A$3:$A$5001,AC$3,BD!$B$3:$B$5001,$A$267,BD!$Q$3:$Q$5001,"&lt;&gt;")=0,"",SUMIFS(BD!$Q$3:$Q$5001,BD!$A$3:$A$5001,AC$3,BD!$B$3:$B$5001,$A$267)))</f>
        <v/>
      </c>
      <c r="AD281" s="234" t="str">
        <f>IF(AD$3="","",IF(COUNTIFS(BD!$A$3:$A$5001,AD$3,BD!$B$3:$B$5001,$A$267,BD!$Q$3:$Q$5001,"&lt;&gt;")=0,"",SUMIFS(BD!$Q$3:$Q$5001,BD!$A$3:$A$5001,AD$3,BD!$B$3:$B$5001,$A$267)))</f>
        <v/>
      </c>
      <c r="AE281" s="234" t="str">
        <f>IF(AE$3="","",IF(COUNTIFS(BD!$A$3:$A$5001,AE$3,BD!$B$3:$B$5001,$A$267,BD!$Q$3:$Q$5001,"&lt;&gt;")=0,"",SUMIFS(BD!$Q$3:$Q$5001,BD!$A$3:$A$5001,AE$3,BD!$B$3:$B$5001,$A$267)))</f>
        <v/>
      </c>
      <c r="AF281" s="234" t="str">
        <f>IF(AF$3="","",IF(COUNTIFS(BD!$A$3:$A$5001,AF$3,BD!$B$3:$B$5001,$A$267,BD!$Q$3:$Q$5001,"&lt;&gt;")=0,"",SUMIFS(BD!$Q$3:$Q$5001,BD!$A$3:$A$5001,AF$3,BD!$B$3:$B$5001,$A$267)))</f>
        <v/>
      </c>
      <c r="AG281" s="234" t="str">
        <f>IF(AG$3="","",IF(COUNTIFS(BD!$A$3:$A$5001,AG$3,BD!$B$3:$B$5001,$A$267,BD!$Q$3:$Q$5001,"&lt;&gt;")=0,"",SUMIFS(BD!$Q$3:$Q$5001,BD!$A$3:$A$5001,AG$3,BD!$B$3:$B$5001,$A$267)))</f>
        <v/>
      </c>
      <c r="AH281" s="234" t="str">
        <f>IF(AH$3="","",IF(COUNTIFS(BD!$A$3:$A$5001,AH$3,BD!$B$3:$B$5001,$A$267,BD!$Q$3:$Q$5001,"&lt;&gt;")=0,"",SUMIFS(BD!$Q$3:$Q$5001,BD!$A$3:$A$5001,AH$3,BD!$B$3:$B$5001,$A$267)))</f>
        <v/>
      </c>
      <c r="AI281" s="234" t="str">
        <f>IF(AI$3="","",IF(COUNTIFS(BD!$A$3:$A$5001,AI$3,BD!$B$3:$B$5001,$A$267,BD!$Q$3:$Q$5001,"&lt;&gt;")=0,"",SUMIFS(BD!$Q$3:$Q$5001,BD!$A$3:$A$5001,AI$3,BD!$B$3:$B$5001,$A$267)))</f>
        <v/>
      </c>
      <c r="AJ281" s="235" t="str">
        <f>IF(AJ$3="","",IF(COUNTIFS(BD!$A$3:$A$5001,AJ$3,BD!$B$3:$B$5001,$A$267,BD!$Q$3:$Q$5001,"&lt;&gt;")=0,"",SUMIFS(BD!$Q$3:$Q$5001,BD!$A$3:$A$5001,AJ$3,BD!$B$3:$B$5001,$A$267)))</f>
        <v/>
      </c>
      <c r="AK281" s="231" t="str">
        <f>IFERROR(LOOKUP(9.99E+307,F281:AJ281),"")</f>
        <v/>
      </c>
    </row>
    <row r="282" ht="15.75" customHeight="1" hidden="1">
      <c r="A282" s="277"/>
      <c r="B282" s="264" t="inlineStr">
        <is>
          <t xml:space="preserve">OCUPAÇÃO (P.P)</t>
        </is>
      </c>
      <c r="C282" s="168" t="inlineStr">
        <is>
          <t xml:space="preserve">Posições Disponíveis</t>
        </is>
      </c>
      <c r="D282" s="169" t="str">
        <f>IFERROR(1/(1/INDEX(BD!$AF$38:$AZ$38,MATCH($A$267,BD!$AF$22:$AZ$22,0))),"")</f>
        <v/>
      </c>
      <c r="E282" s="170"/>
      <c r="F282" s="171" t="str">
        <f>IF(F$3="","",IF(COUNTIFS(BD!$A$3:$A$5001,F$3,BD!$B$3:$B$5001,$A$267,BD!$R$3:$R$5001,"&lt;&gt;")=0,"",SUMIFS(BD!$R$3:$R$5001,BD!$A$3:$A$5001,F$3,BD!$B$3:$B$5001,$A$267)))</f>
        <v/>
      </c>
      <c r="G282" s="172" t="str">
        <f>IF(G$3="","",IF(COUNTIFS(BD!$A$3:$A$5001,G$3,BD!$B$3:$B$5001,$A$267,BD!$R$3:$R$5001,"&lt;&gt;")=0,"",SUMIFS(BD!$R$3:$R$5001,BD!$A$3:$A$5001,G$3,BD!$B$3:$B$5001,$A$267)))</f>
        <v/>
      </c>
      <c r="H282" s="172" t="str">
        <f>IF(H$3="","",IF(COUNTIFS(BD!$A$3:$A$5001,H$3,BD!$B$3:$B$5001,$A$267,BD!$R$3:$R$5001,"&lt;&gt;")=0,"",SUMIFS(BD!$R$3:$R$5001,BD!$A$3:$A$5001,H$3,BD!$B$3:$B$5001,$A$267)))</f>
        <v/>
      </c>
      <c r="I282" s="172" t="str">
        <f>IF(I$3="","",IF(COUNTIFS(BD!$A$3:$A$5001,I$3,BD!$B$3:$B$5001,$A$267,BD!$R$3:$R$5001,"&lt;&gt;")=0,"",SUMIFS(BD!$R$3:$R$5001,BD!$A$3:$A$5001,I$3,BD!$B$3:$B$5001,$A$267)))</f>
        <v/>
      </c>
      <c r="J282" s="172" t="str">
        <f>IF(J$3="","",IF(COUNTIFS(BD!$A$3:$A$5001,J$3,BD!$B$3:$B$5001,$A$267,BD!$R$3:$R$5001,"&lt;&gt;")=0,"",SUMIFS(BD!$R$3:$R$5001,BD!$A$3:$A$5001,J$3,BD!$B$3:$B$5001,$A$267)))</f>
        <v/>
      </c>
      <c r="K282" s="172" t="str">
        <f>IF(K$3="","",IF(COUNTIFS(BD!$A$3:$A$5001,K$3,BD!$B$3:$B$5001,$A$267,BD!$R$3:$R$5001,"&lt;&gt;")=0,"",SUMIFS(BD!$R$3:$R$5001,BD!$A$3:$A$5001,K$3,BD!$B$3:$B$5001,$A$267)))</f>
        <v/>
      </c>
      <c r="L282" s="172" t="str">
        <f>IF(L$3="","",IF(COUNTIFS(BD!$A$3:$A$5001,L$3,BD!$B$3:$B$5001,$A$267,BD!$R$3:$R$5001,"&lt;&gt;")=0,"",SUMIFS(BD!$R$3:$R$5001,BD!$A$3:$A$5001,L$3,BD!$B$3:$B$5001,$A$267)))</f>
        <v/>
      </c>
      <c r="M282" s="172" t="str">
        <f>IF(M$3="","",IF(COUNTIFS(BD!$A$3:$A$5001,M$3,BD!$B$3:$B$5001,$A$267,BD!$R$3:$R$5001,"&lt;&gt;")=0,"",SUMIFS(BD!$R$3:$R$5001,BD!$A$3:$A$5001,M$3,BD!$B$3:$B$5001,$A$267)))</f>
        <v/>
      </c>
      <c r="N282" s="172" t="str">
        <f>IF(N$3="","",IF(COUNTIFS(BD!$A$3:$A$5001,N$3,BD!$B$3:$B$5001,$A$267,BD!$R$3:$R$5001,"&lt;&gt;")=0,"",SUMIFS(BD!$R$3:$R$5001,BD!$A$3:$A$5001,N$3,BD!$B$3:$B$5001,$A$267)))</f>
        <v/>
      </c>
      <c r="O282" s="172" t="str">
        <f>IF(O$3="","",IF(COUNTIFS(BD!$A$3:$A$5001,O$3,BD!$B$3:$B$5001,$A$267,BD!$R$3:$R$5001,"&lt;&gt;")=0,"",SUMIFS(BD!$R$3:$R$5001,BD!$A$3:$A$5001,O$3,BD!$B$3:$B$5001,$A$267)))</f>
        <v/>
      </c>
      <c r="P282" s="172" t="str">
        <f>IF(P$3="","",IF(COUNTIFS(BD!$A$3:$A$5001,P$3,BD!$B$3:$B$5001,$A$267,BD!$R$3:$R$5001,"&lt;&gt;")=0,"",SUMIFS(BD!$R$3:$R$5001,BD!$A$3:$A$5001,P$3,BD!$B$3:$B$5001,$A$267)))</f>
        <v/>
      </c>
      <c r="Q282" s="172" t="str">
        <f>IF(Q$3="","",IF(COUNTIFS(BD!$A$3:$A$5001,Q$3,BD!$B$3:$B$5001,$A$267,BD!$R$3:$R$5001,"&lt;&gt;")=0,"",SUMIFS(BD!$R$3:$R$5001,BD!$A$3:$A$5001,Q$3,BD!$B$3:$B$5001,$A$267)))</f>
        <v/>
      </c>
      <c r="R282" s="172" t="str">
        <f>IF(R$3="","",IF(COUNTIFS(BD!$A$3:$A$5001,R$3,BD!$B$3:$B$5001,$A$267,BD!$R$3:$R$5001,"&lt;&gt;")=0,"",SUMIFS(BD!$R$3:$R$5001,BD!$A$3:$A$5001,R$3,BD!$B$3:$B$5001,$A$267)))</f>
        <v/>
      </c>
      <c r="S282" s="172" t="str">
        <f>IF(S$3="","",IF(COUNTIFS(BD!$A$3:$A$5001,S$3,BD!$B$3:$B$5001,$A$267,BD!$R$3:$R$5001,"&lt;&gt;")=0,"",SUMIFS(BD!$R$3:$R$5001,BD!$A$3:$A$5001,S$3,BD!$B$3:$B$5001,$A$267)))</f>
        <v/>
      </c>
      <c r="T282" s="172" t="str">
        <f>IF(T$3="","",IF(COUNTIFS(BD!$A$3:$A$5001,T$3,BD!$B$3:$B$5001,$A$267,BD!$R$3:$R$5001,"&lt;&gt;")=0,"",SUMIFS(BD!$R$3:$R$5001,BD!$A$3:$A$5001,T$3,BD!$B$3:$B$5001,$A$267)))</f>
        <v/>
      </c>
      <c r="U282" s="172" t="str">
        <f>IF(U$3="","",IF(COUNTIFS(BD!$A$3:$A$5001,U$3,BD!$B$3:$B$5001,$A$267,BD!$R$3:$R$5001,"&lt;&gt;")=0,"",SUMIFS(BD!$R$3:$R$5001,BD!$A$3:$A$5001,U$3,BD!$B$3:$B$5001,$A$267)))</f>
        <v/>
      </c>
      <c r="V282" s="172" t="str">
        <f>IF(V$3="","",IF(COUNTIFS(BD!$A$3:$A$5001,V$3,BD!$B$3:$B$5001,$A$267,BD!$R$3:$R$5001,"&lt;&gt;")=0,"",SUMIFS(BD!$R$3:$R$5001,BD!$A$3:$A$5001,V$3,BD!$B$3:$B$5001,$A$267)))</f>
        <v/>
      </c>
      <c r="W282" s="172" t="str">
        <f>IF(W$3="","",IF(COUNTIFS(BD!$A$3:$A$5001,W$3,BD!$B$3:$B$5001,$A$267,BD!$R$3:$R$5001,"&lt;&gt;")=0,"",SUMIFS(BD!$R$3:$R$5001,BD!$A$3:$A$5001,W$3,BD!$B$3:$B$5001,$A$267)))</f>
        <v/>
      </c>
      <c r="X282" s="172" t="str">
        <f>IF(X$3="","",IF(COUNTIFS(BD!$A$3:$A$5001,X$3,BD!$B$3:$B$5001,$A$267,BD!$R$3:$R$5001,"&lt;&gt;")=0,"",SUMIFS(BD!$R$3:$R$5001,BD!$A$3:$A$5001,X$3,BD!$B$3:$B$5001,$A$267)))</f>
        <v/>
      </c>
      <c r="Y282" s="172" t="str">
        <f>IF(Y$3="","",IF(COUNTIFS(BD!$A$3:$A$5001,Y$3,BD!$B$3:$B$5001,$A$267,BD!$R$3:$R$5001,"&lt;&gt;")=0,"",SUMIFS(BD!$R$3:$R$5001,BD!$A$3:$A$5001,Y$3,BD!$B$3:$B$5001,$A$267)))</f>
        <v/>
      </c>
      <c r="Z282" s="172" t="str">
        <f>IF(Z$3="","",IF(COUNTIFS(BD!$A$3:$A$5001,Z$3,BD!$B$3:$B$5001,$A$267,BD!$R$3:$R$5001,"&lt;&gt;")=0,"",SUMIFS(BD!$R$3:$R$5001,BD!$A$3:$A$5001,Z$3,BD!$B$3:$B$5001,$A$267)))</f>
        <v/>
      </c>
      <c r="AA282" s="172" t="str">
        <f>IF(AA$3="","",IF(COUNTIFS(BD!$A$3:$A$5001,AA$3,BD!$B$3:$B$5001,$A$267,BD!$R$3:$R$5001,"&lt;&gt;")=0,"",SUMIFS(BD!$R$3:$R$5001,BD!$A$3:$A$5001,AA$3,BD!$B$3:$B$5001,$A$267)))</f>
        <v/>
      </c>
      <c r="AB282" s="172" t="str">
        <f>IF(AB$3="","",IF(COUNTIFS(BD!$A$3:$A$5001,AB$3,BD!$B$3:$B$5001,$A$267,BD!$R$3:$R$5001,"&lt;&gt;")=0,"",SUMIFS(BD!$R$3:$R$5001,BD!$A$3:$A$5001,AB$3,BD!$B$3:$B$5001,$A$267)))</f>
        <v/>
      </c>
      <c r="AC282" s="172" t="str">
        <f>IF(AC$3="","",IF(COUNTIFS(BD!$A$3:$A$5001,AC$3,BD!$B$3:$B$5001,$A$267,BD!$R$3:$R$5001,"&lt;&gt;")=0,"",SUMIFS(BD!$R$3:$R$5001,BD!$A$3:$A$5001,AC$3,BD!$B$3:$B$5001,$A$267)))</f>
        <v/>
      </c>
      <c r="AD282" s="172" t="str">
        <f>IF(AD$3="","",IF(COUNTIFS(BD!$A$3:$A$5001,AD$3,BD!$B$3:$B$5001,$A$267,BD!$R$3:$R$5001,"&lt;&gt;")=0,"",SUMIFS(BD!$R$3:$R$5001,BD!$A$3:$A$5001,AD$3,BD!$B$3:$B$5001,$A$267)))</f>
        <v/>
      </c>
      <c r="AE282" s="172" t="str">
        <f>IF(AE$3="","",IF(COUNTIFS(BD!$A$3:$A$5001,AE$3,BD!$B$3:$B$5001,$A$267,BD!$R$3:$R$5001,"&lt;&gt;")=0,"",SUMIFS(BD!$R$3:$R$5001,BD!$A$3:$A$5001,AE$3,BD!$B$3:$B$5001,$A$267)))</f>
        <v/>
      </c>
      <c r="AF282" s="172" t="str">
        <f>IF(AF$3="","",IF(COUNTIFS(BD!$A$3:$A$5001,AF$3,BD!$B$3:$B$5001,$A$267,BD!$R$3:$R$5001,"&lt;&gt;")=0,"",SUMIFS(BD!$R$3:$R$5001,BD!$A$3:$A$5001,AF$3,BD!$B$3:$B$5001,$A$267)))</f>
        <v/>
      </c>
      <c r="AG282" s="172" t="str">
        <f>IF(AG$3="","",IF(COUNTIFS(BD!$A$3:$A$5001,AG$3,BD!$B$3:$B$5001,$A$267,BD!$R$3:$R$5001,"&lt;&gt;")=0,"",SUMIFS(BD!$R$3:$R$5001,BD!$A$3:$A$5001,AG$3,BD!$B$3:$B$5001,$A$267)))</f>
        <v/>
      </c>
      <c r="AH282" s="172" t="str">
        <f>IF(AH$3="","",IF(COUNTIFS(BD!$A$3:$A$5001,AH$3,BD!$B$3:$B$5001,$A$267,BD!$R$3:$R$5001,"&lt;&gt;")=0,"",SUMIFS(BD!$R$3:$R$5001,BD!$A$3:$A$5001,AH$3,BD!$B$3:$B$5001,$A$267)))</f>
        <v/>
      </c>
      <c r="AI282" s="172" t="str">
        <f>IF(AI$3="","",IF(COUNTIFS(BD!$A$3:$A$5001,AI$3,BD!$B$3:$B$5001,$A$267,BD!$R$3:$R$5001,"&lt;&gt;")=0,"",SUMIFS(BD!$R$3:$R$5001,BD!$A$3:$A$5001,AI$3,BD!$B$3:$B$5001,$A$267)))</f>
        <v/>
      </c>
      <c r="AJ282" s="173" t="str">
        <f>IF(AJ$3="","",IF(COUNTIFS(BD!$A$3:$A$5001,AJ$3,BD!$B$3:$B$5001,$A$267,BD!$R$3:$R$5001,"&lt;&gt;")=0,"",SUMIFS(BD!$R$3:$R$5001,BD!$A$3:$A$5001,AJ$3,BD!$B$3:$B$5001,$A$267)))</f>
        <v/>
      </c>
      <c r="AK282" s="174" t="str">
        <f>IF(COUNT(F282:AJ282)&gt;0,LOOKUP(9.99E+307,F282:AJ282),IFERROR(IF(INDEX(BD!$AC$3:$AC$5001,MATCH($A$267,BD!$B$3:$B$5001,0))&amp;""="Contrato","",INDEX(BD!$AC$3:$AC$5001,MATCH($A$267,BD!$B$3:$B$5001,0))&amp;""),""))</f>
        <v/>
      </c>
    </row>
    <row r="283" ht="15.75" customHeight="1" hidden="1">
      <c r="A283" s="277"/>
      <c r="B283" s="265"/>
      <c r="C283" s="175" t="inlineStr">
        <is>
          <t xml:space="preserve">Posições Ocupadas</t>
        </is>
      </c>
      <c r="D283" s="176" t="str">
        <f>IFERROR(1/(1/INDEX(BD!$AF$39:$AZ$39,MATCH($A$267,BD!$AF$22:$AZ$22,0))),"")</f>
        <v/>
      </c>
      <c r="E283" s="177"/>
      <c r="F283" s="178" t="str">
        <f>IF(F$3="","",IF(COUNTIFS(BD!$A$3:$A$5001,F$3,BD!$B$3:$B$5001,$A$267,BD!$S$3:$S$5001,"&lt;&gt;")=0,"",SUMIFS(BD!$S$3:$S$5001,BD!$A$3:$A$5001,F$3,BD!$B$3:$B$5001,$A$267)))</f>
        <v/>
      </c>
      <c r="G283" s="179" t="str">
        <f>IF(G$3="","",IF(COUNTIFS(BD!$A$3:$A$5001,G$3,BD!$B$3:$B$5001,$A$267,BD!$S$3:$S$5001,"&lt;&gt;")=0,"",SUMIFS(BD!$S$3:$S$5001,BD!$A$3:$A$5001,G$3,BD!$B$3:$B$5001,$A$267)))</f>
        <v/>
      </c>
      <c r="H283" s="179" t="str">
        <f>IF(H$3="","",IF(COUNTIFS(BD!$A$3:$A$5001,H$3,BD!$B$3:$B$5001,$A$267,BD!$S$3:$S$5001,"&lt;&gt;")=0,"",SUMIFS(BD!$S$3:$S$5001,BD!$A$3:$A$5001,H$3,BD!$B$3:$B$5001,$A$267)))</f>
        <v/>
      </c>
      <c r="I283" s="179" t="str">
        <f>IF(I$3="","",IF(COUNTIFS(BD!$A$3:$A$5001,I$3,BD!$B$3:$B$5001,$A$267,BD!$S$3:$S$5001,"&lt;&gt;")=0,"",SUMIFS(BD!$S$3:$S$5001,BD!$A$3:$A$5001,I$3,BD!$B$3:$B$5001,$A$267)))</f>
        <v/>
      </c>
      <c r="J283" s="179" t="str">
        <f>IF(J$3="","",IF(COUNTIFS(BD!$A$3:$A$5001,J$3,BD!$B$3:$B$5001,$A$267,BD!$S$3:$S$5001,"&lt;&gt;")=0,"",SUMIFS(BD!$S$3:$S$5001,BD!$A$3:$A$5001,J$3,BD!$B$3:$B$5001,$A$267)))</f>
        <v/>
      </c>
      <c r="K283" s="179" t="str">
        <f>IF(K$3="","",IF(COUNTIFS(BD!$A$3:$A$5001,K$3,BD!$B$3:$B$5001,$A$267,BD!$S$3:$S$5001,"&lt;&gt;")=0,"",SUMIFS(BD!$S$3:$S$5001,BD!$A$3:$A$5001,K$3,BD!$B$3:$B$5001,$A$267)))</f>
        <v/>
      </c>
      <c r="L283" s="179" t="str">
        <f>IF(L$3="","",IF(COUNTIFS(BD!$A$3:$A$5001,L$3,BD!$B$3:$B$5001,$A$267,BD!$S$3:$S$5001,"&lt;&gt;")=0,"",SUMIFS(BD!$S$3:$S$5001,BD!$A$3:$A$5001,L$3,BD!$B$3:$B$5001,$A$267)))</f>
        <v/>
      </c>
      <c r="M283" s="179" t="str">
        <f>IF(M$3="","",IF(COUNTIFS(BD!$A$3:$A$5001,M$3,BD!$B$3:$B$5001,$A$267,BD!$S$3:$S$5001,"&lt;&gt;")=0,"",SUMIFS(BD!$S$3:$S$5001,BD!$A$3:$A$5001,M$3,BD!$B$3:$B$5001,$A$267)))</f>
        <v/>
      </c>
      <c r="N283" s="179" t="str">
        <f>IF(N$3="","",IF(COUNTIFS(BD!$A$3:$A$5001,N$3,BD!$B$3:$B$5001,$A$267,BD!$S$3:$S$5001,"&lt;&gt;")=0,"",SUMIFS(BD!$S$3:$S$5001,BD!$A$3:$A$5001,N$3,BD!$B$3:$B$5001,$A$267)))</f>
        <v/>
      </c>
      <c r="O283" s="179" t="str">
        <f>IF(O$3="","",IF(COUNTIFS(BD!$A$3:$A$5001,O$3,BD!$B$3:$B$5001,$A$267,BD!$S$3:$S$5001,"&lt;&gt;")=0,"",SUMIFS(BD!$S$3:$S$5001,BD!$A$3:$A$5001,O$3,BD!$B$3:$B$5001,$A$267)))</f>
        <v/>
      </c>
      <c r="P283" s="179" t="str">
        <f>IF(P$3="","",IF(COUNTIFS(BD!$A$3:$A$5001,P$3,BD!$B$3:$B$5001,$A$267,BD!$S$3:$S$5001,"&lt;&gt;")=0,"",SUMIFS(BD!$S$3:$S$5001,BD!$A$3:$A$5001,P$3,BD!$B$3:$B$5001,$A$267)))</f>
        <v/>
      </c>
      <c r="Q283" s="179" t="str">
        <f>IF(Q$3="","",IF(COUNTIFS(BD!$A$3:$A$5001,Q$3,BD!$B$3:$B$5001,$A$267,BD!$S$3:$S$5001,"&lt;&gt;")=0,"",SUMIFS(BD!$S$3:$S$5001,BD!$A$3:$A$5001,Q$3,BD!$B$3:$B$5001,$A$267)))</f>
        <v/>
      </c>
      <c r="R283" s="179" t="str">
        <f>IF(R$3="","",IF(COUNTIFS(BD!$A$3:$A$5001,R$3,BD!$B$3:$B$5001,$A$267,BD!$S$3:$S$5001,"&lt;&gt;")=0,"",SUMIFS(BD!$S$3:$S$5001,BD!$A$3:$A$5001,R$3,BD!$B$3:$B$5001,$A$267)))</f>
        <v/>
      </c>
      <c r="S283" s="179" t="str">
        <f>IF(S$3="","",IF(COUNTIFS(BD!$A$3:$A$5001,S$3,BD!$B$3:$B$5001,$A$267,BD!$S$3:$S$5001,"&lt;&gt;")=0,"",SUMIFS(BD!$S$3:$S$5001,BD!$A$3:$A$5001,S$3,BD!$B$3:$B$5001,$A$267)))</f>
        <v/>
      </c>
      <c r="T283" s="179" t="str">
        <f>IF(T$3="","",IF(COUNTIFS(BD!$A$3:$A$5001,T$3,BD!$B$3:$B$5001,$A$267,BD!$S$3:$S$5001,"&lt;&gt;")=0,"",SUMIFS(BD!$S$3:$S$5001,BD!$A$3:$A$5001,T$3,BD!$B$3:$B$5001,$A$267)))</f>
        <v/>
      </c>
      <c r="U283" s="179" t="str">
        <f>IF(U$3="","",IF(COUNTIFS(BD!$A$3:$A$5001,U$3,BD!$B$3:$B$5001,$A$267,BD!$S$3:$S$5001,"&lt;&gt;")=0,"",SUMIFS(BD!$S$3:$S$5001,BD!$A$3:$A$5001,U$3,BD!$B$3:$B$5001,$A$267)))</f>
        <v/>
      </c>
      <c r="V283" s="179" t="str">
        <f>IF(V$3="","",IF(COUNTIFS(BD!$A$3:$A$5001,V$3,BD!$B$3:$B$5001,$A$267,BD!$S$3:$S$5001,"&lt;&gt;")=0,"",SUMIFS(BD!$S$3:$S$5001,BD!$A$3:$A$5001,V$3,BD!$B$3:$B$5001,$A$267)))</f>
        <v/>
      </c>
      <c r="W283" s="179" t="str">
        <f>IF(W$3="","",IF(COUNTIFS(BD!$A$3:$A$5001,W$3,BD!$B$3:$B$5001,$A$267,BD!$S$3:$S$5001,"&lt;&gt;")=0,"",SUMIFS(BD!$S$3:$S$5001,BD!$A$3:$A$5001,W$3,BD!$B$3:$B$5001,$A$267)))</f>
        <v/>
      </c>
      <c r="X283" s="179" t="str">
        <f>IF(X$3="","",IF(COUNTIFS(BD!$A$3:$A$5001,X$3,BD!$B$3:$B$5001,$A$267,BD!$S$3:$S$5001,"&lt;&gt;")=0,"",SUMIFS(BD!$S$3:$S$5001,BD!$A$3:$A$5001,X$3,BD!$B$3:$B$5001,$A$267)))</f>
        <v/>
      </c>
      <c r="Y283" s="179" t="str">
        <f>IF(Y$3="","",IF(COUNTIFS(BD!$A$3:$A$5001,Y$3,BD!$B$3:$B$5001,$A$267,BD!$S$3:$S$5001,"&lt;&gt;")=0,"",SUMIFS(BD!$S$3:$S$5001,BD!$A$3:$A$5001,Y$3,BD!$B$3:$B$5001,$A$267)))</f>
        <v/>
      </c>
      <c r="Z283" s="179" t="str">
        <f>IF(Z$3="","",IF(COUNTIFS(BD!$A$3:$A$5001,Z$3,BD!$B$3:$B$5001,$A$267,BD!$S$3:$S$5001,"&lt;&gt;")=0,"",SUMIFS(BD!$S$3:$S$5001,BD!$A$3:$A$5001,Z$3,BD!$B$3:$B$5001,$A$267)))</f>
        <v/>
      </c>
      <c r="AA283" s="179" t="str">
        <f>IF(AA$3="","",IF(COUNTIFS(BD!$A$3:$A$5001,AA$3,BD!$B$3:$B$5001,$A$267,BD!$S$3:$S$5001,"&lt;&gt;")=0,"",SUMIFS(BD!$S$3:$S$5001,BD!$A$3:$A$5001,AA$3,BD!$B$3:$B$5001,$A$267)))</f>
        <v/>
      </c>
      <c r="AB283" s="179" t="str">
        <f>IF(AB$3="","",IF(COUNTIFS(BD!$A$3:$A$5001,AB$3,BD!$B$3:$B$5001,$A$267,BD!$S$3:$S$5001,"&lt;&gt;")=0,"",SUMIFS(BD!$S$3:$S$5001,BD!$A$3:$A$5001,AB$3,BD!$B$3:$B$5001,$A$267)))</f>
        <v/>
      </c>
      <c r="AC283" s="179" t="str">
        <f>IF(AC$3="","",IF(COUNTIFS(BD!$A$3:$A$5001,AC$3,BD!$B$3:$B$5001,$A$267,BD!$S$3:$S$5001,"&lt;&gt;")=0,"",SUMIFS(BD!$S$3:$S$5001,BD!$A$3:$A$5001,AC$3,BD!$B$3:$B$5001,$A$267)))</f>
        <v/>
      </c>
      <c r="AD283" s="179" t="str">
        <f>IF(AD$3="","",IF(COUNTIFS(BD!$A$3:$A$5001,AD$3,BD!$B$3:$B$5001,$A$267,BD!$S$3:$S$5001,"&lt;&gt;")=0,"",SUMIFS(BD!$S$3:$S$5001,BD!$A$3:$A$5001,AD$3,BD!$B$3:$B$5001,$A$267)))</f>
        <v/>
      </c>
      <c r="AE283" s="179" t="str">
        <f>IF(AE$3="","",IF(COUNTIFS(BD!$A$3:$A$5001,AE$3,BD!$B$3:$B$5001,$A$267,BD!$S$3:$S$5001,"&lt;&gt;")=0,"",SUMIFS(BD!$S$3:$S$5001,BD!$A$3:$A$5001,AE$3,BD!$B$3:$B$5001,$A$267)))</f>
        <v/>
      </c>
      <c r="AF283" s="179" t="str">
        <f>IF(AF$3="","",IF(COUNTIFS(BD!$A$3:$A$5001,AF$3,BD!$B$3:$B$5001,$A$267,BD!$S$3:$S$5001,"&lt;&gt;")=0,"",SUMIFS(BD!$S$3:$S$5001,BD!$A$3:$A$5001,AF$3,BD!$B$3:$B$5001,$A$267)))</f>
        <v/>
      </c>
      <c r="AG283" s="179" t="str">
        <f>IF(AG$3="","",IF(COUNTIFS(BD!$A$3:$A$5001,AG$3,BD!$B$3:$B$5001,$A$267,BD!$S$3:$S$5001,"&lt;&gt;")=0,"",SUMIFS(BD!$S$3:$S$5001,BD!$A$3:$A$5001,AG$3,BD!$B$3:$B$5001,$A$267)))</f>
        <v/>
      </c>
      <c r="AH283" s="179" t="str">
        <f>IF(AH$3="","",IF(COUNTIFS(BD!$A$3:$A$5001,AH$3,BD!$B$3:$B$5001,$A$267,BD!$S$3:$S$5001,"&lt;&gt;")=0,"",SUMIFS(BD!$S$3:$S$5001,BD!$A$3:$A$5001,AH$3,BD!$B$3:$B$5001,$A$267)))</f>
        <v/>
      </c>
      <c r="AI283" s="179" t="str">
        <f>IF(AI$3="","",IF(COUNTIFS(BD!$A$3:$A$5001,AI$3,BD!$B$3:$B$5001,$A$267,BD!$S$3:$S$5001,"&lt;&gt;")=0,"",SUMIFS(BD!$S$3:$S$5001,BD!$A$3:$A$5001,AI$3,BD!$B$3:$B$5001,$A$267)))</f>
        <v/>
      </c>
      <c r="AJ283" s="180" t="str">
        <f>IF(AJ$3="","",IF(COUNTIFS(BD!$A$3:$A$5001,AJ$3,BD!$B$3:$B$5001,$A$267,BD!$S$3:$S$5001,"&lt;&gt;")=0,"",SUMIFS(BD!$S$3:$S$5001,BD!$A$3:$A$5001,AJ$3,BD!$B$3:$B$5001,$A$267)))</f>
        <v/>
      </c>
      <c r="AK283" s="181" t="str">
        <f>IFERROR(LOOKUP(9.99E+307,F283:AJ283),"")</f>
        <v/>
      </c>
    </row>
    <row r="284" ht="15.75" customHeight="1" hidden="1">
      <c r="A284" s="277"/>
      <c r="B284" s="266"/>
      <c r="C284" s="186" t="inlineStr">
        <is>
          <t xml:space="preserve">Taxa de Ocupação</t>
        </is>
      </c>
      <c r="D284" s="236" t="str">
        <f>IFERROR(1/(1/INDEX(BD!$AF$40:$AZ$40,MATCH($A$267,BD!$AF$22:$AZ$22,0))),"")</f>
        <v/>
      </c>
      <c r="E284" s="188"/>
      <c r="F284" s="237" t="str">
        <f>IF(AND(ISNUMBER(F282),ISNUMBER(F283)),IF(F282&gt;0,F283/F282,""),"")</f>
        <v/>
      </c>
      <c r="G284" s="238" t="str">
        <f>IF(AND(ISNUMBER(G282),ISNUMBER(G283)),IF(G282&gt;0,G283/G282,""),"")</f>
        <v/>
      </c>
      <c r="H284" s="238" t="str">
        <f>IF(AND(ISNUMBER(H282),ISNUMBER(H283)),IF(H282&gt;0,H283/H282,""),"")</f>
        <v/>
      </c>
      <c r="I284" s="238" t="str">
        <f>IF(AND(ISNUMBER(I282),ISNUMBER(I283)),IF(I282&gt;0,I283/I282,""),"")</f>
        <v/>
      </c>
      <c r="J284" s="238" t="str">
        <f>IF(AND(ISNUMBER(J282),ISNUMBER(J283)),IF(J282&gt;0,J283/J282,""),"")</f>
        <v/>
      </c>
      <c r="K284" s="238" t="str">
        <f>IF(AND(ISNUMBER(K282),ISNUMBER(K283)),IF(K282&gt;0,K283/K282,""),"")</f>
        <v/>
      </c>
      <c r="L284" s="238" t="str">
        <f>IF(AND(ISNUMBER(L282),ISNUMBER(L283)),IF(L282&gt;0,L283/L282,""),"")</f>
        <v/>
      </c>
      <c r="M284" s="238" t="str">
        <f>IF(AND(ISNUMBER(M282),ISNUMBER(M283)),IF(M282&gt;0,M283/M282,""),"")</f>
        <v/>
      </c>
      <c r="N284" s="238" t="str">
        <f>IF(AND(ISNUMBER(N282),ISNUMBER(N283)),IF(N282&gt;0,N283/N282,""),"")</f>
        <v/>
      </c>
      <c r="O284" s="238" t="str">
        <f>IF(AND(ISNUMBER(O282),ISNUMBER(O283)),IF(O282&gt;0,O283/O282,""),"")</f>
        <v/>
      </c>
      <c r="P284" s="238" t="str">
        <f>IF(AND(ISNUMBER(P282),ISNUMBER(P283)),IF(P282&gt;0,P283/P282,""),"")</f>
        <v/>
      </c>
      <c r="Q284" s="238" t="str">
        <f>IF(AND(ISNUMBER(Q282),ISNUMBER(Q283)),IF(Q282&gt;0,Q283/Q282,""),"")</f>
        <v/>
      </c>
      <c r="R284" s="238" t="str">
        <f>IF(AND(ISNUMBER(R282),ISNUMBER(R283)),IF(R282&gt;0,R283/R282,""),"")</f>
        <v/>
      </c>
      <c r="S284" s="238" t="str">
        <f>IF(AND(ISNUMBER(S282),ISNUMBER(S283)),IF(S282&gt;0,S283/S282,""),"")</f>
        <v/>
      </c>
      <c r="T284" s="238" t="str">
        <f>IF(AND(ISNUMBER(T282),ISNUMBER(T283)),IF(T282&gt;0,T283/T282,""),"")</f>
        <v/>
      </c>
      <c r="U284" s="238" t="str">
        <f>IF(AND(ISNUMBER(U282),ISNUMBER(U283)),IF(U282&gt;0,U283/U282,""),"")</f>
        <v/>
      </c>
      <c r="V284" s="238" t="str">
        <f>IF(AND(ISNUMBER(V282),ISNUMBER(V283)),IF(V282&gt;0,V283/V282,""),"")</f>
        <v/>
      </c>
      <c r="W284" s="238" t="str">
        <f>IF(AND(ISNUMBER(W282),ISNUMBER(W283)),IF(W282&gt;0,W283/W282,""),"")</f>
        <v/>
      </c>
      <c r="X284" s="238" t="str">
        <f>IF(AND(ISNUMBER(X282),ISNUMBER(X283)),IF(X282&gt;0,X283/X282,""),"")</f>
        <v/>
      </c>
      <c r="Y284" s="238" t="str">
        <f>IF(AND(ISNUMBER(Y282),ISNUMBER(Y283)),IF(Y282&gt;0,Y283/Y282,""),"")</f>
        <v/>
      </c>
      <c r="Z284" s="238" t="str">
        <f>IF(AND(ISNUMBER(Z282),ISNUMBER(Z283)),IF(Z282&gt;0,Z283/Z282,""),"")</f>
        <v/>
      </c>
      <c r="AA284" s="238" t="str">
        <f>IF(AND(ISNUMBER(AA282),ISNUMBER(AA283)),IF(AA282&gt;0,AA283/AA282,""),"")</f>
        <v/>
      </c>
      <c r="AB284" s="238" t="str">
        <f>IF(AND(ISNUMBER(AB282),ISNUMBER(AB283)),IF(AB282&gt;0,AB283/AB282,""),"")</f>
        <v/>
      </c>
      <c r="AC284" s="238" t="str">
        <f>IF(AND(ISNUMBER(AC282),ISNUMBER(AC283)),IF(AC282&gt;0,AC283/AC282,""),"")</f>
        <v/>
      </c>
      <c r="AD284" s="238" t="str">
        <f>IF(AND(ISNUMBER(AD282),ISNUMBER(AD283)),IF(AD282&gt;0,AD283/AD282,""),"")</f>
        <v/>
      </c>
      <c r="AE284" s="238" t="str">
        <f>IF(AND(ISNUMBER(AE282),ISNUMBER(AE283)),IF(AE282&gt;0,AE283/AE282,""),"")</f>
        <v/>
      </c>
      <c r="AF284" s="238" t="str">
        <f>IF(AND(ISNUMBER(AF282),ISNUMBER(AF283)),IF(AF282&gt;0,AF283/AF282,""),"")</f>
        <v/>
      </c>
      <c r="AG284" s="238" t="str">
        <f>IF(AND(ISNUMBER(AG282),ISNUMBER(AG283)),IF(AG282&gt;0,AG283/AG282,""),"")</f>
        <v/>
      </c>
      <c r="AH284" s="238" t="str">
        <f>IF(AND(ISNUMBER(AH282),ISNUMBER(AH283)),IF(AH282&gt;0,AH283/AH282,""),"")</f>
        <v/>
      </c>
      <c r="AI284" s="238" t="str">
        <f>IF(AND(ISNUMBER(AI282),ISNUMBER(AI283)),IF(AI282&gt;0,AI283/AI282,""),"")</f>
        <v/>
      </c>
      <c r="AJ284" s="239" t="str">
        <f>IF(AND(ISNUMBER(AJ282),ISNUMBER(AJ283)),IF(AJ282&gt;0,AJ283/AJ282,""),"")</f>
        <v/>
      </c>
      <c r="AK284" s="236" t="str">
        <f>IF(AND(ISNUMBER(AK282),ISNUMBER(AK283)),IF(AK282&gt;0,AK283/AK282,""),"")</f>
        <v/>
      </c>
    </row>
    <row r="285" ht="15.75" customHeight="1" hidden="1">
      <c r="A285" s="277"/>
      <c r="B285" s="273" t="inlineStr">
        <is>
          <t xml:space="preserve">GENTE</t>
        </is>
      </c>
      <c r="C285" s="240" t="inlineStr">
        <is>
          <t xml:space="preserve">Efetivo Op.</t>
        </is>
      </c>
      <c r="D285" s="241" t="str">
        <f>IFERROR(1/(1/INDEX(BD!$AF$41:$AZ$41,MATCH($A$267,BD!$AF$22:$AZ$22,0))),"")</f>
        <v/>
      </c>
      <c r="E285" s="242"/>
      <c r="F285" s="243" t="str">
        <f>IF(F$3="","",IF(COUNTIFS(BD!$A$3:$A$5001,F$3,BD!$B$3:$B$5001,$A$267,BD!$T$3:$T$5001,"&lt;&gt;")=0,"",SUMIFS(BD!$T$3:$T$5001,BD!$A$3:$A$5001,F$3,BD!$B$3:$B$5001,$A$267)))</f>
        <v/>
      </c>
      <c r="G285" s="244" t="str">
        <f>IF(G$3="","",IF(COUNTIFS(BD!$A$3:$A$5001,G$3,BD!$B$3:$B$5001,$A$267,BD!$T$3:$T$5001,"&lt;&gt;")=0,"",SUMIFS(BD!$T$3:$T$5001,BD!$A$3:$A$5001,G$3,BD!$B$3:$B$5001,$A$267)))</f>
        <v/>
      </c>
      <c r="H285" s="244" t="str">
        <f>IF(H$3="","",IF(COUNTIFS(BD!$A$3:$A$5001,H$3,BD!$B$3:$B$5001,$A$267,BD!$T$3:$T$5001,"&lt;&gt;")=0,"",SUMIFS(BD!$T$3:$T$5001,BD!$A$3:$A$5001,H$3,BD!$B$3:$B$5001,$A$267)))</f>
        <v/>
      </c>
      <c r="I285" s="244" t="str">
        <f>IF(I$3="","",IF(COUNTIFS(BD!$A$3:$A$5001,I$3,BD!$B$3:$B$5001,$A$267,BD!$T$3:$T$5001,"&lt;&gt;")=0,"",SUMIFS(BD!$T$3:$T$5001,BD!$A$3:$A$5001,I$3,BD!$B$3:$B$5001,$A$267)))</f>
        <v/>
      </c>
      <c r="J285" s="244" t="str">
        <f>IF(J$3="","",IF(COUNTIFS(BD!$A$3:$A$5001,J$3,BD!$B$3:$B$5001,$A$267,BD!$T$3:$T$5001,"&lt;&gt;")=0,"",SUMIFS(BD!$T$3:$T$5001,BD!$A$3:$A$5001,J$3,BD!$B$3:$B$5001,$A$267)))</f>
        <v/>
      </c>
      <c r="K285" s="244" t="str">
        <f>IF(K$3="","",IF(COUNTIFS(BD!$A$3:$A$5001,K$3,BD!$B$3:$B$5001,$A$267,BD!$T$3:$T$5001,"&lt;&gt;")=0,"",SUMIFS(BD!$T$3:$T$5001,BD!$A$3:$A$5001,K$3,BD!$B$3:$B$5001,$A$267)))</f>
        <v/>
      </c>
      <c r="L285" s="244" t="str">
        <f>IF(L$3="","",IF(COUNTIFS(BD!$A$3:$A$5001,L$3,BD!$B$3:$B$5001,$A$267,BD!$T$3:$T$5001,"&lt;&gt;")=0,"",SUMIFS(BD!$T$3:$T$5001,BD!$A$3:$A$5001,L$3,BD!$B$3:$B$5001,$A$267)))</f>
        <v/>
      </c>
      <c r="M285" s="244" t="str">
        <f>IF(M$3="","",IF(COUNTIFS(BD!$A$3:$A$5001,M$3,BD!$B$3:$B$5001,$A$267,BD!$T$3:$T$5001,"&lt;&gt;")=0,"",SUMIFS(BD!$T$3:$T$5001,BD!$A$3:$A$5001,M$3,BD!$B$3:$B$5001,$A$267)))</f>
        <v/>
      </c>
      <c r="N285" s="244" t="str">
        <f>IF(N$3="","",IF(COUNTIFS(BD!$A$3:$A$5001,N$3,BD!$B$3:$B$5001,$A$267,BD!$T$3:$T$5001,"&lt;&gt;")=0,"",SUMIFS(BD!$T$3:$T$5001,BD!$A$3:$A$5001,N$3,BD!$B$3:$B$5001,$A$267)))</f>
        <v/>
      </c>
      <c r="O285" s="244" t="str">
        <f>IF(O$3="","",IF(COUNTIFS(BD!$A$3:$A$5001,O$3,BD!$B$3:$B$5001,$A$267,BD!$T$3:$T$5001,"&lt;&gt;")=0,"",SUMIFS(BD!$T$3:$T$5001,BD!$A$3:$A$5001,O$3,BD!$B$3:$B$5001,$A$267)))</f>
        <v/>
      </c>
      <c r="P285" s="244" t="str">
        <f>IF(P$3="","",IF(COUNTIFS(BD!$A$3:$A$5001,P$3,BD!$B$3:$B$5001,$A$267,BD!$T$3:$T$5001,"&lt;&gt;")=0,"",SUMIFS(BD!$T$3:$T$5001,BD!$A$3:$A$5001,P$3,BD!$B$3:$B$5001,$A$267)))</f>
        <v/>
      </c>
      <c r="Q285" s="244" t="str">
        <f>IF(Q$3="","",IF(COUNTIFS(BD!$A$3:$A$5001,Q$3,BD!$B$3:$B$5001,$A$267,BD!$T$3:$T$5001,"&lt;&gt;")=0,"",SUMIFS(BD!$T$3:$T$5001,BD!$A$3:$A$5001,Q$3,BD!$B$3:$B$5001,$A$267)))</f>
        <v/>
      </c>
      <c r="R285" s="244" t="str">
        <f>IF(R$3="","",IF(COUNTIFS(BD!$A$3:$A$5001,R$3,BD!$B$3:$B$5001,$A$267,BD!$T$3:$T$5001,"&lt;&gt;")=0,"",SUMIFS(BD!$T$3:$T$5001,BD!$A$3:$A$5001,R$3,BD!$B$3:$B$5001,$A$267)))</f>
        <v/>
      </c>
      <c r="S285" s="244" t="str">
        <f>IF(S$3="","",IF(COUNTIFS(BD!$A$3:$A$5001,S$3,BD!$B$3:$B$5001,$A$267,BD!$T$3:$T$5001,"&lt;&gt;")=0,"",SUMIFS(BD!$T$3:$T$5001,BD!$A$3:$A$5001,S$3,BD!$B$3:$B$5001,$A$267)))</f>
        <v/>
      </c>
      <c r="T285" s="244" t="str">
        <f>IF(T$3="","",IF(COUNTIFS(BD!$A$3:$A$5001,T$3,BD!$B$3:$B$5001,$A$267,BD!$T$3:$T$5001,"&lt;&gt;")=0,"",SUMIFS(BD!$T$3:$T$5001,BD!$A$3:$A$5001,T$3,BD!$B$3:$B$5001,$A$267)))</f>
        <v/>
      </c>
      <c r="U285" s="244" t="str">
        <f>IF(U$3="","",IF(COUNTIFS(BD!$A$3:$A$5001,U$3,BD!$B$3:$B$5001,$A$267,BD!$T$3:$T$5001,"&lt;&gt;")=0,"",SUMIFS(BD!$T$3:$T$5001,BD!$A$3:$A$5001,U$3,BD!$B$3:$B$5001,$A$267)))</f>
        <v/>
      </c>
      <c r="V285" s="244" t="str">
        <f>IF(V$3="","",IF(COUNTIFS(BD!$A$3:$A$5001,V$3,BD!$B$3:$B$5001,$A$267,BD!$T$3:$T$5001,"&lt;&gt;")=0,"",SUMIFS(BD!$T$3:$T$5001,BD!$A$3:$A$5001,V$3,BD!$B$3:$B$5001,$A$267)))</f>
        <v/>
      </c>
      <c r="W285" s="244" t="str">
        <f>IF(W$3="","",IF(COUNTIFS(BD!$A$3:$A$5001,W$3,BD!$B$3:$B$5001,$A$267,BD!$T$3:$T$5001,"&lt;&gt;")=0,"",SUMIFS(BD!$T$3:$T$5001,BD!$A$3:$A$5001,W$3,BD!$B$3:$B$5001,$A$267)))</f>
        <v/>
      </c>
      <c r="X285" s="244" t="str">
        <f>IF(X$3="","",IF(COUNTIFS(BD!$A$3:$A$5001,X$3,BD!$B$3:$B$5001,$A$267,BD!$T$3:$T$5001,"&lt;&gt;")=0,"",SUMIFS(BD!$T$3:$T$5001,BD!$A$3:$A$5001,X$3,BD!$B$3:$B$5001,$A$267)))</f>
        <v/>
      </c>
      <c r="Y285" s="244" t="str">
        <f>IF(Y$3="","",IF(COUNTIFS(BD!$A$3:$A$5001,Y$3,BD!$B$3:$B$5001,$A$267,BD!$T$3:$T$5001,"&lt;&gt;")=0,"",SUMIFS(BD!$T$3:$T$5001,BD!$A$3:$A$5001,Y$3,BD!$B$3:$B$5001,$A$267)))</f>
        <v/>
      </c>
      <c r="Z285" s="244" t="str">
        <f>IF(Z$3="","",IF(COUNTIFS(BD!$A$3:$A$5001,Z$3,BD!$B$3:$B$5001,$A$267,BD!$T$3:$T$5001,"&lt;&gt;")=0,"",SUMIFS(BD!$T$3:$T$5001,BD!$A$3:$A$5001,Z$3,BD!$B$3:$B$5001,$A$267)))</f>
        <v/>
      </c>
      <c r="AA285" s="244" t="str">
        <f>IF(AA$3="","",IF(COUNTIFS(BD!$A$3:$A$5001,AA$3,BD!$B$3:$B$5001,$A$267,BD!$T$3:$T$5001,"&lt;&gt;")=0,"",SUMIFS(BD!$T$3:$T$5001,BD!$A$3:$A$5001,AA$3,BD!$B$3:$B$5001,$A$267)))</f>
        <v/>
      </c>
      <c r="AB285" s="244" t="str">
        <f>IF(AB$3="","",IF(COUNTIFS(BD!$A$3:$A$5001,AB$3,BD!$B$3:$B$5001,$A$267,BD!$T$3:$T$5001,"&lt;&gt;")=0,"",SUMIFS(BD!$T$3:$T$5001,BD!$A$3:$A$5001,AB$3,BD!$B$3:$B$5001,$A$267)))</f>
        <v/>
      </c>
      <c r="AC285" s="244" t="str">
        <f>IF(AC$3="","",IF(COUNTIFS(BD!$A$3:$A$5001,AC$3,BD!$B$3:$B$5001,$A$267,BD!$T$3:$T$5001,"&lt;&gt;")=0,"",SUMIFS(BD!$T$3:$T$5001,BD!$A$3:$A$5001,AC$3,BD!$B$3:$B$5001,$A$267)))</f>
        <v/>
      </c>
      <c r="AD285" s="244" t="str">
        <f>IF(AD$3="","",IF(COUNTIFS(BD!$A$3:$A$5001,AD$3,BD!$B$3:$B$5001,$A$267,BD!$T$3:$T$5001,"&lt;&gt;")=0,"",SUMIFS(BD!$T$3:$T$5001,BD!$A$3:$A$5001,AD$3,BD!$B$3:$B$5001,$A$267)))</f>
        <v/>
      </c>
      <c r="AE285" s="244" t="str">
        <f>IF(AE$3="","",IF(COUNTIFS(BD!$A$3:$A$5001,AE$3,BD!$B$3:$B$5001,$A$267,BD!$T$3:$T$5001,"&lt;&gt;")=0,"",SUMIFS(BD!$T$3:$T$5001,BD!$A$3:$A$5001,AE$3,BD!$B$3:$B$5001,$A$267)))</f>
        <v/>
      </c>
      <c r="AF285" s="244" t="str">
        <f>IF(AF$3="","",IF(COUNTIFS(BD!$A$3:$A$5001,AF$3,BD!$B$3:$B$5001,$A$267,BD!$T$3:$T$5001,"&lt;&gt;")=0,"",SUMIFS(BD!$T$3:$T$5001,BD!$A$3:$A$5001,AF$3,BD!$B$3:$B$5001,$A$267)))</f>
        <v/>
      </c>
      <c r="AG285" s="244" t="str">
        <f>IF(AG$3="","",IF(COUNTIFS(BD!$A$3:$A$5001,AG$3,BD!$B$3:$B$5001,$A$267,BD!$T$3:$T$5001,"&lt;&gt;")=0,"",SUMIFS(BD!$T$3:$T$5001,BD!$A$3:$A$5001,AG$3,BD!$B$3:$B$5001,$A$267)))</f>
        <v/>
      </c>
      <c r="AH285" s="244" t="str">
        <f>IF(AH$3="","",IF(COUNTIFS(BD!$A$3:$A$5001,AH$3,BD!$B$3:$B$5001,$A$267,BD!$T$3:$T$5001,"&lt;&gt;")=0,"",SUMIFS(BD!$T$3:$T$5001,BD!$A$3:$A$5001,AH$3,BD!$B$3:$B$5001,$A$267)))</f>
        <v/>
      </c>
      <c r="AI285" s="244" t="str">
        <f>IF(AI$3="","",IF(COUNTIFS(BD!$A$3:$A$5001,AI$3,BD!$B$3:$B$5001,$A$267,BD!$T$3:$T$5001,"&lt;&gt;")=0,"",SUMIFS(BD!$T$3:$T$5001,BD!$A$3:$A$5001,AI$3,BD!$B$3:$B$5001,$A$267)))</f>
        <v/>
      </c>
      <c r="AJ285" s="245" t="str">
        <f>IF(AJ$3="","",IF(COUNTIFS(BD!$A$3:$A$5001,AJ$3,BD!$B$3:$B$5001,$A$267,BD!$T$3:$T$5001,"&lt;&gt;")=0,"",SUMIFS(BD!$T$3:$T$5001,BD!$A$3:$A$5001,AJ$3,BD!$B$3:$B$5001,$A$267)))</f>
        <v/>
      </c>
      <c r="AK285" s="246" t="str">
        <f>IFERROR(LOOKUP(9.99E+307,F285:AJ285),"")</f>
        <v/>
      </c>
    </row>
    <row r="286" ht="15.75" customHeight="1" hidden="1">
      <c r="A286" s="277"/>
      <c r="B286" s="274"/>
      <c r="C286" s="247" t="inlineStr">
        <is>
          <t xml:space="preserve">Falta</t>
        </is>
      </c>
      <c r="D286" s="248" t="str">
        <f>IFERROR(1/(1/INDEX(BD!$AF$42:$AZ$42,MATCH($A$267,BD!$AF$22:$AZ$22,0))),"")</f>
        <v/>
      </c>
      <c r="E286" s="249"/>
      <c r="F286" s="250" t="str">
        <f>IF(F$3="","",IF(COUNTIFS(BD!$A$3:$A$5001,F$3,BD!$B$3:$B$5001,$A$267,BD!$U$3:$U$5001,"&lt;&gt;")=0,"",SUMIFS(BD!$U$3:$U$5001,BD!$A$3:$A$5001,F$3,BD!$B$3:$B$5001,$A$267)))</f>
        <v/>
      </c>
      <c r="G286" s="251" t="str">
        <f>IF(G$3="","",IF(COUNTIFS(BD!$A$3:$A$5001,G$3,BD!$B$3:$B$5001,$A$267,BD!$U$3:$U$5001,"&lt;&gt;")=0,"",SUMIFS(BD!$U$3:$U$5001,BD!$A$3:$A$5001,G$3,BD!$B$3:$B$5001,$A$267)))</f>
        <v/>
      </c>
      <c r="H286" s="251" t="str">
        <f>IF(H$3="","",IF(COUNTIFS(BD!$A$3:$A$5001,H$3,BD!$B$3:$B$5001,$A$267,BD!$U$3:$U$5001,"&lt;&gt;")=0,"",SUMIFS(BD!$U$3:$U$5001,BD!$A$3:$A$5001,H$3,BD!$B$3:$B$5001,$A$267)))</f>
        <v/>
      </c>
      <c r="I286" s="251" t="str">
        <f>IF(I$3="","",IF(COUNTIFS(BD!$A$3:$A$5001,I$3,BD!$B$3:$B$5001,$A$267,BD!$U$3:$U$5001,"&lt;&gt;")=0,"",SUMIFS(BD!$U$3:$U$5001,BD!$A$3:$A$5001,I$3,BD!$B$3:$B$5001,$A$267)))</f>
        <v/>
      </c>
      <c r="J286" s="251" t="str">
        <f>IF(J$3="","",IF(COUNTIFS(BD!$A$3:$A$5001,J$3,BD!$B$3:$B$5001,$A$267,BD!$U$3:$U$5001,"&lt;&gt;")=0,"",SUMIFS(BD!$U$3:$U$5001,BD!$A$3:$A$5001,J$3,BD!$B$3:$B$5001,$A$267)))</f>
        <v/>
      </c>
      <c r="K286" s="251" t="str">
        <f>IF(K$3="","",IF(COUNTIFS(BD!$A$3:$A$5001,K$3,BD!$B$3:$B$5001,$A$267,BD!$U$3:$U$5001,"&lt;&gt;")=0,"",SUMIFS(BD!$U$3:$U$5001,BD!$A$3:$A$5001,K$3,BD!$B$3:$B$5001,$A$267)))</f>
        <v/>
      </c>
      <c r="L286" s="251" t="str">
        <f>IF(L$3="","",IF(COUNTIFS(BD!$A$3:$A$5001,L$3,BD!$B$3:$B$5001,$A$267,BD!$U$3:$U$5001,"&lt;&gt;")=0,"",SUMIFS(BD!$U$3:$U$5001,BD!$A$3:$A$5001,L$3,BD!$B$3:$B$5001,$A$267)))</f>
        <v/>
      </c>
      <c r="M286" s="251" t="str">
        <f>IF(M$3="","",IF(COUNTIFS(BD!$A$3:$A$5001,M$3,BD!$B$3:$B$5001,$A$267,BD!$U$3:$U$5001,"&lt;&gt;")=0,"",SUMIFS(BD!$U$3:$U$5001,BD!$A$3:$A$5001,M$3,BD!$B$3:$B$5001,$A$267)))</f>
        <v/>
      </c>
      <c r="N286" s="251" t="str">
        <f>IF(N$3="","",IF(COUNTIFS(BD!$A$3:$A$5001,N$3,BD!$B$3:$B$5001,$A$267,BD!$U$3:$U$5001,"&lt;&gt;")=0,"",SUMIFS(BD!$U$3:$U$5001,BD!$A$3:$A$5001,N$3,BD!$B$3:$B$5001,$A$267)))</f>
        <v/>
      </c>
      <c r="O286" s="251" t="str">
        <f>IF(O$3="","",IF(COUNTIFS(BD!$A$3:$A$5001,O$3,BD!$B$3:$B$5001,$A$267,BD!$U$3:$U$5001,"&lt;&gt;")=0,"",SUMIFS(BD!$U$3:$U$5001,BD!$A$3:$A$5001,O$3,BD!$B$3:$B$5001,$A$267)))</f>
        <v/>
      </c>
      <c r="P286" s="251" t="str">
        <f>IF(P$3="","",IF(COUNTIFS(BD!$A$3:$A$5001,P$3,BD!$B$3:$B$5001,$A$267,BD!$U$3:$U$5001,"&lt;&gt;")=0,"",SUMIFS(BD!$U$3:$U$5001,BD!$A$3:$A$5001,P$3,BD!$B$3:$B$5001,$A$267)))</f>
        <v/>
      </c>
      <c r="Q286" s="251" t="str">
        <f>IF(Q$3="","",IF(COUNTIFS(BD!$A$3:$A$5001,Q$3,BD!$B$3:$B$5001,$A$267,BD!$U$3:$U$5001,"&lt;&gt;")=0,"",SUMIFS(BD!$U$3:$U$5001,BD!$A$3:$A$5001,Q$3,BD!$B$3:$B$5001,$A$267)))</f>
        <v/>
      </c>
      <c r="R286" s="251" t="str">
        <f>IF(R$3="","",IF(COUNTIFS(BD!$A$3:$A$5001,R$3,BD!$B$3:$B$5001,$A$267,BD!$U$3:$U$5001,"&lt;&gt;")=0,"",SUMIFS(BD!$U$3:$U$5001,BD!$A$3:$A$5001,R$3,BD!$B$3:$B$5001,$A$267)))</f>
        <v/>
      </c>
      <c r="S286" s="251" t="str">
        <f>IF(S$3="","",IF(COUNTIFS(BD!$A$3:$A$5001,S$3,BD!$B$3:$B$5001,$A$267,BD!$U$3:$U$5001,"&lt;&gt;")=0,"",SUMIFS(BD!$U$3:$U$5001,BD!$A$3:$A$5001,S$3,BD!$B$3:$B$5001,$A$267)))</f>
        <v/>
      </c>
      <c r="T286" s="251" t="str">
        <f>IF(T$3="","",IF(COUNTIFS(BD!$A$3:$A$5001,T$3,BD!$B$3:$B$5001,$A$267,BD!$U$3:$U$5001,"&lt;&gt;")=0,"",SUMIFS(BD!$U$3:$U$5001,BD!$A$3:$A$5001,T$3,BD!$B$3:$B$5001,$A$267)))</f>
        <v/>
      </c>
      <c r="U286" s="251" t="str">
        <f>IF(U$3="","",IF(COUNTIFS(BD!$A$3:$A$5001,U$3,BD!$B$3:$B$5001,$A$267,BD!$U$3:$U$5001,"&lt;&gt;")=0,"",SUMIFS(BD!$U$3:$U$5001,BD!$A$3:$A$5001,U$3,BD!$B$3:$B$5001,$A$267)))</f>
        <v/>
      </c>
      <c r="V286" s="251" t="str">
        <f>IF(V$3="","",IF(COUNTIFS(BD!$A$3:$A$5001,V$3,BD!$B$3:$B$5001,$A$267,BD!$U$3:$U$5001,"&lt;&gt;")=0,"",SUMIFS(BD!$U$3:$U$5001,BD!$A$3:$A$5001,V$3,BD!$B$3:$B$5001,$A$267)))</f>
        <v/>
      </c>
      <c r="W286" s="251" t="str">
        <f>IF(W$3="","",IF(COUNTIFS(BD!$A$3:$A$5001,W$3,BD!$B$3:$B$5001,$A$267,BD!$U$3:$U$5001,"&lt;&gt;")=0,"",SUMIFS(BD!$U$3:$U$5001,BD!$A$3:$A$5001,W$3,BD!$B$3:$B$5001,$A$267)))</f>
        <v/>
      </c>
      <c r="X286" s="251" t="str">
        <f>IF(X$3="","",IF(COUNTIFS(BD!$A$3:$A$5001,X$3,BD!$B$3:$B$5001,$A$267,BD!$U$3:$U$5001,"&lt;&gt;")=0,"",SUMIFS(BD!$U$3:$U$5001,BD!$A$3:$A$5001,X$3,BD!$B$3:$B$5001,$A$267)))</f>
        <v/>
      </c>
      <c r="Y286" s="251" t="str">
        <f>IF(Y$3="","",IF(COUNTIFS(BD!$A$3:$A$5001,Y$3,BD!$B$3:$B$5001,$A$267,BD!$U$3:$U$5001,"&lt;&gt;")=0,"",SUMIFS(BD!$U$3:$U$5001,BD!$A$3:$A$5001,Y$3,BD!$B$3:$B$5001,$A$267)))</f>
        <v/>
      </c>
      <c r="Z286" s="251" t="str">
        <f>IF(Z$3="","",IF(COUNTIFS(BD!$A$3:$A$5001,Z$3,BD!$B$3:$B$5001,$A$267,BD!$U$3:$U$5001,"&lt;&gt;")=0,"",SUMIFS(BD!$U$3:$U$5001,BD!$A$3:$A$5001,Z$3,BD!$B$3:$B$5001,$A$267)))</f>
        <v/>
      </c>
      <c r="AA286" s="251" t="str">
        <f>IF(AA$3="","",IF(COUNTIFS(BD!$A$3:$A$5001,AA$3,BD!$B$3:$B$5001,$A$267,BD!$U$3:$U$5001,"&lt;&gt;")=0,"",SUMIFS(BD!$U$3:$U$5001,BD!$A$3:$A$5001,AA$3,BD!$B$3:$B$5001,$A$267)))</f>
        <v/>
      </c>
      <c r="AB286" s="251" t="str">
        <f>IF(AB$3="","",IF(COUNTIFS(BD!$A$3:$A$5001,AB$3,BD!$B$3:$B$5001,$A$267,BD!$U$3:$U$5001,"&lt;&gt;")=0,"",SUMIFS(BD!$U$3:$U$5001,BD!$A$3:$A$5001,AB$3,BD!$B$3:$B$5001,$A$267)))</f>
        <v/>
      </c>
      <c r="AC286" s="251" t="str">
        <f>IF(AC$3="","",IF(COUNTIFS(BD!$A$3:$A$5001,AC$3,BD!$B$3:$B$5001,$A$267,BD!$U$3:$U$5001,"&lt;&gt;")=0,"",SUMIFS(BD!$U$3:$U$5001,BD!$A$3:$A$5001,AC$3,BD!$B$3:$B$5001,$A$267)))</f>
        <v/>
      </c>
      <c r="AD286" s="251" t="str">
        <f>IF(AD$3="","",IF(COUNTIFS(BD!$A$3:$A$5001,AD$3,BD!$B$3:$B$5001,$A$267,BD!$U$3:$U$5001,"&lt;&gt;")=0,"",SUMIFS(BD!$U$3:$U$5001,BD!$A$3:$A$5001,AD$3,BD!$B$3:$B$5001,$A$267)))</f>
        <v/>
      </c>
      <c r="AE286" s="251" t="str">
        <f>IF(AE$3="","",IF(COUNTIFS(BD!$A$3:$A$5001,AE$3,BD!$B$3:$B$5001,$A$267,BD!$U$3:$U$5001,"&lt;&gt;")=0,"",SUMIFS(BD!$U$3:$U$5001,BD!$A$3:$A$5001,AE$3,BD!$B$3:$B$5001,$A$267)))</f>
        <v/>
      </c>
      <c r="AF286" s="251" t="str">
        <f>IF(AF$3="","",IF(COUNTIFS(BD!$A$3:$A$5001,AF$3,BD!$B$3:$B$5001,$A$267,BD!$U$3:$U$5001,"&lt;&gt;")=0,"",SUMIFS(BD!$U$3:$U$5001,BD!$A$3:$A$5001,AF$3,BD!$B$3:$B$5001,$A$267)))</f>
        <v/>
      </c>
      <c r="AG286" s="251" t="str">
        <f>IF(AG$3="","",IF(COUNTIFS(BD!$A$3:$A$5001,AG$3,BD!$B$3:$B$5001,$A$267,BD!$U$3:$U$5001,"&lt;&gt;")=0,"",SUMIFS(BD!$U$3:$U$5001,BD!$A$3:$A$5001,AG$3,BD!$B$3:$B$5001,$A$267)))</f>
        <v/>
      </c>
      <c r="AH286" s="251" t="str">
        <f>IF(AH$3="","",IF(COUNTIFS(BD!$A$3:$A$5001,AH$3,BD!$B$3:$B$5001,$A$267,BD!$U$3:$U$5001,"&lt;&gt;")=0,"",SUMIFS(BD!$U$3:$U$5001,BD!$A$3:$A$5001,AH$3,BD!$B$3:$B$5001,$A$267)))</f>
        <v/>
      </c>
      <c r="AI286" s="251" t="str">
        <f>IF(AI$3="","",IF(COUNTIFS(BD!$A$3:$A$5001,AI$3,BD!$B$3:$B$5001,$A$267,BD!$U$3:$U$5001,"&lt;&gt;")=0,"",SUMIFS(BD!$U$3:$U$5001,BD!$A$3:$A$5001,AI$3,BD!$B$3:$B$5001,$A$267)))</f>
        <v/>
      </c>
      <c r="AJ286" s="252" t="str">
        <f>IF(AJ$3="","",IF(COUNTIFS(BD!$A$3:$A$5001,AJ$3,BD!$B$3:$B$5001,$A$267,BD!$U$3:$U$5001,"&lt;&gt;")=0,"",SUMIFS(BD!$U$3:$U$5001,BD!$A$3:$A$5001,AJ$3,BD!$B$3:$B$5001,$A$267)))</f>
        <v/>
      </c>
      <c r="AK286" s="253" t="str">
        <f>IF(COUNT(F286:AJ286)=0,"",SUM(F286:AJ286))</f>
        <v/>
      </c>
    </row>
    <row r="287" ht="15.75" customHeight="1" hidden="1">
      <c r="A287" s="277"/>
      <c r="B287" s="274"/>
      <c r="C287" s="247" t="inlineStr">
        <is>
          <t xml:space="preserve">Absenteísmo (H/H)</t>
        </is>
      </c>
      <c r="D287" s="248" t="str">
        <f>IFERROR(1/(1/INDEX(BD!$AF$43:$AZ$43,MATCH($A$267,BD!$AF$22:$AZ$22,0))),"")</f>
        <v/>
      </c>
      <c r="E287" s="249"/>
      <c r="F287" s="254" t="str">
        <f>IF(F$3="","",IF(COUNTIFS(BD!$A$3:$A$5001,F$3,BD!$B$3:$B$5001,$A$267,BD!$V$3:$V$5001,"&lt;&gt;")=0,"",SUMIFS(BD!$V$3:$V$5001,BD!$A$3:$A$5001,F$3,BD!$B$3:$B$5001,$A$267)))</f>
        <v/>
      </c>
      <c r="G287" s="255" t="str">
        <f>IF(G$3="","",IF(COUNTIFS(BD!$A$3:$A$5001,G$3,BD!$B$3:$B$5001,$A$267,BD!$V$3:$V$5001,"&lt;&gt;")=0,"",SUMIFS(BD!$V$3:$V$5001,BD!$A$3:$A$5001,G$3,BD!$B$3:$B$5001,$A$267)))</f>
        <v/>
      </c>
      <c r="H287" s="255" t="str">
        <f>IF(H$3="","",IF(COUNTIFS(BD!$A$3:$A$5001,H$3,BD!$B$3:$B$5001,$A$267,BD!$V$3:$V$5001,"&lt;&gt;")=0,"",SUMIFS(BD!$V$3:$V$5001,BD!$A$3:$A$5001,H$3,BD!$B$3:$B$5001,$A$267)))</f>
        <v/>
      </c>
      <c r="I287" s="255" t="str">
        <f>IF(I$3="","",IF(COUNTIFS(BD!$A$3:$A$5001,I$3,BD!$B$3:$B$5001,$A$267,BD!$V$3:$V$5001,"&lt;&gt;")=0,"",SUMIFS(BD!$V$3:$V$5001,BD!$A$3:$A$5001,I$3,BD!$B$3:$B$5001,$A$267)))</f>
        <v/>
      </c>
      <c r="J287" s="255" t="str">
        <f>IF(J$3="","",IF(COUNTIFS(BD!$A$3:$A$5001,J$3,BD!$B$3:$B$5001,$A$267,BD!$V$3:$V$5001,"&lt;&gt;")=0,"",SUMIFS(BD!$V$3:$V$5001,BD!$A$3:$A$5001,J$3,BD!$B$3:$B$5001,$A$267)))</f>
        <v/>
      </c>
      <c r="K287" s="255" t="str">
        <f>IF(K$3="","",IF(COUNTIFS(BD!$A$3:$A$5001,K$3,BD!$B$3:$B$5001,$A$267,BD!$V$3:$V$5001,"&lt;&gt;")=0,"",SUMIFS(BD!$V$3:$V$5001,BD!$A$3:$A$5001,K$3,BD!$B$3:$B$5001,$A$267)))</f>
        <v/>
      </c>
      <c r="L287" s="255" t="str">
        <f>IF(L$3="","",IF(COUNTIFS(BD!$A$3:$A$5001,L$3,BD!$B$3:$B$5001,$A$267,BD!$V$3:$V$5001,"&lt;&gt;")=0,"",SUMIFS(BD!$V$3:$V$5001,BD!$A$3:$A$5001,L$3,BD!$B$3:$B$5001,$A$267)))</f>
        <v/>
      </c>
      <c r="M287" s="255" t="str">
        <f>IF(M$3="","",IF(COUNTIFS(BD!$A$3:$A$5001,M$3,BD!$B$3:$B$5001,$A$267,BD!$V$3:$V$5001,"&lt;&gt;")=0,"",SUMIFS(BD!$V$3:$V$5001,BD!$A$3:$A$5001,M$3,BD!$B$3:$B$5001,$A$267)))</f>
        <v/>
      </c>
      <c r="N287" s="255" t="str">
        <f>IF(N$3="","",IF(COUNTIFS(BD!$A$3:$A$5001,N$3,BD!$B$3:$B$5001,$A$267,BD!$V$3:$V$5001,"&lt;&gt;")=0,"",SUMIFS(BD!$V$3:$V$5001,BD!$A$3:$A$5001,N$3,BD!$B$3:$B$5001,$A$267)))</f>
        <v/>
      </c>
      <c r="O287" s="255" t="str">
        <f>IF(O$3="","",IF(COUNTIFS(BD!$A$3:$A$5001,O$3,BD!$B$3:$B$5001,$A$267,BD!$V$3:$V$5001,"&lt;&gt;")=0,"",SUMIFS(BD!$V$3:$V$5001,BD!$A$3:$A$5001,O$3,BD!$B$3:$B$5001,$A$267)))</f>
        <v/>
      </c>
      <c r="P287" s="255" t="str">
        <f>IF(P$3="","",IF(COUNTIFS(BD!$A$3:$A$5001,P$3,BD!$B$3:$B$5001,$A$267,BD!$V$3:$V$5001,"&lt;&gt;")=0,"",SUMIFS(BD!$V$3:$V$5001,BD!$A$3:$A$5001,P$3,BD!$B$3:$B$5001,$A$267)))</f>
        <v/>
      </c>
      <c r="Q287" s="255" t="str">
        <f>IF(Q$3="","",IF(COUNTIFS(BD!$A$3:$A$5001,Q$3,BD!$B$3:$B$5001,$A$267,BD!$V$3:$V$5001,"&lt;&gt;")=0,"",SUMIFS(BD!$V$3:$V$5001,BD!$A$3:$A$5001,Q$3,BD!$B$3:$B$5001,$A$267)))</f>
        <v/>
      </c>
      <c r="R287" s="255" t="str">
        <f>IF(R$3="","",IF(COUNTIFS(BD!$A$3:$A$5001,R$3,BD!$B$3:$B$5001,$A$267,BD!$V$3:$V$5001,"&lt;&gt;")=0,"",SUMIFS(BD!$V$3:$V$5001,BD!$A$3:$A$5001,R$3,BD!$B$3:$B$5001,$A$267)))</f>
        <v/>
      </c>
      <c r="S287" s="255" t="str">
        <f>IF(S$3="","",IF(COUNTIFS(BD!$A$3:$A$5001,S$3,BD!$B$3:$B$5001,$A$267,BD!$V$3:$V$5001,"&lt;&gt;")=0,"",SUMIFS(BD!$V$3:$V$5001,BD!$A$3:$A$5001,S$3,BD!$B$3:$B$5001,$A$267)))</f>
        <v/>
      </c>
      <c r="T287" s="255" t="str">
        <f>IF(T$3="","",IF(COUNTIFS(BD!$A$3:$A$5001,T$3,BD!$B$3:$B$5001,$A$267,BD!$V$3:$V$5001,"&lt;&gt;")=0,"",SUMIFS(BD!$V$3:$V$5001,BD!$A$3:$A$5001,T$3,BD!$B$3:$B$5001,$A$267)))</f>
        <v/>
      </c>
      <c r="U287" s="255" t="str">
        <f>IF(U$3="","",IF(COUNTIFS(BD!$A$3:$A$5001,U$3,BD!$B$3:$B$5001,$A$267,BD!$V$3:$V$5001,"&lt;&gt;")=0,"",SUMIFS(BD!$V$3:$V$5001,BD!$A$3:$A$5001,U$3,BD!$B$3:$B$5001,$A$267)))</f>
        <v/>
      </c>
      <c r="V287" s="255" t="str">
        <f>IF(V$3="","",IF(COUNTIFS(BD!$A$3:$A$5001,V$3,BD!$B$3:$B$5001,$A$267,BD!$V$3:$V$5001,"&lt;&gt;")=0,"",SUMIFS(BD!$V$3:$V$5001,BD!$A$3:$A$5001,V$3,BD!$B$3:$B$5001,$A$267)))</f>
        <v/>
      </c>
      <c r="W287" s="255" t="str">
        <f>IF(W$3="","",IF(COUNTIFS(BD!$A$3:$A$5001,W$3,BD!$B$3:$B$5001,$A$267,BD!$V$3:$V$5001,"&lt;&gt;")=0,"",SUMIFS(BD!$V$3:$V$5001,BD!$A$3:$A$5001,W$3,BD!$B$3:$B$5001,$A$267)))</f>
        <v/>
      </c>
      <c r="X287" s="255" t="str">
        <f>IF(X$3="","",IF(COUNTIFS(BD!$A$3:$A$5001,X$3,BD!$B$3:$B$5001,$A$267,BD!$V$3:$V$5001,"&lt;&gt;")=0,"",SUMIFS(BD!$V$3:$V$5001,BD!$A$3:$A$5001,X$3,BD!$B$3:$B$5001,$A$267)))</f>
        <v/>
      </c>
      <c r="Y287" s="255" t="str">
        <f>IF(Y$3="","",IF(COUNTIFS(BD!$A$3:$A$5001,Y$3,BD!$B$3:$B$5001,$A$267,BD!$V$3:$V$5001,"&lt;&gt;")=0,"",SUMIFS(BD!$V$3:$V$5001,BD!$A$3:$A$5001,Y$3,BD!$B$3:$B$5001,$A$267)))</f>
        <v/>
      </c>
      <c r="Z287" s="255" t="str">
        <f>IF(Z$3="","",IF(COUNTIFS(BD!$A$3:$A$5001,Z$3,BD!$B$3:$B$5001,$A$267,BD!$V$3:$V$5001,"&lt;&gt;")=0,"",SUMIFS(BD!$V$3:$V$5001,BD!$A$3:$A$5001,Z$3,BD!$B$3:$B$5001,$A$267)))</f>
        <v/>
      </c>
      <c r="AA287" s="255" t="str">
        <f>IF(AA$3="","",IF(COUNTIFS(BD!$A$3:$A$5001,AA$3,BD!$B$3:$B$5001,$A$267,BD!$V$3:$V$5001,"&lt;&gt;")=0,"",SUMIFS(BD!$V$3:$V$5001,BD!$A$3:$A$5001,AA$3,BD!$B$3:$B$5001,$A$267)))</f>
        <v/>
      </c>
      <c r="AB287" s="255" t="str">
        <f>IF(AB$3="","",IF(COUNTIFS(BD!$A$3:$A$5001,AB$3,BD!$B$3:$B$5001,$A$267,BD!$V$3:$V$5001,"&lt;&gt;")=0,"",SUMIFS(BD!$V$3:$V$5001,BD!$A$3:$A$5001,AB$3,BD!$B$3:$B$5001,$A$267)))</f>
        <v/>
      </c>
      <c r="AC287" s="255" t="str">
        <f>IF(AC$3="","",IF(COUNTIFS(BD!$A$3:$A$5001,AC$3,BD!$B$3:$B$5001,$A$267,BD!$V$3:$V$5001,"&lt;&gt;")=0,"",SUMIFS(BD!$V$3:$V$5001,BD!$A$3:$A$5001,AC$3,BD!$B$3:$B$5001,$A$267)))</f>
        <v/>
      </c>
      <c r="AD287" s="255" t="str">
        <f>IF(AD$3="","",IF(COUNTIFS(BD!$A$3:$A$5001,AD$3,BD!$B$3:$B$5001,$A$267,BD!$V$3:$V$5001,"&lt;&gt;")=0,"",SUMIFS(BD!$V$3:$V$5001,BD!$A$3:$A$5001,AD$3,BD!$B$3:$B$5001,$A$267)))</f>
        <v/>
      </c>
      <c r="AE287" s="255" t="str">
        <f>IF(AE$3="","",IF(COUNTIFS(BD!$A$3:$A$5001,AE$3,BD!$B$3:$B$5001,$A$267,BD!$V$3:$V$5001,"&lt;&gt;")=0,"",SUMIFS(BD!$V$3:$V$5001,BD!$A$3:$A$5001,AE$3,BD!$B$3:$B$5001,$A$267)))</f>
        <v/>
      </c>
      <c r="AF287" s="255" t="str">
        <f>IF(AF$3="","",IF(COUNTIFS(BD!$A$3:$A$5001,AF$3,BD!$B$3:$B$5001,$A$267,BD!$V$3:$V$5001,"&lt;&gt;")=0,"",SUMIFS(BD!$V$3:$V$5001,BD!$A$3:$A$5001,AF$3,BD!$B$3:$B$5001,$A$267)))</f>
        <v/>
      </c>
      <c r="AG287" s="255" t="str">
        <f>IF(AG$3="","",IF(COUNTIFS(BD!$A$3:$A$5001,AG$3,BD!$B$3:$B$5001,$A$267,BD!$V$3:$V$5001,"&lt;&gt;")=0,"",SUMIFS(BD!$V$3:$V$5001,BD!$A$3:$A$5001,AG$3,BD!$B$3:$B$5001,$A$267)))</f>
        <v/>
      </c>
      <c r="AH287" s="255" t="str">
        <f>IF(AH$3="","",IF(COUNTIFS(BD!$A$3:$A$5001,AH$3,BD!$B$3:$B$5001,$A$267,BD!$V$3:$V$5001,"&lt;&gt;")=0,"",SUMIFS(BD!$V$3:$V$5001,BD!$A$3:$A$5001,AH$3,BD!$B$3:$B$5001,$A$267)))</f>
        <v/>
      </c>
      <c r="AI287" s="255" t="str">
        <f>IF(AI$3="","",IF(COUNTIFS(BD!$A$3:$A$5001,AI$3,BD!$B$3:$B$5001,$A$267,BD!$V$3:$V$5001,"&lt;&gt;")=0,"",SUMIFS(BD!$V$3:$V$5001,BD!$A$3:$A$5001,AI$3,BD!$B$3:$B$5001,$A$267)))</f>
        <v/>
      </c>
      <c r="AJ287" s="256" t="str">
        <f>IF(AJ$3="","",IF(COUNTIFS(BD!$A$3:$A$5001,AJ$3,BD!$B$3:$B$5001,$A$267,BD!$V$3:$V$5001,"&lt;&gt;")=0,"",SUMIFS(BD!$V$3:$V$5001,BD!$A$3:$A$5001,AJ$3,BD!$B$3:$B$5001,$A$267)))</f>
        <v/>
      </c>
      <c r="AK287" s="257" t="str">
        <f>IF(COUNT(F287:AJ287)=0,"",SUM(F287:AJ287))</f>
        <v/>
      </c>
    </row>
    <row r="288" ht="15.75" customHeight="1" hidden="1">
      <c r="A288" s="277"/>
      <c r="B288" s="274"/>
      <c r="C288" s="247" t="inlineStr">
        <is>
          <t xml:space="preserve">Folga</t>
        </is>
      </c>
      <c r="D288" s="248" t="str">
        <f>IFERROR(1/(1/INDEX(BD!$AF$44:$AZ$44,MATCH($A$267,BD!$AF$22:$AZ$22,0))),"")</f>
        <v/>
      </c>
      <c r="E288" s="249"/>
      <c r="F288" s="250" t="str">
        <f>IF(F$3="","",IF(COUNTIFS(BD!$A$3:$A$5001,F$3,BD!$B$3:$B$5001,$A$267,BD!$W$3:$W$5001,"&lt;&gt;")=0,"",SUMIFS(BD!$W$3:$W$5001,BD!$A$3:$A$5001,F$3,BD!$B$3:$B$5001,$A$267)))</f>
        <v/>
      </c>
      <c r="G288" s="251" t="str">
        <f>IF(G$3="","",IF(COUNTIFS(BD!$A$3:$A$5001,G$3,BD!$B$3:$B$5001,$A$267,BD!$W$3:$W$5001,"&lt;&gt;")=0,"",SUMIFS(BD!$W$3:$W$5001,BD!$A$3:$A$5001,G$3,BD!$B$3:$B$5001,$A$267)))</f>
        <v/>
      </c>
      <c r="H288" s="251" t="str">
        <f>IF(H$3="","",IF(COUNTIFS(BD!$A$3:$A$5001,H$3,BD!$B$3:$B$5001,$A$267,BD!$W$3:$W$5001,"&lt;&gt;")=0,"",SUMIFS(BD!$W$3:$W$5001,BD!$A$3:$A$5001,H$3,BD!$B$3:$B$5001,$A$267)))</f>
        <v/>
      </c>
      <c r="I288" s="251" t="str">
        <f>IF(I$3="","",IF(COUNTIFS(BD!$A$3:$A$5001,I$3,BD!$B$3:$B$5001,$A$267,BD!$W$3:$W$5001,"&lt;&gt;")=0,"",SUMIFS(BD!$W$3:$W$5001,BD!$A$3:$A$5001,I$3,BD!$B$3:$B$5001,$A$267)))</f>
        <v/>
      </c>
      <c r="J288" s="251" t="str">
        <f>IF(J$3="","",IF(COUNTIFS(BD!$A$3:$A$5001,J$3,BD!$B$3:$B$5001,$A$267,BD!$W$3:$W$5001,"&lt;&gt;")=0,"",SUMIFS(BD!$W$3:$W$5001,BD!$A$3:$A$5001,J$3,BD!$B$3:$B$5001,$A$267)))</f>
        <v/>
      </c>
      <c r="K288" s="251" t="str">
        <f>IF(K$3="","",IF(COUNTIFS(BD!$A$3:$A$5001,K$3,BD!$B$3:$B$5001,$A$267,BD!$W$3:$W$5001,"&lt;&gt;")=0,"",SUMIFS(BD!$W$3:$W$5001,BD!$A$3:$A$5001,K$3,BD!$B$3:$B$5001,$A$267)))</f>
        <v/>
      </c>
      <c r="L288" s="251" t="str">
        <f>IF(L$3="","",IF(COUNTIFS(BD!$A$3:$A$5001,L$3,BD!$B$3:$B$5001,$A$267,BD!$W$3:$W$5001,"&lt;&gt;")=0,"",SUMIFS(BD!$W$3:$W$5001,BD!$A$3:$A$5001,L$3,BD!$B$3:$B$5001,$A$267)))</f>
        <v/>
      </c>
      <c r="M288" s="251" t="str">
        <f>IF(M$3="","",IF(COUNTIFS(BD!$A$3:$A$5001,M$3,BD!$B$3:$B$5001,$A$267,BD!$W$3:$W$5001,"&lt;&gt;")=0,"",SUMIFS(BD!$W$3:$W$5001,BD!$A$3:$A$5001,M$3,BD!$B$3:$B$5001,$A$267)))</f>
        <v/>
      </c>
      <c r="N288" s="251" t="str">
        <f>IF(N$3="","",IF(COUNTIFS(BD!$A$3:$A$5001,N$3,BD!$B$3:$B$5001,$A$267,BD!$W$3:$W$5001,"&lt;&gt;")=0,"",SUMIFS(BD!$W$3:$W$5001,BD!$A$3:$A$5001,N$3,BD!$B$3:$B$5001,$A$267)))</f>
        <v/>
      </c>
      <c r="O288" s="251" t="str">
        <f>IF(O$3="","",IF(COUNTIFS(BD!$A$3:$A$5001,O$3,BD!$B$3:$B$5001,$A$267,BD!$W$3:$W$5001,"&lt;&gt;")=0,"",SUMIFS(BD!$W$3:$W$5001,BD!$A$3:$A$5001,O$3,BD!$B$3:$B$5001,$A$267)))</f>
        <v/>
      </c>
      <c r="P288" s="251" t="str">
        <f>IF(P$3="","",IF(COUNTIFS(BD!$A$3:$A$5001,P$3,BD!$B$3:$B$5001,$A$267,BD!$W$3:$W$5001,"&lt;&gt;")=0,"",SUMIFS(BD!$W$3:$W$5001,BD!$A$3:$A$5001,P$3,BD!$B$3:$B$5001,$A$267)))</f>
        <v/>
      </c>
      <c r="Q288" s="251" t="str">
        <f>IF(Q$3="","",IF(COUNTIFS(BD!$A$3:$A$5001,Q$3,BD!$B$3:$B$5001,$A$267,BD!$W$3:$W$5001,"&lt;&gt;")=0,"",SUMIFS(BD!$W$3:$W$5001,BD!$A$3:$A$5001,Q$3,BD!$B$3:$B$5001,$A$267)))</f>
        <v/>
      </c>
      <c r="R288" s="251" t="str">
        <f>IF(R$3="","",IF(COUNTIFS(BD!$A$3:$A$5001,R$3,BD!$B$3:$B$5001,$A$267,BD!$W$3:$W$5001,"&lt;&gt;")=0,"",SUMIFS(BD!$W$3:$W$5001,BD!$A$3:$A$5001,R$3,BD!$B$3:$B$5001,$A$267)))</f>
        <v/>
      </c>
      <c r="S288" s="251" t="str">
        <f>IF(S$3="","",IF(COUNTIFS(BD!$A$3:$A$5001,S$3,BD!$B$3:$B$5001,$A$267,BD!$W$3:$W$5001,"&lt;&gt;")=0,"",SUMIFS(BD!$W$3:$W$5001,BD!$A$3:$A$5001,S$3,BD!$B$3:$B$5001,$A$267)))</f>
        <v/>
      </c>
      <c r="T288" s="251" t="str">
        <f>IF(T$3="","",IF(COUNTIFS(BD!$A$3:$A$5001,T$3,BD!$B$3:$B$5001,$A$267,BD!$W$3:$W$5001,"&lt;&gt;")=0,"",SUMIFS(BD!$W$3:$W$5001,BD!$A$3:$A$5001,T$3,BD!$B$3:$B$5001,$A$267)))</f>
        <v/>
      </c>
      <c r="U288" s="251" t="str">
        <f>IF(U$3="","",IF(COUNTIFS(BD!$A$3:$A$5001,U$3,BD!$B$3:$B$5001,$A$267,BD!$W$3:$W$5001,"&lt;&gt;")=0,"",SUMIFS(BD!$W$3:$W$5001,BD!$A$3:$A$5001,U$3,BD!$B$3:$B$5001,$A$267)))</f>
        <v/>
      </c>
      <c r="V288" s="251" t="str">
        <f>IF(V$3="","",IF(COUNTIFS(BD!$A$3:$A$5001,V$3,BD!$B$3:$B$5001,$A$267,BD!$W$3:$W$5001,"&lt;&gt;")=0,"",SUMIFS(BD!$W$3:$W$5001,BD!$A$3:$A$5001,V$3,BD!$B$3:$B$5001,$A$267)))</f>
        <v/>
      </c>
      <c r="W288" s="251" t="str">
        <f>IF(W$3="","",IF(COUNTIFS(BD!$A$3:$A$5001,W$3,BD!$B$3:$B$5001,$A$267,BD!$W$3:$W$5001,"&lt;&gt;")=0,"",SUMIFS(BD!$W$3:$W$5001,BD!$A$3:$A$5001,W$3,BD!$B$3:$B$5001,$A$267)))</f>
        <v/>
      </c>
      <c r="X288" s="251" t="str">
        <f>IF(X$3="","",IF(COUNTIFS(BD!$A$3:$A$5001,X$3,BD!$B$3:$B$5001,$A$267,BD!$W$3:$W$5001,"&lt;&gt;")=0,"",SUMIFS(BD!$W$3:$W$5001,BD!$A$3:$A$5001,X$3,BD!$B$3:$B$5001,$A$267)))</f>
        <v/>
      </c>
      <c r="Y288" s="251" t="str">
        <f>IF(Y$3="","",IF(COUNTIFS(BD!$A$3:$A$5001,Y$3,BD!$B$3:$B$5001,$A$267,BD!$W$3:$W$5001,"&lt;&gt;")=0,"",SUMIFS(BD!$W$3:$W$5001,BD!$A$3:$A$5001,Y$3,BD!$B$3:$B$5001,$A$267)))</f>
        <v/>
      </c>
      <c r="Z288" s="251" t="str">
        <f>IF(Z$3="","",IF(COUNTIFS(BD!$A$3:$A$5001,Z$3,BD!$B$3:$B$5001,$A$267,BD!$W$3:$W$5001,"&lt;&gt;")=0,"",SUMIFS(BD!$W$3:$W$5001,BD!$A$3:$A$5001,Z$3,BD!$B$3:$B$5001,$A$267)))</f>
        <v/>
      </c>
      <c r="AA288" s="251" t="str">
        <f>IF(AA$3="","",IF(COUNTIFS(BD!$A$3:$A$5001,AA$3,BD!$B$3:$B$5001,$A$267,BD!$W$3:$W$5001,"&lt;&gt;")=0,"",SUMIFS(BD!$W$3:$W$5001,BD!$A$3:$A$5001,AA$3,BD!$B$3:$B$5001,$A$267)))</f>
        <v/>
      </c>
      <c r="AB288" s="251" t="str">
        <f>IF(AB$3="","",IF(COUNTIFS(BD!$A$3:$A$5001,AB$3,BD!$B$3:$B$5001,$A$267,BD!$W$3:$W$5001,"&lt;&gt;")=0,"",SUMIFS(BD!$W$3:$W$5001,BD!$A$3:$A$5001,AB$3,BD!$B$3:$B$5001,$A$267)))</f>
        <v/>
      </c>
      <c r="AC288" s="251" t="str">
        <f>IF(AC$3="","",IF(COUNTIFS(BD!$A$3:$A$5001,AC$3,BD!$B$3:$B$5001,$A$267,BD!$W$3:$W$5001,"&lt;&gt;")=0,"",SUMIFS(BD!$W$3:$W$5001,BD!$A$3:$A$5001,AC$3,BD!$B$3:$B$5001,$A$267)))</f>
        <v/>
      </c>
      <c r="AD288" s="251" t="str">
        <f>IF(AD$3="","",IF(COUNTIFS(BD!$A$3:$A$5001,AD$3,BD!$B$3:$B$5001,$A$267,BD!$W$3:$W$5001,"&lt;&gt;")=0,"",SUMIFS(BD!$W$3:$W$5001,BD!$A$3:$A$5001,AD$3,BD!$B$3:$B$5001,$A$267)))</f>
        <v/>
      </c>
      <c r="AE288" s="251" t="str">
        <f>IF(AE$3="","",IF(COUNTIFS(BD!$A$3:$A$5001,AE$3,BD!$B$3:$B$5001,$A$267,BD!$W$3:$W$5001,"&lt;&gt;")=0,"",SUMIFS(BD!$W$3:$W$5001,BD!$A$3:$A$5001,AE$3,BD!$B$3:$B$5001,$A$267)))</f>
        <v/>
      </c>
      <c r="AF288" s="251" t="str">
        <f>IF(AF$3="","",IF(COUNTIFS(BD!$A$3:$A$5001,AF$3,BD!$B$3:$B$5001,$A$267,BD!$W$3:$W$5001,"&lt;&gt;")=0,"",SUMIFS(BD!$W$3:$W$5001,BD!$A$3:$A$5001,AF$3,BD!$B$3:$B$5001,$A$267)))</f>
        <v/>
      </c>
      <c r="AG288" s="251" t="str">
        <f>IF(AG$3="","",IF(COUNTIFS(BD!$A$3:$A$5001,AG$3,BD!$B$3:$B$5001,$A$267,BD!$W$3:$W$5001,"&lt;&gt;")=0,"",SUMIFS(BD!$W$3:$W$5001,BD!$A$3:$A$5001,AG$3,BD!$B$3:$B$5001,$A$267)))</f>
        <v/>
      </c>
      <c r="AH288" s="251" t="str">
        <f>IF(AH$3="","",IF(COUNTIFS(BD!$A$3:$A$5001,AH$3,BD!$B$3:$B$5001,$A$267,BD!$W$3:$W$5001,"&lt;&gt;")=0,"",SUMIFS(BD!$W$3:$W$5001,BD!$A$3:$A$5001,AH$3,BD!$B$3:$B$5001,$A$267)))</f>
        <v/>
      </c>
      <c r="AI288" s="251" t="str">
        <f>IF(AI$3="","",IF(COUNTIFS(BD!$A$3:$A$5001,AI$3,BD!$B$3:$B$5001,$A$267,BD!$W$3:$W$5001,"&lt;&gt;")=0,"",SUMIFS(BD!$W$3:$W$5001,BD!$A$3:$A$5001,AI$3,BD!$B$3:$B$5001,$A$267)))</f>
        <v/>
      </c>
      <c r="AJ288" s="252" t="str">
        <f>IF(AJ$3="","",IF(COUNTIFS(BD!$A$3:$A$5001,AJ$3,BD!$B$3:$B$5001,$A$267,BD!$W$3:$W$5001,"&lt;&gt;")=0,"",SUMIFS(BD!$W$3:$W$5001,BD!$A$3:$A$5001,AJ$3,BD!$B$3:$B$5001,$A$267)))</f>
        <v/>
      </c>
      <c r="AK288" s="253" t="str">
        <f>IF(COUNT(F288:AJ288)=0,"",SUM(F288:AJ288))</f>
        <v/>
      </c>
    </row>
    <row r="289" ht="15.75" customHeight="1" hidden="1">
      <c r="A289" s="277"/>
      <c r="B289" s="274"/>
      <c r="C289" s="247" t="inlineStr">
        <is>
          <t xml:space="preserve">Férias</t>
        </is>
      </c>
      <c r="D289" s="248" t="str">
        <f>IFERROR(1/(1/INDEX(BD!$AF$45:$AZ$45,MATCH($A$267,BD!$AF$22:$AZ$22,0))),"")</f>
        <v/>
      </c>
      <c r="E289" s="249"/>
      <c r="F289" s="250" t="str">
        <f>IF(F$3="","",IF(COUNTIFS(BD!$A$3:$A$5001,F$3,BD!$B$3:$B$5001,$A$267,BD!$X$3:$X$5001,"&lt;&gt;")=0,"",SUMIFS(BD!$X$3:$X$5001,BD!$A$3:$A$5001,F$3,BD!$B$3:$B$5001,$A$267)))</f>
        <v/>
      </c>
      <c r="G289" s="251" t="str">
        <f>IF(G$3="","",IF(COUNTIFS(BD!$A$3:$A$5001,G$3,BD!$B$3:$B$5001,$A$267,BD!$X$3:$X$5001,"&lt;&gt;")=0,"",SUMIFS(BD!$X$3:$X$5001,BD!$A$3:$A$5001,G$3,BD!$B$3:$B$5001,$A$267)))</f>
        <v/>
      </c>
      <c r="H289" s="251" t="str">
        <f>IF(H$3="","",IF(COUNTIFS(BD!$A$3:$A$5001,H$3,BD!$B$3:$B$5001,$A$267,BD!$X$3:$X$5001,"&lt;&gt;")=0,"",SUMIFS(BD!$X$3:$X$5001,BD!$A$3:$A$5001,H$3,BD!$B$3:$B$5001,$A$267)))</f>
        <v/>
      </c>
      <c r="I289" s="251" t="str">
        <f>IF(I$3="","",IF(COUNTIFS(BD!$A$3:$A$5001,I$3,BD!$B$3:$B$5001,$A$267,BD!$X$3:$X$5001,"&lt;&gt;")=0,"",SUMIFS(BD!$X$3:$X$5001,BD!$A$3:$A$5001,I$3,BD!$B$3:$B$5001,$A$267)))</f>
        <v/>
      </c>
      <c r="J289" s="251" t="str">
        <f>IF(J$3="","",IF(COUNTIFS(BD!$A$3:$A$5001,J$3,BD!$B$3:$B$5001,$A$267,BD!$X$3:$X$5001,"&lt;&gt;")=0,"",SUMIFS(BD!$X$3:$X$5001,BD!$A$3:$A$5001,J$3,BD!$B$3:$B$5001,$A$267)))</f>
        <v/>
      </c>
      <c r="K289" s="251" t="str">
        <f>IF(K$3="","",IF(COUNTIFS(BD!$A$3:$A$5001,K$3,BD!$B$3:$B$5001,$A$267,BD!$X$3:$X$5001,"&lt;&gt;")=0,"",SUMIFS(BD!$X$3:$X$5001,BD!$A$3:$A$5001,K$3,BD!$B$3:$B$5001,$A$267)))</f>
        <v/>
      </c>
      <c r="L289" s="251" t="str">
        <f>IF(L$3="","",IF(COUNTIFS(BD!$A$3:$A$5001,L$3,BD!$B$3:$B$5001,$A$267,BD!$X$3:$X$5001,"&lt;&gt;")=0,"",SUMIFS(BD!$X$3:$X$5001,BD!$A$3:$A$5001,L$3,BD!$B$3:$B$5001,$A$267)))</f>
        <v/>
      </c>
      <c r="M289" s="251" t="str">
        <f>IF(M$3="","",IF(COUNTIFS(BD!$A$3:$A$5001,M$3,BD!$B$3:$B$5001,$A$267,BD!$X$3:$X$5001,"&lt;&gt;")=0,"",SUMIFS(BD!$X$3:$X$5001,BD!$A$3:$A$5001,M$3,BD!$B$3:$B$5001,$A$267)))</f>
        <v/>
      </c>
      <c r="N289" s="251" t="str">
        <f>IF(N$3="","",IF(COUNTIFS(BD!$A$3:$A$5001,N$3,BD!$B$3:$B$5001,$A$267,BD!$X$3:$X$5001,"&lt;&gt;")=0,"",SUMIFS(BD!$X$3:$X$5001,BD!$A$3:$A$5001,N$3,BD!$B$3:$B$5001,$A$267)))</f>
        <v/>
      </c>
      <c r="O289" s="251" t="str">
        <f>IF(O$3="","",IF(COUNTIFS(BD!$A$3:$A$5001,O$3,BD!$B$3:$B$5001,$A$267,BD!$X$3:$X$5001,"&lt;&gt;")=0,"",SUMIFS(BD!$X$3:$X$5001,BD!$A$3:$A$5001,O$3,BD!$B$3:$B$5001,$A$267)))</f>
        <v/>
      </c>
      <c r="P289" s="251" t="str">
        <f>IF(P$3="","",IF(COUNTIFS(BD!$A$3:$A$5001,P$3,BD!$B$3:$B$5001,$A$267,BD!$X$3:$X$5001,"&lt;&gt;")=0,"",SUMIFS(BD!$X$3:$X$5001,BD!$A$3:$A$5001,P$3,BD!$B$3:$B$5001,$A$267)))</f>
        <v/>
      </c>
      <c r="Q289" s="251" t="str">
        <f>IF(Q$3="","",IF(COUNTIFS(BD!$A$3:$A$5001,Q$3,BD!$B$3:$B$5001,$A$267,BD!$X$3:$X$5001,"&lt;&gt;")=0,"",SUMIFS(BD!$X$3:$X$5001,BD!$A$3:$A$5001,Q$3,BD!$B$3:$B$5001,$A$267)))</f>
        <v/>
      </c>
      <c r="R289" s="251" t="str">
        <f>IF(R$3="","",IF(COUNTIFS(BD!$A$3:$A$5001,R$3,BD!$B$3:$B$5001,$A$267,BD!$X$3:$X$5001,"&lt;&gt;")=0,"",SUMIFS(BD!$X$3:$X$5001,BD!$A$3:$A$5001,R$3,BD!$B$3:$B$5001,$A$267)))</f>
        <v/>
      </c>
      <c r="S289" s="251" t="str">
        <f>IF(S$3="","",IF(COUNTIFS(BD!$A$3:$A$5001,S$3,BD!$B$3:$B$5001,$A$267,BD!$X$3:$X$5001,"&lt;&gt;")=0,"",SUMIFS(BD!$X$3:$X$5001,BD!$A$3:$A$5001,S$3,BD!$B$3:$B$5001,$A$267)))</f>
        <v/>
      </c>
      <c r="T289" s="251" t="str">
        <f>IF(T$3="","",IF(COUNTIFS(BD!$A$3:$A$5001,T$3,BD!$B$3:$B$5001,$A$267,BD!$X$3:$X$5001,"&lt;&gt;")=0,"",SUMIFS(BD!$X$3:$X$5001,BD!$A$3:$A$5001,T$3,BD!$B$3:$B$5001,$A$267)))</f>
        <v/>
      </c>
      <c r="U289" s="251" t="str">
        <f>IF(U$3="","",IF(COUNTIFS(BD!$A$3:$A$5001,U$3,BD!$B$3:$B$5001,$A$267,BD!$X$3:$X$5001,"&lt;&gt;")=0,"",SUMIFS(BD!$X$3:$X$5001,BD!$A$3:$A$5001,U$3,BD!$B$3:$B$5001,$A$267)))</f>
        <v/>
      </c>
      <c r="V289" s="251" t="str">
        <f>IF(V$3="","",IF(COUNTIFS(BD!$A$3:$A$5001,V$3,BD!$B$3:$B$5001,$A$267,BD!$X$3:$X$5001,"&lt;&gt;")=0,"",SUMIFS(BD!$X$3:$X$5001,BD!$A$3:$A$5001,V$3,BD!$B$3:$B$5001,$A$267)))</f>
        <v/>
      </c>
      <c r="W289" s="251" t="str">
        <f>IF(W$3="","",IF(COUNTIFS(BD!$A$3:$A$5001,W$3,BD!$B$3:$B$5001,$A$267,BD!$X$3:$X$5001,"&lt;&gt;")=0,"",SUMIFS(BD!$X$3:$X$5001,BD!$A$3:$A$5001,W$3,BD!$B$3:$B$5001,$A$267)))</f>
        <v/>
      </c>
      <c r="X289" s="251" t="str">
        <f>IF(X$3="","",IF(COUNTIFS(BD!$A$3:$A$5001,X$3,BD!$B$3:$B$5001,$A$267,BD!$X$3:$X$5001,"&lt;&gt;")=0,"",SUMIFS(BD!$X$3:$X$5001,BD!$A$3:$A$5001,X$3,BD!$B$3:$B$5001,$A$267)))</f>
        <v/>
      </c>
      <c r="Y289" s="251" t="str">
        <f>IF(Y$3="","",IF(COUNTIFS(BD!$A$3:$A$5001,Y$3,BD!$B$3:$B$5001,$A$267,BD!$X$3:$X$5001,"&lt;&gt;")=0,"",SUMIFS(BD!$X$3:$X$5001,BD!$A$3:$A$5001,Y$3,BD!$B$3:$B$5001,$A$267)))</f>
        <v/>
      </c>
      <c r="Z289" s="251" t="str">
        <f>IF(Z$3="","",IF(COUNTIFS(BD!$A$3:$A$5001,Z$3,BD!$B$3:$B$5001,$A$267,BD!$X$3:$X$5001,"&lt;&gt;")=0,"",SUMIFS(BD!$X$3:$X$5001,BD!$A$3:$A$5001,Z$3,BD!$B$3:$B$5001,$A$267)))</f>
        <v/>
      </c>
      <c r="AA289" s="251" t="str">
        <f>IF(AA$3="","",IF(COUNTIFS(BD!$A$3:$A$5001,AA$3,BD!$B$3:$B$5001,$A$267,BD!$X$3:$X$5001,"&lt;&gt;")=0,"",SUMIFS(BD!$X$3:$X$5001,BD!$A$3:$A$5001,AA$3,BD!$B$3:$B$5001,$A$267)))</f>
        <v/>
      </c>
      <c r="AB289" s="251" t="str">
        <f>IF(AB$3="","",IF(COUNTIFS(BD!$A$3:$A$5001,AB$3,BD!$B$3:$B$5001,$A$267,BD!$X$3:$X$5001,"&lt;&gt;")=0,"",SUMIFS(BD!$X$3:$X$5001,BD!$A$3:$A$5001,AB$3,BD!$B$3:$B$5001,$A$267)))</f>
        <v/>
      </c>
      <c r="AC289" s="251" t="str">
        <f>IF(AC$3="","",IF(COUNTIFS(BD!$A$3:$A$5001,AC$3,BD!$B$3:$B$5001,$A$267,BD!$X$3:$X$5001,"&lt;&gt;")=0,"",SUMIFS(BD!$X$3:$X$5001,BD!$A$3:$A$5001,AC$3,BD!$B$3:$B$5001,$A$267)))</f>
        <v/>
      </c>
      <c r="AD289" s="251" t="str">
        <f>IF(AD$3="","",IF(COUNTIFS(BD!$A$3:$A$5001,AD$3,BD!$B$3:$B$5001,$A$267,BD!$X$3:$X$5001,"&lt;&gt;")=0,"",SUMIFS(BD!$X$3:$X$5001,BD!$A$3:$A$5001,AD$3,BD!$B$3:$B$5001,$A$267)))</f>
        <v/>
      </c>
      <c r="AE289" s="251" t="str">
        <f>IF(AE$3="","",IF(COUNTIFS(BD!$A$3:$A$5001,AE$3,BD!$B$3:$B$5001,$A$267,BD!$X$3:$X$5001,"&lt;&gt;")=0,"",SUMIFS(BD!$X$3:$X$5001,BD!$A$3:$A$5001,AE$3,BD!$B$3:$B$5001,$A$267)))</f>
        <v/>
      </c>
      <c r="AF289" s="251" t="str">
        <f>IF(AF$3="","",IF(COUNTIFS(BD!$A$3:$A$5001,AF$3,BD!$B$3:$B$5001,$A$267,BD!$X$3:$X$5001,"&lt;&gt;")=0,"",SUMIFS(BD!$X$3:$X$5001,BD!$A$3:$A$5001,AF$3,BD!$B$3:$B$5001,$A$267)))</f>
        <v/>
      </c>
      <c r="AG289" s="251" t="str">
        <f>IF(AG$3="","",IF(COUNTIFS(BD!$A$3:$A$5001,AG$3,BD!$B$3:$B$5001,$A$267,BD!$X$3:$X$5001,"&lt;&gt;")=0,"",SUMIFS(BD!$X$3:$X$5001,BD!$A$3:$A$5001,AG$3,BD!$B$3:$B$5001,$A$267)))</f>
        <v/>
      </c>
      <c r="AH289" s="251" t="str">
        <f>IF(AH$3="","",IF(COUNTIFS(BD!$A$3:$A$5001,AH$3,BD!$B$3:$B$5001,$A$267,BD!$X$3:$X$5001,"&lt;&gt;")=0,"",SUMIFS(BD!$X$3:$X$5001,BD!$A$3:$A$5001,AH$3,BD!$B$3:$B$5001,$A$267)))</f>
        <v/>
      </c>
      <c r="AI289" s="251" t="str">
        <f>IF(AI$3="","",IF(COUNTIFS(BD!$A$3:$A$5001,AI$3,BD!$B$3:$B$5001,$A$267,BD!$X$3:$X$5001,"&lt;&gt;")=0,"",SUMIFS(BD!$X$3:$X$5001,BD!$A$3:$A$5001,AI$3,BD!$B$3:$B$5001,$A$267)))</f>
        <v/>
      </c>
      <c r="AJ289" s="252" t="str">
        <f>IF(AJ$3="","",IF(COUNTIFS(BD!$A$3:$A$5001,AJ$3,BD!$B$3:$B$5001,$A$267,BD!$X$3:$X$5001,"&lt;&gt;")=0,"",SUMIFS(BD!$X$3:$X$5001,BD!$A$3:$A$5001,AJ$3,BD!$B$3:$B$5001,$A$267)))</f>
        <v/>
      </c>
      <c r="AK289" s="253" t="str">
        <f>IF(COUNT(F289:AJ289)=0,"",SUM(F289:AJ289))</f>
        <v/>
      </c>
    </row>
    <row r="290" ht="15.75" customHeight="1" hidden="1">
      <c r="A290" s="277"/>
      <c r="B290" s="274"/>
      <c r="C290" s="247" t="inlineStr">
        <is>
          <t xml:space="preserve">Desligamento</t>
        </is>
      </c>
      <c r="D290" s="248" t="str">
        <f>IFERROR(1/(1/INDEX(BD!$AF$46:$AZ$46,MATCH($A$267,BD!$AF$22:$AZ$22,0))),"")</f>
        <v/>
      </c>
      <c r="E290" s="249"/>
      <c r="F290" s="250" t="str">
        <f>IF(F$3="","",IF(COUNTIFS(BD!$A$3:$A$5001,F$3,BD!$B$3:$B$5001,$A$267,BD!$Y$3:$Y$5001,"&lt;&gt;")=0,"",SUMIFS(BD!$Y$3:$Y$5001,BD!$A$3:$A$5001,F$3,BD!$B$3:$B$5001,$A$267)))</f>
        <v/>
      </c>
      <c r="G290" s="251" t="str">
        <f>IF(G$3="","",IF(COUNTIFS(BD!$A$3:$A$5001,G$3,BD!$B$3:$B$5001,$A$267,BD!$Y$3:$Y$5001,"&lt;&gt;")=0,"",SUMIFS(BD!$Y$3:$Y$5001,BD!$A$3:$A$5001,G$3,BD!$B$3:$B$5001,$A$267)))</f>
        <v/>
      </c>
      <c r="H290" s="251" t="str">
        <f>IF(H$3="","",IF(COUNTIFS(BD!$A$3:$A$5001,H$3,BD!$B$3:$B$5001,$A$267,BD!$Y$3:$Y$5001,"&lt;&gt;")=0,"",SUMIFS(BD!$Y$3:$Y$5001,BD!$A$3:$A$5001,H$3,BD!$B$3:$B$5001,$A$267)))</f>
        <v/>
      </c>
      <c r="I290" s="251" t="str">
        <f>IF(I$3="","",IF(COUNTIFS(BD!$A$3:$A$5001,I$3,BD!$B$3:$B$5001,$A$267,BD!$Y$3:$Y$5001,"&lt;&gt;")=0,"",SUMIFS(BD!$Y$3:$Y$5001,BD!$A$3:$A$5001,I$3,BD!$B$3:$B$5001,$A$267)))</f>
        <v/>
      </c>
      <c r="J290" s="251" t="str">
        <f>IF(J$3="","",IF(COUNTIFS(BD!$A$3:$A$5001,J$3,BD!$B$3:$B$5001,$A$267,BD!$Y$3:$Y$5001,"&lt;&gt;")=0,"",SUMIFS(BD!$Y$3:$Y$5001,BD!$A$3:$A$5001,J$3,BD!$B$3:$B$5001,$A$267)))</f>
        <v/>
      </c>
      <c r="K290" s="251" t="str">
        <f>IF(K$3="","",IF(COUNTIFS(BD!$A$3:$A$5001,K$3,BD!$B$3:$B$5001,$A$267,BD!$Y$3:$Y$5001,"&lt;&gt;")=0,"",SUMIFS(BD!$Y$3:$Y$5001,BD!$A$3:$A$5001,K$3,BD!$B$3:$B$5001,$A$267)))</f>
        <v/>
      </c>
      <c r="L290" s="251" t="str">
        <f>IF(L$3="","",IF(COUNTIFS(BD!$A$3:$A$5001,L$3,BD!$B$3:$B$5001,$A$267,BD!$Y$3:$Y$5001,"&lt;&gt;")=0,"",SUMIFS(BD!$Y$3:$Y$5001,BD!$A$3:$A$5001,L$3,BD!$B$3:$B$5001,$A$267)))</f>
        <v/>
      </c>
      <c r="M290" s="251" t="str">
        <f>IF(M$3="","",IF(COUNTIFS(BD!$A$3:$A$5001,M$3,BD!$B$3:$B$5001,$A$267,BD!$Y$3:$Y$5001,"&lt;&gt;")=0,"",SUMIFS(BD!$Y$3:$Y$5001,BD!$A$3:$A$5001,M$3,BD!$B$3:$B$5001,$A$267)))</f>
        <v/>
      </c>
      <c r="N290" s="251" t="str">
        <f>IF(N$3="","",IF(COUNTIFS(BD!$A$3:$A$5001,N$3,BD!$B$3:$B$5001,$A$267,BD!$Y$3:$Y$5001,"&lt;&gt;")=0,"",SUMIFS(BD!$Y$3:$Y$5001,BD!$A$3:$A$5001,N$3,BD!$B$3:$B$5001,$A$267)))</f>
        <v/>
      </c>
      <c r="O290" s="251" t="str">
        <f>IF(O$3="","",IF(COUNTIFS(BD!$A$3:$A$5001,O$3,BD!$B$3:$B$5001,$A$267,BD!$Y$3:$Y$5001,"&lt;&gt;")=0,"",SUMIFS(BD!$Y$3:$Y$5001,BD!$A$3:$A$5001,O$3,BD!$B$3:$B$5001,$A$267)))</f>
        <v/>
      </c>
      <c r="P290" s="251" t="str">
        <f>IF(P$3="","",IF(COUNTIFS(BD!$A$3:$A$5001,P$3,BD!$B$3:$B$5001,$A$267,BD!$Y$3:$Y$5001,"&lt;&gt;")=0,"",SUMIFS(BD!$Y$3:$Y$5001,BD!$A$3:$A$5001,P$3,BD!$B$3:$B$5001,$A$267)))</f>
        <v/>
      </c>
      <c r="Q290" s="251" t="str">
        <f>IF(Q$3="","",IF(COUNTIFS(BD!$A$3:$A$5001,Q$3,BD!$B$3:$B$5001,$A$267,BD!$Y$3:$Y$5001,"&lt;&gt;")=0,"",SUMIFS(BD!$Y$3:$Y$5001,BD!$A$3:$A$5001,Q$3,BD!$B$3:$B$5001,$A$267)))</f>
        <v/>
      </c>
      <c r="R290" s="251" t="str">
        <f>IF(R$3="","",IF(COUNTIFS(BD!$A$3:$A$5001,R$3,BD!$B$3:$B$5001,$A$267,BD!$Y$3:$Y$5001,"&lt;&gt;")=0,"",SUMIFS(BD!$Y$3:$Y$5001,BD!$A$3:$A$5001,R$3,BD!$B$3:$B$5001,$A$267)))</f>
        <v/>
      </c>
      <c r="S290" s="251" t="str">
        <f>IF(S$3="","",IF(COUNTIFS(BD!$A$3:$A$5001,S$3,BD!$B$3:$B$5001,$A$267,BD!$Y$3:$Y$5001,"&lt;&gt;")=0,"",SUMIFS(BD!$Y$3:$Y$5001,BD!$A$3:$A$5001,S$3,BD!$B$3:$B$5001,$A$267)))</f>
        <v/>
      </c>
      <c r="T290" s="251" t="str">
        <f>IF(T$3="","",IF(COUNTIFS(BD!$A$3:$A$5001,T$3,BD!$B$3:$B$5001,$A$267,BD!$Y$3:$Y$5001,"&lt;&gt;")=0,"",SUMIFS(BD!$Y$3:$Y$5001,BD!$A$3:$A$5001,T$3,BD!$B$3:$B$5001,$A$267)))</f>
        <v/>
      </c>
      <c r="U290" s="251" t="str">
        <f>IF(U$3="","",IF(COUNTIFS(BD!$A$3:$A$5001,U$3,BD!$B$3:$B$5001,$A$267,BD!$Y$3:$Y$5001,"&lt;&gt;")=0,"",SUMIFS(BD!$Y$3:$Y$5001,BD!$A$3:$A$5001,U$3,BD!$B$3:$B$5001,$A$267)))</f>
        <v/>
      </c>
      <c r="V290" s="251" t="str">
        <f>IF(V$3="","",IF(COUNTIFS(BD!$A$3:$A$5001,V$3,BD!$B$3:$B$5001,$A$267,BD!$Y$3:$Y$5001,"&lt;&gt;")=0,"",SUMIFS(BD!$Y$3:$Y$5001,BD!$A$3:$A$5001,V$3,BD!$B$3:$B$5001,$A$267)))</f>
        <v/>
      </c>
      <c r="W290" s="251" t="str">
        <f>IF(W$3="","",IF(COUNTIFS(BD!$A$3:$A$5001,W$3,BD!$B$3:$B$5001,$A$267,BD!$Y$3:$Y$5001,"&lt;&gt;")=0,"",SUMIFS(BD!$Y$3:$Y$5001,BD!$A$3:$A$5001,W$3,BD!$B$3:$B$5001,$A$267)))</f>
        <v/>
      </c>
      <c r="X290" s="251" t="str">
        <f>IF(X$3="","",IF(COUNTIFS(BD!$A$3:$A$5001,X$3,BD!$B$3:$B$5001,$A$267,BD!$Y$3:$Y$5001,"&lt;&gt;")=0,"",SUMIFS(BD!$Y$3:$Y$5001,BD!$A$3:$A$5001,X$3,BD!$B$3:$B$5001,$A$267)))</f>
        <v/>
      </c>
      <c r="Y290" s="251" t="str">
        <f>IF(Y$3="","",IF(COUNTIFS(BD!$A$3:$A$5001,Y$3,BD!$B$3:$B$5001,$A$267,BD!$Y$3:$Y$5001,"&lt;&gt;")=0,"",SUMIFS(BD!$Y$3:$Y$5001,BD!$A$3:$A$5001,Y$3,BD!$B$3:$B$5001,$A$267)))</f>
        <v/>
      </c>
      <c r="Z290" s="251" t="str">
        <f>IF(Z$3="","",IF(COUNTIFS(BD!$A$3:$A$5001,Z$3,BD!$B$3:$B$5001,$A$267,BD!$Y$3:$Y$5001,"&lt;&gt;")=0,"",SUMIFS(BD!$Y$3:$Y$5001,BD!$A$3:$A$5001,Z$3,BD!$B$3:$B$5001,$A$267)))</f>
        <v/>
      </c>
      <c r="AA290" s="251" t="str">
        <f>IF(AA$3="","",IF(COUNTIFS(BD!$A$3:$A$5001,AA$3,BD!$B$3:$B$5001,$A$267,BD!$Y$3:$Y$5001,"&lt;&gt;")=0,"",SUMIFS(BD!$Y$3:$Y$5001,BD!$A$3:$A$5001,AA$3,BD!$B$3:$B$5001,$A$267)))</f>
        <v/>
      </c>
      <c r="AB290" s="251" t="str">
        <f>IF(AB$3="","",IF(COUNTIFS(BD!$A$3:$A$5001,AB$3,BD!$B$3:$B$5001,$A$267,BD!$Y$3:$Y$5001,"&lt;&gt;")=0,"",SUMIFS(BD!$Y$3:$Y$5001,BD!$A$3:$A$5001,AB$3,BD!$B$3:$B$5001,$A$267)))</f>
        <v/>
      </c>
      <c r="AC290" s="251" t="str">
        <f>IF(AC$3="","",IF(COUNTIFS(BD!$A$3:$A$5001,AC$3,BD!$B$3:$B$5001,$A$267,BD!$Y$3:$Y$5001,"&lt;&gt;")=0,"",SUMIFS(BD!$Y$3:$Y$5001,BD!$A$3:$A$5001,AC$3,BD!$B$3:$B$5001,$A$267)))</f>
        <v/>
      </c>
      <c r="AD290" s="251" t="str">
        <f>IF(AD$3="","",IF(COUNTIFS(BD!$A$3:$A$5001,AD$3,BD!$B$3:$B$5001,$A$267,BD!$Y$3:$Y$5001,"&lt;&gt;")=0,"",SUMIFS(BD!$Y$3:$Y$5001,BD!$A$3:$A$5001,AD$3,BD!$B$3:$B$5001,$A$267)))</f>
        <v/>
      </c>
      <c r="AE290" s="251" t="str">
        <f>IF(AE$3="","",IF(COUNTIFS(BD!$A$3:$A$5001,AE$3,BD!$B$3:$B$5001,$A$267,BD!$Y$3:$Y$5001,"&lt;&gt;")=0,"",SUMIFS(BD!$Y$3:$Y$5001,BD!$A$3:$A$5001,AE$3,BD!$B$3:$B$5001,$A$267)))</f>
        <v/>
      </c>
      <c r="AF290" s="251" t="str">
        <f>IF(AF$3="","",IF(COUNTIFS(BD!$A$3:$A$5001,AF$3,BD!$B$3:$B$5001,$A$267,BD!$Y$3:$Y$5001,"&lt;&gt;")=0,"",SUMIFS(BD!$Y$3:$Y$5001,BD!$A$3:$A$5001,AF$3,BD!$B$3:$B$5001,$A$267)))</f>
        <v/>
      </c>
      <c r="AG290" s="251" t="str">
        <f>IF(AG$3="","",IF(COUNTIFS(BD!$A$3:$A$5001,AG$3,BD!$B$3:$B$5001,$A$267,BD!$Y$3:$Y$5001,"&lt;&gt;")=0,"",SUMIFS(BD!$Y$3:$Y$5001,BD!$A$3:$A$5001,AG$3,BD!$B$3:$B$5001,$A$267)))</f>
        <v/>
      </c>
      <c r="AH290" s="251" t="str">
        <f>IF(AH$3="","",IF(COUNTIFS(BD!$A$3:$A$5001,AH$3,BD!$B$3:$B$5001,$A$267,BD!$Y$3:$Y$5001,"&lt;&gt;")=0,"",SUMIFS(BD!$Y$3:$Y$5001,BD!$A$3:$A$5001,AH$3,BD!$B$3:$B$5001,$A$267)))</f>
        <v/>
      </c>
      <c r="AI290" s="251" t="str">
        <f>IF(AI$3="","",IF(COUNTIFS(BD!$A$3:$A$5001,AI$3,BD!$B$3:$B$5001,$A$267,BD!$Y$3:$Y$5001,"&lt;&gt;")=0,"",SUMIFS(BD!$Y$3:$Y$5001,BD!$A$3:$A$5001,AI$3,BD!$B$3:$B$5001,$A$267)))</f>
        <v/>
      </c>
      <c r="AJ290" s="252" t="str">
        <f>IF(AJ$3="","",IF(COUNTIFS(BD!$A$3:$A$5001,AJ$3,BD!$B$3:$B$5001,$A$267,BD!$Y$3:$Y$5001,"&lt;&gt;")=0,"",SUMIFS(BD!$Y$3:$Y$5001,BD!$A$3:$A$5001,AJ$3,BD!$B$3:$B$5001,$A$267)))</f>
        <v/>
      </c>
      <c r="AK290" s="253" t="str">
        <f>IF(COUNT(F290:AJ290)=0,"",SUM(F290:AJ290))</f>
        <v/>
      </c>
    </row>
    <row r="291" ht="15.75" customHeight="1" hidden="1">
      <c r="A291" s="277"/>
      <c r="B291" s="274"/>
      <c r="C291" s="247" t="inlineStr">
        <is>
          <t xml:space="preserve">Desvios Comportamentais</t>
        </is>
      </c>
      <c r="D291" s="248" t="str">
        <f>IFERROR(1/(1/INDEX(BD!$AF$47:$AZ$47,MATCH($A$267,BD!$AF$22:$AZ$22,0))),"")</f>
        <v/>
      </c>
      <c r="E291" s="249"/>
      <c r="F291" s="250" t="str">
        <f>IF(F$3="","",IF(COUNTIFS(BD!$A$3:$A$5001,F$3,BD!$B$3:$B$5001,$A$267,BD!$Z$3:$Z$5001,"&lt;&gt;")=0,"",SUMIFS(BD!$Z$3:$Z$5001,BD!$A$3:$A$5001,F$3,BD!$B$3:$B$5001,$A$267)))</f>
        <v/>
      </c>
      <c r="G291" s="251" t="str">
        <f>IF(G$3="","",IF(COUNTIFS(BD!$A$3:$A$5001,G$3,BD!$B$3:$B$5001,$A$267,BD!$Z$3:$Z$5001,"&lt;&gt;")=0,"",SUMIFS(BD!$Z$3:$Z$5001,BD!$A$3:$A$5001,G$3,BD!$B$3:$B$5001,$A$267)))</f>
        <v/>
      </c>
      <c r="H291" s="251" t="str">
        <f>IF(H$3="","",IF(COUNTIFS(BD!$A$3:$A$5001,H$3,BD!$B$3:$B$5001,$A$267,BD!$Z$3:$Z$5001,"&lt;&gt;")=0,"",SUMIFS(BD!$Z$3:$Z$5001,BD!$A$3:$A$5001,H$3,BD!$B$3:$B$5001,$A$267)))</f>
        <v/>
      </c>
      <c r="I291" s="251" t="str">
        <f>IF(I$3="","",IF(COUNTIFS(BD!$A$3:$A$5001,I$3,BD!$B$3:$B$5001,$A$267,BD!$Z$3:$Z$5001,"&lt;&gt;")=0,"",SUMIFS(BD!$Z$3:$Z$5001,BD!$A$3:$A$5001,I$3,BD!$B$3:$B$5001,$A$267)))</f>
        <v/>
      </c>
      <c r="J291" s="251" t="str">
        <f>IF(J$3="","",IF(COUNTIFS(BD!$A$3:$A$5001,J$3,BD!$B$3:$B$5001,$A$267,BD!$Z$3:$Z$5001,"&lt;&gt;")=0,"",SUMIFS(BD!$Z$3:$Z$5001,BD!$A$3:$A$5001,J$3,BD!$B$3:$B$5001,$A$267)))</f>
        <v/>
      </c>
      <c r="K291" s="251" t="str">
        <f>IF(K$3="","",IF(COUNTIFS(BD!$A$3:$A$5001,K$3,BD!$B$3:$B$5001,$A$267,BD!$Z$3:$Z$5001,"&lt;&gt;")=0,"",SUMIFS(BD!$Z$3:$Z$5001,BD!$A$3:$A$5001,K$3,BD!$B$3:$B$5001,$A$267)))</f>
        <v/>
      </c>
      <c r="L291" s="251" t="str">
        <f>IF(L$3="","",IF(COUNTIFS(BD!$A$3:$A$5001,L$3,BD!$B$3:$B$5001,$A$267,BD!$Z$3:$Z$5001,"&lt;&gt;")=0,"",SUMIFS(BD!$Z$3:$Z$5001,BD!$A$3:$A$5001,L$3,BD!$B$3:$B$5001,$A$267)))</f>
        <v/>
      </c>
      <c r="M291" s="251" t="str">
        <f>IF(M$3="","",IF(COUNTIFS(BD!$A$3:$A$5001,M$3,BD!$B$3:$B$5001,$A$267,BD!$Z$3:$Z$5001,"&lt;&gt;")=0,"",SUMIFS(BD!$Z$3:$Z$5001,BD!$A$3:$A$5001,M$3,BD!$B$3:$B$5001,$A$267)))</f>
        <v/>
      </c>
      <c r="N291" s="251" t="str">
        <f>IF(N$3="","",IF(COUNTIFS(BD!$A$3:$A$5001,N$3,BD!$B$3:$B$5001,$A$267,BD!$Z$3:$Z$5001,"&lt;&gt;")=0,"",SUMIFS(BD!$Z$3:$Z$5001,BD!$A$3:$A$5001,N$3,BD!$B$3:$B$5001,$A$267)))</f>
        <v/>
      </c>
      <c r="O291" s="251" t="str">
        <f>IF(O$3="","",IF(COUNTIFS(BD!$A$3:$A$5001,O$3,BD!$B$3:$B$5001,$A$267,BD!$Z$3:$Z$5001,"&lt;&gt;")=0,"",SUMIFS(BD!$Z$3:$Z$5001,BD!$A$3:$A$5001,O$3,BD!$B$3:$B$5001,$A$267)))</f>
        <v/>
      </c>
      <c r="P291" s="251" t="str">
        <f>IF(P$3="","",IF(COUNTIFS(BD!$A$3:$A$5001,P$3,BD!$B$3:$B$5001,$A$267,BD!$Z$3:$Z$5001,"&lt;&gt;")=0,"",SUMIFS(BD!$Z$3:$Z$5001,BD!$A$3:$A$5001,P$3,BD!$B$3:$B$5001,$A$267)))</f>
        <v/>
      </c>
      <c r="Q291" s="251" t="str">
        <f>IF(Q$3="","",IF(COUNTIFS(BD!$A$3:$A$5001,Q$3,BD!$B$3:$B$5001,$A$267,BD!$Z$3:$Z$5001,"&lt;&gt;")=0,"",SUMIFS(BD!$Z$3:$Z$5001,BD!$A$3:$A$5001,Q$3,BD!$B$3:$B$5001,$A$267)))</f>
        <v/>
      </c>
      <c r="R291" s="251" t="str">
        <f>IF(R$3="","",IF(COUNTIFS(BD!$A$3:$A$5001,R$3,BD!$B$3:$B$5001,$A$267,BD!$Z$3:$Z$5001,"&lt;&gt;")=0,"",SUMIFS(BD!$Z$3:$Z$5001,BD!$A$3:$A$5001,R$3,BD!$B$3:$B$5001,$A$267)))</f>
        <v/>
      </c>
      <c r="S291" s="251" t="str">
        <f>IF(S$3="","",IF(COUNTIFS(BD!$A$3:$A$5001,S$3,BD!$B$3:$B$5001,$A$267,BD!$Z$3:$Z$5001,"&lt;&gt;")=0,"",SUMIFS(BD!$Z$3:$Z$5001,BD!$A$3:$A$5001,S$3,BD!$B$3:$B$5001,$A$267)))</f>
        <v/>
      </c>
      <c r="T291" s="251" t="str">
        <f>IF(T$3="","",IF(COUNTIFS(BD!$A$3:$A$5001,T$3,BD!$B$3:$B$5001,$A$267,BD!$Z$3:$Z$5001,"&lt;&gt;")=0,"",SUMIFS(BD!$Z$3:$Z$5001,BD!$A$3:$A$5001,T$3,BD!$B$3:$B$5001,$A$267)))</f>
        <v/>
      </c>
      <c r="U291" s="251" t="str">
        <f>IF(U$3="","",IF(COUNTIFS(BD!$A$3:$A$5001,U$3,BD!$B$3:$B$5001,$A$267,BD!$Z$3:$Z$5001,"&lt;&gt;")=0,"",SUMIFS(BD!$Z$3:$Z$5001,BD!$A$3:$A$5001,U$3,BD!$B$3:$B$5001,$A$267)))</f>
        <v/>
      </c>
      <c r="V291" s="251" t="str">
        <f>IF(V$3="","",IF(COUNTIFS(BD!$A$3:$A$5001,V$3,BD!$B$3:$B$5001,$A$267,BD!$Z$3:$Z$5001,"&lt;&gt;")=0,"",SUMIFS(BD!$Z$3:$Z$5001,BD!$A$3:$A$5001,V$3,BD!$B$3:$B$5001,$A$267)))</f>
        <v/>
      </c>
      <c r="W291" s="251" t="str">
        <f>IF(W$3="","",IF(COUNTIFS(BD!$A$3:$A$5001,W$3,BD!$B$3:$B$5001,$A$267,BD!$Z$3:$Z$5001,"&lt;&gt;")=0,"",SUMIFS(BD!$Z$3:$Z$5001,BD!$A$3:$A$5001,W$3,BD!$B$3:$B$5001,$A$267)))</f>
        <v/>
      </c>
      <c r="X291" s="251" t="str">
        <f>IF(X$3="","",IF(COUNTIFS(BD!$A$3:$A$5001,X$3,BD!$B$3:$B$5001,$A$267,BD!$Z$3:$Z$5001,"&lt;&gt;")=0,"",SUMIFS(BD!$Z$3:$Z$5001,BD!$A$3:$A$5001,X$3,BD!$B$3:$B$5001,$A$267)))</f>
        <v/>
      </c>
      <c r="Y291" s="251" t="str">
        <f>IF(Y$3="","",IF(COUNTIFS(BD!$A$3:$A$5001,Y$3,BD!$B$3:$B$5001,$A$267,BD!$Z$3:$Z$5001,"&lt;&gt;")=0,"",SUMIFS(BD!$Z$3:$Z$5001,BD!$A$3:$A$5001,Y$3,BD!$B$3:$B$5001,$A$267)))</f>
        <v/>
      </c>
      <c r="Z291" s="251" t="str">
        <f>IF(Z$3="","",IF(COUNTIFS(BD!$A$3:$A$5001,Z$3,BD!$B$3:$B$5001,$A$267,BD!$Z$3:$Z$5001,"&lt;&gt;")=0,"",SUMIFS(BD!$Z$3:$Z$5001,BD!$A$3:$A$5001,Z$3,BD!$B$3:$B$5001,$A$267)))</f>
        <v/>
      </c>
      <c r="AA291" s="251" t="str">
        <f>IF(AA$3="","",IF(COUNTIFS(BD!$A$3:$A$5001,AA$3,BD!$B$3:$B$5001,$A$267,BD!$Z$3:$Z$5001,"&lt;&gt;")=0,"",SUMIFS(BD!$Z$3:$Z$5001,BD!$A$3:$A$5001,AA$3,BD!$B$3:$B$5001,$A$267)))</f>
        <v/>
      </c>
      <c r="AB291" s="251" t="str">
        <f>IF(AB$3="","",IF(COUNTIFS(BD!$A$3:$A$5001,AB$3,BD!$B$3:$B$5001,$A$267,BD!$Z$3:$Z$5001,"&lt;&gt;")=0,"",SUMIFS(BD!$Z$3:$Z$5001,BD!$A$3:$A$5001,AB$3,BD!$B$3:$B$5001,$A$267)))</f>
        <v/>
      </c>
      <c r="AC291" s="251" t="str">
        <f>IF(AC$3="","",IF(COUNTIFS(BD!$A$3:$A$5001,AC$3,BD!$B$3:$B$5001,$A$267,BD!$Z$3:$Z$5001,"&lt;&gt;")=0,"",SUMIFS(BD!$Z$3:$Z$5001,BD!$A$3:$A$5001,AC$3,BD!$B$3:$B$5001,$A$267)))</f>
        <v/>
      </c>
      <c r="AD291" s="251" t="str">
        <f>IF(AD$3="","",IF(COUNTIFS(BD!$A$3:$A$5001,AD$3,BD!$B$3:$B$5001,$A$267,BD!$Z$3:$Z$5001,"&lt;&gt;")=0,"",SUMIFS(BD!$Z$3:$Z$5001,BD!$A$3:$A$5001,AD$3,BD!$B$3:$B$5001,$A$267)))</f>
        <v/>
      </c>
      <c r="AE291" s="251" t="str">
        <f>IF(AE$3="","",IF(COUNTIFS(BD!$A$3:$A$5001,AE$3,BD!$B$3:$B$5001,$A$267,BD!$Z$3:$Z$5001,"&lt;&gt;")=0,"",SUMIFS(BD!$Z$3:$Z$5001,BD!$A$3:$A$5001,AE$3,BD!$B$3:$B$5001,$A$267)))</f>
        <v/>
      </c>
      <c r="AF291" s="251" t="str">
        <f>IF(AF$3="","",IF(COUNTIFS(BD!$A$3:$A$5001,AF$3,BD!$B$3:$B$5001,$A$267,BD!$Z$3:$Z$5001,"&lt;&gt;")=0,"",SUMIFS(BD!$Z$3:$Z$5001,BD!$A$3:$A$5001,AF$3,BD!$B$3:$B$5001,$A$267)))</f>
        <v/>
      </c>
      <c r="AG291" s="251" t="str">
        <f>IF(AG$3="","",IF(COUNTIFS(BD!$A$3:$A$5001,AG$3,BD!$B$3:$B$5001,$A$267,BD!$Z$3:$Z$5001,"&lt;&gt;")=0,"",SUMIFS(BD!$Z$3:$Z$5001,BD!$A$3:$A$5001,AG$3,BD!$B$3:$B$5001,$A$267)))</f>
        <v/>
      </c>
      <c r="AH291" s="251" t="str">
        <f>IF(AH$3="","",IF(COUNTIFS(BD!$A$3:$A$5001,AH$3,BD!$B$3:$B$5001,$A$267,BD!$Z$3:$Z$5001,"&lt;&gt;")=0,"",SUMIFS(BD!$Z$3:$Z$5001,BD!$A$3:$A$5001,AH$3,BD!$B$3:$B$5001,$A$267)))</f>
        <v/>
      </c>
      <c r="AI291" s="251" t="str">
        <f>IF(AI$3="","",IF(COUNTIFS(BD!$A$3:$A$5001,AI$3,BD!$B$3:$B$5001,$A$267,BD!$Z$3:$Z$5001,"&lt;&gt;")=0,"",SUMIFS(BD!$Z$3:$Z$5001,BD!$A$3:$A$5001,AI$3,BD!$B$3:$B$5001,$A$267)))</f>
        <v/>
      </c>
      <c r="AJ291" s="252" t="str">
        <f>IF(AJ$3="","",IF(COUNTIFS(BD!$A$3:$A$5001,AJ$3,BD!$B$3:$B$5001,$A$267,BD!$Z$3:$Z$5001,"&lt;&gt;")=0,"",SUMIFS(BD!$Z$3:$Z$5001,BD!$A$3:$A$5001,AJ$3,BD!$B$3:$B$5001,$A$267)))</f>
        <v/>
      </c>
      <c r="AK291" s="253" t="str">
        <f>IF(COUNT(F291:AJ291)=0,"",SUM(F291:AJ291))</f>
        <v/>
      </c>
    </row>
    <row r="292" ht="15.75" customHeight="1" hidden="1">
      <c r="A292" s="277"/>
      <c r="B292" s="274"/>
      <c r="C292" s="247" t="inlineStr">
        <is>
          <t xml:space="preserve">Acidentes CAF</t>
        </is>
      </c>
      <c r="D292" s="248" t="str">
        <f>IFERROR(1/(1/INDEX(BD!$AF$48:$AZ$48,MATCH($A$267,BD!$AF$22:$AZ$22,0))),"")</f>
        <v/>
      </c>
      <c r="E292" s="249"/>
      <c r="F292" s="250" t="str">
        <f>IF(F$3="","",IF(COUNTIFS(BD!$A$3:$A$5001,F$3,BD!$B$3:$B$5001,$A$267,BD!$AA$3:$AA$5001,"&lt;&gt;")=0,"",SUMIFS(BD!$AA$3:$AA$5001,BD!$A$3:$A$5001,F$3,BD!$B$3:$B$5001,$A$267)))</f>
        <v/>
      </c>
      <c r="G292" s="251" t="str">
        <f>IF(G$3="","",IF(COUNTIFS(BD!$A$3:$A$5001,G$3,BD!$B$3:$B$5001,$A$267,BD!$AA$3:$AA$5001,"&lt;&gt;")=0,"",SUMIFS(BD!$AA$3:$AA$5001,BD!$A$3:$A$5001,G$3,BD!$B$3:$B$5001,$A$267)))</f>
        <v/>
      </c>
      <c r="H292" s="251" t="str">
        <f>IF(H$3="","",IF(COUNTIFS(BD!$A$3:$A$5001,H$3,BD!$B$3:$B$5001,$A$267,BD!$AA$3:$AA$5001,"&lt;&gt;")=0,"",SUMIFS(BD!$AA$3:$AA$5001,BD!$A$3:$A$5001,H$3,BD!$B$3:$B$5001,$A$267)))</f>
        <v/>
      </c>
      <c r="I292" s="251" t="str">
        <f>IF(I$3="","",IF(COUNTIFS(BD!$A$3:$A$5001,I$3,BD!$B$3:$B$5001,$A$267,BD!$AA$3:$AA$5001,"&lt;&gt;")=0,"",SUMIFS(BD!$AA$3:$AA$5001,BD!$A$3:$A$5001,I$3,BD!$B$3:$B$5001,$A$267)))</f>
        <v/>
      </c>
      <c r="J292" s="251" t="str">
        <f>IF(J$3="","",IF(COUNTIFS(BD!$A$3:$A$5001,J$3,BD!$B$3:$B$5001,$A$267,BD!$AA$3:$AA$5001,"&lt;&gt;")=0,"",SUMIFS(BD!$AA$3:$AA$5001,BD!$A$3:$A$5001,J$3,BD!$B$3:$B$5001,$A$267)))</f>
        <v/>
      </c>
      <c r="K292" s="251" t="str">
        <f>IF(K$3="","",IF(COUNTIFS(BD!$A$3:$A$5001,K$3,BD!$B$3:$B$5001,$A$267,BD!$AA$3:$AA$5001,"&lt;&gt;")=0,"",SUMIFS(BD!$AA$3:$AA$5001,BD!$A$3:$A$5001,K$3,BD!$B$3:$B$5001,$A$267)))</f>
        <v/>
      </c>
      <c r="L292" s="251" t="str">
        <f>IF(L$3="","",IF(COUNTIFS(BD!$A$3:$A$5001,L$3,BD!$B$3:$B$5001,$A$267,BD!$AA$3:$AA$5001,"&lt;&gt;")=0,"",SUMIFS(BD!$AA$3:$AA$5001,BD!$A$3:$A$5001,L$3,BD!$B$3:$B$5001,$A$267)))</f>
        <v/>
      </c>
      <c r="M292" s="251" t="str">
        <f>IF(M$3="","",IF(COUNTIFS(BD!$A$3:$A$5001,M$3,BD!$B$3:$B$5001,$A$267,BD!$AA$3:$AA$5001,"&lt;&gt;")=0,"",SUMIFS(BD!$AA$3:$AA$5001,BD!$A$3:$A$5001,M$3,BD!$B$3:$B$5001,$A$267)))</f>
        <v/>
      </c>
      <c r="N292" s="251" t="str">
        <f>IF(N$3="","",IF(COUNTIFS(BD!$A$3:$A$5001,N$3,BD!$B$3:$B$5001,$A$267,BD!$AA$3:$AA$5001,"&lt;&gt;")=0,"",SUMIFS(BD!$AA$3:$AA$5001,BD!$A$3:$A$5001,N$3,BD!$B$3:$B$5001,$A$267)))</f>
        <v/>
      </c>
      <c r="O292" s="251" t="str">
        <f>IF(O$3="","",IF(COUNTIFS(BD!$A$3:$A$5001,O$3,BD!$B$3:$B$5001,$A$267,BD!$AA$3:$AA$5001,"&lt;&gt;")=0,"",SUMIFS(BD!$AA$3:$AA$5001,BD!$A$3:$A$5001,O$3,BD!$B$3:$B$5001,$A$267)))</f>
        <v/>
      </c>
      <c r="P292" s="251" t="str">
        <f>IF(P$3="","",IF(COUNTIFS(BD!$A$3:$A$5001,P$3,BD!$B$3:$B$5001,$A$267,BD!$AA$3:$AA$5001,"&lt;&gt;")=0,"",SUMIFS(BD!$AA$3:$AA$5001,BD!$A$3:$A$5001,P$3,BD!$B$3:$B$5001,$A$267)))</f>
        <v/>
      </c>
      <c r="Q292" s="251" t="str">
        <f>IF(Q$3="","",IF(COUNTIFS(BD!$A$3:$A$5001,Q$3,BD!$B$3:$B$5001,$A$267,BD!$AA$3:$AA$5001,"&lt;&gt;")=0,"",SUMIFS(BD!$AA$3:$AA$5001,BD!$A$3:$A$5001,Q$3,BD!$B$3:$B$5001,$A$267)))</f>
        <v/>
      </c>
      <c r="R292" s="251" t="str">
        <f>IF(R$3="","",IF(COUNTIFS(BD!$A$3:$A$5001,R$3,BD!$B$3:$B$5001,$A$267,BD!$AA$3:$AA$5001,"&lt;&gt;")=0,"",SUMIFS(BD!$AA$3:$AA$5001,BD!$A$3:$A$5001,R$3,BD!$B$3:$B$5001,$A$267)))</f>
        <v/>
      </c>
      <c r="S292" s="251" t="str">
        <f>IF(S$3="","",IF(COUNTIFS(BD!$A$3:$A$5001,S$3,BD!$B$3:$B$5001,$A$267,BD!$AA$3:$AA$5001,"&lt;&gt;")=0,"",SUMIFS(BD!$AA$3:$AA$5001,BD!$A$3:$A$5001,S$3,BD!$B$3:$B$5001,$A$267)))</f>
        <v/>
      </c>
      <c r="T292" s="251" t="str">
        <f>IF(T$3="","",IF(COUNTIFS(BD!$A$3:$A$5001,T$3,BD!$B$3:$B$5001,$A$267,BD!$AA$3:$AA$5001,"&lt;&gt;")=0,"",SUMIFS(BD!$AA$3:$AA$5001,BD!$A$3:$A$5001,T$3,BD!$B$3:$B$5001,$A$267)))</f>
        <v/>
      </c>
      <c r="U292" s="251" t="str">
        <f>IF(U$3="","",IF(COUNTIFS(BD!$A$3:$A$5001,U$3,BD!$B$3:$B$5001,$A$267,BD!$AA$3:$AA$5001,"&lt;&gt;")=0,"",SUMIFS(BD!$AA$3:$AA$5001,BD!$A$3:$A$5001,U$3,BD!$B$3:$B$5001,$A$267)))</f>
        <v/>
      </c>
      <c r="V292" s="251" t="str">
        <f>IF(V$3="","",IF(COUNTIFS(BD!$A$3:$A$5001,V$3,BD!$B$3:$B$5001,$A$267,BD!$AA$3:$AA$5001,"&lt;&gt;")=0,"",SUMIFS(BD!$AA$3:$AA$5001,BD!$A$3:$A$5001,V$3,BD!$B$3:$B$5001,$A$267)))</f>
        <v/>
      </c>
      <c r="W292" s="251" t="str">
        <f>IF(W$3="","",IF(COUNTIFS(BD!$A$3:$A$5001,W$3,BD!$B$3:$B$5001,$A$267,BD!$AA$3:$AA$5001,"&lt;&gt;")=0,"",SUMIFS(BD!$AA$3:$AA$5001,BD!$A$3:$A$5001,W$3,BD!$B$3:$B$5001,$A$267)))</f>
        <v/>
      </c>
      <c r="X292" s="251" t="str">
        <f>IF(X$3="","",IF(COUNTIFS(BD!$A$3:$A$5001,X$3,BD!$B$3:$B$5001,$A$267,BD!$AA$3:$AA$5001,"&lt;&gt;")=0,"",SUMIFS(BD!$AA$3:$AA$5001,BD!$A$3:$A$5001,X$3,BD!$B$3:$B$5001,$A$267)))</f>
        <v/>
      </c>
      <c r="Y292" s="251" t="str">
        <f>IF(Y$3="","",IF(COUNTIFS(BD!$A$3:$A$5001,Y$3,BD!$B$3:$B$5001,$A$267,BD!$AA$3:$AA$5001,"&lt;&gt;")=0,"",SUMIFS(BD!$AA$3:$AA$5001,BD!$A$3:$A$5001,Y$3,BD!$B$3:$B$5001,$A$267)))</f>
        <v/>
      </c>
      <c r="Z292" s="251" t="str">
        <f>IF(Z$3="","",IF(COUNTIFS(BD!$A$3:$A$5001,Z$3,BD!$B$3:$B$5001,$A$267,BD!$AA$3:$AA$5001,"&lt;&gt;")=0,"",SUMIFS(BD!$AA$3:$AA$5001,BD!$A$3:$A$5001,Z$3,BD!$B$3:$B$5001,$A$267)))</f>
        <v/>
      </c>
      <c r="AA292" s="251" t="str">
        <f>IF(AA$3="","",IF(COUNTIFS(BD!$A$3:$A$5001,AA$3,BD!$B$3:$B$5001,$A$267,BD!$AA$3:$AA$5001,"&lt;&gt;")=0,"",SUMIFS(BD!$AA$3:$AA$5001,BD!$A$3:$A$5001,AA$3,BD!$B$3:$B$5001,$A$267)))</f>
        <v/>
      </c>
      <c r="AB292" s="251" t="str">
        <f>IF(AB$3="","",IF(COUNTIFS(BD!$A$3:$A$5001,AB$3,BD!$B$3:$B$5001,$A$267,BD!$AA$3:$AA$5001,"&lt;&gt;")=0,"",SUMIFS(BD!$AA$3:$AA$5001,BD!$A$3:$A$5001,AB$3,BD!$B$3:$B$5001,$A$267)))</f>
        <v/>
      </c>
      <c r="AC292" s="251" t="str">
        <f>IF(AC$3="","",IF(COUNTIFS(BD!$A$3:$A$5001,AC$3,BD!$B$3:$B$5001,$A$267,BD!$AA$3:$AA$5001,"&lt;&gt;")=0,"",SUMIFS(BD!$AA$3:$AA$5001,BD!$A$3:$A$5001,AC$3,BD!$B$3:$B$5001,$A$267)))</f>
        <v/>
      </c>
      <c r="AD292" s="251" t="str">
        <f>IF(AD$3="","",IF(COUNTIFS(BD!$A$3:$A$5001,AD$3,BD!$B$3:$B$5001,$A$267,BD!$AA$3:$AA$5001,"&lt;&gt;")=0,"",SUMIFS(BD!$AA$3:$AA$5001,BD!$A$3:$A$5001,AD$3,BD!$B$3:$B$5001,$A$267)))</f>
        <v/>
      </c>
      <c r="AE292" s="251" t="str">
        <f>IF(AE$3="","",IF(COUNTIFS(BD!$A$3:$A$5001,AE$3,BD!$B$3:$B$5001,$A$267,BD!$AA$3:$AA$5001,"&lt;&gt;")=0,"",SUMIFS(BD!$AA$3:$AA$5001,BD!$A$3:$A$5001,AE$3,BD!$B$3:$B$5001,$A$267)))</f>
        <v/>
      </c>
      <c r="AF292" s="251" t="str">
        <f>IF(AF$3="","",IF(COUNTIFS(BD!$A$3:$A$5001,AF$3,BD!$B$3:$B$5001,$A$267,BD!$AA$3:$AA$5001,"&lt;&gt;")=0,"",SUMIFS(BD!$AA$3:$AA$5001,BD!$A$3:$A$5001,AF$3,BD!$B$3:$B$5001,$A$267)))</f>
        <v/>
      </c>
      <c r="AG292" s="251" t="str">
        <f>IF(AG$3="","",IF(COUNTIFS(BD!$A$3:$A$5001,AG$3,BD!$B$3:$B$5001,$A$267,BD!$AA$3:$AA$5001,"&lt;&gt;")=0,"",SUMIFS(BD!$AA$3:$AA$5001,BD!$A$3:$A$5001,AG$3,BD!$B$3:$B$5001,$A$267)))</f>
        <v/>
      </c>
      <c r="AH292" s="251" t="str">
        <f>IF(AH$3="","",IF(COUNTIFS(BD!$A$3:$A$5001,AH$3,BD!$B$3:$B$5001,$A$267,BD!$AA$3:$AA$5001,"&lt;&gt;")=0,"",SUMIFS(BD!$AA$3:$AA$5001,BD!$A$3:$A$5001,AH$3,BD!$B$3:$B$5001,$A$267)))</f>
        <v/>
      </c>
      <c r="AI292" s="251" t="str">
        <f>IF(AI$3="","",IF(COUNTIFS(BD!$A$3:$A$5001,AI$3,BD!$B$3:$B$5001,$A$267,BD!$AA$3:$AA$5001,"&lt;&gt;")=0,"",SUMIFS(BD!$AA$3:$AA$5001,BD!$A$3:$A$5001,AI$3,BD!$B$3:$B$5001,$A$267)))</f>
        <v/>
      </c>
      <c r="AJ292" s="252" t="str">
        <f>IF(AJ$3="","",IF(COUNTIFS(BD!$A$3:$A$5001,AJ$3,BD!$B$3:$B$5001,$A$267,BD!$AA$3:$AA$5001,"&lt;&gt;")=0,"",SUMIFS(BD!$AA$3:$AA$5001,BD!$A$3:$A$5001,AJ$3,BD!$B$3:$B$5001,$A$267)))</f>
        <v/>
      </c>
      <c r="AK292" s="253" t="str">
        <f>IF(COUNT(F292:AJ292)=0,"",SUM(F292:AJ292))</f>
        <v/>
      </c>
    </row>
    <row r="293" ht="15.75" customHeight="1" hidden="1">
      <c r="A293" s="278"/>
      <c r="B293" s="275"/>
      <c r="C293" s="258" t="inlineStr">
        <is>
          <t xml:space="preserve">Acidentes SAF</t>
        </is>
      </c>
      <c r="D293" s="259" t="str">
        <f>IFERROR(1/(1/INDEX(BD!$AF$49:$AZ$49,MATCH($A$267,BD!$AF$22:$AZ$22,0))),"")</f>
        <v/>
      </c>
      <c r="E293" s="260"/>
      <c r="F293" s="261" t="str">
        <f>IF(F$3="","",IF(COUNTIFS(BD!$A$3:$A$5001,F$3,BD!$B$3:$B$5001,$A$267,BD!$AB$3:$AB$5001,"&lt;&gt;")=0,"",SUMIFS(BD!$AB$3:$AB$5001,BD!$A$3:$A$5001,F$3,BD!$B$3:$B$5001,$A$267)))</f>
        <v/>
      </c>
      <c r="G293" s="262" t="str">
        <f>IF(G$3="","",IF(COUNTIFS(BD!$A$3:$A$5001,G$3,BD!$B$3:$B$5001,$A$267,BD!$AB$3:$AB$5001,"&lt;&gt;")=0,"",SUMIFS(BD!$AB$3:$AB$5001,BD!$A$3:$A$5001,G$3,BD!$B$3:$B$5001,$A$267)))</f>
        <v/>
      </c>
      <c r="H293" s="262" t="str">
        <f>IF(H$3="","",IF(COUNTIFS(BD!$A$3:$A$5001,H$3,BD!$B$3:$B$5001,$A$267,BD!$AB$3:$AB$5001,"&lt;&gt;")=0,"",SUMIFS(BD!$AB$3:$AB$5001,BD!$A$3:$A$5001,H$3,BD!$B$3:$B$5001,$A$267)))</f>
        <v/>
      </c>
      <c r="I293" s="262" t="str">
        <f>IF(I$3="","",IF(COUNTIFS(BD!$A$3:$A$5001,I$3,BD!$B$3:$B$5001,$A$267,BD!$AB$3:$AB$5001,"&lt;&gt;")=0,"",SUMIFS(BD!$AB$3:$AB$5001,BD!$A$3:$A$5001,I$3,BD!$B$3:$B$5001,$A$267)))</f>
        <v/>
      </c>
      <c r="J293" s="262" t="str">
        <f>IF(J$3="","",IF(COUNTIFS(BD!$A$3:$A$5001,J$3,BD!$B$3:$B$5001,$A$267,BD!$AB$3:$AB$5001,"&lt;&gt;")=0,"",SUMIFS(BD!$AB$3:$AB$5001,BD!$A$3:$A$5001,J$3,BD!$B$3:$B$5001,$A$267)))</f>
        <v/>
      </c>
      <c r="K293" s="262" t="str">
        <f>IF(K$3="","",IF(COUNTIFS(BD!$A$3:$A$5001,K$3,BD!$B$3:$B$5001,$A$267,BD!$AB$3:$AB$5001,"&lt;&gt;")=0,"",SUMIFS(BD!$AB$3:$AB$5001,BD!$A$3:$A$5001,K$3,BD!$B$3:$B$5001,$A$267)))</f>
        <v/>
      </c>
      <c r="L293" s="262" t="str">
        <f>IF(L$3="","",IF(COUNTIFS(BD!$A$3:$A$5001,L$3,BD!$B$3:$B$5001,$A$267,BD!$AB$3:$AB$5001,"&lt;&gt;")=0,"",SUMIFS(BD!$AB$3:$AB$5001,BD!$A$3:$A$5001,L$3,BD!$B$3:$B$5001,$A$267)))</f>
        <v/>
      </c>
      <c r="M293" s="262" t="str">
        <f>IF(M$3="","",IF(COUNTIFS(BD!$A$3:$A$5001,M$3,BD!$B$3:$B$5001,$A$267,BD!$AB$3:$AB$5001,"&lt;&gt;")=0,"",SUMIFS(BD!$AB$3:$AB$5001,BD!$A$3:$A$5001,M$3,BD!$B$3:$B$5001,$A$267)))</f>
        <v/>
      </c>
      <c r="N293" s="262" t="str">
        <f>IF(N$3="","",IF(COUNTIFS(BD!$A$3:$A$5001,N$3,BD!$B$3:$B$5001,$A$267,BD!$AB$3:$AB$5001,"&lt;&gt;")=0,"",SUMIFS(BD!$AB$3:$AB$5001,BD!$A$3:$A$5001,N$3,BD!$B$3:$B$5001,$A$267)))</f>
        <v/>
      </c>
      <c r="O293" s="262" t="str">
        <f>IF(O$3="","",IF(COUNTIFS(BD!$A$3:$A$5001,O$3,BD!$B$3:$B$5001,$A$267,BD!$AB$3:$AB$5001,"&lt;&gt;")=0,"",SUMIFS(BD!$AB$3:$AB$5001,BD!$A$3:$A$5001,O$3,BD!$B$3:$B$5001,$A$267)))</f>
        <v/>
      </c>
      <c r="P293" s="262" t="str">
        <f>IF(P$3="","",IF(COUNTIFS(BD!$A$3:$A$5001,P$3,BD!$B$3:$B$5001,$A$267,BD!$AB$3:$AB$5001,"&lt;&gt;")=0,"",SUMIFS(BD!$AB$3:$AB$5001,BD!$A$3:$A$5001,P$3,BD!$B$3:$B$5001,$A$267)))</f>
        <v/>
      </c>
      <c r="Q293" s="262" t="str">
        <f>IF(Q$3="","",IF(COUNTIFS(BD!$A$3:$A$5001,Q$3,BD!$B$3:$B$5001,$A$267,BD!$AB$3:$AB$5001,"&lt;&gt;")=0,"",SUMIFS(BD!$AB$3:$AB$5001,BD!$A$3:$A$5001,Q$3,BD!$B$3:$B$5001,$A$267)))</f>
        <v/>
      </c>
      <c r="R293" s="262" t="str">
        <f>IF(R$3="","",IF(COUNTIFS(BD!$A$3:$A$5001,R$3,BD!$B$3:$B$5001,$A$267,BD!$AB$3:$AB$5001,"&lt;&gt;")=0,"",SUMIFS(BD!$AB$3:$AB$5001,BD!$A$3:$A$5001,R$3,BD!$B$3:$B$5001,$A$267)))</f>
        <v/>
      </c>
      <c r="S293" s="262" t="str">
        <f>IF(S$3="","",IF(COUNTIFS(BD!$A$3:$A$5001,S$3,BD!$B$3:$B$5001,$A$267,BD!$AB$3:$AB$5001,"&lt;&gt;")=0,"",SUMIFS(BD!$AB$3:$AB$5001,BD!$A$3:$A$5001,S$3,BD!$B$3:$B$5001,$A$267)))</f>
        <v/>
      </c>
      <c r="T293" s="262" t="str">
        <f>IF(T$3="","",IF(COUNTIFS(BD!$A$3:$A$5001,T$3,BD!$B$3:$B$5001,$A$267,BD!$AB$3:$AB$5001,"&lt;&gt;")=0,"",SUMIFS(BD!$AB$3:$AB$5001,BD!$A$3:$A$5001,T$3,BD!$B$3:$B$5001,$A$267)))</f>
        <v/>
      </c>
      <c r="U293" s="262" t="str">
        <f>IF(U$3="","",IF(COUNTIFS(BD!$A$3:$A$5001,U$3,BD!$B$3:$B$5001,$A$267,BD!$AB$3:$AB$5001,"&lt;&gt;")=0,"",SUMIFS(BD!$AB$3:$AB$5001,BD!$A$3:$A$5001,U$3,BD!$B$3:$B$5001,$A$267)))</f>
        <v/>
      </c>
      <c r="V293" s="262" t="str">
        <f>IF(V$3="","",IF(COUNTIFS(BD!$A$3:$A$5001,V$3,BD!$B$3:$B$5001,$A$267,BD!$AB$3:$AB$5001,"&lt;&gt;")=0,"",SUMIFS(BD!$AB$3:$AB$5001,BD!$A$3:$A$5001,V$3,BD!$B$3:$B$5001,$A$267)))</f>
        <v/>
      </c>
      <c r="W293" s="262" t="str">
        <f>IF(W$3="","",IF(COUNTIFS(BD!$A$3:$A$5001,W$3,BD!$B$3:$B$5001,$A$267,BD!$AB$3:$AB$5001,"&lt;&gt;")=0,"",SUMIFS(BD!$AB$3:$AB$5001,BD!$A$3:$A$5001,W$3,BD!$B$3:$B$5001,$A$267)))</f>
        <v/>
      </c>
      <c r="X293" s="262" t="str">
        <f>IF(X$3="","",IF(COUNTIFS(BD!$A$3:$A$5001,X$3,BD!$B$3:$B$5001,$A$267,BD!$AB$3:$AB$5001,"&lt;&gt;")=0,"",SUMIFS(BD!$AB$3:$AB$5001,BD!$A$3:$A$5001,X$3,BD!$B$3:$B$5001,$A$267)))</f>
        <v/>
      </c>
      <c r="Y293" s="262" t="str">
        <f>IF(Y$3="","",IF(COUNTIFS(BD!$A$3:$A$5001,Y$3,BD!$B$3:$B$5001,$A$267,BD!$AB$3:$AB$5001,"&lt;&gt;")=0,"",SUMIFS(BD!$AB$3:$AB$5001,BD!$A$3:$A$5001,Y$3,BD!$B$3:$B$5001,$A$267)))</f>
        <v/>
      </c>
      <c r="Z293" s="262" t="str">
        <f>IF(Z$3="","",IF(COUNTIFS(BD!$A$3:$A$5001,Z$3,BD!$B$3:$B$5001,$A$267,BD!$AB$3:$AB$5001,"&lt;&gt;")=0,"",SUMIFS(BD!$AB$3:$AB$5001,BD!$A$3:$A$5001,Z$3,BD!$B$3:$B$5001,$A$267)))</f>
        <v/>
      </c>
      <c r="AA293" s="262" t="str">
        <f>IF(AA$3="","",IF(COUNTIFS(BD!$A$3:$A$5001,AA$3,BD!$B$3:$B$5001,$A$267,BD!$AB$3:$AB$5001,"&lt;&gt;")=0,"",SUMIFS(BD!$AB$3:$AB$5001,BD!$A$3:$A$5001,AA$3,BD!$B$3:$B$5001,$A$267)))</f>
        <v/>
      </c>
      <c r="AB293" s="262" t="str">
        <f>IF(AB$3="","",IF(COUNTIFS(BD!$A$3:$A$5001,AB$3,BD!$B$3:$B$5001,$A$267,BD!$AB$3:$AB$5001,"&lt;&gt;")=0,"",SUMIFS(BD!$AB$3:$AB$5001,BD!$A$3:$A$5001,AB$3,BD!$B$3:$B$5001,$A$267)))</f>
        <v/>
      </c>
      <c r="AC293" s="262" t="str">
        <f>IF(AC$3="","",IF(COUNTIFS(BD!$A$3:$A$5001,AC$3,BD!$B$3:$B$5001,$A$267,BD!$AB$3:$AB$5001,"&lt;&gt;")=0,"",SUMIFS(BD!$AB$3:$AB$5001,BD!$A$3:$A$5001,AC$3,BD!$B$3:$B$5001,$A$267)))</f>
        <v/>
      </c>
      <c r="AD293" s="262" t="str">
        <f>IF(AD$3="","",IF(COUNTIFS(BD!$A$3:$A$5001,AD$3,BD!$B$3:$B$5001,$A$267,BD!$AB$3:$AB$5001,"&lt;&gt;")=0,"",SUMIFS(BD!$AB$3:$AB$5001,BD!$A$3:$A$5001,AD$3,BD!$B$3:$B$5001,$A$267)))</f>
        <v/>
      </c>
      <c r="AE293" s="262" t="str">
        <f>IF(AE$3="","",IF(COUNTIFS(BD!$A$3:$A$5001,AE$3,BD!$B$3:$B$5001,$A$267,BD!$AB$3:$AB$5001,"&lt;&gt;")=0,"",SUMIFS(BD!$AB$3:$AB$5001,BD!$A$3:$A$5001,AE$3,BD!$B$3:$B$5001,$A$267)))</f>
        <v/>
      </c>
      <c r="AF293" s="262" t="str">
        <f>IF(AF$3="","",IF(COUNTIFS(BD!$A$3:$A$5001,AF$3,BD!$B$3:$B$5001,$A$267,BD!$AB$3:$AB$5001,"&lt;&gt;")=0,"",SUMIFS(BD!$AB$3:$AB$5001,BD!$A$3:$A$5001,AF$3,BD!$B$3:$B$5001,$A$267)))</f>
        <v/>
      </c>
      <c r="AG293" s="262" t="str">
        <f>IF(AG$3="","",IF(COUNTIFS(BD!$A$3:$A$5001,AG$3,BD!$B$3:$B$5001,$A$267,BD!$AB$3:$AB$5001,"&lt;&gt;")=0,"",SUMIFS(BD!$AB$3:$AB$5001,BD!$A$3:$A$5001,AG$3,BD!$B$3:$B$5001,$A$267)))</f>
        <v/>
      </c>
      <c r="AH293" s="262" t="str">
        <f>IF(AH$3="","",IF(COUNTIFS(BD!$A$3:$A$5001,AH$3,BD!$B$3:$B$5001,$A$267,BD!$AB$3:$AB$5001,"&lt;&gt;")=0,"",SUMIFS(BD!$AB$3:$AB$5001,BD!$A$3:$A$5001,AH$3,BD!$B$3:$B$5001,$A$267)))</f>
        <v/>
      </c>
      <c r="AI293" s="262" t="str">
        <f>IF(AI$3="","",IF(COUNTIFS(BD!$A$3:$A$5001,AI$3,BD!$B$3:$B$5001,$A$267,BD!$AB$3:$AB$5001,"&lt;&gt;")=0,"",SUMIFS(BD!$AB$3:$AB$5001,BD!$A$3:$A$5001,AI$3,BD!$B$3:$B$5001,$A$267)))</f>
        <v/>
      </c>
      <c r="AJ293" s="263" t="str">
        <f>IF(AJ$3="","",IF(COUNTIFS(BD!$A$3:$A$5001,AJ$3,BD!$B$3:$B$5001,$A$267,BD!$AB$3:$AB$5001,"&lt;&gt;")=0,"",SUMIFS(BD!$AB$3:$AB$5001,BD!$A$3:$A$5001,AJ$3,BD!$B$3:$B$5001,$A$267)))</f>
        <v/>
      </c>
      <c r="AK293" s="259" t="str">
        <f>IF(COUNT(F293:AJ293)=0,"",SUM(F293:AJ293))</f>
        <v/>
      </c>
    </row>
    <row r="295" ht="15.75" customHeight="1" hidden="1">
      <c r="A295" s="276"/>
      <c r="B295" s="264" t="inlineStr">
        <is>
          <t xml:space="preserve">IN</t>
        </is>
      </c>
      <c r="C295" s="168" t="inlineStr">
        <is>
          <t xml:space="preserve">Veículos Recebidos</t>
        </is>
      </c>
      <c r="D295" s="169" t="str">
        <f>IFERROR(1/(1/INDEX(BD!$AF$23:$AZ$23,MATCH($A$295,BD!$AF$22:$AZ$22,0))),"")</f>
        <v/>
      </c>
      <c r="E295" s="170"/>
      <c r="F295" s="171" t="str">
        <f>IF(F$3="","",IF(COUNTIFS(BD!$A$3:$A$5001,F$3,BD!$B$3:$B$5001,$A$295,BD!$C$3:$C$5001,"&lt;&gt;")=0,"",SUMIFS(BD!$C$3:$C$5001,BD!$A$3:$A$5001,F$3,BD!$B$3:$B$5001,$A$295)))</f>
        <v/>
      </c>
      <c r="G295" s="172" t="str">
        <f>IF(G$3="","",IF(COUNTIFS(BD!$A$3:$A$5001,G$3,BD!$B$3:$B$5001,$A$295,BD!$C$3:$C$5001,"&lt;&gt;")=0,"",SUMIFS(BD!$C$3:$C$5001,BD!$A$3:$A$5001,G$3,BD!$B$3:$B$5001,$A$295)))</f>
        <v/>
      </c>
      <c r="H295" s="172" t="str">
        <f>IF(H$3="","",IF(COUNTIFS(BD!$A$3:$A$5001,H$3,BD!$B$3:$B$5001,$A$295,BD!$C$3:$C$5001,"&lt;&gt;")=0,"",SUMIFS(BD!$C$3:$C$5001,BD!$A$3:$A$5001,H$3,BD!$B$3:$B$5001,$A$295)))</f>
        <v/>
      </c>
      <c r="I295" s="172" t="str">
        <f>IF(I$3="","",IF(COUNTIFS(BD!$A$3:$A$5001,I$3,BD!$B$3:$B$5001,$A$295,BD!$C$3:$C$5001,"&lt;&gt;")=0,"",SUMIFS(BD!$C$3:$C$5001,BD!$A$3:$A$5001,I$3,BD!$B$3:$B$5001,$A$295)))</f>
        <v/>
      </c>
      <c r="J295" s="172" t="str">
        <f>IF(J$3="","",IF(COUNTIFS(BD!$A$3:$A$5001,J$3,BD!$B$3:$B$5001,$A$295,BD!$C$3:$C$5001,"&lt;&gt;")=0,"",SUMIFS(BD!$C$3:$C$5001,BD!$A$3:$A$5001,J$3,BD!$B$3:$B$5001,$A$295)))</f>
        <v/>
      </c>
      <c r="K295" s="172" t="str">
        <f>IF(K$3="","",IF(COUNTIFS(BD!$A$3:$A$5001,K$3,BD!$B$3:$B$5001,$A$295,BD!$C$3:$C$5001,"&lt;&gt;")=0,"",SUMIFS(BD!$C$3:$C$5001,BD!$A$3:$A$5001,K$3,BD!$B$3:$B$5001,$A$295)))</f>
        <v/>
      </c>
      <c r="L295" s="172" t="str">
        <f>IF(L$3="","",IF(COUNTIFS(BD!$A$3:$A$5001,L$3,BD!$B$3:$B$5001,$A$295,BD!$C$3:$C$5001,"&lt;&gt;")=0,"",SUMIFS(BD!$C$3:$C$5001,BD!$A$3:$A$5001,L$3,BD!$B$3:$B$5001,$A$295)))</f>
        <v/>
      </c>
      <c r="M295" s="172" t="str">
        <f>IF(M$3="","",IF(COUNTIFS(BD!$A$3:$A$5001,M$3,BD!$B$3:$B$5001,$A$295,BD!$C$3:$C$5001,"&lt;&gt;")=0,"",SUMIFS(BD!$C$3:$C$5001,BD!$A$3:$A$5001,M$3,BD!$B$3:$B$5001,$A$295)))</f>
        <v/>
      </c>
      <c r="N295" s="172" t="str">
        <f>IF(N$3="","",IF(COUNTIFS(BD!$A$3:$A$5001,N$3,BD!$B$3:$B$5001,$A$295,BD!$C$3:$C$5001,"&lt;&gt;")=0,"",SUMIFS(BD!$C$3:$C$5001,BD!$A$3:$A$5001,N$3,BD!$B$3:$B$5001,$A$295)))</f>
        <v/>
      </c>
      <c r="O295" s="172" t="str">
        <f>IF(O$3="","",IF(COUNTIFS(BD!$A$3:$A$5001,O$3,BD!$B$3:$B$5001,$A$295,BD!$C$3:$C$5001,"&lt;&gt;")=0,"",SUMIFS(BD!$C$3:$C$5001,BD!$A$3:$A$5001,O$3,BD!$B$3:$B$5001,$A$295)))</f>
        <v/>
      </c>
      <c r="P295" s="172" t="str">
        <f>IF(P$3="","",IF(COUNTIFS(BD!$A$3:$A$5001,P$3,BD!$B$3:$B$5001,$A$295,BD!$C$3:$C$5001,"&lt;&gt;")=0,"",SUMIFS(BD!$C$3:$C$5001,BD!$A$3:$A$5001,P$3,BD!$B$3:$B$5001,$A$295)))</f>
        <v/>
      </c>
      <c r="Q295" s="172" t="str">
        <f>IF(Q$3="","",IF(COUNTIFS(BD!$A$3:$A$5001,Q$3,BD!$B$3:$B$5001,$A$295,BD!$C$3:$C$5001,"&lt;&gt;")=0,"",SUMIFS(BD!$C$3:$C$5001,BD!$A$3:$A$5001,Q$3,BD!$B$3:$B$5001,$A$295)))</f>
        <v/>
      </c>
      <c r="R295" s="172" t="str">
        <f>IF(R$3="","",IF(COUNTIFS(BD!$A$3:$A$5001,R$3,BD!$B$3:$B$5001,$A$295,BD!$C$3:$C$5001,"&lt;&gt;")=0,"",SUMIFS(BD!$C$3:$C$5001,BD!$A$3:$A$5001,R$3,BD!$B$3:$B$5001,$A$295)))</f>
        <v/>
      </c>
      <c r="S295" s="172" t="str">
        <f>IF(S$3="","",IF(COUNTIFS(BD!$A$3:$A$5001,S$3,BD!$B$3:$B$5001,$A$295,BD!$C$3:$C$5001,"&lt;&gt;")=0,"",SUMIFS(BD!$C$3:$C$5001,BD!$A$3:$A$5001,S$3,BD!$B$3:$B$5001,$A$295)))</f>
        <v/>
      </c>
      <c r="T295" s="172" t="str">
        <f>IF(T$3="","",IF(COUNTIFS(BD!$A$3:$A$5001,T$3,BD!$B$3:$B$5001,$A$295,BD!$C$3:$C$5001,"&lt;&gt;")=0,"",SUMIFS(BD!$C$3:$C$5001,BD!$A$3:$A$5001,T$3,BD!$B$3:$B$5001,$A$295)))</f>
        <v/>
      </c>
      <c r="U295" s="172" t="str">
        <f>IF(U$3="","",IF(COUNTIFS(BD!$A$3:$A$5001,U$3,BD!$B$3:$B$5001,$A$295,BD!$C$3:$C$5001,"&lt;&gt;")=0,"",SUMIFS(BD!$C$3:$C$5001,BD!$A$3:$A$5001,U$3,BD!$B$3:$B$5001,$A$295)))</f>
        <v/>
      </c>
      <c r="V295" s="172" t="str">
        <f>IF(V$3="","",IF(COUNTIFS(BD!$A$3:$A$5001,V$3,BD!$B$3:$B$5001,$A$295,BD!$C$3:$C$5001,"&lt;&gt;")=0,"",SUMIFS(BD!$C$3:$C$5001,BD!$A$3:$A$5001,V$3,BD!$B$3:$B$5001,$A$295)))</f>
        <v/>
      </c>
      <c r="W295" s="172" t="str">
        <f>IF(W$3="","",IF(COUNTIFS(BD!$A$3:$A$5001,W$3,BD!$B$3:$B$5001,$A$295,BD!$C$3:$C$5001,"&lt;&gt;")=0,"",SUMIFS(BD!$C$3:$C$5001,BD!$A$3:$A$5001,W$3,BD!$B$3:$B$5001,$A$295)))</f>
        <v/>
      </c>
      <c r="X295" s="172" t="str">
        <f>IF(X$3="","",IF(COUNTIFS(BD!$A$3:$A$5001,X$3,BD!$B$3:$B$5001,$A$295,BD!$C$3:$C$5001,"&lt;&gt;")=0,"",SUMIFS(BD!$C$3:$C$5001,BD!$A$3:$A$5001,X$3,BD!$B$3:$B$5001,$A$295)))</f>
        <v/>
      </c>
      <c r="Y295" s="172" t="str">
        <f>IF(Y$3="","",IF(COUNTIFS(BD!$A$3:$A$5001,Y$3,BD!$B$3:$B$5001,$A$295,BD!$C$3:$C$5001,"&lt;&gt;")=0,"",SUMIFS(BD!$C$3:$C$5001,BD!$A$3:$A$5001,Y$3,BD!$B$3:$B$5001,$A$295)))</f>
        <v/>
      </c>
      <c r="Z295" s="172" t="str">
        <f>IF(Z$3="","",IF(COUNTIFS(BD!$A$3:$A$5001,Z$3,BD!$B$3:$B$5001,$A$295,BD!$C$3:$C$5001,"&lt;&gt;")=0,"",SUMIFS(BD!$C$3:$C$5001,BD!$A$3:$A$5001,Z$3,BD!$B$3:$B$5001,$A$295)))</f>
        <v/>
      </c>
      <c r="AA295" s="172" t="str">
        <f>IF(AA$3="","",IF(COUNTIFS(BD!$A$3:$A$5001,AA$3,BD!$B$3:$B$5001,$A$295,BD!$C$3:$C$5001,"&lt;&gt;")=0,"",SUMIFS(BD!$C$3:$C$5001,BD!$A$3:$A$5001,AA$3,BD!$B$3:$B$5001,$A$295)))</f>
        <v/>
      </c>
      <c r="AB295" s="172" t="str">
        <f>IF(AB$3="","",IF(COUNTIFS(BD!$A$3:$A$5001,AB$3,BD!$B$3:$B$5001,$A$295,BD!$C$3:$C$5001,"&lt;&gt;")=0,"",SUMIFS(BD!$C$3:$C$5001,BD!$A$3:$A$5001,AB$3,BD!$B$3:$B$5001,$A$295)))</f>
        <v/>
      </c>
      <c r="AC295" s="172" t="str">
        <f>IF(AC$3="","",IF(COUNTIFS(BD!$A$3:$A$5001,AC$3,BD!$B$3:$B$5001,$A$295,BD!$C$3:$C$5001,"&lt;&gt;")=0,"",SUMIFS(BD!$C$3:$C$5001,BD!$A$3:$A$5001,AC$3,BD!$B$3:$B$5001,$A$295)))</f>
        <v/>
      </c>
      <c r="AD295" s="172" t="str">
        <f>IF(AD$3="","",IF(COUNTIFS(BD!$A$3:$A$5001,AD$3,BD!$B$3:$B$5001,$A$295,BD!$C$3:$C$5001,"&lt;&gt;")=0,"",SUMIFS(BD!$C$3:$C$5001,BD!$A$3:$A$5001,AD$3,BD!$B$3:$B$5001,$A$295)))</f>
        <v/>
      </c>
      <c r="AE295" s="172" t="str">
        <f>IF(AE$3="","",IF(COUNTIFS(BD!$A$3:$A$5001,AE$3,BD!$B$3:$B$5001,$A$295,BD!$C$3:$C$5001,"&lt;&gt;")=0,"",SUMIFS(BD!$C$3:$C$5001,BD!$A$3:$A$5001,AE$3,BD!$B$3:$B$5001,$A$295)))</f>
        <v/>
      </c>
      <c r="AF295" s="172" t="str">
        <f>IF(AF$3="","",IF(COUNTIFS(BD!$A$3:$A$5001,AF$3,BD!$B$3:$B$5001,$A$295,BD!$C$3:$C$5001,"&lt;&gt;")=0,"",SUMIFS(BD!$C$3:$C$5001,BD!$A$3:$A$5001,AF$3,BD!$B$3:$B$5001,$A$295)))</f>
        <v/>
      </c>
      <c r="AG295" s="172" t="str">
        <f>IF(AG$3="","",IF(COUNTIFS(BD!$A$3:$A$5001,AG$3,BD!$B$3:$B$5001,$A$295,BD!$C$3:$C$5001,"&lt;&gt;")=0,"",SUMIFS(BD!$C$3:$C$5001,BD!$A$3:$A$5001,AG$3,BD!$B$3:$B$5001,$A$295)))</f>
        <v/>
      </c>
      <c r="AH295" s="172" t="str">
        <f>IF(AH$3="","",IF(COUNTIFS(BD!$A$3:$A$5001,AH$3,BD!$B$3:$B$5001,$A$295,BD!$C$3:$C$5001,"&lt;&gt;")=0,"",SUMIFS(BD!$C$3:$C$5001,BD!$A$3:$A$5001,AH$3,BD!$B$3:$B$5001,$A$295)))</f>
        <v/>
      </c>
      <c r="AI295" s="172" t="str">
        <f>IF(AI$3="","",IF(COUNTIFS(BD!$A$3:$A$5001,AI$3,BD!$B$3:$B$5001,$A$295,BD!$C$3:$C$5001,"&lt;&gt;")=0,"",SUMIFS(BD!$C$3:$C$5001,BD!$A$3:$A$5001,AI$3,BD!$B$3:$B$5001,$A$295)))</f>
        <v/>
      </c>
      <c r="AJ295" s="173" t="str">
        <f>IF(AJ$3="","",IF(COUNTIFS(BD!$A$3:$A$5001,AJ$3,BD!$B$3:$B$5001,$A$295,BD!$C$3:$C$5001,"&lt;&gt;")=0,"",SUMIFS(BD!$C$3:$C$5001,BD!$A$3:$A$5001,AJ$3,BD!$B$3:$B$5001,$A$295)))</f>
        <v/>
      </c>
      <c r="AK295" s="174" t="str">
        <f>IF(COUNT(F295:AJ295)=0,"",SUM(F295:AJ295))</f>
        <v/>
      </c>
    </row>
    <row r="296" ht="15.75" customHeight="1" hidden="1">
      <c r="A296" s="277"/>
      <c r="B296" s="265"/>
      <c r="C296" s="175" t="inlineStr">
        <is>
          <t xml:space="preserve">Pallets Movimentados</t>
        </is>
      </c>
      <c r="D296" s="176" t="str">
        <f>IFERROR(1/(1/INDEX(BD!$AF$24:$AZ$24,MATCH($A$295,BD!$AF$22:$AZ$22,0))),"")</f>
        <v/>
      </c>
      <c r="E296" s="177"/>
      <c r="F296" s="178" t="str">
        <f>IF(F$3="","",IF(COUNTIFS(BD!$A$3:$A$5001,F$3,BD!$B$3:$B$5001,$A$295,BD!$D$3:$D$5001,"&lt;&gt;")=0,"",SUMIFS(BD!$D$3:$D$5001,BD!$A$3:$A$5001,F$3,BD!$B$3:$B$5001,$A$295)))</f>
        <v/>
      </c>
      <c r="G296" s="179" t="str">
        <f>IF(G$3="","",IF(COUNTIFS(BD!$A$3:$A$5001,G$3,BD!$B$3:$B$5001,$A$295,BD!$D$3:$D$5001,"&lt;&gt;")=0,"",SUMIFS(BD!$D$3:$D$5001,BD!$A$3:$A$5001,G$3,BD!$B$3:$B$5001,$A$295)))</f>
        <v/>
      </c>
      <c r="H296" s="179" t="str">
        <f>IF(H$3="","",IF(COUNTIFS(BD!$A$3:$A$5001,H$3,BD!$B$3:$B$5001,$A$295,BD!$D$3:$D$5001,"&lt;&gt;")=0,"",SUMIFS(BD!$D$3:$D$5001,BD!$A$3:$A$5001,H$3,BD!$B$3:$B$5001,$A$295)))</f>
        <v/>
      </c>
      <c r="I296" s="179" t="str">
        <f>IF(I$3="","",IF(COUNTIFS(BD!$A$3:$A$5001,I$3,BD!$B$3:$B$5001,$A$295,BD!$D$3:$D$5001,"&lt;&gt;")=0,"",SUMIFS(BD!$D$3:$D$5001,BD!$A$3:$A$5001,I$3,BD!$B$3:$B$5001,$A$295)))</f>
        <v/>
      </c>
      <c r="J296" s="179" t="str">
        <f>IF(J$3="","",IF(COUNTIFS(BD!$A$3:$A$5001,J$3,BD!$B$3:$B$5001,$A$295,BD!$D$3:$D$5001,"&lt;&gt;")=0,"",SUMIFS(BD!$D$3:$D$5001,BD!$A$3:$A$5001,J$3,BD!$B$3:$B$5001,$A$295)))</f>
        <v/>
      </c>
      <c r="K296" s="179" t="str">
        <f>IF(K$3="","",IF(COUNTIFS(BD!$A$3:$A$5001,K$3,BD!$B$3:$B$5001,$A$295,BD!$D$3:$D$5001,"&lt;&gt;")=0,"",SUMIFS(BD!$D$3:$D$5001,BD!$A$3:$A$5001,K$3,BD!$B$3:$B$5001,$A$295)))</f>
        <v/>
      </c>
      <c r="L296" s="179" t="str">
        <f>IF(L$3="","",IF(COUNTIFS(BD!$A$3:$A$5001,L$3,BD!$B$3:$B$5001,$A$295,BD!$D$3:$D$5001,"&lt;&gt;")=0,"",SUMIFS(BD!$D$3:$D$5001,BD!$A$3:$A$5001,L$3,BD!$B$3:$B$5001,$A$295)))</f>
        <v/>
      </c>
      <c r="M296" s="179" t="str">
        <f>IF(M$3="","",IF(COUNTIFS(BD!$A$3:$A$5001,M$3,BD!$B$3:$B$5001,$A$295,BD!$D$3:$D$5001,"&lt;&gt;")=0,"",SUMIFS(BD!$D$3:$D$5001,BD!$A$3:$A$5001,M$3,BD!$B$3:$B$5001,$A$295)))</f>
        <v/>
      </c>
      <c r="N296" s="179" t="str">
        <f>IF(N$3="","",IF(COUNTIFS(BD!$A$3:$A$5001,N$3,BD!$B$3:$B$5001,$A$295,BD!$D$3:$D$5001,"&lt;&gt;")=0,"",SUMIFS(BD!$D$3:$D$5001,BD!$A$3:$A$5001,N$3,BD!$B$3:$B$5001,$A$295)))</f>
        <v/>
      </c>
      <c r="O296" s="179" t="str">
        <f>IF(O$3="","",IF(COUNTIFS(BD!$A$3:$A$5001,O$3,BD!$B$3:$B$5001,$A$295,BD!$D$3:$D$5001,"&lt;&gt;")=0,"",SUMIFS(BD!$D$3:$D$5001,BD!$A$3:$A$5001,O$3,BD!$B$3:$B$5001,$A$295)))</f>
        <v/>
      </c>
      <c r="P296" s="179" t="str">
        <f>IF(P$3="","",IF(COUNTIFS(BD!$A$3:$A$5001,P$3,BD!$B$3:$B$5001,$A$295,BD!$D$3:$D$5001,"&lt;&gt;")=0,"",SUMIFS(BD!$D$3:$D$5001,BD!$A$3:$A$5001,P$3,BD!$B$3:$B$5001,$A$295)))</f>
        <v/>
      </c>
      <c r="Q296" s="179" t="str">
        <f>IF(Q$3="","",IF(COUNTIFS(BD!$A$3:$A$5001,Q$3,BD!$B$3:$B$5001,$A$295,BD!$D$3:$D$5001,"&lt;&gt;")=0,"",SUMIFS(BD!$D$3:$D$5001,BD!$A$3:$A$5001,Q$3,BD!$B$3:$B$5001,$A$295)))</f>
        <v/>
      </c>
      <c r="R296" s="179" t="str">
        <f>IF(R$3="","",IF(COUNTIFS(BD!$A$3:$A$5001,R$3,BD!$B$3:$B$5001,$A$295,BD!$D$3:$D$5001,"&lt;&gt;")=0,"",SUMIFS(BD!$D$3:$D$5001,BD!$A$3:$A$5001,R$3,BD!$B$3:$B$5001,$A$295)))</f>
        <v/>
      </c>
      <c r="S296" s="179" t="str">
        <f>IF(S$3="","",IF(COUNTIFS(BD!$A$3:$A$5001,S$3,BD!$B$3:$B$5001,$A$295,BD!$D$3:$D$5001,"&lt;&gt;")=0,"",SUMIFS(BD!$D$3:$D$5001,BD!$A$3:$A$5001,S$3,BD!$B$3:$B$5001,$A$295)))</f>
        <v/>
      </c>
      <c r="T296" s="179" t="str">
        <f>IF(T$3="","",IF(COUNTIFS(BD!$A$3:$A$5001,T$3,BD!$B$3:$B$5001,$A$295,BD!$D$3:$D$5001,"&lt;&gt;")=0,"",SUMIFS(BD!$D$3:$D$5001,BD!$A$3:$A$5001,T$3,BD!$B$3:$B$5001,$A$295)))</f>
        <v/>
      </c>
      <c r="U296" s="179" t="str">
        <f>IF(U$3="","",IF(COUNTIFS(BD!$A$3:$A$5001,U$3,BD!$B$3:$B$5001,$A$295,BD!$D$3:$D$5001,"&lt;&gt;")=0,"",SUMIFS(BD!$D$3:$D$5001,BD!$A$3:$A$5001,U$3,BD!$B$3:$B$5001,$A$295)))</f>
        <v/>
      </c>
      <c r="V296" s="179" t="str">
        <f>IF(V$3="","",IF(COUNTIFS(BD!$A$3:$A$5001,V$3,BD!$B$3:$B$5001,$A$295,BD!$D$3:$D$5001,"&lt;&gt;")=0,"",SUMIFS(BD!$D$3:$D$5001,BD!$A$3:$A$5001,V$3,BD!$B$3:$B$5001,$A$295)))</f>
        <v/>
      </c>
      <c r="W296" s="179" t="str">
        <f>IF(W$3="","",IF(COUNTIFS(BD!$A$3:$A$5001,W$3,BD!$B$3:$B$5001,$A$295,BD!$D$3:$D$5001,"&lt;&gt;")=0,"",SUMIFS(BD!$D$3:$D$5001,BD!$A$3:$A$5001,W$3,BD!$B$3:$B$5001,$A$295)))</f>
        <v/>
      </c>
      <c r="X296" s="179" t="str">
        <f>IF(X$3="","",IF(COUNTIFS(BD!$A$3:$A$5001,X$3,BD!$B$3:$B$5001,$A$295,BD!$D$3:$D$5001,"&lt;&gt;")=0,"",SUMIFS(BD!$D$3:$D$5001,BD!$A$3:$A$5001,X$3,BD!$B$3:$B$5001,$A$295)))</f>
        <v/>
      </c>
      <c r="Y296" s="179" t="str">
        <f>IF(Y$3="","",IF(COUNTIFS(BD!$A$3:$A$5001,Y$3,BD!$B$3:$B$5001,$A$295,BD!$D$3:$D$5001,"&lt;&gt;")=0,"",SUMIFS(BD!$D$3:$D$5001,BD!$A$3:$A$5001,Y$3,BD!$B$3:$B$5001,$A$295)))</f>
        <v/>
      </c>
      <c r="Z296" s="179" t="str">
        <f>IF(Z$3="","",IF(COUNTIFS(BD!$A$3:$A$5001,Z$3,BD!$B$3:$B$5001,$A$295,BD!$D$3:$D$5001,"&lt;&gt;")=0,"",SUMIFS(BD!$D$3:$D$5001,BD!$A$3:$A$5001,Z$3,BD!$B$3:$B$5001,$A$295)))</f>
        <v/>
      </c>
      <c r="AA296" s="179" t="str">
        <f>IF(AA$3="","",IF(COUNTIFS(BD!$A$3:$A$5001,AA$3,BD!$B$3:$B$5001,$A$295,BD!$D$3:$D$5001,"&lt;&gt;")=0,"",SUMIFS(BD!$D$3:$D$5001,BD!$A$3:$A$5001,AA$3,BD!$B$3:$B$5001,$A$295)))</f>
        <v/>
      </c>
      <c r="AB296" s="179" t="str">
        <f>IF(AB$3="","",IF(COUNTIFS(BD!$A$3:$A$5001,AB$3,BD!$B$3:$B$5001,$A$295,BD!$D$3:$D$5001,"&lt;&gt;")=0,"",SUMIFS(BD!$D$3:$D$5001,BD!$A$3:$A$5001,AB$3,BD!$B$3:$B$5001,$A$295)))</f>
        <v/>
      </c>
      <c r="AC296" s="179" t="str">
        <f>IF(AC$3="","",IF(COUNTIFS(BD!$A$3:$A$5001,AC$3,BD!$B$3:$B$5001,$A$295,BD!$D$3:$D$5001,"&lt;&gt;")=0,"",SUMIFS(BD!$D$3:$D$5001,BD!$A$3:$A$5001,AC$3,BD!$B$3:$B$5001,$A$295)))</f>
        <v/>
      </c>
      <c r="AD296" s="179" t="str">
        <f>IF(AD$3="","",IF(COUNTIFS(BD!$A$3:$A$5001,AD$3,BD!$B$3:$B$5001,$A$295,BD!$D$3:$D$5001,"&lt;&gt;")=0,"",SUMIFS(BD!$D$3:$D$5001,BD!$A$3:$A$5001,AD$3,BD!$B$3:$B$5001,$A$295)))</f>
        <v/>
      </c>
      <c r="AE296" s="179" t="str">
        <f>IF(AE$3="","",IF(COUNTIFS(BD!$A$3:$A$5001,AE$3,BD!$B$3:$B$5001,$A$295,BD!$D$3:$D$5001,"&lt;&gt;")=0,"",SUMIFS(BD!$D$3:$D$5001,BD!$A$3:$A$5001,AE$3,BD!$B$3:$B$5001,$A$295)))</f>
        <v/>
      </c>
      <c r="AF296" s="179" t="str">
        <f>IF(AF$3="","",IF(COUNTIFS(BD!$A$3:$A$5001,AF$3,BD!$B$3:$B$5001,$A$295,BD!$D$3:$D$5001,"&lt;&gt;")=0,"",SUMIFS(BD!$D$3:$D$5001,BD!$A$3:$A$5001,AF$3,BD!$B$3:$B$5001,$A$295)))</f>
        <v/>
      </c>
      <c r="AG296" s="179" t="str">
        <f>IF(AG$3="","",IF(COUNTIFS(BD!$A$3:$A$5001,AG$3,BD!$B$3:$B$5001,$A$295,BD!$D$3:$D$5001,"&lt;&gt;")=0,"",SUMIFS(BD!$D$3:$D$5001,BD!$A$3:$A$5001,AG$3,BD!$B$3:$B$5001,$A$295)))</f>
        <v/>
      </c>
      <c r="AH296" s="179" t="str">
        <f>IF(AH$3="","",IF(COUNTIFS(BD!$A$3:$A$5001,AH$3,BD!$B$3:$B$5001,$A$295,BD!$D$3:$D$5001,"&lt;&gt;")=0,"",SUMIFS(BD!$D$3:$D$5001,BD!$A$3:$A$5001,AH$3,BD!$B$3:$B$5001,$A$295)))</f>
        <v/>
      </c>
      <c r="AI296" s="179" t="str">
        <f>IF(AI$3="","",IF(COUNTIFS(BD!$A$3:$A$5001,AI$3,BD!$B$3:$B$5001,$A$295,BD!$D$3:$D$5001,"&lt;&gt;")=0,"",SUMIFS(BD!$D$3:$D$5001,BD!$A$3:$A$5001,AI$3,BD!$B$3:$B$5001,$A$295)))</f>
        <v/>
      </c>
      <c r="AJ296" s="180" t="str">
        <f>IF(AJ$3="","",IF(COUNTIFS(BD!$A$3:$A$5001,AJ$3,BD!$B$3:$B$5001,$A$295,BD!$D$3:$D$5001,"&lt;&gt;")=0,"",SUMIFS(BD!$D$3:$D$5001,BD!$A$3:$A$5001,AJ$3,BD!$B$3:$B$5001,$A$295)))</f>
        <v/>
      </c>
      <c r="AK296" s="181" t="str">
        <f>IF(COUNT(F296:AJ296)=0,"",SUM(F296:AJ296))</f>
        <v/>
      </c>
    </row>
    <row r="297" ht="15.75" customHeight="1" hidden="1">
      <c r="A297" s="277"/>
      <c r="B297" s="265"/>
      <c r="C297" s="175" t="inlineStr">
        <is>
          <t xml:space="preserve">Toneladas Movimentadas</t>
        </is>
      </c>
      <c r="D297" s="176" t="str">
        <f>IFERROR(1/(1/INDEX(BD!$AF$25:$AZ$25,MATCH($A$295,BD!$AF$22:$AZ$22,0))),"")</f>
        <v/>
      </c>
      <c r="E297" s="177"/>
      <c r="F297" s="182" t="str">
        <f>IF(F$3="","",IF(COUNTIFS(BD!$A$3:$A$5001,F$3,BD!$B$3:$B$5001,$A$295,BD!$E$3:$E$5001,"&lt;&gt;")=0,"",SUMIFS(BD!$E$3:$E$5001,BD!$A$3:$A$5001,F$3,BD!$B$3:$B$5001,$A$295)))</f>
        <v/>
      </c>
      <c r="G297" s="183" t="str">
        <f>IF(G$3="","",IF(COUNTIFS(BD!$A$3:$A$5001,G$3,BD!$B$3:$B$5001,$A$295,BD!$E$3:$E$5001,"&lt;&gt;")=0,"",SUMIFS(BD!$E$3:$E$5001,BD!$A$3:$A$5001,G$3,BD!$B$3:$B$5001,$A$295)))</f>
        <v/>
      </c>
      <c r="H297" s="183" t="str">
        <f>IF(H$3="","",IF(COUNTIFS(BD!$A$3:$A$5001,H$3,BD!$B$3:$B$5001,$A$295,BD!$E$3:$E$5001,"&lt;&gt;")=0,"",SUMIFS(BD!$E$3:$E$5001,BD!$A$3:$A$5001,H$3,BD!$B$3:$B$5001,$A$295)))</f>
        <v/>
      </c>
      <c r="I297" s="183" t="str">
        <f>IF(I$3="","",IF(COUNTIFS(BD!$A$3:$A$5001,I$3,BD!$B$3:$B$5001,$A$295,BD!$E$3:$E$5001,"&lt;&gt;")=0,"",SUMIFS(BD!$E$3:$E$5001,BD!$A$3:$A$5001,I$3,BD!$B$3:$B$5001,$A$295)))</f>
        <v/>
      </c>
      <c r="J297" s="183" t="str">
        <f>IF(J$3="","",IF(COUNTIFS(BD!$A$3:$A$5001,J$3,BD!$B$3:$B$5001,$A$295,BD!$E$3:$E$5001,"&lt;&gt;")=0,"",SUMIFS(BD!$E$3:$E$5001,BD!$A$3:$A$5001,J$3,BD!$B$3:$B$5001,$A$295)))</f>
        <v/>
      </c>
      <c r="K297" s="183" t="str">
        <f>IF(K$3="","",IF(COUNTIFS(BD!$A$3:$A$5001,K$3,BD!$B$3:$B$5001,$A$295,BD!$E$3:$E$5001,"&lt;&gt;")=0,"",SUMIFS(BD!$E$3:$E$5001,BD!$A$3:$A$5001,K$3,BD!$B$3:$B$5001,$A$295)))</f>
        <v/>
      </c>
      <c r="L297" s="183" t="str">
        <f>IF(L$3="","",IF(COUNTIFS(BD!$A$3:$A$5001,L$3,BD!$B$3:$B$5001,$A$295,BD!$E$3:$E$5001,"&lt;&gt;")=0,"",SUMIFS(BD!$E$3:$E$5001,BD!$A$3:$A$5001,L$3,BD!$B$3:$B$5001,$A$295)))</f>
        <v/>
      </c>
      <c r="M297" s="183" t="str">
        <f>IF(M$3="","",IF(COUNTIFS(BD!$A$3:$A$5001,M$3,BD!$B$3:$B$5001,$A$295,BD!$E$3:$E$5001,"&lt;&gt;")=0,"",SUMIFS(BD!$E$3:$E$5001,BD!$A$3:$A$5001,M$3,BD!$B$3:$B$5001,$A$295)))</f>
        <v/>
      </c>
      <c r="N297" s="183" t="str">
        <f>IF(N$3="","",IF(COUNTIFS(BD!$A$3:$A$5001,N$3,BD!$B$3:$B$5001,$A$295,BD!$E$3:$E$5001,"&lt;&gt;")=0,"",SUMIFS(BD!$E$3:$E$5001,BD!$A$3:$A$5001,N$3,BD!$B$3:$B$5001,$A$295)))</f>
        <v/>
      </c>
      <c r="O297" s="183" t="str">
        <f>IF(O$3="","",IF(COUNTIFS(BD!$A$3:$A$5001,O$3,BD!$B$3:$B$5001,$A$295,BD!$E$3:$E$5001,"&lt;&gt;")=0,"",SUMIFS(BD!$E$3:$E$5001,BD!$A$3:$A$5001,O$3,BD!$B$3:$B$5001,$A$295)))</f>
        <v/>
      </c>
      <c r="P297" s="183" t="str">
        <f>IF(P$3="","",IF(COUNTIFS(BD!$A$3:$A$5001,P$3,BD!$B$3:$B$5001,$A$295,BD!$E$3:$E$5001,"&lt;&gt;")=0,"",SUMIFS(BD!$E$3:$E$5001,BD!$A$3:$A$5001,P$3,BD!$B$3:$B$5001,$A$295)))</f>
        <v/>
      </c>
      <c r="Q297" s="183" t="str">
        <f>IF(Q$3="","",IF(COUNTIFS(BD!$A$3:$A$5001,Q$3,BD!$B$3:$B$5001,$A$295,BD!$E$3:$E$5001,"&lt;&gt;")=0,"",SUMIFS(BD!$E$3:$E$5001,BD!$A$3:$A$5001,Q$3,BD!$B$3:$B$5001,$A$295)))</f>
        <v/>
      </c>
      <c r="R297" s="183" t="str">
        <f>IF(R$3="","",IF(COUNTIFS(BD!$A$3:$A$5001,R$3,BD!$B$3:$B$5001,$A$295,BD!$E$3:$E$5001,"&lt;&gt;")=0,"",SUMIFS(BD!$E$3:$E$5001,BD!$A$3:$A$5001,R$3,BD!$B$3:$B$5001,$A$295)))</f>
        <v/>
      </c>
      <c r="S297" s="183" t="str">
        <f>IF(S$3="","",IF(COUNTIFS(BD!$A$3:$A$5001,S$3,BD!$B$3:$B$5001,$A$295,BD!$E$3:$E$5001,"&lt;&gt;")=0,"",SUMIFS(BD!$E$3:$E$5001,BD!$A$3:$A$5001,S$3,BD!$B$3:$B$5001,$A$295)))</f>
        <v/>
      </c>
      <c r="T297" s="183" t="str">
        <f>IF(T$3="","",IF(COUNTIFS(BD!$A$3:$A$5001,T$3,BD!$B$3:$B$5001,$A$295,BD!$E$3:$E$5001,"&lt;&gt;")=0,"",SUMIFS(BD!$E$3:$E$5001,BD!$A$3:$A$5001,T$3,BD!$B$3:$B$5001,$A$295)))</f>
        <v/>
      </c>
      <c r="U297" s="183" t="str">
        <f>IF(U$3="","",IF(COUNTIFS(BD!$A$3:$A$5001,U$3,BD!$B$3:$B$5001,$A$295,BD!$E$3:$E$5001,"&lt;&gt;")=0,"",SUMIFS(BD!$E$3:$E$5001,BD!$A$3:$A$5001,U$3,BD!$B$3:$B$5001,$A$295)))</f>
        <v/>
      </c>
      <c r="V297" s="183" t="str">
        <f>IF(V$3="","",IF(COUNTIFS(BD!$A$3:$A$5001,V$3,BD!$B$3:$B$5001,$A$295,BD!$E$3:$E$5001,"&lt;&gt;")=0,"",SUMIFS(BD!$E$3:$E$5001,BD!$A$3:$A$5001,V$3,BD!$B$3:$B$5001,$A$295)))</f>
        <v/>
      </c>
      <c r="W297" s="183" t="str">
        <f>IF(W$3="","",IF(COUNTIFS(BD!$A$3:$A$5001,W$3,BD!$B$3:$B$5001,$A$295,BD!$E$3:$E$5001,"&lt;&gt;")=0,"",SUMIFS(BD!$E$3:$E$5001,BD!$A$3:$A$5001,W$3,BD!$B$3:$B$5001,$A$295)))</f>
        <v/>
      </c>
      <c r="X297" s="183" t="str">
        <f>IF(X$3="","",IF(COUNTIFS(BD!$A$3:$A$5001,X$3,BD!$B$3:$B$5001,$A$295,BD!$E$3:$E$5001,"&lt;&gt;")=0,"",SUMIFS(BD!$E$3:$E$5001,BD!$A$3:$A$5001,X$3,BD!$B$3:$B$5001,$A$295)))</f>
        <v/>
      </c>
      <c r="Y297" s="183" t="str">
        <f>IF(Y$3="","",IF(COUNTIFS(BD!$A$3:$A$5001,Y$3,BD!$B$3:$B$5001,$A$295,BD!$E$3:$E$5001,"&lt;&gt;")=0,"",SUMIFS(BD!$E$3:$E$5001,BD!$A$3:$A$5001,Y$3,BD!$B$3:$B$5001,$A$295)))</f>
        <v/>
      </c>
      <c r="Z297" s="183" t="str">
        <f>IF(Z$3="","",IF(COUNTIFS(BD!$A$3:$A$5001,Z$3,BD!$B$3:$B$5001,$A$295,BD!$E$3:$E$5001,"&lt;&gt;")=0,"",SUMIFS(BD!$E$3:$E$5001,BD!$A$3:$A$5001,Z$3,BD!$B$3:$B$5001,$A$295)))</f>
        <v/>
      </c>
      <c r="AA297" s="183" t="str">
        <f>IF(AA$3="","",IF(COUNTIFS(BD!$A$3:$A$5001,AA$3,BD!$B$3:$B$5001,$A$295,BD!$E$3:$E$5001,"&lt;&gt;")=0,"",SUMIFS(BD!$E$3:$E$5001,BD!$A$3:$A$5001,AA$3,BD!$B$3:$B$5001,$A$295)))</f>
        <v/>
      </c>
      <c r="AB297" s="183" t="str">
        <f>IF(AB$3="","",IF(COUNTIFS(BD!$A$3:$A$5001,AB$3,BD!$B$3:$B$5001,$A$295,BD!$E$3:$E$5001,"&lt;&gt;")=0,"",SUMIFS(BD!$E$3:$E$5001,BD!$A$3:$A$5001,AB$3,BD!$B$3:$B$5001,$A$295)))</f>
        <v/>
      </c>
      <c r="AC297" s="183" t="str">
        <f>IF(AC$3="","",IF(COUNTIFS(BD!$A$3:$A$5001,AC$3,BD!$B$3:$B$5001,$A$295,BD!$E$3:$E$5001,"&lt;&gt;")=0,"",SUMIFS(BD!$E$3:$E$5001,BD!$A$3:$A$5001,AC$3,BD!$B$3:$B$5001,$A$295)))</f>
        <v/>
      </c>
      <c r="AD297" s="183" t="str">
        <f>IF(AD$3="","",IF(COUNTIFS(BD!$A$3:$A$5001,AD$3,BD!$B$3:$B$5001,$A$295,BD!$E$3:$E$5001,"&lt;&gt;")=0,"",SUMIFS(BD!$E$3:$E$5001,BD!$A$3:$A$5001,AD$3,BD!$B$3:$B$5001,$A$295)))</f>
        <v/>
      </c>
      <c r="AE297" s="183" t="str">
        <f>IF(AE$3="","",IF(COUNTIFS(BD!$A$3:$A$5001,AE$3,BD!$B$3:$B$5001,$A$295,BD!$E$3:$E$5001,"&lt;&gt;")=0,"",SUMIFS(BD!$E$3:$E$5001,BD!$A$3:$A$5001,AE$3,BD!$B$3:$B$5001,$A$295)))</f>
        <v/>
      </c>
      <c r="AF297" s="183" t="str">
        <f>IF(AF$3="","",IF(COUNTIFS(BD!$A$3:$A$5001,AF$3,BD!$B$3:$B$5001,$A$295,BD!$E$3:$E$5001,"&lt;&gt;")=0,"",SUMIFS(BD!$E$3:$E$5001,BD!$A$3:$A$5001,AF$3,BD!$B$3:$B$5001,$A$295)))</f>
        <v/>
      </c>
      <c r="AG297" s="183" t="str">
        <f>IF(AG$3="","",IF(COUNTIFS(BD!$A$3:$A$5001,AG$3,BD!$B$3:$B$5001,$A$295,BD!$E$3:$E$5001,"&lt;&gt;")=0,"",SUMIFS(BD!$E$3:$E$5001,BD!$A$3:$A$5001,AG$3,BD!$B$3:$B$5001,$A$295)))</f>
        <v/>
      </c>
      <c r="AH297" s="183" t="str">
        <f>IF(AH$3="","",IF(COUNTIFS(BD!$A$3:$A$5001,AH$3,BD!$B$3:$B$5001,$A$295,BD!$E$3:$E$5001,"&lt;&gt;")=0,"",SUMIFS(BD!$E$3:$E$5001,BD!$A$3:$A$5001,AH$3,BD!$B$3:$B$5001,$A$295)))</f>
        <v/>
      </c>
      <c r="AI297" s="183" t="str">
        <f>IF(AI$3="","",IF(COUNTIFS(BD!$A$3:$A$5001,AI$3,BD!$B$3:$B$5001,$A$295,BD!$E$3:$E$5001,"&lt;&gt;")=0,"",SUMIFS(BD!$E$3:$E$5001,BD!$A$3:$A$5001,AI$3,BD!$B$3:$B$5001,$A$295)))</f>
        <v/>
      </c>
      <c r="AJ297" s="184" t="str">
        <f>IF(AJ$3="","",IF(COUNTIFS(BD!$A$3:$A$5001,AJ$3,BD!$B$3:$B$5001,$A$295,BD!$E$3:$E$5001,"&lt;&gt;")=0,"",SUMIFS(BD!$E$3:$E$5001,BD!$A$3:$A$5001,AJ$3,BD!$B$3:$B$5001,$A$295)))</f>
        <v/>
      </c>
      <c r="AK297" s="185" t="str">
        <f>IF(COUNT(F297:AJ297)=0,"",SUM(F297:AJ297))</f>
        <v/>
      </c>
    </row>
    <row r="298" ht="15.75" customHeight="1" hidden="1">
      <c r="A298" s="277"/>
      <c r="B298" s="265"/>
      <c r="C298" s="175" t="inlineStr">
        <is>
          <t xml:space="preserve">Caixas Recebidas</t>
        </is>
      </c>
      <c r="D298" s="176" t="str">
        <f>IFERROR(1/(1/INDEX(BD!$AF$26:$AZ$26,MATCH($A$295,BD!$AF$22:$AZ$22,0))),"")</f>
        <v/>
      </c>
      <c r="E298" s="177"/>
      <c r="F298" s="178" t="str">
        <f>IF(F$3="","",IF(COUNTIFS(BD!$A$3:$A$5001,F$3,BD!$B$3:$B$5001,$A$295,BD!$F$3:$F$5001,"&lt;&gt;")=0,"",SUMIFS(BD!$F$3:$F$5001,BD!$A$3:$A$5001,F$3,BD!$B$3:$B$5001,$A$295)))</f>
        <v/>
      </c>
      <c r="G298" s="179" t="str">
        <f>IF(G$3="","",IF(COUNTIFS(BD!$A$3:$A$5001,G$3,BD!$B$3:$B$5001,$A$295,BD!$F$3:$F$5001,"&lt;&gt;")=0,"",SUMIFS(BD!$F$3:$F$5001,BD!$A$3:$A$5001,G$3,BD!$B$3:$B$5001,$A$295)))</f>
        <v/>
      </c>
      <c r="H298" s="179" t="str">
        <f>IF(H$3="","",IF(COUNTIFS(BD!$A$3:$A$5001,H$3,BD!$B$3:$B$5001,$A$295,BD!$F$3:$F$5001,"&lt;&gt;")=0,"",SUMIFS(BD!$F$3:$F$5001,BD!$A$3:$A$5001,H$3,BD!$B$3:$B$5001,$A$295)))</f>
        <v/>
      </c>
      <c r="I298" s="179" t="str">
        <f>IF(I$3="","",IF(COUNTIFS(BD!$A$3:$A$5001,I$3,BD!$B$3:$B$5001,$A$295,BD!$F$3:$F$5001,"&lt;&gt;")=0,"",SUMIFS(BD!$F$3:$F$5001,BD!$A$3:$A$5001,I$3,BD!$B$3:$B$5001,$A$295)))</f>
        <v/>
      </c>
      <c r="J298" s="179" t="str">
        <f>IF(J$3="","",IF(COUNTIFS(BD!$A$3:$A$5001,J$3,BD!$B$3:$B$5001,$A$295,BD!$F$3:$F$5001,"&lt;&gt;")=0,"",SUMIFS(BD!$F$3:$F$5001,BD!$A$3:$A$5001,J$3,BD!$B$3:$B$5001,$A$295)))</f>
        <v/>
      </c>
      <c r="K298" s="179" t="str">
        <f>IF(K$3="","",IF(COUNTIFS(BD!$A$3:$A$5001,K$3,BD!$B$3:$B$5001,$A$295,BD!$F$3:$F$5001,"&lt;&gt;")=0,"",SUMIFS(BD!$F$3:$F$5001,BD!$A$3:$A$5001,K$3,BD!$B$3:$B$5001,$A$295)))</f>
        <v/>
      </c>
      <c r="L298" s="179" t="str">
        <f>IF(L$3="","",IF(COUNTIFS(BD!$A$3:$A$5001,L$3,BD!$B$3:$B$5001,$A$295,BD!$F$3:$F$5001,"&lt;&gt;")=0,"",SUMIFS(BD!$F$3:$F$5001,BD!$A$3:$A$5001,L$3,BD!$B$3:$B$5001,$A$295)))</f>
        <v/>
      </c>
      <c r="M298" s="179" t="str">
        <f>IF(M$3="","",IF(COUNTIFS(BD!$A$3:$A$5001,M$3,BD!$B$3:$B$5001,$A$295,BD!$F$3:$F$5001,"&lt;&gt;")=0,"",SUMIFS(BD!$F$3:$F$5001,BD!$A$3:$A$5001,M$3,BD!$B$3:$B$5001,$A$295)))</f>
        <v/>
      </c>
      <c r="N298" s="179" t="str">
        <f>IF(N$3="","",IF(COUNTIFS(BD!$A$3:$A$5001,N$3,BD!$B$3:$B$5001,$A$295,BD!$F$3:$F$5001,"&lt;&gt;")=0,"",SUMIFS(BD!$F$3:$F$5001,BD!$A$3:$A$5001,N$3,BD!$B$3:$B$5001,$A$295)))</f>
        <v/>
      </c>
      <c r="O298" s="179" t="str">
        <f>IF(O$3="","",IF(COUNTIFS(BD!$A$3:$A$5001,O$3,BD!$B$3:$B$5001,$A$295,BD!$F$3:$F$5001,"&lt;&gt;")=0,"",SUMIFS(BD!$F$3:$F$5001,BD!$A$3:$A$5001,O$3,BD!$B$3:$B$5001,$A$295)))</f>
        <v/>
      </c>
      <c r="P298" s="179" t="str">
        <f>IF(P$3="","",IF(COUNTIFS(BD!$A$3:$A$5001,P$3,BD!$B$3:$B$5001,$A$295,BD!$F$3:$F$5001,"&lt;&gt;")=0,"",SUMIFS(BD!$F$3:$F$5001,BD!$A$3:$A$5001,P$3,BD!$B$3:$B$5001,$A$295)))</f>
        <v/>
      </c>
      <c r="Q298" s="179" t="str">
        <f>IF(Q$3="","",IF(COUNTIFS(BD!$A$3:$A$5001,Q$3,BD!$B$3:$B$5001,$A$295,BD!$F$3:$F$5001,"&lt;&gt;")=0,"",SUMIFS(BD!$F$3:$F$5001,BD!$A$3:$A$5001,Q$3,BD!$B$3:$B$5001,$A$295)))</f>
        <v/>
      </c>
      <c r="R298" s="179" t="str">
        <f>IF(R$3="","",IF(COUNTIFS(BD!$A$3:$A$5001,R$3,BD!$B$3:$B$5001,$A$295,BD!$F$3:$F$5001,"&lt;&gt;")=0,"",SUMIFS(BD!$F$3:$F$5001,BD!$A$3:$A$5001,R$3,BD!$B$3:$B$5001,$A$295)))</f>
        <v/>
      </c>
      <c r="S298" s="179" t="str">
        <f>IF(S$3="","",IF(COUNTIFS(BD!$A$3:$A$5001,S$3,BD!$B$3:$B$5001,$A$295,BD!$F$3:$F$5001,"&lt;&gt;")=0,"",SUMIFS(BD!$F$3:$F$5001,BD!$A$3:$A$5001,S$3,BD!$B$3:$B$5001,$A$295)))</f>
        <v/>
      </c>
      <c r="T298" s="179" t="str">
        <f>IF(T$3="","",IF(COUNTIFS(BD!$A$3:$A$5001,T$3,BD!$B$3:$B$5001,$A$295,BD!$F$3:$F$5001,"&lt;&gt;")=0,"",SUMIFS(BD!$F$3:$F$5001,BD!$A$3:$A$5001,T$3,BD!$B$3:$B$5001,$A$295)))</f>
        <v/>
      </c>
      <c r="U298" s="179" t="str">
        <f>IF(U$3="","",IF(COUNTIFS(BD!$A$3:$A$5001,U$3,BD!$B$3:$B$5001,$A$295,BD!$F$3:$F$5001,"&lt;&gt;")=0,"",SUMIFS(BD!$F$3:$F$5001,BD!$A$3:$A$5001,U$3,BD!$B$3:$B$5001,$A$295)))</f>
        <v/>
      </c>
      <c r="V298" s="179" t="str">
        <f>IF(V$3="","",IF(COUNTIFS(BD!$A$3:$A$5001,V$3,BD!$B$3:$B$5001,$A$295,BD!$F$3:$F$5001,"&lt;&gt;")=0,"",SUMIFS(BD!$F$3:$F$5001,BD!$A$3:$A$5001,V$3,BD!$B$3:$B$5001,$A$295)))</f>
        <v/>
      </c>
      <c r="W298" s="179" t="str">
        <f>IF(W$3="","",IF(COUNTIFS(BD!$A$3:$A$5001,W$3,BD!$B$3:$B$5001,$A$295,BD!$F$3:$F$5001,"&lt;&gt;")=0,"",SUMIFS(BD!$F$3:$F$5001,BD!$A$3:$A$5001,W$3,BD!$B$3:$B$5001,$A$295)))</f>
        <v/>
      </c>
      <c r="X298" s="179" t="str">
        <f>IF(X$3="","",IF(COUNTIFS(BD!$A$3:$A$5001,X$3,BD!$B$3:$B$5001,$A$295,BD!$F$3:$F$5001,"&lt;&gt;")=0,"",SUMIFS(BD!$F$3:$F$5001,BD!$A$3:$A$5001,X$3,BD!$B$3:$B$5001,$A$295)))</f>
        <v/>
      </c>
      <c r="Y298" s="179" t="str">
        <f>IF(Y$3="","",IF(COUNTIFS(BD!$A$3:$A$5001,Y$3,BD!$B$3:$B$5001,$A$295,BD!$F$3:$F$5001,"&lt;&gt;")=0,"",SUMIFS(BD!$F$3:$F$5001,BD!$A$3:$A$5001,Y$3,BD!$B$3:$B$5001,$A$295)))</f>
        <v/>
      </c>
      <c r="Z298" s="179" t="str">
        <f>IF(Z$3="","",IF(COUNTIFS(BD!$A$3:$A$5001,Z$3,BD!$B$3:$B$5001,$A$295,BD!$F$3:$F$5001,"&lt;&gt;")=0,"",SUMIFS(BD!$F$3:$F$5001,BD!$A$3:$A$5001,Z$3,BD!$B$3:$B$5001,$A$295)))</f>
        <v/>
      </c>
      <c r="AA298" s="179" t="str">
        <f>IF(AA$3="","",IF(COUNTIFS(BD!$A$3:$A$5001,AA$3,BD!$B$3:$B$5001,$A$295,BD!$F$3:$F$5001,"&lt;&gt;")=0,"",SUMIFS(BD!$F$3:$F$5001,BD!$A$3:$A$5001,AA$3,BD!$B$3:$B$5001,$A$295)))</f>
        <v/>
      </c>
      <c r="AB298" s="179" t="str">
        <f>IF(AB$3="","",IF(COUNTIFS(BD!$A$3:$A$5001,AB$3,BD!$B$3:$B$5001,$A$295,BD!$F$3:$F$5001,"&lt;&gt;")=0,"",SUMIFS(BD!$F$3:$F$5001,BD!$A$3:$A$5001,AB$3,BD!$B$3:$B$5001,$A$295)))</f>
        <v/>
      </c>
      <c r="AC298" s="179" t="str">
        <f>IF(AC$3="","",IF(COUNTIFS(BD!$A$3:$A$5001,AC$3,BD!$B$3:$B$5001,$A$295,BD!$F$3:$F$5001,"&lt;&gt;")=0,"",SUMIFS(BD!$F$3:$F$5001,BD!$A$3:$A$5001,AC$3,BD!$B$3:$B$5001,$A$295)))</f>
        <v/>
      </c>
      <c r="AD298" s="179" t="str">
        <f>IF(AD$3="","",IF(COUNTIFS(BD!$A$3:$A$5001,AD$3,BD!$B$3:$B$5001,$A$295,BD!$F$3:$F$5001,"&lt;&gt;")=0,"",SUMIFS(BD!$F$3:$F$5001,BD!$A$3:$A$5001,AD$3,BD!$B$3:$B$5001,$A$295)))</f>
        <v/>
      </c>
      <c r="AE298" s="179" t="str">
        <f>IF(AE$3="","",IF(COUNTIFS(BD!$A$3:$A$5001,AE$3,BD!$B$3:$B$5001,$A$295,BD!$F$3:$F$5001,"&lt;&gt;")=0,"",SUMIFS(BD!$F$3:$F$5001,BD!$A$3:$A$5001,AE$3,BD!$B$3:$B$5001,$A$295)))</f>
        <v/>
      </c>
      <c r="AF298" s="179" t="str">
        <f>IF(AF$3="","",IF(COUNTIFS(BD!$A$3:$A$5001,AF$3,BD!$B$3:$B$5001,$A$295,BD!$F$3:$F$5001,"&lt;&gt;")=0,"",SUMIFS(BD!$F$3:$F$5001,BD!$A$3:$A$5001,AF$3,BD!$B$3:$B$5001,$A$295)))</f>
        <v/>
      </c>
      <c r="AG298" s="179" t="str">
        <f>IF(AG$3="","",IF(COUNTIFS(BD!$A$3:$A$5001,AG$3,BD!$B$3:$B$5001,$A$295,BD!$F$3:$F$5001,"&lt;&gt;")=0,"",SUMIFS(BD!$F$3:$F$5001,BD!$A$3:$A$5001,AG$3,BD!$B$3:$B$5001,$A$295)))</f>
        <v/>
      </c>
      <c r="AH298" s="179" t="str">
        <f>IF(AH$3="","",IF(COUNTIFS(BD!$A$3:$A$5001,AH$3,BD!$B$3:$B$5001,$A$295,BD!$F$3:$F$5001,"&lt;&gt;")=0,"",SUMIFS(BD!$F$3:$F$5001,BD!$A$3:$A$5001,AH$3,BD!$B$3:$B$5001,$A$295)))</f>
        <v/>
      </c>
      <c r="AI298" s="179" t="str">
        <f>IF(AI$3="","",IF(COUNTIFS(BD!$A$3:$A$5001,AI$3,BD!$B$3:$B$5001,$A$295,BD!$F$3:$F$5001,"&lt;&gt;")=0,"",SUMIFS(BD!$F$3:$F$5001,BD!$A$3:$A$5001,AI$3,BD!$B$3:$B$5001,$A$295)))</f>
        <v/>
      </c>
      <c r="AJ298" s="180" t="str">
        <f>IF(AJ$3="","",IF(COUNTIFS(BD!$A$3:$A$5001,AJ$3,BD!$B$3:$B$5001,$A$295,BD!$F$3:$F$5001,"&lt;&gt;")=0,"",SUMIFS(BD!$F$3:$F$5001,BD!$A$3:$A$5001,AJ$3,BD!$B$3:$B$5001,$A$295)))</f>
        <v/>
      </c>
      <c r="AK298" s="181" t="str">
        <f>IF(COUNT(F298:AJ298)=0,"",SUM(F298:AJ298))</f>
        <v/>
      </c>
    </row>
    <row r="299" ht="15.75" customHeight="1" hidden="1">
      <c r="A299" s="277"/>
      <c r="B299" s="266"/>
      <c r="C299" s="186" t="inlineStr">
        <is>
          <t xml:space="preserve">Bags Recebidos</t>
        </is>
      </c>
      <c r="D299" s="187" t="str">
        <f>IFERROR(1/(1/INDEX(BD!$AF$27:$AZ$27,MATCH($A$295,BD!$AF$22:$AZ$22,0))),"")</f>
        <v/>
      </c>
      <c r="E299" s="188"/>
      <c r="F299" s="189" t="str">
        <f>IF(F$3="","",IF(COUNTIFS(BD!$A$3:$A$5001,F$3,BD!$B$3:$B$5001,$A$295,BD!$G$3:$G$5001,"&lt;&gt;")=0,"",SUMIFS(BD!$G$3:$G$5001,BD!$A$3:$A$5001,F$3,BD!$B$3:$B$5001,$A$295)))</f>
        <v/>
      </c>
      <c r="G299" s="190" t="str">
        <f>IF(G$3="","",IF(COUNTIFS(BD!$A$3:$A$5001,G$3,BD!$B$3:$B$5001,$A$295,BD!$G$3:$G$5001,"&lt;&gt;")=0,"",SUMIFS(BD!$G$3:$G$5001,BD!$A$3:$A$5001,G$3,BD!$B$3:$B$5001,$A$295)))</f>
        <v/>
      </c>
      <c r="H299" s="190" t="str">
        <f>IF(H$3="","",IF(COUNTIFS(BD!$A$3:$A$5001,H$3,BD!$B$3:$B$5001,$A$295,BD!$G$3:$G$5001,"&lt;&gt;")=0,"",SUMIFS(BD!$G$3:$G$5001,BD!$A$3:$A$5001,H$3,BD!$B$3:$B$5001,$A$295)))</f>
        <v/>
      </c>
      <c r="I299" s="190" t="str">
        <f>IF(I$3="","",IF(COUNTIFS(BD!$A$3:$A$5001,I$3,BD!$B$3:$B$5001,$A$295,BD!$G$3:$G$5001,"&lt;&gt;")=0,"",SUMIFS(BD!$G$3:$G$5001,BD!$A$3:$A$5001,I$3,BD!$B$3:$B$5001,$A$295)))</f>
        <v/>
      </c>
      <c r="J299" s="190" t="str">
        <f>IF(J$3="","",IF(COUNTIFS(BD!$A$3:$A$5001,J$3,BD!$B$3:$B$5001,$A$295,BD!$G$3:$G$5001,"&lt;&gt;")=0,"",SUMIFS(BD!$G$3:$G$5001,BD!$A$3:$A$5001,J$3,BD!$B$3:$B$5001,$A$295)))</f>
        <v/>
      </c>
      <c r="K299" s="190" t="str">
        <f>IF(K$3="","",IF(COUNTIFS(BD!$A$3:$A$5001,K$3,BD!$B$3:$B$5001,$A$295,BD!$G$3:$G$5001,"&lt;&gt;")=0,"",SUMIFS(BD!$G$3:$G$5001,BD!$A$3:$A$5001,K$3,BD!$B$3:$B$5001,$A$295)))</f>
        <v/>
      </c>
      <c r="L299" s="190" t="str">
        <f>IF(L$3="","",IF(COUNTIFS(BD!$A$3:$A$5001,L$3,BD!$B$3:$B$5001,$A$295,BD!$G$3:$G$5001,"&lt;&gt;")=0,"",SUMIFS(BD!$G$3:$G$5001,BD!$A$3:$A$5001,L$3,BD!$B$3:$B$5001,$A$295)))</f>
        <v/>
      </c>
      <c r="M299" s="190" t="str">
        <f>IF(M$3="","",IF(COUNTIFS(BD!$A$3:$A$5001,M$3,BD!$B$3:$B$5001,$A$295,BD!$G$3:$G$5001,"&lt;&gt;")=0,"",SUMIFS(BD!$G$3:$G$5001,BD!$A$3:$A$5001,M$3,BD!$B$3:$B$5001,$A$295)))</f>
        <v/>
      </c>
      <c r="N299" s="190" t="str">
        <f>IF(N$3="","",IF(COUNTIFS(BD!$A$3:$A$5001,N$3,BD!$B$3:$B$5001,$A$295,BD!$G$3:$G$5001,"&lt;&gt;")=0,"",SUMIFS(BD!$G$3:$G$5001,BD!$A$3:$A$5001,N$3,BD!$B$3:$B$5001,$A$295)))</f>
        <v/>
      </c>
      <c r="O299" s="190" t="str">
        <f>IF(O$3="","",IF(COUNTIFS(BD!$A$3:$A$5001,O$3,BD!$B$3:$B$5001,$A$295,BD!$G$3:$G$5001,"&lt;&gt;")=0,"",SUMIFS(BD!$G$3:$G$5001,BD!$A$3:$A$5001,O$3,BD!$B$3:$B$5001,$A$295)))</f>
        <v/>
      </c>
      <c r="P299" s="190" t="str">
        <f>IF(P$3="","",IF(COUNTIFS(BD!$A$3:$A$5001,P$3,BD!$B$3:$B$5001,$A$295,BD!$G$3:$G$5001,"&lt;&gt;")=0,"",SUMIFS(BD!$G$3:$G$5001,BD!$A$3:$A$5001,P$3,BD!$B$3:$B$5001,$A$295)))</f>
        <v/>
      </c>
      <c r="Q299" s="190" t="str">
        <f>IF(Q$3="","",IF(COUNTIFS(BD!$A$3:$A$5001,Q$3,BD!$B$3:$B$5001,$A$295,BD!$G$3:$G$5001,"&lt;&gt;")=0,"",SUMIFS(BD!$G$3:$G$5001,BD!$A$3:$A$5001,Q$3,BD!$B$3:$B$5001,$A$295)))</f>
        <v/>
      </c>
      <c r="R299" s="190" t="str">
        <f>IF(R$3="","",IF(COUNTIFS(BD!$A$3:$A$5001,R$3,BD!$B$3:$B$5001,$A$295,BD!$G$3:$G$5001,"&lt;&gt;")=0,"",SUMIFS(BD!$G$3:$G$5001,BD!$A$3:$A$5001,R$3,BD!$B$3:$B$5001,$A$295)))</f>
        <v/>
      </c>
      <c r="S299" s="190" t="str">
        <f>IF(S$3="","",IF(COUNTIFS(BD!$A$3:$A$5001,S$3,BD!$B$3:$B$5001,$A$295,BD!$G$3:$G$5001,"&lt;&gt;")=0,"",SUMIFS(BD!$G$3:$G$5001,BD!$A$3:$A$5001,S$3,BD!$B$3:$B$5001,$A$295)))</f>
        <v/>
      </c>
      <c r="T299" s="190" t="str">
        <f>IF(T$3="","",IF(COUNTIFS(BD!$A$3:$A$5001,T$3,BD!$B$3:$B$5001,$A$295,BD!$G$3:$G$5001,"&lt;&gt;")=0,"",SUMIFS(BD!$G$3:$G$5001,BD!$A$3:$A$5001,T$3,BD!$B$3:$B$5001,$A$295)))</f>
        <v/>
      </c>
      <c r="U299" s="190" t="str">
        <f>IF(U$3="","",IF(COUNTIFS(BD!$A$3:$A$5001,U$3,BD!$B$3:$B$5001,$A$295,BD!$G$3:$G$5001,"&lt;&gt;")=0,"",SUMIFS(BD!$G$3:$G$5001,BD!$A$3:$A$5001,U$3,BD!$B$3:$B$5001,$A$295)))</f>
        <v/>
      </c>
      <c r="V299" s="190" t="str">
        <f>IF(V$3="","",IF(COUNTIFS(BD!$A$3:$A$5001,V$3,BD!$B$3:$B$5001,$A$295,BD!$G$3:$G$5001,"&lt;&gt;")=0,"",SUMIFS(BD!$G$3:$G$5001,BD!$A$3:$A$5001,V$3,BD!$B$3:$B$5001,$A$295)))</f>
        <v/>
      </c>
      <c r="W299" s="190" t="str">
        <f>IF(W$3="","",IF(COUNTIFS(BD!$A$3:$A$5001,W$3,BD!$B$3:$B$5001,$A$295,BD!$G$3:$G$5001,"&lt;&gt;")=0,"",SUMIFS(BD!$G$3:$G$5001,BD!$A$3:$A$5001,W$3,BD!$B$3:$B$5001,$A$295)))</f>
        <v/>
      </c>
      <c r="X299" s="190" t="str">
        <f>IF(X$3="","",IF(COUNTIFS(BD!$A$3:$A$5001,X$3,BD!$B$3:$B$5001,$A$295,BD!$G$3:$G$5001,"&lt;&gt;")=0,"",SUMIFS(BD!$G$3:$G$5001,BD!$A$3:$A$5001,X$3,BD!$B$3:$B$5001,$A$295)))</f>
        <v/>
      </c>
      <c r="Y299" s="190" t="str">
        <f>IF(Y$3="","",IF(COUNTIFS(BD!$A$3:$A$5001,Y$3,BD!$B$3:$B$5001,$A$295,BD!$G$3:$G$5001,"&lt;&gt;")=0,"",SUMIFS(BD!$G$3:$G$5001,BD!$A$3:$A$5001,Y$3,BD!$B$3:$B$5001,$A$295)))</f>
        <v/>
      </c>
      <c r="Z299" s="190" t="str">
        <f>IF(Z$3="","",IF(COUNTIFS(BD!$A$3:$A$5001,Z$3,BD!$B$3:$B$5001,$A$295,BD!$G$3:$G$5001,"&lt;&gt;")=0,"",SUMIFS(BD!$G$3:$G$5001,BD!$A$3:$A$5001,Z$3,BD!$B$3:$B$5001,$A$295)))</f>
        <v/>
      </c>
      <c r="AA299" s="190" t="str">
        <f>IF(AA$3="","",IF(COUNTIFS(BD!$A$3:$A$5001,AA$3,BD!$B$3:$B$5001,$A$295,BD!$G$3:$G$5001,"&lt;&gt;")=0,"",SUMIFS(BD!$G$3:$G$5001,BD!$A$3:$A$5001,AA$3,BD!$B$3:$B$5001,$A$295)))</f>
        <v/>
      </c>
      <c r="AB299" s="190" t="str">
        <f>IF(AB$3="","",IF(COUNTIFS(BD!$A$3:$A$5001,AB$3,BD!$B$3:$B$5001,$A$295,BD!$G$3:$G$5001,"&lt;&gt;")=0,"",SUMIFS(BD!$G$3:$G$5001,BD!$A$3:$A$5001,AB$3,BD!$B$3:$B$5001,$A$295)))</f>
        <v/>
      </c>
      <c r="AC299" s="190" t="str">
        <f>IF(AC$3="","",IF(COUNTIFS(BD!$A$3:$A$5001,AC$3,BD!$B$3:$B$5001,$A$295,BD!$G$3:$G$5001,"&lt;&gt;")=0,"",SUMIFS(BD!$G$3:$G$5001,BD!$A$3:$A$5001,AC$3,BD!$B$3:$B$5001,$A$295)))</f>
        <v/>
      </c>
      <c r="AD299" s="190" t="str">
        <f>IF(AD$3="","",IF(COUNTIFS(BD!$A$3:$A$5001,AD$3,BD!$B$3:$B$5001,$A$295,BD!$G$3:$G$5001,"&lt;&gt;")=0,"",SUMIFS(BD!$G$3:$G$5001,BD!$A$3:$A$5001,AD$3,BD!$B$3:$B$5001,$A$295)))</f>
        <v/>
      </c>
      <c r="AE299" s="190" t="str">
        <f>IF(AE$3="","",IF(COUNTIFS(BD!$A$3:$A$5001,AE$3,BD!$B$3:$B$5001,$A$295,BD!$G$3:$G$5001,"&lt;&gt;")=0,"",SUMIFS(BD!$G$3:$G$5001,BD!$A$3:$A$5001,AE$3,BD!$B$3:$B$5001,$A$295)))</f>
        <v/>
      </c>
      <c r="AF299" s="190" t="str">
        <f>IF(AF$3="","",IF(COUNTIFS(BD!$A$3:$A$5001,AF$3,BD!$B$3:$B$5001,$A$295,BD!$G$3:$G$5001,"&lt;&gt;")=0,"",SUMIFS(BD!$G$3:$G$5001,BD!$A$3:$A$5001,AF$3,BD!$B$3:$B$5001,$A$295)))</f>
        <v/>
      </c>
      <c r="AG299" s="190" t="str">
        <f>IF(AG$3="","",IF(COUNTIFS(BD!$A$3:$A$5001,AG$3,BD!$B$3:$B$5001,$A$295,BD!$G$3:$G$5001,"&lt;&gt;")=0,"",SUMIFS(BD!$G$3:$G$5001,BD!$A$3:$A$5001,AG$3,BD!$B$3:$B$5001,$A$295)))</f>
        <v/>
      </c>
      <c r="AH299" s="190" t="str">
        <f>IF(AH$3="","",IF(COUNTIFS(BD!$A$3:$A$5001,AH$3,BD!$B$3:$B$5001,$A$295,BD!$G$3:$G$5001,"&lt;&gt;")=0,"",SUMIFS(BD!$G$3:$G$5001,BD!$A$3:$A$5001,AH$3,BD!$B$3:$B$5001,$A$295)))</f>
        <v/>
      </c>
      <c r="AI299" s="190" t="str">
        <f>IF(AI$3="","",IF(COUNTIFS(BD!$A$3:$A$5001,AI$3,BD!$B$3:$B$5001,$A$295,BD!$G$3:$G$5001,"&lt;&gt;")=0,"",SUMIFS(BD!$G$3:$G$5001,BD!$A$3:$A$5001,AI$3,BD!$B$3:$B$5001,$A$295)))</f>
        <v/>
      </c>
      <c r="AJ299" s="191" t="str">
        <f>IF(AJ$3="","",IF(COUNTIFS(BD!$A$3:$A$5001,AJ$3,BD!$B$3:$B$5001,$A$295,BD!$G$3:$G$5001,"&lt;&gt;")=0,"",SUMIFS(BD!$G$3:$G$5001,BD!$A$3:$A$5001,AJ$3,BD!$B$3:$B$5001,$A$295)))</f>
        <v/>
      </c>
      <c r="AK299" s="187" t="str">
        <f>IF(COUNT(F299:AJ299)=0,"",SUM(F299:AJ299))</f>
        <v/>
      </c>
    </row>
    <row r="300" ht="15.75" customHeight="1" hidden="1">
      <c r="A300" s="277"/>
      <c r="B300" s="267" t="inlineStr">
        <is>
          <t xml:space="preserve">OUT</t>
        </is>
      </c>
      <c r="C300" s="192" t="inlineStr">
        <is>
          <t xml:space="preserve">Veículos Expedidos</t>
        </is>
      </c>
      <c r="D300" s="193" t="str">
        <f>IFERROR(1/(1/INDEX(BD!$AF$28:$AZ$28,MATCH($A$295,BD!$AF$22:$AZ$22,0))),"")</f>
        <v/>
      </c>
      <c r="E300" s="194"/>
      <c r="F300" s="195" t="str">
        <f>IF(F$3="","",IF(COUNTIFS(BD!$A$3:$A$5001,F$3,BD!$B$3:$B$5001,$A$295,BD!$H$3:$H$5001,"&lt;&gt;")=0,"",SUMIFS(BD!$H$3:$H$5001,BD!$A$3:$A$5001,F$3,BD!$B$3:$B$5001,$A$295)))</f>
        <v/>
      </c>
      <c r="G300" s="196" t="str">
        <f>IF(G$3="","",IF(COUNTIFS(BD!$A$3:$A$5001,G$3,BD!$B$3:$B$5001,$A$295,BD!$H$3:$H$5001,"&lt;&gt;")=0,"",SUMIFS(BD!$H$3:$H$5001,BD!$A$3:$A$5001,G$3,BD!$B$3:$B$5001,$A$295)))</f>
        <v/>
      </c>
      <c r="H300" s="196" t="str">
        <f>IF(H$3="","",IF(COUNTIFS(BD!$A$3:$A$5001,H$3,BD!$B$3:$B$5001,$A$295,BD!$H$3:$H$5001,"&lt;&gt;")=0,"",SUMIFS(BD!$H$3:$H$5001,BD!$A$3:$A$5001,H$3,BD!$B$3:$B$5001,$A$295)))</f>
        <v/>
      </c>
      <c r="I300" s="196" t="str">
        <f>IF(I$3="","",IF(COUNTIFS(BD!$A$3:$A$5001,I$3,BD!$B$3:$B$5001,$A$295,BD!$H$3:$H$5001,"&lt;&gt;")=0,"",SUMIFS(BD!$H$3:$H$5001,BD!$A$3:$A$5001,I$3,BD!$B$3:$B$5001,$A$295)))</f>
        <v/>
      </c>
      <c r="J300" s="196" t="str">
        <f>IF(J$3="","",IF(COUNTIFS(BD!$A$3:$A$5001,J$3,BD!$B$3:$B$5001,$A$295,BD!$H$3:$H$5001,"&lt;&gt;")=0,"",SUMIFS(BD!$H$3:$H$5001,BD!$A$3:$A$5001,J$3,BD!$B$3:$B$5001,$A$295)))</f>
        <v/>
      </c>
      <c r="K300" s="196" t="str">
        <f>IF(K$3="","",IF(COUNTIFS(BD!$A$3:$A$5001,K$3,BD!$B$3:$B$5001,$A$295,BD!$H$3:$H$5001,"&lt;&gt;")=0,"",SUMIFS(BD!$H$3:$H$5001,BD!$A$3:$A$5001,K$3,BD!$B$3:$B$5001,$A$295)))</f>
        <v/>
      </c>
      <c r="L300" s="196" t="str">
        <f>IF(L$3="","",IF(COUNTIFS(BD!$A$3:$A$5001,L$3,BD!$B$3:$B$5001,$A$295,BD!$H$3:$H$5001,"&lt;&gt;")=0,"",SUMIFS(BD!$H$3:$H$5001,BD!$A$3:$A$5001,L$3,BD!$B$3:$B$5001,$A$295)))</f>
        <v/>
      </c>
      <c r="M300" s="196" t="str">
        <f>IF(M$3="","",IF(COUNTIFS(BD!$A$3:$A$5001,M$3,BD!$B$3:$B$5001,$A$295,BD!$H$3:$H$5001,"&lt;&gt;")=0,"",SUMIFS(BD!$H$3:$H$5001,BD!$A$3:$A$5001,M$3,BD!$B$3:$B$5001,$A$295)))</f>
        <v/>
      </c>
      <c r="N300" s="196" t="str">
        <f>IF(N$3="","",IF(COUNTIFS(BD!$A$3:$A$5001,N$3,BD!$B$3:$B$5001,$A$295,BD!$H$3:$H$5001,"&lt;&gt;")=0,"",SUMIFS(BD!$H$3:$H$5001,BD!$A$3:$A$5001,N$3,BD!$B$3:$B$5001,$A$295)))</f>
        <v/>
      </c>
      <c r="O300" s="196" t="str">
        <f>IF(O$3="","",IF(COUNTIFS(BD!$A$3:$A$5001,O$3,BD!$B$3:$B$5001,$A$295,BD!$H$3:$H$5001,"&lt;&gt;")=0,"",SUMIFS(BD!$H$3:$H$5001,BD!$A$3:$A$5001,O$3,BD!$B$3:$B$5001,$A$295)))</f>
        <v/>
      </c>
      <c r="P300" s="196" t="str">
        <f>IF(P$3="","",IF(COUNTIFS(BD!$A$3:$A$5001,P$3,BD!$B$3:$B$5001,$A$295,BD!$H$3:$H$5001,"&lt;&gt;")=0,"",SUMIFS(BD!$H$3:$H$5001,BD!$A$3:$A$5001,P$3,BD!$B$3:$B$5001,$A$295)))</f>
        <v/>
      </c>
      <c r="Q300" s="196" t="str">
        <f>IF(Q$3="","",IF(COUNTIFS(BD!$A$3:$A$5001,Q$3,BD!$B$3:$B$5001,$A$295,BD!$H$3:$H$5001,"&lt;&gt;")=0,"",SUMIFS(BD!$H$3:$H$5001,BD!$A$3:$A$5001,Q$3,BD!$B$3:$B$5001,$A$295)))</f>
        <v/>
      </c>
      <c r="R300" s="196" t="str">
        <f>IF(R$3="","",IF(COUNTIFS(BD!$A$3:$A$5001,R$3,BD!$B$3:$B$5001,$A$295,BD!$H$3:$H$5001,"&lt;&gt;")=0,"",SUMIFS(BD!$H$3:$H$5001,BD!$A$3:$A$5001,R$3,BD!$B$3:$B$5001,$A$295)))</f>
        <v/>
      </c>
      <c r="S300" s="196" t="str">
        <f>IF(S$3="","",IF(COUNTIFS(BD!$A$3:$A$5001,S$3,BD!$B$3:$B$5001,$A$295,BD!$H$3:$H$5001,"&lt;&gt;")=0,"",SUMIFS(BD!$H$3:$H$5001,BD!$A$3:$A$5001,S$3,BD!$B$3:$B$5001,$A$295)))</f>
        <v/>
      </c>
      <c r="T300" s="196" t="str">
        <f>IF(T$3="","",IF(COUNTIFS(BD!$A$3:$A$5001,T$3,BD!$B$3:$B$5001,$A$295,BD!$H$3:$H$5001,"&lt;&gt;")=0,"",SUMIFS(BD!$H$3:$H$5001,BD!$A$3:$A$5001,T$3,BD!$B$3:$B$5001,$A$295)))</f>
        <v/>
      </c>
      <c r="U300" s="196" t="str">
        <f>IF(U$3="","",IF(COUNTIFS(BD!$A$3:$A$5001,U$3,BD!$B$3:$B$5001,$A$295,BD!$H$3:$H$5001,"&lt;&gt;")=0,"",SUMIFS(BD!$H$3:$H$5001,BD!$A$3:$A$5001,U$3,BD!$B$3:$B$5001,$A$295)))</f>
        <v/>
      </c>
      <c r="V300" s="196" t="str">
        <f>IF(V$3="","",IF(COUNTIFS(BD!$A$3:$A$5001,V$3,BD!$B$3:$B$5001,$A$295,BD!$H$3:$H$5001,"&lt;&gt;")=0,"",SUMIFS(BD!$H$3:$H$5001,BD!$A$3:$A$5001,V$3,BD!$B$3:$B$5001,$A$295)))</f>
        <v/>
      </c>
      <c r="W300" s="196" t="str">
        <f>IF(W$3="","",IF(COUNTIFS(BD!$A$3:$A$5001,W$3,BD!$B$3:$B$5001,$A$295,BD!$H$3:$H$5001,"&lt;&gt;")=0,"",SUMIFS(BD!$H$3:$H$5001,BD!$A$3:$A$5001,W$3,BD!$B$3:$B$5001,$A$295)))</f>
        <v/>
      </c>
      <c r="X300" s="196" t="str">
        <f>IF(X$3="","",IF(COUNTIFS(BD!$A$3:$A$5001,X$3,BD!$B$3:$B$5001,$A$295,BD!$H$3:$H$5001,"&lt;&gt;")=0,"",SUMIFS(BD!$H$3:$H$5001,BD!$A$3:$A$5001,X$3,BD!$B$3:$B$5001,$A$295)))</f>
        <v/>
      </c>
      <c r="Y300" s="196" t="str">
        <f>IF(Y$3="","",IF(COUNTIFS(BD!$A$3:$A$5001,Y$3,BD!$B$3:$B$5001,$A$295,BD!$H$3:$H$5001,"&lt;&gt;")=0,"",SUMIFS(BD!$H$3:$H$5001,BD!$A$3:$A$5001,Y$3,BD!$B$3:$B$5001,$A$295)))</f>
        <v/>
      </c>
      <c r="Z300" s="196" t="str">
        <f>IF(Z$3="","",IF(COUNTIFS(BD!$A$3:$A$5001,Z$3,BD!$B$3:$B$5001,$A$295,BD!$H$3:$H$5001,"&lt;&gt;")=0,"",SUMIFS(BD!$H$3:$H$5001,BD!$A$3:$A$5001,Z$3,BD!$B$3:$B$5001,$A$295)))</f>
        <v/>
      </c>
      <c r="AA300" s="196" t="str">
        <f>IF(AA$3="","",IF(COUNTIFS(BD!$A$3:$A$5001,AA$3,BD!$B$3:$B$5001,$A$295,BD!$H$3:$H$5001,"&lt;&gt;")=0,"",SUMIFS(BD!$H$3:$H$5001,BD!$A$3:$A$5001,AA$3,BD!$B$3:$B$5001,$A$295)))</f>
        <v/>
      </c>
      <c r="AB300" s="196" t="str">
        <f>IF(AB$3="","",IF(COUNTIFS(BD!$A$3:$A$5001,AB$3,BD!$B$3:$B$5001,$A$295,BD!$H$3:$H$5001,"&lt;&gt;")=0,"",SUMIFS(BD!$H$3:$H$5001,BD!$A$3:$A$5001,AB$3,BD!$B$3:$B$5001,$A$295)))</f>
        <v/>
      </c>
      <c r="AC300" s="196" t="str">
        <f>IF(AC$3="","",IF(COUNTIFS(BD!$A$3:$A$5001,AC$3,BD!$B$3:$B$5001,$A$295,BD!$H$3:$H$5001,"&lt;&gt;")=0,"",SUMIFS(BD!$H$3:$H$5001,BD!$A$3:$A$5001,AC$3,BD!$B$3:$B$5001,$A$295)))</f>
        <v/>
      </c>
      <c r="AD300" s="196" t="str">
        <f>IF(AD$3="","",IF(COUNTIFS(BD!$A$3:$A$5001,AD$3,BD!$B$3:$B$5001,$A$295,BD!$H$3:$H$5001,"&lt;&gt;")=0,"",SUMIFS(BD!$H$3:$H$5001,BD!$A$3:$A$5001,AD$3,BD!$B$3:$B$5001,$A$295)))</f>
        <v/>
      </c>
      <c r="AE300" s="196" t="str">
        <f>IF(AE$3="","",IF(COUNTIFS(BD!$A$3:$A$5001,AE$3,BD!$B$3:$B$5001,$A$295,BD!$H$3:$H$5001,"&lt;&gt;")=0,"",SUMIFS(BD!$H$3:$H$5001,BD!$A$3:$A$5001,AE$3,BD!$B$3:$B$5001,$A$295)))</f>
        <v/>
      </c>
      <c r="AF300" s="196" t="str">
        <f>IF(AF$3="","",IF(COUNTIFS(BD!$A$3:$A$5001,AF$3,BD!$B$3:$B$5001,$A$295,BD!$H$3:$H$5001,"&lt;&gt;")=0,"",SUMIFS(BD!$H$3:$H$5001,BD!$A$3:$A$5001,AF$3,BD!$B$3:$B$5001,$A$295)))</f>
        <v/>
      </c>
      <c r="AG300" s="196" t="str">
        <f>IF(AG$3="","",IF(COUNTIFS(BD!$A$3:$A$5001,AG$3,BD!$B$3:$B$5001,$A$295,BD!$H$3:$H$5001,"&lt;&gt;")=0,"",SUMIFS(BD!$H$3:$H$5001,BD!$A$3:$A$5001,AG$3,BD!$B$3:$B$5001,$A$295)))</f>
        <v/>
      </c>
      <c r="AH300" s="196" t="str">
        <f>IF(AH$3="","",IF(COUNTIFS(BD!$A$3:$A$5001,AH$3,BD!$B$3:$B$5001,$A$295,BD!$H$3:$H$5001,"&lt;&gt;")=0,"",SUMIFS(BD!$H$3:$H$5001,BD!$A$3:$A$5001,AH$3,BD!$B$3:$B$5001,$A$295)))</f>
        <v/>
      </c>
      <c r="AI300" s="196" t="str">
        <f>IF(AI$3="","",IF(COUNTIFS(BD!$A$3:$A$5001,AI$3,BD!$B$3:$B$5001,$A$295,BD!$H$3:$H$5001,"&lt;&gt;")=0,"",SUMIFS(BD!$H$3:$H$5001,BD!$A$3:$A$5001,AI$3,BD!$B$3:$B$5001,$A$295)))</f>
        <v/>
      </c>
      <c r="AJ300" s="197" t="str">
        <f>IF(AJ$3="","",IF(COUNTIFS(BD!$A$3:$A$5001,AJ$3,BD!$B$3:$B$5001,$A$295,BD!$H$3:$H$5001,"&lt;&gt;")=0,"",SUMIFS(BD!$H$3:$H$5001,BD!$A$3:$A$5001,AJ$3,BD!$B$3:$B$5001,$A$295)))</f>
        <v/>
      </c>
      <c r="AK300" s="198" t="str">
        <f>IF(COUNT(F300:AJ300)=0,"",SUM(F300:AJ300))</f>
        <v/>
      </c>
    </row>
    <row r="301" ht="15.75" customHeight="1" hidden="1">
      <c r="A301" s="277"/>
      <c r="B301" s="268"/>
      <c r="C301" s="199" t="inlineStr">
        <is>
          <t xml:space="preserve">Pallets Movimentados</t>
        </is>
      </c>
      <c r="D301" s="200" t="str">
        <f>IFERROR(1/(1/INDEX(BD!$AF$29:$AZ$29,MATCH($A$295,BD!$AF$22:$AZ$22,0))),"")</f>
        <v/>
      </c>
      <c r="E301" s="201"/>
      <c r="F301" s="202" t="str">
        <f>IF(F$3="","",IF(COUNTIFS(BD!$A$3:$A$5001,F$3,BD!$B$3:$B$5001,$A$295,BD!$I$3:$I$5001,"&lt;&gt;")=0,"",SUMIFS(BD!$I$3:$I$5001,BD!$A$3:$A$5001,F$3,BD!$B$3:$B$5001,$A$295)))</f>
        <v/>
      </c>
      <c r="G301" s="203" t="str">
        <f>IF(G$3="","",IF(COUNTIFS(BD!$A$3:$A$5001,G$3,BD!$B$3:$B$5001,$A$295,BD!$I$3:$I$5001,"&lt;&gt;")=0,"",SUMIFS(BD!$I$3:$I$5001,BD!$A$3:$A$5001,G$3,BD!$B$3:$B$5001,$A$295)))</f>
        <v/>
      </c>
      <c r="H301" s="203" t="str">
        <f>IF(H$3="","",IF(COUNTIFS(BD!$A$3:$A$5001,H$3,BD!$B$3:$B$5001,$A$295,BD!$I$3:$I$5001,"&lt;&gt;")=0,"",SUMIFS(BD!$I$3:$I$5001,BD!$A$3:$A$5001,H$3,BD!$B$3:$B$5001,$A$295)))</f>
        <v/>
      </c>
      <c r="I301" s="203" t="str">
        <f>IF(I$3="","",IF(COUNTIFS(BD!$A$3:$A$5001,I$3,BD!$B$3:$B$5001,$A$295,BD!$I$3:$I$5001,"&lt;&gt;")=0,"",SUMIFS(BD!$I$3:$I$5001,BD!$A$3:$A$5001,I$3,BD!$B$3:$B$5001,$A$295)))</f>
        <v/>
      </c>
      <c r="J301" s="203" t="str">
        <f>IF(J$3="","",IF(COUNTIFS(BD!$A$3:$A$5001,J$3,BD!$B$3:$B$5001,$A$295,BD!$I$3:$I$5001,"&lt;&gt;")=0,"",SUMIFS(BD!$I$3:$I$5001,BD!$A$3:$A$5001,J$3,BD!$B$3:$B$5001,$A$295)))</f>
        <v/>
      </c>
      <c r="K301" s="203" t="str">
        <f>IF(K$3="","",IF(COUNTIFS(BD!$A$3:$A$5001,K$3,BD!$B$3:$B$5001,$A$295,BD!$I$3:$I$5001,"&lt;&gt;")=0,"",SUMIFS(BD!$I$3:$I$5001,BD!$A$3:$A$5001,K$3,BD!$B$3:$B$5001,$A$295)))</f>
        <v/>
      </c>
      <c r="L301" s="203" t="str">
        <f>IF(L$3="","",IF(COUNTIFS(BD!$A$3:$A$5001,L$3,BD!$B$3:$B$5001,$A$295,BD!$I$3:$I$5001,"&lt;&gt;")=0,"",SUMIFS(BD!$I$3:$I$5001,BD!$A$3:$A$5001,L$3,BD!$B$3:$B$5001,$A$295)))</f>
        <v/>
      </c>
      <c r="M301" s="203" t="str">
        <f>IF(M$3="","",IF(COUNTIFS(BD!$A$3:$A$5001,M$3,BD!$B$3:$B$5001,$A$295,BD!$I$3:$I$5001,"&lt;&gt;")=0,"",SUMIFS(BD!$I$3:$I$5001,BD!$A$3:$A$5001,M$3,BD!$B$3:$B$5001,$A$295)))</f>
        <v/>
      </c>
      <c r="N301" s="203" t="str">
        <f>IF(N$3="","",IF(COUNTIFS(BD!$A$3:$A$5001,N$3,BD!$B$3:$B$5001,$A$295,BD!$I$3:$I$5001,"&lt;&gt;")=0,"",SUMIFS(BD!$I$3:$I$5001,BD!$A$3:$A$5001,N$3,BD!$B$3:$B$5001,$A$295)))</f>
        <v/>
      </c>
      <c r="O301" s="203" t="str">
        <f>IF(O$3="","",IF(COUNTIFS(BD!$A$3:$A$5001,O$3,BD!$B$3:$B$5001,$A$295,BD!$I$3:$I$5001,"&lt;&gt;")=0,"",SUMIFS(BD!$I$3:$I$5001,BD!$A$3:$A$5001,O$3,BD!$B$3:$B$5001,$A$295)))</f>
        <v/>
      </c>
      <c r="P301" s="203" t="str">
        <f>IF(P$3="","",IF(COUNTIFS(BD!$A$3:$A$5001,P$3,BD!$B$3:$B$5001,$A$295,BD!$I$3:$I$5001,"&lt;&gt;")=0,"",SUMIFS(BD!$I$3:$I$5001,BD!$A$3:$A$5001,P$3,BD!$B$3:$B$5001,$A$295)))</f>
        <v/>
      </c>
      <c r="Q301" s="203" t="str">
        <f>IF(Q$3="","",IF(COUNTIFS(BD!$A$3:$A$5001,Q$3,BD!$B$3:$B$5001,$A$295,BD!$I$3:$I$5001,"&lt;&gt;")=0,"",SUMIFS(BD!$I$3:$I$5001,BD!$A$3:$A$5001,Q$3,BD!$B$3:$B$5001,$A$295)))</f>
        <v/>
      </c>
      <c r="R301" s="203" t="str">
        <f>IF(R$3="","",IF(COUNTIFS(BD!$A$3:$A$5001,R$3,BD!$B$3:$B$5001,$A$295,BD!$I$3:$I$5001,"&lt;&gt;")=0,"",SUMIFS(BD!$I$3:$I$5001,BD!$A$3:$A$5001,R$3,BD!$B$3:$B$5001,$A$295)))</f>
        <v/>
      </c>
      <c r="S301" s="203" t="str">
        <f>IF(S$3="","",IF(COUNTIFS(BD!$A$3:$A$5001,S$3,BD!$B$3:$B$5001,$A$295,BD!$I$3:$I$5001,"&lt;&gt;")=0,"",SUMIFS(BD!$I$3:$I$5001,BD!$A$3:$A$5001,S$3,BD!$B$3:$B$5001,$A$295)))</f>
        <v/>
      </c>
      <c r="T301" s="203" t="str">
        <f>IF(T$3="","",IF(COUNTIFS(BD!$A$3:$A$5001,T$3,BD!$B$3:$B$5001,$A$295,BD!$I$3:$I$5001,"&lt;&gt;")=0,"",SUMIFS(BD!$I$3:$I$5001,BD!$A$3:$A$5001,T$3,BD!$B$3:$B$5001,$A$295)))</f>
        <v/>
      </c>
      <c r="U301" s="203" t="str">
        <f>IF(U$3="","",IF(COUNTIFS(BD!$A$3:$A$5001,U$3,BD!$B$3:$B$5001,$A$295,BD!$I$3:$I$5001,"&lt;&gt;")=0,"",SUMIFS(BD!$I$3:$I$5001,BD!$A$3:$A$5001,U$3,BD!$B$3:$B$5001,$A$295)))</f>
        <v/>
      </c>
      <c r="V301" s="203" t="str">
        <f>IF(V$3="","",IF(COUNTIFS(BD!$A$3:$A$5001,V$3,BD!$B$3:$B$5001,$A$295,BD!$I$3:$I$5001,"&lt;&gt;")=0,"",SUMIFS(BD!$I$3:$I$5001,BD!$A$3:$A$5001,V$3,BD!$B$3:$B$5001,$A$295)))</f>
        <v/>
      </c>
      <c r="W301" s="203" t="str">
        <f>IF(W$3="","",IF(COUNTIFS(BD!$A$3:$A$5001,W$3,BD!$B$3:$B$5001,$A$295,BD!$I$3:$I$5001,"&lt;&gt;")=0,"",SUMIFS(BD!$I$3:$I$5001,BD!$A$3:$A$5001,W$3,BD!$B$3:$B$5001,$A$295)))</f>
        <v/>
      </c>
      <c r="X301" s="203" t="str">
        <f>IF(X$3="","",IF(COUNTIFS(BD!$A$3:$A$5001,X$3,BD!$B$3:$B$5001,$A$295,BD!$I$3:$I$5001,"&lt;&gt;")=0,"",SUMIFS(BD!$I$3:$I$5001,BD!$A$3:$A$5001,X$3,BD!$B$3:$B$5001,$A$295)))</f>
        <v/>
      </c>
      <c r="Y301" s="203" t="str">
        <f>IF(Y$3="","",IF(COUNTIFS(BD!$A$3:$A$5001,Y$3,BD!$B$3:$B$5001,$A$295,BD!$I$3:$I$5001,"&lt;&gt;")=0,"",SUMIFS(BD!$I$3:$I$5001,BD!$A$3:$A$5001,Y$3,BD!$B$3:$B$5001,$A$295)))</f>
        <v/>
      </c>
      <c r="Z301" s="203" t="str">
        <f>IF(Z$3="","",IF(COUNTIFS(BD!$A$3:$A$5001,Z$3,BD!$B$3:$B$5001,$A$295,BD!$I$3:$I$5001,"&lt;&gt;")=0,"",SUMIFS(BD!$I$3:$I$5001,BD!$A$3:$A$5001,Z$3,BD!$B$3:$B$5001,$A$295)))</f>
        <v/>
      </c>
      <c r="AA301" s="203" t="str">
        <f>IF(AA$3="","",IF(COUNTIFS(BD!$A$3:$A$5001,AA$3,BD!$B$3:$B$5001,$A$295,BD!$I$3:$I$5001,"&lt;&gt;")=0,"",SUMIFS(BD!$I$3:$I$5001,BD!$A$3:$A$5001,AA$3,BD!$B$3:$B$5001,$A$295)))</f>
        <v/>
      </c>
      <c r="AB301" s="203" t="str">
        <f>IF(AB$3="","",IF(COUNTIFS(BD!$A$3:$A$5001,AB$3,BD!$B$3:$B$5001,$A$295,BD!$I$3:$I$5001,"&lt;&gt;")=0,"",SUMIFS(BD!$I$3:$I$5001,BD!$A$3:$A$5001,AB$3,BD!$B$3:$B$5001,$A$295)))</f>
        <v/>
      </c>
      <c r="AC301" s="203" t="str">
        <f>IF(AC$3="","",IF(COUNTIFS(BD!$A$3:$A$5001,AC$3,BD!$B$3:$B$5001,$A$295,BD!$I$3:$I$5001,"&lt;&gt;")=0,"",SUMIFS(BD!$I$3:$I$5001,BD!$A$3:$A$5001,AC$3,BD!$B$3:$B$5001,$A$295)))</f>
        <v/>
      </c>
      <c r="AD301" s="203" t="str">
        <f>IF(AD$3="","",IF(COUNTIFS(BD!$A$3:$A$5001,AD$3,BD!$B$3:$B$5001,$A$295,BD!$I$3:$I$5001,"&lt;&gt;")=0,"",SUMIFS(BD!$I$3:$I$5001,BD!$A$3:$A$5001,AD$3,BD!$B$3:$B$5001,$A$295)))</f>
        <v/>
      </c>
      <c r="AE301" s="203" t="str">
        <f>IF(AE$3="","",IF(COUNTIFS(BD!$A$3:$A$5001,AE$3,BD!$B$3:$B$5001,$A$295,BD!$I$3:$I$5001,"&lt;&gt;")=0,"",SUMIFS(BD!$I$3:$I$5001,BD!$A$3:$A$5001,AE$3,BD!$B$3:$B$5001,$A$295)))</f>
        <v/>
      </c>
      <c r="AF301" s="203" t="str">
        <f>IF(AF$3="","",IF(COUNTIFS(BD!$A$3:$A$5001,AF$3,BD!$B$3:$B$5001,$A$295,BD!$I$3:$I$5001,"&lt;&gt;")=0,"",SUMIFS(BD!$I$3:$I$5001,BD!$A$3:$A$5001,AF$3,BD!$B$3:$B$5001,$A$295)))</f>
        <v/>
      </c>
      <c r="AG301" s="203" t="str">
        <f>IF(AG$3="","",IF(COUNTIFS(BD!$A$3:$A$5001,AG$3,BD!$B$3:$B$5001,$A$295,BD!$I$3:$I$5001,"&lt;&gt;")=0,"",SUMIFS(BD!$I$3:$I$5001,BD!$A$3:$A$5001,AG$3,BD!$B$3:$B$5001,$A$295)))</f>
        <v/>
      </c>
      <c r="AH301" s="203" t="str">
        <f>IF(AH$3="","",IF(COUNTIFS(BD!$A$3:$A$5001,AH$3,BD!$B$3:$B$5001,$A$295,BD!$I$3:$I$5001,"&lt;&gt;")=0,"",SUMIFS(BD!$I$3:$I$5001,BD!$A$3:$A$5001,AH$3,BD!$B$3:$B$5001,$A$295)))</f>
        <v/>
      </c>
      <c r="AI301" s="203" t="str">
        <f>IF(AI$3="","",IF(COUNTIFS(BD!$A$3:$A$5001,AI$3,BD!$B$3:$B$5001,$A$295,BD!$I$3:$I$5001,"&lt;&gt;")=0,"",SUMIFS(BD!$I$3:$I$5001,BD!$A$3:$A$5001,AI$3,BD!$B$3:$B$5001,$A$295)))</f>
        <v/>
      </c>
      <c r="AJ301" s="204" t="str">
        <f>IF(AJ$3="","",IF(COUNTIFS(BD!$A$3:$A$5001,AJ$3,BD!$B$3:$B$5001,$A$295,BD!$I$3:$I$5001,"&lt;&gt;")=0,"",SUMIFS(BD!$I$3:$I$5001,BD!$A$3:$A$5001,AJ$3,BD!$B$3:$B$5001,$A$295)))</f>
        <v/>
      </c>
      <c r="AK301" s="205" t="str">
        <f>IF(COUNT(F301:AJ301)=0,"",SUM(F301:AJ301))</f>
        <v/>
      </c>
    </row>
    <row r="302" ht="15.75" customHeight="1" hidden="1">
      <c r="A302" s="277"/>
      <c r="B302" s="268"/>
      <c r="C302" s="199" t="inlineStr">
        <is>
          <t xml:space="preserve">Toneladas Movimentadas</t>
        </is>
      </c>
      <c r="D302" s="200" t="str">
        <f>IFERROR(1/(1/INDEX(BD!$AF$30:$AZ$30,MATCH($A$295,BD!$AF$22:$AZ$22,0))),"")</f>
        <v/>
      </c>
      <c r="E302" s="201"/>
      <c r="F302" s="206" t="str">
        <f>IF(F$3="","",IF(COUNTIFS(BD!$A$3:$A$5001,F$3,BD!$B$3:$B$5001,$A$295,BD!$J$3:$J$5001,"&lt;&gt;")=0,"",SUMIFS(BD!$J$3:$J$5001,BD!$A$3:$A$5001,F$3,BD!$B$3:$B$5001,$A$295)))</f>
        <v/>
      </c>
      <c r="G302" s="207" t="str">
        <f>IF(G$3="","",IF(COUNTIFS(BD!$A$3:$A$5001,G$3,BD!$B$3:$B$5001,$A$295,BD!$J$3:$J$5001,"&lt;&gt;")=0,"",SUMIFS(BD!$J$3:$J$5001,BD!$A$3:$A$5001,G$3,BD!$B$3:$B$5001,$A$295)))</f>
        <v/>
      </c>
      <c r="H302" s="207" t="str">
        <f>IF(H$3="","",IF(COUNTIFS(BD!$A$3:$A$5001,H$3,BD!$B$3:$B$5001,$A$295,BD!$J$3:$J$5001,"&lt;&gt;")=0,"",SUMIFS(BD!$J$3:$J$5001,BD!$A$3:$A$5001,H$3,BD!$B$3:$B$5001,$A$295)))</f>
        <v/>
      </c>
      <c r="I302" s="207" t="str">
        <f>IF(I$3="","",IF(COUNTIFS(BD!$A$3:$A$5001,I$3,BD!$B$3:$B$5001,$A$295,BD!$J$3:$J$5001,"&lt;&gt;")=0,"",SUMIFS(BD!$J$3:$J$5001,BD!$A$3:$A$5001,I$3,BD!$B$3:$B$5001,$A$295)))</f>
        <v/>
      </c>
      <c r="J302" s="207" t="str">
        <f>IF(J$3="","",IF(COUNTIFS(BD!$A$3:$A$5001,J$3,BD!$B$3:$B$5001,$A$295,BD!$J$3:$J$5001,"&lt;&gt;")=0,"",SUMIFS(BD!$J$3:$J$5001,BD!$A$3:$A$5001,J$3,BD!$B$3:$B$5001,$A$295)))</f>
        <v/>
      </c>
      <c r="K302" s="207" t="str">
        <f>IF(K$3="","",IF(COUNTIFS(BD!$A$3:$A$5001,K$3,BD!$B$3:$B$5001,$A$295,BD!$J$3:$J$5001,"&lt;&gt;")=0,"",SUMIFS(BD!$J$3:$J$5001,BD!$A$3:$A$5001,K$3,BD!$B$3:$B$5001,$A$295)))</f>
        <v/>
      </c>
      <c r="L302" s="207" t="str">
        <f>IF(L$3="","",IF(COUNTIFS(BD!$A$3:$A$5001,L$3,BD!$B$3:$B$5001,$A$295,BD!$J$3:$J$5001,"&lt;&gt;")=0,"",SUMIFS(BD!$J$3:$J$5001,BD!$A$3:$A$5001,L$3,BD!$B$3:$B$5001,$A$295)))</f>
        <v/>
      </c>
      <c r="M302" s="207" t="str">
        <f>IF(M$3="","",IF(COUNTIFS(BD!$A$3:$A$5001,M$3,BD!$B$3:$B$5001,$A$295,BD!$J$3:$J$5001,"&lt;&gt;")=0,"",SUMIFS(BD!$J$3:$J$5001,BD!$A$3:$A$5001,M$3,BD!$B$3:$B$5001,$A$295)))</f>
        <v/>
      </c>
      <c r="N302" s="207" t="str">
        <f>IF(N$3="","",IF(COUNTIFS(BD!$A$3:$A$5001,N$3,BD!$B$3:$B$5001,$A$295,BD!$J$3:$J$5001,"&lt;&gt;")=0,"",SUMIFS(BD!$J$3:$J$5001,BD!$A$3:$A$5001,N$3,BD!$B$3:$B$5001,$A$295)))</f>
        <v/>
      </c>
      <c r="O302" s="207" t="str">
        <f>IF(O$3="","",IF(COUNTIFS(BD!$A$3:$A$5001,O$3,BD!$B$3:$B$5001,$A$295,BD!$J$3:$J$5001,"&lt;&gt;")=0,"",SUMIFS(BD!$J$3:$J$5001,BD!$A$3:$A$5001,O$3,BD!$B$3:$B$5001,$A$295)))</f>
        <v/>
      </c>
      <c r="P302" s="207" t="str">
        <f>IF(P$3="","",IF(COUNTIFS(BD!$A$3:$A$5001,P$3,BD!$B$3:$B$5001,$A$295,BD!$J$3:$J$5001,"&lt;&gt;")=0,"",SUMIFS(BD!$J$3:$J$5001,BD!$A$3:$A$5001,P$3,BD!$B$3:$B$5001,$A$295)))</f>
        <v/>
      </c>
      <c r="Q302" s="207" t="str">
        <f>IF(Q$3="","",IF(COUNTIFS(BD!$A$3:$A$5001,Q$3,BD!$B$3:$B$5001,$A$295,BD!$J$3:$J$5001,"&lt;&gt;")=0,"",SUMIFS(BD!$J$3:$J$5001,BD!$A$3:$A$5001,Q$3,BD!$B$3:$B$5001,$A$295)))</f>
        <v/>
      </c>
      <c r="R302" s="207" t="str">
        <f>IF(R$3="","",IF(COUNTIFS(BD!$A$3:$A$5001,R$3,BD!$B$3:$B$5001,$A$295,BD!$J$3:$J$5001,"&lt;&gt;")=0,"",SUMIFS(BD!$J$3:$J$5001,BD!$A$3:$A$5001,R$3,BD!$B$3:$B$5001,$A$295)))</f>
        <v/>
      </c>
      <c r="S302" s="207" t="str">
        <f>IF(S$3="","",IF(COUNTIFS(BD!$A$3:$A$5001,S$3,BD!$B$3:$B$5001,$A$295,BD!$J$3:$J$5001,"&lt;&gt;")=0,"",SUMIFS(BD!$J$3:$J$5001,BD!$A$3:$A$5001,S$3,BD!$B$3:$B$5001,$A$295)))</f>
        <v/>
      </c>
      <c r="T302" s="207" t="str">
        <f>IF(T$3="","",IF(COUNTIFS(BD!$A$3:$A$5001,T$3,BD!$B$3:$B$5001,$A$295,BD!$J$3:$J$5001,"&lt;&gt;")=0,"",SUMIFS(BD!$J$3:$J$5001,BD!$A$3:$A$5001,T$3,BD!$B$3:$B$5001,$A$295)))</f>
        <v/>
      </c>
      <c r="U302" s="207" t="str">
        <f>IF(U$3="","",IF(COUNTIFS(BD!$A$3:$A$5001,U$3,BD!$B$3:$B$5001,$A$295,BD!$J$3:$J$5001,"&lt;&gt;")=0,"",SUMIFS(BD!$J$3:$J$5001,BD!$A$3:$A$5001,U$3,BD!$B$3:$B$5001,$A$295)))</f>
        <v/>
      </c>
      <c r="V302" s="207" t="str">
        <f>IF(V$3="","",IF(COUNTIFS(BD!$A$3:$A$5001,V$3,BD!$B$3:$B$5001,$A$295,BD!$J$3:$J$5001,"&lt;&gt;")=0,"",SUMIFS(BD!$J$3:$J$5001,BD!$A$3:$A$5001,V$3,BD!$B$3:$B$5001,$A$295)))</f>
        <v/>
      </c>
      <c r="W302" s="207" t="str">
        <f>IF(W$3="","",IF(COUNTIFS(BD!$A$3:$A$5001,W$3,BD!$B$3:$B$5001,$A$295,BD!$J$3:$J$5001,"&lt;&gt;")=0,"",SUMIFS(BD!$J$3:$J$5001,BD!$A$3:$A$5001,W$3,BD!$B$3:$B$5001,$A$295)))</f>
        <v/>
      </c>
      <c r="X302" s="207" t="str">
        <f>IF(X$3="","",IF(COUNTIFS(BD!$A$3:$A$5001,X$3,BD!$B$3:$B$5001,$A$295,BD!$J$3:$J$5001,"&lt;&gt;")=0,"",SUMIFS(BD!$J$3:$J$5001,BD!$A$3:$A$5001,X$3,BD!$B$3:$B$5001,$A$295)))</f>
        <v/>
      </c>
      <c r="Y302" s="207" t="str">
        <f>IF(Y$3="","",IF(COUNTIFS(BD!$A$3:$A$5001,Y$3,BD!$B$3:$B$5001,$A$295,BD!$J$3:$J$5001,"&lt;&gt;")=0,"",SUMIFS(BD!$J$3:$J$5001,BD!$A$3:$A$5001,Y$3,BD!$B$3:$B$5001,$A$295)))</f>
        <v/>
      </c>
      <c r="Z302" s="207" t="str">
        <f>IF(Z$3="","",IF(COUNTIFS(BD!$A$3:$A$5001,Z$3,BD!$B$3:$B$5001,$A$295,BD!$J$3:$J$5001,"&lt;&gt;")=0,"",SUMIFS(BD!$J$3:$J$5001,BD!$A$3:$A$5001,Z$3,BD!$B$3:$B$5001,$A$295)))</f>
        <v/>
      </c>
      <c r="AA302" s="207" t="str">
        <f>IF(AA$3="","",IF(COUNTIFS(BD!$A$3:$A$5001,AA$3,BD!$B$3:$B$5001,$A$295,BD!$J$3:$J$5001,"&lt;&gt;")=0,"",SUMIFS(BD!$J$3:$J$5001,BD!$A$3:$A$5001,AA$3,BD!$B$3:$B$5001,$A$295)))</f>
        <v/>
      </c>
      <c r="AB302" s="207" t="str">
        <f>IF(AB$3="","",IF(COUNTIFS(BD!$A$3:$A$5001,AB$3,BD!$B$3:$B$5001,$A$295,BD!$J$3:$J$5001,"&lt;&gt;")=0,"",SUMIFS(BD!$J$3:$J$5001,BD!$A$3:$A$5001,AB$3,BD!$B$3:$B$5001,$A$295)))</f>
        <v/>
      </c>
      <c r="AC302" s="207" t="str">
        <f>IF(AC$3="","",IF(COUNTIFS(BD!$A$3:$A$5001,AC$3,BD!$B$3:$B$5001,$A$295,BD!$J$3:$J$5001,"&lt;&gt;")=0,"",SUMIFS(BD!$J$3:$J$5001,BD!$A$3:$A$5001,AC$3,BD!$B$3:$B$5001,$A$295)))</f>
        <v/>
      </c>
      <c r="AD302" s="207" t="str">
        <f>IF(AD$3="","",IF(COUNTIFS(BD!$A$3:$A$5001,AD$3,BD!$B$3:$B$5001,$A$295,BD!$J$3:$J$5001,"&lt;&gt;")=0,"",SUMIFS(BD!$J$3:$J$5001,BD!$A$3:$A$5001,AD$3,BD!$B$3:$B$5001,$A$295)))</f>
        <v/>
      </c>
      <c r="AE302" s="207" t="str">
        <f>IF(AE$3="","",IF(COUNTIFS(BD!$A$3:$A$5001,AE$3,BD!$B$3:$B$5001,$A$295,BD!$J$3:$J$5001,"&lt;&gt;")=0,"",SUMIFS(BD!$J$3:$J$5001,BD!$A$3:$A$5001,AE$3,BD!$B$3:$B$5001,$A$295)))</f>
        <v/>
      </c>
      <c r="AF302" s="207" t="str">
        <f>IF(AF$3="","",IF(COUNTIFS(BD!$A$3:$A$5001,AF$3,BD!$B$3:$B$5001,$A$295,BD!$J$3:$J$5001,"&lt;&gt;")=0,"",SUMIFS(BD!$J$3:$J$5001,BD!$A$3:$A$5001,AF$3,BD!$B$3:$B$5001,$A$295)))</f>
        <v/>
      </c>
      <c r="AG302" s="207" t="str">
        <f>IF(AG$3="","",IF(COUNTIFS(BD!$A$3:$A$5001,AG$3,BD!$B$3:$B$5001,$A$295,BD!$J$3:$J$5001,"&lt;&gt;")=0,"",SUMIFS(BD!$J$3:$J$5001,BD!$A$3:$A$5001,AG$3,BD!$B$3:$B$5001,$A$295)))</f>
        <v/>
      </c>
      <c r="AH302" s="207" t="str">
        <f>IF(AH$3="","",IF(COUNTIFS(BD!$A$3:$A$5001,AH$3,BD!$B$3:$B$5001,$A$295,BD!$J$3:$J$5001,"&lt;&gt;")=0,"",SUMIFS(BD!$J$3:$J$5001,BD!$A$3:$A$5001,AH$3,BD!$B$3:$B$5001,$A$295)))</f>
        <v/>
      </c>
      <c r="AI302" s="207" t="str">
        <f>IF(AI$3="","",IF(COUNTIFS(BD!$A$3:$A$5001,AI$3,BD!$B$3:$B$5001,$A$295,BD!$J$3:$J$5001,"&lt;&gt;")=0,"",SUMIFS(BD!$J$3:$J$5001,BD!$A$3:$A$5001,AI$3,BD!$B$3:$B$5001,$A$295)))</f>
        <v/>
      </c>
      <c r="AJ302" s="208" t="str">
        <f>IF(AJ$3="","",IF(COUNTIFS(BD!$A$3:$A$5001,AJ$3,BD!$B$3:$B$5001,$A$295,BD!$J$3:$J$5001,"&lt;&gt;")=0,"",SUMIFS(BD!$J$3:$J$5001,BD!$A$3:$A$5001,AJ$3,BD!$B$3:$B$5001,$A$295)))</f>
        <v/>
      </c>
      <c r="AK302" s="209" t="str">
        <f>IF(COUNT(F302:AJ302)=0,"",SUM(F302:AJ302))</f>
        <v/>
      </c>
    </row>
    <row r="303" ht="15.75" customHeight="1" hidden="1">
      <c r="A303" s="277"/>
      <c r="B303" s="268"/>
      <c r="C303" s="199" t="inlineStr">
        <is>
          <t xml:space="preserve">Caixas Expedidas</t>
        </is>
      </c>
      <c r="D303" s="200" t="str">
        <f>IFERROR(1/(1/INDEX(BD!$AF$31:$AZ$31,MATCH($A$295,BD!$AF$22:$AZ$22,0))),"")</f>
        <v/>
      </c>
      <c r="E303" s="201"/>
      <c r="F303" s="202" t="str">
        <f>IF(F$3="","",IF(COUNTIFS(BD!$A$3:$A$5001,F$3,BD!$B$3:$B$5001,$A$295,BD!$K$3:$K$5001,"&lt;&gt;")=0,"",SUMIFS(BD!$K$3:$K$5001,BD!$A$3:$A$5001,F$3,BD!$B$3:$B$5001,$A$295)))</f>
        <v/>
      </c>
      <c r="G303" s="203" t="str">
        <f>IF(G$3="","",IF(COUNTIFS(BD!$A$3:$A$5001,G$3,BD!$B$3:$B$5001,$A$295,BD!$K$3:$K$5001,"&lt;&gt;")=0,"",SUMIFS(BD!$K$3:$K$5001,BD!$A$3:$A$5001,G$3,BD!$B$3:$B$5001,$A$295)))</f>
        <v/>
      </c>
      <c r="H303" s="203" t="str">
        <f>IF(H$3="","",IF(COUNTIFS(BD!$A$3:$A$5001,H$3,BD!$B$3:$B$5001,$A$295,BD!$K$3:$K$5001,"&lt;&gt;")=0,"",SUMIFS(BD!$K$3:$K$5001,BD!$A$3:$A$5001,H$3,BD!$B$3:$B$5001,$A$295)))</f>
        <v/>
      </c>
      <c r="I303" s="203" t="str">
        <f>IF(I$3="","",IF(COUNTIFS(BD!$A$3:$A$5001,I$3,BD!$B$3:$B$5001,$A$295,BD!$K$3:$K$5001,"&lt;&gt;")=0,"",SUMIFS(BD!$K$3:$K$5001,BD!$A$3:$A$5001,I$3,BD!$B$3:$B$5001,$A$295)))</f>
        <v/>
      </c>
      <c r="J303" s="203" t="str">
        <f>IF(J$3="","",IF(COUNTIFS(BD!$A$3:$A$5001,J$3,BD!$B$3:$B$5001,$A$295,BD!$K$3:$K$5001,"&lt;&gt;")=0,"",SUMIFS(BD!$K$3:$K$5001,BD!$A$3:$A$5001,J$3,BD!$B$3:$B$5001,$A$295)))</f>
        <v/>
      </c>
      <c r="K303" s="203" t="str">
        <f>IF(K$3="","",IF(COUNTIFS(BD!$A$3:$A$5001,K$3,BD!$B$3:$B$5001,$A$295,BD!$K$3:$K$5001,"&lt;&gt;")=0,"",SUMIFS(BD!$K$3:$K$5001,BD!$A$3:$A$5001,K$3,BD!$B$3:$B$5001,$A$295)))</f>
        <v/>
      </c>
      <c r="L303" s="203" t="str">
        <f>IF(L$3="","",IF(COUNTIFS(BD!$A$3:$A$5001,L$3,BD!$B$3:$B$5001,$A$295,BD!$K$3:$K$5001,"&lt;&gt;")=0,"",SUMIFS(BD!$K$3:$K$5001,BD!$A$3:$A$5001,L$3,BD!$B$3:$B$5001,$A$295)))</f>
        <v/>
      </c>
      <c r="M303" s="203" t="str">
        <f>IF(M$3="","",IF(COUNTIFS(BD!$A$3:$A$5001,M$3,BD!$B$3:$B$5001,$A$295,BD!$K$3:$K$5001,"&lt;&gt;")=0,"",SUMIFS(BD!$K$3:$K$5001,BD!$A$3:$A$5001,M$3,BD!$B$3:$B$5001,$A$295)))</f>
        <v/>
      </c>
      <c r="N303" s="203" t="str">
        <f>IF(N$3="","",IF(COUNTIFS(BD!$A$3:$A$5001,N$3,BD!$B$3:$B$5001,$A$295,BD!$K$3:$K$5001,"&lt;&gt;")=0,"",SUMIFS(BD!$K$3:$K$5001,BD!$A$3:$A$5001,N$3,BD!$B$3:$B$5001,$A$295)))</f>
        <v/>
      </c>
      <c r="O303" s="203" t="str">
        <f>IF(O$3="","",IF(COUNTIFS(BD!$A$3:$A$5001,O$3,BD!$B$3:$B$5001,$A$295,BD!$K$3:$K$5001,"&lt;&gt;")=0,"",SUMIFS(BD!$K$3:$K$5001,BD!$A$3:$A$5001,O$3,BD!$B$3:$B$5001,$A$295)))</f>
        <v/>
      </c>
      <c r="P303" s="203" t="str">
        <f>IF(P$3="","",IF(COUNTIFS(BD!$A$3:$A$5001,P$3,BD!$B$3:$B$5001,$A$295,BD!$K$3:$K$5001,"&lt;&gt;")=0,"",SUMIFS(BD!$K$3:$K$5001,BD!$A$3:$A$5001,P$3,BD!$B$3:$B$5001,$A$295)))</f>
        <v/>
      </c>
      <c r="Q303" s="203" t="str">
        <f>IF(Q$3="","",IF(COUNTIFS(BD!$A$3:$A$5001,Q$3,BD!$B$3:$B$5001,$A$295,BD!$K$3:$K$5001,"&lt;&gt;")=0,"",SUMIFS(BD!$K$3:$K$5001,BD!$A$3:$A$5001,Q$3,BD!$B$3:$B$5001,$A$295)))</f>
        <v/>
      </c>
      <c r="R303" s="203" t="str">
        <f>IF(R$3="","",IF(COUNTIFS(BD!$A$3:$A$5001,R$3,BD!$B$3:$B$5001,$A$295,BD!$K$3:$K$5001,"&lt;&gt;")=0,"",SUMIFS(BD!$K$3:$K$5001,BD!$A$3:$A$5001,R$3,BD!$B$3:$B$5001,$A$295)))</f>
        <v/>
      </c>
      <c r="S303" s="203" t="str">
        <f>IF(S$3="","",IF(COUNTIFS(BD!$A$3:$A$5001,S$3,BD!$B$3:$B$5001,$A$295,BD!$K$3:$K$5001,"&lt;&gt;")=0,"",SUMIFS(BD!$K$3:$K$5001,BD!$A$3:$A$5001,S$3,BD!$B$3:$B$5001,$A$295)))</f>
        <v/>
      </c>
      <c r="T303" s="203" t="str">
        <f>IF(T$3="","",IF(COUNTIFS(BD!$A$3:$A$5001,T$3,BD!$B$3:$B$5001,$A$295,BD!$K$3:$K$5001,"&lt;&gt;")=0,"",SUMIFS(BD!$K$3:$K$5001,BD!$A$3:$A$5001,T$3,BD!$B$3:$B$5001,$A$295)))</f>
        <v/>
      </c>
      <c r="U303" s="203" t="str">
        <f>IF(U$3="","",IF(COUNTIFS(BD!$A$3:$A$5001,U$3,BD!$B$3:$B$5001,$A$295,BD!$K$3:$K$5001,"&lt;&gt;")=0,"",SUMIFS(BD!$K$3:$K$5001,BD!$A$3:$A$5001,U$3,BD!$B$3:$B$5001,$A$295)))</f>
        <v/>
      </c>
      <c r="V303" s="203" t="str">
        <f>IF(V$3="","",IF(COUNTIFS(BD!$A$3:$A$5001,V$3,BD!$B$3:$B$5001,$A$295,BD!$K$3:$K$5001,"&lt;&gt;")=0,"",SUMIFS(BD!$K$3:$K$5001,BD!$A$3:$A$5001,V$3,BD!$B$3:$B$5001,$A$295)))</f>
        <v/>
      </c>
      <c r="W303" s="203" t="str">
        <f>IF(W$3="","",IF(COUNTIFS(BD!$A$3:$A$5001,W$3,BD!$B$3:$B$5001,$A$295,BD!$K$3:$K$5001,"&lt;&gt;")=0,"",SUMIFS(BD!$K$3:$K$5001,BD!$A$3:$A$5001,W$3,BD!$B$3:$B$5001,$A$295)))</f>
        <v/>
      </c>
      <c r="X303" s="203" t="str">
        <f>IF(X$3="","",IF(COUNTIFS(BD!$A$3:$A$5001,X$3,BD!$B$3:$B$5001,$A$295,BD!$K$3:$K$5001,"&lt;&gt;")=0,"",SUMIFS(BD!$K$3:$K$5001,BD!$A$3:$A$5001,X$3,BD!$B$3:$B$5001,$A$295)))</f>
        <v/>
      </c>
      <c r="Y303" s="203" t="str">
        <f>IF(Y$3="","",IF(COUNTIFS(BD!$A$3:$A$5001,Y$3,BD!$B$3:$B$5001,$A$295,BD!$K$3:$K$5001,"&lt;&gt;")=0,"",SUMIFS(BD!$K$3:$K$5001,BD!$A$3:$A$5001,Y$3,BD!$B$3:$B$5001,$A$295)))</f>
        <v/>
      </c>
      <c r="Z303" s="203" t="str">
        <f>IF(Z$3="","",IF(COUNTIFS(BD!$A$3:$A$5001,Z$3,BD!$B$3:$B$5001,$A$295,BD!$K$3:$K$5001,"&lt;&gt;")=0,"",SUMIFS(BD!$K$3:$K$5001,BD!$A$3:$A$5001,Z$3,BD!$B$3:$B$5001,$A$295)))</f>
        <v/>
      </c>
      <c r="AA303" s="203" t="str">
        <f>IF(AA$3="","",IF(COUNTIFS(BD!$A$3:$A$5001,AA$3,BD!$B$3:$B$5001,$A$295,BD!$K$3:$K$5001,"&lt;&gt;")=0,"",SUMIFS(BD!$K$3:$K$5001,BD!$A$3:$A$5001,AA$3,BD!$B$3:$B$5001,$A$295)))</f>
        <v/>
      </c>
      <c r="AB303" s="203" t="str">
        <f>IF(AB$3="","",IF(COUNTIFS(BD!$A$3:$A$5001,AB$3,BD!$B$3:$B$5001,$A$295,BD!$K$3:$K$5001,"&lt;&gt;")=0,"",SUMIFS(BD!$K$3:$K$5001,BD!$A$3:$A$5001,AB$3,BD!$B$3:$B$5001,$A$295)))</f>
        <v/>
      </c>
      <c r="AC303" s="203" t="str">
        <f>IF(AC$3="","",IF(COUNTIFS(BD!$A$3:$A$5001,AC$3,BD!$B$3:$B$5001,$A$295,BD!$K$3:$K$5001,"&lt;&gt;")=0,"",SUMIFS(BD!$K$3:$K$5001,BD!$A$3:$A$5001,AC$3,BD!$B$3:$B$5001,$A$295)))</f>
        <v/>
      </c>
      <c r="AD303" s="203" t="str">
        <f>IF(AD$3="","",IF(COUNTIFS(BD!$A$3:$A$5001,AD$3,BD!$B$3:$B$5001,$A$295,BD!$K$3:$K$5001,"&lt;&gt;")=0,"",SUMIFS(BD!$K$3:$K$5001,BD!$A$3:$A$5001,AD$3,BD!$B$3:$B$5001,$A$295)))</f>
        <v/>
      </c>
      <c r="AE303" s="203" t="str">
        <f>IF(AE$3="","",IF(COUNTIFS(BD!$A$3:$A$5001,AE$3,BD!$B$3:$B$5001,$A$295,BD!$K$3:$K$5001,"&lt;&gt;")=0,"",SUMIFS(BD!$K$3:$K$5001,BD!$A$3:$A$5001,AE$3,BD!$B$3:$B$5001,$A$295)))</f>
        <v/>
      </c>
      <c r="AF303" s="203" t="str">
        <f>IF(AF$3="","",IF(COUNTIFS(BD!$A$3:$A$5001,AF$3,BD!$B$3:$B$5001,$A$295,BD!$K$3:$K$5001,"&lt;&gt;")=0,"",SUMIFS(BD!$K$3:$K$5001,BD!$A$3:$A$5001,AF$3,BD!$B$3:$B$5001,$A$295)))</f>
        <v/>
      </c>
      <c r="AG303" s="203" t="str">
        <f>IF(AG$3="","",IF(COUNTIFS(BD!$A$3:$A$5001,AG$3,BD!$B$3:$B$5001,$A$295,BD!$K$3:$K$5001,"&lt;&gt;")=0,"",SUMIFS(BD!$K$3:$K$5001,BD!$A$3:$A$5001,AG$3,BD!$B$3:$B$5001,$A$295)))</f>
        <v/>
      </c>
      <c r="AH303" s="203" t="str">
        <f>IF(AH$3="","",IF(COUNTIFS(BD!$A$3:$A$5001,AH$3,BD!$B$3:$B$5001,$A$295,BD!$K$3:$K$5001,"&lt;&gt;")=0,"",SUMIFS(BD!$K$3:$K$5001,BD!$A$3:$A$5001,AH$3,BD!$B$3:$B$5001,$A$295)))</f>
        <v/>
      </c>
      <c r="AI303" s="203" t="str">
        <f>IF(AI$3="","",IF(COUNTIFS(BD!$A$3:$A$5001,AI$3,BD!$B$3:$B$5001,$A$295,BD!$K$3:$K$5001,"&lt;&gt;")=0,"",SUMIFS(BD!$K$3:$K$5001,BD!$A$3:$A$5001,AI$3,BD!$B$3:$B$5001,$A$295)))</f>
        <v/>
      </c>
      <c r="AJ303" s="204" t="str">
        <f>IF(AJ$3="","",IF(COUNTIFS(BD!$A$3:$A$5001,AJ$3,BD!$B$3:$B$5001,$A$295,BD!$K$3:$K$5001,"&lt;&gt;")=0,"",SUMIFS(BD!$K$3:$K$5001,BD!$A$3:$A$5001,AJ$3,BD!$B$3:$B$5001,$A$295)))</f>
        <v/>
      </c>
      <c r="AK303" s="205" t="str">
        <f>IF(COUNT(F303:AJ303)=0,"",SUM(F303:AJ303))</f>
        <v/>
      </c>
    </row>
    <row r="304" ht="15.75" customHeight="1" hidden="1">
      <c r="A304" s="277"/>
      <c r="B304" s="268"/>
      <c r="C304" s="199" t="inlineStr">
        <is>
          <t xml:space="preserve">Pedidos Faturados</t>
        </is>
      </c>
      <c r="D304" s="200" t="str">
        <f>IFERROR(1/(1/INDEX(BD!$AF$32:$AZ$32,MATCH($A$295,BD!$AF$22:$AZ$22,0))),"")</f>
        <v/>
      </c>
      <c r="E304" s="201"/>
      <c r="F304" s="202" t="str">
        <f>IF(F$3="","",IF(COUNTIFS(BD!$A$3:$A$5001,F$3,BD!$B$3:$B$5001,$A$295,BD!$L$3:$L$5001,"&lt;&gt;")=0,"",SUMIFS(BD!$L$3:$L$5001,BD!$A$3:$A$5001,F$3,BD!$B$3:$B$5001,$A$295)))</f>
        <v/>
      </c>
      <c r="G304" s="203" t="str">
        <f>IF(G$3="","",IF(COUNTIFS(BD!$A$3:$A$5001,G$3,BD!$B$3:$B$5001,$A$295,BD!$L$3:$L$5001,"&lt;&gt;")=0,"",SUMIFS(BD!$L$3:$L$5001,BD!$A$3:$A$5001,G$3,BD!$B$3:$B$5001,$A$295)))</f>
        <v/>
      </c>
      <c r="H304" s="203" t="str">
        <f>IF(H$3="","",IF(COUNTIFS(BD!$A$3:$A$5001,H$3,BD!$B$3:$B$5001,$A$295,BD!$L$3:$L$5001,"&lt;&gt;")=0,"",SUMIFS(BD!$L$3:$L$5001,BD!$A$3:$A$5001,H$3,BD!$B$3:$B$5001,$A$295)))</f>
        <v/>
      </c>
      <c r="I304" s="203" t="str">
        <f>IF(I$3="","",IF(COUNTIFS(BD!$A$3:$A$5001,I$3,BD!$B$3:$B$5001,$A$295,BD!$L$3:$L$5001,"&lt;&gt;")=0,"",SUMIFS(BD!$L$3:$L$5001,BD!$A$3:$A$5001,I$3,BD!$B$3:$B$5001,$A$295)))</f>
        <v/>
      </c>
      <c r="J304" s="203" t="str">
        <f>IF(J$3="","",IF(COUNTIFS(BD!$A$3:$A$5001,J$3,BD!$B$3:$B$5001,$A$295,BD!$L$3:$L$5001,"&lt;&gt;")=0,"",SUMIFS(BD!$L$3:$L$5001,BD!$A$3:$A$5001,J$3,BD!$B$3:$B$5001,$A$295)))</f>
        <v/>
      </c>
      <c r="K304" s="203" t="str">
        <f>IF(K$3="","",IF(COUNTIFS(BD!$A$3:$A$5001,K$3,BD!$B$3:$B$5001,$A$295,BD!$L$3:$L$5001,"&lt;&gt;")=0,"",SUMIFS(BD!$L$3:$L$5001,BD!$A$3:$A$5001,K$3,BD!$B$3:$B$5001,$A$295)))</f>
        <v/>
      </c>
      <c r="L304" s="203" t="str">
        <f>IF(L$3="","",IF(COUNTIFS(BD!$A$3:$A$5001,L$3,BD!$B$3:$B$5001,$A$295,BD!$L$3:$L$5001,"&lt;&gt;")=0,"",SUMIFS(BD!$L$3:$L$5001,BD!$A$3:$A$5001,L$3,BD!$B$3:$B$5001,$A$295)))</f>
        <v/>
      </c>
      <c r="M304" s="203" t="str">
        <f>IF(M$3="","",IF(COUNTIFS(BD!$A$3:$A$5001,M$3,BD!$B$3:$B$5001,$A$295,BD!$L$3:$L$5001,"&lt;&gt;")=0,"",SUMIFS(BD!$L$3:$L$5001,BD!$A$3:$A$5001,M$3,BD!$B$3:$B$5001,$A$295)))</f>
        <v/>
      </c>
      <c r="N304" s="203" t="str">
        <f>IF(N$3="","",IF(COUNTIFS(BD!$A$3:$A$5001,N$3,BD!$B$3:$B$5001,$A$295,BD!$L$3:$L$5001,"&lt;&gt;")=0,"",SUMIFS(BD!$L$3:$L$5001,BD!$A$3:$A$5001,N$3,BD!$B$3:$B$5001,$A$295)))</f>
        <v/>
      </c>
      <c r="O304" s="203" t="str">
        <f>IF(O$3="","",IF(COUNTIFS(BD!$A$3:$A$5001,O$3,BD!$B$3:$B$5001,$A$295,BD!$L$3:$L$5001,"&lt;&gt;")=0,"",SUMIFS(BD!$L$3:$L$5001,BD!$A$3:$A$5001,O$3,BD!$B$3:$B$5001,$A$295)))</f>
        <v/>
      </c>
      <c r="P304" s="203" t="str">
        <f>IF(P$3="","",IF(COUNTIFS(BD!$A$3:$A$5001,P$3,BD!$B$3:$B$5001,$A$295,BD!$L$3:$L$5001,"&lt;&gt;")=0,"",SUMIFS(BD!$L$3:$L$5001,BD!$A$3:$A$5001,P$3,BD!$B$3:$B$5001,$A$295)))</f>
        <v/>
      </c>
      <c r="Q304" s="203" t="str">
        <f>IF(Q$3="","",IF(COUNTIFS(BD!$A$3:$A$5001,Q$3,BD!$B$3:$B$5001,$A$295,BD!$L$3:$L$5001,"&lt;&gt;")=0,"",SUMIFS(BD!$L$3:$L$5001,BD!$A$3:$A$5001,Q$3,BD!$B$3:$B$5001,$A$295)))</f>
        <v/>
      </c>
      <c r="R304" s="203" t="str">
        <f>IF(R$3="","",IF(COUNTIFS(BD!$A$3:$A$5001,R$3,BD!$B$3:$B$5001,$A$295,BD!$L$3:$L$5001,"&lt;&gt;")=0,"",SUMIFS(BD!$L$3:$L$5001,BD!$A$3:$A$5001,R$3,BD!$B$3:$B$5001,$A$295)))</f>
        <v/>
      </c>
      <c r="S304" s="203" t="str">
        <f>IF(S$3="","",IF(COUNTIFS(BD!$A$3:$A$5001,S$3,BD!$B$3:$B$5001,$A$295,BD!$L$3:$L$5001,"&lt;&gt;")=0,"",SUMIFS(BD!$L$3:$L$5001,BD!$A$3:$A$5001,S$3,BD!$B$3:$B$5001,$A$295)))</f>
        <v/>
      </c>
      <c r="T304" s="203" t="str">
        <f>IF(T$3="","",IF(COUNTIFS(BD!$A$3:$A$5001,T$3,BD!$B$3:$B$5001,$A$295,BD!$L$3:$L$5001,"&lt;&gt;")=0,"",SUMIFS(BD!$L$3:$L$5001,BD!$A$3:$A$5001,T$3,BD!$B$3:$B$5001,$A$295)))</f>
        <v/>
      </c>
      <c r="U304" s="203" t="str">
        <f>IF(U$3="","",IF(COUNTIFS(BD!$A$3:$A$5001,U$3,BD!$B$3:$B$5001,$A$295,BD!$L$3:$L$5001,"&lt;&gt;")=0,"",SUMIFS(BD!$L$3:$L$5001,BD!$A$3:$A$5001,U$3,BD!$B$3:$B$5001,$A$295)))</f>
        <v/>
      </c>
      <c r="V304" s="203" t="str">
        <f>IF(V$3="","",IF(COUNTIFS(BD!$A$3:$A$5001,V$3,BD!$B$3:$B$5001,$A$295,BD!$L$3:$L$5001,"&lt;&gt;")=0,"",SUMIFS(BD!$L$3:$L$5001,BD!$A$3:$A$5001,V$3,BD!$B$3:$B$5001,$A$295)))</f>
        <v/>
      </c>
      <c r="W304" s="203" t="str">
        <f>IF(W$3="","",IF(COUNTIFS(BD!$A$3:$A$5001,W$3,BD!$B$3:$B$5001,$A$295,BD!$L$3:$L$5001,"&lt;&gt;")=0,"",SUMIFS(BD!$L$3:$L$5001,BD!$A$3:$A$5001,W$3,BD!$B$3:$B$5001,$A$295)))</f>
        <v/>
      </c>
      <c r="X304" s="203" t="str">
        <f>IF(X$3="","",IF(COUNTIFS(BD!$A$3:$A$5001,X$3,BD!$B$3:$B$5001,$A$295,BD!$L$3:$L$5001,"&lt;&gt;")=0,"",SUMIFS(BD!$L$3:$L$5001,BD!$A$3:$A$5001,X$3,BD!$B$3:$B$5001,$A$295)))</f>
        <v/>
      </c>
      <c r="Y304" s="203" t="str">
        <f>IF(Y$3="","",IF(COUNTIFS(BD!$A$3:$A$5001,Y$3,BD!$B$3:$B$5001,$A$295,BD!$L$3:$L$5001,"&lt;&gt;")=0,"",SUMIFS(BD!$L$3:$L$5001,BD!$A$3:$A$5001,Y$3,BD!$B$3:$B$5001,$A$295)))</f>
        <v/>
      </c>
      <c r="Z304" s="203" t="str">
        <f>IF(Z$3="","",IF(COUNTIFS(BD!$A$3:$A$5001,Z$3,BD!$B$3:$B$5001,$A$295,BD!$L$3:$L$5001,"&lt;&gt;")=0,"",SUMIFS(BD!$L$3:$L$5001,BD!$A$3:$A$5001,Z$3,BD!$B$3:$B$5001,$A$295)))</f>
        <v/>
      </c>
      <c r="AA304" s="203" t="str">
        <f>IF(AA$3="","",IF(COUNTIFS(BD!$A$3:$A$5001,AA$3,BD!$B$3:$B$5001,$A$295,BD!$L$3:$L$5001,"&lt;&gt;")=0,"",SUMIFS(BD!$L$3:$L$5001,BD!$A$3:$A$5001,AA$3,BD!$B$3:$B$5001,$A$295)))</f>
        <v/>
      </c>
      <c r="AB304" s="203" t="str">
        <f>IF(AB$3="","",IF(COUNTIFS(BD!$A$3:$A$5001,AB$3,BD!$B$3:$B$5001,$A$295,BD!$L$3:$L$5001,"&lt;&gt;")=0,"",SUMIFS(BD!$L$3:$L$5001,BD!$A$3:$A$5001,AB$3,BD!$B$3:$B$5001,$A$295)))</f>
        <v/>
      </c>
      <c r="AC304" s="203" t="str">
        <f>IF(AC$3="","",IF(COUNTIFS(BD!$A$3:$A$5001,AC$3,BD!$B$3:$B$5001,$A$295,BD!$L$3:$L$5001,"&lt;&gt;")=0,"",SUMIFS(BD!$L$3:$L$5001,BD!$A$3:$A$5001,AC$3,BD!$B$3:$B$5001,$A$295)))</f>
        <v/>
      </c>
      <c r="AD304" s="203" t="str">
        <f>IF(AD$3="","",IF(COUNTIFS(BD!$A$3:$A$5001,AD$3,BD!$B$3:$B$5001,$A$295,BD!$L$3:$L$5001,"&lt;&gt;")=0,"",SUMIFS(BD!$L$3:$L$5001,BD!$A$3:$A$5001,AD$3,BD!$B$3:$B$5001,$A$295)))</f>
        <v/>
      </c>
      <c r="AE304" s="203" t="str">
        <f>IF(AE$3="","",IF(COUNTIFS(BD!$A$3:$A$5001,AE$3,BD!$B$3:$B$5001,$A$295,BD!$L$3:$L$5001,"&lt;&gt;")=0,"",SUMIFS(BD!$L$3:$L$5001,BD!$A$3:$A$5001,AE$3,BD!$B$3:$B$5001,$A$295)))</f>
        <v/>
      </c>
      <c r="AF304" s="203" t="str">
        <f>IF(AF$3="","",IF(COUNTIFS(BD!$A$3:$A$5001,AF$3,BD!$B$3:$B$5001,$A$295,BD!$L$3:$L$5001,"&lt;&gt;")=0,"",SUMIFS(BD!$L$3:$L$5001,BD!$A$3:$A$5001,AF$3,BD!$B$3:$B$5001,$A$295)))</f>
        <v/>
      </c>
      <c r="AG304" s="203" t="str">
        <f>IF(AG$3="","",IF(COUNTIFS(BD!$A$3:$A$5001,AG$3,BD!$B$3:$B$5001,$A$295,BD!$L$3:$L$5001,"&lt;&gt;")=0,"",SUMIFS(BD!$L$3:$L$5001,BD!$A$3:$A$5001,AG$3,BD!$B$3:$B$5001,$A$295)))</f>
        <v/>
      </c>
      <c r="AH304" s="203" t="str">
        <f>IF(AH$3="","",IF(COUNTIFS(BD!$A$3:$A$5001,AH$3,BD!$B$3:$B$5001,$A$295,BD!$L$3:$L$5001,"&lt;&gt;")=0,"",SUMIFS(BD!$L$3:$L$5001,BD!$A$3:$A$5001,AH$3,BD!$B$3:$B$5001,$A$295)))</f>
        <v/>
      </c>
      <c r="AI304" s="203" t="str">
        <f>IF(AI$3="","",IF(COUNTIFS(BD!$A$3:$A$5001,AI$3,BD!$B$3:$B$5001,$A$295,BD!$L$3:$L$5001,"&lt;&gt;")=0,"",SUMIFS(BD!$L$3:$L$5001,BD!$A$3:$A$5001,AI$3,BD!$B$3:$B$5001,$A$295)))</f>
        <v/>
      </c>
      <c r="AJ304" s="204" t="str">
        <f>IF(AJ$3="","",IF(COUNTIFS(BD!$A$3:$A$5001,AJ$3,BD!$B$3:$B$5001,$A$295,BD!$L$3:$L$5001,"&lt;&gt;")=0,"",SUMIFS(BD!$L$3:$L$5001,BD!$A$3:$A$5001,AJ$3,BD!$B$3:$B$5001,$A$295)))</f>
        <v/>
      </c>
      <c r="AK304" s="205" t="str">
        <f>IF(COUNT(F304:AJ304)=0,"",SUM(F304:AJ304))</f>
        <v/>
      </c>
    </row>
    <row r="305" ht="15.75" customHeight="1" hidden="1">
      <c r="A305" s="277"/>
      <c r="B305" s="269"/>
      <c r="C305" s="210" t="inlineStr">
        <is>
          <t xml:space="preserve">Bags Expedidos</t>
        </is>
      </c>
      <c r="D305" s="211" t="str">
        <f>IFERROR(1/(1/INDEX(BD!$AF$33:$AZ$33,MATCH($A$295,BD!$AF$22:$AZ$22,0))),"")</f>
        <v/>
      </c>
      <c r="E305" s="212"/>
      <c r="F305" s="213" t="str">
        <f>IF(F$3="","",IF(COUNTIFS(BD!$A$3:$A$5001,F$3,BD!$B$3:$B$5001,$A$295,BD!$M$3:$M$5001,"&lt;&gt;")=0,"",SUMIFS(BD!$M$3:$M$5001,BD!$A$3:$A$5001,F$3,BD!$B$3:$B$5001,$A$295)))</f>
        <v/>
      </c>
      <c r="G305" s="214" t="str">
        <f>IF(G$3="","",IF(COUNTIFS(BD!$A$3:$A$5001,G$3,BD!$B$3:$B$5001,$A$295,BD!$M$3:$M$5001,"&lt;&gt;")=0,"",SUMIFS(BD!$M$3:$M$5001,BD!$A$3:$A$5001,G$3,BD!$B$3:$B$5001,$A$295)))</f>
        <v/>
      </c>
      <c r="H305" s="214" t="str">
        <f>IF(H$3="","",IF(COUNTIFS(BD!$A$3:$A$5001,H$3,BD!$B$3:$B$5001,$A$295,BD!$M$3:$M$5001,"&lt;&gt;")=0,"",SUMIFS(BD!$M$3:$M$5001,BD!$A$3:$A$5001,H$3,BD!$B$3:$B$5001,$A$295)))</f>
        <v/>
      </c>
      <c r="I305" s="214" t="str">
        <f>IF(I$3="","",IF(COUNTIFS(BD!$A$3:$A$5001,I$3,BD!$B$3:$B$5001,$A$295,BD!$M$3:$M$5001,"&lt;&gt;")=0,"",SUMIFS(BD!$M$3:$M$5001,BD!$A$3:$A$5001,I$3,BD!$B$3:$B$5001,$A$295)))</f>
        <v/>
      </c>
      <c r="J305" s="214" t="str">
        <f>IF(J$3="","",IF(COUNTIFS(BD!$A$3:$A$5001,J$3,BD!$B$3:$B$5001,$A$295,BD!$M$3:$M$5001,"&lt;&gt;")=0,"",SUMIFS(BD!$M$3:$M$5001,BD!$A$3:$A$5001,J$3,BD!$B$3:$B$5001,$A$295)))</f>
        <v/>
      </c>
      <c r="K305" s="214" t="str">
        <f>IF(K$3="","",IF(COUNTIFS(BD!$A$3:$A$5001,K$3,BD!$B$3:$B$5001,$A$295,BD!$M$3:$M$5001,"&lt;&gt;")=0,"",SUMIFS(BD!$M$3:$M$5001,BD!$A$3:$A$5001,K$3,BD!$B$3:$B$5001,$A$295)))</f>
        <v/>
      </c>
      <c r="L305" s="214" t="str">
        <f>IF(L$3="","",IF(COUNTIFS(BD!$A$3:$A$5001,L$3,BD!$B$3:$B$5001,$A$295,BD!$M$3:$M$5001,"&lt;&gt;")=0,"",SUMIFS(BD!$M$3:$M$5001,BD!$A$3:$A$5001,L$3,BD!$B$3:$B$5001,$A$295)))</f>
        <v/>
      </c>
      <c r="M305" s="214" t="str">
        <f>IF(M$3="","",IF(COUNTIFS(BD!$A$3:$A$5001,M$3,BD!$B$3:$B$5001,$A$295,BD!$M$3:$M$5001,"&lt;&gt;")=0,"",SUMIFS(BD!$M$3:$M$5001,BD!$A$3:$A$5001,M$3,BD!$B$3:$B$5001,$A$295)))</f>
        <v/>
      </c>
      <c r="N305" s="214" t="str">
        <f>IF(N$3="","",IF(COUNTIFS(BD!$A$3:$A$5001,N$3,BD!$B$3:$B$5001,$A$295,BD!$M$3:$M$5001,"&lt;&gt;")=0,"",SUMIFS(BD!$M$3:$M$5001,BD!$A$3:$A$5001,N$3,BD!$B$3:$B$5001,$A$295)))</f>
        <v/>
      </c>
      <c r="O305" s="214" t="str">
        <f>IF(O$3="","",IF(COUNTIFS(BD!$A$3:$A$5001,O$3,BD!$B$3:$B$5001,$A$295,BD!$M$3:$M$5001,"&lt;&gt;")=0,"",SUMIFS(BD!$M$3:$M$5001,BD!$A$3:$A$5001,O$3,BD!$B$3:$B$5001,$A$295)))</f>
        <v/>
      </c>
      <c r="P305" s="214" t="str">
        <f>IF(P$3="","",IF(COUNTIFS(BD!$A$3:$A$5001,P$3,BD!$B$3:$B$5001,$A$295,BD!$M$3:$M$5001,"&lt;&gt;")=0,"",SUMIFS(BD!$M$3:$M$5001,BD!$A$3:$A$5001,P$3,BD!$B$3:$B$5001,$A$295)))</f>
        <v/>
      </c>
      <c r="Q305" s="214" t="str">
        <f>IF(Q$3="","",IF(COUNTIFS(BD!$A$3:$A$5001,Q$3,BD!$B$3:$B$5001,$A$295,BD!$M$3:$M$5001,"&lt;&gt;")=0,"",SUMIFS(BD!$M$3:$M$5001,BD!$A$3:$A$5001,Q$3,BD!$B$3:$B$5001,$A$295)))</f>
        <v/>
      </c>
      <c r="R305" s="214" t="str">
        <f>IF(R$3="","",IF(COUNTIFS(BD!$A$3:$A$5001,R$3,BD!$B$3:$B$5001,$A$295,BD!$M$3:$M$5001,"&lt;&gt;")=0,"",SUMIFS(BD!$M$3:$M$5001,BD!$A$3:$A$5001,R$3,BD!$B$3:$B$5001,$A$295)))</f>
        <v/>
      </c>
      <c r="S305" s="214" t="str">
        <f>IF(S$3="","",IF(COUNTIFS(BD!$A$3:$A$5001,S$3,BD!$B$3:$B$5001,$A$295,BD!$M$3:$M$5001,"&lt;&gt;")=0,"",SUMIFS(BD!$M$3:$M$5001,BD!$A$3:$A$5001,S$3,BD!$B$3:$B$5001,$A$295)))</f>
        <v/>
      </c>
      <c r="T305" s="214" t="str">
        <f>IF(T$3="","",IF(COUNTIFS(BD!$A$3:$A$5001,T$3,BD!$B$3:$B$5001,$A$295,BD!$M$3:$M$5001,"&lt;&gt;")=0,"",SUMIFS(BD!$M$3:$M$5001,BD!$A$3:$A$5001,T$3,BD!$B$3:$B$5001,$A$295)))</f>
        <v/>
      </c>
      <c r="U305" s="214" t="str">
        <f>IF(U$3="","",IF(COUNTIFS(BD!$A$3:$A$5001,U$3,BD!$B$3:$B$5001,$A$295,BD!$M$3:$M$5001,"&lt;&gt;")=0,"",SUMIFS(BD!$M$3:$M$5001,BD!$A$3:$A$5001,U$3,BD!$B$3:$B$5001,$A$295)))</f>
        <v/>
      </c>
      <c r="V305" s="214" t="str">
        <f>IF(V$3="","",IF(COUNTIFS(BD!$A$3:$A$5001,V$3,BD!$B$3:$B$5001,$A$295,BD!$M$3:$M$5001,"&lt;&gt;")=0,"",SUMIFS(BD!$M$3:$M$5001,BD!$A$3:$A$5001,V$3,BD!$B$3:$B$5001,$A$295)))</f>
        <v/>
      </c>
      <c r="W305" s="214" t="str">
        <f>IF(W$3="","",IF(COUNTIFS(BD!$A$3:$A$5001,W$3,BD!$B$3:$B$5001,$A$295,BD!$M$3:$M$5001,"&lt;&gt;")=0,"",SUMIFS(BD!$M$3:$M$5001,BD!$A$3:$A$5001,W$3,BD!$B$3:$B$5001,$A$295)))</f>
        <v/>
      </c>
      <c r="X305" s="214" t="str">
        <f>IF(X$3="","",IF(COUNTIFS(BD!$A$3:$A$5001,X$3,BD!$B$3:$B$5001,$A$295,BD!$M$3:$M$5001,"&lt;&gt;")=0,"",SUMIFS(BD!$M$3:$M$5001,BD!$A$3:$A$5001,X$3,BD!$B$3:$B$5001,$A$295)))</f>
        <v/>
      </c>
      <c r="Y305" s="214" t="str">
        <f>IF(Y$3="","",IF(COUNTIFS(BD!$A$3:$A$5001,Y$3,BD!$B$3:$B$5001,$A$295,BD!$M$3:$M$5001,"&lt;&gt;")=0,"",SUMIFS(BD!$M$3:$M$5001,BD!$A$3:$A$5001,Y$3,BD!$B$3:$B$5001,$A$295)))</f>
        <v/>
      </c>
      <c r="Z305" s="214" t="str">
        <f>IF(Z$3="","",IF(COUNTIFS(BD!$A$3:$A$5001,Z$3,BD!$B$3:$B$5001,$A$295,BD!$M$3:$M$5001,"&lt;&gt;")=0,"",SUMIFS(BD!$M$3:$M$5001,BD!$A$3:$A$5001,Z$3,BD!$B$3:$B$5001,$A$295)))</f>
        <v/>
      </c>
      <c r="AA305" s="214" t="str">
        <f>IF(AA$3="","",IF(COUNTIFS(BD!$A$3:$A$5001,AA$3,BD!$B$3:$B$5001,$A$295,BD!$M$3:$M$5001,"&lt;&gt;")=0,"",SUMIFS(BD!$M$3:$M$5001,BD!$A$3:$A$5001,AA$3,BD!$B$3:$B$5001,$A$295)))</f>
        <v/>
      </c>
      <c r="AB305" s="214" t="str">
        <f>IF(AB$3="","",IF(COUNTIFS(BD!$A$3:$A$5001,AB$3,BD!$B$3:$B$5001,$A$295,BD!$M$3:$M$5001,"&lt;&gt;")=0,"",SUMIFS(BD!$M$3:$M$5001,BD!$A$3:$A$5001,AB$3,BD!$B$3:$B$5001,$A$295)))</f>
        <v/>
      </c>
      <c r="AC305" s="214" t="str">
        <f>IF(AC$3="","",IF(COUNTIFS(BD!$A$3:$A$5001,AC$3,BD!$B$3:$B$5001,$A$295,BD!$M$3:$M$5001,"&lt;&gt;")=0,"",SUMIFS(BD!$M$3:$M$5001,BD!$A$3:$A$5001,AC$3,BD!$B$3:$B$5001,$A$295)))</f>
        <v/>
      </c>
      <c r="AD305" s="214" t="str">
        <f>IF(AD$3="","",IF(COUNTIFS(BD!$A$3:$A$5001,AD$3,BD!$B$3:$B$5001,$A$295,BD!$M$3:$M$5001,"&lt;&gt;")=0,"",SUMIFS(BD!$M$3:$M$5001,BD!$A$3:$A$5001,AD$3,BD!$B$3:$B$5001,$A$295)))</f>
        <v/>
      </c>
      <c r="AE305" s="214" t="str">
        <f>IF(AE$3="","",IF(COUNTIFS(BD!$A$3:$A$5001,AE$3,BD!$B$3:$B$5001,$A$295,BD!$M$3:$M$5001,"&lt;&gt;")=0,"",SUMIFS(BD!$M$3:$M$5001,BD!$A$3:$A$5001,AE$3,BD!$B$3:$B$5001,$A$295)))</f>
        <v/>
      </c>
      <c r="AF305" s="214" t="str">
        <f>IF(AF$3="","",IF(COUNTIFS(BD!$A$3:$A$5001,AF$3,BD!$B$3:$B$5001,$A$295,BD!$M$3:$M$5001,"&lt;&gt;")=0,"",SUMIFS(BD!$M$3:$M$5001,BD!$A$3:$A$5001,AF$3,BD!$B$3:$B$5001,$A$295)))</f>
        <v/>
      </c>
      <c r="AG305" s="214" t="str">
        <f>IF(AG$3="","",IF(COUNTIFS(BD!$A$3:$A$5001,AG$3,BD!$B$3:$B$5001,$A$295,BD!$M$3:$M$5001,"&lt;&gt;")=0,"",SUMIFS(BD!$M$3:$M$5001,BD!$A$3:$A$5001,AG$3,BD!$B$3:$B$5001,$A$295)))</f>
        <v/>
      </c>
      <c r="AH305" s="214" t="str">
        <f>IF(AH$3="","",IF(COUNTIFS(BD!$A$3:$A$5001,AH$3,BD!$B$3:$B$5001,$A$295,BD!$M$3:$M$5001,"&lt;&gt;")=0,"",SUMIFS(BD!$M$3:$M$5001,BD!$A$3:$A$5001,AH$3,BD!$B$3:$B$5001,$A$295)))</f>
        <v/>
      </c>
      <c r="AI305" s="214" t="str">
        <f>IF(AI$3="","",IF(COUNTIFS(BD!$A$3:$A$5001,AI$3,BD!$B$3:$B$5001,$A$295,BD!$M$3:$M$5001,"&lt;&gt;")=0,"",SUMIFS(BD!$M$3:$M$5001,BD!$A$3:$A$5001,AI$3,BD!$B$3:$B$5001,$A$295)))</f>
        <v/>
      </c>
      <c r="AJ305" s="215" t="str">
        <f>IF(AJ$3="","",IF(COUNTIFS(BD!$A$3:$A$5001,AJ$3,BD!$B$3:$B$5001,$A$295,BD!$M$3:$M$5001,"&lt;&gt;")=0,"",SUMIFS(BD!$M$3:$M$5001,BD!$A$3:$A$5001,AJ$3,BD!$B$3:$B$5001,$A$295)))</f>
        <v/>
      </c>
      <c r="AK305" s="211" t="str">
        <f>IF(COUNT(F305:AJ305)=0,"",SUM(F305:AJ305))</f>
        <v/>
      </c>
    </row>
    <row r="306" ht="15.75" customHeight="1" hidden="1">
      <c r="A306" s="277"/>
      <c r="B306" s="270" t="inlineStr">
        <is>
          <t xml:space="preserve">NC</t>
        </is>
      </c>
      <c r="C306" s="216" t="inlineStr">
        <is>
          <t xml:space="preserve">Incidentes</t>
        </is>
      </c>
      <c r="D306" s="217" t="str">
        <f>IFERROR(1/(1/INDEX(BD!$AF$34:$AZ$34,MATCH($A$295,BD!$AF$22:$AZ$22,0))),"")</f>
        <v/>
      </c>
      <c r="E306" s="218"/>
      <c r="F306" s="219" t="str">
        <f>IF(F$3="","",IF(COUNTIFS(BD!$A$3:$A$5001,F$3,BD!$B$3:$B$5001,$A$295,BD!$N$3:$N$5001,"&lt;&gt;")=0,"",SUMIFS(BD!$N$3:$N$5001,BD!$A$3:$A$5001,F$3,BD!$B$3:$B$5001,$A$295)))</f>
        <v/>
      </c>
      <c r="G306" s="220" t="str">
        <f>IF(G$3="","",IF(COUNTIFS(BD!$A$3:$A$5001,G$3,BD!$B$3:$B$5001,$A$295,BD!$N$3:$N$5001,"&lt;&gt;")=0,"",SUMIFS(BD!$N$3:$N$5001,BD!$A$3:$A$5001,G$3,BD!$B$3:$B$5001,$A$295)))</f>
        <v/>
      </c>
      <c r="H306" s="220" t="str">
        <f>IF(H$3="","",IF(COUNTIFS(BD!$A$3:$A$5001,H$3,BD!$B$3:$B$5001,$A$295,BD!$N$3:$N$5001,"&lt;&gt;")=0,"",SUMIFS(BD!$N$3:$N$5001,BD!$A$3:$A$5001,H$3,BD!$B$3:$B$5001,$A$295)))</f>
        <v/>
      </c>
      <c r="I306" s="220" t="str">
        <f>IF(I$3="","",IF(COUNTIFS(BD!$A$3:$A$5001,I$3,BD!$B$3:$B$5001,$A$295,BD!$N$3:$N$5001,"&lt;&gt;")=0,"",SUMIFS(BD!$N$3:$N$5001,BD!$A$3:$A$5001,I$3,BD!$B$3:$B$5001,$A$295)))</f>
        <v/>
      </c>
      <c r="J306" s="220" t="str">
        <f>IF(J$3="","",IF(COUNTIFS(BD!$A$3:$A$5001,J$3,BD!$B$3:$B$5001,$A$295,BD!$N$3:$N$5001,"&lt;&gt;")=0,"",SUMIFS(BD!$N$3:$N$5001,BD!$A$3:$A$5001,J$3,BD!$B$3:$B$5001,$A$295)))</f>
        <v/>
      </c>
      <c r="K306" s="220" t="str">
        <f>IF(K$3="","",IF(COUNTIFS(BD!$A$3:$A$5001,K$3,BD!$B$3:$B$5001,$A$295,BD!$N$3:$N$5001,"&lt;&gt;")=0,"",SUMIFS(BD!$N$3:$N$5001,BD!$A$3:$A$5001,K$3,BD!$B$3:$B$5001,$A$295)))</f>
        <v/>
      </c>
      <c r="L306" s="220" t="str">
        <f>IF(L$3="","",IF(COUNTIFS(BD!$A$3:$A$5001,L$3,BD!$B$3:$B$5001,$A$295,BD!$N$3:$N$5001,"&lt;&gt;")=0,"",SUMIFS(BD!$N$3:$N$5001,BD!$A$3:$A$5001,L$3,BD!$B$3:$B$5001,$A$295)))</f>
        <v/>
      </c>
      <c r="M306" s="220" t="str">
        <f>IF(M$3="","",IF(COUNTIFS(BD!$A$3:$A$5001,M$3,BD!$B$3:$B$5001,$A$295,BD!$N$3:$N$5001,"&lt;&gt;")=0,"",SUMIFS(BD!$N$3:$N$5001,BD!$A$3:$A$5001,M$3,BD!$B$3:$B$5001,$A$295)))</f>
        <v/>
      </c>
      <c r="N306" s="220" t="str">
        <f>IF(N$3="","",IF(COUNTIFS(BD!$A$3:$A$5001,N$3,BD!$B$3:$B$5001,$A$295,BD!$N$3:$N$5001,"&lt;&gt;")=0,"",SUMIFS(BD!$N$3:$N$5001,BD!$A$3:$A$5001,N$3,BD!$B$3:$B$5001,$A$295)))</f>
        <v/>
      </c>
      <c r="O306" s="220" t="str">
        <f>IF(O$3="","",IF(COUNTIFS(BD!$A$3:$A$5001,O$3,BD!$B$3:$B$5001,$A$295,BD!$N$3:$N$5001,"&lt;&gt;")=0,"",SUMIFS(BD!$N$3:$N$5001,BD!$A$3:$A$5001,O$3,BD!$B$3:$B$5001,$A$295)))</f>
        <v/>
      </c>
      <c r="P306" s="220" t="str">
        <f>IF(P$3="","",IF(COUNTIFS(BD!$A$3:$A$5001,P$3,BD!$B$3:$B$5001,$A$295,BD!$N$3:$N$5001,"&lt;&gt;")=0,"",SUMIFS(BD!$N$3:$N$5001,BD!$A$3:$A$5001,P$3,BD!$B$3:$B$5001,$A$295)))</f>
        <v/>
      </c>
      <c r="Q306" s="220" t="str">
        <f>IF(Q$3="","",IF(COUNTIFS(BD!$A$3:$A$5001,Q$3,BD!$B$3:$B$5001,$A$295,BD!$N$3:$N$5001,"&lt;&gt;")=0,"",SUMIFS(BD!$N$3:$N$5001,BD!$A$3:$A$5001,Q$3,BD!$B$3:$B$5001,$A$295)))</f>
        <v/>
      </c>
      <c r="R306" s="220" t="str">
        <f>IF(R$3="","",IF(COUNTIFS(BD!$A$3:$A$5001,R$3,BD!$B$3:$B$5001,$A$295,BD!$N$3:$N$5001,"&lt;&gt;")=0,"",SUMIFS(BD!$N$3:$N$5001,BD!$A$3:$A$5001,R$3,BD!$B$3:$B$5001,$A$295)))</f>
        <v/>
      </c>
      <c r="S306" s="220" t="str">
        <f>IF(S$3="","",IF(COUNTIFS(BD!$A$3:$A$5001,S$3,BD!$B$3:$B$5001,$A$295,BD!$N$3:$N$5001,"&lt;&gt;")=0,"",SUMIFS(BD!$N$3:$N$5001,BD!$A$3:$A$5001,S$3,BD!$B$3:$B$5001,$A$295)))</f>
        <v/>
      </c>
      <c r="T306" s="220" t="str">
        <f>IF(T$3="","",IF(COUNTIFS(BD!$A$3:$A$5001,T$3,BD!$B$3:$B$5001,$A$295,BD!$N$3:$N$5001,"&lt;&gt;")=0,"",SUMIFS(BD!$N$3:$N$5001,BD!$A$3:$A$5001,T$3,BD!$B$3:$B$5001,$A$295)))</f>
        <v/>
      </c>
      <c r="U306" s="220" t="str">
        <f>IF(U$3="","",IF(COUNTIFS(BD!$A$3:$A$5001,U$3,BD!$B$3:$B$5001,$A$295,BD!$N$3:$N$5001,"&lt;&gt;")=0,"",SUMIFS(BD!$N$3:$N$5001,BD!$A$3:$A$5001,U$3,BD!$B$3:$B$5001,$A$295)))</f>
        <v/>
      </c>
      <c r="V306" s="220" t="str">
        <f>IF(V$3="","",IF(COUNTIFS(BD!$A$3:$A$5001,V$3,BD!$B$3:$B$5001,$A$295,BD!$N$3:$N$5001,"&lt;&gt;")=0,"",SUMIFS(BD!$N$3:$N$5001,BD!$A$3:$A$5001,V$3,BD!$B$3:$B$5001,$A$295)))</f>
        <v/>
      </c>
      <c r="W306" s="220" t="str">
        <f>IF(W$3="","",IF(COUNTIFS(BD!$A$3:$A$5001,W$3,BD!$B$3:$B$5001,$A$295,BD!$N$3:$N$5001,"&lt;&gt;")=0,"",SUMIFS(BD!$N$3:$N$5001,BD!$A$3:$A$5001,W$3,BD!$B$3:$B$5001,$A$295)))</f>
        <v/>
      </c>
      <c r="X306" s="220" t="str">
        <f>IF(X$3="","",IF(COUNTIFS(BD!$A$3:$A$5001,X$3,BD!$B$3:$B$5001,$A$295,BD!$N$3:$N$5001,"&lt;&gt;")=0,"",SUMIFS(BD!$N$3:$N$5001,BD!$A$3:$A$5001,X$3,BD!$B$3:$B$5001,$A$295)))</f>
        <v/>
      </c>
      <c r="Y306" s="220" t="str">
        <f>IF(Y$3="","",IF(COUNTIFS(BD!$A$3:$A$5001,Y$3,BD!$B$3:$B$5001,$A$295,BD!$N$3:$N$5001,"&lt;&gt;")=0,"",SUMIFS(BD!$N$3:$N$5001,BD!$A$3:$A$5001,Y$3,BD!$B$3:$B$5001,$A$295)))</f>
        <v/>
      </c>
      <c r="Z306" s="220" t="str">
        <f>IF(Z$3="","",IF(COUNTIFS(BD!$A$3:$A$5001,Z$3,BD!$B$3:$B$5001,$A$295,BD!$N$3:$N$5001,"&lt;&gt;")=0,"",SUMIFS(BD!$N$3:$N$5001,BD!$A$3:$A$5001,Z$3,BD!$B$3:$B$5001,$A$295)))</f>
        <v/>
      </c>
      <c r="AA306" s="220" t="str">
        <f>IF(AA$3="","",IF(COUNTIFS(BD!$A$3:$A$5001,AA$3,BD!$B$3:$B$5001,$A$295,BD!$N$3:$N$5001,"&lt;&gt;")=0,"",SUMIFS(BD!$N$3:$N$5001,BD!$A$3:$A$5001,AA$3,BD!$B$3:$B$5001,$A$295)))</f>
        <v/>
      </c>
      <c r="AB306" s="220" t="str">
        <f>IF(AB$3="","",IF(COUNTIFS(BD!$A$3:$A$5001,AB$3,BD!$B$3:$B$5001,$A$295,BD!$N$3:$N$5001,"&lt;&gt;")=0,"",SUMIFS(BD!$N$3:$N$5001,BD!$A$3:$A$5001,AB$3,BD!$B$3:$B$5001,$A$295)))</f>
        <v/>
      </c>
      <c r="AC306" s="220" t="str">
        <f>IF(AC$3="","",IF(COUNTIFS(BD!$A$3:$A$5001,AC$3,BD!$B$3:$B$5001,$A$295,BD!$N$3:$N$5001,"&lt;&gt;")=0,"",SUMIFS(BD!$N$3:$N$5001,BD!$A$3:$A$5001,AC$3,BD!$B$3:$B$5001,$A$295)))</f>
        <v/>
      </c>
      <c r="AD306" s="220" t="str">
        <f>IF(AD$3="","",IF(COUNTIFS(BD!$A$3:$A$5001,AD$3,BD!$B$3:$B$5001,$A$295,BD!$N$3:$N$5001,"&lt;&gt;")=0,"",SUMIFS(BD!$N$3:$N$5001,BD!$A$3:$A$5001,AD$3,BD!$B$3:$B$5001,$A$295)))</f>
        <v/>
      </c>
      <c r="AE306" s="220" t="str">
        <f>IF(AE$3="","",IF(COUNTIFS(BD!$A$3:$A$5001,AE$3,BD!$B$3:$B$5001,$A$295,BD!$N$3:$N$5001,"&lt;&gt;")=0,"",SUMIFS(BD!$N$3:$N$5001,BD!$A$3:$A$5001,AE$3,BD!$B$3:$B$5001,$A$295)))</f>
        <v/>
      </c>
      <c r="AF306" s="220" t="str">
        <f>IF(AF$3="","",IF(COUNTIFS(BD!$A$3:$A$5001,AF$3,BD!$B$3:$B$5001,$A$295,BD!$N$3:$N$5001,"&lt;&gt;")=0,"",SUMIFS(BD!$N$3:$N$5001,BD!$A$3:$A$5001,AF$3,BD!$B$3:$B$5001,$A$295)))</f>
        <v/>
      </c>
      <c r="AG306" s="220" t="str">
        <f>IF(AG$3="","",IF(COUNTIFS(BD!$A$3:$A$5001,AG$3,BD!$B$3:$B$5001,$A$295,BD!$N$3:$N$5001,"&lt;&gt;")=0,"",SUMIFS(BD!$N$3:$N$5001,BD!$A$3:$A$5001,AG$3,BD!$B$3:$B$5001,$A$295)))</f>
        <v/>
      </c>
      <c r="AH306" s="220" t="str">
        <f>IF(AH$3="","",IF(COUNTIFS(BD!$A$3:$A$5001,AH$3,BD!$B$3:$B$5001,$A$295,BD!$N$3:$N$5001,"&lt;&gt;")=0,"",SUMIFS(BD!$N$3:$N$5001,BD!$A$3:$A$5001,AH$3,BD!$B$3:$B$5001,$A$295)))</f>
        <v/>
      </c>
      <c r="AI306" s="220" t="str">
        <f>IF(AI$3="","",IF(COUNTIFS(BD!$A$3:$A$5001,AI$3,BD!$B$3:$B$5001,$A$295,BD!$N$3:$N$5001,"&lt;&gt;")=0,"",SUMIFS(BD!$N$3:$N$5001,BD!$A$3:$A$5001,AI$3,BD!$B$3:$B$5001,$A$295)))</f>
        <v/>
      </c>
      <c r="AJ306" s="221" t="str">
        <f>IF(AJ$3="","",IF(COUNTIFS(BD!$A$3:$A$5001,AJ$3,BD!$B$3:$B$5001,$A$295,BD!$N$3:$N$5001,"&lt;&gt;")=0,"",SUMIFS(BD!$N$3:$N$5001,BD!$A$3:$A$5001,AJ$3,BD!$B$3:$B$5001,$A$295)))</f>
        <v/>
      </c>
      <c r="AK306" s="222" t="str">
        <f>IF(COUNT(F306:AJ306)=0,"",SUM(F306:AJ306))</f>
        <v/>
      </c>
    </row>
    <row r="307" ht="15.75" customHeight="1" hidden="1">
      <c r="A307" s="277"/>
      <c r="B307" s="271"/>
      <c r="C307" s="223" t="inlineStr">
        <is>
          <t xml:space="preserve">No show</t>
        </is>
      </c>
      <c r="D307" s="224" t="str">
        <f>IFERROR(1/(1/INDEX(BD!$AF$35:$AZ$35,MATCH($A$295,BD!$AF$22:$AZ$22,0))),"")</f>
        <v/>
      </c>
      <c r="E307" s="225"/>
      <c r="F307" s="226" t="str">
        <f>IF(F$3="","",IF(COUNTIFS(BD!$A$3:$A$5001,F$3,BD!$B$3:$B$5001,$A$295,BD!$O$3:$O$5001,"&lt;&gt;")=0,"",SUMIFS(BD!$O$3:$O$5001,BD!$A$3:$A$5001,F$3,BD!$B$3:$B$5001,$A$295)))</f>
        <v/>
      </c>
      <c r="G307" s="227" t="str">
        <f>IF(G$3="","",IF(COUNTIFS(BD!$A$3:$A$5001,G$3,BD!$B$3:$B$5001,$A$295,BD!$O$3:$O$5001,"&lt;&gt;")=0,"",SUMIFS(BD!$O$3:$O$5001,BD!$A$3:$A$5001,G$3,BD!$B$3:$B$5001,$A$295)))</f>
        <v/>
      </c>
      <c r="H307" s="227" t="str">
        <f>IF(H$3="","",IF(COUNTIFS(BD!$A$3:$A$5001,H$3,BD!$B$3:$B$5001,$A$295,BD!$O$3:$O$5001,"&lt;&gt;")=0,"",SUMIFS(BD!$O$3:$O$5001,BD!$A$3:$A$5001,H$3,BD!$B$3:$B$5001,$A$295)))</f>
        <v/>
      </c>
      <c r="I307" s="227" t="str">
        <f>IF(I$3="","",IF(COUNTIFS(BD!$A$3:$A$5001,I$3,BD!$B$3:$B$5001,$A$295,BD!$O$3:$O$5001,"&lt;&gt;")=0,"",SUMIFS(BD!$O$3:$O$5001,BD!$A$3:$A$5001,I$3,BD!$B$3:$B$5001,$A$295)))</f>
        <v/>
      </c>
      <c r="J307" s="227" t="str">
        <f>IF(J$3="","",IF(COUNTIFS(BD!$A$3:$A$5001,J$3,BD!$B$3:$B$5001,$A$295,BD!$O$3:$O$5001,"&lt;&gt;")=0,"",SUMIFS(BD!$O$3:$O$5001,BD!$A$3:$A$5001,J$3,BD!$B$3:$B$5001,$A$295)))</f>
        <v/>
      </c>
      <c r="K307" s="227" t="str">
        <f>IF(K$3="","",IF(COUNTIFS(BD!$A$3:$A$5001,K$3,BD!$B$3:$B$5001,$A$295,BD!$O$3:$O$5001,"&lt;&gt;")=0,"",SUMIFS(BD!$O$3:$O$5001,BD!$A$3:$A$5001,K$3,BD!$B$3:$B$5001,$A$295)))</f>
        <v/>
      </c>
      <c r="L307" s="227" t="str">
        <f>IF(L$3="","",IF(COUNTIFS(BD!$A$3:$A$5001,L$3,BD!$B$3:$B$5001,$A$295,BD!$O$3:$O$5001,"&lt;&gt;")=0,"",SUMIFS(BD!$O$3:$O$5001,BD!$A$3:$A$5001,L$3,BD!$B$3:$B$5001,$A$295)))</f>
        <v/>
      </c>
      <c r="M307" s="227" t="str">
        <f>IF(M$3="","",IF(COUNTIFS(BD!$A$3:$A$5001,M$3,BD!$B$3:$B$5001,$A$295,BD!$O$3:$O$5001,"&lt;&gt;")=0,"",SUMIFS(BD!$O$3:$O$5001,BD!$A$3:$A$5001,M$3,BD!$B$3:$B$5001,$A$295)))</f>
        <v/>
      </c>
      <c r="N307" s="227" t="str">
        <f>IF(N$3="","",IF(COUNTIFS(BD!$A$3:$A$5001,N$3,BD!$B$3:$B$5001,$A$295,BD!$O$3:$O$5001,"&lt;&gt;")=0,"",SUMIFS(BD!$O$3:$O$5001,BD!$A$3:$A$5001,N$3,BD!$B$3:$B$5001,$A$295)))</f>
        <v/>
      </c>
      <c r="O307" s="227" t="str">
        <f>IF(O$3="","",IF(COUNTIFS(BD!$A$3:$A$5001,O$3,BD!$B$3:$B$5001,$A$295,BD!$O$3:$O$5001,"&lt;&gt;")=0,"",SUMIFS(BD!$O$3:$O$5001,BD!$A$3:$A$5001,O$3,BD!$B$3:$B$5001,$A$295)))</f>
        <v/>
      </c>
      <c r="P307" s="227" t="str">
        <f>IF(P$3="","",IF(COUNTIFS(BD!$A$3:$A$5001,P$3,BD!$B$3:$B$5001,$A$295,BD!$O$3:$O$5001,"&lt;&gt;")=0,"",SUMIFS(BD!$O$3:$O$5001,BD!$A$3:$A$5001,P$3,BD!$B$3:$B$5001,$A$295)))</f>
        <v/>
      </c>
      <c r="Q307" s="227" t="str">
        <f>IF(Q$3="","",IF(COUNTIFS(BD!$A$3:$A$5001,Q$3,BD!$B$3:$B$5001,$A$295,BD!$O$3:$O$5001,"&lt;&gt;")=0,"",SUMIFS(BD!$O$3:$O$5001,BD!$A$3:$A$5001,Q$3,BD!$B$3:$B$5001,$A$295)))</f>
        <v/>
      </c>
      <c r="R307" s="227" t="str">
        <f>IF(R$3="","",IF(COUNTIFS(BD!$A$3:$A$5001,R$3,BD!$B$3:$B$5001,$A$295,BD!$O$3:$O$5001,"&lt;&gt;")=0,"",SUMIFS(BD!$O$3:$O$5001,BD!$A$3:$A$5001,R$3,BD!$B$3:$B$5001,$A$295)))</f>
        <v/>
      </c>
      <c r="S307" s="227" t="str">
        <f>IF(S$3="","",IF(COUNTIFS(BD!$A$3:$A$5001,S$3,BD!$B$3:$B$5001,$A$295,BD!$O$3:$O$5001,"&lt;&gt;")=0,"",SUMIFS(BD!$O$3:$O$5001,BD!$A$3:$A$5001,S$3,BD!$B$3:$B$5001,$A$295)))</f>
        <v/>
      </c>
      <c r="T307" s="227" t="str">
        <f>IF(T$3="","",IF(COUNTIFS(BD!$A$3:$A$5001,T$3,BD!$B$3:$B$5001,$A$295,BD!$O$3:$O$5001,"&lt;&gt;")=0,"",SUMIFS(BD!$O$3:$O$5001,BD!$A$3:$A$5001,T$3,BD!$B$3:$B$5001,$A$295)))</f>
        <v/>
      </c>
      <c r="U307" s="227" t="str">
        <f>IF(U$3="","",IF(COUNTIFS(BD!$A$3:$A$5001,U$3,BD!$B$3:$B$5001,$A$295,BD!$O$3:$O$5001,"&lt;&gt;")=0,"",SUMIFS(BD!$O$3:$O$5001,BD!$A$3:$A$5001,U$3,BD!$B$3:$B$5001,$A$295)))</f>
        <v/>
      </c>
      <c r="V307" s="227" t="str">
        <f>IF(V$3="","",IF(COUNTIFS(BD!$A$3:$A$5001,V$3,BD!$B$3:$B$5001,$A$295,BD!$O$3:$O$5001,"&lt;&gt;")=0,"",SUMIFS(BD!$O$3:$O$5001,BD!$A$3:$A$5001,V$3,BD!$B$3:$B$5001,$A$295)))</f>
        <v/>
      </c>
      <c r="W307" s="227" t="str">
        <f>IF(W$3="","",IF(COUNTIFS(BD!$A$3:$A$5001,W$3,BD!$B$3:$B$5001,$A$295,BD!$O$3:$O$5001,"&lt;&gt;")=0,"",SUMIFS(BD!$O$3:$O$5001,BD!$A$3:$A$5001,W$3,BD!$B$3:$B$5001,$A$295)))</f>
        <v/>
      </c>
      <c r="X307" s="227" t="str">
        <f>IF(X$3="","",IF(COUNTIFS(BD!$A$3:$A$5001,X$3,BD!$B$3:$B$5001,$A$295,BD!$O$3:$O$5001,"&lt;&gt;")=0,"",SUMIFS(BD!$O$3:$O$5001,BD!$A$3:$A$5001,X$3,BD!$B$3:$B$5001,$A$295)))</f>
        <v/>
      </c>
      <c r="Y307" s="227" t="str">
        <f>IF(Y$3="","",IF(COUNTIFS(BD!$A$3:$A$5001,Y$3,BD!$B$3:$B$5001,$A$295,BD!$O$3:$O$5001,"&lt;&gt;")=0,"",SUMIFS(BD!$O$3:$O$5001,BD!$A$3:$A$5001,Y$3,BD!$B$3:$B$5001,$A$295)))</f>
        <v/>
      </c>
      <c r="Z307" s="227" t="str">
        <f>IF(Z$3="","",IF(COUNTIFS(BD!$A$3:$A$5001,Z$3,BD!$B$3:$B$5001,$A$295,BD!$O$3:$O$5001,"&lt;&gt;")=0,"",SUMIFS(BD!$O$3:$O$5001,BD!$A$3:$A$5001,Z$3,BD!$B$3:$B$5001,$A$295)))</f>
        <v/>
      </c>
      <c r="AA307" s="227" t="str">
        <f>IF(AA$3="","",IF(COUNTIFS(BD!$A$3:$A$5001,AA$3,BD!$B$3:$B$5001,$A$295,BD!$O$3:$O$5001,"&lt;&gt;")=0,"",SUMIFS(BD!$O$3:$O$5001,BD!$A$3:$A$5001,AA$3,BD!$B$3:$B$5001,$A$295)))</f>
        <v/>
      </c>
      <c r="AB307" s="227" t="str">
        <f>IF(AB$3="","",IF(COUNTIFS(BD!$A$3:$A$5001,AB$3,BD!$B$3:$B$5001,$A$295,BD!$O$3:$O$5001,"&lt;&gt;")=0,"",SUMIFS(BD!$O$3:$O$5001,BD!$A$3:$A$5001,AB$3,BD!$B$3:$B$5001,$A$295)))</f>
        <v/>
      </c>
      <c r="AC307" s="227" t="str">
        <f>IF(AC$3="","",IF(COUNTIFS(BD!$A$3:$A$5001,AC$3,BD!$B$3:$B$5001,$A$295,BD!$O$3:$O$5001,"&lt;&gt;")=0,"",SUMIFS(BD!$O$3:$O$5001,BD!$A$3:$A$5001,AC$3,BD!$B$3:$B$5001,$A$295)))</f>
        <v/>
      </c>
      <c r="AD307" s="227" t="str">
        <f>IF(AD$3="","",IF(COUNTIFS(BD!$A$3:$A$5001,AD$3,BD!$B$3:$B$5001,$A$295,BD!$O$3:$O$5001,"&lt;&gt;")=0,"",SUMIFS(BD!$O$3:$O$5001,BD!$A$3:$A$5001,AD$3,BD!$B$3:$B$5001,$A$295)))</f>
        <v/>
      </c>
      <c r="AE307" s="227" t="str">
        <f>IF(AE$3="","",IF(COUNTIFS(BD!$A$3:$A$5001,AE$3,BD!$B$3:$B$5001,$A$295,BD!$O$3:$O$5001,"&lt;&gt;")=0,"",SUMIFS(BD!$O$3:$O$5001,BD!$A$3:$A$5001,AE$3,BD!$B$3:$B$5001,$A$295)))</f>
        <v/>
      </c>
      <c r="AF307" s="227" t="str">
        <f>IF(AF$3="","",IF(COUNTIFS(BD!$A$3:$A$5001,AF$3,BD!$B$3:$B$5001,$A$295,BD!$O$3:$O$5001,"&lt;&gt;")=0,"",SUMIFS(BD!$O$3:$O$5001,BD!$A$3:$A$5001,AF$3,BD!$B$3:$B$5001,$A$295)))</f>
        <v/>
      </c>
      <c r="AG307" s="227" t="str">
        <f>IF(AG$3="","",IF(COUNTIFS(BD!$A$3:$A$5001,AG$3,BD!$B$3:$B$5001,$A$295,BD!$O$3:$O$5001,"&lt;&gt;")=0,"",SUMIFS(BD!$O$3:$O$5001,BD!$A$3:$A$5001,AG$3,BD!$B$3:$B$5001,$A$295)))</f>
        <v/>
      </c>
      <c r="AH307" s="227" t="str">
        <f>IF(AH$3="","",IF(COUNTIFS(BD!$A$3:$A$5001,AH$3,BD!$B$3:$B$5001,$A$295,BD!$O$3:$O$5001,"&lt;&gt;")=0,"",SUMIFS(BD!$O$3:$O$5001,BD!$A$3:$A$5001,AH$3,BD!$B$3:$B$5001,$A$295)))</f>
        <v/>
      </c>
      <c r="AI307" s="227" t="str">
        <f>IF(AI$3="","",IF(COUNTIFS(BD!$A$3:$A$5001,AI$3,BD!$B$3:$B$5001,$A$295,BD!$O$3:$O$5001,"&lt;&gt;")=0,"",SUMIFS(BD!$O$3:$O$5001,BD!$A$3:$A$5001,AI$3,BD!$B$3:$B$5001,$A$295)))</f>
        <v/>
      </c>
      <c r="AJ307" s="228" t="str">
        <f>IF(AJ$3="","",IF(COUNTIFS(BD!$A$3:$A$5001,AJ$3,BD!$B$3:$B$5001,$A$295,BD!$O$3:$O$5001,"&lt;&gt;")=0,"",SUMIFS(BD!$O$3:$O$5001,BD!$A$3:$A$5001,AJ$3,BD!$B$3:$B$5001,$A$295)))</f>
        <v/>
      </c>
      <c r="AK307" s="229" t="str">
        <f>IF(COUNT(F307:AJ307)=0,"",SUM(F307:AJ307))</f>
        <v/>
      </c>
    </row>
    <row r="308" ht="15.75" customHeight="1" hidden="1">
      <c r="A308" s="277"/>
      <c r="B308" s="271"/>
      <c r="C308" s="223" t="inlineStr">
        <is>
          <t xml:space="preserve">Backlog Intralog</t>
        </is>
      </c>
      <c r="D308" s="224" t="str">
        <f>IFERROR(1/(1/INDEX(BD!$AF$36:$AZ$36,MATCH($A$295,BD!$AF$22:$AZ$22,0))),"")</f>
        <v/>
      </c>
      <c r="E308" s="225"/>
      <c r="F308" s="226" t="str">
        <f>IF(F$3="","",IF(COUNTIFS(BD!$A$3:$A$5001,F$3,BD!$B$3:$B$5001,$A$295,BD!$P$3:$P$5001,"&lt;&gt;")=0,"",SUMIFS(BD!$P$3:$P$5001,BD!$A$3:$A$5001,F$3,BD!$B$3:$B$5001,$A$295)))</f>
        <v/>
      </c>
      <c r="G308" s="227" t="str">
        <f>IF(G$3="","",IF(COUNTIFS(BD!$A$3:$A$5001,G$3,BD!$B$3:$B$5001,$A$295,BD!$P$3:$P$5001,"&lt;&gt;")=0,"",SUMIFS(BD!$P$3:$P$5001,BD!$A$3:$A$5001,G$3,BD!$B$3:$B$5001,$A$295)))</f>
        <v/>
      </c>
      <c r="H308" s="227" t="str">
        <f>IF(H$3="","",IF(COUNTIFS(BD!$A$3:$A$5001,H$3,BD!$B$3:$B$5001,$A$295,BD!$P$3:$P$5001,"&lt;&gt;")=0,"",SUMIFS(BD!$P$3:$P$5001,BD!$A$3:$A$5001,H$3,BD!$B$3:$B$5001,$A$295)))</f>
        <v/>
      </c>
      <c r="I308" s="227" t="str">
        <f>IF(I$3="","",IF(COUNTIFS(BD!$A$3:$A$5001,I$3,BD!$B$3:$B$5001,$A$295,BD!$P$3:$P$5001,"&lt;&gt;")=0,"",SUMIFS(BD!$P$3:$P$5001,BD!$A$3:$A$5001,I$3,BD!$B$3:$B$5001,$A$295)))</f>
        <v/>
      </c>
      <c r="J308" s="227" t="str">
        <f>IF(J$3="","",IF(COUNTIFS(BD!$A$3:$A$5001,J$3,BD!$B$3:$B$5001,$A$295,BD!$P$3:$P$5001,"&lt;&gt;")=0,"",SUMIFS(BD!$P$3:$P$5001,BD!$A$3:$A$5001,J$3,BD!$B$3:$B$5001,$A$295)))</f>
        <v/>
      </c>
      <c r="K308" s="227" t="str">
        <f>IF(K$3="","",IF(COUNTIFS(BD!$A$3:$A$5001,K$3,BD!$B$3:$B$5001,$A$295,BD!$P$3:$P$5001,"&lt;&gt;")=0,"",SUMIFS(BD!$P$3:$P$5001,BD!$A$3:$A$5001,K$3,BD!$B$3:$B$5001,$A$295)))</f>
        <v/>
      </c>
      <c r="L308" s="227" t="str">
        <f>IF(L$3="","",IF(COUNTIFS(BD!$A$3:$A$5001,L$3,BD!$B$3:$B$5001,$A$295,BD!$P$3:$P$5001,"&lt;&gt;")=0,"",SUMIFS(BD!$P$3:$P$5001,BD!$A$3:$A$5001,L$3,BD!$B$3:$B$5001,$A$295)))</f>
        <v/>
      </c>
      <c r="M308" s="227" t="str">
        <f>IF(M$3="","",IF(COUNTIFS(BD!$A$3:$A$5001,M$3,BD!$B$3:$B$5001,$A$295,BD!$P$3:$P$5001,"&lt;&gt;")=0,"",SUMIFS(BD!$P$3:$P$5001,BD!$A$3:$A$5001,M$3,BD!$B$3:$B$5001,$A$295)))</f>
        <v/>
      </c>
      <c r="N308" s="227" t="str">
        <f>IF(N$3="","",IF(COUNTIFS(BD!$A$3:$A$5001,N$3,BD!$B$3:$B$5001,$A$295,BD!$P$3:$P$5001,"&lt;&gt;")=0,"",SUMIFS(BD!$P$3:$P$5001,BD!$A$3:$A$5001,N$3,BD!$B$3:$B$5001,$A$295)))</f>
        <v/>
      </c>
      <c r="O308" s="227" t="str">
        <f>IF(O$3="","",IF(COUNTIFS(BD!$A$3:$A$5001,O$3,BD!$B$3:$B$5001,$A$295,BD!$P$3:$P$5001,"&lt;&gt;")=0,"",SUMIFS(BD!$P$3:$P$5001,BD!$A$3:$A$5001,O$3,BD!$B$3:$B$5001,$A$295)))</f>
        <v/>
      </c>
      <c r="P308" s="227" t="str">
        <f>IF(P$3="","",IF(COUNTIFS(BD!$A$3:$A$5001,P$3,BD!$B$3:$B$5001,$A$295,BD!$P$3:$P$5001,"&lt;&gt;")=0,"",SUMIFS(BD!$P$3:$P$5001,BD!$A$3:$A$5001,P$3,BD!$B$3:$B$5001,$A$295)))</f>
        <v/>
      </c>
      <c r="Q308" s="227" t="str">
        <f>IF(Q$3="","",IF(COUNTIFS(BD!$A$3:$A$5001,Q$3,BD!$B$3:$B$5001,$A$295,BD!$P$3:$P$5001,"&lt;&gt;")=0,"",SUMIFS(BD!$P$3:$P$5001,BD!$A$3:$A$5001,Q$3,BD!$B$3:$B$5001,$A$295)))</f>
        <v/>
      </c>
      <c r="R308" s="227" t="str">
        <f>IF(R$3="","",IF(COUNTIFS(BD!$A$3:$A$5001,R$3,BD!$B$3:$B$5001,$A$295,BD!$P$3:$P$5001,"&lt;&gt;")=0,"",SUMIFS(BD!$P$3:$P$5001,BD!$A$3:$A$5001,R$3,BD!$B$3:$B$5001,$A$295)))</f>
        <v/>
      </c>
      <c r="S308" s="227" t="str">
        <f>IF(S$3="","",IF(COUNTIFS(BD!$A$3:$A$5001,S$3,BD!$B$3:$B$5001,$A$295,BD!$P$3:$P$5001,"&lt;&gt;")=0,"",SUMIFS(BD!$P$3:$P$5001,BD!$A$3:$A$5001,S$3,BD!$B$3:$B$5001,$A$295)))</f>
        <v/>
      </c>
      <c r="T308" s="227" t="str">
        <f>IF(T$3="","",IF(COUNTIFS(BD!$A$3:$A$5001,T$3,BD!$B$3:$B$5001,$A$295,BD!$P$3:$P$5001,"&lt;&gt;")=0,"",SUMIFS(BD!$P$3:$P$5001,BD!$A$3:$A$5001,T$3,BD!$B$3:$B$5001,$A$295)))</f>
        <v/>
      </c>
      <c r="U308" s="227" t="str">
        <f>IF(U$3="","",IF(COUNTIFS(BD!$A$3:$A$5001,U$3,BD!$B$3:$B$5001,$A$295,BD!$P$3:$P$5001,"&lt;&gt;")=0,"",SUMIFS(BD!$P$3:$P$5001,BD!$A$3:$A$5001,U$3,BD!$B$3:$B$5001,$A$295)))</f>
        <v/>
      </c>
      <c r="V308" s="227" t="str">
        <f>IF(V$3="","",IF(COUNTIFS(BD!$A$3:$A$5001,V$3,BD!$B$3:$B$5001,$A$295,BD!$P$3:$P$5001,"&lt;&gt;")=0,"",SUMIFS(BD!$P$3:$P$5001,BD!$A$3:$A$5001,V$3,BD!$B$3:$B$5001,$A$295)))</f>
        <v/>
      </c>
      <c r="W308" s="227" t="str">
        <f>IF(W$3="","",IF(COUNTIFS(BD!$A$3:$A$5001,W$3,BD!$B$3:$B$5001,$A$295,BD!$P$3:$P$5001,"&lt;&gt;")=0,"",SUMIFS(BD!$P$3:$P$5001,BD!$A$3:$A$5001,W$3,BD!$B$3:$B$5001,$A$295)))</f>
        <v/>
      </c>
      <c r="X308" s="227" t="str">
        <f>IF(X$3="","",IF(COUNTIFS(BD!$A$3:$A$5001,X$3,BD!$B$3:$B$5001,$A$295,BD!$P$3:$P$5001,"&lt;&gt;")=0,"",SUMIFS(BD!$P$3:$P$5001,BD!$A$3:$A$5001,X$3,BD!$B$3:$B$5001,$A$295)))</f>
        <v/>
      </c>
      <c r="Y308" s="227" t="str">
        <f>IF(Y$3="","",IF(COUNTIFS(BD!$A$3:$A$5001,Y$3,BD!$B$3:$B$5001,$A$295,BD!$P$3:$P$5001,"&lt;&gt;")=0,"",SUMIFS(BD!$P$3:$P$5001,BD!$A$3:$A$5001,Y$3,BD!$B$3:$B$5001,$A$295)))</f>
        <v/>
      </c>
      <c r="Z308" s="227" t="str">
        <f>IF(Z$3="","",IF(COUNTIFS(BD!$A$3:$A$5001,Z$3,BD!$B$3:$B$5001,$A$295,BD!$P$3:$P$5001,"&lt;&gt;")=0,"",SUMIFS(BD!$P$3:$P$5001,BD!$A$3:$A$5001,Z$3,BD!$B$3:$B$5001,$A$295)))</f>
        <v/>
      </c>
      <c r="AA308" s="227" t="str">
        <f>IF(AA$3="","",IF(COUNTIFS(BD!$A$3:$A$5001,AA$3,BD!$B$3:$B$5001,$A$295,BD!$P$3:$P$5001,"&lt;&gt;")=0,"",SUMIFS(BD!$P$3:$P$5001,BD!$A$3:$A$5001,AA$3,BD!$B$3:$B$5001,$A$295)))</f>
        <v/>
      </c>
      <c r="AB308" s="227" t="str">
        <f>IF(AB$3="","",IF(COUNTIFS(BD!$A$3:$A$5001,AB$3,BD!$B$3:$B$5001,$A$295,BD!$P$3:$P$5001,"&lt;&gt;")=0,"",SUMIFS(BD!$P$3:$P$5001,BD!$A$3:$A$5001,AB$3,BD!$B$3:$B$5001,$A$295)))</f>
        <v/>
      </c>
      <c r="AC308" s="227" t="str">
        <f>IF(AC$3="","",IF(COUNTIFS(BD!$A$3:$A$5001,AC$3,BD!$B$3:$B$5001,$A$295,BD!$P$3:$P$5001,"&lt;&gt;")=0,"",SUMIFS(BD!$P$3:$P$5001,BD!$A$3:$A$5001,AC$3,BD!$B$3:$B$5001,$A$295)))</f>
        <v/>
      </c>
      <c r="AD308" s="227" t="str">
        <f>IF(AD$3="","",IF(COUNTIFS(BD!$A$3:$A$5001,AD$3,BD!$B$3:$B$5001,$A$295,BD!$P$3:$P$5001,"&lt;&gt;")=0,"",SUMIFS(BD!$P$3:$P$5001,BD!$A$3:$A$5001,AD$3,BD!$B$3:$B$5001,$A$295)))</f>
        <v/>
      </c>
      <c r="AE308" s="227" t="str">
        <f>IF(AE$3="","",IF(COUNTIFS(BD!$A$3:$A$5001,AE$3,BD!$B$3:$B$5001,$A$295,BD!$P$3:$P$5001,"&lt;&gt;")=0,"",SUMIFS(BD!$P$3:$P$5001,BD!$A$3:$A$5001,AE$3,BD!$B$3:$B$5001,$A$295)))</f>
        <v/>
      </c>
      <c r="AF308" s="227" t="str">
        <f>IF(AF$3="","",IF(COUNTIFS(BD!$A$3:$A$5001,AF$3,BD!$B$3:$B$5001,$A$295,BD!$P$3:$P$5001,"&lt;&gt;")=0,"",SUMIFS(BD!$P$3:$P$5001,BD!$A$3:$A$5001,AF$3,BD!$B$3:$B$5001,$A$295)))</f>
        <v/>
      </c>
      <c r="AG308" s="227" t="str">
        <f>IF(AG$3="","",IF(COUNTIFS(BD!$A$3:$A$5001,AG$3,BD!$B$3:$B$5001,$A$295,BD!$P$3:$P$5001,"&lt;&gt;")=0,"",SUMIFS(BD!$P$3:$P$5001,BD!$A$3:$A$5001,AG$3,BD!$B$3:$B$5001,$A$295)))</f>
        <v/>
      </c>
      <c r="AH308" s="227" t="str">
        <f>IF(AH$3="","",IF(COUNTIFS(BD!$A$3:$A$5001,AH$3,BD!$B$3:$B$5001,$A$295,BD!$P$3:$P$5001,"&lt;&gt;")=0,"",SUMIFS(BD!$P$3:$P$5001,BD!$A$3:$A$5001,AH$3,BD!$B$3:$B$5001,$A$295)))</f>
        <v/>
      </c>
      <c r="AI308" s="227" t="str">
        <f>IF(AI$3="","",IF(COUNTIFS(BD!$A$3:$A$5001,AI$3,BD!$B$3:$B$5001,$A$295,BD!$P$3:$P$5001,"&lt;&gt;")=0,"",SUMIFS(BD!$P$3:$P$5001,BD!$A$3:$A$5001,AI$3,BD!$B$3:$B$5001,$A$295)))</f>
        <v/>
      </c>
      <c r="AJ308" s="228" t="str">
        <f>IF(AJ$3="","",IF(COUNTIFS(BD!$A$3:$A$5001,AJ$3,BD!$B$3:$B$5001,$A$295,BD!$P$3:$P$5001,"&lt;&gt;")=0,"",SUMIFS(BD!$P$3:$P$5001,BD!$A$3:$A$5001,AJ$3,BD!$B$3:$B$5001,$A$295)))</f>
        <v/>
      </c>
      <c r="AK308" s="229" t="str">
        <f>IFERROR(LOOKUP(9.99E+307,F308:AJ308),"")</f>
        <v/>
      </c>
    </row>
    <row r="309" ht="15.75" customHeight="1" hidden="1">
      <c r="A309" s="277"/>
      <c r="B309" s="272"/>
      <c r="C309" s="230" t="inlineStr">
        <is>
          <t xml:space="preserve">Backlog Cliente</t>
        </is>
      </c>
      <c r="D309" s="231" t="str">
        <f>IFERROR(1/(1/INDEX(BD!$AF$37:$AZ$37,MATCH($A$295,BD!$AF$22:$AZ$22,0))),"")</f>
        <v/>
      </c>
      <c r="E309" s="232"/>
      <c r="F309" s="233" t="str">
        <f>IF(F$3="","",IF(COUNTIFS(BD!$A$3:$A$5001,F$3,BD!$B$3:$B$5001,$A$295,BD!$Q$3:$Q$5001,"&lt;&gt;")=0,"",SUMIFS(BD!$Q$3:$Q$5001,BD!$A$3:$A$5001,F$3,BD!$B$3:$B$5001,$A$295)))</f>
        <v/>
      </c>
      <c r="G309" s="234" t="str">
        <f>IF(G$3="","",IF(COUNTIFS(BD!$A$3:$A$5001,G$3,BD!$B$3:$B$5001,$A$295,BD!$Q$3:$Q$5001,"&lt;&gt;")=0,"",SUMIFS(BD!$Q$3:$Q$5001,BD!$A$3:$A$5001,G$3,BD!$B$3:$B$5001,$A$295)))</f>
        <v/>
      </c>
      <c r="H309" s="234" t="str">
        <f>IF(H$3="","",IF(COUNTIFS(BD!$A$3:$A$5001,H$3,BD!$B$3:$B$5001,$A$295,BD!$Q$3:$Q$5001,"&lt;&gt;")=0,"",SUMIFS(BD!$Q$3:$Q$5001,BD!$A$3:$A$5001,H$3,BD!$B$3:$B$5001,$A$295)))</f>
        <v/>
      </c>
      <c r="I309" s="234" t="str">
        <f>IF(I$3="","",IF(COUNTIFS(BD!$A$3:$A$5001,I$3,BD!$B$3:$B$5001,$A$295,BD!$Q$3:$Q$5001,"&lt;&gt;")=0,"",SUMIFS(BD!$Q$3:$Q$5001,BD!$A$3:$A$5001,I$3,BD!$B$3:$B$5001,$A$295)))</f>
        <v/>
      </c>
      <c r="J309" s="234" t="str">
        <f>IF(J$3="","",IF(COUNTIFS(BD!$A$3:$A$5001,J$3,BD!$B$3:$B$5001,$A$295,BD!$Q$3:$Q$5001,"&lt;&gt;")=0,"",SUMIFS(BD!$Q$3:$Q$5001,BD!$A$3:$A$5001,J$3,BD!$B$3:$B$5001,$A$295)))</f>
        <v/>
      </c>
      <c r="K309" s="234" t="str">
        <f>IF(K$3="","",IF(COUNTIFS(BD!$A$3:$A$5001,K$3,BD!$B$3:$B$5001,$A$295,BD!$Q$3:$Q$5001,"&lt;&gt;")=0,"",SUMIFS(BD!$Q$3:$Q$5001,BD!$A$3:$A$5001,K$3,BD!$B$3:$B$5001,$A$295)))</f>
        <v/>
      </c>
      <c r="L309" s="234" t="str">
        <f>IF(L$3="","",IF(COUNTIFS(BD!$A$3:$A$5001,L$3,BD!$B$3:$B$5001,$A$295,BD!$Q$3:$Q$5001,"&lt;&gt;")=0,"",SUMIFS(BD!$Q$3:$Q$5001,BD!$A$3:$A$5001,L$3,BD!$B$3:$B$5001,$A$295)))</f>
        <v/>
      </c>
      <c r="M309" s="234" t="str">
        <f>IF(M$3="","",IF(COUNTIFS(BD!$A$3:$A$5001,M$3,BD!$B$3:$B$5001,$A$295,BD!$Q$3:$Q$5001,"&lt;&gt;")=0,"",SUMIFS(BD!$Q$3:$Q$5001,BD!$A$3:$A$5001,M$3,BD!$B$3:$B$5001,$A$295)))</f>
        <v/>
      </c>
      <c r="N309" s="234" t="str">
        <f>IF(N$3="","",IF(COUNTIFS(BD!$A$3:$A$5001,N$3,BD!$B$3:$B$5001,$A$295,BD!$Q$3:$Q$5001,"&lt;&gt;")=0,"",SUMIFS(BD!$Q$3:$Q$5001,BD!$A$3:$A$5001,N$3,BD!$B$3:$B$5001,$A$295)))</f>
        <v/>
      </c>
      <c r="O309" s="234" t="str">
        <f>IF(O$3="","",IF(COUNTIFS(BD!$A$3:$A$5001,O$3,BD!$B$3:$B$5001,$A$295,BD!$Q$3:$Q$5001,"&lt;&gt;")=0,"",SUMIFS(BD!$Q$3:$Q$5001,BD!$A$3:$A$5001,O$3,BD!$B$3:$B$5001,$A$295)))</f>
        <v/>
      </c>
      <c r="P309" s="234" t="str">
        <f>IF(P$3="","",IF(COUNTIFS(BD!$A$3:$A$5001,P$3,BD!$B$3:$B$5001,$A$295,BD!$Q$3:$Q$5001,"&lt;&gt;")=0,"",SUMIFS(BD!$Q$3:$Q$5001,BD!$A$3:$A$5001,P$3,BD!$B$3:$B$5001,$A$295)))</f>
        <v/>
      </c>
      <c r="Q309" s="234" t="str">
        <f>IF(Q$3="","",IF(COUNTIFS(BD!$A$3:$A$5001,Q$3,BD!$B$3:$B$5001,$A$295,BD!$Q$3:$Q$5001,"&lt;&gt;")=0,"",SUMIFS(BD!$Q$3:$Q$5001,BD!$A$3:$A$5001,Q$3,BD!$B$3:$B$5001,$A$295)))</f>
        <v/>
      </c>
      <c r="R309" s="234" t="str">
        <f>IF(R$3="","",IF(COUNTIFS(BD!$A$3:$A$5001,R$3,BD!$B$3:$B$5001,$A$295,BD!$Q$3:$Q$5001,"&lt;&gt;")=0,"",SUMIFS(BD!$Q$3:$Q$5001,BD!$A$3:$A$5001,R$3,BD!$B$3:$B$5001,$A$295)))</f>
        <v/>
      </c>
      <c r="S309" s="234" t="str">
        <f>IF(S$3="","",IF(COUNTIFS(BD!$A$3:$A$5001,S$3,BD!$B$3:$B$5001,$A$295,BD!$Q$3:$Q$5001,"&lt;&gt;")=0,"",SUMIFS(BD!$Q$3:$Q$5001,BD!$A$3:$A$5001,S$3,BD!$B$3:$B$5001,$A$295)))</f>
        <v/>
      </c>
      <c r="T309" s="234" t="str">
        <f>IF(T$3="","",IF(COUNTIFS(BD!$A$3:$A$5001,T$3,BD!$B$3:$B$5001,$A$295,BD!$Q$3:$Q$5001,"&lt;&gt;")=0,"",SUMIFS(BD!$Q$3:$Q$5001,BD!$A$3:$A$5001,T$3,BD!$B$3:$B$5001,$A$295)))</f>
        <v/>
      </c>
      <c r="U309" s="234" t="str">
        <f>IF(U$3="","",IF(COUNTIFS(BD!$A$3:$A$5001,U$3,BD!$B$3:$B$5001,$A$295,BD!$Q$3:$Q$5001,"&lt;&gt;")=0,"",SUMIFS(BD!$Q$3:$Q$5001,BD!$A$3:$A$5001,U$3,BD!$B$3:$B$5001,$A$295)))</f>
        <v/>
      </c>
      <c r="V309" s="234" t="str">
        <f>IF(V$3="","",IF(COUNTIFS(BD!$A$3:$A$5001,V$3,BD!$B$3:$B$5001,$A$295,BD!$Q$3:$Q$5001,"&lt;&gt;")=0,"",SUMIFS(BD!$Q$3:$Q$5001,BD!$A$3:$A$5001,V$3,BD!$B$3:$B$5001,$A$295)))</f>
        <v/>
      </c>
      <c r="W309" s="234" t="str">
        <f>IF(W$3="","",IF(COUNTIFS(BD!$A$3:$A$5001,W$3,BD!$B$3:$B$5001,$A$295,BD!$Q$3:$Q$5001,"&lt;&gt;")=0,"",SUMIFS(BD!$Q$3:$Q$5001,BD!$A$3:$A$5001,W$3,BD!$B$3:$B$5001,$A$295)))</f>
        <v/>
      </c>
      <c r="X309" s="234" t="str">
        <f>IF(X$3="","",IF(COUNTIFS(BD!$A$3:$A$5001,X$3,BD!$B$3:$B$5001,$A$295,BD!$Q$3:$Q$5001,"&lt;&gt;")=0,"",SUMIFS(BD!$Q$3:$Q$5001,BD!$A$3:$A$5001,X$3,BD!$B$3:$B$5001,$A$295)))</f>
        <v/>
      </c>
      <c r="Y309" s="234" t="str">
        <f>IF(Y$3="","",IF(COUNTIFS(BD!$A$3:$A$5001,Y$3,BD!$B$3:$B$5001,$A$295,BD!$Q$3:$Q$5001,"&lt;&gt;")=0,"",SUMIFS(BD!$Q$3:$Q$5001,BD!$A$3:$A$5001,Y$3,BD!$B$3:$B$5001,$A$295)))</f>
        <v/>
      </c>
      <c r="Z309" s="234" t="str">
        <f>IF(Z$3="","",IF(COUNTIFS(BD!$A$3:$A$5001,Z$3,BD!$B$3:$B$5001,$A$295,BD!$Q$3:$Q$5001,"&lt;&gt;")=0,"",SUMIFS(BD!$Q$3:$Q$5001,BD!$A$3:$A$5001,Z$3,BD!$B$3:$B$5001,$A$295)))</f>
        <v/>
      </c>
      <c r="AA309" s="234" t="str">
        <f>IF(AA$3="","",IF(COUNTIFS(BD!$A$3:$A$5001,AA$3,BD!$B$3:$B$5001,$A$295,BD!$Q$3:$Q$5001,"&lt;&gt;")=0,"",SUMIFS(BD!$Q$3:$Q$5001,BD!$A$3:$A$5001,AA$3,BD!$B$3:$B$5001,$A$295)))</f>
        <v/>
      </c>
      <c r="AB309" s="234" t="str">
        <f>IF(AB$3="","",IF(COUNTIFS(BD!$A$3:$A$5001,AB$3,BD!$B$3:$B$5001,$A$295,BD!$Q$3:$Q$5001,"&lt;&gt;")=0,"",SUMIFS(BD!$Q$3:$Q$5001,BD!$A$3:$A$5001,AB$3,BD!$B$3:$B$5001,$A$295)))</f>
        <v/>
      </c>
      <c r="AC309" s="234" t="str">
        <f>IF(AC$3="","",IF(COUNTIFS(BD!$A$3:$A$5001,AC$3,BD!$B$3:$B$5001,$A$295,BD!$Q$3:$Q$5001,"&lt;&gt;")=0,"",SUMIFS(BD!$Q$3:$Q$5001,BD!$A$3:$A$5001,AC$3,BD!$B$3:$B$5001,$A$295)))</f>
        <v/>
      </c>
      <c r="AD309" s="234" t="str">
        <f>IF(AD$3="","",IF(COUNTIFS(BD!$A$3:$A$5001,AD$3,BD!$B$3:$B$5001,$A$295,BD!$Q$3:$Q$5001,"&lt;&gt;")=0,"",SUMIFS(BD!$Q$3:$Q$5001,BD!$A$3:$A$5001,AD$3,BD!$B$3:$B$5001,$A$295)))</f>
        <v/>
      </c>
      <c r="AE309" s="234" t="str">
        <f>IF(AE$3="","",IF(COUNTIFS(BD!$A$3:$A$5001,AE$3,BD!$B$3:$B$5001,$A$295,BD!$Q$3:$Q$5001,"&lt;&gt;")=0,"",SUMIFS(BD!$Q$3:$Q$5001,BD!$A$3:$A$5001,AE$3,BD!$B$3:$B$5001,$A$295)))</f>
        <v/>
      </c>
      <c r="AF309" s="234" t="str">
        <f>IF(AF$3="","",IF(COUNTIFS(BD!$A$3:$A$5001,AF$3,BD!$B$3:$B$5001,$A$295,BD!$Q$3:$Q$5001,"&lt;&gt;")=0,"",SUMIFS(BD!$Q$3:$Q$5001,BD!$A$3:$A$5001,AF$3,BD!$B$3:$B$5001,$A$295)))</f>
        <v/>
      </c>
      <c r="AG309" s="234" t="str">
        <f>IF(AG$3="","",IF(COUNTIFS(BD!$A$3:$A$5001,AG$3,BD!$B$3:$B$5001,$A$295,BD!$Q$3:$Q$5001,"&lt;&gt;")=0,"",SUMIFS(BD!$Q$3:$Q$5001,BD!$A$3:$A$5001,AG$3,BD!$B$3:$B$5001,$A$295)))</f>
        <v/>
      </c>
      <c r="AH309" s="234" t="str">
        <f>IF(AH$3="","",IF(COUNTIFS(BD!$A$3:$A$5001,AH$3,BD!$B$3:$B$5001,$A$295,BD!$Q$3:$Q$5001,"&lt;&gt;")=0,"",SUMIFS(BD!$Q$3:$Q$5001,BD!$A$3:$A$5001,AH$3,BD!$B$3:$B$5001,$A$295)))</f>
        <v/>
      </c>
      <c r="AI309" s="234" t="str">
        <f>IF(AI$3="","",IF(COUNTIFS(BD!$A$3:$A$5001,AI$3,BD!$B$3:$B$5001,$A$295,BD!$Q$3:$Q$5001,"&lt;&gt;")=0,"",SUMIFS(BD!$Q$3:$Q$5001,BD!$A$3:$A$5001,AI$3,BD!$B$3:$B$5001,$A$295)))</f>
        <v/>
      </c>
      <c r="AJ309" s="235" t="str">
        <f>IF(AJ$3="","",IF(COUNTIFS(BD!$A$3:$A$5001,AJ$3,BD!$B$3:$B$5001,$A$295,BD!$Q$3:$Q$5001,"&lt;&gt;")=0,"",SUMIFS(BD!$Q$3:$Q$5001,BD!$A$3:$A$5001,AJ$3,BD!$B$3:$B$5001,$A$295)))</f>
        <v/>
      </c>
      <c r="AK309" s="231" t="str">
        <f>IFERROR(LOOKUP(9.99E+307,F309:AJ309),"")</f>
        <v/>
      </c>
    </row>
    <row r="310" ht="15.75" customHeight="1" hidden="1">
      <c r="A310" s="277"/>
      <c r="B310" s="264" t="inlineStr">
        <is>
          <t xml:space="preserve">OCUPAÇÃO (P.P)</t>
        </is>
      </c>
      <c r="C310" s="168" t="inlineStr">
        <is>
          <t xml:space="preserve">Posições Disponíveis</t>
        </is>
      </c>
      <c r="D310" s="169" t="str">
        <f>IFERROR(1/(1/INDEX(BD!$AF$38:$AZ$38,MATCH($A$295,BD!$AF$22:$AZ$22,0))),"")</f>
        <v/>
      </c>
      <c r="E310" s="170"/>
      <c r="F310" s="171" t="str">
        <f>IF(F$3="","",IF(COUNTIFS(BD!$A$3:$A$5001,F$3,BD!$B$3:$B$5001,$A$295,BD!$R$3:$R$5001,"&lt;&gt;")=0,"",SUMIFS(BD!$R$3:$R$5001,BD!$A$3:$A$5001,F$3,BD!$B$3:$B$5001,$A$295)))</f>
        <v/>
      </c>
      <c r="G310" s="172" t="str">
        <f>IF(G$3="","",IF(COUNTIFS(BD!$A$3:$A$5001,G$3,BD!$B$3:$B$5001,$A$295,BD!$R$3:$R$5001,"&lt;&gt;")=0,"",SUMIFS(BD!$R$3:$R$5001,BD!$A$3:$A$5001,G$3,BD!$B$3:$B$5001,$A$295)))</f>
        <v/>
      </c>
      <c r="H310" s="172" t="str">
        <f>IF(H$3="","",IF(COUNTIFS(BD!$A$3:$A$5001,H$3,BD!$B$3:$B$5001,$A$295,BD!$R$3:$R$5001,"&lt;&gt;")=0,"",SUMIFS(BD!$R$3:$R$5001,BD!$A$3:$A$5001,H$3,BD!$B$3:$B$5001,$A$295)))</f>
        <v/>
      </c>
      <c r="I310" s="172" t="str">
        <f>IF(I$3="","",IF(COUNTIFS(BD!$A$3:$A$5001,I$3,BD!$B$3:$B$5001,$A$295,BD!$R$3:$R$5001,"&lt;&gt;")=0,"",SUMIFS(BD!$R$3:$R$5001,BD!$A$3:$A$5001,I$3,BD!$B$3:$B$5001,$A$295)))</f>
        <v/>
      </c>
      <c r="J310" s="172" t="str">
        <f>IF(J$3="","",IF(COUNTIFS(BD!$A$3:$A$5001,J$3,BD!$B$3:$B$5001,$A$295,BD!$R$3:$R$5001,"&lt;&gt;")=0,"",SUMIFS(BD!$R$3:$R$5001,BD!$A$3:$A$5001,J$3,BD!$B$3:$B$5001,$A$295)))</f>
        <v/>
      </c>
      <c r="K310" s="172" t="str">
        <f>IF(K$3="","",IF(COUNTIFS(BD!$A$3:$A$5001,K$3,BD!$B$3:$B$5001,$A$295,BD!$R$3:$R$5001,"&lt;&gt;")=0,"",SUMIFS(BD!$R$3:$R$5001,BD!$A$3:$A$5001,K$3,BD!$B$3:$B$5001,$A$295)))</f>
        <v/>
      </c>
      <c r="L310" s="172" t="str">
        <f>IF(L$3="","",IF(COUNTIFS(BD!$A$3:$A$5001,L$3,BD!$B$3:$B$5001,$A$295,BD!$R$3:$R$5001,"&lt;&gt;")=0,"",SUMIFS(BD!$R$3:$R$5001,BD!$A$3:$A$5001,L$3,BD!$B$3:$B$5001,$A$295)))</f>
        <v/>
      </c>
      <c r="M310" s="172" t="str">
        <f>IF(M$3="","",IF(COUNTIFS(BD!$A$3:$A$5001,M$3,BD!$B$3:$B$5001,$A$295,BD!$R$3:$R$5001,"&lt;&gt;")=0,"",SUMIFS(BD!$R$3:$R$5001,BD!$A$3:$A$5001,M$3,BD!$B$3:$B$5001,$A$295)))</f>
        <v/>
      </c>
      <c r="N310" s="172" t="str">
        <f>IF(N$3="","",IF(COUNTIFS(BD!$A$3:$A$5001,N$3,BD!$B$3:$B$5001,$A$295,BD!$R$3:$R$5001,"&lt;&gt;")=0,"",SUMIFS(BD!$R$3:$R$5001,BD!$A$3:$A$5001,N$3,BD!$B$3:$B$5001,$A$295)))</f>
        <v/>
      </c>
      <c r="O310" s="172" t="str">
        <f>IF(O$3="","",IF(COUNTIFS(BD!$A$3:$A$5001,O$3,BD!$B$3:$B$5001,$A$295,BD!$R$3:$R$5001,"&lt;&gt;")=0,"",SUMIFS(BD!$R$3:$R$5001,BD!$A$3:$A$5001,O$3,BD!$B$3:$B$5001,$A$295)))</f>
        <v/>
      </c>
      <c r="P310" s="172" t="str">
        <f>IF(P$3="","",IF(COUNTIFS(BD!$A$3:$A$5001,P$3,BD!$B$3:$B$5001,$A$295,BD!$R$3:$R$5001,"&lt;&gt;")=0,"",SUMIFS(BD!$R$3:$R$5001,BD!$A$3:$A$5001,P$3,BD!$B$3:$B$5001,$A$295)))</f>
        <v/>
      </c>
      <c r="Q310" s="172" t="str">
        <f>IF(Q$3="","",IF(COUNTIFS(BD!$A$3:$A$5001,Q$3,BD!$B$3:$B$5001,$A$295,BD!$R$3:$R$5001,"&lt;&gt;")=0,"",SUMIFS(BD!$R$3:$R$5001,BD!$A$3:$A$5001,Q$3,BD!$B$3:$B$5001,$A$295)))</f>
        <v/>
      </c>
      <c r="R310" s="172" t="str">
        <f>IF(R$3="","",IF(COUNTIFS(BD!$A$3:$A$5001,R$3,BD!$B$3:$B$5001,$A$295,BD!$R$3:$R$5001,"&lt;&gt;")=0,"",SUMIFS(BD!$R$3:$R$5001,BD!$A$3:$A$5001,R$3,BD!$B$3:$B$5001,$A$295)))</f>
        <v/>
      </c>
      <c r="S310" s="172" t="str">
        <f>IF(S$3="","",IF(COUNTIFS(BD!$A$3:$A$5001,S$3,BD!$B$3:$B$5001,$A$295,BD!$R$3:$R$5001,"&lt;&gt;")=0,"",SUMIFS(BD!$R$3:$R$5001,BD!$A$3:$A$5001,S$3,BD!$B$3:$B$5001,$A$295)))</f>
        <v/>
      </c>
      <c r="T310" s="172" t="str">
        <f>IF(T$3="","",IF(COUNTIFS(BD!$A$3:$A$5001,T$3,BD!$B$3:$B$5001,$A$295,BD!$R$3:$R$5001,"&lt;&gt;")=0,"",SUMIFS(BD!$R$3:$R$5001,BD!$A$3:$A$5001,T$3,BD!$B$3:$B$5001,$A$295)))</f>
        <v/>
      </c>
      <c r="U310" s="172" t="str">
        <f>IF(U$3="","",IF(COUNTIFS(BD!$A$3:$A$5001,U$3,BD!$B$3:$B$5001,$A$295,BD!$R$3:$R$5001,"&lt;&gt;")=0,"",SUMIFS(BD!$R$3:$R$5001,BD!$A$3:$A$5001,U$3,BD!$B$3:$B$5001,$A$295)))</f>
        <v/>
      </c>
      <c r="V310" s="172" t="str">
        <f>IF(V$3="","",IF(COUNTIFS(BD!$A$3:$A$5001,V$3,BD!$B$3:$B$5001,$A$295,BD!$R$3:$R$5001,"&lt;&gt;")=0,"",SUMIFS(BD!$R$3:$R$5001,BD!$A$3:$A$5001,V$3,BD!$B$3:$B$5001,$A$295)))</f>
        <v/>
      </c>
      <c r="W310" s="172" t="str">
        <f>IF(W$3="","",IF(COUNTIFS(BD!$A$3:$A$5001,W$3,BD!$B$3:$B$5001,$A$295,BD!$R$3:$R$5001,"&lt;&gt;")=0,"",SUMIFS(BD!$R$3:$R$5001,BD!$A$3:$A$5001,W$3,BD!$B$3:$B$5001,$A$295)))</f>
        <v/>
      </c>
      <c r="X310" s="172" t="str">
        <f>IF(X$3="","",IF(COUNTIFS(BD!$A$3:$A$5001,X$3,BD!$B$3:$B$5001,$A$295,BD!$R$3:$R$5001,"&lt;&gt;")=0,"",SUMIFS(BD!$R$3:$R$5001,BD!$A$3:$A$5001,X$3,BD!$B$3:$B$5001,$A$295)))</f>
        <v/>
      </c>
      <c r="Y310" s="172" t="str">
        <f>IF(Y$3="","",IF(COUNTIFS(BD!$A$3:$A$5001,Y$3,BD!$B$3:$B$5001,$A$295,BD!$R$3:$R$5001,"&lt;&gt;")=0,"",SUMIFS(BD!$R$3:$R$5001,BD!$A$3:$A$5001,Y$3,BD!$B$3:$B$5001,$A$295)))</f>
        <v/>
      </c>
      <c r="Z310" s="172" t="str">
        <f>IF(Z$3="","",IF(COUNTIFS(BD!$A$3:$A$5001,Z$3,BD!$B$3:$B$5001,$A$295,BD!$R$3:$R$5001,"&lt;&gt;")=0,"",SUMIFS(BD!$R$3:$R$5001,BD!$A$3:$A$5001,Z$3,BD!$B$3:$B$5001,$A$295)))</f>
        <v/>
      </c>
      <c r="AA310" s="172" t="str">
        <f>IF(AA$3="","",IF(COUNTIFS(BD!$A$3:$A$5001,AA$3,BD!$B$3:$B$5001,$A$295,BD!$R$3:$R$5001,"&lt;&gt;")=0,"",SUMIFS(BD!$R$3:$R$5001,BD!$A$3:$A$5001,AA$3,BD!$B$3:$B$5001,$A$295)))</f>
        <v/>
      </c>
      <c r="AB310" s="172" t="str">
        <f>IF(AB$3="","",IF(COUNTIFS(BD!$A$3:$A$5001,AB$3,BD!$B$3:$B$5001,$A$295,BD!$R$3:$R$5001,"&lt;&gt;")=0,"",SUMIFS(BD!$R$3:$R$5001,BD!$A$3:$A$5001,AB$3,BD!$B$3:$B$5001,$A$295)))</f>
        <v/>
      </c>
      <c r="AC310" s="172" t="str">
        <f>IF(AC$3="","",IF(COUNTIFS(BD!$A$3:$A$5001,AC$3,BD!$B$3:$B$5001,$A$295,BD!$R$3:$R$5001,"&lt;&gt;")=0,"",SUMIFS(BD!$R$3:$R$5001,BD!$A$3:$A$5001,AC$3,BD!$B$3:$B$5001,$A$295)))</f>
        <v/>
      </c>
      <c r="AD310" s="172" t="str">
        <f>IF(AD$3="","",IF(COUNTIFS(BD!$A$3:$A$5001,AD$3,BD!$B$3:$B$5001,$A$295,BD!$R$3:$R$5001,"&lt;&gt;")=0,"",SUMIFS(BD!$R$3:$R$5001,BD!$A$3:$A$5001,AD$3,BD!$B$3:$B$5001,$A$295)))</f>
        <v/>
      </c>
      <c r="AE310" s="172" t="str">
        <f>IF(AE$3="","",IF(COUNTIFS(BD!$A$3:$A$5001,AE$3,BD!$B$3:$B$5001,$A$295,BD!$R$3:$R$5001,"&lt;&gt;")=0,"",SUMIFS(BD!$R$3:$R$5001,BD!$A$3:$A$5001,AE$3,BD!$B$3:$B$5001,$A$295)))</f>
        <v/>
      </c>
      <c r="AF310" s="172" t="str">
        <f>IF(AF$3="","",IF(COUNTIFS(BD!$A$3:$A$5001,AF$3,BD!$B$3:$B$5001,$A$295,BD!$R$3:$R$5001,"&lt;&gt;")=0,"",SUMIFS(BD!$R$3:$R$5001,BD!$A$3:$A$5001,AF$3,BD!$B$3:$B$5001,$A$295)))</f>
        <v/>
      </c>
      <c r="AG310" s="172" t="str">
        <f>IF(AG$3="","",IF(COUNTIFS(BD!$A$3:$A$5001,AG$3,BD!$B$3:$B$5001,$A$295,BD!$R$3:$R$5001,"&lt;&gt;")=0,"",SUMIFS(BD!$R$3:$R$5001,BD!$A$3:$A$5001,AG$3,BD!$B$3:$B$5001,$A$295)))</f>
        <v/>
      </c>
      <c r="AH310" s="172" t="str">
        <f>IF(AH$3="","",IF(COUNTIFS(BD!$A$3:$A$5001,AH$3,BD!$B$3:$B$5001,$A$295,BD!$R$3:$R$5001,"&lt;&gt;")=0,"",SUMIFS(BD!$R$3:$R$5001,BD!$A$3:$A$5001,AH$3,BD!$B$3:$B$5001,$A$295)))</f>
        <v/>
      </c>
      <c r="AI310" s="172" t="str">
        <f>IF(AI$3="","",IF(COUNTIFS(BD!$A$3:$A$5001,AI$3,BD!$B$3:$B$5001,$A$295,BD!$R$3:$R$5001,"&lt;&gt;")=0,"",SUMIFS(BD!$R$3:$R$5001,BD!$A$3:$A$5001,AI$3,BD!$B$3:$B$5001,$A$295)))</f>
        <v/>
      </c>
      <c r="AJ310" s="173" t="str">
        <f>IF(AJ$3="","",IF(COUNTIFS(BD!$A$3:$A$5001,AJ$3,BD!$B$3:$B$5001,$A$295,BD!$R$3:$R$5001,"&lt;&gt;")=0,"",SUMIFS(BD!$R$3:$R$5001,BD!$A$3:$A$5001,AJ$3,BD!$B$3:$B$5001,$A$295)))</f>
        <v/>
      </c>
      <c r="AK310" s="174" t="str">
        <f>IF(COUNT(F310:AJ310)&gt;0,LOOKUP(9.99E+307,F310:AJ310),IFERROR(IF(INDEX(BD!$AC$3:$AC$5001,MATCH($A$295,BD!$B$3:$B$5001,0))&amp;""="Contrato","",INDEX(BD!$AC$3:$AC$5001,MATCH($A$295,BD!$B$3:$B$5001,0))&amp;""),""))</f>
        <v/>
      </c>
    </row>
    <row r="311" ht="15.75" customHeight="1" hidden="1">
      <c r="A311" s="277"/>
      <c r="B311" s="265"/>
      <c r="C311" s="175" t="inlineStr">
        <is>
          <t xml:space="preserve">Posições Ocupadas</t>
        </is>
      </c>
      <c r="D311" s="176" t="str">
        <f>IFERROR(1/(1/INDEX(BD!$AF$39:$AZ$39,MATCH($A$295,BD!$AF$22:$AZ$22,0))),"")</f>
        <v/>
      </c>
      <c r="E311" s="177"/>
      <c r="F311" s="178" t="str">
        <f>IF(F$3="","",IF(COUNTIFS(BD!$A$3:$A$5001,F$3,BD!$B$3:$B$5001,$A$295,BD!$S$3:$S$5001,"&lt;&gt;")=0,"",SUMIFS(BD!$S$3:$S$5001,BD!$A$3:$A$5001,F$3,BD!$B$3:$B$5001,$A$295)))</f>
        <v/>
      </c>
      <c r="G311" s="179" t="str">
        <f>IF(G$3="","",IF(COUNTIFS(BD!$A$3:$A$5001,G$3,BD!$B$3:$B$5001,$A$295,BD!$S$3:$S$5001,"&lt;&gt;")=0,"",SUMIFS(BD!$S$3:$S$5001,BD!$A$3:$A$5001,G$3,BD!$B$3:$B$5001,$A$295)))</f>
        <v/>
      </c>
      <c r="H311" s="179" t="str">
        <f>IF(H$3="","",IF(COUNTIFS(BD!$A$3:$A$5001,H$3,BD!$B$3:$B$5001,$A$295,BD!$S$3:$S$5001,"&lt;&gt;")=0,"",SUMIFS(BD!$S$3:$S$5001,BD!$A$3:$A$5001,H$3,BD!$B$3:$B$5001,$A$295)))</f>
        <v/>
      </c>
      <c r="I311" s="179" t="str">
        <f>IF(I$3="","",IF(COUNTIFS(BD!$A$3:$A$5001,I$3,BD!$B$3:$B$5001,$A$295,BD!$S$3:$S$5001,"&lt;&gt;")=0,"",SUMIFS(BD!$S$3:$S$5001,BD!$A$3:$A$5001,I$3,BD!$B$3:$B$5001,$A$295)))</f>
        <v/>
      </c>
      <c r="J311" s="179" t="str">
        <f>IF(J$3="","",IF(COUNTIFS(BD!$A$3:$A$5001,J$3,BD!$B$3:$B$5001,$A$295,BD!$S$3:$S$5001,"&lt;&gt;")=0,"",SUMIFS(BD!$S$3:$S$5001,BD!$A$3:$A$5001,J$3,BD!$B$3:$B$5001,$A$295)))</f>
        <v/>
      </c>
      <c r="K311" s="179" t="str">
        <f>IF(K$3="","",IF(COUNTIFS(BD!$A$3:$A$5001,K$3,BD!$B$3:$B$5001,$A$295,BD!$S$3:$S$5001,"&lt;&gt;")=0,"",SUMIFS(BD!$S$3:$S$5001,BD!$A$3:$A$5001,K$3,BD!$B$3:$B$5001,$A$295)))</f>
        <v/>
      </c>
      <c r="L311" s="179" t="str">
        <f>IF(L$3="","",IF(COUNTIFS(BD!$A$3:$A$5001,L$3,BD!$B$3:$B$5001,$A$295,BD!$S$3:$S$5001,"&lt;&gt;")=0,"",SUMIFS(BD!$S$3:$S$5001,BD!$A$3:$A$5001,L$3,BD!$B$3:$B$5001,$A$295)))</f>
        <v/>
      </c>
      <c r="M311" s="179" t="str">
        <f>IF(M$3="","",IF(COUNTIFS(BD!$A$3:$A$5001,M$3,BD!$B$3:$B$5001,$A$295,BD!$S$3:$S$5001,"&lt;&gt;")=0,"",SUMIFS(BD!$S$3:$S$5001,BD!$A$3:$A$5001,M$3,BD!$B$3:$B$5001,$A$295)))</f>
        <v/>
      </c>
      <c r="N311" s="179" t="str">
        <f>IF(N$3="","",IF(COUNTIFS(BD!$A$3:$A$5001,N$3,BD!$B$3:$B$5001,$A$295,BD!$S$3:$S$5001,"&lt;&gt;")=0,"",SUMIFS(BD!$S$3:$S$5001,BD!$A$3:$A$5001,N$3,BD!$B$3:$B$5001,$A$295)))</f>
        <v/>
      </c>
      <c r="O311" s="179" t="str">
        <f>IF(O$3="","",IF(COUNTIFS(BD!$A$3:$A$5001,O$3,BD!$B$3:$B$5001,$A$295,BD!$S$3:$S$5001,"&lt;&gt;")=0,"",SUMIFS(BD!$S$3:$S$5001,BD!$A$3:$A$5001,O$3,BD!$B$3:$B$5001,$A$295)))</f>
        <v/>
      </c>
      <c r="P311" s="179" t="str">
        <f>IF(P$3="","",IF(COUNTIFS(BD!$A$3:$A$5001,P$3,BD!$B$3:$B$5001,$A$295,BD!$S$3:$S$5001,"&lt;&gt;")=0,"",SUMIFS(BD!$S$3:$S$5001,BD!$A$3:$A$5001,P$3,BD!$B$3:$B$5001,$A$295)))</f>
        <v/>
      </c>
      <c r="Q311" s="179" t="str">
        <f>IF(Q$3="","",IF(COUNTIFS(BD!$A$3:$A$5001,Q$3,BD!$B$3:$B$5001,$A$295,BD!$S$3:$S$5001,"&lt;&gt;")=0,"",SUMIFS(BD!$S$3:$S$5001,BD!$A$3:$A$5001,Q$3,BD!$B$3:$B$5001,$A$295)))</f>
        <v/>
      </c>
      <c r="R311" s="179" t="str">
        <f>IF(R$3="","",IF(COUNTIFS(BD!$A$3:$A$5001,R$3,BD!$B$3:$B$5001,$A$295,BD!$S$3:$S$5001,"&lt;&gt;")=0,"",SUMIFS(BD!$S$3:$S$5001,BD!$A$3:$A$5001,R$3,BD!$B$3:$B$5001,$A$295)))</f>
        <v/>
      </c>
      <c r="S311" s="179" t="str">
        <f>IF(S$3="","",IF(COUNTIFS(BD!$A$3:$A$5001,S$3,BD!$B$3:$B$5001,$A$295,BD!$S$3:$S$5001,"&lt;&gt;")=0,"",SUMIFS(BD!$S$3:$S$5001,BD!$A$3:$A$5001,S$3,BD!$B$3:$B$5001,$A$295)))</f>
        <v/>
      </c>
      <c r="T311" s="179" t="str">
        <f>IF(T$3="","",IF(COUNTIFS(BD!$A$3:$A$5001,T$3,BD!$B$3:$B$5001,$A$295,BD!$S$3:$S$5001,"&lt;&gt;")=0,"",SUMIFS(BD!$S$3:$S$5001,BD!$A$3:$A$5001,T$3,BD!$B$3:$B$5001,$A$295)))</f>
        <v/>
      </c>
      <c r="U311" s="179" t="str">
        <f>IF(U$3="","",IF(COUNTIFS(BD!$A$3:$A$5001,U$3,BD!$B$3:$B$5001,$A$295,BD!$S$3:$S$5001,"&lt;&gt;")=0,"",SUMIFS(BD!$S$3:$S$5001,BD!$A$3:$A$5001,U$3,BD!$B$3:$B$5001,$A$295)))</f>
        <v/>
      </c>
      <c r="V311" s="179" t="str">
        <f>IF(V$3="","",IF(COUNTIFS(BD!$A$3:$A$5001,V$3,BD!$B$3:$B$5001,$A$295,BD!$S$3:$S$5001,"&lt;&gt;")=0,"",SUMIFS(BD!$S$3:$S$5001,BD!$A$3:$A$5001,V$3,BD!$B$3:$B$5001,$A$295)))</f>
        <v/>
      </c>
      <c r="W311" s="179" t="str">
        <f>IF(W$3="","",IF(COUNTIFS(BD!$A$3:$A$5001,W$3,BD!$B$3:$B$5001,$A$295,BD!$S$3:$S$5001,"&lt;&gt;")=0,"",SUMIFS(BD!$S$3:$S$5001,BD!$A$3:$A$5001,W$3,BD!$B$3:$B$5001,$A$295)))</f>
        <v/>
      </c>
      <c r="X311" s="179" t="str">
        <f>IF(X$3="","",IF(COUNTIFS(BD!$A$3:$A$5001,X$3,BD!$B$3:$B$5001,$A$295,BD!$S$3:$S$5001,"&lt;&gt;")=0,"",SUMIFS(BD!$S$3:$S$5001,BD!$A$3:$A$5001,X$3,BD!$B$3:$B$5001,$A$295)))</f>
        <v/>
      </c>
      <c r="Y311" s="179" t="str">
        <f>IF(Y$3="","",IF(COUNTIFS(BD!$A$3:$A$5001,Y$3,BD!$B$3:$B$5001,$A$295,BD!$S$3:$S$5001,"&lt;&gt;")=0,"",SUMIFS(BD!$S$3:$S$5001,BD!$A$3:$A$5001,Y$3,BD!$B$3:$B$5001,$A$295)))</f>
        <v/>
      </c>
      <c r="Z311" s="179" t="str">
        <f>IF(Z$3="","",IF(COUNTIFS(BD!$A$3:$A$5001,Z$3,BD!$B$3:$B$5001,$A$295,BD!$S$3:$S$5001,"&lt;&gt;")=0,"",SUMIFS(BD!$S$3:$S$5001,BD!$A$3:$A$5001,Z$3,BD!$B$3:$B$5001,$A$295)))</f>
        <v/>
      </c>
      <c r="AA311" s="179" t="str">
        <f>IF(AA$3="","",IF(COUNTIFS(BD!$A$3:$A$5001,AA$3,BD!$B$3:$B$5001,$A$295,BD!$S$3:$S$5001,"&lt;&gt;")=0,"",SUMIFS(BD!$S$3:$S$5001,BD!$A$3:$A$5001,AA$3,BD!$B$3:$B$5001,$A$295)))</f>
        <v/>
      </c>
      <c r="AB311" s="179" t="str">
        <f>IF(AB$3="","",IF(COUNTIFS(BD!$A$3:$A$5001,AB$3,BD!$B$3:$B$5001,$A$295,BD!$S$3:$S$5001,"&lt;&gt;")=0,"",SUMIFS(BD!$S$3:$S$5001,BD!$A$3:$A$5001,AB$3,BD!$B$3:$B$5001,$A$295)))</f>
        <v/>
      </c>
      <c r="AC311" s="179" t="str">
        <f>IF(AC$3="","",IF(COUNTIFS(BD!$A$3:$A$5001,AC$3,BD!$B$3:$B$5001,$A$295,BD!$S$3:$S$5001,"&lt;&gt;")=0,"",SUMIFS(BD!$S$3:$S$5001,BD!$A$3:$A$5001,AC$3,BD!$B$3:$B$5001,$A$295)))</f>
        <v/>
      </c>
      <c r="AD311" s="179" t="str">
        <f>IF(AD$3="","",IF(COUNTIFS(BD!$A$3:$A$5001,AD$3,BD!$B$3:$B$5001,$A$295,BD!$S$3:$S$5001,"&lt;&gt;")=0,"",SUMIFS(BD!$S$3:$S$5001,BD!$A$3:$A$5001,AD$3,BD!$B$3:$B$5001,$A$295)))</f>
        <v/>
      </c>
      <c r="AE311" s="179" t="str">
        <f>IF(AE$3="","",IF(COUNTIFS(BD!$A$3:$A$5001,AE$3,BD!$B$3:$B$5001,$A$295,BD!$S$3:$S$5001,"&lt;&gt;")=0,"",SUMIFS(BD!$S$3:$S$5001,BD!$A$3:$A$5001,AE$3,BD!$B$3:$B$5001,$A$295)))</f>
        <v/>
      </c>
      <c r="AF311" s="179" t="str">
        <f>IF(AF$3="","",IF(COUNTIFS(BD!$A$3:$A$5001,AF$3,BD!$B$3:$B$5001,$A$295,BD!$S$3:$S$5001,"&lt;&gt;")=0,"",SUMIFS(BD!$S$3:$S$5001,BD!$A$3:$A$5001,AF$3,BD!$B$3:$B$5001,$A$295)))</f>
        <v/>
      </c>
      <c r="AG311" s="179" t="str">
        <f>IF(AG$3="","",IF(COUNTIFS(BD!$A$3:$A$5001,AG$3,BD!$B$3:$B$5001,$A$295,BD!$S$3:$S$5001,"&lt;&gt;")=0,"",SUMIFS(BD!$S$3:$S$5001,BD!$A$3:$A$5001,AG$3,BD!$B$3:$B$5001,$A$295)))</f>
        <v/>
      </c>
      <c r="AH311" s="179" t="str">
        <f>IF(AH$3="","",IF(COUNTIFS(BD!$A$3:$A$5001,AH$3,BD!$B$3:$B$5001,$A$295,BD!$S$3:$S$5001,"&lt;&gt;")=0,"",SUMIFS(BD!$S$3:$S$5001,BD!$A$3:$A$5001,AH$3,BD!$B$3:$B$5001,$A$295)))</f>
        <v/>
      </c>
      <c r="AI311" s="179" t="str">
        <f>IF(AI$3="","",IF(COUNTIFS(BD!$A$3:$A$5001,AI$3,BD!$B$3:$B$5001,$A$295,BD!$S$3:$S$5001,"&lt;&gt;")=0,"",SUMIFS(BD!$S$3:$S$5001,BD!$A$3:$A$5001,AI$3,BD!$B$3:$B$5001,$A$295)))</f>
        <v/>
      </c>
      <c r="AJ311" s="180" t="str">
        <f>IF(AJ$3="","",IF(COUNTIFS(BD!$A$3:$A$5001,AJ$3,BD!$B$3:$B$5001,$A$295,BD!$S$3:$S$5001,"&lt;&gt;")=0,"",SUMIFS(BD!$S$3:$S$5001,BD!$A$3:$A$5001,AJ$3,BD!$B$3:$B$5001,$A$295)))</f>
        <v/>
      </c>
      <c r="AK311" s="181" t="str">
        <f>IFERROR(LOOKUP(9.99E+307,F311:AJ311),"")</f>
        <v/>
      </c>
    </row>
    <row r="312" ht="15.75" customHeight="1" hidden="1">
      <c r="A312" s="277"/>
      <c r="B312" s="266"/>
      <c r="C312" s="186" t="inlineStr">
        <is>
          <t xml:space="preserve">Taxa de Ocupação</t>
        </is>
      </c>
      <c r="D312" s="236" t="str">
        <f>IFERROR(1/(1/INDEX(BD!$AF$40:$AZ$40,MATCH($A$295,BD!$AF$22:$AZ$22,0))),"")</f>
        <v/>
      </c>
      <c r="E312" s="188"/>
      <c r="F312" s="237" t="str">
        <f>IF(AND(ISNUMBER(F310),ISNUMBER(F311)),IF(F310&gt;0,F311/F310,""),"")</f>
        <v/>
      </c>
      <c r="G312" s="238" t="str">
        <f>IF(AND(ISNUMBER(G310),ISNUMBER(G311)),IF(G310&gt;0,G311/G310,""),"")</f>
        <v/>
      </c>
      <c r="H312" s="238" t="str">
        <f>IF(AND(ISNUMBER(H310),ISNUMBER(H311)),IF(H310&gt;0,H311/H310,""),"")</f>
        <v/>
      </c>
      <c r="I312" s="238" t="str">
        <f>IF(AND(ISNUMBER(I310),ISNUMBER(I311)),IF(I310&gt;0,I311/I310,""),"")</f>
        <v/>
      </c>
      <c r="J312" s="238" t="str">
        <f>IF(AND(ISNUMBER(J310),ISNUMBER(J311)),IF(J310&gt;0,J311/J310,""),"")</f>
        <v/>
      </c>
      <c r="K312" s="238" t="str">
        <f>IF(AND(ISNUMBER(K310),ISNUMBER(K311)),IF(K310&gt;0,K311/K310,""),"")</f>
        <v/>
      </c>
      <c r="L312" s="238" t="str">
        <f>IF(AND(ISNUMBER(L310),ISNUMBER(L311)),IF(L310&gt;0,L311/L310,""),"")</f>
        <v/>
      </c>
      <c r="M312" s="238" t="str">
        <f>IF(AND(ISNUMBER(M310),ISNUMBER(M311)),IF(M310&gt;0,M311/M310,""),"")</f>
        <v/>
      </c>
      <c r="N312" s="238" t="str">
        <f>IF(AND(ISNUMBER(N310),ISNUMBER(N311)),IF(N310&gt;0,N311/N310,""),"")</f>
        <v/>
      </c>
      <c r="O312" s="238" t="str">
        <f>IF(AND(ISNUMBER(O310),ISNUMBER(O311)),IF(O310&gt;0,O311/O310,""),"")</f>
        <v/>
      </c>
      <c r="P312" s="238" t="str">
        <f>IF(AND(ISNUMBER(P310),ISNUMBER(P311)),IF(P310&gt;0,P311/P310,""),"")</f>
        <v/>
      </c>
      <c r="Q312" s="238" t="str">
        <f>IF(AND(ISNUMBER(Q310),ISNUMBER(Q311)),IF(Q310&gt;0,Q311/Q310,""),"")</f>
        <v/>
      </c>
      <c r="R312" s="238" t="str">
        <f>IF(AND(ISNUMBER(R310),ISNUMBER(R311)),IF(R310&gt;0,R311/R310,""),"")</f>
        <v/>
      </c>
      <c r="S312" s="238" t="str">
        <f>IF(AND(ISNUMBER(S310),ISNUMBER(S311)),IF(S310&gt;0,S311/S310,""),"")</f>
        <v/>
      </c>
      <c r="T312" s="238" t="str">
        <f>IF(AND(ISNUMBER(T310),ISNUMBER(T311)),IF(T310&gt;0,T311/T310,""),"")</f>
        <v/>
      </c>
      <c r="U312" s="238" t="str">
        <f>IF(AND(ISNUMBER(U310),ISNUMBER(U311)),IF(U310&gt;0,U311/U310,""),"")</f>
        <v/>
      </c>
      <c r="V312" s="238" t="str">
        <f>IF(AND(ISNUMBER(V310),ISNUMBER(V311)),IF(V310&gt;0,V311/V310,""),"")</f>
        <v/>
      </c>
      <c r="W312" s="238" t="str">
        <f>IF(AND(ISNUMBER(W310),ISNUMBER(W311)),IF(W310&gt;0,W311/W310,""),"")</f>
        <v/>
      </c>
      <c r="X312" s="238" t="str">
        <f>IF(AND(ISNUMBER(X310),ISNUMBER(X311)),IF(X310&gt;0,X311/X310,""),"")</f>
        <v/>
      </c>
      <c r="Y312" s="238" t="str">
        <f>IF(AND(ISNUMBER(Y310),ISNUMBER(Y311)),IF(Y310&gt;0,Y311/Y310,""),"")</f>
        <v/>
      </c>
      <c r="Z312" s="238" t="str">
        <f>IF(AND(ISNUMBER(Z310),ISNUMBER(Z311)),IF(Z310&gt;0,Z311/Z310,""),"")</f>
        <v/>
      </c>
      <c r="AA312" s="238" t="str">
        <f>IF(AND(ISNUMBER(AA310),ISNUMBER(AA311)),IF(AA310&gt;0,AA311/AA310,""),"")</f>
        <v/>
      </c>
      <c r="AB312" s="238" t="str">
        <f>IF(AND(ISNUMBER(AB310),ISNUMBER(AB311)),IF(AB310&gt;0,AB311/AB310,""),"")</f>
        <v/>
      </c>
      <c r="AC312" s="238" t="str">
        <f>IF(AND(ISNUMBER(AC310),ISNUMBER(AC311)),IF(AC310&gt;0,AC311/AC310,""),"")</f>
        <v/>
      </c>
      <c r="AD312" s="238" t="str">
        <f>IF(AND(ISNUMBER(AD310),ISNUMBER(AD311)),IF(AD310&gt;0,AD311/AD310,""),"")</f>
        <v/>
      </c>
      <c r="AE312" s="238" t="str">
        <f>IF(AND(ISNUMBER(AE310),ISNUMBER(AE311)),IF(AE310&gt;0,AE311/AE310,""),"")</f>
        <v/>
      </c>
      <c r="AF312" s="238" t="str">
        <f>IF(AND(ISNUMBER(AF310),ISNUMBER(AF311)),IF(AF310&gt;0,AF311/AF310,""),"")</f>
        <v/>
      </c>
      <c r="AG312" s="238" t="str">
        <f>IF(AND(ISNUMBER(AG310),ISNUMBER(AG311)),IF(AG310&gt;0,AG311/AG310,""),"")</f>
        <v/>
      </c>
      <c r="AH312" s="238" t="str">
        <f>IF(AND(ISNUMBER(AH310),ISNUMBER(AH311)),IF(AH310&gt;0,AH311/AH310,""),"")</f>
        <v/>
      </c>
      <c r="AI312" s="238" t="str">
        <f>IF(AND(ISNUMBER(AI310),ISNUMBER(AI311)),IF(AI310&gt;0,AI311/AI310,""),"")</f>
        <v/>
      </c>
      <c r="AJ312" s="239" t="str">
        <f>IF(AND(ISNUMBER(AJ310),ISNUMBER(AJ311)),IF(AJ310&gt;0,AJ311/AJ310,""),"")</f>
        <v/>
      </c>
      <c r="AK312" s="236" t="str">
        <f>IF(AND(ISNUMBER(AK310),ISNUMBER(AK311)),IF(AK310&gt;0,AK311/AK310,""),"")</f>
        <v/>
      </c>
    </row>
    <row r="313" ht="15.75" customHeight="1" hidden="1">
      <c r="A313" s="277"/>
      <c r="B313" s="273" t="inlineStr">
        <is>
          <t xml:space="preserve">GENTE</t>
        </is>
      </c>
      <c r="C313" s="240" t="inlineStr">
        <is>
          <t xml:space="preserve">Efetivo Op.</t>
        </is>
      </c>
      <c r="D313" s="241" t="str">
        <f>IFERROR(1/(1/INDEX(BD!$AF$41:$AZ$41,MATCH($A$295,BD!$AF$22:$AZ$22,0))),"")</f>
        <v/>
      </c>
      <c r="E313" s="242"/>
      <c r="F313" s="243" t="str">
        <f>IF(F$3="","",IF(COUNTIFS(BD!$A$3:$A$5001,F$3,BD!$B$3:$B$5001,$A$295,BD!$T$3:$T$5001,"&lt;&gt;")=0,"",SUMIFS(BD!$T$3:$T$5001,BD!$A$3:$A$5001,F$3,BD!$B$3:$B$5001,$A$295)))</f>
        <v/>
      </c>
      <c r="G313" s="244" t="str">
        <f>IF(G$3="","",IF(COUNTIFS(BD!$A$3:$A$5001,G$3,BD!$B$3:$B$5001,$A$295,BD!$T$3:$T$5001,"&lt;&gt;")=0,"",SUMIFS(BD!$T$3:$T$5001,BD!$A$3:$A$5001,G$3,BD!$B$3:$B$5001,$A$295)))</f>
        <v/>
      </c>
      <c r="H313" s="244" t="str">
        <f>IF(H$3="","",IF(COUNTIFS(BD!$A$3:$A$5001,H$3,BD!$B$3:$B$5001,$A$295,BD!$T$3:$T$5001,"&lt;&gt;")=0,"",SUMIFS(BD!$T$3:$T$5001,BD!$A$3:$A$5001,H$3,BD!$B$3:$B$5001,$A$295)))</f>
        <v/>
      </c>
      <c r="I313" s="244" t="str">
        <f>IF(I$3="","",IF(COUNTIFS(BD!$A$3:$A$5001,I$3,BD!$B$3:$B$5001,$A$295,BD!$T$3:$T$5001,"&lt;&gt;")=0,"",SUMIFS(BD!$T$3:$T$5001,BD!$A$3:$A$5001,I$3,BD!$B$3:$B$5001,$A$295)))</f>
        <v/>
      </c>
      <c r="J313" s="244" t="str">
        <f>IF(J$3="","",IF(COUNTIFS(BD!$A$3:$A$5001,J$3,BD!$B$3:$B$5001,$A$295,BD!$T$3:$T$5001,"&lt;&gt;")=0,"",SUMIFS(BD!$T$3:$T$5001,BD!$A$3:$A$5001,J$3,BD!$B$3:$B$5001,$A$295)))</f>
        <v/>
      </c>
      <c r="K313" s="244" t="str">
        <f>IF(K$3="","",IF(COUNTIFS(BD!$A$3:$A$5001,K$3,BD!$B$3:$B$5001,$A$295,BD!$T$3:$T$5001,"&lt;&gt;")=0,"",SUMIFS(BD!$T$3:$T$5001,BD!$A$3:$A$5001,K$3,BD!$B$3:$B$5001,$A$295)))</f>
        <v/>
      </c>
      <c r="L313" s="244" t="str">
        <f>IF(L$3="","",IF(COUNTIFS(BD!$A$3:$A$5001,L$3,BD!$B$3:$B$5001,$A$295,BD!$T$3:$T$5001,"&lt;&gt;")=0,"",SUMIFS(BD!$T$3:$T$5001,BD!$A$3:$A$5001,L$3,BD!$B$3:$B$5001,$A$295)))</f>
        <v/>
      </c>
      <c r="M313" s="244" t="str">
        <f>IF(M$3="","",IF(COUNTIFS(BD!$A$3:$A$5001,M$3,BD!$B$3:$B$5001,$A$295,BD!$T$3:$T$5001,"&lt;&gt;")=0,"",SUMIFS(BD!$T$3:$T$5001,BD!$A$3:$A$5001,M$3,BD!$B$3:$B$5001,$A$295)))</f>
        <v/>
      </c>
      <c r="N313" s="244" t="str">
        <f>IF(N$3="","",IF(COUNTIFS(BD!$A$3:$A$5001,N$3,BD!$B$3:$B$5001,$A$295,BD!$T$3:$T$5001,"&lt;&gt;")=0,"",SUMIFS(BD!$T$3:$T$5001,BD!$A$3:$A$5001,N$3,BD!$B$3:$B$5001,$A$295)))</f>
        <v/>
      </c>
      <c r="O313" s="244" t="str">
        <f>IF(O$3="","",IF(COUNTIFS(BD!$A$3:$A$5001,O$3,BD!$B$3:$B$5001,$A$295,BD!$T$3:$T$5001,"&lt;&gt;")=0,"",SUMIFS(BD!$T$3:$T$5001,BD!$A$3:$A$5001,O$3,BD!$B$3:$B$5001,$A$295)))</f>
        <v/>
      </c>
      <c r="P313" s="244" t="str">
        <f>IF(P$3="","",IF(COUNTIFS(BD!$A$3:$A$5001,P$3,BD!$B$3:$B$5001,$A$295,BD!$T$3:$T$5001,"&lt;&gt;")=0,"",SUMIFS(BD!$T$3:$T$5001,BD!$A$3:$A$5001,P$3,BD!$B$3:$B$5001,$A$295)))</f>
        <v/>
      </c>
      <c r="Q313" s="244" t="str">
        <f>IF(Q$3="","",IF(COUNTIFS(BD!$A$3:$A$5001,Q$3,BD!$B$3:$B$5001,$A$295,BD!$T$3:$T$5001,"&lt;&gt;")=0,"",SUMIFS(BD!$T$3:$T$5001,BD!$A$3:$A$5001,Q$3,BD!$B$3:$B$5001,$A$295)))</f>
        <v/>
      </c>
      <c r="R313" s="244" t="str">
        <f>IF(R$3="","",IF(COUNTIFS(BD!$A$3:$A$5001,R$3,BD!$B$3:$B$5001,$A$295,BD!$T$3:$T$5001,"&lt;&gt;")=0,"",SUMIFS(BD!$T$3:$T$5001,BD!$A$3:$A$5001,R$3,BD!$B$3:$B$5001,$A$295)))</f>
        <v/>
      </c>
      <c r="S313" s="244" t="str">
        <f>IF(S$3="","",IF(COUNTIFS(BD!$A$3:$A$5001,S$3,BD!$B$3:$B$5001,$A$295,BD!$T$3:$T$5001,"&lt;&gt;")=0,"",SUMIFS(BD!$T$3:$T$5001,BD!$A$3:$A$5001,S$3,BD!$B$3:$B$5001,$A$295)))</f>
        <v/>
      </c>
      <c r="T313" s="244" t="str">
        <f>IF(T$3="","",IF(COUNTIFS(BD!$A$3:$A$5001,T$3,BD!$B$3:$B$5001,$A$295,BD!$T$3:$T$5001,"&lt;&gt;")=0,"",SUMIFS(BD!$T$3:$T$5001,BD!$A$3:$A$5001,T$3,BD!$B$3:$B$5001,$A$295)))</f>
        <v/>
      </c>
      <c r="U313" s="244" t="str">
        <f>IF(U$3="","",IF(COUNTIFS(BD!$A$3:$A$5001,U$3,BD!$B$3:$B$5001,$A$295,BD!$T$3:$T$5001,"&lt;&gt;")=0,"",SUMIFS(BD!$T$3:$T$5001,BD!$A$3:$A$5001,U$3,BD!$B$3:$B$5001,$A$295)))</f>
        <v/>
      </c>
      <c r="V313" s="244" t="str">
        <f>IF(V$3="","",IF(COUNTIFS(BD!$A$3:$A$5001,V$3,BD!$B$3:$B$5001,$A$295,BD!$T$3:$T$5001,"&lt;&gt;")=0,"",SUMIFS(BD!$T$3:$T$5001,BD!$A$3:$A$5001,V$3,BD!$B$3:$B$5001,$A$295)))</f>
        <v/>
      </c>
      <c r="W313" s="244" t="str">
        <f>IF(W$3="","",IF(COUNTIFS(BD!$A$3:$A$5001,W$3,BD!$B$3:$B$5001,$A$295,BD!$T$3:$T$5001,"&lt;&gt;")=0,"",SUMIFS(BD!$T$3:$T$5001,BD!$A$3:$A$5001,W$3,BD!$B$3:$B$5001,$A$295)))</f>
        <v/>
      </c>
      <c r="X313" s="244" t="str">
        <f>IF(X$3="","",IF(COUNTIFS(BD!$A$3:$A$5001,X$3,BD!$B$3:$B$5001,$A$295,BD!$T$3:$T$5001,"&lt;&gt;")=0,"",SUMIFS(BD!$T$3:$T$5001,BD!$A$3:$A$5001,X$3,BD!$B$3:$B$5001,$A$295)))</f>
        <v/>
      </c>
      <c r="Y313" s="244" t="str">
        <f>IF(Y$3="","",IF(COUNTIFS(BD!$A$3:$A$5001,Y$3,BD!$B$3:$B$5001,$A$295,BD!$T$3:$T$5001,"&lt;&gt;")=0,"",SUMIFS(BD!$T$3:$T$5001,BD!$A$3:$A$5001,Y$3,BD!$B$3:$B$5001,$A$295)))</f>
        <v/>
      </c>
      <c r="Z313" s="244" t="str">
        <f>IF(Z$3="","",IF(COUNTIFS(BD!$A$3:$A$5001,Z$3,BD!$B$3:$B$5001,$A$295,BD!$T$3:$T$5001,"&lt;&gt;")=0,"",SUMIFS(BD!$T$3:$T$5001,BD!$A$3:$A$5001,Z$3,BD!$B$3:$B$5001,$A$295)))</f>
        <v/>
      </c>
      <c r="AA313" s="244" t="str">
        <f>IF(AA$3="","",IF(COUNTIFS(BD!$A$3:$A$5001,AA$3,BD!$B$3:$B$5001,$A$295,BD!$T$3:$T$5001,"&lt;&gt;")=0,"",SUMIFS(BD!$T$3:$T$5001,BD!$A$3:$A$5001,AA$3,BD!$B$3:$B$5001,$A$295)))</f>
        <v/>
      </c>
      <c r="AB313" s="244" t="str">
        <f>IF(AB$3="","",IF(COUNTIFS(BD!$A$3:$A$5001,AB$3,BD!$B$3:$B$5001,$A$295,BD!$T$3:$T$5001,"&lt;&gt;")=0,"",SUMIFS(BD!$T$3:$T$5001,BD!$A$3:$A$5001,AB$3,BD!$B$3:$B$5001,$A$295)))</f>
        <v/>
      </c>
      <c r="AC313" s="244" t="str">
        <f>IF(AC$3="","",IF(COUNTIFS(BD!$A$3:$A$5001,AC$3,BD!$B$3:$B$5001,$A$295,BD!$T$3:$T$5001,"&lt;&gt;")=0,"",SUMIFS(BD!$T$3:$T$5001,BD!$A$3:$A$5001,AC$3,BD!$B$3:$B$5001,$A$295)))</f>
        <v/>
      </c>
      <c r="AD313" s="244" t="str">
        <f>IF(AD$3="","",IF(COUNTIFS(BD!$A$3:$A$5001,AD$3,BD!$B$3:$B$5001,$A$295,BD!$T$3:$T$5001,"&lt;&gt;")=0,"",SUMIFS(BD!$T$3:$T$5001,BD!$A$3:$A$5001,AD$3,BD!$B$3:$B$5001,$A$295)))</f>
        <v/>
      </c>
      <c r="AE313" s="244" t="str">
        <f>IF(AE$3="","",IF(COUNTIFS(BD!$A$3:$A$5001,AE$3,BD!$B$3:$B$5001,$A$295,BD!$T$3:$T$5001,"&lt;&gt;")=0,"",SUMIFS(BD!$T$3:$T$5001,BD!$A$3:$A$5001,AE$3,BD!$B$3:$B$5001,$A$295)))</f>
        <v/>
      </c>
      <c r="AF313" s="244" t="str">
        <f>IF(AF$3="","",IF(COUNTIFS(BD!$A$3:$A$5001,AF$3,BD!$B$3:$B$5001,$A$295,BD!$T$3:$T$5001,"&lt;&gt;")=0,"",SUMIFS(BD!$T$3:$T$5001,BD!$A$3:$A$5001,AF$3,BD!$B$3:$B$5001,$A$295)))</f>
        <v/>
      </c>
      <c r="AG313" s="244" t="str">
        <f>IF(AG$3="","",IF(COUNTIFS(BD!$A$3:$A$5001,AG$3,BD!$B$3:$B$5001,$A$295,BD!$T$3:$T$5001,"&lt;&gt;")=0,"",SUMIFS(BD!$T$3:$T$5001,BD!$A$3:$A$5001,AG$3,BD!$B$3:$B$5001,$A$295)))</f>
        <v/>
      </c>
      <c r="AH313" s="244" t="str">
        <f>IF(AH$3="","",IF(COUNTIFS(BD!$A$3:$A$5001,AH$3,BD!$B$3:$B$5001,$A$295,BD!$T$3:$T$5001,"&lt;&gt;")=0,"",SUMIFS(BD!$T$3:$T$5001,BD!$A$3:$A$5001,AH$3,BD!$B$3:$B$5001,$A$295)))</f>
        <v/>
      </c>
      <c r="AI313" s="244" t="str">
        <f>IF(AI$3="","",IF(COUNTIFS(BD!$A$3:$A$5001,AI$3,BD!$B$3:$B$5001,$A$295,BD!$T$3:$T$5001,"&lt;&gt;")=0,"",SUMIFS(BD!$T$3:$T$5001,BD!$A$3:$A$5001,AI$3,BD!$B$3:$B$5001,$A$295)))</f>
        <v/>
      </c>
      <c r="AJ313" s="245" t="str">
        <f>IF(AJ$3="","",IF(COUNTIFS(BD!$A$3:$A$5001,AJ$3,BD!$B$3:$B$5001,$A$295,BD!$T$3:$T$5001,"&lt;&gt;")=0,"",SUMIFS(BD!$T$3:$T$5001,BD!$A$3:$A$5001,AJ$3,BD!$B$3:$B$5001,$A$295)))</f>
        <v/>
      </c>
      <c r="AK313" s="246" t="str">
        <f>IFERROR(LOOKUP(9.99E+307,F313:AJ313),"")</f>
        <v/>
      </c>
    </row>
    <row r="314" ht="15.75" customHeight="1" hidden="1">
      <c r="A314" s="277"/>
      <c r="B314" s="274"/>
      <c r="C314" s="247" t="inlineStr">
        <is>
          <t xml:space="preserve">Falta</t>
        </is>
      </c>
      <c r="D314" s="248" t="str">
        <f>IFERROR(1/(1/INDEX(BD!$AF$42:$AZ$42,MATCH($A$295,BD!$AF$22:$AZ$22,0))),"")</f>
        <v/>
      </c>
      <c r="E314" s="249"/>
      <c r="F314" s="250" t="str">
        <f>IF(F$3="","",IF(COUNTIFS(BD!$A$3:$A$5001,F$3,BD!$B$3:$B$5001,$A$295,BD!$U$3:$U$5001,"&lt;&gt;")=0,"",SUMIFS(BD!$U$3:$U$5001,BD!$A$3:$A$5001,F$3,BD!$B$3:$B$5001,$A$295)))</f>
        <v/>
      </c>
      <c r="G314" s="251" t="str">
        <f>IF(G$3="","",IF(COUNTIFS(BD!$A$3:$A$5001,G$3,BD!$B$3:$B$5001,$A$295,BD!$U$3:$U$5001,"&lt;&gt;")=0,"",SUMIFS(BD!$U$3:$U$5001,BD!$A$3:$A$5001,G$3,BD!$B$3:$B$5001,$A$295)))</f>
        <v/>
      </c>
      <c r="H314" s="251" t="str">
        <f>IF(H$3="","",IF(COUNTIFS(BD!$A$3:$A$5001,H$3,BD!$B$3:$B$5001,$A$295,BD!$U$3:$U$5001,"&lt;&gt;")=0,"",SUMIFS(BD!$U$3:$U$5001,BD!$A$3:$A$5001,H$3,BD!$B$3:$B$5001,$A$295)))</f>
        <v/>
      </c>
      <c r="I314" s="251" t="str">
        <f>IF(I$3="","",IF(COUNTIFS(BD!$A$3:$A$5001,I$3,BD!$B$3:$B$5001,$A$295,BD!$U$3:$U$5001,"&lt;&gt;")=0,"",SUMIFS(BD!$U$3:$U$5001,BD!$A$3:$A$5001,I$3,BD!$B$3:$B$5001,$A$295)))</f>
        <v/>
      </c>
      <c r="J314" s="251" t="str">
        <f>IF(J$3="","",IF(COUNTIFS(BD!$A$3:$A$5001,J$3,BD!$B$3:$B$5001,$A$295,BD!$U$3:$U$5001,"&lt;&gt;")=0,"",SUMIFS(BD!$U$3:$U$5001,BD!$A$3:$A$5001,J$3,BD!$B$3:$B$5001,$A$295)))</f>
        <v/>
      </c>
      <c r="K314" s="251" t="str">
        <f>IF(K$3="","",IF(COUNTIFS(BD!$A$3:$A$5001,K$3,BD!$B$3:$B$5001,$A$295,BD!$U$3:$U$5001,"&lt;&gt;")=0,"",SUMIFS(BD!$U$3:$U$5001,BD!$A$3:$A$5001,K$3,BD!$B$3:$B$5001,$A$295)))</f>
        <v/>
      </c>
      <c r="L314" s="251" t="str">
        <f>IF(L$3="","",IF(COUNTIFS(BD!$A$3:$A$5001,L$3,BD!$B$3:$B$5001,$A$295,BD!$U$3:$U$5001,"&lt;&gt;")=0,"",SUMIFS(BD!$U$3:$U$5001,BD!$A$3:$A$5001,L$3,BD!$B$3:$B$5001,$A$295)))</f>
        <v/>
      </c>
      <c r="M314" s="251" t="str">
        <f>IF(M$3="","",IF(COUNTIFS(BD!$A$3:$A$5001,M$3,BD!$B$3:$B$5001,$A$295,BD!$U$3:$U$5001,"&lt;&gt;")=0,"",SUMIFS(BD!$U$3:$U$5001,BD!$A$3:$A$5001,M$3,BD!$B$3:$B$5001,$A$295)))</f>
        <v/>
      </c>
      <c r="N314" s="251" t="str">
        <f>IF(N$3="","",IF(COUNTIFS(BD!$A$3:$A$5001,N$3,BD!$B$3:$B$5001,$A$295,BD!$U$3:$U$5001,"&lt;&gt;")=0,"",SUMIFS(BD!$U$3:$U$5001,BD!$A$3:$A$5001,N$3,BD!$B$3:$B$5001,$A$295)))</f>
        <v/>
      </c>
      <c r="O314" s="251" t="str">
        <f>IF(O$3="","",IF(COUNTIFS(BD!$A$3:$A$5001,O$3,BD!$B$3:$B$5001,$A$295,BD!$U$3:$U$5001,"&lt;&gt;")=0,"",SUMIFS(BD!$U$3:$U$5001,BD!$A$3:$A$5001,O$3,BD!$B$3:$B$5001,$A$295)))</f>
        <v/>
      </c>
      <c r="P314" s="251" t="str">
        <f>IF(P$3="","",IF(COUNTIFS(BD!$A$3:$A$5001,P$3,BD!$B$3:$B$5001,$A$295,BD!$U$3:$U$5001,"&lt;&gt;")=0,"",SUMIFS(BD!$U$3:$U$5001,BD!$A$3:$A$5001,P$3,BD!$B$3:$B$5001,$A$295)))</f>
        <v/>
      </c>
      <c r="Q314" s="251" t="str">
        <f>IF(Q$3="","",IF(COUNTIFS(BD!$A$3:$A$5001,Q$3,BD!$B$3:$B$5001,$A$295,BD!$U$3:$U$5001,"&lt;&gt;")=0,"",SUMIFS(BD!$U$3:$U$5001,BD!$A$3:$A$5001,Q$3,BD!$B$3:$B$5001,$A$295)))</f>
        <v/>
      </c>
      <c r="R314" s="251" t="str">
        <f>IF(R$3="","",IF(COUNTIFS(BD!$A$3:$A$5001,R$3,BD!$B$3:$B$5001,$A$295,BD!$U$3:$U$5001,"&lt;&gt;")=0,"",SUMIFS(BD!$U$3:$U$5001,BD!$A$3:$A$5001,R$3,BD!$B$3:$B$5001,$A$295)))</f>
        <v/>
      </c>
      <c r="S314" s="251" t="str">
        <f>IF(S$3="","",IF(COUNTIFS(BD!$A$3:$A$5001,S$3,BD!$B$3:$B$5001,$A$295,BD!$U$3:$U$5001,"&lt;&gt;")=0,"",SUMIFS(BD!$U$3:$U$5001,BD!$A$3:$A$5001,S$3,BD!$B$3:$B$5001,$A$295)))</f>
        <v/>
      </c>
      <c r="T314" s="251" t="str">
        <f>IF(T$3="","",IF(COUNTIFS(BD!$A$3:$A$5001,T$3,BD!$B$3:$B$5001,$A$295,BD!$U$3:$U$5001,"&lt;&gt;")=0,"",SUMIFS(BD!$U$3:$U$5001,BD!$A$3:$A$5001,T$3,BD!$B$3:$B$5001,$A$295)))</f>
        <v/>
      </c>
      <c r="U314" s="251" t="str">
        <f>IF(U$3="","",IF(COUNTIFS(BD!$A$3:$A$5001,U$3,BD!$B$3:$B$5001,$A$295,BD!$U$3:$U$5001,"&lt;&gt;")=0,"",SUMIFS(BD!$U$3:$U$5001,BD!$A$3:$A$5001,U$3,BD!$B$3:$B$5001,$A$295)))</f>
        <v/>
      </c>
      <c r="V314" s="251" t="str">
        <f>IF(V$3="","",IF(COUNTIFS(BD!$A$3:$A$5001,V$3,BD!$B$3:$B$5001,$A$295,BD!$U$3:$U$5001,"&lt;&gt;")=0,"",SUMIFS(BD!$U$3:$U$5001,BD!$A$3:$A$5001,V$3,BD!$B$3:$B$5001,$A$295)))</f>
        <v/>
      </c>
      <c r="W314" s="251" t="str">
        <f>IF(W$3="","",IF(COUNTIFS(BD!$A$3:$A$5001,W$3,BD!$B$3:$B$5001,$A$295,BD!$U$3:$U$5001,"&lt;&gt;")=0,"",SUMIFS(BD!$U$3:$U$5001,BD!$A$3:$A$5001,W$3,BD!$B$3:$B$5001,$A$295)))</f>
        <v/>
      </c>
      <c r="X314" s="251" t="str">
        <f>IF(X$3="","",IF(COUNTIFS(BD!$A$3:$A$5001,X$3,BD!$B$3:$B$5001,$A$295,BD!$U$3:$U$5001,"&lt;&gt;")=0,"",SUMIFS(BD!$U$3:$U$5001,BD!$A$3:$A$5001,X$3,BD!$B$3:$B$5001,$A$295)))</f>
        <v/>
      </c>
      <c r="Y314" s="251" t="str">
        <f>IF(Y$3="","",IF(COUNTIFS(BD!$A$3:$A$5001,Y$3,BD!$B$3:$B$5001,$A$295,BD!$U$3:$U$5001,"&lt;&gt;")=0,"",SUMIFS(BD!$U$3:$U$5001,BD!$A$3:$A$5001,Y$3,BD!$B$3:$B$5001,$A$295)))</f>
        <v/>
      </c>
      <c r="Z314" s="251" t="str">
        <f>IF(Z$3="","",IF(COUNTIFS(BD!$A$3:$A$5001,Z$3,BD!$B$3:$B$5001,$A$295,BD!$U$3:$U$5001,"&lt;&gt;")=0,"",SUMIFS(BD!$U$3:$U$5001,BD!$A$3:$A$5001,Z$3,BD!$B$3:$B$5001,$A$295)))</f>
        <v/>
      </c>
      <c r="AA314" s="251" t="str">
        <f>IF(AA$3="","",IF(COUNTIFS(BD!$A$3:$A$5001,AA$3,BD!$B$3:$B$5001,$A$295,BD!$U$3:$U$5001,"&lt;&gt;")=0,"",SUMIFS(BD!$U$3:$U$5001,BD!$A$3:$A$5001,AA$3,BD!$B$3:$B$5001,$A$295)))</f>
        <v/>
      </c>
      <c r="AB314" s="251" t="str">
        <f>IF(AB$3="","",IF(COUNTIFS(BD!$A$3:$A$5001,AB$3,BD!$B$3:$B$5001,$A$295,BD!$U$3:$U$5001,"&lt;&gt;")=0,"",SUMIFS(BD!$U$3:$U$5001,BD!$A$3:$A$5001,AB$3,BD!$B$3:$B$5001,$A$295)))</f>
        <v/>
      </c>
      <c r="AC314" s="251" t="str">
        <f>IF(AC$3="","",IF(COUNTIFS(BD!$A$3:$A$5001,AC$3,BD!$B$3:$B$5001,$A$295,BD!$U$3:$U$5001,"&lt;&gt;")=0,"",SUMIFS(BD!$U$3:$U$5001,BD!$A$3:$A$5001,AC$3,BD!$B$3:$B$5001,$A$295)))</f>
        <v/>
      </c>
      <c r="AD314" s="251" t="str">
        <f>IF(AD$3="","",IF(COUNTIFS(BD!$A$3:$A$5001,AD$3,BD!$B$3:$B$5001,$A$295,BD!$U$3:$U$5001,"&lt;&gt;")=0,"",SUMIFS(BD!$U$3:$U$5001,BD!$A$3:$A$5001,AD$3,BD!$B$3:$B$5001,$A$295)))</f>
        <v/>
      </c>
      <c r="AE314" s="251" t="str">
        <f>IF(AE$3="","",IF(COUNTIFS(BD!$A$3:$A$5001,AE$3,BD!$B$3:$B$5001,$A$295,BD!$U$3:$U$5001,"&lt;&gt;")=0,"",SUMIFS(BD!$U$3:$U$5001,BD!$A$3:$A$5001,AE$3,BD!$B$3:$B$5001,$A$295)))</f>
        <v/>
      </c>
      <c r="AF314" s="251" t="str">
        <f>IF(AF$3="","",IF(COUNTIFS(BD!$A$3:$A$5001,AF$3,BD!$B$3:$B$5001,$A$295,BD!$U$3:$U$5001,"&lt;&gt;")=0,"",SUMIFS(BD!$U$3:$U$5001,BD!$A$3:$A$5001,AF$3,BD!$B$3:$B$5001,$A$295)))</f>
        <v/>
      </c>
      <c r="AG314" s="251" t="str">
        <f>IF(AG$3="","",IF(COUNTIFS(BD!$A$3:$A$5001,AG$3,BD!$B$3:$B$5001,$A$295,BD!$U$3:$U$5001,"&lt;&gt;")=0,"",SUMIFS(BD!$U$3:$U$5001,BD!$A$3:$A$5001,AG$3,BD!$B$3:$B$5001,$A$295)))</f>
        <v/>
      </c>
      <c r="AH314" s="251" t="str">
        <f>IF(AH$3="","",IF(COUNTIFS(BD!$A$3:$A$5001,AH$3,BD!$B$3:$B$5001,$A$295,BD!$U$3:$U$5001,"&lt;&gt;")=0,"",SUMIFS(BD!$U$3:$U$5001,BD!$A$3:$A$5001,AH$3,BD!$B$3:$B$5001,$A$295)))</f>
        <v/>
      </c>
      <c r="AI314" s="251" t="str">
        <f>IF(AI$3="","",IF(COUNTIFS(BD!$A$3:$A$5001,AI$3,BD!$B$3:$B$5001,$A$295,BD!$U$3:$U$5001,"&lt;&gt;")=0,"",SUMIFS(BD!$U$3:$U$5001,BD!$A$3:$A$5001,AI$3,BD!$B$3:$B$5001,$A$295)))</f>
        <v/>
      </c>
      <c r="AJ314" s="252" t="str">
        <f>IF(AJ$3="","",IF(COUNTIFS(BD!$A$3:$A$5001,AJ$3,BD!$B$3:$B$5001,$A$295,BD!$U$3:$U$5001,"&lt;&gt;")=0,"",SUMIFS(BD!$U$3:$U$5001,BD!$A$3:$A$5001,AJ$3,BD!$B$3:$B$5001,$A$295)))</f>
        <v/>
      </c>
      <c r="AK314" s="253" t="str">
        <f>IF(COUNT(F314:AJ314)=0,"",SUM(F314:AJ314))</f>
        <v/>
      </c>
    </row>
    <row r="315" ht="15.75" customHeight="1" hidden="1">
      <c r="A315" s="277"/>
      <c r="B315" s="274"/>
      <c r="C315" s="247" t="inlineStr">
        <is>
          <t xml:space="preserve">Absenteísmo (H/H)</t>
        </is>
      </c>
      <c r="D315" s="248" t="str">
        <f>IFERROR(1/(1/INDEX(BD!$AF$43:$AZ$43,MATCH($A$295,BD!$AF$22:$AZ$22,0))),"")</f>
        <v/>
      </c>
      <c r="E315" s="249"/>
      <c r="F315" s="254" t="str">
        <f>IF(F$3="","",IF(COUNTIFS(BD!$A$3:$A$5001,F$3,BD!$B$3:$B$5001,$A$295,BD!$V$3:$V$5001,"&lt;&gt;")=0,"",SUMIFS(BD!$V$3:$V$5001,BD!$A$3:$A$5001,F$3,BD!$B$3:$B$5001,$A$295)))</f>
        <v/>
      </c>
      <c r="G315" s="255" t="str">
        <f>IF(G$3="","",IF(COUNTIFS(BD!$A$3:$A$5001,G$3,BD!$B$3:$B$5001,$A$295,BD!$V$3:$V$5001,"&lt;&gt;")=0,"",SUMIFS(BD!$V$3:$V$5001,BD!$A$3:$A$5001,G$3,BD!$B$3:$B$5001,$A$295)))</f>
        <v/>
      </c>
      <c r="H315" s="255" t="str">
        <f>IF(H$3="","",IF(COUNTIFS(BD!$A$3:$A$5001,H$3,BD!$B$3:$B$5001,$A$295,BD!$V$3:$V$5001,"&lt;&gt;")=0,"",SUMIFS(BD!$V$3:$V$5001,BD!$A$3:$A$5001,H$3,BD!$B$3:$B$5001,$A$295)))</f>
        <v/>
      </c>
      <c r="I315" s="255" t="str">
        <f>IF(I$3="","",IF(COUNTIFS(BD!$A$3:$A$5001,I$3,BD!$B$3:$B$5001,$A$295,BD!$V$3:$V$5001,"&lt;&gt;")=0,"",SUMIFS(BD!$V$3:$V$5001,BD!$A$3:$A$5001,I$3,BD!$B$3:$B$5001,$A$295)))</f>
        <v/>
      </c>
      <c r="J315" s="255" t="str">
        <f>IF(J$3="","",IF(COUNTIFS(BD!$A$3:$A$5001,J$3,BD!$B$3:$B$5001,$A$295,BD!$V$3:$V$5001,"&lt;&gt;")=0,"",SUMIFS(BD!$V$3:$V$5001,BD!$A$3:$A$5001,J$3,BD!$B$3:$B$5001,$A$295)))</f>
        <v/>
      </c>
      <c r="K315" s="255" t="str">
        <f>IF(K$3="","",IF(COUNTIFS(BD!$A$3:$A$5001,K$3,BD!$B$3:$B$5001,$A$295,BD!$V$3:$V$5001,"&lt;&gt;")=0,"",SUMIFS(BD!$V$3:$V$5001,BD!$A$3:$A$5001,K$3,BD!$B$3:$B$5001,$A$295)))</f>
        <v/>
      </c>
      <c r="L315" s="255" t="str">
        <f>IF(L$3="","",IF(COUNTIFS(BD!$A$3:$A$5001,L$3,BD!$B$3:$B$5001,$A$295,BD!$V$3:$V$5001,"&lt;&gt;")=0,"",SUMIFS(BD!$V$3:$V$5001,BD!$A$3:$A$5001,L$3,BD!$B$3:$B$5001,$A$295)))</f>
        <v/>
      </c>
      <c r="M315" s="255" t="str">
        <f>IF(M$3="","",IF(COUNTIFS(BD!$A$3:$A$5001,M$3,BD!$B$3:$B$5001,$A$295,BD!$V$3:$V$5001,"&lt;&gt;")=0,"",SUMIFS(BD!$V$3:$V$5001,BD!$A$3:$A$5001,M$3,BD!$B$3:$B$5001,$A$295)))</f>
        <v/>
      </c>
      <c r="N315" s="255" t="str">
        <f>IF(N$3="","",IF(COUNTIFS(BD!$A$3:$A$5001,N$3,BD!$B$3:$B$5001,$A$295,BD!$V$3:$V$5001,"&lt;&gt;")=0,"",SUMIFS(BD!$V$3:$V$5001,BD!$A$3:$A$5001,N$3,BD!$B$3:$B$5001,$A$295)))</f>
        <v/>
      </c>
      <c r="O315" s="255" t="str">
        <f>IF(O$3="","",IF(COUNTIFS(BD!$A$3:$A$5001,O$3,BD!$B$3:$B$5001,$A$295,BD!$V$3:$V$5001,"&lt;&gt;")=0,"",SUMIFS(BD!$V$3:$V$5001,BD!$A$3:$A$5001,O$3,BD!$B$3:$B$5001,$A$295)))</f>
        <v/>
      </c>
      <c r="P315" s="255" t="str">
        <f>IF(P$3="","",IF(COUNTIFS(BD!$A$3:$A$5001,P$3,BD!$B$3:$B$5001,$A$295,BD!$V$3:$V$5001,"&lt;&gt;")=0,"",SUMIFS(BD!$V$3:$V$5001,BD!$A$3:$A$5001,P$3,BD!$B$3:$B$5001,$A$295)))</f>
        <v/>
      </c>
      <c r="Q315" s="255" t="str">
        <f>IF(Q$3="","",IF(COUNTIFS(BD!$A$3:$A$5001,Q$3,BD!$B$3:$B$5001,$A$295,BD!$V$3:$V$5001,"&lt;&gt;")=0,"",SUMIFS(BD!$V$3:$V$5001,BD!$A$3:$A$5001,Q$3,BD!$B$3:$B$5001,$A$295)))</f>
        <v/>
      </c>
      <c r="R315" s="255" t="str">
        <f>IF(R$3="","",IF(COUNTIFS(BD!$A$3:$A$5001,R$3,BD!$B$3:$B$5001,$A$295,BD!$V$3:$V$5001,"&lt;&gt;")=0,"",SUMIFS(BD!$V$3:$V$5001,BD!$A$3:$A$5001,R$3,BD!$B$3:$B$5001,$A$295)))</f>
        <v/>
      </c>
      <c r="S315" s="255" t="str">
        <f>IF(S$3="","",IF(COUNTIFS(BD!$A$3:$A$5001,S$3,BD!$B$3:$B$5001,$A$295,BD!$V$3:$V$5001,"&lt;&gt;")=0,"",SUMIFS(BD!$V$3:$V$5001,BD!$A$3:$A$5001,S$3,BD!$B$3:$B$5001,$A$295)))</f>
        <v/>
      </c>
      <c r="T315" s="255" t="str">
        <f>IF(T$3="","",IF(COUNTIFS(BD!$A$3:$A$5001,T$3,BD!$B$3:$B$5001,$A$295,BD!$V$3:$V$5001,"&lt;&gt;")=0,"",SUMIFS(BD!$V$3:$V$5001,BD!$A$3:$A$5001,T$3,BD!$B$3:$B$5001,$A$295)))</f>
        <v/>
      </c>
      <c r="U315" s="255" t="str">
        <f>IF(U$3="","",IF(COUNTIFS(BD!$A$3:$A$5001,U$3,BD!$B$3:$B$5001,$A$295,BD!$V$3:$V$5001,"&lt;&gt;")=0,"",SUMIFS(BD!$V$3:$V$5001,BD!$A$3:$A$5001,U$3,BD!$B$3:$B$5001,$A$295)))</f>
        <v/>
      </c>
      <c r="V315" s="255" t="str">
        <f>IF(V$3="","",IF(COUNTIFS(BD!$A$3:$A$5001,V$3,BD!$B$3:$B$5001,$A$295,BD!$V$3:$V$5001,"&lt;&gt;")=0,"",SUMIFS(BD!$V$3:$V$5001,BD!$A$3:$A$5001,V$3,BD!$B$3:$B$5001,$A$295)))</f>
        <v/>
      </c>
      <c r="W315" s="255" t="str">
        <f>IF(W$3="","",IF(COUNTIFS(BD!$A$3:$A$5001,W$3,BD!$B$3:$B$5001,$A$295,BD!$V$3:$V$5001,"&lt;&gt;")=0,"",SUMIFS(BD!$V$3:$V$5001,BD!$A$3:$A$5001,W$3,BD!$B$3:$B$5001,$A$295)))</f>
        <v/>
      </c>
      <c r="X315" s="255" t="str">
        <f>IF(X$3="","",IF(COUNTIFS(BD!$A$3:$A$5001,X$3,BD!$B$3:$B$5001,$A$295,BD!$V$3:$V$5001,"&lt;&gt;")=0,"",SUMIFS(BD!$V$3:$V$5001,BD!$A$3:$A$5001,X$3,BD!$B$3:$B$5001,$A$295)))</f>
        <v/>
      </c>
      <c r="Y315" s="255" t="str">
        <f>IF(Y$3="","",IF(COUNTIFS(BD!$A$3:$A$5001,Y$3,BD!$B$3:$B$5001,$A$295,BD!$V$3:$V$5001,"&lt;&gt;")=0,"",SUMIFS(BD!$V$3:$V$5001,BD!$A$3:$A$5001,Y$3,BD!$B$3:$B$5001,$A$295)))</f>
        <v/>
      </c>
      <c r="Z315" s="255" t="str">
        <f>IF(Z$3="","",IF(COUNTIFS(BD!$A$3:$A$5001,Z$3,BD!$B$3:$B$5001,$A$295,BD!$V$3:$V$5001,"&lt;&gt;")=0,"",SUMIFS(BD!$V$3:$V$5001,BD!$A$3:$A$5001,Z$3,BD!$B$3:$B$5001,$A$295)))</f>
        <v/>
      </c>
      <c r="AA315" s="255" t="str">
        <f>IF(AA$3="","",IF(COUNTIFS(BD!$A$3:$A$5001,AA$3,BD!$B$3:$B$5001,$A$295,BD!$V$3:$V$5001,"&lt;&gt;")=0,"",SUMIFS(BD!$V$3:$V$5001,BD!$A$3:$A$5001,AA$3,BD!$B$3:$B$5001,$A$295)))</f>
        <v/>
      </c>
      <c r="AB315" s="255" t="str">
        <f>IF(AB$3="","",IF(COUNTIFS(BD!$A$3:$A$5001,AB$3,BD!$B$3:$B$5001,$A$295,BD!$V$3:$V$5001,"&lt;&gt;")=0,"",SUMIFS(BD!$V$3:$V$5001,BD!$A$3:$A$5001,AB$3,BD!$B$3:$B$5001,$A$295)))</f>
        <v/>
      </c>
      <c r="AC315" s="255" t="str">
        <f>IF(AC$3="","",IF(COUNTIFS(BD!$A$3:$A$5001,AC$3,BD!$B$3:$B$5001,$A$295,BD!$V$3:$V$5001,"&lt;&gt;")=0,"",SUMIFS(BD!$V$3:$V$5001,BD!$A$3:$A$5001,AC$3,BD!$B$3:$B$5001,$A$295)))</f>
        <v/>
      </c>
      <c r="AD315" s="255" t="str">
        <f>IF(AD$3="","",IF(COUNTIFS(BD!$A$3:$A$5001,AD$3,BD!$B$3:$B$5001,$A$295,BD!$V$3:$V$5001,"&lt;&gt;")=0,"",SUMIFS(BD!$V$3:$V$5001,BD!$A$3:$A$5001,AD$3,BD!$B$3:$B$5001,$A$295)))</f>
        <v/>
      </c>
      <c r="AE315" s="255" t="str">
        <f>IF(AE$3="","",IF(COUNTIFS(BD!$A$3:$A$5001,AE$3,BD!$B$3:$B$5001,$A$295,BD!$V$3:$V$5001,"&lt;&gt;")=0,"",SUMIFS(BD!$V$3:$V$5001,BD!$A$3:$A$5001,AE$3,BD!$B$3:$B$5001,$A$295)))</f>
        <v/>
      </c>
      <c r="AF315" s="255" t="str">
        <f>IF(AF$3="","",IF(COUNTIFS(BD!$A$3:$A$5001,AF$3,BD!$B$3:$B$5001,$A$295,BD!$V$3:$V$5001,"&lt;&gt;")=0,"",SUMIFS(BD!$V$3:$V$5001,BD!$A$3:$A$5001,AF$3,BD!$B$3:$B$5001,$A$295)))</f>
        <v/>
      </c>
      <c r="AG315" s="255" t="str">
        <f>IF(AG$3="","",IF(COUNTIFS(BD!$A$3:$A$5001,AG$3,BD!$B$3:$B$5001,$A$295,BD!$V$3:$V$5001,"&lt;&gt;")=0,"",SUMIFS(BD!$V$3:$V$5001,BD!$A$3:$A$5001,AG$3,BD!$B$3:$B$5001,$A$295)))</f>
        <v/>
      </c>
      <c r="AH315" s="255" t="str">
        <f>IF(AH$3="","",IF(COUNTIFS(BD!$A$3:$A$5001,AH$3,BD!$B$3:$B$5001,$A$295,BD!$V$3:$V$5001,"&lt;&gt;")=0,"",SUMIFS(BD!$V$3:$V$5001,BD!$A$3:$A$5001,AH$3,BD!$B$3:$B$5001,$A$295)))</f>
        <v/>
      </c>
      <c r="AI315" s="255" t="str">
        <f>IF(AI$3="","",IF(COUNTIFS(BD!$A$3:$A$5001,AI$3,BD!$B$3:$B$5001,$A$295,BD!$V$3:$V$5001,"&lt;&gt;")=0,"",SUMIFS(BD!$V$3:$V$5001,BD!$A$3:$A$5001,AI$3,BD!$B$3:$B$5001,$A$295)))</f>
        <v/>
      </c>
      <c r="AJ315" s="256" t="str">
        <f>IF(AJ$3="","",IF(COUNTIFS(BD!$A$3:$A$5001,AJ$3,BD!$B$3:$B$5001,$A$295,BD!$V$3:$V$5001,"&lt;&gt;")=0,"",SUMIFS(BD!$V$3:$V$5001,BD!$A$3:$A$5001,AJ$3,BD!$B$3:$B$5001,$A$295)))</f>
        <v/>
      </c>
      <c r="AK315" s="257" t="str">
        <f>IF(COUNT(F315:AJ315)=0,"",SUM(F315:AJ315))</f>
        <v/>
      </c>
    </row>
    <row r="316" ht="15.75" customHeight="1" hidden="1">
      <c r="A316" s="277"/>
      <c r="B316" s="274"/>
      <c r="C316" s="247" t="inlineStr">
        <is>
          <t xml:space="preserve">Folga</t>
        </is>
      </c>
      <c r="D316" s="248" t="str">
        <f>IFERROR(1/(1/INDEX(BD!$AF$44:$AZ$44,MATCH($A$295,BD!$AF$22:$AZ$22,0))),"")</f>
        <v/>
      </c>
      <c r="E316" s="249"/>
      <c r="F316" s="250" t="str">
        <f>IF(F$3="","",IF(COUNTIFS(BD!$A$3:$A$5001,F$3,BD!$B$3:$B$5001,$A$295,BD!$W$3:$W$5001,"&lt;&gt;")=0,"",SUMIFS(BD!$W$3:$W$5001,BD!$A$3:$A$5001,F$3,BD!$B$3:$B$5001,$A$295)))</f>
        <v/>
      </c>
      <c r="G316" s="251" t="str">
        <f>IF(G$3="","",IF(COUNTIFS(BD!$A$3:$A$5001,G$3,BD!$B$3:$B$5001,$A$295,BD!$W$3:$W$5001,"&lt;&gt;")=0,"",SUMIFS(BD!$W$3:$W$5001,BD!$A$3:$A$5001,G$3,BD!$B$3:$B$5001,$A$295)))</f>
        <v/>
      </c>
      <c r="H316" s="251" t="str">
        <f>IF(H$3="","",IF(COUNTIFS(BD!$A$3:$A$5001,H$3,BD!$B$3:$B$5001,$A$295,BD!$W$3:$W$5001,"&lt;&gt;")=0,"",SUMIFS(BD!$W$3:$W$5001,BD!$A$3:$A$5001,H$3,BD!$B$3:$B$5001,$A$295)))</f>
        <v/>
      </c>
      <c r="I316" s="251" t="str">
        <f>IF(I$3="","",IF(COUNTIFS(BD!$A$3:$A$5001,I$3,BD!$B$3:$B$5001,$A$295,BD!$W$3:$W$5001,"&lt;&gt;")=0,"",SUMIFS(BD!$W$3:$W$5001,BD!$A$3:$A$5001,I$3,BD!$B$3:$B$5001,$A$295)))</f>
        <v/>
      </c>
      <c r="J316" s="251" t="str">
        <f>IF(J$3="","",IF(COUNTIFS(BD!$A$3:$A$5001,J$3,BD!$B$3:$B$5001,$A$295,BD!$W$3:$W$5001,"&lt;&gt;")=0,"",SUMIFS(BD!$W$3:$W$5001,BD!$A$3:$A$5001,J$3,BD!$B$3:$B$5001,$A$295)))</f>
        <v/>
      </c>
      <c r="K316" s="251" t="str">
        <f>IF(K$3="","",IF(COUNTIFS(BD!$A$3:$A$5001,K$3,BD!$B$3:$B$5001,$A$295,BD!$W$3:$W$5001,"&lt;&gt;")=0,"",SUMIFS(BD!$W$3:$W$5001,BD!$A$3:$A$5001,K$3,BD!$B$3:$B$5001,$A$295)))</f>
        <v/>
      </c>
      <c r="L316" s="251" t="str">
        <f>IF(L$3="","",IF(COUNTIFS(BD!$A$3:$A$5001,L$3,BD!$B$3:$B$5001,$A$295,BD!$W$3:$W$5001,"&lt;&gt;")=0,"",SUMIFS(BD!$W$3:$W$5001,BD!$A$3:$A$5001,L$3,BD!$B$3:$B$5001,$A$295)))</f>
        <v/>
      </c>
      <c r="M316" s="251" t="str">
        <f>IF(M$3="","",IF(COUNTIFS(BD!$A$3:$A$5001,M$3,BD!$B$3:$B$5001,$A$295,BD!$W$3:$W$5001,"&lt;&gt;")=0,"",SUMIFS(BD!$W$3:$W$5001,BD!$A$3:$A$5001,M$3,BD!$B$3:$B$5001,$A$295)))</f>
        <v/>
      </c>
      <c r="N316" s="251" t="str">
        <f>IF(N$3="","",IF(COUNTIFS(BD!$A$3:$A$5001,N$3,BD!$B$3:$B$5001,$A$295,BD!$W$3:$W$5001,"&lt;&gt;")=0,"",SUMIFS(BD!$W$3:$W$5001,BD!$A$3:$A$5001,N$3,BD!$B$3:$B$5001,$A$295)))</f>
        <v/>
      </c>
      <c r="O316" s="251" t="str">
        <f>IF(O$3="","",IF(COUNTIFS(BD!$A$3:$A$5001,O$3,BD!$B$3:$B$5001,$A$295,BD!$W$3:$W$5001,"&lt;&gt;")=0,"",SUMIFS(BD!$W$3:$W$5001,BD!$A$3:$A$5001,O$3,BD!$B$3:$B$5001,$A$295)))</f>
        <v/>
      </c>
      <c r="P316" s="251" t="str">
        <f>IF(P$3="","",IF(COUNTIFS(BD!$A$3:$A$5001,P$3,BD!$B$3:$B$5001,$A$295,BD!$W$3:$W$5001,"&lt;&gt;")=0,"",SUMIFS(BD!$W$3:$W$5001,BD!$A$3:$A$5001,P$3,BD!$B$3:$B$5001,$A$295)))</f>
        <v/>
      </c>
      <c r="Q316" s="251" t="str">
        <f>IF(Q$3="","",IF(COUNTIFS(BD!$A$3:$A$5001,Q$3,BD!$B$3:$B$5001,$A$295,BD!$W$3:$W$5001,"&lt;&gt;")=0,"",SUMIFS(BD!$W$3:$W$5001,BD!$A$3:$A$5001,Q$3,BD!$B$3:$B$5001,$A$295)))</f>
        <v/>
      </c>
      <c r="R316" s="251" t="str">
        <f>IF(R$3="","",IF(COUNTIFS(BD!$A$3:$A$5001,R$3,BD!$B$3:$B$5001,$A$295,BD!$W$3:$W$5001,"&lt;&gt;")=0,"",SUMIFS(BD!$W$3:$W$5001,BD!$A$3:$A$5001,R$3,BD!$B$3:$B$5001,$A$295)))</f>
        <v/>
      </c>
      <c r="S316" s="251" t="str">
        <f>IF(S$3="","",IF(COUNTIFS(BD!$A$3:$A$5001,S$3,BD!$B$3:$B$5001,$A$295,BD!$W$3:$W$5001,"&lt;&gt;")=0,"",SUMIFS(BD!$W$3:$W$5001,BD!$A$3:$A$5001,S$3,BD!$B$3:$B$5001,$A$295)))</f>
        <v/>
      </c>
      <c r="T316" s="251" t="str">
        <f>IF(T$3="","",IF(COUNTIFS(BD!$A$3:$A$5001,T$3,BD!$B$3:$B$5001,$A$295,BD!$W$3:$W$5001,"&lt;&gt;")=0,"",SUMIFS(BD!$W$3:$W$5001,BD!$A$3:$A$5001,T$3,BD!$B$3:$B$5001,$A$295)))</f>
        <v/>
      </c>
      <c r="U316" s="251" t="str">
        <f>IF(U$3="","",IF(COUNTIFS(BD!$A$3:$A$5001,U$3,BD!$B$3:$B$5001,$A$295,BD!$W$3:$W$5001,"&lt;&gt;")=0,"",SUMIFS(BD!$W$3:$W$5001,BD!$A$3:$A$5001,U$3,BD!$B$3:$B$5001,$A$295)))</f>
        <v/>
      </c>
      <c r="V316" s="251" t="str">
        <f>IF(V$3="","",IF(COUNTIFS(BD!$A$3:$A$5001,V$3,BD!$B$3:$B$5001,$A$295,BD!$W$3:$W$5001,"&lt;&gt;")=0,"",SUMIFS(BD!$W$3:$W$5001,BD!$A$3:$A$5001,V$3,BD!$B$3:$B$5001,$A$295)))</f>
        <v/>
      </c>
      <c r="W316" s="251" t="str">
        <f>IF(W$3="","",IF(COUNTIFS(BD!$A$3:$A$5001,W$3,BD!$B$3:$B$5001,$A$295,BD!$W$3:$W$5001,"&lt;&gt;")=0,"",SUMIFS(BD!$W$3:$W$5001,BD!$A$3:$A$5001,W$3,BD!$B$3:$B$5001,$A$295)))</f>
        <v/>
      </c>
      <c r="X316" s="251" t="str">
        <f>IF(X$3="","",IF(COUNTIFS(BD!$A$3:$A$5001,X$3,BD!$B$3:$B$5001,$A$295,BD!$W$3:$W$5001,"&lt;&gt;")=0,"",SUMIFS(BD!$W$3:$W$5001,BD!$A$3:$A$5001,X$3,BD!$B$3:$B$5001,$A$295)))</f>
        <v/>
      </c>
      <c r="Y316" s="251" t="str">
        <f>IF(Y$3="","",IF(COUNTIFS(BD!$A$3:$A$5001,Y$3,BD!$B$3:$B$5001,$A$295,BD!$W$3:$W$5001,"&lt;&gt;")=0,"",SUMIFS(BD!$W$3:$W$5001,BD!$A$3:$A$5001,Y$3,BD!$B$3:$B$5001,$A$295)))</f>
        <v/>
      </c>
      <c r="Z316" s="251" t="str">
        <f>IF(Z$3="","",IF(COUNTIFS(BD!$A$3:$A$5001,Z$3,BD!$B$3:$B$5001,$A$295,BD!$W$3:$W$5001,"&lt;&gt;")=0,"",SUMIFS(BD!$W$3:$W$5001,BD!$A$3:$A$5001,Z$3,BD!$B$3:$B$5001,$A$295)))</f>
        <v/>
      </c>
      <c r="AA316" s="251" t="str">
        <f>IF(AA$3="","",IF(COUNTIFS(BD!$A$3:$A$5001,AA$3,BD!$B$3:$B$5001,$A$295,BD!$W$3:$W$5001,"&lt;&gt;")=0,"",SUMIFS(BD!$W$3:$W$5001,BD!$A$3:$A$5001,AA$3,BD!$B$3:$B$5001,$A$295)))</f>
        <v/>
      </c>
      <c r="AB316" s="251" t="str">
        <f>IF(AB$3="","",IF(COUNTIFS(BD!$A$3:$A$5001,AB$3,BD!$B$3:$B$5001,$A$295,BD!$W$3:$W$5001,"&lt;&gt;")=0,"",SUMIFS(BD!$W$3:$W$5001,BD!$A$3:$A$5001,AB$3,BD!$B$3:$B$5001,$A$295)))</f>
        <v/>
      </c>
      <c r="AC316" s="251" t="str">
        <f>IF(AC$3="","",IF(COUNTIFS(BD!$A$3:$A$5001,AC$3,BD!$B$3:$B$5001,$A$295,BD!$W$3:$W$5001,"&lt;&gt;")=0,"",SUMIFS(BD!$W$3:$W$5001,BD!$A$3:$A$5001,AC$3,BD!$B$3:$B$5001,$A$295)))</f>
        <v/>
      </c>
      <c r="AD316" s="251" t="str">
        <f>IF(AD$3="","",IF(COUNTIFS(BD!$A$3:$A$5001,AD$3,BD!$B$3:$B$5001,$A$295,BD!$W$3:$W$5001,"&lt;&gt;")=0,"",SUMIFS(BD!$W$3:$W$5001,BD!$A$3:$A$5001,AD$3,BD!$B$3:$B$5001,$A$295)))</f>
        <v/>
      </c>
      <c r="AE316" s="251" t="str">
        <f>IF(AE$3="","",IF(COUNTIFS(BD!$A$3:$A$5001,AE$3,BD!$B$3:$B$5001,$A$295,BD!$W$3:$W$5001,"&lt;&gt;")=0,"",SUMIFS(BD!$W$3:$W$5001,BD!$A$3:$A$5001,AE$3,BD!$B$3:$B$5001,$A$295)))</f>
        <v/>
      </c>
      <c r="AF316" s="251" t="str">
        <f>IF(AF$3="","",IF(COUNTIFS(BD!$A$3:$A$5001,AF$3,BD!$B$3:$B$5001,$A$295,BD!$W$3:$W$5001,"&lt;&gt;")=0,"",SUMIFS(BD!$W$3:$W$5001,BD!$A$3:$A$5001,AF$3,BD!$B$3:$B$5001,$A$295)))</f>
        <v/>
      </c>
      <c r="AG316" s="251" t="str">
        <f>IF(AG$3="","",IF(COUNTIFS(BD!$A$3:$A$5001,AG$3,BD!$B$3:$B$5001,$A$295,BD!$W$3:$W$5001,"&lt;&gt;")=0,"",SUMIFS(BD!$W$3:$W$5001,BD!$A$3:$A$5001,AG$3,BD!$B$3:$B$5001,$A$295)))</f>
        <v/>
      </c>
      <c r="AH316" s="251" t="str">
        <f>IF(AH$3="","",IF(COUNTIFS(BD!$A$3:$A$5001,AH$3,BD!$B$3:$B$5001,$A$295,BD!$W$3:$W$5001,"&lt;&gt;")=0,"",SUMIFS(BD!$W$3:$W$5001,BD!$A$3:$A$5001,AH$3,BD!$B$3:$B$5001,$A$295)))</f>
        <v/>
      </c>
      <c r="AI316" s="251" t="str">
        <f>IF(AI$3="","",IF(COUNTIFS(BD!$A$3:$A$5001,AI$3,BD!$B$3:$B$5001,$A$295,BD!$W$3:$W$5001,"&lt;&gt;")=0,"",SUMIFS(BD!$W$3:$W$5001,BD!$A$3:$A$5001,AI$3,BD!$B$3:$B$5001,$A$295)))</f>
        <v/>
      </c>
      <c r="AJ316" s="252" t="str">
        <f>IF(AJ$3="","",IF(COUNTIFS(BD!$A$3:$A$5001,AJ$3,BD!$B$3:$B$5001,$A$295,BD!$W$3:$W$5001,"&lt;&gt;")=0,"",SUMIFS(BD!$W$3:$W$5001,BD!$A$3:$A$5001,AJ$3,BD!$B$3:$B$5001,$A$295)))</f>
        <v/>
      </c>
      <c r="AK316" s="253" t="str">
        <f>IF(COUNT(F316:AJ316)=0,"",SUM(F316:AJ316))</f>
        <v/>
      </c>
    </row>
    <row r="317" ht="15.75" customHeight="1" hidden="1">
      <c r="A317" s="277"/>
      <c r="B317" s="274"/>
      <c r="C317" s="247" t="inlineStr">
        <is>
          <t xml:space="preserve">Férias</t>
        </is>
      </c>
      <c r="D317" s="248" t="str">
        <f>IFERROR(1/(1/INDEX(BD!$AF$45:$AZ$45,MATCH($A$295,BD!$AF$22:$AZ$22,0))),"")</f>
        <v/>
      </c>
      <c r="E317" s="249"/>
      <c r="F317" s="250" t="str">
        <f>IF(F$3="","",IF(COUNTIFS(BD!$A$3:$A$5001,F$3,BD!$B$3:$B$5001,$A$295,BD!$X$3:$X$5001,"&lt;&gt;")=0,"",SUMIFS(BD!$X$3:$X$5001,BD!$A$3:$A$5001,F$3,BD!$B$3:$B$5001,$A$295)))</f>
        <v/>
      </c>
      <c r="G317" s="251" t="str">
        <f>IF(G$3="","",IF(COUNTIFS(BD!$A$3:$A$5001,G$3,BD!$B$3:$B$5001,$A$295,BD!$X$3:$X$5001,"&lt;&gt;")=0,"",SUMIFS(BD!$X$3:$X$5001,BD!$A$3:$A$5001,G$3,BD!$B$3:$B$5001,$A$295)))</f>
        <v/>
      </c>
      <c r="H317" s="251" t="str">
        <f>IF(H$3="","",IF(COUNTIFS(BD!$A$3:$A$5001,H$3,BD!$B$3:$B$5001,$A$295,BD!$X$3:$X$5001,"&lt;&gt;")=0,"",SUMIFS(BD!$X$3:$X$5001,BD!$A$3:$A$5001,H$3,BD!$B$3:$B$5001,$A$295)))</f>
        <v/>
      </c>
      <c r="I317" s="251" t="str">
        <f>IF(I$3="","",IF(COUNTIFS(BD!$A$3:$A$5001,I$3,BD!$B$3:$B$5001,$A$295,BD!$X$3:$X$5001,"&lt;&gt;")=0,"",SUMIFS(BD!$X$3:$X$5001,BD!$A$3:$A$5001,I$3,BD!$B$3:$B$5001,$A$295)))</f>
        <v/>
      </c>
      <c r="J317" s="251" t="str">
        <f>IF(J$3="","",IF(COUNTIFS(BD!$A$3:$A$5001,J$3,BD!$B$3:$B$5001,$A$295,BD!$X$3:$X$5001,"&lt;&gt;")=0,"",SUMIFS(BD!$X$3:$X$5001,BD!$A$3:$A$5001,J$3,BD!$B$3:$B$5001,$A$295)))</f>
        <v/>
      </c>
      <c r="K317" s="251" t="str">
        <f>IF(K$3="","",IF(COUNTIFS(BD!$A$3:$A$5001,K$3,BD!$B$3:$B$5001,$A$295,BD!$X$3:$X$5001,"&lt;&gt;")=0,"",SUMIFS(BD!$X$3:$X$5001,BD!$A$3:$A$5001,K$3,BD!$B$3:$B$5001,$A$295)))</f>
        <v/>
      </c>
      <c r="L317" s="251" t="str">
        <f>IF(L$3="","",IF(COUNTIFS(BD!$A$3:$A$5001,L$3,BD!$B$3:$B$5001,$A$295,BD!$X$3:$X$5001,"&lt;&gt;")=0,"",SUMIFS(BD!$X$3:$X$5001,BD!$A$3:$A$5001,L$3,BD!$B$3:$B$5001,$A$295)))</f>
        <v/>
      </c>
      <c r="M317" s="251" t="str">
        <f>IF(M$3="","",IF(COUNTIFS(BD!$A$3:$A$5001,M$3,BD!$B$3:$B$5001,$A$295,BD!$X$3:$X$5001,"&lt;&gt;")=0,"",SUMIFS(BD!$X$3:$X$5001,BD!$A$3:$A$5001,M$3,BD!$B$3:$B$5001,$A$295)))</f>
        <v/>
      </c>
      <c r="N317" s="251" t="str">
        <f>IF(N$3="","",IF(COUNTIFS(BD!$A$3:$A$5001,N$3,BD!$B$3:$B$5001,$A$295,BD!$X$3:$X$5001,"&lt;&gt;")=0,"",SUMIFS(BD!$X$3:$X$5001,BD!$A$3:$A$5001,N$3,BD!$B$3:$B$5001,$A$295)))</f>
        <v/>
      </c>
      <c r="O317" s="251" t="str">
        <f>IF(O$3="","",IF(COUNTIFS(BD!$A$3:$A$5001,O$3,BD!$B$3:$B$5001,$A$295,BD!$X$3:$X$5001,"&lt;&gt;")=0,"",SUMIFS(BD!$X$3:$X$5001,BD!$A$3:$A$5001,O$3,BD!$B$3:$B$5001,$A$295)))</f>
        <v/>
      </c>
      <c r="P317" s="251" t="str">
        <f>IF(P$3="","",IF(COUNTIFS(BD!$A$3:$A$5001,P$3,BD!$B$3:$B$5001,$A$295,BD!$X$3:$X$5001,"&lt;&gt;")=0,"",SUMIFS(BD!$X$3:$X$5001,BD!$A$3:$A$5001,P$3,BD!$B$3:$B$5001,$A$295)))</f>
        <v/>
      </c>
      <c r="Q317" s="251" t="str">
        <f>IF(Q$3="","",IF(COUNTIFS(BD!$A$3:$A$5001,Q$3,BD!$B$3:$B$5001,$A$295,BD!$X$3:$X$5001,"&lt;&gt;")=0,"",SUMIFS(BD!$X$3:$X$5001,BD!$A$3:$A$5001,Q$3,BD!$B$3:$B$5001,$A$295)))</f>
        <v/>
      </c>
      <c r="R317" s="251" t="str">
        <f>IF(R$3="","",IF(COUNTIFS(BD!$A$3:$A$5001,R$3,BD!$B$3:$B$5001,$A$295,BD!$X$3:$X$5001,"&lt;&gt;")=0,"",SUMIFS(BD!$X$3:$X$5001,BD!$A$3:$A$5001,R$3,BD!$B$3:$B$5001,$A$295)))</f>
        <v/>
      </c>
      <c r="S317" s="251" t="str">
        <f>IF(S$3="","",IF(COUNTIFS(BD!$A$3:$A$5001,S$3,BD!$B$3:$B$5001,$A$295,BD!$X$3:$X$5001,"&lt;&gt;")=0,"",SUMIFS(BD!$X$3:$X$5001,BD!$A$3:$A$5001,S$3,BD!$B$3:$B$5001,$A$295)))</f>
        <v/>
      </c>
      <c r="T317" s="251" t="str">
        <f>IF(T$3="","",IF(COUNTIFS(BD!$A$3:$A$5001,T$3,BD!$B$3:$B$5001,$A$295,BD!$X$3:$X$5001,"&lt;&gt;")=0,"",SUMIFS(BD!$X$3:$X$5001,BD!$A$3:$A$5001,T$3,BD!$B$3:$B$5001,$A$295)))</f>
        <v/>
      </c>
      <c r="U317" s="251" t="str">
        <f>IF(U$3="","",IF(COUNTIFS(BD!$A$3:$A$5001,U$3,BD!$B$3:$B$5001,$A$295,BD!$X$3:$X$5001,"&lt;&gt;")=0,"",SUMIFS(BD!$X$3:$X$5001,BD!$A$3:$A$5001,U$3,BD!$B$3:$B$5001,$A$295)))</f>
        <v/>
      </c>
      <c r="V317" s="251" t="str">
        <f>IF(V$3="","",IF(COUNTIFS(BD!$A$3:$A$5001,V$3,BD!$B$3:$B$5001,$A$295,BD!$X$3:$X$5001,"&lt;&gt;")=0,"",SUMIFS(BD!$X$3:$X$5001,BD!$A$3:$A$5001,V$3,BD!$B$3:$B$5001,$A$295)))</f>
        <v/>
      </c>
      <c r="W317" s="251" t="str">
        <f>IF(W$3="","",IF(COUNTIFS(BD!$A$3:$A$5001,W$3,BD!$B$3:$B$5001,$A$295,BD!$X$3:$X$5001,"&lt;&gt;")=0,"",SUMIFS(BD!$X$3:$X$5001,BD!$A$3:$A$5001,W$3,BD!$B$3:$B$5001,$A$295)))</f>
        <v/>
      </c>
      <c r="X317" s="251" t="str">
        <f>IF(X$3="","",IF(COUNTIFS(BD!$A$3:$A$5001,X$3,BD!$B$3:$B$5001,$A$295,BD!$X$3:$X$5001,"&lt;&gt;")=0,"",SUMIFS(BD!$X$3:$X$5001,BD!$A$3:$A$5001,X$3,BD!$B$3:$B$5001,$A$295)))</f>
        <v/>
      </c>
      <c r="Y317" s="251" t="str">
        <f>IF(Y$3="","",IF(COUNTIFS(BD!$A$3:$A$5001,Y$3,BD!$B$3:$B$5001,$A$295,BD!$X$3:$X$5001,"&lt;&gt;")=0,"",SUMIFS(BD!$X$3:$X$5001,BD!$A$3:$A$5001,Y$3,BD!$B$3:$B$5001,$A$295)))</f>
        <v/>
      </c>
      <c r="Z317" s="251" t="str">
        <f>IF(Z$3="","",IF(COUNTIFS(BD!$A$3:$A$5001,Z$3,BD!$B$3:$B$5001,$A$295,BD!$X$3:$X$5001,"&lt;&gt;")=0,"",SUMIFS(BD!$X$3:$X$5001,BD!$A$3:$A$5001,Z$3,BD!$B$3:$B$5001,$A$295)))</f>
        <v/>
      </c>
      <c r="AA317" s="251" t="str">
        <f>IF(AA$3="","",IF(COUNTIFS(BD!$A$3:$A$5001,AA$3,BD!$B$3:$B$5001,$A$295,BD!$X$3:$X$5001,"&lt;&gt;")=0,"",SUMIFS(BD!$X$3:$X$5001,BD!$A$3:$A$5001,AA$3,BD!$B$3:$B$5001,$A$295)))</f>
        <v/>
      </c>
      <c r="AB317" s="251" t="str">
        <f>IF(AB$3="","",IF(COUNTIFS(BD!$A$3:$A$5001,AB$3,BD!$B$3:$B$5001,$A$295,BD!$X$3:$X$5001,"&lt;&gt;")=0,"",SUMIFS(BD!$X$3:$X$5001,BD!$A$3:$A$5001,AB$3,BD!$B$3:$B$5001,$A$295)))</f>
        <v/>
      </c>
      <c r="AC317" s="251" t="str">
        <f>IF(AC$3="","",IF(COUNTIFS(BD!$A$3:$A$5001,AC$3,BD!$B$3:$B$5001,$A$295,BD!$X$3:$X$5001,"&lt;&gt;")=0,"",SUMIFS(BD!$X$3:$X$5001,BD!$A$3:$A$5001,AC$3,BD!$B$3:$B$5001,$A$295)))</f>
        <v/>
      </c>
      <c r="AD317" s="251" t="str">
        <f>IF(AD$3="","",IF(COUNTIFS(BD!$A$3:$A$5001,AD$3,BD!$B$3:$B$5001,$A$295,BD!$X$3:$X$5001,"&lt;&gt;")=0,"",SUMIFS(BD!$X$3:$X$5001,BD!$A$3:$A$5001,AD$3,BD!$B$3:$B$5001,$A$295)))</f>
        <v/>
      </c>
      <c r="AE317" s="251" t="str">
        <f>IF(AE$3="","",IF(COUNTIFS(BD!$A$3:$A$5001,AE$3,BD!$B$3:$B$5001,$A$295,BD!$X$3:$X$5001,"&lt;&gt;")=0,"",SUMIFS(BD!$X$3:$X$5001,BD!$A$3:$A$5001,AE$3,BD!$B$3:$B$5001,$A$295)))</f>
        <v/>
      </c>
      <c r="AF317" s="251" t="str">
        <f>IF(AF$3="","",IF(COUNTIFS(BD!$A$3:$A$5001,AF$3,BD!$B$3:$B$5001,$A$295,BD!$X$3:$X$5001,"&lt;&gt;")=0,"",SUMIFS(BD!$X$3:$X$5001,BD!$A$3:$A$5001,AF$3,BD!$B$3:$B$5001,$A$295)))</f>
        <v/>
      </c>
      <c r="AG317" s="251" t="str">
        <f>IF(AG$3="","",IF(COUNTIFS(BD!$A$3:$A$5001,AG$3,BD!$B$3:$B$5001,$A$295,BD!$X$3:$X$5001,"&lt;&gt;")=0,"",SUMIFS(BD!$X$3:$X$5001,BD!$A$3:$A$5001,AG$3,BD!$B$3:$B$5001,$A$295)))</f>
        <v/>
      </c>
      <c r="AH317" s="251" t="str">
        <f>IF(AH$3="","",IF(COUNTIFS(BD!$A$3:$A$5001,AH$3,BD!$B$3:$B$5001,$A$295,BD!$X$3:$X$5001,"&lt;&gt;")=0,"",SUMIFS(BD!$X$3:$X$5001,BD!$A$3:$A$5001,AH$3,BD!$B$3:$B$5001,$A$295)))</f>
        <v/>
      </c>
      <c r="AI317" s="251" t="str">
        <f>IF(AI$3="","",IF(COUNTIFS(BD!$A$3:$A$5001,AI$3,BD!$B$3:$B$5001,$A$295,BD!$X$3:$X$5001,"&lt;&gt;")=0,"",SUMIFS(BD!$X$3:$X$5001,BD!$A$3:$A$5001,AI$3,BD!$B$3:$B$5001,$A$295)))</f>
        <v/>
      </c>
      <c r="AJ317" s="252" t="str">
        <f>IF(AJ$3="","",IF(COUNTIFS(BD!$A$3:$A$5001,AJ$3,BD!$B$3:$B$5001,$A$295,BD!$X$3:$X$5001,"&lt;&gt;")=0,"",SUMIFS(BD!$X$3:$X$5001,BD!$A$3:$A$5001,AJ$3,BD!$B$3:$B$5001,$A$295)))</f>
        <v/>
      </c>
      <c r="AK317" s="253" t="str">
        <f>IF(COUNT(F317:AJ317)=0,"",SUM(F317:AJ317))</f>
        <v/>
      </c>
    </row>
    <row r="318" ht="15.75" customHeight="1" hidden="1">
      <c r="A318" s="277"/>
      <c r="B318" s="274"/>
      <c r="C318" s="247" t="inlineStr">
        <is>
          <t xml:space="preserve">Desligamento</t>
        </is>
      </c>
      <c r="D318" s="248" t="str">
        <f>IFERROR(1/(1/INDEX(BD!$AF$46:$AZ$46,MATCH($A$295,BD!$AF$22:$AZ$22,0))),"")</f>
        <v/>
      </c>
      <c r="E318" s="249"/>
      <c r="F318" s="250" t="str">
        <f>IF(F$3="","",IF(COUNTIFS(BD!$A$3:$A$5001,F$3,BD!$B$3:$B$5001,$A$295,BD!$Y$3:$Y$5001,"&lt;&gt;")=0,"",SUMIFS(BD!$Y$3:$Y$5001,BD!$A$3:$A$5001,F$3,BD!$B$3:$B$5001,$A$295)))</f>
        <v/>
      </c>
      <c r="G318" s="251" t="str">
        <f>IF(G$3="","",IF(COUNTIFS(BD!$A$3:$A$5001,G$3,BD!$B$3:$B$5001,$A$295,BD!$Y$3:$Y$5001,"&lt;&gt;")=0,"",SUMIFS(BD!$Y$3:$Y$5001,BD!$A$3:$A$5001,G$3,BD!$B$3:$B$5001,$A$295)))</f>
        <v/>
      </c>
      <c r="H318" s="251" t="str">
        <f>IF(H$3="","",IF(COUNTIFS(BD!$A$3:$A$5001,H$3,BD!$B$3:$B$5001,$A$295,BD!$Y$3:$Y$5001,"&lt;&gt;")=0,"",SUMIFS(BD!$Y$3:$Y$5001,BD!$A$3:$A$5001,H$3,BD!$B$3:$B$5001,$A$295)))</f>
        <v/>
      </c>
      <c r="I318" s="251" t="str">
        <f>IF(I$3="","",IF(COUNTIFS(BD!$A$3:$A$5001,I$3,BD!$B$3:$B$5001,$A$295,BD!$Y$3:$Y$5001,"&lt;&gt;")=0,"",SUMIFS(BD!$Y$3:$Y$5001,BD!$A$3:$A$5001,I$3,BD!$B$3:$B$5001,$A$295)))</f>
        <v/>
      </c>
      <c r="J318" s="251" t="str">
        <f>IF(J$3="","",IF(COUNTIFS(BD!$A$3:$A$5001,J$3,BD!$B$3:$B$5001,$A$295,BD!$Y$3:$Y$5001,"&lt;&gt;")=0,"",SUMIFS(BD!$Y$3:$Y$5001,BD!$A$3:$A$5001,J$3,BD!$B$3:$B$5001,$A$295)))</f>
        <v/>
      </c>
      <c r="K318" s="251" t="str">
        <f>IF(K$3="","",IF(COUNTIFS(BD!$A$3:$A$5001,K$3,BD!$B$3:$B$5001,$A$295,BD!$Y$3:$Y$5001,"&lt;&gt;")=0,"",SUMIFS(BD!$Y$3:$Y$5001,BD!$A$3:$A$5001,K$3,BD!$B$3:$B$5001,$A$295)))</f>
        <v/>
      </c>
      <c r="L318" s="251" t="str">
        <f>IF(L$3="","",IF(COUNTIFS(BD!$A$3:$A$5001,L$3,BD!$B$3:$B$5001,$A$295,BD!$Y$3:$Y$5001,"&lt;&gt;")=0,"",SUMIFS(BD!$Y$3:$Y$5001,BD!$A$3:$A$5001,L$3,BD!$B$3:$B$5001,$A$295)))</f>
        <v/>
      </c>
      <c r="M318" s="251" t="str">
        <f>IF(M$3="","",IF(COUNTIFS(BD!$A$3:$A$5001,M$3,BD!$B$3:$B$5001,$A$295,BD!$Y$3:$Y$5001,"&lt;&gt;")=0,"",SUMIFS(BD!$Y$3:$Y$5001,BD!$A$3:$A$5001,M$3,BD!$B$3:$B$5001,$A$295)))</f>
        <v/>
      </c>
      <c r="N318" s="251" t="str">
        <f>IF(N$3="","",IF(COUNTIFS(BD!$A$3:$A$5001,N$3,BD!$B$3:$B$5001,$A$295,BD!$Y$3:$Y$5001,"&lt;&gt;")=0,"",SUMIFS(BD!$Y$3:$Y$5001,BD!$A$3:$A$5001,N$3,BD!$B$3:$B$5001,$A$295)))</f>
        <v/>
      </c>
      <c r="O318" s="251" t="str">
        <f>IF(O$3="","",IF(COUNTIFS(BD!$A$3:$A$5001,O$3,BD!$B$3:$B$5001,$A$295,BD!$Y$3:$Y$5001,"&lt;&gt;")=0,"",SUMIFS(BD!$Y$3:$Y$5001,BD!$A$3:$A$5001,O$3,BD!$B$3:$B$5001,$A$295)))</f>
        <v/>
      </c>
      <c r="P318" s="251" t="str">
        <f>IF(P$3="","",IF(COUNTIFS(BD!$A$3:$A$5001,P$3,BD!$B$3:$B$5001,$A$295,BD!$Y$3:$Y$5001,"&lt;&gt;")=0,"",SUMIFS(BD!$Y$3:$Y$5001,BD!$A$3:$A$5001,P$3,BD!$B$3:$B$5001,$A$295)))</f>
        <v/>
      </c>
      <c r="Q318" s="251" t="str">
        <f>IF(Q$3="","",IF(COUNTIFS(BD!$A$3:$A$5001,Q$3,BD!$B$3:$B$5001,$A$295,BD!$Y$3:$Y$5001,"&lt;&gt;")=0,"",SUMIFS(BD!$Y$3:$Y$5001,BD!$A$3:$A$5001,Q$3,BD!$B$3:$B$5001,$A$295)))</f>
        <v/>
      </c>
      <c r="R318" s="251" t="str">
        <f>IF(R$3="","",IF(COUNTIFS(BD!$A$3:$A$5001,R$3,BD!$B$3:$B$5001,$A$295,BD!$Y$3:$Y$5001,"&lt;&gt;")=0,"",SUMIFS(BD!$Y$3:$Y$5001,BD!$A$3:$A$5001,R$3,BD!$B$3:$B$5001,$A$295)))</f>
        <v/>
      </c>
      <c r="S318" s="251" t="str">
        <f>IF(S$3="","",IF(COUNTIFS(BD!$A$3:$A$5001,S$3,BD!$B$3:$B$5001,$A$295,BD!$Y$3:$Y$5001,"&lt;&gt;")=0,"",SUMIFS(BD!$Y$3:$Y$5001,BD!$A$3:$A$5001,S$3,BD!$B$3:$B$5001,$A$295)))</f>
        <v/>
      </c>
      <c r="T318" s="251" t="str">
        <f>IF(T$3="","",IF(COUNTIFS(BD!$A$3:$A$5001,T$3,BD!$B$3:$B$5001,$A$295,BD!$Y$3:$Y$5001,"&lt;&gt;")=0,"",SUMIFS(BD!$Y$3:$Y$5001,BD!$A$3:$A$5001,T$3,BD!$B$3:$B$5001,$A$295)))</f>
        <v/>
      </c>
      <c r="U318" s="251" t="str">
        <f>IF(U$3="","",IF(COUNTIFS(BD!$A$3:$A$5001,U$3,BD!$B$3:$B$5001,$A$295,BD!$Y$3:$Y$5001,"&lt;&gt;")=0,"",SUMIFS(BD!$Y$3:$Y$5001,BD!$A$3:$A$5001,U$3,BD!$B$3:$B$5001,$A$295)))</f>
        <v/>
      </c>
      <c r="V318" s="251" t="str">
        <f>IF(V$3="","",IF(COUNTIFS(BD!$A$3:$A$5001,V$3,BD!$B$3:$B$5001,$A$295,BD!$Y$3:$Y$5001,"&lt;&gt;")=0,"",SUMIFS(BD!$Y$3:$Y$5001,BD!$A$3:$A$5001,V$3,BD!$B$3:$B$5001,$A$295)))</f>
        <v/>
      </c>
      <c r="W318" s="251" t="str">
        <f>IF(W$3="","",IF(COUNTIFS(BD!$A$3:$A$5001,W$3,BD!$B$3:$B$5001,$A$295,BD!$Y$3:$Y$5001,"&lt;&gt;")=0,"",SUMIFS(BD!$Y$3:$Y$5001,BD!$A$3:$A$5001,W$3,BD!$B$3:$B$5001,$A$295)))</f>
        <v/>
      </c>
      <c r="X318" s="251" t="str">
        <f>IF(X$3="","",IF(COUNTIFS(BD!$A$3:$A$5001,X$3,BD!$B$3:$B$5001,$A$295,BD!$Y$3:$Y$5001,"&lt;&gt;")=0,"",SUMIFS(BD!$Y$3:$Y$5001,BD!$A$3:$A$5001,X$3,BD!$B$3:$B$5001,$A$295)))</f>
        <v/>
      </c>
      <c r="Y318" s="251" t="str">
        <f>IF(Y$3="","",IF(COUNTIFS(BD!$A$3:$A$5001,Y$3,BD!$B$3:$B$5001,$A$295,BD!$Y$3:$Y$5001,"&lt;&gt;")=0,"",SUMIFS(BD!$Y$3:$Y$5001,BD!$A$3:$A$5001,Y$3,BD!$B$3:$B$5001,$A$295)))</f>
        <v/>
      </c>
      <c r="Z318" s="251" t="str">
        <f>IF(Z$3="","",IF(COUNTIFS(BD!$A$3:$A$5001,Z$3,BD!$B$3:$B$5001,$A$295,BD!$Y$3:$Y$5001,"&lt;&gt;")=0,"",SUMIFS(BD!$Y$3:$Y$5001,BD!$A$3:$A$5001,Z$3,BD!$B$3:$B$5001,$A$295)))</f>
        <v/>
      </c>
      <c r="AA318" s="251" t="str">
        <f>IF(AA$3="","",IF(COUNTIFS(BD!$A$3:$A$5001,AA$3,BD!$B$3:$B$5001,$A$295,BD!$Y$3:$Y$5001,"&lt;&gt;")=0,"",SUMIFS(BD!$Y$3:$Y$5001,BD!$A$3:$A$5001,AA$3,BD!$B$3:$B$5001,$A$295)))</f>
        <v/>
      </c>
      <c r="AB318" s="251" t="str">
        <f>IF(AB$3="","",IF(COUNTIFS(BD!$A$3:$A$5001,AB$3,BD!$B$3:$B$5001,$A$295,BD!$Y$3:$Y$5001,"&lt;&gt;")=0,"",SUMIFS(BD!$Y$3:$Y$5001,BD!$A$3:$A$5001,AB$3,BD!$B$3:$B$5001,$A$295)))</f>
        <v/>
      </c>
      <c r="AC318" s="251" t="str">
        <f>IF(AC$3="","",IF(COUNTIFS(BD!$A$3:$A$5001,AC$3,BD!$B$3:$B$5001,$A$295,BD!$Y$3:$Y$5001,"&lt;&gt;")=0,"",SUMIFS(BD!$Y$3:$Y$5001,BD!$A$3:$A$5001,AC$3,BD!$B$3:$B$5001,$A$295)))</f>
        <v/>
      </c>
      <c r="AD318" s="251" t="str">
        <f>IF(AD$3="","",IF(COUNTIFS(BD!$A$3:$A$5001,AD$3,BD!$B$3:$B$5001,$A$295,BD!$Y$3:$Y$5001,"&lt;&gt;")=0,"",SUMIFS(BD!$Y$3:$Y$5001,BD!$A$3:$A$5001,AD$3,BD!$B$3:$B$5001,$A$295)))</f>
        <v/>
      </c>
      <c r="AE318" s="251" t="str">
        <f>IF(AE$3="","",IF(COUNTIFS(BD!$A$3:$A$5001,AE$3,BD!$B$3:$B$5001,$A$295,BD!$Y$3:$Y$5001,"&lt;&gt;")=0,"",SUMIFS(BD!$Y$3:$Y$5001,BD!$A$3:$A$5001,AE$3,BD!$B$3:$B$5001,$A$295)))</f>
        <v/>
      </c>
      <c r="AF318" s="251" t="str">
        <f>IF(AF$3="","",IF(COUNTIFS(BD!$A$3:$A$5001,AF$3,BD!$B$3:$B$5001,$A$295,BD!$Y$3:$Y$5001,"&lt;&gt;")=0,"",SUMIFS(BD!$Y$3:$Y$5001,BD!$A$3:$A$5001,AF$3,BD!$B$3:$B$5001,$A$295)))</f>
        <v/>
      </c>
      <c r="AG318" s="251" t="str">
        <f>IF(AG$3="","",IF(COUNTIFS(BD!$A$3:$A$5001,AG$3,BD!$B$3:$B$5001,$A$295,BD!$Y$3:$Y$5001,"&lt;&gt;")=0,"",SUMIFS(BD!$Y$3:$Y$5001,BD!$A$3:$A$5001,AG$3,BD!$B$3:$B$5001,$A$295)))</f>
        <v/>
      </c>
      <c r="AH318" s="251" t="str">
        <f>IF(AH$3="","",IF(COUNTIFS(BD!$A$3:$A$5001,AH$3,BD!$B$3:$B$5001,$A$295,BD!$Y$3:$Y$5001,"&lt;&gt;")=0,"",SUMIFS(BD!$Y$3:$Y$5001,BD!$A$3:$A$5001,AH$3,BD!$B$3:$B$5001,$A$295)))</f>
        <v/>
      </c>
      <c r="AI318" s="251" t="str">
        <f>IF(AI$3="","",IF(COUNTIFS(BD!$A$3:$A$5001,AI$3,BD!$B$3:$B$5001,$A$295,BD!$Y$3:$Y$5001,"&lt;&gt;")=0,"",SUMIFS(BD!$Y$3:$Y$5001,BD!$A$3:$A$5001,AI$3,BD!$B$3:$B$5001,$A$295)))</f>
        <v/>
      </c>
      <c r="AJ318" s="252" t="str">
        <f>IF(AJ$3="","",IF(COUNTIFS(BD!$A$3:$A$5001,AJ$3,BD!$B$3:$B$5001,$A$295,BD!$Y$3:$Y$5001,"&lt;&gt;")=0,"",SUMIFS(BD!$Y$3:$Y$5001,BD!$A$3:$A$5001,AJ$3,BD!$B$3:$B$5001,$A$295)))</f>
        <v/>
      </c>
      <c r="AK318" s="253" t="str">
        <f>IF(COUNT(F318:AJ318)=0,"",SUM(F318:AJ318))</f>
        <v/>
      </c>
    </row>
    <row r="319" ht="15.75" customHeight="1" hidden="1">
      <c r="A319" s="277"/>
      <c r="B319" s="274"/>
      <c r="C319" s="247" t="inlineStr">
        <is>
          <t xml:space="preserve">Desvios Comportamentais</t>
        </is>
      </c>
      <c r="D319" s="248" t="str">
        <f>IFERROR(1/(1/INDEX(BD!$AF$47:$AZ$47,MATCH($A$295,BD!$AF$22:$AZ$22,0))),"")</f>
        <v/>
      </c>
      <c r="E319" s="249"/>
      <c r="F319" s="250" t="str">
        <f>IF(F$3="","",IF(COUNTIFS(BD!$A$3:$A$5001,F$3,BD!$B$3:$B$5001,$A$295,BD!$Z$3:$Z$5001,"&lt;&gt;")=0,"",SUMIFS(BD!$Z$3:$Z$5001,BD!$A$3:$A$5001,F$3,BD!$B$3:$B$5001,$A$295)))</f>
        <v/>
      </c>
      <c r="G319" s="251" t="str">
        <f>IF(G$3="","",IF(COUNTIFS(BD!$A$3:$A$5001,G$3,BD!$B$3:$B$5001,$A$295,BD!$Z$3:$Z$5001,"&lt;&gt;")=0,"",SUMIFS(BD!$Z$3:$Z$5001,BD!$A$3:$A$5001,G$3,BD!$B$3:$B$5001,$A$295)))</f>
        <v/>
      </c>
      <c r="H319" s="251" t="str">
        <f>IF(H$3="","",IF(COUNTIFS(BD!$A$3:$A$5001,H$3,BD!$B$3:$B$5001,$A$295,BD!$Z$3:$Z$5001,"&lt;&gt;")=0,"",SUMIFS(BD!$Z$3:$Z$5001,BD!$A$3:$A$5001,H$3,BD!$B$3:$B$5001,$A$295)))</f>
        <v/>
      </c>
      <c r="I319" s="251" t="str">
        <f>IF(I$3="","",IF(COUNTIFS(BD!$A$3:$A$5001,I$3,BD!$B$3:$B$5001,$A$295,BD!$Z$3:$Z$5001,"&lt;&gt;")=0,"",SUMIFS(BD!$Z$3:$Z$5001,BD!$A$3:$A$5001,I$3,BD!$B$3:$B$5001,$A$295)))</f>
        <v/>
      </c>
      <c r="J319" s="251" t="str">
        <f>IF(J$3="","",IF(COUNTIFS(BD!$A$3:$A$5001,J$3,BD!$B$3:$B$5001,$A$295,BD!$Z$3:$Z$5001,"&lt;&gt;")=0,"",SUMIFS(BD!$Z$3:$Z$5001,BD!$A$3:$A$5001,J$3,BD!$B$3:$B$5001,$A$295)))</f>
        <v/>
      </c>
      <c r="K319" s="251" t="str">
        <f>IF(K$3="","",IF(COUNTIFS(BD!$A$3:$A$5001,K$3,BD!$B$3:$B$5001,$A$295,BD!$Z$3:$Z$5001,"&lt;&gt;")=0,"",SUMIFS(BD!$Z$3:$Z$5001,BD!$A$3:$A$5001,K$3,BD!$B$3:$B$5001,$A$295)))</f>
        <v/>
      </c>
      <c r="L319" s="251" t="str">
        <f>IF(L$3="","",IF(COUNTIFS(BD!$A$3:$A$5001,L$3,BD!$B$3:$B$5001,$A$295,BD!$Z$3:$Z$5001,"&lt;&gt;")=0,"",SUMIFS(BD!$Z$3:$Z$5001,BD!$A$3:$A$5001,L$3,BD!$B$3:$B$5001,$A$295)))</f>
        <v/>
      </c>
      <c r="M319" s="251" t="str">
        <f>IF(M$3="","",IF(COUNTIFS(BD!$A$3:$A$5001,M$3,BD!$B$3:$B$5001,$A$295,BD!$Z$3:$Z$5001,"&lt;&gt;")=0,"",SUMIFS(BD!$Z$3:$Z$5001,BD!$A$3:$A$5001,M$3,BD!$B$3:$B$5001,$A$295)))</f>
        <v/>
      </c>
      <c r="N319" s="251" t="str">
        <f>IF(N$3="","",IF(COUNTIFS(BD!$A$3:$A$5001,N$3,BD!$B$3:$B$5001,$A$295,BD!$Z$3:$Z$5001,"&lt;&gt;")=0,"",SUMIFS(BD!$Z$3:$Z$5001,BD!$A$3:$A$5001,N$3,BD!$B$3:$B$5001,$A$295)))</f>
        <v/>
      </c>
      <c r="O319" s="251" t="str">
        <f>IF(O$3="","",IF(COUNTIFS(BD!$A$3:$A$5001,O$3,BD!$B$3:$B$5001,$A$295,BD!$Z$3:$Z$5001,"&lt;&gt;")=0,"",SUMIFS(BD!$Z$3:$Z$5001,BD!$A$3:$A$5001,O$3,BD!$B$3:$B$5001,$A$295)))</f>
        <v/>
      </c>
      <c r="P319" s="251" t="str">
        <f>IF(P$3="","",IF(COUNTIFS(BD!$A$3:$A$5001,P$3,BD!$B$3:$B$5001,$A$295,BD!$Z$3:$Z$5001,"&lt;&gt;")=0,"",SUMIFS(BD!$Z$3:$Z$5001,BD!$A$3:$A$5001,P$3,BD!$B$3:$B$5001,$A$295)))</f>
        <v/>
      </c>
      <c r="Q319" s="251" t="str">
        <f>IF(Q$3="","",IF(COUNTIFS(BD!$A$3:$A$5001,Q$3,BD!$B$3:$B$5001,$A$295,BD!$Z$3:$Z$5001,"&lt;&gt;")=0,"",SUMIFS(BD!$Z$3:$Z$5001,BD!$A$3:$A$5001,Q$3,BD!$B$3:$B$5001,$A$295)))</f>
        <v/>
      </c>
      <c r="R319" s="251" t="str">
        <f>IF(R$3="","",IF(COUNTIFS(BD!$A$3:$A$5001,R$3,BD!$B$3:$B$5001,$A$295,BD!$Z$3:$Z$5001,"&lt;&gt;")=0,"",SUMIFS(BD!$Z$3:$Z$5001,BD!$A$3:$A$5001,R$3,BD!$B$3:$B$5001,$A$295)))</f>
        <v/>
      </c>
      <c r="S319" s="251" t="str">
        <f>IF(S$3="","",IF(COUNTIFS(BD!$A$3:$A$5001,S$3,BD!$B$3:$B$5001,$A$295,BD!$Z$3:$Z$5001,"&lt;&gt;")=0,"",SUMIFS(BD!$Z$3:$Z$5001,BD!$A$3:$A$5001,S$3,BD!$B$3:$B$5001,$A$295)))</f>
        <v/>
      </c>
      <c r="T319" s="251" t="str">
        <f>IF(T$3="","",IF(COUNTIFS(BD!$A$3:$A$5001,T$3,BD!$B$3:$B$5001,$A$295,BD!$Z$3:$Z$5001,"&lt;&gt;")=0,"",SUMIFS(BD!$Z$3:$Z$5001,BD!$A$3:$A$5001,T$3,BD!$B$3:$B$5001,$A$295)))</f>
        <v/>
      </c>
      <c r="U319" s="251" t="str">
        <f>IF(U$3="","",IF(COUNTIFS(BD!$A$3:$A$5001,U$3,BD!$B$3:$B$5001,$A$295,BD!$Z$3:$Z$5001,"&lt;&gt;")=0,"",SUMIFS(BD!$Z$3:$Z$5001,BD!$A$3:$A$5001,U$3,BD!$B$3:$B$5001,$A$295)))</f>
        <v/>
      </c>
      <c r="V319" s="251" t="str">
        <f>IF(V$3="","",IF(COUNTIFS(BD!$A$3:$A$5001,V$3,BD!$B$3:$B$5001,$A$295,BD!$Z$3:$Z$5001,"&lt;&gt;")=0,"",SUMIFS(BD!$Z$3:$Z$5001,BD!$A$3:$A$5001,V$3,BD!$B$3:$B$5001,$A$295)))</f>
        <v/>
      </c>
      <c r="W319" s="251" t="str">
        <f>IF(W$3="","",IF(COUNTIFS(BD!$A$3:$A$5001,W$3,BD!$B$3:$B$5001,$A$295,BD!$Z$3:$Z$5001,"&lt;&gt;")=0,"",SUMIFS(BD!$Z$3:$Z$5001,BD!$A$3:$A$5001,W$3,BD!$B$3:$B$5001,$A$295)))</f>
        <v/>
      </c>
      <c r="X319" s="251" t="str">
        <f>IF(X$3="","",IF(COUNTIFS(BD!$A$3:$A$5001,X$3,BD!$B$3:$B$5001,$A$295,BD!$Z$3:$Z$5001,"&lt;&gt;")=0,"",SUMIFS(BD!$Z$3:$Z$5001,BD!$A$3:$A$5001,X$3,BD!$B$3:$B$5001,$A$295)))</f>
        <v/>
      </c>
      <c r="Y319" s="251" t="str">
        <f>IF(Y$3="","",IF(COUNTIFS(BD!$A$3:$A$5001,Y$3,BD!$B$3:$B$5001,$A$295,BD!$Z$3:$Z$5001,"&lt;&gt;")=0,"",SUMIFS(BD!$Z$3:$Z$5001,BD!$A$3:$A$5001,Y$3,BD!$B$3:$B$5001,$A$295)))</f>
        <v/>
      </c>
      <c r="Z319" s="251" t="str">
        <f>IF(Z$3="","",IF(COUNTIFS(BD!$A$3:$A$5001,Z$3,BD!$B$3:$B$5001,$A$295,BD!$Z$3:$Z$5001,"&lt;&gt;")=0,"",SUMIFS(BD!$Z$3:$Z$5001,BD!$A$3:$A$5001,Z$3,BD!$B$3:$B$5001,$A$295)))</f>
        <v/>
      </c>
      <c r="AA319" s="251" t="str">
        <f>IF(AA$3="","",IF(COUNTIFS(BD!$A$3:$A$5001,AA$3,BD!$B$3:$B$5001,$A$295,BD!$Z$3:$Z$5001,"&lt;&gt;")=0,"",SUMIFS(BD!$Z$3:$Z$5001,BD!$A$3:$A$5001,AA$3,BD!$B$3:$B$5001,$A$295)))</f>
        <v/>
      </c>
      <c r="AB319" s="251" t="str">
        <f>IF(AB$3="","",IF(COUNTIFS(BD!$A$3:$A$5001,AB$3,BD!$B$3:$B$5001,$A$295,BD!$Z$3:$Z$5001,"&lt;&gt;")=0,"",SUMIFS(BD!$Z$3:$Z$5001,BD!$A$3:$A$5001,AB$3,BD!$B$3:$B$5001,$A$295)))</f>
        <v/>
      </c>
      <c r="AC319" s="251" t="str">
        <f>IF(AC$3="","",IF(COUNTIFS(BD!$A$3:$A$5001,AC$3,BD!$B$3:$B$5001,$A$295,BD!$Z$3:$Z$5001,"&lt;&gt;")=0,"",SUMIFS(BD!$Z$3:$Z$5001,BD!$A$3:$A$5001,AC$3,BD!$B$3:$B$5001,$A$295)))</f>
        <v/>
      </c>
      <c r="AD319" s="251" t="str">
        <f>IF(AD$3="","",IF(COUNTIFS(BD!$A$3:$A$5001,AD$3,BD!$B$3:$B$5001,$A$295,BD!$Z$3:$Z$5001,"&lt;&gt;")=0,"",SUMIFS(BD!$Z$3:$Z$5001,BD!$A$3:$A$5001,AD$3,BD!$B$3:$B$5001,$A$295)))</f>
        <v/>
      </c>
      <c r="AE319" s="251" t="str">
        <f>IF(AE$3="","",IF(COUNTIFS(BD!$A$3:$A$5001,AE$3,BD!$B$3:$B$5001,$A$295,BD!$Z$3:$Z$5001,"&lt;&gt;")=0,"",SUMIFS(BD!$Z$3:$Z$5001,BD!$A$3:$A$5001,AE$3,BD!$B$3:$B$5001,$A$295)))</f>
        <v/>
      </c>
      <c r="AF319" s="251" t="str">
        <f>IF(AF$3="","",IF(COUNTIFS(BD!$A$3:$A$5001,AF$3,BD!$B$3:$B$5001,$A$295,BD!$Z$3:$Z$5001,"&lt;&gt;")=0,"",SUMIFS(BD!$Z$3:$Z$5001,BD!$A$3:$A$5001,AF$3,BD!$B$3:$B$5001,$A$295)))</f>
        <v/>
      </c>
      <c r="AG319" s="251" t="str">
        <f>IF(AG$3="","",IF(COUNTIFS(BD!$A$3:$A$5001,AG$3,BD!$B$3:$B$5001,$A$295,BD!$Z$3:$Z$5001,"&lt;&gt;")=0,"",SUMIFS(BD!$Z$3:$Z$5001,BD!$A$3:$A$5001,AG$3,BD!$B$3:$B$5001,$A$295)))</f>
        <v/>
      </c>
      <c r="AH319" s="251" t="str">
        <f>IF(AH$3="","",IF(COUNTIFS(BD!$A$3:$A$5001,AH$3,BD!$B$3:$B$5001,$A$295,BD!$Z$3:$Z$5001,"&lt;&gt;")=0,"",SUMIFS(BD!$Z$3:$Z$5001,BD!$A$3:$A$5001,AH$3,BD!$B$3:$B$5001,$A$295)))</f>
        <v/>
      </c>
      <c r="AI319" s="251" t="str">
        <f>IF(AI$3="","",IF(COUNTIFS(BD!$A$3:$A$5001,AI$3,BD!$B$3:$B$5001,$A$295,BD!$Z$3:$Z$5001,"&lt;&gt;")=0,"",SUMIFS(BD!$Z$3:$Z$5001,BD!$A$3:$A$5001,AI$3,BD!$B$3:$B$5001,$A$295)))</f>
        <v/>
      </c>
      <c r="AJ319" s="252" t="str">
        <f>IF(AJ$3="","",IF(COUNTIFS(BD!$A$3:$A$5001,AJ$3,BD!$B$3:$B$5001,$A$295,BD!$Z$3:$Z$5001,"&lt;&gt;")=0,"",SUMIFS(BD!$Z$3:$Z$5001,BD!$A$3:$A$5001,AJ$3,BD!$B$3:$B$5001,$A$295)))</f>
        <v/>
      </c>
      <c r="AK319" s="253" t="str">
        <f>IF(COUNT(F319:AJ319)=0,"",SUM(F319:AJ319))</f>
        <v/>
      </c>
    </row>
    <row r="320" ht="15.75" customHeight="1" hidden="1">
      <c r="A320" s="277"/>
      <c r="B320" s="274"/>
      <c r="C320" s="247" t="inlineStr">
        <is>
          <t xml:space="preserve">Acidentes CAF</t>
        </is>
      </c>
      <c r="D320" s="248" t="str">
        <f>IFERROR(1/(1/INDEX(BD!$AF$48:$AZ$48,MATCH($A$295,BD!$AF$22:$AZ$22,0))),"")</f>
        <v/>
      </c>
      <c r="E320" s="249"/>
      <c r="F320" s="250" t="str">
        <f>IF(F$3="","",IF(COUNTIFS(BD!$A$3:$A$5001,F$3,BD!$B$3:$B$5001,$A$295,BD!$AA$3:$AA$5001,"&lt;&gt;")=0,"",SUMIFS(BD!$AA$3:$AA$5001,BD!$A$3:$A$5001,F$3,BD!$B$3:$B$5001,$A$295)))</f>
        <v/>
      </c>
      <c r="G320" s="251" t="str">
        <f>IF(G$3="","",IF(COUNTIFS(BD!$A$3:$A$5001,G$3,BD!$B$3:$B$5001,$A$295,BD!$AA$3:$AA$5001,"&lt;&gt;")=0,"",SUMIFS(BD!$AA$3:$AA$5001,BD!$A$3:$A$5001,G$3,BD!$B$3:$B$5001,$A$295)))</f>
        <v/>
      </c>
      <c r="H320" s="251" t="str">
        <f>IF(H$3="","",IF(COUNTIFS(BD!$A$3:$A$5001,H$3,BD!$B$3:$B$5001,$A$295,BD!$AA$3:$AA$5001,"&lt;&gt;")=0,"",SUMIFS(BD!$AA$3:$AA$5001,BD!$A$3:$A$5001,H$3,BD!$B$3:$B$5001,$A$295)))</f>
        <v/>
      </c>
      <c r="I320" s="251" t="str">
        <f>IF(I$3="","",IF(COUNTIFS(BD!$A$3:$A$5001,I$3,BD!$B$3:$B$5001,$A$295,BD!$AA$3:$AA$5001,"&lt;&gt;")=0,"",SUMIFS(BD!$AA$3:$AA$5001,BD!$A$3:$A$5001,I$3,BD!$B$3:$B$5001,$A$295)))</f>
        <v/>
      </c>
      <c r="J320" s="251" t="str">
        <f>IF(J$3="","",IF(COUNTIFS(BD!$A$3:$A$5001,J$3,BD!$B$3:$B$5001,$A$295,BD!$AA$3:$AA$5001,"&lt;&gt;")=0,"",SUMIFS(BD!$AA$3:$AA$5001,BD!$A$3:$A$5001,J$3,BD!$B$3:$B$5001,$A$295)))</f>
        <v/>
      </c>
      <c r="K320" s="251" t="str">
        <f>IF(K$3="","",IF(COUNTIFS(BD!$A$3:$A$5001,K$3,BD!$B$3:$B$5001,$A$295,BD!$AA$3:$AA$5001,"&lt;&gt;")=0,"",SUMIFS(BD!$AA$3:$AA$5001,BD!$A$3:$A$5001,K$3,BD!$B$3:$B$5001,$A$295)))</f>
        <v/>
      </c>
      <c r="L320" s="251" t="str">
        <f>IF(L$3="","",IF(COUNTIFS(BD!$A$3:$A$5001,L$3,BD!$B$3:$B$5001,$A$295,BD!$AA$3:$AA$5001,"&lt;&gt;")=0,"",SUMIFS(BD!$AA$3:$AA$5001,BD!$A$3:$A$5001,L$3,BD!$B$3:$B$5001,$A$295)))</f>
        <v/>
      </c>
      <c r="M320" s="251" t="str">
        <f>IF(M$3="","",IF(COUNTIFS(BD!$A$3:$A$5001,M$3,BD!$B$3:$B$5001,$A$295,BD!$AA$3:$AA$5001,"&lt;&gt;")=0,"",SUMIFS(BD!$AA$3:$AA$5001,BD!$A$3:$A$5001,M$3,BD!$B$3:$B$5001,$A$295)))</f>
        <v/>
      </c>
      <c r="N320" s="251" t="str">
        <f>IF(N$3="","",IF(COUNTIFS(BD!$A$3:$A$5001,N$3,BD!$B$3:$B$5001,$A$295,BD!$AA$3:$AA$5001,"&lt;&gt;")=0,"",SUMIFS(BD!$AA$3:$AA$5001,BD!$A$3:$A$5001,N$3,BD!$B$3:$B$5001,$A$295)))</f>
        <v/>
      </c>
      <c r="O320" s="251" t="str">
        <f>IF(O$3="","",IF(COUNTIFS(BD!$A$3:$A$5001,O$3,BD!$B$3:$B$5001,$A$295,BD!$AA$3:$AA$5001,"&lt;&gt;")=0,"",SUMIFS(BD!$AA$3:$AA$5001,BD!$A$3:$A$5001,O$3,BD!$B$3:$B$5001,$A$295)))</f>
        <v/>
      </c>
      <c r="P320" s="251" t="str">
        <f>IF(P$3="","",IF(COUNTIFS(BD!$A$3:$A$5001,P$3,BD!$B$3:$B$5001,$A$295,BD!$AA$3:$AA$5001,"&lt;&gt;")=0,"",SUMIFS(BD!$AA$3:$AA$5001,BD!$A$3:$A$5001,P$3,BD!$B$3:$B$5001,$A$295)))</f>
        <v/>
      </c>
      <c r="Q320" s="251" t="str">
        <f>IF(Q$3="","",IF(COUNTIFS(BD!$A$3:$A$5001,Q$3,BD!$B$3:$B$5001,$A$295,BD!$AA$3:$AA$5001,"&lt;&gt;")=0,"",SUMIFS(BD!$AA$3:$AA$5001,BD!$A$3:$A$5001,Q$3,BD!$B$3:$B$5001,$A$295)))</f>
        <v/>
      </c>
      <c r="R320" s="251" t="str">
        <f>IF(R$3="","",IF(COUNTIFS(BD!$A$3:$A$5001,R$3,BD!$B$3:$B$5001,$A$295,BD!$AA$3:$AA$5001,"&lt;&gt;")=0,"",SUMIFS(BD!$AA$3:$AA$5001,BD!$A$3:$A$5001,R$3,BD!$B$3:$B$5001,$A$295)))</f>
        <v/>
      </c>
      <c r="S320" s="251" t="str">
        <f>IF(S$3="","",IF(COUNTIFS(BD!$A$3:$A$5001,S$3,BD!$B$3:$B$5001,$A$295,BD!$AA$3:$AA$5001,"&lt;&gt;")=0,"",SUMIFS(BD!$AA$3:$AA$5001,BD!$A$3:$A$5001,S$3,BD!$B$3:$B$5001,$A$295)))</f>
        <v/>
      </c>
      <c r="T320" s="251" t="str">
        <f>IF(T$3="","",IF(COUNTIFS(BD!$A$3:$A$5001,T$3,BD!$B$3:$B$5001,$A$295,BD!$AA$3:$AA$5001,"&lt;&gt;")=0,"",SUMIFS(BD!$AA$3:$AA$5001,BD!$A$3:$A$5001,T$3,BD!$B$3:$B$5001,$A$295)))</f>
        <v/>
      </c>
      <c r="U320" s="251" t="str">
        <f>IF(U$3="","",IF(COUNTIFS(BD!$A$3:$A$5001,U$3,BD!$B$3:$B$5001,$A$295,BD!$AA$3:$AA$5001,"&lt;&gt;")=0,"",SUMIFS(BD!$AA$3:$AA$5001,BD!$A$3:$A$5001,U$3,BD!$B$3:$B$5001,$A$295)))</f>
        <v/>
      </c>
      <c r="V320" s="251" t="str">
        <f>IF(V$3="","",IF(COUNTIFS(BD!$A$3:$A$5001,V$3,BD!$B$3:$B$5001,$A$295,BD!$AA$3:$AA$5001,"&lt;&gt;")=0,"",SUMIFS(BD!$AA$3:$AA$5001,BD!$A$3:$A$5001,V$3,BD!$B$3:$B$5001,$A$295)))</f>
        <v/>
      </c>
      <c r="W320" s="251" t="str">
        <f>IF(W$3="","",IF(COUNTIFS(BD!$A$3:$A$5001,W$3,BD!$B$3:$B$5001,$A$295,BD!$AA$3:$AA$5001,"&lt;&gt;")=0,"",SUMIFS(BD!$AA$3:$AA$5001,BD!$A$3:$A$5001,W$3,BD!$B$3:$B$5001,$A$295)))</f>
        <v/>
      </c>
      <c r="X320" s="251" t="str">
        <f>IF(X$3="","",IF(COUNTIFS(BD!$A$3:$A$5001,X$3,BD!$B$3:$B$5001,$A$295,BD!$AA$3:$AA$5001,"&lt;&gt;")=0,"",SUMIFS(BD!$AA$3:$AA$5001,BD!$A$3:$A$5001,X$3,BD!$B$3:$B$5001,$A$295)))</f>
        <v/>
      </c>
      <c r="Y320" s="251" t="str">
        <f>IF(Y$3="","",IF(COUNTIFS(BD!$A$3:$A$5001,Y$3,BD!$B$3:$B$5001,$A$295,BD!$AA$3:$AA$5001,"&lt;&gt;")=0,"",SUMIFS(BD!$AA$3:$AA$5001,BD!$A$3:$A$5001,Y$3,BD!$B$3:$B$5001,$A$295)))</f>
        <v/>
      </c>
      <c r="Z320" s="251" t="str">
        <f>IF(Z$3="","",IF(COUNTIFS(BD!$A$3:$A$5001,Z$3,BD!$B$3:$B$5001,$A$295,BD!$AA$3:$AA$5001,"&lt;&gt;")=0,"",SUMIFS(BD!$AA$3:$AA$5001,BD!$A$3:$A$5001,Z$3,BD!$B$3:$B$5001,$A$295)))</f>
        <v/>
      </c>
      <c r="AA320" s="251" t="str">
        <f>IF(AA$3="","",IF(COUNTIFS(BD!$A$3:$A$5001,AA$3,BD!$B$3:$B$5001,$A$295,BD!$AA$3:$AA$5001,"&lt;&gt;")=0,"",SUMIFS(BD!$AA$3:$AA$5001,BD!$A$3:$A$5001,AA$3,BD!$B$3:$B$5001,$A$295)))</f>
        <v/>
      </c>
      <c r="AB320" s="251" t="str">
        <f>IF(AB$3="","",IF(COUNTIFS(BD!$A$3:$A$5001,AB$3,BD!$B$3:$B$5001,$A$295,BD!$AA$3:$AA$5001,"&lt;&gt;")=0,"",SUMIFS(BD!$AA$3:$AA$5001,BD!$A$3:$A$5001,AB$3,BD!$B$3:$B$5001,$A$295)))</f>
        <v/>
      </c>
      <c r="AC320" s="251" t="str">
        <f>IF(AC$3="","",IF(COUNTIFS(BD!$A$3:$A$5001,AC$3,BD!$B$3:$B$5001,$A$295,BD!$AA$3:$AA$5001,"&lt;&gt;")=0,"",SUMIFS(BD!$AA$3:$AA$5001,BD!$A$3:$A$5001,AC$3,BD!$B$3:$B$5001,$A$295)))</f>
        <v/>
      </c>
      <c r="AD320" s="251" t="str">
        <f>IF(AD$3="","",IF(COUNTIFS(BD!$A$3:$A$5001,AD$3,BD!$B$3:$B$5001,$A$295,BD!$AA$3:$AA$5001,"&lt;&gt;")=0,"",SUMIFS(BD!$AA$3:$AA$5001,BD!$A$3:$A$5001,AD$3,BD!$B$3:$B$5001,$A$295)))</f>
        <v/>
      </c>
      <c r="AE320" s="251" t="str">
        <f>IF(AE$3="","",IF(COUNTIFS(BD!$A$3:$A$5001,AE$3,BD!$B$3:$B$5001,$A$295,BD!$AA$3:$AA$5001,"&lt;&gt;")=0,"",SUMIFS(BD!$AA$3:$AA$5001,BD!$A$3:$A$5001,AE$3,BD!$B$3:$B$5001,$A$295)))</f>
        <v/>
      </c>
      <c r="AF320" s="251" t="str">
        <f>IF(AF$3="","",IF(COUNTIFS(BD!$A$3:$A$5001,AF$3,BD!$B$3:$B$5001,$A$295,BD!$AA$3:$AA$5001,"&lt;&gt;")=0,"",SUMIFS(BD!$AA$3:$AA$5001,BD!$A$3:$A$5001,AF$3,BD!$B$3:$B$5001,$A$295)))</f>
        <v/>
      </c>
      <c r="AG320" s="251" t="str">
        <f>IF(AG$3="","",IF(COUNTIFS(BD!$A$3:$A$5001,AG$3,BD!$B$3:$B$5001,$A$295,BD!$AA$3:$AA$5001,"&lt;&gt;")=0,"",SUMIFS(BD!$AA$3:$AA$5001,BD!$A$3:$A$5001,AG$3,BD!$B$3:$B$5001,$A$295)))</f>
        <v/>
      </c>
      <c r="AH320" s="251" t="str">
        <f>IF(AH$3="","",IF(COUNTIFS(BD!$A$3:$A$5001,AH$3,BD!$B$3:$B$5001,$A$295,BD!$AA$3:$AA$5001,"&lt;&gt;")=0,"",SUMIFS(BD!$AA$3:$AA$5001,BD!$A$3:$A$5001,AH$3,BD!$B$3:$B$5001,$A$295)))</f>
        <v/>
      </c>
      <c r="AI320" s="251" t="str">
        <f>IF(AI$3="","",IF(COUNTIFS(BD!$A$3:$A$5001,AI$3,BD!$B$3:$B$5001,$A$295,BD!$AA$3:$AA$5001,"&lt;&gt;")=0,"",SUMIFS(BD!$AA$3:$AA$5001,BD!$A$3:$A$5001,AI$3,BD!$B$3:$B$5001,$A$295)))</f>
        <v/>
      </c>
      <c r="AJ320" s="252" t="str">
        <f>IF(AJ$3="","",IF(COUNTIFS(BD!$A$3:$A$5001,AJ$3,BD!$B$3:$B$5001,$A$295,BD!$AA$3:$AA$5001,"&lt;&gt;")=0,"",SUMIFS(BD!$AA$3:$AA$5001,BD!$A$3:$A$5001,AJ$3,BD!$B$3:$B$5001,$A$295)))</f>
        <v/>
      </c>
      <c r="AK320" s="253" t="str">
        <f>IF(COUNT(F320:AJ320)=0,"",SUM(F320:AJ320))</f>
        <v/>
      </c>
    </row>
    <row r="321" ht="15.75" customHeight="1" hidden="1">
      <c r="A321" s="278"/>
      <c r="B321" s="275"/>
      <c r="C321" s="258" t="inlineStr">
        <is>
          <t xml:space="preserve">Acidentes SAF</t>
        </is>
      </c>
      <c r="D321" s="259" t="str">
        <f>IFERROR(1/(1/INDEX(BD!$AF$49:$AZ$49,MATCH($A$295,BD!$AF$22:$AZ$22,0))),"")</f>
        <v/>
      </c>
      <c r="E321" s="260"/>
      <c r="F321" s="261" t="str">
        <f>IF(F$3="","",IF(COUNTIFS(BD!$A$3:$A$5001,F$3,BD!$B$3:$B$5001,$A$295,BD!$AB$3:$AB$5001,"&lt;&gt;")=0,"",SUMIFS(BD!$AB$3:$AB$5001,BD!$A$3:$A$5001,F$3,BD!$B$3:$B$5001,$A$295)))</f>
        <v/>
      </c>
      <c r="G321" s="262" t="str">
        <f>IF(G$3="","",IF(COUNTIFS(BD!$A$3:$A$5001,G$3,BD!$B$3:$B$5001,$A$295,BD!$AB$3:$AB$5001,"&lt;&gt;")=0,"",SUMIFS(BD!$AB$3:$AB$5001,BD!$A$3:$A$5001,G$3,BD!$B$3:$B$5001,$A$295)))</f>
        <v/>
      </c>
      <c r="H321" s="262" t="str">
        <f>IF(H$3="","",IF(COUNTIFS(BD!$A$3:$A$5001,H$3,BD!$B$3:$B$5001,$A$295,BD!$AB$3:$AB$5001,"&lt;&gt;")=0,"",SUMIFS(BD!$AB$3:$AB$5001,BD!$A$3:$A$5001,H$3,BD!$B$3:$B$5001,$A$295)))</f>
        <v/>
      </c>
      <c r="I321" s="262" t="str">
        <f>IF(I$3="","",IF(COUNTIFS(BD!$A$3:$A$5001,I$3,BD!$B$3:$B$5001,$A$295,BD!$AB$3:$AB$5001,"&lt;&gt;")=0,"",SUMIFS(BD!$AB$3:$AB$5001,BD!$A$3:$A$5001,I$3,BD!$B$3:$B$5001,$A$295)))</f>
        <v/>
      </c>
      <c r="J321" s="262" t="str">
        <f>IF(J$3="","",IF(COUNTIFS(BD!$A$3:$A$5001,J$3,BD!$B$3:$B$5001,$A$295,BD!$AB$3:$AB$5001,"&lt;&gt;")=0,"",SUMIFS(BD!$AB$3:$AB$5001,BD!$A$3:$A$5001,J$3,BD!$B$3:$B$5001,$A$295)))</f>
        <v/>
      </c>
      <c r="K321" s="262" t="str">
        <f>IF(K$3="","",IF(COUNTIFS(BD!$A$3:$A$5001,K$3,BD!$B$3:$B$5001,$A$295,BD!$AB$3:$AB$5001,"&lt;&gt;")=0,"",SUMIFS(BD!$AB$3:$AB$5001,BD!$A$3:$A$5001,K$3,BD!$B$3:$B$5001,$A$295)))</f>
        <v/>
      </c>
      <c r="L321" s="262" t="str">
        <f>IF(L$3="","",IF(COUNTIFS(BD!$A$3:$A$5001,L$3,BD!$B$3:$B$5001,$A$295,BD!$AB$3:$AB$5001,"&lt;&gt;")=0,"",SUMIFS(BD!$AB$3:$AB$5001,BD!$A$3:$A$5001,L$3,BD!$B$3:$B$5001,$A$295)))</f>
        <v/>
      </c>
      <c r="M321" s="262" t="str">
        <f>IF(M$3="","",IF(COUNTIFS(BD!$A$3:$A$5001,M$3,BD!$B$3:$B$5001,$A$295,BD!$AB$3:$AB$5001,"&lt;&gt;")=0,"",SUMIFS(BD!$AB$3:$AB$5001,BD!$A$3:$A$5001,M$3,BD!$B$3:$B$5001,$A$295)))</f>
        <v/>
      </c>
      <c r="N321" s="262" t="str">
        <f>IF(N$3="","",IF(COUNTIFS(BD!$A$3:$A$5001,N$3,BD!$B$3:$B$5001,$A$295,BD!$AB$3:$AB$5001,"&lt;&gt;")=0,"",SUMIFS(BD!$AB$3:$AB$5001,BD!$A$3:$A$5001,N$3,BD!$B$3:$B$5001,$A$295)))</f>
        <v/>
      </c>
      <c r="O321" s="262" t="str">
        <f>IF(O$3="","",IF(COUNTIFS(BD!$A$3:$A$5001,O$3,BD!$B$3:$B$5001,$A$295,BD!$AB$3:$AB$5001,"&lt;&gt;")=0,"",SUMIFS(BD!$AB$3:$AB$5001,BD!$A$3:$A$5001,O$3,BD!$B$3:$B$5001,$A$295)))</f>
        <v/>
      </c>
      <c r="P321" s="262" t="str">
        <f>IF(P$3="","",IF(COUNTIFS(BD!$A$3:$A$5001,P$3,BD!$B$3:$B$5001,$A$295,BD!$AB$3:$AB$5001,"&lt;&gt;")=0,"",SUMIFS(BD!$AB$3:$AB$5001,BD!$A$3:$A$5001,P$3,BD!$B$3:$B$5001,$A$295)))</f>
        <v/>
      </c>
      <c r="Q321" s="262" t="str">
        <f>IF(Q$3="","",IF(COUNTIFS(BD!$A$3:$A$5001,Q$3,BD!$B$3:$B$5001,$A$295,BD!$AB$3:$AB$5001,"&lt;&gt;")=0,"",SUMIFS(BD!$AB$3:$AB$5001,BD!$A$3:$A$5001,Q$3,BD!$B$3:$B$5001,$A$295)))</f>
        <v/>
      </c>
      <c r="R321" s="262" t="str">
        <f>IF(R$3="","",IF(COUNTIFS(BD!$A$3:$A$5001,R$3,BD!$B$3:$B$5001,$A$295,BD!$AB$3:$AB$5001,"&lt;&gt;")=0,"",SUMIFS(BD!$AB$3:$AB$5001,BD!$A$3:$A$5001,R$3,BD!$B$3:$B$5001,$A$295)))</f>
        <v/>
      </c>
      <c r="S321" s="262" t="str">
        <f>IF(S$3="","",IF(COUNTIFS(BD!$A$3:$A$5001,S$3,BD!$B$3:$B$5001,$A$295,BD!$AB$3:$AB$5001,"&lt;&gt;")=0,"",SUMIFS(BD!$AB$3:$AB$5001,BD!$A$3:$A$5001,S$3,BD!$B$3:$B$5001,$A$295)))</f>
        <v/>
      </c>
      <c r="T321" s="262" t="str">
        <f>IF(T$3="","",IF(COUNTIFS(BD!$A$3:$A$5001,T$3,BD!$B$3:$B$5001,$A$295,BD!$AB$3:$AB$5001,"&lt;&gt;")=0,"",SUMIFS(BD!$AB$3:$AB$5001,BD!$A$3:$A$5001,T$3,BD!$B$3:$B$5001,$A$295)))</f>
        <v/>
      </c>
      <c r="U321" s="262" t="str">
        <f>IF(U$3="","",IF(COUNTIFS(BD!$A$3:$A$5001,U$3,BD!$B$3:$B$5001,$A$295,BD!$AB$3:$AB$5001,"&lt;&gt;")=0,"",SUMIFS(BD!$AB$3:$AB$5001,BD!$A$3:$A$5001,U$3,BD!$B$3:$B$5001,$A$295)))</f>
        <v/>
      </c>
      <c r="V321" s="262" t="str">
        <f>IF(V$3="","",IF(COUNTIFS(BD!$A$3:$A$5001,V$3,BD!$B$3:$B$5001,$A$295,BD!$AB$3:$AB$5001,"&lt;&gt;")=0,"",SUMIFS(BD!$AB$3:$AB$5001,BD!$A$3:$A$5001,V$3,BD!$B$3:$B$5001,$A$295)))</f>
        <v/>
      </c>
      <c r="W321" s="262" t="str">
        <f>IF(W$3="","",IF(COUNTIFS(BD!$A$3:$A$5001,W$3,BD!$B$3:$B$5001,$A$295,BD!$AB$3:$AB$5001,"&lt;&gt;")=0,"",SUMIFS(BD!$AB$3:$AB$5001,BD!$A$3:$A$5001,W$3,BD!$B$3:$B$5001,$A$295)))</f>
        <v/>
      </c>
      <c r="X321" s="262" t="str">
        <f>IF(X$3="","",IF(COUNTIFS(BD!$A$3:$A$5001,X$3,BD!$B$3:$B$5001,$A$295,BD!$AB$3:$AB$5001,"&lt;&gt;")=0,"",SUMIFS(BD!$AB$3:$AB$5001,BD!$A$3:$A$5001,X$3,BD!$B$3:$B$5001,$A$295)))</f>
        <v/>
      </c>
      <c r="Y321" s="262" t="str">
        <f>IF(Y$3="","",IF(COUNTIFS(BD!$A$3:$A$5001,Y$3,BD!$B$3:$B$5001,$A$295,BD!$AB$3:$AB$5001,"&lt;&gt;")=0,"",SUMIFS(BD!$AB$3:$AB$5001,BD!$A$3:$A$5001,Y$3,BD!$B$3:$B$5001,$A$295)))</f>
        <v/>
      </c>
      <c r="Z321" s="262" t="str">
        <f>IF(Z$3="","",IF(COUNTIFS(BD!$A$3:$A$5001,Z$3,BD!$B$3:$B$5001,$A$295,BD!$AB$3:$AB$5001,"&lt;&gt;")=0,"",SUMIFS(BD!$AB$3:$AB$5001,BD!$A$3:$A$5001,Z$3,BD!$B$3:$B$5001,$A$295)))</f>
        <v/>
      </c>
      <c r="AA321" s="262" t="str">
        <f>IF(AA$3="","",IF(COUNTIFS(BD!$A$3:$A$5001,AA$3,BD!$B$3:$B$5001,$A$295,BD!$AB$3:$AB$5001,"&lt;&gt;")=0,"",SUMIFS(BD!$AB$3:$AB$5001,BD!$A$3:$A$5001,AA$3,BD!$B$3:$B$5001,$A$295)))</f>
        <v/>
      </c>
      <c r="AB321" s="262" t="str">
        <f>IF(AB$3="","",IF(COUNTIFS(BD!$A$3:$A$5001,AB$3,BD!$B$3:$B$5001,$A$295,BD!$AB$3:$AB$5001,"&lt;&gt;")=0,"",SUMIFS(BD!$AB$3:$AB$5001,BD!$A$3:$A$5001,AB$3,BD!$B$3:$B$5001,$A$295)))</f>
        <v/>
      </c>
      <c r="AC321" s="262" t="str">
        <f>IF(AC$3="","",IF(COUNTIFS(BD!$A$3:$A$5001,AC$3,BD!$B$3:$B$5001,$A$295,BD!$AB$3:$AB$5001,"&lt;&gt;")=0,"",SUMIFS(BD!$AB$3:$AB$5001,BD!$A$3:$A$5001,AC$3,BD!$B$3:$B$5001,$A$295)))</f>
        <v/>
      </c>
      <c r="AD321" s="262" t="str">
        <f>IF(AD$3="","",IF(COUNTIFS(BD!$A$3:$A$5001,AD$3,BD!$B$3:$B$5001,$A$295,BD!$AB$3:$AB$5001,"&lt;&gt;")=0,"",SUMIFS(BD!$AB$3:$AB$5001,BD!$A$3:$A$5001,AD$3,BD!$B$3:$B$5001,$A$295)))</f>
        <v/>
      </c>
      <c r="AE321" s="262" t="str">
        <f>IF(AE$3="","",IF(COUNTIFS(BD!$A$3:$A$5001,AE$3,BD!$B$3:$B$5001,$A$295,BD!$AB$3:$AB$5001,"&lt;&gt;")=0,"",SUMIFS(BD!$AB$3:$AB$5001,BD!$A$3:$A$5001,AE$3,BD!$B$3:$B$5001,$A$295)))</f>
        <v/>
      </c>
      <c r="AF321" s="262" t="str">
        <f>IF(AF$3="","",IF(COUNTIFS(BD!$A$3:$A$5001,AF$3,BD!$B$3:$B$5001,$A$295,BD!$AB$3:$AB$5001,"&lt;&gt;")=0,"",SUMIFS(BD!$AB$3:$AB$5001,BD!$A$3:$A$5001,AF$3,BD!$B$3:$B$5001,$A$295)))</f>
        <v/>
      </c>
      <c r="AG321" s="262" t="str">
        <f>IF(AG$3="","",IF(COUNTIFS(BD!$A$3:$A$5001,AG$3,BD!$B$3:$B$5001,$A$295,BD!$AB$3:$AB$5001,"&lt;&gt;")=0,"",SUMIFS(BD!$AB$3:$AB$5001,BD!$A$3:$A$5001,AG$3,BD!$B$3:$B$5001,$A$295)))</f>
        <v/>
      </c>
      <c r="AH321" s="262" t="str">
        <f>IF(AH$3="","",IF(COUNTIFS(BD!$A$3:$A$5001,AH$3,BD!$B$3:$B$5001,$A$295,BD!$AB$3:$AB$5001,"&lt;&gt;")=0,"",SUMIFS(BD!$AB$3:$AB$5001,BD!$A$3:$A$5001,AH$3,BD!$B$3:$B$5001,$A$295)))</f>
        <v/>
      </c>
      <c r="AI321" s="262" t="str">
        <f>IF(AI$3="","",IF(COUNTIFS(BD!$A$3:$A$5001,AI$3,BD!$B$3:$B$5001,$A$295,BD!$AB$3:$AB$5001,"&lt;&gt;")=0,"",SUMIFS(BD!$AB$3:$AB$5001,BD!$A$3:$A$5001,AI$3,BD!$B$3:$B$5001,$A$295)))</f>
        <v/>
      </c>
      <c r="AJ321" s="263" t="str">
        <f>IF(AJ$3="","",IF(COUNTIFS(BD!$A$3:$A$5001,AJ$3,BD!$B$3:$B$5001,$A$295,BD!$AB$3:$AB$5001,"&lt;&gt;")=0,"",SUMIFS(BD!$AB$3:$AB$5001,BD!$A$3:$A$5001,AJ$3,BD!$B$3:$B$5001,$A$295)))</f>
        <v/>
      </c>
      <c r="AK321" s="259" t="str">
        <f>IF(COUNT(F321:AJ321)=0,"",SUM(F321:AJ321))</f>
        <v/>
      </c>
    </row>
    <row r="323" ht="15.75" customHeight="1" hidden="1">
      <c r="A323" s="276"/>
      <c r="B323" s="264" t="inlineStr">
        <is>
          <t xml:space="preserve">IN</t>
        </is>
      </c>
      <c r="C323" s="168" t="inlineStr">
        <is>
          <t xml:space="preserve">Veículos Recebidos</t>
        </is>
      </c>
      <c r="D323" s="169" t="str">
        <f>IFERROR(1/(1/INDEX(BD!$AF$23:$AZ$23,MATCH($A$323,BD!$AF$22:$AZ$22,0))),"")</f>
        <v/>
      </c>
      <c r="E323" s="170"/>
      <c r="F323" s="171" t="str">
        <f>IF(F$3="","",IF(COUNTIFS(BD!$A$3:$A$5001,F$3,BD!$B$3:$B$5001,$A$323,BD!$C$3:$C$5001,"&lt;&gt;")=0,"",SUMIFS(BD!$C$3:$C$5001,BD!$A$3:$A$5001,F$3,BD!$B$3:$B$5001,$A$323)))</f>
        <v/>
      </c>
      <c r="G323" s="172" t="str">
        <f>IF(G$3="","",IF(COUNTIFS(BD!$A$3:$A$5001,G$3,BD!$B$3:$B$5001,$A$323,BD!$C$3:$C$5001,"&lt;&gt;")=0,"",SUMIFS(BD!$C$3:$C$5001,BD!$A$3:$A$5001,G$3,BD!$B$3:$B$5001,$A$323)))</f>
        <v/>
      </c>
      <c r="H323" s="172" t="str">
        <f>IF(H$3="","",IF(COUNTIFS(BD!$A$3:$A$5001,H$3,BD!$B$3:$B$5001,$A$323,BD!$C$3:$C$5001,"&lt;&gt;")=0,"",SUMIFS(BD!$C$3:$C$5001,BD!$A$3:$A$5001,H$3,BD!$B$3:$B$5001,$A$323)))</f>
        <v/>
      </c>
      <c r="I323" s="172" t="str">
        <f>IF(I$3="","",IF(COUNTIFS(BD!$A$3:$A$5001,I$3,BD!$B$3:$B$5001,$A$323,BD!$C$3:$C$5001,"&lt;&gt;")=0,"",SUMIFS(BD!$C$3:$C$5001,BD!$A$3:$A$5001,I$3,BD!$B$3:$B$5001,$A$323)))</f>
        <v/>
      </c>
      <c r="J323" s="172" t="str">
        <f>IF(J$3="","",IF(COUNTIFS(BD!$A$3:$A$5001,J$3,BD!$B$3:$B$5001,$A$323,BD!$C$3:$C$5001,"&lt;&gt;")=0,"",SUMIFS(BD!$C$3:$C$5001,BD!$A$3:$A$5001,J$3,BD!$B$3:$B$5001,$A$323)))</f>
        <v/>
      </c>
      <c r="K323" s="172" t="str">
        <f>IF(K$3="","",IF(COUNTIFS(BD!$A$3:$A$5001,K$3,BD!$B$3:$B$5001,$A$323,BD!$C$3:$C$5001,"&lt;&gt;")=0,"",SUMIFS(BD!$C$3:$C$5001,BD!$A$3:$A$5001,K$3,BD!$B$3:$B$5001,$A$323)))</f>
        <v/>
      </c>
      <c r="L323" s="172" t="str">
        <f>IF(L$3="","",IF(COUNTIFS(BD!$A$3:$A$5001,L$3,BD!$B$3:$B$5001,$A$323,BD!$C$3:$C$5001,"&lt;&gt;")=0,"",SUMIFS(BD!$C$3:$C$5001,BD!$A$3:$A$5001,L$3,BD!$B$3:$B$5001,$A$323)))</f>
        <v/>
      </c>
      <c r="M323" s="172" t="str">
        <f>IF(M$3="","",IF(COUNTIFS(BD!$A$3:$A$5001,M$3,BD!$B$3:$B$5001,$A$323,BD!$C$3:$C$5001,"&lt;&gt;")=0,"",SUMIFS(BD!$C$3:$C$5001,BD!$A$3:$A$5001,M$3,BD!$B$3:$B$5001,$A$323)))</f>
        <v/>
      </c>
      <c r="N323" s="172" t="str">
        <f>IF(N$3="","",IF(COUNTIFS(BD!$A$3:$A$5001,N$3,BD!$B$3:$B$5001,$A$323,BD!$C$3:$C$5001,"&lt;&gt;")=0,"",SUMIFS(BD!$C$3:$C$5001,BD!$A$3:$A$5001,N$3,BD!$B$3:$B$5001,$A$323)))</f>
        <v/>
      </c>
      <c r="O323" s="172" t="str">
        <f>IF(O$3="","",IF(COUNTIFS(BD!$A$3:$A$5001,O$3,BD!$B$3:$B$5001,$A$323,BD!$C$3:$C$5001,"&lt;&gt;")=0,"",SUMIFS(BD!$C$3:$C$5001,BD!$A$3:$A$5001,O$3,BD!$B$3:$B$5001,$A$323)))</f>
        <v/>
      </c>
      <c r="P323" s="172" t="str">
        <f>IF(P$3="","",IF(COUNTIFS(BD!$A$3:$A$5001,P$3,BD!$B$3:$B$5001,$A$323,BD!$C$3:$C$5001,"&lt;&gt;")=0,"",SUMIFS(BD!$C$3:$C$5001,BD!$A$3:$A$5001,P$3,BD!$B$3:$B$5001,$A$323)))</f>
        <v/>
      </c>
      <c r="Q323" s="172" t="str">
        <f>IF(Q$3="","",IF(COUNTIFS(BD!$A$3:$A$5001,Q$3,BD!$B$3:$B$5001,$A$323,BD!$C$3:$C$5001,"&lt;&gt;")=0,"",SUMIFS(BD!$C$3:$C$5001,BD!$A$3:$A$5001,Q$3,BD!$B$3:$B$5001,$A$323)))</f>
        <v/>
      </c>
      <c r="R323" s="172" t="str">
        <f>IF(R$3="","",IF(COUNTIFS(BD!$A$3:$A$5001,R$3,BD!$B$3:$B$5001,$A$323,BD!$C$3:$C$5001,"&lt;&gt;")=0,"",SUMIFS(BD!$C$3:$C$5001,BD!$A$3:$A$5001,R$3,BD!$B$3:$B$5001,$A$323)))</f>
        <v/>
      </c>
      <c r="S323" s="172" t="str">
        <f>IF(S$3="","",IF(COUNTIFS(BD!$A$3:$A$5001,S$3,BD!$B$3:$B$5001,$A$323,BD!$C$3:$C$5001,"&lt;&gt;")=0,"",SUMIFS(BD!$C$3:$C$5001,BD!$A$3:$A$5001,S$3,BD!$B$3:$B$5001,$A$323)))</f>
        <v/>
      </c>
      <c r="T323" s="172" t="str">
        <f>IF(T$3="","",IF(COUNTIFS(BD!$A$3:$A$5001,T$3,BD!$B$3:$B$5001,$A$323,BD!$C$3:$C$5001,"&lt;&gt;")=0,"",SUMIFS(BD!$C$3:$C$5001,BD!$A$3:$A$5001,T$3,BD!$B$3:$B$5001,$A$323)))</f>
        <v/>
      </c>
      <c r="U323" s="172" t="str">
        <f>IF(U$3="","",IF(COUNTIFS(BD!$A$3:$A$5001,U$3,BD!$B$3:$B$5001,$A$323,BD!$C$3:$C$5001,"&lt;&gt;")=0,"",SUMIFS(BD!$C$3:$C$5001,BD!$A$3:$A$5001,U$3,BD!$B$3:$B$5001,$A$323)))</f>
        <v/>
      </c>
      <c r="V323" s="172" t="str">
        <f>IF(V$3="","",IF(COUNTIFS(BD!$A$3:$A$5001,V$3,BD!$B$3:$B$5001,$A$323,BD!$C$3:$C$5001,"&lt;&gt;")=0,"",SUMIFS(BD!$C$3:$C$5001,BD!$A$3:$A$5001,V$3,BD!$B$3:$B$5001,$A$323)))</f>
        <v/>
      </c>
      <c r="W323" s="172" t="str">
        <f>IF(W$3="","",IF(COUNTIFS(BD!$A$3:$A$5001,W$3,BD!$B$3:$B$5001,$A$323,BD!$C$3:$C$5001,"&lt;&gt;")=0,"",SUMIFS(BD!$C$3:$C$5001,BD!$A$3:$A$5001,W$3,BD!$B$3:$B$5001,$A$323)))</f>
        <v/>
      </c>
      <c r="X323" s="172" t="str">
        <f>IF(X$3="","",IF(COUNTIFS(BD!$A$3:$A$5001,X$3,BD!$B$3:$B$5001,$A$323,BD!$C$3:$C$5001,"&lt;&gt;")=0,"",SUMIFS(BD!$C$3:$C$5001,BD!$A$3:$A$5001,X$3,BD!$B$3:$B$5001,$A$323)))</f>
        <v/>
      </c>
      <c r="Y323" s="172" t="str">
        <f>IF(Y$3="","",IF(COUNTIFS(BD!$A$3:$A$5001,Y$3,BD!$B$3:$B$5001,$A$323,BD!$C$3:$C$5001,"&lt;&gt;")=0,"",SUMIFS(BD!$C$3:$C$5001,BD!$A$3:$A$5001,Y$3,BD!$B$3:$B$5001,$A$323)))</f>
        <v/>
      </c>
      <c r="Z323" s="172" t="str">
        <f>IF(Z$3="","",IF(COUNTIFS(BD!$A$3:$A$5001,Z$3,BD!$B$3:$B$5001,$A$323,BD!$C$3:$C$5001,"&lt;&gt;")=0,"",SUMIFS(BD!$C$3:$C$5001,BD!$A$3:$A$5001,Z$3,BD!$B$3:$B$5001,$A$323)))</f>
        <v/>
      </c>
      <c r="AA323" s="172" t="str">
        <f>IF(AA$3="","",IF(COUNTIFS(BD!$A$3:$A$5001,AA$3,BD!$B$3:$B$5001,$A$323,BD!$C$3:$C$5001,"&lt;&gt;")=0,"",SUMIFS(BD!$C$3:$C$5001,BD!$A$3:$A$5001,AA$3,BD!$B$3:$B$5001,$A$323)))</f>
        <v/>
      </c>
      <c r="AB323" s="172" t="str">
        <f>IF(AB$3="","",IF(COUNTIFS(BD!$A$3:$A$5001,AB$3,BD!$B$3:$B$5001,$A$323,BD!$C$3:$C$5001,"&lt;&gt;")=0,"",SUMIFS(BD!$C$3:$C$5001,BD!$A$3:$A$5001,AB$3,BD!$B$3:$B$5001,$A$323)))</f>
        <v/>
      </c>
      <c r="AC323" s="172" t="str">
        <f>IF(AC$3="","",IF(COUNTIFS(BD!$A$3:$A$5001,AC$3,BD!$B$3:$B$5001,$A$323,BD!$C$3:$C$5001,"&lt;&gt;")=0,"",SUMIFS(BD!$C$3:$C$5001,BD!$A$3:$A$5001,AC$3,BD!$B$3:$B$5001,$A$323)))</f>
        <v/>
      </c>
      <c r="AD323" s="172" t="str">
        <f>IF(AD$3="","",IF(COUNTIFS(BD!$A$3:$A$5001,AD$3,BD!$B$3:$B$5001,$A$323,BD!$C$3:$C$5001,"&lt;&gt;")=0,"",SUMIFS(BD!$C$3:$C$5001,BD!$A$3:$A$5001,AD$3,BD!$B$3:$B$5001,$A$323)))</f>
        <v/>
      </c>
      <c r="AE323" s="172" t="str">
        <f>IF(AE$3="","",IF(COUNTIFS(BD!$A$3:$A$5001,AE$3,BD!$B$3:$B$5001,$A$323,BD!$C$3:$C$5001,"&lt;&gt;")=0,"",SUMIFS(BD!$C$3:$C$5001,BD!$A$3:$A$5001,AE$3,BD!$B$3:$B$5001,$A$323)))</f>
        <v/>
      </c>
      <c r="AF323" s="172" t="str">
        <f>IF(AF$3="","",IF(COUNTIFS(BD!$A$3:$A$5001,AF$3,BD!$B$3:$B$5001,$A$323,BD!$C$3:$C$5001,"&lt;&gt;")=0,"",SUMIFS(BD!$C$3:$C$5001,BD!$A$3:$A$5001,AF$3,BD!$B$3:$B$5001,$A$323)))</f>
        <v/>
      </c>
      <c r="AG323" s="172" t="str">
        <f>IF(AG$3="","",IF(COUNTIFS(BD!$A$3:$A$5001,AG$3,BD!$B$3:$B$5001,$A$323,BD!$C$3:$C$5001,"&lt;&gt;")=0,"",SUMIFS(BD!$C$3:$C$5001,BD!$A$3:$A$5001,AG$3,BD!$B$3:$B$5001,$A$323)))</f>
        <v/>
      </c>
      <c r="AH323" s="172" t="str">
        <f>IF(AH$3="","",IF(COUNTIFS(BD!$A$3:$A$5001,AH$3,BD!$B$3:$B$5001,$A$323,BD!$C$3:$C$5001,"&lt;&gt;")=0,"",SUMIFS(BD!$C$3:$C$5001,BD!$A$3:$A$5001,AH$3,BD!$B$3:$B$5001,$A$323)))</f>
        <v/>
      </c>
      <c r="AI323" s="172" t="str">
        <f>IF(AI$3="","",IF(COUNTIFS(BD!$A$3:$A$5001,AI$3,BD!$B$3:$B$5001,$A$323,BD!$C$3:$C$5001,"&lt;&gt;")=0,"",SUMIFS(BD!$C$3:$C$5001,BD!$A$3:$A$5001,AI$3,BD!$B$3:$B$5001,$A$323)))</f>
        <v/>
      </c>
      <c r="AJ323" s="173" t="str">
        <f>IF(AJ$3="","",IF(COUNTIFS(BD!$A$3:$A$5001,AJ$3,BD!$B$3:$B$5001,$A$323,BD!$C$3:$C$5001,"&lt;&gt;")=0,"",SUMIFS(BD!$C$3:$C$5001,BD!$A$3:$A$5001,AJ$3,BD!$B$3:$B$5001,$A$323)))</f>
        <v/>
      </c>
      <c r="AK323" s="174" t="str">
        <f>IF(COUNT(F323:AJ323)=0,"",SUM(F323:AJ323))</f>
        <v/>
      </c>
    </row>
    <row r="324" ht="15.75" customHeight="1" hidden="1">
      <c r="A324" s="277"/>
      <c r="B324" s="265"/>
      <c r="C324" s="175" t="inlineStr">
        <is>
          <t xml:space="preserve">Pallets Movimentados</t>
        </is>
      </c>
      <c r="D324" s="176" t="str">
        <f>IFERROR(1/(1/INDEX(BD!$AF$24:$AZ$24,MATCH($A$323,BD!$AF$22:$AZ$22,0))),"")</f>
        <v/>
      </c>
      <c r="E324" s="177"/>
      <c r="F324" s="178" t="str">
        <f>IF(F$3="","",IF(COUNTIFS(BD!$A$3:$A$5001,F$3,BD!$B$3:$B$5001,$A$323,BD!$D$3:$D$5001,"&lt;&gt;")=0,"",SUMIFS(BD!$D$3:$D$5001,BD!$A$3:$A$5001,F$3,BD!$B$3:$B$5001,$A$323)))</f>
        <v/>
      </c>
      <c r="G324" s="179" t="str">
        <f>IF(G$3="","",IF(COUNTIFS(BD!$A$3:$A$5001,G$3,BD!$B$3:$B$5001,$A$323,BD!$D$3:$D$5001,"&lt;&gt;")=0,"",SUMIFS(BD!$D$3:$D$5001,BD!$A$3:$A$5001,G$3,BD!$B$3:$B$5001,$A$323)))</f>
        <v/>
      </c>
      <c r="H324" s="179" t="str">
        <f>IF(H$3="","",IF(COUNTIFS(BD!$A$3:$A$5001,H$3,BD!$B$3:$B$5001,$A$323,BD!$D$3:$D$5001,"&lt;&gt;")=0,"",SUMIFS(BD!$D$3:$D$5001,BD!$A$3:$A$5001,H$3,BD!$B$3:$B$5001,$A$323)))</f>
        <v/>
      </c>
      <c r="I324" s="179" t="str">
        <f>IF(I$3="","",IF(COUNTIFS(BD!$A$3:$A$5001,I$3,BD!$B$3:$B$5001,$A$323,BD!$D$3:$D$5001,"&lt;&gt;")=0,"",SUMIFS(BD!$D$3:$D$5001,BD!$A$3:$A$5001,I$3,BD!$B$3:$B$5001,$A$323)))</f>
        <v/>
      </c>
      <c r="J324" s="179" t="str">
        <f>IF(J$3="","",IF(COUNTIFS(BD!$A$3:$A$5001,J$3,BD!$B$3:$B$5001,$A$323,BD!$D$3:$D$5001,"&lt;&gt;")=0,"",SUMIFS(BD!$D$3:$D$5001,BD!$A$3:$A$5001,J$3,BD!$B$3:$B$5001,$A$323)))</f>
        <v/>
      </c>
      <c r="K324" s="179" t="str">
        <f>IF(K$3="","",IF(COUNTIFS(BD!$A$3:$A$5001,K$3,BD!$B$3:$B$5001,$A$323,BD!$D$3:$D$5001,"&lt;&gt;")=0,"",SUMIFS(BD!$D$3:$D$5001,BD!$A$3:$A$5001,K$3,BD!$B$3:$B$5001,$A$323)))</f>
        <v/>
      </c>
      <c r="L324" s="179" t="str">
        <f>IF(L$3="","",IF(COUNTIFS(BD!$A$3:$A$5001,L$3,BD!$B$3:$B$5001,$A$323,BD!$D$3:$D$5001,"&lt;&gt;")=0,"",SUMIFS(BD!$D$3:$D$5001,BD!$A$3:$A$5001,L$3,BD!$B$3:$B$5001,$A$323)))</f>
        <v/>
      </c>
      <c r="M324" s="179" t="str">
        <f>IF(M$3="","",IF(COUNTIFS(BD!$A$3:$A$5001,M$3,BD!$B$3:$B$5001,$A$323,BD!$D$3:$D$5001,"&lt;&gt;")=0,"",SUMIFS(BD!$D$3:$D$5001,BD!$A$3:$A$5001,M$3,BD!$B$3:$B$5001,$A$323)))</f>
        <v/>
      </c>
      <c r="N324" s="179" t="str">
        <f>IF(N$3="","",IF(COUNTIFS(BD!$A$3:$A$5001,N$3,BD!$B$3:$B$5001,$A$323,BD!$D$3:$D$5001,"&lt;&gt;")=0,"",SUMIFS(BD!$D$3:$D$5001,BD!$A$3:$A$5001,N$3,BD!$B$3:$B$5001,$A$323)))</f>
        <v/>
      </c>
      <c r="O324" s="179" t="str">
        <f>IF(O$3="","",IF(COUNTIFS(BD!$A$3:$A$5001,O$3,BD!$B$3:$B$5001,$A$323,BD!$D$3:$D$5001,"&lt;&gt;")=0,"",SUMIFS(BD!$D$3:$D$5001,BD!$A$3:$A$5001,O$3,BD!$B$3:$B$5001,$A$323)))</f>
        <v/>
      </c>
      <c r="P324" s="179" t="str">
        <f>IF(P$3="","",IF(COUNTIFS(BD!$A$3:$A$5001,P$3,BD!$B$3:$B$5001,$A$323,BD!$D$3:$D$5001,"&lt;&gt;")=0,"",SUMIFS(BD!$D$3:$D$5001,BD!$A$3:$A$5001,P$3,BD!$B$3:$B$5001,$A$323)))</f>
        <v/>
      </c>
      <c r="Q324" s="179" t="str">
        <f>IF(Q$3="","",IF(COUNTIFS(BD!$A$3:$A$5001,Q$3,BD!$B$3:$B$5001,$A$323,BD!$D$3:$D$5001,"&lt;&gt;")=0,"",SUMIFS(BD!$D$3:$D$5001,BD!$A$3:$A$5001,Q$3,BD!$B$3:$B$5001,$A$323)))</f>
        <v/>
      </c>
      <c r="R324" s="179" t="str">
        <f>IF(R$3="","",IF(COUNTIFS(BD!$A$3:$A$5001,R$3,BD!$B$3:$B$5001,$A$323,BD!$D$3:$D$5001,"&lt;&gt;")=0,"",SUMIFS(BD!$D$3:$D$5001,BD!$A$3:$A$5001,R$3,BD!$B$3:$B$5001,$A$323)))</f>
        <v/>
      </c>
      <c r="S324" s="179" t="str">
        <f>IF(S$3="","",IF(COUNTIFS(BD!$A$3:$A$5001,S$3,BD!$B$3:$B$5001,$A$323,BD!$D$3:$D$5001,"&lt;&gt;")=0,"",SUMIFS(BD!$D$3:$D$5001,BD!$A$3:$A$5001,S$3,BD!$B$3:$B$5001,$A$323)))</f>
        <v/>
      </c>
      <c r="T324" s="179" t="str">
        <f>IF(T$3="","",IF(COUNTIFS(BD!$A$3:$A$5001,T$3,BD!$B$3:$B$5001,$A$323,BD!$D$3:$D$5001,"&lt;&gt;")=0,"",SUMIFS(BD!$D$3:$D$5001,BD!$A$3:$A$5001,T$3,BD!$B$3:$B$5001,$A$323)))</f>
        <v/>
      </c>
      <c r="U324" s="179" t="str">
        <f>IF(U$3="","",IF(COUNTIFS(BD!$A$3:$A$5001,U$3,BD!$B$3:$B$5001,$A$323,BD!$D$3:$D$5001,"&lt;&gt;")=0,"",SUMIFS(BD!$D$3:$D$5001,BD!$A$3:$A$5001,U$3,BD!$B$3:$B$5001,$A$323)))</f>
        <v/>
      </c>
      <c r="V324" s="179" t="str">
        <f>IF(V$3="","",IF(COUNTIFS(BD!$A$3:$A$5001,V$3,BD!$B$3:$B$5001,$A$323,BD!$D$3:$D$5001,"&lt;&gt;")=0,"",SUMIFS(BD!$D$3:$D$5001,BD!$A$3:$A$5001,V$3,BD!$B$3:$B$5001,$A$323)))</f>
        <v/>
      </c>
      <c r="W324" s="179" t="str">
        <f>IF(W$3="","",IF(COUNTIFS(BD!$A$3:$A$5001,W$3,BD!$B$3:$B$5001,$A$323,BD!$D$3:$D$5001,"&lt;&gt;")=0,"",SUMIFS(BD!$D$3:$D$5001,BD!$A$3:$A$5001,W$3,BD!$B$3:$B$5001,$A$323)))</f>
        <v/>
      </c>
      <c r="X324" s="179" t="str">
        <f>IF(X$3="","",IF(COUNTIFS(BD!$A$3:$A$5001,X$3,BD!$B$3:$B$5001,$A$323,BD!$D$3:$D$5001,"&lt;&gt;")=0,"",SUMIFS(BD!$D$3:$D$5001,BD!$A$3:$A$5001,X$3,BD!$B$3:$B$5001,$A$323)))</f>
        <v/>
      </c>
      <c r="Y324" s="179" t="str">
        <f>IF(Y$3="","",IF(COUNTIFS(BD!$A$3:$A$5001,Y$3,BD!$B$3:$B$5001,$A$323,BD!$D$3:$D$5001,"&lt;&gt;")=0,"",SUMIFS(BD!$D$3:$D$5001,BD!$A$3:$A$5001,Y$3,BD!$B$3:$B$5001,$A$323)))</f>
        <v/>
      </c>
      <c r="Z324" s="179" t="str">
        <f>IF(Z$3="","",IF(COUNTIFS(BD!$A$3:$A$5001,Z$3,BD!$B$3:$B$5001,$A$323,BD!$D$3:$D$5001,"&lt;&gt;")=0,"",SUMIFS(BD!$D$3:$D$5001,BD!$A$3:$A$5001,Z$3,BD!$B$3:$B$5001,$A$323)))</f>
        <v/>
      </c>
      <c r="AA324" s="179" t="str">
        <f>IF(AA$3="","",IF(COUNTIFS(BD!$A$3:$A$5001,AA$3,BD!$B$3:$B$5001,$A$323,BD!$D$3:$D$5001,"&lt;&gt;")=0,"",SUMIFS(BD!$D$3:$D$5001,BD!$A$3:$A$5001,AA$3,BD!$B$3:$B$5001,$A$323)))</f>
        <v/>
      </c>
      <c r="AB324" s="179" t="str">
        <f>IF(AB$3="","",IF(COUNTIFS(BD!$A$3:$A$5001,AB$3,BD!$B$3:$B$5001,$A$323,BD!$D$3:$D$5001,"&lt;&gt;")=0,"",SUMIFS(BD!$D$3:$D$5001,BD!$A$3:$A$5001,AB$3,BD!$B$3:$B$5001,$A$323)))</f>
        <v/>
      </c>
      <c r="AC324" s="179" t="str">
        <f>IF(AC$3="","",IF(COUNTIFS(BD!$A$3:$A$5001,AC$3,BD!$B$3:$B$5001,$A$323,BD!$D$3:$D$5001,"&lt;&gt;")=0,"",SUMIFS(BD!$D$3:$D$5001,BD!$A$3:$A$5001,AC$3,BD!$B$3:$B$5001,$A$323)))</f>
        <v/>
      </c>
      <c r="AD324" s="179" t="str">
        <f>IF(AD$3="","",IF(COUNTIFS(BD!$A$3:$A$5001,AD$3,BD!$B$3:$B$5001,$A$323,BD!$D$3:$D$5001,"&lt;&gt;")=0,"",SUMIFS(BD!$D$3:$D$5001,BD!$A$3:$A$5001,AD$3,BD!$B$3:$B$5001,$A$323)))</f>
        <v/>
      </c>
      <c r="AE324" s="179" t="str">
        <f>IF(AE$3="","",IF(COUNTIFS(BD!$A$3:$A$5001,AE$3,BD!$B$3:$B$5001,$A$323,BD!$D$3:$D$5001,"&lt;&gt;")=0,"",SUMIFS(BD!$D$3:$D$5001,BD!$A$3:$A$5001,AE$3,BD!$B$3:$B$5001,$A$323)))</f>
        <v/>
      </c>
      <c r="AF324" s="179" t="str">
        <f>IF(AF$3="","",IF(COUNTIFS(BD!$A$3:$A$5001,AF$3,BD!$B$3:$B$5001,$A$323,BD!$D$3:$D$5001,"&lt;&gt;")=0,"",SUMIFS(BD!$D$3:$D$5001,BD!$A$3:$A$5001,AF$3,BD!$B$3:$B$5001,$A$323)))</f>
        <v/>
      </c>
      <c r="AG324" s="179" t="str">
        <f>IF(AG$3="","",IF(COUNTIFS(BD!$A$3:$A$5001,AG$3,BD!$B$3:$B$5001,$A$323,BD!$D$3:$D$5001,"&lt;&gt;")=0,"",SUMIFS(BD!$D$3:$D$5001,BD!$A$3:$A$5001,AG$3,BD!$B$3:$B$5001,$A$323)))</f>
        <v/>
      </c>
      <c r="AH324" s="179" t="str">
        <f>IF(AH$3="","",IF(COUNTIFS(BD!$A$3:$A$5001,AH$3,BD!$B$3:$B$5001,$A$323,BD!$D$3:$D$5001,"&lt;&gt;")=0,"",SUMIFS(BD!$D$3:$D$5001,BD!$A$3:$A$5001,AH$3,BD!$B$3:$B$5001,$A$323)))</f>
        <v/>
      </c>
      <c r="AI324" s="179" t="str">
        <f>IF(AI$3="","",IF(COUNTIFS(BD!$A$3:$A$5001,AI$3,BD!$B$3:$B$5001,$A$323,BD!$D$3:$D$5001,"&lt;&gt;")=0,"",SUMIFS(BD!$D$3:$D$5001,BD!$A$3:$A$5001,AI$3,BD!$B$3:$B$5001,$A$323)))</f>
        <v/>
      </c>
      <c r="AJ324" s="180" t="str">
        <f>IF(AJ$3="","",IF(COUNTIFS(BD!$A$3:$A$5001,AJ$3,BD!$B$3:$B$5001,$A$323,BD!$D$3:$D$5001,"&lt;&gt;")=0,"",SUMIFS(BD!$D$3:$D$5001,BD!$A$3:$A$5001,AJ$3,BD!$B$3:$B$5001,$A$323)))</f>
        <v/>
      </c>
      <c r="AK324" s="181" t="str">
        <f>IF(COUNT(F324:AJ324)=0,"",SUM(F324:AJ324))</f>
        <v/>
      </c>
    </row>
    <row r="325" ht="15.75" customHeight="1" hidden="1">
      <c r="A325" s="277"/>
      <c r="B325" s="265"/>
      <c r="C325" s="175" t="inlineStr">
        <is>
          <t xml:space="preserve">Toneladas Movimentadas</t>
        </is>
      </c>
      <c r="D325" s="176" t="str">
        <f>IFERROR(1/(1/INDEX(BD!$AF$25:$AZ$25,MATCH($A$323,BD!$AF$22:$AZ$22,0))),"")</f>
        <v/>
      </c>
      <c r="E325" s="177"/>
      <c r="F325" s="182" t="str">
        <f>IF(F$3="","",IF(COUNTIFS(BD!$A$3:$A$5001,F$3,BD!$B$3:$B$5001,$A$323,BD!$E$3:$E$5001,"&lt;&gt;")=0,"",SUMIFS(BD!$E$3:$E$5001,BD!$A$3:$A$5001,F$3,BD!$B$3:$B$5001,$A$323)))</f>
        <v/>
      </c>
      <c r="G325" s="183" t="str">
        <f>IF(G$3="","",IF(COUNTIFS(BD!$A$3:$A$5001,G$3,BD!$B$3:$B$5001,$A$323,BD!$E$3:$E$5001,"&lt;&gt;")=0,"",SUMIFS(BD!$E$3:$E$5001,BD!$A$3:$A$5001,G$3,BD!$B$3:$B$5001,$A$323)))</f>
        <v/>
      </c>
      <c r="H325" s="183" t="str">
        <f>IF(H$3="","",IF(COUNTIFS(BD!$A$3:$A$5001,H$3,BD!$B$3:$B$5001,$A$323,BD!$E$3:$E$5001,"&lt;&gt;")=0,"",SUMIFS(BD!$E$3:$E$5001,BD!$A$3:$A$5001,H$3,BD!$B$3:$B$5001,$A$323)))</f>
        <v/>
      </c>
      <c r="I325" s="183" t="str">
        <f>IF(I$3="","",IF(COUNTIFS(BD!$A$3:$A$5001,I$3,BD!$B$3:$B$5001,$A$323,BD!$E$3:$E$5001,"&lt;&gt;")=0,"",SUMIFS(BD!$E$3:$E$5001,BD!$A$3:$A$5001,I$3,BD!$B$3:$B$5001,$A$323)))</f>
        <v/>
      </c>
      <c r="J325" s="183" t="str">
        <f>IF(J$3="","",IF(COUNTIFS(BD!$A$3:$A$5001,J$3,BD!$B$3:$B$5001,$A$323,BD!$E$3:$E$5001,"&lt;&gt;")=0,"",SUMIFS(BD!$E$3:$E$5001,BD!$A$3:$A$5001,J$3,BD!$B$3:$B$5001,$A$323)))</f>
        <v/>
      </c>
      <c r="K325" s="183" t="str">
        <f>IF(K$3="","",IF(COUNTIFS(BD!$A$3:$A$5001,K$3,BD!$B$3:$B$5001,$A$323,BD!$E$3:$E$5001,"&lt;&gt;")=0,"",SUMIFS(BD!$E$3:$E$5001,BD!$A$3:$A$5001,K$3,BD!$B$3:$B$5001,$A$323)))</f>
        <v/>
      </c>
      <c r="L325" s="183" t="str">
        <f>IF(L$3="","",IF(COUNTIFS(BD!$A$3:$A$5001,L$3,BD!$B$3:$B$5001,$A$323,BD!$E$3:$E$5001,"&lt;&gt;")=0,"",SUMIFS(BD!$E$3:$E$5001,BD!$A$3:$A$5001,L$3,BD!$B$3:$B$5001,$A$323)))</f>
        <v/>
      </c>
      <c r="M325" s="183" t="str">
        <f>IF(M$3="","",IF(COUNTIFS(BD!$A$3:$A$5001,M$3,BD!$B$3:$B$5001,$A$323,BD!$E$3:$E$5001,"&lt;&gt;")=0,"",SUMIFS(BD!$E$3:$E$5001,BD!$A$3:$A$5001,M$3,BD!$B$3:$B$5001,$A$323)))</f>
        <v/>
      </c>
      <c r="N325" s="183" t="str">
        <f>IF(N$3="","",IF(COUNTIFS(BD!$A$3:$A$5001,N$3,BD!$B$3:$B$5001,$A$323,BD!$E$3:$E$5001,"&lt;&gt;")=0,"",SUMIFS(BD!$E$3:$E$5001,BD!$A$3:$A$5001,N$3,BD!$B$3:$B$5001,$A$323)))</f>
        <v/>
      </c>
      <c r="O325" s="183" t="str">
        <f>IF(O$3="","",IF(COUNTIFS(BD!$A$3:$A$5001,O$3,BD!$B$3:$B$5001,$A$323,BD!$E$3:$E$5001,"&lt;&gt;")=0,"",SUMIFS(BD!$E$3:$E$5001,BD!$A$3:$A$5001,O$3,BD!$B$3:$B$5001,$A$323)))</f>
        <v/>
      </c>
      <c r="P325" s="183" t="str">
        <f>IF(P$3="","",IF(COUNTIFS(BD!$A$3:$A$5001,P$3,BD!$B$3:$B$5001,$A$323,BD!$E$3:$E$5001,"&lt;&gt;")=0,"",SUMIFS(BD!$E$3:$E$5001,BD!$A$3:$A$5001,P$3,BD!$B$3:$B$5001,$A$323)))</f>
        <v/>
      </c>
      <c r="Q325" s="183" t="str">
        <f>IF(Q$3="","",IF(COUNTIFS(BD!$A$3:$A$5001,Q$3,BD!$B$3:$B$5001,$A$323,BD!$E$3:$E$5001,"&lt;&gt;")=0,"",SUMIFS(BD!$E$3:$E$5001,BD!$A$3:$A$5001,Q$3,BD!$B$3:$B$5001,$A$323)))</f>
        <v/>
      </c>
      <c r="R325" s="183" t="str">
        <f>IF(R$3="","",IF(COUNTIFS(BD!$A$3:$A$5001,R$3,BD!$B$3:$B$5001,$A$323,BD!$E$3:$E$5001,"&lt;&gt;")=0,"",SUMIFS(BD!$E$3:$E$5001,BD!$A$3:$A$5001,R$3,BD!$B$3:$B$5001,$A$323)))</f>
        <v/>
      </c>
      <c r="S325" s="183" t="str">
        <f>IF(S$3="","",IF(COUNTIFS(BD!$A$3:$A$5001,S$3,BD!$B$3:$B$5001,$A$323,BD!$E$3:$E$5001,"&lt;&gt;")=0,"",SUMIFS(BD!$E$3:$E$5001,BD!$A$3:$A$5001,S$3,BD!$B$3:$B$5001,$A$323)))</f>
        <v/>
      </c>
      <c r="T325" s="183" t="str">
        <f>IF(T$3="","",IF(COUNTIFS(BD!$A$3:$A$5001,T$3,BD!$B$3:$B$5001,$A$323,BD!$E$3:$E$5001,"&lt;&gt;")=0,"",SUMIFS(BD!$E$3:$E$5001,BD!$A$3:$A$5001,T$3,BD!$B$3:$B$5001,$A$323)))</f>
        <v/>
      </c>
      <c r="U325" s="183" t="str">
        <f>IF(U$3="","",IF(COUNTIFS(BD!$A$3:$A$5001,U$3,BD!$B$3:$B$5001,$A$323,BD!$E$3:$E$5001,"&lt;&gt;")=0,"",SUMIFS(BD!$E$3:$E$5001,BD!$A$3:$A$5001,U$3,BD!$B$3:$B$5001,$A$323)))</f>
        <v/>
      </c>
      <c r="V325" s="183" t="str">
        <f>IF(V$3="","",IF(COUNTIFS(BD!$A$3:$A$5001,V$3,BD!$B$3:$B$5001,$A$323,BD!$E$3:$E$5001,"&lt;&gt;")=0,"",SUMIFS(BD!$E$3:$E$5001,BD!$A$3:$A$5001,V$3,BD!$B$3:$B$5001,$A$323)))</f>
        <v/>
      </c>
      <c r="W325" s="183" t="str">
        <f>IF(W$3="","",IF(COUNTIFS(BD!$A$3:$A$5001,W$3,BD!$B$3:$B$5001,$A$323,BD!$E$3:$E$5001,"&lt;&gt;")=0,"",SUMIFS(BD!$E$3:$E$5001,BD!$A$3:$A$5001,W$3,BD!$B$3:$B$5001,$A$323)))</f>
        <v/>
      </c>
      <c r="X325" s="183" t="str">
        <f>IF(X$3="","",IF(COUNTIFS(BD!$A$3:$A$5001,X$3,BD!$B$3:$B$5001,$A$323,BD!$E$3:$E$5001,"&lt;&gt;")=0,"",SUMIFS(BD!$E$3:$E$5001,BD!$A$3:$A$5001,X$3,BD!$B$3:$B$5001,$A$323)))</f>
        <v/>
      </c>
      <c r="Y325" s="183" t="str">
        <f>IF(Y$3="","",IF(COUNTIFS(BD!$A$3:$A$5001,Y$3,BD!$B$3:$B$5001,$A$323,BD!$E$3:$E$5001,"&lt;&gt;")=0,"",SUMIFS(BD!$E$3:$E$5001,BD!$A$3:$A$5001,Y$3,BD!$B$3:$B$5001,$A$323)))</f>
        <v/>
      </c>
      <c r="Z325" s="183" t="str">
        <f>IF(Z$3="","",IF(COUNTIFS(BD!$A$3:$A$5001,Z$3,BD!$B$3:$B$5001,$A$323,BD!$E$3:$E$5001,"&lt;&gt;")=0,"",SUMIFS(BD!$E$3:$E$5001,BD!$A$3:$A$5001,Z$3,BD!$B$3:$B$5001,$A$323)))</f>
        <v/>
      </c>
      <c r="AA325" s="183" t="str">
        <f>IF(AA$3="","",IF(COUNTIFS(BD!$A$3:$A$5001,AA$3,BD!$B$3:$B$5001,$A$323,BD!$E$3:$E$5001,"&lt;&gt;")=0,"",SUMIFS(BD!$E$3:$E$5001,BD!$A$3:$A$5001,AA$3,BD!$B$3:$B$5001,$A$323)))</f>
        <v/>
      </c>
      <c r="AB325" s="183" t="str">
        <f>IF(AB$3="","",IF(COUNTIFS(BD!$A$3:$A$5001,AB$3,BD!$B$3:$B$5001,$A$323,BD!$E$3:$E$5001,"&lt;&gt;")=0,"",SUMIFS(BD!$E$3:$E$5001,BD!$A$3:$A$5001,AB$3,BD!$B$3:$B$5001,$A$323)))</f>
        <v/>
      </c>
      <c r="AC325" s="183" t="str">
        <f>IF(AC$3="","",IF(COUNTIFS(BD!$A$3:$A$5001,AC$3,BD!$B$3:$B$5001,$A$323,BD!$E$3:$E$5001,"&lt;&gt;")=0,"",SUMIFS(BD!$E$3:$E$5001,BD!$A$3:$A$5001,AC$3,BD!$B$3:$B$5001,$A$323)))</f>
        <v/>
      </c>
      <c r="AD325" s="183" t="str">
        <f>IF(AD$3="","",IF(COUNTIFS(BD!$A$3:$A$5001,AD$3,BD!$B$3:$B$5001,$A$323,BD!$E$3:$E$5001,"&lt;&gt;")=0,"",SUMIFS(BD!$E$3:$E$5001,BD!$A$3:$A$5001,AD$3,BD!$B$3:$B$5001,$A$323)))</f>
        <v/>
      </c>
      <c r="AE325" s="183" t="str">
        <f>IF(AE$3="","",IF(COUNTIFS(BD!$A$3:$A$5001,AE$3,BD!$B$3:$B$5001,$A$323,BD!$E$3:$E$5001,"&lt;&gt;")=0,"",SUMIFS(BD!$E$3:$E$5001,BD!$A$3:$A$5001,AE$3,BD!$B$3:$B$5001,$A$323)))</f>
        <v/>
      </c>
      <c r="AF325" s="183" t="str">
        <f>IF(AF$3="","",IF(COUNTIFS(BD!$A$3:$A$5001,AF$3,BD!$B$3:$B$5001,$A$323,BD!$E$3:$E$5001,"&lt;&gt;")=0,"",SUMIFS(BD!$E$3:$E$5001,BD!$A$3:$A$5001,AF$3,BD!$B$3:$B$5001,$A$323)))</f>
        <v/>
      </c>
      <c r="AG325" s="183" t="str">
        <f>IF(AG$3="","",IF(COUNTIFS(BD!$A$3:$A$5001,AG$3,BD!$B$3:$B$5001,$A$323,BD!$E$3:$E$5001,"&lt;&gt;")=0,"",SUMIFS(BD!$E$3:$E$5001,BD!$A$3:$A$5001,AG$3,BD!$B$3:$B$5001,$A$323)))</f>
        <v/>
      </c>
      <c r="AH325" s="183" t="str">
        <f>IF(AH$3="","",IF(COUNTIFS(BD!$A$3:$A$5001,AH$3,BD!$B$3:$B$5001,$A$323,BD!$E$3:$E$5001,"&lt;&gt;")=0,"",SUMIFS(BD!$E$3:$E$5001,BD!$A$3:$A$5001,AH$3,BD!$B$3:$B$5001,$A$323)))</f>
        <v/>
      </c>
      <c r="AI325" s="183" t="str">
        <f>IF(AI$3="","",IF(COUNTIFS(BD!$A$3:$A$5001,AI$3,BD!$B$3:$B$5001,$A$323,BD!$E$3:$E$5001,"&lt;&gt;")=0,"",SUMIFS(BD!$E$3:$E$5001,BD!$A$3:$A$5001,AI$3,BD!$B$3:$B$5001,$A$323)))</f>
        <v/>
      </c>
      <c r="AJ325" s="184" t="str">
        <f>IF(AJ$3="","",IF(COUNTIFS(BD!$A$3:$A$5001,AJ$3,BD!$B$3:$B$5001,$A$323,BD!$E$3:$E$5001,"&lt;&gt;")=0,"",SUMIFS(BD!$E$3:$E$5001,BD!$A$3:$A$5001,AJ$3,BD!$B$3:$B$5001,$A$323)))</f>
        <v/>
      </c>
      <c r="AK325" s="185" t="str">
        <f>IF(COUNT(F325:AJ325)=0,"",SUM(F325:AJ325))</f>
        <v/>
      </c>
    </row>
    <row r="326" ht="15.75" customHeight="1" hidden="1">
      <c r="A326" s="277"/>
      <c r="B326" s="265"/>
      <c r="C326" s="175" t="inlineStr">
        <is>
          <t xml:space="preserve">Caixas Recebidas</t>
        </is>
      </c>
      <c r="D326" s="176" t="str">
        <f>IFERROR(1/(1/INDEX(BD!$AF$26:$AZ$26,MATCH($A$323,BD!$AF$22:$AZ$22,0))),"")</f>
        <v/>
      </c>
      <c r="E326" s="177"/>
      <c r="F326" s="178" t="str">
        <f>IF(F$3="","",IF(COUNTIFS(BD!$A$3:$A$5001,F$3,BD!$B$3:$B$5001,$A$323,BD!$F$3:$F$5001,"&lt;&gt;")=0,"",SUMIFS(BD!$F$3:$F$5001,BD!$A$3:$A$5001,F$3,BD!$B$3:$B$5001,$A$323)))</f>
        <v/>
      </c>
      <c r="G326" s="179" t="str">
        <f>IF(G$3="","",IF(COUNTIFS(BD!$A$3:$A$5001,G$3,BD!$B$3:$B$5001,$A$323,BD!$F$3:$F$5001,"&lt;&gt;")=0,"",SUMIFS(BD!$F$3:$F$5001,BD!$A$3:$A$5001,G$3,BD!$B$3:$B$5001,$A$323)))</f>
        <v/>
      </c>
      <c r="H326" s="179" t="str">
        <f>IF(H$3="","",IF(COUNTIFS(BD!$A$3:$A$5001,H$3,BD!$B$3:$B$5001,$A$323,BD!$F$3:$F$5001,"&lt;&gt;")=0,"",SUMIFS(BD!$F$3:$F$5001,BD!$A$3:$A$5001,H$3,BD!$B$3:$B$5001,$A$323)))</f>
        <v/>
      </c>
      <c r="I326" s="179" t="str">
        <f>IF(I$3="","",IF(COUNTIFS(BD!$A$3:$A$5001,I$3,BD!$B$3:$B$5001,$A$323,BD!$F$3:$F$5001,"&lt;&gt;")=0,"",SUMIFS(BD!$F$3:$F$5001,BD!$A$3:$A$5001,I$3,BD!$B$3:$B$5001,$A$323)))</f>
        <v/>
      </c>
      <c r="J326" s="179" t="str">
        <f>IF(J$3="","",IF(COUNTIFS(BD!$A$3:$A$5001,J$3,BD!$B$3:$B$5001,$A$323,BD!$F$3:$F$5001,"&lt;&gt;")=0,"",SUMIFS(BD!$F$3:$F$5001,BD!$A$3:$A$5001,J$3,BD!$B$3:$B$5001,$A$323)))</f>
        <v/>
      </c>
      <c r="K326" s="179" t="str">
        <f>IF(K$3="","",IF(COUNTIFS(BD!$A$3:$A$5001,K$3,BD!$B$3:$B$5001,$A$323,BD!$F$3:$F$5001,"&lt;&gt;")=0,"",SUMIFS(BD!$F$3:$F$5001,BD!$A$3:$A$5001,K$3,BD!$B$3:$B$5001,$A$323)))</f>
        <v/>
      </c>
      <c r="L326" s="179" t="str">
        <f>IF(L$3="","",IF(COUNTIFS(BD!$A$3:$A$5001,L$3,BD!$B$3:$B$5001,$A$323,BD!$F$3:$F$5001,"&lt;&gt;")=0,"",SUMIFS(BD!$F$3:$F$5001,BD!$A$3:$A$5001,L$3,BD!$B$3:$B$5001,$A$323)))</f>
        <v/>
      </c>
      <c r="M326" s="179" t="str">
        <f>IF(M$3="","",IF(COUNTIFS(BD!$A$3:$A$5001,M$3,BD!$B$3:$B$5001,$A$323,BD!$F$3:$F$5001,"&lt;&gt;")=0,"",SUMIFS(BD!$F$3:$F$5001,BD!$A$3:$A$5001,M$3,BD!$B$3:$B$5001,$A$323)))</f>
        <v/>
      </c>
      <c r="N326" s="179" t="str">
        <f>IF(N$3="","",IF(COUNTIFS(BD!$A$3:$A$5001,N$3,BD!$B$3:$B$5001,$A$323,BD!$F$3:$F$5001,"&lt;&gt;")=0,"",SUMIFS(BD!$F$3:$F$5001,BD!$A$3:$A$5001,N$3,BD!$B$3:$B$5001,$A$323)))</f>
        <v/>
      </c>
      <c r="O326" s="179" t="str">
        <f>IF(O$3="","",IF(COUNTIFS(BD!$A$3:$A$5001,O$3,BD!$B$3:$B$5001,$A$323,BD!$F$3:$F$5001,"&lt;&gt;")=0,"",SUMIFS(BD!$F$3:$F$5001,BD!$A$3:$A$5001,O$3,BD!$B$3:$B$5001,$A$323)))</f>
        <v/>
      </c>
      <c r="P326" s="179" t="str">
        <f>IF(P$3="","",IF(COUNTIFS(BD!$A$3:$A$5001,P$3,BD!$B$3:$B$5001,$A$323,BD!$F$3:$F$5001,"&lt;&gt;")=0,"",SUMIFS(BD!$F$3:$F$5001,BD!$A$3:$A$5001,P$3,BD!$B$3:$B$5001,$A$323)))</f>
        <v/>
      </c>
      <c r="Q326" s="179" t="str">
        <f>IF(Q$3="","",IF(COUNTIFS(BD!$A$3:$A$5001,Q$3,BD!$B$3:$B$5001,$A$323,BD!$F$3:$F$5001,"&lt;&gt;")=0,"",SUMIFS(BD!$F$3:$F$5001,BD!$A$3:$A$5001,Q$3,BD!$B$3:$B$5001,$A$323)))</f>
        <v/>
      </c>
      <c r="R326" s="179" t="str">
        <f>IF(R$3="","",IF(COUNTIFS(BD!$A$3:$A$5001,R$3,BD!$B$3:$B$5001,$A$323,BD!$F$3:$F$5001,"&lt;&gt;")=0,"",SUMIFS(BD!$F$3:$F$5001,BD!$A$3:$A$5001,R$3,BD!$B$3:$B$5001,$A$323)))</f>
        <v/>
      </c>
      <c r="S326" s="179" t="str">
        <f>IF(S$3="","",IF(COUNTIFS(BD!$A$3:$A$5001,S$3,BD!$B$3:$B$5001,$A$323,BD!$F$3:$F$5001,"&lt;&gt;")=0,"",SUMIFS(BD!$F$3:$F$5001,BD!$A$3:$A$5001,S$3,BD!$B$3:$B$5001,$A$323)))</f>
        <v/>
      </c>
      <c r="T326" s="179" t="str">
        <f>IF(T$3="","",IF(COUNTIFS(BD!$A$3:$A$5001,T$3,BD!$B$3:$B$5001,$A$323,BD!$F$3:$F$5001,"&lt;&gt;")=0,"",SUMIFS(BD!$F$3:$F$5001,BD!$A$3:$A$5001,T$3,BD!$B$3:$B$5001,$A$323)))</f>
        <v/>
      </c>
      <c r="U326" s="179" t="str">
        <f>IF(U$3="","",IF(COUNTIFS(BD!$A$3:$A$5001,U$3,BD!$B$3:$B$5001,$A$323,BD!$F$3:$F$5001,"&lt;&gt;")=0,"",SUMIFS(BD!$F$3:$F$5001,BD!$A$3:$A$5001,U$3,BD!$B$3:$B$5001,$A$323)))</f>
        <v/>
      </c>
      <c r="V326" s="179" t="str">
        <f>IF(V$3="","",IF(COUNTIFS(BD!$A$3:$A$5001,V$3,BD!$B$3:$B$5001,$A$323,BD!$F$3:$F$5001,"&lt;&gt;")=0,"",SUMIFS(BD!$F$3:$F$5001,BD!$A$3:$A$5001,V$3,BD!$B$3:$B$5001,$A$323)))</f>
        <v/>
      </c>
      <c r="W326" s="179" t="str">
        <f>IF(W$3="","",IF(COUNTIFS(BD!$A$3:$A$5001,W$3,BD!$B$3:$B$5001,$A$323,BD!$F$3:$F$5001,"&lt;&gt;")=0,"",SUMIFS(BD!$F$3:$F$5001,BD!$A$3:$A$5001,W$3,BD!$B$3:$B$5001,$A$323)))</f>
        <v/>
      </c>
      <c r="X326" s="179" t="str">
        <f>IF(X$3="","",IF(COUNTIFS(BD!$A$3:$A$5001,X$3,BD!$B$3:$B$5001,$A$323,BD!$F$3:$F$5001,"&lt;&gt;")=0,"",SUMIFS(BD!$F$3:$F$5001,BD!$A$3:$A$5001,X$3,BD!$B$3:$B$5001,$A$323)))</f>
        <v/>
      </c>
      <c r="Y326" s="179" t="str">
        <f>IF(Y$3="","",IF(COUNTIFS(BD!$A$3:$A$5001,Y$3,BD!$B$3:$B$5001,$A$323,BD!$F$3:$F$5001,"&lt;&gt;")=0,"",SUMIFS(BD!$F$3:$F$5001,BD!$A$3:$A$5001,Y$3,BD!$B$3:$B$5001,$A$323)))</f>
        <v/>
      </c>
      <c r="Z326" s="179" t="str">
        <f>IF(Z$3="","",IF(COUNTIFS(BD!$A$3:$A$5001,Z$3,BD!$B$3:$B$5001,$A$323,BD!$F$3:$F$5001,"&lt;&gt;")=0,"",SUMIFS(BD!$F$3:$F$5001,BD!$A$3:$A$5001,Z$3,BD!$B$3:$B$5001,$A$323)))</f>
        <v/>
      </c>
      <c r="AA326" s="179" t="str">
        <f>IF(AA$3="","",IF(COUNTIFS(BD!$A$3:$A$5001,AA$3,BD!$B$3:$B$5001,$A$323,BD!$F$3:$F$5001,"&lt;&gt;")=0,"",SUMIFS(BD!$F$3:$F$5001,BD!$A$3:$A$5001,AA$3,BD!$B$3:$B$5001,$A$323)))</f>
        <v/>
      </c>
      <c r="AB326" s="179" t="str">
        <f>IF(AB$3="","",IF(COUNTIFS(BD!$A$3:$A$5001,AB$3,BD!$B$3:$B$5001,$A$323,BD!$F$3:$F$5001,"&lt;&gt;")=0,"",SUMIFS(BD!$F$3:$F$5001,BD!$A$3:$A$5001,AB$3,BD!$B$3:$B$5001,$A$323)))</f>
        <v/>
      </c>
      <c r="AC326" s="179" t="str">
        <f>IF(AC$3="","",IF(COUNTIFS(BD!$A$3:$A$5001,AC$3,BD!$B$3:$B$5001,$A$323,BD!$F$3:$F$5001,"&lt;&gt;")=0,"",SUMIFS(BD!$F$3:$F$5001,BD!$A$3:$A$5001,AC$3,BD!$B$3:$B$5001,$A$323)))</f>
        <v/>
      </c>
      <c r="AD326" s="179" t="str">
        <f>IF(AD$3="","",IF(COUNTIFS(BD!$A$3:$A$5001,AD$3,BD!$B$3:$B$5001,$A$323,BD!$F$3:$F$5001,"&lt;&gt;")=0,"",SUMIFS(BD!$F$3:$F$5001,BD!$A$3:$A$5001,AD$3,BD!$B$3:$B$5001,$A$323)))</f>
        <v/>
      </c>
      <c r="AE326" s="179" t="str">
        <f>IF(AE$3="","",IF(COUNTIFS(BD!$A$3:$A$5001,AE$3,BD!$B$3:$B$5001,$A$323,BD!$F$3:$F$5001,"&lt;&gt;")=0,"",SUMIFS(BD!$F$3:$F$5001,BD!$A$3:$A$5001,AE$3,BD!$B$3:$B$5001,$A$323)))</f>
        <v/>
      </c>
      <c r="AF326" s="179" t="str">
        <f>IF(AF$3="","",IF(COUNTIFS(BD!$A$3:$A$5001,AF$3,BD!$B$3:$B$5001,$A$323,BD!$F$3:$F$5001,"&lt;&gt;")=0,"",SUMIFS(BD!$F$3:$F$5001,BD!$A$3:$A$5001,AF$3,BD!$B$3:$B$5001,$A$323)))</f>
        <v/>
      </c>
      <c r="AG326" s="179" t="str">
        <f>IF(AG$3="","",IF(COUNTIFS(BD!$A$3:$A$5001,AG$3,BD!$B$3:$B$5001,$A$323,BD!$F$3:$F$5001,"&lt;&gt;")=0,"",SUMIFS(BD!$F$3:$F$5001,BD!$A$3:$A$5001,AG$3,BD!$B$3:$B$5001,$A$323)))</f>
        <v/>
      </c>
      <c r="AH326" s="179" t="str">
        <f>IF(AH$3="","",IF(COUNTIFS(BD!$A$3:$A$5001,AH$3,BD!$B$3:$B$5001,$A$323,BD!$F$3:$F$5001,"&lt;&gt;")=0,"",SUMIFS(BD!$F$3:$F$5001,BD!$A$3:$A$5001,AH$3,BD!$B$3:$B$5001,$A$323)))</f>
        <v/>
      </c>
      <c r="AI326" s="179" t="str">
        <f>IF(AI$3="","",IF(COUNTIFS(BD!$A$3:$A$5001,AI$3,BD!$B$3:$B$5001,$A$323,BD!$F$3:$F$5001,"&lt;&gt;")=0,"",SUMIFS(BD!$F$3:$F$5001,BD!$A$3:$A$5001,AI$3,BD!$B$3:$B$5001,$A$323)))</f>
        <v/>
      </c>
      <c r="AJ326" s="180" t="str">
        <f>IF(AJ$3="","",IF(COUNTIFS(BD!$A$3:$A$5001,AJ$3,BD!$B$3:$B$5001,$A$323,BD!$F$3:$F$5001,"&lt;&gt;")=0,"",SUMIFS(BD!$F$3:$F$5001,BD!$A$3:$A$5001,AJ$3,BD!$B$3:$B$5001,$A$323)))</f>
        <v/>
      </c>
      <c r="AK326" s="181" t="str">
        <f>IF(COUNT(F326:AJ326)=0,"",SUM(F326:AJ326))</f>
        <v/>
      </c>
    </row>
    <row r="327" ht="15.75" customHeight="1" hidden="1">
      <c r="A327" s="277"/>
      <c r="B327" s="266"/>
      <c r="C327" s="186" t="inlineStr">
        <is>
          <t xml:space="preserve">Bags Recebidos</t>
        </is>
      </c>
      <c r="D327" s="187" t="str">
        <f>IFERROR(1/(1/INDEX(BD!$AF$27:$AZ$27,MATCH($A$323,BD!$AF$22:$AZ$22,0))),"")</f>
        <v/>
      </c>
      <c r="E327" s="188"/>
      <c r="F327" s="189" t="str">
        <f>IF(F$3="","",IF(COUNTIFS(BD!$A$3:$A$5001,F$3,BD!$B$3:$B$5001,$A$323,BD!$G$3:$G$5001,"&lt;&gt;")=0,"",SUMIFS(BD!$G$3:$G$5001,BD!$A$3:$A$5001,F$3,BD!$B$3:$B$5001,$A$323)))</f>
        <v/>
      </c>
      <c r="G327" s="190" t="str">
        <f>IF(G$3="","",IF(COUNTIFS(BD!$A$3:$A$5001,G$3,BD!$B$3:$B$5001,$A$323,BD!$G$3:$G$5001,"&lt;&gt;")=0,"",SUMIFS(BD!$G$3:$G$5001,BD!$A$3:$A$5001,G$3,BD!$B$3:$B$5001,$A$323)))</f>
        <v/>
      </c>
      <c r="H327" s="190" t="str">
        <f>IF(H$3="","",IF(COUNTIFS(BD!$A$3:$A$5001,H$3,BD!$B$3:$B$5001,$A$323,BD!$G$3:$G$5001,"&lt;&gt;")=0,"",SUMIFS(BD!$G$3:$G$5001,BD!$A$3:$A$5001,H$3,BD!$B$3:$B$5001,$A$323)))</f>
        <v/>
      </c>
      <c r="I327" s="190" t="str">
        <f>IF(I$3="","",IF(COUNTIFS(BD!$A$3:$A$5001,I$3,BD!$B$3:$B$5001,$A$323,BD!$G$3:$G$5001,"&lt;&gt;")=0,"",SUMIFS(BD!$G$3:$G$5001,BD!$A$3:$A$5001,I$3,BD!$B$3:$B$5001,$A$323)))</f>
        <v/>
      </c>
      <c r="J327" s="190" t="str">
        <f>IF(J$3="","",IF(COUNTIFS(BD!$A$3:$A$5001,J$3,BD!$B$3:$B$5001,$A$323,BD!$G$3:$G$5001,"&lt;&gt;")=0,"",SUMIFS(BD!$G$3:$G$5001,BD!$A$3:$A$5001,J$3,BD!$B$3:$B$5001,$A$323)))</f>
        <v/>
      </c>
      <c r="K327" s="190" t="str">
        <f>IF(K$3="","",IF(COUNTIFS(BD!$A$3:$A$5001,K$3,BD!$B$3:$B$5001,$A$323,BD!$G$3:$G$5001,"&lt;&gt;")=0,"",SUMIFS(BD!$G$3:$G$5001,BD!$A$3:$A$5001,K$3,BD!$B$3:$B$5001,$A$323)))</f>
        <v/>
      </c>
      <c r="L327" s="190" t="str">
        <f>IF(L$3="","",IF(COUNTIFS(BD!$A$3:$A$5001,L$3,BD!$B$3:$B$5001,$A$323,BD!$G$3:$G$5001,"&lt;&gt;")=0,"",SUMIFS(BD!$G$3:$G$5001,BD!$A$3:$A$5001,L$3,BD!$B$3:$B$5001,$A$323)))</f>
        <v/>
      </c>
      <c r="M327" s="190" t="str">
        <f>IF(M$3="","",IF(COUNTIFS(BD!$A$3:$A$5001,M$3,BD!$B$3:$B$5001,$A$323,BD!$G$3:$G$5001,"&lt;&gt;")=0,"",SUMIFS(BD!$G$3:$G$5001,BD!$A$3:$A$5001,M$3,BD!$B$3:$B$5001,$A$323)))</f>
        <v/>
      </c>
      <c r="N327" s="190" t="str">
        <f>IF(N$3="","",IF(COUNTIFS(BD!$A$3:$A$5001,N$3,BD!$B$3:$B$5001,$A$323,BD!$G$3:$G$5001,"&lt;&gt;")=0,"",SUMIFS(BD!$G$3:$G$5001,BD!$A$3:$A$5001,N$3,BD!$B$3:$B$5001,$A$323)))</f>
        <v/>
      </c>
      <c r="O327" s="190" t="str">
        <f>IF(O$3="","",IF(COUNTIFS(BD!$A$3:$A$5001,O$3,BD!$B$3:$B$5001,$A$323,BD!$G$3:$G$5001,"&lt;&gt;")=0,"",SUMIFS(BD!$G$3:$G$5001,BD!$A$3:$A$5001,O$3,BD!$B$3:$B$5001,$A$323)))</f>
        <v/>
      </c>
      <c r="P327" s="190" t="str">
        <f>IF(P$3="","",IF(COUNTIFS(BD!$A$3:$A$5001,P$3,BD!$B$3:$B$5001,$A$323,BD!$G$3:$G$5001,"&lt;&gt;")=0,"",SUMIFS(BD!$G$3:$G$5001,BD!$A$3:$A$5001,P$3,BD!$B$3:$B$5001,$A$323)))</f>
        <v/>
      </c>
      <c r="Q327" s="190" t="str">
        <f>IF(Q$3="","",IF(COUNTIFS(BD!$A$3:$A$5001,Q$3,BD!$B$3:$B$5001,$A$323,BD!$G$3:$G$5001,"&lt;&gt;")=0,"",SUMIFS(BD!$G$3:$G$5001,BD!$A$3:$A$5001,Q$3,BD!$B$3:$B$5001,$A$323)))</f>
        <v/>
      </c>
      <c r="R327" s="190" t="str">
        <f>IF(R$3="","",IF(COUNTIFS(BD!$A$3:$A$5001,R$3,BD!$B$3:$B$5001,$A$323,BD!$G$3:$G$5001,"&lt;&gt;")=0,"",SUMIFS(BD!$G$3:$G$5001,BD!$A$3:$A$5001,R$3,BD!$B$3:$B$5001,$A$323)))</f>
        <v/>
      </c>
      <c r="S327" s="190" t="str">
        <f>IF(S$3="","",IF(COUNTIFS(BD!$A$3:$A$5001,S$3,BD!$B$3:$B$5001,$A$323,BD!$G$3:$G$5001,"&lt;&gt;")=0,"",SUMIFS(BD!$G$3:$G$5001,BD!$A$3:$A$5001,S$3,BD!$B$3:$B$5001,$A$323)))</f>
        <v/>
      </c>
      <c r="T327" s="190" t="str">
        <f>IF(T$3="","",IF(COUNTIFS(BD!$A$3:$A$5001,T$3,BD!$B$3:$B$5001,$A$323,BD!$G$3:$G$5001,"&lt;&gt;")=0,"",SUMIFS(BD!$G$3:$G$5001,BD!$A$3:$A$5001,T$3,BD!$B$3:$B$5001,$A$323)))</f>
        <v/>
      </c>
      <c r="U327" s="190" t="str">
        <f>IF(U$3="","",IF(COUNTIFS(BD!$A$3:$A$5001,U$3,BD!$B$3:$B$5001,$A$323,BD!$G$3:$G$5001,"&lt;&gt;")=0,"",SUMIFS(BD!$G$3:$G$5001,BD!$A$3:$A$5001,U$3,BD!$B$3:$B$5001,$A$323)))</f>
        <v/>
      </c>
      <c r="V327" s="190" t="str">
        <f>IF(V$3="","",IF(COUNTIFS(BD!$A$3:$A$5001,V$3,BD!$B$3:$B$5001,$A$323,BD!$G$3:$G$5001,"&lt;&gt;")=0,"",SUMIFS(BD!$G$3:$G$5001,BD!$A$3:$A$5001,V$3,BD!$B$3:$B$5001,$A$323)))</f>
        <v/>
      </c>
      <c r="W327" s="190" t="str">
        <f>IF(W$3="","",IF(COUNTIFS(BD!$A$3:$A$5001,W$3,BD!$B$3:$B$5001,$A$323,BD!$G$3:$G$5001,"&lt;&gt;")=0,"",SUMIFS(BD!$G$3:$G$5001,BD!$A$3:$A$5001,W$3,BD!$B$3:$B$5001,$A$323)))</f>
        <v/>
      </c>
      <c r="X327" s="190" t="str">
        <f>IF(X$3="","",IF(COUNTIFS(BD!$A$3:$A$5001,X$3,BD!$B$3:$B$5001,$A$323,BD!$G$3:$G$5001,"&lt;&gt;")=0,"",SUMIFS(BD!$G$3:$G$5001,BD!$A$3:$A$5001,X$3,BD!$B$3:$B$5001,$A$323)))</f>
        <v/>
      </c>
      <c r="Y327" s="190" t="str">
        <f>IF(Y$3="","",IF(COUNTIFS(BD!$A$3:$A$5001,Y$3,BD!$B$3:$B$5001,$A$323,BD!$G$3:$G$5001,"&lt;&gt;")=0,"",SUMIFS(BD!$G$3:$G$5001,BD!$A$3:$A$5001,Y$3,BD!$B$3:$B$5001,$A$323)))</f>
        <v/>
      </c>
      <c r="Z327" s="190" t="str">
        <f>IF(Z$3="","",IF(COUNTIFS(BD!$A$3:$A$5001,Z$3,BD!$B$3:$B$5001,$A$323,BD!$G$3:$G$5001,"&lt;&gt;")=0,"",SUMIFS(BD!$G$3:$G$5001,BD!$A$3:$A$5001,Z$3,BD!$B$3:$B$5001,$A$323)))</f>
        <v/>
      </c>
      <c r="AA327" s="190" t="str">
        <f>IF(AA$3="","",IF(COUNTIFS(BD!$A$3:$A$5001,AA$3,BD!$B$3:$B$5001,$A$323,BD!$G$3:$G$5001,"&lt;&gt;")=0,"",SUMIFS(BD!$G$3:$G$5001,BD!$A$3:$A$5001,AA$3,BD!$B$3:$B$5001,$A$323)))</f>
        <v/>
      </c>
      <c r="AB327" s="190" t="str">
        <f>IF(AB$3="","",IF(COUNTIFS(BD!$A$3:$A$5001,AB$3,BD!$B$3:$B$5001,$A$323,BD!$G$3:$G$5001,"&lt;&gt;")=0,"",SUMIFS(BD!$G$3:$G$5001,BD!$A$3:$A$5001,AB$3,BD!$B$3:$B$5001,$A$323)))</f>
        <v/>
      </c>
      <c r="AC327" s="190" t="str">
        <f>IF(AC$3="","",IF(COUNTIFS(BD!$A$3:$A$5001,AC$3,BD!$B$3:$B$5001,$A$323,BD!$G$3:$G$5001,"&lt;&gt;")=0,"",SUMIFS(BD!$G$3:$G$5001,BD!$A$3:$A$5001,AC$3,BD!$B$3:$B$5001,$A$323)))</f>
        <v/>
      </c>
      <c r="AD327" s="190" t="str">
        <f>IF(AD$3="","",IF(COUNTIFS(BD!$A$3:$A$5001,AD$3,BD!$B$3:$B$5001,$A$323,BD!$G$3:$G$5001,"&lt;&gt;")=0,"",SUMIFS(BD!$G$3:$G$5001,BD!$A$3:$A$5001,AD$3,BD!$B$3:$B$5001,$A$323)))</f>
        <v/>
      </c>
      <c r="AE327" s="190" t="str">
        <f>IF(AE$3="","",IF(COUNTIFS(BD!$A$3:$A$5001,AE$3,BD!$B$3:$B$5001,$A$323,BD!$G$3:$G$5001,"&lt;&gt;")=0,"",SUMIFS(BD!$G$3:$G$5001,BD!$A$3:$A$5001,AE$3,BD!$B$3:$B$5001,$A$323)))</f>
        <v/>
      </c>
      <c r="AF327" s="190" t="str">
        <f>IF(AF$3="","",IF(COUNTIFS(BD!$A$3:$A$5001,AF$3,BD!$B$3:$B$5001,$A$323,BD!$G$3:$G$5001,"&lt;&gt;")=0,"",SUMIFS(BD!$G$3:$G$5001,BD!$A$3:$A$5001,AF$3,BD!$B$3:$B$5001,$A$323)))</f>
        <v/>
      </c>
      <c r="AG327" s="190" t="str">
        <f>IF(AG$3="","",IF(COUNTIFS(BD!$A$3:$A$5001,AG$3,BD!$B$3:$B$5001,$A$323,BD!$G$3:$G$5001,"&lt;&gt;")=0,"",SUMIFS(BD!$G$3:$G$5001,BD!$A$3:$A$5001,AG$3,BD!$B$3:$B$5001,$A$323)))</f>
        <v/>
      </c>
      <c r="AH327" s="190" t="str">
        <f>IF(AH$3="","",IF(COUNTIFS(BD!$A$3:$A$5001,AH$3,BD!$B$3:$B$5001,$A$323,BD!$G$3:$G$5001,"&lt;&gt;")=0,"",SUMIFS(BD!$G$3:$G$5001,BD!$A$3:$A$5001,AH$3,BD!$B$3:$B$5001,$A$323)))</f>
        <v/>
      </c>
      <c r="AI327" s="190" t="str">
        <f>IF(AI$3="","",IF(COUNTIFS(BD!$A$3:$A$5001,AI$3,BD!$B$3:$B$5001,$A$323,BD!$G$3:$G$5001,"&lt;&gt;")=0,"",SUMIFS(BD!$G$3:$G$5001,BD!$A$3:$A$5001,AI$3,BD!$B$3:$B$5001,$A$323)))</f>
        <v/>
      </c>
      <c r="AJ327" s="191" t="str">
        <f>IF(AJ$3="","",IF(COUNTIFS(BD!$A$3:$A$5001,AJ$3,BD!$B$3:$B$5001,$A$323,BD!$G$3:$G$5001,"&lt;&gt;")=0,"",SUMIFS(BD!$G$3:$G$5001,BD!$A$3:$A$5001,AJ$3,BD!$B$3:$B$5001,$A$323)))</f>
        <v/>
      </c>
      <c r="AK327" s="187" t="str">
        <f>IF(COUNT(F327:AJ327)=0,"",SUM(F327:AJ327))</f>
        <v/>
      </c>
    </row>
    <row r="328" ht="15.75" customHeight="1" hidden="1">
      <c r="A328" s="277"/>
      <c r="B328" s="267" t="inlineStr">
        <is>
          <t xml:space="preserve">OUT</t>
        </is>
      </c>
      <c r="C328" s="192" t="inlineStr">
        <is>
          <t xml:space="preserve">Veículos Expedidos</t>
        </is>
      </c>
      <c r="D328" s="193" t="str">
        <f>IFERROR(1/(1/INDEX(BD!$AF$28:$AZ$28,MATCH($A$323,BD!$AF$22:$AZ$22,0))),"")</f>
        <v/>
      </c>
      <c r="E328" s="194"/>
      <c r="F328" s="195" t="str">
        <f>IF(F$3="","",IF(COUNTIFS(BD!$A$3:$A$5001,F$3,BD!$B$3:$B$5001,$A$323,BD!$H$3:$H$5001,"&lt;&gt;")=0,"",SUMIFS(BD!$H$3:$H$5001,BD!$A$3:$A$5001,F$3,BD!$B$3:$B$5001,$A$323)))</f>
        <v/>
      </c>
      <c r="G328" s="196" t="str">
        <f>IF(G$3="","",IF(COUNTIFS(BD!$A$3:$A$5001,G$3,BD!$B$3:$B$5001,$A$323,BD!$H$3:$H$5001,"&lt;&gt;")=0,"",SUMIFS(BD!$H$3:$H$5001,BD!$A$3:$A$5001,G$3,BD!$B$3:$B$5001,$A$323)))</f>
        <v/>
      </c>
      <c r="H328" s="196" t="str">
        <f>IF(H$3="","",IF(COUNTIFS(BD!$A$3:$A$5001,H$3,BD!$B$3:$B$5001,$A$323,BD!$H$3:$H$5001,"&lt;&gt;")=0,"",SUMIFS(BD!$H$3:$H$5001,BD!$A$3:$A$5001,H$3,BD!$B$3:$B$5001,$A$323)))</f>
        <v/>
      </c>
      <c r="I328" s="196" t="str">
        <f>IF(I$3="","",IF(COUNTIFS(BD!$A$3:$A$5001,I$3,BD!$B$3:$B$5001,$A$323,BD!$H$3:$H$5001,"&lt;&gt;")=0,"",SUMIFS(BD!$H$3:$H$5001,BD!$A$3:$A$5001,I$3,BD!$B$3:$B$5001,$A$323)))</f>
        <v/>
      </c>
      <c r="J328" s="196" t="str">
        <f>IF(J$3="","",IF(COUNTIFS(BD!$A$3:$A$5001,J$3,BD!$B$3:$B$5001,$A$323,BD!$H$3:$H$5001,"&lt;&gt;")=0,"",SUMIFS(BD!$H$3:$H$5001,BD!$A$3:$A$5001,J$3,BD!$B$3:$B$5001,$A$323)))</f>
        <v/>
      </c>
      <c r="K328" s="196" t="str">
        <f>IF(K$3="","",IF(COUNTIFS(BD!$A$3:$A$5001,K$3,BD!$B$3:$B$5001,$A$323,BD!$H$3:$H$5001,"&lt;&gt;")=0,"",SUMIFS(BD!$H$3:$H$5001,BD!$A$3:$A$5001,K$3,BD!$B$3:$B$5001,$A$323)))</f>
        <v/>
      </c>
      <c r="L328" s="196" t="str">
        <f>IF(L$3="","",IF(COUNTIFS(BD!$A$3:$A$5001,L$3,BD!$B$3:$B$5001,$A$323,BD!$H$3:$H$5001,"&lt;&gt;")=0,"",SUMIFS(BD!$H$3:$H$5001,BD!$A$3:$A$5001,L$3,BD!$B$3:$B$5001,$A$323)))</f>
        <v/>
      </c>
      <c r="M328" s="196" t="str">
        <f>IF(M$3="","",IF(COUNTIFS(BD!$A$3:$A$5001,M$3,BD!$B$3:$B$5001,$A$323,BD!$H$3:$H$5001,"&lt;&gt;")=0,"",SUMIFS(BD!$H$3:$H$5001,BD!$A$3:$A$5001,M$3,BD!$B$3:$B$5001,$A$323)))</f>
        <v/>
      </c>
      <c r="N328" s="196" t="str">
        <f>IF(N$3="","",IF(COUNTIFS(BD!$A$3:$A$5001,N$3,BD!$B$3:$B$5001,$A$323,BD!$H$3:$H$5001,"&lt;&gt;")=0,"",SUMIFS(BD!$H$3:$H$5001,BD!$A$3:$A$5001,N$3,BD!$B$3:$B$5001,$A$323)))</f>
        <v/>
      </c>
      <c r="O328" s="196" t="str">
        <f>IF(O$3="","",IF(COUNTIFS(BD!$A$3:$A$5001,O$3,BD!$B$3:$B$5001,$A$323,BD!$H$3:$H$5001,"&lt;&gt;")=0,"",SUMIFS(BD!$H$3:$H$5001,BD!$A$3:$A$5001,O$3,BD!$B$3:$B$5001,$A$323)))</f>
        <v/>
      </c>
      <c r="P328" s="196" t="str">
        <f>IF(P$3="","",IF(COUNTIFS(BD!$A$3:$A$5001,P$3,BD!$B$3:$B$5001,$A$323,BD!$H$3:$H$5001,"&lt;&gt;")=0,"",SUMIFS(BD!$H$3:$H$5001,BD!$A$3:$A$5001,P$3,BD!$B$3:$B$5001,$A$323)))</f>
        <v/>
      </c>
      <c r="Q328" s="196" t="str">
        <f>IF(Q$3="","",IF(COUNTIFS(BD!$A$3:$A$5001,Q$3,BD!$B$3:$B$5001,$A$323,BD!$H$3:$H$5001,"&lt;&gt;")=0,"",SUMIFS(BD!$H$3:$H$5001,BD!$A$3:$A$5001,Q$3,BD!$B$3:$B$5001,$A$323)))</f>
        <v/>
      </c>
      <c r="R328" s="196" t="str">
        <f>IF(R$3="","",IF(COUNTIFS(BD!$A$3:$A$5001,R$3,BD!$B$3:$B$5001,$A$323,BD!$H$3:$H$5001,"&lt;&gt;")=0,"",SUMIFS(BD!$H$3:$H$5001,BD!$A$3:$A$5001,R$3,BD!$B$3:$B$5001,$A$323)))</f>
        <v/>
      </c>
      <c r="S328" s="196" t="str">
        <f>IF(S$3="","",IF(COUNTIFS(BD!$A$3:$A$5001,S$3,BD!$B$3:$B$5001,$A$323,BD!$H$3:$H$5001,"&lt;&gt;")=0,"",SUMIFS(BD!$H$3:$H$5001,BD!$A$3:$A$5001,S$3,BD!$B$3:$B$5001,$A$323)))</f>
        <v/>
      </c>
      <c r="T328" s="196" t="str">
        <f>IF(T$3="","",IF(COUNTIFS(BD!$A$3:$A$5001,T$3,BD!$B$3:$B$5001,$A$323,BD!$H$3:$H$5001,"&lt;&gt;")=0,"",SUMIFS(BD!$H$3:$H$5001,BD!$A$3:$A$5001,T$3,BD!$B$3:$B$5001,$A$323)))</f>
        <v/>
      </c>
      <c r="U328" s="196" t="str">
        <f>IF(U$3="","",IF(COUNTIFS(BD!$A$3:$A$5001,U$3,BD!$B$3:$B$5001,$A$323,BD!$H$3:$H$5001,"&lt;&gt;")=0,"",SUMIFS(BD!$H$3:$H$5001,BD!$A$3:$A$5001,U$3,BD!$B$3:$B$5001,$A$323)))</f>
        <v/>
      </c>
      <c r="V328" s="196" t="str">
        <f>IF(V$3="","",IF(COUNTIFS(BD!$A$3:$A$5001,V$3,BD!$B$3:$B$5001,$A$323,BD!$H$3:$H$5001,"&lt;&gt;")=0,"",SUMIFS(BD!$H$3:$H$5001,BD!$A$3:$A$5001,V$3,BD!$B$3:$B$5001,$A$323)))</f>
        <v/>
      </c>
      <c r="W328" s="196" t="str">
        <f>IF(W$3="","",IF(COUNTIFS(BD!$A$3:$A$5001,W$3,BD!$B$3:$B$5001,$A$323,BD!$H$3:$H$5001,"&lt;&gt;")=0,"",SUMIFS(BD!$H$3:$H$5001,BD!$A$3:$A$5001,W$3,BD!$B$3:$B$5001,$A$323)))</f>
        <v/>
      </c>
      <c r="X328" s="196" t="str">
        <f>IF(X$3="","",IF(COUNTIFS(BD!$A$3:$A$5001,X$3,BD!$B$3:$B$5001,$A$323,BD!$H$3:$H$5001,"&lt;&gt;")=0,"",SUMIFS(BD!$H$3:$H$5001,BD!$A$3:$A$5001,X$3,BD!$B$3:$B$5001,$A$323)))</f>
        <v/>
      </c>
      <c r="Y328" s="196" t="str">
        <f>IF(Y$3="","",IF(COUNTIFS(BD!$A$3:$A$5001,Y$3,BD!$B$3:$B$5001,$A$323,BD!$H$3:$H$5001,"&lt;&gt;")=0,"",SUMIFS(BD!$H$3:$H$5001,BD!$A$3:$A$5001,Y$3,BD!$B$3:$B$5001,$A$323)))</f>
        <v/>
      </c>
      <c r="Z328" s="196" t="str">
        <f>IF(Z$3="","",IF(COUNTIFS(BD!$A$3:$A$5001,Z$3,BD!$B$3:$B$5001,$A$323,BD!$H$3:$H$5001,"&lt;&gt;")=0,"",SUMIFS(BD!$H$3:$H$5001,BD!$A$3:$A$5001,Z$3,BD!$B$3:$B$5001,$A$323)))</f>
        <v/>
      </c>
      <c r="AA328" s="196" t="str">
        <f>IF(AA$3="","",IF(COUNTIFS(BD!$A$3:$A$5001,AA$3,BD!$B$3:$B$5001,$A$323,BD!$H$3:$H$5001,"&lt;&gt;")=0,"",SUMIFS(BD!$H$3:$H$5001,BD!$A$3:$A$5001,AA$3,BD!$B$3:$B$5001,$A$323)))</f>
        <v/>
      </c>
      <c r="AB328" s="196" t="str">
        <f>IF(AB$3="","",IF(COUNTIFS(BD!$A$3:$A$5001,AB$3,BD!$B$3:$B$5001,$A$323,BD!$H$3:$H$5001,"&lt;&gt;")=0,"",SUMIFS(BD!$H$3:$H$5001,BD!$A$3:$A$5001,AB$3,BD!$B$3:$B$5001,$A$323)))</f>
        <v/>
      </c>
      <c r="AC328" s="196" t="str">
        <f>IF(AC$3="","",IF(COUNTIFS(BD!$A$3:$A$5001,AC$3,BD!$B$3:$B$5001,$A$323,BD!$H$3:$H$5001,"&lt;&gt;")=0,"",SUMIFS(BD!$H$3:$H$5001,BD!$A$3:$A$5001,AC$3,BD!$B$3:$B$5001,$A$323)))</f>
        <v/>
      </c>
      <c r="AD328" s="196" t="str">
        <f>IF(AD$3="","",IF(COUNTIFS(BD!$A$3:$A$5001,AD$3,BD!$B$3:$B$5001,$A$323,BD!$H$3:$H$5001,"&lt;&gt;")=0,"",SUMIFS(BD!$H$3:$H$5001,BD!$A$3:$A$5001,AD$3,BD!$B$3:$B$5001,$A$323)))</f>
        <v/>
      </c>
      <c r="AE328" s="196" t="str">
        <f>IF(AE$3="","",IF(COUNTIFS(BD!$A$3:$A$5001,AE$3,BD!$B$3:$B$5001,$A$323,BD!$H$3:$H$5001,"&lt;&gt;")=0,"",SUMIFS(BD!$H$3:$H$5001,BD!$A$3:$A$5001,AE$3,BD!$B$3:$B$5001,$A$323)))</f>
        <v/>
      </c>
      <c r="AF328" s="196" t="str">
        <f>IF(AF$3="","",IF(COUNTIFS(BD!$A$3:$A$5001,AF$3,BD!$B$3:$B$5001,$A$323,BD!$H$3:$H$5001,"&lt;&gt;")=0,"",SUMIFS(BD!$H$3:$H$5001,BD!$A$3:$A$5001,AF$3,BD!$B$3:$B$5001,$A$323)))</f>
        <v/>
      </c>
      <c r="AG328" s="196" t="str">
        <f>IF(AG$3="","",IF(COUNTIFS(BD!$A$3:$A$5001,AG$3,BD!$B$3:$B$5001,$A$323,BD!$H$3:$H$5001,"&lt;&gt;")=0,"",SUMIFS(BD!$H$3:$H$5001,BD!$A$3:$A$5001,AG$3,BD!$B$3:$B$5001,$A$323)))</f>
        <v/>
      </c>
      <c r="AH328" s="196" t="str">
        <f>IF(AH$3="","",IF(COUNTIFS(BD!$A$3:$A$5001,AH$3,BD!$B$3:$B$5001,$A$323,BD!$H$3:$H$5001,"&lt;&gt;")=0,"",SUMIFS(BD!$H$3:$H$5001,BD!$A$3:$A$5001,AH$3,BD!$B$3:$B$5001,$A$323)))</f>
        <v/>
      </c>
      <c r="AI328" s="196" t="str">
        <f>IF(AI$3="","",IF(COUNTIFS(BD!$A$3:$A$5001,AI$3,BD!$B$3:$B$5001,$A$323,BD!$H$3:$H$5001,"&lt;&gt;")=0,"",SUMIFS(BD!$H$3:$H$5001,BD!$A$3:$A$5001,AI$3,BD!$B$3:$B$5001,$A$323)))</f>
        <v/>
      </c>
      <c r="AJ328" s="197" t="str">
        <f>IF(AJ$3="","",IF(COUNTIFS(BD!$A$3:$A$5001,AJ$3,BD!$B$3:$B$5001,$A$323,BD!$H$3:$H$5001,"&lt;&gt;")=0,"",SUMIFS(BD!$H$3:$H$5001,BD!$A$3:$A$5001,AJ$3,BD!$B$3:$B$5001,$A$323)))</f>
        <v/>
      </c>
      <c r="AK328" s="198" t="str">
        <f>IF(COUNT(F328:AJ328)=0,"",SUM(F328:AJ328))</f>
        <v/>
      </c>
    </row>
    <row r="329" ht="15.75" customHeight="1" hidden="1">
      <c r="A329" s="277"/>
      <c r="B329" s="268"/>
      <c r="C329" s="199" t="inlineStr">
        <is>
          <t xml:space="preserve">Pallets Movimentados</t>
        </is>
      </c>
      <c r="D329" s="200" t="str">
        <f>IFERROR(1/(1/INDEX(BD!$AF$29:$AZ$29,MATCH($A$323,BD!$AF$22:$AZ$22,0))),"")</f>
        <v/>
      </c>
      <c r="E329" s="201"/>
      <c r="F329" s="202" t="str">
        <f>IF(F$3="","",IF(COUNTIFS(BD!$A$3:$A$5001,F$3,BD!$B$3:$B$5001,$A$323,BD!$I$3:$I$5001,"&lt;&gt;")=0,"",SUMIFS(BD!$I$3:$I$5001,BD!$A$3:$A$5001,F$3,BD!$B$3:$B$5001,$A$323)))</f>
        <v/>
      </c>
      <c r="G329" s="203" t="str">
        <f>IF(G$3="","",IF(COUNTIFS(BD!$A$3:$A$5001,G$3,BD!$B$3:$B$5001,$A$323,BD!$I$3:$I$5001,"&lt;&gt;")=0,"",SUMIFS(BD!$I$3:$I$5001,BD!$A$3:$A$5001,G$3,BD!$B$3:$B$5001,$A$323)))</f>
        <v/>
      </c>
      <c r="H329" s="203" t="str">
        <f>IF(H$3="","",IF(COUNTIFS(BD!$A$3:$A$5001,H$3,BD!$B$3:$B$5001,$A$323,BD!$I$3:$I$5001,"&lt;&gt;")=0,"",SUMIFS(BD!$I$3:$I$5001,BD!$A$3:$A$5001,H$3,BD!$B$3:$B$5001,$A$323)))</f>
        <v/>
      </c>
      <c r="I329" s="203" t="str">
        <f>IF(I$3="","",IF(COUNTIFS(BD!$A$3:$A$5001,I$3,BD!$B$3:$B$5001,$A$323,BD!$I$3:$I$5001,"&lt;&gt;")=0,"",SUMIFS(BD!$I$3:$I$5001,BD!$A$3:$A$5001,I$3,BD!$B$3:$B$5001,$A$323)))</f>
        <v/>
      </c>
      <c r="J329" s="203" t="str">
        <f>IF(J$3="","",IF(COUNTIFS(BD!$A$3:$A$5001,J$3,BD!$B$3:$B$5001,$A$323,BD!$I$3:$I$5001,"&lt;&gt;")=0,"",SUMIFS(BD!$I$3:$I$5001,BD!$A$3:$A$5001,J$3,BD!$B$3:$B$5001,$A$323)))</f>
        <v/>
      </c>
      <c r="K329" s="203" t="str">
        <f>IF(K$3="","",IF(COUNTIFS(BD!$A$3:$A$5001,K$3,BD!$B$3:$B$5001,$A$323,BD!$I$3:$I$5001,"&lt;&gt;")=0,"",SUMIFS(BD!$I$3:$I$5001,BD!$A$3:$A$5001,K$3,BD!$B$3:$B$5001,$A$323)))</f>
        <v/>
      </c>
      <c r="L329" s="203" t="str">
        <f>IF(L$3="","",IF(COUNTIFS(BD!$A$3:$A$5001,L$3,BD!$B$3:$B$5001,$A$323,BD!$I$3:$I$5001,"&lt;&gt;")=0,"",SUMIFS(BD!$I$3:$I$5001,BD!$A$3:$A$5001,L$3,BD!$B$3:$B$5001,$A$323)))</f>
        <v/>
      </c>
      <c r="M329" s="203" t="str">
        <f>IF(M$3="","",IF(COUNTIFS(BD!$A$3:$A$5001,M$3,BD!$B$3:$B$5001,$A$323,BD!$I$3:$I$5001,"&lt;&gt;")=0,"",SUMIFS(BD!$I$3:$I$5001,BD!$A$3:$A$5001,M$3,BD!$B$3:$B$5001,$A$323)))</f>
        <v/>
      </c>
      <c r="N329" s="203" t="str">
        <f>IF(N$3="","",IF(COUNTIFS(BD!$A$3:$A$5001,N$3,BD!$B$3:$B$5001,$A$323,BD!$I$3:$I$5001,"&lt;&gt;")=0,"",SUMIFS(BD!$I$3:$I$5001,BD!$A$3:$A$5001,N$3,BD!$B$3:$B$5001,$A$323)))</f>
        <v/>
      </c>
      <c r="O329" s="203" t="str">
        <f>IF(O$3="","",IF(COUNTIFS(BD!$A$3:$A$5001,O$3,BD!$B$3:$B$5001,$A$323,BD!$I$3:$I$5001,"&lt;&gt;")=0,"",SUMIFS(BD!$I$3:$I$5001,BD!$A$3:$A$5001,O$3,BD!$B$3:$B$5001,$A$323)))</f>
        <v/>
      </c>
      <c r="P329" s="203" t="str">
        <f>IF(P$3="","",IF(COUNTIFS(BD!$A$3:$A$5001,P$3,BD!$B$3:$B$5001,$A$323,BD!$I$3:$I$5001,"&lt;&gt;")=0,"",SUMIFS(BD!$I$3:$I$5001,BD!$A$3:$A$5001,P$3,BD!$B$3:$B$5001,$A$323)))</f>
        <v/>
      </c>
      <c r="Q329" s="203" t="str">
        <f>IF(Q$3="","",IF(COUNTIFS(BD!$A$3:$A$5001,Q$3,BD!$B$3:$B$5001,$A$323,BD!$I$3:$I$5001,"&lt;&gt;")=0,"",SUMIFS(BD!$I$3:$I$5001,BD!$A$3:$A$5001,Q$3,BD!$B$3:$B$5001,$A$323)))</f>
        <v/>
      </c>
      <c r="R329" s="203" t="str">
        <f>IF(R$3="","",IF(COUNTIFS(BD!$A$3:$A$5001,R$3,BD!$B$3:$B$5001,$A$323,BD!$I$3:$I$5001,"&lt;&gt;")=0,"",SUMIFS(BD!$I$3:$I$5001,BD!$A$3:$A$5001,R$3,BD!$B$3:$B$5001,$A$323)))</f>
        <v/>
      </c>
      <c r="S329" s="203" t="str">
        <f>IF(S$3="","",IF(COUNTIFS(BD!$A$3:$A$5001,S$3,BD!$B$3:$B$5001,$A$323,BD!$I$3:$I$5001,"&lt;&gt;")=0,"",SUMIFS(BD!$I$3:$I$5001,BD!$A$3:$A$5001,S$3,BD!$B$3:$B$5001,$A$323)))</f>
        <v/>
      </c>
      <c r="T329" s="203" t="str">
        <f>IF(T$3="","",IF(COUNTIFS(BD!$A$3:$A$5001,T$3,BD!$B$3:$B$5001,$A$323,BD!$I$3:$I$5001,"&lt;&gt;")=0,"",SUMIFS(BD!$I$3:$I$5001,BD!$A$3:$A$5001,T$3,BD!$B$3:$B$5001,$A$323)))</f>
        <v/>
      </c>
      <c r="U329" s="203" t="str">
        <f>IF(U$3="","",IF(COUNTIFS(BD!$A$3:$A$5001,U$3,BD!$B$3:$B$5001,$A$323,BD!$I$3:$I$5001,"&lt;&gt;")=0,"",SUMIFS(BD!$I$3:$I$5001,BD!$A$3:$A$5001,U$3,BD!$B$3:$B$5001,$A$323)))</f>
        <v/>
      </c>
      <c r="V329" s="203" t="str">
        <f>IF(V$3="","",IF(COUNTIFS(BD!$A$3:$A$5001,V$3,BD!$B$3:$B$5001,$A$323,BD!$I$3:$I$5001,"&lt;&gt;")=0,"",SUMIFS(BD!$I$3:$I$5001,BD!$A$3:$A$5001,V$3,BD!$B$3:$B$5001,$A$323)))</f>
        <v/>
      </c>
      <c r="W329" s="203" t="str">
        <f>IF(W$3="","",IF(COUNTIFS(BD!$A$3:$A$5001,W$3,BD!$B$3:$B$5001,$A$323,BD!$I$3:$I$5001,"&lt;&gt;")=0,"",SUMIFS(BD!$I$3:$I$5001,BD!$A$3:$A$5001,W$3,BD!$B$3:$B$5001,$A$323)))</f>
        <v/>
      </c>
      <c r="X329" s="203" t="str">
        <f>IF(X$3="","",IF(COUNTIFS(BD!$A$3:$A$5001,X$3,BD!$B$3:$B$5001,$A$323,BD!$I$3:$I$5001,"&lt;&gt;")=0,"",SUMIFS(BD!$I$3:$I$5001,BD!$A$3:$A$5001,X$3,BD!$B$3:$B$5001,$A$323)))</f>
        <v/>
      </c>
      <c r="Y329" s="203" t="str">
        <f>IF(Y$3="","",IF(COUNTIFS(BD!$A$3:$A$5001,Y$3,BD!$B$3:$B$5001,$A$323,BD!$I$3:$I$5001,"&lt;&gt;")=0,"",SUMIFS(BD!$I$3:$I$5001,BD!$A$3:$A$5001,Y$3,BD!$B$3:$B$5001,$A$323)))</f>
        <v/>
      </c>
      <c r="Z329" s="203" t="str">
        <f>IF(Z$3="","",IF(COUNTIFS(BD!$A$3:$A$5001,Z$3,BD!$B$3:$B$5001,$A$323,BD!$I$3:$I$5001,"&lt;&gt;")=0,"",SUMIFS(BD!$I$3:$I$5001,BD!$A$3:$A$5001,Z$3,BD!$B$3:$B$5001,$A$323)))</f>
        <v/>
      </c>
      <c r="AA329" s="203" t="str">
        <f>IF(AA$3="","",IF(COUNTIFS(BD!$A$3:$A$5001,AA$3,BD!$B$3:$B$5001,$A$323,BD!$I$3:$I$5001,"&lt;&gt;")=0,"",SUMIFS(BD!$I$3:$I$5001,BD!$A$3:$A$5001,AA$3,BD!$B$3:$B$5001,$A$323)))</f>
        <v/>
      </c>
      <c r="AB329" s="203" t="str">
        <f>IF(AB$3="","",IF(COUNTIFS(BD!$A$3:$A$5001,AB$3,BD!$B$3:$B$5001,$A$323,BD!$I$3:$I$5001,"&lt;&gt;")=0,"",SUMIFS(BD!$I$3:$I$5001,BD!$A$3:$A$5001,AB$3,BD!$B$3:$B$5001,$A$323)))</f>
        <v/>
      </c>
      <c r="AC329" s="203" t="str">
        <f>IF(AC$3="","",IF(COUNTIFS(BD!$A$3:$A$5001,AC$3,BD!$B$3:$B$5001,$A$323,BD!$I$3:$I$5001,"&lt;&gt;")=0,"",SUMIFS(BD!$I$3:$I$5001,BD!$A$3:$A$5001,AC$3,BD!$B$3:$B$5001,$A$323)))</f>
        <v/>
      </c>
      <c r="AD329" s="203" t="str">
        <f>IF(AD$3="","",IF(COUNTIFS(BD!$A$3:$A$5001,AD$3,BD!$B$3:$B$5001,$A$323,BD!$I$3:$I$5001,"&lt;&gt;")=0,"",SUMIFS(BD!$I$3:$I$5001,BD!$A$3:$A$5001,AD$3,BD!$B$3:$B$5001,$A$323)))</f>
        <v/>
      </c>
      <c r="AE329" s="203" t="str">
        <f>IF(AE$3="","",IF(COUNTIFS(BD!$A$3:$A$5001,AE$3,BD!$B$3:$B$5001,$A$323,BD!$I$3:$I$5001,"&lt;&gt;")=0,"",SUMIFS(BD!$I$3:$I$5001,BD!$A$3:$A$5001,AE$3,BD!$B$3:$B$5001,$A$323)))</f>
        <v/>
      </c>
      <c r="AF329" s="203" t="str">
        <f>IF(AF$3="","",IF(COUNTIFS(BD!$A$3:$A$5001,AF$3,BD!$B$3:$B$5001,$A$323,BD!$I$3:$I$5001,"&lt;&gt;")=0,"",SUMIFS(BD!$I$3:$I$5001,BD!$A$3:$A$5001,AF$3,BD!$B$3:$B$5001,$A$323)))</f>
        <v/>
      </c>
      <c r="AG329" s="203" t="str">
        <f>IF(AG$3="","",IF(COUNTIFS(BD!$A$3:$A$5001,AG$3,BD!$B$3:$B$5001,$A$323,BD!$I$3:$I$5001,"&lt;&gt;")=0,"",SUMIFS(BD!$I$3:$I$5001,BD!$A$3:$A$5001,AG$3,BD!$B$3:$B$5001,$A$323)))</f>
        <v/>
      </c>
      <c r="AH329" s="203" t="str">
        <f>IF(AH$3="","",IF(COUNTIFS(BD!$A$3:$A$5001,AH$3,BD!$B$3:$B$5001,$A$323,BD!$I$3:$I$5001,"&lt;&gt;")=0,"",SUMIFS(BD!$I$3:$I$5001,BD!$A$3:$A$5001,AH$3,BD!$B$3:$B$5001,$A$323)))</f>
        <v/>
      </c>
      <c r="AI329" s="203" t="str">
        <f>IF(AI$3="","",IF(COUNTIFS(BD!$A$3:$A$5001,AI$3,BD!$B$3:$B$5001,$A$323,BD!$I$3:$I$5001,"&lt;&gt;")=0,"",SUMIFS(BD!$I$3:$I$5001,BD!$A$3:$A$5001,AI$3,BD!$B$3:$B$5001,$A$323)))</f>
        <v/>
      </c>
      <c r="AJ329" s="204" t="str">
        <f>IF(AJ$3="","",IF(COUNTIFS(BD!$A$3:$A$5001,AJ$3,BD!$B$3:$B$5001,$A$323,BD!$I$3:$I$5001,"&lt;&gt;")=0,"",SUMIFS(BD!$I$3:$I$5001,BD!$A$3:$A$5001,AJ$3,BD!$B$3:$B$5001,$A$323)))</f>
        <v/>
      </c>
      <c r="AK329" s="205" t="str">
        <f>IF(COUNT(F329:AJ329)=0,"",SUM(F329:AJ329))</f>
        <v/>
      </c>
    </row>
    <row r="330" ht="15.75" customHeight="1" hidden="1">
      <c r="A330" s="277"/>
      <c r="B330" s="268"/>
      <c r="C330" s="199" t="inlineStr">
        <is>
          <t xml:space="preserve">Toneladas Movimentadas</t>
        </is>
      </c>
      <c r="D330" s="200" t="str">
        <f>IFERROR(1/(1/INDEX(BD!$AF$30:$AZ$30,MATCH($A$323,BD!$AF$22:$AZ$22,0))),"")</f>
        <v/>
      </c>
      <c r="E330" s="201"/>
      <c r="F330" s="206" t="str">
        <f>IF(F$3="","",IF(COUNTIFS(BD!$A$3:$A$5001,F$3,BD!$B$3:$B$5001,$A$323,BD!$J$3:$J$5001,"&lt;&gt;")=0,"",SUMIFS(BD!$J$3:$J$5001,BD!$A$3:$A$5001,F$3,BD!$B$3:$B$5001,$A$323)))</f>
        <v/>
      </c>
      <c r="G330" s="207" t="str">
        <f>IF(G$3="","",IF(COUNTIFS(BD!$A$3:$A$5001,G$3,BD!$B$3:$B$5001,$A$323,BD!$J$3:$J$5001,"&lt;&gt;")=0,"",SUMIFS(BD!$J$3:$J$5001,BD!$A$3:$A$5001,G$3,BD!$B$3:$B$5001,$A$323)))</f>
        <v/>
      </c>
      <c r="H330" s="207" t="str">
        <f>IF(H$3="","",IF(COUNTIFS(BD!$A$3:$A$5001,H$3,BD!$B$3:$B$5001,$A$323,BD!$J$3:$J$5001,"&lt;&gt;")=0,"",SUMIFS(BD!$J$3:$J$5001,BD!$A$3:$A$5001,H$3,BD!$B$3:$B$5001,$A$323)))</f>
        <v/>
      </c>
      <c r="I330" s="207" t="str">
        <f>IF(I$3="","",IF(COUNTIFS(BD!$A$3:$A$5001,I$3,BD!$B$3:$B$5001,$A$323,BD!$J$3:$J$5001,"&lt;&gt;")=0,"",SUMIFS(BD!$J$3:$J$5001,BD!$A$3:$A$5001,I$3,BD!$B$3:$B$5001,$A$323)))</f>
        <v/>
      </c>
      <c r="J330" s="207" t="str">
        <f>IF(J$3="","",IF(COUNTIFS(BD!$A$3:$A$5001,J$3,BD!$B$3:$B$5001,$A$323,BD!$J$3:$J$5001,"&lt;&gt;")=0,"",SUMIFS(BD!$J$3:$J$5001,BD!$A$3:$A$5001,J$3,BD!$B$3:$B$5001,$A$323)))</f>
        <v/>
      </c>
      <c r="K330" s="207" t="str">
        <f>IF(K$3="","",IF(COUNTIFS(BD!$A$3:$A$5001,K$3,BD!$B$3:$B$5001,$A$323,BD!$J$3:$J$5001,"&lt;&gt;")=0,"",SUMIFS(BD!$J$3:$J$5001,BD!$A$3:$A$5001,K$3,BD!$B$3:$B$5001,$A$323)))</f>
        <v/>
      </c>
      <c r="L330" s="207" t="str">
        <f>IF(L$3="","",IF(COUNTIFS(BD!$A$3:$A$5001,L$3,BD!$B$3:$B$5001,$A$323,BD!$J$3:$J$5001,"&lt;&gt;")=0,"",SUMIFS(BD!$J$3:$J$5001,BD!$A$3:$A$5001,L$3,BD!$B$3:$B$5001,$A$323)))</f>
        <v/>
      </c>
      <c r="M330" s="207" t="str">
        <f>IF(M$3="","",IF(COUNTIFS(BD!$A$3:$A$5001,M$3,BD!$B$3:$B$5001,$A$323,BD!$J$3:$J$5001,"&lt;&gt;")=0,"",SUMIFS(BD!$J$3:$J$5001,BD!$A$3:$A$5001,M$3,BD!$B$3:$B$5001,$A$323)))</f>
        <v/>
      </c>
      <c r="N330" s="207" t="str">
        <f>IF(N$3="","",IF(COUNTIFS(BD!$A$3:$A$5001,N$3,BD!$B$3:$B$5001,$A$323,BD!$J$3:$J$5001,"&lt;&gt;")=0,"",SUMIFS(BD!$J$3:$J$5001,BD!$A$3:$A$5001,N$3,BD!$B$3:$B$5001,$A$323)))</f>
        <v/>
      </c>
      <c r="O330" s="207" t="str">
        <f>IF(O$3="","",IF(COUNTIFS(BD!$A$3:$A$5001,O$3,BD!$B$3:$B$5001,$A$323,BD!$J$3:$J$5001,"&lt;&gt;")=0,"",SUMIFS(BD!$J$3:$J$5001,BD!$A$3:$A$5001,O$3,BD!$B$3:$B$5001,$A$323)))</f>
        <v/>
      </c>
      <c r="P330" s="207" t="str">
        <f>IF(P$3="","",IF(COUNTIFS(BD!$A$3:$A$5001,P$3,BD!$B$3:$B$5001,$A$323,BD!$J$3:$J$5001,"&lt;&gt;")=0,"",SUMIFS(BD!$J$3:$J$5001,BD!$A$3:$A$5001,P$3,BD!$B$3:$B$5001,$A$323)))</f>
        <v/>
      </c>
      <c r="Q330" s="207" t="str">
        <f>IF(Q$3="","",IF(COUNTIFS(BD!$A$3:$A$5001,Q$3,BD!$B$3:$B$5001,$A$323,BD!$J$3:$J$5001,"&lt;&gt;")=0,"",SUMIFS(BD!$J$3:$J$5001,BD!$A$3:$A$5001,Q$3,BD!$B$3:$B$5001,$A$323)))</f>
        <v/>
      </c>
      <c r="R330" s="207" t="str">
        <f>IF(R$3="","",IF(COUNTIFS(BD!$A$3:$A$5001,R$3,BD!$B$3:$B$5001,$A$323,BD!$J$3:$J$5001,"&lt;&gt;")=0,"",SUMIFS(BD!$J$3:$J$5001,BD!$A$3:$A$5001,R$3,BD!$B$3:$B$5001,$A$323)))</f>
        <v/>
      </c>
      <c r="S330" s="207" t="str">
        <f>IF(S$3="","",IF(COUNTIFS(BD!$A$3:$A$5001,S$3,BD!$B$3:$B$5001,$A$323,BD!$J$3:$J$5001,"&lt;&gt;")=0,"",SUMIFS(BD!$J$3:$J$5001,BD!$A$3:$A$5001,S$3,BD!$B$3:$B$5001,$A$323)))</f>
        <v/>
      </c>
      <c r="T330" s="207" t="str">
        <f>IF(T$3="","",IF(COUNTIFS(BD!$A$3:$A$5001,T$3,BD!$B$3:$B$5001,$A$323,BD!$J$3:$J$5001,"&lt;&gt;")=0,"",SUMIFS(BD!$J$3:$J$5001,BD!$A$3:$A$5001,T$3,BD!$B$3:$B$5001,$A$323)))</f>
        <v/>
      </c>
      <c r="U330" s="207" t="str">
        <f>IF(U$3="","",IF(COUNTIFS(BD!$A$3:$A$5001,U$3,BD!$B$3:$B$5001,$A$323,BD!$J$3:$J$5001,"&lt;&gt;")=0,"",SUMIFS(BD!$J$3:$J$5001,BD!$A$3:$A$5001,U$3,BD!$B$3:$B$5001,$A$323)))</f>
        <v/>
      </c>
      <c r="V330" s="207" t="str">
        <f>IF(V$3="","",IF(COUNTIFS(BD!$A$3:$A$5001,V$3,BD!$B$3:$B$5001,$A$323,BD!$J$3:$J$5001,"&lt;&gt;")=0,"",SUMIFS(BD!$J$3:$J$5001,BD!$A$3:$A$5001,V$3,BD!$B$3:$B$5001,$A$323)))</f>
        <v/>
      </c>
      <c r="W330" s="207" t="str">
        <f>IF(W$3="","",IF(COUNTIFS(BD!$A$3:$A$5001,W$3,BD!$B$3:$B$5001,$A$323,BD!$J$3:$J$5001,"&lt;&gt;")=0,"",SUMIFS(BD!$J$3:$J$5001,BD!$A$3:$A$5001,W$3,BD!$B$3:$B$5001,$A$323)))</f>
        <v/>
      </c>
      <c r="X330" s="207" t="str">
        <f>IF(X$3="","",IF(COUNTIFS(BD!$A$3:$A$5001,X$3,BD!$B$3:$B$5001,$A$323,BD!$J$3:$J$5001,"&lt;&gt;")=0,"",SUMIFS(BD!$J$3:$J$5001,BD!$A$3:$A$5001,X$3,BD!$B$3:$B$5001,$A$323)))</f>
        <v/>
      </c>
      <c r="Y330" s="207" t="str">
        <f>IF(Y$3="","",IF(COUNTIFS(BD!$A$3:$A$5001,Y$3,BD!$B$3:$B$5001,$A$323,BD!$J$3:$J$5001,"&lt;&gt;")=0,"",SUMIFS(BD!$J$3:$J$5001,BD!$A$3:$A$5001,Y$3,BD!$B$3:$B$5001,$A$323)))</f>
        <v/>
      </c>
      <c r="Z330" s="207" t="str">
        <f>IF(Z$3="","",IF(COUNTIFS(BD!$A$3:$A$5001,Z$3,BD!$B$3:$B$5001,$A$323,BD!$J$3:$J$5001,"&lt;&gt;")=0,"",SUMIFS(BD!$J$3:$J$5001,BD!$A$3:$A$5001,Z$3,BD!$B$3:$B$5001,$A$323)))</f>
        <v/>
      </c>
      <c r="AA330" s="207" t="str">
        <f>IF(AA$3="","",IF(COUNTIFS(BD!$A$3:$A$5001,AA$3,BD!$B$3:$B$5001,$A$323,BD!$J$3:$J$5001,"&lt;&gt;")=0,"",SUMIFS(BD!$J$3:$J$5001,BD!$A$3:$A$5001,AA$3,BD!$B$3:$B$5001,$A$323)))</f>
        <v/>
      </c>
      <c r="AB330" s="207" t="str">
        <f>IF(AB$3="","",IF(COUNTIFS(BD!$A$3:$A$5001,AB$3,BD!$B$3:$B$5001,$A$323,BD!$J$3:$J$5001,"&lt;&gt;")=0,"",SUMIFS(BD!$J$3:$J$5001,BD!$A$3:$A$5001,AB$3,BD!$B$3:$B$5001,$A$323)))</f>
        <v/>
      </c>
      <c r="AC330" s="207" t="str">
        <f>IF(AC$3="","",IF(COUNTIFS(BD!$A$3:$A$5001,AC$3,BD!$B$3:$B$5001,$A$323,BD!$J$3:$J$5001,"&lt;&gt;")=0,"",SUMIFS(BD!$J$3:$J$5001,BD!$A$3:$A$5001,AC$3,BD!$B$3:$B$5001,$A$323)))</f>
        <v/>
      </c>
      <c r="AD330" s="207" t="str">
        <f>IF(AD$3="","",IF(COUNTIFS(BD!$A$3:$A$5001,AD$3,BD!$B$3:$B$5001,$A$323,BD!$J$3:$J$5001,"&lt;&gt;")=0,"",SUMIFS(BD!$J$3:$J$5001,BD!$A$3:$A$5001,AD$3,BD!$B$3:$B$5001,$A$323)))</f>
        <v/>
      </c>
      <c r="AE330" s="207" t="str">
        <f>IF(AE$3="","",IF(COUNTIFS(BD!$A$3:$A$5001,AE$3,BD!$B$3:$B$5001,$A$323,BD!$J$3:$J$5001,"&lt;&gt;")=0,"",SUMIFS(BD!$J$3:$J$5001,BD!$A$3:$A$5001,AE$3,BD!$B$3:$B$5001,$A$323)))</f>
        <v/>
      </c>
      <c r="AF330" s="207" t="str">
        <f>IF(AF$3="","",IF(COUNTIFS(BD!$A$3:$A$5001,AF$3,BD!$B$3:$B$5001,$A$323,BD!$J$3:$J$5001,"&lt;&gt;")=0,"",SUMIFS(BD!$J$3:$J$5001,BD!$A$3:$A$5001,AF$3,BD!$B$3:$B$5001,$A$323)))</f>
        <v/>
      </c>
      <c r="AG330" s="207" t="str">
        <f>IF(AG$3="","",IF(COUNTIFS(BD!$A$3:$A$5001,AG$3,BD!$B$3:$B$5001,$A$323,BD!$J$3:$J$5001,"&lt;&gt;")=0,"",SUMIFS(BD!$J$3:$J$5001,BD!$A$3:$A$5001,AG$3,BD!$B$3:$B$5001,$A$323)))</f>
        <v/>
      </c>
      <c r="AH330" s="207" t="str">
        <f>IF(AH$3="","",IF(COUNTIFS(BD!$A$3:$A$5001,AH$3,BD!$B$3:$B$5001,$A$323,BD!$J$3:$J$5001,"&lt;&gt;")=0,"",SUMIFS(BD!$J$3:$J$5001,BD!$A$3:$A$5001,AH$3,BD!$B$3:$B$5001,$A$323)))</f>
        <v/>
      </c>
      <c r="AI330" s="207" t="str">
        <f>IF(AI$3="","",IF(COUNTIFS(BD!$A$3:$A$5001,AI$3,BD!$B$3:$B$5001,$A$323,BD!$J$3:$J$5001,"&lt;&gt;")=0,"",SUMIFS(BD!$J$3:$J$5001,BD!$A$3:$A$5001,AI$3,BD!$B$3:$B$5001,$A$323)))</f>
        <v/>
      </c>
      <c r="AJ330" s="208" t="str">
        <f>IF(AJ$3="","",IF(COUNTIFS(BD!$A$3:$A$5001,AJ$3,BD!$B$3:$B$5001,$A$323,BD!$J$3:$J$5001,"&lt;&gt;")=0,"",SUMIFS(BD!$J$3:$J$5001,BD!$A$3:$A$5001,AJ$3,BD!$B$3:$B$5001,$A$323)))</f>
        <v/>
      </c>
      <c r="AK330" s="209" t="str">
        <f>IF(COUNT(F330:AJ330)=0,"",SUM(F330:AJ330))</f>
        <v/>
      </c>
    </row>
    <row r="331" ht="15.75" customHeight="1" hidden="1">
      <c r="A331" s="277"/>
      <c r="B331" s="268"/>
      <c r="C331" s="199" t="inlineStr">
        <is>
          <t xml:space="preserve">Caixas Expedidas</t>
        </is>
      </c>
      <c r="D331" s="200" t="str">
        <f>IFERROR(1/(1/INDEX(BD!$AF$31:$AZ$31,MATCH($A$323,BD!$AF$22:$AZ$22,0))),"")</f>
        <v/>
      </c>
      <c r="E331" s="201"/>
      <c r="F331" s="202" t="str">
        <f>IF(F$3="","",IF(COUNTIFS(BD!$A$3:$A$5001,F$3,BD!$B$3:$B$5001,$A$323,BD!$K$3:$K$5001,"&lt;&gt;")=0,"",SUMIFS(BD!$K$3:$K$5001,BD!$A$3:$A$5001,F$3,BD!$B$3:$B$5001,$A$323)))</f>
        <v/>
      </c>
      <c r="G331" s="203" t="str">
        <f>IF(G$3="","",IF(COUNTIFS(BD!$A$3:$A$5001,G$3,BD!$B$3:$B$5001,$A$323,BD!$K$3:$K$5001,"&lt;&gt;")=0,"",SUMIFS(BD!$K$3:$K$5001,BD!$A$3:$A$5001,G$3,BD!$B$3:$B$5001,$A$323)))</f>
        <v/>
      </c>
      <c r="H331" s="203" t="str">
        <f>IF(H$3="","",IF(COUNTIFS(BD!$A$3:$A$5001,H$3,BD!$B$3:$B$5001,$A$323,BD!$K$3:$K$5001,"&lt;&gt;")=0,"",SUMIFS(BD!$K$3:$K$5001,BD!$A$3:$A$5001,H$3,BD!$B$3:$B$5001,$A$323)))</f>
        <v/>
      </c>
      <c r="I331" s="203" t="str">
        <f>IF(I$3="","",IF(COUNTIFS(BD!$A$3:$A$5001,I$3,BD!$B$3:$B$5001,$A$323,BD!$K$3:$K$5001,"&lt;&gt;")=0,"",SUMIFS(BD!$K$3:$K$5001,BD!$A$3:$A$5001,I$3,BD!$B$3:$B$5001,$A$323)))</f>
        <v/>
      </c>
      <c r="J331" s="203" t="str">
        <f>IF(J$3="","",IF(COUNTIFS(BD!$A$3:$A$5001,J$3,BD!$B$3:$B$5001,$A$323,BD!$K$3:$K$5001,"&lt;&gt;")=0,"",SUMIFS(BD!$K$3:$K$5001,BD!$A$3:$A$5001,J$3,BD!$B$3:$B$5001,$A$323)))</f>
        <v/>
      </c>
      <c r="K331" s="203" t="str">
        <f>IF(K$3="","",IF(COUNTIFS(BD!$A$3:$A$5001,K$3,BD!$B$3:$B$5001,$A$323,BD!$K$3:$K$5001,"&lt;&gt;")=0,"",SUMIFS(BD!$K$3:$K$5001,BD!$A$3:$A$5001,K$3,BD!$B$3:$B$5001,$A$323)))</f>
        <v/>
      </c>
      <c r="L331" s="203" t="str">
        <f>IF(L$3="","",IF(COUNTIFS(BD!$A$3:$A$5001,L$3,BD!$B$3:$B$5001,$A$323,BD!$K$3:$K$5001,"&lt;&gt;")=0,"",SUMIFS(BD!$K$3:$K$5001,BD!$A$3:$A$5001,L$3,BD!$B$3:$B$5001,$A$323)))</f>
        <v/>
      </c>
      <c r="M331" s="203" t="str">
        <f>IF(M$3="","",IF(COUNTIFS(BD!$A$3:$A$5001,M$3,BD!$B$3:$B$5001,$A$323,BD!$K$3:$K$5001,"&lt;&gt;")=0,"",SUMIFS(BD!$K$3:$K$5001,BD!$A$3:$A$5001,M$3,BD!$B$3:$B$5001,$A$323)))</f>
        <v/>
      </c>
      <c r="N331" s="203" t="str">
        <f>IF(N$3="","",IF(COUNTIFS(BD!$A$3:$A$5001,N$3,BD!$B$3:$B$5001,$A$323,BD!$K$3:$K$5001,"&lt;&gt;")=0,"",SUMIFS(BD!$K$3:$K$5001,BD!$A$3:$A$5001,N$3,BD!$B$3:$B$5001,$A$323)))</f>
        <v/>
      </c>
      <c r="O331" s="203" t="str">
        <f>IF(O$3="","",IF(COUNTIFS(BD!$A$3:$A$5001,O$3,BD!$B$3:$B$5001,$A$323,BD!$K$3:$K$5001,"&lt;&gt;")=0,"",SUMIFS(BD!$K$3:$K$5001,BD!$A$3:$A$5001,O$3,BD!$B$3:$B$5001,$A$323)))</f>
        <v/>
      </c>
      <c r="P331" s="203" t="str">
        <f>IF(P$3="","",IF(COUNTIFS(BD!$A$3:$A$5001,P$3,BD!$B$3:$B$5001,$A$323,BD!$K$3:$K$5001,"&lt;&gt;")=0,"",SUMIFS(BD!$K$3:$K$5001,BD!$A$3:$A$5001,P$3,BD!$B$3:$B$5001,$A$323)))</f>
        <v/>
      </c>
      <c r="Q331" s="203" t="str">
        <f>IF(Q$3="","",IF(COUNTIFS(BD!$A$3:$A$5001,Q$3,BD!$B$3:$B$5001,$A$323,BD!$K$3:$K$5001,"&lt;&gt;")=0,"",SUMIFS(BD!$K$3:$K$5001,BD!$A$3:$A$5001,Q$3,BD!$B$3:$B$5001,$A$323)))</f>
        <v/>
      </c>
      <c r="R331" s="203" t="str">
        <f>IF(R$3="","",IF(COUNTIFS(BD!$A$3:$A$5001,R$3,BD!$B$3:$B$5001,$A$323,BD!$K$3:$K$5001,"&lt;&gt;")=0,"",SUMIFS(BD!$K$3:$K$5001,BD!$A$3:$A$5001,R$3,BD!$B$3:$B$5001,$A$323)))</f>
        <v/>
      </c>
      <c r="S331" s="203" t="str">
        <f>IF(S$3="","",IF(COUNTIFS(BD!$A$3:$A$5001,S$3,BD!$B$3:$B$5001,$A$323,BD!$K$3:$K$5001,"&lt;&gt;")=0,"",SUMIFS(BD!$K$3:$K$5001,BD!$A$3:$A$5001,S$3,BD!$B$3:$B$5001,$A$323)))</f>
        <v/>
      </c>
      <c r="T331" s="203" t="str">
        <f>IF(T$3="","",IF(COUNTIFS(BD!$A$3:$A$5001,T$3,BD!$B$3:$B$5001,$A$323,BD!$K$3:$K$5001,"&lt;&gt;")=0,"",SUMIFS(BD!$K$3:$K$5001,BD!$A$3:$A$5001,T$3,BD!$B$3:$B$5001,$A$323)))</f>
        <v/>
      </c>
      <c r="U331" s="203" t="str">
        <f>IF(U$3="","",IF(COUNTIFS(BD!$A$3:$A$5001,U$3,BD!$B$3:$B$5001,$A$323,BD!$K$3:$K$5001,"&lt;&gt;")=0,"",SUMIFS(BD!$K$3:$K$5001,BD!$A$3:$A$5001,U$3,BD!$B$3:$B$5001,$A$323)))</f>
        <v/>
      </c>
      <c r="V331" s="203" t="str">
        <f>IF(V$3="","",IF(COUNTIFS(BD!$A$3:$A$5001,V$3,BD!$B$3:$B$5001,$A$323,BD!$K$3:$K$5001,"&lt;&gt;")=0,"",SUMIFS(BD!$K$3:$K$5001,BD!$A$3:$A$5001,V$3,BD!$B$3:$B$5001,$A$323)))</f>
        <v/>
      </c>
      <c r="W331" s="203" t="str">
        <f>IF(W$3="","",IF(COUNTIFS(BD!$A$3:$A$5001,W$3,BD!$B$3:$B$5001,$A$323,BD!$K$3:$K$5001,"&lt;&gt;")=0,"",SUMIFS(BD!$K$3:$K$5001,BD!$A$3:$A$5001,W$3,BD!$B$3:$B$5001,$A$323)))</f>
        <v/>
      </c>
      <c r="X331" s="203" t="str">
        <f>IF(X$3="","",IF(COUNTIFS(BD!$A$3:$A$5001,X$3,BD!$B$3:$B$5001,$A$323,BD!$K$3:$K$5001,"&lt;&gt;")=0,"",SUMIFS(BD!$K$3:$K$5001,BD!$A$3:$A$5001,X$3,BD!$B$3:$B$5001,$A$323)))</f>
        <v/>
      </c>
      <c r="Y331" s="203" t="str">
        <f>IF(Y$3="","",IF(COUNTIFS(BD!$A$3:$A$5001,Y$3,BD!$B$3:$B$5001,$A$323,BD!$K$3:$K$5001,"&lt;&gt;")=0,"",SUMIFS(BD!$K$3:$K$5001,BD!$A$3:$A$5001,Y$3,BD!$B$3:$B$5001,$A$323)))</f>
        <v/>
      </c>
      <c r="Z331" s="203" t="str">
        <f>IF(Z$3="","",IF(COUNTIFS(BD!$A$3:$A$5001,Z$3,BD!$B$3:$B$5001,$A$323,BD!$K$3:$K$5001,"&lt;&gt;")=0,"",SUMIFS(BD!$K$3:$K$5001,BD!$A$3:$A$5001,Z$3,BD!$B$3:$B$5001,$A$323)))</f>
        <v/>
      </c>
      <c r="AA331" s="203" t="str">
        <f>IF(AA$3="","",IF(COUNTIFS(BD!$A$3:$A$5001,AA$3,BD!$B$3:$B$5001,$A$323,BD!$K$3:$K$5001,"&lt;&gt;")=0,"",SUMIFS(BD!$K$3:$K$5001,BD!$A$3:$A$5001,AA$3,BD!$B$3:$B$5001,$A$323)))</f>
        <v/>
      </c>
      <c r="AB331" s="203" t="str">
        <f>IF(AB$3="","",IF(COUNTIFS(BD!$A$3:$A$5001,AB$3,BD!$B$3:$B$5001,$A$323,BD!$K$3:$K$5001,"&lt;&gt;")=0,"",SUMIFS(BD!$K$3:$K$5001,BD!$A$3:$A$5001,AB$3,BD!$B$3:$B$5001,$A$323)))</f>
        <v/>
      </c>
      <c r="AC331" s="203" t="str">
        <f>IF(AC$3="","",IF(COUNTIFS(BD!$A$3:$A$5001,AC$3,BD!$B$3:$B$5001,$A$323,BD!$K$3:$K$5001,"&lt;&gt;")=0,"",SUMIFS(BD!$K$3:$K$5001,BD!$A$3:$A$5001,AC$3,BD!$B$3:$B$5001,$A$323)))</f>
        <v/>
      </c>
      <c r="AD331" s="203" t="str">
        <f>IF(AD$3="","",IF(COUNTIFS(BD!$A$3:$A$5001,AD$3,BD!$B$3:$B$5001,$A$323,BD!$K$3:$K$5001,"&lt;&gt;")=0,"",SUMIFS(BD!$K$3:$K$5001,BD!$A$3:$A$5001,AD$3,BD!$B$3:$B$5001,$A$323)))</f>
        <v/>
      </c>
      <c r="AE331" s="203" t="str">
        <f>IF(AE$3="","",IF(COUNTIFS(BD!$A$3:$A$5001,AE$3,BD!$B$3:$B$5001,$A$323,BD!$K$3:$K$5001,"&lt;&gt;")=0,"",SUMIFS(BD!$K$3:$K$5001,BD!$A$3:$A$5001,AE$3,BD!$B$3:$B$5001,$A$323)))</f>
        <v/>
      </c>
      <c r="AF331" s="203" t="str">
        <f>IF(AF$3="","",IF(COUNTIFS(BD!$A$3:$A$5001,AF$3,BD!$B$3:$B$5001,$A$323,BD!$K$3:$K$5001,"&lt;&gt;")=0,"",SUMIFS(BD!$K$3:$K$5001,BD!$A$3:$A$5001,AF$3,BD!$B$3:$B$5001,$A$323)))</f>
        <v/>
      </c>
      <c r="AG331" s="203" t="str">
        <f>IF(AG$3="","",IF(COUNTIFS(BD!$A$3:$A$5001,AG$3,BD!$B$3:$B$5001,$A$323,BD!$K$3:$K$5001,"&lt;&gt;")=0,"",SUMIFS(BD!$K$3:$K$5001,BD!$A$3:$A$5001,AG$3,BD!$B$3:$B$5001,$A$323)))</f>
        <v/>
      </c>
      <c r="AH331" s="203" t="str">
        <f>IF(AH$3="","",IF(COUNTIFS(BD!$A$3:$A$5001,AH$3,BD!$B$3:$B$5001,$A$323,BD!$K$3:$K$5001,"&lt;&gt;")=0,"",SUMIFS(BD!$K$3:$K$5001,BD!$A$3:$A$5001,AH$3,BD!$B$3:$B$5001,$A$323)))</f>
        <v/>
      </c>
      <c r="AI331" s="203" t="str">
        <f>IF(AI$3="","",IF(COUNTIFS(BD!$A$3:$A$5001,AI$3,BD!$B$3:$B$5001,$A$323,BD!$K$3:$K$5001,"&lt;&gt;")=0,"",SUMIFS(BD!$K$3:$K$5001,BD!$A$3:$A$5001,AI$3,BD!$B$3:$B$5001,$A$323)))</f>
        <v/>
      </c>
      <c r="AJ331" s="204" t="str">
        <f>IF(AJ$3="","",IF(COUNTIFS(BD!$A$3:$A$5001,AJ$3,BD!$B$3:$B$5001,$A$323,BD!$K$3:$K$5001,"&lt;&gt;")=0,"",SUMIFS(BD!$K$3:$K$5001,BD!$A$3:$A$5001,AJ$3,BD!$B$3:$B$5001,$A$323)))</f>
        <v/>
      </c>
      <c r="AK331" s="205" t="str">
        <f>IF(COUNT(F331:AJ331)=0,"",SUM(F331:AJ331))</f>
        <v/>
      </c>
    </row>
    <row r="332" ht="15.75" customHeight="1" hidden="1">
      <c r="A332" s="277"/>
      <c r="B332" s="268"/>
      <c r="C332" s="199" t="inlineStr">
        <is>
          <t xml:space="preserve">Pedidos Faturados</t>
        </is>
      </c>
      <c r="D332" s="200" t="str">
        <f>IFERROR(1/(1/INDEX(BD!$AF$32:$AZ$32,MATCH($A$323,BD!$AF$22:$AZ$22,0))),"")</f>
        <v/>
      </c>
      <c r="E332" s="201"/>
      <c r="F332" s="202" t="str">
        <f>IF(F$3="","",IF(COUNTIFS(BD!$A$3:$A$5001,F$3,BD!$B$3:$B$5001,$A$323,BD!$L$3:$L$5001,"&lt;&gt;")=0,"",SUMIFS(BD!$L$3:$L$5001,BD!$A$3:$A$5001,F$3,BD!$B$3:$B$5001,$A$323)))</f>
        <v/>
      </c>
      <c r="G332" s="203" t="str">
        <f>IF(G$3="","",IF(COUNTIFS(BD!$A$3:$A$5001,G$3,BD!$B$3:$B$5001,$A$323,BD!$L$3:$L$5001,"&lt;&gt;")=0,"",SUMIFS(BD!$L$3:$L$5001,BD!$A$3:$A$5001,G$3,BD!$B$3:$B$5001,$A$323)))</f>
        <v/>
      </c>
      <c r="H332" s="203" t="str">
        <f>IF(H$3="","",IF(COUNTIFS(BD!$A$3:$A$5001,H$3,BD!$B$3:$B$5001,$A$323,BD!$L$3:$L$5001,"&lt;&gt;")=0,"",SUMIFS(BD!$L$3:$L$5001,BD!$A$3:$A$5001,H$3,BD!$B$3:$B$5001,$A$323)))</f>
        <v/>
      </c>
      <c r="I332" s="203" t="str">
        <f>IF(I$3="","",IF(COUNTIFS(BD!$A$3:$A$5001,I$3,BD!$B$3:$B$5001,$A$323,BD!$L$3:$L$5001,"&lt;&gt;")=0,"",SUMIFS(BD!$L$3:$L$5001,BD!$A$3:$A$5001,I$3,BD!$B$3:$B$5001,$A$323)))</f>
        <v/>
      </c>
      <c r="J332" s="203" t="str">
        <f>IF(J$3="","",IF(COUNTIFS(BD!$A$3:$A$5001,J$3,BD!$B$3:$B$5001,$A$323,BD!$L$3:$L$5001,"&lt;&gt;")=0,"",SUMIFS(BD!$L$3:$L$5001,BD!$A$3:$A$5001,J$3,BD!$B$3:$B$5001,$A$323)))</f>
        <v/>
      </c>
      <c r="K332" s="203" t="str">
        <f>IF(K$3="","",IF(COUNTIFS(BD!$A$3:$A$5001,K$3,BD!$B$3:$B$5001,$A$323,BD!$L$3:$L$5001,"&lt;&gt;")=0,"",SUMIFS(BD!$L$3:$L$5001,BD!$A$3:$A$5001,K$3,BD!$B$3:$B$5001,$A$323)))</f>
        <v/>
      </c>
      <c r="L332" s="203" t="str">
        <f>IF(L$3="","",IF(COUNTIFS(BD!$A$3:$A$5001,L$3,BD!$B$3:$B$5001,$A$323,BD!$L$3:$L$5001,"&lt;&gt;")=0,"",SUMIFS(BD!$L$3:$L$5001,BD!$A$3:$A$5001,L$3,BD!$B$3:$B$5001,$A$323)))</f>
        <v/>
      </c>
      <c r="M332" s="203" t="str">
        <f>IF(M$3="","",IF(COUNTIFS(BD!$A$3:$A$5001,M$3,BD!$B$3:$B$5001,$A$323,BD!$L$3:$L$5001,"&lt;&gt;")=0,"",SUMIFS(BD!$L$3:$L$5001,BD!$A$3:$A$5001,M$3,BD!$B$3:$B$5001,$A$323)))</f>
        <v/>
      </c>
      <c r="N332" s="203" t="str">
        <f>IF(N$3="","",IF(COUNTIFS(BD!$A$3:$A$5001,N$3,BD!$B$3:$B$5001,$A$323,BD!$L$3:$L$5001,"&lt;&gt;")=0,"",SUMIFS(BD!$L$3:$L$5001,BD!$A$3:$A$5001,N$3,BD!$B$3:$B$5001,$A$323)))</f>
        <v/>
      </c>
      <c r="O332" s="203" t="str">
        <f>IF(O$3="","",IF(COUNTIFS(BD!$A$3:$A$5001,O$3,BD!$B$3:$B$5001,$A$323,BD!$L$3:$L$5001,"&lt;&gt;")=0,"",SUMIFS(BD!$L$3:$L$5001,BD!$A$3:$A$5001,O$3,BD!$B$3:$B$5001,$A$323)))</f>
        <v/>
      </c>
      <c r="P332" s="203" t="str">
        <f>IF(P$3="","",IF(COUNTIFS(BD!$A$3:$A$5001,P$3,BD!$B$3:$B$5001,$A$323,BD!$L$3:$L$5001,"&lt;&gt;")=0,"",SUMIFS(BD!$L$3:$L$5001,BD!$A$3:$A$5001,P$3,BD!$B$3:$B$5001,$A$323)))</f>
        <v/>
      </c>
      <c r="Q332" s="203" t="str">
        <f>IF(Q$3="","",IF(COUNTIFS(BD!$A$3:$A$5001,Q$3,BD!$B$3:$B$5001,$A$323,BD!$L$3:$L$5001,"&lt;&gt;")=0,"",SUMIFS(BD!$L$3:$L$5001,BD!$A$3:$A$5001,Q$3,BD!$B$3:$B$5001,$A$323)))</f>
        <v/>
      </c>
      <c r="R332" s="203" t="str">
        <f>IF(R$3="","",IF(COUNTIFS(BD!$A$3:$A$5001,R$3,BD!$B$3:$B$5001,$A$323,BD!$L$3:$L$5001,"&lt;&gt;")=0,"",SUMIFS(BD!$L$3:$L$5001,BD!$A$3:$A$5001,R$3,BD!$B$3:$B$5001,$A$323)))</f>
        <v/>
      </c>
      <c r="S332" s="203" t="str">
        <f>IF(S$3="","",IF(COUNTIFS(BD!$A$3:$A$5001,S$3,BD!$B$3:$B$5001,$A$323,BD!$L$3:$L$5001,"&lt;&gt;")=0,"",SUMIFS(BD!$L$3:$L$5001,BD!$A$3:$A$5001,S$3,BD!$B$3:$B$5001,$A$323)))</f>
        <v/>
      </c>
      <c r="T332" s="203" t="str">
        <f>IF(T$3="","",IF(COUNTIFS(BD!$A$3:$A$5001,T$3,BD!$B$3:$B$5001,$A$323,BD!$L$3:$L$5001,"&lt;&gt;")=0,"",SUMIFS(BD!$L$3:$L$5001,BD!$A$3:$A$5001,T$3,BD!$B$3:$B$5001,$A$323)))</f>
        <v/>
      </c>
      <c r="U332" s="203" t="str">
        <f>IF(U$3="","",IF(COUNTIFS(BD!$A$3:$A$5001,U$3,BD!$B$3:$B$5001,$A$323,BD!$L$3:$L$5001,"&lt;&gt;")=0,"",SUMIFS(BD!$L$3:$L$5001,BD!$A$3:$A$5001,U$3,BD!$B$3:$B$5001,$A$323)))</f>
        <v/>
      </c>
      <c r="V332" s="203" t="str">
        <f>IF(V$3="","",IF(COUNTIFS(BD!$A$3:$A$5001,V$3,BD!$B$3:$B$5001,$A$323,BD!$L$3:$L$5001,"&lt;&gt;")=0,"",SUMIFS(BD!$L$3:$L$5001,BD!$A$3:$A$5001,V$3,BD!$B$3:$B$5001,$A$323)))</f>
        <v/>
      </c>
      <c r="W332" s="203" t="str">
        <f>IF(W$3="","",IF(COUNTIFS(BD!$A$3:$A$5001,W$3,BD!$B$3:$B$5001,$A$323,BD!$L$3:$L$5001,"&lt;&gt;")=0,"",SUMIFS(BD!$L$3:$L$5001,BD!$A$3:$A$5001,W$3,BD!$B$3:$B$5001,$A$323)))</f>
        <v/>
      </c>
      <c r="X332" s="203" t="str">
        <f>IF(X$3="","",IF(COUNTIFS(BD!$A$3:$A$5001,X$3,BD!$B$3:$B$5001,$A$323,BD!$L$3:$L$5001,"&lt;&gt;")=0,"",SUMIFS(BD!$L$3:$L$5001,BD!$A$3:$A$5001,X$3,BD!$B$3:$B$5001,$A$323)))</f>
        <v/>
      </c>
      <c r="Y332" s="203" t="str">
        <f>IF(Y$3="","",IF(COUNTIFS(BD!$A$3:$A$5001,Y$3,BD!$B$3:$B$5001,$A$323,BD!$L$3:$L$5001,"&lt;&gt;")=0,"",SUMIFS(BD!$L$3:$L$5001,BD!$A$3:$A$5001,Y$3,BD!$B$3:$B$5001,$A$323)))</f>
        <v/>
      </c>
      <c r="Z332" s="203" t="str">
        <f>IF(Z$3="","",IF(COUNTIFS(BD!$A$3:$A$5001,Z$3,BD!$B$3:$B$5001,$A$323,BD!$L$3:$L$5001,"&lt;&gt;")=0,"",SUMIFS(BD!$L$3:$L$5001,BD!$A$3:$A$5001,Z$3,BD!$B$3:$B$5001,$A$323)))</f>
        <v/>
      </c>
      <c r="AA332" s="203" t="str">
        <f>IF(AA$3="","",IF(COUNTIFS(BD!$A$3:$A$5001,AA$3,BD!$B$3:$B$5001,$A$323,BD!$L$3:$L$5001,"&lt;&gt;")=0,"",SUMIFS(BD!$L$3:$L$5001,BD!$A$3:$A$5001,AA$3,BD!$B$3:$B$5001,$A$323)))</f>
        <v/>
      </c>
      <c r="AB332" s="203" t="str">
        <f>IF(AB$3="","",IF(COUNTIFS(BD!$A$3:$A$5001,AB$3,BD!$B$3:$B$5001,$A$323,BD!$L$3:$L$5001,"&lt;&gt;")=0,"",SUMIFS(BD!$L$3:$L$5001,BD!$A$3:$A$5001,AB$3,BD!$B$3:$B$5001,$A$323)))</f>
        <v/>
      </c>
      <c r="AC332" s="203" t="str">
        <f>IF(AC$3="","",IF(COUNTIFS(BD!$A$3:$A$5001,AC$3,BD!$B$3:$B$5001,$A$323,BD!$L$3:$L$5001,"&lt;&gt;")=0,"",SUMIFS(BD!$L$3:$L$5001,BD!$A$3:$A$5001,AC$3,BD!$B$3:$B$5001,$A$323)))</f>
        <v/>
      </c>
      <c r="AD332" s="203" t="str">
        <f>IF(AD$3="","",IF(COUNTIFS(BD!$A$3:$A$5001,AD$3,BD!$B$3:$B$5001,$A$323,BD!$L$3:$L$5001,"&lt;&gt;")=0,"",SUMIFS(BD!$L$3:$L$5001,BD!$A$3:$A$5001,AD$3,BD!$B$3:$B$5001,$A$323)))</f>
        <v/>
      </c>
      <c r="AE332" s="203" t="str">
        <f>IF(AE$3="","",IF(COUNTIFS(BD!$A$3:$A$5001,AE$3,BD!$B$3:$B$5001,$A$323,BD!$L$3:$L$5001,"&lt;&gt;")=0,"",SUMIFS(BD!$L$3:$L$5001,BD!$A$3:$A$5001,AE$3,BD!$B$3:$B$5001,$A$323)))</f>
        <v/>
      </c>
      <c r="AF332" s="203" t="str">
        <f>IF(AF$3="","",IF(COUNTIFS(BD!$A$3:$A$5001,AF$3,BD!$B$3:$B$5001,$A$323,BD!$L$3:$L$5001,"&lt;&gt;")=0,"",SUMIFS(BD!$L$3:$L$5001,BD!$A$3:$A$5001,AF$3,BD!$B$3:$B$5001,$A$323)))</f>
        <v/>
      </c>
      <c r="AG332" s="203" t="str">
        <f>IF(AG$3="","",IF(COUNTIFS(BD!$A$3:$A$5001,AG$3,BD!$B$3:$B$5001,$A$323,BD!$L$3:$L$5001,"&lt;&gt;")=0,"",SUMIFS(BD!$L$3:$L$5001,BD!$A$3:$A$5001,AG$3,BD!$B$3:$B$5001,$A$323)))</f>
        <v/>
      </c>
      <c r="AH332" s="203" t="str">
        <f>IF(AH$3="","",IF(COUNTIFS(BD!$A$3:$A$5001,AH$3,BD!$B$3:$B$5001,$A$323,BD!$L$3:$L$5001,"&lt;&gt;")=0,"",SUMIFS(BD!$L$3:$L$5001,BD!$A$3:$A$5001,AH$3,BD!$B$3:$B$5001,$A$323)))</f>
        <v/>
      </c>
      <c r="AI332" s="203" t="str">
        <f>IF(AI$3="","",IF(COUNTIFS(BD!$A$3:$A$5001,AI$3,BD!$B$3:$B$5001,$A$323,BD!$L$3:$L$5001,"&lt;&gt;")=0,"",SUMIFS(BD!$L$3:$L$5001,BD!$A$3:$A$5001,AI$3,BD!$B$3:$B$5001,$A$323)))</f>
        <v/>
      </c>
      <c r="AJ332" s="204" t="str">
        <f>IF(AJ$3="","",IF(COUNTIFS(BD!$A$3:$A$5001,AJ$3,BD!$B$3:$B$5001,$A$323,BD!$L$3:$L$5001,"&lt;&gt;")=0,"",SUMIFS(BD!$L$3:$L$5001,BD!$A$3:$A$5001,AJ$3,BD!$B$3:$B$5001,$A$323)))</f>
        <v/>
      </c>
      <c r="AK332" s="205" t="str">
        <f>IF(COUNT(F332:AJ332)=0,"",SUM(F332:AJ332))</f>
        <v/>
      </c>
    </row>
    <row r="333" ht="15.75" customHeight="1" hidden="1">
      <c r="A333" s="277"/>
      <c r="B333" s="269"/>
      <c r="C333" s="210" t="inlineStr">
        <is>
          <t xml:space="preserve">Bags Expedidos</t>
        </is>
      </c>
      <c r="D333" s="211" t="str">
        <f>IFERROR(1/(1/INDEX(BD!$AF$33:$AZ$33,MATCH($A$323,BD!$AF$22:$AZ$22,0))),"")</f>
        <v/>
      </c>
      <c r="E333" s="212"/>
      <c r="F333" s="213" t="str">
        <f>IF(F$3="","",IF(COUNTIFS(BD!$A$3:$A$5001,F$3,BD!$B$3:$B$5001,$A$323,BD!$M$3:$M$5001,"&lt;&gt;")=0,"",SUMIFS(BD!$M$3:$M$5001,BD!$A$3:$A$5001,F$3,BD!$B$3:$B$5001,$A$323)))</f>
        <v/>
      </c>
      <c r="G333" s="214" t="str">
        <f>IF(G$3="","",IF(COUNTIFS(BD!$A$3:$A$5001,G$3,BD!$B$3:$B$5001,$A$323,BD!$M$3:$M$5001,"&lt;&gt;")=0,"",SUMIFS(BD!$M$3:$M$5001,BD!$A$3:$A$5001,G$3,BD!$B$3:$B$5001,$A$323)))</f>
        <v/>
      </c>
      <c r="H333" s="214" t="str">
        <f>IF(H$3="","",IF(COUNTIFS(BD!$A$3:$A$5001,H$3,BD!$B$3:$B$5001,$A$323,BD!$M$3:$M$5001,"&lt;&gt;")=0,"",SUMIFS(BD!$M$3:$M$5001,BD!$A$3:$A$5001,H$3,BD!$B$3:$B$5001,$A$323)))</f>
        <v/>
      </c>
      <c r="I333" s="214" t="str">
        <f>IF(I$3="","",IF(COUNTIFS(BD!$A$3:$A$5001,I$3,BD!$B$3:$B$5001,$A$323,BD!$M$3:$M$5001,"&lt;&gt;")=0,"",SUMIFS(BD!$M$3:$M$5001,BD!$A$3:$A$5001,I$3,BD!$B$3:$B$5001,$A$323)))</f>
        <v/>
      </c>
      <c r="J333" s="214" t="str">
        <f>IF(J$3="","",IF(COUNTIFS(BD!$A$3:$A$5001,J$3,BD!$B$3:$B$5001,$A$323,BD!$M$3:$M$5001,"&lt;&gt;")=0,"",SUMIFS(BD!$M$3:$M$5001,BD!$A$3:$A$5001,J$3,BD!$B$3:$B$5001,$A$323)))</f>
        <v/>
      </c>
      <c r="K333" s="214" t="str">
        <f>IF(K$3="","",IF(COUNTIFS(BD!$A$3:$A$5001,K$3,BD!$B$3:$B$5001,$A$323,BD!$M$3:$M$5001,"&lt;&gt;")=0,"",SUMIFS(BD!$M$3:$M$5001,BD!$A$3:$A$5001,K$3,BD!$B$3:$B$5001,$A$323)))</f>
        <v/>
      </c>
      <c r="L333" s="214" t="str">
        <f>IF(L$3="","",IF(COUNTIFS(BD!$A$3:$A$5001,L$3,BD!$B$3:$B$5001,$A$323,BD!$M$3:$M$5001,"&lt;&gt;")=0,"",SUMIFS(BD!$M$3:$M$5001,BD!$A$3:$A$5001,L$3,BD!$B$3:$B$5001,$A$323)))</f>
        <v/>
      </c>
      <c r="M333" s="214" t="str">
        <f>IF(M$3="","",IF(COUNTIFS(BD!$A$3:$A$5001,M$3,BD!$B$3:$B$5001,$A$323,BD!$M$3:$M$5001,"&lt;&gt;")=0,"",SUMIFS(BD!$M$3:$M$5001,BD!$A$3:$A$5001,M$3,BD!$B$3:$B$5001,$A$323)))</f>
        <v/>
      </c>
      <c r="N333" s="214" t="str">
        <f>IF(N$3="","",IF(COUNTIFS(BD!$A$3:$A$5001,N$3,BD!$B$3:$B$5001,$A$323,BD!$M$3:$M$5001,"&lt;&gt;")=0,"",SUMIFS(BD!$M$3:$M$5001,BD!$A$3:$A$5001,N$3,BD!$B$3:$B$5001,$A$323)))</f>
        <v/>
      </c>
      <c r="O333" s="214" t="str">
        <f>IF(O$3="","",IF(COUNTIFS(BD!$A$3:$A$5001,O$3,BD!$B$3:$B$5001,$A$323,BD!$M$3:$M$5001,"&lt;&gt;")=0,"",SUMIFS(BD!$M$3:$M$5001,BD!$A$3:$A$5001,O$3,BD!$B$3:$B$5001,$A$323)))</f>
        <v/>
      </c>
      <c r="P333" s="214" t="str">
        <f>IF(P$3="","",IF(COUNTIFS(BD!$A$3:$A$5001,P$3,BD!$B$3:$B$5001,$A$323,BD!$M$3:$M$5001,"&lt;&gt;")=0,"",SUMIFS(BD!$M$3:$M$5001,BD!$A$3:$A$5001,P$3,BD!$B$3:$B$5001,$A$323)))</f>
        <v/>
      </c>
      <c r="Q333" s="214" t="str">
        <f>IF(Q$3="","",IF(COUNTIFS(BD!$A$3:$A$5001,Q$3,BD!$B$3:$B$5001,$A$323,BD!$M$3:$M$5001,"&lt;&gt;")=0,"",SUMIFS(BD!$M$3:$M$5001,BD!$A$3:$A$5001,Q$3,BD!$B$3:$B$5001,$A$323)))</f>
        <v/>
      </c>
      <c r="R333" s="214" t="str">
        <f>IF(R$3="","",IF(COUNTIFS(BD!$A$3:$A$5001,R$3,BD!$B$3:$B$5001,$A$323,BD!$M$3:$M$5001,"&lt;&gt;")=0,"",SUMIFS(BD!$M$3:$M$5001,BD!$A$3:$A$5001,R$3,BD!$B$3:$B$5001,$A$323)))</f>
        <v/>
      </c>
      <c r="S333" s="214" t="str">
        <f>IF(S$3="","",IF(COUNTIFS(BD!$A$3:$A$5001,S$3,BD!$B$3:$B$5001,$A$323,BD!$M$3:$M$5001,"&lt;&gt;")=0,"",SUMIFS(BD!$M$3:$M$5001,BD!$A$3:$A$5001,S$3,BD!$B$3:$B$5001,$A$323)))</f>
        <v/>
      </c>
      <c r="T333" s="214" t="str">
        <f>IF(T$3="","",IF(COUNTIFS(BD!$A$3:$A$5001,T$3,BD!$B$3:$B$5001,$A$323,BD!$M$3:$M$5001,"&lt;&gt;")=0,"",SUMIFS(BD!$M$3:$M$5001,BD!$A$3:$A$5001,T$3,BD!$B$3:$B$5001,$A$323)))</f>
        <v/>
      </c>
      <c r="U333" s="214" t="str">
        <f>IF(U$3="","",IF(COUNTIFS(BD!$A$3:$A$5001,U$3,BD!$B$3:$B$5001,$A$323,BD!$M$3:$M$5001,"&lt;&gt;")=0,"",SUMIFS(BD!$M$3:$M$5001,BD!$A$3:$A$5001,U$3,BD!$B$3:$B$5001,$A$323)))</f>
        <v/>
      </c>
      <c r="V333" s="214" t="str">
        <f>IF(V$3="","",IF(COUNTIFS(BD!$A$3:$A$5001,V$3,BD!$B$3:$B$5001,$A$323,BD!$M$3:$M$5001,"&lt;&gt;")=0,"",SUMIFS(BD!$M$3:$M$5001,BD!$A$3:$A$5001,V$3,BD!$B$3:$B$5001,$A$323)))</f>
        <v/>
      </c>
      <c r="W333" s="214" t="str">
        <f>IF(W$3="","",IF(COUNTIFS(BD!$A$3:$A$5001,W$3,BD!$B$3:$B$5001,$A$323,BD!$M$3:$M$5001,"&lt;&gt;")=0,"",SUMIFS(BD!$M$3:$M$5001,BD!$A$3:$A$5001,W$3,BD!$B$3:$B$5001,$A$323)))</f>
        <v/>
      </c>
      <c r="X333" s="214" t="str">
        <f>IF(X$3="","",IF(COUNTIFS(BD!$A$3:$A$5001,X$3,BD!$B$3:$B$5001,$A$323,BD!$M$3:$M$5001,"&lt;&gt;")=0,"",SUMIFS(BD!$M$3:$M$5001,BD!$A$3:$A$5001,X$3,BD!$B$3:$B$5001,$A$323)))</f>
        <v/>
      </c>
      <c r="Y333" s="214" t="str">
        <f>IF(Y$3="","",IF(COUNTIFS(BD!$A$3:$A$5001,Y$3,BD!$B$3:$B$5001,$A$323,BD!$M$3:$M$5001,"&lt;&gt;")=0,"",SUMIFS(BD!$M$3:$M$5001,BD!$A$3:$A$5001,Y$3,BD!$B$3:$B$5001,$A$323)))</f>
        <v/>
      </c>
      <c r="Z333" s="214" t="str">
        <f>IF(Z$3="","",IF(COUNTIFS(BD!$A$3:$A$5001,Z$3,BD!$B$3:$B$5001,$A$323,BD!$M$3:$M$5001,"&lt;&gt;")=0,"",SUMIFS(BD!$M$3:$M$5001,BD!$A$3:$A$5001,Z$3,BD!$B$3:$B$5001,$A$323)))</f>
        <v/>
      </c>
      <c r="AA333" s="214" t="str">
        <f>IF(AA$3="","",IF(COUNTIFS(BD!$A$3:$A$5001,AA$3,BD!$B$3:$B$5001,$A$323,BD!$M$3:$M$5001,"&lt;&gt;")=0,"",SUMIFS(BD!$M$3:$M$5001,BD!$A$3:$A$5001,AA$3,BD!$B$3:$B$5001,$A$323)))</f>
        <v/>
      </c>
      <c r="AB333" s="214" t="str">
        <f>IF(AB$3="","",IF(COUNTIFS(BD!$A$3:$A$5001,AB$3,BD!$B$3:$B$5001,$A$323,BD!$M$3:$M$5001,"&lt;&gt;")=0,"",SUMIFS(BD!$M$3:$M$5001,BD!$A$3:$A$5001,AB$3,BD!$B$3:$B$5001,$A$323)))</f>
        <v/>
      </c>
      <c r="AC333" s="214" t="str">
        <f>IF(AC$3="","",IF(COUNTIFS(BD!$A$3:$A$5001,AC$3,BD!$B$3:$B$5001,$A$323,BD!$M$3:$M$5001,"&lt;&gt;")=0,"",SUMIFS(BD!$M$3:$M$5001,BD!$A$3:$A$5001,AC$3,BD!$B$3:$B$5001,$A$323)))</f>
        <v/>
      </c>
      <c r="AD333" s="214" t="str">
        <f>IF(AD$3="","",IF(COUNTIFS(BD!$A$3:$A$5001,AD$3,BD!$B$3:$B$5001,$A$323,BD!$M$3:$M$5001,"&lt;&gt;")=0,"",SUMIFS(BD!$M$3:$M$5001,BD!$A$3:$A$5001,AD$3,BD!$B$3:$B$5001,$A$323)))</f>
        <v/>
      </c>
      <c r="AE333" s="214" t="str">
        <f>IF(AE$3="","",IF(COUNTIFS(BD!$A$3:$A$5001,AE$3,BD!$B$3:$B$5001,$A$323,BD!$M$3:$M$5001,"&lt;&gt;")=0,"",SUMIFS(BD!$M$3:$M$5001,BD!$A$3:$A$5001,AE$3,BD!$B$3:$B$5001,$A$323)))</f>
        <v/>
      </c>
      <c r="AF333" s="214" t="str">
        <f>IF(AF$3="","",IF(COUNTIFS(BD!$A$3:$A$5001,AF$3,BD!$B$3:$B$5001,$A$323,BD!$M$3:$M$5001,"&lt;&gt;")=0,"",SUMIFS(BD!$M$3:$M$5001,BD!$A$3:$A$5001,AF$3,BD!$B$3:$B$5001,$A$323)))</f>
        <v/>
      </c>
      <c r="AG333" s="214" t="str">
        <f>IF(AG$3="","",IF(COUNTIFS(BD!$A$3:$A$5001,AG$3,BD!$B$3:$B$5001,$A$323,BD!$M$3:$M$5001,"&lt;&gt;")=0,"",SUMIFS(BD!$M$3:$M$5001,BD!$A$3:$A$5001,AG$3,BD!$B$3:$B$5001,$A$323)))</f>
        <v/>
      </c>
      <c r="AH333" s="214" t="str">
        <f>IF(AH$3="","",IF(COUNTIFS(BD!$A$3:$A$5001,AH$3,BD!$B$3:$B$5001,$A$323,BD!$M$3:$M$5001,"&lt;&gt;")=0,"",SUMIFS(BD!$M$3:$M$5001,BD!$A$3:$A$5001,AH$3,BD!$B$3:$B$5001,$A$323)))</f>
        <v/>
      </c>
      <c r="AI333" s="214" t="str">
        <f>IF(AI$3="","",IF(COUNTIFS(BD!$A$3:$A$5001,AI$3,BD!$B$3:$B$5001,$A$323,BD!$M$3:$M$5001,"&lt;&gt;")=0,"",SUMIFS(BD!$M$3:$M$5001,BD!$A$3:$A$5001,AI$3,BD!$B$3:$B$5001,$A$323)))</f>
        <v/>
      </c>
      <c r="AJ333" s="215" t="str">
        <f>IF(AJ$3="","",IF(COUNTIFS(BD!$A$3:$A$5001,AJ$3,BD!$B$3:$B$5001,$A$323,BD!$M$3:$M$5001,"&lt;&gt;")=0,"",SUMIFS(BD!$M$3:$M$5001,BD!$A$3:$A$5001,AJ$3,BD!$B$3:$B$5001,$A$323)))</f>
        <v/>
      </c>
      <c r="AK333" s="211" t="str">
        <f>IF(COUNT(F333:AJ333)=0,"",SUM(F333:AJ333))</f>
        <v/>
      </c>
    </row>
    <row r="334" ht="15.75" customHeight="1" hidden="1">
      <c r="A334" s="277"/>
      <c r="B334" s="270" t="inlineStr">
        <is>
          <t xml:space="preserve">NC</t>
        </is>
      </c>
      <c r="C334" s="216" t="inlineStr">
        <is>
          <t xml:space="preserve">Incidentes</t>
        </is>
      </c>
      <c r="D334" s="217" t="str">
        <f>IFERROR(1/(1/INDEX(BD!$AF$34:$AZ$34,MATCH($A$323,BD!$AF$22:$AZ$22,0))),"")</f>
        <v/>
      </c>
      <c r="E334" s="218"/>
      <c r="F334" s="219" t="str">
        <f>IF(F$3="","",IF(COUNTIFS(BD!$A$3:$A$5001,F$3,BD!$B$3:$B$5001,$A$323,BD!$N$3:$N$5001,"&lt;&gt;")=0,"",SUMIFS(BD!$N$3:$N$5001,BD!$A$3:$A$5001,F$3,BD!$B$3:$B$5001,$A$323)))</f>
        <v/>
      </c>
      <c r="G334" s="220" t="str">
        <f>IF(G$3="","",IF(COUNTIFS(BD!$A$3:$A$5001,G$3,BD!$B$3:$B$5001,$A$323,BD!$N$3:$N$5001,"&lt;&gt;")=0,"",SUMIFS(BD!$N$3:$N$5001,BD!$A$3:$A$5001,G$3,BD!$B$3:$B$5001,$A$323)))</f>
        <v/>
      </c>
      <c r="H334" s="220" t="str">
        <f>IF(H$3="","",IF(COUNTIFS(BD!$A$3:$A$5001,H$3,BD!$B$3:$B$5001,$A$323,BD!$N$3:$N$5001,"&lt;&gt;")=0,"",SUMIFS(BD!$N$3:$N$5001,BD!$A$3:$A$5001,H$3,BD!$B$3:$B$5001,$A$323)))</f>
        <v/>
      </c>
      <c r="I334" s="220" t="str">
        <f>IF(I$3="","",IF(COUNTIFS(BD!$A$3:$A$5001,I$3,BD!$B$3:$B$5001,$A$323,BD!$N$3:$N$5001,"&lt;&gt;")=0,"",SUMIFS(BD!$N$3:$N$5001,BD!$A$3:$A$5001,I$3,BD!$B$3:$B$5001,$A$323)))</f>
        <v/>
      </c>
      <c r="J334" s="220" t="str">
        <f>IF(J$3="","",IF(COUNTIFS(BD!$A$3:$A$5001,J$3,BD!$B$3:$B$5001,$A$323,BD!$N$3:$N$5001,"&lt;&gt;")=0,"",SUMIFS(BD!$N$3:$N$5001,BD!$A$3:$A$5001,J$3,BD!$B$3:$B$5001,$A$323)))</f>
        <v/>
      </c>
      <c r="K334" s="220" t="str">
        <f>IF(K$3="","",IF(COUNTIFS(BD!$A$3:$A$5001,K$3,BD!$B$3:$B$5001,$A$323,BD!$N$3:$N$5001,"&lt;&gt;")=0,"",SUMIFS(BD!$N$3:$N$5001,BD!$A$3:$A$5001,K$3,BD!$B$3:$B$5001,$A$323)))</f>
        <v/>
      </c>
      <c r="L334" s="220" t="str">
        <f>IF(L$3="","",IF(COUNTIFS(BD!$A$3:$A$5001,L$3,BD!$B$3:$B$5001,$A$323,BD!$N$3:$N$5001,"&lt;&gt;")=0,"",SUMIFS(BD!$N$3:$N$5001,BD!$A$3:$A$5001,L$3,BD!$B$3:$B$5001,$A$323)))</f>
        <v/>
      </c>
      <c r="M334" s="220" t="str">
        <f>IF(M$3="","",IF(COUNTIFS(BD!$A$3:$A$5001,M$3,BD!$B$3:$B$5001,$A$323,BD!$N$3:$N$5001,"&lt;&gt;")=0,"",SUMIFS(BD!$N$3:$N$5001,BD!$A$3:$A$5001,M$3,BD!$B$3:$B$5001,$A$323)))</f>
        <v/>
      </c>
      <c r="N334" s="220" t="str">
        <f>IF(N$3="","",IF(COUNTIFS(BD!$A$3:$A$5001,N$3,BD!$B$3:$B$5001,$A$323,BD!$N$3:$N$5001,"&lt;&gt;")=0,"",SUMIFS(BD!$N$3:$N$5001,BD!$A$3:$A$5001,N$3,BD!$B$3:$B$5001,$A$323)))</f>
        <v/>
      </c>
      <c r="O334" s="220" t="str">
        <f>IF(O$3="","",IF(COUNTIFS(BD!$A$3:$A$5001,O$3,BD!$B$3:$B$5001,$A$323,BD!$N$3:$N$5001,"&lt;&gt;")=0,"",SUMIFS(BD!$N$3:$N$5001,BD!$A$3:$A$5001,O$3,BD!$B$3:$B$5001,$A$323)))</f>
        <v/>
      </c>
      <c r="P334" s="220" t="str">
        <f>IF(P$3="","",IF(COUNTIFS(BD!$A$3:$A$5001,P$3,BD!$B$3:$B$5001,$A$323,BD!$N$3:$N$5001,"&lt;&gt;")=0,"",SUMIFS(BD!$N$3:$N$5001,BD!$A$3:$A$5001,P$3,BD!$B$3:$B$5001,$A$323)))</f>
        <v/>
      </c>
      <c r="Q334" s="220" t="str">
        <f>IF(Q$3="","",IF(COUNTIFS(BD!$A$3:$A$5001,Q$3,BD!$B$3:$B$5001,$A$323,BD!$N$3:$N$5001,"&lt;&gt;")=0,"",SUMIFS(BD!$N$3:$N$5001,BD!$A$3:$A$5001,Q$3,BD!$B$3:$B$5001,$A$323)))</f>
        <v/>
      </c>
      <c r="R334" s="220" t="str">
        <f>IF(R$3="","",IF(COUNTIFS(BD!$A$3:$A$5001,R$3,BD!$B$3:$B$5001,$A$323,BD!$N$3:$N$5001,"&lt;&gt;")=0,"",SUMIFS(BD!$N$3:$N$5001,BD!$A$3:$A$5001,R$3,BD!$B$3:$B$5001,$A$323)))</f>
        <v/>
      </c>
      <c r="S334" s="220" t="str">
        <f>IF(S$3="","",IF(COUNTIFS(BD!$A$3:$A$5001,S$3,BD!$B$3:$B$5001,$A$323,BD!$N$3:$N$5001,"&lt;&gt;")=0,"",SUMIFS(BD!$N$3:$N$5001,BD!$A$3:$A$5001,S$3,BD!$B$3:$B$5001,$A$323)))</f>
        <v/>
      </c>
      <c r="T334" s="220" t="str">
        <f>IF(T$3="","",IF(COUNTIFS(BD!$A$3:$A$5001,T$3,BD!$B$3:$B$5001,$A$323,BD!$N$3:$N$5001,"&lt;&gt;")=0,"",SUMIFS(BD!$N$3:$N$5001,BD!$A$3:$A$5001,T$3,BD!$B$3:$B$5001,$A$323)))</f>
        <v/>
      </c>
      <c r="U334" s="220" t="str">
        <f>IF(U$3="","",IF(COUNTIFS(BD!$A$3:$A$5001,U$3,BD!$B$3:$B$5001,$A$323,BD!$N$3:$N$5001,"&lt;&gt;")=0,"",SUMIFS(BD!$N$3:$N$5001,BD!$A$3:$A$5001,U$3,BD!$B$3:$B$5001,$A$323)))</f>
        <v/>
      </c>
      <c r="V334" s="220" t="str">
        <f>IF(V$3="","",IF(COUNTIFS(BD!$A$3:$A$5001,V$3,BD!$B$3:$B$5001,$A$323,BD!$N$3:$N$5001,"&lt;&gt;")=0,"",SUMIFS(BD!$N$3:$N$5001,BD!$A$3:$A$5001,V$3,BD!$B$3:$B$5001,$A$323)))</f>
        <v/>
      </c>
      <c r="W334" s="220" t="str">
        <f>IF(W$3="","",IF(COUNTIFS(BD!$A$3:$A$5001,W$3,BD!$B$3:$B$5001,$A$323,BD!$N$3:$N$5001,"&lt;&gt;")=0,"",SUMIFS(BD!$N$3:$N$5001,BD!$A$3:$A$5001,W$3,BD!$B$3:$B$5001,$A$323)))</f>
        <v/>
      </c>
      <c r="X334" s="220" t="str">
        <f>IF(X$3="","",IF(COUNTIFS(BD!$A$3:$A$5001,X$3,BD!$B$3:$B$5001,$A$323,BD!$N$3:$N$5001,"&lt;&gt;")=0,"",SUMIFS(BD!$N$3:$N$5001,BD!$A$3:$A$5001,X$3,BD!$B$3:$B$5001,$A$323)))</f>
        <v/>
      </c>
      <c r="Y334" s="220" t="str">
        <f>IF(Y$3="","",IF(COUNTIFS(BD!$A$3:$A$5001,Y$3,BD!$B$3:$B$5001,$A$323,BD!$N$3:$N$5001,"&lt;&gt;")=0,"",SUMIFS(BD!$N$3:$N$5001,BD!$A$3:$A$5001,Y$3,BD!$B$3:$B$5001,$A$323)))</f>
        <v/>
      </c>
      <c r="Z334" s="220" t="str">
        <f>IF(Z$3="","",IF(COUNTIFS(BD!$A$3:$A$5001,Z$3,BD!$B$3:$B$5001,$A$323,BD!$N$3:$N$5001,"&lt;&gt;")=0,"",SUMIFS(BD!$N$3:$N$5001,BD!$A$3:$A$5001,Z$3,BD!$B$3:$B$5001,$A$323)))</f>
        <v/>
      </c>
      <c r="AA334" s="220" t="str">
        <f>IF(AA$3="","",IF(COUNTIFS(BD!$A$3:$A$5001,AA$3,BD!$B$3:$B$5001,$A$323,BD!$N$3:$N$5001,"&lt;&gt;")=0,"",SUMIFS(BD!$N$3:$N$5001,BD!$A$3:$A$5001,AA$3,BD!$B$3:$B$5001,$A$323)))</f>
        <v/>
      </c>
      <c r="AB334" s="220" t="str">
        <f>IF(AB$3="","",IF(COUNTIFS(BD!$A$3:$A$5001,AB$3,BD!$B$3:$B$5001,$A$323,BD!$N$3:$N$5001,"&lt;&gt;")=0,"",SUMIFS(BD!$N$3:$N$5001,BD!$A$3:$A$5001,AB$3,BD!$B$3:$B$5001,$A$323)))</f>
        <v/>
      </c>
      <c r="AC334" s="220" t="str">
        <f>IF(AC$3="","",IF(COUNTIFS(BD!$A$3:$A$5001,AC$3,BD!$B$3:$B$5001,$A$323,BD!$N$3:$N$5001,"&lt;&gt;")=0,"",SUMIFS(BD!$N$3:$N$5001,BD!$A$3:$A$5001,AC$3,BD!$B$3:$B$5001,$A$323)))</f>
        <v/>
      </c>
      <c r="AD334" s="220" t="str">
        <f>IF(AD$3="","",IF(COUNTIFS(BD!$A$3:$A$5001,AD$3,BD!$B$3:$B$5001,$A$323,BD!$N$3:$N$5001,"&lt;&gt;")=0,"",SUMIFS(BD!$N$3:$N$5001,BD!$A$3:$A$5001,AD$3,BD!$B$3:$B$5001,$A$323)))</f>
        <v/>
      </c>
      <c r="AE334" s="220" t="str">
        <f>IF(AE$3="","",IF(COUNTIFS(BD!$A$3:$A$5001,AE$3,BD!$B$3:$B$5001,$A$323,BD!$N$3:$N$5001,"&lt;&gt;")=0,"",SUMIFS(BD!$N$3:$N$5001,BD!$A$3:$A$5001,AE$3,BD!$B$3:$B$5001,$A$323)))</f>
        <v/>
      </c>
      <c r="AF334" s="220" t="str">
        <f>IF(AF$3="","",IF(COUNTIFS(BD!$A$3:$A$5001,AF$3,BD!$B$3:$B$5001,$A$323,BD!$N$3:$N$5001,"&lt;&gt;")=0,"",SUMIFS(BD!$N$3:$N$5001,BD!$A$3:$A$5001,AF$3,BD!$B$3:$B$5001,$A$323)))</f>
        <v/>
      </c>
      <c r="AG334" s="220" t="str">
        <f>IF(AG$3="","",IF(COUNTIFS(BD!$A$3:$A$5001,AG$3,BD!$B$3:$B$5001,$A$323,BD!$N$3:$N$5001,"&lt;&gt;")=0,"",SUMIFS(BD!$N$3:$N$5001,BD!$A$3:$A$5001,AG$3,BD!$B$3:$B$5001,$A$323)))</f>
        <v/>
      </c>
      <c r="AH334" s="220" t="str">
        <f>IF(AH$3="","",IF(COUNTIFS(BD!$A$3:$A$5001,AH$3,BD!$B$3:$B$5001,$A$323,BD!$N$3:$N$5001,"&lt;&gt;")=0,"",SUMIFS(BD!$N$3:$N$5001,BD!$A$3:$A$5001,AH$3,BD!$B$3:$B$5001,$A$323)))</f>
        <v/>
      </c>
      <c r="AI334" s="220" t="str">
        <f>IF(AI$3="","",IF(COUNTIFS(BD!$A$3:$A$5001,AI$3,BD!$B$3:$B$5001,$A$323,BD!$N$3:$N$5001,"&lt;&gt;")=0,"",SUMIFS(BD!$N$3:$N$5001,BD!$A$3:$A$5001,AI$3,BD!$B$3:$B$5001,$A$323)))</f>
        <v/>
      </c>
      <c r="AJ334" s="221" t="str">
        <f>IF(AJ$3="","",IF(COUNTIFS(BD!$A$3:$A$5001,AJ$3,BD!$B$3:$B$5001,$A$323,BD!$N$3:$N$5001,"&lt;&gt;")=0,"",SUMIFS(BD!$N$3:$N$5001,BD!$A$3:$A$5001,AJ$3,BD!$B$3:$B$5001,$A$323)))</f>
        <v/>
      </c>
      <c r="AK334" s="222" t="str">
        <f>IF(COUNT(F334:AJ334)=0,"",SUM(F334:AJ334))</f>
        <v/>
      </c>
    </row>
    <row r="335" ht="15.75" customHeight="1" hidden="1">
      <c r="A335" s="277"/>
      <c r="B335" s="271"/>
      <c r="C335" s="223" t="inlineStr">
        <is>
          <t xml:space="preserve">No show</t>
        </is>
      </c>
      <c r="D335" s="224" t="str">
        <f>IFERROR(1/(1/INDEX(BD!$AF$35:$AZ$35,MATCH($A$323,BD!$AF$22:$AZ$22,0))),"")</f>
        <v/>
      </c>
      <c r="E335" s="225"/>
      <c r="F335" s="226" t="str">
        <f>IF(F$3="","",IF(COUNTIFS(BD!$A$3:$A$5001,F$3,BD!$B$3:$B$5001,$A$323,BD!$O$3:$O$5001,"&lt;&gt;")=0,"",SUMIFS(BD!$O$3:$O$5001,BD!$A$3:$A$5001,F$3,BD!$B$3:$B$5001,$A$323)))</f>
        <v/>
      </c>
      <c r="G335" s="227" t="str">
        <f>IF(G$3="","",IF(COUNTIFS(BD!$A$3:$A$5001,G$3,BD!$B$3:$B$5001,$A$323,BD!$O$3:$O$5001,"&lt;&gt;")=0,"",SUMIFS(BD!$O$3:$O$5001,BD!$A$3:$A$5001,G$3,BD!$B$3:$B$5001,$A$323)))</f>
        <v/>
      </c>
      <c r="H335" s="227" t="str">
        <f>IF(H$3="","",IF(COUNTIFS(BD!$A$3:$A$5001,H$3,BD!$B$3:$B$5001,$A$323,BD!$O$3:$O$5001,"&lt;&gt;")=0,"",SUMIFS(BD!$O$3:$O$5001,BD!$A$3:$A$5001,H$3,BD!$B$3:$B$5001,$A$323)))</f>
        <v/>
      </c>
      <c r="I335" s="227" t="str">
        <f>IF(I$3="","",IF(COUNTIFS(BD!$A$3:$A$5001,I$3,BD!$B$3:$B$5001,$A$323,BD!$O$3:$O$5001,"&lt;&gt;")=0,"",SUMIFS(BD!$O$3:$O$5001,BD!$A$3:$A$5001,I$3,BD!$B$3:$B$5001,$A$323)))</f>
        <v/>
      </c>
      <c r="J335" s="227" t="str">
        <f>IF(J$3="","",IF(COUNTIFS(BD!$A$3:$A$5001,J$3,BD!$B$3:$B$5001,$A$323,BD!$O$3:$O$5001,"&lt;&gt;")=0,"",SUMIFS(BD!$O$3:$O$5001,BD!$A$3:$A$5001,J$3,BD!$B$3:$B$5001,$A$323)))</f>
        <v/>
      </c>
      <c r="K335" s="227" t="str">
        <f>IF(K$3="","",IF(COUNTIFS(BD!$A$3:$A$5001,K$3,BD!$B$3:$B$5001,$A$323,BD!$O$3:$O$5001,"&lt;&gt;")=0,"",SUMIFS(BD!$O$3:$O$5001,BD!$A$3:$A$5001,K$3,BD!$B$3:$B$5001,$A$323)))</f>
        <v/>
      </c>
      <c r="L335" s="227" t="str">
        <f>IF(L$3="","",IF(COUNTIFS(BD!$A$3:$A$5001,L$3,BD!$B$3:$B$5001,$A$323,BD!$O$3:$O$5001,"&lt;&gt;")=0,"",SUMIFS(BD!$O$3:$O$5001,BD!$A$3:$A$5001,L$3,BD!$B$3:$B$5001,$A$323)))</f>
        <v/>
      </c>
      <c r="M335" s="227" t="str">
        <f>IF(M$3="","",IF(COUNTIFS(BD!$A$3:$A$5001,M$3,BD!$B$3:$B$5001,$A$323,BD!$O$3:$O$5001,"&lt;&gt;")=0,"",SUMIFS(BD!$O$3:$O$5001,BD!$A$3:$A$5001,M$3,BD!$B$3:$B$5001,$A$323)))</f>
        <v/>
      </c>
      <c r="N335" s="227" t="str">
        <f>IF(N$3="","",IF(COUNTIFS(BD!$A$3:$A$5001,N$3,BD!$B$3:$B$5001,$A$323,BD!$O$3:$O$5001,"&lt;&gt;")=0,"",SUMIFS(BD!$O$3:$O$5001,BD!$A$3:$A$5001,N$3,BD!$B$3:$B$5001,$A$323)))</f>
        <v/>
      </c>
      <c r="O335" s="227" t="str">
        <f>IF(O$3="","",IF(COUNTIFS(BD!$A$3:$A$5001,O$3,BD!$B$3:$B$5001,$A$323,BD!$O$3:$O$5001,"&lt;&gt;")=0,"",SUMIFS(BD!$O$3:$O$5001,BD!$A$3:$A$5001,O$3,BD!$B$3:$B$5001,$A$323)))</f>
        <v/>
      </c>
      <c r="P335" s="227" t="str">
        <f>IF(P$3="","",IF(COUNTIFS(BD!$A$3:$A$5001,P$3,BD!$B$3:$B$5001,$A$323,BD!$O$3:$O$5001,"&lt;&gt;")=0,"",SUMIFS(BD!$O$3:$O$5001,BD!$A$3:$A$5001,P$3,BD!$B$3:$B$5001,$A$323)))</f>
        <v/>
      </c>
      <c r="Q335" s="227" t="str">
        <f>IF(Q$3="","",IF(COUNTIFS(BD!$A$3:$A$5001,Q$3,BD!$B$3:$B$5001,$A$323,BD!$O$3:$O$5001,"&lt;&gt;")=0,"",SUMIFS(BD!$O$3:$O$5001,BD!$A$3:$A$5001,Q$3,BD!$B$3:$B$5001,$A$323)))</f>
        <v/>
      </c>
      <c r="R335" s="227" t="str">
        <f>IF(R$3="","",IF(COUNTIFS(BD!$A$3:$A$5001,R$3,BD!$B$3:$B$5001,$A$323,BD!$O$3:$O$5001,"&lt;&gt;")=0,"",SUMIFS(BD!$O$3:$O$5001,BD!$A$3:$A$5001,R$3,BD!$B$3:$B$5001,$A$323)))</f>
        <v/>
      </c>
      <c r="S335" s="227" t="str">
        <f>IF(S$3="","",IF(COUNTIFS(BD!$A$3:$A$5001,S$3,BD!$B$3:$B$5001,$A$323,BD!$O$3:$O$5001,"&lt;&gt;")=0,"",SUMIFS(BD!$O$3:$O$5001,BD!$A$3:$A$5001,S$3,BD!$B$3:$B$5001,$A$323)))</f>
        <v/>
      </c>
      <c r="T335" s="227" t="str">
        <f>IF(T$3="","",IF(COUNTIFS(BD!$A$3:$A$5001,T$3,BD!$B$3:$B$5001,$A$323,BD!$O$3:$O$5001,"&lt;&gt;")=0,"",SUMIFS(BD!$O$3:$O$5001,BD!$A$3:$A$5001,T$3,BD!$B$3:$B$5001,$A$323)))</f>
        <v/>
      </c>
      <c r="U335" s="227" t="str">
        <f>IF(U$3="","",IF(COUNTIFS(BD!$A$3:$A$5001,U$3,BD!$B$3:$B$5001,$A$323,BD!$O$3:$O$5001,"&lt;&gt;")=0,"",SUMIFS(BD!$O$3:$O$5001,BD!$A$3:$A$5001,U$3,BD!$B$3:$B$5001,$A$323)))</f>
        <v/>
      </c>
      <c r="V335" s="227" t="str">
        <f>IF(V$3="","",IF(COUNTIFS(BD!$A$3:$A$5001,V$3,BD!$B$3:$B$5001,$A$323,BD!$O$3:$O$5001,"&lt;&gt;")=0,"",SUMIFS(BD!$O$3:$O$5001,BD!$A$3:$A$5001,V$3,BD!$B$3:$B$5001,$A$323)))</f>
        <v/>
      </c>
      <c r="W335" s="227" t="str">
        <f>IF(W$3="","",IF(COUNTIFS(BD!$A$3:$A$5001,W$3,BD!$B$3:$B$5001,$A$323,BD!$O$3:$O$5001,"&lt;&gt;")=0,"",SUMIFS(BD!$O$3:$O$5001,BD!$A$3:$A$5001,W$3,BD!$B$3:$B$5001,$A$323)))</f>
        <v/>
      </c>
      <c r="X335" s="227" t="str">
        <f>IF(X$3="","",IF(COUNTIFS(BD!$A$3:$A$5001,X$3,BD!$B$3:$B$5001,$A$323,BD!$O$3:$O$5001,"&lt;&gt;")=0,"",SUMIFS(BD!$O$3:$O$5001,BD!$A$3:$A$5001,X$3,BD!$B$3:$B$5001,$A$323)))</f>
        <v/>
      </c>
      <c r="Y335" s="227" t="str">
        <f>IF(Y$3="","",IF(COUNTIFS(BD!$A$3:$A$5001,Y$3,BD!$B$3:$B$5001,$A$323,BD!$O$3:$O$5001,"&lt;&gt;")=0,"",SUMIFS(BD!$O$3:$O$5001,BD!$A$3:$A$5001,Y$3,BD!$B$3:$B$5001,$A$323)))</f>
        <v/>
      </c>
      <c r="Z335" s="227" t="str">
        <f>IF(Z$3="","",IF(COUNTIFS(BD!$A$3:$A$5001,Z$3,BD!$B$3:$B$5001,$A$323,BD!$O$3:$O$5001,"&lt;&gt;")=0,"",SUMIFS(BD!$O$3:$O$5001,BD!$A$3:$A$5001,Z$3,BD!$B$3:$B$5001,$A$323)))</f>
        <v/>
      </c>
      <c r="AA335" s="227" t="str">
        <f>IF(AA$3="","",IF(COUNTIFS(BD!$A$3:$A$5001,AA$3,BD!$B$3:$B$5001,$A$323,BD!$O$3:$O$5001,"&lt;&gt;")=0,"",SUMIFS(BD!$O$3:$O$5001,BD!$A$3:$A$5001,AA$3,BD!$B$3:$B$5001,$A$323)))</f>
        <v/>
      </c>
      <c r="AB335" s="227" t="str">
        <f>IF(AB$3="","",IF(COUNTIFS(BD!$A$3:$A$5001,AB$3,BD!$B$3:$B$5001,$A$323,BD!$O$3:$O$5001,"&lt;&gt;")=0,"",SUMIFS(BD!$O$3:$O$5001,BD!$A$3:$A$5001,AB$3,BD!$B$3:$B$5001,$A$323)))</f>
        <v/>
      </c>
      <c r="AC335" s="227" t="str">
        <f>IF(AC$3="","",IF(COUNTIFS(BD!$A$3:$A$5001,AC$3,BD!$B$3:$B$5001,$A$323,BD!$O$3:$O$5001,"&lt;&gt;")=0,"",SUMIFS(BD!$O$3:$O$5001,BD!$A$3:$A$5001,AC$3,BD!$B$3:$B$5001,$A$323)))</f>
        <v/>
      </c>
      <c r="AD335" s="227" t="str">
        <f>IF(AD$3="","",IF(COUNTIFS(BD!$A$3:$A$5001,AD$3,BD!$B$3:$B$5001,$A$323,BD!$O$3:$O$5001,"&lt;&gt;")=0,"",SUMIFS(BD!$O$3:$O$5001,BD!$A$3:$A$5001,AD$3,BD!$B$3:$B$5001,$A$323)))</f>
        <v/>
      </c>
      <c r="AE335" s="227" t="str">
        <f>IF(AE$3="","",IF(COUNTIFS(BD!$A$3:$A$5001,AE$3,BD!$B$3:$B$5001,$A$323,BD!$O$3:$O$5001,"&lt;&gt;")=0,"",SUMIFS(BD!$O$3:$O$5001,BD!$A$3:$A$5001,AE$3,BD!$B$3:$B$5001,$A$323)))</f>
        <v/>
      </c>
      <c r="AF335" s="227" t="str">
        <f>IF(AF$3="","",IF(COUNTIFS(BD!$A$3:$A$5001,AF$3,BD!$B$3:$B$5001,$A$323,BD!$O$3:$O$5001,"&lt;&gt;")=0,"",SUMIFS(BD!$O$3:$O$5001,BD!$A$3:$A$5001,AF$3,BD!$B$3:$B$5001,$A$323)))</f>
        <v/>
      </c>
      <c r="AG335" s="227" t="str">
        <f>IF(AG$3="","",IF(COUNTIFS(BD!$A$3:$A$5001,AG$3,BD!$B$3:$B$5001,$A$323,BD!$O$3:$O$5001,"&lt;&gt;")=0,"",SUMIFS(BD!$O$3:$O$5001,BD!$A$3:$A$5001,AG$3,BD!$B$3:$B$5001,$A$323)))</f>
        <v/>
      </c>
      <c r="AH335" s="227" t="str">
        <f>IF(AH$3="","",IF(COUNTIFS(BD!$A$3:$A$5001,AH$3,BD!$B$3:$B$5001,$A$323,BD!$O$3:$O$5001,"&lt;&gt;")=0,"",SUMIFS(BD!$O$3:$O$5001,BD!$A$3:$A$5001,AH$3,BD!$B$3:$B$5001,$A$323)))</f>
        <v/>
      </c>
      <c r="AI335" s="227" t="str">
        <f>IF(AI$3="","",IF(COUNTIFS(BD!$A$3:$A$5001,AI$3,BD!$B$3:$B$5001,$A$323,BD!$O$3:$O$5001,"&lt;&gt;")=0,"",SUMIFS(BD!$O$3:$O$5001,BD!$A$3:$A$5001,AI$3,BD!$B$3:$B$5001,$A$323)))</f>
        <v/>
      </c>
      <c r="AJ335" s="228" t="str">
        <f>IF(AJ$3="","",IF(COUNTIFS(BD!$A$3:$A$5001,AJ$3,BD!$B$3:$B$5001,$A$323,BD!$O$3:$O$5001,"&lt;&gt;")=0,"",SUMIFS(BD!$O$3:$O$5001,BD!$A$3:$A$5001,AJ$3,BD!$B$3:$B$5001,$A$323)))</f>
        <v/>
      </c>
      <c r="AK335" s="229" t="str">
        <f>IF(COUNT(F335:AJ335)=0,"",SUM(F335:AJ335))</f>
        <v/>
      </c>
    </row>
    <row r="336" ht="15.75" customHeight="1" hidden="1">
      <c r="A336" s="277"/>
      <c r="B336" s="271"/>
      <c r="C336" s="223" t="inlineStr">
        <is>
          <t xml:space="preserve">Backlog Intralog</t>
        </is>
      </c>
      <c r="D336" s="224" t="str">
        <f>IFERROR(1/(1/INDEX(BD!$AF$36:$AZ$36,MATCH($A$323,BD!$AF$22:$AZ$22,0))),"")</f>
        <v/>
      </c>
      <c r="E336" s="225"/>
      <c r="F336" s="226" t="str">
        <f>IF(F$3="","",IF(COUNTIFS(BD!$A$3:$A$5001,F$3,BD!$B$3:$B$5001,$A$323,BD!$P$3:$P$5001,"&lt;&gt;")=0,"",SUMIFS(BD!$P$3:$P$5001,BD!$A$3:$A$5001,F$3,BD!$B$3:$B$5001,$A$323)))</f>
        <v/>
      </c>
      <c r="G336" s="227" t="str">
        <f>IF(G$3="","",IF(COUNTIFS(BD!$A$3:$A$5001,G$3,BD!$B$3:$B$5001,$A$323,BD!$P$3:$P$5001,"&lt;&gt;")=0,"",SUMIFS(BD!$P$3:$P$5001,BD!$A$3:$A$5001,G$3,BD!$B$3:$B$5001,$A$323)))</f>
        <v/>
      </c>
      <c r="H336" s="227" t="str">
        <f>IF(H$3="","",IF(COUNTIFS(BD!$A$3:$A$5001,H$3,BD!$B$3:$B$5001,$A$323,BD!$P$3:$P$5001,"&lt;&gt;")=0,"",SUMIFS(BD!$P$3:$P$5001,BD!$A$3:$A$5001,H$3,BD!$B$3:$B$5001,$A$323)))</f>
        <v/>
      </c>
      <c r="I336" s="227" t="str">
        <f>IF(I$3="","",IF(COUNTIFS(BD!$A$3:$A$5001,I$3,BD!$B$3:$B$5001,$A$323,BD!$P$3:$P$5001,"&lt;&gt;")=0,"",SUMIFS(BD!$P$3:$P$5001,BD!$A$3:$A$5001,I$3,BD!$B$3:$B$5001,$A$323)))</f>
        <v/>
      </c>
      <c r="J336" s="227" t="str">
        <f>IF(J$3="","",IF(COUNTIFS(BD!$A$3:$A$5001,J$3,BD!$B$3:$B$5001,$A$323,BD!$P$3:$P$5001,"&lt;&gt;")=0,"",SUMIFS(BD!$P$3:$P$5001,BD!$A$3:$A$5001,J$3,BD!$B$3:$B$5001,$A$323)))</f>
        <v/>
      </c>
      <c r="K336" s="227" t="str">
        <f>IF(K$3="","",IF(COUNTIFS(BD!$A$3:$A$5001,K$3,BD!$B$3:$B$5001,$A$323,BD!$P$3:$P$5001,"&lt;&gt;")=0,"",SUMIFS(BD!$P$3:$P$5001,BD!$A$3:$A$5001,K$3,BD!$B$3:$B$5001,$A$323)))</f>
        <v/>
      </c>
      <c r="L336" s="227" t="str">
        <f>IF(L$3="","",IF(COUNTIFS(BD!$A$3:$A$5001,L$3,BD!$B$3:$B$5001,$A$323,BD!$P$3:$P$5001,"&lt;&gt;")=0,"",SUMIFS(BD!$P$3:$P$5001,BD!$A$3:$A$5001,L$3,BD!$B$3:$B$5001,$A$323)))</f>
        <v/>
      </c>
      <c r="M336" s="227" t="str">
        <f>IF(M$3="","",IF(COUNTIFS(BD!$A$3:$A$5001,M$3,BD!$B$3:$B$5001,$A$323,BD!$P$3:$P$5001,"&lt;&gt;")=0,"",SUMIFS(BD!$P$3:$P$5001,BD!$A$3:$A$5001,M$3,BD!$B$3:$B$5001,$A$323)))</f>
        <v/>
      </c>
      <c r="N336" s="227" t="str">
        <f>IF(N$3="","",IF(COUNTIFS(BD!$A$3:$A$5001,N$3,BD!$B$3:$B$5001,$A$323,BD!$P$3:$P$5001,"&lt;&gt;")=0,"",SUMIFS(BD!$P$3:$P$5001,BD!$A$3:$A$5001,N$3,BD!$B$3:$B$5001,$A$323)))</f>
        <v/>
      </c>
      <c r="O336" s="227" t="str">
        <f>IF(O$3="","",IF(COUNTIFS(BD!$A$3:$A$5001,O$3,BD!$B$3:$B$5001,$A$323,BD!$P$3:$P$5001,"&lt;&gt;")=0,"",SUMIFS(BD!$P$3:$P$5001,BD!$A$3:$A$5001,O$3,BD!$B$3:$B$5001,$A$323)))</f>
        <v/>
      </c>
      <c r="P336" s="227" t="str">
        <f>IF(P$3="","",IF(COUNTIFS(BD!$A$3:$A$5001,P$3,BD!$B$3:$B$5001,$A$323,BD!$P$3:$P$5001,"&lt;&gt;")=0,"",SUMIFS(BD!$P$3:$P$5001,BD!$A$3:$A$5001,P$3,BD!$B$3:$B$5001,$A$323)))</f>
        <v/>
      </c>
      <c r="Q336" s="227" t="str">
        <f>IF(Q$3="","",IF(COUNTIFS(BD!$A$3:$A$5001,Q$3,BD!$B$3:$B$5001,$A$323,BD!$P$3:$P$5001,"&lt;&gt;")=0,"",SUMIFS(BD!$P$3:$P$5001,BD!$A$3:$A$5001,Q$3,BD!$B$3:$B$5001,$A$323)))</f>
        <v/>
      </c>
      <c r="R336" s="227" t="str">
        <f>IF(R$3="","",IF(COUNTIFS(BD!$A$3:$A$5001,R$3,BD!$B$3:$B$5001,$A$323,BD!$P$3:$P$5001,"&lt;&gt;")=0,"",SUMIFS(BD!$P$3:$P$5001,BD!$A$3:$A$5001,R$3,BD!$B$3:$B$5001,$A$323)))</f>
        <v/>
      </c>
      <c r="S336" s="227" t="str">
        <f>IF(S$3="","",IF(COUNTIFS(BD!$A$3:$A$5001,S$3,BD!$B$3:$B$5001,$A$323,BD!$P$3:$P$5001,"&lt;&gt;")=0,"",SUMIFS(BD!$P$3:$P$5001,BD!$A$3:$A$5001,S$3,BD!$B$3:$B$5001,$A$323)))</f>
        <v/>
      </c>
      <c r="T336" s="227" t="str">
        <f>IF(T$3="","",IF(COUNTIFS(BD!$A$3:$A$5001,T$3,BD!$B$3:$B$5001,$A$323,BD!$P$3:$P$5001,"&lt;&gt;")=0,"",SUMIFS(BD!$P$3:$P$5001,BD!$A$3:$A$5001,T$3,BD!$B$3:$B$5001,$A$323)))</f>
        <v/>
      </c>
      <c r="U336" s="227" t="str">
        <f>IF(U$3="","",IF(COUNTIFS(BD!$A$3:$A$5001,U$3,BD!$B$3:$B$5001,$A$323,BD!$P$3:$P$5001,"&lt;&gt;")=0,"",SUMIFS(BD!$P$3:$P$5001,BD!$A$3:$A$5001,U$3,BD!$B$3:$B$5001,$A$323)))</f>
        <v/>
      </c>
      <c r="V336" s="227" t="str">
        <f>IF(V$3="","",IF(COUNTIFS(BD!$A$3:$A$5001,V$3,BD!$B$3:$B$5001,$A$323,BD!$P$3:$P$5001,"&lt;&gt;")=0,"",SUMIFS(BD!$P$3:$P$5001,BD!$A$3:$A$5001,V$3,BD!$B$3:$B$5001,$A$323)))</f>
        <v/>
      </c>
      <c r="W336" s="227" t="str">
        <f>IF(W$3="","",IF(COUNTIFS(BD!$A$3:$A$5001,W$3,BD!$B$3:$B$5001,$A$323,BD!$P$3:$P$5001,"&lt;&gt;")=0,"",SUMIFS(BD!$P$3:$P$5001,BD!$A$3:$A$5001,W$3,BD!$B$3:$B$5001,$A$323)))</f>
        <v/>
      </c>
      <c r="X336" s="227" t="str">
        <f>IF(X$3="","",IF(COUNTIFS(BD!$A$3:$A$5001,X$3,BD!$B$3:$B$5001,$A$323,BD!$P$3:$P$5001,"&lt;&gt;")=0,"",SUMIFS(BD!$P$3:$P$5001,BD!$A$3:$A$5001,X$3,BD!$B$3:$B$5001,$A$323)))</f>
        <v/>
      </c>
      <c r="Y336" s="227" t="str">
        <f>IF(Y$3="","",IF(COUNTIFS(BD!$A$3:$A$5001,Y$3,BD!$B$3:$B$5001,$A$323,BD!$P$3:$P$5001,"&lt;&gt;")=0,"",SUMIFS(BD!$P$3:$P$5001,BD!$A$3:$A$5001,Y$3,BD!$B$3:$B$5001,$A$323)))</f>
        <v/>
      </c>
      <c r="Z336" s="227" t="str">
        <f>IF(Z$3="","",IF(COUNTIFS(BD!$A$3:$A$5001,Z$3,BD!$B$3:$B$5001,$A$323,BD!$P$3:$P$5001,"&lt;&gt;")=0,"",SUMIFS(BD!$P$3:$P$5001,BD!$A$3:$A$5001,Z$3,BD!$B$3:$B$5001,$A$323)))</f>
        <v/>
      </c>
      <c r="AA336" s="227" t="str">
        <f>IF(AA$3="","",IF(COUNTIFS(BD!$A$3:$A$5001,AA$3,BD!$B$3:$B$5001,$A$323,BD!$P$3:$P$5001,"&lt;&gt;")=0,"",SUMIFS(BD!$P$3:$P$5001,BD!$A$3:$A$5001,AA$3,BD!$B$3:$B$5001,$A$323)))</f>
        <v/>
      </c>
      <c r="AB336" s="227" t="str">
        <f>IF(AB$3="","",IF(COUNTIFS(BD!$A$3:$A$5001,AB$3,BD!$B$3:$B$5001,$A$323,BD!$P$3:$P$5001,"&lt;&gt;")=0,"",SUMIFS(BD!$P$3:$P$5001,BD!$A$3:$A$5001,AB$3,BD!$B$3:$B$5001,$A$323)))</f>
        <v/>
      </c>
      <c r="AC336" s="227" t="str">
        <f>IF(AC$3="","",IF(COUNTIFS(BD!$A$3:$A$5001,AC$3,BD!$B$3:$B$5001,$A$323,BD!$P$3:$P$5001,"&lt;&gt;")=0,"",SUMIFS(BD!$P$3:$P$5001,BD!$A$3:$A$5001,AC$3,BD!$B$3:$B$5001,$A$323)))</f>
        <v/>
      </c>
      <c r="AD336" s="227" t="str">
        <f>IF(AD$3="","",IF(COUNTIFS(BD!$A$3:$A$5001,AD$3,BD!$B$3:$B$5001,$A$323,BD!$P$3:$P$5001,"&lt;&gt;")=0,"",SUMIFS(BD!$P$3:$P$5001,BD!$A$3:$A$5001,AD$3,BD!$B$3:$B$5001,$A$323)))</f>
        <v/>
      </c>
      <c r="AE336" s="227" t="str">
        <f>IF(AE$3="","",IF(COUNTIFS(BD!$A$3:$A$5001,AE$3,BD!$B$3:$B$5001,$A$323,BD!$P$3:$P$5001,"&lt;&gt;")=0,"",SUMIFS(BD!$P$3:$P$5001,BD!$A$3:$A$5001,AE$3,BD!$B$3:$B$5001,$A$323)))</f>
        <v/>
      </c>
      <c r="AF336" s="227" t="str">
        <f>IF(AF$3="","",IF(COUNTIFS(BD!$A$3:$A$5001,AF$3,BD!$B$3:$B$5001,$A$323,BD!$P$3:$P$5001,"&lt;&gt;")=0,"",SUMIFS(BD!$P$3:$P$5001,BD!$A$3:$A$5001,AF$3,BD!$B$3:$B$5001,$A$323)))</f>
        <v/>
      </c>
      <c r="AG336" s="227" t="str">
        <f>IF(AG$3="","",IF(COUNTIFS(BD!$A$3:$A$5001,AG$3,BD!$B$3:$B$5001,$A$323,BD!$P$3:$P$5001,"&lt;&gt;")=0,"",SUMIFS(BD!$P$3:$P$5001,BD!$A$3:$A$5001,AG$3,BD!$B$3:$B$5001,$A$323)))</f>
        <v/>
      </c>
      <c r="AH336" s="227" t="str">
        <f>IF(AH$3="","",IF(COUNTIFS(BD!$A$3:$A$5001,AH$3,BD!$B$3:$B$5001,$A$323,BD!$P$3:$P$5001,"&lt;&gt;")=0,"",SUMIFS(BD!$P$3:$P$5001,BD!$A$3:$A$5001,AH$3,BD!$B$3:$B$5001,$A$323)))</f>
        <v/>
      </c>
      <c r="AI336" s="227" t="str">
        <f>IF(AI$3="","",IF(COUNTIFS(BD!$A$3:$A$5001,AI$3,BD!$B$3:$B$5001,$A$323,BD!$P$3:$P$5001,"&lt;&gt;")=0,"",SUMIFS(BD!$P$3:$P$5001,BD!$A$3:$A$5001,AI$3,BD!$B$3:$B$5001,$A$323)))</f>
        <v/>
      </c>
      <c r="AJ336" s="228" t="str">
        <f>IF(AJ$3="","",IF(COUNTIFS(BD!$A$3:$A$5001,AJ$3,BD!$B$3:$B$5001,$A$323,BD!$P$3:$P$5001,"&lt;&gt;")=0,"",SUMIFS(BD!$P$3:$P$5001,BD!$A$3:$A$5001,AJ$3,BD!$B$3:$B$5001,$A$323)))</f>
        <v/>
      </c>
      <c r="AK336" s="229" t="str">
        <f>IFERROR(LOOKUP(9.99E+307,F336:AJ336),"")</f>
        <v/>
      </c>
    </row>
    <row r="337" ht="15.75" customHeight="1" hidden="1">
      <c r="A337" s="277"/>
      <c r="B337" s="272"/>
      <c r="C337" s="230" t="inlineStr">
        <is>
          <t xml:space="preserve">Backlog Cliente</t>
        </is>
      </c>
      <c r="D337" s="231" t="str">
        <f>IFERROR(1/(1/INDEX(BD!$AF$37:$AZ$37,MATCH($A$323,BD!$AF$22:$AZ$22,0))),"")</f>
        <v/>
      </c>
      <c r="E337" s="232"/>
      <c r="F337" s="233" t="str">
        <f>IF(F$3="","",IF(COUNTIFS(BD!$A$3:$A$5001,F$3,BD!$B$3:$B$5001,$A$323,BD!$Q$3:$Q$5001,"&lt;&gt;")=0,"",SUMIFS(BD!$Q$3:$Q$5001,BD!$A$3:$A$5001,F$3,BD!$B$3:$B$5001,$A$323)))</f>
        <v/>
      </c>
      <c r="G337" s="234" t="str">
        <f>IF(G$3="","",IF(COUNTIFS(BD!$A$3:$A$5001,G$3,BD!$B$3:$B$5001,$A$323,BD!$Q$3:$Q$5001,"&lt;&gt;")=0,"",SUMIFS(BD!$Q$3:$Q$5001,BD!$A$3:$A$5001,G$3,BD!$B$3:$B$5001,$A$323)))</f>
        <v/>
      </c>
      <c r="H337" s="234" t="str">
        <f>IF(H$3="","",IF(COUNTIFS(BD!$A$3:$A$5001,H$3,BD!$B$3:$B$5001,$A$323,BD!$Q$3:$Q$5001,"&lt;&gt;")=0,"",SUMIFS(BD!$Q$3:$Q$5001,BD!$A$3:$A$5001,H$3,BD!$B$3:$B$5001,$A$323)))</f>
        <v/>
      </c>
      <c r="I337" s="234" t="str">
        <f>IF(I$3="","",IF(COUNTIFS(BD!$A$3:$A$5001,I$3,BD!$B$3:$B$5001,$A$323,BD!$Q$3:$Q$5001,"&lt;&gt;")=0,"",SUMIFS(BD!$Q$3:$Q$5001,BD!$A$3:$A$5001,I$3,BD!$B$3:$B$5001,$A$323)))</f>
        <v/>
      </c>
      <c r="J337" s="234" t="str">
        <f>IF(J$3="","",IF(COUNTIFS(BD!$A$3:$A$5001,J$3,BD!$B$3:$B$5001,$A$323,BD!$Q$3:$Q$5001,"&lt;&gt;")=0,"",SUMIFS(BD!$Q$3:$Q$5001,BD!$A$3:$A$5001,J$3,BD!$B$3:$B$5001,$A$323)))</f>
        <v/>
      </c>
      <c r="K337" s="234" t="str">
        <f>IF(K$3="","",IF(COUNTIFS(BD!$A$3:$A$5001,K$3,BD!$B$3:$B$5001,$A$323,BD!$Q$3:$Q$5001,"&lt;&gt;")=0,"",SUMIFS(BD!$Q$3:$Q$5001,BD!$A$3:$A$5001,K$3,BD!$B$3:$B$5001,$A$323)))</f>
        <v/>
      </c>
      <c r="L337" s="234" t="str">
        <f>IF(L$3="","",IF(COUNTIFS(BD!$A$3:$A$5001,L$3,BD!$B$3:$B$5001,$A$323,BD!$Q$3:$Q$5001,"&lt;&gt;")=0,"",SUMIFS(BD!$Q$3:$Q$5001,BD!$A$3:$A$5001,L$3,BD!$B$3:$B$5001,$A$323)))</f>
        <v/>
      </c>
      <c r="M337" s="234" t="str">
        <f>IF(M$3="","",IF(COUNTIFS(BD!$A$3:$A$5001,M$3,BD!$B$3:$B$5001,$A$323,BD!$Q$3:$Q$5001,"&lt;&gt;")=0,"",SUMIFS(BD!$Q$3:$Q$5001,BD!$A$3:$A$5001,M$3,BD!$B$3:$B$5001,$A$323)))</f>
        <v/>
      </c>
      <c r="N337" s="234" t="str">
        <f>IF(N$3="","",IF(COUNTIFS(BD!$A$3:$A$5001,N$3,BD!$B$3:$B$5001,$A$323,BD!$Q$3:$Q$5001,"&lt;&gt;")=0,"",SUMIFS(BD!$Q$3:$Q$5001,BD!$A$3:$A$5001,N$3,BD!$B$3:$B$5001,$A$323)))</f>
        <v/>
      </c>
      <c r="O337" s="234" t="str">
        <f>IF(O$3="","",IF(COUNTIFS(BD!$A$3:$A$5001,O$3,BD!$B$3:$B$5001,$A$323,BD!$Q$3:$Q$5001,"&lt;&gt;")=0,"",SUMIFS(BD!$Q$3:$Q$5001,BD!$A$3:$A$5001,O$3,BD!$B$3:$B$5001,$A$323)))</f>
        <v/>
      </c>
      <c r="P337" s="234" t="str">
        <f>IF(P$3="","",IF(COUNTIFS(BD!$A$3:$A$5001,P$3,BD!$B$3:$B$5001,$A$323,BD!$Q$3:$Q$5001,"&lt;&gt;")=0,"",SUMIFS(BD!$Q$3:$Q$5001,BD!$A$3:$A$5001,P$3,BD!$B$3:$B$5001,$A$323)))</f>
        <v/>
      </c>
      <c r="Q337" s="234" t="str">
        <f>IF(Q$3="","",IF(COUNTIFS(BD!$A$3:$A$5001,Q$3,BD!$B$3:$B$5001,$A$323,BD!$Q$3:$Q$5001,"&lt;&gt;")=0,"",SUMIFS(BD!$Q$3:$Q$5001,BD!$A$3:$A$5001,Q$3,BD!$B$3:$B$5001,$A$323)))</f>
        <v/>
      </c>
      <c r="R337" s="234" t="str">
        <f>IF(R$3="","",IF(COUNTIFS(BD!$A$3:$A$5001,R$3,BD!$B$3:$B$5001,$A$323,BD!$Q$3:$Q$5001,"&lt;&gt;")=0,"",SUMIFS(BD!$Q$3:$Q$5001,BD!$A$3:$A$5001,R$3,BD!$B$3:$B$5001,$A$323)))</f>
        <v/>
      </c>
      <c r="S337" s="234" t="str">
        <f>IF(S$3="","",IF(COUNTIFS(BD!$A$3:$A$5001,S$3,BD!$B$3:$B$5001,$A$323,BD!$Q$3:$Q$5001,"&lt;&gt;")=0,"",SUMIFS(BD!$Q$3:$Q$5001,BD!$A$3:$A$5001,S$3,BD!$B$3:$B$5001,$A$323)))</f>
        <v/>
      </c>
      <c r="T337" s="234" t="str">
        <f>IF(T$3="","",IF(COUNTIFS(BD!$A$3:$A$5001,T$3,BD!$B$3:$B$5001,$A$323,BD!$Q$3:$Q$5001,"&lt;&gt;")=0,"",SUMIFS(BD!$Q$3:$Q$5001,BD!$A$3:$A$5001,T$3,BD!$B$3:$B$5001,$A$323)))</f>
        <v/>
      </c>
      <c r="U337" s="234" t="str">
        <f>IF(U$3="","",IF(COUNTIFS(BD!$A$3:$A$5001,U$3,BD!$B$3:$B$5001,$A$323,BD!$Q$3:$Q$5001,"&lt;&gt;")=0,"",SUMIFS(BD!$Q$3:$Q$5001,BD!$A$3:$A$5001,U$3,BD!$B$3:$B$5001,$A$323)))</f>
        <v/>
      </c>
      <c r="V337" s="234" t="str">
        <f>IF(V$3="","",IF(COUNTIFS(BD!$A$3:$A$5001,V$3,BD!$B$3:$B$5001,$A$323,BD!$Q$3:$Q$5001,"&lt;&gt;")=0,"",SUMIFS(BD!$Q$3:$Q$5001,BD!$A$3:$A$5001,V$3,BD!$B$3:$B$5001,$A$323)))</f>
        <v/>
      </c>
      <c r="W337" s="234" t="str">
        <f>IF(W$3="","",IF(COUNTIFS(BD!$A$3:$A$5001,W$3,BD!$B$3:$B$5001,$A$323,BD!$Q$3:$Q$5001,"&lt;&gt;")=0,"",SUMIFS(BD!$Q$3:$Q$5001,BD!$A$3:$A$5001,W$3,BD!$B$3:$B$5001,$A$323)))</f>
        <v/>
      </c>
      <c r="X337" s="234" t="str">
        <f>IF(X$3="","",IF(COUNTIFS(BD!$A$3:$A$5001,X$3,BD!$B$3:$B$5001,$A$323,BD!$Q$3:$Q$5001,"&lt;&gt;")=0,"",SUMIFS(BD!$Q$3:$Q$5001,BD!$A$3:$A$5001,X$3,BD!$B$3:$B$5001,$A$323)))</f>
        <v/>
      </c>
      <c r="Y337" s="234" t="str">
        <f>IF(Y$3="","",IF(COUNTIFS(BD!$A$3:$A$5001,Y$3,BD!$B$3:$B$5001,$A$323,BD!$Q$3:$Q$5001,"&lt;&gt;")=0,"",SUMIFS(BD!$Q$3:$Q$5001,BD!$A$3:$A$5001,Y$3,BD!$B$3:$B$5001,$A$323)))</f>
        <v/>
      </c>
      <c r="Z337" s="234" t="str">
        <f>IF(Z$3="","",IF(COUNTIFS(BD!$A$3:$A$5001,Z$3,BD!$B$3:$B$5001,$A$323,BD!$Q$3:$Q$5001,"&lt;&gt;")=0,"",SUMIFS(BD!$Q$3:$Q$5001,BD!$A$3:$A$5001,Z$3,BD!$B$3:$B$5001,$A$323)))</f>
        <v/>
      </c>
      <c r="AA337" s="234" t="str">
        <f>IF(AA$3="","",IF(COUNTIFS(BD!$A$3:$A$5001,AA$3,BD!$B$3:$B$5001,$A$323,BD!$Q$3:$Q$5001,"&lt;&gt;")=0,"",SUMIFS(BD!$Q$3:$Q$5001,BD!$A$3:$A$5001,AA$3,BD!$B$3:$B$5001,$A$323)))</f>
        <v/>
      </c>
      <c r="AB337" s="234" t="str">
        <f>IF(AB$3="","",IF(COUNTIFS(BD!$A$3:$A$5001,AB$3,BD!$B$3:$B$5001,$A$323,BD!$Q$3:$Q$5001,"&lt;&gt;")=0,"",SUMIFS(BD!$Q$3:$Q$5001,BD!$A$3:$A$5001,AB$3,BD!$B$3:$B$5001,$A$323)))</f>
        <v/>
      </c>
      <c r="AC337" s="234" t="str">
        <f>IF(AC$3="","",IF(COUNTIFS(BD!$A$3:$A$5001,AC$3,BD!$B$3:$B$5001,$A$323,BD!$Q$3:$Q$5001,"&lt;&gt;")=0,"",SUMIFS(BD!$Q$3:$Q$5001,BD!$A$3:$A$5001,AC$3,BD!$B$3:$B$5001,$A$323)))</f>
        <v/>
      </c>
      <c r="AD337" s="234" t="str">
        <f>IF(AD$3="","",IF(COUNTIFS(BD!$A$3:$A$5001,AD$3,BD!$B$3:$B$5001,$A$323,BD!$Q$3:$Q$5001,"&lt;&gt;")=0,"",SUMIFS(BD!$Q$3:$Q$5001,BD!$A$3:$A$5001,AD$3,BD!$B$3:$B$5001,$A$323)))</f>
        <v/>
      </c>
      <c r="AE337" s="234" t="str">
        <f>IF(AE$3="","",IF(COUNTIFS(BD!$A$3:$A$5001,AE$3,BD!$B$3:$B$5001,$A$323,BD!$Q$3:$Q$5001,"&lt;&gt;")=0,"",SUMIFS(BD!$Q$3:$Q$5001,BD!$A$3:$A$5001,AE$3,BD!$B$3:$B$5001,$A$323)))</f>
        <v/>
      </c>
      <c r="AF337" s="234" t="str">
        <f>IF(AF$3="","",IF(COUNTIFS(BD!$A$3:$A$5001,AF$3,BD!$B$3:$B$5001,$A$323,BD!$Q$3:$Q$5001,"&lt;&gt;")=0,"",SUMIFS(BD!$Q$3:$Q$5001,BD!$A$3:$A$5001,AF$3,BD!$B$3:$B$5001,$A$323)))</f>
        <v/>
      </c>
      <c r="AG337" s="234" t="str">
        <f>IF(AG$3="","",IF(COUNTIFS(BD!$A$3:$A$5001,AG$3,BD!$B$3:$B$5001,$A$323,BD!$Q$3:$Q$5001,"&lt;&gt;")=0,"",SUMIFS(BD!$Q$3:$Q$5001,BD!$A$3:$A$5001,AG$3,BD!$B$3:$B$5001,$A$323)))</f>
        <v/>
      </c>
      <c r="AH337" s="234" t="str">
        <f>IF(AH$3="","",IF(COUNTIFS(BD!$A$3:$A$5001,AH$3,BD!$B$3:$B$5001,$A$323,BD!$Q$3:$Q$5001,"&lt;&gt;")=0,"",SUMIFS(BD!$Q$3:$Q$5001,BD!$A$3:$A$5001,AH$3,BD!$B$3:$B$5001,$A$323)))</f>
        <v/>
      </c>
      <c r="AI337" s="234" t="str">
        <f>IF(AI$3="","",IF(COUNTIFS(BD!$A$3:$A$5001,AI$3,BD!$B$3:$B$5001,$A$323,BD!$Q$3:$Q$5001,"&lt;&gt;")=0,"",SUMIFS(BD!$Q$3:$Q$5001,BD!$A$3:$A$5001,AI$3,BD!$B$3:$B$5001,$A$323)))</f>
        <v/>
      </c>
      <c r="AJ337" s="235" t="str">
        <f>IF(AJ$3="","",IF(COUNTIFS(BD!$A$3:$A$5001,AJ$3,BD!$B$3:$B$5001,$A$323,BD!$Q$3:$Q$5001,"&lt;&gt;")=0,"",SUMIFS(BD!$Q$3:$Q$5001,BD!$A$3:$A$5001,AJ$3,BD!$B$3:$B$5001,$A$323)))</f>
        <v/>
      </c>
      <c r="AK337" s="231" t="str">
        <f>IFERROR(LOOKUP(9.99E+307,F337:AJ337),"")</f>
        <v/>
      </c>
    </row>
    <row r="338" ht="15.75" customHeight="1" hidden="1">
      <c r="A338" s="277"/>
      <c r="B338" s="264" t="inlineStr">
        <is>
          <t xml:space="preserve">OCUPAÇÃO (P.P)</t>
        </is>
      </c>
      <c r="C338" s="168" t="inlineStr">
        <is>
          <t xml:space="preserve">Posições Disponíveis</t>
        </is>
      </c>
      <c r="D338" s="169" t="str">
        <f>IFERROR(1/(1/INDEX(BD!$AF$38:$AZ$38,MATCH($A$323,BD!$AF$22:$AZ$22,0))),"")</f>
        <v/>
      </c>
      <c r="E338" s="170"/>
      <c r="F338" s="171" t="str">
        <f>IF(F$3="","",IF(COUNTIFS(BD!$A$3:$A$5001,F$3,BD!$B$3:$B$5001,$A$323,BD!$R$3:$R$5001,"&lt;&gt;")=0,"",SUMIFS(BD!$R$3:$R$5001,BD!$A$3:$A$5001,F$3,BD!$B$3:$B$5001,$A$323)))</f>
        <v/>
      </c>
      <c r="G338" s="172" t="str">
        <f>IF(G$3="","",IF(COUNTIFS(BD!$A$3:$A$5001,G$3,BD!$B$3:$B$5001,$A$323,BD!$R$3:$R$5001,"&lt;&gt;")=0,"",SUMIFS(BD!$R$3:$R$5001,BD!$A$3:$A$5001,G$3,BD!$B$3:$B$5001,$A$323)))</f>
        <v/>
      </c>
      <c r="H338" s="172" t="str">
        <f>IF(H$3="","",IF(COUNTIFS(BD!$A$3:$A$5001,H$3,BD!$B$3:$B$5001,$A$323,BD!$R$3:$R$5001,"&lt;&gt;")=0,"",SUMIFS(BD!$R$3:$R$5001,BD!$A$3:$A$5001,H$3,BD!$B$3:$B$5001,$A$323)))</f>
        <v/>
      </c>
      <c r="I338" s="172" t="str">
        <f>IF(I$3="","",IF(COUNTIFS(BD!$A$3:$A$5001,I$3,BD!$B$3:$B$5001,$A$323,BD!$R$3:$R$5001,"&lt;&gt;")=0,"",SUMIFS(BD!$R$3:$R$5001,BD!$A$3:$A$5001,I$3,BD!$B$3:$B$5001,$A$323)))</f>
        <v/>
      </c>
      <c r="J338" s="172" t="str">
        <f>IF(J$3="","",IF(COUNTIFS(BD!$A$3:$A$5001,J$3,BD!$B$3:$B$5001,$A$323,BD!$R$3:$R$5001,"&lt;&gt;")=0,"",SUMIFS(BD!$R$3:$R$5001,BD!$A$3:$A$5001,J$3,BD!$B$3:$B$5001,$A$323)))</f>
        <v/>
      </c>
      <c r="K338" s="172" t="str">
        <f>IF(K$3="","",IF(COUNTIFS(BD!$A$3:$A$5001,K$3,BD!$B$3:$B$5001,$A$323,BD!$R$3:$R$5001,"&lt;&gt;")=0,"",SUMIFS(BD!$R$3:$R$5001,BD!$A$3:$A$5001,K$3,BD!$B$3:$B$5001,$A$323)))</f>
        <v/>
      </c>
      <c r="L338" s="172" t="str">
        <f>IF(L$3="","",IF(COUNTIFS(BD!$A$3:$A$5001,L$3,BD!$B$3:$B$5001,$A$323,BD!$R$3:$R$5001,"&lt;&gt;")=0,"",SUMIFS(BD!$R$3:$R$5001,BD!$A$3:$A$5001,L$3,BD!$B$3:$B$5001,$A$323)))</f>
        <v/>
      </c>
      <c r="M338" s="172" t="str">
        <f>IF(M$3="","",IF(COUNTIFS(BD!$A$3:$A$5001,M$3,BD!$B$3:$B$5001,$A$323,BD!$R$3:$R$5001,"&lt;&gt;")=0,"",SUMIFS(BD!$R$3:$R$5001,BD!$A$3:$A$5001,M$3,BD!$B$3:$B$5001,$A$323)))</f>
        <v/>
      </c>
      <c r="N338" s="172" t="str">
        <f>IF(N$3="","",IF(COUNTIFS(BD!$A$3:$A$5001,N$3,BD!$B$3:$B$5001,$A$323,BD!$R$3:$R$5001,"&lt;&gt;")=0,"",SUMIFS(BD!$R$3:$R$5001,BD!$A$3:$A$5001,N$3,BD!$B$3:$B$5001,$A$323)))</f>
        <v/>
      </c>
      <c r="O338" s="172" t="str">
        <f>IF(O$3="","",IF(COUNTIFS(BD!$A$3:$A$5001,O$3,BD!$B$3:$B$5001,$A$323,BD!$R$3:$R$5001,"&lt;&gt;")=0,"",SUMIFS(BD!$R$3:$R$5001,BD!$A$3:$A$5001,O$3,BD!$B$3:$B$5001,$A$323)))</f>
        <v/>
      </c>
      <c r="P338" s="172" t="str">
        <f>IF(P$3="","",IF(COUNTIFS(BD!$A$3:$A$5001,P$3,BD!$B$3:$B$5001,$A$323,BD!$R$3:$R$5001,"&lt;&gt;")=0,"",SUMIFS(BD!$R$3:$R$5001,BD!$A$3:$A$5001,P$3,BD!$B$3:$B$5001,$A$323)))</f>
        <v/>
      </c>
      <c r="Q338" s="172" t="str">
        <f>IF(Q$3="","",IF(COUNTIFS(BD!$A$3:$A$5001,Q$3,BD!$B$3:$B$5001,$A$323,BD!$R$3:$R$5001,"&lt;&gt;")=0,"",SUMIFS(BD!$R$3:$R$5001,BD!$A$3:$A$5001,Q$3,BD!$B$3:$B$5001,$A$323)))</f>
        <v/>
      </c>
      <c r="R338" s="172" t="str">
        <f>IF(R$3="","",IF(COUNTIFS(BD!$A$3:$A$5001,R$3,BD!$B$3:$B$5001,$A$323,BD!$R$3:$R$5001,"&lt;&gt;")=0,"",SUMIFS(BD!$R$3:$R$5001,BD!$A$3:$A$5001,R$3,BD!$B$3:$B$5001,$A$323)))</f>
        <v/>
      </c>
      <c r="S338" s="172" t="str">
        <f>IF(S$3="","",IF(COUNTIFS(BD!$A$3:$A$5001,S$3,BD!$B$3:$B$5001,$A$323,BD!$R$3:$R$5001,"&lt;&gt;")=0,"",SUMIFS(BD!$R$3:$R$5001,BD!$A$3:$A$5001,S$3,BD!$B$3:$B$5001,$A$323)))</f>
        <v/>
      </c>
      <c r="T338" s="172" t="str">
        <f>IF(T$3="","",IF(COUNTIFS(BD!$A$3:$A$5001,T$3,BD!$B$3:$B$5001,$A$323,BD!$R$3:$R$5001,"&lt;&gt;")=0,"",SUMIFS(BD!$R$3:$R$5001,BD!$A$3:$A$5001,T$3,BD!$B$3:$B$5001,$A$323)))</f>
        <v/>
      </c>
      <c r="U338" s="172" t="str">
        <f>IF(U$3="","",IF(COUNTIFS(BD!$A$3:$A$5001,U$3,BD!$B$3:$B$5001,$A$323,BD!$R$3:$R$5001,"&lt;&gt;")=0,"",SUMIFS(BD!$R$3:$R$5001,BD!$A$3:$A$5001,U$3,BD!$B$3:$B$5001,$A$323)))</f>
        <v/>
      </c>
      <c r="V338" s="172" t="str">
        <f>IF(V$3="","",IF(COUNTIFS(BD!$A$3:$A$5001,V$3,BD!$B$3:$B$5001,$A$323,BD!$R$3:$R$5001,"&lt;&gt;")=0,"",SUMIFS(BD!$R$3:$R$5001,BD!$A$3:$A$5001,V$3,BD!$B$3:$B$5001,$A$323)))</f>
        <v/>
      </c>
      <c r="W338" s="172" t="str">
        <f>IF(W$3="","",IF(COUNTIFS(BD!$A$3:$A$5001,W$3,BD!$B$3:$B$5001,$A$323,BD!$R$3:$R$5001,"&lt;&gt;")=0,"",SUMIFS(BD!$R$3:$R$5001,BD!$A$3:$A$5001,W$3,BD!$B$3:$B$5001,$A$323)))</f>
        <v/>
      </c>
      <c r="X338" s="172" t="str">
        <f>IF(X$3="","",IF(COUNTIFS(BD!$A$3:$A$5001,X$3,BD!$B$3:$B$5001,$A$323,BD!$R$3:$R$5001,"&lt;&gt;")=0,"",SUMIFS(BD!$R$3:$R$5001,BD!$A$3:$A$5001,X$3,BD!$B$3:$B$5001,$A$323)))</f>
        <v/>
      </c>
      <c r="Y338" s="172" t="str">
        <f>IF(Y$3="","",IF(COUNTIFS(BD!$A$3:$A$5001,Y$3,BD!$B$3:$B$5001,$A$323,BD!$R$3:$R$5001,"&lt;&gt;")=0,"",SUMIFS(BD!$R$3:$R$5001,BD!$A$3:$A$5001,Y$3,BD!$B$3:$B$5001,$A$323)))</f>
        <v/>
      </c>
      <c r="Z338" s="172" t="str">
        <f>IF(Z$3="","",IF(COUNTIFS(BD!$A$3:$A$5001,Z$3,BD!$B$3:$B$5001,$A$323,BD!$R$3:$R$5001,"&lt;&gt;")=0,"",SUMIFS(BD!$R$3:$R$5001,BD!$A$3:$A$5001,Z$3,BD!$B$3:$B$5001,$A$323)))</f>
        <v/>
      </c>
      <c r="AA338" s="172" t="str">
        <f>IF(AA$3="","",IF(COUNTIFS(BD!$A$3:$A$5001,AA$3,BD!$B$3:$B$5001,$A$323,BD!$R$3:$R$5001,"&lt;&gt;")=0,"",SUMIFS(BD!$R$3:$R$5001,BD!$A$3:$A$5001,AA$3,BD!$B$3:$B$5001,$A$323)))</f>
        <v/>
      </c>
      <c r="AB338" s="172" t="str">
        <f>IF(AB$3="","",IF(COUNTIFS(BD!$A$3:$A$5001,AB$3,BD!$B$3:$B$5001,$A$323,BD!$R$3:$R$5001,"&lt;&gt;")=0,"",SUMIFS(BD!$R$3:$R$5001,BD!$A$3:$A$5001,AB$3,BD!$B$3:$B$5001,$A$323)))</f>
        <v/>
      </c>
      <c r="AC338" s="172" t="str">
        <f>IF(AC$3="","",IF(COUNTIFS(BD!$A$3:$A$5001,AC$3,BD!$B$3:$B$5001,$A$323,BD!$R$3:$R$5001,"&lt;&gt;")=0,"",SUMIFS(BD!$R$3:$R$5001,BD!$A$3:$A$5001,AC$3,BD!$B$3:$B$5001,$A$323)))</f>
        <v/>
      </c>
      <c r="AD338" s="172" t="str">
        <f>IF(AD$3="","",IF(COUNTIFS(BD!$A$3:$A$5001,AD$3,BD!$B$3:$B$5001,$A$323,BD!$R$3:$R$5001,"&lt;&gt;")=0,"",SUMIFS(BD!$R$3:$R$5001,BD!$A$3:$A$5001,AD$3,BD!$B$3:$B$5001,$A$323)))</f>
        <v/>
      </c>
      <c r="AE338" s="172" t="str">
        <f>IF(AE$3="","",IF(COUNTIFS(BD!$A$3:$A$5001,AE$3,BD!$B$3:$B$5001,$A$323,BD!$R$3:$R$5001,"&lt;&gt;")=0,"",SUMIFS(BD!$R$3:$R$5001,BD!$A$3:$A$5001,AE$3,BD!$B$3:$B$5001,$A$323)))</f>
        <v/>
      </c>
      <c r="AF338" s="172" t="str">
        <f>IF(AF$3="","",IF(COUNTIFS(BD!$A$3:$A$5001,AF$3,BD!$B$3:$B$5001,$A$323,BD!$R$3:$R$5001,"&lt;&gt;")=0,"",SUMIFS(BD!$R$3:$R$5001,BD!$A$3:$A$5001,AF$3,BD!$B$3:$B$5001,$A$323)))</f>
        <v/>
      </c>
      <c r="AG338" s="172" t="str">
        <f>IF(AG$3="","",IF(COUNTIFS(BD!$A$3:$A$5001,AG$3,BD!$B$3:$B$5001,$A$323,BD!$R$3:$R$5001,"&lt;&gt;")=0,"",SUMIFS(BD!$R$3:$R$5001,BD!$A$3:$A$5001,AG$3,BD!$B$3:$B$5001,$A$323)))</f>
        <v/>
      </c>
      <c r="AH338" s="172" t="str">
        <f>IF(AH$3="","",IF(COUNTIFS(BD!$A$3:$A$5001,AH$3,BD!$B$3:$B$5001,$A$323,BD!$R$3:$R$5001,"&lt;&gt;")=0,"",SUMIFS(BD!$R$3:$R$5001,BD!$A$3:$A$5001,AH$3,BD!$B$3:$B$5001,$A$323)))</f>
        <v/>
      </c>
      <c r="AI338" s="172" t="str">
        <f>IF(AI$3="","",IF(COUNTIFS(BD!$A$3:$A$5001,AI$3,BD!$B$3:$B$5001,$A$323,BD!$R$3:$R$5001,"&lt;&gt;")=0,"",SUMIFS(BD!$R$3:$R$5001,BD!$A$3:$A$5001,AI$3,BD!$B$3:$B$5001,$A$323)))</f>
        <v/>
      </c>
      <c r="AJ338" s="173" t="str">
        <f>IF(AJ$3="","",IF(COUNTIFS(BD!$A$3:$A$5001,AJ$3,BD!$B$3:$B$5001,$A$323,BD!$R$3:$R$5001,"&lt;&gt;")=0,"",SUMIFS(BD!$R$3:$R$5001,BD!$A$3:$A$5001,AJ$3,BD!$B$3:$B$5001,$A$323)))</f>
        <v/>
      </c>
      <c r="AK338" s="174" t="str">
        <f>IF(COUNT(F338:AJ338)&gt;0,LOOKUP(9.99E+307,F338:AJ338),IFERROR(IF(INDEX(BD!$AC$3:$AC$5001,MATCH($A$323,BD!$B$3:$B$5001,0))&amp;""="Contrato","",INDEX(BD!$AC$3:$AC$5001,MATCH($A$323,BD!$B$3:$B$5001,0))&amp;""),""))</f>
        <v/>
      </c>
    </row>
    <row r="339" ht="15.75" customHeight="1" hidden="1">
      <c r="A339" s="277"/>
      <c r="B339" s="265"/>
      <c r="C339" s="175" t="inlineStr">
        <is>
          <t xml:space="preserve">Posições Ocupadas</t>
        </is>
      </c>
      <c r="D339" s="176" t="str">
        <f>IFERROR(1/(1/INDEX(BD!$AF$39:$AZ$39,MATCH($A$323,BD!$AF$22:$AZ$22,0))),"")</f>
        <v/>
      </c>
      <c r="E339" s="177"/>
      <c r="F339" s="178" t="str">
        <f>IF(F$3="","",IF(COUNTIFS(BD!$A$3:$A$5001,F$3,BD!$B$3:$B$5001,$A$323,BD!$S$3:$S$5001,"&lt;&gt;")=0,"",SUMIFS(BD!$S$3:$S$5001,BD!$A$3:$A$5001,F$3,BD!$B$3:$B$5001,$A$323)))</f>
        <v/>
      </c>
      <c r="G339" s="179" t="str">
        <f>IF(G$3="","",IF(COUNTIFS(BD!$A$3:$A$5001,G$3,BD!$B$3:$B$5001,$A$323,BD!$S$3:$S$5001,"&lt;&gt;")=0,"",SUMIFS(BD!$S$3:$S$5001,BD!$A$3:$A$5001,G$3,BD!$B$3:$B$5001,$A$323)))</f>
        <v/>
      </c>
      <c r="H339" s="179" t="str">
        <f>IF(H$3="","",IF(COUNTIFS(BD!$A$3:$A$5001,H$3,BD!$B$3:$B$5001,$A$323,BD!$S$3:$S$5001,"&lt;&gt;")=0,"",SUMIFS(BD!$S$3:$S$5001,BD!$A$3:$A$5001,H$3,BD!$B$3:$B$5001,$A$323)))</f>
        <v/>
      </c>
      <c r="I339" s="179" t="str">
        <f>IF(I$3="","",IF(COUNTIFS(BD!$A$3:$A$5001,I$3,BD!$B$3:$B$5001,$A$323,BD!$S$3:$S$5001,"&lt;&gt;")=0,"",SUMIFS(BD!$S$3:$S$5001,BD!$A$3:$A$5001,I$3,BD!$B$3:$B$5001,$A$323)))</f>
        <v/>
      </c>
      <c r="J339" s="179" t="str">
        <f>IF(J$3="","",IF(COUNTIFS(BD!$A$3:$A$5001,J$3,BD!$B$3:$B$5001,$A$323,BD!$S$3:$S$5001,"&lt;&gt;")=0,"",SUMIFS(BD!$S$3:$S$5001,BD!$A$3:$A$5001,J$3,BD!$B$3:$B$5001,$A$323)))</f>
        <v/>
      </c>
      <c r="K339" s="179" t="str">
        <f>IF(K$3="","",IF(COUNTIFS(BD!$A$3:$A$5001,K$3,BD!$B$3:$B$5001,$A$323,BD!$S$3:$S$5001,"&lt;&gt;")=0,"",SUMIFS(BD!$S$3:$S$5001,BD!$A$3:$A$5001,K$3,BD!$B$3:$B$5001,$A$323)))</f>
        <v/>
      </c>
      <c r="L339" s="179" t="str">
        <f>IF(L$3="","",IF(COUNTIFS(BD!$A$3:$A$5001,L$3,BD!$B$3:$B$5001,$A$323,BD!$S$3:$S$5001,"&lt;&gt;")=0,"",SUMIFS(BD!$S$3:$S$5001,BD!$A$3:$A$5001,L$3,BD!$B$3:$B$5001,$A$323)))</f>
        <v/>
      </c>
      <c r="M339" s="179" t="str">
        <f>IF(M$3="","",IF(COUNTIFS(BD!$A$3:$A$5001,M$3,BD!$B$3:$B$5001,$A$323,BD!$S$3:$S$5001,"&lt;&gt;")=0,"",SUMIFS(BD!$S$3:$S$5001,BD!$A$3:$A$5001,M$3,BD!$B$3:$B$5001,$A$323)))</f>
        <v/>
      </c>
      <c r="N339" s="179" t="str">
        <f>IF(N$3="","",IF(COUNTIFS(BD!$A$3:$A$5001,N$3,BD!$B$3:$B$5001,$A$323,BD!$S$3:$S$5001,"&lt;&gt;")=0,"",SUMIFS(BD!$S$3:$S$5001,BD!$A$3:$A$5001,N$3,BD!$B$3:$B$5001,$A$323)))</f>
        <v/>
      </c>
      <c r="O339" s="179" t="str">
        <f>IF(O$3="","",IF(COUNTIFS(BD!$A$3:$A$5001,O$3,BD!$B$3:$B$5001,$A$323,BD!$S$3:$S$5001,"&lt;&gt;")=0,"",SUMIFS(BD!$S$3:$S$5001,BD!$A$3:$A$5001,O$3,BD!$B$3:$B$5001,$A$323)))</f>
        <v/>
      </c>
      <c r="P339" s="179" t="str">
        <f>IF(P$3="","",IF(COUNTIFS(BD!$A$3:$A$5001,P$3,BD!$B$3:$B$5001,$A$323,BD!$S$3:$S$5001,"&lt;&gt;")=0,"",SUMIFS(BD!$S$3:$S$5001,BD!$A$3:$A$5001,P$3,BD!$B$3:$B$5001,$A$323)))</f>
        <v/>
      </c>
      <c r="Q339" s="179" t="str">
        <f>IF(Q$3="","",IF(COUNTIFS(BD!$A$3:$A$5001,Q$3,BD!$B$3:$B$5001,$A$323,BD!$S$3:$S$5001,"&lt;&gt;")=0,"",SUMIFS(BD!$S$3:$S$5001,BD!$A$3:$A$5001,Q$3,BD!$B$3:$B$5001,$A$323)))</f>
        <v/>
      </c>
      <c r="R339" s="179" t="str">
        <f>IF(R$3="","",IF(COUNTIFS(BD!$A$3:$A$5001,R$3,BD!$B$3:$B$5001,$A$323,BD!$S$3:$S$5001,"&lt;&gt;")=0,"",SUMIFS(BD!$S$3:$S$5001,BD!$A$3:$A$5001,R$3,BD!$B$3:$B$5001,$A$323)))</f>
        <v/>
      </c>
      <c r="S339" s="179" t="str">
        <f>IF(S$3="","",IF(COUNTIFS(BD!$A$3:$A$5001,S$3,BD!$B$3:$B$5001,$A$323,BD!$S$3:$S$5001,"&lt;&gt;")=0,"",SUMIFS(BD!$S$3:$S$5001,BD!$A$3:$A$5001,S$3,BD!$B$3:$B$5001,$A$323)))</f>
        <v/>
      </c>
      <c r="T339" s="179" t="str">
        <f>IF(T$3="","",IF(COUNTIFS(BD!$A$3:$A$5001,T$3,BD!$B$3:$B$5001,$A$323,BD!$S$3:$S$5001,"&lt;&gt;")=0,"",SUMIFS(BD!$S$3:$S$5001,BD!$A$3:$A$5001,T$3,BD!$B$3:$B$5001,$A$323)))</f>
        <v/>
      </c>
      <c r="U339" s="179" t="str">
        <f>IF(U$3="","",IF(COUNTIFS(BD!$A$3:$A$5001,U$3,BD!$B$3:$B$5001,$A$323,BD!$S$3:$S$5001,"&lt;&gt;")=0,"",SUMIFS(BD!$S$3:$S$5001,BD!$A$3:$A$5001,U$3,BD!$B$3:$B$5001,$A$323)))</f>
        <v/>
      </c>
      <c r="V339" s="179" t="str">
        <f>IF(V$3="","",IF(COUNTIFS(BD!$A$3:$A$5001,V$3,BD!$B$3:$B$5001,$A$323,BD!$S$3:$S$5001,"&lt;&gt;")=0,"",SUMIFS(BD!$S$3:$S$5001,BD!$A$3:$A$5001,V$3,BD!$B$3:$B$5001,$A$323)))</f>
        <v/>
      </c>
      <c r="W339" s="179" t="str">
        <f>IF(W$3="","",IF(COUNTIFS(BD!$A$3:$A$5001,W$3,BD!$B$3:$B$5001,$A$323,BD!$S$3:$S$5001,"&lt;&gt;")=0,"",SUMIFS(BD!$S$3:$S$5001,BD!$A$3:$A$5001,W$3,BD!$B$3:$B$5001,$A$323)))</f>
        <v/>
      </c>
      <c r="X339" s="179" t="str">
        <f>IF(X$3="","",IF(COUNTIFS(BD!$A$3:$A$5001,X$3,BD!$B$3:$B$5001,$A$323,BD!$S$3:$S$5001,"&lt;&gt;")=0,"",SUMIFS(BD!$S$3:$S$5001,BD!$A$3:$A$5001,X$3,BD!$B$3:$B$5001,$A$323)))</f>
        <v/>
      </c>
      <c r="Y339" s="179" t="str">
        <f>IF(Y$3="","",IF(COUNTIFS(BD!$A$3:$A$5001,Y$3,BD!$B$3:$B$5001,$A$323,BD!$S$3:$S$5001,"&lt;&gt;")=0,"",SUMIFS(BD!$S$3:$S$5001,BD!$A$3:$A$5001,Y$3,BD!$B$3:$B$5001,$A$323)))</f>
        <v/>
      </c>
      <c r="Z339" s="179" t="str">
        <f>IF(Z$3="","",IF(COUNTIFS(BD!$A$3:$A$5001,Z$3,BD!$B$3:$B$5001,$A$323,BD!$S$3:$S$5001,"&lt;&gt;")=0,"",SUMIFS(BD!$S$3:$S$5001,BD!$A$3:$A$5001,Z$3,BD!$B$3:$B$5001,$A$323)))</f>
        <v/>
      </c>
      <c r="AA339" s="179" t="str">
        <f>IF(AA$3="","",IF(COUNTIFS(BD!$A$3:$A$5001,AA$3,BD!$B$3:$B$5001,$A$323,BD!$S$3:$S$5001,"&lt;&gt;")=0,"",SUMIFS(BD!$S$3:$S$5001,BD!$A$3:$A$5001,AA$3,BD!$B$3:$B$5001,$A$323)))</f>
        <v/>
      </c>
      <c r="AB339" s="179" t="str">
        <f>IF(AB$3="","",IF(COUNTIFS(BD!$A$3:$A$5001,AB$3,BD!$B$3:$B$5001,$A$323,BD!$S$3:$S$5001,"&lt;&gt;")=0,"",SUMIFS(BD!$S$3:$S$5001,BD!$A$3:$A$5001,AB$3,BD!$B$3:$B$5001,$A$323)))</f>
        <v/>
      </c>
      <c r="AC339" s="179" t="str">
        <f>IF(AC$3="","",IF(COUNTIFS(BD!$A$3:$A$5001,AC$3,BD!$B$3:$B$5001,$A$323,BD!$S$3:$S$5001,"&lt;&gt;")=0,"",SUMIFS(BD!$S$3:$S$5001,BD!$A$3:$A$5001,AC$3,BD!$B$3:$B$5001,$A$323)))</f>
        <v/>
      </c>
      <c r="AD339" s="179" t="str">
        <f>IF(AD$3="","",IF(COUNTIFS(BD!$A$3:$A$5001,AD$3,BD!$B$3:$B$5001,$A$323,BD!$S$3:$S$5001,"&lt;&gt;")=0,"",SUMIFS(BD!$S$3:$S$5001,BD!$A$3:$A$5001,AD$3,BD!$B$3:$B$5001,$A$323)))</f>
        <v/>
      </c>
      <c r="AE339" s="179" t="str">
        <f>IF(AE$3="","",IF(COUNTIFS(BD!$A$3:$A$5001,AE$3,BD!$B$3:$B$5001,$A$323,BD!$S$3:$S$5001,"&lt;&gt;")=0,"",SUMIFS(BD!$S$3:$S$5001,BD!$A$3:$A$5001,AE$3,BD!$B$3:$B$5001,$A$323)))</f>
        <v/>
      </c>
      <c r="AF339" s="179" t="str">
        <f>IF(AF$3="","",IF(COUNTIFS(BD!$A$3:$A$5001,AF$3,BD!$B$3:$B$5001,$A$323,BD!$S$3:$S$5001,"&lt;&gt;")=0,"",SUMIFS(BD!$S$3:$S$5001,BD!$A$3:$A$5001,AF$3,BD!$B$3:$B$5001,$A$323)))</f>
        <v/>
      </c>
      <c r="AG339" s="179" t="str">
        <f>IF(AG$3="","",IF(COUNTIFS(BD!$A$3:$A$5001,AG$3,BD!$B$3:$B$5001,$A$323,BD!$S$3:$S$5001,"&lt;&gt;")=0,"",SUMIFS(BD!$S$3:$S$5001,BD!$A$3:$A$5001,AG$3,BD!$B$3:$B$5001,$A$323)))</f>
        <v/>
      </c>
      <c r="AH339" s="179" t="str">
        <f>IF(AH$3="","",IF(COUNTIFS(BD!$A$3:$A$5001,AH$3,BD!$B$3:$B$5001,$A$323,BD!$S$3:$S$5001,"&lt;&gt;")=0,"",SUMIFS(BD!$S$3:$S$5001,BD!$A$3:$A$5001,AH$3,BD!$B$3:$B$5001,$A$323)))</f>
        <v/>
      </c>
      <c r="AI339" s="179" t="str">
        <f>IF(AI$3="","",IF(COUNTIFS(BD!$A$3:$A$5001,AI$3,BD!$B$3:$B$5001,$A$323,BD!$S$3:$S$5001,"&lt;&gt;")=0,"",SUMIFS(BD!$S$3:$S$5001,BD!$A$3:$A$5001,AI$3,BD!$B$3:$B$5001,$A$323)))</f>
        <v/>
      </c>
      <c r="AJ339" s="180" t="str">
        <f>IF(AJ$3="","",IF(COUNTIFS(BD!$A$3:$A$5001,AJ$3,BD!$B$3:$B$5001,$A$323,BD!$S$3:$S$5001,"&lt;&gt;")=0,"",SUMIFS(BD!$S$3:$S$5001,BD!$A$3:$A$5001,AJ$3,BD!$B$3:$B$5001,$A$323)))</f>
        <v/>
      </c>
      <c r="AK339" s="181" t="str">
        <f>IFERROR(LOOKUP(9.99E+307,F339:AJ339),"")</f>
        <v/>
      </c>
    </row>
    <row r="340" ht="15.75" customHeight="1" hidden="1">
      <c r="A340" s="277"/>
      <c r="B340" s="266"/>
      <c r="C340" s="186" t="inlineStr">
        <is>
          <t xml:space="preserve">Taxa de Ocupação</t>
        </is>
      </c>
      <c r="D340" s="236" t="str">
        <f>IFERROR(1/(1/INDEX(BD!$AF$40:$AZ$40,MATCH($A$323,BD!$AF$22:$AZ$22,0))),"")</f>
        <v/>
      </c>
      <c r="E340" s="188"/>
      <c r="F340" s="237" t="str">
        <f>IF(AND(ISNUMBER(F338),ISNUMBER(F339)),IF(F338&gt;0,F339/F338,""),"")</f>
        <v/>
      </c>
      <c r="G340" s="238" t="str">
        <f>IF(AND(ISNUMBER(G338),ISNUMBER(G339)),IF(G338&gt;0,G339/G338,""),"")</f>
        <v/>
      </c>
      <c r="H340" s="238" t="str">
        <f>IF(AND(ISNUMBER(H338),ISNUMBER(H339)),IF(H338&gt;0,H339/H338,""),"")</f>
        <v/>
      </c>
      <c r="I340" s="238" t="str">
        <f>IF(AND(ISNUMBER(I338),ISNUMBER(I339)),IF(I338&gt;0,I339/I338,""),"")</f>
        <v/>
      </c>
      <c r="J340" s="238" t="str">
        <f>IF(AND(ISNUMBER(J338),ISNUMBER(J339)),IF(J338&gt;0,J339/J338,""),"")</f>
        <v/>
      </c>
      <c r="K340" s="238" t="str">
        <f>IF(AND(ISNUMBER(K338),ISNUMBER(K339)),IF(K338&gt;0,K339/K338,""),"")</f>
        <v/>
      </c>
      <c r="L340" s="238" t="str">
        <f>IF(AND(ISNUMBER(L338),ISNUMBER(L339)),IF(L338&gt;0,L339/L338,""),"")</f>
        <v/>
      </c>
      <c r="M340" s="238" t="str">
        <f>IF(AND(ISNUMBER(M338),ISNUMBER(M339)),IF(M338&gt;0,M339/M338,""),"")</f>
        <v/>
      </c>
      <c r="N340" s="238" t="str">
        <f>IF(AND(ISNUMBER(N338),ISNUMBER(N339)),IF(N338&gt;0,N339/N338,""),"")</f>
        <v/>
      </c>
      <c r="O340" s="238" t="str">
        <f>IF(AND(ISNUMBER(O338),ISNUMBER(O339)),IF(O338&gt;0,O339/O338,""),"")</f>
        <v/>
      </c>
      <c r="P340" s="238" t="str">
        <f>IF(AND(ISNUMBER(P338),ISNUMBER(P339)),IF(P338&gt;0,P339/P338,""),"")</f>
        <v/>
      </c>
      <c r="Q340" s="238" t="str">
        <f>IF(AND(ISNUMBER(Q338),ISNUMBER(Q339)),IF(Q338&gt;0,Q339/Q338,""),"")</f>
        <v/>
      </c>
      <c r="R340" s="238" t="str">
        <f>IF(AND(ISNUMBER(R338),ISNUMBER(R339)),IF(R338&gt;0,R339/R338,""),"")</f>
        <v/>
      </c>
      <c r="S340" s="238" t="str">
        <f>IF(AND(ISNUMBER(S338),ISNUMBER(S339)),IF(S338&gt;0,S339/S338,""),"")</f>
        <v/>
      </c>
      <c r="T340" s="238" t="str">
        <f>IF(AND(ISNUMBER(T338),ISNUMBER(T339)),IF(T338&gt;0,T339/T338,""),"")</f>
        <v/>
      </c>
      <c r="U340" s="238" t="str">
        <f>IF(AND(ISNUMBER(U338),ISNUMBER(U339)),IF(U338&gt;0,U339/U338,""),"")</f>
        <v/>
      </c>
      <c r="V340" s="238" t="str">
        <f>IF(AND(ISNUMBER(V338),ISNUMBER(V339)),IF(V338&gt;0,V339/V338,""),"")</f>
        <v/>
      </c>
      <c r="W340" s="238" t="str">
        <f>IF(AND(ISNUMBER(W338),ISNUMBER(W339)),IF(W338&gt;0,W339/W338,""),"")</f>
        <v/>
      </c>
      <c r="X340" s="238" t="str">
        <f>IF(AND(ISNUMBER(X338),ISNUMBER(X339)),IF(X338&gt;0,X339/X338,""),"")</f>
        <v/>
      </c>
      <c r="Y340" s="238" t="str">
        <f>IF(AND(ISNUMBER(Y338),ISNUMBER(Y339)),IF(Y338&gt;0,Y339/Y338,""),"")</f>
        <v/>
      </c>
      <c r="Z340" s="238" t="str">
        <f>IF(AND(ISNUMBER(Z338),ISNUMBER(Z339)),IF(Z338&gt;0,Z339/Z338,""),"")</f>
        <v/>
      </c>
      <c r="AA340" s="238" t="str">
        <f>IF(AND(ISNUMBER(AA338),ISNUMBER(AA339)),IF(AA338&gt;0,AA339/AA338,""),"")</f>
        <v/>
      </c>
      <c r="AB340" s="238" t="str">
        <f>IF(AND(ISNUMBER(AB338),ISNUMBER(AB339)),IF(AB338&gt;0,AB339/AB338,""),"")</f>
        <v/>
      </c>
      <c r="AC340" s="238" t="str">
        <f>IF(AND(ISNUMBER(AC338),ISNUMBER(AC339)),IF(AC338&gt;0,AC339/AC338,""),"")</f>
        <v/>
      </c>
      <c r="AD340" s="238" t="str">
        <f>IF(AND(ISNUMBER(AD338),ISNUMBER(AD339)),IF(AD338&gt;0,AD339/AD338,""),"")</f>
        <v/>
      </c>
      <c r="AE340" s="238" t="str">
        <f>IF(AND(ISNUMBER(AE338),ISNUMBER(AE339)),IF(AE338&gt;0,AE339/AE338,""),"")</f>
        <v/>
      </c>
      <c r="AF340" s="238" t="str">
        <f>IF(AND(ISNUMBER(AF338),ISNUMBER(AF339)),IF(AF338&gt;0,AF339/AF338,""),"")</f>
        <v/>
      </c>
      <c r="AG340" s="238" t="str">
        <f>IF(AND(ISNUMBER(AG338),ISNUMBER(AG339)),IF(AG338&gt;0,AG339/AG338,""),"")</f>
        <v/>
      </c>
      <c r="AH340" s="238" t="str">
        <f>IF(AND(ISNUMBER(AH338),ISNUMBER(AH339)),IF(AH338&gt;0,AH339/AH338,""),"")</f>
        <v/>
      </c>
      <c r="AI340" s="238" t="str">
        <f>IF(AND(ISNUMBER(AI338),ISNUMBER(AI339)),IF(AI338&gt;0,AI339/AI338,""),"")</f>
        <v/>
      </c>
      <c r="AJ340" s="239" t="str">
        <f>IF(AND(ISNUMBER(AJ338),ISNUMBER(AJ339)),IF(AJ338&gt;0,AJ339/AJ338,""),"")</f>
        <v/>
      </c>
      <c r="AK340" s="236" t="str">
        <f>IF(AND(ISNUMBER(AK338),ISNUMBER(AK339)),IF(AK338&gt;0,AK339/AK338,""),"")</f>
        <v/>
      </c>
    </row>
    <row r="341" ht="15.75" customHeight="1" hidden="1">
      <c r="A341" s="277"/>
      <c r="B341" s="273" t="inlineStr">
        <is>
          <t xml:space="preserve">GENTE</t>
        </is>
      </c>
      <c r="C341" s="240" t="inlineStr">
        <is>
          <t xml:space="preserve">Efetivo Op.</t>
        </is>
      </c>
      <c r="D341" s="241" t="str">
        <f>IFERROR(1/(1/INDEX(BD!$AF$41:$AZ$41,MATCH($A$323,BD!$AF$22:$AZ$22,0))),"")</f>
        <v/>
      </c>
      <c r="E341" s="242"/>
      <c r="F341" s="243" t="str">
        <f>IF(F$3="","",IF(COUNTIFS(BD!$A$3:$A$5001,F$3,BD!$B$3:$B$5001,$A$323,BD!$T$3:$T$5001,"&lt;&gt;")=0,"",SUMIFS(BD!$T$3:$T$5001,BD!$A$3:$A$5001,F$3,BD!$B$3:$B$5001,$A$323)))</f>
        <v/>
      </c>
      <c r="G341" s="244" t="str">
        <f>IF(G$3="","",IF(COUNTIFS(BD!$A$3:$A$5001,G$3,BD!$B$3:$B$5001,$A$323,BD!$T$3:$T$5001,"&lt;&gt;")=0,"",SUMIFS(BD!$T$3:$T$5001,BD!$A$3:$A$5001,G$3,BD!$B$3:$B$5001,$A$323)))</f>
        <v/>
      </c>
      <c r="H341" s="244" t="str">
        <f>IF(H$3="","",IF(COUNTIFS(BD!$A$3:$A$5001,H$3,BD!$B$3:$B$5001,$A$323,BD!$T$3:$T$5001,"&lt;&gt;")=0,"",SUMIFS(BD!$T$3:$T$5001,BD!$A$3:$A$5001,H$3,BD!$B$3:$B$5001,$A$323)))</f>
        <v/>
      </c>
      <c r="I341" s="244" t="str">
        <f>IF(I$3="","",IF(COUNTIFS(BD!$A$3:$A$5001,I$3,BD!$B$3:$B$5001,$A$323,BD!$T$3:$T$5001,"&lt;&gt;")=0,"",SUMIFS(BD!$T$3:$T$5001,BD!$A$3:$A$5001,I$3,BD!$B$3:$B$5001,$A$323)))</f>
        <v/>
      </c>
      <c r="J341" s="244" t="str">
        <f>IF(J$3="","",IF(COUNTIFS(BD!$A$3:$A$5001,J$3,BD!$B$3:$B$5001,$A$323,BD!$T$3:$T$5001,"&lt;&gt;")=0,"",SUMIFS(BD!$T$3:$T$5001,BD!$A$3:$A$5001,J$3,BD!$B$3:$B$5001,$A$323)))</f>
        <v/>
      </c>
      <c r="K341" s="244" t="str">
        <f>IF(K$3="","",IF(COUNTIFS(BD!$A$3:$A$5001,K$3,BD!$B$3:$B$5001,$A$323,BD!$T$3:$T$5001,"&lt;&gt;")=0,"",SUMIFS(BD!$T$3:$T$5001,BD!$A$3:$A$5001,K$3,BD!$B$3:$B$5001,$A$323)))</f>
        <v/>
      </c>
      <c r="L341" s="244" t="str">
        <f>IF(L$3="","",IF(COUNTIFS(BD!$A$3:$A$5001,L$3,BD!$B$3:$B$5001,$A$323,BD!$T$3:$T$5001,"&lt;&gt;")=0,"",SUMIFS(BD!$T$3:$T$5001,BD!$A$3:$A$5001,L$3,BD!$B$3:$B$5001,$A$323)))</f>
        <v/>
      </c>
      <c r="M341" s="244" t="str">
        <f>IF(M$3="","",IF(COUNTIFS(BD!$A$3:$A$5001,M$3,BD!$B$3:$B$5001,$A$323,BD!$T$3:$T$5001,"&lt;&gt;")=0,"",SUMIFS(BD!$T$3:$T$5001,BD!$A$3:$A$5001,M$3,BD!$B$3:$B$5001,$A$323)))</f>
        <v/>
      </c>
      <c r="N341" s="244" t="str">
        <f>IF(N$3="","",IF(COUNTIFS(BD!$A$3:$A$5001,N$3,BD!$B$3:$B$5001,$A$323,BD!$T$3:$T$5001,"&lt;&gt;")=0,"",SUMIFS(BD!$T$3:$T$5001,BD!$A$3:$A$5001,N$3,BD!$B$3:$B$5001,$A$323)))</f>
        <v/>
      </c>
      <c r="O341" s="244" t="str">
        <f>IF(O$3="","",IF(COUNTIFS(BD!$A$3:$A$5001,O$3,BD!$B$3:$B$5001,$A$323,BD!$T$3:$T$5001,"&lt;&gt;")=0,"",SUMIFS(BD!$T$3:$T$5001,BD!$A$3:$A$5001,O$3,BD!$B$3:$B$5001,$A$323)))</f>
        <v/>
      </c>
      <c r="P341" s="244" t="str">
        <f>IF(P$3="","",IF(COUNTIFS(BD!$A$3:$A$5001,P$3,BD!$B$3:$B$5001,$A$323,BD!$T$3:$T$5001,"&lt;&gt;")=0,"",SUMIFS(BD!$T$3:$T$5001,BD!$A$3:$A$5001,P$3,BD!$B$3:$B$5001,$A$323)))</f>
        <v/>
      </c>
      <c r="Q341" s="244" t="str">
        <f>IF(Q$3="","",IF(COUNTIFS(BD!$A$3:$A$5001,Q$3,BD!$B$3:$B$5001,$A$323,BD!$T$3:$T$5001,"&lt;&gt;")=0,"",SUMIFS(BD!$T$3:$T$5001,BD!$A$3:$A$5001,Q$3,BD!$B$3:$B$5001,$A$323)))</f>
        <v/>
      </c>
      <c r="R341" s="244" t="str">
        <f>IF(R$3="","",IF(COUNTIFS(BD!$A$3:$A$5001,R$3,BD!$B$3:$B$5001,$A$323,BD!$T$3:$T$5001,"&lt;&gt;")=0,"",SUMIFS(BD!$T$3:$T$5001,BD!$A$3:$A$5001,R$3,BD!$B$3:$B$5001,$A$323)))</f>
        <v/>
      </c>
      <c r="S341" s="244" t="str">
        <f>IF(S$3="","",IF(COUNTIFS(BD!$A$3:$A$5001,S$3,BD!$B$3:$B$5001,$A$323,BD!$T$3:$T$5001,"&lt;&gt;")=0,"",SUMIFS(BD!$T$3:$T$5001,BD!$A$3:$A$5001,S$3,BD!$B$3:$B$5001,$A$323)))</f>
        <v/>
      </c>
      <c r="T341" s="244" t="str">
        <f>IF(T$3="","",IF(COUNTIFS(BD!$A$3:$A$5001,T$3,BD!$B$3:$B$5001,$A$323,BD!$T$3:$T$5001,"&lt;&gt;")=0,"",SUMIFS(BD!$T$3:$T$5001,BD!$A$3:$A$5001,T$3,BD!$B$3:$B$5001,$A$323)))</f>
        <v/>
      </c>
      <c r="U341" s="244" t="str">
        <f>IF(U$3="","",IF(COUNTIFS(BD!$A$3:$A$5001,U$3,BD!$B$3:$B$5001,$A$323,BD!$T$3:$T$5001,"&lt;&gt;")=0,"",SUMIFS(BD!$T$3:$T$5001,BD!$A$3:$A$5001,U$3,BD!$B$3:$B$5001,$A$323)))</f>
        <v/>
      </c>
      <c r="V341" s="244" t="str">
        <f>IF(V$3="","",IF(COUNTIFS(BD!$A$3:$A$5001,V$3,BD!$B$3:$B$5001,$A$323,BD!$T$3:$T$5001,"&lt;&gt;")=0,"",SUMIFS(BD!$T$3:$T$5001,BD!$A$3:$A$5001,V$3,BD!$B$3:$B$5001,$A$323)))</f>
        <v/>
      </c>
      <c r="W341" s="244" t="str">
        <f>IF(W$3="","",IF(COUNTIFS(BD!$A$3:$A$5001,W$3,BD!$B$3:$B$5001,$A$323,BD!$T$3:$T$5001,"&lt;&gt;")=0,"",SUMIFS(BD!$T$3:$T$5001,BD!$A$3:$A$5001,W$3,BD!$B$3:$B$5001,$A$323)))</f>
        <v/>
      </c>
      <c r="X341" s="244" t="str">
        <f>IF(X$3="","",IF(COUNTIFS(BD!$A$3:$A$5001,X$3,BD!$B$3:$B$5001,$A$323,BD!$T$3:$T$5001,"&lt;&gt;")=0,"",SUMIFS(BD!$T$3:$T$5001,BD!$A$3:$A$5001,X$3,BD!$B$3:$B$5001,$A$323)))</f>
        <v/>
      </c>
      <c r="Y341" s="244" t="str">
        <f>IF(Y$3="","",IF(COUNTIFS(BD!$A$3:$A$5001,Y$3,BD!$B$3:$B$5001,$A$323,BD!$T$3:$T$5001,"&lt;&gt;")=0,"",SUMIFS(BD!$T$3:$T$5001,BD!$A$3:$A$5001,Y$3,BD!$B$3:$B$5001,$A$323)))</f>
        <v/>
      </c>
      <c r="Z341" s="244" t="str">
        <f>IF(Z$3="","",IF(COUNTIFS(BD!$A$3:$A$5001,Z$3,BD!$B$3:$B$5001,$A$323,BD!$T$3:$T$5001,"&lt;&gt;")=0,"",SUMIFS(BD!$T$3:$T$5001,BD!$A$3:$A$5001,Z$3,BD!$B$3:$B$5001,$A$323)))</f>
        <v/>
      </c>
      <c r="AA341" s="244" t="str">
        <f>IF(AA$3="","",IF(COUNTIFS(BD!$A$3:$A$5001,AA$3,BD!$B$3:$B$5001,$A$323,BD!$T$3:$T$5001,"&lt;&gt;")=0,"",SUMIFS(BD!$T$3:$T$5001,BD!$A$3:$A$5001,AA$3,BD!$B$3:$B$5001,$A$323)))</f>
        <v/>
      </c>
      <c r="AB341" s="244" t="str">
        <f>IF(AB$3="","",IF(COUNTIFS(BD!$A$3:$A$5001,AB$3,BD!$B$3:$B$5001,$A$323,BD!$T$3:$T$5001,"&lt;&gt;")=0,"",SUMIFS(BD!$T$3:$T$5001,BD!$A$3:$A$5001,AB$3,BD!$B$3:$B$5001,$A$323)))</f>
        <v/>
      </c>
      <c r="AC341" s="244" t="str">
        <f>IF(AC$3="","",IF(COUNTIFS(BD!$A$3:$A$5001,AC$3,BD!$B$3:$B$5001,$A$323,BD!$T$3:$T$5001,"&lt;&gt;")=0,"",SUMIFS(BD!$T$3:$T$5001,BD!$A$3:$A$5001,AC$3,BD!$B$3:$B$5001,$A$323)))</f>
        <v/>
      </c>
      <c r="AD341" s="244" t="str">
        <f>IF(AD$3="","",IF(COUNTIFS(BD!$A$3:$A$5001,AD$3,BD!$B$3:$B$5001,$A$323,BD!$T$3:$T$5001,"&lt;&gt;")=0,"",SUMIFS(BD!$T$3:$T$5001,BD!$A$3:$A$5001,AD$3,BD!$B$3:$B$5001,$A$323)))</f>
        <v/>
      </c>
      <c r="AE341" s="244" t="str">
        <f>IF(AE$3="","",IF(COUNTIFS(BD!$A$3:$A$5001,AE$3,BD!$B$3:$B$5001,$A$323,BD!$T$3:$T$5001,"&lt;&gt;")=0,"",SUMIFS(BD!$T$3:$T$5001,BD!$A$3:$A$5001,AE$3,BD!$B$3:$B$5001,$A$323)))</f>
        <v/>
      </c>
      <c r="AF341" s="244" t="str">
        <f>IF(AF$3="","",IF(COUNTIFS(BD!$A$3:$A$5001,AF$3,BD!$B$3:$B$5001,$A$323,BD!$T$3:$T$5001,"&lt;&gt;")=0,"",SUMIFS(BD!$T$3:$T$5001,BD!$A$3:$A$5001,AF$3,BD!$B$3:$B$5001,$A$323)))</f>
        <v/>
      </c>
      <c r="AG341" s="244" t="str">
        <f>IF(AG$3="","",IF(COUNTIFS(BD!$A$3:$A$5001,AG$3,BD!$B$3:$B$5001,$A$323,BD!$T$3:$T$5001,"&lt;&gt;")=0,"",SUMIFS(BD!$T$3:$T$5001,BD!$A$3:$A$5001,AG$3,BD!$B$3:$B$5001,$A$323)))</f>
        <v/>
      </c>
      <c r="AH341" s="244" t="str">
        <f>IF(AH$3="","",IF(COUNTIFS(BD!$A$3:$A$5001,AH$3,BD!$B$3:$B$5001,$A$323,BD!$T$3:$T$5001,"&lt;&gt;")=0,"",SUMIFS(BD!$T$3:$T$5001,BD!$A$3:$A$5001,AH$3,BD!$B$3:$B$5001,$A$323)))</f>
        <v/>
      </c>
      <c r="AI341" s="244" t="str">
        <f>IF(AI$3="","",IF(COUNTIFS(BD!$A$3:$A$5001,AI$3,BD!$B$3:$B$5001,$A$323,BD!$T$3:$T$5001,"&lt;&gt;")=0,"",SUMIFS(BD!$T$3:$T$5001,BD!$A$3:$A$5001,AI$3,BD!$B$3:$B$5001,$A$323)))</f>
        <v/>
      </c>
      <c r="AJ341" s="245" t="str">
        <f>IF(AJ$3="","",IF(COUNTIFS(BD!$A$3:$A$5001,AJ$3,BD!$B$3:$B$5001,$A$323,BD!$T$3:$T$5001,"&lt;&gt;")=0,"",SUMIFS(BD!$T$3:$T$5001,BD!$A$3:$A$5001,AJ$3,BD!$B$3:$B$5001,$A$323)))</f>
        <v/>
      </c>
      <c r="AK341" s="246" t="str">
        <f>IFERROR(LOOKUP(9.99E+307,F341:AJ341),"")</f>
        <v/>
      </c>
    </row>
    <row r="342" ht="15.75" customHeight="1" hidden="1">
      <c r="A342" s="277"/>
      <c r="B342" s="274"/>
      <c r="C342" s="247" t="inlineStr">
        <is>
          <t xml:space="preserve">Falta</t>
        </is>
      </c>
      <c r="D342" s="248" t="str">
        <f>IFERROR(1/(1/INDEX(BD!$AF$42:$AZ$42,MATCH($A$323,BD!$AF$22:$AZ$22,0))),"")</f>
        <v/>
      </c>
      <c r="E342" s="249"/>
      <c r="F342" s="250" t="str">
        <f>IF(F$3="","",IF(COUNTIFS(BD!$A$3:$A$5001,F$3,BD!$B$3:$B$5001,$A$323,BD!$U$3:$U$5001,"&lt;&gt;")=0,"",SUMIFS(BD!$U$3:$U$5001,BD!$A$3:$A$5001,F$3,BD!$B$3:$B$5001,$A$323)))</f>
        <v/>
      </c>
      <c r="G342" s="251" t="str">
        <f>IF(G$3="","",IF(COUNTIFS(BD!$A$3:$A$5001,G$3,BD!$B$3:$B$5001,$A$323,BD!$U$3:$U$5001,"&lt;&gt;")=0,"",SUMIFS(BD!$U$3:$U$5001,BD!$A$3:$A$5001,G$3,BD!$B$3:$B$5001,$A$323)))</f>
        <v/>
      </c>
      <c r="H342" s="251" t="str">
        <f>IF(H$3="","",IF(COUNTIFS(BD!$A$3:$A$5001,H$3,BD!$B$3:$B$5001,$A$323,BD!$U$3:$U$5001,"&lt;&gt;")=0,"",SUMIFS(BD!$U$3:$U$5001,BD!$A$3:$A$5001,H$3,BD!$B$3:$B$5001,$A$323)))</f>
        <v/>
      </c>
      <c r="I342" s="251" t="str">
        <f>IF(I$3="","",IF(COUNTIFS(BD!$A$3:$A$5001,I$3,BD!$B$3:$B$5001,$A$323,BD!$U$3:$U$5001,"&lt;&gt;")=0,"",SUMIFS(BD!$U$3:$U$5001,BD!$A$3:$A$5001,I$3,BD!$B$3:$B$5001,$A$323)))</f>
        <v/>
      </c>
      <c r="J342" s="251" t="str">
        <f>IF(J$3="","",IF(COUNTIFS(BD!$A$3:$A$5001,J$3,BD!$B$3:$B$5001,$A$323,BD!$U$3:$U$5001,"&lt;&gt;")=0,"",SUMIFS(BD!$U$3:$U$5001,BD!$A$3:$A$5001,J$3,BD!$B$3:$B$5001,$A$323)))</f>
        <v/>
      </c>
      <c r="K342" s="251" t="str">
        <f>IF(K$3="","",IF(COUNTIFS(BD!$A$3:$A$5001,K$3,BD!$B$3:$B$5001,$A$323,BD!$U$3:$U$5001,"&lt;&gt;")=0,"",SUMIFS(BD!$U$3:$U$5001,BD!$A$3:$A$5001,K$3,BD!$B$3:$B$5001,$A$323)))</f>
        <v/>
      </c>
      <c r="L342" s="251" t="str">
        <f>IF(L$3="","",IF(COUNTIFS(BD!$A$3:$A$5001,L$3,BD!$B$3:$B$5001,$A$323,BD!$U$3:$U$5001,"&lt;&gt;")=0,"",SUMIFS(BD!$U$3:$U$5001,BD!$A$3:$A$5001,L$3,BD!$B$3:$B$5001,$A$323)))</f>
        <v/>
      </c>
      <c r="M342" s="251" t="str">
        <f>IF(M$3="","",IF(COUNTIFS(BD!$A$3:$A$5001,M$3,BD!$B$3:$B$5001,$A$323,BD!$U$3:$U$5001,"&lt;&gt;")=0,"",SUMIFS(BD!$U$3:$U$5001,BD!$A$3:$A$5001,M$3,BD!$B$3:$B$5001,$A$323)))</f>
        <v/>
      </c>
      <c r="N342" s="251" t="str">
        <f>IF(N$3="","",IF(COUNTIFS(BD!$A$3:$A$5001,N$3,BD!$B$3:$B$5001,$A$323,BD!$U$3:$U$5001,"&lt;&gt;")=0,"",SUMIFS(BD!$U$3:$U$5001,BD!$A$3:$A$5001,N$3,BD!$B$3:$B$5001,$A$323)))</f>
        <v/>
      </c>
      <c r="O342" s="251" t="str">
        <f>IF(O$3="","",IF(COUNTIFS(BD!$A$3:$A$5001,O$3,BD!$B$3:$B$5001,$A$323,BD!$U$3:$U$5001,"&lt;&gt;")=0,"",SUMIFS(BD!$U$3:$U$5001,BD!$A$3:$A$5001,O$3,BD!$B$3:$B$5001,$A$323)))</f>
        <v/>
      </c>
      <c r="P342" s="251" t="str">
        <f>IF(P$3="","",IF(COUNTIFS(BD!$A$3:$A$5001,P$3,BD!$B$3:$B$5001,$A$323,BD!$U$3:$U$5001,"&lt;&gt;")=0,"",SUMIFS(BD!$U$3:$U$5001,BD!$A$3:$A$5001,P$3,BD!$B$3:$B$5001,$A$323)))</f>
        <v/>
      </c>
      <c r="Q342" s="251" t="str">
        <f>IF(Q$3="","",IF(COUNTIFS(BD!$A$3:$A$5001,Q$3,BD!$B$3:$B$5001,$A$323,BD!$U$3:$U$5001,"&lt;&gt;")=0,"",SUMIFS(BD!$U$3:$U$5001,BD!$A$3:$A$5001,Q$3,BD!$B$3:$B$5001,$A$323)))</f>
        <v/>
      </c>
      <c r="R342" s="251" t="str">
        <f>IF(R$3="","",IF(COUNTIFS(BD!$A$3:$A$5001,R$3,BD!$B$3:$B$5001,$A$323,BD!$U$3:$U$5001,"&lt;&gt;")=0,"",SUMIFS(BD!$U$3:$U$5001,BD!$A$3:$A$5001,R$3,BD!$B$3:$B$5001,$A$323)))</f>
        <v/>
      </c>
      <c r="S342" s="251" t="str">
        <f>IF(S$3="","",IF(COUNTIFS(BD!$A$3:$A$5001,S$3,BD!$B$3:$B$5001,$A$323,BD!$U$3:$U$5001,"&lt;&gt;")=0,"",SUMIFS(BD!$U$3:$U$5001,BD!$A$3:$A$5001,S$3,BD!$B$3:$B$5001,$A$323)))</f>
        <v/>
      </c>
      <c r="T342" s="251" t="str">
        <f>IF(T$3="","",IF(COUNTIFS(BD!$A$3:$A$5001,T$3,BD!$B$3:$B$5001,$A$323,BD!$U$3:$U$5001,"&lt;&gt;")=0,"",SUMIFS(BD!$U$3:$U$5001,BD!$A$3:$A$5001,T$3,BD!$B$3:$B$5001,$A$323)))</f>
        <v/>
      </c>
      <c r="U342" s="251" t="str">
        <f>IF(U$3="","",IF(COUNTIFS(BD!$A$3:$A$5001,U$3,BD!$B$3:$B$5001,$A$323,BD!$U$3:$U$5001,"&lt;&gt;")=0,"",SUMIFS(BD!$U$3:$U$5001,BD!$A$3:$A$5001,U$3,BD!$B$3:$B$5001,$A$323)))</f>
        <v/>
      </c>
      <c r="V342" s="251" t="str">
        <f>IF(V$3="","",IF(COUNTIFS(BD!$A$3:$A$5001,V$3,BD!$B$3:$B$5001,$A$323,BD!$U$3:$U$5001,"&lt;&gt;")=0,"",SUMIFS(BD!$U$3:$U$5001,BD!$A$3:$A$5001,V$3,BD!$B$3:$B$5001,$A$323)))</f>
        <v/>
      </c>
      <c r="W342" s="251" t="str">
        <f>IF(W$3="","",IF(COUNTIFS(BD!$A$3:$A$5001,W$3,BD!$B$3:$B$5001,$A$323,BD!$U$3:$U$5001,"&lt;&gt;")=0,"",SUMIFS(BD!$U$3:$U$5001,BD!$A$3:$A$5001,W$3,BD!$B$3:$B$5001,$A$323)))</f>
        <v/>
      </c>
      <c r="X342" s="251" t="str">
        <f>IF(X$3="","",IF(COUNTIFS(BD!$A$3:$A$5001,X$3,BD!$B$3:$B$5001,$A$323,BD!$U$3:$U$5001,"&lt;&gt;")=0,"",SUMIFS(BD!$U$3:$U$5001,BD!$A$3:$A$5001,X$3,BD!$B$3:$B$5001,$A$323)))</f>
        <v/>
      </c>
      <c r="Y342" s="251" t="str">
        <f>IF(Y$3="","",IF(COUNTIFS(BD!$A$3:$A$5001,Y$3,BD!$B$3:$B$5001,$A$323,BD!$U$3:$U$5001,"&lt;&gt;")=0,"",SUMIFS(BD!$U$3:$U$5001,BD!$A$3:$A$5001,Y$3,BD!$B$3:$B$5001,$A$323)))</f>
        <v/>
      </c>
      <c r="Z342" s="251" t="str">
        <f>IF(Z$3="","",IF(COUNTIFS(BD!$A$3:$A$5001,Z$3,BD!$B$3:$B$5001,$A$323,BD!$U$3:$U$5001,"&lt;&gt;")=0,"",SUMIFS(BD!$U$3:$U$5001,BD!$A$3:$A$5001,Z$3,BD!$B$3:$B$5001,$A$323)))</f>
        <v/>
      </c>
      <c r="AA342" s="251" t="str">
        <f>IF(AA$3="","",IF(COUNTIFS(BD!$A$3:$A$5001,AA$3,BD!$B$3:$B$5001,$A$323,BD!$U$3:$U$5001,"&lt;&gt;")=0,"",SUMIFS(BD!$U$3:$U$5001,BD!$A$3:$A$5001,AA$3,BD!$B$3:$B$5001,$A$323)))</f>
        <v/>
      </c>
      <c r="AB342" s="251" t="str">
        <f>IF(AB$3="","",IF(COUNTIFS(BD!$A$3:$A$5001,AB$3,BD!$B$3:$B$5001,$A$323,BD!$U$3:$U$5001,"&lt;&gt;")=0,"",SUMIFS(BD!$U$3:$U$5001,BD!$A$3:$A$5001,AB$3,BD!$B$3:$B$5001,$A$323)))</f>
        <v/>
      </c>
      <c r="AC342" s="251" t="str">
        <f>IF(AC$3="","",IF(COUNTIFS(BD!$A$3:$A$5001,AC$3,BD!$B$3:$B$5001,$A$323,BD!$U$3:$U$5001,"&lt;&gt;")=0,"",SUMIFS(BD!$U$3:$U$5001,BD!$A$3:$A$5001,AC$3,BD!$B$3:$B$5001,$A$323)))</f>
        <v/>
      </c>
      <c r="AD342" s="251" t="str">
        <f>IF(AD$3="","",IF(COUNTIFS(BD!$A$3:$A$5001,AD$3,BD!$B$3:$B$5001,$A$323,BD!$U$3:$U$5001,"&lt;&gt;")=0,"",SUMIFS(BD!$U$3:$U$5001,BD!$A$3:$A$5001,AD$3,BD!$B$3:$B$5001,$A$323)))</f>
        <v/>
      </c>
      <c r="AE342" s="251" t="str">
        <f>IF(AE$3="","",IF(COUNTIFS(BD!$A$3:$A$5001,AE$3,BD!$B$3:$B$5001,$A$323,BD!$U$3:$U$5001,"&lt;&gt;")=0,"",SUMIFS(BD!$U$3:$U$5001,BD!$A$3:$A$5001,AE$3,BD!$B$3:$B$5001,$A$323)))</f>
        <v/>
      </c>
      <c r="AF342" s="251" t="str">
        <f>IF(AF$3="","",IF(COUNTIFS(BD!$A$3:$A$5001,AF$3,BD!$B$3:$B$5001,$A$323,BD!$U$3:$U$5001,"&lt;&gt;")=0,"",SUMIFS(BD!$U$3:$U$5001,BD!$A$3:$A$5001,AF$3,BD!$B$3:$B$5001,$A$323)))</f>
        <v/>
      </c>
      <c r="AG342" s="251" t="str">
        <f>IF(AG$3="","",IF(COUNTIFS(BD!$A$3:$A$5001,AG$3,BD!$B$3:$B$5001,$A$323,BD!$U$3:$U$5001,"&lt;&gt;")=0,"",SUMIFS(BD!$U$3:$U$5001,BD!$A$3:$A$5001,AG$3,BD!$B$3:$B$5001,$A$323)))</f>
        <v/>
      </c>
      <c r="AH342" s="251" t="str">
        <f>IF(AH$3="","",IF(COUNTIFS(BD!$A$3:$A$5001,AH$3,BD!$B$3:$B$5001,$A$323,BD!$U$3:$U$5001,"&lt;&gt;")=0,"",SUMIFS(BD!$U$3:$U$5001,BD!$A$3:$A$5001,AH$3,BD!$B$3:$B$5001,$A$323)))</f>
        <v/>
      </c>
      <c r="AI342" s="251" t="str">
        <f>IF(AI$3="","",IF(COUNTIFS(BD!$A$3:$A$5001,AI$3,BD!$B$3:$B$5001,$A$323,BD!$U$3:$U$5001,"&lt;&gt;")=0,"",SUMIFS(BD!$U$3:$U$5001,BD!$A$3:$A$5001,AI$3,BD!$B$3:$B$5001,$A$323)))</f>
        <v/>
      </c>
      <c r="AJ342" s="252" t="str">
        <f>IF(AJ$3="","",IF(COUNTIFS(BD!$A$3:$A$5001,AJ$3,BD!$B$3:$B$5001,$A$323,BD!$U$3:$U$5001,"&lt;&gt;")=0,"",SUMIFS(BD!$U$3:$U$5001,BD!$A$3:$A$5001,AJ$3,BD!$B$3:$B$5001,$A$323)))</f>
        <v/>
      </c>
      <c r="AK342" s="253" t="str">
        <f>IF(COUNT(F342:AJ342)=0,"",SUM(F342:AJ342))</f>
        <v/>
      </c>
    </row>
    <row r="343" ht="15.75" customHeight="1" hidden="1">
      <c r="A343" s="277"/>
      <c r="B343" s="274"/>
      <c r="C343" s="247" t="inlineStr">
        <is>
          <t xml:space="preserve">Absenteísmo (H/H)</t>
        </is>
      </c>
      <c r="D343" s="248" t="str">
        <f>IFERROR(1/(1/INDEX(BD!$AF$43:$AZ$43,MATCH($A$323,BD!$AF$22:$AZ$22,0))),"")</f>
        <v/>
      </c>
      <c r="E343" s="249"/>
      <c r="F343" s="254" t="str">
        <f>IF(F$3="","",IF(COUNTIFS(BD!$A$3:$A$5001,F$3,BD!$B$3:$B$5001,$A$323,BD!$V$3:$V$5001,"&lt;&gt;")=0,"",SUMIFS(BD!$V$3:$V$5001,BD!$A$3:$A$5001,F$3,BD!$B$3:$B$5001,$A$323)))</f>
        <v/>
      </c>
      <c r="G343" s="255" t="str">
        <f>IF(G$3="","",IF(COUNTIFS(BD!$A$3:$A$5001,G$3,BD!$B$3:$B$5001,$A$323,BD!$V$3:$V$5001,"&lt;&gt;")=0,"",SUMIFS(BD!$V$3:$V$5001,BD!$A$3:$A$5001,G$3,BD!$B$3:$B$5001,$A$323)))</f>
        <v/>
      </c>
      <c r="H343" s="255" t="str">
        <f>IF(H$3="","",IF(COUNTIFS(BD!$A$3:$A$5001,H$3,BD!$B$3:$B$5001,$A$323,BD!$V$3:$V$5001,"&lt;&gt;")=0,"",SUMIFS(BD!$V$3:$V$5001,BD!$A$3:$A$5001,H$3,BD!$B$3:$B$5001,$A$323)))</f>
        <v/>
      </c>
      <c r="I343" s="255" t="str">
        <f>IF(I$3="","",IF(COUNTIFS(BD!$A$3:$A$5001,I$3,BD!$B$3:$B$5001,$A$323,BD!$V$3:$V$5001,"&lt;&gt;")=0,"",SUMIFS(BD!$V$3:$V$5001,BD!$A$3:$A$5001,I$3,BD!$B$3:$B$5001,$A$323)))</f>
        <v/>
      </c>
      <c r="J343" s="255" t="str">
        <f>IF(J$3="","",IF(COUNTIFS(BD!$A$3:$A$5001,J$3,BD!$B$3:$B$5001,$A$323,BD!$V$3:$V$5001,"&lt;&gt;")=0,"",SUMIFS(BD!$V$3:$V$5001,BD!$A$3:$A$5001,J$3,BD!$B$3:$B$5001,$A$323)))</f>
        <v/>
      </c>
      <c r="K343" s="255" t="str">
        <f>IF(K$3="","",IF(COUNTIFS(BD!$A$3:$A$5001,K$3,BD!$B$3:$B$5001,$A$323,BD!$V$3:$V$5001,"&lt;&gt;")=0,"",SUMIFS(BD!$V$3:$V$5001,BD!$A$3:$A$5001,K$3,BD!$B$3:$B$5001,$A$323)))</f>
        <v/>
      </c>
      <c r="L343" s="255" t="str">
        <f>IF(L$3="","",IF(COUNTIFS(BD!$A$3:$A$5001,L$3,BD!$B$3:$B$5001,$A$323,BD!$V$3:$V$5001,"&lt;&gt;")=0,"",SUMIFS(BD!$V$3:$V$5001,BD!$A$3:$A$5001,L$3,BD!$B$3:$B$5001,$A$323)))</f>
        <v/>
      </c>
      <c r="M343" s="255" t="str">
        <f>IF(M$3="","",IF(COUNTIFS(BD!$A$3:$A$5001,M$3,BD!$B$3:$B$5001,$A$323,BD!$V$3:$V$5001,"&lt;&gt;")=0,"",SUMIFS(BD!$V$3:$V$5001,BD!$A$3:$A$5001,M$3,BD!$B$3:$B$5001,$A$323)))</f>
        <v/>
      </c>
      <c r="N343" s="255" t="str">
        <f>IF(N$3="","",IF(COUNTIFS(BD!$A$3:$A$5001,N$3,BD!$B$3:$B$5001,$A$323,BD!$V$3:$V$5001,"&lt;&gt;")=0,"",SUMIFS(BD!$V$3:$V$5001,BD!$A$3:$A$5001,N$3,BD!$B$3:$B$5001,$A$323)))</f>
        <v/>
      </c>
      <c r="O343" s="255" t="str">
        <f>IF(O$3="","",IF(COUNTIFS(BD!$A$3:$A$5001,O$3,BD!$B$3:$B$5001,$A$323,BD!$V$3:$V$5001,"&lt;&gt;")=0,"",SUMIFS(BD!$V$3:$V$5001,BD!$A$3:$A$5001,O$3,BD!$B$3:$B$5001,$A$323)))</f>
        <v/>
      </c>
      <c r="P343" s="255" t="str">
        <f>IF(P$3="","",IF(COUNTIFS(BD!$A$3:$A$5001,P$3,BD!$B$3:$B$5001,$A$323,BD!$V$3:$V$5001,"&lt;&gt;")=0,"",SUMIFS(BD!$V$3:$V$5001,BD!$A$3:$A$5001,P$3,BD!$B$3:$B$5001,$A$323)))</f>
        <v/>
      </c>
      <c r="Q343" s="255" t="str">
        <f>IF(Q$3="","",IF(COUNTIFS(BD!$A$3:$A$5001,Q$3,BD!$B$3:$B$5001,$A$323,BD!$V$3:$V$5001,"&lt;&gt;")=0,"",SUMIFS(BD!$V$3:$V$5001,BD!$A$3:$A$5001,Q$3,BD!$B$3:$B$5001,$A$323)))</f>
        <v/>
      </c>
      <c r="R343" s="255" t="str">
        <f>IF(R$3="","",IF(COUNTIFS(BD!$A$3:$A$5001,R$3,BD!$B$3:$B$5001,$A$323,BD!$V$3:$V$5001,"&lt;&gt;")=0,"",SUMIFS(BD!$V$3:$V$5001,BD!$A$3:$A$5001,R$3,BD!$B$3:$B$5001,$A$323)))</f>
        <v/>
      </c>
      <c r="S343" s="255" t="str">
        <f>IF(S$3="","",IF(COUNTIFS(BD!$A$3:$A$5001,S$3,BD!$B$3:$B$5001,$A$323,BD!$V$3:$V$5001,"&lt;&gt;")=0,"",SUMIFS(BD!$V$3:$V$5001,BD!$A$3:$A$5001,S$3,BD!$B$3:$B$5001,$A$323)))</f>
        <v/>
      </c>
      <c r="T343" s="255" t="str">
        <f>IF(T$3="","",IF(COUNTIFS(BD!$A$3:$A$5001,T$3,BD!$B$3:$B$5001,$A$323,BD!$V$3:$V$5001,"&lt;&gt;")=0,"",SUMIFS(BD!$V$3:$V$5001,BD!$A$3:$A$5001,T$3,BD!$B$3:$B$5001,$A$323)))</f>
        <v/>
      </c>
      <c r="U343" s="255" t="str">
        <f>IF(U$3="","",IF(COUNTIFS(BD!$A$3:$A$5001,U$3,BD!$B$3:$B$5001,$A$323,BD!$V$3:$V$5001,"&lt;&gt;")=0,"",SUMIFS(BD!$V$3:$V$5001,BD!$A$3:$A$5001,U$3,BD!$B$3:$B$5001,$A$323)))</f>
        <v/>
      </c>
      <c r="V343" s="255" t="str">
        <f>IF(V$3="","",IF(COUNTIFS(BD!$A$3:$A$5001,V$3,BD!$B$3:$B$5001,$A$323,BD!$V$3:$V$5001,"&lt;&gt;")=0,"",SUMIFS(BD!$V$3:$V$5001,BD!$A$3:$A$5001,V$3,BD!$B$3:$B$5001,$A$323)))</f>
        <v/>
      </c>
      <c r="W343" s="255" t="str">
        <f>IF(W$3="","",IF(COUNTIFS(BD!$A$3:$A$5001,W$3,BD!$B$3:$B$5001,$A$323,BD!$V$3:$V$5001,"&lt;&gt;")=0,"",SUMIFS(BD!$V$3:$V$5001,BD!$A$3:$A$5001,W$3,BD!$B$3:$B$5001,$A$323)))</f>
        <v/>
      </c>
      <c r="X343" s="255" t="str">
        <f>IF(X$3="","",IF(COUNTIFS(BD!$A$3:$A$5001,X$3,BD!$B$3:$B$5001,$A$323,BD!$V$3:$V$5001,"&lt;&gt;")=0,"",SUMIFS(BD!$V$3:$V$5001,BD!$A$3:$A$5001,X$3,BD!$B$3:$B$5001,$A$323)))</f>
        <v/>
      </c>
      <c r="Y343" s="255" t="str">
        <f>IF(Y$3="","",IF(COUNTIFS(BD!$A$3:$A$5001,Y$3,BD!$B$3:$B$5001,$A$323,BD!$V$3:$V$5001,"&lt;&gt;")=0,"",SUMIFS(BD!$V$3:$V$5001,BD!$A$3:$A$5001,Y$3,BD!$B$3:$B$5001,$A$323)))</f>
        <v/>
      </c>
      <c r="Z343" s="255" t="str">
        <f>IF(Z$3="","",IF(COUNTIFS(BD!$A$3:$A$5001,Z$3,BD!$B$3:$B$5001,$A$323,BD!$V$3:$V$5001,"&lt;&gt;")=0,"",SUMIFS(BD!$V$3:$V$5001,BD!$A$3:$A$5001,Z$3,BD!$B$3:$B$5001,$A$323)))</f>
        <v/>
      </c>
      <c r="AA343" s="255" t="str">
        <f>IF(AA$3="","",IF(COUNTIFS(BD!$A$3:$A$5001,AA$3,BD!$B$3:$B$5001,$A$323,BD!$V$3:$V$5001,"&lt;&gt;")=0,"",SUMIFS(BD!$V$3:$V$5001,BD!$A$3:$A$5001,AA$3,BD!$B$3:$B$5001,$A$323)))</f>
        <v/>
      </c>
      <c r="AB343" s="255" t="str">
        <f>IF(AB$3="","",IF(COUNTIFS(BD!$A$3:$A$5001,AB$3,BD!$B$3:$B$5001,$A$323,BD!$V$3:$V$5001,"&lt;&gt;")=0,"",SUMIFS(BD!$V$3:$V$5001,BD!$A$3:$A$5001,AB$3,BD!$B$3:$B$5001,$A$323)))</f>
        <v/>
      </c>
      <c r="AC343" s="255" t="str">
        <f>IF(AC$3="","",IF(COUNTIFS(BD!$A$3:$A$5001,AC$3,BD!$B$3:$B$5001,$A$323,BD!$V$3:$V$5001,"&lt;&gt;")=0,"",SUMIFS(BD!$V$3:$V$5001,BD!$A$3:$A$5001,AC$3,BD!$B$3:$B$5001,$A$323)))</f>
        <v/>
      </c>
      <c r="AD343" s="255" t="str">
        <f>IF(AD$3="","",IF(COUNTIFS(BD!$A$3:$A$5001,AD$3,BD!$B$3:$B$5001,$A$323,BD!$V$3:$V$5001,"&lt;&gt;")=0,"",SUMIFS(BD!$V$3:$V$5001,BD!$A$3:$A$5001,AD$3,BD!$B$3:$B$5001,$A$323)))</f>
        <v/>
      </c>
      <c r="AE343" s="255" t="str">
        <f>IF(AE$3="","",IF(COUNTIFS(BD!$A$3:$A$5001,AE$3,BD!$B$3:$B$5001,$A$323,BD!$V$3:$V$5001,"&lt;&gt;")=0,"",SUMIFS(BD!$V$3:$V$5001,BD!$A$3:$A$5001,AE$3,BD!$B$3:$B$5001,$A$323)))</f>
        <v/>
      </c>
      <c r="AF343" s="255" t="str">
        <f>IF(AF$3="","",IF(COUNTIFS(BD!$A$3:$A$5001,AF$3,BD!$B$3:$B$5001,$A$323,BD!$V$3:$V$5001,"&lt;&gt;")=0,"",SUMIFS(BD!$V$3:$V$5001,BD!$A$3:$A$5001,AF$3,BD!$B$3:$B$5001,$A$323)))</f>
        <v/>
      </c>
      <c r="AG343" s="255" t="str">
        <f>IF(AG$3="","",IF(COUNTIFS(BD!$A$3:$A$5001,AG$3,BD!$B$3:$B$5001,$A$323,BD!$V$3:$V$5001,"&lt;&gt;")=0,"",SUMIFS(BD!$V$3:$V$5001,BD!$A$3:$A$5001,AG$3,BD!$B$3:$B$5001,$A$323)))</f>
        <v/>
      </c>
      <c r="AH343" s="255" t="str">
        <f>IF(AH$3="","",IF(COUNTIFS(BD!$A$3:$A$5001,AH$3,BD!$B$3:$B$5001,$A$323,BD!$V$3:$V$5001,"&lt;&gt;")=0,"",SUMIFS(BD!$V$3:$V$5001,BD!$A$3:$A$5001,AH$3,BD!$B$3:$B$5001,$A$323)))</f>
        <v/>
      </c>
      <c r="AI343" s="255" t="str">
        <f>IF(AI$3="","",IF(COUNTIFS(BD!$A$3:$A$5001,AI$3,BD!$B$3:$B$5001,$A$323,BD!$V$3:$V$5001,"&lt;&gt;")=0,"",SUMIFS(BD!$V$3:$V$5001,BD!$A$3:$A$5001,AI$3,BD!$B$3:$B$5001,$A$323)))</f>
        <v/>
      </c>
      <c r="AJ343" s="256" t="str">
        <f>IF(AJ$3="","",IF(COUNTIFS(BD!$A$3:$A$5001,AJ$3,BD!$B$3:$B$5001,$A$323,BD!$V$3:$V$5001,"&lt;&gt;")=0,"",SUMIFS(BD!$V$3:$V$5001,BD!$A$3:$A$5001,AJ$3,BD!$B$3:$B$5001,$A$323)))</f>
        <v/>
      </c>
      <c r="AK343" s="257" t="str">
        <f>IF(COUNT(F343:AJ343)=0,"",SUM(F343:AJ343))</f>
        <v/>
      </c>
    </row>
    <row r="344" ht="15.75" customHeight="1" hidden="1">
      <c r="A344" s="277"/>
      <c r="B344" s="274"/>
      <c r="C344" s="247" t="inlineStr">
        <is>
          <t xml:space="preserve">Folga</t>
        </is>
      </c>
      <c r="D344" s="248" t="str">
        <f>IFERROR(1/(1/INDEX(BD!$AF$44:$AZ$44,MATCH($A$323,BD!$AF$22:$AZ$22,0))),"")</f>
        <v/>
      </c>
      <c r="E344" s="249"/>
      <c r="F344" s="250" t="str">
        <f>IF(F$3="","",IF(COUNTIFS(BD!$A$3:$A$5001,F$3,BD!$B$3:$B$5001,$A$323,BD!$W$3:$W$5001,"&lt;&gt;")=0,"",SUMIFS(BD!$W$3:$W$5001,BD!$A$3:$A$5001,F$3,BD!$B$3:$B$5001,$A$323)))</f>
        <v/>
      </c>
      <c r="G344" s="251" t="str">
        <f>IF(G$3="","",IF(COUNTIFS(BD!$A$3:$A$5001,G$3,BD!$B$3:$B$5001,$A$323,BD!$W$3:$W$5001,"&lt;&gt;")=0,"",SUMIFS(BD!$W$3:$W$5001,BD!$A$3:$A$5001,G$3,BD!$B$3:$B$5001,$A$323)))</f>
        <v/>
      </c>
      <c r="H344" s="251" t="str">
        <f>IF(H$3="","",IF(COUNTIFS(BD!$A$3:$A$5001,H$3,BD!$B$3:$B$5001,$A$323,BD!$W$3:$W$5001,"&lt;&gt;")=0,"",SUMIFS(BD!$W$3:$W$5001,BD!$A$3:$A$5001,H$3,BD!$B$3:$B$5001,$A$323)))</f>
        <v/>
      </c>
      <c r="I344" s="251" t="str">
        <f>IF(I$3="","",IF(COUNTIFS(BD!$A$3:$A$5001,I$3,BD!$B$3:$B$5001,$A$323,BD!$W$3:$W$5001,"&lt;&gt;")=0,"",SUMIFS(BD!$W$3:$W$5001,BD!$A$3:$A$5001,I$3,BD!$B$3:$B$5001,$A$323)))</f>
        <v/>
      </c>
      <c r="J344" s="251" t="str">
        <f>IF(J$3="","",IF(COUNTIFS(BD!$A$3:$A$5001,J$3,BD!$B$3:$B$5001,$A$323,BD!$W$3:$W$5001,"&lt;&gt;")=0,"",SUMIFS(BD!$W$3:$W$5001,BD!$A$3:$A$5001,J$3,BD!$B$3:$B$5001,$A$323)))</f>
        <v/>
      </c>
      <c r="K344" s="251" t="str">
        <f>IF(K$3="","",IF(COUNTIFS(BD!$A$3:$A$5001,K$3,BD!$B$3:$B$5001,$A$323,BD!$W$3:$W$5001,"&lt;&gt;")=0,"",SUMIFS(BD!$W$3:$W$5001,BD!$A$3:$A$5001,K$3,BD!$B$3:$B$5001,$A$323)))</f>
        <v/>
      </c>
      <c r="L344" s="251" t="str">
        <f>IF(L$3="","",IF(COUNTIFS(BD!$A$3:$A$5001,L$3,BD!$B$3:$B$5001,$A$323,BD!$W$3:$W$5001,"&lt;&gt;")=0,"",SUMIFS(BD!$W$3:$W$5001,BD!$A$3:$A$5001,L$3,BD!$B$3:$B$5001,$A$323)))</f>
        <v/>
      </c>
      <c r="M344" s="251" t="str">
        <f>IF(M$3="","",IF(COUNTIFS(BD!$A$3:$A$5001,M$3,BD!$B$3:$B$5001,$A$323,BD!$W$3:$W$5001,"&lt;&gt;")=0,"",SUMIFS(BD!$W$3:$W$5001,BD!$A$3:$A$5001,M$3,BD!$B$3:$B$5001,$A$323)))</f>
        <v/>
      </c>
      <c r="N344" s="251" t="str">
        <f>IF(N$3="","",IF(COUNTIFS(BD!$A$3:$A$5001,N$3,BD!$B$3:$B$5001,$A$323,BD!$W$3:$W$5001,"&lt;&gt;")=0,"",SUMIFS(BD!$W$3:$W$5001,BD!$A$3:$A$5001,N$3,BD!$B$3:$B$5001,$A$323)))</f>
        <v/>
      </c>
      <c r="O344" s="251" t="str">
        <f>IF(O$3="","",IF(COUNTIFS(BD!$A$3:$A$5001,O$3,BD!$B$3:$B$5001,$A$323,BD!$W$3:$W$5001,"&lt;&gt;")=0,"",SUMIFS(BD!$W$3:$W$5001,BD!$A$3:$A$5001,O$3,BD!$B$3:$B$5001,$A$323)))</f>
        <v/>
      </c>
      <c r="P344" s="251" t="str">
        <f>IF(P$3="","",IF(COUNTIFS(BD!$A$3:$A$5001,P$3,BD!$B$3:$B$5001,$A$323,BD!$W$3:$W$5001,"&lt;&gt;")=0,"",SUMIFS(BD!$W$3:$W$5001,BD!$A$3:$A$5001,P$3,BD!$B$3:$B$5001,$A$323)))</f>
        <v/>
      </c>
      <c r="Q344" s="251" t="str">
        <f>IF(Q$3="","",IF(COUNTIFS(BD!$A$3:$A$5001,Q$3,BD!$B$3:$B$5001,$A$323,BD!$W$3:$W$5001,"&lt;&gt;")=0,"",SUMIFS(BD!$W$3:$W$5001,BD!$A$3:$A$5001,Q$3,BD!$B$3:$B$5001,$A$323)))</f>
        <v/>
      </c>
      <c r="R344" s="251" t="str">
        <f>IF(R$3="","",IF(COUNTIFS(BD!$A$3:$A$5001,R$3,BD!$B$3:$B$5001,$A$323,BD!$W$3:$W$5001,"&lt;&gt;")=0,"",SUMIFS(BD!$W$3:$W$5001,BD!$A$3:$A$5001,R$3,BD!$B$3:$B$5001,$A$323)))</f>
        <v/>
      </c>
      <c r="S344" s="251" t="str">
        <f>IF(S$3="","",IF(COUNTIFS(BD!$A$3:$A$5001,S$3,BD!$B$3:$B$5001,$A$323,BD!$W$3:$W$5001,"&lt;&gt;")=0,"",SUMIFS(BD!$W$3:$W$5001,BD!$A$3:$A$5001,S$3,BD!$B$3:$B$5001,$A$323)))</f>
        <v/>
      </c>
      <c r="T344" s="251" t="str">
        <f>IF(T$3="","",IF(COUNTIFS(BD!$A$3:$A$5001,T$3,BD!$B$3:$B$5001,$A$323,BD!$W$3:$W$5001,"&lt;&gt;")=0,"",SUMIFS(BD!$W$3:$W$5001,BD!$A$3:$A$5001,T$3,BD!$B$3:$B$5001,$A$323)))</f>
        <v/>
      </c>
      <c r="U344" s="251" t="str">
        <f>IF(U$3="","",IF(COUNTIFS(BD!$A$3:$A$5001,U$3,BD!$B$3:$B$5001,$A$323,BD!$W$3:$W$5001,"&lt;&gt;")=0,"",SUMIFS(BD!$W$3:$W$5001,BD!$A$3:$A$5001,U$3,BD!$B$3:$B$5001,$A$323)))</f>
        <v/>
      </c>
      <c r="V344" s="251" t="str">
        <f>IF(V$3="","",IF(COUNTIFS(BD!$A$3:$A$5001,V$3,BD!$B$3:$B$5001,$A$323,BD!$W$3:$W$5001,"&lt;&gt;")=0,"",SUMIFS(BD!$W$3:$W$5001,BD!$A$3:$A$5001,V$3,BD!$B$3:$B$5001,$A$323)))</f>
        <v/>
      </c>
      <c r="W344" s="251" t="str">
        <f>IF(W$3="","",IF(COUNTIFS(BD!$A$3:$A$5001,W$3,BD!$B$3:$B$5001,$A$323,BD!$W$3:$W$5001,"&lt;&gt;")=0,"",SUMIFS(BD!$W$3:$W$5001,BD!$A$3:$A$5001,W$3,BD!$B$3:$B$5001,$A$323)))</f>
        <v/>
      </c>
      <c r="X344" s="251" t="str">
        <f>IF(X$3="","",IF(COUNTIFS(BD!$A$3:$A$5001,X$3,BD!$B$3:$B$5001,$A$323,BD!$W$3:$W$5001,"&lt;&gt;")=0,"",SUMIFS(BD!$W$3:$W$5001,BD!$A$3:$A$5001,X$3,BD!$B$3:$B$5001,$A$323)))</f>
        <v/>
      </c>
      <c r="Y344" s="251" t="str">
        <f>IF(Y$3="","",IF(COUNTIFS(BD!$A$3:$A$5001,Y$3,BD!$B$3:$B$5001,$A$323,BD!$W$3:$W$5001,"&lt;&gt;")=0,"",SUMIFS(BD!$W$3:$W$5001,BD!$A$3:$A$5001,Y$3,BD!$B$3:$B$5001,$A$323)))</f>
        <v/>
      </c>
      <c r="Z344" s="251" t="str">
        <f>IF(Z$3="","",IF(COUNTIFS(BD!$A$3:$A$5001,Z$3,BD!$B$3:$B$5001,$A$323,BD!$W$3:$W$5001,"&lt;&gt;")=0,"",SUMIFS(BD!$W$3:$W$5001,BD!$A$3:$A$5001,Z$3,BD!$B$3:$B$5001,$A$323)))</f>
        <v/>
      </c>
      <c r="AA344" s="251" t="str">
        <f>IF(AA$3="","",IF(COUNTIFS(BD!$A$3:$A$5001,AA$3,BD!$B$3:$B$5001,$A$323,BD!$W$3:$W$5001,"&lt;&gt;")=0,"",SUMIFS(BD!$W$3:$W$5001,BD!$A$3:$A$5001,AA$3,BD!$B$3:$B$5001,$A$323)))</f>
        <v/>
      </c>
      <c r="AB344" s="251" t="str">
        <f>IF(AB$3="","",IF(COUNTIFS(BD!$A$3:$A$5001,AB$3,BD!$B$3:$B$5001,$A$323,BD!$W$3:$W$5001,"&lt;&gt;")=0,"",SUMIFS(BD!$W$3:$W$5001,BD!$A$3:$A$5001,AB$3,BD!$B$3:$B$5001,$A$323)))</f>
        <v/>
      </c>
      <c r="AC344" s="251" t="str">
        <f>IF(AC$3="","",IF(COUNTIFS(BD!$A$3:$A$5001,AC$3,BD!$B$3:$B$5001,$A$323,BD!$W$3:$W$5001,"&lt;&gt;")=0,"",SUMIFS(BD!$W$3:$W$5001,BD!$A$3:$A$5001,AC$3,BD!$B$3:$B$5001,$A$323)))</f>
        <v/>
      </c>
      <c r="AD344" s="251" t="str">
        <f>IF(AD$3="","",IF(COUNTIFS(BD!$A$3:$A$5001,AD$3,BD!$B$3:$B$5001,$A$323,BD!$W$3:$W$5001,"&lt;&gt;")=0,"",SUMIFS(BD!$W$3:$W$5001,BD!$A$3:$A$5001,AD$3,BD!$B$3:$B$5001,$A$323)))</f>
        <v/>
      </c>
      <c r="AE344" s="251" t="str">
        <f>IF(AE$3="","",IF(COUNTIFS(BD!$A$3:$A$5001,AE$3,BD!$B$3:$B$5001,$A$323,BD!$W$3:$W$5001,"&lt;&gt;")=0,"",SUMIFS(BD!$W$3:$W$5001,BD!$A$3:$A$5001,AE$3,BD!$B$3:$B$5001,$A$323)))</f>
        <v/>
      </c>
      <c r="AF344" s="251" t="str">
        <f>IF(AF$3="","",IF(COUNTIFS(BD!$A$3:$A$5001,AF$3,BD!$B$3:$B$5001,$A$323,BD!$W$3:$W$5001,"&lt;&gt;")=0,"",SUMIFS(BD!$W$3:$W$5001,BD!$A$3:$A$5001,AF$3,BD!$B$3:$B$5001,$A$323)))</f>
        <v/>
      </c>
      <c r="AG344" s="251" t="str">
        <f>IF(AG$3="","",IF(COUNTIFS(BD!$A$3:$A$5001,AG$3,BD!$B$3:$B$5001,$A$323,BD!$W$3:$W$5001,"&lt;&gt;")=0,"",SUMIFS(BD!$W$3:$W$5001,BD!$A$3:$A$5001,AG$3,BD!$B$3:$B$5001,$A$323)))</f>
        <v/>
      </c>
      <c r="AH344" s="251" t="str">
        <f>IF(AH$3="","",IF(COUNTIFS(BD!$A$3:$A$5001,AH$3,BD!$B$3:$B$5001,$A$323,BD!$W$3:$W$5001,"&lt;&gt;")=0,"",SUMIFS(BD!$W$3:$W$5001,BD!$A$3:$A$5001,AH$3,BD!$B$3:$B$5001,$A$323)))</f>
        <v/>
      </c>
      <c r="AI344" s="251" t="str">
        <f>IF(AI$3="","",IF(COUNTIFS(BD!$A$3:$A$5001,AI$3,BD!$B$3:$B$5001,$A$323,BD!$W$3:$W$5001,"&lt;&gt;")=0,"",SUMIFS(BD!$W$3:$W$5001,BD!$A$3:$A$5001,AI$3,BD!$B$3:$B$5001,$A$323)))</f>
        <v/>
      </c>
      <c r="AJ344" s="252" t="str">
        <f>IF(AJ$3="","",IF(COUNTIFS(BD!$A$3:$A$5001,AJ$3,BD!$B$3:$B$5001,$A$323,BD!$W$3:$W$5001,"&lt;&gt;")=0,"",SUMIFS(BD!$W$3:$W$5001,BD!$A$3:$A$5001,AJ$3,BD!$B$3:$B$5001,$A$323)))</f>
        <v/>
      </c>
      <c r="AK344" s="253" t="str">
        <f>IF(COUNT(F344:AJ344)=0,"",SUM(F344:AJ344))</f>
        <v/>
      </c>
    </row>
    <row r="345" ht="15.75" customHeight="1" hidden="1">
      <c r="A345" s="277"/>
      <c r="B345" s="274"/>
      <c r="C345" s="247" t="inlineStr">
        <is>
          <t xml:space="preserve">Férias</t>
        </is>
      </c>
      <c r="D345" s="248" t="str">
        <f>IFERROR(1/(1/INDEX(BD!$AF$45:$AZ$45,MATCH($A$323,BD!$AF$22:$AZ$22,0))),"")</f>
        <v/>
      </c>
      <c r="E345" s="249"/>
      <c r="F345" s="250" t="str">
        <f>IF(F$3="","",IF(COUNTIFS(BD!$A$3:$A$5001,F$3,BD!$B$3:$B$5001,$A$323,BD!$X$3:$X$5001,"&lt;&gt;")=0,"",SUMIFS(BD!$X$3:$X$5001,BD!$A$3:$A$5001,F$3,BD!$B$3:$B$5001,$A$323)))</f>
        <v/>
      </c>
      <c r="G345" s="251" t="str">
        <f>IF(G$3="","",IF(COUNTIFS(BD!$A$3:$A$5001,G$3,BD!$B$3:$B$5001,$A$323,BD!$X$3:$X$5001,"&lt;&gt;")=0,"",SUMIFS(BD!$X$3:$X$5001,BD!$A$3:$A$5001,G$3,BD!$B$3:$B$5001,$A$323)))</f>
        <v/>
      </c>
      <c r="H345" s="251" t="str">
        <f>IF(H$3="","",IF(COUNTIFS(BD!$A$3:$A$5001,H$3,BD!$B$3:$B$5001,$A$323,BD!$X$3:$X$5001,"&lt;&gt;")=0,"",SUMIFS(BD!$X$3:$X$5001,BD!$A$3:$A$5001,H$3,BD!$B$3:$B$5001,$A$323)))</f>
        <v/>
      </c>
      <c r="I345" s="251" t="str">
        <f>IF(I$3="","",IF(COUNTIFS(BD!$A$3:$A$5001,I$3,BD!$B$3:$B$5001,$A$323,BD!$X$3:$X$5001,"&lt;&gt;")=0,"",SUMIFS(BD!$X$3:$X$5001,BD!$A$3:$A$5001,I$3,BD!$B$3:$B$5001,$A$323)))</f>
        <v/>
      </c>
      <c r="J345" s="251" t="str">
        <f>IF(J$3="","",IF(COUNTIFS(BD!$A$3:$A$5001,J$3,BD!$B$3:$B$5001,$A$323,BD!$X$3:$X$5001,"&lt;&gt;")=0,"",SUMIFS(BD!$X$3:$X$5001,BD!$A$3:$A$5001,J$3,BD!$B$3:$B$5001,$A$323)))</f>
        <v/>
      </c>
      <c r="K345" s="251" t="str">
        <f>IF(K$3="","",IF(COUNTIFS(BD!$A$3:$A$5001,K$3,BD!$B$3:$B$5001,$A$323,BD!$X$3:$X$5001,"&lt;&gt;")=0,"",SUMIFS(BD!$X$3:$X$5001,BD!$A$3:$A$5001,K$3,BD!$B$3:$B$5001,$A$323)))</f>
        <v/>
      </c>
      <c r="L345" s="251" t="str">
        <f>IF(L$3="","",IF(COUNTIFS(BD!$A$3:$A$5001,L$3,BD!$B$3:$B$5001,$A$323,BD!$X$3:$X$5001,"&lt;&gt;")=0,"",SUMIFS(BD!$X$3:$X$5001,BD!$A$3:$A$5001,L$3,BD!$B$3:$B$5001,$A$323)))</f>
        <v/>
      </c>
      <c r="M345" s="251" t="str">
        <f>IF(M$3="","",IF(COUNTIFS(BD!$A$3:$A$5001,M$3,BD!$B$3:$B$5001,$A$323,BD!$X$3:$X$5001,"&lt;&gt;")=0,"",SUMIFS(BD!$X$3:$X$5001,BD!$A$3:$A$5001,M$3,BD!$B$3:$B$5001,$A$323)))</f>
        <v/>
      </c>
      <c r="N345" s="251" t="str">
        <f>IF(N$3="","",IF(COUNTIFS(BD!$A$3:$A$5001,N$3,BD!$B$3:$B$5001,$A$323,BD!$X$3:$X$5001,"&lt;&gt;")=0,"",SUMIFS(BD!$X$3:$X$5001,BD!$A$3:$A$5001,N$3,BD!$B$3:$B$5001,$A$323)))</f>
        <v/>
      </c>
      <c r="O345" s="251" t="str">
        <f>IF(O$3="","",IF(COUNTIFS(BD!$A$3:$A$5001,O$3,BD!$B$3:$B$5001,$A$323,BD!$X$3:$X$5001,"&lt;&gt;")=0,"",SUMIFS(BD!$X$3:$X$5001,BD!$A$3:$A$5001,O$3,BD!$B$3:$B$5001,$A$323)))</f>
        <v/>
      </c>
      <c r="P345" s="251" t="str">
        <f>IF(P$3="","",IF(COUNTIFS(BD!$A$3:$A$5001,P$3,BD!$B$3:$B$5001,$A$323,BD!$X$3:$X$5001,"&lt;&gt;")=0,"",SUMIFS(BD!$X$3:$X$5001,BD!$A$3:$A$5001,P$3,BD!$B$3:$B$5001,$A$323)))</f>
        <v/>
      </c>
      <c r="Q345" s="251" t="str">
        <f>IF(Q$3="","",IF(COUNTIFS(BD!$A$3:$A$5001,Q$3,BD!$B$3:$B$5001,$A$323,BD!$X$3:$X$5001,"&lt;&gt;")=0,"",SUMIFS(BD!$X$3:$X$5001,BD!$A$3:$A$5001,Q$3,BD!$B$3:$B$5001,$A$323)))</f>
        <v/>
      </c>
      <c r="R345" s="251" t="str">
        <f>IF(R$3="","",IF(COUNTIFS(BD!$A$3:$A$5001,R$3,BD!$B$3:$B$5001,$A$323,BD!$X$3:$X$5001,"&lt;&gt;")=0,"",SUMIFS(BD!$X$3:$X$5001,BD!$A$3:$A$5001,R$3,BD!$B$3:$B$5001,$A$323)))</f>
        <v/>
      </c>
      <c r="S345" s="251" t="str">
        <f>IF(S$3="","",IF(COUNTIFS(BD!$A$3:$A$5001,S$3,BD!$B$3:$B$5001,$A$323,BD!$X$3:$X$5001,"&lt;&gt;")=0,"",SUMIFS(BD!$X$3:$X$5001,BD!$A$3:$A$5001,S$3,BD!$B$3:$B$5001,$A$323)))</f>
        <v/>
      </c>
      <c r="T345" s="251" t="str">
        <f>IF(T$3="","",IF(COUNTIFS(BD!$A$3:$A$5001,T$3,BD!$B$3:$B$5001,$A$323,BD!$X$3:$X$5001,"&lt;&gt;")=0,"",SUMIFS(BD!$X$3:$X$5001,BD!$A$3:$A$5001,T$3,BD!$B$3:$B$5001,$A$323)))</f>
        <v/>
      </c>
      <c r="U345" s="251" t="str">
        <f>IF(U$3="","",IF(COUNTIFS(BD!$A$3:$A$5001,U$3,BD!$B$3:$B$5001,$A$323,BD!$X$3:$X$5001,"&lt;&gt;")=0,"",SUMIFS(BD!$X$3:$X$5001,BD!$A$3:$A$5001,U$3,BD!$B$3:$B$5001,$A$323)))</f>
        <v/>
      </c>
      <c r="V345" s="251" t="str">
        <f>IF(V$3="","",IF(COUNTIFS(BD!$A$3:$A$5001,V$3,BD!$B$3:$B$5001,$A$323,BD!$X$3:$X$5001,"&lt;&gt;")=0,"",SUMIFS(BD!$X$3:$X$5001,BD!$A$3:$A$5001,V$3,BD!$B$3:$B$5001,$A$323)))</f>
        <v/>
      </c>
      <c r="W345" s="251" t="str">
        <f>IF(W$3="","",IF(COUNTIFS(BD!$A$3:$A$5001,W$3,BD!$B$3:$B$5001,$A$323,BD!$X$3:$X$5001,"&lt;&gt;")=0,"",SUMIFS(BD!$X$3:$X$5001,BD!$A$3:$A$5001,W$3,BD!$B$3:$B$5001,$A$323)))</f>
        <v/>
      </c>
      <c r="X345" s="251" t="str">
        <f>IF(X$3="","",IF(COUNTIFS(BD!$A$3:$A$5001,X$3,BD!$B$3:$B$5001,$A$323,BD!$X$3:$X$5001,"&lt;&gt;")=0,"",SUMIFS(BD!$X$3:$X$5001,BD!$A$3:$A$5001,X$3,BD!$B$3:$B$5001,$A$323)))</f>
        <v/>
      </c>
      <c r="Y345" s="251" t="str">
        <f>IF(Y$3="","",IF(COUNTIFS(BD!$A$3:$A$5001,Y$3,BD!$B$3:$B$5001,$A$323,BD!$X$3:$X$5001,"&lt;&gt;")=0,"",SUMIFS(BD!$X$3:$X$5001,BD!$A$3:$A$5001,Y$3,BD!$B$3:$B$5001,$A$323)))</f>
        <v/>
      </c>
      <c r="Z345" s="251" t="str">
        <f>IF(Z$3="","",IF(COUNTIFS(BD!$A$3:$A$5001,Z$3,BD!$B$3:$B$5001,$A$323,BD!$X$3:$X$5001,"&lt;&gt;")=0,"",SUMIFS(BD!$X$3:$X$5001,BD!$A$3:$A$5001,Z$3,BD!$B$3:$B$5001,$A$323)))</f>
        <v/>
      </c>
      <c r="AA345" s="251" t="str">
        <f>IF(AA$3="","",IF(COUNTIFS(BD!$A$3:$A$5001,AA$3,BD!$B$3:$B$5001,$A$323,BD!$X$3:$X$5001,"&lt;&gt;")=0,"",SUMIFS(BD!$X$3:$X$5001,BD!$A$3:$A$5001,AA$3,BD!$B$3:$B$5001,$A$323)))</f>
        <v/>
      </c>
      <c r="AB345" s="251" t="str">
        <f>IF(AB$3="","",IF(COUNTIFS(BD!$A$3:$A$5001,AB$3,BD!$B$3:$B$5001,$A$323,BD!$X$3:$X$5001,"&lt;&gt;")=0,"",SUMIFS(BD!$X$3:$X$5001,BD!$A$3:$A$5001,AB$3,BD!$B$3:$B$5001,$A$323)))</f>
        <v/>
      </c>
      <c r="AC345" s="251" t="str">
        <f>IF(AC$3="","",IF(COUNTIFS(BD!$A$3:$A$5001,AC$3,BD!$B$3:$B$5001,$A$323,BD!$X$3:$X$5001,"&lt;&gt;")=0,"",SUMIFS(BD!$X$3:$X$5001,BD!$A$3:$A$5001,AC$3,BD!$B$3:$B$5001,$A$323)))</f>
        <v/>
      </c>
      <c r="AD345" s="251" t="str">
        <f>IF(AD$3="","",IF(COUNTIFS(BD!$A$3:$A$5001,AD$3,BD!$B$3:$B$5001,$A$323,BD!$X$3:$X$5001,"&lt;&gt;")=0,"",SUMIFS(BD!$X$3:$X$5001,BD!$A$3:$A$5001,AD$3,BD!$B$3:$B$5001,$A$323)))</f>
        <v/>
      </c>
      <c r="AE345" s="251" t="str">
        <f>IF(AE$3="","",IF(COUNTIFS(BD!$A$3:$A$5001,AE$3,BD!$B$3:$B$5001,$A$323,BD!$X$3:$X$5001,"&lt;&gt;")=0,"",SUMIFS(BD!$X$3:$X$5001,BD!$A$3:$A$5001,AE$3,BD!$B$3:$B$5001,$A$323)))</f>
        <v/>
      </c>
      <c r="AF345" s="251" t="str">
        <f>IF(AF$3="","",IF(COUNTIFS(BD!$A$3:$A$5001,AF$3,BD!$B$3:$B$5001,$A$323,BD!$X$3:$X$5001,"&lt;&gt;")=0,"",SUMIFS(BD!$X$3:$X$5001,BD!$A$3:$A$5001,AF$3,BD!$B$3:$B$5001,$A$323)))</f>
        <v/>
      </c>
      <c r="AG345" s="251" t="str">
        <f>IF(AG$3="","",IF(COUNTIFS(BD!$A$3:$A$5001,AG$3,BD!$B$3:$B$5001,$A$323,BD!$X$3:$X$5001,"&lt;&gt;")=0,"",SUMIFS(BD!$X$3:$X$5001,BD!$A$3:$A$5001,AG$3,BD!$B$3:$B$5001,$A$323)))</f>
        <v/>
      </c>
      <c r="AH345" s="251" t="str">
        <f>IF(AH$3="","",IF(COUNTIFS(BD!$A$3:$A$5001,AH$3,BD!$B$3:$B$5001,$A$323,BD!$X$3:$X$5001,"&lt;&gt;")=0,"",SUMIFS(BD!$X$3:$X$5001,BD!$A$3:$A$5001,AH$3,BD!$B$3:$B$5001,$A$323)))</f>
        <v/>
      </c>
      <c r="AI345" s="251" t="str">
        <f>IF(AI$3="","",IF(COUNTIFS(BD!$A$3:$A$5001,AI$3,BD!$B$3:$B$5001,$A$323,BD!$X$3:$X$5001,"&lt;&gt;")=0,"",SUMIFS(BD!$X$3:$X$5001,BD!$A$3:$A$5001,AI$3,BD!$B$3:$B$5001,$A$323)))</f>
        <v/>
      </c>
      <c r="AJ345" s="252" t="str">
        <f>IF(AJ$3="","",IF(COUNTIFS(BD!$A$3:$A$5001,AJ$3,BD!$B$3:$B$5001,$A$323,BD!$X$3:$X$5001,"&lt;&gt;")=0,"",SUMIFS(BD!$X$3:$X$5001,BD!$A$3:$A$5001,AJ$3,BD!$B$3:$B$5001,$A$323)))</f>
        <v/>
      </c>
      <c r="AK345" s="253" t="str">
        <f>IF(COUNT(F345:AJ345)=0,"",SUM(F345:AJ345))</f>
        <v/>
      </c>
    </row>
    <row r="346" ht="15.75" customHeight="1" hidden="1">
      <c r="A346" s="277"/>
      <c r="B346" s="274"/>
      <c r="C346" s="247" t="inlineStr">
        <is>
          <t xml:space="preserve">Desligamento</t>
        </is>
      </c>
      <c r="D346" s="248" t="str">
        <f>IFERROR(1/(1/INDEX(BD!$AF$46:$AZ$46,MATCH($A$323,BD!$AF$22:$AZ$22,0))),"")</f>
        <v/>
      </c>
      <c r="E346" s="249"/>
      <c r="F346" s="250" t="str">
        <f>IF(F$3="","",IF(COUNTIFS(BD!$A$3:$A$5001,F$3,BD!$B$3:$B$5001,$A$323,BD!$Y$3:$Y$5001,"&lt;&gt;")=0,"",SUMIFS(BD!$Y$3:$Y$5001,BD!$A$3:$A$5001,F$3,BD!$B$3:$B$5001,$A$323)))</f>
        <v/>
      </c>
      <c r="G346" s="251" t="str">
        <f>IF(G$3="","",IF(COUNTIFS(BD!$A$3:$A$5001,G$3,BD!$B$3:$B$5001,$A$323,BD!$Y$3:$Y$5001,"&lt;&gt;")=0,"",SUMIFS(BD!$Y$3:$Y$5001,BD!$A$3:$A$5001,G$3,BD!$B$3:$B$5001,$A$323)))</f>
        <v/>
      </c>
      <c r="H346" s="251" t="str">
        <f>IF(H$3="","",IF(COUNTIFS(BD!$A$3:$A$5001,H$3,BD!$B$3:$B$5001,$A$323,BD!$Y$3:$Y$5001,"&lt;&gt;")=0,"",SUMIFS(BD!$Y$3:$Y$5001,BD!$A$3:$A$5001,H$3,BD!$B$3:$B$5001,$A$323)))</f>
        <v/>
      </c>
      <c r="I346" s="251" t="str">
        <f>IF(I$3="","",IF(COUNTIFS(BD!$A$3:$A$5001,I$3,BD!$B$3:$B$5001,$A$323,BD!$Y$3:$Y$5001,"&lt;&gt;")=0,"",SUMIFS(BD!$Y$3:$Y$5001,BD!$A$3:$A$5001,I$3,BD!$B$3:$B$5001,$A$323)))</f>
        <v/>
      </c>
      <c r="J346" s="251" t="str">
        <f>IF(J$3="","",IF(COUNTIFS(BD!$A$3:$A$5001,J$3,BD!$B$3:$B$5001,$A$323,BD!$Y$3:$Y$5001,"&lt;&gt;")=0,"",SUMIFS(BD!$Y$3:$Y$5001,BD!$A$3:$A$5001,J$3,BD!$B$3:$B$5001,$A$323)))</f>
        <v/>
      </c>
      <c r="K346" s="251" t="str">
        <f>IF(K$3="","",IF(COUNTIFS(BD!$A$3:$A$5001,K$3,BD!$B$3:$B$5001,$A$323,BD!$Y$3:$Y$5001,"&lt;&gt;")=0,"",SUMIFS(BD!$Y$3:$Y$5001,BD!$A$3:$A$5001,K$3,BD!$B$3:$B$5001,$A$323)))</f>
        <v/>
      </c>
      <c r="L346" s="251" t="str">
        <f>IF(L$3="","",IF(COUNTIFS(BD!$A$3:$A$5001,L$3,BD!$B$3:$B$5001,$A$323,BD!$Y$3:$Y$5001,"&lt;&gt;")=0,"",SUMIFS(BD!$Y$3:$Y$5001,BD!$A$3:$A$5001,L$3,BD!$B$3:$B$5001,$A$323)))</f>
        <v/>
      </c>
      <c r="M346" s="251" t="str">
        <f>IF(M$3="","",IF(COUNTIFS(BD!$A$3:$A$5001,M$3,BD!$B$3:$B$5001,$A$323,BD!$Y$3:$Y$5001,"&lt;&gt;")=0,"",SUMIFS(BD!$Y$3:$Y$5001,BD!$A$3:$A$5001,M$3,BD!$B$3:$B$5001,$A$323)))</f>
        <v/>
      </c>
      <c r="N346" s="251" t="str">
        <f>IF(N$3="","",IF(COUNTIFS(BD!$A$3:$A$5001,N$3,BD!$B$3:$B$5001,$A$323,BD!$Y$3:$Y$5001,"&lt;&gt;")=0,"",SUMIFS(BD!$Y$3:$Y$5001,BD!$A$3:$A$5001,N$3,BD!$B$3:$B$5001,$A$323)))</f>
        <v/>
      </c>
      <c r="O346" s="251" t="str">
        <f>IF(O$3="","",IF(COUNTIFS(BD!$A$3:$A$5001,O$3,BD!$B$3:$B$5001,$A$323,BD!$Y$3:$Y$5001,"&lt;&gt;")=0,"",SUMIFS(BD!$Y$3:$Y$5001,BD!$A$3:$A$5001,O$3,BD!$B$3:$B$5001,$A$323)))</f>
        <v/>
      </c>
      <c r="P346" s="251" t="str">
        <f>IF(P$3="","",IF(COUNTIFS(BD!$A$3:$A$5001,P$3,BD!$B$3:$B$5001,$A$323,BD!$Y$3:$Y$5001,"&lt;&gt;")=0,"",SUMIFS(BD!$Y$3:$Y$5001,BD!$A$3:$A$5001,P$3,BD!$B$3:$B$5001,$A$323)))</f>
        <v/>
      </c>
      <c r="Q346" s="251" t="str">
        <f>IF(Q$3="","",IF(COUNTIFS(BD!$A$3:$A$5001,Q$3,BD!$B$3:$B$5001,$A$323,BD!$Y$3:$Y$5001,"&lt;&gt;")=0,"",SUMIFS(BD!$Y$3:$Y$5001,BD!$A$3:$A$5001,Q$3,BD!$B$3:$B$5001,$A$323)))</f>
        <v/>
      </c>
      <c r="R346" s="251" t="str">
        <f>IF(R$3="","",IF(COUNTIFS(BD!$A$3:$A$5001,R$3,BD!$B$3:$B$5001,$A$323,BD!$Y$3:$Y$5001,"&lt;&gt;")=0,"",SUMIFS(BD!$Y$3:$Y$5001,BD!$A$3:$A$5001,R$3,BD!$B$3:$B$5001,$A$323)))</f>
        <v/>
      </c>
      <c r="S346" s="251" t="str">
        <f>IF(S$3="","",IF(COUNTIFS(BD!$A$3:$A$5001,S$3,BD!$B$3:$B$5001,$A$323,BD!$Y$3:$Y$5001,"&lt;&gt;")=0,"",SUMIFS(BD!$Y$3:$Y$5001,BD!$A$3:$A$5001,S$3,BD!$B$3:$B$5001,$A$323)))</f>
        <v/>
      </c>
      <c r="T346" s="251" t="str">
        <f>IF(T$3="","",IF(COUNTIFS(BD!$A$3:$A$5001,T$3,BD!$B$3:$B$5001,$A$323,BD!$Y$3:$Y$5001,"&lt;&gt;")=0,"",SUMIFS(BD!$Y$3:$Y$5001,BD!$A$3:$A$5001,T$3,BD!$B$3:$B$5001,$A$323)))</f>
        <v/>
      </c>
      <c r="U346" s="251" t="str">
        <f>IF(U$3="","",IF(COUNTIFS(BD!$A$3:$A$5001,U$3,BD!$B$3:$B$5001,$A$323,BD!$Y$3:$Y$5001,"&lt;&gt;")=0,"",SUMIFS(BD!$Y$3:$Y$5001,BD!$A$3:$A$5001,U$3,BD!$B$3:$B$5001,$A$323)))</f>
        <v/>
      </c>
      <c r="V346" s="251" t="str">
        <f>IF(V$3="","",IF(COUNTIFS(BD!$A$3:$A$5001,V$3,BD!$B$3:$B$5001,$A$323,BD!$Y$3:$Y$5001,"&lt;&gt;")=0,"",SUMIFS(BD!$Y$3:$Y$5001,BD!$A$3:$A$5001,V$3,BD!$B$3:$B$5001,$A$323)))</f>
        <v/>
      </c>
      <c r="W346" s="251" t="str">
        <f>IF(W$3="","",IF(COUNTIFS(BD!$A$3:$A$5001,W$3,BD!$B$3:$B$5001,$A$323,BD!$Y$3:$Y$5001,"&lt;&gt;")=0,"",SUMIFS(BD!$Y$3:$Y$5001,BD!$A$3:$A$5001,W$3,BD!$B$3:$B$5001,$A$323)))</f>
        <v/>
      </c>
      <c r="X346" s="251" t="str">
        <f>IF(X$3="","",IF(COUNTIFS(BD!$A$3:$A$5001,X$3,BD!$B$3:$B$5001,$A$323,BD!$Y$3:$Y$5001,"&lt;&gt;")=0,"",SUMIFS(BD!$Y$3:$Y$5001,BD!$A$3:$A$5001,X$3,BD!$B$3:$B$5001,$A$323)))</f>
        <v/>
      </c>
      <c r="Y346" s="251" t="str">
        <f>IF(Y$3="","",IF(COUNTIFS(BD!$A$3:$A$5001,Y$3,BD!$B$3:$B$5001,$A$323,BD!$Y$3:$Y$5001,"&lt;&gt;")=0,"",SUMIFS(BD!$Y$3:$Y$5001,BD!$A$3:$A$5001,Y$3,BD!$B$3:$B$5001,$A$323)))</f>
        <v/>
      </c>
      <c r="Z346" s="251" t="str">
        <f>IF(Z$3="","",IF(COUNTIFS(BD!$A$3:$A$5001,Z$3,BD!$B$3:$B$5001,$A$323,BD!$Y$3:$Y$5001,"&lt;&gt;")=0,"",SUMIFS(BD!$Y$3:$Y$5001,BD!$A$3:$A$5001,Z$3,BD!$B$3:$B$5001,$A$323)))</f>
        <v/>
      </c>
      <c r="AA346" s="251" t="str">
        <f>IF(AA$3="","",IF(COUNTIFS(BD!$A$3:$A$5001,AA$3,BD!$B$3:$B$5001,$A$323,BD!$Y$3:$Y$5001,"&lt;&gt;")=0,"",SUMIFS(BD!$Y$3:$Y$5001,BD!$A$3:$A$5001,AA$3,BD!$B$3:$B$5001,$A$323)))</f>
        <v/>
      </c>
      <c r="AB346" s="251" t="str">
        <f>IF(AB$3="","",IF(COUNTIFS(BD!$A$3:$A$5001,AB$3,BD!$B$3:$B$5001,$A$323,BD!$Y$3:$Y$5001,"&lt;&gt;")=0,"",SUMIFS(BD!$Y$3:$Y$5001,BD!$A$3:$A$5001,AB$3,BD!$B$3:$B$5001,$A$323)))</f>
        <v/>
      </c>
      <c r="AC346" s="251" t="str">
        <f>IF(AC$3="","",IF(COUNTIFS(BD!$A$3:$A$5001,AC$3,BD!$B$3:$B$5001,$A$323,BD!$Y$3:$Y$5001,"&lt;&gt;")=0,"",SUMIFS(BD!$Y$3:$Y$5001,BD!$A$3:$A$5001,AC$3,BD!$B$3:$B$5001,$A$323)))</f>
        <v/>
      </c>
      <c r="AD346" s="251" t="str">
        <f>IF(AD$3="","",IF(COUNTIFS(BD!$A$3:$A$5001,AD$3,BD!$B$3:$B$5001,$A$323,BD!$Y$3:$Y$5001,"&lt;&gt;")=0,"",SUMIFS(BD!$Y$3:$Y$5001,BD!$A$3:$A$5001,AD$3,BD!$B$3:$B$5001,$A$323)))</f>
        <v/>
      </c>
      <c r="AE346" s="251" t="str">
        <f>IF(AE$3="","",IF(COUNTIFS(BD!$A$3:$A$5001,AE$3,BD!$B$3:$B$5001,$A$323,BD!$Y$3:$Y$5001,"&lt;&gt;")=0,"",SUMIFS(BD!$Y$3:$Y$5001,BD!$A$3:$A$5001,AE$3,BD!$B$3:$B$5001,$A$323)))</f>
        <v/>
      </c>
      <c r="AF346" s="251" t="str">
        <f>IF(AF$3="","",IF(COUNTIFS(BD!$A$3:$A$5001,AF$3,BD!$B$3:$B$5001,$A$323,BD!$Y$3:$Y$5001,"&lt;&gt;")=0,"",SUMIFS(BD!$Y$3:$Y$5001,BD!$A$3:$A$5001,AF$3,BD!$B$3:$B$5001,$A$323)))</f>
        <v/>
      </c>
      <c r="AG346" s="251" t="str">
        <f>IF(AG$3="","",IF(COUNTIFS(BD!$A$3:$A$5001,AG$3,BD!$B$3:$B$5001,$A$323,BD!$Y$3:$Y$5001,"&lt;&gt;")=0,"",SUMIFS(BD!$Y$3:$Y$5001,BD!$A$3:$A$5001,AG$3,BD!$B$3:$B$5001,$A$323)))</f>
        <v/>
      </c>
      <c r="AH346" s="251" t="str">
        <f>IF(AH$3="","",IF(COUNTIFS(BD!$A$3:$A$5001,AH$3,BD!$B$3:$B$5001,$A$323,BD!$Y$3:$Y$5001,"&lt;&gt;")=0,"",SUMIFS(BD!$Y$3:$Y$5001,BD!$A$3:$A$5001,AH$3,BD!$B$3:$B$5001,$A$323)))</f>
        <v/>
      </c>
      <c r="AI346" s="251" t="str">
        <f>IF(AI$3="","",IF(COUNTIFS(BD!$A$3:$A$5001,AI$3,BD!$B$3:$B$5001,$A$323,BD!$Y$3:$Y$5001,"&lt;&gt;")=0,"",SUMIFS(BD!$Y$3:$Y$5001,BD!$A$3:$A$5001,AI$3,BD!$B$3:$B$5001,$A$323)))</f>
        <v/>
      </c>
      <c r="AJ346" s="252" t="str">
        <f>IF(AJ$3="","",IF(COUNTIFS(BD!$A$3:$A$5001,AJ$3,BD!$B$3:$B$5001,$A$323,BD!$Y$3:$Y$5001,"&lt;&gt;")=0,"",SUMIFS(BD!$Y$3:$Y$5001,BD!$A$3:$A$5001,AJ$3,BD!$B$3:$B$5001,$A$323)))</f>
        <v/>
      </c>
      <c r="AK346" s="253" t="str">
        <f>IF(COUNT(F346:AJ346)=0,"",SUM(F346:AJ346))</f>
        <v/>
      </c>
    </row>
    <row r="347" ht="15.75" customHeight="1" hidden="1">
      <c r="A347" s="277"/>
      <c r="B347" s="274"/>
      <c r="C347" s="247" t="inlineStr">
        <is>
          <t xml:space="preserve">Desvios Comportamentais</t>
        </is>
      </c>
      <c r="D347" s="248" t="str">
        <f>IFERROR(1/(1/INDEX(BD!$AF$47:$AZ$47,MATCH($A$323,BD!$AF$22:$AZ$22,0))),"")</f>
        <v/>
      </c>
      <c r="E347" s="249"/>
      <c r="F347" s="250" t="str">
        <f>IF(F$3="","",IF(COUNTIFS(BD!$A$3:$A$5001,F$3,BD!$B$3:$B$5001,$A$323,BD!$Z$3:$Z$5001,"&lt;&gt;")=0,"",SUMIFS(BD!$Z$3:$Z$5001,BD!$A$3:$A$5001,F$3,BD!$B$3:$B$5001,$A$323)))</f>
        <v/>
      </c>
      <c r="G347" s="251" t="str">
        <f>IF(G$3="","",IF(COUNTIFS(BD!$A$3:$A$5001,G$3,BD!$B$3:$B$5001,$A$323,BD!$Z$3:$Z$5001,"&lt;&gt;")=0,"",SUMIFS(BD!$Z$3:$Z$5001,BD!$A$3:$A$5001,G$3,BD!$B$3:$B$5001,$A$323)))</f>
        <v/>
      </c>
      <c r="H347" s="251" t="str">
        <f>IF(H$3="","",IF(COUNTIFS(BD!$A$3:$A$5001,H$3,BD!$B$3:$B$5001,$A$323,BD!$Z$3:$Z$5001,"&lt;&gt;")=0,"",SUMIFS(BD!$Z$3:$Z$5001,BD!$A$3:$A$5001,H$3,BD!$B$3:$B$5001,$A$323)))</f>
        <v/>
      </c>
      <c r="I347" s="251" t="str">
        <f>IF(I$3="","",IF(COUNTIFS(BD!$A$3:$A$5001,I$3,BD!$B$3:$B$5001,$A$323,BD!$Z$3:$Z$5001,"&lt;&gt;")=0,"",SUMIFS(BD!$Z$3:$Z$5001,BD!$A$3:$A$5001,I$3,BD!$B$3:$B$5001,$A$323)))</f>
        <v/>
      </c>
      <c r="J347" s="251" t="str">
        <f>IF(J$3="","",IF(COUNTIFS(BD!$A$3:$A$5001,J$3,BD!$B$3:$B$5001,$A$323,BD!$Z$3:$Z$5001,"&lt;&gt;")=0,"",SUMIFS(BD!$Z$3:$Z$5001,BD!$A$3:$A$5001,J$3,BD!$B$3:$B$5001,$A$323)))</f>
        <v/>
      </c>
      <c r="K347" s="251" t="str">
        <f>IF(K$3="","",IF(COUNTIFS(BD!$A$3:$A$5001,K$3,BD!$B$3:$B$5001,$A$323,BD!$Z$3:$Z$5001,"&lt;&gt;")=0,"",SUMIFS(BD!$Z$3:$Z$5001,BD!$A$3:$A$5001,K$3,BD!$B$3:$B$5001,$A$323)))</f>
        <v/>
      </c>
      <c r="L347" s="251" t="str">
        <f>IF(L$3="","",IF(COUNTIFS(BD!$A$3:$A$5001,L$3,BD!$B$3:$B$5001,$A$323,BD!$Z$3:$Z$5001,"&lt;&gt;")=0,"",SUMIFS(BD!$Z$3:$Z$5001,BD!$A$3:$A$5001,L$3,BD!$B$3:$B$5001,$A$323)))</f>
        <v/>
      </c>
      <c r="M347" s="251" t="str">
        <f>IF(M$3="","",IF(COUNTIFS(BD!$A$3:$A$5001,M$3,BD!$B$3:$B$5001,$A$323,BD!$Z$3:$Z$5001,"&lt;&gt;")=0,"",SUMIFS(BD!$Z$3:$Z$5001,BD!$A$3:$A$5001,M$3,BD!$B$3:$B$5001,$A$323)))</f>
        <v/>
      </c>
      <c r="N347" s="251" t="str">
        <f>IF(N$3="","",IF(COUNTIFS(BD!$A$3:$A$5001,N$3,BD!$B$3:$B$5001,$A$323,BD!$Z$3:$Z$5001,"&lt;&gt;")=0,"",SUMIFS(BD!$Z$3:$Z$5001,BD!$A$3:$A$5001,N$3,BD!$B$3:$B$5001,$A$323)))</f>
        <v/>
      </c>
      <c r="O347" s="251" t="str">
        <f>IF(O$3="","",IF(COUNTIFS(BD!$A$3:$A$5001,O$3,BD!$B$3:$B$5001,$A$323,BD!$Z$3:$Z$5001,"&lt;&gt;")=0,"",SUMIFS(BD!$Z$3:$Z$5001,BD!$A$3:$A$5001,O$3,BD!$B$3:$B$5001,$A$323)))</f>
        <v/>
      </c>
      <c r="P347" s="251" t="str">
        <f>IF(P$3="","",IF(COUNTIFS(BD!$A$3:$A$5001,P$3,BD!$B$3:$B$5001,$A$323,BD!$Z$3:$Z$5001,"&lt;&gt;")=0,"",SUMIFS(BD!$Z$3:$Z$5001,BD!$A$3:$A$5001,P$3,BD!$B$3:$B$5001,$A$323)))</f>
        <v/>
      </c>
      <c r="Q347" s="251" t="str">
        <f>IF(Q$3="","",IF(COUNTIFS(BD!$A$3:$A$5001,Q$3,BD!$B$3:$B$5001,$A$323,BD!$Z$3:$Z$5001,"&lt;&gt;")=0,"",SUMIFS(BD!$Z$3:$Z$5001,BD!$A$3:$A$5001,Q$3,BD!$B$3:$B$5001,$A$323)))</f>
        <v/>
      </c>
      <c r="R347" s="251" t="str">
        <f>IF(R$3="","",IF(COUNTIFS(BD!$A$3:$A$5001,R$3,BD!$B$3:$B$5001,$A$323,BD!$Z$3:$Z$5001,"&lt;&gt;")=0,"",SUMIFS(BD!$Z$3:$Z$5001,BD!$A$3:$A$5001,R$3,BD!$B$3:$B$5001,$A$323)))</f>
        <v/>
      </c>
      <c r="S347" s="251" t="str">
        <f>IF(S$3="","",IF(COUNTIFS(BD!$A$3:$A$5001,S$3,BD!$B$3:$B$5001,$A$323,BD!$Z$3:$Z$5001,"&lt;&gt;")=0,"",SUMIFS(BD!$Z$3:$Z$5001,BD!$A$3:$A$5001,S$3,BD!$B$3:$B$5001,$A$323)))</f>
        <v/>
      </c>
      <c r="T347" s="251" t="str">
        <f>IF(T$3="","",IF(COUNTIFS(BD!$A$3:$A$5001,T$3,BD!$B$3:$B$5001,$A$323,BD!$Z$3:$Z$5001,"&lt;&gt;")=0,"",SUMIFS(BD!$Z$3:$Z$5001,BD!$A$3:$A$5001,T$3,BD!$B$3:$B$5001,$A$323)))</f>
        <v/>
      </c>
      <c r="U347" s="251" t="str">
        <f>IF(U$3="","",IF(COUNTIFS(BD!$A$3:$A$5001,U$3,BD!$B$3:$B$5001,$A$323,BD!$Z$3:$Z$5001,"&lt;&gt;")=0,"",SUMIFS(BD!$Z$3:$Z$5001,BD!$A$3:$A$5001,U$3,BD!$B$3:$B$5001,$A$323)))</f>
        <v/>
      </c>
      <c r="V347" s="251" t="str">
        <f>IF(V$3="","",IF(COUNTIFS(BD!$A$3:$A$5001,V$3,BD!$B$3:$B$5001,$A$323,BD!$Z$3:$Z$5001,"&lt;&gt;")=0,"",SUMIFS(BD!$Z$3:$Z$5001,BD!$A$3:$A$5001,V$3,BD!$B$3:$B$5001,$A$323)))</f>
        <v/>
      </c>
      <c r="W347" s="251" t="str">
        <f>IF(W$3="","",IF(COUNTIFS(BD!$A$3:$A$5001,W$3,BD!$B$3:$B$5001,$A$323,BD!$Z$3:$Z$5001,"&lt;&gt;")=0,"",SUMIFS(BD!$Z$3:$Z$5001,BD!$A$3:$A$5001,W$3,BD!$B$3:$B$5001,$A$323)))</f>
        <v/>
      </c>
      <c r="X347" s="251" t="str">
        <f>IF(X$3="","",IF(COUNTIFS(BD!$A$3:$A$5001,X$3,BD!$B$3:$B$5001,$A$323,BD!$Z$3:$Z$5001,"&lt;&gt;")=0,"",SUMIFS(BD!$Z$3:$Z$5001,BD!$A$3:$A$5001,X$3,BD!$B$3:$B$5001,$A$323)))</f>
        <v/>
      </c>
      <c r="Y347" s="251" t="str">
        <f>IF(Y$3="","",IF(COUNTIFS(BD!$A$3:$A$5001,Y$3,BD!$B$3:$B$5001,$A$323,BD!$Z$3:$Z$5001,"&lt;&gt;")=0,"",SUMIFS(BD!$Z$3:$Z$5001,BD!$A$3:$A$5001,Y$3,BD!$B$3:$B$5001,$A$323)))</f>
        <v/>
      </c>
      <c r="Z347" s="251" t="str">
        <f>IF(Z$3="","",IF(COUNTIFS(BD!$A$3:$A$5001,Z$3,BD!$B$3:$B$5001,$A$323,BD!$Z$3:$Z$5001,"&lt;&gt;")=0,"",SUMIFS(BD!$Z$3:$Z$5001,BD!$A$3:$A$5001,Z$3,BD!$B$3:$B$5001,$A$323)))</f>
        <v/>
      </c>
      <c r="AA347" s="251" t="str">
        <f>IF(AA$3="","",IF(COUNTIFS(BD!$A$3:$A$5001,AA$3,BD!$B$3:$B$5001,$A$323,BD!$Z$3:$Z$5001,"&lt;&gt;")=0,"",SUMIFS(BD!$Z$3:$Z$5001,BD!$A$3:$A$5001,AA$3,BD!$B$3:$B$5001,$A$323)))</f>
        <v/>
      </c>
      <c r="AB347" s="251" t="str">
        <f>IF(AB$3="","",IF(COUNTIFS(BD!$A$3:$A$5001,AB$3,BD!$B$3:$B$5001,$A$323,BD!$Z$3:$Z$5001,"&lt;&gt;")=0,"",SUMIFS(BD!$Z$3:$Z$5001,BD!$A$3:$A$5001,AB$3,BD!$B$3:$B$5001,$A$323)))</f>
        <v/>
      </c>
      <c r="AC347" s="251" t="str">
        <f>IF(AC$3="","",IF(COUNTIFS(BD!$A$3:$A$5001,AC$3,BD!$B$3:$B$5001,$A$323,BD!$Z$3:$Z$5001,"&lt;&gt;")=0,"",SUMIFS(BD!$Z$3:$Z$5001,BD!$A$3:$A$5001,AC$3,BD!$B$3:$B$5001,$A$323)))</f>
        <v/>
      </c>
      <c r="AD347" s="251" t="str">
        <f>IF(AD$3="","",IF(COUNTIFS(BD!$A$3:$A$5001,AD$3,BD!$B$3:$B$5001,$A$323,BD!$Z$3:$Z$5001,"&lt;&gt;")=0,"",SUMIFS(BD!$Z$3:$Z$5001,BD!$A$3:$A$5001,AD$3,BD!$B$3:$B$5001,$A$323)))</f>
        <v/>
      </c>
      <c r="AE347" s="251" t="str">
        <f>IF(AE$3="","",IF(COUNTIFS(BD!$A$3:$A$5001,AE$3,BD!$B$3:$B$5001,$A$323,BD!$Z$3:$Z$5001,"&lt;&gt;")=0,"",SUMIFS(BD!$Z$3:$Z$5001,BD!$A$3:$A$5001,AE$3,BD!$B$3:$B$5001,$A$323)))</f>
        <v/>
      </c>
      <c r="AF347" s="251" t="str">
        <f>IF(AF$3="","",IF(COUNTIFS(BD!$A$3:$A$5001,AF$3,BD!$B$3:$B$5001,$A$323,BD!$Z$3:$Z$5001,"&lt;&gt;")=0,"",SUMIFS(BD!$Z$3:$Z$5001,BD!$A$3:$A$5001,AF$3,BD!$B$3:$B$5001,$A$323)))</f>
        <v/>
      </c>
      <c r="AG347" s="251" t="str">
        <f>IF(AG$3="","",IF(COUNTIFS(BD!$A$3:$A$5001,AG$3,BD!$B$3:$B$5001,$A$323,BD!$Z$3:$Z$5001,"&lt;&gt;")=0,"",SUMIFS(BD!$Z$3:$Z$5001,BD!$A$3:$A$5001,AG$3,BD!$B$3:$B$5001,$A$323)))</f>
        <v/>
      </c>
      <c r="AH347" s="251" t="str">
        <f>IF(AH$3="","",IF(COUNTIFS(BD!$A$3:$A$5001,AH$3,BD!$B$3:$B$5001,$A$323,BD!$Z$3:$Z$5001,"&lt;&gt;")=0,"",SUMIFS(BD!$Z$3:$Z$5001,BD!$A$3:$A$5001,AH$3,BD!$B$3:$B$5001,$A$323)))</f>
        <v/>
      </c>
      <c r="AI347" s="251" t="str">
        <f>IF(AI$3="","",IF(COUNTIFS(BD!$A$3:$A$5001,AI$3,BD!$B$3:$B$5001,$A$323,BD!$Z$3:$Z$5001,"&lt;&gt;")=0,"",SUMIFS(BD!$Z$3:$Z$5001,BD!$A$3:$A$5001,AI$3,BD!$B$3:$B$5001,$A$323)))</f>
        <v/>
      </c>
      <c r="AJ347" s="252" t="str">
        <f>IF(AJ$3="","",IF(COUNTIFS(BD!$A$3:$A$5001,AJ$3,BD!$B$3:$B$5001,$A$323,BD!$Z$3:$Z$5001,"&lt;&gt;")=0,"",SUMIFS(BD!$Z$3:$Z$5001,BD!$A$3:$A$5001,AJ$3,BD!$B$3:$B$5001,$A$323)))</f>
        <v/>
      </c>
      <c r="AK347" s="253" t="str">
        <f>IF(COUNT(F347:AJ347)=0,"",SUM(F347:AJ347))</f>
        <v/>
      </c>
    </row>
    <row r="348" ht="15.75" customHeight="1" hidden="1">
      <c r="A348" s="277"/>
      <c r="B348" s="274"/>
      <c r="C348" s="247" t="inlineStr">
        <is>
          <t xml:space="preserve">Acidentes CAF</t>
        </is>
      </c>
      <c r="D348" s="248" t="str">
        <f>IFERROR(1/(1/INDEX(BD!$AF$48:$AZ$48,MATCH($A$323,BD!$AF$22:$AZ$22,0))),"")</f>
        <v/>
      </c>
      <c r="E348" s="249"/>
      <c r="F348" s="250" t="str">
        <f>IF(F$3="","",IF(COUNTIFS(BD!$A$3:$A$5001,F$3,BD!$B$3:$B$5001,$A$323,BD!$AA$3:$AA$5001,"&lt;&gt;")=0,"",SUMIFS(BD!$AA$3:$AA$5001,BD!$A$3:$A$5001,F$3,BD!$B$3:$B$5001,$A$323)))</f>
        <v/>
      </c>
      <c r="G348" s="251" t="str">
        <f>IF(G$3="","",IF(COUNTIFS(BD!$A$3:$A$5001,G$3,BD!$B$3:$B$5001,$A$323,BD!$AA$3:$AA$5001,"&lt;&gt;")=0,"",SUMIFS(BD!$AA$3:$AA$5001,BD!$A$3:$A$5001,G$3,BD!$B$3:$B$5001,$A$323)))</f>
        <v/>
      </c>
      <c r="H348" s="251" t="str">
        <f>IF(H$3="","",IF(COUNTIFS(BD!$A$3:$A$5001,H$3,BD!$B$3:$B$5001,$A$323,BD!$AA$3:$AA$5001,"&lt;&gt;")=0,"",SUMIFS(BD!$AA$3:$AA$5001,BD!$A$3:$A$5001,H$3,BD!$B$3:$B$5001,$A$323)))</f>
        <v/>
      </c>
      <c r="I348" s="251" t="str">
        <f>IF(I$3="","",IF(COUNTIFS(BD!$A$3:$A$5001,I$3,BD!$B$3:$B$5001,$A$323,BD!$AA$3:$AA$5001,"&lt;&gt;")=0,"",SUMIFS(BD!$AA$3:$AA$5001,BD!$A$3:$A$5001,I$3,BD!$B$3:$B$5001,$A$323)))</f>
        <v/>
      </c>
      <c r="J348" s="251" t="str">
        <f>IF(J$3="","",IF(COUNTIFS(BD!$A$3:$A$5001,J$3,BD!$B$3:$B$5001,$A$323,BD!$AA$3:$AA$5001,"&lt;&gt;")=0,"",SUMIFS(BD!$AA$3:$AA$5001,BD!$A$3:$A$5001,J$3,BD!$B$3:$B$5001,$A$323)))</f>
        <v/>
      </c>
      <c r="K348" s="251" t="str">
        <f>IF(K$3="","",IF(COUNTIFS(BD!$A$3:$A$5001,K$3,BD!$B$3:$B$5001,$A$323,BD!$AA$3:$AA$5001,"&lt;&gt;")=0,"",SUMIFS(BD!$AA$3:$AA$5001,BD!$A$3:$A$5001,K$3,BD!$B$3:$B$5001,$A$323)))</f>
        <v/>
      </c>
      <c r="L348" s="251" t="str">
        <f>IF(L$3="","",IF(COUNTIFS(BD!$A$3:$A$5001,L$3,BD!$B$3:$B$5001,$A$323,BD!$AA$3:$AA$5001,"&lt;&gt;")=0,"",SUMIFS(BD!$AA$3:$AA$5001,BD!$A$3:$A$5001,L$3,BD!$B$3:$B$5001,$A$323)))</f>
        <v/>
      </c>
      <c r="M348" s="251" t="str">
        <f>IF(M$3="","",IF(COUNTIFS(BD!$A$3:$A$5001,M$3,BD!$B$3:$B$5001,$A$323,BD!$AA$3:$AA$5001,"&lt;&gt;")=0,"",SUMIFS(BD!$AA$3:$AA$5001,BD!$A$3:$A$5001,M$3,BD!$B$3:$B$5001,$A$323)))</f>
        <v/>
      </c>
      <c r="N348" s="251" t="str">
        <f>IF(N$3="","",IF(COUNTIFS(BD!$A$3:$A$5001,N$3,BD!$B$3:$B$5001,$A$323,BD!$AA$3:$AA$5001,"&lt;&gt;")=0,"",SUMIFS(BD!$AA$3:$AA$5001,BD!$A$3:$A$5001,N$3,BD!$B$3:$B$5001,$A$323)))</f>
        <v/>
      </c>
      <c r="O348" s="251" t="str">
        <f>IF(O$3="","",IF(COUNTIFS(BD!$A$3:$A$5001,O$3,BD!$B$3:$B$5001,$A$323,BD!$AA$3:$AA$5001,"&lt;&gt;")=0,"",SUMIFS(BD!$AA$3:$AA$5001,BD!$A$3:$A$5001,O$3,BD!$B$3:$B$5001,$A$323)))</f>
        <v/>
      </c>
      <c r="P348" s="251" t="str">
        <f>IF(P$3="","",IF(COUNTIFS(BD!$A$3:$A$5001,P$3,BD!$B$3:$B$5001,$A$323,BD!$AA$3:$AA$5001,"&lt;&gt;")=0,"",SUMIFS(BD!$AA$3:$AA$5001,BD!$A$3:$A$5001,P$3,BD!$B$3:$B$5001,$A$323)))</f>
        <v/>
      </c>
      <c r="Q348" s="251" t="str">
        <f>IF(Q$3="","",IF(COUNTIFS(BD!$A$3:$A$5001,Q$3,BD!$B$3:$B$5001,$A$323,BD!$AA$3:$AA$5001,"&lt;&gt;")=0,"",SUMIFS(BD!$AA$3:$AA$5001,BD!$A$3:$A$5001,Q$3,BD!$B$3:$B$5001,$A$323)))</f>
        <v/>
      </c>
      <c r="R348" s="251" t="str">
        <f>IF(R$3="","",IF(COUNTIFS(BD!$A$3:$A$5001,R$3,BD!$B$3:$B$5001,$A$323,BD!$AA$3:$AA$5001,"&lt;&gt;")=0,"",SUMIFS(BD!$AA$3:$AA$5001,BD!$A$3:$A$5001,R$3,BD!$B$3:$B$5001,$A$323)))</f>
        <v/>
      </c>
      <c r="S348" s="251" t="str">
        <f>IF(S$3="","",IF(COUNTIFS(BD!$A$3:$A$5001,S$3,BD!$B$3:$B$5001,$A$323,BD!$AA$3:$AA$5001,"&lt;&gt;")=0,"",SUMIFS(BD!$AA$3:$AA$5001,BD!$A$3:$A$5001,S$3,BD!$B$3:$B$5001,$A$323)))</f>
        <v/>
      </c>
      <c r="T348" s="251" t="str">
        <f>IF(T$3="","",IF(COUNTIFS(BD!$A$3:$A$5001,T$3,BD!$B$3:$B$5001,$A$323,BD!$AA$3:$AA$5001,"&lt;&gt;")=0,"",SUMIFS(BD!$AA$3:$AA$5001,BD!$A$3:$A$5001,T$3,BD!$B$3:$B$5001,$A$323)))</f>
        <v/>
      </c>
      <c r="U348" s="251" t="str">
        <f>IF(U$3="","",IF(COUNTIFS(BD!$A$3:$A$5001,U$3,BD!$B$3:$B$5001,$A$323,BD!$AA$3:$AA$5001,"&lt;&gt;")=0,"",SUMIFS(BD!$AA$3:$AA$5001,BD!$A$3:$A$5001,U$3,BD!$B$3:$B$5001,$A$323)))</f>
        <v/>
      </c>
      <c r="V348" s="251" t="str">
        <f>IF(V$3="","",IF(COUNTIFS(BD!$A$3:$A$5001,V$3,BD!$B$3:$B$5001,$A$323,BD!$AA$3:$AA$5001,"&lt;&gt;")=0,"",SUMIFS(BD!$AA$3:$AA$5001,BD!$A$3:$A$5001,V$3,BD!$B$3:$B$5001,$A$323)))</f>
        <v/>
      </c>
      <c r="W348" s="251" t="str">
        <f>IF(W$3="","",IF(COUNTIFS(BD!$A$3:$A$5001,W$3,BD!$B$3:$B$5001,$A$323,BD!$AA$3:$AA$5001,"&lt;&gt;")=0,"",SUMIFS(BD!$AA$3:$AA$5001,BD!$A$3:$A$5001,W$3,BD!$B$3:$B$5001,$A$323)))</f>
        <v/>
      </c>
      <c r="X348" s="251" t="str">
        <f>IF(X$3="","",IF(COUNTIFS(BD!$A$3:$A$5001,X$3,BD!$B$3:$B$5001,$A$323,BD!$AA$3:$AA$5001,"&lt;&gt;")=0,"",SUMIFS(BD!$AA$3:$AA$5001,BD!$A$3:$A$5001,X$3,BD!$B$3:$B$5001,$A$323)))</f>
        <v/>
      </c>
      <c r="Y348" s="251" t="str">
        <f>IF(Y$3="","",IF(COUNTIFS(BD!$A$3:$A$5001,Y$3,BD!$B$3:$B$5001,$A$323,BD!$AA$3:$AA$5001,"&lt;&gt;")=0,"",SUMIFS(BD!$AA$3:$AA$5001,BD!$A$3:$A$5001,Y$3,BD!$B$3:$B$5001,$A$323)))</f>
        <v/>
      </c>
      <c r="Z348" s="251" t="str">
        <f>IF(Z$3="","",IF(COUNTIFS(BD!$A$3:$A$5001,Z$3,BD!$B$3:$B$5001,$A$323,BD!$AA$3:$AA$5001,"&lt;&gt;")=0,"",SUMIFS(BD!$AA$3:$AA$5001,BD!$A$3:$A$5001,Z$3,BD!$B$3:$B$5001,$A$323)))</f>
        <v/>
      </c>
      <c r="AA348" s="251" t="str">
        <f>IF(AA$3="","",IF(COUNTIFS(BD!$A$3:$A$5001,AA$3,BD!$B$3:$B$5001,$A$323,BD!$AA$3:$AA$5001,"&lt;&gt;")=0,"",SUMIFS(BD!$AA$3:$AA$5001,BD!$A$3:$A$5001,AA$3,BD!$B$3:$B$5001,$A$323)))</f>
        <v/>
      </c>
      <c r="AB348" s="251" t="str">
        <f>IF(AB$3="","",IF(COUNTIFS(BD!$A$3:$A$5001,AB$3,BD!$B$3:$B$5001,$A$323,BD!$AA$3:$AA$5001,"&lt;&gt;")=0,"",SUMIFS(BD!$AA$3:$AA$5001,BD!$A$3:$A$5001,AB$3,BD!$B$3:$B$5001,$A$323)))</f>
        <v/>
      </c>
      <c r="AC348" s="251" t="str">
        <f>IF(AC$3="","",IF(COUNTIFS(BD!$A$3:$A$5001,AC$3,BD!$B$3:$B$5001,$A$323,BD!$AA$3:$AA$5001,"&lt;&gt;")=0,"",SUMIFS(BD!$AA$3:$AA$5001,BD!$A$3:$A$5001,AC$3,BD!$B$3:$B$5001,$A$323)))</f>
        <v/>
      </c>
      <c r="AD348" s="251" t="str">
        <f>IF(AD$3="","",IF(COUNTIFS(BD!$A$3:$A$5001,AD$3,BD!$B$3:$B$5001,$A$323,BD!$AA$3:$AA$5001,"&lt;&gt;")=0,"",SUMIFS(BD!$AA$3:$AA$5001,BD!$A$3:$A$5001,AD$3,BD!$B$3:$B$5001,$A$323)))</f>
        <v/>
      </c>
      <c r="AE348" s="251" t="str">
        <f>IF(AE$3="","",IF(COUNTIFS(BD!$A$3:$A$5001,AE$3,BD!$B$3:$B$5001,$A$323,BD!$AA$3:$AA$5001,"&lt;&gt;")=0,"",SUMIFS(BD!$AA$3:$AA$5001,BD!$A$3:$A$5001,AE$3,BD!$B$3:$B$5001,$A$323)))</f>
        <v/>
      </c>
      <c r="AF348" s="251" t="str">
        <f>IF(AF$3="","",IF(COUNTIFS(BD!$A$3:$A$5001,AF$3,BD!$B$3:$B$5001,$A$323,BD!$AA$3:$AA$5001,"&lt;&gt;")=0,"",SUMIFS(BD!$AA$3:$AA$5001,BD!$A$3:$A$5001,AF$3,BD!$B$3:$B$5001,$A$323)))</f>
        <v/>
      </c>
      <c r="AG348" s="251" t="str">
        <f>IF(AG$3="","",IF(COUNTIFS(BD!$A$3:$A$5001,AG$3,BD!$B$3:$B$5001,$A$323,BD!$AA$3:$AA$5001,"&lt;&gt;")=0,"",SUMIFS(BD!$AA$3:$AA$5001,BD!$A$3:$A$5001,AG$3,BD!$B$3:$B$5001,$A$323)))</f>
        <v/>
      </c>
      <c r="AH348" s="251" t="str">
        <f>IF(AH$3="","",IF(COUNTIFS(BD!$A$3:$A$5001,AH$3,BD!$B$3:$B$5001,$A$323,BD!$AA$3:$AA$5001,"&lt;&gt;")=0,"",SUMIFS(BD!$AA$3:$AA$5001,BD!$A$3:$A$5001,AH$3,BD!$B$3:$B$5001,$A$323)))</f>
        <v/>
      </c>
      <c r="AI348" s="251" t="str">
        <f>IF(AI$3="","",IF(COUNTIFS(BD!$A$3:$A$5001,AI$3,BD!$B$3:$B$5001,$A$323,BD!$AA$3:$AA$5001,"&lt;&gt;")=0,"",SUMIFS(BD!$AA$3:$AA$5001,BD!$A$3:$A$5001,AI$3,BD!$B$3:$B$5001,$A$323)))</f>
        <v/>
      </c>
      <c r="AJ348" s="252" t="str">
        <f>IF(AJ$3="","",IF(COUNTIFS(BD!$A$3:$A$5001,AJ$3,BD!$B$3:$B$5001,$A$323,BD!$AA$3:$AA$5001,"&lt;&gt;")=0,"",SUMIFS(BD!$AA$3:$AA$5001,BD!$A$3:$A$5001,AJ$3,BD!$B$3:$B$5001,$A$323)))</f>
        <v/>
      </c>
      <c r="AK348" s="253" t="str">
        <f>IF(COUNT(F348:AJ348)=0,"",SUM(F348:AJ348))</f>
        <v/>
      </c>
    </row>
    <row r="349" ht="15.75" customHeight="1" hidden="1">
      <c r="A349" s="278"/>
      <c r="B349" s="275"/>
      <c r="C349" s="258" t="inlineStr">
        <is>
          <t xml:space="preserve">Acidentes SAF</t>
        </is>
      </c>
      <c r="D349" s="259" t="str">
        <f>IFERROR(1/(1/INDEX(BD!$AF$49:$AZ$49,MATCH($A$323,BD!$AF$22:$AZ$22,0))),"")</f>
        <v/>
      </c>
      <c r="E349" s="260"/>
      <c r="F349" s="261" t="str">
        <f>IF(F$3="","",IF(COUNTIFS(BD!$A$3:$A$5001,F$3,BD!$B$3:$B$5001,$A$323,BD!$AB$3:$AB$5001,"&lt;&gt;")=0,"",SUMIFS(BD!$AB$3:$AB$5001,BD!$A$3:$A$5001,F$3,BD!$B$3:$B$5001,$A$323)))</f>
        <v/>
      </c>
      <c r="G349" s="262" t="str">
        <f>IF(G$3="","",IF(COUNTIFS(BD!$A$3:$A$5001,G$3,BD!$B$3:$B$5001,$A$323,BD!$AB$3:$AB$5001,"&lt;&gt;")=0,"",SUMIFS(BD!$AB$3:$AB$5001,BD!$A$3:$A$5001,G$3,BD!$B$3:$B$5001,$A$323)))</f>
        <v/>
      </c>
      <c r="H349" s="262" t="str">
        <f>IF(H$3="","",IF(COUNTIFS(BD!$A$3:$A$5001,H$3,BD!$B$3:$B$5001,$A$323,BD!$AB$3:$AB$5001,"&lt;&gt;")=0,"",SUMIFS(BD!$AB$3:$AB$5001,BD!$A$3:$A$5001,H$3,BD!$B$3:$B$5001,$A$323)))</f>
        <v/>
      </c>
      <c r="I349" s="262" t="str">
        <f>IF(I$3="","",IF(COUNTIFS(BD!$A$3:$A$5001,I$3,BD!$B$3:$B$5001,$A$323,BD!$AB$3:$AB$5001,"&lt;&gt;")=0,"",SUMIFS(BD!$AB$3:$AB$5001,BD!$A$3:$A$5001,I$3,BD!$B$3:$B$5001,$A$323)))</f>
        <v/>
      </c>
      <c r="J349" s="262" t="str">
        <f>IF(J$3="","",IF(COUNTIFS(BD!$A$3:$A$5001,J$3,BD!$B$3:$B$5001,$A$323,BD!$AB$3:$AB$5001,"&lt;&gt;")=0,"",SUMIFS(BD!$AB$3:$AB$5001,BD!$A$3:$A$5001,J$3,BD!$B$3:$B$5001,$A$323)))</f>
        <v/>
      </c>
      <c r="K349" s="262" t="str">
        <f>IF(K$3="","",IF(COUNTIFS(BD!$A$3:$A$5001,K$3,BD!$B$3:$B$5001,$A$323,BD!$AB$3:$AB$5001,"&lt;&gt;")=0,"",SUMIFS(BD!$AB$3:$AB$5001,BD!$A$3:$A$5001,K$3,BD!$B$3:$B$5001,$A$323)))</f>
        <v/>
      </c>
      <c r="L349" s="262" t="str">
        <f>IF(L$3="","",IF(COUNTIFS(BD!$A$3:$A$5001,L$3,BD!$B$3:$B$5001,$A$323,BD!$AB$3:$AB$5001,"&lt;&gt;")=0,"",SUMIFS(BD!$AB$3:$AB$5001,BD!$A$3:$A$5001,L$3,BD!$B$3:$B$5001,$A$323)))</f>
        <v/>
      </c>
      <c r="M349" s="262" t="str">
        <f>IF(M$3="","",IF(COUNTIFS(BD!$A$3:$A$5001,M$3,BD!$B$3:$B$5001,$A$323,BD!$AB$3:$AB$5001,"&lt;&gt;")=0,"",SUMIFS(BD!$AB$3:$AB$5001,BD!$A$3:$A$5001,M$3,BD!$B$3:$B$5001,$A$323)))</f>
        <v/>
      </c>
      <c r="N349" s="262" t="str">
        <f>IF(N$3="","",IF(COUNTIFS(BD!$A$3:$A$5001,N$3,BD!$B$3:$B$5001,$A$323,BD!$AB$3:$AB$5001,"&lt;&gt;")=0,"",SUMIFS(BD!$AB$3:$AB$5001,BD!$A$3:$A$5001,N$3,BD!$B$3:$B$5001,$A$323)))</f>
        <v/>
      </c>
      <c r="O349" s="262" t="str">
        <f>IF(O$3="","",IF(COUNTIFS(BD!$A$3:$A$5001,O$3,BD!$B$3:$B$5001,$A$323,BD!$AB$3:$AB$5001,"&lt;&gt;")=0,"",SUMIFS(BD!$AB$3:$AB$5001,BD!$A$3:$A$5001,O$3,BD!$B$3:$B$5001,$A$323)))</f>
        <v/>
      </c>
      <c r="P349" s="262" t="str">
        <f>IF(P$3="","",IF(COUNTIFS(BD!$A$3:$A$5001,P$3,BD!$B$3:$B$5001,$A$323,BD!$AB$3:$AB$5001,"&lt;&gt;")=0,"",SUMIFS(BD!$AB$3:$AB$5001,BD!$A$3:$A$5001,P$3,BD!$B$3:$B$5001,$A$323)))</f>
        <v/>
      </c>
      <c r="Q349" s="262" t="str">
        <f>IF(Q$3="","",IF(COUNTIFS(BD!$A$3:$A$5001,Q$3,BD!$B$3:$B$5001,$A$323,BD!$AB$3:$AB$5001,"&lt;&gt;")=0,"",SUMIFS(BD!$AB$3:$AB$5001,BD!$A$3:$A$5001,Q$3,BD!$B$3:$B$5001,$A$323)))</f>
        <v/>
      </c>
      <c r="R349" s="262" t="str">
        <f>IF(R$3="","",IF(COUNTIFS(BD!$A$3:$A$5001,R$3,BD!$B$3:$B$5001,$A$323,BD!$AB$3:$AB$5001,"&lt;&gt;")=0,"",SUMIFS(BD!$AB$3:$AB$5001,BD!$A$3:$A$5001,R$3,BD!$B$3:$B$5001,$A$323)))</f>
        <v/>
      </c>
      <c r="S349" s="262" t="str">
        <f>IF(S$3="","",IF(COUNTIFS(BD!$A$3:$A$5001,S$3,BD!$B$3:$B$5001,$A$323,BD!$AB$3:$AB$5001,"&lt;&gt;")=0,"",SUMIFS(BD!$AB$3:$AB$5001,BD!$A$3:$A$5001,S$3,BD!$B$3:$B$5001,$A$323)))</f>
        <v/>
      </c>
      <c r="T349" s="262" t="str">
        <f>IF(T$3="","",IF(COUNTIFS(BD!$A$3:$A$5001,T$3,BD!$B$3:$B$5001,$A$323,BD!$AB$3:$AB$5001,"&lt;&gt;")=0,"",SUMIFS(BD!$AB$3:$AB$5001,BD!$A$3:$A$5001,T$3,BD!$B$3:$B$5001,$A$323)))</f>
        <v/>
      </c>
      <c r="U349" s="262" t="str">
        <f>IF(U$3="","",IF(COUNTIFS(BD!$A$3:$A$5001,U$3,BD!$B$3:$B$5001,$A$323,BD!$AB$3:$AB$5001,"&lt;&gt;")=0,"",SUMIFS(BD!$AB$3:$AB$5001,BD!$A$3:$A$5001,U$3,BD!$B$3:$B$5001,$A$323)))</f>
        <v/>
      </c>
      <c r="V349" s="262" t="str">
        <f>IF(V$3="","",IF(COUNTIFS(BD!$A$3:$A$5001,V$3,BD!$B$3:$B$5001,$A$323,BD!$AB$3:$AB$5001,"&lt;&gt;")=0,"",SUMIFS(BD!$AB$3:$AB$5001,BD!$A$3:$A$5001,V$3,BD!$B$3:$B$5001,$A$323)))</f>
        <v/>
      </c>
      <c r="W349" s="262" t="str">
        <f>IF(W$3="","",IF(COUNTIFS(BD!$A$3:$A$5001,W$3,BD!$B$3:$B$5001,$A$323,BD!$AB$3:$AB$5001,"&lt;&gt;")=0,"",SUMIFS(BD!$AB$3:$AB$5001,BD!$A$3:$A$5001,W$3,BD!$B$3:$B$5001,$A$323)))</f>
        <v/>
      </c>
      <c r="X349" s="262" t="str">
        <f>IF(X$3="","",IF(COUNTIFS(BD!$A$3:$A$5001,X$3,BD!$B$3:$B$5001,$A$323,BD!$AB$3:$AB$5001,"&lt;&gt;")=0,"",SUMIFS(BD!$AB$3:$AB$5001,BD!$A$3:$A$5001,X$3,BD!$B$3:$B$5001,$A$323)))</f>
        <v/>
      </c>
      <c r="Y349" s="262" t="str">
        <f>IF(Y$3="","",IF(COUNTIFS(BD!$A$3:$A$5001,Y$3,BD!$B$3:$B$5001,$A$323,BD!$AB$3:$AB$5001,"&lt;&gt;")=0,"",SUMIFS(BD!$AB$3:$AB$5001,BD!$A$3:$A$5001,Y$3,BD!$B$3:$B$5001,$A$323)))</f>
        <v/>
      </c>
      <c r="Z349" s="262" t="str">
        <f>IF(Z$3="","",IF(COUNTIFS(BD!$A$3:$A$5001,Z$3,BD!$B$3:$B$5001,$A$323,BD!$AB$3:$AB$5001,"&lt;&gt;")=0,"",SUMIFS(BD!$AB$3:$AB$5001,BD!$A$3:$A$5001,Z$3,BD!$B$3:$B$5001,$A$323)))</f>
        <v/>
      </c>
      <c r="AA349" s="262" t="str">
        <f>IF(AA$3="","",IF(COUNTIFS(BD!$A$3:$A$5001,AA$3,BD!$B$3:$B$5001,$A$323,BD!$AB$3:$AB$5001,"&lt;&gt;")=0,"",SUMIFS(BD!$AB$3:$AB$5001,BD!$A$3:$A$5001,AA$3,BD!$B$3:$B$5001,$A$323)))</f>
        <v/>
      </c>
      <c r="AB349" s="262" t="str">
        <f>IF(AB$3="","",IF(COUNTIFS(BD!$A$3:$A$5001,AB$3,BD!$B$3:$B$5001,$A$323,BD!$AB$3:$AB$5001,"&lt;&gt;")=0,"",SUMIFS(BD!$AB$3:$AB$5001,BD!$A$3:$A$5001,AB$3,BD!$B$3:$B$5001,$A$323)))</f>
        <v/>
      </c>
      <c r="AC349" s="262" t="str">
        <f>IF(AC$3="","",IF(COUNTIFS(BD!$A$3:$A$5001,AC$3,BD!$B$3:$B$5001,$A$323,BD!$AB$3:$AB$5001,"&lt;&gt;")=0,"",SUMIFS(BD!$AB$3:$AB$5001,BD!$A$3:$A$5001,AC$3,BD!$B$3:$B$5001,$A$323)))</f>
        <v/>
      </c>
      <c r="AD349" s="262" t="str">
        <f>IF(AD$3="","",IF(COUNTIFS(BD!$A$3:$A$5001,AD$3,BD!$B$3:$B$5001,$A$323,BD!$AB$3:$AB$5001,"&lt;&gt;")=0,"",SUMIFS(BD!$AB$3:$AB$5001,BD!$A$3:$A$5001,AD$3,BD!$B$3:$B$5001,$A$323)))</f>
        <v/>
      </c>
      <c r="AE349" s="262" t="str">
        <f>IF(AE$3="","",IF(COUNTIFS(BD!$A$3:$A$5001,AE$3,BD!$B$3:$B$5001,$A$323,BD!$AB$3:$AB$5001,"&lt;&gt;")=0,"",SUMIFS(BD!$AB$3:$AB$5001,BD!$A$3:$A$5001,AE$3,BD!$B$3:$B$5001,$A$323)))</f>
        <v/>
      </c>
      <c r="AF349" s="262" t="str">
        <f>IF(AF$3="","",IF(COUNTIFS(BD!$A$3:$A$5001,AF$3,BD!$B$3:$B$5001,$A$323,BD!$AB$3:$AB$5001,"&lt;&gt;")=0,"",SUMIFS(BD!$AB$3:$AB$5001,BD!$A$3:$A$5001,AF$3,BD!$B$3:$B$5001,$A$323)))</f>
        <v/>
      </c>
      <c r="AG349" s="262" t="str">
        <f>IF(AG$3="","",IF(COUNTIFS(BD!$A$3:$A$5001,AG$3,BD!$B$3:$B$5001,$A$323,BD!$AB$3:$AB$5001,"&lt;&gt;")=0,"",SUMIFS(BD!$AB$3:$AB$5001,BD!$A$3:$A$5001,AG$3,BD!$B$3:$B$5001,$A$323)))</f>
        <v/>
      </c>
      <c r="AH349" s="262" t="str">
        <f>IF(AH$3="","",IF(COUNTIFS(BD!$A$3:$A$5001,AH$3,BD!$B$3:$B$5001,$A$323,BD!$AB$3:$AB$5001,"&lt;&gt;")=0,"",SUMIFS(BD!$AB$3:$AB$5001,BD!$A$3:$A$5001,AH$3,BD!$B$3:$B$5001,$A$323)))</f>
        <v/>
      </c>
      <c r="AI349" s="262" t="str">
        <f>IF(AI$3="","",IF(COUNTIFS(BD!$A$3:$A$5001,AI$3,BD!$B$3:$B$5001,$A$323,BD!$AB$3:$AB$5001,"&lt;&gt;")=0,"",SUMIFS(BD!$AB$3:$AB$5001,BD!$A$3:$A$5001,AI$3,BD!$B$3:$B$5001,$A$323)))</f>
        <v/>
      </c>
      <c r="AJ349" s="263" t="str">
        <f>IF(AJ$3="","",IF(COUNTIFS(BD!$A$3:$A$5001,AJ$3,BD!$B$3:$B$5001,$A$323,BD!$AB$3:$AB$5001,"&lt;&gt;")=0,"",SUMIFS(BD!$AB$3:$AB$5001,BD!$A$3:$A$5001,AJ$3,BD!$B$3:$B$5001,$A$323)))</f>
        <v/>
      </c>
      <c r="AK349" s="259" t="str">
        <f>IF(COUNT(F349:AJ349)=0,"",SUM(F349:AJ349))</f>
        <v/>
      </c>
    </row>
    <row r="351" ht="15.75" customHeight="1" hidden="1">
      <c r="A351" s="276"/>
      <c r="B351" s="264" t="inlineStr">
        <is>
          <t xml:space="preserve">IN</t>
        </is>
      </c>
      <c r="C351" s="168" t="inlineStr">
        <is>
          <t xml:space="preserve">Veículos Recebidos</t>
        </is>
      </c>
      <c r="D351" s="169" t="str">
        <f>IFERROR(1/(1/INDEX(BD!$AF$23:$AZ$23,MATCH($A$351,BD!$AF$22:$AZ$22,0))),"")</f>
        <v/>
      </c>
      <c r="E351" s="170"/>
      <c r="F351" s="171" t="str">
        <f>IF(F$3="","",IF(COUNTIFS(BD!$A$3:$A$5001,F$3,BD!$B$3:$B$5001,$A$351,BD!$C$3:$C$5001,"&lt;&gt;")=0,"",SUMIFS(BD!$C$3:$C$5001,BD!$A$3:$A$5001,F$3,BD!$B$3:$B$5001,$A$351)))</f>
        <v/>
      </c>
      <c r="G351" s="172" t="str">
        <f>IF(G$3="","",IF(COUNTIFS(BD!$A$3:$A$5001,G$3,BD!$B$3:$B$5001,$A$351,BD!$C$3:$C$5001,"&lt;&gt;")=0,"",SUMIFS(BD!$C$3:$C$5001,BD!$A$3:$A$5001,G$3,BD!$B$3:$B$5001,$A$351)))</f>
        <v/>
      </c>
      <c r="H351" s="172" t="str">
        <f>IF(H$3="","",IF(COUNTIFS(BD!$A$3:$A$5001,H$3,BD!$B$3:$B$5001,$A$351,BD!$C$3:$C$5001,"&lt;&gt;")=0,"",SUMIFS(BD!$C$3:$C$5001,BD!$A$3:$A$5001,H$3,BD!$B$3:$B$5001,$A$351)))</f>
        <v/>
      </c>
      <c r="I351" s="172" t="str">
        <f>IF(I$3="","",IF(COUNTIFS(BD!$A$3:$A$5001,I$3,BD!$B$3:$B$5001,$A$351,BD!$C$3:$C$5001,"&lt;&gt;")=0,"",SUMIFS(BD!$C$3:$C$5001,BD!$A$3:$A$5001,I$3,BD!$B$3:$B$5001,$A$351)))</f>
        <v/>
      </c>
      <c r="J351" s="172" t="str">
        <f>IF(J$3="","",IF(COUNTIFS(BD!$A$3:$A$5001,J$3,BD!$B$3:$B$5001,$A$351,BD!$C$3:$C$5001,"&lt;&gt;")=0,"",SUMIFS(BD!$C$3:$C$5001,BD!$A$3:$A$5001,J$3,BD!$B$3:$B$5001,$A$351)))</f>
        <v/>
      </c>
      <c r="K351" s="172" t="str">
        <f>IF(K$3="","",IF(COUNTIFS(BD!$A$3:$A$5001,K$3,BD!$B$3:$B$5001,$A$351,BD!$C$3:$C$5001,"&lt;&gt;")=0,"",SUMIFS(BD!$C$3:$C$5001,BD!$A$3:$A$5001,K$3,BD!$B$3:$B$5001,$A$351)))</f>
        <v/>
      </c>
      <c r="L351" s="172" t="str">
        <f>IF(L$3="","",IF(COUNTIFS(BD!$A$3:$A$5001,L$3,BD!$B$3:$B$5001,$A$351,BD!$C$3:$C$5001,"&lt;&gt;")=0,"",SUMIFS(BD!$C$3:$C$5001,BD!$A$3:$A$5001,L$3,BD!$B$3:$B$5001,$A$351)))</f>
        <v/>
      </c>
      <c r="M351" s="172" t="str">
        <f>IF(M$3="","",IF(COUNTIFS(BD!$A$3:$A$5001,M$3,BD!$B$3:$B$5001,$A$351,BD!$C$3:$C$5001,"&lt;&gt;")=0,"",SUMIFS(BD!$C$3:$C$5001,BD!$A$3:$A$5001,M$3,BD!$B$3:$B$5001,$A$351)))</f>
        <v/>
      </c>
      <c r="N351" s="172" t="str">
        <f>IF(N$3="","",IF(COUNTIFS(BD!$A$3:$A$5001,N$3,BD!$B$3:$B$5001,$A$351,BD!$C$3:$C$5001,"&lt;&gt;")=0,"",SUMIFS(BD!$C$3:$C$5001,BD!$A$3:$A$5001,N$3,BD!$B$3:$B$5001,$A$351)))</f>
        <v/>
      </c>
      <c r="O351" s="172" t="str">
        <f>IF(O$3="","",IF(COUNTIFS(BD!$A$3:$A$5001,O$3,BD!$B$3:$B$5001,$A$351,BD!$C$3:$C$5001,"&lt;&gt;")=0,"",SUMIFS(BD!$C$3:$C$5001,BD!$A$3:$A$5001,O$3,BD!$B$3:$B$5001,$A$351)))</f>
        <v/>
      </c>
      <c r="P351" s="172" t="str">
        <f>IF(P$3="","",IF(COUNTIFS(BD!$A$3:$A$5001,P$3,BD!$B$3:$B$5001,$A$351,BD!$C$3:$C$5001,"&lt;&gt;")=0,"",SUMIFS(BD!$C$3:$C$5001,BD!$A$3:$A$5001,P$3,BD!$B$3:$B$5001,$A$351)))</f>
        <v/>
      </c>
      <c r="Q351" s="172" t="str">
        <f>IF(Q$3="","",IF(COUNTIFS(BD!$A$3:$A$5001,Q$3,BD!$B$3:$B$5001,$A$351,BD!$C$3:$C$5001,"&lt;&gt;")=0,"",SUMIFS(BD!$C$3:$C$5001,BD!$A$3:$A$5001,Q$3,BD!$B$3:$B$5001,$A$351)))</f>
        <v/>
      </c>
      <c r="R351" s="172" t="str">
        <f>IF(R$3="","",IF(COUNTIFS(BD!$A$3:$A$5001,R$3,BD!$B$3:$B$5001,$A$351,BD!$C$3:$C$5001,"&lt;&gt;")=0,"",SUMIFS(BD!$C$3:$C$5001,BD!$A$3:$A$5001,R$3,BD!$B$3:$B$5001,$A$351)))</f>
        <v/>
      </c>
      <c r="S351" s="172" t="str">
        <f>IF(S$3="","",IF(COUNTIFS(BD!$A$3:$A$5001,S$3,BD!$B$3:$B$5001,$A$351,BD!$C$3:$C$5001,"&lt;&gt;")=0,"",SUMIFS(BD!$C$3:$C$5001,BD!$A$3:$A$5001,S$3,BD!$B$3:$B$5001,$A$351)))</f>
        <v/>
      </c>
      <c r="T351" s="172" t="str">
        <f>IF(T$3="","",IF(COUNTIFS(BD!$A$3:$A$5001,T$3,BD!$B$3:$B$5001,$A$351,BD!$C$3:$C$5001,"&lt;&gt;")=0,"",SUMIFS(BD!$C$3:$C$5001,BD!$A$3:$A$5001,T$3,BD!$B$3:$B$5001,$A$351)))</f>
        <v/>
      </c>
      <c r="U351" s="172" t="str">
        <f>IF(U$3="","",IF(COUNTIFS(BD!$A$3:$A$5001,U$3,BD!$B$3:$B$5001,$A$351,BD!$C$3:$C$5001,"&lt;&gt;")=0,"",SUMIFS(BD!$C$3:$C$5001,BD!$A$3:$A$5001,U$3,BD!$B$3:$B$5001,$A$351)))</f>
        <v/>
      </c>
      <c r="V351" s="172" t="str">
        <f>IF(V$3="","",IF(COUNTIFS(BD!$A$3:$A$5001,V$3,BD!$B$3:$B$5001,$A$351,BD!$C$3:$C$5001,"&lt;&gt;")=0,"",SUMIFS(BD!$C$3:$C$5001,BD!$A$3:$A$5001,V$3,BD!$B$3:$B$5001,$A$351)))</f>
        <v/>
      </c>
      <c r="W351" s="172" t="str">
        <f>IF(W$3="","",IF(COUNTIFS(BD!$A$3:$A$5001,W$3,BD!$B$3:$B$5001,$A$351,BD!$C$3:$C$5001,"&lt;&gt;")=0,"",SUMIFS(BD!$C$3:$C$5001,BD!$A$3:$A$5001,W$3,BD!$B$3:$B$5001,$A$351)))</f>
        <v/>
      </c>
      <c r="X351" s="172" t="str">
        <f>IF(X$3="","",IF(COUNTIFS(BD!$A$3:$A$5001,X$3,BD!$B$3:$B$5001,$A$351,BD!$C$3:$C$5001,"&lt;&gt;")=0,"",SUMIFS(BD!$C$3:$C$5001,BD!$A$3:$A$5001,X$3,BD!$B$3:$B$5001,$A$351)))</f>
        <v/>
      </c>
      <c r="Y351" s="172" t="str">
        <f>IF(Y$3="","",IF(COUNTIFS(BD!$A$3:$A$5001,Y$3,BD!$B$3:$B$5001,$A$351,BD!$C$3:$C$5001,"&lt;&gt;")=0,"",SUMIFS(BD!$C$3:$C$5001,BD!$A$3:$A$5001,Y$3,BD!$B$3:$B$5001,$A$351)))</f>
        <v/>
      </c>
      <c r="Z351" s="172" t="str">
        <f>IF(Z$3="","",IF(COUNTIFS(BD!$A$3:$A$5001,Z$3,BD!$B$3:$B$5001,$A$351,BD!$C$3:$C$5001,"&lt;&gt;")=0,"",SUMIFS(BD!$C$3:$C$5001,BD!$A$3:$A$5001,Z$3,BD!$B$3:$B$5001,$A$351)))</f>
        <v/>
      </c>
      <c r="AA351" s="172" t="str">
        <f>IF(AA$3="","",IF(COUNTIFS(BD!$A$3:$A$5001,AA$3,BD!$B$3:$B$5001,$A$351,BD!$C$3:$C$5001,"&lt;&gt;")=0,"",SUMIFS(BD!$C$3:$C$5001,BD!$A$3:$A$5001,AA$3,BD!$B$3:$B$5001,$A$351)))</f>
        <v/>
      </c>
      <c r="AB351" s="172" t="str">
        <f>IF(AB$3="","",IF(COUNTIFS(BD!$A$3:$A$5001,AB$3,BD!$B$3:$B$5001,$A$351,BD!$C$3:$C$5001,"&lt;&gt;")=0,"",SUMIFS(BD!$C$3:$C$5001,BD!$A$3:$A$5001,AB$3,BD!$B$3:$B$5001,$A$351)))</f>
        <v/>
      </c>
      <c r="AC351" s="172" t="str">
        <f>IF(AC$3="","",IF(COUNTIFS(BD!$A$3:$A$5001,AC$3,BD!$B$3:$B$5001,$A$351,BD!$C$3:$C$5001,"&lt;&gt;")=0,"",SUMIFS(BD!$C$3:$C$5001,BD!$A$3:$A$5001,AC$3,BD!$B$3:$B$5001,$A$351)))</f>
        <v/>
      </c>
      <c r="AD351" s="172" t="str">
        <f>IF(AD$3="","",IF(COUNTIFS(BD!$A$3:$A$5001,AD$3,BD!$B$3:$B$5001,$A$351,BD!$C$3:$C$5001,"&lt;&gt;")=0,"",SUMIFS(BD!$C$3:$C$5001,BD!$A$3:$A$5001,AD$3,BD!$B$3:$B$5001,$A$351)))</f>
        <v/>
      </c>
      <c r="AE351" s="172" t="str">
        <f>IF(AE$3="","",IF(COUNTIFS(BD!$A$3:$A$5001,AE$3,BD!$B$3:$B$5001,$A$351,BD!$C$3:$C$5001,"&lt;&gt;")=0,"",SUMIFS(BD!$C$3:$C$5001,BD!$A$3:$A$5001,AE$3,BD!$B$3:$B$5001,$A$351)))</f>
        <v/>
      </c>
      <c r="AF351" s="172" t="str">
        <f>IF(AF$3="","",IF(COUNTIFS(BD!$A$3:$A$5001,AF$3,BD!$B$3:$B$5001,$A$351,BD!$C$3:$C$5001,"&lt;&gt;")=0,"",SUMIFS(BD!$C$3:$C$5001,BD!$A$3:$A$5001,AF$3,BD!$B$3:$B$5001,$A$351)))</f>
        <v/>
      </c>
      <c r="AG351" s="172" t="str">
        <f>IF(AG$3="","",IF(COUNTIFS(BD!$A$3:$A$5001,AG$3,BD!$B$3:$B$5001,$A$351,BD!$C$3:$C$5001,"&lt;&gt;")=0,"",SUMIFS(BD!$C$3:$C$5001,BD!$A$3:$A$5001,AG$3,BD!$B$3:$B$5001,$A$351)))</f>
        <v/>
      </c>
      <c r="AH351" s="172" t="str">
        <f>IF(AH$3="","",IF(COUNTIFS(BD!$A$3:$A$5001,AH$3,BD!$B$3:$B$5001,$A$351,BD!$C$3:$C$5001,"&lt;&gt;")=0,"",SUMIFS(BD!$C$3:$C$5001,BD!$A$3:$A$5001,AH$3,BD!$B$3:$B$5001,$A$351)))</f>
        <v/>
      </c>
      <c r="AI351" s="172" t="str">
        <f>IF(AI$3="","",IF(COUNTIFS(BD!$A$3:$A$5001,AI$3,BD!$B$3:$B$5001,$A$351,BD!$C$3:$C$5001,"&lt;&gt;")=0,"",SUMIFS(BD!$C$3:$C$5001,BD!$A$3:$A$5001,AI$3,BD!$B$3:$B$5001,$A$351)))</f>
        <v/>
      </c>
      <c r="AJ351" s="173" t="str">
        <f>IF(AJ$3="","",IF(COUNTIFS(BD!$A$3:$A$5001,AJ$3,BD!$B$3:$B$5001,$A$351,BD!$C$3:$C$5001,"&lt;&gt;")=0,"",SUMIFS(BD!$C$3:$C$5001,BD!$A$3:$A$5001,AJ$3,BD!$B$3:$B$5001,$A$351)))</f>
        <v/>
      </c>
      <c r="AK351" s="174" t="str">
        <f>IF(COUNT(F351:AJ351)=0,"",SUM(F351:AJ351))</f>
        <v/>
      </c>
    </row>
    <row r="352" ht="15.75" customHeight="1" hidden="1">
      <c r="A352" s="277"/>
      <c r="B352" s="265"/>
      <c r="C352" s="175" t="inlineStr">
        <is>
          <t xml:space="preserve">Pallets Movimentados</t>
        </is>
      </c>
      <c r="D352" s="176" t="str">
        <f>IFERROR(1/(1/INDEX(BD!$AF$24:$AZ$24,MATCH($A$351,BD!$AF$22:$AZ$22,0))),"")</f>
        <v/>
      </c>
      <c r="E352" s="177"/>
      <c r="F352" s="178" t="str">
        <f>IF(F$3="","",IF(COUNTIFS(BD!$A$3:$A$5001,F$3,BD!$B$3:$B$5001,$A$351,BD!$D$3:$D$5001,"&lt;&gt;")=0,"",SUMIFS(BD!$D$3:$D$5001,BD!$A$3:$A$5001,F$3,BD!$B$3:$B$5001,$A$351)))</f>
        <v/>
      </c>
      <c r="G352" s="179" t="str">
        <f>IF(G$3="","",IF(COUNTIFS(BD!$A$3:$A$5001,G$3,BD!$B$3:$B$5001,$A$351,BD!$D$3:$D$5001,"&lt;&gt;")=0,"",SUMIFS(BD!$D$3:$D$5001,BD!$A$3:$A$5001,G$3,BD!$B$3:$B$5001,$A$351)))</f>
        <v/>
      </c>
      <c r="H352" s="179" t="str">
        <f>IF(H$3="","",IF(COUNTIFS(BD!$A$3:$A$5001,H$3,BD!$B$3:$B$5001,$A$351,BD!$D$3:$D$5001,"&lt;&gt;")=0,"",SUMIFS(BD!$D$3:$D$5001,BD!$A$3:$A$5001,H$3,BD!$B$3:$B$5001,$A$351)))</f>
        <v/>
      </c>
      <c r="I352" s="179" t="str">
        <f>IF(I$3="","",IF(COUNTIFS(BD!$A$3:$A$5001,I$3,BD!$B$3:$B$5001,$A$351,BD!$D$3:$D$5001,"&lt;&gt;")=0,"",SUMIFS(BD!$D$3:$D$5001,BD!$A$3:$A$5001,I$3,BD!$B$3:$B$5001,$A$351)))</f>
        <v/>
      </c>
      <c r="J352" s="179" t="str">
        <f>IF(J$3="","",IF(COUNTIFS(BD!$A$3:$A$5001,J$3,BD!$B$3:$B$5001,$A$351,BD!$D$3:$D$5001,"&lt;&gt;")=0,"",SUMIFS(BD!$D$3:$D$5001,BD!$A$3:$A$5001,J$3,BD!$B$3:$B$5001,$A$351)))</f>
        <v/>
      </c>
      <c r="K352" s="179" t="str">
        <f>IF(K$3="","",IF(COUNTIFS(BD!$A$3:$A$5001,K$3,BD!$B$3:$B$5001,$A$351,BD!$D$3:$D$5001,"&lt;&gt;")=0,"",SUMIFS(BD!$D$3:$D$5001,BD!$A$3:$A$5001,K$3,BD!$B$3:$B$5001,$A$351)))</f>
        <v/>
      </c>
      <c r="L352" s="179" t="str">
        <f>IF(L$3="","",IF(COUNTIFS(BD!$A$3:$A$5001,L$3,BD!$B$3:$B$5001,$A$351,BD!$D$3:$D$5001,"&lt;&gt;")=0,"",SUMIFS(BD!$D$3:$D$5001,BD!$A$3:$A$5001,L$3,BD!$B$3:$B$5001,$A$351)))</f>
        <v/>
      </c>
      <c r="M352" s="179" t="str">
        <f>IF(M$3="","",IF(COUNTIFS(BD!$A$3:$A$5001,M$3,BD!$B$3:$B$5001,$A$351,BD!$D$3:$D$5001,"&lt;&gt;")=0,"",SUMIFS(BD!$D$3:$D$5001,BD!$A$3:$A$5001,M$3,BD!$B$3:$B$5001,$A$351)))</f>
        <v/>
      </c>
      <c r="N352" s="179" t="str">
        <f>IF(N$3="","",IF(COUNTIFS(BD!$A$3:$A$5001,N$3,BD!$B$3:$B$5001,$A$351,BD!$D$3:$D$5001,"&lt;&gt;")=0,"",SUMIFS(BD!$D$3:$D$5001,BD!$A$3:$A$5001,N$3,BD!$B$3:$B$5001,$A$351)))</f>
        <v/>
      </c>
      <c r="O352" s="179" t="str">
        <f>IF(O$3="","",IF(COUNTIFS(BD!$A$3:$A$5001,O$3,BD!$B$3:$B$5001,$A$351,BD!$D$3:$D$5001,"&lt;&gt;")=0,"",SUMIFS(BD!$D$3:$D$5001,BD!$A$3:$A$5001,O$3,BD!$B$3:$B$5001,$A$351)))</f>
        <v/>
      </c>
      <c r="P352" s="179" t="str">
        <f>IF(P$3="","",IF(COUNTIFS(BD!$A$3:$A$5001,P$3,BD!$B$3:$B$5001,$A$351,BD!$D$3:$D$5001,"&lt;&gt;")=0,"",SUMIFS(BD!$D$3:$D$5001,BD!$A$3:$A$5001,P$3,BD!$B$3:$B$5001,$A$351)))</f>
        <v/>
      </c>
      <c r="Q352" s="179" t="str">
        <f>IF(Q$3="","",IF(COUNTIFS(BD!$A$3:$A$5001,Q$3,BD!$B$3:$B$5001,$A$351,BD!$D$3:$D$5001,"&lt;&gt;")=0,"",SUMIFS(BD!$D$3:$D$5001,BD!$A$3:$A$5001,Q$3,BD!$B$3:$B$5001,$A$351)))</f>
        <v/>
      </c>
      <c r="R352" s="179" t="str">
        <f>IF(R$3="","",IF(COUNTIFS(BD!$A$3:$A$5001,R$3,BD!$B$3:$B$5001,$A$351,BD!$D$3:$D$5001,"&lt;&gt;")=0,"",SUMIFS(BD!$D$3:$D$5001,BD!$A$3:$A$5001,R$3,BD!$B$3:$B$5001,$A$351)))</f>
        <v/>
      </c>
      <c r="S352" s="179" t="str">
        <f>IF(S$3="","",IF(COUNTIFS(BD!$A$3:$A$5001,S$3,BD!$B$3:$B$5001,$A$351,BD!$D$3:$D$5001,"&lt;&gt;")=0,"",SUMIFS(BD!$D$3:$D$5001,BD!$A$3:$A$5001,S$3,BD!$B$3:$B$5001,$A$351)))</f>
        <v/>
      </c>
      <c r="T352" s="179" t="str">
        <f>IF(T$3="","",IF(COUNTIFS(BD!$A$3:$A$5001,T$3,BD!$B$3:$B$5001,$A$351,BD!$D$3:$D$5001,"&lt;&gt;")=0,"",SUMIFS(BD!$D$3:$D$5001,BD!$A$3:$A$5001,T$3,BD!$B$3:$B$5001,$A$351)))</f>
        <v/>
      </c>
      <c r="U352" s="179" t="str">
        <f>IF(U$3="","",IF(COUNTIFS(BD!$A$3:$A$5001,U$3,BD!$B$3:$B$5001,$A$351,BD!$D$3:$D$5001,"&lt;&gt;")=0,"",SUMIFS(BD!$D$3:$D$5001,BD!$A$3:$A$5001,U$3,BD!$B$3:$B$5001,$A$351)))</f>
        <v/>
      </c>
      <c r="V352" s="179" t="str">
        <f>IF(V$3="","",IF(COUNTIFS(BD!$A$3:$A$5001,V$3,BD!$B$3:$B$5001,$A$351,BD!$D$3:$D$5001,"&lt;&gt;")=0,"",SUMIFS(BD!$D$3:$D$5001,BD!$A$3:$A$5001,V$3,BD!$B$3:$B$5001,$A$351)))</f>
        <v/>
      </c>
      <c r="W352" s="179" t="str">
        <f>IF(W$3="","",IF(COUNTIFS(BD!$A$3:$A$5001,W$3,BD!$B$3:$B$5001,$A$351,BD!$D$3:$D$5001,"&lt;&gt;")=0,"",SUMIFS(BD!$D$3:$D$5001,BD!$A$3:$A$5001,W$3,BD!$B$3:$B$5001,$A$351)))</f>
        <v/>
      </c>
      <c r="X352" s="179" t="str">
        <f>IF(X$3="","",IF(COUNTIFS(BD!$A$3:$A$5001,X$3,BD!$B$3:$B$5001,$A$351,BD!$D$3:$D$5001,"&lt;&gt;")=0,"",SUMIFS(BD!$D$3:$D$5001,BD!$A$3:$A$5001,X$3,BD!$B$3:$B$5001,$A$351)))</f>
        <v/>
      </c>
      <c r="Y352" s="179" t="str">
        <f>IF(Y$3="","",IF(COUNTIFS(BD!$A$3:$A$5001,Y$3,BD!$B$3:$B$5001,$A$351,BD!$D$3:$D$5001,"&lt;&gt;")=0,"",SUMIFS(BD!$D$3:$D$5001,BD!$A$3:$A$5001,Y$3,BD!$B$3:$B$5001,$A$351)))</f>
        <v/>
      </c>
      <c r="Z352" s="179" t="str">
        <f>IF(Z$3="","",IF(COUNTIFS(BD!$A$3:$A$5001,Z$3,BD!$B$3:$B$5001,$A$351,BD!$D$3:$D$5001,"&lt;&gt;")=0,"",SUMIFS(BD!$D$3:$D$5001,BD!$A$3:$A$5001,Z$3,BD!$B$3:$B$5001,$A$351)))</f>
        <v/>
      </c>
      <c r="AA352" s="179" t="str">
        <f>IF(AA$3="","",IF(COUNTIFS(BD!$A$3:$A$5001,AA$3,BD!$B$3:$B$5001,$A$351,BD!$D$3:$D$5001,"&lt;&gt;")=0,"",SUMIFS(BD!$D$3:$D$5001,BD!$A$3:$A$5001,AA$3,BD!$B$3:$B$5001,$A$351)))</f>
        <v/>
      </c>
      <c r="AB352" s="179" t="str">
        <f>IF(AB$3="","",IF(COUNTIFS(BD!$A$3:$A$5001,AB$3,BD!$B$3:$B$5001,$A$351,BD!$D$3:$D$5001,"&lt;&gt;")=0,"",SUMIFS(BD!$D$3:$D$5001,BD!$A$3:$A$5001,AB$3,BD!$B$3:$B$5001,$A$351)))</f>
        <v/>
      </c>
      <c r="AC352" s="179" t="str">
        <f>IF(AC$3="","",IF(COUNTIFS(BD!$A$3:$A$5001,AC$3,BD!$B$3:$B$5001,$A$351,BD!$D$3:$D$5001,"&lt;&gt;")=0,"",SUMIFS(BD!$D$3:$D$5001,BD!$A$3:$A$5001,AC$3,BD!$B$3:$B$5001,$A$351)))</f>
        <v/>
      </c>
      <c r="AD352" s="179" t="str">
        <f>IF(AD$3="","",IF(COUNTIFS(BD!$A$3:$A$5001,AD$3,BD!$B$3:$B$5001,$A$351,BD!$D$3:$D$5001,"&lt;&gt;")=0,"",SUMIFS(BD!$D$3:$D$5001,BD!$A$3:$A$5001,AD$3,BD!$B$3:$B$5001,$A$351)))</f>
        <v/>
      </c>
      <c r="AE352" s="179" t="str">
        <f>IF(AE$3="","",IF(COUNTIFS(BD!$A$3:$A$5001,AE$3,BD!$B$3:$B$5001,$A$351,BD!$D$3:$D$5001,"&lt;&gt;")=0,"",SUMIFS(BD!$D$3:$D$5001,BD!$A$3:$A$5001,AE$3,BD!$B$3:$B$5001,$A$351)))</f>
        <v/>
      </c>
      <c r="AF352" s="179" t="str">
        <f>IF(AF$3="","",IF(COUNTIFS(BD!$A$3:$A$5001,AF$3,BD!$B$3:$B$5001,$A$351,BD!$D$3:$D$5001,"&lt;&gt;")=0,"",SUMIFS(BD!$D$3:$D$5001,BD!$A$3:$A$5001,AF$3,BD!$B$3:$B$5001,$A$351)))</f>
        <v/>
      </c>
      <c r="AG352" s="179" t="str">
        <f>IF(AG$3="","",IF(COUNTIFS(BD!$A$3:$A$5001,AG$3,BD!$B$3:$B$5001,$A$351,BD!$D$3:$D$5001,"&lt;&gt;")=0,"",SUMIFS(BD!$D$3:$D$5001,BD!$A$3:$A$5001,AG$3,BD!$B$3:$B$5001,$A$351)))</f>
        <v/>
      </c>
      <c r="AH352" s="179" t="str">
        <f>IF(AH$3="","",IF(COUNTIFS(BD!$A$3:$A$5001,AH$3,BD!$B$3:$B$5001,$A$351,BD!$D$3:$D$5001,"&lt;&gt;")=0,"",SUMIFS(BD!$D$3:$D$5001,BD!$A$3:$A$5001,AH$3,BD!$B$3:$B$5001,$A$351)))</f>
        <v/>
      </c>
      <c r="AI352" s="179" t="str">
        <f>IF(AI$3="","",IF(COUNTIFS(BD!$A$3:$A$5001,AI$3,BD!$B$3:$B$5001,$A$351,BD!$D$3:$D$5001,"&lt;&gt;")=0,"",SUMIFS(BD!$D$3:$D$5001,BD!$A$3:$A$5001,AI$3,BD!$B$3:$B$5001,$A$351)))</f>
        <v/>
      </c>
      <c r="AJ352" s="180" t="str">
        <f>IF(AJ$3="","",IF(COUNTIFS(BD!$A$3:$A$5001,AJ$3,BD!$B$3:$B$5001,$A$351,BD!$D$3:$D$5001,"&lt;&gt;")=0,"",SUMIFS(BD!$D$3:$D$5001,BD!$A$3:$A$5001,AJ$3,BD!$B$3:$B$5001,$A$351)))</f>
        <v/>
      </c>
      <c r="AK352" s="181" t="str">
        <f>IF(COUNT(F352:AJ352)=0,"",SUM(F352:AJ352))</f>
        <v/>
      </c>
    </row>
    <row r="353" ht="15.75" customHeight="1" hidden="1">
      <c r="A353" s="277"/>
      <c r="B353" s="265"/>
      <c r="C353" s="175" t="inlineStr">
        <is>
          <t xml:space="preserve">Toneladas Movimentadas</t>
        </is>
      </c>
      <c r="D353" s="176" t="str">
        <f>IFERROR(1/(1/INDEX(BD!$AF$25:$AZ$25,MATCH($A$351,BD!$AF$22:$AZ$22,0))),"")</f>
        <v/>
      </c>
      <c r="E353" s="177"/>
      <c r="F353" s="182" t="str">
        <f>IF(F$3="","",IF(COUNTIFS(BD!$A$3:$A$5001,F$3,BD!$B$3:$B$5001,$A$351,BD!$E$3:$E$5001,"&lt;&gt;")=0,"",SUMIFS(BD!$E$3:$E$5001,BD!$A$3:$A$5001,F$3,BD!$B$3:$B$5001,$A$351)))</f>
        <v/>
      </c>
      <c r="G353" s="183" t="str">
        <f>IF(G$3="","",IF(COUNTIFS(BD!$A$3:$A$5001,G$3,BD!$B$3:$B$5001,$A$351,BD!$E$3:$E$5001,"&lt;&gt;")=0,"",SUMIFS(BD!$E$3:$E$5001,BD!$A$3:$A$5001,G$3,BD!$B$3:$B$5001,$A$351)))</f>
        <v/>
      </c>
      <c r="H353" s="183" t="str">
        <f>IF(H$3="","",IF(COUNTIFS(BD!$A$3:$A$5001,H$3,BD!$B$3:$B$5001,$A$351,BD!$E$3:$E$5001,"&lt;&gt;")=0,"",SUMIFS(BD!$E$3:$E$5001,BD!$A$3:$A$5001,H$3,BD!$B$3:$B$5001,$A$351)))</f>
        <v/>
      </c>
      <c r="I353" s="183" t="str">
        <f>IF(I$3="","",IF(COUNTIFS(BD!$A$3:$A$5001,I$3,BD!$B$3:$B$5001,$A$351,BD!$E$3:$E$5001,"&lt;&gt;")=0,"",SUMIFS(BD!$E$3:$E$5001,BD!$A$3:$A$5001,I$3,BD!$B$3:$B$5001,$A$351)))</f>
        <v/>
      </c>
      <c r="J353" s="183" t="str">
        <f>IF(J$3="","",IF(COUNTIFS(BD!$A$3:$A$5001,J$3,BD!$B$3:$B$5001,$A$351,BD!$E$3:$E$5001,"&lt;&gt;")=0,"",SUMIFS(BD!$E$3:$E$5001,BD!$A$3:$A$5001,J$3,BD!$B$3:$B$5001,$A$351)))</f>
        <v/>
      </c>
      <c r="K353" s="183" t="str">
        <f>IF(K$3="","",IF(COUNTIFS(BD!$A$3:$A$5001,K$3,BD!$B$3:$B$5001,$A$351,BD!$E$3:$E$5001,"&lt;&gt;")=0,"",SUMIFS(BD!$E$3:$E$5001,BD!$A$3:$A$5001,K$3,BD!$B$3:$B$5001,$A$351)))</f>
        <v/>
      </c>
      <c r="L353" s="183" t="str">
        <f>IF(L$3="","",IF(COUNTIFS(BD!$A$3:$A$5001,L$3,BD!$B$3:$B$5001,$A$351,BD!$E$3:$E$5001,"&lt;&gt;")=0,"",SUMIFS(BD!$E$3:$E$5001,BD!$A$3:$A$5001,L$3,BD!$B$3:$B$5001,$A$351)))</f>
        <v/>
      </c>
      <c r="M353" s="183" t="str">
        <f>IF(M$3="","",IF(COUNTIFS(BD!$A$3:$A$5001,M$3,BD!$B$3:$B$5001,$A$351,BD!$E$3:$E$5001,"&lt;&gt;")=0,"",SUMIFS(BD!$E$3:$E$5001,BD!$A$3:$A$5001,M$3,BD!$B$3:$B$5001,$A$351)))</f>
        <v/>
      </c>
      <c r="N353" s="183" t="str">
        <f>IF(N$3="","",IF(COUNTIFS(BD!$A$3:$A$5001,N$3,BD!$B$3:$B$5001,$A$351,BD!$E$3:$E$5001,"&lt;&gt;")=0,"",SUMIFS(BD!$E$3:$E$5001,BD!$A$3:$A$5001,N$3,BD!$B$3:$B$5001,$A$351)))</f>
        <v/>
      </c>
      <c r="O353" s="183" t="str">
        <f>IF(O$3="","",IF(COUNTIFS(BD!$A$3:$A$5001,O$3,BD!$B$3:$B$5001,$A$351,BD!$E$3:$E$5001,"&lt;&gt;")=0,"",SUMIFS(BD!$E$3:$E$5001,BD!$A$3:$A$5001,O$3,BD!$B$3:$B$5001,$A$351)))</f>
        <v/>
      </c>
      <c r="P353" s="183" t="str">
        <f>IF(P$3="","",IF(COUNTIFS(BD!$A$3:$A$5001,P$3,BD!$B$3:$B$5001,$A$351,BD!$E$3:$E$5001,"&lt;&gt;")=0,"",SUMIFS(BD!$E$3:$E$5001,BD!$A$3:$A$5001,P$3,BD!$B$3:$B$5001,$A$351)))</f>
        <v/>
      </c>
      <c r="Q353" s="183" t="str">
        <f>IF(Q$3="","",IF(COUNTIFS(BD!$A$3:$A$5001,Q$3,BD!$B$3:$B$5001,$A$351,BD!$E$3:$E$5001,"&lt;&gt;")=0,"",SUMIFS(BD!$E$3:$E$5001,BD!$A$3:$A$5001,Q$3,BD!$B$3:$B$5001,$A$351)))</f>
        <v/>
      </c>
      <c r="R353" s="183" t="str">
        <f>IF(R$3="","",IF(COUNTIFS(BD!$A$3:$A$5001,R$3,BD!$B$3:$B$5001,$A$351,BD!$E$3:$E$5001,"&lt;&gt;")=0,"",SUMIFS(BD!$E$3:$E$5001,BD!$A$3:$A$5001,R$3,BD!$B$3:$B$5001,$A$351)))</f>
        <v/>
      </c>
      <c r="S353" s="183" t="str">
        <f>IF(S$3="","",IF(COUNTIFS(BD!$A$3:$A$5001,S$3,BD!$B$3:$B$5001,$A$351,BD!$E$3:$E$5001,"&lt;&gt;")=0,"",SUMIFS(BD!$E$3:$E$5001,BD!$A$3:$A$5001,S$3,BD!$B$3:$B$5001,$A$351)))</f>
        <v/>
      </c>
      <c r="T353" s="183" t="str">
        <f>IF(T$3="","",IF(COUNTIFS(BD!$A$3:$A$5001,T$3,BD!$B$3:$B$5001,$A$351,BD!$E$3:$E$5001,"&lt;&gt;")=0,"",SUMIFS(BD!$E$3:$E$5001,BD!$A$3:$A$5001,T$3,BD!$B$3:$B$5001,$A$351)))</f>
        <v/>
      </c>
      <c r="U353" s="183" t="str">
        <f>IF(U$3="","",IF(COUNTIFS(BD!$A$3:$A$5001,U$3,BD!$B$3:$B$5001,$A$351,BD!$E$3:$E$5001,"&lt;&gt;")=0,"",SUMIFS(BD!$E$3:$E$5001,BD!$A$3:$A$5001,U$3,BD!$B$3:$B$5001,$A$351)))</f>
        <v/>
      </c>
      <c r="V353" s="183" t="str">
        <f>IF(V$3="","",IF(COUNTIFS(BD!$A$3:$A$5001,V$3,BD!$B$3:$B$5001,$A$351,BD!$E$3:$E$5001,"&lt;&gt;")=0,"",SUMIFS(BD!$E$3:$E$5001,BD!$A$3:$A$5001,V$3,BD!$B$3:$B$5001,$A$351)))</f>
        <v/>
      </c>
      <c r="W353" s="183" t="str">
        <f>IF(W$3="","",IF(COUNTIFS(BD!$A$3:$A$5001,W$3,BD!$B$3:$B$5001,$A$351,BD!$E$3:$E$5001,"&lt;&gt;")=0,"",SUMIFS(BD!$E$3:$E$5001,BD!$A$3:$A$5001,W$3,BD!$B$3:$B$5001,$A$351)))</f>
        <v/>
      </c>
      <c r="X353" s="183" t="str">
        <f>IF(X$3="","",IF(COUNTIFS(BD!$A$3:$A$5001,X$3,BD!$B$3:$B$5001,$A$351,BD!$E$3:$E$5001,"&lt;&gt;")=0,"",SUMIFS(BD!$E$3:$E$5001,BD!$A$3:$A$5001,X$3,BD!$B$3:$B$5001,$A$351)))</f>
        <v/>
      </c>
      <c r="Y353" s="183" t="str">
        <f>IF(Y$3="","",IF(COUNTIFS(BD!$A$3:$A$5001,Y$3,BD!$B$3:$B$5001,$A$351,BD!$E$3:$E$5001,"&lt;&gt;")=0,"",SUMIFS(BD!$E$3:$E$5001,BD!$A$3:$A$5001,Y$3,BD!$B$3:$B$5001,$A$351)))</f>
        <v/>
      </c>
      <c r="Z353" s="183" t="str">
        <f>IF(Z$3="","",IF(COUNTIFS(BD!$A$3:$A$5001,Z$3,BD!$B$3:$B$5001,$A$351,BD!$E$3:$E$5001,"&lt;&gt;")=0,"",SUMIFS(BD!$E$3:$E$5001,BD!$A$3:$A$5001,Z$3,BD!$B$3:$B$5001,$A$351)))</f>
        <v/>
      </c>
      <c r="AA353" s="183" t="str">
        <f>IF(AA$3="","",IF(COUNTIFS(BD!$A$3:$A$5001,AA$3,BD!$B$3:$B$5001,$A$351,BD!$E$3:$E$5001,"&lt;&gt;")=0,"",SUMIFS(BD!$E$3:$E$5001,BD!$A$3:$A$5001,AA$3,BD!$B$3:$B$5001,$A$351)))</f>
        <v/>
      </c>
      <c r="AB353" s="183" t="str">
        <f>IF(AB$3="","",IF(COUNTIFS(BD!$A$3:$A$5001,AB$3,BD!$B$3:$B$5001,$A$351,BD!$E$3:$E$5001,"&lt;&gt;")=0,"",SUMIFS(BD!$E$3:$E$5001,BD!$A$3:$A$5001,AB$3,BD!$B$3:$B$5001,$A$351)))</f>
        <v/>
      </c>
      <c r="AC353" s="183" t="str">
        <f>IF(AC$3="","",IF(COUNTIFS(BD!$A$3:$A$5001,AC$3,BD!$B$3:$B$5001,$A$351,BD!$E$3:$E$5001,"&lt;&gt;")=0,"",SUMIFS(BD!$E$3:$E$5001,BD!$A$3:$A$5001,AC$3,BD!$B$3:$B$5001,$A$351)))</f>
        <v/>
      </c>
      <c r="AD353" s="183" t="str">
        <f>IF(AD$3="","",IF(COUNTIFS(BD!$A$3:$A$5001,AD$3,BD!$B$3:$B$5001,$A$351,BD!$E$3:$E$5001,"&lt;&gt;")=0,"",SUMIFS(BD!$E$3:$E$5001,BD!$A$3:$A$5001,AD$3,BD!$B$3:$B$5001,$A$351)))</f>
        <v/>
      </c>
      <c r="AE353" s="183" t="str">
        <f>IF(AE$3="","",IF(COUNTIFS(BD!$A$3:$A$5001,AE$3,BD!$B$3:$B$5001,$A$351,BD!$E$3:$E$5001,"&lt;&gt;")=0,"",SUMIFS(BD!$E$3:$E$5001,BD!$A$3:$A$5001,AE$3,BD!$B$3:$B$5001,$A$351)))</f>
        <v/>
      </c>
      <c r="AF353" s="183" t="str">
        <f>IF(AF$3="","",IF(COUNTIFS(BD!$A$3:$A$5001,AF$3,BD!$B$3:$B$5001,$A$351,BD!$E$3:$E$5001,"&lt;&gt;")=0,"",SUMIFS(BD!$E$3:$E$5001,BD!$A$3:$A$5001,AF$3,BD!$B$3:$B$5001,$A$351)))</f>
        <v/>
      </c>
      <c r="AG353" s="183" t="str">
        <f>IF(AG$3="","",IF(COUNTIFS(BD!$A$3:$A$5001,AG$3,BD!$B$3:$B$5001,$A$351,BD!$E$3:$E$5001,"&lt;&gt;")=0,"",SUMIFS(BD!$E$3:$E$5001,BD!$A$3:$A$5001,AG$3,BD!$B$3:$B$5001,$A$351)))</f>
        <v/>
      </c>
      <c r="AH353" s="183" t="str">
        <f>IF(AH$3="","",IF(COUNTIFS(BD!$A$3:$A$5001,AH$3,BD!$B$3:$B$5001,$A$351,BD!$E$3:$E$5001,"&lt;&gt;")=0,"",SUMIFS(BD!$E$3:$E$5001,BD!$A$3:$A$5001,AH$3,BD!$B$3:$B$5001,$A$351)))</f>
        <v/>
      </c>
      <c r="AI353" s="183" t="str">
        <f>IF(AI$3="","",IF(COUNTIFS(BD!$A$3:$A$5001,AI$3,BD!$B$3:$B$5001,$A$351,BD!$E$3:$E$5001,"&lt;&gt;")=0,"",SUMIFS(BD!$E$3:$E$5001,BD!$A$3:$A$5001,AI$3,BD!$B$3:$B$5001,$A$351)))</f>
        <v/>
      </c>
      <c r="AJ353" s="184" t="str">
        <f>IF(AJ$3="","",IF(COUNTIFS(BD!$A$3:$A$5001,AJ$3,BD!$B$3:$B$5001,$A$351,BD!$E$3:$E$5001,"&lt;&gt;")=0,"",SUMIFS(BD!$E$3:$E$5001,BD!$A$3:$A$5001,AJ$3,BD!$B$3:$B$5001,$A$351)))</f>
        <v/>
      </c>
      <c r="AK353" s="185" t="str">
        <f>IF(COUNT(F353:AJ353)=0,"",SUM(F353:AJ353))</f>
        <v/>
      </c>
    </row>
    <row r="354" ht="15.75" customHeight="1" hidden="1">
      <c r="A354" s="277"/>
      <c r="B354" s="265"/>
      <c r="C354" s="175" t="inlineStr">
        <is>
          <t xml:space="preserve">Caixas Recebidas</t>
        </is>
      </c>
      <c r="D354" s="176" t="str">
        <f>IFERROR(1/(1/INDEX(BD!$AF$26:$AZ$26,MATCH($A$351,BD!$AF$22:$AZ$22,0))),"")</f>
        <v/>
      </c>
      <c r="E354" s="177"/>
      <c r="F354" s="178" t="str">
        <f>IF(F$3="","",IF(COUNTIFS(BD!$A$3:$A$5001,F$3,BD!$B$3:$B$5001,$A$351,BD!$F$3:$F$5001,"&lt;&gt;")=0,"",SUMIFS(BD!$F$3:$F$5001,BD!$A$3:$A$5001,F$3,BD!$B$3:$B$5001,$A$351)))</f>
        <v/>
      </c>
      <c r="G354" s="179" t="str">
        <f>IF(G$3="","",IF(COUNTIFS(BD!$A$3:$A$5001,G$3,BD!$B$3:$B$5001,$A$351,BD!$F$3:$F$5001,"&lt;&gt;")=0,"",SUMIFS(BD!$F$3:$F$5001,BD!$A$3:$A$5001,G$3,BD!$B$3:$B$5001,$A$351)))</f>
        <v/>
      </c>
      <c r="H354" s="179" t="str">
        <f>IF(H$3="","",IF(COUNTIFS(BD!$A$3:$A$5001,H$3,BD!$B$3:$B$5001,$A$351,BD!$F$3:$F$5001,"&lt;&gt;")=0,"",SUMIFS(BD!$F$3:$F$5001,BD!$A$3:$A$5001,H$3,BD!$B$3:$B$5001,$A$351)))</f>
        <v/>
      </c>
      <c r="I354" s="179" t="str">
        <f>IF(I$3="","",IF(COUNTIFS(BD!$A$3:$A$5001,I$3,BD!$B$3:$B$5001,$A$351,BD!$F$3:$F$5001,"&lt;&gt;")=0,"",SUMIFS(BD!$F$3:$F$5001,BD!$A$3:$A$5001,I$3,BD!$B$3:$B$5001,$A$351)))</f>
        <v/>
      </c>
      <c r="J354" s="179" t="str">
        <f>IF(J$3="","",IF(COUNTIFS(BD!$A$3:$A$5001,J$3,BD!$B$3:$B$5001,$A$351,BD!$F$3:$F$5001,"&lt;&gt;")=0,"",SUMIFS(BD!$F$3:$F$5001,BD!$A$3:$A$5001,J$3,BD!$B$3:$B$5001,$A$351)))</f>
        <v/>
      </c>
      <c r="K354" s="179" t="str">
        <f>IF(K$3="","",IF(COUNTIFS(BD!$A$3:$A$5001,K$3,BD!$B$3:$B$5001,$A$351,BD!$F$3:$F$5001,"&lt;&gt;")=0,"",SUMIFS(BD!$F$3:$F$5001,BD!$A$3:$A$5001,K$3,BD!$B$3:$B$5001,$A$351)))</f>
        <v/>
      </c>
      <c r="L354" s="179" t="str">
        <f>IF(L$3="","",IF(COUNTIFS(BD!$A$3:$A$5001,L$3,BD!$B$3:$B$5001,$A$351,BD!$F$3:$F$5001,"&lt;&gt;")=0,"",SUMIFS(BD!$F$3:$F$5001,BD!$A$3:$A$5001,L$3,BD!$B$3:$B$5001,$A$351)))</f>
        <v/>
      </c>
      <c r="M354" s="179" t="str">
        <f>IF(M$3="","",IF(COUNTIFS(BD!$A$3:$A$5001,M$3,BD!$B$3:$B$5001,$A$351,BD!$F$3:$F$5001,"&lt;&gt;")=0,"",SUMIFS(BD!$F$3:$F$5001,BD!$A$3:$A$5001,M$3,BD!$B$3:$B$5001,$A$351)))</f>
        <v/>
      </c>
      <c r="N354" s="179" t="str">
        <f>IF(N$3="","",IF(COUNTIFS(BD!$A$3:$A$5001,N$3,BD!$B$3:$B$5001,$A$351,BD!$F$3:$F$5001,"&lt;&gt;")=0,"",SUMIFS(BD!$F$3:$F$5001,BD!$A$3:$A$5001,N$3,BD!$B$3:$B$5001,$A$351)))</f>
        <v/>
      </c>
      <c r="O354" s="179" t="str">
        <f>IF(O$3="","",IF(COUNTIFS(BD!$A$3:$A$5001,O$3,BD!$B$3:$B$5001,$A$351,BD!$F$3:$F$5001,"&lt;&gt;")=0,"",SUMIFS(BD!$F$3:$F$5001,BD!$A$3:$A$5001,O$3,BD!$B$3:$B$5001,$A$351)))</f>
        <v/>
      </c>
      <c r="P354" s="179" t="str">
        <f>IF(P$3="","",IF(COUNTIFS(BD!$A$3:$A$5001,P$3,BD!$B$3:$B$5001,$A$351,BD!$F$3:$F$5001,"&lt;&gt;")=0,"",SUMIFS(BD!$F$3:$F$5001,BD!$A$3:$A$5001,P$3,BD!$B$3:$B$5001,$A$351)))</f>
        <v/>
      </c>
      <c r="Q354" s="179" t="str">
        <f>IF(Q$3="","",IF(COUNTIFS(BD!$A$3:$A$5001,Q$3,BD!$B$3:$B$5001,$A$351,BD!$F$3:$F$5001,"&lt;&gt;")=0,"",SUMIFS(BD!$F$3:$F$5001,BD!$A$3:$A$5001,Q$3,BD!$B$3:$B$5001,$A$351)))</f>
        <v/>
      </c>
      <c r="R354" s="179" t="str">
        <f>IF(R$3="","",IF(COUNTIFS(BD!$A$3:$A$5001,R$3,BD!$B$3:$B$5001,$A$351,BD!$F$3:$F$5001,"&lt;&gt;")=0,"",SUMIFS(BD!$F$3:$F$5001,BD!$A$3:$A$5001,R$3,BD!$B$3:$B$5001,$A$351)))</f>
        <v/>
      </c>
      <c r="S354" s="179" t="str">
        <f>IF(S$3="","",IF(COUNTIFS(BD!$A$3:$A$5001,S$3,BD!$B$3:$B$5001,$A$351,BD!$F$3:$F$5001,"&lt;&gt;")=0,"",SUMIFS(BD!$F$3:$F$5001,BD!$A$3:$A$5001,S$3,BD!$B$3:$B$5001,$A$351)))</f>
        <v/>
      </c>
      <c r="T354" s="179" t="str">
        <f>IF(T$3="","",IF(COUNTIFS(BD!$A$3:$A$5001,T$3,BD!$B$3:$B$5001,$A$351,BD!$F$3:$F$5001,"&lt;&gt;")=0,"",SUMIFS(BD!$F$3:$F$5001,BD!$A$3:$A$5001,T$3,BD!$B$3:$B$5001,$A$351)))</f>
        <v/>
      </c>
      <c r="U354" s="179" t="str">
        <f>IF(U$3="","",IF(COUNTIFS(BD!$A$3:$A$5001,U$3,BD!$B$3:$B$5001,$A$351,BD!$F$3:$F$5001,"&lt;&gt;")=0,"",SUMIFS(BD!$F$3:$F$5001,BD!$A$3:$A$5001,U$3,BD!$B$3:$B$5001,$A$351)))</f>
        <v/>
      </c>
      <c r="V354" s="179" t="str">
        <f>IF(V$3="","",IF(COUNTIFS(BD!$A$3:$A$5001,V$3,BD!$B$3:$B$5001,$A$351,BD!$F$3:$F$5001,"&lt;&gt;")=0,"",SUMIFS(BD!$F$3:$F$5001,BD!$A$3:$A$5001,V$3,BD!$B$3:$B$5001,$A$351)))</f>
        <v/>
      </c>
      <c r="W354" s="179" t="str">
        <f>IF(W$3="","",IF(COUNTIFS(BD!$A$3:$A$5001,W$3,BD!$B$3:$B$5001,$A$351,BD!$F$3:$F$5001,"&lt;&gt;")=0,"",SUMIFS(BD!$F$3:$F$5001,BD!$A$3:$A$5001,W$3,BD!$B$3:$B$5001,$A$351)))</f>
        <v/>
      </c>
      <c r="X354" s="179" t="str">
        <f>IF(X$3="","",IF(COUNTIFS(BD!$A$3:$A$5001,X$3,BD!$B$3:$B$5001,$A$351,BD!$F$3:$F$5001,"&lt;&gt;")=0,"",SUMIFS(BD!$F$3:$F$5001,BD!$A$3:$A$5001,X$3,BD!$B$3:$B$5001,$A$351)))</f>
        <v/>
      </c>
      <c r="Y354" s="179" t="str">
        <f>IF(Y$3="","",IF(COUNTIFS(BD!$A$3:$A$5001,Y$3,BD!$B$3:$B$5001,$A$351,BD!$F$3:$F$5001,"&lt;&gt;")=0,"",SUMIFS(BD!$F$3:$F$5001,BD!$A$3:$A$5001,Y$3,BD!$B$3:$B$5001,$A$351)))</f>
        <v/>
      </c>
      <c r="Z354" s="179" t="str">
        <f>IF(Z$3="","",IF(COUNTIFS(BD!$A$3:$A$5001,Z$3,BD!$B$3:$B$5001,$A$351,BD!$F$3:$F$5001,"&lt;&gt;")=0,"",SUMIFS(BD!$F$3:$F$5001,BD!$A$3:$A$5001,Z$3,BD!$B$3:$B$5001,$A$351)))</f>
        <v/>
      </c>
      <c r="AA354" s="179" t="str">
        <f>IF(AA$3="","",IF(COUNTIFS(BD!$A$3:$A$5001,AA$3,BD!$B$3:$B$5001,$A$351,BD!$F$3:$F$5001,"&lt;&gt;")=0,"",SUMIFS(BD!$F$3:$F$5001,BD!$A$3:$A$5001,AA$3,BD!$B$3:$B$5001,$A$351)))</f>
        <v/>
      </c>
      <c r="AB354" s="179" t="str">
        <f>IF(AB$3="","",IF(COUNTIFS(BD!$A$3:$A$5001,AB$3,BD!$B$3:$B$5001,$A$351,BD!$F$3:$F$5001,"&lt;&gt;")=0,"",SUMIFS(BD!$F$3:$F$5001,BD!$A$3:$A$5001,AB$3,BD!$B$3:$B$5001,$A$351)))</f>
        <v/>
      </c>
      <c r="AC354" s="179" t="str">
        <f>IF(AC$3="","",IF(COUNTIFS(BD!$A$3:$A$5001,AC$3,BD!$B$3:$B$5001,$A$351,BD!$F$3:$F$5001,"&lt;&gt;")=0,"",SUMIFS(BD!$F$3:$F$5001,BD!$A$3:$A$5001,AC$3,BD!$B$3:$B$5001,$A$351)))</f>
        <v/>
      </c>
      <c r="AD354" s="179" t="str">
        <f>IF(AD$3="","",IF(COUNTIFS(BD!$A$3:$A$5001,AD$3,BD!$B$3:$B$5001,$A$351,BD!$F$3:$F$5001,"&lt;&gt;")=0,"",SUMIFS(BD!$F$3:$F$5001,BD!$A$3:$A$5001,AD$3,BD!$B$3:$B$5001,$A$351)))</f>
        <v/>
      </c>
      <c r="AE354" s="179" t="str">
        <f>IF(AE$3="","",IF(COUNTIFS(BD!$A$3:$A$5001,AE$3,BD!$B$3:$B$5001,$A$351,BD!$F$3:$F$5001,"&lt;&gt;")=0,"",SUMIFS(BD!$F$3:$F$5001,BD!$A$3:$A$5001,AE$3,BD!$B$3:$B$5001,$A$351)))</f>
        <v/>
      </c>
      <c r="AF354" s="179" t="str">
        <f>IF(AF$3="","",IF(COUNTIFS(BD!$A$3:$A$5001,AF$3,BD!$B$3:$B$5001,$A$351,BD!$F$3:$F$5001,"&lt;&gt;")=0,"",SUMIFS(BD!$F$3:$F$5001,BD!$A$3:$A$5001,AF$3,BD!$B$3:$B$5001,$A$351)))</f>
        <v/>
      </c>
      <c r="AG354" s="179" t="str">
        <f>IF(AG$3="","",IF(COUNTIFS(BD!$A$3:$A$5001,AG$3,BD!$B$3:$B$5001,$A$351,BD!$F$3:$F$5001,"&lt;&gt;")=0,"",SUMIFS(BD!$F$3:$F$5001,BD!$A$3:$A$5001,AG$3,BD!$B$3:$B$5001,$A$351)))</f>
        <v/>
      </c>
      <c r="AH354" s="179" t="str">
        <f>IF(AH$3="","",IF(COUNTIFS(BD!$A$3:$A$5001,AH$3,BD!$B$3:$B$5001,$A$351,BD!$F$3:$F$5001,"&lt;&gt;")=0,"",SUMIFS(BD!$F$3:$F$5001,BD!$A$3:$A$5001,AH$3,BD!$B$3:$B$5001,$A$351)))</f>
        <v/>
      </c>
      <c r="AI354" s="179" t="str">
        <f>IF(AI$3="","",IF(COUNTIFS(BD!$A$3:$A$5001,AI$3,BD!$B$3:$B$5001,$A$351,BD!$F$3:$F$5001,"&lt;&gt;")=0,"",SUMIFS(BD!$F$3:$F$5001,BD!$A$3:$A$5001,AI$3,BD!$B$3:$B$5001,$A$351)))</f>
        <v/>
      </c>
      <c r="AJ354" s="180" t="str">
        <f>IF(AJ$3="","",IF(COUNTIFS(BD!$A$3:$A$5001,AJ$3,BD!$B$3:$B$5001,$A$351,BD!$F$3:$F$5001,"&lt;&gt;")=0,"",SUMIFS(BD!$F$3:$F$5001,BD!$A$3:$A$5001,AJ$3,BD!$B$3:$B$5001,$A$351)))</f>
        <v/>
      </c>
      <c r="AK354" s="181" t="str">
        <f>IF(COUNT(F354:AJ354)=0,"",SUM(F354:AJ354))</f>
        <v/>
      </c>
    </row>
    <row r="355" ht="15.75" customHeight="1" hidden="1">
      <c r="A355" s="277"/>
      <c r="B355" s="266"/>
      <c r="C355" s="186" t="inlineStr">
        <is>
          <t xml:space="preserve">Bags Recebidos</t>
        </is>
      </c>
      <c r="D355" s="187" t="str">
        <f>IFERROR(1/(1/INDEX(BD!$AF$27:$AZ$27,MATCH($A$351,BD!$AF$22:$AZ$22,0))),"")</f>
        <v/>
      </c>
      <c r="E355" s="188"/>
      <c r="F355" s="189" t="str">
        <f>IF(F$3="","",IF(COUNTIFS(BD!$A$3:$A$5001,F$3,BD!$B$3:$B$5001,$A$351,BD!$G$3:$G$5001,"&lt;&gt;")=0,"",SUMIFS(BD!$G$3:$G$5001,BD!$A$3:$A$5001,F$3,BD!$B$3:$B$5001,$A$351)))</f>
        <v/>
      </c>
      <c r="G355" s="190" t="str">
        <f>IF(G$3="","",IF(COUNTIFS(BD!$A$3:$A$5001,G$3,BD!$B$3:$B$5001,$A$351,BD!$G$3:$G$5001,"&lt;&gt;")=0,"",SUMIFS(BD!$G$3:$G$5001,BD!$A$3:$A$5001,G$3,BD!$B$3:$B$5001,$A$351)))</f>
        <v/>
      </c>
      <c r="H355" s="190" t="str">
        <f>IF(H$3="","",IF(COUNTIFS(BD!$A$3:$A$5001,H$3,BD!$B$3:$B$5001,$A$351,BD!$G$3:$G$5001,"&lt;&gt;")=0,"",SUMIFS(BD!$G$3:$G$5001,BD!$A$3:$A$5001,H$3,BD!$B$3:$B$5001,$A$351)))</f>
        <v/>
      </c>
      <c r="I355" s="190" t="str">
        <f>IF(I$3="","",IF(COUNTIFS(BD!$A$3:$A$5001,I$3,BD!$B$3:$B$5001,$A$351,BD!$G$3:$G$5001,"&lt;&gt;")=0,"",SUMIFS(BD!$G$3:$G$5001,BD!$A$3:$A$5001,I$3,BD!$B$3:$B$5001,$A$351)))</f>
        <v/>
      </c>
      <c r="J355" s="190" t="str">
        <f>IF(J$3="","",IF(COUNTIFS(BD!$A$3:$A$5001,J$3,BD!$B$3:$B$5001,$A$351,BD!$G$3:$G$5001,"&lt;&gt;")=0,"",SUMIFS(BD!$G$3:$G$5001,BD!$A$3:$A$5001,J$3,BD!$B$3:$B$5001,$A$351)))</f>
        <v/>
      </c>
      <c r="K355" s="190" t="str">
        <f>IF(K$3="","",IF(COUNTIFS(BD!$A$3:$A$5001,K$3,BD!$B$3:$B$5001,$A$351,BD!$G$3:$G$5001,"&lt;&gt;")=0,"",SUMIFS(BD!$G$3:$G$5001,BD!$A$3:$A$5001,K$3,BD!$B$3:$B$5001,$A$351)))</f>
        <v/>
      </c>
      <c r="L355" s="190" t="str">
        <f>IF(L$3="","",IF(COUNTIFS(BD!$A$3:$A$5001,L$3,BD!$B$3:$B$5001,$A$351,BD!$G$3:$G$5001,"&lt;&gt;")=0,"",SUMIFS(BD!$G$3:$G$5001,BD!$A$3:$A$5001,L$3,BD!$B$3:$B$5001,$A$351)))</f>
        <v/>
      </c>
      <c r="M355" s="190" t="str">
        <f>IF(M$3="","",IF(COUNTIFS(BD!$A$3:$A$5001,M$3,BD!$B$3:$B$5001,$A$351,BD!$G$3:$G$5001,"&lt;&gt;")=0,"",SUMIFS(BD!$G$3:$G$5001,BD!$A$3:$A$5001,M$3,BD!$B$3:$B$5001,$A$351)))</f>
        <v/>
      </c>
      <c r="N355" s="190" t="str">
        <f>IF(N$3="","",IF(COUNTIFS(BD!$A$3:$A$5001,N$3,BD!$B$3:$B$5001,$A$351,BD!$G$3:$G$5001,"&lt;&gt;")=0,"",SUMIFS(BD!$G$3:$G$5001,BD!$A$3:$A$5001,N$3,BD!$B$3:$B$5001,$A$351)))</f>
        <v/>
      </c>
      <c r="O355" s="190" t="str">
        <f>IF(O$3="","",IF(COUNTIFS(BD!$A$3:$A$5001,O$3,BD!$B$3:$B$5001,$A$351,BD!$G$3:$G$5001,"&lt;&gt;")=0,"",SUMIFS(BD!$G$3:$G$5001,BD!$A$3:$A$5001,O$3,BD!$B$3:$B$5001,$A$351)))</f>
        <v/>
      </c>
      <c r="P355" s="190" t="str">
        <f>IF(P$3="","",IF(COUNTIFS(BD!$A$3:$A$5001,P$3,BD!$B$3:$B$5001,$A$351,BD!$G$3:$G$5001,"&lt;&gt;")=0,"",SUMIFS(BD!$G$3:$G$5001,BD!$A$3:$A$5001,P$3,BD!$B$3:$B$5001,$A$351)))</f>
        <v/>
      </c>
      <c r="Q355" s="190" t="str">
        <f>IF(Q$3="","",IF(COUNTIFS(BD!$A$3:$A$5001,Q$3,BD!$B$3:$B$5001,$A$351,BD!$G$3:$G$5001,"&lt;&gt;")=0,"",SUMIFS(BD!$G$3:$G$5001,BD!$A$3:$A$5001,Q$3,BD!$B$3:$B$5001,$A$351)))</f>
        <v/>
      </c>
      <c r="R355" s="190" t="str">
        <f>IF(R$3="","",IF(COUNTIFS(BD!$A$3:$A$5001,R$3,BD!$B$3:$B$5001,$A$351,BD!$G$3:$G$5001,"&lt;&gt;")=0,"",SUMIFS(BD!$G$3:$G$5001,BD!$A$3:$A$5001,R$3,BD!$B$3:$B$5001,$A$351)))</f>
        <v/>
      </c>
      <c r="S355" s="190" t="str">
        <f>IF(S$3="","",IF(COUNTIFS(BD!$A$3:$A$5001,S$3,BD!$B$3:$B$5001,$A$351,BD!$G$3:$G$5001,"&lt;&gt;")=0,"",SUMIFS(BD!$G$3:$G$5001,BD!$A$3:$A$5001,S$3,BD!$B$3:$B$5001,$A$351)))</f>
        <v/>
      </c>
      <c r="T355" s="190" t="str">
        <f>IF(T$3="","",IF(COUNTIFS(BD!$A$3:$A$5001,T$3,BD!$B$3:$B$5001,$A$351,BD!$G$3:$G$5001,"&lt;&gt;")=0,"",SUMIFS(BD!$G$3:$G$5001,BD!$A$3:$A$5001,T$3,BD!$B$3:$B$5001,$A$351)))</f>
        <v/>
      </c>
      <c r="U355" s="190" t="str">
        <f>IF(U$3="","",IF(COUNTIFS(BD!$A$3:$A$5001,U$3,BD!$B$3:$B$5001,$A$351,BD!$G$3:$G$5001,"&lt;&gt;")=0,"",SUMIFS(BD!$G$3:$G$5001,BD!$A$3:$A$5001,U$3,BD!$B$3:$B$5001,$A$351)))</f>
        <v/>
      </c>
      <c r="V355" s="190" t="str">
        <f>IF(V$3="","",IF(COUNTIFS(BD!$A$3:$A$5001,V$3,BD!$B$3:$B$5001,$A$351,BD!$G$3:$G$5001,"&lt;&gt;")=0,"",SUMIFS(BD!$G$3:$G$5001,BD!$A$3:$A$5001,V$3,BD!$B$3:$B$5001,$A$351)))</f>
        <v/>
      </c>
      <c r="W355" s="190" t="str">
        <f>IF(W$3="","",IF(COUNTIFS(BD!$A$3:$A$5001,W$3,BD!$B$3:$B$5001,$A$351,BD!$G$3:$G$5001,"&lt;&gt;")=0,"",SUMIFS(BD!$G$3:$G$5001,BD!$A$3:$A$5001,W$3,BD!$B$3:$B$5001,$A$351)))</f>
        <v/>
      </c>
      <c r="X355" s="190" t="str">
        <f>IF(X$3="","",IF(COUNTIFS(BD!$A$3:$A$5001,X$3,BD!$B$3:$B$5001,$A$351,BD!$G$3:$G$5001,"&lt;&gt;")=0,"",SUMIFS(BD!$G$3:$G$5001,BD!$A$3:$A$5001,X$3,BD!$B$3:$B$5001,$A$351)))</f>
        <v/>
      </c>
      <c r="Y355" s="190" t="str">
        <f>IF(Y$3="","",IF(COUNTIFS(BD!$A$3:$A$5001,Y$3,BD!$B$3:$B$5001,$A$351,BD!$G$3:$G$5001,"&lt;&gt;")=0,"",SUMIFS(BD!$G$3:$G$5001,BD!$A$3:$A$5001,Y$3,BD!$B$3:$B$5001,$A$351)))</f>
        <v/>
      </c>
      <c r="Z355" s="190" t="str">
        <f>IF(Z$3="","",IF(COUNTIFS(BD!$A$3:$A$5001,Z$3,BD!$B$3:$B$5001,$A$351,BD!$G$3:$G$5001,"&lt;&gt;")=0,"",SUMIFS(BD!$G$3:$G$5001,BD!$A$3:$A$5001,Z$3,BD!$B$3:$B$5001,$A$351)))</f>
        <v/>
      </c>
      <c r="AA355" s="190" t="str">
        <f>IF(AA$3="","",IF(COUNTIFS(BD!$A$3:$A$5001,AA$3,BD!$B$3:$B$5001,$A$351,BD!$G$3:$G$5001,"&lt;&gt;")=0,"",SUMIFS(BD!$G$3:$G$5001,BD!$A$3:$A$5001,AA$3,BD!$B$3:$B$5001,$A$351)))</f>
        <v/>
      </c>
      <c r="AB355" s="190" t="str">
        <f>IF(AB$3="","",IF(COUNTIFS(BD!$A$3:$A$5001,AB$3,BD!$B$3:$B$5001,$A$351,BD!$G$3:$G$5001,"&lt;&gt;")=0,"",SUMIFS(BD!$G$3:$G$5001,BD!$A$3:$A$5001,AB$3,BD!$B$3:$B$5001,$A$351)))</f>
        <v/>
      </c>
      <c r="AC355" s="190" t="str">
        <f>IF(AC$3="","",IF(COUNTIFS(BD!$A$3:$A$5001,AC$3,BD!$B$3:$B$5001,$A$351,BD!$G$3:$G$5001,"&lt;&gt;")=0,"",SUMIFS(BD!$G$3:$G$5001,BD!$A$3:$A$5001,AC$3,BD!$B$3:$B$5001,$A$351)))</f>
        <v/>
      </c>
      <c r="AD355" s="190" t="str">
        <f>IF(AD$3="","",IF(COUNTIFS(BD!$A$3:$A$5001,AD$3,BD!$B$3:$B$5001,$A$351,BD!$G$3:$G$5001,"&lt;&gt;")=0,"",SUMIFS(BD!$G$3:$G$5001,BD!$A$3:$A$5001,AD$3,BD!$B$3:$B$5001,$A$351)))</f>
        <v/>
      </c>
      <c r="AE355" s="190" t="str">
        <f>IF(AE$3="","",IF(COUNTIFS(BD!$A$3:$A$5001,AE$3,BD!$B$3:$B$5001,$A$351,BD!$G$3:$G$5001,"&lt;&gt;")=0,"",SUMIFS(BD!$G$3:$G$5001,BD!$A$3:$A$5001,AE$3,BD!$B$3:$B$5001,$A$351)))</f>
        <v/>
      </c>
      <c r="AF355" s="190" t="str">
        <f>IF(AF$3="","",IF(COUNTIFS(BD!$A$3:$A$5001,AF$3,BD!$B$3:$B$5001,$A$351,BD!$G$3:$G$5001,"&lt;&gt;")=0,"",SUMIFS(BD!$G$3:$G$5001,BD!$A$3:$A$5001,AF$3,BD!$B$3:$B$5001,$A$351)))</f>
        <v/>
      </c>
      <c r="AG355" s="190" t="str">
        <f>IF(AG$3="","",IF(COUNTIFS(BD!$A$3:$A$5001,AG$3,BD!$B$3:$B$5001,$A$351,BD!$G$3:$G$5001,"&lt;&gt;")=0,"",SUMIFS(BD!$G$3:$G$5001,BD!$A$3:$A$5001,AG$3,BD!$B$3:$B$5001,$A$351)))</f>
        <v/>
      </c>
      <c r="AH355" s="190" t="str">
        <f>IF(AH$3="","",IF(COUNTIFS(BD!$A$3:$A$5001,AH$3,BD!$B$3:$B$5001,$A$351,BD!$G$3:$G$5001,"&lt;&gt;")=0,"",SUMIFS(BD!$G$3:$G$5001,BD!$A$3:$A$5001,AH$3,BD!$B$3:$B$5001,$A$351)))</f>
        <v/>
      </c>
      <c r="AI355" s="190" t="str">
        <f>IF(AI$3="","",IF(COUNTIFS(BD!$A$3:$A$5001,AI$3,BD!$B$3:$B$5001,$A$351,BD!$G$3:$G$5001,"&lt;&gt;")=0,"",SUMIFS(BD!$G$3:$G$5001,BD!$A$3:$A$5001,AI$3,BD!$B$3:$B$5001,$A$351)))</f>
        <v/>
      </c>
      <c r="AJ355" s="191" t="str">
        <f>IF(AJ$3="","",IF(COUNTIFS(BD!$A$3:$A$5001,AJ$3,BD!$B$3:$B$5001,$A$351,BD!$G$3:$G$5001,"&lt;&gt;")=0,"",SUMIFS(BD!$G$3:$G$5001,BD!$A$3:$A$5001,AJ$3,BD!$B$3:$B$5001,$A$351)))</f>
        <v/>
      </c>
      <c r="AK355" s="187" t="str">
        <f>IF(COUNT(F355:AJ355)=0,"",SUM(F355:AJ355))</f>
        <v/>
      </c>
    </row>
    <row r="356" ht="15.75" customHeight="1" hidden="1">
      <c r="A356" s="277"/>
      <c r="B356" s="267" t="inlineStr">
        <is>
          <t xml:space="preserve">OUT</t>
        </is>
      </c>
      <c r="C356" s="192" t="inlineStr">
        <is>
          <t xml:space="preserve">Veículos Expedidos</t>
        </is>
      </c>
      <c r="D356" s="193" t="str">
        <f>IFERROR(1/(1/INDEX(BD!$AF$28:$AZ$28,MATCH($A$351,BD!$AF$22:$AZ$22,0))),"")</f>
        <v/>
      </c>
      <c r="E356" s="194"/>
      <c r="F356" s="195" t="str">
        <f>IF(F$3="","",IF(COUNTIFS(BD!$A$3:$A$5001,F$3,BD!$B$3:$B$5001,$A$351,BD!$H$3:$H$5001,"&lt;&gt;")=0,"",SUMIFS(BD!$H$3:$H$5001,BD!$A$3:$A$5001,F$3,BD!$B$3:$B$5001,$A$351)))</f>
        <v/>
      </c>
      <c r="G356" s="196" t="str">
        <f>IF(G$3="","",IF(COUNTIFS(BD!$A$3:$A$5001,G$3,BD!$B$3:$B$5001,$A$351,BD!$H$3:$H$5001,"&lt;&gt;")=0,"",SUMIFS(BD!$H$3:$H$5001,BD!$A$3:$A$5001,G$3,BD!$B$3:$B$5001,$A$351)))</f>
        <v/>
      </c>
      <c r="H356" s="196" t="str">
        <f>IF(H$3="","",IF(COUNTIFS(BD!$A$3:$A$5001,H$3,BD!$B$3:$B$5001,$A$351,BD!$H$3:$H$5001,"&lt;&gt;")=0,"",SUMIFS(BD!$H$3:$H$5001,BD!$A$3:$A$5001,H$3,BD!$B$3:$B$5001,$A$351)))</f>
        <v/>
      </c>
      <c r="I356" s="196" t="str">
        <f>IF(I$3="","",IF(COUNTIFS(BD!$A$3:$A$5001,I$3,BD!$B$3:$B$5001,$A$351,BD!$H$3:$H$5001,"&lt;&gt;")=0,"",SUMIFS(BD!$H$3:$H$5001,BD!$A$3:$A$5001,I$3,BD!$B$3:$B$5001,$A$351)))</f>
        <v/>
      </c>
      <c r="J356" s="196" t="str">
        <f>IF(J$3="","",IF(COUNTIFS(BD!$A$3:$A$5001,J$3,BD!$B$3:$B$5001,$A$351,BD!$H$3:$H$5001,"&lt;&gt;")=0,"",SUMIFS(BD!$H$3:$H$5001,BD!$A$3:$A$5001,J$3,BD!$B$3:$B$5001,$A$351)))</f>
        <v/>
      </c>
      <c r="K356" s="196" t="str">
        <f>IF(K$3="","",IF(COUNTIFS(BD!$A$3:$A$5001,K$3,BD!$B$3:$B$5001,$A$351,BD!$H$3:$H$5001,"&lt;&gt;")=0,"",SUMIFS(BD!$H$3:$H$5001,BD!$A$3:$A$5001,K$3,BD!$B$3:$B$5001,$A$351)))</f>
        <v/>
      </c>
      <c r="L356" s="196" t="str">
        <f>IF(L$3="","",IF(COUNTIFS(BD!$A$3:$A$5001,L$3,BD!$B$3:$B$5001,$A$351,BD!$H$3:$H$5001,"&lt;&gt;")=0,"",SUMIFS(BD!$H$3:$H$5001,BD!$A$3:$A$5001,L$3,BD!$B$3:$B$5001,$A$351)))</f>
        <v/>
      </c>
      <c r="M356" s="196" t="str">
        <f>IF(M$3="","",IF(COUNTIFS(BD!$A$3:$A$5001,M$3,BD!$B$3:$B$5001,$A$351,BD!$H$3:$H$5001,"&lt;&gt;")=0,"",SUMIFS(BD!$H$3:$H$5001,BD!$A$3:$A$5001,M$3,BD!$B$3:$B$5001,$A$351)))</f>
        <v/>
      </c>
      <c r="N356" s="196" t="str">
        <f>IF(N$3="","",IF(COUNTIFS(BD!$A$3:$A$5001,N$3,BD!$B$3:$B$5001,$A$351,BD!$H$3:$H$5001,"&lt;&gt;")=0,"",SUMIFS(BD!$H$3:$H$5001,BD!$A$3:$A$5001,N$3,BD!$B$3:$B$5001,$A$351)))</f>
        <v/>
      </c>
      <c r="O356" s="196" t="str">
        <f>IF(O$3="","",IF(COUNTIFS(BD!$A$3:$A$5001,O$3,BD!$B$3:$B$5001,$A$351,BD!$H$3:$H$5001,"&lt;&gt;")=0,"",SUMIFS(BD!$H$3:$H$5001,BD!$A$3:$A$5001,O$3,BD!$B$3:$B$5001,$A$351)))</f>
        <v/>
      </c>
      <c r="P356" s="196" t="str">
        <f>IF(P$3="","",IF(COUNTIFS(BD!$A$3:$A$5001,P$3,BD!$B$3:$B$5001,$A$351,BD!$H$3:$H$5001,"&lt;&gt;")=0,"",SUMIFS(BD!$H$3:$H$5001,BD!$A$3:$A$5001,P$3,BD!$B$3:$B$5001,$A$351)))</f>
        <v/>
      </c>
      <c r="Q356" s="196" t="str">
        <f>IF(Q$3="","",IF(COUNTIFS(BD!$A$3:$A$5001,Q$3,BD!$B$3:$B$5001,$A$351,BD!$H$3:$H$5001,"&lt;&gt;")=0,"",SUMIFS(BD!$H$3:$H$5001,BD!$A$3:$A$5001,Q$3,BD!$B$3:$B$5001,$A$351)))</f>
        <v/>
      </c>
      <c r="R356" s="196" t="str">
        <f>IF(R$3="","",IF(COUNTIFS(BD!$A$3:$A$5001,R$3,BD!$B$3:$B$5001,$A$351,BD!$H$3:$H$5001,"&lt;&gt;")=0,"",SUMIFS(BD!$H$3:$H$5001,BD!$A$3:$A$5001,R$3,BD!$B$3:$B$5001,$A$351)))</f>
        <v/>
      </c>
      <c r="S356" s="196" t="str">
        <f>IF(S$3="","",IF(COUNTIFS(BD!$A$3:$A$5001,S$3,BD!$B$3:$B$5001,$A$351,BD!$H$3:$H$5001,"&lt;&gt;")=0,"",SUMIFS(BD!$H$3:$H$5001,BD!$A$3:$A$5001,S$3,BD!$B$3:$B$5001,$A$351)))</f>
        <v/>
      </c>
      <c r="T356" s="196" t="str">
        <f>IF(T$3="","",IF(COUNTIFS(BD!$A$3:$A$5001,T$3,BD!$B$3:$B$5001,$A$351,BD!$H$3:$H$5001,"&lt;&gt;")=0,"",SUMIFS(BD!$H$3:$H$5001,BD!$A$3:$A$5001,T$3,BD!$B$3:$B$5001,$A$351)))</f>
        <v/>
      </c>
      <c r="U356" s="196" t="str">
        <f>IF(U$3="","",IF(COUNTIFS(BD!$A$3:$A$5001,U$3,BD!$B$3:$B$5001,$A$351,BD!$H$3:$H$5001,"&lt;&gt;")=0,"",SUMIFS(BD!$H$3:$H$5001,BD!$A$3:$A$5001,U$3,BD!$B$3:$B$5001,$A$351)))</f>
        <v/>
      </c>
      <c r="V356" s="196" t="str">
        <f>IF(V$3="","",IF(COUNTIFS(BD!$A$3:$A$5001,V$3,BD!$B$3:$B$5001,$A$351,BD!$H$3:$H$5001,"&lt;&gt;")=0,"",SUMIFS(BD!$H$3:$H$5001,BD!$A$3:$A$5001,V$3,BD!$B$3:$B$5001,$A$351)))</f>
        <v/>
      </c>
      <c r="W356" s="196" t="str">
        <f>IF(W$3="","",IF(COUNTIFS(BD!$A$3:$A$5001,W$3,BD!$B$3:$B$5001,$A$351,BD!$H$3:$H$5001,"&lt;&gt;")=0,"",SUMIFS(BD!$H$3:$H$5001,BD!$A$3:$A$5001,W$3,BD!$B$3:$B$5001,$A$351)))</f>
        <v/>
      </c>
      <c r="X356" s="196" t="str">
        <f>IF(X$3="","",IF(COUNTIFS(BD!$A$3:$A$5001,X$3,BD!$B$3:$B$5001,$A$351,BD!$H$3:$H$5001,"&lt;&gt;")=0,"",SUMIFS(BD!$H$3:$H$5001,BD!$A$3:$A$5001,X$3,BD!$B$3:$B$5001,$A$351)))</f>
        <v/>
      </c>
      <c r="Y356" s="196" t="str">
        <f>IF(Y$3="","",IF(COUNTIFS(BD!$A$3:$A$5001,Y$3,BD!$B$3:$B$5001,$A$351,BD!$H$3:$H$5001,"&lt;&gt;")=0,"",SUMIFS(BD!$H$3:$H$5001,BD!$A$3:$A$5001,Y$3,BD!$B$3:$B$5001,$A$351)))</f>
        <v/>
      </c>
      <c r="Z356" s="196" t="str">
        <f>IF(Z$3="","",IF(COUNTIFS(BD!$A$3:$A$5001,Z$3,BD!$B$3:$B$5001,$A$351,BD!$H$3:$H$5001,"&lt;&gt;")=0,"",SUMIFS(BD!$H$3:$H$5001,BD!$A$3:$A$5001,Z$3,BD!$B$3:$B$5001,$A$351)))</f>
        <v/>
      </c>
      <c r="AA356" s="196" t="str">
        <f>IF(AA$3="","",IF(COUNTIFS(BD!$A$3:$A$5001,AA$3,BD!$B$3:$B$5001,$A$351,BD!$H$3:$H$5001,"&lt;&gt;")=0,"",SUMIFS(BD!$H$3:$H$5001,BD!$A$3:$A$5001,AA$3,BD!$B$3:$B$5001,$A$351)))</f>
        <v/>
      </c>
      <c r="AB356" s="196" t="str">
        <f>IF(AB$3="","",IF(COUNTIFS(BD!$A$3:$A$5001,AB$3,BD!$B$3:$B$5001,$A$351,BD!$H$3:$H$5001,"&lt;&gt;")=0,"",SUMIFS(BD!$H$3:$H$5001,BD!$A$3:$A$5001,AB$3,BD!$B$3:$B$5001,$A$351)))</f>
        <v/>
      </c>
      <c r="AC356" s="196" t="str">
        <f>IF(AC$3="","",IF(COUNTIFS(BD!$A$3:$A$5001,AC$3,BD!$B$3:$B$5001,$A$351,BD!$H$3:$H$5001,"&lt;&gt;")=0,"",SUMIFS(BD!$H$3:$H$5001,BD!$A$3:$A$5001,AC$3,BD!$B$3:$B$5001,$A$351)))</f>
        <v/>
      </c>
      <c r="AD356" s="196" t="str">
        <f>IF(AD$3="","",IF(COUNTIFS(BD!$A$3:$A$5001,AD$3,BD!$B$3:$B$5001,$A$351,BD!$H$3:$H$5001,"&lt;&gt;")=0,"",SUMIFS(BD!$H$3:$H$5001,BD!$A$3:$A$5001,AD$3,BD!$B$3:$B$5001,$A$351)))</f>
        <v/>
      </c>
      <c r="AE356" s="196" t="str">
        <f>IF(AE$3="","",IF(COUNTIFS(BD!$A$3:$A$5001,AE$3,BD!$B$3:$B$5001,$A$351,BD!$H$3:$H$5001,"&lt;&gt;")=0,"",SUMIFS(BD!$H$3:$H$5001,BD!$A$3:$A$5001,AE$3,BD!$B$3:$B$5001,$A$351)))</f>
        <v/>
      </c>
      <c r="AF356" s="196" t="str">
        <f>IF(AF$3="","",IF(COUNTIFS(BD!$A$3:$A$5001,AF$3,BD!$B$3:$B$5001,$A$351,BD!$H$3:$H$5001,"&lt;&gt;")=0,"",SUMIFS(BD!$H$3:$H$5001,BD!$A$3:$A$5001,AF$3,BD!$B$3:$B$5001,$A$351)))</f>
        <v/>
      </c>
      <c r="AG356" s="196" t="str">
        <f>IF(AG$3="","",IF(COUNTIFS(BD!$A$3:$A$5001,AG$3,BD!$B$3:$B$5001,$A$351,BD!$H$3:$H$5001,"&lt;&gt;")=0,"",SUMIFS(BD!$H$3:$H$5001,BD!$A$3:$A$5001,AG$3,BD!$B$3:$B$5001,$A$351)))</f>
        <v/>
      </c>
      <c r="AH356" s="196" t="str">
        <f>IF(AH$3="","",IF(COUNTIFS(BD!$A$3:$A$5001,AH$3,BD!$B$3:$B$5001,$A$351,BD!$H$3:$H$5001,"&lt;&gt;")=0,"",SUMIFS(BD!$H$3:$H$5001,BD!$A$3:$A$5001,AH$3,BD!$B$3:$B$5001,$A$351)))</f>
        <v/>
      </c>
      <c r="AI356" s="196" t="str">
        <f>IF(AI$3="","",IF(COUNTIFS(BD!$A$3:$A$5001,AI$3,BD!$B$3:$B$5001,$A$351,BD!$H$3:$H$5001,"&lt;&gt;")=0,"",SUMIFS(BD!$H$3:$H$5001,BD!$A$3:$A$5001,AI$3,BD!$B$3:$B$5001,$A$351)))</f>
        <v/>
      </c>
      <c r="AJ356" s="197" t="str">
        <f>IF(AJ$3="","",IF(COUNTIFS(BD!$A$3:$A$5001,AJ$3,BD!$B$3:$B$5001,$A$351,BD!$H$3:$H$5001,"&lt;&gt;")=0,"",SUMIFS(BD!$H$3:$H$5001,BD!$A$3:$A$5001,AJ$3,BD!$B$3:$B$5001,$A$351)))</f>
        <v/>
      </c>
      <c r="AK356" s="198" t="str">
        <f>IF(COUNT(F356:AJ356)=0,"",SUM(F356:AJ356))</f>
        <v/>
      </c>
    </row>
    <row r="357" ht="15.75" customHeight="1" hidden="1">
      <c r="A357" s="277"/>
      <c r="B357" s="268"/>
      <c r="C357" s="199" t="inlineStr">
        <is>
          <t xml:space="preserve">Pallets Movimentados</t>
        </is>
      </c>
      <c r="D357" s="200" t="str">
        <f>IFERROR(1/(1/INDEX(BD!$AF$29:$AZ$29,MATCH($A$351,BD!$AF$22:$AZ$22,0))),"")</f>
        <v/>
      </c>
      <c r="E357" s="201"/>
      <c r="F357" s="202" t="str">
        <f>IF(F$3="","",IF(COUNTIFS(BD!$A$3:$A$5001,F$3,BD!$B$3:$B$5001,$A$351,BD!$I$3:$I$5001,"&lt;&gt;")=0,"",SUMIFS(BD!$I$3:$I$5001,BD!$A$3:$A$5001,F$3,BD!$B$3:$B$5001,$A$351)))</f>
        <v/>
      </c>
      <c r="G357" s="203" t="str">
        <f>IF(G$3="","",IF(COUNTIFS(BD!$A$3:$A$5001,G$3,BD!$B$3:$B$5001,$A$351,BD!$I$3:$I$5001,"&lt;&gt;")=0,"",SUMIFS(BD!$I$3:$I$5001,BD!$A$3:$A$5001,G$3,BD!$B$3:$B$5001,$A$351)))</f>
        <v/>
      </c>
      <c r="H357" s="203" t="str">
        <f>IF(H$3="","",IF(COUNTIFS(BD!$A$3:$A$5001,H$3,BD!$B$3:$B$5001,$A$351,BD!$I$3:$I$5001,"&lt;&gt;")=0,"",SUMIFS(BD!$I$3:$I$5001,BD!$A$3:$A$5001,H$3,BD!$B$3:$B$5001,$A$351)))</f>
        <v/>
      </c>
      <c r="I357" s="203" t="str">
        <f>IF(I$3="","",IF(COUNTIFS(BD!$A$3:$A$5001,I$3,BD!$B$3:$B$5001,$A$351,BD!$I$3:$I$5001,"&lt;&gt;")=0,"",SUMIFS(BD!$I$3:$I$5001,BD!$A$3:$A$5001,I$3,BD!$B$3:$B$5001,$A$351)))</f>
        <v/>
      </c>
      <c r="J357" s="203" t="str">
        <f>IF(J$3="","",IF(COUNTIFS(BD!$A$3:$A$5001,J$3,BD!$B$3:$B$5001,$A$351,BD!$I$3:$I$5001,"&lt;&gt;")=0,"",SUMIFS(BD!$I$3:$I$5001,BD!$A$3:$A$5001,J$3,BD!$B$3:$B$5001,$A$351)))</f>
        <v/>
      </c>
      <c r="K357" s="203" t="str">
        <f>IF(K$3="","",IF(COUNTIFS(BD!$A$3:$A$5001,K$3,BD!$B$3:$B$5001,$A$351,BD!$I$3:$I$5001,"&lt;&gt;")=0,"",SUMIFS(BD!$I$3:$I$5001,BD!$A$3:$A$5001,K$3,BD!$B$3:$B$5001,$A$351)))</f>
        <v/>
      </c>
      <c r="L357" s="203" t="str">
        <f>IF(L$3="","",IF(COUNTIFS(BD!$A$3:$A$5001,L$3,BD!$B$3:$B$5001,$A$351,BD!$I$3:$I$5001,"&lt;&gt;")=0,"",SUMIFS(BD!$I$3:$I$5001,BD!$A$3:$A$5001,L$3,BD!$B$3:$B$5001,$A$351)))</f>
        <v/>
      </c>
      <c r="M357" s="203" t="str">
        <f>IF(M$3="","",IF(COUNTIFS(BD!$A$3:$A$5001,M$3,BD!$B$3:$B$5001,$A$351,BD!$I$3:$I$5001,"&lt;&gt;")=0,"",SUMIFS(BD!$I$3:$I$5001,BD!$A$3:$A$5001,M$3,BD!$B$3:$B$5001,$A$351)))</f>
        <v/>
      </c>
      <c r="N357" s="203" t="str">
        <f>IF(N$3="","",IF(COUNTIFS(BD!$A$3:$A$5001,N$3,BD!$B$3:$B$5001,$A$351,BD!$I$3:$I$5001,"&lt;&gt;")=0,"",SUMIFS(BD!$I$3:$I$5001,BD!$A$3:$A$5001,N$3,BD!$B$3:$B$5001,$A$351)))</f>
        <v/>
      </c>
      <c r="O357" s="203" t="str">
        <f>IF(O$3="","",IF(COUNTIFS(BD!$A$3:$A$5001,O$3,BD!$B$3:$B$5001,$A$351,BD!$I$3:$I$5001,"&lt;&gt;")=0,"",SUMIFS(BD!$I$3:$I$5001,BD!$A$3:$A$5001,O$3,BD!$B$3:$B$5001,$A$351)))</f>
        <v/>
      </c>
      <c r="P357" s="203" t="str">
        <f>IF(P$3="","",IF(COUNTIFS(BD!$A$3:$A$5001,P$3,BD!$B$3:$B$5001,$A$351,BD!$I$3:$I$5001,"&lt;&gt;")=0,"",SUMIFS(BD!$I$3:$I$5001,BD!$A$3:$A$5001,P$3,BD!$B$3:$B$5001,$A$351)))</f>
        <v/>
      </c>
      <c r="Q357" s="203" t="str">
        <f>IF(Q$3="","",IF(COUNTIFS(BD!$A$3:$A$5001,Q$3,BD!$B$3:$B$5001,$A$351,BD!$I$3:$I$5001,"&lt;&gt;")=0,"",SUMIFS(BD!$I$3:$I$5001,BD!$A$3:$A$5001,Q$3,BD!$B$3:$B$5001,$A$351)))</f>
        <v/>
      </c>
      <c r="R357" s="203" t="str">
        <f>IF(R$3="","",IF(COUNTIFS(BD!$A$3:$A$5001,R$3,BD!$B$3:$B$5001,$A$351,BD!$I$3:$I$5001,"&lt;&gt;")=0,"",SUMIFS(BD!$I$3:$I$5001,BD!$A$3:$A$5001,R$3,BD!$B$3:$B$5001,$A$351)))</f>
        <v/>
      </c>
      <c r="S357" s="203" t="str">
        <f>IF(S$3="","",IF(COUNTIFS(BD!$A$3:$A$5001,S$3,BD!$B$3:$B$5001,$A$351,BD!$I$3:$I$5001,"&lt;&gt;")=0,"",SUMIFS(BD!$I$3:$I$5001,BD!$A$3:$A$5001,S$3,BD!$B$3:$B$5001,$A$351)))</f>
        <v/>
      </c>
      <c r="T357" s="203" t="str">
        <f>IF(T$3="","",IF(COUNTIFS(BD!$A$3:$A$5001,T$3,BD!$B$3:$B$5001,$A$351,BD!$I$3:$I$5001,"&lt;&gt;")=0,"",SUMIFS(BD!$I$3:$I$5001,BD!$A$3:$A$5001,T$3,BD!$B$3:$B$5001,$A$351)))</f>
        <v/>
      </c>
      <c r="U357" s="203" t="str">
        <f>IF(U$3="","",IF(COUNTIFS(BD!$A$3:$A$5001,U$3,BD!$B$3:$B$5001,$A$351,BD!$I$3:$I$5001,"&lt;&gt;")=0,"",SUMIFS(BD!$I$3:$I$5001,BD!$A$3:$A$5001,U$3,BD!$B$3:$B$5001,$A$351)))</f>
        <v/>
      </c>
      <c r="V357" s="203" t="str">
        <f>IF(V$3="","",IF(COUNTIFS(BD!$A$3:$A$5001,V$3,BD!$B$3:$B$5001,$A$351,BD!$I$3:$I$5001,"&lt;&gt;")=0,"",SUMIFS(BD!$I$3:$I$5001,BD!$A$3:$A$5001,V$3,BD!$B$3:$B$5001,$A$351)))</f>
        <v/>
      </c>
      <c r="W357" s="203" t="str">
        <f>IF(W$3="","",IF(COUNTIFS(BD!$A$3:$A$5001,W$3,BD!$B$3:$B$5001,$A$351,BD!$I$3:$I$5001,"&lt;&gt;")=0,"",SUMIFS(BD!$I$3:$I$5001,BD!$A$3:$A$5001,W$3,BD!$B$3:$B$5001,$A$351)))</f>
        <v/>
      </c>
      <c r="X357" s="203" t="str">
        <f>IF(X$3="","",IF(COUNTIFS(BD!$A$3:$A$5001,X$3,BD!$B$3:$B$5001,$A$351,BD!$I$3:$I$5001,"&lt;&gt;")=0,"",SUMIFS(BD!$I$3:$I$5001,BD!$A$3:$A$5001,X$3,BD!$B$3:$B$5001,$A$351)))</f>
        <v/>
      </c>
      <c r="Y357" s="203" t="str">
        <f>IF(Y$3="","",IF(COUNTIFS(BD!$A$3:$A$5001,Y$3,BD!$B$3:$B$5001,$A$351,BD!$I$3:$I$5001,"&lt;&gt;")=0,"",SUMIFS(BD!$I$3:$I$5001,BD!$A$3:$A$5001,Y$3,BD!$B$3:$B$5001,$A$351)))</f>
        <v/>
      </c>
      <c r="Z357" s="203" t="str">
        <f>IF(Z$3="","",IF(COUNTIFS(BD!$A$3:$A$5001,Z$3,BD!$B$3:$B$5001,$A$351,BD!$I$3:$I$5001,"&lt;&gt;")=0,"",SUMIFS(BD!$I$3:$I$5001,BD!$A$3:$A$5001,Z$3,BD!$B$3:$B$5001,$A$351)))</f>
        <v/>
      </c>
      <c r="AA357" s="203" t="str">
        <f>IF(AA$3="","",IF(COUNTIFS(BD!$A$3:$A$5001,AA$3,BD!$B$3:$B$5001,$A$351,BD!$I$3:$I$5001,"&lt;&gt;")=0,"",SUMIFS(BD!$I$3:$I$5001,BD!$A$3:$A$5001,AA$3,BD!$B$3:$B$5001,$A$351)))</f>
        <v/>
      </c>
      <c r="AB357" s="203" t="str">
        <f>IF(AB$3="","",IF(COUNTIFS(BD!$A$3:$A$5001,AB$3,BD!$B$3:$B$5001,$A$351,BD!$I$3:$I$5001,"&lt;&gt;")=0,"",SUMIFS(BD!$I$3:$I$5001,BD!$A$3:$A$5001,AB$3,BD!$B$3:$B$5001,$A$351)))</f>
        <v/>
      </c>
      <c r="AC357" s="203" t="str">
        <f>IF(AC$3="","",IF(COUNTIFS(BD!$A$3:$A$5001,AC$3,BD!$B$3:$B$5001,$A$351,BD!$I$3:$I$5001,"&lt;&gt;")=0,"",SUMIFS(BD!$I$3:$I$5001,BD!$A$3:$A$5001,AC$3,BD!$B$3:$B$5001,$A$351)))</f>
        <v/>
      </c>
      <c r="AD357" s="203" t="str">
        <f>IF(AD$3="","",IF(COUNTIFS(BD!$A$3:$A$5001,AD$3,BD!$B$3:$B$5001,$A$351,BD!$I$3:$I$5001,"&lt;&gt;")=0,"",SUMIFS(BD!$I$3:$I$5001,BD!$A$3:$A$5001,AD$3,BD!$B$3:$B$5001,$A$351)))</f>
        <v/>
      </c>
      <c r="AE357" s="203" t="str">
        <f>IF(AE$3="","",IF(COUNTIFS(BD!$A$3:$A$5001,AE$3,BD!$B$3:$B$5001,$A$351,BD!$I$3:$I$5001,"&lt;&gt;")=0,"",SUMIFS(BD!$I$3:$I$5001,BD!$A$3:$A$5001,AE$3,BD!$B$3:$B$5001,$A$351)))</f>
        <v/>
      </c>
      <c r="AF357" s="203" t="str">
        <f>IF(AF$3="","",IF(COUNTIFS(BD!$A$3:$A$5001,AF$3,BD!$B$3:$B$5001,$A$351,BD!$I$3:$I$5001,"&lt;&gt;")=0,"",SUMIFS(BD!$I$3:$I$5001,BD!$A$3:$A$5001,AF$3,BD!$B$3:$B$5001,$A$351)))</f>
        <v/>
      </c>
      <c r="AG357" s="203" t="str">
        <f>IF(AG$3="","",IF(COUNTIFS(BD!$A$3:$A$5001,AG$3,BD!$B$3:$B$5001,$A$351,BD!$I$3:$I$5001,"&lt;&gt;")=0,"",SUMIFS(BD!$I$3:$I$5001,BD!$A$3:$A$5001,AG$3,BD!$B$3:$B$5001,$A$351)))</f>
        <v/>
      </c>
      <c r="AH357" s="203" t="str">
        <f>IF(AH$3="","",IF(COUNTIFS(BD!$A$3:$A$5001,AH$3,BD!$B$3:$B$5001,$A$351,BD!$I$3:$I$5001,"&lt;&gt;")=0,"",SUMIFS(BD!$I$3:$I$5001,BD!$A$3:$A$5001,AH$3,BD!$B$3:$B$5001,$A$351)))</f>
        <v/>
      </c>
      <c r="AI357" s="203" t="str">
        <f>IF(AI$3="","",IF(COUNTIFS(BD!$A$3:$A$5001,AI$3,BD!$B$3:$B$5001,$A$351,BD!$I$3:$I$5001,"&lt;&gt;")=0,"",SUMIFS(BD!$I$3:$I$5001,BD!$A$3:$A$5001,AI$3,BD!$B$3:$B$5001,$A$351)))</f>
        <v/>
      </c>
      <c r="AJ357" s="204" t="str">
        <f>IF(AJ$3="","",IF(COUNTIFS(BD!$A$3:$A$5001,AJ$3,BD!$B$3:$B$5001,$A$351,BD!$I$3:$I$5001,"&lt;&gt;")=0,"",SUMIFS(BD!$I$3:$I$5001,BD!$A$3:$A$5001,AJ$3,BD!$B$3:$B$5001,$A$351)))</f>
        <v/>
      </c>
      <c r="AK357" s="205" t="str">
        <f>IF(COUNT(F357:AJ357)=0,"",SUM(F357:AJ357))</f>
        <v/>
      </c>
    </row>
    <row r="358" ht="15.75" customHeight="1" hidden="1">
      <c r="A358" s="277"/>
      <c r="B358" s="268"/>
      <c r="C358" s="199" t="inlineStr">
        <is>
          <t xml:space="preserve">Toneladas Movimentadas</t>
        </is>
      </c>
      <c r="D358" s="200" t="str">
        <f>IFERROR(1/(1/INDEX(BD!$AF$30:$AZ$30,MATCH($A$351,BD!$AF$22:$AZ$22,0))),"")</f>
        <v/>
      </c>
      <c r="E358" s="201"/>
      <c r="F358" s="206" t="str">
        <f>IF(F$3="","",IF(COUNTIFS(BD!$A$3:$A$5001,F$3,BD!$B$3:$B$5001,$A$351,BD!$J$3:$J$5001,"&lt;&gt;")=0,"",SUMIFS(BD!$J$3:$J$5001,BD!$A$3:$A$5001,F$3,BD!$B$3:$B$5001,$A$351)))</f>
        <v/>
      </c>
      <c r="G358" s="207" t="str">
        <f>IF(G$3="","",IF(COUNTIFS(BD!$A$3:$A$5001,G$3,BD!$B$3:$B$5001,$A$351,BD!$J$3:$J$5001,"&lt;&gt;")=0,"",SUMIFS(BD!$J$3:$J$5001,BD!$A$3:$A$5001,G$3,BD!$B$3:$B$5001,$A$351)))</f>
        <v/>
      </c>
      <c r="H358" s="207" t="str">
        <f>IF(H$3="","",IF(COUNTIFS(BD!$A$3:$A$5001,H$3,BD!$B$3:$B$5001,$A$351,BD!$J$3:$J$5001,"&lt;&gt;")=0,"",SUMIFS(BD!$J$3:$J$5001,BD!$A$3:$A$5001,H$3,BD!$B$3:$B$5001,$A$351)))</f>
        <v/>
      </c>
      <c r="I358" s="207" t="str">
        <f>IF(I$3="","",IF(COUNTIFS(BD!$A$3:$A$5001,I$3,BD!$B$3:$B$5001,$A$351,BD!$J$3:$J$5001,"&lt;&gt;")=0,"",SUMIFS(BD!$J$3:$J$5001,BD!$A$3:$A$5001,I$3,BD!$B$3:$B$5001,$A$351)))</f>
        <v/>
      </c>
      <c r="J358" s="207" t="str">
        <f>IF(J$3="","",IF(COUNTIFS(BD!$A$3:$A$5001,J$3,BD!$B$3:$B$5001,$A$351,BD!$J$3:$J$5001,"&lt;&gt;")=0,"",SUMIFS(BD!$J$3:$J$5001,BD!$A$3:$A$5001,J$3,BD!$B$3:$B$5001,$A$351)))</f>
        <v/>
      </c>
      <c r="K358" s="207" t="str">
        <f>IF(K$3="","",IF(COUNTIFS(BD!$A$3:$A$5001,K$3,BD!$B$3:$B$5001,$A$351,BD!$J$3:$J$5001,"&lt;&gt;")=0,"",SUMIFS(BD!$J$3:$J$5001,BD!$A$3:$A$5001,K$3,BD!$B$3:$B$5001,$A$351)))</f>
        <v/>
      </c>
      <c r="L358" s="207" t="str">
        <f>IF(L$3="","",IF(COUNTIFS(BD!$A$3:$A$5001,L$3,BD!$B$3:$B$5001,$A$351,BD!$J$3:$J$5001,"&lt;&gt;")=0,"",SUMIFS(BD!$J$3:$J$5001,BD!$A$3:$A$5001,L$3,BD!$B$3:$B$5001,$A$351)))</f>
        <v/>
      </c>
      <c r="M358" s="207" t="str">
        <f>IF(M$3="","",IF(COUNTIFS(BD!$A$3:$A$5001,M$3,BD!$B$3:$B$5001,$A$351,BD!$J$3:$J$5001,"&lt;&gt;")=0,"",SUMIFS(BD!$J$3:$J$5001,BD!$A$3:$A$5001,M$3,BD!$B$3:$B$5001,$A$351)))</f>
        <v/>
      </c>
      <c r="N358" s="207" t="str">
        <f>IF(N$3="","",IF(COUNTIFS(BD!$A$3:$A$5001,N$3,BD!$B$3:$B$5001,$A$351,BD!$J$3:$J$5001,"&lt;&gt;")=0,"",SUMIFS(BD!$J$3:$J$5001,BD!$A$3:$A$5001,N$3,BD!$B$3:$B$5001,$A$351)))</f>
        <v/>
      </c>
      <c r="O358" s="207" t="str">
        <f>IF(O$3="","",IF(COUNTIFS(BD!$A$3:$A$5001,O$3,BD!$B$3:$B$5001,$A$351,BD!$J$3:$J$5001,"&lt;&gt;")=0,"",SUMIFS(BD!$J$3:$J$5001,BD!$A$3:$A$5001,O$3,BD!$B$3:$B$5001,$A$351)))</f>
        <v/>
      </c>
      <c r="P358" s="207" t="str">
        <f>IF(P$3="","",IF(COUNTIFS(BD!$A$3:$A$5001,P$3,BD!$B$3:$B$5001,$A$351,BD!$J$3:$J$5001,"&lt;&gt;")=0,"",SUMIFS(BD!$J$3:$J$5001,BD!$A$3:$A$5001,P$3,BD!$B$3:$B$5001,$A$351)))</f>
        <v/>
      </c>
      <c r="Q358" s="207" t="str">
        <f>IF(Q$3="","",IF(COUNTIFS(BD!$A$3:$A$5001,Q$3,BD!$B$3:$B$5001,$A$351,BD!$J$3:$J$5001,"&lt;&gt;")=0,"",SUMIFS(BD!$J$3:$J$5001,BD!$A$3:$A$5001,Q$3,BD!$B$3:$B$5001,$A$351)))</f>
        <v/>
      </c>
      <c r="R358" s="207" t="str">
        <f>IF(R$3="","",IF(COUNTIFS(BD!$A$3:$A$5001,R$3,BD!$B$3:$B$5001,$A$351,BD!$J$3:$J$5001,"&lt;&gt;")=0,"",SUMIFS(BD!$J$3:$J$5001,BD!$A$3:$A$5001,R$3,BD!$B$3:$B$5001,$A$351)))</f>
        <v/>
      </c>
      <c r="S358" s="207" t="str">
        <f>IF(S$3="","",IF(COUNTIFS(BD!$A$3:$A$5001,S$3,BD!$B$3:$B$5001,$A$351,BD!$J$3:$J$5001,"&lt;&gt;")=0,"",SUMIFS(BD!$J$3:$J$5001,BD!$A$3:$A$5001,S$3,BD!$B$3:$B$5001,$A$351)))</f>
        <v/>
      </c>
      <c r="T358" s="207" t="str">
        <f>IF(T$3="","",IF(COUNTIFS(BD!$A$3:$A$5001,T$3,BD!$B$3:$B$5001,$A$351,BD!$J$3:$J$5001,"&lt;&gt;")=0,"",SUMIFS(BD!$J$3:$J$5001,BD!$A$3:$A$5001,T$3,BD!$B$3:$B$5001,$A$351)))</f>
        <v/>
      </c>
      <c r="U358" s="207" t="str">
        <f>IF(U$3="","",IF(COUNTIFS(BD!$A$3:$A$5001,U$3,BD!$B$3:$B$5001,$A$351,BD!$J$3:$J$5001,"&lt;&gt;")=0,"",SUMIFS(BD!$J$3:$J$5001,BD!$A$3:$A$5001,U$3,BD!$B$3:$B$5001,$A$351)))</f>
        <v/>
      </c>
      <c r="V358" s="207" t="str">
        <f>IF(V$3="","",IF(COUNTIFS(BD!$A$3:$A$5001,V$3,BD!$B$3:$B$5001,$A$351,BD!$J$3:$J$5001,"&lt;&gt;")=0,"",SUMIFS(BD!$J$3:$J$5001,BD!$A$3:$A$5001,V$3,BD!$B$3:$B$5001,$A$351)))</f>
        <v/>
      </c>
      <c r="W358" s="207" t="str">
        <f>IF(W$3="","",IF(COUNTIFS(BD!$A$3:$A$5001,W$3,BD!$B$3:$B$5001,$A$351,BD!$J$3:$J$5001,"&lt;&gt;")=0,"",SUMIFS(BD!$J$3:$J$5001,BD!$A$3:$A$5001,W$3,BD!$B$3:$B$5001,$A$351)))</f>
        <v/>
      </c>
      <c r="X358" s="207" t="str">
        <f>IF(X$3="","",IF(COUNTIFS(BD!$A$3:$A$5001,X$3,BD!$B$3:$B$5001,$A$351,BD!$J$3:$J$5001,"&lt;&gt;")=0,"",SUMIFS(BD!$J$3:$J$5001,BD!$A$3:$A$5001,X$3,BD!$B$3:$B$5001,$A$351)))</f>
        <v/>
      </c>
      <c r="Y358" s="207" t="str">
        <f>IF(Y$3="","",IF(COUNTIFS(BD!$A$3:$A$5001,Y$3,BD!$B$3:$B$5001,$A$351,BD!$J$3:$J$5001,"&lt;&gt;")=0,"",SUMIFS(BD!$J$3:$J$5001,BD!$A$3:$A$5001,Y$3,BD!$B$3:$B$5001,$A$351)))</f>
        <v/>
      </c>
      <c r="Z358" s="207" t="str">
        <f>IF(Z$3="","",IF(COUNTIFS(BD!$A$3:$A$5001,Z$3,BD!$B$3:$B$5001,$A$351,BD!$J$3:$J$5001,"&lt;&gt;")=0,"",SUMIFS(BD!$J$3:$J$5001,BD!$A$3:$A$5001,Z$3,BD!$B$3:$B$5001,$A$351)))</f>
        <v/>
      </c>
      <c r="AA358" s="207" t="str">
        <f>IF(AA$3="","",IF(COUNTIFS(BD!$A$3:$A$5001,AA$3,BD!$B$3:$B$5001,$A$351,BD!$J$3:$J$5001,"&lt;&gt;")=0,"",SUMIFS(BD!$J$3:$J$5001,BD!$A$3:$A$5001,AA$3,BD!$B$3:$B$5001,$A$351)))</f>
        <v/>
      </c>
      <c r="AB358" s="207" t="str">
        <f>IF(AB$3="","",IF(COUNTIFS(BD!$A$3:$A$5001,AB$3,BD!$B$3:$B$5001,$A$351,BD!$J$3:$J$5001,"&lt;&gt;")=0,"",SUMIFS(BD!$J$3:$J$5001,BD!$A$3:$A$5001,AB$3,BD!$B$3:$B$5001,$A$351)))</f>
        <v/>
      </c>
      <c r="AC358" s="207" t="str">
        <f>IF(AC$3="","",IF(COUNTIFS(BD!$A$3:$A$5001,AC$3,BD!$B$3:$B$5001,$A$351,BD!$J$3:$J$5001,"&lt;&gt;")=0,"",SUMIFS(BD!$J$3:$J$5001,BD!$A$3:$A$5001,AC$3,BD!$B$3:$B$5001,$A$351)))</f>
        <v/>
      </c>
      <c r="AD358" s="207" t="str">
        <f>IF(AD$3="","",IF(COUNTIFS(BD!$A$3:$A$5001,AD$3,BD!$B$3:$B$5001,$A$351,BD!$J$3:$J$5001,"&lt;&gt;")=0,"",SUMIFS(BD!$J$3:$J$5001,BD!$A$3:$A$5001,AD$3,BD!$B$3:$B$5001,$A$351)))</f>
        <v/>
      </c>
      <c r="AE358" s="207" t="str">
        <f>IF(AE$3="","",IF(COUNTIFS(BD!$A$3:$A$5001,AE$3,BD!$B$3:$B$5001,$A$351,BD!$J$3:$J$5001,"&lt;&gt;")=0,"",SUMIFS(BD!$J$3:$J$5001,BD!$A$3:$A$5001,AE$3,BD!$B$3:$B$5001,$A$351)))</f>
        <v/>
      </c>
      <c r="AF358" s="207" t="str">
        <f>IF(AF$3="","",IF(COUNTIFS(BD!$A$3:$A$5001,AF$3,BD!$B$3:$B$5001,$A$351,BD!$J$3:$J$5001,"&lt;&gt;")=0,"",SUMIFS(BD!$J$3:$J$5001,BD!$A$3:$A$5001,AF$3,BD!$B$3:$B$5001,$A$351)))</f>
        <v/>
      </c>
      <c r="AG358" s="207" t="str">
        <f>IF(AG$3="","",IF(COUNTIFS(BD!$A$3:$A$5001,AG$3,BD!$B$3:$B$5001,$A$351,BD!$J$3:$J$5001,"&lt;&gt;")=0,"",SUMIFS(BD!$J$3:$J$5001,BD!$A$3:$A$5001,AG$3,BD!$B$3:$B$5001,$A$351)))</f>
        <v/>
      </c>
      <c r="AH358" s="207" t="str">
        <f>IF(AH$3="","",IF(COUNTIFS(BD!$A$3:$A$5001,AH$3,BD!$B$3:$B$5001,$A$351,BD!$J$3:$J$5001,"&lt;&gt;")=0,"",SUMIFS(BD!$J$3:$J$5001,BD!$A$3:$A$5001,AH$3,BD!$B$3:$B$5001,$A$351)))</f>
        <v/>
      </c>
      <c r="AI358" s="207" t="str">
        <f>IF(AI$3="","",IF(COUNTIFS(BD!$A$3:$A$5001,AI$3,BD!$B$3:$B$5001,$A$351,BD!$J$3:$J$5001,"&lt;&gt;")=0,"",SUMIFS(BD!$J$3:$J$5001,BD!$A$3:$A$5001,AI$3,BD!$B$3:$B$5001,$A$351)))</f>
        <v/>
      </c>
      <c r="AJ358" s="208" t="str">
        <f>IF(AJ$3="","",IF(COUNTIFS(BD!$A$3:$A$5001,AJ$3,BD!$B$3:$B$5001,$A$351,BD!$J$3:$J$5001,"&lt;&gt;")=0,"",SUMIFS(BD!$J$3:$J$5001,BD!$A$3:$A$5001,AJ$3,BD!$B$3:$B$5001,$A$351)))</f>
        <v/>
      </c>
      <c r="AK358" s="209" t="str">
        <f>IF(COUNT(F358:AJ358)=0,"",SUM(F358:AJ358))</f>
        <v/>
      </c>
    </row>
    <row r="359" ht="15.75" customHeight="1" hidden="1">
      <c r="A359" s="277"/>
      <c r="B359" s="268"/>
      <c r="C359" s="199" t="inlineStr">
        <is>
          <t xml:space="preserve">Caixas Expedidas</t>
        </is>
      </c>
      <c r="D359" s="200" t="str">
        <f>IFERROR(1/(1/INDEX(BD!$AF$31:$AZ$31,MATCH($A$351,BD!$AF$22:$AZ$22,0))),"")</f>
        <v/>
      </c>
      <c r="E359" s="201"/>
      <c r="F359" s="202" t="str">
        <f>IF(F$3="","",IF(COUNTIFS(BD!$A$3:$A$5001,F$3,BD!$B$3:$B$5001,$A$351,BD!$K$3:$K$5001,"&lt;&gt;")=0,"",SUMIFS(BD!$K$3:$K$5001,BD!$A$3:$A$5001,F$3,BD!$B$3:$B$5001,$A$351)))</f>
        <v/>
      </c>
      <c r="G359" s="203" t="str">
        <f>IF(G$3="","",IF(COUNTIFS(BD!$A$3:$A$5001,G$3,BD!$B$3:$B$5001,$A$351,BD!$K$3:$K$5001,"&lt;&gt;")=0,"",SUMIFS(BD!$K$3:$K$5001,BD!$A$3:$A$5001,G$3,BD!$B$3:$B$5001,$A$351)))</f>
        <v/>
      </c>
      <c r="H359" s="203" t="str">
        <f>IF(H$3="","",IF(COUNTIFS(BD!$A$3:$A$5001,H$3,BD!$B$3:$B$5001,$A$351,BD!$K$3:$K$5001,"&lt;&gt;")=0,"",SUMIFS(BD!$K$3:$K$5001,BD!$A$3:$A$5001,H$3,BD!$B$3:$B$5001,$A$351)))</f>
        <v/>
      </c>
      <c r="I359" s="203" t="str">
        <f>IF(I$3="","",IF(COUNTIFS(BD!$A$3:$A$5001,I$3,BD!$B$3:$B$5001,$A$351,BD!$K$3:$K$5001,"&lt;&gt;")=0,"",SUMIFS(BD!$K$3:$K$5001,BD!$A$3:$A$5001,I$3,BD!$B$3:$B$5001,$A$351)))</f>
        <v/>
      </c>
      <c r="J359" s="203" t="str">
        <f>IF(J$3="","",IF(COUNTIFS(BD!$A$3:$A$5001,J$3,BD!$B$3:$B$5001,$A$351,BD!$K$3:$K$5001,"&lt;&gt;")=0,"",SUMIFS(BD!$K$3:$K$5001,BD!$A$3:$A$5001,J$3,BD!$B$3:$B$5001,$A$351)))</f>
        <v/>
      </c>
      <c r="K359" s="203" t="str">
        <f>IF(K$3="","",IF(COUNTIFS(BD!$A$3:$A$5001,K$3,BD!$B$3:$B$5001,$A$351,BD!$K$3:$K$5001,"&lt;&gt;")=0,"",SUMIFS(BD!$K$3:$K$5001,BD!$A$3:$A$5001,K$3,BD!$B$3:$B$5001,$A$351)))</f>
        <v/>
      </c>
      <c r="L359" s="203" t="str">
        <f>IF(L$3="","",IF(COUNTIFS(BD!$A$3:$A$5001,L$3,BD!$B$3:$B$5001,$A$351,BD!$K$3:$K$5001,"&lt;&gt;")=0,"",SUMIFS(BD!$K$3:$K$5001,BD!$A$3:$A$5001,L$3,BD!$B$3:$B$5001,$A$351)))</f>
        <v/>
      </c>
      <c r="M359" s="203" t="str">
        <f>IF(M$3="","",IF(COUNTIFS(BD!$A$3:$A$5001,M$3,BD!$B$3:$B$5001,$A$351,BD!$K$3:$K$5001,"&lt;&gt;")=0,"",SUMIFS(BD!$K$3:$K$5001,BD!$A$3:$A$5001,M$3,BD!$B$3:$B$5001,$A$351)))</f>
        <v/>
      </c>
      <c r="N359" s="203" t="str">
        <f>IF(N$3="","",IF(COUNTIFS(BD!$A$3:$A$5001,N$3,BD!$B$3:$B$5001,$A$351,BD!$K$3:$K$5001,"&lt;&gt;")=0,"",SUMIFS(BD!$K$3:$K$5001,BD!$A$3:$A$5001,N$3,BD!$B$3:$B$5001,$A$351)))</f>
        <v/>
      </c>
      <c r="O359" s="203" t="str">
        <f>IF(O$3="","",IF(COUNTIFS(BD!$A$3:$A$5001,O$3,BD!$B$3:$B$5001,$A$351,BD!$K$3:$K$5001,"&lt;&gt;")=0,"",SUMIFS(BD!$K$3:$K$5001,BD!$A$3:$A$5001,O$3,BD!$B$3:$B$5001,$A$351)))</f>
        <v/>
      </c>
      <c r="P359" s="203" t="str">
        <f>IF(P$3="","",IF(COUNTIFS(BD!$A$3:$A$5001,P$3,BD!$B$3:$B$5001,$A$351,BD!$K$3:$K$5001,"&lt;&gt;")=0,"",SUMIFS(BD!$K$3:$K$5001,BD!$A$3:$A$5001,P$3,BD!$B$3:$B$5001,$A$351)))</f>
        <v/>
      </c>
      <c r="Q359" s="203" t="str">
        <f>IF(Q$3="","",IF(COUNTIFS(BD!$A$3:$A$5001,Q$3,BD!$B$3:$B$5001,$A$351,BD!$K$3:$K$5001,"&lt;&gt;")=0,"",SUMIFS(BD!$K$3:$K$5001,BD!$A$3:$A$5001,Q$3,BD!$B$3:$B$5001,$A$351)))</f>
        <v/>
      </c>
      <c r="R359" s="203" t="str">
        <f>IF(R$3="","",IF(COUNTIFS(BD!$A$3:$A$5001,R$3,BD!$B$3:$B$5001,$A$351,BD!$K$3:$K$5001,"&lt;&gt;")=0,"",SUMIFS(BD!$K$3:$K$5001,BD!$A$3:$A$5001,R$3,BD!$B$3:$B$5001,$A$351)))</f>
        <v/>
      </c>
      <c r="S359" s="203" t="str">
        <f>IF(S$3="","",IF(COUNTIFS(BD!$A$3:$A$5001,S$3,BD!$B$3:$B$5001,$A$351,BD!$K$3:$K$5001,"&lt;&gt;")=0,"",SUMIFS(BD!$K$3:$K$5001,BD!$A$3:$A$5001,S$3,BD!$B$3:$B$5001,$A$351)))</f>
        <v/>
      </c>
      <c r="T359" s="203" t="str">
        <f>IF(T$3="","",IF(COUNTIFS(BD!$A$3:$A$5001,T$3,BD!$B$3:$B$5001,$A$351,BD!$K$3:$K$5001,"&lt;&gt;")=0,"",SUMIFS(BD!$K$3:$K$5001,BD!$A$3:$A$5001,T$3,BD!$B$3:$B$5001,$A$351)))</f>
        <v/>
      </c>
      <c r="U359" s="203" t="str">
        <f>IF(U$3="","",IF(COUNTIFS(BD!$A$3:$A$5001,U$3,BD!$B$3:$B$5001,$A$351,BD!$K$3:$K$5001,"&lt;&gt;")=0,"",SUMIFS(BD!$K$3:$K$5001,BD!$A$3:$A$5001,U$3,BD!$B$3:$B$5001,$A$351)))</f>
        <v/>
      </c>
      <c r="V359" s="203" t="str">
        <f>IF(V$3="","",IF(COUNTIFS(BD!$A$3:$A$5001,V$3,BD!$B$3:$B$5001,$A$351,BD!$K$3:$K$5001,"&lt;&gt;")=0,"",SUMIFS(BD!$K$3:$K$5001,BD!$A$3:$A$5001,V$3,BD!$B$3:$B$5001,$A$351)))</f>
        <v/>
      </c>
      <c r="W359" s="203" t="str">
        <f>IF(W$3="","",IF(COUNTIFS(BD!$A$3:$A$5001,W$3,BD!$B$3:$B$5001,$A$351,BD!$K$3:$K$5001,"&lt;&gt;")=0,"",SUMIFS(BD!$K$3:$K$5001,BD!$A$3:$A$5001,W$3,BD!$B$3:$B$5001,$A$351)))</f>
        <v/>
      </c>
      <c r="X359" s="203" t="str">
        <f>IF(X$3="","",IF(COUNTIFS(BD!$A$3:$A$5001,X$3,BD!$B$3:$B$5001,$A$351,BD!$K$3:$K$5001,"&lt;&gt;")=0,"",SUMIFS(BD!$K$3:$K$5001,BD!$A$3:$A$5001,X$3,BD!$B$3:$B$5001,$A$351)))</f>
        <v/>
      </c>
      <c r="Y359" s="203" t="str">
        <f>IF(Y$3="","",IF(COUNTIFS(BD!$A$3:$A$5001,Y$3,BD!$B$3:$B$5001,$A$351,BD!$K$3:$K$5001,"&lt;&gt;")=0,"",SUMIFS(BD!$K$3:$K$5001,BD!$A$3:$A$5001,Y$3,BD!$B$3:$B$5001,$A$351)))</f>
        <v/>
      </c>
      <c r="Z359" s="203" t="str">
        <f>IF(Z$3="","",IF(COUNTIFS(BD!$A$3:$A$5001,Z$3,BD!$B$3:$B$5001,$A$351,BD!$K$3:$K$5001,"&lt;&gt;")=0,"",SUMIFS(BD!$K$3:$K$5001,BD!$A$3:$A$5001,Z$3,BD!$B$3:$B$5001,$A$351)))</f>
        <v/>
      </c>
      <c r="AA359" s="203" t="str">
        <f>IF(AA$3="","",IF(COUNTIFS(BD!$A$3:$A$5001,AA$3,BD!$B$3:$B$5001,$A$351,BD!$K$3:$K$5001,"&lt;&gt;")=0,"",SUMIFS(BD!$K$3:$K$5001,BD!$A$3:$A$5001,AA$3,BD!$B$3:$B$5001,$A$351)))</f>
        <v/>
      </c>
      <c r="AB359" s="203" t="str">
        <f>IF(AB$3="","",IF(COUNTIFS(BD!$A$3:$A$5001,AB$3,BD!$B$3:$B$5001,$A$351,BD!$K$3:$K$5001,"&lt;&gt;")=0,"",SUMIFS(BD!$K$3:$K$5001,BD!$A$3:$A$5001,AB$3,BD!$B$3:$B$5001,$A$351)))</f>
        <v/>
      </c>
      <c r="AC359" s="203" t="str">
        <f>IF(AC$3="","",IF(COUNTIFS(BD!$A$3:$A$5001,AC$3,BD!$B$3:$B$5001,$A$351,BD!$K$3:$K$5001,"&lt;&gt;")=0,"",SUMIFS(BD!$K$3:$K$5001,BD!$A$3:$A$5001,AC$3,BD!$B$3:$B$5001,$A$351)))</f>
        <v/>
      </c>
      <c r="AD359" s="203" t="str">
        <f>IF(AD$3="","",IF(COUNTIFS(BD!$A$3:$A$5001,AD$3,BD!$B$3:$B$5001,$A$351,BD!$K$3:$K$5001,"&lt;&gt;")=0,"",SUMIFS(BD!$K$3:$K$5001,BD!$A$3:$A$5001,AD$3,BD!$B$3:$B$5001,$A$351)))</f>
        <v/>
      </c>
      <c r="AE359" s="203" t="str">
        <f>IF(AE$3="","",IF(COUNTIFS(BD!$A$3:$A$5001,AE$3,BD!$B$3:$B$5001,$A$351,BD!$K$3:$K$5001,"&lt;&gt;")=0,"",SUMIFS(BD!$K$3:$K$5001,BD!$A$3:$A$5001,AE$3,BD!$B$3:$B$5001,$A$351)))</f>
        <v/>
      </c>
      <c r="AF359" s="203" t="str">
        <f>IF(AF$3="","",IF(COUNTIFS(BD!$A$3:$A$5001,AF$3,BD!$B$3:$B$5001,$A$351,BD!$K$3:$K$5001,"&lt;&gt;")=0,"",SUMIFS(BD!$K$3:$K$5001,BD!$A$3:$A$5001,AF$3,BD!$B$3:$B$5001,$A$351)))</f>
        <v/>
      </c>
      <c r="AG359" s="203" t="str">
        <f>IF(AG$3="","",IF(COUNTIFS(BD!$A$3:$A$5001,AG$3,BD!$B$3:$B$5001,$A$351,BD!$K$3:$K$5001,"&lt;&gt;")=0,"",SUMIFS(BD!$K$3:$K$5001,BD!$A$3:$A$5001,AG$3,BD!$B$3:$B$5001,$A$351)))</f>
        <v/>
      </c>
      <c r="AH359" s="203" t="str">
        <f>IF(AH$3="","",IF(COUNTIFS(BD!$A$3:$A$5001,AH$3,BD!$B$3:$B$5001,$A$351,BD!$K$3:$K$5001,"&lt;&gt;")=0,"",SUMIFS(BD!$K$3:$K$5001,BD!$A$3:$A$5001,AH$3,BD!$B$3:$B$5001,$A$351)))</f>
        <v/>
      </c>
      <c r="AI359" s="203" t="str">
        <f>IF(AI$3="","",IF(COUNTIFS(BD!$A$3:$A$5001,AI$3,BD!$B$3:$B$5001,$A$351,BD!$K$3:$K$5001,"&lt;&gt;")=0,"",SUMIFS(BD!$K$3:$K$5001,BD!$A$3:$A$5001,AI$3,BD!$B$3:$B$5001,$A$351)))</f>
        <v/>
      </c>
      <c r="AJ359" s="204" t="str">
        <f>IF(AJ$3="","",IF(COUNTIFS(BD!$A$3:$A$5001,AJ$3,BD!$B$3:$B$5001,$A$351,BD!$K$3:$K$5001,"&lt;&gt;")=0,"",SUMIFS(BD!$K$3:$K$5001,BD!$A$3:$A$5001,AJ$3,BD!$B$3:$B$5001,$A$351)))</f>
        <v/>
      </c>
      <c r="AK359" s="205" t="str">
        <f>IF(COUNT(F359:AJ359)=0,"",SUM(F359:AJ359))</f>
        <v/>
      </c>
    </row>
    <row r="360" ht="15.75" customHeight="1" hidden="1">
      <c r="A360" s="277"/>
      <c r="B360" s="268"/>
      <c r="C360" s="199" t="inlineStr">
        <is>
          <t xml:space="preserve">Pedidos Faturados</t>
        </is>
      </c>
      <c r="D360" s="200" t="str">
        <f>IFERROR(1/(1/INDEX(BD!$AF$32:$AZ$32,MATCH($A$351,BD!$AF$22:$AZ$22,0))),"")</f>
        <v/>
      </c>
      <c r="E360" s="201"/>
      <c r="F360" s="202" t="str">
        <f>IF(F$3="","",IF(COUNTIFS(BD!$A$3:$A$5001,F$3,BD!$B$3:$B$5001,$A$351,BD!$L$3:$L$5001,"&lt;&gt;")=0,"",SUMIFS(BD!$L$3:$L$5001,BD!$A$3:$A$5001,F$3,BD!$B$3:$B$5001,$A$351)))</f>
        <v/>
      </c>
      <c r="G360" s="203" t="str">
        <f>IF(G$3="","",IF(COUNTIFS(BD!$A$3:$A$5001,G$3,BD!$B$3:$B$5001,$A$351,BD!$L$3:$L$5001,"&lt;&gt;")=0,"",SUMIFS(BD!$L$3:$L$5001,BD!$A$3:$A$5001,G$3,BD!$B$3:$B$5001,$A$351)))</f>
        <v/>
      </c>
      <c r="H360" s="203" t="str">
        <f>IF(H$3="","",IF(COUNTIFS(BD!$A$3:$A$5001,H$3,BD!$B$3:$B$5001,$A$351,BD!$L$3:$L$5001,"&lt;&gt;")=0,"",SUMIFS(BD!$L$3:$L$5001,BD!$A$3:$A$5001,H$3,BD!$B$3:$B$5001,$A$351)))</f>
        <v/>
      </c>
      <c r="I360" s="203" t="str">
        <f>IF(I$3="","",IF(COUNTIFS(BD!$A$3:$A$5001,I$3,BD!$B$3:$B$5001,$A$351,BD!$L$3:$L$5001,"&lt;&gt;")=0,"",SUMIFS(BD!$L$3:$L$5001,BD!$A$3:$A$5001,I$3,BD!$B$3:$B$5001,$A$351)))</f>
        <v/>
      </c>
      <c r="J360" s="203" t="str">
        <f>IF(J$3="","",IF(COUNTIFS(BD!$A$3:$A$5001,J$3,BD!$B$3:$B$5001,$A$351,BD!$L$3:$L$5001,"&lt;&gt;")=0,"",SUMIFS(BD!$L$3:$L$5001,BD!$A$3:$A$5001,J$3,BD!$B$3:$B$5001,$A$351)))</f>
        <v/>
      </c>
      <c r="K360" s="203" t="str">
        <f>IF(K$3="","",IF(COUNTIFS(BD!$A$3:$A$5001,K$3,BD!$B$3:$B$5001,$A$351,BD!$L$3:$L$5001,"&lt;&gt;")=0,"",SUMIFS(BD!$L$3:$L$5001,BD!$A$3:$A$5001,K$3,BD!$B$3:$B$5001,$A$351)))</f>
        <v/>
      </c>
      <c r="L360" s="203" t="str">
        <f>IF(L$3="","",IF(COUNTIFS(BD!$A$3:$A$5001,L$3,BD!$B$3:$B$5001,$A$351,BD!$L$3:$L$5001,"&lt;&gt;")=0,"",SUMIFS(BD!$L$3:$L$5001,BD!$A$3:$A$5001,L$3,BD!$B$3:$B$5001,$A$351)))</f>
        <v/>
      </c>
      <c r="M360" s="203" t="str">
        <f>IF(M$3="","",IF(COUNTIFS(BD!$A$3:$A$5001,M$3,BD!$B$3:$B$5001,$A$351,BD!$L$3:$L$5001,"&lt;&gt;")=0,"",SUMIFS(BD!$L$3:$L$5001,BD!$A$3:$A$5001,M$3,BD!$B$3:$B$5001,$A$351)))</f>
        <v/>
      </c>
      <c r="N360" s="203" t="str">
        <f>IF(N$3="","",IF(COUNTIFS(BD!$A$3:$A$5001,N$3,BD!$B$3:$B$5001,$A$351,BD!$L$3:$L$5001,"&lt;&gt;")=0,"",SUMIFS(BD!$L$3:$L$5001,BD!$A$3:$A$5001,N$3,BD!$B$3:$B$5001,$A$351)))</f>
        <v/>
      </c>
      <c r="O360" s="203" t="str">
        <f>IF(O$3="","",IF(COUNTIFS(BD!$A$3:$A$5001,O$3,BD!$B$3:$B$5001,$A$351,BD!$L$3:$L$5001,"&lt;&gt;")=0,"",SUMIFS(BD!$L$3:$L$5001,BD!$A$3:$A$5001,O$3,BD!$B$3:$B$5001,$A$351)))</f>
        <v/>
      </c>
      <c r="P360" s="203" t="str">
        <f>IF(P$3="","",IF(COUNTIFS(BD!$A$3:$A$5001,P$3,BD!$B$3:$B$5001,$A$351,BD!$L$3:$L$5001,"&lt;&gt;")=0,"",SUMIFS(BD!$L$3:$L$5001,BD!$A$3:$A$5001,P$3,BD!$B$3:$B$5001,$A$351)))</f>
        <v/>
      </c>
      <c r="Q360" s="203" t="str">
        <f>IF(Q$3="","",IF(COUNTIFS(BD!$A$3:$A$5001,Q$3,BD!$B$3:$B$5001,$A$351,BD!$L$3:$L$5001,"&lt;&gt;")=0,"",SUMIFS(BD!$L$3:$L$5001,BD!$A$3:$A$5001,Q$3,BD!$B$3:$B$5001,$A$351)))</f>
        <v/>
      </c>
      <c r="R360" s="203" t="str">
        <f>IF(R$3="","",IF(COUNTIFS(BD!$A$3:$A$5001,R$3,BD!$B$3:$B$5001,$A$351,BD!$L$3:$L$5001,"&lt;&gt;")=0,"",SUMIFS(BD!$L$3:$L$5001,BD!$A$3:$A$5001,R$3,BD!$B$3:$B$5001,$A$351)))</f>
        <v/>
      </c>
      <c r="S360" s="203" t="str">
        <f>IF(S$3="","",IF(COUNTIFS(BD!$A$3:$A$5001,S$3,BD!$B$3:$B$5001,$A$351,BD!$L$3:$L$5001,"&lt;&gt;")=0,"",SUMIFS(BD!$L$3:$L$5001,BD!$A$3:$A$5001,S$3,BD!$B$3:$B$5001,$A$351)))</f>
        <v/>
      </c>
      <c r="T360" s="203" t="str">
        <f>IF(T$3="","",IF(COUNTIFS(BD!$A$3:$A$5001,T$3,BD!$B$3:$B$5001,$A$351,BD!$L$3:$L$5001,"&lt;&gt;")=0,"",SUMIFS(BD!$L$3:$L$5001,BD!$A$3:$A$5001,T$3,BD!$B$3:$B$5001,$A$351)))</f>
        <v/>
      </c>
      <c r="U360" s="203" t="str">
        <f>IF(U$3="","",IF(COUNTIFS(BD!$A$3:$A$5001,U$3,BD!$B$3:$B$5001,$A$351,BD!$L$3:$L$5001,"&lt;&gt;")=0,"",SUMIFS(BD!$L$3:$L$5001,BD!$A$3:$A$5001,U$3,BD!$B$3:$B$5001,$A$351)))</f>
        <v/>
      </c>
      <c r="V360" s="203" t="str">
        <f>IF(V$3="","",IF(COUNTIFS(BD!$A$3:$A$5001,V$3,BD!$B$3:$B$5001,$A$351,BD!$L$3:$L$5001,"&lt;&gt;")=0,"",SUMIFS(BD!$L$3:$L$5001,BD!$A$3:$A$5001,V$3,BD!$B$3:$B$5001,$A$351)))</f>
        <v/>
      </c>
      <c r="W360" s="203" t="str">
        <f>IF(W$3="","",IF(COUNTIFS(BD!$A$3:$A$5001,W$3,BD!$B$3:$B$5001,$A$351,BD!$L$3:$L$5001,"&lt;&gt;")=0,"",SUMIFS(BD!$L$3:$L$5001,BD!$A$3:$A$5001,W$3,BD!$B$3:$B$5001,$A$351)))</f>
        <v/>
      </c>
      <c r="X360" s="203" t="str">
        <f>IF(X$3="","",IF(COUNTIFS(BD!$A$3:$A$5001,X$3,BD!$B$3:$B$5001,$A$351,BD!$L$3:$L$5001,"&lt;&gt;")=0,"",SUMIFS(BD!$L$3:$L$5001,BD!$A$3:$A$5001,X$3,BD!$B$3:$B$5001,$A$351)))</f>
        <v/>
      </c>
      <c r="Y360" s="203" t="str">
        <f>IF(Y$3="","",IF(COUNTIFS(BD!$A$3:$A$5001,Y$3,BD!$B$3:$B$5001,$A$351,BD!$L$3:$L$5001,"&lt;&gt;")=0,"",SUMIFS(BD!$L$3:$L$5001,BD!$A$3:$A$5001,Y$3,BD!$B$3:$B$5001,$A$351)))</f>
        <v/>
      </c>
      <c r="Z360" s="203" t="str">
        <f>IF(Z$3="","",IF(COUNTIFS(BD!$A$3:$A$5001,Z$3,BD!$B$3:$B$5001,$A$351,BD!$L$3:$L$5001,"&lt;&gt;")=0,"",SUMIFS(BD!$L$3:$L$5001,BD!$A$3:$A$5001,Z$3,BD!$B$3:$B$5001,$A$351)))</f>
        <v/>
      </c>
      <c r="AA360" s="203" t="str">
        <f>IF(AA$3="","",IF(COUNTIFS(BD!$A$3:$A$5001,AA$3,BD!$B$3:$B$5001,$A$351,BD!$L$3:$L$5001,"&lt;&gt;")=0,"",SUMIFS(BD!$L$3:$L$5001,BD!$A$3:$A$5001,AA$3,BD!$B$3:$B$5001,$A$351)))</f>
        <v/>
      </c>
      <c r="AB360" s="203" t="str">
        <f>IF(AB$3="","",IF(COUNTIFS(BD!$A$3:$A$5001,AB$3,BD!$B$3:$B$5001,$A$351,BD!$L$3:$L$5001,"&lt;&gt;")=0,"",SUMIFS(BD!$L$3:$L$5001,BD!$A$3:$A$5001,AB$3,BD!$B$3:$B$5001,$A$351)))</f>
        <v/>
      </c>
      <c r="AC360" s="203" t="str">
        <f>IF(AC$3="","",IF(COUNTIFS(BD!$A$3:$A$5001,AC$3,BD!$B$3:$B$5001,$A$351,BD!$L$3:$L$5001,"&lt;&gt;")=0,"",SUMIFS(BD!$L$3:$L$5001,BD!$A$3:$A$5001,AC$3,BD!$B$3:$B$5001,$A$351)))</f>
        <v/>
      </c>
      <c r="AD360" s="203" t="str">
        <f>IF(AD$3="","",IF(COUNTIFS(BD!$A$3:$A$5001,AD$3,BD!$B$3:$B$5001,$A$351,BD!$L$3:$L$5001,"&lt;&gt;")=0,"",SUMIFS(BD!$L$3:$L$5001,BD!$A$3:$A$5001,AD$3,BD!$B$3:$B$5001,$A$351)))</f>
        <v/>
      </c>
      <c r="AE360" s="203" t="str">
        <f>IF(AE$3="","",IF(COUNTIFS(BD!$A$3:$A$5001,AE$3,BD!$B$3:$B$5001,$A$351,BD!$L$3:$L$5001,"&lt;&gt;")=0,"",SUMIFS(BD!$L$3:$L$5001,BD!$A$3:$A$5001,AE$3,BD!$B$3:$B$5001,$A$351)))</f>
        <v/>
      </c>
      <c r="AF360" s="203" t="str">
        <f>IF(AF$3="","",IF(COUNTIFS(BD!$A$3:$A$5001,AF$3,BD!$B$3:$B$5001,$A$351,BD!$L$3:$L$5001,"&lt;&gt;")=0,"",SUMIFS(BD!$L$3:$L$5001,BD!$A$3:$A$5001,AF$3,BD!$B$3:$B$5001,$A$351)))</f>
        <v/>
      </c>
      <c r="AG360" s="203" t="str">
        <f>IF(AG$3="","",IF(COUNTIFS(BD!$A$3:$A$5001,AG$3,BD!$B$3:$B$5001,$A$351,BD!$L$3:$L$5001,"&lt;&gt;")=0,"",SUMIFS(BD!$L$3:$L$5001,BD!$A$3:$A$5001,AG$3,BD!$B$3:$B$5001,$A$351)))</f>
        <v/>
      </c>
      <c r="AH360" s="203" t="str">
        <f>IF(AH$3="","",IF(COUNTIFS(BD!$A$3:$A$5001,AH$3,BD!$B$3:$B$5001,$A$351,BD!$L$3:$L$5001,"&lt;&gt;")=0,"",SUMIFS(BD!$L$3:$L$5001,BD!$A$3:$A$5001,AH$3,BD!$B$3:$B$5001,$A$351)))</f>
        <v/>
      </c>
      <c r="AI360" s="203" t="str">
        <f>IF(AI$3="","",IF(COUNTIFS(BD!$A$3:$A$5001,AI$3,BD!$B$3:$B$5001,$A$351,BD!$L$3:$L$5001,"&lt;&gt;")=0,"",SUMIFS(BD!$L$3:$L$5001,BD!$A$3:$A$5001,AI$3,BD!$B$3:$B$5001,$A$351)))</f>
        <v/>
      </c>
      <c r="AJ360" s="204" t="str">
        <f>IF(AJ$3="","",IF(COUNTIFS(BD!$A$3:$A$5001,AJ$3,BD!$B$3:$B$5001,$A$351,BD!$L$3:$L$5001,"&lt;&gt;")=0,"",SUMIFS(BD!$L$3:$L$5001,BD!$A$3:$A$5001,AJ$3,BD!$B$3:$B$5001,$A$351)))</f>
        <v/>
      </c>
      <c r="AK360" s="205" t="str">
        <f>IF(COUNT(F360:AJ360)=0,"",SUM(F360:AJ360))</f>
        <v/>
      </c>
    </row>
    <row r="361" ht="15.75" customHeight="1" hidden="1">
      <c r="A361" s="277"/>
      <c r="B361" s="269"/>
      <c r="C361" s="210" t="inlineStr">
        <is>
          <t xml:space="preserve">Bags Expedidos</t>
        </is>
      </c>
      <c r="D361" s="211" t="str">
        <f>IFERROR(1/(1/INDEX(BD!$AF$33:$AZ$33,MATCH($A$351,BD!$AF$22:$AZ$22,0))),"")</f>
        <v/>
      </c>
      <c r="E361" s="212"/>
      <c r="F361" s="213" t="str">
        <f>IF(F$3="","",IF(COUNTIFS(BD!$A$3:$A$5001,F$3,BD!$B$3:$B$5001,$A$351,BD!$M$3:$M$5001,"&lt;&gt;")=0,"",SUMIFS(BD!$M$3:$M$5001,BD!$A$3:$A$5001,F$3,BD!$B$3:$B$5001,$A$351)))</f>
        <v/>
      </c>
      <c r="G361" s="214" t="str">
        <f>IF(G$3="","",IF(COUNTIFS(BD!$A$3:$A$5001,G$3,BD!$B$3:$B$5001,$A$351,BD!$M$3:$M$5001,"&lt;&gt;")=0,"",SUMIFS(BD!$M$3:$M$5001,BD!$A$3:$A$5001,G$3,BD!$B$3:$B$5001,$A$351)))</f>
        <v/>
      </c>
      <c r="H361" s="214" t="str">
        <f>IF(H$3="","",IF(COUNTIFS(BD!$A$3:$A$5001,H$3,BD!$B$3:$B$5001,$A$351,BD!$M$3:$M$5001,"&lt;&gt;")=0,"",SUMIFS(BD!$M$3:$M$5001,BD!$A$3:$A$5001,H$3,BD!$B$3:$B$5001,$A$351)))</f>
        <v/>
      </c>
      <c r="I361" s="214" t="str">
        <f>IF(I$3="","",IF(COUNTIFS(BD!$A$3:$A$5001,I$3,BD!$B$3:$B$5001,$A$351,BD!$M$3:$M$5001,"&lt;&gt;")=0,"",SUMIFS(BD!$M$3:$M$5001,BD!$A$3:$A$5001,I$3,BD!$B$3:$B$5001,$A$351)))</f>
        <v/>
      </c>
      <c r="J361" s="214" t="str">
        <f>IF(J$3="","",IF(COUNTIFS(BD!$A$3:$A$5001,J$3,BD!$B$3:$B$5001,$A$351,BD!$M$3:$M$5001,"&lt;&gt;")=0,"",SUMIFS(BD!$M$3:$M$5001,BD!$A$3:$A$5001,J$3,BD!$B$3:$B$5001,$A$351)))</f>
        <v/>
      </c>
      <c r="K361" s="214" t="str">
        <f>IF(K$3="","",IF(COUNTIFS(BD!$A$3:$A$5001,K$3,BD!$B$3:$B$5001,$A$351,BD!$M$3:$M$5001,"&lt;&gt;")=0,"",SUMIFS(BD!$M$3:$M$5001,BD!$A$3:$A$5001,K$3,BD!$B$3:$B$5001,$A$351)))</f>
        <v/>
      </c>
      <c r="L361" s="214" t="str">
        <f>IF(L$3="","",IF(COUNTIFS(BD!$A$3:$A$5001,L$3,BD!$B$3:$B$5001,$A$351,BD!$M$3:$M$5001,"&lt;&gt;")=0,"",SUMIFS(BD!$M$3:$M$5001,BD!$A$3:$A$5001,L$3,BD!$B$3:$B$5001,$A$351)))</f>
        <v/>
      </c>
      <c r="M361" s="214" t="str">
        <f>IF(M$3="","",IF(COUNTIFS(BD!$A$3:$A$5001,M$3,BD!$B$3:$B$5001,$A$351,BD!$M$3:$M$5001,"&lt;&gt;")=0,"",SUMIFS(BD!$M$3:$M$5001,BD!$A$3:$A$5001,M$3,BD!$B$3:$B$5001,$A$351)))</f>
        <v/>
      </c>
      <c r="N361" s="214" t="str">
        <f>IF(N$3="","",IF(COUNTIFS(BD!$A$3:$A$5001,N$3,BD!$B$3:$B$5001,$A$351,BD!$M$3:$M$5001,"&lt;&gt;")=0,"",SUMIFS(BD!$M$3:$M$5001,BD!$A$3:$A$5001,N$3,BD!$B$3:$B$5001,$A$351)))</f>
        <v/>
      </c>
      <c r="O361" s="214" t="str">
        <f>IF(O$3="","",IF(COUNTIFS(BD!$A$3:$A$5001,O$3,BD!$B$3:$B$5001,$A$351,BD!$M$3:$M$5001,"&lt;&gt;")=0,"",SUMIFS(BD!$M$3:$M$5001,BD!$A$3:$A$5001,O$3,BD!$B$3:$B$5001,$A$351)))</f>
        <v/>
      </c>
      <c r="P361" s="214" t="str">
        <f>IF(P$3="","",IF(COUNTIFS(BD!$A$3:$A$5001,P$3,BD!$B$3:$B$5001,$A$351,BD!$M$3:$M$5001,"&lt;&gt;")=0,"",SUMIFS(BD!$M$3:$M$5001,BD!$A$3:$A$5001,P$3,BD!$B$3:$B$5001,$A$351)))</f>
        <v/>
      </c>
      <c r="Q361" s="214" t="str">
        <f>IF(Q$3="","",IF(COUNTIFS(BD!$A$3:$A$5001,Q$3,BD!$B$3:$B$5001,$A$351,BD!$M$3:$M$5001,"&lt;&gt;")=0,"",SUMIFS(BD!$M$3:$M$5001,BD!$A$3:$A$5001,Q$3,BD!$B$3:$B$5001,$A$351)))</f>
        <v/>
      </c>
      <c r="R361" s="214" t="str">
        <f>IF(R$3="","",IF(COUNTIFS(BD!$A$3:$A$5001,R$3,BD!$B$3:$B$5001,$A$351,BD!$M$3:$M$5001,"&lt;&gt;")=0,"",SUMIFS(BD!$M$3:$M$5001,BD!$A$3:$A$5001,R$3,BD!$B$3:$B$5001,$A$351)))</f>
        <v/>
      </c>
      <c r="S361" s="214" t="str">
        <f>IF(S$3="","",IF(COUNTIFS(BD!$A$3:$A$5001,S$3,BD!$B$3:$B$5001,$A$351,BD!$M$3:$M$5001,"&lt;&gt;")=0,"",SUMIFS(BD!$M$3:$M$5001,BD!$A$3:$A$5001,S$3,BD!$B$3:$B$5001,$A$351)))</f>
        <v/>
      </c>
      <c r="T361" s="214" t="str">
        <f>IF(T$3="","",IF(COUNTIFS(BD!$A$3:$A$5001,T$3,BD!$B$3:$B$5001,$A$351,BD!$M$3:$M$5001,"&lt;&gt;")=0,"",SUMIFS(BD!$M$3:$M$5001,BD!$A$3:$A$5001,T$3,BD!$B$3:$B$5001,$A$351)))</f>
        <v/>
      </c>
      <c r="U361" s="214" t="str">
        <f>IF(U$3="","",IF(COUNTIFS(BD!$A$3:$A$5001,U$3,BD!$B$3:$B$5001,$A$351,BD!$M$3:$M$5001,"&lt;&gt;")=0,"",SUMIFS(BD!$M$3:$M$5001,BD!$A$3:$A$5001,U$3,BD!$B$3:$B$5001,$A$351)))</f>
        <v/>
      </c>
      <c r="V361" s="214" t="str">
        <f>IF(V$3="","",IF(COUNTIFS(BD!$A$3:$A$5001,V$3,BD!$B$3:$B$5001,$A$351,BD!$M$3:$M$5001,"&lt;&gt;")=0,"",SUMIFS(BD!$M$3:$M$5001,BD!$A$3:$A$5001,V$3,BD!$B$3:$B$5001,$A$351)))</f>
        <v/>
      </c>
      <c r="W361" s="214" t="str">
        <f>IF(W$3="","",IF(COUNTIFS(BD!$A$3:$A$5001,W$3,BD!$B$3:$B$5001,$A$351,BD!$M$3:$M$5001,"&lt;&gt;")=0,"",SUMIFS(BD!$M$3:$M$5001,BD!$A$3:$A$5001,W$3,BD!$B$3:$B$5001,$A$351)))</f>
        <v/>
      </c>
      <c r="X361" s="214" t="str">
        <f>IF(X$3="","",IF(COUNTIFS(BD!$A$3:$A$5001,X$3,BD!$B$3:$B$5001,$A$351,BD!$M$3:$M$5001,"&lt;&gt;")=0,"",SUMIFS(BD!$M$3:$M$5001,BD!$A$3:$A$5001,X$3,BD!$B$3:$B$5001,$A$351)))</f>
        <v/>
      </c>
      <c r="Y361" s="214" t="str">
        <f>IF(Y$3="","",IF(COUNTIFS(BD!$A$3:$A$5001,Y$3,BD!$B$3:$B$5001,$A$351,BD!$M$3:$M$5001,"&lt;&gt;")=0,"",SUMIFS(BD!$M$3:$M$5001,BD!$A$3:$A$5001,Y$3,BD!$B$3:$B$5001,$A$351)))</f>
        <v/>
      </c>
      <c r="Z361" s="214" t="str">
        <f>IF(Z$3="","",IF(COUNTIFS(BD!$A$3:$A$5001,Z$3,BD!$B$3:$B$5001,$A$351,BD!$M$3:$M$5001,"&lt;&gt;")=0,"",SUMIFS(BD!$M$3:$M$5001,BD!$A$3:$A$5001,Z$3,BD!$B$3:$B$5001,$A$351)))</f>
        <v/>
      </c>
      <c r="AA361" s="214" t="str">
        <f>IF(AA$3="","",IF(COUNTIFS(BD!$A$3:$A$5001,AA$3,BD!$B$3:$B$5001,$A$351,BD!$M$3:$M$5001,"&lt;&gt;")=0,"",SUMIFS(BD!$M$3:$M$5001,BD!$A$3:$A$5001,AA$3,BD!$B$3:$B$5001,$A$351)))</f>
        <v/>
      </c>
      <c r="AB361" s="214" t="str">
        <f>IF(AB$3="","",IF(COUNTIFS(BD!$A$3:$A$5001,AB$3,BD!$B$3:$B$5001,$A$351,BD!$M$3:$M$5001,"&lt;&gt;")=0,"",SUMIFS(BD!$M$3:$M$5001,BD!$A$3:$A$5001,AB$3,BD!$B$3:$B$5001,$A$351)))</f>
        <v/>
      </c>
      <c r="AC361" s="214" t="str">
        <f>IF(AC$3="","",IF(COUNTIFS(BD!$A$3:$A$5001,AC$3,BD!$B$3:$B$5001,$A$351,BD!$M$3:$M$5001,"&lt;&gt;")=0,"",SUMIFS(BD!$M$3:$M$5001,BD!$A$3:$A$5001,AC$3,BD!$B$3:$B$5001,$A$351)))</f>
        <v/>
      </c>
      <c r="AD361" s="214" t="str">
        <f>IF(AD$3="","",IF(COUNTIFS(BD!$A$3:$A$5001,AD$3,BD!$B$3:$B$5001,$A$351,BD!$M$3:$M$5001,"&lt;&gt;")=0,"",SUMIFS(BD!$M$3:$M$5001,BD!$A$3:$A$5001,AD$3,BD!$B$3:$B$5001,$A$351)))</f>
        <v/>
      </c>
      <c r="AE361" s="214" t="str">
        <f>IF(AE$3="","",IF(COUNTIFS(BD!$A$3:$A$5001,AE$3,BD!$B$3:$B$5001,$A$351,BD!$M$3:$M$5001,"&lt;&gt;")=0,"",SUMIFS(BD!$M$3:$M$5001,BD!$A$3:$A$5001,AE$3,BD!$B$3:$B$5001,$A$351)))</f>
        <v/>
      </c>
      <c r="AF361" s="214" t="str">
        <f>IF(AF$3="","",IF(COUNTIFS(BD!$A$3:$A$5001,AF$3,BD!$B$3:$B$5001,$A$351,BD!$M$3:$M$5001,"&lt;&gt;")=0,"",SUMIFS(BD!$M$3:$M$5001,BD!$A$3:$A$5001,AF$3,BD!$B$3:$B$5001,$A$351)))</f>
        <v/>
      </c>
      <c r="AG361" s="214" t="str">
        <f>IF(AG$3="","",IF(COUNTIFS(BD!$A$3:$A$5001,AG$3,BD!$B$3:$B$5001,$A$351,BD!$M$3:$M$5001,"&lt;&gt;")=0,"",SUMIFS(BD!$M$3:$M$5001,BD!$A$3:$A$5001,AG$3,BD!$B$3:$B$5001,$A$351)))</f>
        <v/>
      </c>
      <c r="AH361" s="214" t="str">
        <f>IF(AH$3="","",IF(COUNTIFS(BD!$A$3:$A$5001,AH$3,BD!$B$3:$B$5001,$A$351,BD!$M$3:$M$5001,"&lt;&gt;")=0,"",SUMIFS(BD!$M$3:$M$5001,BD!$A$3:$A$5001,AH$3,BD!$B$3:$B$5001,$A$351)))</f>
        <v/>
      </c>
      <c r="AI361" s="214" t="str">
        <f>IF(AI$3="","",IF(COUNTIFS(BD!$A$3:$A$5001,AI$3,BD!$B$3:$B$5001,$A$351,BD!$M$3:$M$5001,"&lt;&gt;")=0,"",SUMIFS(BD!$M$3:$M$5001,BD!$A$3:$A$5001,AI$3,BD!$B$3:$B$5001,$A$351)))</f>
        <v/>
      </c>
      <c r="AJ361" s="215" t="str">
        <f>IF(AJ$3="","",IF(COUNTIFS(BD!$A$3:$A$5001,AJ$3,BD!$B$3:$B$5001,$A$351,BD!$M$3:$M$5001,"&lt;&gt;")=0,"",SUMIFS(BD!$M$3:$M$5001,BD!$A$3:$A$5001,AJ$3,BD!$B$3:$B$5001,$A$351)))</f>
        <v/>
      </c>
      <c r="AK361" s="211" t="str">
        <f>IF(COUNT(F361:AJ361)=0,"",SUM(F361:AJ361))</f>
        <v/>
      </c>
    </row>
    <row r="362" ht="15.75" customHeight="1" hidden="1">
      <c r="A362" s="277"/>
      <c r="B362" s="270" t="inlineStr">
        <is>
          <t xml:space="preserve">NC</t>
        </is>
      </c>
      <c r="C362" s="216" t="inlineStr">
        <is>
          <t xml:space="preserve">Incidentes</t>
        </is>
      </c>
      <c r="D362" s="217" t="str">
        <f>IFERROR(1/(1/INDEX(BD!$AF$34:$AZ$34,MATCH($A$351,BD!$AF$22:$AZ$22,0))),"")</f>
        <v/>
      </c>
      <c r="E362" s="218"/>
      <c r="F362" s="219" t="str">
        <f>IF(F$3="","",IF(COUNTIFS(BD!$A$3:$A$5001,F$3,BD!$B$3:$B$5001,$A$351,BD!$N$3:$N$5001,"&lt;&gt;")=0,"",SUMIFS(BD!$N$3:$N$5001,BD!$A$3:$A$5001,F$3,BD!$B$3:$B$5001,$A$351)))</f>
        <v/>
      </c>
      <c r="G362" s="220" t="str">
        <f>IF(G$3="","",IF(COUNTIFS(BD!$A$3:$A$5001,G$3,BD!$B$3:$B$5001,$A$351,BD!$N$3:$N$5001,"&lt;&gt;")=0,"",SUMIFS(BD!$N$3:$N$5001,BD!$A$3:$A$5001,G$3,BD!$B$3:$B$5001,$A$351)))</f>
        <v/>
      </c>
      <c r="H362" s="220" t="str">
        <f>IF(H$3="","",IF(COUNTIFS(BD!$A$3:$A$5001,H$3,BD!$B$3:$B$5001,$A$351,BD!$N$3:$N$5001,"&lt;&gt;")=0,"",SUMIFS(BD!$N$3:$N$5001,BD!$A$3:$A$5001,H$3,BD!$B$3:$B$5001,$A$351)))</f>
        <v/>
      </c>
      <c r="I362" s="220" t="str">
        <f>IF(I$3="","",IF(COUNTIFS(BD!$A$3:$A$5001,I$3,BD!$B$3:$B$5001,$A$351,BD!$N$3:$N$5001,"&lt;&gt;")=0,"",SUMIFS(BD!$N$3:$N$5001,BD!$A$3:$A$5001,I$3,BD!$B$3:$B$5001,$A$351)))</f>
        <v/>
      </c>
      <c r="J362" s="220" t="str">
        <f>IF(J$3="","",IF(COUNTIFS(BD!$A$3:$A$5001,J$3,BD!$B$3:$B$5001,$A$351,BD!$N$3:$N$5001,"&lt;&gt;")=0,"",SUMIFS(BD!$N$3:$N$5001,BD!$A$3:$A$5001,J$3,BD!$B$3:$B$5001,$A$351)))</f>
        <v/>
      </c>
      <c r="K362" s="220" t="str">
        <f>IF(K$3="","",IF(COUNTIFS(BD!$A$3:$A$5001,K$3,BD!$B$3:$B$5001,$A$351,BD!$N$3:$N$5001,"&lt;&gt;")=0,"",SUMIFS(BD!$N$3:$N$5001,BD!$A$3:$A$5001,K$3,BD!$B$3:$B$5001,$A$351)))</f>
        <v/>
      </c>
      <c r="L362" s="220" t="str">
        <f>IF(L$3="","",IF(COUNTIFS(BD!$A$3:$A$5001,L$3,BD!$B$3:$B$5001,$A$351,BD!$N$3:$N$5001,"&lt;&gt;")=0,"",SUMIFS(BD!$N$3:$N$5001,BD!$A$3:$A$5001,L$3,BD!$B$3:$B$5001,$A$351)))</f>
        <v/>
      </c>
      <c r="M362" s="220" t="str">
        <f>IF(M$3="","",IF(COUNTIFS(BD!$A$3:$A$5001,M$3,BD!$B$3:$B$5001,$A$351,BD!$N$3:$N$5001,"&lt;&gt;")=0,"",SUMIFS(BD!$N$3:$N$5001,BD!$A$3:$A$5001,M$3,BD!$B$3:$B$5001,$A$351)))</f>
        <v/>
      </c>
      <c r="N362" s="220" t="str">
        <f>IF(N$3="","",IF(COUNTIFS(BD!$A$3:$A$5001,N$3,BD!$B$3:$B$5001,$A$351,BD!$N$3:$N$5001,"&lt;&gt;")=0,"",SUMIFS(BD!$N$3:$N$5001,BD!$A$3:$A$5001,N$3,BD!$B$3:$B$5001,$A$351)))</f>
        <v/>
      </c>
      <c r="O362" s="220" t="str">
        <f>IF(O$3="","",IF(COUNTIFS(BD!$A$3:$A$5001,O$3,BD!$B$3:$B$5001,$A$351,BD!$N$3:$N$5001,"&lt;&gt;")=0,"",SUMIFS(BD!$N$3:$N$5001,BD!$A$3:$A$5001,O$3,BD!$B$3:$B$5001,$A$351)))</f>
        <v/>
      </c>
      <c r="P362" s="220" t="str">
        <f>IF(P$3="","",IF(COUNTIFS(BD!$A$3:$A$5001,P$3,BD!$B$3:$B$5001,$A$351,BD!$N$3:$N$5001,"&lt;&gt;")=0,"",SUMIFS(BD!$N$3:$N$5001,BD!$A$3:$A$5001,P$3,BD!$B$3:$B$5001,$A$351)))</f>
        <v/>
      </c>
      <c r="Q362" s="220" t="str">
        <f>IF(Q$3="","",IF(COUNTIFS(BD!$A$3:$A$5001,Q$3,BD!$B$3:$B$5001,$A$351,BD!$N$3:$N$5001,"&lt;&gt;")=0,"",SUMIFS(BD!$N$3:$N$5001,BD!$A$3:$A$5001,Q$3,BD!$B$3:$B$5001,$A$351)))</f>
        <v/>
      </c>
      <c r="R362" s="220" t="str">
        <f>IF(R$3="","",IF(COUNTIFS(BD!$A$3:$A$5001,R$3,BD!$B$3:$B$5001,$A$351,BD!$N$3:$N$5001,"&lt;&gt;")=0,"",SUMIFS(BD!$N$3:$N$5001,BD!$A$3:$A$5001,R$3,BD!$B$3:$B$5001,$A$351)))</f>
        <v/>
      </c>
      <c r="S362" s="220" t="str">
        <f>IF(S$3="","",IF(COUNTIFS(BD!$A$3:$A$5001,S$3,BD!$B$3:$B$5001,$A$351,BD!$N$3:$N$5001,"&lt;&gt;")=0,"",SUMIFS(BD!$N$3:$N$5001,BD!$A$3:$A$5001,S$3,BD!$B$3:$B$5001,$A$351)))</f>
        <v/>
      </c>
      <c r="T362" s="220" t="str">
        <f>IF(T$3="","",IF(COUNTIFS(BD!$A$3:$A$5001,T$3,BD!$B$3:$B$5001,$A$351,BD!$N$3:$N$5001,"&lt;&gt;")=0,"",SUMIFS(BD!$N$3:$N$5001,BD!$A$3:$A$5001,T$3,BD!$B$3:$B$5001,$A$351)))</f>
        <v/>
      </c>
      <c r="U362" s="220" t="str">
        <f>IF(U$3="","",IF(COUNTIFS(BD!$A$3:$A$5001,U$3,BD!$B$3:$B$5001,$A$351,BD!$N$3:$N$5001,"&lt;&gt;")=0,"",SUMIFS(BD!$N$3:$N$5001,BD!$A$3:$A$5001,U$3,BD!$B$3:$B$5001,$A$351)))</f>
        <v/>
      </c>
      <c r="V362" s="220" t="str">
        <f>IF(V$3="","",IF(COUNTIFS(BD!$A$3:$A$5001,V$3,BD!$B$3:$B$5001,$A$351,BD!$N$3:$N$5001,"&lt;&gt;")=0,"",SUMIFS(BD!$N$3:$N$5001,BD!$A$3:$A$5001,V$3,BD!$B$3:$B$5001,$A$351)))</f>
        <v/>
      </c>
      <c r="W362" s="220" t="str">
        <f>IF(W$3="","",IF(COUNTIFS(BD!$A$3:$A$5001,W$3,BD!$B$3:$B$5001,$A$351,BD!$N$3:$N$5001,"&lt;&gt;")=0,"",SUMIFS(BD!$N$3:$N$5001,BD!$A$3:$A$5001,W$3,BD!$B$3:$B$5001,$A$351)))</f>
        <v/>
      </c>
      <c r="X362" s="220" t="str">
        <f>IF(X$3="","",IF(COUNTIFS(BD!$A$3:$A$5001,X$3,BD!$B$3:$B$5001,$A$351,BD!$N$3:$N$5001,"&lt;&gt;")=0,"",SUMIFS(BD!$N$3:$N$5001,BD!$A$3:$A$5001,X$3,BD!$B$3:$B$5001,$A$351)))</f>
        <v/>
      </c>
      <c r="Y362" s="220" t="str">
        <f>IF(Y$3="","",IF(COUNTIFS(BD!$A$3:$A$5001,Y$3,BD!$B$3:$B$5001,$A$351,BD!$N$3:$N$5001,"&lt;&gt;")=0,"",SUMIFS(BD!$N$3:$N$5001,BD!$A$3:$A$5001,Y$3,BD!$B$3:$B$5001,$A$351)))</f>
        <v/>
      </c>
      <c r="Z362" s="220" t="str">
        <f>IF(Z$3="","",IF(COUNTIFS(BD!$A$3:$A$5001,Z$3,BD!$B$3:$B$5001,$A$351,BD!$N$3:$N$5001,"&lt;&gt;")=0,"",SUMIFS(BD!$N$3:$N$5001,BD!$A$3:$A$5001,Z$3,BD!$B$3:$B$5001,$A$351)))</f>
        <v/>
      </c>
      <c r="AA362" s="220" t="str">
        <f>IF(AA$3="","",IF(COUNTIFS(BD!$A$3:$A$5001,AA$3,BD!$B$3:$B$5001,$A$351,BD!$N$3:$N$5001,"&lt;&gt;")=0,"",SUMIFS(BD!$N$3:$N$5001,BD!$A$3:$A$5001,AA$3,BD!$B$3:$B$5001,$A$351)))</f>
        <v/>
      </c>
      <c r="AB362" s="220" t="str">
        <f>IF(AB$3="","",IF(COUNTIFS(BD!$A$3:$A$5001,AB$3,BD!$B$3:$B$5001,$A$351,BD!$N$3:$N$5001,"&lt;&gt;")=0,"",SUMIFS(BD!$N$3:$N$5001,BD!$A$3:$A$5001,AB$3,BD!$B$3:$B$5001,$A$351)))</f>
        <v/>
      </c>
      <c r="AC362" s="220" t="str">
        <f>IF(AC$3="","",IF(COUNTIFS(BD!$A$3:$A$5001,AC$3,BD!$B$3:$B$5001,$A$351,BD!$N$3:$N$5001,"&lt;&gt;")=0,"",SUMIFS(BD!$N$3:$N$5001,BD!$A$3:$A$5001,AC$3,BD!$B$3:$B$5001,$A$351)))</f>
        <v/>
      </c>
      <c r="AD362" s="220" t="str">
        <f>IF(AD$3="","",IF(COUNTIFS(BD!$A$3:$A$5001,AD$3,BD!$B$3:$B$5001,$A$351,BD!$N$3:$N$5001,"&lt;&gt;")=0,"",SUMIFS(BD!$N$3:$N$5001,BD!$A$3:$A$5001,AD$3,BD!$B$3:$B$5001,$A$351)))</f>
        <v/>
      </c>
      <c r="AE362" s="220" t="str">
        <f>IF(AE$3="","",IF(COUNTIFS(BD!$A$3:$A$5001,AE$3,BD!$B$3:$B$5001,$A$351,BD!$N$3:$N$5001,"&lt;&gt;")=0,"",SUMIFS(BD!$N$3:$N$5001,BD!$A$3:$A$5001,AE$3,BD!$B$3:$B$5001,$A$351)))</f>
        <v/>
      </c>
      <c r="AF362" s="220" t="str">
        <f>IF(AF$3="","",IF(COUNTIFS(BD!$A$3:$A$5001,AF$3,BD!$B$3:$B$5001,$A$351,BD!$N$3:$N$5001,"&lt;&gt;")=0,"",SUMIFS(BD!$N$3:$N$5001,BD!$A$3:$A$5001,AF$3,BD!$B$3:$B$5001,$A$351)))</f>
        <v/>
      </c>
      <c r="AG362" s="220" t="str">
        <f>IF(AG$3="","",IF(COUNTIFS(BD!$A$3:$A$5001,AG$3,BD!$B$3:$B$5001,$A$351,BD!$N$3:$N$5001,"&lt;&gt;")=0,"",SUMIFS(BD!$N$3:$N$5001,BD!$A$3:$A$5001,AG$3,BD!$B$3:$B$5001,$A$351)))</f>
        <v/>
      </c>
      <c r="AH362" s="220" t="str">
        <f>IF(AH$3="","",IF(COUNTIFS(BD!$A$3:$A$5001,AH$3,BD!$B$3:$B$5001,$A$351,BD!$N$3:$N$5001,"&lt;&gt;")=0,"",SUMIFS(BD!$N$3:$N$5001,BD!$A$3:$A$5001,AH$3,BD!$B$3:$B$5001,$A$351)))</f>
        <v/>
      </c>
      <c r="AI362" s="220" t="str">
        <f>IF(AI$3="","",IF(COUNTIFS(BD!$A$3:$A$5001,AI$3,BD!$B$3:$B$5001,$A$351,BD!$N$3:$N$5001,"&lt;&gt;")=0,"",SUMIFS(BD!$N$3:$N$5001,BD!$A$3:$A$5001,AI$3,BD!$B$3:$B$5001,$A$351)))</f>
        <v/>
      </c>
      <c r="AJ362" s="221" t="str">
        <f>IF(AJ$3="","",IF(COUNTIFS(BD!$A$3:$A$5001,AJ$3,BD!$B$3:$B$5001,$A$351,BD!$N$3:$N$5001,"&lt;&gt;")=0,"",SUMIFS(BD!$N$3:$N$5001,BD!$A$3:$A$5001,AJ$3,BD!$B$3:$B$5001,$A$351)))</f>
        <v/>
      </c>
      <c r="AK362" s="222" t="str">
        <f>IF(COUNT(F362:AJ362)=0,"",SUM(F362:AJ362))</f>
        <v/>
      </c>
    </row>
    <row r="363" ht="15.75" customHeight="1" hidden="1">
      <c r="A363" s="277"/>
      <c r="B363" s="271"/>
      <c r="C363" s="223" t="inlineStr">
        <is>
          <t xml:space="preserve">No show</t>
        </is>
      </c>
      <c r="D363" s="224" t="str">
        <f>IFERROR(1/(1/INDEX(BD!$AF$35:$AZ$35,MATCH($A$351,BD!$AF$22:$AZ$22,0))),"")</f>
        <v/>
      </c>
      <c r="E363" s="225"/>
      <c r="F363" s="226" t="str">
        <f>IF(F$3="","",IF(COUNTIFS(BD!$A$3:$A$5001,F$3,BD!$B$3:$B$5001,$A$351,BD!$O$3:$O$5001,"&lt;&gt;")=0,"",SUMIFS(BD!$O$3:$O$5001,BD!$A$3:$A$5001,F$3,BD!$B$3:$B$5001,$A$351)))</f>
        <v/>
      </c>
      <c r="G363" s="227" t="str">
        <f>IF(G$3="","",IF(COUNTIFS(BD!$A$3:$A$5001,G$3,BD!$B$3:$B$5001,$A$351,BD!$O$3:$O$5001,"&lt;&gt;")=0,"",SUMIFS(BD!$O$3:$O$5001,BD!$A$3:$A$5001,G$3,BD!$B$3:$B$5001,$A$351)))</f>
        <v/>
      </c>
      <c r="H363" s="227" t="str">
        <f>IF(H$3="","",IF(COUNTIFS(BD!$A$3:$A$5001,H$3,BD!$B$3:$B$5001,$A$351,BD!$O$3:$O$5001,"&lt;&gt;")=0,"",SUMIFS(BD!$O$3:$O$5001,BD!$A$3:$A$5001,H$3,BD!$B$3:$B$5001,$A$351)))</f>
        <v/>
      </c>
      <c r="I363" s="227" t="str">
        <f>IF(I$3="","",IF(COUNTIFS(BD!$A$3:$A$5001,I$3,BD!$B$3:$B$5001,$A$351,BD!$O$3:$O$5001,"&lt;&gt;")=0,"",SUMIFS(BD!$O$3:$O$5001,BD!$A$3:$A$5001,I$3,BD!$B$3:$B$5001,$A$351)))</f>
        <v/>
      </c>
      <c r="J363" s="227" t="str">
        <f>IF(J$3="","",IF(COUNTIFS(BD!$A$3:$A$5001,J$3,BD!$B$3:$B$5001,$A$351,BD!$O$3:$O$5001,"&lt;&gt;")=0,"",SUMIFS(BD!$O$3:$O$5001,BD!$A$3:$A$5001,J$3,BD!$B$3:$B$5001,$A$351)))</f>
        <v/>
      </c>
      <c r="K363" s="227" t="str">
        <f>IF(K$3="","",IF(COUNTIFS(BD!$A$3:$A$5001,K$3,BD!$B$3:$B$5001,$A$351,BD!$O$3:$O$5001,"&lt;&gt;")=0,"",SUMIFS(BD!$O$3:$O$5001,BD!$A$3:$A$5001,K$3,BD!$B$3:$B$5001,$A$351)))</f>
        <v/>
      </c>
      <c r="L363" s="227" t="str">
        <f>IF(L$3="","",IF(COUNTIFS(BD!$A$3:$A$5001,L$3,BD!$B$3:$B$5001,$A$351,BD!$O$3:$O$5001,"&lt;&gt;")=0,"",SUMIFS(BD!$O$3:$O$5001,BD!$A$3:$A$5001,L$3,BD!$B$3:$B$5001,$A$351)))</f>
        <v/>
      </c>
      <c r="M363" s="227" t="str">
        <f>IF(M$3="","",IF(COUNTIFS(BD!$A$3:$A$5001,M$3,BD!$B$3:$B$5001,$A$351,BD!$O$3:$O$5001,"&lt;&gt;")=0,"",SUMIFS(BD!$O$3:$O$5001,BD!$A$3:$A$5001,M$3,BD!$B$3:$B$5001,$A$351)))</f>
        <v/>
      </c>
      <c r="N363" s="227" t="str">
        <f>IF(N$3="","",IF(COUNTIFS(BD!$A$3:$A$5001,N$3,BD!$B$3:$B$5001,$A$351,BD!$O$3:$O$5001,"&lt;&gt;")=0,"",SUMIFS(BD!$O$3:$O$5001,BD!$A$3:$A$5001,N$3,BD!$B$3:$B$5001,$A$351)))</f>
        <v/>
      </c>
      <c r="O363" s="227" t="str">
        <f>IF(O$3="","",IF(COUNTIFS(BD!$A$3:$A$5001,O$3,BD!$B$3:$B$5001,$A$351,BD!$O$3:$O$5001,"&lt;&gt;")=0,"",SUMIFS(BD!$O$3:$O$5001,BD!$A$3:$A$5001,O$3,BD!$B$3:$B$5001,$A$351)))</f>
        <v/>
      </c>
      <c r="P363" s="227" t="str">
        <f>IF(P$3="","",IF(COUNTIFS(BD!$A$3:$A$5001,P$3,BD!$B$3:$B$5001,$A$351,BD!$O$3:$O$5001,"&lt;&gt;")=0,"",SUMIFS(BD!$O$3:$O$5001,BD!$A$3:$A$5001,P$3,BD!$B$3:$B$5001,$A$351)))</f>
        <v/>
      </c>
      <c r="Q363" s="227" t="str">
        <f>IF(Q$3="","",IF(COUNTIFS(BD!$A$3:$A$5001,Q$3,BD!$B$3:$B$5001,$A$351,BD!$O$3:$O$5001,"&lt;&gt;")=0,"",SUMIFS(BD!$O$3:$O$5001,BD!$A$3:$A$5001,Q$3,BD!$B$3:$B$5001,$A$351)))</f>
        <v/>
      </c>
      <c r="R363" s="227" t="str">
        <f>IF(R$3="","",IF(COUNTIFS(BD!$A$3:$A$5001,R$3,BD!$B$3:$B$5001,$A$351,BD!$O$3:$O$5001,"&lt;&gt;")=0,"",SUMIFS(BD!$O$3:$O$5001,BD!$A$3:$A$5001,R$3,BD!$B$3:$B$5001,$A$351)))</f>
        <v/>
      </c>
      <c r="S363" s="227" t="str">
        <f>IF(S$3="","",IF(COUNTIFS(BD!$A$3:$A$5001,S$3,BD!$B$3:$B$5001,$A$351,BD!$O$3:$O$5001,"&lt;&gt;")=0,"",SUMIFS(BD!$O$3:$O$5001,BD!$A$3:$A$5001,S$3,BD!$B$3:$B$5001,$A$351)))</f>
        <v/>
      </c>
      <c r="T363" s="227" t="str">
        <f>IF(T$3="","",IF(COUNTIFS(BD!$A$3:$A$5001,T$3,BD!$B$3:$B$5001,$A$351,BD!$O$3:$O$5001,"&lt;&gt;")=0,"",SUMIFS(BD!$O$3:$O$5001,BD!$A$3:$A$5001,T$3,BD!$B$3:$B$5001,$A$351)))</f>
        <v/>
      </c>
      <c r="U363" s="227" t="str">
        <f>IF(U$3="","",IF(COUNTIFS(BD!$A$3:$A$5001,U$3,BD!$B$3:$B$5001,$A$351,BD!$O$3:$O$5001,"&lt;&gt;")=0,"",SUMIFS(BD!$O$3:$O$5001,BD!$A$3:$A$5001,U$3,BD!$B$3:$B$5001,$A$351)))</f>
        <v/>
      </c>
      <c r="V363" s="227" t="str">
        <f>IF(V$3="","",IF(COUNTIFS(BD!$A$3:$A$5001,V$3,BD!$B$3:$B$5001,$A$351,BD!$O$3:$O$5001,"&lt;&gt;")=0,"",SUMIFS(BD!$O$3:$O$5001,BD!$A$3:$A$5001,V$3,BD!$B$3:$B$5001,$A$351)))</f>
        <v/>
      </c>
      <c r="W363" s="227" t="str">
        <f>IF(W$3="","",IF(COUNTIFS(BD!$A$3:$A$5001,W$3,BD!$B$3:$B$5001,$A$351,BD!$O$3:$O$5001,"&lt;&gt;")=0,"",SUMIFS(BD!$O$3:$O$5001,BD!$A$3:$A$5001,W$3,BD!$B$3:$B$5001,$A$351)))</f>
        <v/>
      </c>
      <c r="X363" s="227" t="str">
        <f>IF(X$3="","",IF(COUNTIFS(BD!$A$3:$A$5001,X$3,BD!$B$3:$B$5001,$A$351,BD!$O$3:$O$5001,"&lt;&gt;")=0,"",SUMIFS(BD!$O$3:$O$5001,BD!$A$3:$A$5001,X$3,BD!$B$3:$B$5001,$A$351)))</f>
        <v/>
      </c>
      <c r="Y363" s="227" t="str">
        <f>IF(Y$3="","",IF(COUNTIFS(BD!$A$3:$A$5001,Y$3,BD!$B$3:$B$5001,$A$351,BD!$O$3:$O$5001,"&lt;&gt;")=0,"",SUMIFS(BD!$O$3:$O$5001,BD!$A$3:$A$5001,Y$3,BD!$B$3:$B$5001,$A$351)))</f>
        <v/>
      </c>
      <c r="Z363" s="227" t="str">
        <f>IF(Z$3="","",IF(COUNTIFS(BD!$A$3:$A$5001,Z$3,BD!$B$3:$B$5001,$A$351,BD!$O$3:$O$5001,"&lt;&gt;")=0,"",SUMIFS(BD!$O$3:$O$5001,BD!$A$3:$A$5001,Z$3,BD!$B$3:$B$5001,$A$351)))</f>
        <v/>
      </c>
      <c r="AA363" s="227" t="str">
        <f>IF(AA$3="","",IF(COUNTIFS(BD!$A$3:$A$5001,AA$3,BD!$B$3:$B$5001,$A$351,BD!$O$3:$O$5001,"&lt;&gt;")=0,"",SUMIFS(BD!$O$3:$O$5001,BD!$A$3:$A$5001,AA$3,BD!$B$3:$B$5001,$A$351)))</f>
        <v/>
      </c>
      <c r="AB363" s="227" t="str">
        <f>IF(AB$3="","",IF(COUNTIFS(BD!$A$3:$A$5001,AB$3,BD!$B$3:$B$5001,$A$351,BD!$O$3:$O$5001,"&lt;&gt;")=0,"",SUMIFS(BD!$O$3:$O$5001,BD!$A$3:$A$5001,AB$3,BD!$B$3:$B$5001,$A$351)))</f>
        <v/>
      </c>
      <c r="AC363" s="227" t="str">
        <f>IF(AC$3="","",IF(COUNTIFS(BD!$A$3:$A$5001,AC$3,BD!$B$3:$B$5001,$A$351,BD!$O$3:$O$5001,"&lt;&gt;")=0,"",SUMIFS(BD!$O$3:$O$5001,BD!$A$3:$A$5001,AC$3,BD!$B$3:$B$5001,$A$351)))</f>
        <v/>
      </c>
      <c r="AD363" s="227" t="str">
        <f>IF(AD$3="","",IF(COUNTIFS(BD!$A$3:$A$5001,AD$3,BD!$B$3:$B$5001,$A$351,BD!$O$3:$O$5001,"&lt;&gt;")=0,"",SUMIFS(BD!$O$3:$O$5001,BD!$A$3:$A$5001,AD$3,BD!$B$3:$B$5001,$A$351)))</f>
        <v/>
      </c>
      <c r="AE363" s="227" t="str">
        <f>IF(AE$3="","",IF(COUNTIFS(BD!$A$3:$A$5001,AE$3,BD!$B$3:$B$5001,$A$351,BD!$O$3:$O$5001,"&lt;&gt;")=0,"",SUMIFS(BD!$O$3:$O$5001,BD!$A$3:$A$5001,AE$3,BD!$B$3:$B$5001,$A$351)))</f>
        <v/>
      </c>
      <c r="AF363" s="227" t="str">
        <f>IF(AF$3="","",IF(COUNTIFS(BD!$A$3:$A$5001,AF$3,BD!$B$3:$B$5001,$A$351,BD!$O$3:$O$5001,"&lt;&gt;")=0,"",SUMIFS(BD!$O$3:$O$5001,BD!$A$3:$A$5001,AF$3,BD!$B$3:$B$5001,$A$351)))</f>
        <v/>
      </c>
      <c r="AG363" s="227" t="str">
        <f>IF(AG$3="","",IF(COUNTIFS(BD!$A$3:$A$5001,AG$3,BD!$B$3:$B$5001,$A$351,BD!$O$3:$O$5001,"&lt;&gt;")=0,"",SUMIFS(BD!$O$3:$O$5001,BD!$A$3:$A$5001,AG$3,BD!$B$3:$B$5001,$A$351)))</f>
        <v/>
      </c>
      <c r="AH363" s="227" t="str">
        <f>IF(AH$3="","",IF(COUNTIFS(BD!$A$3:$A$5001,AH$3,BD!$B$3:$B$5001,$A$351,BD!$O$3:$O$5001,"&lt;&gt;")=0,"",SUMIFS(BD!$O$3:$O$5001,BD!$A$3:$A$5001,AH$3,BD!$B$3:$B$5001,$A$351)))</f>
        <v/>
      </c>
      <c r="AI363" s="227" t="str">
        <f>IF(AI$3="","",IF(COUNTIFS(BD!$A$3:$A$5001,AI$3,BD!$B$3:$B$5001,$A$351,BD!$O$3:$O$5001,"&lt;&gt;")=0,"",SUMIFS(BD!$O$3:$O$5001,BD!$A$3:$A$5001,AI$3,BD!$B$3:$B$5001,$A$351)))</f>
        <v/>
      </c>
      <c r="AJ363" s="228" t="str">
        <f>IF(AJ$3="","",IF(COUNTIFS(BD!$A$3:$A$5001,AJ$3,BD!$B$3:$B$5001,$A$351,BD!$O$3:$O$5001,"&lt;&gt;")=0,"",SUMIFS(BD!$O$3:$O$5001,BD!$A$3:$A$5001,AJ$3,BD!$B$3:$B$5001,$A$351)))</f>
        <v/>
      </c>
      <c r="AK363" s="229" t="str">
        <f>IF(COUNT(F363:AJ363)=0,"",SUM(F363:AJ363))</f>
        <v/>
      </c>
    </row>
    <row r="364" ht="15.75" customHeight="1" hidden="1">
      <c r="A364" s="277"/>
      <c r="B364" s="271"/>
      <c r="C364" s="223" t="inlineStr">
        <is>
          <t xml:space="preserve">Backlog Intralog</t>
        </is>
      </c>
      <c r="D364" s="224" t="str">
        <f>IFERROR(1/(1/INDEX(BD!$AF$36:$AZ$36,MATCH($A$351,BD!$AF$22:$AZ$22,0))),"")</f>
        <v/>
      </c>
      <c r="E364" s="225"/>
      <c r="F364" s="226" t="str">
        <f>IF(F$3="","",IF(COUNTIFS(BD!$A$3:$A$5001,F$3,BD!$B$3:$B$5001,$A$351,BD!$P$3:$P$5001,"&lt;&gt;")=0,"",SUMIFS(BD!$P$3:$P$5001,BD!$A$3:$A$5001,F$3,BD!$B$3:$B$5001,$A$351)))</f>
        <v/>
      </c>
      <c r="G364" s="227" t="str">
        <f>IF(G$3="","",IF(COUNTIFS(BD!$A$3:$A$5001,G$3,BD!$B$3:$B$5001,$A$351,BD!$P$3:$P$5001,"&lt;&gt;")=0,"",SUMIFS(BD!$P$3:$P$5001,BD!$A$3:$A$5001,G$3,BD!$B$3:$B$5001,$A$351)))</f>
        <v/>
      </c>
      <c r="H364" s="227" t="str">
        <f>IF(H$3="","",IF(COUNTIFS(BD!$A$3:$A$5001,H$3,BD!$B$3:$B$5001,$A$351,BD!$P$3:$P$5001,"&lt;&gt;")=0,"",SUMIFS(BD!$P$3:$P$5001,BD!$A$3:$A$5001,H$3,BD!$B$3:$B$5001,$A$351)))</f>
        <v/>
      </c>
      <c r="I364" s="227" t="str">
        <f>IF(I$3="","",IF(COUNTIFS(BD!$A$3:$A$5001,I$3,BD!$B$3:$B$5001,$A$351,BD!$P$3:$P$5001,"&lt;&gt;")=0,"",SUMIFS(BD!$P$3:$P$5001,BD!$A$3:$A$5001,I$3,BD!$B$3:$B$5001,$A$351)))</f>
        <v/>
      </c>
      <c r="J364" s="227" t="str">
        <f>IF(J$3="","",IF(COUNTIFS(BD!$A$3:$A$5001,J$3,BD!$B$3:$B$5001,$A$351,BD!$P$3:$P$5001,"&lt;&gt;")=0,"",SUMIFS(BD!$P$3:$P$5001,BD!$A$3:$A$5001,J$3,BD!$B$3:$B$5001,$A$351)))</f>
        <v/>
      </c>
      <c r="K364" s="227" t="str">
        <f>IF(K$3="","",IF(COUNTIFS(BD!$A$3:$A$5001,K$3,BD!$B$3:$B$5001,$A$351,BD!$P$3:$P$5001,"&lt;&gt;")=0,"",SUMIFS(BD!$P$3:$P$5001,BD!$A$3:$A$5001,K$3,BD!$B$3:$B$5001,$A$351)))</f>
        <v/>
      </c>
      <c r="L364" s="227" t="str">
        <f>IF(L$3="","",IF(COUNTIFS(BD!$A$3:$A$5001,L$3,BD!$B$3:$B$5001,$A$351,BD!$P$3:$P$5001,"&lt;&gt;")=0,"",SUMIFS(BD!$P$3:$P$5001,BD!$A$3:$A$5001,L$3,BD!$B$3:$B$5001,$A$351)))</f>
        <v/>
      </c>
      <c r="M364" s="227" t="str">
        <f>IF(M$3="","",IF(COUNTIFS(BD!$A$3:$A$5001,M$3,BD!$B$3:$B$5001,$A$351,BD!$P$3:$P$5001,"&lt;&gt;")=0,"",SUMIFS(BD!$P$3:$P$5001,BD!$A$3:$A$5001,M$3,BD!$B$3:$B$5001,$A$351)))</f>
        <v/>
      </c>
      <c r="N364" s="227" t="str">
        <f>IF(N$3="","",IF(COUNTIFS(BD!$A$3:$A$5001,N$3,BD!$B$3:$B$5001,$A$351,BD!$P$3:$P$5001,"&lt;&gt;")=0,"",SUMIFS(BD!$P$3:$P$5001,BD!$A$3:$A$5001,N$3,BD!$B$3:$B$5001,$A$351)))</f>
        <v/>
      </c>
      <c r="O364" s="227" t="str">
        <f>IF(O$3="","",IF(COUNTIFS(BD!$A$3:$A$5001,O$3,BD!$B$3:$B$5001,$A$351,BD!$P$3:$P$5001,"&lt;&gt;")=0,"",SUMIFS(BD!$P$3:$P$5001,BD!$A$3:$A$5001,O$3,BD!$B$3:$B$5001,$A$351)))</f>
        <v/>
      </c>
      <c r="P364" s="227" t="str">
        <f>IF(P$3="","",IF(COUNTIFS(BD!$A$3:$A$5001,P$3,BD!$B$3:$B$5001,$A$351,BD!$P$3:$P$5001,"&lt;&gt;")=0,"",SUMIFS(BD!$P$3:$P$5001,BD!$A$3:$A$5001,P$3,BD!$B$3:$B$5001,$A$351)))</f>
        <v/>
      </c>
      <c r="Q364" s="227" t="str">
        <f>IF(Q$3="","",IF(COUNTIFS(BD!$A$3:$A$5001,Q$3,BD!$B$3:$B$5001,$A$351,BD!$P$3:$P$5001,"&lt;&gt;")=0,"",SUMIFS(BD!$P$3:$P$5001,BD!$A$3:$A$5001,Q$3,BD!$B$3:$B$5001,$A$351)))</f>
        <v/>
      </c>
      <c r="R364" s="227" t="str">
        <f>IF(R$3="","",IF(COUNTIFS(BD!$A$3:$A$5001,R$3,BD!$B$3:$B$5001,$A$351,BD!$P$3:$P$5001,"&lt;&gt;")=0,"",SUMIFS(BD!$P$3:$P$5001,BD!$A$3:$A$5001,R$3,BD!$B$3:$B$5001,$A$351)))</f>
        <v/>
      </c>
      <c r="S364" s="227" t="str">
        <f>IF(S$3="","",IF(COUNTIFS(BD!$A$3:$A$5001,S$3,BD!$B$3:$B$5001,$A$351,BD!$P$3:$P$5001,"&lt;&gt;")=0,"",SUMIFS(BD!$P$3:$P$5001,BD!$A$3:$A$5001,S$3,BD!$B$3:$B$5001,$A$351)))</f>
        <v/>
      </c>
      <c r="T364" s="227" t="str">
        <f>IF(T$3="","",IF(COUNTIFS(BD!$A$3:$A$5001,T$3,BD!$B$3:$B$5001,$A$351,BD!$P$3:$P$5001,"&lt;&gt;")=0,"",SUMIFS(BD!$P$3:$P$5001,BD!$A$3:$A$5001,T$3,BD!$B$3:$B$5001,$A$351)))</f>
        <v/>
      </c>
      <c r="U364" s="227" t="str">
        <f>IF(U$3="","",IF(COUNTIFS(BD!$A$3:$A$5001,U$3,BD!$B$3:$B$5001,$A$351,BD!$P$3:$P$5001,"&lt;&gt;")=0,"",SUMIFS(BD!$P$3:$P$5001,BD!$A$3:$A$5001,U$3,BD!$B$3:$B$5001,$A$351)))</f>
        <v/>
      </c>
      <c r="V364" s="227" t="str">
        <f>IF(V$3="","",IF(COUNTIFS(BD!$A$3:$A$5001,V$3,BD!$B$3:$B$5001,$A$351,BD!$P$3:$P$5001,"&lt;&gt;")=0,"",SUMIFS(BD!$P$3:$P$5001,BD!$A$3:$A$5001,V$3,BD!$B$3:$B$5001,$A$351)))</f>
        <v/>
      </c>
      <c r="W364" s="227" t="str">
        <f>IF(W$3="","",IF(COUNTIFS(BD!$A$3:$A$5001,W$3,BD!$B$3:$B$5001,$A$351,BD!$P$3:$P$5001,"&lt;&gt;")=0,"",SUMIFS(BD!$P$3:$P$5001,BD!$A$3:$A$5001,W$3,BD!$B$3:$B$5001,$A$351)))</f>
        <v/>
      </c>
      <c r="X364" s="227" t="str">
        <f>IF(X$3="","",IF(COUNTIFS(BD!$A$3:$A$5001,X$3,BD!$B$3:$B$5001,$A$351,BD!$P$3:$P$5001,"&lt;&gt;")=0,"",SUMIFS(BD!$P$3:$P$5001,BD!$A$3:$A$5001,X$3,BD!$B$3:$B$5001,$A$351)))</f>
        <v/>
      </c>
      <c r="Y364" s="227" t="str">
        <f>IF(Y$3="","",IF(COUNTIFS(BD!$A$3:$A$5001,Y$3,BD!$B$3:$B$5001,$A$351,BD!$P$3:$P$5001,"&lt;&gt;")=0,"",SUMIFS(BD!$P$3:$P$5001,BD!$A$3:$A$5001,Y$3,BD!$B$3:$B$5001,$A$351)))</f>
        <v/>
      </c>
      <c r="Z364" s="227" t="str">
        <f>IF(Z$3="","",IF(COUNTIFS(BD!$A$3:$A$5001,Z$3,BD!$B$3:$B$5001,$A$351,BD!$P$3:$P$5001,"&lt;&gt;")=0,"",SUMIFS(BD!$P$3:$P$5001,BD!$A$3:$A$5001,Z$3,BD!$B$3:$B$5001,$A$351)))</f>
        <v/>
      </c>
      <c r="AA364" s="227" t="str">
        <f>IF(AA$3="","",IF(COUNTIFS(BD!$A$3:$A$5001,AA$3,BD!$B$3:$B$5001,$A$351,BD!$P$3:$P$5001,"&lt;&gt;")=0,"",SUMIFS(BD!$P$3:$P$5001,BD!$A$3:$A$5001,AA$3,BD!$B$3:$B$5001,$A$351)))</f>
        <v/>
      </c>
      <c r="AB364" s="227" t="str">
        <f>IF(AB$3="","",IF(COUNTIFS(BD!$A$3:$A$5001,AB$3,BD!$B$3:$B$5001,$A$351,BD!$P$3:$P$5001,"&lt;&gt;")=0,"",SUMIFS(BD!$P$3:$P$5001,BD!$A$3:$A$5001,AB$3,BD!$B$3:$B$5001,$A$351)))</f>
        <v/>
      </c>
      <c r="AC364" s="227" t="str">
        <f>IF(AC$3="","",IF(COUNTIFS(BD!$A$3:$A$5001,AC$3,BD!$B$3:$B$5001,$A$351,BD!$P$3:$P$5001,"&lt;&gt;")=0,"",SUMIFS(BD!$P$3:$P$5001,BD!$A$3:$A$5001,AC$3,BD!$B$3:$B$5001,$A$351)))</f>
        <v/>
      </c>
      <c r="AD364" s="227" t="str">
        <f>IF(AD$3="","",IF(COUNTIFS(BD!$A$3:$A$5001,AD$3,BD!$B$3:$B$5001,$A$351,BD!$P$3:$P$5001,"&lt;&gt;")=0,"",SUMIFS(BD!$P$3:$P$5001,BD!$A$3:$A$5001,AD$3,BD!$B$3:$B$5001,$A$351)))</f>
        <v/>
      </c>
      <c r="AE364" s="227" t="str">
        <f>IF(AE$3="","",IF(COUNTIFS(BD!$A$3:$A$5001,AE$3,BD!$B$3:$B$5001,$A$351,BD!$P$3:$P$5001,"&lt;&gt;")=0,"",SUMIFS(BD!$P$3:$P$5001,BD!$A$3:$A$5001,AE$3,BD!$B$3:$B$5001,$A$351)))</f>
        <v/>
      </c>
      <c r="AF364" s="227" t="str">
        <f>IF(AF$3="","",IF(COUNTIFS(BD!$A$3:$A$5001,AF$3,BD!$B$3:$B$5001,$A$351,BD!$P$3:$P$5001,"&lt;&gt;")=0,"",SUMIFS(BD!$P$3:$P$5001,BD!$A$3:$A$5001,AF$3,BD!$B$3:$B$5001,$A$351)))</f>
        <v/>
      </c>
      <c r="AG364" s="227" t="str">
        <f>IF(AG$3="","",IF(COUNTIFS(BD!$A$3:$A$5001,AG$3,BD!$B$3:$B$5001,$A$351,BD!$P$3:$P$5001,"&lt;&gt;")=0,"",SUMIFS(BD!$P$3:$P$5001,BD!$A$3:$A$5001,AG$3,BD!$B$3:$B$5001,$A$351)))</f>
        <v/>
      </c>
      <c r="AH364" s="227" t="str">
        <f>IF(AH$3="","",IF(COUNTIFS(BD!$A$3:$A$5001,AH$3,BD!$B$3:$B$5001,$A$351,BD!$P$3:$P$5001,"&lt;&gt;")=0,"",SUMIFS(BD!$P$3:$P$5001,BD!$A$3:$A$5001,AH$3,BD!$B$3:$B$5001,$A$351)))</f>
        <v/>
      </c>
      <c r="AI364" s="227" t="str">
        <f>IF(AI$3="","",IF(COUNTIFS(BD!$A$3:$A$5001,AI$3,BD!$B$3:$B$5001,$A$351,BD!$P$3:$P$5001,"&lt;&gt;")=0,"",SUMIFS(BD!$P$3:$P$5001,BD!$A$3:$A$5001,AI$3,BD!$B$3:$B$5001,$A$351)))</f>
        <v/>
      </c>
      <c r="AJ364" s="228" t="str">
        <f>IF(AJ$3="","",IF(COUNTIFS(BD!$A$3:$A$5001,AJ$3,BD!$B$3:$B$5001,$A$351,BD!$P$3:$P$5001,"&lt;&gt;")=0,"",SUMIFS(BD!$P$3:$P$5001,BD!$A$3:$A$5001,AJ$3,BD!$B$3:$B$5001,$A$351)))</f>
        <v/>
      </c>
      <c r="AK364" s="229" t="str">
        <f>IFERROR(LOOKUP(9.99E+307,F364:AJ364),"")</f>
        <v/>
      </c>
    </row>
    <row r="365" ht="15.75" customHeight="1" hidden="1">
      <c r="A365" s="277"/>
      <c r="B365" s="272"/>
      <c r="C365" s="230" t="inlineStr">
        <is>
          <t xml:space="preserve">Backlog Cliente</t>
        </is>
      </c>
      <c r="D365" s="231" t="str">
        <f>IFERROR(1/(1/INDEX(BD!$AF$37:$AZ$37,MATCH($A$351,BD!$AF$22:$AZ$22,0))),"")</f>
        <v/>
      </c>
      <c r="E365" s="232"/>
      <c r="F365" s="233" t="str">
        <f>IF(F$3="","",IF(COUNTIFS(BD!$A$3:$A$5001,F$3,BD!$B$3:$B$5001,$A$351,BD!$Q$3:$Q$5001,"&lt;&gt;")=0,"",SUMIFS(BD!$Q$3:$Q$5001,BD!$A$3:$A$5001,F$3,BD!$B$3:$B$5001,$A$351)))</f>
        <v/>
      </c>
      <c r="G365" s="234" t="str">
        <f>IF(G$3="","",IF(COUNTIFS(BD!$A$3:$A$5001,G$3,BD!$B$3:$B$5001,$A$351,BD!$Q$3:$Q$5001,"&lt;&gt;")=0,"",SUMIFS(BD!$Q$3:$Q$5001,BD!$A$3:$A$5001,G$3,BD!$B$3:$B$5001,$A$351)))</f>
        <v/>
      </c>
      <c r="H365" s="234" t="str">
        <f>IF(H$3="","",IF(COUNTIFS(BD!$A$3:$A$5001,H$3,BD!$B$3:$B$5001,$A$351,BD!$Q$3:$Q$5001,"&lt;&gt;")=0,"",SUMIFS(BD!$Q$3:$Q$5001,BD!$A$3:$A$5001,H$3,BD!$B$3:$B$5001,$A$351)))</f>
        <v/>
      </c>
      <c r="I365" s="234" t="str">
        <f>IF(I$3="","",IF(COUNTIFS(BD!$A$3:$A$5001,I$3,BD!$B$3:$B$5001,$A$351,BD!$Q$3:$Q$5001,"&lt;&gt;")=0,"",SUMIFS(BD!$Q$3:$Q$5001,BD!$A$3:$A$5001,I$3,BD!$B$3:$B$5001,$A$351)))</f>
        <v/>
      </c>
      <c r="J365" s="234" t="str">
        <f>IF(J$3="","",IF(COUNTIFS(BD!$A$3:$A$5001,J$3,BD!$B$3:$B$5001,$A$351,BD!$Q$3:$Q$5001,"&lt;&gt;")=0,"",SUMIFS(BD!$Q$3:$Q$5001,BD!$A$3:$A$5001,J$3,BD!$B$3:$B$5001,$A$351)))</f>
        <v/>
      </c>
      <c r="K365" s="234" t="str">
        <f>IF(K$3="","",IF(COUNTIFS(BD!$A$3:$A$5001,K$3,BD!$B$3:$B$5001,$A$351,BD!$Q$3:$Q$5001,"&lt;&gt;")=0,"",SUMIFS(BD!$Q$3:$Q$5001,BD!$A$3:$A$5001,K$3,BD!$B$3:$B$5001,$A$351)))</f>
        <v/>
      </c>
      <c r="L365" s="234" t="str">
        <f>IF(L$3="","",IF(COUNTIFS(BD!$A$3:$A$5001,L$3,BD!$B$3:$B$5001,$A$351,BD!$Q$3:$Q$5001,"&lt;&gt;")=0,"",SUMIFS(BD!$Q$3:$Q$5001,BD!$A$3:$A$5001,L$3,BD!$B$3:$B$5001,$A$351)))</f>
        <v/>
      </c>
      <c r="M365" s="234" t="str">
        <f>IF(M$3="","",IF(COUNTIFS(BD!$A$3:$A$5001,M$3,BD!$B$3:$B$5001,$A$351,BD!$Q$3:$Q$5001,"&lt;&gt;")=0,"",SUMIFS(BD!$Q$3:$Q$5001,BD!$A$3:$A$5001,M$3,BD!$B$3:$B$5001,$A$351)))</f>
        <v/>
      </c>
      <c r="N365" s="234" t="str">
        <f>IF(N$3="","",IF(COUNTIFS(BD!$A$3:$A$5001,N$3,BD!$B$3:$B$5001,$A$351,BD!$Q$3:$Q$5001,"&lt;&gt;")=0,"",SUMIFS(BD!$Q$3:$Q$5001,BD!$A$3:$A$5001,N$3,BD!$B$3:$B$5001,$A$351)))</f>
        <v/>
      </c>
      <c r="O365" s="234" t="str">
        <f>IF(O$3="","",IF(COUNTIFS(BD!$A$3:$A$5001,O$3,BD!$B$3:$B$5001,$A$351,BD!$Q$3:$Q$5001,"&lt;&gt;")=0,"",SUMIFS(BD!$Q$3:$Q$5001,BD!$A$3:$A$5001,O$3,BD!$B$3:$B$5001,$A$351)))</f>
        <v/>
      </c>
      <c r="P365" s="234" t="str">
        <f>IF(P$3="","",IF(COUNTIFS(BD!$A$3:$A$5001,P$3,BD!$B$3:$B$5001,$A$351,BD!$Q$3:$Q$5001,"&lt;&gt;")=0,"",SUMIFS(BD!$Q$3:$Q$5001,BD!$A$3:$A$5001,P$3,BD!$B$3:$B$5001,$A$351)))</f>
        <v/>
      </c>
      <c r="Q365" s="234" t="str">
        <f>IF(Q$3="","",IF(COUNTIFS(BD!$A$3:$A$5001,Q$3,BD!$B$3:$B$5001,$A$351,BD!$Q$3:$Q$5001,"&lt;&gt;")=0,"",SUMIFS(BD!$Q$3:$Q$5001,BD!$A$3:$A$5001,Q$3,BD!$B$3:$B$5001,$A$351)))</f>
        <v/>
      </c>
      <c r="R365" s="234" t="str">
        <f>IF(R$3="","",IF(COUNTIFS(BD!$A$3:$A$5001,R$3,BD!$B$3:$B$5001,$A$351,BD!$Q$3:$Q$5001,"&lt;&gt;")=0,"",SUMIFS(BD!$Q$3:$Q$5001,BD!$A$3:$A$5001,R$3,BD!$B$3:$B$5001,$A$351)))</f>
        <v/>
      </c>
      <c r="S365" s="234" t="str">
        <f>IF(S$3="","",IF(COUNTIFS(BD!$A$3:$A$5001,S$3,BD!$B$3:$B$5001,$A$351,BD!$Q$3:$Q$5001,"&lt;&gt;")=0,"",SUMIFS(BD!$Q$3:$Q$5001,BD!$A$3:$A$5001,S$3,BD!$B$3:$B$5001,$A$351)))</f>
        <v/>
      </c>
      <c r="T365" s="234" t="str">
        <f>IF(T$3="","",IF(COUNTIFS(BD!$A$3:$A$5001,T$3,BD!$B$3:$B$5001,$A$351,BD!$Q$3:$Q$5001,"&lt;&gt;")=0,"",SUMIFS(BD!$Q$3:$Q$5001,BD!$A$3:$A$5001,T$3,BD!$B$3:$B$5001,$A$351)))</f>
        <v/>
      </c>
      <c r="U365" s="234" t="str">
        <f>IF(U$3="","",IF(COUNTIFS(BD!$A$3:$A$5001,U$3,BD!$B$3:$B$5001,$A$351,BD!$Q$3:$Q$5001,"&lt;&gt;")=0,"",SUMIFS(BD!$Q$3:$Q$5001,BD!$A$3:$A$5001,U$3,BD!$B$3:$B$5001,$A$351)))</f>
        <v/>
      </c>
      <c r="V365" s="234" t="str">
        <f>IF(V$3="","",IF(COUNTIFS(BD!$A$3:$A$5001,V$3,BD!$B$3:$B$5001,$A$351,BD!$Q$3:$Q$5001,"&lt;&gt;")=0,"",SUMIFS(BD!$Q$3:$Q$5001,BD!$A$3:$A$5001,V$3,BD!$B$3:$B$5001,$A$351)))</f>
        <v/>
      </c>
      <c r="W365" s="234" t="str">
        <f>IF(W$3="","",IF(COUNTIFS(BD!$A$3:$A$5001,W$3,BD!$B$3:$B$5001,$A$351,BD!$Q$3:$Q$5001,"&lt;&gt;")=0,"",SUMIFS(BD!$Q$3:$Q$5001,BD!$A$3:$A$5001,W$3,BD!$B$3:$B$5001,$A$351)))</f>
        <v/>
      </c>
      <c r="X365" s="234" t="str">
        <f>IF(X$3="","",IF(COUNTIFS(BD!$A$3:$A$5001,X$3,BD!$B$3:$B$5001,$A$351,BD!$Q$3:$Q$5001,"&lt;&gt;")=0,"",SUMIFS(BD!$Q$3:$Q$5001,BD!$A$3:$A$5001,X$3,BD!$B$3:$B$5001,$A$351)))</f>
        <v/>
      </c>
      <c r="Y365" s="234" t="str">
        <f>IF(Y$3="","",IF(COUNTIFS(BD!$A$3:$A$5001,Y$3,BD!$B$3:$B$5001,$A$351,BD!$Q$3:$Q$5001,"&lt;&gt;")=0,"",SUMIFS(BD!$Q$3:$Q$5001,BD!$A$3:$A$5001,Y$3,BD!$B$3:$B$5001,$A$351)))</f>
        <v/>
      </c>
      <c r="Z365" s="234" t="str">
        <f>IF(Z$3="","",IF(COUNTIFS(BD!$A$3:$A$5001,Z$3,BD!$B$3:$B$5001,$A$351,BD!$Q$3:$Q$5001,"&lt;&gt;")=0,"",SUMIFS(BD!$Q$3:$Q$5001,BD!$A$3:$A$5001,Z$3,BD!$B$3:$B$5001,$A$351)))</f>
        <v/>
      </c>
      <c r="AA365" s="234" t="str">
        <f>IF(AA$3="","",IF(COUNTIFS(BD!$A$3:$A$5001,AA$3,BD!$B$3:$B$5001,$A$351,BD!$Q$3:$Q$5001,"&lt;&gt;")=0,"",SUMIFS(BD!$Q$3:$Q$5001,BD!$A$3:$A$5001,AA$3,BD!$B$3:$B$5001,$A$351)))</f>
        <v/>
      </c>
      <c r="AB365" s="234" t="str">
        <f>IF(AB$3="","",IF(COUNTIFS(BD!$A$3:$A$5001,AB$3,BD!$B$3:$B$5001,$A$351,BD!$Q$3:$Q$5001,"&lt;&gt;")=0,"",SUMIFS(BD!$Q$3:$Q$5001,BD!$A$3:$A$5001,AB$3,BD!$B$3:$B$5001,$A$351)))</f>
        <v/>
      </c>
      <c r="AC365" s="234" t="str">
        <f>IF(AC$3="","",IF(COUNTIFS(BD!$A$3:$A$5001,AC$3,BD!$B$3:$B$5001,$A$351,BD!$Q$3:$Q$5001,"&lt;&gt;")=0,"",SUMIFS(BD!$Q$3:$Q$5001,BD!$A$3:$A$5001,AC$3,BD!$B$3:$B$5001,$A$351)))</f>
        <v/>
      </c>
      <c r="AD365" s="234" t="str">
        <f>IF(AD$3="","",IF(COUNTIFS(BD!$A$3:$A$5001,AD$3,BD!$B$3:$B$5001,$A$351,BD!$Q$3:$Q$5001,"&lt;&gt;")=0,"",SUMIFS(BD!$Q$3:$Q$5001,BD!$A$3:$A$5001,AD$3,BD!$B$3:$B$5001,$A$351)))</f>
        <v/>
      </c>
      <c r="AE365" s="234" t="str">
        <f>IF(AE$3="","",IF(COUNTIFS(BD!$A$3:$A$5001,AE$3,BD!$B$3:$B$5001,$A$351,BD!$Q$3:$Q$5001,"&lt;&gt;")=0,"",SUMIFS(BD!$Q$3:$Q$5001,BD!$A$3:$A$5001,AE$3,BD!$B$3:$B$5001,$A$351)))</f>
        <v/>
      </c>
      <c r="AF365" s="234" t="str">
        <f>IF(AF$3="","",IF(COUNTIFS(BD!$A$3:$A$5001,AF$3,BD!$B$3:$B$5001,$A$351,BD!$Q$3:$Q$5001,"&lt;&gt;")=0,"",SUMIFS(BD!$Q$3:$Q$5001,BD!$A$3:$A$5001,AF$3,BD!$B$3:$B$5001,$A$351)))</f>
        <v/>
      </c>
      <c r="AG365" s="234" t="str">
        <f>IF(AG$3="","",IF(COUNTIFS(BD!$A$3:$A$5001,AG$3,BD!$B$3:$B$5001,$A$351,BD!$Q$3:$Q$5001,"&lt;&gt;")=0,"",SUMIFS(BD!$Q$3:$Q$5001,BD!$A$3:$A$5001,AG$3,BD!$B$3:$B$5001,$A$351)))</f>
        <v/>
      </c>
      <c r="AH365" s="234" t="str">
        <f>IF(AH$3="","",IF(COUNTIFS(BD!$A$3:$A$5001,AH$3,BD!$B$3:$B$5001,$A$351,BD!$Q$3:$Q$5001,"&lt;&gt;")=0,"",SUMIFS(BD!$Q$3:$Q$5001,BD!$A$3:$A$5001,AH$3,BD!$B$3:$B$5001,$A$351)))</f>
        <v/>
      </c>
      <c r="AI365" s="234" t="str">
        <f>IF(AI$3="","",IF(COUNTIFS(BD!$A$3:$A$5001,AI$3,BD!$B$3:$B$5001,$A$351,BD!$Q$3:$Q$5001,"&lt;&gt;")=0,"",SUMIFS(BD!$Q$3:$Q$5001,BD!$A$3:$A$5001,AI$3,BD!$B$3:$B$5001,$A$351)))</f>
        <v/>
      </c>
      <c r="AJ365" s="235" t="str">
        <f>IF(AJ$3="","",IF(COUNTIFS(BD!$A$3:$A$5001,AJ$3,BD!$B$3:$B$5001,$A$351,BD!$Q$3:$Q$5001,"&lt;&gt;")=0,"",SUMIFS(BD!$Q$3:$Q$5001,BD!$A$3:$A$5001,AJ$3,BD!$B$3:$B$5001,$A$351)))</f>
        <v/>
      </c>
      <c r="AK365" s="231" t="str">
        <f>IFERROR(LOOKUP(9.99E+307,F365:AJ365),"")</f>
        <v/>
      </c>
    </row>
    <row r="366" ht="15.75" customHeight="1" hidden="1">
      <c r="A366" s="277"/>
      <c r="B366" s="264" t="inlineStr">
        <is>
          <t xml:space="preserve">OCUPAÇÃO (P.P)</t>
        </is>
      </c>
      <c r="C366" s="168" t="inlineStr">
        <is>
          <t xml:space="preserve">Posições Disponíveis</t>
        </is>
      </c>
      <c r="D366" s="169" t="str">
        <f>IFERROR(1/(1/INDEX(BD!$AF$38:$AZ$38,MATCH($A$351,BD!$AF$22:$AZ$22,0))),"")</f>
        <v/>
      </c>
      <c r="E366" s="170"/>
      <c r="F366" s="171" t="str">
        <f>IF(F$3="","",IF(COUNTIFS(BD!$A$3:$A$5001,F$3,BD!$B$3:$B$5001,$A$351,BD!$R$3:$R$5001,"&lt;&gt;")=0,"",SUMIFS(BD!$R$3:$R$5001,BD!$A$3:$A$5001,F$3,BD!$B$3:$B$5001,$A$351)))</f>
        <v/>
      </c>
      <c r="G366" s="172" t="str">
        <f>IF(G$3="","",IF(COUNTIFS(BD!$A$3:$A$5001,G$3,BD!$B$3:$B$5001,$A$351,BD!$R$3:$R$5001,"&lt;&gt;")=0,"",SUMIFS(BD!$R$3:$R$5001,BD!$A$3:$A$5001,G$3,BD!$B$3:$B$5001,$A$351)))</f>
        <v/>
      </c>
      <c r="H366" s="172" t="str">
        <f>IF(H$3="","",IF(COUNTIFS(BD!$A$3:$A$5001,H$3,BD!$B$3:$B$5001,$A$351,BD!$R$3:$R$5001,"&lt;&gt;")=0,"",SUMIFS(BD!$R$3:$R$5001,BD!$A$3:$A$5001,H$3,BD!$B$3:$B$5001,$A$351)))</f>
        <v/>
      </c>
      <c r="I366" s="172" t="str">
        <f>IF(I$3="","",IF(COUNTIFS(BD!$A$3:$A$5001,I$3,BD!$B$3:$B$5001,$A$351,BD!$R$3:$R$5001,"&lt;&gt;")=0,"",SUMIFS(BD!$R$3:$R$5001,BD!$A$3:$A$5001,I$3,BD!$B$3:$B$5001,$A$351)))</f>
        <v/>
      </c>
      <c r="J366" s="172" t="str">
        <f>IF(J$3="","",IF(COUNTIFS(BD!$A$3:$A$5001,J$3,BD!$B$3:$B$5001,$A$351,BD!$R$3:$R$5001,"&lt;&gt;")=0,"",SUMIFS(BD!$R$3:$R$5001,BD!$A$3:$A$5001,J$3,BD!$B$3:$B$5001,$A$351)))</f>
        <v/>
      </c>
      <c r="K366" s="172" t="str">
        <f>IF(K$3="","",IF(COUNTIFS(BD!$A$3:$A$5001,K$3,BD!$B$3:$B$5001,$A$351,BD!$R$3:$R$5001,"&lt;&gt;")=0,"",SUMIFS(BD!$R$3:$R$5001,BD!$A$3:$A$5001,K$3,BD!$B$3:$B$5001,$A$351)))</f>
        <v/>
      </c>
      <c r="L366" s="172" t="str">
        <f>IF(L$3="","",IF(COUNTIFS(BD!$A$3:$A$5001,L$3,BD!$B$3:$B$5001,$A$351,BD!$R$3:$R$5001,"&lt;&gt;")=0,"",SUMIFS(BD!$R$3:$R$5001,BD!$A$3:$A$5001,L$3,BD!$B$3:$B$5001,$A$351)))</f>
        <v/>
      </c>
      <c r="M366" s="172" t="str">
        <f>IF(M$3="","",IF(COUNTIFS(BD!$A$3:$A$5001,M$3,BD!$B$3:$B$5001,$A$351,BD!$R$3:$R$5001,"&lt;&gt;")=0,"",SUMIFS(BD!$R$3:$R$5001,BD!$A$3:$A$5001,M$3,BD!$B$3:$B$5001,$A$351)))</f>
        <v/>
      </c>
      <c r="N366" s="172" t="str">
        <f>IF(N$3="","",IF(COUNTIFS(BD!$A$3:$A$5001,N$3,BD!$B$3:$B$5001,$A$351,BD!$R$3:$R$5001,"&lt;&gt;")=0,"",SUMIFS(BD!$R$3:$R$5001,BD!$A$3:$A$5001,N$3,BD!$B$3:$B$5001,$A$351)))</f>
        <v/>
      </c>
      <c r="O366" s="172" t="str">
        <f>IF(O$3="","",IF(COUNTIFS(BD!$A$3:$A$5001,O$3,BD!$B$3:$B$5001,$A$351,BD!$R$3:$R$5001,"&lt;&gt;")=0,"",SUMIFS(BD!$R$3:$R$5001,BD!$A$3:$A$5001,O$3,BD!$B$3:$B$5001,$A$351)))</f>
        <v/>
      </c>
      <c r="P366" s="172" t="str">
        <f>IF(P$3="","",IF(COUNTIFS(BD!$A$3:$A$5001,P$3,BD!$B$3:$B$5001,$A$351,BD!$R$3:$R$5001,"&lt;&gt;")=0,"",SUMIFS(BD!$R$3:$R$5001,BD!$A$3:$A$5001,P$3,BD!$B$3:$B$5001,$A$351)))</f>
        <v/>
      </c>
      <c r="Q366" s="172" t="str">
        <f>IF(Q$3="","",IF(COUNTIFS(BD!$A$3:$A$5001,Q$3,BD!$B$3:$B$5001,$A$351,BD!$R$3:$R$5001,"&lt;&gt;")=0,"",SUMIFS(BD!$R$3:$R$5001,BD!$A$3:$A$5001,Q$3,BD!$B$3:$B$5001,$A$351)))</f>
        <v/>
      </c>
      <c r="R366" s="172" t="str">
        <f>IF(R$3="","",IF(COUNTIFS(BD!$A$3:$A$5001,R$3,BD!$B$3:$B$5001,$A$351,BD!$R$3:$R$5001,"&lt;&gt;")=0,"",SUMIFS(BD!$R$3:$R$5001,BD!$A$3:$A$5001,R$3,BD!$B$3:$B$5001,$A$351)))</f>
        <v/>
      </c>
      <c r="S366" s="172" t="str">
        <f>IF(S$3="","",IF(COUNTIFS(BD!$A$3:$A$5001,S$3,BD!$B$3:$B$5001,$A$351,BD!$R$3:$R$5001,"&lt;&gt;")=0,"",SUMIFS(BD!$R$3:$R$5001,BD!$A$3:$A$5001,S$3,BD!$B$3:$B$5001,$A$351)))</f>
        <v/>
      </c>
      <c r="T366" s="172" t="str">
        <f>IF(T$3="","",IF(COUNTIFS(BD!$A$3:$A$5001,T$3,BD!$B$3:$B$5001,$A$351,BD!$R$3:$R$5001,"&lt;&gt;")=0,"",SUMIFS(BD!$R$3:$R$5001,BD!$A$3:$A$5001,T$3,BD!$B$3:$B$5001,$A$351)))</f>
        <v/>
      </c>
      <c r="U366" s="172" t="str">
        <f>IF(U$3="","",IF(COUNTIFS(BD!$A$3:$A$5001,U$3,BD!$B$3:$B$5001,$A$351,BD!$R$3:$R$5001,"&lt;&gt;")=0,"",SUMIFS(BD!$R$3:$R$5001,BD!$A$3:$A$5001,U$3,BD!$B$3:$B$5001,$A$351)))</f>
        <v/>
      </c>
      <c r="V366" s="172" t="str">
        <f>IF(V$3="","",IF(COUNTIFS(BD!$A$3:$A$5001,V$3,BD!$B$3:$B$5001,$A$351,BD!$R$3:$R$5001,"&lt;&gt;")=0,"",SUMIFS(BD!$R$3:$R$5001,BD!$A$3:$A$5001,V$3,BD!$B$3:$B$5001,$A$351)))</f>
        <v/>
      </c>
      <c r="W366" s="172" t="str">
        <f>IF(W$3="","",IF(COUNTIFS(BD!$A$3:$A$5001,W$3,BD!$B$3:$B$5001,$A$351,BD!$R$3:$R$5001,"&lt;&gt;")=0,"",SUMIFS(BD!$R$3:$R$5001,BD!$A$3:$A$5001,W$3,BD!$B$3:$B$5001,$A$351)))</f>
        <v/>
      </c>
      <c r="X366" s="172" t="str">
        <f>IF(X$3="","",IF(COUNTIFS(BD!$A$3:$A$5001,X$3,BD!$B$3:$B$5001,$A$351,BD!$R$3:$R$5001,"&lt;&gt;")=0,"",SUMIFS(BD!$R$3:$R$5001,BD!$A$3:$A$5001,X$3,BD!$B$3:$B$5001,$A$351)))</f>
        <v/>
      </c>
      <c r="Y366" s="172" t="str">
        <f>IF(Y$3="","",IF(COUNTIFS(BD!$A$3:$A$5001,Y$3,BD!$B$3:$B$5001,$A$351,BD!$R$3:$R$5001,"&lt;&gt;")=0,"",SUMIFS(BD!$R$3:$R$5001,BD!$A$3:$A$5001,Y$3,BD!$B$3:$B$5001,$A$351)))</f>
        <v/>
      </c>
      <c r="Z366" s="172" t="str">
        <f>IF(Z$3="","",IF(COUNTIFS(BD!$A$3:$A$5001,Z$3,BD!$B$3:$B$5001,$A$351,BD!$R$3:$R$5001,"&lt;&gt;")=0,"",SUMIFS(BD!$R$3:$R$5001,BD!$A$3:$A$5001,Z$3,BD!$B$3:$B$5001,$A$351)))</f>
        <v/>
      </c>
      <c r="AA366" s="172" t="str">
        <f>IF(AA$3="","",IF(COUNTIFS(BD!$A$3:$A$5001,AA$3,BD!$B$3:$B$5001,$A$351,BD!$R$3:$R$5001,"&lt;&gt;")=0,"",SUMIFS(BD!$R$3:$R$5001,BD!$A$3:$A$5001,AA$3,BD!$B$3:$B$5001,$A$351)))</f>
        <v/>
      </c>
      <c r="AB366" s="172" t="str">
        <f>IF(AB$3="","",IF(COUNTIFS(BD!$A$3:$A$5001,AB$3,BD!$B$3:$B$5001,$A$351,BD!$R$3:$R$5001,"&lt;&gt;")=0,"",SUMIFS(BD!$R$3:$R$5001,BD!$A$3:$A$5001,AB$3,BD!$B$3:$B$5001,$A$351)))</f>
        <v/>
      </c>
      <c r="AC366" s="172" t="str">
        <f>IF(AC$3="","",IF(COUNTIFS(BD!$A$3:$A$5001,AC$3,BD!$B$3:$B$5001,$A$351,BD!$R$3:$R$5001,"&lt;&gt;")=0,"",SUMIFS(BD!$R$3:$R$5001,BD!$A$3:$A$5001,AC$3,BD!$B$3:$B$5001,$A$351)))</f>
        <v/>
      </c>
      <c r="AD366" s="172" t="str">
        <f>IF(AD$3="","",IF(COUNTIFS(BD!$A$3:$A$5001,AD$3,BD!$B$3:$B$5001,$A$351,BD!$R$3:$R$5001,"&lt;&gt;")=0,"",SUMIFS(BD!$R$3:$R$5001,BD!$A$3:$A$5001,AD$3,BD!$B$3:$B$5001,$A$351)))</f>
        <v/>
      </c>
      <c r="AE366" s="172" t="str">
        <f>IF(AE$3="","",IF(COUNTIFS(BD!$A$3:$A$5001,AE$3,BD!$B$3:$B$5001,$A$351,BD!$R$3:$R$5001,"&lt;&gt;")=0,"",SUMIFS(BD!$R$3:$R$5001,BD!$A$3:$A$5001,AE$3,BD!$B$3:$B$5001,$A$351)))</f>
        <v/>
      </c>
      <c r="AF366" s="172" t="str">
        <f>IF(AF$3="","",IF(COUNTIFS(BD!$A$3:$A$5001,AF$3,BD!$B$3:$B$5001,$A$351,BD!$R$3:$R$5001,"&lt;&gt;")=0,"",SUMIFS(BD!$R$3:$R$5001,BD!$A$3:$A$5001,AF$3,BD!$B$3:$B$5001,$A$351)))</f>
        <v/>
      </c>
      <c r="AG366" s="172" t="str">
        <f>IF(AG$3="","",IF(COUNTIFS(BD!$A$3:$A$5001,AG$3,BD!$B$3:$B$5001,$A$351,BD!$R$3:$R$5001,"&lt;&gt;")=0,"",SUMIFS(BD!$R$3:$R$5001,BD!$A$3:$A$5001,AG$3,BD!$B$3:$B$5001,$A$351)))</f>
        <v/>
      </c>
      <c r="AH366" s="172" t="str">
        <f>IF(AH$3="","",IF(COUNTIFS(BD!$A$3:$A$5001,AH$3,BD!$B$3:$B$5001,$A$351,BD!$R$3:$R$5001,"&lt;&gt;")=0,"",SUMIFS(BD!$R$3:$R$5001,BD!$A$3:$A$5001,AH$3,BD!$B$3:$B$5001,$A$351)))</f>
        <v/>
      </c>
      <c r="AI366" s="172" t="str">
        <f>IF(AI$3="","",IF(COUNTIFS(BD!$A$3:$A$5001,AI$3,BD!$B$3:$B$5001,$A$351,BD!$R$3:$R$5001,"&lt;&gt;")=0,"",SUMIFS(BD!$R$3:$R$5001,BD!$A$3:$A$5001,AI$3,BD!$B$3:$B$5001,$A$351)))</f>
        <v/>
      </c>
      <c r="AJ366" s="173" t="str">
        <f>IF(AJ$3="","",IF(COUNTIFS(BD!$A$3:$A$5001,AJ$3,BD!$B$3:$B$5001,$A$351,BD!$R$3:$R$5001,"&lt;&gt;")=0,"",SUMIFS(BD!$R$3:$R$5001,BD!$A$3:$A$5001,AJ$3,BD!$B$3:$B$5001,$A$351)))</f>
        <v/>
      </c>
      <c r="AK366" s="174" t="str">
        <f>IF(COUNT(F366:AJ366)&gt;0,LOOKUP(9.99E+307,F366:AJ366),IFERROR(IF(INDEX(BD!$AC$3:$AC$5001,MATCH($A$351,BD!$B$3:$B$5001,0))&amp;""="Contrato","",INDEX(BD!$AC$3:$AC$5001,MATCH($A$351,BD!$B$3:$B$5001,0))&amp;""),""))</f>
        <v/>
      </c>
    </row>
    <row r="367" ht="15.75" customHeight="1" hidden="1">
      <c r="A367" s="277"/>
      <c r="B367" s="265"/>
      <c r="C367" s="175" t="inlineStr">
        <is>
          <t xml:space="preserve">Posições Ocupadas</t>
        </is>
      </c>
      <c r="D367" s="176" t="str">
        <f>IFERROR(1/(1/INDEX(BD!$AF$39:$AZ$39,MATCH($A$351,BD!$AF$22:$AZ$22,0))),"")</f>
        <v/>
      </c>
      <c r="E367" s="177"/>
      <c r="F367" s="178" t="str">
        <f>IF(F$3="","",IF(COUNTIFS(BD!$A$3:$A$5001,F$3,BD!$B$3:$B$5001,$A$351,BD!$S$3:$S$5001,"&lt;&gt;")=0,"",SUMIFS(BD!$S$3:$S$5001,BD!$A$3:$A$5001,F$3,BD!$B$3:$B$5001,$A$351)))</f>
        <v/>
      </c>
      <c r="G367" s="179" t="str">
        <f>IF(G$3="","",IF(COUNTIFS(BD!$A$3:$A$5001,G$3,BD!$B$3:$B$5001,$A$351,BD!$S$3:$S$5001,"&lt;&gt;")=0,"",SUMIFS(BD!$S$3:$S$5001,BD!$A$3:$A$5001,G$3,BD!$B$3:$B$5001,$A$351)))</f>
        <v/>
      </c>
      <c r="H367" s="179" t="str">
        <f>IF(H$3="","",IF(COUNTIFS(BD!$A$3:$A$5001,H$3,BD!$B$3:$B$5001,$A$351,BD!$S$3:$S$5001,"&lt;&gt;")=0,"",SUMIFS(BD!$S$3:$S$5001,BD!$A$3:$A$5001,H$3,BD!$B$3:$B$5001,$A$351)))</f>
        <v/>
      </c>
      <c r="I367" s="179" t="str">
        <f>IF(I$3="","",IF(COUNTIFS(BD!$A$3:$A$5001,I$3,BD!$B$3:$B$5001,$A$351,BD!$S$3:$S$5001,"&lt;&gt;")=0,"",SUMIFS(BD!$S$3:$S$5001,BD!$A$3:$A$5001,I$3,BD!$B$3:$B$5001,$A$351)))</f>
        <v/>
      </c>
      <c r="J367" s="179" t="str">
        <f>IF(J$3="","",IF(COUNTIFS(BD!$A$3:$A$5001,J$3,BD!$B$3:$B$5001,$A$351,BD!$S$3:$S$5001,"&lt;&gt;")=0,"",SUMIFS(BD!$S$3:$S$5001,BD!$A$3:$A$5001,J$3,BD!$B$3:$B$5001,$A$351)))</f>
        <v/>
      </c>
      <c r="K367" s="179" t="str">
        <f>IF(K$3="","",IF(COUNTIFS(BD!$A$3:$A$5001,K$3,BD!$B$3:$B$5001,$A$351,BD!$S$3:$S$5001,"&lt;&gt;")=0,"",SUMIFS(BD!$S$3:$S$5001,BD!$A$3:$A$5001,K$3,BD!$B$3:$B$5001,$A$351)))</f>
        <v/>
      </c>
      <c r="L367" s="179" t="str">
        <f>IF(L$3="","",IF(COUNTIFS(BD!$A$3:$A$5001,L$3,BD!$B$3:$B$5001,$A$351,BD!$S$3:$S$5001,"&lt;&gt;")=0,"",SUMIFS(BD!$S$3:$S$5001,BD!$A$3:$A$5001,L$3,BD!$B$3:$B$5001,$A$351)))</f>
        <v/>
      </c>
      <c r="M367" s="179" t="str">
        <f>IF(M$3="","",IF(COUNTIFS(BD!$A$3:$A$5001,M$3,BD!$B$3:$B$5001,$A$351,BD!$S$3:$S$5001,"&lt;&gt;")=0,"",SUMIFS(BD!$S$3:$S$5001,BD!$A$3:$A$5001,M$3,BD!$B$3:$B$5001,$A$351)))</f>
        <v/>
      </c>
      <c r="N367" s="179" t="str">
        <f>IF(N$3="","",IF(COUNTIFS(BD!$A$3:$A$5001,N$3,BD!$B$3:$B$5001,$A$351,BD!$S$3:$S$5001,"&lt;&gt;")=0,"",SUMIFS(BD!$S$3:$S$5001,BD!$A$3:$A$5001,N$3,BD!$B$3:$B$5001,$A$351)))</f>
        <v/>
      </c>
      <c r="O367" s="179" t="str">
        <f>IF(O$3="","",IF(COUNTIFS(BD!$A$3:$A$5001,O$3,BD!$B$3:$B$5001,$A$351,BD!$S$3:$S$5001,"&lt;&gt;")=0,"",SUMIFS(BD!$S$3:$S$5001,BD!$A$3:$A$5001,O$3,BD!$B$3:$B$5001,$A$351)))</f>
        <v/>
      </c>
      <c r="P367" s="179" t="str">
        <f>IF(P$3="","",IF(COUNTIFS(BD!$A$3:$A$5001,P$3,BD!$B$3:$B$5001,$A$351,BD!$S$3:$S$5001,"&lt;&gt;")=0,"",SUMIFS(BD!$S$3:$S$5001,BD!$A$3:$A$5001,P$3,BD!$B$3:$B$5001,$A$351)))</f>
        <v/>
      </c>
      <c r="Q367" s="179" t="str">
        <f>IF(Q$3="","",IF(COUNTIFS(BD!$A$3:$A$5001,Q$3,BD!$B$3:$B$5001,$A$351,BD!$S$3:$S$5001,"&lt;&gt;")=0,"",SUMIFS(BD!$S$3:$S$5001,BD!$A$3:$A$5001,Q$3,BD!$B$3:$B$5001,$A$351)))</f>
        <v/>
      </c>
      <c r="R367" s="179" t="str">
        <f>IF(R$3="","",IF(COUNTIFS(BD!$A$3:$A$5001,R$3,BD!$B$3:$B$5001,$A$351,BD!$S$3:$S$5001,"&lt;&gt;")=0,"",SUMIFS(BD!$S$3:$S$5001,BD!$A$3:$A$5001,R$3,BD!$B$3:$B$5001,$A$351)))</f>
        <v/>
      </c>
      <c r="S367" s="179" t="str">
        <f>IF(S$3="","",IF(COUNTIFS(BD!$A$3:$A$5001,S$3,BD!$B$3:$B$5001,$A$351,BD!$S$3:$S$5001,"&lt;&gt;")=0,"",SUMIFS(BD!$S$3:$S$5001,BD!$A$3:$A$5001,S$3,BD!$B$3:$B$5001,$A$351)))</f>
        <v/>
      </c>
      <c r="T367" s="179" t="str">
        <f>IF(T$3="","",IF(COUNTIFS(BD!$A$3:$A$5001,T$3,BD!$B$3:$B$5001,$A$351,BD!$S$3:$S$5001,"&lt;&gt;")=0,"",SUMIFS(BD!$S$3:$S$5001,BD!$A$3:$A$5001,T$3,BD!$B$3:$B$5001,$A$351)))</f>
        <v/>
      </c>
      <c r="U367" s="179" t="str">
        <f>IF(U$3="","",IF(COUNTIFS(BD!$A$3:$A$5001,U$3,BD!$B$3:$B$5001,$A$351,BD!$S$3:$S$5001,"&lt;&gt;")=0,"",SUMIFS(BD!$S$3:$S$5001,BD!$A$3:$A$5001,U$3,BD!$B$3:$B$5001,$A$351)))</f>
        <v/>
      </c>
      <c r="V367" s="179" t="str">
        <f>IF(V$3="","",IF(COUNTIFS(BD!$A$3:$A$5001,V$3,BD!$B$3:$B$5001,$A$351,BD!$S$3:$S$5001,"&lt;&gt;")=0,"",SUMIFS(BD!$S$3:$S$5001,BD!$A$3:$A$5001,V$3,BD!$B$3:$B$5001,$A$351)))</f>
        <v/>
      </c>
      <c r="W367" s="179" t="str">
        <f>IF(W$3="","",IF(COUNTIFS(BD!$A$3:$A$5001,W$3,BD!$B$3:$B$5001,$A$351,BD!$S$3:$S$5001,"&lt;&gt;")=0,"",SUMIFS(BD!$S$3:$S$5001,BD!$A$3:$A$5001,W$3,BD!$B$3:$B$5001,$A$351)))</f>
        <v/>
      </c>
      <c r="X367" s="179" t="str">
        <f>IF(X$3="","",IF(COUNTIFS(BD!$A$3:$A$5001,X$3,BD!$B$3:$B$5001,$A$351,BD!$S$3:$S$5001,"&lt;&gt;")=0,"",SUMIFS(BD!$S$3:$S$5001,BD!$A$3:$A$5001,X$3,BD!$B$3:$B$5001,$A$351)))</f>
        <v/>
      </c>
      <c r="Y367" s="179" t="str">
        <f>IF(Y$3="","",IF(COUNTIFS(BD!$A$3:$A$5001,Y$3,BD!$B$3:$B$5001,$A$351,BD!$S$3:$S$5001,"&lt;&gt;")=0,"",SUMIFS(BD!$S$3:$S$5001,BD!$A$3:$A$5001,Y$3,BD!$B$3:$B$5001,$A$351)))</f>
        <v/>
      </c>
      <c r="Z367" s="179" t="str">
        <f>IF(Z$3="","",IF(COUNTIFS(BD!$A$3:$A$5001,Z$3,BD!$B$3:$B$5001,$A$351,BD!$S$3:$S$5001,"&lt;&gt;")=0,"",SUMIFS(BD!$S$3:$S$5001,BD!$A$3:$A$5001,Z$3,BD!$B$3:$B$5001,$A$351)))</f>
        <v/>
      </c>
      <c r="AA367" s="179" t="str">
        <f>IF(AA$3="","",IF(COUNTIFS(BD!$A$3:$A$5001,AA$3,BD!$B$3:$B$5001,$A$351,BD!$S$3:$S$5001,"&lt;&gt;")=0,"",SUMIFS(BD!$S$3:$S$5001,BD!$A$3:$A$5001,AA$3,BD!$B$3:$B$5001,$A$351)))</f>
        <v/>
      </c>
      <c r="AB367" s="179" t="str">
        <f>IF(AB$3="","",IF(COUNTIFS(BD!$A$3:$A$5001,AB$3,BD!$B$3:$B$5001,$A$351,BD!$S$3:$S$5001,"&lt;&gt;")=0,"",SUMIFS(BD!$S$3:$S$5001,BD!$A$3:$A$5001,AB$3,BD!$B$3:$B$5001,$A$351)))</f>
        <v/>
      </c>
      <c r="AC367" s="179" t="str">
        <f>IF(AC$3="","",IF(COUNTIFS(BD!$A$3:$A$5001,AC$3,BD!$B$3:$B$5001,$A$351,BD!$S$3:$S$5001,"&lt;&gt;")=0,"",SUMIFS(BD!$S$3:$S$5001,BD!$A$3:$A$5001,AC$3,BD!$B$3:$B$5001,$A$351)))</f>
        <v/>
      </c>
      <c r="AD367" s="179" t="str">
        <f>IF(AD$3="","",IF(COUNTIFS(BD!$A$3:$A$5001,AD$3,BD!$B$3:$B$5001,$A$351,BD!$S$3:$S$5001,"&lt;&gt;")=0,"",SUMIFS(BD!$S$3:$S$5001,BD!$A$3:$A$5001,AD$3,BD!$B$3:$B$5001,$A$351)))</f>
        <v/>
      </c>
      <c r="AE367" s="179" t="str">
        <f>IF(AE$3="","",IF(COUNTIFS(BD!$A$3:$A$5001,AE$3,BD!$B$3:$B$5001,$A$351,BD!$S$3:$S$5001,"&lt;&gt;")=0,"",SUMIFS(BD!$S$3:$S$5001,BD!$A$3:$A$5001,AE$3,BD!$B$3:$B$5001,$A$351)))</f>
        <v/>
      </c>
      <c r="AF367" s="179" t="str">
        <f>IF(AF$3="","",IF(COUNTIFS(BD!$A$3:$A$5001,AF$3,BD!$B$3:$B$5001,$A$351,BD!$S$3:$S$5001,"&lt;&gt;")=0,"",SUMIFS(BD!$S$3:$S$5001,BD!$A$3:$A$5001,AF$3,BD!$B$3:$B$5001,$A$351)))</f>
        <v/>
      </c>
      <c r="AG367" s="179" t="str">
        <f>IF(AG$3="","",IF(COUNTIFS(BD!$A$3:$A$5001,AG$3,BD!$B$3:$B$5001,$A$351,BD!$S$3:$S$5001,"&lt;&gt;")=0,"",SUMIFS(BD!$S$3:$S$5001,BD!$A$3:$A$5001,AG$3,BD!$B$3:$B$5001,$A$351)))</f>
        <v/>
      </c>
      <c r="AH367" s="179" t="str">
        <f>IF(AH$3="","",IF(COUNTIFS(BD!$A$3:$A$5001,AH$3,BD!$B$3:$B$5001,$A$351,BD!$S$3:$S$5001,"&lt;&gt;")=0,"",SUMIFS(BD!$S$3:$S$5001,BD!$A$3:$A$5001,AH$3,BD!$B$3:$B$5001,$A$351)))</f>
        <v/>
      </c>
      <c r="AI367" s="179" t="str">
        <f>IF(AI$3="","",IF(COUNTIFS(BD!$A$3:$A$5001,AI$3,BD!$B$3:$B$5001,$A$351,BD!$S$3:$S$5001,"&lt;&gt;")=0,"",SUMIFS(BD!$S$3:$S$5001,BD!$A$3:$A$5001,AI$3,BD!$B$3:$B$5001,$A$351)))</f>
        <v/>
      </c>
      <c r="AJ367" s="180" t="str">
        <f>IF(AJ$3="","",IF(COUNTIFS(BD!$A$3:$A$5001,AJ$3,BD!$B$3:$B$5001,$A$351,BD!$S$3:$S$5001,"&lt;&gt;")=0,"",SUMIFS(BD!$S$3:$S$5001,BD!$A$3:$A$5001,AJ$3,BD!$B$3:$B$5001,$A$351)))</f>
        <v/>
      </c>
      <c r="AK367" s="181" t="str">
        <f>IFERROR(LOOKUP(9.99E+307,F367:AJ367),"")</f>
        <v/>
      </c>
    </row>
    <row r="368" ht="15.75" customHeight="1" hidden="1">
      <c r="A368" s="277"/>
      <c r="B368" s="266"/>
      <c r="C368" s="186" t="inlineStr">
        <is>
          <t xml:space="preserve">Taxa de Ocupação</t>
        </is>
      </c>
      <c r="D368" s="236" t="str">
        <f>IFERROR(1/(1/INDEX(BD!$AF$40:$AZ$40,MATCH($A$351,BD!$AF$22:$AZ$22,0))),"")</f>
        <v/>
      </c>
      <c r="E368" s="188"/>
      <c r="F368" s="237" t="str">
        <f>IF(AND(ISNUMBER(F366),ISNUMBER(F367)),IF(F366&gt;0,F367/F366,""),"")</f>
        <v/>
      </c>
      <c r="G368" s="238" t="str">
        <f>IF(AND(ISNUMBER(G366),ISNUMBER(G367)),IF(G366&gt;0,G367/G366,""),"")</f>
        <v/>
      </c>
      <c r="H368" s="238" t="str">
        <f>IF(AND(ISNUMBER(H366),ISNUMBER(H367)),IF(H366&gt;0,H367/H366,""),"")</f>
        <v/>
      </c>
      <c r="I368" s="238" t="str">
        <f>IF(AND(ISNUMBER(I366),ISNUMBER(I367)),IF(I366&gt;0,I367/I366,""),"")</f>
        <v/>
      </c>
      <c r="J368" s="238" t="str">
        <f>IF(AND(ISNUMBER(J366),ISNUMBER(J367)),IF(J366&gt;0,J367/J366,""),"")</f>
        <v/>
      </c>
      <c r="K368" s="238" t="str">
        <f>IF(AND(ISNUMBER(K366),ISNUMBER(K367)),IF(K366&gt;0,K367/K366,""),"")</f>
        <v/>
      </c>
      <c r="L368" s="238" t="str">
        <f>IF(AND(ISNUMBER(L366),ISNUMBER(L367)),IF(L366&gt;0,L367/L366,""),"")</f>
        <v/>
      </c>
      <c r="M368" s="238" t="str">
        <f>IF(AND(ISNUMBER(M366),ISNUMBER(M367)),IF(M366&gt;0,M367/M366,""),"")</f>
        <v/>
      </c>
      <c r="N368" s="238" t="str">
        <f>IF(AND(ISNUMBER(N366),ISNUMBER(N367)),IF(N366&gt;0,N367/N366,""),"")</f>
        <v/>
      </c>
      <c r="O368" s="238" t="str">
        <f>IF(AND(ISNUMBER(O366),ISNUMBER(O367)),IF(O366&gt;0,O367/O366,""),"")</f>
        <v/>
      </c>
      <c r="P368" s="238" t="str">
        <f>IF(AND(ISNUMBER(P366),ISNUMBER(P367)),IF(P366&gt;0,P367/P366,""),"")</f>
        <v/>
      </c>
      <c r="Q368" s="238" t="str">
        <f>IF(AND(ISNUMBER(Q366),ISNUMBER(Q367)),IF(Q366&gt;0,Q367/Q366,""),"")</f>
        <v/>
      </c>
      <c r="R368" s="238" t="str">
        <f>IF(AND(ISNUMBER(R366),ISNUMBER(R367)),IF(R366&gt;0,R367/R366,""),"")</f>
        <v/>
      </c>
      <c r="S368" s="238" t="str">
        <f>IF(AND(ISNUMBER(S366),ISNUMBER(S367)),IF(S366&gt;0,S367/S366,""),"")</f>
        <v/>
      </c>
      <c r="T368" s="238" t="str">
        <f>IF(AND(ISNUMBER(T366),ISNUMBER(T367)),IF(T366&gt;0,T367/T366,""),"")</f>
        <v/>
      </c>
      <c r="U368" s="238" t="str">
        <f>IF(AND(ISNUMBER(U366),ISNUMBER(U367)),IF(U366&gt;0,U367/U366,""),"")</f>
        <v/>
      </c>
      <c r="V368" s="238" t="str">
        <f>IF(AND(ISNUMBER(V366),ISNUMBER(V367)),IF(V366&gt;0,V367/V366,""),"")</f>
        <v/>
      </c>
      <c r="W368" s="238" t="str">
        <f>IF(AND(ISNUMBER(W366),ISNUMBER(W367)),IF(W366&gt;0,W367/W366,""),"")</f>
        <v/>
      </c>
      <c r="X368" s="238" t="str">
        <f>IF(AND(ISNUMBER(X366),ISNUMBER(X367)),IF(X366&gt;0,X367/X366,""),"")</f>
        <v/>
      </c>
      <c r="Y368" s="238" t="str">
        <f>IF(AND(ISNUMBER(Y366),ISNUMBER(Y367)),IF(Y366&gt;0,Y367/Y366,""),"")</f>
        <v/>
      </c>
      <c r="Z368" s="238" t="str">
        <f>IF(AND(ISNUMBER(Z366),ISNUMBER(Z367)),IF(Z366&gt;0,Z367/Z366,""),"")</f>
        <v/>
      </c>
      <c r="AA368" s="238" t="str">
        <f>IF(AND(ISNUMBER(AA366),ISNUMBER(AA367)),IF(AA366&gt;0,AA367/AA366,""),"")</f>
        <v/>
      </c>
      <c r="AB368" s="238" t="str">
        <f>IF(AND(ISNUMBER(AB366),ISNUMBER(AB367)),IF(AB366&gt;0,AB367/AB366,""),"")</f>
        <v/>
      </c>
      <c r="AC368" s="238" t="str">
        <f>IF(AND(ISNUMBER(AC366),ISNUMBER(AC367)),IF(AC366&gt;0,AC367/AC366,""),"")</f>
        <v/>
      </c>
      <c r="AD368" s="238" t="str">
        <f>IF(AND(ISNUMBER(AD366),ISNUMBER(AD367)),IF(AD366&gt;0,AD367/AD366,""),"")</f>
        <v/>
      </c>
      <c r="AE368" s="238" t="str">
        <f>IF(AND(ISNUMBER(AE366),ISNUMBER(AE367)),IF(AE366&gt;0,AE367/AE366,""),"")</f>
        <v/>
      </c>
      <c r="AF368" s="238" t="str">
        <f>IF(AND(ISNUMBER(AF366),ISNUMBER(AF367)),IF(AF366&gt;0,AF367/AF366,""),"")</f>
        <v/>
      </c>
      <c r="AG368" s="238" t="str">
        <f>IF(AND(ISNUMBER(AG366),ISNUMBER(AG367)),IF(AG366&gt;0,AG367/AG366,""),"")</f>
        <v/>
      </c>
      <c r="AH368" s="238" t="str">
        <f>IF(AND(ISNUMBER(AH366),ISNUMBER(AH367)),IF(AH366&gt;0,AH367/AH366,""),"")</f>
        <v/>
      </c>
      <c r="AI368" s="238" t="str">
        <f>IF(AND(ISNUMBER(AI366),ISNUMBER(AI367)),IF(AI366&gt;0,AI367/AI366,""),"")</f>
        <v/>
      </c>
      <c r="AJ368" s="239" t="str">
        <f>IF(AND(ISNUMBER(AJ366),ISNUMBER(AJ367)),IF(AJ366&gt;0,AJ367/AJ366,""),"")</f>
        <v/>
      </c>
      <c r="AK368" s="236" t="str">
        <f>IF(AND(ISNUMBER(AK366),ISNUMBER(AK367)),IF(AK366&gt;0,AK367/AK366,""),"")</f>
        <v/>
      </c>
    </row>
    <row r="369" ht="15.75" customHeight="1" hidden="1">
      <c r="A369" s="277"/>
      <c r="B369" s="273" t="inlineStr">
        <is>
          <t xml:space="preserve">GENTE</t>
        </is>
      </c>
      <c r="C369" s="240" t="inlineStr">
        <is>
          <t xml:space="preserve">Efetivo Op.</t>
        </is>
      </c>
      <c r="D369" s="241" t="str">
        <f>IFERROR(1/(1/INDEX(BD!$AF$41:$AZ$41,MATCH($A$351,BD!$AF$22:$AZ$22,0))),"")</f>
        <v/>
      </c>
      <c r="E369" s="242"/>
      <c r="F369" s="243" t="str">
        <f>IF(F$3="","",IF(COUNTIFS(BD!$A$3:$A$5001,F$3,BD!$B$3:$B$5001,$A$351,BD!$T$3:$T$5001,"&lt;&gt;")=0,"",SUMIFS(BD!$T$3:$T$5001,BD!$A$3:$A$5001,F$3,BD!$B$3:$B$5001,$A$351)))</f>
        <v/>
      </c>
      <c r="G369" s="244" t="str">
        <f>IF(G$3="","",IF(COUNTIFS(BD!$A$3:$A$5001,G$3,BD!$B$3:$B$5001,$A$351,BD!$T$3:$T$5001,"&lt;&gt;")=0,"",SUMIFS(BD!$T$3:$T$5001,BD!$A$3:$A$5001,G$3,BD!$B$3:$B$5001,$A$351)))</f>
        <v/>
      </c>
      <c r="H369" s="244" t="str">
        <f>IF(H$3="","",IF(COUNTIFS(BD!$A$3:$A$5001,H$3,BD!$B$3:$B$5001,$A$351,BD!$T$3:$T$5001,"&lt;&gt;")=0,"",SUMIFS(BD!$T$3:$T$5001,BD!$A$3:$A$5001,H$3,BD!$B$3:$B$5001,$A$351)))</f>
        <v/>
      </c>
      <c r="I369" s="244" t="str">
        <f>IF(I$3="","",IF(COUNTIFS(BD!$A$3:$A$5001,I$3,BD!$B$3:$B$5001,$A$351,BD!$T$3:$T$5001,"&lt;&gt;")=0,"",SUMIFS(BD!$T$3:$T$5001,BD!$A$3:$A$5001,I$3,BD!$B$3:$B$5001,$A$351)))</f>
        <v/>
      </c>
      <c r="J369" s="244" t="str">
        <f>IF(J$3="","",IF(COUNTIFS(BD!$A$3:$A$5001,J$3,BD!$B$3:$B$5001,$A$351,BD!$T$3:$T$5001,"&lt;&gt;")=0,"",SUMIFS(BD!$T$3:$T$5001,BD!$A$3:$A$5001,J$3,BD!$B$3:$B$5001,$A$351)))</f>
        <v/>
      </c>
      <c r="K369" s="244" t="str">
        <f>IF(K$3="","",IF(COUNTIFS(BD!$A$3:$A$5001,K$3,BD!$B$3:$B$5001,$A$351,BD!$T$3:$T$5001,"&lt;&gt;")=0,"",SUMIFS(BD!$T$3:$T$5001,BD!$A$3:$A$5001,K$3,BD!$B$3:$B$5001,$A$351)))</f>
        <v/>
      </c>
      <c r="L369" s="244" t="str">
        <f>IF(L$3="","",IF(COUNTIFS(BD!$A$3:$A$5001,L$3,BD!$B$3:$B$5001,$A$351,BD!$T$3:$T$5001,"&lt;&gt;")=0,"",SUMIFS(BD!$T$3:$T$5001,BD!$A$3:$A$5001,L$3,BD!$B$3:$B$5001,$A$351)))</f>
        <v/>
      </c>
      <c r="M369" s="244" t="str">
        <f>IF(M$3="","",IF(COUNTIFS(BD!$A$3:$A$5001,M$3,BD!$B$3:$B$5001,$A$351,BD!$T$3:$T$5001,"&lt;&gt;")=0,"",SUMIFS(BD!$T$3:$T$5001,BD!$A$3:$A$5001,M$3,BD!$B$3:$B$5001,$A$351)))</f>
        <v/>
      </c>
      <c r="N369" s="244" t="str">
        <f>IF(N$3="","",IF(COUNTIFS(BD!$A$3:$A$5001,N$3,BD!$B$3:$B$5001,$A$351,BD!$T$3:$T$5001,"&lt;&gt;")=0,"",SUMIFS(BD!$T$3:$T$5001,BD!$A$3:$A$5001,N$3,BD!$B$3:$B$5001,$A$351)))</f>
        <v/>
      </c>
      <c r="O369" s="244" t="str">
        <f>IF(O$3="","",IF(COUNTIFS(BD!$A$3:$A$5001,O$3,BD!$B$3:$B$5001,$A$351,BD!$T$3:$T$5001,"&lt;&gt;")=0,"",SUMIFS(BD!$T$3:$T$5001,BD!$A$3:$A$5001,O$3,BD!$B$3:$B$5001,$A$351)))</f>
        <v/>
      </c>
      <c r="P369" s="244" t="str">
        <f>IF(P$3="","",IF(COUNTIFS(BD!$A$3:$A$5001,P$3,BD!$B$3:$B$5001,$A$351,BD!$T$3:$T$5001,"&lt;&gt;")=0,"",SUMIFS(BD!$T$3:$T$5001,BD!$A$3:$A$5001,P$3,BD!$B$3:$B$5001,$A$351)))</f>
        <v/>
      </c>
      <c r="Q369" s="244" t="str">
        <f>IF(Q$3="","",IF(COUNTIFS(BD!$A$3:$A$5001,Q$3,BD!$B$3:$B$5001,$A$351,BD!$T$3:$T$5001,"&lt;&gt;")=0,"",SUMIFS(BD!$T$3:$T$5001,BD!$A$3:$A$5001,Q$3,BD!$B$3:$B$5001,$A$351)))</f>
        <v/>
      </c>
      <c r="R369" s="244" t="str">
        <f>IF(R$3="","",IF(COUNTIFS(BD!$A$3:$A$5001,R$3,BD!$B$3:$B$5001,$A$351,BD!$T$3:$T$5001,"&lt;&gt;")=0,"",SUMIFS(BD!$T$3:$T$5001,BD!$A$3:$A$5001,R$3,BD!$B$3:$B$5001,$A$351)))</f>
        <v/>
      </c>
      <c r="S369" s="244" t="str">
        <f>IF(S$3="","",IF(COUNTIFS(BD!$A$3:$A$5001,S$3,BD!$B$3:$B$5001,$A$351,BD!$T$3:$T$5001,"&lt;&gt;")=0,"",SUMIFS(BD!$T$3:$T$5001,BD!$A$3:$A$5001,S$3,BD!$B$3:$B$5001,$A$351)))</f>
        <v/>
      </c>
      <c r="T369" s="244" t="str">
        <f>IF(T$3="","",IF(COUNTIFS(BD!$A$3:$A$5001,T$3,BD!$B$3:$B$5001,$A$351,BD!$T$3:$T$5001,"&lt;&gt;")=0,"",SUMIFS(BD!$T$3:$T$5001,BD!$A$3:$A$5001,T$3,BD!$B$3:$B$5001,$A$351)))</f>
        <v/>
      </c>
      <c r="U369" s="244" t="str">
        <f>IF(U$3="","",IF(COUNTIFS(BD!$A$3:$A$5001,U$3,BD!$B$3:$B$5001,$A$351,BD!$T$3:$T$5001,"&lt;&gt;")=0,"",SUMIFS(BD!$T$3:$T$5001,BD!$A$3:$A$5001,U$3,BD!$B$3:$B$5001,$A$351)))</f>
        <v/>
      </c>
      <c r="V369" s="244" t="str">
        <f>IF(V$3="","",IF(COUNTIFS(BD!$A$3:$A$5001,V$3,BD!$B$3:$B$5001,$A$351,BD!$T$3:$T$5001,"&lt;&gt;")=0,"",SUMIFS(BD!$T$3:$T$5001,BD!$A$3:$A$5001,V$3,BD!$B$3:$B$5001,$A$351)))</f>
        <v/>
      </c>
      <c r="W369" s="244" t="str">
        <f>IF(W$3="","",IF(COUNTIFS(BD!$A$3:$A$5001,W$3,BD!$B$3:$B$5001,$A$351,BD!$T$3:$T$5001,"&lt;&gt;")=0,"",SUMIFS(BD!$T$3:$T$5001,BD!$A$3:$A$5001,W$3,BD!$B$3:$B$5001,$A$351)))</f>
        <v/>
      </c>
      <c r="X369" s="244" t="str">
        <f>IF(X$3="","",IF(COUNTIFS(BD!$A$3:$A$5001,X$3,BD!$B$3:$B$5001,$A$351,BD!$T$3:$T$5001,"&lt;&gt;")=0,"",SUMIFS(BD!$T$3:$T$5001,BD!$A$3:$A$5001,X$3,BD!$B$3:$B$5001,$A$351)))</f>
        <v/>
      </c>
      <c r="Y369" s="244" t="str">
        <f>IF(Y$3="","",IF(COUNTIFS(BD!$A$3:$A$5001,Y$3,BD!$B$3:$B$5001,$A$351,BD!$T$3:$T$5001,"&lt;&gt;")=0,"",SUMIFS(BD!$T$3:$T$5001,BD!$A$3:$A$5001,Y$3,BD!$B$3:$B$5001,$A$351)))</f>
        <v/>
      </c>
      <c r="Z369" s="244" t="str">
        <f>IF(Z$3="","",IF(COUNTIFS(BD!$A$3:$A$5001,Z$3,BD!$B$3:$B$5001,$A$351,BD!$T$3:$T$5001,"&lt;&gt;")=0,"",SUMIFS(BD!$T$3:$T$5001,BD!$A$3:$A$5001,Z$3,BD!$B$3:$B$5001,$A$351)))</f>
        <v/>
      </c>
      <c r="AA369" s="244" t="str">
        <f>IF(AA$3="","",IF(COUNTIFS(BD!$A$3:$A$5001,AA$3,BD!$B$3:$B$5001,$A$351,BD!$T$3:$T$5001,"&lt;&gt;")=0,"",SUMIFS(BD!$T$3:$T$5001,BD!$A$3:$A$5001,AA$3,BD!$B$3:$B$5001,$A$351)))</f>
        <v/>
      </c>
      <c r="AB369" s="244" t="str">
        <f>IF(AB$3="","",IF(COUNTIFS(BD!$A$3:$A$5001,AB$3,BD!$B$3:$B$5001,$A$351,BD!$T$3:$T$5001,"&lt;&gt;")=0,"",SUMIFS(BD!$T$3:$T$5001,BD!$A$3:$A$5001,AB$3,BD!$B$3:$B$5001,$A$351)))</f>
        <v/>
      </c>
      <c r="AC369" s="244" t="str">
        <f>IF(AC$3="","",IF(COUNTIFS(BD!$A$3:$A$5001,AC$3,BD!$B$3:$B$5001,$A$351,BD!$T$3:$T$5001,"&lt;&gt;")=0,"",SUMIFS(BD!$T$3:$T$5001,BD!$A$3:$A$5001,AC$3,BD!$B$3:$B$5001,$A$351)))</f>
        <v/>
      </c>
      <c r="AD369" s="244" t="str">
        <f>IF(AD$3="","",IF(COUNTIFS(BD!$A$3:$A$5001,AD$3,BD!$B$3:$B$5001,$A$351,BD!$T$3:$T$5001,"&lt;&gt;")=0,"",SUMIFS(BD!$T$3:$T$5001,BD!$A$3:$A$5001,AD$3,BD!$B$3:$B$5001,$A$351)))</f>
        <v/>
      </c>
      <c r="AE369" s="244" t="str">
        <f>IF(AE$3="","",IF(COUNTIFS(BD!$A$3:$A$5001,AE$3,BD!$B$3:$B$5001,$A$351,BD!$T$3:$T$5001,"&lt;&gt;")=0,"",SUMIFS(BD!$T$3:$T$5001,BD!$A$3:$A$5001,AE$3,BD!$B$3:$B$5001,$A$351)))</f>
        <v/>
      </c>
      <c r="AF369" s="244" t="str">
        <f>IF(AF$3="","",IF(COUNTIFS(BD!$A$3:$A$5001,AF$3,BD!$B$3:$B$5001,$A$351,BD!$T$3:$T$5001,"&lt;&gt;")=0,"",SUMIFS(BD!$T$3:$T$5001,BD!$A$3:$A$5001,AF$3,BD!$B$3:$B$5001,$A$351)))</f>
        <v/>
      </c>
      <c r="AG369" s="244" t="str">
        <f>IF(AG$3="","",IF(COUNTIFS(BD!$A$3:$A$5001,AG$3,BD!$B$3:$B$5001,$A$351,BD!$T$3:$T$5001,"&lt;&gt;")=0,"",SUMIFS(BD!$T$3:$T$5001,BD!$A$3:$A$5001,AG$3,BD!$B$3:$B$5001,$A$351)))</f>
        <v/>
      </c>
      <c r="AH369" s="244" t="str">
        <f>IF(AH$3="","",IF(COUNTIFS(BD!$A$3:$A$5001,AH$3,BD!$B$3:$B$5001,$A$351,BD!$T$3:$T$5001,"&lt;&gt;")=0,"",SUMIFS(BD!$T$3:$T$5001,BD!$A$3:$A$5001,AH$3,BD!$B$3:$B$5001,$A$351)))</f>
        <v/>
      </c>
      <c r="AI369" s="244" t="str">
        <f>IF(AI$3="","",IF(COUNTIFS(BD!$A$3:$A$5001,AI$3,BD!$B$3:$B$5001,$A$351,BD!$T$3:$T$5001,"&lt;&gt;")=0,"",SUMIFS(BD!$T$3:$T$5001,BD!$A$3:$A$5001,AI$3,BD!$B$3:$B$5001,$A$351)))</f>
        <v/>
      </c>
      <c r="AJ369" s="245" t="str">
        <f>IF(AJ$3="","",IF(COUNTIFS(BD!$A$3:$A$5001,AJ$3,BD!$B$3:$B$5001,$A$351,BD!$T$3:$T$5001,"&lt;&gt;")=0,"",SUMIFS(BD!$T$3:$T$5001,BD!$A$3:$A$5001,AJ$3,BD!$B$3:$B$5001,$A$351)))</f>
        <v/>
      </c>
      <c r="AK369" s="246" t="str">
        <f>IFERROR(LOOKUP(9.99E+307,F369:AJ369),"")</f>
        <v/>
      </c>
    </row>
    <row r="370" ht="15.75" customHeight="1" hidden="1">
      <c r="A370" s="277"/>
      <c r="B370" s="274"/>
      <c r="C370" s="247" t="inlineStr">
        <is>
          <t xml:space="preserve">Falta</t>
        </is>
      </c>
      <c r="D370" s="248" t="str">
        <f>IFERROR(1/(1/INDEX(BD!$AF$42:$AZ$42,MATCH($A$351,BD!$AF$22:$AZ$22,0))),"")</f>
        <v/>
      </c>
      <c r="E370" s="249"/>
      <c r="F370" s="250" t="str">
        <f>IF(F$3="","",IF(COUNTIFS(BD!$A$3:$A$5001,F$3,BD!$B$3:$B$5001,$A$351,BD!$U$3:$U$5001,"&lt;&gt;")=0,"",SUMIFS(BD!$U$3:$U$5001,BD!$A$3:$A$5001,F$3,BD!$B$3:$B$5001,$A$351)))</f>
        <v/>
      </c>
      <c r="G370" s="251" t="str">
        <f>IF(G$3="","",IF(COUNTIFS(BD!$A$3:$A$5001,G$3,BD!$B$3:$B$5001,$A$351,BD!$U$3:$U$5001,"&lt;&gt;")=0,"",SUMIFS(BD!$U$3:$U$5001,BD!$A$3:$A$5001,G$3,BD!$B$3:$B$5001,$A$351)))</f>
        <v/>
      </c>
      <c r="H370" s="251" t="str">
        <f>IF(H$3="","",IF(COUNTIFS(BD!$A$3:$A$5001,H$3,BD!$B$3:$B$5001,$A$351,BD!$U$3:$U$5001,"&lt;&gt;")=0,"",SUMIFS(BD!$U$3:$U$5001,BD!$A$3:$A$5001,H$3,BD!$B$3:$B$5001,$A$351)))</f>
        <v/>
      </c>
      <c r="I370" s="251" t="str">
        <f>IF(I$3="","",IF(COUNTIFS(BD!$A$3:$A$5001,I$3,BD!$B$3:$B$5001,$A$351,BD!$U$3:$U$5001,"&lt;&gt;")=0,"",SUMIFS(BD!$U$3:$U$5001,BD!$A$3:$A$5001,I$3,BD!$B$3:$B$5001,$A$351)))</f>
        <v/>
      </c>
      <c r="J370" s="251" t="str">
        <f>IF(J$3="","",IF(COUNTIFS(BD!$A$3:$A$5001,J$3,BD!$B$3:$B$5001,$A$351,BD!$U$3:$U$5001,"&lt;&gt;")=0,"",SUMIFS(BD!$U$3:$U$5001,BD!$A$3:$A$5001,J$3,BD!$B$3:$B$5001,$A$351)))</f>
        <v/>
      </c>
      <c r="K370" s="251" t="str">
        <f>IF(K$3="","",IF(COUNTIFS(BD!$A$3:$A$5001,K$3,BD!$B$3:$B$5001,$A$351,BD!$U$3:$U$5001,"&lt;&gt;")=0,"",SUMIFS(BD!$U$3:$U$5001,BD!$A$3:$A$5001,K$3,BD!$B$3:$B$5001,$A$351)))</f>
        <v/>
      </c>
      <c r="L370" s="251" t="str">
        <f>IF(L$3="","",IF(COUNTIFS(BD!$A$3:$A$5001,L$3,BD!$B$3:$B$5001,$A$351,BD!$U$3:$U$5001,"&lt;&gt;")=0,"",SUMIFS(BD!$U$3:$U$5001,BD!$A$3:$A$5001,L$3,BD!$B$3:$B$5001,$A$351)))</f>
        <v/>
      </c>
      <c r="M370" s="251" t="str">
        <f>IF(M$3="","",IF(COUNTIFS(BD!$A$3:$A$5001,M$3,BD!$B$3:$B$5001,$A$351,BD!$U$3:$U$5001,"&lt;&gt;")=0,"",SUMIFS(BD!$U$3:$U$5001,BD!$A$3:$A$5001,M$3,BD!$B$3:$B$5001,$A$351)))</f>
        <v/>
      </c>
      <c r="N370" s="251" t="str">
        <f>IF(N$3="","",IF(COUNTIFS(BD!$A$3:$A$5001,N$3,BD!$B$3:$B$5001,$A$351,BD!$U$3:$U$5001,"&lt;&gt;")=0,"",SUMIFS(BD!$U$3:$U$5001,BD!$A$3:$A$5001,N$3,BD!$B$3:$B$5001,$A$351)))</f>
        <v/>
      </c>
      <c r="O370" s="251" t="str">
        <f>IF(O$3="","",IF(COUNTIFS(BD!$A$3:$A$5001,O$3,BD!$B$3:$B$5001,$A$351,BD!$U$3:$U$5001,"&lt;&gt;")=0,"",SUMIFS(BD!$U$3:$U$5001,BD!$A$3:$A$5001,O$3,BD!$B$3:$B$5001,$A$351)))</f>
        <v/>
      </c>
      <c r="P370" s="251" t="str">
        <f>IF(P$3="","",IF(COUNTIFS(BD!$A$3:$A$5001,P$3,BD!$B$3:$B$5001,$A$351,BD!$U$3:$U$5001,"&lt;&gt;")=0,"",SUMIFS(BD!$U$3:$U$5001,BD!$A$3:$A$5001,P$3,BD!$B$3:$B$5001,$A$351)))</f>
        <v/>
      </c>
      <c r="Q370" s="251" t="str">
        <f>IF(Q$3="","",IF(COUNTIFS(BD!$A$3:$A$5001,Q$3,BD!$B$3:$B$5001,$A$351,BD!$U$3:$U$5001,"&lt;&gt;")=0,"",SUMIFS(BD!$U$3:$U$5001,BD!$A$3:$A$5001,Q$3,BD!$B$3:$B$5001,$A$351)))</f>
        <v/>
      </c>
      <c r="R370" s="251" t="str">
        <f>IF(R$3="","",IF(COUNTIFS(BD!$A$3:$A$5001,R$3,BD!$B$3:$B$5001,$A$351,BD!$U$3:$U$5001,"&lt;&gt;")=0,"",SUMIFS(BD!$U$3:$U$5001,BD!$A$3:$A$5001,R$3,BD!$B$3:$B$5001,$A$351)))</f>
        <v/>
      </c>
      <c r="S370" s="251" t="str">
        <f>IF(S$3="","",IF(COUNTIFS(BD!$A$3:$A$5001,S$3,BD!$B$3:$B$5001,$A$351,BD!$U$3:$U$5001,"&lt;&gt;")=0,"",SUMIFS(BD!$U$3:$U$5001,BD!$A$3:$A$5001,S$3,BD!$B$3:$B$5001,$A$351)))</f>
        <v/>
      </c>
      <c r="T370" s="251" t="str">
        <f>IF(T$3="","",IF(COUNTIFS(BD!$A$3:$A$5001,T$3,BD!$B$3:$B$5001,$A$351,BD!$U$3:$U$5001,"&lt;&gt;")=0,"",SUMIFS(BD!$U$3:$U$5001,BD!$A$3:$A$5001,T$3,BD!$B$3:$B$5001,$A$351)))</f>
        <v/>
      </c>
      <c r="U370" s="251" t="str">
        <f>IF(U$3="","",IF(COUNTIFS(BD!$A$3:$A$5001,U$3,BD!$B$3:$B$5001,$A$351,BD!$U$3:$U$5001,"&lt;&gt;")=0,"",SUMIFS(BD!$U$3:$U$5001,BD!$A$3:$A$5001,U$3,BD!$B$3:$B$5001,$A$351)))</f>
        <v/>
      </c>
      <c r="V370" s="251" t="str">
        <f>IF(V$3="","",IF(COUNTIFS(BD!$A$3:$A$5001,V$3,BD!$B$3:$B$5001,$A$351,BD!$U$3:$U$5001,"&lt;&gt;")=0,"",SUMIFS(BD!$U$3:$U$5001,BD!$A$3:$A$5001,V$3,BD!$B$3:$B$5001,$A$351)))</f>
        <v/>
      </c>
      <c r="W370" s="251" t="str">
        <f>IF(W$3="","",IF(COUNTIFS(BD!$A$3:$A$5001,W$3,BD!$B$3:$B$5001,$A$351,BD!$U$3:$U$5001,"&lt;&gt;")=0,"",SUMIFS(BD!$U$3:$U$5001,BD!$A$3:$A$5001,W$3,BD!$B$3:$B$5001,$A$351)))</f>
        <v/>
      </c>
      <c r="X370" s="251" t="str">
        <f>IF(X$3="","",IF(COUNTIFS(BD!$A$3:$A$5001,X$3,BD!$B$3:$B$5001,$A$351,BD!$U$3:$U$5001,"&lt;&gt;")=0,"",SUMIFS(BD!$U$3:$U$5001,BD!$A$3:$A$5001,X$3,BD!$B$3:$B$5001,$A$351)))</f>
        <v/>
      </c>
      <c r="Y370" s="251" t="str">
        <f>IF(Y$3="","",IF(COUNTIFS(BD!$A$3:$A$5001,Y$3,BD!$B$3:$B$5001,$A$351,BD!$U$3:$U$5001,"&lt;&gt;")=0,"",SUMIFS(BD!$U$3:$U$5001,BD!$A$3:$A$5001,Y$3,BD!$B$3:$B$5001,$A$351)))</f>
        <v/>
      </c>
      <c r="Z370" s="251" t="str">
        <f>IF(Z$3="","",IF(COUNTIFS(BD!$A$3:$A$5001,Z$3,BD!$B$3:$B$5001,$A$351,BD!$U$3:$U$5001,"&lt;&gt;")=0,"",SUMIFS(BD!$U$3:$U$5001,BD!$A$3:$A$5001,Z$3,BD!$B$3:$B$5001,$A$351)))</f>
        <v/>
      </c>
      <c r="AA370" s="251" t="str">
        <f>IF(AA$3="","",IF(COUNTIFS(BD!$A$3:$A$5001,AA$3,BD!$B$3:$B$5001,$A$351,BD!$U$3:$U$5001,"&lt;&gt;")=0,"",SUMIFS(BD!$U$3:$U$5001,BD!$A$3:$A$5001,AA$3,BD!$B$3:$B$5001,$A$351)))</f>
        <v/>
      </c>
      <c r="AB370" s="251" t="str">
        <f>IF(AB$3="","",IF(COUNTIFS(BD!$A$3:$A$5001,AB$3,BD!$B$3:$B$5001,$A$351,BD!$U$3:$U$5001,"&lt;&gt;")=0,"",SUMIFS(BD!$U$3:$U$5001,BD!$A$3:$A$5001,AB$3,BD!$B$3:$B$5001,$A$351)))</f>
        <v/>
      </c>
      <c r="AC370" s="251" t="str">
        <f>IF(AC$3="","",IF(COUNTIFS(BD!$A$3:$A$5001,AC$3,BD!$B$3:$B$5001,$A$351,BD!$U$3:$U$5001,"&lt;&gt;")=0,"",SUMIFS(BD!$U$3:$U$5001,BD!$A$3:$A$5001,AC$3,BD!$B$3:$B$5001,$A$351)))</f>
        <v/>
      </c>
      <c r="AD370" s="251" t="str">
        <f>IF(AD$3="","",IF(COUNTIFS(BD!$A$3:$A$5001,AD$3,BD!$B$3:$B$5001,$A$351,BD!$U$3:$U$5001,"&lt;&gt;")=0,"",SUMIFS(BD!$U$3:$U$5001,BD!$A$3:$A$5001,AD$3,BD!$B$3:$B$5001,$A$351)))</f>
        <v/>
      </c>
      <c r="AE370" s="251" t="str">
        <f>IF(AE$3="","",IF(COUNTIFS(BD!$A$3:$A$5001,AE$3,BD!$B$3:$B$5001,$A$351,BD!$U$3:$U$5001,"&lt;&gt;")=0,"",SUMIFS(BD!$U$3:$U$5001,BD!$A$3:$A$5001,AE$3,BD!$B$3:$B$5001,$A$351)))</f>
        <v/>
      </c>
      <c r="AF370" s="251" t="str">
        <f>IF(AF$3="","",IF(COUNTIFS(BD!$A$3:$A$5001,AF$3,BD!$B$3:$B$5001,$A$351,BD!$U$3:$U$5001,"&lt;&gt;")=0,"",SUMIFS(BD!$U$3:$U$5001,BD!$A$3:$A$5001,AF$3,BD!$B$3:$B$5001,$A$351)))</f>
        <v/>
      </c>
      <c r="AG370" s="251" t="str">
        <f>IF(AG$3="","",IF(COUNTIFS(BD!$A$3:$A$5001,AG$3,BD!$B$3:$B$5001,$A$351,BD!$U$3:$U$5001,"&lt;&gt;")=0,"",SUMIFS(BD!$U$3:$U$5001,BD!$A$3:$A$5001,AG$3,BD!$B$3:$B$5001,$A$351)))</f>
        <v/>
      </c>
      <c r="AH370" s="251" t="str">
        <f>IF(AH$3="","",IF(COUNTIFS(BD!$A$3:$A$5001,AH$3,BD!$B$3:$B$5001,$A$351,BD!$U$3:$U$5001,"&lt;&gt;")=0,"",SUMIFS(BD!$U$3:$U$5001,BD!$A$3:$A$5001,AH$3,BD!$B$3:$B$5001,$A$351)))</f>
        <v/>
      </c>
      <c r="AI370" s="251" t="str">
        <f>IF(AI$3="","",IF(COUNTIFS(BD!$A$3:$A$5001,AI$3,BD!$B$3:$B$5001,$A$351,BD!$U$3:$U$5001,"&lt;&gt;")=0,"",SUMIFS(BD!$U$3:$U$5001,BD!$A$3:$A$5001,AI$3,BD!$B$3:$B$5001,$A$351)))</f>
        <v/>
      </c>
      <c r="AJ370" s="252" t="str">
        <f>IF(AJ$3="","",IF(COUNTIFS(BD!$A$3:$A$5001,AJ$3,BD!$B$3:$B$5001,$A$351,BD!$U$3:$U$5001,"&lt;&gt;")=0,"",SUMIFS(BD!$U$3:$U$5001,BD!$A$3:$A$5001,AJ$3,BD!$B$3:$B$5001,$A$351)))</f>
        <v/>
      </c>
      <c r="AK370" s="253" t="str">
        <f>IF(COUNT(F370:AJ370)=0,"",SUM(F370:AJ370))</f>
        <v/>
      </c>
    </row>
    <row r="371" ht="15.75" customHeight="1" hidden="1">
      <c r="A371" s="277"/>
      <c r="B371" s="274"/>
      <c r="C371" s="247" t="inlineStr">
        <is>
          <t xml:space="preserve">Absenteísmo (H/H)</t>
        </is>
      </c>
      <c r="D371" s="248" t="str">
        <f>IFERROR(1/(1/INDEX(BD!$AF$43:$AZ$43,MATCH($A$351,BD!$AF$22:$AZ$22,0))),"")</f>
        <v/>
      </c>
      <c r="E371" s="249"/>
      <c r="F371" s="254" t="str">
        <f>IF(F$3="","",IF(COUNTIFS(BD!$A$3:$A$5001,F$3,BD!$B$3:$B$5001,$A$351,BD!$V$3:$V$5001,"&lt;&gt;")=0,"",SUMIFS(BD!$V$3:$V$5001,BD!$A$3:$A$5001,F$3,BD!$B$3:$B$5001,$A$351)))</f>
        <v/>
      </c>
      <c r="G371" s="255" t="str">
        <f>IF(G$3="","",IF(COUNTIFS(BD!$A$3:$A$5001,G$3,BD!$B$3:$B$5001,$A$351,BD!$V$3:$V$5001,"&lt;&gt;")=0,"",SUMIFS(BD!$V$3:$V$5001,BD!$A$3:$A$5001,G$3,BD!$B$3:$B$5001,$A$351)))</f>
        <v/>
      </c>
      <c r="H371" s="255" t="str">
        <f>IF(H$3="","",IF(COUNTIFS(BD!$A$3:$A$5001,H$3,BD!$B$3:$B$5001,$A$351,BD!$V$3:$V$5001,"&lt;&gt;")=0,"",SUMIFS(BD!$V$3:$V$5001,BD!$A$3:$A$5001,H$3,BD!$B$3:$B$5001,$A$351)))</f>
        <v/>
      </c>
      <c r="I371" s="255" t="str">
        <f>IF(I$3="","",IF(COUNTIFS(BD!$A$3:$A$5001,I$3,BD!$B$3:$B$5001,$A$351,BD!$V$3:$V$5001,"&lt;&gt;")=0,"",SUMIFS(BD!$V$3:$V$5001,BD!$A$3:$A$5001,I$3,BD!$B$3:$B$5001,$A$351)))</f>
        <v/>
      </c>
      <c r="J371" s="255" t="str">
        <f>IF(J$3="","",IF(COUNTIFS(BD!$A$3:$A$5001,J$3,BD!$B$3:$B$5001,$A$351,BD!$V$3:$V$5001,"&lt;&gt;")=0,"",SUMIFS(BD!$V$3:$V$5001,BD!$A$3:$A$5001,J$3,BD!$B$3:$B$5001,$A$351)))</f>
        <v/>
      </c>
      <c r="K371" s="255" t="str">
        <f>IF(K$3="","",IF(COUNTIFS(BD!$A$3:$A$5001,K$3,BD!$B$3:$B$5001,$A$351,BD!$V$3:$V$5001,"&lt;&gt;")=0,"",SUMIFS(BD!$V$3:$V$5001,BD!$A$3:$A$5001,K$3,BD!$B$3:$B$5001,$A$351)))</f>
        <v/>
      </c>
      <c r="L371" s="255" t="str">
        <f>IF(L$3="","",IF(COUNTIFS(BD!$A$3:$A$5001,L$3,BD!$B$3:$B$5001,$A$351,BD!$V$3:$V$5001,"&lt;&gt;")=0,"",SUMIFS(BD!$V$3:$V$5001,BD!$A$3:$A$5001,L$3,BD!$B$3:$B$5001,$A$351)))</f>
        <v/>
      </c>
      <c r="M371" s="255" t="str">
        <f>IF(M$3="","",IF(COUNTIFS(BD!$A$3:$A$5001,M$3,BD!$B$3:$B$5001,$A$351,BD!$V$3:$V$5001,"&lt;&gt;")=0,"",SUMIFS(BD!$V$3:$V$5001,BD!$A$3:$A$5001,M$3,BD!$B$3:$B$5001,$A$351)))</f>
        <v/>
      </c>
      <c r="N371" s="255" t="str">
        <f>IF(N$3="","",IF(COUNTIFS(BD!$A$3:$A$5001,N$3,BD!$B$3:$B$5001,$A$351,BD!$V$3:$V$5001,"&lt;&gt;")=0,"",SUMIFS(BD!$V$3:$V$5001,BD!$A$3:$A$5001,N$3,BD!$B$3:$B$5001,$A$351)))</f>
        <v/>
      </c>
      <c r="O371" s="255" t="str">
        <f>IF(O$3="","",IF(COUNTIFS(BD!$A$3:$A$5001,O$3,BD!$B$3:$B$5001,$A$351,BD!$V$3:$V$5001,"&lt;&gt;")=0,"",SUMIFS(BD!$V$3:$V$5001,BD!$A$3:$A$5001,O$3,BD!$B$3:$B$5001,$A$351)))</f>
        <v/>
      </c>
      <c r="P371" s="255" t="str">
        <f>IF(P$3="","",IF(COUNTIFS(BD!$A$3:$A$5001,P$3,BD!$B$3:$B$5001,$A$351,BD!$V$3:$V$5001,"&lt;&gt;")=0,"",SUMIFS(BD!$V$3:$V$5001,BD!$A$3:$A$5001,P$3,BD!$B$3:$B$5001,$A$351)))</f>
        <v/>
      </c>
      <c r="Q371" s="255" t="str">
        <f>IF(Q$3="","",IF(COUNTIFS(BD!$A$3:$A$5001,Q$3,BD!$B$3:$B$5001,$A$351,BD!$V$3:$V$5001,"&lt;&gt;")=0,"",SUMIFS(BD!$V$3:$V$5001,BD!$A$3:$A$5001,Q$3,BD!$B$3:$B$5001,$A$351)))</f>
        <v/>
      </c>
      <c r="R371" s="255" t="str">
        <f>IF(R$3="","",IF(COUNTIFS(BD!$A$3:$A$5001,R$3,BD!$B$3:$B$5001,$A$351,BD!$V$3:$V$5001,"&lt;&gt;")=0,"",SUMIFS(BD!$V$3:$V$5001,BD!$A$3:$A$5001,R$3,BD!$B$3:$B$5001,$A$351)))</f>
        <v/>
      </c>
      <c r="S371" s="255" t="str">
        <f>IF(S$3="","",IF(COUNTIFS(BD!$A$3:$A$5001,S$3,BD!$B$3:$B$5001,$A$351,BD!$V$3:$V$5001,"&lt;&gt;")=0,"",SUMIFS(BD!$V$3:$V$5001,BD!$A$3:$A$5001,S$3,BD!$B$3:$B$5001,$A$351)))</f>
        <v/>
      </c>
      <c r="T371" s="255" t="str">
        <f>IF(T$3="","",IF(COUNTIFS(BD!$A$3:$A$5001,T$3,BD!$B$3:$B$5001,$A$351,BD!$V$3:$V$5001,"&lt;&gt;")=0,"",SUMIFS(BD!$V$3:$V$5001,BD!$A$3:$A$5001,T$3,BD!$B$3:$B$5001,$A$351)))</f>
        <v/>
      </c>
      <c r="U371" s="255" t="str">
        <f>IF(U$3="","",IF(COUNTIFS(BD!$A$3:$A$5001,U$3,BD!$B$3:$B$5001,$A$351,BD!$V$3:$V$5001,"&lt;&gt;")=0,"",SUMIFS(BD!$V$3:$V$5001,BD!$A$3:$A$5001,U$3,BD!$B$3:$B$5001,$A$351)))</f>
        <v/>
      </c>
      <c r="V371" s="255" t="str">
        <f>IF(V$3="","",IF(COUNTIFS(BD!$A$3:$A$5001,V$3,BD!$B$3:$B$5001,$A$351,BD!$V$3:$V$5001,"&lt;&gt;")=0,"",SUMIFS(BD!$V$3:$V$5001,BD!$A$3:$A$5001,V$3,BD!$B$3:$B$5001,$A$351)))</f>
        <v/>
      </c>
      <c r="W371" s="255" t="str">
        <f>IF(W$3="","",IF(COUNTIFS(BD!$A$3:$A$5001,W$3,BD!$B$3:$B$5001,$A$351,BD!$V$3:$V$5001,"&lt;&gt;")=0,"",SUMIFS(BD!$V$3:$V$5001,BD!$A$3:$A$5001,W$3,BD!$B$3:$B$5001,$A$351)))</f>
        <v/>
      </c>
      <c r="X371" s="255" t="str">
        <f>IF(X$3="","",IF(COUNTIFS(BD!$A$3:$A$5001,X$3,BD!$B$3:$B$5001,$A$351,BD!$V$3:$V$5001,"&lt;&gt;")=0,"",SUMIFS(BD!$V$3:$V$5001,BD!$A$3:$A$5001,X$3,BD!$B$3:$B$5001,$A$351)))</f>
        <v/>
      </c>
      <c r="Y371" s="255" t="str">
        <f>IF(Y$3="","",IF(COUNTIFS(BD!$A$3:$A$5001,Y$3,BD!$B$3:$B$5001,$A$351,BD!$V$3:$V$5001,"&lt;&gt;")=0,"",SUMIFS(BD!$V$3:$V$5001,BD!$A$3:$A$5001,Y$3,BD!$B$3:$B$5001,$A$351)))</f>
        <v/>
      </c>
      <c r="Z371" s="255" t="str">
        <f>IF(Z$3="","",IF(COUNTIFS(BD!$A$3:$A$5001,Z$3,BD!$B$3:$B$5001,$A$351,BD!$V$3:$V$5001,"&lt;&gt;")=0,"",SUMIFS(BD!$V$3:$V$5001,BD!$A$3:$A$5001,Z$3,BD!$B$3:$B$5001,$A$351)))</f>
        <v/>
      </c>
      <c r="AA371" s="255" t="str">
        <f>IF(AA$3="","",IF(COUNTIFS(BD!$A$3:$A$5001,AA$3,BD!$B$3:$B$5001,$A$351,BD!$V$3:$V$5001,"&lt;&gt;")=0,"",SUMIFS(BD!$V$3:$V$5001,BD!$A$3:$A$5001,AA$3,BD!$B$3:$B$5001,$A$351)))</f>
        <v/>
      </c>
      <c r="AB371" s="255" t="str">
        <f>IF(AB$3="","",IF(COUNTIFS(BD!$A$3:$A$5001,AB$3,BD!$B$3:$B$5001,$A$351,BD!$V$3:$V$5001,"&lt;&gt;")=0,"",SUMIFS(BD!$V$3:$V$5001,BD!$A$3:$A$5001,AB$3,BD!$B$3:$B$5001,$A$351)))</f>
        <v/>
      </c>
      <c r="AC371" s="255" t="str">
        <f>IF(AC$3="","",IF(COUNTIFS(BD!$A$3:$A$5001,AC$3,BD!$B$3:$B$5001,$A$351,BD!$V$3:$V$5001,"&lt;&gt;")=0,"",SUMIFS(BD!$V$3:$V$5001,BD!$A$3:$A$5001,AC$3,BD!$B$3:$B$5001,$A$351)))</f>
        <v/>
      </c>
      <c r="AD371" s="255" t="str">
        <f>IF(AD$3="","",IF(COUNTIFS(BD!$A$3:$A$5001,AD$3,BD!$B$3:$B$5001,$A$351,BD!$V$3:$V$5001,"&lt;&gt;")=0,"",SUMIFS(BD!$V$3:$V$5001,BD!$A$3:$A$5001,AD$3,BD!$B$3:$B$5001,$A$351)))</f>
        <v/>
      </c>
      <c r="AE371" s="255" t="str">
        <f>IF(AE$3="","",IF(COUNTIFS(BD!$A$3:$A$5001,AE$3,BD!$B$3:$B$5001,$A$351,BD!$V$3:$V$5001,"&lt;&gt;")=0,"",SUMIFS(BD!$V$3:$V$5001,BD!$A$3:$A$5001,AE$3,BD!$B$3:$B$5001,$A$351)))</f>
        <v/>
      </c>
      <c r="AF371" s="255" t="str">
        <f>IF(AF$3="","",IF(COUNTIFS(BD!$A$3:$A$5001,AF$3,BD!$B$3:$B$5001,$A$351,BD!$V$3:$V$5001,"&lt;&gt;")=0,"",SUMIFS(BD!$V$3:$V$5001,BD!$A$3:$A$5001,AF$3,BD!$B$3:$B$5001,$A$351)))</f>
        <v/>
      </c>
      <c r="AG371" s="255" t="str">
        <f>IF(AG$3="","",IF(COUNTIFS(BD!$A$3:$A$5001,AG$3,BD!$B$3:$B$5001,$A$351,BD!$V$3:$V$5001,"&lt;&gt;")=0,"",SUMIFS(BD!$V$3:$V$5001,BD!$A$3:$A$5001,AG$3,BD!$B$3:$B$5001,$A$351)))</f>
        <v/>
      </c>
      <c r="AH371" s="255" t="str">
        <f>IF(AH$3="","",IF(COUNTIFS(BD!$A$3:$A$5001,AH$3,BD!$B$3:$B$5001,$A$351,BD!$V$3:$V$5001,"&lt;&gt;")=0,"",SUMIFS(BD!$V$3:$V$5001,BD!$A$3:$A$5001,AH$3,BD!$B$3:$B$5001,$A$351)))</f>
        <v/>
      </c>
      <c r="AI371" s="255" t="str">
        <f>IF(AI$3="","",IF(COUNTIFS(BD!$A$3:$A$5001,AI$3,BD!$B$3:$B$5001,$A$351,BD!$V$3:$V$5001,"&lt;&gt;")=0,"",SUMIFS(BD!$V$3:$V$5001,BD!$A$3:$A$5001,AI$3,BD!$B$3:$B$5001,$A$351)))</f>
        <v/>
      </c>
      <c r="AJ371" s="256" t="str">
        <f>IF(AJ$3="","",IF(COUNTIFS(BD!$A$3:$A$5001,AJ$3,BD!$B$3:$B$5001,$A$351,BD!$V$3:$V$5001,"&lt;&gt;")=0,"",SUMIFS(BD!$V$3:$V$5001,BD!$A$3:$A$5001,AJ$3,BD!$B$3:$B$5001,$A$351)))</f>
        <v/>
      </c>
      <c r="AK371" s="257" t="str">
        <f>IF(COUNT(F371:AJ371)=0,"",SUM(F371:AJ371))</f>
        <v/>
      </c>
    </row>
    <row r="372" ht="15.75" customHeight="1" hidden="1">
      <c r="A372" s="277"/>
      <c r="B372" s="274"/>
      <c r="C372" s="247" t="inlineStr">
        <is>
          <t xml:space="preserve">Folga</t>
        </is>
      </c>
      <c r="D372" s="248" t="str">
        <f>IFERROR(1/(1/INDEX(BD!$AF$44:$AZ$44,MATCH($A$351,BD!$AF$22:$AZ$22,0))),"")</f>
        <v/>
      </c>
      <c r="E372" s="249"/>
      <c r="F372" s="250" t="str">
        <f>IF(F$3="","",IF(COUNTIFS(BD!$A$3:$A$5001,F$3,BD!$B$3:$B$5001,$A$351,BD!$W$3:$W$5001,"&lt;&gt;")=0,"",SUMIFS(BD!$W$3:$W$5001,BD!$A$3:$A$5001,F$3,BD!$B$3:$B$5001,$A$351)))</f>
        <v/>
      </c>
      <c r="G372" s="251" t="str">
        <f>IF(G$3="","",IF(COUNTIFS(BD!$A$3:$A$5001,G$3,BD!$B$3:$B$5001,$A$351,BD!$W$3:$W$5001,"&lt;&gt;")=0,"",SUMIFS(BD!$W$3:$W$5001,BD!$A$3:$A$5001,G$3,BD!$B$3:$B$5001,$A$351)))</f>
        <v/>
      </c>
      <c r="H372" s="251" t="str">
        <f>IF(H$3="","",IF(COUNTIFS(BD!$A$3:$A$5001,H$3,BD!$B$3:$B$5001,$A$351,BD!$W$3:$W$5001,"&lt;&gt;")=0,"",SUMIFS(BD!$W$3:$W$5001,BD!$A$3:$A$5001,H$3,BD!$B$3:$B$5001,$A$351)))</f>
        <v/>
      </c>
      <c r="I372" s="251" t="str">
        <f>IF(I$3="","",IF(COUNTIFS(BD!$A$3:$A$5001,I$3,BD!$B$3:$B$5001,$A$351,BD!$W$3:$W$5001,"&lt;&gt;")=0,"",SUMIFS(BD!$W$3:$W$5001,BD!$A$3:$A$5001,I$3,BD!$B$3:$B$5001,$A$351)))</f>
        <v/>
      </c>
      <c r="J372" s="251" t="str">
        <f>IF(J$3="","",IF(COUNTIFS(BD!$A$3:$A$5001,J$3,BD!$B$3:$B$5001,$A$351,BD!$W$3:$W$5001,"&lt;&gt;")=0,"",SUMIFS(BD!$W$3:$W$5001,BD!$A$3:$A$5001,J$3,BD!$B$3:$B$5001,$A$351)))</f>
        <v/>
      </c>
      <c r="K372" s="251" t="str">
        <f>IF(K$3="","",IF(COUNTIFS(BD!$A$3:$A$5001,K$3,BD!$B$3:$B$5001,$A$351,BD!$W$3:$W$5001,"&lt;&gt;")=0,"",SUMIFS(BD!$W$3:$W$5001,BD!$A$3:$A$5001,K$3,BD!$B$3:$B$5001,$A$351)))</f>
        <v/>
      </c>
      <c r="L372" s="251" t="str">
        <f>IF(L$3="","",IF(COUNTIFS(BD!$A$3:$A$5001,L$3,BD!$B$3:$B$5001,$A$351,BD!$W$3:$W$5001,"&lt;&gt;")=0,"",SUMIFS(BD!$W$3:$W$5001,BD!$A$3:$A$5001,L$3,BD!$B$3:$B$5001,$A$351)))</f>
        <v/>
      </c>
      <c r="M372" s="251" t="str">
        <f>IF(M$3="","",IF(COUNTIFS(BD!$A$3:$A$5001,M$3,BD!$B$3:$B$5001,$A$351,BD!$W$3:$W$5001,"&lt;&gt;")=0,"",SUMIFS(BD!$W$3:$W$5001,BD!$A$3:$A$5001,M$3,BD!$B$3:$B$5001,$A$351)))</f>
        <v/>
      </c>
      <c r="N372" s="251" t="str">
        <f>IF(N$3="","",IF(COUNTIFS(BD!$A$3:$A$5001,N$3,BD!$B$3:$B$5001,$A$351,BD!$W$3:$W$5001,"&lt;&gt;")=0,"",SUMIFS(BD!$W$3:$W$5001,BD!$A$3:$A$5001,N$3,BD!$B$3:$B$5001,$A$351)))</f>
        <v/>
      </c>
      <c r="O372" s="251" t="str">
        <f>IF(O$3="","",IF(COUNTIFS(BD!$A$3:$A$5001,O$3,BD!$B$3:$B$5001,$A$351,BD!$W$3:$W$5001,"&lt;&gt;")=0,"",SUMIFS(BD!$W$3:$W$5001,BD!$A$3:$A$5001,O$3,BD!$B$3:$B$5001,$A$351)))</f>
        <v/>
      </c>
      <c r="P372" s="251" t="str">
        <f>IF(P$3="","",IF(COUNTIFS(BD!$A$3:$A$5001,P$3,BD!$B$3:$B$5001,$A$351,BD!$W$3:$W$5001,"&lt;&gt;")=0,"",SUMIFS(BD!$W$3:$W$5001,BD!$A$3:$A$5001,P$3,BD!$B$3:$B$5001,$A$351)))</f>
        <v/>
      </c>
      <c r="Q372" s="251" t="str">
        <f>IF(Q$3="","",IF(COUNTIFS(BD!$A$3:$A$5001,Q$3,BD!$B$3:$B$5001,$A$351,BD!$W$3:$W$5001,"&lt;&gt;")=0,"",SUMIFS(BD!$W$3:$W$5001,BD!$A$3:$A$5001,Q$3,BD!$B$3:$B$5001,$A$351)))</f>
        <v/>
      </c>
      <c r="R372" s="251" t="str">
        <f>IF(R$3="","",IF(COUNTIFS(BD!$A$3:$A$5001,R$3,BD!$B$3:$B$5001,$A$351,BD!$W$3:$W$5001,"&lt;&gt;")=0,"",SUMIFS(BD!$W$3:$W$5001,BD!$A$3:$A$5001,R$3,BD!$B$3:$B$5001,$A$351)))</f>
        <v/>
      </c>
      <c r="S372" s="251" t="str">
        <f>IF(S$3="","",IF(COUNTIFS(BD!$A$3:$A$5001,S$3,BD!$B$3:$B$5001,$A$351,BD!$W$3:$W$5001,"&lt;&gt;")=0,"",SUMIFS(BD!$W$3:$W$5001,BD!$A$3:$A$5001,S$3,BD!$B$3:$B$5001,$A$351)))</f>
        <v/>
      </c>
      <c r="T372" s="251" t="str">
        <f>IF(T$3="","",IF(COUNTIFS(BD!$A$3:$A$5001,T$3,BD!$B$3:$B$5001,$A$351,BD!$W$3:$W$5001,"&lt;&gt;")=0,"",SUMIFS(BD!$W$3:$W$5001,BD!$A$3:$A$5001,T$3,BD!$B$3:$B$5001,$A$351)))</f>
        <v/>
      </c>
      <c r="U372" s="251" t="str">
        <f>IF(U$3="","",IF(COUNTIFS(BD!$A$3:$A$5001,U$3,BD!$B$3:$B$5001,$A$351,BD!$W$3:$W$5001,"&lt;&gt;")=0,"",SUMIFS(BD!$W$3:$W$5001,BD!$A$3:$A$5001,U$3,BD!$B$3:$B$5001,$A$351)))</f>
        <v/>
      </c>
      <c r="V372" s="251" t="str">
        <f>IF(V$3="","",IF(COUNTIFS(BD!$A$3:$A$5001,V$3,BD!$B$3:$B$5001,$A$351,BD!$W$3:$W$5001,"&lt;&gt;")=0,"",SUMIFS(BD!$W$3:$W$5001,BD!$A$3:$A$5001,V$3,BD!$B$3:$B$5001,$A$351)))</f>
        <v/>
      </c>
      <c r="W372" s="251" t="str">
        <f>IF(W$3="","",IF(COUNTIFS(BD!$A$3:$A$5001,W$3,BD!$B$3:$B$5001,$A$351,BD!$W$3:$W$5001,"&lt;&gt;")=0,"",SUMIFS(BD!$W$3:$W$5001,BD!$A$3:$A$5001,W$3,BD!$B$3:$B$5001,$A$351)))</f>
        <v/>
      </c>
      <c r="X372" s="251" t="str">
        <f>IF(X$3="","",IF(COUNTIFS(BD!$A$3:$A$5001,X$3,BD!$B$3:$B$5001,$A$351,BD!$W$3:$W$5001,"&lt;&gt;")=0,"",SUMIFS(BD!$W$3:$W$5001,BD!$A$3:$A$5001,X$3,BD!$B$3:$B$5001,$A$351)))</f>
        <v/>
      </c>
      <c r="Y372" s="251" t="str">
        <f>IF(Y$3="","",IF(COUNTIFS(BD!$A$3:$A$5001,Y$3,BD!$B$3:$B$5001,$A$351,BD!$W$3:$W$5001,"&lt;&gt;")=0,"",SUMIFS(BD!$W$3:$W$5001,BD!$A$3:$A$5001,Y$3,BD!$B$3:$B$5001,$A$351)))</f>
        <v/>
      </c>
      <c r="Z372" s="251" t="str">
        <f>IF(Z$3="","",IF(COUNTIFS(BD!$A$3:$A$5001,Z$3,BD!$B$3:$B$5001,$A$351,BD!$W$3:$W$5001,"&lt;&gt;")=0,"",SUMIFS(BD!$W$3:$W$5001,BD!$A$3:$A$5001,Z$3,BD!$B$3:$B$5001,$A$351)))</f>
        <v/>
      </c>
      <c r="AA372" s="251" t="str">
        <f>IF(AA$3="","",IF(COUNTIFS(BD!$A$3:$A$5001,AA$3,BD!$B$3:$B$5001,$A$351,BD!$W$3:$W$5001,"&lt;&gt;")=0,"",SUMIFS(BD!$W$3:$W$5001,BD!$A$3:$A$5001,AA$3,BD!$B$3:$B$5001,$A$351)))</f>
        <v/>
      </c>
      <c r="AB372" s="251" t="str">
        <f>IF(AB$3="","",IF(COUNTIFS(BD!$A$3:$A$5001,AB$3,BD!$B$3:$B$5001,$A$351,BD!$W$3:$W$5001,"&lt;&gt;")=0,"",SUMIFS(BD!$W$3:$W$5001,BD!$A$3:$A$5001,AB$3,BD!$B$3:$B$5001,$A$351)))</f>
        <v/>
      </c>
      <c r="AC372" s="251" t="str">
        <f>IF(AC$3="","",IF(COUNTIFS(BD!$A$3:$A$5001,AC$3,BD!$B$3:$B$5001,$A$351,BD!$W$3:$W$5001,"&lt;&gt;")=0,"",SUMIFS(BD!$W$3:$W$5001,BD!$A$3:$A$5001,AC$3,BD!$B$3:$B$5001,$A$351)))</f>
        <v/>
      </c>
      <c r="AD372" s="251" t="str">
        <f>IF(AD$3="","",IF(COUNTIFS(BD!$A$3:$A$5001,AD$3,BD!$B$3:$B$5001,$A$351,BD!$W$3:$W$5001,"&lt;&gt;")=0,"",SUMIFS(BD!$W$3:$W$5001,BD!$A$3:$A$5001,AD$3,BD!$B$3:$B$5001,$A$351)))</f>
        <v/>
      </c>
      <c r="AE372" s="251" t="str">
        <f>IF(AE$3="","",IF(COUNTIFS(BD!$A$3:$A$5001,AE$3,BD!$B$3:$B$5001,$A$351,BD!$W$3:$W$5001,"&lt;&gt;")=0,"",SUMIFS(BD!$W$3:$W$5001,BD!$A$3:$A$5001,AE$3,BD!$B$3:$B$5001,$A$351)))</f>
        <v/>
      </c>
      <c r="AF372" s="251" t="str">
        <f>IF(AF$3="","",IF(COUNTIFS(BD!$A$3:$A$5001,AF$3,BD!$B$3:$B$5001,$A$351,BD!$W$3:$W$5001,"&lt;&gt;")=0,"",SUMIFS(BD!$W$3:$W$5001,BD!$A$3:$A$5001,AF$3,BD!$B$3:$B$5001,$A$351)))</f>
        <v/>
      </c>
      <c r="AG372" s="251" t="str">
        <f>IF(AG$3="","",IF(COUNTIFS(BD!$A$3:$A$5001,AG$3,BD!$B$3:$B$5001,$A$351,BD!$W$3:$W$5001,"&lt;&gt;")=0,"",SUMIFS(BD!$W$3:$W$5001,BD!$A$3:$A$5001,AG$3,BD!$B$3:$B$5001,$A$351)))</f>
        <v/>
      </c>
      <c r="AH372" s="251" t="str">
        <f>IF(AH$3="","",IF(COUNTIFS(BD!$A$3:$A$5001,AH$3,BD!$B$3:$B$5001,$A$351,BD!$W$3:$W$5001,"&lt;&gt;")=0,"",SUMIFS(BD!$W$3:$W$5001,BD!$A$3:$A$5001,AH$3,BD!$B$3:$B$5001,$A$351)))</f>
        <v/>
      </c>
      <c r="AI372" s="251" t="str">
        <f>IF(AI$3="","",IF(COUNTIFS(BD!$A$3:$A$5001,AI$3,BD!$B$3:$B$5001,$A$351,BD!$W$3:$W$5001,"&lt;&gt;")=0,"",SUMIFS(BD!$W$3:$W$5001,BD!$A$3:$A$5001,AI$3,BD!$B$3:$B$5001,$A$351)))</f>
        <v/>
      </c>
      <c r="AJ372" s="252" t="str">
        <f>IF(AJ$3="","",IF(COUNTIFS(BD!$A$3:$A$5001,AJ$3,BD!$B$3:$B$5001,$A$351,BD!$W$3:$W$5001,"&lt;&gt;")=0,"",SUMIFS(BD!$W$3:$W$5001,BD!$A$3:$A$5001,AJ$3,BD!$B$3:$B$5001,$A$351)))</f>
        <v/>
      </c>
      <c r="AK372" s="253" t="str">
        <f>IF(COUNT(F372:AJ372)=0,"",SUM(F372:AJ372))</f>
        <v/>
      </c>
    </row>
    <row r="373" ht="15.75" customHeight="1" hidden="1">
      <c r="A373" s="277"/>
      <c r="B373" s="274"/>
      <c r="C373" s="247" t="inlineStr">
        <is>
          <t xml:space="preserve">Férias</t>
        </is>
      </c>
      <c r="D373" s="248" t="str">
        <f>IFERROR(1/(1/INDEX(BD!$AF$45:$AZ$45,MATCH($A$351,BD!$AF$22:$AZ$22,0))),"")</f>
        <v/>
      </c>
      <c r="E373" s="249"/>
      <c r="F373" s="250" t="str">
        <f>IF(F$3="","",IF(COUNTIFS(BD!$A$3:$A$5001,F$3,BD!$B$3:$B$5001,$A$351,BD!$X$3:$X$5001,"&lt;&gt;")=0,"",SUMIFS(BD!$X$3:$X$5001,BD!$A$3:$A$5001,F$3,BD!$B$3:$B$5001,$A$351)))</f>
        <v/>
      </c>
      <c r="G373" s="251" t="str">
        <f>IF(G$3="","",IF(COUNTIFS(BD!$A$3:$A$5001,G$3,BD!$B$3:$B$5001,$A$351,BD!$X$3:$X$5001,"&lt;&gt;")=0,"",SUMIFS(BD!$X$3:$X$5001,BD!$A$3:$A$5001,G$3,BD!$B$3:$B$5001,$A$351)))</f>
        <v/>
      </c>
      <c r="H373" s="251" t="str">
        <f>IF(H$3="","",IF(COUNTIFS(BD!$A$3:$A$5001,H$3,BD!$B$3:$B$5001,$A$351,BD!$X$3:$X$5001,"&lt;&gt;")=0,"",SUMIFS(BD!$X$3:$X$5001,BD!$A$3:$A$5001,H$3,BD!$B$3:$B$5001,$A$351)))</f>
        <v/>
      </c>
      <c r="I373" s="251" t="str">
        <f>IF(I$3="","",IF(COUNTIFS(BD!$A$3:$A$5001,I$3,BD!$B$3:$B$5001,$A$351,BD!$X$3:$X$5001,"&lt;&gt;")=0,"",SUMIFS(BD!$X$3:$X$5001,BD!$A$3:$A$5001,I$3,BD!$B$3:$B$5001,$A$351)))</f>
        <v/>
      </c>
      <c r="J373" s="251" t="str">
        <f>IF(J$3="","",IF(COUNTIFS(BD!$A$3:$A$5001,J$3,BD!$B$3:$B$5001,$A$351,BD!$X$3:$X$5001,"&lt;&gt;")=0,"",SUMIFS(BD!$X$3:$X$5001,BD!$A$3:$A$5001,J$3,BD!$B$3:$B$5001,$A$351)))</f>
        <v/>
      </c>
      <c r="K373" s="251" t="str">
        <f>IF(K$3="","",IF(COUNTIFS(BD!$A$3:$A$5001,K$3,BD!$B$3:$B$5001,$A$351,BD!$X$3:$X$5001,"&lt;&gt;")=0,"",SUMIFS(BD!$X$3:$X$5001,BD!$A$3:$A$5001,K$3,BD!$B$3:$B$5001,$A$351)))</f>
        <v/>
      </c>
      <c r="L373" s="251" t="str">
        <f>IF(L$3="","",IF(COUNTIFS(BD!$A$3:$A$5001,L$3,BD!$B$3:$B$5001,$A$351,BD!$X$3:$X$5001,"&lt;&gt;")=0,"",SUMIFS(BD!$X$3:$X$5001,BD!$A$3:$A$5001,L$3,BD!$B$3:$B$5001,$A$351)))</f>
        <v/>
      </c>
      <c r="M373" s="251" t="str">
        <f>IF(M$3="","",IF(COUNTIFS(BD!$A$3:$A$5001,M$3,BD!$B$3:$B$5001,$A$351,BD!$X$3:$X$5001,"&lt;&gt;")=0,"",SUMIFS(BD!$X$3:$X$5001,BD!$A$3:$A$5001,M$3,BD!$B$3:$B$5001,$A$351)))</f>
        <v/>
      </c>
      <c r="N373" s="251" t="str">
        <f>IF(N$3="","",IF(COUNTIFS(BD!$A$3:$A$5001,N$3,BD!$B$3:$B$5001,$A$351,BD!$X$3:$X$5001,"&lt;&gt;")=0,"",SUMIFS(BD!$X$3:$X$5001,BD!$A$3:$A$5001,N$3,BD!$B$3:$B$5001,$A$351)))</f>
        <v/>
      </c>
      <c r="O373" s="251" t="str">
        <f>IF(O$3="","",IF(COUNTIFS(BD!$A$3:$A$5001,O$3,BD!$B$3:$B$5001,$A$351,BD!$X$3:$X$5001,"&lt;&gt;")=0,"",SUMIFS(BD!$X$3:$X$5001,BD!$A$3:$A$5001,O$3,BD!$B$3:$B$5001,$A$351)))</f>
        <v/>
      </c>
      <c r="P373" s="251" t="str">
        <f>IF(P$3="","",IF(COUNTIFS(BD!$A$3:$A$5001,P$3,BD!$B$3:$B$5001,$A$351,BD!$X$3:$X$5001,"&lt;&gt;")=0,"",SUMIFS(BD!$X$3:$X$5001,BD!$A$3:$A$5001,P$3,BD!$B$3:$B$5001,$A$351)))</f>
        <v/>
      </c>
      <c r="Q373" s="251" t="str">
        <f>IF(Q$3="","",IF(COUNTIFS(BD!$A$3:$A$5001,Q$3,BD!$B$3:$B$5001,$A$351,BD!$X$3:$X$5001,"&lt;&gt;")=0,"",SUMIFS(BD!$X$3:$X$5001,BD!$A$3:$A$5001,Q$3,BD!$B$3:$B$5001,$A$351)))</f>
        <v/>
      </c>
      <c r="R373" s="251" t="str">
        <f>IF(R$3="","",IF(COUNTIFS(BD!$A$3:$A$5001,R$3,BD!$B$3:$B$5001,$A$351,BD!$X$3:$X$5001,"&lt;&gt;")=0,"",SUMIFS(BD!$X$3:$X$5001,BD!$A$3:$A$5001,R$3,BD!$B$3:$B$5001,$A$351)))</f>
        <v/>
      </c>
      <c r="S373" s="251" t="str">
        <f>IF(S$3="","",IF(COUNTIFS(BD!$A$3:$A$5001,S$3,BD!$B$3:$B$5001,$A$351,BD!$X$3:$X$5001,"&lt;&gt;")=0,"",SUMIFS(BD!$X$3:$X$5001,BD!$A$3:$A$5001,S$3,BD!$B$3:$B$5001,$A$351)))</f>
        <v/>
      </c>
      <c r="T373" s="251" t="str">
        <f>IF(T$3="","",IF(COUNTIFS(BD!$A$3:$A$5001,T$3,BD!$B$3:$B$5001,$A$351,BD!$X$3:$X$5001,"&lt;&gt;")=0,"",SUMIFS(BD!$X$3:$X$5001,BD!$A$3:$A$5001,T$3,BD!$B$3:$B$5001,$A$351)))</f>
        <v/>
      </c>
      <c r="U373" s="251" t="str">
        <f>IF(U$3="","",IF(COUNTIFS(BD!$A$3:$A$5001,U$3,BD!$B$3:$B$5001,$A$351,BD!$X$3:$X$5001,"&lt;&gt;")=0,"",SUMIFS(BD!$X$3:$X$5001,BD!$A$3:$A$5001,U$3,BD!$B$3:$B$5001,$A$351)))</f>
        <v/>
      </c>
      <c r="V373" s="251" t="str">
        <f>IF(V$3="","",IF(COUNTIFS(BD!$A$3:$A$5001,V$3,BD!$B$3:$B$5001,$A$351,BD!$X$3:$X$5001,"&lt;&gt;")=0,"",SUMIFS(BD!$X$3:$X$5001,BD!$A$3:$A$5001,V$3,BD!$B$3:$B$5001,$A$351)))</f>
        <v/>
      </c>
      <c r="W373" s="251" t="str">
        <f>IF(W$3="","",IF(COUNTIFS(BD!$A$3:$A$5001,W$3,BD!$B$3:$B$5001,$A$351,BD!$X$3:$X$5001,"&lt;&gt;")=0,"",SUMIFS(BD!$X$3:$X$5001,BD!$A$3:$A$5001,W$3,BD!$B$3:$B$5001,$A$351)))</f>
        <v/>
      </c>
      <c r="X373" s="251" t="str">
        <f>IF(X$3="","",IF(COUNTIFS(BD!$A$3:$A$5001,X$3,BD!$B$3:$B$5001,$A$351,BD!$X$3:$X$5001,"&lt;&gt;")=0,"",SUMIFS(BD!$X$3:$X$5001,BD!$A$3:$A$5001,X$3,BD!$B$3:$B$5001,$A$351)))</f>
        <v/>
      </c>
      <c r="Y373" s="251" t="str">
        <f>IF(Y$3="","",IF(COUNTIFS(BD!$A$3:$A$5001,Y$3,BD!$B$3:$B$5001,$A$351,BD!$X$3:$X$5001,"&lt;&gt;")=0,"",SUMIFS(BD!$X$3:$X$5001,BD!$A$3:$A$5001,Y$3,BD!$B$3:$B$5001,$A$351)))</f>
        <v/>
      </c>
      <c r="Z373" s="251" t="str">
        <f>IF(Z$3="","",IF(COUNTIFS(BD!$A$3:$A$5001,Z$3,BD!$B$3:$B$5001,$A$351,BD!$X$3:$X$5001,"&lt;&gt;")=0,"",SUMIFS(BD!$X$3:$X$5001,BD!$A$3:$A$5001,Z$3,BD!$B$3:$B$5001,$A$351)))</f>
        <v/>
      </c>
      <c r="AA373" s="251" t="str">
        <f>IF(AA$3="","",IF(COUNTIFS(BD!$A$3:$A$5001,AA$3,BD!$B$3:$B$5001,$A$351,BD!$X$3:$X$5001,"&lt;&gt;")=0,"",SUMIFS(BD!$X$3:$X$5001,BD!$A$3:$A$5001,AA$3,BD!$B$3:$B$5001,$A$351)))</f>
        <v/>
      </c>
      <c r="AB373" s="251" t="str">
        <f>IF(AB$3="","",IF(COUNTIFS(BD!$A$3:$A$5001,AB$3,BD!$B$3:$B$5001,$A$351,BD!$X$3:$X$5001,"&lt;&gt;")=0,"",SUMIFS(BD!$X$3:$X$5001,BD!$A$3:$A$5001,AB$3,BD!$B$3:$B$5001,$A$351)))</f>
        <v/>
      </c>
      <c r="AC373" s="251" t="str">
        <f>IF(AC$3="","",IF(COUNTIFS(BD!$A$3:$A$5001,AC$3,BD!$B$3:$B$5001,$A$351,BD!$X$3:$X$5001,"&lt;&gt;")=0,"",SUMIFS(BD!$X$3:$X$5001,BD!$A$3:$A$5001,AC$3,BD!$B$3:$B$5001,$A$351)))</f>
        <v/>
      </c>
      <c r="AD373" s="251" t="str">
        <f>IF(AD$3="","",IF(COUNTIFS(BD!$A$3:$A$5001,AD$3,BD!$B$3:$B$5001,$A$351,BD!$X$3:$X$5001,"&lt;&gt;")=0,"",SUMIFS(BD!$X$3:$X$5001,BD!$A$3:$A$5001,AD$3,BD!$B$3:$B$5001,$A$351)))</f>
        <v/>
      </c>
      <c r="AE373" s="251" t="str">
        <f>IF(AE$3="","",IF(COUNTIFS(BD!$A$3:$A$5001,AE$3,BD!$B$3:$B$5001,$A$351,BD!$X$3:$X$5001,"&lt;&gt;")=0,"",SUMIFS(BD!$X$3:$X$5001,BD!$A$3:$A$5001,AE$3,BD!$B$3:$B$5001,$A$351)))</f>
        <v/>
      </c>
      <c r="AF373" s="251" t="str">
        <f>IF(AF$3="","",IF(COUNTIFS(BD!$A$3:$A$5001,AF$3,BD!$B$3:$B$5001,$A$351,BD!$X$3:$X$5001,"&lt;&gt;")=0,"",SUMIFS(BD!$X$3:$X$5001,BD!$A$3:$A$5001,AF$3,BD!$B$3:$B$5001,$A$351)))</f>
        <v/>
      </c>
      <c r="AG373" s="251" t="str">
        <f>IF(AG$3="","",IF(COUNTIFS(BD!$A$3:$A$5001,AG$3,BD!$B$3:$B$5001,$A$351,BD!$X$3:$X$5001,"&lt;&gt;")=0,"",SUMIFS(BD!$X$3:$X$5001,BD!$A$3:$A$5001,AG$3,BD!$B$3:$B$5001,$A$351)))</f>
        <v/>
      </c>
      <c r="AH373" s="251" t="str">
        <f>IF(AH$3="","",IF(COUNTIFS(BD!$A$3:$A$5001,AH$3,BD!$B$3:$B$5001,$A$351,BD!$X$3:$X$5001,"&lt;&gt;")=0,"",SUMIFS(BD!$X$3:$X$5001,BD!$A$3:$A$5001,AH$3,BD!$B$3:$B$5001,$A$351)))</f>
        <v/>
      </c>
      <c r="AI373" s="251" t="str">
        <f>IF(AI$3="","",IF(COUNTIFS(BD!$A$3:$A$5001,AI$3,BD!$B$3:$B$5001,$A$351,BD!$X$3:$X$5001,"&lt;&gt;")=0,"",SUMIFS(BD!$X$3:$X$5001,BD!$A$3:$A$5001,AI$3,BD!$B$3:$B$5001,$A$351)))</f>
        <v/>
      </c>
      <c r="AJ373" s="252" t="str">
        <f>IF(AJ$3="","",IF(COUNTIFS(BD!$A$3:$A$5001,AJ$3,BD!$B$3:$B$5001,$A$351,BD!$X$3:$X$5001,"&lt;&gt;")=0,"",SUMIFS(BD!$X$3:$X$5001,BD!$A$3:$A$5001,AJ$3,BD!$B$3:$B$5001,$A$351)))</f>
        <v/>
      </c>
      <c r="AK373" s="253" t="str">
        <f>IF(COUNT(F373:AJ373)=0,"",SUM(F373:AJ373))</f>
        <v/>
      </c>
    </row>
    <row r="374" ht="15.75" customHeight="1" hidden="1">
      <c r="A374" s="277"/>
      <c r="B374" s="274"/>
      <c r="C374" s="247" t="inlineStr">
        <is>
          <t xml:space="preserve">Desligamento</t>
        </is>
      </c>
      <c r="D374" s="248" t="str">
        <f>IFERROR(1/(1/INDEX(BD!$AF$46:$AZ$46,MATCH($A$351,BD!$AF$22:$AZ$22,0))),"")</f>
        <v/>
      </c>
      <c r="E374" s="249"/>
      <c r="F374" s="250" t="str">
        <f>IF(F$3="","",IF(COUNTIFS(BD!$A$3:$A$5001,F$3,BD!$B$3:$B$5001,$A$351,BD!$Y$3:$Y$5001,"&lt;&gt;")=0,"",SUMIFS(BD!$Y$3:$Y$5001,BD!$A$3:$A$5001,F$3,BD!$B$3:$B$5001,$A$351)))</f>
        <v/>
      </c>
      <c r="G374" s="251" t="str">
        <f>IF(G$3="","",IF(COUNTIFS(BD!$A$3:$A$5001,G$3,BD!$B$3:$B$5001,$A$351,BD!$Y$3:$Y$5001,"&lt;&gt;")=0,"",SUMIFS(BD!$Y$3:$Y$5001,BD!$A$3:$A$5001,G$3,BD!$B$3:$B$5001,$A$351)))</f>
        <v/>
      </c>
      <c r="H374" s="251" t="str">
        <f>IF(H$3="","",IF(COUNTIFS(BD!$A$3:$A$5001,H$3,BD!$B$3:$B$5001,$A$351,BD!$Y$3:$Y$5001,"&lt;&gt;")=0,"",SUMIFS(BD!$Y$3:$Y$5001,BD!$A$3:$A$5001,H$3,BD!$B$3:$B$5001,$A$351)))</f>
        <v/>
      </c>
      <c r="I374" s="251" t="str">
        <f>IF(I$3="","",IF(COUNTIFS(BD!$A$3:$A$5001,I$3,BD!$B$3:$B$5001,$A$351,BD!$Y$3:$Y$5001,"&lt;&gt;")=0,"",SUMIFS(BD!$Y$3:$Y$5001,BD!$A$3:$A$5001,I$3,BD!$B$3:$B$5001,$A$351)))</f>
        <v/>
      </c>
      <c r="J374" s="251" t="str">
        <f>IF(J$3="","",IF(COUNTIFS(BD!$A$3:$A$5001,J$3,BD!$B$3:$B$5001,$A$351,BD!$Y$3:$Y$5001,"&lt;&gt;")=0,"",SUMIFS(BD!$Y$3:$Y$5001,BD!$A$3:$A$5001,J$3,BD!$B$3:$B$5001,$A$351)))</f>
        <v/>
      </c>
      <c r="K374" s="251" t="str">
        <f>IF(K$3="","",IF(COUNTIFS(BD!$A$3:$A$5001,K$3,BD!$B$3:$B$5001,$A$351,BD!$Y$3:$Y$5001,"&lt;&gt;")=0,"",SUMIFS(BD!$Y$3:$Y$5001,BD!$A$3:$A$5001,K$3,BD!$B$3:$B$5001,$A$351)))</f>
        <v/>
      </c>
      <c r="L374" s="251" t="str">
        <f>IF(L$3="","",IF(COUNTIFS(BD!$A$3:$A$5001,L$3,BD!$B$3:$B$5001,$A$351,BD!$Y$3:$Y$5001,"&lt;&gt;")=0,"",SUMIFS(BD!$Y$3:$Y$5001,BD!$A$3:$A$5001,L$3,BD!$B$3:$B$5001,$A$351)))</f>
        <v/>
      </c>
      <c r="M374" s="251" t="str">
        <f>IF(M$3="","",IF(COUNTIFS(BD!$A$3:$A$5001,M$3,BD!$B$3:$B$5001,$A$351,BD!$Y$3:$Y$5001,"&lt;&gt;")=0,"",SUMIFS(BD!$Y$3:$Y$5001,BD!$A$3:$A$5001,M$3,BD!$B$3:$B$5001,$A$351)))</f>
        <v/>
      </c>
      <c r="N374" s="251" t="str">
        <f>IF(N$3="","",IF(COUNTIFS(BD!$A$3:$A$5001,N$3,BD!$B$3:$B$5001,$A$351,BD!$Y$3:$Y$5001,"&lt;&gt;")=0,"",SUMIFS(BD!$Y$3:$Y$5001,BD!$A$3:$A$5001,N$3,BD!$B$3:$B$5001,$A$351)))</f>
        <v/>
      </c>
      <c r="O374" s="251" t="str">
        <f>IF(O$3="","",IF(COUNTIFS(BD!$A$3:$A$5001,O$3,BD!$B$3:$B$5001,$A$351,BD!$Y$3:$Y$5001,"&lt;&gt;")=0,"",SUMIFS(BD!$Y$3:$Y$5001,BD!$A$3:$A$5001,O$3,BD!$B$3:$B$5001,$A$351)))</f>
        <v/>
      </c>
      <c r="P374" s="251" t="str">
        <f>IF(P$3="","",IF(COUNTIFS(BD!$A$3:$A$5001,P$3,BD!$B$3:$B$5001,$A$351,BD!$Y$3:$Y$5001,"&lt;&gt;")=0,"",SUMIFS(BD!$Y$3:$Y$5001,BD!$A$3:$A$5001,P$3,BD!$B$3:$B$5001,$A$351)))</f>
        <v/>
      </c>
      <c r="Q374" s="251" t="str">
        <f>IF(Q$3="","",IF(COUNTIFS(BD!$A$3:$A$5001,Q$3,BD!$B$3:$B$5001,$A$351,BD!$Y$3:$Y$5001,"&lt;&gt;")=0,"",SUMIFS(BD!$Y$3:$Y$5001,BD!$A$3:$A$5001,Q$3,BD!$B$3:$B$5001,$A$351)))</f>
        <v/>
      </c>
      <c r="R374" s="251" t="str">
        <f>IF(R$3="","",IF(COUNTIFS(BD!$A$3:$A$5001,R$3,BD!$B$3:$B$5001,$A$351,BD!$Y$3:$Y$5001,"&lt;&gt;")=0,"",SUMIFS(BD!$Y$3:$Y$5001,BD!$A$3:$A$5001,R$3,BD!$B$3:$B$5001,$A$351)))</f>
        <v/>
      </c>
      <c r="S374" s="251" t="str">
        <f>IF(S$3="","",IF(COUNTIFS(BD!$A$3:$A$5001,S$3,BD!$B$3:$B$5001,$A$351,BD!$Y$3:$Y$5001,"&lt;&gt;")=0,"",SUMIFS(BD!$Y$3:$Y$5001,BD!$A$3:$A$5001,S$3,BD!$B$3:$B$5001,$A$351)))</f>
        <v/>
      </c>
      <c r="T374" s="251" t="str">
        <f>IF(T$3="","",IF(COUNTIFS(BD!$A$3:$A$5001,T$3,BD!$B$3:$B$5001,$A$351,BD!$Y$3:$Y$5001,"&lt;&gt;")=0,"",SUMIFS(BD!$Y$3:$Y$5001,BD!$A$3:$A$5001,T$3,BD!$B$3:$B$5001,$A$351)))</f>
        <v/>
      </c>
      <c r="U374" s="251" t="str">
        <f>IF(U$3="","",IF(COUNTIFS(BD!$A$3:$A$5001,U$3,BD!$B$3:$B$5001,$A$351,BD!$Y$3:$Y$5001,"&lt;&gt;")=0,"",SUMIFS(BD!$Y$3:$Y$5001,BD!$A$3:$A$5001,U$3,BD!$B$3:$B$5001,$A$351)))</f>
        <v/>
      </c>
      <c r="V374" s="251" t="str">
        <f>IF(V$3="","",IF(COUNTIFS(BD!$A$3:$A$5001,V$3,BD!$B$3:$B$5001,$A$351,BD!$Y$3:$Y$5001,"&lt;&gt;")=0,"",SUMIFS(BD!$Y$3:$Y$5001,BD!$A$3:$A$5001,V$3,BD!$B$3:$B$5001,$A$351)))</f>
        <v/>
      </c>
      <c r="W374" s="251" t="str">
        <f>IF(W$3="","",IF(COUNTIFS(BD!$A$3:$A$5001,W$3,BD!$B$3:$B$5001,$A$351,BD!$Y$3:$Y$5001,"&lt;&gt;")=0,"",SUMIFS(BD!$Y$3:$Y$5001,BD!$A$3:$A$5001,W$3,BD!$B$3:$B$5001,$A$351)))</f>
        <v/>
      </c>
      <c r="X374" s="251" t="str">
        <f>IF(X$3="","",IF(COUNTIFS(BD!$A$3:$A$5001,X$3,BD!$B$3:$B$5001,$A$351,BD!$Y$3:$Y$5001,"&lt;&gt;")=0,"",SUMIFS(BD!$Y$3:$Y$5001,BD!$A$3:$A$5001,X$3,BD!$B$3:$B$5001,$A$351)))</f>
        <v/>
      </c>
      <c r="Y374" s="251" t="str">
        <f>IF(Y$3="","",IF(COUNTIFS(BD!$A$3:$A$5001,Y$3,BD!$B$3:$B$5001,$A$351,BD!$Y$3:$Y$5001,"&lt;&gt;")=0,"",SUMIFS(BD!$Y$3:$Y$5001,BD!$A$3:$A$5001,Y$3,BD!$B$3:$B$5001,$A$351)))</f>
        <v/>
      </c>
      <c r="Z374" s="251" t="str">
        <f>IF(Z$3="","",IF(COUNTIFS(BD!$A$3:$A$5001,Z$3,BD!$B$3:$B$5001,$A$351,BD!$Y$3:$Y$5001,"&lt;&gt;")=0,"",SUMIFS(BD!$Y$3:$Y$5001,BD!$A$3:$A$5001,Z$3,BD!$B$3:$B$5001,$A$351)))</f>
        <v/>
      </c>
      <c r="AA374" s="251" t="str">
        <f>IF(AA$3="","",IF(COUNTIFS(BD!$A$3:$A$5001,AA$3,BD!$B$3:$B$5001,$A$351,BD!$Y$3:$Y$5001,"&lt;&gt;")=0,"",SUMIFS(BD!$Y$3:$Y$5001,BD!$A$3:$A$5001,AA$3,BD!$B$3:$B$5001,$A$351)))</f>
        <v/>
      </c>
      <c r="AB374" s="251" t="str">
        <f>IF(AB$3="","",IF(COUNTIFS(BD!$A$3:$A$5001,AB$3,BD!$B$3:$B$5001,$A$351,BD!$Y$3:$Y$5001,"&lt;&gt;")=0,"",SUMIFS(BD!$Y$3:$Y$5001,BD!$A$3:$A$5001,AB$3,BD!$B$3:$B$5001,$A$351)))</f>
        <v/>
      </c>
      <c r="AC374" s="251" t="str">
        <f>IF(AC$3="","",IF(COUNTIFS(BD!$A$3:$A$5001,AC$3,BD!$B$3:$B$5001,$A$351,BD!$Y$3:$Y$5001,"&lt;&gt;")=0,"",SUMIFS(BD!$Y$3:$Y$5001,BD!$A$3:$A$5001,AC$3,BD!$B$3:$B$5001,$A$351)))</f>
        <v/>
      </c>
      <c r="AD374" s="251" t="str">
        <f>IF(AD$3="","",IF(COUNTIFS(BD!$A$3:$A$5001,AD$3,BD!$B$3:$B$5001,$A$351,BD!$Y$3:$Y$5001,"&lt;&gt;")=0,"",SUMIFS(BD!$Y$3:$Y$5001,BD!$A$3:$A$5001,AD$3,BD!$B$3:$B$5001,$A$351)))</f>
        <v/>
      </c>
      <c r="AE374" s="251" t="str">
        <f>IF(AE$3="","",IF(COUNTIFS(BD!$A$3:$A$5001,AE$3,BD!$B$3:$B$5001,$A$351,BD!$Y$3:$Y$5001,"&lt;&gt;")=0,"",SUMIFS(BD!$Y$3:$Y$5001,BD!$A$3:$A$5001,AE$3,BD!$B$3:$B$5001,$A$351)))</f>
        <v/>
      </c>
      <c r="AF374" s="251" t="str">
        <f>IF(AF$3="","",IF(COUNTIFS(BD!$A$3:$A$5001,AF$3,BD!$B$3:$B$5001,$A$351,BD!$Y$3:$Y$5001,"&lt;&gt;")=0,"",SUMIFS(BD!$Y$3:$Y$5001,BD!$A$3:$A$5001,AF$3,BD!$B$3:$B$5001,$A$351)))</f>
        <v/>
      </c>
      <c r="AG374" s="251" t="str">
        <f>IF(AG$3="","",IF(COUNTIFS(BD!$A$3:$A$5001,AG$3,BD!$B$3:$B$5001,$A$351,BD!$Y$3:$Y$5001,"&lt;&gt;")=0,"",SUMIFS(BD!$Y$3:$Y$5001,BD!$A$3:$A$5001,AG$3,BD!$B$3:$B$5001,$A$351)))</f>
        <v/>
      </c>
      <c r="AH374" s="251" t="str">
        <f>IF(AH$3="","",IF(COUNTIFS(BD!$A$3:$A$5001,AH$3,BD!$B$3:$B$5001,$A$351,BD!$Y$3:$Y$5001,"&lt;&gt;")=0,"",SUMIFS(BD!$Y$3:$Y$5001,BD!$A$3:$A$5001,AH$3,BD!$B$3:$B$5001,$A$351)))</f>
        <v/>
      </c>
      <c r="AI374" s="251" t="str">
        <f>IF(AI$3="","",IF(COUNTIFS(BD!$A$3:$A$5001,AI$3,BD!$B$3:$B$5001,$A$351,BD!$Y$3:$Y$5001,"&lt;&gt;")=0,"",SUMIFS(BD!$Y$3:$Y$5001,BD!$A$3:$A$5001,AI$3,BD!$B$3:$B$5001,$A$351)))</f>
        <v/>
      </c>
      <c r="AJ374" s="252" t="str">
        <f>IF(AJ$3="","",IF(COUNTIFS(BD!$A$3:$A$5001,AJ$3,BD!$B$3:$B$5001,$A$351,BD!$Y$3:$Y$5001,"&lt;&gt;")=0,"",SUMIFS(BD!$Y$3:$Y$5001,BD!$A$3:$A$5001,AJ$3,BD!$B$3:$B$5001,$A$351)))</f>
        <v/>
      </c>
      <c r="AK374" s="253" t="str">
        <f>IF(COUNT(F374:AJ374)=0,"",SUM(F374:AJ374))</f>
        <v/>
      </c>
    </row>
    <row r="375" ht="15.75" customHeight="1" hidden="1">
      <c r="A375" s="277"/>
      <c r="B375" s="274"/>
      <c r="C375" s="247" t="inlineStr">
        <is>
          <t xml:space="preserve">Desvios Comportamentais</t>
        </is>
      </c>
      <c r="D375" s="248" t="str">
        <f>IFERROR(1/(1/INDEX(BD!$AF$47:$AZ$47,MATCH($A$351,BD!$AF$22:$AZ$22,0))),"")</f>
        <v/>
      </c>
      <c r="E375" s="249"/>
      <c r="F375" s="250" t="str">
        <f>IF(F$3="","",IF(COUNTIFS(BD!$A$3:$A$5001,F$3,BD!$B$3:$B$5001,$A$351,BD!$Z$3:$Z$5001,"&lt;&gt;")=0,"",SUMIFS(BD!$Z$3:$Z$5001,BD!$A$3:$A$5001,F$3,BD!$B$3:$B$5001,$A$351)))</f>
        <v/>
      </c>
      <c r="G375" s="251" t="str">
        <f>IF(G$3="","",IF(COUNTIFS(BD!$A$3:$A$5001,G$3,BD!$B$3:$B$5001,$A$351,BD!$Z$3:$Z$5001,"&lt;&gt;")=0,"",SUMIFS(BD!$Z$3:$Z$5001,BD!$A$3:$A$5001,G$3,BD!$B$3:$B$5001,$A$351)))</f>
        <v/>
      </c>
      <c r="H375" s="251" t="str">
        <f>IF(H$3="","",IF(COUNTIFS(BD!$A$3:$A$5001,H$3,BD!$B$3:$B$5001,$A$351,BD!$Z$3:$Z$5001,"&lt;&gt;")=0,"",SUMIFS(BD!$Z$3:$Z$5001,BD!$A$3:$A$5001,H$3,BD!$B$3:$B$5001,$A$351)))</f>
        <v/>
      </c>
      <c r="I375" s="251" t="str">
        <f>IF(I$3="","",IF(COUNTIFS(BD!$A$3:$A$5001,I$3,BD!$B$3:$B$5001,$A$351,BD!$Z$3:$Z$5001,"&lt;&gt;")=0,"",SUMIFS(BD!$Z$3:$Z$5001,BD!$A$3:$A$5001,I$3,BD!$B$3:$B$5001,$A$351)))</f>
        <v/>
      </c>
      <c r="J375" s="251" t="str">
        <f>IF(J$3="","",IF(COUNTIFS(BD!$A$3:$A$5001,J$3,BD!$B$3:$B$5001,$A$351,BD!$Z$3:$Z$5001,"&lt;&gt;")=0,"",SUMIFS(BD!$Z$3:$Z$5001,BD!$A$3:$A$5001,J$3,BD!$B$3:$B$5001,$A$351)))</f>
        <v/>
      </c>
      <c r="K375" s="251" t="str">
        <f>IF(K$3="","",IF(COUNTIFS(BD!$A$3:$A$5001,K$3,BD!$B$3:$B$5001,$A$351,BD!$Z$3:$Z$5001,"&lt;&gt;")=0,"",SUMIFS(BD!$Z$3:$Z$5001,BD!$A$3:$A$5001,K$3,BD!$B$3:$B$5001,$A$351)))</f>
        <v/>
      </c>
      <c r="L375" s="251" t="str">
        <f>IF(L$3="","",IF(COUNTIFS(BD!$A$3:$A$5001,L$3,BD!$B$3:$B$5001,$A$351,BD!$Z$3:$Z$5001,"&lt;&gt;")=0,"",SUMIFS(BD!$Z$3:$Z$5001,BD!$A$3:$A$5001,L$3,BD!$B$3:$B$5001,$A$351)))</f>
        <v/>
      </c>
      <c r="M375" s="251" t="str">
        <f>IF(M$3="","",IF(COUNTIFS(BD!$A$3:$A$5001,M$3,BD!$B$3:$B$5001,$A$351,BD!$Z$3:$Z$5001,"&lt;&gt;")=0,"",SUMIFS(BD!$Z$3:$Z$5001,BD!$A$3:$A$5001,M$3,BD!$B$3:$B$5001,$A$351)))</f>
        <v/>
      </c>
      <c r="N375" s="251" t="str">
        <f>IF(N$3="","",IF(COUNTIFS(BD!$A$3:$A$5001,N$3,BD!$B$3:$B$5001,$A$351,BD!$Z$3:$Z$5001,"&lt;&gt;")=0,"",SUMIFS(BD!$Z$3:$Z$5001,BD!$A$3:$A$5001,N$3,BD!$B$3:$B$5001,$A$351)))</f>
        <v/>
      </c>
      <c r="O375" s="251" t="str">
        <f>IF(O$3="","",IF(COUNTIFS(BD!$A$3:$A$5001,O$3,BD!$B$3:$B$5001,$A$351,BD!$Z$3:$Z$5001,"&lt;&gt;")=0,"",SUMIFS(BD!$Z$3:$Z$5001,BD!$A$3:$A$5001,O$3,BD!$B$3:$B$5001,$A$351)))</f>
        <v/>
      </c>
      <c r="P375" s="251" t="str">
        <f>IF(P$3="","",IF(COUNTIFS(BD!$A$3:$A$5001,P$3,BD!$B$3:$B$5001,$A$351,BD!$Z$3:$Z$5001,"&lt;&gt;")=0,"",SUMIFS(BD!$Z$3:$Z$5001,BD!$A$3:$A$5001,P$3,BD!$B$3:$B$5001,$A$351)))</f>
        <v/>
      </c>
      <c r="Q375" s="251" t="str">
        <f>IF(Q$3="","",IF(COUNTIFS(BD!$A$3:$A$5001,Q$3,BD!$B$3:$B$5001,$A$351,BD!$Z$3:$Z$5001,"&lt;&gt;")=0,"",SUMIFS(BD!$Z$3:$Z$5001,BD!$A$3:$A$5001,Q$3,BD!$B$3:$B$5001,$A$351)))</f>
        <v/>
      </c>
      <c r="R375" s="251" t="str">
        <f>IF(R$3="","",IF(COUNTIFS(BD!$A$3:$A$5001,R$3,BD!$B$3:$B$5001,$A$351,BD!$Z$3:$Z$5001,"&lt;&gt;")=0,"",SUMIFS(BD!$Z$3:$Z$5001,BD!$A$3:$A$5001,R$3,BD!$B$3:$B$5001,$A$351)))</f>
        <v/>
      </c>
      <c r="S375" s="251" t="str">
        <f>IF(S$3="","",IF(COUNTIFS(BD!$A$3:$A$5001,S$3,BD!$B$3:$B$5001,$A$351,BD!$Z$3:$Z$5001,"&lt;&gt;")=0,"",SUMIFS(BD!$Z$3:$Z$5001,BD!$A$3:$A$5001,S$3,BD!$B$3:$B$5001,$A$351)))</f>
        <v/>
      </c>
      <c r="T375" s="251" t="str">
        <f>IF(T$3="","",IF(COUNTIFS(BD!$A$3:$A$5001,T$3,BD!$B$3:$B$5001,$A$351,BD!$Z$3:$Z$5001,"&lt;&gt;")=0,"",SUMIFS(BD!$Z$3:$Z$5001,BD!$A$3:$A$5001,T$3,BD!$B$3:$B$5001,$A$351)))</f>
        <v/>
      </c>
      <c r="U375" s="251" t="str">
        <f>IF(U$3="","",IF(COUNTIFS(BD!$A$3:$A$5001,U$3,BD!$B$3:$B$5001,$A$351,BD!$Z$3:$Z$5001,"&lt;&gt;")=0,"",SUMIFS(BD!$Z$3:$Z$5001,BD!$A$3:$A$5001,U$3,BD!$B$3:$B$5001,$A$351)))</f>
        <v/>
      </c>
      <c r="V375" s="251" t="str">
        <f>IF(V$3="","",IF(COUNTIFS(BD!$A$3:$A$5001,V$3,BD!$B$3:$B$5001,$A$351,BD!$Z$3:$Z$5001,"&lt;&gt;")=0,"",SUMIFS(BD!$Z$3:$Z$5001,BD!$A$3:$A$5001,V$3,BD!$B$3:$B$5001,$A$351)))</f>
        <v/>
      </c>
      <c r="W375" s="251" t="str">
        <f>IF(W$3="","",IF(COUNTIFS(BD!$A$3:$A$5001,W$3,BD!$B$3:$B$5001,$A$351,BD!$Z$3:$Z$5001,"&lt;&gt;")=0,"",SUMIFS(BD!$Z$3:$Z$5001,BD!$A$3:$A$5001,W$3,BD!$B$3:$B$5001,$A$351)))</f>
        <v/>
      </c>
      <c r="X375" s="251" t="str">
        <f>IF(X$3="","",IF(COUNTIFS(BD!$A$3:$A$5001,X$3,BD!$B$3:$B$5001,$A$351,BD!$Z$3:$Z$5001,"&lt;&gt;")=0,"",SUMIFS(BD!$Z$3:$Z$5001,BD!$A$3:$A$5001,X$3,BD!$B$3:$B$5001,$A$351)))</f>
        <v/>
      </c>
      <c r="Y375" s="251" t="str">
        <f>IF(Y$3="","",IF(COUNTIFS(BD!$A$3:$A$5001,Y$3,BD!$B$3:$B$5001,$A$351,BD!$Z$3:$Z$5001,"&lt;&gt;")=0,"",SUMIFS(BD!$Z$3:$Z$5001,BD!$A$3:$A$5001,Y$3,BD!$B$3:$B$5001,$A$351)))</f>
        <v/>
      </c>
      <c r="Z375" s="251" t="str">
        <f>IF(Z$3="","",IF(COUNTIFS(BD!$A$3:$A$5001,Z$3,BD!$B$3:$B$5001,$A$351,BD!$Z$3:$Z$5001,"&lt;&gt;")=0,"",SUMIFS(BD!$Z$3:$Z$5001,BD!$A$3:$A$5001,Z$3,BD!$B$3:$B$5001,$A$351)))</f>
        <v/>
      </c>
      <c r="AA375" s="251" t="str">
        <f>IF(AA$3="","",IF(COUNTIFS(BD!$A$3:$A$5001,AA$3,BD!$B$3:$B$5001,$A$351,BD!$Z$3:$Z$5001,"&lt;&gt;")=0,"",SUMIFS(BD!$Z$3:$Z$5001,BD!$A$3:$A$5001,AA$3,BD!$B$3:$B$5001,$A$351)))</f>
        <v/>
      </c>
      <c r="AB375" s="251" t="str">
        <f>IF(AB$3="","",IF(COUNTIFS(BD!$A$3:$A$5001,AB$3,BD!$B$3:$B$5001,$A$351,BD!$Z$3:$Z$5001,"&lt;&gt;")=0,"",SUMIFS(BD!$Z$3:$Z$5001,BD!$A$3:$A$5001,AB$3,BD!$B$3:$B$5001,$A$351)))</f>
        <v/>
      </c>
      <c r="AC375" s="251" t="str">
        <f>IF(AC$3="","",IF(COUNTIFS(BD!$A$3:$A$5001,AC$3,BD!$B$3:$B$5001,$A$351,BD!$Z$3:$Z$5001,"&lt;&gt;")=0,"",SUMIFS(BD!$Z$3:$Z$5001,BD!$A$3:$A$5001,AC$3,BD!$B$3:$B$5001,$A$351)))</f>
        <v/>
      </c>
      <c r="AD375" s="251" t="str">
        <f>IF(AD$3="","",IF(COUNTIFS(BD!$A$3:$A$5001,AD$3,BD!$B$3:$B$5001,$A$351,BD!$Z$3:$Z$5001,"&lt;&gt;")=0,"",SUMIFS(BD!$Z$3:$Z$5001,BD!$A$3:$A$5001,AD$3,BD!$B$3:$B$5001,$A$351)))</f>
        <v/>
      </c>
      <c r="AE375" s="251" t="str">
        <f>IF(AE$3="","",IF(COUNTIFS(BD!$A$3:$A$5001,AE$3,BD!$B$3:$B$5001,$A$351,BD!$Z$3:$Z$5001,"&lt;&gt;")=0,"",SUMIFS(BD!$Z$3:$Z$5001,BD!$A$3:$A$5001,AE$3,BD!$B$3:$B$5001,$A$351)))</f>
        <v/>
      </c>
      <c r="AF375" s="251" t="str">
        <f>IF(AF$3="","",IF(COUNTIFS(BD!$A$3:$A$5001,AF$3,BD!$B$3:$B$5001,$A$351,BD!$Z$3:$Z$5001,"&lt;&gt;")=0,"",SUMIFS(BD!$Z$3:$Z$5001,BD!$A$3:$A$5001,AF$3,BD!$B$3:$B$5001,$A$351)))</f>
        <v/>
      </c>
      <c r="AG375" s="251" t="str">
        <f>IF(AG$3="","",IF(COUNTIFS(BD!$A$3:$A$5001,AG$3,BD!$B$3:$B$5001,$A$351,BD!$Z$3:$Z$5001,"&lt;&gt;")=0,"",SUMIFS(BD!$Z$3:$Z$5001,BD!$A$3:$A$5001,AG$3,BD!$B$3:$B$5001,$A$351)))</f>
        <v/>
      </c>
      <c r="AH375" s="251" t="str">
        <f>IF(AH$3="","",IF(COUNTIFS(BD!$A$3:$A$5001,AH$3,BD!$B$3:$B$5001,$A$351,BD!$Z$3:$Z$5001,"&lt;&gt;")=0,"",SUMIFS(BD!$Z$3:$Z$5001,BD!$A$3:$A$5001,AH$3,BD!$B$3:$B$5001,$A$351)))</f>
        <v/>
      </c>
      <c r="AI375" s="251" t="str">
        <f>IF(AI$3="","",IF(COUNTIFS(BD!$A$3:$A$5001,AI$3,BD!$B$3:$B$5001,$A$351,BD!$Z$3:$Z$5001,"&lt;&gt;")=0,"",SUMIFS(BD!$Z$3:$Z$5001,BD!$A$3:$A$5001,AI$3,BD!$B$3:$B$5001,$A$351)))</f>
        <v/>
      </c>
      <c r="AJ375" s="252" t="str">
        <f>IF(AJ$3="","",IF(COUNTIFS(BD!$A$3:$A$5001,AJ$3,BD!$B$3:$B$5001,$A$351,BD!$Z$3:$Z$5001,"&lt;&gt;")=0,"",SUMIFS(BD!$Z$3:$Z$5001,BD!$A$3:$A$5001,AJ$3,BD!$B$3:$B$5001,$A$351)))</f>
        <v/>
      </c>
      <c r="AK375" s="253" t="str">
        <f>IF(COUNT(F375:AJ375)=0,"",SUM(F375:AJ375))</f>
        <v/>
      </c>
    </row>
    <row r="376" ht="15.75" customHeight="1" hidden="1">
      <c r="A376" s="277"/>
      <c r="B376" s="274"/>
      <c r="C376" s="247" t="inlineStr">
        <is>
          <t xml:space="preserve">Acidentes CAF</t>
        </is>
      </c>
      <c r="D376" s="248" t="str">
        <f>IFERROR(1/(1/INDEX(BD!$AF$48:$AZ$48,MATCH($A$351,BD!$AF$22:$AZ$22,0))),"")</f>
        <v/>
      </c>
      <c r="E376" s="249"/>
      <c r="F376" s="250" t="str">
        <f>IF(F$3="","",IF(COUNTIFS(BD!$A$3:$A$5001,F$3,BD!$B$3:$B$5001,$A$351,BD!$AA$3:$AA$5001,"&lt;&gt;")=0,"",SUMIFS(BD!$AA$3:$AA$5001,BD!$A$3:$A$5001,F$3,BD!$B$3:$B$5001,$A$351)))</f>
        <v/>
      </c>
      <c r="G376" s="251" t="str">
        <f>IF(G$3="","",IF(COUNTIFS(BD!$A$3:$A$5001,G$3,BD!$B$3:$B$5001,$A$351,BD!$AA$3:$AA$5001,"&lt;&gt;")=0,"",SUMIFS(BD!$AA$3:$AA$5001,BD!$A$3:$A$5001,G$3,BD!$B$3:$B$5001,$A$351)))</f>
        <v/>
      </c>
      <c r="H376" s="251" t="str">
        <f>IF(H$3="","",IF(COUNTIFS(BD!$A$3:$A$5001,H$3,BD!$B$3:$B$5001,$A$351,BD!$AA$3:$AA$5001,"&lt;&gt;")=0,"",SUMIFS(BD!$AA$3:$AA$5001,BD!$A$3:$A$5001,H$3,BD!$B$3:$B$5001,$A$351)))</f>
        <v/>
      </c>
      <c r="I376" s="251" t="str">
        <f>IF(I$3="","",IF(COUNTIFS(BD!$A$3:$A$5001,I$3,BD!$B$3:$B$5001,$A$351,BD!$AA$3:$AA$5001,"&lt;&gt;")=0,"",SUMIFS(BD!$AA$3:$AA$5001,BD!$A$3:$A$5001,I$3,BD!$B$3:$B$5001,$A$351)))</f>
        <v/>
      </c>
      <c r="J376" s="251" t="str">
        <f>IF(J$3="","",IF(COUNTIFS(BD!$A$3:$A$5001,J$3,BD!$B$3:$B$5001,$A$351,BD!$AA$3:$AA$5001,"&lt;&gt;")=0,"",SUMIFS(BD!$AA$3:$AA$5001,BD!$A$3:$A$5001,J$3,BD!$B$3:$B$5001,$A$351)))</f>
        <v/>
      </c>
      <c r="K376" s="251" t="str">
        <f>IF(K$3="","",IF(COUNTIFS(BD!$A$3:$A$5001,K$3,BD!$B$3:$B$5001,$A$351,BD!$AA$3:$AA$5001,"&lt;&gt;")=0,"",SUMIFS(BD!$AA$3:$AA$5001,BD!$A$3:$A$5001,K$3,BD!$B$3:$B$5001,$A$351)))</f>
        <v/>
      </c>
      <c r="L376" s="251" t="str">
        <f>IF(L$3="","",IF(COUNTIFS(BD!$A$3:$A$5001,L$3,BD!$B$3:$B$5001,$A$351,BD!$AA$3:$AA$5001,"&lt;&gt;")=0,"",SUMIFS(BD!$AA$3:$AA$5001,BD!$A$3:$A$5001,L$3,BD!$B$3:$B$5001,$A$351)))</f>
        <v/>
      </c>
      <c r="M376" s="251" t="str">
        <f>IF(M$3="","",IF(COUNTIFS(BD!$A$3:$A$5001,M$3,BD!$B$3:$B$5001,$A$351,BD!$AA$3:$AA$5001,"&lt;&gt;")=0,"",SUMIFS(BD!$AA$3:$AA$5001,BD!$A$3:$A$5001,M$3,BD!$B$3:$B$5001,$A$351)))</f>
        <v/>
      </c>
      <c r="N376" s="251" t="str">
        <f>IF(N$3="","",IF(COUNTIFS(BD!$A$3:$A$5001,N$3,BD!$B$3:$B$5001,$A$351,BD!$AA$3:$AA$5001,"&lt;&gt;")=0,"",SUMIFS(BD!$AA$3:$AA$5001,BD!$A$3:$A$5001,N$3,BD!$B$3:$B$5001,$A$351)))</f>
        <v/>
      </c>
      <c r="O376" s="251" t="str">
        <f>IF(O$3="","",IF(COUNTIFS(BD!$A$3:$A$5001,O$3,BD!$B$3:$B$5001,$A$351,BD!$AA$3:$AA$5001,"&lt;&gt;")=0,"",SUMIFS(BD!$AA$3:$AA$5001,BD!$A$3:$A$5001,O$3,BD!$B$3:$B$5001,$A$351)))</f>
        <v/>
      </c>
      <c r="P376" s="251" t="str">
        <f>IF(P$3="","",IF(COUNTIFS(BD!$A$3:$A$5001,P$3,BD!$B$3:$B$5001,$A$351,BD!$AA$3:$AA$5001,"&lt;&gt;")=0,"",SUMIFS(BD!$AA$3:$AA$5001,BD!$A$3:$A$5001,P$3,BD!$B$3:$B$5001,$A$351)))</f>
        <v/>
      </c>
      <c r="Q376" s="251" t="str">
        <f>IF(Q$3="","",IF(COUNTIFS(BD!$A$3:$A$5001,Q$3,BD!$B$3:$B$5001,$A$351,BD!$AA$3:$AA$5001,"&lt;&gt;")=0,"",SUMIFS(BD!$AA$3:$AA$5001,BD!$A$3:$A$5001,Q$3,BD!$B$3:$B$5001,$A$351)))</f>
        <v/>
      </c>
      <c r="R376" s="251" t="str">
        <f>IF(R$3="","",IF(COUNTIFS(BD!$A$3:$A$5001,R$3,BD!$B$3:$B$5001,$A$351,BD!$AA$3:$AA$5001,"&lt;&gt;")=0,"",SUMIFS(BD!$AA$3:$AA$5001,BD!$A$3:$A$5001,R$3,BD!$B$3:$B$5001,$A$351)))</f>
        <v/>
      </c>
      <c r="S376" s="251" t="str">
        <f>IF(S$3="","",IF(COUNTIFS(BD!$A$3:$A$5001,S$3,BD!$B$3:$B$5001,$A$351,BD!$AA$3:$AA$5001,"&lt;&gt;")=0,"",SUMIFS(BD!$AA$3:$AA$5001,BD!$A$3:$A$5001,S$3,BD!$B$3:$B$5001,$A$351)))</f>
        <v/>
      </c>
      <c r="T376" s="251" t="str">
        <f>IF(T$3="","",IF(COUNTIFS(BD!$A$3:$A$5001,T$3,BD!$B$3:$B$5001,$A$351,BD!$AA$3:$AA$5001,"&lt;&gt;")=0,"",SUMIFS(BD!$AA$3:$AA$5001,BD!$A$3:$A$5001,T$3,BD!$B$3:$B$5001,$A$351)))</f>
        <v/>
      </c>
      <c r="U376" s="251" t="str">
        <f>IF(U$3="","",IF(COUNTIFS(BD!$A$3:$A$5001,U$3,BD!$B$3:$B$5001,$A$351,BD!$AA$3:$AA$5001,"&lt;&gt;")=0,"",SUMIFS(BD!$AA$3:$AA$5001,BD!$A$3:$A$5001,U$3,BD!$B$3:$B$5001,$A$351)))</f>
        <v/>
      </c>
      <c r="V376" s="251" t="str">
        <f>IF(V$3="","",IF(COUNTIFS(BD!$A$3:$A$5001,V$3,BD!$B$3:$B$5001,$A$351,BD!$AA$3:$AA$5001,"&lt;&gt;")=0,"",SUMIFS(BD!$AA$3:$AA$5001,BD!$A$3:$A$5001,V$3,BD!$B$3:$B$5001,$A$351)))</f>
        <v/>
      </c>
      <c r="W376" s="251" t="str">
        <f>IF(W$3="","",IF(COUNTIFS(BD!$A$3:$A$5001,W$3,BD!$B$3:$B$5001,$A$351,BD!$AA$3:$AA$5001,"&lt;&gt;")=0,"",SUMIFS(BD!$AA$3:$AA$5001,BD!$A$3:$A$5001,W$3,BD!$B$3:$B$5001,$A$351)))</f>
        <v/>
      </c>
      <c r="X376" s="251" t="str">
        <f>IF(X$3="","",IF(COUNTIFS(BD!$A$3:$A$5001,X$3,BD!$B$3:$B$5001,$A$351,BD!$AA$3:$AA$5001,"&lt;&gt;")=0,"",SUMIFS(BD!$AA$3:$AA$5001,BD!$A$3:$A$5001,X$3,BD!$B$3:$B$5001,$A$351)))</f>
        <v/>
      </c>
      <c r="Y376" s="251" t="str">
        <f>IF(Y$3="","",IF(COUNTIFS(BD!$A$3:$A$5001,Y$3,BD!$B$3:$B$5001,$A$351,BD!$AA$3:$AA$5001,"&lt;&gt;")=0,"",SUMIFS(BD!$AA$3:$AA$5001,BD!$A$3:$A$5001,Y$3,BD!$B$3:$B$5001,$A$351)))</f>
        <v/>
      </c>
      <c r="Z376" s="251" t="str">
        <f>IF(Z$3="","",IF(COUNTIFS(BD!$A$3:$A$5001,Z$3,BD!$B$3:$B$5001,$A$351,BD!$AA$3:$AA$5001,"&lt;&gt;")=0,"",SUMIFS(BD!$AA$3:$AA$5001,BD!$A$3:$A$5001,Z$3,BD!$B$3:$B$5001,$A$351)))</f>
        <v/>
      </c>
      <c r="AA376" s="251" t="str">
        <f>IF(AA$3="","",IF(COUNTIFS(BD!$A$3:$A$5001,AA$3,BD!$B$3:$B$5001,$A$351,BD!$AA$3:$AA$5001,"&lt;&gt;")=0,"",SUMIFS(BD!$AA$3:$AA$5001,BD!$A$3:$A$5001,AA$3,BD!$B$3:$B$5001,$A$351)))</f>
        <v/>
      </c>
      <c r="AB376" s="251" t="str">
        <f>IF(AB$3="","",IF(COUNTIFS(BD!$A$3:$A$5001,AB$3,BD!$B$3:$B$5001,$A$351,BD!$AA$3:$AA$5001,"&lt;&gt;")=0,"",SUMIFS(BD!$AA$3:$AA$5001,BD!$A$3:$A$5001,AB$3,BD!$B$3:$B$5001,$A$351)))</f>
        <v/>
      </c>
      <c r="AC376" s="251" t="str">
        <f>IF(AC$3="","",IF(COUNTIFS(BD!$A$3:$A$5001,AC$3,BD!$B$3:$B$5001,$A$351,BD!$AA$3:$AA$5001,"&lt;&gt;")=0,"",SUMIFS(BD!$AA$3:$AA$5001,BD!$A$3:$A$5001,AC$3,BD!$B$3:$B$5001,$A$351)))</f>
        <v/>
      </c>
      <c r="AD376" s="251" t="str">
        <f>IF(AD$3="","",IF(COUNTIFS(BD!$A$3:$A$5001,AD$3,BD!$B$3:$B$5001,$A$351,BD!$AA$3:$AA$5001,"&lt;&gt;")=0,"",SUMIFS(BD!$AA$3:$AA$5001,BD!$A$3:$A$5001,AD$3,BD!$B$3:$B$5001,$A$351)))</f>
        <v/>
      </c>
      <c r="AE376" s="251" t="str">
        <f>IF(AE$3="","",IF(COUNTIFS(BD!$A$3:$A$5001,AE$3,BD!$B$3:$B$5001,$A$351,BD!$AA$3:$AA$5001,"&lt;&gt;")=0,"",SUMIFS(BD!$AA$3:$AA$5001,BD!$A$3:$A$5001,AE$3,BD!$B$3:$B$5001,$A$351)))</f>
        <v/>
      </c>
      <c r="AF376" s="251" t="str">
        <f>IF(AF$3="","",IF(COUNTIFS(BD!$A$3:$A$5001,AF$3,BD!$B$3:$B$5001,$A$351,BD!$AA$3:$AA$5001,"&lt;&gt;")=0,"",SUMIFS(BD!$AA$3:$AA$5001,BD!$A$3:$A$5001,AF$3,BD!$B$3:$B$5001,$A$351)))</f>
        <v/>
      </c>
      <c r="AG376" s="251" t="str">
        <f>IF(AG$3="","",IF(COUNTIFS(BD!$A$3:$A$5001,AG$3,BD!$B$3:$B$5001,$A$351,BD!$AA$3:$AA$5001,"&lt;&gt;")=0,"",SUMIFS(BD!$AA$3:$AA$5001,BD!$A$3:$A$5001,AG$3,BD!$B$3:$B$5001,$A$351)))</f>
        <v/>
      </c>
      <c r="AH376" s="251" t="str">
        <f>IF(AH$3="","",IF(COUNTIFS(BD!$A$3:$A$5001,AH$3,BD!$B$3:$B$5001,$A$351,BD!$AA$3:$AA$5001,"&lt;&gt;")=0,"",SUMIFS(BD!$AA$3:$AA$5001,BD!$A$3:$A$5001,AH$3,BD!$B$3:$B$5001,$A$351)))</f>
        <v/>
      </c>
      <c r="AI376" s="251" t="str">
        <f>IF(AI$3="","",IF(COUNTIFS(BD!$A$3:$A$5001,AI$3,BD!$B$3:$B$5001,$A$351,BD!$AA$3:$AA$5001,"&lt;&gt;")=0,"",SUMIFS(BD!$AA$3:$AA$5001,BD!$A$3:$A$5001,AI$3,BD!$B$3:$B$5001,$A$351)))</f>
        <v/>
      </c>
      <c r="AJ376" s="252" t="str">
        <f>IF(AJ$3="","",IF(COUNTIFS(BD!$A$3:$A$5001,AJ$3,BD!$B$3:$B$5001,$A$351,BD!$AA$3:$AA$5001,"&lt;&gt;")=0,"",SUMIFS(BD!$AA$3:$AA$5001,BD!$A$3:$A$5001,AJ$3,BD!$B$3:$B$5001,$A$351)))</f>
        <v/>
      </c>
      <c r="AK376" s="253" t="str">
        <f>IF(COUNT(F376:AJ376)=0,"",SUM(F376:AJ376))</f>
        <v/>
      </c>
    </row>
    <row r="377" ht="15.75" customHeight="1" hidden="1">
      <c r="A377" s="278"/>
      <c r="B377" s="275"/>
      <c r="C377" s="258" t="inlineStr">
        <is>
          <t xml:space="preserve">Acidentes SAF</t>
        </is>
      </c>
      <c r="D377" s="259" t="str">
        <f>IFERROR(1/(1/INDEX(BD!$AF$49:$AZ$49,MATCH($A$351,BD!$AF$22:$AZ$22,0))),"")</f>
        <v/>
      </c>
      <c r="E377" s="260"/>
      <c r="F377" s="261" t="str">
        <f>IF(F$3="","",IF(COUNTIFS(BD!$A$3:$A$5001,F$3,BD!$B$3:$B$5001,$A$351,BD!$AB$3:$AB$5001,"&lt;&gt;")=0,"",SUMIFS(BD!$AB$3:$AB$5001,BD!$A$3:$A$5001,F$3,BD!$B$3:$B$5001,$A$351)))</f>
        <v/>
      </c>
      <c r="G377" s="262" t="str">
        <f>IF(G$3="","",IF(COUNTIFS(BD!$A$3:$A$5001,G$3,BD!$B$3:$B$5001,$A$351,BD!$AB$3:$AB$5001,"&lt;&gt;")=0,"",SUMIFS(BD!$AB$3:$AB$5001,BD!$A$3:$A$5001,G$3,BD!$B$3:$B$5001,$A$351)))</f>
        <v/>
      </c>
      <c r="H377" s="262" t="str">
        <f>IF(H$3="","",IF(COUNTIFS(BD!$A$3:$A$5001,H$3,BD!$B$3:$B$5001,$A$351,BD!$AB$3:$AB$5001,"&lt;&gt;")=0,"",SUMIFS(BD!$AB$3:$AB$5001,BD!$A$3:$A$5001,H$3,BD!$B$3:$B$5001,$A$351)))</f>
        <v/>
      </c>
      <c r="I377" s="262" t="str">
        <f>IF(I$3="","",IF(COUNTIFS(BD!$A$3:$A$5001,I$3,BD!$B$3:$B$5001,$A$351,BD!$AB$3:$AB$5001,"&lt;&gt;")=0,"",SUMIFS(BD!$AB$3:$AB$5001,BD!$A$3:$A$5001,I$3,BD!$B$3:$B$5001,$A$351)))</f>
        <v/>
      </c>
      <c r="J377" s="262" t="str">
        <f>IF(J$3="","",IF(COUNTIFS(BD!$A$3:$A$5001,J$3,BD!$B$3:$B$5001,$A$351,BD!$AB$3:$AB$5001,"&lt;&gt;")=0,"",SUMIFS(BD!$AB$3:$AB$5001,BD!$A$3:$A$5001,J$3,BD!$B$3:$B$5001,$A$351)))</f>
        <v/>
      </c>
      <c r="K377" s="262" t="str">
        <f>IF(K$3="","",IF(COUNTIFS(BD!$A$3:$A$5001,K$3,BD!$B$3:$B$5001,$A$351,BD!$AB$3:$AB$5001,"&lt;&gt;")=0,"",SUMIFS(BD!$AB$3:$AB$5001,BD!$A$3:$A$5001,K$3,BD!$B$3:$B$5001,$A$351)))</f>
        <v/>
      </c>
      <c r="L377" s="262" t="str">
        <f>IF(L$3="","",IF(COUNTIFS(BD!$A$3:$A$5001,L$3,BD!$B$3:$B$5001,$A$351,BD!$AB$3:$AB$5001,"&lt;&gt;")=0,"",SUMIFS(BD!$AB$3:$AB$5001,BD!$A$3:$A$5001,L$3,BD!$B$3:$B$5001,$A$351)))</f>
        <v/>
      </c>
      <c r="M377" s="262" t="str">
        <f>IF(M$3="","",IF(COUNTIFS(BD!$A$3:$A$5001,M$3,BD!$B$3:$B$5001,$A$351,BD!$AB$3:$AB$5001,"&lt;&gt;")=0,"",SUMIFS(BD!$AB$3:$AB$5001,BD!$A$3:$A$5001,M$3,BD!$B$3:$B$5001,$A$351)))</f>
        <v/>
      </c>
      <c r="N377" s="262" t="str">
        <f>IF(N$3="","",IF(COUNTIFS(BD!$A$3:$A$5001,N$3,BD!$B$3:$B$5001,$A$351,BD!$AB$3:$AB$5001,"&lt;&gt;")=0,"",SUMIFS(BD!$AB$3:$AB$5001,BD!$A$3:$A$5001,N$3,BD!$B$3:$B$5001,$A$351)))</f>
        <v/>
      </c>
      <c r="O377" s="262" t="str">
        <f>IF(O$3="","",IF(COUNTIFS(BD!$A$3:$A$5001,O$3,BD!$B$3:$B$5001,$A$351,BD!$AB$3:$AB$5001,"&lt;&gt;")=0,"",SUMIFS(BD!$AB$3:$AB$5001,BD!$A$3:$A$5001,O$3,BD!$B$3:$B$5001,$A$351)))</f>
        <v/>
      </c>
      <c r="P377" s="262" t="str">
        <f>IF(P$3="","",IF(COUNTIFS(BD!$A$3:$A$5001,P$3,BD!$B$3:$B$5001,$A$351,BD!$AB$3:$AB$5001,"&lt;&gt;")=0,"",SUMIFS(BD!$AB$3:$AB$5001,BD!$A$3:$A$5001,P$3,BD!$B$3:$B$5001,$A$351)))</f>
        <v/>
      </c>
      <c r="Q377" s="262" t="str">
        <f>IF(Q$3="","",IF(COUNTIFS(BD!$A$3:$A$5001,Q$3,BD!$B$3:$B$5001,$A$351,BD!$AB$3:$AB$5001,"&lt;&gt;")=0,"",SUMIFS(BD!$AB$3:$AB$5001,BD!$A$3:$A$5001,Q$3,BD!$B$3:$B$5001,$A$351)))</f>
        <v/>
      </c>
      <c r="R377" s="262" t="str">
        <f>IF(R$3="","",IF(COUNTIFS(BD!$A$3:$A$5001,R$3,BD!$B$3:$B$5001,$A$351,BD!$AB$3:$AB$5001,"&lt;&gt;")=0,"",SUMIFS(BD!$AB$3:$AB$5001,BD!$A$3:$A$5001,R$3,BD!$B$3:$B$5001,$A$351)))</f>
        <v/>
      </c>
      <c r="S377" s="262" t="str">
        <f>IF(S$3="","",IF(COUNTIFS(BD!$A$3:$A$5001,S$3,BD!$B$3:$B$5001,$A$351,BD!$AB$3:$AB$5001,"&lt;&gt;")=0,"",SUMIFS(BD!$AB$3:$AB$5001,BD!$A$3:$A$5001,S$3,BD!$B$3:$B$5001,$A$351)))</f>
        <v/>
      </c>
      <c r="T377" s="262" t="str">
        <f>IF(T$3="","",IF(COUNTIFS(BD!$A$3:$A$5001,T$3,BD!$B$3:$B$5001,$A$351,BD!$AB$3:$AB$5001,"&lt;&gt;")=0,"",SUMIFS(BD!$AB$3:$AB$5001,BD!$A$3:$A$5001,T$3,BD!$B$3:$B$5001,$A$351)))</f>
        <v/>
      </c>
      <c r="U377" s="262" t="str">
        <f>IF(U$3="","",IF(COUNTIFS(BD!$A$3:$A$5001,U$3,BD!$B$3:$B$5001,$A$351,BD!$AB$3:$AB$5001,"&lt;&gt;")=0,"",SUMIFS(BD!$AB$3:$AB$5001,BD!$A$3:$A$5001,U$3,BD!$B$3:$B$5001,$A$351)))</f>
        <v/>
      </c>
      <c r="V377" s="262" t="str">
        <f>IF(V$3="","",IF(COUNTIFS(BD!$A$3:$A$5001,V$3,BD!$B$3:$B$5001,$A$351,BD!$AB$3:$AB$5001,"&lt;&gt;")=0,"",SUMIFS(BD!$AB$3:$AB$5001,BD!$A$3:$A$5001,V$3,BD!$B$3:$B$5001,$A$351)))</f>
        <v/>
      </c>
      <c r="W377" s="262" t="str">
        <f>IF(W$3="","",IF(COUNTIFS(BD!$A$3:$A$5001,W$3,BD!$B$3:$B$5001,$A$351,BD!$AB$3:$AB$5001,"&lt;&gt;")=0,"",SUMIFS(BD!$AB$3:$AB$5001,BD!$A$3:$A$5001,W$3,BD!$B$3:$B$5001,$A$351)))</f>
        <v/>
      </c>
      <c r="X377" s="262" t="str">
        <f>IF(X$3="","",IF(COUNTIFS(BD!$A$3:$A$5001,X$3,BD!$B$3:$B$5001,$A$351,BD!$AB$3:$AB$5001,"&lt;&gt;")=0,"",SUMIFS(BD!$AB$3:$AB$5001,BD!$A$3:$A$5001,X$3,BD!$B$3:$B$5001,$A$351)))</f>
        <v/>
      </c>
      <c r="Y377" s="262" t="str">
        <f>IF(Y$3="","",IF(COUNTIFS(BD!$A$3:$A$5001,Y$3,BD!$B$3:$B$5001,$A$351,BD!$AB$3:$AB$5001,"&lt;&gt;")=0,"",SUMIFS(BD!$AB$3:$AB$5001,BD!$A$3:$A$5001,Y$3,BD!$B$3:$B$5001,$A$351)))</f>
        <v/>
      </c>
      <c r="Z377" s="262" t="str">
        <f>IF(Z$3="","",IF(COUNTIFS(BD!$A$3:$A$5001,Z$3,BD!$B$3:$B$5001,$A$351,BD!$AB$3:$AB$5001,"&lt;&gt;")=0,"",SUMIFS(BD!$AB$3:$AB$5001,BD!$A$3:$A$5001,Z$3,BD!$B$3:$B$5001,$A$351)))</f>
        <v/>
      </c>
      <c r="AA377" s="262" t="str">
        <f>IF(AA$3="","",IF(COUNTIFS(BD!$A$3:$A$5001,AA$3,BD!$B$3:$B$5001,$A$351,BD!$AB$3:$AB$5001,"&lt;&gt;")=0,"",SUMIFS(BD!$AB$3:$AB$5001,BD!$A$3:$A$5001,AA$3,BD!$B$3:$B$5001,$A$351)))</f>
        <v/>
      </c>
      <c r="AB377" s="262" t="str">
        <f>IF(AB$3="","",IF(COUNTIFS(BD!$A$3:$A$5001,AB$3,BD!$B$3:$B$5001,$A$351,BD!$AB$3:$AB$5001,"&lt;&gt;")=0,"",SUMIFS(BD!$AB$3:$AB$5001,BD!$A$3:$A$5001,AB$3,BD!$B$3:$B$5001,$A$351)))</f>
        <v/>
      </c>
      <c r="AC377" s="262" t="str">
        <f>IF(AC$3="","",IF(COUNTIFS(BD!$A$3:$A$5001,AC$3,BD!$B$3:$B$5001,$A$351,BD!$AB$3:$AB$5001,"&lt;&gt;")=0,"",SUMIFS(BD!$AB$3:$AB$5001,BD!$A$3:$A$5001,AC$3,BD!$B$3:$B$5001,$A$351)))</f>
        <v/>
      </c>
      <c r="AD377" s="262" t="str">
        <f>IF(AD$3="","",IF(COUNTIFS(BD!$A$3:$A$5001,AD$3,BD!$B$3:$B$5001,$A$351,BD!$AB$3:$AB$5001,"&lt;&gt;")=0,"",SUMIFS(BD!$AB$3:$AB$5001,BD!$A$3:$A$5001,AD$3,BD!$B$3:$B$5001,$A$351)))</f>
        <v/>
      </c>
      <c r="AE377" s="262" t="str">
        <f>IF(AE$3="","",IF(COUNTIFS(BD!$A$3:$A$5001,AE$3,BD!$B$3:$B$5001,$A$351,BD!$AB$3:$AB$5001,"&lt;&gt;")=0,"",SUMIFS(BD!$AB$3:$AB$5001,BD!$A$3:$A$5001,AE$3,BD!$B$3:$B$5001,$A$351)))</f>
        <v/>
      </c>
      <c r="AF377" s="262" t="str">
        <f>IF(AF$3="","",IF(COUNTIFS(BD!$A$3:$A$5001,AF$3,BD!$B$3:$B$5001,$A$351,BD!$AB$3:$AB$5001,"&lt;&gt;")=0,"",SUMIFS(BD!$AB$3:$AB$5001,BD!$A$3:$A$5001,AF$3,BD!$B$3:$B$5001,$A$351)))</f>
        <v/>
      </c>
      <c r="AG377" s="262" t="str">
        <f>IF(AG$3="","",IF(COUNTIFS(BD!$A$3:$A$5001,AG$3,BD!$B$3:$B$5001,$A$351,BD!$AB$3:$AB$5001,"&lt;&gt;")=0,"",SUMIFS(BD!$AB$3:$AB$5001,BD!$A$3:$A$5001,AG$3,BD!$B$3:$B$5001,$A$351)))</f>
        <v/>
      </c>
      <c r="AH377" s="262" t="str">
        <f>IF(AH$3="","",IF(COUNTIFS(BD!$A$3:$A$5001,AH$3,BD!$B$3:$B$5001,$A$351,BD!$AB$3:$AB$5001,"&lt;&gt;")=0,"",SUMIFS(BD!$AB$3:$AB$5001,BD!$A$3:$A$5001,AH$3,BD!$B$3:$B$5001,$A$351)))</f>
        <v/>
      </c>
      <c r="AI377" s="262" t="str">
        <f>IF(AI$3="","",IF(COUNTIFS(BD!$A$3:$A$5001,AI$3,BD!$B$3:$B$5001,$A$351,BD!$AB$3:$AB$5001,"&lt;&gt;")=0,"",SUMIFS(BD!$AB$3:$AB$5001,BD!$A$3:$A$5001,AI$3,BD!$B$3:$B$5001,$A$351)))</f>
        <v/>
      </c>
      <c r="AJ377" s="263" t="str">
        <f>IF(AJ$3="","",IF(COUNTIFS(BD!$A$3:$A$5001,AJ$3,BD!$B$3:$B$5001,$A$351,BD!$AB$3:$AB$5001,"&lt;&gt;")=0,"",SUMIFS(BD!$AB$3:$AB$5001,BD!$A$3:$A$5001,AJ$3,BD!$B$3:$B$5001,$A$351)))</f>
        <v/>
      </c>
      <c r="AK377" s="259" t="str">
        <f>IF(COUNT(F377:AJ377)=0,"",SUM(F377:AJ377))</f>
        <v/>
      </c>
    </row>
    <row r="379" ht="15.75" customHeight="1" hidden="1">
      <c r="A379" s="276"/>
      <c r="B379" s="264" t="inlineStr">
        <is>
          <t xml:space="preserve">IN</t>
        </is>
      </c>
      <c r="C379" s="168" t="inlineStr">
        <is>
          <t xml:space="preserve">Veículos Recebidos</t>
        </is>
      </c>
      <c r="D379" s="169" t="str">
        <f>IFERROR(1/(1/INDEX(BD!$AF$23:$AZ$23,MATCH($A$379,BD!$AF$22:$AZ$22,0))),"")</f>
        <v/>
      </c>
      <c r="E379" s="170"/>
      <c r="F379" s="171" t="str">
        <f>IF(F$3="","",IF(COUNTIFS(BD!$A$3:$A$5001,F$3,BD!$B$3:$B$5001,$A$379,BD!$C$3:$C$5001,"&lt;&gt;")=0,"",SUMIFS(BD!$C$3:$C$5001,BD!$A$3:$A$5001,F$3,BD!$B$3:$B$5001,$A$379)))</f>
        <v/>
      </c>
      <c r="G379" s="172" t="str">
        <f>IF(G$3="","",IF(COUNTIFS(BD!$A$3:$A$5001,G$3,BD!$B$3:$B$5001,$A$379,BD!$C$3:$C$5001,"&lt;&gt;")=0,"",SUMIFS(BD!$C$3:$C$5001,BD!$A$3:$A$5001,G$3,BD!$B$3:$B$5001,$A$379)))</f>
        <v/>
      </c>
      <c r="H379" s="172" t="str">
        <f>IF(H$3="","",IF(COUNTIFS(BD!$A$3:$A$5001,H$3,BD!$B$3:$B$5001,$A$379,BD!$C$3:$C$5001,"&lt;&gt;")=0,"",SUMIFS(BD!$C$3:$C$5001,BD!$A$3:$A$5001,H$3,BD!$B$3:$B$5001,$A$379)))</f>
        <v/>
      </c>
      <c r="I379" s="172" t="str">
        <f>IF(I$3="","",IF(COUNTIFS(BD!$A$3:$A$5001,I$3,BD!$B$3:$B$5001,$A$379,BD!$C$3:$C$5001,"&lt;&gt;")=0,"",SUMIFS(BD!$C$3:$C$5001,BD!$A$3:$A$5001,I$3,BD!$B$3:$B$5001,$A$379)))</f>
        <v/>
      </c>
      <c r="J379" s="172" t="str">
        <f>IF(J$3="","",IF(COUNTIFS(BD!$A$3:$A$5001,J$3,BD!$B$3:$B$5001,$A$379,BD!$C$3:$C$5001,"&lt;&gt;")=0,"",SUMIFS(BD!$C$3:$C$5001,BD!$A$3:$A$5001,J$3,BD!$B$3:$B$5001,$A$379)))</f>
        <v/>
      </c>
      <c r="K379" s="172" t="str">
        <f>IF(K$3="","",IF(COUNTIFS(BD!$A$3:$A$5001,K$3,BD!$B$3:$B$5001,$A$379,BD!$C$3:$C$5001,"&lt;&gt;")=0,"",SUMIFS(BD!$C$3:$C$5001,BD!$A$3:$A$5001,K$3,BD!$B$3:$B$5001,$A$379)))</f>
        <v/>
      </c>
      <c r="L379" s="172" t="str">
        <f>IF(L$3="","",IF(COUNTIFS(BD!$A$3:$A$5001,L$3,BD!$B$3:$B$5001,$A$379,BD!$C$3:$C$5001,"&lt;&gt;")=0,"",SUMIFS(BD!$C$3:$C$5001,BD!$A$3:$A$5001,L$3,BD!$B$3:$B$5001,$A$379)))</f>
        <v/>
      </c>
      <c r="M379" s="172" t="str">
        <f>IF(M$3="","",IF(COUNTIFS(BD!$A$3:$A$5001,M$3,BD!$B$3:$B$5001,$A$379,BD!$C$3:$C$5001,"&lt;&gt;")=0,"",SUMIFS(BD!$C$3:$C$5001,BD!$A$3:$A$5001,M$3,BD!$B$3:$B$5001,$A$379)))</f>
        <v/>
      </c>
      <c r="N379" s="172" t="str">
        <f>IF(N$3="","",IF(COUNTIFS(BD!$A$3:$A$5001,N$3,BD!$B$3:$B$5001,$A$379,BD!$C$3:$C$5001,"&lt;&gt;")=0,"",SUMIFS(BD!$C$3:$C$5001,BD!$A$3:$A$5001,N$3,BD!$B$3:$B$5001,$A$379)))</f>
        <v/>
      </c>
      <c r="O379" s="172" t="str">
        <f>IF(O$3="","",IF(COUNTIFS(BD!$A$3:$A$5001,O$3,BD!$B$3:$B$5001,$A$379,BD!$C$3:$C$5001,"&lt;&gt;")=0,"",SUMIFS(BD!$C$3:$C$5001,BD!$A$3:$A$5001,O$3,BD!$B$3:$B$5001,$A$379)))</f>
        <v/>
      </c>
      <c r="P379" s="172" t="str">
        <f>IF(P$3="","",IF(COUNTIFS(BD!$A$3:$A$5001,P$3,BD!$B$3:$B$5001,$A$379,BD!$C$3:$C$5001,"&lt;&gt;")=0,"",SUMIFS(BD!$C$3:$C$5001,BD!$A$3:$A$5001,P$3,BD!$B$3:$B$5001,$A$379)))</f>
        <v/>
      </c>
      <c r="Q379" s="172" t="str">
        <f>IF(Q$3="","",IF(COUNTIFS(BD!$A$3:$A$5001,Q$3,BD!$B$3:$B$5001,$A$379,BD!$C$3:$C$5001,"&lt;&gt;")=0,"",SUMIFS(BD!$C$3:$C$5001,BD!$A$3:$A$5001,Q$3,BD!$B$3:$B$5001,$A$379)))</f>
        <v/>
      </c>
      <c r="R379" s="172" t="str">
        <f>IF(R$3="","",IF(COUNTIFS(BD!$A$3:$A$5001,R$3,BD!$B$3:$B$5001,$A$379,BD!$C$3:$C$5001,"&lt;&gt;")=0,"",SUMIFS(BD!$C$3:$C$5001,BD!$A$3:$A$5001,R$3,BD!$B$3:$B$5001,$A$379)))</f>
        <v/>
      </c>
      <c r="S379" s="172" t="str">
        <f>IF(S$3="","",IF(COUNTIFS(BD!$A$3:$A$5001,S$3,BD!$B$3:$B$5001,$A$379,BD!$C$3:$C$5001,"&lt;&gt;")=0,"",SUMIFS(BD!$C$3:$C$5001,BD!$A$3:$A$5001,S$3,BD!$B$3:$B$5001,$A$379)))</f>
        <v/>
      </c>
      <c r="T379" s="172" t="str">
        <f>IF(T$3="","",IF(COUNTIFS(BD!$A$3:$A$5001,T$3,BD!$B$3:$B$5001,$A$379,BD!$C$3:$C$5001,"&lt;&gt;")=0,"",SUMIFS(BD!$C$3:$C$5001,BD!$A$3:$A$5001,T$3,BD!$B$3:$B$5001,$A$379)))</f>
        <v/>
      </c>
      <c r="U379" s="172" t="str">
        <f>IF(U$3="","",IF(COUNTIFS(BD!$A$3:$A$5001,U$3,BD!$B$3:$B$5001,$A$379,BD!$C$3:$C$5001,"&lt;&gt;")=0,"",SUMIFS(BD!$C$3:$C$5001,BD!$A$3:$A$5001,U$3,BD!$B$3:$B$5001,$A$379)))</f>
        <v/>
      </c>
      <c r="V379" s="172" t="str">
        <f>IF(V$3="","",IF(COUNTIFS(BD!$A$3:$A$5001,V$3,BD!$B$3:$B$5001,$A$379,BD!$C$3:$C$5001,"&lt;&gt;")=0,"",SUMIFS(BD!$C$3:$C$5001,BD!$A$3:$A$5001,V$3,BD!$B$3:$B$5001,$A$379)))</f>
        <v/>
      </c>
      <c r="W379" s="172" t="str">
        <f>IF(W$3="","",IF(COUNTIFS(BD!$A$3:$A$5001,W$3,BD!$B$3:$B$5001,$A$379,BD!$C$3:$C$5001,"&lt;&gt;")=0,"",SUMIFS(BD!$C$3:$C$5001,BD!$A$3:$A$5001,W$3,BD!$B$3:$B$5001,$A$379)))</f>
        <v/>
      </c>
      <c r="X379" s="172" t="str">
        <f>IF(X$3="","",IF(COUNTIFS(BD!$A$3:$A$5001,X$3,BD!$B$3:$B$5001,$A$379,BD!$C$3:$C$5001,"&lt;&gt;")=0,"",SUMIFS(BD!$C$3:$C$5001,BD!$A$3:$A$5001,X$3,BD!$B$3:$B$5001,$A$379)))</f>
        <v/>
      </c>
      <c r="Y379" s="172" t="str">
        <f>IF(Y$3="","",IF(COUNTIFS(BD!$A$3:$A$5001,Y$3,BD!$B$3:$B$5001,$A$379,BD!$C$3:$C$5001,"&lt;&gt;")=0,"",SUMIFS(BD!$C$3:$C$5001,BD!$A$3:$A$5001,Y$3,BD!$B$3:$B$5001,$A$379)))</f>
        <v/>
      </c>
      <c r="Z379" s="172" t="str">
        <f>IF(Z$3="","",IF(COUNTIFS(BD!$A$3:$A$5001,Z$3,BD!$B$3:$B$5001,$A$379,BD!$C$3:$C$5001,"&lt;&gt;")=0,"",SUMIFS(BD!$C$3:$C$5001,BD!$A$3:$A$5001,Z$3,BD!$B$3:$B$5001,$A$379)))</f>
        <v/>
      </c>
      <c r="AA379" s="172" t="str">
        <f>IF(AA$3="","",IF(COUNTIFS(BD!$A$3:$A$5001,AA$3,BD!$B$3:$B$5001,$A$379,BD!$C$3:$C$5001,"&lt;&gt;")=0,"",SUMIFS(BD!$C$3:$C$5001,BD!$A$3:$A$5001,AA$3,BD!$B$3:$B$5001,$A$379)))</f>
        <v/>
      </c>
      <c r="AB379" s="172" t="str">
        <f>IF(AB$3="","",IF(COUNTIFS(BD!$A$3:$A$5001,AB$3,BD!$B$3:$B$5001,$A$379,BD!$C$3:$C$5001,"&lt;&gt;")=0,"",SUMIFS(BD!$C$3:$C$5001,BD!$A$3:$A$5001,AB$3,BD!$B$3:$B$5001,$A$379)))</f>
        <v/>
      </c>
      <c r="AC379" s="172" t="str">
        <f>IF(AC$3="","",IF(COUNTIFS(BD!$A$3:$A$5001,AC$3,BD!$B$3:$B$5001,$A$379,BD!$C$3:$C$5001,"&lt;&gt;")=0,"",SUMIFS(BD!$C$3:$C$5001,BD!$A$3:$A$5001,AC$3,BD!$B$3:$B$5001,$A$379)))</f>
        <v/>
      </c>
      <c r="AD379" s="172" t="str">
        <f>IF(AD$3="","",IF(COUNTIFS(BD!$A$3:$A$5001,AD$3,BD!$B$3:$B$5001,$A$379,BD!$C$3:$C$5001,"&lt;&gt;")=0,"",SUMIFS(BD!$C$3:$C$5001,BD!$A$3:$A$5001,AD$3,BD!$B$3:$B$5001,$A$379)))</f>
        <v/>
      </c>
      <c r="AE379" s="172" t="str">
        <f>IF(AE$3="","",IF(COUNTIFS(BD!$A$3:$A$5001,AE$3,BD!$B$3:$B$5001,$A$379,BD!$C$3:$C$5001,"&lt;&gt;")=0,"",SUMIFS(BD!$C$3:$C$5001,BD!$A$3:$A$5001,AE$3,BD!$B$3:$B$5001,$A$379)))</f>
        <v/>
      </c>
      <c r="AF379" s="172" t="str">
        <f>IF(AF$3="","",IF(COUNTIFS(BD!$A$3:$A$5001,AF$3,BD!$B$3:$B$5001,$A$379,BD!$C$3:$C$5001,"&lt;&gt;")=0,"",SUMIFS(BD!$C$3:$C$5001,BD!$A$3:$A$5001,AF$3,BD!$B$3:$B$5001,$A$379)))</f>
        <v/>
      </c>
      <c r="AG379" s="172" t="str">
        <f>IF(AG$3="","",IF(COUNTIFS(BD!$A$3:$A$5001,AG$3,BD!$B$3:$B$5001,$A$379,BD!$C$3:$C$5001,"&lt;&gt;")=0,"",SUMIFS(BD!$C$3:$C$5001,BD!$A$3:$A$5001,AG$3,BD!$B$3:$B$5001,$A$379)))</f>
        <v/>
      </c>
      <c r="AH379" s="172" t="str">
        <f>IF(AH$3="","",IF(COUNTIFS(BD!$A$3:$A$5001,AH$3,BD!$B$3:$B$5001,$A$379,BD!$C$3:$C$5001,"&lt;&gt;")=0,"",SUMIFS(BD!$C$3:$C$5001,BD!$A$3:$A$5001,AH$3,BD!$B$3:$B$5001,$A$379)))</f>
        <v/>
      </c>
      <c r="AI379" s="172" t="str">
        <f>IF(AI$3="","",IF(COUNTIFS(BD!$A$3:$A$5001,AI$3,BD!$B$3:$B$5001,$A$379,BD!$C$3:$C$5001,"&lt;&gt;")=0,"",SUMIFS(BD!$C$3:$C$5001,BD!$A$3:$A$5001,AI$3,BD!$B$3:$B$5001,$A$379)))</f>
        <v/>
      </c>
      <c r="AJ379" s="173" t="str">
        <f>IF(AJ$3="","",IF(COUNTIFS(BD!$A$3:$A$5001,AJ$3,BD!$B$3:$B$5001,$A$379,BD!$C$3:$C$5001,"&lt;&gt;")=0,"",SUMIFS(BD!$C$3:$C$5001,BD!$A$3:$A$5001,AJ$3,BD!$B$3:$B$5001,$A$379)))</f>
        <v/>
      </c>
      <c r="AK379" s="174" t="str">
        <f>IF(COUNT(F379:AJ379)=0,"",SUM(F379:AJ379))</f>
        <v/>
      </c>
    </row>
    <row r="380" ht="15.75" customHeight="1" hidden="1">
      <c r="A380" s="277"/>
      <c r="B380" s="265"/>
      <c r="C380" s="175" t="inlineStr">
        <is>
          <t xml:space="preserve">Pallets Movimentados</t>
        </is>
      </c>
      <c r="D380" s="176" t="str">
        <f>IFERROR(1/(1/INDEX(BD!$AF$24:$AZ$24,MATCH($A$379,BD!$AF$22:$AZ$22,0))),"")</f>
        <v/>
      </c>
      <c r="E380" s="177"/>
      <c r="F380" s="178" t="str">
        <f>IF(F$3="","",IF(COUNTIFS(BD!$A$3:$A$5001,F$3,BD!$B$3:$B$5001,$A$379,BD!$D$3:$D$5001,"&lt;&gt;")=0,"",SUMIFS(BD!$D$3:$D$5001,BD!$A$3:$A$5001,F$3,BD!$B$3:$B$5001,$A$379)))</f>
        <v/>
      </c>
      <c r="G380" s="179" t="str">
        <f>IF(G$3="","",IF(COUNTIFS(BD!$A$3:$A$5001,G$3,BD!$B$3:$B$5001,$A$379,BD!$D$3:$D$5001,"&lt;&gt;")=0,"",SUMIFS(BD!$D$3:$D$5001,BD!$A$3:$A$5001,G$3,BD!$B$3:$B$5001,$A$379)))</f>
        <v/>
      </c>
      <c r="H380" s="179" t="str">
        <f>IF(H$3="","",IF(COUNTIFS(BD!$A$3:$A$5001,H$3,BD!$B$3:$B$5001,$A$379,BD!$D$3:$D$5001,"&lt;&gt;")=0,"",SUMIFS(BD!$D$3:$D$5001,BD!$A$3:$A$5001,H$3,BD!$B$3:$B$5001,$A$379)))</f>
        <v/>
      </c>
      <c r="I380" s="179" t="str">
        <f>IF(I$3="","",IF(COUNTIFS(BD!$A$3:$A$5001,I$3,BD!$B$3:$B$5001,$A$379,BD!$D$3:$D$5001,"&lt;&gt;")=0,"",SUMIFS(BD!$D$3:$D$5001,BD!$A$3:$A$5001,I$3,BD!$B$3:$B$5001,$A$379)))</f>
        <v/>
      </c>
      <c r="J380" s="179" t="str">
        <f>IF(J$3="","",IF(COUNTIFS(BD!$A$3:$A$5001,J$3,BD!$B$3:$B$5001,$A$379,BD!$D$3:$D$5001,"&lt;&gt;")=0,"",SUMIFS(BD!$D$3:$D$5001,BD!$A$3:$A$5001,J$3,BD!$B$3:$B$5001,$A$379)))</f>
        <v/>
      </c>
      <c r="K380" s="179" t="str">
        <f>IF(K$3="","",IF(COUNTIFS(BD!$A$3:$A$5001,K$3,BD!$B$3:$B$5001,$A$379,BD!$D$3:$D$5001,"&lt;&gt;")=0,"",SUMIFS(BD!$D$3:$D$5001,BD!$A$3:$A$5001,K$3,BD!$B$3:$B$5001,$A$379)))</f>
        <v/>
      </c>
      <c r="L380" s="179" t="str">
        <f>IF(L$3="","",IF(COUNTIFS(BD!$A$3:$A$5001,L$3,BD!$B$3:$B$5001,$A$379,BD!$D$3:$D$5001,"&lt;&gt;")=0,"",SUMIFS(BD!$D$3:$D$5001,BD!$A$3:$A$5001,L$3,BD!$B$3:$B$5001,$A$379)))</f>
        <v/>
      </c>
      <c r="M380" s="179" t="str">
        <f>IF(M$3="","",IF(COUNTIFS(BD!$A$3:$A$5001,M$3,BD!$B$3:$B$5001,$A$379,BD!$D$3:$D$5001,"&lt;&gt;")=0,"",SUMIFS(BD!$D$3:$D$5001,BD!$A$3:$A$5001,M$3,BD!$B$3:$B$5001,$A$379)))</f>
        <v/>
      </c>
      <c r="N380" s="179" t="str">
        <f>IF(N$3="","",IF(COUNTIFS(BD!$A$3:$A$5001,N$3,BD!$B$3:$B$5001,$A$379,BD!$D$3:$D$5001,"&lt;&gt;")=0,"",SUMIFS(BD!$D$3:$D$5001,BD!$A$3:$A$5001,N$3,BD!$B$3:$B$5001,$A$379)))</f>
        <v/>
      </c>
      <c r="O380" s="179" t="str">
        <f>IF(O$3="","",IF(COUNTIFS(BD!$A$3:$A$5001,O$3,BD!$B$3:$B$5001,$A$379,BD!$D$3:$D$5001,"&lt;&gt;")=0,"",SUMIFS(BD!$D$3:$D$5001,BD!$A$3:$A$5001,O$3,BD!$B$3:$B$5001,$A$379)))</f>
        <v/>
      </c>
      <c r="P380" s="179" t="str">
        <f>IF(P$3="","",IF(COUNTIFS(BD!$A$3:$A$5001,P$3,BD!$B$3:$B$5001,$A$379,BD!$D$3:$D$5001,"&lt;&gt;")=0,"",SUMIFS(BD!$D$3:$D$5001,BD!$A$3:$A$5001,P$3,BD!$B$3:$B$5001,$A$379)))</f>
        <v/>
      </c>
      <c r="Q380" s="179" t="str">
        <f>IF(Q$3="","",IF(COUNTIFS(BD!$A$3:$A$5001,Q$3,BD!$B$3:$B$5001,$A$379,BD!$D$3:$D$5001,"&lt;&gt;")=0,"",SUMIFS(BD!$D$3:$D$5001,BD!$A$3:$A$5001,Q$3,BD!$B$3:$B$5001,$A$379)))</f>
        <v/>
      </c>
      <c r="R380" s="179" t="str">
        <f>IF(R$3="","",IF(COUNTIFS(BD!$A$3:$A$5001,R$3,BD!$B$3:$B$5001,$A$379,BD!$D$3:$D$5001,"&lt;&gt;")=0,"",SUMIFS(BD!$D$3:$D$5001,BD!$A$3:$A$5001,R$3,BD!$B$3:$B$5001,$A$379)))</f>
        <v/>
      </c>
      <c r="S380" s="179" t="str">
        <f>IF(S$3="","",IF(COUNTIFS(BD!$A$3:$A$5001,S$3,BD!$B$3:$B$5001,$A$379,BD!$D$3:$D$5001,"&lt;&gt;")=0,"",SUMIFS(BD!$D$3:$D$5001,BD!$A$3:$A$5001,S$3,BD!$B$3:$B$5001,$A$379)))</f>
        <v/>
      </c>
      <c r="T380" s="179" t="str">
        <f>IF(T$3="","",IF(COUNTIFS(BD!$A$3:$A$5001,T$3,BD!$B$3:$B$5001,$A$379,BD!$D$3:$D$5001,"&lt;&gt;")=0,"",SUMIFS(BD!$D$3:$D$5001,BD!$A$3:$A$5001,T$3,BD!$B$3:$B$5001,$A$379)))</f>
        <v/>
      </c>
      <c r="U380" s="179" t="str">
        <f>IF(U$3="","",IF(COUNTIFS(BD!$A$3:$A$5001,U$3,BD!$B$3:$B$5001,$A$379,BD!$D$3:$D$5001,"&lt;&gt;")=0,"",SUMIFS(BD!$D$3:$D$5001,BD!$A$3:$A$5001,U$3,BD!$B$3:$B$5001,$A$379)))</f>
        <v/>
      </c>
      <c r="V380" s="179" t="str">
        <f>IF(V$3="","",IF(COUNTIFS(BD!$A$3:$A$5001,V$3,BD!$B$3:$B$5001,$A$379,BD!$D$3:$D$5001,"&lt;&gt;")=0,"",SUMIFS(BD!$D$3:$D$5001,BD!$A$3:$A$5001,V$3,BD!$B$3:$B$5001,$A$379)))</f>
        <v/>
      </c>
      <c r="W380" s="179" t="str">
        <f>IF(W$3="","",IF(COUNTIFS(BD!$A$3:$A$5001,W$3,BD!$B$3:$B$5001,$A$379,BD!$D$3:$D$5001,"&lt;&gt;")=0,"",SUMIFS(BD!$D$3:$D$5001,BD!$A$3:$A$5001,W$3,BD!$B$3:$B$5001,$A$379)))</f>
        <v/>
      </c>
      <c r="X380" s="179" t="str">
        <f>IF(X$3="","",IF(COUNTIFS(BD!$A$3:$A$5001,X$3,BD!$B$3:$B$5001,$A$379,BD!$D$3:$D$5001,"&lt;&gt;")=0,"",SUMIFS(BD!$D$3:$D$5001,BD!$A$3:$A$5001,X$3,BD!$B$3:$B$5001,$A$379)))</f>
        <v/>
      </c>
      <c r="Y380" s="179" t="str">
        <f>IF(Y$3="","",IF(COUNTIFS(BD!$A$3:$A$5001,Y$3,BD!$B$3:$B$5001,$A$379,BD!$D$3:$D$5001,"&lt;&gt;")=0,"",SUMIFS(BD!$D$3:$D$5001,BD!$A$3:$A$5001,Y$3,BD!$B$3:$B$5001,$A$379)))</f>
        <v/>
      </c>
      <c r="Z380" s="179" t="str">
        <f>IF(Z$3="","",IF(COUNTIFS(BD!$A$3:$A$5001,Z$3,BD!$B$3:$B$5001,$A$379,BD!$D$3:$D$5001,"&lt;&gt;")=0,"",SUMIFS(BD!$D$3:$D$5001,BD!$A$3:$A$5001,Z$3,BD!$B$3:$B$5001,$A$379)))</f>
        <v/>
      </c>
      <c r="AA380" s="179" t="str">
        <f>IF(AA$3="","",IF(COUNTIFS(BD!$A$3:$A$5001,AA$3,BD!$B$3:$B$5001,$A$379,BD!$D$3:$D$5001,"&lt;&gt;")=0,"",SUMIFS(BD!$D$3:$D$5001,BD!$A$3:$A$5001,AA$3,BD!$B$3:$B$5001,$A$379)))</f>
        <v/>
      </c>
      <c r="AB380" s="179" t="str">
        <f>IF(AB$3="","",IF(COUNTIFS(BD!$A$3:$A$5001,AB$3,BD!$B$3:$B$5001,$A$379,BD!$D$3:$D$5001,"&lt;&gt;")=0,"",SUMIFS(BD!$D$3:$D$5001,BD!$A$3:$A$5001,AB$3,BD!$B$3:$B$5001,$A$379)))</f>
        <v/>
      </c>
      <c r="AC380" s="179" t="str">
        <f>IF(AC$3="","",IF(COUNTIFS(BD!$A$3:$A$5001,AC$3,BD!$B$3:$B$5001,$A$379,BD!$D$3:$D$5001,"&lt;&gt;")=0,"",SUMIFS(BD!$D$3:$D$5001,BD!$A$3:$A$5001,AC$3,BD!$B$3:$B$5001,$A$379)))</f>
        <v/>
      </c>
      <c r="AD380" s="179" t="str">
        <f>IF(AD$3="","",IF(COUNTIFS(BD!$A$3:$A$5001,AD$3,BD!$B$3:$B$5001,$A$379,BD!$D$3:$D$5001,"&lt;&gt;")=0,"",SUMIFS(BD!$D$3:$D$5001,BD!$A$3:$A$5001,AD$3,BD!$B$3:$B$5001,$A$379)))</f>
        <v/>
      </c>
      <c r="AE380" s="179" t="str">
        <f>IF(AE$3="","",IF(COUNTIFS(BD!$A$3:$A$5001,AE$3,BD!$B$3:$B$5001,$A$379,BD!$D$3:$D$5001,"&lt;&gt;")=0,"",SUMIFS(BD!$D$3:$D$5001,BD!$A$3:$A$5001,AE$3,BD!$B$3:$B$5001,$A$379)))</f>
        <v/>
      </c>
      <c r="AF380" s="179" t="str">
        <f>IF(AF$3="","",IF(COUNTIFS(BD!$A$3:$A$5001,AF$3,BD!$B$3:$B$5001,$A$379,BD!$D$3:$D$5001,"&lt;&gt;")=0,"",SUMIFS(BD!$D$3:$D$5001,BD!$A$3:$A$5001,AF$3,BD!$B$3:$B$5001,$A$379)))</f>
        <v/>
      </c>
      <c r="AG380" s="179" t="str">
        <f>IF(AG$3="","",IF(COUNTIFS(BD!$A$3:$A$5001,AG$3,BD!$B$3:$B$5001,$A$379,BD!$D$3:$D$5001,"&lt;&gt;")=0,"",SUMIFS(BD!$D$3:$D$5001,BD!$A$3:$A$5001,AG$3,BD!$B$3:$B$5001,$A$379)))</f>
        <v/>
      </c>
      <c r="AH380" s="179" t="str">
        <f>IF(AH$3="","",IF(COUNTIFS(BD!$A$3:$A$5001,AH$3,BD!$B$3:$B$5001,$A$379,BD!$D$3:$D$5001,"&lt;&gt;")=0,"",SUMIFS(BD!$D$3:$D$5001,BD!$A$3:$A$5001,AH$3,BD!$B$3:$B$5001,$A$379)))</f>
        <v/>
      </c>
      <c r="AI380" s="179" t="str">
        <f>IF(AI$3="","",IF(COUNTIFS(BD!$A$3:$A$5001,AI$3,BD!$B$3:$B$5001,$A$379,BD!$D$3:$D$5001,"&lt;&gt;")=0,"",SUMIFS(BD!$D$3:$D$5001,BD!$A$3:$A$5001,AI$3,BD!$B$3:$B$5001,$A$379)))</f>
        <v/>
      </c>
      <c r="AJ380" s="180" t="str">
        <f>IF(AJ$3="","",IF(COUNTIFS(BD!$A$3:$A$5001,AJ$3,BD!$B$3:$B$5001,$A$379,BD!$D$3:$D$5001,"&lt;&gt;")=0,"",SUMIFS(BD!$D$3:$D$5001,BD!$A$3:$A$5001,AJ$3,BD!$B$3:$B$5001,$A$379)))</f>
        <v/>
      </c>
      <c r="AK380" s="181" t="str">
        <f>IF(COUNT(F380:AJ380)=0,"",SUM(F380:AJ380))</f>
        <v/>
      </c>
    </row>
    <row r="381" ht="15.75" customHeight="1" hidden="1">
      <c r="A381" s="277"/>
      <c r="B381" s="265"/>
      <c r="C381" s="175" t="inlineStr">
        <is>
          <t xml:space="preserve">Toneladas Movimentadas</t>
        </is>
      </c>
      <c r="D381" s="176" t="str">
        <f>IFERROR(1/(1/INDEX(BD!$AF$25:$AZ$25,MATCH($A$379,BD!$AF$22:$AZ$22,0))),"")</f>
        <v/>
      </c>
      <c r="E381" s="177"/>
      <c r="F381" s="182" t="str">
        <f>IF(F$3="","",IF(COUNTIFS(BD!$A$3:$A$5001,F$3,BD!$B$3:$B$5001,$A$379,BD!$E$3:$E$5001,"&lt;&gt;")=0,"",SUMIFS(BD!$E$3:$E$5001,BD!$A$3:$A$5001,F$3,BD!$B$3:$B$5001,$A$379)))</f>
        <v/>
      </c>
      <c r="G381" s="183" t="str">
        <f>IF(G$3="","",IF(COUNTIFS(BD!$A$3:$A$5001,G$3,BD!$B$3:$B$5001,$A$379,BD!$E$3:$E$5001,"&lt;&gt;")=0,"",SUMIFS(BD!$E$3:$E$5001,BD!$A$3:$A$5001,G$3,BD!$B$3:$B$5001,$A$379)))</f>
        <v/>
      </c>
      <c r="H381" s="183" t="str">
        <f>IF(H$3="","",IF(COUNTIFS(BD!$A$3:$A$5001,H$3,BD!$B$3:$B$5001,$A$379,BD!$E$3:$E$5001,"&lt;&gt;")=0,"",SUMIFS(BD!$E$3:$E$5001,BD!$A$3:$A$5001,H$3,BD!$B$3:$B$5001,$A$379)))</f>
        <v/>
      </c>
      <c r="I381" s="183" t="str">
        <f>IF(I$3="","",IF(COUNTIFS(BD!$A$3:$A$5001,I$3,BD!$B$3:$B$5001,$A$379,BD!$E$3:$E$5001,"&lt;&gt;")=0,"",SUMIFS(BD!$E$3:$E$5001,BD!$A$3:$A$5001,I$3,BD!$B$3:$B$5001,$A$379)))</f>
        <v/>
      </c>
      <c r="J381" s="183" t="str">
        <f>IF(J$3="","",IF(COUNTIFS(BD!$A$3:$A$5001,J$3,BD!$B$3:$B$5001,$A$379,BD!$E$3:$E$5001,"&lt;&gt;")=0,"",SUMIFS(BD!$E$3:$E$5001,BD!$A$3:$A$5001,J$3,BD!$B$3:$B$5001,$A$379)))</f>
        <v/>
      </c>
      <c r="K381" s="183" t="str">
        <f>IF(K$3="","",IF(COUNTIFS(BD!$A$3:$A$5001,K$3,BD!$B$3:$B$5001,$A$379,BD!$E$3:$E$5001,"&lt;&gt;")=0,"",SUMIFS(BD!$E$3:$E$5001,BD!$A$3:$A$5001,K$3,BD!$B$3:$B$5001,$A$379)))</f>
        <v/>
      </c>
      <c r="L381" s="183" t="str">
        <f>IF(L$3="","",IF(COUNTIFS(BD!$A$3:$A$5001,L$3,BD!$B$3:$B$5001,$A$379,BD!$E$3:$E$5001,"&lt;&gt;")=0,"",SUMIFS(BD!$E$3:$E$5001,BD!$A$3:$A$5001,L$3,BD!$B$3:$B$5001,$A$379)))</f>
        <v/>
      </c>
      <c r="M381" s="183" t="str">
        <f>IF(M$3="","",IF(COUNTIFS(BD!$A$3:$A$5001,M$3,BD!$B$3:$B$5001,$A$379,BD!$E$3:$E$5001,"&lt;&gt;")=0,"",SUMIFS(BD!$E$3:$E$5001,BD!$A$3:$A$5001,M$3,BD!$B$3:$B$5001,$A$379)))</f>
        <v/>
      </c>
      <c r="N381" s="183" t="str">
        <f>IF(N$3="","",IF(COUNTIFS(BD!$A$3:$A$5001,N$3,BD!$B$3:$B$5001,$A$379,BD!$E$3:$E$5001,"&lt;&gt;")=0,"",SUMIFS(BD!$E$3:$E$5001,BD!$A$3:$A$5001,N$3,BD!$B$3:$B$5001,$A$379)))</f>
        <v/>
      </c>
      <c r="O381" s="183" t="str">
        <f>IF(O$3="","",IF(COUNTIFS(BD!$A$3:$A$5001,O$3,BD!$B$3:$B$5001,$A$379,BD!$E$3:$E$5001,"&lt;&gt;")=0,"",SUMIFS(BD!$E$3:$E$5001,BD!$A$3:$A$5001,O$3,BD!$B$3:$B$5001,$A$379)))</f>
        <v/>
      </c>
      <c r="P381" s="183" t="str">
        <f>IF(P$3="","",IF(COUNTIFS(BD!$A$3:$A$5001,P$3,BD!$B$3:$B$5001,$A$379,BD!$E$3:$E$5001,"&lt;&gt;")=0,"",SUMIFS(BD!$E$3:$E$5001,BD!$A$3:$A$5001,P$3,BD!$B$3:$B$5001,$A$379)))</f>
        <v/>
      </c>
      <c r="Q381" s="183" t="str">
        <f>IF(Q$3="","",IF(COUNTIFS(BD!$A$3:$A$5001,Q$3,BD!$B$3:$B$5001,$A$379,BD!$E$3:$E$5001,"&lt;&gt;")=0,"",SUMIFS(BD!$E$3:$E$5001,BD!$A$3:$A$5001,Q$3,BD!$B$3:$B$5001,$A$379)))</f>
        <v/>
      </c>
      <c r="R381" s="183" t="str">
        <f>IF(R$3="","",IF(COUNTIFS(BD!$A$3:$A$5001,R$3,BD!$B$3:$B$5001,$A$379,BD!$E$3:$E$5001,"&lt;&gt;")=0,"",SUMIFS(BD!$E$3:$E$5001,BD!$A$3:$A$5001,R$3,BD!$B$3:$B$5001,$A$379)))</f>
        <v/>
      </c>
      <c r="S381" s="183" t="str">
        <f>IF(S$3="","",IF(COUNTIFS(BD!$A$3:$A$5001,S$3,BD!$B$3:$B$5001,$A$379,BD!$E$3:$E$5001,"&lt;&gt;")=0,"",SUMIFS(BD!$E$3:$E$5001,BD!$A$3:$A$5001,S$3,BD!$B$3:$B$5001,$A$379)))</f>
        <v/>
      </c>
      <c r="T381" s="183" t="str">
        <f>IF(T$3="","",IF(COUNTIFS(BD!$A$3:$A$5001,T$3,BD!$B$3:$B$5001,$A$379,BD!$E$3:$E$5001,"&lt;&gt;")=0,"",SUMIFS(BD!$E$3:$E$5001,BD!$A$3:$A$5001,T$3,BD!$B$3:$B$5001,$A$379)))</f>
        <v/>
      </c>
      <c r="U381" s="183" t="str">
        <f>IF(U$3="","",IF(COUNTIFS(BD!$A$3:$A$5001,U$3,BD!$B$3:$B$5001,$A$379,BD!$E$3:$E$5001,"&lt;&gt;")=0,"",SUMIFS(BD!$E$3:$E$5001,BD!$A$3:$A$5001,U$3,BD!$B$3:$B$5001,$A$379)))</f>
        <v/>
      </c>
      <c r="V381" s="183" t="str">
        <f>IF(V$3="","",IF(COUNTIFS(BD!$A$3:$A$5001,V$3,BD!$B$3:$B$5001,$A$379,BD!$E$3:$E$5001,"&lt;&gt;")=0,"",SUMIFS(BD!$E$3:$E$5001,BD!$A$3:$A$5001,V$3,BD!$B$3:$B$5001,$A$379)))</f>
        <v/>
      </c>
      <c r="W381" s="183" t="str">
        <f>IF(W$3="","",IF(COUNTIFS(BD!$A$3:$A$5001,W$3,BD!$B$3:$B$5001,$A$379,BD!$E$3:$E$5001,"&lt;&gt;")=0,"",SUMIFS(BD!$E$3:$E$5001,BD!$A$3:$A$5001,W$3,BD!$B$3:$B$5001,$A$379)))</f>
        <v/>
      </c>
      <c r="X381" s="183" t="str">
        <f>IF(X$3="","",IF(COUNTIFS(BD!$A$3:$A$5001,X$3,BD!$B$3:$B$5001,$A$379,BD!$E$3:$E$5001,"&lt;&gt;")=0,"",SUMIFS(BD!$E$3:$E$5001,BD!$A$3:$A$5001,X$3,BD!$B$3:$B$5001,$A$379)))</f>
        <v/>
      </c>
      <c r="Y381" s="183" t="str">
        <f>IF(Y$3="","",IF(COUNTIFS(BD!$A$3:$A$5001,Y$3,BD!$B$3:$B$5001,$A$379,BD!$E$3:$E$5001,"&lt;&gt;")=0,"",SUMIFS(BD!$E$3:$E$5001,BD!$A$3:$A$5001,Y$3,BD!$B$3:$B$5001,$A$379)))</f>
        <v/>
      </c>
      <c r="Z381" s="183" t="str">
        <f>IF(Z$3="","",IF(COUNTIFS(BD!$A$3:$A$5001,Z$3,BD!$B$3:$B$5001,$A$379,BD!$E$3:$E$5001,"&lt;&gt;")=0,"",SUMIFS(BD!$E$3:$E$5001,BD!$A$3:$A$5001,Z$3,BD!$B$3:$B$5001,$A$379)))</f>
        <v/>
      </c>
      <c r="AA381" s="183" t="str">
        <f>IF(AA$3="","",IF(COUNTIFS(BD!$A$3:$A$5001,AA$3,BD!$B$3:$B$5001,$A$379,BD!$E$3:$E$5001,"&lt;&gt;")=0,"",SUMIFS(BD!$E$3:$E$5001,BD!$A$3:$A$5001,AA$3,BD!$B$3:$B$5001,$A$379)))</f>
        <v/>
      </c>
      <c r="AB381" s="183" t="str">
        <f>IF(AB$3="","",IF(COUNTIFS(BD!$A$3:$A$5001,AB$3,BD!$B$3:$B$5001,$A$379,BD!$E$3:$E$5001,"&lt;&gt;")=0,"",SUMIFS(BD!$E$3:$E$5001,BD!$A$3:$A$5001,AB$3,BD!$B$3:$B$5001,$A$379)))</f>
        <v/>
      </c>
      <c r="AC381" s="183" t="str">
        <f>IF(AC$3="","",IF(COUNTIFS(BD!$A$3:$A$5001,AC$3,BD!$B$3:$B$5001,$A$379,BD!$E$3:$E$5001,"&lt;&gt;")=0,"",SUMIFS(BD!$E$3:$E$5001,BD!$A$3:$A$5001,AC$3,BD!$B$3:$B$5001,$A$379)))</f>
        <v/>
      </c>
      <c r="AD381" s="183" t="str">
        <f>IF(AD$3="","",IF(COUNTIFS(BD!$A$3:$A$5001,AD$3,BD!$B$3:$B$5001,$A$379,BD!$E$3:$E$5001,"&lt;&gt;")=0,"",SUMIFS(BD!$E$3:$E$5001,BD!$A$3:$A$5001,AD$3,BD!$B$3:$B$5001,$A$379)))</f>
        <v/>
      </c>
      <c r="AE381" s="183" t="str">
        <f>IF(AE$3="","",IF(COUNTIFS(BD!$A$3:$A$5001,AE$3,BD!$B$3:$B$5001,$A$379,BD!$E$3:$E$5001,"&lt;&gt;")=0,"",SUMIFS(BD!$E$3:$E$5001,BD!$A$3:$A$5001,AE$3,BD!$B$3:$B$5001,$A$379)))</f>
        <v/>
      </c>
      <c r="AF381" s="183" t="str">
        <f>IF(AF$3="","",IF(COUNTIFS(BD!$A$3:$A$5001,AF$3,BD!$B$3:$B$5001,$A$379,BD!$E$3:$E$5001,"&lt;&gt;")=0,"",SUMIFS(BD!$E$3:$E$5001,BD!$A$3:$A$5001,AF$3,BD!$B$3:$B$5001,$A$379)))</f>
        <v/>
      </c>
      <c r="AG381" s="183" t="str">
        <f>IF(AG$3="","",IF(COUNTIFS(BD!$A$3:$A$5001,AG$3,BD!$B$3:$B$5001,$A$379,BD!$E$3:$E$5001,"&lt;&gt;")=0,"",SUMIFS(BD!$E$3:$E$5001,BD!$A$3:$A$5001,AG$3,BD!$B$3:$B$5001,$A$379)))</f>
        <v/>
      </c>
      <c r="AH381" s="183" t="str">
        <f>IF(AH$3="","",IF(COUNTIFS(BD!$A$3:$A$5001,AH$3,BD!$B$3:$B$5001,$A$379,BD!$E$3:$E$5001,"&lt;&gt;")=0,"",SUMIFS(BD!$E$3:$E$5001,BD!$A$3:$A$5001,AH$3,BD!$B$3:$B$5001,$A$379)))</f>
        <v/>
      </c>
      <c r="AI381" s="183" t="str">
        <f>IF(AI$3="","",IF(COUNTIFS(BD!$A$3:$A$5001,AI$3,BD!$B$3:$B$5001,$A$379,BD!$E$3:$E$5001,"&lt;&gt;")=0,"",SUMIFS(BD!$E$3:$E$5001,BD!$A$3:$A$5001,AI$3,BD!$B$3:$B$5001,$A$379)))</f>
        <v/>
      </c>
      <c r="AJ381" s="184" t="str">
        <f>IF(AJ$3="","",IF(COUNTIFS(BD!$A$3:$A$5001,AJ$3,BD!$B$3:$B$5001,$A$379,BD!$E$3:$E$5001,"&lt;&gt;")=0,"",SUMIFS(BD!$E$3:$E$5001,BD!$A$3:$A$5001,AJ$3,BD!$B$3:$B$5001,$A$379)))</f>
        <v/>
      </c>
      <c r="AK381" s="185" t="str">
        <f>IF(COUNT(F381:AJ381)=0,"",SUM(F381:AJ381))</f>
        <v/>
      </c>
    </row>
    <row r="382" ht="15.75" customHeight="1" hidden="1">
      <c r="A382" s="277"/>
      <c r="B382" s="265"/>
      <c r="C382" s="175" t="inlineStr">
        <is>
          <t xml:space="preserve">Caixas Recebidas</t>
        </is>
      </c>
      <c r="D382" s="176" t="str">
        <f>IFERROR(1/(1/INDEX(BD!$AF$26:$AZ$26,MATCH($A$379,BD!$AF$22:$AZ$22,0))),"")</f>
        <v/>
      </c>
      <c r="E382" s="177"/>
      <c r="F382" s="178" t="str">
        <f>IF(F$3="","",IF(COUNTIFS(BD!$A$3:$A$5001,F$3,BD!$B$3:$B$5001,$A$379,BD!$F$3:$F$5001,"&lt;&gt;")=0,"",SUMIFS(BD!$F$3:$F$5001,BD!$A$3:$A$5001,F$3,BD!$B$3:$B$5001,$A$379)))</f>
        <v/>
      </c>
      <c r="G382" s="179" t="str">
        <f>IF(G$3="","",IF(COUNTIFS(BD!$A$3:$A$5001,G$3,BD!$B$3:$B$5001,$A$379,BD!$F$3:$F$5001,"&lt;&gt;")=0,"",SUMIFS(BD!$F$3:$F$5001,BD!$A$3:$A$5001,G$3,BD!$B$3:$B$5001,$A$379)))</f>
        <v/>
      </c>
      <c r="H382" s="179" t="str">
        <f>IF(H$3="","",IF(COUNTIFS(BD!$A$3:$A$5001,H$3,BD!$B$3:$B$5001,$A$379,BD!$F$3:$F$5001,"&lt;&gt;")=0,"",SUMIFS(BD!$F$3:$F$5001,BD!$A$3:$A$5001,H$3,BD!$B$3:$B$5001,$A$379)))</f>
        <v/>
      </c>
      <c r="I382" s="179" t="str">
        <f>IF(I$3="","",IF(COUNTIFS(BD!$A$3:$A$5001,I$3,BD!$B$3:$B$5001,$A$379,BD!$F$3:$F$5001,"&lt;&gt;")=0,"",SUMIFS(BD!$F$3:$F$5001,BD!$A$3:$A$5001,I$3,BD!$B$3:$B$5001,$A$379)))</f>
        <v/>
      </c>
      <c r="J382" s="179" t="str">
        <f>IF(J$3="","",IF(COUNTIFS(BD!$A$3:$A$5001,J$3,BD!$B$3:$B$5001,$A$379,BD!$F$3:$F$5001,"&lt;&gt;")=0,"",SUMIFS(BD!$F$3:$F$5001,BD!$A$3:$A$5001,J$3,BD!$B$3:$B$5001,$A$379)))</f>
        <v/>
      </c>
      <c r="K382" s="179" t="str">
        <f>IF(K$3="","",IF(COUNTIFS(BD!$A$3:$A$5001,K$3,BD!$B$3:$B$5001,$A$379,BD!$F$3:$F$5001,"&lt;&gt;")=0,"",SUMIFS(BD!$F$3:$F$5001,BD!$A$3:$A$5001,K$3,BD!$B$3:$B$5001,$A$379)))</f>
        <v/>
      </c>
      <c r="L382" s="179" t="str">
        <f>IF(L$3="","",IF(COUNTIFS(BD!$A$3:$A$5001,L$3,BD!$B$3:$B$5001,$A$379,BD!$F$3:$F$5001,"&lt;&gt;")=0,"",SUMIFS(BD!$F$3:$F$5001,BD!$A$3:$A$5001,L$3,BD!$B$3:$B$5001,$A$379)))</f>
        <v/>
      </c>
      <c r="M382" s="179" t="str">
        <f>IF(M$3="","",IF(COUNTIFS(BD!$A$3:$A$5001,M$3,BD!$B$3:$B$5001,$A$379,BD!$F$3:$F$5001,"&lt;&gt;")=0,"",SUMIFS(BD!$F$3:$F$5001,BD!$A$3:$A$5001,M$3,BD!$B$3:$B$5001,$A$379)))</f>
        <v/>
      </c>
      <c r="N382" s="179" t="str">
        <f>IF(N$3="","",IF(COUNTIFS(BD!$A$3:$A$5001,N$3,BD!$B$3:$B$5001,$A$379,BD!$F$3:$F$5001,"&lt;&gt;")=0,"",SUMIFS(BD!$F$3:$F$5001,BD!$A$3:$A$5001,N$3,BD!$B$3:$B$5001,$A$379)))</f>
        <v/>
      </c>
      <c r="O382" s="179" t="str">
        <f>IF(O$3="","",IF(COUNTIFS(BD!$A$3:$A$5001,O$3,BD!$B$3:$B$5001,$A$379,BD!$F$3:$F$5001,"&lt;&gt;")=0,"",SUMIFS(BD!$F$3:$F$5001,BD!$A$3:$A$5001,O$3,BD!$B$3:$B$5001,$A$379)))</f>
        <v/>
      </c>
      <c r="P382" s="179" t="str">
        <f>IF(P$3="","",IF(COUNTIFS(BD!$A$3:$A$5001,P$3,BD!$B$3:$B$5001,$A$379,BD!$F$3:$F$5001,"&lt;&gt;")=0,"",SUMIFS(BD!$F$3:$F$5001,BD!$A$3:$A$5001,P$3,BD!$B$3:$B$5001,$A$379)))</f>
        <v/>
      </c>
      <c r="Q382" s="179" t="str">
        <f>IF(Q$3="","",IF(COUNTIFS(BD!$A$3:$A$5001,Q$3,BD!$B$3:$B$5001,$A$379,BD!$F$3:$F$5001,"&lt;&gt;")=0,"",SUMIFS(BD!$F$3:$F$5001,BD!$A$3:$A$5001,Q$3,BD!$B$3:$B$5001,$A$379)))</f>
        <v/>
      </c>
      <c r="R382" s="179" t="str">
        <f>IF(R$3="","",IF(COUNTIFS(BD!$A$3:$A$5001,R$3,BD!$B$3:$B$5001,$A$379,BD!$F$3:$F$5001,"&lt;&gt;")=0,"",SUMIFS(BD!$F$3:$F$5001,BD!$A$3:$A$5001,R$3,BD!$B$3:$B$5001,$A$379)))</f>
        <v/>
      </c>
      <c r="S382" s="179" t="str">
        <f>IF(S$3="","",IF(COUNTIFS(BD!$A$3:$A$5001,S$3,BD!$B$3:$B$5001,$A$379,BD!$F$3:$F$5001,"&lt;&gt;")=0,"",SUMIFS(BD!$F$3:$F$5001,BD!$A$3:$A$5001,S$3,BD!$B$3:$B$5001,$A$379)))</f>
        <v/>
      </c>
      <c r="T382" s="179" t="str">
        <f>IF(T$3="","",IF(COUNTIFS(BD!$A$3:$A$5001,T$3,BD!$B$3:$B$5001,$A$379,BD!$F$3:$F$5001,"&lt;&gt;")=0,"",SUMIFS(BD!$F$3:$F$5001,BD!$A$3:$A$5001,T$3,BD!$B$3:$B$5001,$A$379)))</f>
        <v/>
      </c>
      <c r="U382" s="179" t="str">
        <f>IF(U$3="","",IF(COUNTIFS(BD!$A$3:$A$5001,U$3,BD!$B$3:$B$5001,$A$379,BD!$F$3:$F$5001,"&lt;&gt;")=0,"",SUMIFS(BD!$F$3:$F$5001,BD!$A$3:$A$5001,U$3,BD!$B$3:$B$5001,$A$379)))</f>
        <v/>
      </c>
      <c r="V382" s="179" t="str">
        <f>IF(V$3="","",IF(COUNTIFS(BD!$A$3:$A$5001,V$3,BD!$B$3:$B$5001,$A$379,BD!$F$3:$F$5001,"&lt;&gt;")=0,"",SUMIFS(BD!$F$3:$F$5001,BD!$A$3:$A$5001,V$3,BD!$B$3:$B$5001,$A$379)))</f>
        <v/>
      </c>
      <c r="W382" s="179" t="str">
        <f>IF(W$3="","",IF(COUNTIFS(BD!$A$3:$A$5001,W$3,BD!$B$3:$B$5001,$A$379,BD!$F$3:$F$5001,"&lt;&gt;")=0,"",SUMIFS(BD!$F$3:$F$5001,BD!$A$3:$A$5001,W$3,BD!$B$3:$B$5001,$A$379)))</f>
        <v/>
      </c>
      <c r="X382" s="179" t="str">
        <f>IF(X$3="","",IF(COUNTIFS(BD!$A$3:$A$5001,X$3,BD!$B$3:$B$5001,$A$379,BD!$F$3:$F$5001,"&lt;&gt;")=0,"",SUMIFS(BD!$F$3:$F$5001,BD!$A$3:$A$5001,X$3,BD!$B$3:$B$5001,$A$379)))</f>
        <v/>
      </c>
      <c r="Y382" s="179" t="str">
        <f>IF(Y$3="","",IF(COUNTIFS(BD!$A$3:$A$5001,Y$3,BD!$B$3:$B$5001,$A$379,BD!$F$3:$F$5001,"&lt;&gt;")=0,"",SUMIFS(BD!$F$3:$F$5001,BD!$A$3:$A$5001,Y$3,BD!$B$3:$B$5001,$A$379)))</f>
        <v/>
      </c>
      <c r="Z382" s="179" t="str">
        <f>IF(Z$3="","",IF(COUNTIFS(BD!$A$3:$A$5001,Z$3,BD!$B$3:$B$5001,$A$379,BD!$F$3:$F$5001,"&lt;&gt;")=0,"",SUMIFS(BD!$F$3:$F$5001,BD!$A$3:$A$5001,Z$3,BD!$B$3:$B$5001,$A$379)))</f>
        <v/>
      </c>
      <c r="AA382" s="179" t="str">
        <f>IF(AA$3="","",IF(COUNTIFS(BD!$A$3:$A$5001,AA$3,BD!$B$3:$B$5001,$A$379,BD!$F$3:$F$5001,"&lt;&gt;")=0,"",SUMIFS(BD!$F$3:$F$5001,BD!$A$3:$A$5001,AA$3,BD!$B$3:$B$5001,$A$379)))</f>
        <v/>
      </c>
      <c r="AB382" s="179" t="str">
        <f>IF(AB$3="","",IF(COUNTIFS(BD!$A$3:$A$5001,AB$3,BD!$B$3:$B$5001,$A$379,BD!$F$3:$F$5001,"&lt;&gt;")=0,"",SUMIFS(BD!$F$3:$F$5001,BD!$A$3:$A$5001,AB$3,BD!$B$3:$B$5001,$A$379)))</f>
        <v/>
      </c>
      <c r="AC382" s="179" t="str">
        <f>IF(AC$3="","",IF(COUNTIFS(BD!$A$3:$A$5001,AC$3,BD!$B$3:$B$5001,$A$379,BD!$F$3:$F$5001,"&lt;&gt;")=0,"",SUMIFS(BD!$F$3:$F$5001,BD!$A$3:$A$5001,AC$3,BD!$B$3:$B$5001,$A$379)))</f>
        <v/>
      </c>
      <c r="AD382" s="179" t="str">
        <f>IF(AD$3="","",IF(COUNTIFS(BD!$A$3:$A$5001,AD$3,BD!$B$3:$B$5001,$A$379,BD!$F$3:$F$5001,"&lt;&gt;")=0,"",SUMIFS(BD!$F$3:$F$5001,BD!$A$3:$A$5001,AD$3,BD!$B$3:$B$5001,$A$379)))</f>
        <v/>
      </c>
      <c r="AE382" s="179" t="str">
        <f>IF(AE$3="","",IF(COUNTIFS(BD!$A$3:$A$5001,AE$3,BD!$B$3:$B$5001,$A$379,BD!$F$3:$F$5001,"&lt;&gt;")=0,"",SUMIFS(BD!$F$3:$F$5001,BD!$A$3:$A$5001,AE$3,BD!$B$3:$B$5001,$A$379)))</f>
        <v/>
      </c>
      <c r="AF382" s="179" t="str">
        <f>IF(AF$3="","",IF(COUNTIFS(BD!$A$3:$A$5001,AF$3,BD!$B$3:$B$5001,$A$379,BD!$F$3:$F$5001,"&lt;&gt;")=0,"",SUMIFS(BD!$F$3:$F$5001,BD!$A$3:$A$5001,AF$3,BD!$B$3:$B$5001,$A$379)))</f>
        <v/>
      </c>
      <c r="AG382" s="179" t="str">
        <f>IF(AG$3="","",IF(COUNTIFS(BD!$A$3:$A$5001,AG$3,BD!$B$3:$B$5001,$A$379,BD!$F$3:$F$5001,"&lt;&gt;")=0,"",SUMIFS(BD!$F$3:$F$5001,BD!$A$3:$A$5001,AG$3,BD!$B$3:$B$5001,$A$379)))</f>
        <v/>
      </c>
      <c r="AH382" s="179" t="str">
        <f>IF(AH$3="","",IF(COUNTIFS(BD!$A$3:$A$5001,AH$3,BD!$B$3:$B$5001,$A$379,BD!$F$3:$F$5001,"&lt;&gt;")=0,"",SUMIFS(BD!$F$3:$F$5001,BD!$A$3:$A$5001,AH$3,BD!$B$3:$B$5001,$A$379)))</f>
        <v/>
      </c>
      <c r="AI382" s="179" t="str">
        <f>IF(AI$3="","",IF(COUNTIFS(BD!$A$3:$A$5001,AI$3,BD!$B$3:$B$5001,$A$379,BD!$F$3:$F$5001,"&lt;&gt;")=0,"",SUMIFS(BD!$F$3:$F$5001,BD!$A$3:$A$5001,AI$3,BD!$B$3:$B$5001,$A$379)))</f>
        <v/>
      </c>
      <c r="AJ382" s="180" t="str">
        <f>IF(AJ$3="","",IF(COUNTIFS(BD!$A$3:$A$5001,AJ$3,BD!$B$3:$B$5001,$A$379,BD!$F$3:$F$5001,"&lt;&gt;")=0,"",SUMIFS(BD!$F$3:$F$5001,BD!$A$3:$A$5001,AJ$3,BD!$B$3:$B$5001,$A$379)))</f>
        <v/>
      </c>
      <c r="AK382" s="181" t="str">
        <f>IF(COUNT(F382:AJ382)=0,"",SUM(F382:AJ382))</f>
        <v/>
      </c>
    </row>
    <row r="383" ht="15.75" customHeight="1" hidden="1">
      <c r="A383" s="277"/>
      <c r="B383" s="266"/>
      <c r="C383" s="186" t="inlineStr">
        <is>
          <t xml:space="preserve">Bags Recebidos</t>
        </is>
      </c>
      <c r="D383" s="187" t="str">
        <f>IFERROR(1/(1/INDEX(BD!$AF$27:$AZ$27,MATCH($A$379,BD!$AF$22:$AZ$22,0))),"")</f>
        <v/>
      </c>
      <c r="E383" s="188"/>
      <c r="F383" s="189" t="str">
        <f>IF(F$3="","",IF(COUNTIFS(BD!$A$3:$A$5001,F$3,BD!$B$3:$B$5001,$A$379,BD!$G$3:$G$5001,"&lt;&gt;")=0,"",SUMIFS(BD!$G$3:$G$5001,BD!$A$3:$A$5001,F$3,BD!$B$3:$B$5001,$A$379)))</f>
        <v/>
      </c>
      <c r="G383" s="190" t="str">
        <f>IF(G$3="","",IF(COUNTIFS(BD!$A$3:$A$5001,G$3,BD!$B$3:$B$5001,$A$379,BD!$G$3:$G$5001,"&lt;&gt;")=0,"",SUMIFS(BD!$G$3:$G$5001,BD!$A$3:$A$5001,G$3,BD!$B$3:$B$5001,$A$379)))</f>
        <v/>
      </c>
      <c r="H383" s="190" t="str">
        <f>IF(H$3="","",IF(COUNTIFS(BD!$A$3:$A$5001,H$3,BD!$B$3:$B$5001,$A$379,BD!$G$3:$G$5001,"&lt;&gt;")=0,"",SUMIFS(BD!$G$3:$G$5001,BD!$A$3:$A$5001,H$3,BD!$B$3:$B$5001,$A$379)))</f>
        <v/>
      </c>
      <c r="I383" s="190" t="str">
        <f>IF(I$3="","",IF(COUNTIFS(BD!$A$3:$A$5001,I$3,BD!$B$3:$B$5001,$A$379,BD!$G$3:$G$5001,"&lt;&gt;")=0,"",SUMIFS(BD!$G$3:$G$5001,BD!$A$3:$A$5001,I$3,BD!$B$3:$B$5001,$A$379)))</f>
        <v/>
      </c>
      <c r="J383" s="190" t="str">
        <f>IF(J$3="","",IF(COUNTIFS(BD!$A$3:$A$5001,J$3,BD!$B$3:$B$5001,$A$379,BD!$G$3:$G$5001,"&lt;&gt;")=0,"",SUMIFS(BD!$G$3:$G$5001,BD!$A$3:$A$5001,J$3,BD!$B$3:$B$5001,$A$379)))</f>
        <v/>
      </c>
      <c r="K383" s="190" t="str">
        <f>IF(K$3="","",IF(COUNTIFS(BD!$A$3:$A$5001,K$3,BD!$B$3:$B$5001,$A$379,BD!$G$3:$G$5001,"&lt;&gt;")=0,"",SUMIFS(BD!$G$3:$G$5001,BD!$A$3:$A$5001,K$3,BD!$B$3:$B$5001,$A$379)))</f>
        <v/>
      </c>
      <c r="L383" s="190" t="str">
        <f>IF(L$3="","",IF(COUNTIFS(BD!$A$3:$A$5001,L$3,BD!$B$3:$B$5001,$A$379,BD!$G$3:$G$5001,"&lt;&gt;")=0,"",SUMIFS(BD!$G$3:$G$5001,BD!$A$3:$A$5001,L$3,BD!$B$3:$B$5001,$A$379)))</f>
        <v/>
      </c>
      <c r="M383" s="190" t="str">
        <f>IF(M$3="","",IF(COUNTIFS(BD!$A$3:$A$5001,M$3,BD!$B$3:$B$5001,$A$379,BD!$G$3:$G$5001,"&lt;&gt;")=0,"",SUMIFS(BD!$G$3:$G$5001,BD!$A$3:$A$5001,M$3,BD!$B$3:$B$5001,$A$379)))</f>
        <v/>
      </c>
      <c r="N383" s="190" t="str">
        <f>IF(N$3="","",IF(COUNTIFS(BD!$A$3:$A$5001,N$3,BD!$B$3:$B$5001,$A$379,BD!$G$3:$G$5001,"&lt;&gt;")=0,"",SUMIFS(BD!$G$3:$G$5001,BD!$A$3:$A$5001,N$3,BD!$B$3:$B$5001,$A$379)))</f>
        <v/>
      </c>
      <c r="O383" s="190" t="str">
        <f>IF(O$3="","",IF(COUNTIFS(BD!$A$3:$A$5001,O$3,BD!$B$3:$B$5001,$A$379,BD!$G$3:$G$5001,"&lt;&gt;")=0,"",SUMIFS(BD!$G$3:$G$5001,BD!$A$3:$A$5001,O$3,BD!$B$3:$B$5001,$A$379)))</f>
        <v/>
      </c>
      <c r="P383" s="190" t="str">
        <f>IF(P$3="","",IF(COUNTIFS(BD!$A$3:$A$5001,P$3,BD!$B$3:$B$5001,$A$379,BD!$G$3:$G$5001,"&lt;&gt;")=0,"",SUMIFS(BD!$G$3:$G$5001,BD!$A$3:$A$5001,P$3,BD!$B$3:$B$5001,$A$379)))</f>
        <v/>
      </c>
      <c r="Q383" s="190" t="str">
        <f>IF(Q$3="","",IF(COUNTIFS(BD!$A$3:$A$5001,Q$3,BD!$B$3:$B$5001,$A$379,BD!$G$3:$G$5001,"&lt;&gt;")=0,"",SUMIFS(BD!$G$3:$G$5001,BD!$A$3:$A$5001,Q$3,BD!$B$3:$B$5001,$A$379)))</f>
        <v/>
      </c>
      <c r="R383" s="190" t="str">
        <f>IF(R$3="","",IF(COUNTIFS(BD!$A$3:$A$5001,R$3,BD!$B$3:$B$5001,$A$379,BD!$G$3:$G$5001,"&lt;&gt;")=0,"",SUMIFS(BD!$G$3:$G$5001,BD!$A$3:$A$5001,R$3,BD!$B$3:$B$5001,$A$379)))</f>
        <v/>
      </c>
      <c r="S383" s="190" t="str">
        <f>IF(S$3="","",IF(COUNTIFS(BD!$A$3:$A$5001,S$3,BD!$B$3:$B$5001,$A$379,BD!$G$3:$G$5001,"&lt;&gt;")=0,"",SUMIFS(BD!$G$3:$G$5001,BD!$A$3:$A$5001,S$3,BD!$B$3:$B$5001,$A$379)))</f>
        <v/>
      </c>
      <c r="T383" s="190" t="str">
        <f>IF(T$3="","",IF(COUNTIFS(BD!$A$3:$A$5001,T$3,BD!$B$3:$B$5001,$A$379,BD!$G$3:$G$5001,"&lt;&gt;")=0,"",SUMIFS(BD!$G$3:$G$5001,BD!$A$3:$A$5001,T$3,BD!$B$3:$B$5001,$A$379)))</f>
        <v/>
      </c>
      <c r="U383" s="190" t="str">
        <f>IF(U$3="","",IF(COUNTIFS(BD!$A$3:$A$5001,U$3,BD!$B$3:$B$5001,$A$379,BD!$G$3:$G$5001,"&lt;&gt;")=0,"",SUMIFS(BD!$G$3:$G$5001,BD!$A$3:$A$5001,U$3,BD!$B$3:$B$5001,$A$379)))</f>
        <v/>
      </c>
      <c r="V383" s="190" t="str">
        <f>IF(V$3="","",IF(COUNTIFS(BD!$A$3:$A$5001,V$3,BD!$B$3:$B$5001,$A$379,BD!$G$3:$G$5001,"&lt;&gt;")=0,"",SUMIFS(BD!$G$3:$G$5001,BD!$A$3:$A$5001,V$3,BD!$B$3:$B$5001,$A$379)))</f>
        <v/>
      </c>
      <c r="W383" s="190" t="str">
        <f>IF(W$3="","",IF(COUNTIFS(BD!$A$3:$A$5001,W$3,BD!$B$3:$B$5001,$A$379,BD!$G$3:$G$5001,"&lt;&gt;")=0,"",SUMIFS(BD!$G$3:$G$5001,BD!$A$3:$A$5001,W$3,BD!$B$3:$B$5001,$A$379)))</f>
        <v/>
      </c>
      <c r="X383" s="190" t="str">
        <f>IF(X$3="","",IF(COUNTIFS(BD!$A$3:$A$5001,X$3,BD!$B$3:$B$5001,$A$379,BD!$G$3:$G$5001,"&lt;&gt;")=0,"",SUMIFS(BD!$G$3:$G$5001,BD!$A$3:$A$5001,X$3,BD!$B$3:$B$5001,$A$379)))</f>
        <v/>
      </c>
      <c r="Y383" s="190" t="str">
        <f>IF(Y$3="","",IF(COUNTIFS(BD!$A$3:$A$5001,Y$3,BD!$B$3:$B$5001,$A$379,BD!$G$3:$G$5001,"&lt;&gt;")=0,"",SUMIFS(BD!$G$3:$G$5001,BD!$A$3:$A$5001,Y$3,BD!$B$3:$B$5001,$A$379)))</f>
        <v/>
      </c>
      <c r="Z383" s="190" t="str">
        <f>IF(Z$3="","",IF(COUNTIFS(BD!$A$3:$A$5001,Z$3,BD!$B$3:$B$5001,$A$379,BD!$G$3:$G$5001,"&lt;&gt;")=0,"",SUMIFS(BD!$G$3:$G$5001,BD!$A$3:$A$5001,Z$3,BD!$B$3:$B$5001,$A$379)))</f>
        <v/>
      </c>
      <c r="AA383" s="190" t="str">
        <f>IF(AA$3="","",IF(COUNTIFS(BD!$A$3:$A$5001,AA$3,BD!$B$3:$B$5001,$A$379,BD!$G$3:$G$5001,"&lt;&gt;")=0,"",SUMIFS(BD!$G$3:$G$5001,BD!$A$3:$A$5001,AA$3,BD!$B$3:$B$5001,$A$379)))</f>
        <v/>
      </c>
      <c r="AB383" s="190" t="str">
        <f>IF(AB$3="","",IF(COUNTIFS(BD!$A$3:$A$5001,AB$3,BD!$B$3:$B$5001,$A$379,BD!$G$3:$G$5001,"&lt;&gt;")=0,"",SUMIFS(BD!$G$3:$G$5001,BD!$A$3:$A$5001,AB$3,BD!$B$3:$B$5001,$A$379)))</f>
        <v/>
      </c>
      <c r="AC383" s="190" t="str">
        <f>IF(AC$3="","",IF(COUNTIFS(BD!$A$3:$A$5001,AC$3,BD!$B$3:$B$5001,$A$379,BD!$G$3:$G$5001,"&lt;&gt;")=0,"",SUMIFS(BD!$G$3:$G$5001,BD!$A$3:$A$5001,AC$3,BD!$B$3:$B$5001,$A$379)))</f>
        <v/>
      </c>
      <c r="AD383" s="190" t="str">
        <f>IF(AD$3="","",IF(COUNTIFS(BD!$A$3:$A$5001,AD$3,BD!$B$3:$B$5001,$A$379,BD!$G$3:$G$5001,"&lt;&gt;")=0,"",SUMIFS(BD!$G$3:$G$5001,BD!$A$3:$A$5001,AD$3,BD!$B$3:$B$5001,$A$379)))</f>
        <v/>
      </c>
      <c r="AE383" s="190" t="str">
        <f>IF(AE$3="","",IF(COUNTIFS(BD!$A$3:$A$5001,AE$3,BD!$B$3:$B$5001,$A$379,BD!$G$3:$G$5001,"&lt;&gt;")=0,"",SUMIFS(BD!$G$3:$G$5001,BD!$A$3:$A$5001,AE$3,BD!$B$3:$B$5001,$A$379)))</f>
        <v/>
      </c>
      <c r="AF383" s="190" t="str">
        <f>IF(AF$3="","",IF(COUNTIFS(BD!$A$3:$A$5001,AF$3,BD!$B$3:$B$5001,$A$379,BD!$G$3:$G$5001,"&lt;&gt;")=0,"",SUMIFS(BD!$G$3:$G$5001,BD!$A$3:$A$5001,AF$3,BD!$B$3:$B$5001,$A$379)))</f>
        <v/>
      </c>
      <c r="AG383" s="190" t="str">
        <f>IF(AG$3="","",IF(COUNTIFS(BD!$A$3:$A$5001,AG$3,BD!$B$3:$B$5001,$A$379,BD!$G$3:$G$5001,"&lt;&gt;")=0,"",SUMIFS(BD!$G$3:$G$5001,BD!$A$3:$A$5001,AG$3,BD!$B$3:$B$5001,$A$379)))</f>
        <v/>
      </c>
      <c r="AH383" s="190" t="str">
        <f>IF(AH$3="","",IF(COUNTIFS(BD!$A$3:$A$5001,AH$3,BD!$B$3:$B$5001,$A$379,BD!$G$3:$G$5001,"&lt;&gt;")=0,"",SUMIFS(BD!$G$3:$G$5001,BD!$A$3:$A$5001,AH$3,BD!$B$3:$B$5001,$A$379)))</f>
        <v/>
      </c>
      <c r="AI383" s="190" t="str">
        <f>IF(AI$3="","",IF(COUNTIFS(BD!$A$3:$A$5001,AI$3,BD!$B$3:$B$5001,$A$379,BD!$G$3:$G$5001,"&lt;&gt;")=0,"",SUMIFS(BD!$G$3:$G$5001,BD!$A$3:$A$5001,AI$3,BD!$B$3:$B$5001,$A$379)))</f>
        <v/>
      </c>
      <c r="AJ383" s="191" t="str">
        <f>IF(AJ$3="","",IF(COUNTIFS(BD!$A$3:$A$5001,AJ$3,BD!$B$3:$B$5001,$A$379,BD!$G$3:$G$5001,"&lt;&gt;")=0,"",SUMIFS(BD!$G$3:$G$5001,BD!$A$3:$A$5001,AJ$3,BD!$B$3:$B$5001,$A$379)))</f>
        <v/>
      </c>
      <c r="AK383" s="187" t="str">
        <f>IF(COUNT(F383:AJ383)=0,"",SUM(F383:AJ383))</f>
        <v/>
      </c>
    </row>
    <row r="384" ht="15.75" customHeight="1" hidden="1">
      <c r="A384" s="277"/>
      <c r="B384" s="267" t="inlineStr">
        <is>
          <t xml:space="preserve">OUT</t>
        </is>
      </c>
      <c r="C384" s="192" t="inlineStr">
        <is>
          <t xml:space="preserve">Veículos Expedidos</t>
        </is>
      </c>
      <c r="D384" s="193" t="str">
        <f>IFERROR(1/(1/INDEX(BD!$AF$28:$AZ$28,MATCH($A$379,BD!$AF$22:$AZ$22,0))),"")</f>
        <v/>
      </c>
      <c r="E384" s="194"/>
      <c r="F384" s="195" t="str">
        <f>IF(F$3="","",IF(COUNTIFS(BD!$A$3:$A$5001,F$3,BD!$B$3:$B$5001,$A$379,BD!$H$3:$H$5001,"&lt;&gt;")=0,"",SUMIFS(BD!$H$3:$H$5001,BD!$A$3:$A$5001,F$3,BD!$B$3:$B$5001,$A$379)))</f>
        <v/>
      </c>
      <c r="G384" s="196" t="str">
        <f>IF(G$3="","",IF(COUNTIFS(BD!$A$3:$A$5001,G$3,BD!$B$3:$B$5001,$A$379,BD!$H$3:$H$5001,"&lt;&gt;")=0,"",SUMIFS(BD!$H$3:$H$5001,BD!$A$3:$A$5001,G$3,BD!$B$3:$B$5001,$A$379)))</f>
        <v/>
      </c>
      <c r="H384" s="196" t="str">
        <f>IF(H$3="","",IF(COUNTIFS(BD!$A$3:$A$5001,H$3,BD!$B$3:$B$5001,$A$379,BD!$H$3:$H$5001,"&lt;&gt;")=0,"",SUMIFS(BD!$H$3:$H$5001,BD!$A$3:$A$5001,H$3,BD!$B$3:$B$5001,$A$379)))</f>
        <v/>
      </c>
      <c r="I384" s="196" t="str">
        <f>IF(I$3="","",IF(COUNTIFS(BD!$A$3:$A$5001,I$3,BD!$B$3:$B$5001,$A$379,BD!$H$3:$H$5001,"&lt;&gt;")=0,"",SUMIFS(BD!$H$3:$H$5001,BD!$A$3:$A$5001,I$3,BD!$B$3:$B$5001,$A$379)))</f>
        <v/>
      </c>
      <c r="J384" s="196" t="str">
        <f>IF(J$3="","",IF(COUNTIFS(BD!$A$3:$A$5001,J$3,BD!$B$3:$B$5001,$A$379,BD!$H$3:$H$5001,"&lt;&gt;")=0,"",SUMIFS(BD!$H$3:$H$5001,BD!$A$3:$A$5001,J$3,BD!$B$3:$B$5001,$A$379)))</f>
        <v/>
      </c>
      <c r="K384" s="196" t="str">
        <f>IF(K$3="","",IF(COUNTIFS(BD!$A$3:$A$5001,K$3,BD!$B$3:$B$5001,$A$379,BD!$H$3:$H$5001,"&lt;&gt;")=0,"",SUMIFS(BD!$H$3:$H$5001,BD!$A$3:$A$5001,K$3,BD!$B$3:$B$5001,$A$379)))</f>
        <v/>
      </c>
      <c r="L384" s="196" t="str">
        <f>IF(L$3="","",IF(COUNTIFS(BD!$A$3:$A$5001,L$3,BD!$B$3:$B$5001,$A$379,BD!$H$3:$H$5001,"&lt;&gt;")=0,"",SUMIFS(BD!$H$3:$H$5001,BD!$A$3:$A$5001,L$3,BD!$B$3:$B$5001,$A$379)))</f>
        <v/>
      </c>
      <c r="M384" s="196" t="str">
        <f>IF(M$3="","",IF(COUNTIFS(BD!$A$3:$A$5001,M$3,BD!$B$3:$B$5001,$A$379,BD!$H$3:$H$5001,"&lt;&gt;")=0,"",SUMIFS(BD!$H$3:$H$5001,BD!$A$3:$A$5001,M$3,BD!$B$3:$B$5001,$A$379)))</f>
        <v/>
      </c>
      <c r="N384" s="196" t="str">
        <f>IF(N$3="","",IF(COUNTIFS(BD!$A$3:$A$5001,N$3,BD!$B$3:$B$5001,$A$379,BD!$H$3:$H$5001,"&lt;&gt;")=0,"",SUMIFS(BD!$H$3:$H$5001,BD!$A$3:$A$5001,N$3,BD!$B$3:$B$5001,$A$379)))</f>
        <v/>
      </c>
      <c r="O384" s="196" t="str">
        <f>IF(O$3="","",IF(COUNTIFS(BD!$A$3:$A$5001,O$3,BD!$B$3:$B$5001,$A$379,BD!$H$3:$H$5001,"&lt;&gt;")=0,"",SUMIFS(BD!$H$3:$H$5001,BD!$A$3:$A$5001,O$3,BD!$B$3:$B$5001,$A$379)))</f>
        <v/>
      </c>
      <c r="P384" s="196" t="str">
        <f>IF(P$3="","",IF(COUNTIFS(BD!$A$3:$A$5001,P$3,BD!$B$3:$B$5001,$A$379,BD!$H$3:$H$5001,"&lt;&gt;")=0,"",SUMIFS(BD!$H$3:$H$5001,BD!$A$3:$A$5001,P$3,BD!$B$3:$B$5001,$A$379)))</f>
        <v/>
      </c>
      <c r="Q384" s="196" t="str">
        <f>IF(Q$3="","",IF(COUNTIFS(BD!$A$3:$A$5001,Q$3,BD!$B$3:$B$5001,$A$379,BD!$H$3:$H$5001,"&lt;&gt;")=0,"",SUMIFS(BD!$H$3:$H$5001,BD!$A$3:$A$5001,Q$3,BD!$B$3:$B$5001,$A$379)))</f>
        <v/>
      </c>
      <c r="R384" s="196" t="str">
        <f>IF(R$3="","",IF(COUNTIFS(BD!$A$3:$A$5001,R$3,BD!$B$3:$B$5001,$A$379,BD!$H$3:$H$5001,"&lt;&gt;")=0,"",SUMIFS(BD!$H$3:$H$5001,BD!$A$3:$A$5001,R$3,BD!$B$3:$B$5001,$A$379)))</f>
        <v/>
      </c>
      <c r="S384" s="196" t="str">
        <f>IF(S$3="","",IF(COUNTIFS(BD!$A$3:$A$5001,S$3,BD!$B$3:$B$5001,$A$379,BD!$H$3:$H$5001,"&lt;&gt;")=0,"",SUMIFS(BD!$H$3:$H$5001,BD!$A$3:$A$5001,S$3,BD!$B$3:$B$5001,$A$379)))</f>
        <v/>
      </c>
      <c r="T384" s="196" t="str">
        <f>IF(T$3="","",IF(COUNTIFS(BD!$A$3:$A$5001,T$3,BD!$B$3:$B$5001,$A$379,BD!$H$3:$H$5001,"&lt;&gt;")=0,"",SUMIFS(BD!$H$3:$H$5001,BD!$A$3:$A$5001,T$3,BD!$B$3:$B$5001,$A$379)))</f>
        <v/>
      </c>
      <c r="U384" s="196" t="str">
        <f>IF(U$3="","",IF(COUNTIFS(BD!$A$3:$A$5001,U$3,BD!$B$3:$B$5001,$A$379,BD!$H$3:$H$5001,"&lt;&gt;")=0,"",SUMIFS(BD!$H$3:$H$5001,BD!$A$3:$A$5001,U$3,BD!$B$3:$B$5001,$A$379)))</f>
        <v/>
      </c>
      <c r="V384" s="196" t="str">
        <f>IF(V$3="","",IF(COUNTIFS(BD!$A$3:$A$5001,V$3,BD!$B$3:$B$5001,$A$379,BD!$H$3:$H$5001,"&lt;&gt;")=0,"",SUMIFS(BD!$H$3:$H$5001,BD!$A$3:$A$5001,V$3,BD!$B$3:$B$5001,$A$379)))</f>
        <v/>
      </c>
      <c r="W384" s="196" t="str">
        <f>IF(W$3="","",IF(COUNTIFS(BD!$A$3:$A$5001,W$3,BD!$B$3:$B$5001,$A$379,BD!$H$3:$H$5001,"&lt;&gt;")=0,"",SUMIFS(BD!$H$3:$H$5001,BD!$A$3:$A$5001,W$3,BD!$B$3:$B$5001,$A$379)))</f>
        <v/>
      </c>
      <c r="X384" s="196" t="str">
        <f>IF(X$3="","",IF(COUNTIFS(BD!$A$3:$A$5001,X$3,BD!$B$3:$B$5001,$A$379,BD!$H$3:$H$5001,"&lt;&gt;")=0,"",SUMIFS(BD!$H$3:$H$5001,BD!$A$3:$A$5001,X$3,BD!$B$3:$B$5001,$A$379)))</f>
        <v/>
      </c>
      <c r="Y384" s="196" t="str">
        <f>IF(Y$3="","",IF(COUNTIFS(BD!$A$3:$A$5001,Y$3,BD!$B$3:$B$5001,$A$379,BD!$H$3:$H$5001,"&lt;&gt;")=0,"",SUMIFS(BD!$H$3:$H$5001,BD!$A$3:$A$5001,Y$3,BD!$B$3:$B$5001,$A$379)))</f>
        <v/>
      </c>
      <c r="Z384" s="196" t="str">
        <f>IF(Z$3="","",IF(COUNTIFS(BD!$A$3:$A$5001,Z$3,BD!$B$3:$B$5001,$A$379,BD!$H$3:$H$5001,"&lt;&gt;")=0,"",SUMIFS(BD!$H$3:$H$5001,BD!$A$3:$A$5001,Z$3,BD!$B$3:$B$5001,$A$379)))</f>
        <v/>
      </c>
      <c r="AA384" s="196" t="str">
        <f>IF(AA$3="","",IF(COUNTIFS(BD!$A$3:$A$5001,AA$3,BD!$B$3:$B$5001,$A$379,BD!$H$3:$H$5001,"&lt;&gt;")=0,"",SUMIFS(BD!$H$3:$H$5001,BD!$A$3:$A$5001,AA$3,BD!$B$3:$B$5001,$A$379)))</f>
        <v/>
      </c>
      <c r="AB384" s="196" t="str">
        <f>IF(AB$3="","",IF(COUNTIFS(BD!$A$3:$A$5001,AB$3,BD!$B$3:$B$5001,$A$379,BD!$H$3:$H$5001,"&lt;&gt;")=0,"",SUMIFS(BD!$H$3:$H$5001,BD!$A$3:$A$5001,AB$3,BD!$B$3:$B$5001,$A$379)))</f>
        <v/>
      </c>
      <c r="AC384" s="196" t="str">
        <f>IF(AC$3="","",IF(COUNTIFS(BD!$A$3:$A$5001,AC$3,BD!$B$3:$B$5001,$A$379,BD!$H$3:$H$5001,"&lt;&gt;")=0,"",SUMIFS(BD!$H$3:$H$5001,BD!$A$3:$A$5001,AC$3,BD!$B$3:$B$5001,$A$379)))</f>
        <v/>
      </c>
      <c r="AD384" s="196" t="str">
        <f>IF(AD$3="","",IF(COUNTIFS(BD!$A$3:$A$5001,AD$3,BD!$B$3:$B$5001,$A$379,BD!$H$3:$H$5001,"&lt;&gt;")=0,"",SUMIFS(BD!$H$3:$H$5001,BD!$A$3:$A$5001,AD$3,BD!$B$3:$B$5001,$A$379)))</f>
        <v/>
      </c>
      <c r="AE384" s="196" t="str">
        <f>IF(AE$3="","",IF(COUNTIFS(BD!$A$3:$A$5001,AE$3,BD!$B$3:$B$5001,$A$379,BD!$H$3:$H$5001,"&lt;&gt;")=0,"",SUMIFS(BD!$H$3:$H$5001,BD!$A$3:$A$5001,AE$3,BD!$B$3:$B$5001,$A$379)))</f>
        <v/>
      </c>
      <c r="AF384" s="196" t="str">
        <f>IF(AF$3="","",IF(COUNTIFS(BD!$A$3:$A$5001,AF$3,BD!$B$3:$B$5001,$A$379,BD!$H$3:$H$5001,"&lt;&gt;")=0,"",SUMIFS(BD!$H$3:$H$5001,BD!$A$3:$A$5001,AF$3,BD!$B$3:$B$5001,$A$379)))</f>
        <v/>
      </c>
      <c r="AG384" s="196" t="str">
        <f>IF(AG$3="","",IF(COUNTIFS(BD!$A$3:$A$5001,AG$3,BD!$B$3:$B$5001,$A$379,BD!$H$3:$H$5001,"&lt;&gt;")=0,"",SUMIFS(BD!$H$3:$H$5001,BD!$A$3:$A$5001,AG$3,BD!$B$3:$B$5001,$A$379)))</f>
        <v/>
      </c>
      <c r="AH384" s="196" t="str">
        <f>IF(AH$3="","",IF(COUNTIFS(BD!$A$3:$A$5001,AH$3,BD!$B$3:$B$5001,$A$379,BD!$H$3:$H$5001,"&lt;&gt;")=0,"",SUMIFS(BD!$H$3:$H$5001,BD!$A$3:$A$5001,AH$3,BD!$B$3:$B$5001,$A$379)))</f>
        <v/>
      </c>
      <c r="AI384" s="196" t="str">
        <f>IF(AI$3="","",IF(COUNTIFS(BD!$A$3:$A$5001,AI$3,BD!$B$3:$B$5001,$A$379,BD!$H$3:$H$5001,"&lt;&gt;")=0,"",SUMIFS(BD!$H$3:$H$5001,BD!$A$3:$A$5001,AI$3,BD!$B$3:$B$5001,$A$379)))</f>
        <v/>
      </c>
      <c r="AJ384" s="197" t="str">
        <f>IF(AJ$3="","",IF(COUNTIFS(BD!$A$3:$A$5001,AJ$3,BD!$B$3:$B$5001,$A$379,BD!$H$3:$H$5001,"&lt;&gt;")=0,"",SUMIFS(BD!$H$3:$H$5001,BD!$A$3:$A$5001,AJ$3,BD!$B$3:$B$5001,$A$379)))</f>
        <v/>
      </c>
      <c r="AK384" s="198" t="str">
        <f>IF(COUNT(F384:AJ384)=0,"",SUM(F384:AJ384))</f>
        <v/>
      </c>
    </row>
    <row r="385" ht="15.75" customHeight="1" hidden="1">
      <c r="A385" s="277"/>
      <c r="B385" s="268"/>
      <c r="C385" s="199" t="inlineStr">
        <is>
          <t xml:space="preserve">Pallets Movimentados</t>
        </is>
      </c>
      <c r="D385" s="200" t="str">
        <f>IFERROR(1/(1/INDEX(BD!$AF$29:$AZ$29,MATCH($A$379,BD!$AF$22:$AZ$22,0))),"")</f>
        <v/>
      </c>
      <c r="E385" s="201"/>
      <c r="F385" s="202" t="str">
        <f>IF(F$3="","",IF(COUNTIFS(BD!$A$3:$A$5001,F$3,BD!$B$3:$B$5001,$A$379,BD!$I$3:$I$5001,"&lt;&gt;")=0,"",SUMIFS(BD!$I$3:$I$5001,BD!$A$3:$A$5001,F$3,BD!$B$3:$B$5001,$A$379)))</f>
        <v/>
      </c>
      <c r="G385" s="203" t="str">
        <f>IF(G$3="","",IF(COUNTIFS(BD!$A$3:$A$5001,G$3,BD!$B$3:$B$5001,$A$379,BD!$I$3:$I$5001,"&lt;&gt;")=0,"",SUMIFS(BD!$I$3:$I$5001,BD!$A$3:$A$5001,G$3,BD!$B$3:$B$5001,$A$379)))</f>
        <v/>
      </c>
      <c r="H385" s="203" t="str">
        <f>IF(H$3="","",IF(COUNTIFS(BD!$A$3:$A$5001,H$3,BD!$B$3:$B$5001,$A$379,BD!$I$3:$I$5001,"&lt;&gt;")=0,"",SUMIFS(BD!$I$3:$I$5001,BD!$A$3:$A$5001,H$3,BD!$B$3:$B$5001,$A$379)))</f>
        <v/>
      </c>
      <c r="I385" s="203" t="str">
        <f>IF(I$3="","",IF(COUNTIFS(BD!$A$3:$A$5001,I$3,BD!$B$3:$B$5001,$A$379,BD!$I$3:$I$5001,"&lt;&gt;")=0,"",SUMIFS(BD!$I$3:$I$5001,BD!$A$3:$A$5001,I$3,BD!$B$3:$B$5001,$A$379)))</f>
        <v/>
      </c>
      <c r="J385" s="203" t="str">
        <f>IF(J$3="","",IF(COUNTIFS(BD!$A$3:$A$5001,J$3,BD!$B$3:$B$5001,$A$379,BD!$I$3:$I$5001,"&lt;&gt;")=0,"",SUMIFS(BD!$I$3:$I$5001,BD!$A$3:$A$5001,J$3,BD!$B$3:$B$5001,$A$379)))</f>
        <v/>
      </c>
      <c r="K385" s="203" t="str">
        <f>IF(K$3="","",IF(COUNTIFS(BD!$A$3:$A$5001,K$3,BD!$B$3:$B$5001,$A$379,BD!$I$3:$I$5001,"&lt;&gt;")=0,"",SUMIFS(BD!$I$3:$I$5001,BD!$A$3:$A$5001,K$3,BD!$B$3:$B$5001,$A$379)))</f>
        <v/>
      </c>
      <c r="L385" s="203" t="str">
        <f>IF(L$3="","",IF(COUNTIFS(BD!$A$3:$A$5001,L$3,BD!$B$3:$B$5001,$A$379,BD!$I$3:$I$5001,"&lt;&gt;")=0,"",SUMIFS(BD!$I$3:$I$5001,BD!$A$3:$A$5001,L$3,BD!$B$3:$B$5001,$A$379)))</f>
        <v/>
      </c>
      <c r="M385" s="203" t="str">
        <f>IF(M$3="","",IF(COUNTIFS(BD!$A$3:$A$5001,M$3,BD!$B$3:$B$5001,$A$379,BD!$I$3:$I$5001,"&lt;&gt;")=0,"",SUMIFS(BD!$I$3:$I$5001,BD!$A$3:$A$5001,M$3,BD!$B$3:$B$5001,$A$379)))</f>
        <v/>
      </c>
      <c r="N385" s="203" t="str">
        <f>IF(N$3="","",IF(COUNTIFS(BD!$A$3:$A$5001,N$3,BD!$B$3:$B$5001,$A$379,BD!$I$3:$I$5001,"&lt;&gt;")=0,"",SUMIFS(BD!$I$3:$I$5001,BD!$A$3:$A$5001,N$3,BD!$B$3:$B$5001,$A$379)))</f>
        <v/>
      </c>
      <c r="O385" s="203" t="str">
        <f>IF(O$3="","",IF(COUNTIFS(BD!$A$3:$A$5001,O$3,BD!$B$3:$B$5001,$A$379,BD!$I$3:$I$5001,"&lt;&gt;")=0,"",SUMIFS(BD!$I$3:$I$5001,BD!$A$3:$A$5001,O$3,BD!$B$3:$B$5001,$A$379)))</f>
        <v/>
      </c>
      <c r="P385" s="203" t="str">
        <f>IF(P$3="","",IF(COUNTIFS(BD!$A$3:$A$5001,P$3,BD!$B$3:$B$5001,$A$379,BD!$I$3:$I$5001,"&lt;&gt;")=0,"",SUMIFS(BD!$I$3:$I$5001,BD!$A$3:$A$5001,P$3,BD!$B$3:$B$5001,$A$379)))</f>
        <v/>
      </c>
      <c r="Q385" s="203" t="str">
        <f>IF(Q$3="","",IF(COUNTIFS(BD!$A$3:$A$5001,Q$3,BD!$B$3:$B$5001,$A$379,BD!$I$3:$I$5001,"&lt;&gt;")=0,"",SUMIFS(BD!$I$3:$I$5001,BD!$A$3:$A$5001,Q$3,BD!$B$3:$B$5001,$A$379)))</f>
        <v/>
      </c>
      <c r="R385" s="203" t="str">
        <f>IF(R$3="","",IF(COUNTIFS(BD!$A$3:$A$5001,R$3,BD!$B$3:$B$5001,$A$379,BD!$I$3:$I$5001,"&lt;&gt;")=0,"",SUMIFS(BD!$I$3:$I$5001,BD!$A$3:$A$5001,R$3,BD!$B$3:$B$5001,$A$379)))</f>
        <v/>
      </c>
      <c r="S385" s="203" t="str">
        <f>IF(S$3="","",IF(COUNTIFS(BD!$A$3:$A$5001,S$3,BD!$B$3:$B$5001,$A$379,BD!$I$3:$I$5001,"&lt;&gt;")=0,"",SUMIFS(BD!$I$3:$I$5001,BD!$A$3:$A$5001,S$3,BD!$B$3:$B$5001,$A$379)))</f>
        <v/>
      </c>
      <c r="T385" s="203" t="str">
        <f>IF(T$3="","",IF(COUNTIFS(BD!$A$3:$A$5001,T$3,BD!$B$3:$B$5001,$A$379,BD!$I$3:$I$5001,"&lt;&gt;")=0,"",SUMIFS(BD!$I$3:$I$5001,BD!$A$3:$A$5001,T$3,BD!$B$3:$B$5001,$A$379)))</f>
        <v/>
      </c>
      <c r="U385" s="203" t="str">
        <f>IF(U$3="","",IF(COUNTIFS(BD!$A$3:$A$5001,U$3,BD!$B$3:$B$5001,$A$379,BD!$I$3:$I$5001,"&lt;&gt;")=0,"",SUMIFS(BD!$I$3:$I$5001,BD!$A$3:$A$5001,U$3,BD!$B$3:$B$5001,$A$379)))</f>
        <v/>
      </c>
      <c r="V385" s="203" t="str">
        <f>IF(V$3="","",IF(COUNTIFS(BD!$A$3:$A$5001,V$3,BD!$B$3:$B$5001,$A$379,BD!$I$3:$I$5001,"&lt;&gt;")=0,"",SUMIFS(BD!$I$3:$I$5001,BD!$A$3:$A$5001,V$3,BD!$B$3:$B$5001,$A$379)))</f>
        <v/>
      </c>
      <c r="W385" s="203" t="str">
        <f>IF(W$3="","",IF(COUNTIFS(BD!$A$3:$A$5001,W$3,BD!$B$3:$B$5001,$A$379,BD!$I$3:$I$5001,"&lt;&gt;")=0,"",SUMIFS(BD!$I$3:$I$5001,BD!$A$3:$A$5001,W$3,BD!$B$3:$B$5001,$A$379)))</f>
        <v/>
      </c>
      <c r="X385" s="203" t="str">
        <f>IF(X$3="","",IF(COUNTIFS(BD!$A$3:$A$5001,X$3,BD!$B$3:$B$5001,$A$379,BD!$I$3:$I$5001,"&lt;&gt;")=0,"",SUMIFS(BD!$I$3:$I$5001,BD!$A$3:$A$5001,X$3,BD!$B$3:$B$5001,$A$379)))</f>
        <v/>
      </c>
      <c r="Y385" s="203" t="str">
        <f>IF(Y$3="","",IF(COUNTIFS(BD!$A$3:$A$5001,Y$3,BD!$B$3:$B$5001,$A$379,BD!$I$3:$I$5001,"&lt;&gt;")=0,"",SUMIFS(BD!$I$3:$I$5001,BD!$A$3:$A$5001,Y$3,BD!$B$3:$B$5001,$A$379)))</f>
        <v/>
      </c>
      <c r="Z385" s="203" t="str">
        <f>IF(Z$3="","",IF(COUNTIFS(BD!$A$3:$A$5001,Z$3,BD!$B$3:$B$5001,$A$379,BD!$I$3:$I$5001,"&lt;&gt;")=0,"",SUMIFS(BD!$I$3:$I$5001,BD!$A$3:$A$5001,Z$3,BD!$B$3:$B$5001,$A$379)))</f>
        <v/>
      </c>
      <c r="AA385" s="203" t="str">
        <f>IF(AA$3="","",IF(COUNTIFS(BD!$A$3:$A$5001,AA$3,BD!$B$3:$B$5001,$A$379,BD!$I$3:$I$5001,"&lt;&gt;")=0,"",SUMIFS(BD!$I$3:$I$5001,BD!$A$3:$A$5001,AA$3,BD!$B$3:$B$5001,$A$379)))</f>
        <v/>
      </c>
      <c r="AB385" s="203" t="str">
        <f>IF(AB$3="","",IF(COUNTIFS(BD!$A$3:$A$5001,AB$3,BD!$B$3:$B$5001,$A$379,BD!$I$3:$I$5001,"&lt;&gt;")=0,"",SUMIFS(BD!$I$3:$I$5001,BD!$A$3:$A$5001,AB$3,BD!$B$3:$B$5001,$A$379)))</f>
        <v/>
      </c>
      <c r="AC385" s="203" t="str">
        <f>IF(AC$3="","",IF(COUNTIFS(BD!$A$3:$A$5001,AC$3,BD!$B$3:$B$5001,$A$379,BD!$I$3:$I$5001,"&lt;&gt;")=0,"",SUMIFS(BD!$I$3:$I$5001,BD!$A$3:$A$5001,AC$3,BD!$B$3:$B$5001,$A$379)))</f>
        <v/>
      </c>
      <c r="AD385" s="203" t="str">
        <f>IF(AD$3="","",IF(COUNTIFS(BD!$A$3:$A$5001,AD$3,BD!$B$3:$B$5001,$A$379,BD!$I$3:$I$5001,"&lt;&gt;")=0,"",SUMIFS(BD!$I$3:$I$5001,BD!$A$3:$A$5001,AD$3,BD!$B$3:$B$5001,$A$379)))</f>
        <v/>
      </c>
      <c r="AE385" s="203" t="str">
        <f>IF(AE$3="","",IF(COUNTIFS(BD!$A$3:$A$5001,AE$3,BD!$B$3:$B$5001,$A$379,BD!$I$3:$I$5001,"&lt;&gt;")=0,"",SUMIFS(BD!$I$3:$I$5001,BD!$A$3:$A$5001,AE$3,BD!$B$3:$B$5001,$A$379)))</f>
        <v/>
      </c>
      <c r="AF385" s="203" t="str">
        <f>IF(AF$3="","",IF(COUNTIFS(BD!$A$3:$A$5001,AF$3,BD!$B$3:$B$5001,$A$379,BD!$I$3:$I$5001,"&lt;&gt;")=0,"",SUMIFS(BD!$I$3:$I$5001,BD!$A$3:$A$5001,AF$3,BD!$B$3:$B$5001,$A$379)))</f>
        <v/>
      </c>
      <c r="AG385" s="203" t="str">
        <f>IF(AG$3="","",IF(COUNTIFS(BD!$A$3:$A$5001,AG$3,BD!$B$3:$B$5001,$A$379,BD!$I$3:$I$5001,"&lt;&gt;")=0,"",SUMIFS(BD!$I$3:$I$5001,BD!$A$3:$A$5001,AG$3,BD!$B$3:$B$5001,$A$379)))</f>
        <v/>
      </c>
      <c r="AH385" s="203" t="str">
        <f>IF(AH$3="","",IF(COUNTIFS(BD!$A$3:$A$5001,AH$3,BD!$B$3:$B$5001,$A$379,BD!$I$3:$I$5001,"&lt;&gt;")=0,"",SUMIFS(BD!$I$3:$I$5001,BD!$A$3:$A$5001,AH$3,BD!$B$3:$B$5001,$A$379)))</f>
        <v/>
      </c>
      <c r="AI385" s="203" t="str">
        <f>IF(AI$3="","",IF(COUNTIFS(BD!$A$3:$A$5001,AI$3,BD!$B$3:$B$5001,$A$379,BD!$I$3:$I$5001,"&lt;&gt;")=0,"",SUMIFS(BD!$I$3:$I$5001,BD!$A$3:$A$5001,AI$3,BD!$B$3:$B$5001,$A$379)))</f>
        <v/>
      </c>
      <c r="AJ385" s="204" t="str">
        <f>IF(AJ$3="","",IF(COUNTIFS(BD!$A$3:$A$5001,AJ$3,BD!$B$3:$B$5001,$A$379,BD!$I$3:$I$5001,"&lt;&gt;")=0,"",SUMIFS(BD!$I$3:$I$5001,BD!$A$3:$A$5001,AJ$3,BD!$B$3:$B$5001,$A$379)))</f>
        <v/>
      </c>
      <c r="AK385" s="205" t="str">
        <f>IF(COUNT(F385:AJ385)=0,"",SUM(F385:AJ385))</f>
        <v/>
      </c>
    </row>
    <row r="386" ht="15.75" customHeight="1" hidden="1">
      <c r="A386" s="277"/>
      <c r="B386" s="268"/>
      <c r="C386" s="199" t="inlineStr">
        <is>
          <t xml:space="preserve">Toneladas Movimentadas</t>
        </is>
      </c>
      <c r="D386" s="200" t="str">
        <f>IFERROR(1/(1/INDEX(BD!$AF$30:$AZ$30,MATCH($A$379,BD!$AF$22:$AZ$22,0))),"")</f>
        <v/>
      </c>
      <c r="E386" s="201"/>
      <c r="F386" s="206" t="str">
        <f>IF(F$3="","",IF(COUNTIFS(BD!$A$3:$A$5001,F$3,BD!$B$3:$B$5001,$A$379,BD!$J$3:$J$5001,"&lt;&gt;")=0,"",SUMIFS(BD!$J$3:$J$5001,BD!$A$3:$A$5001,F$3,BD!$B$3:$B$5001,$A$379)))</f>
        <v/>
      </c>
      <c r="G386" s="207" t="str">
        <f>IF(G$3="","",IF(COUNTIFS(BD!$A$3:$A$5001,G$3,BD!$B$3:$B$5001,$A$379,BD!$J$3:$J$5001,"&lt;&gt;")=0,"",SUMIFS(BD!$J$3:$J$5001,BD!$A$3:$A$5001,G$3,BD!$B$3:$B$5001,$A$379)))</f>
        <v/>
      </c>
      <c r="H386" s="207" t="str">
        <f>IF(H$3="","",IF(COUNTIFS(BD!$A$3:$A$5001,H$3,BD!$B$3:$B$5001,$A$379,BD!$J$3:$J$5001,"&lt;&gt;")=0,"",SUMIFS(BD!$J$3:$J$5001,BD!$A$3:$A$5001,H$3,BD!$B$3:$B$5001,$A$379)))</f>
        <v/>
      </c>
      <c r="I386" s="207" t="str">
        <f>IF(I$3="","",IF(COUNTIFS(BD!$A$3:$A$5001,I$3,BD!$B$3:$B$5001,$A$379,BD!$J$3:$J$5001,"&lt;&gt;")=0,"",SUMIFS(BD!$J$3:$J$5001,BD!$A$3:$A$5001,I$3,BD!$B$3:$B$5001,$A$379)))</f>
        <v/>
      </c>
      <c r="J386" s="207" t="str">
        <f>IF(J$3="","",IF(COUNTIFS(BD!$A$3:$A$5001,J$3,BD!$B$3:$B$5001,$A$379,BD!$J$3:$J$5001,"&lt;&gt;")=0,"",SUMIFS(BD!$J$3:$J$5001,BD!$A$3:$A$5001,J$3,BD!$B$3:$B$5001,$A$379)))</f>
        <v/>
      </c>
      <c r="K386" s="207" t="str">
        <f>IF(K$3="","",IF(COUNTIFS(BD!$A$3:$A$5001,K$3,BD!$B$3:$B$5001,$A$379,BD!$J$3:$J$5001,"&lt;&gt;")=0,"",SUMIFS(BD!$J$3:$J$5001,BD!$A$3:$A$5001,K$3,BD!$B$3:$B$5001,$A$379)))</f>
        <v/>
      </c>
      <c r="L386" s="207" t="str">
        <f>IF(L$3="","",IF(COUNTIFS(BD!$A$3:$A$5001,L$3,BD!$B$3:$B$5001,$A$379,BD!$J$3:$J$5001,"&lt;&gt;")=0,"",SUMIFS(BD!$J$3:$J$5001,BD!$A$3:$A$5001,L$3,BD!$B$3:$B$5001,$A$379)))</f>
        <v/>
      </c>
      <c r="M386" s="207" t="str">
        <f>IF(M$3="","",IF(COUNTIFS(BD!$A$3:$A$5001,M$3,BD!$B$3:$B$5001,$A$379,BD!$J$3:$J$5001,"&lt;&gt;")=0,"",SUMIFS(BD!$J$3:$J$5001,BD!$A$3:$A$5001,M$3,BD!$B$3:$B$5001,$A$379)))</f>
        <v/>
      </c>
      <c r="N386" s="207" t="str">
        <f>IF(N$3="","",IF(COUNTIFS(BD!$A$3:$A$5001,N$3,BD!$B$3:$B$5001,$A$379,BD!$J$3:$J$5001,"&lt;&gt;")=0,"",SUMIFS(BD!$J$3:$J$5001,BD!$A$3:$A$5001,N$3,BD!$B$3:$B$5001,$A$379)))</f>
        <v/>
      </c>
      <c r="O386" s="207" t="str">
        <f>IF(O$3="","",IF(COUNTIFS(BD!$A$3:$A$5001,O$3,BD!$B$3:$B$5001,$A$379,BD!$J$3:$J$5001,"&lt;&gt;")=0,"",SUMIFS(BD!$J$3:$J$5001,BD!$A$3:$A$5001,O$3,BD!$B$3:$B$5001,$A$379)))</f>
        <v/>
      </c>
      <c r="P386" s="207" t="str">
        <f>IF(P$3="","",IF(COUNTIFS(BD!$A$3:$A$5001,P$3,BD!$B$3:$B$5001,$A$379,BD!$J$3:$J$5001,"&lt;&gt;")=0,"",SUMIFS(BD!$J$3:$J$5001,BD!$A$3:$A$5001,P$3,BD!$B$3:$B$5001,$A$379)))</f>
        <v/>
      </c>
      <c r="Q386" s="207" t="str">
        <f>IF(Q$3="","",IF(COUNTIFS(BD!$A$3:$A$5001,Q$3,BD!$B$3:$B$5001,$A$379,BD!$J$3:$J$5001,"&lt;&gt;")=0,"",SUMIFS(BD!$J$3:$J$5001,BD!$A$3:$A$5001,Q$3,BD!$B$3:$B$5001,$A$379)))</f>
        <v/>
      </c>
      <c r="R386" s="207" t="str">
        <f>IF(R$3="","",IF(COUNTIFS(BD!$A$3:$A$5001,R$3,BD!$B$3:$B$5001,$A$379,BD!$J$3:$J$5001,"&lt;&gt;")=0,"",SUMIFS(BD!$J$3:$J$5001,BD!$A$3:$A$5001,R$3,BD!$B$3:$B$5001,$A$379)))</f>
        <v/>
      </c>
      <c r="S386" s="207" t="str">
        <f>IF(S$3="","",IF(COUNTIFS(BD!$A$3:$A$5001,S$3,BD!$B$3:$B$5001,$A$379,BD!$J$3:$J$5001,"&lt;&gt;")=0,"",SUMIFS(BD!$J$3:$J$5001,BD!$A$3:$A$5001,S$3,BD!$B$3:$B$5001,$A$379)))</f>
        <v/>
      </c>
      <c r="T386" s="207" t="str">
        <f>IF(T$3="","",IF(COUNTIFS(BD!$A$3:$A$5001,T$3,BD!$B$3:$B$5001,$A$379,BD!$J$3:$J$5001,"&lt;&gt;")=0,"",SUMIFS(BD!$J$3:$J$5001,BD!$A$3:$A$5001,T$3,BD!$B$3:$B$5001,$A$379)))</f>
        <v/>
      </c>
      <c r="U386" s="207" t="str">
        <f>IF(U$3="","",IF(COUNTIFS(BD!$A$3:$A$5001,U$3,BD!$B$3:$B$5001,$A$379,BD!$J$3:$J$5001,"&lt;&gt;")=0,"",SUMIFS(BD!$J$3:$J$5001,BD!$A$3:$A$5001,U$3,BD!$B$3:$B$5001,$A$379)))</f>
        <v/>
      </c>
      <c r="V386" s="207" t="str">
        <f>IF(V$3="","",IF(COUNTIFS(BD!$A$3:$A$5001,V$3,BD!$B$3:$B$5001,$A$379,BD!$J$3:$J$5001,"&lt;&gt;")=0,"",SUMIFS(BD!$J$3:$J$5001,BD!$A$3:$A$5001,V$3,BD!$B$3:$B$5001,$A$379)))</f>
        <v/>
      </c>
      <c r="W386" s="207" t="str">
        <f>IF(W$3="","",IF(COUNTIFS(BD!$A$3:$A$5001,W$3,BD!$B$3:$B$5001,$A$379,BD!$J$3:$J$5001,"&lt;&gt;")=0,"",SUMIFS(BD!$J$3:$J$5001,BD!$A$3:$A$5001,W$3,BD!$B$3:$B$5001,$A$379)))</f>
        <v/>
      </c>
      <c r="X386" s="207" t="str">
        <f>IF(X$3="","",IF(COUNTIFS(BD!$A$3:$A$5001,X$3,BD!$B$3:$B$5001,$A$379,BD!$J$3:$J$5001,"&lt;&gt;")=0,"",SUMIFS(BD!$J$3:$J$5001,BD!$A$3:$A$5001,X$3,BD!$B$3:$B$5001,$A$379)))</f>
        <v/>
      </c>
      <c r="Y386" s="207" t="str">
        <f>IF(Y$3="","",IF(COUNTIFS(BD!$A$3:$A$5001,Y$3,BD!$B$3:$B$5001,$A$379,BD!$J$3:$J$5001,"&lt;&gt;")=0,"",SUMIFS(BD!$J$3:$J$5001,BD!$A$3:$A$5001,Y$3,BD!$B$3:$B$5001,$A$379)))</f>
        <v/>
      </c>
      <c r="Z386" s="207" t="str">
        <f>IF(Z$3="","",IF(COUNTIFS(BD!$A$3:$A$5001,Z$3,BD!$B$3:$B$5001,$A$379,BD!$J$3:$J$5001,"&lt;&gt;")=0,"",SUMIFS(BD!$J$3:$J$5001,BD!$A$3:$A$5001,Z$3,BD!$B$3:$B$5001,$A$379)))</f>
        <v/>
      </c>
      <c r="AA386" s="207" t="str">
        <f>IF(AA$3="","",IF(COUNTIFS(BD!$A$3:$A$5001,AA$3,BD!$B$3:$B$5001,$A$379,BD!$J$3:$J$5001,"&lt;&gt;")=0,"",SUMIFS(BD!$J$3:$J$5001,BD!$A$3:$A$5001,AA$3,BD!$B$3:$B$5001,$A$379)))</f>
        <v/>
      </c>
      <c r="AB386" s="207" t="str">
        <f>IF(AB$3="","",IF(COUNTIFS(BD!$A$3:$A$5001,AB$3,BD!$B$3:$B$5001,$A$379,BD!$J$3:$J$5001,"&lt;&gt;")=0,"",SUMIFS(BD!$J$3:$J$5001,BD!$A$3:$A$5001,AB$3,BD!$B$3:$B$5001,$A$379)))</f>
        <v/>
      </c>
      <c r="AC386" s="207" t="str">
        <f>IF(AC$3="","",IF(COUNTIFS(BD!$A$3:$A$5001,AC$3,BD!$B$3:$B$5001,$A$379,BD!$J$3:$J$5001,"&lt;&gt;")=0,"",SUMIFS(BD!$J$3:$J$5001,BD!$A$3:$A$5001,AC$3,BD!$B$3:$B$5001,$A$379)))</f>
        <v/>
      </c>
      <c r="AD386" s="207" t="str">
        <f>IF(AD$3="","",IF(COUNTIFS(BD!$A$3:$A$5001,AD$3,BD!$B$3:$B$5001,$A$379,BD!$J$3:$J$5001,"&lt;&gt;")=0,"",SUMIFS(BD!$J$3:$J$5001,BD!$A$3:$A$5001,AD$3,BD!$B$3:$B$5001,$A$379)))</f>
        <v/>
      </c>
      <c r="AE386" s="207" t="str">
        <f>IF(AE$3="","",IF(COUNTIFS(BD!$A$3:$A$5001,AE$3,BD!$B$3:$B$5001,$A$379,BD!$J$3:$J$5001,"&lt;&gt;")=0,"",SUMIFS(BD!$J$3:$J$5001,BD!$A$3:$A$5001,AE$3,BD!$B$3:$B$5001,$A$379)))</f>
        <v/>
      </c>
      <c r="AF386" s="207" t="str">
        <f>IF(AF$3="","",IF(COUNTIFS(BD!$A$3:$A$5001,AF$3,BD!$B$3:$B$5001,$A$379,BD!$J$3:$J$5001,"&lt;&gt;")=0,"",SUMIFS(BD!$J$3:$J$5001,BD!$A$3:$A$5001,AF$3,BD!$B$3:$B$5001,$A$379)))</f>
        <v/>
      </c>
      <c r="AG386" s="207" t="str">
        <f>IF(AG$3="","",IF(COUNTIFS(BD!$A$3:$A$5001,AG$3,BD!$B$3:$B$5001,$A$379,BD!$J$3:$J$5001,"&lt;&gt;")=0,"",SUMIFS(BD!$J$3:$J$5001,BD!$A$3:$A$5001,AG$3,BD!$B$3:$B$5001,$A$379)))</f>
        <v/>
      </c>
      <c r="AH386" s="207" t="str">
        <f>IF(AH$3="","",IF(COUNTIFS(BD!$A$3:$A$5001,AH$3,BD!$B$3:$B$5001,$A$379,BD!$J$3:$J$5001,"&lt;&gt;")=0,"",SUMIFS(BD!$J$3:$J$5001,BD!$A$3:$A$5001,AH$3,BD!$B$3:$B$5001,$A$379)))</f>
        <v/>
      </c>
      <c r="AI386" s="207" t="str">
        <f>IF(AI$3="","",IF(COUNTIFS(BD!$A$3:$A$5001,AI$3,BD!$B$3:$B$5001,$A$379,BD!$J$3:$J$5001,"&lt;&gt;")=0,"",SUMIFS(BD!$J$3:$J$5001,BD!$A$3:$A$5001,AI$3,BD!$B$3:$B$5001,$A$379)))</f>
        <v/>
      </c>
      <c r="AJ386" s="208" t="str">
        <f>IF(AJ$3="","",IF(COUNTIFS(BD!$A$3:$A$5001,AJ$3,BD!$B$3:$B$5001,$A$379,BD!$J$3:$J$5001,"&lt;&gt;")=0,"",SUMIFS(BD!$J$3:$J$5001,BD!$A$3:$A$5001,AJ$3,BD!$B$3:$B$5001,$A$379)))</f>
        <v/>
      </c>
      <c r="AK386" s="209" t="str">
        <f>IF(COUNT(F386:AJ386)=0,"",SUM(F386:AJ386))</f>
        <v/>
      </c>
    </row>
    <row r="387" ht="15.75" customHeight="1" hidden="1">
      <c r="A387" s="277"/>
      <c r="B387" s="268"/>
      <c r="C387" s="199" t="inlineStr">
        <is>
          <t xml:space="preserve">Caixas Expedidas</t>
        </is>
      </c>
      <c r="D387" s="200" t="str">
        <f>IFERROR(1/(1/INDEX(BD!$AF$31:$AZ$31,MATCH($A$379,BD!$AF$22:$AZ$22,0))),"")</f>
        <v/>
      </c>
      <c r="E387" s="201"/>
      <c r="F387" s="202" t="str">
        <f>IF(F$3="","",IF(COUNTIFS(BD!$A$3:$A$5001,F$3,BD!$B$3:$B$5001,$A$379,BD!$K$3:$K$5001,"&lt;&gt;")=0,"",SUMIFS(BD!$K$3:$K$5001,BD!$A$3:$A$5001,F$3,BD!$B$3:$B$5001,$A$379)))</f>
        <v/>
      </c>
      <c r="G387" s="203" t="str">
        <f>IF(G$3="","",IF(COUNTIFS(BD!$A$3:$A$5001,G$3,BD!$B$3:$B$5001,$A$379,BD!$K$3:$K$5001,"&lt;&gt;")=0,"",SUMIFS(BD!$K$3:$K$5001,BD!$A$3:$A$5001,G$3,BD!$B$3:$B$5001,$A$379)))</f>
        <v/>
      </c>
      <c r="H387" s="203" t="str">
        <f>IF(H$3="","",IF(COUNTIFS(BD!$A$3:$A$5001,H$3,BD!$B$3:$B$5001,$A$379,BD!$K$3:$K$5001,"&lt;&gt;")=0,"",SUMIFS(BD!$K$3:$K$5001,BD!$A$3:$A$5001,H$3,BD!$B$3:$B$5001,$A$379)))</f>
        <v/>
      </c>
      <c r="I387" s="203" t="str">
        <f>IF(I$3="","",IF(COUNTIFS(BD!$A$3:$A$5001,I$3,BD!$B$3:$B$5001,$A$379,BD!$K$3:$K$5001,"&lt;&gt;")=0,"",SUMIFS(BD!$K$3:$K$5001,BD!$A$3:$A$5001,I$3,BD!$B$3:$B$5001,$A$379)))</f>
        <v/>
      </c>
      <c r="J387" s="203" t="str">
        <f>IF(J$3="","",IF(COUNTIFS(BD!$A$3:$A$5001,J$3,BD!$B$3:$B$5001,$A$379,BD!$K$3:$K$5001,"&lt;&gt;")=0,"",SUMIFS(BD!$K$3:$K$5001,BD!$A$3:$A$5001,J$3,BD!$B$3:$B$5001,$A$379)))</f>
        <v/>
      </c>
      <c r="K387" s="203" t="str">
        <f>IF(K$3="","",IF(COUNTIFS(BD!$A$3:$A$5001,K$3,BD!$B$3:$B$5001,$A$379,BD!$K$3:$K$5001,"&lt;&gt;")=0,"",SUMIFS(BD!$K$3:$K$5001,BD!$A$3:$A$5001,K$3,BD!$B$3:$B$5001,$A$379)))</f>
        <v/>
      </c>
      <c r="L387" s="203" t="str">
        <f>IF(L$3="","",IF(COUNTIFS(BD!$A$3:$A$5001,L$3,BD!$B$3:$B$5001,$A$379,BD!$K$3:$K$5001,"&lt;&gt;")=0,"",SUMIFS(BD!$K$3:$K$5001,BD!$A$3:$A$5001,L$3,BD!$B$3:$B$5001,$A$379)))</f>
        <v/>
      </c>
      <c r="M387" s="203" t="str">
        <f>IF(M$3="","",IF(COUNTIFS(BD!$A$3:$A$5001,M$3,BD!$B$3:$B$5001,$A$379,BD!$K$3:$K$5001,"&lt;&gt;")=0,"",SUMIFS(BD!$K$3:$K$5001,BD!$A$3:$A$5001,M$3,BD!$B$3:$B$5001,$A$379)))</f>
        <v/>
      </c>
      <c r="N387" s="203" t="str">
        <f>IF(N$3="","",IF(COUNTIFS(BD!$A$3:$A$5001,N$3,BD!$B$3:$B$5001,$A$379,BD!$K$3:$K$5001,"&lt;&gt;")=0,"",SUMIFS(BD!$K$3:$K$5001,BD!$A$3:$A$5001,N$3,BD!$B$3:$B$5001,$A$379)))</f>
        <v/>
      </c>
      <c r="O387" s="203" t="str">
        <f>IF(O$3="","",IF(COUNTIFS(BD!$A$3:$A$5001,O$3,BD!$B$3:$B$5001,$A$379,BD!$K$3:$K$5001,"&lt;&gt;")=0,"",SUMIFS(BD!$K$3:$K$5001,BD!$A$3:$A$5001,O$3,BD!$B$3:$B$5001,$A$379)))</f>
        <v/>
      </c>
      <c r="P387" s="203" t="str">
        <f>IF(P$3="","",IF(COUNTIFS(BD!$A$3:$A$5001,P$3,BD!$B$3:$B$5001,$A$379,BD!$K$3:$K$5001,"&lt;&gt;")=0,"",SUMIFS(BD!$K$3:$K$5001,BD!$A$3:$A$5001,P$3,BD!$B$3:$B$5001,$A$379)))</f>
        <v/>
      </c>
      <c r="Q387" s="203" t="str">
        <f>IF(Q$3="","",IF(COUNTIFS(BD!$A$3:$A$5001,Q$3,BD!$B$3:$B$5001,$A$379,BD!$K$3:$K$5001,"&lt;&gt;")=0,"",SUMIFS(BD!$K$3:$K$5001,BD!$A$3:$A$5001,Q$3,BD!$B$3:$B$5001,$A$379)))</f>
        <v/>
      </c>
      <c r="R387" s="203" t="str">
        <f>IF(R$3="","",IF(COUNTIFS(BD!$A$3:$A$5001,R$3,BD!$B$3:$B$5001,$A$379,BD!$K$3:$K$5001,"&lt;&gt;")=0,"",SUMIFS(BD!$K$3:$K$5001,BD!$A$3:$A$5001,R$3,BD!$B$3:$B$5001,$A$379)))</f>
        <v/>
      </c>
      <c r="S387" s="203" t="str">
        <f>IF(S$3="","",IF(COUNTIFS(BD!$A$3:$A$5001,S$3,BD!$B$3:$B$5001,$A$379,BD!$K$3:$K$5001,"&lt;&gt;")=0,"",SUMIFS(BD!$K$3:$K$5001,BD!$A$3:$A$5001,S$3,BD!$B$3:$B$5001,$A$379)))</f>
        <v/>
      </c>
      <c r="T387" s="203" t="str">
        <f>IF(T$3="","",IF(COUNTIFS(BD!$A$3:$A$5001,T$3,BD!$B$3:$B$5001,$A$379,BD!$K$3:$K$5001,"&lt;&gt;")=0,"",SUMIFS(BD!$K$3:$K$5001,BD!$A$3:$A$5001,T$3,BD!$B$3:$B$5001,$A$379)))</f>
        <v/>
      </c>
      <c r="U387" s="203" t="str">
        <f>IF(U$3="","",IF(COUNTIFS(BD!$A$3:$A$5001,U$3,BD!$B$3:$B$5001,$A$379,BD!$K$3:$K$5001,"&lt;&gt;")=0,"",SUMIFS(BD!$K$3:$K$5001,BD!$A$3:$A$5001,U$3,BD!$B$3:$B$5001,$A$379)))</f>
        <v/>
      </c>
      <c r="V387" s="203" t="str">
        <f>IF(V$3="","",IF(COUNTIFS(BD!$A$3:$A$5001,V$3,BD!$B$3:$B$5001,$A$379,BD!$K$3:$K$5001,"&lt;&gt;")=0,"",SUMIFS(BD!$K$3:$K$5001,BD!$A$3:$A$5001,V$3,BD!$B$3:$B$5001,$A$379)))</f>
        <v/>
      </c>
      <c r="W387" s="203" t="str">
        <f>IF(W$3="","",IF(COUNTIFS(BD!$A$3:$A$5001,W$3,BD!$B$3:$B$5001,$A$379,BD!$K$3:$K$5001,"&lt;&gt;")=0,"",SUMIFS(BD!$K$3:$K$5001,BD!$A$3:$A$5001,W$3,BD!$B$3:$B$5001,$A$379)))</f>
        <v/>
      </c>
      <c r="X387" s="203" t="str">
        <f>IF(X$3="","",IF(COUNTIFS(BD!$A$3:$A$5001,X$3,BD!$B$3:$B$5001,$A$379,BD!$K$3:$K$5001,"&lt;&gt;")=0,"",SUMIFS(BD!$K$3:$K$5001,BD!$A$3:$A$5001,X$3,BD!$B$3:$B$5001,$A$379)))</f>
        <v/>
      </c>
      <c r="Y387" s="203" t="str">
        <f>IF(Y$3="","",IF(COUNTIFS(BD!$A$3:$A$5001,Y$3,BD!$B$3:$B$5001,$A$379,BD!$K$3:$K$5001,"&lt;&gt;")=0,"",SUMIFS(BD!$K$3:$K$5001,BD!$A$3:$A$5001,Y$3,BD!$B$3:$B$5001,$A$379)))</f>
        <v/>
      </c>
      <c r="Z387" s="203" t="str">
        <f>IF(Z$3="","",IF(COUNTIFS(BD!$A$3:$A$5001,Z$3,BD!$B$3:$B$5001,$A$379,BD!$K$3:$K$5001,"&lt;&gt;")=0,"",SUMIFS(BD!$K$3:$K$5001,BD!$A$3:$A$5001,Z$3,BD!$B$3:$B$5001,$A$379)))</f>
        <v/>
      </c>
      <c r="AA387" s="203" t="str">
        <f>IF(AA$3="","",IF(COUNTIFS(BD!$A$3:$A$5001,AA$3,BD!$B$3:$B$5001,$A$379,BD!$K$3:$K$5001,"&lt;&gt;")=0,"",SUMIFS(BD!$K$3:$K$5001,BD!$A$3:$A$5001,AA$3,BD!$B$3:$B$5001,$A$379)))</f>
        <v/>
      </c>
      <c r="AB387" s="203" t="str">
        <f>IF(AB$3="","",IF(COUNTIFS(BD!$A$3:$A$5001,AB$3,BD!$B$3:$B$5001,$A$379,BD!$K$3:$K$5001,"&lt;&gt;")=0,"",SUMIFS(BD!$K$3:$K$5001,BD!$A$3:$A$5001,AB$3,BD!$B$3:$B$5001,$A$379)))</f>
        <v/>
      </c>
      <c r="AC387" s="203" t="str">
        <f>IF(AC$3="","",IF(COUNTIFS(BD!$A$3:$A$5001,AC$3,BD!$B$3:$B$5001,$A$379,BD!$K$3:$K$5001,"&lt;&gt;")=0,"",SUMIFS(BD!$K$3:$K$5001,BD!$A$3:$A$5001,AC$3,BD!$B$3:$B$5001,$A$379)))</f>
        <v/>
      </c>
      <c r="AD387" s="203" t="str">
        <f>IF(AD$3="","",IF(COUNTIFS(BD!$A$3:$A$5001,AD$3,BD!$B$3:$B$5001,$A$379,BD!$K$3:$K$5001,"&lt;&gt;")=0,"",SUMIFS(BD!$K$3:$K$5001,BD!$A$3:$A$5001,AD$3,BD!$B$3:$B$5001,$A$379)))</f>
        <v/>
      </c>
      <c r="AE387" s="203" t="str">
        <f>IF(AE$3="","",IF(COUNTIFS(BD!$A$3:$A$5001,AE$3,BD!$B$3:$B$5001,$A$379,BD!$K$3:$K$5001,"&lt;&gt;")=0,"",SUMIFS(BD!$K$3:$K$5001,BD!$A$3:$A$5001,AE$3,BD!$B$3:$B$5001,$A$379)))</f>
        <v/>
      </c>
      <c r="AF387" s="203" t="str">
        <f>IF(AF$3="","",IF(COUNTIFS(BD!$A$3:$A$5001,AF$3,BD!$B$3:$B$5001,$A$379,BD!$K$3:$K$5001,"&lt;&gt;")=0,"",SUMIFS(BD!$K$3:$K$5001,BD!$A$3:$A$5001,AF$3,BD!$B$3:$B$5001,$A$379)))</f>
        <v/>
      </c>
      <c r="AG387" s="203" t="str">
        <f>IF(AG$3="","",IF(COUNTIFS(BD!$A$3:$A$5001,AG$3,BD!$B$3:$B$5001,$A$379,BD!$K$3:$K$5001,"&lt;&gt;")=0,"",SUMIFS(BD!$K$3:$K$5001,BD!$A$3:$A$5001,AG$3,BD!$B$3:$B$5001,$A$379)))</f>
        <v/>
      </c>
      <c r="AH387" s="203" t="str">
        <f>IF(AH$3="","",IF(COUNTIFS(BD!$A$3:$A$5001,AH$3,BD!$B$3:$B$5001,$A$379,BD!$K$3:$K$5001,"&lt;&gt;")=0,"",SUMIFS(BD!$K$3:$K$5001,BD!$A$3:$A$5001,AH$3,BD!$B$3:$B$5001,$A$379)))</f>
        <v/>
      </c>
      <c r="AI387" s="203" t="str">
        <f>IF(AI$3="","",IF(COUNTIFS(BD!$A$3:$A$5001,AI$3,BD!$B$3:$B$5001,$A$379,BD!$K$3:$K$5001,"&lt;&gt;")=0,"",SUMIFS(BD!$K$3:$K$5001,BD!$A$3:$A$5001,AI$3,BD!$B$3:$B$5001,$A$379)))</f>
        <v/>
      </c>
      <c r="AJ387" s="204" t="str">
        <f>IF(AJ$3="","",IF(COUNTIFS(BD!$A$3:$A$5001,AJ$3,BD!$B$3:$B$5001,$A$379,BD!$K$3:$K$5001,"&lt;&gt;")=0,"",SUMIFS(BD!$K$3:$K$5001,BD!$A$3:$A$5001,AJ$3,BD!$B$3:$B$5001,$A$379)))</f>
        <v/>
      </c>
      <c r="AK387" s="205" t="str">
        <f>IF(COUNT(F387:AJ387)=0,"",SUM(F387:AJ387))</f>
        <v/>
      </c>
    </row>
    <row r="388" ht="15.75" customHeight="1" hidden="1">
      <c r="A388" s="277"/>
      <c r="B388" s="268"/>
      <c r="C388" s="199" t="inlineStr">
        <is>
          <t xml:space="preserve">Pedidos Faturados</t>
        </is>
      </c>
      <c r="D388" s="200" t="str">
        <f>IFERROR(1/(1/INDEX(BD!$AF$32:$AZ$32,MATCH($A$379,BD!$AF$22:$AZ$22,0))),"")</f>
        <v/>
      </c>
      <c r="E388" s="201"/>
      <c r="F388" s="202" t="str">
        <f>IF(F$3="","",IF(COUNTIFS(BD!$A$3:$A$5001,F$3,BD!$B$3:$B$5001,$A$379,BD!$L$3:$L$5001,"&lt;&gt;")=0,"",SUMIFS(BD!$L$3:$L$5001,BD!$A$3:$A$5001,F$3,BD!$B$3:$B$5001,$A$379)))</f>
        <v/>
      </c>
      <c r="G388" s="203" t="str">
        <f>IF(G$3="","",IF(COUNTIFS(BD!$A$3:$A$5001,G$3,BD!$B$3:$B$5001,$A$379,BD!$L$3:$L$5001,"&lt;&gt;")=0,"",SUMIFS(BD!$L$3:$L$5001,BD!$A$3:$A$5001,G$3,BD!$B$3:$B$5001,$A$379)))</f>
        <v/>
      </c>
      <c r="H388" s="203" t="str">
        <f>IF(H$3="","",IF(COUNTIFS(BD!$A$3:$A$5001,H$3,BD!$B$3:$B$5001,$A$379,BD!$L$3:$L$5001,"&lt;&gt;")=0,"",SUMIFS(BD!$L$3:$L$5001,BD!$A$3:$A$5001,H$3,BD!$B$3:$B$5001,$A$379)))</f>
        <v/>
      </c>
      <c r="I388" s="203" t="str">
        <f>IF(I$3="","",IF(COUNTIFS(BD!$A$3:$A$5001,I$3,BD!$B$3:$B$5001,$A$379,BD!$L$3:$L$5001,"&lt;&gt;")=0,"",SUMIFS(BD!$L$3:$L$5001,BD!$A$3:$A$5001,I$3,BD!$B$3:$B$5001,$A$379)))</f>
        <v/>
      </c>
      <c r="J388" s="203" t="str">
        <f>IF(J$3="","",IF(COUNTIFS(BD!$A$3:$A$5001,J$3,BD!$B$3:$B$5001,$A$379,BD!$L$3:$L$5001,"&lt;&gt;")=0,"",SUMIFS(BD!$L$3:$L$5001,BD!$A$3:$A$5001,J$3,BD!$B$3:$B$5001,$A$379)))</f>
        <v/>
      </c>
      <c r="K388" s="203" t="str">
        <f>IF(K$3="","",IF(COUNTIFS(BD!$A$3:$A$5001,K$3,BD!$B$3:$B$5001,$A$379,BD!$L$3:$L$5001,"&lt;&gt;")=0,"",SUMIFS(BD!$L$3:$L$5001,BD!$A$3:$A$5001,K$3,BD!$B$3:$B$5001,$A$379)))</f>
        <v/>
      </c>
      <c r="L388" s="203" t="str">
        <f>IF(L$3="","",IF(COUNTIFS(BD!$A$3:$A$5001,L$3,BD!$B$3:$B$5001,$A$379,BD!$L$3:$L$5001,"&lt;&gt;")=0,"",SUMIFS(BD!$L$3:$L$5001,BD!$A$3:$A$5001,L$3,BD!$B$3:$B$5001,$A$379)))</f>
        <v/>
      </c>
      <c r="M388" s="203" t="str">
        <f>IF(M$3="","",IF(COUNTIFS(BD!$A$3:$A$5001,M$3,BD!$B$3:$B$5001,$A$379,BD!$L$3:$L$5001,"&lt;&gt;")=0,"",SUMIFS(BD!$L$3:$L$5001,BD!$A$3:$A$5001,M$3,BD!$B$3:$B$5001,$A$379)))</f>
        <v/>
      </c>
      <c r="N388" s="203" t="str">
        <f>IF(N$3="","",IF(COUNTIFS(BD!$A$3:$A$5001,N$3,BD!$B$3:$B$5001,$A$379,BD!$L$3:$L$5001,"&lt;&gt;")=0,"",SUMIFS(BD!$L$3:$L$5001,BD!$A$3:$A$5001,N$3,BD!$B$3:$B$5001,$A$379)))</f>
        <v/>
      </c>
      <c r="O388" s="203" t="str">
        <f>IF(O$3="","",IF(COUNTIFS(BD!$A$3:$A$5001,O$3,BD!$B$3:$B$5001,$A$379,BD!$L$3:$L$5001,"&lt;&gt;")=0,"",SUMIFS(BD!$L$3:$L$5001,BD!$A$3:$A$5001,O$3,BD!$B$3:$B$5001,$A$379)))</f>
        <v/>
      </c>
      <c r="P388" s="203" t="str">
        <f>IF(P$3="","",IF(COUNTIFS(BD!$A$3:$A$5001,P$3,BD!$B$3:$B$5001,$A$379,BD!$L$3:$L$5001,"&lt;&gt;")=0,"",SUMIFS(BD!$L$3:$L$5001,BD!$A$3:$A$5001,P$3,BD!$B$3:$B$5001,$A$379)))</f>
        <v/>
      </c>
      <c r="Q388" s="203" t="str">
        <f>IF(Q$3="","",IF(COUNTIFS(BD!$A$3:$A$5001,Q$3,BD!$B$3:$B$5001,$A$379,BD!$L$3:$L$5001,"&lt;&gt;")=0,"",SUMIFS(BD!$L$3:$L$5001,BD!$A$3:$A$5001,Q$3,BD!$B$3:$B$5001,$A$379)))</f>
        <v/>
      </c>
      <c r="R388" s="203" t="str">
        <f>IF(R$3="","",IF(COUNTIFS(BD!$A$3:$A$5001,R$3,BD!$B$3:$B$5001,$A$379,BD!$L$3:$L$5001,"&lt;&gt;")=0,"",SUMIFS(BD!$L$3:$L$5001,BD!$A$3:$A$5001,R$3,BD!$B$3:$B$5001,$A$379)))</f>
        <v/>
      </c>
      <c r="S388" s="203" t="str">
        <f>IF(S$3="","",IF(COUNTIFS(BD!$A$3:$A$5001,S$3,BD!$B$3:$B$5001,$A$379,BD!$L$3:$L$5001,"&lt;&gt;")=0,"",SUMIFS(BD!$L$3:$L$5001,BD!$A$3:$A$5001,S$3,BD!$B$3:$B$5001,$A$379)))</f>
        <v/>
      </c>
      <c r="T388" s="203" t="str">
        <f>IF(T$3="","",IF(COUNTIFS(BD!$A$3:$A$5001,T$3,BD!$B$3:$B$5001,$A$379,BD!$L$3:$L$5001,"&lt;&gt;")=0,"",SUMIFS(BD!$L$3:$L$5001,BD!$A$3:$A$5001,T$3,BD!$B$3:$B$5001,$A$379)))</f>
        <v/>
      </c>
      <c r="U388" s="203" t="str">
        <f>IF(U$3="","",IF(COUNTIFS(BD!$A$3:$A$5001,U$3,BD!$B$3:$B$5001,$A$379,BD!$L$3:$L$5001,"&lt;&gt;")=0,"",SUMIFS(BD!$L$3:$L$5001,BD!$A$3:$A$5001,U$3,BD!$B$3:$B$5001,$A$379)))</f>
        <v/>
      </c>
      <c r="V388" s="203" t="str">
        <f>IF(V$3="","",IF(COUNTIFS(BD!$A$3:$A$5001,V$3,BD!$B$3:$B$5001,$A$379,BD!$L$3:$L$5001,"&lt;&gt;")=0,"",SUMIFS(BD!$L$3:$L$5001,BD!$A$3:$A$5001,V$3,BD!$B$3:$B$5001,$A$379)))</f>
        <v/>
      </c>
      <c r="W388" s="203" t="str">
        <f>IF(W$3="","",IF(COUNTIFS(BD!$A$3:$A$5001,W$3,BD!$B$3:$B$5001,$A$379,BD!$L$3:$L$5001,"&lt;&gt;")=0,"",SUMIFS(BD!$L$3:$L$5001,BD!$A$3:$A$5001,W$3,BD!$B$3:$B$5001,$A$379)))</f>
        <v/>
      </c>
      <c r="X388" s="203" t="str">
        <f>IF(X$3="","",IF(COUNTIFS(BD!$A$3:$A$5001,X$3,BD!$B$3:$B$5001,$A$379,BD!$L$3:$L$5001,"&lt;&gt;")=0,"",SUMIFS(BD!$L$3:$L$5001,BD!$A$3:$A$5001,X$3,BD!$B$3:$B$5001,$A$379)))</f>
        <v/>
      </c>
      <c r="Y388" s="203" t="str">
        <f>IF(Y$3="","",IF(COUNTIFS(BD!$A$3:$A$5001,Y$3,BD!$B$3:$B$5001,$A$379,BD!$L$3:$L$5001,"&lt;&gt;")=0,"",SUMIFS(BD!$L$3:$L$5001,BD!$A$3:$A$5001,Y$3,BD!$B$3:$B$5001,$A$379)))</f>
        <v/>
      </c>
      <c r="Z388" s="203" t="str">
        <f>IF(Z$3="","",IF(COUNTIFS(BD!$A$3:$A$5001,Z$3,BD!$B$3:$B$5001,$A$379,BD!$L$3:$L$5001,"&lt;&gt;")=0,"",SUMIFS(BD!$L$3:$L$5001,BD!$A$3:$A$5001,Z$3,BD!$B$3:$B$5001,$A$379)))</f>
        <v/>
      </c>
      <c r="AA388" s="203" t="str">
        <f>IF(AA$3="","",IF(COUNTIFS(BD!$A$3:$A$5001,AA$3,BD!$B$3:$B$5001,$A$379,BD!$L$3:$L$5001,"&lt;&gt;")=0,"",SUMIFS(BD!$L$3:$L$5001,BD!$A$3:$A$5001,AA$3,BD!$B$3:$B$5001,$A$379)))</f>
        <v/>
      </c>
      <c r="AB388" s="203" t="str">
        <f>IF(AB$3="","",IF(COUNTIFS(BD!$A$3:$A$5001,AB$3,BD!$B$3:$B$5001,$A$379,BD!$L$3:$L$5001,"&lt;&gt;")=0,"",SUMIFS(BD!$L$3:$L$5001,BD!$A$3:$A$5001,AB$3,BD!$B$3:$B$5001,$A$379)))</f>
        <v/>
      </c>
      <c r="AC388" s="203" t="str">
        <f>IF(AC$3="","",IF(COUNTIFS(BD!$A$3:$A$5001,AC$3,BD!$B$3:$B$5001,$A$379,BD!$L$3:$L$5001,"&lt;&gt;")=0,"",SUMIFS(BD!$L$3:$L$5001,BD!$A$3:$A$5001,AC$3,BD!$B$3:$B$5001,$A$379)))</f>
        <v/>
      </c>
      <c r="AD388" s="203" t="str">
        <f>IF(AD$3="","",IF(COUNTIFS(BD!$A$3:$A$5001,AD$3,BD!$B$3:$B$5001,$A$379,BD!$L$3:$L$5001,"&lt;&gt;")=0,"",SUMIFS(BD!$L$3:$L$5001,BD!$A$3:$A$5001,AD$3,BD!$B$3:$B$5001,$A$379)))</f>
        <v/>
      </c>
      <c r="AE388" s="203" t="str">
        <f>IF(AE$3="","",IF(COUNTIFS(BD!$A$3:$A$5001,AE$3,BD!$B$3:$B$5001,$A$379,BD!$L$3:$L$5001,"&lt;&gt;")=0,"",SUMIFS(BD!$L$3:$L$5001,BD!$A$3:$A$5001,AE$3,BD!$B$3:$B$5001,$A$379)))</f>
        <v/>
      </c>
      <c r="AF388" s="203" t="str">
        <f>IF(AF$3="","",IF(COUNTIFS(BD!$A$3:$A$5001,AF$3,BD!$B$3:$B$5001,$A$379,BD!$L$3:$L$5001,"&lt;&gt;")=0,"",SUMIFS(BD!$L$3:$L$5001,BD!$A$3:$A$5001,AF$3,BD!$B$3:$B$5001,$A$379)))</f>
        <v/>
      </c>
      <c r="AG388" s="203" t="str">
        <f>IF(AG$3="","",IF(COUNTIFS(BD!$A$3:$A$5001,AG$3,BD!$B$3:$B$5001,$A$379,BD!$L$3:$L$5001,"&lt;&gt;")=0,"",SUMIFS(BD!$L$3:$L$5001,BD!$A$3:$A$5001,AG$3,BD!$B$3:$B$5001,$A$379)))</f>
        <v/>
      </c>
      <c r="AH388" s="203" t="str">
        <f>IF(AH$3="","",IF(COUNTIFS(BD!$A$3:$A$5001,AH$3,BD!$B$3:$B$5001,$A$379,BD!$L$3:$L$5001,"&lt;&gt;")=0,"",SUMIFS(BD!$L$3:$L$5001,BD!$A$3:$A$5001,AH$3,BD!$B$3:$B$5001,$A$379)))</f>
        <v/>
      </c>
      <c r="AI388" s="203" t="str">
        <f>IF(AI$3="","",IF(COUNTIFS(BD!$A$3:$A$5001,AI$3,BD!$B$3:$B$5001,$A$379,BD!$L$3:$L$5001,"&lt;&gt;")=0,"",SUMIFS(BD!$L$3:$L$5001,BD!$A$3:$A$5001,AI$3,BD!$B$3:$B$5001,$A$379)))</f>
        <v/>
      </c>
      <c r="AJ388" s="204" t="str">
        <f>IF(AJ$3="","",IF(COUNTIFS(BD!$A$3:$A$5001,AJ$3,BD!$B$3:$B$5001,$A$379,BD!$L$3:$L$5001,"&lt;&gt;")=0,"",SUMIFS(BD!$L$3:$L$5001,BD!$A$3:$A$5001,AJ$3,BD!$B$3:$B$5001,$A$379)))</f>
        <v/>
      </c>
      <c r="AK388" s="205" t="str">
        <f>IF(COUNT(F388:AJ388)=0,"",SUM(F388:AJ388))</f>
        <v/>
      </c>
    </row>
    <row r="389" ht="15.75" customHeight="1" hidden="1">
      <c r="A389" s="277"/>
      <c r="B389" s="269"/>
      <c r="C389" s="210" t="inlineStr">
        <is>
          <t xml:space="preserve">Bags Expedidos</t>
        </is>
      </c>
      <c r="D389" s="211" t="str">
        <f>IFERROR(1/(1/INDEX(BD!$AF$33:$AZ$33,MATCH($A$379,BD!$AF$22:$AZ$22,0))),"")</f>
        <v/>
      </c>
      <c r="E389" s="212"/>
      <c r="F389" s="213" t="str">
        <f>IF(F$3="","",IF(COUNTIFS(BD!$A$3:$A$5001,F$3,BD!$B$3:$B$5001,$A$379,BD!$M$3:$M$5001,"&lt;&gt;")=0,"",SUMIFS(BD!$M$3:$M$5001,BD!$A$3:$A$5001,F$3,BD!$B$3:$B$5001,$A$379)))</f>
        <v/>
      </c>
      <c r="G389" s="214" t="str">
        <f>IF(G$3="","",IF(COUNTIFS(BD!$A$3:$A$5001,G$3,BD!$B$3:$B$5001,$A$379,BD!$M$3:$M$5001,"&lt;&gt;")=0,"",SUMIFS(BD!$M$3:$M$5001,BD!$A$3:$A$5001,G$3,BD!$B$3:$B$5001,$A$379)))</f>
        <v/>
      </c>
      <c r="H389" s="214" t="str">
        <f>IF(H$3="","",IF(COUNTIFS(BD!$A$3:$A$5001,H$3,BD!$B$3:$B$5001,$A$379,BD!$M$3:$M$5001,"&lt;&gt;")=0,"",SUMIFS(BD!$M$3:$M$5001,BD!$A$3:$A$5001,H$3,BD!$B$3:$B$5001,$A$379)))</f>
        <v/>
      </c>
      <c r="I389" s="214" t="str">
        <f>IF(I$3="","",IF(COUNTIFS(BD!$A$3:$A$5001,I$3,BD!$B$3:$B$5001,$A$379,BD!$M$3:$M$5001,"&lt;&gt;")=0,"",SUMIFS(BD!$M$3:$M$5001,BD!$A$3:$A$5001,I$3,BD!$B$3:$B$5001,$A$379)))</f>
        <v/>
      </c>
      <c r="J389" s="214" t="str">
        <f>IF(J$3="","",IF(COUNTIFS(BD!$A$3:$A$5001,J$3,BD!$B$3:$B$5001,$A$379,BD!$M$3:$M$5001,"&lt;&gt;")=0,"",SUMIFS(BD!$M$3:$M$5001,BD!$A$3:$A$5001,J$3,BD!$B$3:$B$5001,$A$379)))</f>
        <v/>
      </c>
      <c r="K389" s="214" t="str">
        <f>IF(K$3="","",IF(COUNTIFS(BD!$A$3:$A$5001,K$3,BD!$B$3:$B$5001,$A$379,BD!$M$3:$M$5001,"&lt;&gt;")=0,"",SUMIFS(BD!$M$3:$M$5001,BD!$A$3:$A$5001,K$3,BD!$B$3:$B$5001,$A$379)))</f>
        <v/>
      </c>
      <c r="L389" s="214" t="str">
        <f>IF(L$3="","",IF(COUNTIFS(BD!$A$3:$A$5001,L$3,BD!$B$3:$B$5001,$A$379,BD!$M$3:$M$5001,"&lt;&gt;")=0,"",SUMIFS(BD!$M$3:$M$5001,BD!$A$3:$A$5001,L$3,BD!$B$3:$B$5001,$A$379)))</f>
        <v/>
      </c>
      <c r="M389" s="214" t="str">
        <f>IF(M$3="","",IF(COUNTIFS(BD!$A$3:$A$5001,M$3,BD!$B$3:$B$5001,$A$379,BD!$M$3:$M$5001,"&lt;&gt;")=0,"",SUMIFS(BD!$M$3:$M$5001,BD!$A$3:$A$5001,M$3,BD!$B$3:$B$5001,$A$379)))</f>
        <v/>
      </c>
      <c r="N389" s="214" t="str">
        <f>IF(N$3="","",IF(COUNTIFS(BD!$A$3:$A$5001,N$3,BD!$B$3:$B$5001,$A$379,BD!$M$3:$M$5001,"&lt;&gt;")=0,"",SUMIFS(BD!$M$3:$M$5001,BD!$A$3:$A$5001,N$3,BD!$B$3:$B$5001,$A$379)))</f>
        <v/>
      </c>
      <c r="O389" s="214" t="str">
        <f>IF(O$3="","",IF(COUNTIFS(BD!$A$3:$A$5001,O$3,BD!$B$3:$B$5001,$A$379,BD!$M$3:$M$5001,"&lt;&gt;")=0,"",SUMIFS(BD!$M$3:$M$5001,BD!$A$3:$A$5001,O$3,BD!$B$3:$B$5001,$A$379)))</f>
        <v/>
      </c>
      <c r="P389" s="214" t="str">
        <f>IF(P$3="","",IF(COUNTIFS(BD!$A$3:$A$5001,P$3,BD!$B$3:$B$5001,$A$379,BD!$M$3:$M$5001,"&lt;&gt;")=0,"",SUMIFS(BD!$M$3:$M$5001,BD!$A$3:$A$5001,P$3,BD!$B$3:$B$5001,$A$379)))</f>
        <v/>
      </c>
      <c r="Q389" s="214" t="str">
        <f>IF(Q$3="","",IF(COUNTIFS(BD!$A$3:$A$5001,Q$3,BD!$B$3:$B$5001,$A$379,BD!$M$3:$M$5001,"&lt;&gt;")=0,"",SUMIFS(BD!$M$3:$M$5001,BD!$A$3:$A$5001,Q$3,BD!$B$3:$B$5001,$A$379)))</f>
        <v/>
      </c>
      <c r="R389" s="214" t="str">
        <f>IF(R$3="","",IF(COUNTIFS(BD!$A$3:$A$5001,R$3,BD!$B$3:$B$5001,$A$379,BD!$M$3:$M$5001,"&lt;&gt;")=0,"",SUMIFS(BD!$M$3:$M$5001,BD!$A$3:$A$5001,R$3,BD!$B$3:$B$5001,$A$379)))</f>
        <v/>
      </c>
      <c r="S389" s="214" t="str">
        <f>IF(S$3="","",IF(COUNTIFS(BD!$A$3:$A$5001,S$3,BD!$B$3:$B$5001,$A$379,BD!$M$3:$M$5001,"&lt;&gt;")=0,"",SUMIFS(BD!$M$3:$M$5001,BD!$A$3:$A$5001,S$3,BD!$B$3:$B$5001,$A$379)))</f>
        <v/>
      </c>
      <c r="T389" s="214" t="str">
        <f>IF(T$3="","",IF(COUNTIFS(BD!$A$3:$A$5001,T$3,BD!$B$3:$B$5001,$A$379,BD!$M$3:$M$5001,"&lt;&gt;")=0,"",SUMIFS(BD!$M$3:$M$5001,BD!$A$3:$A$5001,T$3,BD!$B$3:$B$5001,$A$379)))</f>
        <v/>
      </c>
      <c r="U389" s="214" t="str">
        <f>IF(U$3="","",IF(COUNTIFS(BD!$A$3:$A$5001,U$3,BD!$B$3:$B$5001,$A$379,BD!$M$3:$M$5001,"&lt;&gt;")=0,"",SUMIFS(BD!$M$3:$M$5001,BD!$A$3:$A$5001,U$3,BD!$B$3:$B$5001,$A$379)))</f>
        <v/>
      </c>
      <c r="V389" s="214" t="str">
        <f>IF(V$3="","",IF(COUNTIFS(BD!$A$3:$A$5001,V$3,BD!$B$3:$B$5001,$A$379,BD!$M$3:$M$5001,"&lt;&gt;")=0,"",SUMIFS(BD!$M$3:$M$5001,BD!$A$3:$A$5001,V$3,BD!$B$3:$B$5001,$A$379)))</f>
        <v/>
      </c>
      <c r="W389" s="214" t="str">
        <f>IF(W$3="","",IF(COUNTIFS(BD!$A$3:$A$5001,W$3,BD!$B$3:$B$5001,$A$379,BD!$M$3:$M$5001,"&lt;&gt;")=0,"",SUMIFS(BD!$M$3:$M$5001,BD!$A$3:$A$5001,W$3,BD!$B$3:$B$5001,$A$379)))</f>
        <v/>
      </c>
      <c r="X389" s="214" t="str">
        <f>IF(X$3="","",IF(COUNTIFS(BD!$A$3:$A$5001,X$3,BD!$B$3:$B$5001,$A$379,BD!$M$3:$M$5001,"&lt;&gt;")=0,"",SUMIFS(BD!$M$3:$M$5001,BD!$A$3:$A$5001,X$3,BD!$B$3:$B$5001,$A$379)))</f>
        <v/>
      </c>
      <c r="Y389" s="214" t="str">
        <f>IF(Y$3="","",IF(COUNTIFS(BD!$A$3:$A$5001,Y$3,BD!$B$3:$B$5001,$A$379,BD!$M$3:$M$5001,"&lt;&gt;")=0,"",SUMIFS(BD!$M$3:$M$5001,BD!$A$3:$A$5001,Y$3,BD!$B$3:$B$5001,$A$379)))</f>
        <v/>
      </c>
      <c r="Z389" s="214" t="str">
        <f>IF(Z$3="","",IF(COUNTIFS(BD!$A$3:$A$5001,Z$3,BD!$B$3:$B$5001,$A$379,BD!$M$3:$M$5001,"&lt;&gt;")=0,"",SUMIFS(BD!$M$3:$M$5001,BD!$A$3:$A$5001,Z$3,BD!$B$3:$B$5001,$A$379)))</f>
        <v/>
      </c>
      <c r="AA389" s="214" t="str">
        <f>IF(AA$3="","",IF(COUNTIFS(BD!$A$3:$A$5001,AA$3,BD!$B$3:$B$5001,$A$379,BD!$M$3:$M$5001,"&lt;&gt;")=0,"",SUMIFS(BD!$M$3:$M$5001,BD!$A$3:$A$5001,AA$3,BD!$B$3:$B$5001,$A$379)))</f>
        <v/>
      </c>
      <c r="AB389" s="214" t="str">
        <f>IF(AB$3="","",IF(COUNTIFS(BD!$A$3:$A$5001,AB$3,BD!$B$3:$B$5001,$A$379,BD!$M$3:$M$5001,"&lt;&gt;")=0,"",SUMIFS(BD!$M$3:$M$5001,BD!$A$3:$A$5001,AB$3,BD!$B$3:$B$5001,$A$379)))</f>
        <v/>
      </c>
      <c r="AC389" s="214" t="str">
        <f>IF(AC$3="","",IF(COUNTIFS(BD!$A$3:$A$5001,AC$3,BD!$B$3:$B$5001,$A$379,BD!$M$3:$M$5001,"&lt;&gt;")=0,"",SUMIFS(BD!$M$3:$M$5001,BD!$A$3:$A$5001,AC$3,BD!$B$3:$B$5001,$A$379)))</f>
        <v/>
      </c>
      <c r="AD389" s="214" t="str">
        <f>IF(AD$3="","",IF(COUNTIFS(BD!$A$3:$A$5001,AD$3,BD!$B$3:$B$5001,$A$379,BD!$M$3:$M$5001,"&lt;&gt;")=0,"",SUMIFS(BD!$M$3:$M$5001,BD!$A$3:$A$5001,AD$3,BD!$B$3:$B$5001,$A$379)))</f>
        <v/>
      </c>
      <c r="AE389" s="214" t="str">
        <f>IF(AE$3="","",IF(COUNTIFS(BD!$A$3:$A$5001,AE$3,BD!$B$3:$B$5001,$A$379,BD!$M$3:$M$5001,"&lt;&gt;")=0,"",SUMIFS(BD!$M$3:$M$5001,BD!$A$3:$A$5001,AE$3,BD!$B$3:$B$5001,$A$379)))</f>
        <v/>
      </c>
      <c r="AF389" s="214" t="str">
        <f>IF(AF$3="","",IF(COUNTIFS(BD!$A$3:$A$5001,AF$3,BD!$B$3:$B$5001,$A$379,BD!$M$3:$M$5001,"&lt;&gt;")=0,"",SUMIFS(BD!$M$3:$M$5001,BD!$A$3:$A$5001,AF$3,BD!$B$3:$B$5001,$A$379)))</f>
        <v/>
      </c>
      <c r="AG389" s="214" t="str">
        <f>IF(AG$3="","",IF(COUNTIFS(BD!$A$3:$A$5001,AG$3,BD!$B$3:$B$5001,$A$379,BD!$M$3:$M$5001,"&lt;&gt;")=0,"",SUMIFS(BD!$M$3:$M$5001,BD!$A$3:$A$5001,AG$3,BD!$B$3:$B$5001,$A$379)))</f>
        <v/>
      </c>
      <c r="AH389" s="214" t="str">
        <f>IF(AH$3="","",IF(COUNTIFS(BD!$A$3:$A$5001,AH$3,BD!$B$3:$B$5001,$A$379,BD!$M$3:$M$5001,"&lt;&gt;")=0,"",SUMIFS(BD!$M$3:$M$5001,BD!$A$3:$A$5001,AH$3,BD!$B$3:$B$5001,$A$379)))</f>
        <v/>
      </c>
      <c r="AI389" s="214" t="str">
        <f>IF(AI$3="","",IF(COUNTIFS(BD!$A$3:$A$5001,AI$3,BD!$B$3:$B$5001,$A$379,BD!$M$3:$M$5001,"&lt;&gt;")=0,"",SUMIFS(BD!$M$3:$M$5001,BD!$A$3:$A$5001,AI$3,BD!$B$3:$B$5001,$A$379)))</f>
        <v/>
      </c>
      <c r="AJ389" s="215" t="str">
        <f>IF(AJ$3="","",IF(COUNTIFS(BD!$A$3:$A$5001,AJ$3,BD!$B$3:$B$5001,$A$379,BD!$M$3:$M$5001,"&lt;&gt;")=0,"",SUMIFS(BD!$M$3:$M$5001,BD!$A$3:$A$5001,AJ$3,BD!$B$3:$B$5001,$A$379)))</f>
        <v/>
      </c>
      <c r="AK389" s="211" t="str">
        <f>IF(COUNT(F389:AJ389)=0,"",SUM(F389:AJ389))</f>
        <v/>
      </c>
    </row>
    <row r="390" ht="15.75" customHeight="1" hidden="1">
      <c r="A390" s="277"/>
      <c r="B390" s="270" t="inlineStr">
        <is>
          <t xml:space="preserve">NC</t>
        </is>
      </c>
      <c r="C390" s="216" t="inlineStr">
        <is>
          <t xml:space="preserve">Incidentes</t>
        </is>
      </c>
      <c r="D390" s="217" t="str">
        <f>IFERROR(1/(1/INDEX(BD!$AF$34:$AZ$34,MATCH($A$379,BD!$AF$22:$AZ$22,0))),"")</f>
        <v/>
      </c>
      <c r="E390" s="218"/>
      <c r="F390" s="219" t="str">
        <f>IF(F$3="","",IF(COUNTIFS(BD!$A$3:$A$5001,F$3,BD!$B$3:$B$5001,$A$379,BD!$N$3:$N$5001,"&lt;&gt;")=0,"",SUMIFS(BD!$N$3:$N$5001,BD!$A$3:$A$5001,F$3,BD!$B$3:$B$5001,$A$379)))</f>
        <v/>
      </c>
      <c r="G390" s="220" t="str">
        <f>IF(G$3="","",IF(COUNTIFS(BD!$A$3:$A$5001,G$3,BD!$B$3:$B$5001,$A$379,BD!$N$3:$N$5001,"&lt;&gt;")=0,"",SUMIFS(BD!$N$3:$N$5001,BD!$A$3:$A$5001,G$3,BD!$B$3:$B$5001,$A$379)))</f>
        <v/>
      </c>
      <c r="H390" s="220" t="str">
        <f>IF(H$3="","",IF(COUNTIFS(BD!$A$3:$A$5001,H$3,BD!$B$3:$B$5001,$A$379,BD!$N$3:$N$5001,"&lt;&gt;")=0,"",SUMIFS(BD!$N$3:$N$5001,BD!$A$3:$A$5001,H$3,BD!$B$3:$B$5001,$A$379)))</f>
        <v/>
      </c>
      <c r="I390" s="220" t="str">
        <f>IF(I$3="","",IF(COUNTIFS(BD!$A$3:$A$5001,I$3,BD!$B$3:$B$5001,$A$379,BD!$N$3:$N$5001,"&lt;&gt;")=0,"",SUMIFS(BD!$N$3:$N$5001,BD!$A$3:$A$5001,I$3,BD!$B$3:$B$5001,$A$379)))</f>
        <v/>
      </c>
      <c r="J390" s="220" t="str">
        <f>IF(J$3="","",IF(COUNTIFS(BD!$A$3:$A$5001,J$3,BD!$B$3:$B$5001,$A$379,BD!$N$3:$N$5001,"&lt;&gt;")=0,"",SUMIFS(BD!$N$3:$N$5001,BD!$A$3:$A$5001,J$3,BD!$B$3:$B$5001,$A$379)))</f>
        <v/>
      </c>
      <c r="K390" s="220" t="str">
        <f>IF(K$3="","",IF(COUNTIFS(BD!$A$3:$A$5001,K$3,BD!$B$3:$B$5001,$A$379,BD!$N$3:$N$5001,"&lt;&gt;")=0,"",SUMIFS(BD!$N$3:$N$5001,BD!$A$3:$A$5001,K$3,BD!$B$3:$B$5001,$A$379)))</f>
        <v/>
      </c>
      <c r="L390" s="220" t="str">
        <f>IF(L$3="","",IF(COUNTIFS(BD!$A$3:$A$5001,L$3,BD!$B$3:$B$5001,$A$379,BD!$N$3:$N$5001,"&lt;&gt;")=0,"",SUMIFS(BD!$N$3:$N$5001,BD!$A$3:$A$5001,L$3,BD!$B$3:$B$5001,$A$379)))</f>
        <v/>
      </c>
      <c r="M390" s="220" t="str">
        <f>IF(M$3="","",IF(COUNTIFS(BD!$A$3:$A$5001,M$3,BD!$B$3:$B$5001,$A$379,BD!$N$3:$N$5001,"&lt;&gt;")=0,"",SUMIFS(BD!$N$3:$N$5001,BD!$A$3:$A$5001,M$3,BD!$B$3:$B$5001,$A$379)))</f>
        <v/>
      </c>
      <c r="N390" s="220" t="str">
        <f>IF(N$3="","",IF(COUNTIFS(BD!$A$3:$A$5001,N$3,BD!$B$3:$B$5001,$A$379,BD!$N$3:$N$5001,"&lt;&gt;")=0,"",SUMIFS(BD!$N$3:$N$5001,BD!$A$3:$A$5001,N$3,BD!$B$3:$B$5001,$A$379)))</f>
        <v/>
      </c>
      <c r="O390" s="220" t="str">
        <f>IF(O$3="","",IF(COUNTIFS(BD!$A$3:$A$5001,O$3,BD!$B$3:$B$5001,$A$379,BD!$N$3:$N$5001,"&lt;&gt;")=0,"",SUMIFS(BD!$N$3:$N$5001,BD!$A$3:$A$5001,O$3,BD!$B$3:$B$5001,$A$379)))</f>
        <v/>
      </c>
      <c r="P390" s="220" t="str">
        <f>IF(P$3="","",IF(COUNTIFS(BD!$A$3:$A$5001,P$3,BD!$B$3:$B$5001,$A$379,BD!$N$3:$N$5001,"&lt;&gt;")=0,"",SUMIFS(BD!$N$3:$N$5001,BD!$A$3:$A$5001,P$3,BD!$B$3:$B$5001,$A$379)))</f>
        <v/>
      </c>
      <c r="Q390" s="220" t="str">
        <f>IF(Q$3="","",IF(COUNTIFS(BD!$A$3:$A$5001,Q$3,BD!$B$3:$B$5001,$A$379,BD!$N$3:$N$5001,"&lt;&gt;")=0,"",SUMIFS(BD!$N$3:$N$5001,BD!$A$3:$A$5001,Q$3,BD!$B$3:$B$5001,$A$379)))</f>
        <v/>
      </c>
      <c r="R390" s="220" t="str">
        <f>IF(R$3="","",IF(COUNTIFS(BD!$A$3:$A$5001,R$3,BD!$B$3:$B$5001,$A$379,BD!$N$3:$N$5001,"&lt;&gt;")=0,"",SUMIFS(BD!$N$3:$N$5001,BD!$A$3:$A$5001,R$3,BD!$B$3:$B$5001,$A$379)))</f>
        <v/>
      </c>
      <c r="S390" s="220" t="str">
        <f>IF(S$3="","",IF(COUNTIFS(BD!$A$3:$A$5001,S$3,BD!$B$3:$B$5001,$A$379,BD!$N$3:$N$5001,"&lt;&gt;")=0,"",SUMIFS(BD!$N$3:$N$5001,BD!$A$3:$A$5001,S$3,BD!$B$3:$B$5001,$A$379)))</f>
        <v/>
      </c>
      <c r="T390" s="220" t="str">
        <f>IF(T$3="","",IF(COUNTIFS(BD!$A$3:$A$5001,T$3,BD!$B$3:$B$5001,$A$379,BD!$N$3:$N$5001,"&lt;&gt;")=0,"",SUMIFS(BD!$N$3:$N$5001,BD!$A$3:$A$5001,T$3,BD!$B$3:$B$5001,$A$379)))</f>
        <v/>
      </c>
      <c r="U390" s="220" t="str">
        <f>IF(U$3="","",IF(COUNTIFS(BD!$A$3:$A$5001,U$3,BD!$B$3:$B$5001,$A$379,BD!$N$3:$N$5001,"&lt;&gt;")=0,"",SUMIFS(BD!$N$3:$N$5001,BD!$A$3:$A$5001,U$3,BD!$B$3:$B$5001,$A$379)))</f>
        <v/>
      </c>
      <c r="V390" s="220" t="str">
        <f>IF(V$3="","",IF(COUNTIFS(BD!$A$3:$A$5001,V$3,BD!$B$3:$B$5001,$A$379,BD!$N$3:$N$5001,"&lt;&gt;")=0,"",SUMIFS(BD!$N$3:$N$5001,BD!$A$3:$A$5001,V$3,BD!$B$3:$B$5001,$A$379)))</f>
        <v/>
      </c>
      <c r="W390" s="220" t="str">
        <f>IF(W$3="","",IF(COUNTIFS(BD!$A$3:$A$5001,W$3,BD!$B$3:$B$5001,$A$379,BD!$N$3:$N$5001,"&lt;&gt;")=0,"",SUMIFS(BD!$N$3:$N$5001,BD!$A$3:$A$5001,W$3,BD!$B$3:$B$5001,$A$379)))</f>
        <v/>
      </c>
      <c r="X390" s="220" t="str">
        <f>IF(X$3="","",IF(COUNTIFS(BD!$A$3:$A$5001,X$3,BD!$B$3:$B$5001,$A$379,BD!$N$3:$N$5001,"&lt;&gt;")=0,"",SUMIFS(BD!$N$3:$N$5001,BD!$A$3:$A$5001,X$3,BD!$B$3:$B$5001,$A$379)))</f>
        <v/>
      </c>
      <c r="Y390" s="220" t="str">
        <f>IF(Y$3="","",IF(COUNTIFS(BD!$A$3:$A$5001,Y$3,BD!$B$3:$B$5001,$A$379,BD!$N$3:$N$5001,"&lt;&gt;")=0,"",SUMIFS(BD!$N$3:$N$5001,BD!$A$3:$A$5001,Y$3,BD!$B$3:$B$5001,$A$379)))</f>
        <v/>
      </c>
      <c r="Z390" s="220" t="str">
        <f>IF(Z$3="","",IF(COUNTIFS(BD!$A$3:$A$5001,Z$3,BD!$B$3:$B$5001,$A$379,BD!$N$3:$N$5001,"&lt;&gt;")=0,"",SUMIFS(BD!$N$3:$N$5001,BD!$A$3:$A$5001,Z$3,BD!$B$3:$B$5001,$A$379)))</f>
        <v/>
      </c>
      <c r="AA390" s="220" t="str">
        <f>IF(AA$3="","",IF(COUNTIFS(BD!$A$3:$A$5001,AA$3,BD!$B$3:$B$5001,$A$379,BD!$N$3:$N$5001,"&lt;&gt;")=0,"",SUMIFS(BD!$N$3:$N$5001,BD!$A$3:$A$5001,AA$3,BD!$B$3:$B$5001,$A$379)))</f>
        <v/>
      </c>
      <c r="AB390" s="220" t="str">
        <f>IF(AB$3="","",IF(COUNTIFS(BD!$A$3:$A$5001,AB$3,BD!$B$3:$B$5001,$A$379,BD!$N$3:$N$5001,"&lt;&gt;")=0,"",SUMIFS(BD!$N$3:$N$5001,BD!$A$3:$A$5001,AB$3,BD!$B$3:$B$5001,$A$379)))</f>
        <v/>
      </c>
      <c r="AC390" s="220" t="str">
        <f>IF(AC$3="","",IF(COUNTIFS(BD!$A$3:$A$5001,AC$3,BD!$B$3:$B$5001,$A$379,BD!$N$3:$N$5001,"&lt;&gt;")=0,"",SUMIFS(BD!$N$3:$N$5001,BD!$A$3:$A$5001,AC$3,BD!$B$3:$B$5001,$A$379)))</f>
        <v/>
      </c>
      <c r="AD390" s="220" t="str">
        <f>IF(AD$3="","",IF(COUNTIFS(BD!$A$3:$A$5001,AD$3,BD!$B$3:$B$5001,$A$379,BD!$N$3:$N$5001,"&lt;&gt;")=0,"",SUMIFS(BD!$N$3:$N$5001,BD!$A$3:$A$5001,AD$3,BD!$B$3:$B$5001,$A$379)))</f>
        <v/>
      </c>
      <c r="AE390" s="220" t="str">
        <f>IF(AE$3="","",IF(COUNTIFS(BD!$A$3:$A$5001,AE$3,BD!$B$3:$B$5001,$A$379,BD!$N$3:$N$5001,"&lt;&gt;")=0,"",SUMIFS(BD!$N$3:$N$5001,BD!$A$3:$A$5001,AE$3,BD!$B$3:$B$5001,$A$379)))</f>
        <v/>
      </c>
      <c r="AF390" s="220" t="str">
        <f>IF(AF$3="","",IF(COUNTIFS(BD!$A$3:$A$5001,AF$3,BD!$B$3:$B$5001,$A$379,BD!$N$3:$N$5001,"&lt;&gt;")=0,"",SUMIFS(BD!$N$3:$N$5001,BD!$A$3:$A$5001,AF$3,BD!$B$3:$B$5001,$A$379)))</f>
        <v/>
      </c>
      <c r="AG390" s="220" t="str">
        <f>IF(AG$3="","",IF(COUNTIFS(BD!$A$3:$A$5001,AG$3,BD!$B$3:$B$5001,$A$379,BD!$N$3:$N$5001,"&lt;&gt;")=0,"",SUMIFS(BD!$N$3:$N$5001,BD!$A$3:$A$5001,AG$3,BD!$B$3:$B$5001,$A$379)))</f>
        <v/>
      </c>
      <c r="AH390" s="220" t="str">
        <f>IF(AH$3="","",IF(COUNTIFS(BD!$A$3:$A$5001,AH$3,BD!$B$3:$B$5001,$A$379,BD!$N$3:$N$5001,"&lt;&gt;")=0,"",SUMIFS(BD!$N$3:$N$5001,BD!$A$3:$A$5001,AH$3,BD!$B$3:$B$5001,$A$379)))</f>
        <v/>
      </c>
      <c r="AI390" s="220" t="str">
        <f>IF(AI$3="","",IF(COUNTIFS(BD!$A$3:$A$5001,AI$3,BD!$B$3:$B$5001,$A$379,BD!$N$3:$N$5001,"&lt;&gt;")=0,"",SUMIFS(BD!$N$3:$N$5001,BD!$A$3:$A$5001,AI$3,BD!$B$3:$B$5001,$A$379)))</f>
        <v/>
      </c>
      <c r="AJ390" s="221" t="str">
        <f>IF(AJ$3="","",IF(COUNTIFS(BD!$A$3:$A$5001,AJ$3,BD!$B$3:$B$5001,$A$379,BD!$N$3:$N$5001,"&lt;&gt;")=0,"",SUMIFS(BD!$N$3:$N$5001,BD!$A$3:$A$5001,AJ$3,BD!$B$3:$B$5001,$A$379)))</f>
        <v/>
      </c>
      <c r="AK390" s="222" t="str">
        <f>IF(COUNT(F390:AJ390)=0,"",SUM(F390:AJ390))</f>
        <v/>
      </c>
    </row>
    <row r="391" ht="15.75" customHeight="1" hidden="1">
      <c r="A391" s="277"/>
      <c r="B391" s="271"/>
      <c r="C391" s="223" t="inlineStr">
        <is>
          <t xml:space="preserve">No show</t>
        </is>
      </c>
      <c r="D391" s="224" t="str">
        <f>IFERROR(1/(1/INDEX(BD!$AF$35:$AZ$35,MATCH($A$379,BD!$AF$22:$AZ$22,0))),"")</f>
        <v/>
      </c>
      <c r="E391" s="225"/>
      <c r="F391" s="226" t="str">
        <f>IF(F$3="","",IF(COUNTIFS(BD!$A$3:$A$5001,F$3,BD!$B$3:$B$5001,$A$379,BD!$O$3:$O$5001,"&lt;&gt;")=0,"",SUMIFS(BD!$O$3:$O$5001,BD!$A$3:$A$5001,F$3,BD!$B$3:$B$5001,$A$379)))</f>
        <v/>
      </c>
      <c r="G391" s="227" t="str">
        <f>IF(G$3="","",IF(COUNTIFS(BD!$A$3:$A$5001,G$3,BD!$B$3:$B$5001,$A$379,BD!$O$3:$O$5001,"&lt;&gt;")=0,"",SUMIFS(BD!$O$3:$O$5001,BD!$A$3:$A$5001,G$3,BD!$B$3:$B$5001,$A$379)))</f>
        <v/>
      </c>
      <c r="H391" s="227" t="str">
        <f>IF(H$3="","",IF(COUNTIFS(BD!$A$3:$A$5001,H$3,BD!$B$3:$B$5001,$A$379,BD!$O$3:$O$5001,"&lt;&gt;")=0,"",SUMIFS(BD!$O$3:$O$5001,BD!$A$3:$A$5001,H$3,BD!$B$3:$B$5001,$A$379)))</f>
        <v/>
      </c>
      <c r="I391" s="227" t="str">
        <f>IF(I$3="","",IF(COUNTIFS(BD!$A$3:$A$5001,I$3,BD!$B$3:$B$5001,$A$379,BD!$O$3:$O$5001,"&lt;&gt;")=0,"",SUMIFS(BD!$O$3:$O$5001,BD!$A$3:$A$5001,I$3,BD!$B$3:$B$5001,$A$379)))</f>
        <v/>
      </c>
      <c r="J391" s="227" t="str">
        <f>IF(J$3="","",IF(COUNTIFS(BD!$A$3:$A$5001,J$3,BD!$B$3:$B$5001,$A$379,BD!$O$3:$O$5001,"&lt;&gt;")=0,"",SUMIFS(BD!$O$3:$O$5001,BD!$A$3:$A$5001,J$3,BD!$B$3:$B$5001,$A$379)))</f>
        <v/>
      </c>
      <c r="K391" s="227" t="str">
        <f>IF(K$3="","",IF(COUNTIFS(BD!$A$3:$A$5001,K$3,BD!$B$3:$B$5001,$A$379,BD!$O$3:$O$5001,"&lt;&gt;")=0,"",SUMIFS(BD!$O$3:$O$5001,BD!$A$3:$A$5001,K$3,BD!$B$3:$B$5001,$A$379)))</f>
        <v/>
      </c>
      <c r="L391" s="227" t="str">
        <f>IF(L$3="","",IF(COUNTIFS(BD!$A$3:$A$5001,L$3,BD!$B$3:$B$5001,$A$379,BD!$O$3:$O$5001,"&lt;&gt;")=0,"",SUMIFS(BD!$O$3:$O$5001,BD!$A$3:$A$5001,L$3,BD!$B$3:$B$5001,$A$379)))</f>
        <v/>
      </c>
      <c r="M391" s="227" t="str">
        <f>IF(M$3="","",IF(COUNTIFS(BD!$A$3:$A$5001,M$3,BD!$B$3:$B$5001,$A$379,BD!$O$3:$O$5001,"&lt;&gt;")=0,"",SUMIFS(BD!$O$3:$O$5001,BD!$A$3:$A$5001,M$3,BD!$B$3:$B$5001,$A$379)))</f>
        <v/>
      </c>
      <c r="N391" s="227" t="str">
        <f>IF(N$3="","",IF(COUNTIFS(BD!$A$3:$A$5001,N$3,BD!$B$3:$B$5001,$A$379,BD!$O$3:$O$5001,"&lt;&gt;")=0,"",SUMIFS(BD!$O$3:$O$5001,BD!$A$3:$A$5001,N$3,BD!$B$3:$B$5001,$A$379)))</f>
        <v/>
      </c>
      <c r="O391" s="227" t="str">
        <f>IF(O$3="","",IF(COUNTIFS(BD!$A$3:$A$5001,O$3,BD!$B$3:$B$5001,$A$379,BD!$O$3:$O$5001,"&lt;&gt;")=0,"",SUMIFS(BD!$O$3:$O$5001,BD!$A$3:$A$5001,O$3,BD!$B$3:$B$5001,$A$379)))</f>
        <v/>
      </c>
      <c r="P391" s="227" t="str">
        <f>IF(P$3="","",IF(COUNTIFS(BD!$A$3:$A$5001,P$3,BD!$B$3:$B$5001,$A$379,BD!$O$3:$O$5001,"&lt;&gt;")=0,"",SUMIFS(BD!$O$3:$O$5001,BD!$A$3:$A$5001,P$3,BD!$B$3:$B$5001,$A$379)))</f>
        <v/>
      </c>
      <c r="Q391" s="227" t="str">
        <f>IF(Q$3="","",IF(COUNTIFS(BD!$A$3:$A$5001,Q$3,BD!$B$3:$B$5001,$A$379,BD!$O$3:$O$5001,"&lt;&gt;")=0,"",SUMIFS(BD!$O$3:$O$5001,BD!$A$3:$A$5001,Q$3,BD!$B$3:$B$5001,$A$379)))</f>
        <v/>
      </c>
      <c r="R391" s="227" t="str">
        <f>IF(R$3="","",IF(COUNTIFS(BD!$A$3:$A$5001,R$3,BD!$B$3:$B$5001,$A$379,BD!$O$3:$O$5001,"&lt;&gt;")=0,"",SUMIFS(BD!$O$3:$O$5001,BD!$A$3:$A$5001,R$3,BD!$B$3:$B$5001,$A$379)))</f>
        <v/>
      </c>
      <c r="S391" s="227" t="str">
        <f>IF(S$3="","",IF(COUNTIFS(BD!$A$3:$A$5001,S$3,BD!$B$3:$B$5001,$A$379,BD!$O$3:$O$5001,"&lt;&gt;")=0,"",SUMIFS(BD!$O$3:$O$5001,BD!$A$3:$A$5001,S$3,BD!$B$3:$B$5001,$A$379)))</f>
        <v/>
      </c>
      <c r="T391" s="227" t="str">
        <f>IF(T$3="","",IF(COUNTIFS(BD!$A$3:$A$5001,T$3,BD!$B$3:$B$5001,$A$379,BD!$O$3:$O$5001,"&lt;&gt;")=0,"",SUMIFS(BD!$O$3:$O$5001,BD!$A$3:$A$5001,T$3,BD!$B$3:$B$5001,$A$379)))</f>
        <v/>
      </c>
      <c r="U391" s="227" t="str">
        <f>IF(U$3="","",IF(COUNTIFS(BD!$A$3:$A$5001,U$3,BD!$B$3:$B$5001,$A$379,BD!$O$3:$O$5001,"&lt;&gt;")=0,"",SUMIFS(BD!$O$3:$O$5001,BD!$A$3:$A$5001,U$3,BD!$B$3:$B$5001,$A$379)))</f>
        <v/>
      </c>
      <c r="V391" s="227" t="str">
        <f>IF(V$3="","",IF(COUNTIFS(BD!$A$3:$A$5001,V$3,BD!$B$3:$B$5001,$A$379,BD!$O$3:$O$5001,"&lt;&gt;")=0,"",SUMIFS(BD!$O$3:$O$5001,BD!$A$3:$A$5001,V$3,BD!$B$3:$B$5001,$A$379)))</f>
        <v/>
      </c>
      <c r="W391" s="227" t="str">
        <f>IF(W$3="","",IF(COUNTIFS(BD!$A$3:$A$5001,W$3,BD!$B$3:$B$5001,$A$379,BD!$O$3:$O$5001,"&lt;&gt;")=0,"",SUMIFS(BD!$O$3:$O$5001,BD!$A$3:$A$5001,W$3,BD!$B$3:$B$5001,$A$379)))</f>
        <v/>
      </c>
      <c r="X391" s="227" t="str">
        <f>IF(X$3="","",IF(COUNTIFS(BD!$A$3:$A$5001,X$3,BD!$B$3:$B$5001,$A$379,BD!$O$3:$O$5001,"&lt;&gt;")=0,"",SUMIFS(BD!$O$3:$O$5001,BD!$A$3:$A$5001,X$3,BD!$B$3:$B$5001,$A$379)))</f>
        <v/>
      </c>
      <c r="Y391" s="227" t="str">
        <f>IF(Y$3="","",IF(COUNTIFS(BD!$A$3:$A$5001,Y$3,BD!$B$3:$B$5001,$A$379,BD!$O$3:$O$5001,"&lt;&gt;")=0,"",SUMIFS(BD!$O$3:$O$5001,BD!$A$3:$A$5001,Y$3,BD!$B$3:$B$5001,$A$379)))</f>
        <v/>
      </c>
      <c r="Z391" s="227" t="str">
        <f>IF(Z$3="","",IF(COUNTIFS(BD!$A$3:$A$5001,Z$3,BD!$B$3:$B$5001,$A$379,BD!$O$3:$O$5001,"&lt;&gt;")=0,"",SUMIFS(BD!$O$3:$O$5001,BD!$A$3:$A$5001,Z$3,BD!$B$3:$B$5001,$A$379)))</f>
        <v/>
      </c>
      <c r="AA391" s="227" t="str">
        <f>IF(AA$3="","",IF(COUNTIFS(BD!$A$3:$A$5001,AA$3,BD!$B$3:$B$5001,$A$379,BD!$O$3:$O$5001,"&lt;&gt;")=0,"",SUMIFS(BD!$O$3:$O$5001,BD!$A$3:$A$5001,AA$3,BD!$B$3:$B$5001,$A$379)))</f>
        <v/>
      </c>
      <c r="AB391" s="227" t="str">
        <f>IF(AB$3="","",IF(COUNTIFS(BD!$A$3:$A$5001,AB$3,BD!$B$3:$B$5001,$A$379,BD!$O$3:$O$5001,"&lt;&gt;")=0,"",SUMIFS(BD!$O$3:$O$5001,BD!$A$3:$A$5001,AB$3,BD!$B$3:$B$5001,$A$379)))</f>
        <v/>
      </c>
      <c r="AC391" s="227" t="str">
        <f>IF(AC$3="","",IF(COUNTIFS(BD!$A$3:$A$5001,AC$3,BD!$B$3:$B$5001,$A$379,BD!$O$3:$O$5001,"&lt;&gt;")=0,"",SUMIFS(BD!$O$3:$O$5001,BD!$A$3:$A$5001,AC$3,BD!$B$3:$B$5001,$A$379)))</f>
        <v/>
      </c>
      <c r="AD391" s="227" t="str">
        <f>IF(AD$3="","",IF(COUNTIFS(BD!$A$3:$A$5001,AD$3,BD!$B$3:$B$5001,$A$379,BD!$O$3:$O$5001,"&lt;&gt;")=0,"",SUMIFS(BD!$O$3:$O$5001,BD!$A$3:$A$5001,AD$3,BD!$B$3:$B$5001,$A$379)))</f>
        <v/>
      </c>
      <c r="AE391" s="227" t="str">
        <f>IF(AE$3="","",IF(COUNTIFS(BD!$A$3:$A$5001,AE$3,BD!$B$3:$B$5001,$A$379,BD!$O$3:$O$5001,"&lt;&gt;")=0,"",SUMIFS(BD!$O$3:$O$5001,BD!$A$3:$A$5001,AE$3,BD!$B$3:$B$5001,$A$379)))</f>
        <v/>
      </c>
      <c r="AF391" s="227" t="str">
        <f>IF(AF$3="","",IF(COUNTIFS(BD!$A$3:$A$5001,AF$3,BD!$B$3:$B$5001,$A$379,BD!$O$3:$O$5001,"&lt;&gt;")=0,"",SUMIFS(BD!$O$3:$O$5001,BD!$A$3:$A$5001,AF$3,BD!$B$3:$B$5001,$A$379)))</f>
        <v/>
      </c>
      <c r="AG391" s="227" t="str">
        <f>IF(AG$3="","",IF(COUNTIFS(BD!$A$3:$A$5001,AG$3,BD!$B$3:$B$5001,$A$379,BD!$O$3:$O$5001,"&lt;&gt;")=0,"",SUMIFS(BD!$O$3:$O$5001,BD!$A$3:$A$5001,AG$3,BD!$B$3:$B$5001,$A$379)))</f>
        <v/>
      </c>
      <c r="AH391" s="227" t="str">
        <f>IF(AH$3="","",IF(COUNTIFS(BD!$A$3:$A$5001,AH$3,BD!$B$3:$B$5001,$A$379,BD!$O$3:$O$5001,"&lt;&gt;")=0,"",SUMIFS(BD!$O$3:$O$5001,BD!$A$3:$A$5001,AH$3,BD!$B$3:$B$5001,$A$379)))</f>
        <v/>
      </c>
      <c r="AI391" s="227" t="str">
        <f>IF(AI$3="","",IF(COUNTIFS(BD!$A$3:$A$5001,AI$3,BD!$B$3:$B$5001,$A$379,BD!$O$3:$O$5001,"&lt;&gt;")=0,"",SUMIFS(BD!$O$3:$O$5001,BD!$A$3:$A$5001,AI$3,BD!$B$3:$B$5001,$A$379)))</f>
        <v/>
      </c>
      <c r="AJ391" s="228" t="str">
        <f>IF(AJ$3="","",IF(COUNTIFS(BD!$A$3:$A$5001,AJ$3,BD!$B$3:$B$5001,$A$379,BD!$O$3:$O$5001,"&lt;&gt;")=0,"",SUMIFS(BD!$O$3:$O$5001,BD!$A$3:$A$5001,AJ$3,BD!$B$3:$B$5001,$A$379)))</f>
        <v/>
      </c>
      <c r="AK391" s="229" t="str">
        <f>IF(COUNT(F391:AJ391)=0,"",SUM(F391:AJ391))</f>
        <v/>
      </c>
    </row>
    <row r="392" ht="15.75" customHeight="1" hidden="1">
      <c r="A392" s="277"/>
      <c r="B392" s="271"/>
      <c r="C392" s="223" t="inlineStr">
        <is>
          <t xml:space="preserve">Backlog Intralog</t>
        </is>
      </c>
      <c r="D392" s="224" t="str">
        <f>IFERROR(1/(1/INDEX(BD!$AF$36:$AZ$36,MATCH($A$379,BD!$AF$22:$AZ$22,0))),"")</f>
        <v/>
      </c>
      <c r="E392" s="225"/>
      <c r="F392" s="226" t="str">
        <f>IF(F$3="","",IF(COUNTIFS(BD!$A$3:$A$5001,F$3,BD!$B$3:$B$5001,$A$379,BD!$P$3:$P$5001,"&lt;&gt;")=0,"",SUMIFS(BD!$P$3:$P$5001,BD!$A$3:$A$5001,F$3,BD!$B$3:$B$5001,$A$379)))</f>
        <v/>
      </c>
      <c r="G392" s="227" t="str">
        <f>IF(G$3="","",IF(COUNTIFS(BD!$A$3:$A$5001,G$3,BD!$B$3:$B$5001,$A$379,BD!$P$3:$P$5001,"&lt;&gt;")=0,"",SUMIFS(BD!$P$3:$P$5001,BD!$A$3:$A$5001,G$3,BD!$B$3:$B$5001,$A$379)))</f>
        <v/>
      </c>
      <c r="H392" s="227" t="str">
        <f>IF(H$3="","",IF(COUNTIFS(BD!$A$3:$A$5001,H$3,BD!$B$3:$B$5001,$A$379,BD!$P$3:$P$5001,"&lt;&gt;")=0,"",SUMIFS(BD!$P$3:$P$5001,BD!$A$3:$A$5001,H$3,BD!$B$3:$B$5001,$A$379)))</f>
        <v/>
      </c>
      <c r="I392" s="227" t="str">
        <f>IF(I$3="","",IF(COUNTIFS(BD!$A$3:$A$5001,I$3,BD!$B$3:$B$5001,$A$379,BD!$P$3:$P$5001,"&lt;&gt;")=0,"",SUMIFS(BD!$P$3:$P$5001,BD!$A$3:$A$5001,I$3,BD!$B$3:$B$5001,$A$379)))</f>
        <v/>
      </c>
      <c r="J392" s="227" t="str">
        <f>IF(J$3="","",IF(COUNTIFS(BD!$A$3:$A$5001,J$3,BD!$B$3:$B$5001,$A$379,BD!$P$3:$P$5001,"&lt;&gt;")=0,"",SUMIFS(BD!$P$3:$P$5001,BD!$A$3:$A$5001,J$3,BD!$B$3:$B$5001,$A$379)))</f>
        <v/>
      </c>
      <c r="K392" s="227" t="str">
        <f>IF(K$3="","",IF(COUNTIFS(BD!$A$3:$A$5001,K$3,BD!$B$3:$B$5001,$A$379,BD!$P$3:$P$5001,"&lt;&gt;")=0,"",SUMIFS(BD!$P$3:$P$5001,BD!$A$3:$A$5001,K$3,BD!$B$3:$B$5001,$A$379)))</f>
        <v/>
      </c>
      <c r="L392" s="227" t="str">
        <f>IF(L$3="","",IF(COUNTIFS(BD!$A$3:$A$5001,L$3,BD!$B$3:$B$5001,$A$379,BD!$P$3:$P$5001,"&lt;&gt;")=0,"",SUMIFS(BD!$P$3:$P$5001,BD!$A$3:$A$5001,L$3,BD!$B$3:$B$5001,$A$379)))</f>
        <v/>
      </c>
      <c r="M392" s="227" t="str">
        <f>IF(M$3="","",IF(COUNTIFS(BD!$A$3:$A$5001,M$3,BD!$B$3:$B$5001,$A$379,BD!$P$3:$P$5001,"&lt;&gt;")=0,"",SUMIFS(BD!$P$3:$P$5001,BD!$A$3:$A$5001,M$3,BD!$B$3:$B$5001,$A$379)))</f>
        <v/>
      </c>
      <c r="N392" s="227" t="str">
        <f>IF(N$3="","",IF(COUNTIFS(BD!$A$3:$A$5001,N$3,BD!$B$3:$B$5001,$A$379,BD!$P$3:$P$5001,"&lt;&gt;")=0,"",SUMIFS(BD!$P$3:$P$5001,BD!$A$3:$A$5001,N$3,BD!$B$3:$B$5001,$A$379)))</f>
        <v/>
      </c>
      <c r="O392" s="227" t="str">
        <f>IF(O$3="","",IF(COUNTIFS(BD!$A$3:$A$5001,O$3,BD!$B$3:$B$5001,$A$379,BD!$P$3:$P$5001,"&lt;&gt;")=0,"",SUMIFS(BD!$P$3:$P$5001,BD!$A$3:$A$5001,O$3,BD!$B$3:$B$5001,$A$379)))</f>
        <v/>
      </c>
      <c r="P392" s="227" t="str">
        <f>IF(P$3="","",IF(COUNTIFS(BD!$A$3:$A$5001,P$3,BD!$B$3:$B$5001,$A$379,BD!$P$3:$P$5001,"&lt;&gt;")=0,"",SUMIFS(BD!$P$3:$P$5001,BD!$A$3:$A$5001,P$3,BD!$B$3:$B$5001,$A$379)))</f>
        <v/>
      </c>
      <c r="Q392" s="227" t="str">
        <f>IF(Q$3="","",IF(COUNTIFS(BD!$A$3:$A$5001,Q$3,BD!$B$3:$B$5001,$A$379,BD!$P$3:$P$5001,"&lt;&gt;")=0,"",SUMIFS(BD!$P$3:$P$5001,BD!$A$3:$A$5001,Q$3,BD!$B$3:$B$5001,$A$379)))</f>
        <v/>
      </c>
      <c r="R392" s="227" t="str">
        <f>IF(R$3="","",IF(COUNTIFS(BD!$A$3:$A$5001,R$3,BD!$B$3:$B$5001,$A$379,BD!$P$3:$P$5001,"&lt;&gt;")=0,"",SUMIFS(BD!$P$3:$P$5001,BD!$A$3:$A$5001,R$3,BD!$B$3:$B$5001,$A$379)))</f>
        <v/>
      </c>
      <c r="S392" s="227" t="str">
        <f>IF(S$3="","",IF(COUNTIFS(BD!$A$3:$A$5001,S$3,BD!$B$3:$B$5001,$A$379,BD!$P$3:$P$5001,"&lt;&gt;")=0,"",SUMIFS(BD!$P$3:$P$5001,BD!$A$3:$A$5001,S$3,BD!$B$3:$B$5001,$A$379)))</f>
        <v/>
      </c>
      <c r="T392" s="227" t="str">
        <f>IF(T$3="","",IF(COUNTIFS(BD!$A$3:$A$5001,T$3,BD!$B$3:$B$5001,$A$379,BD!$P$3:$P$5001,"&lt;&gt;")=0,"",SUMIFS(BD!$P$3:$P$5001,BD!$A$3:$A$5001,T$3,BD!$B$3:$B$5001,$A$379)))</f>
        <v/>
      </c>
      <c r="U392" s="227" t="str">
        <f>IF(U$3="","",IF(COUNTIFS(BD!$A$3:$A$5001,U$3,BD!$B$3:$B$5001,$A$379,BD!$P$3:$P$5001,"&lt;&gt;")=0,"",SUMIFS(BD!$P$3:$P$5001,BD!$A$3:$A$5001,U$3,BD!$B$3:$B$5001,$A$379)))</f>
        <v/>
      </c>
      <c r="V392" s="227" t="str">
        <f>IF(V$3="","",IF(COUNTIFS(BD!$A$3:$A$5001,V$3,BD!$B$3:$B$5001,$A$379,BD!$P$3:$P$5001,"&lt;&gt;")=0,"",SUMIFS(BD!$P$3:$P$5001,BD!$A$3:$A$5001,V$3,BD!$B$3:$B$5001,$A$379)))</f>
        <v/>
      </c>
      <c r="W392" s="227" t="str">
        <f>IF(W$3="","",IF(COUNTIFS(BD!$A$3:$A$5001,W$3,BD!$B$3:$B$5001,$A$379,BD!$P$3:$P$5001,"&lt;&gt;")=0,"",SUMIFS(BD!$P$3:$P$5001,BD!$A$3:$A$5001,W$3,BD!$B$3:$B$5001,$A$379)))</f>
        <v/>
      </c>
      <c r="X392" s="227" t="str">
        <f>IF(X$3="","",IF(COUNTIFS(BD!$A$3:$A$5001,X$3,BD!$B$3:$B$5001,$A$379,BD!$P$3:$P$5001,"&lt;&gt;")=0,"",SUMIFS(BD!$P$3:$P$5001,BD!$A$3:$A$5001,X$3,BD!$B$3:$B$5001,$A$379)))</f>
        <v/>
      </c>
      <c r="Y392" s="227" t="str">
        <f>IF(Y$3="","",IF(COUNTIFS(BD!$A$3:$A$5001,Y$3,BD!$B$3:$B$5001,$A$379,BD!$P$3:$P$5001,"&lt;&gt;")=0,"",SUMIFS(BD!$P$3:$P$5001,BD!$A$3:$A$5001,Y$3,BD!$B$3:$B$5001,$A$379)))</f>
        <v/>
      </c>
      <c r="Z392" s="227" t="str">
        <f>IF(Z$3="","",IF(COUNTIFS(BD!$A$3:$A$5001,Z$3,BD!$B$3:$B$5001,$A$379,BD!$P$3:$P$5001,"&lt;&gt;")=0,"",SUMIFS(BD!$P$3:$P$5001,BD!$A$3:$A$5001,Z$3,BD!$B$3:$B$5001,$A$379)))</f>
        <v/>
      </c>
      <c r="AA392" s="227" t="str">
        <f>IF(AA$3="","",IF(COUNTIFS(BD!$A$3:$A$5001,AA$3,BD!$B$3:$B$5001,$A$379,BD!$P$3:$P$5001,"&lt;&gt;")=0,"",SUMIFS(BD!$P$3:$P$5001,BD!$A$3:$A$5001,AA$3,BD!$B$3:$B$5001,$A$379)))</f>
        <v/>
      </c>
      <c r="AB392" s="227" t="str">
        <f>IF(AB$3="","",IF(COUNTIFS(BD!$A$3:$A$5001,AB$3,BD!$B$3:$B$5001,$A$379,BD!$P$3:$P$5001,"&lt;&gt;")=0,"",SUMIFS(BD!$P$3:$P$5001,BD!$A$3:$A$5001,AB$3,BD!$B$3:$B$5001,$A$379)))</f>
        <v/>
      </c>
      <c r="AC392" s="227" t="str">
        <f>IF(AC$3="","",IF(COUNTIFS(BD!$A$3:$A$5001,AC$3,BD!$B$3:$B$5001,$A$379,BD!$P$3:$P$5001,"&lt;&gt;")=0,"",SUMIFS(BD!$P$3:$P$5001,BD!$A$3:$A$5001,AC$3,BD!$B$3:$B$5001,$A$379)))</f>
        <v/>
      </c>
      <c r="AD392" s="227" t="str">
        <f>IF(AD$3="","",IF(COUNTIFS(BD!$A$3:$A$5001,AD$3,BD!$B$3:$B$5001,$A$379,BD!$P$3:$P$5001,"&lt;&gt;")=0,"",SUMIFS(BD!$P$3:$P$5001,BD!$A$3:$A$5001,AD$3,BD!$B$3:$B$5001,$A$379)))</f>
        <v/>
      </c>
      <c r="AE392" s="227" t="str">
        <f>IF(AE$3="","",IF(COUNTIFS(BD!$A$3:$A$5001,AE$3,BD!$B$3:$B$5001,$A$379,BD!$P$3:$P$5001,"&lt;&gt;")=0,"",SUMIFS(BD!$P$3:$P$5001,BD!$A$3:$A$5001,AE$3,BD!$B$3:$B$5001,$A$379)))</f>
        <v/>
      </c>
      <c r="AF392" s="227" t="str">
        <f>IF(AF$3="","",IF(COUNTIFS(BD!$A$3:$A$5001,AF$3,BD!$B$3:$B$5001,$A$379,BD!$P$3:$P$5001,"&lt;&gt;")=0,"",SUMIFS(BD!$P$3:$P$5001,BD!$A$3:$A$5001,AF$3,BD!$B$3:$B$5001,$A$379)))</f>
        <v/>
      </c>
      <c r="AG392" s="227" t="str">
        <f>IF(AG$3="","",IF(COUNTIFS(BD!$A$3:$A$5001,AG$3,BD!$B$3:$B$5001,$A$379,BD!$P$3:$P$5001,"&lt;&gt;")=0,"",SUMIFS(BD!$P$3:$P$5001,BD!$A$3:$A$5001,AG$3,BD!$B$3:$B$5001,$A$379)))</f>
        <v/>
      </c>
      <c r="AH392" s="227" t="str">
        <f>IF(AH$3="","",IF(COUNTIFS(BD!$A$3:$A$5001,AH$3,BD!$B$3:$B$5001,$A$379,BD!$P$3:$P$5001,"&lt;&gt;")=0,"",SUMIFS(BD!$P$3:$P$5001,BD!$A$3:$A$5001,AH$3,BD!$B$3:$B$5001,$A$379)))</f>
        <v/>
      </c>
      <c r="AI392" s="227" t="str">
        <f>IF(AI$3="","",IF(COUNTIFS(BD!$A$3:$A$5001,AI$3,BD!$B$3:$B$5001,$A$379,BD!$P$3:$P$5001,"&lt;&gt;")=0,"",SUMIFS(BD!$P$3:$P$5001,BD!$A$3:$A$5001,AI$3,BD!$B$3:$B$5001,$A$379)))</f>
        <v/>
      </c>
      <c r="AJ392" s="228" t="str">
        <f>IF(AJ$3="","",IF(COUNTIFS(BD!$A$3:$A$5001,AJ$3,BD!$B$3:$B$5001,$A$379,BD!$P$3:$P$5001,"&lt;&gt;")=0,"",SUMIFS(BD!$P$3:$P$5001,BD!$A$3:$A$5001,AJ$3,BD!$B$3:$B$5001,$A$379)))</f>
        <v/>
      </c>
      <c r="AK392" s="229" t="str">
        <f>IFERROR(LOOKUP(9.99E+307,F392:AJ392),"")</f>
        <v/>
      </c>
    </row>
    <row r="393" ht="15.75" customHeight="1" hidden="1">
      <c r="A393" s="277"/>
      <c r="B393" s="272"/>
      <c r="C393" s="230" t="inlineStr">
        <is>
          <t xml:space="preserve">Backlog Cliente</t>
        </is>
      </c>
      <c r="D393" s="231" t="str">
        <f>IFERROR(1/(1/INDEX(BD!$AF$37:$AZ$37,MATCH($A$379,BD!$AF$22:$AZ$22,0))),"")</f>
        <v/>
      </c>
      <c r="E393" s="232"/>
      <c r="F393" s="233" t="str">
        <f>IF(F$3="","",IF(COUNTIFS(BD!$A$3:$A$5001,F$3,BD!$B$3:$B$5001,$A$379,BD!$Q$3:$Q$5001,"&lt;&gt;")=0,"",SUMIFS(BD!$Q$3:$Q$5001,BD!$A$3:$A$5001,F$3,BD!$B$3:$B$5001,$A$379)))</f>
        <v/>
      </c>
      <c r="G393" s="234" t="str">
        <f>IF(G$3="","",IF(COUNTIFS(BD!$A$3:$A$5001,G$3,BD!$B$3:$B$5001,$A$379,BD!$Q$3:$Q$5001,"&lt;&gt;")=0,"",SUMIFS(BD!$Q$3:$Q$5001,BD!$A$3:$A$5001,G$3,BD!$B$3:$B$5001,$A$379)))</f>
        <v/>
      </c>
      <c r="H393" s="234" t="str">
        <f>IF(H$3="","",IF(COUNTIFS(BD!$A$3:$A$5001,H$3,BD!$B$3:$B$5001,$A$379,BD!$Q$3:$Q$5001,"&lt;&gt;")=0,"",SUMIFS(BD!$Q$3:$Q$5001,BD!$A$3:$A$5001,H$3,BD!$B$3:$B$5001,$A$379)))</f>
        <v/>
      </c>
      <c r="I393" s="234" t="str">
        <f>IF(I$3="","",IF(COUNTIFS(BD!$A$3:$A$5001,I$3,BD!$B$3:$B$5001,$A$379,BD!$Q$3:$Q$5001,"&lt;&gt;")=0,"",SUMIFS(BD!$Q$3:$Q$5001,BD!$A$3:$A$5001,I$3,BD!$B$3:$B$5001,$A$379)))</f>
        <v/>
      </c>
      <c r="J393" s="234" t="str">
        <f>IF(J$3="","",IF(COUNTIFS(BD!$A$3:$A$5001,J$3,BD!$B$3:$B$5001,$A$379,BD!$Q$3:$Q$5001,"&lt;&gt;")=0,"",SUMIFS(BD!$Q$3:$Q$5001,BD!$A$3:$A$5001,J$3,BD!$B$3:$B$5001,$A$379)))</f>
        <v/>
      </c>
      <c r="K393" s="234" t="str">
        <f>IF(K$3="","",IF(COUNTIFS(BD!$A$3:$A$5001,K$3,BD!$B$3:$B$5001,$A$379,BD!$Q$3:$Q$5001,"&lt;&gt;")=0,"",SUMIFS(BD!$Q$3:$Q$5001,BD!$A$3:$A$5001,K$3,BD!$B$3:$B$5001,$A$379)))</f>
        <v/>
      </c>
      <c r="L393" s="234" t="str">
        <f>IF(L$3="","",IF(COUNTIFS(BD!$A$3:$A$5001,L$3,BD!$B$3:$B$5001,$A$379,BD!$Q$3:$Q$5001,"&lt;&gt;")=0,"",SUMIFS(BD!$Q$3:$Q$5001,BD!$A$3:$A$5001,L$3,BD!$B$3:$B$5001,$A$379)))</f>
        <v/>
      </c>
      <c r="M393" s="234" t="str">
        <f>IF(M$3="","",IF(COUNTIFS(BD!$A$3:$A$5001,M$3,BD!$B$3:$B$5001,$A$379,BD!$Q$3:$Q$5001,"&lt;&gt;")=0,"",SUMIFS(BD!$Q$3:$Q$5001,BD!$A$3:$A$5001,M$3,BD!$B$3:$B$5001,$A$379)))</f>
        <v/>
      </c>
      <c r="N393" s="234" t="str">
        <f>IF(N$3="","",IF(COUNTIFS(BD!$A$3:$A$5001,N$3,BD!$B$3:$B$5001,$A$379,BD!$Q$3:$Q$5001,"&lt;&gt;")=0,"",SUMIFS(BD!$Q$3:$Q$5001,BD!$A$3:$A$5001,N$3,BD!$B$3:$B$5001,$A$379)))</f>
        <v/>
      </c>
      <c r="O393" s="234" t="str">
        <f>IF(O$3="","",IF(COUNTIFS(BD!$A$3:$A$5001,O$3,BD!$B$3:$B$5001,$A$379,BD!$Q$3:$Q$5001,"&lt;&gt;")=0,"",SUMIFS(BD!$Q$3:$Q$5001,BD!$A$3:$A$5001,O$3,BD!$B$3:$B$5001,$A$379)))</f>
        <v/>
      </c>
      <c r="P393" s="234" t="str">
        <f>IF(P$3="","",IF(COUNTIFS(BD!$A$3:$A$5001,P$3,BD!$B$3:$B$5001,$A$379,BD!$Q$3:$Q$5001,"&lt;&gt;")=0,"",SUMIFS(BD!$Q$3:$Q$5001,BD!$A$3:$A$5001,P$3,BD!$B$3:$B$5001,$A$379)))</f>
        <v/>
      </c>
      <c r="Q393" s="234" t="str">
        <f>IF(Q$3="","",IF(COUNTIFS(BD!$A$3:$A$5001,Q$3,BD!$B$3:$B$5001,$A$379,BD!$Q$3:$Q$5001,"&lt;&gt;")=0,"",SUMIFS(BD!$Q$3:$Q$5001,BD!$A$3:$A$5001,Q$3,BD!$B$3:$B$5001,$A$379)))</f>
        <v/>
      </c>
      <c r="R393" s="234" t="str">
        <f>IF(R$3="","",IF(COUNTIFS(BD!$A$3:$A$5001,R$3,BD!$B$3:$B$5001,$A$379,BD!$Q$3:$Q$5001,"&lt;&gt;")=0,"",SUMIFS(BD!$Q$3:$Q$5001,BD!$A$3:$A$5001,R$3,BD!$B$3:$B$5001,$A$379)))</f>
        <v/>
      </c>
      <c r="S393" s="234" t="str">
        <f>IF(S$3="","",IF(COUNTIFS(BD!$A$3:$A$5001,S$3,BD!$B$3:$B$5001,$A$379,BD!$Q$3:$Q$5001,"&lt;&gt;")=0,"",SUMIFS(BD!$Q$3:$Q$5001,BD!$A$3:$A$5001,S$3,BD!$B$3:$B$5001,$A$379)))</f>
        <v/>
      </c>
      <c r="T393" s="234" t="str">
        <f>IF(T$3="","",IF(COUNTIFS(BD!$A$3:$A$5001,T$3,BD!$B$3:$B$5001,$A$379,BD!$Q$3:$Q$5001,"&lt;&gt;")=0,"",SUMIFS(BD!$Q$3:$Q$5001,BD!$A$3:$A$5001,T$3,BD!$B$3:$B$5001,$A$379)))</f>
        <v/>
      </c>
      <c r="U393" s="234" t="str">
        <f>IF(U$3="","",IF(COUNTIFS(BD!$A$3:$A$5001,U$3,BD!$B$3:$B$5001,$A$379,BD!$Q$3:$Q$5001,"&lt;&gt;")=0,"",SUMIFS(BD!$Q$3:$Q$5001,BD!$A$3:$A$5001,U$3,BD!$B$3:$B$5001,$A$379)))</f>
        <v/>
      </c>
      <c r="V393" s="234" t="str">
        <f>IF(V$3="","",IF(COUNTIFS(BD!$A$3:$A$5001,V$3,BD!$B$3:$B$5001,$A$379,BD!$Q$3:$Q$5001,"&lt;&gt;")=0,"",SUMIFS(BD!$Q$3:$Q$5001,BD!$A$3:$A$5001,V$3,BD!$B$3:$B$5001,$A$379)))</f>
        <v/>
      </c>
      <c r="W393" s="234" t="str">
        <f>IF(W$3="","",IF(COUNTIFS(BD!$A$3:$A$5001,W$3,BD!$B$3:$B$5001,$A$379,BD!$Q$3:$Q$5001,"&lt;&gt;")=0,"",SUMIFS(BD!$Q$3:$Q$5001,BD!$A$3:$A$5001,W$3,BD!$B$3:$B$5001,$A$379)))</f>
        <v/>
      </c>
      <c r="X393" s="234" t="str">
        <f>IF(X$3="","",IF(COUNTIFS(BD!$A$3:$A$5001,X$3,BD!$B$3:$B$5001,$A$379,BD!$Q$3:$Q$5001,"&lt;&gt;")=0,"",SUMIFS(BD!$Q$3:$Q$5001,BD!$A$3:$A$5001,X$3,BD!$B$3:$B$5001,$A$379)))</f>
        <v/>
      </c>
      <c r="Y393" s="234" t="str">
        <f>IF(Y$3="","",IF(COUNTIFS(BD!$A$3:$A$5001,Y$3,BD!$B$3:$B$5001,$A$379,BD!$Q$3:$Q$5001,"&lt;&gt;")=0,"",SUMIFS(BD!$Q$3:$Q$5001,BD!$A$3:$A$5001,Y$3,BD!$B$3:$B$5001,$A$379)))</f>
        <v/>
      </c>
      <c r="Z393" s="234" t="str">
        <f>IF(Z$3="","",IF(COUNTIFS(BD!$A$3:$A$5001,Z$3,BD!$B$3:$B$5001,$A$379,BD!$Q$3:$Q$5001,"&lt;&gt;")=0,"",SUMIFS(BD!$Q$3:$Q$5001,BD!$A$3:$A$5001,Z$3,BD!$B$3:$B$5001,$A$379)))</f>
        <v/>
      </c>
      <c r="AA393" s="234" t="str">
        <f>IF(AA$3="","",IF(COUNTIFS(BD!$A$3:$A$5001,AA$3,BD!$B$3:$B$5001,$A$379,BD!$Q$3:$Q$5001,"&lt;&gt;")=0,"",SUMIFS(BD!$Q$3:$Q$5001,BD!$A$3:$A$5001,AA$3,BD!$B$3:$B$5001,$A$379)))</f>
        <v/>
      </c>
      <c r="AB393" s="234" t="str">
        <f>IF(AB$3="","",IF(COUNTIFS(BD!$A$3:$A$5001,AB$3,BD!$B$3:$B$5001,$A$379,BD!$Q$3:$Q$5001,"&lt;&gt;")=0,"",SUMIFS(BD!$Q$3:$Q$5001,BD!$A$3:$A$5001,AB$3,BD!$B$3:$B$5001,$A$379)))</f>
        <v/>
      </c>
      <c r="AC393" s="234" t="str">
        <f>IF(AC$3="","",IF(COUNTIFS(BD!$A$3:$A$5001,AC$3,BD!$B$3:$B$5001,$A$379,BD!$Q$3:$Q$5001,"&lt;&gt;")=0,"",SUMIFS(BD!$Q$3:$Q$5001,BD!$A$3:$A$5001,AC$3,BD!$B$3:$B$5001,$A$379)))</f>
        <v/>
      </c>
      <c r="AD393" s="234" t="str">
        <f>IF(AD$3="","",IF(COUNTIFS(BD!$A$3:$A$5001,AD$3,BD!$B$3:$B$5001,$A$379,BD!$Q$3:$Q$5001,"&lt;&gt;")=0,"",SUMIFS(BD!$Q$3:$Q$5001,BD!$A$3:$A$5001,AD$3,BD!$B$3:$B$5001,$A$379)))</f>
        <v/>
      </c>
      <c r="AE393" s="234" t="str">
        <f>IF(AE$3="","",IF(COUNTIFS(BD!$A$3:$A$5001,AE$3,BD!$B$3:$B$5001,$A$379,BD!$Q$3:$Q$5001,"&lt;&gt;")=0,"",SUMIFS(BD!$Q$3:$Q$5001,BD!$A$3:$A$5001,AE$3,BD!$B$3:$B$5001,$A$379)))</f>
        <v/>
      </c>
      <c r="AF393" s="234" t="str">
        <f>IF(AF$3="","",IF(COUNTIFS(BD!$A$3:$A$5001,AF$3,BD!$B$3:$B$5001,$A$379,BD!$Q$3:$Q$5001,"&lt;&gt;")=0,"",SUMIFS(BD!$Q$3:$Q$5001,BD!$A$3:$A$5001,AF$3,BD!$B$3:$B$5001,$A$379)))</f>
        <v/>
      </c>
      <c r="AG393" s="234" t="str">
        <f>IF(AG$3="","",IF(COUNTIFS(BD!$A$3:$A$5001,AG$3,BD!$B$3:$B$5001,$A$379,BD!$Q$3:$Q$5001,"&lt;&gt;")=0,"",SUMIFS(BD!$Q$3:$Q$5001,BD!$A$3:$A$5001,AG$3,BD!$B$3:$B$5001,$A$379)))</f>
        <v/>
      </c>
      <c r="AH393" s="234" t="str">
        <f>IF(AH$3="","",IF(COUNTIFS(BD!$A$3:$A$5001,AH$3,BD!$B$3:$B$5001,$A$379,BD!$Q$3:$Q$5001,"&lt;&gt;")=0,"",SUMIFS(BD!$Q$3:$Q$5001,BD!$A$3:$A$5001,AH$3,BD!$B$3:$B$5001,$A$379)))</f>
        <v/>
      </c>
      <c r="AI393" s="234" t="str">
        <f>IF(AI$3="","",IF(COUNTIFS(BD!$A$3:$A$5001,AI$3,BD!$B$3:$B$5001,$A$379,BD!$Q$3:$Q$5001,"&lt;&gt;")=0,"",SUMIFS(BD!$Q$3:$Q$5001,BD!$A$3:$A$5001,AI$3,BD!$B$3:$B$5001,$A$379)))</f>
        <v/>
      </c>
      <c r="AJ393" s="235" t="str">
        <f>IF(AJ$3="","",IF(COUNTIFS(BD!$A$3:$A$5001,AJ$3,BD!$B$3:$B$5001,$A$379,BD!$Q$3:$Q$5001,"&lt;&gt;")=0,"",SUMIFS(BD!$Q$3:$Q$5001,BD!$A$3:$A$5001,AJ$3,BD!$B$3:$B$5001,$A$379)))</f>
        <v/>
      </c>
      <c r="AK393" s="231" t="str">
        <f>IFERROR(LOOKUP(9.99E+307,F393:AJ393),"")</f>
        <v/>
      </c>
    </row>
    <row r="394" ht="15.75" customHeight="1" hidden="1">
      <c r="A394" s="277"/>
      <c r="B394" s="264" t="inlineStr">
        <is>
          <t xml:space="preserve">OCUPAÇÃO (P.P)</t>
        </is>
      </c>
      <c r="C394" s="168" t="inlineStr">
        <is>
          <t xml:space="preserve">Posições Disponíveis</t>
        </is>
      </c>
      <c r="D394" s="169" t="str">
        <f>IFERROR(1/(1/INDEX(BD!$AF$38:$AZ$38,MATCH($A$379,BD!$AF$22:$AZ$22,0))),"")</f>
        <v/>
      </c>
      <c r="E394" s="170"/>
      <c r="F394" s="171" t="str">
        <f>IF(F$3="","",IF(COUNTIFS(BD!$A$3:$A$5001,F$3,BD!$B$3:$B$5001,$A$379,BD!$R$3:$R$5001,"&lt;&gt;")=0,"",SUMIFS(BD!$R$3:$R$5001,BD!$A$3:$A$5001,F$3,BD!$B$3:$B$5001,$A$379)))</f>
        <v/>
      </c>
      <c r="G394" s="172" t="str">
        <f>IF(G$3="","",IF(COUNTIFS(BD!$A$3:$A$5001,G$3,BD!$B$3:$B$5001,$A$379,BD!$R$3:$R$5001,"&lt;&gt;")=0,"",SUMIFS(BD!$R$3:$R$5001,BD!$A$3:$A$5001,G$3,BD!$B$3:$B$5001,$A$379)))</f>
        <v/>
      </c>
      <c r="H394" s="172" t="str">
        <f>IF(H$3="","",IF(COUNTIFS(BD!$A$3:$A$5001,H$3,BD!$B$3:$B$5001,$A$379,BD!$R$3:$R$5001,"&lt;&gt;")=0,"",SUMIFS(BD!$R$3:$R$5001,BD!$A$3:$A$5001,H$3,BD!$B$3:$B$5001,$A$379)))</f>
        <v/>
      </c>
      <c r="I394" s="172" t="str">
        <f>IF(I$3="","",IF(COUNTIFS(BD!$A$3:$A$5001,I$3,BD!$B$3:$B$5001,$A$379,BD!$R$3:$R$5001,"&lt;&gt;")=0,"",SUMIFS(BD!$R$3:$R$5001,BD!$A$3:$A$5001,I$3,BD!$B$3:$B$5001,$A$379)))</f>
        <v/>
      </c>
      <c r="J394" s="172" t="str">
        <f>IF(J$3="","",IF(COUNTIFS(BD!$A$3:$A$5001,J$3,BD!$B$3:$B$5001,$A$379,BD!$R$3:$R$5001,"&lt;&gt;")=0,"",SUMIFS(BD!$R$3:$R$5001,BD!$A$3:$A$5001,J$3,BD!$B$3:$B$5001,$A$379)))</f>
        <v/>
      </c>
      <c r="K394" s="172" t="str">
        <f>IF(K$3="","",IF(COUNTIFS(BD!$A$3:$A$5001,K$3,BD!$B$3:$B$5001,$A$379,BD!$R$3:$R$5001,"&lt;&gt;")=0,"",SUMIFS(BD!$R$3:$R$5001,BD!$A$3:$A$5001,K$3,BD!$B$3:$B$5001,$A$379)))</f>
        <v/>
      </c>
      <c r="L394" s="172" t="str">
        <f>IF(L$3="","",IF(COUNTIFS(BD!$A$3:$A$5001,L$3,BD!$B$3:$B$5001,$A$379,BD!$R$3:$R$5001,"&lt;&gt;")=0,"",SUMIFS(BD!$R$3:$R$5001,BD!$A$3:$A$5001,L$3,BD!$B$3:$B$5001,$A$379)))</f>
        <v/>
      </c>
      <c r="M394" s="172" t="str">
        <f>IF(M$3="","",IF(COUNTIFS(BD!$A$3:$A$5001,M$3,BD!$B$3:$B$5001,$A$379,BD!$R$3:$R$5001,"&lt;&gt;")=0,"",SUMIFS(BD!$R$3:$R$5001,BD!$A$3:$A$5001,M$3,BD!$B$3:$B$5001,$A$379)))</f>
        <v/>
      </c>
      <c r="N394" s="172" t="str">
        <f>IF(N$3="","",IF(COUNTIFS(BD!$A$3:$A$5001,N$3,BD!$B$3:$B$5001,$A$379,BD!$R$3:$R$5001,"&lt;&gt;")=0,"",SUMIFS(BD!$R$3:$R$5001,BD!$A$3:$A$5001,N$3,BD!$B$3:$B$5001,$A$379)))</f>
        <v/>
      </c>
      <c r="O394" s="172" t="str">
        <f>IF(O$3="","",IF(COUNTIFS(BD!$A$3:$A$5001,O$3,BD!$B$3:$B$5001,$A$379,BD!$R$3:$R$5001,"&lt;&gt;")=0,"",SUMIFS(BD!$R$3:$R$5001,BD!$A$3:$A$5001,O$3,BD!$B$3:$B$5001,$A$379)))</f>
        <v/>
      </c>
      <c r="P394" s="172" t="str">
        <f>IF(P$3="","",IF(COUNTIFS(BD!$A$3:$A$5001,P$3,BD!$B$3:$B$5001,$A$379,BD!$R$3:$R$5001,"&lt;&gt;")=0,"",SUMIFS(BD!$R$3:$R$5001,BD!$A$3:$A$5001,P$3,BD!$B$3:$B$5001,$A$379)))</f>
        <v/>
      </c>
      <c r="Q394" s="172" t="str">
        <f>IF(Q$3="","",IF(COUNTIFS(BD!$A$3:$A$5001,Q$3,BD!$B$3:$B$5001,$A$379,BD!$R$3:$R$5001,"&lt;&gt;")=0,"",SUMIFS(BD!$R$3:$R$5001,BD!$A$3:$A$5001,Q$3,BD!$B$3:$B$5001,$A$379)))</f>
        <v/>
      </c>
      <c r="R394" s="172" t="str">
        <f>IF(R$3="","",IF(COUNTIFS(BD!$A$3:$A$5001,R$3,BD!$B$3:$B$5001,$A$379,BD!$R$3:$R$5001,"&lt;&gt;")=0,"",SUMIFS(BD!$R$3:$R$5001,BD!$A$3:$A$5001,R$3,BD!$B$3:$B$5001,$A$379)))</f>
        <v/>
      </c>
      <c r="S394" s="172" t="str">
        <f>IF(S$3="","",IF(COUNTIFS(BD!$A$3:$A$5001,S$3,BD!$B$3:$B$5001,$A$379,BD!$R$3:$R$5001,"&lt;&gt;")=0,"",SUMIFS(BD!$R$3:$R$5001,BD!$A$3:$A$5001,S$3,BD!$B$3:$B$5001,$A$379)))</f>
        <v/>
      </c>
      <c r="T394" s="172" t="str">
        <f>IF(T$3="","",IF(COUNTIFS(BD!$A$3:$A$5001,T$3,BD!$B$3:$B$5001,$A$379,BD!$R$3:$R$5001,"&lt;&gt;")=0,"",SUMIFS(BD!$R$3:$R$5001,BD!$A$3:$A$5001,T$3,BD!$B$3:$B$5001,$A$379)))</f>
        <v/>
      </c>
      <c r="U394" s="172" t="str">
        <f>IF(U$3="","",IF(COUNTIFS(BD!$A$3:$A$5001,U$3,BD!$B$3:$B$5001,$A$379,BD!$R$3:$R$5001,"&lt;&gt;")=0,"",SUMIFS(BD!$R$3:$R$5001,BD!$A$3:$A$5001,U$3,BD!$B$3:$B$5001,$A$379)))</f>
        <v/>
      </c>
      <c r="V394" s="172" t="str">
        <f>IF(V$3="","",IF(COUNTIFS(BD!$A$3:$A$5001,V$3,BD!$B$3:$B$5001,$A$379,BD!$R$3:$R$5001,"&lt;&gt;")=0,"",SUMIFS(BD!$R$3:$R$5001,BD!$A$3:$A$5001,V$3,BD!$B$3:$B$5001,$A$379)))</f>
        <v/>
      </c>
      <c r="W394" s="172" t="str">
        <f>IF(W$3="","",IF(COUNTIFS(BD!$A$3:$A$5001,W$3,BD!$B$3:$B$5001,$A$379,BD!$R$3:$R$5001,"&lt;&gt;")=0,"",SUMIFS(BD!$R$3:$R$5001,BD!$A$3:$A$5001,W$3,BD!$B$3:$B$5001,$A$379)))</f>
        <v/>
      </c>
      <c r="X394" s="172" t="str">
        <f>IF(X$3="","",IF(COUNTIFS(BD!$A$3:$A$5001,X$3,BD!$B$3:$B$5001,$A$379,BD!$R$3:$R$5001,"&lt;&gt;")=0,"",SUMIFS(BD!$R$3:$R$5001,BD!$A$3:$A$5001,X$3,BD!$B$3:$B$5001,$A$379)))</f>
        <v/>
      </c>
      <c r="Y394" s="172" t="str">
        <f>IF(Y$3="","",IF(COUNTIFS(BD!$A$3:$A$5001,Y$3,BD!$B$3:$B$5001,$A$379,BD!$R$3:$R$5001,"&lt;&gt;")=0,"",SUMIFS(BD!$R$3:$R$5001,BD!$A$3:$A$5001,Y$3,BD!$B$3:$B$5001,$A$379)))</f>
        <v/>
      </c>
      <c r="Z394" s="172" t="str">
        <f>IF(Z$3="","",IF(COUNTIFS(BD!$A$3:$A$5001,Z$3,BD!$B$3:$B$5001,$A$379,BD!$R$3:$R$5001,"&lt;&gt;")=0,"",SUMIFS(BD!$R$3:$R$5001,BD!$A$3:$A$5001,Z$3,BD!$B$3:$B$5001,$A$379)))</f>
        <v/>
      </c>
      <c r="AA394" s="172" t="str">
        <f>IF(AA$3="","",IF(COUNTIFS(BD!$A$3:$A$5001,AA$3,BD!$B$3:$B$5001,$A$379,BD!$R$3:$R$5001,"&lt;&gt;")=0,"",SUMIFS(BD!$R$3:$R$5001,BD!$A$3:$A$5001,AA$3,BD!$B$3:$B$5001,$A$379)))</f>
        <v/>
      </c>
      <c r="AB394" s="172" t="str">
        <f>IF(AB$3="","",IF(COUNTIFS(BD!$A$3:$A$5001,AB$3,BD!$B$3:$B$5001,$A$379,BD!$R$3:$R$5001,"&lt;&gt;")=0,"",SUMIFS(BD!$R$3:$R$5001,BD!$A$3:$A$5001,AB$3,BD!$B$3:$B$5001,$A$379)))</f>
        <v/>
      </c>
      <c r="AC394" s="172" t="str">
        <f>IF(AC$3="","",IF(COUNTIFS(BD!$A$3:$A$5001,AC$3,BD!$B$3:$B$5001,$A$379,BD!$R$3:$R$5001,"&lt;&gt;")=0,"",SUMIFS(BD!$R$3:$R$5001,BD!$A$3:$A$5001,AC$3,BD!$B$3:$B$5001,$A$379)))</f>
        <v/>
      </c>
      <c r="AD394" s="172" t="str">
        <f>IF(AD$3="","",IF(COUNTIFS(BD!$A$3:$A$5001,AD$3,BD!$B$3:$B$5001,$A$379,BD!$R$3:$R$5001,"&lt;&gt;")=0,"",SUMIFS(BD!$R$3:$R$5001,BD!$A$3:$A$5001,AD$3,BD!$B$3:$B$5001,$A$379)))</f>
        <v/>
      </c>
      <c r="AE394" s="172" t="str">
        <f>IF(AE$3="","",IF(COUNTIFS(BD!$A$3:$A$5001,AE$3,BD!$B$3:$B$5001,$A$379,BD!$R$3:$R$5001,"&lt;&gt;")=0,"",SUMIFS(BD!$R$3:$R$5001,BD!$A$3:$A$5001,AE$3,BD!$B$3:$B$5001,$A$379)))</f>
        <v/>
      </c>
      <c r="AF394" s="172" t="str">
        <f>IF(AF$3="","",IF(COUNTIFS(BD!$A$3:$A$5001,AF$3,BD!$B$3:$B$5001,$A$379,BD!$R$3:$R$5001,"&lt;&gt;")=0,"",SUMIFS(BD!$R$3:$R$5001,BD!$A$3:$A$5001,AF$3,BD!$B$3:$B$5001,$A$379)))</f>
        <v/>
      </c>
      <c r="AG394" s="172" t="str">
        <f>IF(AG$3="","",IF(COUNTIFS(BD!$A$3:$A$5001,AG$3,BD!$B$3:$B$5001,$A$379,BD!$R$3:$R$5001,"&lt;&gt;")=0,"",SUMIFS(BD!$R$3:$R$5001,BD!$A$3:$A$5001,AG$3,BD!$B$3:$B$5001,$A$379)))</f>
        <v/>
      </c>
      <c r="AH394" s="172" t="str">
        <f>IF(AH$3="","",IF(COUNTIFS(BD!$A$3:$A$5001,AH$3,BD!$B$3:$B$5001,$A$379,BD!$R$3:$R$5001,"&lt;&gt;")=0,"",SUMIFS(BD!$R$3:$R$5001,BD!$A$3:$A$5001,AH$3,BD!$B$3:$B$5001,$A$379)))</f>
        <v/>
      </c>
      <c r="AI394" s="172" t="str">
        <f>IF(AI$3="","",IF(COUNTIFS(BD!$A$3:$A$5001,AI$3,BD!$B$3:$B$5001,$A$379,BD!$R$3:$R$5001,"&lt;&gt;")=0,"",SUMIFS(BD!$R$3:$R$5001,BD!$A$3:$A$5001,AI$3,BD!$B$3:$B$5001,$A$379)))</f>
        <v/>
      </c>
      <c r="AJ394" s="173" t="str">
        <f>IF(AJ$3="","",IF(COUNTIFS(BD!$A$3:$A$5001,AJ$3,BD!$B$3:$B$5001,$A$379,BD!$R$3:$R$5001,"&lt;&gt;")=0,"",SUMIFS(BD!$R$3:$R$5001,BD!$A$3:$A$5001,AJ$3,BD!$B$3:$B$5001,$A$379)))</f>
        <v/>
      </c>
      <c r="AK394" s="174" t="str">
        <f>IF(COUNT(F394:AJ394)&gt;0,LOOKUP(9.99E+307,F394:AJ394),IFERROR(IF(INDEX(BD!$AC$3:$AC$5001,MATCH($A$379,BD!$B$3:$B$5001,0))&amp;""="Contrato","",INDEX(BD!$AC$3:$AC$5001,MATCH($A$379,BD!$B$3:$B$5001,0))&amp;""),""))</f>
        <v/>
      </c>
    </row>
    <row r="395" ht="15.75" customHeight="1" hidden="1">
      <c r="A395" s="277"/>
      <c r="B395" s="265"/>
      <c r="C395" s="175" t="inlineStr">
        <is>
          <t xml:space="preserve">Posições Ocupadas</t>
        </is>
      </c>
      <c r="D395" s="176" t="str">
        <f>IFERROR(1/(1/INDEX(BD!$AF$39:$AZ$39,MATCH($A$379,BD!$AF$22:$AZ$22,0))),"")</f>
        <v/>
      </c>
      <c r="E395" s="177"/>
      <c r="F395" s="178" t="str">
        <f>IF(F$3="","",IF(COUNTIFS(BD!$A$3:$A$5001,F$3,BD!$B$3:$B$5001,$A$379,BD!$S$3:$S$5001,"&lt;&gt;")=0,"",SUMIFS(BD!$S$3:$S$5001,BD!$A$3:$A$5001,F$3,BD!$B$3:$B$5001,$A$379)))</f>
        <v/>
      </c>
      <c r="G395" s="179" t="str">
        <f>IF(G$3="","",IF(COUNTIFS(BD!$A$3:$A$5001,G$3,BD!$B$3:$B$5001,$A$379,BD!$S$3:$S$5001,"&lt;&gt;")=0,"",SUMIFS(BD!$S$3:$S$5001,BD!$A$3:$A$5001,G$3,BD!$B$3:$B$5001,$A$379)))</f>
        <v/>
      </c>
      <c r="H395" s="179" t="str">
        <f>IF(H$3="","",IF(COUNTIFS(BD!$A$3:$A$5001,H$3,BD!$B$3:$B$5001,$A$379,BD!$S$3:$S$5001,"&lt;&gt;")=0,"",SUMIFS(BD!$S$3:$S$5001,BD!$A$3:$A$5001,H$3,BD!$B$3:$B$5001,$A$379)))</f>
        <v/>
      </c>
      <c r="I395" s="179" t="str">
        <f>IF(I$3="","",IF(COUNTIFS(BD!$A$3:$A$5001,I$3,BD!$B$3:$B$5001,$A$379,BD!$S$3:$S$5001,"&lt;&gt;")=0,"",SUMIFS(BD!$S$3:$S$5001,BD!$A$3:$A$5001,I$3,BD!$B$3:$B$5001,$A$379)))</f>
        <v/>
      </c>
      <c r="J395" s="179" t="str">
        <f>IF(J$3="","",IF(COUNTIFS(BD!$A$3:$A$5001,J$3,BD!$B$3:$B$5001,$A$379,BD!$S$3:$S$5001,"&lt;&gt;")=0,"",SUMIFS(BD!$S$3:$S$5001,BD!$A$3:$A$5001,J$3,BD!$B$3:$B$5001,$A$379)))</f>
        <v/>
      </c>
      <c r="K395" s="179" t="str">
        <f>IF(K$3="","",IF(COUNTIFS(BD!$A$3:$A$5001,K$3,BD!$B$3:$B$5001,$A$379,BD!$S$3:$S$5001,"&lt;&gt;")=0,"",SUMIFS(BD!$S$3:$S$5001,BD!$A$3:$A$5001,K$3,BD!$B$3:$B$5001,$A$379)))</f>
        <v/>
      </c>
      <c r="L395" s="179" t="str">
        <f>IF(L$3="","",IF(COUNTIFS(BD!$A$3:$A$5001,L$3,BD!$B$3:$B$5001,$A$379,BD!$S$3:$S$5001,"&lt;&gt;")=0,"",SUMIFS(BD!$S$3:$S$5001,BD!$A$3:$A$5001,L$3,BD!$B$3:$B$5001,$A$379)))</f>
        <v/>
      </c>
      <c r="M395" s="179" t="str">
        <f>IF(M$3="","",IF(COUNTIFS(BD!$A$3:$A$5001,M$3,BD!$B$3:$B$5001,$A$379,BD!$S$3:$S$5001,"&lt;&gt;")=0,"",SUMIFS(BD!$S$3:$S$5001,BD!$A$3:$A$5001,M$3,BD!$B$3:$B$5001,$A$379)))</f>
        <v/>
      </c>
      <c r="N395" s="179" t="str">
        <f>IF(N$3="","",IF(COUNTIFS(BD!$A$3:$A$5001,N$3,BD!$B$3:$B$5001,$A$379,BD!$S$3:$S$5001,"&lt;&gt;")=0,"",SUMIFS(BD!$S$3:$S$5001,BD!$A$3:$A$5001,N$3,BD!$B$3:$B$5001,$A$379)))</f>
        <v/>
      </c>
      <c r="O395" s="179" t="str">
        <f>IF(O$3="","",IF(COUNTIFS(BD!$A$3:$A$5001,O$3,BD!$B$3:$B$5001,$A$379,BD!$S$3:$S$5001,"&lt;&gt;")=0,"",SUMIFS(BD!$S$3:$S$5001,BD!$A$3:$A$5001,O$3,BD!$B$3:$B$5001,$A$379)))</f>
        <v/>
      </c>
      <c r="P395" s="179" t="str">
        <f>IF(P$3="","",IF(COUNTIFS(BD!$A$3:$A$5001,P$3,BD!$B$3:$B$5001,$A$379,BD!$S$3:$S$5001,"&lt;&gt;")=0,"",SUMIFS(BD!$S$3:$S$5001,BD!$A$3:$A$5001,P$3,BD!$B$3:$B$5001,$A$379)))</f>
        <v/>
      </c>
      <c r="Q395" s="179" t="str">
        <f>IF(Q$3="","",IF(COUNTIFS(BD!$A$3:$A$5001,Q$3,BD!$B$3:$B$5001,$A$379,BD!$S$3:$S$5001,"&lt;&gt;")=0,"",SUMIFS(BD!$S$3:$S$5001,BD!$A$3:$A$5001,Q$3,BD!$B$3:$B$5001,$A$379)))</f>
        <v/>
      </c>
      <c r="R395" s="179" t="str">
        <f>IF(R$3="","",IF(COUNTIFS(BD!$A$3:$A$5001,R$3,BD!$B$3:$B$5001,$A$379,BD!$S$3:$S$5001,"&lt;&gt;")=0,"",SUMIFS(BD!$S$3:$S$5001,BD!$A$3:$A$5001,R$3,BD!$B$3:$B$5001,$A$379)))</f>
        <v/>
      </c>
      <c r="S395" s="179" t="str">
        <f>IF(S$3="","",IF(COUNTIFS(BD!$A$3:$A$5001,S$3,BD!$B$3:$B$5001,$A$379,BD!$S$3:$S$5001,"&lt;&gt;")=0,"",SUMIFS(BD!$S$3:$S$5001,BD!$A$3:$A$5001,S$3,BD!$B$3:$B$5001,$A$379)))</f>
        <v/>
      </c>
      <c r="T395" s="179" t="str">
        <f>IF(T$3="","",IF(COUNTIFS(BD!$A$3:$A$5001,T$3,BD!$B$3:$B$5001,$A$379,BD!$S$3:$S$5001,"&lt;&gt;")=0,"",SUMIFS(BD!$S$3:$S$5001,BD!$A$3:$A$5001,T$3,BD!$B$3:$B$5001,$A$379)))</f>
        <v/>
      </c>
      <c r="U395" s="179" t="str">
        <f>IF(U$3="","",IF(COUNTIFS(BD!$A$3:$A$5001,U$3,BD!$B$3:$B$5001,$A$379,BD!$S$3:$S$5001,"&lt;&gt;")=0,"",SUMIFS(BD!$S$3:$S$5001,BD!$A$3:$A$5001,U$3,BD!$B$3:$B$5001,$A$379)))</f>
        <v/>
      </c>
      <c r="V395" s="179" t="str">
        <f>IF(V$3="","",IF(COUNTIFS(BD!$A$3:$A$5001,V$3,BD!$B$3:$B$5001,$A$379,BD!$S$3:$S$5001,"&lt;&gt;")=0,"",SUMIFS(BD!$S$3:$S$5001,BD!$A$3:$A$5001,V$3,BD!$B$3:$B$5001,$A$379)))</f>
        <v/>
      </c>
      <c r="W395" s="179" t="str">
        <f>IF(W$3="","",IF(COUNTIFS(BD!$A$3:$A$5001,W$3,BD!$B$3:$B$5001,$A$379,BD!$S$3:$S$5001,"&lt;&gt;")=0,"",SUMIFS(BD!$S$3:$S$5001,BD!$A$3:$A$5001,W$3,BD!$B$3:$B$5001,$A$379)))</f>
        <v/>
      </c>
      <c r="X395" s="179" t="str">
        <f>IF(X$3="","",IF(COUNTIFS(BD!$A$3:$A$5001,X$3,BD!$B$3:$B$5001,$A$379,BD!$S$3:$S$5001,"&lt;&gt;")=0,"",SUMIFS(BD!$S$3:$S$5001,BD!$A$3:$A$5001,X$3,BD!$B$3:$B$5001,$A$379)))</f>
        <v/>
      </c>
      <c r="Y395" s="179" t="str">
        <f>IF(Y$3="","",IF(COUNTIFS(BD!$A$3:$A$5001,Y$3,BD!$B$3:$B$5001,$A$379,BD!$S$3:$S$5001,"&lt;&gt;")=0,"",SUMIFS(BD!$S$3:$S$5001,BD!$A$3:$A$5001,Y$3,BD!$B$3:$B$5001,$A$379)))</f>
        <v/>
      </c>
      <c r="Z395" s="179" t="str">
        <f>IF(Z$3="","",IF(COUNTIFS(BD!$A$3:$A$5001,Z$3,BD!$B$3:$B$5001,$A$379,BD!$S$3:$S$5001,"&lt;&gt;")=0,"",SUMIFS(BD!$S$3:$S$5001,BD!$A$3:$A$5001,Z$3,BD!$B$3:$B$5001,$A$379)))</f>
        <v/>
      </c>
      <c r="AA395" s="179" t="str">
        <f>IF(AA$3="","",IF(COUNTIFS(BD!$A$3:$A$5001,AA$3,BD!$B$3:$B$5001,$A$379,BD!$S$3:$S$5001,"&lt;&gt;")=0,"",SUMIFS(BD!$S$3:$S$5001,BD!$A$3:$A$5001,AA$3,BD!$B$3:$B$5001,$A$379)))</f>
        <v/>
      </c>
      <c r="AB395" s="179" t="str">
        <f>IF(AB$3="","",IF(COUNTIFS(BD!$A$3:$A$5001,AB$3,BD!$B$3:$B$5001,$A$379,BD!$S$3:$S$5001,"&lt;&gt;")=0,"",SUMIFS(BD!$S$3:$S$5001,BD!$A$3:$A$5001,AB$3,BD!$B$3:$B$5001,$A$379)))</f>
        <v/>
      </c>
      <c r="AC395" s="179" t="str">
        <f>IF(AC$3="","",IF(COUNTIFS(BD!$A$3:$A$5001,AC$3,BD!$B$3:$B$5001,$A$379,BD!$S$3:$S$5001,"&lt;&gt;")=0,"",SUMIFS(BD!$S$3:$S$5001,BD!$A$3:$A$5001,AC$3,BD!$B$3:$B$5001,$A$379)))</f>
        <v/>
      </c>
      <c r="AD395" s="179" t="str">
        <f>IF(AD$3="","",IF(COUNTIFS(BD!$A$3:$A$5001,AD$3,BD!$B$3:$B$5001,$A$379,BD!$S$3:$S$5001,"&lt;&gt;")=0,"",SUMIFS(BD!$S$3:$S$5001,BD!$A$3:$A$5001,AD$3,BD!$B$3:$B$5001,$A$379)))</f>
        <v/>
      </c>
      <c r="AE395" s="179" t="str">
        <f>IF(AE$3="","",IF(COUNTIFS(BD!$A$3:$A$5001,AE$3,BD!$B$3:$B$5001,$A$379,BD!$S$3:$S$5001,"&lt;&gt;")=0,"",SUMIFS(BD!$S$3:$S$5001,BD!$A$3:$A$5001,AE$3,BD!$B$3:$B$5001,$A$379)))</f>
        <v/>
      </c>
      <c r="AF395" s="179" t="str">
        <f>IF(AF$3="","",IF(COUNTIFS(BD!$A$3:$A$5001,AF$3,BD!$B$3:$B$5001,$A$379,BD!$S$3:$S$5001,"&lt;&gt;")=0,"",SUMIFS(BD!$S$3:$S$5001,BD!$A$3:$A$5001,AF$3,BD!$B$3:$B$5001,$A$379)))</f>
        <v/>
      </c>
      <c r="AG395" s="179" t="str">
        <f>IF(AG$3="","",IF(COUNTIFS(BD!$A$3:$A$5001,AG$3,BD!$B$3:$B$5001,$A$379,BD!$S$3:$S$5001,"&lt;&gt;")=0,"",SUMIFS(BD!$S$3:$S$5001,BD!$A$3:$A$5001,AG$3,BD!$B$3:$B$5001,$A$379)))</f>
        <v/>
      </c>
      <c r="AH395" s="179" t="str">
        <f>IF(AH$3="","",IF(COUNTIFS(BD!$A$3:$A$5001,AH$3,BD!$B$3:$B$5001,$A$379,BD!$S$3:$S$5001,"&lt;&gt;")=0,"",SUMIFS(BD!$S$3:$S$5001,BD!$A$3:$A$5001,AH$3,BD!$B$3:$B$5001,$A$379)))</f>
        <v/>
      </c>
      <c r="AI395" s="179" t="str">
        <f>IF(AI$3="","",IF(COUNTIFS(BD!$A$3:$A$5001,AI$3,BD!$B$3:$B$5001,$A$379,BD!$S$3:$S$5001,"&lt;&gt;")=0,"",SUMIFS(BD!$S$3:$S$5001,BD!$A$3:$A$5001,AI$3,BD!$B$3:$B$5001,$A$379)))</f>
        <v/>
      </c>
      <c r="AJ395" s="180" t="str">
        <f>IF(AJ$3="","",IF(COUNTIFS(BD!$A$3:$A$5001,AJ$3,BD!$B$3:$B$5001,$A$379,BD!$S$3:$S$5001,"&lt;&gt;")=0,"",SUMIFS(BD!$S$3:$S$5001,BD!$A$3:$A$5001,AJ$3,BD!$B$3:$B$5001,$A$379)))</f>
        <v/>
      </c>
      <c r="AK395" s="181" t="str">
        <f>IFERROR(LOOKUP(9.99E+307,F395:AJ395),"")</f>
        <v/>
      </c>
    </row>
    <row r="396" ht="15.75" customHeight="1" hidden="1">
      <c r="A396" s="277"/>
      <c r="B396" s="266"/>
      <c r="C396" s="186" t="inlineStr">
        <is>
          <t xml:space="preserve">Taxa de Ocupação</t>
        </is>
      </c>
      <c r="D396" s="236" t="str">
        <f>IFERROR(1/(1/INDEX(BD!$AF$40:$AZ$40,MATCH($A$379,BD!$AF$22:$AZ$22,0))),"")</f>
        <v/>
      </c>
      <c r="E396" s="188"/>
      <c r="F396" s="237" t="str">
        <f>IF(AND(ISNUMBER(F394),ISNUMBER(F395)),IF(F394&gt;0,F395/F394,""),"")</f>
        <v/>
      </c>
      <c r="G396" s="238" t="str">
        <f>IF(AND(ISNUMBER(G394),ISNUMBER(G395)),IF(G394&gt;0,G395/G394,""),"")</f>
        <v/>
      </c>
      <c r="H396" s="238" t="str">
        <f>IF(AND(ISNUMBER(H394),ISNUMBER(H395)),IF(H394&gt;0,H395/H394,""),"")</f>
        <v/>
      </c>
      <c r="I396" s="238" t="str">
        <f>IF(AND(ISNUMBER(I394),ISNUMBER(I395)),IF(I394&gt;0,I395/I394,""),"")</f>
        <v/>
      </c>
      <c r="J396" s="238" t="str">
        <f>IF(AND(ISNUMBER(J394),ISNUMBER(J395)),IF(J394&gt;0,J395/J394,""),"")</f>
        <v/>
      </c>
      <c r="K396" s="238" t="str">
        <f>IF(AND(ISNUMBER(K394),ISNUMBER(K395)),IF(K394&gt;0,K395/K394,""),"")</f>
        <v/>
      </c>
      <c r="L396" s="238" t="str">
        <f>IF(AND(ISNUMBER(L394),ISNUMBER(L395)),IF(L394&gt;0,L395/L394,""),"")</f>
        <v/>
      </c>
      <c r="M396" s="238" t="str">
        <f>IF(AND(ISNUMBER(M394),ISNUMBER(M395)),IF(M394&gt;0,M395/M394,""),"")</f>
        <v/>
      </c>
      <c r="N396" s="238" t="str">
        <f>IF(AND(ISNUMBER(N394),ISNUMBER(N395)),IF(N394&gt;0,N395/N394,""),"")</f>
        <v/>
      </c>
      <c r="O396" s="238" t="str">
        <f>IF(AND(ISNUMBER(O394),ISNUMBER(O395)),IF(O394&gt;0,O395/O394,""),"")</f>
        <v/>
      </c>
      <c r="P396" s="238" t="str">
        <f>IF(AND(ISNUMBER(P394),ISNUMBER(P395)),IF(P394&gt;0,P395/P394,""),"")</f>
        <v/>
      </c>
      <c r="Q396" s="238" t="str">
        <f>IF(AND(ISNUMBER(Q394),ISNUMBER(Q395)),IF(Q394&gt;0,Q395/Q394,""),"")</f>
        <v/>
      </c>
      <c r="R396" s="238" t="str">
        <f>IF(AND(ISNUMBER(R394),ISNUMBER(R395)),IF(R394&gt;0,R395/R394,""),"")</f>
        <v/>
      </c>
      <c r="S396" s="238" t="str">
        <f>IF(AND(ISNUMBER(S394),ISNUMBER(S395)),IF(S394&gt;0,S395/S394,""),"")</f>
        <v/>
      </c>
      <c r="T396" s="238" t="str">
        <f>IF(AND(ISNUMBER(T394),ISNUMBER(T395)),IF(T394&gt;0,T395/T394,""),"")</f>
        <v/>
      </c>
      <c r="U396" s="238" t="str">
        <f>IF(AND(ISNUMBER(U394),ISNUMBER(U395)),IF(U394&gt;0,U395/U394,""),"")</f>
        <v/>
      </c>
      <c r="V396" s="238" t="str">
        <f>IF(AND(ISNUMBER(V394),ISNUMBER(V395)),IF(V394&gt;0,V395/V394,""),"")</f>
        <v/>
      </c>
      <c r="W396" s="238" t="str">
        <f>IF(AND(ISNUMBER(W394),ISNUMBER(W395)),IF(W394&gt;0,W395/W394,""),"")</f>
        <v/>
      </c>
      <c r="X396" s="238" t="str">
        <f>IF(AND(ISNUMBER(X394),ISNUMBER(X395)),IF(X394&gt;0,X395/X394,""),"")</f>
        <v/>
      </c>
      <c r="Y396" s="238" t="str">
        <f>IF(AND(ISNUMBER(Y394),ISNUMBER(Y395)),IF(Y394&gt;0,Y395/Y394,""),"")</f>
        <v/>
      </c>
      <c r="Z396" s="238" t="str">
        <f>IF(AND(ISNUMBER(Z394),ISNUMBER(Z395)),IF(Z394&gt;0,Z395/Z394,""),"")</f>
        <v/>
      </c>
      <c r="AA396" s="238" t="str">
        <f>IF(AND(ISNUMBER(AA394),ISNUMBER(AA395)),IF(AA394&gt;0,AA395/AA394,""),"")</f>
        <v/>
      </c>
      <c r="AB396" s="238" t="str">
        <f>IF(AND(ISNUMBER(AB394),ISNUMBER(AB395)),IF(AB394&gt;0,AB395/AB394,""),"")</f>
        <v/>
      </c>
      <c r="AC396" s="238" t="str">
        <f>IF(AND(ISNUMBER(AC394),ISNUMBER(AC395)),IF(AC394&gt;0,AC395/AC394,""),"")</f>
        <v/>
      </c>
      <c r="AD396" s="238" t="str">
        <f>IF(AND(ISNUMBER(AD394),ISNUMBER(AD395)),IF(AD394&gt;0,AD395/AD394,""),"")</f>
        <v/>
      </c>
      <c r="AE396" s="238" t="str">
        <f>IF(AND(ISNUMBER(AE394),ISNUMBER(AE395)),IF(AE394&gt;0,AE395/AE394,""),"")</f>
        <v/>
      </c>
      <c r="AF396" s="238" t="str">
        <f>IF(AND(ISNUMBER(AF394),ISNUMBER(AF395)),IF(AF394&gt;0,AF395/AF394,""),"")</f>
        <v/>
      </c>
      <c r="AG396" s="238" t="str">
        <f>IF(AND(ISNUMBER(AG394),ISNUMBER(AG395)),IF(AG394&gt;0,AG395/AG394,""),"")</f>
        <v/>
      </c>
      <c r="AH396" s="238" t="str">
        <f>IF(AND(ISNUMBER(AH394),ISNUMBER(AH395)),IF(AH394&gt;0,AH395/AH394,""),"")</f>
        <v/>
      </c>
      <c r="AI396" s="238" t="str">
        <f>IF(AND(ISNUMBER(AI394),ISNUMBER(AI395)),IF(AI394&gt;0,AI395/AI394,""),"")</f>
        <v/>
      </c>
      <c r="AJ396" s="239" t="str">
        <f>IF(AND(ISNUMBER(AJ394),ISNUMBER(AJ395)),IF(AJ394&gt;0,AJ395/AJ394,""),"")</f>
        <v/>
      </c>
      <c r="AK396" s="236" t="str">
        <f>IF(AND(ISNUMBER(AK394),ISNUMBER(AK395)),IF(AK394&gt;0,AK395/AK394,""),"")</f>
        <v/>
      </c>
    </row>
    <row r="397" ht="15.75" customHeight="1" hidden="1">
      <c r="A397" s="277"/>
      <c r="B397" s="273" t="inlineStr">
        <is>
          <t xml:space="preserve">GENTE</t>
        </is>
      </c>
      <c r="C397" s="240" t="inlineStr">
        <is>
          <t xml:space="preserve">Efetivo Op.</t>
        </is>
      </c>
      <c r="D397" s="241" t="str">
        <f>IFERROR(1/(1/INDEX(BD!$AF$41:$AZ$41,MATCH($A$379,BD!$AF$22:$AZ$22,0))),"")</f>
        <v/>
      </c>
      <c r="E397" s="242"/>
      <c r="F397" s="243" t="str">
        <f>IF(F$3="","",IF(COUNTIFS(BD!$A$3:$A$5001,F$3,BD!$B$3:$B$5001,$A$379,BD!$T$3:$T$5001,"&lt;&gt;")=0,"",SUMIFS(BD!$T$3:$T$5001,BD!$A$3:$A$5001,F$3,BD!$B$3:$B$5001,$A$379)))</f>
        <v/>
      </c>
      <c r="G397" s="244" t="str">
        <f>IF(G$3="","",IF(COUNTIFS(BD!$A$3:$A$5001,G$3,BD!$B$3:$B$5001,$A$379,BD!$T$3:$T$5001,"&lt;&gt;")=0,"",SUMIFS(BD!$T$3:$T$5001,BD!$A$3:$A$5001,G$3,BD!$B$3:$B$5001,$A$379)))</f>
        <v/>
      </c>
      <c r="H397" s="244" t="str">
        <f>IF(H$3="","",IF(COUNTIFS(BD!$A$3:$A$5001,H$3,BD!$B$3:$B$5001,$A$379,BD!$T$3:$T$5001,"&lt;&gt;")=0,"",SUMIFS(BD!$T$3:$T$5001,BD!$A$3:$A$5001,H$3,BD!$B$3:$B$5001,$A$379)))</f>
        <v/>
      </c>
      <c r="I397" s="244" t="str">
        <f>IF(I$3="","",IF(COUNTIFS(BD!$A$3:$A$5001,I$3,BD!$B$3:$B$5001,$A$379,BD!$T$3:$T$5001,"&lt;&gt;")=0,"",SUMIFS(BD!$T$3:$T$5001,BD!$A$3:$A$5001,I$3,BD!$B$3:$B$5001,$A$379)))</f>
        <v/>
      </c>
      <c r="J397" s="244" t="str">
        <f>IF(J$3="","",IF(COUNTIFS(BD!$A$3:$A$5001,J$3,BD!$B$3:$B$5001,$A$379,BD!$T$3:$T$5001,"&lt;&gt;")=0,"",SUMIFS(BD!$T$3:$T$5001,BD!$A$3:$A$5001,J$3,BD!$B$3:$B$5001,$A$379)))</f>
        <v/>
      </c>
      <c r="K397" s="244" t="str">
        <f>IF(K$3="","",IF(COUNTIFS(BD!$A$3:$A$5001,K$3,BD!$B$3:$B$5001,$A$379,BD!$T$3:$T$5001,"&lt;&gt;")=0,"",SUMIFS(BD!$T$3:$T$5001,BD!$A$3:$A$5001,K$3,BD!$B$3:$B$5001,$A$379)))</f>
        <v/>
      </c>
      <c r="L397" s="244" t="str">
        <f>IF(L$3="","",IF(COUNTIFS(BD!$A$3:$A$5001,L$3,BD!$B$3:$B$5001,$A$379,BD!$T$3:$T$5001,"&lt;&gt;")=0,"",SUMIFS(BD!$T$3:$T$5001,BD!$A$3:$A$5001,L$3,BD!$B$3:$B$5001,$A$379)))</f>
        <v/>
      </c>
      <c r="M397" s="244" t="str">
        <f>IF(M$3="","",IF(COUNTIFS(BD!$A$3:$A$5001,M$3,BD!$B$3:$B$5001,$A$379,BD!$T$3:$T$5001,"&lt;&gt;")=0,"",SUMIFS(BD!$T$3:$T$5001,BD!$A$3:$A$5001,M$3,BD!$B$3:$B$5001,$A$379)))</f>
        <v/>
      </c>
      <c r="N397" s="244" t="str">
        <f>IF(N$3="","",IF(COUNTIFS(BD!$A$3:$A$5001,N$3,BD!$B$3:$B$5001,$A$379,BD!$T$3:$T$5001,"&lt;&gt;")=0,"",SUMIFS(BD!$T$3:$T$5001,BD!$A$3:$A$5001,N$3,BD!$B$3:$B$5001,$A$379)))</f>
        <v/>
      </c>
      <c r="O397" s="244" t="str">
        <f>IF(O$3="","",IF(COUNTIFS(BD!$A$3:$A$5001,O$3,BD!$B$3:$B$5001,$A$379,BD!$T$3:$T$5001,"&lt;&gt;")=0,"",SUMIFS(BD!$T$3:$T$5001,BD!$A$3:$A$5001,O$3,BD!$B$3:$B$5001,$A$379)))</f>
        <v/>
      </c>
      <c r="P397" s="244" t="str">
        <f>IF(P$3="","",IF(COUNTIFS(BD!$A$3:$A$5001,P$3,BD!$B$3:$B$5001,$A$379,BD!$T$3:$T$5001,"&lt;&gt;")=0,"",SUMIFS(BD!$T$3:$T$5001,BD!$A$3:$A$5001,P$3,BD!$B$3:$B$5001,$A$379)))</f>
        <v/>
      </c>
      <c r="Q397" s="244" t="str">
        <f>IF(Q$3="","",IF(COUNTIFS(BD!$A$3:$A$5001,Q$3,BD!$B$3:$B$5001,$A$379,BD!$T$3:$T$5001,"&lt;&gt;")=0,"",SUMIFS(BD!$T$3:$T$5001,BD!$A$3:$A$5001,Q$3,BD!$B$3:$B$5001,$A$379)))</f>
        <v/>
      </c>
      <c r="R397" s="244" t="str">
        <f>IF(R$3="","",IF(COUNTIFS(BD!$A$3:$A$5001,R$3,BD!$B$3:$B$5001,$A$379,BD!$T$3:$T$5001,"&lt;&gt;")=0,"",SUMIFS(BD!$T$3:$T$5001,BD!$A$3:$A$5001,R$3,BD!$B$3:$B$5001,$A$379)))</f>
        <v/>
      </c>
      <c r="S397" s="244" t="str">
        <f>IF(S$3="","",IF(COUNTIFS(BD!$A$3:$A$5001,S$3,BD!$B$3:$B$5001,$A$379,BD!$T$3:$T$5001,"&lt;&gt;")=0,"",SUMIFS(BD!$T$3:$T$5001,BD!$A$3:$A$5001,S$3,BD!$B$3:$B$5001,$A$379)))</f>
        <v/>
      </c>
      <c r="T397" s="244" t="str">
        <f>IF(T$3="","",IF(COUNTIFS(BD!$A$3:$A$5001,T$3,BD!$B$3:$B$5001,$A$379,BD!$T$3:$T$5001,"&lt;&gt;")=0,"",SUMIFS(BD!$T$3:$T$5001,BD!$A$3:$A$5001,T$3,BD!$B$3:$B$5001,$A$379)))</f>
        <v/>
      </c>
      <c r="U397" s="244" t="str">
        <f>IF(U$3="","",IF(COUNTIFS(BD!$A$3:$A$5001,U$3,BD!$B$3:$B$5001,$A$379,BD!$T$3:$T$5001,"&lt;&gt;")=0,"",SUMIFS(BD!$T$3:$T$5001,BD!$A$3:$A$5001,U$3,BD!$B$3:$B$5001,$A$379)))</f>
        <v/>
      </c>
      <c r="V397" s="244" t="str">
        <f>IF(V$3="","",IF(COUNTIFS(BD!$A$3:$A$5001,V$3,BD!$B$3:$B$5001,$A$379,BD!$T$3:$T$5001,"&lt;&gt;")=0,"",SUMIFS(BD!$T$3:$T$5001,BD!$A$3:$A$5001,V$3,BD!$B$3:$B$5001,$A$379)))</f>
        <v/>
      </c>
      <c r="W397" s="244" t="str">
        <f>IF(W$3="","",IF(COUNTIFS(BD!$A$3:$A$5001,W$3,BD!$B$3:$B$5001,$A$379,BD!$T$3:$T$5001,"&lt;&gt;")=0,"",SUMIFS(BD!$T$3:$T$5001,BD!$A$3:$A$5001,W$3,BD!$B$3:$B$5001,$A$379)))</f>
        <v/>
      </c>
      <c r="X397" s="244" t="str">
        <f>IF(X$3="","",IF(COUNTIFS(BD!$A$3:$A$5001,X$3,BD!$B$3:$B$5001,$A$379,BD!$T$3:$T$5001,"&lt;&gt;")=0,"",SUMIFS(BD!$T$3:$T$5001,BD!$A$3:$A$5001,X$3,BD!$B$3:$B$5001,$A$379)))</f>
        <v/>
      </c>
      <c r="Y397" s="244" t="str">
        <f>IF(Y$3="","",IF(COUNTIFS(BD!$A$3:$A$5001,Y$3,BD!$B$3:$B$5001,$A$379,BD!$T$3:$T$5001,"&lt;&gt;")=0,"",SUMIFS(BD!$T$3:$T$5001,BD!$A$3:$A$5001,Y$3,BD!$B$3:$B$5001,$A$379)))</f>
        <v/>
      </c>
      <c r="Z397" s="244" t="str">
        <f>IF(Z$3="","",IF(COUNTIFS(BD!$A$3:$A$5001,Z$3,BD!$B$3:$B$5001,$A$379,BD!$T$3:$T$5001,"&lt;&gt;")=0,"",SUMIFS(BD!$T$3:$T$5001,BD!$A$3:$A$5001,Z$3,BD!$B$3:$B$5001,$A$379)))</f>
        <v/>
      </c>
      <c r="AA397" s="244" t="str">
        <f>IF(AA$3="","",IF(COUNTIFS(BD!$A$3:$A$5001,AA$3,BD!$B$3:$B$5001,$A$379,BD!$T$3:$T$5001,"&lt;&gt;")=0,"",SUMIFS(BD!$T$3:$T$5001,BD!$A$3:$A$5001,AA$3,BD!$B$3:$B$5001,$A$379)))</f>
        <v/>
      </c>
      <c r="AB397" s="244" t="str">
        <f>IF(AB$3="","",IF(COUNTIFS(BD!$A$3:$A$5001,AB$3,BD!$B$3:$B$5001,$A$379,BD!$T$3:$T$5001,"&lt;&gt;")=0,"",SUMIFS(BD!$T$3:$T$5001,BD!$A$3:$A$5001,AB$3,BD!$B$3:$B$5001,$A$379)))</f>
        <v/>
      </c>
      <c r="AC397" s="244" t="str">
        <f>IF(AC$3="","",IF(COUNTIFS(BD!$A$3:$A$5001,AC$3,BD!$B$3:$B$5001,$A$379,BD!$T$3:$T$5001,"&lt;&gt;")=0,"",SUMIFS(BD!$T$3:$T$5001,BD!$A$3:$A$5001,AC$3,BD!$B$3:$B$5001,$A$379)))</f>
        <v/>
      </c>
      <c r="AD397" s="244" t="str">
        <f>IF(AD$3="","",IF(COUNTIFS(BD!$A$3:$A$5001,AD$3,BD!$B$3:$B$5001,$A$379,BD!$T$3:$T$5001,"&lt;&gt;")=0,"",SUMIFS(BD!$T$3:$T$5001,BD!$A$3:$A$5001,AD$3,BD!$B$3:$B$5001,$A$379)))</f>
        <v/>
      </c>
      <c r="AE397" s="244" t="str">
        <f>IF(AE$3="","",IF(COUNTIFS(BD!$A$3:$A$5001,AE$3,BD!$B$3:$B$5001,$A$379,BD!$T$3:$T$5001,"&lt;&gt;")=0,"",SUMIFS(BD!$T$3:$T$5001,BD!$A$3:$A$5001,AE$3,BD!$B$3:$B$5001,$A$379)))</f>
        <v/>
      </c>
      <c r="AF397" s="244" t="str">
        <f>IF(AF$3="","",IF(COUNTIFS(BD!$A$3:$A$5001,AF$3,BD!$B$3:$B$5001,$A$379,BD!$T$3:$T$5001,"&lt;&gt;")=0,"",SUMIFS(BD!$T$3:$T$5001,BD!$A$3:$A$5001,AF$3,BD!$B$3:$B$5001,$A$379)))</f>
        <v/>
      </c>
      <c r="AG397" s="244" t="str">
        <f>IF(AG$3="","",IF(COUNTIFS(BD!$A$3:$A$5001,AG$3,BD!$B$3:$B$5001,$A$379,BD!$T$3:$T$5001,"&lt;&gt;")=0,"",SUMIFS(BD!$T$3:$T$5001,BD!$A$3:$A$5001,AG$3,BD!$B$3:$B$5001,$A$379)))</f>
        <v/>
      </c>
      <c r="AH397" s="244" t="str">
        <f>IF(AH$3="","",IF(COUNTIFS(BD!$A$3:$A$5001,AH$3,BD!$B$3:$B$5001,$A$379,BD!$T$3:$T$5001,"&lt;&gt;")=0,"",SUMIFS(BD!$T$3:$T$5001,BD!$A$3:$A$5001,AH$3,BD!$B$3:$B$5001,$A$379)))</f>
        <v/>
      </c>
      <c r="AI397" s="244" t="str">
        <f>IF(AI$3="","",IF(COUNTIFS(BD!$A$3:$A$5001,AI$3,BD!$B$3:$B$5001,$A$379,BD!$T$3:$T$5001,"&lt;&gt;")=0,"",SUMIFS(BD!$T$3:$T$5001,BD!$A$3:$A$5001,AI$3,BD!$B$3:$B$5001,$A$379)))</f>
        <v/>
      </c>
      <c r="AJ397" s="245" t="str">
        <f>IF(AJ$3="","",IF(COUNTIFS(BD!$A$3:$A$5001,AJ$3,BD!$B$3:$B$5001,$A$379,BD!$T$3:$T$5001,"&lt;&gt;")=0,"",SUMIFS(BD!$T$3:$T$5001,BD!$A$3:$A$5001,AJ$3,BD!$B$3:$B$5001,$A$379)))</f>
        <v/>
      </c>
      <c r="AK397" s="246" t="str">
        <f>IFERROR(LOOKUP(9.99E+307,F397:AJ397),"")</f>
        <v/>
      </c>
    </row>
    <row r="398" ht="15.75" customHeight="1" hidden="1">
      <c r="A398" s="277"/>
      <c r="B398" s="274"/>
      <c r="C398" s="247" t="inlineStr">
        <is>
          <t xml:space="preserve">Falta</t>
        </is>
      </c>
      <c r="D398" s="248" t="str">
        <f>IFERROR(1/(1/INDEX(BD!$AF$42:$AZ$42,MATCH($A$379,BD!$AF$22:$AZ$22,0))),"")</f>
        <v/>
      </c>
      <c r="E398" s="249"/>
      <c r="F398" s="250" t="str">
        <f>IF(F$3="","",IF(COUNTIFS(BD!$A$3:$A$5001,F$3,BD!$B$3:$B$5001,$A$379,BD!$U$3:$U$5001,"&lt;&gt;")=0,"",SUMIFS(BD!$U$3:$U$5001,BD!$A$3:$A$5001,F$3,BD!$B$3:$B$5001,$A$379)))</f>
        <v/>
      </c>
      <c r="G398" s="251" t="str">
        <f>IF(G$3="","",IF(COUNTIFS(BD!$A$3:$A$5001,G$3,BD!$B$3:$B$5001,$A$379,BD!$U$3:$U$5001,"&lt;&gt;")=0,"",SUMIFS(BD!$U$3:$U$5001,BD!$A$3:$A$5001,G$3,BD!$B$3:$B$5001,$A$379)))</f>
        <v/>
      </c>
      <c r="H398" s="251" t="str">
        <f>IF(H$3="","",IF(COUNTIFS(BD!$A$3:$A$5001,H$3,BD!$B$3:$B$5001,$A$379,BD!$U$3:$U$5001,"&lt;&gt;")=0,"",SUMIFS(BD!$U$3:$U$5001,BD!$A$3:$A$5001,H$3,BD!$B$3:$B$5001,$A$379)))</f>
        <v/>
      </c>
      <c r="I398" s="251" t="str">
        <f>IF(I$3="","",IF(COUNTIFS(BD!$A$3:$A$5001,I$3,BD!$B$3:$B$5001,$A$379,BD!$U$3:$U$5001,"&lt;&gt;")=0,"",SUMIFS(BD!$U$3:$U$5001,BD!$A$3:$A$5001,I$3,BD!$B$3:$B$5001,$A$379)))</f>
        <v/>
      </c>
      <c r="J398" s="251" t="str">
        <f>IF(J$3="","",IF(COUNTIFS(BD!$A$3:$A$5001,J$3,BD!$B$3:$B$5001,$A$379,BD!$U$3:$U$5001,"&lt;&gt;")=0,"",SUMIFS(BD!$U$3:$U$5001,BD!$A$3:$A$5001,J$3,BD!$B$3:$B$5001,$A$379)))</f>
        <v/>
      </c>
      <c r="K398" s="251" t="str">
        <f>IF(K$3="","",IF(COUNTIFS(BD!$A$3:$A$5001,K$3,BD!$B$3:$B$5001,$A$379,BD!$U$3:$U$5001,"&lt;&gt;")=0,"",SUMIFS(BD!$U$3:$U$5001,BD!$A$3:$A$5001,K$3,BD!$B$3:$B$5001,$A$379)))</f>
        <v/>
      </c>
      <c r="L398" s="251" t="str">
        <f>IF(L$3="","",IF(COUNTIFS(BD!$A$3:$A$5001,L$3,BD!$B$3:$B$5001,$A$379,BD!$U$3:$U$5001,"&lt;&gt;")=0,"",SUMIFS(BD!$U$3:$U$5001,BD!$A$3:$A$5001,L$3,BD!$B$3:$B$5001,$A$379)))</f>
        <v/>
      </c>
      <c r="M398" s="251" t="str">
        <f>IF(M$3="","",IF(COUNTIFS(BD!$A$3:$A$5001,M$3,BD!$B$3:$B$5001,$A$379,BD!$U$3:$U$5001,"&lt;&gt;")=0,"",SUMIFS(BD!$U$3:$U$5001,BD!$A$3:$A$5001,M$3,BD!$B$3:$B$5001,$A$379)))</f>
        <v/>
      </c>
      <c r="N398" s="251" t="str">
        <f>IF(N$3="","",IF(COUNTIFS(BD!$A$3:$A$5001,N$3,BD!$B$3:$B$5001,$A$379,BD!$U$3:$U$5001,"&lt;&gt;")=0,"",SUMIFS(BD!$U$3:$U$5001,BD!$A$3:$A$5001,N$3,BD!$B$3:$B$5001,$A$379)))</f>
        <v/>
      </c>
      <c r="O398" s="251" t="str">
        <f>IF(O$3="","",IF(COUNTIFS(BD!$A$3:$A$5001,O$3,BD!$B$3:$B$5001,$A$379,BD!$U$3:$U$5001,"&lt;&gt;")=0,"",SUMIFS(BD!$U$3:$U$5001,BD!$A$3:$A$5001,O$3,BD!$B$3:$B$5001,$A$379)))</f>
        <v/>
      </c>
      <c r="P398" s="251" t="str">
        <f>IF(P$3="","",IF(COUNTIFS(BD!$A$3:$A$5001,P$3,BD!$B$3:$B$5001,$A$379,BD!$U$3:$U$5001,"&lt;&gt;")=0,"",SUMIFS(BD!$U$3:$U$5001,BD!$A$3:$A$5001,P$3,BD!$B$3:$B$5001,$A$379)))</f>
        <v/>
      </c>
      <c r="Q398" s="251" t="str">
        <f>IF(Q$3="","",IF(COUNTIFS(BD!$A$3:$A$5001,Q$3,BD!$B$3:$B$5001,$A$379,BD!$U$3:$U$5001,"&lt;&gt;")=0,"",SUMIFS(BD!$U$3:$U$5001,BD!$A$3:$A$5001,Q$3,BD!$B$3:$B$5001,$A$379)))</f>
        <v/>
      </c>
      <c r="R398" s="251" t="str">
        <f>IF(R$3="","",IF(COUNTIFS(BD!$A$3:$A$5001,R$3,BD!$B$3:$B$5001,$A$379,BD!$U$3:$U$5001,"&lt;&gt;")=0,"",SUMIFS(BD!$U$3:$U$5001,BD!$A$3:$A$5001,R$3,BD!$B$3:$B$5001,$A$379)))</f>
        <v/>
      </c>
      <c r="S398" s="251" t="str">
        <f>IF(S$3="","",IF(COUNTIFS(BD!$A$3:$A$5001,S$3,BD!$B$3:$B$5001,$A$379,BD!$U$3:$U$5001,"&lt;&gt;")=0,"",SUMIFS(BD!$U$3:$U$5001,BD!$A$3:$A$5001,S$3,BD!$B$3:$B$5001,$A$379)))</f>
        <v/>
      </c>
      <c r="T398" s="251" t="str">
        <f>IF(T$3="","",IF(COUNTIFS(BD!$A$3:$A$5001,T$3,BD!$B$3:$B$5001,$A$379,BD!$U$3:$U$5001,"&lt;&gt;")=0,"",SUMIFS(BD!$U$3:$U$5001,BD!$A$3:$A$5001,T$3,BD!$B$3:$B$5001,$A$379)))</f>
        <v/>
      </c>
      <c r="U398" s="251" t="str">
        <f>IF(U$3="","",IF(COUNTIFS(BD!$A$3:$A$5001,U$3,BD!$B$3:$B$5001,$A$379,BD!$U$3:$U$5001,"&lt;&gt;")=0,"",SUMIFS(BD!$U$3:$U$5001,BD!$A$3:$A$5001,U$3,BD!$B$3:$B$5001,$A$379)))</f>
        <v/>
      </c>
      <c r="V398" s="251" t="str">
        <f>IF(V$3="","",IF(COUNTIFS(BD!$A$3:$A$5001,V$3,BD!$B$3:$B$5001,$A$379,BD!$U$3:$U$5001,"&lt;&gt;")=0,"",SUMIFS(BD!$U$3:$U$5001,BD!$A$3:$A$5001,V$3,BD!$B$3:$B$5001,$A$379)))</f>
        <v/>
      </c>
      <c r="W398" s="251" t="str">
        <f>IF(W$3="","",IF(COUNTIFS(BD!$A$3:$A$5001,W$3,BD!$B$3:$B$5001,$A$379,BD!$U$3:$U$5001,"&lt;&gt;")=0,"",SUMIFS(BD!$U$3:$U$5001,BD!$A$3:$A$5001,W$3,BD!$B$3:$B$5001,$A$379)))</f>
        <v/>
      </c>
      <c r="X398" s="251" t="str">
        <f>IF(X$3="","",IF(COUNTIFS(BD!$A$3:$A$5001,X$3,BD!$B$3:$B$5001,$A$379,BD!$U$3:$U$5001,"&lt;&gt;")=0,"",SUMIFS(BD!$U$3:$U$5001,BD!$A$3:$A$5001,X$3,BD!$B$3:$B$5001,$A$379)))</f>
        <v/>
      </c>
      <c r="Y398" s="251" t="str">
        <f>IF(Y$3="","",IF(COUNTIFS(BD!$A$3:$A$5001,Y$3,BD!$B$3:$B$5001,$A$379,BD!$U$3:$U$5001,"&lt;&gt;")=0,"",SUMIFS(BD!$U$3:$U$5001,BD!$A$3:$A$5001,Y$3,BD!$B$3:$B$5001,$A$379)))</f>
        <v/>
      </c>
      <c r="Z398" s="251" t="str">
        <f>IF(Z$3="","",IF(COUNTIFS(BD!$A$3:$A$5001,Z$3,BD!$B$3:$B$5001,$A$379,BD!$U$3:$U$5001,"&lt;&gt;")=0,"",SUMIFS(BD!$U$3:$U$5001,BD!$A$3:$A$5001,Z$3,BD!$B$3:$B$5001,$A$379)))</f>
        <v/>
      </c>
      <c r="AA398" s="251" t="str">
        <f>IF(AA$3="","",IF(COUNTIFS(BD!$A$3:$A$5001,AA$3,BD!$B$3:$B$5001,$A$379,BD!$U$3:$U$5001,"&lt;&gt;")=0,"",SUMIFS(BD!$U$3:$U$5001,BD!$A$3:$A$5001,AA$3,BD!$B$3:$B$5001,$A$379)))</f>
        <v/>
      </c>
      <c r="AB398" s="251" t="str">
        <f>IF(AB$3="","",IF(COUNTIFS(BD!$A$3:$A$5001,AB$3,BD!$B$3:$B$5001,$A$379,BD!$U$3:$U$5001,"&lt;&gt;")=0,"",SUMIFS(BD!$U$3:$U$5001,BD!$A$3:$A$5001,AB$3,BD!$B$3:$B$5001,$A$379)))</f>
        <v/>
      </c>
      <c r="AC398" s="251" t="str">
        <f>IF(AC$3="","",IF(COUNTIFS(BD!$A$3:$A$5001,AC$3,BD!$B$3:$B$5001,$A$379,BD!$U$3:$U$5001,"&lt;&gt;")=0,"",SUMIFS(BD!$U$3:$U$5001,BD!$A$3:$A$5001,AC$3,BD!$B$3:$B$5001,$A$379)))</f>
        <v/>
      </c>
      <c r="AD398" s="251" t="str">
        <f>IF(AD$3="","",IF(COUNTIFS(BD!$A$3:$A$5001,AD$3,BD!$B$3:$B$5001,$A$379,BD!$U$3:$U$5001,"&lt;&gt;")=0,"",SUMIFS(BD!$U$3:$U$5001,BD!$A$3:$A$5001,AD$3,BD!$B$3:$B$5001,$A$379)))</f>
        <v/>
      </c>
      <c r="AE398" s="251" t="str">
        <f>IF(AE$3="","",IF(COUNTIFS(BD!$A$3:$A$5001,AE$3,BD!$B$3:$B$5001,$A$379,BD!$U$3:$U$5001,"&lt;&gt;")=0,"",SUMIFS(BD!$U$3:$U$5001,BD!$A$3:$A$5001,AE$3,BD!$B$3:$B$5001,$A$379)))</f>
        <v/>
      </c>
      <c r="AF398" s="251" t="str">
        <f>IF(AF$3="","",IF(COUNTIFS(BD!$A$3:$A$5001,AF$3,BD!$B$3:$B$5001,$A$379,BD!$U$3:$U$5001,"&lt;&gt;")=0,"",SUMIFS(BD!$U$3:$U$5001,BD!$A$3:$A$5001,AF$3,BD!$B$3:$B$5001,$A$379)))</f>
        <v/>
      </c>
      <c r="AG398" s="251" t="str">
        <f>IF(AG$3="","",IF(COUNTIFS(BD!$A$3:$A$5001,AG$3,BD!$B$3:$B$5001,$A$379,BD!$U$3:$U$5001,"&lt;&gt;")=0,"",SUMIFS(BD!$U$3:$U$5001,BD!$A$3:$A$5001,AG$3,BD!$B$3:$B$5001,$A$379)))</f>
        <v/>
      </c>
      <c r="AH398" s="251" t="str">
        <f>IF(AH$3="","",IF(COUNTIFS(BD!$A$3:$A$5001,AH$3,BD!$B$3:$B$5001,$A$379,BD!$U$3:$U$5001,"&lt;&gt;")=0,"",SUMIFS(BD!$U$3:$U$5001,BD!$A$3:$A$5001,AH$3,BD!$B$3:$B$5001,$A$379)))</f>
        <v/>
      </c>
      <c r="AI398" s="251" t="str">
        <f>IF(AI$3="","",IF(COUNTIFS(BD!$A$3:$A$5001,AI$3,BD!$B$3:$B$5001,$A$379,BD!$U$3:$U$5001,"&lt;&gt;")=0,"",SUMIFS(BD!$U$3:$U$5001,BD!$A$3:$A$5001,AI$3,BD!$B$3:$B$5001,$A$379)))</f>
        <v/>
      </c>
      <c r="AJ398" s="252" t="str">
        <f>IF(AJ$3="","",IF(COUNTIFS(BD!$A$3:$A$5001,AJ$3,BD!$B$3:$B$5001,$A$379,BD!$U$3:$U$5001,"&lt;&gt;")=0,"",SUMIFS(BD!$U$3:$U$5001,BD!$A$3:$A$5001,AJ$3,BD!$B$3:$B$5001,$A$379)))</f>
        <v/>
      </c>
      <c r="AK398" s="253" t="str">
        <f>IF(COUNT(F398:AJ398)=0,"",SUM(F398:AJ398))</f>
        <v/>
      </c>
    </row>
    <row r="399" ht="15.75" customHeight="1" hidden="1">
      <c r="A399" s="277"/>
      <c r="B399" s="274"/>
      <c r="C399" s="247" t="inlineStr">
        <is>
          <t xml:space="preserve">Absenteísmo (H/H)</t>
        </is>
      </c>
      <c r="D399" s="248" t="str">
        <f>IFERROR(1/(1/INDEX(BD!$AF$43:$AZ$43,MATCH($A$379,BD!$AF$22:$AZ$22,0))),"")</f>
        <v/>
      </c>
      <c r="E399" s="249"/>
      <c r="F399" s="254" t="str">
        <f>IF(F$3="","",IF(COUNTIFS(BD!$A$3:$A$5001,F$3,BD!$B$3:$B$5001,$A$379,BD!$V$3:$V$5001,"&lt;&gt;")=0,"",SUMIFS(BD!$V$3:$V$5001,BD!$A$3:$A$5001,F$3,BD!$B$3:$B$5001,$A$379)))</f>
        <v/>
      </c>
      <c r="G399" s="255" t="str">
        <f>IF(G$3="","",IF(COUNTIFS(BD!$A$3:$A$5001,G$3,BD!$B$3:$B$5001,$A$379,BD!$V$3:$V$5001,"&lt;&gt;")=0,"",SUMIFS(BD!$V$3:$V$5001,BD!$A$3:$A$5001,G$3,BD!$B$3:$B$5001,$A$379)))</f>
        <v/>
      </c>
      <c r="H399" s="255" t="str">
        <f>IF(H$3="","",IF(COUNTIFS(BD!$A$3:$A$5001,H$3,BD!$B$3:$B$5001,$A$379,BD!$V$3:$V$5001,"&lt;&gt;")=0,"",SUMIFS(BD!$V$3:$V$5001,BD!$A$3:$A$5001,H$3,BD!$B$3:$B$5001,$A$379)))</f>
        <v/>
      </c>
      <c r="I399" s="255" t="str">
        <f>IF(I$3="","",IF(COUNTIFS(BD!$A$3:$A$5001,I$3,BD!$B$3:$B$5001,$A$379,BD!$V$3:$V$5001,"&lt;&gt;")=0,"",SUMIFS(BD!$V$3:$V$5001,BD!$A$3:$A$5001,I$3,BD!$B$3:$B$5001,$A$379)))</f>
        <v/>
      </c>
      <c r="J399" s="255" t="str">
        <f>IF(J$3="","",IF(COUNTIFS(BD!$A$3:$A$5001,J$3,BD!$B$3:$B$5001,$A$379,BD!$V$3:$V$5001,"&lt;&gt;")=0,"",SUMIFS(BD!$V$3:$V$5001,BD!$A$3:$A$5001,J$3,BD!$B$3:$B$5001,$A$379)))</f>
        <v/>
      </c>
      <c r="K399" s="255" t="str">
        <f>IF(K$3="","",IF(COUNTIFS(BD!$A$3:$A$5001,K$3,BD!$B$3:$B$5001,$A$379,BD!$V$3:$V$5001,"&lt;&gt;")=0,"",SUMIFS(BD!$V$3:$V$5001,BD!$A$3:$A$5001,K$3,BD!$B$3:$B$5001,$A$379)))</f>
        <v/>
      </c>
      <c r="L399" s="255" t="str">
        <f>IF(L$3="","",IF(COUNTIFS(BD!$A$3:$A$5001,L$3,BD!$B$3:$B$5001,$A$379,BD!$V$3:$V$5001,"&lt;&gt;")=0,"",SUMIFS(BD!$V$3:$V$5001,BD!$A$3:$A$5001,L$3,BD!$B$3:$B$5001,$A$379)))</f>
        <v/>
      </c>
      <c r="M399" s="255" t="str">
        <f>IF(M$3="","",IF(COUNTIFS(BD!$A$3:$A$5001,M$3,BD!$B$3:$B$5001,$A$379,BD!$V$3:$V$5001,"&lt;&gt;")=0,"",SUMIFS(BD!$V$3:$V$5001,BD!$A$3:$A$5001,M$3,BD!$B$3:$B$5001,$A$379)))</f>
        <v/>
      </c>
      <c r="N399" s="255" t="str">
        <f>IF(N$3="","",IF(COUNTIFS(BD!$A$3:$A$5001,N$3,BD!$B$3:$B$5001,$A$379,BD!$V$3:$V$5001,"&lt;&gt;")=0,"",SUMIFS(BD!$V$3:$V$5001,BD!$A$3:$A$5001,N$3,BD!$B$3:$B$5001,$A$379)))</f>
        <v/>
      </c>
      <c r="O399" s="255" t="str">
        <f>IF(O$3="","",IF(COUNTIFS(BD!$A$3:$A$5001,O$3,BD!$B$3:$B$5001,$A$379,BD!$V$3:$V$5001,"&lt;&gt;")=0,"",SUMIFS(BD!$V$3:$V$5001,BD!$A$3:$A$5001,O$3,BD!$B$3:$B$5001,$A$379)))</f>
        <v/>
      </c>
      <c r="P399" s="255" t="str">
        <f>IF(P$3="","",IF(COUNTIFS(BD!$A$3:$A$5001,P$3,BD!$B$3:$B$5001,$A$379,BD!$V$3:$V$5001,"&lt;&gt;")=0,"",SUMIFS(BD!$V$3:$V$5001,BD!$A$3:$A$5001,P$3,BD!$B$3:$B$5001,$A$379)))</f>
        <v/>
      </c>
      <c r="Q399" s="255" t="str">
        <f>IF(Q$3="","",IF(COUNTIFS(BD!$A$3:$A$5001,Q$3,BD!$B$3:$B$5001,$A$379,BD!$V$3:$V$5001,"&lt;&gt;")=0,"",SUMIFS(BD!$V$3:$V$5001,BD!$A$3:$A$5001,Q$3,BD!$B$3:$B$5001,$A$379)))</f>
        <v/>
      </c>
      <c r="R399" s="255" t="str">
        <f>IF(R$3="","",IF(COUNTIFS(BD!$A$3:$A$5001,R$3,BD!$B$3:$B$5001,$A$379,BD!$V$3:$V$5001,"&lt;&gt;")=0,"",SUMIFS(BD!$V$3:$V$5001,BD!$A$3:$A$5001,R$3,BD!$B$3:$B$5001,$A$379)))</f>
        <v/>
      </c>
      <c r="S399" s="255" t="str">
        <f>IF(S$3="","",IF(COUNTIFS(BD!$A$3:$A$5001,S$3,BD!$B$3:$B$5001,$A$379,BD!$V$3:$V$5001,"&lt;&gt;")=0,"",SUMIFS(BD!$V$3:$V$5001,BD!$A$3:$A$5001,S$3,BD!$B$3:$B$5001,$A$379)))</f>
        <v/>
      </c>
      <c r="T399" s="255" t="str">
        <f>IF(T$3="","",IF(COUNTIFS(BD!$A$3:$A$5001,T$3,BD!$B$3:$B$5001,$A$379,BD!$V$3:$V$5001,"&lt;&gt;")=0,"",SUMIFS(BD!$V$3:$V$5001,BD!$A$3:$A$5001,T$3,BD!$B$3:$B$5001,$A$379)))</f>
        <v/>
      </c>
      <c r="U399" s="255" t="str">
        <f>IF(U$3="","",IF(COUNTIFS(BD!$A$3:$A$5001,U$3,BD!$B$3:$B$5001,$A$379,BD!$V$3:$V$5001,"&lt;&gt;")=0,"",SUMIFS(BD!$V$3:$V$5001,BD!$A$3:$A$5001,U$3,BD!$B$3:$B$5001,$A$379)))</f>
        <v/>
      </c>
      <c r="V399" s="255" t="str">
        <f>IF(V$3="","",IF(COUNTIFS(BD!$A$3:$A$5001,V$3,BD!$B$3:$B$5001,$A$379,BD!$V$3:$V$5001,"&lt;&gt;")=0,"",SUMIFS(BD!$V$3:$V$5001,BD!$A$3:$A$5001,V$3,BD!$B$3:$B$5001,$A$379)))</f>
        <v/>
      </c>
      <c r="W399" s="255" t="str">
        <f>IF(W$3="","",IF(COUNTIFS(BD!$A$3:$A$5001,W$3,BD!$B$3:$B$5001,$A$379,BD!$V$3:$V$5001,"&lt;&gt;")=0,"",SUMIFS(BD!$V$3:$V$5001,BD!$A$3:$A$5001,W$3,BD!$B$3:$B$5001,$A$379)))</f>
        <v/>
      </c>
      <c r="X399" s="255" t="str">
        <f>IF(X$3="","",IF(COUNTIFS(BD!$A$3:$A$5001,X$3,BD!$B$3:$B$5001,$A$379,BD!$V$3:$V$5001,"&lt;&gt;")=0,"",SUMIFS(BD!$V$3:$V$5001,BD!$A$3:$A$5001,X$3,BD!$B$3:$B$5001,$A$379)))</f>
        <v/>
      </c>
      <c r="Y399" s="255" t="str">
        <f>IF(Y$3="","",IF(COUNTIFS(BD!$A$3:$A$5001,Y$3,BD!$B$3:$B$5001,$A$379,BD!$V$3:$V$5001,"&lt;&gt;")=0,"",SUMIFS(BD!$V$3:$V$5001,BD!$A$3:$A$5001,Y$3,BD!$B$3:$B$5001,$A$379)))</f>
        <v/>
      </c>
      <c r="Z399" s="255" t="str">
        <f>IF(Z$3="","",IF(COUNTIFS(BD!$A$3:$A$5001,Z$3,BD!$B$3:$B$5001,$A$379,BD!$V$3:$V$5001,"&lt;&gt;")=0,"",SUMIFS(BD!$V$3:$V$5001,BD!$A$3:$A$5001,Z$3,BD!$B$3:$B$5001,$A$379)))</f>
        <v/>
      </c>
      <c r="AA399" s="255" t="str">
        <f>IF(AA$3="","",IF(COUNTIFS(BD!$A$3:$A$5001,AA$3,BD!$B$3:$B$5001,$A$379,BD!$V$3:$V$5001,"&lt;&gt;")=0,"",SUMIFS(BD!$V$3:$V$5001,BD!$A$3:$A$5001,AA$3,BD!$B$3:$B$5001,$A$379)))</f>
        <v/>
      </c>
      <c r="AB399" s="255" t="str">
        <f>IF(AB$3="","",IF(COUNTIFS(BD!$A$3:$A$5001,AB$3,BD!$B$3:$B$5001,$A$379,BD!$V$3:$V$5001,"&lt;&gt;")=0,"",SUMIFS(BD!$V$3:$V$5001,BD!$A$3:$A$5001,AB$3,BD!$B$3:$B$5001,$A$379)))</f>
        <v/>
      </c>
      <c r="AC399" s="255" t="str">
        <f>IF(AC$3="","",IF(COUNTIFS(BD!$A$3:$A$5001,AC$3,BD!$B$3:$B$5001,$A$379,BD!$V$3:$V$5001,"&lt;&gt;")=0,"",SUMIFS(BD!$V$3:$V$5001,BD!$A$3:$A$5001,AC$3,BD!$B$3:$B$5001,$A$379)))</f>
        <v/>
      </c>
      <c r="AD399" s="255" t="str">
        <f>IF(AD$3="","",IF(COUNTIFS(BD!$A$3:$A$5001,AD$3,BD!$B$3:$B$5001,$A$379,BD!$V$3:$V$5001,"&lt;&gt;")=0,"",SUMIFS(BD!$V$3:$V$5001,BD!$A$3:$A$5001,AD$3,BD!$B$3:$B$5001,$A$379)))</f>
        <v/>
      </c>
      <c r="AE399" s="255" t="str">
        <f>IF(AE$3="","",IF(COUNTIFS(BD!$A$3:$A$5001,AE$3,BD!$B$3:$B$5001,$A$379,BD!$V$3:$V$5001,"&lt;&gt;")=0,"",SUMIFS(BD!$V$3:$V$5001,BD!$A$3:$A$5001,AE$3,BD!$B$3:$B$5001,$A$379)))</f>
        <v/>
      </c>
      <c r="AF399" s="255" t="str">
        <f>IF(AF$3="","",IF(COUNTIFS(BD!$A$3:$A$5001,AF$3,BD!$B$3:$B$5001,$A$379,BD!$V$3:$V$5001,"&lt;&gt;")=0,"",SUMIFS(BD!$V$3:$V$5001,BD!$A$3:$A$5001,AF$3,BD!$B$3:$B$5001,$A$379)))</f>
        <v/>
      </c>
      <c r="AG399" s="255" t="str">
        <f>IF(AG$3="","",IF(COUNTIFS(BD!$A$3:$A$5001,AG$3,BD!$B$3:$B$5001,$A$379,BD!$V$3:$V$5001,"&lt;&gt;")=0,"",SUMIFS(BD!$V$3:$V$5001,BD!$A$3:$A$5001,AG$3,BD!$B$3:$B$5001,$A$379)))</f>
        <v/>
      </c>
      <c r="AH399" s="255" t="str">
        <f>IF(AH$3="","",IF(COUNTIFS(BD!$A$3:$A$5001,AH$3,BD!$B$3:$B$5001,$A$379,BD!$V$3:$V$5001,"&lt;&gt;")=0,"",SUMIFS(BD!$V$3:$V$5001,BD!$A$3:$A$5001,AH$3,BD!$B$3:$B$5001,$A$379)))</f>
        <v/>
      </c>
      <c r="AI399" s="255" t="str">
        <f>IF(AI$3="","",IF(COUNTIFS(BD!$A$3:$A$5001,AI$3,BD!$B$3:$B$5001,$A$379,BD!$V$3:$V$5001,"&lt;&gt;")=0,"",SUMIFS(BD!$V$3:$V$5001,BD!$A$3:$A$5001,AI$3,BD!$B$3:$B$5001,$A$379)))</f>
        <v/>
      </c>
      <c r="AJ399" s="256" t="str">
        <f>IF(AJ$3="","",IF(COUNTIFS(BD!$A$3:$A$5001,AJ$3,BD!$B$3:$B$5001,$A$379,BD!$V$3:$V$5001,"&lt;&gt;")=0,"",SUMIFS(BD!$V$3:$V$5001,BD!$A$3:$A$5001,AJ$3,BD!$B$3:$B$5001,$A$379)))</f>
        <v/>
      </c>
      <c r="AK399" s="257" t="str">
        <f>IF(COUNT(F399:AJ399)=0,"",SUM(F399:AJ399))</f>
        <v/>
      </c>
    </row>
    <row r="400" ht="15.75" customHeight="1" hidden="1">
      <c r="A400" s="277"/>
      <c r="B400" s="274"/>
      <c r="C400" s="247" t="inlineStr">
        <is>
          <t xml:space="preserve">Folga</t>
        </is>
      </c>
      <c r="D400" s="248" t="str">
        <f>IFERROR(1/(1/INDEX(BD!$AF$44:$AZ$44,MATCH($A$379,BD!$AF$22:$AZ$22,0))),"")</f>
        <v/>
      </c>
      <c r="E400" s="249"/>
      <c r="F400" s="250" t="str">
        <f>IF(F$3="","",IF(COUNTIFS(BD!$A$3:$A$5001,F$3,BD!$B$3:$B$5001,$A$379,BD!$W$3:$W$5001,"&lt;&gt;")=0,"",SUMIFS(BD!$W$3:$W$5001,BD!$A$3:$A$5001,F$3,BD!$B$3:$B$5001,$A$379)))</f>
        <v/>
      </c>
      <c r="G400" s="251" t="str">
        <f>IF(G$3="","",IF(COUNTIFS(BD!$A$3:$A$5001,G$3,BD!$B$3:$B$5001,$A$379,BD!$W$3:$W$5001,"&lt;&gt;")=0,"",SUMIFS(BD!$W$3:$W$5001,BD!$A$3:$A$5001,G$3,BD!$B$3:$B$5001,$A$379)))</f>
        <v/>
      </c>
      <c r="H400" s="251" t="str">
        <f>IF(H$3="","",IF(COUNTIFS(BD!$A$3:$A$5001,H$3,BD!$B$3:$B$5001,$A$379,BD!$W$3:$W$5001,"&lt;&gt;")=0,"",SUMIFS(BD!$W$3:$W$5001,BD!$A$3:$A$5001,H$3,BD!$B$3:$B$5001,$A$379)))</f>
        <v/>
      </c>
      <c r="I400" s="251" t="str">
        <f>IF(I$3="","",IF(COUNTIFS(BD!$A$3:$A$5001,I$3,BD!$B$3:$B$5001,$A$379,BD!$W$3:$W$5001,"&lt;&gt;")=0,"",SUMIFS(BD!$W$3:$W$5001,BD!$A$3:$A$5001,I$3,BD!$B$3:$B$5001,$A$379)))</f>
        <v/>
      </c>
      <c r="J400" s="251" t="str">
        <f>IF(J$3="","",IF(COUNTIFS(BD!$A$3:$A$5001,J$3,BD!$B$3:$B$5001,$A$379,BD!$W$3:$W$5001,"&lt;&gt;")=0,"",SUMIFS(BD!$W$3:$W$5001,BD!$A$3:$A$5001,J$3,BD!$B$3:$B$5001,$A$379)))</f>
        <v/>
      </c>
      <c r="K400" s="251" t="str">
        <f>IF(K$3="","",IF(COUNTIFS(BD!$A$3:$A$5001,K$3,BD!$B$3:$B$5001,$A$379,BD!$W$3:$W$5001,"&lt;&gt;")=0,"",SUMIFS(BD!$W$3:$W$5001,BD!$A$3:$A$5001,K$3,BD!$B$3:$B$5001,$A$379)))</f>
        <v/>
      </c>
      <c r="L400" s="251" t="str">
        <f>IF(L$3="","",IF(COUNTIFS(BD!$A$3:$A$5001,L$3,BD!$B$3:$B$5001,$A$379,BD!$W$3:$W$5001,"&lt;&gt;")=0,"",SUMIFS(BD!$W$3:$W$5001,BD!$A$3:$A$5001,L$3,BD!$B$3:$B$5001,$A$379)))</f>
        <v/>
      </c>
      <c r="M400" s="251" t="str">
        <f>IF(M$3="","",IF(COUNTIFS(BD!$A$3:$A$5001,M$3,BD!$B$3:$B$5001,$A$379,BD!$W$3:$W$5001,"&lt;&gt;")=0,"",SUMIFS(BD!$W$3:$W$5001,BD!$A$3:$A$5001,M$3,BD!$B$3:$B$5001,$A$379)))</f>
        <v/>
      </c>
      <c r="N400" s="251" t="str">
        <f>IF(N$3="","",IF(COUNTIFS(BD!$A$3:$A$5001,N$3,BD!$B$3:$B$5001,$A$379,BD!$W$3:$W$5001,"&lt;&gt;")=0,"",SUMIFS(BD!$W$3:$W$5001,BD!$A$3:$A$5001,N$3,BD!$B$3:$B$5001,$A$379)))</f>
        <v/>
      </c>
      <c r="O400" s="251" t="str">
        <f>IF(O$3="","",IF(COUNTIFS(BD!$A$3:$A$5001,O$3,BD!$B$3:$B$5001,$A$379,BD!$W$3:$W$5001,"&lt;&gt;")=0,"",SUMIFS(BD!$W$3:$W$5001,BD!$A$3:$A$5001,O$3,BD!$B$3:$B$5001,$A$379)))</f>
        <v/>
      </c>
      <c r="P400" s="251" t="str">
        <f>IF(P$3="","",IF(COUNTIFS(BD!$A$3:$A$5001,P$3,BD!$B$3:$B$5001,$A$379,BD!$W$3:$W$5001,"&lt;&gt;")=0,"",SUMIFS(BD!$W$3:$W$5001,BD!$A$3:$A$5001,P$3,BD!$B$3:$B$5001,$A$379)))</f>
        <v/>
      </c>
      <c r="Q400" s="251" t="str">
        <f>IF(Q$3="","",IF(COUNTIFS(BD!$A$3:$A$5001,Q$3,BD!$B$3:$B$5001,$A$379,BD!$W$3:$W$5001,"&lt;&gt;")=0,"",SUMIFS(BD!$W$3:$W$5001,BD!$A$3:$A$5001,Q$3,BD!$B$3:$B$5001,$A$379)))</f>
        <v/>
      </c>
      <c r="R400" s="251" t="str">
        <f>IF(R$3="","",IF(COUNTIFS(BD!$A$3:$A$5001,R$3,BD!$B$3:$B$5001,$A$379,BD!$W$3:$W$5001,"&lt;&gt;")=0,"",SUMIFS(BD!$W$3:$W$5001,BD!$A$3:$A$5001,R$3,BD!$B$3:$B$5001,$A$379)))</f>
        <v/>
      </c>
      <c r="S400" s="251" t="str">
        <f>IF(S$3="","",IF(COUNTIFS(BD!$A$3:$A$5001,S$3,BD!$B$3:$B$5001,$A$379,BD!$W$3:$W$5001,"&lt;&gt;")=0,"",SUMIFS(BD!$W$3:$W$5001,BD!$A$3:$A$5001,S$3,BD!$B$3:$B$5001,$A$379)))</f>
        <v/>
      </c>
      <c r="T400" s="251" t="str">
        <f>IF(T$3="","",IF(COUNTIFS(BD!$A$3:$A$5001,T$3,BD!$B$3:$B$5001,$A$379,BD!$W$3:$W$5001,"&lt;&gt;")=0,"",SUMIFS(BD!$W$3:$W$5001,BD!$A$3:$A$5001,T$3,BD!$B$3:$B$5001,$A$379)))</f>
        <v/>
      </c>
      <c r="U400" s="251" t="str">
        <f>IF(U$3="","",IF(COUNTIFS(BD!$A$3:$A$5001,U$3,BD!$B$3:$B$5001,$A$379,BD!$W$3:$W$5001,"&lt;&gt;")=0,"",SUMIFS(BD!$W$3:$W$5001,BD!$A$3:$A$5001,U$3,BD!$B$3:$B$5001,$A$379)))</f>
        <v/>
      </c>
      <c r="V400" s="251" t="str">
        <f>IF(V$3="","",IF(COUNTIFS(BD!$A$3:$A$5001,V$3,BD!$B$3:$B$5001,$A$379,BD!$W$3:$W$5001,"&lt;&gt;")=0,"",SUMIFS(BD!$W$3:$W$5001,BD!$A$3:$A$5001,V$3,BD!$B$3:$B$5001,$A$379)))</f>
        <v/>
      </c>
      <c r="W400" s="251" t="str">
        <f>IF(W$3="","",IF(COUNTIFS(BD!$A$3:$A$5001,W$3,BD!$B$3:$B$5001,$A$379,BD!$W$3:$W$5001,"&lt;&gt;")=0,"",SUMIFS(BD!$W$3:$W$5001,BD!$A$3:$A$5001,W$3,BD!$B$3:$B$5001,$A$379)))</f>
        <v/>
      </c>
      <c r="X400" s="251" t="str">
        <f>IF(X$3="","",IF(COUNTIFS(BD!$A$3:$A$5001,X$3,BD!$B$3:$B$5001,$A$379,BD!$W$3:$W$5001,"&lt;&gt;")=0,"",SUMIFS(BD!$W$3:$W$5001,BD!$A$3:$A$5001,X$3,BD!$B$3:$B$5001,$A$379)))</f>
        <v/>
      </c>
      <c r="Y400" s="251" t="str">
        <f>IF(Y$3="","",IF(COUNTIFS(BD!$A$3:$A$5001,Y$3,BD!$B$3:$B$5001,$A$379,BD!$W$3:$W$5001,"&lt;&gt;")=0,"",SUMIFS(BD!$W$3:$W$5001,BD!$A$3:$A$5001,Y$3,BD!$B$3:$B$5001,$A$379)))</f>
        <v/>
      </c>
      <c r="Z400" s="251" t="str">
        <f>IF(Z$3="","",IF(COUNTIFS(BD!$A$3:$A$5001,Z$3,BD!$B$3:$B$5001,$A$379,BD!$W$3:$W$5001,"&lt;&gt;")=0,"",SUMIFS(BD!$W$3:$W$5001,BD!$A$3:$A$5001,Z$3,BD!$B$3:$B$5001,$A$379)))</f>
        <v/>
      </c>
      <c r="AA400" s="251" t="str">
        <f>IF(AA$3="","",IF(COUNTIFS(BD!$A$3:$A$5001,AA$3,BD!$B$3:$B$5001,$A$379,BD!$W$3:$W$5001,"&lt;&gt;")=0,"",SUMIFS(BD!$W$3:$W$5001,BD!$A$3:$A$5001,AA$3,BD!$B$3:$B$5001,$A$379)))</f>
        <v/>
      </c>
      <c r="AB400" s="251" t="str">
        <f>IF(AB$3="","",IF(COUNTIFS(BD!$A$3:$A$5001,AB$3,BD!$B$3:$B$5001,$A$379,BD!$W$3:$W$5001,"&lt;&gt;")=0,"",SUMIFS(BD!$W$3:$W$5001,BD!$A$3:$A$5001,AB$3,BD!$B$3:$B$5001,$A$379)))</f>
        <v/>
      </c>
      <c r="AC400" s="251" t="str">
        <f>IF(AC$3="","",IF(COUNTIFS(BD!$A$3:$A$5001,AC$3,BD!$B$3:$B$5001,$A$379,BD!$W$3:$W$5001,"&lt;&gt;")=0,"",SUMIFS(BD!$W$3:$W$5001,BD!$A$3:$A$5001,AC$3,BD!$B$3:$B$5001,$A$379)))</f>
        <v/>
      </c>
      <c r="AD400" s="251" t="str">
        <f>IF(AD$3="","",IF(COUNTIFS(BD!$A$3:$A$5001,AD$3,BD!$B$3:$B$5001,$A$379,BD!$W$3:$W$5001,"&lt;&gt;")=0,"",SUMIFS(BD!$W$3:$W$5001,BD!$A$3:$A$5001,AD$3,BD!$B$3:$B$5001,$A$379)))</f>
        <v/>
      </c>
      <c r="AE400" s="251" t="str">
        <f>IF(AE$3="","",IF(COUNTIFS(BD!$A$3:$A$5001,AE$3,BD!$B$3:$B$5001,$A$379,BD!$W$3:$W$5001,"&lt;&gt;")=0,"",SUMIFS(BD!$W$3:$W$5001,BD!$A$3:$A$5001,AE$3,BD!$B$3:$B$5001,$A$379)))</f>
        <v/>
      </c>
      <c r="AF400" s="251" t="str">
        <f>IF(AF$3="","",IF(COUNTIFS(BD!$A$3:$A$5001,AF$3,BD!$B$3:$B$5001,$A$379,BD!$W$3:$W$5001,"&lt;&gt;")=0,"",SUMIFS(BD!$W$3:$W$5001,BD!$A$3:$A$5001,AF$3,BD!$B$3:$B$5001,$A$379)))</f>
        <v/>
      </c>
      <c r="AG400" s="251" t="str">
        <f>IF(AG$3="","",IF(COUNTIFS(BD!$A$3:$A$5001,AG$3,BD!$B$3:$B$5001,$A$379,BD!$W$3:$W$5001,"&lt;&gt;")=0,"",SUMIFS(BD!$W$3:$W$5001,BD!$A$3:$A$5001,AG$3,BD!$B$3:$B$5001,$A$379)))</f>
        <v/>
      </c>
      <c r="AH400" s="251" t="str">
        <f>IF(AH$3="","",IF(COUNTIFS(BD!$A$3:$A$5001,AH$3,BD!$B$3:$B$5001,$A$379,BD!$W$3:$W$5001,"&lt;&gt;")=0,"",SUMIFS(BD!$W$3:$W$5001,BD!$A$3:$A$5001,AH$3,BD!$B$3:$B$5001,$A$379)))</f>
        <v/>
      </c>
      <c r="AI400" s="251" t="str">
        <f>IF(AI$3="","",IF(COUNTIFS(BD!$A$3:$A$5001,AI$3,BD!$B$3:$B$5001,$A$379,BD!$W$3:$W$5001,"&lt;&gt;")=0,"",SUMIFS(BD!$W$3:$W$5001,BD!$A$3:$A$5001,AI$3,BD!$B$3:$B$5001,$A$379)))</f>
        <v/>
      </c>
      <c r="AJ400" s="252" t="str">
        <f>IF(AJ$3="","",IF(COUNTIFS(BD!$A$3:$A$5001,AJ$3,BD!$B$3:$B$5001,$A$379,BD!$W$3:$W$5001,"&lt;&gt;")=0,"",SUMIFS(BD!$W$3:$W$5001,BD!$A$3:$A$5001,AJ$3,BD!$B$3:$B$5001,$A$379)))</f>
        <v/>
      </c>
      <c r="AK400" s="253" t="str">
        <f>IF(COUNT(F400:AJ400)=0,"",SUM(F400:AJ400))</f>
        <v/>
      </c>
    </row>
    <row r="401" ht="15.75" customHeight="1" hidden="1">
      <c r="A401" s="277"/>
      <c r="B401" s="274"/>
      <c r="C401" s="247" t="inlineStr">
        <is>
          <t xml:space="preserve">Férias</t>
        </is>
      </c>
      <c r="D401" s="248" t="str">
        <f>IFERROR(1/(1/INDEX(BD!$AF$45:$AZ$45,MATCH($A$379,BD!$AF$22:$AZ$22,0))),"")</f>
        <v/>
      </c>
      <c r="E401" s="249"/>
      <c r="F401" s="250" t="str">
        <f>IF(F$3="","",IF(COUNTIFS(BD!$A$3:$A$5001,F$3,BD!$B$3:$B$5001,$A$379,BD!$X$3:$X$5001,"&lt;&gt;")=0,"",SUMIFS(BD!$X$3:$X$5001,BD!$A$3:$A$5001,F$3,BD!$B$3:$B$5001,$A$379)))</f>
        <v/>
      </c>
      <c r="G401" s="251" t="str">
        <f>IF(G$3="","",IF(COUNTIFS(BD!$A$3:$A$5001,G$3,BD!$B$3:$B$5001,$A$379,BD!$X$3:$X$5001,"&lt;&gt;")=0,"",SUMIFS(BD!$X$3:$X$5001,BD!$A$3:$A$5001,G$3,BD!$B$3:$B$5001,$A$379)))</f>
        <v/>
      </c>
      <c r="H401" s="251" t="str">
        <f>IF(H$3="","",IF(COUNTIFS(BD!$A$3:$A$5001,H$3,BD!$B$3:$B$5001,$A$379,BD!$X$3:$X$5001,"&lt;&gt;")=0,"",SUMIFS(BD!$X$3:$X$5001,BD!$A$3:$A$5001,H$3,BD!$B$3:$B$5001,$A$379)))</f>
        <v/>
      </c>
      <c r="I401" s="251" t="str">
        <f>IF(I$3="","",IF(COUNTIFS(BD!$A$3:$A$5001,I$3,BD!$B$3:$B$5001,$A$379,BD!$X$3:$X$5001,"&lt;&gt;")=0,"",SUMIFS(BD!$X$3:$X$5001,BD!$A$3:$A$5001,I$3,BD!$B$3:$B$5001,$A$379)))</f>
        <v/>
      </c>
      <c r="J401" s="251" t="str">
        <f>IF(J$3="","",IF(COUNTIFS(BD!$A$3:$A$5001,J$3,BD!$B$3:$B$5001,$A$379,BD!$X$3:$X$5001,"&lt;&gt;")=0,"",SUMIFS(BD!$X$3:$X$5001,BD!$A$3:$A$5001,J$3,BD!$B$3:$B$5001,$A$379)))</f>
        <v/>
      </c>
      <c r="K401" s="251" t="str">
        <f>IF(K$3="","",IF(COUNTIFS(BD!$A$3:$A$5001,K$3,BD!$B$3:$B$5001,$A$379,BD!$X$3:$X$5001,"&lt;&gt;")=0,"",SUMIFS(BD!$X$3:$X$5001,BD!$A$3:$A$5001,K$3,BD!$B$3:$B$5001,$A$379)))</f>
        <v/>
      </c>
      <c r="L401" s="251" t="str">
        <f>IF(L$3="","",IF(COUNTIFS(BD!$A$3:$A$5001,L$3,BD!$B$3:$B$5001,$A$379,BD!$X$3:$X$5001,"&lt;&gt;")=0,"",SUMIFS(BD!$X$3:$X$5001,BD!$A$3:$A$5001,L$3,BD!$B$3:$B$5001,$A$379)))</f>
        <v/>
      </c>
      <c r="M401" s="251" t="str">
        <f>IF(M$3="","",IF(COUNTIFS(BD!$A$3:$A$5001,M$3,BD!$B$3:$B$5001,$A$379,BD!$X$3:$X$5001,"&lt;&gt;")=0,"",SUMIFS(BD!$X$3:$X$5001,BD!$A$3:$A$5001,M$3,BD!$B$3:$B$5001,$A$379)))</f>
        <v/>
      </c>
      <c r="N401" s="251" t="str">
        <f>IF(N$3="","",IF(COUNTIFS(BD!$A$3:$A$5001,N$3,BD!$B$3:$B$5001,$A$379,BD!$X$3:$X$5001,"&lt;&gt;")=0,"",SUMIFS(BD!$X$3:$X$5001,BD!$A$3:$A$5001,N$3,BD!$B$3:$B$5001,$A$379)))</f>
        <v/>
      </c>
      <c r="O401" s="251" t="str">
        <f>IF(O$3="","",IF(COUNTIFS(BD!$A$3:$A$5001,O$3,BD!$B$3:$B$5001,$A$379,BD!$X$3:$X$5001,"&lt;&gt;")=0,"",SUMIFS(BD!$X$3:$X$5001,BD!$A$3:$A$5001,O$3,BD!$B$3:$B$5001,$A$379)))</f>
        <v/>
      </c>
      <c r="P401" s="251" t="str">
        <f>IF(P$3="","",IF(COUNTIFS(BD!$A$3:$A$5001,P$3,BD!$B$3:$B$5001,$A$379,BD!$X$3:$X$5001,"&lt;&gt;")=0,"",SUMIFS(BD!$X$3:$X$5001,BD!$A$3:$A$5001,P$3,BD!$B$3:$B$5001,$A$379)))</f>
        <v/>
      </c>
      <c r="Q401" s="251" t="str">
        <f>IF(Q$3="","",IF(COUNTIFS(BD!$A$3:$A$5001,Q$3,BD!$B$3:$B$5001,$A$379,BD!$X$3:$X$5001,"&lt;&gt;")=0,"",SUMIFS(BD!$X$3:$X$5001,BD!$A$3:$A$5001,Q$3,BD!$B$3:$B$5001,$A$379)))</f>
        <v/>
      </c>
      <c r="R401" s="251" t="str">
        <f>IF(R$3="","",IF(COUNTIFS(BD!$A$3:$A$5001,R$3,BD!$B$3:$B$5001,$A$379,BD!$X$3:$X$5001,"&lt;&gt;")=0,"",SUMIFS(BD!$X$3:$X$5001,BD!$A$3:$A$5001,R$3,BD!$B$3:$B$5001,$A$379)))</f>
        <v/>
      </c>
      <c r="S401" s="251" t="str">
        <f>IF(S$3="","",IF(COUNTIFS(BD!$A$3:$A$5001,S$3,BD!$B$3:$B$5001,$A$379,BD!$X$3:$X$5001,"&lt;&gt;")=0,"",SUMIFS(BD!$X$3:$X$5001,BD!$A$3:$A$5001,S$3,BD!$B$3:$B$5001,$A$379)))</f>
        <v/>
      </c>
      <c r="T401" s="251" t="str">
        <f>IF(T$3="","",IF(COUNTIFS(BD!$A$3:$A$5001,T$3,BD!$B$3:$B$5001,$A$379,BD!$X$3:$X$5001,"&lt;&gt;")=0,"",SUMIFS(BD!$X$3:$X$5001,BD!$A$3:$A$5001,T$3,BD!$B$3:$B$5001,$A$379)))</f>
        <v/>
      </c>
      <c r="U401" s="251" t="str">
        <f>IF(U$3="","",IF(COUNTIFS(BD!$A$3:$A$5001,U$3,BD!$B$3:$B$5001,$A$379,BD!$X$3:$X$5001,"&lt;&gt;")=0,"",SUMIFS(BD!$X$3:$X$5001,BD!$A$3:$A$5001,U$3,BD!$B$3:$B$5001,$A$379)))</f>
        <v/>
      </c>
      <c r="V401" s="251" t="str">
        <f>IF(V$3="","",IF(COUNTIFS(BD!$A$3:$A$5001,V$3,BD!$B$3:$B$5001,$A$379,BD!$X$3:$X$5001,"&lt;&gt;")=0,"",SUMIFS(BD!$X$3:$X$5001,BD!$A$3:$A$5001,V$3,BD!$B$3:$B$5001,$A$379)))</f>
        <v/>
      </c>
      <c r="W401" s="251" t="str">
        <f>IF(W$3="","",IF(COUNTIFS(BD!$A$3:$A$5001,W$3,BD!$B$3:$B$5001,$A$379,BD!$X$3:$X$5001,"&lt;&gt;")=0,"",SUMIFS(BD!$X$3:$X$5001,BD!$A$3:$A$5001,W$3,BD!$B$3:$B$5001,$A$379)))</f>
        <v/>
      </c>
      <c r="X401" s="251" t="str">
        <f>IF(X$3="","",IF(COUNTIFS(BD!$A$3:$A$5001,X$3,BD!$B$3:$B$5001,$A$379,BD!$X$3:$X$5001,"&lt;&gt;")=0,"",SUMIFS(BD!$X$3:$X$5001,BD!$A$3:$A$5001,X$3,BD!$B$3:$B$5001,$A$379)))</f>
        <v/>
      </c>
      <c r="Y401" s="251" t="str">
        <f>IF(Y$3="","",IF(COUNTIFS(BD!$A$3:$A$5001,Y$3,BD!$B$3:$B$5001,$A$379,BD!$X$3:$X$5001,"&lt;&gt;")=0,"",SUMIFS(BD!$X$3:$X$5001,BD!$A$3:$A$5001,Y$3,BD!$B$3:$B$5001,$A$379)))</f>
        <v/>
      </c>
      <c r="Z401" s="251" t="str">
        <f>IF(Z$3="","",IF(COUNTIFS(BD!$A$3:$A$5001,Z$3,BD!$B$3:$B$5001,$A$379,BD!$X$3:$X$5001,"&lt;&gt;")=0,"",SUMIFS(BD!$X$3:$X$5001,BD!$A$3:$A$5001,Z$3,BD!$B$3:$B$5001,$A$379)))</f>
        <v/>
      </c>
      <c r="AA401" s="251" t="str">
        <f>IF(AA$3="","",IF(COUNTIFS(BD!$A$3:$A$5001,AA$3,BD!$B$3:$B$5001,$A$379,BD!$X$3:$X$5001,"&lt;&gt;")=0,"",SUMIFS(BD!$X$3:$X$5001,BD!$A$3:$A$5001,AA$3,BD!$B$3:$B$5001,$A$379)))</f>
        <v/>
      </c>
      <c r="AB401" s="251" t="str">
        <f>IF(AB$3="","",IF(COUNTIFS(BD!$A$3:$A$5001,AB$3,BD!$B$3:$B$5001,$A$379,BD!$X$3:$X$5001,"&lt;&gt;")=0,"",SUMIFS(BD!$X$3:$X$5001,BD!$A$3:$A$5001,AB$3,BD!$B$3:$B$5001,$A$379)))</f>
        <v/>
      </c>
      <c r="AC401" s="251" t="str">
        <f>IF(AC$3="","",IF(COUNTIFS(BD!$A$3:$A$5001,AC$3,BD!$B$3:$B$5001,$A$379,BD!$X$3:$X$5001,"&lt;&gt;")=0,"",SUMIFS(BD!$X$3:$X$5001,BD!$A$3:$A$5001,AC$3,BD!$B$3:$B$5001,$A$379)))</f>
        <v/>
      </c>
      <c r="AD401" s="251" t="str">
        <f>IF(AD$3="","",IF(COUNTIFS(BD!$A$3:$A$5001,AD$3,BD!$B$3:$B$5001,$A$379,BD!$X$3:$X$5001,"&lt;&gt;")=0,"",SUMIFS(BD!$X$3:$X$5001,BD!$A$3:$A$5001,AD$3,BD!$B$3:$B$5001,$A$379)))</f>
        <v/>
      </c>
      <c r="AE401" s="251" t="str">
        <f>IF(AE$3="","",IF(COUNTIFS(BD!$A$3:$A$5001,AE$3,BD!$B$3:$B$5001,$A$379,BD!$X$3:$X$5001,"&lt;&gt;")=0,"",SUMIFS(BD!$X$3:$X$5001,BD!$A$3:$A$5001,AE$3,BD!$B$3:$B$5001,$A$379)))</f>
        <v/>
      </c>
      <c r="AF401" s="251" t="str">
        <f>IF(AF$3="","",IF(COUNTIFS(BD!$A$3:$A$5001,AF$3,BD!$B$3:$B$5001,$A$379,BD!$X$3:$X$5001,"&lt;&gt;")=0,"",SUMIFS(BD!$X$3:$X$5001,BD!$A$3:$A$5001,AF$3,BD!$B$3:$B$5001,$A$379)))</f>
        <v/>
      </c>
      <c r="AG401" s="251" t="str">
        <f>IF(AG$3="","",IF(COUNTIFS(BD!$A$3:$A$5001,AG$3,BD!$B$3:$B$5001,$A$379,BD!$X$3:$X$5001,"&lt;&gt;")=0,"",SUMIFS(BD!$X$3:$X$5001,BD!$A$3:$A$5001,AG$3,BD!$B$3:$B$5001,$A$379)))</f>
        <v/>
      </c>
      <c r="AH401" s="251" t="str">
        <f>IF(AH$3="","",IF(COUNTIFS(BD!$A$3:$A$5001,AH$3,BD!$B$3:$B$5001,$A$379,BD!$X$3:$X$5001,"&lt;&gt;")=0,"",SUMIFS(BD!$X$3:$X$5001,BD!$A$3:$A$5001,AH$3,BD!$B$3:$B$5001,$A$379)))</f>
        <v/>
      </c>
      <c r="AI401" s="251" t="str">
        <f>IF(AI$3="","",IF(COUNTIFS(BD!$A$3:$A$5001,AI$3,BD!$B$3:$B$5001,$A$379,BD!$X$3:$X$5001,"&lt;&gt;")=0,"",SUMIFS(BD!$X$3:$X$5001,BD!$A$3:$A$5001,AI$3,BD!$B$3:$B$5001,$A$379)))</f>
        <v/>
      </c>
      <c r="AJ401" s="252" t="str">
        <f>IF(AJ$3="","",IF(COUNTIFS(BD!$A$3:$A$5001,AJ$3,BD!$B$3:$B$5001,$A$379,BD!$X$3:$X$5001,"&lt;&gt;")=0,"",SUMIFS(BD!$X$3:$X$5001,BD!$A$3:$A$5001,AJ$3,BD!$B$3:$B$5001,$A$379)))</f>
        <v/>
      </c>
      <c r="AK401" s="253" t="str">
        <f>IF(COUNT(F401:AJ401)=0,"",SUM(F401:AJ401))</f>
        <v/>
      </c>
    </row>
    <row r="402" ht="15.75" customHeight="1" hidden="1">
      <c r="A402" s="277"/>
      <c r="B402" s="274"/>
      <c r="C402" s="247" t="inlineStr">
        <is>
          <t xml:space="preserve">Desligamento</t>
        </is>
      </c>
      <c r="D402" s="248" t="str">
        <f>IFERROR(1/(1/INDEX(BD!$AF$46:$AZ$46,MATCH($A$379,BD!$AF$22:$AZ$22,0))),"")</f>
        <v/>
      </c>
      <c r="E402" s="249"/>
      <c r="F402" s="250" t="str">
        <f>IF(F$3="","",IF(COUNTIFS(BD!$A$3:$A$5001,F$3,BD!$B$3:$B$5001,$A$379,BD!$Y$3:$Y$5001,"&lt;&gt;")=0,"",SUMIFS(BD!$Y$3:$Y$5001,BD!$A$3:$A$5001,F$3,BD!$B$3:$B$5001,$A$379)))</f>
        <v/>
      </c>
      <c r="G402" s="251" t="str">
        <f>IF(G$3="","",IF(COUNTIFS(BD!$A$3:$A$5001,G$3,BD!$B$3:$B$5001,$A$379,BD!$Y$3:$Y$5001,"&lt;&gt;")=0,"",SUMIFS(BD!$Y$3:$Y$5001,BD!$A$3:$A$5001,G$3,BD!$B$3:$B$5001,$A$379)))</f>
        <v/>
      </c>
      <c r="H402" s="251" t="str">
        <f>IF(H$3="","",IF(COUNTIFS(BD!$A$3:$A$5001,H$3,BD!$B$3:$B$5001,$A$379,BD!$Y$3:$Y$5001,"&lt;&gt;")=0,"",SUMIFS(BD!$Y$3:$Y$5001,BD!$A$3:$A$5001,H$3,BD!$B$3:$B$5001,$A$379)))</f>
        <v/>
      </c>
      <c r="I402" s="251" t="str">
        <f>IF(I$3="","",IF(COUNTIFS(BD!$A$3:$A$5001,I$3,BD!$B$3:$B$5001,$A$379,BD!$Y$3:$Y$5001,"&lt;&gt;")=0,"",SUMIFS(BD!$Y$3:$Y$5001,BD!$A$3:$A$5001,I$3,BD!$B$3:$B$5001,$A$379)))</f>
        <v/>
      </c>
      <c r="J402" s="251" t="str">
        <f>IF(J$3="","",IF(COUNTIFS(BD!$A$3:$A$5001,J$3,BD!$B$3:$B$5001,$A$379,BD!$Y$3:$Y$5001,"&lt;&gt;")=0,"",SUMIFS(BD!$Y$3:$Y$5001,BD!$A$3:$A$5001,J$3,BD!$B$3:$B$5001,$A$379)))</f>
        <v/>
      </c>
      <c r="K402" s="251" t="str">
        <f>IF(K$3="","",IF(COUNTIFS(BD!$A$3:$A$5001,K$3,BD!$B$3:$B$5001,$A$379,BD!$Y$3:$Y$5001,"&lt;&gt;")=0,"",SUMIFS(BD!$Y$3:$Y$5001,BD!$A$3:$A$5001,K$3,BD!$B$3:$B$5001,$A$379)))</f>
        <v/>
      </c>
      <c r="L402" s="251" t="str">
        <f>IF(L$3="","",IF(COUNTIFS(BD!$A$3:$A$5001,L$3,BD!$B$3:$B$5001,$A$379,BD!$Y$3:$Y$5001,"&lt;&gt;")=0,"",SUMIFS(BD!$Y$3:$Y$5001,BD!$A$3:$A$5001,L$3,BD!$B$3:$B$5001,$A$379)))</f>
        <v/>
      </c>
      <c r="M402" s="251" t="str">
        <f>IF(M$3="","",IF(COUNTIFS(BD!$A$3:$A$5001,M$3,BD!$B$3:$B$5001,$A$379,BD!$Y$3:$Y$5001,"&lt;&gt;")=0,"",SUMIFS(BD!$Y$3:$Y$5001,BD!$A$3:$A$5001,M$3,BD!$B$3:$B$5001,$A$379)))</f>
        <v/>
      </c>
      <c r="N402" s="251" t="str">
        <f>IF(N$3="","",IF(COUNTIFS(BD!$A$3:$A$5001,N$3,BD!$B$3:$B$5001,$A$379,BD!$Y$3:$Y$5001,"&lt;&gt;")=0,"",SUMIFS(BD!$Y$3:$Y$5001,BD!$A$3:$A$5001,N$3,BD!$B$3:$B$5001,$A$379)))</f>
        <v/>
      </c>
      <c r="O402" s="251" t="str">
        <f>IF(O$3="","",IF(COUNTIFS(BD!$A$3:$A$5001,O$3,BD!$B$3:$B$5001,$A$379,BD!$Y$3:$Y$5001,"&lt;&gt;")=0,"",SUMIFS(BD!$Y$3:$Y$5001,BD!$A$3:$A$5001,O$3,BD!$B$3:$B$5001,$A$379)))</f>
        <v/>
      </c>
      <c r="P402" s="251" t="str">
        <f>IF(P$3="","",IF(COUNTIFS(BD!$A$3:$A$5001,P$3,BD!$B$3:$B$5001,$A$379,BD!$Y$3:$Y$5001,"&lt;&gt;")=0,"",SUMIFS(BD!$Y$3:$Y$5001,BD!$A$3:$A$5001,P$3,BD!$B$3:$B$5001,$A$379)))</f>
        <v/>
      </c>
      <c r="Q402" s="251" t="str">
        <f>IF(Q$3="","",IF(COUNTIFS(BD!$A$3:$A$5001,Q$3,BD!$B$3:$B$5001,$A$379,BD!$Y$3:$Y$5001,"&lt;&gt;")=0,"",SUMIFS(BD!$Y$3:$Y$5001,BD!$A$3:$A$5001,Q$3,BD!$B$3:$B$5001,$A$379)))</f>
        <v/>
      </c>
      <c r="R402" s="251" t="str">
        <f>IF(R$3="","",IF(COUNTIFS(BD!$A$3:$A$5001,R$3,BD!$B$3:$B$5001,$A$379,BD!$Y$3:$Y$5001,"&lt;&gt;")=0,"",SUMIFS(BD!$Y$3:$Y$5001,BD!$A$3:$A$5001,R$3,BD!$B$3:$B$5001,$A$379)))</f>
        <v/>
      </c>
      <c r="S402" s="251" t="str">
        <f>IF(S$3="","",IF(COUNTIFS(BD!$A$3:$A$5001,S$3,BD!$B$3:$B$5001,$A$379,BD!$Y$3:$Y$5001,"&lt;&gt;")=0,"",SUMIFS(BD!$Y$3:$Y$5001,BD!$A$3:$A$5001,S$3,BD!$B$3:$B$5001,$A$379)))</f>
        <v/>
      </c>
      <c r="T402" s="251" t="str">
        <f>IF(T$3="","",IF(COUNTIFS(BD!$A$3:$A$5001,T$3,BD!$B$3:$B$5001,$A$379,BD!$Y$3:$Y$5001,"&lt;&gt;")=0,"",SUMIFS(BD!$Y$3:$Y$5001,BD!$A$3:$A$5001,T$3,BD!$B$3:$B$5001,$A$379)))</f>
        <v/>
      </c>
      <c r="U402" s="251" t="str">
        <f>IF(U$3="","",IF(COUNTIFS(BD!$A$3:$A$5001,U$3,BD!$B$3:$B$5001,$A$379,BD!$Y$3:$Y$5001,"&lt;&gt;")=0,"",SUMIFS(BD!$Y$3:$Y$5001,BD!$A$3:$A$5001,U$3,BD!$B$3:$B$5001,$A$379)))</f>
        <v/>
      </c>
      <c r="V402" s="251" t="str">
        <f>IF(V$3="","",IF(COUNTIFS(BD!$A$3:$A$5001,V$3,BD!$B$3:$B$5001,$A$379,BD!$Y$3:$Y$5001,"&lt;&gt;")=0,"",SUMIFS(BD!$Y$3:$Y$5001,BD!$A$3:$A$5001,V$3,BD!$B$3:$B$5001,$A$379)))</f>
        <v/>
      </c>
      <c r="W402" s="251" t="str">
        <f>IF(W$3="","",IF(COUNTIFS(BD!$A$3:$A$5001,W$3,BD!$B$3:$B$5001,$A$379,BD!$Y$3:$Y$5001,"&lt;&gt;")=0,"",SUMIFS(BD!$Y$3:$Y$5001,BD!$A$3:$A$5001,W$3,BD!$B$3:$B$5001,$A$379)))</f>
        <v/>
      </c>
      <c r="X402" s="251" t="str">
        <f>IF(X$3="","",IF(COUNTIFS(BD!$A$3:$A$5001,X$3,BD!$B$3:$B$5001,$A$379,BD!$Y$3:$Y$5001,"&lt;&gt;")=0,"",SUMIFS(BD!$Y$3:$Y$5001,BD!$A$3:$A$5001,X$3,BD!$B$3:$B$5001,$A$379)))</f>
        <v/>
      </c>
      <c r="Y402" s="251" t="str">
        <f>IF(Y$3="","",IF(COUNTIFS(BD!$A$3:$A$5001,Y$3,BD!$B$3:$B$5001,$A$379,BD!$Y$3:$Y$5001,"&lt;&gt;")=0,"",SUMIFS(BD!$Y$3:$Y$5001,BD!$A$3:$A$5001,Y$3,BD!$B$3:$B$5001,$A$379)))</f>
        <v/>
      </c>
      <c r="Z402" s="251" t="str">
        <f>IF(Z$3="","",IF(COUNTIFS(BD!$A$3:$A$5001,Z$3,BD!$B$3:$B$5001,$A$379,BD!$Y$3:$Y$5001,"&lt;&gt;")=0,"",SUMIFS(BD!$Y$3:$Y$5001,BD!$A$3:$A$5001,Z$3,BD!$B$3:$B$5001,$A$379)))</f>
        <v/>
      </c>
      <c r="AA402" s="251" t="str">
        <f>IF(AA$3="","",IF(COUNTIFS(BD!$A$3:$A$5001,AA$3,BD!$B$3:$B$5001,$A$379,BD!$Y$3:$Y$5001,"&lt;&gt;")=0,"",SUMIFS(BD!$Y$3:$Y$5001,BD!$A$3:$A$5001,AA$3,BD!$B$3:$B$5001,$A$379)))</f>
        <v/>
      </c>
      <c r="AB402" s="251" t="str">
        <f>IF(AB$3="","",IF(COUNTIFS(BD!$A$3:$A$5001,AB$3,BD!$B$3:$B$5001,$A$379,BD!$Y$3:$Y$5001,"&lt;&gt;")=0,"",SUMIFS(BD!$Y$3:$Y$5001,BD!$A$3:$A$5001,AB$3,BD!$B$3:$B$5001,$A$379)))</f>
        <v/>
      </c>
      <c r="AC402" s="251" t="str">
        <f>IF(AC$3="","",IF(COUNTIFS(BD!$A$3:$A$5001,AC$3,BD!$B$3:$B$5001,$A$379,BD!$Y$3:$Y$5001,"&lt;&gt;")=0,"",SUMIFS(BD!$Y$3:$Y$5001,BD!$A$3:$A$5001,AC$3,BD!$B$3:$B$5001,$A$379)))</f>
        <v/>
      </c>
      <c r="AD402" s="251" t="str">
        <f>IF(AD$3="","",IF(COUNTIFS(BD!$A$3:$A$5001,AD$3,BD!$B$3:$B$5001,$A$379,BD!$Y$3:$Y$5001,"&lt;&gt;")=0,"",SUMIFS(BD!$Y$3:$Y$5001,BD!$A$3:$A$5001,AD$3,BD!$B$3:$B$5001,$A$379)))</f>
        <v/>
      </c>
      <c r="AE402" s="251" t="str">
        <f>IF(AE$3="","",IF(COUNTIFS(BD!$A$3:$A$5001,AE$3,BD!$B$3:$B$5001,$A$379,BD!$Y$3:$Y$5001,"&lt;&gt;")=0,"",SUMIFS(BD!$Y$3:$Y$5001,BD!$A$3:$A$5001,AE$3,BD!$B$3:$B$5001,$A$379)))</f>
        <v/>
      </c>
      <c r="AF402" s="251" t="str">
        <f>IF(AF$3="","",IF(COUNTIFS(BD!$A$3:$A$5001,AF$3,BD!$B$3:$B$5001,$A$379,BD!$Y$3:$Y$5001,"&lt;&gt;")=0,"",SUMIFS(BD!$Y$3:$Y$5001,BD!$A$3:$A$5001,AF$3,BD!$B$3:$B$5001,$A$379)))</f>
        <v/>
      </c>
      <c r="AG402" s="251" t="str">
        <f>IF(AG$3="","",IF(COUNTIFS(BD!$A$3:$A$5001,AG$3,BD!$B$3:$B$5001,$A$379,BD!$Y$3:$Y$5001,"&lt;&gt;")=0,"",SUMIFS(BD!$Y$3:$Y$5001,BD!$A$3:$A$5001,AG$3,BD!$B$3:$B$5001,$A$379)))</f>
        <v/>
      </c>
      <c r="AH402" s="251" t="str">
        <f>IF(AH$3="","",IF(COUNTIFS(BD!$A$3:$A$5001,AH$3,BD!$B$3:$B$5001,$A$379,BD!$Y$3:$Y$5001,"&lt;&gt;")=0,"",SUMIFS(BD!$Y$3:$Y$5001,BD!$A$3:$A$5001,AH$3,BD!$B$3:$B$5001,$A$379)))</f>
        <v/>
      </c>
      <c r="AI402" s="251" t="str">
        <f>IF(AI$3="","",IF(COUNTIFS(BD!$A$3:$A$5001,AI$3,BD!$B$3:$B$5001,$A$379,BD!$Y$3:$Y$5001,"&lt;&gt;")=0,"",SUMIFS(BD!$Y$3:$Y$5001,BD!$A$3:$A$5001,AI$3,BD!$B$3:$B$5001,$A$379)))</f>
        <v/>
      </c>
      <c r="AJ402" s="252" t="str">
        <f>IF(AJ$3="","",IF(COUNTIFS(BD!$A$3:$A$5001,AJ$3,BD!$B$3:$B$5001,$A$379,BD!$Y$3:$Y$5001,"&lt;&gt;")=0,"",SUMIFS(BD!$Y$3:$Y$5001,BD!$A$3:$A$5001,AJ$3,BD!$B$3:$B$5001,$A$379)))</f>
        <v/>
      </c>
      <c r="AK402" s="253" t="str">
        <f>IF(COUNT(F402:AJ402)=0,"",SUM(F402:AJ402))</f>
        <v/>
      </c>
    </row>
    <row r="403" ht="15.75" customHeight="1" hidden="1">
      <c r="A403" s="277"/>
      <c r="B403" s="274"/>
      <c r="C403" s="247" t="inlineStr">
        <is>
          <t xml:space="preserve">Desvios Comportamentais</t>
        </is>
      </c>
      <c r="D403" s="248" t="str">
        <f>IFERROR(1/(1/INDEX(BD!$AF$47:$AZ$47,MATCH($A$379,BD!$AF$22:$AZ$22,0))),"")</f>
        <v/>
      </c>
      <c r="E403" s="249"/>
      <c r="F403" s="250" t="str">
        <f>IF(F$3="","",IF(COUNTIFS(BD!$A$3:$A$5001,F$3,BD!$B$3:$B$5001,$A$379,BD!$Z$3:$Z$5001,"&lt;&gt;")=0,"",SUMIFS(BD!$Z$3:$Z$5001,BD!$A$3:$A$5001,F$3,BD!$B$3:$B$5001,$A$379)))</f>
        <v/>
      </c>
      <c r="G403" s="251" t="str">
        <f>IF(G$3="","",IF(COUNTIFS(BD!$A$3:$A$5001,G$3,BD!$B$3:$B$5001,$A$379,BD!$Z$3:$Z$5001,"&lt;&gt;")=0,"",SUMIFS(BD!$Z$3:$Z$5001,BD!$A$3:$A$5001,G$3,BD!$B$3:$B$5001,$A$379)))</f>
        <v/>
      </c>
      <c r="H403" s="251" t="str">
        <f>IF(H$3="","",IF(COUNTIFS(BD!$A$3:$A$5001,H$3,BD!$B$3:$B$5001,$A$379,BD!$Z$3:$Z$5001,"&lt;&gt;")=0,"",SUMIFS(BD!$Z$3:$Z$5001,BD!$A$3:$A$5001,H$3,BD!$B$3:$B$5001,$A$379)))</f>
        <v/>
      </c>
      <c r="I403" s="251" t="str">
        <f>IF(I$3="","",IF(COUNTIFS(BD!$A$3:$A$5001,I$3,BD!$B$3:$B$5001,$A$379,BD!$Z$3:$Z$5001,"&lt;&gt;")=0,"",SUMIFS(BD!$Z$3:$Z$5001,BD!$A$3:$A$5001,I$3,BD!$B$3:$B$5001,$A$379)))</f>
        <v/>
      </c>
      <c r="J403" s="251" t="str">
        <f>IF(J$3="","",IF(COUNTIFS(BD!$A$3:$A$5001,J$3,BD!$B$3:$B$5001,$A$379,BD!$Z$3:$Z$5001,"&lt;&gt;")=0,"",SUMIFS(BD!$Z$3:$Z$5001,BD!$A$3:$A$5001,J$3,BD!$B$3:$B$5001,$A$379)))</f>
        <v/>
      </c>
      <c r="K403" s="251" t="str">
        <f>IF(K$3="","",IF(COUNTIFS(BD!$A$3:$A$5001,K$3,BD!$B$3:$B$5001,$A$379,BD!$Z$3:$Z$5001,"&lt;&gt;")=0,"",SUMIFS(BD!$Z$3:$Z$5001,BD!$A$3:$A$5001,K$3,BD!$B$3:$B$5001,$A$379)))</f>
        <v/>
      </c>
      <c r="L403" s="251" t="str">
        <f>IF(L$3="","",IF(COUNTIFS(BD!$A$3:$A$5001,L$3,BD!$B$3:$B$5001,$A$379,BD!$Z$3:$Z$5001,"&lt;&gt;")=0,"",SUMIFS(BD!$Z$3:$Z$5001,BD!$A$3:$A$5001,L$3,BD!$B$3:$B$5001,$A$379)))</f>
        <v/>
      </c>
      <c r="M403" s="251" t="str">
        <f>IF(M$3="","",IF(COUNTIFS(BD!$A$3:$A$5001,M$3,BD!$B$3:$B$5001,$A$379,BD!$Z$3:$Z$5001,"&lt;&gt;")=0,"",SUMIFS(BD!$Z$3:$Z$5001,BD!$A$3:$A$5001,M$3,BD!$B$3:$B$5001,$A$379)))</f>
        <v/>
      </c>
      <c r="N403" s="251" t="str">
        <f>IF(N$3="","",IF(COUNTIFS(BD!$A$3:$A$5001,N$3,BD!$B$3:$B$5001,$A$379,BD!$Z$3:$Z$5001,"&lt;&gt;")=0,"",SUMIFS(BD!$Z$3:$Z$5001,BD!$A$3:$A$5001,N$3,BD!$B$3:$B$5001,$A$379)))</f>
        <v/>
      </c>
      <c r="O403" s="251" t="str">
        <f>IF(O$3="","",IF(COUNTIFS(BD!$A$3:$A$5001,O$3,BD!$B$3:$B$5001,$A$379,BD!$Z$3:$Z$5001,"&lt;&gt;")=0,"",SUMIFS(BD!$Z$3:$Z$5001,BD!$A$3:$A$5001,O$3,BD!$B$3:$B$5001,$A$379)))</f>
        <v/>
      </c>
      <c r="P403" s="251" t="str">
        <f>IF(P$3="","",IF(COUNTIFS(BD!$A$3:$A$5001,P$3,BD!$B$3:$B$5001,$A$379,BD!$Z$3:$Z$5001,"&lt;&gt;")=0,"",SUMIFS(BD!$Z$3:$Z$5001,BD!$A$3:$A$5001,P$3,BD!$B$3:$B$5001,$A$379)))</f>
        <v/>
      </c>
      <c r="Q403" s="251" t="str">
        <f>IF(Q$3="","",IF(COUNTIFS(BD!$A$3:$A$5001,Q$3,BD!$B$3:$B$5001,$A$379,BD!$Z$3:$Z$5001,"&lt;&gt;")=0,"",SUMIFS(BD!$Z$3:$Z$5001,BD!$A$3:$A$5001,Q$3,BD!$B$3:$B$5001,$A$379)))</f>
        <v/>
      </c>
      <c r="R403" s="251" t="str">
        <f>IF(R$3="","",IF(COUNTIFS(BD!$A$3:$A$5001,R$3,BD!$B$3:$B$5001,$A$379,BD!$Z$3:$Z$5001,"&lt;&gt;")=0,"",SUMIFS(BD!$Z$3:$Z$5001,BD!$A$3:$A$5001,R$3,BD!$B$3:$B$5001,$A$379)))</f>
        <v/>
      </c>
      <c r="S403" s="251" t="str">
        <f>IF(S$3="","",IF(COUNTIFS(BD!$A$3:$A$5001,S$3,BD!$B$3:$B$5001,$A$379,BD!$Z$3:$Z$5001,"&lt;&gt;")=0,"",SUMIFS(BD!$Z$3:$Z$5001,BD!$A$3:$A$5001,S$3,BD!$B$3:$B$5001,$A$379)))</f>
        <v/>
      </c>
      <c r="T403" s="251" t="str">
        <f>IF(T$3="","",IF(COUNTIFS(BD!$A$3:$A$5001,T$3,BD!$B$3:$B$5001,$A$379,BD!$Z$3:$Z$5001,"&lt;&gt;")=0,"",SUMIFS(BD!$Z$3:$Z$5001,BD!$A$3:$A$5001,T$3,BD!$B$3:$B$5001,$A$379)))</f>
        <v/>
      </c>
      <c r="U403" s="251" t="str">
        <f>IF(U$3="","",IF(COUNTIFS(BD!$A$3:$A$5001,U$3,BD!$B$3:$B$5001,$A$379,BD!$Z$3:$Z$5001,"&lt;&gt;")=0,"",SUMIFS(BD!$Z$3:$Z$5001,BD!$A$3:$A$5001,U$3,BD!$B$3:$B$5001,$A$379)))</f>
        <v/>
      </c>
      <c r="V403" s="251" t="str">
        <f>IF(V$3="","",IF(COUNTIFS(BD!$A$3:$A$5001,V$3,BD!$B$3:$B$5001,$A$379,BD!$Z$3:$Z$5001,"&lt;&gt;")=0,"",SUMIFS(BD!$Z$3:$Z$5001,BD!$A$3:$A$5001,V$3,BD!$B$3:$B$5001,$A$379)))</f>
        <v/>
      </c>
      <c r="W403" s="251" t="str">
        <f>IF(W$3="","",IF(COUNTIFS(BD!$A$3:$A$5001,W$3,BD!$B$3:$B$5001,$A$379,BD!$Z$3:$Z$5001,"&lt;&gt;")=0,"",SUMIFS(BD!$Z$3:$Z$5001,BD!$A$3:$A$5001,W$3,BD!$B$3:$B$5001,$A$379)))</f>
        <v/>
      </c>
      <c r="X403" s="251" t="str">
        <f>IF(X$3="","",IF(COUNTIFS(BD!$A$3:$A$5001,X$3,BD!$B$3:$B$5001,$A$379,BD!$Z$3:$Z$5001,"&lt;&gt;")=0,"",SUMIFS(BD!$Z$3:$Z$5001,BD!$A$3:$A$5001,X$3,BD!$B$3:$B$5001,$A$379)))</f>
        <v/>
      </c>
      <c r="Y403" s="251" t="str">
        <f>IF(Y$3="","",IF(COUNTIFS(BD!$A$3:$A$5001,Y$3,BD!$B$3:$B$5001,$A$379,BD!$Z$3:$Z$5001,"&lt;&gt;")=0,"",SUMIFS(BD!$Z$3:$Z$5001,BD!$A$3:$A$5001,Y$3,BD!$B$3:$B$5001,$A$379)))</f>
        <v/>
      </c>
      <c r="Z403" s="251" t="str">
        <f>IF(Z$3="","",IF(COUNTIFS(BD!$A$3:$A$5001,Z$3,BD!$B$3:$B$5001,$A$379,BD!$Z$3:$Z$5001,"&lt;&gt;")=0,"",SUMIFS(BD!$Z$3:$Z$5001,BD!$A$3:$A$5001,Z$3,BD!$B$3:$B$5001,$A$379)))</f>
        <v/>
      </c>
      <c r="AA403" s="251" t="str">
        <f>IF(AA$3="","",IF(COUNTIFS(BD!$A$3:$A$5001,AA$3,BD!$B$3:$B$5001,$A$379,BD!$Z$3:$Z$5001,"&lt;&gt;")=0,"",SUMIFS(BD!$Z$3:$Z$5001,BD!$A$3:$A$5001,AA$3,BD!$B$3:$B$5001,$A$379)))</f>
        <v/>
      </c>
      <c r="AB403" s="251" t="str">
        <f>IF(AB$3="","",IF(COUNTIFS(BD!$A$3:$A$5001,AB$3,BD!$B$3:$B$5001,$A$379,BD!$Z$3:$Z$5001,"&lt;&gt;")=0,"",SUMIFS(BD!$Z$3:$Z$5001,BD!$A$3:$A$5001,AB$3,BD!$B$3:$B$5001,$A$379)))</f>
        <v/>
      </c>
      <c r="AC403" s="251" t="str">
        <f>IF(AC$3="","",IF(COUNTIFS(BD!$A$3:$A$5001,AC$3,BD!$B$3:$B$5001,$A$379,BD!$Z$3:$Z$5001,"&lt;&gt;")=0,"",SUMIFS(BD!$Z$3:$Z$5001,BD!$A$3:$A$5001,AC$3,BD!$B$3:$B$5001,$A$379)))</f>
        <v/>
      </c>
      <c r="AD403" s="251" t="str">
        <f>IF(AD$3="","",IF(COUNTIFS(BD!$A$3:$A$5001,AD$3,BD!$B$3:$B$5001,$A$379,BD!$Z$3:$Z$5001,"&lt;&gt;")=0,"",SUMIFS(BD!$Z$3:$Z$5001,BD!$A$3:$A$5001,AD$3,BD!$B$3:$B$5001,$A$379)))</f>
        <v/>
      </c>
      <c r="AE403" s="251" t="str">
        <f>IF(AE$3="","",IF(COUNTIFS(BD!$A$3:$A$5001,AE$3,BD!$B$3:$B$5001,$A$379,BD!$Z$3:$Z$5001,"&lt;&gt;")=0,"",SUMIFS(BD!$Z$3:$Z$5001,BD!$A$3:$A$5001,AE$3,BD!$B$3:$B$5001,$A$379)))</f>
        <v/>
      </c>
      <c r="AF403" s="251" t="str">
        <f>IF(AF$3="","",IF(COUNTIFS(BD!$A$3:$A$5001,AF$3,BD!$B$3:$B$5001,$A$379,BD!$Z$3:$Z$5001,"&lt;&gt;")=0,"",SUMIFS(BD!$Z$3:$Z$5001,BD!$A$3:$A$5001,AF$3,BD!$B$3:$B$5001,$A$379)))</f>
        <v/>
      </c>
      <c r="AG403" s="251" t="str">
        <f>IF(AG$3="","",IF(COUNTIFS(BD!$A$3:$A$5001,AG$3,BD!$B$3:$B$5001,$A$379,BD!$Z$3:$Z$5001,"&lt;&gt;")=0,"",SUMIFS(BD!$Z$3:$Z$5001,BD!$A$3:$A$5001,AG$3,BD!$B$3:$B$5001,$A$379)))</f>
        <v/>
      </c>
      <c r="AH403" s="251" t="str">
        <f>IF(AH$3="","",IF(COUNTIFS(BD!$A$3:$A$5001,AH$3,BD!$B$3:$B$5001,$A$379,BD!$Z$3:$Z$5001,"&lt;&gt;")=0,"",SUMIFS(BD!$Z$3:$Z$5001,BD!$A$3:$A$5001,AH$3,BD!$B$3:$B$5001,$A$379)))</f>
        <v/>
      </c>
      <c r="AI403" s="251" t="str">
        <f>IF(AI$3="","",IF(COUNTIFS(BD!$A$3:$A$5001,AI$3,BD!$B$3:$B$5001,$A$379,BD!$Z$3:$Z$5001,"&lt;&gt;")=0,"",SUMIFS(BD!$Z$3:$Z$5001,BD!$A$3:$A$5001,AI$3,BD!$B$3:$B$5001,$A$379)))</f>
        <v/>
      </c>
      <c r="AJ403" s="252" t="str">
        <f>IF(AJ$3="","",IF(COUNTIFS(BD!$A$3:$A$5001,AJ$3,BD!$B$3:$B$5001,$A$379,BD!$Z$3:$Z$5001,"&lt;&gt;")=0,"",SUMIFS(BD!$Z$3:$Z$5001,BD!$A$3:$A$5001,AJ$3,BD!$B$3:$B$5001,$A$379)))</f>
        <v/>
      </c>
      <c r="AK403" s="253" t="str">
        <f>IF(COUNT(F403:AJ403)=0,"",SUM(F403:AJ403))</f>
        <v/>
      </c>
    </row>
    <row r="404" ht="15.75" customHeight="1" hidden="1">
      <c r="A404" s="277"/>
      <c r="B404" s="274"/>
      <c r="C404" s="247" t="inlineStr">
        <is>
          <t xml:space="preserve">Acidentes CAF</t>
        </is>
      </c>
      <c r="D404" s="248" t="str">
        <f>IFERROR(1/(1/INDEX(BD!$AF$48:$AZ$48,MATCH($A$379,BD!$AF$22:$AZ$22,0))),"")</f>
        <v/>
      </c>
      <c r="E404" s="249"/>
      <c r="F404" s="250" t="str">
        <f>IF(F$3="","",IF(COUNTIFS(BD!$A$3:$A$5001,F$3,BD!$B$3:$B$5001,$A$379,BD!$AA$3:$AA$5001,"&lt;&gt;")=0,"",SUMIFS(BD!$AA$3:$AA$5001,BD!$A$3:$A$5001,F$3,BD!$B$3:$B$5001,$A$379)))</f>
        <v/>
      </c>
      <c r="G404" s="251" t="str">
        <f>IF(G$3="","",IF(COUNTIFS(BD!$A$3:$A$5001,G$3,BD!$B$3:$B$5001,$A$379,BD!$AA$3:$AA$5001,"&lt;&gt;")=0,"",SUMIFS(BD!$AA$3:$AA$5001,BD!$A$3:$A$5001,G$3,BD!$B$3:$B$5001,$A$379)))</f>
        <v/>
      </c>
      <c r="H404" s="251" t="str">
        <f>IF(H$3="","",IF(COUNTIFS(BD!$A$3:$A$5001,H$3,BD!$B$3:$B$5001,$A$379,BD!$AA$3:$AA$5001,"&lt;&gt;")=0,"",SUMIFS(BD!$AA$3:$AA$5001,BD!$A$3:$A$5001,H$3,BD!$B$3:$B$5001,$A$379)))</f>
        <v/>
      </c>
      <c r="I404" s="251" t="str">
        <f>IF(I$3="","",IF(COUNTIFS(BD!$A$3:$A$5001,I$3,BD!$B$3:$B$5001,$A$379,BD!$AA$3:$AA$5001,"&lt;&gt;")=0,"",SUMIFS(BD!$AA$3:$AA$5001,BD!$A$3:$A$5001,I$3,BD!$B$3:$B$5001,$A$379)))</f>
        <v/>
      </c>
      <c r="J404" s="251" t="str">
        <f>IF(J$3="","",IF(COUNTIFS(BD!$A$3:$A$5001,J$3,BD!$B$3:$B$5001,$A$379,BD!$AA$3:$AA$5001,"&lt;&gt;")=0,"",SUMIFS(BD!$AA$3:$AA$5001,BD!$A$3:$A$5001,J$3,BD!$B$3:$B$5001,$A$379)))</f>
        <v/>
      </c>
      <c r="K404" s="251" t="str">
        <f>IF(K$3="","",IF(COUNTIFS(BD!$A$3:$A$5001,K$3,BD!$B$3:$B$5001,$A$379,BD!$AA$3:$AA$5001,"&lt;&gt;")=0,"",SUMIFS(BD!$AA$3:$AA$5001,BD!$A$3:$A$5001,K$3,BD!$B$3:$B$5001,$A$379)))</f>
        <v/>
      </c>
      <c r="L404" s="251" t="str">
        <f>IF(L$3="","",IF(COUNTIFS(BD!$A$3:$A$5001,L$3,BD!$B$3:$B$5001,$A$379,BD!$AA$3:$AA$5001,"&lt;&gt;")=0,"",SUMIFS(BD!$AA$3:$AA$5001,BD!$A$3:$A$5001,L$3,BD!$B$3:$B$5001,$A$379)))</f>
        <v/>
      </c>
      <c r="M404" s="251" t="str">
        <f>IF(M$3="","",IF(COUNTIFS(BD!$A$3:$A$5001,M$3,BD!$B$3:$B$5001,$A$379,BD!$AA$3:$AA$5001,"&lt;&gt;")=0,"",SUMIFS(BD!$AA$3:$AA$5001,BD!$A$3:$A$5001,M$3,BD!$B$3:$B$5001,$A$379)))</f>
        <v/>
      </c>
      <c r="N404" s="251" t="str">
        <f>IF(N$3="","",IF(COUNTIFS(BD!$A$3:$A$5001,N$3,BD!$B$3:$B$5001,$A$379,BD!$AA$3:$AA$5001,"&lt;&gt;")=0,"",SUMIFS(BD!$AA$3:$AA$5001,BD!$A$3:$A$5001,N$3,BD!$B$3:$B$5001,$A$379)))</f>
        <v/>
      </c>
      <c r="O404" s="251" t="str">
        <f>IF(O$3="","",IF(COUNTIFS(BD!$A$3:$A$5001,O$3,BD!$B$3:$B$5001,$A$379,BD!$AA$3:$AA$5001,"&lt;&gt;")=0,"",SUMIFS(BD!$AA$3:$AA$5001,BD!$A$3:$A$5001,O$3,BD!$B$3:$B$5001,$A$379)))</f>
        <v/>
      </c>
      <c r="P404" s="251" t="str">
        <f>IF(P$3="","",IF(COUNTIFS(BD!$A$3:$A$5001,P$3,BD!$B$3:$B$5001,$A$379,BD!$AA$3:$AA$5001,"&lt;&gt;")=0,"",SUMIFS(BD!$AA$3:$AA$5001,BD!$A$3:$A$5001,P$3,BD!$B$3:$B$5001,$A$379)))</f>
        <v/>
      </c>
      <c r="Q404" s="251" t="str">
        <f>IF(Q$3="","",IF(COUNTIFS(BD!$A$3:$A$5001,Q$3,BD!$B$3:$B$5001,$A$379,BD!$AA$3:$AA$5001,"&lt;&gt;")=0,"",SUMIFS(BD!$AA$3:$AA$5001,BD!$A$3:$A$5001,Q$3,BD!$B$3:$B$5001,$A$379)))</f>
        <v/>
      </c>
      <c r="R404" s="251" t="str">
        <f>IF(R$3="","",IF(COUNTIFS(BD!$A$3:$A$5001,R$3,BD!$B$3:$B$5001,$A$379,BD!$AA$3:$AA$5001,"&lt;&gt;")=0,"",SUMIFS(BD!$AA$3:$AA$5001,BD!$A$3:$A$5001,R$3,BD!$B$3:$B$5001,$A$379)))</f>
        <v/>
      </c>
      <c r="S404" s="251" t="str">
        <f>IF(S$3="","",IF(COUNTIFS(BD!$A$3:$A$5001,S$3,BD!$B$3:$B$5001,$A$379,BD!$AA$3:$AA$5001,"&lt;&gt;")=0,"",SUMIFS(BD!$AA$3:$AA$5001,BD!$A$3:$A$5001,S$3,BD!$B$3:$B$5001,$A$379)))</f>
        <v/>
      </c>
      <c r="T404" s="251" t="str">
        <f>IF(T$3="","",IF(COUNTIFS(BD!$A$3:$A$5001,T$3,BD!$B$3:$B$5001,$A$379,BD!$AA$3:$AA$5001,"&lt;&gt;")=0,"",SUMIFS(BD!$AA$3:$AA$5001,BD!$A$3:$A$5001,T$3,BD!$B$3:$B$5001,$A$379)))</f>
        <v/>
      </c>
      <c r="U404" s="251" t="str">
        <f>IF(U$3="","",IF(COUNTIFS(BD!$A$3:$A$5001,U$3,BD!$B$3:$B$5001,$A$379,BD!$AA$3:$AA$5001,"&lt;&gt;")=0,"",SUMIFS(BD!$AA$3:$AA$5001,BD!$A$3:$A$5001,U$3,BD!$B$3:$B$5001,$A$379)))</f>
        <v/>
      </c>
      <c r="V404" s="251" t="str">
        <f>IF(V$3="","",IF(COUNTIFS(BD!$A$3:$A$5001,V$3,BD!$B$3:$B$5001,$A$379,BD!$AA$3:$AA$5001,"&lt;&gt;")=0,"",SUMIFS(BD!$AA$3:$AA$5001,BD!$A$3:$A$5001,V$3,BD!$B$3:$B$5001,$A$379)))</f>
        <v/>
      </c>
      <c r="W404" s="251" t="str">
        <f>IF(W$3="","",IF(COUNTIFS(BD!$A$3:$A$5001,W$3,BD!$B$3:$B$5001,$A$379,BD!$AA$3:$AA$5001,"&lt;&gt;")=0,"",SUMIFS(BD!$AA$3:$AA$5001,BD!$A$3:$A$5001,W$3,BD!$B$3:$B$5001,$A$379)))</f>
        <v/>
      </c>
      <c r="X404" s="251" t="str">
        <f>IF(X$3="","",IF(COUNTIFS(BD!$A$3:$A$5001,X$3,BD!$B$3:$B$5001,$A$379,BD!$AA$3:$AA$5001,"&lt;&gt;")=0,"",SUMIFS(BD!$AA$3:$AA$5001,BD!$A$3:$A$5001,X$3,BD!$B$3:$B$5001,$A$379)))</f>
        <v/>
      </c>
      <c r="Y404" s="251" t="str">
        <f>IF(Y$3="","",IF(COUNTIFS(BD!$A$3:$A$5001,Y$3,BD!$B$3:$B$5001,$A$379,BD!$AA$3:$AA$5001,"&lt;&gt;")=0,"",SUMIFS(BD!$AA$3:$AA$5001,BD!$A$3:$A$5001,Y$3,BD!$B$3:$B$5001,$A$379)))</f>
        <v/>
      </c>
      <c r="Z404" s="251" t="str">
        <f>IF(Z$3="","",IF(COUNTIFS(BD!$A$3:$A$5001,Z$3,BD!$B$3:$B$5001,$A$379,BD!$AA$3:$AA$5001,"&lt;&gt;")=0,"",SUMIFS(BD!$AA$3:$AA$5001,BD!$A$3:$A$5001,Z$3,BD!$B$3:$B$5001,$A$379)))</f>
        <v/>
      </c>
      <c r="AA404" s="251" t="str">
        <f>IF(AA$3="","",IF(COUNTIFS(BD!$A$3:$A$5001,AA$3,BD!$B$3:$B$5001,$A$379,BD!$AA$3:$AA$5001,"&lt;&gt;")=0,"",SUMIFS(BD!$AA$3:$AA$5001,BD!$A$3:$A$5001,AA$3,BD!$B$3:$B$5001,$A$379)))</f>
        <v/>
      </c>
      <c r="AB404" s="251" t="str">
        <f>IF(AB$3="","",IF(COUNTIFS(BD!$A$3:$A$5001,AB$3,BD!$B$3:$B$5001,$A$379,BD!$AA$3:$AA$5001,"&lt;&gt;")=0,"",SUMIFS(BD!$AA$3:$AA$5001,BD!$A$3:$A$5001,AB$3,BD!$B$3:$B$5001,$A$379)))</f>
        <v/>
      </c>
      <c r="AC404" s="251" t="str">
        <f>IF(AC$3="","",IF(COUNTIFS(BD!$A$3:$A$5001,AC$3,BD!$B$3:$B$5001,$A$379,BD!$AA$3:$AA$5001,"&lt;&gt;")=0,"",SUMIFS(BD!$AA$3:$AA$5001,BD!$A$3:$A$5001,AC$3,BD!$B$3:$B$5001,$A$379)))</f>
        <v/>
      </c>
      <c r="AD404" s="251" t="str">
        <f>IF(AD$3="","",IF(COUNTIFS(BD!$A$3:$A$5001,AD$3,BD!$B$3:$B$5001,$A$379,BD!$AA$3:$AA$5001,"&lt;&gt;")=0,"",SUMIFS(BD!$AA$3:$AA$5001,BD!$A$3:$A$5001,AD$3,BD!$B$3:$B$5001,$A$379)))</f>
        <v/>
      </c>
      <c r="AE404" s="251" t="str">
        <f>IF(AE$3="","",IF(COUNTIFS(BD!$A$3:$A$5001,AE$3,BD!$B$3:$B$5001,$A$379,BD!$AA$3:$AA$5001,"&lt;&gt;")=0,"",SUMIFS(BD!$AA$3:$AA$5001,BD!$A$3:$A$5001,AE$3,BD!$B$3:$B$5001,$A$379)))</f>
        <v/>
      </c>
      <c r="AF404" s="251" t="str">
        <f>IF(AF$3="","",IF(COUNTIFS(BD!$A$3:$A$5001,AF$3,BD!$B$3:$B$5001,$A$379,BD!$AA$3:$AA$5001,"&lt;&gt;")=0,"",SUMIFS(BD!$AA$3:$AA$5001,BD!$A$3:$A$5001,AF$3,BD!$B$3:$B$5001,$A$379)))</f>
        <v/>
      </c>
      <c r="AG404" s="251" t="str">
        <f>IF(AG$3="","",IF(COUNTIFS(BD!$A$3:$A$5001,AG$3,BD!$B$3:$B$5001,$A$379,BD!$AA$3:$AA$5001,"&lt;&gt;")=0,"",SUMIFS(BD!$AA$3:$AA$5001,BD!$A$3:$A$5001,AG$3,BD!$B$3:$B$5001,$A$379)))</f>
        <v/>
      </c>
      <c r="AH404" s="251" t="str">
        <f>IF(AH$3="","",IF(COUNTIFS(BD!$A$3:$A$5001,AH$3,BD!$B$3:$B$5001,$A$379,BD!$AA$3:$AA$5001,"&lt;&gt;")=0,"",SUMIFS(BD!$AA$3:$AA$5001,BD!$A$3:$A$5001,AH$3,BD!$B$3:$B$5001,$A$379)))</f>
        <v/>
      </c>
      <c r="AI404" s="251" t="str">
        <f>IF(AI$3="","",IF(COUNTIFS(BD!$A$3:$A$5001,AI$3,BD!$B$3:$B$5001,$A$379,BD!$AA$3:$AA$5001,"&lt;&gt;")=0,"",SUMIFS(BD!$AA$3:$AA$5001,BD!$A$3:$A$5001,AI$3,BD!$B$3:$B$5001,$A$379)))</f>
        <v/>
      </c>
      <c r="AJ404" s="252" t="str">
        <f>IF(AJ$3="","",IF(COUNTIFS(BD!$A$3:$A$5001,AJ$3,BD!$B$3:$B$5001,$A$379,BD!$AA$3:$AA$5001,"&lt;&gt;")=0,"",SUMIFS(BD!$AA$3:$AA$5001,BD!$A$3:$A$5001,AJ$3,BD!$B$3:$B$5001,$A$379)))</f>
        <v/>
      </c>
      <c r="AK404" s="253" t="str">
        <f>IF(COUNT(F404:AJ404)=0,"",SUM(F404:AJ404))</f>
        <v/>
      </c>
    </row>
    <row r="405" ht="15.75" customHeight="1" hidden="1">
      <c r="A405" s="278"/>
      <c r="B405" s="275"/>
      <c r="C405" s="258" t="inlineStr">
        <is>
          <t xml:space="preserve">Acidentes SAF</t>
        </is>
      </c>
      <c r="D405" s="259" t="str">
        <f>IFERROR(1/(1/INDEX(BD!$AF$49:$AZ$49,MATCH($A$379,BD!$AF$22:$AZ$22,0))),"")</f>
        <v/>
      </c>
      <c r="E405" s="260"/>
      <c r="F405" s="261" t="str">
        <f>IF(F$3="","",IF(COUNTIFS(BD!$A$3:$A$5001,F$3,BD!$B$3:$B$5001,$A$379,BD!$AB$3:$AB$5001,"&lt;&gt;")=0,"",SUMIFS(BD!$AB$3:$AB$5001,BD!$A$3:$A$5001,F$3,BD!$B$3:$B$5001,$A$379)))</f>
        <v/>
      </c>
      <c r="G405" s="262" t="str">
        <f>IF(G$3="","",IF(COUNTIFS(BD!$A$3:$A$5001,G$3,BD!$B$3:$B$5001,$A$379,BD!$AB$3:$AB$5001,"&lt;&gt;")=0,"",SUMIFS(BD!$AB$3:$AB$5001,BD!$A$3:$A$5001,G$3,BD!$B$3:$B$5001,$A$379)))</f>
        <v/>
      </c>
      <c r="H405" s="262" t="str">
        <f>IF(H$3="","",IF(COUNTIFS(BD!$A$3:$A$5001,H$3,BD!$B$3:$B$5001,$A$379,BD!$AB$3:$AB$5001,"&lt;&gt;")=0,"",SUMIFS(BD!$AB$3:$AB$5001,BD!$A$3:$A$5001,H$3,BD!$B$3:$B$5001,$A$379)))</f>
        <v/>
      </c>
      <c r="I405" s="262" t="str">
        <f>IF(I$3="","",IF(COUNTIFS(BD!$A$3:$A$5001,I$3,BD!$B$3:$B$5001,$A$379,BD!$AB$3:$AB$5001,"&lt;&gt;")=0,"",SUMIFS(BD!$AB$3:$AB$5001,BD!$A$3:$A$5001,I$3,BD!$B$3:$B$5001,$A$379)))</f>
        <v/>
      </c>
      <c r="J405" s="262" t="str">
        <f>IF(J$3="","",IF(COUNTIFS(BD!$A$3:$A$5001,J$3,BD!$B$3:$B$5001,$A$379,BD!$AB$3:$AB$5001,"&lt;&gt;")=0,"",SUMIFS(BD!$AB$3:$AB$5001,BD!$A$3:$A$5001,J$3,BD!$B$3:$B$5001,$A$379)))</f>
        <v/>
      </c>
      <c r="K405" s="262" t="str">
        <f>IF(K$3="","",IF(COUNTIFS(BD!$A$3:$A$5001,K$3,BD!$B$3:$B$5001,$A$379,BD!$AB$3:$AB$5001,"&lt;&gt;")=0,"",SUMIFS(BD!$AB$3:$AB$5001,BD!$A$3:$A$5001,K$3,BD!$B$3:$B$5001,$A$379)))</f>
        <v/>
      </c>
      <c r="L405" s="262" t="str">
        <f>IF(L$3="","",IF(COUNTIFS(BD!$A$3:$A$5001,L$3,BD!$B$3:$B$5001,$A$379,BD!$AB$3:$AB$5001,"&lt;&gt;")=0,"",SUMIFS(BD!$AB$3:$AB$5001,BD!$A$3:$A$5001,L$3,BD!$B$3:$B$5001,$A$379)))</f>
        <v/>
      </c>
      <c r="M405" s="262" t="str">
        <f>IF(M$3="","",IF(COUNTIFS(BD!$A$3:$A$5001,M$3,BD!$B$3:$B$5001,$A$379,BD!$AB$3:$AB$5001,"&lt;&gt;")=0,"",SUMIFS(BD!$AB$3:$AB$5001,BD!$A$3:$A$5001,M$3,BD!$B$3:$B$5001,$A$379)))</f>
        <v/>
      </c>
      <c r="N405" s="262" t="str">
        <f>IF(N$3="","",IF(COUNTIFS(BD!$A$3:$A$5001,N$3,BD!$B$3:$B$5001,$A$379,BD!$AB$3:$AB$5001,"&lt;&gt;")=0,"",SUMIFS(BD!$AB$3:$AB$5001,BD!$A$3:$A$5001,N$3,BD!$B$3:$B$5001,$A$379)))</f>
        <v/>
      </c>
      <c r="O405" s="262" t="str">
        <f>IF(O$3="","",IF(COUNTIFS(BD!$A$3:$A$5001,O$3,BD!$B$3:$B$5001,$A$379,BD!$AB$3:$AB$5001,"&lt;&gt;")=0,"",SUMIFS(BD!$AB$3:$AB$5001,BD!$A$3:$A$5001,O$3,BD!$B$3:$B$5001,$A$379)))</f>
        <v/>
      </c>
      <c r="P405" s="262" t="str">
        <f>IF(P$3="","",IF(COUNTIFS(BD!$A$3:$A$5001,P$3,BD!$B$3:$B$5001,$A$379,BD!$AB$3:$AB$5001,"&lt;&gt;")=0,"",SUMIFS(BD!$AB$3:$AB$5001,BD!$A$3:$A$5001,P$3,BD!$B$3:$B$5001,$A$379)))</f>
        <v/>
      </c>
      <c r="Q405" s="262" t="str">
        <f>IF(Q$3="","",IF(COUNTIFS(BD!$A$3:$A$5001,Q$3,BD!$B$3:$B$5001,$A$379,BD!$AB$3:$AB$5001,"&lt;&gt;")=0,"",SUMIFS(BD!$AB$3:$AB$5001,BD!$A$3:$A$5001,Q$3,BD!$B$3:$B$5001,$A$379)))</f>
        <v/>
      </c>
      <c r="R405" s="262" t="str">
        <f>IF(R$3="","",IF(COUNTIFS(BD!$A$3:$A$5001,R$3,BD!$B$3:$B$5001,$A$379,BD!$AB$3:$AB$5001,"&lt;&gt;")=0,"",SUMIFS(BD!$AB$3:$AB$5001,BD!$A$3:$A$5001,R$3,BD!$B$3:$B$5001,$A$379)))</f>
        <v/>
      </c>
      <c r="S405" s="262" t="str">
        <f>IF(S$3="","",IF(COUNTIFS(BD!$A$3:$A$5001,S$3,BD!$B$3:$B$5001,$A$379,BD!$AB$3:$AB$5001,"&lt;&gt;")=0,"",SUMIFS(BD!$AB$3:$AB$5001,BD!$A$3:$A$5001,S$3,BD!$B$3:$B$5001,$A$379)))</f>
        <v/>
      </c>
      <c r="T405" s="262" t="str">
        <f>IF(T$3="","",IF(COUNTIFS(BD!$A$3:$A$5001,T$3,BD!$B$3:$B$5001,$A$379,BD!$AB$3:$AB$5001,"&lt;&gt;")=0,"",SUMIFS(BD!$AB$3:$AB$5001,BD!$A$3:$A$5001,T$3,BD!$B$3:$B$5001,$A$379)))</f>
        <v/>
      </c>
      <c r="U405" s="262" t="str">
        <f>IF(U$3="","",IF(COUNTIFS(BD!$A$3:$A$5001,U$3,BD!$B$3:$B$5001,$A$379,BD!$AB$3:$AB$5001,"&lt;&gt;")=0,"",SUMIFS(BD!$AB$3:$AB$5001,BD!$A$3:$A$5001,U$3,BD!$B$3:$B$5001,$A$379)))</f>
        <v/>
      </c>
      <c r="V405" s="262" t="str">
        <f>IF(V$3="","",IF(COUNTIFS(BD!$A$3:$A$5001,V$3,BD!$B$3:$B$5001,$A$379,BD!$AB$3:$AB$5001,"&lt;&gt;")=0,"",SUMIFS(BD!$AB$3:$AB$5001,BD!$A$3:$A$5001,V$3,BD!$B$3:$B$5001,$A$379)))</f>
        <v/>
      </c>
      <c r="W405" s="262" t="str">
        <f>IF(W$3="","",IF(COUNTIFS(BD!$A$3:$A$5001,W$3,BD!$B$3:$B$5001,$A$379,BD!$AB$3:$AB$5001,"&lt;&gt;")=0,"",SUMIFS(BD!$AB$3:$AB$5001,BD!$A$3:$A$5001,W$3,BD!$B$3:$B$5001,$A$379)))</f>
        <v/>
      </c>
      <c r="X405" s="262" t="str">
        <f>IF(X$3="","",IF(COUNTIFS(BD!$A$3:$A$5001,X$3,BD!$B$3:$B$5001,$A$379,BD!$AB$3:$AB$5001,"&lt;&gt;")=0,"",SUMIFS(BD!$AB$3:$AB$5001,BD!$A$3:$A$5001,X$3,BD!$B$3:$B$5001,$A$379)))</f>
        <v/>
      </c>
      <c r="Y405" s="262" t="str">
        <f>IF(Y$3="","",IF(COUNTIFS(BD!$A$3:$A$5001,Y$3,BD!$B$3:$B$5001,$A$379,BD!$AB$3:$AB$5001,"&lt;&gt;")=0,"",SUMIFS(BD!$AB$3:$AB$5001,BD!$A$3:$A$5001,Y$3,BD!$B$3:$B$5001,$A$379)))</f>
        <v/>
      </c>
      <c r="Z405" s="262" t="str">
        <f>IF(Z$3="","",IF(COUNTIFS(BD!$A$3:$A$5001,Z$3,BD!$B$3:$B$5001,$A$379,BD!$AB$3:$AB$5001,"&lt;&gt;")=0,"",SUMIFS(BD!$AB$3:$AB$5001,BD!$A$3:$A$5001,Z$3,BD!$B$3:$B$5001,$A$379)))</f>
        <v/>
      </c>
      <c r="AA405" s="262" t="str">
        <f>IF(AA$3="","",IF(COUNTIFS(BD!$A$3:$A$5001,AA$3,BD!$B$3:$B$5001,$A$379,BD!$AB$3:$AB$5001,"&lt;&gt;")=0,"",SUMIFS(BD!$AB$3:$AB$5001,BD!$A$3:$A$5001,AA$3,BD!$B$3:$B$5001,$A$379)))</f>
        <v/>
      </c>
      <c r="AB405" s="262" t="str">
        <f>IF(AB$3="","",IF(COUNTIFS(BD!$A$3:$A$5001,AB$3,BD!$B$3:$B$5001,$A$379,BD!$AB$3:$AB$5001,"&lt;&gt;")=0,"",SUMIFS(BD!$AB$3:$AB$5001,BD!$A$3:$A$5001,AB$3,BD!$B$3:$B$5001,$A$379)))</f>
        <v/>
      </c>
      <c r="AC405" s="262" t="str">
        <f>IF(AC$3="","",IF(COUNTIFS(BD!$A$3:$A$5001,AC$3,BD!$B$3:$B$5001,$A$379,BD!$AB$3:$AB$5001,"&lt;&gt;")=0,"",SUMIFS(BD!$AB$3:$AB$5001,BD!$A$3:$A$5001,AC$3,BD!$B$3:$B$5001,$A$379)))</f>
        <v/>
      </c>
      <c r="AD405" s="262" t="str">
        <f>IF(AD$3="","",IF(COUNTIFS(BD!$A$3:$A$5001,AD$3,BD!$B$3:$B$5001,$A$379,BD!$AB$3:$AB$5001,"&lt;&gt;")=0,"",SUMIFS(BD!$AB$3:$AB$5001,BD!$A$3:$A$5001,AD$3,BD!$B$3:$B$5001,$A$379)))</f>
        <v/>
      </c>
      <c r="AE405" s="262" t="str">
        <f>IF(AE$3="","",IF(COUNTIFS(BD!$A$3:$A$5001,AE$3,BD!$B$3:$B$5001,$A$379,BD!$AB$3:$AB$5001,"&lt;&gt;")=0,"",SUMIFS(BD!$AB$3:$AB$5001,BD!$A$3:$A$5001,AE$3,BD!$B$3:$B$5001,$A$379)))</f>
        <v/>
      </c>
      <c r="AF405" s="262" t="str">
        <f>IF(AF$3="","",IF(COUNTIFS(BD!$A$3:$A$5001,AF$3,BD!$B$3:$B$5001,$A$379,BD!$AB$3:$AB$5001,"&lt;&gt;")=0,"",SUMIFS(BD!$AB$3:$AB$5001,BD!$A$3:$A$5001,AF$3,BD!$B$3:$B$5001,$A$379)))</f>
        <v/>
      </c>
      <c r="AG405" s="262" t="str">
        <f>IF(AG$3="","",IF(COUNTIFS(BD!$A$3:$A$5001,AG$3,BD!$B$3:$B$5001,$A$379,BD!$AB$3:$AB$5001,"&lt;&gt;")=0,"",SUMIFS(BD!$AB$3:$AB$5001,BD!$A$3:$A$5001,AG$3,BD!$B$3:$B$5001,$A$379)))</f>
        <v/>
      </c>
      <c r="AH405" s="262" t="str">
        <f>IF(AH$3="","",IF(COUNTIFS(BD!$A$3:$A$5001,AH$3,BD!$B$3:$B$5001,$A$379,BD!$AB$3:$AB$5001,"&lt;&gt;")=0,"",SUMIFS(BD!$AB$3:$AB$5001,BD!$A$3:$A$5001,AH$3,BD!$B$3:$B$5001,$A$379)))</f>
        <v/>
      </c>
      <c r="AI405" s="262" t="str">
        <f>IF(AI$3="","",IF(COUNTIFS(BD!$A$3:$A$5001,AI$3,BD!$B$3:$B$5001,$A$379,BD!$AB$3:$AB$5001,"&lt;&gt;")=0,"",SUMIFS(BD!$AB$3:$AB$5001,BD!$A$3:$A$5001,AI$3,BD!$B$3:$B$5001,$A$379)))</f>
        <v/>
      </c>
      <c r="AJ405" s="263" t="str">
        <f>IF(AJ$3="","",IF(COUNTIFS(BD!$A$3:$A$5001,AJ$3,BD!$B$3:$B$5001,$A$379,BD!$AB$3:$AB$5001,"&lt;&gt;")=0,"",SUMIFS(BD!$AB$3:$AB$5001,BD!$A$3:$A$5001,AJ$3,BD!$B$3:$B$5001,$A$379)))</f>
        <v/>
      </c>
      <c r="AK405" s="259" t="str">
        <f>IF(COUNT(F405:AJ405)=0,"",SUM(F405:AJ405))</f>
        <v/>
      </c>
    </row>
    <row r="407" ht="15.75" customHeight="1" hidden="1">
      <c r="A407" s="276"/>
      <c r="B407" s="264" t="inlineStr">
        <is>
          <t xml:space="preserve">IN</t>
        </is>
      </c>
      <c r="C407" s="168" t="inlineStr">
        <is>
          <t xml:space="preserve">Veículos Recebidos</t>
        </is>
      </c>
      <c r="D407" s="169" t="str">
        <f>IFERROR(1/(1/INDEX(BD!$AF$23:$AZ$23,MATCH($A$407,BD!$AF$22:$AZ$22,0))),"")</f>
        <v/>
      </c>
      <c r="E407" s="170"/>
      <c r="F407" s="171" t="str">
        <f>IF(F$3="","",IF(COUNTIFS(BD!$A$3:$A$5001,F$3,BD!$B$3:$B$5001,$A$407,BD!$C$3:$C$5001,"&lt;&gt;")=0,"",SUMIFS(BD!$C$3:$C$5001,BD!$A$3:$A$5001,F$3,BD!$B$3:$B$5001,$A$407)))</f>
        <v/>
      </c>
      <c r="G407" s="172" t="str">
        <f>IF(G$3="","",IF(COUNTIFS(BD!$A$3:$A$5001,G$3,BD!$B$3:$B$5001,$A$407,BD!$C$3:$C$5001,"&lt;&gt;")=0,"",SUMIFS(BD!$C$3:$C$5001,BD!$A$3:$A$5001,G$3,BD!$B$3:$B$5001,$A$407)))</f>
        <v/>
      </c>
      <c r="H407" s="172" t="str">
        <f>IF(H$3="","",IF(COUNTIFS(BD!$A$3:$A$5001,H$3,BD!$B$3:$B$5001,$A$407,BD!$C$3:$C$5001,"&lt;&gt;")=0,"",SUMIFS(BD!$C$3:$C$5001,BD!$A$3:$A$5001,H$3,BD!$B$3:$B$5001,$A$407)))</f>
        <v/>
      </c>
      <c r="I407" s="172" t="str">
        <f>IF(I$3="","",IF(COUNTIFS(BD!$A$3:$A$5001,I$3,BD!$B$3:$B$5001,$A$407,BD!$C$3:$C$5001,"&lt;&gt;")=0,"",SUMIFS(BD!$C$3:$C$5001,BD!$A$3:$A$5001,I$3,BD!$B$3:$B$5001,$A$407)))</f>
        <v/>
      </c>
      <c r="J407" s="172" t="str">
        <f>IF(J$3="","",IF(COUNTIFS(BD!$A$3:$A$5001,J$3,BD!$B$3:$B$5001,$A$407,BD!$C$3:$C$5001,"&lt;&gt;")=0,"",SUMIFS(BD!$C$3:$C$5001,BD!$A$3:$A$5001,J$3,BD!$B$3:$B$5001,$A$407)))</f>
        <v/>
      </c>
      <c r="K407" s="172" t="str">
        <f>IF(K$3="","",IF(COUNTIFS(BD!$A$3:$A$5001,K$3,BD!$B$3:$B$5001,$A$407,BD!$C$3:$C$5001,"&lt;&gt;")=0,"",SUMIFS(BD!$C$3:$C$5001,BD!$A$3:$A$5001,K$3,BD!$B$3:$B$5001,$A$407)))</f>
        <v/>
      </c>
      <c r="L407" s="172" t="str">
        <f>IF(L$3="","",IF(COUNTIFS(BD!$A$3:$A$5001,L$3,BD!$B$3:$B$5001,$A$407,BD!$C$3:$C$5001,"&lt;&gt;")=0,"",SUMIFS(BD!$C$3:$C$5001,BD!$A$3:$A$5001,L$3,BD!$B$3:$B$5001,$A$407)))</f>
        <v/>
      </c>
      <c r="M407" s="172" t="str">
        <f>IF(M$3="","",IF(COUNTIFS(BD!$A$3:$A$5001,M$3,BD!$B$3:$B$5001,$A$407,BD!$C$3:$C$5001,"&lt;&gt;")=0,"",SUMIFS(BD!$C$3:$C$5001,BD!$A$3:$A$5001,M$3,BD!$B$3:$B$5001,$A$407)))</f>
        <v/>
      </c>
      <c r="N407" s="172" t="str">
        <f>IF(N$3="","",IF(COUNTIFS(BD!$A$3:$A$5001,N$3,BD!$B$3:$B$5001,$A$407,BD!$C$3:$C$5001,"&lt;&gt;")=0,"",SUMIFS(BD!$C$3:$C$5001,BD!$A$3:$A$5001,N$3,BD!$B$3:$B$5001,$A$407)))</f>
        <v/>
      </c>
      <c r="O407" s="172" t="str">
        <f>IF(O$3="","",IF(COUNTIFS(BD!$A$3:$A$5001,O$3,BD!$B$3:$B$5001,$A$407,BD!$C$3:$C$5001,"&lt;&gt;")=0,"",SUMIFS(BD!$C$3:$C$5001,BD!$A$3:$A$5001,O$3,BD!$B$3:$B$5001,$A$407)))</f>
        <v/>
      </c>
      <c r="P407" s="172" t="str">
        <f>IF(P$3="","",IF(COUNTIFS(BD!$A$3:$A$5001,P$3,BD!$B$3:$B$5001,$A$407,BD!$C$3:$C$5001,"&lt;&gt;")=0,"",SUMIFS(BD!$C$3:$C$5001,BD!$A$3:$A$5001,P$3,BD!$B$3:$B$5001,$A$407)))</f>
        <v/>
      </c>
      <c r="Q407" s="172" t="str">
        <f>IF(Q$3="","",IF(COUNTIFS(BD!$A$3:$A$5001,Q$3,BD!$B$3:$B$5001,$A$407,BD!$C$3:$C$5001,"&lt;&gt;")=0,"",SUMIFS(BD!$C$3:$C$5001,BD!$A$3:$A$5001,Q$3,BD!$B$3:$B$5001,$A$407)))</f>
        <v/>
      </c>
      <c r="R407" s="172" t="str">
        <f>IF(R$3="","",IF(COUNTIFS(BD!$A$3:$A$5001,R$3,BD!$B$3:$B$5001,$A$407,BD!$C$3:$C$5001,"&lt;&gt;")=0,"",SUMIFS(BD!$C$3:$C$5001,BD!$A$3:$A$5001,R$3,BD!$B$3:$B$5001,$A$407)))</f>
        <v/>
      </c>
      <c r="S407" s="172" t="str">
        <f>IF(S$3="","",IF(COUNTIFS(BD!$A$3:$A$5001,S$3,BD!$B$3:$B$5001,$A$407,BD!$C$3:$C$5001,"&lt;&gt;")=0,"",SUMIFS(BD!$C$3:$C$5001,BD!$A$3:$A$5001,S$3,BD!$B$3:$B$5001,$A$407)))</f>
        <v/>
      </c>
      <c r="T407" s="172" t="str">
        <f>IF(T$3="","",IF(COUNTIFS(BD!$A$3:$A$5001,T$3,BD!$B$3:$B$5001,$A$407,BD!$C$3:$C$5001,"&lt;&gt;")=0,"",SUMIFS(BD!$C$3:$C$5001,BD!$A$3:$A$5001,T$3,BD!$B$3:$B$5001,$A$407)))</f>
        <v/>
      </c>
      <c r="U407" s="172" t="str">
        <f>IF(U$3="","",IF(COUNTIFS(BD!$A$3:$A$5001,U$3,BD!$B$3:$B$5001,$A$407,BD!$C$3:$C$5001,"&lt;&gt;")=0,"",SUMIFS(BD!$C$3:$C$5001,BD!$A$3:$A$5001,U$3,BD!$B$3:$B$5001,$A$407)))</f>
        <v/>
      </c>
      <c r="V407" s="172" t="str">
        <f>IF(V$3="","",IF(COUNTIFS(BD!$A$3:$A$5001,V$3,BD!$B$3:$B$5001,$A$407,BD!$C$3:$C$5001,"&lt;&gt;")=0,"",SUMIFS(BD!$C$3:$C$5001,BD!$A$3:$A$5001,V$3,BD!$B$3:$B$5001,$A$407)))</f>
        <v/>
      </c>
      <c r="W407" s="172" t="str">
        <f>IF(W$3="","",IF(COUNTIFS(BD!$A$3:$A$5001,W$3,BD!$B$3:$B$5001,$A$407,BD!$C$3:$C$5001,"&lt;&gt;")=0,"",SUMIFS(BD!$C$3:$C$5001,BD!$A$3:$A$5001,W$3,BD!$B$3:$B$5001,$A$407)))</f>
        <v/>
      </c>
      <c r="X407" s="172" t="str">
        <f>IF(X$3="","",IF(COUNTIFS(BD!$A$3:$A$5001,X$3,BD!$B$3:$B$5001,$A$407,BD!$C$3:$C$5001,"&lt;&gt;")=0,"",SUMIFS(BD!$C$3:$C$5001,BD!$A$3:$A$5001,X$3,BD!$B$3:$B$5001,$A$407)))</f>
        <v/>
      </c>
      <c r="Y407" s="172" t="str">
        <f>IF(Y$3="","",IF(COUNTIFS(BD!$A$3:$A$5001,Y$3,BD!$B$3:$B$5001,$A$407,BD!$C$3:$C$5001,"&lt;&gt;")=0,"",SUMIFS(BD!$C$3:$C$5001,BD!$A$3:$A$5001,Y$3,BD!$B$3:$B$5001,$A$407)))</f>
        <v/>
      </c>
      <c r="Z407" s="172" t="str">
        <f>IF(Z$3="","",IF(COUNTIFS(BD!$A$3:$A$5001,Z$3,BD!$B$3:$B$5001,$A$407,BD!$C$3:$C$5001,"&lt;&gt;")=0,"",SUMIFS(BD!$C$3:$C$5001,BD!$A$3:$A$5001,Z$3,BD!$B$3:$B$5001,$A$407)))</f>
        <v/>
      </c>
      <c r="AA407" s="172" t="str">
        <f>IF(AA$3="","",IF(COUNTIFS(BD!$A$3:$A$5001,AA$3,BD!$B$3:$B$5001,$A$407,BD!$C$3:$C$5001,"&lt;&gt;")=0,"",SUMIFS(BD!$C$3:$C$5001,BD!$A$3:$A$5001,AA$3,BD!$B$3:$B$5001,$A$407)))</f>
        <v/>
      </c>
      <c r="AB407" s="172" t="str">
        <f>IF(AB$3="","",IF(COUNTIFS(BD!$A$3:$A$5001,AB$3,BD!$B$3:$B$5001,$A$407,BD!$C$3:$C$5001,"&lt;&gt;")=0,"",SUMIFS(BD!$C$3:$C$5001,BD!$A$3:$A$5001,AB$3,BD!$B$3:$B$5001,$A$407)))</f>
        <v/>
      </c>
      <c r="AC407" s="172" t="str">
        <f>IF(AC$3="","",IF(COUNTIFS(BD!$A$3:$A$5001,AC$3,BD!$B$3:$B$5001,$A$407,BD!$C$3:$C$5001,"&lt;&gt;")=0,"",SUMIFS(BD!$C$3:$C$5001,BD!$A$3:$A$5001,AC$3,BD!$B$3:$B$5001,$A$407)))</f>
        <v/>
      </c>
      <c r="AD407" s="172" t="str">
        <f>IF(AD$3="","",IF(COUNTIFS(BD!$A$3:$A$5001,AD$3,BD!$B$3:$B$5001,$A$407,BD!$C$3:$C$5001,"&lt;&gt;")=0,"",SUMIFS(BD!$C$3:$C$5001,BD!$A$3:$A$5001,AD$3,BD!$B$3:$B$5001,$A$407)))</f>
        <v/>
      </c>
      <c r="AE407" s="172" t="str">
        <f>IF(AE$3="","",IF(COUNTIFS(BD!$A$3:$A$5001,AE$3,BD!$B$3:$B$5001,$A$407,BD!$C$3:$C$5001,"&lt;&gt;")=0,"",SUMIFS(BD!$C$3:$C$5001,BD!$A$3:$A$5001,AE$3,BD!$B$3:$B$5001,$A$407)))</f>
        <v/>
      </c>
      <c r="AF407" s="172" t="str">
        <f>IF(AF$3="","",IF(COUNTIFS(BD!$A$3:$A$5001,AF$3,BD!$B$3:$B$5001,$A$407,BD!$C$3:$C$5001,"&lt;&gt;")=0,"",SUMIFS(BD!$C$3:$C$5001,BD!$A$3:$A$5001,AF$3,BD!$B$3:$B$5001,$A$407)))</f>
        <v/>
      </c>
      <c r="AG407" s="172" t="str">
        <f>IF(AG$3="","",IF(COUNTIFS(BD!$A$3:$A$5001,AG$3,BD!$B$3:$B$5001,$A$407,BD!$C$3:$C$5001,"&lt;&gt;")=0,"",SUMIFS(BD!$C$3:$C$5001,BD!$A$3:$A$5001,AG$3,BD!$B$3:$B$5001,$A$407)))</f>
        <v/>
      </c>
      <c r="AH407" s="172" t="str">
        <f>IF(AH$3="","",IF(COUNTIFS(BD!$A$3:$A$5001,AH$3,BD!$B$3:$B$5001,$A$407,BD!$C$3:$C$5001,"&lt;&gt;")=0,"",SUMIFS(BD!$C$3:$C$5001,BD!$A$3:$A$5001,AH$3,BD!$B$3:$B$5001,$A$407)))</f>
        <v/>
      </c>
      <c r="AI407" s="172" t="str">
        <f>IF(AI$3="","",IF(COUNTIFS(BD!$A$3:$A$5001,AI$3,BD!$B$3:$B$5001,$A$407,BD!$C$3:$C$5001,"&lt;&gt;")=0,"",SUMIFS(BD!$C$3:$C$5001,BD!$A$3:$A$5001,AI$3,BD!$B$3:$B$5001,$A$407)))</f>
        <v/>
      </c>
      <c r="AJ407" s="173" t="str">
        <f>IF(AJ$3="","",IF(COUNTIFS(BD!$A$3:$A$5001,AJ$3,BD!$B$3:$B$5001,$A$407,BD!$C$3:$C$5001,"&lt;&gt;")=0,"",SUMIFS(BD!$C$3:$C$5001,BD!$A$3:$A$5001,AJ$3,BD!$B$3:$B$5001,$A$407)))</f>
        <v/>
      </c>
      <c r="AK407" s="174" t="str">
        <f>IF(COUNT(F407:AJ407)=0,"",SUM(F407:AJ407))</f>
        <v/>
      </c>
    </row>
    <row r="408" ht="15.75" customHeight="1" hidden="1">
      <c r="A408" s="277"/>
      <c r="B408" s="265"/>
      <c r="C408" s="175" t="inlineStr">
        <is>
          <t xml:space="preserve">Pallets Movimentados</t>
        </is>
      </c>
      <c r="D408" s="176" t="str">
        <f>IFERROR(1/(1/INDEX(BD!$AF$24:$AZ$24,MATCH($A$407,BD!$AF$22:$AZ$22,0))),"")</f>
        <v/>
      </c>
      <c r="E408" s="177"/>
      <c r="F408" s="178" t="str">
        <f>IF(F$3="","",IF(COUNTIFS(BD!$A$3:$A$5001,F$3,BD!$B$3:$B$5001,$A$407,BD!$D$3:$D$5001,"&lt;&gt;")=0,"",SUMIFS(BD!$D$3:$D$5001,BD!$A$3:$A$5001,F$3,BD!$B$3:$B$5001,$A$407)))</f>
        <v/>
      </c>
      <c r="G408" s="179" t="str">
        <f>IF(G$3="","",IF(COUNTIFS(BD!$A$3:$A$5001,G$3,BD!$B$3:$B$5001,$A$407,BD!$D$3:$D$5001,"&lt;&gt;")=0,"",SUMIFS(BD!$D$3:$D$5001,BD!$A$3:$A$5001,G$3,BD!$B$3:$B$5001,$A$407)))</f>
        <v/>
      </c>
      <c r="H408" s="179" t="str">
        <f>IF(H$3="","",IF(COUNTIFS(BD!$A$3:$A$5001,H$3,BD!$B$3:$B$5001,$A$407,BD!$D$3:$D$5001,"&lt;&gt;")=0,"",SUMIFS(BD!$D$3:$D$5001,BD!$A$3:$A$5001,H$3,BD!$B$3:$B$5001,$A$407)))</f>
        <v/>
      </c>
      <c r="I408" s="179" t="str">
        <f>IF(I$3="","",IF(COUNTIFS(BD!$A$3:$A$5001,I$3,BD!$B$3:$B$5001,$A$407,BD!$D$3:$D$5001,"&lt;&gt;")=0,"",SUMIFS(BD!$D$3:$D$5001,BD!$A$3:$A$5001,I$3,BD!$B$3:$B$5001,$A$407)))</f>
        <v/>
      </c>
      <c r="J408" s="179" t="str">
        <f>IF(J$3="","",IF(COUNTIFS(BD!$A$3:$A$5001,J$3,BD!$B$3:$B$5001,$A$407,BD!$D$3:$D$5001,"&lt;&gt;")=0,"",SUMIFS(BD!$D$3:$D$5001,BD!$A$3:$A$5001,J$3,BD!$B$3:$B$5001,$A$407)))</f>
        <v/>
      </c>
      <c r="K408" s="179" t="str">
        <f>IF(K$3="","",IF(COUNTIFS(BD!$A$3:$A$5001,K$3,BD!$B$3:$B$5001,$A$407,BD!$D$3:$D$5001,"&lt;&gt;")=0,"",SUMIFS(BD!$D$3:$D$5001,BD!$A$3:$A$5001,K$3,BD!$B$3:$B$5001,$A$407)))</f>
        <v/>
      </c>
      <c r="L408" s="179" t="str">
        <f>IF(L$3="","",IF(COUNTIFS(BD!$A$3:$A$5001,L$3,BD!$B$3:$B$5001,$A$407,BD!$D$3:$D$5001,"&lt;&gt;")=0,"",SUMIFS(BD!$D$3:$D$5001,BD!$A$3:$A$5001,L$3,BD!$B$3:$B$5001,$A$407)))</f>
        <v/>
      </c>
      <c r="M408" s="179" t="str">
        <f>IF(M$3="","",IF(COUNTIFS(BD!$A$3:$A$5001,M$3,BD!$B$3:$B$5001,$A$407,BD!$D$3:$D$5001,"&lt;&gt;")=0,"",SUMIFS(BD!$D$3:$D$5001,BD!$A$3:$A$5001,M$3,BD!$B$3:$B$5001,$A$407)))</f>
        <v/>
      </c>
      <c r="N408" s="179" t="str">
        <f>IF(N$3="","",IF(COUNTIFS(BD!$A$3:$A$5001,N$3,BD!$B$3:$B$5001,$A$407,BD!$D$3:$D$5001,"&lt;&gt;")=0,"",SUMIFS(BD!$D$3:$D$5001,BD!$A$3:$A$5001,N$3,BD!$B$3:$B$5001,$A$407)))</f>
        <v/>
      </c>
      <c r="O408" s="179" t="str">
        <f>IF(O$3="","",IF(COUNTIFS(BD!$A$3:$A$5001,O$3,BD!$B$3:$B$5001,$A$407,BD!$D$3:$D$5001,"&lt;&gt;")=0,"",SUMIFS(BD!$D$3:$D$5001,BD!$A$3:$A$5001,O$3,BD!$B$3:$B$5001,$A$407)))</f>
        <v/>
      </c>
      <c r="P408" s="179" t="str">
        <f>IF(P$3="","",IF(COUNTIFS(BD!$A$3:$A$5001,P$3,BD!$B$3:$B$5001,$A$407,BD!$D$3:$D$5001,"&lt;&gt;")=0,"",SUMIFS(BD!$D$3:$D$5001,BD!$A$3:$A$5001,P$3,BD!$B$3:$B$5001,$A$407)))</f>
        <v/>
      </c>
      <c r="Q408" s="179" t="str">
        <f>IF(Q$3="","",IF(COUNTIFS(BD!$A$3:$A$5001,Q$3,BD!$B$3:$B$5001,$A$407,BD!$D$3:$D$5001,"&lt;&gt;")=0,"",SUMIFS(BD!$D$3:$D$5001,BD!$A$3:$A$5001,Q$3,BD!$B$3:$B$5001,$A$407)))</f>
        <v/>
      </c>
      <c r="R408" s="179" t="str">
        <f>IF(R$3="","",IF(COUNTIFS(BD!$A$3:$A$5001,R$3,BD!$B$3:$B$5001,$A$407,BD!$D$3:$D$5001,"&lt;&gt;")=0,"",SUMIFS(BD!$D$3:$D$5001,BD!$A$3:$A$5001,R$3,BD!$B$3:$B$5001,$A$407)))</f>
        <v/>
      </c>
      <c r="S408" s="179" t="str">
        <f>IF(S$3="","",IF(COUNTIFS(BD!$A$3:$A$5001,S$3,BD!$B$3:$B$5001,$A$407,BD!$D$3:$D$5001,"&lt;&gt;")=0,"",SUMIFS(BD!$D$3:$D$5001,BD!$A$3:$A$5001,S$3,BD!$B$3:$B$5001,$A$407)))</f>
        <v/>
      </c>
      <c r="T408" s="179" t="str">
        <f>IF(T$3="","",IF(COUNTIFS(BD!$A$3:$A$5001,T$3,BD!$B$3:$B$5001,$A$407,BD!$D$3:$D$5001,"&lt;&gt;")=0,"",SUMIFS(BD!$D$3:$D$5001,BD!$A$3:$A$5001,T$3,BD!$B$3:$B$5001,$A$407)))</f>
        <v/>
      </c>
      <c r="U408" s="179" t="str">
        <f>IF(U$3="","",IF(COUNTIFS(BD!$A$3:$A$5001,U$3,BD!$B$3:$B$5001,$A$407,BD!$D$3:$D$5001,"&lt;&gt;")=0,"",SUMIFS(BD!$D$3:$D$5001,BD!$A$3:$A$5001,U$3,BD!$B$3:$B$5001,$A$407)))</f>
        <v/>
      </c>
      <c r="V408" s="179" t="str">
        <f>IF(V$3="","",IF(COUNTIFS(BD!$A$3:$A$5001,V$3,BD!$B$3:$B$5001,$A$407,BD!$D$3:$D$5001,"&lt;&gt;")=0,"",SUMIFS(BD!$D$3:$D$5001,BD!$A$3:$A$5001,V$3,BD!$B$3:$B$5001,$A$407)))</f>
        <v/>
      </c>
      <c r="W408" s="179" t="str">
        <f>IF(W$3="","",IF(COUNTIFS(BD!$A$3:$A$5001,W$3,BD!$B$3:$B$5001,$A$407,BD!$D$3:$D$5001,"&lt;&gt;")=0,"",SUMIFS(BD!$D$3:$D$5001,BD!$A$3:$A$5001,W$3,BD!$B$3:$B$5001,$A$407)))</f>
        <v/>
      </c>
      <c r="X408" s="179" t="str">
        <f>IF(X$3="","",IF(COUNTIFS(BD!$A$3:$A$5001,X$3,BD!$B$3:$B$5001,$A$407,BD!$D$3:$D$5001,"&lt;&gt;")=0,"",SUMIFS(BD!$D$3:$D$5001,BD!$A$3:$A$5001,X$3,BD!$B$3:$B$5001,$A$407)))</f>
        <v/>
      </c>
      <c r="Y408" s="179" t="str">
        <f>IF(Y$3="","",IF(COUNTIFS(BD!$A$3:$A$5001,Y$3,BD!$B$3:$B$5001,$A$407,BD!$D$3:$D$5001,"&lt;&gt;")=0,"",SUMIFS(BD!$D$3:$D$5001,BD!$A$3:$A$5001,Y$3,BD!$B$3:$B$5001,$A$407)))</f>
        <v/>
      </c>
      <c r="Z408" s="179" t="str">
        <f>IF(Z$3="","",IF(COUNTIFS(BD!$A$3:$A$5001,Z$3,BD!$B$3:$B$5001,$A$407,BD!$D$3:$D$5001,"&lt;&gt;")=0,"",SUMIFS(BD!$D$3:$D$5001,BD!$A$3:$A$5001,Z$3,BD!$B$3:$B$5001,$A$407)))</f>
        <v/>
      </c>
      <c r="AA408" s="179" t="str">
        <f>IF(AA$3="","",IF(COUNTIFS(BD!$A$3:$A$5001,AA$3,BD!$B$3:$B$5001,$A$407,BD!$D$3:$D$5001,"&lt;&gt;")=0,"",SUMIFS(BD!$D$3:$D$5001,BD!$A$3:$A$5001,AA$3,BD!$B$3:$B$5001,$A$407)))</f>
        <v/>
      </c>
      <c r="AB408" s="179" t="str">
        <f>IF(AB$3="","",IF(COUNTIFS(BD!$A$3:$A$5001,AB$3,BD!$B$3:$B$5001,$A$407,BD!$D$3:$D$5001,"&lt;&gt;")=0,"",SUMIFS(BD!$D$3:$D$5001,BD!$A$3:$A$5001,AB$3,BD!$B$3:$B$5001,$A$407)))</f>
        <v/>
      </c>
      <c r="AC408" s="179" t="str">
        <f>IF(AC$3="","",IF(COUNTIFS(BD!$A$3:$A$5001,AC$3,BD!$B$3:$B$5001,$A$407,BD!$D$3:$D$5001,"&lt;&gt;")=0,"",SUMIFS(BD!$D$3:$D$5001,BD!$A$3:$A$5001,AC$3,BD!$B$3:$B$5001,$A$407)))</f>
        <v/>
      </c>
      <c r="AD408" s="179" t="str">
        <f>IF(AD$3="","",IF(COUNTIFS(BD!$A$3:$A$5001,AD$3,BD!$B$3:$B$5001,$A$407,BD!$D$3:$D$5001,"&lt;&gt;")=0,"",SUMIFS(BD!$D$3:$D$5001,BD!$A$3:$A$5001,AD$3,BD!$B$3:$B$5001,$A$407)))</f>
        <v/>
      </c>
      <c r="AE408" s="179" t="str">
        <f>IF(AE$3="","",IF(COUNTIFS(BD!$A$3:$A$5001,AE$3,BD!$B$3:$B$5001,$A$407,BD!$D$3:$D$5001,"&lt;&gt;")=0,"",SUMIFS(BD!$D$3:$D$5001,BD!$A$3:$A$5001,AE$3,BD!$B$3:$B$5001,$A$407)))</f>
        <v/>
      </c>
      <c r="AF408" s="179" t="str">
        <f>IF(AF$3="","",IF(COUNTIFS(BD!$A$3:$A$5001,AF$3,BD!$B$3:$B$5001,$A$407,BD!$D$3:$D$5001,"&lt;&gt;")=0,"",SUMIFS(BD!$D$3:$D$5001,BD!$A$3:$A$5001,AF$3,BD!$B$3:$B$5001,$A$407)))</f>
        <v/>
      </c>
      <c r="AG408" s="179" t="str">
        <f>IF(AG$3="","",IF(COUNTIFS(BD!$A$3:$A$5001,AG$3,BD!$B$3:$B$5001,$A$407,BD!$D$3:$D$5001,"&lt;&gt;")=0,"",SUMIFS(BD!$D$3:$D$5001,BD!$A$3:$A$5001,AG$3,BD!$B$3:$B$5001,$A$407)))</f>
        <v/>
      </c>
      <c r="AH408" s="179" t="str">
        <f>IF(AH$3="","",IF(COUNTIFS(BD!$A$3:$A$5001,AH$3,BD!$B$3:$B$5001,$A$407,BD!$D$3:$D$5001,"&lt;&gt;")=0,"",SUMIFS(BD!$D$3:$D$5001,BD!$A$3:$A$5001,AH$3,BD!$B$3:$B$5001,$A$407)))</f>
        <v/>
      </c>
      <c r="AI408" s="179" t="str">
        <f>IF(AI$3="","",IF(COUNTIFS(BD!$A$3:$A$5001,AI$3,BD!$B$3:$B$5001,$A$407,BD!$D$3:$D$5001,"&lt;&gt;")=0,"",SUMIFS(BD!$D$3:$D$5001,BD!$A$3:$A$5001,AI$3,BD!$B$3:$B$5001,$A$407)))</f>
        <v/>
      </c>
      <c r="AJ408" s="180" t="str">
        <f>IF(AJ$3="","",IF(COUNTIFS(BD!$A$3:$A$5001,AJ$3,BD!$B$3:$B$5001,$A$407,BD!$D$3:$D$5001,"&lt;&gt;")=0,"",SUMIFS(BD!$D$3:$D$5001,BD!$A$3:$A$5001,AJ$3,BD!$B$3:$B$5001,$A$407)))</f>
        <v/>
      </c>
      <c r="AK408" s="181" t="str">
        <f>IF(COUNT(F408:AJ408)=0,"",SUM(F408:AJ408))</f>
        <v/>
      </c>
    </row>
    <row r="409" ht="15.75" customHeight="1" hidden="1">
      <c r="A409" s="277"/>
      <c r="B409" s="265"/>
      <c r="C409" s="175" t="inlineStr">
        <is>
          <t xml:space="preserve">Toneladas Movimentadas</t>
        </is>
      </c>
      <c r="D409" s="176" t="str">
        <f>IFERROR(1/(1/INDEX(BD!$AF$25:$AZ$25,MATCH($A$407,BD!$AF$22:$AZ$22,0))),"")</f>
        <v/>
      </c>
      <c r="E409" s="177"/>
      <c r="F409" s="182" t="str">
        <f>IF(F$3="","",IF(COUNTIFS(BD!$A$3:$A$5001,F$3,BD!$B$3:$B$5001,$A$407,BD!$E$3:$E$5001,"&lt;&gt;")=0,"",SUMIFS(BD!$E$3:$E$5001,BD!$A$3:$A$5001,F$3,BD!$B$3:$B$5001,$A$407)))</f>
        <v/>
      </c>
      <c r="G409" s="183" t="str">
        <f>IF(G$3="","",IF(COUNTIFS(BD!$A$3:$A$5001,G$3,BD!$B$3:$B$5001,$A$407,BD!$E$3:$E$5001,"&lt;&gt;")=0,"",SUMIFS(BD!$E$3:$E$5001,BD!$A$3:$A$5001,G$3,BD!$B$3:$B$5001,$A$407)))</f>
        <v/>
      </c>
      <c r="H409" s="183" t="str">
        <f>IF(H$3="","",IF(COUNTIFS(BD!$A$3:$A$5001,H$3,BD!$B$3:$B$5001,$A$407,BD!$E$3:$E$5001,"&lt;&gt;")=0,"",SUMIFS(BD!$E$3:$E$5001,BD!$A$3:$A$5001,H$3,BD!$B$3:$B$5001,$A$407)))</f>
        <v/>
      </c>
      <c r="I409" s="183" t="str">
        <f>IF(I$3="","",IF(COUNTIFS(BD!$A$3:$A$5001,I$3,BD!$B$3:$B$5001,$A$407,BD!$E$3:$E$5001,"&lt;&gt;")=0,"",SUMIFS(BD!$E$3:$E$5001,BD!$A$3:$A$5001,I$3,BD!$B$3:$B$5001,$A$407)))</f>
        <v/>
      </c>
      <c r="J409" s="183" t="str">
        <f>IF(J$3="","",IF(COUNTIFS(BD!$A$3:$A$5001,J$3,BD!$B$3:$B$5001,$A$407,BD!$E$3:$E$5001,"&lt;&gt;")=0,"",SUMIFS(BD!$E$3:$E$5001,BD!$A$3:$A$5001,J$3,BD!$B$3:$B$5001,$A$407)))</f>
        <v/>
      </c>
      <c r="K409" s="183" t="str">
        <f>IF(K$3="","",IF(COUNTIFS(BD!$A$3:$A$5001,K$3,BD!$B$3:$B$5001,$A$407,BD!$E$3:$E$5001,"&lt;&gt;")=0,"",SUMIFS(BD!$E$3:$E$5001,BD!$A$3:$A$5001,K$3,BD!$B$3:$B$5001,$A$407)))</f>
        <v/>
      </c>
      <c r="L409" s="183" t="str">
        <f>IF(L$3="","",IF(COUNTIFS(BD!$A$3:$A$5001,L$3,BD!$B$3:$B$5001,$A$407,BD!$E$3:$E$5001,"&lt;&gt;")=0,"",SUMIFS(BD!$E$3:$E$5001,BD!$A$3:$A$5001,L$3,BD!$B$3:$B$5001,$A$407)))</f>
        <v/>
      </c>
      <c r="M409" s="183" t="str">
        <f>IF(M$3="","",IF(COUNTIFS(BD!$A$3:$A$5001,M$3,BD!$B$3:$B$5001,$A$407,BD!$E$3:$E$5001,"&lt;&gt;")=0,"",SUMIFS(BD!$E$3:$E$5001,BD!$A$3:$A$5001,M$3,BD!$B$3:$B$5001,$A$407)))</f>
        <v/>
      </c>
      <c r="N409" s="183" t="str">
        <f>IF(N$3="","",IF(COUNTIFS(BD!$A$3:$A$5001,N$3,BD!$B$3:$B$5001,$A$407,BD!$E$3:$E$5001,"&lt;&gt;")=0,"",SUMIFS(BD!$E$3:$E$5001,BD!$A$3:$A$5001,N$3,BD!$B$3:$B$5001,$A$407)))</f>
        <v/>
      </c>
      <c r="O409" s="183" t="str">
        <f>IF(O$3="","",IF(COUNTIFS(BD!$A$3:$A$5001,O$3,BD!$B$3:$B$5001,$A$407,BD!$E$3:$E$5001,"&lt;&gt;")=0,"",SUMIFS(BD!$E$3:$E$5001,BD!$A$3:$A$5001,O$3,BD!$B$3:$B$5001,$A$407)))</f>
        <v/>
      </c>
      <c r="P409" s="183" t="str">
        <f>IF(P$3="","",IF(COUNTIFS(BD!$A$3:$A$5001,P$3,BD!$B$3:$B$5001,$A$407,BD!$E$3:$E$5001,"&lt;&gt;")=0,"",SUMIFS(BD!$E$3:$E$5001,BD!$A$3:$A$5001,P$3,BD!$B$3:$B$5001,$A$407)))</f>
        <v/>
      </c>
      <c r="Q409" s="183" t="str">
        <f>IF(Q$3="","",IF(COUNTIFS(BD!$A$3:$A$5001,Q$3,BD!$B$3:$B$5001,$A$407,BD!$E$3:$E$5001,"&lt;&gt;")=0,"",SUMIFS(BD!$E$3:$E$5001,BD!$A$3:$A$5001,Q$3,BD!$B$3:$B$5001,$A$407)))</f>
        <v/>
      </c>
      <c r="R409" s="183" t="str">
        <f>IF(R$3="","",IF(COUNTIFS(BD!$A$3:$A$5001,R$3,BD!$B$3:$B$5001,$A$407,BD!$E$3:$E$5001,"&lt;&gt;")=0,"",SUMIFS(BD!$E$3:$E$5001,BD!$A$3:$A$5001,R$3,BD!$B$3:$B$5001,$A$407)))</f>
        <v/>
      </c>
      <c r="S409" s="183" t="str">
        <f>IF(S$3="","",IF(COUNTIFS(BD!$A$3:$A$5001,S$3,BD!$B$3:$B$5001,$A$407,BD!$E$3:$E$5001,"&lt;&gt;")=0,"",SUMIFS(BD!$E$3:$E$5001,BD!$A$3:$A$5001,S$3,BD!$B$3:$B$5001,$A$407)))</f>
        <v/>
      </c>
      <c r="T409" s="183" t="str">
        <f>IF(T$3="","",IF(COUNTIFS(BD!$A$3:$A$5001,T$3,BD!$B$3:$B$5001,$A$407,BD!$E$3:$E$5001,"&lt;&gt;")=0,"",SUMIFS(BD!$E$3:$E$5001,BD!$A$3:$A$5001,T$3,BD!$B$3:$B$5001,$A$407)))</f>
        <v/>
      </c>
      <c r="U409" s="183" t="str">
        <f>IF(U$3="","",IF(COUNTIFS(BD!$A$3:$A$5001,U$3,BD!$B$3:$B$5001,$A$407,BD!$E$3:$E$5001,"&lt;&gt;")=0,"",SUMIFS(BD!$E$3:$E$5001,BD!$A$3:$A$5001,U$3,BD!$B$3:$B$5001,$A$407)))</f>
        <v/>
      </c>
      <c r="V409" s="183" t="str">
        <f>IF(V$3="","",IF(COUNTIFS(BD!$A$3:$A$5001,V$3,BD!$B$3:$B$5001,$A$407,BD!$E$3:$E$5001,"&lt;&gt;")=0,"",SUMIFS(BD!$E$3:$E$5001,BD!$A$3:$A$5001,V$3,BD!$B$3:$B$5001,$A$407)))</f>
        <v/>
      </c>
      <c r="W409" s="183" t="str">
        <f>IF(W$3="","",IF(COUNTIFS(BD!$A$3:$A$5001,W$3,BD!$B$3:$B$5001,$A$407,BD!$E$3:$E$5001,"&lt;&gt;")=0,"",SUMIFS(BD!$E$3:$E$5001,BD!$A$3:$A$5001,W$3,BD!$B$3:$B$5001,$A$407)))</f>
        <v/>
      </c>
      <c r="X409" s="183" t="str">
        <f>IF(X$3="","",IF(COUNTIFS(BD!$A$3:$A$5001,X$3,BD!$B$3:$B$5001,$A$407,BD!$E$3:$E$5001,"&lt;&gt;")=0,"",SUMIFS(BD!$E$3:$E$5001,BD!$A$3:$A$5001,X$3,BD!$B$3:$B$5001,$A$407)))</f>
        <v/>
      </c>
      <c r="Y409" s="183" t="str">
        <f>IF(Y$3="","",IF(COUNTIFS(BD!$A$3:$A$5001,Y$3,BD!$B$3:$B$5001,$A$407,BD!$E$3:$E$5001,"&lt;&gt;")=0,"",SUMIFS(BD!$E$3:$E$5001,BD!$A$3:$A$5001,Y$3,BD!$B$3:$B$5001,$A$407)))</f>
        <v/>
      </c>
      <c r="Z409" s="183" t="str">
        <f>IF(Z$3="","",IF(COUNTIFS(BD!$A$3:$A$5001,Z$3,BD!$B$3:$B$5001,$A$407,BD!$E$3:$E$5001,"&lt;&gt;")=0,"",SUMIFS(BD!$E$3:$E$5001,BD!$A$3:$A$5001,Z$3,BD!$B$3:$B$5001,$A$407)))</f>
        <v/>
      </c>
      <c r="AA409" s="183" t="str">
        <f>IF(AA$3="","",IF(COUNTIFS(BD!$A$3:$A$5001,AA$3,BD!$B$3:$B$5001,$A$407,BD!$E$3:$E$5001,"&lt;&gt;")=0,"",SUMIFS(BD!$E$3:$E$5001,BD!$A$3:$A$5001,AA$3,BD!$B$3:$B$5001,$A$407)))</f>
        <v/>
      </c>
      <c r="AB409" s="183" t="str">
        <f>IF(AB$3="","",IF(COUNTIFS(BD!$A$3:$A$5001,AB$3,BD!$B$3:$B$5001,$A$407,BD!$E$3:$E$5001,"&lt;&gt;")=0,"",SUMIFS(BD!$E$3:$E$5001,BD!$A$3:$A$5001,AB$3,BD!$B$3:$B$5001,$A$407)))</f>
        <v/>
      </c>
      <c r="AC409" s="183" t="str">
        <f>IF(AC$3="","",IF(COUNTIFS(BD!$A$3:$A$5001,AC$3,BD!$B$3:$B$5001,$A$407,BD!$E$3:$E$5001,"&lt;&gt;")=0,"",SUMIFS(BD!$E$3:$E$5001,BD!$A$3:$A$5001,AC$3,BD!$B$3:$B$5001,$A$407)))</f>
        <v/>
      </c>
      <c r="AD409" s="183" t="str">
        <f>IF(AD$3="","",IF(COUNTIFS(BD!$A$3:$A$5001,AD$3,BD!$B$3:$B$5001,$A$407,BD!$E$3:$E$5001,"&lt;&gt;")=0,"",SUMIFS(BD!$E$3:$E$5001,BD!$A$3:$A$5001,AD$3,BD!$B$3:$B$5001,$A$407)))</f>
        <v/>
      </c>
      <c r="AE409" s="183" t="str">
        <f>IF(AE$3="","",IF(COUNTIFS(BD!$A$3:$A$5001,AE$3,BD!$B$3:$B$5001,$A$407,BD!$E$3:$E$5001,"&lt;&gt;")=0,"",SUMIFS(BD!$E$3:$E$5001,BD!$A$3:$A$5001,AE$3,BD!$B$3:$B$5001,$A$407)))</f>
        <v/>
      </c>
      <c r="AF409" s="183" t="str">
        <f>IF(AF$3="","",IF(COUNTIFS(BD!$A$3:$A$5001,AF$3,BD!$B$3:$B$5001,$A$407,BD!$E$3:$E$5001,"&lt;&gt;")=0,"",SUMIFS(BD!$E$3:$E$5001,BD!$A$3:$A$5001,AF$3,BD!$B$3:$B$5001,$A$407)))</f>
        <v/>
      </c>
      <c r="AG409" s="183" t="str">
        <f>IF(AG$3="","",IF(COUNTIFS(BD!$A$3:$A$5001,AG$3,BD!$B$3:$B$5001,$A$407,BD!$E$3:$E$5001,"&lt;&gt;")=0,"",SUMIFS(BD!$E$3:$E$5001,BD!$A$3:$A$5001,AG$3,BD!$B$3:$B$5001,$A$407)))</f>
        <v/>
      </c>
      <c r="AH409" s="183" t="str">
        <f>IF(AH$3="","",IF(COUNTIFS(BD!$A$3:$A$5001,AH$3,BD!$B$3:$B$5001,$A$407,BD!$E$3:$E$5001,"&lt;&gt;")=0,"",SUMIFS(BD!$E$3:$E$5001,BD!$A$3:$A$5001,AH$3,BD!$B$3:$B$5001,$A$407)))</f>
        <v/>
      </c>
      <c r="AI409" s="183" t="str">
        <f>IF(AI$3="","",IF(COUNTIFS(BD!$A$3:$A$5001,AI$3,BD!$B$3:$B$5001,$A$407,BD!$E$3:$E$5001,"&lt;&gt;")=0,"",SUMIFS(BD!$E$3:$E$5001,BD!$A$3:$A$5001,AI$3,BD!$B$3:$B$5001,$A$407)))</f>
        <v/>
      </c>
      <c r="AJ409" s="184" t="str">
        <f>IF(AJ$3="","",IF(COUNTIFS(BD!$A$3:$A$5001,AJ$3,BD!$B$3:$B$5001,$A$407,BD!$E$3:$E$5001,"&lt;&gt;")=0,"",SUMIFS(BD!$E$3:$E$5001,BD!$A$3:$A$5001,AJ$3,BD!$B$3:$B$5001,$A$407)))</f>
        <v/>
      </c>
      <c r="AK409" s="185" t="str">
        <f>IF(COUNT(F409:AJ409)=0,"",SUM(F409:AJ409))</f>
        <v/>
      </c>
    </row>
    <row r="410" ht="15.75" customHeight="1" hidden="1">
      <c r="A410" s="277"/>
      <c r="B410" s="265"/>
      <c r="C410" s="175" t="inlineStr">
        <is>
          <t xml:space="preserve">Caixas Recebidas</t>
        </is>
      </c>
      <c r="D410" s="176" t="str">
        <f>IFERROR(1/(1/INDEX(BD!$AF$26:$AZ$26,MATCH($A$407,BD!$AF$22:$AZ$22,0))),"")</f>
        <v/>
      </c>
      <c r="E410" s="177"/>
      <c r="F410" s="178" t="str">
        <f>IF(F$3="","",IF(COUNTIFS(BD!$A$3:$A$5001,F$3,BD!$B$3:$B$5001,$A$407,BD!$F$3:$F$5001,"&lt;&gt;")=0,"",SUMIFS(BD!$F$3:$F$5001,BD!$A$3:$A$5001,F$3,BD!$B$3:$B$5001,$A$407)))</f>
        <v/>
      </c>
      <c r="G410" s="179" t="str">
        <f>IF(G$3="","",IF(COUNTIFS(BD!$A$3:$A$5001,G$3,BD!$B$3:$B$5001,$A$407,BD!$F$3:$F$5001,"&lt;&gt;")=0,"",SUMIFS(BD!$F$3:$F$5001,BD!$A$3:$A$5001,G$3,BD!$B$3:$B$5001,$A$407)))</f>
        <v/>
      </c>
      <c r="H410" s="179" t="str">
        <f>IF(H$3="","",IF(COUNTIFS(BD!$A$3:$A$5001,H$3,BD!$B$3:$B$5001,$A$407,BD!$F$3:$F$5001,"&lt;&gt;")=0,"",SUMIFS(BD!$F$3:$F$5001,BD!$A$3:$A$5001,H$3,BD!$B$3:$B$5001,$A$407)))</f>
        <v/>
      </c>
      <c r="I410" s="179" t="str">
        <f>IF(I$3="","",IF(COUNTIFS(BD!$A$3:$A$5001,I$3,BD!$B$3:$B$5001,$A$407,BD!$F$3:$F$5001,"&lt;&gt;")=0,"",SUMIFS(BD!$F$3:$F$5001,BD!$A$3:$A$5001,I$3,BD!$B$3:$B$5001,$A$407)))</f>
        <v/>
      </c>
      <c r="J410" s="179" t="str">
        <f>IF(J$3="","",IF(COUNTIFS(BD!$A$3:$A$5001,J$3,BD!$B$3:$B$5001,$A$407,BD!$F$3:$F$5001,"&lt;&gt;")=0,"",SUMIFS(BD!$F$3:$F$5001,BD!$A$3:$A$5001,J$3,BD!$B$3:$B$5001,$A$407)))</f>
        <v/>
      </c>
      <c r="K410" s="179" t="str">
        <f>IF(K$3="","",IF(COUNTIFS(BD!$A$3:$A$5001,K$3,BD!$B$3:$B$5001,$A$407,BD!$F$3:$F$5001,"&lt;&gt;")=0,"",SUMIFS(BD!$F$3:$F$5001,BD!$A$3:$A$5001,K$3,BD!$B$3:$B$5001,$A$407)))</f>
        <v/>
      </c>
      <c r="L410" s="179" t="str">
        <f>IF(L$3="","",IF(COUNTIFS(BD!$A$3:$A$5001,L$3,BD!$B$3:$B$5001,$A$407,BD!$F$3:$F$5001,"&lt;&gt;")=0,"",SUMIFS(BD!$F$3:$F$5001,BD!$A$3:$A$5001,L$3,BD!$B$3:$B$5001,$A$407)))</f>
        <v/>
      </c>
      <c r="M410" s="179" t="str">
        <f>IF(M$3="","",IF(COUNTIFS(BD!$A$3:$A$5001,M$3,BD!$B$3:$B$5001,$A$407,BD!$F$3:$F$5001,"&lt;&gt;")=0,"",SUMIFS(BD!$F$3:$F$5001,BD!$A$3:$A$5001,M$3,BD!$B$3:$B$5001,$A$407)))</f>
        <v/>
      </c>
      <c r="N410" s="179" t="str">
        <f>IF(N$3="","",IF(COUNTIFS(BD!$A$3:$A$5001,N$3,BD!$B$3:$B$5001,$A$407,BD!$F$3:$F$5001,"&lt;&gt;")=0,"",SUMIFS(BD!$F$3:$F$5001,BD!$A$3:$A$5001,N$3,BD!$B$3:$B$5001,$A$407)))</f>
        <v/>
      </c>
      <c r="O410" s="179" t="str">
        <f>IF(O$3="","",IF(COUNTIFS(BD!$A$3:$A$5001,O$3,BD!$B$3:$B$5001,$A$407,BD!$F$3:$F$5001,"&lt;&gt;")=0,"",SUMIFS(BD!$F$3:$F$5001,BD!$A$3:$A$5001,O$3,BD!$B$3:$B$5001,$A$407)))</f>
        <v/>
      </c>
      <c r="P410" s="179" t="str">
        <f>IF(P$3="","",IF(COUNTIFS(BD!$A$3:$A$5001,P$3,BD!$B$3:$B$5001,$A$407,BD!$F$3:$F$5001,"&lt;&gt;")=0,"",SUMIFS(BD!$F$3:$F$5001,BD!$A$3:$A$5001,P$3,BD!$B$3:$B$5001,$A$407)))</f>
        <v/>
      </c>
      <c r="Q410" s="179" t="str">
        <f>IF(Q$3="","",IF(COUNTIFS(BD!$A$3:$A$5001,Q$3,BD!$B$3:$B$5001,$A$407,BD!$F$3:$F$5001,"&lt;&gt;")=0,"",SUMIFS(BD!$F$3:$F$5001,BD!$A$3:$A$5001,Q$3,BD!$B$3:$B$5001,$A$407)))</f>
        <v/>
      </c>
      <c r="R410" s="179" t="str">
        <f>IF(R$3="","",IF(COUNTIFS(BD!$A$3:$A$5001,R$3,BD!$B$3:$B$5001,$A$407,BD!$F$3:$F$5001,"&lt;&gt;")=0,"",SUMIFS(BD!$F$3:$F$5001,BD!$A$3:$A$5001,R$3,BD!$B$3:$B$5001,$A$407)))</f>
        <v/>
      </c>
      <c r="S410" s="179" t="str">
        <f>IF(S$3="","",IF(COUNTIFS(BD!$A$3:$A$5001,S$3,BD!$B$3:$B$5001,$A$407,BD!$F$3:$F$5001,"&lt;&gt;")=0,"",SUMIFS(BD!$F$3:$F$5001,BD!$A$3:$A$5001,S$3,BD!$B$3:$B$5001,$A$407)))</f>
        <v/>
      </c>
      <c r="T410" s="179" t="str">
        <f>IF(T$3="","",IF(COUNTIFS(BD!$A$3:$A$5001,T$3,BD!$B$3:$B$5001,$A$407,BD!$F$3:$F$5001,"&lt;&gt;")=0,"",SUMIFS(BD!$F$3:$F$5001,BD!$A$3:$A$5001,T$3,BD!$B$3:$B$5001,$A$407)))</f>
        <v/>
      </c>
      <c r="U410" s="179" t="str">
        <f>IF(U$3="","",IF(COUNTIFS(BD!$A$3:$A$5001,U$3,BD!$B$3:$B$5001,$A$407,BD!$F$3:$F$5001,"&lt;&gt;")=0,"",SUMIFS(BD!$F$3:$F$5001,BD!$A$3:$A$5001,U$3,BD!$B$3:$B$5001,$A$407)))</f>
        <v/>
      </c>
      <c r="V410" s="179" t="str">
        <f>IF(V$3="","",IF(COUNTIFS(BD!$A$3:$A$5001,V$3,BD!$B$3:$B$5001,$A$407,BD!$F$3:$F$5001,"&lt;&gt;")=0,"",SUMIFS(BD!$F$3:$F$5001,BD!$A$3:$A$5001,V$3,BD!$B$3:$B$5001,$A$407)))</f>
        <v/>
      </c>
      <c r="W410" s="179" t="str">
        <f>IF(W$3="","",IF(COUNTIFS(BD!$A$3:$A$5001,W$3,BD!$B$3:$B$5001,$A$407,BD!$F$3:$F$5001,"&lt;&gt;")=0,"",SUMIFS(BD!$F$3:$F$5001,BD!$A$3:$A$5001,W$3,BD!$B$3:$B$5001,$A$407)))</f>
        <v/>
      </c>
      <c r="X410" s="179" t="str">
        <f>IF(X$3="","",IF(COUNTIFS(BD!$A$3:$A$5001,X$3,BD!$B$3:$B$5001,$A$407,BD!$F$3:$F$5001,"&lt;&gt;")=0,"",SUMIFS(BD!$F$3:$F$5001,BD!$A$3:$A$5001,X$3,BD!$B$3:$B$5001,$A$407)))</f>
        <v/>
      </c>
      <c r="Y410" s="179" t="str">
        <f>IF(Y$3="","",IF(COUNTIFS(BD!$A$3:$A$5001,Y$3,BD!$B$3:$B$5001,$A$407,BD!$F$3:$F$5001,"&lt;&gt;")=0,"",SUMIFS(BD!$F$3:$F$5001,BD!$A$3:$A$5001,Y$3,BD!$B$3:$B$5001,$A$407)))</f>
        <v/>
      </c>
      <c r="Z410" s="179" t="str">
        <f>IF(Z$3="","",IF(COUNTIFS(BD!$A$3:$A$5001,Z$3,BD!$B$3:$B$5001,$A$407,BD!$F$3:$F$5001,"&lt;&gt;")=0,"",SUMIFS(BD!$F$3:$F$5001,BD!$A$3:$A$5001,Z$3,BD!$B$3:$B$5001,$A$407)))</f>
        <v/>
      </c>
      <c r="AA410" s="179" t="str">
        <f>IF(AA$3="","",IF(COUNTIFS(BD!$A$3:$A$5001,AA$3,BD!$B$3:$B$5001,$A$407,BD!$F$3:$F$5001,"&lt;&gt;")=0,"",SUMIFS(BD!$F$3:$F$5001,BD!$A$3:$A$5001,AA$3,BD!$B$3:$B$5001,$A$407)))</f>
        <v/>
      </c>
      <c r="AB410" s="179" t="str">
        <f>IF(AB$3="","",IF(COUNTIFS(BD!$A$3:$A$5001,AB$3,BD!$B$3:$B$5001,$A$407,BD!$F$3:$F$5001,"&lt;&gt;")=0,"",SUMIFS(BD!$F$3:$F$5001,BD!$A$3:$A$5001,AB$3,BD!$B$3:$B$5001,$A$407)))</f>
        <v/>
      </c>
      <c r="AC410" s="179" t="str">
        <f>IF(AC$3="","",IF(COUNTIFS(BD!$A$3:$A$5001,AC$3,BD!$B$3:$B$5001,$A$407,BD!$F$3:$F$5001,"&lt;&gt;")=0,"",SUMIFS(BD!$F$3:$F$5001,BD!$A$3:$A$5001,AC$3,BD!$B$3:$B$5001,$A$407)))</f>
        <v/>
      </c>
      <c r="AD410" s="179" t="str">
        <f>IF(AD$3="","",IF(COUNTIFS(BD!$A$3:$A$5001,AD$3,BD!$B$3:$B$5001,$A$407,BD!$F$3:$F$5001,"&lt;&gt;")=0,"",SUMIFS(BD!$F$3:$F$5001,BD!$A$3:$A$5001,AD$3,BD!$B$3:$B$5001,$A$407)))</f>
        <v/>
      </c>
      <c r="AE410" s="179" t="str">
        <f>IF(AE$3="","",IF(COUNTIFS(BD!$A$3:$A$5001,AE$3,BD!$B$3:$B$5001,$A$407,BD!$F$3:$F$5001,"&lt;&gt;")=0,"",SUMIFS(BD!$F$3:$F$5001,BD!$A$3:$A$5001,AE$3,BD!$B$3:$B$5001,$A$407)))</f>
        <v/>
      </c>
      <c r="AF410" s="179" t="str">
        <f>IF(AF$3="","",IF(COUNTIFS(BD!$A$3:$A$5001,AF$3,BD!$B$3:$B$5001,$A$407,BD!$F$3:$F$5001,"&lt;&gt;")=0,"",SUMIFS(BD!$F$3:$F$5001,BD!$A$3:$A$5001,AF$3,BD!$B$3:$B$5001,$A$407)))</f>
        <v/>
      </c>
      <c r="AG410" s="179" t="str">
        <f>IF(AG$3="","",IF(COUNTIFS(BD!$A$3:$A$5001,AG$3,BD!$B$3:$B$5001,$A$407,BD!$F$3:$F$5001,"&lt;&gt;")=0,"",SUMIFS(BD!$F$3:$F$5001,BD!$A$3:$A$5001,AG$3,BD!$B$3:$B$5001,$A$407)))</f>
        <v/>
      </c>
      <c r="AH410" s="179" t="str">
        <f>IF(AH$3="","",IF(COUNTIFS(BD!$A$3:$A$5001,AH$3,BD!$B$3:$B$5001,$A$407,BD!$F$3:$F$5001,"&lt;&gt;")=0,"",SUMIFS(BD!$F$3:$F$5001,BD!$A$3:$A$5001,AH$3,BD!$B$3:$B$5001,$A$407)))</f>
        <v/>
      </c>
      <c r="AI410" s="179" t="str">
        <f>IF(AI$3="","",IF(COUNTIFS(BD!$A$3:$A$5001,AI$3,BD!$B$3:$B$5001,$A$407,BD!$F$3:$F$5001,"&lt;&gt;")=0,"",SUMIFS(BD!$F$3:$F$5001,BD!$A$3:$A$5001,AI$3,BD!$B$3:$B$5001,$A$407)))</f>
        <v/>
      </c>
      <c r="AJ410" s="180" t="str">
        <f>IF(AJ$3="","",IF(COUNTIFS(BD!$A$3:$A$5001,AJ$3,BD!$B$3:$B$5001,$A$407,BD!$F$3:$F$5001,"&lt;&gt;")=0,"",SUMIFS(BD!$F$3:$F$5001,BD!$A$3:$A$5001,AJ$3,BD!$B$3:$B$5001,$A$407)))</f>
        <v/>
      </c>
      <c r="AK410" s="181" t="str">
        <f>IF(COUNT(F410:AJ410)=0,"",SUM(F410:AJ410))</f>
        <v/>
      </c>
    </row>
    <row r="411" ht="15.75" customHeight="1" hidden="1">
      <c r="A411" s="277"/>
      <c r="B411" s="266"/>
      <c r="C411" s="186" t="inlineStr">
        <is>
          <t xml:space="preserve">Bags Recebidos</t>
        </is>
      </c>
      <c r="D411" s="187" t="str">
        <f>IFERROR(1/(1/INDEX(BD!$AF$27:$AZ$27,MATCH($A$407,BD!$AF$22:$AZ$22,0))),"")</f>
        <v/>
      </c>
      <c r="E411" s="188"/>
      <c r="F411" s="189" t="str">
        <f>IF(F$3="","",IF(COUNTIFS(BD!$A$3:$A$5001,F$3,BD!$B$3:$B$5001,$A$407,BD!$G$3:$G$5001,"&lt;&gt;")=0,"",SUMIFS(BD!$G$3:$G$5001,BD!$A$3:$A$5001,F$3,BD!$B$3:$B$5001,$A$407)))</f>
        <v/>
      </c>
      <c r="G411" s="190" t="str">
        <f>IF(G$3="","",IF(COUNTIFS(BD!$A$3:$A$5001,G$3,BD!$B$3:$B$5001,$A$407,BD!$G$3:$G$5001,"&lt;&gt;")=0,"",SUMIFS(BD!$G$3:$G$5001,BD!$A$3:$A$5001,G$3,BD!$B$3:$B$5001,$A$407)))</f>
        <v/>
      </c>
      <c r="H411" s="190" t="str">
        <f>IF(H$3="","",IF(COUNTIFS(BD!$A$3:$A$5001,H$3,BD!$B$3:$B$5001,$A$407,BD!$G$3:$G$5001,"&lt;&gt;")=0,"",SUMIFS(BD!$G$3:$G$5001,BD!$A$3:$A$5001,H$3,BD!$B$3:$B$5001,$A$407)))</f>
        <v/>
      </c>
      <c r="I411" s="190" t="str">
        <f>IF(I$3="","",IF(COUNTIFS(BD!$A$3:$A$5001,I$3,BD!$B$3:$B$5001,$A$407,BD!$G$3:$G$5001,"&lt;&gt;")=0,"",SUMIFS(BD!$G$3:$G$5001,BD!$A$3:$A$5001,I$3,BD!$B$3:$B$5001,$A$407)))</f>
        <v/>
      </c>
      <c r="J411" s="190" t="str">
        <f>IF(J$3="","",IF(COUNTIFS(BD!$A$3:$A$5001,J$3,BD!$B$3:$B$5001,$A$407,BD!$G$3:$G$5001,"&lt;&gt;")=0,"",SUMIFS(BD!$G$3:$G$5001,BD!$A$3:$A$5001,J$3,BD!$B$3:$B$5001,$A$407)))</f>
        <v/>
      </c>
      <c r="K411" s="190" t="str">
        <f>IF(K$3="","",IF(COUNTIFS(BD!$A$3:$A$5001,K$3,BD!$B$3:$B$5001,$A$407,BD!$G$3:$G$5001,"&lt;&gt;")=0,"",SUMIFS(BD!$G$3:$G$5001,BD!$A$3:$A$5001,K$3,BD!$B$3:$B$5001,$A$407)))</f>
        <v/>
      </c>
      <c r="L411" s="190" t="str">
        <f>IF(L$3="","",IF(COUNTIFS(BD!$A$3:$A$5001,L$3,BD!$B$3:$B$5001,$A$407,BD!$G$3:$G$5001,"&lt;&gt;")=0,"",SUMIFS(BD!$G$3:$G$5001,BD!$A$3:$A$5001,L$3,BD!$B$3:$B$5001,$A$407)))</f>
        <v/>
      </c>
      <c r="M411" s="190" t="str">
        <f>IF(M$3="","",IF(COUNTIFS(BD!$A$3:$A$5001,M$3,BD!$B$3:$B$5001,$A$407,BD!$G$3:$G$5001,"&lt;&gt;")=0,"",SUMIFS(BD!$G$3:$G$5001,BD!$A$3:$A$5001,M$3,BD!$B$3:$B$5001,$A$407)))</f>
        <v/>
      </c>
      <c r="N411" s="190" t="str">
        <f>IF(N$3="","",IF(COUNTIFS(BD!$A$3:$A$5001,N$3,BD!$B$3:$B$5001,$A$407,BD!$G$3:$G$5001,"&lt;&gt;")=0,"",SUMIFS(BD!$G$3:$G$5001,BD!$A$3:$A$5001,N$3,BD!$B$3:$B$5001,$A$407)))</f>
        <v/>
      </c>
      <c r="O411" s="190" t="str">
        <f>IF(O$3="","",IF(COUNTIFS(BD!$A$3:$A$5001,O$3,BD!$B$3:$B$5001,$A$407,BD!$G$3:$G$5001,"&lt;&gt;")=0,"",SUMIFS(BD!$G$3:$G$5001,BD!$A$3:$A$5001,O$3,BD!$B$3:$B$5001,$A$407)))</f>
        <v/>
      </c>
      <c r="P411" s="190" t="str">
        <f>IF(P$3="","",IF(COUNTIFS(BD!$A$3:$A$5001,P$3,BD!$B$3:$B$5001,$A$407,BD!$G$3:$G$5001,"&lt;&gt;")=0,"",SUMIFS(BD!$G$3:$G$5001,BD!$A$3:$A$5001,P$3,BD!$B$3:$B$5001,$A$407)))</f>
        <v/>
      </c>
      <c r="Q411" s="190" t="str">
        <f>IF(Q$3="","",IF(COUNTIFS(BD!$A$3:$A$5001,Q$3,BD!$B$3:$B$5001,$A$407,BD!$G$3:$G$5001,"&lt;&gt;")=0,"",SUMIFS(BD!$G$3:$G$5001,BD!$A$3:$A$5001,Q$3,BD!$B$3:$B$5001,$A$407)))</f>
        <v/>
      </c>
      <c r="R411" s="190" t="str">
        <f>IF(R$3="","",IF(COUNTIFS(BD!$A$3:$A$5001,R$3,BD!$B$3:$B$5001,$A$407,BD!$G$3:$G$5001,"&lt;&gt;")=0,"",SUMIFS(BD!$G$3:$G$5001,BD!$A$3:$A$5001,R$3,BD!$B$3:$B$5001,$A$407)))</f>
        <v/>
      </c>
      <c r="S411" s="190" t="str">
        <f>IF(S$3="","",IF(COUNTIFS(BD!$A$3:$A$5001,S$3,BD!$B$3:$B$5001,$A$407,BD!$G$3:$G$5001,"&lt;&gt;")=0,"",SUMIFS(BD!$G$3:$G$5001,BD!$A$3:$A$5001,S$3,BD!$B$3:$B$5001,$A$407)))</f>
        <v/>
      </c>
      <c r="T411" s="190" t="str">
        <f>IF(T$3="","",IF(COUNTIFS(BD!$A$3:$A$5001,T$3,BD!$B$3:$B$5001,$A$407,BD!$G$3:$G$5001,"&lt;&gt;")=0,"",SUMIFS(BD!$G$3:$G$5001,BD!$A$3:$A$5001,T$3,BD!$B$3:$B$5001,$A$407)))</f>
        <v/>
      </c>
      <c r="U411" s="190" t="str">
        <f>IF(U$3="","",IF(COUNTIFS(BD!$A$3:$A$5001,U$3,BD!$B$3:$B$5001,$A$407,BD!$G$3:$G$5001,"&lt;&gt;")=0,"",SUMIFS(BD!$G$3:$G$5001,BD!$A$3:$A$5001,U$3,BD!$B$3:$B$5001,$A$407)))</f>
        <v/>
      </c>
      <c r="V411" s="190" t="str">
        <f>IF(V$3="","",IF(COUNTIFS(BD!$A$3:$A$5001,V$3,BD!$B$3:$B$5001,$A$407,BD!$G$3:$G$5001,"&lt;&gt;")=0,"",SUMIFS(BD!$G$3:$G$5001,BD!$A$3:$A$5001,V$3,BD!$B$3:$B$5001,$A$407)))</f>
        <v/>
      </c>
      <c r="W411" s="190" t="str">
        <f>IF(W$3="","",IF(COUNTIFS(BD!$A$3:$A$5001,W$3,BD!$B$3:$B$5001,$A$407,BD!$G$3:$G$5001,"&lt;&gt;")=0,"",SUMIFS(BD!$G$3:$G$5001,BD!$A$3:$A$5001,W$3,BD!$B$3:$B$5001,$A$407)))</f>
        <v/>
      </c>
      <c r="X411" s="190" t="str">
        <f>IF(X$3="","",IF(COUNTIFS(BD!$A$3:$A$5001,X$3,BD!$B$3:$B$5001,$A$407,BD!$G$3:$G$5001,"&lt;&gt;")=0,"",SUMIFS(BD!$G$3:$G$5001,BD!$A$3:$A$5001,X$3,BD!$B$3:$B$5001,$A$407)))</f>
        <v/>
      </c>
      <c r="Y411" s="190" t="str">
        <f>IF(Y$3="","",IF(COUNTIFS(BD!$A$3:$A$5001,Y$3,BD!$B$3:$B$5001,$A$407,BD!$G$3:$G$5001,"&lt;&gt;")=0,"",SUMIFS(BD!$G$3:$G$5001,BD!$A$3:$A$5001,Y$3,BD!$B$3:$B$5001,$A$407)))</f>
        <v/>
      </c>
      <c r="Z411" s="190" t="str">
        <f>IF(Z$3="","",IF(COUNTIFS(BD!$A$3:$A$5001,Z$3,BD!$B$3:$B$5001,$A$407,BD!$G$3:$G$5001,"&lt;&gt;")=0,"",SUMIFS(BD!$G$3:$G$5001,BD!$A$3:$A$5001,Z$3,BD!$B$3:$B$5001,$A$407)))</f>
        <v/>
      </c>
      <c r="AA411" s="190" t="str">
        <f>IF(AA$3="","",IF(COUNTIFS(BD!$A$3:$A$5001,AA$3,BD!$B$3:$B$5001,$A$407,BD!$G$3:$G$5001,"&lt;&gt;")=0,"",SUMIFS(BD!$G$3:$G$5001,BD!$A$3:$A$5001,AA$3,BD!$B$3:$B$5001,$A$407)))</f>
        <v/>
      </c>
      <c r="AB411" s="190" t="str">
        <f>IF(AB$3="","",IF(COUNTIFS(BD!$A$3:$A$5001,AB$3,BD!$B$3:$B$5001,$A$407,BD!$G$3:$G$5001,"&lt;&gt;")=0,"",SUMIFS(BD!$G$3:$G$5001,BD!$A$3:$A$5001,AB$3,BD!$B$3:$B$5001,$A$407)))</f>
        <v/>
      </c>
      <c r="AC411" s="190" t="str">
        <f>IF(AC$3="","",IF(COUNTIFS(BD!$A$3:$A$5001,AC$3,BD!$B$3:$B$5001,$A$407,BD!$G$3:$G$5001,"&lt;&gt;")=0,"",SUMIFS(BD!$G$3:$G$5001,BD!$A$3:$A$5001,AC$3,BD!$B$3:$B$5001,$A$407)))</f>
        <v/>
      </c>
      <c r="AD411" s="190" t="str">
        <f>IF(AD$3="","",IF(COUNTIFS(BD!$A$3:$A$5001,AD$3,BD!$B$3:$B$5001,$A$407,BD!$G$3:$G$5001,"&lt;&gt;")=0,"",SUMIFS(BD!$G$3:$G$5001,BD!$A$3:$A$5001,AD$3,BD!$B$3:$B$5001,$A$407)))</f>
        <v/>
      </c>
      <c r="AE411" s="190" t="str">
        <f>IF(AE$3="","",IF(COUNTIFS(BD!$A$3:$A$5001,AE$3,BD!$B$3:$B$5001,$A$407,BD!$G$3:$G$5001,"&lt;&gt;")=0,"",SUMIFS(BD!$G$3:$G$5001,BD!$A$3:$A$5001,AE$3,BD!$B$3:$B$5001,$A$407)))</f>
        <v/>
      </c>
      <c r="AF411" s="190" t="str">
        <f>IF(AF$3="","",IF(COUNTIFS(BD!$A$3:$A$5001,AF$3,BD!$B$3:$B$5001,$A$407,BD!$G$3:$G$5001,"&lt;&gt;")=0,"",SUMIFS(BD!$G$3:$G$5001,BD!$A$3:$A$5001,AF$3,BD!$B$3:$B$5001,$A$407)))</f>
        <v/>
      </c>
      <c r="AG411" s="190" t="str">
        <f>IF(AG$3="","",IF(COUNTIFS(BD!$A$3:$A$5001,AG$3,BD!$B$3:$B$5001,$A$407,BD!$G$3:$G$5001,"&lt;&gt;")=0,"",SUMIFS(BD!$G$3:$G$5001,BD!$A$3:$A$5001,AG$3,BD!$B$3:$B$5001,$A$407)))</f>
        <v/>
      </c>
      <c r="AH411" s="190" t="str">
        <f>IF(AH$3="","",IF(COUNTIFS(BD!$A$3:$A$5001,AH$3,BD!$B$3:$B$5001,$A$407,BD!$G$3:$G$5001,"&lt;&gt;")=0,"",SUMIFS(BD!$G$3:$G$5001,BD!$A$3:$A$5001,AH$3,BD!$B$3:$B$5001,$A$407)))</f>
        <v/>
      </c>
      <c r="AI411" s="190" t="str">
        <f>IF(AI$3="","",IF(COUNTIFS(BD!$A$3:$A$5001,AI$3,BD!$B$3:$B$5001,$A$407,BD!$G$3:$G$5001,"&lt;&gt;")=0,"",SUMIFS(BD!$G$3:$G$5001,BD!$A$3:$A$5001,AI$3,BD!$B$3:$B$5001,$A$407)))</f>
        <v/>
      </c>
      <c r="AJ411" s="191" t="str">
        <f>IF(AJ$3="","",IF(COUNTIFS(BD!$A$3:$A$5001,AJ$3,BD!$B$3:$B$5001,$A$407,BD!$G$3:$G$5001,"&lt;&gt;")=0,"",SUMIFS(BD!$G$3:$G$5001,BD!$A$3:$A$5001,AJ$3,BD!$B$3:$B$5001,$A$407)))</f>
        <v/>
      </c>
      <c r="AK411" s="187" t="str">
        <f>IF(COUNT(F411:AJ411)=0,"",SUM(F411:AJ411))</f>
        <v/>
      </c>
    </row>
    <row r="412" ht="15.75" customHeight="1" hidden="1">
      <c r="A412" s="277"/>
      <c r="B412" s="267" t="inlineStr">
        <is>
          <t xml:space="preserve">OUT</t>
        </is>
      </c>
      <c r="C412" s="192" t="inlineStr">
        <is>
          <t xml:space="preserve">Veículos Expedidos</t>
        </is>
      </c>
      <c r="D412" s="193" t="str">
        <f>IFERROR(1/(1/INDEX(BD!$AF$28:$AZ$28,MATCH($A$407,BD!$AF$22:$AZ$22,0))),"")</f>
        <v/>
      </c>
      <c r="E412" s="194"/>
      <c r="F412" s="195" t="str">
        <f>IF(F$3="","",IF(COUNTIFS(BD!$A$3:$A$5001,F$3,BD!$B$3:$B$5001,$A$407,BD!$H$3:$H$5001,"&lt;&gt;")=0,"",SUMIFS(BD!$H$3:$H$5001,BD!$A$3:$A$5001,F$3,BD!$B$3:$B$5001,$A$407)))</f>
        <v/>
      </c>
      <c r="G412" s="196" t="str">
        <f>IF(G$3="","",IF(COUNTIFS(BD!$A$3:$A$5001,G$3,BD!$B$3:$B$5001,$A$407,BD!$H$3:$H$5001,"&lt;&gt;")=0,"",SUMIFS(BD!$H$3:$H$5001,BD!$A$3:$A$5001,G$3,BD!$B$3:$B$5001,$A$407)))</f>
        <v/>
      </c>
      <c r="H412" s="196" t="str">
        <f>IF(H$3="","",IF(COUNTIFS(BD!$A$3:$A$5001,H$3,BD!$B$3:$B$5001,$A$407,BD!$H$3:$H$5001,"&lt;&gt;")=0,"",SUMIFS(BD!$H$3:$H$5001,BD!$A$3:$A$5001,H$3,BD!$B$3:$B$5001,$A$407)))</f>
        <v/>
      </c>
      <c r="I412" s="196" t="str">
        <f>IF(I$3="","",IF(COUNTIFS(BD!$A$3:$A$5001,I$3,BD!$B$3:$B$5001,$A$407,BD!$H$3:$H$5001,"&lt;&gt;")=0,"",SUMIFS(BD!$H$3:$H$5001,BD!$A$3:$A$5001,I$3,BD!$B$3:$B$5001,$A$407)))</f>
        <v/>
      </c>
      <c r="J412" s="196" t="str">
        <f>IF(J$3="","",IF(COUNTIFS(BD!$A$3:$A$5001,J$3,BD!$B$3:$B$5001,$A$407,BD!$H$3:$H$5001,"&lt;&gt;")=0,"",SUMIFS(BD!$H$3:$H$5001,BD!$A$3:$A$5001,J$3,BD!$B$3:$B$5001,$A$407)))</f>
        <v/>
      </c>
      <c r="K412" s="196" t="str">
        <f>IF(K$3="","",IF(COUNTIFS(BD!$A$3:$A$5001,K$3,BD!$B$3:$B$5001,$A$407,BD!$H$3:$H$5001,"&lt;&gt;")=0,"",SUMIFS(BD!$H$3:$H$5001,BD!$A$3:$A$5001,K$3,BD!$B$3:$B$5001,$A$407)))</f>
        <v/>
      </c>
      <c r="L412" s="196" t="str">
        <f>IF(L$3="","",IF(COUNTIFS(BD!$A$3:$A$5001,L$3,BD!$B$3:$B$5001,$A$407,BD!$H$3:$H$5001,"&lt;&gt;")=0,"",SUMIFS(BD!$H$3:$H$5001,BD!$A$3:$A$5001,L$3,BD!$B$3:$B$5001,$A$407)))</f>
        <v/>
      </c>
      <c r="M412" s="196" t="str">
        <f>IF(M$3="","",IF(COUNTIFS(BD!$A$3:$A$5001,M$3,BD!$B$3:$B$5001,$A$407,BD!$H$3:$H$5001,"&lt;&gt;")=0,"",SUMIFS(BD!$H$3:$H$5001,BD!$A$3:$A$5001,M$3,BD!$B$3:$B$5001,$A$407)))</f>
        <v/>
      </c>
      <c r="N412" s="196" t="str">
        <f>IF(N$3="","",IF(COUNTIFS(BD!$A$3:$A$5001,N$3,BD!$B$3:$B$5001,$A$407,BD!$H$3:$H$5001,"&lt;&gt;")=0,"",SUMIFS(BD!$H$3:$H$5001,BD!$A$3:$A$5001,N$3,BD!$B$3:$B$5001,$A$407)))</f>
        <v/>
      </c>
      <c r="O412" s="196" t="str">
        <f>IF(O$3="","",IF(COUNTIFS(BD!$A$3:$A$5001,O$3,BD!$B$3:$B$5001,$A$407,BD!$H$3:$H$5001,"&lt;&gt;")=0,"",SUMIFS(BD!$H$3:$H$5001,BD!$A$3:$A$5001,O$3,BD!$B$3:$B$5001,$A$407)))</f>
        <v/>
      </c>
      <c r="P412" s="196" t="str">
        <f>IF(P$3="","",IF(COUNTIFS(BD!$A$3:$A$5001,P$3,BD!$B$3:$B$5001,$A$407,BD!$H$3:$H$5001,"&lt;&gt;")=0,"",SUMIFS(BD!$H$3:$H$5001,BD!$A$3:$A$5001,P$3,BD!$B$3:$B$5001,$A$407)))</f>
        <v/>
      </c>
      <c r="Q412" s="196" t="str">
        <f>IF(Q$3="","",IF(COUNTIFS(BD!$A$3:$A$5001,Q$3,BD!$B$3:$B$5001,$A$407,BD!$H$3:$H$5001,"&lt;&gt;")=0,"",SUMIFS(BD!$H$3:$H$5001,BD!$A$3:$A$5001,Q$3,BD!$B$3:$B$5001,$A$407)))</f>
        <v/>
      </c>
      <c r="R412" s="196" t="str">
        <f>IF(R$3="","",IF(COUNTIFS(BD!$A$3:$A$5001,R$3,BD!$B$3:$B$5001,$A$407,BD!$H$3:$H$5001,"&lt;&gt;")=0,"",SUMIFS(BD!$H$3:$H$5001,BD!$A$3:$A$5001,R$3,BD!$B$3:$B$5001,$A$407)))</f>
        <v/>
      </c>
      <c r="S412" s="196" t="str">
        <f>IF(S$3="","",IF(COUNTIFS(BD!$A$3:$A$5001,S$3,BD!$B$3:$B$5001,$A$407,BD!$H$3:$H$5001,"&lt;&gt;")=0,"",SUMIFS(BD!$H$3:$H$5001,BD!$A$3:$A$5001,S$3,BD!$B$3:$B$5001,$A$407)))</f>
        <v/>
      </c>
      <c r="T412" s="196" t="str">
        <f>IF(T$3="","",IF(COUNTIFS(BD!$A$3:$A$5001,T$3,BD!$B$3:$B$5001,$A$407,BD!$H$3:$H$5001,"&lt;&gt;")=0,"",SUMIFS(BD!$H$3:$H$5001,BD!$A$3:$A$5001,T$3,BD!$B$3:$B$5001,$A$407)))</f>
        <v/>
      </c>
      <c r="U412" s="196" t="str">
        <f>IF(U$3="","",IF(COUNTIFS(BD!$A$3:$A$5001,U$3,BD!$B$3:$B$5001,$A$407,BD!$H$3:$H$5001,"&lt;&gt;")=0,"",SUMIFS(BD!$H$3:$H$5001,BD!$A$3:$A$5001,U$3,BD!$B$3:$B$5001,$A$407)))</f>
        <v/>
      </c>
      <c r="V412" s="196" t="str">
        <f>IF(V$3="","",IF(COUNTIFS(BD!$A$3:$A$5001,V$3,BD!$B$3:$B$5001,$A$407,BD!$H$3:$H$5001,"&lt;&gt;")=0,"",SUMIFS(BD!$H$3:$H$5001,BD!$A$3:$A$5001,V$3,BD!$B$3:$B$5001,$A$407)))</f>
        <v/>
      </c>
      <c r="W412" s="196" t="str">
        <f>IF(W$3="","",IF(COUNTIFS(BD!$A$3:$A$5001,W$3,BD!$B$3:$B$5001,$A$407,BD!$H$3:$H$5001,"&lt;&gt;")=0,"",SUMIFS(BD!$H$3:$H$5001,BD!$A$3:$A$5001,W$3,BD!$B$3:$B$5001,$A$407)))</f>
        <v/>
      </c>
      <c r="X412" s="196" t="str">
        <f>IF(X$3="","",IF(COUNTIFS(BD!$A$3:$A$5001,X$3,BD!$B$3:$B$5001,$A$407,BD!$H$3:$H$5001,"&lt;&gt;")=0,"",SUMIFS(BD!$H$3:$H$5001,BD!$A$3:$A$5001,X$3,BD!$B$3:$B$5001,$A$407)))</f>
        <v/>
      </c>
      <c r="Y412" s="196" t="str">
        <f>IF(Y$3="","",IF(COUNTIFS(BD!$A$3:$A$5001,Y$3,BD!$B$3:$B$5001,$A$407,BD!$H$3:$H$5001,"&lt;&gt;")=0,"",SUMIFS(BD!$H$3:$H$5001,BD!$A$3:$A$5001,Y$3,BD!$B$3:$B$5001,$A$407)))</f>
        <v/>
      </c>
      <c r="Z412" s="196" t="str">
        <f>IF(Z$3="","",IF(COUNTIFS(BD!$A$3:$A$5001,Z$3,BD!$B$3:$B$5001,$A$407,BD!$H$3:$H$5001,"&lt;&gt;")=0,"",SUMIFS(BD!$H$3:$H$5001,BD!$A$3:$A$5001,Z$3,BD!$B$3:$B$5001,$A$407)))</f>
        <v/>
      </c>
      <c r="AA412" s="196" t="str">
        <f>IF(AA$3="","",IF(COUNTIFS(BD!$A$3:$A$5001,AA$3,BD!$B$3:$B$5001,$A$407,BD!$H$3:$H$5001,"&lt;&gt;")=0,"",SUMIFS(BD!$H$3:$H$5001,BD!$A$3:$A$5001,AA$3,BD!$B$3:$B$5001,$A$407)))</f>
        <v/>
      </c>
      <c r="AB412" s="196" t="str">
        <f>IF(AB$3="","",IF(COUNTIFS(BD!$A$3:$A$5001,AB$3,BD!$B$3:$B$5001,$A$407,BD!$H$3:$H$5001,"&lt;&gt;")=0,"",SUMIFS(BD!$H$3:$H$5001,BD!$A$3:$A$5001,AB$3,BD!$B$3:$B$5001,$A$407)))</f>
        <v/>
      </c>
      <c r="AC412" s="196" t="str">
        <f>IF(AC$3="","",IF(COUNTIFS(BD!$A$3:$A$5001,AC$3,BD!$B$3:$B$5001,$A$407,BD!$H$3:$H$5001,"&lt;&gt;")=0,"",SUMIFS(BD!$H$3:$H$5001,BD!$A$3:$A$5001,AC$3,BD!$B$3:$B$5001,$A$407)))</f>
        <v/>
      </c>
      <c r="AD412" s="196" t="str">
        <f>IF(AD$3="","",IF(COUNTIFS(BD!$A$3:$A$5001,AD$3,BD!$B$3:$B$5001,$A$407,BD!$H$3:$H$5001,"&lt;&gt;")=0,"",SUMIFS(BD!$H$3:$H$5001,BD!$A$3:$A$5001,AD$3,BD!$B$3:$B$5001,$A$407)))</f>
        <v/>
      </c>
      <c r="AE412" s="196" t="str">
        <f>IF(AE$3="","",IF(COUNTIFS(BD!$A$3:$A$5001,AE$3,BD!$B$3:$B$5001,$A$407,BD!$H$3:$H$5001,"&lt;&gt;")=0,"",SUMIFS(BD!$H$3:$H$5001,BD!$A$3:$A$5001,AE$3,BD!$B$3:$B$5001,$A$407)))</f>
        <v/>
      </c>
      <c r="AF412" s="196" t="str">
        <f>IF(AF$3="","",IF(COUNTIFS(BD!$A$3:$A$5001,AF$3,BD!$B$3:$B$5001,$A$407,BD!$H$3:$H$5001,"&lt;&gt;")=0,"",SUMIFS(BD!$H$3:$H$5001,BD!$A$3:$A$5001,AF$3,BD!$B$3:$B$5001,$A$407)))</f>
        <v/>
      </c>
      <c r="AG412" s="196" t="str">
        <f>IF(AG$3="","",IF(COUNTIFS(BD!$A$3:$A$5001,AG$3,BD!$B$3:$B$5001,$A$407,BD!$H$3:$H$5001,"&lt;&gt;")=0,"",SUMIFS(BD!$H$3:$H$5001,BD!$A$3:$A$5001,AG$3,BD!$B$3:$B$5001,$A$407)))</f>
        <v/>
      </c>
      <c r="AH412" s="196" t="str">
        <f>IF(AH$3="","",IF(COUNTIFS(BD!$A$3:$A$5001,AH$3,BD!$B$3:$B$5001,$A$407,BD!$H$3:$H$5001,"&lt;&gt;")=0,"",SUMIFS(BD!$H$3:$H$5001,BD!$A$3:$A$5001,AH$3,BD!$B$3:$B$5001,$A$407)))</f>
        <v/>
      </c>
      <c r="AI412" s="196" t="str">
        <f>IF(AI$3="","",IF(COUNTIFS(BD!$A$3:$A$5001,AI$3,BD!$B$3:$B$5001,$A$407,BD!$H$3:$H$5001,"&lt;&gt;")=0,"",SUMIFS(BD!$H$3:$H$5001,BD!$A$3:$A$5001,AI$3,BD!$B$3:$B$5001,$A$407)))</f>
        <v/>
      </c>
      <c r="AJ412" s="197" t="str">
        <f>IF(AJ$3="","",IF(COUNTIFS(BD!$A$3:$A$5001,AJ$3,BD!$B$3:$B$5001,$A$407,BD!$H$3:$H$5001,"&lt;&gt;")=0,"",SUMIFS(BD!$H$3:$H$5001,BD!$A$3:$A$5001,AJ$3,BD!$B$3:$B$5001,$A$407)))</f>
        <v/>
      </c>
      <c r="AK412" s="198" t="str">
        <f>IF(COUNT(F412:AJ412)=0,"",SUM(F412:AJ412))</f>
        <v/>
      </c>
    </row>
    <row r="413" ht="15.75" customHeight="1" hidden="1">
      <c r="A413" s="277"/>
      <c r="B413" s="268"/>
      <c r="C413" s="199" t="inlineStr">
        <is>
          <t xml:space="preserve">Pallets Movimentados</t>
        </is>
      </c>
      <c r="D413" s="200" t="str">
        <f>IFERROR(1/(1/INDEX(BD!$AF$29:$AZ$29,MATCH($A$407,BD!$AF$22:$AZ$22,0))),"")</f>
        <v/>
      </c>
      <c r="E413" s="201"/>
      <c r="F413" s="202" t="str">
        <f>IF(F$3="","",IF(COUNTIFS(BD!$A$3:$A$5001,F$3,BD!$B$3:$B$5001,$A$407,BD!$I$3:$I$5001,"&lt;&gt;")=0,"",SUMIFS(BD!$I$3:$I$5001,BD!$A$3:$A$5001,F$3,BD!$B$3:$B$5001,$A$407)))</f>
        <v/>
      </c>
      <c r="G413" s="203" t="str">
        <f>IF(G$3="","",IF(COUNTIFS(BD!$A$3:$A$5001,G$3,BD!$B$3:$B$5001,$A$407,BD!$I$3:$I$5001,"&lt;&gt;")=0,"",SUMIFS(BD!$I$3:$I$5001,BD!$A$3:$A$5001,G$3,BD!$B$3:$B$5001,$A$407)))</f>
        <v/>
      </c>
      <c r="H413" s="203" t="str">
        <f>IF(H$3="","",IF(COUNTIFS(BD!$A$3:$A$5001,H$3,BD!$B$3:$B$5001,$A$407,BD!$I$3:$I$5001,"&lt;&gt;")=0,"",SUMIFS(BD!$I$3:$I$5001,BD!$A$3:$A$5001,H$3,BD!$B$3:$B$5001,$A$407)))</f>
        <v/>
      </c>
      <c r="I413" s="203" t="str">
        <f>IF(I$3="","",IF(COUNTIFS(BD!$A$3:$A$5001,I$3,BD!$B$3:$B$5001,$A$407,BD!$I$3:$I$5001,"&lt;&gt;")=0,"",SUMIFS(BD!$I$3:$I$5001,BD!$A$3:$A$5001,I$3,BD!$B$3:$B$5001,$A$407)))</f>
        <v/>
      </c>
      <c r="J413" s="203" t="str">
        <f>IF(J$3="","",IF(COUNTIFS(BD!$A$3:$A$5001,J$3,BD!$B$3:$B$5001,$A$407,BD!$I$3:$I$5001,"&lt;&gt;")=0,"",SUMIFS(BD!$I$3:$I$5001,BD!$A$3:$A$5001,J$3,BD!$B$3:$B$5001,$A$407)))</f>
        <v/>
      </c>
      <c r="K413" s="203" t="str">
        <f>IF(K$3="","",IF(COUNTIFS(BD!$A$3:$A$5001,K$3,BD!$B$3:$B$5001,$A$407,BD!$I$3:$I$5001,"&lt;&gt;")=0,"",SUMIFS(BD!$I$3:$I$5001,BD!$A$3:$A$5001,K$3,BD!$B$3:$B$5001,$A$407)))</f>
        <v/>
      </c>
      <c r="L413" s="203" t="str">
        <f>IF(L$3="","",IF(COUNTIFS(BD!$A$3:$A$5001,L$3,BD!$B$3:$B$5001,$A$407,BD!$I$3:$I$5001,"&lt;&gt;")=0,"",SUMIFS(BD!$I$3:$I$5001,BD!$A$3:$A$5001,L$3,BD!$B$3:$B$5001,$A$407)))</f>
        <v/>
      </c>
      <c r="M413" s="203" t="str">
        <f>IF(M$3="","",IF(COUNTIFS(BD!$A$3:$A$5001,M$3,BD!$B$3:$B$5001,$A$407,BD!$I$3:$I$5001,"&lt;&gt;")=0,"",SUMIFS(BD!$I$3:$I$5001,BD!$A$3:$A$5001,M$3,BD!$B$3:$B$5001,$A$407)))</f>
        <v/>
      </c>
      <c r="N413" s="203" t="str">
        <f>IF(N$3="","",IF(COUNTIFS(BD!$A$3:$A$5001,N$3,BD!$B$3:$B$5001,$A$407,BD!$I$3:$I$5001,"&lt;&gt;")=0,"",SUMIFS(BD!$I$3:$I$5001,BD!$A$3:$A$5001,N$3,BD!$B$3:$B$5001,$A$407)))</f>
        <v/>
      </c>
      <c r="O413" s="203" t="str">
        <f>IF(O$3="","",IF(COUNTIFS(BD!$A$3:$A$5001,O$3,BD!$B$3:$B$5001,$A$407,BD!$I$3:$I$5001,"&lt;&gt;")=0,"",SUMIFS(BD!$I$3:$I$5001,BD!$A$3:$A$5001,O$3,BD!$B$3:$B$5001,$A$407)))</f>
        <v/>
      </c>
      <c r="P413" s="203" t="str">
        <f>IF(P$3="","",IF(COUNTIFS(BD!$A$3:$A$5001,P$3,BD!$B$3:$B$5001,$A$407,BD!$I$3:$I$5001,"&lt;&gt;")=0,"",SUMIFS(BD!$I$3:$I$5001,BD!$A$3:$A$5001,P$3,BD!$B$3:$B$5001,$A$407)))</f>
        <v/>
      </c>
      <c r="Q413" s="203" t="str">
        <f>IF(Q$3="","",IF(COUNTIFS(BD!$A$3:$A$5001,Q$3,BD!$B$3:$B$5001,$A$407,BD!$I$3:$I$5001,"&lt;&gt;")=0,"",SUMIFS(BD!$I$3:$I$5001,BD!$A$3:$A$5001,Q$3,BD!$B$3:$B$5001,$A$407)))</f>
        <v/>
      </c>
      <c r="R413" s="203" t="str">
        <f>IF(R$3="","",IF(COUNTIFS(BD!$A$3:$A$5001,R$3,BD!$B$3:$B$5001,$A$407,BD!$I$3:$I$5001,"&lt;&gt;")=0,"",SUMIFS(BD!$I$3:$I$5001,BD!$A$3:$A$5001,R$3,BD!$B$3:$B$5001,$A$407)))</f>
        <v/>
      </c>
      <c r="S413" s="203" t="str">
        <f>IF(S$3="","",IF(COUNTIFS(BD!$A$3:$A$5001,S$3,BD!$B$3:$B$5001,$A$407,BD!$I$3:$I$5001,"&lt;&gt;")=0,"",SUMIFS(BD!$I$3:$I$5001,BD!$A$3:$A$5001,S$3,BD!$B$3:$B$5001,$A$407)))</f>
        <v/>
      </c>
      <c r="T413" s="203" t="str">
        <f>IF(T$3="","",IF(COUNTIFS(BD!$A$3:$A$5001,T$3,BD!$B$3:$B$5001,$A$407,BD!$I$3:$I$5001,"&lt;&gt;")=0,"",SUMIFS(BD!$I$3:$I$5001,BD!$A$3:$A$5001,T$3,BD!$B$3:$B$5001,$A$407)))</f>
        <v/>
      </c>
      <c r="U413" s="203" t="str">
        <f>IF(U$3="","",IF(COUNTIFS(BD!$A$3:$A$5001,U$3,BD!$B$3:$B$5001,$A$407,BD!$I$3:$I$5001,"&lt;&gt;")=0,"",SUMIFS(BD!$I$3:$I$5001,BD!$A$3:$A$5001,U$3,BD!$B$3:$B$5001,$A$407)))</f>
        <v/>
      </c>
      <c r="V413" s="203" t="str">
        <f>IF(V$3="","",IF(COUNTIFS(BD!$A$3:$A$5001,V$3,BD!$B$3:$B$5001,$A$407,BD!$I$3:$I$5001,"&lt;&gt;")=0,"",SUMIFS(BD!$I$3:$I$5001,BD!$A$3:$A$5001,V$3,BD!$B$3:$B$5001,$A$407)))</f>
        <v/>
      </c>
      <c r="W413" s="203" t="str">
        <f>IF(W$3="","",IF(COUNTIFS(BD!$A$3:$A$5001,W$3,BD!$B$3:$B$5001,$A$407,BD!$I$3:$I$5001,"&lt;&gt;")=0,"",SUMIFS(BD!$I$3:$I$5001,BD!$A$3:$A$5001,W$3,BD!$B$3:$B$5001,$A$407)))</f>
        <v/>
      </c>
      <c r="X413" s="203" t="str">
        <f>IF(X$3="","",IF(COUNTIFS(BD!$A$3:$A$5001,X$3,BD!$B$3:$B$5001,$A$407,BD!$I$3:$I$5001,"&lt;&gt;")=0,"",SUMIFS(BD!$I$3:$I$5001,BD!$A$3:$A$5001,X$3,BD!$B$3:$B$5001,$A$407)))</f>
        <v/>
      </c>
      <c r="Y413" s="203" t="str">
        <f>IF(Y$3="","",IF(COUNTIFS(BD!$A$3:$A$5001,Y$3,BD!$B$3:$B$5001,$A$407,BD!$I$3:$I$5001,"&lt;&gt;")=0,"",SUMIFS(BD!$I$3:$I$5001,BD!$A$3:$A$5001,Y$3,BD!$B$3:$B$5001,$A$407)))</f>
        <v/>
      </c>
      <c r="Z413" s="203" t="str">
        <f>IF(Z$3="","",IF(COUNTIFS(BD!$A$3:$A$5001,Z$3,BD!$B$3:$B$5001,$A$407,BD!$I$3:$I$5001,"&lt;&gt;")=0,"",SUMIFS(BD!$I$3:$I$5001,BD!$A$3:$A$5001,Z$3,BD!$B$3:$B$5001,$A$407)))</f>
        <v/>
      </c>
      <c r="AA413" s="203" t="str">
        <f>IF(AA$3="","",IF(COUNTIFS(BD!$A$3:$A$5001,AA$3,BD!$B$3:$B$5001,$A$407,BD!$I$3:$I$5001,"&lt;&gt;")=0,"",SUMIFS(BD!$I$3:$I$5001,BD!$A$3:$A$5001,AA$3,BD!$B$3:$B$5001,$A$407)))</f>
        <v/>
      </c>
      <c r="AB413" s="203" t="str">
        <f>IF(AB$3="","",IF(COUNTIFS(BD!$A$3:$A$5001,AB$3,BD!$B$3:$B$5001,$A$407,BD!$I$3:$I$5001,"&lt;&gt;")=0,"",SUMIFS(BD!$I$3:$I$5001,BD!$A$3:$A$5001,AB$3,BD!$B$3:$B$5001,$A$407)))</f>
        <v/>
      </c>
      <c r="AC413" s="203" t="str">
        <f>IF(AC$3="","",IF(COUNTIFS(BD!$A$3:$A$5001,AC$3,BD!$B$3:$B$5001,$A$407,BD!$I$3:$I$5001,"&lt;&gt;")=0,"",SUMIFS(BD!$I$3:$I$5001,BD!$A$3:$A$5001,AC$3,BD!$B$3:$B$5001,$A$407)))</f>
        <v/>
      </c>
      <c r="AD413" s="203" t="str">
        <f>IF(AD$3="","",IF(COUNTIFS(BD!$A$3:$A$5001,AD$3,BD!$B$3:$B$5001,$A$407,BD!$I$3:$I$5001,"&lt;&gt;")=0,"",SUMIFS(BD!$I$3:$I$5001,BD!$A$3:$A$5001,AD$3,BD!$B$3:$B$5001,$A$407)))</f>
        <v/>
      </c>
      <c r="AE413" s="203" t="str">
        <f>IF(AE$3="","",IF(COUNTIFS(BD!$A$3:$A$5001,AE$3,BD!$B$3:$B$5001,$A$407,BD!$I$3:$I$5001,"&lt;&gt;")=0,"",SUMIFS(BD!$I$3:$I$5001,BD!$A$3:$A$5001,AE$3,BD!$B$3:$B$5001,$A$407)))</f>
        <v/>
      </c>
      <c r="AF413" s="203" t="str">
        <f>IF(AF$3="","",IF(COUNTIFS(BD!$A$3:$A$5001,AF$3,BD!$B$3:$B$5001,$A$407,BD!$I$3:$I$5001,"&lt;&gt;")=0,"",SUMIFS(BD!$I$3:$I$5001,BD!$A$3:$A$5001,AF$3,BD!$B$3:$B$5001,$A$407)))</f>
        <v/>
      </c>
      <c r="AG413" s="203" t="str">
        <f>IF(AG$3="","",IF(COUNTIFS(BD!$A$3:$A$5001,AG$3,BD!$B$3:$B$5001,$A$407,BD!$I$3:$I$5001,"&lt;&gt;")=0,"",SUMIFS(BD!$I$3:$I$5001,BD!$A$3:$A$5001,AG$3,BD!$B$3:$B$5001,$A$407)))</f>
        <v/>
      </c>
      <c r="AH413" s="203" t="str">
        <f>IF(AH$3="","",IF(COUNTIFS(BD!$A$3:$A$5001,AH$3,BD!$B$3:$B$5001,$A$407,BD!$I$3:$I$5001,"&lt;&gt;")=0,"",SUMIFS(BD!$I$3:$I$5001,BD!$A$3:$A$5001,AH$3,BD!$B$3:$B$5001,$A$407)))</f>
        <v/>
      </c>
      <c r="AI413" s="203" t="str">
        <f>IF(AI$3="","",IF(COUNTIFS(BD!$A$3:$A$5001,AI$3,BD!$B$3:$B$5001,$A$407,BD!$I$3:$I$5001,"&lt;&gt;")=0,"",SUMIFS(BD!$I$3:$I$5001,BD!$A$3:$A$5001,AI$3,BD!$B$3:$B$5001,$A$407)))</f>
        <v/>
      </c>
      <c r="AJ413" s="204" t="str">
        <f>IF(AJ$3="","",IF(COUNTIFS(BD!$A$3:$A$5001,AJ$3,BD!$B$3:$B$5001,$A$407,BD!$I$3:$I$5001,"&lt;&gt;")=0,"",SUMIFS(BD!$I$3:$I$5001,BD!$A$3:$A$5001,AJ$3,BD!$B$3:$B$5001,$A$407)))</f>
        <v/>
      </c>
      <c r="AK413" s="205" t="str">
        <f>IF(COUNT(F413:AJ413)=0,"",SUM(F413:AJ413))</f>
        <v/>
      </c>
    </row>
    <row r="414" ht="15.75" customHeight="1" hidden="1">
      <c r="A414" s="277"/>
      <c r="B414" s="268"/>
      <c r="C414" s="199" t="inlineStr">
        <is>
          <t xml:space="preserve">Toneladas Movimentadas</t>
        </is>
      </c>
      <c r="D414" s="200" t="str">
        <f>IFERROR(1/(1/INDEX(BD!$AF$30:$AZ$30,MATCH($A$407,BD!$AF$22:$AZ$22,0))),"")</f>
        <v/>
      </c>
      <c r="E414" s="201"/>
      <c r="F414" s="206" t="str">
        <f>IF(F$3="","",IF(COUNTIFS(BD!$A$3:$A$5001,F$3,BD!$B$3:$B$5001,$A$407,BD!$J$3:$J$5001,"&lt;&gt;")=0,"",SUMIFS(BD!$J$3:$J$5001,BD!$A$3:$A$5001,F$3,BD!$B$3:$B$5001,$A$407)))</f>
        <v/>
      </c>
      <c r="G414" s="207" t="str">
        <f>IF(G$3="","",IF(COUNTIFS(BD!$A$3:$A$5001,G$3,BD!$B$3:$B$5001,$A$407,BD!$J$3:$J$5001,"&lt;&gt;")=0,"",SUMIFS(BD!$J$3:$J$5001,BD!$A$3:$A$5001,G$3,BD!$B$3:$B$5001,$A$407)))</f>
        <v/>
      </c>
      <c r="H414" s="207" t="str">
        <f>IF(H$3="","",IF(COUNTIFS(BD!$A$3:$A$5001,H$3,BD!$B$3:$B$5001,$A$407,BD!$J$3:$J$5001,"&lt;&gt;")=0,"",SUMIFS(BD!$J$3:$J$5001,BD!$A$3:$A$5001,H$3,BD!$B$3:$B$5001,$A$407)))</f>
        <v/>
      </c>
      <c r="I414" s="207" t="str">
        <f>IF(I$3="","",IF(COUNTIFS(BD!$A$3:$A$5001,I$3,BD!$B$3:$B$5001,$A$407,BD!$J$3:$J$5001,"&lt;&gt;")=0,"",SUMIFS(BD!$J$3:$J$5001,BD!$A$3:$A$5001,I$3,BD!$B$3:$B$5001,$A$407)))</f>
        <v/>
      </c>
      <c r="J414" s="207" t="str">
        <f>IF(J$3="","",IF(COUNTIFS(BD!$A$3:$A$5001,J$3,BD!$B$3:$B$5001,$A$407,BD!$J$3:$J$5001,"&lt;&gt;")=0,"",SUMIFS(BD!$J$3:$J$5001,BD!$A$3:$A$5001,J$3,BD!$B$3:$B$5001,$A$407)))</f>
        <v/>
      </c>
      <c r="K414" s="207" t="str">
        <f>IF(K$3="","",IF(COUNTIFS(BD!$A$3:$A$5001,K$3,BD!$B$3:$B$5001,$A$407,BD!$J$3:$J$5001,"&lt;&gt;")=0,"",SUMIFS(BD!$J$3:$J$5001,BD!$A$3:$A$5001,K$3,BD!$B$3:$B$5001,$A$407)))</f>
        <v/>
      </c>
      <c r="L414" s="207" t="str">
        <f>IF(L$3="","",IF(COUNTIFS(BD!$A$3:$A$5001,L$3,BD!$B$3:$B$5001,$A$407,BD!$J$3:$J$5001,"&lt;&gt;")=0,"",SUMIFS(BD!$J$3:$J$5001,BD!$A$3:$A$5001,L$3,BD!$B$3:$B$5001,$A$407)))</f>
        <v/>
      </c>
      <c r="M414" s="207" t="str">
        <f>IF(M$3="","",IF(COUNTIFS(BD!$A$3:$A$5001,M$3,BD!$B$3:$B$5001,$A$407,BD!$J$3:$J$5001,"&lt;&gt;")=0,"",SUMIFS(BD!$J$3:$J$5001,BD!$A$3:$A$5001,M$3,BD!$B$3:$B$5001,$A$407)))</f>
        <v/>
      </c>
      <c r="N414" s="207" t="str">
        <f>IF(N$3="","",IF(COUNTIFS(BD!$A$3:$A$5001,N$3,BD!$B$3:$B$5001,$A$407,BD!$J$3:$J$5001,"&lt;&gt;")=0,"",SUMIFS(BD!$J$3:$J$5001,BD!$A$3:$A$5001,N$3,BD!$B$3:$B$5001,$A$407)))</f>
        <v/>
      </c>
      <c r="O414" s="207" t="str">
        <f>IF(O$3="","",IF(COUNTIFS(BD!$A$3:$A$5001,O$3,BD!$B$3:$B$5001,$A$407,BD!$J$3:$J$5001,"&lt;&gt;")=0,"",SUMIFS(BD!$J$3:$J$5001,BD!$A$3:$A$5001,O$3,BD!$B$3:$B$5001,$A$407)))</f>
        <v/>
      </c>
      <c r="P414" s="207" t="str">
        <f>IF(P$3="","",IF(COUNTIFS(BD!$A$3:$A$5001,P$3,BD!$B$3:$B$5001,$A$407,BD!$J$3:$J$5001,"&lt;&gt;")=0,"",SUMIFS(BD!$J$3:$J$5001,BD!$A$3:$A$5001,P$3,BD!$B$3:$B$5001,$A$407)))</f>
        <v/>
      </c>
      <c r="Q414" s="207" t="str">
        <f>IF(Q$3="","",IF(COUNTIFS(BD!$A$3:$A$5001,Q$3,BD!$B$3:$B$5001,$A$407,BD!$J$3:$J$5001,"&lt;&gt;")=0,"",SUMIFS(BD!$J$3:$J$5001,BD!$A$3:$A$5001,Q$3,BD!$B$3:$B$5001,$A$407)))</f>
        <v/>
      </c>
      <c r="R414" s="207" t="str">
        <f>IF(R$3="","",IF(COUNTIFS(BD!$A$3:$A$5001,R$3,BD!$B$3:$B$5001,$A$407,BD!$J$3:$J$5001,"&lt;&gt;")=0,"",SUMIFS(BD!$J$3:$J$5001,BD!$A$3:$A$5001,R$3,BD!$B$3:$B$5001,$A$407)))</f>
        <v/>
      </c>
      <c r="S414" s="207" t="str">
        <f>IF(S$3="","",IF(COUNTIFS(BD!$A$3:$A$5001,S$3,BD!$B$3:$B$5001,$A$407,BD!$J$3:$J$5001,"&lt;&gt;")=0,"",SUMIFS(BD!$J$3:$J$5001,BD!$A$3:$A$5001,S$3,BD!$B$3:$B$5001,$A$407)))</f>
        <v/>
      </c>
      <c r="T414" s="207" t="str">
        <f>IF(T$3="","",IF(COUNTIFS(BD!$A$3:$A$5001,T$3,BD!$B$3:$B$5001,$A$407,BD!$J$3:$J$5001,"&lt;&gt;")=0,"",SUMIFS(BD!$J$3:$J$5001,BD!$A$3:$A$5001,T$3,BD!$B$3:$B$5001,$A$407)))</f>
        <v/>
      </c>
      <c r="U414" s="207" t="str">
        <f>IF(U$3="","",IF(COUNTIFS(BD!$A$3:$A$5001,U$3,BD!$B$3:$B$5001,$A$407,BD!$J$3:$J$5001,"&lt;&gt;")=0,"",SUMIFS(BD!$J$3:$J$5001,BD!$A$3:$A$5001,U$3,BD!$B$3:$B$5001,$A$407)))</f>
        <v/>
      </c>
      <c r="V414" s="207" t="str">
        <f>IF(V$3="","",IF(COUNTIFS(BD!$A$3:$A$5001,V$3,BD!$B$3:$B$5001,$A$407,BD!$J$3:$J$5001,"&lt;&gt;")=0,"",SUMIFS(BD!$J$3:$J$5001,BD!$A$3:$A$5001,V$3,BD!$B$3:$B$5001,$A$407)))</f>
        <v/>
      </c>
      <c r="W414" s="207" t="str">
        <f>IF(W$3="","",IF(COUNTIFS(BD!$A$3:$A$5001,W$3,BD!$B$3:$B$5001,$A$407,BD!$J$3:$J$5001,"&lt;&gt;")=0,"",SUMIFS(BD!$J$3:$J$5001,BD!$A$3:$A$5001,W$3,BD!$B$3:$B$5001,$A$407)))</f>
        <v/>
      </c>
      <c r="X414" s="207" t="str">
        <f>IF(X$3="","",IF(COUNTIFS(BD!$A$3:$A$5001,X$3,BD!$B$3:$B$5001,$A$407,BD!$J$3:$J$5001,"&lt;&gt;")=0,"",SUMIFS(BD!$J$3:$J$5001,BD!$A$3:$A$5001,X$3,BD!$B$3:$B$5001,$A$407)))</f>
        <v/>
      </c>
      <c r="Y414" s="207" t="str">
        <f>IF(Y$3="","",IF(COUNTIFS(BD!$A$3:$A$5001,Y$3,BD!$B$3:$B$5001,$A$407,BD!$J$3:$J$5001,"&lt;&gt;")=0,"",SUMIFS(BD!$J$3:$J$5001,BD!$A$3:$A$5001,Y$3,BD!$B$3:$B$5001,$A$407)))</f>
        <v/>
      </c>
      <c r="Z414" s="207" t="str">
        <f>IF(Z$3="","",IF(COUNTIFS(BD!$A$3:$A$5001,Z$3,BD!$B$3:$B$5001,$A$407,BD!$J$3:$J$5001,"&lt;&gt;")=0,"",SUMIFS(BD!$J$3:$J$5001,BD!$A$3:$A$5001,Z$3,BD!$B$3:$B$5001,$A$407)))</f>
        <v/>
      </c>
      <c r="AA414" s="207" t="str">
        <f>IF(AA$3="","",IF(COUNTIFS(BD!$A$3:$A$5001,AA$3,BD!$B$3:$B$5001,$A$407,BD!$J$3:$J$5001,"&lt;&gt;")=0,"",SUMIFS(BD!$J$3:$J$5001,BD!$A$3:$A$5001,AA$3,BD!$B$3:$B$5001,$A$407)))</f>
        <v/>
      </c>
      <c r="AB414" s="207" t="str">
        <f>IF(AB$3="","",IF(COUNTIFS(BD!$A$3:$A$5001,AB$3,BD!$B$3:$B$5001,$A$407,BD!$J$3:$J$5001,"&lt;&gt;")=0,"",SUMIFS(BD!$J$3:$J$5001,BD!$A$3:$A$5001,AB$3,BD!$B$3:$B$5001,$A$407)))</f>
        <v/>
      </c>
      <c r="AC414" s="207" t="str">
        <f>IF(AC$3="","",IF(COUNTIFS(BD!$A$3:$A$5001,AC$3,BD!$B$3:$B$5001,$A$407,BD!$J$3:$J$5001,"&lt;&gt;")=0,"",SUMIFS(BD!$J$3:$J$5001,BD!$A$3:$A$5001,AC$3,BD!$B$3:$B$5001,$A$407)))</f>
        <v/>
      </c>
      <c r="AD414" s="207" t="str">
        <f>IF(AD$3="","",IF(COUNTIFS(BD!$A$3:$A$5001,AD$3,BD!$B$3:$B$5001,$A$407,BD!$J$3:$J$5001,"&lt;&gt;")=0,"",SUMIFS(BD!$J$3:$J$5001,BD!$A$3:$A$5001,AD$3,BD!$B$3:$B$5001,$A$407)))</f>
        <v/>
      </c>
      <c r="AE414" s="207" t="str">
        <f>IF(AE$3="","",IF(COUNTIFS(BD!$A$3:$A$5001,AE$3,BD!$B$3:$B$5001,$A$407,BD!$J$3:$J$5001,"&lt;&gt;")=0,"",SUMIFS(BD!$J$3:$J$5001,BD!$A$3:$A$5001,AE$3,BD!$B$3:$B$5001,$A$407)))</f>
        <v/>
      </c>
      <c r="AF414" s="207" t="str">
        <f>IF(AF$3="","",IF(COUNTIFS(BD!$A$3:$A$5001,AF$3,BD!$B$3:$B$5001,$A$407,BD!$J$3:$J$5001,"&lt;&gt;")=0,"",SUMIFS(BD!$J$3:$J$5001,BD!$A$3:$A$5001,AF$3,BD!$B$3:$B$5001,$A$407)))</f>
        <v/>
      </c>
      <c r="AG414" s="207" t="str">
        <f>IF(AG$3="","",IF(COUNTIFS(BD!$A$3:$A$5001,AG$3,BD!$B$3:$B$5001,$A$407,BD!$J$3:$J$5001,"&lt;&gt;")=0,"",SUMIFS(BD!$J$3:$J$5001,BD!$A$3:$A$5001,AG$3,BD!$B$3:$B$5001,$A$407)))</f>
        <v/>
      </c>
      <c r="AH414" s="207" t="str">
        <f>IF(AH$3="","",IF(COUNTIFS(BD!$A$3:$A$5001,AH$3,BD!$B$3:$B$5001,$A$407,BD!$J$3:$J$5001,"&lt;&gt;")=0,"",SUMIFS(BD!$J$3:$J$5001,BD!$A$3:$A$5001,AH$3,BD!$B$3:$B$5001,$A$407)))</f>
        <v/>
      </c>
      <c r="AI414" s="207" t="str">
        <f>IF(AI$3="","",IF(COUNTIFS(BD!$A$3:$A$5001,AI$3,BD!$B$3:$B$5001,$A$407,BD!$J$3:$J$5001,"&lt;&gt;")=0,"",SUMIFS(BD!$J$3:$J$5001,BD!$A$3:$A$5001,AI$3,BD!$B$3:$B$5001,$A$407)))</f>
        <v/>
      </c>
      <c r="AJ414" s="208" t="str">
        <f>IF(AJ$3="","",IF(COUNTIFS(BD!$A$3:$A$5001,AJ$3,BD!$B$3:$B$5001,$A$407,BD!$J$3:$J$5001,"&lt;&gt;")=0,"",SUMIFS(BD!$J$3:$J$5001,BD!$A$3:$A$5001,AJ$3,BD!$B$3:$B$5001,$A$407)))</f>
        <v/>
      </c>
      <c r="AK414" s="209" t="str">
        <f>IF(COUNT(F414:AJ414)=0,"",SUM(F414:AJ414))</f>
        <v/>
      </c>
    </row>
    <row r="415" ht="15.75" customHeight="1" hidden="1">
      <c r="A415" s="277"/>
      <c r="B415" s="268"/>
      <c r="C415" s="199" t="inlineStr">
        <is>
          <t xml:space="preserve">Caixas Expedidas</t>
        </is>
      </c>
      <c r="D415" s="200" t="str">
        <f>IFERROR(1/(1/INDEX(BD!$AF$31:$AZ$31,MATCH($A$407,BD!$AF$22:$AZ$22,0))),"")</f>
        <v/>
      </c>
      <c r="E415" s="201"/>
      <c r="F415" s="202" t="str">
        <f>IF(F$3="","",IF(COUNTIFS(BD!$A$3:$A$5001,F$3,BD!$B$3:$B$5001,$A$407,BD!$K$3:$K$5001,"&lt;&gt;")=0,"",SUMIFS(BD!$K$3:$K$5001,BD!$A$3:$A$5001,F$3,BD!$B$3:$B$5001,$A$407)))</f>
        <v/>
      </c>
      <c r="G415" s="203" t="str">
        <f>IF(G$3="","",IF(COUNTIFS(BD!$A$3:$A$5001,G$3,BD!$B$3:$B$5001,$A$407,BD!$K$3:$K$5001,"&lt;&gt;")=0,"",SUMIFS(BD!$K$3:$K$5001,BD!$A$3:$A$5001,G$3,BD!$B$3:$B$5001,$A$407)))</f>
        <v/>
      </c>
      <c r="H415" s="203" t="str">
        <f>IF(H$3="","",IF(COUNTIFS(BD!$A$3:$A$5001,H$3,BD!$B$3:$B$5001,$A$407,BD!$K$3:$K$5001,"&lt;&gt;")=0,"",SUMIFS(BD!$K$3:$K$5001,BD!$A$3:$A$5001,H$3,BD!$B$3:$B$5001,$A$407)))</f>
        <v/>
      </c>
      <c r="I415" s="203" t="str">
        <f>IF(I$3="","",IF(COUNTIFS(BD!$A$3:$A$5001,I$3,BD!$B$3:$B$5001,$A$407,BD!$K$3:$K$5001,"&lt;&gt;")=0,"",SUMIFS(BD!$K$3:$K$5001,BD!$A$3:$A$5001,I$3,BD!$B$3:$B$5001,$A$407)))</f>
        <v/>
      </c>
      <c r="J415" s="203" t="str">
        <f>IF(J$3="","",IF(COUNTIFS(BD!$A$3:$A$5001,J$3,BD!$B$3:$B$5001,$A$407,BD!$K$3:$K$5001,"&lt;&gt;")=0,"",SUMIFS(BD!$K$3:$K$5001,BD!$A$3:$A$5001,J$3,BD!$B$3:$B$5001,$A$407)))</f>
        <v/>
      </c>
      <c r="K415" s="203" t="str">
        <f>IF(K$3="","",IF(COUNTIFS(BD!$A$3:$A$5001,K$3,BD!$B$3:$B$5001,$A$407,BD!$K$3:$K$5001,"&lt;&gt;")=0,"",SUMIFS(BD!$K$3:$K$5001,BD!$A$3:$A$5001,K$3,BD!$B$3:$B$5001,$A$407)))</f>
        <v/>
      </c>
      <c r="L415" s="203" t="str">
        <f>IF(L$3="","",IF(COUNTIFS(BD!$A$3:$A$5001,L$3,BD!$B$3:$B$5001,$A$407,BD!$K$3:$K$5001,"&lt;&gt;")=0,"",SUMIFS(BD!$K$3:$K$5001,BD!$A$3:$A$5001,L$3,BD!$B$3:$B$5001,$A$407)))</f>
        <v/>
      </c>
      <c r="M415" s="203" t="str">
        <f>IF(M$3="","",IF(COUNTIFS(BD!$A$3:$A$5001,M$3,BD!$B$3:$B$5001,$A$407,BD!$K$3:$K$5001,"&lt;&gt;")=0,"",SUMIFS(BD!$K$3:$K$5001,BD!$A$3:$A$5001,M$3,BD!$B$3:$B$5001,$A$407)))</f>
        <v/>
      </c>
      <c r="N415" s="203" t="str">
        <f>IF(N$3="","",IF(COUNTIFS(BD!$A$3:$A$5001,N$3,BD!$B$3:$B$5001,$A$407,BD!$K$3:$K$5001,"&lt;&gt;")=0,"",SUMIFS(BD!$K$3:$K$5001,BD!$A$3:$A$5001,N$3,BD!$B$3:$B$5001,$A$407)))</f>
        <v/>
      </c>
      <c r="O415" s="203" t="str">
        <f>IF(O$3="","",IF(COUNTIFS(BD!$A$3:$A$5001,O$3,BD!$B$3:$B$5001,$A$407,BD!$K$3:$K$5001,"&lt;&gt;")=0,"",SUMIFS(BD!$K$3:$K$5001,BD!$A$3:$A$5001,O$3,BD!$B$3:$B$5001,$A$407)))</f>
        <v/>
      </c>
      <c r="P415" s="203" t="str">
        <f>IF(P$3="","",IF(COUNTIFS(BD!$A$3:$A$5001,P$3,BD!$B$3:$B$5001,$A$407,BD!$K$3:$K$5001,"&lt;&gt;")=0,"",SUMIFS(BD!$K$3:$K$5001,BD!$A$3:$A$5001,P$3,BD!$B$3:$B$5001,$A$407)))</f>
        <v/>
      </c>
      <c r="Q415" s="203" t="str">
        <f>IF(Q$3="","",IF(COUNTIFS(BD!$A$3:$A$5001,Q$3,BD!$B$3:$B$5001,$A$407,BD!$K$3:$K$5001,"&lt;&gt;")=0,"",SUMIFS(BD!$K$3:$K$5001,BD!$A$3:$A$5001,Q$3,BD!$B$3:$B$5001,$A$407)))</f>
        <v/>
      </c>
      <c r="R415" s="203" t="str">
        <f>IF(R$3="","",IF(COUNTIFS(BD!$A$3:$A$5001,R$3,BD!$B$3:$B$5001,$A$407,BD!$K$3:$K$5001,"&lt;&gt;")=0,"",SUMIFS(BD!$K$3:$K$5001,BD!$A$3:$A$5001,R$3,BD!$B$3:$B$5001,$A$407)))</f>
        <v/>
      </c>
      <c r="S415" s="203" t="str">
        <f>IF(S$3="","",IF(COUNTIFS(BD!$A$3:$A$5001,S$3,BD!$B$3:$B$5001,$A$407,BD!$K$3:$K$5001,"&lt;&gt;")=0,"",SUMIFS(BD!$K$3:$K$5001,BD!$A$3:$A$5001,S$3,BD!$B$3:$B$5001,$A$407)))</f>
        <v/>
      </c>
      <c r="T415" s="203" t="str">
        <f>IF(T$3="","",IF(COUNTIFS(BD!$A$3:$A$5001,T$3,BD!$B$3:$B$5001,$A$407,BD!$K$3:$K$5001,"&lt;&gt;")=0,"",SUMIFS(BD!$K$3:$K$5001,BD!$A$3:$A$5001,T$3,BD!$B$3:$B$5001,$A$407)))</f>
        <v/>
      </c>
      <c r="U415" s="203" t="str">
        <f>IF(U$3="","",IF(COUNTIFS(BD!$A$3:$A$5001,U$3,BD!$B$3:$B$5001,$A$407,BD!$K$3:$K$5001,"&lt;&gt;")=0,"",SUMIFS(BD!$K$3:$K$5001,BD!$A$3:$A$5001,U$3,BD!$B$3:$B$5001,$A$407)))</f>
        <v/>
      </c>
      <c r="V415" s="203" t="str">
        <f>IF(V$3="","",IF(COUNTIFS(BD!$A$3:$A$5001,V$3,BD!$B$3:$B$5001,$A$407,BD!$K$3:$K$5001,"&lt;&gt;")=0,"",SUMIFS(BD!$K$3:$K$5001,BD!$A$3:$A$5001,V$3,BD!$B$3:$B$5001,$A$407)))</f>
        <v/>
      </c>
      <c r="W415" s="203" t="str">
        <f>IF(W$3="","",IF(COUNTIFS(BD!$A$3:$A$5001,W$3,BD!$B$3:$B$5001,$A$407,BD!$K$3:$K$5001,"&lt;&gt;")=0,"",SUMIFS(BD!$K$3:$K$5001,BD!$A$3:$A$5001,W$3,BD!$B$3:$B$5001,$A$407)))</f>
        <v/>
      </c>
      <c r="X415" s="203" t="str">
        <f>IF(X$3="","",IF(COUNTIFS(BD!$A$3:$A$5001,X$3,BD!$B$3:$B$5001,$A$407,BD!$K$3:$K$5001,"&lt;&gt;")=0,"",SUMIFS(BD!$K$3:$K$5001,BD!$A$3:$A$5001,X$3,BD!$B$3:$B$5001,$A$407)))</f>
        <v/>
      </c>
      <c r="Y415" s="203" t="str">
        <f>IF(Y$3="","",IF(COUNTIFS(BD!$A$3:$A$5001,Y$3,BD!$B$3:$B$5001,$A$407,BD!$K$3:$K$5001,"&lt;&gt;")=0,"",SUMIFS(BD!$K$3:$K$5001,BD!$A$3:$A$5001,Y$3,BD!$B$3:$B$5001,$A$407)))</f>
        <v/>
      </c>
      <c r="Z415" s="203" t="str">
        <f>IF(Z$3="","",IF(COUNTIFS(BD!$A$3:$A$5001,Z$3,BD!$B$3:$B$5001,$A$407,BD!$K$3:$K$5001,"&lt;&gt;")=0,"",SUMIFS(BD!$K$3:$K$5001,BD!$A$3:$A$5001,Z$3,BD!$B$3:$B$5001,$A$407)))</f>
        <v/>
      </c>
      <c r="AA415" s="203" t="str">
        <f>IF(AA$3="","",IF(COUNTIFS(BD!$A$3:$A$5001,AA$3,BD!$B$3:$B$5001,$A$407,BD!$K$3:$K$5001,"&lt;&gt;")=0,"",SUMIFS(BD!$K$3:$K$5001,BD!$A$3:$A$5001,AA$3,BD!$B$3:$B$5001,$A$407)))</f>
        <v/>
      </c>
      <c r="AB415" s="203" t="str">
        <f>IF(AB$3="","",IF(COUNTIFS(BD!$A$3:$A$5001,AB$3,BD!$B$3:$B$5001,$A$407,BD!$K$3:$K$5001,"&lt;&gt;")=0,"",SUMIFS(BD!$K$3:$K$5001,BD!$A$3:$A$5001,AB$3,BD!$B$3:$B$5001,$A$407)))</f>
        <v/>
      </c>
      <c r="AC415" s="203" t="str">
        <f>IF(AC$3="","",IF(COUNTIFS(BD!$A$3:$A$5001,AC$3,BD!$B$3:$B$5001,$A$407,BD!$K$3:$K$5001,"&lt;&gt;")=0,"",SUMIFS(BD!$K$3:$K$5001,BD!$A$3:$A$5001,AC$3,BD!$B$3:$B$5001,$A$407)))</f>
        <v/>
      </c>
      <c r="AD415" s="203" t="str">
        <f>IF(AD$3="","",IF(COUNTIFS(BD!$A$3:$A$5001,AD$3,BD!$B$3:$B$5001,$A$407,BD!$K$3:$K$5001,"&lt;&gt;")=0,"",SUMIFS(BD!$K$3:$K$5001,BD!$A$3:$A$5001,AD$3,BD!$B$3:$B$5001,$A$407)))</f>
        <v/>
      </c>
      <c r="AE415" s="203" t="str">
        <f>IF(AE$3="","",IF(COUNTIFS(BD!$A$3:$A$5001,AE$3,BD!$B$3:$B$5001,$A$407,BD!$K$3:$K$5001,"&lt;&gt;")=0,"",SUMIFS(BD!$K$3:$K$5001,BD!$A$3:$A$5001,AE$3,BD!$B$3:$B$5001,$A$407)))</f>
        <v/>
      </c>
      <c r="AF415" s="203" t="str">
        <f>IF(AF$3="","",IF(COUNTIFS(BD!$A$3:$A$5001,AF$3,BD!$B$3:$B$5001,$A$407,BD!$K$3:$K$5001,"&lt;&gt;")=0,"",SUMIFS(BD!$K$3:$K$5001,BD!$A$3:$A$5001,AF$3,BD!$B$3:$B$5001,$A$407)))</f>
        <v/>
      </c>
      <c r="AG415" s="203" t="str">
        <f>IF(AG$3="","",IF(COUNTIFS(BD!$A$3:$A$5001,AG$3,BD!$B$3:$B$5001,$A$407,BD!$K$3:$K$5001,"&lt;&gt;")=0,"",SUMIFS(BD!$K$3:$K$5001,BD!$A$3:$A$5001,AG$3,BD!$B$3:$B$5001,$A$407)))</f>
        <v/>
      </c>
      <c r="AH415" s="203" t="str">
        <f>IF(AH$3="","",IF(COUNTIFS(BD!$A$3:$A$5001,AH$3,BD!$B$3:$B$5001,$A$407,BD!$K$3:$K$5001,"&lt;&gt;")=0,"",SUMIFS(BD!$K$3:$K$5001,BD!$A$3:$A$5001,AH$3,BD!$B$3:$B$5001,$A$407)))</f>
        <v/>
      </c>
      <c r="AI415" s="203" t="str">
        <f>IF(AI$3="","",IF(COUNTIFS(BD!$A$3:$A$5001,AI$3,BD!$B$3:$B$5001,$A$407,BD!$K$3:$K$5001,"&lt;&gt;")=0,"",SUMIFS(BD!$K$3:$K$5001,BD!$A$3:$A$5001,AI$3,BD!$B$3:$B$5001,$A$407)))</f>
        <v/>
      </c>
      <c r="AJ415" s="204" t="str">
        <f>IF(AJ$3="","",IF(COUNTIFS(BD!$A$3:$A$5001,AJ$3,BD!$B$3:$B$5001,$A$407,BD!$K$3:$K$5001,"&lt;&gt;")=0,"",SUMIFS(BD!$K$3:$K$5001,BD!$A$3:$A$5001,AJ$3,BD!$B$3:$B$5001,$A$407)))</f>
        <v/>
      </c>
      <c r="AK415" s="205" t="str">
        <f>IF(COUNT(F415:AJ415)=0,"",SUM(F415:AJ415))</f>
        <v/>
      </c>
    </row>
    <row r="416" ht="15.75" customHeight="1" hidden="1">
      <c r="A416" s="277"/>
      <c r="B416" s="268"/>
      <c r="C416" s="199" t="inlineStr">
        <is>
          <t xml:space="preserve">Pedidos Faturados</t>
        </is>
      </c>
      <c r="D416" s="200" t="str">
        <f>IFERROR(1/(1/INDEX(BD!$AF$32:$AZ$32,MATCH($A$407,BD!$AF$22:$AZ$22,0))),"")</f>
        <v/>
      </c>
      <c r="E416" s="201"/>
      <c r="F416" s="202" t="str">
        <f>IF(F$3="","",IF(COUNTIFS(BD!$A$3:$A$5001,F$3,BD!$B$3:$B$5001,$A$407,BD!$L$3:$L$5001,"&lt;&gt;")=0,"",SUMIFS(BD!$L$3:$L$5001,BD!$A$3:$A$5001,F$3,BD!$B$3:$B$5001,$A$407)))</f>
        <v/>
      </c>
      <c r="G416" s="203" t="str">
        <f>IF(G$3="","",IF(COUNTIFS(BD!$A$3:$A$5001,G$3,BD!$B$3:$B$5001,$A$407,BD!$L$3:$L$5001,"&lt;&gt;")=0,"",SUMIFS(BD!$L$3:$L$5001,BD!$A$3:$A$5001,G$3,BD!$B$3:$B$5001,$A$407)))</f>
        <v/>
      </c>
      <c r="H416" s="203" t="str">
        <f>IF(H$3="","",IF(COUNTIFS(BD!$A$3:$A$5001,H$3,BD!$B$3:$B$5001,$A$407,BD!$L$3:$L$5001,"&lt;&gt;")=0,"",SUMIFS(BD!$L$3:$L$5001,BD!$A$3:$A$5001,H$3,BD!$B$3:$B$5001,$A$407)))</f>
        <v/>
      </c>
      <c r="I416" s="203" t="str">
        <f>IF(I$3="","",IF(COUNTIFS(BD!$A$3:$A$5001,I$3,BD!$B$3:$B$5001,$A$407,BD!$L$3:$L$5001,"&lt;&gt;")=0,"",SUMIFS(BD!$L$3:$L$5001,BD!$A$3:$A$5001,I$3,BD!$B$3:$B$5001,$A$407)))</f>
        <v/>
      </c>
      <c r="J416" s="203" t="str">
        <f>IF(J$3="","",IF(COUNTIFS(BD!$A$3:$A$5001,J$3,BD!$B$3:$B$5001,$A$407,BD!$L$3:$L$5001,"&lt;&gt;")=0,"",SUMIFS(BD!$L$3:$L$5001,BD!$A$3:$A$5001,J$3,BD!$B$3:$B$5001,$A$407)))</f>
        <v/>
      </c>
      <c r="K416" s="203" t="str">
        <f>IF(K$3="","",IF(COUNTIFS(BD!$A$3:$A$5001,K$3,BD!$B$3:$B$5001,$A$407,BD!$L$3:$L$5001,"&lt;&gt;")=0,"",SUMIFS(BD!$L$3:$L$5001,BD!$A$3:$A$5001,K$3,BD!$B$3:$B$5001,$A$407)))</f>
        <v/>
      </c>
      <c r="L416" s="203" t="str">
        <f>IF(L$3="","",IF(COUNTIFS(BD!$A$3:$A$5001,L$3,BD!$B$3:$B$5001,$A$407,BD!$L$3:$L$5001,"&lt;&gt;")=0,"",SUMIFS(BD!$L$3:$L$5001,BD!$A$3:$A$5001,L$3,BD!$B$3:$B$5001,$A$407)))</f>
        <v/>
      </c>
      <c r="M416" s="203" t="str">
        <f>IF(M$3="","",IF(COUNTIFS(BD!$A$3:$A$5001,M$3,BD!$B$3:$B$5001,$A$407,BD!$L$3:$L$5001,"&lt;&gt;")=0,"",SUMIFS(BD!$L$3:$L$5001,BD!$A$3:$A$5001,M$3,BD!$B$3:$B$5001,$A$407)))</f>
        <v/>
      </c>
      <c r="N416" s="203" t="str">
        <f>IF(N$3="","",IF(COUNTIFS(BD!$A$3:$A$5001,N$3,BD!$B$3:$B$5001,$A$407,BD!$L$3:$L$5001,"&lt;&gt;")=0,"",SUMIFS(BD!$L$3:$L$5001,BD!$A$3:$A$5001,N$3,BD!$B$3:$B$5001,$A$407)))</f>
        <v/>
      </c>
      <c r="O416" s="203" t="str">
        <f>IF(O$3="","",IF(COUNTIFS(BD!$A$3:$A$5001,O$3,BD!$B$3:$B$5001,$A$407,BD!$L$3:$L$5001,"&lt;&gt;")=0,"",SUMIFS(BD!$L$3:$L$5001,BD!$A$3:$A$5001,O$3,BD!$B$3:$B$5001,$A$407)))</f>
        <v/>
      </c>
      <c r="P416" s="203" t="str">
        <f>IF(P$3="","",IF(COUNTIFS(BD!$A$3:$A$5001,P$3,BD!$B$3:$B$5001,$A$407,BD!$L$3:$L$5001,"&lt;&gt;")=0,"",SUMIFS(BD!$L$3:$L$5001,BD!$A$3:$A$5001,P$3,BD!$B$3:$B$5001,$A$407)))</f>
        <v/>
      </c>
      <c r="Q416" s="203" t="str">
        <f>IF(Q$3="","",IF(COUNTIFS(BD!$A$3:$A$5001,Q$3,BD!$B$3:$B$5001,$A$407,BD!$L$3:$L$5001,"&lt;&gt;")=0,"",SUMIFS(BD!$L$3:$L$5001,BD!$A$3:$A$5001,Q$3,BD!$B$3:$B$5001,$A$407)))</f>
        <v/>
      </c>
      <c r="R416" s="203" t="str">
        <f>IF(R$3="","",IF(COUNTIFS(BD!$A$3:$A$5001,R$3,BD!$B$3:$B$5001,$A$407,BD!$L$3:$L$5001,"&lt;&gt;")=0,"",SUMIFS(BD!$L$3:$L$5001,BD!$A$3:$A$5001,R$3,BD!$B$3:$B$5001,$A$407)))</f>
        <v/>
      </c>
      <c r="S416" s="203" t="str">
        <f>IF(S$3="","",IF(COUNTIFS(BD!$A$3:$A$5001,S$3,BD!$B$3:$B$5001,$A$407,BD!$L$3:$L$5001,"&lt;&gt;")=0,"",SUMIFS(BD!$L$3:$L$5001,BD!$A$3:$A$5001,S$3,BD!$B$3:$B$5001,$A$407)))</f>
        <v/>
      </c>
      <c r="T416" s="203" t="str">
        <f>IF(T$3="","",IF(COUNTIFS(BD!$A$3:$A$5001,T$3,BD!$B$3:$B$5001,$A$407,BD!$L$3:$L$5001,"&lt;&gt;")=0,"",SUMIFS(BD!$L$3:$L$5001,BD!$A$3:$A$5001,T$3,BD!$B$3:$B$5001,$A$407)))</f>
        <v/>
      </c>
      <c r="U416" s="203" t="str">
        <f>IF(U$3="","",IF(COUNTIFS(BD!$A$3:$A$5001,U$3,BD!$B$3:$B$5001,$A$407,BD!$L$3:$L$5001,"&lt;&gt;")=0,"",SUMIFS(BD!$L$3:$L$5001,BD!$A$3:$A$5001,U$3,BD!$B$3:$B$5001,$A$407)))</f>
        <v/>
      </c>
      <c r="V416" s="203" t="str">
        <f>IF(V$3="","",IF(COUNTIFS(BD!$A$3:$A$5001,V$3,BD!$B$3:$B$5001,$A$407,BD!$L$3:$L$5001,"&lt;&gt;")=0,"",SUMIFS(BD!$L$3:$L$5001,BD!$A$3:$A$5001,V$3,BD!$B$3:$B$5001,$A$407)))</f>
        <v/>
      </c>
      <c r="W416" s="203" t="str">
        <f>IF(W$3="","",IF(COUNTIFS(BD!$A$3:$A$5001,W$3,BD!$B$3:$B$5001,$A$407,BD!$L$3:$L$5001,"&lt;&gt;")=0,"",SUMIFS(BD!$L$3:$L$5001,BD!$A$3:$A$5001,W$3,BD!$B$3:$B$5001,$A$407)))</f>
        <v/>
      </c>
      <c r="X416" s="203" t="str">
        <f>IF(X$3="","",IF(COUNTIFS(BD!$A$3:$A$5001,X$3,BD!$B$3:$B$5001,$A$407,BD!$L$3:$L$5001,"&lt;&gt;")=0,"",SUMIFS(BD!$L$3:$L$5001,BD!$A$3:$A$5001,X$3,BD!$B$3:$B$5001,$A$407)))</f>
        <v/>
      </c>
      <c r="Y416" s="203" t="str">
        <f>IF(Y$3="","",IF(COUNTIFS(BD!$A$3:$A$5001,Y$3,BD!$B$3:$B$5001,$A$407,BD!$L$3:$L$5001,"&lt;&gt;")=0,"",SUMIFS(BD!$L$3:$L$5001,BD!$A$3:$A$5001,Y$3,BD!$B$3:$B$5001,$A$407)))</f>
        <v/>
      </c>
      <c r="Z416" s="203" t="str">
        <f>IF(Z$3="","",IF(COUNTIFS(BD!$A$3:$A$5001,Z$3,BD!$B$3:$B$5001,$A$407,BD!$L$3:$L$5001,"&lt;&gt;")=0,"",SUMIFS(BD!$L$3:$L$5001,BD!$A$3:$A$5001,Z$3,BD!$B$3:$B$5001,$A$407)))</f>
        <v/>
      </c>
      <c r="AA416" s="203" t="str">
        <f>IF(AA$3="","",IF(COUNTIFS(BD!$A$3:$A$5001,AA$3,BD!$B$3:$B$5001,$A$407,BD!$L$3:$L$5001,"&lt;&gt;")=0,"",SUMIFS(BD!$L$3:$L$5001,BD!$A$3:$A$5001,AA$3,BD!$B$3:$B$5001,$A$407)))</f>
        <v/>
      </c>
      <c r="AB416" s="203" t="str">
        <f>IF(AB$3="","",IF(COUNTIFS(BD!$A$3:$A$5001,AB$3,BD!$B$3:$B$5001,$A$407,BD!$L$3:$L$5001,"&lt;&gt;")=0,"",SUMIFS(BD!$L$3:$L$5001,BD!$A$3:$A$5001,AB$3,BD!$B$3:$B$5001,$A$407)))</f>
        <v/>
      </c>
      <c r="AC416" s="203" t="str">
        <f>IF(AC$3="","",IF(COUNTIFS(BD!$A$3:$A$5001,AC$3,BD!$B$3:$B$5001,$A$407,BD!$L$3:$L$5001,"&lt;&gt;")=0,"",SUMIFS(BD!$L$3:$L$5001,BD!$A$3:$A$5001,AC$3,BD!$B$3:$B$5001,$A$407)))</f>
        <v/>
      </c>
      <c r="AD416" s="203" t="str">
        <f>IF(AD$3="","",IF(COUNTIFS(BD!$A$3:$A$5001,AD$3,BD!$B$3:$B$5001,$A$407,BD!$L$3:$L$5001,"&lt;&gt;")=0,"",SUMIFS(BD!$L$3:$L$5001,BD!$A$3:$A$5001,AD$3,BD!$B$3:$B$5001,$A$407)))</f>
        <v/>
      </c>
      <c r="AE416" s="203" t="str">
        <f>IF(AE$3="","",IF(COUNTIFS(BD!$A$3:$A$5001,AE$3,BD!$B$3:$B$5001,$A$407,BD!$L$3:$L$5001,"&lt;&gt;")=0,"",SUMIFS(BD!$L$3:$L$5001,BD!$A$3:$A$5001,AE$3,BD!$B$3:$B$5001,$A$407)))</f>
        <v/>
      </c>
      <c r="AF416" s="203" t="str">
        <f>IF(AF$3="","",IF(COUNTIFS(BD!$A$3:$A$5001,AF$3,BD!$B$3:$B$5001,$A$407,BD!$L$3:$L$5001,"&lt;&gt;")=0,"",SUMIFS(BD!$L$3:$L$5001,BD!$A$3:$A$5001,AF$3,BD!$B$3:$B$5001,$A$407)))</f>
        <v/>
      </c>
      <c r="AG416" s="203" t="str">
        <f>IF(AG$3="","",IF(COUNTIFS(BD!$A$3:$A$5001,AG$3,BD!$B$3:$B$5001,$A$407,BD!$L$3:$L$5001,"&lt;&gt;")=0,"",SUMIFS(BD!$L$3:$L$5001,BD!$A$3:$A$5001,AG$3,BD!$B$3:$B$5001,$A$407)))</f>
        <v/>
      </c>
      <c r="AH416" s="203" t="str">
        <f>IF(AH$3="","",IF(COUNTIFS(BD!$A$3:$A$5001,AH$3,BD!$B$3:$B$5001,$A$407,BD!$L$3:$L$5001,"&lt;&gt;")=0,"",SUMIFS(BD!$L$3:$L$5001,BD!$A$3:$A$5001,AH$3,BD!$B$3:$B$5001,$A$407)))</f>
        <v/>
      </c>
      <c r="AI416" s="203" t="str">
        <f>IF(AI$3="","",IF(COUNTIFS(BD!$A$3:$A$5001,AI$3,BD!$B$3:$B$5001,$A$407,BD!$L$3:$L$5001,"&lt;&gt;")=0,"",SUMIFS(BD!$L$3:$L$5001,BD!$A$3:$A$5001,AI$3,BD!$B$3:$B$5001,$A$407)))</f>
        <v/>
      </c>
      <c r="AJ416" s="204" t="str">
        <f>IF(AJ$3="","",IF(COUNTIFS(BD!$A$3:$A$5001,AJ$3,BD!$B$3:$B$5001,$A$407,BD!$L$3:$L$5001,"&lt;&gt;")=0,"",SUMIFS(BD!$L$3:$L$5001,BD!$A$3:$A$5001,AJ$3,BD!$B$3:$B$5001,$A$407)))</f>
        <v/>
      </c>
      <c r="AK416" s="205" t="str">
        <f>IF(COUNT(F416:AJ416)=0,"",SUM(F416:AJ416))</f>
        <v/>
      </c>
    </row>
    <row r="417" ht="15.75" customHeight="1" hidden="1">
      <c r="A417" s="277"/>
      <c r="B417" s="269"/>
      <c r="C417" s="210" t="inlineStr">
        <is>
          <t xml:space="preserve">Bags Expedidos</t>
        </is>
      </c>
      <c r="D417" s="211" t="str">
        <f>IFERROR(1/(1/INDEX(BD!$AF$33:$AZ$33,MATCH($A$407,BD!$AF$22:$AZ$22,0))),"")</f>
        <v/>
      </c>
      <c r="E417" s="212"/>
      <c r="F417" s="213" t="str">
        <f>IF(F$3="","",IF(COUNTIFS(BD!$A$3:$A$5001,F$3,BD!$B$3:$B$5001,$A$407,BD!$M$3:$M$5001,"&lt;&gt;")=0,"",SUMIFS(BD!$M$3:$M$5001,BD!$A$3:$A$5001,F$3,BD!$B$3:$B$5001,$A$407)))</f>
        <v/>
      </c>
      <c r="G417" s="214" t="str">
        <f>IF(G$3="","",IF(COUNTIFS(BD!$A$3:$A$5001,G$3,BD!$B$3:$B$5001,$A$407,BD!$M$3:$M$5001,"&lt;&gt;")=0,"",SUMIFS(BD!$M$3:$M$5001,BD!$A$3:$A$5001,G$3,BD!$B$3:$B$5001,$A$407)))</f>
        <v/>
      </c>
      <c r="H417" s="214" t="str">
        <f>IF(H$3="","",IF(COUNTIFS(BD!$A$3:$A$5001,H$3,BD!$B$3:$B$5001,$A$407,BD!$M$3:$M$5001,"&lt;&gt;")=0,"",SUMIFS(BD!$M$3:$M$5001,BD!$A$3:$A$5001,H$3,BD!$B$3:$B$5001,$A$407)))</f>
        <v/>
      </c>
      <c r="I417" s="214" t="str">
        <f>IF(I$3="","",IF(COUNTIFS(BD!$A$3:$A$5001,I$3,BD!$B$3:$B$5001,$A$407,BD!$M$3:$M$5001,"&lt;&gt;")=0,"",SUMIFS(BD!$M$3:$M$5001,BD!$A$3:$A$5001,I$3,BD!$B$3:$B$5001,$A$407)))</f>
        <v/>
      </c>
      <c r="J417" s="214" t="str">
        <f>IF(J$3="","",IF(COUNTIFS(BD!$A$3:$A$5001,J$3,BD!$B$3:$B$5001,$A$407,BD!$M$3:$M$5001,"&lt;&gt;")=0,"",SUMIFS(BD!$M$3:$M$5001,BD!$A$3:$A$5001,J$3,BD!$B$3:$B$5001,$A$407)))</f>
        <v/>
      </c>
      <c r="K417" s="214" t="str">
        <f>IF(K$3="","",IF(COUNTIFS(BD!$A$3:$A$5001,K$3,BD!$B$3:$B$5001,$A$407,BD!$M$3:$M$5001,"&lt;&gt;")=0,"",SUMIFS(BD!$M$3:$M$5001,BD!$A$3:$A$5001,K$3,BD!$B$3:$B$5001,$A$407)))</f>
        <v/>
      </c>
      <c r="L417" s="214" t="str">
        <f>IF(L$3="","",IF(COUNTIFS(BD!$A$3:$A$5001,L$3,BD!$B$3:$B$5001,$A$407,BD!$M$3:$M$5001,"&lt;&gt;")=0,"",SUMIFS(BD!$M$3:$M$5001,BD!$A$3:$A$5001,L$3,BD!$B$3:$B$5001,$A$407)))</f>
        <v/>
      </c>
      <c r="M417" s="214" t="str">
        <f>IF(M$3="","",IF(COUNTIFS(BD!$A$3:$A$5001,M$3,BD!$B$3:$B$5001,$A$407,BD!$M$3:$M$5001,"&lt;&gt;")=0,"",SUMIFS(BD!$M$3:$M$5001,BD!$A$3:$A$5001,M$3,BD!$B$3:$B$5001,$A$407)))</f>
        <v/>
      </c>
      <c r="N417" s="214" t="str">
        <f>IF(N$3="","",IF(COUNTIFS(BD!$A$3:$A$5001,N$3,BD!$B$3:$B$5001,$A$407,BD!$M$3:$M$5001,"&lt;&gt;")=0,"",SUMIFS(BD!$M$3:$M$5001,BD!$A$3:$A$5001,N$3,BD!$B$3:$B$5001,$A$407)))</f>
        <v/>
      </c>
      <c r="O417" s="214" t="str">
        <f>IF(O$3="","",IF(COUNTIFS(BD!$A$3:$A$5001,O$3,BD!$B$3:$B$5001,$A$407,BD!$M$3:$M$5001,"&lt;&gt;")=0,"",SUMIFS(BD!$M$3:$M$5001,BD!$A$3:$A$5001,O$3,BD!$B$3:$B$5001,$A$407)))</f>
        <v/>
      </c>
      <c r="P417" s="214" t="str">
        <f>IF(P$3="","",IF(COUNTIFS(BD!$A$3:$A$5001,P$3,BD!$B$3:$B$5001,$A$407,BD!$M$3:$M$5001,"&lt;&gt;")=0,"",SUMIFS(BD!$M$3:$M$5001,BD!$A$3:$A$5001,P$3,BD!$B$3:$B$5001,$A$407)))</f>
        <v/>
      </c>
      <c r="Q417" s="214" t="str">
        <f>IF(Q$3="","",IF(COUNTIFS(BD!$A$3:$A$5001,Q$3,BD!$B$3:$B$5001,$A$407,BD!$M$3:$M$5001,"&lt;&gt;")=0,"",SUMIFS(BD!$M$3:$M$5001,BD!$A$3:$A$5001,Q$3,BD!$B$3:$B$5001,$A$407)))</f>
        <v/>
      </c>
      <c r="R417" s="214" t="str">
        <f>IF(R$3="","",IF(COUNTIFS(BD!$A$3:$A$5001,R$3,BD!$B$3:$B$5001,$A$407,BD!$M$3:$M$5001,"&lt;&gt;")=0,"",SUMIFS(BD!$M$3:$M$5001,BD!$A$3:$A$5001,R$3,BD!$B$3:$B$5001,$A$407)))</f>
        <v/>
      </c>
      <c r="S417" s="214" t="str">
        <f>IF(S$3="","",IF(COUNTIFS(BD!$A$3:$A$5001,S$3,BD!$B$3:$B$5001,$A$407,BD!$M$3:$M$5001,"&lt;&gt;")=0,"",SUMIFS(BD!$M$3:$M$5001,BD!$A$3:$A$5001,S$3,BD!$B$3:$B$5001,$A$407)))</f>
        <v/>
      </c>
      <c r="T417" s="214" t="str">
        <f>IF(T$3="","",IF(COUNTIFS(BD!$A$3:$A$5001,T$3,BD!$B$3:$B$5001,$A$407,BD!$M$3:$M$5001,"&lt;&gt;")=0,"",SUMIFS(BD!$M$3:$M$5001,BD!$A$3:$A$5001,T$3,BD!$B$3:$B$5001,$A$407)))</f>
        <v/>
      </c>
      <c r="U417" s="214" t="str">
        <f>IF(U$3="","",IF(COUNTIFS(BD!$A$3:$A$5001,U$3,BD!$B$3:$B$5001,$A$407,BD!$M$3:$M$5001,"&lt;&gt;")=0,"",SUMIFS(BD!$M$3:$M$5001,BD!$A$3:$A$5001,U$3,BD!$B$3:$B$5001,$A$407)))</f>
        <v/>
      </c>
      <c r="V417" s="214" t="str">
        <f>IF(V$3="","",IF(COUNTIFS(BD!$A$3:$A$5001,V$3,BD!$B$3:$B$5001,$A$407,BD!$M$3:$M$5001,"&lt;&gt;")=0,"",SUMIFS(BD!$M$3:$M$5001,BD!$A$3:$A$5001,V$3,BD!$B$3:$B$5001,$A$407)))</f>
        <v/>
      </c>
      <c r="W417" s="214" t="str">
        <f>IF(W$3="","",IF(COUNTIFS(BD!$A$3:$A$5001,W$3,BD!$B$3:$B$5001,$A$407,BD!$M$3:$M$5001,"&lt;&gt;")=0,"",SUMIFS(BD!$M$3:$M$5001,BD!$A$3:$A$5001,W$3,BD!$B$3:$B$5001,$A$407)))</f>
        <v/>
      </c>
      <c r="X417" s="214" t="str">
        <f>IF(X$3="","",IF(COUNTIFS(BD!$A$3:$A$5001,X$3,BD!$B$3:$B$5001,$A$407,BD!$M$3:$M$5001,"&lt;&gt;")=0,"",SUMIFS(BD!$M$3:$M$5001,BD!$A$3:$A$5001,X$3,BD!$B$3:$B$5001,$A$407)))</f>
        <v/>
      </c>
      <c r="Y417" s="214" t="str">
        <f>IF(Y$3="","",IF(COUNTIFS(BD!$A$3:$A$5001,Y$3,BD!$B$3:$B$5001,$A$407,BD!$M$3:$M$5001,"&lt;&gt;")=0,"",SUMIFS(BD!$M$3:$M$5001,BD!$A$3:$A$5001,Y$3,BD!$B$3:$B$5001,$A$407)))</f>
        <v/>
      </c>
      <c r="Z417" s="214" t="str">
        <f>IF(Z$3="","",IF(COUNTIFS(BD!$A$3:$A$5001,Z$3,BD!$B$3:$B$5001,$A$407,BD!$M$3:$M$5001,"&lt;&gt;")=0,"",SUMIFS(BD!$M$3:$M$5001,BD!$A$3:$A$5001,Z$3,BD!$B$3:$B$5001,$A$407)))</f>
        <v/>
      </c>
      <c r="AA417" s="214" t="str">
        <f>IF(AA$3="","",IF(COUNTIFS(BD!$A$3:$A$5001,AA$3,BD!$B$3:$B$5001,$A$407,BD!$M$3:$M$5001,"&lt;&gt;")=0,"",SUMIFS(BD!$M$3:$M$5001,BD!$A$3:$A$5001,AA$3,BD!$B$3:$B$5001,$A$407)))</f>
        <v/>
      </c>
      <c r="AB417" s="214" t="str">
        <f>IF(AB$3="","",IF(COUNTIFS(BD!$A$3:$A$5001,AB$3,BD!$B$3:$B$5001,$A$407,BD!$M$3:$M$5001,"&lt;&gt;")=0,"",SUMIFS(BD!$M$3:$M$5001,BD!$A$3:$A$5001,AB$3,BD!$B$3:$B$5001,$A$407)))</f>
        <v/>
      </c>
      <c r="AC417" s="214" t="str">
        <f>IF(AC$3="","",IF(COUNTIFS(BD!$A$3:$A$5001,AC$3,BD!$B$3:$B$5001,$A$407,BD!$M$3:$M$5001,"&lt;&gt;")=0,"",SUMIFS(BD!$M$3:$M$5001,BD!$A$3:$A$5001,AC$3,BD!$B$3:$B$5001,$A$407)))</f>
        <v/>
      </c>
      <c r="AD417" s="214" t="str">
        <f>IF(AD$3="","",IF(COUNTIFS(BD!$A$3:$A$5001,AD$3,BD!$B$3:$B$5001,$A$407,BD!$M$3:$M$5001,"&lt;&gt;")=0,"",SUMIFS(BD!$M$3:$M$5001,BD!$A$3:$A$5001,AD$3,BD!$B$3:$B$5001,$A$407)))</f>
        <v/>
      </c>
      <c r="AE417" s="214" t="str">
        <f>IF(AE$3="","",IF(COUNTIFS(BD!$A$3:$A$5001,AE$3,BD!$B$3:$B$5001,$A$407,BD!$M$3:$M$5001,"&lt;&gt;")=0,"",SUMIFS(BD!$M$3:$M$5001,BD!$A$3:$A$5001,AE$3,BD!$B$3:$B$5001,$A$407)))</f>
        <v/>
      </c>
      <c r="AF417" s="214" t="str">
        <f>IF(AF$3="","",IF(COUNTIFS(BD!$A$3:$A$5001,AF$3,BD!$B$3:$B$5001,$A$407,BD!$M$3:$M$5001,"&lt;&gt;")=0,"",SUMIFS(BD!$M$3:$M$5001,BD!$A$3:$A$5001,AF$3,BD!$B$3:$B$5001,$A$407)))</f>
        <v/>
      </c>
      <c r="AG417" s="214" t="str">
        <f>IF(AG$3="","",IF(COUNTIFS(BD!$A$3:$A$5001,AG$3,BD!$B$3:$B$5001,$A$407,BD!$M$3:$M$5001,"&lt;&gt;")=0,"",SUMIFS(BD!$M$3:$M$5001,BD!$A$3:$A$5001,AG$3,BD!$B$3:$B$5001,$A$407)))</f>
        <v/>
      </c>
      <c r="AH417" s="214" t="str">
        <f>IF(AH$3="","",IF(COUNTIFS(BD!$A$3:$A$5001,AH$3,BD!$B$3:$B$5001,$A$407,BD!$M$3:$M$5001,"&lt;&gt;")=0,"",SUMIFS(BD!$M$3:$M$5001,BD!$A$3:$A$5001,AH$3,BD!$B$3:$B$5001,$A$407)))</f>
        <v/>
      </c>
      <c r="AI417" s="214" t="str">
        <f>IF(AI$3="","",IF(COUNTIFS(BD!$A$3:$A$5001,AI$3,BD!$B$3:$B$5001,$A$407,BD!$M$3:$M$5001,"&lt;&gt;")=0,"",SUMIFS(BD!$M$3:$M$5001,BD!$A$3:$A$5001,AI$3,BD!$B$3:$B$5001,$A$407)))</f>
        <v/>
      </c>
      <c r="AJ417" s="215" t="str">
        <f>IF(AJ$3="","",IF(COUNTIFS(BD!$A$3:$A$5001,AJ$3,BD!$B$3:$B$5001,$A$407,BD!$M$3:$M$5001,"&lt;&gt;")=0,"",SUMIFS(BD!$M$3:$M$5001,BD!$A$3:$A$5001,AJ$3,BD!$B$3:$B$5001,$A$407)))</f>
        <v/>
      </c>
      <c r="AK417" s="211" t="str">
        <f>IF(COUNT(F417:AJ417)=0,"",SUM(F417:AJ417))</f>
        <v/>
      </c>
    </row>
    <row r="418" ht="15.75" customHeight="1" hidden="1">
      <c r="A418" s="277"/>
      <c r="B418" s="270" t="inlineStr">
        <is>
          <t xml:space="preserve">NC</t>
        </is>
      </c>
      <c r="C418" s="216" t="inlineStr">
        <is>
          <t xml:space="preserve">Incidentes</t>
        </is>
      </c>
      <c r="D418" s="217" t="str">
        <f>IFERROR(1/(1/INDEX(BD!$AF$34:$AZ$34,MATCH($A$407,BD!$AF$22:$AZ$22,0))),"")</f>
        <v/>
      </c>
      <c r="E418" s="218"/>
      <c r="F418" s="219" t="str">
        <f>IF(F$3="","",IF(COUNTIFS(BD!$A$3:$A$5001,F$3,BD!$B$3:$B$5001,$A$407,BD!$N$3:$N$5001,"&lt;&gt;")=0,"",SUMIFS(BD!$N$3:$N$5001,BD!$A$3:$A$5001,F$3,BD!$B$3:$B$5001,$A$407)))</f>
        <v/>
      </c>
      <c r="G418" s="220" t="str">
        <f>IF(G$3="","",IF(COUNTIFS(BD!$A$3:$A$5001,G$3,BD!$B$3:$B$5001,$A$407,BD!$N$3:$N$5001,"&lt;&gt;")=0,"",SUMIFS(BD!$N$3:$N$5001,BD!$A$3:$A$5001,G$3,BD!$B$3:$B$5001,$A$407)))</f>
        <v/>
      </c>
      <c r="H418" s="220" t="str">
        <f>IF(H$3="","",IF(COUNTIFS(BD!$A$3:$A$5001,H$3,BD!$B$3:$B$5001,$A$407,BD!$N$3:$N$5001,"&lt;&gt;")=0,"",SUMIFS(BD!$N$3:$N$5001,BD!$A$3:$A$5001,H$3,BD!$B$3:$B$5001,$A$407)))</f>
        <v/>
      </c>
      <c r="I418" s="220" t="str">
        <f>IF(I$3="","",IF(COUNTIFS(BD!$A$3:$A$5001,I$3,BD!$B$3:$B$5001,$A$407,BD!$N$3:$N$5001,"&lt;&gt;")=0,"",SUMIFS(BD!$N$3:$N$5001,BD!$A$3:$A$5001,I$3,BD!$B$3:$B$5001,$A$407)))</f>
        <v/>
      </c>
      <c r="J418" s="220" t="str">
        <f>IF(J$3="","",IF(COUNTIFS(BD!$A$3:$A$5001,J$3,BD!$B$3:$B$5001,$A$407,BD!$N$3:$N$5001,"&lt;&gt;")=0,"",SUMIFS(BD!$N$3:$N$5001,BD!$A$3:$A$5001,J$3,BD!$B$3:$B$5001,$A$407)))</f>
        <v/>
      </c>
      <c r="K418" s="220" t="str">
        <f>IF(K$3="","",IF(COUNTIFS(BD!$A$3:$A$5001,K$3,BD!$B$3:$B$5001,$A$407,BD!$N$3:$N$5001,"&lt;&gt;")=0,"",SUMIFS(BD!$N$3:$N$5001,BD!$A$3:$A$5001,K$3,BD!$B$3:$B$5001,$A$407)))</f>
        <v/>
      </c>
      <c r="L418" s="220" t="str">
        <f>IF(L$3="","",IF(COUNTIFS(BD!$A$3:$A$5001,L$3,BD!$B$3:$B$5001,$A$407,BD!$N$3:$N$5001,"&lt;&gt;")=0,"",SUMIFS(BD!$N$3:$N$5001,BD!$A$3:$A$5001,L$3,BD!$B$3:$B$5001,$A$407)))</f>
        <v/>
      </c>
      <c r="M418" s="220" t="str">
        <f>IF(M$3="","",IF(COUNTIFS(BD!$A$3:$A$5001,M$3,BD!$B$3:$B$5001,$A$407,BD!$N$3:$N$5001,"&lt;&gt;")=0,"",SUMIFS(BD!$N$3:$N$5001,BD!$A$3:$A$5001,M$3,BD!$B$3:$B$5001,$A$407)))</f>
        <v/>
      </c>
      <c r="N418" s="220" t="str">
        <f>IF(N$3="","",IF(COUNTIFS(BD!$A$3:$A$5001,N$3,BD!$B$3:$B$5001,$A$407,BD!$N$3:$N$5001,"&lt;&gt;")=0,"",SUMIFS(BD!$N$3:$N$5001,BD!$A$3:$A$5001,N$3,BD!$B$3:$B$5001,$A$407)))</f>
        <v/>
      </c>
      <c r="O418" s="220" t="str">
        <f>IF(O$3="","",IF(COUNTIFS(BD!$A$3:$A$5001,O$3,BD!$B$3:$B$5001,$A$407,BD!$N$3:$N$5001,"&lt;&gt;")=0,"",SUMIFS(BD!$N$3:$N$5001,BD!$A$3:$A$5001,O$3,BD!$B$3:$B$5001,$A$407)))</f>
        <v/>
      </c>
      <c r="P418" s="220" t="str">
        <f>IF(P$3="","",IF(COUNTIFS(BD!$A$3:$A$5001,P$3,BD!$B$3:$B$5001,$A$407,BD!$N$3:$N$5001,"&lt;&gt;")=0,"",SUMIFS(BD!$N$3:$N$5001,BD!$A$3:$A$5001,P$3,BD!$B$3:$B$5001,$A$407)))</f>
        <v/>
      </c>
      <c r="Q418" s="220" t="str">
        <f>IF(Q$3="","",IF(COUNTIFS(BD!$A$3:$A$5001,Q$3,BD!$B$3:$B$5001,$A$407,BD!$N$3:$N$5001,"&lt;&gt;")=0,"",SUMIFS(BD!$N$3:$N$5001,BD!$A$3:$A$5001,Q$3,BD!$B$3:$B$5001,$A$407)))</f>
        <v/>
      </c>
      <c r="R418" s="220" t="str">
        <f>IF(R$3="","",IF(COUNTIFS(BD!$A$3:$A$5001,R$3,BD!$B$3:$B$5001,$A$407,BD!$N$3:$N$5001,"&lt;&gt;")=0,"",SUMIFS(BD!$N$3:$N$5001,BD!$A$3:$A$5001,R$3,BD!$B$3:$B$5001,$A$407)))</f>
        <v/>
      </c>
      <c r="S418" s="220" t="str">
        <f>IF(S$3="","",IF(COUNTIFS(BD!$A$3:$A$5001,S$3,BD!$B$3:$B$5001,$A$407,BD!$N$3:$N$5001,"&lt;&gt;")=0,"",SUMIFS(BD!$N$3:$N$5001,BD!$A$3:$A$5001,S$3,BD!$B$3:$B$5001,$A$407)))</f>
        <v/>
      </c>
      <c r="T418" s="220" t="str">
        <f>IF(T$3="","",IF(COUNTIFS(BD!$A$3:$A$5001,T$3,BD!$B$3:$B$5001,$A$407,BD!$N$3:$N$5001,"&lt;&gt;")=0,"",SUMIFS(BD!$N$3:$N$5001,BD!$A$3:$A$5001,T$3,BD!$B$3:$B$5001,$A$407)))</f>
        <v/>
      </c>
      <c r="U418" s="220" t="str">
        <f>IF(U$3="","",IF(COUNTIFS(BD!$A$3:$A$5001,U$3,BD!$B$3:$B$5001,$A$407,BD!$N$3:$N$5001,"&lt;&gt;")=0,"",SUMIFS(BD!$N$3:$N$5001,BD!$A$3:$A$5001,U$3,BD!$B$3:$B$5001,$A$407)))</f>
        <v/>
      </c>
      <c r="V418" s="220" t="str">
        <f>IF(V$3="","",IF(COUNTIFS(BD!$A$3:$A$5001,V$3,BD!$B$3:$B$5001,$A$407,BD!$N$3:$N$5001,"&lt;&gt;")=0,"",SUMIFS(BD!$N$3:$N$5001,BD!$A$3:$A$5001,V$3,BD!$B$3:$B$5001,$A$407)))</f>
        <v/>
      </c>
      <c r="W418" s="220" t="str">
        <f>IF(W$3="","",IF(COUNTIFS(BD!$A$3:$A$5001,W$3,BD!$B$3:$B$5001,$A$407,BD!$N$3:$N$5001,"&lt;&gt;")=0,"",SUMIFS(BD!$N$3:$N$5001,BD!$A$3:$A$5001,W$3,BD!$B$3:$B$5001,$A$407)))</f>
        <v/>
      </c>
      <c r="X418" s="220" t="str">
        <f>IF(X$3="","",IF(COUNTIFS(BD!$A$3:$A$5001,X$3,BD!$B$3:$B$5001,$A$407,BD!$N$3:$N$5001,"&lt;&gt;")=0,"",SUMIFS(BD!$N$3:$N$5001,BD!$A$3:$A$5001,X$3,BD!$B$3:$B$5001,$A$407)))</f>
        <v/>
      </c>
      <c r="Y418" s="220" t="str">
        <f>IF(Y$3="","",IF(COUNTIFS(BD!$A$3:$A$5001,Y$3,BD!$B$3:$B$5001,$A$407,BD!$N$3:$N$5001,"&lt;&gt;")=0,"",SUMIFS(BD!$N$3:$N$5001,BD!$A$3:$A$5001,Y$3,BD!$B$3:$B$5001,$A$407)))</f>
        <v/>
      </c>
      <c r="Z418" s="220" t="str">
        <f>IF(Z$3="","",IF(COUNTIFS(BD!$A$3:$A$5001,Z$3,BD!$B$3:$B$5001,$A$407,BD!$N$3:$N$5001,"&lt;&gt;")=0,"",SUMIFS(BD!$N$3:$N$5001,BD!$A$3:$A$5001,Z$3,BD!$B$3:$B$5001,$A$407)))</f>
        <v/>
      </c>
      <c r="AA418" s="220" t="str">
        <f>IF(AA$3="","",IF(COUNTIFS(BD!$A$3:$A$5001,AA$3,BD!$B$3:$B$5001,$A$407,BD!$N$3:$N$5001,"&lt;&gt;")=0,"",SUMIFS(BD!$N$3:$N$5001,BD!$A$3:$A$5001,AA$3,BD!$B$3:$B$5001,$A$407)))</f>
        <v/>
      </c>
      <c r="AB418" s="220" t="str">
        <f>IF(AB$3="","",IF(COUNTIFS(BD!$A$3:$A$5001,AB$3,BD!$B$3:$B$5001,$A$407,BD!$N$3:$N$5001,"&lt;&gt;")=0,"",SUMIFS(BD!$N$3:$N$5001,BD!$A$3:$A$5001,AB$3,BD!$B$3:$B$5001,$A$407)))</f>
        <v/>
      </c>
      <c r="AC418" s="220" t="str">
        <f>IF(AC$3="","",IF(COUNTIFS(BD!$A$3:$A$5001,AC$3,BD!$B$3:$B$5001,$A$407,BD!$N$3:$N$5001,"&lt;&gt;")=0,"",SUMIFS(BD!$N$3:$N$5001,BD!$A$3:$A$5001,AC$3,BD!$B$3:$B$5001,$A$407)))</f>
        <v/>
      </c>
      <c r="AD418" s="220" t="str">
        <f>IF(AD$3="","",IF(COUNTIFS(BD!$A$3:$A$5001,AD$3,BD!$B$3:$B$5001,$A$407,BD!$N$3:$N$5001,"&lt;&gt;")=0,"",SUMIFS(BD!$N$3:$N$5001,BD!$A$3:$A$5001,AD$3,BD!$B$3:$B$5001,$A$407)))</f>
        <v/>
      </c>
      <c r="AE418" s="220" t="str">
        <f>IF(AE$3="","",IF(COUNTIFS(BD!$A$3:$A$5001,AE$3,BD!$B$3:$B$5001,$A$407,BD!$N$3:$N$5001,"&lt;&gt;")=0,"",SUMIFS(BD!$N$3:$N$5001,BD!$A$3:$A$5001,AE$3,BD!$B$3:$B$5001,$A$407)))</f>
        <v/>
      </c>
      <c r="AF418" s="220" t="str">
        <f>IF(AF$3="","",IF(COUNTIFS(BD!$A$3:$A$5001,AF$3,BD!$B$3:$B$5001,$A$407,BD!$N$3:$N$5001,"&lt;&gt;")=0,"",SUMIFS(BD!$N$3:$N$5001,BD!$A$3:$A$5001,AF$3,BD!$B$3:$B$5001,$A$407)))</f>
        <v/>
      </c>
      <c r="AG418" s="220" t="str">
        <f>IF(AG$3="","",IF(COUNTIFS(BD!$A$3:$A$5001,AG$3,BD!$B$3:$B$5001,$A$407,BD!$N$3:$N$5001,"&lt;&gt;")=0,"",SUMIFS(BD!$N$3:$N$5001,BD!$A$3:$A$5001,AG$3,BD!$B$3:$B$5001,$A$407)))</f>
        <v/>
      </c>
      <c r="AH418" s="220" t="str">
        <f>IF(AH$3="","",IF(COUNTIFS(BD!$A$3:$A$5001,AH$3,BD!$B$3:$B$5001,$A$407,BD!$N$3:$N$5001,"&lt;&gt;")=0,"",SUMIFS(BD!$N$3:$N$5001,BD!$A$3:$A$5001,AH$3,BD!$B$3:$B$5001,$A$407)))</f>
        <v/>
      </c>
      <c r="AI418" s="220" t="str">
        <f>IF(AI$3="","",IF(COUNTIFS(BD!$A$3:$A$5001,AI$3,BD!$B$3:$B$5001,$A$407,BD!$N$3:$N$5001,"&lt;&gt;")=0,"",SUMIFS(BD!$N$3:$N$5001,BD!$A$3:$A$5001,AI$3,BD!$B$3:$B$5001,$A$407)))</f>
        <v/>
      </c>
      <c r="AJ418" s="221" t="str">
        <f>IF(AJ$3="","",IF(COUNTIFS(BD!$A$3:$A$5001,AJ$3,BD!$B$3:$B$5001,$A$407,BD!$N$3:$N$5001,"&lt;&gt;")=0,"",SUMIFS(BD!$N$3:$N$5001,BD!$A$3:$A$5001,AJ$3,BD!$B$3:$B$5001,$A$407)))</f>
        <v/>
      </c>
      <c r="AK418" s="222" t="str">
        <f>IF(COUNT(F418:AJ418)=0,"",SUM(F418:AJ418))</f>
        <v/>
      </c>
    </row>
    <row r="419" ht="15.75" customHeight="1" hidden="1">
      <c r="A419" s="277"/>
      <c r="B419" s="271"/>
      <c r="C419" s="223" t="inlineStr">
        <is>
          <t xml:space="preserve">No show</t>
        </is>
      </c>
      <c r="D419" s="224" t="str">
        <f>IFERROR(1/(1/INDEX(BD!$AF$35:$AZ$35,MATCH($A$407,BD!$AF$22:$AZ$22,0))),"")</f>
        <v/>
      </c>
      <c r="E419" s="225"/>
      <c r="F419" s="226" t="str">
        <f>IF(F$3="","",IF(COUNTIFS(BD!$A$3:$A$5001,F$3,BD!$B$3:$B$5001,$A$407,BD!$O$3:$O$5001,"&lt;&gt;")=0,"",SUMIFS(BD!$O$3:$O$5001,BD!$A$3:$A$5001,F$3,BD!$B$3:$B$5001,$A$407)))</f>
        <v/>
      </c>
      <c r="G419" s="227" t="str">
        <f>IF(G$3="","",IF(COUNTIFS(BD!$A$3:$A$5001,G$3,BD!$B$3:$B$5001,$A$407,BD!$O$3:$O$5001,"&lt;&gt;")=0,"",SUMIFS(BD!$O$3:$O$5001,BD!$A$3:$A$5001,G$3,BD!$B$3:$B$5001,$A$407)))</f>
        <v/>
      </c>
      <c r="H419" s="227" t="str">
        <f>IF(H$3="","",IF(COUNTIFS(BD!$A$3:$A$5001,H$3,BD!$B$3:$B$5001,$A$407,BD!$O$3:$O$5001,"&lt;&gt;")=0,"",SUMIFS(BD!$O$3:$O$5001,BD!$A$3:$A$5001,H$3,BD!$B$3:$B$5001,$A$407)))</f>
        <v/>
      </c>
      <c r="I419" s="227" t="str">
        <f>IF(I$3="","",IF(COUNTIFS(BD!$A$3:$A$5001,I$3,BD!$B$3:$B$5001,$A$407,BD!$O$3:$O$5001,"&lt;&gt;")=0,"",SUMIFS(BD!$O$3:$O$5001,BD!$A$3:$A$5001,I$3,BD!$B$3:$B$5001,$A$407)))</f>
        <v/>
      </c>
      <c r="J419" s="227" t="str">
        <f>IF(J$3="","",IF(COUNTIFS(BD!$A$3:$A$5001,J$3,BD!$B$3:$B$5001,$A$407,BD!$O$3:$O$5001,"&lt;&gt;")=0,"",SUMIFS(BD!$O$3:$O$5001,BD!$A$3:$A$5001,J$3,BD!$B$3:$B$5001,$A$407)))</f>
        <v/>
      </c>
      <c r="K419" s="227" t="str">
        <f>IF(K$3="","",IF(COUNTIFS(BD!$A$3:$A$5001,K$3,BD!$B$3:$B$5001,$A$407,BD!$O$3:$O$5001,"&lt;&gt;")=0,"",SUMIFS(BD!$O$3:$O$5001,BD!$A$3:$A$5001,K$3,BD!$B$3:$B$5001,$A$407)))</f>
        <v/>
      </c>
      <c r="L419" s="227" t="str">
        <f>IF(L$3="","",IF(COUNTIFS(BD!$A$3:$A$5001,L$3,BD!$B$3:$B$5001,$A$407,BD!$O$3:$O$5001,"&lt;&gt;")=0,"",SUMIFS(BD!$O$3:$O$5001,BD!$A$3:$A$5001,L$3,BD!$B$3:$B$5001,$A$407)))</f>
        <v/>
      </c>
      <c r="M419" s="227" t="str">
        <f>IF(M$3="","",IF(COUNTIFS(BD!$A$3:$A$5001,M$3,BD!$B$3:$B$5001,$A$407,BD!$O$3:$O$5001,"&lt;&gt;")=0,"",SUMIFS(BD!$O$3:$O$5001,BD!$A$3:$A$5001,M$3,BD!$B$3:$B$5001,$A$407)))</f>
        <v/>
      </c>
      <c r="N419" s="227" t="str">
        <f>IF(N$3="","",IF(COUNTIFS(BD!$A$3:$A$5001,N$3,BD!$B$3:$B$5001,$A$407,BD!$O$3:$O$5001,"&lt;&gt;")=0,"",SUMIFS(BD!$O$3:$O$5001,BD!$A$3:$A$5001,N$3,BD!$B$3:$B$5001,$A$407)))</f>
        <v/>
      </c>
      <c r="O419" s="227" t="str">
        <f>IF(O$3="","",IF(COUNTIFS(BD!$A$3:$A$5001,O$3,BD!$B$3:$B$5001,$A$407,BD!$O$3:$O$5001,"&lt;&gt;")=0,"",SUMIFS(BD!$O$3:$O$5001,BD!$A$3:$A$5001,O$3,BD!$B$3:$B$5001,$A$407)))</f>
        <v/>
      </c>
      <c r="P419" s="227" t="str">
        <f>IF(P$3="","",IF(COUNTIFS(BD!$A$3:$A$5001,P$3,BD!$B$3:$B$5001,$A$407,BD!$O$3:$O$5001,"&lt;&gt;")=0,"",SUMIFS(BD!$O$3:$O$5001,BD!$A$3:$A$5001,P$3,BD!$B$3:$B$5001,$A$407)))</f>
        <v/>
      </c>
      <c r="Q419" s="227" t="str">
        <f>IF(Q$3="","",IF(COUNTIFS(BD!$A$3:$A$5001,Q$3,BD!$B$3:$B$5001,$A$407,BD!$O$3:$O$5001,"&lt;&gt;")=0,"",SUMIFS(BD!$O$3:$O$5001,BD!$A$3:$A$5001,Q$3,BD!$B$3:$B$5001,$A$407)))</f>
        <v/>
      </c>
      <c r="R419" s="227" t="str">
        <f>IF(R$3="","",IF(COUNTIFS(BD!$A$3:$A$5001,R$3,BD!$B$3:$B$5001,$A$407,BD!$O$3:$O$5001,"&lt;&gt;")=0,"",SUMIFS(BD!$O$3:$O$5001,BD!$A$3:$A$5001,R$3,BD!$B$3:$B$5001,$A$407)))</f>
        <v/>
      </c>
      <c r="S419" s="227" t="str">
        <f>IF(S$3="","",IF(COUNTIFS(BD!$A$3:$A$5001,S$3,BD!$B$3:$B$5001,$A$407,BD!$O$3:$O$5001,"&lt;&gt;")=0,"",SUMIFS(BD!$O$3:$O$5001,BD!$A$3:$A$5001,S$3,BD!$B$3:$B$5001,$A$407)))</f>
        <v/>
      </c>
      <c r="T419" s="227" t="str">
        <f>IF(T$3="","",IF(COUNTIFS(BD!$A$3:$A$5001,T$3,BD!$B$3:$B$5001,$A$407,BD!$O$3:$O$5001,"&lt;&gt;")=0,"",SUMIFS(BD!$O$3:$O$5001,BD!$A$3:$A$5001,T$3,BD!$B$3:$B$5001,$A$407)))</f>
        <v/>
      </c>
      <c r="U419" s="227" t="str">
        <f>IF(U$3="","",IF(COUNTIFS(BD!$A$3:$A$5001,U$3,BD!$B$3:$B$5001,$A$407,BD!$O$3:$O$5001,"&lt;&gt;")=0,"",SUMIFS(BD!$O$3:$O$5001,BD!$A$3:$A$5001,U$3,BD!$B$3:$B$5001,$A$407)))</f>
        <v/>
      </c>
      <c r="V419" s="227" t="str">
        <f>IF(V$3="","",IF(COUNTIFS(BD!$A$3:$A$5001,V$3,BD!$B$3:$B$5001,$A$407,BD!$O$3:$O$5001,"&lt;&gt;")=0,"",SUMIFS(BD!$O$3:$O$5001,BD!$A$3:$A$5001,V$3,BD!$B$3:$B$5001,$A$407)))</f>
        <v/>
      </c>
      <c r="W419" s="227" t="str">
        <f>IF(W$3="","",IF(COUNTIFS(BD!$A$3:$A$5001,W$3,BD!$B$3:$B$5001,$A$407,BD!$O$3:$O$5001,"&lt;&gt;")=0,"",SUMIFS(BD!$O$3:$O$5001,BD!$A$3:$A$5001,W$3,BD!$B$3:$B$5001,$A$407)))</f>
        <v/>
      </c>
      <c r="X419" s="227" t="str">
        <f>IF(X$3="","",IF(COUNTIFS(BD!$A$3:$A$5001,X$3,BD!$B$3:$B$5001,$A$407,BD!$O$3:$O$5001,"&lt;&gt;")=0,"",SUMIFS(BD!$O$3:$O$5001,BD!$A$3:$A$5001,X$3,BD!$B$3:$B$5001,$A$407)))</f>
        <v/>
      </c>
      <c r="Y419" s="227" t="str">
        <f>IF(Y$3="","",IF(COUNTIFS(BD!$A$3:$A$5001,Y$3,BD!$B$3:$B$5001,$A$407,BD!$O$3:$O$5001,"&lt;&gt;")=0,"",SUMIFS(BD!$O$3:$O$5001,BD!$A$3:$A$5001,Y$3,BD!$B$3:$B$5001,$A$407)))</f>
        <v/>
      </c>
      <c r="Z419" s="227" t="str">
        <f>IF(Z$3="","",IF(COUNTIFS(BD!$A$3:$A$5001,Z$3,BD!$B$3:$B$5001,$A$407,BD!$O$3:$O$5001,"&lt;&gt;")=0,"",SUMIFS(BD!$O$3:$O$5001,BD!$A$3:$A$5001,Z$3,BD!$B$3:$B$5001,$A$407)))</f>
        <v/>
      </c>
      <c r="AA419" s="227" t="str">
        <f>IF(AA$3="","",IF(COUNTIFS(BD!$A$3:$A$5001,AA$3,BD!$B$3:$B$5001,$A$407,BD!$O$3:$O$5001,"&lt;&gt;")=0,"",SUMIFS(BD!$O$3:$O$5001,BD!$A$3:$A$5001,AA$3,BD!$B$3:$B$5001,$A$407)))</f>
        <v/>
      </c>
      <c r="AB419" s="227" t="str">
        <f>IF(AB$3="","",IF(COUNTIFS(BD!$A$3:$A$5001,AB$3,BD!$B$3:$B$5001,$A$407,BD!$O$3:$O$5001,"&lt;&gt;")=0,"",SUMIFS(BD!$O$3:$O$5001,BD!$A$3:$A$5001,AB$3,BD!$B$3:$B$5001,$A$407)))</f>
        <v/>
      </c>
      <c r="AC419" s="227" t="str">
        <f>IF(AC$3="","",IF(COUNTIFS(BD!$A$3:$A$5001,AC$3,BD!$B$3:$B$5001,$A$407,BD!$O$3:$O$5001,"&lt;&gt;")=0,"",SUMIFS(BD!$O$3:$O$5001,BD!$A$3:$A$5001,AC$3,BD!$B$3:$B$5001,$A$407)))</f>
        <v/>
      </c>
      <c r="AD419" s="227" t="str">
        <f>IF(AD$3="","",IF(COUNTIFS(BD!$A$3:$A$5001,AD$3,BD!$B$3:$B$5001,$A$407,BD!$O$3:$O$5001,"&lt;&gt;")=0,"",SUMIFS(BD!$O$3:$O$5001,BD!$A$3:$A$5001,AD$3,BD!$B$3:$B$5001,$A$407)))</f>
        <v/>
      </c>
      <c r="AE419" s="227" t="str">
        <f>IF(AE$3="","",IF(COUNTIFS(BD!$A$3:$A$5001,AE$3,BD!$B$3:$B$5001,$A$407,BD!$O$3:$O$5001,"&lt;&gt;")=0,"",SUMIFS(BD!$O$3:$O$5001,BD!$A$3:$A$5001,AE$3,BD!$B$3:$B$5001,$A$407)))</f>
        <v/>
      </c>
      <c r="AF419" s="227" t="str">
        <f>IF(AF$3="","",IF(COUNTIFS(BD!$A$3:$A$5001,AF$3,BD!$B$3:$B$5001,$A$407,BD!$O$3:$O$5001,"&lt;&gt;")=0,"",SUMIFS(BD!$O$3:$O$5001,BD!$A$3:$A$5001,AF$3,BD!$B$3:$B$5001,$A$407)))</f>
        <v/>
      </c>
      <c r="AG419" s="227" t="str">
        <f>IF(AG$3="","",IF(COUNTIFS(BD!$A$3:$A$5001,AG$3,BD!$B$3:$B$5001,$A$407,BD!$O$3:$O$5001,"&lt;&gt;")=0,"",SUMIFS(BD!$O$3:$O$5001,BD!$A$3:$A$5001,AG$3,BD!$B$3:$B$5001,$A$407)))</f>
        <v/>
      </c>
      <c r="AH419" s="227" t="str">
        <f>IF(AH$3="","",IF(COUNTIFS(BD!$A$3:$A$5001,AH$3,BD!$B$3:$B$5001,$A$407,BD!$O$3:$O$5001,"&lt;&gt;")=0,"",SUMIFS(BD!$O$3:$O$5001,BD!$A$3:$A$5001,AH$3,BD!$B$3:$B$5001,$A$407)))</f>
        <v/>
      </c>
      <c r="AI419" s="227" t="str">
        <f>IF(AI$3="","",IF(COUNTIFS(BD!$A$3:$A$5001,AI$3,BD!$B$3:$B$5001,$A$407,BD!$O$3:$O$5001,"&lt;&gt;")=0,"",SUMIFS(BD!$O$3:$O$5001,BD!$A$3:$A$5001,AI$3,BD!$B$3:$B$5001,$A$407)))</f>
        <v/>
      </c>
      <c r="AJ419" s="228" t="str">
        <f>IF(AJ$3="","",IF(COUNTIFS(BD!$A$3:$A$5001,AJ$3,BD!$B$3:$B$5001,$A$407,BD!$O$3:$O$5001,"&lt;&gt;")=0,"",SUMIFS(BD!$O$3:$O$5001,BD!$A$3:$A$5001,AJ$3,BD!$B$3:$B$5001,$A$407)))</f>
        <v/>
      </c>
      <c r="AK419" s="229" t="str">
        <f>IF(COUNT(F419:AJ419)=0,"",SUM(F419:AJ419))</f>
        <v/>
      </c>
    </row>
    <row r="420" ht="15.75" customHeight="1" hidden="1">
      <c r="A420" s="277"/>
      <c r="B420" s="271"/>
      <c r="C420" s="223" t="inlineStr">
        <is>
          <t xml:space="preserve">Backlog Intralog</t>
        </is>
      </c>
      <c r="D420" s="224" t="str">
        <f>IFERROR(1/(1/INDEX(BD!$AF$36:$AZ$36,MATCH($A$407,BD!$AF$22:$AZ$22,0))),"")</f>
        <v/>
      </c>
      <c r="E420" s="225"/>
      <c r="F420" s="226" t="str">
        <f>IF(F$3="","",IF(COUNTIFS(BD!$A$3:$A$5001,F$3,BD!$B$3:$B$5001,$A$407,BD!$P$3:$P$5001,"&lt;&gt;")=0,"",SUMIFS(BD!$P$3:$P$5001,BD!$A$3:$A$5001,F$3,BD!$B$3:$B$5001,$A$407)))</f>
        <v/>
      </c>
      <c r="G420" s="227" t="str">
        <f>IF(G$3="","",IF(COUNTIFS(BD!$A$3:$A$5001,G$3,BD!$B$3:$B$5001,$A$407,BD!$P$3:$P$5001,"&lt;&gt;")=0,"",SUMIFS(BD!$P$3:$P$5001,BD!$A$3:$A$5001,G$3,BD!$B$3:$B$5001,$A$407)))</f>
        <v/>
      </c>
      <c r="H420" s="227" t="str">
        <f>IF(H$3="","",IF(COUNTIFS(BD!$A$3:$A$5001,H$3,BD!$B$3:$B$5001,$A$407,BD!$P$3:$P$5001,"&lt;&gt;")=0,"",SUMIFS(BD!$P$3:$P$5001,BD!$A$3:$A$5001,H$3,BD!$B$3:$B$5001,$A$407)))</f>
        <v/>
      </c>
      <c r="I420" s="227" t="str">
        <f>IF(I$3="","",IF(COUNTIFS(BD!$A$3:$A$5001,I$3,BD!$B$3:$B$5001,$A$407,BD!$P$3:$P$5001,"&lt;&gt;")=0,"",SUMIFS(BD!$P$3:$P$5001,BD!$A$3:$A$5001,I$3,BD!$B$3:$B$5001,$A$407)))</f>
        <v/>
      </c>
      <c r="J420" s="227" t="str">
        <f>IF(J$3="","",IF(COUNTIFS(BD!$A$3:$A$5001,J$3,BD!$B$3:$B$5001,$A$407,BD!$P$3:$P$5001,"&lt;&gt;")=0,"",SUMIFS(BD!$P$3:$P$5001,BD!$A$3:$A$5001,J$3,BD!$B$3:$B$5001,$A$407)))</f>
        <v/>
      </c>
      <c r="K420" s="227" t="str">
        <f>IF(K$3="","",IF(COUNTIFS(BD!$A$3:$A$5001,K$3,BD!$B$3:$B$5001,$A$407,BD!$P$3:$P$5001,"&lt;&gt;")=0,"",SUMIFS(BD!$P$3:$P$5001,BD!$A$3:$A$5001,K$3,BD!$B$3:$B$5001,$A$407)))</f>
        <v/>
      </c>
      <c r="L420" s="227" t="str">
        <f>IF(L$3="","",IF(COUNTIFS(BD!$A$3:$A$5001,L$3,BD!$B$3:$B$5001,$A$407,BD!$P$3:$P$5001,"&lt;&gt;")=0,"",SUMIFS(BD!$P$3:$P$5001,BD!$A$3:$A$5001,L$3,BD!$B$3:$B$5001,$A$407)))</f>
        <v/>
      </c>
      <c r="M420" s="227" t="str">
        <f>IF(M$3="","",IF(COUNTIFS(BD!$A$3:$A$5001,M$3,BD!$B$3:$B$5001,$A$407,BD!$P$3:$P$5001,"&lt;&gt;")=0,"",SUMIFS(BD!$P$3:$P$5001,BD!$A$3:$A$5001,M$3,BD!$B$3:$B$5001,$A$407)))</f>
        <v/>
      </c>
      <c r="N420" s="227" t="str">
        <f>IF(N$3="","",IF(COUNTIFS(BD!$A$3:$A$5001,N$3,BD!$B$3:$B$5001,$A$407,BD!$P$3:$P$5001,"&lt;&gt;")=0,"",SUMIFS(BD!$P$3:$P$5001,BD!$A$3:$A$5001,N$3,BD!$B$3:$B$5001,$A$407)))</f>
        <v/>
      </c>
      <c r="O420" s="227" t="str">
        <f>IF(O$3="","",IF(COUNTIFS(BD!$A$3:$A$5001,O$3,BD!$B$3:$B$5001,$A$407,BD!$P$3:$P$5001,"&lt;&gt;")=0,"",SUMIFS(BD!$P$3:$P$5001,BD!$A$3:$A$5001,O$3,BD!$B$3:$B$5001,$A$407)))</f>
        <v/>
      </c>
      <c r="P420" s="227" t="str">
        <f>IF(P$3="","",IF(COUNTIFS(BD!$A$3:$A$5001,P$3,BD!$B$3:$B$5001,$A$407,BD!$P$3:$P$5001,"&lt;&gt;")=0,"",SUMIFS(BD!$P$3:$P$5001,BD!$A$3:$A$5001,P$3,BD!$B$3:$B$5001,$A$407)))</f>
        <v/>
      </c>
      <c r="Q420" s="227" t="str">
        <f>IF(Q$3="","",IF(COUNTIFS(BD!$A$3:$A$5001,Q$3,BD!$B$3:$B$5001,$A$407,BD!$P$3:$P$5001,"&lt;&gt;")=0,"",SUMIFS(BD!$P$3:$P$5001,BD!$A$3:$A$5001,Q$3,BD!$B$3:$B$5001,$A$407)))</f>
        <v/>
      </c>
      <c r="R420" s="227" t="str">
        <f>IF(R$3="","",IF(COUNTIFS(BD!$A$3:$A$5001,R$3,BD!$B$3:$B$5001,$A$407,BD!$P$3:$P$5001,"&lt;&gt;")=0,"",SUMIFS(BD!$P$3:$P$5001,BD!$A$3:$A$5001,R$3,BD!$B$3:$B$5001,$A$407)))</f>
        <v/>
      </c>
      <c r="S420" s="227" t="str">
        <f>IF(S$3="","",IF(COUNTIFS(BD!$A$3:$A$5001,S$3,BD!$B$3:$B$5001,$A$407,BD!$P$3:$P$5001,"&lt;&gt;")=0,"",SUMIFS(BD!$P$3:$P$5001,BD!$A$3:$A$5001,S$3,BD!$B$3:$B$5001,$A$407)))</f>
        <v/>
      </c>
      <c r="T420" s="227" t="str">
        <f>IF(T$3="","",IF(COUNTIFS(BD!$A$3:$A$5001,T$3,BD!$B$3:$B$5001,$A$407,BD!$P$3:$P$5001,"&lt;&gt;")=0,"",SUMIFS(BD!$P$3:$P$5001,BD!$A$3:$A$5001,T$3,BD!$B$3:$B$5001,$A$407)))</f>
        <v/>
      </c>
      <c r="U420" s="227" t="str">
        <f>IF(U$3="","",IF(COUNTIFS(BD!$A$3:$A$5001,U$3,BD!$B$3:$B$5001,$A$407,BD!$P$3:$P$5001,"&lt;&gt;")=0,"",SUMIFS(BD!$P$3:$P$5001,BD!$A$3:$A$5001,U$3,BD!$B$3:$B$5001,$A$407)))</f>
        <v/>
      </c>
      <c r="V420" s="227" t="str">
        <f>IF(V$3="","",IF(COUNTIFS(BD!$A$3:$A$5001,V$3,BD!$B$3:$B$5001,$A$407,BD!$P$3:$P$5001,"&lt;&gt;")=0,"",SUMIFS(BD!$P$3:$P$5001,BD!$A$3:$A$5001,V$3,BD!$B$3:$B$5001,$A$407)))</f>
        <v/>
      </c>
      <c r="W420" s="227" t="str">
        <f>IF(W$3="","",IF(COUNTIFS(BD!$A$3:$A$5001,W$3,BD!$B$3:$B$5001,$A$407,BD!$P$3:$P$5001,"&lt;&gt;")=0,"",SUMIFS(BD!$P$3:$P$5001,BD!$A$3:$A$5001,W$3,BD!$B$3:$B$5001,$A$407)))</f>
        <v/>
      </c>
      <c r="X420" s="227" t="str">
        <f>IF(X$3="","",IF(COUNTIFS(BD!$A$3:$A$5001,X$3,BD!$B$3:$B$5001,$A$407,BD!$P$3:$P$5001,"&lt;&gt;")=0,"",SUMIFS(BD!$P$3:$P$5001,BD!$A$3:$A$5001,X$3,BD!$B$3:$B$5001,$A$407)))</f>
        <v/>
      </c>
      <c r="Y420" s="227" t="str">
        <f>IF(Y$3="","",IF(COUNTIFS(BD!$A$3:$A$5001,Y$3,BD!$B$3:$B$5001,$A$407,BD!$P$3:$P$5001,"&lt;&gt;")=0,"",SUMIFS(BD!$P$3:$P$5001,BD!$A$3:$A$5001,Y$3,BD!$B$3:$B$5001,$A$407)))</f>
        <v/>
      </c>
      <c r="Z420" s="227" t="str">
        <f>IF(Z$3="","",IF(COUNTIFS(BD!$A$3:$A$5001,Z$3,BD!$B$3:$B$5001,$A$407,BD!$P$3:$P$5001,"&lt;&gt;")=0,"",SUMIFS(BD!$P$3:$P$5001,BD!$A$3:$A$5001,Z$3,BD!$B$3:$B$5001,$A$407)))</f>
        <v/>
      </c>
      <c r="AA420" s="227" t="str">
        <f>IF(AA$3="","",IF(COUNTIFS(BD!$A$3:$A$5001,AA$3,BD!$B$3:$B$5001,$A$407,BD!$P$3:$P$5001,"&lt;&gt;")=0,"",SUMIFS(BD!$P$3:$P$5001,BD!$A$3:$A$5001,AA$3,BD!$B$3:$B$5001,$A$407)))</f>
        <v/>
      </c>
      <c r="AB420" s="227" t="str">
        <f>IF(AB$3="","",IF(COUNTIFS(BD!$A$3:$A$5001,AB$3,BD!$B$3:$B$5001,$A$407,BD!$P$3:$P$5001,"&lt;&gt;")=0,"",SUMIFS(BD!$P$3:$P$5001,BD!$A$3:$A$5001,AB$3,BD!$B$3:$B$5001,$A$407)))</f>
        <v/>
      </c>
      <c r="AC420" s="227" t="str">
        <f>IF(AC$3="","",IF(COUNTIFS(BD!$A$3:$A$5001,AC$3,BD!$B$3:$B$5001,$A$407,BD!$P$3:$P$5001,"&lt;&gt;")=0,"",SUMIFS(BD!$P$3:$P$5001,BD!$A$3:$A$5001,AC$3,BD!$B$3:$B$5001,$A$407)))</f>
        <v/>
      </c>
      <c r="AD420" s="227" t="str">
        <f>IF(AD$3="","",IF(COUNTIFS(BD!$A$3:$A$5001,AD$3,BD!$B$3:$B$5001,$A$407,BD!$P$3:$P$5001,"&lt;&gt;")=0,"",SUMIFS(BD!$P$3:$P$5001,BD!$A$3:$A$5001,AD$3,BD!$B$3:$B$5001,$A$407)))</f>
        <v/>
      </c>
      <c r="AE420" s="227" t="str">
        <f>IF(AE$3="","",IF(COUNTIFS(BD!$A$3:$A$5001,AE$3,BD!$B$3:$B$5001,$A$407,BD!$P$3:$P$5001,"&lt;&gt;")=0,"",SUMIFS(BD!$P$3:$P$5001,BD!$A$3:$A$5001,AE$3,BD!$B$3:$B$5001,$A$407)))</f>
        <v/>
      </c>
      <c r="AF420" s="227" t="str">
        <f>IF(AF$3="","",IF(COUNTIFS(BD!$A$3:$A$5001,AF$3,BD!$B$3:$B$5001,$A$407,BD!$P$3:$P$5001,"&lt;&gt;")=0,"",SUMIFS(BD!$P$3:$P$5001,BD!$A$3:$A$5001,AF$3,BD!$B$3:$B$5001,$A$407)))</f>
        <v/>
      </c>
      <c r="AG420" s="227" t="str">
        <f>IF(AG$3="","",IF(COUNTIFS(BD!$A$3:$A$5001,AG$3,BD!$B$3:$B$5001,$A$407,BD!$P$3:$P$5001,"&lt;&gt;")=0,"",SUMIFS(BD!$P$3:$P$5001,BD!$A$3:$A$5001,AG$3,BD!$B$3:$B$5001,$A$407)))</f>
        <v/>
      </c>
      <c r="AH420" s="227" t="str">
        <f>IF(AH$3="","",IF(COUNTIFS(BD!$A$3:$A$5001,AH$3,BD!$B$3:$B$5001,$A$407,BD!$P$3:$P$5001,"&lt;&gt;")=0,"",SUMIFS(BD!$P$3:$P$5001,BD!$A$3:$A$5001,AH$3,BD!$B$3:$B$5001,$A$407)))</f>
        <v/>
      </c>
      <c r="AI420" s="227" t="str">
        <f>IF(AI$3="","",IF(COUNTIFS(BD!$A$3:$A$5001,AI$3,BD!$B$3:$B$5001,$A$407,BD!$P$3:$P$5001,"&lt;&gt;")=0,"",SUMIFS(BD!$P$3:$P$5001,BD!$A$3:$A$5001,AI$3,BD!$B$3:$B$5001,$A$407)))</f>
        <v/>
      </c>
      <c r="AJ420" s="228" t="str">
        <f>IF(AJ$3="","",IF(COUNTIFS(BD!$A$3:$A$5001,AJ$3,BD!$B$3:$B$5001,$A$407,BD!$P$3:$P$5001,"&lt;&gt;")=0,"",SUMIFS(BD!$P$3:$P$5001,BD!$A$3:$A$5001,AJ$3,BD!$B$3:$B$5001,$A$407)))</f>
        <v/>
      </c>
      <c r="AK420" s="229" t="str">
        <f>IFERROR(LOOKUP(9.99E+307,F420:AJ420),"")</f>
        <v/>
      </c>
    </row>
    <row r="421" ht="15.75" customHeight="1" hidden="1">
      <c r="A421" s="277"/>
      <c r="B421" s="272"/>
      <c r="C421" s="230" t="inlineStr">
        <is>
          <t xml:space="preserve">Backlog Cliente</t>
        </is>
      </c>
      <c r="D421" s="231" t="str">
        <f>IFERROR(1/(1/INDEX(BD!$AF$37:$AZ$37,MATCH($A$407,BD!$AF$22:$AZ$22,0))),"")</f>
        <v/>
      </c>
      <c r="E421" s="232"/>
      <c r="F421" s="233" t="str">
        <f>IF(F$3="","",IF(COUNTIFS(BD!$A$3:$A$5001,F$3,BD!$B$3:$B$5001,$A$407,BD!$Q$3:$Q$5001,"&lt;&gt;")=0,"",SUMIFS(BD!$Q$3:$Q$5001,BD!$A$3:$A$5001,F$3,BD!$B$3:$B$5001,$A$407)))</f>
        <v/>
      </c>
      <c r="G421" s="234" t="str">
        <f>IF(G$3="","",IF(COUNTIFS(BD!$A$3:$A$5001,G$3,BD!$B$3:$B$5001,$A$407,BD!$Q$3:$Q$5001,"&lt;&gt;")=0,"",SUMIFS(BD!$Q$3:$Q$5001,BD!$A$3:$A$5001,G$3,BD!$B$3:$B$5001,$A$407)))</f>
        <v/>
      </c>
      <c r="H421" s="234" t="str">
        <f>IF(H$3="","",IF(COUNTIFS(BD!$A$3:$A$5001,H$3,BD!$B$3:$B$5001,$A$407,BD!$Q$3:$Q$5001,"&lt;&gt;")=0,"",SUMIFS(BD!$Q$3:$Q$5001,BD!$A$3:$A$5001,H$3,BD!$B$3:$B$5001,$A$407)))</f>
        <v/>
      </c>
      <c r="I421" s="234" t="str">
        <f>IF(I$3="","",IF(COUNTIFS(BD!$A$3:$A$5001,I$3,BD!$B$3:$B$5001,$A$407,BD!$Q$3:$Q$5001,"&lt;&gt;")=0,"",SUMIFS(BD!$Q$3:$Q$5001,BD!$A$3:$A$5001,I$3,BD!$B$3:$B$5001,$A$407)))</f>
        <v/>
      </c>
      <c r="J421" s="234" t="str">
        <f>IF(J$3="","",IF(COUNTIFS(BD!$A$3:$A$5001,J$3,BD!$B$3:$B$5001,$A$407,BD!$Q$3:$Q$5001,"&lt;&gt;")=0,"",SUMIFS(BD!$Q$3:$Q$5001,BD!$A$3:$A$5001,J$3,BD!$B$3:$B$5001,$A$407)))</f>
        <v/>
      </c>
      <c r="K421" s="234" t="str">
        <f>IF(K$3="","",IF(COUNTIFS(BD!$A$3:$A$5001,K$3,BD!$B$3:$B$5001,$A$407,BD!$Q$3:$Q$5001,"&lt;&gt;")=0,"",SUMIFS(BD!$Q$3:$Q$5001,BD!$A$3:$A$5001,K$3,BD!$B$3:$B$5001,$A$407)))</f>
        <v/>
      </c>
      <c r="L421" s="234" t="str">
        <f>IF(L$3="","",IF(COUNTIFS(BD!$A$3:$A$5001,L$3,BD!$B$3:$B$5001,$A$407,BD!$Q$3:$Q$5001,"&lt;&gt;")=0,"",SUMIFS(BD!$Q$3:$Q$5001,BD!$A$3:$A$5001,L$3,BD!$B$3:$B$5001,$A$407)))</f>
        <v/>
      </c>
      <c r="M421" s="234" t="str">
        <f>IF(M$3="","",IF(COUNTIFS(BD!$A$3:$A$5001,M$3,BD!$B$3:$B$5001,$A$407,BD!$Q$3:$Q$5001,"&lt;&gt;")=0,"",SUMIFS(BD!$Q$3:$Q$5001,BD!$A$3:$A$5001,M$3,BD!$B$3:$B$5001,$A$407)))</f>
        <v/>
      </c>
      <c r="N421" s="234" t="str">
        <f>IF(N$3="","",IF(COUNTIFS(BD!$A$3:$A$5001,N$3,BD!$B$3:$B$5001,$A$407,BD!$Q$3:$Q$5001,"&lt;&gt;")=0,"",SUMIFS(BD!$Q$3:$Q$5001,BD!$A$3:$A$5001,N$3,BD!$B$3:$B$5001,$A$407)))</f>
        <v/>
      </c>
      <c r="O421" s="234" t="str">
        <f>IF(O$3="","",IF(COUNTIFS(BD!$A$3:$A$5001,O$3,BD!$B$3:$B$5001,$A$407,BD!$Q$3:$Q$5001,"&lt;&gt;")=0,"",SUMIFS(BD!$Q$3:$Q$5001,BD!$A$3:$A$5001,O$3,BD!$B$3:$B$5001,$A$407)))</f>
        <v/>
      </c>
      <c r="P421" s="234" t="str">
        <f>IF(P$3="","",IF(COUNTIFS(BD!$A$3:$A$5001,P$3,BD!$B$3:$B$5001,$A$407,BD!$Q$3:$Q$5001,"&lt;&gt;")=0,"",SUMIFS(BD!$Q$3:$Q$5001,BD!$A$3:$A$5001,P$3,BD!$B$3:$B$5001,$A$407)))</f>
        <v/>
      </c>
      <c r="Q421" s="234" t="str">
        <f>IF(Q$3="","",IF(COUNTIFS(BD!$A$3:$A$5001,Q$3,BD!$B$3:$B$5001,$A$407,BD!$Q$3:$Q$5001,"&lt;&gt;")=0,"",SUMIFS(BD!$Q$3:$Q$5001,BD!$A$3:$A$5001,Q$3,BD!$B$3:$B$5001,$A$407)))</f>
        <v/>
      </c>
      <c r="R421" s="234" t="str">
        <f>IF(R$3="","",IF(COUNTIFS(BD!$A$3:$A$5001,R$3,BD!$B$3:$B$5001,$A$407,BD!$Q$3:$Q$5001,"&lt;&gt;")=0,"",SUMIFS(BD!$Q$3:$Q$5001,BD!$A$3:$A$5001,R$3,BD!$B$3:$B$5001,$A$407)))</f>
        <v/>
      </c>
      <c r="S421" s="234" t="str">
        <f>IF(S$3="","",IF(COUNTIFS(BD!$A$3:$A$5001,S$3,BD!$B$3:$B$5001,$A$407,BD!$Q$3:$Q$5001,"&lt;&gt;")=0,"",SUMIFS(BD!$Q$3:$Q$5001,BD!$A$3:$A$5001,S$3,BD!$B$3:$B$5001,$A$407)))</f>
        <v/>
      </c>
      <c r="T421" s="234" t="str">
        <f>IF(T$3="","",IF(COUNTIFS(BD!$A$3:$A$5001,T$3,BD!$B$3:$B$5001,$A$407,BD!$Q$3:$Q$5001,"&lt;&gt;")=0,"",SUMIFS(BD!$Q$3:$Q$5001,BD!$A$3:$A$5001,T$3,BD!$B$3:$B$5001,$A$407)))</f>
        <v/>
      </c>
      <c r="U421" s="234" t="str">
        <f>IF(U$3="","",IF(COUNTIFS(BD!$A$3:$A$5001,U$3,BD!$B$3:$B$5001,$A$407,BD!$Q$3:$Q$5001,"&lt;&gt;")=0,"",SUMIFS(BD!$Q$3:$Q$5001,BD!$A$3:$A$5001,U$3,BD!$B$3:$B$5001,$A$407)))</f>
        <v/>
      </c>
      <c r="V421" s="234" t="str">
        <f>IF(V$3="","",IF(COUNTIFS(BD!$A$3:$A$5001,V$3,BD!$B$3:$B$5001,$A$407,BD!$Q$3:$Q$5001,"&lt;&gt;")=0,"",SUMIFS(BD!$Q$3:$Q$5001,BD!$A$3:$A$5001,V$3,BD!$B$3:$B$5001,$A$407)))</f>
        <v/>
      </c>
      <c r="W421" s="234" t="str">
        <f>IF(W$3="","",IF(COUNTIFS(BD!$A$3:$A$5001,W$3,BD!$B$3:$B$5001,$A$407,BD!$Q$3:$Q$5001,"&lt;&gt;")=0,"",SUMIFS(BD!$Q$3:$Q$5001,BD!$A$3:$A$5001,W$3,BD!$B$3:$B$5001,$A$407)))</f>
        <v/>
      </c>
      <c r="X421" s="234" t="str">
        <f>IF(X$3="","",IF(COUNTIFS(BD!$A$3:$A$5001,X$3,BD!$B$3:$B$5001,$A$407,BD!$Q$3:$Q$5001,"&lt;&gt;")=0,"",SUMIFS(BD!$Q$3:$Q$5001,BD!$A$3:$A$5001,X$3,BD!$B$3:$B$5001,$A$407)))</f>
        <v/>
      </c>
      <c r="Y421" s="234" t="str">
        <f>IF(Y$3="","",IF(COUNTIFS(BD!$A$3:$A$5001,Y$3,BD!$B$3:$B$5001,$A$407,BD!$Q$3:$Q$5001,"&lt;&gt;")=0,"",SUMIFS(BD!$Q$3:$Q$5001,BD!$A$3:$A$5001,Y$3,BD!$B$3:$B$5001,$A$407)))</f>
        <v/>
      </c>
      <c r="Z421" s="234" t="str">
        <f>IF(Z$3="","",IF(COUNTIFS(BD!$A$3:$A$5001,Z$3,BD!$B$3:$B$5001,$A$407,BD!$Q$3:$Q$5001,"&lt;&gt;")=0,"",SUMIFS(BD!$Q$3:$Q$5001,BD!$A$3:$A$5001,Z$3,BD!$B$3:$B$5001,$A$407)))</f>
        <v/>
      </c>
      <c r="AA421" s="234" t="str">
        <f>IF(AA$3="","",IF(COUNTIFS(BD!$A$3:$A$5001,AA$3,BD!$B$3:$B$5001,$A$407,BD!$Q$3:$Q$5001,"&lt;&gt;")=0,"",SUMIFS(BD!$Q$3:$Q$5001,BD!$A$3:$A$5001,AA$3,BD!$B$3:$B$5001,$A$407)))</f>
        <v/>
      </c>
      <c r="AB421" s="234" t="str">
        <f>IF(AB$3="","",IF(COUNTIFS(BD!$A$3:$A$5001,AB$3,BD!$B$3:$B$5001,$A$407,BD!$Q$3:$Q$5001,"&lt;&gt;")=0,"",SUMIFS(BD!$Q$3:$Q$5001,BD!$A$3:$A$5001,AB$3,BD!$B$3:$B$5001,$A$407)))</f>
        <v/>
      </c>
      <c r="AC421" s="234" t="str">
        <f>IF(AC$3="","",IF(COUNTIFS(BD!$A$3:$A$5001,AC$3,BD!$B$3:$B$5001,$A$407,BD!$Q$3:$Q$5001,"&lt;&gt;")=0,"",SUMIFS(BD!$Q$3:$Q$5001,BD!$A$3:$A$5001,AC$3,BD!$B$3:$B$5001,$A$407)))</f>
        <v/>
      </c>
      <c r="AD421" s="234" t="str">
        <f>IF(AD$3="","",IF(COUNTIFS(BD!$A$3:$A$5001,AD$3,BD!$B$3:$B$5001,$A$407,BD!$Q$3:$Q$5001,"&lt;&gt;")=0,"",SUMIFS(BD!$Q$3:$Q$5001,BD!$A$3:$A$5001,AD$3,BD!$B$3:$B$5001,$A$407)))</f>
        <v/>
      </c>
      <c r="AE421" s="234" t="str">
        <f>IF(AE$3="","",IF(COUNTIFS(BD!$A$3:$A$5001,AE$3,BD!$B$3:$B$5001,$A$407,BD!$Q$3:$Q$5001,"&lt;&gt;")=0,"",SUMIFS(BD!$Q$3:$Q$5001,BD!$A$3:$A$5001,AE$3,BD!$B$3:$B$5001,$A$407)))</f>
        <v/>
      </c>
      <c r="AF421" s="234" t="str">
        <f>IF(AF$3="","",IF(COUNTIFS(BD!$A$3:$A$5001,AF$3,BD!$B$3:$B$5001,$A$407,BD!$Q$3:$Q$5001,"&lt;&gt;")=0,"",SUMIFS(BD!$Q$3:$Q$5001,BD!$A$3:$A$5001,AF$3,BD!$B$3:$B$5001,$A$407)))</f>
        <v/>
      </c>
      <c r="AG421" s="234" t="str">
        <f>IF(AG$3="","",IF(COUNTIFS(BD!$A$3:$A$5001,AG$3,BD!$B$3:$B$5001,$A$407,BD!$Q$3:$Q$5001,"&lt;&gt;")=0,"",SUMIFS(BD!$Q$3:$Q$5001,BD!$A$3:$A$5001,AG$3,BD!$B$3:$B$5001,$A$407)))</f>
        <v/>
      </c>
      <c r="AH421" s="234" t="str">
        <f>IF(AH$3="","",IF(COUNTIFS(BD!$A$3:$A$5001,AH$3,BD!$B$3:$B$5001,$A$407,BD!$Q$3:$Q$5001,"&lt;&gt;")=0,"",SUMIFS(BD!$Q$3:$Q$5001,BD!$A$3:$A$5001,AH$3,BD!$B$3:$B$5001,$A$407)))</f>
        <v/>
      </c>
      <c r="AI421" s="234" t="str">
        <f>IF(AI$3="","",IF(COUNTIFS(BD!$A$3:$A$5001,AI$3,BD!$B$3:$B$5001,$A$407,BD!$Q$3:$Q$5001,"&lt;&gt;")=0,"",SUMIFS(BD!$Q$3:$Q$5001,BD!$A$3:$A$5001,AI$3,BD!$B$3:$B$5001,$A$407)))</f>
        <v/>
      </c>
      <c r="AJ421" s="235" t="str">
        <f>IF(AJ$3="","",IF(COUNTIFS(BD!$A$3:$A$5001,AJ$3,BD!$B$3:$B$5001,$A$407,BD!$Q$3:$Q$5001,"&lt;&gt;")=0,"",SUMIFS(BD!$Q$3:$Q$5001,BD!$A$3:$A$5001,AJ$3,BD!$B$3:$B$5001,$A$407)))</f>
        <v/>
      </c>
      <c r="AK421" s="231" t="str">
        <f>IFERROR(LOOKUP(9.99E+307,F421:AJ421),"")</f>
        <v/>
      </c>
    </row>
    <row r="422" ht="15.75" customHeight="1" hidden="1">
      <c r="A422" s="277"/>
      <c r="B422" s="264" t="inlineStr">
        <is>
          <t xml:space="preserve">OCUPAÇÃO (P.P)</t>
        </is>
      </c>
      <c r="C422" s="168" t="inlineStr">
        <is>
          <t xml:space="preserve">Posições Disponíveis</t>
        </is>
      </c>
      <c r="D422" s="169" t="str">
        <f>IFERROR(1/(1/INDEX(BD!$AF$38:$AZ$38,MATCH($A$407,BD!$AF$22:$AZ$22,0))),"")</f>
        <v/>
      </c>
      <c r="E422" s="170"/>
      <c r="F422" s="171" t="str">
        <f>IF(F$3="","",IF(COUNTIFS(BD!$A$3:$A$5001,F$3,BD!$B$3:$B$5001,$A$407,BD!$R$3:$R$5001,"&lt;&gt;")=0,"",SUMIFS(BD!$R$3:$R$5001,BD!$A$3:$A$5001,F$3,BD!$B$3:$B$5001,$A$407)))</f>
        <v/>
      </c>
      <c r="G422" s="172" t="str">
        <f>IF(G$3="","",IF(COUNTIFS(BD!$A$3:$A$5001,G$3,BD!$B$3:$B$5001,$A$407,BD!$R$3:$R$5001,"&lt;&gt;")=0,"",SUMIFS(BD!$R$3:$R$5001,BD!$A$3:$A$5001,G$3,BD!$B$3:$B$5001,$A$407)))</f>
        <v/>
      </c>
      <c r="H422" s="172" t="str">
        <f>IF(H$3="","",IF(COUNTIFS(BD!$A$3:$A$5001,H$3,BD!$B$3:$B$5001,$A$407,BD!$R$3:$R$5001,"&lt;&gt;")=0,"",SUMIFS(BD!$R$3:$R$5001,BD!$A$3:$A$5001,H$3,BD!$B$3:$B$5001,$A$407)))</f>
        <v/>
      </c>
      <c r="I422" s="172" t="str">
        <f>IF(I$3="","",IF(COUNTIFS(BD!$A$3:$A$5001,I$3,BD!$B$3:$B$5001,$A$407,BD!$R$3:$R$5001,"&lt;&gt;")=0,"",SUMIFS(BD!$R$3:$R$5001,BD!$A$3:$A$5001,I$3,BD!$B$3:$B$5001,$A$407)))</f>
        <v/>
      </c>
      <c r="J422" s="172" t="str">
        <f>IF(J$3="","",IF(COUNTIFS(BD!$A$3:$A$5001,J$3,BD!$B$3:$B$5001,$A$407,BD!$R$3:$R$5001,"&lt;&gt;")=0,"",SUMIFS(BD!$R$3:$R$5001,BD!$A$3:$A$5001,J$3,BD!$B$3:$B$5001,$A$407)))</f>
        <v/>
      </c>
      <c r="K422" s="172" t="str">
        <f>IF(K$3="","",IF(COUNTIFS(BD!$A$3:$A$5001,K$3,BD!$B$3:$B$5001,$A$407,BD!$R$3:$R$5001,"&lt;&gt;")=0,"",SUMIFS(BD!$R$3:$R$5001,BD!$A$3:$A$5001,K$3,BD!$B$3:$B$5001,$A$407)))</f>
        <v/>
      </c>
      <c r="L422" s="172" t="str">
        <f>IF(L$3="","",IF(COUNTIFS(BD!$A$3:$A$5001,L$3,BD!$B$3:$B$5001,$A$407,BD!$R$3:$R$5001,"&lt;&gt;")=0,"",SUMIFS(BD!$R$3:$R$5001,BD!$A$3:$A$5001,L$3,BD!$B$3:$B$5001,$A$407)))</f>
        <v/>
      </c>
      <c r="M422" s="172" t="str">
        <f>IF(M$3="","",IF(COUNTIFS(BD!$A$3:$A$5001,M$3,BD!$B$3:$B$5001,$A$407,BD!$R$3:$R$5001,"&lt;&gt;")=0,"",SUMIFS(BD!$R$3:$R$5001,BD!$A$3:$A$5001,M$3,BD!$B$3:$B$5001,$A$407)))</f>
        <v/>
      </c>
      <c r="N422" s="172" t="str">
        <f>IF(N$3="","",IF(COUNTIFS(BD!$A$3:$A$5001,N$3,BD!$B$3:$B$5001,$A$407,BD!$R$3:$R$5001,"&lt;&gt;")=0,"",SUMIFS(BD!$R$3:$R$5001,BD!$A$3:$A$5001,N$3,BD!$B$3:$B$5001,$A$407)))</f>
        <v/>
      </c>
      <c r="O422" s="172" t="str">
        <f>IF(O$3="","",IF(COUNTIFS(BD!$A$3:$A$5001,O$3,BD!$B$3:$B$5001,$A$407,BD!$R$3:$R$5001,"&lt;&gt;")=0,"",SUMIFS(BD!$R$3:$R$5001,BD!$A$3:$A$5001,O$3,BD!$B$3:$B$5001,$A$407)))</f>
        <v/>
      </c>
      <c r="P422" s="172" t="str">
        <f>IF(P$3="","",IF(COUNTIFS(BD!$A$3:$A$5001,P$3,BD!$B$3:$B$5001,$A$407,BD!$R$3:$R$5001,"&lt;&gt;")=0,"",SUMIFS(BD!$R$3:$R$5001,BD!$A$3:$A$5001,P$3,BD!$B$3:$B$5001,$A$407)))</f>
        <v/>
      </c>
      <c r="Q422" s="172" t="str">
        <f>IF(Q$3="","",IF(COUNTIFS(BD!$A$3:$A$5001,Q$3,BD!$B$3:$B$5001,$A$407,BD!$R$3:$R$5001,"&lt;&gt;")=0,"",SUMIFS(BD!$R$3:$R$5001,BD!$A$3:$A$5001,Q$3,BD!$B$3:$B$5001,$A$407)))</f>
        <v/>
      </c>
      <c r="R422" s="172" t="str">
        <f>IF(R$3="","",IF(COUNTIFS(BD!$A$3:$A$5001,R$3,BD!$B$3:$B$5001,$A$407,BD!$R$3:$R$5001,"&lt;&gt;")=0,"",SUMIFS(BD!$R$3:$R$5001,BD!$A$3:$A$5001,R$3,BD!$B$3:$B$5001,$A$407)))</f>
        <v/>
      </c>
      <c r="S422" s="172" t="str">
        <f>IF(S$3="","",IF(COUNTIFS(BD!$A$3:$A$5001,S$3,BD!$B$3:$B$5001,$A$407,BD!$R$3:$R$5001,"&lt;&gt;")=0,"",SUMIFS(BD!$R$3:$R$5001,BD!$A$3:$A$5001,S$3,BD!$B$3:$B$5001,$A$407)))</f>
        <v/>
      </c>
      <c r="T422" s="172" t="str">
        <f>IF(T$3="","",IF(COUNTIFS(BD!$A$3:$A$5001,T$3,BD!$B$3:$B$5001,$A$407,BD!$R$3:$R$5001,"&lt;&gt;")=0,"",SUMIFS(BD!$R$3:$R$5001,BD!$A$3:$A$5001,T$3,BD!$B$3:$B$5001,$A$407)))</f>
        <v/>
      </c>
      <c r="U422" s="172" t="str">
        <f>IF(U$3="","",IF(COUNTIFS(BD!$A$3:$A$5001,U$3,BD!$B$3:$B$5001,$A$407,BD!$R$3:$R$5001,"&lt;&gt;")=0,"",SUMIFS(BD!$R$3:$R$5001,BD!$A$3:$A$5001,U$3,BD!$B$3:$B$5001,$A$407)))</f>
        <v/>
      </c>
      <c r="V422" s="172" t="str">
        <f>IF(V$3="","",IF(COUNTIFS(BD!$A$3:$A$5001,V$3,BD!$B$3:$B$5001,$A$407,BD!$R$3:$R$5001,"&lt;&gt;")=0,"",SUMIFS(BD!$R$3:$R$5001,BD!$A$3:$A$5001,V$3,BD!$B$3:$B$5001,$A$407)))</f>
        <v/>
      </c>
      <c r="W422" s="172" t="str">
        <f>IF(W$3="","",IF(COUNTIFS(BD!$A$3:$A$5001,W$3,BD!$B$3:$B$5001,$A$407,BD!$R$3:$R$5001,"&lt;&gt;")=0,"",SUMIFS(BD!$R$3:$R$5001,BD!$A$3:$A$5001,W$3,BD!$B$3:$B$5001,$A$407)))</f>
        <v/>
      </c>
      <c r="X422" s="172" t="str">
        <f>IF(X$3="","",IF(COUNTIFS(BD!$A$3:$A$5001,X$3,BD!$B$3:$B$5001,$A$407,BD!$R$3:$R$5001,"&lt;&gt;")=0,"",SUMIFS(BD!$R$3:$R$5001,BD!$A$3:$A$5001,X$3,BD!$B$3:$B$5001,$A$407)))</f>
        <v/>
      </c>
      <c r="Y422" s="172" t="str">
        <f>IF(Y$3="","",IF(COUNTIFS(BD!$A$3:$A$5001,Y$3,BD!$B$3:$B$5001,$A$407,BD!$R$3:$R$5001,"&lt;&gt;")=0,"",SUMIFS(BD!$R$3:$R$5001,BD!$A$3:$A$5001,Y$3,BD!$B$3:$B$5001,$A$407)))</f>
        <v/>
      </c>
      <c r="Z422" s="172" t="str">
        <f>IF(Z$3="","",IF(COUNTIFS(BD!$A$3:$A$5001,Z$3,BD!$B$3:$B$5001,$A$407,BD!$R$3:$R$5001,"&lt;&gt;")=0,"",SUMIFS(BD!$R$3:$R$5001,BD!$A$3:$A$5001,Z$3,BD!$B$3:$B$5001,$A$407)))</f>
        <v/>
      </c>
      <c r="AA422" s="172" t="str">
        <f>IF(AA$3="","",IF(COUNTIFS(BD!$A$3:$A$5001,AA$3,BD!$B$3:$B$5001,$A$407,BD!$R$3:$R$5001,"&lt;&gt;")=0,"",SUMIFS(BD!$R$3:$R$5001,BD!$A$3:$A$5001,AA$3,BD!$B$3:$B$5001,$A$407)))</f>
        <v/>
      </c>
      <c r="AB422" s="172" t="str">
        <f>IF(AB$3="","",IF(COUNTIFS(BD!$A$3:$A$5001,AB$3,BD!$B$3:$B$5001,$A$407,BD!$R$3:$R$5001,"&lt;&gt;")=0,"",SUMIFS(BD!$R$3:$R$5001,BD!$A$3:$A$5001,AB$3,BD!$B$3:$B$5001,$A$407)))</f>
        <v/>
      </c>
      <c r="AC422" s="172" t="str">
        <f>IF(AC$3="","",IF(COUNTIFS(BD!$A$3:$A$5001,AC$3,BD!$B$3:$B$5001,$A$407,BD!$R$3:$R$5001,"&lt;&gt;")=0,"",SUMIFS(BD!$R$3:$R$5001,BD!$A$3:$A$5001,AC$3,BD!$B$3:$B$5001,$A$407)))</f>
        <v/>
      </c>
      <c r="AD422" s="172" t="str">
        <f>IF(AD$3="","",IF(COUNTIFS(BD!$A$3:$A$5001,AD$3,BD!$B$3:$B$5001,$A$407,BD!$R$3:$R$5001,"&lt;&gt;")=0,"",SUMIFS(BD!$R$3:$R$5001,BD!$A$3:$A$5001,AD$3,BD!$B$3:$B$5001,$A$407)))</f>
        <v/>
      </c>
      <c r="AE422" s="172" t="str">
        <f>IF(AE$3="","",IF(COUNTIFS(BD!$A$3:$A$5001,AE$3,BD!$B$3:$B$5001,$A$407,BD!$R$3:$R$5001,"&lt;&gt;")=0,"",SUMIFS(BD!$R$3:$R$5001,BD!$A$3:$A$5001,AE$3,BD!$B$3:$B$5001,$A$407)))</f>
        <v/>
      </c>
      <c r="AF422" s="172" t="str">
        <f>IF(AF$3="","",IF(COUNTIFS(BD!$A$3:$A$5001,AF$3,BD!$B$3:$B$5001,$A$407,BD!$R$3:$R$5001,"&lt;&gt;")=0,"",SUMIFS(BD!$R$3:$R$5001,BD!$A$3:$A$5001,AF$3,BD!$B$3:$B$5001,$A$407)))</f>
        <v/>
      </c>
      <c r="AG422" s="172" t="str">
        <f>IF(AG$3="","",IF(COUNTIFS(BD!$A$3:$A$5001,AG$3,BD!$B$3:$B$5001,$A$407,BD!$R$3:$R$5001,"&lt;&gt;")=0,"",SUMIFS(BD!$R$3:$R$5001,BD!$A$3:$A$5001,AG$3,BD!$B$3:$B$5001,$A$407)))</f>
        <v/>
      </c>
      <c r="AH422" s="172" t="str">
        <f>IF(AH$3="","",IF(COUNTIFS(BD!$A$3:$A$5001,AH$3,BD!$B$3:$B$5001,$A$407,BD!$R$3:$R$5001,"&lt;&gt;")=0,"",SUMIFS(BD!$R$3:$R$5001,BD!$A$3:$A$5001,AH$3,BD!$B$3:$B$5001,$A$407)))</f>
        <v/>
      </c>
      <c r="AI422" s="172" t="str">
        <f>IF(AI$3="","",IF(COUNTIFS(BD!$A$3:$A$5001,AI$3,BD!$B$3:$B$5001,$A$407,BD!$R$3:$R$5001,"&lt;&gt;")=0,"",SUMIFS(BD!$R$3:$R$5001,BD!$A$3:$A$5001,AI$3,BD!$B$3:$B$5001,$A$407)))</f>
        <v/>
      </c>
      <c r="AJ422" s="173" t="str">
        <f>IF(AJ$3="","",IF(COUNTIFS(BD!$A$3:$A$5001,AJ$3,BD!$B$3:$B$5001,$A$407,BD!$R$3:$R$5001,"&lt;&gt;")=0,"",SUMIFS(BD!$R$3:$R$5001,BD!$A$3:$A$5001,AJ$3,BD!$B$3:$B$5001,$A$407)))</f>
        <v/>
      </c>
      <c r="AK422" s="174" t="str">
        <f>IF(COUNT(F422:AJ422)&gt;0,LOOKUP(9.99E+307,F422:AJ422),IFERROR(IF(INDEX(BD!$AC$3:$AC$5001,MATCH($A$407,BD!$B$3:$B$5001,0))&amp;""="Contrato","",INDEX(BD!$AC$3:$AC$5001,MATCH($A$407,BD!$B$3:$B$5001,0))&amp;""),""))</f>
        <v/>
      </c>
    </row>
    <row r="423" ht="15.75" customHeight="1" hidden="1">
      <c r="A423" s="277"/>
      <c r="B423" s="265"/>
      <c r="C423" s="175" t="inlineStr">
        <is>
          <t xml:space="preserve">Posições Ocupadas</t>
        </is>
      </c>
      <c r="D423" s="176" t="str">
        <f>IFERROR(1/(1/INDEX(BD!$AF$39:$AZ$39,MATCH($A$407,BD!$AF$22:$AZ$22,0))),"")</f>
        <v/>
      </c>
      <c r="E423" s="177"/>
      <c r="F423" s="178" t="str">
        <f>IF(F$3="","",IF(COUNTIFS(BD!$A$3:$A$5001,F$3,BD!$B$3:$B$5001,$A$407,BD!$S$3:$S$5001,"&lt;&gt;")=0,"",SUMIFS(BD!$S$3:$S$5001,BD!$A$3:$A$5001,F$3,BD!$B$3:$B$5001,$A$407)))</f>
        <v/>
      </c>
      <c r="G423" s="179" t="str">
        <f>IF(G$3="","",IF(COUNTIFS(BD!$A$3:$A$5001,G$3,BD!$B$3:$B$5001,$A$407,BD!$S$3:$S$5001,"&lt;&gt;")=0,"",SUMIFS(BD!$S$3:$S$5001,BD!$A$3:$A$5001,G$3,BD!$B$3:$B$5001,$A$407)))</f>
        <v/>
      </c>
      <c r="H423" s="179" t="str">
        <f>IF(H$3="","",IF(COUNTIFS(BD!$A$3:$A$5001,H$3,BD!$B$3:$B$5001,$A$407,BD!$S$3:$S$5001,"&lt;&gt;")=0,"",SUMIFS(BD!$S$3:$S$5001,BD!$A$3:$A$5001,H$3,BD!$B$3:$B$5001,$A$407)))</f>
        <v/>
      </c>
      <c r="I423" s="179" t="str">
        <f>IF(I$3="","",IF(COUNTIFS(BD!$A$3:$A$5001,I$3,BD!$B$3:$B$5001,$A$407,BD!$S$3:$S$5001,"&lt;&gt;")=0,"",SUMIFS(BD!$S$3:$S$5001,BD!$A$3:$A$5001,I$3,BD!$B$3:$B$5001,$A$407)))</f>
        <v/>
      </c>
      <c r="J423" s="179" t="str">
        <f>IF(J$3="","",IF(COUNTIFS(BD!$A$3:$A$5001,J$3,BD!$B$3:$B$5001,$A$407,BD!$S$3:$S$5001,"&lt;&gt;")=0,"",SUMIFS(BD!$S$3:$S$5001,BD!$A$3:$A$5001,J$3,BD!$B$3:$B$5001,$A$407)))</f>
        <v/>
      </c>
      <c r="K423" s="179" t="str">
        <f>IF(K$3="","",IF(COUNTIFS(BD!$A$3:$A$5001,K$3,BD!$B$3:$B$5001,$A$407,BD!$S$3:$S$5001,"&lt;&gt;")=0,"",SUMIFS(BD!$S$3:$S$5001,BD!$A$3:$A$5001,K$3,BD!$B$3:$B$5001,$A$407)))</f>
        <v/>
      </c>
      <c r="L423" s="179" t="str">
        <f>IF(L$3="","",IF(COUNTIFS(BD!$A$3:$A$5001,L$3,BD!$B$3:$B$5001,$A$407,BD!$S$3:$S$5001,"&lt;&gt;")=0,"",SUMIFS(BD!$S$3:$S$5001,BD!$A$3:$A$5001,L$3,BD!$B$3:$B$5001,$A$407)))</f>
        <v/>
      </c>
      <c r="M423" s="179" t="str">
        <f>IF(M$3="","",IF(COUNTIFS(BD!$A$3:$A$5001,M$3,BD!$B$3:$B$5001,$A$407,BD!$S$3:$S$5001,"&lt;&gt;")=0,"",SUMIFS(BD!$S$3:$S$5001,BD!$A$3:$A$5001,M$3,BD!$B$3:$B$5001,$A$407)))</f>
        <v/>
      </c>
      <c r="N423" s="179" t="str">
        <f>IF(N$3="","",IF(COUNTIFS(BD!$A$3:$A$5001,N$3,BD!$B$3:$B$5001,$A$407,BD!$S$3:$S$5001,"&lt;&gt;")=0,"",SUMIFS(BD!$S$3:$S$5001,BD!$A$3:$A$5001,N$3,BD!$B$3:$B$5001,$A$407)))</f>
        <v/>
      </c>
      <c r="O423" s="179" t="str">
        <f>IF(O$3="","",IF(COUNTIFS(BD!$A$3:$A$5001,O$3,BD!$B$3:$B$5001,$A$407,BD!$S$3:$S$5001,"&lt;&gt;")=0,"",SUMIFS(BD!$S$3:$S$5001,BD!$A$3:$A$5001,O$3,BD!$B$3:$B$5001,$A$407)))</f>
        <v/>
      </c>
      <c r="P423" s="179" t="str">
        <f>IF(P$3="","",IF(COUNTIFS(BD!$A$3:$A$5001,P$3,BD!$B$3:$B$5001,$A$407,BD!$S$3:$S$5001,"&lt;&gt;")=0,"",SUMIFS(BD!$S$3:$S$5001,BD!$A$3:$A$5001,P$3,BD!$B$3:$B$5001,$A$407)))</f>
        <v/>
      </c>
      <c r="Q423" s="179" t="str">
        <f>IF(Q$3="","",IF(COUNTIFS(BD!$A$3:$A$5001,Q$3,BD!$B$3:$B$5001,$A$407,BD!$S$3:$S$5001,"&lt;&gt;")=0,"",SUMIFS(BD!$S$3:$S$5001,BD!$A$3:$A$5001,Q$3,BD!$B$3:$B$5001,$A$407)))</f>
        <v/>
      </c>
      <c r="R423" s="179" t="str">
        <f>IF(R$3="","",IF(COUNTIFS(BD!$A$3:$A$5001,R$3,BD!$B$3:$B$5001,$A$407,BD!$S$3:$S$5001,"&lt;&gt;")=0,"",SUMIFS(BD!$S$3:$S$5001,BD!$A$3:$A$5001,R$3,BD!$B$3:$B$5001,$A$407)))</f>
        <v/>
      </c>
      <c r="S423" s="179" t="str">
        <f>IF(S$3="","",IF(COUNTIFS(BD!$A$3:$A$5001,S$3,BD!$B$3:$B$5001,$A$407,BD!$S$3:$S$5001,"&lt;&gt;")=0,"",SUMIFS(BD!$S$3:$S$5001,BD!$A$3:$A$5001,S$3,BD!$B$3:$B$5001,$A$407)))</f>
        <v/>
      </c>
      <c r="T423" s="179" t="str">
        <f>IF(T$3="","",IF(COUNTIFS(BD!$A$3:$A$5001,T$3,BD!$B$3:$B$5001,$A$407,BD!$S$3:$S$5001,"&lt;&gt;")=0,"",SUMIFS(BD!$S$3:$S$5001,BD!$A$3:$A$5001,T$3,BD!$B$3:$B$5001,$A$407)))</f>
        <v/>
      </c>
      <c r="U423" s="179" t="str">
        <f>IF(U$3="","",IF(COUNTIFS(BD!$A$3:$A$5001,U$3,BD!$B$3:$B$5001,$A$407,BD!$S$3:$S$5001,"&lt;&gt;")=0,"",SUMIFS(BD!$S$3:$S$5001,BD!$A$3:$A$5001,U$3,BD!$B$3:$B$5001,$A$407)))</f>
        <v/>
      </c>
      <c r="V423" s="179" t="str">
        <f>IF(V$3="","",IF(COUNTIFS(BD!$A$3:$A$5001,V$3,BD!$B$3:$B$5001,$A$407,BD!$S$3:$S$5001,"&lt;&gt;")=0,"",SUMIFS(BD!$S$3:$S$5001,BD!$A$3:$A$5001,V$3,BD!$B$3:$B$5001,$A$407)))</f>
        <v/>
      </c>
      <c r="W423" s="179" t="str">
        <f>IF(W$3="","",IF(COUNTIFS(BD!$A$3:$A$5001,W$3,BD!$B$3:$B$5001,$A$407,BD!$S$3:$S$5001,"&lt;&gt;")=0,"",SUMIFS(BD!$S$3:$S$5001,BD!$A$3:$A$5001,W$3,BD!$B$3:$B$5001,$A$407)))</f>
        <v/>
      </c>
      <c r="X423" s="179" t="str">
        <f>IF(X$3="","",IF(COUNTIFS(BD!$A$3:$A$5001,X$3,BD!$B$3:$B$5001,$A$407,BD!$S$3:$S$5001,"&lt;&gt;")=0,"",SUMIFS(BD!$S$3:$S$5001,BD!$A$3:$A$5001,X$3,BD!$B$3:$B$5001,$A$407)))</f>
        <v/>
      </c>
      <c r="Y423" s="179" t="str">
        <f>IF(Y$3="","",IF(COUNTIFS(BD!$A$3:$A$5001,Y$3,BD!$B$3:$B$5001,$A$407,BD!$S$3:$S$5001,"&lt;&gt;")=0,"",SUMIFS(BD!$S$3:$S$5001,BD!$A$3:$A$5001,Y$3,BD!$B$3:$B$5001,$A$407)))</f>
        <v/>
      </c>
      <c r="Z423" s="179" t="str">
        <f>IF(Z$3="","",IF(COUNTIFS(BD!$A$3:$A$5001,Z$3,BD!$B$3:$B$5001,$A$407,BD!$S$3:$S$5001,"&lt;&gt;")=0,"",SUMIFS(BD!$S$3:$S$5001,BD!$A$3:$A$5001,Z$3,BD!$B$3:$B$5001,$A$407)))</f>
        <v/>
      </c>
      <c r="AA423" s="179" t="str">
        <f>IF(AA$3="","",IF(COUNTIFS(BD!$A$3:$A$5001,AA$3,BD!$B$3:$B$5001,$A$407,BD!$S$3:$S$5001,"&lt;&gt;")=0,"",SUMIFS(BD!$S$3:$S$5001,BD!$A$3:$A$5001,AA$3,BD!$B$3:$B$5001,$A$407)))</f>
        <v/>
      </c>
      <c r="AB423" s="179" t="str">
        <f>IF(AB$3="","",IF(COUNTIFS(BD!$A$3:$A$5001,AB$3,BD!$B$3:$B$5001,$A$407,BD!$S$3:$S$5001,"&lt;&gt;")=0,"",SUMIFS(BD!$S$3:$S$5001,BD!$A$3:$A$5001,AB$3,BD!$B$3:$B$5001,$A$407)))</f>
        <v/>
      </c>
      <c r="AC423" s="179" t="str">
        <f>IF(AC$3="","",IF(COUNTIFS(BD!$A$3:$A$5001,AC$3,BD!$B$3:$B$5001,$A$407,BD!$S$3:$S$5001,"&lt;&gt;")=0,"",SUMIFS(BD!$S$3:$S$5001,BD!$A$3:$A$5001,AC$3,BD!$B$3:$B$5001,$A$407)))</f>
        <v/>
      </c>
      <c r="AD423" s="179" t="str">
        <f>IF(AD$3="","",IF(COUNTIFS(BD!$A$3:$A$5001,AD$3,BD!$B$3:$B$5001,$A$407,BD!$S$3:$S$5001,"&lt;&gt;")=0,"",SUMIFS(BD!$S$3:$S$5001,BD!$A$3:$A$5001,AD$3,BD!$B$3:$B$5001,$A$407)))</f>
        <v/>
      </c>
      <c r="AE423" s="179" t="str">
        <f>IF(AE$3="","",IF(COUNTIFS(BD!$A$3:$A$5001,AE$3,BD!$B$3:$B$5001,$A$407,BD!$S$3:$S$5001,"&lt;&gt;")=0,"",SUMIFS(BD!$S$3:$S$5001,BD!$A$3:$A$5001,AE$3,BD!$B$3:$B$5001,$A$407)))</f>
        <v/>
      </c>
      <c r="AF423" s="179" t="str">
        <f>IF(AF$3="","",IF(COUNTIFS(BD!$A$3:$A$5001,AF$3,BD!$B$3:$B$5001,$A$407,BD!$S$3:$S$5001,"&lt;&gt;")=0,"",SUMIFS(BD!$S$3:$S$5001,BD!$A$3:$A$5001,AF$3,BD!$B$3:$B$5001,$A$407)))</f>
        <v/>
      </c>
      <c r="AG423" s="179" t="str">
        <f>IF(AG$3="","",IF(COUNTIFS(BD!$A$3:$A$5001,AG$3,BD!$B$3:$B$5001,$A$407,BD!$S$3:$S$5001,"&lt;&gt;")=0,"",SUMIFS(BD!$S$3:$S$5001,BD!$A$3:$A$5001,AG$3,BD!$B$3:$B$5001,$A$407)))</f>
        <v/>
      </c>
      <c r="AH423" s="179" t="str">
        <f>IF(AH$3="","",IF(COUNTIFS(BD!$A$3:$A$5001,AH$3,BD!$B$3:$B$5001,$A$407,BD!$S$3:$S$5001,"&lt;&gt;")=0,"",SUMIFS(BD!$S$3:$S$5001,BD!$A$3:$A$5001,AH$3,BD!$B$3:$B$5001,$A$407)))</f>
        <v/>
      </c>
      <c r="AI423" s="179" t="str">
        <f>IF(AI$3="","",IF(COUNTIFS(BD!$A$3:$A$5001,AI$3,BD!$B$3:$B$5001,$A$407,BD!$S$3:$S$5001,"&lt;&gt;")=0,"",SUMIFS(BD!$S$3:$S$5001,BD!$A$3:$A$5001,AI$3,BD!$B$3:$B$5001,$A$407)))</f>
        <v/>
      </c>
      <c r="AJ423" s="180" t="str">
        <f>IF(AJ$3="","",IF(COUNTIFS(BD!$A$3:$A$5001,AJ$3,BD!$B$3:$B$5001,$A$407,BD!$S$3:$S$5001,"&lt;&gt;")=0,"",SUMIFS(BD!$S$3:$S$5001,BD!$A$3:$A$5001,AJ$3,BD!$B$3:$B$5001,$A$407)))</f>
        <v/>
      </c>
      <c r="AK423" s="181" t="str">
        <f>IFERROR(LOOKUP(9.99E+307,F423:AJ423),"")</f>
        <v/>
      </c>
    </row>
    <row r="424" ht="15.75" customHeight="1" hidden="1">
      <c r="A424" s="277"/>
      <c r="B424" s="266"/>
      <c r="C424" s="186" t="inlineStr">
        <is>
          <t xml:space="preserve">Taxa de Ocupação</t>
        </is>
      </c>
      <c r="D424" s="236" t="str">
        <f>IFERROR(1/(1/INDEX(BD!$AF$40:$AZ$40,MATCH($A$407,BD!$AF$22:$AZ$22,0))),"")</f>
        <v/>
      </c>
      <c r="E424" s="188"/>
      <c r="F424" s="237" t="str">
        <f>IF(AND(ISNUMBER(F422),ISNUMBER(F423)),IF(F422&gt;0,F423/F422,""),"")</f>
        <v/>
      </c>
      <c r="G424" s="238" t="str">
        <f>IF(AND(ISNUMBER(G422),ISNUMBER(G423)),IF(G422&gt;0,G423/G422,""),"")</f>
        <v/>
      </c>
      <c r="H424" s="238" t="str">
        <f>IF(AND(ISNUMBER(H422),ISNUMBER(H423)),IF(H422&gt;0,H423/H422,""),"")</f>
        <v/>
      </c>
      <c r="I424" s="238" t="str">
        <f>IF(AND(ISNUMBER(I422),ISNUMBER(I423)),IF(I422&gt;0,I423/I422,""),"")</f>
        <v/>
      </c>
      <c r="J424" s="238" t="str">
        <f>IF(AND(ISNUMBER(J422),ISNUMBER(J423)),IF(J422&gt;0,J423/J422,""),"")</f>
        <v/>
      </c>
      <c r="K424" s="238" t="str">
        <f>IF(AND(ISNUMBER(K422),ISNUMBER(K423)),IF(K422&gt;0,K423/K422,""),"")</f>
        <v/>
      </c>
      <c r="L424" s="238" t="str">
        <f>IF(AND(ISNUMBER(L422),ISNUMBER(L423)),IF(L422&gt;0,L423/L422,""),"")</f>
        <v/>
      </c>
      <c r="M424" s="238" t="str">
        <f>IF(AND(ISNUMBER(M422),ISNUMBER(M423)),IF(M422&gt;0,M423/M422,""),"")</f>
        <v/>
      </c>
      <c r="N424" s="238" t="str">
        <f>IF(AND(ISNUMBER(N422),ISNUMBER(N423)),IF(N422&gt;0,N423/N422,""),"")</f>
        <v/>
      </c>
      <c r="O424" s="238" t="str">
        <f>IF(AND(ISNUMBER(O422),ISNUMBER(O423)),IF(O422&gt;0,O423/O422,""),"")</f>
        <v/>
      </c>
      <c r="P424" s="238" t="str">
        <f>IF(AND(ISNUMBER(P422),ISNUMBER(P423)),IF(P422&gt;0,P423/P422,""),"")</f>
        <v/>
      </c>
      <c r="Q424" s="238" t="str">
        <f>IF(AND(ISNUMBER(Q422),ISNUMBER(Q423)),IF(Q422&gt;0,Q423/Q422,""),"")</f>
        <v/>
      </c>
      <c r="R424" s="238" t="str">
        <f>IF(AND(ISNUMBER(R422),ISNUMBER(R423)),IF(R422&gt;0,R423/R422,""),"")</f>
        <v/>
      </c>
      <c r="S424" s="238" t="str">
        <f>IF(AND(ISNUMBER(S422),ISNUMBER(S423)),IF(S422&gt;0,S423/S422,""),"")</f>
        <v/>
      </c>
      <c r="T424" s="238" t="str">
        <f>IF(AND(ISNUMBER(T422),ISNUMBER(T423)),IF(T422&gt;0,T423/T422,""),"")</f>
        <v/>
      </c>
      <c r="U424" s="238" t="str">
        <f>IF(AND(ISNUMBER(U422),ISNUMBER(U423)),IF(U422&gt;0,U423/U422,""),"")</f>
        <v/>
      </c>
      <c r="V424" s="238" t="str">
        <f>IF(AND(ISNUMBER(V422),ISNUMBER(V423)),IF(V422&gt;0,V423/V422,""),"")</f>
        <v/>
      </c>
      <c r="W424" s="238" t="str">
        <f>IF(AND(ISNUMBER(W422),ISNUMBER(W423)),IF(W422&gt;0,W423/W422,""),"")</f>
        <v/>
      </c>
      <c r="X424" s="238" t="str">
        <f>IF(AND(ISNUMBER(X422),ISNUMBER(X423)),IF(X422&gt;0,X423/X422,""),"")</f>
        <v/>
      </c>
      <c r="Y424" s="238" t="str">
        <f>IF(AND(ISNUMBER(Y422),ISNUMBER(Y423)),IF(Y422&gt;0,Y423/Y422,""),"")</f>
        <v/>
      </c>
      <c r="Z424" s="238" t="str">
        <f>IF(AND(ISNUMBER(Z422),ISNUMBER(Z423)),IF(Z422&gt;0,Z423/Z422,""),"")</f>
        <v/>
      </c>
      <c r="AA424" s="238" t="str">
        <f>IF(AND(ISNUMBER(AA422),ISNUMBER(AA423)),IF(AA422&gt;0,AA423/AA422,""),"")</f>
        <v/>
      </c>
      <c r="AB424" s="238" t="str">
        <f>IF(AND(ISNUMBER(AB422),ISNUMBER(AB423)),IF(AB422&gt;0,AB423/AB422,""),"")</f>
        <v/>
      </c>
      <c r="AC424" s="238" t="str">
        <f>IF(AND(ISNUMBER(AC422),ISNUMBER(AC423)),IF(AC422&gt;0,AC423/AC422,""),"")</f>
        <v/>
      </c>
      <c r="AD424" s="238" t="str">
        <f>IF(AND(ISNUMBER(AD422),ISNUMBER(AD423)),IF(AD422&gt;0,AD423/AD422,""),"")</f>
        <v/>
      </c>
      <c r="AE424" s="238" t="str">
        <f>IF(AND(ISNUMBER(AE422),ISNUMBER(AE423)),IF(AE422&gt;0,AE423/AE422,""),"")</f>
        <v/>
      </c>
      <c r="AF424" s="238" t="str">
        <f>IF(AND(ISNUMBER(AF422),ISNUMBER(AF423)),IF(AF422&gt;0,AF423/AF422,""),"")</f>
        <v/>
      </c>
      <c r="AG424" s="238" t="str">
        <f>IF(AND(ISNUMBER(AG422),ISNUMBER(AG423)),IF(AG422&gt;0,AG423/AG422,""),"")</f>
        <v/>
      </c>
      <c r="AH424" s="238" t="str">
        <f>IF(AND(ISNUMBER(AH422),ISNUMBER(AH423)),IF(AH422&gt;0,AH423/AH422,""),"")</f>
        <v/>
      </c>
      <c r="AI424" s="238" t="str">
        <f>IF(AND(ISNUMBER(AI422),ISNUMBER(AI423)),IF(AI422&gt;0,AI423/AI422,""),"")</f>
        <v/>
      </c>
      <c r="AJ424" s="239" t="str">
        <f>IF(AND(ISNUMBER(AJ422),ISNUMBER(AJ423)),IF(AJ422&gt;0,AJ423/AJ422,""),"")</f>
        <v/>
      </c>
      <c r="AK424" s="236" t="str">
        <f>IF(AND(ISNUMBER(AK422),ISNUMBER(AK423)),IF(AK422&gt;0,AK423/AK422,""),"")</f>
        <v/>
      </c>
    </row>
    <row r="425" ht="15.75" customHeight="1" hidden="1">
      <c r="A425" s="277"/>
      <c r="B425" s="273" t="inlineStr">
        <is>
          <t xml:space="preserve">GENTE</t>
        </is>
      </c>
      <c r="C425" s="240" t="inlineStr">
        <is>
          <t xml:space="preserve">Efetivo Op.</t>
        </is>
      </c>
      <c r="D425" s="241" t="str">
        <f>IFERROR(1/(1/INDEX(BD!$AF$41:$AZ$41,MATCH($A$407,BD!$AF$22:$AZ$22,0))),"")</f>
        <v/>
      </c>
      <c r="E425" s="242"/>
      <c r="F425" s="243" t="str">
        <f>IF(F$3="","",IF(COUNTIFS(BD!$A$3:$A$5001,F$3,BD!$B$3:$B$5001,$A$407,BD!$T$3:$T$5001,"&lt;&gt;")=0,"",SUMIFS(BD!$T$3:$T$5001,BD!$A$3:$A$5001,F$3,BD!$B$3:$B$5001,$A$407)))</f>
        <v/>
      </c>
      <c r="G425" s="244" t="str">
        <f>IF(G$3="","",IF(COUNTIFS(BD!$A$3:$A$5001,G$3,BD!$B$3:$B$5001,$A$407,BD!$T$3:$T$5001,"&lt;&gt;")=0,"",SUMIFS(BD!$T$3:$T$5001,BD!$A$3:$A$5001,G$3,BD!$B$3:$B$5001,$A$407)))</f>
        <v/>
      </c>
      <c r="H425" s="244" t="str">
        <f>IF(H$3="","",IF(COUNTIFS(BD!$A$3:$A$5001,H$3,BD!$B$3:$B$5001,$A$407,BD!$T$3:$T$5001,"&lt;&gt;")=0,"",SUMIFS(BD!$T$3:$T$5001,BD!$A$3:$A$5001,H$3,BD!$B$3:$B$5001,$A$407)))</f>
        <v/>
      </c>
      <c r="I425" s="244" t="str">
        <f>IF(I$3="","",IF(COUNTIFS(BD!$A$3:$A$5001,I$3,BD!$B$3:$B$5001,$A$407,BD!$T$3:$T$5001,"&lt;&gt;")=0,"",SUMIFS(BD!$T$3:$T$5001,BD!$A$3:$A$5001,I$3,BD!$B$3:$B$5001,$A$407)))</f>
        <v/>
      </c>
      <c r="J425" s="244" t="str">
        <f>IF(J$3="","",IF(COUNTIFS(BD!$A$3:$A$5001,J$3,BD!$B$3:$B$5001,$A$407,BD!$T$3:$T$5001,"&lt;&gt;")=0,"",SUMIFS(BD!$T$3:$T$5001,BD!$A$3:$A$5001,J$3,BD!$B$3:$B$5001,$A$407)))</f>
        <v/>
      </c>
      <c r="K425" s="244" t="str">
        <f>IF(K$3="","",IF(COUNTIFS(BD!$A$3:$A$5001,K$3,BD!$B$3:$B$5001,$A$407,BD!$T$3:$T$5001,"&lt;&gt;")=0,"",SUMIFS(BD!$T$3:$T$5001,BD!$A$3:$A$5001,K$3,BD!$B$3:$B$5001,$A$407)))</f>
        <v/>
      </c>
      <c r="L425" s="244" t="str">
        <f>IF(L$3="","",IF(COUNTIFS(BD!$A$3:$A$5001,L$3,BD!$B$3:$B$5001,$A$407,BD!$T$3:$T$5001,"&lt;&gt;")=0,"",SUMIFS(BD!$T$3:$T$5001,BD!$A$3:$A$5001,L$3,BD!$B$3:$B$5001,$A$407)))</f>
        <v/>
      </c>
      <c r="M425" s="244" t="str">
        <f>IF(M$3="","",IF(COUNTIFS(BD!$A$3:$A$5001,M$3,BD!$B$3:$B$5001,$A$407,BD!$T$3:$T$5001,"&lt;&gt;")=0,"",SUMIFS(BD!$T$3:$T$5001,BD!$A$3:$A$5001,M$3,BD!$B$3:$B$5001,$A$407)))</f>
        <v/>
      </c>
      <c r="N425" s="244" t="str">
        <f>IF(N$3="","",IF(COUNTIFS(BD!$A$3:$A$5001,N$3,BD!$B$3:$B$5001,$A$407,BD!$T$3:$T$5001,"&lt;&gt;")=0,"",SUMIFS(BD!$T$3:$T$5001,BD!$A$3:$A$5001,N$3,BD!$B$3:$B$5001,$A$407)))</f>
        <v/>
      </c>
      <c r="O425" s="244" t="str">
        <f>IF(O$3="","",IF(COUNTIFS(BD!$A$3:$A$5001,O$3,BD!$B$3:$B$5001,$A$407,BD!$T$3:$T$5001,"&lt;&gt;")=0,"",SUMIFS(BD!$T$3:$T$5001,BD!$A$3:$A$5001,O$3,BD!$B$3:$B$5001,$A$407)))</f>
        <v/>
      </c>
      <c r="P425" s="244" t="str">
        <f>IF(P$3="","",IF(COUNTIFS(BD!$A$3:$A$5001,P$3,BD!$B$3:$B$5001,$A$407,BD!$T$3:$T$5001,"&lt;&gt;")=0,"",SUMIFS(BD!$T$3:$T$5001,BD!$A$3:$A$5001,P$3,BD!$B$3:$B$5001,$A$407)))</f>
        <v/>
      </c>
      <c r="Q425" s="244" t="str">
        <f>IF(Q$3="","",IF(COUNTIFS(BD!$A$3:$A$5001,Q$3,BD!$B$3:$B$5001,$A$407,BD!$T$3:$T$5001,"&lt;&gt;")=0,"",SUMIFS(BD!$T$3:$T$5001,BD!$A$3:$A$5001,Q$3,BD!$B$3:$B$5001,$A$407)))</f>
        <v/>
      </c>
      <c r="R425" s="244" t="str">
        <f>IF(R$3="","",IF(COUNTIFS(BD!$A$3:$A$5001,R$3,BD!$B$3:$B$5001,$A$407,BD!$T$3:$T$5001,"&lt;&gt;")=0,"",SUMIFS(BD!$T$3:$T$5001,BD!$A$3:$A$5001,R$3,BD!$B$3:$B$5001,$A$407)))</f>
        <v/>
      </c>
      <c r="S425" s="244" t="str">
        <f>IF(S$3="","",IF(COUNTIFS(BD!$A$3:$A$5001,S$3,BD!$B$3:$B$5001,$A$407,BD!$T$3:$T$5001,"&lt;&gt;")=0,"",SUMIFS(BD!$T$3:$T$5001,BD!$A$3:$A$5001,S$3,BD!$B$3:$B$5001,$A$407)))</f>
        <v/>
      </c>
      <c r="T425" s="244" t="str">
        <f>IF(T$3="","",IF(COUNTIFS(BD!$A$3:$A$5001,T$3,BD!$B$3:$B$5001,$A$407,BD!$T$3:$T$5001,"&lt;&gt;")=0,"",SUMIFS(BD!$T$3:$T$5001,BD!$A$3:$A$5001,T$3,BD!$B$3:$B$5001,$A$407)))</f>
        <v/>
      </c>
      <c r="U425" s="244" t="str">
        <f>IF(U$3="","",IF(COUNTIFS(BD!$A$3:$A$5001,U$3,BD!$B$3:$B$5001,$A$407,BD!$T$3:$T$5001,"&lt;&gt;")=0,"",SUMIFS(BD!$T$3:$T$5001,BD!$A$3:$A$5001,U$3,BD!$B$3:$B$5001,$A$407)))</f>
        <v/>
      </c>
      <c r="V425" s="244" t="str">
        <f>IF(V$3="","",IF(COUNTIFS(BD!$A$3:$A$5001,V$3,BD!$B$3:$B$5001,$A$407,BD!$T$3:$T$5001,"&lt;&gt;")=0,"",SUMIFS(BD!$T$3:$T$5001,BD!$A$3:$A$5001,V$3,BD!$B$3:$B$5001,$A$407)))</f>
        <v/>
      </c>
      <c r="W425" s="244" t="str">
        <f>IF(W$3="","",IF(COUNTIFS(BD!$A$3:$A$5001,W$3,BD!$B$3:$B$5001,$A$407,BD!$T$3:$T$5001,"&lt;&gt;")=0,"",SUMIFS(BD!$T$3:$T$5001,BD!$A$3:$A$5001,W$3,BD!$B$3:$B$5001,$A$407)))</f>
        <v/>
      </c>
      <c r="X425" s="244" t="str">
        <f>IF(X$3="","",IF(COUNTIFS(BD!$A$3:$A$5001,X$3,BD!$B$3:$B$5001,$A$407,BD!$T$3:$T$5001,"&lt;&gt;")=0,"",SUMIFS(BD!$T$3:$T$5001,BD!$A$3:$A$5001,X$3,BD!$B$3:$B$5001,$A$407)))</f>
        <v/>
      </c>
      <c r="Y425" s="244" t="str">
        <f>IF(Y$3="","",IF(COUNTIFS(BD!$A$3:$A$5001,Y$3,BD!$B$3:$B$5001,$A$407,BD!$T$3:$T$5001,"&lt;&gt;")=0,"",SUMIFS(BD!$T$3:$T$5001,BD!$A$3:$A$5001,Y$3,BD!$B$3:$B$5001,$A$407)))</f>
        <v/>
      </c>
      <c r="Z425" s="244" t="str">
        <f>IF(Z$3="","",IF(COUNTIFS(BD!$A$3:$A$5001,Z$3,BD!$B$3:$B$5001,$A$407,BD!$T$3:$T$5001,"&lt;&gt;")=0,"",SUMIFS(BD!$T$3:$T$5001,BD!$A$3:$A$5001,Z$3,BD!$B$3:$B$5001,$A$407)))</f>
        <v/>
      </c>
      <c r="AA425" s="244" t="str">
        <f>IF(AA$3="","",IF(COUNTIFS(BD!$A$3:$A$5001,AA$3,BD!$B$3:$B$5001,$A$407,BD!$T$3:$T$5001,"&lt;&gt;")=0,"",SUMIFS(BD!$T$3:$T$5001,BD!$A$3:$A$5001,AA$3,BD!$B$3:$B$5001,$A$407)))</f>
        <v/>
      </c>
      <c r="AB425" s="244" t="str">
        <f>IF(AB$3="","",IF(COUNTIFS(BD!$A$3:$A$5001,AB$3,BD!$B$3:$B$5001,$A$407,BD!$T$3:$T$5001,"&lt;&gt;")=0,"",SUMIFS(BD!$T$3:$T$5001,BD!$A$3:$A$5001,AB$3,BD!$B$3:$B$5001,$A$407)))</f>
        <v/>
      </c>
      <c r="AC425" s="244" t="str">
        <f>IF(AC$3="","",IF(COUNTIFS(BD!$A$3:$A$5001,AC$3,BD!$B$3:$B$5001,$A$407,BD!$T$3:$T$5001,"&lt;&gt;")=0,"",SUMIFS(BD!$T$3:$T$5001,BD!$A$3:$A$5001,AC$3,BD!$B$3:$B$5001,$A$407)))</f>
        <v/>
      </c>
      <c r="AD425" s="244" t="str">
        <f>IF(AD$3="","",IF(COUNTIFS(BD!$A$3:$A$5001,AD$3,BD!$B$3:$B$5001,$A$407,BD!$T$3:$T$5001,"&lt;&gt;")=0,"",SUMIFS(BD!$T$3:$T$5001,BD!$A$3:$A$5001,AD$3,BD!$B$3:$B$5001,$A$407)))</f>
        <v/>
      </c>
      <c r="AE425" s="244" t="str">
        <f>IF(AE$3="","",IF(COUNTIFS(BD!$A$3:$A$5001,AE$3,BD!$B$3:$B$5001,$A$407,BD!$T$3:$T$5001,"&lt;&gt;")=0,"",SUMIFS(BD!$T$3:$T$5001,BD!$A$3:$A$5001,AE$3,BD!$B$3:$B$5001,$A$407)))</f>
        <v/>
      </c>
      <c r="AF425" s="244" t="str">
        <f>IF(AF$3="","",IF(COUNTIFS(BD!$A$3:$A$5001,AF$3,BD!$B$3:$B$5001,$A$407,BD!$T$3:$T$5001,"&lt;&gt;")=0,"",SUMIFS(BD!$T$3:$T$5001,BD!$A$3:$A$5001,AF$3,BD!$B$3:$B$5001,$A$407)))</f>
        <v/>
      </c>
      <c r="AG425" s="244" t="str">
        <f>IF(AG$3="","",IF(COUNTIFS(BD!$A$3:$A$5001,AG$3,BD!$B$3:$B$5001,$A$407,BD!$T$3:$T$5001,"&lt;&gt;")=0,"",SUMIFS(BD!$T$3:$T$5001,BD!$A$3:$A$5001,AG$3,BD!$B$3:$B$5001,$A$407)))</f>
        <v/>
      </c>
      <c r="AH425" s="244" t="str">
        <f>IF(AH$3="","",IF(COUNTIFS(BD!$A$3:$A$5001,AH$3,BD!$B$3:$B$5001,$A$407,BD!$T$3:$T$5001,"&lt;&gt;")=0,"",SUMIFS(BD!$T$3:$T$5001,BD!$A$3:$A$5001,AH$3,BD!$B$3:$B$5001,$A$407)))</f>
        <v/>
      </c>
      <c r="AI425" s="244" t="str">
        <f>IF(AI$3="","",IF(COUNTIFS(BD!$A$3:$A$5001,AI$3,BD!$B$3:$B$5001,$A$407,BD!$T$3:$T$5001,"&lt;&gt;")=0,"",SUMIFS(BD!$T$3:$T$5001,BD!$A$3:$A$5001,AI$3,BD!$B$3:$B$5001,$A$407)))</f>
        <v/>
      </c>
      <c r="AJ425" s="245" t="str">
        <f>IF(AJ$3="","",IF(COUNTIFS(BD!$A$3:$A$5001,AJ$3,BD!$B$3:$B$5001,$A$407,BD!$T$3:$T$5001,"&lt;&gt;")=0,"",SUMIFS(BD!$T$3:$T$5001,BD!$A$3:$A$5001,AJ$3,BD!$B$3:$B$5001,$A$407)))</f>
        <v/>
      </c>
      <c r="AK425" s="246" t="str">
        <f>IFERROR(LOOKUP(9.99E+307,F425:AJ425),"")</f>
        <v/>
      </c>
    </row>
    <row r="426" ht="15.75" customHeight="1" hidden="1">
      <c r="A426" s="277"/>
      <c r="B426" s="274"/>
      <c r="C426" s="247" t="inlineStr">
        <is>
          <t xml:space="preserve">Falta</t>
        </is>
      </c>
      <c r="D426" s="248" t="str">
        <f>IFERROR(1/(1/INDEX(BD!$AF$42:$AZ$42,MATCH($A$407,BD!$AF$22:$AZ$22,0))),"")</f>
        <v/>
      </c>
      <c r="E426" s="249"/>
      <c r="F426" s="250" t="str">
        <f>IF(F$3="","",IF(COUNTIFS(BD!$A$3:$A$5001,F$3,BD!$B$3:$B$5001,$A$407,BD!$U$3:$U$5001,"&lt;&gt;")=0,"",SUMIFS(BD!$U$3:$U$5001,BD!$A$3:$A$5001,F$3,BD!$B$3:$B$5001,$A$407)))</f>
        <v/>
      </c>
      <c r="G426" s="251" t="str">
        <f>IF(G$3="","",IF(COUNTIFS(BD!$A$3:$A$5001,G$3,BD!$B$3:$B$5001,$A$407,BD!$U$3:$U$5001,"&lt;&gt;")=0,"",SUMIFS(BD!$U$3:$U$5001,BD!$A$3:$A$5001,G$3,BD!$B$3:$B$5001,$A$407)))</f>
        <v/>
      </c>
      <c r="H426" s="251" t="str">
        <f>IF(H$3="","",IF(COUNTIFS(BD!$A$3:$A$5001,H$3,BD!$B$3:$B$5001,$A$407,BD!$U$3:$U$5001,"&lt;&gt;")=0,"",SUMIFS(BD!$U$3:$U$5001,BD!$A$3:$A$5001,H$3,BD!$B$3:$B$5001,$A$407)))</f>
        <v/>
      </c>
      <c r="I426" s="251" t="str">
        <f>IF(I$3="","",IF(COUNTIFS(BD!$A$3:$A$5001,I$3,BD!$B$3:$B$5001,$A$407,BD!$U$3:$U$5001,"&lt;&gt;")=0,"",SUMIFS(BD!$U$3:$U$5001,BD!$A$3:$A$5001,I$3,BD!$B$3:$B$5001,$A$407)))</f>
        <v/>
      </c>
      <c r="J426" s="251" t="str">
        <f>IF(J$3="","",IF(COUNTIFS(BD!$A$3:$A$5001,J$3,BD!$B$3:$B$5001,$A$407,BD!$U$3:$U$5001,"&lt;&gt;")=0,"",SUMIFS(BD!$U$3:$U$5001,BD!$A$3:$A$5001,J$3,BD!$B$3:$B$5001,$A$407)))</f>
        <v/>
      </c>
      <c r="K426" s="251" t="str">
        <f>IF(K$3="","",IF(COUNTIFS(BD!$A$3:$A$5001,K$3,BD!$B$3:$B$5001,$A$407,BD!$U$3:$U$5001,"&lt;&gt;")=0,"",SUMIFS(BD!$U$3:$U$5001,BD!$A$3:$A$5001,K$3,BD!$B$3:$B$5001,$A$407)))</f>
        <v/>
      </c>
      <c r="L426" s="251" t="str">
        <f>IF(L$3="","",IF(COUNTIFS(BD!$A$3:$A$5001,L$3,BD!$B$3:$B$5001,$A$407,BD!$U$3:$U$5001,"&lt;&gt;")=0,"",SUMIFS(BD!$U$3:$U$5001,BD!$A$3:$A$5001,L$3,BD!$B$3:$B$5001,$A$407)))</f>
        <v/>
      </c>
      <c r="M426" s="251" t="str">
        <f>IF(M$3="","",IF(COUNTIFS(BD!$A$3:$A$5001,M$3,BD!$B$3:$B$5001,$A$407,BD!$U$3:$U$5001,"&lt;&gt;")=0,"",SUMIFS(BD!$U$3:$U$5001,BD!$A$3:$A$5001,M$3,BD!$B$3:$B$5001,$A$407)))</f>
        <v/>
      </c>
      <c r="N426" s="251" t="str">
        <f>IF(N$3="","",IF(COUNTIFS(BD!$A$3:$A$5001,N$3,BD!$B$3:$B$5001,$A$407,BD!$U$3:$U$5001,"&lt;&gt;")=0,"",SUMIFS(BD!$U$3:$U$5001,BD!$A$3:$A$5001,N$3,BD!$B$3:$B$5001,$A$407)))</f>
        <v/>
      </c>
      <c r="O426" s="251" t="str">
        <f>IF(O$3="","",IF(COUNTIFS(BD!$A$3:$A$5001,O$3,BD!$B$3:$B$5001,$A$407,BD!$U$3:$U$5001,"&lt;&gt;")=0,"",SUMIFS(BD!$U$3:$U$5001,BD!$A$3:$A$5001,O$3,BD!$B$3:$B$5001,$A$407)))</f>
        <v/>
      </c>
      <c r="P426" s="251" t="str">
        <f>IF(P$3="","",IF(COUNTIFS(BD!$A$3:$A$5001,P$3,BD!$B$3:$B$5001,$A$407,BD!$U$3:$U$5001,"&lt;&gt;")=0,"",SUMIFS(BD!$U$3:$U$5001,BD!$A$3:$A$5001,P$3,BD!$B$3:$B$5001,$A$407)))</f>
        <v/>
      </c>
      <c r="Q426" s="251" t="str">
        <f>IF(Q$3="","",IF(COUNTIFS(BD!$A$3:$A$5001,Q$3,BD!$B$3:$B$5001,$A$407,BD!$U$3:$U$5001,"&lt;&gt;")=0,"",SUMIFS(BD!$U$3:$U$5001,BD!$A$3:$A$5001,Q$3,BD!$B$3:$B$5001,$A$407)))</f>
        <v/>
      </c>
      <c r="R426" s="251" t="str">
        <f>IF(R$3="","",IF(COUNTIFS(BD!$A$3:$A$5001,R$3,BD!$B$3:$B$5001,$A$407,BD!$U$3:$U$5001,"&lt;&gt;")=0,"",SUMIFS(BD!$U$3:$U$5001,BD!$A$3:$A$5001,R$3,BD!$B$3:$B$5001,$A$407)))</f>
        <v/>
      </c>
      <c r="S426" s="251" t="str">
        <f>IF(S$3="","",IF(COUNTIFS(BD!$A$3:$A$5001,S$3,BD!$B$3:$B$5001,$A$407,BD!$U$3:$U$5001,"&lt;&gt;")=0,"",SUMIFS(BD!$U$3:$U$5001,BD!$A$3:$A$5001,S$3,BD!$B$3:$B$5001,$A$407)))</f>
        <v/>
      </c>
      <c r="T426" s="251" t="str">
        <f>IF(T$3="","",IF(COUNTIFS(BD!$A$3:$A$5001,T$3,BD!$B$3:$B$5001,$A$407,BD!$U$3:$U$5001,"&lt;&gt;")=0,"",SUMIFS(BD!$U$3:$U$5001,BD!$A$3:$A$5001,T$3,BD!$B$3:$B$5001,$A$407)))</f>
        <v/>
      </c>
      <c r="U426" s="251" t="str">
        <f>IF(U$3="","",IF(COUNTIFS(BD!$A$3:$A$5001,U$3,BD!$B$3:$B$5001,$A$407,BD!$U$3:$U$5001,"&lt;&gt;")=0,"",SUMIFS(BD!$U$3:$U$5001,BD!$A$3:$A$5001,U$3,BD!$B$3:$B$5001,$A$407)))</f>
        <v/>
      </c>
      <c r="V426" s="251" t="str">
        <f>IF(V$3="","",IF(COUNTIFS(BD!$A$3:$A$5001,V$3,BD!$B$3:$B$5001,$A$407,BD!$U$3:$U$5001,"&lt;&gt;")=0,"",SUMIFS(BD!$U$3:$U$5001,BD!$A$3:$A$5001,V$3,BD!$B$3:$B$5001,$A$407)))</f>
        <v/>
      </c>
      <c r="W426" s="251" t="str">
        <f>IF(W$3="","",IF(COUNTIFS(BD!$A$3:$A$5001,W$3,BD!$B$3:$B$5001,$A$407,BD!$U$3:$U$5001,"&lt;&gt;")=0,"",SUMIFS(BD!$U$3:$U$5001,BD!$A$3:$A$5001,W$3,BD!$B$3:$B$5001,$A$407)))</f>
        <v/>
      </c>
      <c r="X426" s="251" t="str">
        <f>IF(X$3="","",IF(COUNTIFS(BD!$A$3:$A$5001,X$3,BD!$B$3:$B$5001,$A$407,BD!$U$3:$U$5001,"&lt;&gt;")=0,"",SUMIFS(BD!$U$3:$U$5001,BD!$A$3:$A$5001,X$3,BD!$B$3:$B$5001,$A$407)))</f>
        <v/>
      </c>
      <c r="Y426" s="251" t="str">
        <f>IF(Y$3="","",IF(COUNTIFS(BD!$A$3:$A$5001,Y$3,BD!$B$3:$B$5001,$A$407,BD!$U$3:$U$5001,"&lt;&gt;")=0,"",SUMIFS(BD!$U$3:$U$5001,BD!$A$3:$A$5001,Y$3,BD!$B$3:$B$5001,$A$407)))</f>
        <v/>
      </c>
      <c r="Z426" s="251" t="str">
        <f>IF(Z$3="","",IF(COUNTIFS(BD!$A$3:$A$5001,Z$3,BD!$B$3:$B$5001,$A$407,BD!$U$3:$U$5001,"&lt;&gt;")=0,"",SUMIFS(BD!$U$3:$U$5001,BD!$A$3:$A$5001,Z$3,BD!$B$3:$B$5001,$A$407)))</f>
        <v/>
      </c>
      <c r="AA426" s="251" t="str">
        <f>IF(AA$3="","",IF(COUNTIFS(BD!$A$3:$A$5001,AA$3,BD!$B$3:$B$5001,$A$407,BD!$U$3:$U$5001,"&lt;&gt;")=0,"",SUMIFS(BD!$U$3:$U$5001,BD!$A$3:$A$5001,AA$3,BD!$B$3:$B$5001,$A$407)))</f>
        <v/>
      </c>
      <c r="AB426" s="251" t="str">
        <f>IF(AB$3="","",IF(COUNTIFS(BD!$A$3:$A$5001,AB$3,BD!$B$3:$B$5001,$A$407,BD!$U$3:$U$5001,"&lt;&gt;")=0,"",SUMIFS(BD!$U$3:$U$5001,BD!$A$3:$A$5001,AB$3,BD!$B$3:$B$5001,$A$407)))</f>
        <v/>
      </c>
      <c r="AC426" s="251" t="str">
        <f>IF(AC$3="","",IF(COUNTIFS(BD!$A$3:$A$5001,AC$3,BD!$B$3:$B$5001,$A$407,BD!$U$3:$U$5001,"&lt;&gt;")=0,"",SUMIFS(BD!$U$3:$U$5001,BD!$A$3:$A$5001,AC$3,BD!$B$3:$B$5001,$A$407)))</f>
        <v/>
      </c>
      <c r="AD426" s="251" t="str">
        <f>IF(AD$3="","",IF(COUNTIFS(BD!$A$3:$A$5001,AD$3,BD!$B$3:$B$5001,$A$407,BD!$U$3:$U$5001,"&lt;&gt;")=0,"",SUMIFS(BD!$U$3:$U$5001,BD!$A$3:$A$5001,AD$3,BD!$B$3:$B$5001,$A$407)))</f>
        <v/>
      </c>
      <c r="AE426" s="251" t="str">
        <f>IF(AE$3="","",IF(COUNTIFS(BD!$A$3:$A$5001,AE$3,BD!$B$3:$B$5001,$A$407,BD!$U$3:$U$5001,"&lt;&gt;")=0,"",SUMIFS(BD!$U$3:$U$5001,BD!$A$3:$A$5001,AE$3,BD!$B$3:$B$5001,$A$407)))</f>
        <v/>
      </c>
      <c r="AF426" s="251" t="str">
        <f>IF(AF$3="","",IF(COUNTIFS(BD!$A$3:$A$5001,AF$3,BD!$B$3:$B$5001,$A$407,BD!$U$3:$U$5001,"&lt;&gt;")=0,"",SUMIFS(BD!$U$3:$U$5001,BD!$A$3:$A$5001,AF$3,BD!$B$3:$B$5001,$A$407)))</f>
        <v/>
      </c>
      <c r="AG426" s="251" t="str">
        <f>IF(AG$3="","",IF(COUNTIFS(BD!$A$3:$A$5001,AG$3,BD!$B$3:$B$5001,$A$407,BD!$U$3:$U$5001,"&lt;&gt;")=0,"",SUMIFS(BD!$U$3:$U$5001,BD!$A$3:$A$5001,AG$3,BD!$B$3:$B$5001,$A$407)))</f>
        <v/>
      </c>
      <c r="AH426" s="251" t="str">
        <f>IF(AH$3="","",IF(COUNTIFS(BD!$A$3:$A$5001,AH$3,BD!$B$3:$B$5001,$A$407,BD!$U$3:$U$5001,"&lt;&gt;")=0,"",SUMIFS(BD!$U$3:$U$5001,BD!$A$3:$A$5001,AH$3,BD!$B$3:$B$5001,$A$407)))</f>
        <v/>
      </c>
      <c r="AI426" s="251" t="str">
        <f>IF(AI$3="","",IF(COUNTIFS(BD!$A$3:$A$5001,AI$3,BD!$B$3:$B$5001,$A$407,BD!$U$3:$U$5001,"&lt;&gt;")=0,"",SUMIFS(BD!$U$3:$U$5001,BD!$A$3:$A$5001,AI$3,BD!$B$3:$B$5001,$A$407)))</f>
        <v/>
      </c>
      <c r="AJ426" s="252" t="str">
        <f>IF(AJ$3="","",IF(COUNTIFS(BD!$A$3:$A$5001,AJ$3,BD!$B$3:$B$5001,$A$407,BD!$U$3:$U$5001,"&lt;&gt;")=0,"",SUMIFS(BD!$U$3:$U$5001,BD!$A$3:$A$5001,AJ$3,BD!$B$3:$B$5001,$A$407)))</f>
        <v/>
      </c>
      <c r="AK426" s="253" t="str">
        <f>IF(COUNT(F426:AJ426)=0,"",SUM(F426:AJ426))</f>
        <v/>
      </c>
    </row>
    <row r="427" ht="15.75" customHeight="1" hidden="1">
      <c r="A427" s="277"/>
      <c r="B427" s="274"/>
      <c r="C427" s="247" t="inlineStr">
        <is>
          <t xml:space="preserve">Absenteísmo (H/H)</t>
        </is>
      </c>
      <c r="D427" s="248" t="str">
        <f>IFERROR(1/(1/INDEX(BD!$AF$43:$AZ$43,MATCH($A$407,BD!$AF$22:$AZ$22,0))),"")</f>
        <v/>
      </c>
      <c r="E427" s="249"/>
      <c r="F427" s="254" t="str">
        <f>IF(F$3="","",IF(COUNTIFS(BD!$A$3:$A$5001,F$3,BD!$B$3:$B$5001,$A$407,BD!$V$3:$V$5001,"&lt;&gt;")=0,"",SUMIFS(BD!$V$3:$V$5001,BD!$A$3:$A$5001,F$3,BD!$B$3:$B$5001,$A$407)))</f>
        <v/>
      </c>
      <c r="G427" s="255" t="str">
        <f>IF(G$3="","",IF(COUNTIFS(BD!$A$3:$A$5001,G$3,BD!$B$3:$B$5001,$A$407,BD!$V$3:$V$5001,"&lt;&gt;")=0,"",SUMIFS(BD!$V$3:$V$5001,BD!$A$3:$A$5001,G$3,BD!$B$3:$B$5001,$A$407)))</f>
        <v/>
      </c>
      <c r="H427" s="255" t="str">
        <f>IF(H$3="","",IF(COUNTIFS(BD!$A$3:$A$5001,H$3,BD!$B$3:$B$5001,$A$407,BD!$V$3:$V$5001,"&lt;&gt;")=0,"",SUMIFS(BD!$V$3:$V$5001,BD!$A$3:$A$5001,H$3,BD!$B$3:$B$5001,$A$407)))</f>
        <v/>
      </c>
      <c r="I427" s="255" t="str">
        <f>IF(I$3="","",IF(COUNTIFS(BD!$A$3:$A$5001,I$3,BD!$B$3:$B$5001,$A$407,BD!$V$3:$V$5001,"&lt;&gt;")=0,"",SUMIFS(BD!$V$3:$V$5001,BD!$A$3:$A$5001,I$3,BD!$B$3:$B$5001,$A$407)))</f>
        <v/>
      </c>
      <c r="J427" s="255" t="str">
        <f>IF(J$3="","",IF(COUNTIFS(BD!$A$3:$A$5001,J$3,BD!$B$3:$B$5001,$A$407,BD!$V$3:$V$5001,"&lt;&gt;")=0,"",SUMIFS(BD!$V$3:$V$5001,BD!$A$3:$A$5001,J$3,BD!$B$3:$B$5001,$A$407)))</f>
        <v/>
      </c>
      <c r="K427" s="255" t="str">
        <f>IF(K$3="","",IF(COUNTIFS(BD!$A$3:$A$5001,K$3,BD!$B$3:$B$5001,$A$407,BD!$V$3:$V$5001,"&lt;&gt;")=0,"",SUMIFS(BD!$V$3:$V$5001,BD!$A$3:$A$5001,K$3,BD!$B$3:$B$5001,$A$407)))</f>
        <v/>
      </c>
      <c r="L427" s="255" t="str">
        <f>IF(L$3="","",IF(COUNTIFS(BD!$A$3:$A$5001,L$3,BD!$B$3:$B$5001,$A$407,BD!$V$3:$V$5001,"&lt;&gt;")=0,"",SUMIFS(BD!$V$3:$V$5001,BD!$A$3:$A$5001,L$3,BD!$B$3:$B$5001,$A$407)))</f>
        <v/>
      </c>
      <c r="M427" s="255" t="str">
        <f>IF(M$3="","",IF(COUNTIFS(BD!$A$3:$A$5001,M$3,BD!$B$3:$B$5001,$A$407,BD!$V$3:$V$5001,"&lt;&gt;")=0,"",SUMIFS(BD!$V$3:$V$5001,BD!$A$3:$A$5001,M$3,BD!$B$3:$B$5001,$A$407)))</f>
        <v/>
      </c>
      <c r="N427" s="255" t="str">
        <f>IF(N$3="","",IF(COUNTIFS(BD!$A$3:$A$5001,N$3,BD!$B$3:$B$5001,$A$407,BD!$V$3:$V$5001,"&lt;&gt;")=0,"",SUMIFS(BD!$V$3:$V$5001,BD!$A$3:$A$5001,N$3,BD!$B$3:$B$5001,$A$407)))</f>
        <v/>
      </c>
      <c r="O427" s="255" t="str">
        <f>IF(O$3="","",IF(COUNTIFS(BD!$A$3:$A$5001,O$3,BD!$B$3:$B$5001,$A$407,BD!$V$3:$V$5001,"&lt;&gt;")=0,"",SUMIFS(BD!$V$3:$V$5001,BD!$A$3:$A$5001,O$3,BD!$B$3:$B$5001,$A$407)))</f>
        <v/>
      </c>
      <c r="P427" s="255" t="str">
        <f>IF(P$3="","",IF(COUNTIFS(BD!$A$3:$A$5001,P$3,BD!$B$3:$B$5001,$A$407,BD!$V$3:$V$5001,"&lt;&gt;")=0,"",SUMIFS(BD!$V$3:$V$5001,BD!$A$3:$A$5001,P$3,BD!$B$3:$B$5001,$A$407)))</f>
        <v/>
      </c>
      <c r="Q427" s="255" t="str">
        <f>IF(Q$3="","",IF(COUNTIFS(BD!$A$3:$A$5001,Q$3,BD!$B$3:$B$5001,$A$407,BD!$V$3:$V$5001,"&lt;&gt;")=0,"",SUMIFS(BD!$V$3:$V$5001,BD!$A$3:$A$5001,Q$3,BD!$B$3:$B$5001,$A$407)))</f>
        <v/>
      </c>
      <c r="R427" s="255" t="str">
        <f>IF(R$3="","",IF(COUNTIFS(BD!$A$3:$A$5001,R$3,BD!$B$3:$B$5001,$A$407,BD!$V$3:$V$5001,"&lt;&gt;")=0,"",SUMIFS(BD!$V$3:$V$5001,BD!$A$3:$A$5001,R$3,BD!$B$3:$B$5001,$A$407)))</f>
        <v/>
      </c>
      <c r="S427" s="255" t="str">
        <f>IF(S$3="","",IF(COUNTIFS(BD!$A$3:$A$5001,S$3,BD!$B$3:$B$5001,$A$407,BD!$V$3:$V$5001,"&lt;&gt;")=0,"",SUMIFS(BD!$V$3:$V$5001,BD!$A$3:$A$5001,S$3,BD!$B$3:$B$5001,$A$407)))</f>
        <v/>
      </c>
      <c r="T427" s="255" t="str">
        <f>IF(T$3="","",IF(COUNTIFS(BD!$A$3:$A$5001,T$3,BD!$B$3:$B$5001,$A$407,BD!$V$3:$V$5001,"&lt;&gt;")=0,"",SUMIFS(BD!$V$3:$V$5001,BD!$A$3:$A$5001,T$3,BD!$B$3:$B$5001,$A$407)))</f>
        <v/>
      </c>
      <c r="U427" s="255" t="str">
        <f>IF(U$3="","",IF(COUNTIFS(BD!$A$3:$A$5001,U$3,BD!$B$3:$B$5001,$A$407,BD!$V$3:$V$5001,"&lt;&gt;")=0,"",SUMIFS(BD!$V$3:$V$5001,BD!$A$3:$A$5001,U$3,BD!$B$3:$B$5001,$A$407)))</f>
        <v/>
      </c>
      <c r="V427" s="255" t="str">
        <f>IF(V$3="","",IF(COUNTIFS(BD!$A$3:$A$5001,V$3,BD!$B$3:$B$5001,$A$407,BD!$V$3:$V$5001,"&lt;&gt;")=0,"",SUMIFS(BD!$V$3:$V$5001,BD!$A$3:$A$5001,V$3,BD!$B$3:$B$5001,$A$407)))</f>
        <v/>
      </c>
      <c r="W427" s="255" t="str">
        <f>IF(W$3="","",IF(COUNTIFS(BD!$A$3:$A$5001,W$3,BD!$B$3:$B$5001,$A$407,BD!$V$3:$V$5001,"&lt;&gt;")=0,"",SUMIFS(BD!$V$3:$V$5001,BD!$A$3:$A$5001,W$3,BD!$B$3:$B$5001,$A$407)))</f>
        <v/>
      </c>
      <c r="X427" s="255" t="str">
        <f>IF(X$3="","",IF(COUNTIFS(BD!$A$3:$A$5001,X$3,BD!$B$3:$B$5001,$A$407,BD!$V$3:$V$5001,"&lt;&gt;")=0,"",SUMIFS(BD!$V$3:$V$5001,BD!$A$3:$A$5001,X$3,BD!$B$3:$B$5001,$A$407)))</f>
        <v/>
      </c>
      <c r="Y427" s="255" t="str">
        <f>IF(Y$3="","",IF(COUNTIFS(BD!$A$3:$A$5001,Y$3,BD!$B$3:$B$5001,$A$407,BD!$V$3:$V$5001,"&lt;&gt;")=0,"",SUMIFS(BD!$V$3:$V$5001,BD!$A$3:$A$5001,Y$3,BD!$B$3:$B$5001,$A$407)))</f>
        <v/>
      </c>
      <c r="Z427" s="255" t="str">
        <f>IF(Z$3="","",IF(COUNTIFS(BD!$A$3:$A$5001,Z$3,BD!$B$3:$B$5001,$A$407,BD!$V$3:$V$5001,"&lt;&gt;")=0,"",SUMIFS(BD!$V$3:$V$5001,BD!$A$3:$A$5001,Z$3,BD!$B$3:$B$5001,$A$407)))</f>
        <v/>
      </c>
      <c r="AA427" s="255" t="str">
        <f>IF(AA$3="","",IF(COUNTIFS(BD!$A$3:$A$5001,AA$3,BD!$B$3:$B$5001,$A$407,BD!$V$3:$V$5001,"&lt;&gt;")=0,"",SUMIFS(BD!$V$3:$V$5001,BD!$A$3:$A$5001,AA$3,BD!$B$3:$B$5001,$A$407)))</f>
        <v/>
      </c>
      <c r="AB427" s="255" t="str">
        <f>IF(AB$3="","",IF(COUNTIFS(BD!$A$3:$A$5001,AB$3,BD!$B$3:$B$5001,$A$407,BD!$V$3:$V$5001,"&lt;&gt;")=0,"",SUMIFS(BD!$V$3:$V$5001,BD!$A$3:$A$5001,AB$3,BD!$B$3:$B$5001,$A$407)))</f>
        <v/>
      </c>
      <c r="AC427" s="255" t="str">
        <f>IF(AC$3="","",IF(COUNTIFS(BD!$A$3:$A$5001,AC$3,BD!$B$3:$B$5001,$A$407,BD!$V$3:$V$5001,"&lt;&gt;")=0,"",SUMIFS(BD!$V$3:$V$5001,BD!$A$3:$A$5001,AC$3,BD!$B$3:$B$5001,$A$407)))</f>
        <v/>
      </c>
      <c r="AD427" s="255" t="str">
        <f>IF(AD$3="","",IF(COUNTIFS(BD!$A$3:$A$5001,AD$3,BD!$B$3:$B$5001,$A$407,BD!$V$3:$V$5001,"&lt;&gt;")=0,"",SUMIFS(BD!$V$3:$V$5001,BD!$A$3:$A$5001,AD$3,BD!$B$3:$B$5001,$A$407)))</f>
        <v/>
      </c>
      <c r="AE427" s="255" t="str">
        <f>IF(AE$3="","",IF(COUNTIFS(BD!$A$3:$A$5001,AE$3,BD!$B$3:$B$5001,$A$407,BD!$V$3:$V$5001,"&lt;&gt;")=0,"",SUMIFS(BD!$V$3:$V$5001,BD!$A$3:$A$5001,AE$3,BD!$B$3:$B$5001,$A$407)))</f>
        <v/>
      </c>
      <c r="AF427" s="255" t="str">
        <f>IF(AF$3="","",IF(COUNTIFS(BD!$A$3:$A$5001,AF$3,BD!$B$3:$B$5001,$A$407,BD!$V$3:$V$5001,"&lt;&gt;")=0,"",SUMIFS(BD!$V$3:$V$5001,BD!$A$3:$A$5001,AF$3,BD!$B$3:$B$5001,$A$407)))</f>
        <v/>
      </c>
      <c r="AG427" s="255" t="str">
        <f>IF(AG$3="","",IF(COUNTIFS(BD!$A$3:$A$5001,AG$3,BD!$B$3:$B$5001,$A$407,BD!$V$3:$V$5001,"&lt;&gt;")=0,"",SUMIFS(BD!$V$3:$V$5001,BD!$A$3:$A$5001,AG$3,BD!$B$3:$B$5001,$A$407)))</f>
        <v/>
      </c>
      <c r="AH427" s="255" t="str">
        <f>IF(AH$3="","",IF(COUNTIFS(BD!$A$3:$A$5001,AH$3,BD!$B$3:$B$5001,$A$407,BD!$V$3:$V$5001,"&lt;&gt;")=0,"",SUMIFS(BD!$V$3:$V$5001,BD!$A$3:$A$5001,AH$3,BD!$B$3:$B$5001,$A$407)))</f>
        <v/>
      </c>
      <c r="AI427" s="255" t="str">
        <f>IF(AI$3="","",IF(COUNTIFS(BD!$A$3:$A$5001,AI$3,BD!$B$3:$B$5001,$A$407,BD!$V$3:$V$5001,"&lt;&gt;")=0,"",SUMIFS(BD!$V$3:$V$5001,BD!$A$3:$A$5001,AI$3,BD!$B$3:$B$5001,$A$407)))</f>
        <v/>
      </c>
      <c r="AJ427" s="256" t="str">
        <f>IF(AJ$3="","",IF(COUNTIFS(BD!$A$3:$A$5001,AJ$3,BD!$B$3:$B$5001,$A$407,BD!$V$3:$V$5001,"&lt;&gt;")=0,"",SUMIFS(BD!$V$3:$V$5001,BD!$A$3:$A$5001,AJ$3,BD!$B$3:$B$5001,$A$407)))</f>
        <v/>
      </c>
      <c r="AK427" s="257" t="str">
        <f>IF(COUNT(F427:AJ427)=0,"",SUM(F427:AJ427))</f>
        <v/>
      </c>
    </row>
    <row r="428" ht="15.75" customHeight="1" hidden="1">
      <c r="A428" s="277"/>
      <c r="B428" s="274"/>
      <c r="C428" s="247" t="inlineStr">
        <is>
          <t xml:space="preserve">Folga</t>
        </is>
      </c>
      <c r="D428" s="248" t="str">
        <f>IFERROR(1/(1/INDEX(BD!$AF$44:$AZ$44,MATCH($A$407,BD!$AF$22:$AZ$22,0))),"")</f>
        <v/>
      </c>
      <c r="E428" s="249"/>
      <c r="F428" s="250" t="str">
        <f>IF(F$3="","",IF(COUNTIFS(BD!$A$3:$A$5001,F$3,BD!$B$3:$B$5001,$A$407,BD!$W$3:$W$5001,"&lt;&gt;")=0,"",SUMIFS(BD!$W$3:$W$5001,BD!$A$3:$A$5001,F$3,BD!$B$3:$B$5001,$A$407)))</f>
        <v/>
      </c>
      <c r="G428" s="251" t="str">
        <f>IF(G$3="","",IF(COUNTIFS(BD!$A$3:$A$5001,G$3,BD!$B$3:$B$5001,$A$407,BD!$W$3:$W$5001,"&lt;&gt;")=0,"",SUMIFS(BD!$W$3:$W$5001,BD!$A$3:$A$5001,G$3,BD!$B$3:$B$5001,$A$407)))</f>
        <v/>
      </c>
      <c r="H428" s="251" t="str">
        <f>IF(H$3="","",IF(COUNTIFS(BD!$A$3:$A$5001,H$3,BD!$B$3:$B$5001,$A$407,BD!$W$3:$W$5001,"&lt;&gt;")=0,"",SUMIFS(BD!$W$3:$W$5001,BD!$A$3:$A$5001,H$3,BD!$B$3:$B$5001,$A$407)))</f>
        <v/>
      </c>
      <c r="I428" s="251" t="str">
        <f>IF(I$3="","",IF(COUNTIFS(BD!$A$3:$A$5001,I$3,BD!$B$3:$B$5001,$A$407,BD!$W$3:$W$5001,"&lt;&gt;")=0,"",SUMIFS(BD!$W$3:$W$5001,BD!$A$3:$A$5001,I$3,BD!$B$3:$B$5001,$A$407)))</f>
        <v/>
      </c>
      <c r="J428" s="251" t="str">
        <f>IF(J$3="","",IF(COUNTIFS(BD!$A$3:$A$5001,J$3,BD!$B$3:$B$5001,$A$407,BD!$W$3:$W$5001,"&lt;&gt;")=0,"",SUMIFS(BD!$W$3:$W$5001,BD!$A$3:$A$5001,J$3,BD!$B$3:$B$5001,$A$407)))</f>
        <v/>
      </c>
      <c r="K428" s="251" t="str">
        <f>IF(K$3="","",IF(COUNTIFS(BD!$A$3:$A$5001,K$3,BD!$B$3:$B$5001,$A$407,BD!$W$3:$W$5001,"&lt;&gt;")=0,"",SUMIFS(BD!$W$3:$W$5001,BD!$A$3:$A$5001,K$3,BD!$B$3:$B$5001,$A$407)))</f>
        <v/>
      </c>
      <c r="L428" s="251" t="str">
        <f>IF(L$3="","",IF(COUNTIFS(BD!$A$3:$A$5001,L$3,BD!$B$3:$B$5001,$A$407,BD!$W$3:$W$5001,"&lt;&gt;")=0,"",SUMIFS(BD!$W$3:$W$5001,BD!$A$3:$A$5001,L$3,BD!$B$3:$B$5001,$A$407)))</f>
        <v/>
      </c>
      <c r="M428" s="251" t="str">
        <f>IF(M$3="","",IF(COUNTIFS(BD!$A$3:$A$5001,M$3,BD!$B$3:$B$5001,$A$407,BD!$W$3:$W$5001,"&lt;&gt;")=0,"",SUMIFS(BD!$W$3:$W$5001,BD!$A$3:$A$5001,M$3,BD!$B$3:$B$5001,$A$407)))</f>
        <v/>
      </c>
      <c r="N428" s="251" t="str">
        <f>IF(N$3="","",IF(COUNTIFS(BD!$A$3:$A$5001,N$3,BD!$B$3:$B$5001,$A$407,BD!$W$3:$W$5001,"&lt;&gt;")=0,"",SUMIFS(BD!$W$3:$W$5001,BD!$A$3:$A$5001,N$3,BD!$B$3:$B$5001,$A$407)))</f>
        <v/>
      </c>
      <c r="O428" s="251" t="str">
        <f>IF(O$3="","",IF(COUNTIFS(BD!$A$3:$A$5001,O$3,BD!$B$3:$B$5001,$A$407,BD!$W$3:$W$5001,"&lt;&gt;")=0,"",SUMIFS(BD!$W$3:$W$5001,BD!$A$3:$A$5001,O$3,BD!$B$3:$B$5001,$A$407)))</f>
        <v/>
      </c>
      <c r="P428" s="251" t="str">
        <f>IF(P$3="","",IF(COUNTIFS(BD!$A$3:$A$5001,P$3,BD!$B$3:$B$5001,$A$407,BD!$W$3:$W$5001,"&lt;&gt;")=0,"",SUMIFS(BD!$W$3:$W$5001,BD!$A$3:$A$5001,P$3,BD!$B$3:$B$5001,$A$407)))</f>
        <v/>
      </c>
      <c r="Q428" s="251" t="str">
        <f>IF(Q$3="","",IF(COUNTIFS(BD!$A$3:$A$5001,Q$3,BD!$B$3:$B$5001,$A$407,BD!$W$3:$W$5001,"&lt;&gt;")=0,"",SUMIFS(BD!$W$3:$W$5001,BD!$A$3:$A$5001,Q$3,BD!$B$3:$B$5001,$A$407)))</f>
        <v/>
      </c>
      <c r="R428" s="251" t="str">
        <f>IF(R$3="","",IF(COUNTIFS(BD!$A$3:$A$5001,R$3,BD!$B$3:$B$5001,$A$407,BD!$W$3:$W$5001,"&lt;&gt;")=0,"",SUMIFS(BD!$W$3:$W$5001,BD!$A$3:$A$5001,R$3,BD!$B$3:$B$5001,$A$407)))</f>
        <v/>
      </c>
      <c r="S428" s="251" t="str">
        <f>IF(S$3="","",IF(COUNTIFS(BD!$A$3:$A$5001,S$3,BD!$B$3:$B$5001,$A$407,BD!$W$3:$W$5001,"&lt;&gt;")=0,"",SUMIFS(BD!$W$3:$W$5001,BD!$A$3:$A$5001,S$3,BD!$B$3:$B$5001,$A$407)))</f>
        <v/>
      </c>
      <c r="T428" s="251" t="str">
        <f>IF(T$3="","",IF(COUNTIFS(BD!$A$3:$A$5001,T$3,BD!$B$3:$B$5001,$A$407,BD!$W$3:$W$5001,"&lt;&gt;")=0,"",SUMIFS(BD!$W$3:$W$5001,BD!$A$3:$A$5001,T$3,BD!$B$3:$B$5001,$A$407)))</f>
        <v/>
      </c>
      <c r="U428" s="251" t="str">
        <f>IF(U$3="","",IF(COUNTIFS(BD!$A$3:$A$5001,U$3,BD!$B$3:$B$5001,$A$407,BD!$W$3:$W$5001,"&lt;&gt;")=0,"",SUMIFS(BD!$W$3:$W$5001,BD!$A$3:$A$5001,U$3,BD!$B$3:$B$5001,$A$407)))</f>
        <v/>
      </c>
      <c r="V428" s="251" t="str">
        <f>IF(V$3="","",IF(COUNTIFS(BD!$A$3:$A$5001,V$3,BD!$B$3:$B$5001,$A$407,BD!$W$3:$W$5001,"&lt;&gt;")=0,"",SUMIFS(BD!$W$3:$W$5001,BD!$A$3:$A$5001,V$3,BD!$B$3:$B$5001,$A$407)))</f>
        <v/>
      </c>
      <c r="W428" s="251" t="str">
        <f>IF(W$3="","",IF(COUNTIFS(BD!$A$3:$A$5001,W$3,BD!$B$3:$B$5001,$A$407,BD!$W$3:$W$5001,"&lt;&gt;")=0,"",SUMIFS(BD!$W$3:$W$5001,BD!$A$3:$A$5001,W$3,BD!$B$3:$B$5001,$A$407)))</f>
        <v/>
      </c>
      <c r="X428" s="251" t="str">
        <f>IF(X$3="","",IF(COUNTIFS(BD!$A$3:$A$5001,X$3,BD!$B$3:$B$5001,$A$407,BD!$W$3:$W$5001,"&lt;&gt;")=0,"",SUMIFS(BD!$W$3:$W$5001,BD!$A$3:$A$5001,X$3,BD!$B$3:$B$5001,$A$407)))</f>
        <v/>
      </c>
      <c r="Y428" s="251" t="str">
        <f>IF(Y$3="","",IF(COUNTIFS(BD!$A$3:$A$5001,Y$3,BD!$B$3:$B$5001,$A$407,BD!$W$3:$W$5001,"&lt;&gt;")=0,"",SUMIFS(BD!$W$3:$W$5001,BD!$A$3:$A$5001,Y$3,BD!$B$3:$B$5001,$A$407)))</f>
        <v/>
      </c>
      <c r="Z428" s="251" t="str">
        <f>IF(Z$3="","",IF(COUNTIFS(BD!$A$3:$A$5001,Z$3,BD!$B$3:$B$5001,$A$407,BD!$W$3:$W$5001,"&lt;&gt;")=0,"",SUMIFS(BD!$W$3:$W$5001,BD!$A$3:$A$5001,Z$3,BD!$B$3:$B$5001,$A$407)))</f>
        <v/>
      </c>
      <c r="AA428" s="251" t="str">
        <f>IF(AA$3="","",IF(COUNTIFS(BD!$A$3:$A$5001,AA$3,BD!$B$3:$B$5001,$A$407,BD!$W$3:$W$5001,"&lt;&gt;")=0,"",SUMIFS(BD!$W$3:$W$5001,BD!$A$3:$A$5001,AA$3,BD!$B$3:$B$5001,$A$407)))</f>
        <v/>
      </c>
      <c r="AB428" s="251" t="str">
        <f>IF(AB$3="","",IF(COUNTIFS(BD!$A$3:$A$5001,AB$3,BD!$B$3:$B$5001,$A$407,BD!$W$3:$W$5001,"&lt;&gt;")=0,"",SUMIFS(BD!$W$3:$W$5001,BD!$A$3:$A$5001,AB$3,BD!$B$3:$B$5001,$A$407)))</f>
        <v/>
      </c>
      <c r="AC428" s="251" t="str">
        <f>IF(AC$3="","",IF(COUNTIFS(BD!$A$3:$A$5001,AC$3,BD!$B$3:$B$5001,$A$407,BD!$W$3:$W$5001,"&lt;&gt;")=0,"",SUMIFS(BD!$W$3:$W$5001,BD!$A$3:$A$5001,AC$3,BD!$B$3:$B$5001,$A$407)))</f>
        <v/>
      </c>
      <c r="AD428" s="251" t="str">
        <f>IF(AD$3="","",IF(COUNTIFS(BD!$A$3:$A$5001,AD$3,BD!$B$3:$B$5001,$A$407,BD!$W$3:$W$5001,"&lt;&gt;")=0,"",SUMIFS(BD!$W$3:$W$5001,BD!$A$3:$A$5001,AD$3,BD!$B$3:$B$5001,$A$407)))</f>
        <v/>
      </c>
      <c r="AE428" s="251" t="str">
        <f>IF(AE$3="","",IF(COUNTIFS(BD!$A$3:$A$5001,AE$3,BD!$B$3:$B$5001,$A$407,BD!$W$3:$W$5001,"&lt;&gt;")=0,"",SUMIFS(BD!$W$3:$W$5001,BD!$A$3:$A$5001,AE$3,BD!$B$3:$B$5001,$A$407)))</f>
        <v/>
      </c>
      <c r="AF428" s="251" t="str">
        <f>IF(AF$3="","",IF(COUNTIFS(BD!$A$3:$A$5001,AF$3,BD!$B$3:$B$5001,$A$407,BD!$W$3:$W$5001,"&lt;&gt;")=0,"",SUMIFS(BD!$W$3:$W$5001,BD!$A$3:$A$5001,AF$3,BD!$B$3:$B$5001,$A$407)))</f>
        <v/>
      </c>
      <c r="AG428" s="251" t="str">
        <f>IF(AG$3="","",IF(COUNTIFS(BD!$A$3:$A$5001,AG$3,BD!$B$3:$B$5001,$A$407,BD!$W$3:$W$5001,"&lt;&gt;")=0,"",SUMIFS(BD!$W$3:$W$5001,BD!$A$3:$A$5001,AG$3,BD!$B$3:$B$5001,$A$407)))</f>
        <v/>
      </c>
      <c r="AH428" s="251" t="str">
        <f>IF(AH$3="","",IF(COUNTIFS(BD!$A$3:$A$5001,AH$3,BD!$B$3:$B$5001,$A$407,BD!$W$3:$W$5001,"&lt;&gt;")=0,"",SUMIFS(BD!$W$3:$W$5001,BD!$A$3:$A$5001,AH$3,BD!$B$3:$B$5001,$A$407)))</f>
        <v/>
      </c>
      <c r="AI428" s="251" t="str">
        <f>IF(AI$3="","",IF(COUNTIFS(BD!$A$3:$A$5001,AI$3,BD!$B$3:$B$5001,$A$407,BD!$W$3:$W$5001,"&lt;&gt;")=0,"",SUMIFS(BD!$W$3:$W$5001,BD!$A$3:$A$5001,AI$3,BD!$B$3:$B$5001,$A$407)))</f>
        <v/>
      </c>
      <c r="AJ428" s="252" t="str">
        <f>IF(AJ$3="","",IF(COUNTIFS(BD!$A$3:$A$5001,AJ$3,BD!$B$3:$B$5001,$A$407,BD!$W$3:$W$5001,"&lt;&gt;")=0,"",SUMIFS(BD!$W$3:$W$5001,BD!$A$3:$A$5001,AJ$3,BD!$B$3:$B$5001,$A$407)))</f>
        <v/>
      </c>
      <c r="AK428" s="253" t="str">
        <f>IF(COUNT(F428:AJ428)=0,"",SUM(F428:AJ428))</f>
        <v/>
      </c>
    </row>
    <row r="429" ht="15.75" customHeight="1" hidden="1">
      <c r="A429" s="277"/>
      <c r="B429" s="274"/>
      <c r="C429" s="247" t="inlineStr">
        <is>
          <t xml:space="preserve">Férias</t>
        </is>
      </c>
      <c r="D429" s="248" t="str">
        <f>IFERROR(1/(1/INDEX(BD!$AF$45:$AZ$45,MATCH($A$407,BD!$AF$22:$AZ$22,0))),"")</f>
        <v/>
      </c>
      <c r="E429" s="249"/>
      <c r="F429" s="250" t="str">
        <f>IF(F$3="","",IF(COUNTIFS(BD!$A$3:$A$5001,F$3,BD!$B$3:$B$5001,$A$407,BD!$X$3:$X$5001,"&lt;&gt;")=0,"",SUMIFS(BD!$X$3:$X$5001,BD!$A$3:$A$5001,F$3,BD!$B$3:$B$5001,$A$407)))</f>
        <v/>
      </c>
      <c r="G429" s="251" t="str">
        <f>IF(G$3="","",IF(COUNTIFS(BD!$A$3:$A$5001,G$3,BD!$B$3:$B$5001,$A$407,BD!$X$3:$X$5001,"&lt;&gt;")=0,"",SUMIFS(BD!$X$3:$X$5001,BD!$A$3:$A$5001,G$3,BD!$B$3:$B$5001,$A$407)))</f>
        <v/>
      </c>
      <c r="H429" s="251" t="str">
        <f>IF(H$3="","",IF(COUNTIFS(BD!$A$3:$A$5001,H$3,BD!$B$3:$B$5001,$A$407,BD!$X$3:$X$5001,"&lt;&gt;")=0,"",SUMIFS(BD!$X$3:$X$5001,BD!$A$3:$A$5001,H$3,BD!$B$3:$B$5001,$A$407)))</f>
        <v/>
      </c>
      <c r="I429" s="251" t="str">
        <f>IF(I$3="","",IF(COUNTIFS(BD!$A$3:$A$5001,I$3,BD!$B$3:$B$5001,$A$407,BD!$X$3:$X$5001,"&lt;&gt;")=0,"",SUMIFS(BD!$X$3:$X$5001,BD!$A$3:$A$5001,I$3,BD!$B$3:$B$5001,$A$407)))</f>
        <v/>
      </c>
      <c r="J429" s="251" t="str">
        <f>IF(J$3="","",IF(COUNTIFS(BD!$A$3:$A$5001,J$3,BD!$B$3:$B$5001,$A$407,BD!$X$3:$X$5001,"&lt;&gt;")=0,"",SUMIFS(BD!$X$3:$X$5001,BD!$A$3:$A$5001,J$3,BD!$B$3:$B$5001,$A$407)))</f>
        <v/>
      </c>
      <c r="K429" s="251" t="str">
        <f>IF(K$3="","",IF(COUNTIFS(BD!$A$3:$A$5001,K$3,BD!$B$3:$B$5001,$A$407,BD!$X$3:$X$5001,"&lt;&gt;")=0,"",SUMIFS(BD!$X$3:$X$5001,BD!$A$3:$A$5001,K$3,BD!$B$3:$B$5001,$A$407)))</f>
        <v/>
      </c>
      <c r="L429" s="251" t="str">
        <f>IF(L$3="","",IF(COUNTIFS(BD!$A$3:$A$5001,L$3,BD!$B$3:$B$5001,$A$407,BD!$X$3:$X$5001,"&lt;&gt;")=0,"",SUMIFS(BD!$X$3:$X$5001,BD!$A$3:$A$5001,L$3,BD!$B$3:$B$5001,$A$407)))</f>
        <v/>
      </c>
      <c r="M429" s="251" t="str">
        <f>IF(M$3="","",IF(COUNTIFS(BD!$A$3:$A$5001,M$3,BD!$B$3:$B$5001,$A$407,BD!$X$3:$X$5001,"&lt;&gt;")=0,"",SUMIFS(BD!$X$3:$X$5001,BD!$A$3:$A$5001,M$3,BD!$B$3:$B$5001,$A$407)))</f>
        <v/>
      </c>
      <c r="N429" s="251" t="str">
        <f>IF(N$3="","",IF(COUNTIFS(BD!$A$3:$A$5001,N$3,BD!$B$3:$B$5001,$A$407,BD!$X$3:$X$5001,"&lt;&gt;")=0,"",SUMIFS(BD!$X$3:$X$5001,BD!$A$3:$A$5001,N$3,BD!$B$3:$B$5001,$A$407)))</f>
        <v/>
      </c>
      <c r="O429" s="251" t="str">
        <f>IF(O$3="","",IF(COUNTIFS(BD!$A$3:$A$5001,O$3,BD!$B$3:$B$5001,$A$407,BD!$X$3:$X$5001,"&lt;&gt;")=0,"",SUMIFS(BD!$X$3:$X$5001,BD!$A$3:$A$5001,O$3,BD!$B$3:$B$5001,$A$407)))</f>
        <v/>
      </c>
      <c r="P429" s="251" t="str">
        <f>IF(P$3="","",IF(COUNTIFS(BD!$A$3:$A$5001,P$3,BD!$B$3:$B$5001,$A$407,BD!$X$3:$X$5001,"&lt;&gt;")=0,"",SUMIFS(BD!$X$3:$X$5001,BD!$A$3:$A$5001,P$3,BD!$B$3:$B$5001,$A$407)))</f>
        <v/>
      </c>
      <c r="Q429" s="251" t="str">
        <f>IF(Q$3="","",IF(COUNTIFS(BD!$A$3:$A$5001,Q$3,BD!$B$3:$B$5001,$A$407,BD!$X$3:$X$5001,"&lt;&gt;")=0,"",SUMIFS(BD!$X$3:$X$5001,BD!$A$3:$A$5001,Q$3,BD!$B$3:$B$5001,$A$407)))</f>
        <v/>
      </c>
      <c r="R429" s="251" t="str">
        <f>IF(R$3="","",IF(COUNTIFS(BD!$A$3:$A$5001,R$3,BD!$B$3:$B$5001,$A$407,BD!$X$3:$X$5001,"&lt;&gt;")=0,"",SUMIFS(BD!$X$3:$X$5001,BD!$A$3:$A$5001,R$3,BD!$B$3:$B$5001,$A$407)))</f>
        <v/>
      </c>
      <c r="S429" s="251" t="str">
        <f>IF(S$3="","",IF(COUNTIFS(BD!$A$3:$A$5001,S$3,BD!$B$3:$B$5001,$A$407,BD!$X$3:$X$5001,"&lt;&gt;")=0,"",SUMIFS(BD!$X$3:$X$5001,BD!$A$3:$A$5001,S$3,BD!$B$3:$B$5001,$A$407)))</f>
        <v/>
      </c>
      <c r="T429" s="251" t="str">
        <f>IF(T$3="","",IF(COUNTIFS(BD!$A$3:$A$5001,T$3,BD!$B$3:$B$5001,$A$407,BD!$X$3:$X$5001,"&lt;&gt;")=0,"",SUMIFS(BD!$X$3:$X$5001,BD!$A$3:$A$5001,T$3,BD!$B$3:$B$5001,$A$407)))</f>
        <v/>
      </c>
      <c r="U429" s="251" t="str">
        <f>IF(U$3="","",IF(COUNTIFS(BD!$A$3:$A$5001,U$3,BD!$B$3:$B$5001,$A$407,BD!$X$3:$X$5001,"&lt;&gt;")=0,"",SUMIFS(BD!$X$3:$X$5001,BD!$A$3:$A$5001,U$3,BD!$B$3:$B$5001,$A$407)))</f>
        <v/>
      </c>
      <c r="V429" s="251" t="str">
        <f>IF(V$3="","",IF(COUNTIFS(BD!$A$3:$A$5001,V$3,BD!$B$3:$B$5001,$A$407,BD!$X$3:$X$5001,"&lt;&gt;")=0,"",SUMIFS(BD!$X$3:$X$5001,BD!$A$3:$A$5001,V$3,BD!$B$3:$B$5001,$A$407)))</f>
        <v/>
      </c>
      <c r="W429" s="251" t="str">
        <f>IF(W$3="","",IF(COUNTIFS(BD!$A$3:$A$5001,W$3,BD!$B$3:$B$5001,$A$407,BD!$X$3:$X$5001,"&lt;&gt;")=0,"",SUMIFS(BD!$X$3:$X$5001,BD!$A$3:$A$5001,W$3,BD!$B$3:$B$5001,$A$407)))</f>
        <v/>
      </c>
      <c r="X429" s="251" t="str">
        <f>IF(X$3="","",IF(COUNTIFS(BD!$A$3:$A$5001,X$3,BD!$B$3:$B$5001,$A$407,BD!$X$3:$X$5001,"&lt;&gt;")=0,"",SUMIFS(BD!$X$3:$X$5001,BD!$A$3:$A$5001,X$3,BD!$B$3:$B$5001,$A$407)))</f>
        <v/>
      </c>
      <c r="Y429" s="251" t="str">
        <f>IF(Y$3="","",IF(COUNTIFS(BD!$A$3:$A$5001,Y$3,BD!$B$3:$B$5001,$A$407,BD!$X$3:$X$5001,"&lt;&gt;")=0,"",SUMIFS(BD!$X$3:$X$5001,BD!$A$3:$A$5001,Y$3,BD!$B$3:$B$5001,$A$407)))</f>
        <v/>
      </c>
      <c r="Z429" s="251" t="str">
        <f>IF(Z$3="","",IF(COUNTIFS(BD!$A$3:$A$5001,Z$3,BD!$B$3:$B$5001,$A$407,BD!$X$3:$X$5001,"&lt;&gt;")=0,"",SUMIFS(BD!$X$3:$X$5001,BD!$A$3:$A$5001,Z$3,BD!$B$3:$B$5001,$A$407)))</f>
        <v/>
      </c>
      <c r="AA429" s="251" t="str">
        <f>IF(AA$3="","",IF(COUNTIFS(BD!$A$3:$A$5001,AA$3,BD!$B$3:$B$5001,$A$407,BD!$X$3:$X$5001,"&lt;&gt;")=0,"",SUMIFS(BD!$X$3:$X$5001,BD!$A$3:$A$5001,AA$3,BD!$B$3:$B$5001,$A$407)))</f>
        <v/>
      </c>
      <c r="AB429" s="251" t="str">
        <f>IF(AB$3="","",IF(COUNTIFS(BD!$A$3:$A$5001,AB$3,BD!$B$3:$B$5001,$A$407,BD!$X$3:$X$5001,"&lt;&gt;")=0,"",SUMIFS(BD!$X$3:$X$5001,BD!$A$3:$A$5001,AB$3,BD!$B$3:$B$5001,$A$407)))</f>
        <v/>
      </c>
      <c r="AC429" s="251" t="str">
        <f>IF(AC$3="","",IF(COUNTIFS(BD!$A$3:$A$5001,AC$3,BD!$B$3:$B$5001,$A$407,BD!$X$3:$X$5001,"&lt;&gt;")=0,"",SUMIFS(BD!$X$3:$X$5001,BD!$A$3:$A$5001,AC$3,BD!$B$3:$B$5001,$A$407)))</f>
        <v/>
      </c>
      <c r="AD429" s="251" t="str">
        <f>IF(AD$3="","",IF(COUNTIFS(BD!$A$3:$A$5001,AD$3,BD!$B$3:$B$5001,$A$407,BD!$X$3:$X$5001,"&lt;&gt;")=0,"",SUMIFS(BD!$X$3:$X$5001,BD!$A$3:$A$5001,AD$3,BD!$B$3:$B$5001,$A$407)))</f>
        <v/>
      </c>
      <c r="AE429" s="251" t="str">
        <f>IF(AE$3="","",IF(COUNTIFS(BD!$A$3:$A$5001,AE$3,BD!$B$3:$B$5001,$A$407,BD!$X$3:$X$5001,"&lt;&gt;")=0,"",SUMIFS(BD!$X$3:$X$5001,BD!$A$3:$A$5001,AE$3,BD!$B$3:$B$5001,$A$407)))</f>
        <v/>
      </c>
      <c r="AF429" s="251" t="str">
        <f>IF(AF$3="","",IF(COUNTIFS(BD!$A$3:$A$5001,AF$3,BD!$B$3:$B$5001,$A$407,BD!$X$3:$X$5001,"&lt;&gt;")=0,"",SUMIFS(BD!$X$3:$X$5001,BD!$A$3:$A$5001,AF$3,BD!$B$3:$B$5001,$A$407)))</f>
        <v/>
      </c>
      <c r="AG429" s="251" t="str">
        <f>IF(AG$3="","",IF(COUNTIFS(BD!$A$3:$A$5001,AG$3,BD!$B$3:$B$5001,$A$407,BD!$X$3:$X$5001,"&lt;&gt;")=0,"",SUMIFS(BD!$X$3:$X$5001,BD!$A$3:$A$5001,AG$3,BD!$B$3:$B$5001,$A$407)))</f>
        <v/>
      </c>
      <c r="AH429" s="251" t="str">
        <f>IF(AH$3="","",IF(COUNTIFS(BD!$A$3:$A$5001,AH$3,BD!$B$3:$B$5001,$A$407,BD!$X$3:$X$5001,"&lt;&gt;")=0,"",SUMIFS(BD!$X$3:$X$5001,BD!$A$3:$A$5001,AH$3,BD!$B$3:$B$5001,$A$407)))</f>
        <v/>
      </c>
      <c r="AI429" s="251" t="str">
        <f>IF(AI$3="","",IF(COUNTIFS(BD!$A$3:$A$5001,AI$3,BD!$B$3:$B$5001,$A$407,BD!$X$3:$X$5001,"&lt;&gt;")=0,"",SUMIFS(BD!$X$3:$X$5001,BD!$A$3:$A$5001,AI$3,BD!$B$3:$B$5001,$A$407)))</f>
        <v/>
      </c>
      <c r="AJ429" s="252" t="str">
        <f>IF(AJ$3="","",IF(COUNTIFS(BD!$A$3:$A$5001,AJ$3,BD!$B$3:$B$5001,$A$407,BD!$X$3:$X$5001,"&lt;&gt;")=0,"",SUMIFS(BD!$X$3:$X$5001,BD!$A$3:$A$5001,AJ$3,BD!$B$3:$B$5001,$A$407)))</f>
        <v/>
      </c>
      <c r="AK429" s="253" t="str">
        <f>IF(COUNT(F429:AJ429)=0,"",SUM(F429:AJ429))</f>
        <v/>
      </c>
    </row>
    <row r="430" ht="15.75" customHeight="1" hidden="1">
      <c r="A430" s="277"/>
      <c r="B430" s="274"/>
      <c r="C430" s="247" t="inlineStr">
        <is>
          <t xml:space="preserve">Desligamento</t>
        </is>
      </c>
      <c r="D430" s="248" t="str">
        <f>IFERROR(1/(1/INDEX(BD!$AF$46:$AZ$46,MATCH($A$407,BD!$AF$22:$AZ$22,0))),"")</f>
        <v/>
      </c>
      <c r="E430" s="249"/>
      <c r="F430" s="250" t="str">
        <f>IF(F$3="","",IF(COUNTIFS(BD!$A$3:$A$5001,F$3,BD!$B$3:$B$5001,$A$407,BD!$Y$3:$Y$5001,"&lt;&gt;")=0,"",SUMIFS(BD!$Y$3:$Y$5001,BD!$A$3:$A$5001,F$3,BD!$B$3:$B$5001,$A$407)))</f>
        <v/>
      </c>
      <c r="G430" s="251" t="str">
        <f>IF(G$3="","",IF(COUNTIFS(BD!$A$3:$A$5001,G$3,BD!$B$3:$B$5001,$A$407,BD!$Y$3:$Y$5001,"&lt;&gt;")=0,"",SUMIFS(BD!$Y$3:$Y$5001,BD!$A$3:$A$5001,G$3,BD!$B$3:$B$5001,$A$407)))</f>
        <v/>
      </c>
      <c r="H430" s="251" t="str">
        <f>IF(H$3="","",IF(COUNTIFS(BD!$A$3:$A$5001,H$3,BD!$B$3:$B$5001,$A$407,BD!$Y$3:$Y$5001,"&lt;&gt;")=0,"",SUMIFS(BD!$Y$3:$Y$5001,BD!$A$3:$A$5001,H$3,BD!$B$3:$B$5001,$A$407)))</f>
        <v/>
      </c>
      <c r="I430" s="251" t="str">
        <f>IF(I$3="","",IF(COUNTIFS(BD!$A$3:$A$5001,I$3,BD!$B$3:$B$5001,$A$407,BD!$Y$3:$Y$5001,"&lt;&gt;")=0,"",SUMIFS(BD!$Y$3:$Y$5001,BD!$A$3:$A$5001,I$3,BD!$B$3:$B$5001,$A$407)))</f>
        <v/>
      </c>
      <c r="J430" s="251" t="str">
        <f>IF(J$3="","",IF(COUNTIFS(BD!$A$3:$A$5001,J$3,BD!$B$3:$B$5001,$A$407,BD!$Y$3:$Y$5001,"&lt;&gt;")=0,"",SUMIFS(BD!$Y$3:$Y$5001,BD!$A$3:$A$5001,J$3,BD!$B$3:$B$5001,$A$407)))</f>
        <v/>
      </c>
      <c r="K430" s="251" t="str">
        <f>IF(K$3="","",IF(COUNTIFS(BD!$A$3:$A$5001,K$3,BD!$B$3:$B$5001,$A$407,BD!$Y$3:$Y$5001,"&lt;&gt;")=0,"",SUMIFS(BD!$Y$3:$Y$5001,BD!$A$3:$A$5001,K$3,BD!$B$3:$B$5001,$A$407)))</f>
        <v/>
      </c>
      <c r="L430" s="251" t="str">
        <f>IF(L$3="","",IF(COUNTIFS(BD!$A$3:$A$5001,L$3,BD!$B$3:$B$5001,$A$407,BD!$Y$3:$Y$5001,"&lt;&gt;")=0,"",SUMIFS(BD!$Y$3:$Y$5001,BD!$A$3:$A$5001,L$3,BD!$B$3:$B$5001,$A$407)))</f>
        <v/>
      </c>
      <c r="M430" s="251" t="str">
        <f>IF(M$3="","",IF(COUNTIFS(BD!$A$3:$A$5001,M$3,BD!$B$3:$B$5001,$A$407,BD!$Y$3:$Y$5001,"&lt;&gt;")=0,"",SUMIFS(BD!$Y$3:$Y$5001,BD!$A$3:$A$5001,M$3,BD!$B$3:$B$5001,$A$407)))</f>
        <v/>
      </c>
      <c r="N430" s="251" t="str">
        <f>IF(N$3="","",IF(COUNTIFS(BD!$A$3:$A$5001,N$3,BD!$B$3:$B$5001,$A$407,BD!$Y$3:$Y$5001,"&lt;&gt;")=0,"",SUMIFS(BD!$Y$3:$Y$5001,BD!$A$3:$A$5001,N$3,BD!$B$3:$B$5001,$A$407)))</f>
        <v/>
      </c>
      <c r="O430" s="251" t="str">
        <f>IF(O$3="","",IF(COUNTIFS(BD!$A$3:$A$5001,O$3,BD!$B$3:$B$5001,$A$407,BD!$Y$3:$Y$5001,"&lt;&gt;")=0,"",SUMIFS(BD!$Y$3:$Y$5001,BD!$A$3:$A$5001,O$3,BD!$B$3:$B$5001,$A$407)))</f>
        <v/>
      </c>
      <c r="P430" s="251" t="str">
        <f>IF(P$3="","",IF(COUNTIFS(BD!$A$3:$A$5001,P$3,BD!$B$3:$B$5001,$A$407,BD!$Y$3:$Y$5001,"&lt;&gt;")=0,"",SUMIFS(BD!$Y$3:$Y$5001,BD!$A$3:$A$5001,P$3,BD!$B$3:$B$5001,$A$407)))</f>
        <v/>
      </c>
      <c r="Q430" s="251" t="str">
        <f>IF(Q$3="","",IF(COUNTIFS(BD!$A$3:$A$5001,Q$3,BD!$B$3:$B$5001,$A$407,BD!$Y$3:$Y$5001,"&lt;&gt;")=0,"",SUMIFS(BD!$Y$3:$Y$5001,BD!$A$3:$A$5001,Q$3,BD!$B$3:$B$5001,$A$407)))</f>
        <v/>
      </c>
      <c r="R430" s="251" t="str">
        <f>IF(R$3="","",IF(COUNTIFS(BD!$A$3:$A$5001,R$3,BD!$B$3:$B$5001,$A$407,BD!$Y$3:$Y$5001,"&lt;&gt;")=0,"",SUMIFS(BD!$Y$3:$Y$5001,BD!$A$3:$A$5001,R$3,BD!$B$3:$B$5001,$A$407)))</f>
        <v/>
      </c>
      <c r="S430" s="251" t="str">
        <f>IF(S$3="","",IF(COUNTIFS(BD!$A$3:$A$5001,S$3,BD!$B$3:$B$5001,$A$407,BD!$Y$3:$Y$5001,"&lt;&gt;")=0,"",SUMIFS(BD!$Y$3:$Y$5001,BD!$A$3:$A$5001,S$3,BD!$B$3:$B$5001,$A$407)))</f>
        <v/>
      </c>
      <c r="T430" s="251" t="str">
        <f>IF(T$3="","",IF(COUNTIFS(BD!$A$3:$A$5001,T$3,BD!$B$3:$B$5001,$A$407,BD!$Y$3:$Y$5001,"&lt;&gt;")=0,"",SUMIFS(BD!$Y$3:$Y$5001,BD!$A$3:$A$5001,T$3,BD!$B$3:$B$5001,$A$407)))</f>
        <v/>
      </c>
      <c r="U430" s="251" t="str">
        <f>IF(U$3="","",IF(COUNTIFS(BD!$A$3:$A$5001,U$3,BD!$B$3:$B$5001,$A$407,BD!$Y$3:$Y$5001,"&lt;&gt;")=0,"",SUMIFS(BD!$Y$3:$Y$5001,BD!$A$3:$A$5001,U$3,BD!$B$3:$B$5001,$A$407)))</f>
        <v/>
      </c>
      <c r="V430" s="251" t="str">
        <f>IF(V$3="","",IF(COUNTIFS(BD!$A$3:$A$5001,V$3,BD!$B$3:$B$5001,$A$407,BD!$Y$3:$Y$5001,"&lt;&gt;")=0,"",SUMIFS(BD!$Y$3:$Y$5001,BD!$A$3:$A$5001,V$3,BD!$B$3:$B$5001,$A$407)))</f>
        <v/>
      </c>
      <c r="W430" s="251" t="str">
        <f>IF(W$3="","",IF(COUNTIFS(BD!$A$3:$A$5001,W$3,BD!$B$3:$B$5001,$A$407,BD!$Y$3:$Y$5001,"&lt;&gt;")=0,"",SUMIFS(BD!$Y$3:$Y$5001,BD!$A$3:$A$5001,W$3,BD!$B$3:$B$5001,$A$407)))</f>
        <v/>
      </c>
      <c r="X430" s="251" t="str">
        <f>IF(X$3="","",IF(COUNTIFS(BD!$A$3:$A$5001,X$3,BD!$B$3:$B$5001,$A$407,BD!$Y$3:$Y$5001,"&lt;&gt;")=0,"",SUMIFS(BD!$Y$3:$Y$5001,BD!$A$3:$A$5001,X$3,BD!$B$3:$B$5001,$A$407)))</f>
        <v/>
      </c>
      <c r="Y430" s="251" t="str">
        <f>IF(Y$3="","",IF(COUNTIFS(BD!$A$3:$A$5001,Y$3,BD!$B$3:$B$5001,$A$407,BD!$Y$3:$Y$5001,"&lt;&gt;")=0,"",SUMIFS(BD!$Y$3:$Y$5001,BD!$A$3:$A$5001,Y$3,BD!$B$3:$B$5001,$A$407)))</f>
        <v/>
      </c>
      <c r="Z430" s="251" t="str">
        <f>IF(Z$3="","",IF(COUNTIFS(BD!$A$3:$A$5001,Z$3,BD!$B$3:$B$5001,$A$407,BD!$Y$3:$Y$5001,"&lt;&gt;")=0,"",SUMIFS(BD!$Y$3:$Y$5001,BD!$A$3:$A$5001,Z$3,BD!$B$3:$B$5001,$A$407)))</f>
        <v/>
      </c>
      <c r="AA430" s="251" t="str">
        <f>IF(AA$3="","",IF(COUNTIFS(BD!$A$3:$A$5001,AA$3,BD!$B$3:$B$5001,$A$407,BD!$Y$3:$Y$5001,"&lt;&gt;")=0,"",SUMIFS(BD!$Y$3:$Y$5001,BD!$A$3:$A$5001,AA$3,BD!$B$3:$B$5001,$A$407)))</f>
        <v/>
      </c>
      <c r="AB430" s="251" t="str">
        <f>IF(AB$3="","",IF(COUNTIFS(BD!$A$3:$A$5001,AB$3,BD!$B$3:$B$5001,$A$407,BD!$Y$3:$Y$5001,"&lt;&gt;")=0,"",SUMIFS(BD!$Y$3:$Y$5001,BD!$A$3:$A$5001,AB$3,BD!$B$3:$B$5001,$A$407)))</f>
        <v/>
      </c>
      <c r="AC430" s="251" t="str">
        <f>IF(AC$3="","",IF(COUNTIFS(BD!$A$3:$A$5001,AC$3,BD!$B$3:$B$5001,$A$407,BD!$Y$3:$Y$5001,"&lt;&gt;")=0,"",SUMIFS(BD!$Y$3:$Y$5001,BD!$A$3:$A$5001,AC$3,BD!$B$3:$B$5001,$A$407)))</f>
        <v/>
      </c>
      <c r="AD430" s="251" t="str">
        <f>IF(AD$3="","",IF(COUNTIFS(BD!$A$3:$A$5001,AD$3,BD!$B$3:$B$5001,$A$407,BD!$Y$3:$Y$5001,"&lt;&gt;")=0,"",SUMIFS(BD!$Y$3:$Y$5001,BD!$A$3:$A$5001,AD$3,BD!$B$3:$B$5001,$A$407)))</f>
        <v/>
      </c>
      <c r="AE430" s="251" t="str">
        <f>IF(AE$3="","",IF(COUNTIFS(BD!$A$3:$A$5001,AE$3,BD!$B$3:$B$5001,$A$407,BD!$Y$3:$Y$5001,"&lt;&gt;")=0,"",SUMIFS(BD!$Y$3:$Y$5001,BD!$A$3:$A$5001,AE$3,BD!$B$3:$B$5001,$A$407)))</f>
        <v/>
      </c>
      <c r="AF430" s="251" t="str">
        <f>IF(AF$3="","",IF(COUNTIFS(BD!$A$3:$A$5001,AF$3,BD!$B$3:$B$5001,$A$407,BD!$Y$3:$Y$5001,"&lt;&gt;")=0,"",SUMIFS(BD!$Y$3:$Y$5001,BD!$A$3:$A$5001,AF$3,BD!$B$3:$B$5001,$A$407)))</f>
        <v/>
      </c>
      <c r="AG430" s="251" t="str">
        <f>IF(AG$3="","",IF(COUNTIFS(BD!$A$3:$A$5001,AG$3,BD!$B$3:$B$5001,$A$407,BD!$Y$3:$Y$5001,"&lt;&gt;")=0,"",SUMIFS(BD!$Y$3:$Y$5001,BD!$A$3:$A$5001,AG$3,BD!$B$3:$B$5001,$A$407)))</f>
        <v/>
      </c>
      <c r="AH430" s="251" t="str">
        <f>IF(AH$3="","",IF(COUNTIFS(BD!$A$3:$A$5001,AH$3,BD!$B$3:$B$5001,$A$407,BD!$Y$3:$Y$5001,"&lt;&gt;")=0,"",SUMIFS(BD!$Y$3:$Y$5001,BD!$A$3:$A$5001,AH$3,BD!$B$3:$B$5001,$A$407)))</f>
        <v/>
      </c>
      <c r="AI430" s="251" t="str">
        <f>IF(AI$3="","",IF(COUNTIFS(BD!$A$3:$A$5001,AI$3,BD!$B$3:$B$5001,$A$407,BD!$Y$3:$Y$5001,"&lt;&gt;")=0,"",SUMIFS(BD!$Y$3:$Y$5001,BD!$A$3:$A$5001,AI$3,BD!$B$3:$B$5001,$A$407)))</f>
        <v/>
      </c>
      <c r="AJ430" s="252" t="str">
        <f>IF(AJ$3="","",IF(COUNTIFS(BD!$A$3:$A$5001,AJ$3,BD!$B$3:$B$5001,$A$407,BD!$Y$3:$Y$5001,"&lt;&gt;")=0,"",SUMIFS(BD!$Y$3:$Y$5001,BD!$A$3:$A$5001,AJ$3,BD!$B$3:$B$5001,$A$407)))</f>
        <v/>
      </c>
      <c r="AK430" s="253" t="str">
        <f>IF(COUNT(F430:AJ430)=0,"",SUM(F430:AJ430))</f>
        <v/>
      </c>
    </row>
    <row r="431" ht="15.75" customHeight="1" hidden="1">
      <c r="A431" s="277"/>
      <c r="B431" s="274"/>
      <c r="C431" s="247" t="inlineStr">
        <is>
          <t xml:space="preserve">Desvios Comportamentais</t>
        </is>
      </c>
      <c r="D431" s="248" t="str">
        <f>IFERROR(1/(1/INDEX(BD!$AF$47:$AZ$47,MATCH($A$407,BD!$AF$22:$AZ$22,0))),"")</f>
        <v/>
      </c>
      <c r="E431" s="249"/>
      <c r="F431" s="250" t="str">
        <f>IF(F$3="","",IF(COUNTIFS(BD!$A$3:$A$5001,F$3,BD!$B$3:$B$5001,$A$407,BD!$Z$3:$Z$5001,"&lt;&gt;")=0,"",SUMIFS(BD!$Z$3:$Z$5001,BD!$A$3:$A$5001,F$3,BD!$B$3:$B$5001,$A$407)))</f>
        <v/>
      </c>
      <c r="G431" s="251" t="str">
        <f>IF(G$3="","",IF(COUNTIFS(BD!$A$3:$A$5001,G$3,BD!$B$3:$B$5001,$A$407,BD!$Z$3:$Z$5001,"&lt;&gt;")=0,"",SUMIFS(BD!$Z$3:$Z$5001,BD!$A$3:$A$5001,G$3,BD!$B$3:$B$5001,$A$407)))</f>
        <v/>
      </c>
      <c r="H431" s="251" t="str">
        <f>IF(H$3="","",IF(COUNTIFS(BD!$A$3:$A$5001,H$3,BD!$B$3:$B$5001,$A$407,BD!$Z$3:$Z$5001,"&lt;&gt;")=0,"",SUMIFS(BD!$Z$3:$Z$5001,BD!$A$3:$A$5001,H$3,BD!$B$3:$B$5001,$A$407)))</f>
        <v/>
      </c>
      <c r="I431" s="251" t="str">
        <f>IF(I$3="","",IF(COUNTIFS(BD!$A$3:$A$5001,I$3,BD!$B$3:$B$5001,$A$407,BD!$Z$3:$Z$5001,"&lt;&gt;")=0,"",SUMIFS(BD!$Z$3:$Z$5001,BD!$A$3:$A$5001,I$3,BD!$B$3:$B$5001,$A$407)))</f>
        <v/>
      </c>
      <c r="J431" s="251" t="str">
        <f>IF(J$3="","",IF(COUNTIFS(BD!$A$3:$A$5001,J$3,BD!$B$3:$B$5001,$A$407,BD!$Z$3:$Z$5001,"&lt;&gt;")=0,"",SUMIFS(BD!$Z$3:$Z$5001,BD!$A$3:$A$5001,J$3,BD!$B$3:$B$5001,$A$407)))</f>
        <v/>
      </c>
      <c r="K431" s="251" t="str">
        <f>IF(K$3="","",IF(COUNTIFS(BD!$A$3:$A$5001,K$3,BD!$B$3:$B$5001,$A$407,BD!$Z$3:$Z$5001,"&lt;&gt;")=0,"",SUMIFS(BD!$Z$3:$Z$5001,BD!$A$3:$A$5001,K$3,BD!$B$3:$B$5001,$A$407)))</f>
        <v/>
      </c>
      <c r="L431" s="251" t="str">
        <f>IF(L$3="","",IF(COUNTIFS(BD!$A$3:$A$5001,L$3,BD!$B$3:$B$5001,$A$407,BD!$Z$3:$Z$5001,"&lt;&gt;")=0,"",SUMIFS(BD!$Z$3:$Z$5001,BD!$A$3:$A$5001,L$3,BD!$B$3:$B$5001,$A$407)))</f>
        <v/>
      </c>
      <c r="M431" s="251" t="str">
        <f>IF(M$3="","",IF(COUNTIFS(BD!$A$3:$A$5001,M$3,BD!$B$3:$B$5001,$A$407,BD!$Z$3:$Z$5001,"&lt;&gt;")=0,"",SUMIFS(BD!$Z$3:$Z$5001,BD!$A$3:$A$5001,M$3,BD!$B$3:$B$5001,$A$407)))</f>
        <v/>
      </c>
      <c r="N431" s="251" t="str">
        <f>IF(N$3="","",IF(COUNTIFS(BD!$A$3:$A$5001,N$3,BD!$B$3:$B$5001,$A$407,BD!$Z$3:$Z$5001,"&lt;&gt;")=0,"",SUMIFS(BD!$Z$3:$Z$5001,BD!$A$3:$A$5001,N$3,BD!$B$3:$B$5001,$A$407)))</f>
        <v/>
      </c>
      <c r="O431" s="251" t="str">
        <f>IF(O$3="","",IF(COUNTIFS(BD!$A$3:$A$5001,O$3,BD!$B$3:$B$5001,$A$407,BD!$Z$3:$Z$5001,"&lt;&gt;")=0,"",SUMIFS(BD!$Z$3:$Z$5001,BD!$A$3:$A$5001,O$3,BD!$B$3:$B$5001,$A$407)))</f>
        <v/>
      </c>
      <c r="P431" s="251" t="str">
        <f>IF(P$3="","",IF(COUNTIFS(BD!$A$3:$A$5001,P$3,BD!$B$3:$B$5001,$A$407,BD!$Z$3:$Z$5001,"&lt;&gt;")=0,"",SUMIFS(BD!$Z$3:$Z$5001,BD!$A$3:$A$5001,P$3,BD!$B$3:$B$5001,$A$407)))</f>
        <v/>
      </c>
      <c r="Q431" s="251" t="str">
        <f>IF(Q$3="","",IF(COUNTIFS(BD!$A$3:$A$5001,Q$3,BD!$B$3:$B$5001,$A$407,BD!$Z$3:$Z$5001,"&lt;&gt;")=0,"",SUMIFS(BD!$Z$3:$Z$5001,BD!$A$3:$A$5001,Q$3,BD!$B$3:$B$5001,$A$407)))</f>
        <v/>
      </c>
      <c r="R431" s="251" t="str">
        <f>IF(R$3="","",IF(COUNTIFS(BD!$A$3:$A$5001,R$3,BD!$B$3:$B$5001,$A$407,BD!$Z$3:$Z$5001,"&lt;&gt;")=0,"",SUMIFS(BD!$Z$3:$Z$5001,BD!$A$3:$A$5001,R$3,BD!$B$3:$B$5001,$A$407)))</f>
        <v/>
      </c>
      <c r="S431" s="251" t="str">
        <f>IF(S$3="","",IF(COUNTIFS(BD!$A$3:$A$5001,S$3,BD!$B$3:$B$5001,$A$407,BD!$Z$3:$Z$5001,"&lt;&gt;")=0,"",SUMIFS(BD!$Z$3:$Z$5001,BD!$A$3:$A$5001,S$3,BD!$B$3:$B$5001,$A$407)))</f>
        <v/>
      </c>
      <c r="T431" s="251" t="str">
        <f>IF(T$3="","",IF(COUNTIFS(BD!$A$3:$A$5001,T$3,BD!$B$3:$B$5001,$A$407,BD!$Z$3:$Z$5001,"&lt;&gt;")=0,"",SUMIFS(BD!$Z$3:$Z$5001,BD!$A$3:$A$5001,T$3,BD!$B$3:$B$5001,$A$407)))</f>
        <v/>
      </c>
      <c r="U431" s="251" t="str">
        <f>IF(U$3="","",IF(COUNTIFS(BD!$A$3:$A$5001,U$3,BD!$B$3:$B$5001,$A$407,BD!$Z$3:$Z$5001,"&lt;&gt;")=0,"",SUMIFS(BD!$Z$3:$Z$5001,BD!$A$3:$A$5001,U$3,BD!$B$3:$B$5001,$A$407)))</f>
        <v/>
      </c>
      <c r="V431" s="251" t="str">
        <f>IF(V$3="","",IF(COUNTIFS(BD!$A$3:$A$5001,V$3,BD!$B$3:$B$5001,$A$407,BD!$Z$3:$Z$5001,"&lt;&gt;")=0,"",SUMIFS(BD!$Z$3:$Z$5001,BD!$A$3:$A$5001,V$3,BD!$B$3:$B$5001,$A$407)))</f>
        <v/>
      </c>
      <c r="W431" s="251" t="str">
        <f>IF(W$3="","",IF(COUNTIFS(BD!$A$3:$A$5001,W$3,BD!$B$3:$B$5001,$A$407,BD!$Z$3:$Z$5001,"&lt;&gt;")=0,"",SUMIFS(BD!$Z$3:$Z$5001,BD!$A$3:$A$5001,W$3,BD!$B$3:$B$5001,$A$407)))</f>
        <v/>
      </c>
      <c r="X431" s="251" t="str">
        <f>IF(X$3="","",IF(COUNTIFS(BD!$A$3:$A$5001,X$3,BD!$B$3:$B$5001,$A$407,BD!$Z$3:$Z$5001,"&lt;&gt;")=0,"",SUMIFS(BD!$Z$3:$Z$5001,BD!$A$3:$A$5001,X$3,BD!$B$3:$B$5001,$A$407)))</f>
        <v/>
      </c>
      <c r="Y431" s="251" t="str">
        <f>IF(Y$3="","",IF(COUNTIFS(BD!$A$3:$A$5001,Y$3,BD!$B$3:$B$5001,$A$407,BD!$Z$3:$Z$5001,"&lt;&gt;")=0,"",SUMIFS(BD!$Z$3:$Z$5001,BD!$A$3:$A$5001,Y$3,BD!$B$3:$B$5001,$A$407)))</f>
        <v/>
      </c>
      <c r="Z431" s="251" t="str">
        <f>IF(Z$3="","",IF(COUNTIFS(BD!$A$3:$A$5001,Z$3,BD!$B$3:$B$5001,$A$407,BD!$Z$3:$Z$5001,"&lt;&gt;")=0,"",SUMIFS(BD!$Z$3:$Z$5001,BD!$A$3:$A$5001,Z$3,BD!$B$3:$B$5001,$A$407)))</f>
        <v/>
      </c>
      <c r="AA431" s="251" t="str">
        <f>IF(AA$3="","",IF(COUNTIFS(BD!$A$3:$A$5001,AA$3,BD!$B$3:$B$5001,$A$407,BD!$Z$3:$Z$5001,"&lt;&gt;")=0,"",SUMIFS(BD!$Z$3:$Z$5001,BD!$A$3:$A$5001,AA$3,BD!$B$3:$B$5001,$A$407)))</f>
        <v/>
      </c>
      <c r="AB431" s="251" t="str">
        <f>IF(AB$3="","",IF(COUNTIFS(BD!$A$3:$A$5001,AB$3,BD!$B$3:$B$5001,$A$407,BD!$Z$3:$Z$5001,"&lt;&gt;")=0,"",SUMIFS(BD!$Z$3:$Z$5001,BD!$A$3:$A$5001,AB$3,BD!$B$3:$B$5001,$A$407)))</f>
        <v/>
      </c>
      <c r="AC431" s="251" t="str">
        <f>IF(AC$3="","",IF(COUNTIFS(BD!$A$3:$A$5001,AC$3,BD!$B$3:$B$5001,$A$407,BD!$Z$3:$Z$5001,"&lt;&gt;")=0,"",SUMIFS(BD!$Z$3:$Z$5001,BD!$A$3:$A$5001,AC$3,BD!$B$3:$B$5001,$A$407)))</f>
        <v/>
      </c>
      <c r="AD431" s="251" t="str">
        <f>IF(AD$3="","",IF(COUNTIFS(BD!$A$3:$A$5001,AD$3,BD!$B$3:$B$5001,$A$407,BD!$Z$3:$Z$5001,"&lt;&gt;")=0,"",SUMIFS(BD!$Z$3:$Z$5001,BD!$A$3:$A$5001,AD$3,BD!$B$3:$B$5001,$A$407)))</f>
        <v/>
      </c>
      <c r="AE431" s="251" t="str">
        <f>IF(AE$3="","",IF(COUNTIFS(BD!$A$3:$A$5001,AE$3,BD!$B$3:$B$5001,$A$407,BD!$Z$3:$Z$5001,"&lt;&gt;")=0,"",SUMIFS(BD!$Z$3:$Z$5001,BD!$A$3:$A$5001,AE$3,BD!$B$3:$B$5001,$A$407)))</f>
        <v/>
      </c>
      <c r="AF431" s="251" t="str">
        <f>IF(AF$3="","",IF(COUNTIFS(BD!$A$3:$A$5001,AF$3,BD!$B$3:$B$5001,$A$407,BD!$Z$3:$Z$5001,"&lt;&gt;")=0,"",SUMIFS(BD!$Z$3:$Z$5001,BD!$A$3:$A$5001,AF$3,BD!$B$3:$B$5001,$A$407)))</f>
        <v/>
      </c>
      <c r="AG431" s="251" t="str">
        <f>IF(AG$3="","",IF(COUNTIFS(BD!$A$3:$A$5001,AG$3,BD!$B$3:$B$5001,$A$407,BD!$Z$3:$Z$5001,"&lt;&gt;")=0,"",SUMIFS(BD!$Z$3:$Z$5001,BD!$A$3:$A$5001,AG$3,BD!$B$3:$B$5001,$A$407)))</f>
        <v/>
      </c>
      <c r="AH431" s="251" t="str">
        <f>IF(AH$3="","",IF(COUNTIFS(BD!$A$3:$A$5001,AH$3,BD!$B$3:$B$5001,$A$407,BD!$Z$3:$Z$5001,"&lt;&gt;")=0,"",SUMIFS(BD!$Z$3:$Z$5001,BD!$A$3:$A$5001,AH$3,BD!$B$3:$B$5001,$A$407)))</f>
        <v/>
      </c>
      <c r="AI431" s="251" t="str">
        <f>IF(AI$3="","",IF(COUNTIFS(BD!$A$3:$A$5001,AI$3,BD!$B$3:$B$5001,$A$407,BD!$Z$3:$Z$5001,"&lt;&gt;")=0,"",SUMIFS(BD!$Z$3:$Z$5001,BD!$A$3:$A$5001,AI$3,BD!$B$3:$B$5001,$A$407)))</f>
        <v/>
      </c>
      <c r="AJ431" s="252" t="str">
        <f>IF(AJ$3="","",IF(COUNTIFS(BD!$A$3:$A$5001,AJ$3,BD!$B$3:$B$5001,$A$407,BD!$Z$3:$Z$5001,"&lt;&gt;")=0,"",SUMIFS(BD!$Z$3:$Z$5001,BD!$A$3:$A$5001,AJ$3,BD!$B$3:$B$5001,$A$407)))</f>
        <v/>
      </c>
      <c r="AK431" s="253" t="str">
        <f>IF(COUNT(F431:AJ431)=0,"",SUM(F431:AJ431))</f>
        <v/>
      </c>
    </row>
    <row r="432" ht="15.75" customHeight="1" hidden="1">
      <c r="A432" s="277"/>
      <c r="B432" s="274"/>
      <c r="C432" s="247" t="inlineStr">
        <is>
          <t xml:space="preserve">Acidentes CAF</t>
        </is>
      </c>
      <c r="D432" s="248" t="str">
        <f>IFERROR(1/(1/INDEX(BD!$AF$48:$AZ$48,MATCH($A$407,BD!$AF$22:$AZ$22,0))),"")</f>
        <v/>
      </c>
      <c r="E432" s="249"/>
      <c r="F432" s="250" t="str">
        <f>IF(F$3="","",IF(COUNTIFS(BD!$A$3:$A$5001,F$3,BD!$B$3:$B$5001,$A$407,BD!$AA$3:$AA$5001,"&lt;&gt;")=0,"",SUMIFS(BD!$AA$3:$AA$5001,BD!$A$3:$A$5001,F$3,BD!$B$3:$B$5001,$A$407)))</f>
        <v/>
      </c>
      <c r="G432" s="251" t="str">
        <f>IF(G$3="","",IF(COUNTIFS(BD!$A$3:$A$5001,G$3,BD!$B$3:$B$5001,$A$407,BD!$AA$3:$AA$5001,"&lt;&gt;")=0,"",SUMIFS(BD!$AA$3:$AA$5001,BD!$A$3:$A$5001,G$3,BD!$B$3:$B$5001,$A$407)))</f>
        <v/>
      </c>
      <c r="H432" s="251" t="str">
        <f>IF(H$3="","",IF(COUNTIFS(BD!$A$3:$A$5001,H$3,BD!$B$3:$B$5001,$A$407,BD!$AA$3:$AA$5001,"&lt;&gt;")=0,"",SUMIFS(BD!$AA$3:$AA$5001,BD!$A$3:$A$5001,H$3,BD!$B$3:$B$5001,$A$407)))</f>
        <v/>
      </c>
      <c r="I432" s="251" t="str">
        <f>IF(I$3="","",IF(COUNTIFS(BD!$A$3:$A$5001,I$3,BD!$B$3:$B$5001,$A$407,BD!$AA$3:$AA$5001,"&lt;&gt;")=0,"",SUMIFS(BD!$AA$3:$AA$5001,BD!$A$3:$A$5001,I$3,BD!$B$3:$B$5001,$A$407)))</f>
        <v/>
      </c>
      <c r="J432" s="251" t="str">
        <f>IF(J$3="","",IF(COUNTIFS(BD!$A$3:$A$5001,J$3,BD!$B$3:$B$5001,$A$407,BD!$AA$3:$AA$5001,"&lt;&gt;")=0,"",SUMIFS(BD!$AA$3:$AA$5001,BD!$A$3:$A$5001,J$3,BD!$B$3:$B$5001,$A$407)))</f>
        <v/>
      </c>
      <c r="K432" s="251" t="str">
        <f>IF(K$3="","",IF(COUNTIFS(BD!$A$3:$A$5001,K$3,BD!$B$3:$B$5001,$A$407,BD!$AA$3:$AA$5001,"&lt;&gt;")=0,"",SUMIFS(BD!$AA$3:$AA$5001,BD!$A$3:$A$5001,K$3,BD!$B$3:$B$5001,$A$407)))</f>
        <v/>
      </c>
      <c r="L432" s="251" t="str">
        <f>IF(L$3="","",IF(COUNTIFS(BD!$A$3:$A$5001,L$3,BD!$B$3:$B$5001,$A$407,BD!$AA$3:$AA$5001,"&lt;&gt;")=0,"",SUMIFS(BD!$AA$3:$AA$5001,BD!$A$3:$A$5001,L$3,BD!$B$3:$B$5001,$A$407)))</f>
        <v/>
      </c>
      <c r="M432" s="251" t="str">
        <f>IF(M$3="","",IF(COUNTIFS(BD!$A$3:$A$5001,M$3,BD!$B$3:$B$5001,$A$407,BD!$AA$3:$AA$5001,"&lt;&gt;")=0,"",SUMIFS(BD!$AA$3:$AA$5001,BD!$A$3:$A$5001,M$3,BD!$B$3:$B$5001,$A$407)))</f>
        <v/>
      </c>
      <c r="N432" s="251" t="str">
        <f>IF(N$3="","",IF(COUNTIFS(BD!$A$3:$A$5001,N$3,BD!$B$3:$B$5001,$A$407,BD!$AA$3:$AA$5001,"&lt;&gt;")=0,"",SUMIFS(BD!$AA$3:$AA$5001,BD!$A$3:$A$5001,N$3,BD!$B$3:$B$5001,$A$407)))</f>
        <v/>
      </c>
      <c r="O432" s="251" t="str">
        <f>IF(O$3="","",IF(COUNTIFS(BD!$A$3:$A$5001,O$3,BD!$B$3:$B$5001,$A$407,BD!$AA$3:$AA$5001,"&lt;&gt;")=0,"",SUMIFS(BD!$AA$3:$AA$5001,BD!$A$3:$A$5001,O$3,BD!$B$3:$B$5001,$A$407)))</f>
        <v/>
      </c>
      <c r="P432" s="251" t="str">
        <f>IF(P$3="","",IF(COUNTIFS(BD!$A$3:$A$5001,P$3,BD!$B$3:$B$5001,$A$407,BD!$AA$3:$AA$5001,"&lt;&gt;")=0,"",SUMIFS(BD!$AA$3:$AA$5001,BD!$A$3:$A$5001,P$3,BD!$B$3:$B$5001,$A$407)))</f>
        <v/>
      </c>
      <c r="Q432" s="251" t="str">
        <f>IF(Q$3="","",IF(COUNTIFS(BD!$A$3:$A$5001,Q$3,BD!$B$3:$B$5001,$A$407,BD!$AA$3:$AA$5001,"&lt;&gt;")=0,"",SUMIFS(BD!$AA$3:$AA$5001,BD!$A$3:$A$5001,Q$3,BD!$B$3:$B$5001,$A$407)))</f>
        <v/>
      </c>
      <c r="R432" s="251" t="str">
        <f>IF(R$3="","",IF(COUNTIFS(BD!$A$3:$A$5001,R$3,BD!$B$3:$B$5001,$A$407,BD!$AA$3:$AA$5001,"&lt;&gt;")=0,"",SUMIFS(BD!$AA$3:$AA$5001,BD!$A$3:$A$5001,R$3,BD!$B$3:$B$5001,$A$407)))</f>
        <v/>
      </c>
      <c r="S432" s="251" t="str">
        <f>IF(S$3="","",IF(COUNTIFS(BD!$A$3:$A$5001,S$3,BD!$B$3:$B$5001,$A$407,BD!$AA$3:$AA$5001,"&lt;&gt;")=0,"",SUMIFS(BD!$AA$3:$AA$5001,BD!$A$3:$A$5001,S$3,BD!$B$3:$B$5001,$A$407)))</f>
        <v/>
      </c>
      <c r="T432" s="251" t="str">
        <f>IF(T$3="","",IF(COUNTIFS(BD!$A$3:$A$5001,T$3,BD!$B$3:$B$5001,$A$407,BD!$AA$3:$AA$5001,"&lt;&gt;")=0,"",SUMIFS(BD!$AA$3:$AA$5001,BD!$A$3:$A$5001,T$3,BD!$B$3:$B$5001,$A$407)))</f>
        <v/>
      </c>
      <c r="U432" s="251" t="str">
        <f>IF(U$3="","",IF(COUNTIFS(BD!$A$3:$A$5001,U$3,BD!$B$3:$B$5001,$A$407,BD!$AA$3:$AA$5001,"&lt;&gt;")=0,"",SUMIFS(BD!$AA$3:$AA$5001,BD!$A$3:$A$5001,U$3,BD!$B$3:$B$5001,$A$407)))</f>
        <v/>
      </c>
      <c r="V432" s="251" t="str">
        <f>IF(V$3="","",IF(COUNTIFS(BD!$A$3:$A$5001,V$3,BD!$B$3:$B$5001,$A$407,BD!$AA$3:$AA$5001,"&lt;&gt;")=0,"",SUMIFS(BD!$AA$3:$AA$5001,BD!$A$3:$A$5001,V$3,BD!$B$3:$B$5001,$A$407)))</f>
        <v/>
      </c>
      <c r="W432" s="251" t="str">
        <f>IF(W$3="","",IF(COUNTIFS(BD!$A$3:$A$5001,W$3,BD!$B$3:$B$5001,$A$407,BD!$AA$3:$AA$5001,"&lt;&gt;")=0,"",SUMIFS(BD!$AA$3:$AA$5001,BD!$A$3:$A$5001,W$3,BD!$B$3:$B$5001,$A$407)))</f>
        <v/>
      </c>
      <c r="X432" s="251" t="str">
        <f>IF(X$3="","",IF(COUNTIFS(BD!$A$3:$A$5001,X$3,BD!$B$3:$B$5001,$A$407,BD!$AA$3:$AA$5001,"&lt;&gt;")=0,"",SUMIFS(BD!$AA$3:$AA$5001,BD!$A$3:$A$5001,X$3,BD!$B$3:$B$5001,$A$407)))</f>
        <v/>
      </c>
      <c r="Y432" s="251" t="str">
        <f>IF(Y$3="","",IF(COUNTIFS(BD!$A$3:$A$5001,Y$3,BD!$B$3:$B$5001,$A$407,BD!$AA$3:$AA$5001,"&lt;&gt;")=0,"",SUMIFS(BD!$AA$3:$AA$5001,BD!$A$3:$A$5001,Y$3,BD!$B$3:$B$5001,$A$407)))</f>
        <v/>
      </c>
      <c r="Z432" s="251" t="str">
        <f>IF(Z$3="","",IF(COUNTIFS(BD!$A$3:$A$5001,Z$3,BD!$B$3:$B$5001,$A$407,BD!$AA$3:$AA$5001,"&lt;&gt;")=0,"",SUMIFS(BD!$AA$3:$AA$5001,BD!$A$3:$A$5001,Z$3,BD!$B$3:$B$5001,$A$407)))</f>
        <v/>
      </c>
      <c r="AA432" s="251" t="str">
        <f>IF(AA$3="","",IF(COUNTIFS(BD!$A$3:$A$5001,AA$3,BD!$B$3:$B$5001,$A$407,BD!$AA$3:$AA$5001,"&lt;&gt;")=0,"",SUMIFS(BD!$AA$3:$AA$5001,BD!$A$3:$A$5001,AA$3,BD!$B$3:$B$5001,$A$407)))</f>
        <v/>
      </c>
      <c r="AB432" s="251" t="str">
        <f>IF(AB$3="","",IF(COUNTIFS(BD!$A$3:$A$5001,AB$3,BD!$B$3:$B$5001,$A$407,BD!$AA$3:$AA$5001,"&lt;&gt;")=0,"",SUMIFS(BD!$AA$3:$AA$5001,BD!$A$3:$A$5001,AB$3,BD!$B$3:$B$5001,$A$407)))</f>
        <v/>
      </c>
      <c r="AC432" s="251" t="str">
        <f>IF(AC$3="","",IF(COUNTIFS(BD!$A$3:$A$5001,AC$3,BD!$B$3:$B$5001,$A$407,BD!$AA$3:$AA$5001,"&lt;&gt;")=0,"",SUMIFS(BD!$AA$3:$AA$5001,BD!$A$3:$A$5001,AC$3,BD!$B$3:$B$5001,$A$407)))</f>
        <v/>
      </c>
      <c r="AD432" s="251" t="str">
        <f>IF(AD$3="","",IF(COUNTIFS(BD!$A$3:$A$5001,AD$3,BD!$B$3:$B$5001,$A$407,BD!$AA$3:$AA$5001,"&lt;&gt;")=0,"",SUMIFS(BD!$AA$3:$AA$5001,BD!$A$3:$A$5001,AD$3,BD!$B$3:$B$5001,$A$407)))</f>
        <v/>
      </c>
      <c r="AE432" s="251" t="str">
        <f>IF(AE$3="","",IF(COUNTIFS(BD!$A$3:$A$5001,AE$3,BD!$B$3:$B$5001,$A$407,BD!$AA$3:$AA$5001,"&lt;&gt;")=0,"",SUMIFS(BD!$AA$3:$AA$5001,BD!$A$3:$A$5001,AE$3,BD!$B$3:$B$5001,$A$407)))</f>
        <v/>
      </c>
      <c r="AF432" s="251" t="str">
        <f>IF(AF$3="","",IF(COUNTIFS(BD!$A$3:$A$5001,AF$3,BD!$B$3:$B$5001,$A$407,BD!$AA$3:$AA$5001,"&lt;&gt;")=0,"",SUMIFS(BD!$AA$3:$AA$5001,BD!$A$3:$A$5001,AF$3,BD!$B$3:$B$5001,$A$407)))</f>
        <v/>
      </c>
      <c r="AG432" s="251" t="str">
        <f>IF(AG$3="","",IF(COUNTIFS(BD!$A$3:$A$5001,AG$3,BD!$B$3:$B$5001,$A$407,BD!$AA$3:$AA$5001,"&lt;&gt;")=0,"",SUMIFS(BD!$AA$3:$AA$5001,BD!$A$3:$A$5001,AG$3,BD!$B$3:$B$5001,$A$407)))</f>
        <v/>
      </c>
      <c r="AH432" s="251" t="str">
        <f>IF(AH$3="","",IF(COUNTIFS(BD!$A$3:$A$5001,AH$3,BD!$B$3:$B$5001,$A$407,BD!$AA$3:$AA$5001,"&lt;&gt;")=0,"",SUMIFS(BD!$AA$3:$AA$5001,BD!$A$3:$A$5001,AH$3,BD!$B$3:$B$5001,$A$407)))</f>
        <v/>
      </c>
      <c r="AI432" s="251" t="str">
        <f>IF(AI$3="","",IF(COUNTIFS(BD!$A$3:$A$5001,AI$3,BD!$B$3:$B$5001,$A$407,BD!$AA$3:$AA$5001,"&lt;&gt;")=0,"",SUMIFS(BD!$AA$3:$AA$5001,BD!$A$3:$A$5001,AI$3,BD!$B$3:$B$5001,$A$407)))</f>
        <v/>
      </c>
      <c r="AJ432" s="252" t="str">
        <f>IF(AJ$3="","",IF(COUNTIFS(BD!$A$3:$A$5001,AJ$3,BD!$B$3:$B$5001,$A$407,BD!$AA$3:$AA$5001,"&lt;&gt;")=0,"",SUMIFS(BD!$AA$3:$AA$5001,BD!$A$3:$A$5001,AJ$3,BD!$B$3:$B$5001,$A$407)))</f>
        <v/>
      </c>
      <c r="AK432" s="253" t="str">
        <f>IF(COUNT(F432:AJ432)=0,"",SUM(F432:AJ432))</f>
        <v/>
      </c>
    </row>
    <row r="433" ht="15.75" customHeight="1" hidden="1">
      <c r="A433" s="278"/>
      <c r="B433" s="275"/>
      <c r="C433" s="258" t="inlineStr">
        <is>
          <t xml:space="preserve">Acidentes SAF</t>
        </is>
      </c>
      <c r="D433" s="259" t="str">
        <f>IFERROR(1/(1/INDEX(BD!$AF$49:$AZ$49,MATCH($A$407,BD!$AF$22:$AZ$22,0))),"")</f>
        <v/>
      </c>
      <c r="E433" s="260"/>
      <c r="F433" s="261" t="str">
        <f>IF(F$3="","",IF(COUNTIFS(BD!$A$3:$A$5001,F$3,BD!$B$3:$B$5001,$A$407,BD!$AB$3:$AB$5001,"&lt;&gt;")=0,"",SUMIFS(BD!$AB$3:$AB$5001,BD!$A$3:$A$5001,F$3,BD!$B$3:$B$5001,$A$407)))</f>
        <v/>
      </c>
      <c r="G433" s="262" t="str">
        <f>IF(G$3="","",IF(COUNTIFS(BD!$A$3:$A$5001,G$3,BD!$B$3:$B$5001,$A$407,BD!$AB$3:$AB$5001,"&lt;&gt;")=0,"",SUMIFS(BD!$AB$3:$AB$5001,BD!$A$3:$A$5001,G$3,BD!$B$3:$B$5001,$A$407)))</f>
        <v/>
      </c>
      <c r="H433" s="262" t="str">
        <f>IF(H$3="","",IF(COUNTIFS(BD!$A$3:$A$5001,H$3,BD!$B$3:$B$5001,$A$407,BD!$AB$3:$AB$5001,"&lt;&gt;")=0,"",SUMIFS(BD!$AB$3:$AB$5001,BD!$A$3:$A$5001,H$3,BD!$B$3:$B$5001,$A$407)))</f>
        <v/>
      </c>
      <c r="I433" s="262" t="str">
        <f>IF(I$3="","",IF(COUNTIFS(BD!$A$3:$A$5001,I$3,BD!$B$3:$B$5001,$A$407,BD!$AB$3:$AB$5001,"&lt;&gt;")=0,"",SUMIFS(BD!$AB$3:$AB$5001,BD!$A$3:$A$5001,I$3,BD!$B$3:$B$5001,$A$407)))</f>
        <v/>
      </c>
      <c r="J433" s="262" t="str">
        <f>IF(J$3="","",IF(COUNTIFS(BD!$A$3:$A$5001,J$3,BD!$B$3:$B$5001,$A$407,BD!$AB$3:$AB$5001,"&lt;&gt;")=0,"",SUMIFS(BD!$AB$3:$AB$5001,BD!$A$3:$A$5001,J$3,BD!$B$3:$B$5001,$A$407)))</f>
        <v/>
      </c>
      <c r="K433" s="262" t="str">
        <f>IF(K$3="","",IF(COUNTIFS(BD!$A$3:$A$5001,K$3,BD!$B$3:$B$5001,$A$407,BD!$AB$3:$AB$5001,"&lt;&gt;")=0,"",SUMIFS(BD!$AB$3:$AB$5001,BD!$A$3:$A$5001,K$3,BD!$B$3:$B$5001,$A$407)))</f>
        <v/>
      </c>
      <c r="L433" s="262" t="str">
        <f>IF(L$3="","",IF(COUNTIFS(BD!$A$3:$A$5001,L$3,BD!$B$3:$B$5001,$A$407,BD!$AB$3:$AB$5001,"&lt;&gt;")=0,"",SUMIFS(BD!$AB$3:$AB$5001,BD!$A$3:$A$5001,L$3,BD!$B$3:$B$5001,$A$407)))</f>
        <v/>
      </c>
      <c r="M433" s="262" t="str">
        <f>IF(M$3="","",IF(COUNTIFS(BD!$A$3:$A$5001,M$3,BD!$B$3:$B$5001,$A$407,BD!$AB$3:$AB$5001,"&lt;&gt;")=0,"",SUMIFS(BD!$AB$3:$AB$5001,BD!$A$3:$A$5001,M$3,BD!$B$3:$B$5001,$A$407)))</f>
        <v/>
      </c>
      <c r="N433" s="262" t="str">
        <f>IF(N$3="","",IF(COUNTIFS(BD!$A$3:$A$5001,N$3,BD!$B$3:$B$5001,$A$407,BD!$AB$3:$AB$5001,"&lt;&gt;")=0,"",SUMIFS(BD!$AB$3:$AB$5001,BD!$A$3:$A$5001,N$3,BD!$B$3:$B$5001,$A$407)))</f>
        <v/>
      </c>
      <c r="O433" s="262" t="str">
        <f>IF(O$3="","",IF(COUNTIFS(BD!$A$3:$A$5001,O$3,BD!$B$3:$B$5001,$A$407,BD!$AB$3:$AB$5001,"&lt;&gt;")=0,"",SUMIFS(BD!$AB$3:$AB$5001,BD!$A$3:$A$5001,O$3,BD!$B$3:$B$5001,$A$407)))</f>
        <v/>
      </c>
      <c r="P433" s="262" t="str">
        <f>IF(P$3="","",IF(COUNTIFS(BD!$A$3:$A$5001,P$3,BD!$B$3:$B$5001,$A$407,BD!$AB$3:$AB$5001,"&lt;&gt;")=0,"",SUMIFS(BD!$AB$3:$AB$5001,BD!$A$3:$A$5001,P$3,BD!$B$3:$B$5001,$A$407)))</f>
        <v/>
      </c>
      <c r="Q433" s="262" t="str">
        <f>IF(Q$3="","",IF(COUNTIFS(BD!$A$3:$A$5001,Q$3,BD!$B$3:$B$5001,$A$407,BD!$AB$3:$AB$5001,"&lt;&gt;")=0,"",SUMIFS(BD!$AB$3:$AB$5001,BD!$A$3:$A$5001,Q$3,BD!$B$3:$B$5001,$A$407)))</f>
        <v/>
      </c>
      <c r="R433" s="262" t="str">
        <f>IF(R$3="","",IF(COUNTIFS(BD!$A$3:$A$5001,R$3,BD!$B$3:$B$5001,$A$407,BD!$AB$3:$AB$5001,"&lt;&gt;")=0,"",SUMIFS(BD!$AB$3:$AB$5001,BD!$A$3:$A$5001,R$3,BD!$B$3:$B$5001,$A$407)))</f>
        <v/>
      </c>
      <c r="S433" s="262" t="str">
        <f>IF(S$3="","",IF(COUNTIFS(BD!$A$3:$A$5001,S$3,BD!$B$3:$B$5001,$A$407,BD!$AB$3:$AB$5001,"&lt;&gt;")=0,"",SUMIFS(BD!$AB$3:$AB$5001,BD!$A$3:$A$5001,S$3,BD!$B$3:$B$5001,$A$407)))</f>
        <v/>
      </c>
      <c r="T433" s="262" t="str">
        <f>IF(T$3="","",IF(COUNTIFS(BD!$A$3:$A$5001,T$3,BD!$B$3:$B$5001,$A$407,BD!$AB$3:$AB$5001,"&lt;&gt;")=0,"",SUMIFS(BD!$AB$3:$AB$5001,BD!$A$3:$A$5001,T$3,BD!$B$3:$B$5001,$A$407)))</f>
        <v/>
      </c>
      <c r="U433" s="262" t="str">
        <f>IF(U$3="","",IF(COUNTIFS(BD!$A$3:$A$5001,U$3,BD!$B$3:$B$5001,$A$407,BD!$AB$3:$AB$5001,"&lt;&gt;")=0,"",SUMIFS(BD!$AB$3:$AB$5001,BD!$A$3:$A$5001,U$3,BD!$B$3:$B$5001,$A$407)))</f>
        <v/>
      </c>
      <c r="V433" s="262" t="str">
        <f>IF(V$3="","",IF(COUNTIFS(BD!$A$3:$A$5001,V$3,BD!$B$3:$B$5001,$A$407,BD!$AB$3:$AB$5001,"&lt;&gt;")=0,"",SUMIFS(BD!$AB$3:$AB$5001,BD!$A$3:$A$5001,V$3,BD!$B$3:$B$5001,$A$407)))</f>
        <v/>
      </c>
      <c r="W433" s="262" t="str">
        <f>IF(W$3="","",IF(COUNTIFS(BD!$A$3:$A$5001,W$3,BD!$B$3:$B$5001,$A$407,BD!$AB$3:$AB$5001,"&lt;&gt;")=0,"",SUMIFS(BD!$AB$3:$AB$5001,BD!$A$3:$A$5001,W$3,BD!$B$3:$B$5001,$A$407)))</f>
        <v/>
      </c>
      <c r="X433" s="262" t="str">
        <f>IF(X$3="","",IF(COUNTIFS(BD!$A$3:$A$5001,X$3,BD!$B$3:$B$5001,$A$407,BD!$AB$3:$AB$5001,"&lt;&gt;")=0,"",SUMIFS(BD!$AB$3:$AB$5001,BD!$A$3:$A$5001,X$3,BD!$B$3:$B$5001,$A$407)))</f>
        <v/>
      </c>
      <c r="Y433" s="262" t="str">
        <f>IF(Y$3="","",IF(COUNTIFS(BD!$A$3:$A$5001,Y$3,BD!$B$3:$B$5001,$A$407,BD!$AB$3:$AB$5001,"&lt;&gt;")=0,"",SUMIFS(BD!$AB$3:$AB$5001,BD!$A$3:$A$5001,Y$3,BD!$B$3:$B$5001,$A$407)))</f>
        <v/>
      </c>
      <c r="Z433" s="262" t="str">
        <f>IF(Z$3="","",IF(COUNTIFS(BD!$A$3:$A$5001,Z$3,BD!$B$3:$B$5001,$A$407,BD!$AB$3:$AB$5001,"&lt;&gt;")=0,"",SUMIFS(BD!$AB$3:$AB$5001,BD!$A$3:$A$5001,Z$3,BD!$B$3:$B$5001,$A$407)))</f>
        <v/>
      </c>
      <c r="AA433" s="262" t="str">
        <f>IF(AA$3="","",IF(COUNTIFS(BD!$A$3:$A$5001,AA$3,BD!$B$3:$B$5001,$A$407,BD!$AB$3:$AB$5001,"&lt;&gt;")=0,"",SUMIFS(BD!$AB$3:$AB$5001,BD!$A$3:$A$5001,AA$3,BD!$B$3:$B$5001,$A$407)))</f>
        <v/>
      </c>
      <c r="AB433" s="262" t="str">
        <f>IF(AB$3="","",IF(COUNTIFS(BD!$A$3:$A$5001,AB$3,BD!$B$3:$B$5001,$A$407,BD!$AB$3:$AB$5001,"&lt;&gt;")=0,"",SUMIFS(BD!$AB$3:$AB$5001,BD!$A$3:$A$5001,AB$3,BD!$B$3:$B$5001,$A$407)))</f>
        <v/>
      </c>
      <c r="AC433" s="262" t="str">
        <f>IF(AC$3="","",IF(COUNTIFS(BD!$A$3:$A$5001,AC$3,BD!$B$3:$B$5001,$A$407,BD!$AB$3:$AB$5001,"&lt;&gt;")=0,"",SUMIFS(BD!$AB$3:$AB$5001,BD!$A$3:$A$5001,AC$3,BD!$B$3:$B$5001,$A$407)))</f>
        <v/>
      </c>
      <c r="AD433" s="262" t="str">
        <f>IF(AD$3="","",IF(COUNTIFS(BD!$A$3:$A$5001,AD$3,BD!$B$3:$B$5001,$A$407,BD!$AB$3:$AB$5001,"&lt;&gt;")=0,"",SUMIFS(BD!$AB$3:$AB$5001,BD!$A$3:$A$5001,AD$3,BD!$B$3:$B$5001,$A$407)))</f>
        <v/>
      </c>
      <c r="AE433" s="262" t="str">
        <f>IF(AE$3="","",IF(COUNTIFS(BD!$A$3:$A$5001,AE$3,BD!$B$3:$B$5001,$A$407,BD!$AB$3:$AB$5001,"&lt;&gt;")=0,"",SUMIFS(BD!$AB$3:$AB$5001,BD!$A$3:$A$5001,AE$3,BD!$B$3:$B$5001,$A$407)))</f>
        <v/>
      </c>
      <c r="AF433" s="262" t="str">
        <f>IF(AF$3="","",IF(COUNTIFS(BD!$A$3:$A$5001,AF$3,BD!$B$3:$B$5001,$A$407,BD!$AB$3:$AB$5001,"&lt;&gt;")=0,"",SUMIFS(BD!$AB$3:$AB$5001,BD!$A$3:$A$5001,AF$3,BD!$B$3:$B$5001,$A$407)))</f>
        <v/>
      </c>
      <c r="AG433" s="262" t="str">
        <f>IF(AG$3="","",IF(COUNTIFS(BD!$A$3:$A$5001,AG$3,BD!$B$3:$B$5001,$A$407,BD!$AB$3:$AB$5001,"&lt;&gt;")=0,"",SUMIFS(BD!$AB$3:$AB$5001,BD!$A$3:$A$5001,AG$3,BD!$B$3:$B$5001,$A$407)))</f>
        <v/>
      </c>
      <c r="AH433" s="262" t="str">
        <f>IF(AH$3="","",IF(COUNTIFS(BD!$A$3:$A$5001,AH$3,BD!$B$3:$B$5001,$A$407,BD!$AB$3:$AB$5001,"&lt;&gt;")=0,"",SUMIFS(BD!$AB$3:$AB$5001,BD!$A$3:$A$5001,AH$3,BD!$B$3:$B$5001,$A$407)))</f>
        <v/>
      </c>
      <c r="AI433" s="262" t="str">
        <f>IF(AI$3="","",IF(COUNTIFS(BD!$A$3:$A$5001,AI$3,BD!$B$3:$B$5001,$A$407,BD!$AB$3:$AB$5001,"&lt;&gt;")=0,"",SUMIFS(BD!$AB$3:$AB$5001,BD!$A$3:$A$5001,AI$3,BD!$B$3:$B$5001,$A$407)))</f>
        <v/>
      </c>
      <c r="AJ433" s="263" t="str">
        <f>IF(AJ$3="","",IF(COUNTIFS(BD!$A$3:$A$5001,AJ$3,BD!$B$3:$B$5001,$A$407,BD!$AB$3:$AB$5001,"&lt;&gt;")=0,"",SUMIFS(BD!$AB$3:$AB$5001,BD!$A$3:$A$5001,AJ$3,BD!$B$3:$B$5001,$A$407)))</f>
        <v/>
      </c>
      <c r="AK433" s="259" t="str">
        <f>IF(COUNT(F433:AJ433)=0,"",SUM(F433:AJ433))</f>
        <v/>
      </c>
    </row>
    <row r="435" ht="15.75" customHeight="1" hidden="1">
      <c r="A435" s="276"/>
      <c r="B435" s="264" t="inlineStr">
        <is>
          <t xml:space="preserve">IN</t>
        </is>
      </c>
      <c r="C435" s="168" t="inlineStr">
        <is>
          <t xml:space="preserve">Veículos Recebidos</t>
        </is>
      </c>
      <c r="D435" s="169" t="str">
        <f>IFERROR(1/(1/INDEX(BD!$AF$23:$AZ$23,MATCH($A$435,BD!$AF$22:$AZ$22,0))),"")</f>
        <v/>
      </c>
      <c r="E435" s="170"/>
      <c r="F435" s="171" t="str">
        <f>IF(F$3="","",IF(COUNTIFS(BD!$A$3:$A$5001,F$3,BD!$B$3:$B$5001,$A$435,BD!$C$3:$C$5001,"&lt;&gt;")=0,"",SUMIFS(BD!$C$3:$C$5001,BD!$A$3:$A$5001,F$3,BD!$B$3:$B$5001,$A$435)))</f>
        <v/>
      </c>
      <c r="G435" s="172" t="str">
        <f>IF(G$3="","",IF(COUNTIFS(BD!$A$3:$A$5001,G$3,BD!$B$3:$B$5001,$A$435,BD!$C$3:$C$5001,"&lt;&gt;")=0,"",SUMIFS(BD!$C$3:$C$5001,BD!$A$3:$A$5001,G$3,BD!$B$3:$B$5001,$A$435)))</f>
        <v/>
      </c>
      <c r="H435" s="172" t="str">
        <f>IF(H$3="","",IF(COUNTIFS(BD!$A$3:$A$5001,H$3,BD!$B$3:$B$5001,$A$435,BD!$C$3:$C$5001,"&lt;&gt;")=0,"",SUMIFS(BD!$C$3:$C$5001,BD!$A$3:$A$5001,H$3,BD!$B$3:$B$5001,$A$435)))</f>
        <v/>
      </c>
      <c r="I435" s="172" t="str">
        <f>IF(I$3="","",IF(COUNTIFS(BD!$A$3:$A$5001,I$3,BD!$B$3:$B$5001,$A$435,BD!$C$3:$C$5001,"&lt;&gt;")=0,"",SUMIFS(BD!$C$3:$C$5001,BD!$A$3:$A$5001,I$3,BD!$B$3:$B$5001,$A$435)))</f>
        <v/>
      </c>
      <c r="J435" s="172" t="str">
        <f>IF(J$3="","",IF(COUNTIFS(BD!$A$3:$A$5001,J$3,BD!$B$3:$B$5001,$A$435,BD!$C$3:$C$5001,"&lt;&gt;")=0,"",SUMIFS(BD!$C$3:$C$5001,BD!$A$3:$A$5001,J$3,BD!$B$3:$B$5001,$A$435)))</f>
        <v/>
      </c>
      <c r="K435" s="172" t="str">
        <f>IF(K$3="","",IF(COUNTIFS(BD!$A$3:$A$5001,K$3,BD!$B$3:$B$5001,$A$435,BD!$C$3:$C$5001,"&lt;&gt;")=0,"",SUMIFS(BD!$C$3:$C$5001,BD!$A$3:$A$5001,K$3,BD!$B$3:$B$5001,$A$435)))</f>
        <v/>
      </c>
      <c r="L435" s="172" t="str">
        <f>IF(L$3="","",IF(COUNTIFS(BD!$A$3:$A$5001,L$3,BD!$B$3:$B$5001,$A$435,BD!$C$3:$C$5001,"&lt;&gt;")=0,"",SUMIFS(BD!$C$3:$C$5001,BD!$A$3:$A$5001,L$3,BD!$B$3:$B$5001,$A$435)))</f>
        <v/>
      </c>
      <c r="M435" s="172" t="str">
        <f>IF(M$3="","",IF(COUNTIFS(BD!$A$3:$A$5001,M$3,BD!$B$3:$B$5001,$A$435,BD!$C$3:$C$5001,"&lt;&gt;")=0,"",SUMIFS(BD!$C$3:$C$5001,BD!$A$3:$A$5001,M$3,BD!$B$3:$B$5001,$A$435)))</f>
        <v/>
      </c>
      <c r="N435" s="172" t="str">
        <f>IF(N$3="","",IF(COUNTIFS(BD!$A$3:$A$5001,N$3,BD!$B$3:$B$5001,$A$435,BD!$C$3:$C$5001,"&lt;&gt;")=0,"",SUMIFS(BD!$C$3:$C$5001,BD!$A$3:$A$5001,N$3,BD!$B$3:$B$5001,$A$435)))</f>
        <v/>
      </c>
      <c r="O435" s="172" t="str">
        <f>IF(O$3="","",IF(COUNTIFS(BD!$A$3:$A$5001,O$3,BD!$B$3:$B$5001,$A$435,BD!$C$3:$C$5001,"&lt;&gt;")=0,"",SUMIFS(BD!$C$3:$C$5001,BD!$A$3:$A$5001,O$3,BD!$B$3:$B$5001,$A$435)))</f>
        <v/>
      </c>
      <c r="P435" s="172" t="str">
        <f>IF(P$3="","",IF(COUNTIFS(BD!$A$3:$A$5001,P$3,BD!$B$3:$B$5001,$A$435,BD!$C$3:$C$5001,"&lt;&gt;")=0,"",SUMIFS(BD!$C$3:$C$5001,BD!$A$3:$A$5001,P$3,BD!$B$3:$B$5001,$A$435)))</f>
        <v/>
      </c>
      <c r="Q435" s="172" t="str">
        <f>IF(Q$3="","",IF(COUNTIFS(BD!$A$3:$A$5001,Q$3,BD!$B$3:$B$5001,$A$435,BD!$C$3:$C$5001,"&lt;&gt;")=0,"",SUMIFS(BD!$C$3:$C$5001,BD!$A$3:$A$5001,Q$3,BD!$B$3:$B$5001,$A$435)))</f>
        <v/>
      </c>
      <c r="R435" s="172" t="str">
        <f>IF(R$3="","",IF(COUNTIFS(BD!$A$3:$A$5001,R$3,BD!$B$3:$B$5001,$A$435,BD!$C$3:$C$5001,"&lt;&gt;")=0,"",SUMIFS(BD!$C$3:$C$5001,BD!$A$3:$A$5001,R$3,BD!$B$3:$B$5001,$A$435)))</f>
        <v/>
      </c>
      <c r="S435" s="172" t="str">
        <f>IF(S$3="","",IF(COUNTIFS(BD!$A$3:$A$5001,S$3,BD!$B$3:$B$5001,$A$435,BD!$C$3:$C$5001,"&lt;&gt;")=0,"",SUMIFS(BD!$C$3:$C$5001,BD!$A$3:$A$5001,S$3,BD!$B$3:$B$5001,$A$435)))</f>
        <v/>
      </c>
      <c r="T435" s="172" t="str">
        <f>IF(T$3="","",IF(COUNTIFS(BD!$A$3:$A$5001,T$3,BD!$B$3:$B$5001,$A$435,BD!$C$3:$C$5001,"&lt;&gt;")=0,"",SUMIFS(BD!$C$3:$C$5001,BD!$A$3:$A$5001,T$3,BD!$B$3:$B$5001,$A$435)))</f>
        <v/>
      </c>
      <c r="U435" s="172" t="str">
        <f>IF(U$3="","",IF(COUNTIFS(BD!$A$3:$A$5001,U$3,BD!$B$3:$B$5001,$A$435,BD!$C$3:$C$5001,"&lt;&gt;")=0,"",SUMIFS(BD!$C$3:$C$5001,BD!$A$3:$A$5001,U$3,BD!$B$3:$B$5001,$A$435)))</f>
        <v/>
      </c>
      <c r="V435" s="172" t="str">
        <f>IF(V$3="","",IF(COUNTIFS(BD!$A$3:$A$5001,V$3,BD!$B$3:$B$5001,$A$435,BD!$C$3:$C$5001,"&lt;&gt;")=0,"",SUMIFS(BD!$C$3:$C$5001,BD!$A$3:$A$5001,V$3,BD!$B$3:$B$5001,$A$435)))</f>
        <v/>
      </c>
      <c r="W435" s="172" t="str">
        <f>IF(W$3="","",IF(COUNTIFS(BD!$A$3:$A$5001,W$3,BD!$B$3:$B$5001,$A$435,BD!$C$3:$C$5001,"&lt;&gt;")=0,"",SUMIFS(BD!$C$3:$C$5001,BD!$A$3:$A$5001,W$3,BD!$B$3:$B$5001,$A$435)))</f>
        <v/>
      </c>
      <c r="X435" s="172" t="str">
        <f>IF(X$3="","",IF(COUNTIFS(BD!$A$3:$A$5001,X$3,BD!$B$3:$B$5001,$A$435,BD!$C$3:$C$5001,"&lt;&gt;")=0,"",SUMIFS(BD!$C$3:$C$5001,BD!$A$3:$A$5001,X$3,BD!$B$3:$B$5001,$A$435)))</f>
        <v/>
      </c>
      <c r="Y435" s="172" t="str">
        <f>IF(Y$3="","",IF(COUNTIFS(BD!$A$3:$A$5001,Y$3,BD!$B$3:$B$5001,$A$435,BD!$C$3:$C$5001,"&lt;&gt;")=0,"",SUMIFS(BD!$C$3:$C$5001,BD!$A$3:$A$5001,Y$3,BD!$B$3:$B$5001,$A$435)))</f>
        <v/>
      </c>
      <c r="Z435" s="172" t="str">
        <f>IF(Z$3="","",IF(COUNTIFS(BD!$A$3:$A$5001,Z$3,BD!$B$3:$B$5001,$A$435,BD!$C$3:$C$5001,"&lt;&gt;")=0,"",SUMIFS(BD!$C$3:$C$5001,BD!$A$3:$A$5001,Z$3,BD!$B$3:$B$5001,$A$435)))</f>
        <v/>
      </c>
      <c r="AA435" s="172" t="str">
        <f>IF(AA$3="","",IF(COUNTIFS(BD!$A$3:$A$5001,AA$3,BD!$B$3:$B$5001,$A$435,BD!$C$3:$C$5001,"&lt;&gt;")=0,"",SUMIFS(BD!$C$3:$C$5001,BD!$A$3:$A$5001,AA$3,BD!$B$3:$B$5001,$A$435)))</f>
        <v/>
      </c>
      <c r="AB435" s="172" t="str">
        <f>IF(AB$3="","",IF(COUNTIFS(BD!$A$3:$A$5001,AB$3,BD!$B$3:$B$5001,$A$435,BD!$C$3:$C$5001,"&lt;&gt;")=0,"",SUMIFS(BD!$C$3:$C$5001,BD!$A$3:$A$5001,AB$3,BD!$B$3:$B$5001,$A$435)))</f>
        <v/>
      </c>
      <c r="AC435" s="172" t="str">
        <f>IF(AC$3="","",IF(COUNTIFS(BD!$A$3:$A$5001,AC$3,BD!$B$3:$B$5001,$A$435,BD!$C$3:$C$5001,"&lt;&gt;")=0,"",SUMIFS(BD!$C$3:$C$5001,BD!$A$3:$A$5001,AC$3,BD!$B$3:$B$5001,$A$435)))</f>
        <v/>
      </c>
      <c r="AD435" s="172" t="str">
        <f>IF(AD$3="","",IF(COUNTIFS(BD!$A$3:$A$5001,AD$3,BD!$B$3:$B$5001,$A$435,BD!$C$3:$C$5001,"&lt;&gt;")=0,"",SUMIFS(BD!$C$3:$C$5001,BD!$A$3:$A$5001,AD$3,BD!$B$3:$B$5001,$A$435)))</f>
        <v/>
      </c>
      <c r="AE435" s="172" t="str">
        <f>IF(AE$3="","",IF(COUNTIFS(BD!$A$3:$A$5001,AE$3,BD!$B$3:$B$5001,$A$435,BD!$C$3:$C$5001,"&lt;&gt;")=0,"",SUMIFS(BD!$C$3:$C$5001,BD!$A$3:$A$5001,AE$3,BD!$B$3:$B$5001,$A$435)))</f>
        <v/>
      </c>
      <c r="AF435" s="172" t="str">
        <f>IF(AF$3="","",IF(COUNTIFS(BD!$A$3:$A$5001,AF$3,BD!$B$3:$B$5001,$A$435,BD!$C$3:$C$5001,"&lt;&gt;")=0,"",SUMIFS(BD!$C$3:$C$5001,BD!$A$3:$A$5001,AF$3,BD!$B$3:$B$5001,$A$435)))</f>
        <v/>
      </c>
      <c r="AG435" s="172" t="str">
        <f>IF(AG$3="","",IF(COUNTIFS(BD!$A$3:$A$5001,AG$3,BD!$B$3:$B$5001,$A$435,BD!$C$3:$C$5001,"&lt;&gt;")=0,"",SUMIFS(BD!$C$3:$C$5001,BD!$A$3:$A$5001,AG$3,BD!$B$3:$B$5001,$A$435)))</f>
        <v/>
      </c>
      <c r="AH435" s="172" t="str">
        <f>IF(AH$3="","",IF(COUNTIFS(BD!$A$3:$A$5001,AH$3,BD!$B$3:$B$5001,$A$435,BD!$C$3:$C$5001,"&lt;&gt;")=0,"",SUMIFS(BD!$C$3:$C$5001,BD!$A$3:$A$5001,AH$3,BD!$B$3:$B$5001,$A$435)))</f>
        <v/>
      </c>
      <c r="AI435" s="172" t="str">
        <f>IF(AI$3="","",IF(COUNTIFS(BD!$A$3:$A$5001,AI$3,BD!$B$3:$B$5001,$A$435,BD!$C$3:$C$5001,"&lt;&gt;")=0,"",SUMIFS(BD!$C$3:$C$5001,BD!$A$3:$A$5001,AI$3,BD!$B$3:$B$5001,$A$435)))</f>
        <v/>
      </c>
      <c r="AJ435" s="173" t="str">
        <f>IF(AJ$3="","",IF(COUNTIFS(BD!$A$3:$A$5001,AJ$3,BD!$B$3:$B$5001,$A$435,BD!$C$3:$C$5001,"&lt;&gt;")=0,"",SUMIFS(BD!$C$3:$C$5001,BD!$A$3:$A$5001,AJ$3,BD!$B$3:$B$5001,$A$435)))</f>
        <v/>
      </c>
      <c r="AK435" s="174" t="str">
        <f>IF(COUNT(F435:AJ435)=0,"",SUM(F435:AJ435))</f>
        <v/>
      </c>
    </row>
    <row r="436" ht="15.75" customHeight="1" hidden="1">
      <c r="A436" s="277"/>
      <c r="B436" s="265"/>
      <c r="C436" s="175" t="inlineStr">
        <is>
          <t xml:space="preserve">Pallets Movimentados</t>
        </is>
      </c>
      <c r="D436" s="176" t="str">
        <f>IFERROR(1/(1/INDEX(BD!$AF$24:$AZ$24,MATCH($A$435,BD!$AF$22:$AZ$22,0))),"")</f>
        <v/>
      </c>
      <c r="E436" s="177"/>
      <c r="F436" s="178" t="str">
        <f>IF(F$3="","",IF(COUNTIFS(BD!$A$3:$A$5001,F$3,BD!$B$3:$B$5001,$A$435,BD!$D$3:$D$5001,"&lt;&gt;")=0,"",SUMIFS(BD!$D$3:$D$5001,BD!$A$3:$A$5001,F$3,BD!$B$3:$B$5001,$A$435)))</f>
        <v/>
      </c>
      <c r="G436" s="179" t="str">
        <f>IF(G$3="","",IF(COUNTIFS(BD!$A$3:$A$5001,G$3,BD!$B$3:$B$5001,$A$435,BD!$D$3:$D$5001,"&lt;&gt;")=0,"",SUMIFS(BD!$D$3:$D$5001,BD!$A$3:$A$5001,G$3,BD!$B$3:$B$5001,$A$435)))</f>
        <v/>
      </c>
      <c r="H436" s="179" t="str">
        <f>IF(H$3="","",IF(COUNTIFS(BD!$A$3:$A$5001,H$3,BD!$B$3:$B$5001,$A$435,BD!$D$3:$D$5001,"&lt;&gt;")=0,"",SUMIFS(BD!$D$3:$D$5001,BD!$A$3:$A$5001,H$3,BD!$B$3:$B$5001,$A$435)))</f>
        <v/>
      </c>
      <c r="I436" s="179" t="str">
        <f>IF(I$3="","",IF(COUNTIFS(BD!$A$3:$A$5001,I$3,BD!$B$3:$B$5001,$A$435,BD!$D$3:$D$5001,"&lt;&gt;")=0,"",SUMIFS(BD!$D$3:$D$5001,BD!$A$3:$A$5001,I$3,BD!$B$3:$B$5001,$A$435)))</f>
        <v/>
      </c>
      <c r="J436" s="179" t="str">
        <f>IF(J$3="","",IF(COUNTIFS(BD!$A$3:$A$5001,J$3,BD!$B$3:$B$5001,$A$435,BD!$D$3:$D$5001,"&lt;&gt;")=0,"",SUMIFS(BD!$D$3:$D$5001,BD!$A$3:$A$5001,J$3,BD!$B$3:$B$5001,$A$435)))</f>
        <v/>
      </c>
      <c r="K436" s="179" t="str">
        <f>IF(K$3="","",IF(COUNTIFS(BD!$A$3:$A$5001,K$3,BD!$B$3:$B$5001,$A$435,BD!$D$3:$D$5001,"&lt;&gt;")=0,"",SUMIFS(BD!$D$3:$D$5001,BD!$A$3:$A$5001,K$3,BD!$B$3:$B$5001,$A$435)))</f>
        <v/>
      </c>
      <c r="L436" s="179" t="str">
        <f>IF(L$3="","",IF(COUNTIFS(BD!$A$3:$A$5001,L$3,BD!$B$3:$B$5001,$A$435,BD!$D$3:$D$5001,"&lt;&gt;")=0,"",SUMIFS(BD!$D$3:$D$5001,BD!$A$3:$A$5001,L$3,BD!$B$3:$B$5001,$A$435)))</f>
        <v/>
      </c>
      <c r="M436" s="179" t="str">
        <f>IF(M$3="","",IF(COUNTIFS(BD!$A$3:$A$5001,M$3,BD!$B$3:$B$5001,$A$435,BD!$D$3:$D$5001,"&lt;&gt;")=0,"",SUMIFS(BD!$D$3:$D$5001,BD!$A$3:$A$5001,M$3,BD!$B$3:$B$5001,$A$435)))</f>
        <v/>
      </c>
      <c r="N436" s="179" t="str">
        <f>IF(N$3="","",IF(COUNTIFS(BD!$A$3:$A$5001,N$3,BD!$B$3:$B$5001,$A$435,BD!$D$3:$D$5001,"&lt;&gt;")=0,"",SUMIFS(BD!$D$3:$D$5001,BD!$A$3:$A$5001,N$3,BD!$B$3:$B$5001,$A$435)))</f>
        <v/>
      </c>
      <c r="O436" s="179" t="str">
        <f>IF(O$3="","",IF(COUNTIFS(BD!$A$3:$A$5001,O$3,BD!$B$3:$B$5001,$A$435,BD!$D$3:$D$5001,"&lt;&gt;")=0,"",SUMIFS(BD!$D$3:$D$5001,BD!$A$3:$A$5001,O$3,BD!$B$3:$B$5001,$A$435)))</f>
        <v/>
      </c>
      <c r="P436" s="179" t="str">
        <f>IF(P$3="","",IF(COUNTIFS(BD!$A$3:$A$5001,P$3,BD!$B$3:$B$5001,$A$435,BD!$D$3:$D$5001,"&lt;&gt;")=0,"",SUMIFS(BD!$D$3:$D$5001,BD!$A$3:$A$5001,P$3,BD!$B$3:$B$5001,$A$435)))</f>
        <v/>
      </c>
      <c r="Q436" s="179" t="str">
        <f>IF(Q$3="","",IF(COUNTIFS(BD!$A$3:$A$5001,Q$3,BD!$B$3:$B$5001,$A$435,BD!$D$3:$D$5001,"&lt;&gt;")=0,"",SUMIFS(BD!$D$3:$D$5001,BD!$A$3:$A$5001,Q$3,BD!$B$3:$B$5001,$A$435)))</f>
        <v/>
      </c>
      <c r="R436" s="179" t="str">
        <f>IF(R$3="","",IF(COUNTIFS(BD!$A$3:$A$5001,R$3,BD!$B$3:$B$5001,$A$435,BD!$D$3:$D$5001,"&lt;&gt;")=0,"",SUMIFS(BD!$D$3:$D$5001,BD!$A$3:$A$5001,R$3,BD!$B$3:$B$5001,$A$435)))</f>
        <v/>
      </c>
      <c r="S436" s="179" t="str">
        <f>IF(S$3="","",IF(COUNTIFS(BD!$A$3:$A$5001,S$3,BD!$B$3:$B$5001,$A$435,BD!$D$3:$D$5001,"&lt;&gt;")=0,"",SUMIFS(BD!$D$3:$D$5001,BD!$A$3:$A$5001,S$3,BD!$B$3:$B$5001,$A$435)))</f>
        <v/>
      </c>
      <c r="T436" s="179" t="str">
        <f>IF(T$3="","",IF(COUNTIFS(BD!$A$3:$A$5001,T$3,BD!$B$3:$B$5001,$A$435,BD!$D$3:$D$5001,"&lt;&gt;")=0,"",SUMIFS(BD!$D$3:$D$5001,BD!$A$3:$A$5001,T$3,BD!$B$3:$B$5001,$A$435)))</f>
        <v/>
      </c>
      <c r="U436" s="179" t="str">
        <f>IF(U$3="","",IF(COUNTIFS(BD!$A$3:$A$5001,U$3,BD!$B$3:$B$5001,$A$435,BD!$D$3:$D$5001,"&lt;&gt;")=0,"",SUMIFS(BD!$D$3:$D$5001,BD!$A$3:$A$5001,U$3,BD!$B$3:$B$5001,$A$435)))</f>
        <v/>
      </c>
      <c r="V436" s="179" t="str">
        <f>IF(V$3="","",IF(COUNTIFS(BD!$A$3:$A$5001,V$3,BD!$B$3:$B$5001,$A$435,BD!$D$3:$D$5001,"&lt;&gt;")=0,"",SUMIFS(BD!$D$3:$D$5001,BD!$A$3:$A$5001,V$3,BD!$B$3:$B$5001,$A$435)))</f>
        <v/>
      </c>
      <c r="W436" s="179" t="str">
        <f>IF(W$3="","",IF(COUNTIFS(BD!$A$3:$A$5001,W$3,BD!$B$3:$B$5001,$A$435,BD!$D$3:$D$5001,"&lt;&gt;")=0,"",SUMIFS(BD!$D$3:$D$5001,BD!$A$3:$A$5001,W$3,BD!$B$3:$B$5001,$A$435)))</f>
        <v/>
      </c>
      <c r="X436" s="179" t="str">
        <f>IF(X$3="","",IF(COUNTIFS(BD!$A$3:$A$5001,X$3,BD!$B$3:$B$5001,$A$435,BD!$D$3:$D$5001,"&lt;&gt;")=0,"",SUMIFS(BD!$D$3:$D$5001,BD!$A$3:$A$5001,X$3,BD!$B$3:$B$5001,$A$435)))</f>
        <v/>
      </c>
      <c r="Y436" s="179" t="str">
        <f>IF(Y$3="","",IF(COUNTIFS(BD!$A$3:$A$5001,Y$3,BD!$B$3:$B$5001,$A$435,BD!$D$3:$D$5001,"&lt;&gt;")=0,"",SUMIFS(BD!$D$3:$D$5001,BD!$A$3:$A$5001,Y$3,BD!$B$3:$B$5001,$A$435)))</f>
        <v/>
      </c>
      <c r="Z436" s="179" t="str">
        <f>IF(Z$3="","",IF(COUNTIFS(BD!$A$3:$A$5001,Z$3,BD!$B$3:$B$5001,$A$435,BD!$D$3:$D$5001,"&lt;&gt;")=0,"",SUMIFS(BD!$D$3:$D$5001,BD!$A$3:$A$5001,Z$3,BD!$B$3:$B$5001,$A$435)))</f>
        <v/>
      </c>
      <c r="AA436" s="179" t="str">
        <f>IF(AA$3="","",IF(COUNTIFS(BD!$A$3:$A$5001,AA$3,BD!$B$3:$B$5001,$A$435,BD!$D$3:$D$5001,"&lt;&gt;")=0,"",SUMIFS(BD!$D$3:$D$5001,BD!$A$3:$A$5001,AA$3,BD!$B$3:$B$5001,$A$435)))</f>
        <v/>
      </c>
      <c r="AB436" s="179" t="str">
        <f>IF(AB$3="","",IF(COUNTIFS(BD!$A$3:$A$5001,AB$3,BD!$B$3:$B$5001,$A$435,BD!$D$3:$D$5001,"&lt;&gt;")=0,"",SUMIFS(BD!$D$3:$D$5001,BD!$A$3:$A$5001,AB$3,BD!$B$3:$B$5001,$A$435)))</f>
        <v/>
      </c>
      <c r="AC436" s="179" t="str">
        <f>IF(AC$3="","",IF(COUNTIFS(BD!$A$3:$A$5001,AC$3,BD!$B$3:$B$5001,$A$435,BD!$D$3:$D$5001,"&lt;&gt;")=0,"",SUMIFS(BD!$D$3:$D$5001,BD!$A$3:$A$5001,AC$3,BD!$B$3:$B$5001,$A$435)))</f>
        <v/>
      </c>
      <c r="AD436" s="179" t="str">
        <f>IF(AD$3="","",IF(COUNTIFS(BD!$A$3:$A$5001,AD$3,BD!$B$3:$B$5001,$A$435,BD!$D$3:$D$5001,"&lt;&gt;")=0,"",SUMIFS(BD!$D$3:$D$5001,BD!$A$3:$A$5001,AD$3,BD!$B$3:$B$5001,$A$435)))</f>
        <v/>
      </c>
      <c r="AE436" s="179" t="str">
        <f>IF(AE$3="","",IF(COUNTIFS(BD!$A$3:$A$5001,AE$3,BD!$B$3:$B$5001,$A$435,BD!$D$3:$D$5001,"&lt;&gt;")=0,"",SUMIFS(BD!$D$3:$D$5001,BD!$A$3:$A$5001,AE$3,BD!$B$3:$B$5001,$A$435)))</f>
        <v/>
      </c>
      <c r="AF436" s="179" t="str">
        <f>IF(AF$3="","",IF(COUNTIFS(BD!$A$3:$A$5001,AF$3,BD!$B$3:$B$5001,$A$435,BD!$D$3:$D$5001,"&lt;&gt;")=0,"",SUMIFS(BD!$D$3:$D$5001,BD!$A$3:$A$5001,AF$3,BD!$B$3:$B$5001,$A$435)))</f>
        <v/>
      </c>
      <c r="AG436" s="179" t="str">
        <f>IF(AG$3="","",IF(COUNTIFS(BD!$A$3:$A$5001,AG$3,BD!$B$3:$B$5001,$A$435,BD!$D$3:$D$5001,"&lt;&gt;")=0,"",SUMIFS(BD!$D$3:$D$5001,BD!$A$3:$A$5001,AG$3,BD!$B$3:$B$5001,$A$435)))</f>
        <v/>
      </c>
      <c r="AH436" s="179" t="str">
        <f>IF(AH$3="","",IF(COUNTIFS(BD!$A$3:$A$5001,AH$3,BD!$B$3:$B$5001,$A$435,BD!$D$3:$D$5001,"&lt;&gt;")=0,"",SUMIFS(BD!$D$3:$D$5001,BD!$A$3:$A$5001,AH$3,BD!$B$3:$B$5001,$A$435)))</f>
        <v/>
      </c>
      <c r="AI436" s="179" t="str">
        <f>IF(AI$3="","",IF(COUNTIFS(BD!$A$3:$A$5001,AI$3,BD!$B$3:$B$5001,$A$435,BD!$D$3:$D$5001,"&lt;&gt;")=0,"",SUMIFS(BD!$D$3:$D$5001,BD!$A$3:$A$5001,AI$3,BD!$B$3:$B$5001,$A$435)))</f>
        <v/>
      </c>
      <c r="AJ436" s="180" t="str">
        <f>IF(AJ$3="","",IF(COUNTIFS(BD!$A$3:$A$5001,AJ$3,BD!$B$3:$B$5001,$A$435,BD!$D$3:$D$5001,"&lt;&gt;")=0,"",SUMIFS(BD!$D$3:$D$5001,BD!$A$3:$A$5001,AJ$3,BD!$B$3:$B$5001,$A$435)))</f>
        <v/>
      </c>
      <c r="AK436" s="181" t="str">
        <f>IF(COUNT(F436:AJ436)=0,"",SUM(F436:AJ436))</f>
        <v/>
      </c>
    </row>
    <row r="437" ht="15.75" customHeight="1" hidden="1">
      <c r="A437" s="277"/>
      <c r="B437" s="265"/>
      <c r="C437" s="175" t="inlineStr">
        <is>
          <t xml:space="preserve">Toneladas Movimentadas</t>
        </is>
      </c>
      <c r="D437" s="176" t="str">
        <f>IFERROR(1/(1/INDEX(BD!$AF$25:$AZ$25,MATCH($A$435,BD!$AF$22:$AZ$22,0))),"")</f>
        <v/>
      </c>
      <c r="E437" s="177"/>
      <c r="F437" s="182" t="str">
        <f>IF(F$3="","",IF(COUNTIFS(BD!$A$3:$A$5001,F$3,BD!$B$3:$B$5001,$A$435,BD!$E$3:$E$5001,"&lt;&gt;")=0,"",SUMIFS(BD!$E$3:$E$5001,BD!$A$3:$A$5001,F$3,BD!$B$3:$B$5001,$A$435)))</f>
        <v/>
      </c>
      <c r="G437" s="183" t="str">
        <f>IF(G$3="","",IF(COUNTIFS(BD!$A$3:$A$5001,G$3,BD!$B$3:$B$5001,$A$435,BD!$E$3:$E$5001,"&lt;&gt;")=0,"",SUMIFS(BD!$E$3:$E$5001,BD!$A$3:$A$5001,G$3,BD!$B$3:$B$5001,$A$435)))</f>
        <v/>
      </c>
      <c r="H437" s="183" t="str">
        <f>IF(H$3="","",IF(COUNTIFS(BD!$A$3:$A$5001,H$3,BD!$B$3:$B$5001,$A$435,BD!$E$3:$E$5001,"&lt;&gt;")=0,"",SUMIFS(BD!$E$3:$E$5001,BD!$A$3:$A$5001,H$3,BD!$B$3:$B$5001,$A$435)))</f>
        <v/>
      </c>
      <c r="I437" s="183" t="str">
        <f>IF(I$3="","",IF(COUNTIFS(BD!$A$3:$A$5001,I$3,BD!$B$3:$B$5001,$A$435,BD!$E$3:$E$5001,"&lt;&gt;")=0,"",SUMIFS(BD!$E$3:$E$5001,BD!$A$3:$A$5001,I$3,BD!$B$3:$B$5001,$A$435)))</f>
        <v/>
      </c>
      <c r="J437" s="183" t="str">
        <f>IF(J$3="","",IF(COUNTIFS(BD!$A$3:$A$5001,J$3,BD!$B$3:$B$5001,$A$435,BD!$E$3:$E$5001,"&lt;&gt;")=0,"",SUMIFS(BD!$E$3:$E$5001,BD!$A$3:$A$5001,J$3,BD!$B$3:$B$5001,$A$435)))</f>
        <v/>
      </c>
      <c r="K437" s="183" t="str">
        <f>IF(K$3="","",IF(COUNTIFS(BD!$A$3:$A$5001,K$3,BD!$B$3:$B$5001,$A$435,BD!$E$3:$E$5001,"&lt;&gt;")=0,"",SUMIFS(BD!$E$3:$E$5001,BD!$A$3:$A$5001,K$3,BD!$B$3:$B$5001,$A$435)))</f>
        <v/>
      </c>
      <c r="L437" s="183" t="str">
        <f>IF(L$3="","",IF(COUNTIFS(BD!$A$3:$A$5001,L$3,BD!$B$3:$B$5001,$A$435,BD!$E$3:$E$5001,"&lt;&gt;")=0,"",SUMIFS(BD!$E$3:$E$5001,BD!$A$3:$A$5001,L$3,BD!$B$3:$B$5001,$A$435)))</f>
        <v/>
      </c>
      <c r="M437" s="183" t="str">
        <f>IF(M$3="","",IF(COUNTIFS(BD!$A$3:$A$5001,M$3,BD!$B$3:$B$5001,$A$435,BD!$E$3:$E$5001,"&lt;&gt;")=0,"",SUMIFS(BD!$E$3:$E$5001,BD!$A$3:$A$5001,M$3,BD!$B$3:$B$5001,$A$435)))</f>
        <v/>
      </c>
      <c r="N437" s="183" t="str">
        <f>IF(N$3="","",IF(COUNTIFS(BD!$A$3:$A$5001,N$3,BD!$B$3:$B$5001,$A$435,BD!$E$3:$E$5001,"&lt;&gt;")=0,"",SUMIFS(BD!$E$3:$E$5001,BD!$A$3:$A$5001,N$3,BD!$B$3:$B$5001,$A$435)))</f>
        <v/>
      </c>
      <c r="O437" s="183" t="str">
        <f>IF(O$3="","",IF(COUNTIFS(BD!$A$3:$A$5001,O$3,BD!$B$3:$B$5001,$A$435,BD!$E$3:$E$5001,"&lt;&gt;")=0,"",SUMIFS(BD!$E$3:$E$5001,BD!$A$3:$A$5001,O$3,BD!$B$3:$B$5001,$A$435)))</f>
        <v/>
      </c>
      <c r="P437" s="183" t="str">
        <f>IF(P$3="","",IF(COUNTIFS(BD!$A$3:$A$5001,P$3,BD!$B$3:$B$5001,$A$435,BD!$E$3:$E$5001,"&lt;&gt;")=0,"",SUMIFS(BD!$E$3:$E$5001,BD!$A$3:$A$5001,P$3,BD!$B$3:$B$5001,$A$435)))</f>
        <v/>
      </c>
      <c r="Q437" s="183" t="str">
        <f>IF(Q$3="","",IF(COUNTIFS(BD!$A$3:$A$5001,Q$3,BD!$B$3:$B$5001,$A$435,BD!$E$3:$E$5001,"&lt;&gt;")=0,"",SUMIFS(BD!$E$3:$E$5001,BD!$A$3:$A$5001,Q$3,BD!$B$3:$B$5001,$A$435)))</f>
        <v/>
      </c>
      <c r="R437" s="183" t="str">
        <f>IF(R$3="","",IF(COUNTIFS(BD!$A$3:$A$5001,R$3,BD!$B$3:$B$5001,$A$435,BD!$E$3:$E$5001,"&lt;&gt;")=0,"",SUMIFS(BD!$E$3:$E$5001,BD!$A$3:$A$5001,R$3,BD!$B$3:$B$5001,$A$435)))</f>
        <v/>
      </c>
      <c r="S437" s="183" t="str">
        <f>IF(S$3="","",IF(COUNTIFS(BD!$A$3:$A$5001,S$3,BD!$B$3:$B$5001,$A$435,BD!$E$3:$E$5001,"&lt;&gt;")=0,"",SUMIFS(BD!$E$3:$E$5001,BD!$A$3:$A$5001,S$3,BD!$B$3:$B$5001,$A$435)))</f>
        <v/>
      </c>
      <c r="T437" s="183" t="str">
        <f>IF(T$3="","",IF(COUNTIFS(BD!$A$3:$A$5001,T$3,BD!$B$3:$B$5001,$A$435,BD!$E$3:$E$5001,"&lt;&gt;")=0,"",SUMIFS(BD!$E$3:$E$5001,BD!$A$3:$A$5001,T$3,BD!$B$3:$B$5001,$A$435)))</f>
        <v/>
      </c>
      <c r="U437" s="183" t="str">
        <f>IF(U$3="","",IF(COUNTIFS(BD!$A$3:$A$5001,U$3,BD!$B$3:$B$5001,$A$435,BD!$E$3:$E$5001,"&lt;&gt;")=0,"",SUMIFS(BD!$E$3:$E$5001,BD!$A$3:$A$5001,U$3,BD!$B$3:$B$5001,$A$435)))</f>
        <v/>
      </c>
      <c r="V437" s="183" t="str">
        <f>IF(V$3="","",IF(COUNTIFS(BD!$A$3:$A$5001,V$3,BD!$B$3:$B$5001,$A$435,BD!$E$3:$E$5001,"&lt;&gt;")=0,"",SUMIFS(BD!$E$3:$E$5001,BD!$A$3:$A$5001,V$3,BD!$B$3:$B$5001,$A$435)))</f>
        <v/>
      </c>
      <c r="W437" s="183" t="str">
        <f>IF(W$3="","",IF(COUNTIFS(BD!$A$3:$A$5001,W$3,BD!$B$3:$B$5001,$A$435,BD!$E$3:$E$5001,"&lt;&gt;")=0,"",SUMIFS(BD!$E$3:$E$5001,BD!$A$3:$A$5001,W$3,BD!$B$3:$B$5001,$A$435)))</f>
        <v/>
      </c>
      <c r="X437" s="183" t="str">
        <f>IF(X$3="","",IF(COUNTIFS(BD!$A$3:$A$5001,X$3,BD!$B$3:$B$5001,$A$435,BD!$E$3:$E$5001,"&lt;&gt;")=0,"",SUMIFS(BD!$E$3:$E$5001,BD!$A$3:$A$5001,X$3,BD!$B$3:$B$5001,$A$435)))</f>
        <v/>
      </c>
      <c r="Y437" s="183" t="str">
        <f>IF(Y$3="","",IF(COUNTIFS(BD!$A$3:$A$5001,Y$3,BD!$B$3:$B$5001,$A$435,BD!$E$3:$E$5001,"&lt;&gt;")=0,"",SUMIFS(BD!$E$3:$E$5001,BD!$A$3:$A$5001,Y$3,BD!$B$3:$B$5001,$A$435)))</f>
        <v/>
      </c>
      <c r="Z437" s="183" t="str">
        <f>IF(Z$3="","",IF(COUNTIFS(BD!$A$3:$A$5001,Z$3,BD!$B$3:$B$5001,$A$435,BD!$E$3:$E$5001,"&lt;&gt;")=0,"",SUMIFS(BD!$E$3:$E$5001,BD!$A$3:$A$5001,Z$3,BD!$B$3:$B$5001,$A$435)))</f>
        <v/>
      </c>
      <c r="AA437" s="183" t="str">
        <f>IF(AA$3="","",IF(COUNTIFS(BD!$A$3:$A$5001,AA$3,BD!$B$3:$B$5001,$A$435,BD!$E$3:$E$5001,"&lt;&gt;")=0,"",SUMIFS(BD!$E$3:$E$5001,BD!$A$3:$A$5001,AA$3,BD!$B$3:$B$5001,$A$435)))</f>
        <v/>
      </c>
      <c r="AB437" s="183" t="str">
        <f>IF(AB$3="","",IF(COUNTIFS(BD!$A$3:$A$5001,AB$3,BD!$B$3:$B$5001,$A$435,BD!$E$3:$E$5001,"&lt;&gt;")=0,"",SUMIFS(BD!$E$3:$E$5001,BD!$A$3:$A$5001,AB$3,BD!$B$3:$B$5001,$A$435)))</f>
        <v/>
      </c>
      <c r="AC437" s="183" t="str">
        <f>IF(AC$3="","",IF(COUNTIFS(BD!$A$3:$A$5001,AC$3,BD!$B$3:$B$5001,$A$435,BD!$E$3:$E$5001,"&lt;&gt;")=0,"",SUMIFS(BD!$E$3:$E$5001,BD!$A$3:$A$5001,AC$3,BD!$B$3:$B$5001,$A$435)))</f>
        <v/>
      </c>
      <c r="AD437" s="183" t="str">
        <f>IF(AD$3="","",IF(COUNTIFS(BD!$A$3:$A$5001,AD$3,BD!$B$3:$B$5001,$A$435,BD!$E$3:$E$5001,"&lt;&gt;")=0,"",SUMIFS(BD!$E$3:$E$5001,BD!$A$3:$A$5001,AD$3,BD!$B$3:$B$5001,$A$435)))</f>
        <v/>
      </c>
      <c r="AE437" s="183" t="str">
        <f>IF(AE$3="","",IF(COUNTIFS(BD!$A$3:$A$5001,AE$3,BD!$B$3:$B$5001,$A$435,BD!$E$3:$E$5001,"&lt;&gt;")=0,"",SUMIFS(BD!$E$3:$E$5001,BD!$A$3:$A$5001,AE$3,BD!$B$3:$B$5001,$A$435)))</f>
        <v/>
      </c>
      <c r="AF437" s="183" t="str">
        <f>IF(AF$3="","",IF(COUNTIFS(BD!$A$3:$A$5001,AF$3,BD!$B$3:$B$5001,$A$435,BD!$E$3:$E$5001,"&lt;&gt;")=0,"",SUMIFS(BD!$E$3:$E$5001,BD!$A$3:$A$5001,AF$3,BD!$B$3:$B$5001,$A$435)))</f>
        <v/>
      </c>
      <c r="AG437" s="183" t="str">
        <f>IF(AG$3="","",IF(COUNTIFS(BD!$A$3:$A$5001,AG$3,BD!$B$3:$B$5001,$A$435,BD!$E$3:$E$5001,"&lt;&gt;")=0,"",SUMIFS(BD!$E$3:$E$5001,BD!$A$3:$A$5001,AG$3,BD!$B$3:$B$5001,$A$435)))</f>
        <v/>
      </c>
      <c r="AH437" s="183" t="str">
        <f>IF(AH$3="","",IF(COUNTIFS(BD!$A$3:$A$5001,AH$3,BD!$B$3:$B$5001,$A$435,BD!$E$3:$E$5001,"&lt;&gt;")=0,"",SUMIFS(BD!$E$3:$E$5001,BD!$A$3:$A$5001,AH$3,BD!$B$3:$B$5001,$A$435)))</f>
        <v/>
      </c>
      <c r="AI437" s="183" t="str">
        <f>IF(AI$3="","",IF(COUNTIFS(BD!$A$3:$A$5001,AI$3,BD!$B$3:$B$5001,$A$435,BD!$E$3:$E$5001,"&lt;&gt;")=0,"",SUMIFS(BD!$E$3:$E$5001,BD!$A$3:$A$5001,AI$3,BD!$B$3:$B$5001,$A$435)))</f>
        <v/>
      </c>
      <c r="AJ437" s="184" t="str">
        <f>IF(AJ$3="","",IF(COUNTIFS(BD!$A$3:$A$5001,AJ$3,BD!$B$3:$B$5001,$A$435,BD!$E$3:$E$5001,"&lt;&gt;")=0,"",SUMIFS(BD!$E$3:$E$5001,BD!$A$3:$A$5001,AJ$3,BD!$B$3:$B$5001,$A$435)))</f>
        <v/>
      </c>
      <c r="AK437" s="185" t="str">
        <f>IF(COUNT(F437:AJ437)=0,"",SUM(F437:AJ437))</f>
        <v/>
      </c>
    </row>
    <row r="438" ht="15.75" customHeight="1" hidden="1">
      <c r="A438" s="277"/>
      <c r="B438" s="265"/>
      <c r="C438" s="175" t="inlineStr">
        <is>
          <t xml:space="preserve">Caixas Recebidas</t>
        </is>
      </c>
      <c r="D438" s="176" t="str">
        <f>IFERROR(1/(1/INDEX(BD!$AF$26:$AZ$26,MATCH($A$435,BD!$AF$22:$AZ$22,0))),"")</f>
        <v/>
      </c>
      <c r="E438" s="177"/>
      <c r="F438" s="178" t="str">
        <f>IF(F$3="","",IF(COUNTIFS(BD!$A$3:$A$5001,F$3,BD!$B$3:$B$5001,$A$435,BD!$F$3:$F$5001,"&lt;&gt;")=0,"",SUMIFS(BD!$F$3:$F$5001,BD!$A$3:$A$5001,F$3,BD!$B$3:$B$5001,$A$435)))</f>
        <v/>
      </c>
      <c r="G438" s="179" t="str">
        <f>IF(G$3="","",IF(COUNTIFS(BD!$A$3:$A$5001,G$3,BD!$B$3:$B$5001,$A$435,BD!$F$3:$F$5001,"&lt;&gt;")=0,"",SUMIFS(BD!$F$3:$F$5001,BD!$A$3:$A$5001,G$3,BD!$B$3:$B$5001,$A$435)))</f>
        <v/>
      </c>
      <c r="H438" s="179" t="str">
        <f>IF(H$3="","",IF(COUNTIFS(BD!$A$3:$A$5001,H$3,BD!$B$3:$B$5001,$A$435,BD!$F$3:$F$5001,"&lt;&gt;")=0,"",SUMIFS(BD!$F$3:$F$5001,BD!$A$3:$A$5001,H$3,BD!$B$3:$B$5001,$A$435)))</f>
        <v/>
      </c>
      <c r="I438" s="179" t="str">
        <f>IF(I$3="","",IF(COUNTIFS(BD!$A$3:$A$5001,I$3,BD!$B$3:$B$5001,$A$435,BD!$F$3:$F$5001,"&lt;&gt;")=0,"",SUMIFS(BD!$F$3:$F$5001,BD!$A$3:$A$5001,I$3,BD!$B$3:$B$5001,$A$435)))</f>
        <v/>
      </c>
      <c r="J438" s="179" t="str">
        <f>IF(J$3="","",IF(COUNTIFS(BD!$A$3:$A$5001,J$3,BD!$B$3:$B$5001,$A$435,BD!$F$3:$F$5001,"&lt;&gt;")=0,"",SUMIFS(BD!$F$3:$F$5001,BD!$A$3:$A$5001,J$3,BD!$B$3:$B$5001,$A$435)))</f>
        <v/>
      </c>
      <c r="K438" s="179" t="str">
        <f>IF(K$3="","",IF(COUNTIFS(BD!$A$3:$A$5001,K$3,BD!$B$3:$B$5001,$A$435,BD!$F$3:$F$5001,"&lt;&gt;")=0,"",SUMIFS(BD!$F$3:$F$5001,BD!$A$3:$A$5001,K$3,BD!$B$3:$B$5001,$A$435)))</f>
        <v/>
      </c>
      <c r="L438" s="179" t="str">
        <f>IF(L$3="","",IF(COUNTIFS(BD!$A$3:$A$5001,L$3,BD!$B$3:$B$5001,$A$435,BD!$F$3:$F$5001,"&lt;&gt;")=0,"",SUMIFS(BD!$F$3:$F$5001,BD!$A$3:$A$5001,L$3,BD!$B$3:$B$5001,$A$435)))</f>
        <v/>
      </c>
      <c r="M438" s="179" t="str">
        <f>IF(M$3="","",IF(COUNTIFS(BD!$A$3:$A$5001,M$3,BD!$B$3:$B$5001,$A$435,BD!$F$3:$F$5001,"&lt;&gt;")=0,"",SUMIFS(BD!$F$3:$F$5001,BD!$A$3:$A$5001,M$3,BD!$B$3:$B$5001,$A$435)))</f>
        <v/>
      </c>
      <c r="N438" s="179" t="str">
        <f>IF(N$3="","",IF(COUNTIFS(BD!$A$3:$A$5001,N$3,BD!$B$3:$B$5001,$A$435,BD!$F$3:$F$5001,"&lt;&gt;")=0,"",SUMIFS(BD!$F$3:$F$5001,BD!$A$3:$A$5001,N$3,BD!$B$3:$B$5001,$A$435)))</f>
        <v/>
      </c>
      <c r="O438" s="179" t="str">
        <f>IF(O$3="","",IF(COUNTIFS(BD!$A$3:$A$5001,O$3,BD!$B$3:$B$5001,$A$435,BD!$F$3:$F$5001,"&lt;&gt;")=0,"",SUMIFS(BD!$F$3:$F$5001,BD!$A$3:$A$5001,O$3,BD!$B$3:$B$5001,$A$435)))</f>
        <v/>
      </c>
      <c r="P438" s="179" t="str">
        <f>IF(P$3="","",IF(COUNTIFS(BD!$A$3:$A$5001,P$3,BD!$B$3:$B$5001,$A$435,BD!$F$3:$F$5001,"&lt;&gt;")=0,"",SUMIFS(BD!$F$3:$F$5001,BD!$A$3:$A$5001,P$3,BD!$B$3:$B$5001,$A$435)))</f>
        <v/>
      </c>
      <c r="Q438" s="179" t="str">
        <f>IF(Q$3="","",IF(COUNTIFS(BD!$A$3:$A$5001,Q$3,BD!$B$3:$B$5001,$A$435,BD!$F$3:$F$5001,"&lt;&gt;")=0,"",SUMIFS(BD!$F$3:$F$5001,BD!$A$3:$A$5001,Q$3,BD!$B$3:$B$5001,$A$435)))</f>
        <v/>
      </c>
      <c r="R438" s="179" t="str">
        <f>IF(R$3="","",IF(COUNTIFS(BD!$A$3:$A$5001,R$3,BD!$B$3:$B$5001,$A$435,BD!$F$3:$F$5001,"&lt;&gt;")=0,"",SUMIFS(BD!$F$3:$F$5001,BD!$A$3:$A$5001,R$3,BD!$B$3:$B$5001,$A$435)))</f>
        <v/>
      </c>
      <c r="S438" s="179" t="str">
        <f>IF(S$3="","",IF(COUNTIFS(BD!$A$3:$A$5001,S$3,BD!$B$3:$B$5001,$A$435,BD!$F$3:$F$5001,"&lt;&gt;")=0,"",SUMIFS(BD!$F$3:$F$5001,BD!$A$3:$A$5001,S$3,BD!$B$3:$B$5001,$A$435)))</f>
        <v/>
      </c>
      <c r="T438" s="179" t="str">
        <f>IF(T$3="","",IF(COUNTIFS(BD!$A$3:$A$5001,T$3,BD!$B$3:$B$5001,$A$435,BD!$F$3:$F$5001,"&lt;&gt;")=0,"",SUMIFS(BD!$F$3:$F$5001,BD!$A$3:$A$5001,T$3,BD!$B$3:$B$5001,$A$435)))</f>
        <v/>
      </c>
      <c r="U438" s="179" t="str">
        <f>IF(U$3="","",IF(COUNTIFS(BD!$A$3:$A$5001,U$3,BD!$B$3:$B$5001,$A$435,BD!$F$3:$F$5001,"&lt;&gt;")=0,"",SUMIFS(BD!$F$3:$F$5001,BD!$A$3:$A$5001,U$3,BD!$B$3:$B$5001,$A$435)))</f>
        <v/>
      </c>
      <c r="V438" s="179" t="str">
        <f>IF(V$3="","",IF(COUNTIFS(BD!$A$3:$A$5001,V$3,BD!$B$3:$B$5001,$A$435,BD!$F$3:$F$5001,"&lt;&gt;")=0,"",SUMIFS(BD!$F$3:$F$5001,BD!$A$3:$A$5001,V$3,BD!$B$3:$B$5001,$A$435)))</f>
        <v/>
      </c>
      <c r="W438" s="179" t="str">
        <f>IF(W$3="","",IF(COUNTIFS(BD!$A$3:$A$5001,W$3,BD!$B$3:$B$5001,$A$435,BD!$F$3:$F$5001,"&lt;&gt;")=0,"",SUMIFS(BD!$F$3:$F$5001,BD!$A$3:$A$5001,W$3,BD!$B$3:$B$5001,$A$435)))</f>
        <v/>
      </c>
      <c r="X438" s="179" t="str">
        <f>IF(X$3="","",IF(COUNTIFS(BD!$A$3:$A$5001,X$3,BD!$B$3:$B$5001,$A$435,BD!$F$3:$F$5001,"&lt;&gt;")=0,"",SUMIFS(BD!$F$3:$F$5001,BD!$A$3:$A$5001,X$3,BD!$B$3:$B$5001,$A$435)))</f>
        <v/>
      </c>
      <c r="Y438" s="179" t="str">
        <f>IF(Y$3="","",IF(COUNTIFS(BD!$A$3:$A$5001,Y$3,BD!$B$3:$B$5001,$A$435,BD!$F$3:$F$5001,"&lt;&gt;")=0,"",SUMIFS(BD!$F$3:$F$5001,BD!$A$3:$A$5001,Y$3,BD!$B$3:$B$5001,$A$435)))</f>
        <v/>
      </c>
      <c r="Z438" s="179" t="str">
        <f>IF(Z$3="","",IF(COUNTIFS(BD!$A$3:$A$5001,Z$3,BD!$B$3:$B$5001,$A$435,BD!$F$3:$F$5001,"&lt;&gt;")=0,"",SUMIFS(BD!$F$3:$F$5001,BD!$A$3:$A$5001,Z$3,BD!$B$3:$B$5001,$A$435)))</f>
        <v/>
      </c>
      <c r="AA438" s="179" t="str">
        <f>IF(AA$3="","",IF(COUNTIFS(BD!$A$3:$A$5001,AA$3,BD!$B$3:$B$5001,$A$435,BD!$F$3:$F$5001,"&lt;&gt;")=0,"",SUMIFS(BD!$F$3:$F$5001,BD!$A$3:$A$5001,AA$3,BD!$B$3:$B$5001,$A$435)))</f>
        <v/>
      </c>
      <c r="AB438" s="179" t="str">
        <f>IF(AB$3="","",IF(COUNTIFS(BD!$A$3:$A$5001,AB$3,BD!$B$3:$B$5001,$A$435,BD!$F$3:$F$5001,"&lt;&gt;")=0,"",SUMIFS(BD!$F$3:$F$5001,BD!$A$3:$A$5001,AB$3,BD!$B$3:$B$5001,$A$435)))</f>
        <v/>
      </c>
      <c r="AC438" s="179" t="str">
        <f>IF(AC$3="","",IF(COUNTIFS(BD!$A$3:$A$5001,AC$3,BD!$B$3:$B$5001,$A$435,BD!$F$3:$F$5001,"&lt;&gt;")=0,"",SUMIFS(BD!$F$3:$F$5001,BD!$A$3:$A$5001,AC$3,BD!$B$3:$B$5001,$A$435)))</f>
        <v/>
      </c>
      <c r="AD438" s="179" t="str">
        <f>IF(AD$3="","",IF(COUNTIFS(BD!$A$3:$A$5001,AD$3,BD!$B$3:$B$5001,$A$435,BD!$F$3:$F$5001,"&lt;&gt;")=0,"",SUMIFS(BD!$F$3:$F$5001,BD!$A$3:$A$5001,AD$3,BD!$B$3:$B$5001,$A$435)))</f>
        <v/>
      </c>
      <c r="AE438" s="179" t="str">
        <f>IF(AE$3="","",IF(COUNTIFS(BD!$A$3:$A$5001,AE$3,BD!$B$3:$B$5001,$A$435,BD!$F$3:$F$5001,"&lt;&gt;")=0,"",SUMIFS(BD!$F$3:$F$5001,BD!$A$3:$A$5001,AE$3,BD!$B$3:$B$5001,$A$435)))</f>
        <v/>
      </c>
      <c r="AF438" s="179" t="str">
        <f>IF(AF$3="","",IF(COUNTIFS(BD!$A$3:$A$5001,AF$3,BD!$B$3:$B$5001,$A$435,BD!$F$3:$F$5001,"&lt;&gt;")=0,"",SUMIFS(BD!$F$3:$F$5001,BD!$A$3:$A$5001,AF$3,BD!$B$3:$B$5001,$A$435)))</f>
        <v/>
      </c>
      <c r="AG438" s="179" t="str">
        <f>IF(AG$3="","",IF(COUNTIFS(BD!$A$3:$A$5001,AG$3,BD!$B$3:$B$5001,$A$435,BD!$F$3:$F$5001,"&lt;&gt;")=0,"",SUMIFS(BD!$F$3:$F$5001,BD!$A$3:$A$5001,AG$3,BD!$B$3:$B$5001,$A$435)))</f>
        <v/>
      </c>
      <c r="AH438" s="179" t="str">
        <f>IF(AH$3="","",IF(COUNTIFS(BD!$A$3:$A$5001,AH$3,BD!$B$3:$B$5001,$A$435,BD!$F$3:$F$5001,"&lt;&gt;")=0,"",SUMIFS(BD!$F$3:$F$5001,BD!$A$3:$A$5001,AH$3,BD!$B$3:$B$5001,$A$435)))</f>
        <v/>
      </c>
      <c r="AI438" s="179" t="str">
        <f>IF(AI$3="","",IF(COUNTIFS(BD!$A$3:$A$5001,AI$3,BD!$B$3:$B$5001,$A$435,BD!$F$3:$F$5001,"&lt;&gt;")=0,"",SUMIFS(BD!$F$3:$F$5001,BD!$A$3:$A$5001,AI$3,BD!$B$3:$B$5001,$A$435)))</f>
        <v/>
      </c>
      <c r="AJ438" s="180" t="str">
        <f>IF(AJ$3="","",IF(COUNTIFS(BD!$A$3:$A$5001,AJ$3,BD!$B$3:$B$5001,$A$435,BD!$F$3:$F$5001,"&lt;&gt;")=0,"",SUMIFS(BD!$F$3:$F$5001,BD!$A$3:$A$5001,AJ$3,BD!$B$3:$B$5001,$A$435)))</f>
        <v/>
      </c>
      <c r="AK438" s="181" t="str">
        <f>IF(COUNT(F438:AJ438)=0,"",SUM(F438:AJ438))</f>
        <v/>
      </c>
    </row>
    <row r="439" ht="15.75" customHeight="1" hidden="1">
      <c r="A439" s="277"/>
      <c r="B439" s="266"/>
      <c r="C439" s="186" t="inlineStr">
        <is>
          <t xml:space="preserve">Bags Recebidos</t>
        </is>
      </c>
      <c r="D439" s="187" t="str">
        <f>IFERROR(1/(1/INDEX(BD!$AF$27:$AZ$27,MATCH($A$435,BD!$AF$22:$AZ$22,0))),"")</f>
        <v/>
      </c>
      <c r="E439" s="188"/>
      <c r="F439" s="189" t="str">
        <f>IF(F$3="","",IF(COUNTIFS(BD!$A$3:$A$5001,F$3,BD!$B$3:$B$5001,$A$435,BD!$G$3:$G$5001,"&lt;&gt;")=0,"",SUMIFS(BD!$G$3:$G$5001,BD!$A$3:$A$5001,F$3,BD!$B$3:$B$5001,$A$435)))</f>
        <v/>
      </c>
      <c r="G439" s="190" t="str">
        <f>IF(G$3="","",IF(COUNTIFS(BD!$A$3:$A$5001,G$3,BD!$B$3:$B$5001,$A$435,BD!$G$3:$G$5001,"&lt;&gt;")=0,"",SUMIFS(BD!$G$3:$G$5001,BD!$A$3:$A$5001,G$3,BD!$B$3:$B$5001,$A$435)))</f>
        <v/>
      </c>
      <c r="H439" s="190" t="str">
        <f>IF(H$3="","",IF(COUNTIFS(BD!$A$3:$A$5001,H$3,BD!$B$3:$B$5001,$A$435,BD!$G$3:$G$5001,"&lt;&gt;")=0,"",SUMIFS(BD!$G$3:$G$5001,BD!$A$3:$A$5001,H$3,BD!$B$3:$B$5001,$A$435)))</f>
        <v/>
      </c>
      <c r="I439" s="190" t="str">
        <f>IF(I$3="","",IF(COUNTIFS(BD!$A$3:$A$5001,I$3,BD!$B$3:$B$5001,$A$435,BD!$G$3:$G$5001,"&lt;&gt;")=0,"",SUMIFS(BD!$G$3:$G$5001,BD!$A$3:$A$5001,I$3,BD!$B$3:$B$5001,$A$435)))</f>
        <v/>
      </c>
      <c r="J439" s="190" t="str">
        <f>IF(J$3="","",IF(COUNTIFS(BD!$A$3:$A$5001,J$3,BD!$B$3:$B$5001,$A$435,BD!$G$3:$G$5001,"&lt;&gt;")=0,"",SUMIFS(BD!$G$3:$G$5001,BD!$A$3:$A$5001,J$3,BD!$B$3:$B$5001,$A$435)))</f>
        <v/>
      </c>
      <c r="K439" s="190" t="str">
        <f>IF(K$3="","",IF(COUNTIFS(BD!$A$3:$A$5001,K$3,BD!$B$3:$B$5001,$A$435,BD!$G$3:$G$5001,"&lt;&gt;")=0,"",SUMIFS(BD!$G$3:$G$5001,BD!$A$3:$A$5001,K$3,BD!$B$3:$B$5001,$A$435)))</f>
        <v/>
      </c>
      <c r="L439" s="190" t="str">
        <f>IF(L$3="","",IF(COUNTIFS(BD!$A$3:$A$5001,L$3,BD!$B$3:$B$5001,$A$435,BD!$G$3:$G$5001,"&lt;&gt;")=0,"",SUMIFS(BD!$G$3:$G$5001,BD!$A$3:$A$5001,L$3,BD!$B$3:$B$5001,$A$435)))</f>
        <v/>
      </c>
      <c r="M439" s="190" t="str">
        <f>IF(M$3="","",IF(COUNTIFS(BD!$A$3:$A$5001,M$3,BD!$B$3:$B$5001,$A$435,BD!$G$3:$G$5001,"&lt;&gt;")=0,"",SUMIFS(BD!$G$3:$G$5001,BD!$A$3:$A$5001,M$3,BD!$B$3:$B$5001,$A$435)))</f>
        <v/>
      </c>
      <c r="N439" s="190" t="str">
        <f>IF(N$3="","",IF(COUNTIFS(BD!$A$3:$A$5001,N$3,BD!$B$3:$B$5001,$A$435,BD!$G$3:$G$5001,"&lt;&gt;")=0,"",SUMIFS(BD!$G$3:$G$5001,BD!$A$3:$A$5001,N$3,BD!$B$3:$B$5001,$A$435)))</f>
        <v/>
      </c>
      <c r="O439" s="190" t="str">
        <f>IF(O$3="","",IF(COUNTIFS(BD!$A$3:$A$5001,O$3,BD!$B$3:$B$5001,$A$435,BD!$G$3:$G$5001,"&lt;&gt;")=0,"",SUMIFS(BD!$G$3:$G$5001,BD!$A$3:$A$5001,O$3,BD!$B$3:$B$5001,$A$435)))</f>
        <v/>
      </c>
      <c r="P439" s="190" t="str">
        <f>IF(P$3="","",IF(COUNTIFS(BD!$A$3:$A$5001,P$3,BD!$B$3:$B$5001,$A$435,BD!$G$3:$G$5001,"&lt;&gt;")=0,"",SUMIFS(BD!$G$3:$G$5001,BD!$A$3:$A$5001,P$3,BD!$B$3:$B$5001,$A$435)))</f>
        <v/>
      </c>
      <c r="Q439" s="190" t="str">
        <f>IF(Q$3="","",IF(COUNTIFS(BD!$A$3:$A$5001,Q$3,BD!$B$3:$B$5001,$A$435,BD!$G$3:$G$5001,"&lt;&gt;")=0,"",SUMIFS(BD!$G$3:$G$5001,BD!$A$3:$A$5001,Q$3,BD!$B$3:$B$5001,$A$435)))</f>
        <v/>
      </c>
      <c r="R439" s="190" t="str">
        <f>IF(R$3="","",IF(COUNTIFS(BD!$A$3:$A$5001,R$3,BD!$B$3:$B$5001,$A$435,BD!$G$3:$G$5001,"&lt;&gt;")=0,"",SUMIFS(BD!$G$3:$G$5001,BD!$A$3:$A$5001,R$3,BD!$B$3:$B$5001,$A$435)))</f>
        <v/>
      </c>
      <c r="S439" s="190" t="str">
        <f>IF(S$3="","",IF(COUNTIFS(BD!$A$3:$A$5001,S$3,BD!$B$3:$B$5001,$A$435,BD!$G$3:$G$5001,"&lt;&gt;")=0,"",SUMIFS(BD!$G$3:$G$5001,BD!$A$3:$A$5001,S$3,BD!$B$3:$B$5001,$A$435)))</f>
        <v/>
      </c>
      <c r="T439" s="190" t="str">
        <f>IF(T$3="","",IF(COUNTIFS(BD!$A$3:$A$5001,T$3,BD!$B$3:$B$5001,$A$435,BD!$G$3:$G$5001,"&lt;&gt;")=0,"",SUMIFS(BD!$G$3:$G$5001,BD!$A$3:$A$5001,T$3,BD!$B$3:$B$5001,$A$435)))</f>
        <v/>
      </c>
      <c r="U439" s="190" t="str">
        <f>IF(U$3="","",IF(COUNTIFS(BD!$A$3:$A$5001,U$3,BD!$B$3:$B$5001,$A$435,BD!$G$3:$G$5001,"&lt;&gt;")=0,"",SUMIFS(BD!$G$3:$G$5001,BD!$A$3:$A$5001,U$3,BD!$B$3:$B$5001,$A$435)))</f>
        <v/>
      </c>
      <c r="V439" s="190" t="str">
        <f>IF(V$3="","",IF(COUNTIFS(BD!$A$3:$A$5001,V$3,BD!$B$3:$B$5001,$A$435,BD!$G$3:$G$5001,"&lt;&gt;")=0,"",SUMIFS(BD!$G$3:$G$5001,BD!$A$3:$A$5001,V$3,BD!$B$3:$B$5001,$A$435)))</f>
        <v/>
      </c>
      <c r="W439" s="190" t="str">
        <f>IF(W$3="","",IF(COUNTIFS(BD!$A$3:$A$5001,W$3,BD!$B$3:$B$5001,$A$435,BD!$G$3:$G$5001,"&lt;&gt;")=0,"",SUMIFS(BD!$G$3:$G$5001,BD!$A$3:$A$5001,W$3,BD!$B$3:$B$5001,$A$435)))</f>
        <v/>
      </c>
      <c r="X439" s="190" t="str">
        <f>IF(X$3="","",IF(COUNTIFS(BD!$A$3:$A$5001,X$3,BD!$B$3:$B$5001,$A$435,BD!$G$3:$G$5001,"&lt;&gt;")=0,"",SUMIFS(BD!$G$3:$G$5001,BD!$A$3:$A$5001,X$3,BD!$B$3:$B$5001,$A$435)))</f>
        <v/>
      </c>
      <c r="Y439" s="190" t="str">
        <f>IF(Y$3="","",IF(COUNTIFS(BD!$A$3:$A$5001,Y$3,BD!$B$3:$B$5001,$A$435,BD!$G$3:$G$5001,"&lt;&gt;")=0,"",SUMIFS(BD!$G$3:$G$5001,BD!$A$3:$A$5001,Y$3,BD!$B$3:$B$5001,$A$435)))</f>
        <v/>
      </c>
      <c r="Z439" s="190" t="str">
        <f>IF(Z$3="","",IF(COUNTIFS(BD!$A$3:$A$5001,Z$3,BD!$B$3:$B$5001,$A$435,BD!$G$3:$G$5001,"&lt;&gt;")=0,"",SUMIFS(BD!$G$3:$G$5001,BD!$A$3:$A$5001,Z$3,BD!$B$3:$B$5001,$A$435)))</f>
        <v/>
      </c>
      <c r="AA439" s="190" t="str">
        <f>IF(AA$3="","",IF(COUNTIFS(BD!$A$3:$A$5001,AA$3,BD!$B$3:$B$5001,$A$435,BD!$G$3:$G$5001,"&lt;&gt;")=0,"",SUMIFS(BD!$G$3:$G$5001,BD!$A$3:$A$5001,AA$3,BD!$B$3:$B$5001,$A$435)))</f>
        <v/>
      </c>
      <c r="AB439" s="190" t="str">
        <f>IF(AB$3="","",IF(COUNTIFS(BD!$A$3:$A$5001,AB$3,BD!$B$3:$B$5001,$A$435,BD!$G$3:$G$5001,"&lt;&gt;")=0,"",SUMIFS(BD!$G$3:$G$5001,BD!$A$3:$A$5001,AB$3,BD!$B$3:$B$5001,$A$435)))</f>
        <v/>
      </c>
      <c r="AC439" s="190" t="str">
        <f>IF(AC$3="","",IF(COUNTIFS(BD!$A$3:$A$5001,AC$3,BD!$B$3:$B$5001,$A$435,BD!$G$3:$G$5001,"&lt;&gt;")=0,"",SUMIFS(BD!$G$3:$G$5001,BD!$A$3:$A$5001,AC$3,BD!$B$3:$B$5001,$A$435)))</f>
        <v/>
      </c>
      <c r="AD439" s="190" t="str">
        <f>IF(AD$3="","",IF(COUNTIFS(BD!$A$3:$A$5001,AD$3,BD!$B$3:$B$5001,$A$435,BD!$G$3:$G$5001,"&lt;&gt;")=0,"",SUMIFS(BD!$G$3:$G$5001,BD!$A$3:$A$5001,AD$3,BD!$B$3:$B$5001,$A$435)))</f>
        <v/>
      </c>
      <c r="AE439" s="190" t="str">
        <f>IF(AE$3="","",IF(COUNTIFS(BD!$A$3:$A$5001,AE$3,BD!$B$3:$B$5001,$A$435,BD!$G$3:$G$5001,"&lt;&gt;")=0,"",SUMIFS(BD!$G$3:$G$5001,BD!$A$3:$A$5001,AE$3,BD!$B$3:$B$5001,$A$435)))</f>
        <v/>
      </c>
      <c r="AF439" s="190" t="str">
        <f>IF(AF$3="","",IF(COUNTIFS(BD!$A$3:$A$5001,AF$3,BD!$B$3:$B$5001,$A$435,BD!$G$3:$G$5001,"&lt;&gt;")=0,"",SUMIFS(BD!$G$3:$G$5001,BD!$A$3:$A$5001,AF$3,BD!$B$3:$B$5001,$A$435)))</f>
        <v/>
      </c>
      <c r="AG439" s="190" t="str">
        <f>IF(AG$3="","",IF(COUNTIFS(BD!$A$3:$A$5001,AG$3,BD!$B$3:$B$5001,$A$435,BD!$G$3:$G$5001,"&lt;&gt;")=0,"",SUMIFS(BD!$G$3:$G$5001,BD!$A$3:$A$5001,AG$3,BD!$B$3:$B$5001,$A$435)))</f>
        <v/>
      </c>
      <c r="AH439" s="190" t="str">
        <f>IF(AH$3="","",IF(COUNTIFS(BD!$A$3:$A$5001,AH$3,BD!$B$3:$B$5001,$A$435,BD!$G$3:$G$5001,"&lt;&gt;")=0,"",SUMIFS(BD!$G$3:$G$5001,BD!$A$3:$A$5001,AH$3,BD!$B$3:$B$5001,$A$435)))</f>
        <v/>
      </c>
      <c r="AI439" s="190" t="str">
        <f>IF(AI$3="","",IF(COUNTIFS(BD!$A$3:$A$5001,AI$3,BD!$B$3:$B$5001,$A$435,BD!$G$3:$G$5001,"&lt;&gt;")=0,"",SUMIFS(BD!$G$3:$G$5001,BD!$A$3:$A$5001,AI$3,BD!$B$3:$B$5001,$A$435)))</f>
        <v/>
      </c>
      <c r="AJ439" s="191" t="str">
        <f>IF(AJ$3="","",IF(COUNTIFS(BD!$A$3:$A$5001,AJ$3,BD!$B$3:$B$5001,$A$435,BD!$G$3:$G$5001,"&lt;&gt;")=0,"",SUMIFS(BD!$G$3:$G$5001,BD!$A$3:$A$5001,AJ$3,BD!$B$3:$B$5001,$A$435)))</f>
        <v/>
      </c>
      <c r="AK439" s="187" t="str">
        <f>IF(COUNT(F439:AJ439)=0,"",SUM(F439:AJ439))</f>
        <v/>
      </c>
    </row>
    <row r="440" ht="15.75" customHeight="1" hidden="1">
      <c r="A440" s="277"/>
      <c r="B440" s="267" t="inlineStr">
        <is>
          <t xml:space="preserve">OUT</t>
        </is>
      </c>
      <c r="C440" s="192" t="inlineStr">
        <is>
          <t xml:space="preserve">Veículos Expedidos</t>
        </is>
      </c>
      <c r="D440" s="193" t="str">
        <f>IFERROR(1/(1/INDEX(BD!$AF$28:$AZ$28,MATCH($A$435,BD!$AF$22:$AZ$22,0))),"")</f>
        <v/>
      </c>
      <c r="E440" s="194"/>
      <c r="F440" s="195" t="str">
        <f>IF(F$3="","",IF(COUNTIFS(BD!$A$3:$A$5001,F$3,BD!$B$3:$B$5001,$A$435,BD!$H$3:$H$5001,"&lt;&gt;")=0,"",SUMIFS(BD!$H$3:$H$5001,BD!$A$3:$A$5001,F$3,BD!$B$3:$B$5001,$A$435)))</f>
        <v/>
      </c>
      <c r="G440" s="196" t="str">
        <f>IF(G$3="","",IF(COUNTIFS(BD!$A$3:$A$5001,G$3,BD!$B$3:$B$5001,$A$435,BD!$H$3:$H$5001,"&lt;&gt;")=0,"",SUMIFS(BD!$H$3:$H$5001,BD!$A$3:$A$5001,G$3,BD!$B$3:$B$5001,$A$435)))</f>
        <v/>
      </c>
      <c r="H440" s="196" t="str">
        <f>IF(H$3="","",IF(COUNTIFS(BD!$A$3:$A$5001,H$3,BD!$B$3:$B$5001,$A$435,BD!$H$3:$H$5001,"&lt;&gt;")=0,"",SUMIFS(BD!$H$3:$H$5001,BD!$A$3:$A$5001,H$3,BD!$B$3:$B$5001,$A$435)))</f>
        <v/>
      </c>
      <c r="I440" s="196" t="str">
        <f>IF(I$3="","",IF(COUNTIFS(BD!$A$3:$A$5001,I$3,BD!$B$3:$B$5001,$A$435,BD!$H$3:$H$5001,"&lt;&gt;")=0,"",SUMIFS(BD!$H$3:$H$5001,BD!$A$3:$A$5001,I$3,BD!$B$3:$B$5001,$A$435)))</f>
        <v/>
      </c>
      <c r="J440" s="196" t="str">
        <f>IF(J$3="","",IF(COUNTIFS(BD!$A$3:$A$5001,J$3,BD!$B$3:$B$5001,$A$435,BD!$H$3:$H$5001,"&lt;&gt;")=0,"",SUMIFS(BD!$H$3:$H$5001,BD!$A$3:$A$5001,J$3,BD!$B$3:$B$5001,$A$435)))</f>
        <v/>
      </c>
      <c r="K440" s="196" t="str">
        <f>IF(K$3="","",IF(COUNTIFS(BD!$A$3:$A$5001,K$3,BD!$B$3:$B$5001,$A$435,BD!$H$3:$H$5001,"&lt;&gt;")=0,"",SUMIFS(BD!$H$3:$H$5001,BD!$A$3:$A$5001,K$3,BD!$B$3:$B$5001,$A$435)))</f>
        <v/>
      </c>
      <c r="L440" s="196" t="str">
        <f>IF(L$3="","",IF(COUNTIFS(BD!$A$3:$A$5001,L$3,BD!$B$3:$B$5001,$A$435,BD!$H$3:$H$5001,"&lt;&gt;")=0,"",SUMIFS(BD!$H$3:$H$5001,BD!$A$3:$A$5001,L$3,BD!$B$3:$B$5001,$A$435)))</f>
        <v/>
      </c>
      <c r="M440" s="196" t="str">
        <f>IF(M$3="","",IF(COUNTIFS(BD!$A$3:$A$5001,M$3,BD!$B$3:$B$5001,$A$435,BD!$H$3:$H$5001,"&lt;&gt;")=0,"",SUMIFS(BD!$H$3:$H$5001,BD!$A$3:$A$5001,M$3,BD!$B$3:$B$5001,$A$435)))</f>
        <v/>
      </c>
      <c r="N440" s="196" t="str">
        <f>IF(N$3="","",IF(COUNTIFS(BD!$A$3:$A$5001,N$3,BD!$B$3:$B$5001,$A$435,BD!$H$3:$H$5001,"&lt;&gt;")=0,"",SUMIFS(BD!$H$3:$H$5001,BD!$A$3:$A$5001,N$3,BD!$B$3:$B$5001,$A$435)))</f>
        <v/>
      </c>
      <c r="O440" s="196" t="str">
        <f>IF(O$3="","",IF(COUNTIFS(BD!$A$3:$A$5001,O$3,BD!$B$3:$B$5001,$A$435,BD!$H$3:$H$5001,"&lt;&gt;")=0,"",SUMIFS(BD!$H$3:$H$5001,BD!$A$3:$A$5001,O$3,BD!$B$3:$B$5001,$A$435)))</f>
        <v/>
      </c>
      <c r="P440" s="196" t="str">
        <f>IF(P$3="","",IF(COUNTIFS(BD!$A$3:$A$5001,P$3,BD!$B$3:$B$5001,$A$435,BD!$H$3:$H$5001,"&lt;&gt;")=0,"",SUMIFS(BD!$H$3:$H$5001,BD!$A$3:$A$5001,P$3,BD!$B$3:$B$5001,$A$435)))</f>
        <v/>
      </c>
      <c r="Q440" s="196" t="str">
        <f>IF(Q$3="","",IF(COUNTIFS(BD!$A$3:$A$5001,Q$3,BD!$B$3:$B$5001,$A$435,BD!$H$3:$H$5001,"&lt;&gt;")=0,"",SUMIFS(BD!$H$3:$H$5001,BD!$A$3:$A$5001,Q$3,BD!$B$3:$B$5001,$A$435)))</f>
        <v/>
      </c>
      <c r="R440" s="196" t="str">
        <f>IF(R$3="","",IF(COUNTIFS(BD!$A$3:$A$5001,R$3,BD!$B$3:$B$5001,$A$435,BD!$H$3:$H$5001,"&lt;&gt;")=0,"",SUMIFS(BD!$H$3:$H$5001,BD!$A$3:$A$5001,R$3,BD!$B$3:$B$5001,$A$435)))</f>
        <v/>
      </c>
      <c r="S440" s="196" t="str">
        <f>IF(S$3="","",IF(COUNTIFS(BD!$A$3:$A$5001,S$3,BD!$B$3:$B$5001,$A$435,BD!$H$3:$H$5001,"&lt;&gt;")=0,"",SUMIFS(BD!$H$3:$H$5001,BD!$A$3:$A$5001,S$3,BD!$B$3:$B$5001,$A$435)))</f>
        <v/>
      </c>
      <c r="T440" s="196" t="str">
        <f>IF(T$3="","",IF(COUNTIFS(BD!$A$3:$A$5001,T$3,BD!$B$3:$B$5001,$A$435,BD!$H$3:$H$5001,"&lt;&gt;")=0,"",SUMIFS(BD!$H$3:$H$5001,BD!$A$3:$A$5001,T$3,BD!$B$3:$B$5001,$A$435)))</f>
        <v/>
      </c>
      <c r="U440" s="196" t="str">
        <f>IF(U$3="","",IF(COUNTIFS(BD!$A$3:$A$5001,U$3,BD!$B$3:$B$5001,$A$435,BD!$H$3:$H$5001,"&lt;&gt;")=0,"",SUMIFS(BD!$H$3:$H$5001,BD!$A$3:$A$5001,U$3,BD!$B$3:$B$5001,$A$435)))</f>
        <v/>
      </c>
      <c r="V440" s="196" t="str">
        <f>IF(V$3="","",IF(COUNTIFS(BD!$A$3:$A$5001,V$3,BD!$B$3:$B$5001,$A$435,BD!$H$3:$H$5001,"&lt;&gt;")=0,"",SUMIFS(BD!$H$3:$H$5001,BD!$A$3:$A$5001,V$3,BD!$B$3:$B$5001,$A$435)))</f>
        <v/>
      </c>
      <c r="W440" s="196" t="str">
        <f>IF(W$3="","",IF(COUNTIFS(BD!$A$3:$A$5001,W$3,BD!$B$3:$B$5001,$A$435,BD!$H$3:$H$5001,"&lt;&gt;")=0,"",SUMIFS(BD!$H$3:$H$5001,BD!$A$3:$A$5001,W$3,BD!$B$3:$B$5001,$A$435)))</f>
        <v/>
      </c>
      <c r="X440" s="196" t="str">
        <f>IF(X$3="","",IF(COUNTIFS(BD!$A$3:$A$5001,X$3,BD!$B$3:$B$5001,$A$435,BD!$H$3:$H$5001,"&lt;&gt;")=0,"",SUMIFS(BD!$H$3:$H$5001,BD!$A$3:$A$5001,X$3,BD!$B$3:$B$5001,$A$435)))</f>
        <v/>
      </c>
      <c r="Y440" s="196" t="str">
        <f>IF(Y$3="","",IF(COUNTIFS(BD!$A$3:$A$5001,Y$3,BD!$B$3:$B$5001,$A$435,BD!$H$3:$H$5001,"&lt;&gt;")=0,"",SUMIFS(BD!$H$3:$H$5001,BD!$A$3:$A$5001,Y$3,BD!$B$3:$B$5001,$A$435)))</f>
        <v/>
      </c>
      <c r="Z440" s="196" t="str">
        <f>IF(Z$3="","",IF(COUNTIFS(BD!$A$3:$A$5001,Z$3,BD!$B$3:$B$5001,$A$435,BD!$H$3:$H$5001,"&lt;&gt;")=0,"",SUMIFS(BD!$H$3:$H$5001,BD!$A$3:$A$5001,Z$3,BD!$B$3:$B$5001,$A$435)))</f>
        <v/>
      </c>
      <c r="AA440" s="196" t="str">
        <f>IF(AA$3="","",IF(COUNTIFS(BD!$A$3:$A$5001,AA$3,BD!$B$3:$B$5001,$A$435,BD!$H$3:$H$5001,"&lt;&gt;")=0,"",SUMIFS(BD!$H$3:$H$5001,BD!$A$3:$A$5001,AA$3,BD!$B$3:$B$5001,$A$435)))</f>
        <v/>
      </c>
      <c r="AB440" s="196" t="str">
        <f>IF(AB$3="","",IF(COUNTIFS(BD!$A$3:$A$5001,AB$3,BD!$B$3:$B$5001,$A$435,BD!$H$3:$H$5001,"&lt;&gt;")=0,"",SUMIFS(BD!$H$3:$H$5001,BD!$A$3:$A$5001,AB$3,BD!$B$3:$B$5001,$A$435)))</f>
        <v/>
      </c>
      <c r="AC440" s="196" t="str">
        <f>IF(AC$3="","",IF(COUNTIFS(BD!$A$3:$A$5001,AC$3,BD!$B$3:$B$5001,$A$435,BD!$H$3:$H$5001,"&lt;&gt;")=0,"",SUMIFS(BD!$H$3:$H$5001,BD!$A$3:$A$5001,AC$3,BD!$B$3:$B$5001,$A$435)))</f>
        <v/>
      </c>
      <c r="AD440" s="196" t="str">
        <f>IF(AD$3="","",IF(COUNTIFS(BD!$A$3:$A$5001,AD$3,BD!$B$3:$B$5001,$A$435,BD!$H$3:$H$5001,"&lt;&gt;")=0,"",SUMIFS(BD!$H$3:$H$5001,BD!$A$3:$A$5001,AD$3,BD!$B$3:$B$5001,$A$435)))</f>
        <v/>
      </c>
      <c r="AE440" s="196" t="str">
        <f>IF(AE$3="","",IF(COUNTIFS(BD!$A$3:$A$5001,AE$3,BD!$B$3:$B$5001,$A$435,BD!$H$3:$H$5001,"&lt;&gt;")=0,"",SUMIFS(BD!$H$3:$H$5001,BD!$A$3:$A$5001,AE$3,BD!$B$3:$B$5001,$A$435)))</f>
        <v/>
      </c>
      <c r="AF440" s="196" t="str">
        <f>IF(AF$3="","",IF(COUNTIFS(BD!$A$3:$A$5001,AF$3,BD!$B$3:$B$5001,$A$435,BD!$H$3:$H$5001,"&lt;&gt;")=0,"",SUMIFS(BD!$H$3:$H$5001,BD!$A$3:$A$5001,AF$3,BD!$B$3:$B$5001,$A$435)))</f>
        <v/>
      </c>
      <c r="AG440" s="196" t="str">
        <f>IF(AG$3="","",IF(COUNTIFS(BD!$A$3:$A$5001,AG$3,BD!$B$3:$B$5001,$A$435,BD!$H$3:$H$5001,"&lt;&gt;")=0,"",SUMIFS(BD!$H$3:$H$5001,BD!$A$3:$A$5001,AG$3,BD!$B$3:$B$5001,$A$435)))</f>
        <v/>
      </c>
      <c r="AH440" s="196" t="str">
        <f>IF(AH$3="","",IF(COUNTIFS(BD!$A$3:$A$5001,AH$3,BD!$B$3:$B$5001,$A$435,BD!$H$3:$H$5001,"&lt;&gt;")=0,"",SUMIFS(BD!$H$3:$H$5001,BD!$A$3:$A$5001,AH$3,BD!$B$3:$B$5001,$A$435)))</f>
        <v/>
      </c>
      <c r="AI440" s="196" t="str">
        <f>IF(AI$3="","",IF(COUNTIFS(BD!$A$3:$A$5001,AI$3,BD!$B$3:$B$5001,$A$435,BD!$H$3:$H$5001,"&lt;&gt;")=0,"",SUMIFS(BD!$H$3:$H$5001,BD!$A$3:$A$5001,AI$3,BD!$B$3:$B$5001,$A$435)))</f>
        <v/>
      </c>
      <c r="AJ440" s="197" t="str">
        <f>IF(AJ$3="","",IF(COUNTIFS(BD!$A$3:$A$5001,AJ$3,BD!$B$3:$B$5001,$A$435,BD!$H$3:$H$5001,"&lt;&gt;")=0,"",SUMIFS(BD!$H$3:$H$5001,BD!$A$3:$A$5001,AJ$3,BD!$B$3:$B$5001,$A$435)))</f>
        <v/>
      </c>
      <c r="AK440" s="198" t="str">
        <f>IF(COUNT(F440:AJ440)=0,"",SUM(F440:AJ440))</f>
        <v/>
      </c>
    </row>
    <row r="441" ht="15.75" customHeight="1" hidden="1">
      <c r="A441" s="277"/>
      <c r="B441" s="268"/>
      <c r="C441" s="199" t="inlineStr">
        <is>
          <t xml:space="preserve">Pallets Movimentados</t>
        </is>
      </c>
      <c r="D441" s="200" t="str">
        <f>IFERROR(1/(1/INDEX(BD!$AF$29:$AZ$29,MATCH($A$435,BD!$AF$22:$AZ$22,0))),"")</f>
        <v/>
      </c>
      <c r="E441" s="201"/>
      <c r="F441" s="202" t="str">
        <f>IF(F$3="","",IF(COUNTIFS(BD!$A$3:$A$5001,F$3,BD!$B$3:$B$5001,$A$435,BD!$I$3:$I$5001,"&lt;&gt;")=0,"",SUMIFS(BD!$I$3:$I$5001,BD!$A$3:$A$5001,F$3,BD!$B$3:$B$5001,$A$435)))</f>
        <v/>
      </c>
      <c r="G441" s="203" t="str">
        <f>IF(G$3="","",IF(COUNTIFS(BD!$A$3:$A$5001,G$3,BD!$B$3:$B$5001,$A$435,BD!$I$3:$I$5001,"&lt;&gt;")=0,"",SUMIFS(BD!$I$3:$I$5001,BD!$A$3:$A$5001,G$3,BD!$B$3:$B$5001,$A$435)))</f>
        <v/>
      </c>
      <c r="H441" s="203" t="str">
        <f>IF(H$3="","",IF(COUNTIFS(BD!$A$3:$A$5001,H$3,BD!$B$3:$B$5001,$A$435,BD!$I$3:$I$5001,"&lt;&gt;")=0,"",SUMIFS(BD!$I$3:$I$5001,BD!$A$3:$A$5001,H$3,BD!$B$3:$B$5001,$A$435)))</f>
        <v/>
      </c>
      <c r="I441" s="203" t="str">
        <f>IF(I$3="","",IF(COUNTIFS(BD!$A$3:$A$5001,I$3,BD!$B$3:$B$5001,$A$435,BD!$I$3:$I$5001,"&lt;&gt;")=0,"",SUMIFS(BD!$I$3:$I$5001,BD!$A$3:$A$5001,I$3,BD!$B$3:$B$5001,$A$435)))</f>
        <v/>
      </c>
      <c r="J441" s="203" t="str">
        <f>IF(J$3="","",IF(COUNTIFS(BD!$A$3:$A$5001,J$3,BD!$B$3:$B$5001,$A$435,BD!$I$3:$I$5001,"&lt;&gt;")=0,"",SUMIFS(BD!$I$3:$I$5001,BD!$A$3:$A$5001,J$3,BD!$B$3:$B$5001,$A$435)))</f>
        <v/>
      </c>
      <c r="K441" s="203" t="str">
        <f>IF(K$3="","",IF(COUNTIFS(BD!$A$3:$A$5001,K$3,BD!$B$3:$B$5001,$A$435,BD!$I$3:$I$5001,"&lt;&gt;")=0,"",SUMIFS(BD!$I$3:$I$5001,BD!$A$3:$A$5001,K$3,BD!$B$3:$B$5001,$A$435)))</f>
        <v/>
      </c>
      <c r="L441" s="203" t="str">
        <f>IF(L$3="","",IF(COUNTIFS(BD!$A$3:$A$5001,L$3,BD!$B$3:$B$5001,$A$435,BD!$I$3:$I$5001,"&lt;&gt;")=0,"",SUMIFS(BD!$I$3:$I$5001,BD!$A$3:$A$5001,L$3,BD!$B$3:$B$5001,$A$435)))</f>
        <v/>
      </c>
      <c r="M441" s="203" t="str">
        <f>IF(M$3="","",IF(COUNTIFS(BD!$A$3:$A$5001,M$3,BD!$B$3:$B$5001,$A$435,BD!$I$3:$I$5001,"&lt;&gt;")=0,"",SUMIFS(BD!$I$3:$I$5001,BD!$A$3:$A$5001,M$3,BD!$B$3:$B$5001,$A$435)))</f>
        <v/>
      </c>
      <c r="N441" s="203" t="str">
        <f>IF(N$3="","",IF(COUNTIFS(BD!$A$3:$A$5001,N$3,BD!$B$3:$B$5001,$A$435,BD!$I$3:$I$5001,"&lt;&gt;")=0,"",SUMIFS(BD!$I$3:$I$5001,BD!$A$3:$A$5001,N$3,BD!$B$3:$B$5001,$A$435)))</f>
        <v/>
      </c>
      <c r="O441" s="203" t="str">
        <f>IF(O$3="","",IF(COUNTIFS(BD!$A$3:$A$5001,O$3,BD!$B$3:$B$5001,$A$435,BD!$I$3:$I$5001,"&lt;&gt;")=0,"",SUMIFS(BD!$I$3:$I$5001,BD!$A$3:$A$5001,O$3,BD!$B$3:$B$5001,$A$435)))</f>
        <v/>
      </c>
      <c r="P441" s="203" t="str">
        <f>IF(P$3="","",IF(COUNTIFS(BD!$A$3:$A$5001,P$3,BD!$B$3:$B$5001,$A$435,BD!$I$3:$I$5001,"&lt;&gt;")=0,"",SUMIFS(BD!$I$3:$I$5001,BD!$A$3:$A$5001,P$3,BD!$B$3:$B$5001,$A$435)))</f>
        <v/>
      </c>
      <c r="Q441" s="203" t="str">
        <f>IF(Q$3="","",IF(COUNTIFS(BD!$A$3:$A$5001,Q$3,BD!$B$3:$B$5001,$A$435,BD!$I$3:$I$5001,"&lt;&gt;")=0,"",SUMIFS(BD!$I$3:$I$5001,BD!$A$3:$A$5001,Q$3,BD!$B$3:$B$5001,$A$435)))</f>
        <v/>
      </c>
      <c r="R441" s="203" t="str">
        <f>IF(R$3="","",IF(COUNTIFS(BD!$A$3:$A$5001,R$3,BD!$B$3:$B$5001,$A$435,BD!$I$3:$I$5001,"&lt;&gt;")=0,"",SUMIFS(BD!$I$3:$I$5001,BD!$A$3:$A$5001,R$3,BD!$B$3:$B$5001,$A$435)))</f>
        <v/>
      </c>
      <c r="S441" s="203" t="str">
        <f>IF(S$3="","",IF(COUNTIFS(BD!$A$3:$A$5001,S$3,BD!$B$3:$B$5001,$A$435,BD!$I$3:$I$5001,"&lt;&gt;")=0,"",SUMIFS(BD!$I$3:$I$5001,BD!$A$3:$A$5001,S$3,BD!$B$3:$B$5001,$A$435)))</f>
        <v/>
      </c>
      <c r="T441" s="203" t="str">
        <f>IF(T$3="","",IF(COUNTIFS(BD!$A$3:$A$5001,T$3,BD!$B$3:$B$5001,$A$435,BD!$I$3:$I$5001,"&lt;&gt;")=0,"",SUMIFS(BD!$I$3:$I$5001,BD!$A$3:$A$5001,T$3,BD!$B$3:$B$5001,$A$435)))</f>
        <v/>
      </c>
      <c r="U441" s="203" t="str">
        <f>IF(U$3="","",IF(COUNTIFS(BD!$A$3:$A$5001,U$3,BD!$B$3:$B$5001,$A$435,BD!$I$3:$I$5001,"&lt;&gt;")=0,"",SUMIFS(BD!$I$3:$I$5001,BD!$A$3:$A$5001,U$3,BD!$B$3:$B$5001,$A$435)))</f>
        <v/>
      </c>
      <c r="V441" s="203" t="str">
        <f>IF(V$3="","",IF(COUNTIFS(BD!$A$3:$A$5001,V$3,BD!$B$3:$B$5001,$A$435,BD!$I$3:$I$5001,"&lt;&gt;")=0,"",SUMIFS(BD!$I$3:$I$5001,BD!$A$3:$A$5001,V$3,BD!$B$3:$B$5001,$A$435)))</f>
        <v/>
      </c>
      <c r="W441" s="203" t="str">
        <f>IF(W$3="","",IF(COUNTIFS(BD!$A$3:$A$5001,W$3,BD!$B$3:$B$5001,$A$435,BD!$I$3:$I$5001,"&lt;&gt;")=0,"",SUMIFS(BD!$I$3:$I$5001,BD!$A$3:$A$5001,W$3,BD!$B$3:$B$5001,$A$435)))</f>
        <v/>
      </c>
      <c r="X441" s="203" t="str">
        <f>IF(X$3="","",IF(COUNTIFS(BD!$A$3:$A$5001,X$3,BD!$B$3:$B$5001,$A$435,BD!$I$3:$I$5001,"&lt;&gt;")=0,"",SUMIFS(BD!$I$3:$I$5001,BD!$A$3:$A$5001,X$3,BD!$B$3:$B$5001,$A$435)))</f>
        <v/>
      </c>
      <c r="Y441" s="203" t="str">
        <f>IF(Y$3="","",IF(COUNTIFS(BD!$A$3:$A$5001,Y$3,BD!$B$3:$B$5001,$A$435,BD!$I$3:$I$5001,"&lt;&gt;")=0,"",SUMIFS(BD!$I$3:$I$5001,BD!$A$3:$A$5001,Y$3,BD!$B$3:$B$5001,$A$435)))</f>
        <v/>
      </c>
      <c r="Z441" s="203" t="str">
        <f>IF(Z$3="","",IF(COUNTIFS(BD!$A$3:$A$5001,Z$3,BD!$B$3:$B$5001,$A$435,BD!$I$3:$I$5001,"&lt;&gt;")=0,"",SUMIFS(BD!$I$3:$I$5001,BD!$A$3:$A$5001,Z$3,BD!$B$3:$B$5001,$A$435)))</f>
        <v/>
      </c>
      <c r="AA441" s="203" t="str">
        <f>IF(AA$3="","",IF(COUNTIFS(BD!$A$3:$A$5001,AA$3,BD!$B$3:$B$5001,$A$435,BD!$I$3:$I$5001,"&lt;&gt;")=0,"",SUMIFS(BD!$I$3:$I$5001,BD!$A$3:$A$5001,AA$3,BD!$B$3:$B$5001,$A$435)))</f>
        <v/>
      </c>
      <c r="AB441" s="203" t="str">
        <f>IF(AB$3="","",IF(COUNTIFS(BD!$A$3:$A$5001,AB$3,BD!$B$3:$B$5001,$A$435,BD!$I$3:$I$5001,"&lt;&gt;")=0,"",SUMIFS(BD!$I$3:$I$5001,BD!$A$3:$A$5001,AB$3,BD!$B$3:$B$5001,$A$435)))</f>
        <v/>
      </c>
      <c r="AC441" s="203" t="str">
        <f>IF(AC$3="","",IF(COUNTIFS(BD!$A$3:$A$5001,AC$3,BD!$B$3:$B$5001,$A$435,BD!$I$3:$I$5001,"&lt;&gt;")=0,"",SUMIFS(BD!$I$3:$I$5001,BD!$A$3:$A$5001,AC$3,BD!$B$3:$B$5001,$A$435)))</f>
        <v/>
      </c>
      <c r="AD441" s="203" t="str">
        <f>IF(AD$3="","",IF(COUNTIFS(BD!$A$3:$A$5001,AD$3,BD!$B$3:$B$5001,$A$435,BD!$I$3:$I$5001,"&lt;&gt;")=0,"",SUMIFS(BD!$I$3:$I$5001,BD!$A$3:$A$5001,AD$3,BD!$B$3:$B$5001,$A$435)))</f>
        <v/>
      </c>
      <c r="AE441" s="203" t="str">
        <f>IF(AE$3="","",IF(COUNTIFS(BD!$A$3:$A$5001,AE$3,BD!$B$3:$B$5001,$A$435,BD!$I$3:$I$5001,"&lt;&gt;")=0,"",SUMIFS(BD!$I$3:$I$5001,BD!$A$3:$A$5001,AE$3,BD!$B$3:$B$5001,$A$435)))</f>
        <v/>
      </c>
      <c r="AF441" s="203" t="str">
        <f>IF(AF$3="","",IF(COUNTIFS(BD!$A$3:$A$5001,AF$3,BD!$B$3:$B$5001,$A$435,BD!$I$3:$I$5001,"&lt;&gt;")=0,"",SUMIFS(BD!$I$3:$I$5001,BD!$A$3:$A$5001,AF$3,BD!$B$3:$B$5001,$A$435)))</f>
        <v/>
      </c>
      <c r="AG441" s="203" t="str">
        <f>IF(AG$3="","",IF(COUNTIFS(BD!$A$3:$A$5001,AG$3,BD!$B$3:$B$5001,$A$435,BD!$I$3:$I$5001,"&lt;&gt;")=0,"",SUMIFS(BD!$I$3:$I$5001,BD!$A$3:$A$5001,AG$3,BD!$B$3:$B$5001,$A$435)))</f>
        <v/>
      </c>
      <c r="AH441" s="203" t="str">
        <f>IF(AH$3="","",IF(COUNTIFS(BD!$A$3:$A$5001,AH$3,BD!$B$3:$B$5001,$A$435,BD!$I$3:$I$5001,"&lt;&gt;")=0,"",SUMIFS(BD!$I$3:$I$5001,BD!$A$3:$A$5001,AH$3,BD!$B$3:$B$5001,$A$435)))</f>
        <v/>
      </c>
      <c r="AI441" s="203" t="str">
        <f>IF(AI$3="","",IF(COUNTIFS(BD!$A$3:$A$5001,AI$3,BD!$B$3:$B$5001,$A$435,BD!$I$3:$I$5001,"&lt;&gt;")=0,"",SUMIFS(BD!$I$3:$I$5001,BD!$A$3:$A$5001,AI$3,BD!$B$3:$B$5001,$A$435)))</f>
        <v/>
      </c>
      <c r="AJ441" s="204" t="str">
        <f>IF(AJ$3="","",IF(COUNTIFS(BD!$A$3:$A$5001,AJ$3,BD!$B$3:$B$5001,$A$435,BD!$I$3:$I$5001,"&lt;&gt;")=0,"",SUMIFS(BD!$I$3:$I$5001,BD!$A$3:$A$5001,AJ$3,BD!$B$3:$B$5001,$A$435)))</f>
        <v/>
      </c>
      <c r="AK441" s="205" t="str">
        <f>IF(COUNT(F441:AJ441)=0,"",SUM(F441:AJ441))</f>
        <v/>
      </c>
    </row>
    <row r="442" ht="15.75" customHeight="1" hidden="1">
      <c r="A442" s="277"/>
      <c r="B442" s="268"/>
      <c r="C442" s="199" t="inlineStr">
        <is>
          <t xml:space="preserve">Toneladas Movimentadas</t>
        </is>
      </c>
      <c r="D442" s="200" t="str">
        <f>IFERROR(1/(1/INDEX(BD!$AF$30:$AZ$30,MATCH($A$435,BD!$AF$22:$AZ$22,0))),"")</f>
        <v/>
      </c>
      <c r="E442" s="201"/>
      <c r="F442" s="206" t="str">
        <f>IF(F$3="","",IF(COUNTIFS(BD!$A$3:$A$5001,F$3,BD!$B$3:$B$5001,$A$435,BD!$J$3:$J$5001,"&lt;&gt;")=0,"",SUMIFS(BD!$J$3:$J$5001,BD!$A$3:$A$5001,F$3,BD!$B$3:$B$5001,$A$435)))</f>
        <v/>
      </c>
      <c r="G442" s="207" t="str">
        <f>IF(G$3="","",IF(COUNTIFS(BD!$A$3:$A$5001,G$3,BD!$B$3:$B$5001,$A$435,BD!$J$3:$J$5001,"&lt;&gt;")=0,"",SUMIFS(BD!$J$3:$J$5001,BD!$A$3:$A$5001,G$3,BD!$B$3:$B$5001,$A$435)))</f>
        <v/>
      </c>
      <c r="H442" s="207" t="str">
        <f>IF(H$3="","",IF(COUNTIFS(BD!$A$3:$A$5001,H$3,BD!$B$3:$B$5001,$A$435,BD!$J$3:$J$5001,"&lt;&gt;")=0,"",SUMIFS(BD!$J$3:$J$5001,BD!$A$3:$A$5001,H$3,BD!$B$3:$B$5001,$A$435)))</f>
        <v/>
      </c>
      <c r="I442" s="207" t="str">
        <f>IF(I$3="","",IF(COUNTIFS(BD!$A$3:$A$5001,I$3,BD!$B$3:$B$5001,$A$435,BD!$J$3:$J$5001,"&lt;&gt;")=0,"",SUMIFS(BD!$J$3:$J$5001,BD!$A$3:$A$5001,I$3,BD!$B$3:$B$5001,$A$435)))</f>
        <v/>
      </c>
      <c r="J442" s="207" t="str">
        <f>IF(J$3="","",IF(COUNTIFS(BD!$A$3:$A$5001,J$3,BD!$B$3:$B$5001,$A$435,BD!$J$3:$J$5001,"&lt;&gt;")=0,"",SUMIFS(BD!$J$3:$J$5001,BD!$A$3:$A$5001,J$3,BD!$B$3:$B$5001,$A$435)))</f>
        <v/>
      </c>
      <c r="K442" s="207" t="str">
        <f>IF(K$3="","",IF(COUNTIFS(BD!$A$3:$A$5001,K$3,BD!$B$3:$B$5001,$A$435,BD!$J$3:$J$5001,"&lt;&gt;")=0,"",SUMIFS(BD!$J$3:$J$5001,BD!$A$3:$A$5001,K$3,BD!$B$3:$B$5001,$A$435)))</f>
        <v/>
      </c>
      <c r="L442" s="207" t="str">
        <f>IF(L$3="","",IF(COUNTIFS(BD!$A$3:$A$5001,L$3,BD!$B$3:$B$5001,$A$435,BD!$J$3:$J$5001,"&lt;&gt;")=0,"",SUMIFS(BD!$J$3:$J$5001,BD!$A$3:$A$5001,L$3,BD!$B$3:$B$5001,$A$435)))</f>
        <v/>
      </c>
      <c r="M442" s="207" t="str">
        <f>IF(M$3="","",IF(COUNTIFS(BD!$A$3:$A$5001,M$3,BD!$B$3:$B$5001,$A$435,BD!$J$3:$J$5001,"&lt;&gt;")=0,"",SUMIFS(BD!$J$3:$J$5001,BD!$A$3:$A$5001,M$3,BD!$B$3:$B$5001,$A$435)))</f>
        <v/>
      </c>
      <c r="N442" s="207" t="str">
        <f>IF(N$3="","",IF(COUNTIFS(BD!$A$3:$A$5001,N$3,BD!$B$3:$B$5001,$A$435,BD!$J$3:$J$5001,"&lt;&gt;")=0,"",SUMIFS(BD!$J$3:$J$5001,BD!$A$3:$A$5001,N$3,BD!$B$3:$B$5001,$A$435)))</f>
        <v/>
      </c>
      <c r="O442" s="207" t="str">
        <f>IF(O$3="","",IF(COUNTIFS(BD!$A$3:$A$5001,O$3,BD!$B$3:$B$5001,$A$435,BD!$J$3:$J$5001,"&lt;&gt;")=0,"",SUMIFS(BD!$J$3:$J$5001,BD!$A$3:$A$5001,O$3,BD!$B$3:$B$5001,$A$435)))</f>
        <v/>
      </c>
      <c r="P442" s="207" t="str">
        <f>IF(P$3="","",IF(COUNTIFS(BD!$A$3:$A$5001,P$3,BD!$B$3:$B$5001,$A$435,BD!$J$3:$J$5001,"&lt;&gt;")=0,"",SUMIFS(BD!$J$3:$J$5001,BD!$A$3:$A$5001,P$3,BD!$B$3:$B$5001,$A$435)))</f>
        <v/>
      </c>
      <c r="Q442" s="207" t="str">
        <f>IF(Q$3="","",IF(COUNTIFS(BD!$A$3:$A$5001,Q$3,BD!$B$3:$B$5001,$A$435,BD!$J$3:$J$5001,"&lt;&gt;")=0,"",SUMIFS(BD!$J$3:$J$5001,BD!$A$3:$A$5001,Q$3,BD!$B$3:$B$5001,$A$435)))</f>
        <v/>
      </c>
      <c r="R442" s="207" t="str">
        <f>IF(R$3="","",IF(COUNTIFS(BD!$A$3:$A$5001,R$3,BD!$B$3:$B$5001,$A$435,BD!$J$3:$J$5001,"&lt;&gt;")=0,"",SUMIFS(BD!$J$3:$J$5001,BD!$A$3:$A$5001,R$3,BD!$B$3:$B$5001,$A$435)))</f>
        <v/>
      </c>
      <c r="S442" s="207" t="str">
        <f>IF(S$3="","",IF(COUNTIFS(BD!$A$3:$A$5001,S$3,BD!$B$3:$B$5001,$A$435,BD!$J$3:$J$5001,"&lt;&gt;")=0,"",SUMIFS(BD!$J$3:$J$5001,BD!$A$3:$A$5001,S$3,BD!$B$3:$B$5001,$A$435)))</f>
        <v/>
      </c>
      <c r="T442" s="207" t="str">
        <f>IF(T$3="","",IF(COUNTIFS(BD!$A$3:$A$5001,T$3,BD!$B$3:$B$5001,$A$435,BD!$J$3:$J$5001,"&lt;&gt;")=0,"",SUMIFS(BD!$J$3:$J$5001,BD!$A$3:$A$5001,T$3,BD!$B$3:$B$5001,$A$435)))</f>
        <v/>
      </c>
      <c r="U442" s="207" t="str">
        <f>IF(U$3="","",IF(COUNTIFS(BD!$A$3:$A$5001,U$3,BD!$B$3:$B$5001,$A$435,BD!$J$3:$J$5001,"&lt;&gt;")=0,"",SUMIFS(BD!$J$3:$J$5001,BD!$A$3:$A$5001,U$3,BD!$B$3:$B$5001,$A$435)))</f>
        <v/>
      </c>
      <c r="V442" s="207" t="str">
        <f>IF(V$3="","",IF(COUNTIFS(BD!$A$3:$A$5001,V$3,BD!$B$3:$B$5001,$A$435,BD!$J$3:$J$5001,"&lt;&gt;")=0,"",SUMIFS(BD!$J$3:$J$5001,BD!$A$3:$A$5001,V$3,BD!$B$3:$B$5001,$A$435)))</f>
        <v/>
      </c>
      <c r="W442" s="207" t="str">
        <f>IF(W$3="","",IF(COUNTIFS(BD!$A$3:$A$5001,W$3,BD!$B$3:$B$5001,$A$435,BD!$J$3:$J$5001,"&lt;&gt;")=0,"",SUMIFS(BD!$J$3:$J$5001,BD!$A$3:$A$5001,W$3,BD!$B$3:$B$5001,$A$435)))</f>
        <v/>
      </c>
      <c r="X442" s="207" t="str">
        <f>IF(X$3="","",IF(COUNTIFS(BD!$A$3:$A$5001,X$3,BD!$B$3:$B$5001,$A$435,BD!$J$3:$J$5001,"&lt;&gt;")=0,"",SUMIFS(BD!$J$3:$J$5001,BD!$A$3:$A$5001,X$3,BD!$B$3:$B$5001,$A$435)))</f>
        <v/>
      </c>
      <c r="Y442" s="207" t="str">
        <f>IF(Y$3="","",IF(COUNTIFS(BD!$A$3:$A$5001,Y$3,BD!$B$3:$B$5001,$A$435,BD!$J$3:$J$5001,"&lt;&gt;")=0,"",SUMIFS(BD!$J$3:$J$5001,BD!$A$3:$A$5001,Y$3,BD!$B$3:$B$5001,$A$435)))</f>
        <v/>
      </c>
      <c r="Z442" s="207" t="str">
        <f>IF(Z$3="","",IF(COUNTIFS(BD!$A$3:$A$5001,Z$3,BD!$B$3:$B$5001,$A$435,BD!$J$3:$J$5001,"&lt;&gt;")=0,"",SUMIFS(BD!$J$3:$J$5001,BD!$A$3:$A$5001,Z$3,BD!$B$3:$B$5001,$A$435)))</f>
        <v/>
      </c>
      <c r="AA442" s="207" t="str">
        <f>IF(AA$3="","",IF(COUNTIFS(BD!$A$3:$A$5001,AA$3,BD!$B$3:$B$5001,$A$435,BD!$J$3:$J$5001,"&lt;&gt;")=0,"",SUMIFS(BD!$J$3:$J$5001,BD!$A$3:$A$5001,AA$3,BD!$B$3:$B$5001,$A$435)))</f>
        <v/>
      </c>
      <c r="AB442" s="207" t="str">
        <f>IF(AB$3="","",IF(COUNTIFS(BD!$A$3:$A$5001,AB$3,BD!$B$3:$B$5001,$A$435,BD!$J$3:$J$5001,"&lt;&gt;")=0,"",SUMIFS(BD!$J$3:$J$5001,BD!$A$3:$A$5001,AB$3,BD!$B$3:$B$5001,$A$435)))</f>
        <v/>
      </c>
      <c r="AC442" s="207" t="str">
        <f>IF(AC$3="","",IF(COUNTIFS(BD!$A$3:$A$5001,AC$3,BD!$B$3:$B$5001,$A$435,BD!$J$3:$J$5001,"&lt;&gt;")=0,"",SUMIFS(BD!$J$3:$J$5001,BD!$A$3:$A$5001,AC$3,BD!$B$3:$B$5001,$A$435)))</f>
        <v/>
      </c>
      <c r="AD442" s="207" t="str">
        <f>IF(AD$3="","",IF(COUNTIFS(BD!$A$3:$A$5001,AD$3,BD!$B$3:$B$5001,$A$435,BD!$J$3:$J$5001,"&lt;&gt;")=0,"",SUMIFS(BD!$J$3:$J$5001,BD!$A$3:$A$5001,AD$3,BD!$B$3:$B$5001,$A$435)))</f>
        <v/>
      </c>
      <c r="AE442" s="207" t="str">
        <f>IF(AE$3="","",IF(COUNTIFS(BD!$A$3:$A$5001,AE$3,BD!$B$3:$B$5001,$A$435,BD!$J$3:$J$5001,"&lt;&gt;")=0,"",SUMIFS(BD!$J$3:$J$5001,BD!$A$3:$A$5001,AE$3,BD!$B$3:$B$5001,$A$435)))</f>
        <v/>
      </c>
      <c r="AF442" s="207" t="str">
        <f>IF(AF$3="","",IF(COUNTIFS(BD!$A$3:$A$5001,AF$3,BD!$B$3:$B$5001,$A$435,BD!$J$3:$J$5001,"&lt;&gt;")=0,"",SUMIFS(BD!$J$3:$J$5001,BD!$A$3:$A$5001,AF$3,BD!$B$3:$B$5001,$A$435)))</f>
        <v/>
      </c>
      <c r="AG442" s="207" t="str">
        <f>IF(AG$3="","",IF(COUNTIFS(BD!$A$3:$A$5001,AG$3,BD!$B$3:$B$5001,$A$435,BD!$J$3:$J$5001,"&lt;&gt;")=0,"",SUMIFS(BD!$J$3:$J$5001,BD!$A$3:$A$5001,AG$3,BD!$B$3:$B$5001,$A$435)))</f>
        <v/>
      </c>
      <c r="AH442" s="207" t="str">
        <f>IF(AH$3="","",IF(COUNTIFS(BD!$A$3:$A$5001,AH$3,BD!$B$3:$B$5001,$A$435,BD!$J$3:$J$5001,"&lt;&gt;")=0,"",SUMIFS(BD!$J$3:$J$5001,BD!$A$3:$A$5001,AH$3,BD!$B$3:$B$5001,$A$435)))</f>
        <v/>
      </c>
      <c r="AI442" s="207" t="str">
        <f>IF(AI$3="","",IF(COUNTIFS(BD!$A$3:$A$5001,AI$3,BD!$B$3:$B$5001,$A$435,BD!$J$3:$J$5001,"&lt;&gt;")=0,"",SUMIFS(BD!$J$3:$J$5001,BD!$A$3:$A$5001,AI$3,BD!$B$3:$B$5001,$A$435)))</f>
        <v/>
      </c>
      <c r="AJ442" s="208" t="str">
        <f>IF(AJ$3="","",IF(COUNTIFS(BD!$A$3:$A$5001,AJ$3,BD!$B$3:$B$5001,$A$435,BD!$J$3:$J$5001,"&lt;&gt;")=0,"",SUMIFS(BD!$J$3:$J$5001,BD!$A$3:$A$5001,AJ$3,BD!$B$3:$B$5001,$A$435)))</f>
        <v/>
      </c>
      <c r="AK442" s="209" t="str">
        <f>IF(COUNT(F442:AJ442)=0,"",SUM(F442:AJ442))</f>
        <v/>
      </c>
    </row>
    <row r="443" ht="15.75" customHeight="1" hidden="1">
      <c r="A443" s="277"/>
      <c r="B443" s="268"/>
      <c r="C443" s="199" t="inlineStr">
        <is>
          <t xml:space="preserve">Caixas Expedidas</t>
        </is>
      </c>
      <c r="D443" s="200" t="str">
        <f>IFERROR(1/(1/INDEX(BD!$AF$31:$AZ$31,MATCH($A$435,BD!$AF$22:$AZ$22,0))),"")</f>
        <v/>
      </c>
      <c r="E443" s="201"/>
      <c r="F443" s="202" t="str">
        <f>IF(F$3="","",IF(COUNTIFS(BD!$A$3:$A$5001,F$3,BD!$B$3:$B$5001,$A$435,BD!$K$3:$K$5001,"&lt;&gt;")=0,"",SUMIFS(BD!$K$3:$K$5001,BD!$A$3:$A$5001,F$3,BD!$B$3:$B$5001,$A$435)))</f>
        <v/>
      </c>
      <c r="G443" s="203" t="str">
        <f>IF(G$3="","",IF(COUNTIFS(BD!$A$3:$A$5001,G$3,BD!$B$3:$B$5001,$A$435,BD!$K$3:$K$5001,"&lt;&gt;")=0,"",SUMIFS(BD!$K$3:$K$5001,BD!$A$3:$A$5001,G$3,BD!$B$3:$B$5001,$A$435)))</f>
        <v/>
      </c>
      <c r="H443" s="203" t="str">
        <f>IF(H$3="","",IF(COUNTIFS(BD!$A$3:$A$5001,H$3,BD!$B$3:$B$5001,$A$435,BD!$K$3:$K$5001,"&lt;&gt;")=0,"",SUMIFS(BD!$K$3:$K$5001,BD!$A$3:$A$5001,H$3,BD!$B$3:$B$5001,$A$435)))</f>
        <v/>
      </c>
      <c r="I443" s="203" t="str">
        <f>IF(I$3="","",IF(COUNTIFS(BD!$A$3:$A$5001,I$3,BD!$B$3:$B$5001,$A$435,BD!$K$3:$K$5001,"&lt;&gt;")=0,"",SUMIFS(BD!$K$3:$K$5001,BD!$A$3:$A$5001,I$3,BD!$B$3:$B$5001,$A$435)))</f>
        <v/>
      </c>
      <c r="J443" s="203" t="str">
        <f>IF(J$3="","",IF(COUNTIFS(BD!$A$3:$A$5001,J$3,BD!$B$3:$B$5001,$A$435,BD!$K$3:$K$5001,"&lt;&gt;")=0,"",SUMIFS(BD!$K$3:$K$5001,BD!$A$3:$A$5001,J$3,BD!$B$3:$B$5001,$A$435)))</f>
        <v/>
      </c>
      <c r="K443" s="203" t="str">
        <f>IF(K$3="","",IF(COUNTIFS(BD!$A$3:$A$5001,K$3,BD!$B$3:$B$5001,$A$435,BD!$K$3:$K$5001,"&lt;&gt;")=0,"",SUMIFS(BD!$K$3:$K$5001,BD!$A$3:$A$5001,K$3,BD!$B$3:$B$5001,$A$435)))</f>
        <v/>
      </c>
      <c r="L443" s="203" t="str">
        <f>IF(L$3="","",IF(COUNTIFS(BD!$A$3:$A$5001,L$3,BD!$B$3:$B$5001,$A$435,BD!$K$3:$K$5001,"&lt;&gt;")=0,"",SUMIFS(BD!$K$3:$K$5001,BD!$A$3:$A$5001,L$3,BD!$B$3:$B$5001,$A$435)))</f>
        <v/>
      </c>
      <c r="M443" s="203" t="str">
        <f>IF(M$3="","",IF(COUNTIFS(BD!$A$3:$A$5001,M$3,BD!$B$3:$B$5001,$A$435,BD!$K$3:$K$5001,"&lt;&gt;")=0,"",SUMIFS(BD!$K$3:$K$5001,BD!$A$3:$A$5001,M$3,BD!$B$3:$B$5001,$A$435)))</f>
        <v/>
      </c>
      <c r="N443" s="203" t="str">
        <f>IF(N$3="","",IF(COUNTIFS(BD!$A$3:$A$5001,N$3,BD!$B$3:$B$5001,$A$435,BD!$K$3:$K$5001,"&lt;&gt;")=0,"",SUMIFS(BD!$K$3:$K$5001,BD!$A$3:$A$5001,N$3,BD!$B$3:$B$5001,$A$435)))</f>
        <v/>
      </c>
      <c r="O443" s="203" t="str">
        <f>IF(O$3="","",IF(COUNTIFS(BD!$A$3:$A$5001,O$3,BD!$B$3:$B$5001,$A$435,BD!$K$3:$K$5001,"&lt;&gt;")=0,"",SUMIFS(BD!$K$3:$K$5001,BD!$A$3:$A$5001,O$3,BD!$B$3:$B$5001,$A$435)))</f>
        <v/>
      </c>
      <c r="P443" s="203" t="str">
        <f>IF(P$3="","",IF(COUNTIFS(BD!$A$3:$A$5001,P$3,BD!$B$3:$B$5001,$A$435,BD!$K$3:$K$5001,"&lt;&gt;")=0,"",SUMIFS(BD!$K$3:$K$5001,BD!$A$3:$A$5001,P$3,BD!$B$3:$B$5001,$A$435)))</f>
        <v/>
      </c>
      <c r="Q443" s="203" t="str">
        <f>IF(Q$3="","",IF(COUNTIFS(BD!$A$3:$A$5001,Q$3,BD!$B$3:$B$5001,$A$435,BD!$K$3:$K$5001,"&lt;&gt;")=0,"",SUMIFS(BD!$K$3:$K$5001,BD!$A$3:$A$5001,Q$3,BD!$B$3:$B$5001,$A$435)))</f>
        <v/>
      </c>
      <c r="R443" s="203" t="str">
        <f>IF(R$3="","",IF(COUNTIFS(BD!$A$3:$A$5001,R$3,BD!$B$3:$B$5001,$A$435,BD!$K$3:$K$5001,"&lt;&gt;")=0,"",SUMIFS(BD!$K$3:$K$5001,BD!$A$3:$A$5001,R$3,BD!$B$3:$B$5001,$A$435)))</f>
        <v/>
      </c>
      <c r="S443" s="203" t="str">
        <f>IF(S$3="","",IF(COUNTIFS(BD!$A$3:$A$5001,S$3,BD!$B$3:$B$5001,$A$435,BD!$K$3:$K$5001,"&lt;&gt;")=0,"",SUMIFS(BD!$K$3:$K$5001,BD!$A$3:$A$5001,S$3,BD!$B$3:$B$5001,$A$435)))</f>
        <v/>
      </c>
      <c r="T443" s="203" t="str">
        <f>IF(T$3="","",IF(COUNTIFS(BD!$A$3:$A$5001,T$3,BD!$B$3:$B$5001,$A$435,BD!$K$3:$K$5001,"&lt;&gt;")=0,"",SUMIFS(BD!$K$3:$K$5001,BD!$A$3:$A$5001,T$3,BD!$B$3:$B$5001,$A$435)))</f>
        <v/>
      </c>
      <c r="U443" s="203" t="str">
        <f>IF(U$3="","",IF(COUNTIFS(BD!$A$3:$A$5001,U$3,BD!$B$3:$B$5001,$A$435,BD!$K$3:$K$5001,"&lt;&gt;")=0,"",SUMIFS(BD!$K$3:$K$5001,BD!$A$3:$A$5001,U$3,BD!$B$3:$B$5001,$A$435)))</f>
        <v/>
      </c>
      <c r="V443" s="203" t="str">
        <f>IF(V$3="","",IF(COUNTIFS(BD!$A$3:$A$5001,V$3,BD!$B$3:$B$5001,$A$435,BD!$K$3:$K$5001,"&lt;&gt;")=0,"",SUMIFS(BD!$K$3:$K$5001,BD!$A$3:$A$5001,V$3,BD!$B$3:$B$5001,$A$435)))</f>
        <v/>
      </c>
      <c r="W443" s="203" t="str">
        <f>IF(W$3="","",IF(COUNTIFS(BD!$A$3:$A$5001,W$3,BD!$B$3:$B$5001,$A$435,BD!$K$3:$K$5001,"&lt;&gt;")=0,"",SUMIFS(BD!$K$3:$K$5001,BD!$A$3:$A$5001,W$3,BD!$B$3:$B$5001,$A$435)))</f>
        <v/>
      </c>
      <c r="X443" s="203" t="str">
        <f>IF(X$3="","",IF(COUNTIFS(BD!$A$3:$A$5001,X$3,BD!$B$3:$B$5001,$A$435,BD!$K$3:$K$5001,"&lt;&gt;")=0,"",SUMIFS(BD!$K$3:$K$5001,BD!$A$3:$A$5001,X$3,BD!$B$3:$B$5001,$A$435)))</f>
        <v/>
      </c>
      <c r="Y443" s="203" t="str">
        <f>IF(Y$3="","",IF(COUNTIFS(BD!$A$3:$A$5001,Y$3,BD!$B$3:$B$5001,$A$435,BD!$K$3:$K$5001,"&lt;&gt;")=0,"",SUMIFS(BD!$K$3:$K$5001,BD!$A$3:$A$5001,Y$3,BD!$B$3:$B$5001,$A$435)))</f>
        <v/>
      </c>
      <c r="Z443" s="203" t="str">
        <f>IF(Z$3="","",IF(COUNTIFS(BD!$A$3:$A$5001,Z$3,BD!$B$3:$B$5001,$A$435,BD!$K$3:$K$5001,"&lt;&gt;")=0,"",SUMIFS(BD!$K$3:$K$5001,BD!$A$3:$A$5001,Z$3,BD!$B$3:$B$5001,$A$435)))</f>
        <v/>
      </c>
      <c r="AA443" s="203" t="str">
        <f>IF(AA$3="","",IF(COUNTIFS(BD!$A$3:$A$5001,AA$3,BD!$B$3:$B$5001,$A$435,BD!$K$3:$K$5001,"&lt;&gt;")=0,"",SUMIFS(BD!$K$3:$K$5001,BD!$A$3:$A$5001,AA$3,BD!$B$3:$B$5001,$A$435)))</f>
        <v/>
      </c>
      <c r="AB443" s="203" t="str">
        <f>IF(AB$3="","",IF(COUNTIFS(BD!$A$3:$A$5001,AB$3,BD!$B$3:$B$5001,$A$435,BD!$K$3:$K$5001,"&lt;&gt;")=0,"",SUMIFS(BD!$K$3:$K$5001,BD!$A$3:$A$5001,AB$3,BD!$B$3:$B$5001,$A$435)))</f>
        <v/>
      </c>
      <c r="AC443" s="203" t="str">
        <f>IF(AC$3="","",IF(COUNTIFS(BD!$A$3:$A$5001,AC$3,BD!$B$3:$B$5001,$A$435,BD!$K$3:$K$5001,"&lt;&gt;")=0,"",SUMIFS(BD!$K$3:$K$5001,BD!$A$3:$A$5001,AC$3,BD!$B$3:$B$5001,$A$435)))</f>
        <v/>
      </c>
      <c r="AD443" s="203" t="str">
        <f>IF(AD$3="","",IF(COUNTIFS(BD!$A$3:$A$5001,AD$3,BD!$B$3:$B$5001,$A$435,BD!$K$3:$K$5001,"&lt;&gt;")=0,"",SUMIFS(BD!$K$3:$K$5001,BD!$A$3:$A$5001,AD$3,BD!$B$3:$B$5001,$A$435)))</f>
        <v/>
      </c>
      <c r="AE443" s="203" t="str">
        <f>IF(AE$3="","",IF(COUNTIFS(BD!$A$3:$A$5001,AE$3,BD!$B$3:$B$5001,$A$435,BD!$K$3:$K$5001,"&lt;&gt;")=0,"",SUMIFS(BD!$K$3:$K$5001,BD!$A$3:$A$5001,AE$3,BD!$B$3:$B$5001,$A$435)))</f>
        <v/>
      </c>
      <c r="AF443" s="203" t="str">
        <f>IF(AF$3="","",IF(COUNTIFS(BD!$A$3:$A$5001,AF$3,BD!$B$3:$B$5001,$A$435,BD!$K$3:$K$5001,"&lt;&gt;")=0,"",SUMIFS(BD!$K$3:$K$5001,BD!$A$3:$A$5001,AF$3,BD!$B$3:$B$5001,$A$435)))</f>
        <v/>
      </c>
      <c r="AG443" s="203" t="str">
        <f>IF(AG$3="","",IF(COUNTIFS(BD!$A$3:$A$5001,AG$3,BD!$B$3:$B$5001,$A$435,BD!$K$3:$K$5001,"&lt;&gt;")=0,"",SUMIFS(BD!$K$3:$K$5001,BD!$A$3:$A$5001,AG$3,BD!$B$3:$B$5001,$A$435)))</f>
        <v/>
      </c>
      <c r="AH443" s="203" t="str">
        <f>IF(AH$3="","",IF(COUNTIFS(BD!$A$3:$A$5001,AH$3,BD!$B$3:$B$5001,$A$435,BD!$K$3:$K$5001,"&lt;&gt;")=0,"",SUMIFS(BD!$K$3:$K$5001,BD!$A$3:$A$5001,AH$3,BD!$B$3:$B$5001,$A$435)))</f>
        <v/>
      </c>
      <c r="AI443" s="203" t="str">
        <f>IF(AI$3="","",IF(COUNTIFS(BD!$A$3:$A$5001,AI$3,BD!$B$3:$B$5001,$A$435,BD!$K$3:$K$5001,"&lt;&gt;")=0,"",SUMIFS(BD!$K$3:$K$5001,BD!$A$3:$A$5001,AI$3,BD!$B$3:$B$5001,$A$435)))</f>
        <v/>
      </c>
      <c r="AJ443" s="204" t="str">
        <f>IF(AJ$3="","",IF(COUNTIFS(BD!$A$3:$A$5001,AJ$3,BD!$B$3:$B$5001,$A$435,BD!$K$3:$K$5001,"&lt;&gt;")=0,"",SUMIFS(BD!$K$3:$K$5001,BD!$A$3:$A$5001,AJ$3,BD!$B$3:$B$5001,$A$435)))</f>
        <v/>
      </c>
      <c r="AK443" s="205" t="str">
        <f>IF(COUNT(F443:AJ443)=0,"",SUM(F443:AJ443))</f>
        <v/>
      </c>
    </row>
    <row r="444" ht="15.75" customHeight="1" hidden="1">
      <c r="A444" s="277"/>
      <c r="B444" s="268"/>
      <c r="C444" s="199" t="inlineStr">
        <is>
          <t xml:space="preserve">Pedidos Faturados</t>
        </is>
      </c>
      <c r="D444" s="200" t="str">
        <f>IFERROR(1/(1/INDEX(BD!$AF$32:$AZ$32,MATCH($A$435,BD!$AF$22:$AZ$22,0))),"")</f>
        <v/>
      </c>
      <c r="E444" s="201"/>
      <c r="F444" s="202" t="str">
        <f>IF(F$3="","",IF(COUNTIFS(BD!$A$3:$A$5001,F$3,BD!$B$3:$B$5001,$A$435,BD!$L$3:$L$5001,"&lt;&gt;")=0,"",SUMIFS(BD!$L$3:$L$5001,BD!$A$3:$A$5001,F$3,BD!$B$3:$B$5001,$A$435)))</f>
        <v/>
      </c>
      <c r="G444" s="203" t="str">
        <f>IF(G$3="","",IF(COUNTIFS(BD!$A$3:$A$5001,G$3,BD!$B$3:$B$5001,$A$435,BD!$L$3:$L$5001,"&lt;&gt;")=0,"",SUMIFS(BD!$L$3:$L$5001,BD!$A$3:$A$5001,G$3,BD!$B$3:$B$5001,$A$435)))</f>
        <v/>
      </c>
      <c r="H444" s="203" t="str">
        <f>IF(H$3="","",IF(COUNTIFS(BD!$A$3:$A$5001,H$3,BD!$B$3:$B$5001,$A$435,BD!$L$3:$L$5001,"&lt;&gt;")=0,"",SUMIFS(BD!$L$3:$L$5001,BD!$A$3:$A$5001,H$3,BD!$B$3:$B$5001,$A$435)))</f>
        <v/>
      </c>
      <c r="I444" s="203" t="str">
        <f>IF(I$3="","",IF(COUNTIFS(BD!$A$3:$A$5001,I$3,BD!$B$3:$B$5001,$A$435,BD!$L$3:$L$5001,"&lt;&gt;")=0,"",SUMIFS(BD!$L$3:$L$5001,BD!$A$3:$A$5001,I$3,BD!$B$3:$B$5001,$A$435)))</f>
        <v/>
      </c>
      <c r="J444" s="203" t="str">
        <f>IF(J$3="","",IF(COUNTIFS(BD!$A$3:$A$5001,J$3,BD!$B$3:$B$5001,$A$435,BD!$L$3:$L$5001,"&lt;&gt;")=0,"",SUMIFS(BD!$L$3:$L$5001,BD!$A$3:$A$5001,J$3,BD!$B$3:$B$5001,$A$435)))</f>
        <v/>
      </c>
      <c r="K444" s="203" t="str">
        <f>IF(K$3="","",IF(COUNTIFS(BD!$A$3:$A$5001,K$3,BD!$B$3:$B$5001,$A$435,BD!$L$3:$L$5001,"&lt;&gt;")=0,"",SUMIFS(BD!$L$3:$L$5001,BD!$A$3:$A$5001,K$3,BD!$B$3:$B$5001,$A$435)))</f>
        <v/>
      </c>
      <c r="L444" s="203" t="str">
        <f>IF(L$3="","",IF(COUNTIFS(BD!$A$3:$A$5001,L$3,BD!$B$3:$B$5001,$A$435,BD!$L$3:$L$5001,"&lt;&gt;")=0,"",SUMIFS(BD!$L$3:$L$5001,BD!$A$3:$A$5001,L$3,BD!$B$3:$B$5001,$A$435)))</f>
        <v/>
      </c>
      <c r="M444" s="203" t="str">
        <f>IF(M$3="","",IF(COUNTIFS(BD!$A$3:$A$5001,M$3,BD!$B$3:$B$5001,$A$435,BD!$L$3:$L$5001,"&lt;&gt;")=0,"",SUMIFS(BD!$L$3:$L$5001,BD!$A$3:$A$5001,M$3,BD!$B$3:$B$5001,$A$435)))</f>
        <v/>
      </c>
      <c r="N444" s="203" t="str">
        <f>IF(N$3="","",IF(COUNTIFS(BD!$A$3:$A$5001,N$3,BD!$B$3:$B$5001,$A$435,BD!$L$3:$L$5001,"&lt;&gt;")=0,"",SUMIFS(BD!$L$3:$L$5001,BD!$A$3:$A$5001,N$3,BD!$B$3:$B$5001,$A$435)))</f>
        <v/>
      </c>
      <c r="O444" s="203" t="str">
        <f>IF(O$3="","",IF(COUNTIFS(BD!$A$3:$A$5001,O$3,BD!$B$3:$B$5001,$A$435,BD!$L$3:$L$5001,"&lt;&gt;")=0,"",SUMIFS(BD!$L$3:$L$5001,BD!$A$3:$A$5001,O$3,BD!$B$3:$B$5001,$A$435)))</f>
        <v/>
      </c>
      <c r="P444" s="203" t="str">
        <f>IF(P$3="","",IF(COUNTIFS(BD!$A$3:$A$5001,P$3,BD!$B$3:$B$5001,$A$435,BD!$L$3:$L$5001,"&lt;&gt;")=0,"",SUMIFS(BD!$L$3:$L$5001,BD!$A$3:$A$5001,P$3,BD!$B$3:$B$5001,$A$435)))</f>
        <v/>
      </c>
      <c r="Q444" s="203" t="str">
        <f>IF(Q$3="","",IF(COUNTIFS(BD!$A$3:$A$5001,Q$3,BD!$B$3:$B$5001,$A$435,BD!$L$3:$L$5001,"&lt;&gt;")=0,"",SUMIFS(BD!$L$3:$L$5001,BD!$A$3:$A$5001,Q$3,BD!$B$3:$B$5001,$A$435)))</f>
        <v/>
      </c>
      <c r="R444" s="203" t="str">
        <f>IF(R$3="","",IF(COUNTIFS(BD!$A$3:$A$5001,R$3,BD!$B$3:$B$5001,$A$435,BD!$L$3:$L$5001,"&lt;&gt;")=0,"",SUMIFS(BD!$L$3:$L$5001,BD!$A$3:$A$5001,R$3,BD!$B$3:$B$5001,$A$435)))</f>
        <v/>
      </c>
      <c r="S444" s="203" t="str">
        <f>IF(S$3="","",IF(COUNTIFS(BD!$A$3:$A$5001,S$3,BD!$B$3:$B$5001,$A$435,BD!$L$3:$L$5001,"&lt;&gt;")=0,"",SUMIFS(BD!$L$3:$L$5001,BD!$A$3:$A$5001,S$3,BD!$B$3:$B$5001,$A$435)))</f>
        <v/>
      </c>
      <c r="T444" s="203" t="str">
        <f>IF(T$3="","",IF(COUNTIFS(BD!$A$3:$A$5001,T$3,BD!$B$3:$B$5001,$A$435,BD!$L$3:$L$5001,"&lt;&gt;")=0,"",SUMIFS(BD!$L$3:$L$5001,BD!$A$3:$A$5001,T$3,BD!$B$3:$B$5001,$A$435)))</f>
        <v/>
      </c>
      <c r="U444" s="203" t="str">
        <f>IF(U$3="","",IF(COUNTIFS(BD!$A$3:$A$5001,U$3,BD!$B$3:$B$5001,$A$435,BD!$L$3:$L$5001,"&lt;&gt;")=0,"",SUMIFS(BD!$L$3:$L$5001,BD!$A$3:$A$5001,U$3,BD!$B$3:$B$5001,$A$435)))</f>
        <v/>
      </c>
      <c r="V444" s="203" t="str">
        <f>IF(V$3="","",IF(COUNTIFS(BD!$A$3:$A$5001,V$3,BD!$B$3:$B$5001,$A$435,BD!$L$3:$L$5001,"&lt;&gt;")=0,"",SUMIFS(BD!$L$3:$L$5001,BD!$A$3:$A$5001,V$3,BD!$B$3:$B$5001,$A$435)))</f>
        <v/>
      </c>
      <c r="W444" s="203" t="str">
        <f>IF(W$3="","",IF(COUNTIFS(BD!$A$3:$A$5001,W$3,BD!$B$3:$B$5001,$A$435,BD!$L$3:$L$5001,"&lt;&gt;")=0,"",SUMIFS(BD!$L$3:$L$5001,BD!$A$3:$A$5001,W$3,BD!$B$3:$B$5001,$A$435)))</f>
        <v/>
      </c>
      <c r="X444" s="203" t="str">
        <f>IF(X$3="","",IF(COUNTIFS(BD!$A$3:$A$5001,X$3,BD!$B$3:$B$5001,$A$435,BD!$L$3:$L$5001,"&lt;&gt;")=0,"",SUMIFS(BD!$L$3:$L$5001,BD!$A$3:$A$5001,X$3,BD!$B$3:$B$5001,$A$435)))</f>
        <v/>
      </c>
      <c r="Y444" s="203" t="str">
        <f>IF(Y$3="","",IF(COUNTIFS(BD!$A$3:$A$5001,Y$3,BD!$B$3:$B$5001,$A$435,BD!$L$3:$L$5001,"&lt;&gt;")=0,"",SUMIFS(BD!$L$3:$L$5001,BD!$A$3:$A$5001,Y$3,BD!$B$3:$B$5001,$A$435)))</f>
        <v/>
      </c>
      <c r="Z444" s="203" t="str">
        <f>IF(Z$3="","",IF(COUNTIFS(BD!$A$3:$A$5001,Z$3,BD!$B$3:$B$5001,$A$435,BD!$L$3:$L$5001,"&lt;&gt;")=0,"",SUMIFS(BD!$L$3:$L$5001,BD!$A$3:$A$5001,Z$3,BD!$B$3:$B$5001,$A$435)))</f>
        <v/>
      </c>
      <c r="AA444" s="203" t="str">
        <f>IF(AA$3="","",IF(COUNTIFS(BD!$A$3:$A$5001,AA$3,BD!$B$3:$B$5001,$A$435,BD!$L$3:$L$5001,"&lt;&gt;")=0,"",SUMIFS(BD!$L$3:$L$5001,BD!$A$3:$A$5001,AA$3,BD!$B$3:$B$5001,$A$435)))</f>
        <v/>
      </c>
      <c r="AB444" s="203" t="str">
        <f>IF(AB$3="","",IF(COUNTIFS(BD!$A$3:$A$5001,AB$3,BD!$B$3:$B$5001,$A$435,BD!$L$3:$L$5001,"&lt;&gt;")=0,"",SUMIFS(BD!$L$3:$L$5001,BD!$A$3:$A$5001,AB$3,BD!$B$3:$B$5001,$A$435)))</f>
        <v/>
      </c>
      <c r="AC444" s="203" t="str">
        <f>IF(AC$3="","",IF(COUNTIFS(BD!$A$3:$A$5001,AC$3,BD!$B$3:$B$5001,$A$435,BD!$L$3:$L$5001,"&lt;&gt;")=0,"",SUMIFS(BD!$L$3:$L$5001,BD!$A$3:$A$5001,AC$3,BD!$B$3:$B$5001,$A$435)))</f>
        <v/>
      </c>
      <c r="AD444" s="203" t="str">
        <f>IF(AD$3="","",IF(COUNTIFS(BD!$A$3:$A$5001,AD$3,BD!$B$3:$B$5001,$A$435,BD!$L$3:$L$5001,"&lt;&gt;")=0,"",SUMIFS(BD!$L$3:$L$5001,BD!$A$3:$A$5001,AD$3,BD!$B$3:$B$5001,$A$435)))</f>
        <v/>
      </c>
      <c r="AE444" s="203" t="str">
        <f>IF(AE$3="","",IF(COUNTIFS(BD!$A$3:$A$5001,AE$3,BD!$B$3:$B$5001,$A$435,BD!$L$3:$L$5001,"&lt;&gt;")=0,"",SUMIFS(BD!$L$3:$L$5001,BD!$A$3:$A$5001,AE$3,BD!$B$3:$B$5001,$A$435)))</f>
        <v/>
      </c>
      <c r="AF444" s="203" t="str">
        <f>IF(AF$3="","",IF(COUNTIFS(BD!$A$3:$A$5001,AF$3,BD!$B$3:$B$5001,$A$435,BD!$L$3:$L$5001,"&lt;&gt;")=0,"",SUMIFS(BD!$L$3:$L$5001,BD!$A$3:$A$5001,AF$3,BD!$B$3:$B$5001,$A$435)))</f>
        <v/>
      </c>
      <c r="AG444" s="203" t="str">
        <f>IF(AG$3="","",IF(COUNTIFS(BD!$A$3:$A$5001,AG$3,BD!$B$3:$B$5001,$A$435,BD!$L$3:$L$5001,"&lt;&gt;")=0,"",SUMIFS(BD!$L$3:$L$5001,BD!$A$3:$A$5001,AG$3,BD!$B$3:$B$5001,$A$435)))</f>
        <v/>
      </c>
      <c r="AH444" s="203" t="str">
        <f>IF(AH$3="","",IF(COUNTIFS(BD!$A$3:$A$5001,AH$3,BD!$B$3:$B$5001,$A$435,BD!$L$3:$L$5001,"&lt;&gt;")=0,"",SUMIFS(BD!$L$3:$L$5001,BD!$A$3:$A$5001,AH$3,BD!$B$3:$B$5001,$A$435)))</f>
        <v/>
      </c>
      <c r="AI444" s="203" t="str">
        <f>IF(AI$3="","",IF(COUNTIFS(BD!$A$3:$A$5001,AI$3,BD!$B$3:$B$5001,$A$435,BD!$L$3:$L$5001,"&lt;&gt;")=0,"",SUMIFS(BD!$L$3:$L$5001,BD!$A$3:$A$5001,AI$3,BD!$B$3:$B$5001,$A$435)))</f>
        <v/>
      </c>
      <c r="AJ444" s="204" t="str">
        <f>IF(AJ$3="","",IF(COUNTIFS(BD!$A$3:$A$5001,AJ$3,BD!$B$3:$B$5001,$A$435,BD!$L$3:$L$5001,"&lt;&gt;")=0,"",SUMIFS(BD!$L$3:$L$5001,BD!$A$3:$A$5001,AJ$3,BD!$B$3:$B$5001,$A$435)))</f>
        <v/>
      </c>
      <c r="AK444" s="205" t="str">
        <f>IF(COUNT(F444:AJ444)=0,"",SUM(F444:AJ444))</f>
        <v/>
      </c>
    </row>
    <row r="445" ht="15.75" customHeight="1" hidden="1">
      <c r="A445" s="277"/>
      <c r="B445" s="269"/>
      <c r="C445" s="210" t="inlineStr">
        <is>
          <t xml:space="preserve">Bags Expedidos</t>
        </is>
      </c>
      <c r="D445" s="211" t="str">
        <f>IFERROR(1/(1/INDEX(BD!$AF$33:$AZ$33,MATCH($A$435,BD!$AF$22:$AZ$22,0))),"")</f>
        <v/>
      </c>
      <c r="E445" s="212"/>
      <c r="F445" s="213" t="str">
        <f>IF(F$3="","",IF(COUNTIFS(BD!$A$3:$A$5001,F$3,BD!$B$3:$B$5001,$A$435,BD!$M$3:$M$5001,"&lt;&gt;")=0,"",SUMIFS(BD!$M$3:$M$5001,BD!$A$3:$A$5001,F$3,BD!$B$3:$B$5001,$A$435)))</f>
        <v/>
      </c>
      <c r="G445" s="214" t="str">
        <f>IF(G$3="","",IF(COUNTIFS(BD!$A$3:$A$5001,G$3,BD!$B$3:$B$5001,$A$435,BD!$M$3:$M$5001,"&lt;&gt;")=0,"",SUMIFS(BD!$M$3:$M$5001,BD!$A$3:$A$5001,G$3,BD!$B$3:$B$5001,$A$435)))</f>
        <v/>
      </c>
      <c r="H445" s="214" t="str">
        <f>IF(H$3="","",IF(COUNTIFS(BD!$A$3:$A$5001,H$3,BD!$B$3:$B$5001,$A$435,BD!$M$3:$M$5001,"&lt;&gt;")=0,"",SUMIFS(BD!$M$3:$M$5001,BD!$A$3:$A$5001,H$3,BD!$B$3:$B$5001,$A$435)))</f>
        <v/>
      </c>
      <c r="I445" s="214" t="str">
        <f>IF(I$3="","",IF(COUNTIFS(BD!$A$3:$A$5001,I$3,BD!$B$3:$B$5001,$A$435,BD!$M$3:$M$5001,"&lt;&gt;")=0,"",SUMIFS(BD!$M$3:$M$5001,BD!$A$3:$A$5001,I$3,BD!$B$3:$B$5001,$A$435)))</f>
        <v/>
      </c>
      <c r="J445" s="214" t="str">
        <f>IF(J$3="","",IF(COUNTIFS(BD!$A$3:$A$5001,J$3,BD!$B$3:$B$5001,$A$435,BD!$M$3:$M$5001,"&lt;&gt;")=0,"",SUMIFS(BD!$M$3:$M$5001,BD!$A$3:$A$5001,J$3,BD!$B$3:$B$5001,$A$435)))</f>
        <v/>
      </c>
      <c r="K445" s="214" t="str">
        <f>IF(K$3="","",IF(COUNTIFS(BD!$A$3:$A$5001,K$3,BD!$B$3:$B$5001,$A$435,BD!$M$3:$M$5001,"&lt;&gt;")=0,"",SUMIFS(BD!$M$3:$M$5001,BD!$A$3:$A$5001,K$3,BD!$B$3:$B$5001,$A$435)))</f>
        <v/>
      </c>
      <c r="L445" s="214" t="str">
        <f>IF(L$3="","",IF(COUNTIFS(BD!$A$3:$A$5001,L$3,BD!$B$3:$B$5001,$A$435,BD!$M$3:$M$5001,"&lt;&gt;")=0,"",SUMIFS(BD!$M$3:$M$5001,BD!$A$3:$A$5001,L$3,BD!$B$3:$B$5001,$A$435)))</f>
        <v/>
      </c>
      <c r="M445" s="214" t="str">
        <f>IF(M$3="","",IF(COUNTIFS(BD!$A$3:$A$5001,M$3,BD!$B$3:$B$5001,$A$435,BD!$M$3:$M$5001,"&lt;&gt;")=0,"",SUMIFS(BD!$M$3:$M$5001,BD!$A$3:$A$5001,M$3,BD!$B$3:$B$5001,$A$435)))</f>
        <v/>
      </c>
      <c r="N445" s="214" t="str">
        <f>IF(N$3="","",IF(COUNTIFS(BD!$A$3:$A$5001,N$3,BD!$B$3:$B$5001,$A$435,BD!$M$3:$M$5001,"&lt;&gt;")=0,"",SUMIFS(BD!$M$3:$M$5001,BD!$A$3:$A$5001,N$3,BD!$B$3:$B$5001,$A$435)))</f>
        <v/>
      </c>
      <c r="O445" s="214" t="str">
        <f>IF(O$3="","",IF(COUNTIFS(BD!$A$3:$A$5001,O$3,BD!$B$3:$B$5001,$A$435,BD!$M$3:$M$5001,"&lt;&gt;")=0,"",SUMIFS(BD!$M$3:$M$5001,BD!$A$3:$A$5001,O$3,BD!$B$3:$B$5001,$A$435)))</f>
        <v/>
      </c>
      <c r="P445" s="214" t="str">
        <f>IF(P$3="","",IF(COUNTIFS(BD!$A$3:$A$5001,P$3,BD!$B$3:$B$5001,$A$435,BD!$M$3:$M$5001,"&lt;&gt;")=0,"",SUMIFS(BD!$M$3:$M$5001,BD!$A$3:$A$5001,P$3,BD!$B$3:$B$5001,$A$435)))</f>
        <v/>
      </c>
      <c r="Q445" s="214" t="str">
        <f>IF(Q$3="","",IF(COUNTIFS(BD!$A$3:$A$5001,Q$3,BD!$B$3:$B$5001,$A$435,BD!$M$3:$M$5001,"&lt;&gt;")=0,"",SUMIFS(BD!$M$3:$M$5001,BD!$A$3:$A$5001,Q$3,BD!$B$3:$B$5001,$A$435)))</f>
        <v/>
      </c>
      <c r="R445" s="214" t="str">
        <f>IF(R$3="","",IF(COUNTIFS(BD!$A$3:$A$5001,R$3,BD!$B$3:$B$5001,$A$435,BD!$M$3:$M$5001,"&lt;&gt;")=0,"",SUMIFS(BD!$M$3:$M$5001,BD!$A$3:$A$5001,R$3,BD!$B$3:$B$5001,$A$435)))</f>
        <v/>
      </c>
      <c r="S445" s="214" t="str">
        <f>IF(S$3="","",IF(COUNTIFS(BD!$A$3:$A$5001,S$3,BD!$B$3:$B$5001,$A$435,BD!$M$3:$M$5001,"&lt;&gt;")=0,"",SUMIFS(BD!$M$3:$M$5001,BD!$A$3:$A$5001,S$3,BD!$B$3:$B$5001,$A$435)))</f>
        <v/>
      </c>
      <c r="T445" s="214" t="str">
        <f>IF(T$3="","",IF(COUNTIFS(BD!$A$3:$A$5001,T$3,BD!$B$3:$B$5001,$A$435,BD!$M$3:$M$5001,"&lt;&gt;")=0,"",SUMIFS(BD!$M$3:$M$5001,BD!$A$3:$A$5001,T$3,BD!$B$3:$B$5001,$A$435)))</f>
        <v/>
      </c>
      <c r="U445" s="214" t="str">
        <f>IF(U$3="","",IF(COUNTIFS(BD!$A$3:$A$5001,U$3,BD!$B$3:$B$5001,$A$435,BD!$M$3:$M$5001,"&lt;&gt;")=0,"",SUMIFS(BD!$M$3:$M$5001,BD!$A$3:$A$5001,U$3,BD!$B$3:$B$5001,$A$435)))</f>
        <v/>
      </c>
      <c r="V445" s="214" t="str">
        <f>IF(V$3="","",IF(COUNTIFS(BD!$A$3:$A$5001,V$3,BD!$B$3:$B$5001,$A$435,BD!$M$3:$M$5001,"&lt;&gt;")=0,"",SUMIFS(BD!$M$3:$M$5001,BD!$A$3:$A$5001,V$3,BD!$B$3:$B$5001,$A$435)))</f>
        <v/>
      </c>
      <c r="W445" s="214" t="str">
        <f>IF(W$3="","",IF(COUNTIFS(BD!$A$3:$A$5001,W$3,BD!$B$3:$B$5001,$A$435,BD!$M$3:$M$5001,"&lt;&gt;")=0,"",SUMIFS(BD!$M$3:$M$5001,BD!$A$3:$A$5001,W$3,BD!$B$3:$B$5001,$A$435)))</f>
        <v/>
      </c>
      <c r="X445" s="214" t="str">
        <f>IF(X$3="","",IF(COUNTIFS(BD!$A$3:$A$5001,X$3,BD!$B$3:$B$5001,$A$435,BD!$M$3:$M$5001,"&lt;&gt;")=0,"",SUMIFS(BD!$M$3:$M$5001,BD!$A$3:$A$5001,X$3,BD!$B$3:$B$5001,$A$435)))</f>
        <v/>
      </c>
      <c r="Y445" s="214" t="str">
        <f>IF(Y$3="","",IF(COUNTIFS(BD!$A$3:$A$5001,Y$3,BD!$B$3:$B$5001,$A$435,BD!$M$3:$M$5001,"&lt;&gt;")=0,"",SUMIFS(BD!$M$3:$M$5001,BD!$A$3:$A$5001,Y$3,BD!$B$3:$B$5001,$A$435)))</f>
        <v/>
      </c>
      <c r="Z445" s="214" t="str">
        <f>IF(Z$3="","",IF(COUNTIFS(BD!$A$3:$A$5001,Z$3,BD!$B$3:$B$5001,$A$435,BD!$M$3:$M$5001,"&lt;&gt;")=0,"",SUMIFS(BD!$M$3:$M$5001,BD!$A$3:$A$5001,Z$3,BD!$B$3:$B$5001,$A$435)))</f>
        <v/>
      </c>
      <c r="AA445" s="214" t="str">
        <f>IF(AA$3="","",IF(COUNTIFS(BD!$A$3:$A$5001,AA$3,BD!$B$3:$B$5001,$A$435,BD!$M$3:$M$5001,"&lt;&gt;")=0,"",SUMIFS(BD!$M$3:$M$5001,BD!$A$3:$A$5001,AA$3,BD!$B$3:$B$5001,$A$435)))</f>
        <v/>
      </c>
      <c r="AB445" s="214" t="str">
        <f>IF(AB$3="","",IF(COUNTIFS(BD!$A$3:$A$5001,AB$3,BD!$B$3:$B$5001,$A$435,BD!$M$3:$M$5001,"&lt;&gt;")=0,"",SUMIFS(BD!$M$3:$M$5001,BD!$A$3:$A$5001,AB$3,BD!$B$3:$B$5001,$A$435)))</f>
        <v/>
      </c>
      <c r="AC445" s="214" t="str">
        <f>IF(AC$3="","",IF(COUNTIFS(BD!$A$3:$A$5001,AC$3,BD!$B$3:$B$5001,$A$435,BD!$M$3:$M$5001,"&lt;&gt;")=0,"",SUMIFS(BD!$M$3:$M$5001,BD!$A$3:$A$5001,AC$3,BD!$B$3:$B$5001,$A$435)))</f>
        <v/>
      </c>
      <c r="AD445" s="214" t="str">
        <f>IF(AD$3="","",IF(COUNTIFS(BD!$A$3:$A$5001,AD$3,BD!$B$3:$B$5001,$A$435,BD!$M$3:$M$5001,"&lt;&gt;")=0,"",SUMIFS(BD!$M$3:$M$5001,BD!$A$3:$A$5001,AD$3,BD!$B$3:$B$5001,$A$435)))</f>
        <v/>
      </c>
      <c r="AE445" s="214" t="str">
        <f>IF(AE$3="","",IF(COUNTIFS(BD!$A$3:$A$5001,AE$3,BD!$B$3:$B$5001,$A$435,BD!$M$3:$M$5001,"&lt;&gt;")=0,"",SUMIFS(BD!$M$3:$M$5001,BD!$A$3:$A$5001,AE$3,BD!$B$3:$B$5001,$A$435)))</f>
        <v/>
      </c>
      <c r="AF445" s="214" t="str">
        <f>IF(AF$3="","",IF(COUNTIFS(BD!$A$3:$A$5001,AF$3,BD!$B$3:$B$5001,$A$435,BD!$M$3:$M$5001,"&lt;&gt;")=0,"",SUMIFS(BD!$M$3:$M$5001,BD!$A$3:$A$5001,AF$3,BD!$B$3:$B$5001,$A$435)))</f>
        <v/>
      </c>
      <c r="AG445" s="214" t="str">
        <f>IF(AG$3="","",IF(COUNTIFS(BD!$A$3:$A$5001,AG$3,BD!$B$3:$B$5001,$A$435,BD!$M$3:$M$5001,"&lt;&gt;")=0,"",SUMIFS(BD!$M$3:$M$5001,BD!$A$3:$A$5001,AG$3,BD!$B$3:$B$5001,$A$435)))</f>
        <v/>
      </c>
      <c r="AH445" s="214" t="str">
        <f>IF(AH$3="","",IF(COUNTIFS(BD!$A$3:$A$5001,AH$3,BD!$B$3:$B$5001,$A$435,BD!$M$3:$M$5001,"&lt;&gt;")=0,"",SUMIFS(BD!$M$3:$M$5001,BD!$A$3:$A$5001,AH$3,BD!$B$3:$B$5001,$A$435)))</f>
        <v/>
      </c>
      <c r="AI445" s="214" t="str">
        <f>IF(AI$3="","",IF(COUNTIFS(BD!$A$3:$A$5001,AI$3,BD!$B$3:$B$5001,$A$435,BD!$M$3:$M$5001,"&lt;&gt;")=0,"",SUMIFS(BD!$M$3:$M$5001,BD!$A$3:$A$5001,AI$3,BD!$B$3:$B$5001,$A$435)))</f>
        <v/>
      </c>
      <c r="AJ445" s="215" t="str">
        <f>IF(AJ$3="","",IF(COUNTIFS(BD!$A$3:$A$5001,AJ$3,BD!$B$3:$B$5001,$A$435,BD!$M$3:$M$5001,"&lt;&gt;")=0,"",SUMIFS(BD!$M$3:$M$5001,BD!$A$3:$A$5001,AJ$3,BD!$B$3:$B$5001,$A$435)))</f>
        <v/>
      </c>
      <c r="AK445" s="211" t="str">
        <f>IF(COUNT(F445:AJ445)=0,"",SUM(F445:AJ445))</f>
        <v/>
      </c>
    </row>
    <row r="446" ht="15.75" customHeight="1" hidden="1">
      <c r="A446" s="277"/>
      <c r="B446" s="270" t="inlineStr">
        <is>
          <t xml:space="preserve">NC</t>
        </is>
      </c>
      <c r="C446" s="216" t="inlineStr">
        <is>
          <t xml:space="preserve">Incidentes</t>
        </is>
      </c>
      <c r="D446" s="217" t="str">
        <f>IFERROR(1/(1/INDEX(BD!$AF$34:$AZ$34,MATCH($A$435,BD!$AF$22:$AZ$22,0))),"")</f>
        <v/>
      </c>
      <c r="E446" s="218"/>
      <c r="F446" s="219" t="str">
        <f>IF(F$3="","",IF(COUNTIFS(BD!$A$3:$A$5001,F$3,BD!$B$3:$B$5001,$A$435,BD!$N$3:$N$5001,"&lt;&gt;")=0,"",SUMIFS(BD!$N$3:$N$5001,BD!$A$3:$A$5001,F$3,BD!$B$3:$B$5001,$A$435)))</f>
        <v/>
      </c>
      <c r="G446" s="220" t="str">
        <f>IF(G$3="","",IF(COUNTIFS(BD!$A$3:$A$5001,G$3,BD!$B$3:$B$5001,$A$435,BD!$N$3:$N$5001,"&lt;&gt;")=0,"",SUMIFS(BD!$N$3:$N$5001,BD!$A$3:$A$5001,G$3,BD!$B$3:$B$5001,$A$435)))</f>
        <v/>
      </c>
      <c r="H446" s="220" t="str">
        <f>IF(H$3="","",IF(COUNTIFS(BD!$A$3:$A$5001,H$3,BD!$B$3:$B$5001,$A$435,BD!$N$3:$N$5001,"&lt;&gt;")=0,"",SUMIFS(BD!$N$3:$N$5001,BD!$A$3:$A$5001,H$3,BD!$B$3:$B$5001,$A$435)))</f>
        <v/>
      </c>
      <c r="I446" s="220" t="str">
        <f>IF(I$3="","",IF(COUNTIFS(BD!$A$3:$A$5001,I$3,BD!$B$3:$B$5001,$A$435,BD!$N$3:$N$5001,"&lt;&gt;")=0,"",SUMIFS(BD!$N$3:$N$5001,BD!$A$3:$A$5001,I$3,BD!$B$3:$B$5001,$A$435)))</f>
        <v/>
      </c>
      <c r="J446" s="220" t="str">
        <f>IF(J$3="","",IF(COUNTIFS(BD!$A$3:$A$5001,J$3,BD!$B$3:$B$5001,$A$435,BD!$N$3:$N$5001,"&lt;&gt;")=0,"",SUMIFS(BD!$N$3:$N$5001,BD!$A$3:$A$5001,J$3,BD!$B$3:$B$5001,$A$435)))</f>
        <v/>
      </c>
      <c r="K446" s="220" t="str">
        <f>IF(K$3="","",IF(COUNTIFS(BD!$A$3:$A$5001,K$3,BD!$B$3:$B$5001,$A$435,BD!$N$3:$N$5001,"&lt;&gt;")=0,"",SUMIFS(BD!$N$3:$N$5001,BD!$A$3:$A$5001,K$3,BD!$B$3:$B$5001,$A$435)))</f>
        <v/>
      </c>
      <c r="L446" s="220" t="str">
        <f>IF(L$3="","",IF(COUNTIFS(BD!$A$3:$A$5001,L$3,BD!$B$3:$B$5001,$A$435,BD!$N$3:$N$5001,"&lt;&gt;")=0,"",SUMIFS(BD!$N$3:$N$5001,BD!$A$3:$A$5001,L$3,BD!$B$3:$B$5001,$A$435)))</f>
        <v/>
      </c>
      <c r="M446" s="220" t="str">
        <f>IF(M$3="","",IF(COUNTIFS(BD!$A$3:$A$5001,M$3,BD!$B$3:$B$5001,$A$435,BD!$N$3:$N$5001,"&lt;&gt;")=0,"",SUMIFS(BD!$N$3:$N$5001,BD!$A$3:$A$5001,M$3,BD!$B$3:$B$5001,$A$435)))</f>
        <v/>
      </c>
      <c r="N446" s="220" t="str">
        <f>IF(N$3="","",IF(COUNTIFS(BD!$A$3:$A$5001,N$3,BD!$B$3:$B$5001,$A$435,BD!$N$3:$N$5001,"&lt;&gt;")=0,"",SUMIFS(BD!$N$3:$N$5001,BD!$A$3:$A$5001,N$3,BD!$B$3:$B$5001,$A$435)))</f>
        <v/>
      </c>
      <c r="O446" s="220" t="str">
        <f>IF(O$3="","",IF(COUNTIFS(BD!$A$3:$A$5001,O$3,BD!$B$3:$B$5001,$A$435,BD!$N$3:$N$5001,"&lt;&gt;")=0,"",SUMIFS(BD!$N$3:$N$5001,BD!$A$3:$A$5001,O$3,BD!$B$3:$B$5001,$A$435)))</f>
        <v/>
      </c>
      <c r="P446" s="220" t="str">
        <f>IF(P$3="","",IF(COUNTIFS(BD!$A$3:$A$5001,P$3,BD!$B$3:$B$5001,$A$435,BD!$N$3:$N$5001,"&lt;&gt;")=0,"",SUMIFS(BD!$N$3:$N$5001,BD!$A$3:$A$5001,P$3,BD!$B$3:$B$5001,$A$435)))</f>
        <v/>
      </c>
      <c r="Q446" s="220" t="str">
        <f>IF(Q$3="","",IF(COUNTIFS(BD!$A$3:$A$5001,Q$3,BD!$B$3:$B$5001,$A$435,BD!$N$3:$N$5001,"&lt;&gt;")=0,"",SUMIFS(BD!$N$3:$N$5001,BD!$A$3:$A$5001,Q$3,BD!$B$3:$B$5001,$A$435)))</f>
        <v/>
      </c>
      <c r="R446" s="220" t="str">
        <f>IF(R$3="","",IF(COUNTIFS(BD!$A$3:$A$5001,R$3,BD!$B$3:$B$5001,$A$435,BD!$N$3:$N$5001,"&lt;&gt;")=0,"",SUMIFS(BD!$N$3:$N$5001,BD!$A$3:$A$5001,R$3,BD!$B$3:$B$5001,$A$435)))</f>
        <v/>
      </c>
      <c r="S446" s="220" t="str">
        <f>IF(S$3="","",IF(COUNTIFS(BD!$A$3:$A$5001,S$3,BD!$B$3:$B$5001,$A$435,BD!$N$3:$N$5001,"&lt;&gt;")=0,"",SUMIFS(BD!$N$3:$N$5001,BD!$A$3:$A$5001,S$3,BD!$B$3:$B$5001,$A$435)))</f>
        <v/>
      </c>
      <c r="T446" s="220" t="str">
        <f>IF(T$3="","",IF(COUNTIFS(BD!$A$3:$A$5001,T$3,BD!$B$3:$B$5001,$A$435,BD!$N$3:$N$5001,"&lt;&gt;")=0,"",SUMIFS(BD!$N$3:$N$5001,BD!$A$3:$A$5001,T$3,BD!$B$3:$B$5001,$A$435)))</f>
        <v/>
      </c>
      <c r="U446" s="220" t="str">
        <f>IF(U$3="","",IF(COUNTIFS(BD!$A$3:$A$5001,U$3,BD!$B$3:$B$5001,$A$435,BD!$N$3:$N$5001,"&lt;&gt;")=0,"",SUMIFS(BD!$N$3:$N$5001,BD!$A$3:$A$5001,U$3,BD!$B$3:$B$5001,$A$435)))</f>
        <v/>
      </c>
      <c r="V446" s="220" t="str">
        <f>IF(V$3="","",IF(COUNTIFS(BD!$A$3:$A$5001,V$3,BD!$B$3:$B$5001,$A$435,BD!$N$3:$N$5001,"&lt;&gt;")=0,"",SUMIFS(BD!$N$3:$N$5001,BD!$A$3:$A$5001,V$3,BD!$B$3:$B$5001,$A$435)))</f>
        <v/>
      </c>
      <c r="W446" s="220" t="str">
        <f>IF(W$3="","",IF(COUNTIFS(BD!$A$3:$A$5001,W$3,BD!$B$3:$B$5001,$A$435,BD!$N$3:$N$5001,"&lt;&gt;")=0,"",SUMIFS(BD!$N$3:$N$5001,BD!$A$3:$A$5001,W$3,BD!$B$3:$B$5001,$A$435)))</f>
        <v/>
      </c>
      <c r="X446" s="220" t="str">
        <f>IF(X$3="","",IF(COUNTIFS(BD!$A$3:$A$5001,X$3,BD!$B$3:$B$5001,$A$435,BD!$N$3:$N$5001,"&lt;&gt;")=0,"",SUMIFS(BD!$N$3:$N$5001,BD!$A$3:$A$5001,X$3,BD!$B$3:$B$5001,$A$435)))</f>
        <v/>
      </c>
      <c r="Y446" s="220" t="str">
        <f>IF(Y$3="","",IF(COUNTIFS(BD!$A$3:$A$5001,Y$3,BD!$B$3:$B$5001,$A$435,BD!$N$3:$N$5001,"&lt;&gt;")=0,"",SUMIFS(BD!$N$3:$N$5001,BD!$A$3:$A$5001,Y$3,BD!$B$3:$B$5001,$A$435)))</f>
        <v/>
      </c>
      <c r="Z446" s="220" t="str">
        <f>IF(Z$3="","",IF(COUNTIFS(BD!$A$3:$A$5001,Z$3,BD!$B$3:$B$5001,$A$435,BD!$N$3:$N$5001,"&lt;&gt;")=0,"",SUMIFS(BD!$N$3:$N$5001,BD!$A$3:$A$5001,Z$3,BD!$B$3:$B$5001,$A$435)))</f>
        <v/>
      </c>
      <c r="AA446" s="220" t="str">
        <f>IF(AA$3="","",IF(COUNTIFS(BD!$A$3:$A$5001,AA$3,BD!$B$3:$B$5001,$A$435,BD!$N$3:$N$5001,"&lt;&gt;")=0,"",SUMIFS(BD!$N$3:$N$5001,BD!$A$3:$A$5001,AA$3,BD!$B$3:$B$5001,$A$435)))</f>
        <v/>
      </c>
      <c r="AB446" s="220" t="str">
        <f>IF(AB$3="","",IF(COUNTIFS(BD!$A$3:$A$5001,AB$3,BD!$B$3:$B$5001,$A$435,BD!$N$3:$N$5001,"&lt;&gt;")=0,"",SUMIFS(BD!$N$3:$N$5001,BD!$A$3:$A$5001,AB$3,BD!$B$3:$B$5001,$A$435)))</f>
        <v/>
      </c>
      <c r="AC446" s="220" t="str">
        <f>IF(AC$3="","",IF(COUNTIFS(BD!$A$3:$A$5001,AC$3,BD!$B$3:$B$5001,$A$435,BD!$N$3:$N$5001,"&lt;&gt;")=0,"",SUMIFS(BD!$N$3:$N$5001,BD!$A$3:$A$5001,AC$3,BD!$B$3:$B$5001,$A$435)))</f>
        <v/>
      </c>
      <c r="AD446" s="220" t="str">
        <f>IF(AD$3="","",IF(COUNTIFS(BD!$A$3:$A$5001,AD$3,BD!$B$3:$B$5001,$A$435,BD!$N$3:$N$5001,"&lt;&gt;")=0,"",SUMIFS(BD!$N$3:$N$5001,BD!$A$3:$A$5001,AD$3,BD!$B$3:$B$5001,$A$435)))</f>
        <v/>
      </c>
      <c r="AE446" s="220" t="str">
        <f>IF(AE$3="","",IF(COUNTIFS(BD!$A$3:$A$5001,AE$3,BD!$B$3:$B$5001,$A$435,BD!$N$3:$N$5001,"&lt;&gt;")=0,"",SUMIFS(BD!$N$3:$N$5001,BD!$A$3:$A$5001,AE$3,BD!$B$3:$B$5001,$A$435)))</f>
        <v/>
      </c>
      <c r="AF446" s="220" t="str">
        <f>IF(AF$3="","",IF(COUNTIFS(BD!$A$3:$A$5001,AF$3,BD!$B$3:$B$5001,$A$435,BD!$N$3:$N$5001,"&lt;&gt;")=0,"",SUMIFS(BD!$N$3:$N$5001,BD!$A$3:$A$5001,AF$3,BD!$B$3:$B$5001,$A$435)))</f>
        <v/>
      </c>
      <c r="AG446" s="220" t="str">
        <f>IF(AG$3="","",IF(COUNTIFS(BD!$A$3:$A$5001,AG$3,BD!$B$3:$B$5001,$A$435,BD!$N$3:$N$5001,"&lt;&gt;")=0,"",SUMIFS(BD!$N$3:$N$5001,BD!$A$3:$A$5001,AG$3,BD!$B$3:$B$5001,$A$435)))</f>
        <v/>
      </c>
      <c r="AH446" s="220" t="str">
        <f>IF(AH$3="","",IF(COUNTIFS(BD!$A$3:$A$5001,AH$3,BD!$B$3:$B$5001,$A$435,BD!$N$3:$N$5001,"&lt;&gt;")=0,"",SUMIFS(BD!$N$3:$N$5001,BD!$A$3:$A$5001,AH$3,BD!$B$3:$B$5001,$A$435)))</f>
        <v/>
      </c>
      <c r="AI446" s="220" t="str">
        <f>IF(AI$3="","",IF(COUNTIFS(BD!$A$3:$A$5001,AI$3,BD!$B$3:$B$5001,$A$435,BD!$N$3:$N$5001,"&lt;&gt;")=0,"",SUMIFS(BD!$N$3:$N$5001,BD!$A$3:$A$5001,AI$3,BD!$B$3:$B$5001,$A$435)))</f>
        <v/>
      </c>
      <c r="AJ446" s="221" t="str">
        <f>IF(AJ$3="","",IF(COUNTIFS(BD!$A$3:$A$5001,AJ$3,BD!$B$3:$B$5001,$A$435,BD!$N$3:$N$5001,"&lt;&gt;")=0,"",SUMIFS(BD!$N$3:$N$5001,BD!$A$3:$A$5001,AJ$3,BD!$B$3:$B$5001,$A$435)))</f>
        <v/>
      </c>
      <c r="AK446" s="222" t="str">
        <f>IF(COUNT(F446:AJ446)=0,"",SUM(F446:AJ446))</f>
        <v/>
      </c>
    </row>
    <row r="447" ht="15.75" customHeight="1" hidden="1">
      <c r="A447" s="277"/>
      <c r="B447" s="271"/>
      <c r="C447" s="223" t="inlineStr">
        <is>
          <t xml:space="preserve">No show</t>
        </is>
      </c>
      <c r="D447" s="224" t="str">
        <f>IFERROR(1/(1/INDEX(BD!$AF$35:$AZ$35,MATCH($A$435,BD!$AF$22:$AZ$22,0))),"")</f>
        <v/>
      </c>
      <c r="E447" s="225"/>
      <c r="F447" s="226" t="str">
        <f>IF(F$3="","",IF(COUNTIFS(BD!$A$3:$A$5001,F$3,BD!$B$3:$B$5001,$A$435,BD!$O$3:$O$5001,"&lt;&gt;")=0,"",SUMIFS(BD!$O$3:$O$5001,BD!$A$3:$A$5001,F$3,BD!$B$3:$B$5001,$A$435)))</f>
        <v/>
      </c>
      <c r="G447" s="227" t="str">
        <f>IF(G$3="","",IF(COUNTIFS(BD!$A$3:$A$5001,G$3,BD!$B$3:$B$5001,$A$435,BD!$O$3:$O$5001,"&lt;&gt;")=0,"",SUMIFS(BD!$O$3:$O$5001,BD!$A$3:$A$5001,G$3,BD!$B$3:$B$5001,$A$435)))</f>
        <v/>
      </c>
      <c r="H447" s="227" t="str">
        <f>IF(H$3="","",IF(COUNTIFS(BD!$A$3:$A$5001,H$3,BD!$B$3:$B$5001,$A$435,BD!$O$3:$O$5001,"&lt;&gt;")=0,"",SUMIFS(BD!$O$3:$O$5001,BD!$A$3:$A$5001,H$3,BD!$B$3:$B$5001,$A$435)))</f>
        <v/>
      </c>
      <c r="I447" s="227" t="str">
        <f>IF(I$3="","",IF(COUNTIFS(BD!$A$3:$A$5001,I$3,BD!$B$3:$B$5001,$A$435,BD!$O$3:$O$5001,"&lt;&gt;")=0,"",SUMIFS(BD!$O$3:$O$5001,BD!$A$3:$A$5001,I$3,BD!$B$3:$B$5001,$A$435)))</f>
        <v/>
      </c>
      <c r="J447" s="227" t="str">
        <f>IF(J$3="","",IF(COUNTIFS(BD!$A$3:$A$5001,J$3,BD!$B$3:$B$5001,$A$435,BD!$O$3:$O$5001,"&lt;&gt;")=0,"",SUMIFS(BD!$O$3:$O$5001,BD!$A$3:$A$5001,J$3,BD!$B$3:$B$5001,$A$435)))</f>
        <v/>
      </c>
      <c r="K447" s="227" t="str">
        <f>IF(K$3="","",IF(COUNTIFS(BD!$A$3:$A$5001,K$3,BD!$B$3:$B$5001,$A$435,BD!$O$3:$O$5001,"&lt;&gt;")=0,"",SUMIFS(BD!$O$3:$O$5001,BD!$A$3:$A$5001,K$3,BD!$B$3:$B$5001,$A$435)))</f>
        <v/>
      </c>
      <c r="L447" s="227" t="str">
        <f>IF(L$3="","",IF(COUNTIFS(BD!$A$3:$A$5001,L$3,BD!$B$3:$B$5001,$A$435,BD!$O$3:$O$5001,"&lt;&gt;")=0,"",SUMIFS(BD!$O$3:$O$5001,BD!$A$3:$A$5001,L$3,BD!$B$3:$B$5001,$A$435)))</f>
        <v/>
      </c>
      <c r="M447" s="227" t="str">
        <f>IF(M$3="","",IF(COUNTIFS(BD!$A$3:$A$5001,M$3,BD!$B$3:$B$5001,$A$435,BD!$O$3:$O$5001,"&lt;&gt;")=0,"",SUMIFS(BD!$O$3:$O$5001,BD!$A$3:$A$5001,M$3,BD!$B$3:$B$5001,$A$435)))</f>
        <v/>
      </c>
      <c r="N447" s="227" t="str">
        <f>IF(N$3="","",IF(COUNTIFS(BD!$A$3:$A$5001,N$3,BD!$B$3:$B$5001,$A$435,BD!$O$3:$O$5001,"&lt;&gt;")=0,"",SUMIFS(BD!$O$3:$O$5001,BD!$A$3:$A$5001,N$3,BD!$B$3:$B$5001,$A$435)))</f>
        <v/>
      </c>
      <c r="O447" s="227" t="str">
        <f>IF(O$3="","",IF(COUNTIFS(BD!$A$3:$A$5001,O$3,BD!$B$3:$B$5001,$A$435,BD!$O$3:$O$5001,"&lt;&gt;")=0,"",SUMIFS(BD!$O$3:$O$5001,BD!$A$3:$A$5001,O$3,BD!$B$3:$B$5001,$A$435)))</f>
        <v/>
      </c>
      <c r="P447" s="227" t="str">
        <f>IF(P$3="","",IF(COUNTIFS(BD!$A$3:$A$5001,P$3,BD!$B$3:$B$5001,$A$435,BD!$O$3:$O$5001,"&lt;&gt;")=0,"",SUMIFS(BD!$O$3:$O$5001,BD!$A$3:$A$5001,P$3,BD!$B$3:$B$5001,$A$435)))</f>
        <v/>
      </c>
      <c r="Q447" s="227" t="str">
        <f>IF(Q$3="","",IF(COUNTIFS(BD!$A$3:$A$5001,Q$3,BD!$B$3:$B$5001,$A$435,BD!$O$3:$O$5001,"&lt;&gt;")=0,"",SUMIFS(BD!$O$3:$O$5001,BD!$A$3:$A$5001,Q$3,BD!$B$3:$B$5001,$A$435)))</f>
        <v/>
      </c>
      <c r="R447" s="227" t="str">
        <f>IF(R$3="","",IF(COUNTIFS(BD!$A$3:$A$5001,R$3,BD!$B$3:$B$5001,$A$435,BD!$O$3:$O$5001,"&lt;&gt;")=0,"",SUMIFS(BD!$O$3:$O$5001,BD!$A$3:$A$5001,R$3,BD!$B$3:$B$5001,$A$435)))</f>
        <v/>
      </c>
      <c r="S447" s="227" t="str">
        <f>IF(S$3="","",IF(COUNTIFS(BD!$A$3:$A$5001,S$3,BD!$B$3:$B$5001,$A$435,BD!$O$3:$O$5001,"&lt;&gt;")=0,"",SUMIFS(BD!$O$3:$O$5001,BD!$A$3:$A$5001,S$3,BD!$B$3:$B$5001,$A$435)))</f>
        <v/>
      </c>
      <c r="T447" s="227" t="str">
        <f>IF(T$3="","",IF(COUNTIFS(BD!$A$3:$A$5001,T$3,BD!$B$3:$B$5001,$A$435,BD!$O$3:$O$5001,"&lt;&gt;")=0,"",SUMIFS(BD!$O$3:$O$5001,BD!$A$3:$A$5001,T$3,BD!$B$3:$B$5001,$A$435)))</f>
        <v/>
      </c>
      <c r="U447" s="227" t="str">
        <f>IF(U$3="","",IF(COUNTIFS(BD!$A$3:$A$5001,U$3,BD!$B$3:$B$5001,$A$435,BD!$O$3:$O$5001,"&lt;&gt;")=0,"",SUMIFS(BD!$O$3:$O$5001,BD!$A$3:$A$5001,U$3,BD!$B$3:$B$5001,$A$435)))</f>
        <v/>
      </c>
      <c r="V447" s="227" t="str">
        <f>IF(V$3="","",IF(COUNTIFS(BD!$A$3:$A$5001,V$3,BD!$B$3:$B$5001,$A$435,BD!$O$3:$O$5001,"&lt;&gt;")=0,"",SUMIFS(BD!$O$3:$O$5001,BD!$A$3:$A$5001,V$3,BD!$B$3:$B$5001,$A$435)))</f>
        <v/>
      </c>
      <c r="W447" s="227" t="str">
        <f>IF(W$3="","",IF(COUNTIFS(BD!$A$3:$A$5001,W$3,BD!$B$3:$B$5001,$A$435,BD!$O$3:$O$5001,"&lt;&gt;")=0,"",SUMIFS(BD!$O$3:$O$5001,BD!$A$3:$A$5001,W$3,BD!$B$3:$B$5001,$A$435)))</f>
        <v/>
      </c>
      <c r="X447" s="227" t="str">
        <f>IF(X$3="","",IF(COUNTIFS(BD!$A$3:$A$5001,X$3,BD!$B$3:$B$5001,$A$435,BD!$O$3:$O$5001,"&lt;&gt;")=0,"",SUMIFS(BD!$O$3:$O$5001,BD!$A$3:$A$5001,X$3,BD!$B$3:$B$5001,$A$435)))</f>
        <v/>
      </c>
      <c r="Y447" s="227" t="str">
        <f>IF(Y$3="","",IF(COUNTIFS(BD!$A$3:$A$5001,Y$3,BD!$B$3:$B$5001,$A$435,BD!$O$3:$O$5001,"&lt;&gt;")=0,"",SUMIFS(BD!$O$3:$O$5001,BD!$A$3:$A$5001,Y$3,BD!$B$3:$B$5001,$A$435)))</f>
        <v/>
      </c>
      <c r="Z447" s="227" t="str">
        <f>IF(Z$3="","",IF(COUNTIFS(BD!$A$3:$A$5001,Z$3,BD!$B$3:$B$5001,$A$435,BD!$O$3:$O$5001,"&lt;&gt;")=0,"",SUMIFS(BD!$O$3:$O$5001,BD!$A$3:$A$5001,Z$3,BD!$B$3:$B$5001,$A$435)))</f>
        <v/>
      </c>
      <c r="AA447" s="227" t="str">
        <f>IF(AA$3="","",IF(COUNTIFS(BD!$A$3:$A$5001,AA$3,BD!$B$3:$B$5001,$A$435,BD!$O$3:$O$5001,"&lt;&gt;")=0,"",SUMIFS(BD!$O$3:$O$5001,BD!$A$3:$A$5001,AA$3,BD!$B$3:$B$5001,$A$435)))</f>
        <v/>
      </c>
      <c r="AB447" s="227" t="str">
        <f>IF(AB$3="","",IF(COUNTIFS(BD!$A$3:$A$5001,AB$3,BD!$B$3:$B$5001,$A$435,BD!$O$3:$O$5001,"&lt;&gt;")=0,"",SUMIFS(BD!$O$3:$O$5001,BD!$A$3:$A$5001,AB$3,BD!$B$3:$B$5001,$A$435)))</f>
        <v/>
      </c>
      <c r="AC447" s="227" t="str">
        <f>IF(AC$3="","",IF(COUNTIFS(BD!$A$3:$A$5001,AC$3,BD!$B$3:$B$5001,$A$435,BD!$O$3:$O$5001,"&lt;&gt;")=0,"",SUMIFS(BD!$O$3:$O$5001,BD!$A$3:$A$5001,AC$3,BD!$B$3:$B$5001,$A$435)))</f>
        <v/>
      </c>
      <c r="AD447" s="227" t="str">
        <f>IF(AD$3="","",IF(COUNTIFS(BD!$A$3:$A$5001,AD$3,BD!$B$3:$B$5001,$A$435,BD!$O$3:$O$5001,"&lt;&gt;")=0,"",SUMIFS(BD!$O$3:$O$5001,BD!$A$3:$A$5001,AD$3,BD!$B$3:$B$5001,$A$435)))</f>
        <v/>
      </c>
      <c r="AE447" s="227" t="str">
        <f>IF(AE$3="","",IF(COUNTIFS(BD!$A$3:$A$5001,AE$3,BD!$B$3:$B$5001,$A$435,BD!$O$3:$O$5001,"&lt;&gt;")=0,"",SUMIFS(BD!$O$3:$O$5001,BD!$A$3:$A$5001,AE$3,BD!$B$3:$B$5001,$A$435)))</f>
        <v/>
      </c>
      <c r="AF447" s="227" t="str">
        <f>IF(AF$3="","",IF(COUNTIFS(BD!$A$3:$A$5001,AF$3,BD!$B$3:$B$5001,$A$435,BD!$O$3:$O$5001,"&lt;&gt;")=0,"",SUMIFS(BD!$O$3:$O$5001,BD!$A$3:$A$5001,AF$3,BD!$B$3:$B$5001,$A$435)))</f>
        <v/>
      </c>
      <c r="AG447" s="227" t="str">
        <f>IF(AG$3="","",IF(COUNTIFS(BD!$A$3:$A$5001,AG$3,BD!$B$3:$B$5001,$A$435,BD!$O$3:$O$5001,"&lt;&gt;")=0,"",SUMIFS(BD!$O$3:$O$5001,BD!$A$3:$A$5001,AG$3,BD!$B$3:$B$5001,$A$435)))</f>
        <v/>
      </c>
      <c r="AH447" s="227" t="str">
        <f>IF(AH$3="","",IF(COUNTIFS(BD!$A$3:$A$5001,AH$3,BD!$B$3:$B$5001,$A$435,BD!$O$3:$O$5001,"&lt;&gt;")=0,"",SUMIFS(BD!$O$3:$O$5001,BD!$A$3:$A$5001,AH$3,BD!$B$3:$B$5001,$A$435)))</f>
        <v/>
      </c>
      <c r="AI447" s="227" t="str">
        <f>IF(AI$3="","",IF(COUNTIFS(BD!$A$3:$A$5001,AI$3,BD!$B$3:$B$5001,$A$435,BD!$O$3:$O$5001,"&lt;&gt;")=0,"",SUMIFS(BD!$O$3:$O$5001,BD!$A$3:$A$5001,AI$3,BD!$B$3:$B$5001,$A$435)))</f>
        <v/>
      </c>
      <c r="AJ447" s="228" t="str">
        <f>IF(AJ$3="","",IF(COUNTIFS(BD!$A$3:$A$5001,AJ$3,BD!$B$3:$B$5001,$A$435,BD!$O$3:$O$5001,"&lt;&gt;")=0,"",SUMIFS(BD!$O$3:$O$5001,BD!$A$3:$A$5001,AJ$3,BD!$B$3:$B$5001,$A$435)))</f>
        <v/>
      </c>
      <c r="AK447" s="229" t="str">
        <f>IF(COUNT(F447:AJ447)=0,"",SUM(F447:AJ447))</f>
        <v/>
      </c>
    </row>
    <row r="448" ht="15.75" customHeight="1" hidden="1">
      <c r="A448" s="277"/>
      <c r="B448" s="271"/>
      <c r="C448" s="223" t="inlineStr">
        <is>
          <t xml:space="preserve">Backlog Intralog</t>
        </is>
      </c>
      <c r="D448" s="224" t="str">
        <f>IFERROR(1/(1/INDEX(BD!$AF$36:$AZ$36,MATCH($A$435,BD!$AF$22:$AZ$22,0))),"")</f>
        <v/>
      </c>
      <c r="E448" s="225"/>
      <c r="F448" s="226" t="str">
        <f>IF(F$3="","",IF(COUNTIFS(BD!$A$3:$A$5001,F$3,BD!$B$3:$B$5001,$A$435,BD!$P$3:$P$5001,"&lt;&gt;")=0,"",SUMIFS(BD!$P$3:$P$5001,BD!$A$3:$A$5001,F$3,BD!$B$3:$B$5001,$A$435)))</f>
        <v/>
      </c>
      <c r="G448" s="227" t="str">
        <f>IF(G$3="","",IF(COUNTIFS(BD!$A$3:$A$5001,G$3,BD!$B$3:$B$5001,$A$435,BD!$P$3:$P$5001,"&lt;&gt;")=0,"",SUMIFS(BD!$P$3:$P$5001,BD!$A$3:$A$5001,G$3,BD!$B$3:$B$5001,$A$435)))</f>
        <v/>
      </c>
      <c r="H448" s="227" t="str">
        <f>IF(H$3="","",IF(COUNTIFS(BD!$A$3:$A$5001,H$3,BD!$B$3:$B$5001,$A$435,BD!$P$3:$P$5001,"&lt;&gt;")=0,"",SUMIFS(BD!$P$3:$P$5001,BD!$A$3:$A$5001,H$3,BD!$B$3:$B$5001,$A$435)))</f>
        <v/>
      </c>
      <c r="I448" s="227" t="str">
        <f>IF(I$3="","",IF(COUNTIFS(BD!$A$3:$A$5001,I$3,BD!$B$3:$B$5001,$A$435,BD!$P$3:$P$5001,"&lt;&gt;")=0,"",SUMIFS(BD!$P$3:$P$5001,BD!$A$3:$A$5001,I$3,BD!$B$3:$B$5001,$A$435)))</f>
        <v/>
      </c>
      <c r="J448" s="227" t="str">
        <f>IF(J$3="","",IF(COUNTIFS(BD!$A$3:$A$5001,J$3,BD!$B$3:$B$5001,$A$435,BD!$P$3:$P$5001,"&lt;&gt;")=0,"",SUMIFS(BD!$P$3:$P$5001,BD!$A$3:$A$5001,J$3,BD!$B$3:$B$5001,$A$435)))</f>
        <v/>
      </c>
      <c r="K448" s="227" t="str">
        <f>IF(K$3="","",IF(COUNTIFS(BD!$A$3:$A$5001,K$3,BD!$B$3:$B$5001,$A$435,BD!$P$3:$P$5001,"&lt;&gt;")=0,"",SUMIFS(BD!$P$3:$P$5001,BD!$A$3:$A$5001,K$3,BD!$B$3:$B$5001,$A$435)))</f>
        <v/>
      </c>
      <c r="L448" s="227" t="str">
        <f>IF(L$3="","",IF(COUNTIFS(BD!$A$3:$A$5001,L$3,BD!$B$3:$B$5001,$A$435,BD!$P$3:$P$5001,"&lt;&gt;")=0,"",SUMIFS(BD!$P$3:$P$5001,BD!$A$3:$A$5001,L$3,BD!$B$3:$B$5001,$A$435)))</f>
        <v/>
      </c>
      <c r="M448" s="227" t="str">
        <f>IF(M$3="","",IF(COUNTIFS(BD!$A$3:$A$5001,M$3,BD!$B$3:$B$5001,$A$435,BD!$P$3:$P$5001,"&lt;&gt;")=0,"",SUMIFS(BD!$P$3:$P$5001,BD!$A$3:$A$5001,M$3,BD!$B$3:$B$5001,$A$435)))</f>
        <v/>
      </c>
      <c r="N448" s="227" t="str">
        <f>IF(N$3="","",IF(COUNTIFS(BD!$A$3:$A$5001,N$3,BD!$B$3:$B$5001,$A$435,BD!$P$3:$P$5001,"&lt;&gt;")=0,"",SUMIFS(BD!$P$3:$P$5001,BD!$A$3:$A$5001,N$3,BD!$B$3:$B$5001,$A$435)))</f>
        <v/>
      </c>
      <c r="O448" s="227" t="str">
        <f>IF(O$3="","",IF(COUNTIFS(BD!$A$3:$A$5001,O$3,BD!$B$3:$B$5001,$A$435,BD!$P$3:$P$5001,"&lt;&gt;")=0,"",SUMIFS(BD!$P$3:$P$5001,BD!$A$3:$A$5001,O$3,BD!$B$3:$B$5001,$A$435)))</f>
        <v/>
      </c>
      <c r="P448" s="227" t="str">
        <f>IF(P$3="","",IF(COUNTIFS(BD!$A$3:$A$5001,P$3,BD!$B$3:$B$5001,$A$435,BD!$P$3:$P$5001,"&lt;&gt;")=0,"",SUMIFS(BD!$P$3:$P$5001,BD!$A$3:$A$5001,P$3,BD!$B$3:$B$5001,$A$435)))</f>
        <v/>
      </c>
      <c r="Q448" s="227" t="str">
        <f>IF(Q$3="","",IF(COUNTIFS(BD!$A$3:$A$5001,Q$3,BD!$B$3:$B$5001,$A$435,BD!$P$3:$P$5001,"&lt;&gt;")=0,"",SUMIFS(BD!$P$3:$P$5001,BD!$A$3:$A$5001,Q$3,BD!$B$3:$B$5001,$A$435)))</f>
        <v/>
      </c>
      <c r="R448" s="227" t="str">
        <f>IF(R$3="","",IF(COUNTIFS(BD!$A$3:$A$5001,R$3,BD!$B$3:$B$5001,$A$435,BD!$P$3:$P$5001,"&lt;&gt;")=0,"",SUMIFS(BD!$P$3:$P$5001,BD!$A$3:$A$5001,R$3,BD!$B$3:$B$5001,$A$435)))</f>
        <v/>
      </c>
      <c r="S448" s="227" t="str">
        <f>IF(S$3="","",IF(COUNTIFS(BD!$A$3:$A$5001,S$3,BD!$B$3:$B$5001,$A$435,BD!$P$3:$P$5001,"&lt;&gt;")=0,"",SUMIFS(BD!$P$3:$P$5001,BD!$A$3:$A$5001,S$3,BD!$B$3:$B$5001,$A$435)))</f>
        <v/>
      </c>
      <c r="T448" s="227" t="str">
        <f>IF(T$3="","",IF(COUNTIFS(BD!$A$3:$A$5001,T$3,BD!$B$3:$B$5001,$A$435,BD!$P$3:$P$5001,"&lt;&gt;")=0,"",SUMIFS(BD!$P$3:$P$5001,BD!$A$3:$A$5001,T$3,BD!$B$3:$B$5001,$A$435)))</f>
        <v/>
      </c>
      <c r="U448" s="227" t="str">
        <f>IF(U$3="","",IF(COUNTIFS(BD!$A$3:$A$5001,U$3,BD!$B$3:$B$5001,$A$435,BD!$P$3:$P$5001,"&lt;&gt;")=0,"",SUMIFS(BD!$P$3:$P$5001,BD!$A$3:$A$5001,U$3,BD!$B$3:$B$5001,$A$435)))</f>
        <v/>
      </c>
      <c r="V448" s="227" t="str">
        <f>IF(V$3="","",IF(COUNTIFS(BD!$A$3:$A$5001,V$3,BD!$B$3:$B$5001,$A$435,BD!$P$3:$P$5001,"&lt;&gt;")=0,"",SUMIFS(BD!$P$3:$P$5001,BD!$A$3:$A$5001,V$3,BD!$B$3:$B$5001,$A$435)))</f>
        <v/>
      </c>
      <c r="W448" s="227" t="str">
        <f>IF(W$3="","",IF(COUNTIFS(BD!$A$3:$A$5001,W$3,BD!$B$3:$B$5001,$A$435,BD!$P$3:$P$5001,"&lt;&gt;")=0,"",SUMIFS(BD!$P$3:$P$5001,BD!$A$3:$A$5001,W$3,BD!$B$3:$B$5001,$A$435)))</f>
        <v/>
      </c>
      <c r="X448" s="227" t="str">
        <f>IF(X$3="","",IF(COUNTIFS(BD!$A$3:$A$5001,X$3,BD!$B$3:$B$5001,$A$435,BD!$P$3:$P$5001,"&lt;&gt;")=0,"",SUMIFS(BD!$P$3:$P$5001,BD!$A$3:$A$5001,X$3,BD!$B$3:$B$5001,$A$435)))</f>
        <v/>
      </c>
      <c r="Y448" s="227" t="str">
        <f>IF(Y$3="","",IF(COUNTIFS(BD!$A$3:$A$5001,Y$3,BD!$B$3:$B$5001,$A$435,BD!$P$3:$P$5001,"&lt;&gt;")=0,"",SUMIFS(BD!$P$3:$P$5001,BD!$A$3:$A$5001,Y$3,BD!$B$3:$B$5001,$A$435)))</f>
        <v/>
      </c>
      <c r="Z448" s="227" t="str">
        <f>IF(Z$3="","",IF(COUNTIFS(BD!$A$3:$A$5001,Z$3,BD!$B$3:$B$5001,$A$435,BD!$P$3:$P$5001,"&lt;&gt;")=0,"",SUMIFS(BD!$P$3:$P$5001,BD!$A$3:$A$5001,Z$3,BD!$B$3:$B$5001,$A$435)))</f>
        <v/>
      </c>
      <c r="AA448" s="227" t="str">
        <f>IF(AA$3="","",IF(COUNTIFS(BD!$A$3:$A$5001,AA$3,BD!$B$3:$B$5001,$A$435,BD!$P$3:$P$5001,"&lt;&gt;")=0,"",SUMIFS(BD!$P$3:$P$5001,BD!$A$3:$A$5001,AA$3,BD!$B$3:$B$5001,$A$435)))</f>
        <v/>
      </c>
      <c r="AB448" s="227" t="str">
        <f>IF(AB$3="","",IF(COUNTIFS(BD!$A$3:$A$5001,AB$3,BD!$B$3:$B$5001,$A$435,BD!$P$3:$P$5001,"&lt;&gt;")=0,"",SUMIFS(BD!$P$3:$P$5001,BD!$A$3:$A$5001,AB$3,BD!$B$3:$B$5001,$A$435)))</f>
        <v/>
      </c>
      <c r="AC448" s="227" t="str">
        <f>IF(AC$3="","",IF(COUNTIFS(BD!$A$3:$A$5001,AC$3,BD!$B$3:$B$5001,$A$435,BD!$P$3:$P$5001,"&lt;&gt;")=0,"",SUMIFS(BD!$P$3:$P$5001,BD!$A$3:$A$5001,AC$3,BD!$B$3:$B$5001,$A$435)))</f>
        <v/>
      </c>
      <c r="AD448" s="227" t="str">
        <f>IF(AD$3="","",IF(COUNTIFS(BD!$A$3:$A$5001,AD$3,BD!$B$3:$B$5001,$A$435,BD!$P$3:$P$5001,"&lt;&gt;")=0,"",SUMIFS(BD!$P$3:$P$5001,BD!$A$3:$A$5001,AD$3,BD!$B$3:$B$5001,$A$435)))</f>
        <v/>
      </c>
      <c r="AE448" s="227" t="str">
        <f>IF(AE$3="","",IF(COUNTIFS(BD!$A$3:$A$5001,AE$3,BD!$B$3:$B$5001,$A$435,BD!$P$3:$P$5001,"&lt;&gt;")=0,"",SUMIFS(BD!$P$3:$P$5001,BD!$A$3:$A$5001,AE$3,BD!$B$3:$B$5001,$A$435)))</f>
        <v/>
      </c>
      <c r="AF448" s="227" t="str">
        <f>IF(AF$3="","",IF(COUNTIFS(BD!$A$3:$A$5001,AF$3,BD!$B$3:$B$5001,$A$435,BD!$P$3:$P$5001,"&lt;&gt;")=0,"",SUMIFS(BD!$P$3:$P$5001,BD!$A$3:$A$5001,AF$3,BD!$B$3:$B$5001,$A$435)))</f>
        <v/>
      </c>
      <c r="AG448" s="227" t="str">
        <f>IF(AG$3="","",IF(COUNTIFS(BD!$A$3:$A$5001,AG$3,BD!$B$3:$B$5001,$A$435,BD!$P$3:$P$5001,"&lt;&gt;")=0,"",SUMIFS(BD!$P$3:$P$5001,BD!$A$3:$A$5001,AG$3,BD!$B$3:$B$5001,$A$435)))</f>
        <v/>
      </c>
      <c r="AH448" s="227" t="str">
        <f>IF(AH$3="","",IF(COUNTIFS(BD!$A$3:$A$5001,AH$3,BD!$B$3:$B$5001,$A$435,BD!$P$3:$P$5001,"&lt;&gt;")=0,"",SUMIFS(BD!$P$3:$P$5001,BD!$A$3:$A$5001,AH$3,BD!$B$3:$B$5001,$A$435)))</f>
        <v/>
      </c>
      <c r="AI448" s="227" t="str">
        <f>IF(AI$3="","",IF(COUNTIFS(BD!$A$3:$A$5001,AI$3,BD!$B$3:$B$5001,$A$435,BD!$P$3:$P$5001,"&lt;&gt;")=0,"",SUMIFS(BD!$P$3:$P$5001,BD!$A$3:$A$5001,AI$3,BD!$B$3:$B$5001,$A$435)))</f>
        <v/>
      </c>
      <c r="AJ448" s="228" t="str">
        <f>IF(AJ$3="","",IF(COUNTIFS(BD!$A$3:$A$5001,AJ$3,BD!$B$3:$B$5001,$A$435,BD!$P$3:$P$5001,"&lt;&gt;")=0,"",SUMIFS(BD!$P$3:$P$5001,BD!$A$3:$A$5001,AJ$3,BD!$B$3:$B$5001,$A$435)))</f>
        <v/>
      </c>
      <c r="AK448" s="229" t="str">
        <f>IFERROR(LOOKUP(9.99E+307,F448:AJ448),"")</f>
        <v/>
      </c>
    </row>
    <row r="449" ht="15.75" customHeight="1" hidden="1">
      <c r="A449" s="277"/>
      <c r="B449" s="272"/>
      <c r="C449" s="230" t="inlineStr">
        <is>
          <t xml:space="preserve">Backlog Cliente</t>
        </is>
      </c>
      <c r="D449" s="231" t="str">
        <f>IFERROR(1/(1/INDEX(BD!$AF$37:$AZ$37,MATCH($A$435,BD!$AF$22:$AZ$22,0))),"")</f>
        <v/>
      </c>
      <c r="E449" s="232"/>
      <c r="F449" s="233" t="str">
        <f>IF(F$3="","",IF(COUNTIFS(BD!$A$3:$A$5001,F$3,BD!$B$3:$B$5001,$A$435,BD!$Q$3:$Q$5001,"&lt;&gt;")=0,"",SUMIFS(BD!$Q$3:$Q$5001,BD!$A$3:$A$5001,F$3,BD!$B$3:$B$5001,$A$435)))</f>
        <v/>
      </c>
      <c r="G449" s="234" t="str">
        <f>IF(G$3="","",IF(COUNTIFS(BD!$A$3:$A$5001,G$3,BD!$B$3:$B$5001,$A$435,BD!$Q$3:$Q$5001,"&lt;&gt;")=0,"",SUMIFS(BD!$Q$3:$Q$5001,BD!$A$3:$A$5001,G$3,BD!$B$3:$B$5001,$A$435)))</f>
        <v/>
      </c>
      <c r="H449" s="234" t="str">
        <f>IF(H$3="","",IF(COUNTIFS(BD!$A$3:$A$5001,H$3,BD!$B$3:$B$5001,$A$435,BD!$Q$3:$Q$5001,"&lt;&gt;")=0,"",SUMIFS(BD!$Q$3:$Q$5001,BD!$A$3:$A$5001,H$3,BD!$B$3:$B$5001,$A$435)))</f>
        <v/>
      </c>
      <c r="I449" s="234" t="str">
        <f>IF(I$3="","",IF(COUNTIFS(BD!$A$3:$A$5001,I$3,BD!$B$3:$B$5001,$A$435,BD!$Q$3:$Q$5001,"&lt;&gt;")=0,"",SUMIFS(BD!$Q$3:$Q$5001,BD!$A$3:$A$5001,I$3,BD!$B$3:$B$5001,$A$435)))</f>
        <v/>
      </c>
      <c r="J449" s="234" t="str">
        <f>IF(J$3="","",IF(COUNTIFS(BD!$A$3:$A$5001,J$3,BD!$B$3:$B$5001,$A$435,BD!$Q$3:$Q$5001,"&lt;&gt;")=0,"",SUMIFS(BD!$Q$3:$Q$5001,BD!$A$3:$A$5001,J$3,BD!$B$3:$B$5001,$A$435)))</f>
        <v/>
      </c>
      <c r="K449" s="234" t="str">
        <f>IF(K$3="","",IF(COUNTIFS(BD!$A$3:$A$5001,K$3,BD!$B$3:$B$5001,$A$435,BD!$Q$3:$Q$5001,"&lt;&gt;")=0,"",SUMIFS(BD!$Q$3:$Q$5001,BD!$A$3:$A$5001,K$3,BD!$B$3:$B$5001,$A$435)))</f>
        <v/>
      </c>
      <c r="L449" s="234" t="str">
        <f>IF(L$3="","",IF(COUNTIFS(BD!$A$3:$A$5001,L$3,BD!$B$3:$B$5001,$A$435,BD!$Q$3:$Q$5001,"&lt;&gt;")=0,"",SUMIFS(BD!$Q$3:$Q$5001,BD!$A$3:$A$5001,L$3,BD!$B$3:$B$5001,$A$435)))</f>
        <v/>
      </c>
      <c r="M449" s="234" t="str">
        <f>IF(M$3="","",IF(COUNTIFS(BD!$A$3:$A$5001,M$3,BD!$B$3:$B$5001,$A$435,BD!$Q$3:$Q$5001,"&lt;&gt;")=0,"",SUMIFS(BD!$Q$3:$Q$5001,BD!$A$3:$A$5001,M$3,BD!$B$3:$B$5001,$A$435)))</f>
        <v/>
      </c>
      <c r="N449" s="234" t="str">
        <f>IF(N$3="","",IF(COUNTIFS(BD!$A$3:$A$5001,N$3,BD!$B$3:$B$5001,$A$435,BD!$Q$3:$Q$5001,"&lt;&gt;")=0,"",SUMIFS(BD!$Q$3:$Q$5001,BD!$A$3:$A$5001,N$3,BD!$B$3:$B$5001,$A$435)))</f>
        <v/>
      </c>
      <c r="O449" s="234" t="str">
        <f>IF(O$3="","",IF(COUNTIFS(BD!$A$3:$A$5001,O$3,BD!$B$3:$B$5001,$A$435,BD!$Q$3:$Q$5001,"&lt;&gt;")=0,"",SUMIFS(BD!$Q$3:$Q$5001,BD!$A$3:$A$5001,O$3,BD!$B$3:$B$5001,$A$435)))</f>
        <v/>
      </c>
      <c r="P449" s="234" t="str">
        <f>IF(P$3="","",IF(COUNTIFS(BD!$A$3:$A$5001,P$3,BD!$B$3:$B$5001,$A$435,BD!$Q$3:$Q$5001,"&lt;&gt;")=0,"",SUMIFS(BD!$Q$3:$Q$5001,BD!$A$3:$A$5001,P$3,BD!$B$3:$B$5001,$A$435)))</f>
        <v/>
      </c>
      <c r="Q449" s="234" t="str">
        <f>IF(Q$3="","",IF(COUNTIFS(BD!$A$3:$A$5001,Q$3,BD!$B$3:$B$5001,$A$435,BD!$Q$3:$Q$5001,"&lt;&gt;")=0,"",SUMIFS(BD!$Q$3:$Q$5001,BD!$A$3:$A$5001,Q$3,BD!$B$3:$B$5001,$A$435)))</f>
        <v/>
      </c>
      <c r="R449" s="234" t="str">
        <f>IF(R$3="","",IF(COUNTIFS(BD!$A$3:$A$5001,R$3,BD!$B$3:$B$5001,$A$435,BD!$Q$3:$Q$5001,"&lt;&gt;")=0,"",SUMIFS(BD!$Q$3:$Q$5001,BD!$A$3:$A$5001,R$3,BD!$B$3:$B$5001,$A$435)))</f>
        <v/>
      </c>
      <c r="S449" s="234" t="str">
        <f>IF(S$3="","",IF(COUNTIFS(BD!$A$3:$A$5001,S$3,BD!$B$3:$B$5001,$A$435,BD!$Q$3:$Q$5001,"&lt;&gt;")=0,"",SUMIFS(BD!$Q$3:$Q$5001,BD!$A$3:$A$5001,S$3,BD!$B$3:$B$5001,$A$435)))</f>
        <v/>
      </c>
      <c r="T449" s="234" t="str">
        <f>IF(T$3="","",IF(COUNTIFS(BD!$A$3:$A$5001,T$3,BD!$B$3:$B$5001,$A$435,BD!$Q$3:$Q$5001,"&lt;&gt;")=0,"",SUMIFS(BD!$Q$3:$Q$5001,BD!$A$3:$A$5001,T$3,BD!$B$3:$B$5001,$A$435)))</f>
        <v/>
      </c>
      <c r="U449" s="234" t="str">
        <f>IF(U$3="","",IF(COUNTIFS(BD!$A$3:$A$5001,U$3,BD!$B$3:$B$5001,$A$435,BD!$Q$3:$Q$5001,"&lt;&gt;")=0,"",SUMIFS(BD!$Q$3:$Q$5001,BD!$A$3:$A$5001,U$3,BD!$B$3:$B$5001,$A$435)))</f>
        <v/>
      </c>
      <c r="V449" s="234" t="str">
        <f>IF(V$3="","",IF(COUNTIFS(BD!$A$3:$A$5001,V$3,BD!$B$3:$B$5001,$A$435,BD!$Q$3:$Q$5001,"&lt;&gt;")=0,"",SUMIFS(BD!$Q$3:$Q$5001,BD!$A$3:$A$5001,V$3,BD!$B$3:$B$5001,$A$435)))</f>
        <v/>
      </c>
      <c r="W449" s="234" t="str">
        <f>IF(W$3="","",IF(COUNTIFS(BD!$A$3:$A$5001,W$3,BD!$B$3:$B$5001,$A$435,BD!$Q$3:$Q$5001,"&lt;&gt;")=0,"",SUMIFS(BD!$Q$3:$Q$5001,BD!$A$3:$A$5001,W$3,BD!$B$3:$B$5001,$A$435)))</f>
        <v/>
      </c>
      <c r="X449" s="234" t="str">
        <f>IF(X$3="","",IF(COUNTIFS(BD!$A$3:$A$5001,X$3,BD!$B$3:$B$5001,$A$435,BD!$Q$3:$Q$5001,"&lt;&gt;")=0,"",SUMIFS(BD!$Q$3:$Q$5001,BD!$A$3:$A$5001,X$3,BD!$B$3:$B$5001,$A$435)))</f>
        <v/>
      </c>
      <c r="Y449" s="234" t="str">
        <f>IF(Y$3="","",IF(COUNTIFS(BD!$A$3:$A$5001,Y$3,BD!$B$3:$B$5001,$A$435,BD!$Q$3:$Q$5001,"&lt;&gt;")=0,"",SUMIFS(BD!$Q$3:$Q$5001,BD!$A$3:$A$5001,Y$3,BD!$B$3:$B$5001,$A$435)))</f>
        <v/>
      </c>
      <c r="Z449" s="234" t="str">
        <f>IF(Z$3="","",IF(COUNTIFS(BD!$A$3:$A$5001,Z$3,BD!$B$3:$B$5001,$A$435,BD!$Q$3:$Q$5001,"&lt;&gt;")=0,"",SUMIFS(BD!$Q$3:$Q$5001,BD!$A$3:$A$5001,Z$3,BD!$B$3:$B$5001,$A$435)))</f>
        <v/>
      </c>
      <c r="AA449" s="234" t="str">
        <f>IF(AA$3="","",IF(COUNTIFS(BD!$A$3:$A$5001,AA$3,BD!$B$3:$B$5001,$A$435,BD!$Q$3:$Q$5001,"&lt;&gt;")=0,"",SUMIFS(BD!$Q$3:$Q$5001,BD!$A$3:$A$5001,AA$3,BD!$B$3:$B$5001,$A$435)))</f>
        <v/>
      </c>
      <c r="AB449" s="234" t="str">
        <f>IF(AB$3="","",IF(COUNTIFS(BD!$A$3:$A$5001,AB$3,BD!$B$3:$B$5001,$A$435,BD!$Q$3:$Q$5001,"&lt;&gt;")=0,"",SUMIFS(BD!$Q$3:$Q$5001,BD!$A$3:$A$5001,AB$3,BD!$B$3:$B$5001,$A$435)))</f>
        <v/>
      </c>
      <c r="AC449" s="234" t="str">
        <f>IF(AC$3="","",IF(COUNTIFS(BD!$A$3:$A$5001,AC$3,BD!$B$3:$B$5001,$A$435,BD!$Q$3:$Q$5001,"&lt;&gt;")=0,"",SUMIFS(BD!$Q$3:$Q$5001,BD!$A$3:$A$5001,AC$3,BD!$B$3:$B$5001,$A$435)))</f>
        <v/>
      </c>
      <c r="AD449" s="234" t="str">
        <f>IF(AD$3="","",IF(COUNTIFS(BD!$A$3:$A$5001,AD$3,BD!$B$3:$B$5001,$A$435,BD!$Q$3:$Q$5001,"&lt;&gt;")=0,"",SUMIFS(BD!$Q$3:$Q$5001,BD!$A$3:$A$5001,AD$3,BD!$B$3:$B$5001,$A$435)))</f>
        <v/>
      </c>
      <c r="AE449" s="234" t="str">
        <f>IF(AE$3="","",IF(COUNTIFS(BD!$A$3:$A$5001,AE$3,BD!$B$3:$B$5001,$A$435,BD!$Q$3:$Q$5001,"&lt;&gt;")=0,"",SUMIFS(BD!$Q$3:$Q$5001,BD!$A$3:$A$5001,AE$3,BD!$B$3:$B$5001,$A$435)))</f>
        <v/>
      </c>
      <c r="AF449" s="234" t="str">
        <f>IF(AF$3="","",IF(COUNTIFS(BD!$A$3:$A$5001,AF$3,BD!$B$3:$B$5001,$A$435,BD!$Q$3:$Q$5001,"&lt;&gt;")=0,"",SUMIFS(BD!$Q$3:$Q$5001,BD!$A$3:$A$5001,AF$3,BD!$B$3:$B$5001,$A$435)))</f>
        <v/>
      </c>
      <c r="AG449" s="234" t="str">
        <f>IF(AG$3="","",IF(COUNTIFS(BD!$A$3:$A$5001,AG$3,BD!$B$3:$B$5001,$A$435,BD!$Q$3:$Q$5001,"&lt;&gt;")=0,"",SUMIFS(BD!$Q$3:$Q$5001,BD!$A$3:$A$5001,AG$3,BD!$B$3:$B$5001,$A$435)))</f>
        <v/>
      </c>
      <c r="AH449" s="234" t="str">
        <f>IF(AH$3="","",IF(COUNTIFS(BD!$A$3:$A$5001,AH$3,BD!$B$3:$B$5001,$A$435,BD!$Q$3:$Q$5001,"&lt;&gt;")=0,"",SUMIFS(BD!$Q$3:$Q$5001,BD!$A$3:$A$5001,AH$3,BD!$B$3:$B$5001,$A$435)))</f>
        <v/>
      </c>
      <c r="AI449" s="234" t="str">
        <f>IF(AI$3="","",IF(COUNTIFS(BD!$A$3:$A$5001,AI$3,BD!$B$3:$B$5001,$A$435,BD!$Q$3:$Q$5001,"&lt;&gt;")=0,"",SUMIFS(BD!$Q$3:$Q$5001,BD!$A$3:$A$5001,AI$3,BD!$B$3:$B$5001,$A$435)))</f>
        <v/>
      </c>
      <c r="AJ449" s="235" t="str">
        <f>IF(AJ$3="","",IF(COUNTIFS(BD!$A$3:$A$5001,AJ$3,BD!$B$3:$B$5001,$A$435,BD!$Q$3:$Q$5001,"&lt;&gt;")=0,"",SUMIFS(BD!$Q$3:$Q$5001,BD!$A$3:$A$5001,AJ$3,BD!$B$3:$B$5001,$A$435)))</f>
        <v/>
      </c>
      <c r="AK449" s="231" t="str">
        <f>IFERROR(LOOKUP(9.99E+307,F449:AJ449),"")</f>
        <v/>
      </c>
    </row>
    <row r="450" ht="15.75" customHeight="1" hidden="1">
      <c r="A450" s="277"/>
      <c r="B450" s="264" t="inlineStr">
        <is>
          <t xml:space="preserve">OCUPAÇÃO (P.P)</t>
        </is>
      </c>
      <c r="C450" s="168" t="inlineStr">
        <is>
          <t xml:space="preserve">Posições Disponíveis</t>
        </is>
      </c>
      <c r="D450" s="169" t="str">
        <f>IFERROR(1/(1/INDEX(BD!$AF$38:$AZ$38,MATCH($A$435,BD!$AF$22:$AZ$22,0))),"")</f>
        <v/>
      </c>
      <c r="E450" s="170"/>
      <c r="F450" s="171" t="str">
        <f>IF(F$3="","",IF(COUNTIFS(BD!$A$3:$A$5001,F$3,BD!$B$3:$B$5001,$A$435,BD!$R$3:$R$5001,"&lt;&gt;")=0,"",SUMIFS(BD!$R$3:$R$5001,BD!$A$3:$A$5001,F$3,BD!$B$3:$B$5001,$A$435)))</f>
        <v/>
      </c>
      <c r="G450" s="172" t="str">
        <f>IF(G$3="","",IF(COUNTIFS(BD!$A$3:$A$5001,G$3,BD!$B$3:$B$5001,$A$435,BD!$R$3:$R$5001,"&lt;&gt;")=0,"",SUMIFS(BD!$R$3:$R$5001,BD!$A$3:$A$5001,G$3,BD!$B$3:$B$5001,$A$435)))</f>
        <v/>
      </c>
      <c r="H450" s="172" t="str">
        <f>IF(H$3="","",IF(COUNTIFS(BD!$A$3:$A$5001,H$3,BD!$B$3:$B$5001,$A$435,BD!$R$3:$R$5001,"&lt;&gt;")=0,"",SUMIFS(BD!$R$3:$R$5001,BD!$A$3:$A$5001,H$3,BD!$B$3:$B$5001,$A$435)))</f>
        <v/>
      </c>
      <c r="I450" s="172" t="str">
        <f>IF(I$3="","",IF(COUNTIFS(BD!$A$3:$A$5001,I$3,BD!$B$3:$B$5001,$A$435,BD!$R$3:$R$5001,"&lt;&gt;")=0,"",SUMIFS(BD!$R$3:$R$5001,BD!$A$3:$A$5001,I$3,BD!$B$3:$B$5001,$A$435)))</f>
        <v/>
      </c>
      <c r="J450" s="172" t="str">
        <f>IF(J$3="","",IF(COUNTIFS(BD!$A$3:$A$5001,J$3,BD!$B$3:$B$5001,$A$435,BD!$R$3:$R$5001,"&lt;&gt;")=0,"",SUMIFS(BD!$R$3:$R$5001,BD!$A$3:$A$5001,J$3,BD!$B$3:$B$5001,$A$435)))</f>
        <v/>
      </c>
      <c r="K450" s="172" t="str">
        <f>IF(K$3="","",IF(COUNTIFS(BD!$A$3:$A$5001,K$3,BD!$B$3:$B$5001,$A$435,BD!$R$3:$R$5001,"&lt;&gt;")=0,"",SUMIFS(BD!$R$3:$R$5001,BD!$A$3:$A$5001,K$3,BD!$B$3:$B$5001,$A$435)))</f>
        <v/>
      </c>
      <c r="L450" s="172" t="str">
        <f>IF(L$3="","",IF(COUNTIFS(BD!$A$3:$A$5001,L$3,BD!$B$3:$B$5001,$A$435,BD!$R$3:$R$5001,"&lt;&gt;")=0,"",SUMIFS(BD!$R$3:$R$5001,BD!$A$3:$A$5001,L$3,BD!$B$3:$B$5001,$A$435)))</f>
        <v/>
      </c>
      <c r="M450" s="172" t="str">
        <f>IF(M$3="","",IF(COUNTIFS(BD!$A$3:$A$5001,M$3,BD!$B$3:$B$5001,$A$435,BD!$R$3:$R$5001,"&lt;&gt;")=0,"",SUMIFS(BD!$R$3:$R$5001,BD!$A$3:$A$5001,M$3,BD!$B$3:$B$5001,$A$435)))</f>
        <v/>
      </c>
      <c r="N450" s="172" t="str">
        <f>IF(N$3="","",IF(COUNTIFS(BD!$A$3:$A$5001,N$3,BD!$B$3:$B$5001,$A$435,BD!$R$3:$R$5001,"&lt;&gt;")=0,"",SUMIFS(BD!$R$3:$R$5001,BD!$A$3:$A$5001,N$3,BD!$B$3:$B$5001,$A$435)))</f>
        <v/>
      </c>
      <c r="O450" s="172" t="str">
        <f>IF(O$3="","",IF(COUNTIFS(BD!$A$3:$A$5001,O$3,BD!$B$3:$B$5001,$A$435,BD!$R$3:$R$5001,"&lt;&gt;")=0,"",SUMIFS(BD!$R$3:$R$5001,BD!$A$3:$A$5001,O$3,BD!$B$3:$B$5001,$A$435)))</f>
        <v/>
      </c>
      <c r="P450" s="172" t="str">
        <f>IF(P$3="","",IF(COUNTIFS(BD!$A$3:$A$5001,P$3,BD!$B$3:$B$5001,$A$435,BD!$R$3:$R$5001,"&lt;&gt;")=0,"",SUMIFS(BD!$R$3:$R$5001,BD!$A$3:$A$5001,P$3,BD!$B$3:$B$5001,$A$435)))</f>
        <v/>
      </c>
      <c r="Q450" s="172" t="str">
        <f>IF(Q$3="","",IF(COUNTIFS(BD!$A$3:$A$5001,Q$3,BD!$B$3:$B$5001,$A$435,BD!$R$3:$R$5001,"&lt;&gt;")=0,"",SUMIFS(BD!$R$3:$R$5001,BD!$A$3:$A$5001,Q$3,BD!$B$3:$B$5001,$A$435)))</f>
        <v/>
      </c>
      <c r="R450" s="172" t="str">
        <f>IF(R$3="","",IF(COUNTIFS(BD!$A$3:$A$5001,R$3,BD!$B$3:$B$5001,$A$435,BD!$R$3:$R$5001,"&lt;&gt;")=0,"",SUMIFS(BD!$R$3:$R$5001,BD!$A$3:$A$5001,R$3,BD!$B$3:$B$5001,$A$435)))</f>
        <v/>
      </c>
      <c r="S450" s="172" t="str">
        <f>IF(S$3="","",IF(COUNTIFS(BD!$A$3:$A$5001,S$3,BD!$B$3:$B$5001,$A$435,BD!$R$3:$R$5001,"&lt;&gt;")=0,"",SUMIFS(BD!$R$3:$R$5001,BD!$A$3:$A$5001,S$3,BD!$B$3:$B$5001,$A$435)))</f>
        <v/>
      </c>
      <c r="T450" s="172" t="str">
        <f>IF(T$3="","",IF(COUNTIFS(BD!$A$3:$A$5001,T$3,BD!$B$3:$B$5001,$A$435,BD!$R$3:$R$5001,"&lt;&gt;")=0,"",SUMIFS(BD!$R$3:$R$5001,BD!$A$3:$A$5001,T$3,BD!$B$3:$B$5001,$A$435)))</f>
        <v/>
      </c>
      <c r="U450" s="172" t="str">
        <f>IF(U$3="","",IF(COUNTIFS(BD!$A$3:$A$5001,U$3,BD!$B$3:$B$5001,$A$435,BD!$R$3:$R$5001,"&lt;&gt;")=0,"",SUMIFS(BD!$R$3:$R$5001,BD!$A$3:$A$5001,U$3,BD!$B$3:$B$5001,$A$435)))</f>
        <v/>
      </c>
      <c r="V450" s="172" t="str">
        <f>IF(V$3="","",IF(COUNTIFS(BD!$A$3:$A$5001,V$3,BD!$B$3:$B$5001,$A$435,BD!$R$3:$R$5001,"&lt;&gt;")=0,"",SUMIFS(BD!$R$3:$R$5001,BD!$A$3:$A$5001,V$3,BD!$B$3:$B$5001,$A$435)))</f>
        <v/>
      </c>
      <c r="W450" s="172" t="str">
        <f>IF(W$3="","",IF(COUNTIFS(BD!$A$3:$A$5001,W$3,BD!$B$3:$B$5001,$A$435,BD!$R$3:$R$5001,"&lt;&gt;")=0,"",SUMIFS(BD!$R$3:$R$5001,BD!$A$3:$A$5001,W$3,BD!$B$3:$B$5001,$A$435)))</f>
        <v/>
      </c>
      <c r="X450" s="172" t="str">
        <f>IF(X$3="","",IF(COUNTIFS(BD!$A$3:$A$5001,X$3,BD!$B$3:$B$5001,$A$435,BD!$R$3:$R$5001,"&lt;&gt;")=0,"",SUMIFS(BD!$R$3:$R$5001,BD!$A$3:$A$5001,X$3,BD!$B$3:$B$5001,$A$435)))</f>
        <v/>
      </c>
      <c r="Y450" s="172" t="str">
        <f>IF(Y$3="","",IF(COUNTIFS(BD!$A$3:$A$5001,Y$3,BD!$B$3:$B$5001,$A$435,BD!$R$3:$R$5001,"&lt;&gt;")=0,"",SUMIFS(BD!$R$3:$R$5001,BD!$A$3:$A$5001,Y$3,BD!$B$3:$B$5001,$A$435)))</f>
        <v/>
      </c>
      <c r="Z450" s="172" t="str">
        <f>IF(Z$3="","",IF(COUNTIFS(BD!$A$3:$A$5001,Z$3,BD!$B$3:$B$5001,$A$435,BD!$R$3:$R$5001,"&lt;&gt;")=0,"",SUMIFS(BD!$R$3:$R$5001,BD!$A$3:$A$5001,Z$3,BD!$B$3:$B$5001,$A$435)))</f>
        <v/>
      </c>
      <c r="AA450" s="172" t="str">
        <f>IF(AA$3="","",IF(COUNTIFS(BD!$A$3:$A$5001,AA$3,BD!$B$3:$B$5001,$A$435,BD!$R$3:$R$5001,"&lt;&gt;")=0,"",SUMIFS(BD!$R$3:$R$5001,BD!$A$3:$A$5001,AA$3,BD!$B$3:$B$5001,$A$435)))</f>
        <v/>
      </c>
      <c r="AB450" s="172" t="str">
        <f>IF(AB$3="","",IF(COUNTIFS(BD!$A$3:$A$5001,AB$3,BD!$B$3:$B$5001,$A$435,BD!$R$3:$R$5001,"&lt;&gt;")=0,"",SUMIFS(BD!$R$3:$R$5001,BD!$A$3:$A$5001,AB$3,BD!$B$3:$B$5001,$A$435)))</f>
        <v/>
      </c>
      <c r="AC450" s="172" t="str">
        <f>IF(AC$3="","",IF(COUNTIFS(BD!$A$3:$A$5001,AC$3,BD!$B$3:$B$5001,$A$435,BD!$R$3:$R$5001,"&lt;&gt;")=0,"",SUMIFS(BD!$R$3:$R$5001,BD!$A$3:$A$5001,AC$3,BD!$B$3:$B$5001,$A$435)))</f>
        <v/>
      </c>
      <c r="AD450" s="172" t="str">
        <f>IF(AD$3="","",IF(COUNTIFS(BD!$A$3:$A$5001,AD$3,BD!$B$3:$B$5001,$A$435,BD!$R$3:$R$5001,"&lt;&gt;")=0,"",SUMIFS(BD!$R$3:$R$5001,BD!$A$3:$A$5001,AD$3,BD!$B$3:$B$5001,$A$435)))</f>
        <v/>
      </c>
      <c r="AE450" s="172" t="str">
        <f>IF(AE$3="","",IF(COUNTIFS(BD!$A$3:$A$5001,AE$3,BD!$B$3:$B$5001,$A$435,BD!$R$3:$R$5001,"&lt;&gt;")=0,"",SUMIFS(BD!$R$3:$R$5001,BD!$A$3:$A$5001,AE$3,BD!$B$3:$B$5001,$A$435)))</f>
        <v/>
      </c>
      <c r="AF450" s="172" t="str">
        <f>IF(AF$3="","",IF(COUNTIFS(BD!$A$3:$A$5001,AF$3,BD!$B$3:$B$5001,$A$435,BD!$R$3:$R$5001,"&lt;&gt;")=0,"",SUMIFS(BD!$R$3:$R$5001,BD!$A$3:$A$5001,AF$3,BD!$B$3:$B$5001,$A$435)))</f>
        <v/>
      </c>
      <c r="AG450" s="172" t="str">
        <f>IF(AG$3="","",IF(COUNTIFS(BD!$A$3:$A$5001,AG$3,BD!$B$3:$B$5001,$A$435,BD!$R$3:$R$5001,"&lt;&gt;")=0,"",SUMIFS(BD!$R$3:$R$5001,BD!$A$3:$A$5001,AG$3,BD!$B$3:$B$5001,$A$435)))</f>
        <v/>
      </c>
      <c r="AH450" s="172" t="str">
        <f>IF(AH$3="","",IF(COUNTIFS(BD!$A$3:$A$5001,AH$3,BD!$B$3:$B$5001,$A$435,BD!$R$3:$R$5001,"&lt;&gt;")=0,"",SUMIFS(BD!$R$3:$R$5001,BD!$A$3:$A$5001,AH$3,BD!$B$3:$B$5001,$A$435)))</f>
        <v/>
      </c>
      <c r="AI450" s="172" t="str">
        <f>IF(AI$3="","",IF(COUNTIFS(BD!$A$3:$A$5001,AI$3,BD!$B$3:$B$5001,$A$435,BD!$R$3:$R$5001,"&lt;&gt;")=0,"",SUMIFS(BD!$R$3:$R$5001,BD!$A$3:$A$5001,AI$3,BD!$B$3:$B$5001,$A$435)))</f>
        <v/>
      </c>
      <c r="AJ450" s="173" t="str">
        <f>IF(AJ$3="","",IF(COUNTIFS(BD!$A$3:$A$5001,AJ$3,BD!$B$3:$B$5001,$A$435,BD!$R$3:$R$5001,"&lt;&gt;")=0,"",SUMIFS(BD!$R$3:$R$5001,BD!$A$3:$A$5001,AJ$3,BD!$B$3:$B$5001,$A$435)))</f>
        <v/>
      </c>
      <c r="AK450" s="174" t="str">
        <f>IF(COUNT(F450:AJ450)&gt;0,LOOKUP(9.99E+307,F450:AJ450),IFERROR(IF(INDEX(BD!$AC$3:$AC$5001,MATCH($A$435,BD!$B$3:$B$5001,0))&amp;""="Contrato","",INDEX(BD!$AC$3:$AC$5001,MATCH($A$435,BD!$B$3:$B$5001,0))&amp;""),""))</f>
        <v/>
      </c>
    </row>
    <row r="451" ht="15.75" customHeight="1" hidden="1">
      <c r="A451" s="277"/>
      <c r="B451" s="265"/>
      <c r="C451" s="175" t="inlineStr">
        <is>
          <t xml:space="preserve">Posições Ocupadas</t>
        </is>
      </c>
      <c r="D451" s="176" t="str">
        <f>IFERROR(1/(1/INDEX(BD!$AF$39:$AZ$39,MATCH($A$435,BD!$AF$22:$AZ$22,0))),"")</f>
        <v/>
      </c>
      <c r="E451" s="177"/>
      <c r="F451" s="178" t="str">
        <f>IF(F$3="","",IF(COUNTIFS(BD!$A$3:$A$5001,F$3,BD!$B$3:$B$5001,$A$435,BD!$S$3:$S$5001,"&lt;&gt;")=0,"",SUMIFS(BD!$S$3:$S$5001,BD!$A$3:$A$5001,F$3,BD!$B$3:$B$5001,$A$435)))</f>
        <v/>
      </c>
      <c r="G451" s="179" t="str">
        <f>IF(G$3="","",IF(COUNTIFS(BD!$A$3:$A$5001,G$3,BD!$B$3:$B$5001,$A$435,BD!$S$3:$S$5001,"&lt;&gt;")=0,"",SUMIFS(BD!$S$3:$S$5001,BD!$A$3:$A$5001,G$3,BD!$B$3:$B$5001,$A$435)))</f>
        <v/>
      </c>
      <c r="H451" s="179" t="str">
        <f>IF(H$3="","",IF(COUNTIFS(BD!$A$3:$A$5001,H$3,BD!$B$3:$B$5001,$A$435,BD!$S$3:$S$5001,"&lt;&gt;")=0,"",SUMIFS(BD!$S$3:$S$5001,BD!$A$3:$A$5001,H$3,BD!$B$3:$B$5001,$A$435)))</f>
        <v/>
      </c>
      <c r="I451" s="179" t="str">
        <f>IF(I$3="","",IF(COUNTIFS(BD!$A$3:$A$5001,I$3,BD!$B$3:$B$5001,$A$435,BD!$S$3:$S$5001,"&lt;&gt;")=0,"",SUMIFS(BD!$S$3:$S$5001,BD!$A$3:$A$5001,I$3,BD!$B$3:$B$5001,$A$435)))</f>
        <v/>
      </c>
      <c r="J451" s="179" t="str">
        <f>IF(J$3="","",IF(COUNTIFS(BD!$A$3:$A$5001,J$3,BD!$B$3:$B$5001,$A$435,BD!$S$3:$S$5001,"&lt;&gt;")=0,"",SUMIFS(BD!$S$3:$S$5001,BD!$A$3:$A$5001,J$3,BD!$B$3:$B$5001,$A$435)))</f>
        <v/>
      </c>
      <c r="K451" s="179" t="str">
        <f>IF(K$3="","",IF(COUNTIFS(BD!$A$3:$A$5001,K$3,BD!$B$3:$B$5001,$A$435,BD!$S$3:$S$5001,"&lt;&gt;")=0,"",SUMIFS(BD!$S$3:$S$5001,BD!$A$3:$A$5001,K$3,BD!$B$3:$B$5001,$A$435)))</f>
        <v/>
      </c>
      <c r="L451" s="179" t="str">
        <f>IF(L$3="","",IF(COUNTIFS(BD!$A$3:$A$5001,L$3,BD!$B$3:$B$5001,$A$435,BD!$S$3:$S$5001,"&lt;&gt;")=0,"",SUMIFS(BD!$S$3:$S$5001,BD!$A$3:$A$5001,L$3,BD!$B$3:$B$5001,$A$435)))</f>
        <v/>
      </c>
      <c r="M451" s="179" t="str">
        <f>IF(M$3="","",IF(COUNTIFS(BD!$A$3:$A$5001,M$3,BD!$B$3:$B$5001,$A$435,BD!$S$3:$S$5001,"&lt;&gt;")=0,"",SUMIFS(BD!$S$3:$S$5001,BD!$A$3:$A$5001,M$3,BD!$B$3:$B$5001,$A$435)))</f>
        <v/>
      </c>
      <c r="N451" s="179" t="str">
        <f>IF(N$3="","",IF(COUNTIFS(BD!$A$3:$A$5001,N$3,BD!$B$3:$B$5001,$A$435,BD!$S$3:$S$5001,"&lt;&gt;")=0,"",SUMIFS(BD!$S$3:$S$5001,BD!$A$3:$A$5001,N$3,BD!$B$3:$B$5001,$A$435)))</f>
        <v/>
      </c>
      <c r="O451" s="179" t="str">
        <f>IF(O$3="","",IF(COUNTIFS(BD!$A$3:$A$5001,O$3,BD!$B$3:$B$5001,$A$435,BD!$S$3:$S$5001,"&lt;&gt;")=0,"",SUMIFS(BD!$S$3:$S$5001,BD!$A$3:$A$5001,O$3,BD!$B$3:$B$5001,$A$435)))</f>
        <v/>
      </c>
      <c r="P451" s="179" t="str">
        <f>IF(P$3="","",IF(COUNTIFS(BD!$A$3:$A$5001,P$3,BD!$B$3:$B$5001,$A$435,BD!$S$3:$S$5001,"&lt;&gt;")=0,"",SUMIFS(BD!$S$3:$S$5001,BD!$A$3:$A$5001,P$3,BD!$B$3:$B$5001,$A$435)))</f>
        <v/>
      </c>
      <c r="Q451" s="179" t="str">
        <f>IF(Q$3="","",IF(COUNTIFS(BD!$A$3:$A$5001,Q$3,BD!$B$3:$B$5001,$A$435,BD!$S$3:$S$5001,"&lt;&gt;")=0,"",SUMIFS(BD!$S$3:$S$5001,BD!$A$3:$A$5001,Q$3,BD!$B$3:$B$5001,$A$435)))</f>
        <v/>
      </c>
      <c r="R451" s="179" t="str">
        <f>IF(R$3="","",IF(COUNTIFS(BD!$A$3:$A$5001,R$3,BD!$B$3:$B$5001,$A$435,BD!$S$3:$S$5001,"&lt;&gt;")=0,"",SUMIFS(BD!$S$3:$S$5001,BD!$A$3:$A$5001,R$3,BD!$B$3:$B$5001,$A$435)))</f>
        <v/>
      </c>
      <c r="S451" s="179" t="str">
        <f>IF(S$3="","",IF(COUNTIFS(BD!$A$3:$A$5001,S$3,BD!$B$3:$B$5001,$A$435,BD!$S$3:$S$5001,"&lt;&gt;")=0,"",SUMIFS(BD!$S$3:$S$5001,BD!$A$3:$A$5001,S$3,BD!$B$3:$B$5001,$A$435)))</f>
        <v/>
      </c>
      <c r="T451" s="179" t="str">
        <f>IF(T$3="","",IF(COUNTIFS(BD!$A$3:$A$5001,T$3,BD!$B$3:$B$5001,$A$435,BD!$S$3:$S$5001,"&lt;&gt;")=0,"",SUMIFS(BD!$S$3:$S$5001,BD!$A$3:$A$5001,T$3,BD!$B$3:$B$5001,$A$435)))</f>
        <v/>
      </c>
      <c r="U451" s="179" t="str">
        <f>IF(U$3="","",IF(COUNTIFS(BD!$A$3:$A$5001,U$3,BD!$B$3:$B$5001,$A$435,BD!$S$3:$S$5001,"&lt;&gt;")=0,"",SUMIFS(BD!$S$3:$S$5001,BD!$A$3:$A$5001,U$3,BD!$B$3:$B$5001,$A$435)))</f>
        <v/>
      </c>
      <c r="V451" s="179" t="str">
        <f>IF(V$3="","",IF(COUNTIFS(BD!$A$3:$A$5001,V$3,BD!$B$3:$B$5001,$A$435,BD!$S$3:$S$5001,"&lt;&gt;")=0,"",SUMIFS(BD!$S$3:$S$5001,BD!$A$3:$A$5001,V$3,BD!$B$3:$B$5001,$A$435)))</f>
        <v/>
      </c>
      <c r="W451" s="179" t="str">
        <f>IF(W$3="","",IF(COUNTIFS(BD!$A$3:$A$5001,W$3,BD!$B$3:$B$5001,$A$435,BD!$S$3:$S$5001,"&lt;&gt;")=0,"",SUMIFS(BD!$S$3:$S$5001,BD!$A$3:$A$5001,W$3,BD!$B$3:$B$5001,$A$435)))</f>
        <v/>
      </c>
      <c r="X451" s="179" t="str">
        <f>IF(X$3="","",IF(COUNTIFS(BD!$A$3:$A$5001,X$3,BD!$B$3:$B$5001,$A$435,BD!$S$3:$S$5001,"&lt;&gt;")=0,"",SUMIFS(BD!$S$3:$S$5001,BD!$A$3:$A$5001,X$3,BD!$B$3:$B$5001,$A$435)))</f>
        <v/>
      </c>
      <c r="Y451" s="179" t="str">
        <f>IF(Y$3="","",IF(COUNTIFS(BD!$A$3:$A$5001,Y$3,BD!$B$3:$B$5001,$A$435,BD!$S$3:$S$5001,"&lt;&gt;")=0,"",SUMIFS(BD!$S$3:$S$5001,BD!$A$3:$A$5001,Y$3,BD!$B$3:$B$5001,$A$435)))</f>
        <v/>
      </c>
      <c r="Z451" s="179" t="str">
        <f>IF(Z$3="","",IF(COUNTIFS(BD!$A$3:$A$5001,Z$3,BD!$B$3:$B$5001,$A$435,BD!$S$3:$S$5001,"&lt;&gt;")=0,"",SUMIFS(BD!$S$3:$S$5001,BD!$A$3:$A$5001,Z$3,BD!$B$3:$B$5001,$A$435)))</f>
        <v/>
      </c>
      <c r="AA451" s="179" t="str">
        <f>IF(AA$3="","",IF(COUNTIFS(BD!$A$3:$A$5001,AA$3,BD!$B$3:$B$5001,$A$435,BD!$S$3:$S$5001,"&lt;&gt;")=0,"",SUMIFS(BD!$S$3:$S$5001,BD!$A$3:$A$5001,AA$3,BD!$B$3:$B$5001,$A$435)))</f>
        <v/>
      </c>
      <c r="AB451" s="179" t="str">
        <f>IF(AB$3="","",IF(COUNTIFS(BD!$A$3:$A$5001,AB$3,BD!$B$3:$B$5001,$A$435,BD!$S$3:$S$5001,"&lt;&gt;")=0,"",SUMIFS(BD!$S$3:$S$5001,BD!$A$3:$A$5001,AB$3,BD!$B$3:$B$5001,$A$435)))</f>
        <v/>
      </c>
      <c r="AC451" s="179" t="str">
        <f>IF(AC$3="","",IF(COUNTIFS(BD!$A$3:$A$5001,AC$3,BD!$B$3:$B$5001,$A$435,BD!$S$3:$S$5001,"&lt;&gt;")=0,"",SUMIFS(BD!$S$3:$S$5001,BD!$A$3:$A$5001,AC$3,BD!$B$3:$B$5001,$A$435)))</f>
        <v/>
      </c>
      <c r="AD451" s="179" t="str">
        <f>IF(AD$3="","",IF(COUNTIFS(BD!$A$3:$A$5001,AD$3,BD!$B$3:$B$5001,$A$435,BD!$S$3:$S$5001,"&lt;&gt;")=0,"",SUMIFS(BD!$S$3:$S$5001,BD!$A$3:$A$5001,AD$3,BD!$B$3:$B$5001,$A$435)))</f>
        <v/>
      </c>
      <c r="AE451" s="179" t="str">
        <f>IF(AE$3="","",IF(COUNTIFS(BD!$A$3:$A$5001,AE$3,BD!$B$3:$B$5001,$A$435,BD!$S$3:$S$5001,"&lt;&gt;")=0,"",SUMIFS(BD!$S$3:$S$5001,BD!$A$3:$A$5001,AE$3,BD!$B$3:$B$5001,$A$435)))</f>
        <v/>
      </c>
      <c r="AF451" s="179" t="str">
        <f>IF(AF$3="","",IF(COUNTIFS(BD!$A$3:$A$5001,AF$3,BD!$B$3:$B$5001,$A$435,BD!$S$3:$S$5001,"&lt;&gt;")=0,"",SUMIFS(BD!$S$3:$S$5001,BD!$A$3:$A$5001,AF$3,BD!$B$3:$B$5001,$A$435)))</f>
        <v/>
      </c>
      <c r="AG451" s="179" t="str">
        <f>IF(AG$3="","",IF(COUNTIFS(BD!$A$3:$A$5001,AG$3,BD!$B$3:$B$5001,$A$435,BD!$S$3:$S$5001,"&lt;&gt;")=0,"",SUMIFS(BD!$S$3:$S$5001,BD!$A$3:$A$5001,AG$3,BD!$B$3:$B$5001,$A$435)))</f>
        <v/>
      </c>
      <c r="AH451" s="179" t="str">
        <f>IF(AH$3="","",IF(COUNTIFS(BD!$A$3:$A$5001,AH$3,BD!$B$3:$B$5001,$A$435,BD!$S$3:$S$5001,"&lt;&gt;")=0,"",SUMIFS(BD!$S$3:$S$5001,BD!$A$3:$A$5001,AH$3,BD!$B$3:$B$5001,$A$435)))</f>
        <v/>
      </c>
      <c r="AI451" s="179" t="str">
        <f>IF(AI$3="","",IF(COUNTIFS(BD!$A$3:$A$5001,AI$3,BD!$B$3:$B$5001,$A$435,BD!$S$3:$S$5001,"&lt;&gt;")=0,"",SUMIFS(BD!$S$3:$S$5001,BD!$A$3:$A$5001,AI$3,BD!$B$3:$B$5001,$A$435)))</f>
        <v/>
      </c>
      <c r="AJ451" s="180" t="str">
        <f>IF(AJ$3="","",IF(COUNTIFS(BD!$A$3:$A$5001,AJ$3,BD!$B$3:$B$5001,$A$435,BD!$S$3:$S$5001,"&lt;&gt;")=0,"",SUMIFS(BD!$S$3:$S$5001,BD!$A$3:$A$5001,AJ$3,BD!$B$3:$B$5001,$A$435)))</f>
        <v/>
      </c>
      <c r="AK451" s="181" t="str">
        <f>IFERROR(LOOKUP(9.99E+307,F451:AJ451),"")</f>
        <v/>
      </c>
    </row>
    <row r="452" ht="15.75" customHeight="1" hidden="1">
      <c r="A452" s="277"/>
      <c r="B452" s="266"/>
      <c r="C452" s="186" t="inlineStr">
        <is>
          <t xml:space="preserve">Taxa de Ocupação</t>
        </is>
      </c>
      <c r="D452" s="236" t="str">
        <f>IFERROR(1/(1/INDEX(BD!$AF$40:$AZ$40,MATCH($A$435,BD!$AF$22:$AZ$22,0))),"")</f>
        <v/>
      </c>
      <c r="E452" s="188"/>
      <c r="F452" s="237" t="str">
        <f>IF(AND(ISNUMBER(F450),ISNUMBER(F451)),IF(F450&gt;0,F451/F450,""),"")</f>
        <v/>
      </c>
      <c r="G452" s="238" t="str">
        <f>IF(AND(ISNUMBER(G450),ISNUMBER(G451)),IF(G450&gt;0,G451/G450,""),"")</f>
        <v/>
      </c>
      <c r="H452" s="238" t="str">
        <f>IF(AND(ISNUMBER(H450),ISNUMBER(H451)),IF(H450&gt;0,H451/H450,""),"")</f>
        <v/>
      </c>
      <c r="I452" s="238" t="str">
        <f>IF(AND(ISNUMBER(I450),ISNUMBER(I451)),IF(I450&gt;0,I451/I450,""),"")</f>
        <v/>
      </c>
      <c r="J452" s="238" t="str">
        <f>IF(AND(ISNUMBER(J450),ISNUMBER(J451)),IF(J450&gt;0,J451/J450,""),"")</f>
        <v/>
      </c>
      <c r="K452" s="238" t="str">
        <f>IF(AND(ISNUMBER(K450),ISNUMBER(K451)),IF(K450&gt;0,K451/K450,""),"")</f>
        <v/>
      </c>
      <c r="L452" s="238" t="str">
        <f>IF(AND(ISNUMBER(L450),ISNUMBER(L451)),IF(L450&gt;0,L451/L450,""),"")</f>
        <v/>
      </c>
      <c r="M452" s="238" t="str">
        <f>IF(AND(ISNUMBER(M450),ISNUMBER(M451)),IF(M450&gt;0,M451/M450,""),"")</f>
        <v/>
      </c>
      <c r="N452" s="238" t="str">
        <f>IF(AND(ISNUMBER(N450),ISNUMBER(N451)),IF(N450&gt;0,N451/N450,""),"")</f>
        <v/>
      </c>
      <c r="O452" s="238" t="str">
        <f>IF(AND(ISNUMBER(O450),ISNUMBER(O451)),IF(O450&gt;0,O451/O450,""),"")</f>
        <v/>
      </c>
      <c r="P452" s="238" t="str">
        <f>IF(AND(ISNUMBER(P450),ISNUMBER(P451)),IF(P450&gt;0,P451/P450,""),"")</f>
        <v/>
      </c>
      <c r="Q452" s="238" t="str">
        <f>IF(AND(ISNUMBER(Q450),ISNUMBER(Q451)),IF(Q450&gt;0,Q451/Q450,""),"")</f>
        <v/>
      </c>
      <c r="R452" s="238" t="str">
        <f>IF(AND(ISNUMBER(R450),ISNUMBER(R451)),IF(R450&gt;0,R451/R450,""),"")</f>
        <v/>
      </c>
      <c r="S452" s="238" t="str">
        <f>IF(AND(ISNUMBER(S450),ISNUMBER(S451)),IF(S450&gt;0,S451/S450,""),"")</f>
        <v/>
      </c>
      <c r="T452" s="238" t="str">
        <f>IF(AND(ISNUMBER(T450),ISNUMBER(T451)),IF(T450&gt;0,T451/T450,""),"")</f>
        <v/>
      </c>
      <c r="U452" s="238" t="str">
        <f>IF(AND(ISNUMBER(U450),ISNUMBER(U451)),IF(U450&gt;0,U451/U450,""),"")</f>
        <v/>
      </c>
      <c r="V452" s="238" t="str">
        <f>IF(AND(ISNUMBER(V450),ISNUMBER(V451)),IF(V450&gt;0,V451/V450,""),"")</f>
        <v/>
      </c>
      <c r="W452" s="238" t="str">
        <f>IF(AND(ISNUMBER(W450),ISNUMBER(W451)),IF(W450&gt;0,W451/W450,""),"")</f>
        <v/>
      </c>
      <c r="X452" s="238" t="str">
        <f>IF(AND(ISNUMBER(X450),ISNUMBER(X451)),IF(X450&gt;0,X451/X450,""),"")</f>
        <v/>
      </c>
      <c r="Y452" s="238" t="str">
        <f>IF(AND(ISNUMBER(Y450),ISNUMBER(Y451)),IF(Y450&gt;0,Y451/Y450,""),"")</f>
        <v/>
      </c>
      <c r="Z452" s="238" t="str">
        <f>IF(AND(ISNUMBER(Z450),ISNUMBER(Z451)),IF(Z450&gt;0,Z451/Z450,""),"")</f>
        <v/>
      </c>
      <c r="AA452" s="238" t="str">
        <f>IF(AND(ISNUMBER(AA450),ISNUMBER(AA451)),IF(AA450&gt;0,AA451/AA450,""),"")</f>
        <v/>
      </c>
      <c r="AB452" s="238" t="str">
        <f>IF(AND(ISNUMBER(AB450),ISNUMBER(AB451)),IF(AB450&gt;0,AB451/AB450,""),"")</f>
        <v/>
      </c>
      <c r="AC452" s="238" t="str">
        <f>IF(AND(ISNUMBER(AC450),ISNUMBER(AC451)),IF(AC450&gt;0,AC451/AC450,""),"")</f>
        <v/>
      </c>
      <c r="AD452" s="238" t="str">
        <f>IF(AND(ISNUMBER(AD450),ISNUMBER(AD451)),IF(AD450&gt;0,AD451/AD450,""),"")</f>
        <v/>
      </c>
      <c r="AE452" s="238" t="str">
        <f>IF(AND(ISNUMBER(AE450),ISNUMBER(AE451)),IF(AE450&gt;0,AE451/AE450,""),"")</f>
        <v/>
      </c>
      <c r="AF452" s="238" t="str">
        <f>IF(AND(ISNUMBER(AF450),ISNUMBER(AF451)),IF(AF450&gt;0,AF451/AF450,""),"")</f>
        <v/>
      </c>
      <c r="AG452" s="238" t="str">
        <f>IF(AND(ISNUMBER(AG450),ISNUMBER(AG451)),IF(AG450&gt;0,AG451/AG450,""),"")</f>
        <v/>
      </c>
      <c r="AH452" s="238" t="str">
        <f>IF(AND(ISNUMBER(AH450),ISNUMBER(AH451)),IF(AH450&gt;0,AH451/AH450,""),"")</f>
        <v/>
      </c>
      <c r="AI452" s="238" t="str">
        <f>IF(AND(ISNUMBER(AI450),ISNUMBER(AI451)),IF(AI450&gt;0,AI451/AI450,""),"")</f>
        <v/>
      </c>
      <c r="AJ452" s="239" t="str">
        <f>IF(AND(ISNUMBER(AJ450),ISNUMBER(AJ451)),IF(AJ450&gt;0,AJ451/AJ450,""),"")</f>
        <v/>
      </c>
      <c r="AK452" s="236" t="str">
        <f>IF(AND(ISNUMBER(AK450),ISNUMBER(AK451)),IF(AK450&gt;0,AK451/AK450,""),"")</f>
        <v/>
      </c>
    </row>
    <row r="453" ht="15.75" customHeight="1" hidden="1">
      <c r="A453" s="277"/>
      <c r="B453" s="273" t="inlineStr">
        <is>
          <t xml:space="preserve">GENTE</t>
        </is>
      </c>
      <c r="C453" s="240" t="inlineStr">
        <is>
          <t xml:space="preserve">Efetivo Op.</t>
        </is>
      </c>
      <c r="D453" s="241" t="str">
        <f>IFERROR(1/(1/INDEX(BD!$AF$41:$AZ$41,MATCH($A$435,BD!$AF$22:$AZ$22,0))),"")</f>
        <v/>
      </c>
      <c r="E453" s="242"/>
      <c r="F453" s="243" t="str">
        <f>IF(F$3="","",IF(COUNTIFS(BD!$A$3:$A$5001,F$3,BD!$B$3:$B$5001,$A$435,BD!$T$3:$T$5001,"&lt;&gt;")=0,"",SUMIFS(BD!$T$3:$T$5001,BD!$A$3:$A$5001,F$3,BD!$B$3:$B$5001,$A$435)))</f>
        <v/>
      </c>
      <c r="G453" s="244" t="str">
        <f>IF(G$3="","",IF(COUNTIFS(BD!$A$3:$A$5001,G$3,BD!$B$3:$B$5001,$A$435,BD!$T$3:$T$5001,"&lt;&gt;")=0,"",SUMIFS(BD!$T$3:$T$5001,BD!$A$3:$A$5001,G$3,BD!$B$3:$B$5001,$A$435)))</f>
        <v/>
      </c>
      <c r="H453" s="244" t="str">
        <f>IF(H$3="","",IF(COUNTIFS(BD!$A$3:$A$5001,H$3,BD!$B$3:$B$5001,$A$435,BD!$T$3:$T$5001,"&lt;&gt;")=0,"",SUMIFS(BD!$T$3:$T$5001,BD!$A$3:$A$5001,H$3,BD!$B$3:$B$5001,$A$435)))</f>
        <v/>
      </c>
      <c r="I453" s="244" t="str">
        <f>IF(I$3="","",IF(COUNTIFS(BD!$A$3:$A$5001,I$3,BD!$B$3:$B$5001,$A$435,BD!$T$3:$T$5001,"&lt;&gt;")=0,"",SUMIFS(BD!$T$3:$T$5001,BD!$A$3:$A$5001,I$3,BD!$B$3:$B$5001,$A$435)))</f>
        <v/>
      </c>
      <c r="J453" s="244" t="str">
        <f>IF(J$3="","",IF(COUNTIFS(BD!$A$3:$A$5001,J$3,BD!$B$3:$B$5001,$A$435,BD!$T$3:$T$5001,"&lt;&gt;")=0,"",SUMIFS(BD!$T$3:$T$5001,BD!$A$3:$A$5001,J$3,BD!$B$3:$B$5001,$A$435)))</f>
        <v/>
      </c>
      <c r="K453" s="244" t="str">
        <f>IF(K$3="","",IF(COUNTIFS(BD!$A$3:$A$5001,K$3,BD!$B$3:$B$5001,$A$435,BD!$T$3:$T$5001,"&lt;&gt;")=0,"",SUMIFS(BD!$T$3:$T$5001,BD!$A$3:$A$5001,K$3,BD!$B$3:$B$5001,$A$435)))</f>
        <v/>
      </c>
      <c r="L453" s="244" t="str">
        <f>IF(L$3="","",IF(COUNTIFS(BD!$A$3:$A$5001,L$3,BD!$B$3:$B$5001,$A$435,BD!$T$3:$T$5001,"&lt;&gt;")=0,"",SUMIFS(BD!$T$3:$T$5001,BD!$A$3:$A$5001,L$3,BD!$B$3:$B$5001,$A$435)))</f>
        <v/>
      </c>
      <c r="M453" s="244" t="str">
        <f>IF(M$3="","",IF(COUNTIFS(BD!$A$3:$A$5001,M$3,BD!$B$3:$B$5001,$A$435,BD!$T$3:$T$5001,"&lt;&gt;")=0,"",SUMIFS(BD!$T$3:$T$5001,BD!$A$3:$A$5001,M$3,BD!$B$3:$B$5001,$A$435)))</f>
        <v/>
      </c>
      <c r="N453" s="244" t="str">
        <f>IF(N$3="","",IF(COUNTIFS(BD!$A$3:$A$5001,N$3,BD!$B$3:$B$5001,$A$435,BD!$T$3:$T$5001,"&lt;&gt;")=0,"",SUMIFS(BD!$T$3:$T$5001,BD!$A$3:$A$5001,N$3,BD!$B$3:$B$5001,$A$435)))</f>
        <v/>
      </c>
      <c r="O453" s="244" t="str">
        <f>IF(O$3="","",IF(COUNTIFS(BD!$A$3:$A$5001,O$3,BD!$B$3:$B$5001,$A$435,BD!$T$3:$T$5001,"&lt;&gt;")=0,"",SUMIFS(BD!$T$3:$T$5001,BD!$A$3:$A$5001,O$3,BD!$B$3:$B$5001,$A$435)))</f>
        <v/>
      </c>
      <c r="P453" s="244" t="str">
        <f>IF(P$3="","",IF(COUNTIFS(BD!$A$3:$A$5001,P$3,BD!$B$3:$B$5001,$A$435,BD!$T$3:$T$5001,"&lt;&gt;")=0,"",SUMIFS(BD!$T$3:$T$5001,BD!$A$3:$A$5001,P$3,BD!$B$3:$B$5001,$A$435)))</f>
        <v/>
      </c>
      <c r="Q453" s="244" t="str">
        <f>IF(Q$3="","",IF(COUNTIFS(BD!$A$3:$A$5001,Q$3,BD!$B$3:$B$5001,$A$435,BD!$T$3:$T$5001,"&lt;&gt;")=0,"",SUMIFS(BD!$T$3:$T$5001,BD!$A$3:$A$5001,Q$3,BD!$B$3:$B$5001,$A$435)))</f>
        <v/>
      </c>
      <c r="R453" s="244" t="str">
        <f>IF(R$3="","",IF(COUNTIFS(BD!$A$3:$A$5001,R$3,BD!$B$3:$B$5001,$A$435,BD!$T$3:$T$5001,"&lt;&gt;")=0,"",SUMIFS(BD!$T$3:$T$5001,BD!$A$3:$A$5001,R$3,BD!$B$3:$B$5001,$A$435)))</f>
        <v/>
      </c>
      <c r="S453" s="244" t="str">
        <f>IF(S$3="","",IF(COUNTIFS(BD!$A$3:$A$5001,S$3,BD!$B$3:$B$5001,$A$435,BD!$T$3:$T$5001,"&lt;&gt;")=0,"",SUMIFS(BD!$T$3:$T$5001,BD!$A$3:$A$5001,S$3,BD!$B$3:$B$5001,$A$435)))</f>
        <v/>
      </c>
      <c r="T453" s="244" t="str">
        <f>IF(T$3="","",IF(COUNTIFS(BD!$A$3:$A$5001,T$3,BD!$B$3:$B$5001,$A$435,BD!$T$3:$T$5001,"&lt;&gt;")=0,"",SUMIFS(BD!$T$3:$T$5001,BD!$A$3:$A$5001,T$3,BD!$B$3:$B$5001,$A$435)))</f>
        <v/>
      </c>
      <c r="U453" s="244" t="str">
        <f>IF(U$3="","",IF(COUNTIFS(BD!$A$3:$A$5001,U$3,BD!$B$3:$B$5001,$A$435,BD!$T$3:$T$5001,"&lt;&gt;")=0,"",SUMIFS(BD!$T$3:$T$5001,BD!$A$3:$A$5001,U$3,BD!$B$3:$B$5001,$A$435)))</f>
        <v/>
      </c>
      <c r="V453" s="244" t="str">
        <f>IF(V$3="","",IF(COUNTIFS(BD!$A$3:$A$5001,V$3,BD!$B$3:$B$5001,$A$435,BD!$T$3:$T$5001,"&lt;&gt;")=0,"",SUMIFS(BD!$T$3:$T$5001,BD!$A$3:$A$5001,V$3,BD!$B$3:$B$5001,$A$435)))</f>
        <v/>
      </c>
      <c r="W453" s="244" t="str">
        <f>IF(W$3="","",IF(COUNTIFS(BD!$A$3:$A$5001,W$3,BD!$B$3:$B$5001,$A$435,BD!$T$3:$T$5001,"&lt;&gt;")=0,"",SUMIFS(BD!$T$3:$T$5001,BD!$A$3:$A$5001,W$3,BD!$B$3:$B$5001,$A$435)))</f>
        <v/>
      </c>
      <c r="X453" s="244" t="str">
        <f>IF(X$3="","",IF(COUNTIFS(BD!$A$3:$A$5001,X$3,BD!$B$3:$B$5001,$A$435,BD!$T$3:$T$5001,"&lt;&gt;")=0,"",SUMIFS(BD!$T$3:$T$5001,BD!$A$3:$A$5001,X$3,BD!$B$3:$B$5001,$A$435)))</f>
        <v/>
      </c>
      <c r="Y453" s="244" t="str">
        <f>IF(Y$3="","",IF(COUNTIFS(BD!$A$3:$A$5001,Y$3,BD!$B$3:$B$5001,$A$435,BD!$T$3:$T$5001,"&lt;&gt;")=0,"",SUMIFS(BD!$T$3:$T$5001,BD!$A$3:$A$5001,Y$3,BD!$B$3:$B$5001,$A$435)))</f>
        <v/>
      </c>
      <c r="Z453" s="244" t="str">
        <f>IF(Z$3="","",IF(COUNTIFS(BD!$A$3:$A$5001,Z$3,BD!$B$3:$B$5001,$A$435,BD!$T$3:$T$5001,"&lt;&gt;")=0,"",SUMIFS(BD!$T$3:$T$5001,BD!$A$3:$A$5001,Z$3,BD!$B$3:$B$5001,$A$435)))</f>
        <v/>
      </c>
      <c r="AA453" s="244" t="str">
        <f>IF(AA$3="","",IF(COUNTIFS(BD!$A$3:$A$5001,AA$3,BD!$B$3:$B$5001,$A$435,BD!$T$3:$T$5001,"&lt;&gt;")=0,"",SUMIFS(BD!$T$3:$T$5001,BD!$A$3:$A$5001,AA$3,BD!$B$3:$B$5001,$A$435)))</f>
        <v/>
      </c>
      <c r="AB453" s="244" t="str">
        <f>IF(AB$3="","",IF(COUNTIFS(BD!$A$3:$A$5001,AB$3,BD!$B$3:$B$5001,$A$435,BD!$T$3:$T$5001,"&lt;&gt;")=0,"",SUMIFS(BD!$T$3:$T$5001,BD!$A$3:$A$5001,AB$3,BD!$B$3:$B$5001,$A$435)))</f>
        <v/>
      </c>
      <c r="AC453" s="244" t="str">
        <f>IF(AC$3="","",IF(COUNTIFS(BD!$A$3:$A$5001,AC$3,BD!$B$3:$B$5001,$A$435,BD!$T$3:$T$5001,"&lt;&gt;")=0,"",SUMIFS(BD!$T$3:$T$5001,BD!$A$3:$A$5001,AC$3,BD!$B$3:$B$5001,$A$435)))</f>
        <v/>
      </c>
      <c r="AD453" s="244" t="str">
        <f>IF(AD$3="","",IF(COUNTIFS(BD!$A$3:$A$5001,AD$3,BD!$B$3:$B$5001,$A$435,BD!$T$3:$T$5001,"&lt;&gt;")=0,"",SUMIFS(BD!$T$3:$T$5001,BD!$A$3:$A$5001,AD$3,BD!$B$3:$B$5001,$A$435)))</f>
        <v/>
      </c>
      <c r="AE453" s="244" t="str">
        <f>IF(AE$3="","",IF(COUNTIFS(BD!$A$3:$A$5001,AE$3,BD!$B$3:$B$5001,$A$435,BD!$T$3:$T$5001,"&lt;&gt;")=0,"",SUMIFS(BD!$T$3:$T$5001,BD!$A$3:$A$5001,AE$3,BD!$B$3:$B$5001,$A$435)))</f>
        <v/>
      </c>
      <c r="AF453" s="244" t="str">
        <f>IF(AF$3="","",IF(COUNTIFS(BD!$A$3:$A$5001,AF$3,BD!$B$3:$B$5001,$A$435,BD!$T$3:$T$5001,"&lt;&gt;")=0,"",SUMIFS(BD!$T$3:$T$5001,BD!$A$3:$A$5001,AF$3,BD!$B$3:$B$5001,$A$435)))</f>
        <v/>
      </c>
      <c r="AG453" s="244" t="str">
        <f>IF(AG$3="","",IF(COUNTIFS(BD!$A$3:$A$5001,AG$3,BD!$B$3:$B$5001,$A$435,BD!$T$3:$T$5001,"&lt;&gt;")=0,"",SUMIFS(BD!$T$3:$T$5001,BD!$A$3:$A$5001,AG$3,BD!$B$3:$B$5001,$A$435)))</f>
        <v/>
      </c>
      <c r="AH453" s="244" t="str">
        <f>IF(AH$3="","",IF(COUNTIFS(BD!$A$3:$A$5001,AH$3,BD!$B$3:$B$5001,$A$435,BD!$T$3:$T$5001,"&lt;&gt;")=0,"",SUMIFS(BD!$T$3:$T$5001,BD!$A$3:$A$5001,AH$3,BD!$B$3:$B$5001,$A$435)))</f>
        <v/>
      </c>
      <c r="AI453" s="244" t="str">
        <f>IF(AI$3="","",IF(COUNTIFS(BD!$A$3:$A$5001,AI$3,BD!$B$3:$B$5001,$A$435,BD!$T$3:$T$5001,"&lt;&gt;")=0,"",SUMIFS(BD!$T$3:$T$5001,BD!$A$3:$A$5001,AI$3,BD!$B$3:$B$5001,$A$435)))</f>
        <v/>
      </c>
      <c r="AJ453" s="245" t="str">
        <f>IF(AJ$3="","",IF(COUNTIFS(BD!$A$3:$A$5001,AJ$3,BD!$B$3:$B$5001,$A$435,BD!$T$3:$T$5001,"&lt;&gt;")=0,"",SUMIFS(BD!$T$3:$T$5001,BD!$A$3:$A$5001,AJ$3,BD!$B$3:$B$5001,$A$435)))</f>
        <v/>
      </c>
      <c r="AK453" s="246" t="str">
        <f>IFERROR(LOOKUP(9.99E+307,F453:AJ453),"")</f>
        <v/>
      </c>
    </row>
    <row r="454" ht="15.75" customHeight="1" hidden="1">
      <c r="A454" s="277"/>
      <c r="B454" s="274"/>
      <c r="C454" s="247" t="inlineStr">
        <is>
          <t xml:space="preserve">Falta</t>
        </is>
      </c>
      <c r="D454" s="248" t="str">
        <f>IFERROR(1/(1/INDEX(BD!$AF$42:$AZ$42,MATCH($A$435,BD!$AF$22:$AZ$22,0))),"")</f>
        <v/>
      </c>
      <c r="E454" s="249"/>
      <c r="F454" s="250" t="str">
        <f>IF(F$3="","",IF(COUNTIFS(BD!$A$3:$A$5001,F$3,BD!$B$3:$B$5001,$A$435,BD!$U$3:$U$5001,"&lt;&gt;")=0,"",SUMIFS(BD!$U$3:$U$5001,BD!$A$3:$A$5001,F$3,BD!$B$3:$B$5001,$A$435)))</f>
        <v/>
      </c>
      <c r="G454" s="251" t="str">
        <f>IF(G$3="","",IF(COUNTIFS(BD!$A$3:$A$5001,G$3,BD!$B$3:$B$5001,$A$435,BD!$U$3:$U$5001,"&lt;&gt;")=0,"",SUMIFS(BD!$U$3:$U$5001,BD!$A$3:$A$5001,G$3,BD!$B$3:$B$5001,$A$435)))</f>
        <v/>
      </c>
      <c r="H454" s="251" t="str">
        <f>IF(H$3="","",IF(COUNTIFS(BD!$A$3:$A$5001,H$3,BD!$B$3:$B$5001,$A$435,BD!$U$3:$U$5001,"&lt;&gt;")=0,"",SUMIFS(BD!$U$3:$U$5001,BD!$A$3:$A$5001,H$3,BD!$B$3:$B$5001,$A$435)))</f>
        <v/>
      </c>
      <c r="I454" s="251" t="str">
        <f>IF(I$3="","",IF(COUNTIFS(BD!$A$3:$A$5001,I$3,BD!$B$3:$B$5001,$A$435,BD!$U$3:$U$5001,"&lt;&gt;")=0,"",SUMIFS(BD!$U$3:$U$5001,BD!$A$3:$A$5001,I$3,BD!$B$3:$B$5001,$A$435)))</f>
        <v/>
      </c>
      <c r="J454" s="251" t="str">
        <f>IF(J$3="","",IF(COUNTIFS(BD!$A$3:$A$5001,J$3,BD!$B$3:$B$5001,$A$435,BD!$U$3:$U$5001,"&lt;&gt;")=0,"",SUMIFS(BD!$U$3:$U$5001,BD!$A$3:$A$5001,J$3,BD!$B$3:$B$5001,$A$435)))</f>
        <v/>
      </c>
      <c r="K454" s="251" t="str">
        <f>IF(K$3="","",IF(COUNTIFS(BD!$A$3:$A$5001,K$3,BD!$B$3:$B$5001,$A$435,BD!$U$3:$U$5001,"&lt;&gt;")=0,"",SUMIFS(BD!$U$3:$U$5001,BD!$A$3:$A$5001,K$3,BD!$B$3:$B$5001,$A$435)))</f>
        <v/>
      </c>
      <c r="L454" s="251" t="str">
        <f>IF(L$3="","",IF(COUNTIFS(BD!$A$3:$A$5001,L$3,BD!$B$3:$B$5001,$A$435,BD!$U$3:$U$5001,"&lt;&gt;")=0,"",SUMIFS(BD!$U$3:$U$5001,BD!$A$3:$A$5001,L$3,BD!$B$3:$B$5001,$A$435)))</f>
        <v/>
      </c>
      <c r="M454" s="251" t="str">
        <f>IF(M$3="","",IF(COUNTIFS(BD!$A$3:$A$5001,M$3,BD!$B$3:$B$5001,$A$435,BD!$U$3:$U$5001,"&lt;&gt;")=0,"",SUMIFS(BD!$U$3:$U$5001,BD!$A$3:$A$5001,M$3,BD!$B$3:$B$5001,$A$435)))</f>
        <v/>
      </c>
      <c r="N454" s="251" t="str">
        <f>IF(N$3="","",IF(COUNTIFS(BD!$A$3:$A$5001,N$3,BD!$B$3:$B$5001,$A$435,BD!$U$3:$U$5001,"&lt;&gt;")=0,"",SUMIFS(BD!$U$3:$U$5001,BD!$A$3:$A$5001,N$3,BD!$B$3:$B$5001,$A$435)))</f>
        <v/>
      </c>
      <c r="O454" s="251" t="str">
        <f>IF(O$3="","",IF(COUNTIFS(BD!$A$3:$A$5001,O$3,BD!$B$3:$B$5001,$A$435,BD!$U$3:$U$5001,"&lt;&gt;")=0,"",SUMIFS(BD!$U$3:$U$5001,BD!$A$3:$A$5001,O$3,BD!$B$3:$B$5001,$A$435)))</f>
        <v/>
      </c>
      <c r="P454" s="251" t="str">
        <f>IF(P$3="","",IF(COUNTIFS(BD!$A$3:$A$5001,P$3,BD!$B$3:$B$5001,$A$435,BD!$U$3:$U$5001,"&lt;&gt;")=0,"",SUMIFS(BD!$U$3:$U$5001,BD!$A$3:$A$5001,P$3,BD!$B$3:$B$5001,$A$435)))</f>
        <v/>
      </c>
      <c r="Q454" s="251" t="str">
        <f>IF(Q$3="","",IF(COUNTIFS(BD!$A$3:$A$5001,Q$3,BD!$B$3:$B$5001,$A$435,BD!$U$3:$U$5001,"&lt;&gt;")=0,"",SUMIFS(BD!$U$3:$U$5001,BD!$A$3:$A$5001,Q$3,BD!$B$3:$B$5001,$A$435)))</f>
        <v/>
      </c>
      <c r="R454" s="251" t="str">
        <f>IF(R$3="","",IF(COUNTIFS(BD!$A$3:$A$5001,R$3,BD!$B$3:$B$5001,$A$435,BD!$U$3:$U$5001,"&lt;&gt;")=0,"",SUMIFS(BD!$U$3:$U$5001,BD!$A$3:$A$5001,R$3,BD!$B$3:$B$5001,$A$435)))</f>
        <v/>
      </c>
      <c r="S454" s="251" t="str">
        <f>IF(S$3="","",IF(COUNTIFS(BD!$A$3:$A$5001,S$3,BD!$B$3:$B$5001,$A$435,BD!$U$3:$U$5001,"&lt;&gt;")=0,"",SUMIFS(BD!$U$3:$U$5001,BD!$A$3:$A$5001,S$3,BD!$B$3:$B$5001,$A$435)))</f>
        <v/>
      </c>
      <c r="T454" s="251" t="str">
        <f>IF(T$3="","",IF(COUNTIFS(BD!$A$3:$A$5001,T$3,BD!$B$3:$B$5001,$A$435,BD!$U$3:$U$5001,"&lt;&gt;")=0,"",SUMIFS(BD!$U$3:$U$5001,BD!$A$3:$A$5001,T$3,BD!$B$3:$B$5001,$A$435)))</f>
        <v/>
      </c>
      <c r="U454" s="251" t="str">
        <f>IF(U$3="","",IF(COUNTIFS(BD!$A$3:$A$5001,U$3,BD!$B$3:$B$5001,$A$435,BD!$U$3:$U$5001,"&lt;&gt;")=0,"",SUMIFS(BD!$U$3:$U$5001,BD!$A$3:$A$5001,U$3,BD!$B$3:$B$5001,$A$435)))</f>
        <v/>
      </c>
      <c r="V454" s="251" t="str">
        <f>IF(V$3="","",IF(COUNTIFS(BD!$A$3:$A$5001,V$3,BD!$B$3:$B$5001,$A$435,BD!$U$3:$U$5001,"&lt;&gt;")=0,"",SUMIFS(BD!$U$3:$U$5001,BD!$A$3:$A$5001,V$3,BD!$B$3:$B$5001,$A$435)))</f>
        <v/>
      </c>
      <c r="W454" s="251" t="str">
        <f>IF(W$3="","",IF(COUNTIFS(BD!$A$3:$A$5001,W$3,BD!$B$3:$B$5001,$A$435,BD!$U$3:$U$5001,"&lt;&gt;")=0,"",SUMIFS(BD!$U$3:$U$5001,BD!$A$3:$A$5001,W$3,BD!$B$3:$B$5001,$A$435)))</f>
        <v/>
      </c>
      <c r="X454" s="251" t="str">
        <f>IF(X$3="","",IF(COUNTIFS(BD!$A$3:$A$5001,X$3,BD!$B$3:$B$5001,$A$435,BD!$U$3:$U$5001,"&lt;&gt;")=0,"",SUMIFS(BD!$U$3:$U$5001,BD!$A$3:$A$5001,X$3,BD!$B$3:$B$5001,$A$435)))</f>
        <v/>
      </c>
      <c r="Y454" s="251" t="str">
        <f>IF(Y$3="","",IF(COUNTIFS(BD!$A$3:$A$5001,Y$3,BD!$B$3:$B$5001,$A$435,BD!$U$3:$U$5001,"&lt;&gt;")=0,"",SUMIFS(BD!$U$3:$U$5001,BD!$A$3:$A$5001,Y$3,BD!$B$3:$B$5001,$A$435)))</f>
        <v/>
      </c>
      <c r="Z454" s="251" t="str">
        <f>IF(Z$3="","",IF(COUNTIFS(BD!$A$3:$A$5001,Z$3,BD!$B$3:$B$5001,$A$435,BD!$U$3:$U$5001,"&lt;&gt;")=0,"",SUMIFS(BD!$U$3:$U$5001,BD!$A$3:$A$5001,Z$3,BD!$B$3:$B$5001,$A$435)))</f>
        <v/>
      </c>
      <c r="AA454" s="251" t="str">
        <f>IF(AA$3="","",IF(COUNTIFS(BD!$A$3:$A$5001,AA$3,BD!$B$3:$B$5001,$A$435,BD!$U$3:$U$5001,"&lt;&gt;")=0,"",SUMIFS(BD!$U$3:$U$5001,BD!$A$3:$A$5001,AA$3,BD!$B$3:$B$5001,$A$435)))</f>
        <v/>
      </c>
      <c r="AB454" s="251" t="str">
        <f>IF(AB$3="","",IF(COUNTIFS(BD!$A$3:$A$5001,AB$3,BD!$B$3:$B$5001,$A$435,BD!$U$3:$U$5001,"&lt;&gt;")=0,"",SUMIFS(BD!$U$3:$U$5001,BD!$A$3:$A$5001,AB$3,BD!$B$3:$B$5001,$A$435)))</f>
        <v/>
      </c>
      <c r="AC454" s="251" t="str">
        <f>IF(AC$3="","",IF(COUNTIFS(BD!$A$3:$A$5001,AC$3,BD!$B$3:$B$5001,$A$435,BD!$U$3:$U$5001,"&lt;&gt;")=0,"",SUMIFS(BD!$U$3:$U$5001,BD!$A$3:$A$5001,AC$3,BD!$B$3:$B$5001,$A$435)))</f>
        <v/>
      </c>
      <c r="AD454" s="251" t="str">
        <f>IF(AD$3="","",IF(COUNTIFS(BD!$A$3:$A$5001,AD$3,BD!$B$3:$B$5001,$A$435,BD!$U$3:$U$5001,"&lt;&gt;")=0,"",SUMIFS(BD!$U$3:$U$5001,BD!$A$3:$A$5001,AD$3,BD!$B$3:$B$5001,$A$435)))</f>
        <v/>
      </c>
      <c r="AE454" s="251" t="str">
        <f>IF(AE$3="","",IF(COUNTIFS(BD!$A$3:$A$5001,AE$3,BD!$B$3:$B$5001,$A$435,BD!$U$3:$U$5001,"&lt;&gt;")=0,"",SUMIFS(BD!$U$3:$U$5001,BD!$A$3:$A$5001,AE$3,BD!$B$3:$B$5001,$A$435)))</f>
        <v/>
      </c>
      <c r="AF454" s="251" t="str">
        <f>IF(AF$3="","",IF(COUNTIFS(BD!$A$3:$A$5001,AF$3,BD!$B$3:$B$5001,$A$435,BD!$U$3:$U$5001,"&lt;&gt;")=0,"",SUMIFS(BD!$U$3:$U$5001,BD!$A$3:$A$5001,AF$3,BD!$B$3:$B$5001,$A$435)))</f>
        <v/>
      </c>
      <c r="AG454" s="251" t="str">
        <f>IF(AG$3="","",IF(COUNTIFS(BD!$A$3:$A$5001,AG$3,BD!$B$3:$B$5001,$A$435,BD!$U$3:$U$5001,"&lt;&gt;")=0,"",SUMIFS(BD!$U$3:$U$5001,BD!$A$3:$A$5001,AG$3,BD!$B$3:$B$5001,$A$435)))</f>
        <v/>
      </c>
      <c r="AH454" s="251" t="str">
        <f>IF(AH$3="","",IF(COUNTIFS(BD!$A$3:$A$5001,AH$3,BD!$B$3:$B$5001,$A$435,BD!$U$3:$U$5001,"&lt;&gt;")=0,"",SUMIFS(BD!$U$3:$U$5001,BD!$A$3:$A$5001,AH$3,BD!$B$3:$B$5001,$A$435)))</f>
        <v/>
      </c>
      <c r="AI454" s="251" t="str">
        <f>IF(AI$3="","",IF(COUNTIFS(BD!$A$3:$A$5001,AI$3,BD!$B$3:$B$5001,$A$435,BD!$U$3:$U$5001,"&lt;&gt;")=0,"",SUMIFS(BD!$U$3:$U$5001,BD!$A$3:$A$5001,AI$3,BD!$B$3:$B$5001,$A$435)))</f>
        <v/>
      </c>
      <c r="AJ454" s="252" t="str">
        <f>IF(AJ$3="","",IF(COUNTIFS(BD!$A$3:$A$5001,AJ$3,BD!$B$3:$B$5001,$A$435,BD!$U$3:$U$5001,"&lt;&gt;")=0,"",SUMIFS(BD!$U$3:$U$5001,BD!$A$3:$A$5001,AJ$3,BD!$B$3:$B$5001,$A$435)))</f>
        <v/>
      </c>
      <c r="AK454" s="253" t="str">
        <f>IF(COUNT(F454:AJ454)=0,"",SUM(F454:AJ454))</f>
        <v/>
      </c>
    </row>
    <row r="455" ht="15.75" customHeight="1" hidden="1">
      <c r="A455" s="277"/>
      <c r="B455" s="274"/>
      <c r="C455" s="247" t="inlineStr">
        <is>
          <t xml:space="preserve">Absenteísmo (H/H)</t>
        </is>
      </c>
      <c r="D455" s="248" t="str">
        <f>IFERROR(1/(1/INDEX(BD!$AF$43:$AZ$43,MATCH($A$435,BD!$AF$22:$AZ$22,0))),"")</f>
        <v/>
      </c>
      <c r="E455" s="249"/>
      <c r="F455" s="254" t="str">
        <f>IF(F$3="","",IF(COUNTIFS(BD!$A$3:$A$5001,F$3,BD!$B$3:$B$5001,$A$435,BD!$V$3:$V$5001,"&lt;&gt;")=0,"",SUMIFS(BD!$V$3:$V$5001,BD!$A$3:$A$5001,F$3,BD!$B$3:$B$5001,$A$435)))</f>
        <v/>
      </c>
      <c r="G455" s="255" t="str">
        <f>IF(G$3="","",IF(COUNTIFS(BD!$A$3:$A$5001,G$3,BD!$B$3:$B$5001,$A$435,BD!$V$3:$V$5001,"&lt;&gt;")=0,"",SUMIFS(BD!$V$3:$V$5001,BD!$A$3:$A$5001,G$3,BD!$B$3:$B$5001,$A$435)))</f>
        <v/>
      </c>
      <c r="H455" s="255" t="str">
        <f>IF(H$3="","",IF(COUNTIFS(BD!$A$3:$A$5001,H$3,BD!$B$3:$B$5001,$A$435,BD!$V$3:$V$5001,"&lt;&gt;")=0,"",SUMIFS(BD!$V$3:$V$5001,BD!$A$3:$A$5001,H$3,BD!$B$3:$B$5001,$A$435)))</f>
        <v/>
      </c>
      <c r="I455" s="255" t="str">
        <f>IF(I$3="","",IF(COUNTIFS(BD!$A$3:$A$5001,I$3,BD!$B$3:$B$5001,$A$435,BD!$V$3:$V$5001,"&lt;&gt;")=0,"",SUMIFS(BD!$V$3:$V$5001,BD!$A$3:$A$5001,I$3,BD!$B$3:$B$5001,$A$435)))</f>
        <v/>
      </c>
      <c r="J455" s="255" t="str">
        <f>IF(J$3="","",IF(COUNTIFS(BD!$A$3:$A$5001,J$3,BD!$B$3:$B$5001,$A$435,BD!$V$3:$V$5001,"&lt;&gt;")=0,"",SUMIFS(BD!$V$3:$V$5001,BD!$A$3:$A$5001,J$3,BD!$B$3:$B$5001,$A$435)))</f>
        <v/>
      </c>
      <c r="K455" s="255" t="str">
        <f>IF(K$3="","",IF(COUNTIFS(BD!$A$3:$A$5001,K$3,BD!$B$3:$B$5001,$A$435,BD!$V$3:$V$5001,"&lt;&gt;")=0,"",SUMIFS(BD!$V$3:$V$5001,BD!$A$3:$A$5001,K$3,BD!$B$3:$B$5001,$A$435)))</f>
        <v/>
      </c>
      <c r="L455" s="255" t="str">
        <f>IF(L$3="","",IF(COUNTIFS(BD!$A$3:$A$5001,L$3,BD!$B$3:$B$5001,$A$435,BD!$V$3:$V$5001,"&lt;&gt;")=0,"",SUMIFS(BD!$V$3:$V$5001,BD!$A$3:$A$5001,L$3,BD!$B$3:$B$5001,$A$435)))</f>
        <v/>
      </c>
      <c r="M455" s="255" t="str">
        <f>IF(M$3="","",IF(COUNTIFS(BD!$A$3:$A$5001,M$3,BD!$B$3:$B$5001,$A$435,BD!$V$3:$V$5001,"&lt;&gt;")=0,"",SUMIFS(BD!$V$3:$V$5001,BD!$A$3:$A$5001,M$3,BD!$B$3:$B$5001,$A$435)))</f>
        <v/>
      </c>
      <c r="N455" s="255" t="str">
        <f>IF(N$3="","",IF(COUNTIFS(BD!$A$3:$A$5001,N$3,BD!$B$3:$B$5001,$A$435,BD!$V$3:$V$5001,"&lt;&gt;")=0,"",SUMIFS(BD!$V$3:$V$5001,BD!$A$3:$A$5001,N$3,BD!$B$3:$B$5001,$A$435)))</f>
        <v/>
      </c>
      <c r="O455" s="255" t="str">
        <f>IF(O$3="","",IF(COUNTIFS(BD!$A$3:$A$5001,O$3,BD!$B$3:$B$5001,$A$435,BD!$V$3:$V$5001,"&lt;&gt;")=0,"",SUMIFS(BD!$V$3:$V$5001,BD!$A$3:$A$5001,O$3,BD!$B$3:$B$5001,$A$435)))</f>
        <v/>
      </c>
      <c r="P455" s="255" t="str">
        <f>IF(P$3="","",IF(COUNTIFS(BD!$A$3:$A$5001,P$3,BD!$B$3:$B$5001,$A$435,BD!$V$3:$V$5001,"&lt;&gt;")=0,"",SUMIFS(BD!$V$3:$V$5001,BD!$A$3:$A$5001,P$3,BD!$B$3:$B$5001,$A$435)))</f>
        <v/>
      </c>
      <c r="Q455" s="255" t="str">
        <f>IF(Q$3="","",IF(COUNTIFS(BD!$A$3:$A$5001,Q$3,BD!$B$3:$B$5001,$A$435,BD!$V$3:$V$5001,"&lt;&gt;")=0,"",SUMIFS(BD!$V$3:$V$5001,BD!$A$3:$A$5001,Q$3,BD!$B$3:$B$5001,$A$435)))</f>
        <v/>
      </c>
      <c r="R455" s="255" t="str">
        <f>IF(R$3="","",IF(COUNTIFS(BD!$A$3:$A$5001,R$3,BD!$B$3:$B$5001,$A$435,BD!$V$3:$V$5001,"&lt;&gt;")=0,"",SUMIFS(BD!$V$3:$V$5001,BD!$A$3:$A$5001,R$3,BD!$B$3:$B$5001,$A$435)))</f>
        <v/>
      </c>
      <c r="S455" s="255" t="str">
        <f>IF(S$3="","",IF(COUNTIFS(BD!$A$3:$A$5001,S$3,BD!$B$3:$B$5001,$A$435,BD!$V$3:$V$5001,"&lt;&gt;")=0,"",SUMIFS(BD!$V$3:$V$5001,BD!$A$3:$A$5001,S$3,BD!$B$3:$B$5001,$A$435)))</f>
        <v/>
      </c>
      <c r="T455" s="255" t="str">
        <f>IF(T$3="","",IF(COUNTIFS(BD!$A$3:$A$5001,T$3,BD!$B$3:$B$5001,$A$435,BD!$V$3:$V$5001,"&lt;&gt;")=0,"",SUMIFS(BD!$V$3:$V$5001,BD!$A$3:$A$5001,T$3,BD!$B$3:$B$5001,$A$435)))</f>
        <v/>
      </c>
      <c r="U455" s="255" t="str">
        <f>IF(U$3="","",IF(COUNTIFS(BD!$A$3:$A$5001,U$3,BD!$B$3:$B$5001,$A$435,BD!$V$3:$V$5001,"&lt;&gt;")=0,"",SUMIFS(BD!$V$3:$V$5001,BD!$A$3:$A$5001,U$3,BD!$B$3:$B$5001,$A$435)))</f>
        <v/>
      </c>
      <c r="V455" s="255" t="str">
        <f>IF(V$3="","",IF(COUNTIFS(BD!$A$3:$A$5001,V$3,BD!$B$3:$B$5001,$A$435,BD!$V$3:$V$5001,"&lt;&gt;")=0,"",SUMIFS(BD!$V$3:$V$5001,BD!$A$3:$A$5001,V$3,BD!$B$3:$B$5001,$A$435)))</f>
        <v/>
      </c>
      <c r="W455" s="255" t="str">
        <f>IF(W$3="","",IF(COUNTIFS(BD!$A$3:$A$5001,W$3,BD!$B$3:$B$5001,$A$435,BD!$V$3:$V$5001,"&lt;&gt;")=0,"",SUMIFS(BD!$V$3:$V$5001,BD!$A$3:$A$5001,W$3,BD!$B$3:$B$5001,$A$435)))</f>
        <v/>
      </c>
      <c r="X455" s="255" t="str">
        <f>IF(X$3="","",IF(COUNTIFS(BD!$A$3:$A$5001,X$3,BD!$B$3:$B$5001,$A$435,BD!$V$3:$V$5001,"&lt;&gt;")=0,"",SUMIFS(BD!$V$3:$V$5001,BD!$A$3:$A$5001,X$3,BD!$B$3:$B$5001,$A$435)))</f>
        <v/>
      </c>
      <c r="Y455" s="255" t="str">
        <f>IF(Y$3="","",IF(COUNTIFS(BD!$A$3:$A$5001,Y$3,BD!$B$3:$B$5001,$A$435,BD!$V$3:$V$5001,"&lt;&gt;")=0,"",SUMIFS(BD!$V$3:$V$5001,BD!$A$3:$A$5001,Y$3,BD!$B$3:$B$5001,$A$435)))</f>
        <v/>
      </c>
      <c r="Z455" s="255" t="str">
        <f>IF(Z$3="","",IF(COUNTIFS(BD!$A$3:$A$5001,Z$3,BD!$B$3:$B$5001,$A$435,BD!$V$3:$V$5001,"&lt;&gt;")=0,"",SUMIFS(BD!$V$3:$V$5001,BD!$A$3:$A$5001,Z$3,BD!$B$3:$B$5001,$A$435)))</f>
        <v/>
      </c>
      <c r="AA455" s="255" t="str">
        <f>IF(AA$3="","",IF(COUNTIFS(BD!$A$3:$A$5001,AA$3,BD!$B$3:$B$5001,$A$435,BD!$V$3:$V$5001,"&lt;&gt;")=0,"",SUMIFS(BD!$V$3:$V$5001,BD!$A$3:$A$5001,AA$3,BD!$B$3:$B$5001,$A$435)))</f>
        <v/>
      </c>
      <c r="AB455" s="255" t="str">
        <f>IF(AB$3="","",IF(COUNTIFS(BD!$A$3:$A$5001,AB$3,BD!$B$3:$B$5001,$A$435,BD!$V$3:$V$5001,"&lt;&gt;")=0,"",SUMIFS(BD!$V$3:$V$5001,BD!$A$3:$A$5001,AB$3,BD!$B$3:$B$5001,$A$435)))</f>
        <v/>
      </c>
      <c r="AC455" s="255" t="str">
        <f>IF(AC$3="","",IF(COUNTIFS(BD!$A$3:$A$5001,AC$3,BD!$B$3:$B$5001,$A$435,BD!$V$3:$V$5001,"&lt;&gt;")=0,"",SUMIFS(BD!$V$3:$V$5001,BD!$A$3:$A$5001,AC$3,BD!$B$3:$B$5001,$A$435)))</f>
        <v/>
      </c>
      <c r="AD455" s="255" t="str">
        <f>IF(AD$3="","",IF(COUNTIFS(BD!$A$3:$A$5001,AD$3,BD!$B$3:$B$5001,$A$435,BD!$V$3:$V$5001,"&lt;&gt;")=0,"",SUMIFS(BD!$V$3:$V$5001,BD!$A$3:$A$5001,AD$3,BD!$B$3:$B$5001,$A$435)))</f>
        <v/>
      </c>
      <c r="AE455" s="255" t="str">
        <f>IF(AE$3="","",IF(COUNTIFS(BD!$A$3:$A$5001,AE$3,BD!$B$3:$B$5001,$A$435,BD!$V$3:$V$5001,"&lt;&gt;")=0,"",SUMIFS(BD!$V$3:$V$5001,BD!$A$3:$A$5001,AE$3,BD!$B$3:$B$5001,$A$435)))</f>
        <v/>
      </c>
      <c r="AF455" s="255" t="str">
        <f>IF(AF$3="","",IF(COUNTIFS(BD!$A$3:$A$5001,AF$3,BD!$B$3:$B$5001,$A$435,BD!$V$3:$V$5001,"&lt;&gt;")=0,"",SUMIFS(BD!$V$3:$V$5001,BD!$A$3:$A$5001,AF$3,BD!$B$3:$B$5001,$A$435)))</f>
        <v/>
      </c>
      <c r="AG455" s="255" t="str">
        <f>IF(AG$3="","",IF(COUNTIFS(BD!$A$3:$A$5001,AG$3,BD!$B$3:$B$5001,$A$435,BD!$V$3:$V$5001,"&lt;&gt;")=0,"",SUMIFS(BD!$V$3:$V$5001,BD!$A$3:$A$5001,AG$3,BD!$B$3:$B$5001,$A$435)))</f>
        <v/>
      </c>
      <c r="AH455" s="255" t="str">
        <f>IF(AH$3="","",IF(COUNTIFS(BD!$A$3:$A$5001,AH$3,BD!$B$3:$B$5001,$A$435,BD!$V$3:$V$5001,"&lt;&gt;")=0,"",SUMIFS(BD!$V$3:$V$5001,BD!$A$3:$A$5001,AH$3,BD!$B$3:$B$5001,$A$435)))</f>
        <v/>
      </c>
      <c r="AI455" s="255" t="str">
        <f>IF(AI$3="","",IF(COUNTIFS(BD!$A$3:$A$5001,AI$3,BD!$B$3:$B$5001,$A$435,BD!$V$3:$V$5001,"&lt;&gt;")=0,"",SUMIFS(BD!$V$3:$V$5001,BD!$A$3:$A$5001,AI$3,BD!$B$3:$B$5001,$A$435)))</f>
        <v/>
      </c>
      <c r="AJ455" s="256" t="str">
        <f>IF(AJ$3="","",IF(COUNTIFS(BD!$A$3:$A$5001,AJ$3,BD!$B$3:$B$5001,$A$435,BD!$V$3:$V$5001,"&lt;&gt;")=0,"",SUMIFS(BD!$V$3:$V$5001,BD!$A$3:$A$5001,AJ$3,BD!$B$3:$B$5001,$A$435)))</f>
        <v/>
      </c>
      <c r="AK455" s="257" t="str">
        <f>IF(COUNT(F455:AJ455)=0,"",SUM(F455:AJ455))</f>
        <v/>
      </c>
    </row>
    <row r="456" ht="15.75" customHeight="1" hidden="1">
      <c r="A456" s="277"/>
      <c r="B456" s="274"/>
      <c r="C456" s="247" t="inlineStr">
        <is>
          <t xml:space="preserve">Folga</t>
        </is>
      </c>
      <c r="D456" s="248" t="str">
        <f>IFERROR(1/(1/INDEX(BD!$AF$44:$AZ$44,MATCH($A$435,BD!$AF$22:$AZ$22,0))),"")</f>
        <v/>
      </c>
      <c r="E456" s="249"/>
      <c r="F456" s="250" t="str">
        <f>IF(F$3="","",IF(COUNTIFS(BD!$A$3:$A$5001,F$3,BD!$B$3:$B$5001,$A$435,BD!$W$3:$W$5001,"&lt;&gt;")=0,"",SUMIFS(BD!$W$3:$W$5001,BD!$A$3:$A$5001,F$3,BD!$B$3:$B$5001,$A$435)))</f>
        <v/>
      </c>
      <c r="G456" s="251" t="str">
        <f>IF(G$3="","",IF(COUNTIFS(BD!$A$3:$A$5001,G$3,BD!$B$3:$B$5001,$A$435,BD!$W$3:$W$5001,"&lt;&gt;")=0,"",SUMIFS(BD!$W$3:$W$5001,BD!$A$3:$A$5001,G$3,BD!$B$3:$B$5001,$A$435)))</f>
        <v/>
      </c>
      <c r="H456" s="251" t="str">
        <f>IF(H$3="","",IF(COUNTIFS(BD!$A$3:$A$5001,H$3,BD!$B$3:$B$5001,$A$435,BD!$W$3:$W$5001,"&lt;&gt;")=0,"",SUMIFS(BD!$W$3:$W$5001,BD!$A$3:$A$5001,H$3,BD!$B$3:$B$5001,$A$435)))</f>
        <v/>
      </c>
      <c r="I456" s="251" t="str">
        <f>IF(I$3="","",IF(COUNTIFS(BD!$A$3:$A$5001,I$3,BD!$B$3:$B$5001,$A$435,BD!$W$3:$W$5001,"&lt;&gt;")=0,"",SUMIFS(BD!$W$3:$W$5001,BD!$A$3:$A$5001,I$3,BD!$B$3:$B$5001,$A$435)))</f>
        <v/>
      </c>
      <c r="J456" s="251" t="str">
        <f>IF(J$3="","",IF(COUNTIFS(BD!$A$3:$A$5001,J$3,BD!$B$3:$B$5001,$A$435,BD!$W$3:$W$5001,"&lt;&gt;")=0,"",SUMIFS(BD!$W$3:$W$5001,BD!$A$3:$A$5001,J$3,BD!$B$3:$B$5001,$A$435)))</f>
        <v/>
      </c>
      <c r="K456" s="251" t="str">
        <f>IF(K$3="","",IF(COUNTIFS(BD!$A$3:$A$5001,K$3,BD!$B$3:$B$5001,$A$435,BD!$W$3:$W$5001,"&lt;&gt;")=0,"",SUMIFS(BD!$W$3:$W$5001,BD!$A$3:$A$5001,K$3,BD!$B$3:$B$5001,$A$435)))</f>
        <v/>
      </c>
      <c r="L456" s="251" t="str">
        <f>IF(L$3="","",IF(COUNTIFS(BD!$A$3:$A$5001,L$3,BD!$B$3:$B$5001,$A$435,BD!$W$3:$W$5001,"&lt;&gt;")=0,"",SUMIFS(BD!$W$3:$W$5001,BD!$A$3:$A$5001,L$3,BD!$B$3:$B$5001,$A$435)))</f>
        <v/>
      </c>
      <c r="M456" s="251" t="str">
        <f>IF(M$3="","",IF(COUNTIFS(BD!$A$3:$A$5001,M$3,BD!$B$3:$B$5001,$A$435,BD!$W$3:$W$5001,"&lt;&gt;")=0,"",SUMIFS(BD!$W$3:$W$5001,BD!$A$3:$A$5001,M$3,BD!$B$3:$B$5001,$A$435)))</f>
        <v/>
      </c>
      <c r="N456" s="251" t="str">
        <f>IF(N$3="","",IF(COUNTIFS(BD!$A$3:$A$5001,N$3,BD!$B$3:$B$5001,$A$435,BD!$W$3:$W$5001,"&lt;&gt;")=0,"",SUMIFS(BD!$W$3:$W$5001,BD!$A$3:$A$5001,N$3,BD!$B$3:$B$5001,$A$435)))</f>
        <v/>
      </c>
      <c r="O456" s="251" t="str">
        <f>IF(O$3="","",IF(COUNTIFS(BD!$A$3:$A$5001,O$3,BD!$B$3:$B$5001,$A$435,BD!$W$3:$W$5001,"&lt;&gt;")=0,"",SUMIFS(BD!$W$3:$W$5001,BD!$A$3:$A$5001,O$3,BD!$B$3:$B$5001,$A$435)))</f>
        <v/>
      </c>
      <c r="P456" s="251" t="str">
        <f>IF(P$3="","",IF(COUNTIFS(BD!$A$3:$A$5001,P$3,BD!$B$3:$B$5001,$A$435,BD!$W$3:$W$5001,"&lt;&gt;")=0,"",SUMIFS(BD!$W$3:$W$5001,BD!$A$3:$A$5001,P$3,BD!$B$3:$B$5001,$A$435)))</f>
        <v/>
      </c>
      <c r="Q456" s="251" t="str">
        <f>IF(Q$3="","",IF(COUNTIFS(BD!$A$3:$A$5001,Q$3,BD!$B$3:$B$5001,$A$435,BD!$W$3:$W$5001,"&lt;&gt;")=0,"",SUMIFS(BD!$W$3:$W$5001,BD!$A$3:$A$5001,Q$3,BD!$B$3:$B$5001,$A$435)))</f>
        <v/>
      </c>
      <c r="R456" s="251" t="str">
        <f>IF(R$3="","",IF(COUNTIFS(BD!$A$3:$A$5001,R$3,BD!$B$3:$B$5001,$A$435,BD!$W$3:$W$5001,"&lt;&gt;")=0,"",SUMIFS(BD!$W$3:$W$5001,BD!$A$3:$A$5001,R$3,BD!$B$3:$B$5001,$A$435)))</f>
        <v/>
      </c>
      <c r="S456" s="251" t="str">
        <f>IF(S$3="","",IF(COUNTIFS(BD!$A$3:$A$5001,S$3,BD!$B$3:$B$5001,$A$435,BD!$W$3:$W$5001,"&lt;&gt;")=0,"",SUMIFS(BD!$W$3:$W$5001,BD!$A$3:$A$5001,S$3,BD!$B$3:$B$5001,$A$435)))</f>
        <v/>
      </c>
      <c r="T456" s="251" t="str">
        <f>IF(T$3="","",IF(COUNTIFS(BD!$A$3:$A$5001,T$3,BD!$B$3:$B$5001,$A$435,BD!$W$3:$W$5001,"&lt;&gt;")=0,"",SUMIFS(BD!$W$3:$W$5001,BD!$A$3:$A$5001,T$3,BD!$B$3:$B$5001,$A$435)))</f>
        <v/>
      </c>
      <c r="U456" s="251" t="str">
        <f>IF(U$3="","",IF(COUNTIFS(BD!$A$3:$A$5001,U$3,BD!$B$3:$B$5001,$A$435,BD!$W$3:$W$5001,"&lt;&gt;")=0,"",SUMIFS(BD!$W$3:$W$5001,BD!$A$3:$A$5001,U$3,BD!$B$3:$B$5001,$A$435)))</f>
        <v/>
      </c>
      <c r="V456" s="251" t="str">
        <f>IF(V$3="","",IF(COUNTIFS(BD!$A$3:$A$5001,V$3,BD!$B$3:$B$5001,$A$435,BD!$W$3:$W$5001,"&lt;&gt;")=0,"",SUMIFS(BD!$W$3:$W$5001,BD!$A$3:$A$5001,V$3,BD!$B$3:$B$5001,$A$435)))</f>
        <v/>
      </c>
      <c r="W456" s="251" t="str">
        <f>IF(W$3="","",IF(COUNTIFS(BD!$A$3:$A$5001,W$3,BD!$B$3:$B$5001,$A$435,BD!$W$3:$W$5001,"&lt;&gt;")=0,"",SUMIFS(BD!$W$3:$W$5001,BD!$A$3:$A$5001,W$3,BD!$B$3:$B$5001,$A$435)))</f>
        <v/>
      </c>
      <c r="X456" s="251" t="str">
        <f>IF(X$3="","",IF(COUNTIFS(BD!$A$3:$A$5001,X$3,BD!$B$3:$B$5001,$A$435,BD!$W$3:$W$5001,"&lt;&gt;")=0,"",SUMIFS(BD!$W$3:$W$5001,BD!$A$3:$A$5001,X$3,BD!$B$3:$B$5001,$A$435)))</f>
        <v/>
      </c>
      <c r="Y456" s="251" t="str">
        <f>IF(Y$3="","",IF(COUNTIFS(BD!$A$3:$A$5001,Y$3,BD!$B$3:$B$5001,$A$435,BD!$W$3:$W$5001,"&lt;&gt;")=0,"",SUMIFS(BD!$W$3:$W$5001,BD!$A$3:$A$5001,Y$3,BD!$B$3:$B$5001,$A$435)))</f>
        <v/>
      </c>
      <c r="Z456" s="251" t="str">
        <f>IF(Z$3="","",IF(COUNTIFS(BD!$A$3:$A$5001,Z$3,BD!$B$3:$B$5001,$A$435,BD!$W$3:$W$5001,"&lt;&gt;")=0,"",SUMIFS(BD!$W$3:$W$5001,BD!$A$3:$A$5001,Z$3,BD!$B$3:$B$5001,$A$435)))</f>
        <v/>
      </c>
      <c r="AA456" s="251" t="str">
        <f>IF(AA$3="","",IF(COUNTIFS(BD!$A$3:$A$5001,AA$3,BD!$B$3:$B$5001,$A$435,BD!$W$3:$W$5001,"&lt;&gt;")=0,"",SUMIFS(BD!$W$3:$W$5001,BD!$A$3:$A$5001,AA$3,BD!$B$3:$B$5001,$A$435)))</f>
        <v/>
      </c>
      <c r="AB456" s="251" t="str">
        <f>IF(AB$3="","",IF(COUNTIFS(BD!$A$3:$A$5001,AB$3,BD!$B$3:$B$5001,$A$435,BD!$W$3:$W$5001,"&lt;&gt;")=0,"",SUMIFS(BD!$W$3:$W$5001,BD!$A$3:$A$5001,AB$3,BD!$B$3:$B$5001,$A$435)))</f>
        <v/>
      </c>
      <c r="AC456" s="251" t="str">
        <f>IF(AC$3="","",IF(COUNTIFS(BD!$A$3:$A$5001,AC$3,BD!$B$3:$B$5001,$A$435,BD!$W$3:$W$5001,"&lt;&gt;")=0,"",SUMIFS(BD!$W$3:$W$5001,BD!$A$3:$A$5001,AC$3,BD!$B$3:$B$5001,$A$435)))</f>
        <v/>
      </c>
      <c r="AD456" s="251" t="str">
        <f>IF(AD$3="","",IF(COUNTIFS(BD!$A$3:$A$5001,AD$3,BD!$B$3:$B$5001,$A$435,BD!$W$3:$W$5001,"&lt;&gt;")=0,"",SUMIFS(BD!$W$3:$W$5001,BD!$A$3:$A$5001,AD$3,BD!$B$3:$B$5001,$A$435)))</f>
        <v/>
      </c>
      <c r="AE456" s="251" t="str">
        <f>IF(AE$3="","",IF(COUNTIFS(BD!$A$3:$A$5001,AE$3,BD!$B$3:$B$5001,$A$435,BD!$W$3:$W$5001,"&lt;&gt;")=0,"",SUMIFS(BD!$W$3:$W$5001,BD!$A$3:$A$5001,AE$3,BD!$B$3:$B$5001,$A$435)))</f>
        <v/>
      </c>
      <c r="AF456" s="251" t="str">
        <f>IF(AF$3="","",IF(COUNTIFS(BD!$A$3:$A$5001,AF$3,BD!$B$3:$B$5001,$A$435,BD!$W$3:$W$5001,"&lt;&gt;")=0,"",SUMIFS(BD!$W$3:$W$5001,BD!$A$3:$A$5001,AF$3,BD!$B$3:$B$5001,$A$435)))</f>
        <v/>
      </c>
      <c r="AG456" s="251" t="str">
        <f>IF(AG$3="","",IF(COUNTIFS(BD!$A$3:$A$5001,AG$3,BD!$B$3:$B$5001,$A$435,BD!$W$3:$W$5001,"&lt;&gt;")=0,"",SUMIFS(BD!$W$3:$W$5001,BD!$A$3:$A$5001,AG$3,BD!$B$3:$B$5001,$A$435)))</f>
        <v/>
      </c>
      <c r="AH456" s="251" t="str">
        <f>IF(AH$3="","",IF(COUNTIFS(BD!$A$3:$A$5001,AH$3,BD!$B$3:$B$5001,$A$435,BD!$W$3:$W$5001,"&lt;&gt;")=0,"",SUMIFS(BD!$W$3:$W$5001,BD!$A$3:$A$5001,AH$3,BD!$B$3:$B$5001,$A$435)))</f>
        <v/>
      </c>
      <c r="AI456" s="251" t="str">
        <f>IF(AI$3="","",IF(COUNTIFS(BD!$A$3:$A$5001,AI$3,BD!$B$3:$B$5001,$A$435,BD!$W$3:$W$5001,"&lt;&gt;")=0,"",SUMIFS(BD!$W$3:$W$5001,BD!$A$3:$A$5001,AI$3,BD!$B$3:$B$5001,$A$435)))</f>
        <v/>
      </c>
      <c r="AJ456" s="252" t="str">
        <f>IF(AJ$3="","",IF(COUNTIFS(BD!$A$3:$A$5001,AJ$3,BD!$B$3:$B$5001,$A$435,BD!$W$3:$W$5001,"&lt;&gt;")=0,"",SUMIFS(BD!$W$3:$W$5001,BD!$A$3:$A$5001,AJ$3,BD!$B$3:$B$5001,$A$435)))</f>
        <v/>
      </c>
      <c r="AK456" s="253" t="str">
        <f>IF(COUNT(F456:AJ456)=0,"",SUM(F456:AJ456))</f>
        <v/>
      </c>
    </row>
    <row r="457" ht="15.75" customHeight="1" hidden="1">
      <c r="A457" s="277"/>
      <c r="B457" s="274"/>
      <c r="C457" s="247" t="inlineStr">
        <is>
          <t xml:space="preserve">Férias</t>
        </is>
      </c>
      <c r="D457" s="248" t="str">
        <f>IFERROR(1/(1/INDEX(BD!$AF$45:$AZ$45,MATCH($A$435,BD!$AF$22:$AZ$22,0))),"")</f>
        <v/>
      </c>
      <c r="E457" s="249"/>
      <c r="F457" s="250" t="str">
        <f>IF(F$3="","",IF(COUNTIFS(BD!$A$3:$A$5001,F$3,BD!$B$3:$B$5001,$A$435,BD!$X$3:$X$5001,"&lt;&gt;")=0,"",SUMIFS(BD!$X$3:$X$5001,BD!$A$3:$A$5001,F$3,BD!$B$3:$B$5001,$A$435)))</f>
        <v/>
      </c>
      <c r="G457" s="251" t="str">
        <f>IF(G$3="","",IF(COUNTIFS(BD!$A$3:$A$5001,G$3,BD!$B$3:$B$5001,$A$435,BD!$X$3:$X$5001,"&lt;&gt;")=0,"",SUMIFS(BD!$X$3:$X$5001,BD!$A$3:$A$5001,G$3,BD!$B$3:$B$5001,$A$435)))</f>
        <v/>
      </c>
      <c r="H457" s="251" t="str">
        <f>IF(H$3="","",IF(COUNTIFS(BD!$A$3:$A$5001,H$3,BD!$B$3:$B$5001,$A$435,BD!$X$3:$X$5001,"&lt;&gt;")=0,"",SUMIFS(BD!$X$3:$X$5001,BD!$A$3:$A$5001,H$3,BD!$B$3:$B$5001,$A$435)))</f>
        <v/>
      </c>
      <c r="I457" s="251" t="str">
        <f>IF(I$3="","",IF(COUNTIFS(BD!$A$3:$A$5001,I$3,BD!$B$3:$B$5001,$A$435,BD!$X$3:$X$5001,"&lt;&gt;")=0,"",SUMIFS(BD!$X$3:$X$5001,BD!$A$3:$A$5001,I$3,BD!$B$3:$B$5001,$A$435)))</f>
        <v/>
      </c>
      <c r="J457" s="251" t="str">
        <f>IF(J$3="","",IF(COUNTIFS(BD!$A$3:$A$5001,J$3,BD!$B$3:$B$5001,$A$435,BD!$X$3:$X$5001,"&lt;&gt;")=0,"",SUMIFS(BD!$X$3:$X$5001,BD!$A$3:$A$5001,J$3,BD!$B$3:$B$5001,$A$435)))</f>
        <v/>
      </c>
      <c r="K457" s="251" t="str">
        <f>IF(K$3="","",IF(COUNTIFS(BD!$A$3:$A$5001,K$3,BD!$B$3:$B$5001,$A$435,BD!$X$3:$X$5001,"&lt;&gt;")=0,"",SUMIFS(BD!$X$3:$X$5001,BD!$A$3:$A$5001,K$3,BD!$B$3:$B$5001,$A$435)))</f>
        <v/>
      </c>
      <c r="L457" s="251" t="str">
        <f>IF(L$3="","",IF(COUNTIFS(BD!$A$3:$A$5001,L$3,BD!$B$3:$B$5001,$A$435,BD!$X$3:$X$5001,"&lt;&gt;")=0,"",SUMIFS(BD!$X$3:$X$5001,BD!$A$3:$A$5001,L$3,BD!$B$3:$B$5001,$A$435)))</f>
        <v/>
      </c>
      <c r="M457" s="251" t="str">
        <f>IF(M$3="","",IF(COUNTIFS(BD!$A$3:$A$5001,M$3,BD!$B$3:$B$5001,$A$435,BD!$X$3:$X$5001,"&lt;&gt;")=0,"",SUMIFS(BD!$X$3:$X$5001,BD!$A$3:$A$5001,M$3,BD!$B$3:$B$5001,$A$435)))</f>
        <v/>
      </c>
      <c r="N457" s="251" t="str">
        <f>IF(N$3="","",IF(COUNTIFS(BD!$A$3:$A$5001,N$3,BD!$B$3:$B$5001,$A$435,BD!$X$3:$X$5001,"&lt;&gt;")=0,"",SUMIFS(BD!$X$3:$X$5001,BD!$A$3:$A$5001,N$3,BD!$B$3:$B$5001,$A$435)))</f>
        <v/>
      </c>
      <c r="O457" s="251" t="str">
        <f>IF(O$3="","",IF(COUNTIFS(BD!$A$3:$A$5001,O$3,BD!$B$3:$B$5001,$A$435,BD!$X$3:$X$5001,"&lt;&gt;")=0,"",SUMIFS(BD!$X$3:$X$5001,BD!$A$3:$A$5001,O$3,BD!$B$3:$B$5001,$A$435)))</f>
        <v/>
      </c>
      <c r="P457" s="251" t="str">
        <f>IF(P$3="","",IF(COUNTIFS(BD!$A$3:$A$5001,P$3,BD!$B$3:$B$5001,$A$435,BD!$X$3:$X$5001,"&lt;&gt;")=0,"",SUMIFS(BD!$X$3:$X$5001,BD!$A$3:$A$5001,P$3,BD!$B$3:$B$5001,$A$435)))</f>
        <v/>
      </c>
      <c r="Q457" s="251" t="str">
        <f>IF(Q$3="","",IF(COUNTIFS(BD!$A$3:$A$5001,Q$3,BD!$B$3:$B$5001,$A$435,BD!$X$3:$X$5001,"&lt;&gt;")=0,"",SUMIFS(BD!$X$3:$X$5001,BD!$A$3:$A$5001,Q$3,BD!$B$3:$B$5001,$A$435)))</f>
        <v/>
      </c>
      <c r="R457" s="251" t="str">
        <f>IF(R$3="","",IF(COUNTIFS(BD!$A$3:$A$5001,R$3,BD!$B$3:$B$5001,$A$435,BD!$X$3:$X$5001,"&lt;&gt;")=0,"",SUMIFS(BD!$X$3:$X$5001,BD!$A$3:$A$5001,R$3,BD!$B$3:$B$5001,$A$435)))</f>
        <v/>
      </c>
      <c r="S457" s="251" t="str">
        <f>IF(S$3="","",IF(COUNTIFS(BD!$A$3:$A$5001,S$3,BD!$B$3:$B$5001,$A$435,BD!$X$3:$X$5001,"&lt;&gt;")=0,"",SUMIFS(BD!$X$3:$X$5001,BD!$A$3:$A$5001,S$3,BD!$B$3:$B$5001,$A$435)))</f>
        <v/>
      </c>
      <c r="T457" s="251" t="str">
        <f>IF(T$3="","",IF(COUNTIFS(BD!$A$3:$A$5001,T$3,BD!$B$3:$B$5001,$A$435,BD!$X$3:$X$5001,"&lt;&gt;")=0,"",SUMIFS(BD!$X$3:$X$5001,BD!$A$3:$A$5001,T$3,BD!$B$3:$B$5001,$A$435)))</f>
        <v/>
      </c>
      <c r="U457" s="251" t="str">
        <f>IF(U$3="","",IF(COUNTIFS(BD!$A$3:$A$5001,U$3,BD!$B$3:$B$5001,$A$435,BD!$X$3:$X$5001,"&lt;&gt;")=0,"",SUMIFS(BD!$X$3:$X$5001,BD!$A$3:$A$5001,U$3,BD!$B$3:$B$5001,$A$435)))</f>
        <v/>
      </c>
      <c r="V457" s="251" t="str">
        <f>IF(V$3="","",IF(COUNTIFS(BD!$A$3:$A$5001,V$3,BD!$B$3:$B$5001,$A$435,BD!$X$3:$X$5001,"&lt;&gt;")=0,"",SUMIFS(BD!$X$3:$X$5001,BD!$A$3:$A$5001,V$3,BD!$B$3:$B$5001,$A$435)))</f>
        <v/>
      </c>
      <c r="W457" s="251" t="str">
        <f>IF(W$3="","",IF(COUNTIFS(BD!$A$3:$A$5001,W$3,BD!$B$3:$B$5001,$A$435,BD!$X$3:$X$5001,"&lt;&gt;")=0,"",SUMIFS(BD!$X$3:$X$5001,BD!$A$3:$A$5001,W$3,BD!$B$3:$B$5001,$A$435)))</f>
        <v/>
      </c>
      <c r="X457" s="251" t="str">
        <f>IF(X$3="","",IF(COUNTIFS(BD!$A$3:$A$5001,X$3,BD!$B$3:$B$5001,$A$435,BD!$X$3:$X$5001,"&lt;&gt;")=0,"",SUMIFS(BD!$X$3:$X$5001,BD!$A$3:$A$5001,X$3,BD!$B$3:$B$5001,$A$435)))</f>
        <v/>
      </c>
      <c r="Y457" s="251" t="str">
        <f>IF(Y$3="","",IF(COUNTIFS(BD!$A$3:$A$5001,Y$3,BD!$B$3:$B$5001,$A$435,BD!$X$3:$X$5001,"&lt;&gt;")=0,"",SUMIFS(BD!$X$3:$X$5001,BD!$A$3:$A$5001,Y$3,BD!$B$3:$B$5001,$A$435)))</f>
        <v/>
      </c>
      <c r="Z457" s="251" t="str">
        <f>IF(Z$3="","",IF(COUNTIFS(BD!$A$3:$A$5001,Z$3,BD!$B$3:$B$5001,$A$435,BD!$X$3:$X$5001,"&lt;&gt;")=0,"",SUMIFS(BD!$X$3:$X$5001,BD!$A$3:$A$5001,Z$3,BD!$B$3:$B$5001,$A$435)))</f>
        <v/>
      </c>
      <c r="AA457" s="251" t="str">
        <f>IF(AA$3="","",IF(COUNTIFS(BD!$A$3:$A$5001,AA$3,BD!$B$3:$B$5001,$A$435,BD!$X$3:$X$5001,"&lt;&gt;")=0,"",SUMIFS(BD!$X$3:$X$5001,BD!$A$3:$A$5001,AA$3,BD!$B$3:$B$5001,$A$435)))</f>
        <v/>
      </c>
      <c r="AB457" s="251" t="str">
        <f>IF(AB$3="","",IF(COUNTIFS(BD!$A$3:$A$5001,AB$3,BD!$B$3:$B$5001,$A$435,BD!$X$3:$X$5001,"&lt;&gt;")=0,"",SUMIFS(BD!$X$3:$X$5001,BD!$A$3:$A$5001,AB$3,BD!$B$3:$B$5001,$A$435)))</f>
        <v/>
      </c>
      <c r="AC457" s="251" t="str">
        <f>IF(AC$3="","",IF(COUNTIFS(BD!$A$3:$A$5001,AC$3,BD!$B$3:$B$5001,$A$435,BD!$X$3:$X$5001,"&lt;&gt;")=0,"",SUMIFS(BD!$X$3:$X$5001,BD!$A$3:$A$5001,AC$3,BD!$B$3:$B$5001,$A$435)))</f>
        <v/>
      </c>
      <c r="AD457" s="251" t="str">
        <f>IF(AD$3="","",IF(COUNTIFS(BD!$A$3:$A$5001,AD$3,BD!$B$3:$B$5001,$A$435,BD!$X$3:$X$5001,"&lt;&gt;")=0,"",SUMIFS(BD!$X$3:$X$5001,BD!$A$3:$A$5001,AD$3,BD!$B$3:$B$5001,$A$435)))</f>
        <v/>
      </c>
      <c r="AE457" s="251" t="str">
        <f>IF(AE$3="","",IF(COUNTIFS(BD!$A$3:$A$5001,AE$3,BD!$B$3:$B$5001,$A$435,BD!$X$3:$X$5001,"&lt;&gt;")=0,"",SUMIFS(BD!$X$3:$X$5001,BD!$A$3:$A$5001,AE$3,BD!$B$3:$B$5001,$A$435)))</f>
        <v/>
      </c>
      <c r="AF457" s="251" t="str">
        <f>IF(AF$3="","",IF(COUNTIFS(BD!$A$3:$A$5001,AF$3,BD!$B$3:$B$5001,$A$435,BD!$X$3:$X$5001,"&lt;&gt;")=0,"",SUMIFS(BD!$X$3:$X$5001,BD!$A$3:$A$5001,AF$3,BD!$B$3:$B$5001,$A$435)))</f>
        <v/>
      </c>
      <c r="AG457" s="251" t="str">
        <f>IF(AG$3="","",IF(COUNTIFS(BD!$A$3:$A$5001,AG$3,BD!$B$3:$B$5001,$A$435,BD!$X$3:$X$5001,"&lt;&gt;")=0,"",SUMIFS(BD!$X$3:$X$5001,BD!$A$3:$A$5001,AG$3,BD!$B$3:$B$5001,$A$435)))</f>
        <v/>
      </c>
      <c r="AH457" s="251" t="str">
        <f>IF(AH$3="","",IF(COUNTIFS(BD!$A$3:$A$5001,AH$3,BD!$B$3:$B$5001,$A$435,BD!$X$3:$X$5001,"&lt;&gt;")=0,"",SUMIFS(BD!$X$3:$X$5001,BD!$A$3:$A$5001,AH$3,BD!$B$3:$B$5001,$A$435)))</f>
        <v/>
      </c>
      <c r="AI457" s="251" t="str">
        <f>IF(AI$3="","",IF(COUNTIFS(BD!$A$3:$A$5001,AI$3,BD!$B$3:$B$5001,$A$435,BD!$X$3:$X$5001,"&lt;&gt;")=0,"",SUMIFS(BD!$X$3:$X$5001,BD!$A$3:$A$5001,AI$3,BD!$B$3:$B$5001,$A$435)))</f>
        <v/>
      </c>
      <c r="AJ457" s="252" t="str">
        <f>IF(AJ$3="","",IF(COUNTIFS(BD!$A$3:$A$5001,AJ$3,BD!$B$3:$B$5001,$A$435,BD!$X$3:$X$5001,"&lt;&gt;")=0,"",SUMIFS(BD!$X$3:$X$5001,BD!$A$3:$A$5001,AJ$3,BD!$B$3:$B$5001,$A$435)))</f>
        <v/>
      </c>
      <c r="AK457" s="253" t="str">
        <f>IF(COUNT(F457:AJ457)=0,"",SUM(F457:AJ457))</f>
        <v/>
      </c>
    </row>
    <row r="458" ht="15.75" customHeight="1" hidden="1">
      <c r="A458" s="277"/>
      <c r="B458" s="274"/>
      <c r="C458" s="247" t="inlineStr">
        <is>
          <t xml:space="preserve">Desligamento</t>
        </is>
      </c>
      <c r="D458" s="248" t="str">
        <f>IFERROR(1/(1/INDEX(BD!$AF$46:$AZ$46,MATCH($A$435,BD!$AF$22:$AZ$22,0))),"")</f>
        <v/>
      </c>
      <c r="E458" s="249"/>
      <c r="F458" s="250" t="str">
        <f>IF(F$3="","",IF(COUNTIFS(BD!$A$3:$A$5001,F$3,BD!$B$3:$B$5001,$A$435,BD!$Y$3:$Y$5001,"&lt;&gt;")=0,"",SUMIFS(BD!$Y$3:$Y$5001,BD!$A$3:$A$5001,F$3,BD!$B$3:$B$5001,$A$435)))</f>
        <v/>
      </c>
      <c r="G458" s="251" t="str">
        <f>IF(G$3="","",IF(COUNTIFS(BD!$A$3:$A$5001,G$3,BD!$B$3:$B$5001,$A$435,BD!$Y$3:$Y$5001,"&lt;&gt;")=0,"",SUMIFS(BD!$Y$3:$Y$5001,BD!$A$3:$A$5001,G$3,BD!$B$3:$B$5001,$A$435)))</f>
        <v/>
      </c>
      <c r="H458" s="251" t="str">
        <f>IF(H$3="","",IF(COUNTIFS(BD!$A$3:$A$5001,H$3,BD!$B$3:$B$5001,$A$435,BD!$Y$3:$Y$5001,"&lt;&gt;")=0,"",SUMIFS(BD!$Y$3:$Y$5001,BD!$A$3:$A$5001,H$3,BD!$B$3:$B$5001,$A$435)))</f>
        <v/>
      </c>
      <c r="I458" s="251" t="str">
        <f>IF(I$3="","",IF(COUNTIFS(BD!$A$3:$A$5001,I$3,BD!$B$3:$B$5001,$A$435,BD!$Y$3:$Y$5001,"&lt;&gt;")=0,"",SUMIFS(BD!$Y$3:$Y$5001,BD!$A$3:$A$5001,I$3,BD!$B$3:$B$5001,$A$435)))</f>
        <v/>
      </c>
      <c r="J458" s="251" t="str">
        <f>IF(J$3="","",IF(COUNTIFS(BD!$A$3:$A$5001,J$3,BD!$B$3:$B$5001,$A$435,BD!$Y$3:$Y$5001,"&lt;&gt;")=0,"",SUMIFS(BD!$Y$3:$Y$5001,BD!$A$3:$A$5001,J$3,BD!$B$3:$B$5001,$A$435)))</f>
        <v/>
      </c>
      <c r="K458" s="251" t="str">
        <f>IF(K$3="","",IF(COUNTIFS(BD!$A$3:$A$5001,K$3,BD!$B$3:$B$5001,$A$435,BD!$Y$3:$Y$5001,"&lt;&gt;")=0,"",SUMIFS(BD!$Y$3:$Y$5001,BD!$A$3:$A$5001,K$3,BD!$B$3:$B$5001,$A$435)))</f>
        <v/>
      </c>
      <c r="L458" s="251" t="str">
        <f>IF(L$3="","",IF(COUNTIFS(BD!$A$3:$A$5001,L$3,BD!$B$3:$B$5001,$A$435,BD!$Y$3:$Y$5001,"&lt;&gt;")=0,"",SUMIFS(BD!$Y$3:$Y$5001,BD!$A$3:$A$5001,L$3,BD!$B$3:$B$5001,$A$435)))</f>
        <v/>
      </c>
      <c r="M458" s="251" t="str">
        <f>IF(M$3="","",IF(COUNTIFS(BD!$A$3:$A$5001,M$3,BD!$B$3:$B$5001,$A$435,BD!$Y$3:$Y$5001,"&lt;&gt;")=0,"",SUMIFS(BD!$Y$3:$Y$5001,BD!$A$3:$A$5001,M$3,BD!$B$3:$B$5001,$A$435)))</f>
        <v/>
      </c>
      <c r="N458" s="251" t="str">
        <f>IF(N$3="","",IF(COUNTIFS(BD!$A$3:$A$5001,N$3,BD!$B$3:$B$5001,$A$435,BD!$Y$3:$Y$5001,"&lt;&gt;")=0,"",SUMIFS(BD!$Y$3:$Y$5001,BD!$A$3:$A$5001,N$3,BD!$B$3:$B$5001,$A$435)))</f>
        <v/>
      </c>
      <c r="O458" s="251" t="str">
        <f>IF(O$3="","",IF(COUNTIFS(BD!$A$3:$A$5001,O$3,BD!$B$3:$B$5001,$A$435,BD!$Y$3:$Y$5001,"&lt;&gt;")=0,"",SUMIFS(BD!$Y$3:$Y$5001,BD!$A$3:$A$5001,O$3,BD!$B$3:$B$5001,$A$435)))</f>
        <v/>
      </c>
      <c r="P458" s="251" t="str">
        <f>IF(P$3="","",IF(COUNTIFS(BD!$A$3:$A$5001,P$3,BD!$B$3:$B$5001,$A$435,BD!$Y$3:$Y$5001,"&lt;&gt;")=0,"",SUMIFS(BD!$Y$3:$Y$5001,BD!$A$3:$A$5001,P$3,BD!$B$3:$B$5001,$A$435)))</f>
        <v/>
      </c>
      <c r="Q458" s="251" t="str">
        <f>IF(Q$3="","",IF(COUNTIFS(BD!$A$3:$A$5001,Q$3,BD!$B$3:$B$5001,$A$435,BD!$Y$3:$Y$5001,"&lt;&gt;")=0,"",SUMIFS(BD!$Y$3:$Y$5001,BD!$A$3:$A$5001,Q$3,BD!$B$3:$B$5001,$A$435)))</f>
        <v/>
      </c>
      <c r="R458" s="251" t="str">
        <f>IF(R$3="","",IF(COUNTIFS(BD!$A$3:$A$5001,R$3,BD!$B$3:$B$5001,$A$435,BD!$Y$3:$Y$5001,"&lt;&gt;")=0,"",SUMIFS(BD!$Y$3:$Y$5001,BD!$A$3:$A$5001,R$3,BD!$B$3:$B$5001,$A$435)))</f>
        <v/>
      </c>
      <c r="S458" s="251" t="str">
        <f>IF(S$3="","",IF(COUNTIFS(BD!$A$3:$A$5001,S$3,BD!$B$3:$B$5001,$A$435,BD!$Y$3:$Y$5001,"&lt;&gt;")=0,"",SUMIFS(BD!$Y$3:$Y$5001,BD!$A$3:$A$5001,S$3,BD!$B$3:$B$5001,$A$435)))</f>
        <v/>
      </c>
      <c r="T458" s="251" t="str">
        <f>IF(T$3="","",IF(COUNTIFS(BD!$A$3:$A$5001,T$3,BD!$B$3:$B$5001,$A$435,BD!$Y$3:$Y$5001,"&lt;&gt;")=0,"",SUMIFS(BD!$Y$3:$Y$5001,BD!$A$3:$A$5001,T$3,BD!$B$3:$B$5001,$A$435)))</f>
        <v/>
      </c>
      <c r="U458" s="251" t="str">
        <f>IF(U$3="","",IF(COUNTIFS(BD!$A$3:$A$5001,U$3,BD!$B$3:$B$5001,$A$435,BD!$Y$3:$Y$5001,"&lt;&gt;")=0,"",SUMIFS(BD!$Y$3:$Y$5001,BD!$A$3:$A$5001,U$3,BD!$B$3:$B$5001,$A$435)))</f>
        <v/>
      </c>
      <c r="V458" s="251" t="str">
        <f>IF(V$3="","",IF(COUNTIFS(BD!$A$3:$A$5001,V$3,BD!$B$3:$B$5001,$A$435,BD!$Y$3:$Y$5001,"&lt;&gt;")=0,"",SUMIFS(BD!$Y$3:$Y$5001,BD!$A$3:$A$5001,V$3,BD!$B$3:$B$5001,$A$435)))</f>
        <v/>
      </c>
      <c r="W458" s="251" t="str">
        <f>IF(W$3="","",IF(COUNTIFS(BD!$A$3:$A$5001,W$3,BD!$B$3:$B$5001,$A$435,BD!$Y$3:$Y$5001,"&lt;&gt;")=0,"",SUMIFS(BD!$Y$3:$Y$5001,BD!$A$3:$A$5001,W$3,BD!$B$3:$B$5001,$A$435)))</f>
        <v/>
      </c>
      <c r="X458" s="251" t="str">
        <f>IF(X$3="","",IF(COUNTIFS(BD!$A$3:$A$5001,X$3,BD!$B$3:$B$5001,$A$435,BD!$Y$3:$Y$5001,"&lt;&gt;")=0,"",SUMIFS(BD!$Y$3:$Y$5001,BD!$A$3:$A$5001,X$3,BD!$B$3:$B$5001,$A$435)))</f>
        <v/>
      </c>
      <c r="Y458" s="251" t="str">
        <f>IF(Y$3="","",IF(COUNTIFS(BD!$A$3:$A$5001,Y$3,BD!$B$3:$B$5001,$A$435,BD!$Y$3:$Y$5001,"&lt;&gt;")=0,"",SUMIFS(BD!$Y$3:$Y$5001,BD!$A$3:$A$5001,Y$3,BD!$B$3:$B$5001,$A$435)))</f>
        <v/>
      </c>
      <c r="Z458" s="251" t="str">
        <f>IF(Z$3="","",IF(COUNTIFS(BD!$A$3:$A$5001,Z$3,BD!$B$3:$B$5001,$A$435,BD!$Y$3:$Y$5001,"&lt;&gt;")=0,"",SUMIFS(BD!$Y$3:$Y$5001,BD!$A$3:$A$5001,Z$3,BD!$B$3:$B$5001,$A$435)))</f>
        <v/>
      </c>
      <c r="AA458" s="251" t="str">
        <f>IF(AA$3="","",IF(COUNTIFS(BD!$A$3:$A$5001,AA$3,BD!$B$3:$B$5001,$A$435,BD!$Y$3:$Y$5001,"&lt;&gt;")=0,"",SUMIFS(BD!$Y$3:$Y$5001,BD!$A$3:$A$5001,AA$3,BD!$B$3:$B$5001,$A$435)))</f>
        <v/>
      </c>
      <c r="AB458" s="251" t="str">
        <f>IF(AB$3="","",IF(COUNTIFS(BD!$A$3:$A$5001,AB$3,BD!$B$3:$B$5001,$A$435,BD!$Y$3:$Y$5001,"&lt;&gt;")=0,"",SUMIFS(BD!$Y$3:$Y$5001,BD!$A$3:$A$5001,AB$3,BD!$B$3:$B$5001,$A$435)))</f>
        <v/>
      </c>
      <c r="AC458" s="251" t="str">
        <f>IF(AC$3="","",IF(COUNTIFS(BD!$A$3:$A$5001,AC$3,BD!$B$3:$B$5001,$A$435,BD!$Y$3:$Y$5001,"&lt;&gt;")=0,"",SUMIFS(BD!$Y$3:$Y$5001,BD!$A$3:$A$5001,AC$3,BD!$B$3:$B$5001,$A$435)))</f>
        <v/>
      </c>
      <c r="AD458" s="251" t="str">
        <f>IF(AD$3="","",IF(COUNTIFS(BD!$A$3:$A$5001,AD$3,BD!$B$3:$B$5001,$A$435,BD!$Y$3:$Y$5001,"&lt;&gt;")=0,"",SUMIFS(BD!$Y$3:$Y$5001,BD!$A$3:$A$5001,AD$3,BD!$B$3:$B$5001,$A$435)))</f>
        <v/>
      </c>
      <c r="AE458" s="251" t="str">
        <f>IF(AE$3="","",IF(COUNTIFS(BD!$A$3:$A$5001,AE$3,BD!$B$3:$B$5001,$A$435,BD!$Y$3:$Y$5001,"&lt;&gt;")=0,"",SUMIFS(BD!$Y$3:$Y$5001,BD!$A$3:$A$5001,AE$3,BD!$B$3:$B$5001,$A$435)))</f>
        <v/>
      </c>
      <c r="AF458" s="251" t="str">
        <f>IF(AF$3="","",IF(COUNTIFS(BD!$A$3:$A$5001,AF$3,BD!$B$3:$B$5001,$A$435,BD!$Y$3:$Y$5001,"&lt;&gt;")=0,"",SUMIFS(BD!$Y$3:$Y$5001,BD!$A$3:$A$5001,AF$3,BD!$B$3:$B$5001,$A$435)))</f>
        <v/>
      </c>
      <c r="AG458" s="251" t="str">
        <f>IF(AG$3="","",IF(COUNTIFS(BD!$A$3:$A$5001,AG$3,BD!$B$3:$B$5001,$A$435,BD!$Y$3:$Y$5001,"&lt;&gt;")=0,"",SUMIFS(BD!$Y$3:$Y$5001,BD!$A$3:$A$5001,AG$3,BD!$B$3:$B$5001,$A$435)))</f>
        <v/>
      </c>
      <c r="AH458" s="251" t="str">
        <f>IF(AH$3="","",IF(COUNTIFS(BD!$A$3:$A$5001,AH$3,BD!$B$3:$B$5001,$A$435,BD!$Y$3:$Y$5001,"&lt;&gt;")=0,"",SUMIFS(BD!$Y$3:$Y$5001,BD!$A$3:$A$5001,AH$3,BD!$B$3:$B$5001,$A$435)))</f>
        <v/>
      </c>
      <c r="AI458" s="251" t="str">
        <f>IF(AI$3="","",IF(COUNTIFS(BD!$A$3:$A$5001,AI$3,BD!$B$3:$B$5001,$A$435,BD!$Y$3:$Y$5001,"&lt;&gt;")=0,"",SUMIFS(BD!$Y$3:$Y$5001,BD!$A$3:$A$5001,AI$3,BD!$B$3:$B$5001,$A$435)))</f>
        <v/>
      </c>
      <c r="AJ458" s="252" t="str">
        <f>IF(AJ$3="","",IF(COUNTIFS(BD!$A$3:$A$5001,AJ$3,BD!$B$3:$B$5001,$A$435,BD!$Y$3:$Y$5001,"&lt;&gt;")=0,"",SUMIFS(BD!$Y$3:$Y$5001,BD!$A$3:$A$5001,AJ$3,BD!$B$3:$B$5001,$A$435)))</f>
        <v/>
      </c>
      <c r="AK458" s="253" t="str">
        <f>IF(COUNT(F458:AJ458)=0,"",SUM(F458:AJ458))</f>
        <v/>
      </c>
    </row>
    <row r="459" ht="15.75" customHeight="1" hidden="1">
      <c r="A459" s="277"/>
      <c r="B459" s="274"/>
      <c r="C459" s="247" t="inlineStr">
        <is>
          <t xml:space="preserve">Desvios Comportamentais</t>
        </is>
      </c>
      <c r="D459" s="248" t="str">
        <f>IFERROR(1/(1/INDEX(BD!$AF$47:$AZ$47,MATCH($A$435,BD!$AF$22:$AZ$22,0))),"")</f>
        <v/>
      </c>
      <c r="E459" s="249"/>
      <c r="F459" s="250" t="str">
        <f>IF(F$3="","",IF(COUNTIFS(BD!$A$3:$A$5001,F$3,BD!$B$3:$B$5001,$A$435,BD!$Z$3:$Z$5001,"&lt;&gt;")=0,"",SUMIFS(BD!$Z$3:$Z$5001,BD!$A$3:$A$5001,F$3,BD!$B$3:$B$5001,$A$435)))</f>
        <v/>
      </c>
      <c r="G459" s="251" t="str">
        <f>IF(G$3="","",IF(COUNTIFS(BD!$A$3:$A$5001,G$3,BD!$B$3:$B$5001,$A$435,BD!$Z$3:$Z$5001,"&lt;&gt;")=0,"",SUMIFS(BD!$Z$3:$Z$5001,BD!$A$3:$A$5001,G$3,BD!$B$3:$B$5001,$A$435)))</f>
        <v/>
      </c>
      <c r="H459" s="251" t="str">
        <f>IF(H$3="","",IF(COUNTIFS(BD!$A$3:$A$5001,H$3,BD!$B$3:$B$5001,$A$435,BD!$Z$3:$Z$5001,"&lt;&gt;")=0,"",SUMIFS(BD!$Z$3:$Z$5001,BD!$A$3:$A$5001,H$3,BD!$B$3:$B$5001,$A$435)))</f>
        <v/>
      </c>
      <c r="I459" s="251" t="str">
        <f>IF(I$3="","",IF(COUNTIFS(BD!$A$3:$A$5001,I$3,BD!$B$3:$B$5001,$A$435,BD!$Z$3:$Z$5001,"&lt;&gt;")=0,"",SUMIFS(BD!$Z$3:$Z$5001,BD!$A$3:$A$5001,I$3,BD!$B$3:$B$5001,$A$435)))</f>
        <v/>
      </c>
      <c r="J459" s="251" t="str">
        <f>IF(J$3="","",IF(COUNTIFS(BD!$A$3:$A$5001,J$3,BD!$B$3:$B$5001,$A$435,BD!$Z$3:$Z$5001,"&lt;&gt;")=0,"",SUMIFS(BD!$Z$3:$Z$5001,BD!$A$3:$A$5001,J$3,BD!$B$3:$B$5001,$A$435)))</f>
        <v/>
      </c>
      <c r="K459" s="251" t="str">
        <f>IF(K$3="","",IF(COUNTIFS(BD!$A$3:$A$5001,K$3,BD!$B$3:$B$5001,$A$435,BD!$Z$3:$Z$5001,"&lt;&gt;")=0,"",SUMIFS(BD!$Z$3:$Z$5001,BD!$A$3:$A$5001,K$3,BD!$B$3:$B$5001,$A$435)))</f>
        <v/>
      </c>
      <c r="L459" s="251" t="str">
        <f>IF(L$3="","",IF(COUNTIFS(BD!$A$3:$A$5001,L$3,BD!$B$3:$B$5001,$A$435,BD!$Z$3:$Z$5001,"&lt;&gt;")=0,"",SUMIFS(BD!$Z$3:$Z$5001,BD!$A$3:$A$5001,L$3,BD!$B$3:$B$5001,$A$435)))</f>
        <v/>
      </c>
      <c r="M459" s="251" t="str">
        <f>IF(M$3="","",IF(COUNTIFS(BD!$A$3:$A$5001,M$3,BD!$B$3:$B$5001,$A$435,BD!$Z$3:$Z$5001,"&lt;&gt;")=0,"",SUMIFS(BD!$Z$3:$Z$5001,BD!$A$3:$A$5001,M$3,BD!$B$3:$B$5001,$A$435)))</f>
        <v/>
      </c>
      <c r="N459" s="251" t="str">
        <f>IF(N$3="","",IF(COUNTIFS(BD!$A$3:$A$5001,N$3,BD!$B$3:$B$5001,$A$435,BD!$Z$3:$Z$5001,"&lt;&gt;")=0,"",SUMIFS(BD!$Z$3:$Z$5001,BD!$A$3:$A$5001,N$3,BD!$B$3:$B$5001,$A$435)))</f>
        <v/>
      </c>
      <c r="O459" s="251" t="str">
        <f>IF(O$3="","",IF(COUNTIFS(BD!$A$3:$A$5001,O$3,BD!$B$3:$B$5001,$A$435,BD!$Z$3:$Z$5001,"&lt;&gt;")=0,"",SUMIFS(BD!$Z$3:$Z$5001,BD!$A$3:$A$5001,O$3,BD!$B$3:$B$5001,$A$435)))</f>
        <v/>
      </c>
      <c r="P459" s="251" t="str">
        <f>IF(P$3="","",IF(COUNTIFS(BD!$A$3:$A$5001,P$3,BD!$B$3:$B$5001,$A$435,BD!$Z$3:$Z$5001,"&lt;&gt;")=0,"",SUMIFS(BD!$Z$3:$Z$5001,BD!$A$3:$A$5001,P$3,BD!$B$3:$B$5001,$A$435)))</f>
        <v/>
      </c>
      <c r="Q459" s="251" t="str">
        <f>IF(Q$3="","",IF(COUNTIFS(BD!$A$3:$A$5001,Q$3,BD!$B$3:$B$5001,$A$435,BD!$Z$3:$Z$5001,"&lt;&gt;")=0,"",SUMIFS(BD!$Z$3:$Z$5001,BD!$A$3:$A$5001,Q$3,BD!$B$3:$B$5001,$A$435)))</f>
        <v/>
      </c>
      <c r="R459" s="251" t="str">
        <f>IF(R$3="","",IF(COUNTIFS(BD!$A$3:$A$5001,R$3,BD!$B$3:$B$5001,$A$435,BD!$Z$3:$Z$5001,"&lt;&gt;")=0,"",SUMIFS(BD!$Z$3:$Z$5001,BD!$A$3:$A$5001,R$3,BD!$B$3:$B$5001,$A$435)))</f>
        <v/>
      </c>
      <c r="S459" s="251" t="str">
        <f>IF(S$3="","",IF(COUNTIFS(BD!$A$3:$A$5001,S$3,BD!$B$3:$B$5001,$A$435,BD!$Z$3:$Z$5001,"&lt;&gt;")=0,"",SUMIFS(BD!$Z$3:$Z$5001,BD!$A$3:$A$5001,S$3,BD!$B$3:$B$5001,$A$435)))</f>
        <v/>
      </c>
      <c r="T459" s="251" t="str">
        <f>IF(T$3="","",IF(COUNTIFS(BD!$A$3:$A$5001,T$3,BD!$B$3:$B$5001,$A$435,BD!$Z$3:$Z$5001,"&lt;&gt;")=0,"",SUMIFS(BD!$Z$3:$Z$5001,BD!$A$3:$A$5001,T$3,BD!$B$3:$B$5001,$A$435)))</f>
        <v/>
      </c>
      <c r="U459" s="251" t="str">
        <f>IF(U$3="","",IF(COUNTIFS(BD!$A$3:$A$5001,U$3,BD!$B$3:$B$5001,$A$435,BD!$Z$3:$Z$5001,"&lt;&gt;")=0,"",SUMIFS(BD!$Z$3:$Z$5001,BD!$A$3:$A$5001,U$3,BD!$B$3:$B$5001,$A$435)))</f>
        <v/>
      </c>
      <c r="V459" s="251" t="str">
        <f>IF(V$3="","",IF(COUNTIFS(BD!$A$3:$A$5001,V$3,BD!$B$3:$B$5001,$A$435,BD!$Z$3:$Z$5001,"&lt;&gt;")=0,"",SUMIFS(BD!$Z$3:$Z$5001,BD!$A$3:$A$5001,V$3,BD!$B$3:$B$5001,$A$435)))</f>
        <v/>
      </c>
      <c r="W459" s="251" t="str">
        <f>IF(W$3="","",IF(COUNTIFS(BD!$A$3:$A$5001,W$3,BD!$B$3:$B$5001,$A$435,BD!$Z$3:$Z$5001,"&lt;&gt;")=0,"",SUMIFS(BD!$Z$3:$Z$5001,BD!$A$3:$A$5001,W$3,BD!$B$3:$B$5001,$A$435)))</f>
        <v/>
      </c>
      <c r="X459" s="251" t="str">
        <f>IF(X$3="","",IF(COUNTIFS(BD!$A$3:$A$5001,X$3,BD!$B$3:$B$5001,$A$435,BD!$Z$3:$Z$5001,"&lt;&gt;")=0,"",SUMIFS(BD!$Z$3:$Z$5001,BD!$A$3:$A$5001,X$3,BD!$B$3:$B$5001,$A$435)))</f>
        <v/>
      </c>
      <c r="Y459" s="251" t="str">
        <f>IF(Y$3="","",IF(COUNTIFS(BD!$A$3:$A$5001,Y$3,BD!$B$3:$B$5001,$A$435,BD!$Z$3:$Z$5001,"&lt;&gt;")=0,"",SUMIFS(BD!$Z$3:$Z$5001,BD!$A$3:$A$5001,Y$3,BD!$B$3:$B$5001,$A$435)))</f>
        <v/>
      </c>
      <c r="Z459" s="251" t="str">
        <f>IF(Z$3="","",IF(COUNTIFS(BD!$A$3:$A$5001,Z$3,BD!$B$3:$B$5001,$A$435,BD!$Z$3:$Z$5001,"&lt;&gt;")=0,"",SUMIFS(BD!$Z$3:$Z$5001,BD!$A$3:$A$5001,Z$3,BD!$B$3:$B$5001,$A$435)))</f>
        <v/>
      </c>
      <c r="AA459" s="251" t="str">
        <f>IF(AA$3="","",IF(COUNTIFS(BD!$A$3:$A$5001,AA$3,BD!$B$3:$B$5001,$A$435,BD!$Z$3:$Z$5001,"&lt;&gt;")=0,"",SUMIFS(BD!$Z$3:$Z$5001,BD!$A$3:$A$5001,AA$3,BD!$B$3:$B$5001,$A$435)))</f>
        <v/>
      </c>
      <c r="AB459" s="251" t="str">
        <f>IF(AB$3="","",IF(COUNTIFS(BD!$A$3:$A$5001,AB$3,BD!$B$3:$B$5001,$A$435,BD!$Z$3:$Z$5001,"&lt;&gt;")=0,"",SUMIFS(BD!$Z$3:$Z$5001,BD!$A$3:$A$5001,AB$3,BD!$B$3:$B$5001,$A$435)))</f>
        <v/>
      </c>
      <c r="AC459" s="251" t="str">
        <f>IF(AC$3="","",IF(COUNTIFS(BD!$A$3:$A$5001,AC$3,BD!$B$3:$B$5001,$A$435,BD!$Z$3:$Z$5001,"&lt;&gt;")=0,"",SUMIFS(BD!$Z$3:$Z$5001,BD!$A$3:$A$5001,AC$3,BD!$B$3:$B$5001,$A$435)))</f>
        <v/>
      </c>
      <c r="AD459" s="251" t="str">
        <f>IF(AD$3="","",IF(COUNTIFS(BD!$A$3:$A$5001,AD$3,BD!$B$3:$B$5001,$A$435,BD!$Z$3:$Z$5001,"&lt;&gt;")=0,"",SUMIFS(BD!$Z$3:$Z$5001,BD!$A$3:$A$5001,AD$3,BD!$B$3:$B$5001,$A$435)))</f>
        <v/>
      </c>
      <c r="AE459" s="251" t="str">
        <f>IF(AE$3="","",IF(COUNTIFS(BD!$A$3:$A$5001,AE$3,BD!$B$3:$B$5001,$A$435,BD!$Z$3:$Z$5001,"&lt;&gt;")=0,"",SUMIFS(BD!$Z$3:$Z$5001,BD!$A$3:$A$5001,AE$3,BD!$B$3:$B$5001,$A$435)))</f>
        <v/>
      </c>
      <c r="AF459" s="251" t="str">
        <f>IF(AF$3="","",IF(COUNTIFS(BD!$A$3:$A$5001,AF$3,BD!$B$3:$B$5001,$A$435,BD!$Z$3:$Z$5001,"&lt;&gt;")=0,"",SUMIFS(BD!$Z$3:$Z$5001,BD!$A$3:$A$5001,AF$3,BD!$B$3:$B$5001,$A$435)))</f>
        <v/>
      </c>
      <c r="AG459" s="251" t="str">
        <f>IF(AG$3="","",IF(COUNTIFS(BD!$A$3:$A$5001,AG$3,BD!$B$3:$B$5001,$A$435,BD!$Z$3:$Z$5001,"&lt;&gt;")=0,"",SUMIFS(BD!$Z$3:$Z$5001,BD!$A$3:$A$5001,AG$3,BD!$B$3:$B$5001,$A$435)))</f>
        <v/>
      </c>
      <c r="AH459" s="251" t="str">
        <f>IF(AH$3="","",IF(COUNTIFS(BD!$A$3:$A$5001,AH$3,BD!$B$3:$B$5001,$A$435,BD!$Z$3:$Z$5001,"&lt;&gt;")=0,"",SUMIFS(BD!$Z$3:$Z$5001,BD!$A$3:$A$5001,AH$3,BD!$B$3:$B$5001,$A$435)))</f>
        <v/>
      </c>
      <c r="AI459" s="251" t="str">
        <f>IF(AI$3="","",IF(COUNTIFS(BD!$A$3:$A$5001,AI$3,BD!$B$3:$B$5001,$A$435,BD!$Z$3:$Z$5001,"&lt;&gt;")=0,"",SUMIFS(BD!$Z$3:$Z$5001,BD!$A$3:$A$5001,AI$3,BD!$B$3:$B$5001,$A$435)))</f>
        <v/>
      </c>
      <c r="AJ459" s="252" t="str">
        <f>IF(AJ$3="","",IF(COUNTIFS(BD!$A$3:$A$5001,AJ$3,BD!$B$3:$B$5001,$A$435,BD!$Z$3:$Z$5001,"&lt;&gt;")=0,"",SUMIFS(BD!$Z$3:$Z$5001,BD!$A$3:$A$5001,AJ$3,BD!$B$3:$B$5001,$A$435)))</f>
        <v/>
      </c>
      <c r="AK459" s="253" t="str">
        <f>IF(COUNT(F459:AJ459)=0,"",SUM(F459:AJ459))</f>
        <v/>
      </c>
    </row>
    <row r="460" ht="15.75" customHeight="1" hidden="1">
      <c r="A460" s="277"/>
      <c r="B460" s="274"/>
      <c r="C460" s="247" t="inlineStr">
        <is>
          <t xml:space="preserve">Acidentes CAF</t>
        </is>
      </c>
      <c r="D460" s="248" t="str">
        <f>IFERROR(1/(1/INDEX(BD!$AF$48:$AZ$48,MATCH($A$435,BD!$AF$22:$AZ$22,0))),"")</f>
        <v/>
      </c>
      <c r="E460" s="249"/>
      <c r="F460" s="250" t="str">
        <f>IF(F$3="","",IF(COUNTIFS(BD!$A$3:$A$5001,F$3,BD!$B$3:$B$5001,$A$435,BD!$AA$3:$AA$5001,"&lt;&gt;")=0,"",SUMIFS(BD!$AA$3:$AA$5001,BD!$A$3:$A$5001,F$3,BD!$B$3:$B$5001,$A$435)))</f>
        <v/>
      </c>
      <c r="G460" s="251" t="str">
        <f>IF(G$3="","",IF(COUNTIFS(BD!$A$3:$A$5001,G$3,BD!$B$3:$B$5001,$A$435,BD!$AA$3:$AA$5001,"&lt;&gt;")=0,"",SUMIFS(BD!$AA$3:$AA$5001,BD!$A$3:$A$5001,G$3,BD!$B$3:$B$5001,$A$435)))</f>
        <v/>
      </c>
      <c r="H460" s="251" t="str">
        <f>IF(H$3="","",IF(COUNTIFS(BD!$A$3:$A$5001,H$3,BD!$B$3:$B$5001,$A$435,BD!$AA$3:$AA$5001,"&lt;&gt;")=0,"",SUMIFS(BD!$AA$3:$AA$5001,BD!$A$3:$A$5001,H$3,BD!$B$3:$B$5001,$A$435)))</f>
        <v/>
      </c>
      <c r="I460" s="251" t="str">
        <f>IF(I$3="","",IF(COUNTIFS(BD!$A$3:$A$5001,I$3,BD!$B$3:$B$5001,$A$435,BD!$AA$3:$AA$5001,"&lt;&gt;")=0,"",SUMIFS(BD!$AA$3:$AA$5001,BD!$A$3:$A$5001,I$3,BD!$B$3:$B$5001,$A$435)))</f>
        <v/>
      </c>
      <c r="J460" s="251" t="str">
        <f>IF(J$3="","",IF(COUNTIFS(BD!$A$3:$A$5001,J$3,BD!$B$3:$B$5001,$A$435,BD!$AA$3:$AA$5001,"&lt;&gt;")=0,"",SUMIFS(BD!$AA$3:$AA$5001,BD!$A$3:$A$5001,J$3,BD!$B$3:$B$5001,$A$435)))</f>
        <v/>
      </c>
      <c r="K460" s="251" t="str">
        <f>IF(K$3="","",IF(COUNTIFS(BD!$A$3:$A$5001,K$3,BD!$B$3:$B$5001,$A$435,BD!$AA$3:$AA$5001,"&lt;&gt;")=0,"",SUMIFS(BD!$AA$3:$AA$5001,BD!$A$3:$A$5001,K$3,BD!$B$3:$B$5001,$A$435)))</f>
        <v/>
      </c>
      <c r="L460" s="251" t="str">
        <f>IF(L$3="","",IF(COUNTIFS(BD!$A$3:$A$5001,L$3,BD!$B$3:$B$5001,$A$435,BD!$AA$3:$AA$5001,"&lt;&gt;")=0,"",SUMIFS(BD!$AA$3:$AA$5001,BD!$A$3:$A$5001,L$3,BD!$B$3:$B$5001,$A$435)))</f>
        <v/>
      </c>
      <c r="M460" s="251" t="str">
        <f>IF(M$3="","",IF(COUNTIFS(BD!$A$3:$A$5001,M$3,BD!$B$3:$B$5001,$A$435,BD!$AA$3:$AA$5001,"&lt;&gt;")=0,"",SUMIFS(BD!$AA$3:$AA$5001,BD!$A$3:$A$5001,M$3,BD!$B$3:$B$5001,$A$435)))</f>
        <v/>
      </c>
      <c r="N460" s="251" t="str">
        <f>IF(N$3="","",IF(COUNTIFS(BD!$A$3:$A$5001,N$3,BD!$B$3:$B$5001,$A$435,BD!$AA$3:$AA$5001,"&lt;&gt;")=0,"",SUMIFS(BD!$AA$3:$AA$5001,BD!$A$3:$A$5001,N$3,BD!$B$3:$B$5001,$A$435)))</f>
        <v/>
      </c>
      <c r="O460" s="251" t="str">
        <f>IF(O$3="","",IF(COUNTIFS(BD!$A$3:$A$5001,O$3,BD!$B$3:$B$5001,$A$435,BD!$AA$3:$AA$5001,"&lt;&gt;")=0,"",SUMIFS(BD!$AA$3:$AA$5001,BD!$A$3:$A$5001,O$3,BD!$B$3:$B$5001,$A$435)))</f>
        <v/>
      </c>
      <c r="P460" s="251" t="str">
        <f>IF(P$3="","",IF(COUNTIFS(BD!$A$3:$A$5001,P$3,BD!$B$3:$B$5001,$A$435,BD!$AA$3:$AA$5001,"&lt;&gt;")=0,"",SUMIFS(BD!$AA$3:$AA$5001,BD!$A$3:$A$5001,P$3,BD!$B$3:$B$5001,$A$435)))</f>
        <v/>
      </c>
      <c r="Q460" s="251" t="str">
        <f>IF(Q$3="","",IF(COUNTIFS(BD!$A$3:$A$5001,Q$3,BD!$B$3:$B$5001,$A$435,BD!$AA$3:$AA$5001,"&lt;&gt;")=0,"",SUMIFS(BD!$AA$3:$AA$5001,BD!$A$3:$A$5001,Q$3,BD!$B$3:$B$5001,$A$435)))</f>
        <v/>
      </c>
      <c r="R460" s="251" t="str">
        <f>IF(R$3="","",IF(COUNTIFS(BD!$A$3:$A$5001,R$3,BD!$B$3:$B$5001,$A$435,BD!$AA$3:$AA$5001,"&lt;&gt;")=0,"",SUMIFS(BD!$AA$3:$AA$5001,BD!$A$3:$A$5001,R$3,BD!$B$3:$B$5001,$A$435)))</f>
        <v/>
      </c>
      <c r="S460" s="251" t="str">
        <f>IF(S$3="","",IF(COUNTIFS(BD!$A$3:$A$5001,S$3,BD!$B$3:$B$5001,$A$435,BD!$AA$3:$AA$5001,"&lt;&gt;")=0,"",SUMIFS(BD!$AA$3:$AA$5001,BD!$A$3:$A$5001,S$3,BD!$B$3:$B$5001,$A$435)))</f>
        <v/>
      </c>
      <c r="T460" s="251" t="str">
        <f>IF(T$3="","",IF(COUNTIFS(BD!$A$3:$A$5001,T$3,BD!$B$3:$B$5001,$A$435,BD!$AA$3:$AA$5001,"&lt;&gt;")=0,"",SUMIFS(BD!$AA$3:$AA$5001,BD!$A$3:$A$5001,T$3,BD!$B$3:$B$5001,$A$435)))</f>
        <v/>
      </c>
      <c r="U460" s="251" t="str">
        <f>IF(U$3="","",IF(COUNTIFS(BD!$A$3:$A$5001,U$3,BD!$B$3:$B$5001,$A$435,BD!$AA$3:$AA$5001,"&lt;&gt;")=0,"",SUMIFS(BD!$AA$3:$AA$5001,BD!$A$3:$A$5001,U$3,BD!$B$3:$B$5001,$A$435)))</f>
        <v/>
      </c>
      <c r="V460" s="251" t="str">
        <f>IF(V$3="","",IF(COUNTIFS(BD!$A$3:$A$5001,V$3,BD!$B$3:$B$5001,$A$435,BD!$AA$3:$AA$5001,"&lt;&gt;")=0,"",SUMIFS(BD!$AA$3:$AA$5001,BD!$A$3:$A$5001,V$3,BD!$B$3:$B$5001,$A$435)))</f>
        <v/>
      </c>
      <c r="W460" s="251" t="str">
        <f>IF(W$3="","",IF(COUNTIFS(BD!$A$3:$A$5001,W$3,BD!$B$3:$B$5001,$A$435,BD!$AA$3:$AA$5001,"&lt;&gt;")=0,"",SUMIFS(BD!$AA$3:$AA$5001,BD!$A$3:$A$5001,W$3,BD!$B$3:$B$5001,$A$435)))</f>
        <v/>
      </c>
      <c r="X460" s="251" t="str">
        <f>IF(X$3="","",IF(COUNTIFS(BD!$A$3:$A$5001,X$3,BD!$B$3:$B$5001,$A$435,BD!$AA$3:$AA$5001,"&lt;&gt;")=0,"",SUMIFS(BD!$AA$3:$AA$5001,BD!$A$3:$A$5001,X$3,BD!$B$3:$B$5001,$A$435)))</f>
        <v/>
      </c>
      <c r="Y460" s="251" t="str">
        <f>IF(Y$3="","",IF(COUNTIFS(BD!$A$3:$A$5001,Y$3,BD!$B$3:$B$5001,$A$435,BD!$AA$3:$AA$5001,"&lt;&gt;")=0,"",SUMIFS(BD!$AA$3:$AA$5001,BD!$A$3:$A$5001,Y$3,BD!$B$3:$B$5001,$A$435)))</f>
        <v/>
      </c>
      <c r="Z460" s="251" t="str">
        <f>IF(Z$3="","",IF(COUNTIFS(BD!$A$3:$A$5001,Z$3,BD!$B$3:$B$5001,$A$435,BD!$AA$3:$AA$5001,"&lt;&gt;")=0,"",SUMIFS(BD!$AA$3:$AA$5001,BD!$A$3:$A$5001,Z$3,BD!$B$3:$B$5001,$A$435)))</f>
        <v/>
      </c>
      <c r="AA460" s="251" t="str">
        <f>IF(AA$3="","",IF(COUNTIFS(BD!$A$3:$A$5001,AA$3,BD!$B$3:$B$5001,$A$435,BD!$AA$3:$AA$5001,"&lt;&gt;")=0,"",SUMIFS(BD!$AA$3:$AA$5001,BD!$A$3:$A$5001,AA$3,BD!$B$3:$B$5001,$A$435)))</f>
        <v/>
      </c>
      <c r="AB460" s="251" t="str">
        <f>IF(AB$3="","",IF(COUNTIFS(BD!$A$3:$A$5001,AB$3,BD!$B$3:$B$5001,$A$435,BD!$AA$3:$AA$5001,"&lt;&gt;")=0,"",SUMIFS(BD!$AA$3:$AA$5001,BD!$A$3:$A$5001,AB$3,BD!$B$3:$B$5001,$A$435)))</f>
        <v/>
      </c>
      <c r="AC460" s="251" t="str">
        <f>IF(AC$3="","",IF(COUNTIFS(BD!$A$3:$A$5001,AC$3,BD!$B$3:$B$5001,$A$435,BD!$AA$3:$AA$5001,"&lt;&gt;")=0,"",SUMIFS(BD!$AA$3:$AA$5001,BD!$A$3:$A$5001,AC$3,BD!$B$3:$B$5001,$A$435)))</f>
        <v/>
      </c>
      <c r="AD460" s="251" t="str">
        <f>IF(AD$3="","",IF(COUNTIFS(BD!$A$3:$A$5001,AD$3,BD!$B$3:$B$5001,$A$435,BD!$AA$3:$AA$5001,"&lt;&gt;")=0,"",SUMIFS(BD!$AA$3:$AA$5001,BD!$A$3:$A$5001,AD$3,BD!$B$3:$B$5001,$A$435)))</f>
        <v/>
      </c>
      <c r="AE460" s="251" t="str">
        <f>IF(AE$3="","",IF(COUNTIFS(BD!$A$3:$A$5001,AE$3,BD!$B$3:$B$5001,$A$435,BD!$AA$3:$AA$5001,"&lt;&gt;")=0,"",SUMIFS(BD!$AA$3:$AA$5001,BD!$A$3:$A$5001,AE$3,BD!$B$3:$B$5001,$A$435)))</f>
        <v/>
      </c>
      <c r="AF460" s="251" t="str">
        <f>IF(AF$3="","",IF(COUNTIFS(BD!$A$3:$A$5001,AF$3,BD!$B$3:$B$5001,$A$435,BD!$AA$3:$AA$5001,"&lt;&gt;")=0,"",SUMIFS(BD!$AA$3:$AA$5001,BD!$A$3:$A$5001,AF$3,BD!$B$3:$B$5001,$A$435)))</f>
        <v/>
      </c>
      <c r="AG460" s="251" t="str">
        <f>IF(AG$3="","",IF(COUNTIFS(BD!$A$3:$A$5001,AG$3,BD!$B$3:$B$5001,$A$435,BD!$AA$3:$AA$5001,"&lt;&gt;")=0,"",SUMIFS(BD!$AA$3:$AA$5001,BD!$A$3:$A$5001,AG$3,BD!$B$3:$B$5001,$A$435)))</f>
        <v/>
      </c>
      <c r="AH460" s="251" t="str">
        <f>IF(AH$3="","",IF(COUNTIFS(BD!$A$3:$A$5001,AH$3,BD!$B$3:$B$5001,$A$435,BD!$AA$3:$AA$5001,"&lt;&gt;")=0,"",SUMIFS(BD!$AA$3:$AA$5001,BD!$A$3:$A$5001,AH$3,BD!$B$3:$B$5001,$A$435)))</f>
        <v/>
      </c>
      <c r="AI460" s="251" t="str">
        <f>IF(AI$3="","",IF(COUNTIFS(BD!$A$3:$A$5001,AI$3,BD!$B$3:$B$5001,$A$435,BD!$AA$3:$AA$5001,"&lt;&gt;")=0,"",SUMIFS(BD!$AA$3:$AA$5001,BD!$A$3:$A$5001,AI$3,BD!$B$3:$B$5001,$A$435)))</f>
        <v/>
      </c>
      <c r="AJ460" s="252" t="str">
        <f>IF(AJ$3="","",IF(COUNTIFS(BD!$A$3:$A$5001,AJ$3,BD!$B$3:$B$5001,$A$435,BD!$AA$3:$AA$5001,"&lt;&gt;")=0,"",SUMIFS(BD!$AA$3:$AA$5001,BD!$A$3:$A$5001,AJ$3,BD!$B$3:$B$5001,$A$435)))</f>
        <v/>
      </c>
      <c r="AK460" s="253" t="str">
        <f>IF(COUNT(F460:AJ460)=0,"",SUM(F460:AJ460))</f>
        <v/>
      </c>
    </row>
    <row r="461" ht="15.75" customHeight="1" hidden="1">
      <c r="A461" s="278"/>
      <c r="B461" s="275"/>
      <c r="C461" s="258" t="inlineStr">
        <is>
          <t xml:space="preserve">Acidentes SAF</t>
        </is>
      </c>
      <c r="D461" s="259" t="str">
        <f>IFERROR(1/(1/INDEX(BD!$AF$49:$AZ$49,MATCH($A$435,BD!$AF$22:$AZ$22,0))),"")</f>
        <v/>
      </c>
      <c r="E461" s="260"/>
      <c r="F461" s="261" t="str">
        <f>IF(F$3="","",IF(COUNTIFS(BD!$A$3:$A$5001,F$3,BD!$B$3:$B$5001,$A$435,BD!$AB$3:$AB$5001,"&lt;&gt;")=0,"",SUMIFS(BD!$AB$3:$AB$5001,BD!$A$3:$A$5001,F$3,BD!$B$3:$B$5001,$A$435)))</f>
        <v/>
      </c>
      <c r="G461" s="262" t="str">
        <f>IF(G$3="","",IF(COUNTIFS(BD!$A$3:$A$5001,G$3,BD!$B$3:$B$5001,$A$435,BD!$AB$3:$AB$5001,"&lt;&gt;")=0,"",SUMIFS(BD!$AB$3:$AB$5001,BD!$A$3:$A$5001,G$3,BD!$B$3:$B$5001,$A$435)))</f>
        <v/>
      </c>
      <c r="H461" s="262" t="str">
        <f>IF(H$3="","",IF(COUNTIFS(BD!$A$3:$A$5001,H$3,BD!$B$3:$B$5001,$A$435,BD!$AB$3:$AB$5001,"&lt;&gt;")=0,"",SUMIFS(BD!$AB$3:$AB$5001,BD!$A$3:$A$5001,H$3,BD!$B$3:$B$5001,$A$435)))</f>
        <v/>
      </c>
      <c r="I461" s="262" t="str">
        <f>IF(I$3="","",IF(COUNTIFS(BD!$A$3:$A$5001,I$3,BD!$B$3:$B$5001,$A$435,BD!$AB$3:$AB$5001,"&lt;&gt;")=0,"",SUMIFS(BD!$AB$3:$AB$5001,BD!$A$3:$A$5001,I$3,BD!$B$3:$B$5001,$A$435)))</f>
        <v/>
      </c>
      <c r="J461" s="262" t="str">
        <f>IF(J$3="","",IF(COUNTIFS(BD!$A$3:$A$5001,J$3,BD!$B$3:$B$5001,$A$435,BD!$AB$3:$AB$5001,"&lt;&gt;")=0,"",SUMIFS(BD!$AB$3:$AB$5001,BD!$A$3:$A$5001,J$3,BD!$B$3:$B$5001,$A$435)))</f>
        <v/>
      </c>
      <c r="K461" s="262" t="str">
        <f>IF(K$3="","",IF(COUNTIFS(BD!$A$3:$A$5001,K$3,BD!$B$3:$B$5001,$A$435,BD!$AB$3:$AB$5001,"&lt;&gt;")=0,"",SUMIFS(BD!$AB$3:$AB$5001,BD!$A$3:$A$5001,K$3,BD!$B$3:$B$5001,$A$435)))</f>
        <v/>
      </c>
      <c r="L461" s="262" t="str">
        <f>IF(L$3="","",IF(COUNTIFS(BD!$A$3:$A$5001,L$3,BD!$B$3:$B$5001,$A$435,BD!$AB$3:$AB$5001,"&lt;&gt;")=0,"",SUMIFS(BD!$AB$3:$AB$5001,BD!$A$3:$A$5001,L$3,BD!$B$3:$B$5001,$A$435)))</f>
        <v/>
      </c>
      <c r="M461" s="262" t="str">
        <f>IF(M$3="","",IF(COUNTIFS(BD!$A$3:$A$5001,M$3,BD!$B$3:$B$5001,$A$435,BD!$AB$3:$AB$5001,"&lt;&gt;")=0,"",SUMIFS(BD!$AB$3:$AB$5001,BD!$A$3:$A$5001,M$3,BD!$B$3:$B$5001,$A$435)))</f>
        <v/>
      </c>
      <c r="N461" s="262" t="str">
        <f>IF(N$3="","",IF(COUNTIFS(BD!$A$3:$A$5001,N$3,BD!$B$3:$B$5001,$A$435,BD!$AB$3:$AB$5001,"&lt;&gt;")=0,"",SUMIFS(BD!$AB$3:$AB$5001,BD!$A$3:$A$5001,N$3,BD!$B$3:$B$5001,$A$435)))</f>
        <v/>
      </c>
      <c r="O461" s="262" t="str">
        <f>IF(O$3="","",IF(COUNTIFS(BD!$A$3:$A$5001,O$3,BD!$B$3:$B$5001,$A$435,BD!$AB$3:$AB$5001,"&lt;&gt;")=0,"",SUMIFS(BD!$AB$3:$AB$5001,BD!$A$3:$A$5001,O$3,BD!$B$3:$B$5001,$A$435)))</f>
        <v/>
      </c>
      <c r="P461" s="262" t="str">
        <f>IF(P$3="","",IF(COUNTIFS(BD!$A$3:$A$5001,P$3,BD!$B$3:$B$5001,$A$435,BD!$AB$3:$AB$5001,"&lt;&gt;")=0,"",SUMIFS(BD!$AB$3:$AB$5001,BD!$A$3:$A$5001,P$3,BD!$B$3:$B$5001,$A$435)))</f>
        <v/>
      </c>
      <c r="Q461" s="262" t="str">
        <f>IF(Q$3="","",IF(COUNTIFS(BD!$A$3:$A$5001,Q$3,BD!$B$3:$B$5001,$A$435,BD!$AB$3:$AB$5001,"&lt;&gt;")=0,"",SUMIFS(BD!$AB$3:$AB$5001,BD!$A$3:$A$5001,Q$3,BD!$B$3:$B$5001,$A$435)))</f>
        <v/>
      </c>
      <c r="R461" s="262" t="str">
        <f>IF(R$3="","",IF(COUNTIFS(BD!$A$3:$A$5001,R$3,BD!$B$3:$B$5001,$A$435,BD!$AB$3:$AB$5001,"&lt;&gt;")=0,"",SUMIFS(BD!$AB$3:$AB$5001,BD!$A$3:$A$5001,R$3,BD!$B$3:$B$5001,$A$435)))</f>
        <v/>
      </c>
      <c r="S461" s="262" t="str">
        <f>IF(S$3="","",IF(COUNTIFS(BD!$A$3:$A$5001,S$3,BD!$B$3:$B$5001,$A$435,BD!$AB$3:$AB$5001,"&lt;&gt;")=0,"",SUMIFS(BD!$AB$3:$AB$5001,BD!$A$3:$A$5001,S$3,BD!$B$3:$B$5001,$A$435)))</f>
        <v/>
      </c>
      <c r="T461" s="262" t="str">
        <f>IF(T$3="","",IF(COUNTIFS(BD!$A$3:$A$5001,T$3,BD!$B$3:$B$5001,$A$435,BD!$AB$3:$AB$5001,"&lt;&gt;")=0,"",SUMIFS(BD!$AB$3:$AB$5001,BD!$A$3:$A$5001,T$3,BD!$B$3:$B$5001,$A$435)))</f>
        <v/>
      </c>
      <c r="U461" s="262" t="str">
        <f>IF(U$3="","",IF(COUNTIFS(BD!$A$3:$A$5001,U$3,BD!$B$3:$B$5001,$A$435,BD!$AB$3:$AB$5001,"&lt;&gt;")=0,"",SUMIFS(BD!$AB$3:$AB$5001,BD!$A$3:$A$5001,U$3,BD!$B$3:$B$5001,$A$435)))</f>
        <v/>
      </c>
      <c r="V461" s="262" t="str">
        <f>IF(V$3="","",IF(COUNTIFS(BD!$A$3:$A$5001,V$3,BD!$B$3:$B$5001,$A$435,BD!$AB$3:$AB$5001,"&lt;&gt;")=0,"",SUMIFS(BD!$AB$3:$AB$5001,BD!$A$3:$A$5001,V$3,BD!$B$3:$B$5001,$A$435)))</f>
        <v/>
      </c>
      <c r="W461" s="262" t="str">
        <f>IF(W$3="","",IF(COUNTIFS(BD!$A$3:$A$5001,W$3,BD!$B$3:$B$5001,$A$435,BD!$AB$3:$AB$5001,"&lt;&gt;")=0,"",SUMIFS(BD!$AB$3:$AB$5001,BD!$A$3:$A$5001,W$3,BD!$B$3:$B$5001,$A$435)))</f>
        <v/>
      </c>
      <c r="X461" s="262" t="str">
        <f>IF(X$3="","",IF(COUNTIFS(BD!$A$3:$A$5001,X$3,BD!$B$3:$B$5001,$A$435,BD!$AB$3:$AB$5001,"&lt;&gt;")=0,"",SUMIFS(BD!$AB$3:$AB$5001,BD!$A$3:$A$5001,X$3,BD!$B$3:$B$5001,$A$435)))</f>
        <v/>
      </c>
      <c r="Y461" s="262" t="str">
        <f>IF(Y$3="","",IF(COUNTIFS(BD!$A$3:$A$5001,Y$3,BD!$B$3:$B$5001,$A$435,BD!$AB$3:$AB$5001,"&lt;&gt;")=0,"",SUMIFS(BD!$AB$3:$AB$5001,BD!$A$3:$A$5001,Y$3,BD!$B$3:$B$5001,$A$435)))</f>
        <v/>
      </c>
      <c r="Z461" s="262" t="str">
        <f>IF(Z$3="","",IF(COUNTIFS(BD!$A$3:$A$5001,Z$3,BD!$B$3:$B$5001,$A$435,BD!$AB$3:$AB$5001,"&lt;&gt;")=0,"",SUMIFS(BD!$AB$3:$AB$5001,BD!$A$3:$A$5001,Z$3,BD!$B$3:$B$5001,$A$435)))</f>
        <v/>
      </c>
      <c r="AA461" s="262" t="str">
        <f>IF(AA$3="","",IF(COUNTIFS(BD!$A$3:$A$5001,AA$3,BD!$B$3:$B$5001,$A$435,BD!$AB$3:$AB$5001,"&lt;&gt;")=0,"",SUMIFS(BD!$AB$3:$AB$5001,BD!$A$3:$A$5001,AA$3,BD!$B$3:$B$5001,$A$435)))</f>
        <v/>
      </c>
      <c r="AB461" s="262" t="str">
        <f>IF(AB$3="","",IF(COUNTIFS(BD!$A$3:$A$5001,AB$3,BD!$B$3:$B$5001,$A$435,BD!$AB$3:$AB$5001,"&lt;&gt;")=0,"",SUMIFS(BD!$AB$3:$AB$5001,BD!$A$3:$A$5001,AB$3,BD!$B$3:$B$5001,$A$435)))</f>
        <v/>
      </c>
      <c r="AC461" s="262" t="str">
        <f>IF(AC$3="","",IF(COUNTIFS(BD!$A$3:$A$5001,AC$3,BD!$B$3:$B$5001,$A$435,BD!$AB$3:$AB$5001,"&lt;&gt;")=0,"",SUMIFS(BD!$AB$3:$AB$5001,BD!$A$3:$A$5001,AC$3,BD!$B$3:$B$5001,$A$435)))</f>
        <v/>
      </c>
      <c r="AD461" s="262" t="str">
        <f>IF(AD$3="","",IF(COUNTIFS(BD!$A$3:$A$5001,AD$3,BD!$B$3:$B$5001,$A$435,BD!$AB$3:$AB$5001,"&lt;&gt;")=0,"",SUMIFS(BD!$AB$3:$AB$5001,BD!$A$3:$A$5001,AD$3,BD!$B$3:$B$5001,$A$435)))</f>
        <v/>
      </c>
      <c r="AE461" s="262" t="str">
        <f>IF(AE$3="","",IF(COUNTIFS(BD!$A$3:$A$5001,AE$3,BD!$B$3:$B$5001,$A$435,BD!$AB$3:$AB$5001,"&lt;&gt;")=0,"",SUMIFS(BD!$AB$3:$AB$5001,BD!$A$3:$A$5001,AE$3,BD!$B$3:$B$5001,$A$435)))</f>
        <v/>
      </c>
      <c r="AF461" s="262" t="str">
        <f>IF(AF$3="","",IF(COUNTIFS(BD!$A$3:$A$5001,AF$3,BD!$B$3:$B$5001,$A$435,BD!$AB$3:$AB$5001,"&lt;&gt;")=0,"",SUMIFS(BD!$AB$3:$AB$5001,BD!$A$3:$A$5001,AF$3,BD!$B$3:$B$5001,$A$435)))</f>
        <v/>
      </c>
      <c r="AG461" s="262" t="str">
        <f>IF(AG$3="","",IF(COUNTIFS(BD!$A$3:$A$5001,AG$3,BD!$B$3:$B$5001,$A$435,BD!$AB$3:$AB$5001,"&lt;&gt;")=0,"",SUMIFS(BD!$AB$3:$AB$5001,BD!$A$3:$A$5001,AG$3,BD!$B$3:$B$5001,$A$435)))</f>
        <v/>
      </c>
      <c r="AH461" s="262" t="str">
        <f>IF(AH$3="","",IF(COUNTIFS(BD!$A$3:$A$5001,AH$3,BD!$B$3:$B$5001,$A$435,BD!$AB$3:$AB$5001,"&lt;&gt;")=0,"",SUMIFS(BD!$AB$3:$AB$5001,BD!$A$3:$A$5001,AH$3,BD!$B$3:$B$5001,$A$435)))</f>
        <v/>
      </c>
      <c r="AI461" s="262" t="str">
        <f>IF(AI$3="","",IF(COUNTIFS(BD!$A$3:$A$5001,AI$3,BD!$B$3:$B$5001,$A$435,BD!$AB$3:$AB$5001,"&lt;&gt;")=0,"",SUMIFS(BD!$AB$3:$AB$5001,BD!$A$3:$A$5001,AI$3,BD!$B$3:$B$5001,$A$435)))</f>
        <v/>
      </c>
      <c r="AJ461" s="263" t="str">
        <f>IF(AJ$3="","",IF(COUNTIFS(BD!$A$3:$A$5001,AJ$3,BD!$B$3:$B$5001,$A$435,BD!$AB$3:$AB$5001,"&lt;&gt;")=0,"",SUMIFS(BD!$AB$3:$AB$5001,BD!$A$3:$A$5001,AJ$3,BD!$B$3:$B$5001,$A$435)))</f>
        <v/>
      </c>
      <c r="AK461" s="259" t="str">
        <f>IF(COUNT(F461:AJ461)=0,"",SUM(F461:AJ461))</f>
        <v/>
      </c>
    </row>
    <row r="463" ht="15.75" customHeight="1" hidden="1">
      <c r="A463" s="276"/>
      <c r="B463" s="264" t="inlineStr">
        <is>
          <t xml:space="preserve">IN</t>
        </is>
      </c>
      <c r="C463" s="168" t="inlineStr">
        <is>
          <t xml:space="preserve">Veículos Recebidos</t>
        </is>
      </c>
      <c r="D463" s="169" t="str">
        <f>IFERROR(1/(1/INDEX(BD!$AF$23:$AZ$23,MATCH($A$463,BD!$AF$22:$AZ$22,0))),"")</f>
        <v/>
      </c>
      <c r="E463" s="170"/>
      <c r="F463" s="171" t="str">
        <f>IF(F$3="","",IF(COUNTIFS(BD!$A$3:$A$5001,F$3,BD!$B$3:$B$5001,$A$463,BD!$C$3:$C$5001,"&lt;&gt;")=0,"",SUMIFS(BD!$C$3:$C$5001,BD!$A$3:$A$5001,F$3,BD!$B$3:$B$5001,$A$463)))</f>
        <v/>
      </c>
      <c r="G463" s="172" t="str">
        <f>IF(G$3="","",IF(COUNTIFS(BD!$A$3:$A$5001,G$3,BD!$B$3:$B$5001,$A$463,BD!$C$3:$C$5001,"&lt;&gt;")=0,"",SUMIFS(BD!$C$3:$C$5001,BD!$A$3:$A$5001,G$3,BD!$B$3:$B$5001,$A$463)))</f>
        <v/>
      </c>
      <c r="H463" s="172" t="str">
        <f>IF(H$3="","",IF(COUNTIFS(BD!$A$3:$A$5001,H$3,BD!$B$3:$B$5001,$A$463,BD!$C$3:$C$5001,"&lt;&gt;")=0,"",SUMIFS(BD!$C$3:$C$5001,BD!$A$3:$A$5001,H$3,BD!$B$3:$B$5001,$A$463)))</f>
        <v/>
      </c>
      <c r="I463" s="172" t="str">
        <f>IF(I$3="","",IF(COUNTIFS(BD!$A$3:$A$5001,I$3,BD!$B$3:$B$5001,$A$463,BD!$C$3:$C$5001,"&lt;&gt;")=0,"",SUMIFS(BD!$C$3:$C$5001,BD!$A$3:$A$5001,I$3,BD!$B$3:$B$5001,$A$463)))</f>
        <v/>
      </c>
      <c r="J463" s="172" t="str">
        <f>IF(J$3="","",IF(COUNTIFS(BD!$A$3:$A$5001,J$3,BD!$B$3:$B$5001,$A$463,BD!$C$3:$C$5001,"&lt;&gt;")=0,"",SUMIFS(BD!$C$3:$C$5001,BD!$A$3:$A$5001,J$3,BD!$B$3:$B$5001,$A$463)))</f>
        <v/>
      </c>
      <c r="K463" s="172" t="str">
        <f>IF(K$3="","",IF(COUNTIFS(BD!$A$3:$A$5001,K$3,BD!$B$3:$B$5001,$A$463,BD!$C$3:$C$5001,"&lt;&gt;")=0,"",SUMIFS(BD!$C$3:$C$5001,BD!$A$3:$A$5001,K$3,BD!$B$3:$B$5001,$A$463)))</f>
        <v/>
      </c>
      <c r="L463" s="172" t="str">
        <f>IF(L$3="","",IF(COUNTIFS(BD!$A$3:$A$5001,L$3,BD!$B$3:$B$5001,$A$463,BD!$C$3:$C$5001,"&lt;&gt;")=0,"",SUMIFS(BD!$C$3:$C$5001,BD!$A$3:$A$5001,L$3,BD!$B$3:$B$5001,$A$463)))</f>
        <v/>
      </c>
      <c r="M463" s="172" t="str">
        <f>IF(M$3="","",IF(COUNTIFS(BD!$A$3:$A$5001,M$3,BD!$B$3:$B$5001,$A$463,BD!$C$3:$C$5001,"&lt;&gt;")=0,"",SUMIFS(BD!$C$3:$C$5001,BD!$A$3:$A$5001,M$3,BD!$B$3:$B$5001,$A$463)))</f>
        <v/>
      </c>
      <c r="N463" s="172" t="str">
        <f>IF(N$3="","",IF(COUNTIFS(BD!$A$3:$A$5001,N$3,BD!$B$3:$B$5001,$A$463,BD!$C$3:$C$5001,"&lt;&gt;")=0,"",SUMIFS(BD!$C$3:$C$5001,BD!$A$3:$A$5001,N$3,BD!$B$3:$B$5001,$A$463)))</f>
        <v/>
      </c>
      <c r="O463" s="172" t="str">
        <f>IF(O$3="","",IF(COUNTIFS(BD!$A$3:$A$5001,O$3,BD!$B$3:$B$5001,$A$463,BD!$C$3:$C$5001,"&lt;&gt;")=0,"",SUMIFS(BD!$C$3:$C$5001,BD!$A$3:$A$5001,O$3,BD!$B$3:$B$5001,$A$463)))</f>
        <v/>
      </c>
      <c r="P463" s="172" t="str">
        <f>IF(P$3="","",IF(COUNTIFS(BD!$A$3:$A$5001,P$3,BD!$B$3:$B$5001,$A$463,BD!$C$3:$C$5001,"&lt;&gt;")=0,"",SUMIFS(BD!$C$3:$C$5001,BD!$A$3:$A$5001,P$3,BD!$B$3:$B$5001,$A$463)))</f>
        <v/>
      </c>
      <c r="Q463" s="172" t="str">
        <f>IF(Q$3="","",IF(COUNTIFS(BD!$A$3:$A$5001,Q$3,BD!$B$3:$B$5001,$A$463,BD!$C$3:$C$5001,"&lt;&gt;")=0,"",SUMIFS(BD!$C$3:$C$5001,BD!$A$3:$A$5001,Q$3,BD!$B$3:$B$5001,$A$463)))</f>
        <v/>
      </c>
      <c r="R463" s="172" t="str">
        <f>IF(R$3="","",IF(COUNTIFS(BD!$A$3:$A$5001,R$3,BD!$B$3:$B$5001,$A$463,BD!$C$3:$C$5001,"&lt;&gt;")=0,"",SUMIFS(BD!$C$3:$C$5001,BD!$A$3:$A$5001,R$3,BD!$B$3:$B$5001,$A$463)))</f>
        <v/>
      </c>
      <c r="S463" s="172" t="str">
        <f>IF(S$3="","",IF(COUNTIFS(BD!$A$3:$A$5001,S$3,BD!$B$3:$B$5001,$A$463,BD!$C$3:$C$5001,"&lt;&gt;")=0,"",SUMIFS(BD!$C$3:$C$5001,BD!$A$3:$A$5001,S$3,BD!$B$3:$B$5001,$A$463)))</f>
        <v/>
      </c>
      <c r="T463" s="172" t="str">
        <f>IF(T$3="","",IF(COUNTIFS(BD!$A$3:$A$5001,T$3,BD!$B$3:$B$5001,$A$463,BD!$C$3:$C$5001,"&lt;&gt;")=0,"",SUMIFS(BD!$C$3:$C$5001,BD!$A$3:$A$5001,T$3,BD!$B$3:$B$5001,$A$463)))</f>
        <v/>
      </c>
      <c r="U463" s="172" t="str">
        <f>IF(U$3="","",IF(COUNTIFS(BD!$A$3:$A$5001,U$3,BD!$B$3:$B$5001,$A$463,BD!$C$3:$C$5001,"&lt;&gt;")=0,"",SUMIFS(BD!$C$3:$C$5001,BD!$A$3:$A$5001,U$3,BD!$B$3:$B$5001,$A$463)))</f>
        <v/>
      </c>
      <c r="V463" s="172" t="str">
        <f>IF(V$3="","",IF(COUNTIFS(BD!$A$3:$A$5001,V$3,BD!$B$3:$B$5001,$A$463,BD!$C$3:$C$5001,"&lt;&gt;")=0,"",SUMIFS(BD!$C$3:$C$5001,BD!$A$3:$A$5001,V$3,BD!$B$3:$B$5001,$A$463)))</f>
        <v/>
      </c>
      <c r="W463" s="172" t="str">
        <f>IF(W$3="","",IF(COUNTIFS(BD!$A$3:$A$5001,W$3,BD!$B$3:$B$5001,$A$463,BD!$C$3:$C$5001,"&lt;&gt;")=0,"",SUMIFS(BD!$C$3:$C$5001,BD!$A$3:$A$5001,W$3,BD!$B$3:$B$5001,$A$463)))</f>
        <v/>
      </c>
      <c r="X463" s="172" t="str">
        <f>IF(X$3="","",IF(COUNTIFS(BD!$A$3:$A$5001,X$3,BD!$B$3:$B$5001,$A$463,BD!$C$3:$C$5001,"&lt;&gt;")=0,"",SUMIFS(BD!$C$3:$C$5001,BD!$A$3:$A$5001,X$3,BD!$B$3:$B$5001,$A$463)))</f>
        <v/>
      </c>
      <c r="Y463" s="172" t="str">
        <f>IF(Y$3="","",IF(COUNTIFS(BD!$A$3:$A$5001,Y$3,BD!$B$3:$B$5001,$A$463,BD!$C$3:$C$5001,"&lt;&gt;")=0,"",SUMIFS(BD!$C$3:$C$5001,BD!$A$3:$A$5001,Y$3,BD!$B$3:$B$5001,$A$463)))</f>
        <v/>
      </c>
      <c r="Z463" s="172" t="str">
        <f>IF(Z$3="","",IF(COUNTIFS(BD!$A$3:$A$5001,Z$3,BD!$B$3:$B$5001,$A$463,BD!$C$3:$C$5001,"&lt;&gt;")=0,"",SUMIFS(BD!$C$3:$C$5001,BD!$A$3:$A$5001,Z$3,BD!$B$3:$B$5001,$A$463)))</f>
        <v/>
      </c>
      <c r="AA463" s="172" t="str">
        <f>IF(AA$3="","",IF(COUNTIFS(BD!$A$3:$A$5001,AA$3,BD!$B$3:$B$5001,$A$463,BD!$C$3:$C$5001,"&lt;&gt;")=0,"",SUMIFS(BD!$C$3:$C$5001,BD!$A$3:$A$5001,AA$3,BD!$B$3:$B$5001,$A$463)))</f>
        <v/>
      </c>
      <c r="AB463" s="172" t="str">
        <f>IF(AB$3="","",IF(COUNTIFS(BD!$A$3:$A$5001,AB$3,BD!$B$3:$B$5001,$A$463,BD!$C$3:$C$5001,"&lt;&gt;")=0,"",SUMIFS(BD!$C$3:$C$5001,BD!$A$3:$A$5001,AB$3,BD!$B$3:$B$5001,$A$463)))</f>
        <v/>
      </c>
      <c r="AC463" s="172" t="str">
        <f>IF(AC$3="","",IF(COUNTIFS(BD!$A$3:$A$5001,AC$3,BD!$B$3:$B$5001,$A$463,BD!$C$3:$C$5001,"&lt;&gt;")=0,"",SUMIFS(BD!$C$3:$C$5001,BD!$A$3:$A$5001,AC$3,BD!$B$3:$B$5001,$A$463)))</f>
        <v/>
      </c>
      <c r="AD463" s="172" t="str">
        <f>IF(AD$3="","",IF(COUNTIFS(BD!$A$3:$A$5001,AD$3,BD!$B$3:$B$5001,$A$463,BD!$C$3:$C$5001,"&lt;&gt;")=0,"",SUMIFS(BD!$C$3:$C$5001,BD!$A$3:$A$5001,AD$3,BD!$B$3:$B$5001,$A$463)))</f>
        <v/>
      </c>
      <c r="AE463" s="172" t="str">
        <f>IF(AE$3="","",IF(COUNTIFS(BD!$A$3:$A$5001,AE$3,BD!$B$3:$B$5001,$A$463,BD!$C$3:$C$5001,"&lt;&gt;")=0,"",SUMIFS(BD!$C$3:$C$5001,BD!$A$3:$A$5001,AE$3,BD!$B$3:$B$5001,$A$463)))</f>
        <v/>
      </c>
      <c r="AF463" s="172" t="str">
        <f>IF(AF$3="","",IF(COUNTIFS(BD!$A$3:$A$5001,AF$3,BD!$B$3:$B$5001,$A$463,BD!$C$3:$C$5001,"&lt;&gt;")=0,"",SUMIFS(BD!$C$3:$C$5001,BD!$A$3:$A$5001,AF$3,BD!$B$3:$B$5001,$A$463)))</f>
        <v/>
      </c>
      <c r="AG463" s="172" t="str">
        <f>IF(AG$3="","",IF(COUNTIFS(BD!$A$3:$A$5001,AG$3,BD!$B$3:$B$5001,$A$463,BD!$C$3:$C$5001,"&lt;&gt;")=0,"",SUMIFS(BD!$C$3:$C$5001,BD!$A$3:$A$5001,AG$3,BD!$B$3:$B$5001,$A$463)))</f>
        <v/>
      </c>
      <c r="AH463" s="172" t="str">
        <f>IF(AH$3="","",IF(COUNTIFS(BD!$A$3:$A$5001,AH$3,BD!$B$3:$B$5001,$A$463,BD!$C$3:$C$5001,"&lt;&gt;")=0,"",SUMIFS(BD!$C$3:$C$5001,BD!$A$3:$A$5001,AH$3,BD!$B$3:$B$5001,$A$463)))</f>
        <v/>
      </c>
      <c r="AI463" s="172" t="str">
        <f>IF(AI$3="","",IF(COUNTIFS(BD!$A$3:$A$5001,AI$3,BD!$B$3:$B$5001,$A$463,BD!$C$3:$C$5001,"&lt;&gt;")=0,"",SUMIFS(BD!$C$3:$C$5001,BD!$A$3:$A$5001,AI$3,BD!$B$3:$B$5001,$A$463)))</f>
        <v/>
      </c>
      <c r="AJ463" s="173" t="str">
        <f>IF(AJ$3="","",IF(COUNTIFS(BD!$A$3:$A$5001,AJ$3,BD!$B$3:$B$5001,$A$463,BD!$C$3:$C$5001,"&lt;&gt;")=0,"",SUMIFS(BD!$C$3:$C$5001,BD!$A$3:$A$5001,AJ$3,BD!$B$3:$B$5001,$A$463)))</f>
        <v/>
      </c>
      <c r="AK463" s="174" t="str">
        <f>IF(COUNT(F463:AJ463)=0,"",SUM(F463:AJ463))</f>
        <v/>
      </c>
    </row>
    <row r="464" ht="15.75" customHeight="1" hidden="1">
      <c r="A464" s="277"/>
      <c r="B464" s="265"/>
      <c r="C464" s="175" t="inlineStr">
        <is>
          <t xml:space="preserve">Pallets Movimentados</t>
        </is>
      </c>
      <c r="D464" s="176" t="str">
        <f>IFERROR(1/(1/INDEX(BD!$AF$24:$AZ$24,MATCH($A$463,BD!$AF$22:$AZ$22,0))),"")</f>
        <v/>
      </c>
      <c r="E464" s="177"/>
      <c r="F464" s="178" t="str">
        <f>IF(F$3="","",IF(COUNTIFS(BD!$A$3:$A$5001,F$3,BD!$B$3:$B$5001,$A$463,BD!$D$3:$D$5001,"&lt;&gt;")=0,"",SUMIFS(BD!$D$3:$D$5001,BD!$A$3:$A$5001,F$3,BD!$B$3:$B$5001,$A$463)))</f>
        <v/>
      </c>
      <c r="G464" s="179" t="str">
        <f>IF(G$3="","",IF(COUNTIFS(BD!$A$3:$A$5001,G$3,BD!$B$3:$B$5001,$A$463,BD!$D$3:$D$5001,"&lt;&gt;")=0,"",SUMIFS(BD!$D$3:$D$5001,BD!$A$3:$A$5001,G$3,BD!$B$3:$B$5001,$A$463)))</f>
        <v/>
      </c>
      <c r="H464" s="179" t="str">
        <f>IF(H$3="","",IF(COUNTIFS(BD!$A$3:$A$5001,H$3,BD!$B$3:$B$5001,$A$463,BD!$D$3:$D$5001,"&lt;&gt;")=0,"",SUMIFS(BD!$D$3:$D$5001,BD!$A$3:$A$5001,H$3,BD!$B$3:$B$5001,$A$463)))</f>
        <v/>
      </c>
      <c r="I464" s="179" t="str">
        <f>IF(I$3="","",IF(COUNTIFS(BD!$A$3:$A$5001,I$3,BD!$B$3:$B$5001,$A$463,BD!$D$3:$D$5001,"&lt;&gt;")=0,"",SUMIFS(BD!$D$3:$D$5001,BD!$A$3:$A$5001,I$3,BD!$B$3:$B$5001,$A$463)))</f>
        <v/>
      </c>
      <c r="J464" s="179" t="str">
        <f>IF(J$3="","",IF(COUNTIFS(BD!$A$3:$A$5001,J$3,BD!$B$3:$B$5001,$A$463,BD!$D$3:$D$5001,"&lt;&gt;")=0,"",SUMIFS(BD!$D$3:$D$5001,BD!$A$3:$A$5001,J$3,BD!$B$3:$B$5001,$A$463)))</f>
        <v/>
      </c>
      <c r="K464" s="179" t="str">
        <f>IF(K$3="","",IF(COUNTIFS(BD!$A$3:$A$5001,K$3,BD!$B$3:$B$5001,$A$463,BD!$D$3:$D$5001,"&lt;&gt;")=0,"",SUMIFS(BD!$D$3:$D$5001,BD!$A$3:$A$5001,K$3,BD!$B$3:$B$5001,$A$463)))</f>
        <v/>
      </c>
      <c r="L464" s="179" t="str">
        <f>IF(L$3="","",IF(COUNTIFS(BD!$A$3:$A$5001,L$3,BD!$B$3:$B$5001,$A$463,BD!$D$3:$D$5001,"&lt;&gt;")=0,"",SUMIFS(BD!$D$3:$D$5001,BD!$A$3:$A$5001,L$3,BD!$B$3:$B$5001,$A$463)))</f>
        <v/>
      </c>
      <c r="M464" s="179" t="str">
        <f>IF(M$3="","",IF(COUNTIFS(BD!$A$3:$A$5001,M$3,BD!$B$3:$B$5001,$A$463,BD!$D$3:$D$5001,"&lt;&gt;")=0,"",SUMIFS(BD!$D$3:$D$5001,BD!$A$3:$A$5001,M$3,BD!$B$3:$B$5001,$A$463)))</f>
        <v/>
      </c>
      <c r="N464" s="179" t="str">
        <f>IF(N$3="","",IF(COUNTIFS(BD!$A$3:$A$5001,N$3,BD!$B$3:$B$5001,$A$463,BD!$D$3:$D$5001,"&lt;&gt;")=0,"",SUMIFS(BD!$D$3:$D$5001,BD!$A$3:$A$5001,N$3,BD!$B$3:$B$5001,$A$463)))</f>
        <v/>
      </c>
      <c r="O464" s="179" t="str">
        <f>IF(O$3="","",IF(COUNTIFS(BD!$A$3:$A$5001,O$3,BD!$B$3:$B$5001,$A$463,BD!$D$3:$D$5001,"&lt;&gt;")=0,"",SUMIFS(BD!$D$3:$D$5001,BD!$A$3:$A$5001,O$3,BD!$B$3:$B$5001,$A$463)))</f>
        <v/>
      </c>
      <c r="P464" s="179" t="str">
        <f>IF(P$3="","",IF(COUNTIFS(BD!$A$3:$A$5001,P$3,BD!$B$3:$B$5001,$A$463,BD!$D$3:$D$5001,"&lt;&gt;")=0,"",SUMIFS(BD!$D$3:$D$5001,BD!$A$3:$A$5001,P$3,BD!$B$3:$B$5001,$A$463)))</f>
        <v/>
      </c>
      <c r="Q464" s="179" t="str">
        <f>IF(Q$3="","",IF(COUNTIFS(BD!$A$3:$A$5001,Q$3,BD!$B$3:$B$5001,$A$463,BD!$D$3:$D$5001,"&lt;&gt;")=0,"",SUMIFS(BD!$D$3:$D$5001,BD!$A$3:$A$5001,Q$3,BD!$B$3:$B$5001,$A$463)))</f>
        <v/>
      </c>
      <c r="R464" s="179" t="str">
        <f>IF(R$3="","",IF(COUNTIFS(BD!$A$3:$A$5001,R$3,BD!$B$3:$B$5001,$A$463,BD!$D$3:$D$5001,"&lt;&gt;")=0,"",SUMIFS(BD!$D$3:$D$5001,BD!$A$3:$A$5001,R$3,BD!$B$3:$B$5001,$A$463)))</f>
        <v/>
      </c>
      <c r="S464" s="179" t="str">
        <f>IF(S$3="","",IF(COUNTIFS(BD!$A$3:$A$5001,S$3,BD!$B$3:$B$5001,$A$463,BD!$D$3:$D$5001,"&lt;&gt;")=0,"",SUMIFS(BD!$D$3:$D$5001,BD!$A$3:$A$5001,S$3,BD!$B$3:$B$5001,$A$463)))</f>
        <v/>
      </c>
      <c r="T464" s="179" t="str">
        <f>IF(T$3="","",IF(COUNTIFS(BD!$A$3:$A$5001,T$3,BD!$B$3:$B$5001,$A$463,BD!$D$3:$D$5001,"&lt;&gt;")=0,"",SUMIFS(BD!$D$3:$D$5001,BD!$A$3:$A$5001,T$3,BD!$B$3:$B$5001,$A$463)))</f>
        <v/>
      </c>
      <c r="U464" s="179" t="str">
        <f>IF(U$3="","",IF(COUNTIFS(BD!$A$3:$A$5001,U$3,BD!$B$3:$B$5001,$A$463,BD!$D$3:$D$5001,"&lt;&gt;")=0,"",SUMIFS(BD!$D$3:$D$5001,BD!$A$3:$A$5001,U$3,BD!$B$3:$B$5001,$A$463)))</f>
        <v/>
      </c>
      <c r="V464" s="179" t="str">
        <f>IF(V$3="","",IF(COUNTIFS(BD!$A$3:$A$5001,V$3,BD!$B$3:$B$5001,$A$463,BD!$D$3:$D$5001,"&lt;&gt;")=0,"",SUMIFS(BD!$D$3:$D$5001,BD!$A$3:$A$5001,V$3,BD!$B$3:$B$5001,$A$463)))</f>
        <v/>
      </c>
      <c r="W464" s="179" t="str">
        <f>IF(W$3="","",IF(COUNTIFS(BD!$A$3:$A$5001,W$3,BD!$B$3:$B$5001,$A$463,BD!$D$3:$D$5001,"&lt;&gt;")=0,"",SUMIFS(BD!$D$3:$D$5001,BD!$A$3:$A$5001,W$3,BD!$B$3:$B$5001,$A$463)))</f>
        <v/>
      </c>
      <c r="X464" s="179" t="str">
        <f>IF(X$3="","",IF(COUNTIFS(BD!$A$3:$A$5001,X$3,BD!$B$3:$B$5001,$A$463,BD!$D$3:$D$5001,"&lt;&gt;")=0,"",SUMIFS(BD!$D$3:$D$5001,BD!$A$3:$A$5001,X$3,BD!$B$3:$B$5001,$A$463)))</f>
        <v/>
      </c>
      <c r="Y464" s="179" t="str">
        <f>IF(Y$3="","",IF(COUNTIFS(BD!$A$3:$A$5001,Y$3,BD!$B$3:$B$5001,$A$463,BD!$D$3:$D$5001,"&lt;&gt;")=0,"",SUMIFS(BD!$D$3:$D$5001,BD!$A$3:$A$5001,Y$3,BD!$B$3:$B$5001,$A$463)))</f>
        <v/>
      </c>
      <c r="Z464" s="179" t="str">
        <f>IF(Z$3="","",IF(COUNTIFS(BD!$A$3:$A$5001,Z$3,BD!$B$3:$B$5001,$A$463,BD!$D$3:$D$5001,"&lt;&gt;")=0,"",SUMIFS(BD!$D$3:$D$5001,BD!$A$3:$A$5001,Z$3,BD!$B$3:$B$5001,$A$463)))</f>
        <v/>
      </c>
      <c r="AA464" s="179" t="str">
        <f>IF(AA$3="","",IF(COUNTIFS(BD!$A$3:$A$5001,AA$3,BD!$B$3:$B$5001,$A$463,BD!$D$3:$D$5001,"&lt;&gt;")=0,"",SUMIFS(BD!$D$3:$D$5001,BD!$A$3:$A$5001,AA$3,BD!$B$3:$B$5001,$A$463)))</f>
        <v/>
      </c>
      <c r="AB464" s="179" t="str">
        <f>IF(AB$3="","",IF(COUNTIFS(BD!$A$3:$A$5001,AB$3,BD!$B$3:$B$5001,$A$463,BD!$D$3:$D$5001,"&lt;&gt;")=0,"",SUMIFS(BD!$D$3:$D$5001,BD!$A$3:$A$5001,AB$3,BD!$B$3:$B$5001,$A$463)))</f>
        <v/>
      </c>
      <c r="AC464" s="179" t="str">
        <f>IF(AC$3="","",IF(COUNTIFS(BD!$A$3:$A$5001,AC$3,BD!$B$3:$B$5001,$A$463,BD!$D$3:$D$5001,"&lt;&gt;")=0,"",SUMIFS(BD!$D$3:$D$5001,BD!$A$3:$A$5001,AC$3,BD!$B$3:$B$5001,$A$463)))</f>
        <v/>
      </c>
      <c r="AD464" s="179" t="str">
        <f>IF(AD$3="","",IF(COUNTIFS(BD!$A$3:$A$5001,AD$3,BD!$B$3:$B$5001,$A$463,BD!$D$3:$D$5001,"&lt;&gt;")=0,"",SUMIFS(BD!$D$3:$D$5001,BD!$A$3:$A$5001,AD$3,BD!$B$3:$B$5001,$A$463)))</f>
        <v/>
      </c>
      <c r="AE464" s="179" t="str">
        <f>IF(AE$3="","",IF(COUNTIFS(BD!$A$3:$A$5001,AE$3,BD!$B$3:$B$5001,$A$463,BD!$D$3:$D$5001,"&lt;&gt;")=0,"",SUMIFS(BD!$D$3:$D$5001,BD!$A$3:$A$5001,AE$3,BD!$B$3:$B$5001,$A$463)))</f>
        <v/>
      </c>
      <c r="AF464" s="179" t="str">
        <f>IF(AF$3="","",IF(COUNTIFS(BD!$A$3:$A$5001,AF$3,BD!$B$3:$B$5001,$A$463,BD!$D$3:$D$5001,"&lt;&gt;")=0,"",SUMIFS(BD!$D$3:$D$5001,BD!$A$3:$A$5001,AF$3,BD!$B$3:$B$5001,$A$463)))</f>
        <v/>
      </c>
      <c r="AG464" s="179" t="str">
        <f>IF(AG$3="","",IF(COUNTIFS(BD!$A$3:$A$5001,AG$3,BD!$B$3:$B$5001,$A$463,BD!$D$3:$D$5001,"&lt;&gt;")=0,"",SUMIFS(BD!$D$3:$D$5001,BD!$A$3:$A$5001,AG$3,BD!$B$3:$B$5001,$A$463)))</f>
        <v/>
      </c>
      <c r="AH464" s="179" t="str">
        <f>IF(AH$3="","",IF(COUNTIFS(BD!$A$3:$A$5001,AH$3,BD!$B$3:$B$5001,$A$463,BD!$D$3:$D$5001,"&lt;&gt;")=0,"",SUMIFS(BD!$D$3:$D$5001,BD!$A$3:$A$5001,AH$3,BD!$B$3:$B$5001,$A$463)))</f>
        <v/>
      </c>
      <c r="AI464" s="179" t="str">
        <f>IF(AI$3="","",IF(COUNTIFS(BD!$A$3:$A$5001,AI$3,BD!$B$3:$B$5001,$A$463,BD!$D$3:$D$5001,"&lt;&gt;")=0,"",SUMIFS(BD!$D$3:$D$5001,BD!$A$3:$A$5001,AI$3,BD!$B$3:$B$5001,$A$463)))</f>
        <v/>
      </c>
      <c r="AJ464" s="180" t="str">
        <f>IF(AJ$3="","",IF(COUNTIFS(BD!$A$3:$A$5001,AJ$3,BD!$B$3:$B$5001,$A$463,BD!$D$3:$D$5001,"&lt;&gt;")=0,"",SUMIFS(BD!$D$3:$D$5001,BD!$A$3:$A$5001,AJ$3,BD!$B$3:$B$5001,$A$463)))</f>
        <v/>
      </c>
      <c r="AK464" s="181" t="str">
        <f>IF(COUNT(F464:AJ464)=0,"",SUM(F464:AJ464))</f>
        <v/>
      </c>
    </row>
    <row r="465" ht="15.75" customHeight="1" hidden="1">
      <c r="A465" s="277"/>
      <c r="B465" s="265"/>
      <c r="C465" s="175" t="inlineStr">
        <is>
          <t xml:space="preserve">Toneladas Movimentadas</t>
        </is>
      </c>
      <c r="D465" s="176" t="str">
        <f>IFERROR(1/(1/INDEX(BD!$AF$25:$AZ$25,MATCH($A$463,BD!$AF$22:$AZ$22,0))),"")</f>
        <v/>
      </c>
      <c r="E465" s="177"/>
      <c r="F465" s="182" t="str">
        <f>IF(F$3="","",IF(COUNTIFS(BD!$A$3:$A$5001,F$3,BD!$B$3:$B$5001,$A$463,BD!$E$3:$E$5001,"&lt;&gt;")=0,"",SUMIFS(BD!$E$3:$E$5001,BD!$A$3:$A$5001,F$3,BD!$B$3:$B$5001,$A$463)))</f>
        <v/>
      </c>
      <c r="G465" s="183" t="str">
        <f>IF(G$3="","",IF(COUNTIFS(BD!$A$3:$A$5001,G$3,BD!$B$3:$B$5001,$A$463,BD!$E$3:$E$5001,"&lt;&gt;")=0,"",SUMIFS(BD!$E$3:$E$5001,BD!$A$3:$A$5001,G$3,BD!$B$3:$B$5001,$A$463)))</f>
        <v/>
      </c>
      <c r="H465" s="183" t="str">
        <f>IF(H$3="","",IF(COUNTIFS(BD!$A$3:$A$5001,H$3,BD!$B$3:$B$5001,$A$463,BD!$E$3:$E$5001,"&lt;&gt;")=0,"",SUMIFS(BD!$E$3:$E$5001,BD!$A$3:$A$5001,H$3,BD!$B$3:$B$5001,$A$463)))</f>
        <v/>
      </c>
      <c r="I465" s="183" t="str">
        <f>IF(I$3="","",IF(COUNTIFS(BD!$A$3:$A$5001,I$3,BD!$B$3:$B$5001,$A$463,BD!$E$3:$E$5001,"&lt;&gt;")=0,"",SUMIFS(BD!$E$3:$E$5001,BD!$A$3:$A$5001,I$3,BD!$B$3:$B$5001,$A$463)))</f>
        <v/>
      </c>
      <c r="J465" s="183" t="str">
        <f>IF(J$3="","",IF(COUNTIFS(BD!$A$3:$A$5001,J$3,BD!$B$3:$B$5001,$A$463,BD!$E$3:$E$5001,"&lt;&gt;")=0,"",SUMIFS(BD!$E$3:$E$5001,BD!$A$3:$A$5001,J$3,BD!$B$3:$B$5001,$A$463)))</f>
        <v/>
      </c>
      <c r="K465" s="183" t="str">
        <f>IF(K$3="","",IF(COUNTIFS(BD!$A$3:$A$5001,K$3,BD!$B$3:$B$5001,$A$463,BD!$E$3:$E$5001,"&lt;&gt;")=0,"",SUMIFS(BD!$E$3:$E$5001,BD!$A$3:$A$5001,K$3,BD!$B$3:$B$5001,$A$463)))</f>
        <v/>
      </c>
      <c r="L465" s="183" t="str">
        <f>IF(L$3="","",IF(COUNTIFS(BD!$A$3:$A$5001,L$3,BD!$B$3:$B$5001,$A$463,BD!$E$3:$E$5001,"&lt;&gt;")=0,"",SUMIFS(BD!$E$3:$E$5001,BD!$A$3:$A$5001,L$3,BD!$B$3:$B$5001,$A$463)))</f>
        <v/>
      </c>
      <c r="M465" s="183" t="str">
        <f>IF(M$3="","",IF(COUNTIFS(BD!$A$3:$A$5001,M$3,BD!$B$3:$B$5001,$A$463,BD!$E$3:$E$5001,"&lt;&gt;")=0,"",SUMIFS(BD!$E$3:$E$5001,BD!$A$3:$A$5001,M$3,BD!$B$3:$B$5001,$A$463)))</f>
        <v/>
      </c>
      <c r="N465" s="183" t="str">
        <f>IF(N$3="","",IF(COUNTIFS(BD!$A$3:$A$5001,N$3,BD!$B$3:$B$5001,$A$463,BD!$E$3:$E$5001,"&lt;&gt;")=0,"",SUMIFS(BD!$E$3:$E$5001,BD!$A$3:$A$5001,N$3,BD!$B$3:$B$5001,$A$463)))</f>
        <v/>
      </c>
      <c r="O465" s="183" t="str">
        <f>IF(O$3="","",IF(COUNTIFS(BD!$A$3:$A$5001,O$3,BD!$B$3:$B$5001,$A$463,BD!$E$3:$E$5001,"&lt;&gt;")=0,"",SUMIFS(BD!$E$3:$E$5001,BD!$A$3:$A$5001,O$3,BD!$B$3:$B$5001,$A$463)))</f>
        <v/>
      </c>
      <c r="P465" s="183" t="str">
        <f>IF(P$3="","",IF(COUNTIFS(BD!$A$3:$A$5001,P$3,BD!$B$3:$B$5001,$A$463,BD!$E$3:$E$5001,"&lt;&gt;")=0,"",SUMIFS(BD!$E$3:$E$5001,BD!$A$3:$A$5001,P$3,BD!$B$3:$B$5001,$A$463)))</f>
        <v/>
      </c>
      <c r="Q465" s="183" t="str">
        <f>IF(Q$3="","",IF(COUNTIFS(BD!$A$3:$A$5001,Q$3,BD!$B$3:$B$5001,$A$463,BD!$E$3:$E$5001,"&lt;&gt;")=0,"",SUMIFS(BD!$E$3:$E$5001,BD!$A$3:$A$5001,Q$3,BD!$B$3:$B$5001,$A$463)))</f>
        <v/>
      </c>
      <c r="R465" s="183" t="str">
        <f>IF(R$3="","",IF(COUNTIFS(BD!$A$3:$A$5001,R$3,BD!$B$3:$B$5001,$A$463,BD!$E$3:$E$5001,"&lt;&gt;")=0,"",SUMIFS(BD!$E$3:$E$5001,BD!$A$3:$A$5001,R$3,BD!$B$3:$B$5001,$A$463)))</f>
        <v/>
      </c>
      <c r="S465" s="183" t="str">
        <f>IF(S$3="","",IF(COUNTIFS(BD!$A$3:$A$5001,S$3,BD!$B$3:$B$5001,$A$463,BD!$E$3:$E$5001,"&lt;&gt;")=0,"",SUMIFS(BD!$E$3:$E$5001,BD!$A$3:$A$5001,S$3,BD!$B$3:$B$5001,$A$463)))</f>
        <v/>
      </c>
      <c r="T465" s="183" t="str">
        <f>IF(T$3="","",IF(COUNTIFS(BD!$A$3:$A$5001,T$3,BD!$B$3:$B$5001,$A$463,BD!$E$3:$E$5001,"&lt;&gt;")=0,"",SUMIFS(BD!$E$3:$E$5001,BD!$A$3:$A$5001,T$3,BD!$B$3:$B$5001,$A$463)))</f>
        <v/>
      </c>
      <c r="U465" s="183" t="str">
        <f>IF(U$3="","",IF(COUNTIFS(BD!$A$3:$A$5001,U$3,BD!$B$3:$B$5001,$A$463,BD!$E$3:$E$5001,"&lt;&gt;")=0,"",SUMIFS(BD!$E$3:$E$5001,BD!$A$3:$A$5001,U$3,BD!$B$3:$B$5001,$A$463)))</f>
        <v/>
      </c>
      <c r="V465" s="183" t="str">
        <f>IF(V$3="","",IF(COUNTIFS(BD!$A$3:$A$5001,V$3,BD!$B$3:$B$5001,$A$463,BD!$E$3:$E$5001,"&lt;&gt;")=0,"",SUMIFS(BD!$E$3:$E$5001,BD!$A$3:$A$5001,V$3,BD!$B$3:$B$5001,$A$463)))</f>
        <v/>
      </c>
      <c r="W465" s="183" t="str">
        <f>IF(W$3="","",IF(COUNTIFS(BD!$A$3:$A$5001,W$3,BD!$B$3:$B$5001,$A$463,BD!$E$3:$E$5001,"&lt;&gt;")=0,"",SUMIFS(BD!$E$3:$E$5001,BD!$A$3:$A$5001,W$3,BD!$B$3:$B$5001,$A$463)))</f>
        <v/>
      </c>
      <c r="X465" s="183" t="str">
        <f>IF(X$3="","",IF(COUNTIFS(BD!$A$3:$A$5001,X$3,BD!$B$3:$B$5001,$A$463,BD!$E$3:$E$5001,"&lt;&gt;")=0,"",SUMIFS(BD!$E$3:$E$5001,BD!$A$3:$A$5001,X$3,BD!$B$3:$B$5001,$A$463)))</f>
        <v/>
      </c>
      <c r="Y465" s="183" t="str">
        <f>IF(Y$3="","",IF(COUNTIFS(BD!$A$3:$A$5001,Y$3,BD!$B$3:$B$5001,$A$463,BD!$E$3:$E$5001,"&lt;&gt;")=0,"",SUMIFS(BD!$E$3:$E$5001,BD!$A$3:$A$5001,Y$3,BD!$B$3:$B$5001,$A$463)))</f>
        <v/>
      </c>
      <c r="Z465" s="183" t="str">
        <f>IF(Z$3="","",IF(COUNTIFS(BD!$A$3:$A$5001,Z$3,BD!$B$3:$B$5001,$A$463,BD!$E$3:$E$5001,"&lt;&gt;")=0,"",SUMIFS(BD!$E$3:$E$5001,BD!$A$3:$A$5001,Z$3,BD!$B$3:$B$5001,$A$463)))</f>
        <v/>
      </c>
      <c r="AA465" s="183" t="str">
        <f>IF(AA$3="","",IF(COUNTIFS(BD!$A$3:$A$5001,AA$3,BD!$B$3:$B$5001,$A$463,BD!$E$3:$E$5001,"&lt;&gt;")=0,"",SUMIFS(BD!$E$3:$E$5001,BD!$A$3:$A$5001,AA$3,BD!$B$3:$B$5001,$A$463)))</f>
        <v/>
      </c>
      <c r="AB465" s="183" t="str">
        <f>IF(AB$3="","",IF(COUNTIFS(BD!$A$3:$A$5001,AB$3,BD!$B$3:$B$5001,$A$463,BD!$E$3:$E$5001,"&lt;&gt;")=0,"",SUMIFS(BD!$E$3:$E$5001,BD!$A$3:$A$5001,AB$3,BD!$B$3:$B$5001,$A$463)))</f>
        <v/>
      </c>
      <c r="AC465" s="183" t="str">
        <f>IF(AC$3="","",IF(COUNTIFS(BD!$A$3:$A$5001,AC$3,BD!$B$3:$B$5001,$A$463,BD!$E$3:$E$5001,"&lt;&gt;")=0,"",SUMIFS(BD!$E$3:$E$5001,BD!$A$3:$A$5001,AC$3,BD!$B$3:$B$5001,$A$463)))</f>
        <v/>
      </c>
      <c r="AD465" s="183" t="str">
        <f>IF(AD$3="","",IF(COUNTIFS(BD!$A$3:$A$5001,AD$3,BD!$B$3:$B$5001,$A$463,BD!$E$3:$E$5001,"&lt;&gt;")=0,"",SUMIFS(BD!$E$3:$E$5001,BD!$A$3:$A$5001,AD$3,BD!$B$3:$B$5001,$A$463)))</f>
        <v/>
      </c>
      <c r="AE465" s="183" t="str">
        <f>IF(AE$3="","",IF(COUNTIFS(BD!$A$3:$A$5001,AE$3,BD!$B$3:$B$5001,$A$463,BD!$E$3:$E$5001,"&lt;&gt;")=0,"",SUMIFS(BD!$E$3:$E$5001,BD!$A$3:$A$5001,AE$3,BD!$B$3:$B$5001,$A$463)))</f>
        <v/>
      </c>
      <c r="AF465" s="183" t="str">
        <f>IF(AF$3="","",IF(COUNTIFS(BD!$A$3:$A$5001,AF$3,BD!$B$3:$B$5001,$A$463,BD!$E$3:$E$5001,"&lt;&gt;")=0,"",SUMIFS(BD!$E$3:$E$5001,BD!$A$3:$A$5001,AF$3,BD!$B$3:$B$5001,$A$463)))</f>
        <v/>
      </c>
      <c r="AG465" s="183" t="str">
        <f>IF(AG$3="","",IF(COUNTIFS(BD!$A$3:$A$5001,AG$3,BD!$B$3:$B$5001,$A$463,BD!$E$3:$E$5001,"&lt;&gt;")=0,"",SUMIFS(BD!$E$3:$E$5001,BD!$A$3:$A$5001,AG$3,BD!$B$3:$B$5001,$A$463)))</f>
        <v/>
      </c>
      <c r="AH465" s="183" t="str">
        <f>IF(AH$3="","",IF(COUNTIFS(BD!$A$3:$A$5001,AH$3,BD!$B$3:$B$5001,$A$463,BD!$E$3:$E$5001,"&lt;&gt;")=0,"",SUMIFS(BD!$E$3:$E$5001,BD!$A$3:$A$5001,AH$3,BD!$B$3:$B$5001,$A$463)))</f>
        <v/>
      </c>
      <c r="AI465" s="183" t="str">
        <f>IF(AI$3="","",IF(COUNTIFS(BD!$A$3:$A$5001,AI$3,BD!$B$3:$B$5001,$A$463,BD!$E$3:$E$5001,"&lt;&gt;")=0,"",SUMIFS(BD!$E$3:$E$5001,BD!$A$3:$A$5001,AI$3,BD!$B$3:$B$5001,$A$463)))</f>
        <v/>
      </c>
      <c r="AJ465" s="184" t="str">
        <f>IF(AJ$3="","",IF(COUNTIFS(BD!$A$3:$A$5001,AJ$3,BD!$B$3:$B$5001,$A$463,BD!$E$3:$E$5001,"&lt;&gt;")=0,"",SUMIFS(BD!$E$3:$E$5001,BD!$A$3:$A$5001,AJ$3,BD!$B$3:$B$5001,$A$463)))</f>
        <v/>
      </c>
      <c r="AK465" s="185" t="str">
        <f>IF(COUNT(F465:AJ465)=0,"",SUM(F465:AJ465))</f>
        <v/>
      </c>
    </row>
    <row r="466" ht="15.75" customHeight="1" hidden="1">
      <c r="A466" s="277"/>
      <c r="B466" s="265"/>
      <c r="C466" s="175" t="inlineStr">
        <is>
          <t xml:space="preserve">Caixas Recebidas</t>
        </is>
      </c>
      <c r="D466" s="176" t="str">
        <f>IFERROR(1/(1/INDEX(BD!$AF$26:$AZ$26,MATCH($A$463,BD!$AF$22:$AZ$22,0))),"")</f>
        <v/>
      </c>
      <c r="E466" s="177"/>
      <c r="F466" s="178" t="str">
        <f>IF(F$3="","",IF(COUNTIFS(BD!$A$3:$A$5001,F$3,BD!$B$3:$B$5001,$A$463,BD!$F$3:$F$5001,"&lt;&gt;")=0,"",SUMIFS(BD!$F$3:$F$5001,BD!$A$3:$A$5001,F$3,BD!$B$3:$B$5001,$A$463)))</f>
        <v/>
      </c>
      <c r="G466" s="179" t="str">
        <f>IF(G$3="","",IF(COUNTIFS(BD!$A$3:$A$5001,G$3,BD!$B$3:$B$5001,$A$463,BD!$F$3:$F$5001,"&lt;&gt;")=0,"",SUMIFS(BD!$F$3:$F$5001,BD!$A$3:$A$5001,G$3,BD!$B$3:$B$5001,$A$463)))</f>
        <v/>
      </c>
      <c r="H466" s="179" t="str">
        <f>IF(H$3="","",IF(COUNTIFS(BD!$A$3:$A$5001,H$3,BD!$B$3:$B$5001,$A$463,BD!$F$3:$F$5001,"&lt;&gt;")=0,"",SUMIFS(BD!$F$3:$F$5001,BD!$A$3:$A$5001,H$3,BD!$B$3:$B$5001,$A$463)))</f>
        <v/>
      </c>
      <c r="I466" s="179" t="str">
        <f>IF(I$3="","",IF(COUNTIFS(BD!$A$3:$A$5001,I$3,BD!$B$3:$B$5001,$A$463,BD!$F$3:$F$5001,"&lt;&gt;")=0,"",SUMIFS(BD!$F$3:$F$5001,BD!$A$3:$A$5001,I$3,BD!$B$3:$B$5001,$A$463)))</f>
        <v/>
      </c>
      <c r="J466" s="179" t="str">
        <f>IF(J$3="","",IF(COUNTIFS(BD!$A$3:$A$5001,J$3,BD!$B$3:$B$5001,$A$463,BD!$F$3:$F$5001,"&lt;&gt;")=0,"",SUMIFS(BD!$F$3:$F$5001,BD!$A$3:$A$5001,J$3,BD!$B$3:$B$5001,$A$463)))</f>
        <v/>
      </c>
      <c r="K466" s="179" t="str">
        <f>IF(K$3="","",IF(COUNTIFS(BD!$A$3:$A$5001,K$3,BD!$B$3:$B$5001,$A$463,BD!$F$3:$F$5001,"&lt;&gt;")=0,"",SUMIFS(BD!$F$3:$F$5001,BD!$A$3:$A$5001,K$3,BD!$B$3:$B$5001,$A$463)))</f>
        <v/>
      </c>
      <c r="L466" s="179" t="str">
        <f>IF(L$3="","",IF(COUNTIFS(BD!$A$3:$A$5001,L$3,BD!$B$3:$B$5001,$A$463,BD!$F$3:$F$5001,"&lt;&gt;")=0,"",SUMIFS(BD!$F$3:$F$5001,BD!$A$3:$A$5001,L$3,BD!$B$3:$B$5001,$A$463)))</f>
        <v/>
      </c>
      <c r="M466" s="179" t="str">
        <f>IF(M$3="","",IF(COUNTIFS(BD!$A$3:$A$5001,M$3,BD!$B$3:$B$5001,$A$463,BD!$F$3:$F$5001,"&lt;&gt;")=0,"",SUMIFS(BD!$F$3:$F$5001,BD!$A$3:$A$5001,M$3,BD!$B$3:$B$5001,$A$463)))</f>
        <v/>
      </c>
      <c r="N466" s="179" t="str">
        <f>IF(N$3="","",IF(COUNTIFS(BD!$A$3:$A$5001,N$3,BD!$B$3:$B$5001,$A$463,BD!$F$3:$F$5001,"&lt;&gt;")=0,"",SUMIFS(BD!$F$3:$F$5001,BD!$A$3:$A$5001,N$3,BD!$B$3:$B$5001,$A$463)))</f>
        <v/>
      </c>
      <c r="O466" s="179" t="str">
        <f>IF(O$3="","",IF(COUNTIFS(BD!$A$3:$A$5001,O$3,BD!$B$3:$B$5001,$A$463,BD!$F$3:$F$5001,"&lt;&gt;")=0,"",SUMIFS(BD!$F$3:$F$5001,BD!$A$3:$A$5001,O$3,BD!$B$3:$B$5001,$A$463)))</f>
        <v/>
      </c>
      <c r="P466" s="179" t="str">
        <f>IF(P$3="","",IF(COUNTIFS(BD!$A$3:$A$5001,P$3,BD!$B$3:$B$5001,$A$463,BD!$F$3:$F$5001,"&lt;&gt;")=0,"",SUMIFS(BD!$F$3:$F$5001,BD!$A$3:$A$5001,P$3,BD!$B$3:$B$5001,$A$463)))</f>
        <v/>
      </c>
      <c r="Q466" s="179" t="str">
        <f>IF(Q$3="","",IF(COUNTIFS(BD!$A$3:$A$5001,Q$3,BD!$B$3:$B$5001,$A$463,BD!$F$3:$F$5001,"&lt;&gt;")=0,"",SUMIFS(BD!$F$3:$F$5001,BD!$A$3:$A$5001,Q$3,BD!$B$3:$B$5001,$A$463)))</f>
        <v/>
      </c>
      <c r="R466" s="179" t="str">
        <f>IF(R$3="","",IF(COUNTIFS(BD!$A$3:$A$5001,R$3,BD!$B$3:$B$5001,$A$463,BD!$F$3:$F$5001,"&lt;&gt;")=0,"",SUMIFS(BD!$F$3:$F$5001,BD!$A$3:$A$5001,R$3,BD!$B$3:$B$5001,$A$463)))</f>
        <v/>
      </c>
      <c r="S466" s="179" t="str">
        <f>IF(S$3="","",IF(COUNTIFS(BD!$A$3:$A$5001,S$3,BD!$B$3:$B$5001,$A$463,BD!$F$3:$F$5001,"&lt;&gt;")=0,"",SUMIFS(BD!$F$3:$F$5001,BD!$A$3:$A$5001,S$3,BD!$B$3:$B$5001,$A$463)))</f>
        <v/>
      </c>
      <c r="T466" s="179" t="str">
        <f>IF(T$3="","",IF(COUNTIFS(BD!$A$3:$A$5001,T$3,BD!$B$3:$B$5001,$A$463,BD!$F$3:$F$5001,"&lt;&gt;")=0,"",SUMIFS(BD!$F$3:$F$5001,BD!$A$3:$A$5001,T$3,BD!$B$3:$B$5001,$A$463)))</f>
        <v/>
      </c>
      <c r="U466" s="179" t="str">
        <f>IF(U$3="","",IF(COUNTIFS(BD!$A$3:$A$5001,U$3,BD!$B$3:$B$5001,$A$463,BD!$F$3:$F$5001,"&lt;&gt;")=0,"",SUMIFS(BD!$F$3:$F$5001,BD!$A$3:$A$5001,U$3,BD!$B$3:$B$5001,$A$463)))</f>
        <v/>
      </c>
      <c r="V466" s="179" t="str">
        <f>IF(V$3="","",IF(COUNTIFS(BD!$A$3:$A$5001,V$3,BD!$B$3:$B$5001,$A$463,BD!$F$3:$F$5001,"&lt;&gt;")=0,"",SUMIFS(BD!$F$3:$F$5001,BD!$A$3:$A$5001,V$3,BD!$B$3:$B$5001,$A$463)))</f>
        <v/>
      </c>
      <c r="W466" s="179" t="str">
        <f>IF(W$3="","",IF(COUNTIFS(BD!$A$3:$A$5001,W$3,BD!$B$3:$B$5001,$A$463,BD!$F$3:$F$5001,"&lt;&gt;")=0,"",SUMIFS(BD!$F$3:$F$5001,BD!$A$3:$A$5001,W$3,BD!$B$3:$B$5001,$A$463)))</f>
        <v/>
      </c>
      <c r="X466" s="179" t="str">
        <f>IF(X$3="","",IF(COUNTIFS(BD!$A$3:$A$5001,X$3,BD!$B$3:$B$5001,$A$463,BD!$F$3:$F$5001,"&lt;&gt;")=0,"",SUMIFS(BD!$F$3:$F$5001,BD!$A$3:$A$5001,X$3,BD!$B$3:$B$5001,$A$463)))</f>
        <v/>
      </c>
      <c r="Y466" s="179" t="str">
        <f>IF(Y$3="","",IF(COUNTIFS(BD!$A$3:$A$5001,Y$3,BD!$B$3:$B$5001,$A$463,BD!$F$3:$F$5001,"&lt;&gt;")=0,"",SUMIFS(BD!$F$3:$F$5001,BD!$A$3:$A$5001,Y$3,BD!$B$3:$B$5001,$A$463)))</f>
        <v/>
      </c>
      <c r="Z466" s="179" t="str">
        <f>IF(Z$3="","",IF(COUNTIFS(BD!$A$3:$A$5001,Z$3,BD!$B$3:$B$5001,$A$463,BD!$F$3:$F$5001,"&lt;&gt;")=0,"",SUMIFS(BD!$F$3:$F$5001,BD!$A$3:$A$5001,Z$3,BD!$B$3:$B$5001,$A$463)))</f>
        <v/>
      </c>
      <c r="AA466" s="179" t="str">
        <f>IF(AA$3="","",IF(COUNTIFS(BD!$A$3:$A$5001,AA$3,BD!$B$3:$B$5001,$A$463,BD!$F$3:$F$5001,"&lt;&gt;")=0,"",SUMIFS(BD!$F$3:$F$5001,BD!$A$3:$A$5001,AA$3,BD!$B$3:$B$5001,$A$463)))</f>
        <v/>
      </c>
      <c r="AB466" s="179" t="str">
        <f>IF(AB$3="","",IF(COUNTIFS(BD!$A$3:$A$5001,AB$3,BD!$B$3:$B$5001,$A$463,BD!$F$3:$F$5001,"&lt;&gt;")=0,"",SUMIFS(BD!$F$3:$F$5001,BD!$A$3:$A$5001,AB$3,BD!$B$3:$B$5001,$A$463)))</f>
        <v/>
      </c>
      <c r="AC466" s="179" t="str">
        <f>IF(AC$3="","",IF(COUNTIFS(BD!$A$3:$A$5001,AC$3,BD!$B$3:$B$5001,$A$463,BD!$F$3:$F$5001,"&lt;&gt;")=0,"",SUMIFS(BD!$F$3:$F$5001,BD!$A$3:$A$5001,AC$3,BD!$B$3:$B$5001,$A$463)))</f>
        <v/>
      </c>
      <c r="AD466" s="179" t="str">
        <f>IF(AD$3="","",IF(COUNTIFS(BD!$A$3:$A$5001,AD$3,BD!$B$3:$B$5001,$A$463,BD!$F$3:$F$5001,"&lt;&gt;")=0,"",SUMIFS(BD!$F$3:$F$5001,BD!$A$3:$A$5001,AD$3,BD!$B$3:$B$5001,$A$463)))</f>
        <v/>
      </c>
      <c r="AE466" s="179" t="str">
        <f>IF(AE$3="","",IF(COUNTIFS(BD!$A$3:$A$5001,AE$3,BD!$B$3:$B$5001,$A$463,BD!$F$3:$F$5001,"&lt;&gt;")=0,"",SUMIFS(BD!$F$3:$F$5001,BD!$A$3:$A$5001,AE$3,BD!$B$3:$B$5001,$A$463)))</f>
        <v/>
      </c>
      <c r="AF466" s="179" t="str">
        <f>IF(AF$3="","",IF(COUNTIFS(BD!$A$3:$A$5001,AF$3,BD!$B$3:$B$5001,$A$463,BD!$F$3:$F$5001,"&lt;&gt;")=0,"",SUMIFS(BD!$F$3:$F$5001,BD!$A$3:$A$5001,AF$3,BD!$B$3:$B$5001,$A$463)))</f>
        <v/>
      </c>
      <c r="AG466" s="179" t="str">
        <f>IF(AG$3="","",IF(COUNTIFS(BD!$A$3:$A$5001,AG$3,BD!$B$3:$B$5001,$A$463,BD!$F$3:$F$5001,"&lt;&gt;")=0,"",SUMIFS(BD!$F$3:$F$5001,BD!$A$3:$A$5001,AG$3,BD!$B$3:$B$5001,$A$463)))</f>
        <v/>
      </c>
      <c r="AH466" s="179" t="str">
        <f>IF(AH$3="","",IF(COUNTIFS(BD!$A$3:$A$5001,AH$3,BD!$B$3:$B$5001,$A$463,BD!$F$3:$F$5001,"&lt;&gt;")=0,"",SUMIFS(BD!$F$3:$F$5001,BD!$A$3:$A$5001,AH$3,BD!$B$3:$B$5001,$A$463)))</f>
        <v/>
      </c>
      <c r="AI466" s="179" t="str">
        <f>IF(AI$3="","",IF(COUNTIFS(BD!$A$3:$A$5001,AI$3,BD!$B$3:$B$5001,$A$463,BD!$F$3:$F$5001,"&lt;&gt;")=0,"",SUMIFS(BD!$F$3:$F$5001,BD!$A$3:$A$5001,AI$3,BD!$B$3:$B$5001,$A$463)))</f>
        <v/>
      </c>
      <c r="AJ466" s="180" t="str">
        <f>IF(AJ$3="","",IF(COUNTIFS(BD!$A$3:$A$5001,AJ$3,BD!$B$3:$B$5001,$A$463,BD!$F$3:$F$5001,"&lt;&gt;")=0,"",SUMIFS(BD!$F$3:$F$5001,BD!$A$3:$A$5001,AJ$3,BD!$B$3:$B$5001,$A$463)))</f>
        <v/>
      </c>
      <c r="AK466" s="181" t="str">
        <f>IF(COUNT(F466:AJ466)=0,"",SUM(F466:AJ466))</f>
        <v/>
      </c>
    </row>
    <row r="467" ht="15.75" customHeight="1" hidden="1">
      <c r="A467" s="277"/>
      <c r="B467" s="266"/>
      <c r="C467" s="186" t="inlineStr">
        <is>
          <t xml:space="preserve">Bags Recebidos</t>
        </is>
      </c>
      <c r="D467" s="187" t="str">
        <f>IFERROR(1/(1/INDEX(BD!$AF$27:$AZ$27,MATCH($A$463,BD!$AF$22:$AZ$22,0))),"")</f>
        <v/>
      </c>
      <c r="E467" s="188"/>
      <c r="F467" s="189" t="str">
        <f>IF(F$3="","",IF(COUNTIFS(BD!$A$3:$A$5001,F$3,BD!$B$3:$B$5001,$A$463,BD!$G$3:$G$5001,"&lt;&gt;")=0,"",SUMIFS(BD!$G$3:$G$5001,BD!$A$3:$A$5001,F$3,BD!$B$3:$B$5001,$A$463)))</f>
        <v/>
      </c>
      <c r="G467" s="190" t="str">
        <f>IF(G$3="","",IF(COUNTIFS(BD!$A$3:$A$5001,G$3,BD!$B$3:$B$5001,$A$463,BD!$G$3:$G$5001,"&lt;&gt;")=0,"",SUMIFS(BD!$G$3:$G$5001,BD!$A$3:$A$5001,G$3,BD!$B$3:$B$5001,$A$463)))</f>
        <v/>
      </c>
      <c r="H467" s="190" t="str">
        <f>IF(H$3="","",IF(COUNTIFS(BD!$A$3:$A$5001,H$3,BD!$B$3:$B$5001,$A$463,BD!$G$3:$G$5001,"&lt;&gt;")=0,"",SUMIFS(BD!$G$3:$G$5001,BD!$A$3:$A$5001,H$3,BD!$B$3:$B$5001,$A$463)))</f>
        <v/>
      </c>
      <c r="I467" s="190" t="str">
        <f>IF(I$3="","",IF(COUNTIFS(BD!$A$3:$A$5001,I$3,BD!$B$3:$B$5001,$A$463,BD!$G$3:$G$5001,"&lt;&gt;")=0,"",SUMIFS(BD!$G$3:$G$5001,BD!$A$3:$A$5001,I$3,BD!$B$3:$B$5001,$A$463)))</f>
        <v/>
      </c>
      <c r="J467" s="190" t="str">
        <f>IF(J$3="","",IF(COUNTIFS(BD!$A$3:$A$5001,J$3,BD!$B$3:$B$5001,$A$463,BD!$G$3:$G$5001,"&lt;&gt;")=0,"",SUMIFS(BD!$G$3:$G$5001,BD!$A$3:$A$5001,J$3,BD!$B$3:$B$5001,$A$463)))</f>
        <v/>
      </c>
      <c r="K467" s="190" t="str">
        <f>IF(K$3="","",IF(COUNTIFS(BD!$A$3:$A$5001,K$3,BD!$B$3:$B$5001,$A$463,BD!$G$3:$G$5001,"&lt;&gt;")=0,"",SUMIFS(BD!$G$3:$G$5001,BD!$A$3:$A$5001,K$3,BD!$B$3:$B$5001,$A$463)))</f>
        <v/>
      </c>
      <c r="L467" s="190" t="str">
        <f>IF(L$3="","",IF(COUNTIFS(BD!$A$3:$A$5001,L$3,BD!$B$3:$B$5001,$A$463,BD!$G$3:$G$5001,"&lt;&gt;")=0,"",SUMIFS(BD!$G$3:$G$5001,BD!$A$3:$A$5001,L$3,BD!$B$3:$B$5001,$A$463)))</f>
        <v/>
      </c>
      <c r="M467" s="190" t="str">
        <f>IF(M$3="","",IF(COUNTIFS(BD!$A$3:$A$5001,M$3,BD!$B$3:$B$5001,$A$463,BD!$G$3:$G$5001,"&lt;&gt;")=0,"",SUMIFS(BD!$G$3:$G$5001,BD!$A$3:$A$5001,M$3,BD!$B$3:$B$5001,$A$463)))</f>
        <v/>
      </c>
      <c r="N467" s="190" t="str">
        <f>IF(N$3="","",IF(COUNTIFS(BD!$A$3:$A$5001,N$3,BD!$B$3:$B$5001,$A$463,BD!$G$3:$G$5001,"&lt;&gt;")=0,"",SUMIFS(BD!$G$3:$G$5001,BD!$A$3:$A$5001,N$3,BD!$B$3:$B$5001,$A$463)))</f>
        <v/>
      </c>
      <c r="O467" s="190" t="str">
        <f>IF(O$3="","",IF(COUNTIFS(BD!$A$3:$A$5001,O$3,BD!$B$3:$B$5001,$A$463,BD!$G$3:$G$5001,"&lt;&gt;")=0,"",SUMIFS(BD!$G$3:$G$5001,BD!$A$3:$A$5001,O$3,BD!$B$3:$B$5001,$A$463)))</f>
        <v/>
      </c>
      <c r="P467" s="190" t="str">
        <f>IF(P$3="","",IF(COUNTIFS(BD!$A$3:$A$5001,P$3,BD!$B$3:$B$5001,$A$463,BD!$G$3:$G$5001,"&lt;&gt;")=0,"",SUMIFS(BD!$G$3:$G$5001,BD!$A$3:$A$5001,P$3,BD!$B$3:$B$5001,$A$463)))</f>
        <v/>
      </c>
      <c r="Q467" s="190" t="str">
        <f>IF(Q$3="","",IF(COUNTIFS(BD!$A$3:$A$5001,Q$3,BD!$B$3:$B$5001,$A$463,BD!$G$3:$G$5001,"&lt;&gt;")=0,"",SUMIFS(BD!$G$3:$G$5001,BD!$A$3:$A$5001,Q$3,BD!$B$3:$B$5001,$A$463)))</f>
        <v/>
      </c>
      <c r="R467" s="190" t="str">
        <f>IF(R$3="","",IF(COUNTIFS(BD!$A$3:$A$5001,R$3,BD!$B$3:$B$5001,$A$463,BD!$G$3:$G$5001,"&lt;&gt;")=0,"",SUMIFS(BD!$G$3:$G$5001,BD!$A$3:$A$5001,R$3,BD!$B$3:$B$5001,$A$463)))</f>
        <v/>
      </c>
      <c r="S467" s="190" t="str">
        <f>IF(S$3="","",IF(COUNTIFS(BD!$A$3:$A$5001,S$3,BD!$B$3:$B$5001,$A$463,BD!$G$3:$G$5001,"&lt;&gt;")=0,"",SUMIFS(BD!$G$3:$G$5001,BD!$A$3:$A$5001,S$3,BD!$B$3:$B$5001,$A$463)))</f>
        <v/>
      </c>
      <c r="T467" s="190" t="str">
        <f>IF(T$3="","",IF(COUNTIFS(BD!$A$3:$A$5001,T$3,BD!$B$3:$B$5001,$A$463,BD!$G$3:$G$5001,"&lt;&gt;")=0,"",SUMIFS(BD!$G$3:$G$5001,BD!$A$3:$A$5001,T$3,BD!$B$3:$B$5001,$A$463)))</f>
        <v/>
      </c>
      <c r="U467" s="190" t="str">
        <f>IF(U$3="","",IF(COUNTIFS(BD!$A$3:$A$5001,U$3,BD!$B$3:$B$5001,$A$463,BD!$G$3:$G$5001,"&lt;&gt;")=0,"",SUMIFS(BD!$G$3:$G$5001,BD!$A$3:$A$5001,U$3,BD!$B$3:$B$5001,$A$463)))</f>
        <v/>
      </c>
      <c r="V467" s="190" t="str">
        <f>IF(V$3="","",IF(COUNTIFS(BD!$A$3:$A$5001,V$3,BD!$B$3:$B$5001,$A$463,BD!$G$3:$G$5001,"&lt;&gt;")=0,"",SUMIFS(BD!$G$3:$G$5001,BD!$A$3:$A$5001,V$3,BD!$B$3:$B$5001,$A$463)))</f>
        <v/>
      </c>
      <c r="W467" s="190" t="str">
        <f>IF(W$3="","",IF(COUNTIFS(BD!$A$3:$A$5001,W$3,BD!$B$3:$B$5001,$A$463,BD!$G$3:$G$5001,"&lt;&gt;")=0,"",SUMIFS(BD!$G$3:$G$5001,BD!$A$3:$A$5001,W$3,BD!$B$3:$B$5001,$A$463)))</f>
        <v/>
      </c>
      <c r="X467" s="190" t="str">
        <f>IF(X$3="","",IF(COUNTIFS(BD!$A$3:$A$5001,X$3,BD!$B$3:$B$5001,$A$463,BD!$G$3:$G$5001,"&lt;&gt;")=0,"",SUMIFS(BD!$G$3:$G$5001,BD!$A$3:$A$5001,X$3,BD!$B$3:$B$5001,$A$463)))</f>
        <v/>
      </c>
      <c r="Y467" s="190" t="str">
        <f>IF(Y$3="","",IF(COUNTIFS(BD!$A$3:$A$5001,Y$3,BD!$B$3:$B$5001,$A$463,BD!$G$3:$G$5001,"&lt;&gt;")=0,"",SUMIFS(BD!$G$3:$G$5001,BD!$A$3:$A$5001,Y$3,BD!$B$3:$B$5001,$A$463)))</f>
        <v/>
      </c>
      <c r="Z467" s="190" t="str">
        <f>IF(Z$3="","",IF(COUNTIFS(BD!$A$3:$A$5001,Z$3,BD!$B$3:$B$5001,$A$463,BD!$G$3:$G$5001,"&lt;&gt;")=0,"",SUMIFS(BD!$G$3:$G$5001,BD!$A$3:$A$5001,Z$3,BD!$B$3:$B$5001,$A$463)))</f>
        <v/>
      </c>
      <c r="AA467" s="190" t="str">
        <f>IF(AA$3="","",IF(COUNTIFS(BD!$A$3:$A$5001,AA$3,BD!$B$3:$B$5001,$A$463,BD!$G$3:$G$5001,"&lt;&gt;")=0,"",SUMIFS(BD!$G$3:$G$5001,BD!$A$3:$A$5001,AA$3,BD!$B$3:$B$5001,$A$463)))</f>
        <v/>
      </c>
      <c r="AB467" s="190" t="str">
        <f>IF(AB$3="","",IF(COUNTIFS(BD!$A$3:$A$5001,AB$3,BD!$B$3:$B$5001,$A$463,BD!$G$3:$G$5001,"&lt;&gt;")=0,"",SUMIFS(BD!$G$3:$G$5001,BD!$A$3:$A$5001,AB$3,BD!$B$3:$B$5001,$A$463)))</f>
        <v/>
      </c>
      <c r="AC467" s="190" t="str">
        <f>IF(AC$3="","",IF(COUNTIFS(BD!$A$3:$A$5001,AC$3,BD!$B$3:$B$5001,$A$463,BD!$G$3:$G$5001,"&lt;&gt;")=0,"",SUMIFS(BD!$G$3:$G$5001,BD!$A$3:$A$5001,AC$3,BD!$B$3:$B$5001,$A$463)))</f>
        <v/>
      </c>
      <c r="AD467" s="190" t="str">
        <f>IF(AD$3="","",IF(COUNTIFS(BD!$A$3:$A$5001,AD$3,BD!$B$3:$B$5001,$A$463,BD!$G$3:$G$5001,"&lt;&gt;")=0,"",SUMIFS(BD!$G$3:$G$5001,BD!$A$3:$A$5001,AD$3,BD!$B$3:$B$5001,$A$463)))</f>
        <v/>
      </c>
      <c r="AE467" s="190" t="str">
        <f>IF(AE$3="","",IF(COUNTIFS(BD!$A$3:$A$5001,AE$3,BD!$B$3:$B$5001,$A$463,BD!$G$3:$G$5001,"&lt;&gt;")=0,"",SUMIFS(BD!$G$3:$G$5001,BD!$A$3:$A$5001,AE$3,BD!$B$3:$B$5001,$A$463)))</f>
        <v/>
      </c>
      <c r="AF467" s="190" t="str">
        <f>IF(AF$3="","",IF(COUNTIFS(BD!$A$3:$A$5001,AF$3,BD!$B$3:$B$5001,$A$463,BD!$G$3:$G$5001,"&lt;&gt;")=0,"",SUMIFS(BD!$G$3:$G$5001,BD!$A$3:$A$5001,AF$3,BD!$B$3:$B$5001,$A$463)))</f>
        <v/>
      </c>
      <c r="AG467" s="190" t="str">
        <f>IF(AG$3="","",IF(COUNTIFS(BD!$A$3:$A$5001,AG$3,BD!$B$3:$B$5001,$A$463,BD!$G$3:$G$5001,"&lt;&gt;")=0,"",SUMIFS(BD!$G$3:$G$5001,BD!$A$3:$A$5001,AG$3,BD!$B$3:$B$5001,$A$463)))</f>
        <v/>
      </c>
      <c r="AH467" s="190" t="str">
        <f>IF(AH$3="","",IF(COUNTIFS(BD!$A$3:$A$5001,AH$3,BD!$B$3:$B$5001,$A$463,BD!$G$3:$G$5001,"&lt;&gt;")=0,"",SUMIFS(BD!$G$3:$G$5001,BD!$A$3:$A$5001,AH$3,BD!$B$3:$B$5001,$A$463)))</f>
        <v/>
      </c>
      <c r="AI467" s="190" t="str">
        <f>IF(AI$3="","",IF(COUNTIFS(BD!$A$3:$A$5001,AI$3,BD!$B$3:$B$5001,$A$463,BD!$G$3:$G$5001,"&lt;&gt;")=0,"",SUMIFS(BD!$G$3:$G$5001,BD!$A$3:$A$5001,AI$3,BD!$B$3:$B$5001,$A$463)))</f>
        <v/>
      </c>
      <c r="AJ467" s="191" t="str">
        <f>IF(AJ$3="","",IF(COUNTIFS(BD!$A$3:$A$5001,AJ$3,BD!$B$3:$B$5001,$A$463,BD!$G$3:$G$5001,"&lt;&gt;")=0,"",SUMIFS(BD!$G$3:$G$5001,BD!$A$3:$A$5001,AJ$3,BD!$B$3:$B$5001,$A$463)))</f>
        <v/>
      </c>
      <c r="AK467" s="187" t="str">
        <f>IF(COUNT(F467:AJ467)=0,"",SUM(F467:AJ467))</f>
        <v/>
      </c>
    </row>
    <row r="468" ht="15.75" customHeight="1" hidden="1">
      <c r="A468" s="277"/>
      <c r="B468" s="267" t="inlineStr">
        <is>
          <t xml:space="preserve">OUT</t>
        </is>
      </c>
      <c r="C468" s="192" t="inlineStr">
        <is>
          <t xml:space="preserve">Veículos Expedidos</t>
        </is>
      </c>
      <c r="D468" s="193" t="str">
        <f>IFERROR(1/(1/INDEX(BD!$AF$28:$AZ$28,MATCH($A$463,BD!$AF$22:$AZ$22,0))),"")</f>
        <v/>
      </c>
      <c r="E468" s="194"/>
      <c r="F468" s="195" t="str">
        <f>IF(F$3="","",IF(COUNTIFS(BD!$A$3:$A$5001,F$3,BD!$B$3:$B$5001,$A$463,BD!$H$3:$H$5001,"&lt;&gt;")=0,"",SUMIFS(BD!$H$3:$H$5001,BD!$A$3:$A$5001,F$3,BD!$B$3:$B$5001,$A$463)))</f>
        <v/>
      </c>
      <c r="G468" s="196" t="str">
        <f>IF(G$3="","",IF(COUNTIFS(BD!$A$3:$A$5001,G$3,BD!$B$3:$B$5001,$A$463,BD!$H$3:$H$5001,"&lt;&gt;")=0,"",SUMIFS(BD!$H$3:$H$5001,BD!$A$3:$A$5001,G$3,BD!$B$3:$B$5001,$A$463)))</f>
        <v/>
      </c>
      <c r="H468" s="196" t="str">
        <f>IF(H$3="","",IF(COUNTIFS(BD!$A$3:$A$5001,H$3,BD!$B$3:$B$5001,$A$463,BD!$H$3:$H$5001,"&lt;&gt;")=0,"",SUMIFS(BD!$H$3:$H$5001,BD!$A$3:$A$5001,H$3,BD!$B$3:$B$5001,$A$463)))</f>
        <v/>
      </c>
      <c r="I468" s="196" t="str">
        <f>IF(I$3="","",IF(COUNTIFS(BD!$A$3:$A$5001,I$3,BD!$B$3:$B$5001,$A$463,BD!$H$3:$H$5001,"&lt;&gt;")=0,"",SUMIFS(BD!$H$3:$H$5001,BD!$A$3:$A$5001,I$3,BD!$B$3:$B$5001,$A$463)))</f>
        <v/>
      </c>
      <c r="J468" s="196" t="str">
        <f>IF(J$3="","",IF(COUNTIFS(BD!$A$3:$A$5001,J$3,BD!$B$3:$B$5001,$A$463,BD!$H$3:$H$5001,"&lt;&gt;")=0,"",SUMIFS(BD!$H$3:$H$5001,BD!$A$3:$A$5001,J$3,BD!$B$3:$B$5001,$A$463)))</f>
        <v/>
      </c>
      <c r="K468" s="196" t="str">
        <f>IF(K$3="","",IF(COUNTIFS(BD!$A$3:$A$5001,K$3,BD!$B$3:$B$5001,$A$463,BD!$H$3:$H$5001,"&lt;&gt;")=0,"",SUMIFS(BD!$H$3:$H$5001,BD!$A$3:$A$5001,K$3,BD!$B$3:$B$5001,$A$463)))</f>
        <v/>
      </c>
      <c r="L468" s="196" t="str">
        <f>IF(L$3="","",IF(COUNTIFS(BD!$A$3:$A$5001,L$3,BD!$B$3:$B$5001,$A$463,BD!$H$3:$H$5001,"&lt;&gt;")=0,"",SUMIFS(BD!$H$3:$H$5001,BD!$A$3:$A$5001,L$3,BD!$B$3:$B$5001,$A$463)))</f>
        <v/>
      </c>
      <c r="M468" s="196" t="str">
        <f>IF(M$3="","",IF(COUNTIFS(BD!$A$3:$A$5001,M$3,BD!$B$3:$B$5001,$A$463,BD!$H$3:$H$5001,"&lt;&gt;")=0,"",SUMIFS(BD!$H$3:$H$5001,BD!$A$3:$A$5001,M$3,BD!$B$3:$B$5001,$A$463)))</f>
        <v/>
      </c>
      <c r="N468" s="196" t="str">
        <f>IF(N$3="","",IF(COUNTIFS(BD!$A$3:$A$5001,N$3,BD!$B$3:$B$5001,$A$463,BD!$H$3:$H$5001,"&lt;&gt;")=0,"",SUMIFS(BD!$H$3:$H$5001,BD!$A$3:$A$5001,N$3,BD!$B$3:$B$5001,$A$463)))</f>
        <v/>
      </c>
      <c r="O468" s="196" t="str">
        <f>IF(O$3="","",IF(COUNTIFS(BD!$A$3:$A$5001,O$3,BD!$B$3:$B$5001,$A$463,BD!$H$3:$H$5001,"&lt;&gt;")=0,"",SUMIFS(BD!$H$3:$H$5001,BD!$A$3:$A$5001,O$3,BD!$B$3:$B$5001,$A$463)))</f>
        <v/>
      </c>
      <c r="P468" s="196" t="str">
        <f>IF(P$3="","",IF(COUNTIFS(BD!$A$3:$A$5001,P$3,BD!$B$3:$B$5001,$A$463,BD!$H$3:$H$5001,"&lt;&gt;")=0,"",SUMIFS(BD!$H$3:$H$5001,BD!$A$3:$A$5001,P$3,BD!$B$3:$B$5001,$A$463)))</f>
        <v/>
      </c>
      <c r="Q468" s="196" t="str">
        <f>IF(Q$3="","",IF(COUNTIFS(BD!$A$3:$A$5001,Q$3,BD!$B$3:$B$5001,$A$463,BD!$H$3:$H$5001,"&lt;&gt;")=0,"",SUMIFS(BD!$H$3:$H$5001,BD!$A$3:$A$5001,Q$3,BD!$B$3:$B$5001,$A$463)))</f>
        <v/>
      </c>
      <c r="R468" s="196" t="str">
        <f>IF(R$3="","",IF(COUNTIFS(BD!$A$3:$A$5001,R$3,BD!$B$3:$B$5001,$A$463,BD!$H$3:$H$5001,"&lt;&gt;")=0,"",SUMIFS(BD!$H$3:$H$5001,BD!$A$3:$A$5001,R$3,BD!$B$3:$B$5001,$A$463)))</f>
        <v/>
      </c>
      <c r="S468" s="196" t="str">
        <f>IF(S$3="","",IF(COUNTIFS(BD!$A$3:$A$5001,S$3,BD!$B$3:$B$5001,$A$463,BD!$H$3:$H$5001,"&lt;&gt;")=0,"",SUMIFS(BD!$H$3:$H$5001,BD!$A$3:$A$5001,S$3,BD!$B$3:$B$5001,$A$463)))</f>
        <v/>
      </c>
      <c r="T468" s="196" t="str">
        <f>IF(T$3="","",IF(COUNTIFS(BD!$A$3:$A$5001,T$3,BD!$B$3:$B$5001,$A$463,BD!$H$3:$H$5001,"&lt;&gt;")=0,"",SUMIFS(BD!$H$3:$H$5001,BD!$A$3:$A$5001,T$3,BD!$B$3:$B$5001,$A$463)))</f>
        <v/>
      </c>
      <c r="U468" s="196" t="str">
        <f>IF(U$3="","",IF(COUNTIFS(BD!$A$3:$A$5001,U$3,BD!$B$3:$B$5001,$A$463,BD!$H$3:$H$5001,"&lt;&gt;")=0,"",SUMIFS(BD!$H$3:$H$5001,BD!$A$3:$A$5001,U$3,BD!$B$3:$B$5001,$A$463)))</f>
        <v/>
      </c>
      <c r="V468" s="196" t="str">
        <f>IF(V$3="","",IF(COUNTIFS(BD!$A$3:$A$5001,V$3,BD!$B$3:$B$5001,$A$463,BD!$H$3:$H$5001,"&lt;&gt;")=0,"",SUMIFS(BD!$H$3:$H$5001,BD!$A$3:$A$5001,V$3,BD!$B$3:$B$5001,$A$463)))</f>
        <v/>
      </c>
      <c r="W468" s="196" t="str">
        <f>IF(W$3="","",IF(COUNTIFS(BD!$A$3:$A$5001,W$3,BD!$B$3:$B$5001,$A$463,BD!$H$3:$H$5001,"&lt;&gt;")=0,"",SUMIFS(BD!$H$3:$H$5001,BD!$A$3:$A$5001,W$3,BD!$B$3:$B$5001,$A$463)))</f>
        <v/>
      </c>
      <c r="X468" s="196" t="str">
        <f>IF(X$3="","",IF(COUNTIFS(BD!$A$3:$A$5001,X$3,BD!$B$3:$B$5001,$A$463,BD!$H$3:$H$5001,"&lt;&gt;")=0,"",SUMIFS(BD!$H$3:$H$5001,BD!$A$3:$A$5001,X$3,BD!$B$3:$B$5001,$A$463)))</f>
        <v/>
      </c>
      <c r="Y468" s="196" t="str">
        <f>IF(Y$3="","",IF(COUNTIFS(BD!$A$3:$A$5001,Y$3,BD!$B$3:$B$5001,$A$463,BD!$H$3:$H$5001,"&lt;&gt;")=0,"",SUMIFS(BD!$H$3:$H$5001,BD!$A$3:$A$5001,Y$3,BD!$B$3:$B$5001,$A$463)))</f>
        <v/>
      </c>
      <c r="Z468" s="196" t="str">
        <f>IF(Z$3="","",IF(COUNTIFS(BD!$A$3:$A$5001,Z$3,BD!$B$3:$B$5001,$A$463,BD!$H$3:$H$5001,"&lt;&gt;")=0,"",SUMIFS(BD!$H$3:$H$5001,BD!$A$3:$A$5001,Z$3,BD!$B$3:$B$5001,$A$463)))</f>
        <v/>
      </c>
      <c r="AA468" s="196" t="str">
        <f>IF(AA$3="","",IF(COUNTIFS(BD!$A$3:$A$5001,AA$3,BD!$B$3:$B$5001,$A$463,BD!$H$3:$H$5001,"&lt;&gt;")=0,"",SUMIFS(BD!$H$3:$H$5001,BD!$A$3:$A$5001,AA$3,BD!$B$3:$B$5001,$A$463)))</f>
        <v/>
      </c>
      <c r="AB468" s="196" t="str">
        <f>IF(AB$3="","",IF(COUNTIFS(BD!$A$3:$A$5001,AB$3,BD!$B$3:$B$5001,$A$463,BD!$H$3:$H$5001,"&lt;&gt;")=0,"",SUMIFS(BD!$H$3:$H$5001,BD!$A$3:$A$5001,AB$3,BD!$B$3:$B$5001,$A$463)))</f>
        <v/>
      </c>
      <c r="AC468" s="196" t="str">
        <f>IF(AC$3="","",IF(COUNTIFS(BD!$A$3:$A$5001,AC$3,BD!$B$3:$B$5001,$A$463,BD!$H$3:$H$5001,"&lt;&gt;")=0,"",SUMIFS(BD!$H$3:$H$5001,BD!$A$3:$A$5001,AC$3,BD!$B$3:$B$5001,$A$463)))</f>
        <v/>
      </c>
      <c r="AD468" s="196" t="str">
        <f>IF(AD$3="","",IF(COUNTIFS(BD!$A$3:$A$5001,AD$3,BD!$B$3:$B$5001,$A$463,BD!$H$3:$H$5001,"&lt;&gt;")=0,"",SUMIFS(BD!$H$3:$H$5001,BD!$A$3:$A$5001,AD$3,BD!$B$3:$B$5001,$A$463)))</f>
        <v/>
      </c>
      <c r="AE468" s="196" t="str">
        <f>IF(AE$3="","",IF(COUNTIFS(BD!$A$3:$A$5001,AE$3,BD!$B$3:$B$5001,$A$463,BD!$H$3:$H$5001,"&lt;&gt;")=0,"",SUMIFS(BD!$H$3:$H$5001,BD!$A$3:$A$5001,AE$3,BD!$B$3:$B$5001,$A$463)))</f>
        <v/>
      </c>
      <c r="AF468" s="196" t="str">
        <f>IF(AF$3="","",IF(COUNTIFS(BD!$A$3:$A$5001,AF$3,BD!$B$3:$B$5001,$A$463,BD!$H$3:$H$5001,"&lt;&gt;")=0,"",SUMIFS(BD!$H$3:$H$5001,BD!$A$3:$A$5001,AF$3,BD!$B$3:$B$5001,$A$463)))</f>
        <v/>
      </c>
      <c r="AG468" s="196" t="str">
        <f>IF(AG$3="","",IF(COUNTIFS(BD!$A$3:$A$5001,AG$3,BD!$B$3:$B$5001,$A$463,BD!$H$3:$H$5001,"&lt;&gt;")=0,"",SUMIFS(BD!$H$3:$H$5001,BD!$A$3:$A$5001,AG$3,BD!$B$3:$B$5001,$A$463)))</f>
        <v/>
      </c>
      <c r="AH468" s="196" t="str">
        <f>IF(AH$3="","",IF(COUNTIFS(BD!$A$3:$A$5001,AH$3,BD!$B$3:$B$5001,$A$463,BD!$H$3:$H$5001,"&lt;&gt;")=0,"",SUMIFS(BD!$H$3:$H$5001,BD!$A$3:$A$5001,AH$3,BD!$B$3:$B$5001,$A$463)))</f>
        <v/>
      </c>
      <c r="AI468" s="196" t="str">
        <f>IF(AI$3="","",IF(COUNTIFS(BD!$A$3:$A$5001,AI$3,BD!$B$3:$B$5001,$A$463,BD!$H$3:$H$5001,"&lt;&gt;")=0,"",SUMIFS(BD!$H$3:$H$5001,BD!$A$3:$A$5001,AI$3,BD!$B$3:$B$5001,$A$463)))</f>
        <v/>
      </c>
      <c r="AJ468" s="197" t="str">
        <f>IF(AJ$3="","",IF(COUNTIFS(BD!$A$3:$A$5001,AJ$3,BD!$B$3:$B$5001,$A$463,BD!$H$3:$H$5001,"&lt;&gt;")=0,"",SUMIFS(BD!$H$3:$H$5001,BD!$A$3:$A$5001,AJ$3,BD!$B$3:$B$5001,$A$463)))</f>
        <v/>
      </c>
      <c r="AK468" s="198" t="str">
        <f>IF(COUNT(F468:AJ468)=0,"",SUM(F468:AJ468))</f>
        <v/>
      </c>
    </row>
    <row r="469" ht="15.75" customHeight="1" hidden="1">
      <c r="A469" s="277"/>
      <c r="B469" s="268"/>
      <c r="C469" s="199" t="inlineStr">
        <is>
          <t xml:space="preserve">Pallets Movimentados</t>
        </is>
      </c>
      <c r="D469" s="200" t="str">
        <f>IFERROR(1/(1/INDEX(BD!$AF$29:$AZ$29,MATCH($A$463,BD!$AF$22:$AZ$22,0))),"")</f>
        <v/>
      </c>
      <c r="E469" s="201"/>
      <c r="F469" s="202" t="str">
        <f>IF(F$3="","",IF(COUNTIFS(BD!$A$3:$A$5001,F$3,BD!$B$3:$B$5001,$A$463,BD!$I$3:$I$5001,"&lt;&gt;")=0,"",SUMIFS(BD!$I$3:$I$5001,BD!$A$3:$A$5001,F$3,BD!$B$3:$B$5001,$A$463)))</f>
        <v/>
      </c>
      <c r="G469" s="203" t="str">
        <f>IF(G$3="","",IF(COUNTIFS(BD!$A$3:$A$5001,G$3,BD!$B$3:$B$5001,$A$463,BD!$I$3:$I$5001,"&lt;&gt;")=0,"",SUMIFS(BD!$I$3:$I$5001,BD!$A$3:$A$5001,G$3,BD!$B$3:$B$5001,$A$463)))</f>
        <v/>
      </c>
      <c r="H469" s="203" t="str">
        <f>IF(H$3="","",IF(COUNTIFS(BD!$A$3:$A$5001,H$3,BD!$B$3:$B$5001,$A$463,BD!$I$3:$I$5001,"&lt;&gt;")=0,"",SUMIFS(BD!$I$3:$I$5001,BD!$A$3:$A$5001,H$3,BD!$B$3:$B$5001,$A$463)))</f>
        <v/>
      </c>
      <c r="I469" s="203" t="str">
        <f>IF(I$3="","",IF(COUNTIFS(BD!$A$3:$A$5001,I$3,BD!$B$3:$B$5001,$A$463,BD!$I$3:$I$5001,"&lt;&gt;")=0,"",SUMIFS(BD!$I$3:$I$5001,BD!$A$3:$A$5001,I$3,BD!$B$3:$B$5001,$A$463)))</f>
        <v/>
      </c>
      <c r="J469" s="203" t="str">
        <f>IF(J$3="","",IF(COUNTIFS(BD!$A$3:$A$5001,J$3,BD!$B$3:$B$5001,$A$463,BD!$I$3:$I$5001,"&lt;&gt;")=0,"",SUMIFS(BD!$I$3:$I$5001,BD!$A$3:$A$5001,J$3,BD!$B$3:$B$5001,$A$463)))</f>
        <v/>
      </c>
      <c r="K469" s="203" t="str">
        <f>IF(K$3="","",IF(COUNTIFS(BD!$A$3:$A$5001,K$3,BD!$B$3:$B$5001,$A$463,BD!$I$3:$I$5001,"&lt;&gt;")=0,"",SUMIFS(BD!$I$3:$I$5001,BD!$A$3:$A$5001,K$3,BD!$B$3:$B$5001,$A$463)))</f>
        <v/>
      </c>
      <c r="L469" s="203" t="str">
        <f>IF(L$3="","",IF(COUNTIFS(BD!$A$3:$A$5001,L$3,BD!$B$3:$B$5001,$A$463,BD!$I$3:$I$5001,"&lt;&gt;")=0,"",SUMIFS(BD!$I$3:$I$5001,BD!$A$3:$A$5001,L$3,BD!$B$3:$B$5001,$A$463)))</f>
        <v/>
      </c>
      <c r="M469" s="203" t="str">
        <f>IF(M$3="","",IF(COUNTIFS(BD!$A$3:$A$5001,M$3,BD!$B$3:$B$5001,$A$463,BD!$I$3:$I$5001,"&lt;&gt;")=0,"",SUMIFS(BD!$I$3:$I$5001,BD!$A$3:$A$5001,M$3,BD!$B$3:$B$5001,$A$463)))</f>
        <v/>
      </c>
      <c r="N469" s="203" t="str">
        <f>IF(N$3="","",IF(COUNTIFS(BD!$A$3:$A$5001,N$3,BD!$B$3:$B$5001,$A$463,BD!$I$3:$I$5001,"&lt;&gt;")=0,"",SUMIFS(BD!$I$3:$I$5001,BD!$A$3:$A$5001,N$3,BD!$B$3:$B$5001,$A$463)))</f>
        <v/>
      </c>
      <c r="O469" s="203" t="str">
        <f>IF(O$3="","",IF(COUNTIFS(BD!$A$3:$A$5001,O$3,BD!$B$3:$B$5001,$A$463,BD!$I$3:$I$5001,"&lt;&gt;")=0,"",SUMIFS(BD!$I$3:$I$5001,BD!$A$3:$A$5001,O$3,BD!$B$3:$B$5001,$A$463)))</f>
        <v/>
      </c>
      <c r="P469" s="203" t="str">
        <f>IF(P$3="","",IF(COUNTIFS(BD!$A$3:$A$5001,P$3,BD!$B$3:$B$5001,$A$463,BD!$I$3:$I$5001,"&lt;&gt;")=0,"",SUMIFS(BD!$I$3:$I$5001,BD!$A$3:$A$5001,P$3,BD!$B$3:$B$5001,$A$463)))</f>
        <v/>
      </c>
      <c r="Q469" s="203" t="str">
        <f>IF(Q$3="","",IF(COUNTIFS(BD!$A$3:$A$5001,Q$3,BD!$B$3:$B$5001,$A$463,BD!$I$3:$I$5001,"&lt;&gt;")=0,"",SUMIFS(BD!$I$3:$I$5001,BD!$A$3:$A$5001,Q$3,BD!$B$3:$B$5001,$A$463)))</f>
        <v/>
      </c>
      <c r="R469" s="203" t="str">
        <f>IF(R$3="","",IF(COUNTIFS(BD!$A$3:$A$5001,R$3,BD!$B$3:$B$5001,$A$463,BD!$I$3:$I$5001,"&lt;&gt;")=0,"",SUMIFS(BD!$I$3:$I$5001,BD!$A$3:$A$5001,R$3,BD!$B$3:$B$5001,$A$463)))</f>
        <v/>
      </c>
      <c r="S469" s="203" t="str">
        <f>IF(S$3="","",IF(COUNTIFS(BD!$A$3:$A$5001,S$3,BD!$B$3:$B$5001,$A$463,BD!$I$3:$I$5001,"&lt;&gt;")=0,"",SUMIFS(BD!$I$3:$I$5001,BD!$A$3:$A$5001,S$3,BD!$B$3:$B$5001,$A$463)))</f>
        <v/>
      </c>
      <c r="T469" s="203" t="str">
        <f>IF(T$3="","",IF(COUNTIFS(BD!$A$3:$A$5001,T$3,BD!$B$3:$B$5001,$A$463,BD!$I$3:$I$5001,"&lt;&gt;")=0,"",SUMIFS(BD!$I$3:$I$5001,BD!$A$3:$A$5001,T$3,BD!$B$3:$B$5001,$A$463)))</f>
        <v/>
      </c>
      <c r="U469" s="203" t="str">
        <f>IF(U$3="","",IF(COUNTIFS(BD!$A$3:$A$5001,U$3,BD!$B$3:$B$5001,$A$463,BD!$I$3:$I$5001,"&lt;&gt;")=0,"",SUMIFS(BD!$I$3:$I$5001,BD!$A$3:$A$5001,U$3,BD!$B$3:$B$5001,$A$463)))</f>
        <v/>
      </c>
      <c r="V469" s="203" t="str">
        <f>IF(V$3="","",IF(COUNTIFS(BD!$A$3:$A$5001,V$3,BD!$B$3:$B$5001,$A$463,BD!$I$3:$I$5001,"&lt;&gt;")=0,"",SUMIFS(BD!$I$3:$I$5001,BD!$A$3:$A$5001,V$3,BD!$B$3:$B$5001,$A$463)))</f>
        <v/>
      </c>
      <c r="W469" s="203" t="str">
        <f>IF(W$3="","",IF(COUNTIFS(BD!$A$3:$A$5001,W$3,BD!$B$3:$B$5001,$A$463,BD!$I$3:$I$5001,"&lt;&gt;")=0,"",SUMIFS(BD!$I$3:$I$5001,BD!$A$3:$A$5001,W$3,BD!$B$3:$B$5001,$A$463)))</f>
        <v/>
      </c>
      <c r="X469" s="203" t="str">
        <f>IF(X$3="","",IF(COUNTIFS(BD!$A$3:$A$5001,X$3,BD!$B$3:$B$5001,$A$463,BD!$I$3:$I$5001,"&lt;&gt;")=0,"",SUMIFS(BD!$I$3:$I$5001,BD!$A$3:$A$5001,X$3,BD!$B$3:$B$5001,$A$463)))</f>
        <v/>
      </c>
      <c r="Y469" s="203" t="str">
        <f>IF(Y$3="","",IF(COUNTIFS(BD!$A$3:$A$5001,Y$3,BD!$B$3:$B$5001,$A$463,BD!$I$3:$I$5001,"&lt;&gt;")=0,"",SUMIFS(BD!$I$3:$I$5001,BD!$A$3:$A$5001,Y$3,BD!$B$3:$B$5001,$A$463)))</f>
        <v/>
      </c>
      <c r="Z469" s="203" t="str">
        <f>IF(Z$3="","",IF(COUNTIFS(BD!$A$3:$A$5001,Z$3,BD!$B$3:$B$5001,$A$463,BD!$I$3:$I$5001,"&lt;&gt;")=0,"",SUMIFS(BD!$I$3:$I$5001,BD!$A$3:$A$5001,Z$3,BD!$B$3:$B$5001,$A$463)))</f>
        <v/>
      </c>
      <c r="AA469" s="203" t="str">
        <f>IF(AA$3="","",IF(COUNTIFS(BD!$A$3:$A$5001,AA$3,BD!$B$3:$B$5001,$A$463,BD!$I$3:$I$5001,"&lt;&gt;")=0,"",SUMIFS(BD!$I$3:$I$5001,BD!$A$3:$A$5001,AA$3,BD!$B$3:$B$5001,$A$463)))</f>
        <v/>
      </c>
      <c r="AB469" s="203" t="str">
        <f>IF(AB$3="","",IF(COUNTIFS(BD!$A$3:$A$5001,AB$3,BD!$B$3:$B$5001,$A$463,BD!$I$3:$I$5001,"&lt;&gt;")=0,"",SUMIFS(BD!$I$3:$I$5001,BD!$A$3:$A$5001,AB$3,BD!$B$3:$B$5001,$A$463)))</f>
        <v/>
      </c>
      <c r="AC469" s="203" t="str">
        <f>IF(AC$3="","",IF(COUNTIFS(BD!$A$3:$A$5001,AC$3,BD!$B$3:$B$5001,$A$463,BD!$I$3:$I$5001,"&lt;&gt;")=0,"",SUMIFS(BD!$I$3:$I$5001,BD!$A$3:$A$5001,AC$3,BD!$B$3:$B$5001,$A$463)))</f>
        <v/>
      </c>
      <c r="AD469" s="203" t="str">
        <f>IF(AD$3="","",IF(COUNTIFS(BD!$A$3:$A$5001,AD$3,BD!$B$3:$B$5001,$A$463,BD!$I$3:$I$5001,"&lt;&gt;")=0,"",SUMIFS(BD!$I$3:$I$5001,BD!$A$3:$A$5001,AD$3,BD!$B$3:$B$5001,$A$463)))</f>
        <v/>
      </c>
      <c r="AE469" s="203" t="str">
        <f>IF(AE$3="","",IF(COUNTIFS(BD!$A$3:$A$5001,AE$3,BD!$B$3:$B$5001,$A$463,BD!$I$3:$I$5001,"&lt;&gt;")=0,"",SUMIFS(BD!$I$3:$I$5001,BD!$A$3:$A$5001,AE$3,BD!$B$3:$B$5001,$A$463)))</f>
        <v/>
      </c>
      <c r="AF469" s="203" t="str">
        <f>IF(AF$3="","",IF(COUNTIFS(BD!$A$3:$A$5001,AF$3,BD!$B$3:$B$5001,$A$463,BD!$I$3:$I$5001,"&lt;&gt;")=0,"",SUMIFS(BD!$I$3:$I$5001,BD!$A$3:$A$5001,AF$3,BD!$B$3:$B$5001,$A$463)))</f>
        <v/>
      </c>
      <c r="AG469" s="203" t="str">
        <f>IF(AG$3="","",IF(COUNTIFS(BD!$A$3:$A$5001,AG$3,BD!$B$3:$B$5001,$A$463,BD!$I$3:$I$5001,"&lt;&gt;")=0,"",SUMIFS(BD!$I$3:$I$5001,BD!$A$3:$A$5001,AG$3,BD!$B$3:$B$5001,$A$463)))</f>
        <v/>
      </c>
      <c r="AH469" s="203" t="str">
        <f>IF(AH$3="","",IF(COUNTIFS(BD!$A$3:$A$5001,AH$3,BD!$B$3:$B$5001,$A$463,BD!$I$3:$I$5001,"&lt;&gt;")=0,"",SUMIFS(BD!$I$3:$I$5001,BD!$A$3:$A$5001,AH$3,BD!$B$3:$B$5001,$A$463)))</f>
        <v/>
      </c>
      <c r="AI469" s="203" t="str">
        <f>IF(AI$3="","",IF(COUNTIFS(BD!$A$3:$A$5001,AI$3,BD!$B$3:$B$5001,$A$463,BD!$I$3:$I$5001,"&lt;&gt;")=0,"",SUMIFS(BD!$I$3:$I$5001,BD!$A$3:$A$5001,AI$3,BD!$B$3:$B$5001,$A$463)))</f>
        <v/>
      </c>
      <c r="AJ469" s="204" t="str">
        <f>IF(AJ$3="","",IF(COUNTIFS(BD!$A$3:$A$5001,AJ$3,BD!$B$3:$B$5001,$A$463,BD!$I$3:$I$5001,"&lt;&gt;")=0,"",SUMIFS(BD!$I$3:$I$5001,BD!$A$3:$A$5001,AJ$3,BD!$B$3:$B$5001,$A$463)))</f>
        <v/>
      </c>
      <c r="AK469" s="205" t="str">
        <f>IF(COUNT(F469:AJ469)=0,"",SUM(F469:AJ469))</f>
        <v/>
      </c>
    </row>
    <row r="470" ht="15.75" customHeight="1" hidden="1">
      <c r="A470" s="277"/>
      <c r="B470" s="268"/>
      <c r="C470" s="199" t="inlineStr">
        <is>
          <t xml:space="preserve">Toneladas Movimentadas</t>
        </is>
      </c>
      <c r="D470" s="200" t="str">
        <f>IFERROR(1/(1/INDEX(BD!$AF$30:$AZ$30,MATCH($A$463,BD!$AF$22:$AZ$22,0))),"")</f>
        <v/>
      </c>
      <c r="E470" s="201"/>
      <c r="F470" s="206" t="str">
        <f>IF(F$3="","",IF(COUNTIFS(BD!$A$3:$A$5001,F$3,BD!$B$3:$B$5001,$A$463,BD!$J$3:$J$5001,"&lt;&gt;")=0,"",SUMIFS(BD!$J$3:$J$5001,BD!$A$3:$A$5001,F$3,BD!$B$3:$B$5001,$A$463)))</f>
        <v/>
      </c>
      <c r="G470" s="207" t="str">
        <f>IF(G$3="","",IF(COUNTIFS(BD!$A$3:$A$5001,G$3,BD!$B$3:$B$5001,$A$463,BD!$J$3:$J$5001,"&lt;&gt;")=0,"",SUMIFS(BD!$J$3:$J$5001,BD!$A$3:$A$5001,G$3,BD!$B$3:$B$5001,$A$463)))</f>
        <v/>
      </c>
      <c r="H470" s="207" t="str">
        <f>IF(H$3="","",IF(COUNTIFS(BD!$A$3:$A$5001,H$3,BD!$B$3:$B$5001,$A$463,BD!$J$3:$J$5001,"&lt;&gt;")=0,"",SUMIFS(BD!$J$3:$J$5001,BD!$A$3:$A$5001,H$3,BD!$B$3:$B$5001,$A$463)))</f>
        <v/>
      </c>
      <c r="I470" s="207" t="str">
        <f>IF(I$3="","",IF(COUNTIFS(BD!$A$3:$A$5001,I$3,BD!$B$3:$B$5001,$A$463,BD!$J$3:$J$5001,"&lt;&gt;")=0,"",SUMIFS(BD!$J$3:$J$5001,BD!$A$3:$A$5001,I$3,BD!$B$3:$B$5001,$A$463)))</f>
        <v/>
      </c>
      <c r="J470" s="207" t="str">
        <f>IF(J$3="","",IF(COUNTIFS(BD!$A$3:$A$5001,J$3,BD!$B$3:$B$5001,$A$463,BD!$J$3:$J$5001,"&lt;&gt;")=0,"",SUMIFS(BD!$J$3:$J$5001,BD!$A$3:$A$5001,J$3,BD!$B$3:$B$5001,$A$463)))</f>
        <v/>
      </c>
      <c r="K470" s="207" t="str">
        <f>IF(K$3="","",IF(COUNTIFS(BD!$A$3:$A$5001,K$3,BD!$B$3:$B$5001,$A$463,BD!$J$3:$J$5001,"&lt;&gt;")=0,"",SUMIFS(BD!$J$3:$J$5001,BD!$A$3:$A$5001,K$3,BD!$B$3:$B$5001,$A$463)))</f>
        <v/>
      </c>
      <c r="L470" s="207" t="str">
        <f>IF(L$3="","",IF(COUNTIFS(BD!$A$3:$A$5001,L$3,BD!$B$3:$B$5001,$A$463,BD!$J$3:$J$5001,"&lt;&gt;")=0,"",SUMIFS(BD!$J$3:$J$5001,BD!$A$3:$A$5001,L$3,BD!$B$3:$B$5001,$A$463)))</f>
        <v/>
      </c>
      <c r="M470" s="207" t="str">
        <f>IF(M$3="","",IF(COUNTIFS(BD!$A$3:$A$5001,M$3,BD!$B$3:$B$5001,$A$463,BD!$J$3:$J$5001,"&lt;&gt;")=0,"",SUMIFS(BD!$J$3:$J$5001,BD!$A$3:$A$5001,M$3,BD!$B$3:$B$5001,$A$463)))</f>
        <v/>
      </c>
      <c r="N470" s="207" t="str">
        <f>IF(N$3="","",IF(COUNTIFS(BD!$A$3:$A$5001,N$3,BD!$B$3:$B$5001,$A$463,BD!$J$3:$J$5001,"&lt;&gt;")=0,"",SUMIFS(BD!$J$3:$J$5001,BD!$A$3:$A$5001,N$3,BD!$B$3:$B$5001,$A$463)))</f>
        <v/>
      </c>
      <c r="O470" s="207" t="str">
        <f>IF(O$3="","",IF(COUNTIFS(BD!$A$3:$A$5001,O$3,BD!$B$3:$B$5001,$A$463,BD!$J$3:$J$5001,"&lt;&gt;")=0,"",SUMIFS(BD!$J$3:$J$5001,BD!$A$3:$A$5001,O$3,BD!$B$3:$B$5001,$A$463)))</f>
        <v/>
      </c>
      <c r="P470" s="207" t="str">
        <f>IF(P$3="","",IF(COUNTIFS(BD!$A$3:$A$5001,P$3,BD!$B$3:$B$5001,$A$463,BD!$J$3:$J$5001,"&lt;&gt;")=0,"",SUMIFS(BD!$J$3:$J$5001,BD!$A$3:$A$5001,P$3,BD!$B$3:$B$5001,$A$463)))</f>
        <v/>
      </c>
      <c r="Q470" s="207" t="str">
        <f>IF(Q$3="","",IF(COUNTIFS(BD!$A$3:$A$5001,Q$3,BD!$B$3:$B$5001,$A$463,BD!$J$3:$J$5001,"&lt;&gt;")=0,"",SUMIFS(BD!$J$3:$J$5001,BD!$A$3:$A$5001,Q$3,BD!$B$3:$B$5001,$A$463)))</f>
        <v/>
      </c>
      <c r="R470" s="207" t="str">
        <f>IF(R$3="","",IF(COUNTIFS(BD!$A$3:$A$5001,R$3,BD!$B$3:$B$5001,$A$463,BD!$J$3:$J$5001,"&lt;&gt;")=0,"",SUMIFS(BD!$J$3:$J$5001,BD!$A$3:$A$5001,R$3,BD!$B$3:$B$5001,$A$463)))</f>
        <v/>
      </c>
      <c r="S470" s="207" t="str">
        <f>IF(S$3="","",IF(COUNTIFS(BD!$A$3:$A$5001,S$3,BD!$B$3:$B$5001,$A$463,BD!$J$3:$J$5001,"&lt;&gt;")=0,"",SUMIFS(BD!$J$3:$J$5001,BD!$A$3:$A$5001,S$3,BD!$B$3:$B$5001,$A$463)))</f>
        <v/>
      </c>
      <c r="T470" s="207" t="str">
        <f>IF(T$3="","",IF(COUNTIFS(BD!$A$3:$A$5001,T$3,BD!$B$3:$B$5001,$A$463,BD!$J$3:$J$5001,"&lt;&gt;")=0,"",SUMIFS(BD!$J$3:$J$5001,BD!$A$3:$A$5001,T$3,BD!$B$3:$B$5001,$A$463)))</f>
        <v/>
      </c>
      <c r="U470" s="207" t="str">
        <f>IF(U$3="","",IF(COUNTIFS(BD!$A$3:$A$5001,U$3,BD!$B$3:$B$5001,$A$463,BD!$J$3:$J$5001,"&lt;&gt;")=0,"",SUMIFS(BD!$J$3:$J$5001,BD!$A$3:$A$5001,U$3,BD!$B$3:$B$5001,$A$463)))</f>
        <v/>
      </c>
      <c r="V470" s="207" t="str">
        <f>IF(V$3="","",IF(COUNTIFS(BD!$A$3:$A$5001,V$3,BD!$B$3:$B$5001,$A$463,BD!$J$3:$J$5001,"&lt;&gt;")=0,"",SUMIFS(BD!$J$3:$J$5001,BD!$A$3:$A$5001,V$3,BD!$B$3:$B$5001,$A$463)))</f>
        <v/>
      </c>
      <c r="W470" s="207" t="str">
        <f>IF(W$3="","",IF(COUNTIFS(BD!$A$3:$A$5001,W$3,BD!$B$3:$B$5001,$A$463,BD!$J$3:$J$5001,"&lt;&gt;")=0,"",SUMIFS(BD!$J$3:$J$5001,BD!$A$3:$A$5001,W$3,BD!$B$3:$B$5001,$A$463)))</f>
        <v/>
      </c>
      <c r="X470" s="207" t="str">
        <f>IF(X$3="","",IF(COUNTIFS(BD!$A$3:$A$5001,X$3,BD!$B$3:$B$5001,$A$463,BD!$J$3:$J$5001,"&lt;&gt;")=0,"",SUMIFS(BD!$J$3:$J$5001,BD!$A$3:$A$5001,X$3,BD!$B$3:$B$5001,$A$463)))</f>
        <v/>
      </c>
      <c r="Y470" s="207" t="str">
        <f>IF(Y$3="","",IF(COUNTIFS(BD!$A$3:$A$5001,Y$3,BD!$B$3:$B$5001,$A$463,BD!$J$3:$J$5001,"&lt;&gt;")=0,"",SUMIFS(BD!$J$3:$J$5001,BD!$A$3:$A$5001,Y$3,BD!$B$3:$B$5001,$A$463)))</f>
        <v/>
      </c>
      <c r="Z470" s="207" t="str">
        <f>IF(Z$3="","",IF(COUNTIFS(BD!$A$3:$A$5001,Z$3,BD!$B$3:$B$5001,$A$463,BD!$J$3:$J$5001,"&lt;&gt;")=0,"",SUMIFS(BD!$J$3:$J$5001,BD!$A$3:$A$5001,Z$3,BD!$B$3:$B$5001,$A$463)))</f>
        <v/>
      </c>
      <c r="AA470" s="207" t="str">
        <f>IF(AA$3="","",IF(COUNTIFS(BD!$A$3:$A$5001,AA$3,BD!$B$3:$B$5001,$A$463,BD!$J$3:$J$5001,"&lt;&gt;")=0,"",SUMIFS(BD!$J$3:$J$5001,BD!$A$3:$A$5001,AA$3,BD!$B$3:$B$5001,$A$463)))</f>
        <v/>
      </c>
      <c r="AB470" s="207" t="str">
        <f>IF(AB$3="","",IF(COUNTIFS(BD!$A$3:$A$5001,AB$3,BD!$B$3:$B$5001,$A$463,BD!$J$3:$J$5001,"&lt;&gt;")=0,"",SUMIFS(BD!$J$3:$J$5001,BD!$A$3:$A$5001,AB$3,BD!$B$3:$B$5001,$A$463)))</f>
        <v/>
      </c>
      <c r="AC470" s="207" t="str">
        <f>IF(AC$3="","",IF(COUNTIFS(BD!$A$3:$A$5001,AC$3,BD!$B$3:$B$5001,$A$463,BD!$J$3:$J$5001,"&lt;&gt;")=0,"",SUMIFS(BD!$J$3:$J$5001,BD!$A$3:$A$5001,AC$3,BD!$B$3:$B$5001,$A$463)))</f>
        <v/>
      </c>
      <c r="AD470" s="207" t="str">
        <f>IF(AD$3="","",IF(COUNTIFS(BD!$A$3:$A$5001,AD$3,BD!$B$3:$B$5001,$A$463,BD!$J$3:$J$5001,"&lt;&gt;")=0,"",SUMIFS(BD!$J$3:$J$5001,BD!$A$3:$A$5001,AD$3,BD!$B$3:$B$5001,$A$463)))</f>
        <v/>
      </c>
      <c r="AE470" s="207" t="str">
        <f>IF(AE$3="","",IF(COUNTIFS(BD!$A$3:$A$5001,AE$3,BD!$B$3:$B$5001,$A$463,BD!$J$3:$J$5001,"&lt;&gt;")=0,"",SUMIFS(BD!$J$3:$J$5001,BD!$A$3:$A$5001,AE$3,BD!$B$3:$B$5001,$A$463)))</f>
        <v/>
      </c>
      <c r="AF470" s="207" t="str">
        <f>IF(AF$3="","",IF(COUNTIFS(BD!$A$3:$A$5001,AF$3,BD!$B$3:$B$5001,$A$463,BD!$J$3:$J$5001,"&lt;&gt;")=0,"",SUMIFS(BD!$J$3:$J$5001,BD!$A$3:$A$5001,AF$3,BD!$B$3:$B$5001,$A$463)))</f>
        <v/>
      </c>
      <c r="AG470" s="207" t="str">
        <f>IF(AG$3="","",IF(COUNTIFS(BD!$A$3:$A$5001,AG$3,BD!$B$3:$B$5001,$A$463,BD!$J$3:$J$5001,"&lt;&gt;")=0,"",SUMIFS(BD!$J$3:$J$5001,BD!$A$3:$A$5001,AG$3,BD!$B$3:$B$5001,$A$463)))</f>
        <v/>
      </c>
      <c r="AH470" s="207" t="str">
        <f>IF(AH$3="","",IF(COUNTIFS(BD!$A$3:$A$5001,AH$3,BD!$B$3:$B$5001,$A$463,BD!$J$3:$J$5001,"&lt;&gt;")=0,"",SUMIFS(BD!$J$3:$J$5001,BD!$A$3:$A$5001,AH$3,BD!$B$3:$B$5001,$A$463)))</f>
        <v/>
      </c>
      <c r="AI470" s="207" t="str">
        <f>IF(AI$3="","",IF(COUNTIFS(BD!$A$3:$A$5001,AI$3,BD!$B$3:$B$5001,$A$463,BD!$J$3:$J$5001,"&lt;&gt;")=0,"",SUMIFS(BD!$J$3:$J$5001,BD!$A$3:$A$5001,AI$3,BD!$B$3:$B$5001,$A$463)))</f>
        <v/>
      </c>
      <c r="AJ470" s="208" t="str">
        <f>IF(AJ$3="","",IF(COUNTIFS(BD!$A$3:$A$5001,AJ$3,BD!$B$3:$B$5001,$A$463,BD!$J$3:$J$5001,"&lt;&gt;")=0,"",SUMIFS(BD!$J$3:$J$5001,BD!$A$3:$A$5001,AJ$3,BD!$B$3:$B$5001,$A$463)))</f>
        <v/>
      </c>
      <c r="AK470" s="209" t="str">
        <f>IF(COUNT(F470:AJ470)=0,"",SUM(F470:AJ470))</f>
        <v/>
      </c>
    </row>
    <row r="471" ht="15.75" customHeight="1" hidden="1">
      <c r="A471" s="277"/>
      <c r="B471" s="268"/>
      <c r="C471" s="199" t="inlineStr">
        <is>
          <t xml:space="preserve">Caixas Expedidas</t>
        </is>
      </c>
      <c r="D471" s="200" t="str">
        <f>IFERROR(1/(1/INDEX(BD!$AF$31:$AZ$31,MATCH($A$463,BD!$AF$22:$AZ$22,0))),"")</f>
        <v/>
      </c>
      <c r="E471" s="201"/>
      <c r="F471" s="202" t="str">
        <f>IF(F$3="","",IF(COUNTIFS(BD!$A$3:$A$5001,F$3,BD!$B$3:$B$5001,$A$463,BD!$K$3:$K$5001,"&lt;&gt;")=0,"",SUMIFS(BD!$K$3:$K$5001,BD!$A$3:$A$5001,F$3,BD!$B$3:$B$5001,$A$463)))</f>
        <v/>
      </c>
      <c r="G471" s="203" t="str">
        <f>IF(G$3="","",IF(COUNTIFS(BD!$A$3:$A$5001,G$3,BD!$B$3:$B$5001,$A$463,BD!$K$3:$K$5001,"&lt;&gt;")=0,"",SUMIFS(BD!$K$3:$K$5001,BD!$A$3:$A$5001,G$3,BD!$B$3:$B$5001,$A$463)))</f>
        <v/>
      </c>
      <c r="H471" s="203" t="str">
        <f>IF(H$3="","",IF(COUNTIFS(BD!$A$3:$A$5001,H$3,BD!$B$3:$B$5001,$A$463,BD!$K$3:$K$5001,"&lt;&gt;")=0,"",SUMIFS(BD!$K$3:$K$5001,BD!$A$3:$A$5001,H$3,BD!$B$3:$B$5001,$A$463)))</f>
        <v/>
      </c>
      <c r="I471" s="203" t="str">
        <f>IF(I$3="","",IF(COUNTIFS(BD!$A$3:$A$5001,I$3,BD!$B$3:$B$5001,$A$463,BD!$K$3:$K$5001,"&lt;&gt;")=0,"",SUMIFS(BD!$K$3:$K$5001,BD!$A$3:$A$5001,I$3,BD!$B$3:$B$5001,$A$463)))</f>
        <v/>
      </c>
      <c r="J471" s="203" t="str">
        <f>IF(J$3="","",IF(COUNTIFS(BD!$A$3:$A$5001,J$3,BD!$B$3:$B$5001,$A$463,BD!$K$3:$K$5001,"&lt;&gt;")=0,"",SUMIFS(BD!$K$3:$K$5001,BD!$A$3:$A$5001,J$3,BD!$B$3:$B$5001,$A$463)))</f>
        <v/>
      </c>
      <c r="K471" s="203" t="str">
        <f>IF(K$3="","",IF(COUNTIFS(BD!$A$3:$A$5001,K$3,BD!$B$3:$B$5001,$A$463,BD!$K$3:$K$5001,"&lt;&gt;")=0,"",SUMIFS(BD!$K$3:$K$5001,BD!$A$3:$A$5001,K$3,BD!$B$3:$B$5001,$A$463)))</f>
        <v/>
      </c>
      <c r="L471" s="203" t="str">
        <f>IF(L$3="","",IF(COUNTIFS(BD!$A$3:$A$5001,L$3,BD!$B$3:$B$5001,$A$463,BD!$K$3:$K$5001,"&lt;&gt;")=0,"",SUMIFS(BD!$K$3:$K$5001,BD!$A$3:$A$5001,L$3,BD!$B$3:$B$5001,$A$463)))</f>
        <v/>
      </c>
      <c r="M471" s="203" t="str">
        <f>IF(M$3="","",IF(COUNTIFS(BD!$A$3:$A$5001,M$3,BD!$B$3:$B$5001,$A$463,BD!$K$3:$K$5001,"&lt;&gt;")=0,"",SUMIFS(BD!$K$3:$K$5001,BD!$A$3:$A$5001,M$3,BD!$B$3:$B$5001,$A$463)))</f>
        <v/>
      </c>
      <c r="N471" s="203" t="str">
        <f>IF(N$3="","",IF(COUNTIFS(BD!$A$3:$A$5001,N$3,BD!$B$3:$B$5001,$A$463,BD!$K$3:$K$5001,"&lt;&gt;")=0,"",SUMIFS(BD!$K$3:$K$5001,BD!$A$3:$A$5001,N$3,BD!$B$3:$B$5001,$A$463)))</f>
        <v/>
      </c>
      <c r="O471" s="203" t="str">
        <f>IF(O$3="","",IF(COUNTIFS(BD!$A$3:$A$5001,O$3,BD!$B$3:$B$5001,$A$463,BD!$K$3:$K$5001,"&lt;&gt;")=0,"",SUMIFS(BD!$K$3:$K$5001,BD!$A$3:$A$5001,O$3,BD!$B$3:$B$5001,$A$463)))</f>
        <v/>
      </c>
      <c r="P471" s="203" t="str">
        <f>IF(P$3="","",IF(COUNTIFS(BD!$A$3:$A$5001,P$3,BD!$B$3:$B$5001,$A$463,BD!$K$3:$K$5001,"&lt;&gt;")=0,"",SUMIFS(BD!$K$3:$K$5001,BD!$A$3:$A$5001,P$3,BD!$B$3:$B$5001,$A$463)))</f>
        <v/>
      </c>
      <c r="Q471" s="203" t="str">
        <f>IF(Q$3="","",IF(COUNTIFS(BD!$A$3:$A$5001,Q$3,BD!$B$3:$B$5001,$A$463,BD!$K$3:$K$5001,"&lt;&gt;")=0,"",SUMIFS(BD!$K$3:$K$5001,BD!$A$3:$A$5001,Q$3,BD!$B$3:$B$5001,$A$463)))</f>
        <v/>
      </c>
      <c r="R471" s="203" t="str">
        <f>IF(R$3="","",IF(COUNTIFS(BD!$A$3:$A$5001,R$3,BD!$B$3:$B$5001,$A$463,BD!$K$3:$K$5001,"&lt;&gt;")=0,"",SUMIFS(BD!$K$3:$K$5001,BD!$A$3:$A$5001,R$3,BD!$B$3:$B$5001,$A$463)))</f>
        <v/>
      </c>
      <c r="S471" s="203" t="str">
        <f>IF(S$3="","",IF(COUNTIFS(BD!$A$3:$A$5001,S$3,BD!$B$3:$B$5001,$A$463,BD!$K$3:$K$5001,"&lt;&gt;")=0,"",SUMIFS(BD!$K$3:$K$5001,BD!$A$3:$A$5001,S$3,BD!$B$3:$B$5001,$A$463)))</f>
        <v/>
      </c>
      <c r="T471" s="203" t="str">
        <f>IF(T$3="","",IF(COUNTIFS(BD!$A$3:$A$5001,T$3,BD!$B$3:$B$5001,$A$463,BD!$K$3:$K$5001,"&lt;&gt;")=0,"",SUMIFS(BD!$K$3:$K$5001,BD!$A$3:$A$5001,T$3,BD!$B$3:$B$5001,$A$463)))</f>
        <v/>
      </c>
      <c r="U471" s="203" t="str">
        <f>IF(U$3="","",IF(COUNTIFS(BD!$A$3:$A$5001,U$3,BD!$B$3:$B$5001,$A$463,BD!$K$3:$K$5001,"&lt;&gt;")=0,"",SUMIFS(BD!$K$3:$K$5001,BD!$A$3:$A$5001,U$3,BD!$B$3:$B$5001,$A$463)))</f>
        <v/>
      </c>
      <c r="V471" s="203" t="str">
        <f>IF(V$3="","",IF(COUNTIFS(BD!$A$3:$A$5001,V$3,BD!$B$3:$B$5001,$A$463,BD!$K$3:$K$5001,"&lt;&gt;")=0,"",SUMIFS(BD!$K$3:$K$5001,BD!$A$3:$A$5001,V$3,BD!$B$3:$B$5001,$A$463)))</f>
        <v/>
      </c>
      <c r="W471" s="203" t="str">
        <f>IF(W$3="","",IF(COUNTIFS(BD!$A$3:$A$5001,W$3,BD!$B$3:$B$5001,$A$463,BD!$K$3:$K$5001,"&lt;&gt;")=0,"",SUMIFS(BD!$K$3:$K$5001,BD!$A$3:$A$5001,W$3,BD!$B$3:$B$5001,$A$463)))</f>
        <v/>
      </c>
      <c r="X471" s="203" t="str">
        <f>IF(X$3="","",IF(COUNTIFS(BD!$A$3:$A$5001,X$3,BD!$B$3:$B$5001,$A$463,BD!$K$3:$K$5001,"&lt;&gt;")=0,"",SUMIFS(BD!$K$3:$K$5001,BD!$A$3:$A$5001,X$3,BD!$B$3:$B$5001,$A$463)))</f>
        <v/>
      </c>
      <c r="Y471" s="203" t="str">
        <f>IF(Y$3="","",IF(COUNTIFS(BD!$A$3:$A$5001,Y$3,BD!$B$3:$B$5001,$A$463,BD!$K$3:$K$5001,"&lt;&gt;")=0,"",SUMIFS(BD!$K$3:$K$5001,BD!$A$3:$A$5001,Y$3,BD!$B$3:$B$5001,$A$463)))</f>
        <v/>
      </c>
      <c r="Z471" s="203" t="str">
        <f>IF(Z$3="","",IF(COUNTIFS(BD!$A$3:$A$5001,Z$3,BD!$B$3:$B$5001,$A$463,BD!$K$3:$K$5001,"&lt;&gt;")=0,"",SUMIFS(BD!$K$3:$K$5001,BD!$A$3:$A$5001,Z$3,BD!$B$3:$B$5001,$A$463)))</f>
        <v/>
      </c>
      <c r="AA471" s="203" t="str">
        <f>IF(AA$3="","",IF(COUNTIFS(BD!$A$3:$A$5001,AA$3,BD!$B$3:$B$5001,$A$463,BD!$K$3:$K$5001,"&lt;&gt;")=0,"",SUMIFS(BD!$K$3:$K$5001,BD!$A$3:$A$5001,AA$3,BD!$B$3:$B$5001,$A$463)))</f>
        <v/>
      </c>
      <c r="AB471" s="203" t="str">
        <f>IF(AB$3="","",IF(COUNTIFS(BD!$A$3:$A$5001,AB$3,BD!$B$3:$B$5001,$A$463,BD!$K$3:$K$5001,"&lt;&gt;")=0,"",SUMIFS(BD!$K$3:$K$5001,BD!$A$3:$A$5001,AB$3,BD!$B$3:$B$5001,$A$463)))</f>
        <v/>
      </c>
      <c r="AC471" s="203" t="str">
        <f>IF(AC$3="","",IF(COUNTIFS(BD!$A$3:$A$5001,AC$3,BD!$B$3:$B$5001,$A$463,BD!$K$3:$K$5001,"&lt;&gt;")=0,"",SUMIFS(BD!$K$3:$K$5001,BD!$A$3:$A$5001,AC$3,BD!$B$3:$B$5001,$A$463)))</f>
        <v/>
      </c>
      <c r="AD471" s="203" t="str">
        <f>IF(AD$3="","",IF(COUNTIFS(BD!$A$3:$A$5001,AD$3,BD!$B$3:$B$5001,$A$463,BD!$K$3:$K$5001,"&lt;&gt;")=0,"",SUMIFS(BD!$K$3:$K$5001,BD!$A$3:$A$5001,AD$3,BD!$B$3:$B$5001,$A$463)))</f>
        <v/>
      </c>
      <c r="AE471" s="203" t="str">
        <f>IF(AE$3="","",IF(COUNTIFS(BD!$A$3:$A$5001,AE$3,BD!$B$3:$B$5001,$A$463,BD!$K$3:$K$5001,"&lt;&gt;")=0,"",SUMIFS(BD!$K$3:$K$5001,BD!$A$3:$A$5001,AE$3,BD!$B$3:$B$5001,$A$463)))</f>
        <v/>
      </c>
      <c r="AF471" s="203" t="str">
        <f>IF(AF$3="","",IF(COUNTIFS(BD!$A$3:$A$5001,AF$3,BD!$B$3:$B$5001,$A$463,BD!$K$3:$K$5001,"&lt;&gt;")=0,"",SUMIFS(BD!$K$3:$K$5001,BD!$A$3:$A$5001,AF$3,BD!$B$3:$B$5001,$A$463)))</f>
        <v/>
      </c>
      <c r="AG471" s="203" t="str">
        <f>IF(AG$3="","",IF(COUNTIFS(BD!$A$3:$A$5001,AG$3,BD!$B$3:$B$5001,$A$463,BD!$K$3:$K$5001,"&lt;&gt;")=0,"",SUMIFS(BD!$K$3:$K$5001,BD!$A$3:$A$5001,AG$3,BD!$B$3:$B$5001,$A$463)))</f>
        <v/>
      </c>
      <c r="AH471" s="203" t="str">
        <f>IF(AH$3="","",IF(COUNTIFS(BD!$A$3:$A$5001,AH$3,BD!$B$3:$B$5001,$A$463,BD!$K$3:$K$5001,"&lt;&gt;")=0,"",SUMIFS(BD!$K$3:$K$5001,BD!$A$3:$A$5001,AH$3,BD!$B$3:$B$5001,$A$463)))</f>
        <v/>
      </c>
      <c r="AI471" s="203" t="str">
        <f>IF(AI$3="","",IF(COUNTIFS(BD!$A$3:$A$5001,AI$3,BD!$B$3:$B$5001,$A$463,BD!$K$3:$K$5001,"&lt;&gt;")=0,"",SUMIFS(BD!$K$3:$K$5001,BD!$A$3:$A$5001,AI$3,BD!$B$3:$B$5001,$A$463)))</f>
        <v/>
      </c>
      <c r="AJ471" s="204" t="str">
        <f>IF(AJ$3="","",IF(COUNTIFS(BD!$A$3:$A$5001,AJ$3,BD!$B$3:$B$5001,$A$463,BD!$K$3:$K$5001,"&lt;&gt;")=0,"",SUMIFS(BD!$K$3:$K$5001,BD!$A$3:$A$5001,AJ$3,BD!$B$3:$B$5001,$A$463)))</f>
        <v/>
      </c>
      <c r="AK471" s="205" t="str">
        <f>IF(COUNT(F471:AJ471)=0,"",SUM(F471:AJ471))</f>
        <v/>
      </c>
    </row>
    <row r="472" ht="15.75" customHeight="1" hidden="1">
      <c r="A472" s="277"/>
      <c r="B472" s="268"/>
      <c r="C472" s="199" t="inlineStr">
        <is>
          <t xml:space="preserve">Pedidos Faturados</t>
        </is>
      </c>
      <c r="D472" s="200" t="str">
        <f>IFERROR(1/(1/INDEX(BD!$AF$32:$AZ$32,MATCH($A$463,BD!$AF$22:$AZ$22,0))),"")</f>
        <v/>
      </c>
      <c r="E472" s="201"/>
      <c r="F472" s="202" t="str">
        <f>IF(F$3="","",IF(COUNTIFS(BD!$A$3:$A$5001,F$3,BD!$B$3:$B$5001,$A$463,BD!$L$3:$L$5001,"&lt;&gt;")=0,"",SUMIFS(BD!$L$3:$L$5001,BD!$A$3:$A$5001,F$3,BD!$B$3:$B$5001,$A$463)))</f>
        <v/>
      </c>
      <c r="G472" s="203" t="str">
        <f>IF(G$3="","",IF(COUNTIFS(BD!$A$3:$A$5001,G$3,BD!$B$3:$B$5001,$A$463,BD!$L$3:$L$5001,"&lt;&gt;")=0,"",SUMIFS(BD!$L$3:$L$5001,BD!$A$3:$A$5001,G$3,BD!$B$3:$B$5001,$A$463)))</f>
        <v/>
      </c>
      <c r="H472" s="203" t="str">
        <f>IF(H$3="","",IF(COUNTIFS(BD!$A$3:$A$5001,H$3,BD!$B$3:$B$5001,$A$463,BD!$L$3:$L$5001,"&lt;&gt;")=0,"",SUMIFS(BD!$L$3:$L$5001,BD!$A$3:$A$5001,H$3,BD!$B$3:$B$5001,$A$463)))</f>
        <v/>
      </c>
      <c r="I472" s="203" t="str">
        <f>IF(I$3="","",IF(COUNTIFS(BD!$A$3:$A$5001,I$3,BD!$B$3:$B$5001,$A$463,BD!$L$3:$L$5001,"&lt;&gt;")=0,"",SUMIFS(BD!$L$3:$L$5001,BD!$A$3:$A$5001,I$3,BD!$B$3:$B$5001,$A$463)))</f>
        <v/>
      </c>
      <c r="J472" s="203" t="str">
        <f>IF(J$3="","",IF(COUNTIFS(BD!$A$3:$A$5001,J$3,BD!$B$3:$B$5001,$A$463,BD!$L$3:$L$5001,"&lt;&gt;")=0,"",SUMIFS(BD!$L$3:$L$5001,BD!$A$3:$A$5001,J$3,BD!$B$3:$B$5001,$A$463)))</f>
        <v/>
      </c>
      <c r="K472" s="203" t="str">
        <f>IF(K$3="","",IF(COUNTIFS(BD!$A$3:$A$5001,K$3,BD!$B$3:$B$5001,$A$463,BD!$L$3:$L$5001,"&lt;&gt;")=0,"",SUMIFS(BD!$L$3:$L$5001,BD!$A$3:$A$5001,K$3,BD!$B$3:$B$5001,$A$463)))</f>
        <v/>
      </c>
      <c r="L472" s="203" t="str">
        <f>IF(L$3="","",IF(COUNTIFS(BD!$A$3:$A$5001,L$3,BD!$B$3:$B$5001,$A$463,BD!$L$3:$L$5001,"&lt;&gt;")=0,"",SUMIFS(BD!$L$3:$L$5001,BD!$A$3:$A$5001,L$3,BD!$B$3:$B$5001,$A$463)))</f>
        <v/>
      </c>
      <c r="M472" s="203" t="str">
        <f>IF(M$3="","",IF(COUNTIFS(BD!$A$3:$A$5001,M$3,BD!$B$3:$B$5001,$A$463,BD!$L$3:$L$5001,"&lt;&gt;")=0,"",SUMIFS(BD!$L$3:$L$5001,BD!$A$3:$A$5001,M$3,BD!$B$3:$B$5001,$A$463)))</f>
        <v/>
      </c>
      <c r="N472" s="203" t="str">
        <f>IF(N$3="","",IF(COUNTIFS(BD!$A$3:$A$5001,N$3,BD!$B$3:$B$5001,$A$463,BD!$L$3:$L$5001,"&lt;&gt;")=0,"",SUMIFS(BD!$L$3:$L$5001,BD!$A$3:$A$5001,N$3,BD!$B$3:$B$5001,$A$463)))</f>
        <v/>
      </c>
      <c r="O472" s="203" t="str">
        <f>IF(O$3="","",IF(COUNTIFS(BD!$A$3:$A$5001,O$3,BD!$B$3:$B$5001,$A$463,BD!$L$3:$L$5001,"&lt;&gt;")=0,"",SUMIFS(BD!$L$3:$L$5001,BD!$A$3:$A$5001,O$3,BD!$B$3:$B$5001,$A$463)))</f>
        <v/>
      </c>
      <c r="P472" s="203" t="str">
        <f>IF(P$3="","",IF(COUNTIFS(BD!$A$3:$A$5001,P$3,BD!$B$3:$B$5001,$A$463,BD!$L$3:$L$5001,"&lt;&gt;")=0,"",SUMIFS(BD!$L$3:$L$5001,BD!$A$3:$A$5001,P$3,BD!$B$3:$B$5001,$A$463)))</f>
        <v/>
      </c>
      <c r="Q472" s="203" t="str">
        <f>IF(Q$3="","",IF(COUNTIFS(BD!$A$3:$A$5001,Q$3,BD!$B$3:$B$5001,$A$463,BD!$L$3:$L$5001,"&lt;&gt;")=0,"",SUMIFS(BD!$L$3:$L$5001,BD!$A$3:$A$5001,Q$3,BD!$B$3:$B$5001,$A$463)))</f>
        <v/>
      </c>
      <c r="R472" s="203" t="str">
        <f>IF(R$3="","",IF(COUNTIFS(BD!$A$3:$A$5001,R$3,BD!$B$3:$B$5001,$A$463,BD!$L$3:$L$5001,"&lt;&gt;")=0,"",SUMIFS(BD!$L$3:$L$5001,BD!$A$3:$A$5001,R$3,BD!$B$3:$B$5001,$A$463)))</f>
        <v/>
      </c>
      <c r="S472" s="203" t="str">
        <f>IF(S$3="","",IF(COUNTIFS(BD!$A$3:$A$5001,S$3,BD!$B$3:$B$5001,$A$463,BD!$L$3:$L$5001,"&lt;&gt;")=0,"",SUMIFS(BD!$L$3:$L$5001,BD!$A$3:$A$5001,S$3,BD!$B$3:$B$5001,$A$463)))</f>
        <v/>
      </c>
      <c r="T472" s="203" t="str">
        <f>IF(T$3="","",IF(COUNTIFS(BD!$A$3:$A$5001,T$3,BD!$B$3:$B$5001,$A$463,BD!$L$3:$L$5001,"&lt;&gt;")=0,"",SUMIFS(BD!$L$3:$L$5001,BD!$A$3:$A$5001,T$3,BD!$B$3:$B$5001,$A$463)))</f>
        <v/>
      </c>
      <c r="U472" s="203" t="str">
        <f>IF(U$3="","",IF(COUNTIFS(BD!$A$3:$A$5001,U$3,BD!$B$3:$B$5001,$A$463,BD!$L$3:$L$5001,"&lt;&gt;")=0,"",SUMIFS(BD!$L$3:$L$5001,BD!$A$3:$A$5001,U$3,BD!$B$3:$B$5001,$A$463)))</f>
        <v/>
      </c>
      <c r="V472" s="203" t="str">
        <f>IF(V$3="","",IF(COUNTIFS(BD!$A$3:$A$5001,V$3,BD!$B$3:$B$5001,$A$463,BD!$L$3:$L$5001,"&lt;&gt;")=0,"",SUMIFS(BD!$L$3:$L$5001,BD!$A$3:$A$5001,V$3,BD!$B$3:$B$5001,$A$463)))</f>
        <v/>
      </c>
      <c r="W472" s="203" t="str">
        <f>IF(W$3="","",IF(COUNTIFS(BD!$A$3:$A$5001,W$3,BD!$B$3:$B$5001,$A$463,BD!$L$3:$L$5001,"&lt;&gt;")=0,"",SUMIFS(BD!$L$3:$L$5001,BD!$A$3:$A$5001,W$3,BD!$B$3:$B$5001,$A$463)))</f>
        <v/>
      </c>
      <c r="X472" s="203" t="str">
        <f>IF(X$3="","",IF(COUNTIFS(BD!$A$3:$A$5001,X$3,BD!$B$3:$B$5001,$A$463,BD!$L$3:$L$5001,"&lt;&gt;")=0,"",SUMIFS(BD!$L$3:$L$5001,BD!$A$3:$A$5001,X$3,BD!$B$3:$B$5001,$A$463)))</f>
        <v/>
      </c>
      <c r="Y472" s="203" t="str">
        <f>IF(Y$3="","",IF(COUNTIFS(BD!$A$3:$A$5001,Y$3,BD!$B$3:$B$5001,$A$463,BD!$L$3:$L$5001,"&lt;&gt;")=0,"",SUMIFS(BD!$L$3:$L$5001,BD!$A$3:$A$5001,Y$3,BD!$B$3:$B$5001,$A$463)))</f>
        <v/>
      </c>
      <c r="Z472" s="203" t="str">
        <f>IF(Z$3="","",IF(COUNTIFS(BD!$A$3:$A$5001,Z$3,BD!$B$3:$B$5001,$A$463,BD!$L$3:$L$5001,"&lt;&gt;")=0,"",SUMIFS(BD!$L$3:$L$5001,BD!$A$3:$A$5001,Z$3,BD!$B$3:$B$5001,$A$463)))</f>
        <v/>
      </c>
      <c r="AA472" s="203" t="str">
        <f>IF(AA$3="","",IF(COUNTIFS(BD!$A$3:$A$5001,AA$3,BD!$B$3:$B$5001,$A$463,BD!$L$3:$L$5001,"&lt;&gt;")=0,"",SUMIFS(BD!$L$3:$L$5001,BD!$A$3:$A$5001,AA$3,BD!$B$3:$B$5001,$A$463)))</f>
        <v/>
      </c>
      <c r="AB472" s="203" t="str">
        <f>IF(AB$3="","",IF(COUNTIFS(BD!$A$3:$A$5001,AB$3,BD!$B$3:$B$5001,$A$463,BD!$L$3:$L$5001,"&lt;&gt;")=0,"",SUMIFS(BD!$L$3:$L$5001,BD!$A$3:$A$5001,AB$3,BD!$B$3:$B$5001,$A$463)))</f>
        <v/>
      </c>
      <c r="AC472" s="203" t="str">
        <f>IF(AC$3="","",IF(COUNTIFS(BD!$A$3:$A$5001,AC$3,BD!$B$3:$B$5001,$A$463,BD!$L$3:$L$5001,"&lt;&gt;")=0,"",SUMIFS(BD!$L$3:$L$5001,BD!$A$3:$A$5001,AC$3,BD!$B$3:$B$5001,$A$463)))</f>
        <v/>
      </c>
      <c r="AD472" s="203" t="str">
        <f>IF(AD$3="","",IF(COUNTIFS(BD!$A$3:$A$5001,AD$3,BD!$B$3:$B$5001,$A$463,BD!$L$3:$L$5001,"&lt;&gt;")=0,"",SUMIFS(BD!$L$3:$L$5001,BD!$A$3:$A$5001,AD$3,BD!$B$3:$B$5001,$A$463)))</f>
        <v/>
      </c>
      <c r="AE472" s="203" t="str">
        <f>IF(AE$3="","",IF(COUNTIFS(BD!$A$3:$A$5001,AE$3,BD!$B$3:$B$5001,$A$463,BD!$L$3:$L$5001,"&lt;&gt;")=0,"",SUMIFS(BD!$L$3:$L$5001,BD!$A$3:$A$5001,AE$3,BD!$B$3:$B$5001,$A$463)))</f>
        <v/>
      </c>
      <c r="AF472" s="203" t="str">
        <f>IF(AF$3="","",IF(COUNTIFS(BD!$A$3:$A$5001,AF$3,BD!$B$3:$B$5001,$A$463,BD!$L$3:$L$5001,"&lt;&gt;")=0,"",SUMIFS(BD!$L$3:$L$5001,BD!$A$3:$A$5001,AF$3,BD!$B$3:$B$5001,$A$463)))</f>
        <v/>
      </c>
      <c r="AG472" s="203" t="str">
        <f>IF(AG$3="","",IF(COUNTIFS(BD!$A$3:$A$5001,AG$3,BD!$B$3:$B$5001,$A$463,BD!$L$3:$L$5001,"&lt;&gt;")=0,"",SUMIFS(BD!$L$3:$L$5001,BD!$A$3:$A$5001,AG$3,BD!$B$3:$B$5001,$A$463)))</f>
        <v/>
      </c>
      <c r="AH472" s="203" t="str">
        <f>IF(AH$3="","",IF(COUNTIFS(BD!$A$3:$A$5001,AH$3,BD!$B$3:$B$5001,$A$463,BD!$L$3:$L$5001,"&lt;&gt;")=0,"",SUMIFS(BD!$L$3:$L$5001,BD!$A$3:$A$5001,AH$3,BD!$B$3:$B$5001,$A$463)))</f>
        <v/>
      </c>
      <c r="AI472" s="203" t="str">
        <f>IF(AI$3="","",IF(COUNTIFS(BD!$A$3:$A$5001,AI$3,BD!$B$3:$B$5001,$A$463,BD!$L$3:$L$5001,"&lt;&gt;")=0,"",SUMIFS(BD!$L$3:$L$5001,BD!$A$3:$A$5001,AI$3,BD!$B$3:$B$5001,$A$463)))</f>
        <v/>
      </c>
      <c r="AJ472" s="204" t="str">
        <f>IF(AJ$3="","",IF(COUNTIFS(BD!$A$3:$A$5001,AJ$3,BD!$B$3:$B$5001,$A$463,BD!$L$3:$L$5001,"&lt;&gt;")=0,"",SUMIFS(BD!$L$3:$L$5001,BD!$A$3:$A$5001,AJ$3,BD!$B$3:$B$5001,$A$463)))</f>
        <v/>
      </c>
      <c r="AK472" s="205" t="str">
        <f>IF(COUNT(F472:AJ472)=0,"",SUM(F472:AJ472))</f>
        <v/>
      </c>
    </row>
    <row r="473" ht="15.75" customHeight="1" hidden="1">
      <c r="A473" s="277"/>
      <c r="B473" s="269"/>
      <c r="C473" s="210" t="inlineStr">
        <is>
          <t xml:space="preserve">Bags Expedidos</t>
        </is>
      </c>
      <c r="D473" s="211" t="str">
        <f>IFERROR(1/(1/INDEX(BD!$AF$33:$AZ$33,MATCH($A$463,BD!$AF$22:$AZ$22,0))),"")</f>
        <v/>
      </c>
      <c r="E473" s="212"/>
      <c r="F473" s="213" t="str">
        <f>IF(F$3="","",IF(COUNTIFS(BD!$A$3:$A$5001,F$3,BD!$B$3:$B$5001,$A$463,BD!$M$3:$M$5001,"&lt;&gt;")=0,"",SUMIFS(BD!$M$3:$M$5001,BD!$A$3:$A$5001,F$3,BD!$B$3:$B$5001,$A$463)))</f>
        <v/>
      </c>
      <c r="G473" s="214" t="str">
        <f>IF(G$3="","",IF(COUNTIFS(BD!$A$3:$A$5001,G$3,BD!$B$3:$B$5001,$A$463,BD!$M$3:$M$5001,"&lt;&gt;")=0,"",SUMIFS(BD!$M$3:$M$5001,BD!$A$3:$A$5001,G$3,BD!$B$3:$B$5001,$A$463)))</f>
        <v/>
      </c>
      <c r="H473" s="214" t="str">
        <f>IF(H$3="","",IF(COUNTIFS(BD!$A$3:$A$5001,H$3,BD!$B$3:$B$5001,$A$463,BD!$M$3:$M$5001,"&lt;&gt;")=0,"",SUMIFS(BD!$M$3:$M$5001,BD!$A$3:$A$5001,H$3,BD!$B$3:$B$5001,$A$463)))</f>
        <v/>
      </c>
      <c r="I473" s="214" t="str">
        <f>IF(I$3="","",IF(COUNTIFS(BD!$A$3:$A$5001,I$3,BD!$B$3:$B$5001,$A$463,BD!$M$3:$M$5001,"&lt;&gt;")=0,"",SUMIFS(BD!$M$3:$M$5001,BD!$A$3:$A$5001,I$3,BD!$B$3:$B$5001,$A$463)))</f>
        <v/>
      </c>
      <c r="J473" s="214" t="str">
        <f>IF(J$3="","",IF(COUNTIFS(BD!$A$3:$A$5001,J$3,BD!$B$3:$B$5001,$A$463,BD!$M$3:$M$5001,"&lt;&gt;")=0,"",SUMIFS(BD!$M$3:$M$5001,BD!$A$3:$A$5001,J$3,BD!$B$3:$B$5001,$A$463)))</f>
        <v/>
      </c>
      <c r="K473" s="214" t="str">
        <f>IF(K$3="","",IF(COUNTIFS(BD!$A$3:$A$5001,K$3,BD!$B$3:$B$5001,$A$463,BD!$M$3:$M$5001,"&lt;&gt;")=0,"",SUMIFS(BD!$M$3:$M$5001,BD!$A$3:$A$5001,K$3,BD!$B$3:$B$5001,$A$463)))</f>
        <v/>
      </c>
      <c r="L473" s="214" t="str">
        <f>IF(L$3="","",IF(COUNTIFS(BD!$A$3:$A$5001,L$3,BD!$B$3:$B$5001,$A$463,BD!$M$3:$M$5001,"&lt;&gt;")=0,"",SUMIFS(BD!$M$3:$M$5001,BD!$A$3:$A$5001,L$3,BD!$B$3:$B$5001,$A$463)))</f>
        <v/>
      </c>
      <c r="M473" s="214" t="str">
        <f>IF(M$3="","",IF(COUNTIFS(BD!$A$3:$A$5001,M$3,BD!$B$3:$B$5001,$A$463,BD!$M$3:$M$5001,"&lt;&gt;")=0,"",SUMIFS(BD!$M$3:$M$5001,BD!$A$3:$A$5001,M$3,BD!$B$3:$B$5001,$A$463)))</f>
        <v/>
      </c>
      <c r="N473" s="214" t="str">
        <f>IF(N$3="","",IF(COUNTIFS(BD!$A$3:$A$5001,N$3,BD!$B$3:$B$5001,$A$463,BD!$M$3:$M$5001,"&lt;&gt;")=0,"",SUMIFS(BD!$M$3:$M$5001,BD!$A$3:$A$5001,N$3,BD!$B$3:$B$5001,$A$463)))</f>
        <v/>
      </c>
      <c r="O473" s="214" t="str">
        <f>IF(O$3="","",IF(COUNTIFS(BD!$A$3:$A$5001,O$3,BD!$B$3:$B$5001,$A$463,BD!$M$3:$M$5001,"&lt;&gt;")=0,"",SUMIFS(BD!$M$3:$M$5001,BD!$A$3:$A$5001,O$3,BD!$B$3:$B$5001,$A$463)))</f>
        <v/>
      </c>
      <c r="P473" s="214" t="str">
        <f>IF(P$3="","",IF(COUNTIFS(BD!$A$3:$A$5001,P$3,BD!$B$3:$B$5001,$A$463,BD!$M$3:$M$5001,"&lt;&gt;")=0,"",SUMIFS(BD!$M$3:$M$5001,BD!$A$3:$A$5001,P$3,BD!$B$3:$B$5001,$A$463)))</f>
        <v/>
      </c>
      <c r="Q473" s="214" t="str">
        <f>IF(Q$3="","",IF(COUNTIFS(BD!$A$3:$A$5001,Q$3,BD!$B$3:$B$5001,$A$463,BD!$M$3:$M$5001,"&lt;&gt;")=0,"",SUMIFS(BD!$M$3:$M$5001,BD!$A$3:$A$5001,Q$3,BD!$B$3:$B$5001,$A$463)))</f>
        <v/>
      </c>
      <c r="R473" s="214" t="str">
        <f>IF(R$3="","",IF(COUNTIFS(BD!$A$3:$A$5001,R$3,BD!$B$3:$B$5001,$A$463,BD!$M$3:$M$5001,"&lt;&gt;")=0,"",SUMIFS(BD!$M$3:$M$5001,BD!$A$3:$A$5001,R$3,BD!$B$3:$B$5001,$A$463)))</f>
        <v/>
      </c>
      <c r="S473" s="214" t="str">
        <f>IF(S$3="","",IF(COUNTIFS(BD!$A$3:$A$5001,S$3,BD!$B$3:$B$5001,$A$463,BD!$M$3:$M$5001,"&lt;&gt;")=0,"",SUMIFS(BD!$M$3:$M$5001,BD!$A$3:$A$5001,S$3,BD!$B$3:$B$5001,$A$463)))</f>
        <v/>
      </c>
      <c r="T473" s="214" t="str">
        <f>IF(T$3="","",IF(COUNTIFS(BD!$A$3:$A$5001,T$3,BD!$B$3:$B$5001,$A$463,BD!$M$3:$M$5001,"&lt;&gt;")=0,"",SUMIFS(BD!$M$3:$M$5001,BD!$A$3:$A$5001,T$3,BD!$B$3:$B$5001,$A$463)))</f>
        <v/>
      </c>
      <c r="U473" s="214" t="str">
        <f>IF(U$3="","",IF(COUNTIFS(BD!$A$3:$A$5001,U$3,BD!$B$3:$B$5001,$A$463,BD!$M$3:$M$5001,"&lt;&gt;")=0,"",SUMIFS(BD!$M$3:$M$5001,BD!$A$3:$A$5001,U$3,BD!$B$3:$B$5001,$A$463)))</f>
        <v/>
      </c>
      <c r="V473" s="214" t="str">
        <f>IF(V$3="","",IF(COUNTIFS(BD!$A$3:$A$5001,V$3,BD!$B$3:$B$5001,$A$463,BD!$M$3:$M$5001,"&lt;&gt;")=0,"",SUMIFS(BD!$M$3:$M$5001,BD!$A$3:$A$5001,V$3,BD!$B$3:$B$5001,$A$463)))</f>
        <v/>
      </c>
      <c r="W473" s="214" t="str">
        <f>IF(W$3="","",IF(COUNTIFS(BD!$A$3:$A$5001,W$3,BD!$B$3:$B$5001,$A$463,BD!$M$3:$M$5001,"&lt;&gt;")=0,"",SUMIFS(BD!$M$3:$M$5001,BD!$A$3:$A$5001,W$3,BD!$B$3:$B$5001,$A$463)))</f>
        <v/>
      </c>
      <c r="X473" s="214" t="str">
        <f>IF(X$3="","",IF(COUNTIFS(BD!$A$3:$A$5001,X$3,BD!$B$3:$B$5001,$A$463,BD!$M$3:$M$5001,"&lt;&gt;")=0,"",SUMIFS(BD!$M$3:$M$5001,BD!$A$3:$A$5001,X$3,BD!$B$3:$B$5001,$A$463)))</f>
        <v/>
      </c>
      <c r="Y473" s="214" t="str">
        <f>IF(Y$3="","",IF(COUNTIFS(BD!$A$3:$A$5001,Y$3,BD!$B$3:$B$5001,$A$463,BD!$M$3:$M$5001,"&lt;&gt;")=0,"",SUMIFS(BD!$M$3:$M$5001,BD!$A$3:$A$5001,Y$3,BD!$B$3:$B$5001,$A$463)))</f>
        <v/>
      </c>
      <c r="Z473" s="214" t="str">
        <f>IF(Z$3="","",IF(COUNTIFS(BD!$A$3:$A$5001,Z$3,BD!$B$3:$B$5001,$A$463,BD!$M$3:$M$5001,"&lt;&gt;")=0,"",SUMIFS(BD!$M$3:$M$5001,BD!$A$3:$A$5001,Z$3,BD!$B$3:$B$5001,$A$463)))</f>
        <v/>
      </c>
      <c r="AA473" s="214" t="str">
        <f>IF(AA$3="","",IF(COUNTIFS(BD!$A$3:$A$5001,AA$3,BD!$B$3:$B$5001,$A$463,BD!$M$3:$M$5001,"&lt;&gt;")=0,"",SUMIFS(BD!$M$3:$M$5001,BD!$A$3:$A$5001,AA$3,BD!$B$3:$B$5001,$A$463)))</f>
        <v/>
      </c>
      <c r="AB473" s="214" t="str">
        <f>IF(AB$3="","",IF(COUNTIFS(BD!$A$3:$A$5001,AB$3,BD!$B$3:$B$5001,$A$463,BD!$M$3:$M$5001,"&lt;&gt;")=0,"",SUMIFS(BD!$M$3:$M$5001,BD!$A$3:$A$5001,AB$3,BD!$B$3:$B$5001,$A$463)))</f>
        <v/>
      </c>
      <c r="AC473" s="214" t="str">
        <f>IF(AC$3="","",IF(COUNTIFS(BD!$A$3:$A$5001,AC$3,BD!$B$3:$B$5001,$A$463,BD!$M$3:$M$5001,"&lt;&gt;")=0,"",SUMIFS(BD!$M$3:$M$5001,BD!$A$3:$A$5001,AC$3,BD!$B$3:$B$5001,$A$463)))</f>
        <v/>
      </c>
      <c r="AD473" s="214" t="str">
        <f>IF(AD$3="","",IF(COUNTIFS(BD!$A$3:$A$5001,AD$3,BD!$B$3:$B$5001,$A$463,BD!$M$3:$M$5001,"&lt;&gt;")=0,"",SUMIFS(BD!$M$3:$M$5001,BD!$A$3:$A$5001,AD$3,BD!$B$3:$B$5001,$A$463)))</f>
        <v/>
      </c>
      <c r="AE473" s="214" t="str">
        <f>IF(AE$3="","",IF(COUNTIFS(BD!$A$3:$A$5001,AE$3,BD!$B$3:$B$5001,$A$463,BD!$M$3:$M$5001,"&lt;&gt;")=0,"",SUMIFS(BD!$M$3:$M$5001,BD!$A$3:$A$5001,AE$3,BD!$B$3:$B$5001,$A$463)))</f>
        <v/>
      </c>
      <c r="AF473" s="214" t="str">
        <f>IF(AF$3="","",IF(COUNTIFS(BD!$A$3:$A$5001,AF$3,BD!$B$3:$B$5001,$A$463,BD!$M$3:$M$5001,"&lt;&gt;")=0,"",SUMIFS(BD!$M$3:$M$5001,BD!$A$3:$A$5001,AF$3,BD!$B$3:$B$5001,$A$463)))</f>
        <v/>
      </c>
      <c r="AG473" s="214" t="str">
        <f>IF(AG$3="","",IF(COUNTIFS(BD!$A$3:$A$5001,AG$3,BD!$B$3:$B$5001,$A$463,BD!$M$3:$M$5001,"&lt;&gt;")=0,"",SUMIFS(BD!$M$3:$M$5001,BD!$A$3:$A$5001,AG$3,BD!$B$3:$B$5001,$A$463)))</f>
        <v/>
      </c>
      <c r="AH473" s="214" t="str">
        <f>IF(AH$3="","",IF(COUNTIFS(BD!$A$3:$A$5001,AH$3,BD!$B$3:$B$5001,$A$463,BD!$M$3:$M$5001,"&lt;&gt;")=0,"",SUMIFS(BD!$M$3:$M$5001,BD!$A$3:$A$5001,AH$3,BD!$B$3:$B$5001,$A$463)))</f>
        <v/>
      </c>
      <c r="AI473" s="214" t="str">
        <f>IF(AI$3="","",IF(COUNTIFS(BD!$A$3:$A$5001,AI$3,BD!$B$3:$B$5001,$A$463,BD!$M$3:$M$5001,"&lt;&gt;")=0,"",SUMIFS(BD!$M$3:$M$5001,BD!$A$3:$A$5001,AI$3,BD!$B$3:$B$5001,$A$463)))</f>
        <v/>
      </c>
      <c r="AJ473" s="215" t="str">
        <f>IF(AJ$3="","",IF(COUNTIFS(BD!$A$3:$A$5001,AJ$3,BD!$B$3:$B$5001,$A$463,BD!$M$3:$M$5001,"&lt;&gt;")=0,"",SUMIFS(BD!$M$3:$M$5001,BD!$A$3:$A$5001,AJ$3,BD!$B$3:$B$5001,$A$463)))</f>
        <v/>
      </c>
      <c r="AK473" s="211" t="str">
        <f>IF(COUNT(F473:AJ473)=0,"",SUM(F473:AJ473))</f>
        <v/>
      </c>
    </row>
    <row r="474" ht="15.75" customHeight="1" hidden="1">
      <c r="A474" s="277"/>
      <c r="B474" s="270" t="inlineStr">
        <is>
          <t xml:space="preserve">NC</t>
        </is>
      </c>
      <c r="C474" s="216" t="inlineStr">
        <is>
          <t xml:space="preserve">Incidentes</t>
        </is>
      </c>
      <c r="D474" s="217" t="str">
        <f>IFERROR(1/(1/INDEX(BD!$AF$34:$AZ$34,MATCH($A$463,BD!$AF$22:$AZ$22,0))),"")</f>
        <v/>
      </c>
      <c r="E474" s="218"/>
      <c r="F474" s="219" t="str">
        <f>IF(F$3="","",IF(COUNTIFS(BD!$A$3:$A$5001,F$3,BD!$B$3:$B$5001,$A$463,BD!$N$3:$N$5001,"&lt;&gt;")=0,"",SUMIFS(BD!$N$3:$N$5001,BD!$A$3:$A$5001,F$3,BD!$B$3:$B$5001,$A$463)))</f>
        <v/>
      </c>
      <c r="G474" s="220" t="str">
        <f>IF(G$3="","",IF(COUNTIFS(BD!$A$3:$A$5001,G$3,BD!$B$3:$B$5001,$A$463,BD!$N$3:$N$5001,"&lt;&gt;")=0,"",SUMIFS(BD!$N$3:$N$5001,BD!$A$3:$A$5001,G$3,BD!$B$3:$B$5001,$A$463)))</f>
        <v/>
      </c>
      <c r="H474" s="220" t="str">
        <f>IF(H$3="","",IF(COUNTIFS(BD!$A$3:$A$5001,H$3,BD!$B$3:$B$5001,$A$463,BD!$N$3:$N$5001,"&lt;&gt;")=0,"",SUMIFS(BD!$N$3:$N$5001,BD!$A$3:$A$5001,H$3,BD!$B$3:$B$5001,$A$463)))</f>
        <v/>
      </c>
      <c r="I474" s="220" t="str">
        <f>IF(I$3="","",IF(COUNTIFS(BD!$A$3:$A$5001,I$3,BD!$B$3:$B$5001,$A$463,BD!$N$3:$N$5001,"&lt;&gt;")=0,"",SUMIFS(BD!$N$3:$N$5001,BD!$A$3:$A$5001,I$3,BD!$B$3:$B$5001,$A$463)))</f>
        <v/>
      </c>
      <c r="J474" s="220" t="str">
        <f>IF(J$3="","",IF(COUNTIFS(BD!$A$3:$A$5001,J$3,BD!$B$3:$B$5001,$A$463,BD!$N$3:$N$5001,"&lt;&gt;")=0,"",SUMIFS(BD!$N$3:$N$5001,BD!$A$3:$A$5001,J$3,BD!$B$3:$B$5001,$A$463)))</f>
        <v/>
      </c>
      <c r="K474" s="220" t="str">
        <f>IF(K$3="","",IF(COUNTIFS(BD!$A$3:$A$5001,K$3,BD!$B$3:$B$5001,$A$463,BD!$N$3:$N$5001,"&lt;&gt;")=0,"",SUMIFS(BD!$N$3:$N$5001,BD!$A$3:$A$5001,K$3,BD!$B$3:$B$5001,$A$463)))</f>
        <v/>
      </c>
      <c r="L474" s="220" t="str">
        <f>IF(L$3="","",IF(COUNTIFS(BD!$A$3:$A$5001,L$3,BD!$B$3:$B$5001,$A$463,BD!$N$3:$N$5001,"&lt;&gt;")=0,"",SUMIFS(BD!$N$3:$N$5001,BD!$A$3:$A$5001,L$3,BD!$B$3:$B$5001,$A$463)))</f>
        <v/>
      </c>
      <c r="M474" s="220" t="str">
        <f>IF(M$3="","",IF(COUNTIFS(BD!$A$3:$A$5001,M$3,BD!$B$3:$B$5001,$A$463,BD!$N$3:$N$5001,"&lt;&gt;")=0,"",SUMIFS(BD!$N$3:$N$5001,BD!$A$3:$A$5001,M$3,BD!$B$3:$B$5001,$A$463)))</f>
        <v/>
      </c>
      <c r="N474" s="220" t="str">
        <f>IF(N$3="","",IF(COUNTIFS(BD!$A$3:$A$5001,N$3,BD!$B$3:$B$5001,$A$463,BD!$N$3:$N$5001,"&lt;&gt;")=0,"",SUMIFS(BD!$N$3:$N$5001,BD!$A$3:$A$5001,N$3,BD!$B$3:$B$5001,$A$463)))</f>
        <v/>
      </c>
      <c r="O474" s="220" t="str">
        <f>IF(O$3="","",IF(COUNTIFS(BD!$A$3:$A$5001,O$3,BD!$B$3:$B$5001,$A$463,BD!$N$3:$N$5001,"&lt;&gt;")=0,"",SUMIFS(BD!$N$3:$N$5001,BD!$A$3:$A$5001,O$3,BD!$B$3:$B$5001,$A$463)))</f>
        <v/>
      </c>
      <c r="P474" s="220" t="str">
        <f>IF(P$3="","",IF(COUNTIFS(BD!$A$3:$A$5001,P$3,BD!$B$3:$B$5001,$A$463,BD!$N$3:$N$5001,"&lt;&gt;")=0,"",SUMIFS(BD!$N$3:$N$5001,BD!$A$3:$A$5001,P$3,BD!$B$3:$B$5001,$A$463)))</f>
        <v/>
      </c>
      <c r="Q474" s="220" t="str">
        <f>IF(Q$3="","",IF(COUNTIFS(BD!$A$3:$A$5001,Q$3,BD!$B$3:$B$5001,$A$463,BD!$N$3:$N$5001,"&lt;&gt;")=0,"",SUMIFS(BD!$N$3:$N$5001,BD!$A$3:$A$5001,Q$3,BD!$B$3:$B$5001,$A$463)))</f>
        <v/>
      </c>
      <c r="R474" s="220" t="str">
        <f>IF(R$3="","",IF(COUNTIFS(BD!$A$3:$A$5001,R$3,BD!$B$3:$B$5001,$A$463,BD!$N$3:$N$5001,"&lt;&gt;")=0,"",SUMIFS(BD!$N$3:$N$5001,BD!$A$3:$A$5001,R$3,BD!$B$3:$B$5001,$A$463)))</f>
        <v/>
      </c>
      <c r="S474" s="220" t="str">
        <f>IF(S$3="","",IF(COUNTIFS(BD!$A$3:$A$5001,S$3,BD!$B$3:$B$5001,$A$463,BD!$N$3:$N$5001,"&lt;&gt;")=0,"",SUMIFS(BD!$N$3:$N$5001,BD!$A$3:$A$5001,S$3,BD!$B$3:$B$5001,$A$463)))</f>
        <v/>
      </c>
      <c r="T474" s="220" t="str">
        <f>IF(T$3="","",IF(COUNTIFS(BD!$A$3:$A$5001,T$3,BD!$B$3:$B$5001,$A$463,BD!$N$3:$N$5001,"&lt;&gt;")=0,"",SUMIFS(BD!$N$3:$N$5001,BD!$A$3:$A$5001,T$3,BD!$B$3:$B$5001,$A$463)))</f>
        <v/>
      </c>
      <c r="U474" s="220" t="str">
        <f>IF(U$3="","",IF(COUNTIFS(BD!$A$3:$A$5001,U$3,BD!$B$3:$B$5001,$A$463,BD!$N$3:$N$5001,"&lt;&gt;")=0,"",SUMIFS(BD!$N$3:$N$5001,BD!$A$3:$A$5001,U$3,BD!$B$3:$B$5001,$A$463)))</f>
        <v/>
      </c>
      <c r="V474" s="220" t="str">
        <f>IF(V$3="","",IF(COUNTIFS(BD!$A$3:$A$5001,V$3,BD!$B$3:$B$5001,$A$463,BD!$N$3:$N$5001,"&lt;&gt;")=0,"",SUMIFS(BD!$N$3:$N$5001,BD!$A$3:$A$5001,V$3,BD!$B$3:$B$5001,$A$463)))</f>
        <v/>
      </c>
      <c r="W474" s="220" t="str">
        <f>IF(W$3="","",IF(COUNTIFS(BD!$A$3:$A$5001,W$3,BD!$B$3:$B$5001,$A$463,BD!$N$3:$N$5001,"&lt;&gt;")=0,"",SUMIFS(BD!$N$3:$N$5001,BD!$A$3:$A$5001,W$3,BD!$B$3:$B$5001,$A$463)))</f>
        <v/>
      </c>
      <c r="X474" s="220" t="str">
        <f>IF(X$3="","",IF(COUNTIFS(BD!$A$3:$A$5001,X$3,BD!$B$3:$B$5001,$A$463,BD!$N$3:$N$5001,"&lt;&gt;")=0,"",SUMIFS(BD!$N$3:$N$5001,BD!$A$3:$A$5001,X$3,BD!$B$3:$B$5001,$A$463)))</f>
        <v/>
      </c>
      <c r="Y474" s="220" t="str">
        <f>IF(Y$3="","",IF(COUNTIFS(BD!$A$3:$A$5001,Y$3,BD!$B$3:$B$5001,$A$463,BD!$N$3:$N$5001,"&lt;&gt;")=0,"",SUMIFS(BD!$N$3:$N$5001,BD!$A$3:$A$5001,Y$3,BD!$B$3:$B$5001,$A$463)))</f>
        <v/>
      </c>
      <c r="Z474" s="220" t="str">
        <f>IF(Z$3="","",IF(COUNTIFS(BD!$A$3:$A$5001,Z$3,BD!$B$3:$B$5001,$A$463,BD!$N$3:$N$5001,"&lt;&gt;")=0,"",SUMIFS(BD!$N$3:$N$5001,BD!$A$3:$A$5001,Z$3,BD!$B$3:$B$5001,$A$463)))</f>
        <v/>
      </c>
      <c r="AA474" s="220" t="str">
        <f>IF(AA$3="","",IF(COUNTIFS(BD!$A$3:$A$5001,AA$3,BD!$B$3:$B$5001,$A$463,BD!$N$3:$N$5001,"&lt;&gt;")=0,"",SUMIFS(BD!$N$3:$N$5001,BD!$A$3:$A$5001,AA$3,BD!$B$3:$B$5001,$A$463)))</f>
        <v/>
      </c>
      <c r="AB474" s="220" t="str">
        <f>IF(AB$3="","",IF(COUNTIFS(BD!$A$3:$A$5001,AB$3,BD!$B$3:$B$5001,$A$463,BD!$N$3:$N$5001,"&lt;&gt;")=0,"",SUMIFS(BD!$N$3:$N$5001,BD!$A$3:$A$5001,AB$3,BD!$B$3:$B$5001,$A$463)))</f>
        <v/>
      </c>
      <c r="AC474" s="220" t="str">
        <f>IF(AC$3="","",IF(COUNTIFS(BD!$A$3:$A$5001,AC$3,BD!$B$3:$B$5001,$A$463,BD!$N$3:$N$5001,"&lt;&gt;")=0,"",SUMIFS(BD!$N$3:$N$5001,BD!$A$3:$A$5001,AC$3,BD!$B$3:$B$5001,$A$463)))</f>
        <v/>
      </c>
      <c r="AD474" s="220" t="str">
        <f>IF(AD$3="","",IF(COUNTIFS(BD!$A$3:$A$5001,AD$3,BD!$B$3:$B$5001,$A$463,BD!$N$3:$N$5001,"&lt;&gt;")=0,"",SUMIFS(BD!$N$3:$N$5001,BD!$A$3:$A$5001,AD$3,BD!$B$3:$B$5001,$A$463)))</f>
        <v/>
      </c>
      <c r="AE474" s="220" t="str">
        <f>IF(AE$3="","",IF(COUNTIFS(BD!$A$3:$A$5001,AE$3,BD!$B$3:$B$5001,$A$463,BD!$N$3:$N$5001,"&lt;&gt;")=0,"",SUMIFS(BD!$N$3:$N$5001,BD!$A$3:$A$5001,AE$3,BD!$B$3:$B$5001,$A$463)))</f>
        <v/>
      </c>
      <c r="AF474" s="220" t="str">
        <f>IF(AF$3="","",IF(COUNTIFS(BD!$A$3:$A$5001,AF$3,BD!$B$3:$B$5001,$A$463,BD!$N$3:$N$5001,"&lt;&gt;")=0,"",SUMIFS(BD!$N$3:$N$5001,BD!$A$3:$A$5001,AF$3,BD!$B$3:$B$5001,$A$463)))</f>
        <v/>
      </c>
      <c r="AG474" s="220" t="str">
        <f>IF(AG$3="","",IF(COUNTIFS(BD!$A$3:$A$5001,AG$3,BD!$B$3:$B$5001,$A$463,BD!$N$3:$N$5001,"&lt;&gt;")=0,"",SUMIFS(BD!$N$3:$N$5001,BD!$A$3:$A$5001,AG$3,BD!$B$3:$B$5001,$A$463)))</f>
        <v/>
      </c>
      <c r="AH474" s="220" t="str">
        <f>IF(AH$3="","",IF(COUNTIFS(BD!$A$3:$A$5001,AH$3,BD!$B$3:$B$5001,$A$463,BD!$N$3:$N$5001,"&lt;&gt;")=0,"",SUMIFS(BD!$N$3:$N$5001,BD!$A$3:$A$5001,AH$3,BD!$B$3:$B$5001,$A$463)))</f>
        <v/>
      </c>
      <c r="AI474" s="220" t="str">
        <f>IF(AI$3="","",IF(COUNTIFS(BD!$A$3:$A$5001,AI$3,BD!$B$3:$B$5001,$A$463,BD!$N$3:$N$5001,"&lt;&gt;")=0,"",SUMIFS(BD!$N$3:$N$5001,BD!$A$3:$A$5001,AI$3,BD!$B$3:$B$5001,$A$463)))</f>
        <v/>
      </c>
      <c r="AJ474" s="221" t="str">
        <f>IF(AJ$3="","",IF(COUNTIFS(BD!$A$3:$A$5001,AJ$3,BD!$B$3:$B$5001,$A$463,BD!$N$3:$N$5001,"&lt;&gt;")=0,"",SUMIFS(BD!$N$3:$N$5001,BD!$A$3:$A$5001,AJ$3,BD!$B$3:$B$5001,$A$463)))</f>
        <v/>
      </c>
      <c r="AK474" s="222" t="str">
        <f>IF(COUNT(F474:AJ474)=0,"",SUM(F474:AJ474))</f>
        <v/>
      </c>
    </row>
    <row r="475" ht="15.75" customHeight="1" hidden="1">
      <c r="A475" s="277"/>
      <c r="B475" s="271"/>
      <c r="C475" s="223" t="inlineStr">
        <is>
          <t xml:space="preserve">No show</t>
        </is>
      </c>
      <c r="D475" s="224" t="str">
        <f>IFERROR(1/(1/INDEX(BD!$AF$35:$AZ$35,MATCH($A$463,BD!$AF$22:$AZ$22,0))),"")</f>
        <v/>
      </c>
      <c r="E475" s="225"/>
      <c r="F475" s="226" t="str">
        <f>IF(F$3="","",IF(COUNTIFS(BD!$A$3:$A$5001,F$3,BD!$B$3:$B$5001,$A$463,BD!$O$3:$O$5001,"&lt;&gt;")=0,"",SUMIFS(BD!$O$3:$O$5001,BD!$A$3:$A$5001,F$3,BD!$B$3:$B$5001,$A$463)))</f>
        <v/>
      </c>
      <c r="G475" s="227" t="str">
        <f>IF(G$3="","",IF(COUNTIFS(BD!$A$3:$A$5001,G$3,BD!$B$3:$B$5001,$A$463,BD!$O$3:$O$5001,"&lt;&gt;")=0,"",SUMIFS(BD!$O$3:$O$5001,BD!$A$3:$A$5001,G$3,BD!$B$3:$B$5001,$A$463)))</f>
        <v/>
      </c>
      <c r="H475" s="227" t="str">
        <f>IF(H$3="","",IF(COUNTIFS(BD!$A$3:$A$5001,H$3,BD!$B$3:$B$5001,$A$463,BD!$O$3:$O$5001,"&lt;&gt;")=0,"",SUMIFS(BD!$O$3:$O$5001,BD!$A$3:$A$5001,H$3,BD!$B$3:$B$5001,$A$463)))</f>
        <v/>
      </c>
      <c r="I475" s="227" t="str">
        <f>IF(I$3="","",IF(COUNTIFS(BD!$A$3:$A$5001,I$3,BD!$B$3:$B$5001,$A$463,BD!$O$3:$O$5001,"&lt;&gt;")=0,"",SUMIFS(BD!$O$3:$O$5001,BD!$A$3:$A$5001,I$3,BD!$B$3:$B$5001,$A$463)))</f>
        <v/>
      </c>
      <c r="J475" s="227" t="str">
        <f>IF(J$3="","",IF(COUNTIFS(BD!$A$3:$A$5001,J$3,BD!$B$3:$B$5001,$A$463,BD!$O$3:$O$5001,"&lt;&gt;")=0,"",SUMIFS(BD!$O$3:$O$5001,BD!$A$3:$A$5001,J$3,BD!$B$3:$B$5001,$A$463)))</f>
        <v/>
      </c>
      <c r="K475" s="227" t="str">
        <f>IF(K$3="","",IF(COUNTIFS(BD!$A$3:$A$5001,K$3,BD!$B$3:$B$5001,$A$463,BD!$O$3:$O$5001,"&lt;&gt;")=0,"",SUMIFS(BD!$O$3:$O$5001,BD!$A$3:$A$5001,K$3,BD!$B$3:$B$5001,$A$463)))</f>
        <v/>
      </c>
      <c r="L475" s="227" t="str">
        <f>IF(L$3="","",IF(COUNTIFS(BD!$A$3:$A$5001,L$3,BD!$B$3:$B$5001,$A$463,BD!$O$3:$O$5001,"&lt;&gt;")=0,"",SUMIFS(BD!$O$3:$O$5001,BD!$A$3:$A$5001,L$3,BD!$B$3:$B$5001,$A$463)))</f>
        <v/>
      </c>
      <c r="M475" s="227" t="str">
        <f>IF(M$3="","",IF(COUNTIFS(BD!$A$3:$A$5001,M$3,BD!$B$3:$B$5001,$A$463,BD!$O$3:$O$5001,"&lt;&gt;")=0,"",SUMIFS(BD!$O$3:$O$5001,BD!$A$3:$A$5001,M$3,BD!$B$3:$B$5001,$A$463)))</f>
        <v/>
      </c>
      <c r="N475" s="227" t="str">
        <f>IF(N$3="","",IF(COUNTIFS(BD!$A$3:$A$5001,N$3,BD!$B$3:$B$5001,$A$463,BD!$O$3:$O$5001,"&lt;&gt;")=0,"",SUMIFS(BD!$O$3:$O$5001,BD!$A$3:$A$5001,N$3,BD!$B$3:$B$5001,$A$463)))</f>
        <v/>
      </c>
      <c r="O475" s="227" t="str">
        <f>IF(O$3="","",IF(COUNTIFS(BD!$A$3:$A$5001,O$3,BD!$B$3:$B$5001,$A$463,BD!$O$3:$O$5001,"&lt;&gt;")=0,"",SUMIFS(BD!$O$3:$O$5001,BD!$A$3:$A$5001,O$3,BD!$B$3:$B$5001,$A$463)))</f>
        <v/>
      </c>
      <c r="P475" s="227" t="str">
        <f>IF(P$3="","",IF(COUNTIFS(BD!$A$3:$A$5001,P$3,BD!$B$3:$B$5001,$A$463,BD!$O$3:$O$5001,"&lt;&gt;")=0,"",SUMIFS(BD!$O$3:$O$5001,BD!$A$3:$A$5001,P$3,BD!$B$3:$B$5001,$A$463)))</f>
        <v/>
      </c>
      <c r="Q475" s="227" t="str">
        <f>IF(Q$3="","",IF(COUNTIFS(BD!$A$3:$A$5001,Q$3,BD!$B$3:$B$5001,$A$463,BD!$O$3:$O$5001,"&lt;&gt;")=0,"",SUMIFS(BD!$O$3:$O$5001,BD!$A$3:$A$5001,Q$3,BD!$B$3:$B$5001,$A$463)))</f>
        <v/>
      </c>
      <c r="R475" s="227" t="str">
        <f>IF(R$3="","",IF(COUNTIFS(BD!$A$3:$A$5001,R$3,BD!$B$3:$B$5001,$A$463,BD!$O$3:$O$5001,"&lt;&gt;")=0,"",SUMIFS(BD!$O$3:$O$5001,BD!$A$3:$A$5001,R$3,BD!$B$3:$B$5001,$A$463)))</f>
        <v/>
      </c>
      <c r="S475" s="227" t="str">
        <f>IF(S$3="","",IF(COUNTIFS(BD!$A$3:$A$5001,S$3,BD!$B$3:$B$5001,$A$463,BD!$O$3:$O$5001,"&lt;&gt;")=0,"",SUMIFS(BD!$O$3:$O$5001,BD!$A$3:$A$5001,S$3,BD!$B$3:$B$5001,$A$463)))</f>
        <v/>
      </c>
      <c r="T475" s="227" t="str">
        <f>IF(T$3="","",IF(COUNTIFS(BD!$A$3:$A$5001,T$3,BD!$B$3:$B$5001,$A$463,BD!$O$3:$O$5001,"&lt;&gt;")=0,"",SUMIFS(BD!$O$3:$O$5001,BD!$A$3:$A$5001,T$3,BD!$B$3:$B$5001,$A$463)))</f>
        <v/>
      </c>
      <c r="U475" s="227" t="str">
        <f>IF(U$3="","",IF(COUNTIFS(BD!$A$3:$A$5001,U$3,BD!$B$3:$B$5001,$A$463,BD!$O$3:$O$5001,"&lt;&gt;")=0,"",SUMIFS(BD!$O$3:$O$5001,BD!$A$3:$A$5001,U$3,BD!$B$3:$B$5001,$A$463)))</f>
        <v/>
      </c>
      <c r="V475" s="227" t="str">
        <f>IF(V$3="","",IF(COUNTIFS(BD!$A$3:$A$5001,V$3,BD!$B$3:$B$5001,$A$463,BD!$O$3:$O$5001,"&lt;&gt;")=0,"",SUMIFS(BD!$O$3:$O$5001,BD!$A$3:$A$5001,V$3,BD!$B$3:$B$5001,$A$463)))</f>
        <v/>
      </c>
      <c r="W475" s="227" t="str">
        <f>IF(W$3="","",IF(COUNTIFS(BD!$A$3:$A$5001,W$3,BD!$B$3:$B$5001,$A$463,BD!$O$3:$O$5001,"&lt;&gt;")=0,"",SUMIFS(BD!$O$3:$O$5001,BD!$A$3:$A$5001,W$3,BD!$B$3:$B$5001,$A$463)))</f>
        <v/>
      </c>
      <c r="X475" s="227" t="str">
        <f>IF(X$3="","",IF(COUNTIFS(BD!$A$3:$A$5001,X$3,BD!$B$3:$B$5001,$A$463,BD!$O$3:$O$5001,"&lt;&gt;")=0,"",SUMIFS(BD!$O$3:$O$5001,BD!$A$3:$A$5001,X$3,BD!$B$3:$B$5001,$A$463)))</f>
        <v/>
      </c>
      <c r="Y475" s="227" t="str">
        <f>IF(Y$3="","",IF(COUNTIFS(BD!$A$3:$A$5001,Y$3,BD!$B$3:$B$5001,$A$463,BD!$O$3:$O$5001,"&lt;&gt;")=0,"",SUMIFS(BD!$O$3:$O$5001,BD!$A$3:$A$5001,Y$3,BD!$B$3:$B$5001,$A$463)))</f>
        <v/>
      </c>
      <c r="Z475" s="227" t="str">
        <f>IF(Z$3="","",IF(COUNTIFS(BD!$A$3:$A$5001,Z$3,BD!$B$3:$B$5001,$A$463,BD!$O$3:$O$5001,"&lt;&gt;")=0,"",SUMIFS(BD!$O$3:$O$5001,BD!$A$3:$A$5001,Z$3,BD!$B$3:$B$5001,$A$463)))</f>
        <v/>
      </c>
      <c r="AA475" s="227" t="str">
        <f>IF(AA$3="","",IF(COUNTIFS(BD!$A$3:$A$5001,AA$3,BD!$B$3:$B$5001,$A$463,BD!$O$3:$O$5001,"&lt;&gt;")=0,"",SUMIFS(BD!$O$3:$O$5001,BD!$A$3:$A$5001,AA$3,BD!$B$3:$B$5001,$A$463)))</f>
        <v/>
      </c>
      <c r="AB475" s="227" t="str">
        <f>IF(AB$3="","",IF(COUNTIFS(BD!$A$3:$A$5001,AB$3,BD!$B$3:$B$5001,$A$463,BD!$O$3:$O$5001,"&lt;&gt;")=0,"",SUMIFS(BD!$O$3:$O$5001,BD!$A$3:$A$5001,AB$3,BD!$B$3:$B$5001,$A$463)))</f>
        <v/>
      </c>
      <c r="AC475" s="227" t="str">
        <f>IF(AC$3="","",IF(COUNTIFS(BD!$A$3:$A$5001,AC$3,BD!$B$3:$B$5001,$A$463,BD!$O$3:$O$5001,"&lt;&gt;")=0,"",SUMIFS(BD!$O$3:$O$5001,BD!$A$3:$A$5001,AC$3,BD!$B$3:$B$5001,$A$463)))</f>
        <v/>
      </c>
      <c r="AD475" s="227" t="str">
        <f>IF(AD$3="","",IF(COUNTIFS(BD!$A$3:$A$5001,AD$3,BD!$B$3:$B$5001,$A$463,BD!$O$3:$O$5001,"&lt;&gt;")=0,"",SUMIFS(BD!$O$3:$O$5001,BD!$A$3:$A$5001,AD$3,BD!$B$3:$B$5001,$A$463)))</f>
        <v/>
      </c>
      <c r="AE475" s="227" t="str">
        <f>IF(AE$3="","",IF(COUNTIFS(BD!$A$3:$A$5001,AE$3,BD!$B$3:$B$5001,$A$463,BD!$O$3:$O$5001,"&lt;&gt;")=0,"",SUMIFS(BD!$O$3:$O$5001,BD!$A$3:$A$5001,AE$3,BD!$B$3:$B$5001,$A$463)))</f>
        <v/>
      </c>
      <c r="AF475" s="227" t="str">
        <f>IF(AF$3="","",IF(COUNTIFS(BD!$A$3:$A$5001,AF$3,BD!$B$3:$B$5001,$A$463,BD!$O$3:$O$5001,"&lt;&gt;")=0,"",SUMIFS(BD!$O$3:$O$5001,BD!$A$3:$A$5001,AF$3,BD!$B$3:$B$5001,$A$463)))</f>
        <v/>
      </c>
      <c r="AG475" s="227" t="str">
        <f>IF(AG$3="","",IF(COUNTIFS(BD!$A$3:$A$5001,AG$3,BD!$B$3:$B$5001,$A$463,BD!$O$3:$O$5001,"&lt;&gt;")=0,"",SUMIFS(BD!$O$3:$O$5001,BD!$A$3:$A$5001,AG$3,BD!$B$3:$B$5001,$A$463)))</f>
        <v/>
      </c>
      <c r="AH475" s="227" t="str">
        <f>IF(AH$3="","",IF(COUNTIFS(BD!$A$3:$A$5001,AH$3,BD!$B$3:$B$5001,$A$463,BD!$O$3:$O$5001,"&lt;&gt;")=0,"",SUMIFS(BD!$O$3:$O$5001,BD!$A$3:$A$5001,AH$3,BD!$B$3:$B$5001,$A$463)))</f>
        <v/>
      </c>
      <c r="AI475" s="227" t="str">
        <f>IF(AI$3="","",IF(COUNTIFS(BD!$A$3:$A$5001,AI$3,BD!$B$3:$B$5001,$A$463,BD!$O$3:$O$5001,"&lt;&gt;")=0,"",SUMIFS(BD!$O$3:$O$5001,BD!$A$3:$A$5001,AI$3,BD!$B$3:$B$5001,$A$463)))</f>
        <v/>
      </c>
      <c r="AJ475" s="228" t="str">
        <f>IF(AJ$3="","",IF(COUNTIFS(BD!$A$3:$A$5001,AJ$3,BD!$B$3:$B$5001,$A$463,BD!$O$3:$O$5001,"&lt;&gt;")=0,"",SUMIFS(BD!$O$3:$O$5001,BD!$A$3:$A$5001,AJ$3,BD!$B$3:$B$5001,$A$463)))</f>
        <v/>
      </c>
      <c r="AK475" s="229" t="str">
        <f>IF(COUNT(F475:AJ475)=0,"",SUM(F475:AJ475))</f>
        <v/>
      </c>
    </row>
    <row r="476" ht="15.75" customHeight="1" hidden="1">
      <c r="A476" s="277"/>
      <c r="B476" s="271"/>
      <c r="C476" s="223" t="inlineStr">
        <is>
          <t xml:space="preserve">Backlog Intralog</t>
        </is>
      </c>
      <c r="D476" s="224" t="str">
        <f>IFERROR(1/(1/INDEX(BD!$AF$36:$AZ$36,MATCH($A$463,BD!$AF$22:$AZ$22,0))),"")</f>
        <v/>
      </c>
      <c r="E476" s="225"/>
      <c r="F476" s="226" t="str">
        <f>IF(F$3="","",IF(COUNTIFS(BD!$A$3:$A$5001,F$3,BD!$B$3:$B$5001,$A$463,BD!$P$3:$P$5001,"&lt;&gt;")=0,"",SUMIFS(BD!$P$3:$P$5001,BD!$A$3:$A$5001,F$3,BD!$B$3:$B$5001,$A$463)))</f>
        <v/>
      </c>
      <c r="G476" s="227" t="str">
        <f>IF(G$3="","",IF(COUNTIFS(BD!$A$3:$A$5001,G$3,BD!$B$3:$B$5001,$A$463,BD!$P$3:$P$5001,"&lt;&gt;")=0,"",SUMIFS(BD!$P$3:$P$5001,BD!$A$3:$A$5001,G$3,BD!$B$3:$B$5001,$A$463)))</f>
        <v/>
      </c>
      <c r="H476" s="227" t="str">
        <f>IF(H$3="","",IF(COUNTIFS(BD!$A$3:$A$5001,H$3,BD!$B$3:$B$5001,$A$463,BD!$P$3:$P$5001,"&lt;&gt;")=0,"",SUMIFS(BD!$P$3:$P$5001,BD!$A$3:$A$5001,H$3,BD!$B$3:$B$5001,$A$463)))</f>
        <v/>
      </c>
      <c r="I476" s="227" t="str">
        <f>IF(I$3="","",IF(COUNTIFS(BD!$A$3:$A$5001,I$3,BD!$B$3:$B$5001,$A$463,BD!$P$3:$P$5001,"&lt;&gt;")=0,"",SUMIFS(BD!$P$3:$P$5001,BD!$A$3:$A$5001,I$3,BD!$B$3:$B$5001,$A$463)))</f>
        <v/>
      </c>
      <c r="J476" s="227" t="str">
        <f>IF(J$3="","",IF(COUNTIFS(BD!$A$3:$A$5001,J$3,BD!$B$3:$B$5001,$A$463,BD!$P$3:$P$5001,"&lt;&gt;")=0,"",SUMIFS(BD!$P$3:$P$5001,BD!$A$3:$A$5001,J$3,BD!$B$3:$B$5001,$A$463)))</f>
        <v/>
      </c>
      <c r="K476" s="227" t="str">
        <f>IF(K$3="","",IF(COUNTIFS(BD!$A$3:$A$5001,K$3,BD!$B$3:$B$5001,$A$463,BD!$P$3:$P$5001,"&lt;&gt;")=0,"",SUMIFS(BD!$P$3:$P$5001,BD!$A$3:$A$5001,K$3,BD!$B$3:$B$5001,$A$463)))</f>
        <v/>
      </c>
      <c r="L476" s="227" t="str">
        <f>IF(L$3="","",IF(COUNTIFS(BD!$A$3:$A$5001,L$3,BD!$B$3:$B$5001,$A$463,BD!$P$3:$P$5001,"&lt;&gt;")=0,"",SUMIFS(BD!$P$3:$P$5001,BD!$A$3:$A$5001,L$3,BD!$B$3:$B$5001,$A$463)))</f>
        <v/>
      </c>
      <c r="M476" s="227" t="str">
        <f>IF(M$3="","",IF(COUNTIFS(BD!$A$3:$A$5001,M$3,BD!$B$3:$B$5001,$A$463,BD!$P$3:$P$5001,"&lt;&gt;")=0,"",SUMIFS(BD!$P$3:$P$5001,BD!$A$3:$A$5001,M$3,BD!$B$3:$B$5001,$A$463)))</f>
        <v/>
      </c>
      <c r="N476" s="227" t="str">
        <f>IF(N$3="","",IF(COUNTIFS(BD!$A$3:$A$5001,N$3,BD!$B$3:$B$5001,$A$463,BD!$P$3:$P$5001,"&lt;&gt;")=0,"",SUMIFS(BD!$P$3:$P$5001,BD!$A$3:$A$5001,N$3,BD!$B$3:$B$5001,$A$463)))</f>
        <v/>
      </c>
      <c r="O476" s="227" t="str">
        <f>IF(O$3="","",IF(COUNTIFS(BD!$A$3:$A$5001,O$3,BD!$B$3:$B$5001,$A$463,BD!$P$3:$P$5001,"&lt;&gt;")=0,"",SUMIFS(BD!$P$3:$P$5001,BD!$A$3:$A$5001,O$3,BD!$B$3:$B$5001,$A$463)))</f>
        <v/>
      </c>
      <c r="P476" s="227" t="str">
        <f>IF(P$3="","",IF(COUNTIFS(BD!$A$3:$A$5001,P$3,BD!$B$3:$B$5001,$A$463,BD!$P$3:$P$5001,"&lt;&gt;")=0,"",SUMIFS(BD!$P$3:$P$5001,BD!$A$3:$A$5001,P$3,BD!$B$3:$B$5001,$A$463)))</f>
        <v/>
      </c>
      <c r="Q476" s="227" t="str">
        <f>IF(Q$3="","",IF(COUNTIFS(BD!$A$3:$A$5001,Q$3,BD!$B$3:$B$5001,$A$463,BD!$P$3:$P$5001,"&lt;&gt;")=0,"",SUMIFS(BD!$P$3:$P$5001,BD!$A$3:$A$5001,Q$3,BD!$B$3:$B$5001,$A$463)))</f>
        <v/>
      </c>
      <c r="R476" s="227" t="str">
        <f>IF(R$3="","",IF(COUNTIFS(BD!$A$3:$A$5001,R$3,BD!$B$3:$B$5001,$A$463,BD!$P$3:$P$5001,"&lt;&gt;")=0,"",SUMIFS(BD!$P$3:$P$5001,BD!$A$3:$A$5001,R$3,BD!$B$3:$B$5001,$A$463)))</f>
        <v/>
      </c>
      <c r="S476" s="227" t="str">
        <f>IF(S$3="","",IF(COUNTIFS(BD!$A$3:$A$5001,S$3,BD!$B$3:$B$5001,$A$463,BD!$P$3:$P$5001,"&lt;&gt;")=0,"",SUMIFS(BD!$P$3:$P$5001,BD!$A$3:$A$5001,S$3,BD!$B$3:$B$5001,$A$463)))</f>
        <v/>
      </c>
      <c r="T476" s="227" t="str">
        <f>IF(T$3="","",IF(COUNTIFS(BD!$A$3:$A$5001,T$3,BD!$B$3:$B$5001,$A$463,BD!$P$3:$P$5001,"&lt;&gt;")=0,"",SUMIFS(BD!$P$3:$P$5001,BD!$A$3:$A$5001,T$3,BD!$B$3:$B$5001,$A$463)))</f>
        <v/>
      </c>
      <c r="U476" s="227" t="str">
        <f>IF(U$3="","",IF(COUNTIFS(BD!$A$3:$A$5001,U$3,BD!$B$3:$B$5001,$A$463,BD!$P$3:$P$5001,"&lt;&gt;")=0,"",SUMIFS(BD!$P$3:$P$5001,BD!$A$3:$A$5001,U$3,BD!$B$3:$B$5001,$A$463)))</f>
        <v/>
      </c>
      <c r="V476" s="227" t="str">
        <f>IF(V$3="","",IF(COUNTIFS(BD!$A$3:$A$5001,V$3,BD!$B$3:$B$5001,$A$463,BD!$P$3:$P$5001,"&lt;&gt;")=0,"",SUMIFS(BD!$P$3:$P$5001,BD!$A$3:$A$5001,V$3,BD!$B$3:$B$5001,$A$463)))</f>
        <v/>
      </c>
      <c r="W476" s="227" t="str">
        <f>IF(W$3="","",IF(COUNTIFS(BD!$A$3:$A$5001,W$3,BD!$B$3:$B$5001,$A$463,BD!$P$3:$P$5001,"&lt;&gt;")=0,"",SUMIFS(BD!$P$3:$P$5001,BD!$A$3:$A$5001,W$3,BD!$B$3:$B$5001,$A$463)))</f>
        <v/>
      </c>
      <c r="X476" s="227" t="str">
        <f>IF(X$3="","",IF(COUNTIFS(BD!$A$3:$A$5001,X$3,BD!$B$3:$B$5001,$A$463,BD!$P$3:$P$5001,"&lt;&gt;")=0,"",SUMIFS(BD!$P$3:$P$5001,BD!$A$3:$A$5001,X$3,BD!$B$3:$B$5001,$A$463)))</f>
        <v/>
      </c>
      <c r="Y476" s="227" t="str">
        <f>IF(Y$3="","",IF(COUNTIFS(BD!$A$3:$A$5001,Y$3,BD!$B$3:$B$5001,$A$463,BD!$P$3:$P$5001,"&lt;&gt;")=0,"",SUMIFS(BD!$P$3:$P$5001,BD!$A$3:$A$5001,Y$3,BD!$B$3:$B$5001,$A$463)))</f>
        <v/>
      </c>
      <c r="Z476" s="227" t="str">
        <f>IF(Z$3="","",IF(COUNTIFS(BD!$A$3:$A$5001,Z$3,BD!$B$3:$B$5001,$A$463,BD!$P$3:$P$5001,"&lt;&gt;")=0,"",SUMIFS(BD!$P$3:$P$5001,BD!$A$3:$A$5001,Z$3,BD!$B$3:$B$5001,$A$463)))</f>
        <v/>
      </c>
      <c r="AA476" s="227" t="str">
        <f>IF(AA$3="","",IF(COUNTIFS(BD!$A$3:$A$5001,AA$3,BD!$B$3:$B$5001,$A$463,BD!$P$3:$P$5001,"&lt;&gt;")=0,"",SUMIFS(BD!$P$3:$P$5001,BD!$A$3:$A$5001,AA$3,BD!$B$3:$B$5001,$A$463)))</f>
        <v/>
      </c>
      <c r="AB476" s="227" t="str">
        <f>IF(AB$3="","",IF(COUNTIFS(BD!$A$3:$A$5001,AB$3,BD!$B$3:$B$5001,$A$463,BD!$P$3:$P$5001,"&lt;&gt;")=0,"",SUMIFS(BD!$P$3:$P$5001,BD!$A$3:$A$5001,AB$3,BD!$B$3:$B$5001,$A$463)))</f>
        <v/>
      </c>
      <c r="AC476" s="227" t="str">
        <f>IF(AC$3="","",IF(COUNTIFS(BD!$A$3:$A$5001,AC$3,BD!$B$3:$B$5001,$A$463,BD!$P$3:$P$5001,"&lt;&gt;")=0,"",SUMIFS(BD!$P$3:$P$5001,BD!$A$3:$A$5001,AC$3,BD!$B$3:$B$5001,$A$463)))</f>
        <v/>
      </c>
      <c r="AD476" s="227" t="str">
        <f>IF(AD$3="","",IF(COUNTIFS(BD!$A$3:$A$5001,AD$3,BD!$B$3:$B$5001,$A$463,BD!$P$3:$P$5001,"&lt;&gt;")=0,"",SUMIFS(BD!$P$3:$P$5001,BD!$A$3:$A$5001,AD$3,BD!$B$3:$B$5001,$A$463)))</f>
        <v/>
      </c>
      <c r="AE476" s="227" t="str">
        <f>IF(AE$3="","",IF(COUNTIFS(BD!$A$3:$A$5001,AE$3,BD!$B$3:$B$5001,$A$463,BD!$P$3:$P$5001,"&lt;&gt;")=0,"",SUMIFS(BD!$P$3:$P$5001,BD!$A$3:$A$5001,AE$3,BD!$B$3:$B$5001,$A$463)))</f>
        <v/>
      </c>
      <c r="AF476" s="227" t="str">
        <f>IF(AF$3="","",IF(COUNTIFS(BD!$A$3:$A$5001,AF$3,BD!$B$3:$B$5001,$A$463,BD!$P$3:$P$5001,"&lt;&gt;")=0,"",SUMIFS(BD!$P$3:$P$5001,BD!$A$3:$A$5001,AF$3,BD!$B$3:$B$5001,$A$463)))</f>
        <v/>
      </c>
      <c r="AG476" s="227" t="str">
        <f>IF(AG$3="","",IF(COUNTIFS(BD!$A$3:$A$5001,AG$3,BD!$B$3:$B$5001,$A$463,BD!$P$3:$P$5001,"&lt;&gt;")=0,"",SUMIFS(BD!$P$3:$P$5001,BD!$A$3:$A$5001,AG$3,BD!$B$3:$B$5001,$A$463)))</f>
        <v/>
      </c>
      <c r="AH476" s="227" t="str">
        <f>IF(AH$3="","",IF(COUNTIFS(BD!$A$3:$A$5001,AH$3,BD!$B$3:$B$5001,$A$463,BD!$P$3:$P$5001,"&lt;&gt;")=0,"",SUMIFS(BD!$P$3:$P$5001,BD!$A$3:$A$5001,AH$3,BD!$B$3:$B$5001,$A$463)))</f>
        <v/>
      </c>
      <c r="AI476" s="227" t="str">
        <f>IF(AI$3="","",IF(COUNTIFS(BD!$A$3:$A$5001,AI$3,BD!$B$3:$B$5001,$A$463,BD!$P$3:$P$5001,"&lt;&gt;")=0,"",SUMIFS(BD!$P$3:$P$5001,BD!$A$3:$A$5001,AI$3,BD!$B$3:$B$5001,$A$463)))</f>
        <v/>
      </c>
      <c r="AJ476" s="228" t="str">
        <f>IF(AJ$3="","",IF(COUNTIFS(BD!$A$3:$A$5001,AJ$3,BD!$B$3:$B$5001,$A$463,BD!$P$3:$P$5001,"&lt;&gt;")=0,"",SUMIFS(BD!$P$3:$P$5001,BD!$A$3:$A$5001,AJ$3,BD!$B$3:$B$5001,$A$463)))</f>
        <v/>
      </c>
      <c r="AK476" s="229" t="str">
        <f>IFERROR(LOOKUP(9.99E+307,F476:AJ476),"")</f>
        <v/>
      </c>
    </row>
    <row r="477" ht="15.75" customHeight="1" hidden="1">
      <c r="A477" s="277"/>
      <c r="B477" s="272"/>
      <c r="C477" s="230" t="inlineStr">
        <is>
          <t xml:space="preserve">Backlog Cliente</t>
        </is>
      </c>
      <c r="D477" s="231" t="str">
        <f>IFERROR(1/(1/INDEX(BD!$AF$37:$AZ$37,MATCH($A$463,BD!$AF$22:$AZ$22,0))),"")</f>
        <v/>
      </c>
      <c r="E477" s="232"/>
      <c r="F477" s="233" t="str">
        <f>IF(F$3="","",IF(COUNTIFS(BD!$A$3:$A$5001,F$3,BD!$B$3:$B$5001,$A$463,BD!$Q$3:$Q$5001,"&lt;&gt;")=0,"",SUMIFS(BD!$Q$3:$Q$5001,BD!$A$3:$A$5001,F$3,BD!$B$3:$B$5001,$A$463)))</f>
        <v/>
      </c>
      <c r="G477" s="234" t="str">
        <f>IF(G$3="","",IF(COUNTIFS(BD!$A$3:$A$5001,G$3,BD!$B$3:$B$5001,$A$463,BD!$Q$3:$Q$5001,"&lt;&gt;")=0,"",SUMIFS(BD!$Q$3:$Q$5001,BD!$A$3:$A$5001,G$3,BD!$B$3:$B$5001,$A$463)))</f>
        <v/>
      </c>
      <c r="H477" s="234" t="str">
        <f>IF(H$3="","",IF(COUNTIFS(BD!$A$3:$A$5001,H$3,BD!$B$3:$B$5001,$A$463,BD!$Q$3:$Q$5001,"&lt;&gt;")=0,"",SUMIFS(BD!$Q$3:$Q$5001,BD!$A$3:$A$5001,H$3,BD!$B$3:$B$5001,$A$463)))</f>
        <v/>
      </c>
      <c r="I477" s="234" t="str">
        <f>IF(I$3="","",IF(COUNTIFS(BD!$A$3:$A$5001,I$3,BD!$B$3:$B$5001,$A$463,BD!$Q$3:$Q$5001,"&lt;&gt;")=0,"",SUMIFS(BD!$Q$3:$Q$5001,BD!$A$3:$A$5001,I$3,BD!$B$3:$B$5001,$A$463)))</f>
        <v/>
      </c>
      <c r="J477" s="234" t="str">
        <f>IF(J$3="","",IF(COUNTIFS(BD!$A$3:$A$5001,J$3,BD!$B$3:$B$5001,$A$463,BD!$Q$3:$Q$5001,"&lt;&gt;")=0,"",SUMIFS(BD!$Q$3:$Q$5001,BD!$A$3:$A$5001,J$3,BD!$B$3:$B$5001,$A$463)))</f>
        <v/>
      </c>
      <c r="K477" s="234" t="str">
        <f>IF(K$3="","",IF(COUNTIFS(BD!$A$3:$A$5001,K$3,BD!$B$3:$B$5001,$A$463,BD!$Q$3:$Q$5001,"&lt;&gt;")=0,"",SUMIFS(BD!$Q$3:$Q$5001,BD!$A$3:$A$5001,K$3,BD!$B$3:$B$5001,$A$463)))</f>
        <v/>
      </c>
      <c r="L477" s="234" t="str">
        <f>IF(L$3="","",IF(COUNTIFS(BD!$A$3:$A$5001,L$3,BD!$B$3:$B$5001,$A$463,BD!$Q$3:$Q$5001,"&lt;&gt;")=0,"",SUMIFS(BD!$Q$3:$Q$5001,BD!$A$3:$A$5001,L$3,BD!$B$3:$B$5001,$A$463)))</f>
        <v/>
      </c>
      <c r="M477" s="234" t="str">
        <f>IF(M$3="","",IF(COUNTIFS(BD!$A$3:$A$5001,M$3,BD!$B$3:$B$5001,$A$463,BD!$Q$3:$Q$5001,"&lt;&gt;")=0,"",SUMIFS(BD!$Q$3:$Q$5001,BD!$A$3:$A$5001,M$3,BD!$B$3:$B$5001,$A$463)))</f>
        <v/>
      </c>
      <c r="N477" s="234" t="str">
        <f>IF(N$3="","",IF(COUNTIFS(BD!$A$3:$A$5001,N$3,BD!$B$3:$B$5001,$A$463,BD!$Q$3:$Q$5001,"&lt;&gt;")=0,"",SUMIFS(BD!$Q$3:$Q$5001,BD!$A$3:$A$5001,N$3,BD!$B$3:$B$5001,$A$463)))</f>
        <v/>
      </c>
      <c r="O477" s="234" t="str">
        <f>IF(O$3="","",IF(COUNTIFS(BD!$A$3:$A$5001,O$3,BD!$B$3:$B$5001,$A$463,BD!$Q$3:$Q$5001,"&lt;&gt;")=0,"",SUMIFS(BD!$Q$3:$Q$5001,BD!$A$3:$A$5001,O$3,BD!$B$3:$B$5001,$A$463)))</f>
        <v/>
      </c>
      <c r="P477" s="234" t="str">
        <f>IF(P$3="","",IF(COUNTIFS(BD!$A$3:$A$5001,P$3,BD!$B$3:$B$5001,$A$463,BD!$Q$3:$Q$5001,"&lt;&gt;")=0,"",SUMIFS(BD!$Q$3:$Q$5001,BD!$A$3:$A$5001,P$3,BD!$B$3:$B$5001,$A$463)))</f>
        <v/>
      </c>
      <c r="Q477" s="234" t="str">
        <f>IF(Q$3="","",IF(COUNTIFS(BD!$A$3:$A$5001,Q$3,BD!$B$3:$B$5001,$A$463,BD!$Q$3:$Q$5001,"&lt;&gt;")=0,"",SUMIFS(BD!$Q$3:$Q$5001,BD!$A$3:$A$5001,Q$3,BD!$B$3:$B$5001,$A$463)))</f>
        <v/>
      </c>
      <c r="R477" s="234" t="str">
        <f>IF(R$3="","",IF(COUNTIFS(BD!$A$3:$A$5001,R$3,BD!$B$3:$B$5001,$A$463,BD!$Q$3:$Q$5001,"&lt;&gt;")=0,"",SUMIFS(BD!$Q$3:$Q$5001,BD!$A$3:$A$5001,R$3,BD!$B$3:$B$5001,$A$463)))</f>
        <v/>
      </c>
      <c r="S477" s="234" t="str">
        <f>IF(S$3="","",IF(COUNTIFS(BD!$A$3:$A$5001,S$3,BD!$B$3:$B$5001,$A$463,BD!$Q$3:$Q$5001,"&lt;&gt;")=0,"",SUMIFS(BD!$Q$3:$Q$5001,BD!$A$3:$A$5001,S$3,BD!$B$3:$B$5001,$A$463)))</f>
        <v/>
      </c>
      <c r="T477" s="234" t="str">
        <f>IF(T$3="","",IF(COUNTIFS(BD!$A$3:$A$5001,T$3,BD!$B$3:$B$5001,$A$463,BD!$Q$3:$Q$5001,"&lt;&gt;")=0,"",SUMIFS(BD!$Q$3:$Q$5001,BD!$A$3:$A$5001,T$3,BD!$B$3:$B$5001,$A$463)))</f>
        <v/>
      </c>
      <c r="U477" s="234" t="str">
        <f>IF(U$3="","",IF(COUNTIFS(BD!$A$3:$A$5001,U$3,BD!$B$3:$B$5001,$A$463,BD!$Q$3:$Q$5001,"&lt;&gt;")=0,"",SUMIFS(BD!$Q$3:$Q$5001,BD!$A$3:$A$5001,U$3,BD!$B$3:$B$5001,$A$463)))</f>
        <v/>
      </c>
      <c r="V477" s="234" t="str">
        <f>IF(V$3="","",IF(COUNTIFS(BD!$A$3:$A$5001,V$3,BD!$B$3:$B$5001,$A$463,BD!$Q$3:$Q$5001,"&lt;&gt;")=0,"",SUMIFS(BD!$Q$3:$Q$5001,BD!$A$3:$A$5001,V$3,BD!$B$3:$B$5001,$A$463)))</f>
        <v/>
      </c>
      <c r="W477" s="234" t="str">
        <f>IF(W$3="","",IF(COUNTIFS(BD!$A$3:$A$5001,W$3,BD!$B$3:$B$5001,$A$463,BD!$Q$3:$Q$5001,"&lt;&gt;")=0,"",SUMIFS(BD!$Q$3:$Q$5001,BD!$A$3:$A$5001,W$3,BD!$B$3:$B$5001,$A$463)))</f>
        <v/>
      </c>
      <c r="X477" s="234" t="str">
        <f>IF(X$3="","",IF(COUNTIFS(BD!$A$3:$A$5001,X$3,BD!$B$3:$B$5001,$A$463,BD!$Q$3:$Q$5001,"&lt;&gt;")=0,"",SUMIFS(BD!$Q$3:$Q$5001,BD!$A$3:$A$5001,X$3,BD!$B$3:$B$5001,$A$463)))</f>
        <v/>
      </c>
      <c r="Y477" s="234" t="str">
        <f>IF(Y$3="","",IF(COUNTIFS(BD!$A$3:$A$5001,Y$3,BD!$B$3:$B$5001,$A$463,BD!$Q$3:$Q$5001,"&lt;&gt;")=0,"",SUMIFS(BD!$Q$3:$Q$5001,BD!$A$3:$A$5001,Y$3,BD!$B$3:$B$5001,$A$463)))</f>
        <v/>
      </c>
      <c r="Z477" s="234" t="str">
        <f>IF(Z$3="","",IF(COUNTIFS(BD!$A$3:$A$5001,Z$3,BD!$B$3:$B$5001,$A$463,BD!$Q$3:$Q$5001,"&lt;&gt;")=0,"",SUMIFS(BD!$Q$3:$Q$5001,BD!$A$3:$A$5001,Z$3,BD!$B$3:$B$5001,$A$463)))</f>
        <v/>
      </c>
      <c r="AA477" s="234" t="str">
        <f>IF(AA$3="","",IF(COUNTIFS(BD!$A$3:$A$5001,AA$3,BD!$B$3:$B$5001,$A$463,BD!$Q$3:$Q$5001,"&lt;&gt;")=0,"",SUMIFS(BD!$Q$3:$Q$5001,BD!$A$3:$A$5001,AA$3,BD!$B$3:$B$5001,$A$463)))</f>
        <v/>
      </c>
      <c r="AB477" s="234" t="str">
        <f>IF(AB$3="","",IF(COUNTIFS(BD!$A$3:$A$5001,AB$3,BD!$B$3:$B$5001,$A$463,BD!$Q$3:$Q$5001,"&lt;&gt;")=0,"",SUMIFS(BD!$Q$3:$Q$5001,BD!$A$3:$A$5001,AB$3,BD!$B$3:$B$5001,$A$463)))</f>
        <v/>
      </c>
      <c r="AC477" s="234" t="str">
        <f>IF(AC$3="","",IF(COUNTIFS(BD!$A$3:$A$5001,AC$3,BD!$B$3:$B$5001,$A$463,BD!$Q$3:$Q$5001,"&lt;&gt;")=0,"",SUMIFS(BD!$Q$3:$Q$5001,BD!$A$3:$A$5001,AC$3,BD!$B$3:$B$5001,$A$463)))</f>
        <v/>
      </c>
      <c r="AD477" s="234" t="str">
        <f>IF(AD$3="","",IF(COUNTIFS(BD!$A$3:$A$5001,AD$3,BD!$B$3:$B$5001,$A$463,BD!$Q$3:$Q$5001,"&lt;&gt;")=0,"",SUMIFS(BD!$Q$3:$Q$5001,BD!$A$3:$A$5001,AD$3,BD!$B$3:$B$5001,$A$463)))</f>
        <v/>
      </c>
      <c r="AE477" s="234" t="str">
        <f>IF(AE$3="","",IF(COUNTIFS(BD!$A$3:$A$5001,AE$3,BD!$B$3:$B$5001,$A$463,BD!$Q$3:$Q$5001,"&lt;&gt;")=0,"",SUMIFS(BD!$Q$3:$Q$5001,BD!$A$3:$A$5001,AE$3,BD!$B$3:$B$5001,$A$463)))</f>
        <v/>
      </c>
      <c r="AF477" s="234" t="str">
        <f>IF(AF$3="","",IF(COUNTIFS(BD!$A$3:$A$5001,AF$3,BD!$B$3:$B$5001,$A$463,BD!$Q$3:$Q$5001,"&lt;&gt;")=0,"",SUMIFS(BD!$Q$3:$Q$5001,BD!$A$3:$A$5001,AF$3,BD!$B$3:$B$5001,$A$463)))</f>
        <v/>
      </c>
      <c r="AG477" s="234" t="str">
        <f>IF(AG$3="","",IF(COUNTIFS(BD!$A$3:$A$5001,AG$3,BD!$B$3:$B$5001,$A$463,BD!$Q$3:$Q$5001,"&lt;&gt;")=0,"",SUMIFS(BD!$Q$3:$Q$5001,BD!$A$3:$A$5001,AG$3,BD!$B$3:$B$5001,$A$463)))</f>
        <v/>
      </c>
      <c r="AH477" s="234" t="str">
        <f>IF(AH$3="","",IF(COUNTIFS(BD!$A$3:$A$5001,AH$3,BD!$B$3:$B$5001,$A$463,BD!$Q$3:$Q$5001,"&lt;&gt;")=0,"",SUMIFS(BD!$Q$3:$Q$5001,BD!$A$3:$A$5001,AH$3,BD!$B$3:$B$5001,$A$463)))</f>
        <v/>
      </c>
      <c r="AI477" s="234" t="str">
        <f>IF(AI$3="","",IF(COUNTIFS(BD!$A$3:$A$5001,AI$3,BD!$B$3:$B$5001,$A$463,BD!$Q$3:$Q$5001,"&lt;&gt;")=0,"",SUMIFS(BD!$Q$3:$Q$5001,BD!$A$3:$A$5001,AI$3,BD!$B$3:$B$5001,$A$463)))</f>
        <v/>
      </c>
      <c r="AJ477" s="235" t="str">
        <f>IF(AJ$3="","",IF(COUNTIFS(BD!$A$3:$A$5001,AJ$3,BD!$B$3:$B$5001,$A$463,BD!$Q$3:$Q$5001,"&lt;&gt;")=0,"",SUMIFS(BD!$Q$3:$Q$5001,BD!$A$3:$A$5001,AJ$3,BD!$B$3:$B$5001,$A$463)))</f>
        <v/>
      </c>
      <c r="AK477" s="231" t="str">
        <f>IFERROR(LOOKUP(9.99E+307,F477:AJ477),"")</f>
        <v/>
      </c>
    </row>
    <row r="478" ht="15.75" customHeight="1" hidden="1">
      <c r="A478" s="277"/>
      <c r="B478" s="264" t="inlineStr">
        <is>
          <t xml:space="preserve">OCUPAÇÃO (P.P)</t>
        </is>
      </c>
      <c r="C478" s="168" t="inlineStr">
        <is>
          <t xml:space="preserve">Posições Disponíveis</t>
        </is>
      </c>
      <c r="D478" s="169" t="str">
        <f>IFERROR(1/(1/INDEX(BD!$AF$38:$AZ$38,MATCH($A$463,BD!$AF$22:$AZ$22,0))),"")</f>
        <v/>
      </c>
      <c r="E478" s="170"/>
      <c r="F478" s="171" t="str">
        <f>IF(F$3="","",IF(COUNTIFS(BD!$A$3:$A$5001,F$3,BD!$B$3:$B$5001,$A$463,BD!$R$3:$R$5001,"&lt;&gt;")=0,"",SUMIFS(BD!$R$3:$R$5001,BD!$A$3:$A$5001,F$3,BD!$B$3:$B$5001,$A$463)))</f>
        <v/>
      </c>
      <c r="G478" s="172" t="str">
        <f>IF(G$3="","",IF(COUNTIFS(BD!$A$3:$A$5001,G$3,BD!$B$3:$B$5001,$A$463,BD!$R$3:$R$5001,"&lt;&gt;")=0,"",SUMIFS(BD!$R$3:$R$5001,BD!$A$3:$A$5001,G$3,BD!$B$3:$B$5001,$A$463)))</f>
        <v/>
      </c>
      <c r="H478" s="172" t="str">
        <f>IF(H$3="","",IF(COUNTIFS(BD!$A$3:$A$5001,H$3,BD!$B$3:$B$5001,$A$463,BD!$R$3:$R$5001,"&lt;&gt;")=0,"",SUMIFS(BD!$R$3:$R$5001,BD!$A$3:$A$5001,H$3,BD!$B$3:$B$5001,$A$463)))</f>
        <v/>
      </c>
      <c r="I478" s="172" t="str">
        <f>IF(I$3="","",IF(COUNTIFS(BD!$A$3:$A$5001,I$3,BD!$B$3:$B$5001,$A$463,BD!$R$3:$R$5001,"&lt;&gt;")=0,"",SUMIFS(BD!$R$3:$R$5001,BD!$A$3:$A$5001,I$3,BD!$B$3:$B$5001,$A$463)))</f>
        <v/>
      </c>
      <c r="J478" s="172" t="str">
        <f>IF(J$3="","",IF(COUNTIFS(BD!$A$3:$A$5001,J$3,BD!$B$3:$B$5001,$A$463,BD!$R$3:$R$5001,"&lt;&gt;")=0,"",SUMIFS(BD!$R$3:$R$5001,BD!$A$3:$A$5001,J$3,BD!$B$3:$B$5001,$A$463)))</f>
        <v/>
      </c>
      <c r="K478" s="172" t="str">
        <f>IF(K$3="","",IF(COUNTIFS(BD!$A$3:$A$5001,K$3,BD!$B$3:$B$5001,$A$463,BD!$R$3:$R$5001,"&lt;&gt;")=0,"",SUMIFS(BD!$R$3:$R$5001,BD!$A$3:$A$5001,K$3,BD!$B$3:$B$5001,$A$463)))</f>
        <v/>
      </c>
      <c r="L478" s="172" t="str">
        <f>IF(L$3="","",IF(COUNTIFS(BD!$A$3:$A$5001,L$3,BD!$B$3:$B$5001,$A$463,BD!$R$3:$R$5001,"&lt;&gt;")=0,"",SUMIFS(BD!$R$3:$R$5001,BD!$A$3:$A$5001,L$3,BD!$B$3:$B$5001,$A$463)))</f>
        <v/>
      </c>
      <c r="M478" s="172" t="str">
        <f>IF(M$3="","",IF(COUNTIFS(BD!$A$3:$A$5001,M$3,BD!$B$3:$B$5001,$A$463,BD!$R$3:$R$5001,"&lt;&gt;")=0,"",SUMIFS(BD!$R$3:$R$5001,BD!$A$3:$A$5001,M$3,BD!$B$3:$B$5001,$A$463)))</f>
        <v/>
      </c>
      <c r="N478" s="172" t="str">
        <f>IF(N$3="","",IF(COUNTIFS(BD!$A$3:$A$5001,N$3,BD!$B$3:$B$5001,$A$463,BD!$R$3:$R$5001,"&lt;&gt;")=0,"",SUMIFS(BD!$R$3:$R$5001,BD!$A$3:$A$5001,N$3,BD!$B$3:$B$5001,$A$463)))</f>
        <v/>
      </c>
      <c r="O478" s="172" t="str">
        <f>IF(O$3="","",IF(COUNTIFS(BD!$A$3:$A$5001,O$3,BD!$B$3:$B$5001,$A$463,BD!$R$3:$R$5001,"&lt;&gt;")=0,"",SUMIFS(BD!$R$3:$R$5001,BD!$A$3:$A$5001,O$3,BD!$B$3:$B$5001,$A$463)))</f>
        <v/>
      </c>
      <c r="P478" s="172" t="str">
        <f>IF(P$3="","",IF(COUNTIFS(BD!$A$3:$A$5001,P$3,BD!$B$3:$B$5001,$A$463,BD!$R$3:$R$5001,"&lt;&gt;")=0,"",SUMIFS(BD!$R$3:$R$5001,BD!$A$3:$A$5001,P$3,BD!$B$3:$B$5001,$A$463)))</f>
        <v/>
      </c>
      <c r="Q478" s="172" t="str">
        <f>IF(Q$3="","",IF(COUNTIFS(BD!$A$3:$A$5001,Q$3,BD!$B$3:$B$5001,$A$463,BD!$R$3:$R$5001,"&lt;&gt;")=0,"",SUMIFS(BD!$R$3:$R$5001,BD!$A$3:$A$5001,Q$3,BD!$B$3:$B$5001,$A$463)))</f>
        <v/>
      </c>
      <c r="R478" s="172" t="str">
        <f>IF(R$3="","",IF(COUNTIFS(BD!$A$3:$A$5001,R$3,BD!$B$3:$B$5001,$A$463,BD!$R$3:$R$5001,"&lt;&gt;")=0,"",SUMIFS(BD!$R$3:$R$5001,BD!$A$3:$A$5001,R$3,BD!$B$3:$B$5001,$A$463)))</f>
        <v/>
      </c>
      <c r="S478" s="172" t="str">
        <f>IF(S$3="","",IF(COUNTIFS(BD!$A$3:$A$5001,S$3,BD!$B$3:$B$5001,$A$463,BD!$R$3:$R$5001,"&lt;&gt;")=0,"",SUMIFS(BD!$R$3:$R$5001,BD!$A$3:$A$5001,S$3,BD!$B$3:$B$5001,$A$463)))</f>
        <v/>
      </c>
      <c r="T478" s="172" t="str">
        <f>IF(T$3="","",IF(COUNTIFS(BD!$A$3:$A$5001,T$3,BD!$B$3:$B$5001,$A$463,BD!$R$3:$R$5001,"&lt;&gt;")=0,"",SUMIFS(BD!$R$3:$R$5001,BD!$A$3:$A$5001,T$3,BD!$B$3:$B$5001,$A$463)))</f>
        <v/>
      </c>
      <c r="U478" s="172" t="str">
        <f>IF(U$3="","",IF(COUNTIFS(BD!$A$3:$A$5001,U$3,BD!$B$3:$B$5001,$A$463,BD!$R$3:$R$5001,"&lt;&gt;")=0,"",SUMIFS(BD!$R$3:$R$5001,BD!$A$3:$A$5001,U$3,BD!$B$3:$B$5001,$A$463)))</f>
        <v/>
      </c>
      <c r="V478" s="172" t="str">
        <f>IF(V$3="","",IF(COUNTIFS(BD!$A$3:$A$5001,V$3,BD!$B$3:$B$5001,$A$463,BD!$R$3:$R$5001,"&lt;&gt;")=0,"",SUMIFS(BD!$R$3:$R$5001,BD!$A$3:$A$5001,V$3,BD!$B$3:$B$5001,$A$463)))</f>
        <v/>
      </c>
      <c r="W478" s="172" t="str">
        <f>IF(W$3="","",IF(COUNTIFS(BD!$A$3:$A$5001,W$3,BD!$B$3:$B$5001,$A$463,BD!$R$3:$R$5001,"&lt;&gt;")=0,"",SUMIFS(BD!$R$3:$R$5001,BD!$A$3:$A$5001,W$3,BD!$B$3:$B$5001,$A$463)))</f>
        <v/>
      </c>
      <c r="X478" s="172" t="str">
        <f>IF(X$3="","",IF(COUNTIFS(BD!$A$3:$A$5001,X$3,BD!$B$3:$B$5001,$A$463,BD!$R$3:$R$5001,"&lt;&gt;")=0,"",SUMIFS(BD!$R$3:$R$5001,BD!$A$3:$A$5001,X$3,BD!$B$3:$B$5001,$A$463)))</f>
        <v/>
      </c>
      <c r="Y478" s="172" t="str">
        <f>IF(Y$3="","",IF(COUNTIFS(BD!$A$3:$A$5001,Y$3,BD!$B$3:$B$5001,$A$463,BD!$R$3:$R$5001,"&lt;&gt;")=0,"",SUMIFS(BD!$R$3:$R$5001,BD!$A$3:$A$5001,Y$3,BD!$B$3:$B$5001,$A$463)))</f>
        <v/>
      </c>
      <c r="Z478" s="172" t="str">
        <f>IF(Z$3="","",IF(COUNTIFS(BD!$A$3:$A$5001,Z$3,BD!$B$3:$B$5001,$A$463,BD!$R$3:$R$5001,"&lt;&gt;")=0,"",SUMIFS(BD!$R$3:$R$5001,BD!$A$3:$A$5001,Z$3,BD!$B$3:$B$5001,$A$463)))</f>
        <v/>
      </c>
      <c r="AA478" s="172" t="str">
        <f>IF(AA$3="","",IF(COUNTIFS(BD!$A$3:$A$5001,AA$3,BD!$B$3:$B$5001,$A$463,BD!$R$3:$R$5001,"&lt;&gt;")=0,"",SUMIFS(BD!$R$3:$R$5001,BD!$A$3:$A$5001,AA$3,BD!$B$3:$B$5001,$A$463)))</f>
        <v/>
      </c>
      <c r="AB478" s="172" t="str">
        <f>IF(AB$3="","",IF(COUNTIFS(BD!$A$3:$A$5001,AB$3,BD!$B$3:$B$5001,$A$463,BD!$R$3:$R$5001,"&lt;&gt;")=0,"",SUMIFS(BD!$R$3:$R$5001,BD!$A$3:$A$5001,AB$3,BD!$B$3:$B$5001,$A$463)))</f>
        <v/>
      </c>
      <c r="AC478" s="172" t="str">
        <f>IF(AC$3="","",IF(COUNTIFS(BD!$A$3:$A$5001,AC$3,BD!$B$3:$B$5001,$A$463,BD!$R$3:$R$5001,"&lt;&gt;")=0,"",SUMIFS(BD!$R$3:$R$5001,BD!$A$3:$A$5001,AC$3,BD!$B$3:$B$5001,$A$463)))</f>
        <v/>
      </c>
      <c r="AD478" s="172" t="str">
        <f>IF(AD$3="","",IF(COUNTIFS(BD!$A$3:$A$5001,AD$3,BD!$B$3:$B$5001,$A$463,BD!$R$3:$R$5001,"&lt;&gt;")=0,"",SUMIFS(BD!$R$3:$R$5001,BD!$A$3:$A$5001,AD$3,BD!$B$3:$B$5001,$A$463)))</f>
        <v/>
      </c>
      <c r="AE478" s="172" t="str">
        <f>IF(AE$3="","",IF(COUNTIFS(BD!$A$3:$A$5001,AE$3,BD!$B$3:$B$5001,$A$463,BD!$R$3:$R$5001,"&lt;&gt;")=0,"",SUMIFS(BD!$R$3:$R$5001,BD!$A$3:$A$5001,AE$3,BD!$B$3:$B$5001,$A$463)))</f>
        <v/>
      </c>
      <c r="AF478" s="172" t="str">
        <f>IF(AF$3="","",IF(COUNTIFS(BD!$A$3:$A$5001,AF$3,BD!$B$3:$B$5001,$A$463,BD!$R$3:$R$5001,"&lt;&gt;")=0,"",SUMIFS(BD!$R$3:$R$5001,BD!$A$3:$A$5001,AF$3,BD!$B$3:$B$5001,$A$463)))</f>
        <v/>
      </c>
      <c r="AG478" s="172" t="str">
        <f>IF(AG$3="","",IF(COUNTIFS(BD!$A$3:$A$5001,AG$3,BD!$B$3:$B$5001,$A$463,BD!$R$3:$R$5001,"&lt;&gt;")=0,"",SUMIFS(BD!$R$3:$R$5001,BD!$A$3:$A$5001,AG$3,BD!$B$3:$B$5001,$A$463)))</f>
        <v/>
      </c>
      <c r="AH478" s="172" t="str">
        <f>IF(AH$3="","",IF(COUNTIFS(BD!$A$3:$A$5001,AH$3,BD!$B$3:$B$5001,$A$463,BD!$R$3:$R$5001,"&lt;&gt;")=0,"",SUMIFS(BD!$R$3:$R$5001,BD!$A$3:$A$5001,AH$3,BD!$B$3:$B$5001,$A$463)))</f>
        <v/>
      </c>
      <c r="AI478" s="172" t="str">
        <f>IF(AI$3="","",IF(COUNTIFS(BD!$A$3:$A$5001,AI$3,BD!$B$3:$B$5001,$A$463,BD!$R$3:$R$5001,"&lt;&gt;")=0,"",SUMIFS(BD!$R$3:$R$5001,BD!$A$3:$A$5001,AI$3,BD!$B$3:$B$5001,$A$463)))</f>
        <v/>
      </c>
      <c r="AJ478" s="173" t="str">
        <f>IF(AJ$3="","",IF(COUNTIFS(BD!$A$3:$A$5001,AJ$3,BD!$B$3:$B$5001,$A$463,BD!$R$3:$R$5001,"&lt;&gt;")=0,"",SUMIFS(BD!$R$3:$R$5001,BD!$A$3:$A$5001,AJ$3,BD!$B$3:$B$5001,$A$463)))</f>
        <v/>
      </c>
      <c r="AK478" s="174" t="str">
        <f>IF(COUNT(F478:AJ478)&gt;0,LOOKUP(9.99E+307,F478:AJ478),IFERROR(IF(INDEX(BD!$AC$3:$AC$5001,MATCH($A$463,BD!$B$3:$B$5001,0))&amp;""="Contrato","",INDEX(BD!$AC$3:$AC$5001,MATCH($A$463,BD!$B$3:$B$5001,0))&amp;""),""))</f>
        <v/>
      </c>
    </row>
    <row r="479" ht="15.75" customHeight="1" hidden="1">
      <c r="A479" s="277"/>
      <c r="B479" s="265"/>
      <c r="C479" s="175" t="inlineStr">
        <is>
          <t xml:space="preserve">Posições Ocupadas</t>
        </is>
      </c>
      <c r="D479" s="176" t="str">
        <f>IFERROR(1/(1/INDEX(BD!$AF$39:$AZ$39,MATCH($A$463,BD!$AF$22:$AZ$22,0))),"")</f>
        <v/>
      </c>
      <c r="E479" s="177"/>
      <c r="F479" s="178" t="str">
        <f>IF(F$3="","",IF(COUNTIFS(BD!$A$3:$A$5001,F$3,BD!$B$3:$B$5001,$A$463,BD!$S$3:$S$5001,"&lt;&gt;")=0,"",SUMIFS(BD!$S$3:$S$5001,BD!$A$3:$A$5001,F$3,BD!$B$3:$B$5001,$A$463)))</f>
        <v/>
      </c>
      <c r="G479" s="179" t="str">
        <f>IF(G$3="","",IF(COUNTIFS(BD!$A$3:$A$5001,G$3,BD!$B$3:$B$5001,$A$463,BD!$S$3:$S$5001,"&lt;&gt;")=0,"",SUMIFS(BD!$S$3:$S$5001,BD!$A$3:$A$5001,G$3,BD!$B$3:$B$5001,$A$463)))</f>
        <v/>
      </c>
      <c r="H479" s="179" t="str">
        <f>IF(H$3="","",IF(COUNTIFS(BD!$A$3:$A$5001,H$3,BD!$B$3:$B$5001,$A$463,BD!$S$3:$S$5001,"&lt;&gt;")=0,"",SUMIFS(BD!$S$3:$S$5001,BD!$A$3:$A$5001,H$3,BD!$B$3:$B$5001,$A$463)))</f>
        <v/>
      </c>
      <c r="I479" s="179" t="str">
        <f>IF(I$3="","",IF(COUNTIFS(BD!$A$3:$A$5001,I$3,BD!$B$3:$B$5001,$A$463,BD!$S$3:$S$5001,"&lt;&gt;")=0,"",SUMIFS(BD!$S$3:$S$5001,BD!$A$3:$A$5001,I$3,BD!$B$3:$B$5001,$A$463)))</f>
        <v/>
      </c>
      <c r="J479" s="179" t="str">
        <f>IF(J$3="","",IF(COUNTIFS(BD!$A$3:$A$5001,J$3,BD!$B$3:$B$5001,$A$463,BD!$S$3:$S$5001,"&lt;&gt;")=0,"",SUMIFS(BD!$S$3:$S$5001,BD!$A$3:$A$5001,J$3,BD!$B$3:$B$5001,$A$463)))</f>
        <v/>
      </c>
      <c r="K479" s="179" t="str">
        <f>IF(K$3="","",IF(COUNTIFS(BD!$A$3:$A$5001,K$3,BD!$B$3:$B$5001,$A$463,BD!$S$3:$S$5001,"&lt;&gt;")=0,"",SUMIFS(BD!$S$3:$S$5001,BD!$A$3:$A$5001,K$3,BD!$B$3:$B$5001,$A$463)))</f>
        <v/>
      </c>
      <c r="L479" s="179" t="str">
        <f>IF(L$3="","",IF(COUNTIFS(BD!$A$3:$A$5001,L$3,BD!$B$3:$B$5001,$A$463,BD!$S$3:$S$5001,"&lt;&gt;")=0,"",SUMIFS(BD!$S$3:$S$5001,BD!$A$3:$A$5001,L$3,BD!$B$3:$B$5001,$A$463)))</f>
        <v/>
      </c>
      <c r="M479" s="179" t="str">
        <f>IF(M$3="","",IF(COUNTIFS(BD!$A$3:$A$5001,M$3,BD!$B$3:$B$5001,$A$463,BD!$S$3:$S$5001,"&lt;&gt;")=0,"",SUMIFS(BD!$S$3:$S$5001,BD!$A$3:$A$5001,M$3,BD!$B$3:$B$5001,$A$463)))</f>
        <v/>
      </c>
      <c r="N479" s="179" t="str">
        <f>IF(N$3="","",IF(COUNTIFS(BD!$A$3:$A$5001,N$3,BD!$B$3:$B$5001,$A$463,BD!$S$3:$S$5001,"&lt;&gt;")=0,"",SUMIFS(BD!$S$3:$S$5001,BD!$A$3:$A$5001,N$3,BD!$B$3:$B$5001,$A$463)))</f>
        <v/>
      </c>
      <c r="O479" s="179" t="str">
        <f>IF(O$3="","",IF(COUNTIFS(BD!$A$3:$A$5001,O$3,BD!$B$3:$B$5001,$A$463,BD!$S$3:$S$5001,"&lt;&gt;")=0,"",SUMIFS(BD!$S$3:$S$5001,BD!$A$3:$A$5001,O$3,BD!$B$3:$B$5001,$A$463)))</f>
        <v/>
      </c>
      <c r="P479" s="179" t="str">
        <f>IF(P$3="","",IF(COUNTIFS(BD!$A$3:$A$5001,P$3,BD!$B$3:$B$5001,$A$463,BD!$S$3:$S$5001,"&lt;&gt;")=0,"",SUMIFS(BD!$S$3:$S$5001,BD!$A$3:$A$5001,P$3,BD!$B$3:$B$5001,$A$463)))</f>
        <v/>
      </c>
      <c r="Q479" s="179" t="str">
        <f>IF(Q$3="","",IF(COUNTIFS(BD!$A$3:$A$5001,Q$3,BD!$B$3:$B$5001,$A$463,BD!$S$3:$S$5001,"&lt;&gt;")=0,"",SUMIFS(BD!$S$3:$S$5001,BD!$A$3:$A$5001,Q$3,BD!$B$3:$B$5001,$A$463)))</f>
        <v/>
      </c>
      <c r="R479" s="179" t="str">
        <f>IF(R$3="","",IF(COUNTIFS(BD!$A$3:$A$5001,R$3,BD!$B$3:$B$5001,$A$463,BD!$S$3:$S$5001,"&lt;&gt;")=0,"",SUMIFS(BD!$S$3:$S$5001,BD!$A$3:$A$5001,R$3,BD!$B$3:$B$5001,$A$463)))</f>
        <v/>
      </c>
      <c r="S479" s="179" t="str">
        <f>IF(S$3="","",IF(COUNTIFS(BD!$A$3:$A$5001,S$3,BD!$B$3:$B$5001,$A$463,BD!$S$3:$S$5001,"&lt;&gt;")=0,"",SUMIFS(BD!$S$3:$S$5001,BD!$A$3:$A$5001,S$3,BD!$B$3:$B$5001,$A$463)))</f>
        <v/>
      </c>
      <c r="T479" s="179" t="str">
        <f>IF(T$3="","",IF(COUNTIFS(BD!$A$3:$A$5001,T$3,BD!$B$3:$B$5001,$A$463,BD!$S$3:$S$5001,"&lt;&gt;")=0,"",SUMIFS(BD!$S$3:$S$5001,BD!$A$3:$A$5001,T$3,BD!$B$3:$B$5001,$A$463)))</f>
        <v/>
      </c>
      <c r="U479" s="179" t="str">
        <f>IF(U$3="","",IF(COUNTIFS(BD!$A$3:$A$5001,U$3,BD!$B$3:$B$5001,$A$463,BD!$S$3:$S$5001,"&lt;&gt;")=0,"",SUMIFS(BD!$S$3:$S$5001,BD!$A$3:$A$5001,U$3,BD!$B$3:$B$5001,$A$463)))</f>
        <v/>
      </c>
      <c r="V479" s="179" t="str">
        <f>IF(V$3="","",IF(COUNTIFS(BD!$A$3:$A$5001,V$3,BD!$B$3:$B$5001,$A$463,BD!$S$3:$S$5001,"&lt;&gt;")=0,"",SUMIFS(BD!$S$3:$S$5001,BD!$A$3:$A$5001,V$3,BD!$B$3:$B$5001,$A$463)))</f>
        <v/>
      </c>
      <c r="W479" s="179" t="str">
        <f>IF(W$3="","",IF(COUNTIFS(BD!$A$3:$A$5001,W$3,BD!$B$3:$B$5001,$A$463,BD!$S$3:$S$5001,"&lt;&gt;")=0,"",SUMIFS(BD!$S$3:$S$5001,BD!$A$3:$A$5001,W$3,BD!$B$3:$B$5001,$A$463)))</f>
        <v/>
      </c>
      <c r="X479" s="179" t="str">
        <f>IF(X$3="","",IF(COUNTIFS(BD!$A$3:$A$5001,X$3,BD!$B$3:$B$5001,$A$463,BD!$S$3:$S$5001,"&lt;&gt;")=0,"",SUMIFS(BD!$S$3:$S$5001,BD!$A$3:$A$5001,X$3,BD!$B$3:$B$5001,$A$463)))</f>
        <v/>
      </c>
      <c r="Y479" s="179" t="str">
        <f>IF(Y$3="","",IF(COUNTIFS(BD!$A$3:$A$5001,Y$3,BD!$B$3:$B$5001,$A$463,BD!$S$3:$S$5001,"&lt;&gt;")=0,"",SUMIFS(BD!$S$3:$S$5001,BD!$A$3:$A$5001,Y$3,BD!$B$3:$B$5001,$A$463)))</f>
        <v/>
      </c>
      <c r="Z479" s="179" t="str">
        <f>IF(Z$3="","",IF(COUNTIFS(BD!$A$3:$A$5001,Z$3,BD!$B$3:$B$5001,$A$463,BD!$S$3:$S$5001,"&lt;&gt;")=0,"",SUMIFS(BD!$S$3:$S$5001,BD!$A$3:$A$5001,Z$3,BD!$B$3:$B$5001,$A$463)))</f>
        <v/>
      </c>
      <c r="AA479" s="179" t="str">
        <f>IF(AA$3="","",IF(COUNTIFS(BD!$A$3:$A$5001,AA$3,BD!$B$3:$B$5001,$A$463,BD!$S$3:$S$5001,"&lt;&gt;")=0,"",SUMIFS(BD!$S$3:$S$5001,BD!$A$3:$A$5001,AA$3,BD!$B$3:$B$5001,$A$463)))</f>
        <v/>
      </c>
      <c r="AB479" s="179" t="str">
        <f>IF(AB$3="","",IF(COUNTIFS(BD!$A$3:$A$5001,AB$3,BD!$B$3:$B$5001,$A$463,BD!$S$3:$S$5001,"&lt;&gt;")=0,"",SUMIFS(BD!$S$3:$S$5001,BD!$A$3:$A$5001,AB$3,BD!$B$3:$B$5001,$A$463)))</f>
        <v/>
      </c>
      <c r="AC479" s="179" t="str">
        <f>IF(AC$3="","",IF(COUNTIFS(BD!$A$3:$A$5001,AC$3,BD!$B$3:$B$5001,$A$463,BD!$S$3:$S$5001,"&lt;&gt;")=0,"",SUMIFS(BD!$S$3:$S$5001,BD!$A$3:$A$5001,AC$3,BD!$B$3:$B$5001,$A$463)))</f>
        <v/>
      </c>
      <c r="AD479" s="179" t="str">
        <f>IF(AD$3="","",IF(COUNTIFS(BD!$A$3:$A$5001,AD$3,BD!$B$3:$B$5001,$A$463,BD!$S$3:$S$5001,"&lt;&gt;")=0,"",SUMIFS(BD!$S$3:$S$5001,BD!$A$3:$A$5001,AD$3,BD!$B$3:$B$5001,$A$463)))</f>
        <v/>
      </c>
      <c r="AE479" s="179" t="str">
        <f>IF(AE$3="","",IF(COUNTIFS(BD!$A$3:$A$5001,AE$3,BD!$B$3:$B$5001,$A$463,BD!$S$3:$S$5001,"&lt;&gt;")=0,"",SUMIFS(BD!$S$3:$S$5001,BD!$A$3:$A$5001,AE$3,BD!$B$3:$B$5001,$A$463)))</f>
        <v/>
      </c>
      <c r="AF479" s="179" t="str">
        <f>IF(AF$3="","",IF(COUNTIFS(BD!$A$3:$A$5001,AF$3,BD!$B$3:$B$5001,$A$463,BD!$S$3:$S$5001,"&lt;&gt;")=0,"",SUMIFS(BD!$S$3:$S$5001,BD!$A$3:$A$5001,AF$3,BD!$B$3:$B$5001,$A$463)))</f>
        <v/>
      </c>
      <c r="AG479" s="179" t="str">
        <f>IF(AG$3="","",IF(COUNTIFS(BD!$A$3:$A$5001,AG$3,BD!$B$3:$B$5001,$A$463,BD!$S$3:$S$5001,"&lt;&gt;")=0,"",SUMIFS(BD!$S$3:$S$5001,BD!$A$3:$A$5001,AG$3,BD!$B$3:$B$5001,$A$463)))</f>
        <v/>
      </c>
      <c r="AH479" s="179" t="str">
        <f>IF(AH$3="","",IF(COUNTIFS(BD!$A$3:$A$5001,AH$3,BD!$B$3:$B$5001,$A$463,BD!$S$3:$S$5001,"&lt;&gt;")=0,"",SUMIFS(BD!$S$3:$S$5001,BD!$A$3:$A$5001,AH$3,BD!$B$3:$B$5001,$A$463)))</f>
        <v/>
      </c>
      <c r="AI479" s="179" t="str">
        <f>IF(AI$3="","",IF(COUNTIFS(BD!$A$3:$A$5001,AI$3,BD!$B$3:$B$5001,$A$463,BD!$S$3:$S$5001,"&lt;&gt;")=0,"",SUMIFS(BD!$S$3:$S$5001,BD!$A$3:$A$5001,AI$3,BD!$B$3:$B$5001,$A$463)))</f>
        <v/>
      </c>
      <c r="AJ479" s="180" t="str">
        <f>IF(AJ$3="","",IF(COUNTIFS(BD!$A$3:$A$5001,AJ$3,BD!$B$3:$B$5001,$A$463,BD!$S$3:$S$5001,"&lt;&gt;")=0,"",SUMIFS(BD!$S$3:$S$5001,BD!$A$3:$A$5001,AJ$3,BD!$B$3:$B$5001,$A$463)))</f>
        <v/>
      </c>
      <c r="AK479" s="181" t="str">
        <f>IFERROR(LOOKUP(9.99E+307,F479:AJ479),"")</f>
        <v/>
      </c>
    </row>
    <row r="480" ht="15.75" customHeight="1" hidden="1">
      <c r="A480" s="277"/>
      <c r="B480" s="266"/>
      <c r="C480" s="186" t="inlineStr">
        <is>
          <t xml:space="preserve">Taxa de Ocupação</t>
        </is>
      </c>
      <c r="D480" s="236" t="str">
        <f>IFERROR(1/(1/INDEX(BD!$AF$40:$AZ$40,MATCH($A$463,BD!$AF$22:$AZ$22,0))),"")</f>
        <v/>
      </c>
      <c r="E480" s="188"/>
      <c r="F480" s="237" t="str">
        <f>IF(AND(ISNUMBER(F478),ISNUMBER(F479)),IF(F478&gt;0,F479/F478,""),"")</f>
        <v/>
      </c>
      <c r="G480" s="238" t="str">
        <f>IF(AND(ISNUMBER(G478),ISNUMBER(G479)),IF(G478&gt;0,G479/G478,""),"")</f>
        <v/>
      </c>
      <c r="H480" s="238" t="str">
        <f>IF(AND(ISNUMBER(H478),ISNUMBER(H479)),IF(H478&gt;0,H479/H478,""),"")</f>
        <v/>
      </c>
      <c r="I480" s="238" t="str">
        <f>IF(AND(ISNUMBER(I478),ISNUMBER(I479)),IF(I478&gt;0,I479/I478,""),"")</f>
        <v/>
      </c>
      <c r="J480" s="238" t="str">
        <f>IF(AND(ISNUMBER(J478),ISNUMBER(J479)),IF(J478&gt;0,J479/J478,""),"")</f>
        <v/>
      </c>
      <c r="K480" s="238" t="str">
        <f>IF(AND(ISNUMBER(K478),ISNUMBER(K479)),IF(K478&gt;0,K479/K478,""),"")</f>
        <v/>
      </c>
      <c r="L480" s="238" t="str">
        <f>IF(AND(ISNUMBER(L478),ISNUMBER(L479)),IF(L478&gt;0,L479/L478,""),"")</f>
        <v/>
      </c>
      <c r="M480" s="238" t="str">
        <f>IF(AND(ISNUMBER(M478),ISNUMBER(M479)),IF(M478&gt;0,M479/M478,""),"")</f>
        <v/>
      </c>
      <c r="N480" s="238" t="str">
        <f>IF(AND(ISNUMBER(N478),ISNUMBER(N479)),IF(N478&gt;0,N479/N478,""),"")</f>
        <v/>
      </c>
      <c r="O480" s="238" t="str">
        <f>IF(AND(ISNUMBER(O478),ISNUMBER(O479)),IF(O478&gt;0,O479/O478,""),"")</f>
        <v/>
      </c>
      <c r="P480" s="238" t="str">
        <f>IF(AND(ISNUMBER(P478),ISNUMBER(P479)),IF(P478&gt;0,P479/P478,""),"")</f>
        <v/>
      </c>
      <c r="Q480" s="238" t="str">
        <f>IF(AND(ISNUMBER(Q478),ISNUMBER(Q479)),IF(Q478&gt;0,Q479/Q478,""),"")</f>
        <v/>
      </c>
      <c r="R480" s="238" t="str">
        <f>IF(AND(ISNUMBER(R478),ISNUMBER(R479)),IF(R478&gt;0,R479/R478,""),"")</f>
        <v/>
      </c>
      <c r="S480" s="238" t="str">
        <f>IF(AND(ISNUMBER(S478),ISNUMBER(S479)),IF(S478&gt;0,S479/S478,""),"")</f>
        <v/>
      </c>
      <c r="T480" s="238" t="str">
        <f>IF(AND(ISNUMBER(T478),ISNUMBER(T479)),IF(T478&gt;0,T479/T478,""),"")</f>
        <v/>
      </c>
      <c r="U480" s="238" t="str">
        <f>IF(AND(ISNUMBER(U478),ISNUMBER(U479)),IF(U478&gt;0,U479/U478,""),"")</f>
        <v/>
      </c>
      <c r="V480" s="238" t="str">
        <f>IF(AND(ISNUMBER(V478),ISNUMBER(V479)),IF(V478&gt;0,V479/V478,""),"")</f>
        <v/>
      </c>
      <c r="W480" s="238" t="str">
        <f>IF(AND(ISNUMBER(W478),ISNUMBER(W479)),IF(W478&gt;0,W479/W478,""),"")</f>
        <v/>
      </c>
      <c r="X480" s="238" t="str">
        <f>IF(AND(ISNUMBER(X478),ISNUMBER(X479)),IF(X478&gt;0,X479/X478,""),"")</f>
        <v/>
      </c>
      <c r="Y480" s="238" t="str">
        <f>IF(AND(ISNUMBER(Y478),ISNUMBER(Y479)),IF(Y478&gt;0,Y479/Y478,""),"")</f>
        <v/>
      </c>
      <c r="Z480" s="238" t="str">
        <f>IF(AND(ISNUMBER(Z478),ISNUMBER(Z479)),IF(Z478&gt;0,Z479/Z478,""),"")</f>
        <v/>
      </c>
      <c r="AA480" s="238" t="str">
        <f>IF(AND(ISNUMBER(AA478),ISNUMBER(AA479)),IF(AA478&gt;0,AA479/AA478,""),"")</f>
        <v/>
      </c>
      <c r="AB480" s="238" t="str">
        <f>IF(AND(ISNUMBER(AB478),ISNUMBER(AB479)),IF(AB478&gt;0,AB479/AB478,""),"")</f>
        <v/>
      </c>
      <c r="AC480" s="238" t="str">
        <f>IF(AND(ISNUMBER(AC478),ISNUMBER(AC479)),IF(AC478&gt;0,AC479/AC478,""),"")</f>
        <v/>
      </c>
      <c r="AD480" s="238" t="str">
        <f>IF(AND(ISNUMBER(AD478),ISNUMBER(AD479)),IF(AD478&gt;0,AD479/AD478,""),"")</f>
        <v/>
      </c>
      <c r="AE480" s="238" t="str">
        <f>IF(AND(ISNUMBER(AE478),ISNUMBER(AE479)),IF(AE478&gt;0,AE479/AE478,""),"")</f>
        <v/>
      </c>
      <c r="AF480" s="238" t="str">
        <f>IF(AND(ISNUMBER(AF478),ISNUMBER(AF479)),IF(AF478&gt;0,AF479/AF478,""),"")</f>
        <v/>
      </c>
      <c r="AG480" s="238" t="str">
        <f>IF(AND(ISNUMBER(AG478),ISNUMBER(AG479)),IF(AG478&gt;0,AG479/AG478,""),"")</f>
        <v/>
      </c>
      <c r="AH480" s="238" t="str">
        <f>IF(AND(ISNUMBER(AH478),ISNUMBER(AH479)),IF(AH478&gt;0,AH479/AH478,""),"")</f>
        <v/>
      </c>
      <c r="AI480" s="238" t="str">
        <f>IF(AND(ISNUMBER(AI478),ISNUMBER(AI479)),IF(AI478&gt;0,AI479/AI478,""),"")</f>
        <v/>
      </c>
      <c r="AJ480" s="239" t="str">
        <f>IF(AND(ISNUMBER(AJ478),ISNUMBER(AJ479)),IF(AJ478&gt;0,AJ479/AJ478,""),"")</f>
        <v/>
      </c>
      <c r="AK480" s="236" t="str">
        <f>IF(AND(ISNUMBER(AK478),ISNUMBER(AK479)),IF(AK478&gt;0,AK479/AK478,""),"")</f>
        <v/>
      </c>
    </row>
    <row r="481" ht="15.75" customHeight="1" hidden="1">
      <c r="A481" s="277"/>
      <c r="B481" s="273" t="inlineStr">
        <is>
          <t xml:space="preserve">GENTE</t>
        </is>
      </c>
      <c r="C481" s="240" t="inlineStr">
        <is>
          <t xml:space="preserve">Efetivo Op.</t>
        </is>
      </c>
      <c r="D481" s="241" t="str">
        <f>IFERROR(1/(1/INDEX(BD!$AF$41:$AZ$41,MATCH($A$463,BD!$AF$22:$AZ$22,0))),"")</f>
        <v/>
      </c>
      <c r="E481" s="242"/>
      <c r="F481" s="243" t="str">
        <f>IF(F$3="","",IF(COUNTIFS(BD!$A$3:$A$5001,F$3,BD!$B$3:$B$5001,$A$463,BD!$T$3:$T$5001,"&lt;&gt;")=0,"",SUMIFS(BD!$T$3:$T$5001,BD!$A$3:$A$5001,F$3,BD!$B$3:$B$5001,$A$463)))</f>
        <v/>
      </c>
      <c r="G481" s="244" t="str">
        <f>IF(G$3="","",IF(COUNTIFS(BD!$A$3:$A$5001,G$3,BD!$B$3:$B$5001,$A$463,BD!$T$3:$T$5001,"&lt;&gt;")=0,"",SUMIFS(BD!$T$3:$T$5001,BD!$A$3:$A$5001,G$3,BD!$B$3:$B$5001,$A$463)))</f>
        <v/>
      </c>
      <c r="H481" s="244" t="str">
        <f>IF(H$3="","",IF(COUNTIFS(BD!$A$3:$A$5001,H$3,BD!$B$3:$B$5001,$A$463,BD!$T$3:$T$5001,"&lt;&gt;")=0,"",SUMIFS(BD!$T$3:$T$5001,BD!$A$3:$A$5001,H$3,BD!$B$3:$B$5001,$A$463)))</f>
        <v/>
      </c>
      <c r="I481" s="244" t="str">
        <f>IF(I$3="","",IF(COUNTIFS(BD!$A$3:$A$5001,I$3,BD!$B$3:$B$5001,$A$463,BD!$T$3:$T$5001,"&lt;&gt;")=0,"",SUMIFS(BD!$T$3:$T$5001,BD!$A$3:$A$5001,I$3,BD!$B$3:$B$5001,$A$463)))</f>
        <v/>
      </c>
      <c r="J481" s="244" t="str">
        <f>IF(J$3="","",IF(COUNTIFS(BD!$A$3:$A$5001,J$3,BD!$B$3:$B$5001,$A$463,BD!$T$3:$T$5001,"&lt;&gt;")=0,"",SUMIFS(BD!$T$3:$T$5001,BD!$A$3:$A$5001,J$3,BD!$B$3:$B$5001,$A$463)))</f>
        <v/>
      </c>
      <c r="K481" s="244" t="str">
        <f>IF(K$3="","",IF(COUNTIFS(BD!$A$3:$A$5001,K$3,BD!$B$3:$B$5001,$A$463,BD!$T$3:$T$5001,"&lt;&gt;")=0,"",SUMIFS(BD!$T$3:$T$5001,BD!$A$3:$A$5001,K$3,BD!$B$3:$B$5001,$A$463)))</f>
        <v/>
      </c>
      <c r="L481" s="244" t="str">
        <f>IF(L$3="","",IF(COUNTIFS(BD!$A$3:$A$5001,L$3,BD!$B$3:$B$5001,$A$463,BD!$T$3:$T$5001,"&lt;&gt;")=0,"",SUMIFS(BD!$T$3:$T$5001,BD!$A$3:$A$5001,L$3,BD!$B$3:$B$5001,$A$463)))</f>
        <v/>
      </c>
      <c r="M481" s="244" t="str">
        <f>IF(M$3="","",IF(COUNTIFS(BD!$A$3:$A$5001,M$3,BD!$B$3:$B$5001,$A$463,BD!$T$3:$T$5001,"&lt;&gt;")=0,"",SUMIFS(BD!$T$3:$T$5001,BD!$A$3:$A$5001,M$3,BD!$B$3:$B$5001,$A$463)))</f>
        <v/>
      </c>
      <c r="N481" s="244" t="str">
        <f>IF(N$3="","",IF(COUNTIFS(BD!$A$3:$A$5001,N$3,BD!$B$3:$B$5001,$A$463,BD!$T$3:$T$5001,"&lt;&gt;")=0,"",SUMIFS(BD!$T$3:$T$5001,BD!$A$3:$A$5001,N$3,BD!$B$3:$B$5001,$A$463)))</f>
        <v/>
      </c>
      <c r="O481" s="244" t="str">
        <f>IF(O$3="","",IF(COUNTIFS(BD!$A$3:$A$5001,O$3,BD!$B$3:$B$5001,$A$463,BD!$T$3:$T$5001,"&lt;&gt;")=0,"",SUMIFS(BD!$T$3:$T$5001,BD!$A$3:$A$5001,O$3,BD!$B$3:$B$5001,$A$463)))</f>
        <v/>
      </c>
      <c r="P481" s="244" t="str">
        <f>IF(P$3="","",IF(COUNTIFS(BD!$A$3:$A$5001,P$3,BD!$B$3:$B$5001,$A$463,BD!$T$3:$T$5001,"&lt;&gt;")=0,"",SUMIFS(BD!$T$3:$T$5001,BD!$A$3:$A$5001,P$3,BD!$B$3:$B$5001,$A$463)))</f>
        <v/>
      </c>
      <c r="Q481" s="244" t="str">
        <f>IF(Q$3="","",IF(COUNTIFS(BD!$A$3:$A$5001,Q$3,BD!$B$3:$B$5001,$A$463,BD!$T$3:$T$5001,"&lt;&gt;")=0,"",SUMIFS(BD!$T$3:$T$5001,BD!$A$3:$A$5001,Q$3,BD!$B$3:$B$5001,$A$463)))</f>
        <v/>
      </c>
      <c r="R481" s="244" t="str">
        <f>IF(R$3="","",IF(COUNTIFS(BD!$A$3:$A$5001,R$3,BD!$B$3:$B$5001,$A$463,BD!$T$3:$T$5001,"&lt;&gt;")=0,"",SUMIFS(BD!$T$3:$T$5001,BD!$A$3:$A$5001,R$3,BD!$B$3:$B$5001,$A$463)))</f>
        <v/>
      </c>
      <c r="S481" s="244" t="str">
        <f>IF(S$3="","",IF(COUNTIFS(BD!$A$3:$A$5001,S$3,BD!$B$3:$B$5001,$A$463,BD!$T$3:$T$5001,"&lt;&gt;")=0,"",SUMIFS(BD!$T$3:$T$5001,BD!$A$3:$A$5001,S$3,BD!$B$3:$B$5001,$A$463)))</f>
        <v/>
      </c>
      <c r="T481" s="244" t="str">
        <f>IF(T$3="","",IF(COUNTIFS(BD!$A$3:$A$5001,T$3,BD!$B$3:$B$5001,$A$463,BD!$T$3:$T$5001,"&lt;&gt;")=0,"",SUMIFS(BD!$T$3:$T$5001,BD!$A$3:$A$5001,T$3,BD!$B$3:$B$5001,$A$463)))</f>
        <v/>
      </c>
      <c r="U481" s="244" t="str">
        <f>IF(U$3="","",IF(COUNTIFS(BD!$A$3:$A$5001,U$3,BD!$B$3:$B$5001,$A$463,BD!$T$3:$T$5001,"&lt;&gt;")=0,"",SUMIFS(BD!$T$3:$T$5001,BD!$A$3:$A$5001,U$3,BD!$B$3:$B$5001,$A$463)))</f>
        <v/>
      </c>
      <c r="V481" s="244" t="str">
        <f>IF(V$3="","",IF(COUNTIFS(BD!$A$3:$A$5001,V$3,BD!$B$3:$B$5001,$A$463,BD!$T$3:$T$5001,"&lt;&gt;")=0,"",SUMIFS(BD!$T$3:$T$5001,BD!$A$3:$A$5001,V$3,BD!$B$3:$B$5001,$A$463)))</f>
        <v/>
      </c>
      <c r="W481" s="244" t="str">
        <f>IF(W$3="","",IF(COUNTIFS(BD!$A$3:$A$5001,W$3,BD!$B$3:$B$5001,$A$463,BD!$T$3:$T$5001,"&lt;&gt;")=0,"",SUMIFS(BD!$T$3:$T$5001,BD!$A$3:$A$5001,W$3,BD!$B$3:$B$5001,$A$463)))</f>
        <v/>
      </c>
      <c r="X481" s="244" t="str">
        <f>IF(X$3="","",IF(COUNTIFS(BD!$A$3:$A$5001,X$3,BD!$B$3:$B$5001,$A$463,BD!$T$3:$T$5001,"&lt;&gt;")=0,"",SUMIFS(BD!$T$3:$T$5001,BD!$A$3:$A$5001,X$3,BD!$B$3:$B$5001,$A$463)))</f>
        <v/>
      </c>
      <c r="Y481" s="244" t="str">
        <f>IF(Y$3="","",IF(COUNTIFS(BD!$A$3:$A$5001,Y$3,BD!$B$3:$B$5001,$A$463,BD!$T$3:$T$5001,"&lt;&gt;")=0,"",SUMIFS(BD!$T$3:$T$5001,BD!$A$3:$A$5001,Y$3,BD!$B$3:$B$5001,$A$463)))</f>
        <v/>
      </c>
      <c r="Z481" s="244" t="str">
        <f>IF(Z$3="","",IF(COUNTIFS(BD!$A$3:$A$5001,Z$3,BD!$B$3:$B$5001,$A$463,BD!$T$3:$T$5001,"&lt;&gt;")=0,"",SUMIFS(BD!$T$3:$T$5001,BD!$A$3:$A$5001,Z$3,BD!$B$3:$B$5001,$A$463)))</f>
        <v/>
      </c>
      <c r="AA481" s="244" t="str">
        <f>IF(AA$3="","",IF(COUNTIFS(BD!$A$3:$A$5001,AA$3,BD!$B$3:$B$5001,$A$463,BD!$T$3:$T$5001,"&lt;&gt;")=0,"",SUMIFS(BD!$T$3:$T$5001,BD!$A$3:$A$5001,AA$3,BD!$B$3:$B$5001,$A$463)))</f>
        <v/>
      </c>
      <c r="AB481" s="244" t="str">
        <f>IF(AB$3="","",IF(COUNTIFS(BD!$A$3:$A$5001,AB$3,BD!$B$3:$B$5001,$A$463,BD!$T$3:$T$5001,"&lt;&gt;")=0,"",SUMIFS(BD!$T$3:$T$5001,BD!$A$3:$A$5001,AB$3,BD!$B$3:$B$5001,$A$463)))</f>
        <v/>
      </c>
      <c r="AC481" s="244" t="str">
        <f>IF(AC$3="","",IF(COUNTIFS(BD!$A$3:$A$5001,AC$3,BD!$B$3:$B$5001,$A$463,BD!$T$3:$T$5001,"&lt;&gt;")=0,"",SUMIFS(BD!$T$3:$T$5001,BD!$A$3:$A$5001,AC$3,BD!$B$3:$B$5001,$A$463)))</f>
        <v/>
      </c>
      <c r="AD481" s="244" t="str">
        <f>IF(AD$3="","",IF(COUNTIFS(BD!$A$3:$A$5001,AD$3,BD!$B$3:$B$5001,$A$463,BD!$T$3:$T$5001,"&lt;&gt;")=0,"",SUMIFS(BD!$T$3:$T$5001,BD!$A$3:$A$5001,AD$3,BD!$B$3:$B$5001,$A$463)))</f>
        <v/>
      </c>
      <c r="AE481" s="244" t="str">
        <f>IF(AE$3="","",IF(COUNTIFS(BD!$A$3:$A$5001,AE$3,BD!$B$3:$B$5001,$A$463,BD!$T$3:$T$5001,"&lt;&gt;")=0,"",SUMIFS(BD!$T$3:$T$5001,BD!$A$3:$A$5001,AE$3,BD!$B$3:$B$5001,$A$463)))</f>
        <v/>
      </c>
      <c r="AF481" s="244" t="str">
        <f>IF(AF$3="","",IF(COUNTIFS(BD!$A$3:$A$5001,AF$3,BD!$B$3:$B$5001,$A$463,BD!$T$3:$T$5001,"&lt;&gt;")=0,"",SUMIFS(BD!$T$3:$T$5001,BD!$A$3:$A$5001,AF$3,BD!$B$3:$B$5001,$A$463)))</f>
        <v/>
      </c>
      <c r="AG481" s="244" t="str">
        <f>IF(AG$3="","",IF(COUNTIFS(BD!$A$3:$A$5001,AG$3,BD!$B$3:$B$5001,$A$463,BD!$T$3:$T$5001,"&lt;&gt;")=0,"",SUMIFS(BD!$T$3:$T$5001,BD!$A$3:$A$5001,AG$3,BD!$B$3:$B$5001,$A$463)))</f>
        <v/>
      </c>
      <c r="AH481" s="244" t="str">
        <f>IF(AH$3="","",IF(COUNTIFS(BD!$A$3:$A$5001,AH$3,BD!$B$3:$B$5001,$A$463,BD!$T$3:$T$5001,"&lt;&gt;")=0,"",SUMIFS(BD!$T$3:$T$5001,BD!$A$3:$A$5001,AH$3,BD!$B$3:$B$5001,$A$463)))</f>
        <v/>
      </c>
      <c r="AI481" s="244" t="str">
        <f>IF(AI$3="","",IF(COUNTIFS(BD!$A$3:$A$5001,AI$3,BD!$B$3:$B$5001,$A$463,BD!$T$3:$T$5001,"&lt;&gt;")=0,"",SUMIFS(BD!$T$3:$T$5001,BD!$A$3:$A$5001,AI$3,BD!$B$3:$B$5001,$A$463)))</f>
        <v/>
      </c>
      <c r="AJ481" s="245" t="str">
        <f>IF(AJ$3="","",IF(COUNTIFS(BD!$A$3:$A$5001,AJ$3,BD!$B$3:$B$5001,$A$463,BD!$T$3:$T$5001,"&lt;&gt;")=0,"",SUMIFS(BD!$T$3:$T$5001,BD!$A$3:$A$5001,AJ$3,BD!$B$3:$B$5001,$A$463)))</f>
        <v/>
      </c>
      <c r="AK481" s="246" t="str">
        <f>IFERROR(LOOKUP(9.99E+307,F481:AJ481),"")</f>
        <v/>
      </c>
    </row>
    <row r="482" ht="15.75" customHeight="1" hidden="1">
      <c r="A482" s="277"/>
      <c r="B482" s="274"/>
      <c r="C482" s="247" t="inlineStr">
        <is>
          <t xml:space="preserve">Falta</t>
        </is>
      </c>
      <c r="D482" s="248" t="str">
        <f>IFERROR(1/(1/INDEX(BD!$AF$42:$AZ$42,MATCH($A$463,BD!$AF$22:$AZ$22,0))),"")</f>
        <v/>
      </c>
      <c r="E482" s="249"/>
      <c r="F482" s="250" t="str">
        <f>IF(F$3="","",IF(COUNTIFS(BD!$A$3:$A$5001,F$3,BD!$B$3:$B$5001,$A$463,BD!$U$3:$U$5001,"&lt;&gt;")=0,"",SUMIFS(BD!$U$3:$U$5001,BD!$A$3:$A$5001,F$3,BD!$B$3:$B$5001,$A$463)))</f>
        <v/>
      </c>
      <c r="G482" s="251" t="str">
        <f>IF(G$3="","",IF(COUNTIFS(BD!$A$3:$A$5001,G$3,BD!$B$3:$B$5001,$A$463,BD!$U$3:$U$5001,"&lt;&gt;")=0,"",SUMIFS(BD!$U$3:$U$5001,BD!$A$3:$A$5001,G$3,BD!$B$3:$B$5001,$A$463)))</f>
        <v/>
      </c>
      <c r="H482" s="251" t="str">
        <f>IF(H$3="","",IF(COUNTIFS(BD!$A$3:$A$5001,H$3,BD!$B$3:$B$5001,$A$463,BD!$U$3:$U$5001,"&lt;&gt;")=0,"",SUMIFS(BD!$U$3:$U$5001,BD!$A$3:$A$5001,H$3,BD!$B$3:$B$5001,$A$463)))</f>
        <v/>
      </c>
      <c r="I482" s="251" t="str">
        <f>IF(I$3="","",IF(COUNTIFS(BD!$A$3:$A$5001,I$3,BD!$B$3:$B$5001,$A$463,BD!$U$3:$U$5001,"&lt;&gt;")=0,"",SUMIFS(BD!$U$3:$U$5001,BD!$A$3:$A$5001,I$3,BD!$B$3:$B$5001,$A$463)))</f>
        <v/>
      </c>
      <c r="J482" s="251" t="str">
        <f>IF(J$3="","",IF(COUNTIFS(BD!$A$3:$A$5001,J$3,BD!$B$3:$B$5001,$A$463,BD!$U$3:$U$5001,"&lt;&gt;")=0,"",SUMIFS(BD!$U$3:$U$5001,BD!$A$3:$A$5001,J$3,BD!$B$3:$B$5001,$A$463)))</f>
        <v/>
      </c>
      <c r="K482" s="251" t="str">
        <f>IF(K$3="","",IF(COUNTIFS(BD!$A$3:$A$5001,K$3,BD!$B$3:$B$5001,$A$463,BD!$U$3:$U$5001,"&lt;&gt;")=0,"",SUMIFS(BD!$U$3:$U$5001,BD!$A$3:$A$5001,K$3,BD!$B$3:$B$5001,$A$463)))</f>
        <v/>
      </c>
      <c r="L482" s="251" t="str">
        <f>IF(L$3="","",IF(COUNTIFS(BD!$A$3:$A$5001,L$3,BD!$B$3:$B$5001,$A$463,BD!$U$3:$U$5001,"&lt;&gt;")=0,"",SUMIFS(BD!$U$3:$U$5001,BD!$A$3:$A$5001,L$3,BD!$B$3:$B$5001,$A$463)))</f>
        <v/>
      </c>
      <c r="M482" s="251" t="str">
        <f>IF(M$3="","",IF(COUNTIFS(BD!$A$3:$A$5001,M$3,BD!$B$3:$B$5001,$A$463,BD!$U$3:$U$5001,"&lt;&gt;")=0,"",SUMIFS(BD!$U$3:$U$5001,BD!$A$3:$A$5001,M$3,BD!$B$3:$B$5001,$A$463)))</f>
        <v/>
      </c>
      <c r="N482" s="251" t="str">
        <f>IF(N$3="","",IF(COUNTIFS(BD!$A$3:$A$5001,N$3,BD!$B$3:$B$5001,$A$463,BD!$U$3:$U$5001,"&lt;&gt;")=0,"",SUMIFS(BD!$U$3:$U$5001,BD!$A$3:$A$5001,N$3,BD!$B$3:$B$5001,$A$463)))</f>
        <v/>
      </c>
      <c r="O482" s="251" t="str">
        <f>IF(O$3="","",IF(COUNTIFS(BD!$A$3:$A$5001,O$3,BD!$B$3:$B$5001,$A$463,BD!$U$3:$U$5001,"&lt;&gt;")=0,"",SUMIFS(BD!$U$3:$U$5001,BD!$A$3:$A$5001,O$3,BD!$B$3:$B$5001,$A$463)))</f>
        <v/>
      </c>
      <c r="P482" s="251" t="str">
        <f>IF(P$3="","",IF(COUNTIFS(BD!$A$3:$A$5001,P$3,BD!$B$3:$B$5001,$A$463,BD!$U$3:$U$5001,"&lt;&gt;")=0,"",SUMIFS(BD!$U$3:$U$5001,BD!$A$3:$A$5001,P$3,BD!$B$3:$B$5001,$A$463)))</f>
        <v/>
      </c>
      <c r="Q482" s="251" t="str">
        <f>IF(Q$3="","",IF(COUNTIFS(BD!$A$3:$A$5001,Q$3,BD!$B$3:$B$5001,$A$463,BD!$U$3:$U$5001,"&lt;&gt;")=0,"",SUMIFS(BD!$U$3:$U$5001,BD!$A$3:$A$5001,Q$3,BD!$B$3:$B$5001,$A$463)))</f>
        <v/>
      </c>
      <c r="R482" s="251" t="str">
        <f>IF(R$3="","",IF(COUNTIFS(BD!$A$3:$A$5001,R$3,BD!$B$3:$B$5001,$A$463,BD!$U$3:$U$5001,"&lt;&gt;")=0,"",SUMIFS(BD!$U$3:$U$5001,BD!$A$3:$A$5001,R$3,BD!$B$3:$B$5001,$A$463)))</f>
        <v/>
      </c>
      <c r="S482" s="251" t="str">
        <f>IF(S$3="","",IF(COUNTIFS(BD!$A$3:$A$5001,S$3,BD!$B$3:$B$5001,$A$463,BD!$U$3:$U$5001,"&lt;&gt;")=0,"",SUMIFS(BD!$U$3:$U$5001,BD!$A$3:$A$5001,S$3,BD!$B$3:$B$5001,$A$463)))</f>
        <v/>
      </c>
      <c r="T482" s="251" t="str">
        <f>IF(T$3="","",IF(COUNTIFS(BD!$A$3:$A$5001,T$3,BD!$B$3:$B$5001,$A$463,BD!$U$3:$U$5001,"&lt;&gt;")=0,"",SUMIFS(BD!$U$3:$U$5001,BD!$A$3:$A$5001,T$3,BD!$B$3:$B$5001,$A$463)))</f>
        <v/>
      </c>
      <c r="U482" s="251" t="str">
        <f>IF(U$3="","",IF(COUNTIFS(BD!$A$3:$A$5001,U$3,BD!$B$3:$B$5001,$A$463,BD!$U$3:$U$5001,"&lt;&gt;")=0,"",SUMIFS(BD!$U$3:$U$5001,BD!$A$3:$A$5001,U$3,BD!$B$3:$B$5001,$A$463)))</f>
        <v/>
      </c>
      <c r="V482" s="251" t="str">
        <f>IF(V$3="","",IF(COUNTIFS(BD!$A$3:$A$5001,V$3,BD!$B$3:$B$5001,$A$463,BD!$U$3:$U$5001,"&lt;&gt;")=0,"",SUMIFS(BD!$U$3:$U$5001,BD!$A$3:$A$5001,V$3,BD!$B$3:$B$5001,$A$463)))</f>
        <v/>
      </c>
      <c r="W482" s="251" t="str">
        <f>IF(W$3="","",IF(COUNTIFS(BD!$A$3:$A$5001,W$3,BD!$B$3:$B$5001,$A$463,BD!$U$3:$U$5001,"&lt;&gt;")=0,"",SUMIFS(BD!$U$3:$U$5001,BD!$A$3:$A$5001,W$3,BD!$B$3:$B$5001,$A$463)))</f>
        <v/>
      </c>
      <c r="X482" s="251" t="str">
        <f>IF(X$3="","",IF(COUNTIFS(BD!$A$3:$A$5001,X$3,BD!$B$3:$B$5001,$A$463,BD!$U$3:$U$5001,"&lt;&gt;")=0,"",SUMIFS(BD!$U$3:$U$5001,BD!$A$3:$A$5001,X$3,BD!$B$3:$B$5001,$A$463)))</f>
        <v/>
      </c>
      <c r="Y482" s="251" t="str">
        <f>IF(Y$3="","",IF(COUNTIFS(BD!$A$3:$A$5001,Y$3,BD!$B$3:$B$5001,$A$463,BD!$U$3:$U$5001,"&lt;&gt;")=0,"",SUMIFS(BD!$U$3:$U$5001,BD!$A$3:$A$5001,Y$3,BD!$B$3:$B$5001,$A$463)))</f>
        <v/>
      </c>
      <c r="Z482" s="251" t="str">
        <f>IF(Z$3="","",IF(COUNTIFS(BD!$A$3:$A$5001,Z$3,BD!$B$3:$B$5001,$A$463,BD!$U$3:$U$5001,"&lt;&gt;")=0,"",SUMIFS(BD!$U$3:$U$5001,BD!$A$3:$A$5001,Z$3,BD!$B$3:$B$5001,$A$463)))</f>
        <v/>
      </c>
      <c r="AA482" s="251" t="str">
        <f>IF(AA$3="","",IF(COUNTIFS(BD!$A$3:$A$5001,AA$3,BD!$B$3:$B$5001,$A$463,BD!$U$3:$U$5001,"&lt;&gt;")=0,"",SUMIFS(BD!$U$3:$U$5001,BD!$A$3:$A$5001,AA$3,BD!$B$3:$B$5001,$A$463)))</f>
        <v/>
      </c>
      <c r="AB482" s="251" t="str">
        <f>IF(AB$3="","",IF(COUNTIFS(BD!$A$3:$A$5001,AB$3,BD!$B$3:$B$5001,$A$463,BD!$U$3:$U$5001,"&lt;&gt;")=0,"",SUMIFS(BD!$U$3:$U$5001,BD!$A$3:$A$5001,AB$3,BD!$B$3:$B$5001,$A$463)))</f>
        <v/>
      </c>
      <c r="AC482" s="251" t="str">
        <f>IF(AC$3="","",IF(COUNTIFS(BD!$A$3:$A$5001,AC$3,BD!$B$3:$B$5001,$A$463,BD!$U$3:$U$5001,"&lt;&gt;")=0,"",SUMIFS(BD!$U$3:$U$5001,BD!$A$3:$A$5001,AC$3,BD!$B$3:$B$5001,$A$463)))</f>
        <v/>
      </c>
      <c r="AD482" s="251" t="str">
        <f>IF(AD$3="","",IF(COUNTIFS(BD!$A$3:$A$5001,AD$3,BD!$B$3:$B$5001,$A$463,BD!$U$3:$U$5001,"&lt;&gt;")=0,"",SUMIFS(BD!$U$3:$U$5001,BD!$A$3:$A$5001,AD$3,BD!$B$3:$B$5001,$A$463)))</f>
        <v/>
      </c>
      <c r="AE482" s="251" t="str">
        <f>IF(AE$3="","",IF(COUNTIFS(BD!$A$3:$A$5001,AE$3,BD!$B$3:$B$5001,$A$463,BD!$U$3:$U$5001,"&lt;&gt;")=0,"",SUMIFS(BD!$U$3:$U$5001,BD!$A$3:$A$5001,AE$3,BD!$B$3:$B$5001,$A$463)))</f>
        <v/>
      </c>
      <c r="AF482" s="251" t="str">
        <f>IF(AF$3="","",IF(COUNTIFS(BD!$A$3:$A$5001,AF$3,BD!$B$3:$B$5001,$A$463,BD!$U$3:$U$5001,"&lt;&gt;")=0,"",SUMIFS(BD!$U$3:$U$5001,BD!$A$3:$A$5001,AF$3,BD!$B$3:$B$5001,$A$463)))</f>
        <v/>
      </c>
      <c r="AG482" s="251" t="str">
        <f>IF(AG$3="","",IF(COUNTIFS(BD!$A$3:$A$5001,AG$3,BD!$B$3:$B$5001,$A$463,BD!$U$3:$U$5001,"&lt;&gt;")=0,"",SUMIFS(BD!$U$3:$U$5001,BD!$A$3:$A$5001,AG$3,BD!$B$3:$B$5001,$A$463)))</f>
        <v/>
      </c>
      <c r="AH482" s="251" t="str">
        <f>IF(AH$3="","",IF(COUNTIFS(BD!$A$3:$A$5001,AH$3,BD!$B$3:$B$5001,$A$463,BD!$U$3:$U$5001,"&lt;&gt;")=0,"",SUMIFS(BD!$U$3:$U$5001,BD!$A$3:$A$5001,AH$3,BD!$B$3:$B$5001,$A$463)))</f>
        <v/>
      </c>
      <c r="AI482" s="251" t="str">
        <f>IF(AI$3="","",IF(COUNTIFS(BD!$A$3:$A$5001,AI$3,BD!$B$3:$B$5001,$A$463,BD!$U$3:$U$5001,"&lt;&gt;")=0,"",SUMIFS(BD!$U$3:$U$5001,BD!$A$3:$A$5001,AI$3,BD!$B$3:$B$5001,$A$463)))</f>
        <v/>
      </c>
      <c r="AJ482" s="252" t="str">
        <f>IF(AJ$3="","",IF(COUNTIFS(BD!$A$3:$A$5001,AJ$3,BD!$B$3:$B$5001,$A$463,BD!$U$3:$U$5001,"&lt;&gt;")=0,"",SUMIFS(BD!$U$3:$U$5001,BD!$A$3:$A$5001,AJ$3,BD!$B$3:$B$5001,$A$463)))</f>
        <v/>
      </c>
      <c r="AK482" s="253" t="str">
        <f>IF(COUNT(F482:AJ482)=0,"",SUM(F482:AJ482))</f>
        <v/>
      </c>
    </row>
    <row r="483" ht="15.75" customHeight="1" hidden="1">
      <c r="A483" s="277"/>
      <c r="B483" s="274"/>
      <c r="C483" s="247" t="inlineStr">
        <is>
          <t xml:space="preserve">Absenteísmo (H/H)</t>
        </is>
      </c>
      <c r="D483" s="248" t="str">
        <f>IFERROR(1/(1/INDEX(BD!$AF$43:$AZ$43,MATCH($A$463,BD!$AF$22:$AZ$22,0))),"")</f>
        <v/>
      </c>
      <c r="E483" s="249"/>
      <c r="F483" s="254" t="str">
        <f>IF(F$3="","",IF(COUNTIFS(BD!$A$3:$A$5001,F$3,BD!$B$3:$B$5001,$A$463,BD!$V$3:$V$5001,"&lt;&gt;")=0,"",SUMIFS(BD!$V$3:$V$5001,BD!$A$3:$A$5001,F$3,BD!$B$3:$B$5001,$A$463)))</f>
        <v/>
      </c>
      <c r="G483" s="255" t="str">
        <f>IF(G$3="","",IF(COUNTIFS(BD!$A$3:$A$5001,G$3,BD!$B$3:$B$5001,$A$463,BD!$V$3:$V$5001,"&lt;&gt;")=0,"",SUMIFS(BD!$V$3:$V$5001,BD!$A$3:$A$5001,G$3,BD!$B$3:$B$5001,$A$463)))</f>
        <v/>
      </c>
      <c r="H483" s="255" t="str">
        <f>IF(H$3="","",IF(COUNTIFS(BD!$A$3:$A$5001,H$3,BD!$B$3:$B$5001,$A$463,BD!$V$3:$V$5001,"&lt;&gt;")=0,"",SUMIFS(BD!$V$3:$V$5001,BD!$A$3:$A$5001,H$3,BD!$B$3:$B$5001,$A$463)))</f>
        <v/>
      </c>
      <c r="I483" s="255" t="str">
        <f>IF(I$3="","",IF(COUNTIFS(BD!$A$3:$A$5001,I$3,BD!$B$3:$B$5001,$A$463,BD!$V$3:$V$5001,"&lt;&gt;")=0,"",SUMIFS(BD!$V$3:$V$5001,BD!$A$3:$A$5001,I$3,BD!$B$3:$B$5001,$A$463)))</f>
        <v/>
      </c>
      <c r="J483" s="255" t="str">
        <f>IF(J$3="","",IF(COUNTIFS(BD!$A$3:$A$5001,J$3,BD!$B$3:$B$5001,$A$463,BD!$V$3:$V$5001,"&lt;&gt;")=0,"",SUMIFS(BD!$V$3:$V$5001,BD!$A$3:$A$5001,J$3,BD!$B$3:$B$5001,$A$463)))</f>
        <v/>
      </c>
      <c r="K483" s="255" t="str">
        <f>IF(K$3="","",IF(COUNTIFS(BD!$A$3:$A$5001,K$3,BD!$B$3:$B$5001,$A$463,BD!$V$3:$V$5001,"&lt;&gt;")=0,"",SUMIFS(BD!$V$3:$V$5001,BD!$A$3:$A$5001,K$3,BD!$B$3:$B$5001,$A$463)))</f>
        <v/>
      </c>
      <c r="L483" s="255" t="str">
        <f>IF(L$3="","",IF(COUNTIFS(BD!$A$3:$A$5001,L$3,BD!$B$3:$B$5001,$A$463,BD!$V$3:$V$5001,"&lt;&gt;")=0,"",SUMIFS(BD!$V$3:$V$5001,BD!$A$3:$A$5001,L$3,BD!$B$3:$B$5001,$A$463)))</f>
        <v/>
      </c>
      <c r="M483" s="255" t="str">
        <f>IF(M$3="","",IF(COUNTIFS(BD!$A$3:$A$5001,M$3,BD!$B$3:$B$5001,$A$463,BD!$V$3:$V$5001,"&lt;&gt;")=0,"",SUMIFS(BD!$V$3:$V$5001,BD!$A$3:$A$5001,M$3,BD!$B$3:$B$5001,$A$463)))</f>
        <v/>
      </c>
      <c r="N483" s="255" t="str">
        <f>IF(N$3="","",IF(COUNTIFS(BD!$A$3:$A$5001,N$3,BD!$B$3:$B$5001,$A$463,BD!$V$3:$V$5001,"&lt;&gt;")=0,"",SUMIFS(BD!$V$3:$V$5001,BD!$A$3:$A$5001,N$3,BD!$B$3:$B$5001,$A$463)))</f>
        <v/>
      </c>
      <c r="O483" s="255" t="str">
        <f>IF(O$3="","",IF(COUNTIFS(BD!$A$3:$A$5001,O$3,BD!$B$3:$B$5001,$A$463,BD!$V$3:$V$5001,"&lt;&gt;")=0,"",SUMIFS(BD!$V$3:$V$5001,BD!$A$3:$A$5001,O$3,BD!$B$3:$B$5001,$A$463)))</f>
        <v/>
      </c>
      <c r="P483" s="255" t="str">
        <f>IF(P$3="","",IF(COUNTIFS(BD!$A$3:$A$5001,P$3,BD!$B$3:$B$5001,$A$463,BD!$V$3:$V$5001,"&lt;&gt;")=0,"",SUMIFS(BD!$V$3:$V$5001,BD!$A$3:$A$5001,P$3,BD!$B$3:$B$5001,$A$463)))</f>
        <v/>
      </c>
      <c r="Q483" s="255" t="str">
        <f>IF(Q$3="","",IF(COUNTIFS(BD!$A$3:$A$5001,Q$3,BD!$B$3:$B$5001,$A$463,BD!$V$3:$V$5001,"&lt;&gt;")=0,"",SUMIFS(BD!$V$3:$V$5001,BD!$A$3:$A$5001,Q$3,BD!$B$3:$B$5001,$A$463)))</f>
        <v/>
      </c>
      <c r="R483" s="255" t="str">
        <f>IF(R$3="","",IF(COUNTIFS(BD!$A$3:$A$5001,R$3,BD!$B$3:$B$5001,$A$463,BD!$V$3:$V$5001,"&lt;&gt;")=0,"",SUMIFS(BD!$V$3:$V$5001,BD!$A$3:$A$5001,R$3,BD!$B$3:$B$5001,$A$463)))</f>
        <v/>
      </c>
      <c r="S483" s="255" t="str">
        <f>IF(S$3="","",IF(COUNTIFS(BD!$A$3:$A$5001,S$3,BD!$B$3:$B$5001,$A$463,BD!$V$3:$V$5001,"&lt;&gt;")=0,"",SUMIFS(BD!$V$3:$V$5001,BD!$A$3:$A$5001,S$3,BD!$B$3:$B$5001,$A$463)))</f>
        <v/>
      </c>
      <c r="T483" s="255" t="str">
        <f>IF(T$3="","",IF(COUNTIFS(BD!$A$3:$A$5001,T$3,BD!$B$3:$B$5001,$A$463,BD!$V$3:$V$5001,"&lt;&gt;")=0,"",SUMIFS(BD!$V$3:$V$5001,BD!$A$3:$A$5001,T$3,BD!$B$3:$B$5001,$A$463)))</f>
        <v/>
      </c>
      <c r="U483" s="255" t="str">
        <f>IF(U$3="","",IF(COUNTIFS(BD!$A$3:$A$5001,U$3,BD!$B$3:$B$5001,$A$463,BD!$V$3:$V$5001,"&lt;&gt;")=0,"",SUMIFS(BD!$V$3:$V$5001,BD!$A$3:$A$5001,U$3,BD!$B$3:$B$5001,$A$463)))</f>
        <v/>
      </c>
      <c r="V483" s="255" t="str">
        <f>IF(V$3="","",IF(COUNTIFS(BD!$A$3:$A$5001,V$3,BD!$B$3:$B$5001,$A$463,BD!$V$3:$V$5001,"&lt;&gt;")=0,"",SUMIFS(BD!$V$3:$V$5001,BD!$A$3:$A$5001,V$3,BD!$B$3:$B$5001,$A$463)))</f>
        <v/>
      </c>
      <c r="W483" s="255" t="str">
        <f>IF(W$3="","",IF(COUNTIFS(BD!$A$3:$A$5001,W$3,BD!$B$3:$B$5001,$A$463,BD!$V$3:$V$5001,"&lt;&gt;")=0,"",SUMIFS(BD!$V$3:$V$5001,BD!$A$3:$A$5001,W$3,BD!$B$3:$B$5001,$A$463)))</f>
        <v/>
      </c>
      <c r="X483" s="255" t="str">
        <f>IF(X$3="","",IF(COUNTIFS(BD!$A$3:$A$5001,X$3,BD!$B$3:$B$5001,$A$463,BD!$V$3:$V$5001,"&lt;&gt;")=0,"",SUMIFS(BD!$V$3:$V$5001,BD!$A$3:$A$5001,X$3,BD!$B$3:$B$5001,$A$463)))</f>
        <v/>
      </c>
      <c r="Y483" s="255" t="str">
        <f>IF(Y$3="","",IF(COUNTIFS(BD!$A$3:$A$5001,Y$3,BD!$B$3:$B$5001,$A$463,BD!$V$3:$V$5001,"&lt;&gt;")=0,"",SUMIFS(BD!$V$3:$V$5001,BD!$A$3:$A$5001,Y$3,BD!$B$3:$B$5001,$A$463)))</f>
        <v/>
      </c>
      <c r="Z483" s="255" t="str">
        <f>IF(Z$3="","",IF(COUNTIFS(BD!$A$3:$A$5001,Z$3,BD!$B$3:$B$5001,$A$463,BD!$V$3:$V$5001,"&lt;&gt;")=0,"",SUMIFS(BD!$V$3:$V$5001,BD!$A$3:$A$5001,Z$3,BD!$B$3:$B$5001,$A$463)))</f>
        <v/>
      </c>
      <c r="AA483" s="255" t="str">
        <f>IF(AA$3="","",IF(COUNTIFS(BD!$A$3:$A$5001,AA$3,BD!$B$3:$B$5001,$A$463,BD!$V$3:$V$5001,"&lt;&gt;")=0,"",SUMIFS(BD!$V$3:$V$5001,BD!$A$3:$A$5001,AA$3,BD!$B$3:$B$5001,$A$463)))</f>
        <v/>
      </c>
      <c r="AB483" s="255" t="str">
        <f>IF(AB$3="","",IF(COUNTIFS(BD!$A$3:$A$5001,AB$3,BD!$B$3:$B$5001,$A$463,BD!$V$3:$V$5001,"&lt;&gt;")=0,"",SUMIFS(BD!$V$3:$V$5001,BD!$A$3:$A$5001,AB$3,BD!$B$3:$B$5001,$A$463)))</f>
        <v/>
      </c>
      <c r="AC483" s="255" t="str">
        <f>IF(AC$3="","",IF(COUNTIFS(BD!$A$3:$A$5001,AC$3,BD!$B$3:$B$5001,$A$463,BD!$V$3:$V$5001,"&lt;&gt;")=0,"",SUMIFS(BD!$V$3:$V$5001,BD!$A$3:$A$5001,AC$3,BD!$B$3:$B$5001,$A$463)))</f>
        <v/>
      </c>
      <c r="AD483" s="255" t="str">
        <f>IF(AD$3="","",IF(COUNTIFS(BD!$A$3:$A$5001,AD$3,BD!$B$3:$B$5001,$A$463,BD!$V$3:$V$5001,"&lt;&gt;")=0,"",SUMIFS(BD!$V$3:$V$5001,BD!$A$3:$A$5001,AD$3,BD!$B$3:$B$5001,$A$463)))</f>
        <v/>
      </c>
      <c r="AE483" s="255" t="str">
        <f>IF(AE$3="","",IF(COUNTIFS(BD!$A$3:$A$5001,AE$3,BD!$B$3:$B$5001,$A$463,BD!$V$3:$V$5001,"&lt;&gt;")=0,"",SUMIFS(BD!$V$3:$V$5001,BD!$A$3:$A$5001,AE$3,BD!$B$3:$B$5001,$A$463)))</f>
        <v/>
      </c>
      <c r="AF483" s="255" t="str">
        <f>IF(AF$3="","",IF(COUNTIFS(BD!$A$3:$A$5001,AF$3,BD!$B$3:$B$5001,$A$463,BD!$V$3:$V$5001,"&lt;&gt;")=0,"",SUMIFS(BD!$V$3:$V$5001,BD!$A$3:$A$5001,AF$3,BD!$B$3:$B$5001,$A$463)))</f>
        <v/>
      </c>
      <c r="AG483" s="255" t="str">
        <f>IF(AG$3="","",IF(COUNTIFS(BD!$A$3:$A$5001,AG$3,BD!$B$3:$B$5001,$A$463,BD!$V$3:$V$5001,"&lt;&gt;")=0,"",SUMIFS(BD!$V$3:$V$5001,BD!$A$3:$A$5001,AG$3,BD!$B$3:$B$5001,$A$463)))</f>
        <v/>
      </c>
      <c r="AH483" s="255" t="str">
        <f>IF(AH$3="","",IF(COUNTIFS(BD!$A$3:$A$5001,AH$3,BD!$B$3:$B$5001,$A$463,BD!$V$3:$V$5001,"&lt;&gt;")=0,"",SUMIFS(BD!$V$3:$V$5001,BD!$A$3:$A$5001,AH$3,BD!$B$3:$B$5001,$A$463)))</f>
        <v/>
      </c>
      <c r="AI483" s="255" t="str">
        <f>IF(AI$3="","",IF(COUNTIFS(BD!$A$3:$A$5001,AI$3,BD!$B$3:$B$5001,$A$463,BD!$V$3:$V$5001,"&lt;&gt;")=0,"",SUMIFS(BD!$V$3:$V$5001,BD!$A$3:$A$5001,AI$3,BD!$B$3:$B$5001,$A$463)))</f>
        <v/>
      </c>
      <c r="AJ483" s="256" t="str">
        <f>IF(AJ$3="","",IF(COUNTIFS(BD!$A$3:$A$5001,AJ$3,BD!$B$3:$B$5001,$A$463,BD!$V$3:$V$5001,"&lt;&gt;")=0,"",SUMIFS(BD!$V$3:$V$5001,BD!$A$3:$A$5001,AJ$3,BD!$B$3:$B$5001,$A$463)))</f>
        <v/>
      </c>
      <c r="AK483" s="257" t="str">
        <f>IF(COUNT(F483:AJ483)=0,"",SUM(F483:AJ483))</f>
        <v/>
      </c>
    </row>
    <row r="484" ht="15.75" customHeight="1" hidden="1">
      <c r="A484" s="277"/>
      <c r="B484" s="274"/>
      <c r="C484" s="247" t="inlineStr">
        <is>
          <t xml:space="preserve">Folga</t>
        </is>
      </c>
      <c r="D484" s="248" t="str">
        <f>IFERROR(1/(1/INDEX(BD!$AF$44:$AZ$44,MATCH($A$463,BD!$AF$22:$AZ$22,0))),"")</f>
        <v/>
      </c>
      <c r="E484" s="249"/>
      <c r="F484" s="250" t="str">
        <f>IF(F$3="","",IF(COUNTIFS(BD!$A$3:$A$5001,F$3,BD!$B$3:$B$5001,$A$463,BD!$W$3:$W$5001,"&lt;&gt;")=0,"",SUMIFS(BD!$W$3:$W$5001,BD!$A$3:$A$5001,F$3,BD!$B$3:$B$5001,$A$463)))</f>
        <v/>
      </c>
      <c r="G484" s="251" t="str">
        <f>IF(G$3="","",IF(COUNTIFS(BD!$A$3:$A$5001,G$3,BD!$B$3:$B$5001,$A$463,BD!$W$3:$W$5001,"&lt;&gt;")=0,"",SUMIFS(BD!$W$3:$W$5001,BD!$A$3:$A$5001,G$3,BD!$B$3:$B$5001,$A$463)))</f>
        <v/>
      </c>
      <c r="H484" s="251" t="str">
        <f>IF(H$3="","",IF(COUNTIFS(BD!$A$3:$A$5001,H$3,BD!$B$3:$B$5001,$A$463,BD!$W$3:$W$5001,"&lt;&gt;")=0,"",SUMIFS(BD!$W$3:$W$5001,BD!$A$3:$A$5001,H$3,BD!$B$3:$B$5001,$A$463)))</f>
        <v/>
      </c>
      <c r="I484" s="251" t="str">
        <f>IF(I$3="","",IF(COUNTIFS(BD!$A$3:$A$5001,I$3,BD!$B$3:$B$5001,$A$463,BD!$W$3:$W$5001,"&lt;&gt;")=0,"",SUMIFS(BD!$W$3:$W$5001,BD!$A$3:$A$5001,I$3,BD!$B$3:$B$5001,$A$463)))</f>
        <v/>
      </c>
      <c r="J484" s="251" t="str">
        <f>IF(J$3="","",IF(COUNTIFS(BD!$A$3:$A$5001,J$3,BD!$B$3:$B$5001,$A$463,BD!$W$3:$W$5001,"&lt;&gt;")=0,"",SUMIFS(BD!$W$3:$W$5001,BD!$A$3:$A$5001,J$3,BD!$B$3:$B$5001,$A$463)))</f>
        <v/>
      </c>
      <c r="K484" s="251" t="str">
        <f>IF(K$3="","",IF(COUNTIFS(BD!$A$3:$A$5001,K$3,BD!$B$3:$B$5001,$A$463,BD!$W$3:$W$5001,"&lt;&gt;")=0,"",SUMIFS(BD!$W$3:$W$5001,BD!$A$3:$A$5001,K$3,BD!$B$3:$B$5001,$A$463)))</f>
        <v/>
      </c>
      <c r="L484" s="251" t="str">
        <f>IF(L$3="","",IF(COUNTIFS(BD!$A$3:$A$5001,L$3,BD!$B$3:$B$5001,$A$463,BD!$W$3:$W$5001,"&lt;&gt;")=0,"",SUMIFS(BD!$W$3:$W$5001,BD!$A$3:$A$5001,L$3,BD!$B$3:$B$5001,$A$463)))</f>
        <v/>
      </c>
      <c r="M484" s="251" t="str">
        <f>IF(M$3="","",IF(COUNTIFS(BD!$A$3:$A$5001,M$3,BD!$B$3:$B$5001,$A$463,BD!$W$3:$W$5001,"&lt;&gt;")=0,"",SUMIFS(BD!$W$3:$W$5001,BD!$A$3:$A$5001,M$3,BD!$B$3:$B$5001,$A$463)))</f>
        <v/>
      </c>
      <c r="N484" s="251" t="str">
        <f>IF(N$3="","",IF(COUNTIFS(BD!$A$3:$A$5001,N$3,BD!$B$3:$B$5001,$A$463,BD!$W$3:$W$5001,"&lt;&gt;")=0,"",SUMIFS(BD!$W$3:$W$5001,BD!$A$3:$A$5001,N$3,BD!$B$3:$B$5001,$A$463)))</f>
        <v/>
      </c>
      <c r="O484" s="251" t="str">
        <f>IF(O$3="","",IF(COUNTIFS(BD!$A$3:$A$5001,O$3,BD!$B$3:$B$5001,$A$463,BD!$W$3:$W$5001,"&lt;&gt;")=0,"",SUMIFS(BD!$W$3:$W$5001,BD!$A$3:$A$5001,O$3,BD!$B$3:$B$5001,$A$463)))</f>
        <v/>
      </c>
      <c r="P484" s="251" t="str">
        <f>IF(P$3="","",IF(COUNTIFS(BD!$A$3:$A$5001,P$3,BD!$B$3:$B$5001,$A$463,BD!$W$3:$W$5001,"&lt;&gt;")=0,"",SUMIFS(BD!$W$3:$W$5001,BD!$A$3:$A$5001,P$3,BD!$B$3:$B$5001,$A$463)))</f>
        <v/>
      </c>
      <c r="Q484" s="251" t="str">
        <f>IF(Q$3="","",IF(COUNTIFS(BD!$A$3:$A$5001,Q$3,BD!$B$3:$B$5001,$A$463,BD!$W$3:$W$5001,"&lt;&gt;")=0,"",SUMIFS(BD!$W$3:$W$5001,BD!$A$3:$A$5001,Q$3,BD!$B$3:$B$5001,$A$463)))</f>
        <v/>
      </c>
      <c r="R484" s="251" t="str">
        <f>IF(R$3="","",IF(COUNTIFS(BD!$A$3:$A$5001,R$3,BD!$B$3:$B$5001,$A$463,BD!$W$3:$W$5001,"&lt;&gt;")=0,"",SUMIFS(BD!$W$3:$W$5001,BD!$A$3:$A$5001,R$3,BD!$B$3:$B$5001,$A$463)))</f>
        <v/>
      </c>
      <c r="S484" s="251" t="str">
        <f>IF(S$3="","",IF(COUNTIFS(BD!$A$3:$A$5001,S$3,BD!$B$3:$B$5001,$A$463,BD!$W$3:$W$5001,"&lt;&gt;")=0,"",SUMIFS(BD!$W$3:$W$5001,BD!$A$3:$A$5001,S$3,BD!$B$3:$B$5001,$A$463)))</f>
        <v/>
      </c>
      <c r="T484" s="251" t="str">
        <f>IF(T$3="","",IF(COUNTIFS(BD!$A$3:$A$5001,T$3,BD!$B$3:$B$5001,$A$463,BD!$W$3:$W$5001,"&lt;&gt;")=0,"",SUMIFS(BD!$W$3:$W$5001,BD!$A$3:$A$5001,T$3,BD!$B$3:$B$5001,$A$463)))</f>
        <v/>
      </c>
      <c r="U484" s="251" t="str">
        <f>IF(U$3="","",IF(COUNTIFS(BD!$A$3:$A$5001,U$3,BD!$B$3:$B$5001,$A$463,BD!$W$3:$W$5001,"&lt;&gt;")=0,"",SUMIFS(BD!$W$3:$W$5001,BD!$A$3:$A$5001,U$3,BD!$B$3:$B$5001,$A$463)))</f>
        <v/>
      </c>
      <c r="V484" s="251" t="str">
        <f>IF(V$3="","",IF(COUNTIFS(BD!$A$3:$A$5001,V$3,BD!$B$3:$B$5001,$A$463,BD!$W$3:$W$5001,"&lt;&gt;")=0,"",SUMIFS(BD!$W$3:$W$5001,BD!$A$3:$A$5001,V$3,BD!$B$3:$B$5001,$A$463)))</f>
        <v/>
      </c>
      <c r="W484" s="251" t="str">
        <f>IF(W$3="","",IF(COUNTIFS(BD!$A$3:$A$5001,W$3,BD!$B$3:$B$5001,$A$463,BD!$W$3:$W$5001,"&lt;&gt;")=0,"",SUMIFS(BD!$W$3:$W$5001,BD!$A$3:$A$5001,W$3,BD!$B$3:$B$5001,$A$463)))</f>
        <v/>
      </c>
      <c r="X484" s="251" t="str">
        <f>IF(X$3="","",IF(COUNTIFS(BD!$A$3:$A$5001,X$3,BD!$B$3:$B$5001,$A$463,BD!$W$3:$W$5001,"&lt;&gt;")=0,"",SUMIFS(BD!$W$3:$W$5001,BD!$A$3:$A$5001,X$3,BD!$B$3:$B$5001,$A$463)))</f>
        <v/>
      </c>
      <c r="Y484" s="251" t="str">
        <f>IF(Y$3="","",IF(COUNTIFS(BD!$A$3:$A$5001,Y$3,BD!$B$3:$B$5001,$A$463,BD!$W$3:$W$5001,"&lt;&gt;")=0,"",SUMIFS(BD!$W$3:$W$5001,BD!$A$3:$A$5001,Y$3,BD!$B$3:$B$5001,$A$463)))</f>
        <v/>
      </c>
      <c r="Z484" s="251" t="str">
        <f>IF(Z$3="","",IF(COUNTIFS(BD!$A$3:$A$5001,Z$3,BD!$B$3:$B$5001,$A$463,BD!$W$3:$W$5001,"&lt;&gt;")=0,"",SUMIFS(BD!$W$3:$W$5001,BD!$A$3:$A$5001,Z$3,BD!$B$3:$B$5001,$A$463)))</f>
        <v/>
      </c>
      <c r="AA484" s="251" t="str">
        <f>IF(AA$3="","",IF(COUNTIFS(BD!$A$3:$A$5001,AA$3,BD!$B$3:$B$5001,$A$463,BD!$W$3:$W$5001,"&lt;&gt;")=0,"",SUMIFS(BD!$W$3:$W$5001,BD!$A$3:$A$5001,AA$3,BD!$B$3:$B$5001,$A$463)))</f>
        <v/>
      </c>
      <c r="AB484" s="251" t="str">
        <f>IF(AB$3="","",IF(COUNTIFS(BD!$A$3:$A$5001,AB$3,BD!$B$3:$B$5001,$A$463,BD!$W$3:$W$5001,"&lt;&gt;")=0,"",SUMIFS(BD!$W$3:$W$5001,BD!$A$3:$A$5001,AB$3,BD!$B$3:$B$5001,$A$463)))</f>
        <v/>
      </c>
      <c r="AC484" s="251" t="str">
        <f>IF(AC$3="","",IF(COUNTIFS(BD!$A$3:$A$5001,AC$3,BD!$B$3:$B$5001,$A$463,BD!$W$3:$W$5001,"&lt;&gt;")=0,"",SUMIFS(BD!$W$3:$W$5001,BD!$A$3:$A$5001,AC$3,BD!$B$3:$B$5001,$A$463)))</f>
        <v/>
      </c>
      <c r="AD484" s="251" t="str">
        <f>IF(AD$3="","",IF(COUNTIFS(BD!$A$3:$A$5001,AD$3,BD!$B$3:$B$5001,$A$463,BD!$W$3:$W$5001,"&lt;&gt;")=0,"",SUMIFS(BD!$W$3:$W$5001,BD!$A$3:$A$5001,AD$3,BD!$B$3:$B$5001,$A$463)))</f>
        <v/>
      </c>
      <c r="AE484" s="251" t="str">
        <f>IF(AE$3="","",IF(COUNTIFS(BD!$A$3:$A$5001,AE$3,BD!$B$3:$B$5001,$A$463,BD!$W$3:$W$5001,"&lt;&gt;")=0,"",SUMIFS(BD!$W$3:$W$5001,BD!$A$3:$A$5001,AE$3,BD!$B$3:$B$5001,$A$463)))</f>
        <v/>
      </c>
      <c r="AF484" s="251" t="str">
        <f>IF(AF$3="","",IF(COUNTIFS(BD!$A$3:$A$5001,AF$3,BD!$B$3:$B$5001,$A$463,BD!$W$3:$W$5001,"&lt;&gt;")=0,"",SUMIFS(BD!$W$3:$W$5001,BD!$A$3:$A$5001,AF$3,BD!$B$3:$B$5001,$A$463)))</f>
        <v/>
      </c>
      <c r="AG484" s="251" t="str">
        <f>IF(AG$3="","",IF(COUNTIFS(BD!$A$3:$A$5001,AG$3,BD!$B$3:$B$5001,$A$463,BD!$W$3:$W$5001,"&lt;&gt;")=0,"",SUMIFS(BD!$W$3:$W$5001,BD!$A$3:$A$5001,AG$3,BD!$B$3:$B$5001,$A$463)))</f>
        <v/>
      </c>
      <c r="AH484" s="251" t="str">
        <f>IF(AH$3="","",IF(COUNTIFS(BD!$A$3:$A$5001,AH$3,BD!$B$3:$B$5001,$A$463,BD!$W$3:$W$5001,"&lt;&gt;")=0,"",SUMIFS(BD!$W$3:$W$5001,BD!$A$3:$A$5001,AH$3,BD!$B$3:$B$5001,$A$463)))</f>
        <v/>
      </c>
      <c r="AI484" s="251" t="str">
        <f>IF(AI$3="","",IF(COUNTIFS(BD!$A$3:$A$5001,AI$3,BD!$B$3:$B$5001,$A$463,BD!$W$3:$W$5001,"&lt;&gt;")=0,"",SUMIFS(BD!$W$3:$W$5001,BD!$A$3:$A$5001,AI$3,BD!$B$3:$B$5001,$A$463)))</f>
        <v/>
      </c>
      <c r="AJ484" s="252" t="str">
        <f>IF(AJ$3="","",IF(COUNTIFS(BD!$A$3:$A$5001,AJ$3,BD!$B$3:$B$5001,$A$463,BD!$W$3:$W$5001,"&lt;&gt;")=0,"",SUMIFS(BD!$W$3:$W$5001,BD!$A$3:$A$5001,AJ$3,BD!$B$3:$B$5001,$A$463)))</f>
        <v/>
      </c>
      <c r="AK484" s="253" t="str">
        <f>IF(COUNT(F484:AJ484)=0,"",SUM(F484:AJ484))</f>
        <v/>
      </c>
    </row>
    <row r="485" ht="15.75" customHeight="1" hidden="1">
      <c r="A485" s="277"/>
      <c r="B485" s="274"/>
      <c r="C485" s="247" t="inlineStr">
        <is>
          <t xml:space="preserve">Férias</t>
        </is>
      </c>
      <c r="D485" s="248" t="str">
        <f>IFERROR(1/(1/INDEX(BD!$AF$45:$AZ$45,MATCH($A$463,BD!$AF$22:$AZ$22,0))),"")</f>
        <v/>
      </c>
      <c r="E485" s="249"/>
      <c r="F485" s="250" t="str">
        <f>IF(F$3="","",IF(COUNTIFS(BD!$A$3:$A$5001,F$3,BD!$B$3:$B$5001,$A$463,BD!$X$3:$X$5001,"&lt;&gt;")=0,"",SUMIFS(BD!$X$3:$X$5001,BD!$A$3:$A$5001,F$3,BD!$B$3:$B$5001,$A$463)))</f>
        <v/>
      </c>
      <c r="G485" s="251" t="str">
        <f>IF(G$3="","",IF(COUNTIFS(BD!$A$3:$A$5001,G$3,BD!$B$3:$B$5001,$A$463,BD!$X$3:$X$5001,"&lt;&gt;")=0,"",SUMIFS(BD!$X$3:$X$5001,BD!$A$3:$A$5001,G$3,BD!$B$3:$B$5001,$A$463)))</f>
        <v/>
      </c>
      <c r="H485" s="251" t="str">
        <f>IF(H$3="","",IF(COUNTIFS(BD!$A$3:$A$5001,H$3,BD!$B$3:$B$5001,$A$463,BD!$X$3:$X$5001,"&lt;&gt;")=0,"",SUMIFS(BD!$X$3:$X$5001,BD!$A$3:$A$5001,H$3,BD!$B$3:$B$5001,$A$463)))</f>
        <v/>
      </c>
      <c r="I485" s="251" t="str">
        <f>IF(I$3="","",IF(COUNTIFS(BD!$A$3:$A$5001,I$3,BD!$B$3:$B$5001,$A$463,BD!$X$3:$X$5001,"&lt;&gt;")=0,"",SUMIFS(BD!$X$3:$X$5001,BD!$A$3:$A$5001,I$3,BD!$B$3:$B$5001,$A$463)))</f>
        <v/>
      </c>
      <c r="J485" s="251" t="str">
        <f>IF(J$3="","",IF(COUNTIFS(BD!$A$3:$A$5001,J$3,BD!$B$3:$B$5001,$A$463,BD!$X$3:$X$5001,"&lt;&gt;")=0,"",SUMIFS(BD!$X$3:$X$5001,BD!$A$3:$A$5001,J$3,BD!$B$3:$B$5001,$A$463)))</f>
        <v/>
      </c>
      <c r="K485" s="251" t="str">
        <f>IF(K$3="","",IF(COUNTIFS(BD!$A$3:$A$5001,K$3,BD!$B$3:$B$5001,$A$463,BD!$X$3:$X$5001,"&lt;&gt;")=0,"",SUMIFS(BD!$X$3:$X$5001,BD!$A$3:$A$5001,K$3,BD!$B$3:$B$5001,$A$463)))</f>
        <v/>
      </c>
      <c r="L485" s="251" t="str">
        <f>IF(L$3="","",IF(COUNTIFS(BD!$A$3:$A$5001,L$3,BD!$B$3:$B$5001,$A$463,BD!$X$3:$X$5001,"&lt;&gt;")=0,"",SUMIFS(BD!$X$3:$X$5001,BD!$A$3:$A$5001,L$3,BD!$B$3:$B$5001,$A$463)))</f>
        <v/>
      </c>
      <c r="M485" s="251" t="str">
        <f>IF(M$3="","",IF(COUNTIFS(BD!$A$3:$A$5001,M$3,BD!$B$3:$B$5001,$A$463,BD!$X$3:$X$5001,"&lt;&gt;")=0,"",SUMIFS(BD!$X$3:$X$5001,BD!$A$3:$A$5001,M$3,BD!$B$3:$B$5001,$A$463)))</f>
        <v/>
      </c>
      <c r="N485" s="251" t="str">
        <f>IF(N$3="","",IF(COUNTIFS(BD!$A$3:$A$5001,N$3,BD!$B$3:$B$5001,$A$463,BD!$X$3:$X$5001,"&lt;&gt;")=0,"",SUMIFS(BD!$X$3:$X$5001,BD!$A$3:$A$5001,N$3,BD!$B$3:$B$5001,$A$463)))</f>
        <v/>
      </c>
      <c r="O485" s="251" t="str">
        <f>IF(O$3="","",IF(COUNTIFS(BD!$A$3:$A$5001,O$3,BD!$B$3:$B$5001,$A$463,BD!$X$3:$X$5001,"&lt;&gt;")=0,"",SUMIFS(BD!$X$3:$X$5001,BD!$A$3:$A$5001,O$3,BD!$B$3:$B$5001,$A$463)))</f>
        <v/>
      </c>
      <c r="P485" s="251" t="str">
        <f>IF(P$3="","",IF(COUNTIFS(BD!$A$3:$A$5001,P$3,BD!$B$3:$B$5001,$A$463,BD!$X$3:$X$5001,"&lt;&gt;")=0,"",SUMIFS(BD!$X$3:$X$5001,BD!$A$3:$A$5001,P$3,BD!$B$3:$B$5001,$A$463)))</f>
        <v/>
      </c>
      <c r="Q485" s="251" t="str">
        <f>IF(Q$3="","",IF(COUNTIFS(BD!$A$3:$A$5001,Q$3,BD!$B$3:$B$5001,$A$463,BD!$X$3:$X$5001,"&lt;&gt;")=0,"",SUMIFS(BD!$X$3:$X$5001,BD!$A$3:$A$5001,Q$3,BD!$B$3:$B$5001,$A$463)))</f>
        <v/>
      </c>
      <c r="R485" s="251" t="str">
        <f>IF(R$3="","",IF(COUNTIFS(BD!$A$3:$A$5001,R$3,BD!$B$3:$B$5001,$A$463,BD!$X$3:$X$5001,"&lt;&gt;")=0,"",SUMIFS(BD!$X$3:$X$5001,BD!$A$3:$A$5001,R$3,BD!$B$3:$B$5001,$A$463)))</f>
        <v/>
      </c>
      <c r="S485" s="251" t="str">
        <f>IF(S$3="","",IF(COUNTIFS(BD!$A$3:$A$5001,S$3,BD!$B$3:$B$5001,$A$463,BD!$X$3:$X$5001,"&lt;&gt;")=0,"",SUMIFS(BD!$X$3:$X$5001,BD!$A$3:$A$5001,S$3,BD!$B$3:$B$5001,$A$463)))</f>
        <v/>
      </c>
      <c r="T485" s="251" t="str">
        <f>IF(T$3="","",IF(COUNTIFS(BD!$A$3:$A$5001,T$3,BD!$B$3:$B$5001,$A$463,BD!$X$3:$X$5001,"&lt;&gt;")=0,"",SUMIFS(BD!$X$3:$X$5001,BD!$A$3:$A$5001,T$3,BD!$B$3:$B$5001,$A$463)))</f>
        <v/>
      </c>
      <c r="U485" s="251" t="str">
        <f>IF(U$3="","",IF(COUNTIFS(BD!$A$3:$A$5001,U$3,BD!$B$3:$B$5001,$A$463,BD!$X$3:$X$5001,"&lt;&gt;")=0,"",SUMIFS(BD!$X$3:$X$5001,BD!$A$3:$A$5001,U$3,BD!$B$3:$B$5001,$A$463)))</f>
        <v/>
      </c>
      <c r="V485" s="251" t="str">
        <f>IF(V$3="","",IF(COUNTIFS(BD!$A$3:$A$5001,V$3,BD!$B$3:$B$5001,$A$463,BD!$X$3:$X$5001,"&lt;&gt;")=0,"",SUMIFS(BD!$X$3:$X$5001,BD!$A$3:$A$5001,V$3,BD!$B$3:$B$5001,$A$463)))</f>
        <v/>
      </c>
      <c r="W485" s="251" t="str">
        <f>IF(W$3="","",IF(COUNTIFS(BD!$A$3:$A$5001,W$3,BD!$B$3:$B$5001,$A$463,BD!$X$3:$X$5001,"&lt;&gt;")=0,"",SUMIFS(BD!$X$3:$X$5001,BD!$A$3:$A$5001,W$3,BD!$B$3:$B$5001,$A$463)))</f>
        <v/>
      </c>
      <c r="X485" s="251" t="str">
        <f>IF(X$3="","",IF(COUNTIFS(BD!$A$3:$A$5001,X$3,BD!$B$3:$B$5001,$A$463,BD!$X$3:$X$5001,"&lt;&gt;")=0,"",SUMIFS(BD!$X$3:$X$5001,BD!$A$3:$A$5001,X$3,BD!$B$3:$B$5001,$A$463)))</f>
        <v/>
      </c>
      <c r="Y485" s="251" t="str">
        <f>IF(Y$3="","",IF(COUNTIFS(BD!$A$3:$A$5001,Y$3,BD!$B$3:$B$5001,$A$463,BD!$X$3:$X$5001,"&lt;&gt;")=0,"",SUMIFS(BD!$X$3:$X$5001,BD!$A$3:$A$5001,Y$3,BD!$B$3:$B$5001,$A$463)))</f>
        <v/>
      </c>
      <c r="Z485" s="251" t="str">
        <f>IF(Z$3="","",IF(COUNTIFS(BD!$A$3:$A$5001,Z$3,BD!$B$3:$B$5001,$A$463,BD!$X$3:$X$5001,"&lt;&gt;")=0,"",SUMIFS(BD!$X$3:$X$5001,BD!$A$3:$A$5001,Z$3,BD!$B$3:$B$5001,$A$463)))</f>
        <v/>
      </c>
      <c r="AA485" s="251" t="str">
        <f>IF(AA$3="","",IF(COUNTIFS(BD!$A$3:$A$5001,AA$3,BD!$B$3:$B$5001,$A$463,BD!$X$3:$X$5001,"&lt;&gt;")=0,"",SUMIFS(BD!$X$3:$X$5001,BD!$A$3:$A$5001,AA$3,BD!$B$3:$B$5001,$A$463)))</f>
        <v/>
      </c>
      <c r="AB485" s="251" t="str">
        <f>IF(AB$3="","",IF(COUNTIFS(BD!$A$3:$A$5001,AB$3,BD!$B$3:$B$5001,$A$463,BD!$X$3:$X$5001,"&lt;&gt;")=0,"",SUMIFS(BD!$X$3:$X$5001,BD!$A$3:$A$5001,AB$3,BD!$B$3:$B$5001,$A$463)))</f>
        <v/>
      </c>
      <c r="AC485" s="251" t="str">
        <f>IF(AC$3="","",IF(COUNTIFS(BD!$A$3:$A$5001,AC$3,BD!$B$3:$B$5001,$A$463,BD!$X$3:$X$5001,"&lt;&gt;")=0,"",SUMIFS(BD!$X$3:$X$5001,BD!$A$3:$A$5001,AC$3,BD!$B$3:$B$5001,$A$463)))</f>
        <v/>
      </c>
      <c r="AD485" s="251" t="str">
        <f>IF(AD$3="","",IF(COUNTIFS(BD!$A$3:$A$5001,AD$3,BD!$B$3:$B$5001,$A$463,BD!$X$3:$X$5001,"&lt;&gt;")=0,"",SUMIFS(BD!$X$3:$X$5001,BD!$A$3:$A$5001,AD$3,BD!$B$3:$B$5001,$A$463)))</f>
        <v/>
      </c>
      <c r="AE485" s="251" t="str">
        <f>IF(AE$3="","",IF(COUNTIFS(BD!$A$3:$A$5001,AE$3,BD!$B$3:$B$5001,$A$463,BD!$X$3:$X$5001,"&lt;&gt;")=0,"",SUMIFS(BD!$X$3:$X$5001,BD!$A$3:$A$5001,AE$3,BD!$B$3:$B$5001,$A$463)))</f>
        <v/>
      </c>
      <c r="AF485" s="251" t="str">
        <f>IF(AF$3="","",IF(COUNTIFS(BD!$A$3:$A$5001,AF$3,BD!$B$3:$B$5001,$A$463,BD!$X$3:$X$5001,"&lt;&gt;")=0,"",SUMIFS(BD!$X$3:$X$5001,BD!$A$3:$A$5001,AF$3,BD!$B$3:$B$5001,$A$463)))</f>
        <v/>
      </c>
      <c r="AG485" s="251" t="str">
        <f>IF(AG$3="","",IF(COUNTIFS(BD!$A$3:$A$5001,AG$3,BD!$B$3:$B$5001,$A$463,BD!$X$3:$X$5001,"&lt;&gt;")=0,"",SUMIFS(BD!$X$3:$X$5001,BD!$A$3:$A$5001,AG$3,BD!$B$3:$B$5001,$A$463)))</f>
        <v/>
      </c>
      <c r="AH485" s="251" t="str">
        <f>IF(AH$3="","",IF(COUNTIFS(BD!$A$3:$A$5001,AH$3,BD!$B$3:$B$5001,$A$463,BD!$X$3:$X$5001,"&lt;&gt;")=0,"",SUMIFS(BD!$X$3:$X$5001,BD!$A$3:$A$5001,AH$3,BD!$B$3:$B$5001,$A$463)))</f>
        <v/>
      </c>
      <c r="AI485" s="251" t="str">
        <f>IF(AI$3="","",IF(COUNTIFS(BD!$A$3:$A$5001,AI$3,BD!$B$3:$B$5001,$A$463,BD!$X$3:$X$5001,"&lt;&gt;")=0,"",SUMIFS(BD!$X$3:$X$5001,BD!$A$3:$A$5001,AI$3,BD!$B$3:$B$5001,$A$463)))</f>
        <v/>
      </c>
      <c r="AJ485" s="252" t="str">
        <f>IF(AJ$3="","",IF(COUNTIFS(BD!$A$3:$A$5001,AJ$3,BD!$B$3:$B$5001,$A$463,BD!$X$3:$X$5001,"&lt;&gt;")=0,"",SUMIFS(BD!$X$3:$X$5001,BD!$A$3:$A$5001,AJ$3,BD!$B$3:$B$5001,$A$463)))</f>
        <v/>
      </c>
      <c r="AK485" s="253" t="str">
        <f>IF(COUNT(F485:AJ485)=0,"",SUM(F485:AJ485))</f>
        <v/>
      </c>
    </row>
    <row r="486" ht="15.75" customHeight="1" hidden="1">
      <c r="A486" s="277"/>
      <c r="B486" s="274"/>
      <c r="C486" s="247" t="inlineStr">
        <is>
          <t xml:space="preserve">Desligamento</t>
        </is>
      </c>
      <c r="D486" s="248" t="str">
        <f>IFERROR(1/(1/INDEX(BD!$AF$46:$AZ$46,MATCH($A$463,BD!$AF$22:$AZ$22,0))),"")</f>
        <v/>
      </c>
      <c r="E486" s="249"/>
      <c r="F486" s="250" t="str">
        <f>IF(F$3="","",IF(COUNTIFS(BD!$A$3:$A$5001,F$3,BD!$B$3:$B$5001,$A$463,BD!$Y$3:$Y$5001,"&lt;&gt;")=0,"",SUMIFS(BD!$Y$3:$Y$5001,BD!$A$3:$A$5001,F$3,BD!$B$3:$B$5001,$A$463)))</f>
        <v/>
      </c>
      <c r="G486" s="251" t="str">
        <f>IF(G$3="","",IF(COUNTIFS(BD!$A$3:$A$5001,G$3,BD!$B$3:$B$5001,$A$463,BD!$Y$3:$Y$5001,"&lt;&gt;")=0,"",SUMIFS(BD!$Y$3:$Y$5001,BD!$A$3:$A$5001,G$3,BD!$B$3:$B$5001,$A$463)))</f>
        <v/>
      </c>
      <c r="H486" s="251" t="str">
        <f>IF(H$3="","",IF(COUNTIFS(BD!$A$3:$A$5001,H$3,BD!$B$3:$B$5001,$A$463,BD!$Y$3:$Y$5001,"&lt;&gt;")=0,"",SUMIFS(BD!$Y$3:$Y$5001,BD!$A$3:$A$5001,H$3,BD!$B$3:$B$5001,$A$463)))</f>
        <v/>
      </c>
      <c r="I486" s="251" t="str">
        <f>IF(I$3="","",IF(COUNTIFS(BD!$A$3:$A$5001,I$3,BD!$B$3:$B$5001,$A$463,BD!$Y$3:$Y$5001,"&lt;&gt;")=0,"",SUMIFS(BD!$Y$3:$Y$5001,BD!$A$3:$A$5001,I$3,BD!$B$3:$B$5001,$A$463)))</f>
        <v/>
      </c>
      <c r="J486" s="251" t="str">
        <f>IF(J$3="","",IF(COUNTIFS(BD!$A$3:$A$5001,J$3,BD!$B$3:$B$5001,$A$463,BD!$Y$3:$Y$5001,"&lt;&gt;")=0,"",SUMIFS(BD!$Y$3:$Y$5001,BD!$A$3:$A$5001,J$3,BD!$B$3:$B$5001,$A$463)))</f>
        <v/>
      </c>
      <c r="K486" s="251" t="str">
        <f>IF(K$3="","",IF(COUNTIFS(BD!$A$3:$A$5001,K$3,BD!$B$3:$B$5001,$A$463,BD!$Y$3:$Y$5001,"&lt;&gt;")=0,"",SUMIFS(BD!$Y$3:$Y$5001,BD!$A$3:$A$5001,K$3,BD!$B$3:$B$5001,$A$463)))</f>
        <v/>
      </c>
      <c r="L486" s="251" t="str">
        <f>IF(L$3="","",IF(COUNTIFS(BD!$A$3:$A$5001,L$3,BD!$B$3:$B$5001,$A$463,BD!$Y$3:$Y$5001,"&lt;&gt;")=0,"",SUMIFS(BD!$Y$3:$Y$5001,BD!$A$3:$A$5001,L$3,BD!$B$3:$B$5001,$A$463)))</f>
        <v/>
      </c>
      <c r="M486" s="251" t="str">
        <f>IF(M$3="","",IF(COUNTIFS(BD!$A$3:$A$5001,M$3,BD!$B$3:$B$5001,$A$463,BD!$Y$3:$Y$5001,"&lt;&gt;")=0,"",SUMIFS(BD!$Y$3:$Y$5001,BD!$A$3:$A$5001,M$3,BD!$B$3:$B$5001,$A$463)))</f>
        <v/>
      </c>
      <c r="N486" s="251" t="str">
        <f>IF(N$3="","",IF(COUNTIFS(BD!$A$3:$A$5001,N$3,BD!$B$3:$B$5001,$A$463,BD!$Y$3:$Y$5001,"&lt;&gt;")=0,"",SUMIFS(BD!$Y$3:$Y$5001,BD!$A$3:$A$5001,N$3,BD!$B$3:$B$5001,$A$463)))</f>
        <v/>
      </c>
      <c r="O486" s="251" t="str">
        <f>IF(O$3="","",IF(COUNTIFS(BD!$A$3:$A$5001,O$3,BD!$B$3:$B$5001,$A$463,BD!$Y$3:$Y$5001,"&lt;&gt;")=0,"",SUMIFS(BD!$Y$3:$Y$5001,BD!$A$3:$A$5001,O$3,BD!$B$3:$B$5001,$A$463)))</f>
        <v/>
      </c>
      <c r="P486" s="251" t="str">
        <f>IF(P$3="","",IF(COUNTIFS(BD!$A$3:$A$5001,P$3,BD!$B$3:$B$5001,$A$463,BD!$Y$3:$Y$5001,"&lt;&gt;")=0,"",SUMIFS(BD!$Y$3:$Y$5001,BD!$A$3:$A$5001,P$3,BD!$B$3:$B$5001,$A$463)))</f>
        <v/>
      </c>
      <c r="Q486" s="251" t="str">
        <f>IF(Q$3="","",IF(COUNTIFS(BD!$A$3:$A$5001,Q$3,BD!$B$3:$B$5001,$A$463,BD!$Y$3:$Y$5001,"&lt;&gt;")=0,"",SUMIFS(BD!$Y$3:$Y$5001,BD!$A$3:$A$5001,Q$3,BD!$B$3:$B$5001,$A$463)))</f>
        <v/>
      </c>
      <c r="R486" s="251" t="str">
        <f>IF(R$3="","",IF(COUNTIFS(BD!$A$3:$A$5001,R$3,BD!$B$3:$B$5001,$A$463,BD!$Y$3:$Y$5001,"&lt;&gt;")=0,"",SUMIFS(BD!$Y$3:$Y$5001,BD!$A$3:$A$5001,R$3,BD!$B$3:$B$5001,$A$463)))</f>
        <v/>
      </c>
      <c r="S486" s="251" t="str">
        <f>IF(S$3="","",IF(COUNTIFS(BD!$A$3:$A$5001,S$3,BD!$B$3:$B$5001,$A$463,BD!$Y$3:$Y$5001,"&lt;&gt;")=0,"",SUMIFS(BD!$Y$3:$Y$5001,BD!$A$3:$A$5001,S$3,BD!$B$3:$B$5001,$A$463)))</f>
        <v/>
      </c>
      <c r="T486" s="251" t="str">
        <f>IF(T$3="","",IF(COUNTIFS(BD!$A$3:$A$5001,T$3,BD!$B$3:$B$5001,$A$463,BD!$Y$3:$Y$5001,"&lt;&gt;")=0,"",SUMIFS(BD!$Y$3:$Y$5001,BD!$A$3:$A$5001,T$3,BD!$B$3:$B$5001,$A$463)))</f>
        <v/>
      </c>
      <c r="U486" s="251" t="str">
        <f>IF(U$3="","",IF(COUNTIFS(BD!$A$3:$A$5001,U$3,BD!$B$3:$B$5001,$A$463,BD!$Y$3:$Y$5001,"&lt;&gt;")=0,"",SUMIFS(BD!$Y$3:$Y$5001,BD!$A$3:$A$5001,U$3,BD!$B$3:$B$5001,$A$463)))</f>
        <v/>
      </c>
      <c r="V486" s="251" t="str">
        <f>IF(V$3="","",IF(COUNTIFS(BD!$A$3:$A$5001,V$3,BD!$B$3:$B$5001,$A$463,BD!$Y$3:$Y$5001,"&lt;&gt;")=0,"",SUMIFS(BD!$Y$3:$Y$5001,BD!$A$3:$A$5001,V$3,BD!$B$3:$B$5001,$A$463)))</f>
        <v/>
      </c>
      <c r="W486" s="251" t="str">
        <f>IF(W$3="","",IF(COUNTIFS(BD!$A$3:$A$5001,W$3,BD!$B$3:$B$5001,$A$463,BD!$Y$3:$Y$5001,"&lt;&gt;")=0,"",SUMIFS(BD!$Y$3:$Y$5001,BD!$A$3:$A$5001,W$3,BD!$B$3:$B$5001,$A$463)))</f>
        <v/>
      </c>
      <c r="X486" s="251" t="str">
        <f>IF(X$3="","",IF(COUNTIFS(BD!$A$3:$A$5001,X$3,BD!$B$3:$B$5001,$A$463,BD!$Y$3:$Y$5001,"&lt;&gt;")=0,"",SUMIFS(BD!$Y$3:$Y$5001,BD!$A$3:$A$5001,X$3,BD!$B$3:$B$5001,$A$463)))</f>
        <v/>
      </c>
      <c r="Y486" s="251" t="str">
        <f>IF(Y$3="","",IF(COUNTIFS(BD!$A$3:$A$5001,Y$3,BD!$B$3:$B$5001,$A$463,BD!$Y$3:$Y$5001,"&lt;&gt;")=0,"",SUMIFS(BD!$Y$3:$Y$5001,BD!$A$3:$A$5001,Y$3,BD!$B$3:$B$5001,$A$463)))</f>
        <v/>
      </c>
      <c r="Z486" s="251" t="str">
        <f>IF(Z$3="","",IF(COUNTIFS(BD!$A$3:$A$5001,Z$3,BD!$B$3:$B$5001,$A$463,BD!$Y$3:$Y$5001,"&lt;&gt;")=0,"",SUMIFS(BD!$Y$3:$Y$5001,BD!$A$3:$A$5001,Z$3,BD!$B$3:$B$5001,$A$463)))</f>
        <v/>
      </c>
      <c r="AA486" s="251" t="str">
        <f>IF(AA$3="","",IF(COUNTIFS(BD!$A$3:$A$5001,AA$3,BD!$B$3:$B$5001,$A$463,BD!$Y$3:$Y$5001,"&lt;&gt;")=0,"",SUMIFS(BD!$Y$3:$Y$5001,BD!$A$3:$A$5001,AA$3,BD!$B$3:$B$5001,$A$463)))</f>
        <v/>
      </c>
      <c r="AB486" s="251" t="str">
        <f>IF(AB$3="","",IF(COUNTIFS(BD!$A$3:$A$5001,AB$3,BD!$B$3:$B$5001,$A$463,BD!$Y$3:$Y$5001,"&lt;&gt;")=0,"",SUMIFS(BD!$Y$3:$Y$5001,BD!$A$3:$A$5001,AB$3,BD!$B$3:$B$5001,$A$463)))</f>
        <v/>
      </c>
      <c r="AC486" s="251" t="str">
        <f>IF(AC$3="","",IF(COUNTIFS(BD!$A$3:$A$5001,AC$3,BD!$B$3:$B$5001,$A$463,BD!$Y$3:$Y$5001,"&lt;&gt;")=0,"",SUMIFS(BD!$Y$3:$Y$5001,BD!$A$3:$A$5001,AC$3,BD!$B$3:$B$5001,$A$463)))</f>
        <v/>
      </c>
      <c r="AD486" s="251" t="str">
        <f>IF(AD$3="","",IF(COUNTIFS(BD!$A$3:$A$5001,AD$3,BD!$B$3:$B$5001,$A$463,BD!$Y$3:$Y$5001,"&lt;&gt;")=0,"",SUMIFS(BD!$Y$3:$Y$5001,BD!$A$3:$A$5001,AD$3,BD!$B$3:$B$5001,$A$463)))</f>
        <v/>
      </c>
      <c r="AE486" s="251" t="str">
        <f>IF(AE$3="","",IF(COUNTIFS(BD!$A$3:$A$5001,AE$3,BD!$B$3:$B$5001,$A$463,BD!$Y$3:$Y$5001,"&lt;&gt;")=0,"",SUMIFS(BD!$Y$3:$Y$5001,BD!$A$3:$A$5001,AE$3,BD!$B$3:$B$5001,$A$463)))</f>
        <v/>
      </c>
      <c r="AF486" s="251" t="str">
        <f>IF(AF$3="","",IF(COUNTIFS(BD!$A$3:$A$5001,AF$3,BD!$B$3:$B$5001,$A$463,BD!$Y$3:$Y$5001,"&lt;&gt;")=0,"",SUMIFS(BD!$Y$3:$Y$5001,BD!$A$3:$A$5001,AF$3,BD!$B$3:$B$5001,$A$463)))</f>
        <v/>
      </c>
      <c r="AG486" s="251" t="str">
        <f>IF(AG$3="","",IF(COUNTIFS(BD!$A$3:$A$5001,AG$3,BD!$B$3:$B$5001,$A$463,BD!$Y$3:$Y$5001,"&lt;&gt;")=0,"",SUMIFS(BD!$Y$3:$Y$5001,BD!$A$3:$A$5001,AG$3,BD!$B$3:$B$5001,$A$463)))</f>
        <v/>
      </c>
      <c r="AH486" s="251" t="str">
        <f>IF(AH$3="","",IF(COUNTIFS(BD!$A$3:$A$5001,AH$3,BD!$B$3:$B$5001,$A$463,BD!$Y$3:$Y$5001,"&lt;&gt;")=0,"",SUMIFS(BD!$Y$3:$Y$5001,BD!$A$3:$A$5001,AH$3,BD!$B$3:$B$5001,$A$463)))</f>
        <v/>
      </c>
      <c r="AI486" s="251" t="str">
        <f>IF(AI$3="","",IF(COUNTIFS(BD!$A$3:$A$5001,AI$3,BD!$B$3:$B$5001,$A$463,BD!$Y$3:$Y$5001,"&lt;&gt;")=0,"",SUMIFS(BD!$Y$3:$Y$5001,BD!$A$3:$A$5001,AI$3,BD!$B$3:$B$5001,$A$463)))</f>
        <v/>
      </c>
      <c r="AJ486" s="252" t="str">
        <f>IF(AJ$3="","",IF(COUNTIFS(BD!$A$3:$A$5001,AJ$3,BD!$B$3:$B$5001,$A$463,BD!$Y$3:$Y$5001,"&lt;&gt;")=0,"",SUMIFS(BD!$Y$3:$Y$5001,BD!$A$3:$A$5001,AJ$3,BD!$B$3:$B$5001,$A$463)))</f>
        <v/>
      </c>
      <c r="AK486" s="253" t="str">
        <f>IF(COUNT(F486:AJ486)=0,"",SUM(F486:AJ486))</f>
        <v/>
      </c>
    </row>
    <row r="487" ht="15.75" customHeight="1" hidden="1">
      <c r="A487" s="277"/>
      <c r="B487" s="274"/>
      <c r="C487" s="247" t="inlineStr">
        <is>
          <t xml:space="preserve">Desvios Comportamentais</t>
        </is>
      </c>
      <c r="D487" s="248" t="str">
        <f>IFERROR(1/(1/INDEX(BD!$AF$47:$AZ$47,MATCH($A$463,BD!$AF$22:$AZ$22,0))),"")</f>
        <v/>
      </c>
      <c r="E487" s="249"/>
      <c r="F487" s="250" t="str">
        <f>IF(F$3="","",IF(COUNTIFS(BD!$A$3:$A$5001,F$3,BD!$B$3:$B$5001,$A$463,BD!$Z$3:$Z$5001,"&lt;&gt;")=0,"",SUMIFS(BD!$Z$3:$Z$5001,BD!$A$3:$A$5001,F$3,BD!$B$3:$B$5001,$A$463)))</f>
        <v/>
      </c>
      <c r="G487" s="251" t="str">
        <f>IF(G$3="","",IF(COUNTIFS(BD!$A$3:$A$5001,G$3,BD!$B$3:$B$5001,$A$463,BD!$Z$3:$Z$5001,"&lt;&gt;")=0,"",SUMIFS(BD!$Z$3:$Z$5001,BD!$A$3:$A$5001,G$3,BD!$B$3:$B$5001,$A$463)))</f>
        <v/>
      </c>
      <c r="H487" s="251" t="str">
        <f>IF(H$3="","",IF(COUNTIFS(BD!$A$3:$A$5001,H$3,BD!$B$3:$B$5001,$A$463,BD!$Z$3:$Z$5001,"&lt;&gt;")=0,"",SUMIFS(BD!$Z$3:$Z$5001,BD!$A$3:$A$5001,H$3,BD!$B$3:$B$5001,$A$463)))</f>
        <v/>
      </c>
      <c r="I487" s="251" t="str">
        <f>IF(I$3="","",IF(COUNTIFS(BD!$A$3:$A$5001,I$3,BD!$B$3:$B$5001,$A$463,BD!$Z$3:$Z$5001,"&lt;&gt;")=0,"",SUMIFS(BD!$Z$3:$Z$5001,BD!$A$3:$A$5001,I$3,BD!$B$3:$B$5001,$A$463)))</f>
        <v/>
      </c>
      <c r="J487" s="251" t="str">
        <f>IF(J$3="","",IF(COUNTIFS(BD!$A$3:$A$5001,J$3,BD!$B$3:$B$5001,$A$463,BD!$Z$3:$Z$5001,"&lt;&gt;")=0,"",SUMIFS(BD!$Z$3:$Z$5001,BD!$A$3:$A$5001,J$3,BD!$B$3:$B$5001,$A$463)))</f>
        <v/>
      </c>
      <c r="K487" s="251" t="str">
        <f>IF(K$3="","",IF(COUNTIFS(BD!$A$3:$A$5001,K$3,BD!$B$3:$B$5001,$A$463,BD!$Z$3:$Z$5001,"&lt;&gt;")=0,"",SUMIFS(BD!$Z$3:$Z$5001,BD!$A$3:$A$5001,K$3,BD!$B$3:$B$5001,$A$463)))</f>
        <v/>
      </c>
      <c r="L487" s="251" t="str">
        <f>IF(L$3="","",IF(COUNTIFS(BD!$A$3:$A$5001,L$3,BD!$B$3:$B$5001,$A$463,BD!$Z$3:$Z$5001,"&lt;&gt;")=0,"",SUMIFS(BD!$Z$3:$Z$5001,BD!$A$3:$A$5001,L$3,BD!$B$3:$B$5001,$A$463)))</f>
        <v/>
      </c>
      <c r="M487" s="251" t="str">
        <f>IF(M$3="","",IF(COUNTIFS(BD!$A$3:$A$5001,M$3,BD!$B$3:$B$5001,$A$463,BD!$Z$3:$Z$5001,"&lt;&gt;")=0,"",SUMIFS(BD!$Z$3:$Z$5001,BD!$A$3:$A$5001,M$3,BD!$B$3:$B$5001,$A$463)))</f>
        <v/>
      </c>
      <c r="N487" s="251" t="str">
        <f>IF(N$3="","",IF(COUNTIFS(BD!$A$3:$A$5001,N$3,BD!$B$3:$B$5001,$A$463,BD!$Z$3:$Z$5001,"&lt;&gt;")=0,"",SUMIFS(BD!$Z$3:$Z$5001,BD!$A$3:$A$5001,N$3,BD!$B$3:$B$5001,$A$463)))</f>
        <v/>
      </c>
      <c r="O487" s="251" t="str">
        <f>IF(O$3="","",IF(COUNTIFS(BD!$A$3:$A$5001,O$3,BD!$B$3:$B$5001,$A$463,BD!$Z$3:$Z$5001,"&lt;&gt;")=0,"",SUMIFS(BD!$Z$3:$Z$5001,BD!$A$3:$A$5001,O$3,BD!$B$3:$B$5001,$A$463)))</f>
        <v/>
      </c>
      <c r="P487" s="251" t="str">
        <f>IF(P$3="","",IF(COUNTIFS(BD!$A$3:$A$5001,P$3,BD!$B$3:$B$5001,$A$463,BD!$Z$3:$Z$5001,"&lt;&gt;")=0,"",SUMIFS(BD!$Z$3:$Z$5001,BD!$A$3:$A$5001,P$3,BD!$B$3:$B$5001,$A$463)))</f>
        <v/>
      </c>
      <c r="Q487" s="251" t="str">
        <f>IF(Q$3="","",IF(COUNTIFS(BD!$A$3:$A$5001,Q$3,BD!$B$3:$B$5001,$A$463,BD!$Z$3:$Z$5001,"&lt;&gt;")=0,"",SUMIFS(BD!$Z$3:$Z$5001,BD!$A$3:$A$5001,Q$3,BD!$B$3:$B$5001,$A$463)))</f>
        <v/>
      </c>
      <c r="R487" s="251" t="str">
        <f>IF(R$3="","",IF(COUNTIFS(BD!$A$3:$A$5001,R$3,BD!$B$3:$B$5001,$A$463,BD!$Z$3:$Z$5001,"&lt;&gt;")=0,"",SUMIFS(BD!$Z$3:$Z$5001,BD!$A$3:$A$5001,R$3,BD!$B$3:$B$5001,$A$463)))</f>
        <v/>
      </c>
      <c r="S487" s="251" t="str">
        <f>IF(S$3="","",IF(COUNTIFS(BD!$A$3:$A$5001,S$3,BD!$B$3:$B$5001,$A$463,BD!$Z$3:$Z$5001,"&lt;&gt;")=0,"",SUMIFS(BD!$Z$3:$Z$5001,BD!$A$3:$A$5001,S$3,BD!$B$3:$B$5001,$A$463)))</f>
        <v/>
      </c>
      <c r="T487" s="251" t="str">
        <f>IF(T$3="","",IF(COUNTIFS(BD!$A$3:$A$5001,T$3,BD!$B$3:$B$5001,$A$463,BD!$Z$3:$Z$5001,"&lt;&gt;")=0,"",SUMIFS(BD!$Z$3:$Z$5001,BD!$A$3:$A$5001,T$3,BD!$B$3:$B$5001,$A$463)))</f>
        <v/>
      </c>
      <c r="U487" s="251" t="str">
        <f>IF(U$3="","",IF(COUNTIFS(BD!$A$3:$A$5001,U$3,BD!$B$3:$B$5001,$A$463,BD!$Z$3:$Z$5001,"&lt;&gt;")=0,"",SUMIFS(BD!$Z$3:$Z$5001,BD!$A$3:$A$5001,U$3,BD!$B$3:$B$5001,$A$463)))</f>
        <v/>
      </c>
      <c r="V487" s="251" t="str">
        <f>IF(V$3="","",IF(COUNTIFS(BD!$A$3:$A$5001,V$3,BD!$B$3:$B$5001,$A$463,BD!$Z$3:$Z$5001,"&lt;&gt;")=0,"",SUMIFS(BD!$Z$3:$Z$5001,BD!$A$3:$A$5001,V$3,BD!$B$3:$B$5001,$A$463)))</f>
        <v/>
      </c>
      <c r="W487" s="251" t="str">
        <f>IF(W$3="","",IF(COUNTIFS(BD!$A$3:$A$5001,W$3,BD!$B$3:$B$5001,$A$463,BD!$Z$3:$Z$5001,"&lt;&gt;")=0,"",SUMIFS(BD!$Z$3:$Z$5001,BD!$A$3:$A$5001,W$3,BD!$B$3:$B$5001,$A$463)))</f>
        <v/>
      </c>
      <c r="X487" s="251" t="str">
        <f>IF(X$3="","",IF(COUNTIFS(BD!$A$3:$A$5001,X$3,BD!$B$3:$B$5001,$A$463,BD!$Z$3:$Z$5001,"&lt;&gt;")=0,"",SUMIFS(BD!$Z$3:$Z$5001,BD!$A$3:$A$5001,X$3,BD!$B$3:$B$5001,$A$463)))</f>
        <v/>
      </c>
      <c r="Y487" s="251" t="str">
        <f>IF(Y$3="","",IF(COUNTIFS(BD!$A$3:$A$5001,Y$3,BD!$B$3:$B$5001,$A$463,BD!$Z$3:$Z$5001,"&lt;&gt;")=0,"",SUMIFS(BD!$Z$3:$Z$5001,BD!$A$3:$A$5001,Y$3,BD!$B$3:$B$5001,$A$463)))</f>
        <v/>
      </c>
      <c r="Z487" s="251" t="str">
        <f>IF(Z$3="","",IF(COUNTIFS(BD!$A$3:$A$5001,Z$3,BD!$B$3:$B$5001,$A$463,BD!$Z$3:$Z$5001,"&lt;&gt;")=0,"",SUMIFS(BD!$Z$3:$Z$5001,BD!$A$3:$A$5001,Z$3,BD!$B$3:$B$5001,$A$463)))</f>
        <v/>
      </c>
      <c r="AA487" s="251" t="str">
        <f>IF(AA$3="","",IF(COUNTIFS(BD!$A$3:$A$5001,AA$3,BD!$B$3:$B$5001,$A$463,BD!$Z$3:$Z$5001,"&lt;&gt;")=0,"",SUMIFS(BD!$Z$3:$Z$5001,BD!$A$3:$A$5001,AA$3,BD!$B$3:$B$5001,$A$463)))</f>
        <v/>
      </c>
      <c r="AB487" s="251" t="str">
        <f>IF(AB$3="","",IF(COUNTIFS(BD!$A$3:$A$5001,AB$3,BD!$B$3:$B$5001,$A$463,BD!$Z$3:$Z$5001,"&lt;&gt;")=0,"",SUMIFS(BD!$Z$3:$Z$5001,BD!$A$3:$A$5001,AB$3,BD!$B$3:$B$5001,$A$463)))</f>
        <v/>
      </c>
      <c r="AC487" s="251" t="str">
        <f>IF(AC$3="","",IF(COUNTIFS(BD!$A$3:$A$5001,AC$3,BD!$B$3:$B$5001,$A$463,BD!$Z$3:$Z$5001,"&lt;&gt;")=0,"",SUMIFS(BD!$Z$3:$Z$5001,BD!$A$3:$A$5001,AC$3,BD!$B$3:$B$5001,$A$463)))</f>
        <v/>
      </c>
      <c r="AD487" s="251" t="str">
        <f>IF(AD$3="","",IF(COUNTIFS(BD!$A$3:$A$5001,AD$3,BD!$B$3:$B$5001,$A$463,BD!$Z$3:$Z$5001,"&lt;&gt;")=0,"",SUMIFS(BD!$Z$3:$Z$5001,BD!$A$3:$A$5001,AD$3,BD!$B$3:$B$5001,$A$463)))</f>
        <v/>
      </c>
      <c r="AE487" s="251" t="str">
        <f>IF(AE$3="","",IF(COUNTIFS(BD!$A$3:$A$5001,AE$3,BD!$B$3:$B$5001,$A$463,BD!$Z$3:$Z$5001,"&lt;&gt;")=0,"",SUMIFS(BD!$Z$3:$Z$5001,BD!$A$3:$A$5001,AE$3,BD!$B$3:$B$5001,$A$463)))</f>
        <v/>
      </c>
      <c r="AF487" s="251" t="str">
        <f>IF(AF$3="","",IF(COUNTIFS(BD!$A$3:$A$5001,AF$3,BD!$B$3:$B$5001,$A$463,BD!$Z$3:$Z$5001,"&lt;&gt;")=0,"",SUMIFS(BD!$Z$3:$Z$5001,BD!$A$3:$A$5001,AF$3,BD!$B$3:$B$5001,$A$463)))</f>
        <v/>
      </c>
      <c r="AG487" s="251" t="str">
        <f>IF(AG$3="","",IF(COUNTIFS(BD!$A$3:$A$5001,AG$3,BD!$B$3:$B$5001,$A$463,BD!$Z$3:$Z$5001,"&lt;&gt;")=0,"",SUMIFS(BD!$Z$3:$Z$5001,BD!$A$3:$A$5001,AG$3,BD!$B$3:$B$5001,$A$463)))</f>
        <v/>
      </c>
      <c r="AH487" s="251" t="str">
        <f>IF(AH$3="","",IF(COUNTIFS(BD!$A$3:$A$5001,AH$3,BD!$B$3:$B$5001,$A$463,BD!$Z$3:$Z$5001,"&lt;&gt;")=0,"",SUMIFS(BD!$Z$3:$Z$5001,BD!$A$3:$A$5001,AH$3,BD!$B$3:$B$5001,$A$463)))</f>
        <v/>
      </c>
      <c r="AI487" s="251" t="str">
        <f>IF(AI$3="","",IF(COUNTIFS(BD!$A$3:$A$5001,AI$3,BD!$B$3:$B$5001,$A$463,BD!$Z$3:$Z$5001,"&lt;&gt;")=0,"",SUMIFS(BD!$Z$3:$Z$5001,BD!$A$3:$A$5001,AI$3,BD!$B$3:$B$5001,$A$463)))</f>
        <v/>
      </c>
      <c r="AJ487" s="252" t="str">
        <f>IF(AJ$3="","",IF(COUNTIFS(BD!$A$3:$A$5001,AJ$3,BD!$B$3:$B$5001,$A$463,BD!$Z$3:$Z$5001,"&lt;&gt;")=0,"",SUMIFS(BD!$Z$3:$Z$5001,BD!$A$3:$A$5001,AJ$3,BD!$B$3:$B$5001,$A$463)))</f>
        <v/>
      </c>
      <c r="AK487" s="253" t="str">
        <f>IF(COUNT(F487:AJ487)=0,"",SUM(F487:AJ487))</f>
        <v/>
      </c>
    </row>
    <row r="488" ht="15.75" customHeight="1" hidden="1">
      <c r="A488" s="277"/>
      <c r="B488" s="274"/>
      <c r="C488" s="247" t="inlineStr">
        <is>
          <t xml:space="preserve">Acidentes CAF</t>
        </is>
      </c>
      <c r="D488" s="248" t="str">
        <f>IFERROR(1/(1/INDEX(BD!$AF$48:$AZ$48,MATCH($A$463,BD!$AF$22:$AZ$22,0))),"")</f>
        <v/>
      </c>
      <c r="E488" s="249"/>
      <c r="F488" s="250" t="str">
        <f>IF(F$3="","",IF(COUNTIFS(BD!$A$3:$A$5001,F$3,BD!$B$3:$B$5001,$A$463,BD!$AA$3:$AA$5001,"&lt;&gt;")=0,"",SUMIFS(BD!$AA$3:$AA$5001,BD!$A$3:$A$5001,F$3,BD!$B$3:$B$5001,$A$463)))</f>
        <v/>
      </c>
      <c r="G488" s="251" t="str">
        <f>IF(G$3="","",IF(COUNTIFS(BD!$A$3:$A$5001,G$3,BD!$B$3:$B$5001,$A$463,BD!$AA$3:$AA$5001,"&lt;&gt;")=0,"",SUMIFS(BD!$AA$3:$AA$5001,BD!$A$3:$A$5001,G$3,BD!$B$3:$B$5001,$A$463)))</f>
        <v/>
      </c>
      <c r="H488" s="251" t="str">
        <f>IF(H$3="","",IF(COUNTIFS(BD!$A$3:$A$5001,H$3,BD!$B$3:$B$5001,$A$463,BD!$AA$3:$AA$5001,"&lt;&gt;")=0,"",SUMIFS(BD!$AA$3:$AA$5001,BD!$A$3:$A$5001,H$3,BD!$B$3:$B$5001,$A$463)))</f>
        <v/>
      </c>
      <c r="I488" s="251" t="str">
        <f>IF(I$3="","",IF(COUNTIFS(BD!$A$3:$A$5001,I$3,BD!$B$3:$B$5001,$A$463,BD!$AA$3:$AA$5001,"&lt;&gt;")=0,"",SUMIFS(BD!$AA$3:$AA$5001,BD!$A$3:$A$5001,I$3,BD!$B$3:$B$5001,$A$463)))</f>
        <v/>
      </c>
      <c r="J488" s="251" t="str">
        <f>IF(J$3="","",IF(COUNTIFS(BD!$A$3:$A$5001,J$3,BD!$B$3:$B$5001,$A$463,BD!$AA$3:$AA$5001,"&lt;&gt;")=0,"",SUMIFS(BD!$AA$3:$AA$5001,BD!$A$3:$A$5001,J$3,BD!$B$3:$B$5001,$A$463)))</f>
        <v/>
      </c>
      <c r="K488" s="251" t="str">
        <f>IF(K$3="","",IF(COUNTIFS(BD!$A$3:$A$5001,K$3,BD!$B$3:$B$5001,$A$463,BD!$AA$3:$AA$5001,"&lt;&gt;")=0,"",SUMIFS(BD!$AA$3:$AA$5001,BD!$A$3:$A$5001,K$3,BD!$B$3:$B$5001,$A$463)))</f>
        <v/>
      </c>
      <c r="L488" s="251" t="str">
        <f>IF(L$3="","",IF(COUNTIFS(BD!$A$3:$A$5001,L$3,BD!$B$3:$B$5001,$A$463,BD!$AA$3:$AA$5001,"&lt;&gt;")=0,"",SUMIFS(BD!$AA$3:$AA$5001,BD!$A$3:$A$5001,L$3,BD!$B$3:$B$5001,$A$463)))</f>
        <v/>
      </c>
      <c r="M488" s="251" t="str">
        <f>IF(M$3="","",IF(COUNTIFS(BD!$A$3:$A$5001,M$3,BD!$B$3:$B$5001,$A$463,BD!$AA$3:$AA$5001,"&lt;&gt;")=0,"",SUMIFS(BD!$AA$3:$AA$5001,BD!$A$3:$A$5001,M$3,BD!$B$3:$B$5001,$A$463)))</f>
        <v/>
      </c>
      <c r="N488" s="251" t="str">
        <f>IF(N$3="","",IF(COUNTIFS(BD!$A$3:$A$5001,N$3,BD!$B$3:$B$5001,$A$463,BD!$AA$3:$AA$5001,"&lt;&gt;")=0,"",SUMIFS(BD!$AA$3:$AA$5001,BD!$A$3:$A$5001,N$3,BD!$B$3:$B$5001,$A$463)))</f>
        <v/>
      </c>
      <c r="O488" s="251" t="str">
        <f>IF(O$3="","",IF(COUNTIFS(BD!$A$3:$A$5001,O$3,BD!$B$3:$B$5001,$A$463,BD!$AA$3:$AA$5001,"&lt;&gt;")=0,"",SUMIFS(BD!$AA$3:$AA$5001,BD!$A$3:$A$5001,O$3,BD!$B$3:$B$5001,$A$463)))</f>
        <v/>
      </c>
      <c r="P488" s="251" t="str">
        <f>IF(P$3="","",IF(COUNTIFS(BD!$A$3:$A$5001,P$3,BD!$B$3:$B$5001,$A$463,BD!$AA$3:$AA$5001,"&lt;&gt;")=0,"",SUMIFS(BD!$AA$3:$AA$5001,BD!$A$3:$A$5001,P$3,BD!$B$3:$B$5001,$A$463)))</f>
        <v/>
      </c>
      <c r="Q488" s="251" t="str">
        <f>IF(Q$3="","",IF(COUNTIFS(BD!$A$3:$A$5001,Q$3,BD!$B$3:$B$5001,$A$463,BD!$AA$3:$AA$5001,"&lt;&gt;")=0,"",SUMIFS(BD!$AA$3:$AA$5001,BD!$A$3:$A$5001,Q$3,BD!$B$3:$B$5001,$A$463)))</f>
        <v/>
      </c>
      <c r="R488" s="251" t="str">
        <f>IF(R$3="","",IF(COUNTIFS(BD!$A$3:$A$5001,R$3,BD!$B$3:$B$5001,$A$463,BD!$AA$3:$AA$5001,"&lt;&gt;")=0,"",SUMIFS(BD!$AA$3:$AA$5001,BD!$A$3:$A$5001,R$3,BD!$B$3:$B$5001,$A$463)))</f>
        <v/>
      </c>
      <c r="S488" s="251" t="str">
        <f>IF(S$3="","",IF(COUNTIFS(BD!$A$3:$A$5001,S$3,BD!$B$3:$B$5001,$A$463,BD!$AA$3:$AA$5001,"&lt;&gt;")=0,"",SUMIFS(BD!$AA$3:$AA$5001,BD!$A$3:$A$5001,S$3,BD!$B$3:$B$5001,$A$463)))</f>
        <v/>
      </c>
      <c r="T488" s="251" t="str">
        <f>IF(T$3="","",IF(COUNTIFS(BD!$A$3:$A$5001,T$3,BD!$B$3:$B$5001,$A$463,BD!$AA$3:$AA$5001,"&lt;&gt;")=0,"",SUMIFS(BD!$AA$3:$AA$5001,BD!$A$3:$A$5001,T$3,BD!$B$3:$B$5001,$A$463)))</f>
        <v/>
      </c>
      <c r="U488" s="251" t="str">
        <f>IF(U$3="","",IF(COUNTIFS(BD!$A$3:$A$5001,U$3,BD!$B$3:$B$5001,$A$463,BD!$AA$3:$AA$5001,"&lt;&gt;")=0,"",SUMIFS(BD!$AA$3:$AA$5001,BD!$A$3:$A$5001,U$3,BD!$B$3:$B$5001,$A$463)))</f>
        <v/>
      </c>
      <c r="V488" s="251" t="str">
        <f>IF(V$3="","",IF(COUNTIFS(BD!$A$3:$A$5001,V$3,BD!$B$3:$B$5001,$A$463,BD!$AA$3:$AA$5001,"&lt;&gt;")=0,"",SUMIFS(BD!$AA$3:$AA$5001,BD!$A$3:$A$5001,V$3,BD!$B$3:$B$5001,$A$463)))</f>
        <v/>
      </c>
      <c r="W488" s="251" t="str">
        <f>IF(W$3="","",IF(COUNTIFS(BD!$A$3:$A$5001,W$3,BD!$B$3:$B$5001,$A$463,BD!$AA$3:$AA$5001,"&lt;&gt;")=0,"",SUMIFS(BD!$AA$3:$AA$5001,BD!$A$3:$A$5001,W$3,BD!$B$3:$B$5001,$A$463)))</f>
        <v/>
      </c>
      <c r="X488" s="251" t="str">
        <f>IF(X$3="","",IF(COUNTIFS(BD!$A$3:$A$5001,X$3,BD!$B$3:$B$5001,$A$463,BD!$AA$3:$AA$5001,"&lt;&gt;")=0,"",SUMIFS(BD!$AA$3:$AA$5001,BD!$A$3:$A$5001,X$3,BD!$B$3:$B$5001,$A$463)))</f>
        <v/>
      </c>
      <c r="Y488" s="251" t="str">
        <f>IF(Y$3="","",IF(COUNTIFS(BD!$A$3:$A$5001,Y$3,BD!$B$3:$B$5001,$A$463,BD!$AA$3:$AA$5001,"&lt;&gt;")=0,"",SUMIFS(BD!$AA$3:$AA$5001,BD!$A$3:$A$5001,Y$3,BD!$B$3:$B$5001,$A$463)))</f>
        <v/>
      </c>
      <c r="Z488" s="251" t="str">
        <f>IF(Z$3="","",IF(COUNTIFS(BD!$A$3:$A$5001,Z$3,BD!$B$3:$B$5001,$A$463,BD!$AA$3:$AA$5001,"&lt;&gt;")=0,"",SUMIFS(BD!$AA$3:$AA$5001,BD!$A$3:$A$5001,Z$3,BD!$B$3:$B$5001,$A$463)))</f>
        <v/>
      </c>
      <c r="AA488" s="251" t="str">
        <f>IF(AA$3="","",IF(COUNTIFS(BD!$A$3:$A$5001,AA$3,BD!$B$3:$B$5001,$A$463,BD!$AA$3:$AA$5001,"&lt;&gt;")=0,"",SUMIFS(BD!$AA$3:$AA$5001,BD!$A$3:$A$5001,AA$3,BD!$B$3:$B$5001,$A$463)))</f>
        <v/>
      </c>
      <c r="AB488" s="251" t="str">
        <f>IF(AB$3="","",IF(COUNTIFS(BD!$A$3:$A$5001,AB$3,BD!$B$3:$B$5001,$A$463,BD!$AA$3:$AA$5001,"&lt;&gt;")=0,"",SUMIFS(BD!$AA$3:$AA$5001,BD!$A$3:$A$5001,AB$3,BD!$B$3:$B$5001,$A$463)))</f>
        <v/>
      </c>
      <c r="AC488" s="251" t="str">
        <f>IF(AC$3="","",IF(COUNTIFS(BD!$A$3:$A$5001,AC$3,BD!$B$3:$B$5001,$A$463,BD!$AA$3:$AA$5001,"&lt;&gt;")=0,"",SUMIFS(BD!$AA$3:$AA$5001,BD!$A$3:$A$5001,AC$3,BD!$B$3:$B$5001,$A$463)))</f>
        <v/>
      </c>
      <c r="AD488" s="251" t="str">
        <f>IF(AD$3="","",IF(COUNTIFS(BD!$A$3:$A$5001,AD$3,BD!$B$3:$B$5001,$A$463,BD!$AA$3:$AA$5001,"&lt;&gt;")=0,"",SUMIFS(BD!$AA$3:$AA$5001,BD!$A$3:$A$5001,AD$3,BD!$B$3:$B$5001,$A$463)))</f>
        <v/>
      </c>
      <c r="AE488" s="251" t="str">
        <f>IF(AE$3="","",IF(COUNTIFS(BD!$A$3:$A$5001,AE$3,BD!$B$3:$B$5001,$A$463,BD!$AA$3:$AA$5001,"&lt;&gt;")=0,"",SUMIFS(BD!$AA$3:$AA$5001,BD!$A$3:$A$5001,AE$3,BD!$B$3:$B$5001,$A$463)))</f>
        <v/>
      </c>
      <c r="AF488" s="251" t="str">
        <f>IF(AF$3="","",IF(COUNTIFS(BD!$A$3:$A$5001,AF$3,BD!$B$3:$B$5001,$A$463,BD!$AA$3:$AA$5001,"&lt;&gt;")=0,"",SUMIFS(BD!$AA$3:$AA$5001,BD!$A$3:$A$5001,AF$3,BD!$B$3:$B$5001,$A$463)))</f>
        <v/>
      </c>
      <c r="AG488" s="251" t="str">
        <f>IF(AG$3="","",IF(COUNTIFS(BD!$A$3:$A$5001,AG$3,BD!$B$3:$B$5001,$A$463,BD!$AA$3:$AA$5001,"&lt;&gt;")=0,"",SUMIFS(BD!$AA$3:$AA$5001,BD!$A$3:$A$5001,AG$3,BD!$B$3:$B$5001,$A$463)))</f>
        <v/>
      </c>
      <c r="AH488" s="251" t="str">
        <f>IF(AH$3="","",IF(COUNTIFS(BD!$A$3:$A$5001,AH$3,BD!$B$3:$B$5001,$A$463,BD!$AA$3:$AA$5001,"&lt;&gt;")=0,"",SUMIFS(BD!$AA$3:$AA$5001,BD!$A$3:$A$5001,AH$3,BD!$B$3:$B$5001,$A$463)))</f>
        <v/>
      </c>
      <c r="AI488" s="251" t="str">
        <f>IF(AI$3="","",IF(COUNTIFS(BD!$A$3:$A$5001,AI$3,BD!$B$3:$B$5001,$A$463,BD!$AA$3:$AA$5001,"&lt;&gt;")=0,"",SUMIFS(BD!$AA$3:$AA$5001,BD!$A$3:$A$5001,AI$3,BD!$B$3:$B$5001,$A$463)))</f>
        <v/>
      </c>
      <c r="AJ488" s="252" t="str">
        <f>IF(AJ$3="","",IF(COUNTIFS(BD!$A$3:$A$5001,AJ$3,BD!$B$3:$B$5001,$A$463,BD!$AA$3:$AA$5001,"&lt;&gt;")=0,"",SUMIFS(BD!$AA$3:$AA$5001,BD!$A$3:$A$5001,AJ$3,BD!$B$3:$B$5001,$A$463)))</f>
        <v/>
      </c>
      <c r="AK488" s="253" t="str">
        <f>IF(COUNT(F488:AJ488)=0,"",SUM(F488:AJ488))</f>
        <v/>
      </c>
    </row>
    <row r="489" ht="15.75" customHeight="1" hidden="1">
      <c r="A489" s="278"/>
      <c r="B489" s="275"/>
      <c r="C489" s="258" t="inlineStr">
        <is>
          <t xml:space="preserve">Acidentes SAF</t>
        </is>
      </c>
      <c r="D489" s="259" t="str">
        <f>IFERROR(1/(1/INDEX(BD!$AF$49:$AZ$49,MATCH($A$463,BD!$AF$22:$AZ$22,0))),"")</f>
        <v/>
      </c>
      <c r="E489" s="260"/>
      <c r="F489" s="261" t="str">
        <f>IF(F$3="","",IF(COUNTIFS(BD!$A$3:$A$5001,F$3,BD!$B$3:$B$5001,$A$463,BD!$AB$3:$AB$5001,"&lt;&gt;")=0,"",SUMIFS(BD!$AB$3:$AB$5001,BD!$A$3:$A$5001,F$3,BD!$B$3:$B$5001,$A$463)))</f>
        <v/>
      </c>
      <c r="G489" s="262" t="str">
        <f>IF(G$3="","",IF(COUNTIFS(BD!$A$3:$A$5001,G$3,BD!$B$3:$B$5001,$A$463,BD!$AB$3:$AB$5001,"&lt;&gt;")=0,"",SUMIFS(BD!$AB$3:$AB$5001,BD!$A$3:$A$5001,G$3,BD!$B$3:$B$5001,$A$463)))</f>
        <v/>
      </c>
      <c r="H489" s="262" t="str">
        <f>IF(H$3="","",IF(COUNTIFS(BD!$A$3:$A$5001,H$3,BD!$B$3:$B$5001,$A$463,BD!$AB$3:$AB$5001,"&lt;&gt;")=0,"",SUMIFS(BD!$AB$3:$AB$5001,BD!$A$3:$A$5001,H$3,BD!$B$3:$B$5001,$A$463)))</f>
        <v/>
      </c>
      <c r="I489" s="262" t="str">
        <f>IF(I$3="","",IF(COUNTIFS(BD!$A$3:$A$5001,I$3,BD!$B$3:$B$5001,$A$463,BD!$AB$3:$AB$5001,"&lt;&gt;")=0,"",SUMIFS(BD!$AB$3:$AB$5001,BD!$A$3:$A$5001,I$3,BD!$B$3:$B$5001,$A$463)))</f>
        <v/>
      </c>
      <c r="J489" s="262" t="str">
        <f>IF(J$3="","",IF(COUNTIFS(BD!$A$3:$A$5001,J$3,BD!$B$3:$B$5001,$A$463,BD!$AB$3:$AB$5001,"&lt;&gt;")=0,"",SUMIFS(BD!$AB$3:$AB$5001,BD!$A$3:$A$5001,J$3,BD!$B$3:$B$5001,$A$463)))</f>
        <v/>
      </c>
      <c r="K489" s="262" t="str">
        <f>IF(K$3="","",IF(COUNTIFS(BD!$A$3:$A$5001,K$3,BD!$B$3:$B$5001,$A$463,BD!$AB$3:$AB$5001,"&lt;&gt;")=0,"",SUMIFS(BD!$AB$3:$AB$5001,BD!$A$3:$A$5001,K$3,BD!$B$3:$B$5001,$A$463)))</f>
        <v/>
      </c>
      <c r="L489" s="262" t="str">
        <f>IF(L$3="","",IF(COUNTIFS(BD!$A$3:$A$5001,L$3,BD!$B$3:$B$5001,$A$463,BD!$AB$3:$AB$5001,"&lt;&gt;")=0,"",SUMIFS(BD!$AB$3:$AB$5001,BD!$A$3:$A$5001,L$3,BD!$B$3:$B$5001,$A$463)))</f>
        <v/>
      </c>
      <c r="M489" s="262" t="str">
        <f>IF(M$3="","",IF(COUNTIFS(BD!$A$3:$A$5001,M$3,BD!$B$3:$B$5001,$A$463,BD!$AB$3:$AB$5001,"&lt;&gt;")=0,"",SUMIFS(BD!$AB$3:$AB$5001,BD!$A$3:$A$5001,M$3,BD!$B$3:$B$5001,$A$463)))</f>
        <v/>
      </c>
      <c r="N489" s="262" t="str">
        <f>IF(N$3="","",IF(COUNTIFS(BD!$A$3:$A$5001,N$3,BD!$B$3:$B$5001,$A$463,BD!$AB$3:$AB$5001,"&lt;&gt;")=0,"",SUMIFS(BD!$AB$3:$AB$5001,BD!$A$3:$A$5001,N$3,BD!$B$3:$B$5001,$A$463)))</f>
        <v/>
      </c>
      <c r="O489" s="262" t="str">
        <f>IF(O$3="","",IF(COUNTIFS(BD!$A$3:$A$5001,O$3,BD!$B$3:$B$5001,$A$463,BD!$AB$3:$AB$5001,"&lt;&gt;")=0,"",SUMIFS(BD!$AB$3:$AB$5001,BD!$A$3:$A$5001,O$3,BD!$B$3:$B$5001,$A$463)))</f>
        <v/>
      </c>
      <c r="P489" s="262" t="str">
        <f>IF(P$3="","",IF(COUNTIFS(BD!$A$3:$A$5001,P$3,BD!$B$3:$B$5001,$A$463,BD!$AB$3:$AB$5001,"&lt;&gt;")=0,"",SUMIFS(BD!$AB$3:$AB$5001,BD!$A$3:$A$5001,P$3,BD!$B$3:$B$5001,$A$463)))</f>
        <v/>
      </c>
      <c r="Q489" s="262" t="str">
        <f>IF(Q$3="","",IF(COUNTIFS(BD!$A$3:$A$5001,Q$3,BD!$B$3:$B$5001,$A$463,BD!$AB$3:$AB$5001,"&lt;&gt;")=0,"",SUMIFS(BD!$AB$3:$AB$5001,BD!$A$3:$A$5001,Q$3,BD!$B$3:$B$5001,$A$463)))</f>
        <v/>
      </c>
      <c r="R489" s="262" t="str">
        <f>IF(R$3="","",IF(COUNTIFS(BD!$A$3:$A$5001,R$3,BD!$B$3:$B$5001,$A$463,BD!$AB$3:$AB$5001,"&lt;&gt;")=0,"",SUMIFS(BD!$AB$3:$AB$5001,BD!$A$3:$A$5001,R$3,BD!$B$3:$B$5001,$A$463)))</f>
        <v/>
      </c>
      <c r="S489" s="262" t="str">
        <f>IF(S$3="","",IF(COUNTIFS(BD!$A$3:$A$5001,S$3,BD!$B$3:$B$5001,$A$463,BD!$AB$3:$AB$5001,"&lt;&gt;")=0,"",SUMIFS(BD!$AB$3:$AB$5001,BD!$A$3:$A$5001,S$3,BD!$B$3:$B$5001,$A$463)))</f>
        <v/>
      </c>
      <c r="T489" s="262" t="str">
        <f>IF(T$3="","",IF(COUNTIFS(BD!$A$3:$A$5001,T$3,BD!$B$3:$B$5001,$A$463,BD!$AB$3:$AB$5001,"&lt;&gt;")=0,"",SUMIFS(BD!$AB$3:$AB$5001,BD!$A$3:$A$5001,T$3,BD!$B$3:$B$5001,$A$463)))</f>
        <v/>
      </c>
      <c r="U489" s="262" t="str">
        <f>IF(U$3="","",IF(COUNTIFS(BD!$A$3:$A$5001,U$3,BD!$B$3:$B$5001,$A$463,BD!$AB$3:$AB$5001,"&lt;&gt;")=0,"",SUMIFS(BD!$AB$3:$AB$5001,BD!$A$3:$A$5001,U$3,BD!$B$3:$B$5001,$A$463)))</f>
        <v/>
      </c>
      <c r="V489" s="262" t="str">
        <f>IF(V$3="","",IF(COUNTIFS(BD!$A$3:$A$5001,V$3,BD!$B$3:$B$5001,$A$463,BD!$AB$3:$AB$5001,"&lt;&gt;")=0,"",SUMIFS(BD!$AB$3:$AB$5001,BD!$A$3:$A$5001,V$3,BD!$B$3:$B$5001,$A$463)))</f>
        <v/>
      </c>
      <c r="W489" s="262" t="str">
        <f>IF(W$3="","",IF(COUNTIFS(BD!$A$3:$A$5001,W$3,BD!$B$3:$B$5001,$A$463,BD!$AB$3:$AB$5001,"&lt;&gt;")=0,"",SUMIFS(BD!$AB$3:$AB$5001,BD!$A$3:$A$5001,W$3,BD!$B$3:$B$5001,$A$463)))</f>
        <v/>
      </c>
      <c r="X489" s="262" t="str">
        <f>IF(X$3="","",IF(COUNTIFS(BD!$A$3:$A$5001,X$3,BD!$B$3:$B$5001,$A$463,BD!$AB$3:$AB$5001,"&lt;&gt;")=0,"",SUMIFS(BD!$AB$3:$AB$5001,BD!$A$3:$A$5001,X$3,BD!$B$3:$B$5001,$A$463)))</f>
        <v/>
      </c>
      <c r="Y489" s="262" t="str">
        <f>IF(Y$3="","",IF(COUNTIFS(BD!$A$3:$A$5001,Y$3,BD!$B$3:$B$5001,$A$463,BD!$AB$3:$AB$5001,"&lt;&gt;")=0,"",SUMIFS(BD!$AB$3:$AB$5001,BD!$A$3:$A$5001,Y$3,BD!$B$3:$B$5001,$A$463)))</f>
        <v/>
      </c>
      <c r="Z489" s="262" t="str">
        <f>IF(Z$3="","",IF(COUNTIFS(BD!$A$3:$A$5001,Z$3,BD!$B$3:$B$5001,$A$463,BD!$AB$3:$AB$5001,"&lt;&gt;")=0,"",SUMIFS(BD!$AB$3:$AB$5001,BD!$A$3:$A$5001,Z$3,BD!$B$3:$B$5001,$A$463)))</f>
        <v/>
      </c>
      <c r="AA489" s="262" t="str">
        <f>IF(AA$3="","",IF(COUNTIFS(BD!$A$3:$A$5001,AA$3,BD!$B$3:$B$5001,$A$463,BD!$AB$3:$AB$5001,"&lt;&gt;")=0,"",SUMIFS(BD!$AB$3:$AB$5001,BD!$A$3:$A$5001,AA$3,BD!$B$3:$B$5001,$A$463)))</f>
        <v/>
      </c>
      <c r="AB489" s="262" t="str">
        <f>IF(AB$3="","",IF(COUNTIFS(BD!$A$3:$A$5001,AB$3,BD!$B$3:$B$5001,$A$463,BD!$AB$3:$AB$5001,"&lt;&gt;")=0,"",SUMIFS(BD!$AB$3:$AB$5001,BD!$A$3:$A$5001,AB$3,BD!$B$3:$B$5001,$A$463)))</f>
        <v/>
      </c>
      <c r="AC489" s="262" t="str">
        <f>IF(AC$3="","",IF(COUNTIFS(BD!$A$3:$A$5001,AC$3,BD!$B$3:$B$5001,$A$463,BD!$AB$3:$AB$5001,"&lt;&gt;")=0,"",SUMIFS(BD!$AB$3:$AB$5001,BD!$A$3:$A$5001,AC$3,BD!$B$3:$B$5001,$A$463)))</f>
        <v/>
      </c>
      <c r="AD489" s="262" t="str">
        <f>IF(AD$3="","",IF(COUNTIFS(BD!$A$3:$A$5001,AD$3,BD!$B$3:$B$5001,$A$463,BD!$AB$3:$AB$5001,"&lt;&gt;")=0,"",SUMIFS(BD!$AB$3:$AB$5001,BD!$A$3:$A$5001,AD$3,BD!$B$3:$B$5001,$A$463)))</f>
        <v/>
      </c>
      <c r="AE489" s="262" t="str">
        <f>IF(AE$3="","",IF(COUNTIFS(BD!$A$3:$A$5001,AE$3,BD!$B$3:$B$5001,$A$463,BD!$AB$3:$AB$5001,"&lt;&gt;")=0,"",SUMIFS(BD!$AB$3:$AB$5001,BD!$A$3:$A$5001,AE$3,BD!$B$3:$B$5001,$A$463)))</f>
        <v/>
      </c>
      <c r="AF489" s="262" t="str">
        <f>IF(AF$3="","",IF(COUNTIFS(BD!$A$3:$A$5001,AF$3,BD!$B$3:$B$5001,$A$463,BD!$AB$3:$AB$5001,"&lt;&gt;")=0,"",SUMIFS(BD!$AB$3:$AB$5001,BD!$A$3:$A$5001,AF$3,BD!$B$3:$B$5001,$A$463)))</f>
        <v/>
      </c>
      <c r="AG489" s="262" t="str">
        <f>IF(AG$3="","",IF(COUNTIFS(BD!$A$3:$A$5001,AG$3,BD!$B$3:$B$5001,$A$463,BD!$AB$3:$AB$5001,"&lt;&gt;")=0,"",SUMIFS(BD!$AB$3:$AB$5001,BD!$A$3:$A$5001,AG$3,BD!$B$3:$B$5001,$A$463)))</f>
        <v/>
      </c>
      <c r="AH489" s="262" t="str">
        <f>IF(AH$3="","",IF(COUNTIFS(BD!$A$3:$A$5001,AH$3,BD!$B$3:$B$5001,$A$463,BD!$AB$3:$AB$5001,"&lt;&gt;")=0,"",SUMIFS(BD!$AB$3:$AB$5001,BD!$A$3:$A$5001,AH$3,BD!$B$3:$B$5001,$A$463)))</f>
        <v/>
      </c>
      <c r="AI489" s="262" t="str">
        <f>IF(AI$3="","",IF(COUNTIFS(BD!$A$3:$A$5001,AI$3,BD!$B$3:$B$5001,$A$463,BD!$AB$3:$AB$5001,"&lt;&gt;")=0,"",SUMIFS(BD!$AB$3:$AB$5001,BD!$A$3:$A$5001,AI$3,BD!$B$3:$B$5001,$A$463)))</f>
        <v/>
      </c>
      <c r="AJ489" s="263" t="str">
        <f>IF(AJ$3="","",IF(COUNTIFS(BD!$A$3:$A$5001,AJ$3,BD!$B$3:$B$5001,$A$463,BD!$AB$3:$AB$5001,"&lt;&gt;")=0,"",SUMIFS(BD!$AB$3:$AB$5001,BD!$A$3:$A$5001,AJ$3,BD!$B$3:$B$5001,$A$463)))</f>
        <v/>
      </c>
      <c r="AK489" s="259" t="str">
        <f>IF(COUNT(F489:AJ489)=0,"",SUM(F489:AJ489))</f>
        <v/>
      </c>
    </row>
    <row r="491" ht="15.75" customHeight="1" hidden="1">
      <c r="A491" s="276"/>
      <c r="B491" s="264" t="inlineStr">
        <is>
          <t xml:space="preserve">IN</t>
        </is>
      </c>
      <c r="C491" s="168" t="inlineStr">
        <is>
          <t xml:space="preserve">Veículos Recebidos</t>
        </is>
      </c>
      <c r="D491" s="169" t="str">
        <f>IFERROR(1/(1/INDEX(BD!$AF$23:$AZ$23,MATCH($A$491,BD!$AF$22:$AZ$22,0))),"")</f>
        <v/>
      </c>
      <c r="E491" s="170"/>
      <c r="F491" s="171" t="str">
        <f>IF(F$3="","",IF(COUNTIFS(BD!$A$3:$A$5001,F$3,BD!$B$3:$B$5001,$A$491,BD!$C$3:$C$5001,"&lt;&gt;")=0,"",SUMIFS(BD!$C$3:$C$5001,BD!$A$3:$A$5001,F$3,BD!$B$3:$B$5001,$A$491)))</f>
        <v/>
      </c>
      <c r="G491" s="172" t="str">
        <f>IF(G$3="","",IF(COUNTIFS(BD!$A$3:$A$5001,G$3,BD!$B$3:$B$5001,$A$491,BD!$C$3:$C$5001,"&lt;&gt;")=0,"",SUMIFS(BD!$C$3:$C$5001,BD!$A$3:$A$5001,G$3,BD!$B$3:$B$5001,$A$491)))</f>
        <v/>
      </c>
      <c r="H491" s="172" t="str">
        <f>IF(H$3="","",IF(COUNTIFS(BD!$A$3:$A$5001,H$3,BD!$B$3:$B$5001,$A$491,BD!$C$3:$C$5001,"&lt;&gt;")=0,"",SUMIFS(BD!$C$3:$C$5001,BD!$A$3:$A$5001,H$3,BD!$B$3:$B$5001,$A$491)))</f>
        <v/>
      </c>
      <c r="I491" s="172" t="str">
        <f>IF(I$3="","",IF(COUNTIFS(BD!$A$3:$A$5001,I$3,BD!$B$3:$B$5001,$A$491,BD!$C$3:$C$5001,"&lt;&gt;")=0,"",SUMIFS(BD!$C$3:$C$5001,BD!$A$3:$A$5001,I$3,BD!$B$3:$B$5001,$A$491)))</f>
        <v/>
      </c>
      <c r="J491" s="172" t="str">
        <f>IF(J$3="","",IF(COUNTIFS(BD!$A$3:$A$5001,J$3,BD!$B$3:$B$5001,$A$491,BD!$C$3:$C$5001,"&lt;&gt;")=0,"",SUMIFS(BD!$C$3:$C$5001,BD!$A$3:$A$5001,J$3,BD!$B$3:$B$5001,$A$491)))</f>
        <v/>
      </c>
      <c r="K491" s="172" t="str">
        <f>IF(K$3="","",IF(COUNTIFS(BD!$A$3:$A$5001,K$3,BD!$B$3:$B$5001,$A$491,BD!$C$3:$C$5001,"&lt;&gt;")=0,"",SUMIFS(BD!$C$3:$C$5001,BD!$A$3:$A$5001,K$3,BD!$B$3:$B$5001,$A$491)))</f>
        <v/>
      </c>
      <c r="L491" s="172" t="str">
        <f>IF(L$3="","",IF(COUNTIFS(BD!$A$3:$A$5001,L$3,BD!$B$3:$B$5001,$A$491,BD!$C$3:$C$5001,"&lt;&gt;")=0,"",SUMIFS(BD!$C$3:$C$5001,BD!$A$3:$A$5001,L$3,BD!$B$3:$B$5001,$A$491)))</f>
        <v/>
      </c>
      <c r="M491" s="172" t="str">
        <f>IF(M$3="","",IF(COUNTIFS(BD!$A$3:$A$5001,M$3,BD!$B$3:$B$5001,$A$491,BD!$C$3:$C$5001,"&lt;&gt;")=0,"",SUMIFS(BD!$C$3:$C$5001,BD!$A$3:$A$5001,M$3,BD!$B$3:$B$5001,$A$491)))</f>
        <v/>
      </c>
      <c r="N491" s="172" t="str">
        <f>IF(N$3="","",IF(COUNTIFS(BD!$A$3:$A$5001,N$3,BD!$B$3:$B$5001,$A$491,BD!$C$3:$C$5001,"&lt;&gt;")=0,"",SUMIFS(BD!$C$3:$C$5001,BD!$A$3:$A$5001,N$3,BD!$B$3:$B$5001,$A$491)))</f>
        <v/>
      </c>
      <c r="O491" s="172" t="str">
        <f>IF(O$3="","",IF(COUNTIFS(BD!$A$3:$A$5001,O$3,BD!$B$3:$B$5001,$A$491,BD!$C$3:$C$5001,"&lt;&gt;")=0,"",SUMIFS(BD!$C$3:$C$5001,BD!$A$3:$A$5001,O$3,BD!$B$3:$B$5001,$A$491)))</f>
        <v/>
      </c>
      <c r="P491" s="172" t="str">
        <f>IF(P$3="","",IF(COUNTIFS(BD!$A$3:$A$5001,P$3,BD!$B$3:$B$5001,$A$491,BD!$C$3:$C$5001,"&lt;&gt;")=0,"",SUMIFS(BD!$C$3:$C$5001,BD!$A$3:$A$5001,P$3,BD!$B$3:$B$5001,$A$491)))</f>
        <v/>
      </c>
      <c r="Q491" s="172" t="str">
        <f>IF(Q$3="","",IF(COUNTIFS(BD!$A$3:$A$5001,Q$3,BD!$B$3:$B$5001,$A$491,BD!$C$3:$C$5001,"&lt;&gt;")=0,"",SUMIFS(BD!$C$3:$C$5001,BD!$A$3:$A$5001,Q$3,BD!$B$3:$B$5001,$A$491)))</f>
        <v/>
      </c>
      <c r="R491" s="172" t="str">
        <f>IF(R$3="","",IF(COUNTIFS(BD!$A$3:$A$5001,R$3,BD!$B$3:$B$5001,$A$491,BD!$C$3:$C$5001,"&lt;&gt;")=0,"",SUMIFS(BD!$C$3:$C$5001,BD!$A$3:$A$5001,R$3,BD!$B$3:$B$5001,$A$491)))</f>
        <v/>
      </c>
      <c r="S491" s="172" t="str">
        <f>IF(S$3="","",IF(COUNTIFS(BD!$A$3:$A$5001,S$3,BD!$B$3:$B$5001,$A$491,BD!$C$3:$C$5001,"&lt;&gt;")=0,"",SUMIFS(BD!$C$3:$C$5001,BD!$A$3:$A$5001,S$3,BD!$B$3:$B$5001,$A$491)))</f>
        <v/>
      </c>
      <c r="T491" s="172" t="str">
        <f>IF(T$3="","",IF(COUNTIFS(BD!$A$3:$A$5001,T$3,BD!$B$3:$B$5001,$A$491,BD!$C$3:$C$5001,"&lt;&gt;")=0,"",SUMIFS(BD!$C$3:$C$5001,BD!$A$3:$A$5001,T$3,BD!$B$3:$B$5001,$A$491)))</f>
        <v/>
      </c>
      <c r="U491" s="172" t="str">
        <f>IF(U$3="","",IF(COUNTIFS(BD!$A$3:$A$5001,U$3,BD!$B$3:$B$5001,$A$491,BD!$C$3:$C$5001,"&lt;&gt;")=0,"",SUMIFS(BD!$C$3:$C$5001,BD!$A$3:$A$5001,U$3,BD!$B$3:$B$5001,$A$491)))</f>
        <v/>
      </c>
      <c r="V491" s="172" t="str">
        <f>IF(V$3="","",IF(COUNTIFS(BD!$A$3:$A$5001,V$3,BD!$B$3:$B$5001,$A$491,BD!$C$3:$C$5001,"&lt;&gt;")=0,"",SUMIFS(BD!$C$3:$C$5001,BD!$A$3:$A$5001,V$3,BD!$B$3:$B$5001,$A$491)))</f>
        <v/>
      </c>
      <c r="W491" s="172" t="str">
        <f>IF(W$3="","",IF(COUNTIFS(BD!$A$3:$A$5001,W$3,BD!$B$3:$B$5001,$A$491,BD!$C$3:$C$5001,"&lt;&gt;")=0,"",SUMIFS(BD!$C$3:$C$5001,BD!$A$3:$A$5001,W$3,BD!$B$3:$B$5001,$A$491)))</f>
        <v/>
      </c>
      <c r="X491" s="172" t="str">
        <f>IF(X$3="","",IF(COUNTIFS(BD!$A$3:$A$5001,X$3,BD!$B$3:$B$5001,$A$491,BD!$C$3:$C$5001,"&lt;&gt;")=0,"",SUMIFS(BD!$C$3:$C$5001,BD!$A$3:$A$5001,X$3,BD!$B$3:$B$5001,$A$491)))</f>
        <v/>
      </c>
      <c r="Y491" s="172" t="str">
        <f>IF(Y$3="","",IF(COUNTIFS(BD!$A$3:$A$5001,Y$3,BD!$B$3:$B$5001,$A$491,BD!$C$3:$C$5001,"&lt;&gt;")=0,"",SUMIFS(BD!$C$3:$C$5001,BD!$A$3:$A$5001,Y$3,BD!$B$3:$B$5001,$A$491)))</f>
        <v/>
      </c>
      <c r="Z491" s="172" t="str">
        <f>IF(Z$3="","",IF(COUNTIFS(BD!$A$3:$A$5001,Z$3,BD!$B$3:$B$5001,$A$491,BD!$C$3:$C$5001,"&lt;&gt;")=0,"",SUMIFS(BD!$C$3:$C$5001,BD!$A$3:$A$5001,Z$3,BD!$B$3:$B$5001,$A$491)))</f>
        <v/>
      </c>
      <c r="AA491" s="172" t="str">
        <f>IF(AA$3="","",IF(COUNTIFS(BD!$A$3:$A$5001,AA$3,BD!$B$3:$B$5001,$A$491,BD!$C$3:$C$5001,"&lt;&gt;")=0,"",SUMIFS(BD!$C$3:$C$5001,BD!$A$3:$A$5001,AA$3,BD!$B$3:$B$5001,$A$491)))</f>
        <v/>
      </c>
      <c r="AB491" s="172" t="str">
        <f>IF(AB$3="","",IF(COUNTIFS(BD!$A$3:$A$5001,AB$3,BD!$B$3:$B$5001,$A$491,BD!$C$3:$C$5001,"&lt;&gt;")=0,"",SUMIFS(BD!$C$3:$C$5001,BD!$A$3:$A$5001,AB$3,BD!$B$3:$B$5001,$A$491)))</f>
        <v/>
      </c>
      <c r="AC491" s="172" t="str">
        <f>IF(AC$3="","",IF(COUNTIFS(BD!$A$3:$A$5001,AC$3,BD!$B$3:$B$5001,$A$491,BD!$C$3:$C$5001,"&lt;&gt;")=0,"",SUMIFS(BD!$C$3:$C$5001,BD!$A$3:$A$5001,AC$3,BD!$B$3:$B$5001,$A$491)))</f>
        <v/>
      </c>
      <c r="AD491" s="172" t="str">
        <f>IF(AD$3="","",IF(COUNTIFS(BD!$A$3:$A$5001,AD$3,BD!$B$3:$B$5001,$A$491,BD!$C$3:$C$5001,"&lt;&gt;")=0,"",SUMIFS(BD!$C$3:$C$5001,BD!$A$3:$A$5001,AD$3,BD!$B$3:$B$5001,$A$491)))</f>
        <v/>
      </c>
      <c r="AE491" s="172" t="str">
        <f>IF(AE$3="","",IF(COUNTIFS(BD!$A$3:$A$5001,AE$3,BD!$B$3:$B$5001,$A$491,BD!$C$3:$C$5001,"&lt;&gt;")=0,"",SUMIFS(BD!$C$3:$C$5001,BD!$A$3:$A$5001,AE$3,BD!$B$3:$B$5001,$A$491)))</f>
        <v/>
      </c>
      <c r="AF491" s="172" t="str">
        <f>IF(AF$3="","",IF(COUNTIFS(BD!$A$3:$A$5001,AF$3,BD!$B$3:$B$5001,$A$491,BD!$C$3:$C$5001,"&lt;&gt;")=0,"",SUMIFS(BD!$C$3:$C$5001,BD!$A$3:$A$5001,AF$3,BD!$B$3:$B$5001,$A$491)))</f>
        <v/>
      </c>
      <c r="AG491" s="172" t="str">
        <f>IF(AG$3="","",IF(COUNTIFS(BD!$A$3:$A$5001,AG$3,BD!$B$3:$B$5001,$A$491,BD!$C$3:$C$5001,"&lt;&gt;")=0,"",SUMIFS(BD!$C$3:$C$5001,BD!$A$3:$A$5001,AG$3,BD!$B$3:$B$5001,$A$491)))</f>
        <v/>
      </c>
      <c r="AH491" s="172" t="str">
        <f>IF(AH$3="","",IF(COUNTIFS(BD!$A$3:$A$5001,AH$3,BD!$B$3:$B$5001,$A$491,BD!$C$3:$C$5001,"&lt;&gt;")=0,"",SUMIFS(BD!$C$3:$C$5001,BD!$A$3:$A$5001,AH$3,BD!$B$3:$B$5001,$A$491)))</f>
        <v/>
      </c>
      <c r="AI491" s="172" t="str">
        <f>IF(AI$3="","",IF(COUNTIFS(BD!$A$3:$A$5001,AI$3,BD!$B$3:$B$5001,$A$491,BD!$C$3:$C$5001,"&lt;&gt;")=0,"",SUMIFS(BD!$C$3:$C$5001,BD!$A$3:$A$5001,AI$3,BD!$B$3:$B$5001,$A$491)))</f>
        <v/>
      </c>
      <c r="AJ491" s="173" t="str">
        <f>IF(AJ$3="","",IF(COUNTIFS(BD!$A$3:$A$5001,AJ$3,BD!$B$3:$B$5001,$A$491,BD!$C$3:$C$5001,"&lt;&gt;")=0,"",SUMIFS(BD!$C$3:$C$5001,BD!$A$3:$A$5001,AJ$3,BD!$B$3:$B$5001,$A$491)))</f>
        <v/>
      </c>
      <c r="AK491" s="174" t="str">
        <f>IF(COUNT(F491:AJ491)=0,"",SUM(F491:AJ491))</f>
        <v/>
      </c>
    </row>
    <row r="492" ht="15.75" customHeight="1" hidden="1">
      <c r="A492" s="277"/>
      <c r="B492" s="265"/>
      <c r="C492" s="175" t="inlineStr">
        <is>
          <t xml:space="preserve">Pallets Movimentados</t>
        </is>
      </c>
      <c r="D492" s="176" t="str">
        <f>IFERROR(1/(1/INDEX(BD!$AF$24:$AZ$24,MATCH($A$491,BD!$AF$22:$AZ$22,0))),"")</f>
        <v/>
      </c>
      <c r="E492" s="177"/>
      <c r="F492" s="178" t="str">
        <f>IF(F$3="","",IF(COUNTIFS(BD!$A$3:$A$5001,F$3,BD!$B$3:$B$5001,$A$491,BD!$D$3:$D$5001,"&lt;&gt;")=0,"",SUMIFS(BD!$D$3:$D$5001,BD!$A$3:$A$5001,F$3,BD!$B$3:$B$5001,$A$491)))</f>
        <v/>
      </c>
      <c r="G492" s="179" t="str">
        <f>IF(G$3="","",IF(COUNTIFS(BD!$A$3:$A$5001,G$3,BD!$B$3:$B$5001,$A$491,BD!$D$3:$D$5001,"&lt;&gt;")=0,"",SUMIFS(BD!$D$3:$D$5001,BD!$A$3:$A$5001,G$3,BD!$B$3:$B$5001,$A$491)))</f>
        <v/>
      </c>
      <c r="H492" s="179" t="str">
        <f>IF(H$3="","",IF(COUNTIFS(BD!$A$3:$A$5001,H$3,BD!$B$3:$B$5001,$A$491,BD!$D$3:$D$5001,"&lt;&gt;")=0,"",SUMIFS(BD!$D$3:$D$5001,BD!$A$3:$A$5001,H$3,BD!$B$3:$B$5001,$A$491)))</f>
        <v/>
      </c>
      <c r="I492" s="179" t="str">
        <f>IF(I$3="","",IF(COUNTIFS(BD!$A$3:$A$5001,I$3,BD!$B$3:$B$5001,$A$491,BD!$D$3:$D$5001,"&lt;&gt;")=0,"",SUMIFS(BD!$D$3:$D$5001,BD!$A$3:$A$5001,I$3,BD!$B$3:$B$5001,$A$491)))</f>
        <v/>
      </c>
      <c r="J492" s="179" t="str">
        <f>IF(J$3="","",IF(COUNTIFS(BD!$A$3:$A$5001,J$3,BD!$B$3:$B$5001,$A$491,BD!$D$3:$D$5001,"&lt;&gt;")=0,"",SUMIFS(BD!$D$3:$D$5001,BD!$A$3:$A$5001,J$3,BD!$B$3:$B$5001,$A$491)))</f>
        <v/>
      </c>
      <c r="K492" s="179" t="str">
        <f>IF(K$3="","",IF(COUNTIFS(BD!$A$3:$A$5001,K$3,BD!$B$3:$B$5001,$A$491,BD!$D$3:$D$5001,"&lt;&gt;")=0,"",SUMIFS(BD!$D$3:$D$5001,BD!$A$3:$A$5001,K$3,BD!$B$3:$B$5001,$A$491)))</f>
        <v/>
      </c>
      <c r="L492" s="179" t="str">
        <f>IF(L$3="","",IF(COUNTIFS(BD!$A$3:$A$5001,L$3,BD!$B$3:$B$5001,$A$491,BD!$D$3:$D$5001,"&lt;&gt;")=0,"",SUMIFS(BD!$D$3:$D$5001,BD!$A$3:$A$5001,L$3,BD!$B$3:$B$5001,$A$491)))</f>
        <v/>
      </c>
      <c r="M492" s="179" t="str">
        <f>IF(M$3="","",IF(COUNTIFS(BD!$A$3:$A$5001,M$3,BD!$B$3:$B$5001,$A$491,BD!$D$3:$D$5001,"&lt;&gt;")=0,"",SUMIFS(BD!$D$3:$D$5001,BD!$A$3:$A$5001,M$3,BD!$B$3:$B$5001,$A$491)))</f>
        <v/>
      </c>
      <c r="N492" s="179" t="str">
        <f>IF(N$3="","",IF(COUNTIFS(BD!$A$3:$A$5001,N$3,BD!$B$3:$B$5001,$A$491,BD!$D$3:$D$5001,"&lt;&gt;")=0,"",SUMIFS(BD!$D$3:$D$5001,BD!$A$3:$A$5001,N$3,BD!$B$3:$B$5001,$A$491)))</f>
        <v/>
      </c>
      <c r="O492" s="179" t="str">
        <f>IF(O$3="","",IF(COUNTIFS(BD!$A$3:$A$5001,O$3,BD!$B$3:$B$5001,$A$491,BD!$D$3:$D$5001,"&lt;&gt;")=0,"",SUMIFS(BD!$D$3:$D$5001,BD!$A$3:$A$5001,O$3,BD!$B$3:$B$5001,$A$491)))</f>
        <v/>
      </c>
      <c r="P492" s="179" t="str">
        <f>IF(P$3="","",IF(COUNTIFS(BD!$A$3:$A$5001,P$3,BD!$B$3:$B$5001,$A$491,BD!$D$3:$D$5001,"&lt;&gt;")=0,"",SUMIFS(BD!$D$3:$D$5001,BD!$A$3:$A$5001,P$3,BD!$B$3:$B$5001,$A$491)))</f>
        <v/>
      </c>
      <c r="Q492" s="179" t="str">
        <f>IF(Q$3="","",IF(COUNTIFS(BD!$A$3:$A$5001,Q$3,BD!$B$3:$B$5001,$A$491,BD!$D$3:$D$5001,"&lt;&gt;")=0,"",SUMIFS(BD!$D$3:$D$5001,BD!$A$3:$A$5001,Q$3,BD!$B$3:$B$5001,$A$491)))</f>
        <v/>
      </c>
      <c r="R492" s="179" t="str">
        <f>IF(R$3="","",IF(COUNTIFS(BD!$A$3:$A$5001,R$3,BD!$B$3:$B$5001,$A$491,BD!$D$3:$D$5001,"&lt;&gt;")=0,"",SUMIFS(BD!$D$3:$D$5001,BD!$A$3:$A$5001,R$3,BD!$B$3:$B$5001,$A$491)))</f>
        <v/>
      </c>
      <c r="S492" s="179" t="str">
        <f>IF(S$3="","",IF(COUNTIFS(BD!$A$3:$A$5001,S$3,BD!$B$3:$B$5001,$A$491,BD!$D$3:$D$5001,"&lt;&gt;")=0,"",SUMIFS(BD!$D$3:$D$5001,BD!$A$3:$A$5001,S$3,BD!$B$3:$B$5001,$A$491)))</f>
        <v/>
      </c>
      <c r="T492" s="179" t="str">
        <f>IF(T$3="","",IF(COUNTIFS(BD!$A$3:$A$5001,T$3,BD!$B$3:$B$5001,$A$491,BD!$D$3:$D$5001,"&lt;&gt;")=0,"",SUMIFS(BD!$D$3:$D$5001,BD!$A$3:$A$5001,T$3,BD!$B$3:$B$5001,$A$491)))</f>
        <v/>
      </c>
      <c r="U492" s="179" t="str">
        <f>IF(U$3="","",IF(COUNTIFS(BD!$A$3:$A$5001,U$3,BD!$B$3:$B$5001,$A$491,BD!$D$3:$D$5001,"&lt;&gt;")=0,"",SUMIFS(BD!$D$3:$D$5001,BD!$A$3:$A$5001,U$3,BD!$B$3:$B$5001,$A$491)))</f>
        <v/>
      </c>
      <c r="V492" s="179" t="str">
        <f>IF(V$3="","",IF(COUNTIFS(BD!$A$3:$A$5001,V$3,BD!$B$3:$B$5001,$A$491,BD!$D$3:$D$5001,"&lt;&gt;")=0,"",SUMIFS(BD!$D$3:$D$5001,BD!$A$3:$A$5001,V$3,BD!$B$3:$B$5001,$A$491)))</f>
        <v/>
      </c>
      <c r="W492" s="179" t="str">
        <f>IF(W$3="","",IF(COUNTIFS(BD!$A$3:$A$5001,W$3,BD!$B$3:$B$5001,$A$491,BD!$D$3:$D$5001,"&lt;&gt;")=0,"",SUMIFS(BD!$D$3:$D$5001,BD!$A$3:$A$5001,W$3,BD!$B$3:$B$5001,$A$491)))</f>
        <v/>
      </c>
      <c r="X492" s="179" t="str">
        <f>IF(X$3="","",IF(COUNTIFS(BD!$A$3:$A$5001,X$3,BD!$B$3:$B$5001,$A$491,BD!$D$3:$D$5001,"&lt;&gt;")=0,"",SUMIFS(BD!$D$3:$D$5001,BD!$A$3:$A$5001,X$3,BD!$B$3:$B$5001,$A$491)))</f>
        <v/>
      </c>
      <c r="Y492" s="179" t="str">
        <f>IF(Y$3="","",IF(COUNTIFS(BD!$A$3:$A$5001,Y$3,BD!$B$3:$B$5001,$A$491,BD!$D$3:$D$5001,"&lt;&gt;")=0,"",SUMIFS(BD!$D$3:$D$5001,BD!$A$3:$A$5001,Y$3,BD!$B$3:$B$5001,$A$491)))</f>
        <v/>
      </c>
      <c r="Z492" s="179" t="str">
        <f>IF(Z$3="","",IF(COUNTIFS(BD!$A$3:$A$5001,Z$3,BD!$B$3:$B$5001,$A$491,BD!$D$3:$D$5001,"&lt;&gt;")=0,"",SUMIFS(BD!$D$3:$D$5001,BD!$A$3:$A$5001,Z$3,BD!$B$3:$B$5001,$A$491)))</f>
        <v/>
      </c>
      <c r="AA492" s="179" t="str">
        <f>IF(AA$3="","",IF(COUNTIFS(BD!$A$3:$A$5001,AA$3,BD!$B$3:$B$5001,$A$491,BD!$D$3:$D$5001,"&lt;&gt;")=0,"",SUMIFS(BD!$D$3:$D$5001,BD!$A$3:$A$5001,AA$3,BD!$B$3:$B$5001,$A$491)))</f>
        <v/>
      </c>
      <c r="AB492" s="179" t="str">
        <f>IF(AB$3="","",IF(COUNTIFS(BD!$A$3:$A$5001,AB$3,BD!$B$3:$B$5001,$A$491,BD!$D$3:$D$5001,"&lt;&gt;")=0,"",SUMIFS(BD!$D$3:$D$5001,BD!$A$3:$A$5001,AB$3,BD!$B$3:$B$5001,$A$491)))</f>
        <v/>
      </c>
      <c r="AC492" s="179" t="str">
        <f>IF(AC$3="","",IF(COUNTIFS(BD!$A$3:$A$5001,AC$3,BD!$B$3:$B$5001,$A$491,BD!$D$3:$D$5001,"&lt;&gt;")=0,"",SUMIFS(BD!$D$3:$D$5001,BD!$A$3:$A$5001,AC$3,BD!$B$3:$B$5001,$A$491)))</f>
        <v/>
      </c>
      <c r="AD492" s="179" t="str">
        <f>IF(AD$3="","",IF(COUNTIFS(BD!$A$3:$A$5001,AD$3,BD!$B$3:$B$5001,$A$491,BD!$D$3:$D$5001,"&lt;&gt;")=0,"",SUMIFS(BD!$D$3:$D$5001,BD!$A$3:$A$5001,AD$3,BD!$B$3:$B$5001,$A$491)))</f>
        <v/>
      </c>
      <c r="AE492" s="179" t="str">
        <f>IF(AE$3="","",IF(COUNTIFS(BD!$A$3:$A$5001,AE$3,BD!$B$3:$B$5001,$A$491,BD!$D$3:$D$5001,"&lt;&gt;")=0,"",SUMIFS(BD!$D$3:$D$5001,BD!$A$3:$A$5001,AE$3,BD!$B$3:$B$5001,$A$491)))</f>
        <v/>
      </c>
      <c r="AF492" s="179" t="str">
        <f>IF(AF$3="","",IF(COUNTIFS(BD!$A$3:$A$5001,AF$3,BD!$B$3:$B$5001,$A$491,BD!$D$3:$D$5001,"&lt;&gt;")=0,"",SUMIFS(BD!$D$3:$D$5001,BD!$A$3:$A$5001,AF$3,BD!$B$3:$B$5001,$A$491)))</f>
        <v/>
      </c>
      <c r="AG492" s="179" t="str">
        <f>IF(AG$3="","",IF(COUNTIFS(BD!$A$3:$A$5001,AG$3,BD!$B$3:$B$5001,$A$491,BD!$D$3:$D$5001,"&lt;&gt;")=0,"",SUMIFS(BD!$D$3:$D$5001,BD!$A$3:$A$5001,AG$3,BD!$B$3:$B$5001,$A$491)))</f>
        <v/>
      </c>
      <c r="AH492" s="179" t="str">
        <f>IF(AH$3="","",IF(COUNTIFS(BD!$A$3:$A$5001,AH$3,BD!$B$3:$B$5001,$A$491,BD!$D$3:$D$5001,"&lt;&gt;")=0,"",SUMIFS(BD!$D$3:$D$5001,BD!$A$3:$A$5001,AH$3,BD!$B$3:$B$5001,$A$491)))</f>
        <v/>
      </c>
      <c r="AI492" s="179" t="str">
        <f>IF(AI$3="","",IF(COUNTIFS(BD!$A$3:$A$5001,AI$3,BD!$B$3:$B$5001,$A$491,BD!$D$3:$D$5001,"&lt;&gt;")=0,"",SUMIFS(BD!$D$3:$D$5001,BD!$A$3:$A$5001,AI$3,BD!$B$3:$B$5001,$A$491)))</f>
        <v/>
      </c>
      <c r="AJ492" s="180" t="str">
        <f>IF(AJ$3="","",IF(COUNTIFS(BD!$A$3:$A$5001,AJ$3,BD!$B$3:$B$5001,$A$491,BD!$D$3:$D$5001,"&lt;&gt;")=0,"",SUMIFS(BD!$D$3:$D$5001,BD!$A$3:$A$5001,AJ$3,BD!$B$3:$B$5001,$A$491)))</f>
        <v/>
      </c>
      <c r="AK492" s="181" t="str">
        <f>IF(COUNT(F492:AJ492)=0,"",SUM(F492:AJ492))</f>
        <v/>
      </c>
    </row>
    <row r="493" ht="15.75" customHeight="1" hidden="1">
      <c r="A493" s="277"/>
      <c r="B493" s="265"/>
      <c r="C493" s="175" t="inlineStr">
        <is>
          <t xml:space="preserve">Toneladas Movimentadas</t>
        </is>
      </c>
      <c r="D493" s="176" t="str">
        <f>IFERROR(1/(1/INDEX(BD!$AF$25:$AZ$25,MATCH($A$491,BD!$AF$22:$AZ$22,0))),"")</f>
        <v/>
      </c>
      <c r="E493" s="177"/>
      <c r="F493" s="182" t="str">
        <f>IF(F$3="","",IF(COUNTIFS(BD!$A$3:$A$5001,F$3,BD!$B$3:$B$5001,$A$491,BD!$E$3:$E$5001,"&lt;&gt;")=0,"",SUMIFS(BD!$E$3:$E$5001,BD!$A$3:$A$5001,F$3,BD!$B$3:$B$5001,$A$491)))</f>
        <v/>
      </c>
      <c r="G493" s="183" t="str">
        <f>IF(G$3="","",IF(COUNTIFS(BD!$A$3:$A$5001,G$3,BD!$B$3:$B$5001,$A$491,BD!$E$3:$E$5001,"&lt;&gt;")=0,"",SUMIFS(BD!$E$3:$E$5001,BD!$A$3:$A$5001,G$3,BD!$B$3:$B$5001,$A$491)))</f>
        <v/>
      </c>
      <c r="H493" s="183" t="str">
        <f>IF(H$3="","",IF(COUNTIFS(BD!$A$3:$A$5001,H$3,BD!$B$3:$B$5001,$A$491,BD!$E$3:$E$5001,"&lt;&gt;")=0,"",SUMIFS(BD!$E$3:$E$5001,BD!$A$3:$A$5001,H$3,BD!$B$3:$B$5001,$A$491)))</f>
        <v/>
      </c>
      <c r="I493" s="183" t="str">
        <f>IF(I$3="","",IF(COUNTIFS(BD!$A$3:$A$5001,I$3,BD!$B$3:$B$5001,$A$491,BD!$E$3:$E$5001,"&lt;&gt;")=0,"",SUMIFS(BD!$E$3:$E$5001,BD!$A$3:$A$5001,I$3,BD!$B$3:$B$5001,$A$491)))</f>
        <v/>
      </c>
      <c r="J493" s="183" t="str">
        <f>IF(J$3="","",IF(COUNTIFS(BD!$A$3:$A$5001,J$3,BD!$B$3:$B$5001,$A$491,BD!$E$3:$E$5001,"&lt;&gt;")=0,"",SUMIFS(BD!$E$3:$E$5001,BD!$A$3:$A$5001,J$3,BD!$B$3:$B$5001,$A$491)))</f>
        <v/>
      </c>
      <c r="K493" s="183" t="str">
        <f>IF(K$3="","",IF(COUNTIFS(BD!$A$3:$A$5001,K$3,BD!$B$3:$B$5001,$A$491,BD!$E$3:$E$5001,"&lt;&gt;")=0,"",SUMIFS(BD!$E$3:$E$5001,BD!$A$3:$A$5001,K$3,BD!$B$3:$B$5001,$A$491)))</f>
        <v/>
      </c>
      <c r="L493" s="183" t="str">
        <f>IF(L$3="","",IF(COUNTIFS(BD!$A$3:$A$5001,L$3,BD!$B$3:$B$5001,$A$491,BD!$E$3:$E$5001,"&lt;&gt;")=0,"",SUMIFS(BD!$E$3:$E$5001,BD!$A$3:$A$5001,L$3,BD!$B$3:$B$5001,$A$491)))</f>
        <v/>
      </c>
      <c r="M493" s="183" t="str">
        <f>IF(M$3="","",IF(COUNTIFS(BD!$A$3:$A$5001,M$3,BD!$B$3:$B$5001,$A$491,BD!$E$3:$E$5001,"&lt;&gt;")=0,"",SUMIFS(BD!$E$3:$E$5001,BD!$A$3:$A$5001,M$3,BD!$B$3:$B$5001,$A$491)))</f>
        <v/>
      </c>
      <c r="N493" s="183" t="str">
        <f>IF(N$3="","",IF(COUNTIFS(BD!$A$3:$A$5001,N$3,BD!$B$3:$B$5001,$A$491,BD!$E$3:$E$5001,"&lt;&gt;")=0,"",SUMIFS(BD!$E$3:$E$5001,BD!$A$3:$A$5001,N$3,BD!$B$3:$B$5001,$A$491)))</f>
        <v/>
      </c>
      <c r="O493" s="183" t="str">
        <f>IF(O$3="","",IF(COUNTIFS(BD!$A$3:$A$5001,O$3,BD!$B$3:$B$5001,$A$491,BD!$E$3:$E$5001,"&lt;&gt;")=0,"",SUMIFS(BD!$E$3:$E$5001,BD!$A$3:$A$5001,O$3,BD!$B$3:$B$5001,$A$491)))</f>
        <v/>
      </c>
      <c r="P493" s="183" t="str">
        <f>IF(P$3="","",IF(COUNTIFS(BD!$A$3:$A$5001,P$3,BD!$B$3:$B$5001,$A$491,BD!$E$3:$E$5001,"&lt;&gt;")=0,"",SUMIFS(BD!$E$3:$E$5001,BD!$A$3:$A$5001,P$3,BD!$B$3:$B$5001,$A$491)))</f>
        <v/>
      </c>
      <c r="Q493" s="183" t="str">
        <f>IF(Q$3="","",IF(COUNTIFS(BD!$A$3:$A$5001,Q$3,BD!$B$3:$B$5001,$A$491,BD!$E$3:$E$5001,"&lt;&gt;")=0,"",SUMIFS(BD!$E$3:$E$5001,BD!$A$3:$A$5001,Q$3,BD!$B$3:$B$5001,$A$491)))</f>
        <v/>
      </c>
      <c r="R493" s="183" t="str">
        <f>IF(R$3="","",IF(COUNTIFS(BD!$A$3:$A$5001,R$3,BD!$B$3:$B$5001,$A$491,BD!$E$3:$E$5001,"&lt;&gt;")=0,"",SUMIFS(BD!$E$3:$E$5001,BD!$A$3:$A$5001,R$3,BD!$B$3:$B$5001,$A$491)))</f>
        <v/>
      </c>
      <c r="S493" s="183" t="str">
        <f>IF(S$3="","",IF(COUNTIFS(BD!$A$3:$A$5001,S$3,BD!$B$3:$B$5001,$A$491,BD!$E$3:$E$5001,"&lt;&gt;")=0,"",SUMIFS(BD!$E$3:$E$5001,BD!$A$3:$A$5001,S$3,BD!$B$3:$B$5001,$A$491)))</f>
        <v/>
      </c>
      <c r="T493" s="183" t="str">
        <f>IF(T$3="","",IF(COUNTIFS(BD!$A$3:$A$5001,T$3,BD!$B$3:$B$5001,$A$491,BD!$E$3:$E$5001,"&lt;&gt;")=0,"",SUMIFS(BD!$E$3:$E$5001,BD!$A$3:$A$5001,T$3,BD!$B$3:$B$5001,$A$491)))</f>
        <v/>
      </c>
      <c r="U493" s="183" t="str">
        <f>IF(U$3="","",IF(COUNTIFS(BD!$A$3:$A$5001,U$3,BD!$B$3:$B$5001,$A$491,BD!$E$3:$E$5001,"&lt;&gt;")=0,"",SUMIFS(BD!$E$3:$E$5001,BD!$A$3:$A$5001,U$3,BD!$B$3:$B$5001,$A$491)))</f>
        <v/>
      </c>
      <c r="V493" s="183" t="str">
        <f>IF(V$3="","",IF(COUNTIFS(BD!$A$3:$A$5001,V$3,BD!$B$3:$B$5001,$A$491,BD!$E$3:$E$5001,"&lt;&gt;")=0,"",SUMIFS(BD!$E$3:$E$5001,BD!$A$3:$A$5001,V$3,BD!$B$3:$B$5001,$A$491)))</f>
        <v/>
      </c>
      <c r="W493" s="183" t="str">
        <f>IF(W$3="","",IF(COUNTIFS(BD!$A$3:$A$5001,W$3,BD!$B$3:$B$5001,$A$491,BD!$E$3:$E$5001,"&lt;&gt;")=0,"",SUMIFS(BD!$E$3:$E$5001,BD!$A$3:$A$5001,W$3,BD!$B$3:$B$5001,$A$491)))</f>
        <v/>
      </c>
      <c r="X493" s="183" t="str">
        <f>IF(X$3="","",IF(COUNTIFS(BD!$A$3:$A$5001,X$3,BD!$B$3:$B$5001,$A$491,BD!$E$3:$E$5001,"&lt;&gt;")=0,"",SUMIFS(BD!$E$3:$E$5001,BD!$A$3:$A$5001,X$3,BD!$B$3:$B$5001,$A$491)))</f>
        <v/>
      </c>
      <c r="Y493" s="183" t="str">
        <f>IF(Y$3="","",IF(COUNTIFS(BD!$A$3:$A$5001,Y$3,BD!$B$3:$B$5001,$A$491,BD!$E$3:$E$5001,"&lt;&gt;")=0,"",SUMIFS(BD!$E$3:$E$5001,BD!$A$3:$A$5001,Y$3,BD!$B$3:$B$5001,$A$491)))</f>
        <v/>
      </c>
      <c r="Z493" s="183" t="str">
        <f>IF(Z$3="","",IF(COUNTIFS(BD!$A$3:$A$5001,Z$3,BD!$B$3:$B$5001,$A$491,BD!$E$3:$E$5001,"&lt;&gt;")=0,"",SUMIFS(BD!$E$3:$E$5001,BD!$A$3:$A$5001,Z$3,BD!$B$3:$B$5001,$A$491)))</f>
        <v/>
      </c>
      <c r="AA493" s="183" t="str">
        <f>IF(AA$3="","",IF(COUNTIFS(BD!$A$3:$A$5001,AA$3,BD!$B$3:$B$5001,$A$491,BD!$E$3:$E$5001,"&lt;&gt;")=0,"",SUMIFS(BD!$E$3:$E$5001,BD!$A$3:$A$5001,AA$3,BD!$B$3:$B$5001,$A$491)))</f>
        <v/>
      </c>
      <c r="AB493" s="183" t="str">
        <f>IF(AB$3="","",IF(COUNTIFS(BD!$A$3:$A$5001,AB$3,BD!$B$3:$B$5001,$A$491,BD!$E$3:$E$5001,"&lt;&gt;")=0,"",SUMIFS(BD!$E$3:$E$5001,BD!$A$3:$A$5001,AB$3,BD!$B$3:$B$5001,$A$491)))</f>
        <v/>
      </c>
      <c r="AC493" s="183" t="str">
        <f>IF(AC$3="","",IF(COUNTIFS(BD!$A$3:$A$5001,AC$3,BD!$B$3:$B$5001,$A$491,BD!$E$3:$E$5001,"&lt;&gt;")=0,"",SUMIFS(BD!$E$3:$E$5001,BD!$A$3:$A$5001,AC$3,BD!$B$3:$B$5001,$A$491)))</f>
        <v/>
      </c>
      <c r="AD493" s="183" t="str">
        <f>IF(AD$3="","",IF(COUNTIFS(BD!$A$3:$A$5001,AD$3,BD!$B$3:$B$5001,$A$491,BD!$E$3:$E$5001,"&lt;&gt;")=0,"",SUMIFS(BD!$E$3:$E$5001,BD!$A$3:$A$5001,AD$3,BD!$B$3:$B$5001,$A$491)))</f>
        <v/>
      </c>
      <c r="AE493" s="183" t="str">
        <f>IF(AE$3="","",IF(COUNTIFS(BD!$A$3:$A$5001,AE$3,BD!$B$3:$B$5001,$A$491,BD!$E$3:$E$5001,"&lt;&gt;")=0,"",SUMIFS(BD!$E$3:$E$5001,BD!$A$3:$A$5001,AE$3,BD!$B$3:$B$5001,$A$491)))</f>
        <v/>
      </c>
      <c r="AF493" s="183" t="str">
        <f>IF(AF$3="","",IF(COUNTIFS(BD!$A$3:$A$5001,AF$3,BD!$B$3:$B$5001,$A$491,BD!$E$3:$E$5001,"&lt;&gt;")=0,"",SUMIFS(BD!$E$3:$E$5001,BD!$A$3:$A$5001,AF$3,BD!$B$3:$B$5001,$A$491)))</f>
        <v/>
      </c>
      <c r="AG493" s="183" t="str">
        <f>IF(AG$3="","",IF(COUNTIFS(BD!$A$3:$A$5001,AG$3,BD!$B$3:$B$5001,$A$491,BD!$E$3:$E$5001,"&lt;&gt;")=0,"",SUMIFS(BD!$E$3:$E$5001,BD!$A$3:$A$5001,AG$3,BD!$B$3:$B$5001,$A$491)))</f>
        <v/>
      </c>
      <c r="AH493" s="183" t="str">
        <f>IF(AH$3="","",IF(COUNTIFS(BD!$A$3:$A$5001,AH$3,BD!$B$3:$B$5001,$A$491,BD!$E$3:$E$5001,"&lt;&gt;")=0,"",SUMIFS(BD!$E$3:$E$5001,BD!$A$3:$A$5001,AH$3,BD!$B$3:$B$5001,$A$491)))</f>
        <v/>
      </c>
      <c r="AI493" s="183" t="str">
        <f>IF(AI$3="","",IF(COUNTIFS(BD!$A$3:$A$5001,AI$3,BD!$B$3:$B$5001,$A$491,BD!$E$3:$E$5001,"&lt;&gt;")=0,"",SUMIFS(BD!$E$3:$E$5001,BD!$A$3:$A$5001,AI$3,BD!$B$3:$B$5001,$A$491)))</f>
        <v/>
      </c>
      <c r="AJ493" s="184" t="str">
        <f>IF(AJ$3="","",IF(COUNTIFS(BD!$A$3:$A$5001,AJ$3,BD!$B$3:$B$5001,$A$491,BD!$E$3:$E$5001,"&lt;&gt;")=0,"",SUMIFS(BD!$E$3:$E$5001,BD!$A$3:$A$5001,AJ$3,BD!$B$3:$B$5001,$A$491)))</f>
        <v/>
      </c>
      <c r="AK493" s="185" t="str">
        <f>IF(COUNT(F493:AJ493)=0,"",SUM(F493:AJ493))</f>
        <v/>
      </c>
    </row>
    <row r="494" ht="15.75" customHeight="1" hidden="1">
      <c r="A494" s="277"/>
      <c r="B494" s="265"/>
      <c r="C494" s="175" t="inlineStr">
        <is>
          <t xml:space="preserve">Caixas Recebidas</t>
        </is>
      </c>
      <c r="D494" s="176" t="str">
        <f>IFERROR(1/(1/INDEX(BD!$AF$26:$AZ$26,MATCH($A$491,BD!$AF$22:$AZ$22,0))),"")</f>
        <v/>
      </c>
      <c r="E494" s="177"/>
      <c r="F494" s="178" t="str">
        <f>IF(F$3="","",IF(COUNTIFS(BD!$A$3:$A$5001,F$3,BD!$B$3:$B$5001,$A$491,BD!$F$3:$F$5001,"&lt;&gt;")=0,"",SUMIFS(BD!$F$3:$F$5001,BD!$A$3:$A$5001,F$3,BD!$B$3:$B$5001,$A$491)))</f>
        <v/>
      </c>
      <c r="G494" s="179" t="str">
        <f>IF(G$3="","",IF(COUNTIFS(BD!$A$3:$A$5001,G$3,BD!$B$3:$B$5001,$A$491,BD!$F$3:$F$5001,"&lt;&gt;")=0,"",SUMIFS(BD!$F$3:$F$5001,BD!$A$3:$A$5001,G$3,BD!$B$3:$B$5001,$A$491)))</f>
        <v/>
      </c>
      <c r="H494" s="179" t="str">
        <f>IF(H$3="","",IF(COUNTIFS(BD!$A$3:$A$5001,H$3,BD!$B$3:$B$5001,$A$491,BD!$F$3:$F$5001,"&lt;&gt;")=0,"",SUMIFS(BD!$F$3:$F$5001,BD!$A$3:$A$5001,H$3,BD!$B$3:$B$5001,$A$491)))</f>
        <v/>
      </c>
      <c r="I494" s="179" t="str">
        <f>IF(I$3="","",IF(COUNTIFS(BD!$A$3:$A$5001,I$3,BD!$B$3:$B$5001,$A$491,BD!$F$3:$F$5001,"&lt;&gt;")=0,"",SUMIFS(BD!$F$3:$F$5001,BD!$A$3:$A$5001,I$3,BD!$B$3:$B$5001,$A$491)))</f>
        <v/>
      </c>
      <c r="J494" s="179" t="str">
        <f>IF(J$3="","",IF(COUNTIFS(BD!$A$3:$A$5001,J$3,BD!$B$3:$B$5001,$A$491,BD!$F$3:$F$5001,"&lt;&gt;")=0,"",SUMIFS(BD!$F$3:$F$5001,BD!$A$3:$A$5001,J$3,BD!$B$3:$B$5001,$A$491)))</f>
        <v/>
      </c>
      <c r="K494" s="179" t="str">
        <f>IF(K$3="","",IF(COUNTIFS(BD!$A$3:$A$5001,K$3,BD!$B$3:$B$5001,$A$491,BD!$F$3:$F$5001,"&lt;&gt;")=0,"",SUMIFS(BD!$F$3:$F$5001,BD!$A$3:$A$5001,K$3,BD!$B$3:$B$5001,$A$491)))</f>
        <v/>
      </c>
      <c r="L494" s="179" t="str">
        <f>IF(L$3="","",IF(COUNTIFS(BD!$A$3:$A$5001,L$3,BD!$B$3:$B$5001,$A$491,BD!$F$3:$F$5001,"&lt;&gt;")=0,"",SUMIFS(BD!$F$3:$F$5001,BD!$A$3:$A$5001,L$3,BD!$B$3:$B$5001,$A$491)))</f>
        <v/>
      </c>
      <c r="M494" s="179" t="str">
        <f>IF(M$3="","",IF(COUNTIFS(BD!$A$3:$A$5001,M$3,BD!$B$3:$B$5001,$A$491,BD!$F$3:$F$5001,"&lt;&gt;")=0,"",SUMIFS(BD!$F$3:$F$5001,BD!$A$3:$A$5001,M$3,BD!$B$3:$B$5001,$A$491)))</f>
        <v/>
      </c>
      <c r="N494" s="179" t="str">
        <f>IF(N$3="","",IF(COUNTIFS(BD!$A$3:$A$5001,N$3,BD!$B$3:$B$5001,$A$491,BD!$F$3:$F$5001,"&lt;&gt;")=0,"",SUMIFS(BD!$F$3:$F$5001,BD!$A$3:$A$5001,N$3,BD!$B$3:$B$5001,$A$491)))</f>
        <v/>
      </c>
      <c r="O494" s="179" t="str">
        <f>IF(O$3="","",IF(COUNTIFS(BD!$A$3:$A$5001,O$3,BD!$B$3:$B$5001,$A$491,BD!$F$3:$F$5001,"&lt;&gt;")=0,"",SUMIFS(BD!$F$3:$F$5001,BD!$A$3:$A$5001,O$3,BD!$B$3:$B$5001,$A$491)))</f>
        <v/>
      </c>
      <c r="P494" s="179" t="str">
        <f>IF(P$3="","",IF(COUNTIFS(BD!$A$3:$A$5001,P$3,BD!$B$3:$B$5001,$A$491,BD!$F$3:$F$5001,"&lt;&gt;")=0,"",SUMIFS(BD!$F$3:$F$5001,BD!$A$3:$A$5001,P$3,BD!$B$3:$B$5001,$A$491)))</f>
        <v/>
      </c>
      <c r="Q494" s="179" t="str">
        <f>IF(Q$3="","",IF(COUNTIFS(BD!$A$3:$A$5001,Q$3,BD!$B$3:$B$5001,$A$491,BD!$F$3:$F$5001,"&lt;&gt;")=0,"",SUMIFS(BD!$F$3:$F$5001,BD!$A$3:$A$5001,Q$3,BD!$B$3:$B$5001,$A$491)))</f>
        <v/>
      </c>
      <c r="R494" s="179" t="str">
        <f>IF(R$3="","",IF(COUNTIFS(BD!$A$3:$A$5001,R$3,BD!$B$3:$B$5001,$A$491,BD!$F$3:$F$5001,"&lt;&gt;")=0,"",SUMIFS(BD!$F$3:$F$5001,BD!$A$3:$A$5001,R$3,BD!$B$3:$B$5001,$A$491)))</f>
        <v/>
      </c>
      <c r="S494" s="179" t="str">
        <f>IF(S$3="","",IF(COUNTIFS(BD!$A$3:$A$5001,S$3,BD!$B$3:$B$5001,$A$491,BD!$F$3:$F$5001,"&lt;&gt;")=0,"",SUMIFS(BD!$F$3:$F$5001,BD!$A$3:$A$5001,S$3,BD!$B$3:$B$5001,$A$491)))</f>
        <v/>
      </c>
      <c r="T494" s="179" t="str">
        <f>IF(T$3="","",IF(COUNTIFS(BD!$A$3:$A$5001,T$3,BD!$B$3:$B$5001,$A$491,BD!$F$3:$F$5001,"&lt;&gt;")=0,"",SUMIFS(BD!$F$3:$F$5001,BD!$A$3:$A$5001,T$3,BD!$B$3:$B$5001,$A$491)))</f>
        <v/>
      </c>
      <c r="U494" s="179" t="str">
        <f>IF(U$3="","",IF(COUNTIFS(BD!$A$3:$A$5001,U$3,BD!$B$3:$B$5001,$A$491,BD!$F$3:$F$5001,"&lt;&gt;")=0,"",SUMIFS(BD!$F$3:$F$5001,BD!$A$3:$A$5001,U$3,BD!$B$3:$B$5001,$A$491)))</f>
        <v/>
      </c>
      <c r="V494" s="179" t="str">
        <f>IF(V$3="","",IF(COUNTIFS(BD!$A$3:$A$5001,V$3,BD!$B$3:$B$5001,$A$491,BD!$F$3:$F$5001,"&lt;&gt;")=0,"",SUMIFS(BD!$F$3:$F$5001,BD!$A$3:$A$5001,V$3,BD!$B$3:$B$5001,$A$491)))</f>
        <v/>
      </c>
      <c r="W494" s="179" t="str">
        <f>IF(W$3="","",IF(COUNTIFS(BD!$A$3:$A$5001,W$3,BD!$B$3:$B$5001,$A$491,BD!$F$3:$F$5001,"&lt;&gt;")=0,"",SUMIFS(BD!$F$3:$F$5001,BD!$A$3:$A$5001,W$3,BD!$B$3:$B$5001,$A$491)))</f>
        <v/>
      </c>
      <c r="X494" s="179" t="str">
        <f>IF(X$3="","",IF(COUNTIFS(BD!$A$3:$A$5001,X$3,BD!$B$3:$B$5001,$A$491,BD!$F$3:$F$5001,"&lt;&gt;")=0,"",SUMIFS(BD!$F$3:$F$5001,BD!$A$3:$A$5001,X$3,BD!$B$3:$B$5001,$A$491)))</f>
        <v/>
      </c>
      <c r="Y494" s="179" t="str">
        <f>IF(Y$3="","",IF(COUNTIFS(BD!$A$3:$A$5001,Y$3,BD!$B$3:$B$5001,$A$491,BD!$F$3:$F$5001,"&lt;&gt;")=0,"",SUMIFS(BD!$F$3:$F$5001,BD!$A$3:$A$5001,Y$3,BD!$B$3:$B$5001,$A$491)))</f>
        <v/>
      </c>
      <c r="Z494" s="179" t="str">
        <f>IF(Z$3="","",IF(COUNTIFS(BD!$A$3:$A$5001,Z$3,BD!$B$3:$B$5001,$A$491,BD!$F$3:$F$5001,"&lt;&gt;")=0,"",SUMIFS(BD!$F$3:$F$5001,BD!$A$3:$A$5001,Z$3,BD!$B$3:$B$5001,$A$491)))</f>
        <v/>
      </c>
      <c r="AA494" s="179" t="str">
        <f>IF(AA$3="","",IF(COUNTIFS(BD!$A$3:$A$5001,AA$3,BD!$B$3:$B$5001,$A$491,BD!$F$3:$F$5001,"&lt;&gt;")=0,"",SUMIFS(BD!$F$3:$F$5001,BD!$A$3:$A$5001,AA$3,BD!$B$3:$B$5001,$A$491)))</f>
        <v/>
      </c>
      <c r="AB494" s="179" t="str">
        <f>IF(AB$3="","",IF(COUNTIFS(BD!$A$3:$A$5001,AB$3,BD!$B$3:$B$5001,$A$491,BD!$F$3:$F$5001,"&lt;&gt;")=0,"",SUMIFS(BD!$F$3:$F$5001,BD!$A$3:$A$5001,AB$3,BD!$B$3:$B$5001,$A$491)))</f>
        <v/>
      </c>
      <c r="AC494" s="179" t="str">
        <f>IF(AC$3="","",IF(COUNTIFS(BD!$A$3:$A$5001,AC$3,BD!$B$3:$B$5001,$A$491,BD!$F$3:$F$5001,"&lt;&gt;")=0,"",SUMIFS(BD!$F$3:$F$5001,BD!$A$3:$A$5001,AC$3,BD!$B$3:$B$5001,$A$491)))</f>
        <v/>
      </c>
      <c r="AD494" s="179" t="str">
        <f>IF(AD$3="","",IF(COUNTIFS(BD!$A$3:$A$5001,AD$3,BD!$B$3:$B$5001,$A$491,BD!$F$3:$F$5001,"&lt;&gt;")=0,"",SUMIFS(BD!$F$3:$F$5001,BD!$A$3:$A$5001,AD$3,BD!$B$3:$B$5001,$A$491)))</f>
        <v/>
      </c>
      <c r="AE494" s="179" t="str">
        <f>IF(AE$3="","",IF(COUNTIFS(BD!$A$3:$A$5001,AE$3,BD!$B$3:$B$5001,$A$491,BD!$F$3:$F$5001,"&lt;&gt;")=0,"",SUMIFS(BD!$F$3:$F$5001,BD!$A$3:$A$5001,AE$3,BD!$B$3:$B$5001,$A$491)))</f>
        <v/>
      </c>
      <c r="AF494" s="179" t="str">
        <f>IF(AF$3="","",IF(COUNTIFS(BD!$A$3:$A$5001,AF$3,BD!$B$3:$B$5001,$A$491,BD!$F$3:$F$5001,"&lt;&gt;")=0,"",SUMIFS(BD!$F$3:$F$5001,BD!$A$3:$A$5001,AF$3,BD!$B$3:$B$5001,$A$491)))</f>
        <v/>
      </c>
      <c r="AG494" s="179" t="str">
        <f>IF(AG$3="","",IF(COUNTIFS(BD!$A$3:$A$5001,AG$3,BD!$B$3:$B$5001,$A$491,BD!$F$3:$F$5001,"&lt;&gt;")=0,"",SUMIFS(BD!$F$3:$F$5001,BD!$A$3:$A$5001,AG$3,BD!$B$3:$B$5001,$A$491)))</f>
        <v/>
      </c>
      <c r="AH494" s="179" t="str">
        <f>IF(AH$3="","",IF(COUNTIFS(BD!$A$3:$A$5001,AH$3,BD!$B$3:$B$5001,$A$491,BD!$F$3:$F$5001,"&lt;&gt;")=0,"",SUMIFS(BD!$F$3:$F$5001,BD!$A$3:$A$5001,AH$3,BD!$B$3:$B$5001,$A$491)))</f>
        <v/>
      </c>
      <c r="AI494" s="179" t="str">
        <f>IF(AI$3="","",IF(COUNTIFS(BD!$A$3:$A$5001,AI$3,BD!$B$3:$B$5001,$A$491,BD!$F$3:$F$5001,"&lt;&gt;")=0,"",SUMIFS(BD!$F$3:$F$5001,BD!$A$3:$A$5001,AI$3,BD!$B$3:$B$5001,$A$491)))</f>
        <v/>
      </c>
      <c r="AJ494" s="180" t="str">
        <f>IF(AJ$3="","",IF(COUNTIFS(BD!$A$3:$A$5001,AJ$3,BD!$B$3:$B$5001,$A$491,BD!$F$3:$F$5001,"&lt;&gt;")=0,"",SUMIFS(BD!$F$3:$F$5001,BD!$A$3:$A$5001,AJ$3,BD!$B$3:$B$5001,$A$491)))</f>
        <v/>
      </c>
      <c r="AK494" s="181" t="str">
        <f>IF(COUNT(F494:AJ494)=0,"",SUM(F494:AJ494))</f>
        <v/>
      </c>
    </row>
    <row r="495" ht="15.75" customHeight="1" hidden="1">
      <c r="A495" s="277"/>
      <c r="B495" s="266"/>
      <c r="C495" s="186" t="inlineStr">
        <is>
          <t xml:space="preserve">Bags Recebidos</t>
        </is>
      </c>
      <c r="D495" s="187" t="str">
        <f>IFERROR(1/(1/INDEX(BD!$AF$27:$AZ$27,MATCH($A$491,BD!$AF$22:$AZ$22,0))),"")</f>
        <v/>
      </c>
      <c r="E495" s="188"/>
      <c r="F495" s="189" t="str">
        <f>IF(F$3="","",IF(COUNTIFS(BD!$A$3:$A$5001,F$3,BD!$B$3:$B$5001,$A$491,BD!$G$3:$G$5001,"&lt;&gt;")=0,"",SUMIFS(BD!$G$3:$G$5001,BD!$A$3:$A$5001,F$3,BD!$B$3:$B$5001,$A$491)))</f>
        <v/>
      </c>
      <c r="G495" s="190" t="str">
        <f>IF(G$3="","",IF(COUNTIFS(BD!$A$3:$A$5001,G$3,BD!$B$3:$B$5001,$A$491,BD!$G$3:$G$5001,"&lt;&gt;")=0,"",SUMIFS(BD!$G$3:$G$5001,BD!$A$3:$A$5001,G$3,BD!$B$3:$B$5001,$A$491)))</f>
        <v/>
      </c>
      <c r="H495" s="190" t="str">
        <f>IF(H$3="","",IF(COUNTIFS(BD!$A$3:$A$5001,H$3,BD!$B$3:$B$5001,$A$491,BD!$G$3:$G$5001,"&lt;&gt;")=0,"",SUMIFS(BD!$G$3:$G$5001,BD!$A$3:$A$5001,H$3,BD!$B$3:$B$5001,$A$491)))</f>
        <v/>
      </c>
      <c r="I495" s="190" t="str">
        <f>IF(I$3="","",IF(COUNTIFS(BD!$A$3:$A$5001,I$3,BD!$B$3:$B$5001,$A$491,BD!$G$3:$G$5001,"&lt;&gt;")=0,"",SUMIFS(BD!$G$3:$G$5001,BD!$A$3:$A$5001,I$3,BD!$B$3:$B$5001,$A$491)))</f>
        <v/>
      </c>
      <c r="J495" s="190" t="str">
        <f>IF(J$3="","",IF(COUNTIFS(BD!$A$3:$A$5001,J$3,BD!$B$3:$B$5001,$A$491,BD!$G$3:$G$5001,"&lt;&gt;")=0,"",SUMIFS(BD!$G$3:$G$5001,BD!$A$3:$A$5001,J$3,BD!$B$3:$B$5001,$A$491)))</f>
        <v/>
      </c>
      <c r="K495" s="190" t="str">
        <f>IF(K$3="","",IF(COUNTIFS(BD!$A$3:$A$5001,K$3,BD!$B$3:$B$5001,$A$491,BD!$G$3:$G$5001,"&lt;&gt;")=0,"",SUMIFS(BD!$G$3:$G$5001,BD!$A$3:$A$5001,K$3,BD!$B$3:$B$5001,$A$491)))</f>
        <v/>
      </c>
      <c r="L495" s="190" t="str">
        <f>IF(L$3="","",IF(COUNTIFS(BD!$A$3:$A$5001,L$3,BD!$B$3:$B$5001,$A$491,BD!$G$3:$G$5001,"&lt;&gt;")=0,"",SUMIFS(BD!$G$3:$G$5001,BD!$A$3:$A$5001,L$3,BD!$B$3:$B$5001,$A$491)))</f>
        <v/>
      </c>
      <c r="M495" s="190" t="str">
        <f>IF(M$3="","",IF(COUNTIFS(BD!$A$3:$A$5001,M$3,BD!$B$3:$B$5001,$A$491,BD!$G$3:$G$5001,"&lt;&gt;")=0,"",SUMIFS(BD!$G$3:$G$5001,BD!$A$3:$A$5001,M$3,BD!$B$3:$B$5001,$A$491)))</f>
        <v/>
      </c>
      <c r="N495" s="190" t="str">
        <f>IF(N$3="","",IF(COUNTIFS(BD!$A$3:$A$5001,N$3,BD!$B$3:$B$5001,$A$491,BD!$G$3:$G$5001,"&lt;&gt;")=0,"",SUMIFS(BD!$G$3:$G$5001,BD!$A$3:$A$5001,N$3,BD!$B$3:$B$5001,$A$491)))</f>
        <v/>
      </c>
      <c r="O495" s="190" t="str">
        <f>IF(O$3="","",IF(COUNTIFS(BD!$A$3:$A$5001,O$3,BD!$B$3:$B$5001,$A$491,BD!$G$3:$G$5001,"&lt;&gt;")=0,"",SUMIFS(BD!$G$3:$G$5001,BD!$A$3:$A$5001,O$3,BD!$B$3:$B$5001,$A$491)))</f>
        <v/>
      </c>
      <c r="P495" s="190" t="str">
        <f>IF(P$3="","",IF(COUNTIFS(BD!$A$3:$A$5001,P$3,BD!$B$3:$B$5001,$A$491,BD!$G$3:$G$5001,"&lt;&gt;")=0,"",SUMIFS(BD!$G$3:$G$5001,BD!$A$3:$A$5001,P$3,BD!$B$3:$B$5001,$A$491)))</f>
        <v/>
      </c>
      <c r="Q495" s="190" t="str">
        <f>IF(Q$3="","",IF(COUNTIFS(BD!$A$3:$A$5001,Q$3,BD!$B$3:$B$5001,$A$491,BD!$G$3:$G$5001,"&lt;&gt;")=0,"",SUMIFS(BD!$G$3:$G$5001,BD!$A$3:$A$5001,Q$3,BD!$B$3:$B$5001,$A$491)))</f>
        <v/>
      </c>
      <c r="R495" s="190" t="str">
        <f>IF(R$3="","",IF(COUNTIFS(BD!$A$3:$A$5001,R$3,BD!$B$3:$B$5001,$A$491,BD!$G$3:$G$5001,"&lt;&gt;")=0,"",SUMIFS(BD!$G$3:$G$5001,BD!$A$3:$A$5001,R$3,BD!$B$3:$B$5001,$A$491)))</f>
        <v/>
      </c>
      <c r="S495" s="190" t="str">
        <f>IF(S$3="","",IF(COUNTIFS(BD!$A$3:$A$5001,S$3,BD!$B$3:$B$5001,$A$491,BD!$G$3:$G$5001,"&lt;&gt;")=0,"",SUMIFS(BD!$G$3:$G$5001,BD!$A$3:$A$5001,S$3,BD!$B$3:$B$5001,$A$491)))</f>
        <v/>
      </c>
      <c r="T495" s="190" t="str">
        <f>IF(T$3="","",IF(COUNTIFS(BD!$A$3:$A$5001,T$3,BD!$B$3:$B$5001,$A$491,BD!$G$3:$G$5001,"&lt;&gt;")=0,"",SUMIFS(BD!$G$3:$G$5001,BD!$A$3:$A$5001,T$3,BD!$B$3:$B$5001,$A$491)))</f>
        <v/>
      </c>
      <c r="U495" s="190" t="str">
        <f>IF(U$3="","",IF(COUNTIFS(BD!$A$3:$A$5001,U$3,BD!$B$3:$B$5001,$A$491,BD!$G$3:$G$5001,"&lt;&gt;")=0,"",SUMIFS(BD!$G$3:$G$5001,BD!$A$3:$A$5001,U$3,BD!$B$3:$B$5001,$A$491)))</f>
        <v/>
      </c>
      <c r="V495" s="190" t="str">
        <f>IF(V$3="","",IF(COUNTIFS(BD!$A$3:$A$5001,V$3,BD!$B$3:$B$5001,$A$491,BD!$G$3:$G$5001,"&lt;&gt;")=0,"",SUMIFS(BD!$G$3:$G$5001,BD!$A$3:$A$5001,V$3,BD!$B$3:$B$5001,$A$491)))</f>
        <v/>
      </c>
      <c r="W495" s="190" t="str">
        <f>IF(W$3="","",IF(COUNTIFS(BD!$A$3:$A$5001,W$3,BD!$B$3:$B$5001,$A$491,BD!$G$3:$G$5001,"&lt;&gt;")=0,"",SUMIFS(BD!$G$3:$G$5001,BD!$A$3:$A$5001,W$3,BD!$B$3:$B$5001,$A$491)))</f>
        <v/>
      </c>
      <c r="X495" s="190" t="str">
        <f>IF(X$3="","",IF(COUNTIFS(BD!$A$3:$A$5001,X$3,BD!$B$3:$B$5001,$A$491,BD!$G$3:$G$5001,"&lt;&gt;")=0,"",SUMIFS(BD!$G$3:$G$5001,BD!$A$3:$A$5001,X$3,BD!$B$3:$B$5001,$A$491)))</f>
        <v/>
      </c>
      <c r="Y495" s="190" t="str">
        <f>IF(Y$3="","",IF(COUNTIFS(BD!$A$3:$A$5001,Y$3,BD!$B$3:$B$5001,$A$491,BD!$G$3:$G$5001,"&lt;&gt;")=0,"",SUMIFS(BD!$G$3:$G$5001,BD!$A$3:$A$5001,Y$3,BD!$B$3:$B$5001,$A$491)))</f>
        <v/>
      </c>
      <c r="Z495" s="190" t="str">
        <f>IF(Z$3="","",IF(COUNTIFS(BD!$A$3:$A$5001,Z$3,BD!$B$3:$B$5001,$A$491,BD!$G$3:$G$5001,"&lt;&gt;")=0,"",SUMIFS(BD!$G$3:$G$5001,BD!$A$3:$A$5001,Z$3,BD!$B$3:$B$5001,$A$491)))</f>
        <v/>
      </c>
      <c r="AA495" s="190" t="str">
        <f>IF(AA$3="","",IF(COUNTIFS(BD!$A$3:$A$5001,AA$3,BD!$B$3:$B$5001,$A$491,BD!$G$3:$G$5001,"&lt;&gt;")=0,"",SUMIFS(BD!$G$3:$G$5001,BD!$A$3:$A$5001,AA$3,BD!$B$3:$B$5001,$A$491)))</f>
        <v/>
      </c>
      <c r="AB495" s="190" t="str">
        <f>IF(AB$3="","",IF(COUNTIFS(BD!$A$3:$A$5001,AB$3,BD!$B$3:$B$5001,$A$491,BD!$G$3:$G$5001,"&lt;&gt;")=0,"",SUMIFS(BD!$G$3:$G$5001,BD!$A$3:$A$5001,AB$3,BD!$B$3:$B$5001,$A$491)))</f>
        <v/>
      </c>
      <c r="AC495" s="190" t="str">
        <f>IF(AC$3="","",IF(COUNTIFS(BD!$A$3:$A$5001,AC$3,BD!$B$3:$B$5001,$A$491,BD!$G$3:$G$5001,"&lt;&gt;")=0,"",SUMIFS(BD!$G$3:$G$5001,BD!$A$3:$A$5001,AC$3,BD!$B$3:$B$5001,$A$491)))</f>
        <v/>
      </c>
      <c r="AD495" s="190" t="str">
        <f>IF(AD$3="","",IF(COUNTIFS(BD!$A$3:$A$5001,AD$3,BD!$B$3:$B$5001,$A$491,BD!$G$3:$G$5001,"&lt;&gt;")=0,"",SUMIFS(BD!$G$3:$G$5001,BD!$A$3:$A$5001,AD$3,BD!$B$3:$B$5001,$A$491)))</f>
        <v/>
      </c>
      <c r="AE495" s="190" t="str">
        <f>IF(AE$3="","",IF(COUNTIFS(BD!$A$3:$A$5001,AE$3,BD!$B$3:$B$5001,$A$491,BD!$G$3:$G$5001,"&lt;&gt;")=0,"",SUMIFS(BD!$G$3:$G$5001,BD!$A$3:$A$5001,AE$3,BD!$B$3:$B$5001,$A$491)))</f>
        <v/>
      </c>
      <c r="AF495" s="190" t="str">
        <f>IF(AF$3="","",IF(COUNTIFS(BD!$A$3:$A$5001,AF$3,BD!$B$3:$B$5001,$A$491,BD!$G$3:$G$5001,"&lt;&gt;")=0,"",SUMIFS(BD!$G$3:$G$5001,BD!$A$3:$A$5001,AF$3,BD!$B$3:$B$5001,$A$491)))</f>
        <v/>
      </c>
      <c r="AG495" s="190" t="str">
        <f>IF(AG$3="","",IF(COUNTIFS(BD!$A$3:$A$5001,AG$3,BD!$B$3:$B$5001,$A$491,BD!$G$3:$G$5001,"&lt;&gt;")=0,"",SUMIFS(BD!$G$3:$G$5001,BD!$A$3:$A$5001,AG$3,BD!$B$3:$B$5001,$A$491)))</f>
        <v/>
      </c>
      <c r="AH495" s="190" t="str">
        <f>IF(AH$3="","",IF(COUNTIFS(BD!$A$3:$A$5001,AH$3,BD!$B$3:$B$5001,$A$491,BD!$G$3:$G$5001,"&lt;&gt;")=0,"",SUMIFS(BD!$G$3:$G$5001,BD!$A$3:$A$5001,AH$3,BD!$B$3:$B$5001,$A$491)))</f>
        <v/>
      </c>
      <c r="AI495" s="190" t="str">
        <f>IF(AI$3="","",IF(COUNTIFS(BD!$A$3:$A$5001,AI$3,BD!$B$3:$B$5001,$A$491,BD!$G$3:$G$5001,"&lt;&gt;")=0,"",SUMIFS(BD!$G$3:$G$5001,BD!$A$3:$A$5001,AI$3,BD!$B$3:$B$5001,$A$491)))</f>
        <v/>
      </c>
      <c r="AJ495" s="191" t="str">
        <f>IF(AJ$3="","",IF(COUNTIFS(BD!$A$3:$A$5001,AJ$3,BD!$B$3:$B$5001,$A$491,BD!$G$3:$G$5001,"&lt;&gt;")=0,"",SUMIFS(BD!$G$3:$G$5001,BD!$A$3:$A$5001,AJ$3,BD!$B$3:$B$5001,$A$491)))</f>
        <v/>
      </c>
      <c r="AK495" s="187" t="str">
        <f>IF(COUNT(F495:AJ495)=0,"",SUM(F495:AJ495))</f>
        <v/>
      </c>
    </row>
    <row r="496" ht="15.75" customHeight="1" hidden="1">
      <c r="A496" s="277"/>
      <c r="B496" s="267" t="inlineStr">
        <is>
          <t xml:space="preserve">OUT</t>
        </is>
      </c>
      <c r="C496" s="192" t="inlineStr">
        <is>
          <t xml:space="preserve">Veículos Expedidos</t>
        </is>
      </c>
      <c r="D496" s="193" t="str">
        <f>IFERROR(1/(1/INDEX(BD!$AF$28:$AZ$28,MATCH($A$491,BD!$AF$22:$AZ$22,0))),"")</f>
        <v/>
      </c>
      <c r="E496" s="194"/>
      <c r="F496" s="195" t="str">
        <f>IF(F$3="","",IF(COUNTIFS(BD!$A$3:$A$5001,F$3,BD!$B$3:$B$5001,$A$491,BD!$H$3:$H$5001,"&lt;&gt;")=0,"",SUMIFS(BD!$H$3:$H$5001,BD!$A$3:$A$5001,F$3,BD!$B$3:$B$5001,$A$491)))</f>
        <v/>
      </c>
      <c r="G496" s="196" t="str">
        <f>IF(G$3="","",IF(COUNTIFS(BD!$A$3:$A$5001,G$3,BD!$B$3:$B$5001,$A$491,BD!$H$3:$H$5001,"&lt;&gt;")=0,"",SUMIFS(BD!$H$3:$H$5001,BD!$A$3:$A$5001,G$3,BD!$B$3:$B$5001,$A$491)))</f>
        <v/>
      </c>
      <c r="H496" s="196" t="str">
        <f>IF(H$3="","",IF(COUNTIFS(BD!$A$3:$A$5001,H$3,BD!$B$3:$B$5001,$A$491,BD!$H$3:$H$5001,"&lt;&gt;")=0,"",SUMIFS(BD!$H$3:$H$5001,BD!$A$3:$A$5001,H$3,BD!$B$3:$B$5001,$A$491)))</f>
        <v/>
      </c>
      <c r="I496" s="196" t="str">
        <f>IF(I$3="","",IF(COUNTIFS(BD!$A$3:$A$5001,I$3,BD!$B$3:$B$5001,$A$491,BD!$H$3:$H$5001,"&lt;&gt;")=0,"",SUMIFS(BD!$H$3:$H$5001,BD!$A$3:$A$5001,I$3,BD!$B$3:$B$5001,$A$491)))</f>
        <v/>
      </c>
      <c r="J496" s="196" t="str">
        <f>IF(J$3="","",IF(COUNTIFS(BD!$A$3:$A$5001,J$3,BD!$B$3:$B$5001,$A$491,BD!$H$3:$H$5001,"&lt;&gt;")=0,"",SUMIFS(BD!$H$3:$H$5001,BD!$A$3:$A$5001,J$3,BD!$B$3:$B$5001,$A$491)))</f>
        <v/>
      </c>
      <c r="K496" s="196" t="str">
        <f>IF(K$3="","",IF(COUNTIFS(BD!$A$3:$A$5001,K$3,BD!$B$3:$B$5001,$A$491,BD!$H$3:$H$5001,"&lt;&gt;")=0,"",SUMIFS(BD!$H$3:$H$5001,BD!$A$3:$A$5001,K$3,BD!$B$3:$B$5001,$A$491)))</f>
        <v/>
      </c>
      <c r="L496" s="196" t="str">
        <f>IF(L$3="","",IF(COUNTIFS(BD!$A$3:$A$5001,L$3,BD!$B$3:$B$5001,$A$491,BD!$H$3:$H$5001,"&lt;&gt;")=0,"",SUMIFS(BD!$H$3:$H$5001,BD!$A$3:$A$5001,L$3,BD!$B$3:$B$5001,$A$491)))</f>
        <v/>
      </c>
      <c r="M496" s="196" t="str">
        <f>IF(M$3="","",IF(COUNTIFS(BD!$A$3:$A$5001,M$3,BD!$B$3:$B$5001,$A$491,BD!$H$3:$H$5001,"&lt;&gt;")=0,"",SUMIFS(BD!$H$3:$H$5001,BD!$A$3:$A$5001,M$3,BD!$B$3:$B$5001,$A$491)))</f>
        <v/>
      </c>
      <c r="N496" s="196" t="str">
        <f>IF(N$3="","",IF(COUNTIFS(BD!$A$3:$A$5001,N$3,BD!$B$3:$B$5001,$A$491,BD!$H$3:$H$5001,"&lt;&gt;")=0,"",SUMIFS(BD!$H$3:$H$5001,BD!$A$3:$A$5001,N$3,BD!$B$3:$B$5001,$A$491)))</f>
        <v/>
      </c>
      <c r="O496" s="196" t="str">
        <f>IF(O$3="","",IF(COUNTIFS(BD!$A$3:$A$5001,O$3,BD!$B$3:$B$5001,$A$491,BD!$H$3:$H$5001,"&lt;&gt;")=0,"",SUMIFS(BD!$H$3:$H$5001,BD!$A$3:$A$5001,O$3,BD!$B$3:$B$5001,$A$491)))</f>
        <v/>
      </c>
      <c r="P496" s="196" t="str">
        <f>IF(P$3="","",IF(COUNTIFS(BD!$A$3:$A$5001,P$3,BD!$B$3:$B$5001,$A$491,BD!$H$3:$H$5001,"&lt;&gt;")=0,"",SUMIFS(BD!$H$3:$H$5001,BD!$A$3:$A$5001,P$3,BD!$B$3:$B$5001,$A$491)))</f>
        <v/>
      </c>
      <c r="Q496" s="196" t="str">
        <f>IF(Q$3="","",IF(COUNTIFS(BD!$A$3:$A$5001,Q$3,BD!$B$3:$B$5001,$A$491,BD!$H$3:$H$5001,"&lt;&gt;")=0,"",SUMIFS(BD!$H$3:$H$5001,BD!$A$3:$A$5001,Q$3,BD!$B$3:$B$5001,$A$491)))</f>
        <v/>
      </c>
      <c r="R496" s="196" t="str">
        <f>IF(R$3="","",IF(COUNTIFS(BD!$A$3:$A$5001,R$3,BD!$B$3:$B$5001,$A$491,BD!$H$3:$H$5001,"&lt;&gt;")=0,"",SUMIFS(BD!$H$3:$H$5001,BD!$A$3:$A$5001,R$3,BD!$B$3:$B$5001,$A$491)))</f>
        <v/>
      </c>
      <c r="S496" s="196" t="str">
        <f>IF(S$3="","",IF(COUNTIFS(BD!$A$3:$A$5001,S$3,BD!$B$3:$B$5001,$A$491,BD!$H$3:$H$5001,"&lt;&gt;")=0,"",SUMIFS(BD!$H$3:$H$5001,BD!$A$3:$A$5001,S$3,BD!$B$3:$B$5001,$A$491)))</f>
        <v/>
      </c>
      <c r="T496" s="196" t="str">
        <f>IF(T$3="","",IF(COUNTIFS(BD!$A$3:$A$5001,T$3,BD!$B$3:$B$5001,$A$491,BD!$H$3:$H$5001,"&lt;&gt;")=0,"",SUMIFS(BD!$H$3:$H$5001,BD!$A$3:$A$5001,T$3,BD!$B$3:$B$5001,$A$491)))</f>
        <v/>
      </c>
      <c r="U496" s="196" t="str">
        <f>IF(U$3="","",IF(COUNTIFS(BD!$A$3:$A$5001,U$3,BD!$B$3:$B$5001,$A$491,BD!$H$3:$H$5001,"&lt;&gt;")=0,"",SUMIFS(BD!$H$3:$H$5001,BD!$A$3:$A$5001,U$3,BD!$B$3:$B$5001,$A$491)))</f>
        <v/>
      </c>
      <c r="V496" s="196" t="str">
        <f>IF(V$3="","",IF(COUNTIFS(BD!$A$3:$A$5001,V$3,BD!$B$3:$B$5001,$A$491,BD!$H$3:$H$5001,"&lt;&gt;")=0,"",SUMIFS(BD!$H$3:$H$5001,BD!$A$3:$A$5001,V$3,BD!$B$3:$B$5001,$A$491)))</f>
        <v/>
      </c>
      <c r="W496" s="196" t="str">
        <f>IF(W$3="","",IF(COUNTIFS(BD!$A$3:$A$5001,W$3,BD!$B$3:$B$5001,$A$491,BD!$H$3:$H$5001,"&lt;&gt;")=0,"",SUMIFS(BD!$H$3:$H$5001,BD!$A$3:$A$5001,W$3,BD!$B$3:$B$5001,$A$491)))</f>
        <v/>
      </c>
      <c r="X496" s="196" t="str">
        <f>IF(X$3="","",IF(COUNTIFS(BD!$A$3:$A$5001,X$3,BD!$B$3:$B$5001,$A$491,BD!$H$3:$H$5001,"&lt;&gt;")=0,"",SUMIFS(BD!$H$3:$H$5001,BD!$A$3:$A$5001,X$3,BD!$B$3:$B$5001,$A$491)))</f>
        <v/>
      </c>
      <c r="Y496" s="196" t="str">
        <f>IF(Y$3="","",IF(COUNTIFS(BD!$A$3:$A$5001,Y$3,BD!$B$3:$B$5001,$A$491,BD!$H$3:$H$5001,"&lt;&gt;")=0,"",SUMIFS(BD!$H$3:$H$5001,BD!$A$3:$A$5001,Y$3,BD!$B$3:$B$5001,$A$491)))</f>
        <v/>
      </c>
      <c r="Z496" s="196" t="str">
        <f>IF(Z$3="","",IF(COUNTIFS(BD!$A$3:$A$5001,Z$3,BD!$B$3:$B$5001,$A$491,BD!$H$3:$H$5001,"&lt;&gt;")=0,"",SUMIFS(BD!$H$3:$H$5001,BD!$A$3:$A$5001,Z$3,BD!$B$3:$B$5001,$A$491)))</f>
        <v/>
      </c>
      <c r="AA496" s="196" t="str">
        <f>IF(AA$3="","",IF(COUNTIFS(BD!$A$3:$A$5001,AA$3,BD!$B$3:$B$5001,$A$491,BD!$H$3:$H$5001,"&lt;&gt;")=0,"",SUMIFS(BD!$H$3:$H$5001,BD!$A$3:$A$5001,AA$3,BD!$B$3:$B$5001,$A$491)))</f>
        <v/>
      </c>
      <c r="AB496" s="196" t="str">
        <f>IF(AB$3="","",IF(COUNTIFS(BD!$A$3:$A$5001,AB$3,BD!$B$3:$B$5001,$A$491,BD!$H$3:$H$5001,"&lt;&gt;")=0,"",SUMIFS(BD!$H$3:$H$5001,BD!$A$3:$A$5001,AB$3,BD!$B$3:$B$5001,$A$491)))</f>
        <v/>
      </c>
      <c r="AC496" s="196" t="str">
        <f>IF(AC$3="","",IF(COUNTIFS(BD!$A$3:$A$5001,AC$3,BD!$B$3:$B$5001,$A$491,BD!$H$3:$H$5001,"&lt;&gt;")=0,"",SUMIFS(BD!$H$3:$H$5001,BD!$A$3:$A$5001,AC$3,BD!$B$3:$B$5001,$A$491)))</f>
        <v/>
      </c>
      <c r="AD496" s="196" t="str">
        <f>IF(AD$3="","",IF(COUNTIFS(BD!$A$3:$A$5001,AD$3,BD!$B$3:$B$5001,$A$491,BD!$H$3:$H$5001,"&lt;&gt;")=0,"",SUMIFS(BD!$H$3:$H$5001,BD!$A$3:$A$5001,AD$3,BD!$B$3:$B$5001,$A$491)))</f>
        <v/>
      </c>
      <c r="AE496" s="196" t="str">
        <f>IF(AE$3="","",IF(COUNTIFS(BD!$A$3:$A$5001,AE$3,BD!$B$3:$B$5001,$A$491,BD!$H$3:$H$5001,"&lt;&gt;")=0,"",SUMIFS(BD!$H$3:$H$5001,BD!$A$3:$A$5001,AE$3,BD!$B$3:$B$5001,$A$491)))</f>
        <v/>
      </c>
      <c r="AF496" s="196" t="str">
        <f>IF(AF$3="","",IF(COUNTIFS(BD!$A$3:$A$5001,AF$3,BD!$B$3:$B$5001,$A$491,BD!$H$3:$H$5001,"&lt;&gt;")=0,"",SUMIFS(BD!$H$3:$H$5001,BD!$A$3:$A$5001,AF$3,BD!$B$3:$B$5001,$A$491)))</f>
        <v/>
      </c>
      <c r="AG496" s="196" t="str">
        <f>IF(AG$3="","",IF(COUNTIFS(BD!$A$3:$A$5001,AG$3,BD!$B$3:$B$5001,$A$491,BD!$H$3:$H$5001,"&lt;&gt;")=0,"",SUMIFS(BD!$H$3:$H$5001,BD!$A$3:$A$5001,AG$3,BD!$B$3:$B$5001,$A$491)))</f>
        <v/>
      </c>
      <c r="AH496" s="196" t="str">
        <f>IF(AH$3="","",IF(COUNTIFS(BD!$A$3:$A$5001,AH$3,BD!$B$3:$B$5001,$A$491,BD!$H$3:$H$5001,"&lt;&gt;")=0,"",SUMIFS(BD!$H$3:$H$5001,BD!$A$3:$A$5001,AH$3,BD!$B$3:$B$5001,$A$491)))</f>
        <v/>
      </c>
      <c r="AI496" s="196" t="str">
        <f>IF(AI$3="","",IF(COUNTIFS(BD!$A$3:$A$5001,AI$3,BD!$B$3:$B$5001,$A$491,BD!$H$3:$H$5001,"&lt;&gt;")=0,"",SUMIFS(BD!$H$3:$H$5001,BD!$A$3:$A$5001,AI$3,BD!$B$3:$B$5001,$A$491)))</f>
        <v/>
      </c>
      <c r="AJ496" s="197" t="str">
        <f>IF(AJ$3="","",IF(COUNTIFS(BD!$A$3:$A$5001,AJ$3,BD!$B$3:$B$5001,$A$491,BD!$H$3:$H$5001,"&lt;&gt;")=0,"",SUMIFS(BD!$H$3:$H$5001,BD!$A$3:$A$5001,AJ$3,BD!$B$3:$B$5001,$A$491)))</f>
        <v/>
      </c>
      <c r="AK496" s="198" t="str">
        <f>IF(COUNT(F496:AJ496)=0,"",SUM(F496:AJ496))</f>
        <v/>
      </c>
    </row>
    <row r="497" ht="15.75" customHeight="1" hidden="1">
      <c r="A497" s="277"/>
      <c r="B497" s="268"/>
      <c r="C497" s="199" t="inlineStr">
        <is>
          <t xml:space="preserve">Pallets Movimentados</t>
        </is>
      </c>
      <c r="D497" s="200" t="str">
        <f>IFERROR(1/(1/INDEX(BD!$AF$29:$AZ$29,MATCH($A$491,BD!$AF$22:$AZ$22,0))),"")</f>
        <v/>
      </c>
      <c r="E497" s="201"/>
      <c r="F497" s="202" t="str">
        <f>IF(F$3="","",IF(COUNTIFS(BD!$A$3:$A$5001,F$3,BD!$B$3:$B$5001,$A$491,BD!$I$3:$I$5001,"&lt;&gt;")=0,"",SUMIFS(BD!$I$3:$I$5001,BD!$A$3:$A$5001,F$3,BD!$B$3:$B$5001,$A$491)))</f>
        <v/>
      </c>
      <c r="G497" s="203" t="str">
        <f>IF(G$3="","",IF(COUNTIFS(BD!$A$3:$A$5001,G$3,BD!$B$3:$B$5001,$A$491,BD!$I$3:$I$5001,"&lt;&gt;")=0,"",SUMIFS(BD!$I$3:$I$5001,BD!$A$3:$A$5001,G$3,BD!$B$3:$B$5001,$A$491)))</f>
        <v/>
      </c>
      <c r="H497" s="203" t="str">
        <f>IF(H$3="","",IF(COUNTIFS(BD!$A$3:$A$5001,H$3,BD!$B$3:$B$5001,$A$491,BD!$I$3:$I$5001,"&lt;&gt;")=0,"",SUMIFS(BD!$I$3:$I$5001,BD!$A$3:$A$5001,H$3,BD!$B$3:$B$5001,$A$491)))</f>
        <v/>
      </c>
      <c r="I497" s="203" t="str">
        <f>IF(I$3="","",IF(COUNTIFS(BD!$A$3:$A$5001,I$3,BD!$B$3:$B$5001,$A$491,BD!$I$3:$I$5001,"&lt;&gt;")=0,"",SUMIFS(BD!$I$3:$I$5001,BD!$A$3:$A$5001,I$3,BD!$B$3:$B$5001,$A$491)))</f>
        <v/>
      </c>
      <c r="J497" s="203" t="str">
        <f>IF(J$3="","",IF(COUNTIFS(BD!$A$3:$A$5001,J$3,BD!$B$3:$B$5001,$A$491,BD!$I$3:$I$5001,"&lt;&gt;")=0,"",SUMIFS(BD!$I$3:$I$5001,BD!$A$3:$A$5001,J$3,BD!$B$3:$B$5001,$A$491)))</f>
        <v/>
      </c>
      <c r="K497" s="203" t="str">
        <f>IF(K$3="","",IF(COUNTIFS(BD!$A$3:$A$5001,K$3,BD!$B$3:$B$5001,$A$491,BD!$I$3:$I$5001,"&lt;&gt;")=0,"",SUMIFS(BD!$I$3:$I$5001,BD!$A$3:$A$5001,K$3,BD!$B$3:$B$5001,$A$491)))</f>
        <v/>
      </c>
      <c r="L497" s="203" t="str">
        <f>IF(L$3="","",IF(COUNTIFS(BD!$A$3:$A$5001,L$3,BD!$B$3:$B$5001,$A$491,BD!$I$3:$I$5001,"&lt;&gt;")=0,"",SUMIFS(BD!$I$3:$I$5001,BD!$A$3:$A$5001,L$3,BD!$B$3:$B$5001,$A$491)))</f>
        <v/>
      </c>
      <c r="M497" s="203" t="str">
        <f>IF(M$3="","",IF(COUNTIFS(BD!$A$3:$A$5001,M$3,BD!$B$3:$B$5001,$A$491,BD!$I$3:$I$5001,"&lt;&gt;")=0,"",SUMIFS(BD!$I$3:$I$5001,BD!$A$3:$A$5001,M$3,BD!$B$3:$B$5001,$A$491)))</f>
        <v/>
      </c>
      <c r="N497" s="203" t="str">
        <f>IF(N$3="","",IF(COUNTIFS(BD!$A$3:$A$5001,N$3,BD!$B$3:$B$5001,$A$491,BD!$I$3:$I$5001,"&lt;&gt;")=0,"",SUMIFS(BD!$I$3:$I$5001,BD!$A$3:$A$5001,N$3,BD!$B$3:$B$5001,$A$491)))</f>
        <v/>
      </c>
      <c r="O497" s="203" t="str">
        <f>IF(O$3="","",IF(COUNTIFS(BD!$A$3:$A$5001,O$3,BD!$B$3:$B$5001,$A$491,BD!$I$3:$I$5001,"&lt;&gt;")=0,"",SUMIFS(BD!$I$3:$I$5001,BD!$A$3:$A$5001,O$3,BD!$B$3:$B$5001,$A$491)))</f>
        <v/>
      </c>
      <c r="P497" s="203" t="str">
        <f>IF(P$3="","",IF(COUNTIFS(BD!$A$3:$A$5001,P$3,BD!$B$3:$B$5001,$A$491,BD!$I$3:$I$5001,"&lt;&gt;")=0,"",SUMIFS(BD!$I$3:$I$5001,BD!$A$3:$A$5001,P$3,BD!$B$3:$B$5001,$A$491)))</f>
        <v/>
      </c>
      <c r="Q497" s="203" t="str">
        <f>IF(Q$3="","",IF(COUNTIFS(BD!$A$3:$A$5001,Q$3,BD!$B$3:$B$5001,$A$491,BD!$I$3:$I$5001,"&lt;&gt;")=0,"",SUMIFS(BD!$I$3:$I$5001,BD!$A$3:$A$5001,Q$3,BD!$B$3:$B$5001,$A$491)))</f>
        <v/>
      </c>
      <c r="R497" s="203" t="str">
        <f>IF(R$3="","",IF(COUNTIFS(BD!$A$3:$A$5001,R$3,BD!$B$3:$B$5001,$A$491,BD!$I$3:$I$5001,"&lt;&gt;")=0,"",SUMIFS(BD!$I$3:$I$5001,BD!$A$3:$A$5001,R$3,BD!$B$3:$B$5001,$A$491)))</f>
        <v/>
      </c>
      <c r="S497" s="203" t="str">
        <f>IF(S$3="","",IF(COUNTIFS(BD!$A$3:$A$5001,S$3,BD!$B$3:$B$5001,$A$491,BD!$I$3:$I$5001,"&lt;&gt;")=0,"",SUMIFS(BD!$I$3:$I$5001,BD!$A$3:$A$5001,S$3,BD!$B$3:$B$5001,$A$491)))</f>
        <v/>
      </c>
      <c r="T497" s="203" t="str">
        <f>IF(T$3="","",IF(COUNTIFS(BD!$A$3:$A$5001,T$3,BD!$B$3:$B$5001,$A$491,BD!$I$3:$I$5001,"&lt;&gt;")=0,"",SUMIFS(BD!$I$3:$I$5001,BD!$A$3:$A$5001,T$3,BD!$B$3:$B$5001,$A$491)))</f>
        <v/>
      </c>
      <c r="U497" s="203" t="str">
        <f>IF(U$3="","",IF(COUNTIFS(BD!$A$3:$A$5001,U$3,BD!$B$3:$B$5001,$A$491,BD!$I$3:$I$5001,"&lt;&gt;")=0,"",SUMIFS(BD!$I$3:$I$5001,BD!$A$3:$A$5001,U$3,BD!$B$3:$B$5001,$A$491)))</f>
        <v/>
      </c>
      <c r="V497" s="203" t="str">
        <f>IF(V$3="","",IF(COUNTIFS(BD!$A$3:$A$5001,V$3,BD!$B$3:$B$5001,$A$491,BD!$I$3:$I$5001,"&lt;&gt;")=0,"",SUMIFS(BD!$I$3:$I$5001,BD!$A$3:$A$5001,V$3,BD!$B$3:$B$5001,$A$491)))</f>
        <v/>
      </c>
      <c r="W497" s="203" t="str">
        <f>IF(W$3="","",IF(COUNTIFS(BD!$A$3:$A$5001,W$3,BD!$B$3:$B$5001,$A$491,BD!$I$3:$I$5001,"&lt;&gt;")=0,"",SUMIFS(BD!$I$3:$I$5001,BD!$A$3:$A$5001,W$3,BD!$B$3:$B$5001,$A$491)))</f>
        <v/>
      </c>
      <c r="X497" s="203" t="str">
        <f>IF(X$3="","",IF(COUNTIFS(BD!$A$3:$A$5001,X$3,BD!$B$3:$B$5001,$A$491,BD!$I$3:$I$5001,"&lt;&gt;")=0,"",SUMIFS(BD!$I$3:$I$5001,BD!$A$3:$A$5001,X$3,BD!$B$3:$B$5001,$A$491)))</f>
        <v/>
      </c>
      <c r="Y497" s="203" t="str">
        <f>IF(Y$3="","",IF(COUNTIFS(BD!$A$3:$A$5001,Y$3,BD!$B$3:$B$5001,$A$491,BD!$I$3:$I$5001,"&lt;&gt;")=0,"",SUMIFS(BD!$I$3:$I$5001,BD!$A$3:$A$5001,Y$3,BD!$B$3:$B$5001,$A$491)))</f>
        <v/>
      </c>
      <c r="Z497" s="203" t="str">
        <f>IF(Z$3="","",IF(COUNTIFS(BD!$A$3:$A$5001,Z$3,BD!$B$3:$B$5001,$A$491,BD!$I$3:$I$5001,"&lt;&gt;")=0,"",SUMIFS(BD!$I$3:$I$5001,BD!$A$3:$A$5001,Z$3,BD!$B$3:$B$5001,$A$491)))</f>
        <v/>
      </c>
      <c r="AA497" s="203" t="str">
        <f>IF(AA$3="","",IF(COUNTIFS(BD!$A$3:$A$5001,AA$3,BD!$B$3:$B$5001,$A$491,BD!$I$3:$I$5001,"&lt;&gt;")=0,"",SUMIFS(BD!$I$3:$I$5001,BD!$A$3:$A$5001,AA$3,BD!$B$3:$B$5001,$A$491)))</f>
        <v/>
      </c>
      <c r="AB497" s="203" t="str">
        <f>IF(AB$3="","",IF(COUNTIFS(BD!$A$3:$A$5001,AB$3,BD!$B$3:$B$5001,$A$491,BD!$I$3:$I$5001,"&lt;&gt;")=0,"",SUMIFS(BD!$I$3:$I$5001,BD!$A$3:$A$5001,AB$3,BD!$B$3:$B$5001,$A$491)))</f>
        <v/>
      </c>
      <c r="AC497" s="203" t="str">
        <f>IF(AC$3="","",IF(COUNTIFS(BD!$A$3:$A$5001,AC$3,BD!$B$3:$B$5001,$A$491,BD!$I$3:$I$5001,"&lt;&gt;")=0,"",SUMIFS(BD!$I$3:$I$5001,BD!$A$3:$A$5001,AC$3,BD!$B$3:$B$5001,$A$491)))</f>
        <v/>
      </c>
      <c r="AD497" s="203" t="str">
        <f>IF(AD$3="","",IF(COUNTIFS(BD!$A$3:$A$5001,AD$3,BD!$B$3:$B$5001,$A$491,BD!$I$3:$I$5001,"&lt;&gt;")=0,"",SUMIFS(BD!$I$3:$I$5001,BD!$A$3:$A$5001,AD$3,BD!$B$3:$B$5001,$A$491)))</f>
        <v/>
      </c>
      <c r="AE497" s="203" t="str">
        <f>IF(AE$3="","",IF(COUNTIFS(BD!$A$3:$A$5001,AE$3,BD!$B$3:$B$5001,$A$491,BD!$I$3:$I$5001,"&lt;&gt;")=0,"",SUMIFS(BD!$I$3:$I$5001,BD!$A$3:$A$5001,AE$3,BD!$B$3:$B$5001,$A$491)))</f>
        <v/>
      </c>
      <c r="AF497" s="203" t="str">
        <f>IF(AF$3="","",IF(COUNTIFS(BD!$A$3:$A$5001,AF$3,BD!$B$3:$B$5001,$A$491,BD!$I$3:$I$5001,"&lt;&gt;")=0,"",SUMIFS(BD!$I$3:$I$5001,BD!$A$3:$A$5001,AF$3,BD!$B$3:$B$5001,$A$491)))</f>
        <v/>
      </c>
      <c r="AG497" s="203" t="str">
        <f>IF(AG$3="","",IF(COUNTIFS(BD!$A$3:$A$5001,AG$3,BD!$B$3:$B$5001,$A$491,BD!$I$3:$I$5001,"&lt;&gt;")=0,"",SUMIFS(BD!$I$3:$I$5001,BD!$A$3:$A$5001,AG$3,BD!$B$3:$B$5001,$A$491)))</f>
        <v/>
      </c>
      <c r="AH497" s="203" t="str">
        <f>IF(AH$3="","",IF(COUNTIFS(BD!$A$3:$A$5001,AH$3,BD!$B$3:$B$5001,$A$491,BD!$I$3:$I$5001,"&lt;&gt;")=0,"",SUMIFS(BD!$I$3:$I$5001,BD!$A$3:$A$5001,AH$3,BD!$B$3:$B$5001,$A$491)))</f>
        <v/>
      </c>
      <c r="AI497" s="203" t="str">
        <f>IF(AI$3="","",IF(COUNTIFS(BD!$A$3:$A$5001,AI$3,BD!$B$3:$B$5001,$A$491,BD!$I$3:$I$5001,"&lt;&gt;")=0,"",SUMIFS(BD!$I$3:$I$5001,BD!$A$3:$A$5001,AI$3,BD!$B$3:$B$5001,$A$491)))</f>
        <v/>
      </c>
      <c r="AJ497" s="204" t="str">
        <f>IF(AJ$3="","",IF(COUNTIFS(BD!$A$3:$A$5001,AJ$3,BD!$B$3:$B$5001,$A$491,BD!$I$3:$I$5001,"&lt;&gt;")=0,"",SUMIFS(BD!$I$3:$I$5001,BD!$A$3:$A$5001,AJ$3,BD!$B$3:$B$5001,$A$491)))</f>
        <v/>
      </c>
      <c r="AK497" s="205" t="str">
        <f>IF(COUNT(F497:AJ497)=0,"",SUM(F497:AJ497))</f>
        <v/>
      </c>
    </row>
    <row r="498" ht="15.75" customHeight="1" hidden="1">
      <c r="A498" s="277"/>
      <c r="B498" s="268"/>
      <c r="C498" s="199" t="inlineStr">
        <is>
          <t xml:space="preserve">Toneladas Movimentadas</t>
        </is>
      </c>
      <c r="D498" s="200" t="str">
        <f>IFERROR(1/(1/INDEX(BD!$AF$30:$AZ$30,MATCH($A$491,BD!$AF$22:$AZ$22,0))),"")</f>
        <v/>
      </c>
      <c r="E498" s="201"/>
      <c r="F498" s="206" t="str">
        <f>IF(F$3="","",IF(COUNTIFS(BD!$A$3:$A$5001,F$3,BD!$B$3:$B$5001,$A$491,BD!$J$3:$J$5001,"&lt;&gt;")=0,"",SUMIFS(BD!$J$3:$J$5001,BD!$A$3:$A$5001,F$3,BD!$B$3:$B$5001,$A$491)))</f>
        <v/>
      </c>
      <c r="G498" s="207" t="str">
        <f>IF(G$3="","",IF(COUNTIFS(BD!$A$3:$A$5001,G$3,BD!$B$3:$B$5001,$A$491,BD!$J$3:$J$5001,"&lt;&gt;")=0,"",SUMIFS(BD!$J$3:$J$5001,BD!$A$3:$A$5001,G$3,BD!$B$3:$B$5001,$A$491)))</f>
        <v/>
      </c>
      <c r="H498" s="207" t="str">
        <f>IF(H$3="","",IF(COUNTIFS(BD!$A$3:$A$5001,H$3,BD!$B$3:$B$5001,$A$491,BD!$J$3:$J$5001,"&lt;&gt;")=0,"",SUMIFS(BD!$J$3:$J$5001,BD!$A$3:$A$5001,H$3,BD!$B$3:$B$5001,$A$491)))</f>
        <v/>
      </c>
      <c r="I498" s="207" t="str">
        <f>IF(I$3="","",IF(COUNTIFS(BD!$A$3:$A$5001,I$3,BD!$B$3:$B$5001,$A$491,BD!$J$3:$J$5001,"&lt;&gt;")=0,"",SUMIFS(BD!$J$3:$J$5001,BD!$A$3:$A$5001,I$3,BD!$B$3:$B$5001,$A$491)))</f>
        <v/>
      </c>
      <c r="J498" s="207" t="str">
        <f>IF(J$3="","",IF(COUNTIFS(BD!$A$3:$A$5001,J$3,BD!$B$3:$B$5001,$A$491,BD!$J$3:$J$5001,"&lt;&gt;")=0,"",SUMIFS(BD!$J$3:$J$5001,BD!$A$3:$A$5001,J$3,BD!$B$3:$B$5001,$A$491)))</f>
        <v/>
      </c>
      <c r="K498" s="207" t="str">
        <f>IF(K$3="","",IF(COUNTIFS(BD!$A$3:$A$5001,K$3,BD!$B$3:$B$5001,$A$491,BD!$J$3:$J$5001,"&lt;&gt;")=0,"",SUMIFS(BD!$J$3:$J$5001,BD!$A$3:$A$5001,K$3,BD!$B$3:$B$5001,$A$491)))</f>
        <v/>
      </c>
      <c r="L498" s="207" t="str">
        <f>IF(L$3="","",IF(COUNTIFS(BD!$A$3:$A$5001,L$3,BD!$B$3:$B$5001,$A$491,BD!$J$3:$J$5001,"&lt;&gt;")=0,"",SUMIFS(BD!$J$3:$J$5001,BD!$A$3:$A$5001,L$3,BD!$B$3:$B$5001,$A$491)))</f>
        <v/>
      </c>
      <c r="M498" s="207" t="str">
        <f>IF(M$3="","",IF(COUNTIFS(BD!$A$3:$A$5001,M$3,BD!$B$3:$B$5001,$A$491,BD!$J$3:$J$5001,"&lt;&gt;")=0,"",SUMIFS(BD!$J$3:$J$5001,BD!$A$3:$A$5001,M$3,BD!$B$3:$B$5001,$A$491)))</f>
        <v/>
      </c>
      <c r="N498" s="207" t="str">
        <f>IF(N$3="","",IF(COUNTIFS(BD!$A$3:$A$5001,N$3,BD!$B$3:$B$5001,$A$491,BD!$J$3:$J$5001,"&lt;&gt;")=0,"",SUMIFS(BD!$J$3:$J$5001,BD!$A$3:$A$5001,N$3,BD!$B$3:$B$5001,$A$491)))</f>
        <v/>
      </c>
      <c r="O498" s="207" t="str">
        <f>IF(O$3="","",IF(COUNTIFS(BD!$A$3:$A$5001,O$3,BD!$B$3:$B$5001,$A$491,BD!$J$3:$J$5001,"&lt;&gt;")=0,"",SUMIFS(BD!$J$3:$J$5001,BD!$A$3:$A$5001,O$3,BD!$B$3:$B$5001,$A$491)))</f>
        <v/>
      </c>
      <c r="P498" s="207" t="str">
        <f>IF(P$3="","",IF(COUNTIFS(BD!$A$3:$A$5001,P$3,BD!$B$3:$B$5001,$A$491,BD!$J$3:$J$5001,"&lt;&gt;")=0,"",SUMIFS(BD!$J$3:$J$5001,BD!$A$3:$A$5001,P$3,BD!$B$3:$B$5001,$A$491)))</f>
        <v/>
      </c>
      <c r="Q498" s="207" t="str">
        <f>IF(Q$3="","",IF(COUNTIFS(BD!$A$3:$A$5001,Q$3,BD!$B$3:$B$5001,$A$491,BD!$J$3:$J$5001,"&lt;&gt;")=0,"",SUMIFS(BD!$J$3:$J$5001,BD!$A$3:$A$5001,Q$3,BD!$B$3:$B$5001,$A$491)))</f>
        <v/>
      </c>
      <c r="R498" s="207" t="str">
        <f>IF(R$3="","",IF(COUNTIFS(BD!$A$3:$A$5001,R$3,BD!$B$3:$B$5001,$A$491,BD!$J$3:$J$5001,"&lt;&gt;")=0,"",SUMIFS(BD!$J$3:$J$5001,BD!$A$3:$A$5001,R$3,BD!$B$3:$B$5001,$A$491)))</f>
        <v/>
      </c>
      <c r="S498" s="207" t="str">
        <f>IF(S$3="","",IF(COUNTIFS(BD!$A$3:$A$5001,S$3,BD!$B$3:$B$5001,$A$491,BD!$J$3:$J$5001,"&lt;&gt;")=0,"",SUMIFS(BD!$J$3:$J$5001,BD!$A$3:$A$5001,S$3,BD!$B$3:$B$5001,$A$491)))</f>
        <v/>
      </c>
      <c r="T498" s="207" t="str">
        <f>IF(T$3="","",IF(COUNTIFS(BD!$A$3:$A$5001,T$3,BD!$B$3:$B$5001,$A$491,BD!$J$3:$J$5001,"&lt;&gt;")=0,"",SUMIFS(BD!$J$3:$J$5001,BD!$A$3:$A$5001,T$3,BD!$B$3:$B$5001,$A$491)))</f>
        <v/>
      </c>
      <c r="U498" s="207" t="str">
        <f>IF(U$3="","",IF(COUNTIFS(BD!$A$3:$A$5001,U$3,BD!$B$3:$B$5001,$A$491,BD!$J$3:$J$5001,"&lt;&gt;")=0,"",SUMIFS(BD!$J$3:$J$5001,BD!$A$3:$A$5001,U$3,BD!$B$3:$B$5001,$A$491)))</f>
        <v/>
      </c>
      <c r="V498" s="207" t="str">
        <f>IF(V$3="","",IF(COUNTIFS(BD!$A$3:$A$5001,V$3,BD!$B$3:$B$5001,$A$491,BD!$J$3:$J$5001,"&lt;&gt;")=0,"",SUMIFS(BD!$J$3:$J$5001,BD!$A$3:$A$5001,V$3,BD!$B$3:$B$5001,$A$491)))</f>
        <v/>
      </c>
      <c r="W498" s="207" t="str">
        <f>IF(W$3="","",IF(COUNTIFS(BD!$A$3:$A$5001,W$3,BD!$B$3:$B$5001,$A$491,BD!$J$3:$J$5001,"&lt;&gt;")=0,"",SUMIFS(BD!$J$3:$J$5001,BD!$A$3:$A$5001,W$3,BD!$B$3:$B$5001,$A$491)))</f>
        <v/>
      </c>
      <c r="X498" s="207" t="str">
        <f>IF(X$3="","",IF(COUNTIFS(BD!$A$3:$A$5001,X$3,BD!$B$3:$B$5001,$A$491,BD!$J$3:$J$5001,"&lt;&gt;")=0,"",SUMIFS(BD!$J$3:$J$5001,BD!$A$3:$A$5001,X$3,BD!$B$3:$B$5001,$A$491)))</f>
        <v/>
      </c>
      <c r="Y498" s="207" t="str">
        <f>IF(Y$3="","",IF(COUNTIFS(BD!$A$3:$A$5001,Y$3,BD!$B$3:$B$5001,$A$491,BD!$J$3:$J$5001,"&lt;&gt;")=0,"",SUMIFS(BD!$J$3:$J$5001,BD!$A$3:$A$5001,Y$3,BD!$B$3:$B$5001,$A$491)))</f>
        <v/>
      </c>
      <c r="Z498" s="207" t="str">
        <f>IF(Z$3="","",IF(COUNTIFS(BD!$A$3:$A$5001,Z$3,BD!$B$3:$B$5001,$A$491,BD!$J$3:$J$5001,"&lt;&gt;")=0,"",SUMIFS(BD!$J$3:$J$5001,BD!$A$3:$A$5001,Z$3,BD!$B$3:$B$5001,$A$491)))</f>
        <v/>
      </c>
      <c r="AA498" s="207" t="str">
        <f>IF(AA$3="","",IF(COUNTIFS(BD!$A$3:$A$5001,AA$3,BD!$B$3:$B$5001,$A$491,BD!$J$3:$J$5001,"&lt;&gt;")=0,"",SUMIFS(BD!$J$3:$J$5001,BD!$A$3:$A$5001,AA$3,BD!$B$3:$B$5001,$A$491)))</f>
        <v/>
      </c>
      <c r="AB498" s="207" t="str">
        <f>IF(AB$3="","",IF(COUNTIFS(BD!$A$3:$A$5001,AB$3,BD!$B$3:$B$5001,$A$491,BD!$J$3:$J$5001,"&lt;&gt;")=0,"",SUMIFS(BD!$J$3:$J$5001,BD!$A$3:$A$5001,AB$3,BD!$B$3:$B$5001,$A$491)))</f>
        <v/>
      </c>
      <c r="AC498" s="207" t="str">
        <f>IF(AC$3="","",IF(COUNTIFS(BD!$A$3:$A$5001,AC$3,BD!$B$3:$B$5001,$A$491,BD!$J$3:$J$5001,"&lt;&gt;")=0,"",SUMIFS(BD!$J$3:$J$5001,BD!$A$3:$A$5001,AC$3,BD!$B$3:$B$5001,$A$491)))</f>
        <v/>
      </c>
      <c r="AD498" s="207" t="str">
        <f>IF(AD$3="","",IF(COUNTIFS(BD!$A$3:$A$5001,AD$3,BD!$B$3:$B$5001,$A$491,BD!$J$3:$J$5001,"&lt;&gt;")=0,"",SUMIFS(BD!$J$3:$J$5001,BD!$A$3:$A$5001,AD$3,BD!$B$3:$B$5001,$A$491)))</f>
        <v/>
      </c>
      <c r="AE498" s="207" t="str">
        <f>IF(AE$3="","",IF(COUNTIFS(BD!$A$3:$A$5001,AE$3,BD!$B$3:$B$5001,$A$491,BD!$J$3:$J$5001,"&lt;&gt;")=0,"",SUMIFS(BD!$J$3:$J$5001,BD!$A$3:$A$5001,AE$3,BD!$B$3:$B$5001,$A$491)))</f>
        <v/>
      </c>
      <c r="AF498" s="207" t="str">
        <f>IF(AF$3="","",IF(COUNTIFS(BD!$A$3:$A$5001,AF$3,BD!$B$3:$B$5001,$A$491,BD!$J$3:$J$5001,"&lt;&gt;")=0,"",SUMIFS(BD!$J$3:$J$5001,BD!$A$3:$A$5001,AF$3,BD!$B$3:$B$5001,$A$491)))</f>
        <v/>
      </c>
      <c r="AG498" s="207" t="str">
        <f>IF(AG$3="","",IF(COUNTIFS(BD!$A$3:$A$5001,AG$3,BD!$B$3:$B$5001,$A$491,BD!$J$3:$J$5001,"&lt;&gt;")=0,"",SUMIFS(BD!$J$3:$J$5001,BD!$A$3:$A$5001,AG$3,BD!$B$3:$B$5001,$A$491)))</f>
        <v/>
      </c>
      <c r="AH498" s="207" t="str">
        <f>IF(AH$3="","",IF(COUNTIFS(BD!$A$3:$A$5001,AH$3,BD!$B$3:$B$5001,$A$491,BD!$J$3:$J$5001,"&lt;&gt;")=0,"",SUMIFS(BD!$J$3:$J$5001,BD!$A$3:$A$5001,AH$3,BD!$B$3:$B$5001,$A$491)))</f>
        <v/>
      </c>
      <c r="AI498" s="207" t="str">
        <f>IF(AI$3="","",IF(COUNTIFS(BD!$A$3:$A$5001,AI$3,BD!$B$3:$B$5001,$A$491,BD!$J$3:$J$5001,"&lt;&gt;")=0,"",SUMIFS(BD!$J$3:$J$5001,BD!$A$3:$A$5001,AI$3,BD!$B$3:$B$5001,$A$491)))</f>
        <v/>
      </c>
      <c r="AJ498" s="208" t="str">
        <f>IF(AJ$3="","",IF(COUNTIFS(BD!$A$3:$A$5001,AJ$3,BD!$B$3:$B$5001,$A$491,BD!$J$3:$J$5001,"&lt;&gt;")=0,"",SUMIFS(BD!$J$3:$J$5001,BD!$A$3:$A$5001,AJ$3,BD!$B$3:$B$5001,$A$491)))</f>
        <v/>
      </c>
      <c r="AK498" s="209" t="str">
        <f>IF(COUNT(F498:AJ498)=0,"",SUM(F498:AJ498))</f>
        <v/>
      </c>
    </row>
    <row r="499" ht="15.75" customHeight="1" hidden="1">
      <c r="A499" s="277"/>
      <c r="B499" s="268"/>
      <c r="C499" s="199" t="inlineStr">
        <is>
          <t xml:space="preserve">Caixas Expedidas</t>
        </is>
      </c>
      <c r="D499" s="200" t="str">
        <f>IFERROR(1/(1/INDEX(BD!$AF$31:$AZ$31,MATCH($A$491,BD!$AF$22:$AZ$22,0))),"")</f>
        <v/>
      </c>
      <c r="E499" s="201"/>
      <c r="F499" s="202" t="str">
        <f>IF(F$3="","",IF(COUNTIFS(BD!$A$3:$A$5001,F$3,BD!$B$3:$B$5001,$A$491,BD!$K$3:$K$5001,"&lt;&gt;")=0,"",SUMIFS(BD!$K$3:$K$5001,BD!$A$3:$A$5001,F$3,BD!$B$3:$B$5001,$A$491)))</f>
        <v/>
      </c>
      <c r="G499" s="203" t="str">
        <f>IF(G$3="","",IF(COUNTIFS(BD!$A$3:$A$5001,G$3,BD!$B$3:$B$5001,$A$491,BD!$K$3:$K$5001,"&lt;&gt;")=0,"",SUMIFS(BD!$K$3:$K$5001,BD!$A$3:$A$5001,G$3,BD!$B$3:$B$5001,$A$491)))</f>
        <v/>
      </c>
      <c r="H499" s="203" t="str">
        <f>IF(H$3="","",IF(COUNTIFS(BD!$A$3:$A$5001,H$3,BD!$B$3:$B$5001,$A$491,BD!$K$3:$K$5001,"&lt;&gt;")=0,"",SUMIFS(BD!$K$3:$K$5001,BD!$A$3:$A$5001,H$3,BD!$B$3:$B$5001,$A$491)))</f>
        <v/>
      </c>
      <c r="I499" s="203" t="str">
        <f>IF(I$3="","",IF(COUNTIFS(BD!$A$3:$A$5001,I$3,BD!$B$3:$B$5001,$A$491,BD!$K$3:$K$5001,"&lt;&gt;")=0,"",SUMIFS(BD!$K$3:$K$5001,BD!$A$3:$A$5001,I$3,BD!$B$3:$B$5001,$A$491)))</f>
        <v/>
      </c>
      <c r="J499" s="203" t="str">
        <f>IF(J$3="","",IF(COUNTIFS(BD!$A$3:$A$5001,J$3,BD!$B$3:$B$5001,$A$491,BD!$K$3:$K$5001,"&lt;&gt;")=0,"",SUMIFS(BD!$K$3:$K$5001,BD!$A$3:$A$5001,J$3,BD!$B$3:$B$5001,$A$491)))</f>
        <v/>
      </c>
      <c r="K499" s="203" t="str">
        <f>IF(K$3="","",IF(COUNTIFS(BD!$A$3:$A$5001,K$3,BD!$B$3:$B$5001,$A$491,BD!$K$3:$K$5001,"&lt;&gt;")=0,"",SUMIFS(BD!$K$3:$K$5001,BD!$A$3:$A$5001,K$3,BD!$B$3:$B$5001,$A$491)))</f>
        <v/>
      </c>
      <c r="L499" s="203" t="str">
        <f>IF(L$3="","",IF(COUNTIFS(BD!$A$3:$A$5001,L$3,BD!$B$3:$B$5001,$A$491,BD!$K$3:$K$5001,"&lt;&gt;")=0,"",SUMIFS(BD!$K$3:$K$5001,BD!$A$3:$A$5001,L$3,BD!$B$3:$B$5001,$A$491)))</f>
        <v/>
      </c>
      <c r="M499" s="203" t="str">
        <f>IF(M$3="","",IF(COUNTIFS(BD!$A$3:$A$5001,M$3,BD!$B$3:$B$5001,$A$491,BD!$K$3:$K$5001,"&lt;&gt;")=0,"",SUMIFS(BD!$K$3:$K$5001,BD!$A$3:$A$5001,M$3,BD!$B$3:$B$5001,$A$491)))</f>
        <v/>
      </c>
      <c r="N499" s="203" t="str">
        <f>IF(N$3="","",IF(COUNTIFS(BD!$A$3:$A$5001,N$3,BD!$B$3:$B$5001,$A$491,BD!$K$3:$K$5001,"&lt;&gt;")=0,"",SUMIFS(BD!$K$3:$K$5001,BD!$A$3:$A$5001,N$3,BD!$B$3:$B$5001,$A$491)))</f>
        <v/>
      </c>
      <c r="O499" s="203" t="str">
        <f>IF(O$3="","",IF(COUNTIFS(BD!$A$3:$A$5001,O$3,BD!$B$3:$B$5001,$A$491,BD!$K$3:$K$5001,"&lt;&gt;")=0,"",SUMIFS(BD!$K$3:$K$5001,BD!$A$3:$A$5001,O$3,BD!$B$3:$B$5001,$A$491)))</f>
        <v/>
      </c>
      <c r="P499" s="203" t="str">
        <f>IF(P$3="","",IF(COUNTIFS(BD!$A$3:$A$5001,P$3,BD!$B$3:$B$5001,$A$491,BD!$K$3:$K$5001,"&lt;&gt;")=0,"",SUMIFS(BD!$K$3:$K$5001,BD!$A$3:$A$5001,P$3,BD!$B$3:$B$5001,$A$491)))</f>
        <v/>
      </c>
      <c r="Q499" s="203" t="str">
        <f>IF(Q$3="","",IF(COUNTIFS(BD!$A$3:$A$5001,Q$3,BD!$B$3:$B$5001,$A$491,BD!$K$3:$K$5001,"&lt;&gt;")=0,"",SUMIFS(BD!$K$3:$K$5001,BD!$A$3:$A$5001,Q$3,BD!$B$3:$B$5001,$A$491)))</f>
        <v/>
      </c>
      <c r="R499" s="203" t="str">
        <f>IF(R$3="","",IF(COUNTIFS(BD!$A$3:$A$5001,R$3,BD!$B$3:$B$5001,$A$491,BD!$K$3:$K$5001,"&lt;&gt;")=0,"",SUMIFS(BD!$K$3:$K$5001,BD!$A$3:$A$5001,R$3,BD!$B$3:$B$5001,$A$491)))</f>
        <v/>
      </c>
      <c r="S499" s="203" t="str">
        <f>IF(S$3="","",IF(COUNTIFS(BD!$A$3:$A$5001,S$3,BD!$B$3:$B$5001,$A$491,BD!$K$3:$K$5001,"&lt;&gt;")=0,"",SUMIFS(BD!$K$3:$K$5001,BD!$A$3:$A$5001,S$3,BD!$B$3:$B$5001,$A$491)))</f>
        <v/>
      </c>
      <c r="T499" s="203" t="str">
        <f>IF(T$3="","",IF(COUNTIFS(BD!$A$3:$A$5001,T$3,BD!$B$3:$B$5001,$A$491,BD!$K$3:$K$5001,"&lt;&gt;")=0,"",SUMIFS(BD!$K$3:$K$5001,BD!$A$3:$A$5001,T$3,BD!$B$3:$B$5001,$A$491)))</f>
        <v/>
      </c>
      <c r="U499" s="203" t="str">
        <f>IF(U$3="","",IF(COUNTIFS(BD!$A$3:$A$5001,U$3,BD!$B$3:$B$5001,$A$491,BD!$K$3:$K$5001,"&lt;&gt;")=0,"",SUMIFS(BD!$K$3:$K$5001,BD!$A$3:$A$5001,U$3,BD!$B$3:$B$5001,$A$491)))</f>
        <v/>
      </c>
      <c r="V499" s="203" t="str">
        <f>IF(V$3="","",IF(COUNTIFS(BD!$A$3:$A$5001,V$3,BD!$B$3:$B$5001,$A$491,BD!$K$3:$K$5001,"&lt;&gt;")=0,"",SUMIFS(BD!$K$3:$K$5001,BD!$A$3:$A$5001,V$3,BD!$B$3:$B$5001,$A$491)))</f>
        <v/>
      </c>
      <c r="W499" s="203" t="str">
        <f>IF(W$3="","",IF(COUNTIFS(BD!$A$3:$A$5001,W$3,BD!$B$3:$B$5001,$A$491,BD!$K$3:$K$5001,"&lt;&gt;")=0,"",SUMIFS(BD!$K$3:$K$5001,BD!$A$3:$A$5001,W$3,BD!$B$3:$B$5001,$A$491)))</f>
        <v/>
      </c>
      <c r="X499" s="203" t="str">
        <f>IF(X$3="","",IF(COUNTIFS(BD!$A$3:$A$5001,X$3,BD!$B$3:$B$5001,$A$491,BD!$K$3:$K$5001,"&lt;&gt;")=0,"",SUMIFS(BD!$K$3:$K$5001,BD!$A$3:$A$5001,X$3,BD!$B$3:$B$5001,$A$491)))</f>
        <v/>
      </c>
      <c r="Y499" s="203" t="str">
        <f>IF(Y$3="","",IF(COUNTIFS(BD!$A$3:$A$5001,Y$3,BD!$B$3:$B$5001,$A$491,BD!$K$3:$K$5001,"&lt;&gt;")=0,"",SUMIFS(BD!$K$3:$K$5001,BD!$A$3:$A$5001,Y$3,BD!$B$3:$B$5001,$A$491)))</f>
        <v/>
      </c>
      <c r="Z499" s="203" t="str">
        <f>IF(Z$3="","",IF(COUNTIFS(BD!$A$3:$A$5001,Z$3,BD!$B$3:$B$5001,$A$491,BD!$K$3:$K$5001,"&lt;&gt;")=0,"",SUMIFS(BD!$K$3:$K$5001,BD!$A$3:$A$5001,Z$3,BD!$B$3:$B$5001,$A$491)))</f>
        <v/>
      </c>
      <c r="AA499" s="203" t="str">
        <f>IF(AA$3="","",IF(COUNTIFS(BD!$A$3:$A$5001,AA$3,BD!$B$3:$B$5001,$A$491,BD!$K$3:$K$5001,"&lt;&gt;")=0,"",SUMIFS(BD!$K$3:$K$5001,BD!$A$3:$A$5001,AA$3,BD!$B$3:$B$5001,$A$491)))</f>
        <v/>
      </c>
      <c r="AB499" s="203" t="str">
        <f>IF(AB$3="","",IF(COUNTIFS(BD!$A$3:$A$5001,AB$3,BD!$B$3:$B$5001,$A$491,BD!$K$3:$K$5001,"&lt;&gt;")=0,"",SUMIFS(BD!$K$3:$K$5001,BD!$A$3:$A$5001,AB$3,BD!$B$3:$B$5001,$A$491)))</f>
        <v/>
      </c>
      <c r="AC499" s="203" t="str">
        <f>IF(AC$3="","",IF(COUNTIFS(BD!$A$3:$A$5001,AC$3,BD!$B$3:$B$5001,$A$491,BD!$K$3:$K$5001,"&lt;&gt;")=0,"",SUMIFS(BD!$K$3:$K$5001,BD!$A$3:$A$5001,AC$3,BD!$B$3:$B$5001,$A$491)))</f>
        <v/>
      </c>
      <c r="AD499" s="203" t="str">
        <f>IF(AD$3="","",IF(COUNTIFS(BD!$A$3:$A$5001,AD$3,BD!$B$3:$B$5001,$A$491,BD!$K$3:$K$5001,"&lt;&gt;")=0,"",SUMIFS(BD!$K$3:$K$5001,BD!$A$3:$A$5001,AD$3,BD!$B$3:$B$5001,$A$491)))</f>
        <v/>
      </c>
      <c r="AE499" s="203" t="str">
        <f>IF(AE$3="","",IF(COUNTIFS(BD!$A$3:$A$5001,AE$3,BD!$B$3:$B$5001,$A$491,BD!$K$3:$K$5001,"&lt;&gt;")=0,"",SUMIFS(BD!$K$3:$K$5001,BD!$A$3:$A$5001,AE$3,BD!$B$3:$B$5001,$A$491)))</f>
        <v/>
      </c>
      <c r="AF499" s="203" t="str">
        <f>IF(AF$3="","",IF(COUNTIFS(BD!$A$3:$A$5001,AF$3,BD!$B$3:$B$5001,$A$491,BD!$K$3:$K$5001,"&lt;&gt;")=0,"",SUMIFS(BD!$K$3:$K$5001,BD!$A$3:$A$5001,AF$3,BD!$B$3:$B$5001,$A$491)))</f>
        <v/>
      </c>
      <c r="AG499" s="203" t="str">
        <f>IF(AG$3="","",IF(COUNTIFS(BD!$A$3:$A$5001,AG$3,BD!$B$3:$B$5001,$A$491,BD!$K$3:$K$5001,"&lt;&gt;")=0,"",SUMIFS(BD!$K$3:$K$5001,BD!$A$3:$A$5001,AG$3,BD!$B$3:$B$5001,$A$491)))</f>
        <v/>
      </c>
      <c r="AH499" s="203" t="str">
        <f>IF(AH$3="","",IF(COUNTIFS(BD!$A$3:$A$5001,AH$3,BD!$B$3:$B$5001,$A$491,BD!$K$3:$K$5001,"&lt;&gt;")=0,"",SUMIFS(BD!$K$3:$K$5001,BD!$A$3:$A$5001,AH$3,BD!$B$3:$B$5001,$A$491)))</f>
        <v/>
      </c>
      <c r="AI499" s="203" t="str">
        <f>IF(AI$3="","",IF(COUNTIFS(BD!$A$3:$A$5001,AI$3,BD!$B$3:$B$5001,$A$491,BD!$K$3:$K$5001,"&lt;&gt;")=0,"",SUMIFS(BD!$K$3:$K$5001,BD!$A$3:$A$5001,AI$3,BD!$B$3:$B$5001,$A$491)))</f>
        <v/>
      </c>
      <c r="AJ499" s="204" t="str">
        <f>IF(AJ$3="","",IF(COUNTIFS(BD!$A$3:$A$5001,AJ$3,BD!$B$3:$B$5001,$A$491,BD!$K$3:$K$5001,"&lt;&gt;")=0,"",SUMIFS(BD!$K$3:$K$5001,BD!$A$3:$A$5001,AJ$3,BD!$B$3:$B$5001,$A$491)))</f>
        <v/>
      </c>
      <c r="AK499" s="205" t="str">
        <f>IF(COUNT(F499:AJ499)=0,"",SUM(F499:AJ499))</f>
        <v/>
      </c>
    </row>
    <row r="500" ht="15.75" customHeight="1" hidden="1">
      <c r="A500" s="277"/>
      <c r="B500" s="268"/>
      <c r="C500" s="199" t="inlineStr">
        <is>
          <t xml:space="preserve">Pedidos Faturados</t>
        </is>
      </c>
      <c r="D500" s="200" t="str">
        <f>IFERROR(1/(1/INDEX(BD!$AF$32:$AZ$32,MATCH($A$491,BD!$AF$22:$AZ$22,0))),"")</f>
        <v/>
      </c>
      <c r="E500" s="201"/>
      <c r="F500" s="202" t="str">
        <f>IF(F$3="","",IF(COUNTIFS(BD!$A$3:$A$5001,F$3,BD!$B$3:$B$5001,$A$491,BD!$L$3:$L$5001,"&lt;&gt;")=0,"",SUMIFS(BD!$L$3:$L$5001,BD!$A$3:$A$5001,F$3,BD!$B$3:$B$5001,$A$491)))</f>
        <v/>
      </c>
      <c r="G500" s="203" t="str">
        <f>IF(G$3="","",IF(COUNTIFS(BD!$A$3:$A$5001,G$3,BD!$B$3:$B$5001,$A$491,BD!$L$3:$L$5001,"&lt;&gt;")=0,"",SUMIFS(BD!$L$3:$L$5001,BD!$A$3:$A$5001,G$3,BD!$B$3:$B$5001,$A$491)))</f>
        <v/>
      </c>
      <c r="H500" s="203" t="str">
        <f>IF(H$3="","",IF(COUNTIFS(BD!$A$3:$A$5001,H$3,BD!$B$3:$B$5001,$A$491,BD!$L$3:$L$5001,"&lt;&gt;")=0,"",SUMIFS(BD!$L$3:$L$5001,BD!$A$3:$A$5001,H$3,BD!$B$3:$B$5001,$A$491)))</f>
        <v/>
      </c>
      <c r="I500" s="203" t="str">
        <f>IF(I$3="","",IF(COUNTIFS(BD!$A$3:$A$5001,I$3,BD!$B$3:$B$5001,$A$491,BD!$L$3:$L$5001,"&lt;&gt;")=0,"",SUMIFS(BD!$L$3:$L$5001,BD!$A$3:$A$5001,I$3,BD!$B$3:$B$5001,$A$491)))</f>
        <v/>
      </c>
      <c r="J500" s="203" t="str">
        <f>IF(J$3="","",IF(COUNTIFS(BD!$A$3:$A$5001,J$3,BD!$B$3:$B$5001,$A$491,BD!$L$3:$L$5001,"&lt;&gt;")=0,"",SUMIFS(BD!$L$3:$L$5001,BD!$A$3:$A$5001,J$3,BD!$B$3:$B$5001,$A$491)))</f>
        <v/>
      </c>
      <c r="K500" s="203" t="str">
        <f>IF(K$3="","",IF(COUNTIFS(BD!$A$3:$A$5001,K$3,BD!$B$3:$B$5001,$A$491,BD!$L$3:$L$5001,"&lt;&gt;")=0,"",SUMIFS(BD!$L$3:$L$5001,BD!$A$3:$A$5001,K$3,BD!$B$3:$B$5001,$A$491)))</f>
        <v/>
      </c>
      <c r="L500" s="203" t="str">
        <f>IF(L$3="","",IF(COUNTIFS(BD!$A$3:$A$5001,L$3,BD!$B$3:$B$5001,$A$491,BD!$L$3:$L$5001,"&lt;&gt;")=0,"",SUMIFS(BD!$L$3:$L$5001,BD!$A$3:$A$5001,L$3,BD!$B$3:$B$5001,$A$491)))</f>
        <v/>
      </c>
      <c r="M500" s="203" t="str">
        <f>IF(M$3="","",IF(COUNTIFS(BD!$A$3:$A$5001,M$3,BD!$B$3:$B$5001,$A$491,BD!$L$3:$L$5001,"&lt;&gt;")=0,"",SUMIFS(BD!$L$3:$L$5001,BD!$A$3:$A$5001,M$3,BD!$B$3:$B$5001,$A$491)))</f>
        <v/>
      </c>
      <c r="N500" s="203" t="str">
        <f>IF(N$3="","",IF(COUNTIFS(BD!$A$3:$A$5001,N$3,BD!$B$3:$B$5001,$A$491,BD!$L$3:$L$5001,"&lt;&gt;")=0,"",SUMIFS(BD!$L$3:$L$5001,BD!$A$3:$A$5001,N$3,BD!$B$3:$B$5001,$A$491)))</f>
        <v/>
      </c>
      <c r="O500" s="203" t="str">
        <f>IF(O$3="","",IF(COUNTIFS(BD!$A$3:$A$5001,O$3,BD!$B$3:$B$5001,$A$491,BD!$L$3:$L$5001,"&lt;&gt;")=0,"",SUMIFS(BD!$L$3:$L$5001,BD!$A$3:$A$5001,O$3,BD!$B$3:$B$5001,$A$491)))</f>
        <v/>
      </c>
      <c r="P500" s="203" t="str">
        <f>IF(P$3="","",IF(COUNTIFS(BD!$A$3:$A$5001,P$3,BD!$B$3:$B$5001,$A$491,BD!$L$3:$L$5001,"&lt;&gt;")=0,"",SUMIFS(BD!$L$3:$L$5001,BD!$A$3:$A$5001,P$3,BD!$B$3:$B$5001,$A$491)))</f>
        <v/>
      </c>
      <c r="Q500" s="203" t="str">
        <f>IF(Q$3="","",IF(COUNTIFS(BD!$A$3:$A$5001,Q$3,BD!$B$3:$B$5001,$A$491,BD!$L$3:$L$5001,"&lt;&gt;")=0,"",SUMIFS(BD!$L$3:$L$5001,BD!$A$3:$A$5001,Q$3,BD!$B$3:$B$5001,$A$491)))</f>
        <v/>
      </c>
      <c r="R500" s="203" t="str">
        <f>IF(R$3="","",IF(COUNTIFS(BD!$A$3:$A$5001,R$3,BD!$B$3:$B$5001,$A$491,BD!$L$3:$L$5001,"&lt;&gt;")=0,"",SUMIFS(BD!$L$3:$L$5001,BD!$A$3:$A$5001,R$3,BD!$B$3:$B$5001,$A$491)))</f>
        <v/>
      </c>
      <c r="S500" s="203" t="str">
        <f>IF(S$3="","",IF(COUNTIFS(BD!$A$3:$A$5001,S$3,BD!$B$3:$B$5001,$A$491,BD!$L$3:$L$5001,"&lt;&gt;")=0,"",SUMIFS(BD!$L$3:$L$5001,BD!$A$3:$A$5001,S$3,BD!$B$3:$B$5001,$A$491)))</f>
        <v/>
      </c>
      <c r="T500" s="203" t="str">
        <f>IF(T$3="","",IF(COUNTIFS(BD!$A$3:$A$5001,T$3,BD!$B$3:$B$5001,$A$491,BD!$L$3:$L$5001,"&lt;&gt;")=0,"",SUMIFS(BD!$L$3:$L$5001,BD!$A$3:$A$5001,T$3,BD!$B$3:$B$5001,$A$491)))</f>
        <v/>
      </c>
      <c r="U500" s="203" t="str">
        <f>IF(U$3="","",IF(COUNTIFS(BD!$A$3:$A$5001,U$3,BD!$B$3:$B$5001,$A$491,BD!$L$3:$L$5001,"&lt;&gt;")=0,"",SUMIFS(BD!$L$3:$L$5001,BD!$A$3:$A$5001,U$3,BD!$B$3:$B$5001,$A$491)))</f>
        <v/>
      </c>
      <c r="V500" s="203" t="str">
        <f>IF(V$3="","",IF(COUNTIFS(BD!$A$3:$A$5001,V$3,BD!$B$3:$B$5001,$A$491,BD!$L$3:$L$5001,"&lt;&gt;")=0,"",SUMIFS(BD!$L$3:$L$5001,BD!$A$3:$A$5001,V$3,BD!$B$3:$B$5001,$A$491)))</f>
        <v/>
      </c>
      <c r="W500" s="203" t="str">
        <f>IF(W$3="","",IF(COUNTIFS(BD!$A$3:$A$5001,W$3,BD!$B$3:$B$5001,$A$491,BD!$L$3:$L$5001,"&lt;&gt;")=0,"",SUMIFS(BD!$L$3:$L$5001,BD!$A$3:$A$5001,W$3,BD!$B$3:$B$5001,$A$491)))</f>
        <v/>
      </c>
      <c r="X500" s="203" t="str">
        <f>IF(X$3="","",IF(COUNTIFS(BD!$A$3:$A$5001,X$3,BD!$B$3:$B$5001,$A$491,BD!$L$3:$L$5001,"&lt;&gt;")=0,"",SUMIFS(BD!$L$3:$L$5001,BD!$A$3:$A$5001,X$3,BD!$B$3:$B$5001,$A$491)))</f>
        <v/>
      </c>
      <c r="Y500" s="203" t="str">
        <f>IF(Y$3="","",IF(COUNTIFS(BD!$A$3:$A$5001,Y$3,BD!$B$3:$B$5001,$A$491,BD!$L$3:$L$5001,"&lt;&gt;")=0,"",SUMIFS(BD!$L$3:$L$5001,BD!$A$3:$A$5001,Y$3,BD!$B$3:$B$5001,$A$491)))</f>
        <v/>
      </c>
      <c r="Z500" s="203" t="str">
        <f>IF(Z$3="","",IF(COUNTIFS(BD!$A$3:$A$5001,Z$3,BD!$B$3:$B$5001,$A$491,BD!$L$3:$L$5001,"&lt;&gt;")=0,"",SUMIFS(BD!$L$3:$L$5001,BD!$A$3:$A$5001,Z$3,BD!$B$3:$B$5001,$A$491)))</f>
        <v/>
      </c>
      <c r="AA500" s="203" t="str">
        <f>IF(AA$3="","",IF(COUNTIFS(BD!$A$3:$A$5001,AA$3,BD!$B$3:$B$5001,$A$491,BD!$L$3:$L$5001,"&lt;&gt;")=0,"",SUMIFS(BD!$L$3:$L$5001,BD!$A$3:$A$5001,AA$3,BD!$B$3:$B$5001,$A$491)))</f>
        <v/>
      </c>
      <c r="AB500" s="203" t="str">
        <f>IF(AB$3="","",IF(COUNTIFS(BD!$A$3:$A$5001,AB$3,BD!$B$3:$B$5001,$A$491,BD!$L$3:$L$5001,"&lt;&gt;")=0,"",SUMIFS(BD!$L$3:$L$5001,BD!$A$3:$A$5001,AB$3,BD!$B$3:$B$5001,$A$491)))</f>
        <v/>
      </c>
      <c r="AC500" s="203" t="str">
        <f>IF(AC$3="","",IF(COUNTIFS(BD!$A$3:$A$5001,AC$3,BD!$B$3:$B$5001,$A$491,BD!$L$3:$L$5001,"&lt;&gt;")=0,"",SUMIFS(BD!$L$3:$L$5001,BD!$A$3:$A$5001,AC$3,BD!$B$3:$B$5001,$A$491)))</f>
        <v/>
      </c>
      <c r="AD500" s="203" t="str">
        <f>IF(AD$3="","",IF(COUNTIFS(BD!$A$3:$A$5001,AD$3,BD!$B$3:$B$5001,$A$491,BD!$L$3:$L$5001,"&lt;&gt;")=0,"",SUMIFS(BD!$L$3:$L$5001,BD!$A$3:$A$5001,AD$3,BD!$B$3:$B$5001,$A$491)))</f>
        <v/>
      </c>
      <c r="AE500" s="203" t="str">
        <f>IF(AE$3="","",IF(COUNTIFS(BD!$A$3:$A$5001,AE$3,BD!$B$3:$B$5001,$A$491,BD!$L$3:$L$5001,"&lt;&gt;")=0,"",SUMIFS(BD!$L$3:$L$5001,BD!$A$3:$A$5001,AE$3,BD!$B$3:$B$5001,$A$491)))</f>
        <v/>
      </c>
      <c r="AF500" s="203" t="str">
        <f>IF(AF$3="","",IF(COUNTIFS(BD!$A$3:$A$5001,AF$3,BD!$B$3:$B$5001,$A$491,BD!$L$3:$L$5001,"&lt;&gt;")=0,"",SUMIFS(BD!$L$3:$L$5001,BD!$A$3:$A$5001,AF$3,BD!$B$3:$B$5001,$A$491)))</f>
        <v/>
      </c>
      <c r="AG500" s="203" t="str">
        <f>IF(AG$3="","",IF(COUNTIFS(BD!$A$3:$A$5001,AG$3,BD!$B$3:$B$5001,$A$491,BD!$L$3:$L$5001,"&lt;&gt;")=0,"",SUMIFS(BD!$L$3:$L$5001,BD!$A$3:$A$5001,AG$3,BD!$B$3:$B$5001,$A$491)))</f>
        <v/>
      </c>
      <c r="AH500" s="203" t="str">
        <f>IF(AH$3="","",IF(COUNTIFS(BD!$A$3:$A$5001,AH$3,BD!$B$3:$B$5001,$A$491,BD!$L$3:$L$5001,"&lt;&gt;")=0,"",SUMIFS(BD!$L$3:$L$5001,BD!$A$3:$A$5001,AH$3,BD!$B$3:$B$5001,$A$491)))</f>
        <v/>
      </c>
      <c r="AI500" s="203" t="str">
        <f>IF(AI$3="","",IF(COUNTIFS(BD!$A$3:$A$5001,AI$3,BD!$B$3:$B$5001,$A$491,BD!$L$3:$L$5001,"&lt;&gt;")=0,"",SUMIFS(BD!$L$3:$L$5001,BD!$A$3:$A$5001,AI$3,BD!$B$3:$B$5001,$A$491)))</f>
        <v/>
      </c>
      <c r="AJ500" s="204" t="str">
        <f>IF(AJ$3="","",IF(COUNTIFS(BD!$A$3:$A$5001,AJ$3,BD!$B$3:$B$5001,$A$491,BD!$L$3:$L$5001,"&lt;&gt;")=0,"",SUMIFS(BD!$L$3:$L$5001,BD!$A$3:$A$5001,AJ$3,BD!$B$3:$B$5001,$A$491)))</f>
        <v/>
      </c>
      <c r="AK500" s="205" t="str">
        <f>IF(COUNT(F500:AJ500)=0,"",SUM(F500:AJ500))</f>
        <v/>
      </c>
    </row>
    <row r="501" ht="15.75" customHeight="1" hidden="1">
      <c r="A501" s="277"/>
      <c r="B501" s="269"/>
      <c r="C501" s="210" t="inlineStr">
        <is>
          <t xml:space="preserve">Bags Expedidos</t>
        </is>
      </c>
      <c r="D501" s="211" t="str">
        <f>IFERROR(1/(1/INDEX(BD!$AF$33:$AZ$33,MATCH($A$491,BD!$AF$22:$AZ$22,0))),"")</f>
        <v/>
      </c>
      <c r="E501" s="212"/>
      <c r="F501" s="213" t="str">
        <f>IF(F$3="","",IF(COUNTIFS(BD!$A$3:$A$5001,F$3,BD!$B$3:$B$5001,$A$491,BD!$M$3:$M$5001,"&lt;&gt;")=0,"",SUMIFS(BD!$M$3:$M$5001,BD!$A$3:$A$5001,F$3,BD!$B$3:$B$5001,$A$491)))</f>
        <v/>
      </c>
      <c r="G501" s="214" t="str">
        <f>IF(G$3="","",IF(COUNTIFS(BD!$A$3:$A$5001,G$3,BD!$B$3:$B$5001,$A$491,BD!$M$3:$M$5001,"&lt;&gt;")=0,"",SUMIFS(BD!$M$3:$M$5001,BD!$A$3:$A$5001,G$3,BD!$B$3:$B$5001,$A$491)))</f>
        <v/>
      </c>
      <c r="H501" s="214" t="str">
        <f>IF(H$3="","",IF(COUNTIFS(BD!$A$3:$A$5001,H$3,BD!$B$3:$B$5001,$A$491,BD!$M$3:$M$5001,"&lt;&gt;")=0,"",SUMIFS(BD!$M$3:$M$5001,BD!$A$3:$A$5001,H$3,BD!$B$3:$B$5001,$A$491)))</f>
        <v/>
      </c>
      <c r="I501" s="214" t="str">
        <f>IF(I$3="","",IF(COUNTIFS(BD!$A$3:$A$5001,I$3,BD!$B$3:$B$5001,$A$491,BD!$M$3:$M$5001,"&lt;&gt;")=0,"",SUMIFS(BD!$M$3:$M$5001,BD!$A$3:$A$5001,I$3,BD!$B$3:$B$5001,$A$491)))</f>
        <v/>
      </c>
      <c r="J501" s="214" t="str">
        <f>IF(J$3="","",IF(COUNTIFS(BD!$A$3:$A$5001,J$3,BD!$B$3:$B$5001,$A$491,BD!$M$3:$M$5001,"&lt;&gt;")=0,"",SUMIFS(BD!$M$3:$M$5001,BD!$A$3:$A$5001,J$3,BD!$B$3:$B$5001,$A$491)))</f>
        <v/>
      </c>
      <c r="K501" s="214" t="str">
        <f>IF(K$3="","",IF(COUNTIFS(BD!$A$3:$A$5001,K$3,BD!$B$3:$B$5001,$A$491,BD!$M$3:$M$5001,"&lt;&gt;")=0,"",SUMIFS(BD!$M$3:$M$5001,BD!$A$3:$A$5001,K$3,BD!$B$3:$B$5001,$A$491)))</f>
        <v/>
      </c>
      <c r="L501" s="214" t="str">
        <f>IF(L$3="","",IF(COUNTIFS(BD!$A$3:$A$5001,L$3,BD!$B$3:$B$5001,$A$491,BD!$M$3:$M$5001,"&lt;&gt;")=0,"",SUMIFS(BD!$M$3:$M$5001,BD!$A$3:$A$5001,L$3,BD!$B$3:$B$5001,$A$491)))</f>
        <v/>
      </c>
      <c r="M501" s="214" t="str">
        <f>IF(M$3="","",IF(COUNTIFS(BD!$A$3:$A$5001,M$3,BD!$B$3:$B$5001,$A$491,BD!$M$3:$M$5001,"&lt;&gt;")=0,"",SUMIFS(BD!$M$3:$M$5001,BD!$A$3:$A$5001,M$3,BD!$B$3:$B$5001,$A$491)))</f>
        <v/>
      </c>
      <c r="N501" s="214" t="str">
        <f>IF(N$3="","",IF(COUNTIFS(BD!$A$3:$A$5001,N$3,BD!$B$3:$B$5001,$A$491,BD!$M$3:$M$5001,"&lt;&gt;")=0,"",SUMIFS(BD!$M$3:$M$5001,BD!$A$3:$A$5001,N$3,BD!$B$3:$B$5001,$A$491)))</f>
        <v/>
      </c>
      <c r="O501" s="214" t="str">
        <f>IF(O$3="","",IF(COUNTIFS(BD!$A$3:$A$5001,O$3,BD!$B$3:$B$5001,$A$491,BD!$M$3:$M$5001,"&lt;&gt;")=0,"",SUMIFS(BD!$M$3:$M$5001,BD!$A$3:$A$5001,O$3,BD!$B$3:$B$5001,$A$491)))</f>
        <v/>
      </c>
      <c r="P501" s="214" t="str">
        <f>IF(P$3="","",IF(COUNTIFS(BD!$A$3:$A$5001,P$3,BD!$B$3:$B$5001,$A$491,BD!$M$3:$M$5001,"&lt;&gt;")=0,"",SUMIFS(BD!$M$3:$M$5001,BD!$A$3:$A$5001,P$3,BD!$B$3:$B$5001,$A$491)))</f>
        <v/>
      </c>
      <c r="Q501" s="214" t="str">
        <f>IF(Q$3="","",IF(COUNTIFS(BD!$A$3:$A$5001,Q$3,BD!$B$3:$B$5001,$A$491,BD!$M$3:$M$5001,"&lt;&gt;")=0,"",SUMIFS(BD!$M$3:$M$5001,BD!$A$3:$A$5001,Q$3,BD!$B$3:$B$5001,$A$491)))</f>
        <v/>
      </c>
      <c r="R501" s="214" t="str">
        <f>IF(R$3="","",IF(COUNTIFS(BD!$A$3:$A$5001,R$3,BD!$B$3:$B$5001,$A$491,BD!$M$3:$M$5001,"&lt;&gt;")=0,"",SUMIFS(BD!$M$3:$M$5001,BD!$A$3:$A$5001,R$3,BD!$B$3:$B$5001,$A$491)))</f>
        <v/>
      </c>
      <c r="S501" s="214" t="str">
        <f>IF(S$3="","",IF(COUNTIFS(BD!$A$3:$A$5001,S$3,BD!$B$3:$B$5001,$A$491,BD!$M$3:$M$5001,"&lt;&gt;")=0,"",SUMIFS(BD!$M$3:$M$5001,BD!$A$3:$A$5001,S$3,BD!$B$3:$B$5001,$A$491)))</f>
        <v/>
      </c>
      <c r="T501" s="214" t="str">
        <f>IF(T$3="","",IF(COUNTIFS(BD!$A$3:$A$5001,T$3,BD!$B$3:$B$5001,$A$491,BD!$M$3:$M$5001,"&lt;&gt;")=0,"",SUMIFS(BD!$M$3:$M$5001,BD!$A$3:$A$5001,T$3,BD!$B$3:$B$5001,$A$491)))</f>
        <v/>
      </c>
      <c r="U501" s="214" t="str">
        <f>IF(U$3="","",IF(COUNTIFS(BD!$A$3:$A$5001,U$3,BD!$B$3:$B$5001,$A$491,BD!$M$3:$M$5001,"&lt;&gt;")=0,"",SUMIFS(BD!$M$3:$M$5001,BD!$A$3:$A$5001,U$3,BD!$B$3:$B$5001,$A$491)))</f>
        <v/>
      </c>
      <c r="V501" s="214" t="str">
        <f>IF(V$3="","",IF(COUNTIFS(BD!$A$3:$A$5001,V$3,BD!$B$3:$B$5001,$A$491,BD!$M$3:$M$5001,"&lt;&gt;")=0,"",SUMIFS(BD!$M$3:$M$5001,BD!$A$3:$A$5001,V$3,BD!$B$3:$B$5001,$A$491)))</f>
        <v/>
      </c>
      <c r="W501" s="214" t="str">
        <f>IF(W$3="","",IF(COUNTIFS(BD!$A$3:$A$5001,W$3,BD!$B$3:$B$5001,$A$491,BD!$M$3:$M$5001,"&lt;&gt;")=0,"",SUMIFS(BD!$M$3:$M$5001,BD!$A$3:$A$5001,W$3,BD!$B$3:$B$5001,$A$491)))</f>
        <v/>
      </c>
      <c r="X501" s="214" t="str">
        <f>IF(X$3="","",IF(COUNTIFS(BD!$A$3:$A$5001,X$3,BD!$B$3:$B$5001,$A$491,BD!$M$3:$M$5001,"&lt;&gt;")=0,"",SUMIFS(BD!$M$3:$M$5001,BD!$A$3:$A$5001,X$3,BD!$B$3:$B$5001,$A$491)))</f>
        <v/>
      </c>
      <c r="Y501" s="214" t="str">
        <f>IF(Y$3="","",IF(COUNTIFS(BD!$A$3:$A$5001,Y$3,BD!$B$3:$B$5001,$A$491,BD!$M$3:$M$5001,"&lt;&gt;")=0,"",SUMIFS(BD!$M$3:$M$5001,BD!$A$3:$A$5001,Y$3,BD!$B$3:$B$5001,$A$491)))</f>
        <v/>
      </c>
      <c r="Z501" s="214" t="str">
        <f>IF(Z$3="","",IF(COUNTIFS(BD!$A$3:$A$5001,Z$3,BD!$B$3:$B$5001,$A$491,BD!$M$3:$M$5001,"&lt;&gt;")=0,"",SUMIFS(BD!$M$3:$M$5001,BD!$A$3:$A$5001,Z$3,BD!$B$3:$B$5001,$A$491)))</f>
        <v/>
      </c>
      <c r="AA501" s="214" t="str">
        <f>IF(AA$3="","",IF(COUNTIFS(BD!$A$3:$A$5001,AA$3,BD!$B$3:$B$5001,$A$491,BD!$M$3:$M$5001,"&lt;&gt;")=0,"",SUMIFS(BD!$M$3:$M$5001,BD!$A$3:$A$5001,AA$3,BD!$B$3:$B$5001,$A$491)))</f>
        <v/>
      </c>
      <c r="AB501" s="214" t="str">
        <f>IF(AB$3="","",IF(COUNTIFS(BD!$A$3:$A$5001,AB$3,BD!$B$3:$B$5001,$A$491,BD!$M$3:$M$5001,"&lt;&gt;")=0,"",SUMIFS(BD!$M$3:$M$5001,BD!$A$3:$A$5001,AB$3,BD!$B$3:$B$5001,$A$491)))</f>
        <v/>
      </c>
      <c r="AC501" s="214" t="str">
        <f>IF(AC$3="","",IF(COUNTIFS(BD!$A$3:$A$5001,AC$3,BD!$B$3:$B$5001,$A$491,BD!$M$3:$M$5001,"&lt;&gt;")=0,"",SUMIFS(BD!$M$3:$M$5001,BD!$A$3:$A$5001,AC$3,BD!$B$3:$B$5001,$A$491)))</f>
        <v/>
      </c>
      <c r="AD501" s="214" t="str">
        <f>IF(AD$3="","",IF(COUNTIFS(BD!$A$3:$A$5001,AD$3,BD!$B$3:$B$5001,$A$491,BD!$M$3:$M$5001,"&lt;&gt;")=0,"",SUMIFS(BD!$M$3:$M$5001,BD!$A$3:$A$5001,AD$3,BD!$B$3:$B$5001,$A$491)))</f>
        <v/>
      </c>
      <c r="AE501" s="214" t="str">
        <f>IF(AE$3="","",IF(COUNTIFS(BD!$A$3:$A$5001,AE$3,BD!$B$3:$B$5001,$A$491,BD!$M$3:$M$5001,"&lt;&gt;")=0,"",SUMIFS(BD!$M$3:$M$5001,BD!$A$3:$A$5001,AE$3,BD!$B$3:$B$5001,$A$491)))</f>
        <v/>
      </c>
      <c r="AF501" s="214" t="str">
        <f>IF(AF$3="","",IF(COUNTIFS(BD!$A$3:$A$5001,AF$3,BD!$B$3:$B$5001,$A$491,BD!$M$3:$M$5001,"&lt;&gt;")=0,"",SUMIFS(BD!$M$3:$M$5001,BD!$A$3:$A$5001,AF$3,BD!$B$3:$B$5001,$A$491)))</f>
        <v/>
      </c>
      <c r="AG501" s="214" t="str">
        <f>IF(AG$3="","",IF(COUNTIFS(BD!$A$3:$A$5001,AG$3,BD!$B$3:$B$5001,$A$491,BD!$M$3:$M$5001,"&lt;&gt;")=0,"",SUMIFS(BD!$M$3:$M$5001,BD!$A$3:$A$5001,AG$3,BD!$B$3:$B$5001,$A$491)))</f>
        <v/>
      </c>
      <c r="AH501" s="214" t="str">
        <f>IF(AH$3="","",IF(COUNTIFS(BD!$A$3:$A$5001,AH$3,BD!$B$3:$B$5001,$A$491,BD!$M$3:$M$5001,"&lt;&gt;")=0,"",SUMIFS(BD!$M$3:$M$5001,BD!$A$3:$A$5001,AH$3,BD!$B$3:$B$5001,$A$491)))</f>
        <v/>
      </c>
      <c r="AI501" s="214" t="str">
        <f>IF(AI$3="","",IF(COUNTIFS(BD!$A$3:$A$5001,AI$3,BD!$B$3:$B$5001,$A$491,BD!$M$3:$M$5001,"&lt;&gt;")=0,"",SUMIFS(BD!$M$3:$M$5001,BD!$A$3:$A$5001,AI$3,BD!$B$3:$B$5001,$A$491)))</f>
        <v/>
      </c>
      <c r="AJ501" s="215" t="str">
        <f>IF(AJ$3="","",IF(COUNTIFS(BD!$A$3:$A$5001,AJ$3,BD!$B$3:$B$5001,$A$491,BD!$M$3:$M$5001,"&lt;&gt;")=0,"",SUMIFS(BD!$M$3:$M$5001,BD!$A$3:$A$5001,AJ$3,BD!$B$3:$B$5001,$A$491)))</f>
        <v/>
      </c>
      <c r="AK501" s="211" t="str">
        <f>IF(COUNT(F501:AJ501)=0,"",SUM(F501:AJ501))</f>
        <v/>
      </c>
    </row>
    <row r="502" ht="15.75" customHeight="1" hidden="1">
      <c r="A502" s="277"/>
      <c r="B502" s="270" t="inlineStr">
        <is>
          <t xml:space="preserve">NC</t>
        </is>
      </c>
      <c r="C502" s="216" t="inlineStr">
        <is>
          <t xml:space="preserve">Incidentes</t>
        </is>
      </c>
      <c r="D502" s="217" t="str">
        <f>IFERROR(1/(1/INDEX(BD!$AF$34:$AZ$34,MATCH($A$491,BD!$AF$22:$AZ$22,0))),"")</f>
        <v/>
      </c>
      <c r="E502" s="218"/>
      <c r="F502" s="219" t="str">
        <f>IF(F$3="","",IF(COUNTIFS(BD!$A$3:$A$5001,F$3,BD!$B$3:$B$5001,$A$491,BD!$N$3:$N$5001,"&lt;&gt;")=0,"",SUMIFS(BD!$N$3:$N$5001,BD!$A$3:$A$5001,F$3,BD!$B$3:$B$5001,$A$491)))</f>
        <v/>
      </c>
      <c r="G502" s="220" t="str">
        <f>IF(G$3="","",IF(COUNTIFS(BD!$A$3:$A$5001,G$3,BD!$B$3:$B$5001,$A$491,BD!$N$3:$N$5001,"&lt;&gt;")=0,"",SUMIFS(BD!$N$3:$N$5001,BD!$A$3:$A$5001,G$3,BD!$B$3:$B$5001,$A$491)))</f>
        <v/>
      </c>
      <c r="H502" s="220" t="str">
        <f>IF(H$3="","",IF(COUNTIFS(BD!$A$3:$A$5001,H$3,BD!$B$3:$B$5001,$A$491,BD!$N$3:$N$5001,"&lt;&gt;")=0,"",SUMIFS(BD!$N$3:$N$5001,BD!$A$3:$A$5001,H$3,BD!$B$3:$B$5001,$A$491)))</f>
        <v/>
      </c>
      <c r="I502" s="220" t="str">
        <f>IF(I$3="","",IF(COUNTIFS(BD!$A$3:$A$5001,I$3,BD!$B$3:$B$5001,$A$491,BD!$N$3:$N$5001,"&lt;&gt;")=0,"",SUMIFS(BD!$N$3:$N$5001,BD!$A$3:$A$5001,I$3,BD!$B$3:$B$5001,$A$491)))</f>
        <v/>
      </c>
      <c r="J502" s="220" t="str">
        <f>IF(J$3="","",IF(COUNTIFS(BD!$A$3:$A$5001,J$3,BD!$B$3:$B$5001,$A$491,BD!$N$3:$N$5001,"&lt;&gt;")=0,"",SUMIFS(BD!$N$3:$N$5001,BD!$A$3:$A$5001,J$3,BD!$B$3:$B$5001,$A$491)))</f>
        <v/>
      </c>
      <c r="K502" s="220" t="str">
        <f>IF(K$3="","",IF(COUNTIFS(BD!$A$3:$A$5001,K$3,BD!$B$3:$B$5001,$A$491,BD!$N$3:$N$5001,"&lt;&gt;")=0,"",SUMIFS(BD!$N$3:$N$5001,BD!$A$3:$A$5001,K$3,BD!$B$3:$B$5001,$A$491)))</f>
        <v/>
      </c>
      <c r="L502" s="220" t="str">
        <f>IF(L$3="","",IF(COUNTIFS(BD!$A$3:$A$5001,L$3,BD!$B$3:$B$5001,$A$491,BD!$N$3:$N$5001,"&lt;&gt;")=0,"",SUMIFS(BD!$N$3:$N$5001,BD!$A$3:$A$5001,L$3,BD!$B$3:$B$5001,$A$491)))</f>
        <v/>
      </c>
      <c r="M502" s="220" t="str">
        <f>IF(M$3="","",IF(COUNTIFS(BD!$A$3:$A$5001,M$3,BD!$B$3:$B$5001,$A$491,BD!$N$3:$N$5001,"&lt;&gt;")=0,"",SUMIFS(BD!$N$3:$N$5001,BD!$A$3:$A$5001,M$3,BD!$B$3:$B$5001,$A$491)))</f>
        <v/>
      </c>
      <c r="N502" s="220" t="str">
        <f>IF(N$3="","",IF(COUNTIFS(BD!$A$3:$A$5001,N$3,BD!$B$3:$B$5001,$A$491,BD!$N$3:$N$5001,"&lt;&gt;")=0,"",SUMIFS(BD!$N$3:$N$5001,BD!$A$3:$A$5001,N$3,BD!$B$3:$B$5001,$A$491)))</f>
        <v/>
      </c>
      <c r="O502" s="220" t="str">
        <f>IF(O$3="","",IF(COUNTIFS(BD!$A$3:$A$5001,O$3,BD!$B$3:$B$5001,$A$491,BD!$N$3:$N$5001,"&lt;&gt;")=0,"",SUMIFS(BD!$N$3:$N$5001,BD!$A$3:$A$5001,O$3,BD!$B$3:$B$5001,$A$491)))</f>
        <v/>
      </c>
      <c r="P502" s="220" t="str">
        <f>IF(P$3="","",IF(COUNTIFS(BD!$A$3:$A$5001,P$3,BD!$B$3:$B$5001,$A$491,BD!$N$3:$N$5001,"&lt;&gt;")=0,"",SUMIFS(BD!$N$3:$N$5001,BD!$A$3:$A$5001,P$3,BD!$B$3:$B$5001,$A$491)))</f>
        <v/>
      </c>
      <c r="Q502" s="220" t="str">
        <f>IF(Q$3="","",IF(COUNTIFS(BD!$A$3:$A$5001,Q$3,BD!$B$3:$B$5001,$A$491,BD!$N$3:$N$5001,"&lt;&gt;")=0,"",SUMIFS(BD!$N$3:$N$5001,BD!$A$3:$A$5001,Q$3,BD!$B$3:$B$5001,$A$491)))</f>
        <v/>
      </c>
      <c r="R502" s="220" t="str">
        <f>IF(R$3="","",IF(COUNTIFS(BD!$A$3:$A$5001,R$3,BD!$B$3:$B$5001,$A$491,BD!$N$3:$N$5001,"&lt;&gt;")=0,"",SUMIFS(BD!$N$3:$N$5001,BD!$A$3:$A$5001,R$3,BD!$B$3:$B$5001,$A$491)))</f>
        <v/>
      </c>
      <c r="S502" s="220" t="str">
        <f>IF(S$3="","",IF(COUNTIFS(BD!$A$3:$A$5001,S$3,BD!$B$3:$B$5001,$A$491,BD!$N$3:$N$5001,"&lt;&gt;")=0,"",SUMIFS(BD!$N$3:$N$5001,BD!$A$3:$A$5001,S$3,BD!$B$3:$B$5001,$A$491)))</f>
        <v/>
      </c>
      <c r="T502" s="220" t="str">
        <f>IF(T$3="","",IF(COUNTIFS(BD!$A$3:$A$5001,T$3,BD!$B$3:$B$5001,$A$491,BD!$N$3:$N$5001,"&lt;&gt;")=0,"",SUMIFS(BD!$N$3:$N$5001,BD!$A$3:$A$5001,T$3,BD!$B$3:$B$5001,$A$491)))</f>
        <v/>
      </c>
      <c r="U502" s="220" t="str">
        <f>IF(U$3="","",IF(COUNTIFS(BD!$A$3:$A$5001,U$3,BD!$B$3:$B$5001,$A$491,BD!$N$3:$N$5001,"&lt;&gt;")=0,"",SUMIFS(BD!$N$3:$N$5001,BD!$A$3:$A$5001,U$3,BD!$B$3:$B$5001,$A$491)))</f>
        <v/>
      </c>
      <c r="V502" s="220" t="str">
        <f>IF(V$3="","",IF(COUNTIFS(BD!$A$3:$A$5001,V$3,BD!$B$3:$B$5001,$A$491,BD!$N$3:$N$5001,"&lt;&gt;")=0,"",SUMIFS(BD!$N$3:$N$5001,BD!$A$3:$A$5001,V$3,BD!$B$3:$B$5001,$A$491)))</f>
        <v/>
      </c>
      <c r="W502" s="220" t="str">
        <f>IF(W$3="","",IF(COUNTIFS(BD!$A$3:$A$5001,W$3,BD!$B$3:$B$5001,$A$491,BD!$N$3:$N$5001,"&lt;&gt;")=0,"",SUMIFS(BD!$N$3:$N$5001,BD!$A$3:$A$5001,W$3,BD!$B$3:$B$5001,$A$491)))</f>
        <v/>
      </c>
      <c r="X502" s="220" t="str">
        <f>IF(X$3="","",IF(COUNTIFS(BD!$A$3:$A$5001,X$3,BD!$B$3:$B$5001,$A$491,BD!$N$3:$N$5001,"&lt;&gt;")=0,"",SUMIFS(BD!$N$3:$N$5001,BD!$A$3:$A$5001,X$3,BD!$B$3:$B$5001,$A$491)))</f>
        <v/>
      </c>
      <c r="Y502" s="220" t="str">
        <f>IF(Y$3="","",IF(COUNTIFS(BD!$A$3:$A$5001,Y$3,BD!$B$3:$B$5001,$A$491,BD!$N$3:$N$5001,"&lt;&gt;")=0,"",SUMIFS(BD!$N$3:$N$5001,BD!$A$3:$A$5001,Y$3,BD!$B$3:$B$5001,$A$491)))</f>
        <v/>
      </c>
      <c r="Z502" s="220" t="str">
        <f>IF(Z$3="","",IF(COUNTIFS(BD!$A$3:$A$5001,Z$3,BD!$B$3:$B$5001,$A$491,BD!$N$3:$N$5001,"&lt;&gt;")=0,"",SUMIFS(BD!$N$3:$N$5001,BD!$A$3:$A$5001,Z$3,BD!$B$3:$B$5001,$A$491)))</f>
        <v/>
      </c>
      <c r="AA502" s="220" t="str">
        <f>IF(AA$3="","",IF(COUNTIFS(BD!$A$3:$A$5001,AA$3,BD!$B$3:$B$5001,$A$491,BD!$N$3:$N$5001,"&lt;&gt;")=0,"",SUMIFS(BD!$N$3:$N$5001,BD!$A$3:$A$5001,AA$3,BD!$B$3:$B$5001,$A$491)))</f>
        <v/>
      </c>
      <c r="AB502" s="220" t="str">
        <f>IF(AB$3="","",IF(COUNTIFS(BD!$A$3:$A$5001,AB$3,BD!$B$3:$B$5001,$A$491,BD!$N$3:$N$5001,"&lt;&gt;")=0,"",SUMIFS(BD!$N$3:$N$5001,BD!$A$3:$A$5001,AB$3,BD!$B$3:$B$5001,$A$491)))</f>
        <v/>
      </c>
      <c r="AC502" s="220" t="str">
        <f>IF(AC$3="","",IF(COUNTIFS(BD!$A$3:$A$5001,AC$3,BD!$B$3:$B$5001,$A$491,BD!$N$3:$N$5001,"&lt;&gt;")=0,"",SUMIFS(BD!$N$3:$N$5001,BD!$A$3:$A$5001,AC$3,BD!$B$3:$B$5001,$A$491)))</f>
        <v/>
      </c>
      <c r="AD502" s="220" t="str">
        <f>IF(AD$3="","",IF(COUNTIFS(BD!$A$3:$A$5001,AD$3,BD!$B$3:$B$5001,$A$491,BD!$N$3:$N$5001,"&lt;&gt;")=0,"",SUMIFS(BD!$N$3:$N$5001,BD!$A$3:$A$5001,AD$3,BD!$B$3:$B$5001,$A$491)))</f>
        <v/>
      </c>
      <c r="AE502" s="220" t="str">
        <f>IF(AE$3="","",IF(COUNTIFS(BD!$A$3:$A$5001,AE$3,BD!$B$3:$B$5001,$A$491,BD!$N$3:$N$5001,"&lt;&gt;")=0,"",SUMIFS(BD!$N$3:$N$5001,BD!$A$3:$A$5001,AE$3,BD!$B$3:$B$5001,$A$491)))</f>
        <v/>
      </c>
      <c r="AF502" s="220" t="str">
        <f>IF(AF$3="","",IF(COUNTIFS(BD!$A$3:$A$5001,AF$3,BD!$B$3:$B$5001,$A$491,BD!$N$3:$N$5001,"&lt;&gt;")=0,"",SUMIFS(BD!$N$3:$N$5001,BD!$A$3:$A$5001,AF$3,BD!$B$3:$B$5001,$A$491)))</f>
        <v/>
      </c>
      <c r="AG502" s="220" t="str">
        <f>IF(AG$3="","",IF(COUNTIFS(BD!$A$3:$A$5001,AG$3,BD!$B$3:$B$5001,$A$491,BD!$N$3:$N$5001,"&lt;&gt;")=0,"",SUMIFS(BD!$N$3:$N$5001,BD!$A$3:$A$5001,AG$3,BD!$B$3:$B$5001,$A$491)))</f>
        <v/>
      </c>
      <c r="AH502" s="220" t="str">
        <f>IF(AH$3="","",IF(COUNTIFS(BD!$A$3:$A$5001,AH$3,BD!$B$3:$B$5001,$A$491,BD!$N$3:$N$5001,"&lt;&gt;")=0,"",SUMIFS(BD!$N$3:$N$5001,BD!$A$3:$A$5001,AH$3,BD!$B$3:$B$5001,$A$491)))</f>
        <v/>
      </c>
      <c r="AI502" s="220" t="str">
        <f>IF(AI$3="","",IF(COUNTIFS(BD!$A$3:$A$5001,AI$3,BD!$B$3:$B$5001,$A$491,BD!$N$3:$N$5001,"&lt;&gt;")=0,"",SUMIFS(BD!$N$3:$N$5001,BD!$A$3:$A$5001,AI$3,BD!$B$3:$B$5001,$A$491)))</f>
        <v/>
      </c>
      <c r="AJ502" s="221" t="str">
        <f>IF(AJ$3="","",IF(COUNTIFS(BD!$A$3:$A$5001,AJ$3,BD!$B$3:$B$5001,$A$491,BD!$N$3:$N$5001,"&lt;&gt;")=0,"",SUMIFS(BD!$N$3:$N$5001,BD!$A$3:$A$5001,AJ$3,BD!$B$3:$B$5001,$A$491)))</f>
        <v/>
      </c>
      <c r="AK502" s="222" t="str">
        <f>IF(COUNT(F502:AJ502)=0,"",SUM(F502:AJ502))</f>
        <v/>
      </c>
    </row>
    <row r="503" ht="15.75" customHeight="1" hidden="1">
      <c r="A503" s="277"/>
      <c r="B503" s="271"/>
      <c r="C503" s="223" t="inlineStr">
        <is>
          <t xml:space="preserve">No show</t>
        </is>
      </c>
      <c r="D503" s="224" t="str">
        <f>IFERROR(1/(1/INDEX(BD!$AF$35:$AZ$35,MATCH($A$491,BD!$AF$22:$AZ$22,0))),"")</f>
        <v/>
      </c>
      <c r="E503" s="225"/>
      <c r="F503" s="226" t="str">
        <f>IF(F$3="","",IF(COUNTIFS(BD!$A$3:$A$5001,F$3,BD!$B$3:$B$5001,$A$491,BD!$O$3:$O$5001,"&lt;&gt;")=0,"",SUMIFS(BD!$O$3:$O$5001,BD!$A$3:$A$5001,F$3,BD!$B$3:$B$5001,$A$491)))</f>
        <v/>
      </c>
      <c r="G503" s="227" t="str">
        <f>IF(G$3="","",IF(COUNTIFS(BD!$A$3:$A$5001,G$3,BD!$B$3:$B$5001,$A$491,BD!$O$3:$O$5001,"&lt;&gt;")=0,"",SUMIFS(BD!$O$3:$O$5001,BD!$A$3:$A$5001,G$3,BD!$B$3:$B$5001,$A$491)))</f>
        <v/>
      </c>
      <c r="H503" s="227" t="str">
        <f>IF(H$3="","",IF(COUNTIFS(BD!$A$3:$A$5001,H$3,BD!$B$3:$B$5001,$A$491,BD!$O$3:$O$5001,"&lt;&gt;")=0,"",SUMIFS(BD!$O$3:$O$5001,BD!$A$3:$A$5001,H$3,BD!$B$3:$B$5001,$A$491)))</f>
        <v/>
      </c>
      <c r="I503" s="227" t="str">
        <f>IF(I$3="","",IF(COUNTIFS(BD!$A$3:$A$5001,I$3,BD!$B$3:$B$5001,$A$491,BD!$O$3:$O$5001,"&lt;&gt;")=0,"",SUMIFS(BD!$O$3:$O$5001,BD!$A$3:$A$5001,I$3,BD!$B$3:$B$5001,$A$491)))</f>
        <v/>
      </c>
      <c r="J503" s="227" t="str">
        <f>IF(J$3="","",IF(COUNTIFS(BD!$A$3:$A$5001,J$3,BD!$B$3:$B$5001,$A$491,BD!$O$3:$O$5001,"&lt;&gt;")=0,"",SUMIFS(BD!$O$3:$O$5001,BD!$A$3:$A$5001,J$3,BD!$B$3:$B$5001,$A$491)))</f>
        <v/>
      </c>
      <c r="K503" s="227" t="str">
        <f>IF(K$3="","",IF(COUNTIFS(BD!$A$3:$A$5001,K$3,BD!$B$3:$B$5001,$A$491,BD!$O$3:$O$5001,"&lt;&gt;")=0,"",SUMIFS(BD!$O$3:$O$5001,BD!$A$3:$A$5001,K$3,BD!$B$3:$B$5001,$A$491)))</f>
        <v/>
      </c>
      <c r="L503" s="227" t="str">
        <f>IF(L$3="","",IF(COUNTIFS(BD!$A$3:$A$5001,L$3,BD!$B$3:$B$5001,$A$491,BD!$O$3:$O$5001,"&lt;&gt;")=0,"",SUMIFS(BD!$O$3:$O$5001,BD!$A$3:$A$5001,L$3,BD!$B$3:$B$5001,$A$491)))</f>
        <v/>
      </c>
      <c r="M503" s="227" t="str">
        <f>IF(M$3="","",IF(COUNTIFS(BD!$A$3:$A$5001,M$3,BD!$B$3:$B$5001,$A$491,BD!$O$3:$O$5001,"&lt;&gt;")=0,"",SUMIFS(BD!$O$3:$O$5001,BD!$A$3:$A$5001,M$3,BD!$B$3:$B$5001,$A$491)))</f>
        <v/>
      </c>
      <c r="N503" s="227" t="str">
        <f>IF(N$3="","",IF(COUNTIFS(BD!$A$3:$A$5001,N$3,BD!$B$3:$B$5001,$A$491,BD!$O$3:$O$5001,"&lt;&gt;")=0,"",SUMIFS(BD!$O$3:$O$5001,BD!$A$3:$A$5001,N$3,BD!$B$3:$B$5001,$A$491)))</f>
        <v/>
      </c>
      <c r="O503" s="227" t="str">
        <f>IF(O$3="","",IF(COUNTIFS(BD!$A$3:$A$5001,O$3,BD!$B$3:$B$5001,$A$491,BD!$O$3:$O$5001,"&lt;&gt;")=0,"",SUMIFS(BD!$O$3:$O$5001,BD!$A$3:$A$5001,O$3,BD!$B$3:$B$5001,$A$491)))</f>
        <v/>
      </c>
      <c r="P503" s="227" t="str">
        <f>IF(P$3="","",IF(COUNTIFS(BD!$A$3:$A$5001,P$3,BD!$B$3:$B$5001,$A$491,BD!$O$3:$O$5001,"&lt;&gt;")=0,"",SUMIFS(BD!$O$3:$O$5001,BD!$A$3:$A$5001,P$3,BD!$B$3:$B$5001,$A$491)))</f>
        <v/>
      </c>
      <c r="Q503" s="227" t="str">
        <f>IF(Q$3="","",IF(COUNTIFS(BD!$A$3:$A$5001,Q$3,BD!$B$3:$B$5001,$A$491,BD!$O$3:$O$5001,"&lt;&gt;")=0,"",SUMIFS(BD!$O$3:$O$5001,BD!$A$3:$A$5001,Q$3,BD!$B$3:$B$5001,$A$491)))</f>
        <v/>
      </c>
      <c r="R503" s="227" t="str">
        <f>IF(R$3="","",IF(COUNTIFS(BD!$A$3:$A$5001,R$3,BD!$B$3:$B$5001,$A$491,BD!$O$3:$O$5001,"&lt;&gt;")=0,"",SUMIFS(BD!$O$3:$O$5001,BD!$A$3:$A$5001,R$3,BD!$B$3:$B$5001,$A$491)))</f>
        <v/>
      </c>
      <c r="S503" s="227" t="str">
        <f>IF(S$3="","",IF(COUNTIFS(BD!$A$3:$A$5001,S$3,BD!$B$3:$B$5001,$A$491,BD!$O$3:$O$5001,"&lt;&gt;")=0,"",SUMIFS(BD!$O$3:$O$5001,BD!$A$3:$A$5001,S$3,BD!$B$3:$B$5001,$A$491)))</f>
        <v/>
      </c>
      <c r="T503" s="227" t="str">
        <f>IF(T$3="","",IF(COUNTIFS(BD!$A$3:$A$5001,T$3,BD!$B$3:$B$5001,$A$491,BD!$O$3:$O$5001,"&lt;&gt;")=0,"",SUMIFS(BD!$O$3:$O$5001,BD!$A$3:$A$5001,T$3,BD!$B$3:$B$5001,$A$491)))</f>
        <v/>
      </c>
      <c r="U503" s="227" t="str">
        <f>IF(U$3="","",IF(COUNTIFS(BD!$A$3:$A$5001,U$3,BD!$B$3:$B$5001,$A$491,BD!$O$3:$O$5001,"&lt;&gt;")=0,"",SUMIFS(BD!$O$3:$O$5001,BD!$A$3:$A$5001,U$3,BD!$B$3:$B$5001,$A$491)))</f>
        <v/>
      </c>
      <c r="V503" s="227" t="str">
        <f>IF(V$3="","",IF(COUNTIFS(BD!$A$3:$A$5001,V$3,BD!$B$3:$B$5001,$A$491,BD!$O$3:$O$5001,"&lt;&gt;")=0,"",SUMIFS(BD!$O$3:$O$5001,BD!$A$3:$A$5001,V$3,BD!$B$3:$B$5001,$A$491)))</f>
        <v/>
      </c>
      <c r="W503" s="227" t="str">
        <f>IF(W$3="","",IF(COUNTIFS(BD!$A$3:$A$5001,W$3,BD!$B$3:$B$5001,$A$491,BD!$O$3:$O$5001,"&lt;&gt;")=0,"",SUMIFS(BD!$O$3:$O$5001,BD!$A$3:$A$5001,W$3,BD!$B$3:$B$5001,$A$491)))</f>
        <v/>
      </c>
      <c r="X503" s="227" t="str">
        <f>IF(X$3="","",IF(COUNTIFS(BD!$A$3:$A$5001,X$3,BD!$B$3:$B$5001,$A$491,BD!$O$3:$O$5001,"&lt;&gt;")=0,"",SUMIFS(BD!$O$3:$O$5001,BD!$A$3:$A$5001,X$3,BD!$B$3:$B$5001,$A$491)))</f>
        <v/>
      </c>
      <c r="Y503" s="227" t="str">
        <f>IF(Y$3="","",IF(COUNTIFS(BD!$A$3:$A$5001,Y$3,BD!$B$3:$B$5001,$A$491,BD!$O$3:$O$5001,"&lt;&gt;")=0,"",SUMIFS(BD!$O$3:$O$5001,BD!$A$3:$A$5001,Y$3,BD!$B$3:$B$5001,$A$491)))</f>
        <v/>
      </c>
      <c r="Z503" s="227" t="str">
        <f>IF(Z$3="","",IF(COUNTIFS(BD!$A$3:$A$5001,Z$3,BD!$B$3:$B$5001,$A$491,BD!$O$3:$O$5001,"&lt;&gt;")=0,"",SUMIFS(BD!$O$3:$O$5001,BD!$A$3:$A$5001,Z$3,BD!$B$3:$B$5001,$A$491)))</f>
        <v/>
      </c>
      <c r="AA503" s="227" t="str">
        <f>IF(AA$3="","",IF(COUNTIFS(BD!$A$3:$A$5001,AA$3,BD!$B$3:$B$5001,$A$491,BD!$O$3:$O$5001,"&lt;&gt;")=0,"",SUMIFS(BD!$O$3:$O$5001,BD!$A$3:$A$5001,AA$3,BD!$B$3:$B$5001,$A$491)))</f>
        <v/>
      </c>
      <c r="AB503" s="227" t="str">
        <f>IF(AB$3="","",IF(COUNTIFS(BD!$A$3:$A$5001,AB$3,BD!$B$3:$B$5001,$A$491,BD!$O$3:$O$5001,"&lt;&gt;")=0,"",SUMIFS(BD!$O$3:$O$5001,BD!$A$3:$A$5001,AB$3,BD!$B$3:$B$5001,$A$491)))</f>
        <v/>
      </c>
      <c r="AC503" s="227" t="str">
        <f>IF(AC$3="","",IF(COUNTIFS(BD!$A$3:$A$5001,AC$3,BD!$B$3:$B$5001,$A$491,BD!$O$3:$O$5001,"&lt;&gt;")=0,"",SUMIFS(BD!$O$3:$O$5001,BD!$A$3:$A$5001,AC$3,BD!$B$3:$B$5001,$A$491)))</f>
        <v/>
      </c>
      <c r="AD503" s="227" t="str">
        <f>IF(AD$3="","",IF(COUNTIFS(BD!$A$3:$A$5001,AD$3,BD!$B$3:$B$5001,$A$491,BD!$O$3:$O$5001,"&lt;&gt;")=0,"",SUMIFS(BD!$O$3:$O$5001,BD!$A$3:$A$5001,AD$3,BD!$B$3:$B$5001,$A$491)))</f>
        <v/>
      </c>
      <c r="AE503" s="227" t="str">
        <f>IF(AE$3="","",IF(COUNTIFS(BD!$A$3:$A$5001,AE$3,BD!$B$3:$B$5001,$A$491,BD!$O$3:$O$5001,"&lt;&gt;")=0,"",SUMIFS(BD!$O$3:$O$5001,BD!$A$3:$A$5001,AE$3,BD!$B$3:$B$5001,$A$491)))</f>
        <v/>
      </c>
      <c r="AF503" s="227" t="str">
        <f>IF(AF$3="","",IF(COUNTIFS(BD!$A$3:$A$5001,AF$3,BD!$B$3:$B$5001,$A$491,BD!$O$3:$O$5001,"&lt;&gt;")=0,"",SUMIFS(BD!$O$3:$O$5001,BD!$A$3:$A$5001,AF$3,BD!$B$3:$B$5001,$A$491)))</f>
        <v/>
      </c>
      <c r="AG503" s="227" t="str">
        <f>IF(AG$3="","",IF(COUNTIFS(BD!$A$3:$A$5001,AG$3,BD!$B$3:$B$5001,$A$491,BD!$O$3:$O$5001,"&lt;&gt;")=0,"",SUMIFS(BD!$O$3:$O$5001,BD!$A$3:$A$5001,AG$3,BD!$B$3:$B$5001,$A$491)))</f>
        <v/>
      </c>
      <c r="AH503" s="227" t="str">
        <f>IF(AH$3="","",IF(COUNTIFS(BD!$A$3:$A$5001,AH$3,BD!$B$3:$B$5001,$A$491,BD!$O$3:$O$5001,"&lt;&gt;")=0,"",SUMIFS(BD!$O$3:$O$5001,BD!$A$3:$A$5001,AH$3,BD!$B$3:$B$5001,$A$491)))</f>
        <v/>
      </c>
      <c r="AI503" s="227" t="str">
        <f>IF(AI$3="","",IF(COUNTIFS(BD!$A$3:$A$5001,AI$3,BD!$B$3:$B$5001,$A$491,BD!$O$3:$O$5001,"&lt;&gt;")=0,"",SUMIFS(BD!$O$3:$O$5001,BD!$A$3:$A$5001,AI$3,BD!$B$3:$B$5001,$A$491)))</f>
        <v/>
      </c>
      <c r="AJ503" s="228" t="str">
        <f>IF(AJ$3="","",IF(COUNTIFS(BD!$A$3:$A$5001,AJ$3,BD!$B$3:$B$5001,$A$491,BD!$O$3:$O$5001,"&lt;&gt;")=0,"",SUMIFS(BD!$O$3:$O$5001,BD!$A$3:$A$5001,AJ$3,BD!$B$3:$B$5001,$A$491)))</f>
        <v/>
      </c>
      <c r="AK503" s="229" t="str">
        <f>IF(COUNT(F503:AJ503)=0,"",SUM(F503:AJ503))</f>
        <v/>
      </c>
    </row>
    <row r="504" ht="15.75" customHeight="1" hidden="1">
      <c r="A504" s="277"/>
      <c r="B504" s="271"/>
      <c r="C504" s="223" t="inlineStr">
        <is>
          <t xml:space="preserve">Backlog Intralog</t>
        </is>
      </c>
      <c r="D504" s="224" t="str">
        <f>IFERROR(1/(1/INDEX(BD!$AF$36:$AZ$36,MATCH($A$491,BD!$AF$22:$AZ$22,0))),"")</f>
        <v/>
      </c>
      <c r="E504" s="225"/>
      <c r="F504" s="226" t="str">
        <f>IF(F$3="","",IF(COUNTIFS(BD!$A$3:$A$5001,F$3,BD!$B$3:$B$5001,$A$491,BD!$P$3:$P$5001,"&lt;&gt;")=0,"",SUMIFS(BD!$P$3:$P$5001,BD!$A$3:$A$5001,F$3,BD!$B$3:$B$5001,$A$491)))</f>
        <v/>
      </c>
      <c r="G504" s="227" t="str">
        <f>IF(G$3="","",IF(COUNTIFS(BD!$A$3:$A$5001,G$3,BD!$B$3:$B$5001,$A$491,BD!$P$3:$P$5001,"&lt;&gt;")=0,"",SUMIFS(BD!$P$3:$P$5001,BD!$A$3:$A$5001,G$3,BD!$B$3:$B$5001,$A$491)))</f>
        <v/>
      </c>
      <c r="H504" s="227" t="str">
        <f>IF(H$3="","",IF(COUNTIFS(BD!$A$3:$A$5001,H$3,BD!$B$3:$B$5001,$A$491,BD!$P$3:$P$5001,"&lt;&gt;")=0,"",SUMIFS(BD!$P$3:$P$5001,BD!$A$3:$A$5001,H$3,BD!$B$3:$B$5001,$A$491)))</f>
        <v/>
      </c>
      <c r="I504" s="227" t="str">
        <f>IF(I$3="","",IF(COUNTIFS(BD!$A$3:$A$5001,I$3,BD!$B$3:$B$5001,$A$491,BD!$P$3:$P$5001,"&lt;&gt;")=0,"",SUMIFS(BD!$P$3:$P$5001,BD!$A$3:$A$5001,I$3,BD!$B$3:$B$5001,$A$491)))</f>
        <v/>
      </c>
      <c r="J504" s="227" t="str">
        <f>IF(J$3="","",IF(COUNTIFS(BD!$A$3:$A$5001,J$3,BD!$B$3:$B$5001,$A$491,BD!$P$3:$P$5001,"&lt;&gt;")=0,"",SUMIFS(BD!$P$3:$P$5001,BD!$A$3:$A$5001,J$3,BD!$B$3:$B$5001,$A$491)))</f>
        <v/>
      </c>
      <c r="K504" s="227" t="str">
        <f>IF(K$3="","",IF(COUNTIFS(BD!$A$3:$A$5001,K$3,BD!$B$3:$B$5001,$A$491,BD!$P$3:$P$5001,"&lt;&gt;")=0,"",SUMIFS(BD!$P$3:$P$5001,BD!$A$3:$A$5001,K$3,BD!$B$3:$B$5001,$A$491)))</f>
        <v/>
      </c>
      <c r="L504" s="227" t="str">
        <f>IF(L$3="","",IF(COUNTIFS(BD!$A$3:$A$5001,L$3,BD!$B$3:$B$5001,$A$491,BD!$P$3:$P$5001,"&lt;&gt;")=0,"",SUMIFS(BD!$P$3:$P$5001,BD!$A$3:$A$5001,L$3,BD!$B$3:$B$5001,$A$491)))</f>
        <v/>
      </c>
      <c r="M504" s="227" t="str">
        <f>IF(M$3="","",IF(COUNTIFS(BD!$A$3:$A$5001,M$3,BD!$B$3:$B$5001,$A$491,BD!$P$3:$P$5001,"&lt;&gt;")=0,"",SUMIFS(BD!$P$3:$P$5001,BD!$A$3:$A$5001,M$3,BD!$B$3:$B$5001,$A$491)))</f>
        <v/>
      </c>
      <c r="N504" s="227" t="str">
        <f>IF(N$3="","",IF(COUNTIFS(BD!$A$3:$A$5001,N$3,BD!$B$3:$B$5001,$A$491,BD!$P$3:$P$5001,"&lt;&gt;")=0,"",SUMIFS(BD!$P$3:$P$5001,BD!$A$3:$A$5001,N$3,BD!$B$3:$B$5001,$A$491)))</f>
        <v/>
      </c>
      <c r="O504" s="227" t="str">
        <f>IF(O$3="","",IF(COUNTIFS(BD!$A$3:$A$5001,O$3,BD!$B$3:$B$5001,$A$491,BD!$P$3:$P$5001,"&lt;&gt;")=0,"",SUMIFS(BD!$P$3:$P$5001,BD!$A$3:$A$5001,O$3,BD!$B$3:$B$5001,$A$491)))</f>
        <v/>
      </c>
      <c r="P504" s="227" t="str">
        <f>IF(P$3="","",IF(COUNTIFS(BD!$A$3:$A$5001,P$3,BD!$B$3:$B$5001,$A$491,BD!$P$3:$P$5001,"&lt;&gt;")=0,"",SUMIFS(BD!$P$3:$P$5001,BD!$A$3:$A$5001,P$3,BD!$B$3:$B$5001,$A$491)))</f>
        <v/>
      </c>
      <c r="Q504" s="227" t="str">
        <f>IF(Q$3="","",IF(COUNTIFS(BD!$A$3:$A$5001,Q$3,BD!$B$3:$B$5001,$A$491,BD!$P$3:$P$5001,"&lt;&gt;")=0,"",SUMIFS(BD!$P$3:$P$5001,BD!$A$3:$A$5001,Q$3,BD!$B$3:$B$5001,$A$491)))</f>
        <v/>
      </c>
      <c r="R504" s="227" t="str">
        <f>IF(R$3="","",IF(COUNTIFS(BD!$A$3:$A$5001,R$3,BD!$B$3:$B$5001,$A$491,BD!$P$3:$P$5001,"&lt;&gt;")=0,"",SUMIFS(BD!$P$3:$P$5001,BD!$A$3:$A$5001,R$3,BD!$B$3:$B$5001,$A$491)))</f>
        <v/>
      </c>
      <c r="S504" s="227" t="str">
        <f>IF(S$3="","",IF(COUNTIFS(BD!$A$3:$A$5001,S$3,BD!$B$3:$B$5001,$A$491,BD!$P$3:$P$5001,"&lt;&gt;")=0,"",SUMIFS(BD!$P$3:$P$5001,BD!$A$3:$A$5001,S$3,BD!$B$3:$B$5001,$A$491)))</f>
        <v/>
      </c>
      <c r="T504" s="227" t="str">
        <f>IF(T$3="","",IF(COUNTIFS(BD!$A$3:$A$5001,T$3,BD!$B$3:$B$5001,$A$491,BD!$P$3:$P$5001,"&lt;&gt;")=0,"",SUMIFS(BD!$P$3:$P$5001,BD!$A$3:$A$5001,T$3,BD!$B$3:$B$5001,$A$491)))</f>
        <v/>
      </c>
      <c r="U504" s="227" t="str">
        <f>IF(U$3="","",IF(COUNTIFS(BD!$A$3:$A$5001,U$3,BD!$B$3:$B$5001,$A$491,BD!$P$3:$P$5001,"&lt;&gt;")=0,"",SUMIFS(BD!$P$3:$P$5001,BD!$A$3:$A$5001,U$3,BD!$B$3:$B$5001,$A$491)))</f>
        <v/>
      </c>
      <c r="V504" s="227" t="str">
        <f>IF(V$3="","",IF(COUNTIFS(BD!$A$3:$A$5001,V$3,BD!$B$3:$B$5001,$A$491,BD!$P$3:$P$5001,"&lt;&gt;")=0,"",SUMIFS(BD!$P$3:$P$5001,BD!$A$3:$A$5001,V$3,BD!$B$3:$B$5001,$A$491)))</f>
        <v/>
      </c>
      <c r="W504" s="227" t="str">
        <f>IF(W$3="","",IF(COUNTIFS(BD!$A$3:$A$5001,W$3,BD!$B$3:$B$5001,$A$491,BD!$P$3:$P$5001,"&lt;&gt;")=0,"",SUMIFS(BD!$P$3:$P$5001,BD!$A$3:$A$5001,W$3,BD!$B$3:$B$5001,$A$491)))</f>
        <v/>
      </c>
      <c r="X504" s="227" t="str">
        <f>IF(X$3="","",IF(COUNTIFS(BD!$A$3:$A$5001,X$3,BD!$B$3:$B$5001,$A$491,BD!$P$3:$P$5001,"&lt;&gt;")=0,"",SUMIFS(BD!$P$3:$P$5001,BD!$A$3:$A$5001,X$3,BD!$B$3:$B$5001,$A$491)))</f>
        <v/>
      </c>
      <c r="Y504" s="227" t="str">
        <f>IF(Y$3="","",IF(COUNTIFS(BD!$A$3:$A$5001,Y$3,BD!$B$3:$B$5001,$A$491,BD!$P$3:$P$5001,"&lt;&gt;")=0,"",SUMIFS(BD!$P$3:$P$5001,BD!$A$3:$A$5001,Y$3,BD!$B$3:$B$5001,$A$491)))</f>
        <v/>
      </c>
      <c r="Z504" s="227" t="str">
        <f>IF(Z$3="","",IF(COUNTIFS(BD!$A$3:$A$5001,Z$3,BD!$B$3:$B$5001,$A$491,BD!$P$3:$P$5001,"&lt;&gt;")=0,"",SUMIFS(BD!$P$3:$P$5001,BD!$A$3:$A$5001,Z$3,BD!$B$3:$B$5001,$A$491)))</f>
        <v/>
      </c>
      <c r="AA504" s="227" t="str">
        <f>IF(AA$3="","",IF(COUNTIFS(BD!$A$3:$A$5001,AA$3,BD!$B$3:$B$5001,$A$491,BD!$P$3:$P$5001,"&lt;&gt;")=0,"",SUMIFS(BD!$P$3:$P$5001,BD!$A$3:$A$5001,AA$3,BD!$B$3:$B$5001,$A$491)))</f>
        <v/>
      </c>
      <c r="AB504" s="227" t="str">
        <f>IF(AB$3="","",IF(COUNTIFS(BD!$A$3:$A$5001,AB$3,BD!$B$3:$B$5001,$A$491,BD!$P$3:$P$5001,"&lt;&gt;")=0,"",SUMIFS(BD!$P$3:$P$5001,BD!$A$3:$A$5001,AB$3,BD!$B$3:$B$5001,$A$491)))</f>
        <v/>
      </c>
      <c r="AC504" s="227" t="str">
        <f>IF(AC$3="","",IF(COUNTIFS(BD!$A$3:$A$5001,AC$3,BD!$B$3:$B$5001,$A$491,BD!$P$3:$P$5001,"&lt;&gt;")=0,"",SUMIFS(BD!$P$3:$P$5001,BD!$A$3:$A$5001,AC$3,BD!$B$3:$B$5001,$A$491)))</f>
        <v/>
      </c>
      <c r="AD504" s="227" t="str">
        <f>IF(AD$3="","",IF(COUNTIFS(BD!$A$3:$A$5001,AD$3,BD!$B$3:$B$5001,$A$491,BD!$P$3:$P$5001,"&lt;&gt;")=0,"",SUMIFS(BD!$P$3:$P$5001,BD!$A$3:$A$5001,AD$3,BD!$B$3:$B$5001,$A$491)))</f>
        <v/>
      </c>
      <c r="AE504" s="227" t="str">
        <f>IF(AE$3="","",IF(COUNTIFS(BD!$A$3:$A$5001,AE$3,BD!$B$3:$B$5001,$A$491,BD!$P$3:$P$5001,"&lt;&gt;")=0,"",SUMIFS(BD!$P$3:$P$5001,BD!$A$3:$A$5001,AE$3,BD!$B$3:$B$5001,$A$491)))</f>
        <v/>
      </c>
      <c r="AF504" s="227" t="str">
        <f>IF(AF$3="","",IF(COUNTIFS(BD!$A$3:$A$5001,AF$3,BD!$B$3:$B$5001,$A$491,BD!$P$3:$P$5001,"&lt;&gt;")=0,"",SUMIFS(BD!$P$3:$P$5001,BD!$A$3:$A$5001,AF$3,BD!$B$3:$B$5001,$A$491)))</f>
        <v/>
      </c>
      <c r="AG504" s="227" t="str">
        <f>IF(AG$3="","",IF(COUNTIFS(BD!$A$3:$A$5001,AG$3,BD!$B$3:$B$5001,$A$491,BD!$P$3:$P$5001,"&lt;&gt;")=0,"",SUMIFS(BD!$P$3:$P$5001,BD!$A$3:$A$5001,AG$3,BD!$B$3:$B$5001,$A$491)))</f>
        <v/>
      </c>
      <c r="AH504" s="227" t="str">
        <f>IF(AH$3="","",IF(COUNTIFS(BD!$A$3:$A$5001,AH$3,BD!$B$3:$B$5001,$A$491,BD!$P$3:$P$5001,"&lt;&gt;")=0,"",SUMIFS(BD!$P$3:$P$5001,BD!$A$3:$A$5001,AH$3,BD!$B$3:$B$5001,$A$491)))</f>
        <v/>
      </c>
      <c r="AI504" s="227" t="str">
        <f>IF(AI$3="","",IF(COUNTIFS(BD!$A$3:$A$5001,AI$3,BD!$B$3:$B$5001,$A$491,BD!$P$3:$P$5001,"&lt;&gt;")=0,"",SUMIFS(BD!$P$3:$P$5001,BD!$A$3:$A$5001,AI$3,BD!$B$3:$B$5001,$A$491)))</f>
        <v/>
      </c>
      <c r="AJ504" s="228" t="str">
        <f>IF(AJ$3="","",IF(COUNTIFS(BD!$A$3:$A$5001,AJ$3,BD!$B$3:$B$5001,$A$491,BD!$P$3:$P$5001,"&lt;&gt;")=0,"",SUMIFS(BD!$P$3:$P$5001,BD!$A$3:$A$5001,AJ$3,BD!$B$3:$B$5001,$A$491)))</f>
        <v/>
      </c>
      <c r="AK504" s="229" t="str">
        <f>IFERROR(LOOKUP(9.99E+307,F504:AJ504),"")</f>
        <v/>
      </c>
    </row>
    <row r="505" ht="15.75" customHeight="1" hidden="1">
      <c r="A505" s="277"/>
      <c r="B505" s="272"/>
      <c r="C505" s="230" t="inlineStr">
        <is>
          <t xml:space="preserve">Backlog Cliente</t>
        </is>
      </c>
      <c r="D505" s="231" t="str">
        <f>IFERROR(1/(1/INDEX(BD!$AF$37:$AZ$37,MATCH($A$491,BD!$AF$22:$AZ$22,0))),"")</f>
        <v/>
      </c>
      <c r="E505" s="232"/>
      <c r="F505" s="233" t="str">
        <f>IF(F$3="","",IF(COUNTIFS(BD!$A$3:$A$5001,F$3,BD!$B$3:$B$5001,$A$491,BD!$Q$3:$Q$5001,"&lt;&gt;")=0,"",SUMIFS(BD!$Q$3:$Q$5001,BD!$A$3:$A$5001,F$3,BD!$B$3:$B$5001,$A$491)))</f>
        <v/>
      </c>
      <c r="G505" s="234" t="str">
        <f>IF(G$3="","",IF(COUNTIFS(BD!$A$3:$A$5001,G$3,BD!$B$3:$B$5001,$A$491,BD!$Q$3:$Q$5001,"&lt;&gt;")=0,"",SUMIFS(BD!$Q$3:$Q$5001,BD!$A$3:$A$5001,G$3,BD!$B$3:$B$5001,$A$491)))</f>
        <v/>
      </c>
      <c r="H505" s="234" t="str">
        <f>IF(H$3="","",IF(COUNTIFS(BD!$A$3:$A$5001,H$3,BD!$B$3:$B$5001,$A$491,BD!$Q$3:$Q$5001,"&lt;&gt;")=0,"",SUMIFS(BD!$Q$3:$Q$5001,BD!$A$3:$A$5001,H$3,BD!$B$3:$B$5001,$A$491)))</f>
        <v/>
      </c>
      <c r="I505" s="234" t="str">
        <f>IF(I$3="","",IF(COUNTIFS(BD!$A$3:$A$5001,I$3,BD!$B$3:$B$5001,$A$491,BD!$Q$3:$Q$5001,"&lt;&gt;")=0,"",SUMIFS(BD!$Q$3:$Q$5001,BD!$A$3:$A$5001,I$3,BD!$B$3:$B$5001,$A$491)))</f>
        <v/>
      </c>
      <c r="J505" s="234" t="str">
        <f>IF(J$3="","",IF(COUNTIFS(BD!$A$3:$A$5001,J$3,BD!$B$3:$B$5001,$A$491,BD!$Q$3:$Q$5001,"&lt;&gt;")=0,"",SUMIFS(BD!$Q$3:$Q$5001,BD!$A$3:$A$5001,J$3,BD!$B$3:$B$5001,$A$491)))</f>
        <v/>
      </c>
      <c r="K505" s="234" t="str">
        <f>IF(K$3="","",IF(COUNTIFS(BD!$A$3:$A$5001,K$3,BD!$B$3:$B$5001,$A$491,BD!$Q$3:$Q$5001,"&lt;&gt;")=0,"",SUMIFS(BD!$Q$3:$Q$5001,BD!$A$3:$A$5001,K$3,BD!$B$3:$B$5001,$A$491)))</f>
        <v/>
      </c>
      <c r="L505" s="234" t="str">
        <f>IF(L$3="","",IF(COUNTIFS(BD!$A$3:$A$5001,L$3,BD!$B$3:$B$5001,$A$491,BD!$Q$3:$Q$5001,"&lt;&gt;")=0,"",SUMIFS(BD!$Q$3:$Q$5001,BD!$A$3:$A$5001,L$3,BD!$B$3:$B$5001,$A$491)))</f>
        <v/>
      </c>
      <c r="M505" s="234" t="str">
        <f>IF(M$3="","",IF(COUNTIFS(BD!$A$3:$A$5001,M$3,BD!$B$3:$B$5001,$A$491,BD!$Q$3:$Q$5001,"&lt;&gt;")=0,"",SUMIFS(BD!$Q$3:$Q$5001,BD!$A$3:$A$5001,M$3,BD!$B$3:$B$5001,$A$491)))</f>
        <v/>
      </c>
      <c r="N505" s="234" t="str">
        <f>IF(N$3="","",IF(COUNTIFS(BD!$A$3:$A$5001,N$3,BD!$B$3:$B$5001,$A$491,BD!$Q$3:$Q$5001,"&lt;&gt;")=0,"",SUMIFS(BD!$Q$3:$Q$5001,BD!$A$3:$A$5001,N$3,BD!$B$3:$B$5001,$A$491)))</f>
        <v/>
      </c>
      <c r="O505" s="234" t="str">
        <f>IF(O$3="","",IF(COUNTIFS(BD!$A$3:$A$5001,O$3,BD!$B$3:$B$5001,$A$491,BD!$Q$3:$Q$5001,"&lt;&gt;")=0,"",SUMIFS(BD!$Q$3:$Q$5001,BD!$A$3:$A$5001,O$3,BD!$B$3:$B$5001,$A$491)))</f>
        <v/>
      </c>
      <c r="P505" s="234" t="str">
        <f>IF(P$3="","",IF(COUNTIFS(BD!$A$3:$A$5001,P$3,BD!$B$3:$B$5001,$A$491,BD!$Q$3:$Q$5001,"&lt;&gt;")=0,"",SUMIFS(BD!$Q$3:$Q$5001,BD!$A$3:$A$5001,P$3,BD!$B$3:$B$5001,$A$491)))</f>
        <v/>
      </c>
      <c r="Q505" s="234" t="str">
        <f>IF(Q$3="","",IF(COUNTIFS(BD!$A$3:$A$5001,Q$3,BD!$B$3:$B$5001,$A$491,BD!$Q$3:$Q$5001,"&lt;&gt;")=0,"",SUMIFS(BD!$Q$3:$Q$5001,BD!$A$3:$A$5001,Q$3,BD!$B$3:$B$5001,$A$491)))</f>
        <v/>
      </c>
      <c r="R505" s="234" t="str">
        <f>IF(R$3="","",IF(COUNTIFS(BD!$A$3:$A$5001,R$3,BD!$B$3:$B$5001,$A$491,BD!$Q$3:$Q$5001,"&lt;&gt;")=0,"",SUMIFS(BD!$Q$3:$Q$5001,BD!$A$3:$A$5001,R$3,BD!$B$3:$B$5001,$A$491)))</f>
        <v/>
      </c>
      <c r="S505" s="234" t="str">
        <f>IF(S$3="","",IF(COUNTIFS(BD!$A$3:$A$5001,S$3,BD!$B$3:$B$5001,$A$491,BD!$Q$3:$Q$5001,"&lt;&gt;")=0,"",SUMIFS(BD!$Q$3:$Q$5001,BD!$A$3:$A$5001,S$3,BD!$B$3:$B$5001,$A$491)))</f>
        <v/>
      </c>
      <c r="T505" s="234" t="str">
        <f>IF(T$3="","",IF(COUNTIFS(BD!$A$3:$A$5001,T$3,BD!$B$3:$B$5001,$A$491,BD!$Q$3:$Q$5001,"&lt;&gt;")=0,"",SUMIFS(BD!$Q$3:$Q$5001,BD!$A$3:$A$5001,T$3,BD!$B$3:$B$5001,$A$491)))</f>
        <v/>
      </c>
      <c r="U505" s="234" t="str">
        <f>IF(U$3="","",IF(COUNTIFS(BD!$A$3:$A$5001,U$3,BD!$B$3:$B$5001,$A$491,BD!$Q$3:$Q$5001,"&lt;&gt;")=0,"",SUMIFS(BD!$Q$3:$Q$5001,BD!$A$3:$A$5001,U$3,BD!$B$3:$B$5001,$A$491)))</f>
        <v/>
      </c>
      <c r="V505" s="234" t="str">
        <f>IF(V$3="","",IF(COUNTIFS(BD!$A$3:$A$5001,V$3,BD!$B$3:$B$5001,$A$491,BD!$Q$3:$Q$5001,"&lt;&gt;")=0,"",SUMIFS(BD!$Q$3:$Q$5001,BD!$A$3:$A$5001,V$3,BD!$B$3:$B$5001,$A$491)))</f>
        <v/>
      </c>
      <c r="W505" s="234" t="str">
        <f>IF(W$3="","",IF(COUNTIFS(BD!$A$3:$A$5001,W$3,BD!$B$3:$B$5001,$A$491,BD!$Q$3:$Q$5001,"&lt;&gt;")=0,"",SUMIFS(BD!$Q$3:$Q$5001,BD!$A$3:$A$5001,W$3,BD!$B$3:$B$5001,$A$491)))</f>
        <v/>
      </c>
      <c r="X505" s="234" t="str">
        <f>IF(X$3="","",IF(COUNTIFS(BD!$A$3:$A$5001,X$3,BD!$B$3:$B$5001,$A$491,BD!$Q$3:$Q$5001,"&lt;&gt;")=0,"",SUMIFS(BD!$Q$3:$Q$5001,BD!$A$3:$A$5001,X$3,BD!$B$3:$B$5001,$A$491)))</f>
        <v/>
      </c>
      <c r="Y505" s="234" t="str">
        <f>IF(Y$3="","",IF(COUNTIFS(BD!$A$3:$A$5001,Y$3,BD!$B$3:$B$5001,$A$491,BD!$Q$3:$Q$5001,"&lt;&gt;")=0,"",SUMIFS(BD!$Q$3:$Q$5001,BD!$A$3:$A$5001,Y$3,BD!$B$3:$B$5001,$A$491)))</f>
        <v/>
      </c>
      <c r="Z505" s="234" t="str">
        <f>IF(Z$3="","",IF(COUNTIFS(BD!$A$3:$A$5001,Z$3,BD!$B$3:$B$5001,$A$491,BD!$Q$3:$Q$5001,"&lt;&gt;")=0,"",SUMIFS(BD!$Q$3:$Q$5001,BD!$A$3:$A$5001,Z$3,BD!$B$3:$B$5001,$A$491)))</f>
        <v/>
      </c>
      <c r="AA505" s="234" t="str">
        <f>IF(AA$3="","",IF(COUNTIFS(BD!$A$3:$A$5001,AA$3,BD!$B$3:$B$5001,$A$491,BD!$Q$3:$Q$5001,"&lt;&gt;")=0,"",SUMIFS(BD!$Q$3:$Q$5001,BD!$A$3:$A$5001,AA$3,BD!$B$3:$B$5001,$A$491)))</f>
        <v/>
      </c>
      <c r="AB505" s="234" t="str">
        <f>IF(AB$3="","",IF(COUNTIFS(BD!$A$3:$A$5001,AB$3,BD!$B$3:$B$5001,$A$491,BD!$Q$3:$Q$5001,"&lt;&gt;")=0,"",SUMIFS(BD!$Q$3:$Q$5001,BD!$A$3:$A$5001,AB$3,BD!$B$3:$B$5001,$A$491)))</f>
        <v/>
      </c>
      <c r="AC505" s="234" t="str">
        <f>IF(AC$3="","",IF(COUNTIFS(BD!$A$3:$A$5001,AC$3,BD!$B$3:$B$5001,$A$491,BD!$Q$3:$Q$5001,"&lt;&gt;")=0,"",SUMIFS(BD!$Q$3:$Q$5001,BD!$A$3:$A$5001,AC$3,BD!$B$3:$B$5001,$A$491)))</f>
        <v/>
      </c>
      <c r="AD505" s="234" t="str">
        <f>IF(AD$3="","",IF(COUNTIFS(BD!$A$3:$A$5001,AD$3,BD!$B$3:$B$5001,$A$491,BD!$Q$3:$Q$5001,"&lt;&gt;")=0,"",SUMIFS(BD!$Q$3:$Q$5001,BD!$A$3:$A$5001,AD$3,BD!$B$3:$B$5001,$A$491)))</f>
        <v/>
      </c>
      <c r="AE505" s="234" t="str">
        <f>IF(AE$3="","",IF(COUNTIFS(BD!$A$3:$A$5001,AE$3,BD!$B$3:$B$5001,$A$491,BD!$Q$3:$Q$5001,"&lt;&gt;")=0,"",SUMIFS(BD!$Q$3:$Q$5001,BD!$A$3:$A$5001,AE$3,BD!$B$3:$B$5001,$A$491)))</f>
        <v/>
      </c>
      <c r="AF505" s="234" t="str">
        <f>IF(AF$3="","",IF(COUNTIFS(BD!$A$3:$A$5001,AF$3,BD!$B$3:$B$5001,$A$491,BD!$Q$3:$Q$5001,"&lt;&gt;")=0,"",SUMIFS(BD!$Q$3:$Q$5001,BD!$A$3:$A$5001,AF$3,BD!$B$3:$B$5001,$A$491)))</f>
        <v/>
      </c>
      <c r="AG505" s="234" t="str">
        <f>IF(AG$3="","",IF(COUNTIFS(BD!$A$3:$A$5001,AG$3,BD!$B$3:$B$5001,$A$491,BD!$Q$3:$Q$5001,"&lt;&gt;")=0,"",SUMIFS(BD!$Q$3:$Q$5001,BD!$A$3:$A$5001,AG$3,BD!$B$3:$B$5001,$A$491)))</f>
        <v/>
      </c>
      <c r="AH505" s="234" t="str">
        <f>IF(AH$3="","",IF(COUNTIFS(BD!$A$3:$A$5001,AH$3,BD!$B$3:$B$5001,$A$491,BD!$Q$3:$Q$5001,"&lt;&gt;")=0,"",SUMIFS(BD!$Q$3:$Q$5001,BD!$A$3:$A$5001,AH$3,BD!$B$3:$B$5001,$A$491)))</f>
        <v/>
      </c>
      <c r="AI505" s="234" t="str">
        <f>IF(AI$3="","",IF(COUNTIFS(BD!$A$3:$A$5001,AI$3,BD!$B$3:$B$5001,$A$491,BD!$Q$3:$Q$5001,"&lt;&gt;")=0,"",SUMIFS(BD!$Q$3:$Q$5001,BD!$A$3:$A$5001,AI$3,BD!$B$3:$B$5001,$A$491)))</f>
        <v/>
      </c>
      <c r="AJ505" s="235" t="str">
        <f>IF(AJ$3="","",IF(COUNTIFS(BD!$A$3:$A$5001,AJ$3,BD!$B$3:$B$5001,$A$491,BD!$Q$3:$Q$5001,"&lt;&gt;")=0,"",SUMIFS(BD!$Q$3:$Q$5001,BD!$A$3:$A$5001,AJ$3,BD!$B$3:$B$5001,$A$491)))</f>
        <v/>
      </c>
      <c r="AK505" s="231" t="str">
        <f>IFERROR(LOOKUP(9.99E+307,F505:AJ505),"")</f>
        <v/>
      </c>
    </row>
    <row r="506" ht="15.75" customHeight="1" hidden="1">
      <c r="A506" s="277"/>
      <c r="B506" s="264" t="inlineStr">
        <is>
          <t xml:space="preserve">OCUPAÇÃO (P.P)</t>
        </is>
      </c>
      <c r="C506" s="168" t="inlineStr">
        <is>
          <t xml:space="preserve">Posições Disponíveis</t>
        </is>
      </c>
      <c r="D506" s="169" t="str">
        <f>IFERROR(1/(1/INDEX(BD!$AF$38:$AZ$38,MATCH($A$491,BD!$AF$22:$AZ$22,0))),"")</f>
        <v/>
      </c>
      <c r="E506" s="170"/>
      <c r="F506" s="171" t="str">
        <f>IF(F$3="","",IF(COUNTIFS(BD!$A$3:$A$5001,F$3,BD!$B$3:$B$5001,$A$491,BD!$R$3:$R$5001,"&lt;&gt;")=0,"",SUMIFS(BD!$R$3:$R$5001,BD!$A$3:$A$5001,F$3,BD!$B$3:$B$5001,$A$491)))</f>
        <v/>
      </c>
      <c r="G506" s="172" t="str">
        <f>IF(G$3="","",IF(COUNTIFS(BD!$A$3:$A$5001,G$3,BD!$B$3:$B$5001,$A$491,BD!$R$3:$R$5001,"&lt;&gt;")=0,"",SUMIFS(BD!$R$3:$R$5001,BD!$A$3:$A$5001,G$3,BD!$B$3:$B$5001,$A$491)))</f>
        <v/>
      </c>
      <c r="H506" s="172" t="str">
        <f>IF(H$3="","",IF(COUNTIFS(BD!$A$3:$A$5001,H$3,BD!$B$3:$B$5001,$A$491,BD!$R$3:$R$5001,"&lt;&gt;")=0,"",SUMIFS(BD!$R$3:$R$5001,BD!$A$3:$A$5001,H$3,BD!$B$3:$B$5001,$A$491)))</f>
        <v/>
      </c>
      <c r="I506" s="172" t="str">
        <f>IF(I$3="","",IF(COUNTIFS(BD!$A$3:$A$5001,I$3,BD!$B$3:$B$5001,$A$491,BD!$R$3:$R$5001,"&lt;&gt;")=0,"",SUMIFS(BD!$R$3:$R$5001,BD!$A$3:$A$5001,I$3,BD!$B$3:$B$5001,$A$491)))</f>
        <v/>
      </c>
      <c r="J506" s="172" t="str">
        <f>IF(J$3="","",IF(COUNTIFS(BD!$A$3:$A$5001,J$3,BD!$B$3:$B$5001,$A$491,BD!$R$3:$R$5001,"&lt;&gt;")=0,"",SUMIFS(BD!$R$3:$R$5001,BD!$A$3:$A$5001,J$3,BD!$B$3:$B$5001,$A$491)))</f>
        <v/>
      </c>
      <c r="K506" s="172" t="str">
        <f>IF(K$3="","",IF(COUNTIFS(BD!$A$3:$A$5001,K$3,BD!$B$3:$B$5001,$A$491,BD!$R$3:$R$5001,"&lt;&gt;")=0,"",SUMIFS(BD!$R$3:$R$5001,BD!$A$3:$A$5001,K$3,BD!$B$3:$B$5001,$A$491)))</f>
        <v/>
      </c>
      <c r="L506" s="172" t="str">
        <f>IF(L$3="","",IF(COUNTIFS(BD!$A$3:$A$5001,L$3,BD!$B$3:$B$5001,$A$491,BD!$R$3:$R$5001,"&lt;&gt;")=0,"",SUMIFS(BD!$R$3:$R$5001,BD!$A$3:$A$5001,L$3,BD!$B$3:$B$5001,$A$491)))</f>
        <v/>
      </c>
      <c r="M506" s="172" t="str">
        <f>IF(M$3="","",IF(COUNTIFS(BD!$A$3:$A$5001,M$3,BD!$B$3:$B$5001,$A$491,BD!$R$3:$R$5001,"&lt;&gt;")=0,"",SUMIFS(BD!$R$3:$R$5001,BD!$A$3:$A$5001,M$3,BD!$B$3:$B$5001,$A$491)))</f>
        <v/>
      </c>
      <c r="N506" s="172" t="str">
        <f>IF(N$3="","",IF(COUNTIFS(BD!$A$3:$A$5001,N$3,BD!$B$3:$B$5001,$A$491,BD!$R$3:$R$5001,"&lt;&gt;")=0,"",SUMIFS(BD!$R$3:$R$5001,BD!$A$3:$A$5001,N$3,BD!$B$3:$B$5001,$A$491)))</f>
        <v/>
      </c>
      <c r="O506" s="172" t="str">
        <f>IF(O$3="","",IF(COUNTIFS(BD!$A$3:$A$5001,O$3,BD!$B$3:$B$5001,$A$491,BD!$R$3:$R$5001,"&lt;&gt;")=0,"",SUMIFS(BD!$R$3:$R$5001,BD!$A$3:$A$5001,O$3,BD!$B$3:$B$5001,$A$491)))</f>
        <v/>
      </c>
      <c r="P506" s="172" t="str">
        <f>IF(P$3="","",IF(COUNTIFS(BD!$A$3:$A$5001,P$3,BD!$B$3:$B$5001,$A$491,BD!$R$3:$R$5001,"&lt;&gt;")=0,"",SUMIFS(BD!$R$3:$R$5001,BD!$A$3:$A$5001,P$3,BD!$B$3:$B$5001,$A$491)))</f>
        <v/>
      </c>
      <c r="Q506" s="172" t="str">
        <f>IF(Q$3="","",IF(COUNTIFS(BD!$A$3:$A$5001,Q$3,BD!$B$3:$B$5001,$A$491,BD!$R$3:$R$5001,"&lt;&gt;")=0,"",SUMIFS(BD!$R$3:$R$5001,BD!$A$3:$A$5001,Q$3,BD!$B$3:$B$5001,$A$491)))</f>
        <v/>
      </c>
      <c r="R506" s="172" t="str">
        <f>IF(R$3="","",IF(COUNTIFS(BD!$A$3:$A$5001,R$3,BD!$B$3:$B$5001,$A$491,BD!$R$3:$R$5001,"&lt;&gt;")=0,"",SUMIFS(BD!$R$3:$R$5001,BD!$A$3:$A$5001,R$3,BD!$B$3:$B$5001,$A$491)))</f>
        <v/>
      </c>
      <c r="S506" s="172" t="str">
        <f>IF(S$3="","",IF(COUNTIFS(BD!$A$3:$A$5001,S$3,BD!$B$3:$B$5001,$A$491,BD!$R$3:$R$5001,"&lt;&gt;")=0,"",SUMIFS(BD!$R$3:$R$5001,BD!$A$3:$A$5001,S$3,BD!$B$3:$B$5001,$A$491)))</f>
        <v/>
      </c>
      <c r="T506" s="172" t="str">
        <f>IF(T$3="","",IF(COUNTIFS(BD!$A$3:$A$5001,T$3,BD!$B$3:$B$5001,$A$491,BD!$R$3:$R$5001,"&lt;&gt;")=0,"",SUMIFS(BD!$R$3:$R$5001,BD!$A$3:$A$5001,T$3,BD!$B$3:$B$5001,$A$491)))</f>
        <v/>
      </c>
      <c r="U506" s="172" t="str">
        <f>IF(U$3="","",IF(COUNTIFS(BD!$A$3:$A$5001,U$3,BD!$B$3:$B$5001,$A$491,BD!$R$3:$R$5001,"&lt;&gt;")=0,"",SUMIFS(BD!$R$3:$R$5001,BD!$A$3:$A$5001,U$3,BD!$B$3:$B$5001,$A$491)))</f>
        <v/>
      </c>
      <c r="V506" s="172" t="str">
        <f>IF(V$3="","",IF(COUNTIFS(BD!$A$3:$A$5001,V$3,BD!$B$3:$B$5001,$A$491,BD!$R$3:$R$5001,"&lt;&gt;")=0,"",SUMIFS(BD!$R$3:$R$5001,BD!$A$3:$A$5001,V$3,BD!$B$3:$B$5001,$A$491)))</f>
        <v/>
      </c>
      <c r="W506" s="172" t="str">
        <f>IF(W$3="","",IF(COUNTIFS(BD!$A$3:$A$5001,W$3,BD!$B$3:$B$5001,$A$491,BD!$R$3:$R$5001,"&lt;&gt;")=0,"",SUMIFS(BD!$R$3:$R$5001,BD!$A$3:$A$5001,W$3,BD!$B$3:$B$5001,$A$491)))</f>
        <v/>
      </c>
      <c r="X506" s="172" t="str">
        <f>IF(X$3="","",IF(COUNTIFS(BD!$A$3:$A$5001,X$3,BD!$B$3:$B$5001,$A$491,BD!$R$3:$R$5001,"&lt;&gt;")=0,"",SUMIFS(BD!$R$3:$R$5001,BD!$A$3:$A$5001,X$3,BD!$B$3:$B$5001,$A$491)))</f>
        <v/>
      </c>
      <c r="Y506" s="172" t="str">
        <f>IF(Y$3="","",IF(COUNTIFS(BD!$A$3:$A$5001,Y$3,BD!$B$3:$B$5001,$A$491,BD!$R$3:$R$5001,"&lt;&gt;")=0,"",SUMIFS(BD!$R$3:$R$5001,BD!$A$3:$A$5001,Y$3,BD!$B$3:$B$5001,$A$491)))</f>
        <v/>
      </c>
      <c r="Z506" s="172" t="str">
        <f>IF(Z$3="","",IF(COUNTIFS(BD!$A$3:$A$5001,Z$3,BD!$B$3:$B$5001,$A$491,BD!$R$3:$R$5001,"&lt;&gt;")=0,"",SUMIFS(BD!$R$3:$R$5001,BD!$A$3:$A$5001,Z$3,BD!$B$3:$B$5001,$A$491)))</f>
        <v/>
      </c>
      <c r="AA506" s="172" t="str">
        <f>IF(AA$3="","",IF(COUNTIFS(BD!$A$3:$A$5001,AA$3,BD!$B$3:$B$5001,$A$491,BD!$R$3:$R$5001,"&lt;&gt;")=0,"",SUMIFS(BD!$R$3:$R$5001,BD!$A$3:$A$5001,AA$3,BD!$B$3:$B$5001,$A$491)))</f>
        <v/>
      </c>
      <c r="AB506" s="172" t="str">
        <f>IF(AB$3="","",IF(COUNTIFS(BD!$A$3:$A$5001,AB$3,BD!$B$3:$B$5001,$A$491,BD!$R$3:$R$5001,"&lt;&gt;")=0,"",SUMIFS(BD!$R$3:$R$5001,BD!$A$3:$A$5001,AB$3,BD!$B$3:$B$5001,$A$491)))</f>
        <v/>
      </c>
      <c r="AC506" s="172" t="str">
        <f>IF(AC$3="","",IF(COUNTIFS(BD!$A$3:$A$5001,AC$3,BD!$B$3:$B$5001,$A$491,BD!$R$3:$R$5001,"&lt;&gt;")=0,"",SUMIFS(BD!$R$3:$R$5001,BD!$A$3:$A$5001,AC$3,BD!$B$3:$B$5001,$A$491)))</f>
        <v/>
      </c>
      <c r="AD506" s="172" t="str">
        <f>IF(AD$3="","",IF(COUNTIFS(BD!$A$3:$A$5001,AD$3,BD!$B$3:$B$5001,$A$491,BD!$R$3:$R$5001,"&lt;&gt;")=0,"",SUMIFS(BD!$R$3:$R$5001,BD!$A$3:$A$5001,AD$3,BD!$B$3:$B$5001,$A$491)))</f>
        <v/>
      </c>
      <c r="AE506" s="172" t="str">
        <f>IF(AE$3="","",IF(COUNTIFS(BD!$A$3:$A$5001,AE$3,BD!$B$3:$B$5001,$A$491,BD!$R$3:$R$5001,"&lt;&gt;")=0,"",SUMIFS(BD!$R$3:$R$5001,BD!$A$3:$A$5001,AE$3,BD!$B$3:$B$5001,$A$491)))</f>
        <v/>
      </c>
      <c r="AF506" s="172" t="str">
        <f>IF(AF$3="","",IF(COUNTIFS(BD!$A$3:$A$5001,AF$3,BD!$B$3:$B$5001,$A$491,BD!$R$3:$R$5001,"&lt;&gt;")=0,"",SUMIFS(BD!$R$3:$R$5001,BD!$A$3:$A$5001,AF$3,BD!$B$3:$B$5001,$A$491)))</f>
        <v/>
      </c>
      <c r="AG506" s="172" t="str">
        <f>IF(AG$3="","",IF(COUNTIFS(BD!$A$3:$A$5001,AG$3,BD!$B$3:$B$5001,$A$491,BD!$R$3:$R$5001,"&lt;&gt;")=0,"",SUMIFS(BD!$R$3:$R$5001,BD!$A$3:$A$5001,AG$3,BD!$B$3:$B$5001,$A$491)))</f>
        <v/>
      </c>
      <c r="AH506" s="172" t="str">
        <f>IF(AH$3="","",IF(COUNTIFS(BD!$A$3:$A$5001,AH$3,BD!$B$3:$B$5001,$A$491,BD!$R$3:$R$5001,"&lt;&gt;")=0,"",SUMIFS(BD!$R$3:$R$5001,BD!$A$3:$A$5001,AH$3,BD!$B$3:$B$5001,$A$491)))</f>
        <v/>
      </c>
      <c r="AI506" s="172" t="str">
        <f>IF(AI$3="","",IF(COUNTIFS(BD!$A$3:$A$5001,AI$3,BD!$B$3:$B$5001,$A$491,BD!$R$3:$R$5001,"&lt;&gt;")=0,"",SUMIFS(BD!$R$3:$R$5001,BD!$A$3:$A$5001,AI$3,BD!$B$3:$B$5001,$A$491)))</f>
        <v/>
      </c>
      <c r="AJ506" s="173" t="str">
        <f>IF(AJ$3="","",IF(COUNTIFS(BD!$A$3:$A$5001,AJ$3,BD!$B$3:$B$5001,$A$491,BD!$R$3:$R$5001,"&lt;&gt;")=0,"",SUMIFS(BD!$R$3:$R$5001,BD!$A$3:$A$5001,AJ$3,BD!$B$3:$B$5001,$A$491)))</f>
        <v/>
      </c>
      <c r="AK506" s="174" t="str">
        <f>IF(COUNT(F506:AJ506)&gt;0,LOOKUP(9.99E+307,F506:AJ506),IFERROR(IF(INDEX(BD!$AC$3:$AC$5001,MATCH($A$491,BD!$B$3:$B$5001,0))&amp;""="Contrato","",INDEX(BD!$AC$3:$AC$5001,MATCH($A$491,BD!$B$3:$B$5001,0))&amp;""),""))</f>
        <v/>
      </c>
    </row>
    <row r="507" ht="15.75" customHeight="1" hidden="1">
      <c r="A507" s="277"/>
      <c r="B507" s="265"/>
      <c r="C507" s="175" t="inlineStr">
        <is>
          <t xml:space="preserve">Posições Ocupadas</t>
        </is>
      </c>
      <c r="D507" s="176" t="str">
        <f>IFERROR(1/(1/INDEX(BD!$AF$39:$AZ$39,MATCH($A$491,BD!$AF$22:$AZ$22,0))),"")</f>
        <v/>
      </c>
      <c r="E507" s="177"/>
      <c r="F507" s="178" t="str">
        <f>IF(F$3="","",IF(COUNTIFS(BD!$A$3:$A$5001,F$3,BD!$B$3:$B$5001,$A$491,BD!$S$3:$S$5001,"&lt;&gt;")=0,"",SUMIFS(BD!$S$3:$S$5001,BD!$A$3:$A$5001,F$3,BD!$B$3:$B$5001,$A$491)))</f>
        <v/>
      </c>
      <c r="G507" s="179" t="str">
        <f>IF(G$3="","",IF(COUNTIFS(BD!$A$3:$A$5001,G$3,BD!$B$3:$B$5001,$A$491,BD!$S$3:$S$5001,"&lt;&gt;")=0,"",SUMIFS(BD!$S$3:$S$5001,BD!$A$3:$A$5001,G$3,BD!$B$3:$B$5001,$A$491)))</f>
        <v/>
      </c>
      <c r="H507" s="179" t="str">
        <f>IF(H$3="","",IF(COUNTIFS(BD!$A$3:$A$5001,H$3,BD!$B$3:$B$5001,$A$491,BD!$S$3:$S$5001,"&lt;&gt;")=0,"",SUMIFS(BD!$S$3:$S$5001,BD!$A$3:$A$5001,H$3,BD!$B$3:$B$5001,$A$491)))</f>
        <v/>
      </c>
      <c r="I507" s="179" t="str">
        <f>IF(I$3="","",IF(COUNTIFS(BD!$A$3:$A$5001,I$3,BD!$B$3:$B$5001,$A$491,BD!$S$3:$S$5001,"&lt;&gt;")=0,"",SUMIFS(BD!$S$3:$S$5001,BD!$A$3:$A$5001,I$3,BD!$B$3:$B$5001,$A$491)))</f>
        <v/>
      </c>
      <c r="J507" s="179" t="str">
        <f>IF(J$3="","",IF(COUNTIFS(BD!$A$3:$A$5001,J$3,BD!$B$3:$B$5001,$A$491,BD!$S$3:$S$5001,"&lt;&gt;")=0,"",SUMIFS(BD!$S$3:$S$5001,BD!$A$3:$A$5001,J$3,BD!$B$3:$B$5001,$A$491)))</f>
        <v/>
      </c>
      <c r="K507" s="179" t="str">
        <f>IF(K$3="","",IF(COUNTIFS(BD!$A$3:$A$5001,K$3,BD!$B$3:$B$5001,$A$491,BD!$S$3:$S$5001,"&lt;&gt;")=0,"",SUMIFS(BD!$S$3:$S$5001,BD!$A$3:$A$5001,K$3,BD!$B$3:$B$5001,$A$491)))</f>
        <v/>
      </c>
      <c r="L507" s="179" t="str">
        <f>IF(L$3="","",IF(COUNTIFS(BD!$A$3:$A$5001,L$3,BD!$B$3:$B$5001,$A$491,BD!$S$3:$S$5001,"&lt;&gt;")=0,"",SUMIFS(BD!$S$3:$S$5001,BD!$A$3:$A$5001,L$3,BD!$B$3:$B$5001,$A$491)))</f>
        <v/>
      </c>
      <c r="M507" s="179" t="str">
        <f>IF(M$3="","",IF(COUNTIFS(BD!$A$3:$A$5001,M$3,BD!$B$3:$B$5001,$A$491,BD!$S$3:$S$5001,"&lt;&gt;")=0,"",SUMIFS(BD!$S$3:$S$5001,BD!$A$3:$A$5001,M$3,BD!$B$3:$B$5001,$A$491)))</f>
        <v/>
      </c>
      <c r="N507" s="179" t="str">
        <f>IF(N$3="","",IF(COUNTIFS(BD!$A$3:$A$5001,N$3,BD!$B$3:$B$5001,$A$491,BD!$S$3:$S$5001,"&lt;&gt;")=0,"",SUMIFS(BD!$S$3:$S$5001,BD!$A$3:$A$5001,N$3,BD!$B$3:$B$5001,$A$491)))</f>
        <v/>
      </c>
      <c r="O507" s="179" t="str">
        <f>IF(O$3="","",IF(COUNTIFS(BD!$A$3:$A$5001,O$3,BD!$B$3:$B$5001,$A$491,BD!$S$3:$S$5001,"&lt;&gt;")=0,"",SUMIFS(BD!$S$3:$S$5001,BD!$A$3:$A$5001,O$3,BD!$B$3:$B$5001,$A$491)))</f>
        <v/>
      </c>
      <c r="P507" s="179" t="str">
        <f>IF(P$3="","",IF(COUNTIFS(BD!$A$3:$A$5001,P$3,BD!$B$3:$B$5001,$A$491,BD!$S$3:$S$5001,"&lt;&gt;")=0,"",SUMIFS(BD!$S$3:$S$5001,BD!$A$3:$A$5001,P$3,BD!$B$3:$B$5001,$A$491)))</f>
        <v/>
      </c>
      <c r="Q507" s="179" t="str">
        <f>IF(Q$3="","",IF(COUNTIFS(BD!$A$3:$A$5001,Q$3,BD!$B$3:$B$5001,$A$491,BD!$S$3:$S$5001,"&lt;&gt;")=0,"",SUMIFS(BD!$S$3:$S$5001,BD!$A$3:$A$5001,Q$3,BD!$B$3:$B$5001,$A$491)))</f>
        <v/>
      </c>
      <c r="R507" s="179" t="str">
        <f>IF(R$3="","",IF(COUNTIFS(BD!$A$3:$A$5001,R$3,BD!$B$3:$B$5001,$A$491,BD!$S$3:$S$5001,"&lt;&gt;")=0,"",SUMIFS(BD!$S$3:$S$5001,BD!$A$3:$A$5001,R$3,BD!$B$3:$B$5001,$A$491)))</f>
        <v/>
      </c>
      <c r="S507" s="179" t="str">
        <f>IF(S$3="","",IF(COUNTIFS(BD!$A$3:$A$5001,S$3,BD!$B$3:$B$5001,$A$491,BD!$S$3:$S$5001,"&lt;&gt;")=0,"",SUMIFS(BD!$S$3:$S$5001,BD!$A$3:$A$5001,S$3,BD!$B$3:$B$5001,$A$491)))</f>
        <v/>
      </c>
      <c r="T507" s="179" t="str">
        <f>IF(T$3="","",IF(COUNTIFS(BD!$A$3:$A$5001,T$3,BD!$B$3:$B$5001,$A$491,BD!$S$3:$S$5001,"&lt;&gt;")=0,"",SUMIFS(BD!$S$3:$S$5001,BD!$A$3:$A$5001,T$3,BD!$B$3:$B$5001,$A$491)))</f>
        <v/>
      </c>
      <c r="U507" s="179" t="str">
        <f>IF(U$3="","",IF(COUNTIFS(BD!$A$3:$A$5001,U$3,BD!$B$3:$B$5001,$A$491,BD!$S$3:$S$5001,"&lt;&gt;")=0,"",SUMIFS(BD!$S$3:$S$5001,BD!$A$3:$A$5001,U$3,BD!$B$3:$B$5001,$A$491)))</f>
        <v/>
      </c>
      <c r="V507" s="179" t="str">
        <f>IF(V$3="","",IF(COUNTIFS(BD!$A$3:$A$5001,V$3,BD!$B$3:$B$5001,$A$491,BD!$S$3:$S$5001,"&lt;&gt;")=0,"",SUMIFS(BD!$S$3:$S$5001,BD!$A$3:$A$5001,V$3,BD!$B$3:$B$5001,$A$491)))</f>
        <v/>
      </c>
      <c r="W507" s="179" t="str">
        <f>IF(W$3="","",IF(COUNTIFS(BD!$A$3:$A$5001,W$3,BD!$B$3:$B$5001,$A$491,BD!$S$3:$S$5001,"&lt;&gt;")=0,"",SUMIFS(BD!$S$3:$S$5001,BD!$A$3:$A$5001,W$3,BD!$B$3:$B$5001,$A$491)))</f>
        <v/>
      </c>
      <c r="X507" s="179" t="str">
        <f>IF(X$3="","",IF(COUNTIFS(BD!$A$3:$A$5001,X$3,BD!$B$3:$B$5001,$A$491,BD!$S$3:$S$5001,"&lt;&gt;")=0,"",SUMIFS(BD!$S$3:$S$5001,BD!$A$3:$A$5001,X$3,BD!$B$3:$B$5001,$A$491)))</f>
        <v/>
      </c>
      <c r="Y507" s="179" t="str">
        <f>IF(Y$3="","",IF(COUNTIFS(BD!$A$3:$A$5001,Y$3,BD!$B$3:$B$5001,$A$491,BD!$S$3:$S$5001,"&lt;&gt;")=0,"",SUMIFS(BD!$S$3:$S$5001,BD!$A$3:$A$5001,Y$3,BD!$B$3:$B$5001,$A$491)))</f>
        <v/>
      </c>
      <c r="Z507" s="179" t="str">
        <f>IF(Z$3="","",IF(COUNTIFS(BD!$A$3:$A$5001,Z$3,BD!$B$3:$B$5001,$A$491,BD!$S$3:$S$5001,"&lt;&gt;")=0,"",SUMIFS(BD!$S$3:$S$5001,BD!$A$3:$A$5001,Z$3,BD!$B$3:$B$5001,$A$491)))</f>
        <v/>
      </c>
      <c r="AA507" s="179" t="str">
        <f>IF(AA$3="","",IF(COUNTIFS(BD!$A$3:$A$5001,AA$3,BD!$B$3:$B$5001,$A$491,BD!$S$3:$S$5001,"&lt;&gt;")=0,"",SUMIFS(BD!$S$3:$S$5001,BD!$A$3:$A$5001,AA$3,BD!$B$3:$B$5001,$A$491)))</f>
        <v/>
      </c>
      <c r="AB507" s="179" t="str">
        <f>IF(AB$3="","",IF(COUNTIFS(BD!$A$3:$A$5001,AB$3,BD!$B$3:$B$5001,$A$491,BD!$S$3:$S$5001,"&lt;&gt;")=0,"",SUMIFS(BD!$S$3:$S$5001,BD!$A$3:$A$5001,AB$3,BD!$B$3:$B$5001,$A$491)))</f>
        <v/>
      </c>
      <c r="AC507" s="179" t="str">
        <f>IF(AC$3="","",IF(COUNTIFS(BD!$A$3:$A$5001,AC$3,BD!$B$3:$B$5001,$A$491,BD!$S$3:$S$5001,"&lt;&gt;")=0,"",SUMIFS(BD!$S$3:$S$5001,BD!$A$3:$A$5001,AC$3,BD!$B$3:$B$5001,$A$491)))</f>
        <v/>
      </c>
      <c r="AD507" s="179" t="str">
        <f>IF(AD$3="","",IF(COUNTIFS(BD!$A$3:$A$5001,AD$3,BD!$B$3:$B$5001,$A$491,BD!$S$3:$S$5001,"&lt;&gt;")=0,"",SUMIFS(BD!$S$3:$S$5001,BD!$A$3:$A$5001,AD$3,BD!$B$3:$B$5001,$A$491)))</f>
        <v/>
      </c>
      <c r="AE507" s="179" t="str">
        <f>IF(AE$3="","",IF(COUNTIFS(BD!$A$3:$A$5001,AE$3,BD!$B$3:$B$5001,$A$491,BD!$S$3:$S$5001,"&lt;&gt;")=0,"",SUMIFS(BD!$S$3:$S$5001,BD!$A$3:$A$5001,AE$3,BD!$B$3:$B$5001,$A$491)))</f>
        <v/>
      </c>
      <c r="AF507" s="179" t="str">
        <f>IF(AF$3="","",IF(COUNTIFS(BD!$A$3:$A$5001,AF$3,BD!$B$3:$B$5001,$A$491,BD!$S$3:$S$5001,"&lt;&gt;")=0,"",SUMIFS(BD!$S$3:$S$5001,BD!$A$3:$A$5001,AF$3,BD!$B$3:$B$5001,$A$491)))</f>
        <v/>
      </c>
      <c r="AG507" s="179" t="str">
        <f>IF(AG$3="","",IF(COUNTIFS(BD!$A$3:$A$5001,AG$3,BD!$B$3:$B$5001,$A$491,BD!$S$3:$S$5001,"&lt;&gt;")=0,"",SUMIFS(BD!$S$3:$S$5001,BD!$A$3:$A$5001,AG$3,BD!$B$3:$B$5001,$A$491)))</f>
        <v/>
      </c>
      <c r="AH507" s="179" t="str">
        <f>IF(AH$3="","",IF(COUNTIFS(BD!$A$3:$A$5001,AH$3,BD!$B$3:$B$5001,$A$491,BD!$S$3:$S$5001,"&lt;&gt;")=0,"",SUMIFS(BD!$S$3:$S$5001,BD!$A$3:$A$5001,AH$3,BD!$B$3:$B$5001,$A$491)))</f>
        <v/>
      </c>
      <c r="AI507" s="179" t="str">
        <f>IF(AI$3="","",IF(COUNTIFS(BD!$A$3:$A$5001,AI$3,BD!$B$3:$B$5001,$A$491,BD!$S$3:$S$5001,"&lt;&gt;")=0,"",SUMIFS(BD!$S$3:$S$5001,BD!$A$3:$A$5001,AI$3,BD!$B$3:$B$5001,$A$491)))</f>
        <v/>
      </c>
      <c r="AJ507" s="180" t="str">
        <f>IF(AJ$3="","",IF(COUNTIFS(BD!$A$3:$A$5001,AJ$3,BD!$B$3:$B$5001,$A$491,BD!$S$3:$S$5001,"&lt;&gt;")=0,"",SUMIFS(BD!$S$3:$S$5001,BD!$A$3:$A$5001,AJ$3,BD!$B$3:$B$5001,$A$491)))</f>
        <v/>
      </c>
      <c r="AK507" s="181" t="str">
        <f>IFERROR(LOOKUP(9.99E+307,F507:AJ507),"")</f>
        <v/>
      </c>
    </row>
    <row r="508" ht="15.75" customHeight="1" hidden="1">
      <c r="A508" s="277"/>
      <c r="B508" s="266"/>
      <c r="C508" s="186" t="inlineStr">
        <is>
          <t xml:space="preserve">Taxa de Ocupação</t>
        </is>
      </c>
      <c r="D508" s="236" t="str">
        <f>IFERROR(1/(1/INDEX(BD!$AF$40:$AZ$40,MATCH($A$491,BD!$AF$22:$AZ$22,0))),"")</f>
        <v/>
      </c>
      <c r="E508" s="188"/>
      <c r="F508" s="237" t="str">
        <f>IF(AND(ISNUMBER(F506),ISNUMBER(F507)),IF(F506&gt;0,F507/F506,""),"")</f>
        <v/>
      </c>
      <c r="G508" s="238" t="str">
        <f>IF(AND(ISNUMBER(G506),ISNUMBER(G507)),IF(G506&gt;0,G507/G506,""),"")</f>
        <v/>
      </c>
      <c r="H508" s="238" t="str">
        <f>IF(AND(ISNUMBER(H506),ISNUMBER(H507)),IF(H506&gt;0,H507/H506,""),"")</f>
        <v/>
      </c>
      <c r="I508" s="238" t="str">
        <f>IF(AND(ISNUMBER(I506),ISNUMBER(I507)),IF(I506&gt;0,I507/I506,""),"")</f>
        <v/>
      </c>
      <c r="J508" s="238" t="str">
        <f>IF(AND(ISNUMBER(J506),ISNUMBER(J507)),IF(J506&gt;0,J507/J506,""),"")</f>
        <v/>
      </c>
      <c r="K508" s="238" t="str">
        <f>IF(AND(ISNUMBER(K506),ISNUMBER(K507)),IF(K506&gt;0,K507/K506,""),"")</f>
        <v/>
      </c>
      <c r="L508" s="238" t="str">
        <f>IF(AND(ISNUMBER(L506),ISNUMBER(L507)),IF(L506&gt;0,L507/L506,""),"")</f>
        <v/>
      </c>
      <c r="M508" s="238" t="str">
        <f>IF(AND(ISNUMBER(M506),ISNUMBER(M507)),IF(M506&gt;0,M507/M506,""),"")</f>
        <v/>
      </c>
      <c r="N508" s="238" t="str">
        <f>IF(AND(ISNUMBER(N506),ISNUMBER(N507)),IF(N506&gt;0,N507/N506,""),"")</f>
        <v/>
      </c>
      <c r="O508" s="238" t="str">
        <f>IF(AND(ISNUMBER(O506),ISNUMBER(O507)),IF(O506&gt;0,O507/O506,""),"")</f>
        <v/>
      </c>
      <c r="P508" s="238" t="str">
        <f>IF(AND(ISNUMBER(P506),ISNUMBER(P507)),IF(P506&gt;0,P507/P506,""),"")</f>
        <v/>
      </c>
      <c r="Q508" s="238" t="str">
        <f>IF(AND(ISNUMBER(Q506),ISNUMBER(Q507)),IF(Q506&gt;0,Q507/Q506,""),"")</f>
        <v/>
      </c>
      <c r="R508" s="238" t="str">
        <f>IF(AND(ISNUMBER(R506),ISNUMBER(R507)),IF(R506&gt;0,R507/R506,""),"")</f>
        <v/>
      </c>
      <c r="S508" s="238" t="str">
        <f>IF(AND(ISNUMBER(S506),ISNUMBER(S507)),IF(S506&gt;0,S507/S506,""),"")</f>
        <v/>
      </c>
      <c r="T508" s="238" t="str">
        <f>IF(AND(ISNUMBER(T506),ISNUMBER(T507)),IF(T506&gt;0,T507/T506,""),"")</f>
        <v/>
      </c>
      <c r="U508" s="238" t="str">
        <f>IF(AND(ISNUMBER(U506),ISNUMBER(U507)),IF(U506&gt;0,U507/U506,""),"")</f>
        <v/>
      </c>
      <c r="V508" s="238" t="str">
        <f>IF(AND(ISNUMBER(V506),ISNUMBER(V507)),IF(V506&gt;0,V507/V506,""),"")</f>
        <v/>
      </c>
      <c r="W508" s="238" t="str">
        <f>IF(AND(ISNUMBER(W506),ISNUMBER(W507)),IF(W506&gt;0,W507/W506,""),"")</f>
        <v/>
      </c>
      <c r="X508" s="238" t="str">
        <f>IF(AND(ISNUMBER(X506),ISNUMBER(X507)),IF(X506&gt;0,X507/X506,""),"")</f>
        <v/>
      </c>
      <c r="Y508" s="238" t="str">
        <f>IF(AND(ISNUMBER(Y506),ISNUMBER(Y507)),IF(Y506&gt;0,Y507/Y506,""),"")</f>
        <v/>
      </c>
      <c r="Z508" s="238" t="str">
        <f>IF(AND(ISNUMBER(Z506),ISNUMBER(Z507)),IF(Z506&gt;0,Z507/Z506,""),"")</f>
        <v/>
      </c>
      <c r="AA508" s="238" t="str">
        <f>IF(AND(ISNUMBER(AA506),ISNUMBER(AA507)),IF(AA506&gt;0,AA507/AA506,""),"")</f>
        <v/>
      </c>
      <c r="AB508" s="238" t="str">
        <f>IF(AND(ISNUMBER(AB506),ISNUMBER(AB507)),IF(AB506&gt;0,AB507/AB506,""),"")</f>
        <v/>
      </c>
      <c r="AC508" s="238" t="str">
        <f>IF(AND(ISNUMBER(AC506),ISNUMBER(AC507)),IF(AC506&gt;0,AC507/AC506,""),"")</f>
        <v/>
      </c>
      <c r="AD508" s="238" t="str">
        <f>IF(AND(ISNUMBER(AD506),ISNUMBER(AD507)),IF(AD506&gt;0,AD507/AD506,""),"")</f>
        <v/>
      </c>
      <c r="AE508" s="238" t="str">
        <f>IF(AND(ISNUMBER(AE506),ISNUMBER(AE507)),IF(AE506&gt;0,AE507/AE506,""),"")</f>
        <v/>
      </c>
      <c r="AF508" s="238" t="str">
        <f>IF(AND(ISNUMBER(AF506),ISNUMBER(AF507)),IF(AF506&gt;0,AF507/AF506,""),"")</f>
        <v/>
      </c>
      <c r="AG508" s="238" t="str">
        <f>IF(AND(ISNUMBER(AG506),ISNUMBER(AG507)),IF(AG506&gt;0,AG507/AG506,""),"")</f>
        <v/>
      </c>
      <c r="AH508" s="238" t="str">
        <f>IF(AND(ISNUMBER(AH506),ISNUMBER(AH507)),IF(AH506&gt;0,AH507/AH506,""),"")</f>
        <v/>
      </c>
      <c r="AI508" s="238" t="str">
        <f>IF(AND(ISNUMBER(AI506),ISNUMBER(AI507)),IF(AI506&gt;0,AI507/AI506,""),"")</f>
        <v/>
      </c>
      <c r="AJ508" s="239" t="str">
        <f>IF(AND(ISNUMBER(AJ506),ISNUMBER(AJ507)),IF(AJ506&gt;0,AJ507/AJ506,""),"")</f>
        <v/>
      </c>
      <c r="AK508" s="236" t="str">
        <f>IF(AND(ISNUMBER(AK506),ISNUMBER(AK507)),IF(AK506&gt;0,AK507/AK506,""),"")</f>
        <v/>
      </c>
    </row>
    <row r="509" ht="15.75" customHeight="1" hidden="1">
      <c r="A509" s="277"/>
      <c r="B509" s="273" t="inlineStr">
        <is>
          <t xml:space="preserve">GENTE</t>
        </is>
      </c>
      <c r="C509" s="240" t="inlineStr">
        <is>
          <t xml:space="preserve">Efetivo Op.</t>
        </is>
      </c>
      <c r="D509" s="241" t="str">
        <f>IFERROR(1/(1/INDEX(BD!$AF$41:$AZ$41,MATCH($A$491,BD!$AF$22:$AZ$22,0))),"")</f>
        <v/>
      </c>
      <c r="E509" s="242"/>
      <c r="F509" s="243" t="str">
        <f>IF(F$3="","",IF(COUNTIFS(BD!$A$3:$A$5001,F$3,BD!$B$3:$B$5001,$A$491,BD!$T$3:$T$5001,"&lt;&gt;")=0,"",SUMIFS(BD!$T$3:$T$5001,BD!$A$3:$A$5001,F$3,BD!$B$3:$B$5001,$A$491)))</f>
        <v/>
      </c>
      <c r="G509" s="244" t="str">
        <f>IF(G$3="","",IF(COUNTIFS(BD!$A$3:$A$5001,G$3,BD!$B$3:$B$5001,$A$491,BD!$T$3:$T$5001,"&lt;&gt;")=0,"",SUMIFS(BD!$T$3:$T$5001,BD!$A$3:$A$5001,G$3,BD!$B$3:$B$5001,$A$491)))</f>
        <v/>
      </c>
      <c r="H509" s="244" t="str">
        <f>IF(H$3="","",IF(COUNTIFS(BD!$A$3:$A$5001,H$3,BD!$B$3:$B$5001,$A$491,BD!$T$3:$T$5001,"&lt;&gt;")=0,"",SUMIFS(BD!$T$3:$T$5001,BD!$A$3:$A$5001,H$3,BD!$B$3:$B$5001,$A$491)))</f>
        <v/>
      </c>
      <c r="I509" s="244" t="str">
        <f>IF(I$3="","",IF(COUNTIFS(BD!$A$3:$A$5001,I$3,BD!$B$3:$B$5001,$A$491,BD!$T$3:$T$5001,"&lt;&gt;")=0,"",SUMIFS(BD!$T$3:$T$5001,BD!$A$3:$A$5001,I$3,BD!$B$3:$B$5001,$A$491)))</f>
        <v/>
      </c>
      <c r="J509" s="244" t="str">
        <f>IF(J$3="","",IF(COUNTIFS(BD!$A$3:$A$5001,J$3,BD!$B$3:$B$5001,$A$491,BD!$T$3:$T$5001,"&lt;&gt;")=0,"",SUMIFS(BD!$T$3:$T$5001,BD!$A$3:$A$5001,J$3,BD!$B$3:$B$5001,$A$491)))</f>
        <v/>
      </c>
      <c r="K509" s="244" t="str">
        <f>IF(K$3="","",IF(COUNTIFS(BD!$A$3:$A$5001,K$3,BD!$B$3:$B$5001,$A$491,BD!$T$3:$T$5001,"&lt;&gt;")=0,"",SUMIFS(BD!$T$3:$T$5001,BD!$A$3:$A$5001,K$3,BD!$B$3:$B$5001,$A$491)))</f>
        <v/>
      </c>
      <c r="L509" s="244" t="str">
        <f>IF(L$3="","",IF(COUNTIFS(BD!$A$3:$A$5001,L$3,BD!$B$3:$B$5001,$A$491,BD!$T$3:$T$5001,"&lt;&gt;")=0,"",SUMIFS(BD!$T$3:$T$5001,BD!$A$3:$A$5001,L$3,BD!$B$3:$B$5001,$A$491)))</f>
        <v/>
      </c>
      <c r="M509" s="244" t="str">
        <f>IF(M$3="","",IF(COUNTIFS(BD!$A$3:$A$5001,M$3,BD!$B$3:$B$5001,$A$491,BD!$T$3:$T$5001,"&lt;&gt;")=0,"",SUMIFS(BD!$T$3:$T$5001,BD!$A$3:$A$5001,M$3,BD!$B$3:$B$5001,$A$491)))</f>
        <v/>
      </c>
      <c r="N509" s="244" t="str">
        <f>IF(N$3="","",IF(COUNTIFS(BD!$A$3:$A$5001,N$3,BD!$B$3:$B$5001,$A$491,BD!$T$3:$T$5001,"&lt;&gt;")=0,"",SUMIFS(BD!$T$3:$T$5001,BD!$A$3:$A$5001,N$3,BD!$B$3:$B$5001,$A$491)))</f>
        <v/>
      </c>
      <c r="O509" s="244" t="str">
        <f>IF(O$3="","",IF(COUNTIFS(BD!$A$3:$A$5001,O$3,BD!$B$3:$B$5001,$A$491,BD!$T$3:$T$5001,"&lt;&gt;")=0,"",SUMIFS(BD!$T$3:$T$5001,BD!$A$3:$A$5001,O$3,BD!$B$3:$B$5001,$A$491)))</f>
        <v/>
      </c>
      <c r="P509" s="244" t="str">
        <f>IF(P$3="","",IF(COUNTIFS(BD!$A$3:$A$5001,P$3,BD!$B$3:$B$5001,$A$491,BD!$T$3:$T$5001,"&lt;&gt;")=0,"",SUMIFS(BD!$T$3:$T$5001,BD!$A$3:$A$5001,P$3,BD!$B$3:$B$5001,$A$491)))</f>
        <v/>
      </c>
      <c r="Q509" s="244" t="str">
        <f>IF(Q$3="","",IF(COUNTIFS(BD!$A$3:$A$5001,Q$3,BD!$B$3:$B$5001,$A$491,BD!$T$3:$T$5001,"&lt;&gt;")=0,"",SUMIFS(BD!$T$3:$T$5001,BD!$A$3:$A$5001,Q$3,BD!$B$3:$B$5001,$A$491)))</f>
        <v/>
      </c>
      <c r="R509" s="244" t="str">
        <f>IF(R$3="","",IF(COUNTIFS(BD!$A$3:$A$5001,R$3,BD!$B$3:$B$5001,$A$491,BD!$T$3:$T$5001,"&lt;&gt;")=0,"",SUMIFS(BD!$T$3:$T$5001,BD!$A$3:$A$5001,R$3,BD!$B$3:$B$5001,$A$491)))</f>
        <v/>
      </c>
      <c r="S509" s="244" t="str">
        <f>IF(S$3="","",IF(COUNTIFS(BD!$A$3:$A$5001,S$3,BD!$B$3:$B$5001,$A$491,BD!$T$3:$T$5001,"&lt;&gt;")=0,"",SUMIFS(BD!$T$3:$T$5001,BD!$A$3:$A$5001,S$3,BD!$B$3:$B$5001,$A$491)))</f>
        <v/>
      </c>
      <c r="T509" s="244" t="str">
        <f>IF(T$3="","",IF(COUNTIFS(BD!$A$3:$A$5001,T$3,BD!$B$3:$B$5001,$A$491,BD!$T$3:$T$5001,"&lt;&gt;")=0,"",SUMIFS(BD!$T$3:$T$5001,BD!$A$3:$A$5001,T$3,BD!$B$3:$B$5001,$A$491)))</f>
        <v/>
      </c>
      <c r="U509" s="244" t="str">
        <f>IF(U$3="","",IF(COUNTIFS(BD!$A$3:$A$5001,U$3,BD!$B$3:$B$5001,$A$491,BD!$T$3:$T$5001,"&lt;&gt;")=0,"",SUMIFS(BD!$T$3:$T$5001,BD!$A$3:$A$5001,U$3,BD!$B$3:$B$5001,$A$491)))</f>
        <v/>
      </c>
      <c r="V509" s="244" t="str">
        <f>IF(V$3="","",IF(COUNTIFS(BD!$A$3:$A$5001,V$3,BD!$B$3:$B$5001,$A$491,BD!$T$3:$T$5001,"&lt;&gt;")=0,"",SUMIFS(BD!$T$3:$T$5001,BD!$A$3:$A$5001,V$3,BD!$B$3:$B$5001,$A$491)))</f>
        <v/>
      </c>
      <c r="W509" s="244" t="str">
        <f>IF(W$3="","",IF(COUNTIFS(BD!$A$3:$A$5001,W$3,BD!$B$3:$B$5001,$A$491,BD!$T$3:$T$5001,"&lt;&gt;")=0,"",SUMIFS(BD!$T$3:$T$5001,BD!$A$3:$A$5001,W$3,BD!$B$3:$B$5001,$A$491)))</f>
        <v/>
      </c>
      <c r="X509" s="244" t="str">
        <f>IF(X$3="","",IF(COUNTIFS(BD!$A$3:$A$5001,X$3,BD!$B$3:$B$5001,$A$491,BD!$T$3:$T$5001,"&lt;&gt;")=0,"",SUMIFS(BD!$T$3:$T$5001,BD!$A$3:$A$5001,X$3,BD!$B$3:$B$5001,$A$491)))</f>
        <v/>
      </c>
      <c r="Y509" s="244" t="str">
        <f>IF(Y$3="","",IF(COUNTIFS(BD!$A$3:$A$5001,Y$3,BD!$B$3:$B$5001,$A$491,BD!$T$3:$T$5001,"&lt;&gt;")=0,"",SUMIFS(BD!$T$3:$T$5001,BD!$A$3:$A$5001,Y$3,BD!$B$3:$B$5001,$A$491)))</f>
        <v/>
      </c>
      <c r="Z509" s="244" t="str">
        <f>IF(Z$3="","",IF(COUNTIFS(BD!$A$3:$A$5001,Z$3,BD!$B$3:$B$5001,$A$491,BD!$T$3:$T$5001,"&lt;&gt;")=0,"",SUMIFS(BD!$T$3:$T$5001,BD!$A$3:$A$5001,Z$3,BD!$B$3:$B$5001,$A$491)))</f>
        <v/>
      </c>
      <c r="AA509" s="244" t="str">
        <f>IF(AA$3="","",IF(COUNTIFS(BD!$A$3:$A$5001,AA$3,BD!$B$3:$B$5001,$A$491,BD!$T$3:$T$5001,"&lt;&gt;")=0,"",SUMIFS(BD!$T$3:$T$5001,BD!$A$3:$A$5001,AA$3,BD!$B$3:$B$5001,$A$491)))</f>
        <v/>
      </c>
      <c r="AB509" s="244" t="str">
        <f>IF(AB$3="","",IF(COUNTIFS(BD!$A$3:$A$5001,AB$3,BD!$B$3:$B$5001,$A$491,BD!$T$3:$T$5001,"&lt;&gt;")=0,"",SUMIFS(BD!$T$3:$T$5001,BD!$A$3:$A$5001,AB$3,BD!$B$3:$B$5001,$A$491)))</f>
        <v/>
      </c>
      <c r="AC509" s="244" t="str">
        <f>IF(AC$3="","",IF(COUNTIFS(BD!$A$3:$A$5001,AC$3,BD!$B$3:$B$5001,$A$491,BD!$T$3:$T$5001,"&lt;&gt;")=0,"",SUMIFS(BD!$T$3:$T$5001,BD!$A$3:$A$5001,AC$3,BD!$B$3:$B$5001,$A$491)))</f>
        <v/>
      </c>
      <c r="AD509" s="244" t="str">
        <f>IF(AD$3="","",IF(COUNTIFS(BD!$A$3:$A$5001,AD$3,BD!$B$3:$B$5001,$A$491,BD!$T$3:$T$5001,"&lt;&gt;")=0,"",SUMIFS(BD!$T$3:$T$5001,BD!$A$3:$A$5001,AD$3,BD!$B$3:$B$5001,$A$491)))</f>
        <v/>
      </c>
      <c r="AE509" s="244" t="str">
        <f>IF(AE$3="","",IF(COUNTIFS(BD!$A$3:$A$5001,AE$3,BD!$B$3:$B$5001,$A$491,BD!$T$3:$T$5001,"&lt;&gt;")=0,"",SUMIFS(BD!$T$3:$T$5001,BD!$A$3:$A$5001,AE$3,BD!$B$3:$B$5001,$A$491)))</f>
        <v/>
      </c>
      <c r="AF509" s="244" t="str">
        <f>IF(AF$3="","",IF(COUNTIFS(BD!$A$3:$A$5001,AF$3,BD!$B$3:$B$5001,$A$491,BD!$T$3:$T$5001,"&lt;&gt;")=0,"",SUMIFS(BD!$T$3:$T$5001,BD!$A$3:$A$5001,AF$3,BD!$B$3:$B$5001,$A$491)))</f>
        <v/>
      </c>
      <c r="AG509" s="244" t="str">
        <f>IF(AG$3="","",IF(COUNTIFS(BD!$A$3:$A$5001,AG$3,BD!$B$3:$B$5001,$A$491,BD!$T$3:$T$5001,"&lt;&gt;")=0,"",SUMIFS(BD!$T$3:$T$5001,BD!$A$3:$A$5001,AG$3,BD!$B$3:$B$5001,$A$491)))</f>
        <v/>
      </c>
      <c r="AH509" s="244" t="str">
        <f>IF(AH$3="","",IF(COUNTIFS(BD!$A$3:$A$5001,AH$3,BD!$B$3:$B$5001,$A$491,BD!$T$3:$T$5001,"&lt;&gt;")=0,"",SUMIFS(BD!$T$3:$T$5001,BD!$A$3:$A$5001,AH$3,BD!$B$3:$B$5001,$A$491)))</f>
        <v/>
      </c>
      <c r="AI509" s="244" t="str">
        <f>IF(AI$3="","",IF(COUNTIFS(BD!$A$3:$A$5001,AI$3,BD!$B$3:$B$5001,$A$491,BD!$T$3:$T$5001,"&lt;&gt;")=0,"",SUMIFS(BD!$T$3:$T$5001,BD!$A$3:$A$5001,AI$3,BD!$B$3:$B$5001,$A$491)))</f>
        <v/>
      </c>
      <c r="AJ509" s="245" t="str">
        <f>IF(AJ$3="","",IF(COUNTIFS(BD!$A$3:$A$5001,AJ$3,BD!$B$3:$B$5001,$A$491,BD!$T$3:$T$5001,"&lt;&gt;")=0,"",SUMIFS(BD!$T$3:$T$5001,BD!$A$3:$A$5001,AJ$3,BD!$B$3:$B$5001,$A$491)))</f>
        <v/>
      </c>
      <c r="AK509" s="246" t="str">
        <f>IFERROR(LOOKUP(9.99E+307,F509:AJ509),"")</f>
        <v/>
      </c>
    </row>
    <row r="510" ht="15.75" customHeight="1" hidden="1">
      <c r="A510" s="277"/>
      <c r="B510" s="274"/>
      <c r="C510" s="247" t="inlineStr">
        <is>
          <t xml:space="preserve">Falta</t>
        </is>
      </c>
      <c r="D510" s="248" t="str">
        <f>IFERROR(1/(1/INDEX(BD!$AF$42:$AZ$42,MATCH($A$491,BD!$AF$22:$AZ$22,0))),"")</f>
        <v/>
      </c>
      <c r="E510" s="249"/>
      <c r="F510" s="250" t="str">
        <f>IF(F$3="","",IF(COUNTIFS(BD!$A$3:$A$5001,F$3,BD!$B$3:$B$5001,$A$491,BD!$U$3:$U$5001,"&lt;&gt;")=0,"",SUMIFS(BD!$U$3:$U$5001,BD!$A$3:$A$5001,F$3,BD!$B$3:$B$5001,$A$491)))</f>
        <v/>
      </c>
      <c r="G510" s="251" t="str">
        <f>IF(G$3="","",IF(COUNTIFS(BD!$A$3:$A$5001,G$3,BD!$B$3:$B$5001,$A$491,BD!$U$3:$U$5001,"&lt;&gt;")=0,"",SUMIFS(BD!$U$3:$U$5001,BD!$A$3:$A$5001,G$3,BD!$B$3:$B$5001,$A$491)))</f>
        <v/>
      </c>
      <c r="H510" s="251" t="str">
        <f>IF(H$3="","",IF(COUNTIFS(BD!$A$3:$A$5001,H$3,BD!$B$3:$B$5001,$A$491,BD!$U$3:$U$5001,"&lt;&gt;")=0,"",SUMIFS(BD!$U$3:$U$5001,BD!$A$3:$A$5001,H$3,BD!$B$3:$B$5001,$A$491)))</f>
        <v/>
      </c>
      <c r="I510" s="251" t="str">
        <f>IF(I$3="","",IF(COUNTIFS(BD!$A$3:$A$5001,I$3,BD!$B$3:$B$5001,$A$491,BD!$U$3:$U$5001,"&lt;&gt;")=0,"",SUMIFS(BD!$U$3:$U$5001,BD!$A$3:$A$5001,I$3,BD!$B$3:$B$5001,$A$491)))</f>
        <v/>
      </c>
      <c r="J510" s="251" t="str">
        <f>IF(J$3="","",IF(COUNTIFS(BD!$A$3:$A$5001,J$3,BD!$B$3:$B$5001,$A$491,BD!$U$3:$U$5001,"&lt;&gt;")=0,"",SUMIFS(BD!$U$3:$U$5001,BD!$A$3:$A$5001,J$3,BD!$B$3:$B$5001,$A$491)))</f>
        <v/>
      </c>
      <c r="K510" s="251" t="str">
        <f>IF(K$3="","",IF(COUNTIFS(BD!$A$3:$A$5001,K$3,BD!$B$3:$B$5001,$A$491,BD!$U$3:$U$5001,"&lt;&gt;")=0,"",SUMIFS(BD!$U$3:$U$5001,BD!$A$3:$A$5001,K$3,BD!$B$3:$B$5001,$A$491)))</f>
        <v/>
      </c>
      <c r="L510" s="251" t="str">
        <f>IF(L$3="","",IF(COUNTIFS(BD!$A$3:$A$5001,L$3,BD!$B$3:$B$5001,$A$491,BD!$U$3:$U$5001,"&lt;&gt;")=0,"",SUMIFS(BD!$U$3:$U$5001,BD!$A$3:$A$5001,L$3,BD!$B$3:$B$5001,$A$491)))</f>
        <v/>
      </c>
      <c r="M510" s="251" t="str">
        <f>IF(M$3="","",IF(COUNTIFS(BD!$A$3:$A$5001,M$3,BD!$B$3:$B$5001,$A$491,BD!$U$3:$U$5001,"&lt;&gt;")=0,"",SUMIFS(BD!$U$3:$U$5001,BD!$A$3:$A$5001,M$3,BD!$B$3:$B$5001,$A$491)))</f>
        <v/>
      </c>
      <c r="N510" s="251" t="str">
        <f>IF(N$3="","",IF(COUNTIFS(BD!$A$3:$A$5001,N$3,BD!$B$3:$B$5001,$A$491,BD!$U$3:$U$5001,"&lt;&gt;")=0,"",SUMIFS(BD!$U$3:$U$5001,BD!$A$3:$A$5001,N$3,BD!$B$3:$B$5001,$A$491)))</f>
        <v/>
      </c>
      <c r="O510" s="251" t="str">
        <f>IF(O$3="","",IF(COUNTIFS(BD!$A$3:$A$5001,O$3,BD!$B$3:$B$5001,$A$491,BD!$U$3:$U$5001,"&lt;&gt;")=0,"",SUMIFS(BD!$U$3:$U$5001,BD!$A$3:$A$5001,O$3,BD!$B$3:$B$5001,$A$491)))</f>
        <v/>
      </c>
      <c r="P510" s="251" t="str">
        <f>IF(P$3="","",IF(COUNTIFS(BD!$A$3:$A$5001,P$3,BD!$B$3:$B$5001,$A$491,BD!$U$3:$U$5001,"&lt;&gt;")=0,"",SUMIFS(BD!$U$3:$U$5001,BD!$A$3:$A$5001,P$3,BD!$B$3:$B$5001,$A$491)))</f>
        <v/>
      </c>
      <c r="Q510" s="251" t="str">
        <f>IF(Q$3="","",IF(COUNTIFS(BD!$A$3:$A$5001,Q$3,BD!$B$3:$B$5001,$A$491,BD!$U$3:$U$5001,"&lt;&gt;")=0,"",SUMIFS(BD!$U$3:$U$5001,BD!$A$3:$A$5001,Q$3,BD!$B$3:$B$5001,$A$491)))</f>
        <v/>
      </c>
      <c r="R510" s="251" t="str">
        <f>IF(R$3="","",IF(COUNTIFS(BD!$A$3:$A$5001,R$3,BD!$B$3:$B$5001,$A$491,BD!$U$3:$U$5001,"&lt;&gt;")=0,"",SUMIFS(BD!$U$3:$U$5001,BD!$A$3:$A$5001,R$3,BD!$B$3:$B$5001,$A$491)))</f>
        <v/>
      </c>
      <c r="S510" s="251" t="str">
        <f>IF(S$3="","",IF(COUNTIFS(BD!$A$3:$A$5001,S$3,BD!$B$3:$B$5001,$A$491,BD!$U$3:$U$5001,"&lt;&gt;")=0,"",SUMIFS(BD!$U$3:$U$5001,BD!$A$3:$A$5001,S$3,BD!$B$3:$B$5001,$A$491)))</f>
        <v/>
      </c>
      <c r="T510" s="251" t="str">
        <f>IF(T$3="","",IF(COUNTIFS(BD!$A$3:$A$5001,T$3,BD!$B$3:$B$5001,$A$491,BD!$U$3:$U$5001,"&lt;&gt;")=0,"",SUMIFS(BD!$U$3:$U$5001,BD!$A$3:$A$5001,T$3,BD!$B$3:$B$5001,$A$491)))</f>
        <v/>
      </c>
      <c r="U510" s="251" t="str">
        <f>IF(U$3="","",IF(COUNTIFS(BD!$A$3:$A$5001,U$3,BD!$B$3:$B$5001,$A$491,BD!$U$3:$U$5001,"&lt;&gt;")=0,"",SUMIFS(BD!$U$3:$U$5001,BD!$A$3:$A$5001,U$3,BD!$B$3:$B$5001,$A$491)))</f>
        <v/>
      </c>
      <c r="V510" s="251" t="str">
        <f>IF(V$3="","",IF(COUNTIFS(BD!$A$3:$A$5001,V$3,BD!$B$3:$B$5001,$A$491,BD!$U$3:$U$5001,"&lt;&gt;")=0,"",SUMIFS(BD!$U$3:$U$5001,BD!$A$3:$A$5001,V$3,BD!$B$3:$B$5001,$A$491)))</f>
        <v/>
      </c>
      <c r="W510" s="251" t="str">
        <f>IF(W$3="","",IF(COUNTIFS(BD!$A$3:$A$5001,W$3,BD!$B$3:$B$5001,$A$491,BD!$U$3:$U$5001,"&lt;&gt;")=0,"",SUMIFS(BD!$U$3:$U$5001,BD!$A$3:$A$5001,W$3,BD!$B$3:$B$5001,$A$491)))</f>
        <v/>
      </c>
      <c r="X510" s="251" t="str">
        <f>IF(X$3="","",IF(COUNTIFS(BD!$A$3:$A$5001,X$3,BD!$B$3:$B$5001,$A$491,BD!$U$3:$U$5001,"&lt;&gt;")=0,"",SUMIFS(BD!$U$3:$U$5001,BD!$A$3:$A$5001,X$3,BD!$B$3:$B$5001,$A$491)))</f>
        <v/>
      </c>
      <c r="Y510" s="251" t="str">
        <f>IF(Y$3="","",IF(COUNTIFS(BD!$A$3:$A$5001,Y$3,BD!$B$3:$B$5001,$A$491,BD!$U$3:$U$5001,"&lt;&gt;")=0,"",SUMIFS(BD!$U$3:$U$5001,BD!$A$3:$A$5001,Y$3,BD!$B$3:$B$5001,$A$491)))</f>
        <v/>
      </c>
      <c r="Z510" s="251" t="str">
        <f>IF(Z$3="","",IF(COUNTIFS(BD!$A$3:$A$5001,Z$3,BD!$B$3:$B$5001,$A$491,BD!$U$3:$U$5001,"&lt;&gt;")=0,"",SUMIFS(BD!$U$3:$U$5001,BD!$A$3:$A$5001,Z$3,BD!$B$3:$B$5001,$A$491)))</f>
        <v/>
      </c>
      <c r="AA510" s="251" t="str">
        <f>IF(AA$3="","",IF(COUNTIFS(BD!$A$3:$A$5001,AA$3,BD!$B$3:$B$5001,$A$491,BD!$U$3:$U$5001,"&lt;&gt;")=0,"",SUMIFS(BD!$U$3:$U$5001,BD!$A$3:$A$5001,AA$3,BD!$B$3:$B$5001,$A$491)))</f>
        <v/>
      </c>
      <c r="AB510" s="251" t="str">
        <f>IF(AB$3="","",IF(COUNTIFS(BD!$A$3:$A$5001,AB$3,BD!$B$3:$B$5001,$A$491,BD!$U$3:$U$5001,"&lt;&gt;")=0,"",SUMIFS(BD!$U$3:$U$5001,BD!$A$3:$A$5001,AB$3,BD!$B$3:$B$5001,$A$491)))</f>
        <v/>
      </c>
      <c r="AC510" s="251" t="str">
        <f>IF(AC$3="","",IF(COUNTIFS(BD!$A$3:$A$5001,AC$3,BD!$B$3:$B$5001,$A$491,BD!$U$3:$U$5001,"&lt;&gt;")=0,"",SUMIFS(BD!$U$3:$U$5001,BD!$A$3:$A$5001,AC$3,BD!$B$3:$B$5001,$A$491)))</f>
        <v/>
      </c>
      <c r="AD510" s="251" t="str">
        <f>IF(AD$3="","",IF(COUNTIFS(BD!$A$3:$A$5001,AD$3,BD!$B$3:$B$5001,$A$491,BD!$U$3:$U$5001,"&lt;&gt;")=0,"",SUMIFS(BD!$U$3:$U$5001,BD!$A$3:$A$5001,AD$3,BD!$B$3:$B$5001,$A$491)))</f>
        <v/>
      </c>
      <c r="AE510" s="251" t="str">
        <f>IF(AE$3="","",IF(COUNTIFS(BD!$A$3:$A$5001,AE$3,BD!$B$3:$B$5001,$A$491,BD!$U$3:$U$5001,"&lt;&gt;")=0,"",SUMIFS(BD!$U$3:$U$5001,BD!$A$3:$A$5001,AE$3,BD!$B$3:$B$5001,$A$491)))</f>
        <v/>
      </c>
      <c r="AF510" s="251" t="str">
        <f>IF(AF$3="","",IF(COUNTIFS(BD!$A$3:$A$5001,AF$3,BD!$B$3:$B$5001,$A$491,BD!$U$3:$U$5001,"&lt;&gt;")=0,"",SUMIFS(BD!$U$3:$U$5001,BD!$A$3:$A$5001,AF$3,BD!$B$3:$B$5001,$A$491)))</f>
        <v/>
      </c>
      <c r="AG510" s="251" t="str">
        <f>IF(AG$3="","",IF(COUNTIFS(BD!$A$3:$A$5001,AG$3,BD!$B$3:$B$5001,$A$491,BD!$U$3:$U$5001,"&lt;&gt;")=0,"",SUMIFS(BD!$U$3:$U$5001,BD!$A$3:$A$5001,AG$3,BD!$B$3:$B$5001,$A$491)))</f>
        <v/>
      </c>
      <c r="AH510" s="251" t="str">
        <f>IF(AH$3="","",IF(COUNTIFS(BD!$A$3:$A$5001,AH$3,BD!$B$3:$B$5001,$A$491,BD!$U$3:$U$5001,"&lt;&gt;")=0,"",SUMIFS(BD!$U$3:$U$5001,BD!$A$3:$A$5001,AH$3,BD!$B$3:$B$5001,$A$491)))</f>
        <v/>
      </c>
      <c r="AI510" s="251" t="str">
        <f>IF(AI$3="","",IF(COUNTIFS(BD!$A$3:$A$5001,AI$3,BD!$B$3:$B$5001,$A$491,BD!$U$3:$U$5001,"&lt;&gt;")=0,"",SUMIFS(BD!$U$3:$U$5001,BD!$A$3:$A$5001,AI$3,BD!$B$3:$B$5001,$A$491)))</f>
        <v/>
      </c>
      <c r="AJ510" s="252" t="str">
        <f>IF(AJ$3="","",IF(COUNTIFS(BD!$A$3:$A$5001,AJ$3,BD!$B$3:$B$5001,$A$491,BD!$U$3:$U$5001,"&lt;&gt;")=0,"",SUMIFS(BD!$U$3:$U$5001,BD!$A$3:$A$5001,AJ$3,BD!$B$3:$B$5001,$A$491)))</f>
        <v/>
      </c>
      <c r="AK510" s="253" t="str">
        <f>IF(COUNT(F510:AJ510)=0,"",SUM(F510:AJ510))</f>
        <v/>
      </c>
    </row>
    <row r="511" ht="15.75" customHeight="1" hidden="1">
      <c r="A511" s="277"/>
      <c r="B511" s="274"/>
      <c r="C511" s="247" t="inlineStr">
        <is>
          <t xml:space="preserve">Absenteísmo (H/H)</t>
        </is>
      </c>
      <c r="D511" s="248" t="str">
        <f>IFERROR(1/(1/INDEX(BD!$AF$43:$AZ$43,MATCH($A$491,BD!$AF$22:$AZ$22,0))),"")</f>
        <v/>
      </c>
      <c r="E511" s="249"/>
      <c r="F511" s="254" t="str">
        <f>IF(F$3="","",IF(COUNTIFS(BD!$A$3:$A$5001,F$3,BD!$B$3:$B$5001,$A$491,BD!$V$3:$V$5001,"&lt;&gt;")=0,"",SUMIFS(BD!$V$3:$V$5001,BD!$A$3:$A$5001,F$3,BD!$B$3:$B$5001,$A$491)))</f>
        <v/>
      </c>
      <c r="G511" s="255" t="str">
        <f>IF(G$3="","",IF(COUNTIFS(BD!$A$3:$A$5001,G$3,BD!$B$3:$B$5001,$A$491,BD!$V$3:$V$5001,"&lt;&gt;")=0,"",SUMIFS(BD!$V$3:$V$5001,BD!$A$3:$A$5001,G$3,BD!$B$3:$B$5001,$A$491)))</f>
        <v/>
      </c>
      <c r="H511" s="255" t="str">
        <f>IF(H$3="","",IF(COUNTIFS(BD!$A$3:$A$5001,H$3,BD!$B$3:$B$5001,$A$491,BD!$V$3:$V$5001,"&lt;&gt;")=0,"",SUMIFS(BD!$V$3:$V$5001,BD!$A$3:$A$5001,H$3,BD!$B$3:$B$5001,$A$491)))</f>
        <v/>
      </c>
      <c r="I511" s="255" t="str">
        <f>IF(I$3="","",IF(COUNTIFS(BD!$A$3:$A$5001,I$3,BD!$B$3:$B$5001,$A$491,BD!$V$3:$V$5001,"&lt;&gt;")=0,"",SUMIFS(BD!$V$3:$V$5001,BD!$A$3:$A$5001,I$3,BD!$B$3:$B$5001,$A$491)))</f>
        <v/>
      </c>
      <c r="J511" s="255" t="str">
        <f>IF(J$3="","",IF(COUNTIFS(BD!$A$3:$A$5001,J$3,BD!$B$3:$B$5001,$A$491,BD!$V$3:$V$5001,"&lt;&gt;")=0,"",SUMIFS(BD!$V$3:$V$5001,BD!$A$3:$A$5001,J$3,BD!$B$3:$B$5001,$A$491)))</f>
        <v/>
      </c>
      <c r="K511" s="255" t="str">
        <f>IF(K$3="","",IF(COUNTIFS(BD!$A$3:$A$5001,K$3,BD!$B$3:$B$5001,$A$491,BD!$V$3:$V$5001,"&lt;&gt;")=0,"",SUMIFS(BD!$V$3:$V$5001,BD!$A$3:$A$5001,K$3,BD!$B$3:$B$5001,$A$491)))</f>
        <v/>
      </c>
      <c r="L511" s="255" t="str">
        <f>IF(L$3="","",IF(COUNTIFS(BD!$A$3:$A$5001,L$3,BD!$B$3:$B$5001,$A$491,BD!$V$3:$V$5001,"&lt;&gt;")=0,"",SUMIFS(BD!$V$3:$V$5001,BD!$A$3:$A$5001,L$3,BD!$B$3:$B$5001,$A$491)))</f>
        <v/>
      </c>
      <c r="M511" s="255" t="str">
        <f>IF(M$3="","",IF(COUNTIFS(BD!$A$3:$A$5001,M$3,BD!$B$3:$B$5001,$A$491,BD!$V$3:$V$5001,"&lt;&gt;")=0,"",SUMIFS(BD!$V$3:$V$5001,BD!$A$3:$A$5001,M$3,BD!$B$3:$B$5001,$A$491)))</f>
        <v/>
      </c>
      <c r="N511" s="255" t="str">
        <f>IF(N$3="","",IF(COUNTIFS(BD!$A$3:$A$5001,N$3,BD!$B$3:$B$5001,$A$491,BD!$V$3:$V$5001,"&lt;&gt;")=0,"",SUMIFS(BD!$V$3:$V$5001,BD!$A$3:$A$5001,N$3,BD!$B$3:$B$5001,$A$491)))</f>
        <v/>
      </c>
      <c r="O511" s="255" t="str">
        <f>IF(O$3="","",IF(COUNTIFS(BD!$A$3:$A$5001,O$3,BD!$B$3:$B$5001,$A$491,BD!$V$3:$V$5001,"&lt;&gt;")=0,"",SUMIFS(BD!$V$3:$V$5001,BD!$A$3:$A$5001,O$3,BD!$B$3:$B$5001,$A$491)))</f>
        <v/>
      </c>
      <c r="P511" s="255" t="str">
        <f>IF(P$3="","",IF(COUNTIFS(BD!$A$3:$A$5001,P$3,BD!$B$3:$B$5001,$A$491,BD!$V$3:$V$5001,"&lt;&gt;")=0,"",SUMIFS(BD!$V$3:$V$5001,BD!$A$3:$A$5001,P$3,BD!$B$3:$B$5001,$A$491)))</f>
        <v/>
      </c>
      <c r="Q511" s="255" t="str">
        <f>IF(Q$3="","",IF(COUNTIFS(BD!$A$3:$A$5001,Q$3,BD!$B$3:$B$5001,$A$491,BD!$V$3:$V$5001,"&lt;&gt;")=0,"",SUMIFS(BD!$V$3:$V$5001,BD!$A$3:$A$5001,Q$3,BD!$B$3:$B$5001,$A$491)))</f>
        <v/>
      </c>
      <c r="R511" s="255" t="str">
        <f>IF(R$3="","",IF(COUNTIFS(BD!$A$3:$A$5001,R$3,BD!$B$3:$B$5001,$A$491,BD!$V$3:$V$5001,"&lt;&gt;")=0,"",SUMIFS(BD!$V$3:$V$5001,BD!$A$3:$A$5001,R$3,BD!$B$3:$B$5001,$A$491)))</f>
        <v/>
      </c>
      <c r="S511" s="255" t="str">
        <f>IF(S$3="","",IF(COUNTIFS(BD!$A$3:$A$5001,S$3,BD!$B$3:$B$5001,$A$491,BD!$V$3:$V$5001,"&lt;&gt;")=0,"",SUMIFS(BD!$V$3:$V$5001,BD!$A$3:$A$5001,S$3,BD!$B$3:$B$5001,$A$491)))</f>
        <v/>
      </c>
      <c r="T511" s="255" t="str">
        <f>IF(T$3="","",IF(COUNTIFS(BD!$A$3:$A$5001,T$3,BD!$B$3:$B$5001,$A$491,BD!$V$3:$V$5001,"&lt;&gt;")=0,"",SUMIFS(BD!$V$3:$V$5001,BD!$A$3:$A$5001,T$3,BD!$B$3:$B$5001,$A$491)))</f>
        <v/>
      </c>
      <c r="U511" s="255" t="str">
        <f>IF(U$3="","",IF(COUNTIFS(BD!$A$3:$A$5001,U$3,BD!$B$3:$B$5001,$A$491,BD!$V$3:$V$5001,"&lt;&gt;")=0,"",SUMIFS(BD!$V$3:$V$5001,BD!$A$3:$A$5001,U$3,BD!$B$3:$B$5001,$A$491)))</f>
        <v/>
      </c>
      <c r="V511" s="255" t="str">
        <f>IF(V$3="","",IF(COUNTIFS(BD!$A$3:$A$5001,V$3,BD!$B$3:$B$5001,$A$491,BD!$V$3:$V$5001,"&lt;&gt;")=0,"",SUMIFS(BD!$V$3:$V$5001,BD!$A$3:$A$5001,V$3,BD!$B$3:$B$5001,$A$491)))</f>
        <v/>
      </c>
      <c r="W511" s="255" t="str">
        <f>IF(W$3="","",IF(COUNTIFS(BD!$A$3:$A$5001,W$3,BD!$B$3:$B$5001,$A$491,BD!$V$3:$V$5001,"&lt;&gt;")=0,"",SUMIFS(BD!$V$3:$V$5001,BD!$A$3:$A$5001,W$3,BD!$B$3:$B$5001,$A$491)))</f>
        <v/>
      </c>
      <c r="X511" s="255" t="str">
        <f>IF(X$3="","",IF(COUNTIFS(BD!$A$3:$A$5001,X$3,BD!$B$3:$B$5001,$A$491,BD!$V$3:$V$5001,"&lt;&gt;")=0,"",SUMIFS(BD!$V$3:$V$5001,BD!$A$3:$A$5001,X$3,BD!$B$3:$B$5001,$A$491)))</f>
        <v/>
      </c>
      <c r="Y511" s="255" t="str">
        <f>IF(Y$3="","",IF(COUNTIFS(BD!$A$3:$A$5001,Y$3,BD!$B$3:$B$5001,$A$491,BD!$V$3:$V$5001,"&lt;&gt;")=0,"",SUMIFS(BD!$V$3:$V$5001,BD!$A$3:$A$5001,Y$3,BD!$B$3:$B$5001,$A$491)))</f>
        <v/>
      </c>
      <c r="Z511" s="255" t="str">
        <f>IF(Z$3="","",IF(COUNTIFS(BD!$A$3:$A$5001,Z$3,BD!$B$3:$B$5001,$A$491,BD!$V$3:$V$5001,"&lt;&gt;")=0,"",SUMIFS(BD!$V$3:$V$5001,BD!$A$3:$A$5001,Z$3,BD!$B$3:$B$5001,$A$491)))</f>
        <v/>
      </c>
      <c r="AA511" s="255" t="str">
        <f>IF(AA$3="","",IF(COUNTIFS(BD!$A$3:$A$5001,AA$3,BD!$B$3:$B$5001,$A$491,BD!$V$3:$V$5001,"&lt;&gt;")=0,"",SUMIFS(BD!$V$3:$V$5001,BD!$A$3:$A$5001,AA$3,BD!$B$3:$B$5001,$A$491)))</f>
        <v/>
      </c>
      <c r="AB511" s="255" t="str">
        <f>IF(AB$3="","",IF(COUNTIFS(BD!$A$3:$A$5001,AB$3,BD!$B$3:$B$5001,$A$491,BD!$V$3:$V$5001,"&lt;&gt;")=0,"",SUMIFS(BD!$V$3:$V$5001,BD!$A$3:$A$5001,AB$3,BD!$B$3:$B$5001,$A$491)))</f>
        <v/>
      </c>
      <c r="AC511" s="255" t="str">
        <f>IF(AC$3="","",IF(COUNTIFS(BD!$A$3:$A$5001,AC$3,BD!$B$3:$B$5001,$A$491,BD!$V$3:$V$5001,"&lt;&gt;")=0,"",SUMIFS(BD!$V$3:$V$5001,BD!$A$3:$A$5001,AC$3,BD!$B$3:$B$5001,$A$491)))</f>
        <v/>
      </c>
      <c r="AD511" s="255" t="str">
        <f>IF(AD$3="","",IF(COUNTIFS(BD!$A$3:$A$5001,AD$3,BD!$B$3:$B$5001,$A$491,BD!$V$3:$V$5001,"&lt;&gt;")=0,"",SUMIFS(BD!$V$3:$V$5001,BD!$A$3:$A$5001,AD$3,BD!$B$3:$B$5001,$A$491)))</f>
        <v/>
      </c>
      <c r="AE511" s="255" t="str">
        <f>IF(AE$3="","",IF(COUNTIFS(BD!$A$3:$A$5001,AE$3,BD!$B$3:$B$5001,$A$491,BD!$V$3:$V$5001,"&lt;&gt;")=0,"",SUMIFS(BD!$V$3:$V$5001,BD!$A$3:$A$5001,AE$3,BD!$B$3:$B$5001,$A$491)))</f>
        <v/>
      </c>
      <c r="AF511" s="255" t="str">
        <f>IF(AF$3="","",IF(COUNTIFS(BD!$A$3:$A$5001,AF$3,BD!$B$3:$B$5001,$A$491,BD!$V$3:$V$5001,"&lt;&gt;")=0,"",SUMIFS(BD!$V$3:$V$5001,BD!$A$3:$A$5001,AF$3,BD!$B$3:$B$5001,$A$491)))</f>
        <v/>
      </c>
      <c r="AG511" s="255" t="str">
        <f>IF(AG$3="","",IF(COUNTIFS(BD!$A$3:$A$5001,AG$3,BD!$B$3:$B$5001,$A$491,BD!$V$3:$V$5001,"&lt;&gt;")=0,"",SUMIFS(BD!$V$3:$V$5001,BD!$A$3:$A$5001,AG$3,BD!$B$3:$B$5001,$A$491)))</f>
        <v/>
      </c>
      <c r="AH511" s="255" t="str">
        <f>IF(AH$3="","",IF(COUNTIFS(BD!$A$3:$A$5001,AH$3,BD!$B$3:$B$5001,$A$491,BD!$V$3:$V$5001,"&lt;&gt;")=0,"",SUMIFS(BD!$V$3:$V$5001,BD!$A$3:$A$5001,AH$3,BD!$B$3:$B$5001,$A$491)))</f>
        <v/>
      </c>
      <c r="AI511" s="255" t="str">
        <f>IF(AI$3="","",IF(COUNTIFS(BD!$A$3:$A$5001,AI$3,BD!$B$3:$B$5001,$A$491,BD!$V$3:$V$5001,"&lt;&gt;")=0,"",SUMIFS(BD!$V$3:$V$5001,BD!$A$3:$A$5001,AI$3,BD!$B$3:$B$5001,$A$491)))</f>
        <v/>
      </c>
      <c r="AJ511" s="256" t="str">
        <f>IF(AJ$3="","",IF(COUNTIFS(BD!$A$3:$A$5001,AJ$3,BD!$B$3:$B$5001,$A$491,BD!$V$3:$V$5001,"&lt;&gt;")=0,"",SUMIFS(BD!$V$3:$V$5001,BD!$A$3:$A$5001,AJ$3,BD!$B$3:$B$5001,$A$491)))</f>
        <v/>
      </c>
      <c r="AK511" s="257" t="str">
        <f>IF(COUNT(F511:AJ511)=0,"",SUM(F511:AJ511))</f>
        <v/>
      </c>
    </row>
    <row r="512" ht="15.75" customHeight="1" hidden="1">
      <c r="A512" s="277"/>
      <c r="B512" s="274"/>
      <c r="C512" s="247" t="inlineStr">
        <is>
          <t xml:space="preserve">Folga</t>
        </is>
      </c>
      <c r="D512" s="248" t="str">
        <f>IFERROR(1/(1/INDEX(BD!$AF$44:$AZ$44,MATCH($A$491,BD!$AF$22:$AZ$22,0))),"")</f>
        <v/>
      </c>
      <c r="E512" s="249"/>
      <c r="F512" s="250" t="str">
        <f>IF(F$3="","",IF(COUNTIFS(BD!$A$3:$A$5001,F$3,BD!$B$3:$B$5001,$A$491,BD!$W$3:$W$5001,"&lt;&gt;")=0,"",SUMIFS(BD!$W$3:$W$5001,BD!$A$3:$A$5001,F$3,BD!$B$3:$B$5001,$A$491)))</f>
        <v/>
      </c>
      <c r="G512" s="251" t="str">
        <f>IF(G$3="","",IF(COUNTIFS(BD!$A$3:$A$5001,G$3,BD!$B$3:$B$5001,$A$491,BD!$W$3:$W$5001,"&lt;&gt;")=0,"",SUMIFS(BD!$W$3:$W$5001,BD!$A$3:$A$5001,G$3,BD!$B$3:$B$5001,$A$491)))</f>
        <v/>
      </c>
      <c r="H512" s="251" t="str">
        <f>IF(H$3="","",IF(COUNTIFS(BD!$A$3:$A$5001,H$3,BD!$B$3:$B$5001,$A$491,BD!$W$3:$W$5001,"&lt;&gt;")=0,"",SUMIFS(BD!$W$3:$W$5001,BD!$A$3:$A$5001,H$3,BD!$B$3:$B$5001,$A$491)))</f>
        <v/>
      </c>
      <c r="I512" s="251" t="str">
        <f>IF(I$3="","",IF(COUNTIFS(BD!$A$3:$A$5001,I$3,BD!$B$3:$B$5001,$A$491,BD!$W$3:$W$5001,"&lt;&gt;")=0,"",SUMIFS(BD!$W$3:$W$5001,BD!$A$3:$A$5001,I$3,BD!$B$3:$B$5001,$A$491)))</f>
        <v/>
      </c>
      <c r="J512" s="251" t="str">
        <f>IF(J$3="","",IF(COUNTIFS(BD!$A$3:$A$5001,J$3,BD!$B$3:$B$5001,$A$491,BD!$W$3:$W$5001,"&lt;&gt;")=0,"",SUMIFS(BD!$W$3:$W$5001,BD!$A$3:$A$5001,J$3,BD!$B$3:$B$5001,$A$491)))</f>
        <v/>
      </c>
      <c r="K512" s="251" t="str">
        <f>IF(K$3="","",IF(COUNTIFS(BD!$A$3:$A$5001,K$3,BD!$B$3:$B$5001,$A$491,BD!$W$3:$W$5001,"&lt;&gt;")=0,"",SUMIFS(BD!$W$3:$W$5001,BD!$A$3:$A$5001,K$3,BD!$B$3:$B$5001,$A$491)))</f>
        <v/>
      </c>
      <c r="L512" s="251" t="str">
        <f>IF(L$3="","",IF(COUNTIFS(BD!$A$3:$A$5001,L$3,BD!$B$3:$B$5001,$A$491,BD!$W$3:$W$5001,"&lt;&gt;")=0,"",SUMIFS(BD!$W$3:$W$5001,BD!$A$3:$A$5001,L$3,BD!$B$3:$B$5001,$A$491)))</f>
        <v/>
      </c>
      <c r="M512" s="251" t="str">
        <f>IF(M$3="","",IF(COUNTIFS(BD!$A$3:$A$5001,M$3,BD!$B$3:$B$5001,$A$491,BD!$W$3:$W$5001,"&lt;&gt;")=0,"",SUMIFS(BD!$W$3:$W$5001,BD!$A$3:$A$5001,M$3,BD!$B$3:$B$5001,$A$491)))</f>
        <v/>
      </c>
      <c r="N512" s="251" t="str">
        <f>IF(N$3="","",IF(COUNTIFS(BD!$A$3:$A$5001,N$3,BD!$B$3:$B$5001,$A$491,BD!$W$3:$W$5001,"&lt;&gt;")=0,"",SUMIFS(BD!$W$3:$W$5001,BD!$A$3:$A$5001,N$3,BD!$B$3:$B$5001,$A$491)))</f>
        <v/>
      </c>
      <c r="O512" s="251" t="str">
        <f>IF(O$3="","",IF(COUNTIFS(BD!$A$3:$A$5001,O$3,BD!$B$3:$B$5001,$A$491,BD!$W$3:$W$5001,"&lt;&gt;")=0,"",SUMIFS(BD!$W$3:$W$5001,BD!$A$3:$A$5001,O$3,BD!$B$3:$B$5001,$A$491)))</f>
        <v/>
      </c>
      <c r="P512" s="251" t="str">
        <f>IF(P$3="","",IF(COUNTIFS(BD!$A$3:$A$5001,P$3,BD!$B$3:$B$5001,$A$491,BD!$W$3:$W$5001,"&lt;&gt;")=0,"",SUMIFS(BD!$W$3:$W$5001,BD!$A$3:$A$5001,P$3,BD!$B$3:$B$5001,$A$491)))</f>
        <v/>
      </c>
      <c r="Q512" s="251" t="str">
        <f>IF(Q$3="","",IF(COUNTIFS(BD!$A$3:$A$5001,Q$3,BD!$B$3:$B$5001,$A$491,BD!$W$3:$W$5001,"&lt;&gt;")=0,"",SUMIFS(BD!$W$3:$W$5001,BD!$A$3:$A$5001,Q$3,BD!$B$3:$B$5001,$A$491)))</f>
        <v/>
      </c>
      <c r="R512" s="251" t="str">
        <f>IF(R$3="","",IF(COUNTIFS(BD!$A$3:$A$5001,R$3,BD!$B$3:$B$5001,$A$491,BD!$W$3:$W$5001,"&lt;&gt;")=0,"",SUMIFS(BD!$W$3:$W$5001,BD!$A$3:$A$5001,R$3,BD!$B$3:$B$5001,$A$491)))</f>
        <v/>
      </c>
      <c r="S512" s="251" t="str">
        <f>IF(S$3="","",IF(COUNTIFS(BD!$A$3:$A$5001,S$3,BD!$B$3:$B$5001,$A$491,BD!$W$3:$W$5001,"&lt;&gt;")=0,"",SUMIFS(BD!$W$3:$W$5001,BD!$A$3:$A$5001,S$3,BD!$B$3:$B$5001,$A$491)))</f>
        <v/>
      </c>
      <c r="T512" s="251" t="str">
        <f>IF(T$3="","",IF(COUNTIFS(BD!$A$3:$A$5001,T$3,BD!$B$3:$B$5001,$A$491,BD!$W$3:$W$5001,"&lt;&gt;")=0,"",SUMIFS(BD!$W$3:$W$5001,BD!$A$3:$A$5001,T$3,BD!$B$3:$B$5001,$A$491)))</f>
        <v/>
      </c>
      <c r="U512" s="251" t="str">
        <f>IF(U$3="","",IF(COUNTIFS(BD!$A$3:$A$5001,U$3,BD!$B$3:$B$5001,$A$491,BD!$W$3:$W$5001,"&lt;&gt;")=0,"",SUMIFS(BD!$W$3:$W$5001,BD!$A$3:$A$5001,U$3,BD!$B$3:$B$5001,$A$491)))</f>
        <v/>
      </c>
      <c r="V512" s="251" t="str">
        <f>IF(V$3="","",IF(COUNTIFS(BD!$A$3:$A$5001,V$3,BD!$B$3:$B$5001,$A$491,BD!$W$3:$W$5001,"&lt;&gt;")=0,"",SUMIFS(BD!$W$3:$W$5001,BD!$A$3:$A$5001,V$3,BD!$B$3:$B$5001,$A$491)))</f>
        <v/>
      </c>
      <c r="W512" s="251" t="str">
        <f>IF(W$3="","",IF(COUNTIFS(BD!$A$3:$A$5001,W$3,BD!$B$3:$B$5001,$A$491,BD!$W$3:$W$5001,"&lt;&gt;")=0,"",SUMIFS(BD!$W$3:$W$5001,BD!$A$3:$A$5001,W$3,BD!$B$3:$B$5001,$A$491)))</f>
        <v/>
      </c>
      <c r="X512" s="251" t="str">
        <f>IF(X$3="","",IF(COUNTIFS(BD!$A$3:$A$5001,X$3,BD!$B$3:$B$5001,$A$491,BD!$W$3:$W$5001,"&lt;&gt;")=0,"",SUMIFS(BD!$W$3:$W$5001,BD!$A$3:$A$5001,X$3,BD!$B$3:$B$5001,$A$491)))</f>
        <v/>
      </c>
      <c r="Y512" s="251" t="str">
        <f>IF(Y$3="","",IF(COUNTIFS(BD!$A$3:$A$5001,Y$3,BD!$B$3:$B$5001,$A$491,BD!$W$3:$W$5001,"&lt;&gt;")=0,"",SUMIFS(BD!$W$3:$W$5001,BD!$A$3:$A$5001,Y$3,BD!$B$3:$B$5001,$A$491)))</f>
        <v/>
      </c>
      <c r="Z512" s="251" t="str">
        <f>IF(Z$3="","",IF(COUNTIFS(BD!$A$3:$A$5001,Z$3,BD!$B$3:$B$5001,$A$491,BD!$W$3:$W$5001,"&lt;&gt;")=0,"",SUMIFS(BD!$W$3:$W$5001,BD!$A$3:$A$5001,Z$3,BD!$B$3:$B$5001,$A$491)))</f>
        <v/>
      </c>
      <c r="AA512" s="251" t="str">
        <f>IF(AA$3="","",IF(COUNTIFS(BD!$A$3:$A$5001,AA$3,BD!$B$3:$B$5001,$A$491,BD!$W$3:$W$5001,"&lt;&gt;")=0,"",SUMIFS(BD!$W$3:$W$5001,BD!$A$3:$A$5001,AA$3,BD!$B$3:$B$5001,$A$491)))</f>
        <v/>
      </c>
      <c r="AB512" s="251" t="str">
        <f>IF(AB$3="","",IF(COUNTIFS(BD!$A$3:$A$5001,AB$3,BD!$B$3:$B$5001,$A$491,BD!$W$3:$W$5001,"&lt;&gt;")=0,"",SUMIFS(BD!$W$3:$W$5001,BD!$A$3:$A$5001,AB$3,BD!$B$3:$B$5001,$A$491)))</f>
        <v/>
      </c>
      <c r="AC512" s="251" t="str">
        <f>IF(AC$3="","",IF(COUNTIFS(BD!$A$3:$A$5001,AC$3,BD!$B$3:$B$5001,$A$491,BD!$W$3:$W$5001,"&lt;&gt;")=0,"",SUMIFS(BD!$W$3:$W$5001,BD!$A$3:$A$5001,AC$3,BD!$B$3:$B$5001,$A$491)))</f>
        <v/>
      </c>
      <c r="AD512" s="251" t="str">
        <f>IF(AD$3="","",IF(COUNTIFS(BD!$A$3:$A$5001,AD$3,BD!$B$3:$B$5001,$A$491,BD!$W$3:$W$5001,"&lt;&gt;")=0,"",SUMIFS(BD!$W$3:$W$5001,BD!$A$3:$A$5001,AD$3,BD!$B$3:$B$5001,$A$491)))</f>
        <v/>
      </c>
      <c r="AE512" s="251" t="str">
        <f>IF(AE$3="","",IF(COUNTIFS(BD!$A$3:$A$5001,AE$3,BD!$B$3:$B$5001,$A$491,BD!$W$3:$W$5001,"&lt;&gt;")=0,"",SUMIFS(BD!$W$3:$W$5001,BD!$A$3:$A$5001,AE$3,BD!$B$3:$B$5001,$A$491)))</f>
        <v/>
      </c>
      <c r="AF512" s="251" t="str">
        <f>IF(AF$3="","",IF(COUNTIFS(BD!$A$3:$A$5001,AF$3,BD!$B$3:$B$5001,$A$491,BD!$W$3:$W$5001,"&lt;&gt;")=0,"",SUMIFS(BD!$W$3:$W$5001,BD!$A$3:$A$5001,AF$3,BD!$B$3:$B$5001,$A$491)))</f>
        <v/>
      </c>
      <c r="AG512" s="251" t="str">
        <f>IF(AG$3="","",IF(COUNTIFS(BD!$A$3:$A$5001,AG$3,BD!$B$3:$B$5001,$A$491,BD!$W$3:$W$5001,"&lt;&gt;")=0,"",SUMIFS(BD!$W$3:$W$5001,BD!$A$3:$A$5001,AG$3,BD!$B$3:$B$5001,$A$491)))</f>
        <v/>
      </c>
      <c r="AH512" s="251" t="str">
        <f>IF(AH$3="","",IF(COUNTIFS(BD!$A$3:$A$5001,AH$3,BD!$B$3:$B$5001,$A$491,BD!$W$3:$W$5001,"&lt;&gt;")=0,"",SUMIFS(BD!$W$3:$W$5001,BD!$A$3:$A$5001,AH$3,BD!$B$3:$B$5001,$A$491)))</f>
        <v/>
      </c>
      <c r="AI512" s="251" t="str">
        <f>IF(AI$3="","",IF(COUNTIFS(BD!$A$3:$A$5001,AI$3,BD!$B$3:$B$5001,$A$491,BD!$W$3:$W$5001,"&lt;&gt;")=0,"",SUMIFS(BD!$W$3:$W$5001,BD!$A$3:$A$5001,AI$3,BD!$B$3:$B$5001,$A$491)))</f>
        <v/>
      </c>
      <c r="AJ512" s="252" t="str">
        <f>IF(AJ$3="","",IF(COUNTIFS(BD!$A$3:$A$5001,AJ$3,BD!$B$3:$B$5001,$A$491,BD!$W$3:$W$5001,"&lt;&gt;")=0,"",SUMIFS(BD!$W$3:$W$5001,BD!$A$3:$A$5001,AJ$3,BD!$B$3:$B$5001,$A$491)))</f>
        <v/>
      </c>
      <c r="AK512" s="253" t="str">
        <f>IF(COUNT(F512:AJ512)=0,"",SUM(F512:AJ512))</f>
        <v/>
      </c>
    </row>
    <row r="513" ht="15.75" customHeight="1" hidden="1">
      <c r="A513" s="277"/>
      <c r="B513" s="274"/>
      <c r="C513" s="247" t="inlineStr">
        <is>
          <t xml:space="preserve">Férias</t>
        </is>
      </c>
      <c r="D513" s="248" t="str">
        <f>IFERROR(1/(1/INDEX(BD!$AF$45:$AZ$45,MATCH($A$491,BD!$AF$22:$AZ$22,0))),"")</f>
        <v/>
      </c>
      <c r="E513" s="249"/>
      <c r="F513" s="250" t="str">
        <f>IF(F$3="","",IF(COUNTIFS(BD!$A$3:$A$5001,F$3,BD!$B$3:$B$5001,$A$491,BD!$X$3:$X$5001,"&lt;&gt;")=0,"",SUMIFS(BD!$X$3:$X$5001,BD!$A$3:$A$5001,F$3,BD!$B$3:$B$5001,$A$491)))</f>
        <v/>
      </c>
      <c r="G513" s="251" t="str">
        <f>IF(G$3="","",IF(COUNTIFS(BD!$A$3:$A$5001,G$3,BD!$B$3:$B$5001,$A$491,BD!$X$3:$X$5001,"&lt;&gt;")=0,"",SUMIFS(BD!$X$3:$X$5001,BD!$A$3:$A$5001,G$3,BD!$B$3:$B$5001,$A$491)))</f>
        <v/>
      </c>
      <c r="H513" s="251" t="str">
        <f>IF(H$3="","",IF(COUNTIFS(BD!$A$3:$A$5001,H$3,BD!$B$3:$B$5001,$A$491,BD!$X$3:$X$5001,"&lt;&gt;")=0,"",SUMIFS(BD!$X$3:$X$5001,BD!$A$3:$A$5001,H$3,BD!$B$3:$B$5001,$A$491)))</f>
        <v/>
      </c>
      <c r="I513" s="251" t="str">
        <f>IF(I$3="","",IF(COUNTIFS(BD!$A$3:$A$5001,I$3,BD!$B$3:$B$5001,$A$491,BD!$X$3:$X$5001,"&lt;&gt;")=0,"",SUMIFS(BD!$X$3:$X$5001,BD!$A$3:$A$5001,I$3,BD!$B$3:$B$5001,$A$491)))</f>
        <v/>
      </c>
      <c r="J513" s="251" t="str">
        <f>IF(J$3="","",IF(COUNTIFS(BD!$A$3:$A$5001,J$3,BD!$B$3:$B$5001,$A$491,BD!$X$3:$X$5001,"&lt;&gt;")=0,"",SUMIFS(BD!$X$3:$X$5001,BD!$A$3:$A$5001,J$3,BD!$B$3:$B$5001,$A$491)))</f>
        <v/>
      </c>
      <c r="K513" s="251" t="str">
        <f>IF(K$3="","",IF(COUNTIFS(BD!$A$3:$A$5001,K$3,BD!$B$3:$B$5001,$A$491,BD!$X$3:$X$5001,"&lt;&gt;")=0,"",SUMIFS(BD!$X$3:$X$5001,BD!$A$3:$A$5001,K$3,BD!$B$3:$B$5001,$A$491)))</f>
        <v/>
      </c>
      <c r="L513" s="251" t="str">
        <f>IF(L$3="","",IF(COUNTIFS(BD!$A$3:$A$5001,L$3,BD!$B$3:$B$5001,$A$491,BD!$X$3:$X$5001,"&lt;&gt;")=0,"",SUMIFS(BD!$X$3:$X$5001,BD!$A$3:$A$5001,L$3,BD!$B$3:$B$5001,$A$491)))</f>
        <v/>
      </c>
      <c r="M513" s="251" t="str">
        <f>IF(M$3="","",IF(COUNTIFS(BD!$A$3:$A$5001,M$3,BD!$B$3:$B$5001,$A$491,BD!$X$3:$X$5001,"&lt;&gt;")=0,"",SUMIFS(BD!$X$3:$X$5001,BD!$A$3:$A$5001,M$3,BD!$B$3:$B$5001,$A$491)))</f>
        <v/>
      </c>
      <c r="N513" s="251" t="str">
        <f>IF(N$3="","",IF(COUNTIFS(BD!$A$3:$A$5001,N$3,BD!$B$3:$B$5001,$A$491,BD!$X$3:$X$5001,"&lt;&gt;")=0,"",SUMIFS(BD!$X$3:$X$5001,BD!$A$3:$A$5001,N$3,BD!$B$3:$B$5001,$A$491)))</f>
        <v/>
      </c>
      <c r="O513" s="251" t="str">
        <f>IF(O$3="","",IF(COUNTIFS(BD!$A$3:$A$5001,O$3,BD!$B$3:$B$5001,$A$491,BD!$X$3:$X$5001,"&lt;&gt;")=0,"",SUMIFS(BD!$X$3:$X$5001,BD!$A$3:$A$5001,O$3,BD!$B$3:$B$5001,$A$491)))</f>
        <v/>
      </c>
      <c r="P513" s="251" t="str">
        <f>IF(P$3="","",IF(COUNTIFS(BD!$A$3:$A$5001,P$3,BD!$B$3:$B$5001,$A$491,BD!$X$3:$X$5001,"&lt;&gt;")=0,"",SUMIFS(BD!$X$3:$X$5001,BD!$A$3:$A$5001,P$3,BD!$B$3:$B$5001,$A$491)))</f>
        <v/>
      </c>
      <c r="Q513" s="251" t="str">
        <f>IF(Q$3="","",IF(COUNTIFS(BD!$A$3:$A$5001,Q$3,BD!$B$3:$B$5001,$A$491,BD!$X$3:$X$5001,"&lt;&gt;")=0,"",SUMIFS(BD!$X$3:$X$5001,BD!$A$3:$A$5001,Q$3,BD!$B$3:$B$5001,$A$491)))</f>
        <v/>
      </c>
      <c r="R513" s="251" t="str">
        <f>IF(R$3="","",IF(COUNTIFS(BD!$A$3:$A$5001,R$3,BD!$B$3:$B$5001,$A$491,BD!$X$3:$X$5001,"&lt;&gt;")=0,"",SUMIFS(BD!$X$3:$X$5001,BD!$A$3:$A$5001,R$3,BD!$B$3:$B$5001,$A$491)))</f>
        <v/>
      </c>
      <c r="S513" s="251" t="str">
        <f>IF(S$3="","",IF(COUNTIFS(BD!$A$3:$A$5001,S$3,BD!$B$3:$B$5001,$A$491,BD!$X$3:$X$5001,"&lt;&gt;")=0,"",SUMIFS(BD!$X$3:$X$5001,BD!$A$3:$A$5001,S$3,BD!$B$3:$B$5001,$A$491)))</f>
        <v/>
      </c>
      <c r="T513" s="251" t="str">
        <f>IF(T$3="","",IF(COUNTIFS(BD!$A$3:$A$5001,T$3,BD!$B$3:$B$5001,$A$491,BD!$X$3:$X$5001,"&lt;&gt;")=0,"",SUMIFS(BD!$X$3:$X$5001,BD!$A$3:$A$5001,T$3,BD!$B$3:$B$5001,$A$491)))</f>
        <v/>
      </c>
      <c r="U513" s="251" t="str">
        <f>IF(U$3="","",IF(COUNTIFS(BD!$A$3:$A$5001,U$3,BD!$B$3:$B$5001,$A$491,BD!$X$3:$X$5001,"&lt;&gt;")=0,"",SUMIFS(BD!$X$3:$X$5001,BD!$A$3:$A$5001,U$3,BD!$B$3:$B$5001,$A$491)))</f>
        <v/>
      </c>
      <c r="V513" s="251" t="str">
        <f>IF(V$3="","",IF(COUNTIFS(BD!$A$3:$A$5001,V$3,BD!$B$3:$B$5001,$A$491,BD!$X$3:$X$5001,"&lt;&gt;")=0,"",SUMIFS(BD!$X$3:$X$5001,BD!$A$3:$A$5001,V$3,BD!$B$3:$B$5001,$A$491)))</f>
        <v/>
      </c>
      <c r="W513" s="251" t="str">
        <f>IF(W$3="","",IF(COUNTIFS(BD!$A$3:$A$5001,W$3,BD!$B$3:$B$5001,$A$491,BD!$X$3:$X$5001,"&lt;&gt;")=0,"",SUMIFS(BD!$X$3:$X$5001,BD!$A$3:$A$5001,W$3,BD!$B$3:$B$5001,$A$491)))</f>
        <v/>
      </c>
      <c r="X513" s="251" t="str">
        <f>IF(X$3="","",IF(COUNTIFS(BD!$A$3:$A$5001,X$3,BD!$B$3:$B$5001,$A$491,BD!$X$3:$X$5001,"&lt;&gt;")=0,"",SUMIFS(BD!$X$3:$X$5001,BD!$A$3:$A$5001,X$3,BD!$B$3:$B$5001,$A$491)))</f>
        <v/>
      </c>
      <c r="Y513" s="251" t="str">
        <f>IF(Y$3="","",IF(COUNTIFS(BD!$A$3:$A$5001,Y$3,BD!$B$3:$B$5001,$A$491,BD!$X$3:$X$5001,"&lt;&gt;")=0,"",SUMIFS(BD!$X$3:$X$5001,BD!$A$3:$A$5001,Y$3,BD!$B$3:$B$5001,$A$491)))</f>
        <v/>
      </c>
      <c r="Z513" s="251" t="str">
        <f>IF(Z$3="","",IF(COUNTIFS(BD!$A$3:$A$5001,Z$3,BD!$B$3:$B$5001,$A$491,BD!$X$3:$X$5001,"&lt;&gt;")=0,"",SUMIFS(BD!$X$3:$X$5001,BD!$A$3:$A$5001,Z$3,BD!$B$3:$B$5001,$A$491)))</f>
        <v/>
      </c>
      <c r="AA513" s="251" t="str">
        <f>IF(AA$3="","",IF(COUNTIFS(BD!$A$3:$A$5001,AA$3,BD!$B$3:$B$5001,$A$491,BD!$X$3:$X$5001,"&lt;&gt;")=0,"",SUMIFS(BD!$X$3:$X$5001,BD!$A$3:$A$5001,AA$3,BD!$B$3:$B$5001,$A$491)))</f>
        <v/>
      </c>
      <c r="AB513" s="251" t="str">
        <f>IF(AB$3="","",IF(COUNTIFS(BD!$A$3:$A$5001,AB$3,BD!$B$3:$B$5001,$A$491,BD!$X$3:$X$5001,"&lt;&gt;")=0,"",SUMIFS(BD!$X$3:$X$5001,BD!$A$3:$A$5001,AB$3,BD!$B$3:$B$5001,$A$491)))</f>
        <v/>
      </c>
      <c r="AC513" s="251" t="str">
        <f>IF(AC$3="","",IF(COUNTIFS(BD!$A$3:$A$5001,AC$3,BD!$B$3:$B$5001,$A$491,BD!$X$3:$X$5001,"&lt;&gt;")=0,"",SUMIFS(BD!$X$3:$X$5001,BD!$A$3:$A$5001,AC$3,BD!$B$3:$B$5001,$A$491)))</f>
        <v/>
      </c>
      <c r="AD513" s="251" t="str">
        <f>IF(AD$3="","",IF(COUNTIFS(BD!$A$3:$A$5001,AD$3,BD!$B$3:$B$5001,$A$491,BD!$X$3:$X$5001,"&lt;&gt;")=0,"",SUMIFS(BD!$X$3:$X$5001,BD!$A$3:$A$5001,AD$3,BD!$B$3:$B$5001,$A$491)))</f>
        <v/>
      </c>
      <c r="AE513" s="251" t="str">
        <f>IF(AE$3="","",IF(COUNTIFS(BD!$A$3:$A$5001,AE$3,BD!$B$3:$B$5001,$A$491,BD!$X$3:$X$5001,"&lt;&gt;")=0,"",SUMIFS(BD!$X$3:$X$5001,BD!$A$3:$A$5001,AE$3,BD!$B$3:$B$5001,$A$491)))</f>
        <v/>
      </c>
      <c r="AF513" s="251" t="str">
        <f>IF(AF$3="","",IF(COUNTIFS(BD!$A$3:$A$5001,AF$3,BD!$B$3:$B$5001,$A$491,BD!$X$3:$X$5001,"&lt;&gt;")=0,"",SUMIFS(BD!$X$3:$X$5001,BD!$A$3:$A$5001,AF$3,BD!$B$3:$B$5001,$A$491)))</f>
        <v/>
      </c>
      <c r="AG513" s="251" t="str">
        <f>IF(AG$3="","",IF(COUNTIFS(BD!$A$3:$A$5001,AG$3,BD!$B$3:$B$5001,$A$491,BD!$X$3:$X$5001,"&lt;&gt;")=0,"",SUMIFS(BD!$X$3:$X$5001,BD!$A$3:$A$5001,AG$3,BD!$B$3:$B$5001,$A$491)))</f>
        <v/>
      </c>
      <c r="AH513" s="251" t="str">
        <f>IF(AH$3="","",IF(COUNTIFS(BD!$A$3:$A$5001,AH$3,BD!$B$3:$B$5001,$A$491,BD!$X$3:$X$5001,"&lt;&gt;")=0,"",SUMIFS(BD!$X$3:$X$5001,BD!$A$3:$A$5001,AH$3,BD!$B$3:$B$5001,$A$491)))</f>
        <v/>
      </c>
      <c r="AI513" s="251" t="str">
        <f>IF(AI$3="","",IF(COUNTIFS(BD!$A$3:$A$5001,AI$3,BD!$B$3:$B$5001,$A$491,BD!$X$3:$X$5001,"&lt;&gt;")=0,"",SUMIFS(BD!$X$3:$X$5001,BD!$A$3:$A$5001,AI$3,BD!$B$3:$B$5001,$A$491)))</f>
        <v/>
      </c>
      <c r="AJ513" s="252" t="str">
        <f>IF(AJ$3="","",IF(COUNTIFS(BD!$A$3:$A$5001,AJ$3,BD!$B$3:$B$5001,$A$491,BD!$X$3:$X$5001,"&lt;&gt;")=0,"",SUMIFS(BD!$X$3:$X$5001,BD!$A$3:$A$5001,AJ$3,BD!$B$3:$B$5001,$A$491)))</f>
        <v/>
      </c>
      <c r="AK513" s="253" t="str">
        <f>IF(COUNT(F513:AJ513)=0,"",SUM(F513:AJ513))</f>
        <v/>
      </c>
    </row>
    <row r="514" ht="15.75" customHeight="1" hidden="1">
      <c r="A514" s="277"/>
      <c r="B514" s="274"/>
      <c r="C514" s="247" t="inlineStr">
        <is>
          <t xml:space="preserve">Desligamento</t>
        </is>
      </c>
      <c r="D514" s="248" t="str">
        <f>IFERROR(1/(1/INDEX(BD!$AF$46:$AZ$46,MATCH($A$491,BD!$AF$22:$AZ$22,0))),"")</f>
        <v/>
      </c>
      <c r="E514" s="249"/>
      <c r="F514" s="250" t="str">
        <f>IF(F$3="","",IF(COUNTIFS(BD!$A$3:$A$5001,F$3,BD!$B$3:$B$5001,$A$491,BD!$Y$3:$Y$5001,"&lt;&gt;")=0,"",SUMIFS(BD!$Y$3:$Y$5001,BD!$A$3:$A$5001,F$3,BD!$B$3:$B$5001,$A$491)))</f>
        <v/>
      </c>
      <c r="G514" s="251" t="str">
        <f>IF(G$3="","",IF(COUNTIFS(BD!$A$3:$A$5001,G$3,BD!$B$3:$B$5001,$A$491,BD!$Y$3:$Y$5001,"&lt;&gt;")=0,"",SUMIFS(BD!$Y$3:$Y$5001,BD!$A$3:$A$5001,G$3,BD!$B$3:$B$5001,$A$491)))</f>
        <v/>
      </c>
      <c r="H514" s="251" t="str">
        <f>IF(H$3="","",IF(COUNTIFS(BD!$A$3:$A$5001,H$3,BD!$B$3:$B$5001,$A$491,BD!$Y$3:$Y$5001,"&lt;&gt;")=0,"",SUMIFS(BD!$Y$3:$Y$5001,BD!$A$3:$A$5001,H$3,BD!$B$3:$B$5001,$A$491)))</f>
        <v/>
      </c>
      <c r="I514" s="251" t="str">
        <f>IF(I$3="","",IF(COUNTIFS(BD!$A$3:$A$5001,I$3,BD!$B$3:$B$5001,$A$491,BD!$Y$3:$Y$5001,"&lt;&gt;")=0,"",SUMIFS(BD!$Y$3:$Y$5001,BD!$A$3:$A$5001,I$3,BD!$B$3:$B$5001,$A$491)))</f>
        <v/>
      </c>
      <c r="J514" s="251" t="str">
        <f>IF(J$3="","",IF(COUNTIFS(BD!$A$3:$A$5001,J$3,BD!$B$3:$B$5001,$A$491,BD!$Y$3:$Y$5001,"&lt;&gt;")=0,"",SUMIFS(BD!$Y$3:$Y$5001,BD!$A$3:$A$5001,J$3,BD!$B$3:$B$5001,$A$491)))</f>
        <v/>
      </c>
      <c r="K514" s="251" t="str">
        <f>IF(K$3="","",IF(COUNTIFS(BD!$A$3:$A$5001,K$3,BD!$B$3:$B$5001,$A$491,BD!$Y$3:$Y$5001,"&lt;&gt;")=0,"",SUMIFS(BD!$Y$3:$Y$5001,BD!$A$3:$A$5001,K$3,BD!$B$3:$B$5001,$A$491)))</f>
        <v/>
      </c>
      <c r="L514" s="251" t="str">
        <f>IF(L$3="","",IF(COUNTIFS(BD!$A$3:$A$5001,L$3,BD!$B$3:$B$5001,$A$491,BD!$Y$3:$Y$5001,"&lt;&gt;")=0,"",SUMIFS(BD!$Y$3:$Y$5001,BD!$A$3:$A$5001,L$3,BD!$B$3:$B$5001,$A$491)))</f>
        <v/>
      </c>
      <c r="M514" s="251" t="str">
        <f>IF(M$3="","",IF(COUNTIFS(BD!$A$3:$A$5001,M$3,BD!$B$3:$B$5001,$A$491,BD!$Y$3:$Y$5001,"&lt;&gt;")=0,"",SUMIFS(BD!$Y$3:$Y$5001,BD!$A$3:$A$5001,M$3,BD!$B$3:$B$5001,$A$491)))</f>
        <v/>
      </c>
      <c r="N514" s="251" t="str">
        <f>IF(N$3="","",IF(COUNTIFS(BD!$A$3:$A$5001,N$3,BD!$B$3:$B$5001,$A$491,BD!$Y$3:$Y$5001,"&lt;&gt;")=0,"",SUMIFS(BD!$Y$3:$Y$5001,BD!$A$3:$A$5001,N$3,BD!$B$3:$B$5001,$A$491)))</f>
        <v/>
      </c>
      <c r="O514" s="251" t="str">
        <f>IF(O$3="","",IF(COUNTIFS(BD!$A$3:$A$5001,O$3,BD!$B$3:$B$5001,$A$491,BD!$Y$3:$Y$5001,"&lt;&gt;")=0,"",SUMIFS(BD!$Y$3:$Y$5001,BD!$A$3:$A$5001,O$3,BD!$B$3:$B$5001,$A$491)))</f>
        <v/>
      </c>
      <c r="P514" s="251" t="str">
        <f>IF(P$3="","",IF(COUNTIFS(BD!$A$3:$A$5001,P$3,BD!$B$3:$B$5001,$A$491,BD!$Y$3:$Y$5001,"&lt;&gt;")=0,"",SUMIFS(BD!$Y$3:$Y$5001,BD!$A$3:$A$5001,P$3,BD!$B$3:$B$5001,$A$491)))</f>
        <v/>
      </c>
      <c r="Q514" s="251" t="str">
        <f>IF(Q$3="","",IF(COUNTIFS(BD!$A$3:$A$5001,Q$3,BD!$B$3:$B$5001,$A$491,BD!$Y$3:$Y$5001,"&lt;&gt;")=0,"",SUMIFS(BD!$Y$3:$Y$5001,BD!$A$3:$A$5001,Q$3,BD!$B$3:$B$5001,$A$491)))</f>
        <v/>
      </c>
      <c r="R514" s="251" t="str">
        <f>IF(R$3="","",IF(COUNTIFS(BD!$A$3:$A$5001,R$3,BD!$B$3:$B$5001,$A$491,BD!$Y$3:$Y$5001,"&lt;&gt;")=0,"",SUMIFS(BD!$Y$3:$Y$5001,BD!$A$3:$A$5001,R$3,BD!$B$3:$B$5001,$A$491)))</f>
        <v/>
      </c>
      <c r="S514" s="251" t="str">
        <f>IF(S$3="","",IF(COUNTIFS(BD!$A$3:$A$5001,S$3,BD!$B$3:$B$5001,$A$491,BD!$Y$3:$Y$5001,"&lt;&gt;")=0,"",SUMIFS(BD!$Y$3:$Y$5001,BD!$A$3:$A$5001,S$3,BD!$B$3:$B$5001,$A$491)))</f>
        <v/>
      </c>
      <c r="T514" s="251" t="str">
        <f>IF(T$3="","",IF(COUNTIFS(BD!$A$3:$A$5001,T$3,BD!$B$3:$B$5001,$A$491,BD!$Y$3:$Y$5001,"&lt;&gt;")=0,"",SUMIFS(BD!$Y$3:$Y$5001,BD!$A$3:$A$5001,T$3,BD!$B$3:$B$5001,$A$491)))</f>
        <v/>
      </c>
      <c r="U514" s="251" t="str">
        <f>IF(U$3="","",IF(COUNTIFS(BD!$A$3:$A$5001,U$3,BD!$B$3:$B$5001,$A$491,BD!$Y$3:$Y$5001,"&lt;&gt;")=0,"",SUMIFS(BD!$Y$3:$Y$5001,BD!$A$3:$A$5001,U$3,BD!$B$3:$B$5001,$A$491)))</f>
        <v/>
      </c>
      <c r="V514" s="251" t="str">
        <f>IF(V$3="","",IF(COUNTIFS(BD!$A$3:$A$5001,V$3,BD!$B$3:$B$5001,$A$491,BD!$Y$3:$Y$5001,"&lt;&gt;")=0,"",SUMIFS(BD!$Y$3:$Y$5001,BD!$A$3:$A$5001,V$3,BD!$B$3:$B$5001,$A$491)))</f>
        <v/>
      </c>
      <c r="W514" s="251" t="str">
        <f>IF(W$3="","",IF(COUNTIFS(BD!$A$3:$A$5001,W$3,BD!$B$3:$B$5001,$A$491,BD!$Y$3:$Y$5001,"&lt;&gt;")=0,"",SUMIFS(BD!$Y$3:$Y$5001,BD!$A$3:$A$5001,W$3,BD!$B$3:$B$5001,$A$491)))</f>
        <v/>
      </c>
      <c r="X514" s="251" t="str">
        <f>IF(X$3="","",IF(COUNTIFS(BD!$A$3:$A$5001,X$3,BD!$B$3:$B$5001,$A$491,BD!$Y$3:$Y$5001,"&lt;&gt;")=0,"",SUMIFS(BD!$Y$3:$Y$5001,BD!$A$3:$A$5001,X$3,BD!$B$3:$B$5001,$A$491)))</f>
        <v/>
      </c>
      <c r="Y514" s="251" t="str">
        <f>IF(Y$3="","",IF(COUNTIFS(BD!$A$3:$A$5001,Y$3,BD!$B$3:$B$5001,$A$491,BD!$Y$3:$Y$5001,"&lt;&gt;")=0,"",SUMIFS(BD!$Y$3:$Y$5001,BD!$A$3:$A$5001,Y$3,BD!$B$3:$B$5001,$A$491)))</f>
        <v/>
      </c>
      <c r="Z514" s="251" t="str">
        <f>IF(Z$3="","",IF(COUNTIFS(BD!$A$3:$A$5001,Z$3,BD!$B$3:$B$5001,$A$491,BD!$Y$3:$Y$5001,"&lt;&gt;")=0,"",SUMIFS(BD!$Y$3:$Y$5001,BD!$A$3:$A$5001,Z$3,BD!$B$3:$B$5001,$A$491)))</f>
        <v/>
      </c>
      <c r="AA514" s="251" t="str">
        <f>IF(AA$3="","",IF(COUNTIFS(BD!$A$3:$A$5001,AA$3,BD!$B$3:$B$5001,$A$491,BD!$Y$3:$Y$5001,"&lt;&gt;")=0,"",SUMIFS(BD!$Y$3:$Y$5001,BD!$A$3:$A$5001,AA$3,BD!$B$3:$B$5001,$A$491)))</f>
        <v/>
      </c>
      <c r="AB514" s="251" t="str">
        <f>IF(AB$3="","",IF(COUNTIFS(BD!$A$3:$A$5001,AB$3,BD!$B$3:$B$5001,$A$491,BD!$Y$3:$Y$5001,"&lt;&gt;")=0,"",SUMIFS(BD!$Y$3:$Y$5001,BD!$A$3:$A$5001,AB$3,BD!$B$3:$B$5001,$A$491)))</f>
        <v/>
      </c>
      <c r="AC514" s="251" t="str">
        <f>IF(AC$3="","",IF(COUNTIFS(BD!$A$3:$A$5001,AC$3,BD!$B$3:$B$5001,$A$491,BD!$Y$3:$Y$5001,"&lt;&gt;")=0,"",SUMIFS(BD!$Y$3:$Y$5001,BD!$A$3:$A$5001,AC$3,BD!$B$3:$B$5001,$A$491)))</f>
        <v/>
      </c>
      <c r="AD514" s="251" t="str">
        <f>IF(AD$3="","",IF(COUNTIFS(BD!$A$3:$A$5001,AD$3,BD!$B$3:$B$5001,$A$491,BD!$Y$3:$Y$5001,"&lt;&gt;")=0,"",SUMIFS(BD!$Y$3:$Y$5001,BD!$A$3:$A$5001,AD$3,BD!$B$3:$B$5001,$A$491)))</f>
        <v/>
      </c>
      <c r="AE514" s="251" t="str">
        <f>IF(AE$3="","",IF(COUNTIFS(BD!$A$3:$A$5001,AE$3,BD!$B$3:$B$5001,$A$491,BD!$Y$3:$Y$5001,"&lt;&gt;")=0,"",SUMIFS(BD!$Y$3:$Y$5001,BD!$A$3:$A$5001,AE$3,BD!$B$3:$B$5001,$A$491)))</f>
        <v/>
      </c>
      <c r="AF514" s="251" t="str">
        <f>IF(AF$3="","",IF(COUNTIFS(BD!$A$3:$A$5001,AF$3,BD!$B$3:$B$5001,$A$491,BD!$Y$3:$Y$5001,"&lt;&gt;")=0,"",SUMIFS(BD!$Y$3:$Y$5001,BD!$A$3:$A$5001,AF$3,BD!$B$3:$B$5001,$A$491)))</f>
        <v/>
      </c>
      <c r="AG514" s="251" t="str">
        <f>IF(AG$3="","",IF(COUNTIFS(BD!$A$3:$A$5001,AG$3,BD!$B$3:$B$5001,$A$491,BD!$Y$3:$Y$5001,"&lt;&gt;")=0,"",SUMIFS(BD!$Y$3:$Y$5001,BD!$A$3:$A$5001,AG$3,BD!$B$3:$B$5001,$A$491)))</f>
        <v/>
      </c>
      <c r="AH514" s="251" t="str">
        <f>IF(AH$3="","",IF(COUNTIFS(BD!$A$3:$A$5001,AH$3,BD!$B$3:$B$5001,$A$491,BD!$Y$3:$Y$5001,"&lt;&gt;")=0,"",SUMIFS(BD!$Y$3:$Y$5001,BD!$A$3:$A$5001,AH$3,BD!$B$3:$B$5001,$A$491)))</f>
        <v/>
      </c>
      <c r="AI514" s="251" t="str">
        <f>IF(AI$3="","",IF(COUNTIFS(BD!$A$3:$A$5001,AI$3,BD!$B$3:$B$5001,$A$491,BD!$Y$3:$Y$5001,"&lt;&gt;")=0,"",SUMIFS(BD!$Y$3:$Y$5001,BD!$A$3:$A$5001,AI$3,BD!$B$3:$B$5001,$A$491)))</f>
        <v/>
      </c>
      <c r="AJ514" s="252" t="str">
        <f>IF(AJ$3="","",IF(COUNTIFS(BD!$A$3:$A$5001,AJ$3,BD!$B$3:$B$5001,$A$491,BD!$Y$3:$Y$5001,"&lt;&gt;")=0,"",SUMIFS(BD!$Y$3:$Y$5001,BD!$A$3:$A$5001,AJ$3,BD!$B$3:$B$5001,$A$491)))</f>
        <v/>
      </c>
      <c r="AK514" s="253" t="str">
        <f>IF(COUNT(F514:AJ514)=0,"",SUM(F514:AJ514))</f>
        <v/>
      </c>
    </row>
    <row r="515" ht="15.75" customHeight="1" hidden="1">
      <c r="A515" s="277"/>
      <c r="B515" s="274"/>
      <c r="C515" s="247" t="inlineStr">
        <is>
          <t xml:space="preserve">Desvios Comportamentais</t>
        </is>
      </c>
      <c r="D515" s="248" t="str">
        <f>IFERROR(1/(1/INDEX(BD!$AF$47:$AZ$47,MATCH($A$491,BD!$AF$22:$AZ$22,0))),"")</f>
        <v/>
      </c>
      <c r="E515" s="249"/>
      <c r="F515" s="250" t="str">
        <f>IF(F$3="","",IF(COUNTIFS(BD!$A$3:$A$5001,F$3,BD!$B$3:$B$5001,$A$491,BD!$Z$3:$Z$5001,"&lt;&gt;")=0,"",SUMIFS(BD!$Z$3:$Z$5001,BD!$A$3:$A$5001,F$3,BD!$B$3:$B$5001,$A$491)))</f>
        <v/>
      </c>
      <c r="G515" s="251" t="str">
        <f>IF(G$3="","",IF(COUNTIFS(BD!$A$3:$A$5001,G$3,BD!$B$3:$B$5001,$A$491,BD!$Z$3:$Z$5001,"&lt;&gt;")=0,"",SUMIFS(BD!$Z$3:$Z$5001,BD!$A$3:$A$5001,G$3,BD!$B$3:$B$5001,$A$491)))</f>
        <v/>
      </c>
      <c r="H515" s="251" t="str">
        <f>IF(H$3="","",IF(COUNTIFS(BD!$A$3:$A$5001,H$3,BD!$B$3:$B$5001,$A$491,BD!$Z$3:$Z$5001,"&lt;&gt;")=0,"",SUMIFS(BD!$Z$3:$Z$5001,BD!$A$3:$A$5001,H$3,BD!$B$3:$B$5001,$A$491)))</f>
        <v/>
      </c>
      <c r="I515" s="251" t="str">
        <f>IF(I$3="","",IF(COUNTIFS(BD!$A$3:$A$5001,I$3,BD!$B$3:$B$5001,$A$491,BD!$Z$3:$Z$5001,"&lt;&gt;")=0,"",SUMIFS(BD!$Z$3:$Z$5001,BD!$A$3:$A$5001,I$3,BD!$B$3:$B$5001,$A$491)))</f>
        <v/>
      </c>
      <c r="J515" s="251" t="str">
        <f>IF(J$3="","",IF(COUNTIFS(BD!$A$3:$A$5001,J$3,BD!$B$3:$B$5001,$A$491,BD!$Z$3:$Z$5001,"&lt;&gt;")=0,"",SUMIFS(BD!$Z$3:$Z$5001,BD!$A$3:$A$5001,J$3,BD!$B$3:$B$5001,$A$491)))</f>
        <v/>
      </c>
      <c r="K515" s="251" t="str">
        <f>IF(K$3="","",IF(COUNTIFS(BD!$A$3:$A$5001,K$3,BD!$B$3:$B$5001,$A$491,BD!$Z$3:$Z$5001,"&lt;&gt;")=0,"",SUMIFS(BD!$Z$3:$Z$5001,BD!$A$3:$A$5001,K$3,BD!$B$3:$B$5001,$A$491)))</f>
        <v/>
      </c>
      <c r="L515" s="251" t="str">
        <f>IF(L$3="","",IF(COUNTIFS(BD!$A$3:$A$5001,L$3,BD!$B$3:$B$5001,$A$491,BD!$Z$3:$Z$5001,"&lt;&gt;")=0,"",SUMIFS(BD!$Z$3:$Z$5001,BD!$A$3:$A$5001,L$3,BD!$B$3:$B$5001,$A$491)))</f>
        <v/>
      </c>
      <c r="M515" s="251" t="str">
        <f>IF(M$3="","",IF(COUNTIFS(BD!$A$3:$A$5001,M$3,BD!$B$3:$B$5001,$A$491,BD!$Z$3:$Z$5001,"&lt;&gt;")=0,"",SUMIFS(BD!$Z$3:$Z$5001,BD!$A$3:$A$5001,M$3,BD!$B$3:$B$5001,$A$491)))</f>
        <v/>
      </c>
      <c r="N515" s="251" t="str">
        <f>IF(N$3="","",IF(COUNTIFS(BD!$A$3:$A$5001,N$3,BD!$B$3:$B$5001,$A$491,BD!$Z$3:$Z$5001,"&lt;&gt;")=0,"",SUMIFS(BD!$Z$3:$Z$5001,BD!$A$3:$A$5001,N$3,BD!$B$3:$B$5001,$A$491)))</f>
        <v/>
      </c>
      <c r="O515" s="251" t="str">
        <f>IF(O$3="","",IF(COUNTIFS(BD!$A$3:$A$5001,O$3,BD!$B$3:$B$5001,$A$491,BD!$Z$3:$Z$5001,"&lt;&gt;")=0,"",SUMIFS(BD!$Z$3:$Z$5001,BD!$A$3:$A$5001,O$3,BD!$B$3:$B$5001,$A$491)))</f>
        <v/>
      </c>
      <c r="P515" s="251" t="str">
        <f>IF(P$3="","",IF(COUNTIFS(BD!$A$3:$A$5001,P$3,BD!$B$3:$B$5001,$A$491,BD!$Z$3:$Z$5001,"&lt;&gt;")=0,"",SUMIFS(BD!$Z$3:$Z$5001,BD!$A$3:$A$5001,P$3,BD!$B$3:$B$5001,$A$491)))</f>
        <v/>
      </c>
      <c r="Q515" s="251" t="str">
        <f>IF(Q$3="","",IF(COUNTIFS(BD!$A$3:$A$5001,Q$3,BD!$B$3:$B$5001,$A$491,BD!$Z$3:$Z$5001,"&lt;&gt;")=0,"",SUMIFS(BD!$Z$3:$Z$5001,BD!$A$3:$A$5001,Q$3,BD!$B$3:$B$5001,$A$491)))</f>
        <v/>
      </c>
      <c r="R515" s="251" t="str">
        <f>IF(R$3="","",IF(COUNTIFS(BD!$A$3:$A$5001,R$3,BD!$B$3:$B$5001,$A$491,BD!$Z$3:$Z$5001,"&lt;&gt;")=0,"",SUMIFS(BD!$Z$3:$Z$5001,BD!$A$3:$A$5001,R$3,BD!$B$3:$B$5001,$A$491)))</f>
        <v/>
      </c>
      <c r="S515" s="251" t="str">
        <f>IF(S$3="","",IF(COUNTIFS(BD!$A$3:$A$5001,S$3,BD!$B$3:$B$5001,$A$491,BD!$Z$3:$Z$5001,"&lt;&gt;")=0,"",SUMIFS(BD!$Z$3:$Z$5001,BD!$A$3:$A$5001,S$3,BD!$B$3:$B$5001,$A$491)))</f>
        <v/>
      </c>
      <c r="T515" s="251" t="str">
        <f>IF(T$3="","",IF(COUNTIFS(BD!$A$3:$A$5001,T$3,BD!$B$3:$B$5001,$A$491,BD!$Z$3:$Z$5001,"&lt;&gt;")=0,"",SUMIFS(BD!$Z$3:$Z$5001,BD!$A$3:$A$5001,T$3,BD!$B$3:$B$5001,$A$491)))</f>
        <v/>
      </c>
      <c r="U515" s="251" t="str">
        <f>IF(U$3="","",IF(COUNTIFS(BD!$A$3:$A$5001,U$3,BD!$B$3:$B$5001,$A$491,BD!$Z$3:$Z$5001,"&lt;&gt;")=0,"",SUMIFS(BD!$Z$3:$Z$5001,BD!$A$3:$A$5001,U$3,BD!$B$3:$B$5001,$A$491)))</f>
        <v/>
      </c>
      <c r="V515" s="251" t="str">
        <f>IF(V$3="","",IF(COUNTIFS(BD!$A$3:$A$5001,V$3,BD!$B$3:$B$5001,$A$491,BD!$Z$3:$Z$5001,"&lt;&gt;")=0,"",SUMIFS(BD!$Z$3:$Z$5001,BD!$A$3:$A$5001,V$3,BD!$B$3:$B$5001,$A$491)))</f>
        <v/>
      </c>
      <c r="W515" s="251" t="str">
        <f>IF(W$3="","",IF(COUNTIFS(BD!$A$3:$A$5001,W$3,BD!$B$3:$B$5001,$A$491,BD!$Z$3:$Z$5001,"&lt;&gt;")=0,"",SUMIFS(BD!$Z$3:$Z$5001,BD!$A$3:$A$5001,W$3,BD!$B$3:$B$5001,$A$491)))</f>
        <v/>
      </c>
      <c r="X515" s="251" t="str">
        <f>IF(X$3="","",IF(COUNTIFS(BD!$A$3:$A$5001,X$3,BD!$B$3:$B$5001,$A$491,BD!$Z$3:$Z$5001,"&lt;&gt;")=0,"",SUMIFS(BD!$Z$3:$Z$5001,BD!$A$3:$A$5001,X$3,BD!$B$3:$B$5001,$A$491)))</f>
        <v/>
      </c>
      <c r="Y515" s="251" t="str">
        <f>IF(Y$3="","",IF(COUNTIFS(BD!$A$3:$A$5001,Y$3,BD!$B$3:$B$5001,$A$491,BD!$Z$3:$Z$5001,"&lt;&gt;")=0,"",SUMIFS(BD!$Z$3:$Z$5001,BD!$A$3:$A$5001,Y$3,BD!$B$3:$B$5001,$A$491)))</f>
        <v/>
      </c>
      <c r="Z515" s="251" t="str">
        <f>IF(Z$3="","",IF(COUNTIFS(BD!$A$3:$A$5001,Z$3,BD!$B$3:$B$5001,$A$491,BD!$Z$3:$Z$5001,"&lt;&gt;")=0,"",SUMIFS(BD!$Z$3:$Z$5001,BD!$A$3:$A$5001,Z$3,BD!$B$3:$B$5001,$A$491)))</f>
        <v/>
      </c>
      <c r="AA515" s="251" t="str">
        <f>IF(AA$3="","",IF(COUNTIFS(BD!$A$3:$A$5001,AA$3,BD!$B$3:$B$5001,$A$491,BD!$Z$3:$Z$5001,"&lt;&gt;")=0,"",SUMIFS(BD!$Z$3:$Z$5001,BD!$A$3:$A$5001,AA$3,BD!$B$3:$B$5001,$A$491)))</f>
        <v/>
      </c>
      <c r="AB515" s="251" t="str">
        <f>IF(AB$3="","",IF(COUNTIFS(BD!$A$3:$A$5001,AB$3,BD!$B$3:$B$5001,$A$491,BD!$Z$3:$Z$5001,"&lt;&gt;")=0,"",SUMIFS(BD!$Z$3:$Z$5001,BD!$A$3:$A$5001,AB$3,BD!$B$3:$B$5001,$A$491)))</f>
        <v/>
      </c>
      <c r="AC515" s="251" t="str">
        <f>IF(AC$3="","",IF(COUNTIFS(BD!$A$3:$A$5001,AC$3,BD!$B$3:$B$5001,$A$491,BD!$Z$3:$Z$5001,"&lt;&gt;")=0,"",SUMIFS(BD!$Z$3:$Z$5001,BD!$A$3:$A$5001,AC$3,BD!$B$3:$B$5001,$A$491)))</f>
        <v/>
      </c>
      <c r="AD515" s="251" t="str">
        <f>IF(AD$3="","",IF(COUNTIFS(BD!$A$3:$A$5001,AD$3,BD!$B$3:$B$5001,$A$491,BD!$Z$3:$Z$5001,"&lt;&gt;")=0,"",SUMIFS(BD!$Z$3:$Z$5001,BD!$A$3:$A$5001,AD$3,BD!$B$3:$B$5001,$A$491)))</f>
        <v/>
      </c>
      <c r="AE515" s="251" t="str">
        <f>IF(AE$3="","",IF(COUNTIFS(BD!$A$3:$A$5001,AE$3,BD!$B$3:$B$5001,$A$491,BD!$Z$3:$Z$5001,"&lt;&gt;")=0,"",SUMIFS(BD!$Z$3:$Z$5001,BD!$A$3:$A$5001,AE$3,BD!$B$3:$B$5001,$A$491)))</f>
        <v/>
      </c>
      <c r="AF515" s="251" t="str">
        <f>IF(AF$3="","",IF(COUNTIFS(BD!$A$3:$A$5001,AF$3,BD!$B$3:$B$5001,$A$491,BD!$Z$3:$Z$5001,"&lt;&gt;")=0,"",SUMIFS(BD!$Z$3:$Z$5001,BD!$A$3:$A$5001,AF$3,BD!$B$3:$B$5001,$A$491)))</f>
        <v/>
      </c>
      <c r="AG515" s="251" t="str">
        <f>IF(AG$3="","",IF(COUNTIFS(BD!$A$3:$A$5001,AG$3,BD!$B$3:$B$5001,$A$491,BD!$Z$3:$Z$5001,"&lt;&gt;")=0,"",SUMIFS(BD!$Z$3:$Z$5001,BD!$A$3:$A$5001,AG$3,BD!$B$3:$B$5001,$A$491)))</f>
        <v/>
      </c>
      <c r="AH515" s="251" t="str">
        <f>IF(AH$3="","",IF(COUNTIFS(BD!$A$3:$A$5001,AH$3,BD!$B$3:$B$5001,$A$491,BD!$Z$3:$Z$5001,"&lt;&gt;")=0,"",SUMIFS(BD!$Z$3:$Z$5001,BD!$A$3:$A$5001,AH$3,BD!$B$3:$B$5001,$A$491)))</f>
        <v/>
      </c>
      <c r="AI515" s="251" t="str">
        <f>IF(AI$3="","",IF(COUNTIFS(BD!$A$3:$A$5001,AI$3,BD!$B$3:$B$5001,$A$491,BD!$Z$3:$Z$5001,"&lt;&gt;")=0,"",SUMIFS(BD!$Z$3:$Z$5001,BD!$A$3:$A$5001,AI$3,BD!$B$3:$B$5001,$A$491)))</f>
        <v/>
      </c>
      <c r="AJ515" s="252" t="str">
        <f>IF(AJ$3="","",IF(COUNTIFS(BD!$A$3:$A$5001,AJ$3,BD!$B$3:$B$5001,$A$491,BD!$Z$3:$Z$5001,"&lt;&gt;")=0,"",SUMIFS(BD!$Z$3:$Z$5001,BD!$A$3:$A$5001,AJ$3,BD!$B$3:$B$5001,$A$491)))</f>
        <v/>
      </c>
      <c r="AK515" s="253" t="str">
        <f>IF(COUNT(F515:AJ515)=0,"",SUM(F515:AJ515))</f>
        <v/>
      </c>
    </row>
    <row r="516" ht="15.75" customHeight="1" hidden="1">
      <c r="A516" s="277"/>
      <c r="B516" s="274"/>
      <c r="C516" s="247" t="inlineStr">
        <is>
          <t xml:space="preserve">Acidentes CAF</t>
        </is>
      </c>
      <c r="D516" s="248" t="str">
        <f>IFERROR(1/(1/INDEX(BD!$AF$48:$AZ$48,MATCH($A$491,BD!$AF$22:$AZ$22,0))),"")</f>
        <v/>
      </c>
      <c r="E516" s="249"/>
      <c r="F516" s="250" t="str">
        <f>IF(F$3="","",IF(COUNTIFS(BD!$A$3:$A$5001,F$3,BD!$B$3:$B$5001,$A$491,BD!$AA$3:$AA$5001,"&lt;&gt;")=0,"",SUMIFS(BD!$AA$3:$AA$5001,BD!$A$3:$A$5001,F$3,BD!$B$3:$B$5001,$A$491)))</f>
        <v/>
      </c>
      <c r="G516" s="251" t="str">
        <f>IF(G$3="","",IF(COUNTIFS(BD!$A$3:$A$5001,G$3,BD!$B$3:$B$5001,$A$491,BD!$AA$3:$AA$5001,"&lt;&gt;")=0,"",SUMIFS(BD!$AA$3:$AA$5001,BD!$A$3:$A$5001,G$3,BD!$B$3:$B$5001,$A$491)))</f>
        <v/>
      </c>
      <c r="H516" s="251" t="str">
        <f>IF(H$3="","",IF(COUNTIFS(BD!$A$3:$A$5001,H$3,BD!$B$3:$B$5001,$A$491,BD!$AA$3:$AA$5001,"&lt;&gt;")=0,"",SUMIFS(BD!$AA$3:$AA$5001,BD!$A$3:$A$5001,H$3,BD!$B$3:$B$5001,$A$491)))</f>
        <v/>
      </c>
      <c r="I516" s="251" t="str">
        <f>IF(I$3="","",IF(COUNTIFS(BD!$A$3:$A$5001,I$3,BD!$B$3:$B$5001,$A$491,BD!$AA$3:$AA$5001,"&lt;&gt;")=0,"",SUMIFS(BD!$AA$3:$AA$5001,BD!$A$3:$A$5001,I$3,BD!$B$3:$B$5001,$A$491)))</f>
        <v/>
      </c>
      <c r="J516" s="251" t="str">
        <f>IF(J$3="","",IF(COUNTIFS(BD!$A$3:$A$5001,J$3,BD!$B$3:$B$5001,$A$491,BD!$AA$3:$AA$5001,"&lt;&gt;")=0,"",SUMIFS(BD!$AA$3:$AA$5001,BD!$A$3:$A$5001,J$3,BD!$B$3:$B$5001,$A$491)))</f>
        <v/>
      </c>
      <c r="K516" s="251" t="str">
        <f>IF(K$3="","",IF(COUNTIFS(BD!$A$3:$A$5001,K$3,BD!$B$3:$B$5001,$A$491,BD!$AA$3:$AA$5001,"&lt;&gt;")=0,"",SUMIFS(BD!$AA$3:$AA$5001,BD!$A$3:$A$5001,K$3,BD!$B$3:$B$5001,$A$491)))</f>
        <v/>
      </c>
      <c r="L516" s="251" t="str">
        <f>IF(L$3="","",IF(COUNTIFS(BD!$A$3:$A$5001,L$3,BD!$B$3:$B$5001,$A$491,BD!$AA$3:$AA$5001,"&lt;&gt;")=0,"",SUMIFS(BD!$AA$3:$AA$5001,BD!$A$3:$A$5001,L$3,BD!$B$3:$B$5001,$A$491)))</f>
        <v/>
      </c>
      <c r="M516" s="251" t="str">
        <f>IF(M$3="","",IF(COUNTIFS(BD!$A$3:$A$5001,M$3,BD!$B$3:$B$5001,$A$491,BD!$AA$3:$AA$5001,"&lt;&gt;")=0,"",SUMIFS(BD!$AA$3:$AA$5001,BD!$A$3:$A$5001,M$3,BD!$B$3:$B$5001,$A$491)))</f>
        <v/>
      </c>
      <c r="N516" s="251" t="str">
        <f>IF(N$3="","",IF(COUNTIFS(BD!$A$3:$A$5001,N$3,BD!$B$3:$B$5001,$A$491,BD!$AA$3:$AA$5001,"&lt;&gt;")=0,"",SUMIFS(BD!$AA$3:$AA$5001,BD!$A$3:$A$5001,N$3,BD!$B$3:$B$5001,$A$491)))</f>
        <v/>
      </c>
      <c r="O516" s="251" t="str">
        <f>IF(O$3="","",IF(COUNTIFS(BD!$A$3:$A$5001,O$3,BD!$B$3:$B$5001,$A$491,BD!$AA$3:$AA$5001,"&lt;&gt;")=0,"",SUMIFS(BD!$AA$3:$AA$5001,BD!$A$3:$A$5001,O$3,BD!$B$3:$B$5001,$A$491)))</f>
        <v/>
      </c>
      <c r="P516" s="251" t="str">
        <f>IF(P$3="","",IF(COUNTIFS(BD!$A$3:$A$5001,P$3,BD!$B$3:$B$5001,$A$491,BD!$AA$3:$AA$5001,"&lt;&gt;")=0,"",SUMIFS(BD!$AA$3:$AA$5001,BD!$A$3:$A$5001,P$3,BD!$B$3:$B$5001,$A$491)))</f>
        <v/>
      </c>
      <c r="Q516" s="251" t="str">
        <f>IF(Q$3="","",IF(COUNTIFS(BD!$A$3:$A$5001,Q$3,BD!$B$3:$B$5001,$A$491,BD!$AA$3:$AA$5001,"&lt;&gt;")=0,"",SUMIFS(BD!$AA$3:$AA$5001,BD!$A$3:$A$5001,Q$3,BD!$B$3:$B$5001,$A$491)))</f>
        <v/>
      </c>
      <c r="R516" s="251" t="str">
        <f>IF(R$3="","",IF(COUNTIFS(BD!$A$3:$A$5001,R$3,BD!$B$3:$B$5001,$A$491,BD!$AA$3:$AA$5001,"&lt;&gt;")=0,"",SUMIFS(BD!$AA$3:$AA$5001,BD!$A$3:$A$5001,R$3,BD!$B$3:$B$5001,$A$491)))</f>
        <v/>
      </c>
      <c r="S516" s="251" t="str">
        <f>IF(S$3="","",IF(COUNTIFS(BD!$A$3:$A$5001,S$3,BD!$B$3:$B$5001,$A$491,BD!$AA$3:$AA$5001,"&lt;&gt;")=0,"",SUMIFS(BD!$AA$3:$AA$5001,BD!$A$3:$A$5001,S$3,BD!$B$3:$B$5001,$A$491)))</f>
        <v/>
      </c>
      <c r="T516" s="251" t="str">
        <f>IF(T$3="","",IF(COUNTIFS(BD!$A$3:$A$5001,T$3,BD!$B$3:$B$5001,$A$491,BD!$AA$3:$AA$5001,"&lt;&gt;")=0,"",SUMIFS(BD!$AA$3:$AA$5001,BD!$A$3:$A$5001,T$3,BD!$B$3:$B$5001,$A$491)))</f>
        <v/>
      </c>
      <c r="U516" s="251" t="str">
        <f>IF(U$3="","",IF(COUNTIFS(BD!$A$3:$A$5001,U$3,BD!$B$3:$B$5001,$A$491,BD!$AA$3:$AA$5001,"&lt;&gt;")=0,"",SUMIFS(BD!$AA$3:$AA$5001,BD!$A$3:$A$5001,U$3,BD!$B$3:$B$5001,$A$491)))</f>
        <v/>
      </c>
      <c r="V516" s="251" t="str">
        <f>IF(V$3="","",IF(COUNTIFS(BD!$A$3:$A$5001,V$3,BD!$B$3:$B$5001,$A$491,BD!$AA$3:$AA$5001,"&lt;&gt;")=0,"",SUMIFS(BD!$AA$3:$AA$5001,BD!$A$3:$A$5001,V$3,BD!$B$3:$B$5001,$A$491)))</f>
        <v/>
      </c>
      <c r="W516" s="251" t="str">
        <f>IF(W$3="","",IF(COUNTIFS(BD!$A$3:$A$5001,W$3,BD!$B$3:$B$5001,$A$491,BD!$AA$3:$AA$5001,"&lt;&gt;")=0,"",SUMIFS(BD!$AA$3:$AA$5001,BD!$A$3:$A$5001,W$3,BD!$B$3:$B$5001,$A$491)))</f>
        <v/>
      </c>
      <c r="X516" s="251" t="str">
        <f>IF(X$3="","",IF(COUNTIFS(BD!$A$3:$A$5001,X$3,BD!$B$3:$B$5001,$A$491,BD!$AA$3:$AA$5001,"&lt;&gt;")=0,"",SUMIFS(BD!$AA$3:$AA$5001,BD!$A$3:$A$5001,X$3,BD!$B$3:$B$5001,$A$491)))</f>
        <v/>
      </c>
      <c r="Y516" s="251" t="str">
        <f>IF(Y$3="","",IF(COUNTIFS(BD!$A$3:$A$5001,Y$3,BD!$B$3:$B$5001,$A$491,BD!$AA$3:$AA$5001,"&lt;&gt;")=0,"",SUMIFS(BD!$AA$3:$AA$5001,BD!$A$3:$A$5001,Y$3,BD!$B$3:$B$5001,$A$491)))</f>
        <v/>
      </c>
      <c r="Z516" s="251" t="str">
        <f>IF(Z$3="","",IF(COUNTIFS(BD!$A$3:$A$5001,Z$3,BD!$B$3:$B$5001,$A$491,BD!$AA$3:$AA$5001,"&lt;&gt;")=0,"",SUMIFS(BD!$AA$3:$AA$5001,BD!$A$3:$A$5001,Z$3,BD!$B$3:$B$5001,$A$491)))</f>
        <v/>
      </c>
      <c r="AA516" s="251" t="str">
        <f>IF(AA$3="","",IF(COUNTIFS(BD!$A$3:$A$5001,AA$3,BD!$B$3:$B$5001,$A$491,BD!$AA$3:$AA$5001,"&lt;&gt;")=0,"",SUMIFS(BD!$AA$3:$AA$5001,BD!$A$3:$A$5001,AA$3,BD!$B$3:$B$5001,$A$491)))</f>
        <v/>
      </c>
      <c r="AB516" s="251" t="str">
        <f>IF(AB$3="","",IF(COUNTIFS(BD!$A$3:$A$5001,AB$3,BD!$B$3:$B$5001,$A$491,BD!$AA$3:$AA$5001,"&lt;&gt;")=0,"",SUMIFS(BD!$AA$3:$AA$5001,BD!$A$3:$A$5001,AB$3,BD!$B$3:$B$5001,$A$491)))</f>
        <v/>
      </c>
      <c r="AC516" s="251" t="str">
        <f>IF(AC$3="","",IF(COUNTIFS(BD!$A$3:$A$5001,AC$3,BD!$B$3:$B$5001,$A$491,BD!$AA$3:$AA$5001,"&lt;&gt;")=0,"",SUMIFS(BD!$AA$3:$AA$5001,BD!$A$3:$A$5001,AC$3,BD!$B$3:$B$5001,$A$491)))</f>
        <v/>
      </c>
      <c r="AD516" s="251" t="str">
        <f>IF(AD$3="","",IF(COUNTIFS(BD!$A$3:$A$5001,AD$3,BD!$B$3:$B$5001,$A$491,BD!$AA$3:$AA$5001,"&lt;&gt;")=0,"",SUMIFS(BD!$AA$3:$AA$5001,BD!$A$3:$A$5001,AD$3,BD!$B$3:$B$5001,$A$491)))</f>
        <v/>
      </c>
      <c r="AE516" s="251" t="str">
        <f>IF(AE$3="","",IF(COUNTIFS(BD!$A$3:$A$5001,AE$3,BD!$B$3:$B$5001,$A$491,BD!$AA$3:$AA$5001,"&lt;&gt;")=0,"",SUMIFS(BD!$AA$3:$AA$5001,BD!$A$3:$A$5001,AE$3,BD!$B$3:$B$5001,$A$491)))</f>
        <v/>
      </c>
      <c r="AF516" s="251" t="str">
        <f>IF(AF$3="","",IF(COUNTIFS(BD!$A$3:$A$5001,AF$3,BD!$B$3:$B$5001,$A$491,BD!$AA$3:$AA$5001,"&lt;&gt;")=0,"",SUMIFS(BD!$AA$3:$AA$5001,BD!$A$3:$A$5001,AF$3,BD!$B$3:$B$5001,$A$491)))</f>
        <v/>
      </c>
      <c r="AG516" s="251" t="str">
        <f>IF(AG$3="","",IF(COUNTIFS(BD!$A$3:$A$5001,AG$3,BD!$B$3:$B$5001,$A$491,BD!$AA$3:$AA$5001,"&lt;&gt;")=0,"",SUMIFS(BD!$AA$3:$AA$5001,BD!$A$3:$A$5001,AG$3,BD!$B$3:$B$5001,$A$491)))</f>
        <v/>
      </c>
      <c r="AH516" s="251" t="str">
        <f>IF(AH$3="","",IF(COUNTIFS(BD!$A$3:$A$5001,AH$3,BD!$B$3:$B$5001,$A$491,BD!$AA$3:$AA$5001,"&lt;&gt;")=0,"",SUMIFS(BD!$AA$3:$AA$5001,BD!$A$3:$A$5001,AH$3,BD!$B$3:$B$5001,$A$491)))</f>
        <v/>
      </c>
      <c r="AI516" s="251" t="str">
        <f>IF(AI$3="","",IF(COUNTIFS(BD!$A$3:$A$5001,AI$3,BD!$B$3:$B$5001,$A$491,BD!$AA$3:$AA$5001,"&lt;&gt;")=0,"",SUMIFS(BD!$AA$3:$AA$5001,BD!$A$3:$A$5001,AI$3,BD!$B$3:$B$5001,$A$491)))</f>
        <v/>
      </c>
      <c r="AJ516" s="252" t="str">
        <f>IF(AJ$3="","",IF(COUNTIFS(BD!$A$3:$A$5001,AJ$3,BD!$B$3:$B$5001,$A$491,BD!$AA$3:$AA$5001,"&lt;&gt;")=0,"",SUMIFS(BD!$AA$3:$AA$5001,BD!$A$3:$A$5001,AJ$3,BD!$B$3:$B$5001,$A$491)))</f>
        <v/>
      </c>
      <c r="AK516" s="253" t="str">
        <f>IF(COUNT(F516:AJ516)=0,"",SUM(F516:AJ516))</f>
        <v/>
      </c>
    </row>
    <row r="517" ht="15.75" customHeight="1" hidden="1">
      <c r="A517" s="278"/>
      <c r="B517" s="275"/>
      <c r="C517" s="258" t="inlineStr">
        <is>
          <t xml:space="preserve">Acidentes SAF</t>
        </is>
      </c>
      <c r="D517" s="259" t="str">
        <f>IFERROR(1/(1/INDEX(BD!$AF$49:$AZ$49,MATCH($A$491,BD!$AF$22:$AZ$22,0))),"")</f>
        <v/>
      </c>
      <c r="E517" s="260"/>
      <c r="F517" s="261" t="str">
        <f>IF(F$3="","",IF(COUNTIFS(BD!$A$3:$A$5001,F$3,BD!$B$3:$B$5001,$A$491,BD!$AB$3:$AB$5001,"&lt;&gt;")=0,"",SUMIFS(BD!$AB$3:$AB$5001,BD!$A$3:$A$5001,F$3,BD!$B$3:$B$5001,$A$491)))</f>
        <v/>
      </c>
      <c r="G517" s="262" t="str">
        <f>IF(G$3="","",IF(COUNTIFS(BD!$A$3:$A$5001,G$3,BD!$B$3:$B$5001,$A$491,BD!$AB$3:$AB$5001,"&lt;&gt;")=0,"",SUMIFS(BD!$AB$3:$AB$5001,BD!$A$3:$A$5001,G$3,BD!$B$3:$B$5001,$A$491)))</f>
        <v/>
      </c>
      <c r="H517" s="262" t="str">
        <f>IF(H$3="","",IF(COUNTIFS(BD!$A$3:$A$5001,H$3,BD!$B$3:$B$5001,$A$491,BD!$AB$3:$AB$5001,"&lt;&gt;")=0,"",SUMIFS(BD!$AB$3:$AB$5001,BD!$A$3:$A$5001,H$3,BD!$B$3:$B$5001,$A$491)))</f>
        <v/>
      </c>
      <c r="I517" s="262" t="str">
        <f>IF(I$3="","",IF(COUNTIFS(BD!$A$3:$A$5001,I$3,BD!$B$3:$B$5001,$A$491,BD!$AB$3:$AB$5001,"&lt;&gt;")=0,"",SUMIFS(BD!$AB$3:$AB$5001,BD!$A$3:$A$5001,I$3,BD!$B$3:$B$5001,$A$491)))</f>
        <v/>
      </c>
      <c r="J517" s="262" t="str">
        <f>IF(J$3="","",IF(COUNTIFS(BD!$A$3:$A$5001,J$3,BD!$B$3:$B$5001,$A$491,BD!$AB$3:$AB$5001,"&lt;&gt;")=0,"",SUMIFS(BD!$AB$3:$AB$5001,BD!$A$3:$A$5001,J$3,BD!$B$3:$B$5001,$A$491)))</f>
        <v/>
      </c>
      <c r="K517" s="262" t="str">
        <f>IF(K$3="","",IF(COUNTIFS(BD!$A$3:$A$5001,K$3,BD!$B$3:$B$5001,$A$491,BD!$AB$3:$AB$5001,"&lt;&gt;")=0,"",SUMIFS(BD!$AB$3:$AB$5001,BD!$A$3:$A$5001,K$3,BD!$B$3:$B$5001,$A$491)))</f>
        <v/>
      </c>
      <c r="L517" s="262" t="str">
        <f>IF(L$3="","",IF(COUNTIFS(BD!$A$3:$A$5001,L$3,BD!$B$3:$B$5001,$A$491,BD!$AB$3:$AB$5001,"&lt;&gt;")=0,"",SUMIFS(BD!$AB$3:$AB$5001,BD!$A$3:$A$5001,L$3,BD!$B$3:$B$5001,$A$491)))</f>
        <v/>
      </c>
      <c r="M517" s="262" t="str">
        <f>IF(M$3="","",IF(COUNTIFS(BD!$A$3:$A$5001,M$3,BD!$B$3:$B$5001,$A$491,BD!$AB$3:$AB$5001,"&lt;&gt;")=0,"",SUMIFS(BD!$AB$3:$AB$5001,BD!$A$3:$A$5001,M$3,BD!$B$3:$B$5001,$A$491)))</f>
        <v/>
      </c>
      <c r="N517" s="262" t="str">
        <f>IF(N$3="","",IF(COUNTIFS(BD!$A$3:$A$5001,N$3,BD!$B$3:$B$5001,$A$491,BD!$AB$3:$AB$5001,"&lt;&gt;")=0,"",SUMIFS(BD!$AB$3:$AB$5001,BD!$A$3:$A$5001,N$3,BD!$B$3:$B$5001,$A$491)))</f>
        <v/>
      </c>
      <c r="O517" s="262" t="str">
        <f>IF(O$3="","",IF(COUNTIFS(BD!$A$3:$A$5001,O$3,BD!$B$3:$B$5001,$A$491,BD!$AB$3:$AB$5001,"&lt;&gt;")=0,"",SUMIFS(BD!$AB$3:$AB$5001,BD!$A$3:$A$5001,O$3,BD!$B$3:$B$5001,$A$491)))</f>
        <v/>
      </c>
      <c r="P517" s="262" t="str">
        <f>IF(P$3="","",IF(COUNTIFS(BD!$A$3:$A$5001,P$3,BD!$B$3:$B$5001,$A$491,BD!$AB$3:$AB$5001,"&lt;&gt;")=0,"",SUMIFS(BD!$AB$3:$AB$5001,BD!$A$3:$A$5001,P$3,BD!$B$3:$B$5001,$A$491)))</f>
        <v/>
      </c>
      <c r="Q517" s="262" t="str">
        <f>IF(Q$3="","",IF(COUNTIFS(BD!$A$3:$A$5001,Q$3,BD!$B$3:$B$5001,$A$491,BD!$AB$3:$AB$5001,"&lt;&gt;")=0,"",SUMIFS(BD!$AB$3:$AB$5001,BD!$A$3:$A$5001,Q$3,BD!$B$3:$B$5001,$A$491)))</f>
        <v/>
      </c>
      <c r="R517" s="262" t="str">
        <f>IF(R$3="","",IF(COUNTIFS(BD!$A$3:$A$5001,R$3,BD!$B$3:$B$5001,$A$491,BD!$AB$3:$AB$5001,"&lt;&gt;")=0,"",SUMIFS(BD!$AB$3:$AB$5001,BD!$A$3:$A$5001,R$3,BD!$B$3:$B$5001,$A$491)))</f>
        <v/>
      </c>
      <c r="S517" s="262" t="str">
        <f>IF(S$3="","",IF(COUNTIFS(BD!$A$3:$A$5001,S$3,BD!$B$3:$B$5001,$A$491,BD!$AB$3:$AB$5001,"&lt;&gt;")=0,"",SUMIFS(BD!$AB$3:$AB$5001,BD!$A$3:$A$5001,S$3,BD!$B$3:$B$5001,$A$491)))</f>
        <v/>
      </c>
      <c r="T517" s="262" t="str">
        <f>IF(T$3="","",IF(COUNTIFS(BD!$A$3:$A$5001,T$3,BD!$B$3:$B$5001,$A$491,BD!$AB$3:$AB$5001,"&lt;&gt;")=0,"",SUMIFS(BD!$AB$3:$AB$5001,BD!$A$3:$A$5001,T$3,BD!$B$3:$B$5001,$A$491)))</f>
        <v/>
      </c>
      <c r="U517" s="262" t="str">
        <f>IF(U$3="","",IF(COUNTIFS(BD!$A$3:$A$5001,U$3,BD!$B$3:$B$5001,$A$491,BD!$AB$3:$AB$5001,"&lt;&gt;")=0,"",SUMIFS(BD!$AB$3:$AB$5001,BD!$A$3:$A$5001,U$3,BD!$B$3:$B$5001,$A$491)))</f>
        <v/>
      </c>
      <c r="V517" s="262" t="str">
        <f>IF(V$3="","",IF(COUNTIFS(BD!$A$3:$A$5001,V$3,BD!$B$3:$B$5001,$A$491,BD!$AB$3:$AB$5001,"&lt;&gt;")=0,"",SUMIFS(BD!$AB$3:$AB$5001,BD!$A$3:$A$5001,V$3,BD!$B$3:$B$5001,$A$491)))</f>
        <v/>
      </c>
      <c r="W517" s="262" t="str">
        <f>IF(W$3="","",IF(COUNTIFS(BD!$A$3:$A$5001,W$3,BD!$B$3:$B$5001,$A$491,BD!$AB$3:$AB$5001,"&lt;&gt;")=0,"",SUMIFS(BD!$AB$3:$AB$5001,BD!$A$3:$A$5001,W$3,BD!$B$3:$B$5001,$A$491)))</f>
        <v/>
      </c>
      <c r="X517" s="262" t="str">
        <f>IF(X$3="","",IF(COUNTIFS(BD!$A$3:$A$5001,X$3,BD!$B$3:$B$5001,$A$491,BD!$AB$3:$AB$5001,"&lt;&gt;")=0,"",SUMIFS(BD!$AB$3:$AB$5001,BD!$A$3:$A$5001,X$3,BD!$B$3:$B$5001,$A$491)))</f>
        <v/>
      </c>
      <c r="Y517" s="262" t="str">
        <f>IF(Y$3="","",IF(COUNTIFS(BD!$A$3:$A$5001,Y$3,BD!$B$3:$B$5001,$A$491,BD!$AB$3:$AB$5001,"&lt;&gt;")=0,"",SUMIFS(BD!$AB$3:$AB$5001,BD!$A$3:$A$5001,Y$3,BD!$B$3:$B$5001,$A$491)))</f>
        <v/>
      </c>
      <c r="Z517" s="262" t="str">
        <f>IF(Z$3="","",IF(COUNTIFS(BD!$A$3:$A$5001,Z$3,BD!$B$3:$B$5001,$A$491,BD!$AB$3:$AB$5001,"&lt;&gt;")=0,"",SUMIFS(BD!$AB$3:$AB$5001,BD!$A$3:$A$5001,Z$3,BD!$B$3:$B$5001,$A$491)))</f>
        <v/>
      </c>
      <c r="AA517" s="262" t="str">
        <f>IF(AA$3="","",IF(COUNTIFS(BD!$A$3:$A$5001,AA$3,BD!$B$3:$B$5001,$A$491,BD!$AB$3:$AB$5001,"&lt;&gt;")=0,"",SUMIFS(BD!$AB$3:$AB$5001,BD!$A$3:$A$5001,AA$3,BD!$B$3:$B$5001,$A$491)))</f>
        <v/>
      </c>
      <c r="AB517" s="262" t="str">
        <f>IF(AB$3="","",IF(COUNTIFS(BD!$A$3:$A$5001,AB$3,BD!$B$3:$B$5001,$A$491,BD!$AB$3:$AB$5001,"&lt;&gt;")=0,"",SUMIFS(BD!$AB$3:$AB$5001,BD!$A$3:$A$5001,AB$3,BD!$B$3:$B$5001,$A$491)))</f>
        <v/>
      </c>
      <c r="AC517" s="262" t="str">
        <f>IF(AC$3="","",IF(COUNTIFS(BD!$A$3:$A$5001,AC$3,BD!$B$3:$B$5001,$A$491,BD!$AB$3:$AB$5001,"&lt;&gt;")=0,"",SUMIFS(BD!$AB$3:$AB$5001,BD!$A$3:$A$5001,AC$3,BD!$B$3:$B$5001,$A$491)))</f>
        <v/>
      </c>
      <c r="AD517" s="262" t="str">
        <f>IF(AD$3="","",IF(COUNTIFS(BD!$A$3:$A$5001,AD$3,BD!$B$3:$B$5001,$A$491,BD!$AB$3:$AB$5001,"&lt;&gt;")=0,"",SUMIFS(BD!$AB$3:$AB$5001,BD!$A$3:$A$5001,AD$3,BD!$B$3:$B$5001,$A$491)))</f>
        <v/>
      </c>
      <c r="AE517" s="262" t="str">
        <f>IF(AE$3="","",IF(COUNTIFS(BD!$A$3:$A$5001,AE$3,BD!$B$3:$B$5001,$A$491,BD!$AB$3:$AB$5001,"&lt;&gt;")=0,"",SUMIFS(BD!$AB$3:$AB$5001,BD!$A$3:$A$5001,AE$3,BD!$B$3:$B$5001,$A$491)))</f>
        <v/>
      </c>
      <c r="AF517" s="262" t="str">
        <f>IF(AF$3="","",IF(COUNTIFS(BD!$A$3:$A$5001,AF$3,BD!$B$3:$B$5001,$A$491,BD!$AB$3:$AB$5001,"&lt;&gt;")=0,"",SUMIFS(BD!$AB$3:$AB$5001,BD!$A$3:$A$5001,AF$3,BD!$B$3:$B$5001,$A$491)))</f>
        <v/>
      </c>
      <c r="AG517" s="262" t="str">
        <f>IF(AG$3="","",IF(COUNTIFS(BD!$A$3:$A$5001,AG$3,BD!$B$3:$B$5001,$A$491,BD!$AB$3:$AB$5001,"&lt;&gt;")=0,"",SUMIFS(BD!$AB$3:$AB$5001,BD!$A$3:$A$5001,AG$3,BD!$B$3:$B$5001,$A$491)))</f>
        <v/>
      </c>
      <c r="AH517" s="262" t="str">
        <f>IF(AH$3="","",IF(COUNTIFS(BD!$A$3:$A$5001,AH$3,BD!$B$3:$B$5001,$A$491,BD!$AB$3:$AB$5001,"&lt;&gt;")=0,"",SUMIFS(BD!$AB$3:$AB$5001,BD!$A$3:$A$5001,AH$3,BD!$B$3:$B$5001,$A$491)))</f>
        <v/>
      </c>
      <c r="AI517" s="262" t="str">
        <f>IF(AI$3="","",IF(COUNTIFS(BD!$A$3:$A$5001,AI$3,BD!$B$3:$B$5001,$A$491,BD!$AB$3:$AB$5001,"&lt;&gt;")=0,"",SUMIFS(BD!$AB$3:$AB$5001,BD!$A$3:$A$5001,AI$3,BD!$B$3:$B$5001,$A$491)))</f>
        <v/>
      </c>
      <c r="AJ517" s="263" t="str">
        <f>IF(AJ$3="","",IF(COUNTIFS(BD!$A$3:$A$5001,AJ$3,BD!$B$3:$B$5001,$A$491,BD!$AB$3:$AB$5001,"&lt;&gt;")=0,"",SUMIFS(BD!$AB$3:$AB$5001,BD!$A$3:$A$5001,AJ$3,BD!$B$3:$B$5001,$A$491)))</f>
        <v/>
      </c>
      <c r="AK517" s="259" t="str">
        <f>IF(COUNT(F517:AJ517)=0,"",SUM(F517:AJ517))</f>
        <v/>
      </c>
    </row>
    <row r="519" ht="15.75" customHeight="1" hidden="1">
      <c r="A519" s="276"/>
      <c r="B519" s="264" t="inlineStr">
        <is>
          <t xml:space="preserve">IN</t>
        </is>
      </c>
      <c r="C519" s="168" t="inlineStr">
        <is>
          <t xml:space="preserve">Veículos Recebidos</t>
        </is>
      </c>
      <c r="D519" s="169" t="str">
        <f>IFERROR(1/(1/INDEX(BD!$AF$23:$AZ$23,MATCH($A$519,BD!$AF$22:$AZ$22,0))),"")</f>
        <v/>
      </c>
      <c r="E519" s="170"/>
      <c r="F519" s="171" t="str">
        <f>IF(F$3="","",IF(COUNTIFS(BD!$A$3:$A$5001,F$3,BD!$B$3:$B$5001,$A$519,BD!$C$3:$C$5001,"&lt;&gt;")=0,"",SUMIFS(BD!$C$3:$C$5001,BD!$A$3:$A$5001,F$3,BD!$B$3:$B$5001,$A$519)))</f>
        <v/>
      </c>
      <c r="G519" s="172" t="str">
        <f>IF(G$3="","",IF(COUNTIFS(BD!$A$3:$A$5001,G$3,BD!$B$3:$B$5001,$A$519,BD!$C$3:$C$5001,"&lt;&gt;")=0,"",SUMIFS(BD!$C$3:$C$5001,BD!$A$3:$A$5001,G$3,BD!$B$3:$B$5001,$A$519)))</f>
        <v/>
      </c>
      <c r="H519" s="172" t="str">
        <f>IF(H$3="","",IF(COUNTIFS(BD!$A$3:$A$5001,H$3,BD!$B$3:$B$5001,$A$519,BD!$C$3:$C$5001,"&lt;&gt;")=0,"",SUMIFS(BD!$C$3:$C$5001,BD!$A$3:$A$5001,H$3,BD!$B$3:$B$5001,$A$519)))</f>
        <v/>
      </c>
      <c r="I519" s="172" t="str">
        <f>IF(I$3="","",IF(COUNTIFS(BD!$A$3:$A$5001,I$3,BD!$B$3:$B$5001,$A$519,BD!$C$3:$C$5001,"&lt;&gt;")=0,"",SUMIFS(BD!$C$3:$C$5001,BD!$A$3:$A$5001,I$3,BD!$B$3:$B$5001,$A$519)))</f>
        <v/>
      </c>
      <c r="J519" s="172" t="str">
        <f>IF(J$3="","",IF(COUNTIFS(BD!$A$3:$A$5001,J$3,BD!$B$3:$B$5001,$A$519,BD!$C$3:$C$5001,"&lt;&gt;")=0,"",SUMIFS(BD!$C$3:$C$5001,BD!$A$3:$A$5001,J$3,BD!$B$3:$B$5001,$A$519)))</f>
        <v/>
      </c>
      <c r="K519" s="172" t="str">
        <f>IF(K$3="","",IF(COUNTIFS(BD!$A$3:$A$5001,K$3,BD!$B$3:$B$5001,$A$519,BD!$C$3:$C$5001,"&lt;&gt;")=0,"",SUMIFS(BD!$C$3:$C$5001,BD!$A$3:$A$5001,K$3,BD!$B$3:$B$5001,$A$519)))</f>
        <v/>
      </c>
      <c r="L519" s="172" t="str">
        <f>IF(L$3="","",IF(COUNTIFS(BD!$A$3:$A$5001,L$3,BD!$B$3:$B$5001,$A$519,BD!$C$3:$C$5001,"&lt;&gt;")=0,"",SUMIFS(BD!$C$3:$C$5001,BD!$A$3:$A$5001,L$3,BD!$B$3:$B$5001,$A$519)))</f>
        <v/>
      </c>
      <c r="M519" s="172" t="str">
        <f>IF(M$3="","",IF(COUNTIFS(BD!$A$3:$A$5001,M$3,BD!$B$3:$B$5001,$A$519,BD!$C$3:$C$5001,"&lt;&gt;")=0,"",SUMIFS(BD!$C$3:$C$5001,BD!$A$3:$A$5001,M$3,BD!$B$3:$B$5001,$A$519)))</f>
        <v/>
      </c>
      <c r="N519" s="172" t="str">
        <f>IF(N$3="","",IF(COUNTIFS(BD!$A$3:$A$5001,N$3,BD!$B$3:$B$5001,$A$519,BD!$C$3:$C$5001,"&lt;&gt;")=0,"",SUMIFS(BD!$C$3:$C$5001,BD!$A$3:$A$5001,N$3,BD!$B$3:$B$5001,$A$519)))</f>
        <v/>
      </c>
      <c r="O519" s="172" t="str">
        <f>IF(O$3="","",IF(COUNTIFS(BD!$A$3:$A$5001,O$3,BD!$B$3:$B$5001,$A$519,BD!$C$3:$C$5001,"&lt;&gt;")=0,"",SUMIFS(BD!$C$3:$C$5001,BD!$A$3:$A$5001,O$3,BD!$B$3:$B$5001,$A$519)))</f>
        <v/>
      </c>
      <c r="P519" s="172" t="str">
        <f>IF(P$3="","",IF(COUNTIFS(BD!$A$3:$A$5001,P$3,BD!$B$3:$B$5001,$A$519,BD!$C$3:$C$5001,"&lt;&gt;")=0,"",SUMIFS(BD!$C$3:$C$5001,BD!$A$3:$A$5001,P$3,BD!$B$3:$B$5001,$A$519)))</f>
        <v/>
      </c>
      <c r="Q519" s="172" t="str">
        <f>IF(Q$3="","",IF(COUNTIFS(BD!$A$3:$A$5001,Q$3,BD!$B$3:$B$5001,$A$519,BD!$C$3:$C$5001,"&lt;&gt;")=0,"",SUMIFS(BD!$C$3:$C$5001,BD!$A$3:$A$5001,Q$3,BD!$B$3:$B$5001,$A$519)))</f>
        <v/>
      </c>
      <c r="R519" s="172" t="str">
        <f>IF(R$3="","",IF(COUNTIFS(BD!$A$3:$A$5001,R$3,BD!$B$3:$B$5001,$A$519,BD!$C$3:$C$5001,"&lt;&gt;")=0,"",SUMIFS(BD!$C$3:$C$5001,BD!$A$3:$A$5001,R$3,BD!$B$3:$B$5001,$A$519)))</f>
        <v/>
      </c>
      <c r="S519" s="172" t="str">
        <f>IF(S$3="","",IF(COUNTIFS(BD!$A$3:$A$5001,S$3,BD!$B$3:$B$5001,$A$519,BD!$C$3:$C$5001,"&lt;&gt;")=0,"",SUMIFS(BD!$C$3:$C$5001,BD!$A$3:$A$5001,S$3,BD!$B$3:$B$5001,$A$519)))</f>
        <v/>
      </c>
      <c r="T519" s="172" t="str">
        <f>IF(T$3="","",IF(COUNTIFS(BD!$A$3:$A$5001,T$3,BD!$B$3:$B$5001,$A$519,BD!$C$3:$C$5001,"&lt;&gt;")=0,"",SUMIFS(BD!$C$3:$C$5001,BD!$A$3:$A$5001,T$3,BD!$B$3:$B$5001,$A$519)))</f>
        <v/>
      </c>
      <c r="U519" s="172" t="str">
        <f>IF(U$3="","",IF(COUNTIFS(BD!$A$3:$A$5001,U$3,BD!$B$3:$B$5001,$A$519,BD!$C$3:$C$5001,"&lt;&gt;")=0,"",SUMIFS(BD!$C$3:$C$5001,BD!$A$3:$A$5001,U$3,BD!$B$3:$B$5001,$A$519)))</f>
        <v/>
      </c>
      <c r="V519" s="172" t="str">
        <f>IF(V$3="","",IF(COUNTIFS(BD!$A$3:$A$5001,V$3,BD!$B$3:$B$5001,$A$519,BD!$C$3:$C$5001,"&lt;&gt;")=0,"",SUMIFS(BD!$C$3:$C$5001,BD!$A$3:$A$5001,V$3,BD!$B$3:$B$5001,$A$519)))</f>
        <v/>
      </c>
      <c r="W519" s="172" t="str">
        <f>IF(W$3="","",IF(COUNTIFS(BD!$A$3:$A$5001,W$3,BD!$B$3:$B$5001,$A$519,BD!$C$3:$C$5001,"&lt;&gt;")=0,"",SUMIFS(BD!$C$3:$C$5001,BD!$A$3:$A$5001,W$3,BD!$B$3:$B$5001,$A$519)))</f>
        <v/>
      </c>
      <c r="X519" s="172" t="str">
        <f>IF(X$3="","",IF(COUNTIFS(BD!$A$3:$A$5001,X$3,BD!$B$3:$B$5001,$A$519,BD!$C$3:$C$5001,"&lt;&gt;")=0,"",SUMIFS(BD!$C$3:$C$5001,BD!$A$3:$A$5001,X$3,BD!$B$3:$B$5001,$A$519)))</f>
        <v/>
      </c>
      <c r="Y519" s="172" t="str">
        <f>IF(Y$3="","",IF(COUNTIFS(BD!$A$3:$A$5001,Y$3,BD!$B$3:$B$5001,$A$519,BD!$C$3:$C$5001,"&lt;&gt;")=0,"",SUMIFS(BD!$C$3:$C$5001,BD!$A$3:$A$5001,Y$3,BD!$B$3:$B$5001,$A$519)))</f>
        <v/>
      </c>
      <c r="Z519" s="172" t="str">
        <f>IF(Z$3="","",IF(COUNTIFS(BD!$A$3:$A$5001,Z$3,BD!$B$3:$B$5001,$A$519,BD!$C$3:$C$5001,"&lt;&gt;")=0,"",SUMIFS(BD!$C$3:$C$5001,BD!$A$3:$A$5001,Z$3,BD!$B$3:$B$5001,$A$519)))</f>
        <v/>
      </c>
      <c r="AA519" s="172" t="str">
        <f>IF(AA$3="","",IF(COUNTIFS(BD!$A$3:$A$5001,AA$3,BD!$B$3:$B$5001,$A$519,BD!$C$3:$C$5001,"&lt;&gt;")=0,"",SUMIFS(BD!$C$3:$C$5001,BD!$A$3:$A$5001,AA$3,BD!$B$3:$B$5001,$A$519)))</f>
        <v/>
      </c>
      <c r="AB519" s="172" t="str">
        <f>IF(AB$3="","",IF(COUNTIFS(BD!$A$3:$A$5001,AB$3,BD!$B$3:$B$5001,$A$519,BD!$C$3:$C$5001,"&lt;&gt;")=0,"",SUMIFS(BD!$C$3:$C$5001,BD!$A$3:$A$5001,AB$3,BD!$B$3:$B$5001,$A$519)))</f>
        <v/>
      </c>
      <c r="AC519" s="172" t="str">
        <f>IF(AC$3="","",IF(COUNTIFS(BD!$A$3:$A$5001,AC$3,BD!$B$3:$B$5001,$A$519,BD!$C$3:$C$5001,"&lt;&gt;")=0,"",SUMIFS(BD!$C$3:$C$5001,BD!$A$3:$A$5001,AC$3,BD!$B$3:$B$5001,$A$519)))</f>
        <v/>
      </c>
      <c r="AD519" s="172" t="str">
        <f>IF(AD$3="","",IF(COUNTIFS(BD!$A$3:$A$5001,AD$3,BD!$B$3:$B$5001,$A$519,BD!$C$3:$C$5001,"&lt;&gt;")=0,"",SUMIFS(BD!$C$3:$C$5001,BD!$A$3:$A$5001,AD$3,BD!$B$3:$B$5001,$A$519)))</f>
        <v/>
      </c>
      <c r="AE519" s="172" t="str">
        <f>IF(AE$3="","",IF(COUNTIFS(BD!$A$3:$A$5001,AE$3,BD!$B$3:$B$5001,$A$519,BD!$C$3:$C$5001,"&lt;&gt;")=0,"",SUMIFS(BD!$C$3:$C$5001,BD!$A$3:$A$5001,AE$3,BD!$B$3:$B$5001,$A$519)))</f>
        <v/>
      </c>
      <c r="AF519" s="172" t="str">
        <f>IF(AF$3="","",IF(COUNTIFS(BD!$A$3:$A$5001,AF$3,BD!$B$3:$B$5001,$A$519,BD!$C$3:$C$5001,"&lt;&gt;")=0,"",SUMIFS(BD!$C$3:$C$5001,BD!$A$3:$A$5001,AF$3,BD!$B$3:$B$5001,$A$519)))</f>
        <v/>
      </c>
      <c r="AG519" s="172" t="str">
        <f>IF(AG$3="","",IF(COUNTIFS(BD!$A$3:$A$5001,AG$3,BD!$B$3:$B$5001,$A$519,BD!$C$3:$C$5001,"&lt;&gt;")=0,"",SUMIFS(BD!$C$3:$C$5001,BD!$A$3:$A$5001,AG$3,BD!$B$3:$B$5001,$A$519)))</f>
        <v/>
      </c>
      <c r="AH519" s="172" t="str">
        <f>IF(AH$3="","",IF(COUNTIFS(BD!$A$3:$A$5001,AH$3,BD!$B$3:$B$5001,$A$519,BD!$C$3:$C$5001,"&lt;&gt;")=0,"",SUMIFS(BD!$C$3:$C$5001,BD!$A$3:$A$5001,AH$3,BD!$B$3:$B$5001,$A$519)))</f>
        <v/>
      </c>
      <c r="AI519" s="172" t="str">
        <f>IF(AI$3="","",IF(COUNTIFS(BD!$A$3:$A$5001,AI$3,BD!$B$3:$B$5001,$A$519,BD!$C$3:$C$5001,"&lt;&gt;")=0,"",SUMIFS(BD!$C$3:$C$5001,BD!$A$3:$A$5001,AI$3,BD!$B$3:$B$5001,$A$519)))</f>
        <v/>
      </c>
      <c r="AJ519" s="173" t="str">
        <f>IF(AJ$3="","",IF(COUNTIFS(BD!$A$3:$A$5001,AJ$3,BD!$B$3:$B$5001,$A$519,BD!$C$3:$C$5001,"&lt;&gt;")=0,"",SUMIFS(BD!$C$3:$C$5001,BD!$A$3:$A$5001,AJ$3,BD!$B$3:$B$5001,$A$519)))</f>
        <v/>
      </c>
      <c r="AK519" s="174" t="str">
        <f>IF(COUNT(F519:AJ519)=0,"",SUM(F519:AJ519))</f>
        <v/>
      </c>
    </row>
    <row r="520" ht="15.75" customHeight="1" hidden="1">
      <c r="A520" s="277"/>
      <c r="B520" s="265"/>
      <c r="C520" s="175" t="inlineStr">
        <is>
          <t xml:space="preserve">Pallets Movimentados</t>
        </is>
      </c>
      <c r="D520" s="176" t="str">
        <f>IFERROR(1/(1/INDEX(BD!$AF$24:$AZ$24,MATCH($A$519,BD!$AF$22:$AZ$22,0))),"")</f>
        <v/>
      </c>
      <c r="E520" s="177"/>
      <c r="F520" s="178" t="str">
        <f>IF(F$3="","",IF(COUNTIFS(BD!$A$3:$A$5001,F$3,BD!$B$3:$B$5001,$A$519,BD!$D$3:$D$5001,"&lt;&gt;")=0,"",SUMIFS(BD!$D$3:$D$5001,BD!$A$3:$A$5001,F$3,BD!$B$3:$B$5001,$A$519)))</f>
        <v/>
      </c>
      <c r="G520" s="179" t="str">
        <f>IF(G$3="","",IF(COUNTIFS(BD!$A$3:$A$5001,G$3,BD!$B$3:$B$5001,$A$519,BD!$D$3:$D$5001,"&lt;&gt;")=0,"",SUMIFS(BD!$D$3:$D$5001,BD!$A$3:$A$5001,G$3,BD!$B$3:$B$5001,$A$519)))</f>
        <v/>
      </c>
      <c r="H520" s="179" t="str">
        <f>IF(H$3="","",IF(COUNTIFS(BD!$A$3:$A$5001,H$3,BD!$B$3:$B$5001,$A$519,BD!$D$3:$D$5001,"&lt;&gt;")=0,"",SUMIFS(BD!$D$3:$D$5001,BD!$A$3:$A$5001,H$3,BD!$B$3:$B$5001,$A$519)))</f>
        <v/>
      </c>
      <c r="I520" s="179" t="str">
        <f>IF(I$3="","",IF(COUNTIFS(BD!$A$3:$A$5001,I$3,BD!$B$3:$B$5001,$A$519,BD!$D$3:$D$5001,"&lt;&gt;")=0,"",SUMIFS(BD!$D$3:$D$5001,BD!$A$3:$A$5001,I$3,BD!$B$3:$B$5001,$A$519)))</f>
        <v/>
      </c>
      <c r="J520" s="179" t="str">
        <f>IF(J$3="","",IF(COUNTIFS(BD!$A$3:$A$5001,J$3,BD!$B$3:$B$5001,$A$519,BD!$D$3:$D$5001,"&lt;&gt;")=0,"",SUMIFS(BD!$D$3:$D$5001,BD!$A$3:$A$5001,J$3,BD!$B$3:$B$5001,$A$519)))</f>
        <v/>
      </c>
      <c r="K520" s="179" t="str">
        <f>IF(K$3="","",IF(COUNTIFS(BD!$A$3:$A$5001,K$3,BD!$B$3:$B$5001,$A$519,BD!$D$3:$D$5001,"&lt;&gt;")=0,"",SUMIFS(BD!$D$3:$D$5001,BD!$A$3:$A$5001,K$3,BD!$B$3:$B$5001,$A$519)))</f>
        <v/>
      </c>
      <c r="L520" s="179" t="str">
        <f>IF(L$3="","",IF(COUNTIFS(BD!$A$3:$A$5001,L$3,BD!$B$3:$B$5001,$A$519,BD!$D$3:$D$5001,"&lt;&gt;")=0,"",SUMIFS(BD!$D$3:$D$5001,BD!$A$3:$A$5001,L$3,BD!$B$3:$B$5001,$A$519)))</f>
        <v/>
      </c>
      <c r="M520" s="179" t="str">
        <f>IF(M$3="","",IF(COUNTIFS(BD!$A$3:$A$5001,M$3,BD!$B$3:$B$5001,$A$519,BD!$D$3:$D$5001,"&lt;&gt;")=0,"",SUMIFS(BD!$D$3:$D$5001,BD!$A$3:$A$5001,M$3,BD!$B$3:$B$5001,$A$519)))</f>
        <v/>
      </c>
      <c r="N520" s="179" t="str">
        <f>IF(N$3="","",IF(COUNTIFS(BD!$A$3:$A$5001,N$3,BD!$B$3:$B$5001,$A$519,BD!$D$3:$D$5001,"&lt;&gt;")=0,"",SUMIFS(BD!$D$3:$D$5001,BD!$A$3:$A$5001,N$3,BD!$B$3:$B$5001,$A$519)))</f>
        <v/>
      </c>
      <c r="O520" s="179" t="str">
        <f>IF(O$3="","",IF(COUNTIFS(BD!$A$3:$A$5001,O$3,BD!$B$3:$B$5001,$A$519,BD!$D$3:$D$5001,"&lt;&gt;")=0,"",SUMIFS(BD!$D$3:$D$5001,BD!$A$3:$A$5001,O$3,BD!$B$3:$B$5001,$A$519)))</f>
        <v/>
      </c>
      <c r="P520" s="179" t="str">
        <f>IF(P$3="","",IF(COUNTIFS(BD!$A$3:$A$5001,P$3,BD!$B$3:$B$5001,$A$519,BD!$D$3:$D$5001,"&lt;&gt;")=0,"",SUMIFS(BD!$D$3:$D$5001,BD!$A$3:$A$5001,P$3,BD!$B$3:$B$5001,$A$519)))</f>
        <v/>
      </c>
      <c r="Q520" s="179" t="str">
        <f>IF(Q$3="","",IF(COUNTIFS(BD!$A$3:$A$5001,Q$3,BD!$B$3:$B$5001,$A$519,BD!$D$3:$D$5001,"&lt;&gt;")=0,"",SUMIFS(BD!$D$3:$D$5001,BD!$A$3:$A$5001,Q$3,BD!$B$3:$B$5001,$A$519)))</f>
        <v/>
      </c>
      <c r="R520" s="179" t="str">
        <f>IF(R$3="","",IF(COUNTIFS(BD!$A$3:$A$5001,R$3,BD!$B$3:$B$5001,$A$519,BD!$D$3:$D$5001,"&lt;&gt;")=0,"",SUMIFS(BD!$D$3:$D$5001,BD!$A$3:$A$5001,R$3,BD!$B$3:$B$5001,$A$519)))</f>
        <v/>
      </c>
      <c r="S520" s="179" t="str">
        <f>IF(S$3="","",IF(COUNTIFS(BD!$A$3:$A$5001,S$3,BD!$B$3:$B$5001,$A$519,BD!$D$3:$D$5001,"&lt;&gt;")=0,"",SUMIFS(BD!$D$3:$D$5001,BD!$A$3:$A$5001,S$3,BD!$B$3:$B$5001,$A$519)))</f>
        <v/>
      </c>
      <c r="T520" s="179" t="str">
        <f>IF(T$3="","",IF(COUNTIFS(BD!$A$3:$A$5001,T$3,BD!$B$3:$B$5001,$A$519,BD!$D$3:$D$5001,"&lt;&gt;")=0,"",SUMIFS(BD!$D$3:$D$5001,BD!$A$3:$A$5001,T$3,BD!$B$3:$B$5001,$A$519)))</f>
        <v/>
      </c>
      <c r="U520" s="179" t="str">
        <f>IF(U$3="","",IF(COUNTIFS(BD!$A$3:$A$5001,U$3,BD!$B$3:$B$5001,$A$519,BD!$D$3:$D$5001,"&lt;&gt;")=0,"",SUMIFS(BD!$D$3:$D$5001,BD!$A$3:$A$5001,U$3,BD!$B$3:$B$5001,$A$519)))</f>
        <v/>
      </c>
      <c r="V520" s="179" t="str">
        <f>IF(V$3="","",IF(COUNTIFS(BD!$A$3:$A$5001,V$3,BD!$B$3:$B$5001,$A$519,BD!$D$3:$D$5001,"&lt;&gt;")=0,"",SUMIFS(BD!$D$3:$D$5001,BD!$A$3:$A$5001,V$3,BD!$B$3:$B$5001,$A$519)))</f>
        <v/>
      </c>
      <c r="W520" s="179" t="str">
        <f>IF(W$3="","",IF(COUNTIFS(BD!$A$3:$A$5001,W$3,BD!$B$3:$B$5001,$A$519,BD!$D$3:$D$5001,"&lt;&gt;")=0,"",SUMIFS(BD!$D$3:$D$5001,BD!$A$3:$A$5001,W$3,BD!$B$3:$B$5001,$A$519)))</f>
        <v/>
      </c>
      <c r="X520" s="179" t="str">
        <f>IF(X$3="","",IF(COUNTIFS(BD!$A$3:$A$5001,X$3,BD!$B$3:$B$5001,$A$519,BD!$D$3:$D$5001,"&lt;&gt;")=0,"",SUMIFS(BD!$D$3:$D$5001,BD!$A$3:$A$5001,X$3,BD!$B$3:$B$5001,$A$519)))</f>
        <v/>
      </c>
      <c r="Y520" s="179" t="str">
        <f>IF(Y$3="","",IF(COUNTIFS(BD!$A$3:$A$5001,Y$3,BD!$B$3:$B$5001,$A$519,BD!$D$3:$D$5001,"&lt;&gt;")=0,"",SUMIFS(BD!$D$3:$D$5001,BD!$A$3:$A$5001,Y$3,BD!$B$3:$B$5001,$A$519)))</f>
        <v/>
      </c>
      <c r="Z520" s="179" t="str">
        <f>IF(Z$3="","",IF(COUNTIFS(BD!$A$3:$A$5001,Z$3,BD!$B$3:$B$5001,$A$519,BD!$D$3:$D$5001,"&lt;&gt;")=0,"",SUMIFS(BD!$D$3:$D$5001,BD!$A$3:$A$5001,Z$3,BD!$B$3:$B$5001,$A$519)))</f>
        <v/>
      </c>
      <c r="AA520" s="179" t="str">
        <f>IF(AA$3="","",IF(COUNTIFS(BD!$A$3:$A$5001,AA$3,BD!$B$3:$B$5001,$A$519,BD!$D$3:$D$5001,"&lt;&gt;")=0,"",SUMIFS(BD!$D$3:$D$5001,BD!$A$3:$A$5001,AA$3,BD!$B$3:$B$5001,$A$519)))</f>
        <v/>
      </c>
      <c r="AB520" s="179" t="str">
        <f>IF(AB$3="","",IF(COUNTIFS(BD!$A$3:$A$5001,AB$3,BD!$B$3:$B$5001,$A$519,BD!$D$3:$D$5001,"&lt;&gt;")=0,"",SUMIFS(BD!$D$3:$D$5001,BD!$A$3:$A$5001,AB$3,BD!$B$3:$B$5001,$A$519)))</f>
        <v/>
      </c>
      <c r="AC520" s="179" t="str">
        <f>IF(AC$3="","",IF(COUNTIFS(BD!$A$3:$A$5001,AC$3,BD!$B$3:$B$5001,$A$519,BD!$D$3:$D$5001,"&lt;&gt;")=0,"",SUMIFS(BD!$D$3:$D$5001,BD!$A$3:$A$5001,AC$3,BD!$B$3:$B$5001,$A$519)))</f>
        <v/>
      </c>
      <c r="AD520" s="179" t="str">
        <f>IF(AD$3="","",IF(COUNTIFS(BD!$A$3:$A$5001,AD$3,BD!$B$3:$B$5001,$A$519,BD!$D$3:$D$5001,"&lt;&gt;")=0,"",SUMIFS(BD!$D$3:$D$5001,BD!$A$3:$A$5001,AD$3,BD!$B$3:$B$5001,$A$519)))</f>
        <v/>
      </c>
      <c r="AE520" s="179" t="str">
        <f>IF(AE$3="","",IF(COUNTIFS(BD!$A$3:$A$5001,AE$3,BD!$B$3:$B$5001,$A$519,BD!$D$3:$D$5001,"&lt;&gt;")=0,"",SUMIFS(BD!$D$3:$D$5001,BD!$A$3:$A$5001,AE$3,BD!$B$3:$B$5001,$A$519)))</f>
        <v/>
      </c>
      <c r="AF520" s="179" t="str">
        <f>IF(AF$3="","",IF(COUNTIFS(BD!$A$3:$A$5001,AF$3,BD!$B$3:$B$5001,$A$519,BD!$D$3:$D$5001,"&lt;&gt;")=0,"",SUMIFS(BD!$D$3:$D$5001,BD!$A$3:$A$5001,AF$3,BD!$B$3:$B$5001,$A$519)))</f>
        <v/>
      </c>
      <c r="AG520" s="179" t="str">
        <f>IF(AG$3="","",IF(COUNTIFS(BD!$A$3:$A$5001,AG$3,BD!$B$3:$B$5001,$A$519,BD!$D$3:$D$5001,"&lt;&gt;")=0,"",SUMIFS(BD!$D$3:$D$5001,BD!$A$3:$A$5001,AG$3,BD!$B$3:$B$5001,$A$519)))</f>
        <v/>
      </c>
      <c r="AH520" s="179" t="str">
        <f>IF(AH$3="","",IF(COUNTIFS(BD!$A$3:$A$5001,AH$3,BD!$B$3:$B$5001,$A$519,BD!$D$3:$D$5001,"&lt;&gt;")=0,"",SUMIFS(BD!$D$3:$D$5001,BD!$A$3:$A$5001,AH$3,BD!$B$3:$B$5001,$A$519)))</f>
        <v/>
      </c>
      <c r="AI520" s="179" t="str">
        <f>IF(AI$3="","",IF(COUNTIFS(BD!$A$3:$A$5001,AI$3,BD!$B$3:$B$5001,$A$519,BD!$D$3:$D$5001,"&lt;&gt;")=0,"",SUMIFS(BD!$D$3:$D$5001,BD!$A$3:$A$5001,AI$3,BD!$B$3:$B$5001,$A$519)))</f>
        <v/>
      </c>
      <c r="AJ520" s="180" t="str">
        <f>IF(AJ$3="","",IF(COUNTIFS(BD!$A$3:$A$5001,AJ$3,BD!$B$3:$B$5001,$A$519,BD!$D$3:$D$5001,"&lt;&gt;")=0,"",SUMIFS(BD!$D$3:$D$5001,BD!$A$3:$A$5001,AJ$3,BD!$B$3:$B$5001,$A$519)))</f>
        <v/>
      </c>
      <c r="AK520" s="181" t="str">
        <f>IF(COUNT(F520:AJ520)=0,"",SUM(F520:AJ520))</f>
        <v/>
      </c>
    </row>
    <row r="521" ht="15.75" customHeight="1" hidden="1">
      <c r="A521" s="277"/>
      <c r="B521" s="265"/>
      <c r="C521" s="175" t="inlineStr">
        <is>
          <t xml:space="preserve">Toneladas Movimentadas</t>
        </is>
      </c>
      <c r="D521" s="176" t="str">
        <f>IFERROR(1/(1/INDEX(BD!$AF$25:$AZ$25,MATCH($A$519,BD!$AF$22:$AZ$22,0))),"")</f>
        <v/>
      </c>
      <c r="E521" s="177"/>
      <c r="F521" s="182" t="str">
        <f>IF(F$3="","",IF(COUNTIFS(BD!$A$3:$A$5001,F$3,BD!$B$3:$B$5001,$A$519,BD!$E$3:$E$5001,"&lt;&gt;")=0,"",SUMIFS(BD!$E$3:$E$5001,BD!$A$3:$A$5001,F$3,BD!$B$3:$B$5001,$A$519)))</f>
        <v/>
      </c>
      <c r="G521" s="183" t="str">
        <f>IF(G$3="","",IF(COUNTIFS(BD!$A$3:$A$5001,G$3,BD!$B$3:$B$5001,$A$519,BD!$E$3:$E$5001,"&lt;&gt;")=0,"",SUMIFS(BD!$E$3:$E$5001,BD!$A$3:$A$5001,G$3,BD!$B$3:$B$5001,$A$519)))</f>
        <v/>
      </c>
      <c r="H521" s="183" t="str">
        <f>IF(H$3="","",IF(COUNTIFS(BD!$A$3:$A$5001,H$3,BD!$B$3:$B$5001,$A$519,BD!$E$3:$E$5001,"&lt;&gt;")=0,"",SUMIFS(BD!$E$3:$E$5001,BD!$A$3:$A$5001,H$3,BD!$B$3:$B$5001,$A$519)))</f>
        <v/>
      </c>
      <c r="I521" s="183" t="str">
        <f>IF(I$3="","",IF(COUNTIFS(BD!$A$3:$A$5001,I$3,BD!$B$3:$B$5001,$A$519,BD!$E$3:$E$5001,"&lt;&gt;")=0,"",SUMIFS(BD!$E$3:$E$5001,BD!$A$3:$A$5001,I$3,BD!$B$3:$B$5001,$A$519)))</f>
        <v/>
      </c>
      <c r="J521" s="183" t="str">
        <f>IF(J$3="","",IF(COUNTIFS(BD!$A$3:$A$5001,J$3,BD!$B$3:$B$5001,$A$519,BD!$E$3:$E$5001,"&lt;&gt;")=0,"",SUMIFS(BD!$E$3:$E$5001,BD!$A$3:$A$5001,J$3,BD!$B$3:$B$5001,$A$519)))</f>
        <v/>
      </c>
      <c r="K521" s="183" t="str">
        <f>IF(K$3="","",IF(COUNTIFS(BD!$A$3:$A$5001,K$3,BD!$B$3:$B$5001,$A$519,BD!$E$3:$E$5001,"&lt;&gt;")=0,"",SUMIFS(BD!$E$3:$E$5001,BD!$A$3:$A$5001,K$3,BD!$B$3:$B$5001,$A$519)))</f>
        <v/>
      </c>
      <c r="L521" s="183" t="str">
        <f>IF(L$3="","",IF(COUNTIFS(BD!$A$3:$A$5001,L$3,BD!$B$3:$B$5001,$A$519,BD!$E$3:$E$5001,"&lt;&gt;")=0,"",SUMIFS(BD!$E$3:$E$5001,BD!$A$3:$A$5001,L$3,BD!$B$3:$B$5001,$A$519)))</f>
        <v/>
      </c>
      <c r="M521" s="183" t="str">
        <f>IF(M$3="","",IF(COUNTIFS(BD!$A$3:$A$5001,M$3,BD!$B$3:$B$5001,$A$519,BD!$E$3:$E$5001,"&lt;&gt;")=0,"",SUMIFS(BD!$E$3:$E$5001,BD!$A$3:$A$5001,M$3,BD!$B$3:$B$5001,$A$519)))</f>
        <v/>
      </c>
      <c r="N521" s="183" t="str">
        <f>IF(N$3="","",IF(COUNTIFS(BD!$A$3:$A$5001,N$3,BD!$B$3:$B$5001,$A$519,BD!$E$3:$E$5001,"&lt;&gt;")=0,"",SUMIFS(BD!$E$3:$E$5001,BD!$A$3:$A$5001,N$3,BD!$B$3:$B$5001,$A$519)))</f>
        <v/>
      </c>
      <c r="O521" s="183" t="str">
        <f>IF(O$3="","",IF(COUNTIFS(BD!$A$3:$A$5001,O$3,BD!$B$3:$B$5001,$A$519,BD!$E$3:$E$5001,"&lt;&gt;")=0,"",SUMIFS(BD!$E$3:$E$5001,BD!$A$3:$A$5001,O$3,BD!$B$3:$B$5001,$A$519)))</f>
        <v/>
      </c>
      <c r="P521" s="183" t="str">
        <f>IF(P$3="","",IF(COUNTIFS(BD!$A$3:$A$5001,P$3,BD!$B$3:$B$5001,$A$519,BD!$E$3:$E$5001,"&lt;&gt;")=0,"",SUMIFS(BD!$E$3:$E$5001,BD!$A$3:$A$5001,P$3,BD!$B$3:$B$5001,$A$519)))</f>
        <v/>
      </c>
      <c r="Q521" s="183" t="str">
        <f>IF(Q$3="","",IF(COUNTIFS(BD!$A$3:$A$5001,Q$3,BD!$B$3:$B$5001,$A$519,BD!$E$3:$E$5001,"&lt;&gt;")=0,"",SUMIFS(BD!$E$3:$E$5001,BD!$A$3:$A$5001,Q$3,BD!$B$3:$B$5001,$A$519)))</f>
        <v/>
      </c>
      <c r="R521" s="183" t="str">
        <f>IF(R$3="","",IF(COUNTIFS(BD!$A$3:$A$5001,R$3,BD!$B$3:$B$5001,$A$519,BD!$E$3:$E$5001,"&lt;&gt;")=0,"",SUMIFS(BD!$E$3:$E$5001,BD!$A$3:$A$5001,R$3,BD!$B$3:$B$5001,$A$519)))</f>
        <v/>
      </c>
      <c r="S521" s="183" t="str">
        <f>IF(S$3="","",IF(COUNTIFS(BD!$A$3:$A$5001,S$3,BD!$B$3:$B$5001,$A$519,BD!$E$3:$E$5001,"&lt;&gt;")=0,"",SUMIFS(BD!$E$3:$E$5001,BD!$A$3:$A$5001,S$3,BD!$B$3:$B$5001,$A$519)))</f>
        <v/>
      </c>
      <c r="T521" s="183" t="str">
        <f>IF(T$3="","",IF(COUNTIFS(BD!$A$3:$A$5001,T$3,BD!$B$3:$B$5001,$A$519,BD!$E$3:$E$5001,"&lt;&gt;")=0,"",SUMIFS(BD!$E$3:$E$5001,BD!$A$3:$A$5001,T$3,BD!$B$3:$B$5001,$A$519)))</f>
        <v/>
      </c>
      <c r="U521" s="183" t="str">
        <f>IF(U$3="","",IF(COUNTIFS(BD!$A$3:$A$5001,U$3,BD!$B$3:$B$5001,$A$519,BD!$E$3:$E$5001,"&lt;&gt;")=0,"",SUMIFS(BD!$E$3:$E$5001,BD!$A$3:$A$5001,U$3,BD!$B$3:$B$5001,$A$519)))</f>
        <v/>
      </c>
      <c r="V521" s="183" t="str">
        <f>IF(V$3="","",IF(COUNTIFS(BD!$A$3:$A$5001,V$3,BD!$B$3:$B$5001,$A$519,BD!$E$3:$E$5001,"&lt;&gt;")=0,"",SUMIFS(BD!$E$3:$E$5001,BD!$A$3:$A$5001,V$3,BD!$B$3:$B$5001,$A$519)))</f>
        <v/>
      </c>
      <c r="W521" s="183" t="str">
        <f>IF(W$3="","",IF(COUNTIFS(BD!$A$3:$A$5001,W$3,BD!$B$3:$B$5001,$A$519,BD!$E$3:$E$5001,"&lt;&gt;")=0,"",SUMIFS(BD!$E$3:$E$5001,BD!$A$3:$A$5001,W$3,BD!$B$3:$B$5001,$A$519)))</f>
        <v/>
      </c>
      <c r="X521" s="183" t="str">
        <f>IF(X$3="","",IF(COUNTIFS(BD!$A$3:$A$5001,X$3,BD!$B$3:$B$5001,$A$519,BD!$E$3:$E$5001,"&lt;&gt;")=0,"",SUMIFS(BD!$E$3:$E$5001,BD!$A$3:$A$5001,X$3,BD!$B$3:$B$5001,$A$519)))</f>
        <v/>
      </c>
      <c r="Y521" s="183" t="str">
        <f>IF(Y$3="","",IF(COUNTIFS(BD!$A$3:$A$5001,Y$3,BD!$B$3:$B$5001,$A$519,BD!$E$3:$E$5001,"&lt;&gt;")=0,"",SUMIFS(BD!$E$3:$E$5001,BD!$A$3:$A$5001,Y$3,BD!$B$3:$B$5001,$A$519)))</f>
        <v/>
      </c>
      <c r="Z521" s="183" t="str">
        <f>IF(Z$3="","",IF(COUNTIFS(BD!$A$3:$A$5001,Z$3,BD!$B$3:$B$5001,$A$519,BD!$E$3:$E$5001,"&lt;&gt;")=0,"",SUMIFS(BD!$E$3:$E$5001,BD!$A$3:$A$5001,Z$3,BD!$B$3:$B$5001,$A$519)))</f>
        <v/>
      </c>
      <c r="AA521" s="183" t="str">
        <f>IF(AA$3="","",IF(COUNTIFS(BD!$A$3:$A$5001,AA$3,BD!$B$3:$B$5001,$A$519,BD!$E$3:$E$5001,"&lt;&gt;")=0,"",SUMIFS(BD!$E$3:$E$5001,BD!$A$3:$A$5001,AA$3,BD!$B$3:$B$5001,$A$519)))</f>
        <v/>
      </c>
      <c r="AB521" s="183" t="str">
        <f>IF(AB$3="","",IF(COUNTIFS(BD!$A$3:$A$5001,AB$3,BD!$B$3:$B$5001,$A$519,BD!$E$3:$E$5001,"&lt;&gt;")=0,"",SUMIFS(BD!$E$3:$E$5001,BD!$A$3:$A$5001,AB$3,BD!$B$3:$B$5001,$A$519)))</f>
        <v/>
      </c>
      <c r="AC521" s="183" t="str">
        <f>IF(AC$3="","",IF(COUNTIFS(BD!$A$3:$A$5001,AC$3,BD!$B$3:$B$5001,$A$519,BD!$E$3:$E$5001,"&lt;&gt;")=0,"",SUMIFS(BD!$E$3:$E$5001,BD!$A$3:$A$5001,AC$3,BD!$B$3:$B$5001,$A$519)))</f>
        <v/>
      </c>
      <c r="AD521" s="183" t="str">
        <f>IF(AD$3="","",IF(COUNTIFS(BD!$A$3:$A$5001,AD$3,BD!$B$3:$B$5001,$A$519,BD!$E$3:$E$5001,"&lt;&gt;")=0,"",SUMIFS(BD!$E$3:$E$5001,BD!$A$3:$A$5001,AD$3,BD!$B$3:$B$5001,$A$519)))</f>
        <v/>
      </c>
      <c r="AE521" s="183" t="str">
        <f>IF(AE$3="","",IF(COUNTIFS(BD!$A$3:$A$5001,AE$3,BD!$B$3:$B$5001,$A$519,BD!$E$3:$E$5001,"&lt;&gt;")=0,"",SUMIFS(BD!$E$3:$E$5001,BD!$A$3:$A$5001,AE$3,BD!$B$3:$B$5001,$A$519)))</f>
        <v/>
      </c>
      <c r="AF521" s="183" t="str">
        <f>IF(AF$3="","",IF(COUNTIFS(BD!$A$3:$A$5001,AF$3,BD!$B$3:$B$5001,$A$519,BD!$E$3:$E$5001,"&lt;&gt;")=0,"",SUMIFS(BD!$E$3:$E$5001,BD!$A$3:$A$5001,AF$3,BD!$B$3:$B$5001,$A$519)))</f>
        <v/>
      </c>
      <c r="AG521" s="183" t="str">
        <f>IF(AG$3="","",IF(COUNTIFS(BD!$A$3:$A$5001,AG$3,BD!$B$3:$B$5001,$A$519,BD!$E$3:$E$5001,"&lt;&gt;")=0,"",SUMIFS(BD!$E$3:$E$5001,BD!$A$3:$A$5001,AG$3,BD!$B$3:$B$5001,$A$519)))</f>
        <v/>
      </c>
      <c r="AH521" s="183" t="str">
        <f>IF(AH$3="","",IF(COUNTIFS(BD!$A$3:$A$5001,AH$3,BD!$B$3:$B$5001,$A$519,BD!$E$3:$E$5001,"&lt;&gt;")=0,"",SUMIFS(BD!$E$3:$E$5001,BD!$A$3:$A$5001,AH$3,BD!$B$3:$B$5001,$A$519)))</f>
        <v/>
      </c>
      <c r="AI521" s="183" t="str">
        <f>IF(AI$3="","",IF(COUNTIFS(BD!$A$3:$A$5001,AI$3,BD!$B$3:$B$5001,$A$519,BD!$E$3:$E$5001,"&lt;&gt;")=0,"",SUMIFS(BD!$E$3:$E$5001,BD!$A$3:$A$5001,AI$3,BD!$B$3:$B$5001,$A$519)))</f>
        <v/>
      </c>
      <c r="AJ521" s="184" t="str">
        <f>IF(AJ$3="","",IF(COUNTIFS(BD!$A$3:$A$5001,AJ$3,BD!$B$3:$B$5001,$A$519,BD!$E$3:$E$5001,"&lt;&gt;")=0,"",SUMIFS(BD!$E$3:$E$5001,BD!$A$3:$A$5001,AJ$3,BD!$B$3:$B$5001,$A$519)))</f>
        <v/>
      </c>
      <c r="AK521" s="185" t="str">
        <f>IF(COUNT(F521:AJ521)=0,"",SUM(F521:AJ521))</f>
        <v/>
      </c>
    </row>
    <row r="522" ht="15.75" customHeight="1" hidden="1">
      <c r="A522" s="277"/>
      <c r="B522" s="265"/>
      <c r="C522" s="175" t="inlineStr">
        <is>
          <t xml:space="preserve">Caixas Recebidas</t>
        </is>
      </c>
      <c r="D522" s="176" t="str">
        <f>IFERROR(1/(1/INDEX(BD!$AF$26:$AZ$26,MATCH($A$519,BD!$AF$22:$AZ$22,0))),"")</f>
        <v/>
      </c>
      <c r="E522" s="177"/>
      <c r="F522" s="178" t="str">
        <f>IF(F$3="","",IF(COUNTIFS(BD!$A$3:$A$5001,F$3,BD!$B$3:$B$5001,$A$519,BD!$F$3:$F$5001,"&lt;&gt;")=0,"",SUMIFS(BD!$F$3:$F$5001,BD!$A$3:$A$5001,F$3,BD!$B$3:$B$5001,$A$519)))</f>
        <v/>
      </c>
      <c r="G522" s="179" t="str">
        <f>IF(G$3="","",IF(COUNTIFS(BD!$A$3:$A$5001,G$3,BD!$B$3:$B$5001,$A$519,BD!$F$3:$F$5001,"&lt;&gt;")=0,"",SUMIFS(BD!$F$3:$F$5001,BD!$A$3:$A$5001,G$3,BD!$B$3:$B$5001,$A$519)))</f>
        <v/>
      </c>
      <c r="H522" s="179" t="str">
        <f>IF(H$3="","",IF(COUNTIFS(BD!$A$3:$A$5001,H$3,BD!$B$3:$B$5001,$A$519,BD!$F$3:$F$5001,"&lt;&gt;")=0,"",SUMIFS(BD!$F$3:$F$5001,BD!$A$3:$A$5001,H$3,BD!$B$3:$B$5001,$A$519)))</f>
        <v/>
      </c>
      <c r="I522" s="179" t="str">
        <f>IF(I$3="","",IF(COUNTIFS(BD!$A$3:$A$5001,I$3,BD!$B$3:$B$5001,$A$519,BD!$F$3:$F$5001,"&lt;&gt;")=0,"",SUMIFS(BD!$F$3:$F$5001,BD!$A$3:$A$5001,I$3,BD!$B$3:$B$5001,$A$519)))</f>
        <v/>
      </c>
      <c r="J522" s="179" t="str">
        <f>IF(J$3="","",IF(COUNTIFS(BD!$A$3:$A$5001,J$3,BD!$B$3:$B$5001,$A$519,BD!$F$3:$F$5001,"&lt;&gt;")=0,"",SUMIFS(BD!$F$3:$F$5001,BD!$A$3:$A$5001,J$3,BD!$B$3:$B$5001,$A$519)))</f>
        <v/>
      </c>
      <c r="K522" s="179" t="str">
        <f>IF(K$3="","",IF(COUNTIFS(BD!$A$3:$A$5001,K$3,BD!$B$3:$B$5001,$A$519,BD!$F$3:$F$5001,"&lt;&gt;")=0,"",SUMIFS(BD!$F$3:$F$5001,BD!$A$3:$A$5001,K$3,BD!$B$3:$B$5001,$A$519)))</f>
        <v/>
      </c>
      <c r="L522" s="179" t="str">
        <f>IF(L$3="","",IF(COUNTIFS(BD!$A$3:$A$5001,L$3,BD!$B$3:$B$5001,$A$519,BD!$F$3:$F$5001,"&lt;&gt;")=0,"",SUMIFS(BD!$F$3:$F$5001,BD!$A$3:$A$5001,L$3,BD!$B$3:$B$5001,$A$519)))</f>
        <v/>
      </c>
      <c r="M522" s="179" t="str">
        <f>IF(M$3="","",IF(COUNTIFS(BD!$A$3:$A$5001,M$3,BD!$B$3:$B$5001,$A$519,BD!$F$3:$F$5001,"&lt;&gt;")=0,"",SUMIFS(BD!$F$3:$F$5001,BD!$A$3:$A$5001,M$3,BD!$B$3:$B$5001,$A$519)))</f>
        <v/>
      </c>
      <c r="N522" s="179" t="str">
        <f>IF(N$3="","",IF(COUNTIFS(BD!$A$3:$A$5001,N$3,BD!$B$3:$B$5001,$A$519,BD!$F$3:$F$5001,"&lt;&gt;")=0,"",SUMIFS(BD!$F$3:$F$5001,BD!$A$3:$A$5001,N$3,BD!$B$3:$B$5001,$A$519)))</f>
        <v/>
      </c>
      <c r="O522" s="179" t="str">
        <f>IF(O$3="","",IF(COUNTIFS(BD!$A$3:$A$5001,O$3,BD!$B$3:$B$5001,$A$519,BD!$F$3:$F$5001,"&lt;&gt;")=0,"",SUMIFS(BD!$F$3:$F$5001,BD!$A$3:$A$5001,O$3,BD!$B$3:$B$5001,$A$519)))</f>
        <v/>
      </c>
      <c r="P522" s="179" t="str">
        <f>IF(P$3="","",IF(COUNTIFS(BD!$A$3:$A$5001,P$3,BD!$B$3:$B$5001,$A$519,BD!$F$3:$F$5001,"&lt;&gt;")=0,"",SUMIFS(BD!$F$3:$F$5001,BD!$A$3:$A$5001,P$3,BD!$B$3:$B$5001,$A$519)))</f>
        <v/>
      </c>
      <c r="Q522" s="179" t="str">
        <f>IF(Q$3="","",IF(COUNTIFS(BD!$A$3:$A$5001,Q$3,BD!$B$3:$B$5001,$A$519,BD!$F$3:$F$5001,"&lt;&gt;")=0,"",SUMIFS(BD!$F$3:$F$5001,BD!$A$3:$A$5001,Q$3,BD!$B$3:$B$5001,$A$519)))</f>
        <v/>
      </c>
      <c r="R522" s="179" t="str">
        <f>IF(R$3="","",IF(COUNTIFS(BD!$A$3:$A$5001,R$3,BD!$B$3:$B$5001,$A$519,BD!$F$3:$F$5001,"&lt;&gt;")=0,"",SUMIFS(BD!$F$3:$F$5001,BD!$A$3:$A$5001,R$3,BD!$B$3:$B$5001,$A$519)))</f>
        <v/>
      </c>
      <c r="S522" s="179" t="str">
        <f>IF(S$3="","",IF(COUNTIFS(BD!$A$3:$A$5001,S$3,BD!$B$3:$B$5001,$A$519,BD!$F$3:$F$5001,"&lt;&gt;")=0,"",SUMIFS(BD!$F$3:$F$5001,BD!$A$3:$A$5001,S$3,BD!$B$3:$B$5001,$A$519)))</f>
        <v/>
      </c>
      <c r="T522" s="179" t="str">
        <f>IF(T$3="","",IF(COUNTIFS(BD!$A$3:$A$5001,T$3,BD!$B$3:$B$5001,$A$519,BD!$F$3:$F$5001,"&lt;&gt;")=0,"",SUMIFS(BD!$F$3:$F$5001,BD!$A$3:$A$5001,T$3,BD!$B$3:$B$5001,$A$519)))</f>
        <v/>
      </c>
      <c r="U522" s="179" t="str">
        <f>IF(U$3="","",IF(COUNTIFS(BD!$A$3:$A$5001,U$3,BD!$B$3:$B$5001,$A$519,BD!$F$3:$F$5001,"&lt;&gt;")=0,"",SUMIFS(BD!$F$3:$F$5001,BD!$A$3:$A$5001,U$3,BD!$B$3:$B$5001,$A$519)))</f>
        <v/>
      </c>
      <c r="V522" s="179" t="str">
        <f>IF(V$3="","",IF(COUNTIFS(BD!$A$3:$A$5001,V$3,BD!$B$3:$B$5001,$A$519,BD!$F$3:$F$5001,"&lt;&gt;")=0,"",SUMIFS(BD!$F$3:$F$5001,BD!$A$3:$A$5001,V$3,BD!$B$3:$B$5001,$A$519)))</f>
        <v/>
      </c>
      <c r="W522" s="179" t="str">
        <f>IF(W$3="","",IF(COUNTIFS(BD!$A$3:$A$5001,W$3,BD!$B$3:$B$5001,$A$519,BD!$F$3:$F$5001,"&lt;&gt;")=0,"",SUMIFS(BD!$F$3:$F$5001,BD!$A$3:$A$5001,W$3,BD!$B$3:$B$5001,$A$519)))</f>
        <v/>
      </c>
      <c r="X522" s="179" t="str">
        <f>IF(X$3="","",IF(COUNTIFS(BD!$A$3:$A$5001,X$3,BD!$B$3:$B$5001,$A$519,BD!$F$3:$F$5001,"&lt;&gt;")=0,"",SUMIFS(BD!$F$3:$F$5001,BD!$A$3:$A$5001,X$3,BD!$B$3:$B$5001,$A$519)))</f>
        <v/>
      </c>
      <c r="Y522" s="179" t="str">
        <f>IF(Y$3="","",IF(COUNTIFS(BD!$A$3:$A$5001,Y$3,BD!$B$3:$B$5001,$A$519,BD!$F$3:$F$5001,"&lt;&gt;")=0,"",SUMIFS(BD!$F$3:$F$5001,BD!$A$3:$A$5001,Y$3,BD!$B$3:$B$5001,$A$519)))</f>
        <v/>
      </c>
      <c r="Z522" s="179" t="str">
        <f>IF(Z$3="","",IF(COUNTIFS(BD!$A$3:$A$5001,Z$3,BD!$B$3:$B$5001,$A$519,BD!$F$3:$F$5001,"&lt;&gt;")=0,"",SUMIFS(BD!$F$3:$F$5001,BD!$A$3:$A$5001,Z$3,BD!$B$3:$B$5001,$A$519)))</f>
        <v/>
      </c>
      <c r="AA522" s="179" t="str">
        <f>IF(AA$3="","",IF(COUNTIFS(BD!$A$3:$A$5001,AA$3,BD!$B$3:$B$5001,$A$519,BD!$F$3:$F$5001,"&lt;&gt;")=0,"",SUMIFS(BD!$F$3:$F$5001,BD!$A$3:$A$5001,AA$3,BD!$B$3:$B$5001,$A$519)))</f>
        <v/>
      </c>
      <c r="AB522" s="179" t="str">
        <f>IF(AB$3="","",IF(COUNTIFS(BD!$A$3:$A$5001,AB$3,BD!$B$3:$B$5001,$A$519,BD!$F$3:$F$5001,"&lt;&gt;")=0,"",SUMIFS(BD!$F$3:$F$5001,BD!$A$3:$A$5001,AB$3,BD!$B$3:$B$5001,$A$519)))</f>
        <v/>
      </c>
      <c r="AC522" s="179" t="str">
        <f>IF(AC$3="","",IF(COUNTIFS(BD!$A$3:$A$5001,AC$3,BD!$B$3:$B$5001,$A$519,BD!$F$3:$F$5001,"&lt;&gt;")=0,"",SUMIFS(BD!$F$3:$F$5001,BD!$A$3:$A$5001,AC$3,BD!$B$3:$B$5001,$A$519)))</f>
        <v/>
      </c>
      <c r="AD522" s="179" t="str">
        <f>IF(AD$3="","",IF(COUNTIFS(BD!$A$3:$A$5001,AD$3,BD!$B$3:$B$5001,$A$519,BD!$F$3:$F$5001,"&lt;&gt;")=0,"",SUMIFS(BD!$F$3:$F$5001,BD!$A$3:$A$5001,AD$3,BD!$B$3:$B$5001,$A$519)))</f>
        <v/>
      </c>
      <c r="AE522" s="179" t="str">
        <f>IF(AE$3="","",IF(COUNTIFS(BD!$A$3:$A$5001,AE$3,BD!$B$3:$B$5001,$A$519,BD!$F$3:$F$5001,"&lt;&gt;")=0,"",SUMIFS(BD!$F$3:$F$5001,BD!$A$3:$A$5001,AE$3,BD!$B$3:$B$5001,$A$519)))</f>
        <v/>
      </c>
      <c r="AF522" s="179" t="str">
        <f>IF(AF$3="","",IF(COUNTIFS(BD!$A$3:$A$5001,AF$3,BD!$B$3:$B$5001,$A$519,BD!$F$3:$F$5001,"&lt;&gt;")=0,"",SUMIFS(BD!$F$3:$F$5001,BD!$A$3:$A$5001,AF$3,BD!$B$3:$B$5001,$A$519)))</f>
        <v/>
      </c>
      <c r="AG522" s="179" t="str">
        <f>IF(AG$3="","",IF(COUNTIFS(BD!$A$3:$A$5001,AG$3,BD!$B$3:$B$5001,$A$519,BD!$F$3:$F$5001,"&lt;&gt;")=0,"",SUMIFS(BD!$F$3:$F$5001,BD!$A$3:$A$5001,AG$3,BD!$B$3:$B$5001,$A$519)))</f>
        <v/>
      </c>
      <c r="AH522" s="179" t="str">
        <f>IF(AH$3="","",IF(COUNTIFS(BD!$A$3:$A$5001,AH$3,BD!$B$3:$B$5001,$A$519,BD!$F$3:$F$5001,"&lt;&gt;")=0,"",SUMIFS(BD!$F$3:$F$5001,BD!$A$3:$A$5001,AH$3,BD!$B$3:$B$5001,$A$519)))</f>
        <v/>
      </c>
      <c r="AI522" s="179" t="str">
        <f>IF(AI$3="","",IF(COUNTIFS(BD!$A$3:$A$5001,AI$3,BD!$B$3:$B$5001,$A$519,BD!$F$3:$F$5001,"&lt;&gt;")=0,"",SUMIFS(BD!$F$3:$F$5001,BD!$A$3:$A$5001,AI$3,BD!$B$3:$B$5001,$A$519)))</f>
        <v/>
      </c>
      <c r="AJ522" s="180" t="str">
        <f>IF(AJ$3="","",IF(COUNTIFS(BD!$A$3:$A$5001,AJ$3,BD!$B$3:$B$5001,$A$519,BD!$F$3:$F$5001,"&lt;&gt;")=0,"",SUMIFS(BD!$F$3:$F$5001,BD!$A$3:$A$5001,AJ$3,BD!$B$3:$B$5001,$A$519)))</f>
        <v/>
      </c>
      <c r="AK522" s="181" t="str">
        <f>IF(COUNT(F522:AJ522)=0,"",SUM(F522:AJ522))</f>
        <v/>
      </c>
    </row>
    <row r="523" ht="15.75" customHeight="1" hidden="1">
      <c r="A523" s="277"/>
      <c r="B523" s="266"/>
      <c r="C523" s="186" t="inlineStr">
        <is>
          <t xml:space="preserve">Bags Recebidos</t>
        </is>
      </c>
      <c r="D523" s="187" t="str">
        <f>IFERROR(1/(1/INDEX(BD!$AF$27:$AZ$27,MATCH($A$519,BD!$AF$22:$AZ$22,0))),"")</f>
        <v/>
      </c>
      <c r="E523" s="188"/>
      <c r="F523" s="189" t="str">
        <f>IF(F$3="","",IF(COUNTIFS(BD!$A$3:$A$5001,F$3,BD!$B$3:$B$5001,$A$519,BD!$G$3:$G$5001,"&lt;&gt;")=0,"",SUMIFS(BD!$G$3:$G$5001,BD!$A$3:$A$5001,F$3,BD!$B$3:$B$5001,$A$519)))</f>
        <v/>
      </c>
      <c r="G523" s="190" t="str">
        <f>IF(G$3="","",IF(COUNTIFS(BD!$A$3:$A$5001,G$3,BD!$B$3:$B$5001,$A$519,BD!$G$3:$G$5001,"&lt;&gt;")=0,"",SUMIFS(BD!$G$3:$G$5001,BD!$A$3:$A$5001,G$3,BD!$B$3:$B$5001,$A$519)))</f>
        <v/>
      </c>
      <c r="H523" s="190" t="str">
        <f>IF(H$3="","",IF(COUNTIFS(BD!$A$3:$A$5001,H$3,BD!$B$3:$B$5001,$A$519,BD!$G$3:$G$5001,"&lt;&gt;")=0,"",SUMIFS(BD!$G$3:$G$5001,BD!$A$3:$A$5001,H$3,BD!$B$3:$B$5001,$A$519)))</f>
        <v/>
      </c>
      <c r="I523" s="190" t="str">
        <f>IF(I$3="","",IF(COUNTIFS(BD!$A$3:$A$5001,I$3,BD!$B$3:$B$5001,$A$519,BD!$G$3:$G$5001,"&lt;&gt;")=0,"",SUMIFS(BD!$G$3:$G$5001,BD!$A$3:$A$5001,I$3,BD!$B$3:$B$5001,$A$519)))</f>
        <v/>
      </c>
      <c r="J523" s="190" t="str">
        <f>IF(J$3="","",IF(COUNTIFS(BD!$A$3:$A$5001,J$3,BD!$B$3:$B$5001,$A$519,BD!$G$3:$G$5001,"&lt;&gt;")=0,"",SUMIFS(BD!$G$3:$G$5001,BD!$A$3:$A$5001,J$3,BD!$B$3:$B$5001,$A$519)))</f>
        <v/>
      </c>
      <c r="K523" s="190" t="str">
        <f>IF(K$3="","",IF(COUNTIFS(BD!$A$3:$A$5001,K$3,BD!$B$3:$B$5001,$A$519,BD!$G$3:$G$5001,"&lt;&gt;")=0,"",SUMIFS(BD!$G$3:$G$5001,BD!$A$3:$A$5001,K$3,BD!$B$3:$B$5001,$A$519)))</f>
        <v/>
      </c>
      <c r="L523" s="190" t="str">
        <f>IF(L$3="","",IF(COUNTIFS(BD!$A$3:$A$5001,L$3,BD!$B$3:$B$5001,$A$519,BD!$G$3:$G$5001,"&lt;&gt;")=0,"",SUMIFS(BD!$G$3:$G$5001,BD!$A$3:$A$5001,L$3,BD!$B$3:$B$5001,$A$519)))</f>
        <v/>
      </c>
      <c r="M523" s="190" t="str">
        <f>IF(M$3="","",IF(COUNTIFS(BD!$A$3:$A$5001,M$3,BD!$B$3:$B$5001,$A$519,BD!$G$3:$G$5001,"&lt;&gt;")=0,"",SUMIFS(BD!$G$3:$G$5001,BD!$A$3:$A$5001,M$3,BD!$B$3:$B$5001,$A$519)))</f>
        <v/>
      </c>
      <c r="N523" s="190" t="str">
        <f>IF(N$3="","",IF(COUNTIFS(BD!$A$3:$A$5001,N$3,BD!$B$3:$B$5001,$A$519,BD!$G$3:$G$5001,"&lt;&gt;")=0,"",SUMIFS(BD!$G$3:$G$5001,BD!$A$3:$A$5001,N$3,BD!$B$3:$B$5001,$A$519)))</f>
        <v/>
      </c>
      <c r="O523" s="190" t="str">
        <f>IF(O$3="","",IF(COUNTIFS(BD!$A$3:$A$5001,O$3,BD!$B$3:$B$5001,$A$519,BD!$G$3:$G$5001,"&lt;&gt;")=0,"",SUMIFS(BD!$G$3:$G$5001,BD!$A$3:$A$5001,O$3,BD!$B$3:$B$5001,$A$519)))</f>
        <v/>
      </c>
      <c r="P523" s="190" t="str">
        <f>IF(P$3="","",IF(COUNTIFS(BD!$A$3:$A$5001,P$3,BD!$B$3:$B$5001,$A$519,BD!$G$3:$G$5001,"&lt;&gt;")=0,"",SUMIFS(BD!$G$3:$G$5001,BD!$A$3:$A$5001,P$3,BD!$B$3:$B$5001,$A$519)))</f>
        <v/>
      </c>
      <c r="Q523" s="190" t="str">
        <f>IF(Q$3="","",IF(COUNTIFS(BD!$A$3:$A$5001,Q$3,BD!$B$3:$B$5001,$A$519,BD!$G$3:$G$5001,"&lt;&gt;")=0,"",SUMIFS(BD!$G$3:$G$5001,BD!$A$3:$A$5001,Q$3,BD!$B$3:$B$5001,$A$519)))</f>
        <v/>
      </c>
      <c r="R523" s="190" t="str">
        <f>IF(R$3="","",IF(COUNTIFS(BD!$A$3:$A$5001,R$3,BD!$B$3:$B$5001,$A$519,BD!$G$3:$G$5001,"&lt;&gt;")=0,"",SUMIFS(BD!$G$3:$G$5001,BD!$A$3:$A$5001,R$3,BD!$B$3:$B$5001,$A$519)))</f>
        <v/>
      </c>
      <c r="S523" s="190" t="str">
        <f>IF(S$3="","",IF(COUNTIFS(BD!$A$3:$A$5001,S$3,BD!$B$3:$B$5001,$A$519,BD!$G$3:$G$5001,"&lt;&gt;")=0,"",SUMIFS(BD!$G$3:$G$5001,BD!$A$3:$A$5001,S$3,BD!$B$3:$B$5001,$A$519)))</f>
        <v/>
      </c>
      <c r="T523" s="190" t="str">
        <f>IF(T$3="","",IF(COUNTIFS(BD!$A$3:$A$5001,T$3,BD!$B$3:$B$5001,$A$519,BD!$G$3:$G$5001,"&lt;&gt;")=0,"",SUMIFS(BD!$G$3:$G$5001,BD!$A$3:$A$5001,T$3,BD!$B$3:$B$5001,$A$519)))</f>
        <v/>
      </c>
      <c r="U523" s="190" t="str">
        <f>IF(U$3="","",IF(COUNTIFS(BD!$A$3:$A$5001,U$3,BD!$B$3:$B$5001,$A$519,BD!$G$3:$G$5001,"&lt;&gt;")=0,"",SUMIFS(BD!$G$3:$G$5001,BD!$A$3:$A$5001,U$3,BD!$B$3:$B$5001,$A$519)))</f>
        <v/>
      </c>
      <c r="V523" s="190" t="str">
        <f>IF(V$3="","",IF(COUNTIFS(BD!$A$3:$A$5001,V$3,BD!$B$3:$B$5001,$A$519,BD!$G$3:$G$5001,"&lt;&gt;")=0,"",SUMIFS(BD!$G$3:$G$5001,BD!$A$3:$A$5001,V$3,BD!$B$3:$B$5001,$A$519)))</f>
        <v/>
      </c>
      <c r="W523" s="190" t="str">
        <f>IF(W$3="","",IF(COUNTIFS(BD!$A$3:$A$5001,W$3,BD!$B$3:$B$5001,$A$519,BD!$G$3:$G$5001,"&lt;&gt;")=0,"",SUMIFS(BD!$G$3:$G$5001,BD!$A$3:$A$5001,W$3,BD!$B$3:$B$5001,$A$519)))</f>
        <v/>
      </c>
      <c r="X523" s="190" t="str">
        <f>IF(X$3="","",IF(COUNTIFS(BD!$A$3:$A$5001,X$3,BD!$B$3:$B$5001,$A$519,BD!$G$3:$G$5001,"&lt;&gt;")=0,"",SUMIFS(BD!$G$3:$G$5001,BD!$A$3:$A$5001,X$3,BD!$B$3:$B$5001,$A$519)))</f>
        <v/>
      </c>
      <c r="Y523" s="190" t="str">
        <f>IF(Y$3="","",IF(COUNTIFS(BD!$A$3:$A$5001,Y$3,BD!$B$3:$B$5001,$A$519,BD!$G$3:$G$5001,"&lt;&gt;")=0,"",SUMIFS(BD!$G$3:$G$5001,BD!$A$3:$A$5001,Y$3,BD!$B$3:$B$5001,$A$519)))</f>
        <v/>
      </c>
      <c r="Z523" s="190" t="str">
        <f>IF(Z$3="","",IF(COUNTIFS(BD!$A$3:$A$5001,Z$3,BD!$B$3:$B$5001,$A$519,BD!$G$3:$G$5001,"&lt;&gt;")=0,"",SUMIFS(BD!$G$3:$G$5001,BD!$A$3:$A$5001,Z$3,BD!$B$3:$B$5001,$A$519)))</f>
        <v/>
      </c>
      <c r="AA523" s="190" t="str">
        <f>IF(AA$3="","",IF(COUNTIFS(BD!$A$3:$A$5001,AA$3,BD!$B$3:$B$5001,$A$519,BD!$G$3:$G$5001,"&lt;&gt;")=0,"",SUMIFS(BD!$G$3:$G$5001,BD!$A$3:$A$5001,AA$3,BD!$B$3:$B$5001,$A$519)))</f>
        <v/>
      </c>
      <c r="AB523" s="190" t="str">
        <f>IF(AB$3="","",IF(COUNTIFS(BD!$A$3:$A$5001,AB$3,BD!$B$3:$B$5001,$A$519,BD!$G$3:$G$5001,"&lt;&gt;")=0,"",SUMIFS(BD!$G$3:$G$5001,BD!$A$3:$A$5001,AB$3,BD!$B$3:$B$5001,$A$519)))</f>
        <v/>
      </c>
      <c r="AC523" s="190" t="str">
        <f>IF(AC$3="","",IF(COUNTIFS(BD!$A$3:$A$5001,AC$3,BD!$B$3:$B$5001,$A$519,BD!$G$3:$G$5001,"&lt;&gt;")=0,"",SUMIFS(BD!$G$3:$G$5001,BD!$A$3:$A$5001,AC$3,BD!$B$3:$B$5001,$A$519)))</f>
        <v/>
      </c>
      <c r="AD523" s="190" t="str">
        <f>IF(AD$3="","",IF(COUNTIFS(BD!$A$3:$A$5001,AD$3,BD!$B$3:$B$5001,$A$519,BD!$G$3:$G$5001,"&lt;&gt;")=0,"",SUMIFS(BD!$G$3:$G$5001,BD!$A$3:$A$5001,AD$3,BD!$B$3:$B$5001,$A$519)))</f>
        <v/>
      </c>
      <c r="AE523" s="190" t="str">
        <f>IF(AE$3="","",IF(COUNTIFS(BD!$A$3:$A$5001,AE$3,BD!$B$3:$B$5001,$A$519,BD!$G$3:$G$5001,"&lt;&gt;")=0,"",SUMIFS(BD!$G$3:$G$5001,BD!$A$3:$A$5001,AE$3,BD!$B$3:$B$5001,$A$519)))</f>
        <v/>
      </c>
      <c r="AF523" s="190" t="str">
        <f>IF(AF$3="","",IF(COUNTIFS(BD!$A$3:$A$5001,AF$3,BD!$B$3:$B$5001,$A$519,BD!$G$3:$G$5001,"&lt;&gt;")=0,"",SUMIFS(BD!$G$3:$G$5001,BD!$A$3:$A$5001,AF$3,BD!$B$3:$B$5001,$A$519)))</f>
        <v/>
      </c>
      <c r="AG523" s="190" t="str">
        <f>IF(AG$3="","",IF(COUNTIFS(BD!$A$3:$A$5001,AG$3,BD!$B$3:$B$5001,$A$519,BD!$G$3:$G$5001,"&lt;&gt;")=0,"",SUMIFS(BD!$G$3:$G$5001,BD!$A$3:$A$5001,AG$3,BD!$B$3:$B$5001,$A$519)))</f>
        <v/>
      </c>
      <c r="AH523" s="190" t="str">
        <f>IF(AH$3="","",IF(COUNTIFS(BD!$A$3:$A$5001,AH$3,BD!$B$3:$B$5001,$A$519,BD!$G$3:$G$5001,"&lt;&gt;")=0,"",SUMIFS(BD!$G$3:$G$5001,BD!$A$3:$A$5001,AH$3,BD!$B$3:$B$5001,$A$519)))</f>
        <v/>
      </c>
      <c r="AI523" s="190" t="str">
        <f>IF(AI$3="","",IF(COUNTIFS(BD!$A$3:$A$5001,AI$3,BD!$B$3:$B$5001,$A$519,BD!$G$3:$G$5001,"&lt;&gt;")=0,"",SUMIFS(BD!$G$3:$G$5001,BD!$A$3:$A$5001,AI$3,BD!$B$3:$B$5001,$A$519)))</f>
        <v/>
      </c>
      <c r="AJ523" s="191" t="str">
        <f>IF(AJ$3="","",IF(COUNTIFS(BD!$A$3:$A$5001,AJ$3,BD!$B$3:$B$5001,$A$519,BD!$G$3:$G$5001,"&lt;&gt;")=0,"",SUMIFS(BD!$G$3:$G$5001,BD!$A$3:$A$5001,AJ$3,BD!$B$3:$B$5001,$A$519)))</f>
        <v/>
      </c>
      <c r="AK523" s="187" t="str">
        <f>IF(COUNT(F523:AJ523)=0,"",SUM(F523:AJ523))</f>
        <v/>
      </c>
    </row>
    <row r="524" ht="15.75" customHeight="1" hidden="1">
      <c r="A524" s="277"/>
      <c r="B524" s="267" t="inlineStr">
        <is>
          <t xml:space="preserve">OUT</t>
        </is>
      </c>
      <c r="C524" s="192" t="inlineStr">
        <is>
          <t xml:space="preserve">Veículos Expedidos</t>
        </is>
      </c>
      <c r="D524" s="193" t="str">
        <f>IFERROR(1/(1/INDEX(BD!$AF$28:$AZ$28,MATCH($A$519,BD!$AF$22:$AZ$22,0))),"")</f>
        <v/>
      </c>
      <c r="E524" s="194"/>
      <c r="F524" s="195" t="str">
        <f>IF(F$3="","",IF(COUNTIFS(BD!$A$3:$A$5001,F$3,BD!$B$3:$B$5001,$A$519,BD!$H$3:$H$5001,"&lt;&gt;")=0,"",SUMIFS(BD!$H$3:$H$5001,BD!$A$3:$A$5001,F$3,BD!$B$3:$B$5001,$A$519)))</f>
        <v/>
      </c>
      <c r="G524" s="196" t="str">
        <f>IF(G$3="","",IF(COUNTIFS(BD!$A$3:$A$5001,G$3,BD!$B$3:$B$5001,$A$519,BD!$H$3:$H$5001,"&lt;&gt;")=0,"",SUMIFS(BD!$H$3:$H$5001,BD!$A$3:$A$5001,G$3,BD!$B$3:$B$5001,$A$519)))</f>
        <v/>
      </c>
      <c r="H524" s="196" t="str">
        <f>IF(H$3="","",IF(COUNTIFS(BD!$A$3:$A$5001,H$3,BD!$B$3:$B$5001,$A$519,BD!$H$3:$H$5001,"&lt;&gt;")=0,"",SUMIFS(BD!$H$3:$H$5001,BD!$A$3:$A$5001,H$3,BD!$B$3:$B$5001,$A$519)))</f>
        <v/>
      </c>
      <c r="I524" s="196" t="str">
        <f>IF(I$3="","",IF(COUNTIFS(BD!$A$3:$A$5001,I$3,BD!$B$3:$B$5001,$A$519,BD!$H$3:$H$5001,"&lt;&gt;")=0,"",SUMIFS(BD!$H$3:$H$5001,BD!$A$3:$A$5001,I$3,BD!$B$3:$B$5001,$A$519)))</f>
        <v/>
      </c>
      <c r="J524" s="196" t="str">
        <f>IF(J$3="","",IF(COUNTIFS(BD!$A$3:$A$5001,J$3,BD!$B$3:$B$5001,$A$519,BD!$H$3:$H$5001,"&lt;&gt;")=0,"",SUMIFS(BD!$H$3:$H$5001,BD!$A$3:$A$5001,J$3,BD!$B$3:$B$5001,$A$519)))</f>
        <v/>
      </c>
      <c r="K524" s="196" t="str">
        <f>IF(K$3="","",IF(COUNTIFS(BD!$A$3:$A$5001,K$3,BD!$B$3:$B$5001,$A$519,BD!$H$3:$H$5001,"&lt;&gt;")=0,"",SUMIFS(BD!$H$3:$H$5001,BD!$A$3:$A$5001,K$3,BD!$B$3:$B$5001,$A$519)))</f>
        <v/>
      </c>
      <c r="L524" s="196" t="str">
        <f>IF(L$3="","",IF(COUNTIFS(BD!$A$3:$A$5001,L$3,BD!$B$3:$B$5001,$A$519,BD!$H$3:$H$5001,"&lt;&gt;")=0,"",SUMIFS(BD!$H$3:$H$5001,BD!$A$3:$A$5001,L$3,BD!$B$3:$B$5001,$A$519)))</f>
        <v/>
      </c>
      <c r="M524" s="196" t="str">
        <f>IF(M$3="","",IF(COUNTIFS(BD!$A$3:$A$5001,M$3,BD!$B$3:$B$5001,$A$519,BD!$H$3:$H$5001,"&lt;&gt;")=0,"",SUMIFS(BD!$H$3:$H$5001,BD!$A$3:$A$5001,M$3,BD!$B$3:$B$5001,$A$519)))</f>
        <v/>
      </c>
      <c r="N524" s="196" t="str">
        <f>IF(N$3="","",IF(COUNTIFS(BD!$A$3:$A$5001,N$3,BD!$B$3:$B$5001,$A$519,BD!$H$3:$H$5001,"&lt;&gt;")=0,"",SUMIFS(BD!$H$3:$H$5001,BD!$A$3:$A$5001,N$3,BD!$B$3:$B$5001,$A$519)))</f>
        <v/>
      </c>
      <c r="O524" s="196" t="str">
        <f>IF(O$3="","",IF(COUNTIFS(BD!$A$3:$A$5001,O$3,BD!$B$3:$B$5001,$A$519,BD!$H$3:$H$5001,"&lt;&gt;")=0,"",SUMIFS(BD!$H$3:$H$5001,BD!$A$3:$A$5001,O$3,BD!$B$3:$B$5001,$A$519)))</f>
        <v/>
      </c>
      <c r="P524" s="196" t="str">
        <f>IF(P$3="","",IF(COUNTIFS(BD!$A$3:$A$5001,P$3,BD!$B$3:$B$5001,$A$519,BD!$H$3:$H$5001,"&lt;&gt;")=0,"",SUMIFS(BD!$H$3:$H$5001,BD!$A$3:$A$5001,P$3,BD!$B$3:$B$5001,$A$519)))</f>
        <v/>
      </c>
      <c r="Q524" s="196" t="str">
        <f>IF(Q$3="","",IF(COUNTIFS(BD!$A$3:$A$5001,Q$3,BD!$B$3:$B$5001,$A$519,BD!$H$3:$H$5001,"&lt;&gt;")=0,"",SUMIFS(BD!$H$3:$H$5001,BD!$A$3:$A$5001,Q$3,BD!$B$3:$B$5001,$A$519)))</f>
        <v/>
      </c>
      <c r="R524" s="196" t="str">
        <f>IF(R$3="","",IF(COUNTIFS(BD!$A$3:$A$5001,R$3,BD!$B$3:$B$5001,$A$519,BD!$H$3:$H$5001,"&lt;&gt;")=0,"",SUMIFS(BD!$H$3:$H$5001,BD!$A$3:$A$5001,R$3,BD!$B$3:$B$5001,$A$519)))</f>
        <v/>
      </c>
      <c r="S524" s="196" t="str">
        <f>IF(S$3="","",IF(COUNTIFS(BD!$A$3:$A$5001,S$3,BD!$B$3:$B$5001,$A$519,BD!$H$3:$H$5001,"&lt;&gt;")=0,"",SUMIFS(BD!$H$3:$H$5001,BD!$A$3:$A$5001,S$3,BD!$B$3:$B$5001,$A$519)))</f>
        <v/>
      </c>
      <c r="T524" s="196" t="str">
        <f>IF(T$3="","",IF(COUNTIFS(BD!$A$3:$A$5001,T$3,BD!$B$3:$B$5001,$A$519,BD!$H$3:$H$5001,"&lt;&gt;")=0,"",SUMIFS(BD!$H$3:$H$5001,BD!$A$3:$A$5001,T$3,BD!$B$3:$B$5001,$A$519)))</f>
        <v/>
      </c>
      <c r="U524" s="196" t="str">
        <f>IF(U$3="","",IF(COUNTIFS(BD!$A$3:$A$5001,U$3,BD!$B$3:$B$5001,$A$519,BD!$H$3:$H$5001,"&lt;&gt;")=0,"",SUMIFS(BD!$H$3:$H$5001,BD!$A$3:$A$5001,U$3,BD!$B$3:$B$5001,$A$519)))</f>
        <v/>
      </c>
      <c r="V524" s="196" t="str">
        <f>IF(V$3="","",IF(COUNTIFS(BD!$A$3:$A$5001,V$3,BD!$B$3:$B$5001,$A$519,BD!$H$3:$H$5001,"&lt;&gt;")=0,"",SUMIFS(BD!$H$3:$H$5001,BD!$A$3:$A$5001,V$3,BD!$B$3:$B$5001,$A$519)))</f>
        <v/>
      </c>
      <c r="W524" s="196" t="str">
        <f>IF(W$3="","",IF(COUNTIFS(BD!$A$3:$A$5001,W$3,BD!$B$3:$B$5001,$A$519,BD!$H$3:$H$5001,"&lt;&gt;")=0,"",SUMIFS(BD!$H$3:$H$5001,BD!$A$3:$A$5001,W$3,BD!$B$3:$B$5001,$A$519)))</f>
        <v/>
      </c>
      <c r="X524" s="196" t="str">
        <f>IF(X$3="","",IF(COUNTIFS(BD!$A$3:$A$5001,X$3,BD!$B$3:$B$5001,$A$519,BD!$H$3:$H$5001,"&lt;&gt;")=0,"",SUMIFS(BD!$H$3:$H$5001,BD!$A$3:$A$5001,X$3,BD!$B$3:$B$5001,$A$519)))</f>
        <v/>
      </c>
      <c r="Y524" s="196" t="str">
        <f>IF(Y$3="","",IF(COUNTIFS(BD!$A$3:$A$5001,Y$3,BD!$B$3:$B$5001,$A$519,BD!$H$3:$H$5001,"&lt;&gt;")=0,"",SUMIFS(BD!$H$3:$H$5001,BD!$A$3:$A$5001,Y$3,BD!$B$3:$B$5001,$A$519)))</f>
        <v/>
      </c>
      <c r="Z524" s="196" t="str">
        <f>IF(Z$3="","",IF(COUNTIFS(BD!$A$3:$A$5001,Z$3,BD!$B$3:$B$5001,$A$519,BD!$H$3:$H$5001,"&lt;&gt;")=0,"",SUMIFS(BD!$H$3:$H$5001,BD!$A$3:$A$5001,Z$3,BD!$B$3:$B$5001,$A$519)))</f>
        <v/>
      </c>
      <c r="AA524" s="196" t="str">
        <f>IF(AA$3="","",IF(COUNTIFS(BD!$A$3:$A$5001,AA$3,BD!$B$3:$B$5001,$A$519,BD!$H$3:$H$5001,"&lt;&gt;")=0,"",SUMIFS(BD!$H$3:$H$5001,BD!$A$3:$A$5001,AA$3,BD!$B$3:$B$5001,$A$519)))</f>
        <v/>
      </c>
      <c r="AB524" s="196" t="str">
        <f>IF(AB$3="","",IF(COUNTIFS(BD!$A$3:$A$5001,AB$3,BD!$B$3:$B$5001,$A$519,BD!$H$3:$H$5001,"&lt;&gt;")=0,"",SUMIFS(BD!$H$3:$H$5001,BD!$A$3:$A$5001,AB$3,BD!$B$3:$B$5001,$A$519)))</f>
        <v/>
      </c>
      <c r="AC524" s="196" t="str">
        <f>IF(AC$3="","",IF(COUNTIFS(BD!$A$3:$A$5001,AC$3,BD!$B$3:$B$5001,$A$519,BD!$H$3:$H$5001,"&lt;&gt;")=0,"",SUMIFS(BD!$H$3:$H$5001,BD!$A$3:$A$5001,AC$3,BD!$B$3:$B$5001,$A$519)))</f>
        <v/>
      </c>
      <c r="AD524" s="196" t="str">
        <f>IF(AD$3="","",IF(COUNTIFS(BD!$A$3:$A$5001,AD$3,BD!$B$3:$B$5001,$A$519,BD!$H$3:$H$5001,"&lt;&gt;")=0,"",SUMIFS(BD!$H$3:$H$5001,BD!$A$3:$A$5001,AD$3,BD!$B$3:$B$5001,$A$519)))</f>
        <v/>
      </c>
      <c r="AE524" s="196" t="str">
        <f>IF(AE$3="","",IF(COUNTIFS(BD!$A$3:$A$5001,AE$3,BD!$B$3:$B$5001,$A$519,BD!$H$3:$H$5001,"&lt;&gt;")=0,"",SUMIFS(BD!$H$3:$H$5001,BD!$A$3:$A$5001,AE$3,BD!$B$3:$B$5001,$A$519)))</f>
        <v/>
      </c>
      <c r="AF524" s="196" t="str">
        <f>IF(AF$3="","",IF(COUNTIFS(BD!$A$3:$A$5001,AF$3,BD!$B$3:$B$5001,$A$519,BD!$H$3:$H$5001,"&lt;&gt;")=0,"",SUMIFS(BD!$H$3:$H$5001,BD!$A$3:$A$5001,AF$3,BD!$B$3:$B$5001,$A$519)))</f>
        <v/>
      </c>
      <c r="AG524" s="196" t="str">
        <f>IF(AG$3="","",IF(COUNTIFS(BD!$A$3:$A$5001,AG$3,BD!$B$3:$B$5001,$A$519,BD!$H$3:$H$5001,"&lt;&gt;")=0,"",SUMIFS(BD!$H$3:$H$5001,BD!$A$3:$A$5001,AG$3,BD!$B$3:$B$5001,$A$519)))</f>
        <v/>
      </c>
      <c r="AH524" s="196" t="str">
        <f>IF(AH$3="","",IF(COUNTIFS(BD!$A$3:$A$5001,AH$3,BD!$B$3:$B$5001,$A$519,BD!$H$3:$H$5001,"&lt;&gt;")=0,"",SUMIFS(BD!$H$3:$H$5001,BD!$A$3:$A$5001,AH$3,BD!$B$3:$B$5001,$A$519)))</f>
        <v/>
      </c>
      <c r="AI524" s="196" t="str">
        <f>IF(AI$3="","",IF(COUNTIFS(BD!$A$3:$A$5001,AI$3,BD!$B$3:$B$5001,$A$519,BD!$H$3:$H$5001,"&lt;&gt;")=0,"",SUMIFS(BD!$H$3:$H$5001,BD!$A$3:$A$5001,AI$3,BD!$B$3:$B$5001,$A$519)))</f>
        <v/>
      </c>
      <c r="AJ524" s="197" t="str">
        <f>IF(AJ$3="","",IF(COUNTIFS(BD!$A$3:$A$5001,AJ$3,BD!$B$3:$B$5001,$A$519,BD!$H$3:$H$5001,"&lt;&gt;")=0,"",SUMIFS(BD!$H$3:$H$5001,BD!$A$3:$A$5001,AJ$3,BD!$B$3:$B$5001,$A$519)))</f>
        <v/>
      </c>
      <c r="AK524" s="198" t="str">
        <f>IF(COUNT(F524:AJ524)=0,"",SUM(F524:AJ524))</f>
        <v/>
      </c>
    </row>
    <row r="525" ht="15.75" customHeight="1" hidden="1">
      <c r="A525" s="277"/>
      <c r="B525" s="268"/>
      <c r="C525" s="199" t="inlineStr">
        <is>
          <t xml:space="preserve">Pallets Movimentados</t>
        </is>
      </c>
      <c r="D525" s="200" t="str">
        <f>IFERROR(1/(1/INDEX(BD!$AF$29:$AZ$29,MATCH($A$519,BD!$AF$22:$AZ$22,0))),"")</f>
        <v/>
      </c>
      <c r="E525" s="201"/>
      <c r="F525" s="202" t="str">
        <f>IF(F$3="","",IF(COUNTIFS(BD!$A$3:$A$5001,F$3,BD!$B$3:$B$5001,$A$519,BD!$I$3:$I$5001,"&lt;&gt;")=0,"",SUMIFS(BD!$I$3:$I$5001,BD!$A$3:$A$5001,F$3,BD!$B$3:$B$5001,$A$519)))</f>
        <v/>
      </c>
      <c r="G525" s="203" t="str">
        <f>IF(G$3="","",IF(COUNTIFS(BD!$A$3:$A$5001,G$3,BD!$B$3:$B$5001,$A$519,BD!$I$3:$I$5001,"&lt;&gt;")=0,"",SUMIFS(BD!$I$3:$I$5001,BD!$A$3:$A$5001,G$3,BD!$B$3:$B$5001,$A$519)))</f>
        <v/>
      </c>
      <c r="H525" s="203" t="str">
        <f>IF(H$3="","",IF(COUNTIFS(BD!$A$3:$A$5001,H$3,BD!$B$3:$B$5001,$A$519,BD!$I$3:$I$5001,"&lt;&gt;")=0,"",SUMIFS(BD!$I$3:$I$5001,BD!$A$3:$A$5001,H$3,BD!$B$3:$B$5001,$A$519)))</f>
        <v/>
      </c>
      <c r="I525" s="203" t="str">
        <f>IF(I$3="","",IF(COUNTIFS(BD!$A$3:$A$5001,I$3,BD!$B$3:$B$5001,$A$519,BD!$I$3:$I$5001,"&lt;&gt;")=0,"",SUMIFS(BD!$I$3:$I$5001,BD!$A$3:$A$5001,I$3,BD!$B$3:$B$5001,$A$519)))</f>
        <v/>
      </c>
      <c r="J525" s="203" t="str">
        <f>IF(J$3="","",IF(COUNTIFS(BD!$A$3:$A$5001,J$3,BD!$B$3:$B$5001,$A$519,BD!$I$3:$I$5001,"&lt;&gt;")=0,"",SUMIFS(BD!$I$3:$I$5001,BD!$A$3:$A$5001,J$3,BD!$B$3:$B$5001,$A$519)))</f>
        <v/>
      </c>
      <c r="K525" s="203" t="str">
        <f>IF(K$3="","",IF(COUNTIFS(BD!$A$3:$A$5001,K$3,BD!$B$3:$B$5001,$A$519,BD!$I$3:$I$5001,"&lt;&gt;")=0,"",SUMIFS(BD!$I$3:$I$5001,BD!$A$3:$A$5001,K$3,BD!$B$3:$B$5001,$A$519)))</f>
        <v/>
      </c>
      <c r="L525" s="203" t="str">
        <f>IF(L$3="","",IF(COUNTIFS(BD!$A$3:$A$5001,L$3,BD!$B$3:$B$5001,$A$519,BD!$I$3:$I$5001,"&lt;&gt;")=0,"",SUMIFS(BD!$I$3:$I$5001,BD!$A$3:$A$5001,L$3,BD!$B$3:$B$5001,$A$519)))</f>
        <v/>
      </c>
      <c r="M525" s="203" t="str">
        <f>IF(M$3="","",IF(COUNTIFS(BD!$A$3:$A$5001,M$3,BD!$B$3:$B$5001,$A$519,BD!$I$3:$I$5001,"&lt;&gt;")=0,"",SUMIFS(BD!$I$3:$I$5001,BD!$A$3:$A$5001,M$3,BD!$B$3:$B$5001,$A$519)))</f>
        <v/>
      </c>
      <c r="N525" s="203" t="str">
        <f>IF(N$3="","",IF(COUNTIFS(BD!$A$3:$A$5001,N$3,BD!$B$3:$B$5001,$A$519,BD!$I$3:$I$5001,"&lt;&gt;")=0,"",SUMIFS(BD!$I$3:$I$5001,BD!$A$3:$A$5001,N$3,BD!$B$3:$B$5001,$A$519)))</f>
        <v/>
      </c>
      <c r="O525" s="203" t="str">
        <f>IF(O$3="","",IF(COUNTIFS(BD!$A$3:$A$5001,O$3,BD!$B$3:$B$5001,$A$519,BD!$I$3:$I$5001,"&lt;&gt;")=0,"",SUMIFS(BD!$I$3:$I$5001,BD!$A$3:$A$5001,O$3,BD!$B$3:$B$5001,$A$519)))</f>
        <v/>
      </c>
      <c r="P525" s="203" t="str">
        <f>IF(P$3="","",IF(COUNTIFS(BD!$A$3:$A$5001,P$3,BD!$B$3:$B$5001,$A$519,BD!$I$3:$I$5001,"&lt;&gt;")=0,"",SUMIFS(BD!$I$3:$I$5001,BD!$A$3:$A$5001,P$3,BD!$B$3:$B$5001,$A$519)))</f>
        <v/>
      </c>
      <c r="Q525" s="203" t="str">
        <f>IF(Q$3="","",IF(COUNTIFS(BD!$A$3:$A$5001,Q$3,BD!$B$3:$B$5001,$A$519,BD!$I$3:$I$5001,"&lt;&gt;")=0,"",SUMIFS(BD!$I$3:$I$5001,BD!$A$3:$A$5001,Q$3,BD!$B$3:$B$5001,$A$519)))</f>
        <v/>
      </c>
      <c r="R525" s="203" t="str">
        <f>IF(R$3="","",IF(COUNTIFS(BD!$A$3:$A$5001,R$3,BD!$B$3:$B$5001,$A$519,BD!$I$3:$I$5001,"&lt;&gt;")=0,"",SUMIFS(BD!$I$3:$I$5001,BD!$A$3:$A$5001,R$3,BD!$B$3:$B$5001,$A$519)))</f>
        <v/>
      </c>
      <c r="S525" s="203" t="str">
        <f>IF(S$3="","",IF(COUNTIFS(BD!$A$3:$A$5001,S$3,BD!$B$3:$B$5001,$A$519,BD!$I$3:$I$5001,"&lt;&gt;")=0,"",SUMIFS(BD!$I$3:$I$5001,BD!$A$3:$A$5001,S$3,BD!$B$3:$B$5001,$A$519)))</f>
        <v/>
      </c>
      <c r="T525" s="203" t="str">
        <f>IF(T$3="","",IF(COUNTIFS(BD!$A$3:$A$5001,T$3,BD!$B$3:$B$5001,$A$519,BD!$I$3:$I$5001,"&lt;&gt;")=0,"",SUMIFS(BD!$I$3:$I$5001,BD!$A$3:$A$5001,T$3,BD!$B$3:$B$5001,$A$519)))</f>
        <v/>
      </c>
      <c r="U525" s="203" t="str">
        <f>IF(U$3="","",IF(COUNTIFS(BD!$A$3:$A$5001,U$3,BD!$B$3:$B$5001,$A$519,BD!$I$3:$I$5001,"&lt;&gt;")=0,"",SUMIFS(BD!$I$3:$I$5001,BD!$A$3:$A$5001,U$3,BD!$B$3:$B$5001,$A$519)))</f>
        <v/>
      </c>
      <c r="V525" s="203" t="str">
        <f>IF(V$3="","",IF(COUNTIFS(BD!$A$3:$A$5001,V$3,BD!$B$3:$B$5001,$A$519,BD!$I$3:$I$5001,"&lt;&gt;")=0,"",SUMIFS(BD!$I$3:$I$5001,BD!$A$3:$A$5001,V$3,BD!$B$3:$B$5001,$A$519)))</f>
        <v/>
      </c>
      <c r="W525" s="203" t="str">
        <f>IF(W$3="","",IF(COUNTIFS(BD!$A$3:$A$5001,W$3,BD!$B$3:$B$5001,$A$519,BD!$I$3:$I$5001,"&lt;&gt;")=0,"",SUMIFS(BD!$I$3:$I$5001,BD!$A$3:$A$5001,W$3,BD!$B$3:$B$5001,$A$519)))</f>
        <v/>
      </c>
      <c r="X525" s="203" t="str">
        <f>IF(X$3="","",IF(COUNTIFS(BD!$A$3:$A$5001,X$3,BD!$B$3:$B$5001,$A$519,BD!$I$3:$I$5001,"&lt;&gt;")=0,"",SUMIFS(BD!$I$3:$I$5001,BD!$A$3:$A$5001,X$3,BD!$B$3:$B$5001,$A$519)))</f>
        <v/>
      </c>
      <c r="Y525" s="203" t="str">
        <f>IF(Y$3="","",IF(COUNTIFS(BD!$A$3:$A$5001,Y$3,BD!$B$3:$B$5001,$A$519,BD!$I$3:$I$5001,"&lt;&gt;")=0,"",SUMIFS(BD!$I$3:$I$5001,BD!$A$3:$A$5001,Y$3,BD!$B$3:$B$5001,$A$519)))</f>
        <v/>
      </c>
      <c r="Z525" s="203" t="str">
        <f>IF(Z$3="","",IF(COUNTIFS(BD!$A$3:$A$5001,Z$3,BD!$B$3:$B$5001,$A$519,BD!$I$3:$I$5001,"&lt;&gt;")=0,"",SUMIFS(BD!$I$3:$I$5001,BD!$A$3:$A$5001,Z$3,BD!$B$3:$B$5001,$A$519)))</f>
        <v/>
      </c>
      <c r="AA525" s="203" t="str">
        <f>IF(AA$3="","",IF(COUNTIFS(BD!$A$3:$A$5001,AA$3,BD!$B$3:$B$5001,$A$519,BD!$I$3:$I$5001,"&lt;&gt;")=0,"",SUMIFS(BD!$I$3:$I$5001,BD!$A$3:$A$5001,AA$3,BD!$B$3:$B$5001,$A$519)))</f>
        <v/>
      </c>
      <c r="AB525" s="203" t="str">
        <f>IF(AB$3="","",IF(COUNTIFS(BD!$A$3:$A$5001,AB$3,BD!$B$3:$B$5001,$A$519,BD!$I$3:$I$5001,"&lt;&gt;")=0,"",SUMIFS(BD!$I$3:$I$5001,BD!$A$3:$A$5001,AB$3,BD!$B$3:$B$5001,$A$519)))</f>
        <v/>
      </c>
      <c r="AC525" s="203" t="str">
        <f>IF(AC$3="","",IF(COUNTIFS(BD!$A$3:$A$5001,AC$3,BD!$B$3:$B$5001,$A$519,BD!$I$3:$I$5001,"&lt;&gt;")=0,"",SUMIFS(BD!$I$3:$I$5001,BD!$A$3:$A$5001,AC$3,BD!$B$3:$B$5001,$A$519)))</f>
        <v/>
      </c>
      <c r="AD525" s="203" t="str">
        <f>IF(AD$3="","",IF(COUNTIFS(BD!$A$3:$A$5001,AD$3,BD!$B$3:$B$5001,$A$519,BD!$I$3:$I$5001,"&lt;&gt;")=0,"",SUMIFS(BD!$I$3:$I$5001,BD!$A$3:$A$5001,AD$3,BD!$B$3:$B$5001,$A$519)))</f>
        <v/>
      </c>
      <c r="AE525" s="203" t="str">
        <f>IF(AE$3="","",IF(COUNTIFS(BD!$A$3:$A$5001,AE$3,BD!$B$3:$B$5001,$A$519,BD!$I$3:$I$5001,"&lt;&gt;")=0,"",SUMIFS(BD!$I$3:$I$5001,BD!$A$3:$A$5001,AE$3,BD!$B$3:$B$5001,$A$519)))</f>
        <v/>
      </c>
      <c r="AF525" s="203" t="str">
        <f>IF(AF$3="","",IF(COUNTIFS(BD!$A$3:$A$5001,AF$3,BD!$B$3:$B$5001,$A$519,BD!$I$3:$I$5001,"&lt;&gt;")=0,"",SUMIFS(BD!$I$3:$I$5001,BD!$A$3:$A$5001,AF$3,BD!$B$3:$B$5001,$A$519)))</f>
        <v/>
      </c>
      <c r="AG525" s="203" t="str">
        <f>IF(AG$3="","",IF(COUNTIFS(BD!$A$3:$A$5001,AG$3,BD!$B$3:$B$5001,$A$519,BD!$I$3:$I$5001,"&lt;&gt;")=0,"",SUMIFS(BD!$I$3:$I$5001,BD!$A$3:$A$5001,AG$3,BD!$B$3:$B$5001,$A$519)))</f>
        <v/>
      </c>
      <c r="AH525" s="203" t="str">
        <f>IF(AH$3="","",IF(COUNTIFS(BD!$A$3:$A$5001,AH$3,BD!$B$3:$B$5001,$A$519,BD!$I$3:$I$5001,"&lt;&gt;")=0,"",SUMIFS(BD!$I$3:$I$5001,BD!$A$3:$A$5001,AH$3,BD!$B$3:$B$5001,$A$519)))</f>
        <v/>
      </c>
      <c r="AI525" s="203" t="str">
        <f>IF(AI$3="","",IF(COUNTIFS(BD!$A$3:$A$5001,AI$3,BD!$B$3:$B$5001,$A$519,BD!$I$3:$I$5001,"&lt;&gt;")=0,"",SUMIFS(BD!$I$3:$I$5001,BD!$A$3:$A$5001,AI$3,BD!$B$3:$B$5001,$A$519)))</f>
        <v/>
      </c>
      <c r="AJ525" s="204" t="str">
        <f>IF(AJ$3="","",IF(COUNTIFS(BD!$A$3:$A$5001,AJ$3,BD!$B$3:$B$5001,$A$519,BD!$I$3:$I$5001,"&lt;&gt;")=0,"",SUMIFS(BD!$I$3:$I$5001,BD!$A$3:$A$5001,AJ$3,BD!$B$3:$B$5001,$A$519)))</f>
        <v/>
      </c>
      <c r="AK525" s="205" t="str">
        <f>IF(COUNT(F525:AJ525)=0,"",SUM(F525:AJ525))</f>
        <v/>
      </c>
    </row>
    <row r="526" ht="15.75" customHeight="1" hidden="1">
      <c r="A526" s="277"/>
      <c r="B526" s="268"/>
      <c r="C526" s="199" t="inlineStr">
        <is>
          <t xml:space="preserve">Toneladas Movimentadas</t>
        </is>
      </c>
      <c r="D526" s="200" t="str">
        <f>IFERROR(1/(1/INDEX(BD!$AF$30:$AZ$30,MATCH($A$519,BD!$AF$22:$AZ$22,0))),"")</f>
        <v/>
      </c>
      <c r="E526" s="201"/>
      <c r="F526" s="206" t="str">
        <f>IF(F$3="","",IF(COUNTIFS(BD!$A$3:$A$5001,F$3,BD!$B$3:$B$5001,$A$519,BD!$J$3:$J$5001,"&lt;&gt;")=0,"",SUMIFS(BD!$J$3:$J$5001,BD!$A$3:$A$5001,F$3,BD!$B$3:$B$5001,$A$519)))</f>
        <v/>
      </c>
      <c r="G526" s="207" t="str">
        <f>IF(G$3="","",IF(COUNTIFS(BD!$A$3:$A$5001,G$3,BD!$B$3:$B$5001,$A$519,BD!$J$3:$J$5001,"&lt;&gt;")=0,"",SUMIFS(BD!$J$3:$J$5001,BD!$A$3:$A$5001,G$3,BD!$B$3:$B$5001,$A$519)))</f>
        <v/>
      </c>
      <c r="H526" s="207" t="str">
        <f>IF(H$3="","",IF(COUNTIFS(BD!$A$3:$A$5001,H$3,BD!$B$3:$B$5001,$A$519,BD!$J$3:$J$5001,"&lt;&gt;")=0,"",SUMIFS(BD!$J$3:$J$5001,BD!$A$3:$A$5001,H$3,BD!$B$3:$B$5001,$A$519)))</f>
        <v/>
      </c>
      <c r="I526" s="207" t="str">
        <f>IF(I$3="","",IF(COUNTIFS(BD!$A$3:$A$5001,I$3,BD!$B$3:$B$5001,$A$519,BD!$J$3:$J$5001,"&lt;&gt;")=0,"",SUMIFS(BD!$J$3:$J$5001,BD!$A$3:$A$5001,I$3,BD!$B$3:$B$5001,$A$519)))</f>
        <v/>
      </c>
      <c r="J526" s="207" t="str">
        <f>IF(J$3="","",IF(COUNTIFS(BD!$A$3:$A$5001,J$3,BD!$B$3:$B$5001,$A$519,BD!$J$3:$J$5001,"&lt;&gt;")=0,"",SUMIFS(BD!$J$3:$J$5001,BD!$A$3:$A$5001,J$3,BD!$B$3:$B$5001,$A$519)))</f>
        <v/>
      </c>
      <c r="K526" s="207" t="str">
        <f>IF(K$3="","",IF(COUNTIFS(BD!$A$3:$A$5001,K$3,BD!$B$3:$B$5001,$A$519,BD!$J$3:$J$5001,"&lt;&gt;")=0,"",SUMIFS(BD!$J$3:$J$5001,BD!$A$3:$A$5001,K$3,BD!$B$3:$B$5001,$A$519)))</f>
        <v/>
      </c>
      <c r="L526" s="207" t="str">
        <f>IF(L$3="","",IF(COUNTIFS(BD!$A$3:$A$5001,L$3,BD!$B$3:$B$5001,$A$519,BD!$J$3:$J$5001,"&lt;&gt;")=0,"",SUMIFS(BD!$J$3:$J$5001,BD!$A$3:$A$5001,L$3,BD!$B$3:$B$5001,$A$519)))</f>
        <v/>
      </c>
      <c r="M526" s="207" t="str">
        <f>IF(M$3="","",IF(COUNTIFS(BD!$A$3:$A$5001,M$3,BD!$B$3:$B$5001,$A$519,BD!$J$3:$J$5001,"&lt;&gt;")=0,"",SUMIFS(BD!$J$3:$J$5001,BD!$A$3:$A$5001,M$3,BD!$B$3:$B$5001,$A$519)))</f>
        <v/>
      </c>
      <c r="N526" s="207" t="str">
        <f>IF(N$3="","",IF(COUNTIFS(BD!$A$3:$A$5001,N$3,BD!$B$3:$B$5001,$A$519,BD!$J$3:$J$5001,"&lt;&gt;")=0,"",SUMIFS(BD!$J$3:$J$5001,BD!$A$3:$A$5001,N$3,BD!$B$3:$B$5001,$A$519)))</f>
        <v/>
      </c>
      <c r="O526" s="207" t="str">
        <f>IF(O$3="","",IF(COUNTIFS(BD!$A$3:$A$5001,O$3,BD!$B$3:$B$5001,$A$519,BD!$J$3:$J$5001,"&lt;&gt;")=0,"",SUMIFS(BD!$J$3:$J$5001,BD!$A$3:$A$5001,O$3,BD!$B$3:$B$5001,$A$519)))</f>
        <v/>
      </c>
      <c r="P526" s="207" t="str">
        <f>IF(P$3="","",IF(COUNTIFS(BD!$A$3:$A$5001,P$3,BD!$B$3:$B$5001,$A$519,BD!$J$3:$J$5001,"&lt;&gt;")=0,"",SUMIFS(BD!$J$3:$J$5001,BD!$A$3:$A$5001,P$3,BD!$B$3:$B$5001,$A$519)))</f>
        <v/>
      </c>
      <c r="Q526" s="207" t="str">
        <f>IF(Q$3="","",IF(COUNTIFS(BD!$A$3:$A$5001,Q$3,BD!$B$3:$B$5001,$A$519,BD!$J$3:$J$5001,"&lt;&gt;")=0,"",SUMIFS(BD!$J$3:$J$5001,BD!$A$3:$A$5001,Q$3,BD!$B$3:$B$5001,$A$519)))</f>
        <v/>
      </c>
      <c r="R526" s="207" t="str">
        <f>IF(R$3="","",IF(COUNTIFS(BD!$A$3:$A$5001,R$3,BD!$B$3:$B$5001,$A$519,BD!$J$3:$J$5001,"&lt;&gt;")=0,"",SUMIFS(BD!$J$3:$J$5001,BD!$A$3:$A$5001,R$3,BD!$B$3:$B$5001,$A$519)))</f>
        <v/>
      </c>
      <c r="S526" s="207" t="str">
        <f>IF(S$3="","",IF(COUNTIFS(BD!$A$3:$A$5001,S$3,BD!$B$3:$B$5001,$A$519,BD!$J$3:$J$5001,"&lt;&gt;")=0,"",SUMIFS(BD!$J$3:$J$5001,BD!$A$3:$A$5001,S$3,BD!$B$3:$B$5001,$A$519)))</f>
        <v/>
      </c>
      <c r="T526" s="207" t="str">
        <f>IF(T$3="","",IF(COUNTIFS(BD!$A$3:$A$5001,T$3,BD!$B$3:$B$5001,$A$519,BD!$J$3:$J$5001,"&lt;&gt;")=0,"",SUMIFS(BD!$J$3:$J$5001,BD!$A$3:$A$5001,T$3,BD!$B$3:$B$5001,$A$519)))</f>
        <v/>
      </c>
      <c r="U526" s="207" t="str">
        <f>IF(U$3="","",IF(COUNTIFS(BD!$A$3:$A$5001,U$3,BD!$B$3:$B$5001,$A$519,BD!$J$3:$J$5001,"&lt;&gt;")=0,"",SUMIFS(BD!$J$3:$J$5001,BD!$A$3:$A$5001,U$3,BD!$B$3:$B$5001,$A$519)))</f>
        <v/>
      </c>
      <c r="V526" s="207" t="str">
        <f>IF(V$3="","",IF(COUNTIFS(BD!$A$3:$A$5001,V$3,BD!$B$3:$B$5001,$A$519,BD!$J$3:$J$5001,"&lt;&gt;")=0,"",SUMIFS(BD!$J$3:$J$5001,BD!$A$3:$A$5001,V$3,BD!$B$3:$B$5001,$A$519)))</f>
        <v/>
      </c>
      <c r="W526" s="207" t="str">
        <f>IF(W$3="","",IF(COUNTIFS(BD!$A$3:$A$5001,W$3,BD!$B$3:$B$5001,$A$519,BD!$J$3:$J$5001,"&lt;&gt;")=0,"",SUMIFS(BD!$J$3:$J$5001,BD!$A$3:$A$5001,W$3,BD!$B$3:$B$5001,$A$519)))</f>
        <v/>
      </c>
      <c r="X526" s="207" t="str">
        <f>IF(X$3="","",IF(COUNTIFS(BD!$A$3:$A$5001,X$3,BD!$B$3:$B$5001,$A$519,BD!$J$3:$J$5001,"&lt;&gt;")=0,"",SUMIFS(BD!$J$3:$J$5001,BD!$A$3:$A$5001,X$3,BD!$B$3:$B$5001,$A$519)))</f>
        <v/>
      </c>
      <c r="Y526" s="207" t="str">
        <f>IF(Y$3="","",IF(COUNTIFS(BD!$A$3:$A$5001,Y$3,BD!$B$3:$B$5001,$A$519,BD!$J$3:$J$5001,"&lt;&gt;")=0,"",SUMIFS(BD!$J$3:$J$5001,BD!$A$3:$A$5001,Y$3,BD!$B$3:$B$5001,$A$519)))</f>
        <v/>
      </c>
      <c r="Z526" s="207" t="str">
        <f>IF(Z$3="","",IF(COUNTIFS(BD!$A$3:$A$5001,Z$3,BD!$B$3:$B$5001,$A$519,BD!$J$3:$J$5001,"&lt;&gt;")=0,"",SUMIFS(BD!$J$3:$J$5001,BD!$A$3:$A$5001,Z$3,BD!$B$3:$B$5001,$A$519)))</f>
        <v/>
      </c>
      <c r="AA526" s="207" t="str">
        <f>IF(AA$3="","",IF(COUNTIFS(BD!$A$3:$A$5001,AA$3,BD!$B$3:$B$5001,$A$519,BD!$J$3:$J$5001,"&lt;&gt;")=0,"",SUMIFS(BD!$J$3:$J$5001,BD!$A$3:$A$5001,AA$3,BD!$B$3:$B$5001,$A$519)))</f>
        <v/>
      </c>
      <c r="AB526" s="207" t="str">
        <f>IF(AB$3="","",IF(COUNTIFS(BD!$A$3:$A$5001,AB$3,BD!$B$3:$B$5001,$A$519,BD!$J$3:$J$5001,"&lt;&gt;")=0,"",SUMIFS(BD!$J$3:$J$5001,BD!$A$3:$A$5001,AB$3,BD!$B$3:$B$5001,$A$519)))</f>
        <v/>
      </c>
      <c r="AC526" s="207" t="str">
        <f>IF(AC$3="","",IF(COUNTIFS(BD!$A$3:$A$5001,AC$3,BD!$B$3:$B$5001,$A$519,BD!$J$3:$J$5001,"&lt;&gt;")=0,"",SUMIFS(BD!$J$3:$J$5001,BD!$A$3:$A$5001,AC$3,BD!$B$3:$B$5001,$A$519)))</f>
        <v/>
      </c>
      <c r="AD526" s="207" t="str">
        <f>IF(AD$3="","",IF(COUNTIFS(BD!$A$3:$A$5001,AD$3,BD!$B$3:$B$5001,$A$519,BD!$J$3:$J$5001,"&lt;&gt;")=0,"",SUMIFS(BD!$J$3:$J$5001,BD!$A$3:$A$5001,AD$3,BD!$B$3:$B$5001,$A$519)))</f>
        <v/>
      </c>
      <c r="AE526" s="207" t="str">
        <f>IF(AE$3="","",IF(COUNTIFS(BD!$A$3:$A$5001,AE$3,BD!$B$3:$B$5001,$A$519,BD!$J$3:$J$5001,"&lt;&gt;")=0,"",SUMIFS(BD!$J$3:$J$5001,BD!$A$3:$A$5001,AE$3,BD!$B$3:$B$5001,$A$519)))</f>
        <v/>
      </c>
      <c r="AF526" s="207" t="str">
        <f>IF(AF$3="","",IF(COUNTIFS(BD!$A$3:$A$5001,AF$3,BD!$B$3:$B$5001,$A$519,BD!$J$3:$J$5001,"&lt;&gt;")=0,"",SUMIFS(BD!$J$3:$J$5001,BD!$A$3:$A$5001,AF$3,BD!$B$3:$B$5001,$A$519)))</f>
        <v/>
      </c>
      <c r="AG526" s="207" t="str">
        <f>IF(AG$3="","",IF(COUNTIFS(BD!$A$3:$A$5001,AG$3,BD!$B$3:$B$5001,$A$519,BD!$J$3:$J$5001,"&lt;&gt;")=0,"",SUMIFS(BD!$J$3:$J$5001,BD!$A$3:$A$5001,AG$3,BD!$B$3:$B$5001,$A$519)))</f>
        <v/>
      </c>
      <c r="AH526" s="207" t="str">
        <f>IF(AH$3="","",IF(COUNTIFS(BD!$A$3:$A$5001,AH$3,BD!$B$3:$B$5001,$A$519,BD!$J$3:$J$5001,"&lt;&gt;")=0,"",SUMIFS(BD!$J$3:$J$5001,BD!$A$3:$A$5001,AH$3,BD!$B$3:$B$5001,$A$519)))</f>
        <v/>
      </c>
      <c r="AI526" s="207" t="str">
        <f>IF(AI$3="","",IF(COUNTIFS(BD!$A$3:$A$5001,AI$3,BD!$B$3:$B$5001,$A$519,BD!$J$3:$J$5001,"&lt;&gt;")=0,"",SUMIFS(BD!$J$3:$J$5001,BD!$A$3:$A$5001,AI$3,BD!$B$3:$B$5001,$A$519)))</f>
        <v/>
      </c>
      <c r="AJ526" s="208" t="str">
        <f>IF(AJ$3="","",IF(COUNTIFS(BD!$A$3:$A$5001,AJ$3,BD!$B$3:$B$5001,$A$519,BD!$J$3:$J$5001,"&lt;&gt;")=0,"",SUMIFS(BD!$J$3:$J$5001,BD!$A$3:$A$5001,AJ$3,BD!$B$3:$B$5001,$A$519)))</f>
        <v/>
      </c>
      <c r="AK526" s="209" t="str">
        <f>IF(COUNT(F526:AJ526)=0,"",SUM(F526:AJ526))</f>
        <v/>
      </c>
    </row>
    <row r="527" ht="15.75" customHeight="1" hidden="1">
      <c r="A527" s="277"/>
      <c r="B527" s="268"/>
      <c r="C527" s="199" t="inlineStr">
        <is>
          <t xml:space="preserve">Caixas Expedidas</t>
        </is>
      </c>
      <c r="D527" s="200" t="str">
        <f>IFERROR(1/(1/INDEX(BD!$AF$31:$AZ$31,MATCH($A$519,BD!$AF$22:$AZ$22,0))),"")</f>
        <v/>
      </c>
      <c r="E527" s="201"/>
      <c r="F527" s="202" t="str">
        <f>IF(F$3="","",IF(COUNTIFS(BD!$A$3:$A$5001,F$3,BD!$B$3:$B$5001,$A$519,BD!$K$3:$K$5001,"&lt;&gt;")=0,"",SUMIFS(BD!$K$3:$K$5001,BD!$A$3:$A$5001,F$3,BD!$B$3:$B$5001,$A$519)))</f>
        <v/>
      </c>
      <c r="G527" s="203" t="str">
        <f>IF(G$3="","",IF(COUNTIFS(BD!$A$3:$A$5001,G$3,BD!$B$3:$B$5001,$A$519,BD!$K$3:$K$5001,"&lt;&gt;")=0,"",SUMIFS(BD!$K$3:$K$5001,BD!$A$3:$A$5001,G$3,BD!$B$3:$B$5001,$A$519)))</f>
        <v/>
      </c>
      <c r="H527" s="203" t="str">
        <f>IF(H$3="","",IF(COUNTIFS(BD!$A$3:$A$5001,H$3,BD!$B$3:$B$5001,$A$519,BD!$K$3:$K$5001,"&lt;&gt;")=0,"",SUMIFS(BD!$K$3:$K$5001,BD!$A$3:$A$5001,H$3,BD!$B$3:$B$5001,$A$519)))</f>
        <v/>
      </c>
      <c r="I527" s="203" t="str">
        <f>IF(I$3="","",IF(COUNTIFS(BD!$A$3:$A$5001,I$3,BD!$B$3:$B$5001,$A$519,BD!$K$3:$K$5001,"&lt;&gt;")=0,"",SUMIFS(BD!$K$3:$K$5001,BD!$A$3:$A$5001,I$3,BD!$B$3:$B$5001,$A$519)))</f>
        <v/>
      </c>
      <c r="J527" s="203" t="str">
        <f>IF(J$3="","",IF(COUNTIFS(BD!$A$3:$A$5001,J$3,BD!$B$3:$B$5001,$A$519,BD!$K$3:$K$5001,"&lt;&gt;")=0,"",SUMIFS(BD!$K$3:$K$5001,BD!$A$3:$A$5001,J$3,BD!$B$3:$B$5001,$A$519)))</f>
        <v/>
      </c>
      <c r="K527" s="203" t="str">
        <f>IF(K$3="","",IF(COUNTIFS(BD!$A$3:$A$5001,K$3,BD!$B$3:$B$5001,$A$519,BD!$K$3:$K$5001,"&lt;&gt;")=0,"",SUMIFS(BD!$K$3:$K$5001,BD!$A$3:$A$5001,K$3,BD!$B$3:$B$5001,$A$519)))</f>
        <v/>
      </c>
      <c r="L527" s="203" t="str">
        <f>IF(L$3="","",IF(COUNTIFS(BD!$A$3:$A$5001,L$3,BD!$B$3:$B$5001,$A$519,BD!$K$3:$K$5001,"&lt;&gt;")=0,"",SUMIFS(BD!$K$3:$K$5001,BD!$A$3:$A$5001,L$3,BD!$B$3:$B$5001,$A$519)))</f>
        <v/>
      </c>
      <c r="M527" s="203" t="str">
        <f>IF(M$3="","",IF(COUNTIFS(BD!$A$3:$A$5001,M$3,BD!$B$3:$B$5001,$A$519,BD!$K$3:$K$5001,"&lt;&gt;")=0,"",SUMIFS(BD!$K$3:$K$5001,BD!$A$3:$A$5001,M$3,BD!$B$3:$B$5001,$A$519)))</f>
        <v/>
      </c>
      <c r="N527" s="203" t="str">
        <f>IF(N$3="","",IF(COUNTIFS(BD!$A$3:$A$5001,N$3,BD!$B$3:$B$5001,$A$519,BD!$K$3:$K$5001,"&lt;&gt;")=0,"",SUMIFS(BD!$K$3:$K$5001,BD!$A$3:$A$5001,N$3,BD!$B$3:$B$5001,$A$519)))</f>
        <v/>
      </c>
      <c r="O527" s="203" t="str">
        <f>IF(O$3="","",IF(COUNTIFS(BD!$A$3:$A$5001,O$3,BD!$B$3:$B$5001,$A$519,BD!$K$3:$K$5001,"&lt;&gt;")=0,"",SUMIFS(BD!$K$3:$K$5001,BD!$A$3:$A$5001,O$3,BD!$B$3:$B$5001,$A$519)))</f>
        <v/>
      </c>
      <c r="P527" s="203" t="str">
        <f>IF(P$3="","",IF(COUNTIFS(BD!$A$3:$A$5001,P$3,BD!$B$3:$B$5001,$A$519,BD!$K$3:$K$5001,"&lt;&gt;")=0,"",SUMIFS(BD!$K$3:$K$5001,BD!$A$3:$A$5001,P$3,BD!$B$3:$B$5001,$A$519)))</f>
        <v/>
      </c>
      <c r="Q527" s="203" t="str">
        <f>IF(Q$3="","",IF(COUNTIFS(BD!$A$3:$A$5001,Q$3,BD!$B$3:$B$5001,$A$519,BD!$K$3:$K$5001,"&lt;&gt;")=0,"",SUMIFS(BD!$K$3:$K$5001,BD!$A$3:$A$5001,Q$3,BD!$B$3:$B$5001,$A$519)))</f>
        <v/>
      </c>
      <c r="R527" s="203" t="str">
        <f>IF(R$3="","",IF(COUNTIFS(BD!$A$3:$A$5001,R$3,BD!$B$3:$B$5001,$A$519,BD!$K$3:$K$5001,"&lt;&gt;")=0,"",SUMIFS(BD!$K$3:$K$5001,BD!$A$3:$A$5001,R$3,BD!$B$3:$B$5001,$A$519)))</f>
        <v/>
      </c>
      <c r="S527" s="203" t="str">
        <f>IF(S$3="","",IF(COUNTIFS(BD!$A$3:$A$5001,S$3,BD!$B$3:$B$5001,$A$519,BD!$K$3:$K$5001,"&lt;&gt;")=0,"",SUMIFS(BD!$K$3:$K$5001,BD!$A$3:$A$5001,S$3,BD!$B$3:$B$5001,$A$519)))</f>
        <v/>
      </c>
      <c r="T527" s="203" t="str">
        <f>IF(T$3="","",IF(COUNTIFS(BD!$A$3:$A$5001,T$3,BD!$B$3:$B$5001,$A$519,BD!$K$3:$K$5001,"&lt;&gt;")=0,"",SUMIFS(BD!$K$3:$K$5001,BD!$A$3:$A$5001,T$3,BD!$B$3:$B$5001,$A$519)))</f>
        <v/>
      </c>
      <c r="U527" s="203" t="str">
        <f>IF(U$3="","",IF(COUNTIFS(BD!$A$3:$A$5001,U$3,BD!$B$3:$B$5001,$A$519,BD!$K$3:$K$5001,"&lt;&gt;")=0,"",SUMIFS(BD!$K$3:$K$5001,BD!$A$3:$A$5001,U$3,BD!$B$3:$B$5001,$A$519)))</f>
        <v/>
      </c>
      <c r="V527" s="203" t="str">
        <f>IF(V$3="","",IF(COUNTIFS(BD!$A$3:$A$5001,V$3,BD!$B$3:$B$5001,$A$519,BD!$K$3:$K$5001,"&lt;&gt;")=0,"",SUMIFS(BD!$K$3:$K$5001,BD!$A$3:$A$5001,V$3,BD!$B$3:$B$5001,$A$519)))</f>
        <v/>
      </c>
      <c r="W527" s="203" t="str">
        <f>IF(W$3="","",IF(COUNTIFS(BD!$A$3:$A$5001,W$3,BD!$B$3:$B$5001,$A$519,BD!$K$3:$K$5001,"&lt;&gt;")=0,"",SUMIFS(BD!$K$3:$K$5001,BD!$A$3:$A$5001,W$3,BD!$B$3:$B$5001,$A$519)))</f>
        <v/>
      </c>
      <c r="X527" s="203" t="str">
        <f>IF(X$3="","",IF(COUNTIFS(BD!$A$3:$A$5001,X$3,BD!$B$3:$B$5001,$A$519,BD!$K$3:$K$5001,"&lt;&gt;")=0,"",SUMIFS(BD!$K$3:$K$5001,BD!$A$3:$A$5001,X$3,BD!$B$3:$B$5001,$A$519)))</f>
        <v/>
      </c>
      <c r="Y527" s="203" t="str">
        <f>IF(Y$3="","",IF(COUNTIFS(BD!$A$3:$A$5001,Y$3,BD!$B$3:$B$5001,$A$519,BD!$K$3:$K$5001,"&lt;&gt;")=0,"",SUMIFS(BD!$K$3:$K$5001,BD!$A$3:$A$5001,Y$3,BD!$B$3:$B$5001,$A$519)))</f>
        <v/>
      </c>
      <c r="Z527" s="203" t="str">
        <f>IF(Z$3="","",IF(COUNTIFS(BD!$A$3:$A$5001,Z$3,BD!$B$3:$B$5001,$A$519,BD!$K$3:$K$5001,"&lt;&gt;")=0,"",SUMIFS(BD!$K$3:$K$5001,BD!$A$3:$A$5001,Z$3,BD!$B$3:$B$5001,$A$519)))</f>
        <v/>
      </c>
      <c r="AA527" s="203" t="str">
        <f>IF(AA$3="","",IF(COUNTIFS(BD!$A$3:$A$5001,AA$3,BD!$B$3:$B$5001,$A$519,BD!$K$3:$K$5001,"&lt;&gt;")=0,"",SUMIFS(BD!$K$3:$K$5001,BD!$A$3:$A$5001,AA$3,BD!$B$3:$B$5001,$A$519)))</f>
        <v/>
      </c>
      <c r="AB527" s="203" t="str">
        <f>IF(AB$3="","",IF(COUNTIFS(BD!$A$3:$A$5001,AB$3,BD!$B$3:$B$5001,$A$519,BD!$K$3:$K$5001,"&lt;&gt;")=0,"",SUMIFS(BD!$K$3:$K$5001,BD!$A$3:$A$5001,AB$3,BD!$B$3:$B$5001,$A$519)))</f>
        <v/>
      </c>
      <c r="AC527" s="203" t="str">
        <f>IF(AC$3="","",IF(COUNTIFS(BD!$A$3:$A$5001,AC$3,BD!$B$3:$B$5001,$A$519,BD!$K$3:$K$5001,"&lt;&gt;")=0,"",SUMIFS(BD!$K$3:$K$5001,BD!$A$3:$A$5001,AC$3,BD!$B$3:$B$5001,$A$519)))</f>
        <v/>
      </c>
      <c r="AD527" s="203" t="str">
        <f>IF(AD$3="","",IF(COUNTIFS(BD!$A$3:$A$5001,AD$3,BD!$B$3:$B$5001,$A$519,BD!$K$3:$K$5001,"&lt;&gt;")=0,"",SUMIFS(BD!$K$3:$K$5001,BD!$A$3:$A$5001,AD$3,BD!$B$3:$B$5001,$A$519)))</f>
        <v/>
      </c>
      <c r="AE527" s="203" t="str">
        <f>IF(AE$3="","",IF(COUNTIFS(BD!$A$3:$A$5001,AE$3,BD!$B$3:$B$5001,$A$519,BD!$K$3:$K$5001,"&lt;&gt;")=0,"",SUMIFS(BD!$K$3:$K$5001,BD!$A$3:$A$5001,AE$3,BD!$B$3:$B$5001,$A$519)))</f>
        <v/>
      </c>
      <c r="AF527" s="203" t="str">
        <f>IF(AF$3="","",IF(COUNTIFS(BD!$A$3:$A$5001,AF$3,BD!$B$3:$B$5001,$A$519,BD!$K$3:$K$5001,"&lt;&gt;")=0,"",SUMIFS(BD!$K$3:$K$5001,BD!$A$3:$A$5001,AF$3,BD!$B$3:$B$5001,$A$519)))</f>
        <v/>
      </c>
      <c r="AG527" s="203" t="str">
        <f>IF(AG$3="","",IF(COUNTIFS(BD!$A$3:$A$5001,AG$3,BD!$B$3:$B$5001,$A$519,BD!$K$3:$K$5001,"&lt;&gt;")=0,"",SUMIFS(BD!$K$3:$K$5001,BD!$A$3:$A$5001,AG$3,BD!$B$3:$B$5001,$A$519)))</f>
        <v/>
      </c>
      <c r="AH527" s="203" t="str">
        <f>IF(AH$3="","",IF(COUNTIFS(BD!$A$3:$A$5001,AH$3,BD!$B$3:$B$5001,$A$519,BD!$K$3:$K$5001,"&lt;&gt;")=0,"",SUMIFS(BD!$K$3:$K$5001,BD!$A$3:$A$5001,AH$3,BD!$B$3:$B$5001,$A$519)))</f>
        <v/>
      </c>
      <c r="AI527" s="203" t="str">
        <f>IF(AI$3="","",IF(COUNTIFS(BD!$A$3:$A$5001,AI$3,BD!$B$3:$B$5001,$A$519,BD!$K$3:$K$5001,"&lt;&gt;")=0,"",SUMIFS(BD!$K$3:$K$5001,BD!$A$3:$A$5001,AI$3,BD!$B$3:$B$5001,$A$519)))</f>
        <v/>
      </c>
      <c r="AJ527" s="204" t="str">
        <f>IF(AJ$3="","",IF(COUNTIFS(BD!$A$3:$A$5001,AJ$3,BD!$B$3:$B$5001,$A$519,BD!$K$3:$K$5001,"&lt;&gt;")=0,"",SUMIFS(BD!$K$3:$K$5001,BD!$A$3:$A$5001,AJ$3,BD!$B$3:$B$5001,$A$519)))</f>
        <v/>
      </c>
      <c r="AK527" s="205" t="str">
        <f>IF(COUNT(F527:AJ527)=0,"",SUM(F527:AJ527))</f>
        <v/>
      </c>
    </row>
    <row r="528" ht="15.75" customHeight="1" hidden="1">
      <c r="A528" s="277"/>
      <c r="B528" s="268"/>
      <c r="C528" s="199" t="inlineStr">
        <is>
          <t xml:space="preserve">Pedidos Faturados</t>
        </is>
      </c>
      <c r="D528" s="200" t="str">
        <f>IFERROR(1/(1/INDEX(BD!$AF$32:$AZ$32,MATCH($A$519,BD!$AF$22:$AZ$22,0))),"")</f>
        <v/>
      </c>
      <c r="E528" s="201"/>
      <c r="F528" s="202" t="str">
        <f>IF(F$3="","",IF(COUNTIFS(BD!$A$3:$A$5001,F$3,BD!$B$3:$B$5001,$A$519,BD!$L$3:$L$5001,"&lt;&gt;")=0,"",SUMIFS(BD!$L$3:$L$5001,BD!$A$3:$A$5001,F$3,BD!$B$3:$B$5001,$A$519)))</f>
        <v/>
      </c>
      <c r="G528" s="203" t="str">
        <f>IF(G$3="","",IF(COUNTIFS(BD!$A$3:$A$5001,G$3,BD!$B$3:$B$5001,$A$519,BD!$L$3:$L$5001,"&lt;&gt;")=0,"",SUMIFS(BD!$L$3:$L$5001,BD!$A$3:$A$5001,G$3,BD!$B$3:$B$5001,$A$519)))</f>
        <v/>
      </c>
      <c r="H528" s="203" t="str">
        <f>IF(H$3="","",IF(COUNTIFS(BD!$A$3:$A$5001,H$3,BD!$B$3:$B$5001,$A$519,BD!$L$3:$L$5001,"&lt;&gt;")=0,"",SUMIFS(BD!$L$3:$L$5001,BD!$A$3:$A$5001,H$3,BD!$B$3:$B$5001,$A$519)))</f>
        <v/>
      </c>
      <c r="I528" s="203" t="str">
        <f>IF(I$3="","",IF(COUNTIFS(BD!$A$3:$A$5001,I$3,BD!$B$3:$B$5001,$A$519,BD!$L$3:$L$5001,"&lt;&gt;")=0,"",SUMIFS(BD!$L$3:$L$5001,BD!$A$3:$A$5001,I$3,BD!$B$3:$B$5001,$A$519)))</f>
        <v/>
      </c>
      <c r="J528" s="203" t="str">
        <f>IF(J$3="","",IF(COUNTIFS(BD!$A$3:$A$5001,J$3,BD!$B$3:$B$5001,$A$519,BD!$L$3:$L$5001,"&lt;&gt;")=0,"",SUMIFS(BD!$L$3:$L$5001,BD!$A$3:$A$5001,J$3,BD!$B$3:$B$5001,$A$519)))</f>
        <v/>
      </c>
      <c r="K528" s="203" t="str">
        <f>IF(K$3="","",IF(COUNTIFS(BD!$A$3:$A$5001,K$3,BD!$B$3:$B$5001,$A$519,BD!$L$3:$L$5001,"&lt;&gt;")=0,"",SUMIFS(BD!$L$3:$L$5001,BD!$A$3:$A$5001,K$3,BD!$B$3:$B$5001,$A$519)))</f>
        <v/>
      </c>
      <c r="L528" s="203" t="str">
        <f>IF(L$3="","",IF(COUNTIFS(BD!$A$3:$A$5001,L$3,BD!$B$3:$B$5001,$A$519,BD!$L$3:$L$5001,"&lt;&gt;")=0,"",SUMIFS(BD!$L$3:$L$5001,BD!$A$3:$A$5001,L$3,BD!$B$3:$B$5001,$A$519)))</f>
        <v/>
      </c>
      <c r="M528" s="203" t="str">
        <f>IF(M$3="","",IF(COUNTIFS(BD!$A$3:$A$5001,M$3,BD!$B$3:$B$5001,$A$519,BD!$L$3:$L$5001,"&lt;&gt;")=0,"",SUMIFS(BD!$L$3:$L$5001,BD!$A$3:$A$5001,M$3,BD!$B$3:$B$5001,$A$519)))</f>
        <v/>
      </c>
      <c r="N528" s="203" t="str">
        <f>IF(N$3="","",IF(COUNTIFS(BD!$A$3:$A$5001,N$3,BD!$B$3:$B$5001,$A$519,BD!$L$3:$L$5001,"&lt;&gt;")=0,"",SUMIFS(BD!$L$3:$L$5001,BD!$A$3:$A$5001,N$3,BD!$B$3:$B$5001,$A$519)))</f>
        <v/>
      </c>
      <c r="O528" s="203" t="str">
        <f>IF(O$3="","",IF(COUNTIFS(BD!$A$3:$A$5001,O$3,BD!$B$3:$B$5001,$A$519,BD!$L$3:$L$5001,"&lt;&gt;")=0,"",SUMIFS(BD!$L$3:$L$5001,BD!$A$3:$A$5001,O$3,BD!$B$3:$B$5001,$A$519)))</f>
        <v/>
      </c>
      <c r="P528" s="203" t="str">
        <f>IF(P$3="","",IF(COUNTIFS(BD!$A$3:$A$5001,P$3,BD!$B$3:$B$5001,$A$519,BD!$L$3:$L$5001,"&lt;&gt;")=0,"",SUMIFS(BD!$L$3:$L$5001,BD!$A$3:$A$5001,P$3,BD!$B$3:$B$5001,$A$519)))</f>
        <v/>
      </c>
      <c r="Q528" s="203" t="str">
        <f>IF(Q$3="","",IF(COUNTIFS(BD!$A$3:$A$5001,Q$3,BD!$B$3:$B$5001,$A$519,BD!$L$3:$L$5001,"&lt;&gt;")=0,"",SUMIFS(BD!$L$3:$L$5001,BD!$A$3:$A$5001,Q$3,BD!$B$3:$B$5001,$A$519)))</f>
        <v/>
      </c>
      <c r="R528" s="203" t="str">
        <f>IF(R$3="","",IF(COUNTIFS(BD!$A$3:$A$5001,R$3,BD!$B$3:$B$5001,$A$519,BD!$L$3:$L$5001,"&lt;&gt;")=0,"",SUMIFS(BD!$L$3:$L$5001,BD!$A$3:$A$5001,R$3,BD!$B$3:$B$5001,$A$519)))</f>
        <v/>
      </c>
      <c r="S528" s="203" t="str">
        <f>IF(S$3="","",IF(COUNTIFS(BD!$A$3:$A$5001,S$3,BD!$B$3:$B$5001,$A$519,BD!$L$3:$L$5001,"&lt;&gt;")=0,"",SUMIFS(BD!$L$3:$L$5001,BD!$A$3:$A$5001,S$3,BD!$B$3:$B$5001,$A$519)))</f>
        <v/>
      </c>
      <c r="T528" s="203" t="str">
        <f>IF(T$3="","",IF(COUNTIFS(BD!$A$3:$A$5001,T$3,BD!$B$3:$B$5001,$A$519,BD!$L$3:$L$5001,"&lt;&gt;")=0,"",SUMIFS(BD!$L$3:$L$5001,BD!$A$3:$A$5001,T$3,BD!$B$3:$B$5001,$A$519)))</f>
        <v/>
      </c>
      <c r="U528" s="203" t="str">
        <f>IF(U$3="","",IF(COUNTIFS(BD!$A$3:$A$5001,U$3,BD!$B$3:$B$5001,$A$519,BD!$L$3:$L$5001,"&lt;&gt;")=0,"",SUMIFS(BD!$L$3:$L$5001,BD!$A$3:$A$5001,U$3,BD!$B$3:$B$5001,$A$519)))</f>
        <v/>
      </c>
      <c r="V528" s="203" t="str">
        <f>IF(V$3="","",IF(COUNTIFS(BD!$A$3:$A$5001,V$3,BD!$B$3:$B$5001,$A$519,BD!$L$3:$L$5001,"&lt;&gt;")=0,"",SUMIFS(BD!$L$3:$L$5001,BD!$A$3:$A$5001,V$3,BD!$B$3:$B$5001,$A$519)))</f>
        <v/>
      </c>
      <c r="W528" s="203" t="str">
        <f>IF(W$3="","",IF(COUNTIFS(BD!$A$3:$A$5001,W$3,BD!$B$3:$B$5001,$A$519,BD!$L$3:$L$5001,"&lt;&gt;")=0,"",SUMIFS(BD!$L$3:$L$5001,BD!$A$3:$A$5001,W$3,BD!$B$3:$B$5001,$A$519)))</f>
        <v/>
      </c>
      <c r="X528" s="203" t="str">
        <f>IF(X$3="","",IF(COUNTIFS(BD!$A$3:$A$5001,X$3,BD!$B$3:$B$5001,$A$519,BD!$L$3:$L$5001,"&lt;&gt;")=0,"",SUMIFS(BD!$L$3:$L$5001,BD!$A$3:$A$5001,X$3,BD!$B$3:$B$5001,$A$519)))</f>
        <v/>
      </c>
      <c r="Y528" s="203" t="str">
        <f>IF(Y$3="","",IF(COUNTIFS(BD!$A$3:$A$5001,Y$3,BD!$B$3:$B$5001,$A$519,BD!$L$3:$L$5001,"&lt;&gt;")=0,"",SUMIFS(BD!$L$3:$L$5001,BD!$A$3:$A$5001,Y$3,BD!$B$3:$B$5001,$A$519)))</f>
        <v/>
      </c>
      <c r="Z528" s="203" t="str">
        <f>IF(Z$3="","",IF(COUNTIFS(BD!$A$3:$A$5001,Z$3,BD!$B$3:$B$5001,$A$519,BD!$L$3:$L$5001,"&lt;&gt;")=0,"",SUMIFS(BD!$L$3:$L$5001,BD!$A$3:$A$5001,Z$3,BD!$B$3:$B$5001,$A$519)))</f>
        <v/>
      </c>
      <c r="AA528" s="203" t="str">
        <f>IF(AA$3="","",IF(COUNTIFS(BD!$A$3:$A$5001,AA$3,BD!$B$3:$B$5001,$A$519,BD!$L$3:$L$5001,"&lt;&gt;")=0,"",SUMIFS(BD!$L$3:$L$5001,BD!$A$3:$A$5001,AA$3,BD!$B$3:$B$5001,$A$519)))</f>
        <v/>
      </c>
      <c r="AB528" s="203" t="str">
        <f>IF(AB$3="","",IF(COUNTIFS(BD!$A$3:$A$5001,AB$3,BD!$B$3:$B$5001,$A$519,BD!$L$3:$L$5001,"&lt;&gt;")=0,"",SUMIFS(BD!$L$3:$L$5001,BD!$A$3:$A$5001,AB$3,BD!$B$3:$B$5001,$A$519)))</f>
        <v/>
      </c>
      <c r="AC528" s="203" t="str">
        <f>IF(AC$3="","",IF(COUNTIFS(BD!$A$3:$A$5001,AC$3,BD!$B$3:$B$5001,$A$519,BD!$L$3:$L$5001,"&lt;&gt;")=0,"",SUMIFS(BD!$L$3:$L$5001,BD!$A$3:$A$5001,AC$3,BD!$B$3:$B$5001,$A$519)))</f>
        <v/>
      </c>
      <c r="AD528" s="203" t="str">
        <f>IF(AD$3="","",IF(COUNTIFS(BD!$A$3:$A$5001,AD$3,BD!$B$3:$B$5001,$A$519,BD!$L$3:$L$5001,"&lt;&gt;")=0,"",SUMIFS(BD!$L$3:$L$5001,BD!$A$3:$A$5001,AD$3,BD!$B$3:$B$5001,$A$519)))</f>
        <v/>
      </c>
      <c r="AE528" s="203" t="str">
        <f>IF(AE$3="","",IF(COUNTIFS(BD!$A$3:$A$5001,AE$3,BD!$B$3:$B$5001,$A$519,BD!$L$3:$L$5001,"&lt;&gt;")=0,"",SUMIFS(BD!$L$3:$L$5001,BD!$A$3:$A$5001,AE$3,BD!$B$3:$B$5001,$A$519)))</f>
        <v/>
      </c>
      <c r="AF528" s="203" t="str">
        <f>IF(AF$3="","",IF(COUNTIFS(BD!$A$3:$A$5001,AF$3,BD!$B$3:$B$5001,$A$519,BD!$L$3:$L$5001,"&lt;&gt;")=0,"",SUMIFS(BD!$L$3:$L$5001,BD!$A$3:$A$5001,AF$3,BD!$B$3:$B$5001,$A$519)))</f>
        <v/>
      </c>
      <c r="AG528" s="203" t="str">
        <f>IF(AG$3="","",IF(COUNTIFS(BD!$A$3:$A$5001,AG$3,BD!$B$3:$B$5001,$A$519,BD!$L$3:$L$5001,"&lt;&gt;")=0,"",SUMIFS(BD!$L$3:$L$5001,BD!$A$3:$A$5001,AG$3,BD!$B$3:$B$5001,$A$519)))</f>
        <v/>
      </c>
      <c r="AH528" s="203" t="str">
        <f>IF(AH$3="","",IF(COUNTIFS(BD!$A$3:$A$5001,AH$3,BD!$B$3:$B$5001,$A$519,BD!$L$3:$L$5001,"&lt;&gt;")=0,"",SUMIFS(BD!$L$3:$L$5001,BD!$A$3:$A$5001,AH$3,BD!$B$3:$B$5001,$A$519)))</f>
        <v/>
      </c>
      <c r="AI528" s="203" t="str">
        <f>IF(AI$3="","",IF(COUNTIFS(BD!$A$3:$A$5001,AI$3,BD!$B$3:$B$5001,$A$519,BD!$L$3:$L$5001,"&lt;&gt;")=0,"",SUMIFS(BD!$L$3:$L$5001,BD!$A$3:$A$5001,AI$3,BD!$B$3:$B$5001,$A$519)))</f>
        <v/>
      </c>
      <c r="AJ528" s="204" t="str">
        <f>IF(AJ$3="","",IF(COUNTIFS(BD!$A$3:$A$5001,AJ$3,BD!$B$3:$B$5001,$A$519,BD!$L$3:$L$5001,"&lt;&gt;")=0,"",SUMIFS(BD!$L$3:$L$5001,BD!$A$3:$A$5001,AJ$3,BD!$B$3:$B$5001,$A$519)))</f>
        <v/>
      </c>
      <c r="AK528" s="205" t="str">
        <f>IF(COUNT(F528:AJ528)=0,"",SUM(F528:AJ528))</f>
        <v/>
      </c>
    </row>
    <row r="529" ht="15.75" customHeight="1" hidden="1">
      <c r="A529" s="277"/>
      <c r="B529" s="269"/>
      <c r="C529" s="210" t="inlineStr">
        <is>
          <t xml:space="preserve">Bags Expedidos</t>
        </is>
      </c>
      <c r="D529" s="211" t="str">
        <f>IFERROR(1/(1/INDEX(BD!$AF$33:$AZ$33,MATCH($A$519,BD!$AF$22:$AZ$22,0))),"")</f>
        <v/>
      </c>
      <c r="E529" s="212"/>
      <c r="F529" s="213" t="str">
        <f>IF(F$3="","",IF(COUNTIFS(BD!$A$3:$A$5001,F$3,BD!$B$3:$B$5001,$A$519,BD!$M$3:$M$5001,"&lt;&gt;")=0,"",SUMIFS(BD!$M$3:$M$5001,BD!$A$3:$A$5001,F$3,BD!$B$3:$B$5001,$A$519)))</f>
        <v/>
      </c>
      <c r="G529" s="214" t="str">
        <f>IF(G$3="","",IF(COUNTIFS(BD!$A$3:$A$5001,G$3,BD!$B$3:$B$5001,$A$519,BD!$M$3:$M$5001,"&lt;&gt;")=0,"",SUMIFS(BD!$M$3:$M$5001,BD!$A$3:$A$5001,G$3,BD!$B$3:$B$5001,$A$519)))</f>
        <v/>
      </c>
      <c r="H529" s="214" t="str">
        <f>IF(H$3="","",IF(COUNTIFS(BD!$A$3:$A$5001,H$3,BD!$B$3:$B$5001,$A$519,BD!$M$3:$M$5001,"&lt;&gt;")=0,"",SUMIFS(BD!$M$3:$M$5001,BD!$A$3:$A$5001,H$3,BD!$B$3:$B$5001,$A$519)))</f>
        <v/>
      </c>
      <c r="I529" s="214" t="str">
        <f>IF(I$3="","",IF(COUNTIFS(BD!$A$3:$A$5001,I$3,BD!$B$3:$B$5001,$A$519,BD!$M$3:$M$5001,"&lt;&gt;")=0,"",SUMIFS(BD!$M$3:$M$5001,BD!$A$3:$A$5001,I$3,BD!$B$3:$B$5001,$A$519)))</f>
        <v/>
      </c>
      <c r="J529" s="214" t="str">
        <f>IF(J$3="","",IF(COUNTIFS(BD!$A$3:$A$5001,J$3,BD!$B$3:$B$5001,$A$519,BD!$M$3:$M$5001,"&lt;&gt;")=0,"",SUMIFS(BD!$M$3:$M$5001,BD!$A$3:$A$5001,J$3,BD!$B$3:$B$5001,$A$519)))</f>
        <v/>
      </c>
      <c r="K529" s="214" t="str">
        <f>IF(K$3="","",IF(COUNTIFS(BD!$A$3:$A$5001,K$3,BD!$B$3:$B$5001,$A$519,BD!$M$3:$M$5001,"&lt;&gt;")=0,"",SUMIFS(BD!$M$3:$M$5001,BD!$A$3:$A$5001,K$3,BD!$B$3:$B$5001,$A$519)))</f>
        <v/>
      </c>
      <c r="L529" s="214" t="str">
        <f>IF(L$3="","",IF(COUNTIFS(BD!$A$3:$A$5001,L$3,BD!$B$3:$B$5001,$A$519,BD!$M$3:$M$5001,"&lt;&gt;")=0,"",SUMIFS(BD!$M$3:$M$5001,BD!$A$3:$A$5001,L$3,BD!$B$3:$B$5001,$A$519)))</f>
        <v/>
      </c>
      <c r="M529" s="214" t="str">
        <f>IF(M$3="","",IF(COUNTIFS(BD!$A$3:$A$5001,M$3,BD!$B$3:$B$5001,$A$519,BD!$M$3:$M$5001,"&lt;&gt;")=0,"",SUMIFS(BD!$M$3:$M$5001,BD!$A$3:$A$5001,M$3,BD!$B$3:$B$5001,$A$519)))</f>
        <v/>
      </c>
      <c r="N529" s="214" t="str">
        <f>IF(N$3="","",IF(COUNTIFS(BD!$A$3:$A$5001,N$3,BD!$B$3:$B$5001,$A$519,BD!$M$3:$M$5001,"&lt;&gt;")=0,"",SUMIFS(BD!$M$3:$M$5001,BD!$A$3:$A$5001,N$3,BD!$B$3:$B$5001,$A$519)))</f>
        <v/>
      </c>
      <c r="O529" s="214" t="str">
        <f>IF(O$3="","",IF(COUNTIFS(BD!$A$3:$A$5001,O$3,BD!$B$3:$B$5001,$A$519,BD!$M$3:$M$5001,"&lt;&gt;")=0,"",SUMIFS(BD!$M$3:$M$5001,BD!$A$3:$A$5001,O$3,BD!$B$3:$B$5001,$A$519)))</f>
        <v/>
      </c>
      <c r="P529" s="214" t="str">
        <f>IF(P$3="","",IF(COUNTIFS(BD!$A$3:$A$5001,P$3,BD!$B$3:$B$5001,$A$519,BD!$M$3:$M$5001,"&lt;&gt;")=0,"",SUMIFS(BD!$M$3:$M$5001,BD!$A$3:$A$5001,P$3,BD!$B$3:$B$5001,$A$519)))</f>
        <v/>
      </c>
      <c r="Q529" s="214" t="str">
        <f>IF(Q$3="","",IF(COUNTIFS(BD!$A$3:$A$5001,Q$3,BD!$B$3:$B$5001,$A$519,BD!$M$3:$M$5001,"&lt;&gt;")=0,"",SUMIFS(BD!$M$3:$M$5001,BD!$A$3:$A$5001,Q$3,BD!$B$3:$B$5001,$A$519)))</f>
        <v/>
      </c>
      <c r="R529" s="214" t="str">
        <f>IF(R$3="","",IF(COUNTIFS(BD!$A$3:$A$5001,R$3,BD!$B$3:$B$5001,$A$519,BD!$M$3:$M$5001,"&lt;&gt;")=0,"",SUMIFS(BD!$M$3:$M$5001,BD!$A$3:$A$5001,R$3,BD!$B$3:$B$5001,$A$519)))</f>
        <v/>
      </c>
      <c r="S529" s="214" t="str">
        <f>IF(S$3="","",IF(COUNTIFS(BD!$A$3:$A$5001,S$3,BD!$B$3:$B$5001,$A$519,BD!$M$3:$M$5001,"&lt;&gt;")=0,"",SUMIFS(BD!$M$3:$M$5001,BD!$A$3:$A$5001,S$3,BD!$B$3:$B$5001,$A$519)))</f>
        <v/>
      </c>
      <c r="T529" s="214" t="str">
        <f>IF(T$3="","",IF(COUNTIFS(BD!$A$3:$A$5001,T$3,BD!$B$3:$B$5001,$A$519,BD!$M$3:$M$5001,"&lt;&gt;")=0,"",SUMIFS(BD!$M$3:$M$5001,BD!$A$3:$A$5001,T$3,BD!$B$3:$B$5001,$A$519)))</f>
        <v/>
      </c>
      <c r="U529" s="214" t="str">
        <f>IF(U$3="","",IF(COUNTIFS(BD!$A$3:$A$5001,U$3,BD!$B$3:$B$5001,$A$519,BD!$M$3:$M$5001,"&lt;&gt;")=0,"",SUMIFS(BD!$M$3:$M$5001,BD!$A$3:$A$5001,U$3,BD!$B$3:$B$5001,$A$519)))</f>
        <v/>
      </c>
      <c r="V529" s="214" t="str">
        <f>IF(V$3="","",IF(COUNTIFS(BD!$A$3:$A$5001,V$3,BD!$B$3:$B$5001,$A$519,BD!$M$3:$M$5001,"&lt;&gt;")=0,"",SUMIFS(BD!$M$3:$M$5001,BD!$A$3:$A$5001,V$3,BD!$B$3:$B$5001,$A$519)))</f>
        <v/>
      </c>
      <c r="W529" s="214" t="str">
        <f>IF(W$3="","",IF(COUNTIFS(BD!$A$3:$A$5001,W$3,BD!$B$3:$B$5001,$A$519,BD!$M$3:$M$5001,"&lt;&gt;")=0,"",SUMIFS(BD!$M$3:$M$5001,BD!$A$3:$A$5001,W$3,BD!$B$3:$B$5001,$A$519)))</f>
        <v/>
      </c>
      <c r="X529" s="214" t="str">
        <f>IF(X$3="","",IF(COUNTIFS(BD!$A$3:$A$5001,X$3,BD!$B$3:$B$5001,$A$519,BD!$M$3:$M$5001,"&lt;&gt;")=0,"",SUMIFS(BD!$M$3:$M$5001,BD!$A$3:$A$5001,X$3,BD!$B$3:$B$5001,$A$519)))</f>
        <v/>
      </c>
      <c r="Y529" s="214" t="str">
        <f>IF(Y$3="","",IF(COUNTIFS(BD!$A$3:$A$5001,Y$3,BD!$B$3:$B$5001,$A$519,BD!$M$3:$M$5001,"&lt;&gt;")=0,"",SUMIFS(BD!$M$3:$M$5001,BD!$A$3:$A$5001,Y$3,BD!$B$3:$B$5001,$A$519)))</f>
        <v/>
      </c>
      <c r="Z529" s="214" t="str">
        <f>IF(Z$3="","",IF(COUNTIFS(BD!$A$3:$A$5001,Z$3,BD!$B$3:$B$5001,$A$519,BD!$M$3:$M$5001,"&lt;&gt;")=0,"",SUMIFS(BD!$M$3:$M$5001,BD!$A$3:$A$5001,Z$3,BD!$B$3:$B$5001,$A$519)))</f>
        <v/>
      </c>
      <c r="AA529" s="214" t="str">
        <f>IF(AA$3="","",IF(COUNTIFS(BD!$A$3:$A$5001,AA$3,BD!$B$3:$B$5001,$A$519,BD!$M$3:$M$5001,"&lt;&gt;")=0,"",SUMIFS(BD!$M$3:$M$5001,BD!$A$3:$A$5001,AA$3,BD!$B$3:$B$5001,$A$519)))</f>
        <v/>
      </c>
      <c r="AB529" s="214" t="str">
        <f>IF(AB$3="","",IF(COUNTIFS(BD!$A$3:$A$5001,AB$3,BD!$B$3:$B$5001,$A$519,BD!$M$3:$M$5001,"&lt;&gt;")=0,"",SUMIFS(BD!$M$3:$M$5001,BD!$A$3:$A$5001,AB$3,BD!$B$3:$B$5001,$A$519)))</f>
        <v/>
      </c>
      <c r="AC529" s="214" t="str">
        <f>IF(AC$3="","",IF(COUNTIFS(BD!$A$3:$A$5001,AC$3,BD!$B$3:$B$5001,$A$519,BD!$M$3:$M$5001,"&lt;&gt;")=0,"",SUMIFS(BD!$M$3:$M$5001,BD!$A$3:$A$5001,AC$3,BD!$B$3:$B$5001,$A$519)))</f>
        <v/>
      </c>
      <c r="AD529" s="214" t="str">
        <f>IF(AD$3="","",IF(COUNTIFS(BD!$A$3:$A$5001,AD$3,BD!$B$3:$B$5001,$A$519,BD!$M$3:$M$5001,"&lt;&gt;")=0,"",SUMIFS(BD!$M$3:$M$5001,BD!$A$3:$A$5001,AD$3,BD!$B$3:$B$5001,$A$519)))</f>
        <v/>
      </c>
      <c r="AE529" s="214" t="str">
        <f>IF(AE$3="","",IF(COUNTIFS(BD!$A$3:$A$5001,AE$3,BD!$B$3:$B$5001,$A$519,BD!$M$3:$M$5001,"&lt;&gt;")=0,"",SUMIFS(BD!$M$3:$M$5001,BD!$A$3:$A$5001,AE$3,BD!$B$3:$B$5001,$A$519)))</f>
        <v/>
      </c>
      <c r="AF529" s="214" t="str">
        <f>IF(AF$3="","",IF(COUNTIFS(BD!$A$3:$A$5001,AF$3,BD!$B$3:$B$5001,$A$519,BD!$M$3:$M$5001,"&lt;&gt;")=0,"",SUMIFS(BD!$M$3:$M$5001,BD!$A$3:$A$5001,AF$3,BD!$B$3:$B$5001,$A$519)))</f>
        <v/>
      </c>
      <c r="AG529" s="214" t="str">
        <f>IF(AG$3="","",IF(COUNTIFS(BD!$A$3:$A$5001,AG$3,BD!$B$3:$B$5001,$A$519,BD!$M$3:$M$5001,"&lt;&gt;")=0,"",SUMIFS(BD!$M$3:$M$5001,BD!$A$3:$A$5001,AG$3,BD!$B$3:$B$5001,$A$519)))</f>
        <v/>
      </c>
      <c r="AH529" s="214" t="str">
        <f>IF(AH$3="","",IF(COUNTIFS(BD!$A$3:$A$5001,AH$3,BD!$B$3:$B$5001,$A$519,BD!$M$3:$M$5001,"&lt;&gt;")=0,"",SUMIFS(BD!$M$3:$M$5001,BD!$A$3:$A$5001,AH$3,BD!$B$3:$B$5001,$A$519)))</f>
        <v/>
      </c>
      <c r="AI529" s="214" t="str">
        <f>IF(AI$3="","",IF(COUNTIFS(BD!$A$3:$A$5001,AI$3,BD!$B$3:$B$5001,$A$519,BD!$M$3:$M$5001,"&lt;&gt;")=0,"",SUMIFS(BD!$M$3:$M$5001,BD!$A$3:$A$5001,AI$3,BD!$B$3:$B$5001,$A$519)))</f>
        <v/>
      </c>
      <c r="AJ529" s="215" t="str">
        <f>IF(AJ$3="","",IF(COUNTIFS(BD!$A$3:$A$5001,AJ$3,BD!$B$3:$B$5001,$A$519,BD!$M$3:$M$5001,"&lt;&gt;")=0,"",SUMIFS(BD!$M$3:$M$5001,BD!$A$3:$A$5001,AJ$3,BD!$B$3:$B$5001,$A$519)))</f>
        <v/>
      </c>
      <c r="AK529" s="211" t="str">
        <f>IF(COUNT(F529:AJ529)=0,"",SUM(F529:AJ529))</f>
        <v/>
      </c>
    </row>
    <row r="530" ht="15.75" customHeight="1" hidden="1">
      <c r="A530" s="277"/>
      <c r="B530" s="270" t="inlineStr">
        <is>
          <t xml:space="preserve">NC</t>
        </is>
      </c>
      <c r="C530" s="216" t="inlineStr">
        <is>
          <t xml:space="preserve">Incidentes</t>
        </is>
      </c>
      <c r="D530" s="217" t="str">
        <f>IFERROR(1/(1/INDEX(BD!$AF$34:$AZ$34,MATCH($A$519,BD!$AF$22:$AZ$22,0))),"")</f>
        <v/>
      </c>
      <c r="E530" s="218"/>
      <c r="F530" s="219" t="str">
        <f>IF(F$3="","",IF(COUNTIFS(BD!$A$3:$A$5001,F$3,BD!$B$3:$B$5001,$A$519,BD!$N$3:$N$5001,"&lt;&gt;")=0,"",SUMIFS(BD!$N$3:$N$5001,BD!$A$3:$A$5001,F$3,BD!$B$3:$B$5001,$A$519)))</f>
        <v/>
      </c>
      <c r="G530" s="220" t="str">
        <f>IF(G$3="","",IF(COUNTIFS(BD!$A$3:$A$5001,G$3,BD!$B$3:$B$5001,$A$519,BD!$N$3:$N$5001,"&lt;&gt;")=0,"",SUMIFS(BD!$N$3:$N$5001,BD!$A$3:$A$5001,G$3,BD!$B$3:$B$5001,$A$519)))</f>
        <v/>
      </c>
      <c r="H530" s="220" t="str">
        <f>IF(H$3="","",IF(COUNTIFS(BD!$A$3:$A$5001,H$3,BD!$B$3:$B$5001,$A$519,BD!$N$3:$N$5001,"&lt;&gt;")=0,"",SUMIFS(BD!$N$3:$N$5001,BD!$A$3:$A$5001,H$3,BD!$B$3:$B$5001,$A$519)))</f>
        <v/>
      </c>
      <c r="I530" s="220" t="str">
        <f>IF(I$3="","",IF(COUNTIFS(BD!$A$3:$A$5001,I$3,BD!$B$3:$B$5001,$A$519,BD!$N$3:$N$5001,"&lt;&gt;")=0,"",SUMIFS(BD!$N$3:$N$5001,BD!$A$3:$A$5001,I$3,BD!$B$3:$B$5001,$A$519)))</f>
        <v/>
      </c>
      <c r="J530" s="220" t="str">
        <f>IF(J$3="","",IF(COUNTIFS(BD!$A$3:$A$5001,J$3,BD!$B$3:$B$5001,$A$519,BD!$N$3:$N$5001,"&lt;&gt;")=0,"",SUMIFS(BD!$N$3:$N$5001,BD!$A$3:$A$5001,J$3,BD!$B$3:$B$5001,$A$519)))</f>
        <v/>
      </c>
      <c r="K530" s="220" t="str">
        <f>IF(K$3="","",IF(COUNTIFS(BD!$A$3:$A$5001,K$3,BD!$B$3:$B$5001,$A$519,BD!$N$3:$N$5001,"&lt;&gt;")=0,"",SUMIFS(BD!$N$3:$N$5001,BD!$A$3:$A$5001,K$3,BD!$B$3:$B$5001,$A$519)))</f>
        <v/>
      </c>
      <c r="L530" s="220" t="str">
        <f>IF(L$3="","",IF(COUNTIFS(BD!$A$3:$A$5001,L$3,BD!$B$3:$B$5001,$A$519,BD!$N$3:$N$5001,"&lt;&gt;")=0,"",SUMIFS(BD!$N$3:$N$5001,BD!$A$3:$A$5001,L$3,BD!$B$3:$B$5001,$A$519)))</f>
        <v/>
      </c>
      <c r="M530" s="220" t="str">
        <f>IF(M$3="","",IF(COUNTIFS(BD!$A$3:$A$5001,M$3,BD!$B$3:$B$5001,$A$519,BD!$N$3:$N$5001,"&lt;&gt;")=0,"",SUMIFS(BD!$N$3:$N$5001,BD!$A$3:$A$5001,M$3,BD!$B$3:$B$5001,$A$519)))</f>
        <v/>
      </c>
      <c r="N530" s="220" t="str">
        <f>IF(N$3="","",IF(COUNTIFS(BD!$A$3:$A$5001,N$3,BD!$B$3:$B$5001,$A$519,BD!$N$3:$N$5001,"&lt;&gt;")=0,"",SUMIFS(BD!$N$3:$N$5001,BD!$A$3:$A$5001,N$3,BD!$B$3:$B$5001,$A$519)))</f>
        <v/>
      </c>
      <c r="O530" s="220" t="str">
        <f>IF(O$3="","",IF(COUNTIFS(BD!$A$3:$A$5001,O$3,BD!$B$3:$B$5001,$A$519,BD!$N$3:$N$5001,"&lt;&gt;")=0,"",SUMIFS(BD!$N$3:$N$5001,BD!$A$3:$A$5001,O$3,BD!$B$3:$B$5001,$A$519)))</f>
        <v/>
      </c>
      <c r="P530" s="220" t="str">
        <f>IF(P$3="","",IF(COUNTIFS(BD!$A$3:$A$5001,P$3,BD!$B$3:$B$5001,$A$519,BD!$N$3:$N$5001,"&lt;&gt;")=0,"",SUMIFS(BD!$N$3:$N$5001,BD!$A$3:$A$5001,P$3,BD!$B$3:$B$5001,$A$519)))</f>
        <v/>
      </c>
      <c r="Q530" s="220" t="str">
        <f>IF(Q$3="","",IF(COUNTIFS(BD!$A$3:$A$5001,Q$3,BD!$B$3:$B$5001,$A$519,BD!$N$3:$N$5001,"&lt;&gt;")=0,"",SUMIFS(BD!$N$3:$N$5001,BD!$A$3:$A$5001,Q$3,BD!$B$3:$B$5001,$A$519)))</f>
        <v/>
      </c>
      <c r="R530" s="220" t="str">
        <f>IF(R$3="","",IF(COUNTIFS(BD!$A$3:$A$5001,R$3,BD!$B$3:$B$5001,$A$519,BD!$N$3:$N$5001,"&lt;&gt;")=0,"",SUMIFS(BD!$N$3:$N$5001,BD!$A$3:$A$5001,R$3,BD!$B$3:$B$5001,$A$519)))</f>
        <v/>
      </c>
      <c r="S530" s="220" t="str">
        <f>IF(S$3="","",IF(COUNTIFS(BD!$A$3:$A$5001,S$3,BD!$B$3:$B$5001,$A$519,BD!$N$3:$N$5001,"&lt;&gt;")=0,"",SUMIFS(BD!$N$3:$N$5001,BD!$A$3:$A$5001,S$3,BD!$B$3:$B$5001,$A$519)))</f>
        <v/>
      </c>
      <c r="T530" s="220" t="str">
        <f>IF(T$3="","",IF(COUNTIFS(BD!$A$3:$A$5001,T$3,BD!$B$3:$B$5001,$A$519,BD!$N$3:$N$5001,"&lt;&gt;")=0,"",SUMIFS(BD!$N$3:$N$5001,BD!$A$3:$A$5001,T$3,BD!$B$3:$B$5001,$A$519)))</f>
        <v/>
      </c>
      <c r="U530" s="220" t="str">
        <f>IF(U$3="","",IF(COUNTIFS(BD!$A$3:$A$5001,U$3,BD!$B$3:$B$5001,$A$519,BD!$N$3:$N$5001,"&lt;&gt;")=0,"",SUMIFS(BD!$N$3:$N$5001,BD!$A$3:$A$5001,U$3,BD!$B$3:$B$5001,$A$519)))</f>
        <v/>
      </c>
      <c r="V530" s="220" t="str">
        <f>IF(V$3="","",IF(COUNTIFS(BD!$A$3:$A$5001,V$3,BD!$B$3:$B$5001,$A$519,BD!$N$3:$N$5001,"&lt;&gt;")=0,"",SUMIFS(BD!$N$3:$N$5001,BD!$A$3:$A$5001,V$3,BD!$B$3:$B$5001,$A$519)))</f>
        <v/>
      </c>
      <c r="W530" s="220" t="str">
        <f>IF(W$3="","",IF(COUNTIFS(BD!$A$3:$A$5001,W$3,BD!$B$3:$B$5001,$A$519,BD!$N$3:$N$5001,"&lt;&gt;")=0,"",SUMIFS(BD!$N$3:$N$5001,BD!$A$3:$A$5001,W$3,BD!$B$3:$B$5001,$A$519)))</f>
        <v/>
      </c>
      <c r="X530" s="220" t="str">
        <f>IF(X$3="","",IF(COUNTIFS(BD!$A$3:$A$5001,X$3,BD!$B$3:$B$5001,$A$519,BD!$N$3:$N$5001,"&lt;&gt;")=0,"",SUMIFS(BD!$N$3:$N$5001,BD!$A$3:$A$5001,X$3,BD!$B$3:$B$5001,$A$519)))</f>
        <v/>
      </c>
      <c r="Y530" s="220" t="str">
        <f>IF(Y$3="","",IF(COUNTIFS(BD!$A$3:$A$5001,Y$3,BD!$B$3:$B$5001,$A$519,BD!$N$3:$N$5001,"&lt;&gt;")=0,"",SUMIFS(BD!$N$3:$N$5001,BD!$A$3:$A$5001,Y$3,BD!$B$3:$B$5001,$A$519)))</f>
        <v/>
      </c>
      <c r="Z530" s="220" t="str">
        <f>IF(Z$3="","",IF(COUNTIFS(BD!$A$3:$A$5001,Z$3,BD!$B$3:$B$5001,$A$519,BD!$N$3:$N$5001,"&lt;&gt;")=0,"",SUMIFS(BD!$N$3:$N$5001,BD!$A$3:$A$5001,Z$3,BD!$B$3:$B$5001,$A$519)))</f>
        <v/>
      </c>
      <c r="AA530" s="220" t="str">
        <f>IF(AA$3="","",IF(COUNTIFS(BD!$A$3:$A$5001,AA$3,BD!$B$3:$B$5001,$A$519,BD!$N$3:$N$5001,"&lt;&gt;")=0,"",SUMIFS(BD!$N$3:$N$5001,BD!$A$3:$A$5001,AA$3,BD!$B$3:$B$5001,$A$519)))</f>
        <v/>
      </c>
      <c r="AB530" s="220" t="str">
        <f>IF(AB$3="","",IF(COUNTIFS(BD!$A$3:$A$5001,AB$3,BD!$B$3:$B$5001,$A$519,BD!$N$3:$N$5001,"&lt;&gt;")=0,"",SUMIFS(BD!$N$3:$N$5001,BD!$A$3:$A$5001,AB$3,BD!$B$3:$B$5001,$A$519)))</f>
        <v/>
      </c>
      <c r="AC530" s="220" t="str">
        <f>IF(AC$3="","",IF(COUNTIFS(BD!$A$3:$A$5001,AC$3,BD!$B$3:$B$5001,$A$519,BD!$N$3:$N$5001,"&lt;&gt;")=0,"",SUMIFS(BD!$N$3:$N$5001,BD!$A$3:$A$5001,AC$3,BD!$B$3:$B$5001,$A$519)))</f>
        <v/>
      </c>
      <c r="AD530" s="220" t="str">
        <f>IF(AD$3="","",IF(COUNTIFS(BD!$A$3:$A$5001,AD$3,BD!$B$3:$B$5001,$A$519,BD!$N$3:$N$5001,"&lt;&gt;")=0,"",SUMIFS(BD!$N$3:$N$5001,BD!$A$3:$A$5001,AD$3,BD!$B$3:$B$5001,$A$519)))</f>
        <v/>
      </c>
      <c r="AE530" s="220" t="str">
        <f>IF(AE$3="","",IF(COUNTIFS(BD!$A$3:$A$5001,AE$3,BD!$B$3:$B$5001,$A$519,BD!$N$3:$N$5001,"&lt;&gt;")=0,"",SUMIFS(BD!$N$3:$N$5001,BD!$A$3:$A$5001,AE$3,BD!$B$3:$B$5001,$A$519)))</f>
        <v/>
      </c>
      <c r="AF530" s="220" t="str">
        <f>IF(AF$3="","",IF(COUNTIFS(BD!$A$3:$A$5001,AF$3,BD!$B$3:$B$5001,$A$519,BD!$N$3:$N$5001,"&lt;&gt;")=0,"",SUMIFS(BD!$N$3:$N$5001,BD!$A$3:$A$5001,AF$3,BD!$B$3:$B$5001,$A$519)))</f>
        <v/>
      </c>
      <c r="AG530" s="220" t="str">
        <f>IF(AG$3="","",IF(COUNTIFS(BD!$A$3:$A$5001,AG$3,BD!$B$3:$B$5001,$A$519,BD!$N$3:$N$5001,"&lt;&gt;")=0,"",SUMIFS(BD!$N$3:$N$5001,BD!$A$3:$A$5001,AG$3,BD!$B$3:$B$5001,$A$519)))</f>
        <v/>
      </c>
      <c r="AH530" s="220" t="str">
        <f>IF(AH$3="","",IF(COUNTIFS(BD!$A$3:$A$5001,AH$3,BD!$B$3:$B$5001,$A$519,BD!$N$3:$N$5001,"&lt;&gt;")=0,"",SUMIFS(BD!$N$3:$N$5001,BD!$A$3:$A$5001,AH$3,BD!$B$3:$B$5001,$A$519)))</f>
        <v/>
      </c>
      <c r="AI530" s="220" t="str">
        <f>IF(AI$3="","",IF(COUNTIFS(BD!$A$3:$A$5001,AI$3,BD!$B$3:$B$5001,$A$519,BD!$N$3:$N$5001,"&lt;&gt;")=0,"",SUMIFS(BD!$N$3:$N$5001,BD!$A$3:$A$5001,AI$3,BD!$B$3:$B$5001,$A$519)))</f>
        <v/>
      </c>
      <c r="AJ530" s="221" t="str">
        <f>IF(AJ$3="","",IF(COUNTIFS(BD!$A$3:$A$5001,AJ$3,BD!$B$3:$B$5001,$A$519,BD!$N$3:$N$5001,"&lt;&gt;")=0,"",SUMIFS(BD!$N$3:$N$5001,BD!$A$3:$A$5001,AJ$3,BD!$B$3:$B$5001,$A$519)))</f>
        <v/>
      </c>
      <c r="AK530" s="222" t="str">
        <f>IF(COUNT(F530:AJ530)=0,"",SUM(F530:AJ530))</f>
        <v/>
      </c>
    </row>
    <row r="531" ht="15.75" customHeight="1" hidden="1">
      <c r="A531" s="277"/>
      <c r="B531" s="271"/>
      <c r="C531" s="223" t="inlineStr">
        <is>
          <t xml:space="preserve">No show</t>
        </is>
      </c>
      <c r="D531" s="224" t="str">
        <f>IFERROR(1/(1/INDEX(BD!$AF$35:$AZ$35,MATCH($A$519,BD!$AF$22:$AZ$22,0))),"")</f>
        <v/>
      </c>
      <c r="E531" s="225"/>
      <c r="F531" s="226" t="str">
        <f>IF(F$3="","",IF(COUNTIFS(BD!$A$3:$A$5001,F$3,BD!$B$3:$B$5001,$A$519,BD!$O$3:$O$5001,"&lt;&gt;")=0,"",SUMIFS(BD!$O$3:$O$5001,BD!$A$3:$A$5001,F$3,BD!$B$3:$B$5001,$A$519)))</f>
        <v/>
      </c>
      <c r="G531" s="227" t="str">
        <f>IF(G$3="","",IF(COUNTIFS(BD!$A$3:$A$5001,G$3,BD!$B$3:$B$5001,$A$519,BD!$O$3:$O$5001,"&lt;&gt;")=0,"",SUMIFS(BD!$O$3:$O$5001,BD!$A$3:$A$5001,G$3,BD!$B$3:$B$5001,$A$519)))</f>
        <v/>
      </c>
      <c r="H531" s="227" t="str">
        <f>IF(H$3="","",IF(COUNTIFS(BD!$A$3:$A$5001,H$3,BD!$B$3:$B$5001,$A$519,BD!$O$3:$O$5001,"&lt;&gt;")=0,"",SUMIFS(BD!$O$3:$O$5001,BD!$A$3:$A$5001,H$3,BD!$B$3:$B$5001,$A$519)))</f>
        <v/>
      </c>
      <c r="I531" s="227" t="str">
        <f>IF(I$3="","",IF(COUNTIFS(BD!$A$3:$A$5001,I$3,BD!$B$3:$B$5001,$A$519,BD!$O$3:$O$5001,"&lt;&gt;")=0,"",SUMIFS(BD!$O$3:$O$5001,BD!$A$3:$A$5001,I$3,BD!$B$3:$B$5001,$A$519)))</f>
        <v/>
      </c>
      <c r="J531" s="227" t="str">
        <f>IF(J$3="","",IF(COUNTIFS(BD!$A$3:$A$5001,J$3,BD!$B$3:$B$5001,$A$519,BD!$O$3:$O$5001,"&lt;&gt;")=0,"",SUMIFS(BD!$O$3:$O$5001,BD!$A$3:$A$5001,J$3,BD!$B$3:$B$5001,$A$519)))</f>
        <v/>
      </c>
      <c r="K531" s="227" t="str">
        <f>IF(K$3="","",IF(COUNTIFS(BD!$A$3:$A$5001,K$3,BD!$B$3:$B$5001,$A$519,BD!$O$3:$O$5001,"&lt;&gt;")=0,"",SUMIFS(BD!$O$3:$O$5001,BD!$A$3:$A$5001,K$3,BD!$B$3:$B$5001,$A$519)))</f>
        <v/>
      </c>
      <c r="L531" s="227" t="str">
        <f>IF(L$3="","",IF(COUNTIFS(BD!$A$3:$A$5001,L$3,BD!$B$3:$B$5001,$A$519,BD!$O$3:$O$5001,"&lt;&gt;")=0,"",SUMIFS(BD!$O$3:$O$5001,BD!$A$3:$A$5001,L$3,BD!$B$3:$B$5001,$A$519)))</f>
        <v/>
      </c>
      <c r="M531" s="227" t="str">
        <f>IF(M$3="","",IF(COUNTIFS(BD!$A$3:$A$5001,M$3,BD!$B$3:$B$5001,$A$519,BD!$O$3:$O$5001,"&lt;&gt;")=0,"",SUMIFS(BD!$O$3:$O$5001,BD!$A$3:$A$5001,M$3,BD!$B$3:$B$5001,$A$519)))</f>
        <v/>
      </c>
      <c r="N531" s="227" t="str">
        <f>IF(N$3="","",IF(COUNTIFS(BD!$A$3:$A$5001,N$3,BD!$B$3:$B$5001,$A$519,BD!$O$3:$O$5001,"&lt;&gt;")=0,"",SUMIFS(BD!$O$3:$O$5001,BD!$A$3:$A$5001,N$3,BD!$B$3:$B$5001,$A$519)))</f>
        <v/>
      </c>
      <c r="O531" s="227" t="str">
        <f>IF(O$3="","",IF(COUNTIFS(BD!$A$3:$A$5001,O$3,BD!$B$3:$B$5001,$A$519,BD!$O$3:$O$5001,"&lt;&gt;")=0,"",SUMIFS(BD!$O$3:$O$5001,BD!$A$3:$A$5001,O$3,BD!$B$3:$B$5001,$A$519)))</f>
        <v/>
      </c>
      <c r="P531" s="227" t="str">
        <f>IF(P$3="","",IF(COUNTIFS(BD!$A$3:$A$5001,P$3,BD!$B$3:$B$5001,$A$519,BD!$O$3:$O$5001,"&lt;&gt;")=0,"",SUMIFS(BD!$O$3:$O$5001,BD!$A$3:$A$5001,P$3,BD!$B$3:$B$5001,$A$519)))</f>
        <v/>
      </c>
      <c r="Q531" s="227" t="str">
        <f>IF(Q$3="","",IF(COUNTIFS(BD!$A$3:$A$5001,Q$3,BD!$B$3:$B$5001,$A$519,BD!$O$3:$O$5001,"&lt;&gt;")=0,"",SUMIFS(BD!$O$3:$O$5001,BD!$A$3:$A$5001,Q$3,BD!$B$3:$B$5001,$A$519)))</f>
        <v/>
      </c>
      <c r="R531" s="227" t="str">
        <f>IF(R$3="","",IF(COUNTIFS(BD!$A$3:$A$5001,R$3,BD!$B$3:$B$5001,$A$519,BD!$O$3:$O$5001,"&lt;&gt;")=0,"",SUMIFS(BD!$O$3:$O$5001,BD!$A$3:$A$5001,R$3,BD!$B$3:$B$5001,$A$519)))</f>
        <v/>
      </c>
      <c r="S531" s="227" t="str">
        <f>IF(S$3="","",IF(COUNTIFS(BD!$A$3:$A$5001,S$3,BD!$B$3:$B$5001,$A$519,BD!$O$3:$O$5001,"&lt;&gt;")=0,"",SUMIFS(BD!$O$3:$O$5001,BD!$A$3:$A$5001,S$3,BD!$B$3:$B$5001,$A$519)))</f>
        <v/>
      </c>
      <c r="T531" s="227" t="str">
        <f>IF(T$3="","",IF(COUNTIFS(BD!$A$3:$A$5001,T$3,BD!$B$3:$B$5001,$A$519,BD!$O$3:$O$5001,"&lt;&gt;")=0,"",SUMIFS(BD!$O$3:$O$5001,BD!$A$3:$A$5001,T$3,BD!$B$3:$B$5001,$A$519)))</f>
        <v/>
      </c>
      <c r="U531" s="227" t="str">
        <f>IF(U$3="","",IF(COUNTIFS(BD!$A$3:$A$5001,U$3,BD!$B$3:$B$5001,$A$519,BD!$O$3:$O$5001,"&lt;&gt;")=0,"",SUMIFS(BD!$O$3:$O$5001,BD!$A$3:$A$5001,U$3,BD!$B$3:$B$5001,$A$519)))</f>
        <v/>
      </c>
      <c r="V531" s="227" t="str">
        <f>IF(V$3="","",IF(COUNTIFS(BD!$A$3:$A$5001,V$3,BD!$B$3:$B$5001,$A$519,BD!$O$3:$O$5001,"&lt;&gt;")=0,"",SUMIFS(BD!$O$3:$O$5001,BD!$A$3:$A$5001,V$3,BD!$B$3:$B$5001,$A$519)))</f>
        <v/>
      </c>
      <c r="W531" s="227" t="str">
        <f>IF(W$3="","",IF(COUNTIFS(BD!$A$3:$A$5001,W$3,BD!$B$3:$B$5001,$A$519,BD!$O$3:$O$5001,"&lt;&gt;")=0,"",SUMIFS(BD!$O$3:$O$5001,BD!$A$3:$A$5001,W$3,BD!$B$3:$B$5001,$A$519)))</f>
        <v/>
      </c>
      <c r="X531" s="227" t="str">
        <f>IF(X$3="","",IF(COUNTIFS(BD!$A$3:$A$5001,X$3,BD!$B$3:$B$5001,$A$519,BD!$O$3:$O$5001,"&lt;&gt;")=0,"",SUMIFS(BD!$O$3:$O$5001,BD!$A$3:$A$5001,X$3,BD!$B$3:$B$5001,$A$519)))</f>
        <v/>
      </c>
      <c r="Y531" s="227" t="str">
        <f>IF(Y$3="","",IF(COUNTIFS(BD!$A$3:$A$5001,Y$3,BD!$B$3:$B$5001,$A$519,BD!$O$3:$O$5001,"&lt;&gt;")=0,"",SUMIFS(BD!$O$3:$O$5001,BD!$A$3:$A$5001,Y$3,BD!$B$3:$B$5001,$A$519)))</f>
        <v/>
      </c>
      <c r="Z531" s="227" t="str">
        <f>IF(Z$3="","",IF(COUNTIFS(BD!$A$3:$A$5001,Z$3,BD!$B$3:$B$5001,$A$519,BD!$O$3:$O$5001,"&lt;&gt;")=0,"",SUMIFS(BD!$O$3:$O$5001,BD!$A$3:$A$5001,Z$3,BD!$B$3:$B$5001,$A$519)))</f>
        <v/>
      </c>
      <c r="AA531" s="227" t="str">
        <f>IF(AA$3="","",IF(COUNTIFS(BD!$A$3:$A$5001,AA$3,BD!$B$3:$B$5001,$A$519,BD!$O$3:$O$5001,"&lt;&gt;")=0,"",SUMIFS(BD!$O$3:$O$5001,BD!$A$3:$A$5001,AA$3,BD!$B$3:$B$5001,$A$519)))</f>
        <v/>
      </c>
      <c r="AB531" s="227" t="str">
        <f>IF(AB$3="","",IF(COUNTIFS(BD!$A$3:$A$5001,AB$3,BD!$B$3:$B$5001,$A$519,BD!$O$3:$O$5001,"&lt;&gt;")=0,"",SUMIFS(BD!$O$3:$O$5001,BD!$A$3:$A$5001,AB$3,BD!$B$3:$B$5001,$A$519)))</f>
        <v/>
      </c>
      <c r="AC531" s="227" t="str">
        <f>IF(AC$3="","",IF(COUNTIFS(BD!$A$3:$A$5001,AC$3,BD!$B$3:$B$5001,$A$519,BD!$O$3:$O$5001,"&lt;&gt;")=0,"",SUMIFS(BD!$O$3:$O$5001,BD!$A$3:$A$5001,AC$3,BD!$B$3:$B$5001,$A$519)))</f>
        <v/>
      </c>
      <c r="AD531" s="227" t="str">
        <f>IF(AD$3="","",IF(COUNTIFS(BD!$A$3:$A$5001,AD$3,BD!$B$3:$B$5001,$A$519,BD!$O$3:$O$5001,"&lt;&gt;")=0,"",SUMIFS(BD!$O$3:$O$5001,BD!$A$3:$A$5001,AD$3,BD!$B$3:$B$5001,$A$519)))</f>
        <v/>
      </c>
      <c r="AE531" s="227" t="str">
        <f>IF(AE$3="","",IF(COUNTIFS(BD!$A$3:$A$5001,AE$3,BD!$B$3:$B$5001,$A$519,BD!$O$3:$O$5001,"&lt;&gt;")=0,"",SUMIFS(BD!$O$3:$O$5001,BD!$A$3:$A$5001,AE$3,BD!$B$3:$B$5001,$A$519)))</f>
        <v/>
      </c>
      <c r="AF531" s="227" t="str">
        <f>IF(AF$3="","",IF(COUNTIFS(BD!$A$3:$A$5001,AF$3,BD!$B$3:$B$5001,$A$519,BD!$O$3:$O$5001,"&lt;&gt;")=0,"",SUMIFS(BD!$O$3:$O$5001,BD!$A$3:$A$5001,AF$3,BD!$B$3:$B$5001,$A$519)))</f>
        <v/>
      </c>
      <c r="AG531" s="227" t="str">
        <f>IF(AG$3="","",IF(COUNTIFS(BD!$A$3:$A$5001,AG$3,BD!$B$3:$B$5001,$A$519,BD!$O$3:$O$5001,"&lt;&gt;")=0,"",SUMIFS(BD!$O$3:$O$5001,BD!$A$3:$A$5001,AG$3,BD!$B$3:$B$5001,$A$519)))</f>
        <v/>
      </c>
      <c r="AH531" s="227" t="str">
        <f>IF(AH$3="","",IF(COUNTIFS(BD!$A$3:$A$5001,AH$3,BD!$B$3:$B$5001,$A$519,BD!$O$3:$O$5001,"&lt;&gt;")=0,"",SUMIFS(BD!$O$3:$O$5001,BD!$A$3:$A$5001,AH$3,BD!$B$3:$B$5001,$A$519)))</f>
        <v/>
      </c>
      <c r="AI531" s="227" t="str">
        <f>IF(AI$3="","",IF(COUNTIFS(BD!$A$3:$A$5001,AI$3,BD!$B$3:$B$5001,$A$519,BD!$O$3:$O$5001,"&lt;&gt;")=0,"",SUMIFS(BD!$O$3:$O$5001,BD!$A$3:$A$5001,AI$3,BD!$B$3:$B$5001,$A$519)))</f>
        <v/>
      </c>
      <c r="AJ531" s="228" t="str">
        <f>IF(AJ$3="","",IF(COUNTIFS(BD!$A$3:$A$5001,AJ$3,BD!$B$3:$B$5001,$A$519,BD!$O$3:$O$5001,"&lt;&gt;")=0,"",SUMIFS(BD!$O$3:$O$5001,BD!$A$3:$A$5001,AJ$3,BD!$B$3:$B$5001,$A$519)))</f>
        <v/>
      </c>
      <c r="AK531" s="229" t="str">
        <f>IF(COUNT(F531:AJ531)=0,"",SUM(F531:AJ531))</f>
        <v/>
      </c>
    </row>
    <row r="532" ht="15.75" customHeight="1" hidden="1">
      <c r="A532" s="277"/>
      <c r="B532" s="271"/>
      <c r="C532" s="223" t="inlineStr">
        <is>
          <t xml:space="preserve">Backlog Intralog</t>
        </is>
      </c>
      <c r="D532" s="224" t="str">
        <f>IFERROR(1/(1/INDEX(BD!$AF$36:$AZ$36,MATCH($A$519,BD!$AF$22:$AZ$22,0))),"")</f>
        <v/>
      </c>
      <c r="E532" s="225"/>
      <c r="F532" s="226" t="str">
        <f>IF(F$3="","",IF(COUNTIFS(BD!$A$3:$A$5001,F$3,BD!$B$3:$B$5001,$A$519,BD!$P$3:$P$5001,"&lt;&gt;")=0,"",SUMIFS(BD!$P$3:$P$5001,BD!$A$3:$A$5001,F$3,BD!$B$3:$B$5001,$A$519)))</f>
        <v/>
      </c>
      <c r="G532" s="227" t="str">
        <f>IF(G$3="","",IF(COUNTIFS(BD!$A$3:$A$5001,G$3,BD!$B$3:$B$5001,$A$519,BD!$P$3:$P$5001,"&lt;&gt;")=0,"",SUMIFS(BD!$P$3:$P$5001,BD!$A$3:$A$5001,G$3,BD!$B$3:$B$5001,$A$519)))</f>
        <v/>
      </c>
      <c r="H532" s="227" t="str">
        <f>IF(H$3="","",IF(COUNTIFS(BD!$A$3:$A$5001,H$3,BD!$B$3:$B$5001,$A$519,BD!$P$3:$P$5001,"&lt;&gt;")=0,"",SUMIFS(BD!$P$3:$P$5001,BD!$A$3:$A$5001,H$3,BD!$B$3:$B$5001,$A$519)))</f>
        <v/>
      </c>
      <c r="I532" s="227" t="str">
        <f>IF(I$3="","",IF(COUNTIFS(BD!$A$3:$A$5001,I$3,BD!$B$3:$B$5001,$A$519,BD!$P$3:$P$5001,"&lt;&gt;")=0,"",SUMIFS(BD!$P$3:$P$5001,BD!$A$3:$A$5001,I$3,BD!$B$3:$B$5001,$A$519)))</f>
        <v/>
      </c>
      <c r="J532" s="227" t="str">
        <f>IF(J$3="","",IF(COUNTIFS(BD!$A$3:$A$5001,J$3,BD!$B$3:$B$5001,$A$519,BD!$P$3:$P$5001,"&lt;&gt;")=0,"",SUMIFS(BD!$P$3:$P$5001,BD!$A$3:$A$5001,J$3,BD!$B$3:$B$5001,$A$519)))</f>
        <v/>
      </c>
      <c r="K532" s="227" t="str">
        <f>IF(K$3="","",IF(COUNTIFS(BD!$A$3:$A$5001,K$3,BD!$B$3:$B$5001,$A$519,BD!$P$3:$P$5001,"&lt;&gt;")=0,"",SUMIFS(BD!$P$3:$P$5001,BD!$A$3:$A$5001,K$3,BD!$B$3:$B$5001,$A$519)))</f>
        <v/>
      </c>
      <c r="L532" s="227" t="str">
        <f>IF(L$3="","",IF(COUNTIFS(BD!$A$3:$A$5001,L$3,BD!$B$3:$B$5001,$A$519,BD!$P$3:$P$5001,"&lt;&gt;")=0,"",SUMIFS(BD!$P$3:$P$5001,BD!$A$3:$A$5001,L$3,BD!$B$3:$B$5001,$A$519)))</f>
        <v/>
      </c>
      <c r="M532" s="227" t="str">
        <f>IF(M$3="","",IF(COUNTIFS(BD!$A$3:$A$5001,M$3,BD!$B$3:$B$5001,$A$519,BD!$P$3:$P$5001,"&lt;&gt;")=0,"",SUMIFS(BD!$P$3:$P$5001,BD!$A$3:$A$5001,M$3,BD!$B$3:$B$5001,$A$519)))</f>
        <v/>
      </c>
      <c r="N532" s="227" t="str">
        <f>IF(N$3="","",IF(COUNTIFS(BD!$A$3:$A$5001,N$3,BD!$B$3:$B$5001,$A$519,BD!$P$3:$P$5001,"&lt;&gt;")=0,"",SUMIFS(BD!$P$3:$P$5001,BD!$A$3:$A$5001,N$3,BD!$B$3:$B$5001,$A$519)))</f>
        <v/>
      </c>
      <c r="O532" s="227" t="str">
        <f>IF(O$3="","",IF(COUNTIFS(BD!$A$3:$A$5001,O$3,BD!$B$3:$B$5001,$A$519,BD!$P$3:$P$5001,"&lt;&gt;")=0,"",SUMIFS(BD!$P$3:$P$5001,BD!$A$3:$A$5001,O$3,BD!$B$3:$B$5001,$A$519)))</f>
        <v/>
      </c>
      <c r="P532" s="227" t="str">
        <f>IF(P$3="","",IF(COUNTIFS(BD!$A$3:$A$5001,P$3,BD!$B$3:$B$5001,$A$519,BD!$P$3:$P$5001,"&lt;&gt;")=0,"",SUMIFS(BD!$P$3:$P$5001,BD!$A$3:$A$5001,P$3,BD!$B$3:$B$5001,$A$519)))</f>
        <v/>
      </c>
      <c r="Q532" s="227" t="str">
        <f>IF(Q$3="","",IF(COUNTIFS(BD!$A$3:$A$5001,Q$3,BD!$B$3:$B$5001,$A$519,BD!$P$3:$P$5001,"&lt;&gt;")=0,"",SUMIFS(BD!$P$3:$P$5001,BD!$A$3:$A$5001,Q$3,BD!$B$3:$B$5001,$A$519)))</f>
        <v/>
      </c>
      <c r="R532" s="227" t="str">
        <f>IF(R$3="","",IF(COUNTIFS(BD!$A$3:$A$5001,R$3,BD!$B$3:$B$5001,$A$519,BD!$P$3:$P$5001,"&lt;&gt;")=0,"",SUMIFS(BD!$P$3:$P$5001,BD!$A$3:$A$5001,R$3,BD!$B$3:$B$5001,$A$519)))</f>
        <v/>
      </c>
      <c r="S532" s="227" t="str">
        <f>IF(S$3="","",IF(COUNTIFS(BD!$A$3:$A$5001,S$3,BD!$B$3:$B$5001,$A$519,BD!$P$3:$P$5001,"&lt;&gt;")=0,"",SUMIFS(BD!$P$3:$P$5001,BD!$A$3:$A$5001,S$3,BD!$B$3:$B$5001,$A$519)))</f>
        <v/>
      </c>
      <c r="T532" s="227" t="str">
        <f>IF(T$3="","",IF(COUNTIFS(BD!$A$3:$A$5001,T$3,BD!$B$3:$B$5001,$A$519,BD!$P$3:$P$5001,"&lt;&gt;")=0,"",SUMIFS(BD!$P$3:$P$5001,BD!$A$3:$A$5001,T$3,BD!$B$3:$B$5001,$A$519)))</f>
        <v/>
      </c>
      <c r="U532" s="227" t="str">
        <f>IF(U$3="","",IF(COUNTIFS(BD!$A$3:$A$5001,U$3,BD!$B$3:$B$5001,$A$519,BD!$P$3:$P$5001,"&lt;&gt;")=0,"",SUMIFS(BD!$P$3:$P$5001,BD!$A$3:$A$5001,U$3,BD!$B$3:$B$5001,$A$519)))</f>
        <v/>
      </c>
      <c r="V532" s="227" t="str">
        <f>IF(V$3="","",IF(COUNTIFS(BD!$A$3:$A$5001,V$3,BD!$B$3:$B$5001,$A$519,BD!$P$3:$P$5001,"&lt;&gt;")=0,"",SUMIFS(BD!$P$3:$P$5001,BD!$A$3:$A$5001,V$3,BD!$B$3:$B$5001,$A$519)))</f>
        <v/>
      </c>
      <c r="W532" s="227" t="str">
        <f>IF(W$3="","",IF(COUNTIFS(BD!$A$3:$A$5001,W$3,BD!$B$3:$B$5001,$A$519,BD!$P$3:$P$5001,"&lt;&gt;")=0,"",SUMIFS(BD!$P$3:$P$5001,BD!$A$3:$A$5001,W$3,BD!$B$3:$B$5001,$A$519)))</f>
        <v/>
      </c>
      <c r="X532" s="227" t="str">
        <f>IF(X$3="","",IF(COUNTIFS(BD!$A$3:$A$5001,X$3,BD!$B$3:$B$5001,$A$519,BD!$P$3:$P$5001,"&lt;&gt;")=0,"",SUMIFS(BD!$P$3:$P$5001,BD!$A$3:$A$5001,X$3,BD!$B$3:$B$5001,$A$519)))</f>
        <v/>
      </c>
      <c r="Y532" s="227" t="str">
        <f>IF(Y$3="","",IF(COUNTIFS(BD!$A$3:$A$5001,Y$3,BD!$B$3:$B$5001,$A$519,BD!$P$3:$P$5001,"&lt;&gt;")=0,"",SUMIFS(BD!$P$3:$P$5001,BD!$A$3:$A$5001,Y$3,BD!$B$3:$B$5001,$A$519)))</f>
        <v/>
      </c>
      <c r="Z532" s="227" t="str">
        <f>IF(Z$3="","",IF(COUNTIFS(BD!$A$3:$A$5001,Z$3,BD!$B$3:$B$5001,$A$519,BD!$P$3:$P$5001,"&lt;&gt;")=0,"",SUMIFS(BD!$P$3:$P$5001,BD!$A$3:$A$5001,Z$3,BD!$B$3:$B$5001,$A$519)))</f>
        <v/>
      </c>
      <c r="AA532" s="227" t="str">
        <f>IF(AA$3="","",IF(COUNTIFS(BD!$A$3:$A$5001,AA$3,BD!$B$3:$B$5001,$A$519,BD!$P$3:$P$5001,"&lt;&gt;")=0,"",SUMIFS(BD!$P$3:$P$5001,BD!$A$3:$A$5001,AA$3,BD!$B$3:$B$5001,$A$519)))</f>
        <v/>
      </c>
      <c r="AB532" s="227" t="str">
        <f>IF(AB$3="","",IF(COUNTIFS(BD!$A$3:$A$5001,AB$3,BD!$B$3:$B$5001,$A$519,BD!$P$3:$P$5001,"&lt;&gt;")=0,"",SUMIFS(BD!$P$3:$P$5001,BD!$A$3:$A$5001,AB$3,BD!$B$3:$B$5001,$A$519)))</f>
        <v/>
      </c>
      <c r="AC532" s="227" t="str">
        <f>IF(AC$3="","",IF(COUNTIFS(BD!$A$3:$A$5001,AC$3,BD!$B$3:$B$5001,$A$519,BD!$P$3:$P$5001,"&lt;&gt;")=0,"",SUMIFS(BD!$P$3:$P$5001,BD!$A$3:$A$5001,AC$3,BD!$B$3:$B$5001,$A$519)))</f>
        <v/>
      </c>
      <c r="AD532" s="227" t="str">
        <f>IF(AD$3="","",IF(COUNTIFS(BD!$A$3:$A$5001,AD$3,BD!$B$3:$B$5001,$A$519,BD!$P$3:$P$5001,"&lt;&gt;")=0,"",SUMIFS(BD!$P$3:$P$5001,BD!$A$3:$A$5001,AD$3,BD!$B$3:$B$5001,$A$519)))</f>
        <v/>
      </c>
      <c r="AE532" s="227" t="str">
        <f>IF(AE$3="","",IF(COUNTIFS(BD!$A$3:$A$5001,AE$3,BD!$B$3:$B$5001,$A$519,BD!$P$3:$P$5001,"&lt;&gt;")=0,"",SUMIFS(BD!$P$3:$P$5001,BD!$A$3:$A$5001,AE$3,BD!$B$3:$B$5001,$A$519)))</f>
        <v/>
      </c>
      <c r="AF532" s="227" t="str">
        <f>IF(AF$3="","",IF(COUNTIFS(BD!$A$3:$A$5001,AF$3,BD!$B$3:$B$5001,$A$519,BD!$P$3:$P$5001,"&lt;&gt;")=0,"",SUMIFS(BD!$P$3:$P$5001,BD!$A$3:$A$5001,AF$3,BD!$B$3:$B$5001,$A$519)))</f>
        <v/>
      </c>
      <c r="AG532" s="227" t="str">
        <f>IF(AG$3="","",IF(COUNTIFS(BD!$A$3:$A$5001,AG$3,BD!$B$3:$B$5001,$A$519,BD!$P$3:$P$5001,"&lt;&gt;")=0,"",SUMIFS(BD!$P$3:$P$5001,BD!$A$3:$A$5001,AG$3,BD!$B$3:$B$5001,$A$519)))</f>
        <v/>
      </c>
      <c r="AH532" s="227" t="str">
        <f>IF(AH$3="","",IF(COUNTIFS(BD!$A$3:$A$5001,AH$3,BD!$B$3:$B$5001,$A$519,BD!$P$3:$P$5001,"&lt;&gt;")=0,"",SUMIFS(BD!$P$3:$P$5001,BD!$A$3:$A$5001,AH$3,BD!$B$3:$B$5001,$A$519)))</f>
        <v/>
      </c>
      <c r="AI532" s="227" t="str">
        <f>IF(AI$3="","",IF(COUNTIFS(BD!$A$3:$A$5001,AI$3,BD!$B$3:$B$5001,$A$519,BD!$P$3:$P$5001,"&lt;&gt;")=0,"",SUMIFS(BD!$P$3:$P$5001,BD!$A$3:$A$5001,AI$3,BD!$B$3:$B$5001,$A$519)))</f>
        <v/>
      </c>
      <c r="AJ532" s="228" t="str">
        <f>IF(AJ$3="","",IF(COUNTIFS(BD!$A$3:$A$5001,AJ$3,BD!$B$3:$B$5001,$A$519,BD!$P$3:$P$5001,"&lt;&gt;")=0,"",SUMIFS(BD!$P$3:$P$5001,BD!$A$3:$A$5001,AJ$3,BD!$B$3:$B$5001,$A$519)))</f>
        <v/>
      </c>
      <c r="AK532" s="229" t="str">
        <f>IFERROR(LOOKUP(9.99E+307,F532:AJ532),"")</f>
        <v/>
      </c>
    </row>
    <row r="533" ht="15.75" customHeight="1" hidden="1">
      <c r="A533" s="277"/>
      <c r="B533" s="272"/>
      <c r="C533" s="230" t="inlineStr">
        <is>
          <t xml:space="preserve">Backlog Cliente</t>
        </is>
      </c>
      <c r="D533" s="231" t="str">
        <f>IFERROR(1/(1/INDEX(BD!$AF$37:$AZ$37,MATCH($A$519,BD!$AF$22:$AZ$22,0))),"")</f>
        <v/>
      </c>
      <c r="E533" s="232"/>
      <c r="F533" s="233" t="str">
        <f>IF(F$3="","",IF(COUNTIFS(BD!$A$3:$A$5001,F$3,BD!$B$3:$B$5001,$A$519,BD!$Q$3:$Q$5001,"&lt;&gt;")=0,"",SUMIFS(BD!$Q$3:$Q$5001,BD!$A$3:$A$5001,F$3,BD!$B$3:$B$5001,$A$519)))</f>
        <v/>
      </c>
      <c r="G533" s="234" t="str">
        <f>IF(G$3="","",IF(COUNTIFS(BD!$A$3:$A$5001,G$3,BD!$B$3:$B$5001,$A$519,BD!$Q$3:$Q$5001,"&lt;&gt;")=0,"",SUMIFS(BD!$Q$3:$Q$5001,BD!$A$3:$A$5001,G$3,BD!$B$3:$B$5001,$A$519)))</f>
        <v/>
      </c>
      <c r="H533" s="234" t="str">
        <f>IF(H$3="","",IF(COUNTIFS(BD!$A$3:$A$5001,H$3,BD!$B$3:$B$5001,$A$519,BD!$Q$3:$Q$5001,"&lt;&gt;")=0,"",SUMIFS(BD!$Q$3:$Q$5001,BD!$A$3:$A$5001,H$3,BD!$B$3:$B$5001,$A$519)))</f>
        <v/>
      </c>
      <c r="I533" s="234" t="str">
        <f>IF(I$3="","",IF(COUNTIFS(BD!$A$3:$A$5001,I$3,BD!$B$3:$B$5001,$A$519,BD!$Q$3:$Q$5001,"&lt;&gt;")=0,"",SUMIFS(BD!$Q$3:$Q$5001,BD!$A$3:$A$5001,I$3,BD!$B$3:$B$5001,$A$519)))</f>
        <v/>
      </c>
      <c r="J533" s="234" t="str">
        <f>IF(J$3="","",IF(COUNTIFS(BD!$A$3:$A$5001,J$3,BD!$B$3:$B$5001,$A$519,BD!$Q$3:$Q$5001,"&lt;&gt;")=0,"",SUMIFS(BD!$Q$3:$Q$5001,BD!$A$3:$A$5001,J$3,BD!$B$3:$B$5001,$A$519)))</f>
        <v/>
      </c>
      <c r="K533" s="234" t="str">
        <f>IF(K$3="","",IF(COUNTIFS(BD!$A$3:$A$5001,K$3,BD!$B$3:$B$5001,$A$519,BD!$Q$3:$Q$5001,"&lt;&gt;")=0,"",SUMIFS(BD!$Q$3:$Q$5001,BD!$A$3:$A$5001,K$3,BD!$B$3:$B$5001,$A$519)))</f>
        <v/>
      </c>
      <c r="L533" s="234" t="str">
        <f>IF(L$3="","",IF(COUNTIFS(BD!$A$3:$A$5001,L$3,BD!$B$3:$B$5001,$A$519,BD!$Q$3:$Q$5001,"&lt;&gt;")=0,"",SUMIFS(BD!$Q$3:$Q$5001,BD!$A$3:$A$5001,L$3,BD!$B$3:$B$5001,$A$519)))</f>
        <v/>
      </c>
      <c r="M533" s="234" t="str">
        <f>IF(M$3="","",IF(COUNTIFS(BD!$A$3:$A$5001,M$3,BD!$B$3:$B$5001,$A$519,BD!$Q$3:$Q$5001,"&lt;&gt;")=0,"",SUMIFS(BD!$Q$3:$Q$5001,BD!$A$3:$A$5001,M$3,BD!$B$3:$B$5001,$A$519)))</f>
        <v/>
      </c>
      <c r="N533" s="234" t="str">
        <f>IF(N$3="","",IF(COUNTIFS(BD!$A$3:$A$5001,N$3,BD!$B$3:$B$5001,$A$519,BD!$Q$3:$Q$5001,"&lt;&gt;")=0,"",SUMIFS(BD!$Q$3:$Q$5001,BD!$A$3:$A$5001,N$3,BD!$B$3:$B$5001,$A$519)))</f>
        <v/>
      </c>
      <c r="O533" s="234" t="str">
        <f>IF(O$3="","",IF(COUNTIFS(BD!$A$3:$A$5001,O$3,BD!$B$3:$B$5001,$A$519,BD!$Q$3:$Q$5001,"&lt;&gt;")=0,"",SUMIFS(BD!$Q$3:$Q$5001,BD!$A$3:$A$5001,O$3,BD!$B$3:$B$5001,$A$519)))</f>
        <v/>
      </c>
      <c r="P533" s="234" t="str">
        <f>IF(P$3="","",IF(COUNTIFS(BD!$A$3:$A$5001,P$3,BD!$B$3:$B$5001,$A$519,BD!$Q$3:$Q$5001,"&lt;&gt;")=0,"",SUMIFS(BD!$Q$3:$Q$5001,BD!$A$3:$A$5001,P$3,BD!$B$3:$B$5001,$A$519)))</f>
        <v/>
      </c>
      <c r="Q533" s="234" t="str">
        <f>IF(Q$3="","",IF(COUNTIFS(BD!$A$3:$A$5001,Q$3,BD!$B$3:$B$5001,$A$519,BD!$Q$3:$Q$5001,"&lt;&gt;")=0,"",SUMIFS(BD!$Q$3:$Q$5001,BD!$A$3:$A$5001,Q$3,BD!$B$3:$B$5001,$A$519)))</f>
        <v/>
      </c>
      <c r="R533" s="234" t="str">
        <f>IF(R$3="","",IF(COUNTIFS(BD!$A$3:$A$5001,R$3,BD!$B$3:$B$5001,$A$519,BD!$Q$3:$Q$5001,"&lt;&gt;")=0,"",SUMIFS(BD!$Q$3:$Q$5001,BD!$A$3:$A$5001,R$3,BD!$B$3:$B$5001,$A$519)))</f>
        <v/>
      </c>
      <c r="S533" s="234" t="str">
        <f>IF(S$3="","",IF(COUNTIFS(BD!$A$3:$A$5001,S$3,BD!$B$3:$B$5001,$A$519,BD!$Q$3:$Q$5001,"&lt;&gt;")=0,"",SUMIFS(BD!$Q$3:$Q$5001,BD!$A$3:$A$5001,S$3,BD!$B$3:$B$5001,$A$519)))</f>
        <v/>
      </c>
      <c r="T533" s="234" t="str">
        <f>IF(T$3="","",IF(COUNTIFS(BD!$A$3:$A$5001,T$3,BD!$B$3:$B$5001,$A$519,BD!$Q$3:$Q$5001,"&lt;&gt;")=0,"",SUMIFS(BD!$Q$3:$Q$5001,BD!$A$3:$A$5001,T$3,BD!$B$3:$B$5001,$A$519)))</f>
        <v/>
      </c>
      <c r="U533" s="234" t="str">
        <f>IF(U$3="","",IF(COUNTIFS(BD!$A$3:$A$5001,U$3,BD!$B$3:$B$5001,$A$519,BD!$Q$3:$Q$5001,"&lt;&gt;")=0,"",SUMIFS(BD!$Q$3:$Q$5001,BD!$A$3:$A$5001,U$3,BD!$B$3:$B$5001,$A$519)))</f>
        <v/>
      </c>
      <c r="V533" s="234" t="str">
        <f>IF(V$3="","",IF(COUNTIFS(BD!$A$3:$A$5001,V$3,BD!$B$3:$B$5001,$A$519,BD!$Q$3:$Q$5001,"&lt;&gt;")=0,"",SUMIFS(BD!$Q$3:$Q$5001,BD!$A$3:$A$5001,V$3,BD!$B$3:$B$5001,$A$519)))</f>
        <v/>
      </c>
      <c r="W533" s="234" t="str">
        <f>IF(W$3="","",IF(COUNTIFS(BD!$A$3:$A$5001,W$3,BD!$B$3:$B$5001,$A$519,BD!$Q$3:$Q$5001,"&lt;&gt;")=0,"",SUMIFS(BD!$Q$3:$Q$5001,BD!$A$3:$A$5001,W$3,BD!$B$3:$B$5001,$A$519)))</f>
        <v/>
      </c>
      <c r="X533" s="234" t="str">
        <f>IF(X$3="","",IF(COUNTIFS(BD!$A$3:$A$5001,X$3,BD!$B$3:$B$5001,$A$519,BD!$Q$3:$Q$5001,"&lt;&gt;")=0,"",SUMIFS(BD!$Q$3:$Q$5001,BD!$A$3:$A$5001,X$3,BD!$B$3:$B$5001,$A$519)))</f>
        <v/>
      </c>
      <c r="Y533" s="234" t="str">
        <f>IF(Y$3="","",IF(COUNTIFS(BD!$A$3:$A$5001,Y$3,BD!$B$3:$B$5001,$A$519,BD!$Q$3:$Q$5001,"&lt;&gt;")=0,"",SUMIFS(BD!$Q$3:$Q$5001,BD!$A$3:$A$5001,Y$3,BD!$B$3:$B$5001,$A$519)))</f>
        <v/>
      </c>
      <c r="Z533" s="234" t="str">
        <f>IF(Z$3="","",IF(COUNTIFS(BD!$A$3:$A$5001,Z$3,BD!$B$3:$B$5001,$A$519,BD!$Q$3:$Q$5001,"&lt;&gt;")=0,"",SUMIFS(BD!$Q$3:$Q$5001,BD!$A$3:$A$5001,Z$3,BD!$B$3:$B$5001,$A$519)))</f>
        <v/>
      </c>
      <c r="AA533" s="234" t="str">
        <f>IF(AA$3="","",IF(COUNTIFS(BD!$A$3:$A$5001,AA$3,BD!$B$3:$B$5001,$A$519,BD!$Q$3:$Q$5001,"&lt;&gt;")=0,"",SUMIFS(BD!$Q$3:$Q$5001,BD!$A$3:$A$5001,AA$3,BD!$B$3:$B$5001,$A$519)))</f>
        <v/>
      </c>
      <c r="AB533" s="234" t="str">
        <f>IF(AB$3="","",IF(COUNTIFS(BD!$A$3:$A$5001,AB$3,BD!$B$3:$B$5001,$A$519,BD!$Q$3:$Q$5001,"&lt;&gt;")=0,"",SUMIFS(BD!$Q$3:$Q$5001,BD!$A$3:$A$5001,AB$3,BD!$B$3:$B$5001,$A$519)))</f>
        <v/>
      </c>
      <c r="AC533" s="234" t="str">
        <f>IF(AC$3="","",IF(COUNTIFS(BD!$A$3:$A$5001,AC$3,BD!$B$3:$B$5001,$A$519,BD!$Q$3:$Q$5001,"&lt;&gt;")=0,"",SUMIFS(BD!$Q$3:$Q$5001,BD!$A$3:$A$5001,AC$3,BD!$B$3:$B$5001,$A$519)))</f>
        <v/>
      </c>
      <c r="AD533" s="234" t="str">
        <f>IF(AD$3="","",IF(COUNTIFS(BD!$A$3:$A$5001,AD$3,BD!$B$3:$B$5001,$A$519,BD!$Q$3:$Q$5001,"&lt;&gt;")=0,"",SUMIFS(BD!$Q$3:$Q$5001,BD!$A$3:$A$5001,AD$3,BD!$B$3:$B$5001,$A$519)))</f>
        <v/>
      </c>
      <c r="AE533" s="234" t="str">
        <f>IF(AE$3="","",IF(COUNTIFS(BD!$A$3:$A$5001,AE$3,BD!$B$3:$B$5001,$A$519,BD!$Q$3:$Q$5001,"&lt;&gt;")=0,"",SUMIFS(BD!$Q$3:$Q$5001,BD!$A$3:$A$5001,AE$3,BD!$B$3:$B$5001,$A$519)))</f>
        <v/>
      </c>
      <c r="AF533" s="234" t="str">
        <f>IF(AF$3="","",IF(COUNTIFS(BD!$A$3:$A$5001,AF$3,BD!$B$3:$B$5001,$A$519,BD!$Q$3:$Q$5001,"&lt;&gt;")=0,"",SUMIFS(BD!$Q$3:$Q$5001,BD!$A$3:$A$5001,AF$3,BD!$B$3:$B$5001,$A$519)))</f>
        <v/>
      </c>
      <c r="AG533" s="234" t="str">
        <f>IF(AG$3="","",IF(COUNTIFS(BD!$A$3:$A$5001,AG$3,BD!$B$3:$B$5001,$A$519,BD!$Q$3:$Q$5001,"&lt;&gt;")=0,"",SUMIFS(BD!$Q$3:$Q$5001,BD!$A$3:$A$5001,AG$3,BD!$B$3:$B$5001,$A$519)))</f>
        <v/>
      </c>
      <c r="AH533" s="234" t="str">
        <f>IF(AH$3="","",IF(COUNTIFS(BD!$A$3:$A$5001,AH$3,BD!$B$3:$B$5001,$A$519,BD!$Q$3:$Q$5001,"&lt;&gt;")=0,"",SUMIFS(BD!$Q$3:$Q$5001,BD!$A$3:$A$5001,AH$3,BD!$B$3:$B$5001,$A$519)))</f>
        <v/>
      </c>
      <c r="AI533" s="234" t="str">
        <f>IF(AI$3="","",IF(COUNTIFS(BD!$A$3:$A$5001,AI$3,BD!$B$3:$B$5001,$A$519,BD!$Q$3:$Q$5001,"&lt;&gt;")=0,"",SUMIFS(BD!$Q$3:$Q$5001,BD!$A$3:$A$5001,AI$3,BD!$B$3:$B$5001,$A$519)))</f>
        <v/>
      </c>
      <c r="AJ533" s="235" t="str">
        <f>IF(AJ$3="","",IF(COUNTIFS(BD!$A$3:$A$5001,AJ$3,BD!$B$3:$B$5001,$A$519,BD!$Q$3:$Q$5001,"&lt;&gt;")=0,"",SUMIFS(BD!$Q$3:$Q$5001,BD!$A$3:$A$5001,AJ$3,BD!$B$3:$B$5001,$A$519)))</f>
        <v/>
      </c>
      <c r="AK533" s="231" t="str">
        <f>IFERROR(LOOKUP(9.99E+307,F533:AJ533),"")</f>
        <v/>
      </c>
    </row>
    <row r="534" ht="15.75" customHeight="1" hidden="1">
      <c r="A534" s="277"/>
      <c r="B534" s="264" t="inlineStr">
        <is>
          <t xml:space="preserve">OCUPAÇÃO (P.P)</t>
        </is>
      </c>
      <c r="C534" s="168" t="inlineStr">
        <is>
          <t xml:space="preserve">Posições Disponíveis</t>
        </is>
      </c>
      <c r="D534" s="169" t="str">
        <f>IFERROR(1/(1/INDEX(BD!$AF$38:$AZ$38,MATCH($A$519,BD!$AF$22:$AZ$22,0))),"")</f>
        <v/>
      </c>
      <c r="E534" s="170"/>
      <c r="F534" s="171" t="str">
        <f>IF(F$3="","",IF(COUNTIFS(BD!$A$3:$A$5001,F$3,BD!$B$3:$B$5001,$A$519,BD!$R$3:$R$5001,"&lt;&gt;")=0,"",SUMIFS(BD!$R$3:$R$5001,BD!$A$3:$A$5001,F$3,BD!$B$3:$B$5001,$A$519)))</f>
        <v/>
      </c>
      <c r="G534" s="172" t="str">
        <f>IF(G$3="","",IF(COUNTIFS(BD!$A$3:$A$5001,G$3,BD!$B$3:$B$5001,$A$519,BD!$R$3:$R$5001,"&lt;&gt;")=0,"",SUMIFS(BD!$R$3:$R$5001,BD!$A$3:$A$5001,G$3,BD!$B$3:$B$5001,$A$519)))</f>
        <v/>
      </c>
      <c r="H534" s="172" t="str">
        <f>IF(H$3="","",IF(COUNTIFS(BD!$A$3:$A$5001,H$3,BD!$B$3:$B$5001,$A$519,BD!$R$3:$R$5001,"&lt;&gt;")=0,"",SUMIFS(BD!$R$3:$R$5001,BD!$A$3:$A$5001,H$3,BD!$B$3:$B$5001,$A$519)))</f>
        <v/>
      </c>
      <c r="I534" s="172" t="str">
        <f>IF(I$3="","",IF(COUNTIFS(BD!$A$3:$A$5001,I$3,BD!$B$3:$B$5001,$A$519,BD!$R$3:$R$5001,"&lt;&gt;")=0,"",SUMIFS(BD!$R$3:$R$5001,BD!$A$3:$A$5001,I$3,BD!$B$3:$B$5001,$A$519)))</f>
        <v/>
      </c>
      <c r="J534" s="172" t="str">
        <f>IF(J$3="","",IF(COUNTIFS(BD!$A$3:$A$5001,J$3,BD!$B$3:$B$5001,$A$519,BD!$R$3:$R$5001,"&lt;&gt;")=0,"",SUMIFS(BD!$R$3:$R$5001,BD!$A$3:$A$5001,J$3,BD!$B$3:$B$5001,$A$519)))</f>
        <v/>
      </c>
      <c r="K534" s="172" t="str">
        <f>IF(K$3="","",IF(COUNTIFS(BD!$A$3:$A$5001,K$3,BD!$B$3:$B$5001,$A$519,BD!$R$3:$R$5001,"&lt;&gt;")=0,"",SUMIFS(BD!$R$3:$R$5001,BD!$A$3:$A$5001,K$3,BD!$B$3:$B$5001,$A$519)))</f>
        <v/>
      </c>
      <c r="L534" s="172" t="str">
        <f>IF(L$3="","",IF(COUNTIFS(BD!$A$3:$A$5001,L$3,BD!$B$3:$B$5001,$A$519,BD!$R$3:$R$5001,"&lt;&gt;")=0,"",SUMIFS(BD!$R$3:$R$5001,BD!$A$3:$A$5001,L$3,BD!$B$3:$B$5001,$A$519)))</f>
        <v/>
      </c>
      <c r="M534" s="172" t="str">
        <f>IF(M$3="","",IF(COUNTIFS(BD!$A$3:$A$5001,M$3,BD!$B$3:$B$5001,$A$519,BD!$R$3:$R$5001,"&lt;&gt;")=0,"",SUMIFS(BD!$R$3:$R$5001,BD!$A$3:$A$5001,M$3,BD!$B$3:$B$5001,$A$519)))</f>
        <v/>
      </c>
      <c r="N534" s="172" t="str">
        <f>IF(N$3="","",IF(COUNTIFS(BD!$A$3:$A$5001,N$3,BD!$B$3:$B$5001,$A$519,BD!$R$3:$R$5001,"&lt;&gt;")=0,"",SUMIFS(BD!$R$3:$R$5001,BD!$A$3:$A$5001,N$3,BD!$B$3:$B$5001,$A$519)))</f>
        <v/>
      </c>
      <c r="O534" s="172" t="str">
        <f>IF(O$3="","",IF(COUNTIFS(BD!$A$3:$A$5001,O$3,BD!$B$3:$B$5001,$A$519,BD!$R$3:$R$5001,"&lt;&gt;")=0,"",SUMIFS(BD!$R$3:$R$5001,BD!$A$3:$A$5001,O$3,BD!$B$3:$B$5001,$A$519)))</f>
        <v/>
      </c>
      <c r="P534" s="172" t="str">
        <f>IF(P$3="","",IF(COUNTIFS(BD!$A$3:$A$5001,P$3,BD!$B$3:$B$5001,$A$519,BD!$R$3:$R$5001,"&lt;&gt;")=0,"",SUMIFS(BD!$R$3:$R$5001,BD!$A$3:$A$5001,P$3,BD!$B$3:$B$5001,$A$519)))</f>
        <v/>
      </c>
      <c r="Q534" s="172" t="str">
        <f>IF(Q$3="","",IF(COUNTIFS(BD!$A$3:$A$5001,Q$3,BD!$B$3:$B$5001,$A$519,BD!$R$3:$R$5001,"&lt;&gt;")=0,"",SUMIFS(BD!$R$3:$R$5001,BD!$A$3:$A$5001,Q$3,BD!$B$3:$B$5001,$A$519)))</f>
        <v/>
      </c>
      <c r="R534" s="172" t="str">
        <f>IF(R$3="","",IF(COUNTIFS(BD!$A$3:$A$5001,R$3,BD!$B$3:$B$5001,$A$519,BD!$R$3:$R$5001,"&lt;&gt;")=0,"",SUMIFS(BD!$R$3:$R$5001,BD!$A$3:$A$5001,R$3,BD!$B$3:$B$5001,$A$519)))</f>
        <v/>
      </c>
      <c r="S534" s="172" t="str">
        <f>IF(S$3="","",IF(COUNTIFS(BD!$A$3:$A$5001,S$3,BD!$B$3:$B$5001,$A$519,BD!$R$3:$R$5001,"&lt;&gt;")=0,"",SUMIFS(BD!$R$3:$R$5001,BD!$A$3:$A$5001,S$3,BD!$B$3:$B$5001,$A$519)))</f>
        <v/>
      </c>
      <c r="T534" s="172" t="str">
        <f>IF(T$3="","",IF(COUNTIFS(BD!$A$3:$A$5001,T$3,BD!$B$3:$B$5001,$A$519,BD!$R$3:$R$5001,"&lt;&gt;")=0,"",SUMIFS(BD!$R$3:$R$5001,BD!$A$3:$A$5001,T$3,BD!$B$3:$B$5001,$A$519)))</f>
        <v/>
      </c>
      <c r="U534" s="172" t="str">
        <f>IF(U$3="","",IF(COUNTIFS(BD!$A$3:$A$5001,U$3,BD!$B$3:$B$5001,$A$519,BD!$R$3:$R$5001,"&lt;&gt;")=0,"",SUMIFS(BD!$R$3:$R$5001,BD!$A$3:$A$5001,U$3,BD!$B$3:$B$5001,$A$519)))</f>
        <v/>
      </c>
      <c r="V534" s="172" t="str">
        <f>IF(V$3="","",IF(COUNTIFS(BD!$A$3:$A$5001,V$3,BD!$B$3:$B$5001,$A$519,BD!$R$3:$R$5001,"&lt;&gt;")=0,"",SUMIFS(BD!$R$3:$R$5001,BD!$A$3:$A$5001,V$3,BD!$B$3:$B$5001,$A$519)))</f>
        <v/>
      </c>
      <c r="W534" s="172" t="str">
        <f>IF(W$3="","",IF(COUNTIFS(BD!$A$3:$A$5001,W$3,BD!$B$3:$B$5001,$A$519,BD!$R$3:$R$5001,"&lt;&gt;")=0,"",SUMIFS(BD!$R$3:$R$5001,BD!$A$3:$A$5001,W$3,BD!$B$3:$B$5001,$A$519)))</f>
        <v/>
      </c>
      <c r="X534" s="172" t="str">
        <f>IF(X$3="","",IF(COUNTIFS(BD!$A$3:$A$5001,X$3,BD!$B$3:$B$5001,$A$519,BD!$R$3:$R$5001,"&lt;&gt;")=0,"",SUMIFS(BD!$R$3:$R$5001,BD!$A$3:$A$5001,X$3,BD!$B$3:$B$5001,$A$519)))</f>
        <v/>
      </c>
      <c r="Y534" s="172" t="str">
        <f>IF(Y$3="","",IF(COUNTIFS(BD!$A$3:$A$5001,Y$3,BD!$B$3:$B$5001,$A$519,BD!$R$3:$R$5001,"&lt;&gt;")=0,"",SUMIFS(BD!$R$3:$R$5001,BD!$A$3:$A$5001,Y$3,BD!$B$3:$B$5001,$A$519)))</f>
        <v/>
      </c>
      <c r="Z534" s="172" t="str">
        <f>IF(Z$3="","",IF(COUNTIFS(BD!$A$3:$A$5001,Z$3,BD!$B$3:$B$5001,$A$519,BD!$R$3:$R$5001,"&lt;&gt;")=0,"",SUMIFS(BD!$R$3:$R$5001,BD!$A$3:$A$5001,Z$3,BD!$B$3:$B$5001,$A$519)))</f>
        <v/>
      </c>
      <c r="AA534" s="172" t="str">
        <f>IF(AA$3="","",IF(COUNTIFS(BD!$A$3:$A$5001,AA$3,BD!$B$3:$B$5001,$A$519,BD!$R$3:$R$5001,"&lt;&gt;")=0,"",SUMIFS(BD!$R$3:$R$5001,BD!$A$3:$A$5001,AA$3,BD!$B$3:$B$5001,$A$519)))</f>
        <v/>
      </c>
      <c r="AB534" s="172" t="str">
        <f>IF(AB$3="","",IF(COUNTIFS(BD!$A$3:$A$5001,AB$3,BD!$B$3:$B$5001,$A$519,BD!$R$3:$R$5001,"&lt;&gt;")=0,"",SUMIFS(BD!$R$3:$R$5001,BD!$A$3:$A$5001,AB$3,BD!$B$3:$B$5001,$A$519)))</f>
        <v/>
      </c>
      <c r="AC534" s="172" t="str">
        <f>IF(AC$3="","",IF(COUNTIFS(BD!$A$3:$A$5001,AC$3,BD!$B$3:$B$5001,$A$519,BD!$R$3:$R$5001,"&lt;&gt;")=0,"",SUMIFS(BD!$R$3:$R$5001,BD!$A$3:$A$5001,AC$3,BD!$B$3:$B$5001,$A$519)))</f>
        <v/>
      </c>
      <c r="AD534" s="172" t="str">
        <f>IF(AD$3="","",IF(COUNTIFS(BD!$A$3:$A$5001,AD$3,BD!$B$3:$B$5001,$A$519,BD!$R$3:$R$5001,"&lt;&gt;")=0,"",SUMIFS(BD!$R$3:$R$5001,BD!$A$3:$A$5001,AD$3,BD!$B$3:$B$5001,$A$519)))</f>
        <v/>
      </c>
      <c r="AE534" s="172" t="str">
        <f>IF(AE$3="","",IF(COUNTIFS(BD!$A$3:$A$5001,AE$3,BD!$B$3:$B$5001,$A$519,BD!$R$3:$R$5001,"&lt;&gt;")=0,"",SUMIFS(BD!$R$3:$R$5001,BD!$A$3:$A$5001,AE$3,BD!$B$3:$B$5001,$A$519)))</f>
        <v/>
      </c>
      <c r="AF534" s="172" t="str">
        <f>IF(AF$3="","",IF(COUNTIFS(BD!$A$3:$A$5001,AF$3,BD!$B$3:$B$5001,$A$519,BD!$R$3:$R$5001,"&lt;&gt;")=0,"",SUMIFS(BD!$R$3:$R$5001,BD!$A$3:$A$5001,AF$3,BD!$B$3:$B$5001,$A$519)))</f>
        <v/>
      </c>
      <c r="AG534" s="172" t="str">
        <f>IF(AG$3="","",IF(COUNTIFS(BD!$A$3:$A$5001,AG$3,BD!$B$3:$B$5001,$A$519,BD!$R$3:$R$5001,"&lt;&gt;")=0,"",SUMIFS(BD!$R$3:$R$5001,BD!$A$3:$A$5001,AG$3,BD!$B$3:$B$5001,$A$519)))</f>
        <v/>
      </c>
      <c r="AH534" s="172" t="str">
        <f>IF(AH$3="","",IF(COUNTIFS(BD!$A$3:$A$5001,AH$3,BD!$B$3:$B$5001,$A$519,BD!$R$3:$R$5001,"&lt;&gt;")=0,"",SUMIFS(BD!$R$3:$R$5001,BD!$A$3:$A$5001,AH$3,BD!$B$3:$B$5001,$A$519)))</f>
        <v/>
      </c>
      <c r="AI534" s="172" t="str">
        <f>IF(AI$3="","",IF(COUNTIFS(BD!$A$3:$A$5001,AI$3,BD!$B$3:$B$5001,$A$519,BD!$R$3:$R$5001,"&lt;&gt;")=0,"",SUMIFS(BD!$R$3:$R$5001,BD!$A$3:$A$5001,AI$3,BD!$B$3:$B$5001,$A$519)))</f>
        <v/>
      </c>
      <c r="AJ534" s="173" t="str">
        <f>IF(AJ$3="","",IF(COUNTIFS(BD!$A$3:$A$5001,AJ$3,BD!$B$3:$B$5001,$A$519,BD!$R$3:$R$5001,"&lt;&gt;")=0,"",SUMIFS(BD!$R$3:$R$5001,BD!$A$3:$A$5001,AJ$3,BD!$B$3:$B$5001,$A$519)))</f>
        <v/>
      </c>
      <c r="AK534" s="174" t="str">
        <f>IF(COUNT(F534:AJ534)&gt;0,LOOKUP(9.99E+307,F534:AJ534),IFERROR(IF(INDEX(BD!$AC$3:$AC$5001,MATCH($A$519,BD!$B$3:$B$5001,0))&amp;""="Contrato","",INDEX(BD!$AC$3:$AC$5001,MATCH($A$519,BD!$B$3:$B$5001,0))&amp;""),""))</f>
        <v/>
      </c>
    </row>
    <row r="535" ht="15.75" customHeight="1" hidden="1">
      <c r="A535" s="277"/>
      <c r="B535" s="265"/>
      <c r="C535" s="175" t="inlineStr">
        <is>
          <t xml:space="preserve">Posições Ocupadas</t>
        </is>
      </c>
      <c r="D535" s="176" t="str">
        <f>IFERROR(1/(1/INDEX(BD!$AF$39:$AZ$39,MATCH($A$519,BD!$AF$22:$AZ$22,0))),"")</f>
        <v/>
      </c>
      <c r="E535" s="177"/>
      <c r="F535" s="178" t="str">
        <f>IF(F$3="","",IF(COUNTIFS(BD!$A$3:$A$5001,F$3,BD!$B$3:$B$5001,$A$519,BD!$S$3:$S$5001,"&lt;&gt;")=0,"",SUMIFS(BD!$S$3:$S$5001,BD!$A$3:$A$5001,F$3,BD!$B$3:$B$5001,$A$519)))</f>
        <v/>
      </c>
      <c r="G535" s="179" t="str">
        <f>IF(G$3="","",IF(COUNTIFS(BD!$A$3:$A$5001,G$3,BD!$B$3:$B$5001,$A$519,BD!$S$3:$S$5001,"&lt;&gt;")=0,"",SUMIFS(BD!$S$3:$S$5001,BD!$A$3:$A$5001,G$3,BD!$B$3:$B$5001,$A$519)))</f>
        <v/>
      </c>
      <c r="H535" s="179" t="str">
        <f>IF(H$3="","",IF(COUNTIFS(BD!$A$3:$A$5001,H$3,BD!$B$3:$B$5001,$A$519,BD!$S$3:$S$5001,"&lt;&gt;")=0,"",SUMIFS(BD!$S$3:$S$5001,BD!$A$3:$A$5001,H$3,BD!$B$3:$B$5001,$A$519)))</f>
        <v/>
      </c>
      <c r="I535" s="179" t="str">
        <f>IF(I$3="","",IF(COUNTIFS(BD!$A$3:$A$5001,I$3,BD!$B$3:$B$5001,$A$519,BD!$S$3:$S$5001,"&lt;&gt;")=0,"",SUMIFS(BD!$S$3:$S$5001,BD!$A$3:$A$5001,I$3,BD!$B$3:$B$5001,$A$519)))</f>
        <v/>
      </c>
      <c r="J535" s="179" t="str">
        <f>IF(J$3="","",IF(COUNTIFS(BD!$A$3:$A$5001,J$3,BD!$B$3:$B$5001,$A$519,BD!$S$3:$S$5001,"&lt;&gt;")=0,"",SUMIFS(BD!$S$3:$S$5001,BD!$A$3:$A$5001,J$3,BD!$B$3:$B$5001,$A$519)))</f>
        <v/>
      </c>
      <c r="K535" s="179" t="str">
        <f>IF(K$3="","",IF(COUNTIFS(BD!$A$3:$A$5001,K$3,BD!$B$3:$B$5001,$A$519,BD!$S$3:$S$5001,"&lt;&gt;")=0,"",SUMIFS(BD!$S$3:$S$5001,BD!$A$3:$A$5001,K$3,BD!$B$3:$B$5001,$A$519)))</f>
        <v/>
      </c>
      <c r="L535" s="179" t="str">
        <f>IF(L$3="","",IF(COUNTIFS(BD!$A$3:$A$5001,L$3,BD!$B$3:$B$5001,$A$519,BD!$S$3:$S$5001,"&lt;&gt;")=0,"",SUMIFS(BD!$S$3:$S$5001,BD!$A$3:$A$5001,L$3,BD!$B$3:$B$5001,$A$519)))</f>
        <v/>
      </c>
      <c r="M535" s="179" t="str">
        <f>IF(M$3="","",IF(COUNTIFS(BD!$A$3:$A$5001,M$3,BD!$B$3:$B$5001,$A$519,BD!$S$3:$S$5001,"&lt;&gt;")=0,"",SUMIFS(BD!$S$3:$S$5001,BD!$A$3:$A$5001,M$3,BD!$B$3:$B$5001,$A$519)))</f>
        <v/>
      </c>
      <c r="N535" s="179" t="str">
        <f>IF(N$3="","",IF(COUNTIFS(BD!$A$3:$A$5001,N$3,BD!$B$3:$B$5001,$A$519,BD!$S$3:$S$5001,"&lt;&gt;")=0,"",SUMIFS(BD!$S$3:$S$5001,BD!$A$3:$A$5001,N$3,BD!$B$3:$B$5001,$A$519)))</f>
        <v/>
      </c>
      <c r="O535" s="179" t="str">
        <f>IF(O$3="","",IF(COUNTIFS(BD!$A$3:$A$5001,O$3,BD!$B$3:$B$5001,$A$519,BD!$S$3:$S$5001,"&lt;&gt;")=0,"",SUMIFS(BD!$S$3:$S$5001,BD!$A$3:$A$5001,O$3,BD!$B$3:$B$5001,$A$519)))</f>
        <v/>
      </c>
      <c r="P535" s="179" t="str">
        <f>IF(P$3="","",IF(COUNTIFS(BD!$A$3:$A$5001,P$3,BD!$B$3:$B$5001,$A$519,BD!$S$3:$S$5001,"&lt;&gt;")=0,"",SUMIFS(BD!$S$3:$S$5001,BD!$A$3:$A$5001,P$3,BD!$B$3:$B$5001,$A$519)))</f>
        <v/>
      </c>
      <c r="Q535" s="179" t="str">
        <f>IF(Q$3="","",IF(COUNTIFS(BD!$A$3:$A$5001,Q$3,BD!$B$3:$B$5001,$A$519,BD!$S$3:$S$5001,"&lt;&gt;")=0,"",SUMIFS(BD!$S$3:$S$5001,BD!$A$3:$A$5001,Q$3,BD!$B$3:$B$5001,$A$519)))</f>
        <v/>
      </c>
      <c r="R535" s="179" t="str">
        <f>IF(R$3="","",IF(COUNTIFS(BD!$A$3:$A$5001,R$3,BD!$B$3:$B$5001,$A$519,BD!$S$3:$S$5001,"&lt;&gt;")=0,"",SUMIFS(BD!$S$3:$S$5001,BD!$A$3:$A$5001,R$3,BD!$B$3:$B$5001,$A$519)))</f>
        <v/>
      </c>
      <c r="S535" s="179" t="str">
        <f>IF(S$3="","",IF(COUNTIFS(BD!$A$3:$A$5001,S$3,BD!$B$3:$B$5001,$A$519,BD!$S$3:$S$5001,"&lt;&gt;")=0,"",SUMIFS(BD!$S$3:$S$5001,BD!$A$3:$A$5001,S$3,BD!$B$3:$B$5001,$A$519)))</f>
        <v/>
      </c>
      <c r="T535" s="179" t="str">
        <f>IF(T$3="","",IF(COUNTIFS(BD!$A$3:$A$5001,T$3,BD!$B$3:$B$5001,$A$519,BD!$S$3:$S$5001,"&lt;&gt;")=0,"",SUMIFS(BD!$S$3:$S$5001,BD!$A$3:$A$5001,T$3,BD!$B$3:$B$5001,$A$519)))</f>
        <v/>
      </c>
      <c r="U535" s="179" t="str">
        <f>IF(U$3="","",IF(COUNTIFS(BD!$A$3:$A$5001,U$3,BD!$B$3:$B$5001,$A$519,BD!$S$3:$S$5001,"&lt;&gt;")=0,"",SUMIFS(BD!$S$3:$S$5001,BD!$A$3:$A$5001,U$3,BD!$B$3:$B$5001,$A$519)))</f>
        <v/>
      </c>
      <c r="V535" s="179" t="str">
        <f>IF(V$3="","",IF(COUNTIFS(BD!$A$3:$A$5001,V$3,BD!$B$3:$B$5001,$A$519,BD!$S$3:$S$5001,"&lt;&gt;")=0,"",SUMIFS(BD!$S$3:$S$5001,BD!$A$3:$A$5001,V$3,BD!$B$3:$B$5001,$A$519)))</f>
        <v/>
      </c>
      <c r="W535" s="179" t="str">
        <f>IF(W$3="","",IF(COUNTIFS(BD!$A$3:$A$5001,W$3,BD!$B$3:$B$5001,$A$519,BD!$S$3:$S$5001,"&lt;&gt;")=0,"",SUMIFS(BD!$S$3:$S$5001,BD!$A$3:$A$5001,W$3,BD!$B$3:$B$5001,$A$519)))</f>
        <v/>
      </c>
      <c r="X535" s="179" t="str">
        <f>IF(X$3="","",IF(COUNTIFS(BD!$A$3:$A$5001,X$3,BD!$B$3:$B$5001,$A$519,BD!$S$3:$S$5001,"&lt;&gt;")=0,"",SUMIFS(BD!$S$3:$S$5001,BD!$A$3:$A$5001,X$3,BD!$B$3:$B$5001,$A$519)))</f>
        <v/>
      </c>
      <c r="Y535" s="179" t="str">
        <f>IF(Y$3="","",IF(COUNTIFS(BD!$A$3:$A$5001,Y$3,BD!$B$3:$B$5001,$A$519,BD!$S$3:$S$5001,"&lt;&gt;")=0,"",SUMIFS(BD!$S$3:$S$5001,BD!$A$3:$A$5001,Y$3,BD!$B$3:$B$5001,$A$519)))</f>
        <v/>
      </c>
      <c r="Z535" s="179" t="str">
        <f>IF(Z$3="","",IF(COUNTIFS(BD!$A$3:$A$5001,Z$3,BD!$B$3:$B$5001,$A$519,BD!$S$3:$S$5001,"&lt;&gt;")=0,"",SUMIFS(BD!$S$3:$S$5001,BD!$A$3:$A$5001,Z$3,BD!$B$3:$B$5001,$A$519)))</f>
        <v/>
      </c>
      <c r="AA535" s="179" t="str">
        <f>IF(AA$3="","",IF(COUNTIFS(BD!$A$3:$A$5001,AA$3,BD!$B$3:$B$5001,$A$519,BD!$S$3:$S$5001,"&lt;&gt;")=0,"",SUMIFS(BD!$S$3:$S$5001,BD!$A$3:$A$5001,AA$3,BD!$B$3:$B$5001,$A$519)))</f>
        <v/>
      </c>
      <c r="AB535" s="179" t="str">
        <f>IF(AB$3="","",IF(COUNTIFS(BD!$A$3:$A$5001,AB$3,BD!$B$3:$B$5001,$A$519,BD!$S$3:$S$5001,"&lt;&gt;")=0,"",SUMIFS(BD!$S$3:$S$5001,BD!$A$3:$A$5001,AB$3,BD!$B$3:$B$5001,$A$519)))</f>
        <v/>
      </c>
      <c r="AC535" s="179" t="str">
        <f>IF(AC$3="","",IF(COUNTIFS(BD!$A$3:$A$5001,AC$3,BD!$B$3:$B$5001,$A$519,BD!$S$3:$S$5001,"&lt;&gt;")=0,"",SUMIFS(BD!$S$3:$S$5001,BD!$A$3:$A$5001,AC$3,BD!$B$3:$B$5001,$A$519)))</f>
        <v/>
      </c>
      <c r="AD535" s="179" t="str">
        <f>IF(AD$3="","",IF(COUNTIFS(BD!$A$3:$A$5001,AD$3,BD!$B$3:$B$5001,$A$519,BD!$S$3:$S$5001,"&lt;&gt;")=0,"",SUMIFS(BD!$S$3:$S$5001,BD!$A$3:$A$5001,AD$3,BD!$B$3:$B$5001,$A$519)))</f>
        <v/>
      </c>
      <c r="AE535" s="179" t="str">
        <f>IF(AE$3="","",IF(COUNTIFS(BD!$A$3:$A$5001,AE$3,BD!$B$3:$B$5001,$A$519,BD!$S$3:$S$5001,"&lt;&gt;")=0,"",SUMIFS(BD!$S$3:$S$5001,BD!$A$3:$A$5001,AE$3,BD!$B$3:$B$5001,$A$519)))</f>
        <v/>
      </c>
      <c r="AF535" s="179" t="str">
        <f>IF(AF$3="","",IF(COUNTIFS(BD!$A$3:$A$5001,AF$3,BD!$B$3:$B$5001,$A$519,BD!$S$3:$S$5001,"&lt;&gt;")=0,"",SUMIFS(BD!$S$3:$S$5001,BD!$A$3:$A$5001,AF$3,BD!$B$3:$B$5001,$A$519)))</f>
        <v/>
      </c>
      <c r="AG535" s="179" t="str">
        <f>IF(AG$3="","",IF(COUNTIFS(BD!$A$3:$A$5001,AG$3,BD!$B$3:$B$5001,$A$519,BD!$S$3:$S$5001,"&lt;&gt;")=0,"",SUMIFS(BD!$S$3:$S$5001,BD!$A$3:$A$5001,AG$3,BD!$B$3:$B$5001,$A$519)))</f>
        <v/>
      </c>
      <c r="AH535" s="179" t="str">
        <f>IF(AH$3="","",IF(COUNTIFS(BD!$A$3:$A$5001,AH$3,BD!$B$3:$B$5001,$A$519,BD!$S$3:$S$5001,"&lt;&gt;")=0,"",SUMIFS(BD!$S$3:$S$5001,BD!$A$3:$A$5001,AH$3,BD!$B$3:$B$5001,$A$519)))</f>
        <v/>
      </c>
      <c r="AI535" s="179" t="str">
        <f>IF(AI$3="","",IF(COUNTIFS(BD!$A$3:$A$5001,AI$3,BD!$B$3:$B$5001,$A$519,BD!$S$3:$S$5001,"&lt;&gt;")=0,"",SUMIFS(BD!$S$3:$S$5001,BD!$A$3:$A$5001,AI$3,BD!$B$3:$B$5001,$A$519)))</f>
        <v/>
      </c>
      <c r="AJ535" s="180" t="str">
        <f>IF(AJ$3="","",IF(COUNTIFS(BD!$A$3:$A$5001,AJ$3,BD!$B$3:$B$5001,$A$519,BD!$S$3:$S$5001,"&lt;&gt;")=0,"",SUMIFS(BD!$S$3:$S$5001,BD!$A$3:$A$5001,AJ$3,BD!$B$3:$B$5001,$A$519)))</f>
        <v/>
      </c>
      <c r="AK535" s="181" t="str">
        <f>IFERROR(LOOKUP(9.99E+307,F535:AJ535),"")</f>
        <v/>
      </c>
    </row>
    <row r="536" ht="15.75" customHeight="1" hidden="1">
      <c r="A536" s="277"/>
      <c r="B536" s="266"/>
      <c r="C536" s="186" t="inlineStr">
        <is>
          <t xml:space="preserve">Taxa de Ocupação</t>
        </is>
      </c>
      <c r="D536" s="236" t="str">
        <f>IFERROR(1/(1/INDEX(BD!$AF$40:$AZ$40,MATCH($A$519,BD!$AF$22:$AZ$22,0))),"")</f>
        <v/>
      </c>
      <c r="E536" s="188"/>
      <c r="F536" s="237" t="str">
        <f>IF(AND(ISNUMBER(F534),ISNUMBER(F535)),IF(F534&gt;0,F535/F534,""),"")</f>
        <v/>
      </c>
      <c r="G536" s="238" t="str">
        <f>IF(AND(ISNUMBER(G534),ISNUMBER(G535)),IF(G534&gt;0,G535/G534,""),"")</f>
        <v/>
      </c>
      <c r="H536" s="238" t="str">
        <f>IF(AND(ISNUMBER(H534),ISNUMBER(H535)),IF(H534&gt;0,H535/H534,""),"")</f>
        <v/>
      </c>
      <c r="I536" s="238" t="str">
        <f>IF(AND(ISNUMBER(I534),ISNUMBER(I535)),IF(I534&gt;0,I535/I534,""),"")</f>
        <v/>
      </c>
      <c r="J536" s="238" t="str">
        <f>IF(AND(ISNUMBER(J534),ISNUMBER(J535)),IF(J534&gt;0,J535/J534,""),"")</f>
        <v/>
      </c>
      <c r="K536" s="238" t="str">
        <f>IF(AND(ISNUMBER(K534),ISNUMBER(K535)),IF(K534&gt;0,K535/K534,""),"")</f>
        <v/>
      </c>
      <c r="L536" s="238" t="str">
        <f>IF(AND(ISNUMBER(L534),ISNUMBER(L535)),IF(L534&gt;0,L535/L534,""),"")</f>
        <v/>
      </c>
      <c r="M536" s="238" t="str">
        <f>IF(AND(ISNUMBER(M534),ISNUMBER(M535)),IF(M534&gt;0,M535/M534,""),"")</f>
        <v/>
      </c>
      <c r="N536" s="238" t="str">
        <f>IF(AND(ISNUMBER(N534),ISNUMBER(N535)),IF(N534&gt;0,N535/N534,""),"")</f>
        <v/>
      </c>
      <c r="O536" s="238" t="str">
        <f>IF(AND(ISNUMBER(O534),ISNUMBER(O535)),IF(O534&gt;0,O535/O534,""),"")</f>
        <v/>
      </c>
      <c r="P536" s="238" t="str">
        <f>IF(AND(ISNUMBER(P534),ISNUMBER(P535)),IF(P534&gt;0,P535/P534,""),"")</f>
        <v/>
      </c>
      <c r="Q536" s="238" t="str">
        <f>IF(AND(ISNUMBER(Q534),ISNUMBER(Q535)),IF(Q534&gt;0,Q535/Q534,""),"")</f>
        <v/>
      </c>
      <c r="R536" s="238" t="str">
        <f>IF(AND(ISNUMBER(R534),ISNUMBER(R535)),IF(R534&gt;0,R535/R534,""),"")</f>
        <v/>
      </c>
      <c r="S536" s="238" t="str">
        <f>IF(AND(ISNUMBER(S534),ISNUMBER(S535)),IF(S534&gt;0,S535/S534,""),"")</f>
        <v/>
      </c>
      <c r="T536" s="238" t="str">
        <f>IF(AND(ISNUMBER(T534),ISNUMBER(T535)),IF(T534&gt;0,T535/T534,""),"")</f>
        <v/>
      </c>
      <c r="U536" s="238" t="str">
        <f>IF(AND(ISNUMBER(U534),ISNUMBER(U535)),IF(U534&gt;0,U535/U534,""),"")</f>
        <v/>
      </c>
      <c r="V536" s="238" t="str">
        <f>IF(AND(ISNUMBER(V534),ISNUMBER(V535)),IF(V534&gt;0,V535/V534,""),"")</f>
        <v/>
      </c>
      <c r="W536" s="238" t="str">
        <f>IF(AND(ISNUMBER(W534),ISNUMBER(W535)),IF(W534&gt;0,W535/W534,""),"")</f>
        <v/>
      </c>
      <c r="X536" s="238" t="str">
        <f>IF(AND(ISNUMBER(X534),ISNUMBER(X535)),IF(X534&gt;0,X535/X534,""),"")</f>
        <v/>
      </c>
      <c r="Y536" s="238" t="str">
        <f>IF(AND(ISNUMBER(Y534),ISNUMBER(Y535)),IF(Y534&gt;0,Y535/Y534,""),"")</f>
        <v/>
      </c>
      <c r="Z536" s="238" t="str">
        <f>IF(AND(ISNUMBER(Z534),ISNUMBER(Z535)),IF(Z534&gt;0,Z535/Z534,""),"")</f>
        <v/>
      </c>
      <c r="AA536" s="238" t="str">
        <f>IF(AND(ISNUMBER(AA534),ISNUMBER(AA535)),IF(AA534&gt;0,AA535/AA534,""),"")</f>
        <v/>
      </c>
      <c r="AB536" s="238" t="str">
        <f>IF(AND(ISNUMBER(AB534),ISNUMBER(AB535)),IF(AB534&gt;0,AB535/AB534,""),"")</f>
        <v/>
      </c>
      <c r="AC536" s="238" t="str">
        <f>IF(AND(ISNUMBER(AC534),ISNUMBER(AC535)),IF(AC534&gt;0,AC535/AC534,""),"")</f>
        <v/>
      </c>
      <c r="AD536" s="238" t="str">
        <f>IF(AND(ISNUMBER(AD534),ISNUMBER(AD535)),IF(AD534&gt;0,AD535/AD534,""),"")</f>
        <v/>
      </c>
      <c r="AE536" s="238" t="str">
        <f>IF(AND(ISNUMBER(AE534),ISNUMBER(AE535)),IF(AE534&gt;0,AE535/AE534,""),"")</f>
        <v/>
      </c>
      <c r="AF536" s="238" t="str">
        <f>IF(AND(ISNUMBER(AF534),ISNUMBER(AF535)),IF(AF534&gt;0,AF535/AF534,""),"")</f>
        <v/>
      </c>
      <c r="AG536" s="238" t="str">
        <f>IF(AND(ISNUMBER(AG534),ISNUMBER(AG535)),IF(AG534&gt;0,AG535/AG534,""),"")</f>
        <v/>
      </c>
      <c r="AH536" s="238" t="str">
        <f>IF(AND(ISNUMBER(AH534),ISNUMBER(AH535)),IF(AH534&gt;0,AH535/AH534,""),"")</f>
        <v/>
      </c>
      <c r="AI536" s="238" t="str">
        <f>IF(AND(ISNUMBER(AI534),ISNUMBER(AI535)),IF(AI534&gt;0,AI535/AI534,""),"")</f>
        <v/>
      </c>
      <c r="AJ536" s="239" t="str">
        <f>IF(AND(ISNUMBER(AJ534),ISNUMBER(AJ535)),IF(AJ534&gt;0,AJ535/AJ534,""),"")</f>
        <v/>
      </c>
      <c r="AK536" s="236" t="str">
        <f>IF(AND(ISNUMBER(AK534),ISNUMBER(AK535)),IF(AK534&gt;0,AK535/AK534,""),"")</f>
        <v/>
      </c>
    </row>
    <row r="537" ht="15.75" customHeight="1" hidden="1">
      <c r="A537" s="277"/>
      <c r="B537" s="273" t="inlineStr">
        <is>
          <t xml:space="preserve">GENTE</t>
        </is>
      </c>
      <c r="C537" s="240" t="inlineStr">
        <is>
          <t xml:space="preserve">Efetivo Op.</t>
        </is>
      </c>
      <c r="D537" s="241" t="str">
        <f>IFERROR(1/(1/INDEX(BD!$AF$41:$AZ$41,MATCH($A$519,BD!$AF$22:$AZ$22,0))),"")</f>
        <v/>
      </c>
      <c r="E537" s="242"/>
      <c r="F537" s="243" t="str">
        <f>IF(F$3="","",IF(COUNTIFS(BD!$A$3:$A$5001,F$3,BD!$B$3:$B$5001,$A$519,BD!$T$3:$T$5001,"&lt;&gt;")=0,"",SUMIFS(BD!$T$3:$T$5001,BD!$A$3:$A$5001,F$3,BD!$B$3:$B$5001,$A$519)))</f>
        <v/>
      </c>
      <c r="G537" s="244" t="str">
        <f>IF(G$3="","",IF(COUNTIFS(BD!$A$3:$A$5001,G$3,BD!$B$3:$B$5001,$A$519,BD!$T$3:$T$5001,"&lt;&gt;")=0,"",SUMIFS(BD!$T$3:$T$5001,BD!$A$3:$A$5001,G$3,BD!$B$3:$B$5001,$A$519)))</f>
        <v/>
      </c>
      <c r="H537" s="244" t="str">
        <f>IF(H$3="","",IF(COUNTIFS(BD!$A$3:$A$5001,H$3,BD!$B$3:$B$5001,$A$519,BD!$T$3:$T$5001,"&lt;&gt;")=0,"",SUMIFS(BD!$T$3:$T$5001,BD!$A$3:$A$5001,H$3,BD!$B$3:$B$5001,$A$519)))</f>
        <v/>
      </c>
      <c r="I537" s="244" t="str">
        <f>IF(I$3="","",IF(COUNTIFS(BD!$A$3:$A$5001,I$3,BD!$B$3:$B$5001,$A$519,BD!$T$3:$T$5001,"&lt;&gt;")=0,"",SUMIFS(BD!$T$3:$T$5001,BD!$A$3:$A$5001,I$3,BD!$B$3:$B$5001,$A$519)))</f>
        <v/>
      </c>
      <c r="J537" s="244" t="str">
        <f>IF(J$3="","",IF(COUNTIFS(BD!$A$3:$A$5001,J$3,BD!$B$3:$B$5001,$A$519,BD!$T$3:$T$5001,"&lt;&gt;")=0,"",SUMIFS(BD!$T$3:$T$5001,BD!$A$3:$A$5001,J$3,BD!$B$3:$B$5001,$A$519)))</f>
        <v/>
      </c>
      <c r="K537" s="244" t="str">
        <f>IF(K$3="","",IF(COUNTIFS(BD!$A$3:$A$5001,K$3,BD!$B$3:$B$5001,$A$519,BD!$T$3:$T$5001,"&lt;&gt;")=0,"",SUMIFS(BD!$T$3:$T$5001,BD!$A$3:$A$5001,K$3,BD!$B$3:$B$5001,$A$519)))</f>
        <v/>
      </c>
      <c r="L537" s="244" t="str">
        <f>IF(L$3="","",IF(COUNTIFS(BD!$A$3:$A$5001,L$3,BD!$B$3:$B$5001,$A$519,BD!$T$3:$T$5001,"&lt;&gt;")=0,"",SUMIFS(BD!$T$3:$T$5001,BD!$A$3:$A$5001,L$3,BD!$B$3:$B$5001,$A$519)))</f>
        <v/>
      </c>
      <c r="M537" s="244" t="str">
        <f>IF(M$3="","",IF(COUNTIFS(BD!$A$3:$A$5001,M$3,BD!$B$3:$B$5001,$A$519,BD!$T$3:$T$5001,"&lt;&gt;")=0,"",SUMIFS(BD!$T$3:$T$5001,BD!$A$3:$A$5001,M$3,BD!$B$3:$B$5001,$A$519)))</f>
        <v/>
      </c>
      <c r="N537" s="244" t="str">
        <f>IF(N$3="","",IF(COUNTIFS(BD!$A$3:$A$5001,N$3,BD!$B$3:$B$5001,$A$519,BD!$T$3:$T$5001,"&lt;&gt;")=0,"",SUMIFS(BD!$T$3:$T$5001,BD!$A$3:$A$5001,N$3,BD!$B$3:$B$5001,$A$519)))</f>
        <v/>
      </c>
      <c r="O537" s="244" t="str">
        <f>IF(O$3="","",IF(COUNTIFS(BD!$A$3:$A$5001,O$3,BD!$B$3:$B$5001,$A$519,BD!$T$3:$T$5001,"&lt;&gt;")=0,"",SUMIFS(BD!$T$3:$T$5001,BD!$A$3:$A$5001,O$3,BD!$B$3:$B$5001,$A$519)))</f>
        <v/>
      </c>
      <c r="P537" s="244" t="str">
        <f>IF(P$3="","",IF(COUNTIFS(BD!$A$3:$A$5001,P$3,BD!$B$3:$B$5001,$A$519,BD!$T$3:$T$5001,"&lt;&gt;")=0,"",SUMIFS(BD!$T$3:$T$5001,BD!$A$3:$A$5001,P$3,BD!$B$3:$B$5001,$A$519)))</f>
        <v/>
      </c>
      <c r="Q537" s="244" t="str">
        <f>IF(Q$3="","",IF(COUNTIFS(BD!$A$3:$A$5001,Q$3,BD!$B$3:$B$5001,$A$519,BD!$T$3:$T$5001,"&lt;&gt;")=0,"",SUMIFS(BD!$T$3:$T$5001,BD!$A$3:$A$5001,Q$3,BD!$B$3:$B$5001,$A$519)))</f>
        <v/>
      </c>
      <c r="R537" s="244" t="str">
        <f>IF(R$3="","",IF(COUNTIFS(BD!$A$3:$A$5001,R$3,BD!$B$3:$B$5001,$A$519,BD!$T$3:$T$5001,"&lt;&gt;")=0,"",SUMIFS(BD!$T$3:$T$5001,BD!$A$3:$A$5001,R$3,BD!$B$3:$B$5001,$A$519)))</f>
        <v/>
      </c>
      <c r="S537" s="244" t="str">
        <f>IF(S$3="","",IF(COUNTIFS(BD!$A$3:$A$5001,S$3,BD!$B$3:$B$5001,$A$519,BD!$T$3:$T$5001,"&lt;&gt;")=0,"",SUMIFS(BD!$T$3:$T$5001,BD!$A$3:$A$5001,S$3,BD!$B$3:$B$5001,$A$519)))</f>
        <v/>
      </c>
      <c r="T537" s="244" t="str">
        <f>IF(T$3="","",IF(COUNTIFS(BD!$A$3:$A$5001,T$3,BD!$B$3:$B$5001,$A$519,BD!$T$3:$T$5001,"&lt;&gt;")=0,"",SUMIFS(BD!$T$3:$T$5001,BD!$A$3:$A$5001,T$3,BD!$B$3:$B$5001,$A$519)))</f>
        <v/>
      </c>
      <c r="U537" s="244" t="str">
        <f>IF(U$3="","",IF(COUNTIFS(BD!$A$3:$A$5001,U$3,BD!$B$3:$B$5001,$A$519,BD!$T$3:$T$5001,"&lt;&gt;")=0,"",SUMIFS(BD!$T$3:$T$5001,BD!$A$3:$A$5001,U$3,BD!$B$3:$B$5001,$A$519)))</f>
        <v/>
      </c>
      <c r="V537" s="244" t="str">
        <f>IF(V$3="","",IF(COUNTIFS(BD!$A$3:$A$5001,V$3,BD!$B$3:$B$5001,$A$519,BD!$T$3:$T$5001,"&lt;&gt;")=0,"",SUMIFS(BD!$T$3:$T$5001,BD!$A$3:$A$5001,V$3,BD!$B$3:$B$5001,$A$519)))</f>
        <v/>
      </c>
      <c r="W537" s="244" t="str">
        <f>IF(W$3="","",IF(COUNTIFS(BD!$A$3:$A$5001,W$3,BD!$B$3:$B$5001,$A$519,BD!$T$3:$T$5001,"&lt;&gt;")=0,"",SUMIFS(BD!$T$3:$T$5001,BD!$A$3:$A$5001,W$3,BD!$B$3:$B$5001,$A$519)))</f>
        <v/>
      </c>
      <c r="X537" s="244" t="str">
        <f>IF(X$3="","",IF(COUNTIFS(BD!$A$3:$A$5001,X$3,BD!$B$3:$B$5001,$A$519,BD!$T$3:$T$5001,"&lt;&gt;")=0,"",SUMIFS(BD!$T$3:$T$5001,BD!$A$3:$A$5001,X$3,BD!$B$3:$B$5001,$A$519)))</f>
        <v/>
      </c>
      <c r="Y537" s="244" t="str">
        <f>IF(Y$3="","",IF(COUNTIFS(BD!$A$3:$A$5001,Y$3,BD!$B$3:$B$5001,$A$519,BD!$T$3:$T$5001,"&lt;&gt;")=0,"",SUMIFS(BD!$T$3:$T$5001,BD!$A$3:$A$5001,Y$3,BD!$B$3:$B$5001,$A$519)))</f>
        <v/>
      </c>
      <c r="Z537" s="244" t="str">
        <f>IF(Z$3="","",IF(COUNTIFS(BD!$A$3:$A$5001,Z$3,BD!$B$3:$B$5001,$A$519,BD!$T$3:$T$5001,"&lt;&gt;")=0,"",SUMIFS(BD!$T$3:$T$5001,BD!$A$3:$A$5001,Z$3,BD!$B$3:$B$5001,$A$519)))</f>
        <v/>
      </c>
      <c r="AA537" s="244" t="str">
        <f>IF(AA$3="","",IF(COUNTIFS(BD!$A$3:$A$5001,AA$3,BD!$B$3:$B$5001,$A$519,BD!$T$3:$T$5001,"&lt;&gt;")=0,"",SUMIFS(BD!$T$3:$T$5001,BD!$A$3:$A$5001,AA$3,BD!$B$3:$B$5001,$A$519)))</f>
        <v/>
      </c>
      <c r="AB537" s="244" t="str">
        <f>IF(AB$3="","",IF(COUNTIFS(BD!$A$3:$A$5001,AB$3,BD!$B$3:$B$5001,$A$519,BD!$T$3:$T$5001,"&lt;&gt;")=0,"",SUMIFS(BD!$T$3:$T$5001,BD!$A$3:$A$5001,AB$3,BD!$B$3:$B$5001,$A$519)))</f>
        <v/>
      </c>
      <c r="AC537" s="244" t="str">
        <f>IF(AC$3="","",IF(COUNTIFS(BD!$A$3:$A$5001,AC$3,BD!$B$3:$B$5001,$A$519,BD!$T$3:$T$5001,"&lt;&gt;")=0,"",SUMIFS(BD!$T$3:$T$5001,BD!$A$3:$A$5001,AC$3,BD!$B$3:$B$5001,$A$519)))</f>
        <v/>
      </c>
      <c r="AD537" s="244" t="str">
        <f>IF(AD$3="","",IF(COUNTIFS(BD!$A$3:$A$5001,AD$3,BD!$B$3:$B$5001,$A$519,BD!$T$3:$T$5001,"&lt;&gt;")=0,"",SUMIFS(BD!$T$3:$T$5001,BD!$A$3:$A$5001,AD$3,BD!$B$3:$B$5001,$A$519)))</f>
        <v/>
      </c>
      <c r="AE537" s="244" t="str">
        <f>IF(AE$3="","",IF(COUNTIFS(BD!$A$3:$A$5001,AE$3,BD!$B$3:$B$5001,$A$519,BD!$T$3:$T$5001,"&lt;&gt;")=0,"",SUMIFS(BD!$T$3:$T$5001,BD!$A$3:$A$5001,AE$3,BD!$B$3:$B$5001,$A$519)))</f>
        <v/>
      </c>
      <c r="AF537" s="244" t="str">
        <f>IF(AF$3="","",IF(COUNTIFS(BD!$A$3:$A$5001,AF$3,BD!$B$3:$B$5001,$A$519,BD!$T$3:$T$5001,"&lt;&gt;")=0,"",SUMIFS(BD!$T$3:$T$5001,BD!$A$3:$A$5001,AF$3,BD!$B$3:$B$5001,$A$519)))</f>
        <v/>
      </c>
      <c r="AG537" s="244" t="str">
        <f>IF(AG$3="","",IF(COUNTIFS(BD!$A$3:$A$5001,AG$3,BD!$B$3:$B$5001,$A$519,BD!$T$3:$T$5001,"&lt;&gt;")=0,"",SUMIFS(BD!$T$3:$T$5001,BD!$A$3:$A$5001,AG$3,BD!$B$3:$B$5001,$A$519)))</f>
        <v/>
      </c>
      <c r="AH537" s="244" t="str">
        <f>IF(AH$3="","",IF(COUNTIFS(BD!$A$3:$A$5001,AH$3,BD!$B$3:$B$5001,$A$519,BD!$T$3:$T$5001,"&lt;&gt;")=0,"",SUMIFS(BD!$T$3:$T$5001,BD!$A$3:$A$5001,AH$3,BD!$B$3:$B$5001,$A$519)))</f>
        <v/>
      </c>
      <c r="AI537" s="244" t="str">
        <f>IF(AI$3="","",IF(COUNTIFS(BD!$A$3:$A$5001,AI$3,BD!$B$3:$B$5001,$A$519,BD!$T$3:$T$5001,"&lt;&gt;")=0,"",SUMIFS(BD!$T$3:$T$5001,BD!$A$3:$A$5001,AI$3,BD!$B$3:$B$5001,$A$519)))</f>
        <v/>
      </c>
      <c r="AJ537" s="245" t="str">
        <f>IF(AJ$3="","",IF(COUNTIFS(BD!$A$3:$A$5001,AJ$3,BD!$B$3:$B$5001,$A$519,BD!$T$3:$T$5001,"&lt;&gt;")=0,"",SUMIFS(BD!$T$3:$T$5001,BD!$A$3:$A$5001,AJ$3,BD!$B$3:$B$5001,$A$519)))</f>
        <v/>
      </c>
      <c r="AK537" s="246" t="str">
        <f>IFERROR(LOOKUP(9.99E+307,F537:AJ537),"")</f>
        <v/>
      </c>
    </row>
    <row r="538" ht="15.75" customHeight="1" hidden="1">
      <c r="A538" s="277"/>
      <c r="B538" s="274"/>
      <c r="C538" s="247" t="inlineStr">
        <is>
          <t xml:space="preserve">Falta</t>
        </is>
      </c>
      <c r="D538" s="248" t="str">
        <f>IFERROR(1/(1/INDEX(BD!$AF$42:$AZ$42,MATCH($A$519,BD!$AF$22:$AZ$22,0))),"")</f>
        <v/>
      </c>
      <c r="E538" s="249"/>
      <c r="F538" s="250" t="str">
        <f>IF(F$3="","",IF(COUNTIFS(BD!$A$3:$A$5001,F$3,BD!$B$3:$B$5001,$A$519,BD!$U$3:$U$5001,"&lt;&gt;")=0,"",SUMIFS(BD!$U$3:$U$5001,BD!$A$3:$A$5001,F$3,BD!$B$3:$B$5001,$A$519)))</f>
        <v/>
      </c>
      <c r="G538" s="251" t="str">
        <f>IF(G$3="","",IF(COUNTIFS(BD!$A$3:$A$5001,G$3,BD!$B$3:$B$5001,$A$519,BD!$U$3:$U$5001,"&lt;&gt;")=0,"",SUMIFS(BD!$U$3:$U$5001,BD!$A$3:$A$5001,G$3,BD!$B$3:$B$5001,$A$519)))</f>
        <v/>
      </c>
      <c r="H538" s="251" t="str">
        <f>IF(H$3="","",IF(COUNTIFS(BD!$A$3:$A$5001,H$3,BD!$B$3:$B$5001,$A$519,BD!$U$3:$U$5001,"&lt;&gt;")=0,"",SUMIFS(BD!$U$3:$U$5001,BD!$A$3:$A$5001,H$3,BD!$B$3:$B$5001,$A$519)))</f>
        <v/>
      </c>
      <c r="I538" s="251" t="str">
        <f>IF(I$3="","",IF(COUNTIFS(BD!$A$3:$A$5001,I$3,BD!$B$3:$B$5001,$A$519,BD!$U$3:$U$5001,"&lt;&gt;")=0,"",SUMIFS(BD!$U$3:$U$5001,BD!$A$3:$A$5001,I$3,BD!$B$3:$B$5001,$A$519)))</f>
        <v/>
      </c>
      <c r="J538" s="251" t="str">
        <f>IF(J$3="","",IF(COUNTIFS(BD!$A$3:$A$5001,J$3,BD!$B$3:$B$5001,$A$519,BD!$U$3:$U$5001,"&lt;&gt;")=0,"",SUMIFS(BD!$U$3:$U$5001,BD!$A$3:$A$5001,J$3,BD!$B$3:$B$5001,$A$519)))</f>
        <v/>
      </c>
      <c r="K538" s="251" t="str">
        <f>IF(K$3="","",IF(COUNTIFS(BD!$A$3:$A$5001,K$3,BD!$B$3:$B$5001,$A$519,BD!$U$3:$U$5001,"&lt;&gt;")=0,"",SUMIFS(BD!$U$3:$U$5001,BD!$A$3:$A$5001,K$3,BD!$B$3:$B$5001,$A$519)))</f>
        <v/>
      </c>
      <c r="L538" s="251" t="str">
        <f>IF(L$3="","",IF(COUNTIFS(BD!$A$3:$A$5001,L$3,BD!$B$3:$B$5001,$A$519,BD!$U$3:$U$5001,"&lt;&gt;")=0,"",SUMIFS(BD!$U$3:$U$5001,BD!$A$3:$A$5001,L$3,BD!$B$3:$B$5001,$A$519)))</f>
        <v/>
      </c>
      <c r="M538" s="251" t="str">
        <f>IF(M$3="","",IF(COUNTIFS(BD!$A$3:$A$5001,M$3,BD!$B$3:$B$5001,$A$519,BD!$U$3:$U$5001,"&lt;&gt;")=0,"",SUMIFS(BD!$U$3:$U$5001,BD!$A$3:$A$5001,M$3,BD!$B$3:$B$5001,$A$519)))</f>
        <v/>
      </c>
      <c r="N538" s="251" t="str">
        <f>IF(N$3="","",IF(COUNTIFS(BD!$A$3:$A$5001,N$3,BD!$B$3:$B$5001,$A$519,BD!$U$3:$U$5001,"&lt;&gt;")=0,"",SUMIFS(BD!$U$3:$U$5001,BD!$A$3:$A$5001,N$3,BD!$B$3:$B$5001,$A$519)))</f>
        <v/>
      </c>
      <c r="O538" s="251" t="str">
        <f>IF(O$3="","",IF(COUNTIFS(BD!$A$3:$A$5001,O$3,BD!$B$3:$B$5001,$A$519,BD!$U$3:$U$5001,"&lt;&gt;")=0,"",SUMIFS(BD!$U$3:$U$5001,BD!$A$3:$A$5001,O$3,BD!$B$3:$B$5001,$A$519)))</f>
        <v/>
      </c>
      <c r="P538" s="251" t="str">
        <f>IF(P$3="","",IF(COUNTIFS(BD!$A$3:$A$5001,P$3,BD!$B$3:$B$5001,$A$519,BD!$U$3:$U$5001,"&lt;&gt;")=0,"",SUMIFS(BD!$U$3:$U$5001,BD!$A$3:$A$5001,P$3,BD!$B$3:$B$5001,$A$519)))</f>
        <v/>
      </c>
      <c r="Q538" s="251" t="str">
        <f>IF(Q$3="","",IF(COUNTIFS(BD!$A$3:$A$5001,Q$3,BD!$B$3:$B$5001,$A$519,BD!$U$3:$U$5001,"&lt;&gt;")=0,"",SUMIFS(BD!$U$3:$U$5001,BD!$A$3:$A$5001,Q$3,BD!$B$3:$B$5001,$A$519)))</f>
        <v/>
      </c>
      <c r="R538" s="251" t="str">
        <f>IF(R$3="","",IF(COUNTIFS(BD!$A$3:$A$5001,R$3,BD!$B$3:$B$5001,$A$519,BD!$U$3:$U$5001,"&lt;&gt;")=0,"",SUMIFS(BD!$U$3:$U$5001,BD!$A$3:$A$5001,R$3,BD!$B$3:$B$5001,$A$519)))</f>
        <v/>
      </c>
      <c r="S538" s="251" t="str">
        <f>IF(S$3="","",IF(COUNTIFS(BD!$A$3:$A$5001,S$3,BD!$B$3:$B$5001,$A$519,BD!$U$3:$U$5001,"&lt;&gt;")=0,"",SUMIFS(BD!$U$3:$U$5001,BD!$A$3:$A$5001,S$3,BD!$B$3:$B$5001,$A$519)))</f>
        <v/>
      </c>
      <c r="T538" s="251" t="str">
        <f>IF(T$3="","",IF(COUNTIFS(BD!$A$3:$A$5001,T$3,BD!$B$3:$B$5001,$A$519,BD!$U$3:$U$5001,"&lt;&gt;")=0,"",SUMIFS(BD!$U$3:$U$5001,BD!$A$3:$A$5001,T$3,BD!$B$3:$B$5001,$A$519)))</f>
        <v/>
      </c>
      <c r="U538" s="251" t="str">
        <f>IF(U$3="","",IF(COUNTIFS(BD!$A$3:$A$5001,U$3,BD!$B$3:$B$5001,$A$519,BD!$U$3:$U$5001,"&lt;&gt;")=0,"",SUMIFS(BD!$U$3:$U$5001,BD!$A$3:$A$5001,U$3,BD!$B$3:$B$5001,$A$519)))</f>
        <v/>
      </c>
      <c r="V538" s="251" t="str">
        <f>IF(V$3="","",IF(COUNTIFS(BD!$A$3:$A$5001,V$3,BD!$B$3:$B$5001,$A$519,BD!$U$3:$U$5001,"&lt;&gt;")=0,"",SUMIFS(BD!$U$3:$U$5001,BD!$A$3:$A$5001,V$3,BD!$B$3:$B$5001,$A$519)))</f>
        <v/>
      </c>
      <c r="W538" s="251" t="str">
        <f>IF(W$3="","",IF(COUNTIFS(BD!$A$3:$A$5001,W$3,BD!$B$3:$B$5001,$A$519,BD!$U$3:$U$5001,"&lt;&gt;")=0,"",SUMIFS(BD!$U$3:$U$5001,BD!$A$3:$A$5001,W$3,BD!$B$3:$B$5001,$A$519)))</f>
        <v/>
      </c>
      <c r="X538" s="251" t="str">
        <f>IF(X$3="","",IF(COUNTIFS(BD!$A$3:$A$5001,X$3,BD!$B$3:$B$5001,$A$519,BD!$U$3:$U$5001,"&lt;&gt;")=0,"",SUMIFS(BD!$U$3:$U$5001,BD!$A$3:$A$5001,X$3,BD!$B$3:$B$5001,$A$519)))</f>
        <v/>
      </c>
      <c r="Y538" s="251" t="str">
        <f>IF(Y$3="","",IF(COUNTIFS(BD!$A$3:$A$5001,Y$3,BD!$B$3:$B$5001,$A$519,BD!$U$3:$U$5001,"&lt;&gt;")=0,"",SUMIFS(BD!$U$3:$U$5001,BD!$A$3:$A$5001,Y$3,BD!$B$3:$B$5001,$A$519)))</f>
        <v/>
      </c>
      <c r="Z538" s="251" t="str">
        <f>IF(Z$3="","",IF(COUNTIFS(BD!$A$3:$A$5001,Z$3,BD!$B$3:$B$5001,$A$519,BD!$U$3:$U$5001,"&lt;&gt;")=0,"",SUMIFS(BD!$U$3:$U$5001,BD!$A$3:$A$5001,Z$3,BD!$B$3:$B$5001,$A$519)))</f>
        <v/>
      </c>
      <c r="AA538" s="251" t="str">
        <f>IF(AA$3="","",IF(COUNTIFS(BD!$A$3:$A$5001,AA$3,BD!$B$3:$B$5001,$A$519,BD!$U$3:$U$5001,"&lt;&gt;")=0,"",SUMIFS(BD!$U$3:$U$5001,BD!$A$3:$A$5001,AA$3,BD!$B$3:$B$5001,$A$519)))</f>
        <v/>
      </c>
      <c r="AB538" s="251" t="str">
        <f>IF(AB$3="","",IF(COUNTIFS(BD!$A$3:$A$5001,AB$3,BD!$B$3:$B$5001,$A$519,BD!$U$3:$U$5001,"&lt;&gt;")=0,"",SUMIFS(BD!$U$3:$U$5001,BD!$A$3:$A$5001,AB$3,BD!$B$3:$B$5001,$A$519)))</f>
        <v/>
      </c>
      <c r="AC538" s="251" t="str">
        <f>IF(AC$3="","",IF(COUNTIFS(BD!$A$3:$A$5001,AC$3,BD!$B$3:$B$5001,$A$519,BD!$U$3:$U$5001,"&lt;&gt;")=0,"",SUMIFS(BD!$U$3:$U$5001,BD!$A$3:$A$5001,AC$3,BD!$B$3:$B$5001,$A$519)))</f>
        <v/>
      </c>
      <c r="AD538" s="251" t="str">
        <f>IF(AD$3="","",IF(COUNTIFS(BD!$A$3:$A$5001,AD$3,BD!$B$3:$B$5001,$A$519,BD!$U$3:$U$5001,"&lt;&gt;")=0,"",SUMIFS(BD!$U$3:$U$5001,BD!$A$3:$A$5001,AD$3,BD!$B$3:$B$5001,$A$519)))</f>
        <v/>
      </c>
      <c r="AE538" s="251" t="str">
        <f>IF(AE$3="","",IF(COUNTIFS(BD!$A$3:$A$5001,AE$3,BD!$B$3:$B$5001,$A$519,BD!$U$3:$U$5001,"&lt;&gt;")=0,"",SUMIFS(BD!$U$3:$U$5001,BD!$A$3:$A$5001,AE$3,BD!$B$3:$B$5001,$A$519)))</f>
        <v/>
      </c>
      <c r="AF538" s="251" t="str">
        <f>IF(AF$3="","",IF(COUNTIFS(BD!$A$3:$A$5001,AF$3,BD!$B$3:$B$5001,$A$519,BD!$U$3:$U$5001,"&lt;&gt;")=0,"",SUMIFS(BD!$U$3:$U$5001,BD!$A$3:$A$5001,AF$3,BD!$B$3:$B$5001,$A$519)))</f>
        <v/>
      </c>
      <c r="AG538" s="251" t="str">
        <f>IF(AG$3="","",IF(COUNTIFS(BD!$A$3:$A$5001,AG$3,BD!$B$3:$B$5001,$A$519,BD!$U$3:$U$5001,"&lt;&gt;")=0,"",SUMIFS(BD!$U$3:$U$5001,BD!$A$3:$A$5001,AG$3,BD!$B$3:$B$5001,$A$519)))</f>
        <v/>
      </c>
      <c r="AH538" s="251" t="str">
        <f>IF(AH$3="","",IF(COUNTIFS(BD!$A$3:$A$5001,AH$3,BD!$B$3:$B$5001,$A$519,BD!$U$3:$U$5001,"&lt;&gt;")=0,"",SUMIFS(BD!$U$3:$U$5001,BD!$A$3:$A$5001,AH$3,BD!$B$3:$B$5001,$A$519)))</f>
        <v/>
      </c>
      <c r="AI538" s="251" t="str">
        <f>IF(AI$3="","",IF(COUNTIFS(BD!$A$3:$A$5001,AI$3,BD!$B$3:$B$5001,$A$519,BD!$U$3:$U$5001,"&lt;&gt;")=0,"",SUMIFS(BD!$U$3:$U$5001,BD!$A$3:$A$5001,AI$3,BD!$B$3:$B$5001,$A$519)))</f>
        <v/>
      </c>
      <c r="AJ538" s="252" t="str">
        <f>IF(AJ$3="","",IF(COUNTIFS(BD!$A$3:$A$5001,AJ$3,BD!$B$3:$B$5001,$A$519,BD!$U$3:$U$5001,"&lt;&gt;")=0,"",SUMIFS(BD!$U$3:$U$5001,BD!$A$3:$A$5001,AJ$3,BD!$B$3:$B$5001,$A$519)))</f>
        <v/>
      </c>
      <c r="AK538" s="253" t="str">
        <f>IF(COUNT(F538:AJ538)=0,"",SUM(F538:AJ538))</f>
        <v/>
      </c>
    </row>
    <row r="539" ht="15.75" customHeight="1" hidden="1">
      <c r="A539" s="277"/>
      <c r="B539" s="274"/>
      <c r="C539" s="247" t="inlineStr">
        <is>
          <t xml:space="preserve">Absenteísmo (H/H)</t>
        </is>
      </c>
      <c r="D539" s="248" t="str">
        <f>IFERROR(1/(1/INDEX(BD!$AF$43:$AZ$43,MATCH($A$519,BD!$AF$22:$AZ$22,0))),"")</f>
        <v/>
      </c>
      <c r="E539" s="249"/>
      <c r="F539" s="254" t="str">
        <f>IF(F$3="","",IF(COUNTIFS(BD!$A$3:$A$5001,F$3,BD!$B$3:$B$5001,$A$519,BD!$V$3:$V$5001,"&lt;&gt;")=0,"",SUMIFS(BD!$V$3:$V$5001,BD!$A$3:$A$5001,F$3,BD!$B$3:$B$5001,$A$519)))</f>
        <v/>
      </c>
      <c r="G539" s="255" t="str">
        <f>IF(G$3="","",IF(COUNTIFS(BD!$A$3:$A$5001,G$3,BD!$B$3:$B$5001,$A$519,BD!$V$3:$V$5001,"&lt;&gt;")=0,"",SUMIFS(BD!$V$3:$V$5001,BD!$A$3:$A$5001,G$3,BD!$B$3:$B$5001,$A$519)))</f>
        <v/>
      </c>
      <c r="H539" s="255" t="str">
        <f>IF(H$3="","",IF(COUNTIFS(BD!$A$3:$A$5001,H$3,BD!$B$3:$B$5001,$A$519,BD!$V$3:$V$5001,"&lt;&gt;")=0,"",SUMIFS(BD!$V$3:$V$5001,BD!$A$3:$A$5001,H$3,BD!$B$3:$B$5001,$A$519)))</f>
        <v/>
      </c>
      <c r="I539" s="255" t="str">
        <f>IF(I$3="","",IF(COUNTIFS(BD!$A$3:$A$5001,I$3,BD!$B$3:$B$5001,$A$519,BD!$V$3:$V$5001,"&lt;&gt;")=0,"",SUMIFS(BD!$V$3:$V$5001,BD!$A$3:$A$5001,I$3,BD!$B$3:$B$5001,$A$519)))</f>
        <v/>
      </c>
      <c r="J539" s="255" t="str">
        <f>IF(J$3="","",IF(COUNTIFS(BD!$A$3:$A$5001,J$3,BD!$B$3:$B$5001,$A$519,BD!$V$3:$V$5001,"&lt;&gt;")=0,"",SUMIFS(BD!$V$3:$V$5001,BD!$A$3:$A$5001,J$3,BD!$B$3:$B$5001,$A$519)))</f>
        <v/>
      </c>
      <c r="K539" s="255" t="str">
        <f>IF(K$3="","",IF(COUNTIFS(BD!$A$3:$A$5001,K$3,BD!$B$3:$B$5001,$A$519,BD!$V$3:$V$5001,"&lt;&gt;")=0,"",SUMIFS(BD!$V$3:$V$5001,BD!$A$3:$A$5001,K$3,BD!$B$3:$B$5001,$A$519)))</f>
        <v/>
      </c>
      <c r="L539" s="255" t="str">
        <f>IF(L$3="","",IF(COUNTIFS(BD!$A$3:$A$5001,L$3,BD!$B$3:$B$5001,$A$519,BD!$V$3:$V$5001,"&lt;&gt;")=0,"",SUMIFS(BD!$V$3:$V$5001,BD!$A$3:$A$5001,L$3,BD!$B$3:$B$5001,$A$519)))</f>
        <v/>
      </c>
      <c r="M539" s="255" t="str">
        <f>IF(M$3="","",IF(COUNTIFS(BD!$A$3:$A$5001,M$3,BD!$B$3:$B$5001,$A$519,BD!$V$3:$V$5001,"&lt;&gt;")=0,"",SUMIFS(BD!$V$3:$V$5001,BD!$A$3:$A$5001,M$3,BD!$B$3:$B$5001,$A$519)))</f>
        <v/>
      </c>
      <c r="N539" s="255" t="str">
        <f>IF(N$3="","",IF(COUNTIFS(BD!$A$3:$A$5001,N$3,BD!$B$3:$B$5001,$A$519,BD!$V$3:$V$5001,"&lt;&gt;")=0,"",SUMIFS(BD!$V$3:$V$5001,BD!$A$3:$A$5001,N$3,BD!$B$3:$B$5001,$A$519)))</f>
        <v/>
      </c>
      <c r="O539" s="255" t="str">
        <f>IF(O$3="","",IF(COUNTIFS(BD!$A$3:$A$5001,O$3,BD!$B$3:$B$5001,$A$519,BD!$V$3:$V$5001,"&lt;&gt;")=0,"",SUMIFS(BD!$V$3:$V$5001,BD!$A$3:$A$5001,O$3,BD!$B$3:$B$5001,$A$519)))</f>
        <v/>
      </c>
      <c r="P539" s="255" t="str">
        <f>IF(P$3="","",IF(COUNTIFS(BD!$A$3:$A$5001,P$3,BD!$B$3:$B$5001,$A$519,BD!$V$3:$V$5001,"&lt;&gt;")=0,"",SUMIFS(BD!$V$3:$V$5001,BD!$A$3:$A$5001,P$3,BD!$B$3:$B$5001,$A$519)))</f>
        <v/>
      </c>
      <c r="Q539" s="255" t="str">
        <f>IF(Q$3="","",IF(COUNTIFS(BD!$A$3:$A$5001,Q$3,BD!$B$3:$B$5001,$A$519,BD!$V$3:$V$5001,"&lt;&gt;")=0,"",SUMIFS(BD!$V$3:$V$5001,BD!$A$3:$A$5001,Q$3,BD!$B$3:$B$5001,$A$519)))</f>
        <v/>
      </c>
      <c r="R539" s="255" t="str">
        <f>IF(R$3="","",IF(COUNTIFS(BD!$A$3:$A$5001,R$3,BD!$B$3:$B$5001,$A$519,BD!$V$3:$V$5001,"&lt;&gt;")=0,"",SUMIFS(BD!$V$3:$V$5001,BD!$A$3:$A$5001,R$3,BD!$B$3:$B$5001,$A$519)))</f>
        <v/>
      </c>
      <c r="S539" s="255" t="str">
        <f>IF(S$3="","",IF(COUNTIFS(BD!$A$3:$A$5001,S$3,BD!$B$3:$B$5001,$A$519,BD!$V$3:$V$5001,"&lt;&gt;")=0,"",SUMIFS(BD!$V$3:$V$5001,BD!$A$3:$A$5001,S$3,BD!$B$3:$B$5001,$A$519)))</f>
        <v/>
      </c>
      <c r="T539" s="255" t="str">
        <f>IF(T$3="","",IF(COUNTIFS(BD!$A$3:$A$5001,T$3,BD!$B$3:$B$5001,$A$519,BD!$V$3:$V$5001,"&lt;&gt;")=0,"",SUMIFS(BD!$V$3:$V$5001,BD!$A$3:$A$5001,T$3,BD!$B$3:$B$5001,$A$519)))</f>
        <v/>
      </c>
      <c r="U539" s="255" t="str">
        <f>IF(U$3="","",IF(COUNTIFS(BD!$A$3:$A$5001,U$3,BD!$B$3:$B$5001,$A$519,BD!$V$3:$V$5001,"&lt;&gt;")=0,"",SUMIFS(BD!$V$3:$V$5001,BD!$A$3:$A$5001,U$3,BD!$B$3:$B$5001,$A$519)))</f>
        <v/>
      </c>
      <c r="V539" s="255" t="str">
        <f>IF(V$3="","",IF(COUNTIFS(BD!$A$3:$A$5001,V$3,BD!$B$3:$B$5001,$A$519,BD!$V$3:$V$5001,"&lt;&gt;")=0,"",SUMIFS(BD!$V$3:$V$5001,BD!$A$3:$A$5001,V$3,BD!$B$3:$B$5001,$A$519)))</f>
        <v/>
      </c>
      <c r="W539" s="255" t="str">
        <f>IF(W$3="","",IF(COUNTIFS(BD!$A$3:$A$5001,W$3,BD!$B$3:$B$5001,$A$519,BD!$V$3:$V$5001,"&lt;&gt;")=0,"",SUMIFS(BD!$V$3:$V$5001,BD!$A$3:$A$5001,W$3,BD!$B$3:$B$5001,$A$519)))</f>
        <v/>
      </c>
      <c r="X539" s="255" t="str">
        <f>IF(X$3="","",IF(COUNTIFS(BD!$A$3:$A$5001,X$3,BD!$B$3:$B$5001,$A$519,BD!$V$3:$V$5001,"&lt;&gt;")=0,"",SUMIFS(BD!$V$3:$V$5001,BD!$A$3:$A$5001,X$3,BD!$B$3:$B$5001,$A$519)))</f>
        <v/>
      </c>
      <c r="Y539" s="255" t="str">
        <f>IF(Y$3="","",IF(COUNTIFS(BD!$A$3:$A$5001,Y$3,BD!$B$3:$B$5001,$A$519,BD!$V$3:$V$5001,"&lt;&gt;")=0,"",SUMIFS(BD!$V$3:$V$5001,BD!$A$3:$A$5001,Y$3,BD!$B$3:$B$5001,$A$519)))</f>
        <v/>
      </c>
      <c r="Z539" s="255" t="str">
        <f>IF(Z$3="","",IF(COUNTIFS(BD!$A$3:$A$5001,Z$3,BD!$B$3:$B$5001,$A$519,BD!$V$3:$V$5001,"&lt;&gt;")=0,"",SUMIFS(BD!$V$3:$V$5001,BD!$A$3:$A$5001,Z$3,BD!$B$3:$B$5001,$A$519)))</f>
        <v/>
      </c>
      <c r="AA539" s="255" t="str">
        <f>IF(AA$3="","",IF(COUNTIFS(BD!$A$3:$A$5001,AA$3,BD!$B$3:$B$5001,$A$519,BD!$V$3:$V$5001,"&lt;&gt;")=0,"",SUMIFS(BD!$V$3:$V$5001,BD!$A$3:$A$5001,AA$3,BD!$B$3:$B$5001,$A$519)))</f>
        <v/>
      </c>
      <c r="AB539" s="255" t="str">
        <f>IF(AB$3="","",IF(COUNTIFS(BD!$A$3:$A$5001,AB$3,BD!$B$3:$B$5001,$A$519,BD!$V$3:$V$5001,"&lt;&gt;")=0,"",SUMIFS(BD!$V$3:$V$5001,BD!$A$3:$A$5001,AB$3,BD!$B$3:$B$5001,$A$519)))</f>
        <v/>
      </c>
      <c r="AC539" s="255" t="str">
        <f>IF(AC$3="","",IF(COUNTIFS(BD!$A$3:$A$5001,AC$3,BD!$B$3:$B$5001,$A$519,BD!$V$3:$V$5001,"&lt;&gt;")=0,"",SUMIFS(BD!$V$3:$V$5001,BD!$A$3:$A$5001,AC$3,BD!$B$3:$B$5001,$A$519)))</f>
        <v/>
      </c>
      <c r="AD539" s="255" t="str">
        <f>IF(AD$3="","",IF(COUNTIFS(BD!$A$3:$A$5001,AD$3,BD!$B$3:$B$5001,$A$519,BD!$V$3:$V$5001,"&lt;&gt;")=0,"",SUMIFS(BD!$V$3:$V$5001,BD!$A$3:$A$5001,AD$3,BD!$B$3:$B$5001,$A$519)))</f>
        <v/>
      </c>
      <c r="AE539" s="255" t="str">
        <f>IF(AE$3="","",IF(COUNTIFS(BD!$A$3:$A$5001,AE$3,BD!$B$3:$B$5001,$A$519,BD!$V$3:$V$5001,"&lt;&gt;")=0,"",SUMIFS(BD!$V$3:$V$5001,BD!$A$3:$A$5001,AE$3,BD!$B$3:$B$5001,$A$519)))</f>
        <v/>
      </c>
      <c r="AF539" s="255" t="str">
        <f>IF(AF$3="","",IF(COUNTIFS(BD!$A$3:$A$5001,AF$3,BD!$B$3:$B$5001,$A$519,BD!$V$3:$V$5001,"&lt;&gt;")=0,"",SUMIFS(BD!$V$3:$V$5001,BD!$A$3:$A$5001,AF$3,BD!$B$3:$B$5001,$A$519)))</f>
        <v/>
      </c>
      <c r="AG539" s="255" t="str">
        <f>IF(AG$3="","",IF(COUNTIFS(BD!$A$3:$A$5001,AG$3,BD!$B$3:$B$5001,$A$519,BD!$V$3:$V$5001,"&lt;&gt;")=0,"",SUMIFS(BD!$V$3:$V$5001,BD!$A$3:$A$5001,AG$3,BD!$B$3:$B$5001,$A$519)))</f>
        <v/>
      </c>
      <c r="AH539" s="255" t="str">
        <f>IF(AH$3="","",IF(COUNTIFS(BD!$A$3:$A$5001,AH$3,BD!$B$3:$B$5001,$A$519,BD!$V$3:$V$5001,"&lt;&gt;")=0,"",SUMIFS(BD!$V$3:$V$5001,BD!$A$3:$A$5001,AH$3,BD!$B$3:$B$5001,$A$519)))</f>
        <v/>
      </c>
      <c r="AI539" s="255" t="str">
        <f>IF(AI$3="","",IF(COUNTIFS(BD!$A$3:$A$5001,AI$3,BD!$B$3:$B$5001,$A$519,BD!$V$3:$V$5001,"&lt;&gt;")=0,"",SUMIFS(BD!$V$3:$V$5001,BD!$A$3:$A$5001,AI$3,BD!$B$3:$B$5001,$A$519)))</f>
        <v/>
      </c>
      <c r="AJ539" s="256" t="str">
        <f>IF(AJ$3="","",IF(COUNTIFS(BD!$A$3:$A$5001,AJ$3,BD!$B$3:$B$5001,$A$519,BD!$V$3:$V$5001,"&lt;&gt;")=0,"",SUMIFS(BD!$V$3:$V$5001,BD!$A$3:$A$5001,AJ$3,BD!$B$3:$B$5001,$A$519)))</f>
        <v/>
      </c>
      <c r="AK539" s="257" t="str">
        <f>IF(COUNT(F539:AJ539)=0,"",SUM(F539:AJ539))</f>
        <v/>
      </c>
    </row>
    <row r="540" ht="15.75" customHeight="1" hidden="1">
      <c r="A540" s="277"/>
      <c r="B540" s="274"/>
      <c r="C540" s="247" t="inlineStr">
        <is>
          <t xml:space="preserve">Folga</t>
        </is>
      </c>
      <c r="D540" s="248" t="str">
        <f>IFERROR(1/(1/INDEX(BD!$AF$44:$AZ$44,MATCH($A$519,BD!$AF$22:$AZ$22,0))),"")</f>
        <v/>
      </c>
      <c r="E540" s="249"/>
      <c r="F540" s="250" t="str">
        <f>IF(F$3="","",IF(COUNTIFS(BD!$A$3:$A$5001,F$3,BD!$B$3:$B$5001,$A$519,BD!$W$3:$W$5001,"&lt;&gt;")=0,"",SUMIFS(BD!$W$3:$W$5001,BD!$A$3:$A$5001,F$3,BD!$B$3:$B$5001,$A$519)))</f>
        <v/>
      </c>
      <c r="G540" s="251" t="str">
        <f>IF(G$3="","",IF(COUNTIFS(BD!$A$3:$A$5001,G$3,BD!$B$3:$B$5001,$A$519,BD!$W$3:$W$5001,"&lt;&gt;")=0,"",SUMIFS(BD!$W$3:$W$5001,BD!$A$3:$A$5001,G$3,BD!$B$3:$B$5001,$A$519)))</f>
        <v/>
      </c>
      <c r="H540" s="251" t="str">
        <f>IF(H$3="","",IF(COUNTIFS(BD!$A$3:$A$5001,H$3,BD!$B$3:$B$5001,$A$519,BD!$W$3:$W$5001,"&lt;&gt;")=0,"",SUMIFS(BD!$W$3:$W$5001,BD!$A$3:$A$5001,H$3,BD!$B$3:$B$5001,$A$519)))</f>
        <v/>
      </c>
      <c r="I540" s="251" t="str">
        <f>IF(I$3="","",IF(COUNTIFS(BD!$A$3:$A$5001,I$3,BD!$B$3:$B$5001,$A$519,BD!$W$3:$W$5001,"&lt;&gt;")=0,"",SUMIFS(BD!$W$3:$W$5001,BD!$A$3:$A$5001,I$3,BD!$B$3:$B$5001,$A$519)))</f>
        <v/>
      </c>
      <c r="J540" s="251" t="str">
        <f>IF(J$3="","",IF(COUNTIFS(BD!$A$3:$A$5001,J$3,BD!$B$3:$B$5001,$A$519,BD!$W$3:$W$5001,"&lt;&gt;")=0,"",SUMIFS(BD!$W$3:$W$5001,BD!$A$3:$A$5001,J$3,BD!$B$3:$B$5001,$A$519)))</f>
        <v/>
      </c>
      <c r="K540" s="251" t="str">
        <f>IF(K$3="","",IF(COUNTIFS(BD!$A$3:$A$5001,K$3,BD!$B$3:$B$5001,$A$519,BD!$W$3:$W$5001,"&lt;&gt;")=0,"",SUMIFS(BD!$W$3:$W$5001,BD!$A$3:$A$5001,K$3,BD!$B$3:$B$5001,$A$519)))</f>
        <v/>
      </c>
      <c r="L540" s="251" t="str">
        <f>IF(L$3="","",IF(COUNTIFS(BD!$A$3:$A$5001,L$3,BD!$B$3:$B$5001,$A$519,BD!$W$3:$W$5001,"&lt;&gt;")=0,"",SUMIFS(BD!$W$3:$W$5001,BD!$A$3:$A$5001,L$3,BD!$B$3:$B$5001,$A$519)))</f>
        <v/>
      </c>
      <c r="M540" s="251" t="str">
        <f>IF(M$3="","",IF(COUNTIFS(BD!$A$3:$A$5001,M$3,BD!$B$3:$B$5001,$A$519,BD!$W$3:$W$5001,"&lt;&gt;")=0,"",SUMIFS(BD!$W$3:$W$5001,BD!$A$3:$A$5001,M$3,BD!$B$3:$B$5001,$A$519)))</f>
        <v/>
      </c>
      <c r="N540" s="251" t="str">
        <f>IF(N$3="","",IF(COUNTIFS(BD!$A$3:$A$5001,N$3,BD!$B$3:$B$5001,$A$519,BD!$W$3:$W$5001,"&lt;&gt;")=0,"",SUMIFS(BD!$W$3:$W$5001,BD!$A$3:$A$5001,N$3,BD!$B$3:$B$5001,$A$519)))</f>
        <v/>
      </c>
      <c r="O540" s="251" t="str">
        <f>IF(O$3="","",IF(COUNTIFS(BD!$A$3:$A$5001,O$3,BD!$B$3:$B$5001,$A$519,BD!$W$3:$W$5001,"&lt;&gt;")=0,"",SUMIFS(BD!$W$3:$W$5001,BD!$A$3:$A$5001,O$3,BD!$B$3:$B$5001,$A$519)))</f>
        <v/>
      </c>
      <c r="P540" s="251" t="str">
        <f>IF(P$3="","",IF(COUNTIFS(BD!$A$3:$A$5001,P$3,BD!$B$3:$B$5001,$A$519,BD!$W$3:$W$5001,"&lt;&gt;")=0,"",SUMIFS(BD!$W$3:$W$5001,BD!$A$3:$A$5001,P$3,BD!$B$3:$B$5001,$A$519)))</f>
        <v/>
      </c>
      <c r="Q540" s="251" t="str">
        <f>IF(Q$3="","",IF(COUNTIFS(BD!$A$3:$A$5001,Q$3,BD!$B$3:$B$5001,$A$519,BD!$W$3:$W$5001,"&lt;&gt;")=0,"",SUMIFS(BD!$W$3:$W$5001,BD!$A$3:$A$5001,Q$3,BD!$B$3:$B$5001,$A$519)))</f>
        <v/>
      </c>
      <c r="R540" s="251" t="str">
        <f>IF(R$3="","",IF(COUNTIFS(BD!$A$3:$A$5001,R$3,BD!$B$3:$B$5001,$A$519,BD!$W$3:$W$5001,"&lt;&gt;")=0,"",SUMIFS(BD!$W$3:$W$5001,BD!$A$3:$A$5001,R$3,BD!$B$3:$B$5001,$A$519)))</f>
        <v/>
      </c>
      <c r="S540" s="251" t="str">
        <f>IF(S$3="","",IF(COUNTIFS(BD!$A$3:$A$5001,S$3,BD!$B$3:$B$5001,$A$519,BD!$W$3:$W$5001,"&lt;&gt;")=0,"",SUMIFS(BD!$W$3:$W$5001,BD!$A$3:$A$5001,S$3,BD!$B$3:$B$5001,$A$519)))</f>
        <v/>
      </c>
      <c r="T540" s="251" t="str">
        <f>IF(T$3="","",IF(COUNTIFS(BD!$A$3:$A$5001,T$3,BD!$B$3:$B$5001,$A$519,BD!$W$3:$W$5001,"&lt;&gt;")=0,"",SUMIFS(BD!$W$3:$W$5001,BD!$A$3:$A$5001,T$3,BD!$B$3:$B$5001,$A$519)))</f>
        <v/>
      </c>
      <c r="U540" s="251" t="str">
        <f>IF(U$3="","",IF(COUNTIFS(BD!$A$3:$A$5001,U$3,BD!$B$3:$B$5001,$A$519,BD!$W$3:$W$5001,"&lt;&gt;")=0,"",SUMIFS(BD!$W$3:$W$5001,BD!$A$3:$A$5001,U$3,BD!$B$3:$B$5001,$A$519)))</f>
        <v/>
      </c>
      <c r="V540" s="251" t="str">
        <f>IF(V$3="","",IF(COUNTIFS(BD!$A$3:$A$5001,V$3,BD!$B$3:$B$5001,$A$519,BD!$W$3:$W$5001,"&lt;&gt;")=0,"",SUMIFS(BD!$W$3:$W$5001,BD!$A$3:$A$5001,V$3,BD!$B$3:$B$5001,$A$519)))</f>
        <v/>
      </c>
      <c r="W540" s="251" t="str">
        <f>IF(W$3="","",IF(COUNTIFS(BD!$A$3:$A$5001,W$3,BD!$B$3:$B$5001,$A$519,BD!$W$3:$W$5001,"&lt;&gt;")=0,"",SUMIFS(BD!$W$3:$W$5001,BD!$A$3:$A$5001,W$3,BD!$B$3:$B$5001,$A$519)))</f>
        <v/>
      </c>
      <c r="X540" s="251" t="str">
        <f>IF(X$3="","",IF(COUNTIFS(BD!$A$3:$A$5001,X$3,BD!$B$3:$B$5001,$A$519,BD!$W$3:$W$5001,"&lt;&gt;")=0,"",SUMIFS(BD!$W$3:$W$5001,BD!$A$3:$A$5001,X$3,BD!$B$3:$B$5001,$A$519)))</f>
        <v/>
      </c>
      <c r="Y540" s="251" t="str">
        <f>IF(Y$3="","",IF(COUNTIFS(BD!$A$3:$A$5001,Y$3,BD!$B$3:$B$5001,$A$519,BD!$W$3:$W$5001,"&lt;&gt;")=0,"",SUMIFS(BD!$W$3:$W$5001,BD!$A$3:$A$5001,Y$3,BD!$B$3:$B$5001,$A$519)))</f>
        <v/>
      </c>
      <c r="Z540" s="251" t="str">
        <f>IF(Z$3="","",IF(COUNTIFS(BD!$A$3:$A$5001,Z$3,BD!$B$3:$B$5001,$A$519,BD!$W$3:$W$5001,"&lt;&gt;")=0,"",SUMIFS(BD!$W$3:$W$5001,BD!$A$3:$A$5001,Z$3,BD!$B$3:$B$5001,$A$519)))</f>
        <v/>
      </c>
      <c r="AA540" s="251" t="str">
        <f>IF(AA$3="","",IF(COUNTIFS(BD!$A$3:$A$5001,AA$3,BD!$B$3:$B$5001,$A$519,BD!$W$3:$W$5001,"&lt;&gt;")=0,"",SUMIFS(BD!$W$3:$W$5001,BD!$A$3:$A$5001,AA$3,BD!$B$3:$B$5001,$A$519)))</f>
        <v/>
      </c>
      <c r="AB540" s="251" t="str">
        <f>IF(AB$3="","",IF(COUNTIFS(BD!$A$3:$A$5001,AB$3,BD!$B$3:$B$5001,$A$519,BD!$W$3:$W$5001,"&lt;&gt;")=0,"",SUMIFS(BD!$W$3:$W$5001,BD!$A$3:$A$5001,AB$3,BD!$B$3:$B$5001,$A$519)))</f>
        <v/>
      </c>
      <c r="AC540" s="251" t="str">
        <f>IF(AC$3="","",IF(COUNTIFS(BD!$A$3:$A$5001,AC$3,BD!$B$3:$B$5001,$A$519,BD!$W$3:$W$5001,"&lt;&gt;")=0,"",SUMIFS(BD!$W$3:$W$5001,BD!$A$3:$A$5001,AC$3,BD!$B$3:$B$5001,$A$519)))</f>
        <v/>
      </c>
      <c r="AD540" s="251" t="str">
        <f>IF(AD$3="","",IF(COUNTIFS(BD!$A$3:$A$5001,AD$3,BD!$B$3:$B$5001,$A$519,BD!$W$3:$W$5001,"&lt;&gt;")=0,"",SUMIFS(BD!$W$3:$W$5001,BD!$A$3:$A$5001,AD$3,BD!$B$3:$B$5001,$A$519)))</f>
        <v/>
      </c>
      <c r="AE540" s="251" t="str">
        <f>IF(AE$3="","",IF(COUNTIFS(BD!$A$3:$A$5001,AE$3,BD!$B$3:$B$5001,$A$519,BD!$W$3:$W$5001,"&lt;&gt;")=0,"",SUMIFS(BD!$W$3:$W$5001,BD!$A$3:$A$5001,AE$3,BD!$B$3:$B$5001,$A$519)))</f>
        <v/>
      </c>
      <c r="AF540" s="251" t="str">
        <f>IF(AF$3="","",IF(COUNTIFS(BD!$A$3:$A$5001,AF$3,BD!$B$3:$B$5001,$A$519,BD!$W$3:$W$5001,"&lt;&gt;")=0,"",SUMIFS(BD!$W$3:$W$5001,BD!$A$3:$A$5001,AF$3,BD!$B$3:$B$5001,$A$519)))</f>
        <v/>
      </c>
      <c r="AG540" s="251" t="str">
        <f>IF(AG$3="","",IF(COUNTIFS(BD!$A$3:$A$5001,AG$3,BD!$B$3:$B$5001,$A$519,BD!$W$3:$W$5001,"&lt;&gt;")=0,"",SUMIFS(BD!$W$3:$W$5001,BD!$A$3:$A$5001,AG$3,BD!$B$3:$B$5001,$A$519)))</f>
        <v/>
      </c>
      <c r="AH540" s="251" t="str">
        <f>IF(AH$3="","",IF(COUNTIFS(BD!$A$3:$A$5001,AH$3,BD!$B$3:$B$5001,$A$519,BD!$W$3:$W$5001,"&lt;&gt;")=0,"",SUMIFS(BD!$W$3:$W$5001,BD!$A$3:$A$5001,AH$3,BD!$B$3:$B$5001,$A$519)))</f>
        <v/>
      </c>
      <c r="AI540" s="251" t="str">
        <f>IF(AI$3="","",IF(COUNTIFS(BD!$A$3:$A$5001,AI$3,BD!$B$3:$B$5001,$A$519,BD!$W$3:$W$5001,"&lt;&gt;")=0,"",SUMIFS(BD!$W$3:$W$5001,BD!$A$3:$A$5001,AI$3,BD!$B$3:$B$5001,$A$519)))</f>
        <v/>
      </c>
      <c r="AJ540" s="252" t="str">
        <f>IF(AJ$3="","",IF(COUNTIFS(BD!$A$3:$A$5001,AJ$3,BD!$B$3:$B$5001,$A$519,BD!$W$3:$W$5001,"&lt;&gt;")=0,"",SUMIFS(BD!$W$3:$W$5001,BD!$A$3:$A$5001,AJ$3,BD!$B$3:$B$5001,$A$519)))</f>
        <v/>
      </c>
      <c r="AK540" s="253" t="str">
        <f>IF(COUNT(F540:AJ540)=0,"",SUM(F540:AJ540))</f>
        <v/>
      </c>
    </row>
    <row r="541" ht="15.75" customHeight="1" hidden="1">
      <c r="A541" s="277"/>
      <c r="B541" s="274"/>
      <c r="C541" s="247" t="inlineStr">
        <is>
          <t xml:space="preserve">Férias</t>
        </is>
      </c>
      <c r="D541" s="248" t="str">
        <f>IFERROR(1/(1/INDEX(BD!$AF$45:$AZ$45,MATCH($A$519,BD!$AF$22:$AZ$22,0))),"")</f>
        <v/>
      </c>
      <c r="E541" s="249"/>
      <c r="F541" s="250" t="str">
        <f>IF(F$3="","",IF(COUNTIFS(BD!$A$3:$A$5001,F$3,BD!$B$3:$B$5001,$A$519,BD!$X$3:$X$5001,"&lt;&gt;")=0,"",SUMIFS(BD!$X$3:$X$5001,BD!$A$3:$A$5001,F$3,BD!$B$3:$B$5001,$A$519)))</f>
        <v/>
      </c>
      <c r="G541" s="251" t="str">
        <f>IF(G$3="","",IF(COUNTIFS(BD!$A$3:$A$5001,G$3,BD!$B$3:$B$5001,$A$519,BD!$X$3:$X$5001,"&lt;&gt;")=0,"",SUMIFS(BD!$X$3:$X$5001,BD!$A$3:$A$5001,G$3,BD!$B$3:$B$5001,$A$519)))</f>
        <v/>
      </c>
      <c r="H541" s="251" t="str">
        <f>IF(H$3="","",IF(COUNTIFS(BD!$A$3:$A$5001,H$3,BD!$B$3:$B$5001,$A$519,BD!$X$3:$X$5001,"&lt;&gt;")=0,"",SUMIFS(BD!$X$3:$X$5001,BD!$A$3:$A$5001,H$3,BD!$B$3:$B$5001,$A$519)))</f>
        <v/>
      </c>
      <c r="I541" s="251" t="str">
        <f>IF(I$3="","",IF(COUNTIFS(BD!$A$3:$A$5001,I$3,BD!$B$3:$B$5001,$A$519,BD!$X$3:$X$5001,"&lt;&gt;")=0,"",SUMIFS(BD!$X$3:$X$5001,BD!$A$3:$A$5001,I$3,BD!$B$3:$B$5001,$A$519)))</f>
        <v/>
      </c>
      <c r="J541" s="251" t="str">
        <f>IF(J$3="","",IF(COUNTIFS(BD!$A$3:$A$5001,J$3,BD!$B$3:$B$5001,$A$519,BD!$X$3:$X$5001,"&lt;&gt;")=0,"",SUMIFS(BD!$X$3:$X$5001,BD!$A$3:$A$5001,J$3,BD!$B$3:$B$5001,$A$519)))</f>
        <v/>
      </c>
      <c r="K541" s="251" t="str">
        <f>IF(K$3="","",IF(COUNTIFS(BD!$A$3:$A$5001,K$3,BD!$B$3:$B$5001,$A$519,BD!$X$3:$X$5001,"&lt;&gt;")=0,"",SUMIFS(BD!$X$3:$X$5001,BD!$A$3:$A$5001,K$3,BD!$B$3:$B$5001,$A$519)))</f>
        <v/>
      </c>
      <c r="L541" s="251" t="str">
        <f>IF(L$3="","",IF(COUNTIFS(BD!$A$3:$A$5001,L$3,BD!$B$3:$B$5001,$A$519,BD!$X$3:$X$5001,"&lt;&gt;")=0,"",SUMIFS(BD!$X$3:$X$5001,BD!$A$3:$A$5001,L$3,BD!$B$3:$B$5001,$A$519)))</f>
        <v/>
      </c>
      <c r="M541" s="251" t="str">
        <f>IF(M$3="","",IF(COUNTIFS(BD!$A$3:$A$5001,M$3,BD!$B$3:$B$5001,$A$519,BD!$X$3:$X$5001,"&lt;&gt;")=0,"",SUMIFS(BD!$X$3:$X$5001,BD!$A$3:$A$5001,M$3,BD!$B$3:$B$5001,$A$519)))</f>
        <v/>
      </c>
      <c r="N541" s="251" t="str">
        <f>IF(N$3="","",IF(COUNTIFS(BD!$A$3:$A$5001,N$3,BD!$B$3:$B$5001,$A$519,BD!$X$3:$X$5001,"&lt;&gt;")=0,"",SUMIFS(BD!$X$3:$X$5001,BD!$A$3:$A$5001,N$3,BD!$B$3:$B$5001,$A$519)))</f>
        <v/>
      </c>
      <c r="O541" s="251" t="str">
        <f>IF(O$3="","",IF(COUNTIFS(BD!$A$3:$A$5001,O$3,BD!$B$3:$B$5001,$A$519,BD!$X$3:$X$5001,"&lt;&gt;")=0,"",SUMIFS(BD!$X$3:$X$5001,BD!$A$3:$A$5001,O$3,BD!$B$3:$B$5001,$A$519)))</f>
        <v/>
      </c>
      <c r="P541" s="251" t="str">
        <f>IF(P$3="","",IF(COUNTIFS(BD!$A$3:$A$5001,P$3,BD!$B$3:$B$5001,$A$519,BD!$X$3:$X$5001,"&lt;&gt;")=0,"",SUMIFS(BD!$X$3:$X$5001,BD!$A$3:$A$5001,P$3,BD!$B$3:$B$5001,$A$519)))</f>
        <v/>
      </c>
      <c r="Q541" s="251" t="str">
        <f>IF(Q$3="","",IF(COUNTIFS(BD!$A$3:$A$5001,Q$3,BD!$B$3:$B$5001,$A$519,BD!$X$3:$X$5001,"&lt;&gt;")=0,"",SUMIFS(BD!$X$3:$X$5001,BD!$A$3:$A$5001,Q$3,BD!$B$3:$B$5001,$A$519)))</f>
        <v/>
      </c>
      <c r="R541" s="251" t="str">
        <f>IF(R$3="","",IF(COUNTIFS(BD!$A$3:$A$5001,R$3,BD!$B$3:$B$5001,$A$519,BD!$X$3:$X$5001,"&lt;&gt;")=0,"",SUMIFS(BD!$X$3:$X$5001,BD!$A$3:$A$5001,R$3,BD!$B$3:$B$5001,$A$519)))</f>
        <v/>
      </c>
      <c r="S541" s="251" t="str">
        <f>IF(S$3="","",IF(COUNTIFS(BD!$A$3:$A$5001,S$3,BD!$B$3:$B$5001,$A$519,BD!$X$3:$X$5001,"&lt;&gt;")=0,"",SUMIFS(BD!$X$3:$X$5001,BD!$A$3:$A$5001,S$3,BD!$B$3:$B$5001,$A$519)))</f>
        <v/>
      </c>
      <c r="T541" s="251" t="str">
        <f>IF(T$3="","",IF(COUNTIFS(BD!$A$3:$A$5001,T$3,BD!$B$3:$B$5001,$A$519,BD!$X$3:$X$5001,"&lt;&gt;")=0,"",SUMIFS(BD!$X$3:$X$5001,BD!$A$3:$A$5001,T$3,BD!$B$3:$B$5001,$A$519)))</f>
        <v/>
      </c>
      <c r="U541" s="251" t="str">
        <f>IF(U$3="","",IF(COUNTIFS(BD!$A$3:$A$5001,U$3,BD!$B$3:$B$5001,$A$519,BD!$X$3:$X$5001,"&lt;&gt;")=0,"",SUMIFS(BD!$X$3:$X$5001,BD!$A$3:$A$5001,U$3,BD!$B$3:$B$5001,$A$519)))</f>
        <v/>
      </c>
      <c r="V541" s="251" t="str">
        <f>IF(V$3="","",IF(COUNTIFS(BD!$A$3:$A$5001,V$3,BD!$B$3:$B$5001,$A$519,BD!$X$3:$X$5001,"&lt;&gt;")=0,"",SUMIFS(BD!$X$3:$X$5001,BD!$A$3:$A$5001,V$3,BD!$B$3:$B$5001,$A$519)))</f>
        <v/>
      </c>
      <c r="W541" s="251" t="str">
        <f>IF(W$3="","",IF(COUNTIFS(BD!$A$3:$A$5001,W$3,BD!$B$3:$B$5001,$A$519,BD!$X$3:$X$5001,"&lt;&gt;")=0,"",SUMIFS(BD!$X$3:$X$5001,BD!$A$3:$A$5001,W$3,BD!$B$3:$B$5001,$A$519)))</f>
        <v/>
      </c>
      <c r="X541" s="251" t="str">
        <f>IF(X$3="","",IF(COUNTIFS(BD!$A$3:$A$5001,X$3,BD!$B$3:$B$5001,$A$519,BD!$X$3:$X$5001,"&lt;&gt;")=0,"",SUMIFS(BD!$X$3:$X$5001,BD!$A$3:$A$5001,X$3,BD!$B$3:$B$5001,$A$519)))</f>
        <v/>
      </c>
      <c r="Y541" s="251" t="str">
        <f>IF(Y$3="","",IF(COUNTIFS(BD!$A$3:$A$5001,Y$3,BD!$B$3:$B$5001,$A$519,BD!$X$3:$X$5001,"&lt;&gt;")=0,"",SUMIFS(BD!$X$3:$X$5001,BD!$A$3:$A$5001,Y$3,BD!$B$3:$B$5001,$A$519)))</f>
        <v/>
      </c>
      <c r="Z541" s="251" t="str">
        <f>IF(Z$3="","",IF(COUNTIFS(BD!$A$3:$A$5001,Z$3,BD!$B$3:$B$5001,$A$519,BD!$X$3:$X$5001,"&lt;&gt;")=0,"",SUMIFS(BD!$X$3:$X$5001,BD!$A$3:$A$5001,Z$3,BD!$B$3:$B$5001,$A$519)))</f>
        <v/>
      </c>
      <c r="AA541" s="251" t="str">
        <f>IF(AA$3="","",IF(COUNTIFS(BD!$A$3:$A$5001,AA$3,BD!$B$3:$B$5001,$A$519,BD!$X$3:$X$5001,"&lt;&gt;")=0,"",SUMIFS(BD!$X$3:$X$5001,BD!$A$3:$A$5001,AA$3,BD!$B$3:$B$5001,$A$519)))</f>
        <v/>
      </c>
      <c r="AB541" s="251" t="str">
        <f>IF(AB$3="","",IF(COUNTIFS(BD!$A$3:$A$5001,AB$3,BD!$B$3:$B$5001,$A$519,BD!$X$3:$X$5001,"&lt;&gt;")=0,"",SUMIFS(BD!$X$3:$X$5001,BD!$A$3:$A$5001,AB$3,BD!$B$3:$B$5001,$A$519)))</f>
        <v/>
      </c>
      <c r="AC541" s="251" t="str">
        <f>IF(AC$3="","",IF(COUNTIFS(BD!$A$3:$A$5001,AC$3,BD!$B$3:$B$5001,$A$519,BD!$X$3:$X$5001,"&lt;&gt;")=0,"",SUMIFS(BD!$X$3:$X$5001,BD!$A$3:$A$5001,AC$3,BD!$B$3:$B$5001,$A$519)))</f>
        <v/>
      </c>
      <c r="AD541" s="251" t="str">
        <f>IF(AD$3="","",IF(COUNTIFS(BD!$A$3:$A$5001,AD$3,BD!$B$3:$B$5001,$A$519,BD!$X$3:$X$5001,"&lt;&gt;")=0,"",SUMIFS(BD!$X$3:$X$5001,BD!$A$3:$A$5001,AD$3,BD!$B$3:$B$5001,$A$519)))</f>
        <v/>
      </c>
      <c r="AE541" s="251" t="str">
        <f>IF(AE$3="","",IF(COUNTIFS(BD!$A$3:$A$5001,AE$3,BD!$B$3:$B$5001,$A$519,BD!$X$3:$X$5001,"&lt;&gt;")=0,"",SUMIFS(BD!$X$3:$X$5001,BD!$A$3:$A$5001,AE$3,BD!$B$3:$B$5001,$A$519)))</f>
        <v/>
      </c>
      <c r="AF541" s="251" t="str">
        <f>IF(AF$3="","",IF(COUNTIFS(BD!$A$3:$A$5001,AF$3,BD!$B$3:$B$5001,$A$519,BD!$X$3:$X$5001,"&lt;&gt;")=0,"",SUMIFS(BD!$X$3:$X$5001,BD!$A$3:$A$5001,AF$3,BD!$B$3:$B$5001,$A$519)))</f>
        <v/>
      </c>
      <c r="AG541" s="251" t="str">
        <f>IF(AG$3="","",IF(COUNTIFS(BD!$A$3:$A$5001,AG$3,BD!$B$3:$B$5001,$A$519,BD!$X$3:$X$5001,"&lt;&gt;")=0,"",SUMIFS(BD!$X$3:$X$5001,BD!$A$3:$A$5001,AG$3,BD!$B$3:$B$5001,$A$519)))</f>
        <v/>
      </c>
      <c r="AH541" s="251" t="str">
        <f>IF(AH$3="","",IF(COUNTIFS(BD!$A$3:$A$5001,AH$3,BD!$B$3:$B$5001,$A$519,BD!$X$3:$X$5001,"&lt;&gt;")=0,"",SUMIFS(BD!$X$3:$X$5001,BD!$A$3:$A$5001,AH$3,BD!$B$3:$B$5001,$A$519)))</f>
        <v/>
      </c>
      <c r="AI541" s="251" t="str">
        <f>IF(AI$3="","",IF(COUNTIFS(BD!$A$3:$A$5001,AI$3,BD!$B$3:$B$5001,$A$519,BD!$X$3:$X$5001,"&lt;&gt;")=0,"",SUMIFS(BD!$X$3:$X$5001,BD!$A$3:$A$5001,AI$3,BD!$B$3:$B$5001,$A$519)))</f>
        <v/>
      </c>
      <c r="AJ541" s="252" t="str">
        <f>IF(AJ$3="","",IF(COUNTIFS(BD!$A$3:$A$5001,AJ$3,BD!$B$3:$B$5001,$A$519,BD!$X$3:$X$5001,"&lt;&gt;")=0,"",SUMIFS(BD!$X$3:$X$5001,BD!$A$3:$A$5001,AJ$3,BD!$B$3:$B$5001,$A$519)))</f>
        <v/>
      </c>
      <c r="AK541" s="253" t="str">
        <f>IF(COUNT(F541:AJ541)=0,"",SUM(F541:AJ541))</f>
        <v/>
      </c>
    </row>
    <row r="542" ht="15.75" customHeight="1" hidden="1">
      <c r="A542" s="277"/>
      <c r="B542" s="274"/>
      <c r="C542" s="247" t="inlineStr">
        <is>
          <t xml:space="preserve">Desligamento</t>
        </is>
      </c>
      <c r="D542" s="248" t="str">
        <f>IFERROR(1/(1/INDEX(BD!$AF$46:$AZ$46,MATCH($A$519,BD!$AF$22:$AZ$22,0))),"")</f>
        <v/>
      </c>
      <c r="E542" s="249"/>
      <c r="F542" s="250" t="str">
        <f>IF(F$3="","",IF(COUNTIFS(BD!$A$3:$A$5001,F$3,BD!$B$3:$B$5001,$A$519,BD!$Y$3:$Y$5001,"&lt;&gt;")=0,"",SUMIFS(BD!$Y$3:$Y$5001,BD!$A$3:$A$5001,F$3,BD!$B$3:$B$5001,$A$519)))</f>
        <v/>
      </c>
      <c r="G542" s="251" t="str">
        <f>IF(G$3="","",IF(COUNTIFS(BD!$A$3:$A$5001,G$3,BD!$B$3:$B$5001,$A$519,BD!$Y$3:$Y$5001,"&lt;&gt;")=0,"",SUMIFS(BD!$Y$3:$Y$5001,BD!$A$3:$A$5001,G$3,BD!$B$3:$B$5001,$A$519)))</f>
        <v/>
      </c>
      <c r="H542" s="251" t="str">
        <f>IF(H$3="","",IF(COUNTIFS(BD!$A$3:$A$5001,H$3,BD!$B$3:$B$5001,$A$519,BD!$Y$3:$Y$5001,"&lt;&gt;")=0,"",SUMIFS(BD!$Y$3:$Y$5001,BD!$A$3:$A$5001,H$3,BD!$B$3:$B$5001,$A$519)))</f>
        <v/>
      </c>
      <c r="I542" s="251" t="str">
        <f>IF(I$3="","",IF(COUNTIFS(BD!$A$3:$A$5001,I$3,BD!$B$3:$B$5001,$A$519,BD!$Y$3:$Y$5001,"&lt;&gt;")=0,"",SUMIFS(BD!$Y$3:$Y$5001,BD!$A$3:$A$5001,I$3,BD!$B$3:$B$5001,$A$519)))</f>
        <v/>
      </c>
      <c r="J542" s="251" t="str">
        <f>IF(J$3="","",IF(COUNTIFS(BD!$A$3:$A$5001,J$3,BD!$B$3:$B$5001,$A$519,BD!$Y$3:$Y$5001,"&lt;&gt;")=0,"",SUMIFS(BD!$Y$3:$Y$5001,BD!$A$3:$A$5001,J$3,BD!$B$3:$B$5001,$A$519)))</f>
        <v/>
      </c>
      <c r="K542" s="251" t="str">
        <f>IF(K$3="","",IF(COUNTIFS(BD!$A$3:$A$5001,K$3,BD!$B$3:$B$5001,$A$519,BD!$Y$3:$Y$5001,"&lt;&gt;")=0,"",SUMIFS(BD!$Y$3:$Y$5001,BD!$A$3:$A$5001,K$3,BD!$B$3:$B$5001,$A$519)))</f>
        <v/>
      </c>
      <c r="L542" s="251" t="str">
        <f>IF(L$3="","",IF(COUNTIFS(BD!$A$3:$A$5001,L$3,BD!$B$3:$B$5001,$A$519,BD!$Y$3:$Y$5001,"&lt;&gt;")=0,"",SUMIFS(BD!$Y$3:$Y$5001,BD!$A$3:$A$5001,L$3,BD!$B$3:$B$5001,$A$519)))</f>
        <v/>
      </c>
      <c r="M542" s="251" t="str">
        <f>IF(M$3="","",IF(COUNTIFS(BD!$A$3:$A$5001,M$3,BD!$B$3:$B$5001,$A$519,BD!$Y$3:$Y$5001,"&lt;&gt;")=0,"",SUMIFS(BD!$Y$3:$Y$5001,BD!$A$3:$A$5001,M$3,BD!$B$3:$B$5001,$A$519)))</f>
        <v/>
      </c>
      <c r="N542" s="251" t="str">
        <f>IF(N$3="","",IF(COUNTIFS(BD!$A$3:$A$5001,N$3,BD!$B$3:$B$5001,$A$519,BD!$Y$3:$Y$5001,"&lt;&gt;")=0,"",SUMIFS(BD!$Y$3:$Y$5001,BD!$A$3:$A$5001,N$3,BD!$B$3:$B$5001,$A$519)))</f>
        <v/>
      </c>
      <c r="O542" s="251" t="str">
        <f>IF(O$3="","",IF(COUNTIFS(BD!$A$3:$A$5001,O$3,BD!$B$3:$B$5001,$A$519,BD!$Y$3:$Y$5001,"&lt;&gt;")=0,"",SUMIFS(BD!$Y$3:$Y$5001,BD!$A$3:$A$5001,O$3,BD!$B$3:$B$5001,$A$519)))</f>
        <v/>
      </c>
      <c r="P542" s="251" t="str">
        <f>IF(P$3="","",IF(COUNTIFS(BD!$A$3:$A$5001,P$3,BD!$B$3:$B$5001,$A$519,BD!$Y$3:$Y$5001,"&lt;&gt;")=0,"",SUMIFS(BD!$Y$3:$Y$5001,BD!$A$3:$A$5001,P$3,BD!$B$3:$B$5001,$A$519)))</f>
        <v/>
      </c>
      <c r="Q542" s="251" t="str">
        <f>IF(Q$3="","",IF(COUNTIFS(BD!$A$3:$A$5001,Q$3,BD!$B$3:$B$5001,$A$519,BD!$Y$3:$Y$5001,"&lt;&gt;")=0,"",SUMIFS(BD!$Y$3:$Y$5001,BD!$A$3:$A$5001,Q$3,BD!$B$3:$B$5001,$A$519)))</f>
        <v/>
      </c>
      <c r="R542" s="251" t="str">
        <f>IF(R$3="","",IF(COUNTIFS(BD!$A$3:$A$5001,R$3,BD!$B$3:$B$5001,$A$519,BD!$Y$3:$Y$5001,"&lt;&gt;")=0,"",SUMIFS(BD!$Y$3:$Y$5001,BD!$A$3:$A$5001,R$3,BD!$B$3:$B$5001,$A$519)))</f>
        <v/>
      </c>
      <c r="S542" s="251" t="str">
        <f>IF(S$3="","",IF(COUNTIFS(BD!$A$3:$A$5001,S$3,BD!$B$3:$B$5001,$A$519,BD!$Y$3:$Y$5001,"&lt;&gt;")=0,"",SUMIFS(BD!$Y$3:$Y$5001,BD!$A$3:$A$5001,S$3,BD!$B$3:$B$5001,$A$519)))</f>
        <v/>
      </c>
      <c r="T542" s="251" t="str">
        <f>IF(T$3="","",IF(COUNTIFS(BD!$A$3:$A$5001,T$3,BD!$B$3:$B$5001,$A$519,BD!$Y$3:$Y$5001,"&lt;&gt;")=0,"",SUMIFS(BD!$Y$3:$Y$5001,BD!$A$3:$A$5001,T$3,BD!$B$3:$B$5001,$A$519)))</f>
        <v/>
      </c>
      <c r="U542" s="251" t="str">
        <f>IF(U$3="","",IF(COUNTIFS(BD!$A$3:$A$5001,U$3,BD!$B$3:$B$5001,$A$519,BD!$Y$3:$Y$5001,"&lt;&gt;")=0,"",SUMIFS(BD!$Y$3:$Y$5001,BD!$A$3:$A$5001,U$3,BD!$B$3:$B$5001,$A$519)))</f>
        <v/>
      </c>
      <c r="V542" s="251" t="str">
        <f>IF(V$3="","",IF(COUNTIFS(BD!$A$3:$A$5001,V$3,BD!$B$3:$B$5001,$A$519,BD!$Y$3:$Y$5001,"&lt;&gt;")=0,"",SUMIFS(BD!$Y$3:$Y$5001,BD!$A$3:$A$5001,V$3,BD!$B$3:$B$5001,$A$519)))</f>
        <v/>
      </c>
      <c r="W542" s="251" t="str">
        <f>IF(W$3="","",IF(COUNTIFS(BD!$A$3:$A$5001,W$3,BD!$B$3:$B$5001,$A$519,BD!$Y$3:$Y$5001,"&lt;&gt;")=0,"",SUMIFS(BD!$Y$3:$Y$5001,BD!$A$3:$A$5001,W$3,BD!$B$3:$B$5001,$A$519)))</f>
        <v/>
      </c>
      <c r="X542" s="251" t="str">
        <f>IF(X$3="","",IF(COUNTIFS(BD!$A$3:$A$5001,X$3,BD!$B$3:$B$5001,$A$519,BD!$Y$3:$Y$5001,"&lt;&gt;")=0,"",SUMIFS(BD!$Y$3:$Y$5001,BD!$A$3:$A$5001,X$3,BD!$B$3:$B$5001,$A$519)))</f>
        <v/>
      </c>
      <c r="Y542" s="251" t="str">
        <f>IF(Y$3="","",IF(COUNTIFS(BD!$A$3:$A$5001,Y$3,BD!$B$3:$B$5001,$A$519,BD!$Y$3:$Y$5001,"&lt;&gt;")=0,"",SUMIFS(BD!$Y$3:$Y$5001,BD!$A$3:$A$5001,Y$3,BD!$B$3:$B$5001,$A$519)))</f>
        <v/>
      </c>
      <c r="Z542" s="251" t="str">
        <f>IF(Z$3="","",IF(COUNTIFS(BD!$A$3:$A$5001,Z$3,BD!$B$3:$B$5001,$A$519,BD!$Y$3:$Y$5001,"&lt;&gt;")=0,"",SUMIFS(BD!$Y$3:$Y$5001,BD!$A$3:$A$5001,Z$3,BD!$B$3:$B$5001,$A$519)))</f>
        <v/>
      </c>
      <c r="AA542" s="251" t="str">
        <f>IF(AA$3="","",IF(COUNTIFS(BD!$A$3:$A$5001,AA$3,BD!$B$3:$B$5001,$A$519,BD!$Y$3:$Y$5001,"&lt;&gt;")=0,"",SUMIFS(BD!$Y$3:$Y$5001,BD!$A$3:$A$5001,AA$3,BD!$B$3:$B$5001,$A$519)))</f>
        <v/>
      </c>
      <c r="AB542" s="251" t="str">
        <f>IF(AB$3="","",IF(COUNTIFS(BD!$A$3:$A$5001,AB$3,BD!$B$3:$B$5001,$A$519,BD!$Y$3:$Y$5001,"&lt;&gt;")=0,"",SUMIFS(BD!$Y$3:$Y$5001,BD!$A$3:$A$5001,AB$3,BD!$B$3:$B$5001,$A$519)))</f>
        <v/>
      </c>
      <c r="AC542" s="251" t="str">
        <f>IF(AC$3="","",IF(COUNTIFS(BD!$A$3:$A$5001,AC$3,BD!$B$3:$B$5001,$A$519,BD!$Y$3:$Y$5001,"&lt;&gt;")=0,"",SUMIFS(BD!$Y$3:$Y$5001,BD!$A$3:$A$5001,AC$3,BD!$B$3:$B$5001,$A$519)))</f>
        <v/>
      </c>
      <c r="AD542" s="251" t="str">
        <f>IF(AD$3="","",IF(COUNTIFS(BD!$A$3:$A$5001,AD$3,BD!$B$3:$B$5001,$A$519,BD!$Y$3:$Y$5001,"&lt;&gt;")=0,"",SUMIFS(BD!$Y$3:$Y$5001,BD!$A$3:$A$5001,AD$3,BD!$B$3:$B$5001,$A$519)))</f>
        <v/>
      </c>
      <c r="AE542" s="251" t="str">
        <f>IF(AE$3="","",IF(COUNTIFS(BD!$A$3:$A$5001,AE$3,BD!$B$3:$B$5001,$A$519,BD!$Y$3:$Y$5001,"&lt;&gt;")=0,"",SUMIFS(BD!$Y$3:$Y$5001,BD!$A$3:$A$5001,AE$3,BD!$B$3:$B$5001,$A$519)))</f>
        <v/>
      </c>
      <c r="AF542" s="251" t="str">
        <f>IF(AF$3="","",IF(COUNTIFS(BD!$A$3:$A$5001,AF$3,BD!$B$3:$B$5001,$A$519,BD!$Y$3:$Y$5001,"&lt;&gt;")=0,"",SUMIFS(BD!$Y$3:$Y$5001,BD!$A$3:$A$5001,AF$3,BD!$B$3:$B$5001,$A$519)))</f>
        <v/>
      </c>
      <c r="AG542" s="251" t="str">
        <f>IF(AG$3="","",IF(COUNTIFS(BD!$A$3:$A$5001,AG$3,BD!$B$3:$B$5001,$A$519,BD!$Y$3:$Y$5001,"&lt;&gt;")=0,"",SUMIFS(BD!$Y$3:$Y$5001,BD!$A$3:$A$5001,AG$3,BD!$B$3:$B$5001,$A$519)))</f>
        <v/>
      </c>
      <c r="AH542" s="251" t="str">
        <f>IF(AH$3="","",IF(COUNTIFS(BD!$A$3:$A$5001,AH$3,BD!$B$3:$B$5001,$A$519,BD!$Y$3:$Y$5001,"&lt;&gt;")=0,"",SUMIFS(BD!$Y$3:$Y$5001,BD!$A$3:$A$5001,AH$3,BD!$B$3:$B$5001,$A$519)))</f>
        <v/>
      </c>
      <c r="AI542" s="251" t="str">
        <f>IF(AI$3="","",IF(COUNTIFS(BD!$A$3:$A$5001,AI$3,BD!$B$3:$B$5001,$A$519,BD!$Y$3:$Y$5001,"&lt;&gt;")=0,"",SUMIFS(BD!$Y$3:$Y$5001,BD!$A$3:$A$5001,AI$3,BD!$B$3:$B$5001,$A$519)))</f>
        <v/>
      </c>
      <c r="AJ542" s="252" t="str">
        <f>IF(AJ$3="","",IF(COUNTIFS(BD!$A$3:$A$5001,AJ$3,BD!$B$3:$B$5001,$A$519,BD!$Y$3:$Y$5001,"&lt;&gt;")=0,"",SUMIFS(BD!$Y$3:$Y$5001,BD!$A$3:$A$5001,AJ$3,BD!$B$3:$B$5001,$A$519)))</f>
        <v/>
      </c>
      <c r="AK542" s="253" t="str">
        <f>IF(COUNT(F542:AJ542)=0,"",SUM(F542:AJ542))</f>
        <v/>
      </c>
    </row>
    <row r="543" ht="15.75" customHeight="1" hidden="1">
      <c r="A543" s="277"/>
      <c r="B543" s="274"/>
      <c r="C543" s="247" t="inlineStr">
        <is>
          <t xml:space="preserve">Desvios Comportamentais</t>
        </is>
      </c>
      <c r="D543" s="248" t="str">
        <f>IFERROR(1/(1/INDEX(BD!$AF$47:$AZ$47,MATCH($A$519,BD!$AF$22:$AZ$22,0))),"")</f>
        <v/>
      </c>
      <c r="E543" s="249"/>
      <c r="F543" s="250" t="str">
        <f>IF(F$3="","",IF(COUNTIFS(BD!$A$3:$A$5001,F$3,BD!$B$3:$B$5001,$A$519,BD!$Z$3:$Z$5001,"&lt;&gt;")=0,"",SUMIFS(BD!$Z$3:$Z$5001,BD!$A$3:$A$5001,F$3,BD!$B$3:$B$5001,$A$519)))</f>
        <v/>
      </c>
      <c r="G543" s="251" t="str">
        <f>IF(G$3="","",IF(COUNTIFS(BD!$A$3:$A$5001,G$3,BD!$B$3:$B$5001,$A$519,BD!$Z$3:$Z$5001,"&lt;&gt;")=0,"",SUMIFS(BD!$Z$3:$Z$5001,BD!$A$3:$A$5001,G$3,BD!$B$3:$B$5001,$A$519)))</f>
        <v/>
      </c>
      <c r="H543" s="251" t="str">
        <f>IF(H$3="","",IF(COUNTIFS(BD!$A$3:$A$5001,H$3,BD!$B$3:$B$5001,$A$519,BD!$Z$3:$Z$5001,"&lt;&gt;")=0,"",SUMIFS(BD!$Z$3:$Z$5001,BD!$A$3:$A$5001,H$3,BD!$B$3:$B$5001,$A$519)))</f>
        <v/>
      </c>
      <c r="I543" s="251" t="str">
        <f>IF(I$3="","",IF(COUNTIFS(BD!$A$3:$A$5001,I$3,BD!$B$3:$B$5001,$A$519,BD!$Z$3:$Z$5001,"&lt;&gt;")=0,"",SUMIFS(BD!$Z$3:$Z$5001,BD!$A$3:$A$5001,I$3,BD!$B$3:$B$5001,$A$519)))</f>
        <v/>
      </c>
      <c r="J543" s="251" t="str">
        <f>IF(J$3="","",IF(COUNTIFS(BD!$A$3:$A$5001,J$3,BD!$B$3:$B$5001,$A$519,BD!$Z$3:$Z$5001,"&lt;&gt;")=0,"",SUMIFS(BD!$Z$3:$Z$5001,BD!$A$3:$A$5001,J$3,BD!$B$3:$B$5001,$A$519)))</f>
        <v/>
      </c>
      <c r="K543" s="251" t="str">
        <f>IF(K$3="","",IF(COUNTIFS(BD!$A$3:$A$5001,K$3,BD!$B$3:$B$5001,$A$519,BD!$Z$3:$Z$5001,"&lt;&gt;")=0,"",SUMIFS(BD!$Z$3:$Z$5001,BD!$A$3:$A$5001,K$3,BD!$B$3:$B$5001,$A$519)))</f>
        <v/>
      </c>
      <c r="L543" s="251" t="str">
        <f>IF(L$3="","",IF(COUNTIFS(BD!$A$3:$A$5001,L$3,BD!$B$3:$B$5001,$A$519,BD!$Z$3:$Z$5001,"&lt;&gt;")=0,"",SUMIFS(BD!$Z$3:$Z$5001,BD!$A$3:$A$5001,L$3,BD!$B$3:$B$5001,$A$519)))</f>
        <v/>
      </c>
      <c r="M543" s="251" t="str">
        <f>IF(M$3="","",IF(COUNTIFS(BD!$A$3:$A$5001,M$3,BD!$B$3:$B$5001,$A$519,BD!$Z$3:$Z$5001,"&lt;&gt;")=0,"",SUMIFS(BD!$Z$3:$Z$5001,BD!$A$3:$A$5001,M$3,BD!$B$3:$B$5001,$A$519)))</f>
        <v/>
      </c>
      <c r="N543" s="251" t="str">
        <f>IF(N$3="","",IF(COUNTIFS(BD!$A$3:$A$5001,N$3,BD!$B$3:$B$5001,$A$519,BD!$Z$3:$Z$5001,"&lt;&gt;")=0,"",SUMIFS(BD!$Z$3:$Z$5001,BD!$A$3:$A$5001,N$3,BD!$B$3:$B$5001,$A$519)))</f>
        <v/>
      </c>
      <c r="O543" s="251" t="str">
        <f>IF(O$3="","",IF(COUNTIFS(BD!$A$3:$A$5001,O$3,BD!$B$3:$B$5001,$A$519,BD!$Z$3:$Z$5001,"&lt;&gt;")=0,"",SUMIFS(BD!$Z$3:$Z$5001,BD!$A$3:$A$5001,O$3,BD!$B$3:$B$5001,$A$519)))</f>
        <v/>
      </c>
      <c r="P543" s="251" t="str">
        <f>IF(P$3="","",IF(COUNTIFS(BD!$A$3:$A$5001,P$3,BD!$B$3:$B$5001,$A$519,BD!$Z$3:$Z$5001,"&lt;&gt;")=0,"",SUMIFS(BD!$Z$3:$Z$5001,BD!$A$3:$A$5001,P$3,BD!$B$3:$B$5001,$A$519)))</f>
        <v/>
      </c>
      <c r="Q543" s="251" t="str">
        <f>IF(Q$3="","",IF(COUNTIFS(BD!$A$3:$A$5001,Q$3,BD!$B$3:$B$5001,$A$519,BD!$Z$3:$Z$5001,"&lt;&gt;")=0,"",SUMIFS(BD!$Z$3:$Z$5001,BD!$A$3:$A$5001,Q$3,BD!$B$3:$B$5001,$A$519)))</f>
        <v/>
      </c>
      <c r="R543" s="251" t="str">
        <f>IF(R$3="","",IF(COUNTIFS(BD!$A$3:$A$5001,R$3,BD!$B$3:$B$5001,$A$519,BD!$Z$3:$Z$5001,"&lt;&gt;")=0,"",SUMIFS(BD!$Z$3:$Z$5001,BD!$A$3:$A$5001,R$3,BD!$B$3:$B$5001,$A$519)))</f>
        <v/>
      </c>
      <c r="S543" s="251" t="str">
        <f>IF(S$3="","",IF(COUNTIFS(BD!$A$3:$A$5001,S$3,BD!$B$3:$B$5001,$A$519,BD!$Z$3:$Z$5001,"&lt;&gt;")=0,"",SUMIFS(BD!$Z$3:$Z$5001,BD!$A$3:$A$5001,S$3,BD!$B$3:$B$5001,$A$519)))</f>
        <v/>
      </c>
      <c r="T543" s="251" t="str">
        <f>IF(T$3="","",IF(COUNTIFS(BD!$A$3:$A$5001,T$3,BD!$B$3:$B$5001,$A$519,BD!$Z$3:$Z$5001,"&lt;&gt;")=0,"",SUMIFS(BD!$Z$3:$Z$5001,BD!$A$3:$A$5001,T$3,BD!$B$3:$B$5001,$A$519)))</f>
        <v/>
      </c>
      <c r="U543" s="251" t="str">
        <f>IF(U$3="","",IF(COUNTIFS(BD!$A$3:$A$5001,U$3,BD!$B$3:$B$5001,$A$519,BD!$Z$3:$Z$5001,"&lt;&gt;")=0,"",SUMIFS(BD!$Z$3:$Z$5001,BD!$A$3:$A$5001,U$3,BD!$B$3:$B$5001,$A$519)))</f>
        <v/>
      </c>
      <c r="V543" s="251" t="str">
        <f>IF(V$3="","",IF(COUNTIFS(BD!$A$3:$A$5001,V$3,BD!$B$3:$B$5001,$A$519,BD!$Z$3:$Z$5001,"&lt;&gt;")=0,"",SUMIFS(BD!$Z$3:$Z$5001,BD!$A$3:$A$5001,V$3,BD!$B$3:$B$5001,$A$519)))</f>
        <v/>
      </c>
      <c r="W543" s="251" t="str">
        <f>IF(W$3="","",IF(COUNTIFS(BD!$A$3:$A$5001,W$3,BD!$B$3:$B$5001,$A$519,BD!$Z$3:$Z$5001,"&lt;&gt;")=0,"",SUMIFS(BD!$Z$3:$Z$5001,BD!$A$3:$A$5001,W$3,BD!$B$3:$B$5001,$A$519)))</f>
        <v/>
      </c>
      <c r="X543" s="251" t="str">
        <f>IF(X$3="","",IF(COUNTIFS(BD!$A$3:$A$5001,X$3,BD!$B$3:$B$5001,$A$519,BD!$Z$3:$Z$5001,"&lt;&gt;")=0,"",SUMIFS(BD!$Z$3:$Z$5001,BD!$A$3:$A$5001,X$3,BD!$B$3:$B$5001,$A$519)))</f>
        <v/>
      </c>
      <c r="Y543" s="251" t="str">
        <f>IF(Y$3="","",IF(COUNTIFS(BD!$A$3:$A$5001,Y$3,BD!$B$3:$B$5001,$A$519,BD!$Z$3:$Z$5001,"&lt;&gt;")=0,"",SUMIFS(BD!$Z$3:$Z$5001,BD!$A$3:$A$5001,Y$3,BD!$B$3:$B$5001,$A$519)))</f>
        <v/>
      </c>
      <c r="Z543" s="251" t="str">
        <f>IF(Z$3="","",IF(COUNTIFS(BD!$A$3:$A$5001,Z$3,BD!$B$3:$B$5001,$A$519,BD!$Z$3:$Z$5001,"&lt;&gt;")=0,"",SUMIFS(BD!$Z$3:$Z$5001,BD!$A$3:$A$5001,Z$3,BD!$B$3:$B$5001,$A$519)))</f>
        <v/>
      </c>
      <c r="AA543" s="251" t="str">
        <f>IF(AA$3="","",IF(COUNTIFS(BD!$A$3:$A$5001,AA$3,BD!$B$3:$B$5001,$A$519,BD!$Z$3:$Z$5001,"&lt;&gt;")=0,"",SUMIFS(BD!$Z$3:$Z$5001,BD!$A$3:$A$5001,AA$3,BD!$B$3:$B$5001,$A$519)))</f>
        <v/>
      </c>
      <c r="AB543" s="251" t="str">
        <f>IF(AB$3="","",IF(COUNTIFS(BD!$A$3:$A$5001,AB$3,BD!$B$3:$B$5001,$A$519,BD!$Z$3:$Z$5001,"&lt;&gt;")=0,"",SUMIFS(BD!$Z$3:$Z$5001,BD!$A$3:$A$5001,AB$3,BD!$B$3:$B$5001,$A$519)))</f>
        <v/>
      </c>
      <c r="AC543" s="251" t="str">
        <f>IF(AC$3="","",IF(COUNTIFS(BD!$A$3:$A$5001,AC$3,BD!$B$3:$B$5001,$A$519,BD!$Z$3:$Z$5001,"&lt;&gt;")=0,"",SUMIFS(BD!$Z$3:$Z$5001,BD!$A$3:$A$5001,AC$3,BD!$B$3:$B$5001,$A$519)))</f>
        <v/>
      </c>
      <c r="AD543" s="251" t="str">
        <f>IF(AD$3="","",IF(COUNTIFS(BD!$A$3:$A$5001,AD$3,BD!$B$3:$B$5001,$A$519,BD!$Z$3:$Z$5001,"&lt;&gt;")=0,"",SUMIFS(BD!$Z$3:$Z$5001,BD!$A$3:$A$5001,AD$3,BD!$B$3:$B$5001,$A$519)))</f>
        <v/>
      </c>
      <c r="AE543" s="251" t="str">
        <f>IF(AE$3="","",IF(COUNTIFS(BD!$A$3:$A$5001,AE$3,BD!$B$3:$B$5001,$A$519,BD!$Z$3:$Z$5001,"&lt;&gt;")=0,"",SUMIFS(BD!$Z$3:$Z$5001,BD!$A$3:$A$5001,AE$3,BD!$B$3:$B$5001,$A$519)))</f>
        <v/>
      </c>
      <c r="AF543" s="251" t="str">
        <f>IF(AF$3="","",IF(COUNTIFS(BD!$A$3:$A$5001,AF$3,BD!$B$3:$B$5001,$A$519,BD!$Z$3:$Z$5001,"&lt;&gt;")=0,"",SUMIFS(BD!$Z$3:$Z$5001,BD!$A$3:$A$5001,AF$3,BD!$B$3:$B$5001,$A$519)))</f>
        <v/>
      </c>
      <c r="AG543" s="251" t="str">
        <f>IF(AG$3="","",IF(COUNTIFS(BD!$A$3:$A$5001,AG$3,BD!$B$3:$B$5001,$A$519,BD!$Z$3:$Z$5001,"&lt;&gt;")=0,"",SUMIFS(BD!$Z$3:$Z$5001,BD!$A$3:$A$5001,AG$3,BD!$B$3:$B$5001,$A$519)))</f>
        <v/>
      </c>
      <c r="AH543" s="251" t="str">
        <f>IF(AH$3="","",IF(COUNTIFS(BD!$A$3:$A$5001,AH$3,BD!$B$3:$B$5001,$A$519,BD!$Z$3:$Z$5001,"&lt;&gt;")=0,"",SUMIFS(BD!$Z$3:$Z$5001,BD!$A$3:$A$5001,AH$3,BD!$B$3:$B$5001,$A$519)))</f>
        <v/>
      </c>
      <c r="AI543" s="251" t="str">
        <f>IF(AI$3="","",IF(COUNTIFS(BD!$A$3:$A$5001,AI$3,BD!$B$3:$B$5001,$A$519,BD!$Z$3:$Z$5001,"&lt;&gt;")=0,"",SUMIFS(BD!$Z$3:$Z$5001,BD!$A$3:$A$5001,AI$3,BD!$B$3:$B$5001,$A$519)))</f>
        <v/>
      </c>
      <c r="AJ543" s="252" t="str">
        <f>IF(AJ$3="","",IF(COUNTIFS(BD!$A$3:$A$5001,AJ$3,BD!$B$3:$B$5001,$A$519,BD!$Z$3:$Z$5001,"&lt;&gt;")=0,"",SUMIFS(BD!$Z$3:$Z$5001,BD!$A$3:$A$5001,AJ$3,BD!$B$3:$B$5001,$A$519)))</f>
        <v/>
      </c>
      <c r="AK543" s="253" t="str">
        <f>IF(COUNT(F543:AJ543)=0,"",SUM(F543:AJ543))</f>
        <v/>
      </c>
    </row>
    <row r="544" ht="15.75" customHeight="1" hidden="1">
      <c r="A544" s="277"/>
      <c r="B544" s="274"/>
      <c r="C544" s="247" t="inlineStr">
        <is>
          <t xml:space="preserve">Acidentes CAF</t>
        </is>
      </c>
      <c r="D544" s="248" t="str">
        <f>IFERROR(1/(1/INDEX(BD!$AF$48:$AZ$48,MATCH($A$519,BD!$AF$22:$AZ$22,0))),"")</f>
        <v/>
      </c>
      <c r="E544" s="249"/>
      <c r="F544" s="250" t="str">
        <f>IF(F$3="","",IF(COUNTIFS(BD!$A$3:$A$5001,F$3,BD!$B$3:$B$5001,$A$519,BD!$AA$3:$AA$5001,"&lt;&gt;")=0,"",SUMIFS(BD!$AA$3:$AA$5001,BD!$A$3:$A$5001,F$3,BD!$B$3:$B$5001,$A$519)))</f>
        <v/>
      </c>
      <c r="G544" s="251" t="str">
        <f>IF(G$3="","",IF(COUNTIFS(BD!$A$3:$A$5001,G$3,BD!$B$3:$B$5001,$A$519,BD!$AA$3:$AA$5001,"&lt;&gt;")=0,"",SUMIFS(BD!$AA$3:$AA$5001,BD!$A$3:$A$5001,G$3,BD!$B$3:$B$5001,$A$519)))</f>
        <v/>
      </c>
      <c r="H544" s="251" t="str">
        <f>IF(H$3="","",IF(COUNTIFS(BD!$A$3:$A$5001,H$3,BD!$B$3:$B$5001,$A$519,BD!$AA$3:$AA$5001,"&lt;&gt;")=0,"",SUMIFS(BD!$AA$3:$AA$5001,BD!$A$3:$A$5001,H$3,BD!$B$3:$B$5001,$A$519)))</f>
        <v/>
      </c>
      <c r="I544" s="251" t="str">
        <f>IF(I$3="","",IF(COUNTIFS(BD!$A$3:$A$5001,I$3,BD!$B$3:$B$5001,$A$519,BD!$AA$3:$AA$5001,"&lt;&gt;")=0,"",SUMIFS(BD!$AA$3:$AA$5001,BD!$A$3:$A$5001,I$3,BD!$B$3:$B$5001,$A$519)))</f>
        <v/>
      </c>
      <c r="J544" s="251" t="str">
        <f>IF(J$3="","",IF(COUNTIFS(BD!$A$3:$A$5001,J$3,BD!$B$3:$B$5001,$A$519,BD!$AA$3:$AA$5001,"&lt;&gt;")=0,"",SUMIFS(BD!$AA$3:$AA$5001,BD!$A$3:$A$5001,J$3,BD!$B$3:$B$5001,$A$519)))</f>
        <v/>
      </c>
      <c r="K544" s="251" t="str">
        <f>IF(K$3="","",IF(COUNTIFS(BD!$A$3:$A$5001,K$3,BD!$B$3:$B$5001,$A$519,BD!$AA$3:$AA$5001,"&lt;&gt;")=0,"",SUMIFS(BD!$AA$3:$AA$5001,BD!$A$3:$A$5001,K$3,BD!$B$3:$B$5001,$A$519)))</f>
        <v/>
      </c>
      <c r="L544" s="251" t="str">
        <f>IF(L$3="","",IF(COUNTIFS(BD!$A$3:$A$5001,L$3,BD!$B$3:$B$5001,$A$519,BD!$AA$3:$AA$5001,"&lt;&gt;")=0,"",SUMIFS(BD!$AA$3:$AA$5001,BD!$A$3:$A$5001,L$3,BD!$B$3:$B$5001,$A$519)))</f>
        <v/>
      </c>
      <c r="M544" s="251" t="str">
        <f>IF(M$3="","",IF(COUNTIFS(BD!$A$3:$A$5001,M$3,BD!$B$3:$B$5001,$A$519,BD!$AA$3:$AA$5001,"&lt;&gt;")=0,"",SUMIFS(BD!$AA$3:$AA$5001,BD!$A$3:$A$5001,M$3,BD!$B$3:$B$5001,$A$519)))</f>
        <v/>
      </c>
      <c r="N544" s="251" t="str">
        <f>IF(N$3="","",IF(COUNTIFS(BD!$A$3:$A$5001,N$3,BD!$B$3:$B$5001,$A$519,BD!$AA$3:$AA$5001,"&lt;&gt;")=0,"",SUMIFS(BD!$AA$3:$AA$5001,BD!$A$3:$A$5001,N$3,BD!$B$3:$B$5001,$A$519)))</f>
        <v/>
      </c>
      <c r="O544" s="251" t="str">
        <f>IF(O$3="","",IF(COUNTIFS(BD!$A$3:$A$5001,O$3,BD!$B$3:$B$5001,$A$519,BD!$AA$3:$AA$5001,"&lt;&gt;")=0,"",SUMIFS(BD!$AA$3:$AA$5001,BD!$A$3:$A$5001,O$3,BD!$B$3:$B$5001,$A$519)))</f>
        <v/>
      </c>
      <c r="P544" s="251" t="str">
        <f>IF(P$3="","",IF(COUNTIFS(BD!$A$3:$A$5001,P$3,BD!$B$3:$B$5001,$A$519,BD!$AA$3:$AA$5001,"&lt;&gt;")=0,"",SUMIFS(BD!$AA$3:$AA$5001,BD!$A$3:$A$5001,P$3,BD!$B$3:$B$5001,$A$519)))</f>
        <v/>
      </c>
      <c r="Q544" s="251" t="str">
        <f>IF(Q$3="","",IF(COUNTIFS(BD!$A$3:$A$5001,Q$3,BD!$B$3:$B$5001,$A$519,BD!$AA$3:$AA$5001,"&lt;&gt;")=0,"",SUMIFS(BD!$AA$3:$AA$5001,BD!$A$3:$A$5001,Q$3,BD!$B$3:$B$5001,$A$519)))</f>
        <v/>
      </c>
      <c r="R544" s="251" t="str">
        <f>IF(R$3="","",IF(COUNTIFS(BD!$A$3:$A$5001,R$3,BD!$B$3:$B$5001,$A$519,BD!$AA$3:$AA$5001,"&lt;&gt;")=0,"",SUMIFS(BD!$AA$3:$AA$5001,BD!$A$3:$A$5001,R$3,BD!$B$3:$B$5001,$A$519)))</f>
        <v/>
      </c>
      <c r="S544" s="251" t="str">
        <f>IF(S$3="","",IF(COUNTIFS(BD!$A$3:$A$5001,S$3,BD!$B$3:$B$5001,$A$519,BD!$AA$3:$AA$5001,"&lt;&gt;")=0,"",SUMIFS(BD!$AA$3:$AA$5001,BD!$A$3:$A$5001,S$3,BD!$B$3:$B$5001,$A$519)))</f>
        <v/>
      </c>
      <c r="T544" s="251" t="str">
        <f>IF(T$3="","",IF(COUNTIFS(BD!$A$3:$A$5001,T$3,BD!$B$3:$B$5001,$A$519,BD!$AA$3:$AA$5001,"&lt;&gt;")=0,"",SUMIFS(BD!$AA$3:$AA$5001,BD!$A$3:$A$5001,T$3,BD!$B$3:$B$5001,$A$519)))</f>
        <v/>
      </c>
      <c r="U544" s="251" t="str">
        <f>IF(U$3="","",IF(COUNTIFS(BD!$A$3:$A$5001,U$3,BD!$B$3:$B$5001,$A$519,BD!$AA$3:$AA$5001,"&lt;&gt;")=0,"",SUMIFS(BD!$AA$3:$AA$5001,BD!$A$3:$A$5001,U$3,BD!$B$3:$B$5001,$A$519)))</f>
        <v/>
      </c>
      <c r="V544" s="251" t="str">
        <f>IF(V$3="","",IF(COUNTIFS(BD!$A$3:$A$5001,V$3,BD!$B$3:$B$5001,$A$519,BD!$AA$3:$AA$5001,"&lt;&gt;")=0,"",SUMIFS(BD!$AA$3:$AA$5001,BD!$A$3:$A$5001,V$3,BD!$B$3:$B$5001,$A$519)))</f>
        <v/>
      </c>
      <c r="W544" s="251" t="str">
        <f>IF(W$3="","",IF(COUNTIFS(BD!$A$3:$A$5001,W$3,BD!$B$3:$B$5001,$A$519,BD!$AA$3:$AA$5001,"&lt;&gt;")=0,"",SUMIFS(BD!$AA$3:$AA$5001,BD!$A$3:$A$5001,W$3,BD!$B$3:$B$5001,$A$519)))</f>
        <v/>
      </c>
      <c r="X544" s="251" t="str">
        <f>IF(X$3="","",IF(COUNTIFS(BD!$A$3:$A$5001,X$3,BD!$B$3:$B$5001,$A$519,BD!$AA$3:$AA$5001,"&lt;&gt;")=0,"",SUMIFS(BD!$AA$3:$AA$5001,BD!$A$3:$A$5001,X$3,BD!$B$3:$B$5001,$A$519)))</f>
        <v/>
      </c>
      <c r="Y544" s="251" t="str">
        <f>IF(Y$3="","",IF(COUNTIFS(BD!$A$3:$A$5001,Y$3,BD!$B$3:$B$5001,$A$519,BD!$AA$3:$AA$5001,"&lt;&gt;")=0,"",SUMIFS(BD!$AA$3:$AA$5001,BD!$A$3:$A$5001,Y$3,BD!$B$3:$B$5001,$A$519)))</f>
        <v/>
      </c>
      <c r="Z544" s="251" t="str">
        <f>IF(Z$3="","",IF(COUNTIFS(BD!$A$3:$A$5001,Z$3,BD!$B$3:$B$5001,$A$519,BD!$AA$3:$AA$5001,"&lt;&gt;")=0,"",SUMIFS(BD!$AA$3:$AA$5001,BD!$A$3:$A$5001,Z$3,BD!$B$3:$B$5001,$A$519)))</f>
        <v/>
      </c>
      <c r="AA544" s="251" t="str">
        <f>IF(AA$3="","",IF(COUNTIFS(BD!$A$3:$A$5001,AA$3,BD!$B$3:$B$5001,$A$519,BD!$AA$3:$AA$5001,"&lt;&gt;")=0,"",SUMIFS(BD!$AA$3:$AA$5001,BD!$A$3:$A$5001,AA$3,BD!$B$3:$B$5001,$A$519)))</f>
        <v/>
      </c>
      <c r="AB544" s="251" t="str">
        <f>IF(AB$3="","",IF(COUNTIFS(BD!$A$3:$A$5001,AB$3,BD!$B$3:$B$5001,$A$519,BD!$AA$3:$AA$5001,"&lt;&gt;")=0,"",SUMIFS(BD!$AA$3:$AA$5001,BD!$A$3:$A$5001,AB$3,BD!$B$3:$B$5001,$A$519)))</f>
        <v/>
      </c>
      <c r="AC544" s="251" t="str">
        <f>IF(AC$3="","",IF(COUNTIFS(BD!$A$3:$A$5001,AC$3,BD!$B$3:$B$5001,$A$519,BD!$AA$3:$AA$5001,"&lt;&gt;")=0,"",SUMIFS(BD!$AA$3:$AA$5001,BD!$A$3:$A$5001,AC$3,BD!$B$3:$B$5001,$A$519)))</f>
        <v/>
      </c>
      <c r="AD544" s="251" t="str">
        <f>IF(AD$3="","",IF(COUNTIFS(BD!$A$3:$A$5001,AD$3,BD!$B$3:$B$5001,$A$519,BD!$AA$3:$AA$5001,"&lt;&gt;")=0,"",SUMIFS(BD!$AA$3:$AA$5001,BD!$A$3:$A$5001,AD$3,BD!$B$3:$B$5001,$A$519)))</f>
        <v/>
      </c>
      <c r="AE544" s="251" t="str">
        <f>IF(AE$3="","",IF(COUNTIFS(BD!$A$3:$A$5001,AE$3,BD!$B$3:$B$5001,$A$519,BD!$AA$3:$AA$5001,"&lt;&gt;")=0,"",SUMIFS(BD!$AA$3:$AA$5001,BD!$A$3:$A$5001,AE$3,BD!$B$3:$B$5001,$A$519)))</f>
        <v/>
      </c>
      <c r="AF544" s="251" t="str">
        <f>IF(AF$3="","",IF(COUNTIFS(BD!$A$3:$A$5001,AF$3,BD!$B$3:$B$5001,$A$519,BD!$AA$3:$AA$5001,"&lt;&gt;")=0,"",SUMIFS(BD!$AA$3:$AA$5001,BD!$A$3:$A$5001,AF$3,BD!$B$3:$B$5001,$A$519)))</f>
        <v/>
      </c>
      <c r="AG544" s="251" t="str">
        <f>IF(AG$3="","",IF(COUNTIFS(BD!$A$3:$A$5001,AG$3,BD!$B$3:$B$5001,$A$519,BD!$AA$3:$AA$5001,"&lt;&gt;")=0,"",SUMIFS(BD!$AA$3:$AA$5001,BD!$A$3:$A$5001,AG$3,BD!$B$3:$B$5001,$A$519)))</f>
        <v/>
      </c>
      <c r="AH544" s="251" t="str">
        <f>IF(AH$3="","",IF(COUNTIFS(BD!$A$3:$A$5001,AH$3,BD!$B$3:$B$5001,$A$519,BD!$AA$3:$AA$5001,"&lt;&gt;")=0,"",SUMIFS(BD!$AA$3:$AA$5001,BD!$A$3:$A$5001,AH$3,BD!$B$3:$B$5001,$A$519)))</f>
        <v/>
      </c>
      <c r="AI544" s="251" t="str">
        <f>IF(AI$3="","",IF(COUNTIFS(BD!$A$3:$A$5001,AI$3,BD!$B$3:$B$5001,$A$519,BD!$AA$3:$AA$5001,"&lt;&gt;")=0,"",SUMIFS(BD!$AA$3:$AA$5001,BD!$A$3:$A$5001,AI$3,BD!$B$3:$B$5001,$A$519)))</f>
        <v/>
      </c>
      <c r="AJ544" s="252" t="str">
        <f>IF(AJ$3="","",IF(COUNTIFS(BD!$A$3:$A$5001,AJ$3,BD!$B$3:$B$5001,$A$519,BD!$AA$3:$AA$5001,"&lt;&gt;")=0,"",SUMIFS(BD!$AA$3:$AA$5001,BD!$A$3:$A$5001,AJ$3,BD!$B$3:$B$5001,$A$519)))</f>
        <v/>
      </c>
      <c r="AK544" s="253" t="str">
        <f>IF(COUNT(F544:AJ544)=0,"",SUM(F544:AJ544))</f>
        <v/>
      </c>
    </row>
    <row r="545" ht="15.75" customHeight="1" hidden="1">
      <c r="A545" s="278"/>
      <c r="B545" s="275"/>
      <c r="C545" s="258" t="inlineStr">
        <is>
          <t xml:space="preserve">Acidentes SAF</t>
        </is>
      </c>
      <c r="D545" s="259" t="str">
        <f>IFERROR(1/(1/INDEX(BD!$AF$49:$AZ$49,MATCH($A$519,BD!$AF$22:$AZ$22,0))),"")</f>
        <v/>
      </c>
      <c r="E545" s="260"/>
      <c r="F545" s="261" t="str">
        <f>IF(F$3="","",IF(COUNTIFS(BD!$A$3:$A$5001,F$3,BD!$B$3:$B$5001,$A$519,BD!$AB$3:$AB$5001,"&lt;&gt;")=0,"",SUMIFS(BD!$AB$3:$AB$5001,BD!$A$3:$A$5001,F$3,BD!$B$3:$B$5001,$A$519)))</f>
        <v/>
      </c>
      <c r="G545" s="262" t="str">
        <f>IF(G$3="","",IF(COUNTIFS(BD!$A$3:$A$5001,G$3,BD!$B$3:$B$5001,$A$519,BD!$AB$3:$AB$5001,"&lt;&gt;")=0,"",SUMIFS(BD!$AB$3:$AB$5001,BD!$A$3:$A$5001,G$3,BD!$B$3:$B$5001,$A$519)))</f>
        <v/>
      </c>
      <c r="H545" s="262" t="str">
        <f>IF(H$3="","",IF(COUNTIFS(BD!$A$3:$A$5001,H$3,BD!$B$3:$B$5001,$A$519,BD!$AB$3:$AB$5001,"&lt;&gt;")=0,"",SUMIFS(BD!$AB$3:$AB$5001,BD!$A$3:$A$5001,H$3,BD!$B$3:$B$5001,$A$519)))</f>
        <v/>
      </c>
      <c r="I545" s="262" t="str">
        <f>IF(I$3="","",IF(COUNTIFS(BD!$A$3:$A$5001,I$3,BD!$B$3:$B$5001,$A$519,BD!$AB$3:$AB$5001,"&lt;&gt;")=0,"",SUMIFS(BD!$AB$3:$AB$5001,BD!$A$3:$A$5001,I$3,BD!$B$3:$B$5001,$A$519)))</f>
        <v/>
      </c>
      <c r="J545" s="262" t="str">
        <f>IF(J$3="","",IF(COUNTIFS(BD!$A$3:$A$5001,J$3,BD!$B$3:$B$5001,$A$519,BD!$AB$3:$AB$5001,"&lt;&gt;")=0,"",SUMIFS(BD!$AB$3:$AB$5001,BD!$A$3:$A$5001,J$3,BD!$B$3:$B$5001,$A$519)))</f>
        <v/>
      </c>
      <c r="K545" s="262" t="str">
        <f>IF(K$3="","",IF(COUNTIFS(BD!$A$3:$A$5001,K$3,BD!$B$3:$B$5001,$A$519,BD!$AB$3:$AB$5001,"&lt;&gt;")=0,"",SUMIFS(BD!$AB$3:$AB$5001,BD!$A$3:$A$5001,K$3,BD!$B$3:$B$5001,$A$519)))</f>
        <v/>
      </c>
      <c r="L545" s="262" t="str">
        <f>IF(L$3="","",IF(COUNTIFS(BD!$A$3:$A$5001,L$3,BD!$B$3:$B$5001,$A$519,BD!$AB$3:$AB$5001,"&lt;&gt;")=0,"",SUMIFS(BD!$AB$3:$AB$5001,BD!$A$3:$A$5001,L$3,BD!$B$3:$B$5001,$A$519)))</f>
        <v/>
      </c>
      <c r="M545" s="262" t="str">
        <f>IF(M$3="","",IF(COUNTIFS(BD!$A$3:$A$5001,M$3,BD!$B$3:$B$5001,$A$519,BD!$AB$3:$AB$5001,"&lt;&gt;")=0,"",SUMIFS(BD!$AB$3:$AB$5001,BD!$A$3:$A$5001,M$3,BD!$B$3:$B$5001,$A$519)))</f>
        <v/>
      </c>
      <c r="N545" s="262" t="str">
        <f>IF(N$3="","",IF(COUNTIFS(BD!$A$3:$A$5001,N$3,BD!$B$3:$B$5001,$A$519,BD!$AB$3:$AB$5001,"&lt;&gt;")=0,"",SUMIFS(BD!$AB$3:$AB$5001,BD!$A$3:$A$5001,N$3,BD!$B$3:$B$5001,$A$519)))</f>
        <v/>
      </c>
      <c r="O545" s="262" t="str">
        <f>IF(O$3="","",IF(COUNTIFS(BD!$A$3:$A$5001,O$3,BD!$B$3:$B$5001,$A$519,BD!$AB$3:$AB$5001,"&lt;&gt;")=0,"",SUMIFS(BD!$AB$3:$AB$5001,BD!$A$3:$A$5001,O$3,BD!$B$3:$B$5001,$A$519)))</f>
        <v/>
      </c>
      <c r="P545" s="262" t="str">
        <f>IF(P$3="","",IF(COUNTIFS(BD!$A$3:$A$5001,P$3,BD!$B$3:$B$5001,$A$519,BD!$AB$3:$AB$5001,"&lt;&gt;")=0,"",SUMIFS(BD!$AB$3:$AB$5001,BD!$A$3:$A$5001,P$3,BD!$B$3:$B$5001,$A$519)))</f>
        <v/>
      </c>
      <c r="Q545" s="262" t="str">
        <f>IF(Q$3="","",IF(COUNTIFS(BD!$A$3:$A$5001,Q$3,BD!$B$3:$B$5001,$A$519,BD!$AB$3:$AB$5001,"&lt;&gt;")=0,"",SUMIFS(BD!$AB$3:$AB$5001,BD!$A$3:$A$5001,Q$3,BD!$B$3:$B$5001,$A$519)))</f>
        <v/>
      </c>
      <c r="R545" s="262" t="str">
        <f>IF(R$3="","",IF(COUNTIFS(BD!$A$3:$A$5001,R$3,BD!$B$3:$B$5001,$A$519,BD!$AB$3:$AB$5001,"&lt;&gt;")=0,"",SUMIFS(BD!$AB$3:$AB$5001,BD!$A$3:$A$5001,R$3,BD!$B$3:$B$5001,$A$519)))</f>
        <v/>
      </c>
      <c r="S545" s="262" t="str">
        <f>IF(S$3="","",IF(COUNTIFS(BD!$A$3:$A$5001,S$3,BD!$B$3:$B$5001,$A$519,BD!$AB$3:$AB$5001,"&lt;&gt;")=0,"",SUMIFS(BD!$AB$3:$AB$5001,BD!$A$3:$A$5001,S$3,BD!$B$3:$B$5001,$A$519)))</f>
        <v/>
      </c>
      <c r="T545" s="262" t="str">
        <f>IF(T$3="","",IF(COUNTIFS(BD!$A$3:$A$5001,T$3,BD!$B$3:$B$5001,$A$519,BD!$AB$3:$AB$5001,"&lt;&gt;")=0,"",SUMIFS(BD!$AB$3:$AB$5001,BD!$A$3:$A$5001,T$3,BD!$B$3:$B$5001,$A$519)))</f>
        <v/>
      </c>
      <c r="U545" s="262" t="str">
        <f>IF(U$3="","",IF(COUNTIFS(BD!$A$3:$A$5001,U$3,BD!$B$3:$B$5001,$A$519,BD!$AB$3:$AB$5001,"&lt;&gt;")=0,"",SUMIFS(BD!$AB$3:$AB$5001,BD!$A$3:$A$5001,U$3,BD!$B$3:$B$5001,$A$519)))</f>
        <v/>
      </c>
      <c r="V545" s="262" t="str">
        <f>IF(V$3="","",IF(COUNTIFS(BD!$A$3:$A$5001,V$3,BD!$B$3:$B$5001,$A$519,BD!$AB$3:$AB$5001,"&lt;&gt;")=0,"",SUMIFS(BD!$AB$3:$AB$5001,BD!$A$3:$A$5001,V$3,BD!$B$3:$B$5001,$A$519)))</f>
        <v/>
      </c>
      <c r="W545" s="262" t="str">
        <f>IF(W$3="","",IF(COUNTIFS(BD!$A$3:$A$5001,W$3,BD!$B$3:$B$5001,$A$519,BD!$AB$3:$AB$5001,"&lt;&gt;")=0,"",SUMIFS(BD!$AB$3:$AB$5001,BD!$A$3:$A$5001,W$3,BD!$B$3:$B$5001,$A$519)))</f>
        <v/>
      </c>
      <c r="X545" s="262" t="str">
        <f>IF(X$3="","",IF(COUNTIFS(BD!$A$3:$A$5001,X$3,BD!$B$3:$B$5001,$A$519,BD!$AB$3:$AB$5001,"&lt;&gt;")=0,"",SUMIFS(BD!$AB$3:$AB$5001,BD!$A$3:$A$5001,X$3,BD!$B$3:$B$5001,$A$519)))</f>
        <v/>
      </c>
      <c r="Y545" s="262" t="str">
        <f>IF(Y$3="","",IF(COUNTIFS(BD!$A$3:$A$5001,Y$3,BD!$B$3:$B$5001,$A$519,BD!$AB$3:$AB$5001,"&lt;&gt;")=0,"",SUMIFS(BD!$AB$3:$AB$5001,BD!$A$3:$A$5001,Y$3,BD!$B$3:$B$5001,$A$519)))</f>
        <v/>
      </c>
      <c r="Z545" s="262" t="str">
        <f>IF(Z$3="","",IF(COUNTIFS(BD!$A$3:$A$5001,Z$3,BD!$B$3:$B$5001,$A$519,BD!$AB$3:$AB$5001,"&lt;&gt;")=0,"",SUMIFS(BD!$AB$3:$AB$5001,BD!$A$3:$A$5001,Z$3,BD!$B$3:$B$5001,$A$519)))</f>
        <v/>
      </c>
      <c r="AA545" s="262" t="str">
        <f>IF(AA$3="","",IF(COUNTIFS(BD!$A$3:$A$5001,AA$3,BD!$B$3:$B$5001,$A$519,BD!$AB$3:$AB$5001,"&lt;&gt;")=0,"",SUMIFS(BD!$AB$3:$AB$5001,BD!$A$3:$A$5001,AA$3,BD!$B$3:$B$5001,$A$519)))</f>
        <v/>
      </c>
      <c r="AB545" s="262" t="str">
        <f>IF(AB$3="","",IF(COUNTIFS(BD!$A$3:$A$5001,AB$3,BD!$B$3:$B$5001,$A$519,BD!$AB$3:$AB$5001,"&lt;&gt;")=0,"",SUMIFS(BD!$AB$3:$AB$5001,BD!$A$3:$A$5001,AB$3,BD!$B$3:$B$5001,$A$519)))</f>
        <v/>
      </c>
      <c r="AC545" s="262" t="str">
        <f>IF(AC$3="","",IF(COUNTIFS(BD!$A$3:$A$5001,AC$3,BD!$B$3:$B$5001,$A$519,BD!$AB$3:$AB$5001,"&lt;&gt;")=0,"",SUMIFS(BD!$AB$3:$AB$5001,BD!$A$3:$A$5001,AC$3,BD!$B$3:$B$5001,$A$519)))</f>
        <v/>
      </c>
      <c r="AD545" s="262" t="str">
        <f>IF(AD$3="","",IF(COUNTIFS(BD!$A$3:$A$5001,AD$3,BD!$B$3:$B$5001,$A$519,BD!$AB$3:$AB$5001,"&lt;&gt;")=0,"",SUMIFS(BD!$AB$3:$AB$5001,BD!$A$3:$A$5001,AD$3,BD!$B$3:$B$5001,$A$519)))</f>
        <v/>
      </c>
      <c r="AE545" s="262" t="str">
        <f>IF(AE$3="","",IF(COUNTIFS(BD!$A$3:$A$5001,AE$3,BD!$B$3:$B$5001,$A$519,BD!$AB$3:$AB$5001,"&lt;&gt;")=0,"",SUMIFS(BD!$AB$3:$AB$5001,BD!$A$3:$A$5001,AE$3,BD!$B$3:$B$5001,$A$519)))</f>
        <v/>
      </c>
      <c r="AF545" s="262" t="str">
        <f>IF(AF$3="","",IF(COUNTIFS(BD!$A$3:$A$5001,AF$3,BD!$B$3:$B$5001,$A$519,BD!$AB$3:$AB$5001,"&lt;&gt;")=0,"",SUMIFS(BD!$AB$3:$AB$5001,BD!$A$3:$A$5001,AF$3,BD!$B$3:$B$5001,$A$519)))</f>
        <v/>
      </c>
      <c r="AG545" s="262" t="str">
        <f>IF(AG$3="","",IF(COUNTIFS(BD!$A$3:$A$5001,AG$3,BD!$B$3:$B$5001,$A$519,BD!$AB$3:$AB$5001,"&lt;&gt;")=0,"",SUMIFS(BD!$AB$3:$AB$5001,BD!$A$3:$A$5001,AG$3,BD!$B$3:$B$5001,$A$519)))</f>
        <v/>
      </c>
      <c r="AH545" s="262" t="str">
        <f>IF(AH$3="","",IF(COUNTIFS(BD!$A$3:$A$5001,AH$3,BD!$B$3:$B$5001,$A$519,BD!$AB$3:$AB$5001,"&lt;&gt;")=0,"",SUMIFS(BD!$AB$3:$AB$5001,BD!$A$3:$A$5001,AH$3,BD!$B$3:$B$5001,$A$519)))</f>
        <v/>
      </c>
      <c r="AI545" s="262" t="str">
        <f>IF(AI$3="","",IF(COUNTIFS(BD!$A$3:$A$5001,AI$3,BD!$B$3:$B$5001,$A$519,BD!$AB$3:$AB$5001,"&lt;&gt;")=0,"",SUMIFS(BD!$AB$3:$AB$5001,BD!$A$3:$A$5001,AI$3,BD!$B$3:$B$5001,$A$519)))</f>
        <v/>
      </c>
      <c r="AJ545" s="263" t="str">
        <f>IF(AJ$3="","",IF(COUNTIFS(BD!$A$3:$A$5001,AJ$3,BD!$B$3:$B$5001,$A$519,BD!$AB$3:$AB$5001,"&lt;&gt;")=0,"",SUMIFS(BD!$AB$3:$AB$5001,BD!$A$3:$A$5001,AJ$3,BD!$B$3:$B$5001,$A$519)))</f>
        <v/>
      </c>
      <c r="AK545" s="259" t="str">
        <f>IF(COUNT(F545:AJ545)=0,"",SUM(F545:AJ545))</f>
        <v/>
      </c>
    </row>
    <row r="547">
      <c r="A547" s="36" t="inlineStr">
        <is>
          <t xml:space="preserve">Mês / ano: filtro na célula vermelha do canto superior direito. Célula vazia = sem registro. MÊS: soma nos fluxos e NC; último dado em ocupação e efetivo. Taxa = ocupadas ÷ disponíveis (contrato). Ocupação: verde ≥ 90% (alta, boa notícia), verde escuro &gt; 100% (excede o contratado), amarelo 70–90% (média), vermelho &lt; 70% (ociosidade). Incidente &gt; 0 em vermelho. META: aba BD (tabela de metas).</t>
        </is>
      </c>
    </row>
  </sheetData>
  <sheetProtection password="CC30" sheet="1" objects="1" scenarios="1"/>
  <mergeCells count="124">
    <mergeCell ref="G1:AD1"/>
    <mergeCell ref="AE1:AK1"/>
    <mergeCell ref="A2:A3"/>
    <mergeCell ref="B2:C3"/>
    <mergeCell ref="D2:D3"/>
    <mergeCell ref="F2:AJ2"/>
    <mergeCell ref="AK2:AK3"/>
    <mergeCell ref="B5:B9"/>
    <mergeCell ref="B10:B15"/>
    <mergeCell ref="B16:B19"/>
    <mergeCell ref="B20:B22"/>
    <mergeCell ref="B23:B31"/>
    <mergeCell ref="A5:A31"/>
    <mergeCell ref="B33:B37"/>
    <mergeCell ref="B38:B41"/>
    <mergeCell ref="B42:B50"/>
    <mergeCell ref="A33:A50"/>
    <mergeCell ref="B52:B55"/>
    <mergeCell ref="B56:B60"/>
    <mergeCell ref="B61:B64"/>
    <mergeCell ref="B66:B74"/>
    <mergeCell ref="A52:A74"/>
    <mergeCell ref="B76:B79"/>
    <mergeCell ref="B80:B84"/>
    <mergeCell ref="B85:B88"/>
    <mergeCell ref="B90:B98"/>
    <mergeCell ref="A76:A98"/>
    <mergeCell ref="B100:B103"/>
    <mergeCell ref="B104:B108"/>
    <mergeCell ref="B109:B112"/>
    <mergeCell ref="B113:B115"/>
    <mergeCell ref="B116:B124"/>
    <mergeCell ref="A100:A124"/>
    <mergeCell ref="A126:AK126"/>
    <mergeCell ref="B127:B131"/>
    <mergeCell ref="B132:B137"/>
    <mergeCell ref="B138:B141"/>
    <mergeCell ref="B142:B144"/>
    <mergeCell ref="B145:B153"/>
    <mergeCell ref="A127:A153"/>
    <mergeCell ref="B155:B159"/>
    <mergeCell ref="B160:B165"/>
    <mergeCell ref="B166:B169"/>
    <mergeCell ref="B170:B172"/>
    <mergeCell ref="B173:B181"/>
    <mergeCell ref="A155:A181"/>
    <mergeCell ref="B183:B187"/>
    <mergeCell ref="B188:B193"/>
    <mergeCell ref="B194:B197"/>
    <mergeCell ref="B198:B200"/>
    <mergeCell ref="B201:B209"/>
    <mergeCell ref="A183:A209"/>
    <mergeCell ref="B211:B215"/>
    <mergeCell ref="B216:B221"/>
    <mergeCell ref="B222:B225"/>
    <mergeCell ref="B226:B228"/>
    <mergeCell ref="B229:B237"/>
    <mergeCell ref="A211:A237"/>
    <mergeCell ref="B239:B243"/>
    <mergeCell ref="B244:B249"/>
    <mergeCell ref="B250:B253"/>
    <mergeCell ref="B254:B256"/>
    <mergeCell ref="B257:B265"/>
    <mergeCell ref="A239:A265"/>
    <mergeCell ref="B267:B271"/>
    <mergeCell ref="B272:B277"/>
    <mergeCell ref="B278:B281"/>
    <mergeCell ref="B282:B284"/>
    <mergeCell ref="B285:B293"/>
    <mergeCell ref="A267:A293"/>
    <mergeCell ref="B295:B299"/>
    <mergeCell ref="B300:B305"/>
    <mergeCell ref="B306:B309"/>
    <mergeCell ref="B310:B312"/>
    <mergeCell ref="B313:B321"/>
    <mergeCell ref="A295:A321"/>
    <mergeCell ref="B323:B327"/>
    <mergeCell ref="B328:B333"/>
    <mergeCell ref="B334:B337"/>
    <mergeCell ref="B338:B340"/>
    <mergeCell ref="B341:B349"/>
    <mergeCell ref="A323:A349"/>
    <mergeCell ref="B351:B355"/>
    <mergeCell ref="B356:B361"/>
    <mergeCell ref="B362:B365"/>
    <mergeCell ref="B366:B368"/>
    <mergeCell ref="B369:B377"/>
    <mergeCell ref="A351:A377"/>
    <mergeCell ref="B379:B383"/>
    <mergeCell ref="B384:B389"/>
    <mergeCell ref="B390:B393"/>
    <mergeCell ref="B394:B396"/>
    <mergeCell ref="B397:B405"/>
    <mergeCell ref="A379:A405"/>
    <mergeCell ref="B407:B411"/>
    <mergeCell ref="B412:B417"/>
    <mergeCell ref="B418:B421"/>
    <mergeCell ref="B422:B424"/>
    <mergeCell ref="B425:B433"/>
    <mergeCell ref="A407:A433"/>
    <mergeCell ref="B435:B439"/>
    <mergeCell ref="B440:B445"/>
    <mergeCell ref="B446:B449"/>
    <mergeCell ref="B450:B452"/>
    <mergeCell ref="B453:B461"/>
    <mergeCell ref="A435:A461"/>
    <mergeCell ref="B463:B467"/>
    <mergeCell ref="B468:B473"/>
    <mergeCell ref="B474:B477"/>
    <mergeCell ref="B478:B480"/>
    <mergeCell ref="B481:B489"/>
    <mergeCell ref="A463:A489"/>
    <mergeCell ref="B491:B495"/>
    <mergeCell ref="B496:B501"/>
    <mergeCell ref="B502:B505"/>
    <mergeCell ref="B506:B508"/>
    <mergeCell ref="B509:B517"/>
    <mergeCell ref="A491:A517"/>
    <mergeCell ref="B519:B523"/>
    <mergeCell ref="B524:B529"/>
    <mergeCell ref="B530:B533"/>
    <mergeCell ref="B534:B536"/>
    <mergeCell ref="B537:B545"/>
    <mergeCell ref="A519:A545"/>
  </mergeCells>
  <conditionalFormatting sqref="F3:AJ3">
    <cfRule type="expression" dxfId="13" priority="1">
      <formula>AND(ISNUMBER(F3),WEEKDAY(F3,2)&gt;5)</formula>
    </cfRule>
  </conditionalFormatting>
  <conditionalFormatting sqref="F16:AJ16">
    <cfRule type="expression" dxfId="14" priority="2">
      <formula>AND(ISNUMBER(F16),F16&gt;0)</formula>
    </cfRule>
  </conditionalFormatting>
  <conditionalFormatting sqref="F22:AJ22 AK22">
    <cfRule type="expression" dxfId="15" priority="3" stopIfTrue="1">
      <formula>AND(ISNUMBER(F22),F22&gt;1)</formula>
    </cfRule>
  </conditionalFormatting>
  <conditionalFormatting sqref="F22:AJ22 AK22">
    <cfRule type="expression" dxfId="16" priority="4" stopIfTrue="1">
      <formula>AND(ISNUMBER(F22),F22&gt;=calculos!$B$6)</formula>
    </cfRule>
  </conditionalFormatting>
  <conditionalFormatting sqref="F22:AJ22 AK22">
    <cfRule type="expression" dxfId="17" priority="5" stopIfTrue="1">
      <formula>AND(ISNUMBER(F22),F22&gt;=calculos!$B$5)</formula>
    </cfRule>
  </conditionalFormatting>
  <conditionalFormatting sqref="F22:AJ22 AK22">
    <cfRule type="expression" dxfId="18" priority="6">
      <formula>ISNUMBER(F22)</formula>
    </cfRule>
  </conditionalFormatting>
  <conditionalFormatting sqref="F38:AJ38">
    <cfRule type="expression" dxfId="14" priority="7">
      <formula>AND(ISNUMBER(F38),F38&gt;0)</formula>
    </cfRule>
  </conditionalFormatting>
  <conditionalFormatting sqref="F61:AJ61">
    <cfRule type="expression" dxfId="14" priority="8">
      <formula>AND(ISNUMBER(F61),F61&gt;0)</formula>
    </cfRule>
  </conditionalFormatting>
  <conditionalFormatting sqref="F85:AJ85">
    <cfRule type="expression" dxfId="14" priority="9">
      <formula>AND(ISNUMBER(F85),F85&gt;0)</formula>
    </cfRule>
  </conditionalFormatting>
  <conditionalFormatting sqref="F109:AJ109">
    <cfRule type="expression" dxfId="14" priority="10">
      <formula>AND(ISNUMBER(F109),F109&gt;0)</formula>
    </cfRule>
  </conditionalFormatting>
  <conditionalFormatting sqref="F115:AJ115 AK115">
    <cfRule type="expression" dxfId="15" priority="11" stopIfTrue="1">
      <formula>AND(ISNUMBER(F115),F115&gt;1)</formula>
    </cfRule>
  </conditionalFormatting>
  <conditionalFormatting sqref="F115:AJ115 AK115">
    <cfRule type="expression" dxfId="16" priority="12" stopIfTrue="1">
      <formula>AND(ISNUMBER(F115),F115&gt;=calculos!$B$6)</formula>
    </cfRule>
  </conditionalFormatting>
  <conditionalFormatting sqref="F115:AJ115 AK115">
    <cfRule type="expression" dxfId="17" priority="13" stopIfTrue="1">
      <formula>AND(ISNUMBER(F115),F115&gt;=calculos!$B$5)</formula>
    </cfRule>
  </conditionalFormatting>
  <conditionalFormatting sqref="F115:AJ115 AK115">
    <cfRule type="expression" dxfId="18" priority="14">
      <formula>ISNUMBER(F115)</formula>
    </cfRule>
  </conditionalFormatting>
  <conditionalFormatting sqref="F138:AJ138">
    <cfRule type="expression" dxfId="14" priority="15">
      <formula>AND(ISNUMBER(F138),F138&gt;0)</formula>
    </cfRule>
  </conditionalFormatting>
  <conditionalFormatting sqref="F144:AJ144 AK144">
    <cfRule type="expression" dxfId="15" priority="16" stopIfTrue="1">
      <formula>AND(ISNUMBER(F144),F144&gt;1)</formula>
    </cfRule>
  </conditionalFormatting>
  <conditionalFormatting sqref="F144:AJ144 AK144">
    <cfRule type="expression" dxfId="16" priority="17" stopIfTrue="1">
      <formula>AND(ISNUMBER(F144),F144&gt;=calculos!$B$6)</formula>
    </cfRule>
  </conditionalFormatting>
  <conditionalFormatting sqref="F144:AJ144 AK144">
    <cfRule type="expression" dxfId="17" priority="18" stopIfTrue="1">
      <formula>AND(ISNUMBER(F144),F144&gt;=calculos!$B$5)</formula>
    </cfRule>
  </conditionalFormatting>
  <conditionalFormatting sqref="F144:AJ144 AK144">
    <cfRule type="expression" dxfId="18" priority="19">
      <formula>ISNUMBER(F144)</formula>
    </cfRule>
  </conditionalFormatting>
  <conditionalFormatting sqref="F166:AJ166">
    <cfRule type="expression" dxfId="14" priority="20">
      <formula>AND(ISNUMBER(F166),F166&gt;0)</formula>
    </cfRule>
  </conditionalFormatting>
  <conditionalFormatting sqref="F172:AJ172 AK172">
    <cfRule type="expression" dxfId="15" priority="21" stopIfTrue="1">
      <formula>AND(ISNUMBER(F172),F172&gt;1)</formula>
    </cfRule>
  </conditionalFormatting>
  <conditionalFormatting sqref="F172:AJ172 AK172">
    <cfRule type="expression" dxfId="16" priority="22" stopIfTrue="1">
      <formula>AND(ISNUMBER(F172),F172&gt;=calculos!$B$6)</formula>
    </cfRule>
  </conditionalFormatting>
  <conditionalFormatting sqref="F172:AJ172 AK172">
    <cfRule type="expression" dxfId="17" priority="23" stopIfTrue="1">
      <formula>AND(ISNUMBER(F172),F172&gt;=calculos!$B$5)</formula>
    </cfRule>
  </conditionalFormatting>
  <conditionalFormatting sqref="F172:AJ172 AK172">
    <cfRule type="expression" dxfId="18" priority="24">
      <formula>ISNUMBER(F172)</formula>
    </cfRule>
  </conditionalFormatting>
  <conditionalFormatting sqref="F194:AJ194">
    <cfRule type="expression" dxfId="14" priority="25">
      <formula>AND(ISNUMBER(F194),F194&gt;0)</formula>
    </cfRule>
  </conditionalFormatting>
  <conditionalFormatting sqref="F200:AJ200 AK200">
    <cfRule type="expression" dxfId="15" priority="26" stopIfTrue="1">
      <formula>AND(ISNUMBER(F200),F200&gt;1)</formula>
    </cfRule>
  </conditionalFormatting>
  <conditionalFormatting sqref="F200:AJ200 AK200">
    <cfRule type="expression" dxfId="16" priority="27" stopIfTrue="1">
      <formula>AND(ISNUMBER(F200),F200&gt;=calculos!$B$6)</formula>
    </cfRule>
  </conditionalFormatting>
  <conditionalFormatting sqref="F200:AJ200 AK200">
    <cfRule type="expression" dxfId="17" priority="28" stopIfTrue="1">
      <formula>AND(ISNUMBER(F200),F200&gt;=calculos!$B$5)</formula>
    </cfRule>
  </conditionalFormatting>
  <conditionalFormatting sqref="F200:AJ200 AK200">
    <cfRule type="expression" dxfId="18" priority="29">
      <formula>ISNUMBER(F200)</formula>
    </cfRule>
  </conditionalFormatting>
  <conditionalFormatting sqref="F222:AJ222">
    <cfRule type="expression" dxfId="14" priority="30">
      <formula>AND(ISNUMBER(F222),F222&gt;0)</formula>
    </cfRule>
  </conditionalFormatting>
  <conditionalFormatting sqref="F228:AJ228 AK228">
    <cfRule type="expression" dxfId="15" priority="31" stopIfTrue="1">
      <formula>AND(ISNUMBER(F228),F228&gt;1)</formula>
    </cfRule>
  </conditionalFormatting>
  <conditionalFormatting sqref="F228:AJ228 AK228">
    <cfRule type="expression" dxfId="16" priority="32" stopIfTrue="1">
      <formula>AND(ISNUMBER(F228),F228&gt;=calculos!$B$6)</formula>
    </cfRule>
  </conditionalFormatting>
  <conditionalFormatting sqref="F228:AJ228 AK228">
    <cfRule type="expression" dxfId="17" priority="33" stopIfTrue="1">
      <formula>AND(ISNUMBER(F228),F228&gt;=calculos!$B$5)</formula>
    </cfRule>
  </conditionalFormatting>
  <conditionalFormatting sqref="F228:AJ228 AK228">
    <cfRule type="expression" dxfId="18" priority="34">
      <formula>ISNUMBER(F228)</formula>
    </cfRule>
  </conditionalFormatting>
  <conditionalFormatting sqref="F250:AJ250">
    <cfRule type="expression" dxfId="14" priority="35">
      <formula>AND(ISNUMBER(F250),F250&gt;0)</formula>
    </cfRule>
  </conditionalFormatting>
  <conditionalFormatting sqref="F256:AJ256 AK256">
    <cfRule type="expression" dxfId="15" priority="36" stopIfTrue="1">
      <formula>AND(ISNUMBER(F256),F256&gt;1)</formula>
    </cfRule>
  </conditionalFormatting>
  <conditionalFormatting sqref="F256:AJ256 AK256">
    <cfRule type="expression" dxfId="16" priority="37" stopIfTrue="1">
      <formula>AND(ISNUMBER(F256),F256&gt;=calculos!$B$6)</formula>
    </cfRule>
  </conditionalFormatting>
  <conditionalFormatting sqref="F256:AJ256 AK256">
    <cfRule type="expression" dxfId="17" priority="38" stopIfTrue="1">
      <formula>AND(ISNUMBER(F256),F256&gt;=calculos!$B$5)</formula>
    </cfRule>
  </conditionalFormatting>
  <conditionalFormatting sqref="F256:AJ256 AK256">
    <cfRule type="expression" dxfId="18" priority="39">
      <formula>ISNUMBER(F256)</formula>
    </cfRule>
  </conditionalFormatting>
  <conditionalFormatting sqref="F278:AJ278">
    <cfRule type="expression" dxfId="14" priority="40">
      <formula>AND(ISNUMBER(F278),F278&gt;0)</formula>
    </cfRule>
  </conditionalFormatting>
  <conditionalFormatting sqref="F284:AJ284 AK284">
    <cfRule type="expression" dxfId="15" priority="41" stopIfTrue="1">
      <formula>AND(ISNUMBER(F284),F284&gt;1)</formula>
    </cfRule>
  </conditionalFormatting>
  <conditionalFormatting sqref="F284:AJ284 AK284">
    <cfRule type="expression" dxfId="16" priority="42" stopIfTrue="1">
      <formula>AND(ISNUMBER(F284),F284&gt;=calculos!$B$6)</formula>
    </cfRule>
  </conditionalFormatting>
  <conditionalFormatting sqref="F284:AJ284 AK284">
    <cfRule type="expression" dxfId="17" priority="43" stopIfTrue="1">
      <formula>AND(ISNUMBER(F284),F284&gt;=calculos!$B$5)</formula>
    </cfRule>
  </conditionalFormatting>
  <conditionalFormatting sqref="F284:AJ284 AK284">
    <cfRule type="expression" dxfId="18" priority="44">
      <formula>ISNUMBER(F284)</formula>
    </cfRule>
  </conditionalFormatting>
  <conditionalFormatting sqref="F306:AJ306">
    <cfRule type="expression" dxfId="14" priority="45">
      <formula>AND(ISNUMBER(F306),F306&gt;0)</formula>
    </cfRule>
  </conditionalFormatting>
  <conditionalFormatting sqref="F312:AJ312 AK312">
    <cfRule type="expression" dxfId="15" priority="46" stopIfTrue="1">
      <formula>AND(ISNUMBER(F312),F312&gt;1)</formula>
    </cfRule>
  </conditionalFormatting>
  <conditionalFormatting sqref="F312:AJ312 AK312">
    <cfRule type="expression" dxfId="16" priority="47" stopIfTrue="1">
      <formula>AND(ISNUMBER(F312),F312&gt;=calculos!$B$6)</formula>
    </cfRule>
  </conditionalFormatting>
  <conditionalFormatting sqref="F312:AJ312 AK312">
    <cfRule type="expression" dxfId="17" priority="48" stopIfTrue="1">
      <formula>AND(ISNUMBER(F312),F312&gt;=calculos!$B$5)</formula>
    </cfRule>
  </conditionalFormatting>
  <conditionalFormatting sqref="F312:AJ312 AK312">
    <cfRule type="expression" dxfId="18" priority="49">
      <formula>ISNUMBER(F312)</formula>
    </cfRule>
  </conditionalFormatting>
  <conditionalFormatting sqref="F334:AJ334">
    <cfRule type="expression" dxfId="14" priority="50">
      <formula>AND(ISNUMBER(F334),F334&gt;0)</formula>
    </cfRule>
  </conditionalFormatting>
  <conditionalFormatting sqref="F340:AJ340 AK340">
    <cfRule type="expression" dxfId="15" priority="51" stopIfTrue="1">
      <formula>AND(ISNUMBER(F340),F340&gt;1)</formula>
    </cfRule>
  </conditionalFormatting>
  <conditionalFormatting sqref="F340:AJ340 AK340">
    <cfRule type="expression" dxfId="16" priority="52" stopIfTrue="1">
      <formula>AND(ISNUMBER(F340),F340&gt;=calculos!$B$6)</formula>
    </cfRule>
  </conditionalFormatting>
  <conditionalFormatting sqref="F340:AJ340 AK340">
    <cfRule type="expression" dxfId="17" priority="53" stopIfTrue="1">
      <formula>AND(ISNUMBER(F340),F340&gt;=calculos!$B$5)</formula>
    </cfRule>
  </conditionalFormatting>
  <conditionalFormatting sqref="F340:AJ340 AK340">
    <cfRule type="expression" dxfId="18" priority="54">
      <formula>ISNUMBER(F340)</formula>
    </cfRule>
  </conditionalFormatting>
  <conditionalFormatting sqref="F362:AJ362">
    <cfRule type="expression" dxfId="14" priority="55">
      <formula>AND(ISNUMBER(F362),F362&gt;0)</formula>
    </cfRule>
  </conditionalFormatting>
  <conditionalFormatting sqref="F368:AJ368 AK368">
    <cfRule type="expression" dxfId="15" priority="56" stopIfTrue="1">
      <formula>AND(ISNUMBER(F368),F368&gt;1)</formula>
    </cfRule>
  </conditionalFormatting>
  <conditionalFormatting sqref="F368:AJ368 AK368">
    <cfRule type="expression" dxfId="16" priority="57" stopIfTrue="1">
      <formula>AND(ISNUMBER(F368),F368&gt;=calculos!$B$6)</formula>
    </cfRule>
  </conditionalFormatting>
  <conditionalFormatting sqref="F368:AJ368 AK368">
    <cfRule type="expression" dxfId="17" priority="58" stopIfTrue="1">
      <formula>AND(ISNUMBER(F368),F368&gt;=calculos!$B$5)</formula>
    </cfRule>
  </conditionalFormatting>
  <conditionalFormatting sqref="F368:AJ368 AK368">
    <cfRule type="expression" dxfId="18" priority="59">
      <formula>ISNUMBER(F368)</formula>
    </cfRule>
  </conditionalFormatting>
  <conditionalFormatting sqref="F390:AJ390">
    <cfRule type="expression" dxfId="14" priority="60">
      <formula>AND(ISNUMBER(F390),F390&gt;0)</formula>
    </cfRule>
  </conditionalFormatting>
  <conditionalFormatting sqref="F396:AJ396 AK396">
    <cfRule type="expression" dxfId="15" priority="61" stopIfTrue="1">
      <formula>AND(ISNUMBER(F396),F396&gt;1)</formula>
    </cfRule>
  </conditionalFormatting>
  <conditionalFormatting sqref="F396:AJ396 AK396">
    <cfRule type="expression" dxfId="16" priority="62" stopIfTrue="1">
      <formula>AND(ISNUMBER(F396),F396&gt;=calculos!$B$6)</formula>
    </cfRule>
  </conditionalFormatting>
  <conditionalFormatting sqref="F396:AJ396 AK396">
    <cfRule type="expression" dxfId="17" priority="63" stopIfTrue="1">
      <formula>AND(ISNUMBER(F396),F396&gt;=calculos!$B$5)</formula>
    </cfRule>
  </conditionalFormatting>
  <conditionalFormatting sqref="F396:AJ396 AK396">
    <cfRule type="expression" dxfId="18" priority="64">
      <formula>ISNUMBER(F396)</formula>
    </cfRule>
  </conditionalFormatting>
  <conditionalFormatting sqref="F418:AJ418">
    <cfRule type="expression" dxfId="14" priority="65">
      <formula>AND(ISNUMBER(F418),F418&gt;0)</formula>
    </cfRule>
  </conditionalFormatting>
  <conditionalFormatting sqref="F424:AJ424 AK424">
    <cfRule type="expression" dxfId="15" priority="66" stopIfTrue="1">
      <formula>AND(ISNUMBER(F424),F424&gt;1)</formula>
    </cfRule>
  </conditionalFormatting>
  <conditionalFormatting sqref="F424:AJ424 AK424">
    <cfRule type="expression" dxfId="16" priority="67" stopIfTrue="1">
      <formula>AND(ISNUMBER(F424),F424&gt;=calculos!$B$6)</formula>
    </cfRule>
  </conditionalFormatting>
  <conditionalFormatting sqref="F424:AJ424 AK424">
    <cfRule type="expression" dxfId="17" priority="68" stopIfTrue="1">
      <formula>AND(ISNUMBER(F424),F424&gt;=calculos!$B$5)</formula>
    </cfRule>
  </conditionalFormatting>
  <conditionalFormatting sqref="F424:AJ424 AK424">
    <cfRule type="expression" dxfId="18" priority="69">
      <formula>ISNUMBER(F424)</formula>
    </cfRule>
  </conditionalFormatting>
  <conditionalFormatting sqref="F446:AJ446">
    <cfRule type="expression" dxfId="14" priority="70">
      <formula>AND(ISNUMBER(F446),F446&gt;0)</formula>
    </cfRule>
  </conditionalFormatting>
  <conditionalFormatting sqref="F452:AJ452 AK452">
    <cfRule type="expression" dxfId="15" priority="71" stopIfTrue="1">
      <formula>AND(ISNUMBER(F452),F452&gt;1)</formula>
    </cfRule>
  </conditionalFormatting>
  <conditionalFormatting sqref="F452:AJ452 AK452">
    <cfRule type="expression" dxfId="16" priority="72" stopIfTrue="1">
      <formula>AND(ISNUMBER(F452),F452&gt;=calculos!$B$6)</formula>
    </cfRule>
  </conditionalFormatting>
  <conditionalFormatting sqref="F452:AJ452 AK452">
    <cfRule type="expression" dxfId="17" priority="73" stopIfTrue="1">
      <formula>AND(ISNUMBER(F452),F452&gt;=calculos!$B$5)</formula>
    </cfRule>
  </conditionalFormatting>
  <conditionalFormatting sqref="F452:AJ452 AK452">
    <cfRule type="expression" dxfId="18" priority="74">
      <formula>ISNUMBER(F452)</formula>
    </cfRule>
  </conditionalFormatting>
  <conditionalFormatting sqref="F474:AJ474">
    <cfRule type="expression" dxfId="14" priority="75">
      <formula>AND(ISNUMBER(F474),F474&gt;0)</formula>
    </cfRule>
  </conditionalFormatting>
  <conditionalFormatting sqref="F480:AJ480 AK480">
    <cfRule type="expression" dxfId="15" priority="76" stopIfTrue="1">
      <formula>AND(ISNUMBER(F480),F480&gt;1)</formula>
    </cfRule>
  </conditionalFormatting>
  <conditionalFormatting sqref="F480:AJ480 AK480">
    <cfRule type="expression" dxfId="16" priority="77" stopIfTrue="1">
      <formula>AND(ISNUMBER(F480),F480&gt;=calculos!$B$6)</formula>
    </cfRule>
  </conditionalFormatting>
  <conditionalFormatting sqref="F480:AJ480 AK480">
    <cfRule type="expression" dxfId="17" priority="78" stopIfTrue="1">
      <formula>AND(ISNUMBER(F480),F480&gt;=calculos!$B$5)</formula>
    </cfRule>
  </conditionalFormatting>
  <conditionalFormatting sqref="F480:AJ480 AK480">
    <cfRule type="expression" dxfId="18" priority="79">
      <formula>ISNUMBER(F480)</formula>
    </cfRule>
  </conditionalFormatting>
  <conditionalFormatting sqref="F502:AJ502">
    <cfRule type="expression" dxfId="14" priority="80">
      <formula>AND(ISNUMBER(F502),F502&gt;0)</formula>
    </cfRule>
  </conditionalFormatting>
  <conditionalFormatting sqref="F508:AJ508 AK508">
    <cfRule type="expression" dxfId="15" priority="81" stopIfTrue="1">
      <formula>AND(ISNUMBER(F508),F508&gt;1)</formula>
    </cfRule>
  </conditionalFormatting>
  <conditionalFormatting sqref="F508:AJ508 AK508">
    <cfRule type="expression" dxfId="16" priority="82" stopIfTrue="1">
      <formula>AND(ISNUMBER(F508),F508&gt;=calculos!$B$6)</formula>
    </cfRule>
  </conditionalFormatting>
  <conditionalFormatting sqref="F508:AJ508 AK508">
    <cfRule type="expression" dxfId="17" priority="83" stopIfTrue="1">
      <formula>AND(ISNUMBER(F508),F508&gt;=calculos!$B$5)</formula>
    </cfRule>
  </conditionalFormatting>
  <conditionalFormatting sqref="F508:AJ508 AK508">
    <cfRule type="expression" dxfId="18" priority="84">
      <formula>ISNUMBER(F508)</formula>
    </cfRule>
  </conditionalFormatting>
  <conditionalFormatting sqref="F530:AJ530">
    <cfRule type="expression" dxfId="14" priority="85">
      <formula>AND(ISNUMBER(F530),F530&gt;0)</formula>
    </cfRule>
  </conditionalFormatting>
  <conditionalFormatting sqref="F536:AJ536 AK536">
    <cfRule type="expression" dxfId="15" priority="86" stopIfTrue="1">
      <formula>AND(ISNUMBER(F536),F536&gt;1)</formula>
    </cfRule>
  </conditionalFormatting>
  <conditionalFormatting sqref="F536:AJ536 AK536">
    <cfRule type="expression" dxfId="16" priority="87" stopIfTrue="1">
      <formula>AND(ISNUMBER(F536),F536&gt;=calculos!$B$6)</formula>
    </cfRule>
  </conditionalFormatting>
  <conditionalFormatting sqref="F536:AJ536 AK536">
    <cfRule type="expression" dxfId="17" priority="88" stopIfTrue="1">
      <formula>AND(ISNUMBER(F536),F536&gt;=calculos!$B$5)</formula>
    </cfRule>
  </conditionalFormatting>
  <conditionalFormatting sqref="F536:AJ536 AK536">
    <cfRule type="expression" dxfId="18" priority="89">
      <formula>ISNUMBER(F536)</formula>
    </cfRule>
  </conditionalFormatting>
  <dataValidations count="1">
    <dataValidation type="list" allowBlank="1" showInputMessage="1" showErrorMessage="1" promptTitle="Mês" prompt="Escolha o mês do ano. Toda a aba se atualiza." errorTitle="Valor inválido" error="Escolha um mês da lista." sqref="AE1">
      <formula1>calculos!$AL$12:$AL$23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AA65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2" customWidth="1"/>
    <col min="2" max="2" width="10" customWidth="1"/>
    <col min="3" max="3" width="10" customWidth="1"/>
    <col min="4" max="4" width="10" customWidth="1"/>
    <col min="5" max="5" width="10" customWidth="1"/>
    <col min="6" max="6" width="2.5" customWidth="1"/>
    <col min="7" max="7" width="10" customWidth="1"/>
    <col min="8" max="8" width="10" customWidth="1"/>
    <col min="9" max="9" width="10" customWidth="1"/>
    <col min="10" max="10" width="10" customWidth="1"/>
    <col min="11" max="11" width="2.5" customWidth="1"/>
    <col min="12" max="12" width="10" customWidth="1"/>
    <col min="13" max="13" width="10" customWidth="1"/>
    <col min="14" max="14" width="10" customWidth="1"/>
    <col min="15" max="15" width="10" customWidth="1"/>
    <col min="16" max="16" width="2.5" customWidth="1"/>
    <col min="17" max="17" width="10" customWidth="1"/>
    <col min="18" max="18" width="10" customWidth="1"/>
    <col min="19" max="19" width="10" customWidth="1"/>
    <col min="20" max="20" width="10" customWidth="1"/>
    <col min="21" max="21" width="2.5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2" customWidth="1"/>
  </cols>
  <sheetData>
    <row r="1" ht="34.5" customHeight="1">
      <c r="A1" s="108"/>
      <c r="B1" s="108"/>
      <c r="C1" s="108"/>
      <c r="D1" s="108"/>
      <c r="E1" s="108"/>
      <c r="F1" s="108"/>
      <c r="G1" s="150" t="inlineStr">
        <is>
          <t xml:space="preserve">CONSOL MENSAL · QUADRO DE INDICADORES</t>
        </is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 t="inlineStr">
        <is>
          <t xml:space="preserve">OUTUBRO · 2026</t>
        </is>
      </c>
      <c r="W1" s="151"/>
      <c r="X1" s="151"/>
      <c r="Y1" s="151"/>
      <c r="Z1" s="151"/>
      <c r="AA1" s="151"/>
    </row>
    <row r="3" ht="24" customHeight="1">
      <c r="B3" s="111" t="inlineStr">
        <is>
          <t xml:space="preserve">CLIENTE  ▸</t>
        </is>
      </c>
      <c r="C3" s="111"/>
      <c r="D3" s="112" t="inlineStr">
        <is>
          <t xml:space="preserve">Todos</t>
        </is>
      </c>
      <c r="E3" s="113"/>
      <c r="F3" s="113"/>
      <c r="G3" s="113"/>
      <c r="H3" s="113"/>
      <c r="I3" s="114"/>
      <c r="Q3" s="289" t="str">
        <f>IF(calculos_quadro!$B$9=0,"Sem dados na Base para o mês escolhido","Dados até "&amp;TEXT(calculos_quadro!$C$7+calculos_quadro!$B$9-1,"dd/mm")&amp;"/"&amp;YEAR(calculos_quadro!$C$7)&amp;" · comparação: "&amp;calculos_quadro!$B$8&amp;", dias 1 a "&amp;calculos_quadro!$B$9)</f>
        <v>Sem dados na Base para o mês escolhido</v>
      </c>
      <c r="R3" s="289"/>
      <c r="S3" s="289"/>
      <c r="T3" s="289"/>
      <c r="U3" s="289"/>
      <c r="V3" s="289"/>
      <c r="W3" s="289"/>
      <c r="X3" s="289"/>
      <c r="Y3" s="289"/>
      <c r="Z3" s="289"/>
    </row>
    <row r="5" ht="20" customHeight="1">
      <c r="B5" s="290" t="inlineStr">
        <is>
          <t xml:space="preserve">QUADRO DE INDICADORES · cliente e mês selecionados</t>
        </is>
      </c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</row>
    <row r="6" ht="28" customHeight="1">
      <c r="B6" s="291" t="inlineStr">
        <is>
          <t xml:space="preserve">GRUPO</t>
        </is>
      </c>
      <c r="C6" s="292"/>
      <c r="D6" s="291" t="inlineStr">
        <is>
          <t xml:space="preserve">INDICADOR</t>
        </is>
      </c>
      <c r="E6" s="293"/>
      <c r="F6" s="293"/>
      <c r="G6" s="292"/>
      <c r="H6" s="294" t="inlineStr">
        <is>
          <t xml:space="preserve">META</t>
        </is>
      </c>
      <c r="I6" s="295"/>
      <c r="J6" s="294" t="inlineStr">
        <is>
          <t xml:space="preserve">REALIZADO</t>
        </is>
      </c>
      <c r="K6" s="296"/>
      <c r="L6" s="295"/>
      <c r="M6" s="294" t="inlineStr">
        <is>
          <t xml:space="preserve">MÉDIA / DIA</t>
        </is>
      </c>
      <c r="N6" s="295"/>
      <c r="O6" s="294" t="inlineStr">
        <is>
          <t xml:space="preserve">MÁXIMO NO DIA</t>
        </is>
      </c>
      <c r="P6" s="296"/>
      <c r="Q6" s="295"/>
      <c r="R6" s="294" t="inlineStr">
        <is>
          <t xml:space="preserve">MÊS ANTERIOR</t>
        </is>
      </c>
      <c r="S6" s="295"/>
      <c r="T6" s="294" t="inlineStr">
        <is>
          <t xml:space="preserve">VARIAÇÃO</t>
        </is>
      </c>
      <c r="U6" s="296"/>
      <c r="V6" s="295"/>
      <c r="W6" s="294" t="inlineStr">
        <is>
          <t xml:space="preserve">% DA META</t>
        </is>
      </c>
      <c r="X6" s="295"/>
      <c r="Y6" s="294" t="inlineStr">
        <is>
          <t xml:space="preserve">STATUS</t>
        </is>
      </c>
      <c r="Z6" s="295"/>
    </row>
    <row r="7" ht="16" customHeight="1">
      <c r="B7" s="517" t="inlineStr">
        <is>
          <t xml:space="preserve">IN</t>
        </is>
      </c>
      <c r="C7" s="168"/>
      <c r="D7" s="298" t="inlineStr">
        <is>
          <t xml:space="preserve">Veículos Recebidos</t>
        </is>
      </c>
      <c r="E7" s="297"/>
      <c r="F7" s="297"/>
      <c r="G7" s="297"/>
      <c r="H7" s="300" t="str">
        <f>IF(calculos_quadro!$B$330=0,"—",calculos_quadro!$C$48)</f>
        <v/>
      </c>
      <c r="I7" s="299"/>
      <c r="J7" s="302">
        <f>IF(calculos_quadro!$B$330=0,"—",calculos_quadro!$C$43)</f>
        <v>0</v>
      </c>
      <c r="K7" s="301"/>
      <c r="L7" s="301"/>
      <c r="M7" s="304" t="str">
        <f>IF(calculos_quadro!$B$330=0,"—",calculos_quadro!$C$44)</f>
        <v/>
      </c>
      <c r="N7" s="303"/>
      <c r="O7" s="306">
        <f>IF(calculos_quadro!$B$330=0,"—",calculos_quadro!$C$45)</f>
        <v>0</v>
      </c>
      <c r="P7" s="305"/>
      <c r="Q7" s="305"/>
      <c r="R7" s="306" t="str">
        <f>IF(calculos_quadro!$B$330=0,"—",calculos_quadro!$C$46)</f>
        <v/>
      </c>
      <c r="S7" s="305"/>
      <c r="T7" s="308" t="str">
        <f>IF(calculos_quadro!$B$330=0,"—",calculos_quadro!$C$47)</f>
        <v/>
      </c>
      <c r="U7" s="307"/>
      <c r="V7" s="307"/>
      <c r="W7" s="310" t="str">
        <f>IF(calculos_quadro!$B$330=0,"—",calculos_quadro!$C$49)</f>
        <v/>
      </c>
      <c r="X7" s="309"/>
      <c r="Y7" s="312" t="str">
        <f>IF(calculos_quadro!$B$330=0,"—",calculos_quadro!$C$50)</f>
        <v/>
      </c>
      <c r="Z7" s="313"/>
    </row>
    <row r="8" ht="16" customHeight="1">
      <c r="B8" s="518"/>
      <c r="C8" s="175"/>
      <c r="D8" s="315" t="inlineStr">
        <is>
          <t xml:space="preserve">Pallets Movimentados</t>
        </is>
      </c>
      <c r="E8" s="314"/>
      <c r="F8" s="314"/>
      <c r="G8" s="314"/>
      <c r="H8" s="317" t="str">
        <f>IF(calculos_quadro!$B$331=0,"—",calculos_quadro!$D$48)</f>
        <v/>
      </c>
      <c r="I8" s="316"/>
      <c r="J8" s="319">
        <f>IF(calculos_quadro!$B$331=0,"—",calculos_quadro!$D$43)</f>
        <v>0</v>
      </c>
      <c r="K8" s="318"/>
      <c r="L8" s="318"/>
      <c r="M8" s="321" t="str">
        <f>IF(calculos_quadro!$B$331=0,"—",calculos_quadro!$D$44)</f>
        <v/>
      </c>
      <c r="N8" s="320"/>
      <c r="O8" s="323">
        <f>IF(calculos_quadro!$B$331=0,"—",calculos_quadro!$D$45)</f>
        <v>0</v>
      </c>
      <c r="P8" s="322"/>
      <c r="Q8" s="322"/>
      <c r="R8" s="323" t="str">
        <f>IF(calculos_quadro!$B$331=0,"—",calculos_quadro!$D$46)</f>
        <v/>
      </c>
      <c r="S8" s="322"/>
      <c r="T8" s="325" t="str">
        <f>IF(calculos_quadro!$B$331=0,"—",calculos_quadro!$D$47)</f>
        <v/>
      </c>
      <c r="U8" s="324"/>
      <c r="V8" s="324"/>
      <c r="W8" s="327" t="str">
        <f>IF(calculos_quadro!$B$331=0,"—",calculos_quadro!$D$49)</f>
        <v/>
      </c>
      <c r="X8" s="326"/>
      <c r="Y8" s="329" t="str">
        <f>IF(calculos_quadro!$B$331=0,"—",calculos_quadro!$D$50)</f>
        <v/>
      </c>
      <c r="Z8" s="330"/>
    </row>
    <row r="9" ht="16" customHeight="1">
      <c r="B9" s="518"/>
      <c r="C9" s="175"/>
      <c r="D9" s="315" t="inlineStr">
        <is>
          <t xml:space="preserve">Toneladas Movimentadas</t>
        </is>
      </c>
      <c r="E9" s="314"/>
      <c r="F9" s="314"/>
      <c r="G9" s="314"/>
      <c r="H9" s="317" t="str">
        <f>IF(calculos_quadro!$B$332=0,"—",calculos_quadro!$E$48)</f>
        <v/>
      </c>
      <c r="I9" s="316"/>
      <c r="J9" s="332">
        <f>IF(calculos_quadro!$B$332=0,"—",calculos_quadro!$E$43)</f>
        <v>0</v>
      </c>
      <c r="K9" s="331"/>
      <c r="L9" s="331"/>
      <c r="M9" s="321" t="str">
        <f>IF(calculos_quadro!$B$332=0,"—",calculos_quadro!$E$44)</f>
        <v/>
      </c>
      <c r="N9" s="320"/>
      <c r="O9" s="321">
        <f>IF(calculos_quadro!$B$332=0,"—",calculos_quadro!$E$45)</f>
        <v>0</v>
      </c>
      <c r="P9" s="320"/>
      <c r="Q9" s="320"/>
      <c r="R9" s="321" t="str">
        <f>IF(calculos_quadro!$B$332=0,"—",calculos_quadro!$E$46)</f>
        <v/>
      </c>
      <c r="S9" s="320"/>
      <c r="T9" s="325" t="str">
        <f>IF(calculos_quadro!$B$332=0,"—",calculos_quadro!$E$47)</f>
        <v/>
      </c>
      <c r="U9" s="324"/>
      <c r="V9" s="324"/>
      <c r="W9" s="327" t="str">
        <f>IF(calculos_quadro!$B$332=0,"—",calculos_quadro!$E$49)</f>
        <v/>
      </c>
      <c r="X9" s="326"/>
      <c r="Y9" s="329" t="str">
        <f>IF(calculos_quadro!$B$332=0,"—",calculos_quadro!$E$50)</f>
        <v/>
      </c>
      <c r="Z9" s="330"/>
    </row>
    <row r="10" ht="16" customHeight="1">
      <c r="B10" s="518"/>
      <c r="C10" s="175"/>
      <c r="D10" s="315" t="inlineStr">
        <is>
          <t xml:space="preserve">Caixas Recebidas</t>
        </is>
      </c>
      <c r="E10" s="314"/>
      <c r="F10" s="314"/>
      <c r="G10" s="314"/>
      <c r="H10" s="317" t="str">
        <f>IF(calculos_quadro!$B$333=0,"—",calculos_quadro!$F$48)</f>
        <v/>
      </c>
      <c r="I10" s="316"/>
      <c r="J10" s="319">
        <f>IF(calculos_quadro!$B$333=0,"—",calculos_quadro!$F$43)</f>
        <v>0</v>
      </c>
      <c r="K10" s="318"/>
      <c r="L10" s="318"/>
      <c r="M10" s="321" t="str">
        <f>IF(calculos_quadro!$B$333=0,"—",calculos_quadro!$F$44)</f>
        <v/>
      </c>
      <c r="N10" s="320"/>
      <c r="O10" s="323">
        <f>IF(calculos_quadro!$B$333=0,"—",calculos_quadro!$F$45)</f>
        <v>0</v>
      </c>
      <c r="P10" s="322"/>
      <c r="Q10" s="322"/>
      <c r="R10" s="323" t="str">
        <f>IF(calculos_quadro!$B$333=0,"—",calculos_quadro!$F$46)</f>
        <v/>
      </c>
      <c r="S10" s="322"/>
      <c r="T10" s="325" t="str">
        <f>IF(calculos_quadro!$B$333=0,"—",calculos_quadro!$F$47)</f>
        <v/>
      </c>
      <c r="U10" s="324"/>
      <c r="V10" s="324"/>
      <c r="W10" s="327" t="str">
        <f>IF(calculos_quadro!$B$333=0,"—",calculos_quadro!$F$49)</f>
        <v/>
      </c>
      <c r="X10" s="326"/>
      <c r="Y10" s="329" t="str">
        <f>IF(calculos_quadro!$B$333=0,"—",calculos_quadro!$F$50)</f>
        <v/>
      </c>
      <c r="Z10" s="330"/>
    </row>
    <row r="11" ht="16" customHeight="1">
      <c r="B11" s="519"/>
      <c r="C11" s="186"/>
      <c r="D11" s="334" t="inlineStr">
        <is>
          <t xml:space="preserve">Bags Recebidos</t>
        </is>
      </c>
      <c r="E11" s="333"/>
      <c r="F11" s="333"/>
      <c r="G11" s="333"/>
      <c r="H11" s="336" t="str">
        <f>IF(calculos_quadro!$B$334=0,"—",calculos_quadro!$G$48)</f>
        <v/>
      </c>
      <c r="I11" s="335"/>
      <c r="J11" s="338">
        <f>IF(calculos_quadro!$B$334=0,"—",calculos_quadro!$G$43)</f>
        <v>0</v>
      </c>
      <c r="K11" s="337"/>
      <c r="L11" s="337"/>
      <c r="M11" s="340" t="str">
        <f>IF(calculos_quadro!$B$334=0,"—",calculos_quadro!$G$44)</f>
        <v/>
      </c>
      <c r="N11" s="339"/>
      <c r="O11" s="342">
        <f>IF(calculos_quadro!$B$334=0,"—",calculos_quadro!$G$45)</f>
        <v>0</v>
      </c>
      <c r="P11" s="341"/>
      <c r="Q11" s="341"/>
      <c r="R11" s="342" t="str">
        <f>IF(calculos_quadro!$B$334=0,"—",calculos_quadro!$G$46)</f>
        <v/>
      </c>
      <c r="S11" s="341"/>
      <c r="T11" s="344" t="str">
        <f>IF(calculos_quadro!$B$334=0,"—",calculos_quadro!$G$47)</f>
        <v/>
      </c>
      <c r="U11" s="343"/>
      <c r="V11" s="343"/>
      <c r="W11" s="346" t="str">
        <f>IF(calculos_quadro!$B$334=0,"—",calculos_quadro!$G$49)</f>
        <v/>
      </c>
      <c r="X11" s="345"/>
      <c r="Y11" s="348" t="str">
        <f>IF(calculos_quadro!$B$334=0,"—",calculos_quadro!$G$50)</f>
        <v/>
      </c>
      <c r="Z11" s="349"/>
    </row>
    <row r="12" ht="16" customHeight="1">
      <c r="B12" s="520" t="inlineStr">
        <is>
          <t xml:space="preserve">OUT</t>
        </is>
      </c>
      <c r="C12" s="192"/>
      <c r="D12" s="351" t="inlineStr">
        <is>
          <t xml:space="preserve">Veículos Expedidos</t>
        </is>
      </c>
      <c r="E12" s="350"/>
      <c r="F12" s="350"/>
      <c r="G12" s="350"/>
      <c r="H12" s="353" t="str">
        <f>IF(calculos_quadro!$B$335=0,"—",calculos_quadro!$H$48)</f>
        <v/>
      </c>
      <c r="I12" s="352"/>
      <c r="J12" s="355">
        <f>IF(calculos_quadro!$B$335=0,"—",calculos_quadro!$H$43)</f>
        <v>0</v>
      </c>
      <c r="K12" s="354"/>
      <c r="L12" s="354"/>
      <c r="M12" s="357" t="str">
        <f>IF(calculos_quadro!$B$335=0,"—",calculos_quadro!$H$44)</f>
        <v/>
      </c>
      <c r="N12" s="356"/>
      <c r="O12" s="359">
        <f>IF(calculos_quadro!$B$335=0,"—",calculos_quadro!$H$45)</f>
        <v>0</v>
      </c>
      <c r="P12" s="358"/>
      <c r="Q12" s="358"/>
      <c r="R12" s="359" t="str">
        <f>IF(calculos_quadro!$B$335=0,"—",calculos_quadro!$H$46)</f>
        <v/>
      </c>
      <c r="S12" s="358"/>
      <c r="T12" s="361" t="str">
        <f>IF(calculos_quadro!$B$335=0,"—",calculos_quadro!$H$47)</f>
        <v/>
      </c>
      <c r="U12" s="360"/>
      <c r="V12" s="360"/>
      <c r="W12" s="363" t="str">
        <f>IF(calculos_quadro!$B$335=0,"—",calculos_quadro!$H$49)</f>
        <v/>
      </c>
      <c r="X12" s="362"/>
      <c r="Y12" s="365" t="str">
        <f>IF(calculos_quadro!$B$335=0,"—",calculos_quadro!$H$50)</f>
        <v/>
      </c>
      <c r="Z12" s="366"/>
    </row>
    <row r="13" ht="16" customHeight="1">
      <c r="B13" s="521"/>
      <c r="C13" s="199"/>
      <c r="D13" s="368" t="inlineStr">
        <is>
          <t xml:space="preserve">Pallets Movimentados</t>
        </is>
      </c>
      <c r="E13" s="367"/>
      <c r="F13" s="367"/>
      <c r="G13" s="367"/>
      <c r="H13" s="370" t="str">
        <f>IF(calculos_quadro!$B$336=0,"—",calculos_quadro!$I$48)</f>
        <v/>
      </c>
      <c r="I13" s="369"/>
      <c r="J13" s="372">
        <f>IF(calculos_quadro!$B$336=0,"—",calculos_quadro!$I$43)</f>
        <v>0</v>
      </c>
      <c r="K13" s="371"/>
      <c r="L13" s="371"/>
      <c r="M13" s="374" t="str">
        <f>IF(calculos_quadro!$B$336=0,"—",calculos_quadro!$I$44)</f>
        <v/>
      </c>
      <c r="N13" s="373"/>
      <c r="O13" s="376">
        <f>IF(calculos_quadro!$B$336=0,"—",calculos_quadro!$I$45)</f>
        <v>0</v>
      </c>
      <c r="P13" s="375"/>
      <c r="Q13" s="375"/>
      <c r="R13" s="376" t="str">
        <f>IF(calculos_quadro!$B$336=0,"—",calculos_quadro!$I$46)</f>
        <v/>
      </c>
      <c r="S13" s="375"/>
      <c r="T13" s="378" t="str">
        <f>IF(calculos_quadro!$B$336=0,"—",calculos_quadro!$I$47)</f>
        <v/>
      </c>
      <c r="U13" s="377"/>
      <c r="V13" s="377"/>
      <c r="W13" s="380" t="str">
        <f>IF(calculos_quadro!$B$336=0,"—",calculos_quadro!$I$49)</f>
        <v/>
      </c>
      <c r="X13" s="379"/>
      <c r="Y13" s="382" t="str">
        <f>IF(calculos_quadro!$B$336=0,"—",calculos_quadro!$I$50)</f>
        <v/>
      </c>
      <c r="Z13" s="383"/>
    </row>
    <row r="14" ht="16" customHeight="1">
      <c r="B14" s="521"/>
      <c r="C14" s="199"/>
      <c r="D14" s="368" t="inlineStr">
        <is>
          <t xml:space="preserve">Toneladas Movimentadas</t>
        </is>
      </c>
      <c r="E14" s="367"/>
      <c r="F14" s="367"/>
      <c r="G14" s="367"/>
      <c r="H14" s="370" t="str">
        <f>IF(calculos_quadro!$B$337=0,"—",calculos_quadro!$J$48)</f>
        <v/>
      </c>
      <c r="I14" s="369"/>
      <c r="J14" s="385">
        <f>IF(calculos_quadro!$B$337=0,"—",calculos_quadro!$J$43)</f>
        <v>0</v>
      </c>
      <c r="K14" s="384"/>
      <c r="L14" s="384"/>
      <c r="M14" s="374" t="str">
        <f>IF(calculos_quadro!$B$337=0,"—",calculos_quadro!$J$44)</f>
        <v/>
      </c>
      <c r="N14" s="373"/>
      <c r="O14" s="374">
        <f>IF(calculos_quadro!$B$337=0,"—",calculos_quadro!$J$45)</f>
        <v>0</v>
      </c>
      <c r="P14" s="373"/>
      <c r="Q14" s="373"/>
      <c r="R14" s="374" t="str">
        <f>IF(calculos_quadro!$B$337=0,"—",calculos_quadro!$J$46)</f>
        <v/>
      </c>
      <c r="S14" s="373"/>
      <c r="T14" s="378" t="str">
        <f>IF(calculos_quadro!$B$337=0,"—",calculos_quadro!$J$47)</f>
        <v/>
      </c>
      <c r="U14" s="377"/>
      <c r="V14" s="377"/>
      <c r="W14" s="380" t="str">
        <f>IF(calculos_quadro!$B$337=0,"—",calculos_quadro!$J$49)</f>
        <v/>
      </c>
      <c r="X14" s="379"/>
      <c r="Y14" s="382" t="str">
        <f>IF(calculos_quadro!$B$337=0,"—",calculos_quadro!$J$50)</f>
        <v/>
      </c>
      <c r="Z14" s="383"/>
    </row>
    <row r="15" ht="16" customHeight="1">
      <c r="B15" s="521"/>
      <c r="C15" s="199"/>
      <c r="D15" s="368" t="inlineStr">
        <is>
          <t xml:space="preserve">Caixas Expedidas</t>
        </is>
      </c>
      <c r="E15" s="367"/>
      <c r="F15" s="367"/>
      <c r="G15" s="367"/>
      <c r="H15" s="370" t="str">
        <f>IF(calculos_quadro!$B$338=0,"—",calculos_quadro!$K$48)</f>
        <v/>
      </c>
      <c r="I15" s="369"/>
      <c r="J15" s="372">
        <f>IF(calculos_quadro!$B$338=0,"—",calculos_quadro!$K$43)</f>
        <v>0</v>
      </c>
      <c r="K15" s="371"/>
      <c r="L15" s="371"/>
      <c r="M15" s="374" t="str">
        <f>IF(calculos_quadro!$B$338=0,"—",calculos_quadro!$K$44)</f>
        <v/>
      </c>
      <c r="N15" s="373"/>
      <c r="O15" s="376">
        <f>IF(calculos_quadro!$B$338=0,"—",calculos_quadro!$K$45)</f>
        <v>0</v>
      </c>
      <c r="P15" s="375"/>
      <c r="Q15" s="375"/>
      <c r="R15" s="376" t="str">
        <f>IF(calculos_quadro!$B$338=0,"—",calculos_quadro!$K$46)</f>
        <v/>
      </c>
      <c r="S15" s="375"/>
      <c r="T15" s="378" t="str">
        <f>IF(calculos_quadro!$B$338=0,"—",calculos_quadro!$K$47)</f>
        <v/>
      </c>
      <c r="U15" s="377"/>
      <c r="V15" s="377"/>
      <c r="W15" s="380" t="str">
        <f>IF(calculos_quadro!$B$338=0,"—",calculos_quadro!$K$49)</f>
        <v/>
      </c>
      <c r="X15" s="379"/>
      <c r="Y15" s="382" t="str">
        <f>IF(calculos_quadro!$B$338=0,"—",calculos_quadro!$K$50)</f>
        <v/>
      </c>
      <c r="Z15" s="383"/>
    </row>
    <row r="16" ht="16" customHeight="1">
      <c r="B16" s="521"/>
      <c r="C16" s="199"/>
      <c r="D16" s="368" t="inlineStr">
        <is>
          <t xml:space="preserve">Pedidos Faturados</t>
        </is>
      </c>
      <c r="E16" s="367"/>
      <c r="F16" s="367"/>
      <c r="G16" s="367"/>
      <c r="H16" s="370" t="str">
        <f>IF(calculos_quadro!$B$339=0,"—",calculos_quadro!$L$48)</f>
        <v/>
      </c>
      <c r="I16" s="369"/>
      <c r="J16" s="372">
        <f>IF(calculos_quadro!$B$339=0,"—",calculos_quadro!$L$43)</f>
        <v>0</v>
      </c>
      <c r="K16" s="371"/>
      <c r="L16" s="371"/>
      <c r="M16" s="374" t="str">
        <f>IF(calculos_quadro!$B$339=0,"—",calculos_quadro!$L$44)</f>
        <v/>
      </c>
      <c r="N16" s="373"/>
      <c r="O16" s="376">
        <f>IF(calculos_quadro!$B$339=0,"—",calculos_quadro!$L$45)</f>
        <v>0</v>
      </c>
      <c r="P16" s="375"/>
      <c r="Q16" s="375"/>
      <c r="R16" s="376" t="str">
        <f>IF(calculos_quadro!$B$339=0,"—",calculos_quadro!$L$46)</f>
        <v/>
      </c>
      <c r="S16" s="375"/>
      <c r="T16" s="378" t="str">
        <f>IF(calculos_quadro!$B$339=0,"—",calculos_quadro!$L$47)</f>
        <v/>
      </c>
      <c r="U16" s="377"/>
      <c r="V16" s="377"/>
      <c r="W16" s="380" t="str">
        <f>IF(calculos_quadro!$B$339=0,"—",calculos_quadro!$L$49)</f>
        <v/>
      </c>
      <c r="X16" s="379"/>
      <c r="Y16" s="382" t="str">
        <f>IF(calculos_quadro!$B$339=0,"—",calculos_quadro!$L$50)</f>
        <v/>
      </c>
      <c r="Z16" s="383"/>
    </row>
    <row r="17" ht="16" customHeight="1">
      <c r="B17" s="522"/>
      <c r="C17" s="210"/>
      <c r="D17" s="387" t="inlineStr">
        <is>
          <t xml:space="preserve">Bags Expedidos</t>
        </is>
      </c>
      <c r="E17" s="386"/>
      <c r="F17" s="386"/>
      <c r="G17" s="386"/>
      <c r="H17" s="389" t="str">
        <f>IF(calculos_quadro!$B$340=0,"—",calculos_quadro!$M$48)</f>
        <v/>
      </c>
      <c r="I17" s="388"/>
      <c r="J17" s="391">
        <f>IF(calculos_quadro!$B$340=0,"—",calculos_quadro!$M$43)</f>
        <v>0</v>
      </c>
      <c r="K17" s="390"/>
      <c r="L17" s="390"/>
      <c r="M17" s="393" t="str">
        <f>IF(calculos_quadro!$B$340=0,"—",calculos_quadro!$M$44)</f>
        <v/>
      </c>
      <c r="N17" s="392"/>
      <c r="O17" s="395">
        <f>IF(calculos_quadro!$B$340=0,"—",calculos_quadro!$M$45)</f>
        <v>0</v>
      </c>
      <c r="P17" s="394"/>
      <c r="Q17" s="394"/>
      <c r="R17" s="395" t="str">
        <f>IF(calculos_quadro!$B$340=0,"—",calculos_quadro!$M$46)</f>
        <v/>
      </c>
      <c r="S17" s="394"/>
      <c r="T17" s="397" t="str">
        <f>IF(calculos_quadro!$B$340=0,"—",calculos_quadro!$M$47)</f>
        <v/>
      </c>
      <c r="U17" s="396"/>
      <c r="V17" s="396"/>
      <c r="W17" s="399" t="str">
        <f>IF(calculos_quadro!$B$340=0,"—",calculos_quadro!$M$49)</f>
        <v/>
      </c>
      <c r="X17" s="398"/>
      <c r="Y17" s="401" t="str">
        <f>IF(calculos_quadro!$B$340=0,"—",calculos_quadro!$M$50)</f>
        <v/>
      </c>
      <c r="Z17" s="402"/>
    </row>
    <row r="18" ht="16" customHeight="1">
      <c r="B18" s="523" t="inlineStr">
        <is>
          <t xml:space="preserve">NC</t>
        </is>
      </c>
      <c r="C18" s="216"/>
      <c r="D18" s="404" t="inlineStr">
        <is>
          <t xml:space="preserve">Incidentes</t>
        </is>
      </c>
      <c r="E18" s="403"/>
      <c r="F18" s="403"/>
      <c r="G18" s="403"/>
      <c r="H18" s="406" t="str">
        <f>IF(calculos_quadro!$B$341=0,"—",calculos_quadro!$N$48)</f>
        <v/>
      </c>
      <c r="I18" s="405"/>
      <c r="J18" s="408">
        <f>IF(calculos_quadro!$B$341=0,"—",calculos_quadro!$N$43)</f>
        <v>0</v>
      </c>
      <c r="K18" s="407"/>
      <c r="L18" s="407"/>
      <c r="M18" s="410" t="str">
        <f>IF(calculos_quadro!$B$341=0,"—",calculos_quadro!$N$44)</f>
        <v/>
      </c>
      <c r="N18" s="409"/>
      <c r="O18" s="412">
        <f>IF(calculos_quadro!$B$341=0,"—",calculos_quadro!$N$45)</f>
        <v>0</v>
      </c>
      <c r="P18" s="411"/>
      <c r="Q18" s="411"/>
      <c r="R18" s="412" t="str">
        <f>IF(calculos_quadro!$B$341=0,"—",calculos_quadro!$N$46)</f>
        <v/>
      </c>
      <c r="S18" s="411"/>
      <c r="T18" s="414" t="str">
        <f>IF(calculos_quadro!$B$341=0,"—",calculos_quadro!$N$47)</f>
        <v/>
      </c>
      <c r="U18" s="413"/>
      <c r="V18" s="413"/>
      <c r="W18" s="416" t="str">
        <f>IF(calculos_quadro!$B$341=0,"—",calculos_quadro!$N$49)</f>
        <v/>
      </c>
      <c r="X18" s="415"/>
      <c r="Y18" s="418" t="str">
        <f>IF(calculos_quadro!$B$341=0,"—",calculos_quadro!$N$50)</f>
        <v/>
      </c>
      <c r="Z18" s="419"/>
    </row>
    <row r="19" ht="16" customHeight="1">
      <c r="B19" s="524"/>
      <c r="C19" s="223"/>
      <c r="D19" s="421" t="inlineStr">
        <is>
          <t xml:space="preserve">No show</t>
        </is>
      </c>
      <c r="E19" s="420"/>
      <c r="F19" s="420"/>
      <c r="G19" s="420"/>
      <c r="H19" s="423" t="str">
        <f>IF(calculos_quadro!$B$342=0,"—",calculos_quadro!$O$48)</f>
        <v/>
      </c>
      <c r="I19" s="422"/>
      <c r="J19" s="425">
        <f>IF(calculos_quadro!$B$342=0,"—",calculos_quadro!$O$43)</f>
        <v>0</v>
      </c>
      <c r="K19" s="424"/>
      <c r="L19" s="424"/>
      <c r="M19" s="427" t="str">
        <f>IF(calculos_quadro!$B$342=0,"—",calculos_quadro!$O$44)</f>
        <v/>
      </c>
      <c r="N19" s="426"/>
      <c r="O19" s="429">
        <f>IF(calculos_quadro!$B$342=0,"—",calculos_quadro!$O$45)</f>
        <v>0</v>
      </c>
      <c r="P19" s="428"/>
      <c r="Q19" s="428"/>
      <c r="R19" s="429" t="str">
        <f>IF(calculos_quadro!$B$342=0,"—",calculos_quadro!$O$46)</f>
        <v/>
      </c>
      <c r="S19" s="428"/>
      <c r="T19" s="431" t="str">
        <f>IF(calculos_quadro!$B$342=0,"—",calculos_quadro!$O$47)</f>
        <v/>
      </c>
      <c r="U19" s="430"/>
      <c r="V19" s="430"/>
      <c r="W19" s="433" t="str">
        <f>IF(calculos_quadro!$B$342=0,"—",calculos_quadro!$O$49)</f>
        <v/>
      </c>
      <c r="X19" s="432"/>
      <c r="Y19" s="435" t="str">
        <f>IF(calculos_quadro!$B$342=0,"—",calculos_quadro!$O$50)</f>
        <v/>
      </c>
      <c r="Z19" s="436"/>
    </row>
    <row r="20" ht="16" customHeight="1">
      <c r="B20" s="524"/>
      <c r="C20" s="223"/>
      <c r="D20" s="421" t="inlineStr">
        <is>
          <t xml:space="preserve">Backlog Intralog</t>
        </is>
      </c>
      <c r="E20" s="420"/>
      <c r="F20" s="420"/>
      <c r="G20" s="420"/>
      <c r="H20" s="423" t="str">
        <f>IF(calculos_quadro!$B$343=0,"—",calculos_quadro!$P$48)</f>
        <v/>
      </c>
      <c r="I20" s="422"/>
      <c r="J20" s="425" t="str">
        <f>IF(calculos_quadro!$B$343=0,"—",calculos_quadro!$P$43)</f>
        <v/>
      </c>
      <c r="K20" s="424"/>
      <c r="L20" s="424"/>
      <c r="M20" s="427" t="str">
        <f>IF(calculos_quadro!$B$343=0,"—",calculos_quadro!$P$44)</f>
        <v/>
      </c>
      <c r="N20" s="426"/>
      <c r="O20" s="429" t="str">
        <f>IF(calculos_quadro!$B$343=0,"—",calculos_quadro!$P$45)</f>
        <v/>
      </c>
      <c r="P20" s="428"/>
      <c r="Q20" s="428"/>
      <c r="R20" s="429" t="str">
        <f>IF(calculos_quadro!$B$343=0,"—",calculos_quadro!$P$46)</f>
        <v/>
      </c>
      <c r="S20" s="428"/>
      <c r="T20" s="431" t="str">
        <f>IF(calculos_quadro!$B$343=0,"—",calculos_quadro!$P$47)</f>
        <v/>
      </c>
      <c r="U20" s="430"/>
      <c r="V20" s="430"/>
      <c r="W20" s="433" t="str">
        <f>IF(calculos_quadro!$B$343=0,"—",calculos_quadro!$P$49)</f>
        <v/>
      </c>
      <c r="X20" s="432"/>
      <c r="Y20" s="435" t="str">
        <f>IF(calculos_quadro!$B$343=0,"—",calculos_quadro!$P$50)</f>
        <v/>
      </c>
      <c r="Z20" s="436"/>
    </row>
    <row r="21" ht="16" customHeight="1">
      <c r="B21" s="525"/>
      <c r="C21" s="230"/>
      <c r="D21" s="438" t="inlineStr">
        <is>
          <t xml:space="preserve">Backlog Cliente</t>
        </is>
      </c>
      <c r="E21" s="437"/>
      <c r="F21" s="437"/>
      <c r="G21" s="437"/>
      <c r="H21" s="440" t="str">
        <f>IF(calculos_quadro!$B$344=0,"—",calculos_quadro!$Q$48)</f>
        <v/>
      </c>
      <c r="I21" s="439"/>
      <c r="J21" s="442" t="str">
        <f>IF(calculos_quadro!$B$344=0,"—",calculos_quadro!$Q$43)</f>
        <v/>
      </c>
      <c r="K21" s="441"/>
      <c r="L21" s="441"/>
      <c r="M21" s="444" t="str">
        <f>IF(calculos_quadro!$B$344=0,"—",calculos_quadro!$Q$44)</f>
        <v/>
      </c>
      <c r="N21" s="443"/>
      <c r="O21" s="446" t="str">
        <f>IF(calculos_quadro!$B$344=0,"—",calculos_quadro!$Q$45)</f>
        <v/>
      </c>
      <c r="P21" s="445"/>
      <c r="Q21" s="445"/>
      <c r="R21" s="446" t="str">
        <f>IF(calculos_quadro!$B$344=0,"—",calculos_quadro!$Q$46)</f>
        <v/>
      </c>
      <c r="S21" s="445"/>
      <c r="T21" s="448" t="str">
        <f>IF(calculos_quadro!$B$344=0,"—",calculos_quadro!$Q$47)</f>
        <v/>
      </c>
      <c r="U21" s="447"/>
      <c r="V21" s="447"/>
      <c r="W21" s="450" t="str">
        <f>IF(calculos_quadro!$B$344=0,"—",calculos_quadro!$Q$49)</f>
        <v/>
      </c>
      <c r="X21" s="449"/>
      <c r="Y21" s="452" t="str">
        <f>IF(calculos_quadro!$B$344=0,"—",calculos_quadro!$Q$50)</f>
        <v/>
      </c>
      <c r="Z21" s="453"/>
    </row>
    <row r="22" ht="16" customHeight="1">
      <c r="B22" s="517" t="inlineStr">
        <is>
          <t xml:space="preserve">OCUPAÇÃO (P.P)</t>
        </is>
      </c>
      <c r="C22" s="168"/>
      <c r="D22" s="298" t="inlineStr">
        <is>
          <t xml:space="preserve">Posições Disponíveis</t>
        </is>
      </c>
      <c r="E22" s="297"/>
      <c r="F22" s="297"/>
      <c r="G22" s="297"/>
      <c r="H22" s="300" t="str">
        <f>IF(calculos_quadro!$B$345=0,"—",calculos_quadro!$R$48)</f>
        <v/>
      </c>
      <c r="I22" s="299"/>
      <c r="J22" s="455" t="str">
        <f>IF(calculos_quadro!$B$345=0,"—",calculos_quadro!$R$43)</f>
        <v/>
      </c>
      <c r="K22" s="454"/>
      <c r="L22" s="454"/>
      <c r="M22" s="304"/>
      <c r="N22" s="303"/>
      <c r="O22" s="457" t="str">
        <f>IF(calculos_quadro!$B$345=0,"—",calculos_quadro!$R$45)</f>
        <v/>
      </c>
      <c r="P22" s="456"/>
      <c r="Q22" s="456"/>
      <c r="R22" s="457" t="str">
        <f>IF(calculos_quadro!$B$345=0,"—",calculos_quadro!$R$46)</f>
        <v/>
      </c>
      <c r="S22" s="456"/>
      <c r="T22" s="308" t="str">
        <f>IF(calculos_quadro!$B$345=0,"—",calculos_quadro!$R$47)</f>
        <v/>
      </c>
      <c r="U22" s="307"/>
      <c r="V22" s="307"/>
      <c r="W22" s="310" t="str">
        <f>IF(calculos_quadro!$B$345=0,"—",calculos_quadro!$R$49)</f>
        <v/>
      </c>
      <c r="X22" s="309"/>
      <c r="Y22" s="312" t="str">
        <f>IF(calculos_quadro!$B$345=0,"—",calculos_quadro!$R$50)</f>
        <v/>
      </c>
      <c r="Z22" s="313"/>
    </row>
    <row r="23" ht="16" customHeight="1">
      <c r="B23" s="518"/>
      <c r="C23" s="175"/>
      <c r="D23" s="315" t="inlineStr">
        <is>
          <t xml:space="preserve">Posições Ocupadas</t>
        </is>
      </c>
      <c r="E23" s="314"/>
      <c r="F23" s="314"/>
      <c r="G23" s="314"/>
      <c r="H23" s="317" t="str">
        <f>IF(calculos_quadro!$B$346=0,"—",calculos_quadro!$S$48)</f>
        <v/>
      </c>
      <c r="I23" s="316"/>
      <c r="J23" s="319" t="str">
        <f>IF(calculos_quadro!$B$346=0,"—",calculos_quadro!$S$43)</f>
        <v/>
      </c>
      <c r="K23" s="318"/>
      <c r="L23" s="318"/>
      <c r="M23" s="321" t="str">
        <f>IF(calculos_quadro!$B$346=0,"—",calculos_quadro!$S$44)</f>
        <v/>
      </c>
      <c r="N23" s="320"/>
      <c r="O23" s="323" t="str">
        <f>IF(calculos_quadro!$B$346=0,"—",calculos_quadro!$S$45)</f>
        <v/>
      </c>
      <c r="P23" s="322"/>
      <c r="Q23" s="322"/>
      <c r="R23" s="323" t="str">
        <f>IF(calculos_quadro!$B$346=0,"—",calculos_quadro!$S$46)</f>
        <v/>
      </c>
      <c r="S23" s="322"/>
      <c r="T23" s="325" t="str">
        <f>IF(calculos_quadro!$B$346=0,"—",calculos_quadro!$S$47)</f>
        <v/>
      </c>
      <c r="U23" s="324"/>
      <c r="V23" s="324"/>
      <c r="W23" s="327" t="str">
        <f>IF(calculos_quadro!$B$346=0,"—",calculos_quadro!$S$49)</f>
        <v/>
      </c>
      <c r="X23" s="326"/>
      <c r="Y23" s="329" t="str">
        <f>IF(calculos_quadro!$B$346=0,"—",calculos_quadro!$S$50)</f>
        <v/>
      </c>
      <c r="Z23" s="330"/>
    </row>
    <row r="24" ht="16" customHeight="1">
      <c r="B24" s="519"/>
      <c r="C24" s="186"/>
      <c r="D24" s="334" t="inlineStr">
        <is>
          <t xml:space="preserve">Taxa de Ocupação</t>
        </is>
      </c>
      <c r="E24" s="333"/>
      <c r="F24" s="333"/>
      <c r="G24" s="333"/>
      <c r="H24" s="459" t="str">
        <f>IF(calculos_quadro!$B$347=0,"—",calculos_quadro!$T$48)</f>
        <v/>
      </c>
      <c r="I24" s="458"/>
      <c r="J24" s="461" t="str">
        <f>IF(calculos_quadro!$B$347=0,"—",calculos_quadro!$T$43)</f>
        <v/>
      </c>
      <c r="K24" s="460"/>
      <c r="L24" s="460"/>
      <c r="M24" s="463" t="str">
        <f>IF(calculos_quadro!$B$347=0,"—",calculos_quadro!$T$44)</f>
        <v/>
      </c>
      <c r="N24" s="462"/>
      <c r="O24" s="463" t="str">
        <f>IF(calculos_quadro!$B$347=0,"—",calculos_quadro!$T$45)</f>
        <v/>
      </c>
      <c r="P24" s="462"/>
      <c r="Q24" s="462"/>
      <c r="R24" s="463" t="str">
        <f>IF(calculos_quadro!$B$347=0,"—",calculos_quadro!$T$46)</f>
        <v/>
      </c>
      <c r="S24" s="462"/>
      <c r="T24" s="344" t="str">
        <f>IF(calculos_quadro!$B$347=0,"—",calculos_quadro!$T$47)</f>
        <v/>
      </c>
      <c r="U24" s="343"/>
      <c r="V24" s="343"/>
      <c r="W24" s="346" t="str">
        <f>IF(calculos_quadro!$B$347=0,"—",calculos_quadro!$T$49)</f>
        <v/>
      </c>
      <c r="X24" s="345"/>
      <c r="Y24" s="348" t="str">
        <f>IF(calculos_quadro!$B$347=0,"—",calculos_quadro!$T$50)</f>
        <v/>
      </c>
      <c r="Z24" s="349"/>
    </row>
    <row r="25" ht="16" customHeight="1">
      <c r="B25" s="526" t="inlineStr">
        <is>
          <t xml:space="preserve">GENTE</t>
        </is>
      </c>
      <c r="C25" s="240"/>
      <c r="D25" s="465" t="inlineStr">
        <is>
          <t xml:space="preserve">Efetivo Op.</t>
        </is>
      </c>
      <c r="E25" s="464"/>
      <c r="F25" s="464"/>
      <c r="G25" s="464"/>
      <c r="H25" s="467" t="str">
        <f>IF(calculos_quadro!$B$348=0,"—",calculos_quadro!$U$48)</f>
        <v/>
      </c>
      <c r="I25" s="466"/>
      <c r="J25" s="469" t="str">
        <f>IF(calculos_quadro!$B$348=0,"—",calculos_quadro!$U$43)</f>
        <v/>
      </c>
      <c r="K25" s="468"/>
      <c r="L25" s="468"/>
      <c r="M25" s="471" t="str">
        <f>IF(calculos_quadro!$B$348=0,"—",calculos_quadro!$U$44)</f>
        <v/>
      </c>
      <c r="N25" s="470"/>
      <c r="O25" s="473" t="str">
        <f>IF(calculos_quadro!$B$348=0,"—",calculos_quadro!$U$45)</f>
        <v/>
      </c>
      <c r="P25" s="472"/>
      <c r="Q25" s="472"/>
      <c r="R25" s="473" t="str">
        <f>IF(calculos_quadro!$B$348=0,"—",calculos_quadro!$U$46)</f>
        <v/>
      </c>
      <c r="S25" s="472"/>
      <c r="T25" s="475" t="str">
        <f>IF(calculos_quadro!$B$348=0,"—",calculos_quadro!$U$47)</f>
        <v/>
      </c>
      <c r="U25" s="474"/>
      <c r="V25" s="474"/>
      <c r="W25" s="477" t="str">
        <f>IF(calculos_quadro!$B$348=0,"—",calculos_quadro!$U$49)</f>
        <v/>
      </c>
      <c r="X25" s="476"/>
      <c r="Y25" s="479" t="str">
        <f>IF(calculos_quadro!$B$348=0,"—",calculos_quadro!$U$50)</f>
        <v/>
      </c>
      <c r="Z25" s="480"/>
    </row>
    <row r="26" ht="16" customHeight="1">
      <c r="B26" s="527"/>
      <c r="C26" s="247"/>
      <c r="D26" s="482" t="inlineStr">
        <is>
          <t xml:space="preserve">Falta</t>
        </is>
      </c>
      <c r="E26" s="481"/>
      <c r="F26" s="481"/>
      <c r="G26" s="481"/>
      <c r="H26" s="484" t="str">
        <f>IF(calculos_quadro!$B$349=0,"—",calculos_quadro!$V$48)</f>
        <v/>
      </c>
      <c r="I26" s="483"/>
      <c r="J26" s="486">
        <f>IF(calculos_quadro!$B$349=0,"—",calculos_quadro!$V$43)</f>
        <v>0</v>
      </c>
      <c r="K26" s="485"/>
      <c r="L26" s="485"/>
      <c r="M26" s="488" t="str">
        <f>IF(calculos_quadro!$B$349=0,"—",calculos_quadro!$V$44)</f>
        <v/>
      </c>
      <c r="N26" s="487"/>
      <c r="O26" s="490">
        <f>IF(calculos_quadro!$B$349=0,"—",calculos_quadro!$V$45)</f>
        <v>0</v>
      </c>
      <c r="P26" s="489"/>
      <c r="Q26" s="489"/>
      <c r="R26" s="490" t="str">
        <f>IF(calculos_quadro!$B$349=0,"—",calculos_quadro!$V$46)</f>
        <v/>
      </c>
      <c r="S26" s="489"/>
      <c r="T26" s="492" t="str">
        <f>IF(calculos_quadro!$B$349=0,"—",calculos_quadro!$V$47)</f>
        <v/>
      </c>
      <c r="U26" s="491"/>
      <c r="V26" s="491"/>
      <c r="W26" s="494" t="str">
        <f>IF(calculos_quadro!$B$349=0,"—",calculos_quadro!$V$49)</f>
        <v/>
      </c>
      <c r="X26" s="493"/>
      <c r="Y26" s="496" t="str">
        <f>IF(calculos_quadro!$B$349=0,"—",calculos_quadro!$V$50)</f>
        <v/>
      </c>
      <c r="Z26" s="497"/>
    </row>
    <row r="27" ht="16" customHeight="1">
      <c r="B27" s="527"/>
      <c r="C27" s="247"/>
      <c r="D27" s="482" t="inlineStr">
        <is>
          <t xml:space="preserve">Absenteísmo (H/H)</t>
        </is>
      </c>
      <c r="E27" s="481"/>
      <c r="F27" s="481"/>
      <c r="G27" s="481"/>
      <c r="H27" s="484" t="str">
        <f>IF(calculos_quadro!$B$350=0,"—",calculos_quadro!$W$48)</f>
        <v/>
      </c>
      <c r="I27" s="483"/>
      <c r="J27" s="499">
        <f>IF(calculos_quadro!$B$350=0,"—",calculos_quadro!$W$43)</f>
        <v>0</v>
      </c>
      <c r="K27" s="498"/>
      <c r="L27" s="498"/>
      <c r="M27" s="488" t="str">
        <f>IF(calculos_quadro!$B$350=0,"—",calculos_quadro!$W$44)</f>
        <v/>
      </c>
      <c r="N27" s="487"/>
      <c r="O27" s="488">
        <f>IF(calculos_quadro!$B$350=0,"—",calculos_quadro!$W$45)</f>
        <v>0</v>
      </c>
      <c r="P27" s="487"/>
      <c r="Q27" s="487"/>
      <c r="R27" s="488" t="str">
        <f>IF(calculos_quadro!$B$350=0,"—",calculos_quadro!$W$46)</f>
        <v/>
      </c>
      <c r="S27" s="487"/>
      <c r="T27" s="492" t="str">
        <f>IF(calculos_quadro!$B$350=0,"—",calculos_quadro!$W$47)</f>
        <v/>
      </c>
      <c r="U27" s="491"/>
      <c r="V27" s="491"/>
      <c r="W27" s="494" t="str">
        <f>IF(calculos_quadro!$B$350=0,"—",calculos_quadro!$W$49)</f>
        <v/>
      </c>
      <c r="X27" s="493"/>
      <c r="Y27" s="496" t="str">
        <f>IF(calculos_quadro!$B$350=0,"—",calculos_quadro!$W$50)</f>
        <v/>
      </c>
      <c r="Z27" s="497"/>
    </row>
    <row r="28" ht="16" customHeight="1">
      <c r="B28" s="527"/>
      <c r="C28" s="247"/>
      <c r="D28" s="482" t="inlineStr">
        <is>
          <t xml:space="preserve">Folga</t>
        </is>
      </c>
      <c r="E28" s="481"/>
      <c r="F28" s="481"/>
      <c r="G28" s="481"/>
      <c r="H28" s="484" t="str">
        <f>IF(calculos_quadro!$B$351=0,"—",calculos_quadro!$X$48)</f>
        <v/>
      </c>
      <c r="I28" s="483"/>
      <c r="J28" s="486">
        <f>IF(calculos_quadro!$B$351=0,"—",calculos_quadro!$X$43)</f>
        <v>0</v>
      </c>
      <c r="K28" s="485"/>
      <c r="L28" s="485"/>
      <c r="M28" s="488" t="str">
        <f>IF(calculos_quadro!$B$351=0,"—",calculos_quadro!$X$44)</f>
        <v/>
      </c>
      <c r="N28" s="487"/>
      <c r="O28" s="490">
        <f>IF(calculos_quadro!$B$351=0,"—",calculos_quadro!$X$45)</f>
        <v>0</v>
      </c>
      <c r="P28" s="489"/>
      <c r="Q28" s="489"/>
      <c r="R28" s="490" t="str">
        <f>IF(calculos_quadro!$B$351=0,"—",calculos_quadro!$X$46)</f>
        <v/>
      </c>
      <c r="S28" s="489"/>
      <c r="T28" s="492" t="str">
        <f>IF(calculos_quadro!$B$351=0,"—",calculos_quadro!$X$47)</f>
        <v/>
      </c>
      <c r="U28" s="491"/>
      <c r="V28" s="491"/>
      <c r="W28" s="494" t="str">
        <f>IF(calculos_quadro!$B$351=0,"—",calculos_quadro!$X$49)</f>
        <v/>
      </c>
      <c r="X28" s="493"/>
      <c r="Y28" s="496" t="str">
        <f>IF(calculos_quadro!$B$351=0,"—",calculos_quadro!$X$50)</f>
        <v/>
      </c>
      <c r="Z28" s="497"/>
    </row>
    <row r="29" ht="16" customHeight="1">
      <c r="B29" s="527"/>
      <c r="C29" s="247"/>
      <c r="D29" s="482" t="inlineStr">
        <is>
          <t xml:space="preserve">Férias</t>
        </is>
      </c>
      <c r="E29" s="481"/>
      <c r="F29" s="481"/>
      <c r="G29" s="481"/>
      <c r="H29" s="484" t="str">
        <f>IF(calculos_quadro!$B$352=0,"—",calculos_quadro!$Y$48)</f>
        <v/>
      </c>
      <c r="I29" s="483"/>
      <c r="J29" s="486">
        <f>IF(calculos_quadro!$B$352=0,"—",calculos_quadro!$Y$43)</f>
        <v>0</v>
      </c>
      <c r="K29" s="485"/>
      <c r="L29" s="485"/>
      <c r="M29" s="488" t="str">
        <f>IF(calculos_quadro!$B$352=0,"—",calculos_quadro!$Y$44)</f>
        <v/>
      </c>
      <c r="N29" s="487"/>
      <c r="O29" s="490">
        <f>IF(calculos_quadro!$B$352=0,"—",calculos_quadro!$Y$45)</f>
        <v>0</v>
      </c>
      <c r="P29" s="489"/>
      <c r="Q29" s="489"/>
      <c r="R29" s="490" t="str">
        <f>IF(calculos_quadro!$B$352=0,"—",calculos_quadro!$Y$46)</f>
        <v/>
      </c>
      <c r="S29" s="489"/>
      <c r="T29" s="492" t="str">
        <f>IF(calculos_quadro!$B$352=0,"—",calculos_quadro!$Y$47)</f>
        <v/>
      </c>
      <c r="U29" s="491"/>
      <c r="V29" s="491"/>
      <c r="W29" s="494" t="str">
        <f>IF(calculos_quadro!$B$352=0,"—",calculos_quadro!$Y$49)</f>
        <v/>
      </c>
      <c r="X29" s="493"/>
      <c r="Y29" s="496" t="str">
        <f>IF(calculos_quadro!$B$352=0,"—",calculos_quadro!$Y$50)</f>
        <v/>
      </c>
      <c r="Z29" s="497"/>
    </row>
    <row r="30" ht="16" customHeight="1">
      <c r="B30" s="527"/>
      <c r="C30" s="247"/>
      <c r="D30" s="482" t="inlineStr">
        <is>
          <t xml:space="preserve">Desligamento</t>
        </is>
      </c>
      <c r="E30" s="481"/>
      <c r="F30" s="481"/>
      <c r="G30" s="481"/>
      <c r="H30" s="484" t="str">
        <f>IF(calculos_quadro!$B$353=0,"—",calculos_quadro!$Z$48)</f>
        <v/>
      </c>
      <c r="I30" s="483"/>
      <c r="J30" s="486">
        <f>IF(calculos_quadro!$B$353=0,"—",calculos_quadro!$Z$43)</f>
        <v>0</v>
      </c>
      <c r="K30" s="485"/>
      <c r="L30" s="485"/>
      <c r="M30" s="488" t="str">
        <f>IF(calculos_quadro!$B$353=0,"—",calculos_quadro!$Z$44)</f>
        <v/>
      </c>
      <c r="N30" s="487"/>
      <c r="O30" s="490">
        <f>IF(calculos_quadro!$B$353=0,"—",calculos_quadro!$Z$45)</f>
        <v>0</v>
      </c>
      <c r="P30" s="489"/>
      <c r="Q30" s="489"/>
      <c r="R30" s="490" t="str">
        <f>IF(calculos_quadro!$B$353=0,"—",calculos_quadro!$Z$46)</f>
        <v/>
      </c>
      <c r="S30" s="489"/>
      <c r="T30" s="492" t="str">
        <f>IF(calculos_quadro!$B$353=0,"—",calculos_quadro!$Z$47)</f>
        <v/>
      </c>
      <c r="U30" s="491"/>
      <c r="V30" s="491"/>
      <c r="W30" s="494" t="str">
        <f>IF(calculos_quadro!$B$353=0,"—",calculos_quadro!$Z$49)</f>
        <v/>
      </c>
      <c r="X30" s="493"/>
      <c r="Y30" s="496" t="str">
        <f>IF(calculos_quadro!$B$353=0,"—",calculos_quadro!$Z$50)</f>
        <v/>
      </c>
      <c r="Z30" s="497"/>
    </row>
    <row r="31" ht="16" customHeight="1">
      <c r="B31" s="527"/>
      <c r="C31" s="247"/>
      <c r="D31" s="482" t="inlineStr">
        <is>
          <t xml:space="preserve">Desvios Comportamentais</t>
        </is>
      </c>
      <c r="E31" s="481"/>
      <c r="F31" s="481"/>
      <c r="G31" s="481"/>
      <c r="H31" s="484" t="str">
        <f>IF(calculos_quadro!$B$354=0,"—",calculos_quadro!$AA$48)</f>
        <v/>
      </c>
      <c r="I31" s="483"/>
      <c r="J31" s="486">
        <f>IF(calculos_quadro!$B$354=0,"—",calculos_quadro!$AA$43)</f>
        <v>0</v>
      </c>
      <c r="K31" s="485"/>
      <c r="L31" s="485"/>
      <c r="M31" s="488" t="str">
        <f>IF(calculos_quadro!$B$354=0,"—",calculos_quadro!$AA$44)</f>
        <v/>
      </c>
      <c r="N31" s="487"/>
      <c r="O31" s="490">
        <f>IF(calculos_quadro!$B$354=0,"—",calculos_quadro!$AA$45)</f>
        <v>0</v>
      </c>
      <c r="P31" s="489"/>
      <c r="Q31" s="489"/>
      <c r="R31" s="490" t="str">
        <f>IF(calculos_quadro!$B$354=0,"—",calculos_quadro!$AA$46)</f>
        <v/>
      </c>
      <c r="S31" s="489"/>
      <c r="T31" s="492" t="str">
        <f>IF(calculos_quadro!$B$354=0,"—",calculos_quadro!$AA$47)</f>
        <v/>
      </c>
      <c r="U31" s="491"/>
      <c r="V31" s="491"/>
      <c r="W31" s="494" t="str">
        <f>IF(calculos_quadro!$B$354=0,"—",calculos_quadro!$AA$49)</f>
        <v/>
      </c>
      <c r="X31" s="493"/>
      <c r="Y31" s="496" t="str">
        <f>IF(calculos_quadro!$B$354=0,"—",calculos_quadro!$AA$50)</f>
        <v/>
      </c>
      <c r="Z31" s="497"/>
    </row>
    <row r="32" ht="16" customHeight="1">
      <c r="B32" s="527"/>
      <c r="C32" s="247"/>
      <c r="D32" s="482" t="inlineStr">
        <is>
          <t xml:space="preserve">Acidentes CAF</t>
        </is>
      </c>
      <c r="E32" s="481"/>
      <c r="F32" s="481"/>
      <c r="G32" s="481"/>
      <c r="H32" s="484" t="str">
        <f>IF(calculos_quadro!$B$355=0,"—",calculos_quadro!$AB$48)</f>
        <v/>
      </c>
      <c r="I32" s="483"/>
      <c r="J32" s="486">
        <f>IF(calculos_quadro!$B$355=0,"—",calculos_quadro!$AB$43)</f>
        <v>0</v>
      </c>
      <c r="K32" s="485"/>
      <c r="L32" s="485"/>
      <c r="M32" s="488" t="str">
        <f>IF(calculos_quadro!$B$355=0,"—",calculos_quadro!$AB$44)</f>
        <v/>
      </c>
      <c r="N32" s="487"/>
      <c r="O32" s="490">
        <f>IF(calculos_quadro!$B$355=0,"—",calculos_quadro!$AB$45)</f>
        <v>0</v>
      </c>
      <c r="P32" s="489"/>
      <c r="Q32" s="489"/>
      <c r="R32" s="490" t="str">
        <f>IF(calculos_quadro!$B$355=0,"—",calculos_quadro!$AB$46)</f>
        <v/>
      </c>
      <c r="S32" s="489"/>
      <c r="T32" s="492" t="str">
        <f>IF(calculos_quadro!$B$355=0,"—",calculos_quadro!$AB$47)</f>
        <v/>
      </c>
      <c r="U32" s="491"/>
      <c r="V32" s="491"/>
      <c r="W32" s="494" t="str">
        <f>IF(calculos_quadro!$B$355=0,"—",calculos_quadro!$AB$49)</f>
        <v/>
      </c>
      <c r="X32" s="493"/>
      <c r="Y32" s="496" t="str">
        <f>IF(calculos_quadro!$B$355=0,"—",calculos_quadro!$AB$50)</f>
        <v/>
      </c>
      <c r="Z32" s="497"/>
    </row>
    <row r="33" ht="16" customHeight="1">
      <c r="B33" s="528"/>
      <c r="C33" s="258"/>
      <c r="D33" s="501" t="inlineStr">
        <is>
          <t xml:space="preserve">Acidentes SAF</t>
        </is>
      </c>
      <c r="E33" s="500"/>
      <c r="F33" s="500"/>
      <c r="G33" s="500"/>
      <c r="H33" s="503" t="str">
        <f>IF(calculos_quadro!$B$356=0,"—",calculos_quadro!$AC$48)</f>
        <v/>
      </c>
      <c r="I33" s="502"/>
      <c r="J33" s="505">
        <f>IF(calculos_quadro!$B$356=0,"—",calculos_quadro!$AC$43)</f>
        <v>0</v>
      </c>
      <c r="K33" s="504"/>
      <c r="L33" s="504"/>
      <c r="M33" s="507" t="str">
        <f>IF(calculos_quadro!$B$356=0,"—",calculos_quadro!$AC$44)</f>
        <v/>
      </c>
      <c r="N33" s="506"/>
      <c r="O33" s="509">
        <f>IF(calculos_quadro!$B$356=0,"—",calculos_quadro!$AC$45)</f>
        <v>0</v>
      </c>
      <c r="P33" s="508"/>
      <c r="Q33" s="508"/>
      <c r="R33" s="509" t="str">
        <f>IF(calculos_quadro!$B$356=0,"—",calculos_quadro!$AC$46)</f>
        <v/>
      </c>
      <c r="S33" s="508"/>
      <c r="T33" s="511" t="str">
        <f>IF(calculos_quadro!$B$356=0,"—",calculos_quadro!$AC$47)</f>
        <v/>
      </c>
      <c r="U33" s="510"/>
      <c r="V33" s="510"/>
      <c r="W33" s="513" t="str">
        <f>IF(calculos_quadro!$B$356=0,"—",calculos_quadro!$AC$49)</f>
        <v/>
      </c>
      <c r="X33" s="512"/>
      <c r="Y33" s="515" t="str">
        <f>IF(calculos_quadro!$B$356=0,"—",calculos_quadro!$AC$50)</f>
        <v/>
      </c>
      <c r="Z33" s="516"/>
    </row>
    <row r="34">
      <c r="B34" s="36" t="inlineStr">
        <is>
          <t xml:space="preserve">Realizado: soma do mês nos fluxos (IN, OUT, incidentes, no show, falta, folga, férias, desligamento); último valor informado por cliente em backlog, posições, taxa e efetivo (dia sem lançamento mantém o valor anterior). Média/dia: dias com movimento. Metas e faixas: aba calculos (células amarelas). Vazio = sem registro.</t>
        </is>
      </c>
    </row>
    <row r="36" ht="20" customHeight="1">
      <c r="B36" s="290" t="inlineStr">
        <is>
          <t xml:space="preserve">RESUMO POR CLIENTE · mês inteiro · segue o filtro desta aba</t>
        </is>
      </c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</row>
    <row r="37" ht="30" customHeight="1">
      <c r="B37" s="529" t="inlineStr">
        <is>
          <t xml:space="preserve">GRUPO</t>
        </is>
      </c>
      <c r="C37" s="530"/>
      <c r="D37" s="529" t="inlineStr">
        <is>
          <t xml:space="preserve">INDICADOR</t>
        </is>
      </c>
      <c r="E37" s="531"/>
      <c r="F37" s="531"/>
      <c r="G37" s="530"/>
      <c r="H37" s="532" t="str">
        <f>calculos_quadro!$G$307&amp;""</f>
        <v>Barry Callebaut</v>
      </c>
      <c r="I37" s="532" t="str">
        <f>calculos_quadro!$G$308&amp;""</f>
        <v>GM</v>
      </c>
      <c r="J37" s="533" t="str">
        <f>calculos_quadro!$G$309&amp;""</f>
        <v>Mondelez</v>
      </c>
      <c r="K37" s="534"/>
      <c r="L37" s="532" t="str">
        <f>calculos_quadro!$G$310&amp;""</f>
        <v>Nestlé</v>
      </c>
      <c r="M37" s="532" t="str">
        <f>calculos_quadro!$G$311&amp;""</f>
        <v>PMB</v>
      </c>
      <c r="N37" s="532" t="str">
        <f>calculos_quadro!$G$312&amp;""</f>
        <v/>
      </c>
      <c r="O37" s="533" t="str">
        <f>calculos_quadro!$G$313&amp;""</f>
        <v/>
      </c>
      <c r="P37" s="534"/>
      <c r="Q37" s="532" t="str">
        <f>calculos_quadro!$G$314&amp;""</f>
        <v/>
      </c>
      <c r="R37" s="532" t="str">
        <f>calculos_quadro!$G$315&amp;""</f>
        <v/>
      </c>
      <c r="S37" s="532" t="str">
        <f>calculos_quadro!$G$316&amp;""</f>
        <v/>
      </c>
      <c r="T37" s="533" t="str">
        <f>calculos_quadro!$G$317&amp;""</f>
        <v/>
      </c>
      <c r="U37" s="534"/>
      <c r="V37" s="532" t="str">
        <f>calculos_quadro!$G$318&amp;""</f>
        <v/>
      </c>
      <c r="W37" s="532" t="str">
        <f>calculos_quadro!$G$319&amp;""</f>
        <v/>
      </c>
      <c r="X37" s="532" t="str">
        <f>calculos_quadro!$G$320&amp;""</f>
        <v/>
      </c>
      <c r="Y37" s="532" t="str">
        <f>calculos_quadro!$G$321&amp;""</f>
        <v/>
      </c>
      <c r="Z37" s="532" t="str">
        <f>calculos_quadro!$G$322&amp;""</f>
        <v/>
      </c>
    </row>
    <row r="38" ht="15.75" customHeight="1">
      <c r="B38" s="517" t="inlineStr">
        <is>
          <t xml:space="preserve">IN</t>
        </is>
      </c>
      <c r="C38" s="168"/>
      <c r="D38" s="298" t="inlineStr">
        <is>
          <t xml:space="preserve">Veículos Recebidos</t>
        </is>
      </c>
      <c r="E38" s="297"/>
      <c r="F38" s="297"/>
      <c r="G38" s="297"/>
      <c r="H38" s="306">
        <f>IF(calculos_quadro!$G$307="","",IFERROR(INDEX(calculos_quadro!$B$97:$U$97,MATCH(calculos_quadro!$G$307,calculos_quadro!$B$96:$U$96,0)),""))</f>
        <v>0</v>
      </c>
      <c r="I38" s="306" t="str">
        <f>IF(calculos_quadro!$G$308="","",IFERROR(INDEX(calculos_quadro!$B$97:$U$97,MATCH(calculos_quadro!$G$308,calculos_quadro!$B$96:$U$96,0)),""))</f>
        <v>—</v>
      </c>
      <c r="J38" s="306">
        <f>IF(calculos_quadro!$G$309="","",IFERROR(INDEX(calculos_quadro!$B$97:$U$97,MATCH(calculos_quadro!$G$309,calculos_quadro!$B$96:$U$96,0)),""))</f>
        <v>0</v>
      </c>
      <c r="K38" s="305"/>
      <c r="L38" s="306">
        <f>IF(calculos_quadro!$G$310="","",IFERROR(INDEX(calculos_quadro!$B$97:$U$97,MATCH(calculos_quadro!$G$310,calculos_quadro!$B$96:$U$96,0)),""))</f>
        <v>0</v>
      </c>
      <c r="M38" s="306">
        <f>IF(calculos_quadro!$G$311="","",IFERROR(INDEX(calculos_quadro!$B$97:$U$97,MATCH(calculos_quadro!$G$311,calculos_quadro!$B$96:$U$96,0)),""))</f>
        <v>0</v>
      </c>
      <c r="N38" s="306" t="str">
        <f>IF(calculos_quadro!$G$312="","",IFERROR(INDEX(calculos_quadro!$B$97:$U$97,MATCH(calculos_quadro!$G$312,calculos_quadro!$B$96:$U$96,0)),""))</f>
        <v/>
      </c>
      <c r="O38" s="306" t="str">
        <f>IF(calculos_quadro!$G$313="","",IFERROR(INDEX(calculos_quadro!$B$97:$U$97,MATCH(calculos_quadro!$G$313,calculos_quadro!$B$96:$U$96,0)),""))</f>
        <v/>
      </c>
      <c r="P38" s="305"/>
      <c r="Q38" s="306" t="str">
        <f>IF(calculos_quadro!$G$314="","",IFERROR(INDEX(calculos_quadro!$B$97:$U$97,MATCH(calculos_quadro!$G$314,calculos_quadro!$B$96:$U$96,0)),""))</f>
        <v/>
      </c>
      <c r="R38" s="306" t="str">
        <f>IF(calculos_quadro!$G$315="","",IFERROR(INDEX(calculos_quadro!$B$97:$U$97,MATCH(calculos_quadro!$G$315,calculos_quadro!$B$96:$U$96,0)),""))</f>
        <v/>
      </c>
      <c r="S38" s="306" t="str">
        <f>IF(calculos_quadro!$G$316="","",IFERROR(INDEX(calculos_quadro!$B$97:$U$97,MATCH(calculos_quadro!$G$316,calculos_quadro!$B$96:$U$96,0)),""))</f>
        <v/>
      </c>
      <c r="T38" s="306" t="str">
        <f>IF(calculos_quadro!$G$317="","",IFERROR(INDEX(calculos_quadro!$B$97:$U$97,MATCH(calculos_quadro!$G$317,calculos_quadro!$B$96:$U$96,0)),""))</f>
        <v/>
      </c>
      <c r="U38" s="305"/>
      <c r="V38" s="306" t="str">
        <f>IF(calculos_quadro!$G$318="","",IFERROR(INDEX(calculos_quadro!$B$97:$U$97,MATCH(calculos_quadro!$G$318,calculos_quadro!$B$96:$U$96,0)),""))</f>
        <v/>
      </c>
      <c r="W38" s="306" t="str">
        <f>IF(calculos_quadro!$G$319="","",IFERROR(INDEX(calculos_quadro!$B$97:$U$97,MATCH(calculos_quadro!$G$319,calculos_quadro!$B$96:$U$96,0)),""))</f>
        <v/>
      </c>
      <c r="X38" s="306" t="str">
        <f>IF(calculos_quadro!$G$320="","",IFERROR(INDEX(calculos_quadro!$B$97:$U$97,MATCH(calculos_quadro!$G$320,calculos_quadro!$B$96:$U$96,0)),""))</f>
        <v/>
      </c>
      <c r="Y38" s="306" t="str">
        <f>IF(calculos_quadro!$G$321="","",IFERROR(INDEX(calculos_quadro!$B$97:$U$97,MATCH(calculos_quadro!$G$321,calculos_quadro!$B$96:$U$96,0)),""))</f>
        <v/>
      </c>
      <c r="Z38" s="306" t="str">
        <f>IF(calculos_quadro!$G$322="","",IFERROR(INDEX(calculos_quadro!$B$97:$U$97,MATCH(calculos_quadro!$G$322,calculos_quadro!$B$96:$U$96,0)),""))</f>
        <v/>
      </c>
    </row>
    <row r="39" ht="15.75" customHeight="1">
      <c r="B39" s="518"/>
      <c r="C39" s="175"/>
      <c r="D39" s="315" t="inlineStr">
        <is>
          <t xml:space="preserve">Pallets Movimentados</t>
        </is>
      </c>
      <c r="E39" s="314"/>
      <c r="F39" s="314"/>
      <c r="G39" s="314"/>
      <c r="H39" s="323">
        <f>IF(calculos_quadro!$G$307="","",IFERROR(INDEX(calculos_quadro!$B$98:$U$98,MATCH(calculos_quadro!$G$307,calculos_quadro!$B$96:$U$96,0)),""))</f>
        <v>0</v>
      </c>
      <c r="I39" s="323" t="str">
        <f>IF(calculos_quadro!$G$308="","",IFERROR(INDEX(calculos_quadro!$B$98:$U$98,MATCH(calculos_quadro!$G$308,calculos_quadro!$B$96:$U$96,0)),""))</f>
        <v>—</v>
      </c>
      <c r="J39" s="323">
        <f>IF(calculos_quadro!$G$309="","",IFERROR(INDEX(calculos_quadro!$B$98:$U$98,MATCH(calculos_quadro!$G$309,calculos_quadro!$B$96:$U$96,0)),""))</f>
        <v>0</v>
      </c>
      <c r="K39" s="322"/>
      <c r="L39" s="323">
        <f>IF(calculos_quadro!$G$310="","",IFERROR(INDEX(calculos_quadro!$B$98:$U$98,MATCH(calculos_quadro!$G$310,calculos_quadro!$B$96:$U$96,0)),""))</f>
        <v>0</v>
      </c>
      <c r="M39" s="323">
        <f>IF(calculos_quadro!$G$311="","",IFERROR(INDEX(calculos_quadro!$B$98:$U$98,MATCH(calculos_quadro!$G$311,calculos_quadro!$B$96:$U$96,0)),""))</f>
        <v>0</v>
      </c>
      <c r="N39" s="323" t="str">
        <f>IF(calculos_quadro!$G$312="","",IFERROR(INDEX(calculos_quadro!$B$98:$U$98,MATCH(calculos_quadro!$G$312,calculos_quadro!$B$96:$U$96,0)),""))</f>
        <v/>
      </c>
      <c r="O39" s="323" t="str">
        <f>IF(calculos_quadro!$G$313="","",IFERROR(INDEX(calculos_quadro!$B$98:$U$98,MATCH(calculos_quadro!$G$313,calculos_quadro!$B$96:$U$96,0)),""))</f>
        <v/>
      </c>
      <c r="P39" s="322"/>
      <c r="Q39" s="323" t="str">
        <f>IF(calculos_quadro!$G$314="","",IFERROR(INDEX(calculos_quadro!$B$98:$U$98,MATCH(calculos_quadro!$G$314,calculos_quadro!$B$96:$U$96,0)),""))</f>
        <v/>
      </c>
      <c r="R39" s="323" t="str">
        <f>IF(calculos_quadro!$G$315="","",IFERROR(INDEX(calculos_quadro!$B$98:$U$98,MATCH(calculos_quadro!$G$315,calculos_quadro!$B$96:$U$96,0)),""))</f>
        <v/>
      </c>
      <c r="S39" s="323" t="str">
        <f>IF(calculos_quadro!$G$316="","",IFERROR(INDEX(calculos_quadro!$B$98:$U$98,MATCH(calculos_quadro!$G$316,calculos_quadro!$B$96:$U$96,0)),""))</f>
        <v/>
      </c>
      <c r="T39" s="323" t="str">
        <f>IF(calculos_quadro!$G$317="","",IFERROR(INDEX(calculos_quadro!$B$98:$U$98,MATCH(calculos_quadro!$G$317,calculos_quadro!$B$96:$U$96,0)),""))</f>
        <v/>
      </c>
      <c r="U39" s="322"/>
      <c r="V39" s="323" t="str">
        <f>IF(calculos_quadro!$G$318="","",IFERROR(INDEX(calculos_quadro!$B$98:$U$98,MATCH(calculos_quadro!$G$318,calculos_quadro!$B$96:$U$96,0)),""))</f>
        <v/>
      </c>
      <c r="W39" s="323" t="str">
        <f>IF(calculos_quadro!$G$319="","",IFERROR(INDEX(calculos_quadro!$B$98:$U$98,MATCH(calculos_quadro!$G$319,calculos_quadro!$B$96:$U$96,0)),""))</f>
        <v/>
      </c>
      <c r="X39" s="323" t="str">
        <f>IF(calculos_quadro!$G$320="","",IFERROR(INDEX(calculos_quadro!$B$98:$U$98,MATCH(calculos_quadro!$G$320,calculos_quadro!$B$96:$U$96,0)),""))</f>
        <v/>
      </c>
      <c r="Y39" s="323" t="str">
        <f>IF(calculos_quadro!$G$321="","",IFERROR(INDEX(calculos_quadro!$B$98:$U$98,MATCH(calculos_quadro!$G$321,calculos_quadro!$B$96:$U$96,0)),""))</f>
        <v/>
      </c>
      <c r="Z39" s="323" t="str">
        <f>IF(calculos_quadro!$G$322="","",IFERROR(INDEX(calculos_quadro!$B$98:$U$98,MATCH(calculos_quadro!$G$322,calculos_quadro!$B$96:$U$96,0)),""))</f>
        <v/>
      </c>
    </row>
    <row r="40" ht="15.75" customHeight="1">
      <c r="B40" s="518"/>
      <c r="C40" s="175"/>
      <c r="D40" s="315" t="inlineStr">
        <is>
          <t xml:space="preserve">Toneladas Movimentadas</t>
        </is>
      </c>
      <c r="E40" s="314"/>
      <c r="F40" s="314"/>
      <c r="G40" s="314"/>
      <c r="H40" s="321">
        <f>IF(calculos_quadro!$G$307="","",IFERROR(INDEX(calculos_quadro!$B$99:$U$99,MATCH(calculos_quadro!$G$307,calculos_quadro!$B$96:$U$96,0)),""))</f>
        <v>0</v>
      </c>
      <c r="I40" s="321" t="str">
        <f>IF(calculos_quadro!$G$308="","",IFERROR(INDEX(calculos_quadro!$B$99:$U$99,MATCH(calculos_quadro!$G$308,calculos_quadro!$B$96:$U$96,0)),""))</f>
        <v>—</v>
      </c>
      <c r="J40" s="321">
        <f>IF(calculos_quadro!$G$309="","",IFERROR(INDEX(calculos_quadro!$B$99:$U$99,MATCH(calculos_quadro!$G$309,calculos_quadro!$B$96:$U$96,0)),""))</f>
        <v>0</v>
      </c>
      <c r="K40" s="320"/>
      <c r="L40" s="321">
        <f>IF(calculos_quadro!$G$310="","",IFERROR(INDEX(calculos_quadro!$B$99:$U$99,MATCH(calculos_quadro!$G$310,calculos_quadro!$B$96:$U$96,0)),""))</f>
        <v>0</v>
      </c>
      <c r="M40" s="321">
        <f>IF(calculos_quadro!$G$311="","",IFERROR(INDEX(calculos_quadro!$B$99:$U$99,MATCH(calculos_quadro!$G$311,calculos_quadro!$B$96:$U$96,0)),""))</f>
        <v>0</v>
      </c>
      <c r="N40" s="321" t="str">
        <f>IF(calculos_quadro!$G$312="","",IFERROR(INDEX(calculos_quadro!$B$99:$U$99,MATCH(calculos_quadro!$G$312,calculos_quadro!$B$96:$U$96,0)),""))</f>
        <v/>
      </c>
      <c r="O40" s="321" t="str">
        <f>IF(calculos_quadro!$G$313="","",IFERROR(INDEX(calculos_quadro!$B$99:$U$99,MATCH(calculos_quadro!$G$313,calculos_quadro!$B$96:$U$96,0)),""))</f>
        <v/>
      </c>
      <c r="P40" s="320"/>
      <c r="Q40" s="321" t="str">
        <f>IF(calculos_quadro!$G$314="","",IFERROR(INDEX(calculos_quadro!$B$99:$U$99,MATCH(calculos_quadro!$G$314,calculos_quadro!$B$96:$U$96,0)),""))</f>
        <v/>
      </c>
      <c r="R40" s="321" t="str">
        <f>IF(calculos_quadro!$G$315="","",IFERROR(INDEX(calculos_quadro!$B$99:$U$99,MATCH(calculos_quadro!$G$315,calculos_quadro!$B$96:$U$96,0)),""))</f>
        <v/>
      </c>
      <c r="S40" s="321" t="str">
        <f>IF(calculos_quadro!$G$316="","",IFERROR(INDEX(calculos_quadro!$B$99:$U$99,MATCH(calculos_quadro!$G$316,calculos_quadro!$B$96:$U$96,0)),""))</f>
        <v/>
      </c>
      <c r="T40" s="321" t="str">
        <f>IF(calculos_quadro!$G$317="","",IFERROR(INDEX(calculos_quadro!$B$99:$U$99,MATCH(calculos_quadro!$G$317,calculos_quadro!$B$96:$U$96,0)),""))</f>
        <v/>
      </c>
      <c r="U40" s="320"/>
      <c r="V40" s="321" t="str">
        <f>IF(calculos_quadro!$G$318="","",IFERROR(INDEX(calculos_quadro!$B$99:$U$99,MATCH(calculos_quadro!$G$318,calculos_quadro!$B$96:$U$96,0)),""))</f>
        <v/>
      </c>
      <c r="W40" s="321" t="str">
        <f>IF(calculos_quadro!$G$319="","",IFERROR(INDEX(calculos_quadro!$B$99:$U$99,MATCH(calculos_quadro!$G$319,calculos_quadro!$B$96:$U$96,0)),""))</f>
        <v/>
      </c>
      <c r="X40" s="321" t="str">
        <f>IF(calculos_quadro!$G$320="","",IFERROR(INDEX(calculos_quadro!$B$99:$U$99,MATCH(calculos_quadro!$G$320,calculos_quadro!$B$96:$U$96,0)),""))</f>
        <v/>
      </c>
      <c r="Y40" s="321" t="str">
        <f>IF(calculos_quadro!$G$321="","",IFERROR(INDEX(calculos_quadro!$B$99:$U$99,MATCH(calculos_quadro!$G$321,calculos_quadro!$B$96:$U$96,0)),""))</f>
        <v/>
      </c>
      <c r="Z40" s="321" t="str">
        <f>IF(calculos_quadro!$G$322="","",IFERROR(INDEX(calculos_quadro!$B$99:$U$99,MATCH(calculos_quadro!$G$322,calculos_quadro!$B$96:$U$96,0)),""))</f>
        <v/>
      </c>
    </row>
    <row r="41" ht="15.75" customHeight="1">
      <c r="B41" s="518"/>
      <c r="C41" s="175"/>
      <c r="D41" s="315" t="inlineStr">
        <is>
          <t xml:space="preserve">Caixas Recebidas</t>
        </is>
      </c>
      <c r="E41" s="314"/>
      <c r="F41" s="314"/>
      <c r="G41" s="314"/>
      <c r="H41" s="323">
        <f>IF(calculos_quadro!$G$307="","",IFERROR(INDEX(calculos_quadro!$B$100:$U$100,MATCH(calculos_quadro!$G$307,calculos_quadro!$B$96:$U$96,0)),""))</f>
        <v>0</v>
      </c>
      <c r="I41" s="323" t="str">
        <f>IF(calculos_quadro!$G$308="","",IFERROR(INDEX(calculos_quadro!$B$100:$U$100,MATCH(calculos_quadro!$G$308,calculos_quadro!$B$96:$U$96,0)),""))</f>
        <v>—</v>
      </c>
      <c r="J41" s="323">
        <f>IF(calculos_quadro!$G$309="","",IFERROR(INDEX(calculos_quadro!$B$100:$U$100,MATCH(calculos_quadro!$G$309,calculos_quadro!$B$96:$U$96,0)),""))</f>
        <v>0</v>
      </c>
      <c r="K41" s="322"/>
      <c r="L41" s="323">
        <f>IF(calculos_quadro!$G$310="","",IFERROR(INDEX(calculos_quadro!$B$100:$U$100,MATCH(calculos_quadro!$G$310,calculos_quadro!$B$96:$U$96,0)),""))</f>
        <v>0</v>
      </c>
      <c r="M41" s="323">
        <f>IF(calculos_quadro!$G$311="","",IFERROR(INDEX(calculos_quadro!$B$100:$U$100,MATCH(calculos_quadro!$G$311,calculos_quadro!$B$96:$U$96,0)),""))</f>
        <v>0</v>
      </c>
      <c r="N41" s="323" t="str">
        <f>IF(calculos_quadro!$G$312="","",IFERROR(INDEX(calculos_quadro!$B$100:$U$100,MATCH(calculos_quadro!$G$312,calculos_quadro!$B$96:$U$96,0)),""))</f>
        <v/>
      </c>
      <c r="O41" s="323" t="str">
        <f>IF(calculos_quadro!$G$313="","",IFERROR(INDEX(calculos_quadro!$B$100:$U$100,MATCH(calculos_quadro!$G$313,calculos_quadro!$B$96:$U$96,0)),""))</f>
        <v/>
      </c>
      <c r="P41" s="322"/>
      <c r="Q41" s="323" t="str">
        <f>IF(calculos_quadro!$G$314="","",IFERROR(INDEX(calculos_quadro!$B$100:$U$100,MATCH(calculos_quadro!$G$314,calculos_quadro!$B$96:$U$96,0)),""))</f>
        <v/>
      </c>
      <c r="R41" s="323" t="str">
        <f>IF(calculos_quadro!$G$315="","",IFERROR(INDEX(calculos_quadro!$B$100:$U$100,MATCH(calculos_quadro!$G$315,calculos_quadro!$B$96:$U$96,0)),""))</f>
        <v/>
      </c>
      <c r="S41" s="323" t="str">
        <f>IF(calculos_quadro!$G$316="","",IFERROR(INDEX(calculos_quadro!$B$100:$U$100,MATCH(calculos_quadro!$G$316,calculos_quadro!$B$96:$U$96,0)),""))</f>
        <v/>
      </c>
      <c r="T41" s="323" t="str">
        <f>IF(calculos_quadro!$G$317="","",IFERROR(INDEX(calculos_quadro!$B$100:$U$100,MATCH(calculos_quadro!$G$317,calculos_quadro!$B$96:$U$96,0)),""))</f>
        <v/>
      </c>
      <c r="U41" s="322"/>
      <c r="V41" s="323" t="str">
        <f>IF(calculos_quadro!$G$318="","",IFERROR(INDEX(calculos_quadro!$B$100:$U$100,MATCH(calculos_quadro!$G$318,calculos_quadro!$B$96:$U$96,0)),""))</f>
        <v/>
      </c>
      <c r="W41" s="323" t="str">
        <f>IF(calculos_quadro!$G$319="","",IFERROR(INDEX(calculos_quadro!$B$100:$U$100,MATCH(calculos_quadro!$G$319,calculos_quadro!$B$96:$U$96,0)),""))</f>
        <v/>
      </c>
      <c r="X41" s="323" t="str">
        <f>IF(calculos_quadro!$G$320="","",IFERROR(INDEX(calculos_quadro!$B$100:$U$100,MATCH(calculos_quadro!$G$320,calculos_quadro!$B$96:$U$96,0)),""))</f>
        <v/>
      </c>
      <c r="Y41" s="323" t="str">
        <f>IF(calculos_quadro!$G$321="","",IFERROR(INDEX(calculos_quadro!$B$100:$U$100,MATCH(calculos_quadro!$G$321,calculos_quadro!$B$96:$U$96,0)),""))</f>
        <v/>
      </c>
      <c r="Z41" s="323" t="str">
        <f>IF(calculos_quadro!$G$322="","",IFERROR(INDEX(calculos_quadro!$B$100:$U$100,MATCH(calculos_quadro!$G$322,calculos_quadro!$B$96:$U$96,0)),""))</f>
        <v/>
      </c>
    </row>
    <row r="42" ht="15.75" customHeight="1">
      <c r="B42" s="519"/>
      <c r="C42" s="186"/>
      <c r="D42" s="334" t="inlineStr">
        <is>
          <t xml:space="preserve">Bags Recebidos</t>
        </is>
      </c>
      <c r="E42" s="333"/>
      <c r="F42" s="333"/>
      <c r="G42" s="333"/>
      <c r="H42" s="342">
        <f>IF(calculos_quadro!$G$307="","",IFERROR(INDEX(calculos_quadro!$B$101:$U$101,MATCH(calculos_quadro!$G$307,calculos_quadro!$B$96:$U$96,0)),""))</f>
        <v>0</v>
      </c>
      <c r="I42" s="342" t="str">
        <f>IF(calculos_quadro!$G$308="","",IFERROR(INDEX(calculos_quadro!$B$101:$U$101,MATCH(calculos_quadro!$G$308,calculos_quadro!$B$96:$U$96,0)),""))</f>
        <v>—</v>
      </c>
      <c r="J42" s="342" t="str">
        <f>IF(calculos_quadro!$G$309="","",IFERROR(INDEX(calculos_quadro!$B$101:$U$101,MATCH(calculos_quadro!$G$309,calculos_quadro!$B$96:$U$96,0)),""))</f>
        <v>—</v>
      </c>
      <c r="K42" s="341"/>
      <c r="L42" s="342" t="str">
        <f>IF(calculos_quadro!$G$310="","",IFERROR(INDEX(calculos_quadro!$B$101:$U$101,MATCH(calculos_quadro!$G$310,calculos_quadro!$B$96:$U$96,0)),""))</f>
        <v>—</v>
      </c>
      <c r="M42" s="342" t="str">
        <f>IF(calculos_quadro!$G$311="","",IFERROR(INDEX(calculos_quadro!$B$101:$U$101,MATCH(calculos_quadro!$G$311,calculos_quadro!$B$96:$U$96,0)),""))</f>
        <v>—</v>
      </c>
      <c r="N42" s="342" t="str">
        <f>IF(calculos_quadro!$G$312="","",IFERROR(INDEX(calculos_quadro!$B$101:$U$101,MATCH(calculos_quadro!$G$312,calculos_quadro!$B$96:$U$96,0)),""))</f>
        <v/>
      </c>
      <c r="O42" s="342" t="str">
        <f>IF(calculos_quadro!$G$313="","",IFERROR(INDEX(calculos_quadro!$B$101:$U$101,MATCH(calculos_quadro!$G$313,calculos_quadro!$B$96:$U$96,0)),""))</f>
        <v/>
      </c>
      <c r="P42" s="341"/>
      <c r="Q42" s="342" t="str">
        <f>IF(calculos_quadro!$G$314="","",IFERROR(INDEX(calculos_quadro!$B$101:$U$101,MATCH(calculos_quadro!$G$314,calculos_quadro!$B$96:$U$96,0)),""))</f>
        <v/>
      </c>
      <c r="R42" s="342" t="str">
        <f>IF(calculos_quadro!$G$315="","",IFERROR(INDEX(calculos_quadro!$B$101:$U$101,MATCH(calculos_quadro!$G$315,calculos_quadro!$B$96:$U$96,0)),""))</f>
        <v/>
      </c>
      <c r="S42" s="342" t="str">
        <f>IF(calculos_quadro!$G$316="","",IFERROR(INDEX(calculos_quadro!$B$101:$U$101,MATCH(calculos_quadro!$G$316,calculos_quadro!$B$96:$U$96,0)),""))</f>
        <v/>
      </c>
      <c r="T42" s="342" t="str">
        <f>IF(calculos_quadro!$G$317="","",IFERROR(INDEX(calculos_quadro!$B$101:$U$101,MATCH(calculos_quadro!$G$317,calculos_quadro!$B$96:$U$96,0)),""))</f>
        <v/>
      </c>
      <c r="U42" s="341"/>
      <c r="V42" s="342" t="str">
        <f>IF(calculos_quadro!$G$318="","",IFERROR(INDEX(calculos_quadro!$B$101:$U$101,MATCH(calculos_quadro!$G$318,calculos_quadro!$B$96:$U$96,0)),""))</f>
        <v/>
      </c>
      <c r="W42" s="342" t="str">
        <f>IF(calculos_quadro!$G$319="","",IFERROR(INDEX(calculos_quadro!$B$101:$U$101,MATCH(calculos_quadro!$G$319,calculos_quadro!$B$96:$U$96,0)),""))</f>
        <v/>
      </c>
      <c r="X42" s="342" t="str">
        <f>IF(calculos_quadro!$G$320="","",IFERROR(INDEX(calculos_quadro!$B$101:$U$101,MATCH(calculos_quadro!$G$320,calculos_quadro!$B$96:$U$96,0)),""))</f>
        <v/>
      </c>
      <c r="Y42" s="342" t="str">
        <f>IF(calculos_quadro!$G$321="","",IFERROR(INDEX(calculos_quadro!$B$101:$U$101,MATCH(calculos_quadro!$G$321,calculos_quadro!$B$96:$U$96,0)),""))</f>
        <v/>
      </c>
      <c r="Z42" s="342" t="str">
        <f>IF(calculos_quadro!$G$322="","",IFERROR(INDEX(calculos_quadro!$B$101:$U$101,MATCH(calculos_quadro!$G$322,calculos_quadro!$B$96:$U$96,0)),""))</f>
        <v/>
      </c>
    </row>
    <row r="43" ht="15.75" customHeight="1">
      <c r="B43" s="520" t="inlineStr">
        <is>
          <t xml:space="preserve">OUT</t>
        </is>
      </c>
      <c r="C43" s="192"/>
      <c r="D43" s="351" t="inlineStr">
        <is>
          <t xml:space="preserve">Veículos Expedidos</t>
        </is>
      </c>
      <c r="E43" s="350"/>
      <c r="F43" s="350"/>
      <c r="G43" s="350"/>
      <c r="H43" s="359">
        <f>IF(calculos_quadro!$G$307="","",IFERROR(INDEX(calculos_quadro!$B$102:$U$102,MATCH(calculos_quadro!$G$307,calculos_quadro!$B$96:$U$96,0)),""))</f>
        <v>0</v>
      </c>
      <c r="I43" s="359">
        <f>IF(calculos_quadro!$G$308="","",IFERROR(INDEX(calculos_quadro!$B$102:$U$102,MATCH(calculos_quadro!$G$308,calculos_quadro!$B$96:$U$96,0)),""))</f>
        <v>0</v>
      </c>
      <c r="J43" s="359">
        <f>IF(calculos_quadro!$G$309="","",IFERROR(INDEX(calculos_quadro!$B$102:$U$102,MATCH(calculos_quadro!$G$309,calculos_quadro!$B$96:$U$96,0)),""))</f>
        <v>0</v>
      </c>
      <c r="K43" s="358"/>
      <c r="L43" s="359">
        <f>IF(calculos_quadro!$G$310="","",IFERROR(INDEX(calculos_quadro!$B$102:$U$102,MATCH(calculos_quadro!$G$310,calculos_quadro!$B$96:$U$96,0)),""))</f>
        <v>0</v>
      </c>
      <c r="M43" s="359">
        <f>IF(calculos_quadro!$G$311="","",IFERROR(INDEX(calculos_quadro!$B$102:$U$102,MATCH(calculos_quadro!$G$311,calculos_quadro!$B$96:$U$96,0)),""))</f>
        <v>0</v>
      </c>
      <c r="N43" s="359" t="str">
        <f>IF(calculos_quadro!$G$312="","",IFERROR(INDEX(calculos_quadro!$B$102:$U$102,MATCH(calculos_quadro!$G$312,calculos_quadro!$B$96:$U$96,0)),""))</f>
        <v/>
      </c>
      <c r="O43" s="359" t="str">
        <f>IF(calculos_quadro!$G$313="","",IFERROR(INDEX(calculos_quadro!$B$102:$U$102,MATCH(calculos_quadro!$G$313,calculos_quadro!$B$96:$U$96,0)),""))</f>
        <v/>
      </c>
      <c r="P43" s="358"/>
      <c r="Q43" s="359" t="str">
        <f>IF(calculos_quadro!$G$314="","",IFERROR(INDEX(calculos_quadro!$B$102:$U$102,MATCH(calculos_quadro!$G$314,calculos_quadro!$B$96:$U$96,0)),""))</f>
        <v/>
      </c>
      <c r="R43" s="359" t="str">
        <f>IF(calculos_quadro!$G$315="","",IFERROR(INDEX(calculos_quadro!$B$102:$U$102,MATCH(calculos_quadro!$G$315,calculos_quadro!$B$96:$U$96,0)),""))</f>
        <v/>
      </c>
      <c r="S43" s="359" t="str">
        <f>IF(calculos_quadro!$G$316="","",IFERROR(INDEX(calculos_quadro!$B$102:$U$102,MATCH(calculos_quadro!$G$316,calculos_quadro!$B$96:$U$96,0)),""))</f>
        <v/>
      </c>
      <c r="T43" s="359" t="str">
        <f>IF(calculos_quadro!$G$317="","",IFERROR(INDEX(calculos_quadro!$B$102:$U$102,MATCH(calculos_quadro!$G$317,calculos_quadro!$B$96:$U$96,0)),""))</f>
        <v/>
      </c>
      <c r="U43" s="358"/>
      <c r="V43" s="359" t="str">
        <f>IF(calculos_quadro!$G$318="","",IFERROR(INDEX(calculos_quadro!$B$102:$U$102,MATCH(calculos_quadro!$G$318,calculos_quadro!$B$96:$U$96,0)),""))</f>
        <v/>
      </c>
      <c r="W43" s="359" t="str">
        <f>IF(calculos_quadro!$G$319="","",IFERROR(INDEX(calculos_quadro!$B$102:$U$102,MATCH(calculos_quadro!$G$319,calculos_quadro!$B$96:$U$96,0)),""))</f>
        <v/>
      </c>
      <c r="X43" s="359" t="str">
        <f>IF(calculos_quadro!$G$320="","",IFERROR(INDEX(calculos_quadro!$B$102:$U$102,MATCH(calculos_quadro!$G$320,calculos_quadro!$B$96:$U$96,0)),""))</f>
        <v/>
      </c>
      <c r="Y43" s="359" t="str">
        <f>IF(calculos_quadro!$G$321="","",IFERROR(INDEX(calculos_quadro!$B$102:$U$102,MATCH(calculos_quadro!$G$321,calculos_quadro!$B$96:$U$96,0)),""))</f>
        <v/>
      </c>
      <c r="Z43" s="359" t="str">
        <f>IF(calculos_quadro!$G$322="","",IFERROR(INDEX(calculos_quadro!$B$102:$U$102,MATCH(calculos_quadro!$G$322,calculos_quadro!$B$96:$U$96,0)),""))</f>
        <v/>
      </c>
    </row>
    <row r="44" ht="15.75" customHeight="1">
      <c r="B44" s="521"/>
      <c r="C44" s="199"/>
      <c r="D44" s="368" t="inlineStr">
        <is>
          <t xml:space="preserve">Pallets Movimentados</t>
        </is>
      </c>
      <c r="E44" s="367"/>
      <c r="F44" s="367"/>
      <c r="G44" s="367"/>
      <c r="H44" s="376">
        <f>IF(calculos_quadro!$G$307="","",IFERROR(INDEX(calculos_quadro!$B$103:$U$103,MATCH(calculos_quadro!$G$307,calculos_quadro!$B$96:$U$96,0)),""))</f>
        <v>0</v>
      </c>
      <c r="I44" s="376">
        <f>IF(calculos_quadro!$G$308="","",IFERROR(INDEX(calculos_quadro!$B$103:$U$103,MATCH(calculos_quadro!$G$308,calculos_quadro!$B$96:$U$96,0)),""))</f>
        <v>0</v>
      </c>
      <c r="J44" s="376">
        <f>IF(calculos_quadro!$G$309="","",IFERROR(INDEX(calculos_quadro!$B$103:$U$103,MATCH(calculos_quadro!$G$309,calculos_quadro!$B$96:$U$96,0)),""))</f>
        <v>0</v>
      </c>
      <c r="K44" s="375"/>
      <c r="L44" s="376">
        <f>IF(calculos_quadro!$G$310="","",IFERROR(INDEX(calculos_quadro!$B$103:$U$103,MATCH(calculos_quadro!$G$310,calculos_quadro!$B$96:$U$96,0)),""))</f>
        <v>0</v>
      </c>
      <c r="M44" s="376">
        <f>IF(calculos_quadro!$G$311="","",IFERROR(INDEX(calculos_quadro!$B$103:$U$103,MATCH(calculos_quadro!$G$311,calculos_quadro!$B$96:$U$96,0)),""))</f>
        <v>0</v>
      </c>
      <c r="N44" s="376" t="str">
        <f>IF(calculos_quadro!$G$312="","",IFERROR(INDEX(calculos_quadro!$B$103:$U$103,MATCH(calculos_quadro!$G$312,calculos_quadro!$B$96:$U$96,0)),""))</f>
        <v/>
      </c>
      <c r="O44" s="376" t="str">
        <f>IF(calculos_quadro!$G$313="","",IFERROR(INDEX(calculos_quadro!$B$103:$U$103,MATCH(calculos_quadro!$G$313,calculos_quadro!$B$96:$U$96,0)),""))</f>
        <v/>
      </c>
      <c r="P44" s="375"/>
      <c r="Q44" s="376" t="str">
        <f>IF(calculos_quadro!$G$314="","",IFERROR(INDEX(calculos_quadro!$B$103:$U$103,MATCH(calculos_quadro!$G$314,calculos_quadro!$B$96:$U$96,0)),""))</f>
        <v/>
      </c>
      <c r="R44" s="376" t="str">
        <f>IF(calculos_quadro!$G$315="","",IFERROR(INDEX(calculos_quadro!$B$103:$U$103,MATCH(calculos_quadro!$G$315,calculos_quadro!$B$96:$U$96,0)),""))</f>
        <v/>
      </c>
      <c r="S44" s="376" t="str">
        <f>IF(calculos_quadro!$G$316="","",IFERROR(INDEX(calculos_quadro!$B$103:$U$103,MATCH(calculos_quadro!$G$316,calculos_quadro!$B$96:$U$96,0)),""))</f>
        <v/>
      </c>
      <c r="T44" s="376" t="str">
        <f>IF(calculos_quadro!$G$317="","",IFERROR(INDEX(calculos_quadro!$B$103:$U$103,MATCH(calculos_quadro!$G$317,calculos_quadro!$B$96:$U$96,0)),""))</f>
        <v/>
      </c>
      <c r="U44" s="375"/>
      <c r="V44" s="376" t="str">
        <f>IF(calculos_quadro!$G$318="","",IFERROR(INDEX(calculos_quadro!$B$103:$U$103,MATCH(calculos_quadro!$G$318,calculos_quadro!$B$96:$U$96,0)),""))</f>
        <v/>
      </c>
      <c r="W44" s="376" t="str">
        <f>IF(calculos_quadro!$G$319="","",IFERROR(INDEX(calculos_quadro!$B$103:$U$103,MATCH(calculos_quadro!$G$319,calculos_quadro!$B$96:$U$96,0)),""))</f>
        <v/>
      </c>
      <c r="X44" s="376" t="str">
        <f>IF(calculos_quadro!$G$320="","",IFERROR(INDEX(calculos_quadro!$B$103:$U$103,MATCH(calculos_quadro!$G$320,calculos_quadro!$B$96:$U$96,0)),""))</f>
        <v/>
      </c>
      <c r="Y44" s="376" t="str">
        <f>IF(calculos_quadro!$G$321="","",IFERROR(INDEX(calculos_quadro!$B$103:$U$103,MATCH(calculos_quadro!$G$321,calculos_quadro!$B$96:$U$96,0)),""))</f>
        <v/>
      </c>
      <c r="Z44" s="376" t="str">
        <f>IF(calculos_quadro!$G$322="","",IFERROR(INDEX(calculos_quadro!$B$103:$U$103,MATCH(calculos_quadro!$G$322,calculos_quadro!$B$96:$U$96,0)),""))</f>
        <v/>
      </c>
    </row>
    <row r="45" ht="15.75" customHeight="1">
      <c r="B45" s="521"/>
      <c r="C45" s="199"/>
      <c r="D45" s="368" t="inlineStr">
        <is>
          <t xml:space="preserve">Toneladas Movimentadas</t>
        </is>
      </c>
      <c r="E45" s="367"/>
      <c r="F45" s="367"/>
      <c r="G45" s="367"/>
      <c r="H45" s="374">
        <f>IF(calculos_quadro!$G$307="","",IFERROR(INDEX(calculos_quadro!$B$104:$U$104,MATCH(calculos_quadro!$G$307,calculos_quadro!$B$96:$U$96,0)),""))</f>
        <v>0</v>
      </c>
      <c r="I45" s="374">
        <f>IF(calculos_quadro!$G$308="","",IFERROR(INDEX(calculos_quadro!$B$104:$U$104,MATCH(calculos_quadro!$G$308,calculos_quadro!$B$96:$U$96,0)),""))</f>
        <v>0</v>
      </c>
      <c r="J45" s="374">
        <f>IF(calculos_quadro!$G$309="","",IFERROR(INDEX(calculos_quadro!$B$104:$U$104,MATCH(calculos_quadro!$G$309,calculos_quadro!$B$96:$U$96,0)),""))</f>
        <v>0</v>
      </c>
      <c r="K45" s="373"/>
      <c r="L45" s="374">
        <f>IF(calculos_quadro!$G$310="","",IFERROR(INDEX(calculos_quadro!$B$104:$U$104,MATCH(calculos_quadro!$G$310,calculos_quadro!$B$96:$U$96,0)),""))</f>
        <v>0</v>
      </c>
      <c r="M45" s="374">
        <f>IF(calculos_quadro!$G$311="","",IFERROR(INDEX(calculos_quadro!$B$104:$U$104,MATCH(calculos_quadro!$G$311,calculos_quadro!$B$96:$U$96,0)),""))</f>
        <v>0</v>
      </c>
      <c r="N45" s="374" t="str">
        <f>IF(calculos_quadro!$G$312="","",IFERROR(INDEX(calculos_quadro!$B$104:$U$104,MATCH(calculos_quadro!$G$312,calculos_quadro!$B$96:$U$96,0)),""))</f>
        <v/>
      </c>
      <c r="O45" s="374" t="str">
        <f>IF(calculos_quadro!$G$313="","",IFERROR(INDEX(calculos_quadro!$B$104:$U$104,MATCH(calculos_quadro!$G$313,calculos_quadro!$B$96:$U$96,0)),""))</f>
        <v/>
      </c>
      <c r="P45" s="373"/>
      <c r="Q45" s="374" t="str">
        <f>IF(calculos_quadro!$G$314="","",IFERROR(INDEX(calculos_quadro!$B$104:$U$104,MATCH(calculos_quadro!$G$314,calculos_quadro!$B$96:$U$96,0)),""))</f>
        <v/>
      </c>
      <c r="R45" s="374" t="str">
        <f>IF(calculos_quadro!$G$315="","",IFERROR(INDEX(calculos_quadro!$B$104:$U$104,MATCH(calculos_quadro!$G$315,calculos_quadro!$B$96:$U$96,0)),""))</f>
        <v/>
      </c>
      <c r="S45" s="374" t="str">
        <f>IF(calculos_quadro!$G$316="","",IFERROR(INDEX(calculos_quadro!$B$104:$U$104,MATCH(calculos_quadro!$G$316,calculos_quadro!$B$96:$U$96,0)),""))</f>
        <v/>
      </c>
      <c r="T45" s="374" t="str">
        <f>IF(calculos_quadro!$G$317="","",IFERROR(INDEX(calculos_quadro!$B$104:$U$104,MATCH(calculos_quadro!$G$317,calculos_quadro!$B$96:$U$96,0)),""))</f>
        <v/>
      </c>
      <c r="U45" s="373"/>
      <c r="V45" s="374" t="str">
        <f>IF(calculos_quadro!$G$318="","",IFERROR(INDEX(calculos_quadro!$B$104:$U$104,MATCH(calculos_quadro!$G$318,calculos_quadro!$B$96:$U$96,0)),""))</f>
        <v/>
      </c>
      <c r="W45" s="374" t="str">
        <f>IF(calculos_quadro!$G$319="","",IFERROR(INDEX(calculos_quadro!$B$104:$U$104,MATCH(calculos_quadro!$G$319,calculos_quadro!$B$96:$U$96,0)),""))</f>
        <v/>
      </c>
      <c r="X45" s="374" t="str">
        <f>IF(calculos_quadro!$G$320="","",IFERROR(INDEX(calculos_quadro!$B$104:$U$104,MATCH(calculos_quadro!$G$320,calculos_quadro!$B$96:$U$96,0)),""))</f>
        <v/>
      </c>
      <c r="Y45" s="374" t="str">
        <f>IF(calculos_quadro!$G$321="","",IFERROR(INDEX(calculos_quadro!$B$104:$U$104,MATCH(calculos_quadro!$G$321,calculos_quadro!$B$96:$U$96,0)),""))</f>
        <v/>
      </c>
      <c r="Z45" s="374" t="str">
        <f>IF(calculos_quadro!$G$322="","",IFERROR(INDEX(calculos_quadro!$B$104:$U$104,MATCH(calculos_quadro!$G$322,calculos_quadro!$B$96:$U$96,0)),""))</f>
        <v/>
      </c>
    </row>
    <row r="46" ht="15.75" customHeight="1">
      <c r="B46" s="521"/>
      <c r="C46" s="199"/>
      <c r="D46" s="368" t="inlineStr">
        <is>
          <t xml:space="preserve">Caixas Expedidas</t>
        </is>
      </c>
      <c r="E46" s="367"/>
      <c r="F46" s="367"/>
      <c r="G46" s="367"/>
      <c r="H46" s="376">
        <f>IF(calculos_quadro!$G$307="","",IFERROR(INDEX(calculos_quadro!$B$105:$U$105,MATCH(calculos_quadro!$G$307,calculos_quadro!$B$96:$U$96,0)),""))</f>
        <v>0</v>
      </c>
      <c r="I46" s="376">
        <f>IF(calculos_quadro!$G$308="","",IFERROR(INDEX(calculos_quadro!$B$105:$U$105,MATCH(calculos_quadro!$G$308,calculos_quadro!$B$96:$U$96,0)),""))</f>
        <v>0</v>
      </c>
      <c r="J46" s="376">
        <f>IF(calculos_quadro!$G$309="","",IFERROR(INDEX(calculos_quadro!$B$105:$U$105,MATCH(calculos_quadro!$G$309,calculos_quadro!$B$96:$U$96,0)),""))</f>
        <v>0</v>
      </c>
      <c r="K46" s="375"/>
      <c r="L46" s="376">
        <f>IF(calculos_quadro!$G$310="","",IFERROR(INDEX(calculos_quadro!$B$105:$U$105,MATCH(calculos_quadro!$G$310,calculos_quadro!$B$96:$U$96,0)),""))</f>
        <v>0</v>
      </c>
      <c r="M46" s="376">
        <f>IF(calculos_quadro!$G$311="","",IFERROR(INDEX(calculos_quadro!$B$105:$U$105,MATCH(calculos_quadro!$G$311,calculos_quadro!$B$96:$U$96,0)),""))</f>
        <v>0</v>
      </c>
      <c r="N46" s="376" t="str">
        <f>IF(calculos_quadro!$G$312="","",IFERROR(INDEX(calculos_quadro!$B$105:$U$105,MATCH(calculos_quadro!$G$312,calculos_quadro!$B$96:$U$96,0)),""))</f>
        <v/>
      </c>
      <c r="O46" s="376" t="str">
        <f>IF(calculos_quadro!$G$313="","",IFERROR(INDEX(calculos_quadro!$B$105:$U$105,MATCH(calculos_quadro!$G$313,calculos_quadro!$B$96:$U$96,0)),""))</f>
        <v/>
      </c>
      <c r="P46" s="375"/>
      <c r="Q46" s="376" t="str">
        <f>IF(calculos_quadro!$G$314="","",IFERROR(INDEX(calculos_quadro!$B$105:$U$105,MATCH(calculos_quadro!$G$314,calculos_quadro!$B$96:$U$96,0)),""))</f>
        <v/>
      </c>
      <c r="R46" s="376" t="str">
        <f>IF(calculos_quadro!$G$315="","",IFERROR(INDEX(calculos_quadro!$B$105:$U$105,MATCH(calculos_quadro!$G$315,calculos_quadro!$B$96:$U$96,0)),""))</f>
        <v/>
      </c>
      <c r="S46" s="376" t="str">
        <f>IF(calculos_quadro!$G$316="","",IFERROR(INDEX(calculos_quadro!$B$105:$U$105,MATCH(calculos_quadro!$G$316,calculos_quadro!$B$96:$U$96,0)),""))</f>
        <v/>
      </c>
      <c r="T46" s="376" t="str">
        <f>IF(calculos_quadro!$G$317="","",IFERROR(INDEX(calculos_quadro!$B$105:$U$105,MATCH(calculos_quadro!$G$317,calculos_quadro!$B$96:$U$96,0)),""))</f>
        <v/>
      </c>
      <c r="U46" s="375"/>
      <c r="V46" s="376" t="str">
        <f>IF(calculos_quadro!$G$318="","",IFERROR(INDEX(calculos_quadro!$B$105:$U$105,MATCH(calculos_quadro!$G$318,calculos_quadro!$B$96:$U$96,0)),""))</f>
        <v/>
      </c>
      <c r="W46" s="376" t="str">
        <f>IF(calculos_quadro!$G$319="","",IFERROR(INDEX(calculos_quadro!$B$105:$U$105,MATCH(calculos_quadro!$G$319,calculos_quadro!$B$96:$U$96,0)),""))</f>
        <v/>
      </c>
      <c r="X46" s="376" t="str">
        <f>IF(calculos_quadro!$G$320="","",IFERROR(INDEX(calculos_quadro!$B$105:$U$105,MATCH(calculos_quadro!$G$320,calculos_quadro!$B$96:$U$96,0)),""))</f>
        <v/>
      </c>
      <c r="Y46" s="376" t="str">
        <f>IF(calculos_quadro!$G$321="","",IFERROR(INDEX(calculos_quadro!$B$105:$U$105,MATCH(calculos_quadro!$G$321,calculos_quadro!$B$96:$U$96,0)),""))</f>
        <v/>
      </c>
      <c r="Z46" s="376" t="str">
        <f>IF(calculos_quadro!$G$322="","",IFERROR(INDEX(calculos_quadro!$B$105:$U$105,MATCH(calculos_quadro!$G$322,calculos_quadro!$B$96:$U$96,0)),""))</f>
        <v/>
      </c>
    </row>
    <row r="47" ht="15.75" customHeight="1">
      <c r="B47" s="521"/>
      <c r="C47" s="199"/>
      <c r="D47" s="368" t="inlineStr">
        <is>
          <t xml:space="preserve">Pedidos Faturados</t>
        </is>
      </c>
      <c r="E47" s="367"/>
      <c r="F47" s="367"/>
      <c r="G47" s="367"/>
      <c r="H47" s="376">
        <f>IF(calculos_quadro!$G$307="","",IFERROR(INDEX(calculos_quadro!$B$106:$U$106,MATCH(calculos_quadro!$G$307,calculos_quadro!$B$96:$U$96,0)),""))</f>
        <v>0</v>
      </c>
      <c r="I47" s="376">
        <f>IF(calculos_quadro!$G$308="","",IFERROR(INDEX(calculos_quadro!$B$106:$U$106,MATCH(calculos_quadro!$G$308,calculos_quadro!$B$96:$U$96,0)),""))</f>
        <v>0</v>
      </c>
      <c r="J47" s="376">
        <f>IF(calculos_quadro!$G$309="","",IFERROR(INDEX(calculos_quadro!$B$106:$U$106,MATCH(calculos_quadro!$G$309,calculos_quadro!$B$96:$U$96,0)),""))</f>
        <v>0</v>
      </c>
      <c r="K47" s="375"/>
      <c r="L47" s="376">
        <f>IF(calculos_quadro!$G$310="","",IFERROR(INDEX(calculos_quadro!$B$106:$U$106,MATCH(calculos_quadro!$G$310,calculos_quadro!$B$96:$U$96,0)),""))</f>
        <v>0</v>
      </c>
      <c r="M47" s="376">
        <f>IF(calculos_quadro!$G$311="","",IFERROR(INDEX(calculos_quadro!$B$106:$U$106,MATCH(calculos_quadro!$G$311,calculos_quadro!$B$96:$U$96,0)),""))</f>
        <v>0</v>
      </c>
      <c r="N47" s="376" t="str">
        <f>IF(calculos_quadro!$G$312="","",IFERROR(INDEX(calculos_quadro!$B$106:$U$106,MATCH(calculos_quadro!$G$312,calculos_quadro!$B$96:$U$96,0)),""))</f>
        <v/>
      </c>
      <c r="O47" s="376" t="str">
        <f>IF(calculos_quadro!$G$313="","",IFERROR(INDEX(calculos_quadro!$B$106:$U$106,MATCH(calculos_quadro!$G$313,calculos_quadro!$B$96:$U$96,0)),""))</f>
        <v/>
      </c>
      <c r="P47" s="375"/>
      <c r="Q47" s="376" t="str">
        <f>IF(calculos_quadro!$G$314="","",IFERROR(INDEX(calculos_quadro!$B$106:$U$106,MATCH(calculos_quadro!$G$314,calculos_quadro!$B$96:$U$96,0)),""))</f>
        <v/>
      </c>
      <c r="R47" s="376" t="str">
        <f>IF(calculos_quadro!$G$315="","",IFERROR(INDEX(calculos_quadro!$B$106:$U$106,MATCH(calculos_quadro!$G$315,calculos_quadro!$B$96:$U$96,0)),""))</f>
        <v/>
      </c>
      <c r="S47" s="376" t="str">
        <f>IF(calculos_quadro!$G$316="","",IFERROR(INDEX(calculos_quadro!$B$106:$U$106,MATCH(calculos_quadro!$G$316,calculos_quadro!$B$96:$U$96,0)),""))</f>
        <v/>
      </c>
      <c r="T47" s="376" t="str">
        <f>IF(calculos_quadro!$G$317="","",IFERROR(INDEX(calculos_quadro!$B$106:$U$106,MATCH(calculos_quadro!$G$317,calculos_quadro!$B$96:$U$96,0)),""))</f>
        <v/>
      </c>
      <c r="U47" s="375"/>
      <c r="V47" s="376" t="str">
        <f>IF(calculos_quadro!$G$318="","",IFERROR(INDEX(calculos_quadro!$B$106:$U$106,MATCH(calculos_quadro!$G$318,calculos_quadro!$B$96:$U$96,0)),""))</f>
        <v/>
      </c>
      <c r="W47" s="376" t="str">
        <f>IF(calculos_quadro!$G$319="","",IFERROR(INDEX(calculos_quadro!$B$106:$U$106,MATCH(calculos_quadro!$G$319,calculos_quadro!$B$96:$U$96,0)),""))</f>
        <v/>
      </c>
      <c r="X47" s="376" t="str">
        <f>IF(calculos_quadro!$G$320="","",IFERROR(INDEX(calculos_quadro!$B$106:$U$106,MATCH(calculos_quadro!$G$320,calculos_quadro!$B$96:$U$96,0)),""))</f>
        <v/>
      </c>
      <c r="Y47" s="376" t="str">
        <f>IF(calculos_quadro!$G$321="","",IFERROR(INDEX(calculos_quadro!$B$106:$U$106,MATCH(calculos_quadro!$G$321,calculos_quadro!$B$96:$U$96,0)),""))</f>
        <v/>
      </c>
      <c r="Z47" s="376" t="str">
        <f>IF(calculos_quadro!$G$322="","",IFERROR(INDEX(calculos_quadro!$B$106:$U$106,MATCH(calculos_quadro!$G$322,calculos_quadro!$B$96:$U$96,0)),""))</f>
        <v/>
      </c>
    </row>
    <row r="48" ht="15.75" customHeight="1">
      <c r="B48" s="522"/>
      <c r="C48" s="210"/>
      <c r="D48" s="387" t="inlineStr">
        <is>
          <t xml:space="preserve">Bags Expedidos</t>
        </is>
      </c>
      <c r="E48" s="386"/>
      <c r="F48" s="386"/>
      <c r="G48" s="386"/>
      <c r="H48" s="395">
        <f>IF(calculos_quadro!$G$307="","",IFERROR(INDEX(calculos_quadro!$B$107:$U$107,MATCH(calculos_quadro!$G$307,calculos_quadro!$B$96:$U$96,0)),""))</f>
        <v>0</v>
      </c>
      <c r="I48" s="395" t="str">
        <f>IF(calculos_quadro!$G$308="","",IFERROR(INDEX(calculos_quadro!$B$107:$U$107,MATCH(calculos_quadro!$G$308,calculos_quadro!$B$96:$U$96,0)),""))</f>
        <v>—</v>
      </c>
      <c r="J48" s="395" t="str">
        <f>IF(calculos_quadro!$G$309="","",IFERROR(INDEX(calculos_quadro!$B$107:$U$107,MATCH(calculos_quadro!$G$309,calculos_quadro!$B$96:$U$96,0)),""))</f>
        <v>—</v>
      </c>
      <c r="K48" s="394"/>
      <c r="L48" s="395" t="str">
        <f>IF(calculos_quadro!$G$310="","",IFERROR(INDEX(calculos_quadro!$B$107:$U$107,MATCH(calculos_quadro!$G$310,calculos_quadro!$B$96:$U$96,0)),""))</f>
        <v>—</v>
      </c>
      <c r="M48" s="395" t="str">
        <f>IF(calculos_quadro!$G$311="","",IFERROR(INDEX(calculos_quadro!$B$107:$U$107,MATCH(calculos_quadro!$G$311,calculos_quadro!$B$96:$U$96,0)),""))</f>
        <v>—</v>
      </c>
      <c r="N48" s="395" t="str">
        <f>IF(calculos_quadro!$G$312="","",IFERROR(INDEX(calculos_quadro!$B$107:$U$107,MATCH(calculos_quadro!$G$312,calculos_quadro!$B$96:$U$96,0)),""))</f>
        <v/>
      </c>
      <c r="O48" s="395" t="str">
        <f>IF(calculos_quadro!$G$313="","",IFERROR(INDEX(calculos_quadro!$B$107:$U$107,MATCH(calculos_quadro!$G$313,calculos_quadro!$B$96:$U$96,0)),""))</f>
        <v/>
      </c>
      <c r="P48" s="394"/>
      <c r="Q48" s="395" t="str">
        <f>IF(calculos_quadro!$G$314="","",IFERROR(INDEX(calculos_quadro!$B$107:$U$107,MATCH(calculos_quadro!$G$314,calculos_quadro!$B$96:$U$96,0)),""))</f>
        <v/>
      </c>
      <c r="R48" s="395" t="str">
        <f>IF(calculos_quadro!$G$315="","",IFERROR(INDEX(calculos_quadro!$B$107:$U$107,MATCH(calculos_quadro!$G$315,calculos_quadro!$B$96:$U$96,0)),""))</f>
        <v/>
      </c>
      <c r="S48" s="395" t="str">
        <f>IF(calculos_quadro!$G$316="","",IFERROR(INDEX(calculos_quadro!$B$107:$U$107,MATCH(calculos_quadro!$G$316,calculos_quadro!$B$96:$U$96,0)),""))</f>
        <v/>
      </c>
      <c r="T48" s="395" t="str">
        <f>IF(calculos_quadro!$G$317="","",IFERROR(INDEX(calculos_quadro!$B$107:$U$107,MATCH(calculos_quadro!$G$317,calculos_quadro!$B$96:$U$96,0)),""))</f>
        <v/>
      </c>
      <c r="U48" s="394"/>
      <c r="V48" s="395" t="str">
        <f>IF(calculos_quadro!$G$318="","",IFERROR(INDEX(calculos_quadro!$B$107:$U$107,MATCH(calculos_quadro!$G$318,calculos_quadro!$B$96:$U$96,0)),""))</f>
        <v/>
      </c>
      <c r="W48" s="395" t="str">
        <f>IF(calculos_quadro!$G$319="","",IFERROR(INDEX(calculos_quadro!$B$107:$U$107,MATCH(calculos_quadro!$G$319,calculos_quadro!$B$96:$U$96,0)),""))</f>
        <v/>
      </c>
      <c r="X48" s="395" t="str">
        <f>IF(calculos_quadro!$G$320="","",IFERROR(INDEX(calculos_quadro!$B$107:$U$107,MATCH(calculos_quadro!$G$320,calculos_quadro!$B$96:$U$96,0)),""))</f>
        <v/>
      </c>
      <c r="Y48" s="395" t="str">
        <f>IF(calculos_quadro!$G$321="","",IFERROR(INDEX(calculos_quadro!$B$107:$U$107,MATCH(calculos_quadro!$G$321,calculos_quadro!$B$96:$U$96,0)),""))</f>
        <v/>
      </c>
      <c r="Z48" s="395" t="str">
        <f>IF(calculos_quadro!$G$322="","",IFERROR(INDEX(calculos_quadro!$B$107:$U$107,MATCH(calculos_quadro!$G$322,calculos_quadro!$B$96:$U$96,0)),""))</f>
        <v/>
      </c>
    </row>
    <row r="49" ht="15.75" customHeight="1">
      <c r="B49" s="523" t="inlineStr">
        <is>
          <t xml:space="preserve">NC</t>
        </is>
      </c>
      <c r="C49" s="216"/>
      <c r="D49" s="404" t="inlineStr">
        <is>
          <t xml:space="preserve">Incidentes</t>
        </is>
      </c>
      <c r="E49" s="403"/>
      <c r="F49" s="403"/>
      <c r="G49" s="403"/>
      <c r="H49" s="412">
        <f>IF(calculos_quadro!$G$307="","",IFERROR(INDEX(calculos_quadro!$B$108:$U$108,MATCH(calculos_quadro!$G$307,calculos_quadro!$B$96:$U$96,0)),""))</f>
        <v>0</v>
      </c>
      <c r="I49" s="412">
        <f>IF(calculos_quadro!$G$308="","",IFERROR(INDEX(calculos_quadro!$B$108:$U$108,MATCH(calculos_quadro!$G$308,calculos_quadro!$B$96:$U$96,0)),""))</f>
        <v>0</v>
      </c>
      <c r="J49" s="412">
        <f>IF(calculos_quadro!$G$309="","",IFERROR(INDEX(calculos_quadro!$B$108:$U$108,MATCH(calculos_quadro!$G$309,calculos_quadro!$B$96:$U$96,0)),""))</f>
        <v>0</v>
      </c>
      <c r="K49" s="411"/>
      <c r="L49" s="412">
        <f>IF(calculos_quadro!$G$310="","",IFERROR(INDEX(calculos_quadro!$B$108:$U$108,MATCH(calculos_quadro!$G$310,calculos_quadro!$B$96:$U$96,0)),""))</f>
        <v>0</v>
      </c>
      <c r="M49" s="412">
        <f>IF(calculos_quadro!$G$311="","",IFERROR(INDEX(calculos_quadro!$B$108:$U$108,MATCH(calculos_quadro!$G$311,calculos_quadro!$B$96:$U$96,0)),""))</f>
        <v>0</v>
      </c>
      <c r="N49" s="412" t="str">
        <f>IF(calculos_quadro!$G$312="","",IFERROR(INDEX(calculos_quadro!$B$108:$U$108,MATCH(calculos_quadro!$G$312,calculos_quadro!$B$96:$U$96,0)),""))</f>
        <v/>
      </c>
      <c r="O49" s="412" t="str">
        <f>IF(calculos_quadro!$G$313="","",IFERROR(INDEX(calculos_quadro!$B$108:$U$108,MATCH(calculos_quadro!$G$313,calculos_quadro!$B$96:$U$96,0)),""))</f>
        <v/>
      </c>
      <c r="P49" s="411"/>
      <c r="Q49" s="412" t="str">
        <f>IF(calculos_quadro!$G$314="","",IFERROR(INDEX(calculos_quadro!$B$108:$U$108,MATCH(calculos_quadro!$G$314,calculos_quadro!$B$96:$U$96,0)),""))</f>
        <v/>
      </c>
      <c r="R49" s="412" t="str">
        <f>IF(calculos_quadro!$G$315="","",IFERROR(INDEX(calculos_quadro!$B$108:$U$108,MATCH(calculos_quadro!$G$315,calculos_quadro!$B$96:$U$96,0)),""))</f>
        <v/>
      </c>
      <c r="S49" s="412" t="str">
        <f>IF(calculos_quadro!$G$316="","",IFERROR(INDEX(calculos_quadro!$B$108:$U$108,MATCH(calculos_quadro!$G$316,calculos_quadro!$B$96:$U$96,0)),""))</f>
        <v/>
      </c>
      <c r="T49" s="412" t="str">
        <f>IF(calculos_quadro!$G$317="","",IFERROR(INDEX(calculos_quadro!$B$108:$U$108,MATCH(calculos_quadro!$G$317,calculos_quadro!$B$96:$U$96,0)),""))</f>
        <v/>
      </c>
      <c r="U49" s="411"/>
      <c r="V49" s="412" t="str">
        <f>IF(calculos_quadro!$G$318="","",IFERROR(INDEX(calculos_quadro!$B$108:$U$108,MATCH(calculos_quadro!$G$318,calculos_quadro!$B$96:$U$96,0)),""))</f>
        <v/>
      </c>
      <c r="W49" s="412" t="str">
        <f>IF(calculos_quadro!$G$319="","",IFERROR(INDEX(calculos_quadro!$B$108:$U$108,MATCH(calculos_quadro!$G$319,calculos_quadro!$B$96:$U$96,0)),""))</f>
        <v/>
      </c>
      <c r="X49" s="412" t="str">
        <f>IF(calculos_quadro!$G$320="","",IFERROR(INDEX(calculos_quadro!$B$108:$U$108,MATCH(calculos_quadro!$G$320,calculos_quadro!$B$96:$U$96,0)),""))</f>
        <v/>
      </c>
      <c r="Y49" s="412" t="str">
        <f>IF(calculos_quadro!$G$321="","",IFERROR(INDEX(calculos_quadro!$B$108:$U$108,MATCH(calculos_quadro!$G$321,calculos_quadro!$B$96:$U$96,0)),""))</f>
        <v/>
      </c>
      <c r="Z49" s="412" t="str">
        <f>IF(calculos_quadro!$G$322="","",IFERROR(INDEX(calculos_quadro!$B$108:$U$108,MATCH(calculos_quadro!$G$322,calculos_quadro!$B$96:$U$96,0)),""))</f>
        <v/>
      </c>
    </row>
    <row r="50" ht="15.75" customHeight="1">
      <c r="B50" s="524"/>
      <c r="C50" s="223"/>
      <c r="D50" s="421" t="inlineStr">
        <is>
          <t xml:space="preserve">No show</t>
        </is>
      </c>
      <c r="E50" s="420"/>
      <c r="F50" s="420"/>
      <c r="G50" s="420"/>
      <c r="H50" s="429">
        <f>IF(calculos_quadro!$G$307="","",IFERROR(INDEX(calculos_quadro!$B$109:$U$109,MATCH(calculos_quadro!$G$307,calculos_quadro!$B$96:$U$96,0)),""))</f>
        <v>0</v>
      </c>
      <c r="I50" s="429">
        <f>IF(calculos_quadro!$G$308="","",IFERROR(INDEX(calculos_quadro!$B$109:$U$109,MATCH(calculos_quadro!$G$308,calculos_quadro!$B$96:$U$96,0)),""))</f>
        <v>0</v>
      </c>
      <c r="J50" s="429">
        <f>IF(calculos_quadro!$G$309="","",IFERROR(INDEX(calculos_quadro!$B$109:$U$109,MATCH(calculos_quadro!$G$309,calculos_quadro!$B$96:$U$96,0)),""))</f>
        <v>0</v>
      </c>
      <c r="K50" s="428"/>
      <c r="L50" s="429">
        <f>IF(calculos_quadro!$G$310="","",IFERROR(INDEX(calculos_quadro!$B$109:$U$109,MATCH(calculos_quadro!$G$310,calculos_quadro!$B$96:$U$96,0)),""))</f>
        <v>0</v>
      </c>
      <c r="M50" s="429">
        <f>IF(calculos_quadro!$G$311="","",IFERROR(INDEX(calculos_quadro!$B$109:$U$109,MATCH(calculos_quadro!$G$311,calculos_quadro!$B$96:$U$96,0)),""))</f>
        <v>0</v>
      </c>
      <c r="N50" s="429" t="str">
        <f>IF(calculos_quadro!$G$312="","",IFERROR(INDEX(calculos_quadro!$B$109:$U$109,MATCH(calculos_quadro!$G$312,calculos_quadro!$B$96:$U$96,0)),""))</f>
        <v/>
      </c>
      <c r="O50" s="429" t="str">
        <f>IF(calculos_quadro!$G$313="","",IFERROR(INDEX(calculos_quadro!$B$109:$U$109,MATCH(calculos_quadro!$G$313,calculos_quadro!$B$96:$U$96,0)),""))</f>
        <v/>
      </c>
      <c r="P50" s="428"/>
      <c r="Q50" s="429" t="str">
        <f>IF(calculos_quadro!$G$314="","",IFERROR(INDEX(calculos_quadro!$B$109:$U$109,MATCH(calculos_quadro!$G$314,calculos_quadro!$B$96:$U$96,0)),""))</f>
        <v/>
      </c>
      <c r="R50" s="429" t="str">
        <f>IF(calculos_quadro!$G$315="","",IFERROR(INDEX(calculos_quadro!$B$109:$U$109,MATCH(calculos_quadro!$G$315,calculos_quadro!$B$96:$U$96,0)),""))</f>
        <v/>
      </c>
      <c r="S50" s="429" t="str">
        <f>IF(calculos_quadro!$G$316="","",IFERROR(INDEX(calculos_quadro!$B$109:$U$109,MATCH(calculos_quadro!$G$316,calculos_quadro!$B$96:$U$96,0)),""))</f>
        <v/>
      </c>
      <c r="T50" s="429" t="str">
        <f>IF(calculos_quadro!$G$317="","",IFERROR(INDEX(calculos_quadro!$B$109:$U$109,MATCH(calculos_quadro!$G$317,calculos_quadro!$B$96:$U$96,0)),""))</f>
        <v/>
      </c>
      <c r="U50" s="428"/>
      <c r="V50" s="429" t="str">
        <f>IF(calculos_quadro!$G$318="","",IFERROR(INDEX(calculos_quadro!$B$109:$U$109,MATCH(calculos_quadro!$G$318,calculos_quadro!$B$96:$U$96,0)),""))</f>
        <v/>
      </c>
      <c r="W50" s="429" t="str">
        <f>IF(calculos_quadro!$G$319="","",IFERROR(INDEX(calculos_quadro!$B$109:$U$109,MATCH(calculos_quadro!$G$319,calculos_quadro!$B$96:$U$96,0)),""))</f>
        <v/>
      </c>
      <c r="X50" s="429" t="str">
        <f>IF(calculos_quadro!$G$320="","",IFERROR(INDEX(calculos_quadro!$B$109:$U$109,MATCH(calculos_quadro!$G$320,calculos_quadro!$B$96:$U$96,0)),""))</f>
        <v/>
      </c>
      <c r="Y50" s="429" t="str">
        <f>IF(calculos_quadro!$G$321="","",IFERROR(INDEX(calculos_quadro!$B$109:$U$109,MATCH(calculos_quadro!$G$321,calculos_quadro!$B$96:$U$96,0)),""))</f>
        <v/>
      </c>
      <c r="Z50" s="429" t="str">
        <f>IF(calculos_quadro!$G$322="","",IFERROR(INDEX(calculos_quadro!$B$109:$U$109,MATCH(calculos_quadro!$G$322,calculos_quadro!$B$96:$U$96,0)),""))</f>
        <v/>
      </c>
    </row>
    <row r="51" ht="15.75" customHeight="1">
      <c r="B51" s="524"/>
      <c r="C51" s="223"/>
      <c r="D51" s="421" t="inlineStr">
        <is>
          <t xml:space="preserve">Backlog Intralog</t>
        </is>
      </c>
      <c r="E51" s="420"/>
      <c r="F51" s="420"/>
      <c r="G51" s="420"/>
      <c r="H51" s="429" t="str">
        <f>IF(calculos_quadro!$G$307="","",IFERROR(INDEX(calculos_quadro!$B$110:$U$110,MATCH(calculos_quadro!$G$307,calculos_quadro!$B$96:$U$96,0)),""))</f>
        <v/>
      </c>
      <c r="I51" s="429" t="str">
        <f>IF(calculos_quadro!$G$308="","",IFERROR(INDEX(calculos_quadro!$B$110:$U$110,MATCH(calculos_quadro!$G$308,calculos_quadro!$B$96:$U$96,0)),""))</f>
        <v/>
      </c>
      <c r="J51" s="429" t="str">
        <f>IF(calculos_quadro!$G$309="","",IFERROR(INDEX(calculos_quadro!$B$110:$U$110,MATCH(calculos_quadro!$G$309,calculos_quadro!$B$96:$U$96,0)),""))</f>
        <v/>
      </c>
      <c r="K51" s="428"/>
      <c r="L51" s="429" t="str">
        <f>IF(calculos_quadro!$G$310="","",IFERROR(INDEX(calculos_quadro!$B$110:$U$110,MATCH(calculos_quadro!$G$310,calculos_quadro!$B$96:$U$96,0)),""))</f>
        <v/>
      </c>
      <c r="M51" s="429" t="str">
        <f>IF(calculos_quadro!$G$311="","",IFERROR(INDEX(calculos_quadro!$B$110:$U$110,MATCH(calculos_quadro!$G$311,calculos_quadro!$B$96:$U$96,0)),""))</f>
        <v/>
      </c>
      <c r="N51" s="429" t="str">
        <f>IF(calculos_quadro!$G$312="","",IFERROR(INDEX(calculos_quadro!$B$110:$U$110,MATCH(calculos_quadro!$G$312,calculos_quadro!$B$96:$U$96,0)),""))</f>
        <v/>
      </c>
      <c r="O51" s="429" t="str">
        <f>IF(calculos_quadro!$G$313="","",IFERROR(INDEX(calculos_quadro!$B$110:$U$110,MATCH(calculos_quadro!$G$313,calculos_quadro!$B$96:$U$96,0)),""))</f>
        <v/>
      </c>
      <c r="P51" s="428"/>
      <c r="Q51" s="429" t="str">
        <f>IF(calculos_quadro!$G$314="","",IFERROR(INDEX(calculos_quadro!$B$110:$U$110,MATCH(calculos_quadro!$G$314,calculos_quadro!$B$96:$U$96,0)),""))</f>
        <v/>
      </c>
      <c r="R51" s="429" t="str">
        <f>IF(calculos_quadro!$G$315="","",IFERROR(INDEX(calculos_quadro!$B$110:$U$110,MATCH(calculos_quadro!$G$315,calculos_quadro!$B$96:$U$96,0)),""))</f>
        <v/>
      </c>
      <c r="S51" s="429" t="str">
        <f>IF(calculos_quadro!$G$316="","",IFERROR(INDEX(calculos_quadro!$B$110:$U$110,MATCH(calculos_quadro!$G$316,calculos_quadro!$B$96:$U$96,0)),""))</f>
        <v/>
      </c>
      <c r="T51" s="429" t="str">
        <f>IF(calculos_quadro!$G$317="","",IFERROR(INDEX(calculos_quadro!$B$110:$U$110,MATCH(calculos_quadro!$G$317,calculos_quadro!$B$96:$U$96,0)),""))</f>
        <v/>
      </c>
      <c r="U51" s="428"/>
      <c r="V51" s="429" t="str">
        <f>IF(calculos_quadro!$G$318="","",IFERROR(INDEX(calculos_quadro!$B$110:$U$110,MATCH(calculos_quadro!$G$318,calculos_quadro!$B$96:$U$96,0)),""))</f>
        <v/>
      </c>
      <c r="W51" s="429" t="str">
        <f>IF(calculos_quadro!$G$319="","",IFERROR(INDEX(calculos_quadro!$B$110:$U$110,MATCH(calculos_quadro!$G$319,calculos_quadro!$B$96:$U$96,0)),""))</f>
        <v/>
      </c>
      <c r="X51" s="429" t="str">
        <f>IF(calculos_quadro!$G$320="","",IFERROR(INDEX(calculos_quadro!$B$110:$U$110,MATCH(calculos_quadro!$G$320,calculos_quadro!$B$96:$U$96,0)),""))</f>
        <v/>
      </c>
      <c r="Y51" s="429" t="str">
        <f>IF(calculos_quadro!$G$321="","",IFERROR(INDEX(calculos_quadro!$B$110:$U$110,MATCH(calculos_quadro!$G$321,calculos_quadro!$B$96:$U$96,0)),""))</f>
        <v/>
      </c>
      <c r="Z51" s="429" t="str">
        <f>IF(calculos_quadro!$G$322="","",IFERROR(INDEX(calculos_quadro!$B$110:$U$110,MATCH(calculos_quadro!$G$322,calculos_quadro!$B$96:$U$96,0)),""))</f>
        <v/>
      </c>
    </row>
    <row r="52" ht="15.75" customHeight="1">
      <c r="B52" s="525"/>
      <c r="C52" s="230"/>
      <c r="D52" s="438" t="inlineStr">
        <is>
          <t xml:space="preserve">Backlog Cliente</t>
        </is>
      </c>
      <c r="E52" s="437"/>
      <c r="F52" s="437"/>
      <c r="G52" s="437"/>
      <c r="H52" s="446" t="str">
        <f>IF(calculos_quadro!$G$307="","",IFERROR(INDEX(calculos_quadro!$B$111:$U$111,MATCH(calculos_quadro!$G$307,calculos_quadro!$B$96:$U$96,0)),""))</f>
        <v/>
      </c>
      <c r="I52" s="446" t="str">
        <f>IF(calculos_quadro!$G$308="","",IFERROR(INDEX(calculos_quadro!$B$111:$U$111,MATCH(calculos_quadro!$G$308,calculos_quadro!$B$96:$U$96,0)),""))</f>
        <v/>
      </c>
      <c r="J52" s="446" t="str">
        <f>IF(calculos_quadro!$G$309="","",IFERROR(INDEX(calculos_quadro!$B$111:$U$111,MATCH(calculos_quadro!$G$309,calculos_quadro!$B$96:$U$96,0)),""))</f>
        <v/>
      </c>
      <c r="K52" s="445"/>
      <c r="L52" s="446" t="str">
        <f>IF(calculos_quadro!$G$310="","",IFERROR(INDEX(calculos_quadro!$B$111:$U$111,MATCH(calculos_quadro!$G$310,calculos_quadro!$B$96:$U$96,0)),""))</f>
        <v/>
      </c>
      <c r="M52" s="446" t="str">
        <f>IF(calculos_quadro!$G$311="","",IFERROR(INDEX(calculos_quadro!$B$111:$U$111,MATCH(calculos_quadro!$G$311,calculos_quadro!$B$96:$U$96,0)),""))</f>
        <v/>
      </c>
      <c r="N52" s="446" t="str">
        <f>IF(calculos_quadro!$G$312="","",IFERROR(INDEX(calculos_quadro!$B$111:$U$111,MATCH(calculos_quadro!$G$312,calculos_quadro!$B$96:$U$96,0)),""))</f>
        <v/>
      </c>
      <c r="O52" s="446" t="str">
        <f>IF(calculos_quadro!$G$313="","",IFERROR(INDEX(calculos_quadro!$B$111:$U$111,MATCH(calculos_quadro!$G$313,calculos_quadro!$B$96:$U$96,0)),""))</f>
        <v/>
      </c>
      <c r="P52" s="445"/>
      <c r="Q52" s="446" t="str">
        <f>IF(calculos_quadro!$G$314="","",IFERROR(INDEX(calculos_quadro!$B$111:$U$111,MATCH(calculos_quadro!$G$314,calculos_quadro!$B$96:$U$96,0)),""))</f>
        <v/>
      </c>
      <c r="R52" s="446" t="str">
        <f>IF(calculos_quadro!$G$315="","",IFERROR(INDEX(calculos_quadro!$B$111:$U$111,MATCH(calculos_quadro!$G$315,calculos_quadro!$B$96:$U$96,0)),""))</f>
        <v/>
      </c>
      <c r="S52" s="446" t="str">
        <f>IF(calculos_quadro!$G$316="","",IFERROR(INDEX(calculos_quadro!$B$111:$U$111,MATCH(calculos_quadro!$G$316,calculos_quadro!$B$96:$U$96,0)),""))</f>
        <v/>
      </c>
      <c r="T52" s="446" t="str">
        <f>IF(calculos_quadro!$G$317="","",IFERROR(INDEX(calculos_quadro!$B$111:$U$111,MATCH(calculos_quadro!$G$317,calculos_quadro!$B$96:$U$96,0)),""))</f>
        <v/>
      </c>
      <c r="U52" s="445"/>
      <c r="V52" s="446" t="str">
        <f>IF(calculos_quadro!$G$318="","",IFERROR(INDEX(calculos_quadro!$B$111:$U$111,MATCH(calculos_quadro!$G$318,calculos_quadro!$B$96:$U$96,0)),""))</f>
        <v/>
      </c>
      <c r="W52" s="446" t="str">
        <f>IF(calculos_quadro!$G$319="","",IFERROR(INDEX(calculos_quadro!$B$111:$U$111,MATCH(calculos_quadro!$G$319,calculos_quadro!$B$96:$U$96,0)),""))</f>
        <v/>
      </c>
      <c r="X52" s="446" t="str">
        <f>IF(calculos_quadro!$G$320="","",IFERROR(INDEX(calculos_quadro!$B$111:$U$111,MATCH(calculos_quadro!$G$320,calculos_quadro!$B$96:$U$96,0)),""))</f>
        <v/>
      </c>
      <c r="Y52" s="446" t="str">
        <f>IF(calculos_quadro!$G$321="","",IFERROR(INDEX(calculos_quadro!$B$111:$U$111,MATCH(calculos_quadro!$G$321,calculos_quadro!$B$96:$U$96,0)),""))</f>
        <v/>
      </c>
      <c r="Z52" s="446" t="str">
        <f>IF(calculos_quadro!$G$322="","",IFERROR(INDEX(calculos_quadro!$B$111:$U$111,MATCH(calculos_quadro!$G$322,calculos_quadro!$B$96:$U$96,0)),""))</f>
        <v/>
      </c>
    </row>
    <row r="53" ht="15.75" customHeight="1">
      <c r="B53" s="517" t="inlineStr">
        <is>
          <t xml:space="preserve">OCUPAÇÃO (P.P)</t>
        </is>
      </c>
      <c r="C53" s="168"/>
      <c r="D53" s="298" t="inlineStr">
        <is>
          <t xml:space="preserve">Posições Disponíveis</t>
        </is>
      </c>
      <c r="E53" s="297"/>
      <c r="F53" s="297"/>
      <c r="G53" s="297"/>
      <c r="H53" s="306" t="str">
        <f>IF(calculos_quadro!$G$307="","",IFERROR(INDEX(calculos_quadro!$B$112:$U$112,MATCH(calculos_quadro!$G$307,calculos_quadro!$B$96:$U$96,0)),""))</f>
        <v/>
      </c>
      <c r="I53" s="306" t="str">
        <f>IF(calculos_quadro!$G$308="","",IFERROR(INDEX(calculos_quadro!$B$112:$U$112,MATCH(calculos_quadro!$G$308,calculos_quadro!$B$96:$U$96,0)),""))</f>
        <v>—</v>
      </c>
      <c r="J53" s="306" t="str">
        <f>IF(calculos_quadro!$G$309="","",IFERROR(INDEX(calculos_quadro!$B$112:$U$112,MATCH(calculos_quadro!$G$309,calculos_quadro!$B$96:$U$96,0)),""))</f>
        <v>—</v>
      </c>
      <c r="K53" s="305"/>
      <c r="L53" s="306" t="str">
        <f>IF(calculos_quadro!$G$310="","",IFERROR(INDEX(calculos_quadro!$B$112:$U$112,MATCH(calculos_quadro!$G$310,calculos_quadro!$B$96:$U$96,0)),""))</f>
        <v>—</v>
      </c>
      <c r="M53" s="306" t="str">
        <f>IF(calculos_quadro!$G$311="","",IFERROR(INDEX(calculos_quadro!$B$112:$U$112,MATCH(calculos_quadro!$G$311,calculos_quadro!$B$96:$U$96,0)),""))</f>
        <v/>
      </c>
      <c r="N53" s="306" t="str">
        <f>IF(calculos_quadro!$G$312="","",IFERROR(INDEX(calculos_quadro!$B$112:$U$112,MATCH(calculos_quadro!$G$312,calculos_quadro!$B$96:$U$96,0)),""))</f>
        <v/>
      </c>
      <c r="O53" s="306" t="str">
        <f>IF(calculos_quadro!$G$313="","",IFERROR(INDEX(calculos_quadro!$B$112:$U$112,MATCH(calculos_quadro!$G$313,calculos_quadro!$B$96:$U$96,0)),""))</f>
        <v/>
      </c>
      <c r="P53" s="305"/>
      <c r="Q53" s="306" t="str">
        <f>IF(calculos_quadro!$G$314="","",IFERROR(INDEX(calculos_quadro!$B$112:$U$112,MATCH(calculos_quadro!$G$314,calculos_quadro!$B$96:$U$96,0)),""))</f>
        <v/>
      </c>
      <c r="R53" s="306" t="str">
        <f>IF(calculos_quadro!$G$315="","",IFERROR(INDEX(calculos_quadro!$B$112:$U$112,MATCH(calculos_quadro!$G$315,calculos_quadro!$B$96:$U$96,0)),""))</f>
        <v/>
      </c>
      <c r="S53" s="306" t="str">
        <f>IF(calculos_quadro!$G$316="","",IFERROR(INDEX(calculos_quadro!$B$112:$U$112,MATCH(calculos_quadro!$G$316,calculos_quadro!$B$96:$U$96,0)),""))</f>
        <v/>
      </c>
      <c r="T53" s="306" t="str">
        <f>IF(calculos_quadro!$G$317="","",IFERROR(INDEX(calculos_quadro!$B$112:$U$112,MATCH(calculos_quadro!$G$317,calculos_quadro!$B$96:$U$96,0)),""))</f>
        <v/>
      </c>
      <c r="U53" s="305"/>
      <c r="V53" s="306" t="str">
        <f>IF(calculos_quadro!$G$318="","",IFERROR(INDEX(calculos_quadro!$B$112:$U$112,MATCH(calculos_quadro!$G$318,calculos_quadro!$B$96:$U$96,0)),""))</f>
        <v/>
      </c>
      <c r="W53" s="306" t="str">
        <f>IF(calculos_quadro!$G$319="","",IFERROR(INDEX(calculos_quadro!$B$112:$U$112,MATCH(calculos_quadro!$G$319,calculos_quadro!$B$96:$U$96,0)),""))</f>
        <v/>
      </c>
      <c r="X53" s="306" t="str">
        <f>IF(calculos_quadro!$G$320="","",IFERROR(INDEX(calculos_quadro!$B$112:$U$112,MATCH(calculos_quadro!$G$320,calculos_quadro!$B$96:$U$96,0)),""))</f>
        <v/>
      </c>
      <c r="Y53" s="306" t="str">
        <f>IF(calculos_quadro!$G$321="","",IFERROR(INDEX(calculos_quadro!$B$112:$U$112,MATCH(calculos_quadro!$G$321,calculos_quadro!$B$96:$U$96,0)),""))</f>
        <v/>
      </c>
      <c r="Z53" s="306" t="str">
        <f>IF(calculos_quadro!$G$322="","",IFERROR(INDEX(calculos_quadro!$B$112:$U$112,MATCH(calculos_quadro!$G$322,calculos_quadro!$B$96:$U$96,0)),""))</f>
        <v/>
      </c>
    </row>
    <row r="54" ht="15.75" customHeight="1">
      <c r="B54" s="518"/>
      <c r="C54" s="175"/>
      <c r="D54" s="315" t="inlineStr">
        <is>
          <t xml:space="preserve">Posições Ocupadas</t>
        </is>
      </c>
      <c r="E54" s="314"/>
      <c r="F54" s="314"/>
      <c r="G54" s="314"/>
      <c r="H54" s="323" t="str">
        <f>IF(calculos_quadro!$G$307="","",IFERROR(INDEX(calculos_quadro!$B$113:$U$113,MATCH(calculos_quadro!$G$307,calculos_quadro!$B$96:$U$96,0)),""))</f>
        <v/>
      </c>
      <c r="I54" s="323" t="str">
        <f>IF(calculos_quadro!$G$308="","",IFERROR(INDEX(calculos_quadro!$B$113:$U$113,MATCH(calculos_quadro!$G$308,calculos_quadro!$B$96:$U$96,0)),""))</f>
        <v>—</v>
      </c>
      <c r="J54" s="323" t="str">
        <f>IF(calculos_quadro!$G$309="","",IFERROR(INDEX(calculos_quadro!$B$113:$U$113,MATCH(calculos_quadro!$G$309,calculos_quadro!$B$96:$U$96,0)),""))</f>
        <v/>
      </c>
      <c r="K54" s="322"/>
      <c r="L54" s="323" t="str">
        <f>IF(calculos_quadro!$G$310="","",IFERROR(INDEX(calculos_quadro!$B$113:$U$113,MATCH(calculos_quadro!$G$310,calculos_quadro!$B$96:$U$96,0)),""))</f>
        <v/>
      </c>
      <c r="M54" s="323" t="str">
        <f>IF(calculos_quadro!$G$311="","",IFERROR(INDEX(calculos_quadro!$B$113:$U$113,MATCH(calculos_quadro!$G$311,calculos_quadro!$B$96:$U$96,0)),""))</f>
        <v/>
      </c>
      <c r="N54" s="323" t="str">
        <f>IF(calculos_quadro!$G$312="","",IFERROR(INDEX(calculos_quadro!$B$113:$U$113,MATCH(calculos_quadro!$G$312,calculos_quadro!$B$96:$U$96,0)),""))</f>
        <v/>
      </c>
      <c r="O54" s="323" t="str">
        <f>IF(calculos_quadro!$G$313="","",IFERROR(INDEX(calculos_quadro!$B$113:$U$113,MATCH(calculos_quadro!$G$313,calculos_quadro!$B$96:$U$96,0)),""))</f>
        <v/>
      </c>
      <c r="P54" s="322"/>
      <c r="Q54" s="323" t="str">
        <f>IF(calculos_quadro!$G$314="","",IFERROR(INDEX(calculos_quadro!$B$113:$U$113,MATCH(calculos_quadro!$G$314,calculos_quadro!$B$96:$U$96,0)),""))</f>
        <v/>
      </c>
      <c r="R54" s="323" t="str">
        <f>IF(calculos_quadro!$G$315="","",IFERROR(INDEX(calculos_quadro!$B$113:$U$113,MATCH(calculos_quadro!$G$315,calculos_quadro!$B$96:$U$96,0)),""))</f>
        <v/>
      </c>
      <c r="S54" s="323" t="str">
        <f>IF(calculos_quadro!$G$316="","",IFERROR(INDEX(calculos_quadro!$B$113:$U$113,MATCH(calculos_quadro!$G$316,calculos_quadro!$B$96:$U$96,0)),""))</f>
        <v/>
      </c>
      <c r="T54" s="323" t="str">
        <f>IF(calculos_quadro!$G$317="","",IFERROR(INDEX(calculos_quadro!$B$113:$U$113,MATCH(calculos_quadro!$G$317,calculos_quadro!$B$96:$U$96,0)),""))</f>
        <v/>
      </c>
      <c r="U54" s="322"/>
      <c r="V54" s="323" t="str">
        <f>IF(calculos_quadro!$G$318="","",IFERROR(INDEX(calculos_quadro!$B$113:$U$113,MATCH(calculos_quadro!$G$318,calculos_quadro!$B$96:$U$96,0)),""))</f>
        <v/>
      </c>
      <c r="W54" s="323" t="str">
        <f>IF(calculos_quadro!$G$319="","",IFERROR(INDEX(calculos_quadro!$B$113:$U$113,MATCH(calculos_quadro!$G$319,calculos_quadro!$B$96:$U$96,0)),""))</f>
        <v/>
      </c>
      <c r="X54" s="323" t="str">
        <f>IF(calculos_quadro!$G$320="","",IFERROR(INDEX(calculos_quadro!$B$113:$U$113,MATCH(calculos_quadro!$G$320,calculos_quadro!$B$96:$U$96,0)),""))</f>
        <v/>
      </c>
      <c r="Y54" s="323" t="str">
        <f>IF(calculos_quadro!$G$321="","",IFERROR(INDEX(calculos_quadro!$B$113:$U$113,MATCH(calculos_quadro!$G$321,calculos_quadro!$B$96:$U$96,0)),""))</f>
        <v/>
      </c>
      <c r="Z54" s="323" t="str">
        <f>IF(calculos_quadro!$G$322="","",IFERROR(INDEX(calculos_quadro!$B$113:$U$113,MATCH(calculos_quadro!$G$322,calculos_quadro!$B$96:$U$96,0)),""))</f>
        <v/>
      </c>
    </row>
    <row r="55" ht="15.75" customHeight="1">
      <c r="B55" s="519"/>
      <c r="C55" s="186"/>
      <c r="D55" s="334" t="inlineStr">
        <is>
          <t xml:space="preserve">Taxa de Ocupação</t>
        </is>
      </c>
      <c r="E55" s="333"/>
      <c r="F55" s="333"/>
      <c r="G55" s="333"/>
      <c r="H55" s="346" t="str">
        <f>IF(calculos_quadro!$G$307="","",IFERROR(INDEX(calculos_quadro!$B$114:$U$114,MATCH(calculos_quadro!$G$307,calculos_quadro!$B$96:$U$96,0)),""))</f>
        <v/>
      </c>
      <c r="I55" s="346" t="str">
        <f>IF(calculos_quadro!$G$308="","",IFERROR(INDEX(calculos_quadro!$B$114:$U$114,MATCH(calculos_quadro!$G$308,calculos_quadro!$B$96:$U$96,0)),""))</f>
        <v>—</v>
      </c>
      <c r="J55" s="346" t="str">
        <f>IF(calculos_quadro!$G$309="","",IFERROR(INDEX(calculos_quadro!$B$114:$U$114,MATCH(calculos_quadro!$G$309,calculos_quadro!$B$96:$U$96,0)),""))</f>
        <v>—</v>
      </c>
      <c r="K55" s="345"/>
      <c r="L55" s="346" t="str">
        <f>IF(calculos_quadro!$G$310="","",IFERROR(INDEX(calculos_quadro!$B$114:$U$114,MATCH(calculos_quadro!$G$310,calculos_quadro!$B$96:$U$96,0)),""))</f>
        <v>—</v>
      </c>
      <c r="M55" s="346" t="str">
        <f>IF(calculos_quadro!$G$311="","",IFERROR(INDEX(calculos_quadro!$B$114:$U$114,MATCH(calculos_quadro!$G$311,calculos_quadro!$B$96:$U$96,0)),""))</f>
        <v/>
      </c>
      <c r="N55" s="346" t="str">
        <f>IF(calculos_quadro!$G$312="","",IFERROR(INDEX(calculos_quadro!$B$114:$U$114,MATCH(calculos_quadro!$G$312,calculos_quadro!$B$96:$U$96,0)),""))</f>
        <v/>
      </c>
      <c r="O55" s="346" t="str">
        <f>IF(calculos_quadro!$G$313="","",IFERROR(INDEX(calculos_quadro!$B$114:$U$114,MATCH(calculos_quadro!$G$313,calculos_quadro!$B$96:$U$96,0)),""))</f>
        <v/>
      </c>
      <c r="P55" s="345"/>
      <c r="Q55" s="346" t="str">
        <f>IF(calculos_quadro!$G$314="","",IFERROR(INDEX(calculos_quadro!$B$114:$U$114,MATCH(calculos_quadro!$G$314,calculos_quadro!$B$96:$U$96,0)),""))</f>
        <v/>
      </c>
      <c r="R55" s="346" t="str">
        <f>IF(calculos_quadro!$G$315="","",IFERROR(INDEX(calculos_quadro!$B$114:$U$114,MATCH(calculos_quadro!$G$315,calculos_quadro!$B$96:$U$96,0)),""))</f>
        <v/>
      </c>
      <c r="S55" s="346" t="str">
        <f>IF(calculos_quadro!$G$316="","",IFERROR(INDEX(calculos_quadro!$B$114:$U$114,MATCH(calculos_quadro!$G$316,calculos_quadro!$B$96:$U$96,0)),""))</f>
        <v/>
      </c>
      <c r="T55" s="346" t="str">
        <f>IF(calculos_quadro!$G$317="","",IFERROR(INDEX(calculos_quadro!$B$114:$U$114,MATCH(calculos_quadro!$G$317,calculos_quadro!$B$96:$U$96,0)),""))</f>
        <v/>
      </c>
      <c r="U55" s="345"/>
      <c r="V55" s="346" t="str">
        <f>IF(calculos_quadro!$G$318="","",IFERROR(INDEX(calculos_quadro!$B$114:$U$114,MATCH(calculos_quadro!$G$318,calculos_quadro!$B$96:$U$96,0)),""))</f>
        <v/>
      </c>
      <c r="W55" s="346" t="str">
        <f>IF(calculos_quadro!$G$319="","",IFERROR(INDEX(calculos_quadro!$B$114:$U$114,MATCH(calculos_quadro!$G$319,calculos_quadro!$B$96:$U$96,0)),""))</f>
        <v/>
      </c>
      <c r="X55" s="346" t="str">
        <f>IF(calculos_quadro!$G$320="","",IFERROR(INDEX(calculos_quadro!$B$114:$U$114,MATCH(calculos_quadro!$G$320,calculos_quadro!$B$96:$U$96,0)),""))</f>
        <v/>
      </c>
      <c r="Y55" s="346" t="str">
        <f>IF(calculos_quadro!$G$321="","",IFERROR(INDEX(calculos_quadro!$B$114:$U$114,MATCH(calculos_quadro!$G$321,calculos_quadro!$B$96:$U$96,0)),""))</f>
        <v/>
      </c>
      <c r="Z55" s="346" t="str">
        <f>IF(calculos_quadro!$G$322="","",IFERROR(INDEX(calculos_quadro!$B$114:$U$114,MATCH(calculos_quadro!$G$322,calculos_quadro!$B$96:$U$96,0)),""))</f>
        <v/>
      </c>
    </row>
    <row r="56" ht="15.75" customHeight="1">
      <c r="B56" s="526" t="inlineStr">
        <is>
          <t xml:space="preserve">GENTE</t>
        </is>
      </c>
      <c r="C56" s="240"/>
      <c r="D56" s="465" t="inlineStr">
        <is>
          <t xml:space="preserve">Efetivo Op.</t>
        </is>
      </c>
      <c r="E56" s="464"/>
      <c r="F56" s="464"/>
      <c r="G56" s="464"/>
      <c r="H56" s="473" t="str">
        <f>IF(calculos_quadro!$G$307="","",IFERROR(INDEX(calculos_quadro!$B$115:$U$115,MATCH(calculos_quadro!$G$307,calculos_quadro!$B$96:$U$96,0)),""))</f>
        <v/>
      </c>
      <c r="I56" s="473" t="str">
        <f>IF(calculos_quadro!$G$308="","",IFERROR(INDEX(calculos_quadro!$B$115:$U$115,MATCH(calculos_quadro!$G$308,calculos_quadro!$B$96:$U$96,0)),""))</f>
        <v/>
      </c>
      <c r="J56" s="473" t="str">
        <f>IF(calculos_quadro!$G$309="","",IFERROR(INDEX(calculos_quadro!$B$115:$U$115,MATCH(calculos_quadro!$G$309,calculos_quadro!$B$96:$U$96,0)),""))</f>
        <v/>
      </c>
      <c r="K56" s="472"/>
      <c r="L56" s="473" t="str">
        <f>IF(calculos_quadro!$G$310="","",IFERROR(INDEX(calculos_quadro!$B$115:$U$115,MATCH(calculos_quadro!$G$310,calculos_quadro!$B$96:$U$96,0)),""))</f>
        <v/>
      </c>
      <c r="M56" s="473" t="str">
        <f>IF(calculos_quadro!$G$311="","",IFERROR(INDEX(calculos_quadro!$B$115:$U$115,MATCH(calculos_quadro!$G$311,calculos_quadro!$B$96:$U$96,0)),""))</f>
        <v/>
      </c>
      <c r="N56" s="473" t="str">
        <f>IF(calculos_quadro!$G$312="","",IFERROR(INDEX(calculos_quadro!$B$115:$U$115,MATCH(calculos_quadro!$G$312,calculos_quadro!$B$96:$U$96,0)),""))</f>
        <v/>
      </c>
      <c r="O56" s="473" t="str">
        <f>IF(calculos_quadro!$G$313="","",IFERROR(INDEX(calculos_quadro!$B$115:$U$115,MATCH(calculos_quadro!$G$313,calculos_quadro!$B$96:$U$96,0)),""))</f>
        <v/>
      </c>
      <c r="P56" s="472"/>
      <c r="Q56" s="473" t="str">
        <f>IF(calculos_quadro!$G$314="","",IFERROR(INDEX(calculos_quadro!$B$115:$U$115,MATCH(calculos_quadro!$G$314,calculos_quadro!$B$96:$U$96,0)),""))</f>
        <v/>
      </c>
      <c r="R56" s="473" t="str">
        <f>IF(calculos_quadro!$G$315="","",IFERROR(INDEX(calculos_quadro!$B$115:$U$115,MATCH(calculos_quadro!$G$315,calculos_quadro!$B$96:$U$96,0)),""))</f>
        <v/>
      </c>
      <c r="S56" s="473" t="str">
        <f>IF(calculos_quadro!$G$316="","",IFERROR(INDEX(calculos_quadro!$B$115:$U$115,MATCH(calculos_quadro!$G$316,calculos_quadro!$B$96:$U$96,0)),""))</f>
        <v/>
      </c>
      <c r="T56" s="473" t="str">
        <f>IF(calculos_quadro!$G$317="","",IFERROR(INDEX(calculos_quadro!$B$115:$U$115,MATCH(calculos_quadro!$G$317,calculos_quadro!$B$96:$U$96,0)),""))</f>
        <v/>
      </c>
      <c r="U56" s="472"/>
      <c r="V56" s="473" t="str">
        <f>IF(calculos_quadro!$G$318="","",IFERROR(INDEX(calculos_quadro!$B$115:$U$115,MATCH(calculos_quadro!$G$318,calculos_quadro!$B$96:$U$96,0)),""))</f>
        <v/>
      </c>
      <c r="W56" s="473" t="str">
        <f>IF(calculos_quadro!$G$319="","",IFERROR(INDEX(calculos_quadro!$B$115:$U$115,MATCH(calculos_quadro!$G$319,calculos_quadro!$B$96:$U$96,0)),""))</f>
        <v/>
      </c>
      <c r="X56" s="473" t="str">
        <f>IF(calculos_quadro!$G$320="","",IFERROR(INDEX(calculos_quadro!$B$115:$U$115,MATCH(calculos_quadro!$G$320,calculos_quadro!$B$96:$U$96,0)),""))</f>
        <v/>
      </c>
      <c r="Y56" s="473" t="str">
        <f>IF(calculos_quadro!$G$321="","",IFERROR(INDEX(calculos_quadro!$B$115:$U$115,MATCH(calculos_quadro!$G$321,calculos_quadro!$B$96:$U$96,0)),""))</f>
        <v/>
      </c>
      <c r="Z56" s="473" t="str">
        <f>IF(calculos_quadro!$G$322="","",IFERROR(INDEX(calculos_quadro!$B$115:$U$115,MATCH(calculos_quadro!$G$322,calculos_quadro!$B$96:$U$96,0)),""))</f>
        <v/>
      </c>
    </row>
    <row r="57" ht="15.75" customHeight="1">
      <c r="B57" s="527"/>
      <c r="C57" s="247"/>
      <c r="D57" s="482" t="inlineStr">
        <is>
          <t xml:space="preserve">Falta</t>
        </is>
      </c>
      <c r="E57" s="481"/>
      <c r="F57" s="481"/>
      <c r="G57" s="481"/>
      <c r="H57" s="490">
        <f>IF(calculos_quadro!$G$307="","",IFERROR(INDEX(calculos_quadro!$B$116:$U$116,MATCH(calculos_quadro!$G$307,calculos_quadro!$B$96:$U$96,0)),""))</f>
        <v>0</v>
      </c>
      <c r="I57" s="490">
        <f>IF(calculos_quadro!$G$308="","",IFERROR(INDEX(calculos_quadro!$B$116:$U$116,MATCH(calculos_quadro!$G$308,calculos_quadro!$B$96:$U$96,0)),""))</f>
        <v>0</v>
      </c>
      <c r="J57" s="490">
        <f>IF(calculos_quadro!$G$309="","",IFERROR(INDEX(calculos_quadro!$B$116:$U$116,MATCH(calculos_quadro!$G$309,calculos_quadro!$B$96:$U$96,0)),""))</f>
        <v>0</v>
      </c>
      <c r="K57" s="489"/>
      <c r="L57" s="490">
        <f>IF(calculos_quadro!$G$310="","",IFERROR(INDEX(calculos_quadro!$B$116:$U$116,MATCH(calculos_quadro!$G$310,calculos_quadro!$B$96:$U$96,0)),""))</f>
        <v>0</v>
      </c>
      <c r="M57" s="490">
        <f>IF(calculos_quadro!$G$311="","",IFERROR(INDEX(calculos_quadro!$B$116:$U$116,MATCH(calculos_quadro!$G$311,calculos_quadro!$B$96:$U$96,0)),""))</f>
        <v>0</v>
      </c>
      <c r="N57" s="490" t="str">
        <f>IF(calculos_quadro!$G$312="","",IFERROR(INDEX(calculos_quadro!$B$116:$U$116,MATCH(calculos_quadro!$G$312,calculos_quadro!$B$96:$U$96,0)),""))</f>
        <v/>
      </c>
      <c r="O57" s="490" t="str">
        <f>IF(calculos_quadro!$G$313="","",IFERROR(INDEX(calculos_quadro!$B$116:$U$116,MATCH(calculos_quadro!$G$313,calculos_quadro!$B$96:$U$96,0)),""))</f>
        <v/>
      </c>
      <c r="P57" s="489"/>
      <c r="Q57" s="490" t="str">
        <f>IF(calculos_quadro!$G$314="","",IFERROR(INDEX(calculos_quadro!$B$116:$U$116,MATCH(calculos_quadro!$G$314,calculos_quadro!$B$96:$U$96,0)),""))</f>
        <v/>
      </c>
      <c r="R57" s="490" t="str">
        <f>IF(calculos_quadro!$G$315="","",IFERROR(INDEX(calculos_quadro!$B$116:$U$116,MATCH(calculos_quadro!$G$315,calculos_quadro!$B$96:$U$96,0)),""))</f>
        <v/>
      </c>
      <c r="S57" s="490" t="str">
        <f>IF(calculos_quadro!$G$316="","",IFERROR(INDEX(calculos_quadro!$B$116:$U$116,MATCH(calculos_quadro!$G$316,calculos_quadro!$B$96:$U$96,0)),""))</f>
        <v/>
      </c>
      <c r="T57" s="490" t="str">
        <f>IF(calculos_quadro!$G$317="","",IFERROR(INDEX(calculos_quadro!$B$116:$U$116,MATCH(calculos_quadro!$G$317,calculos_quadro!$B$96:$U$96,0)),""))</f>
        <v/>
      </c>
      <c r="U57" s="489"/>
      <c r="V57" s="490" t="str">
        <f>IF(calculos_quadro!$G$318="","",IFERROR(INDEX(calculos_quadro!$B$116:$U$116,MATCH(calculos_quadro!$G$318,calculos_quadro!$B$96:$U$96,0)),""))</f>
        <v/>
      </c>
      <c r="W57" s="490" t="str">
        <f>IF(calculos_quadro!$G$319="","",IFERROR(INDEX(calculos_quadro!$B$116:$U$116,MATCH(calculos_quadro!$G$319,calculos_quadro!$B$96:$U$96,0)),""))</f>
        <v/>
      </c>
      <c r="X57" s="490" t="str">
        <f>IF(calculos_quadro!$G$320="","",IFERROR(INDEX(calculos_quadro!$B$116:$U$116,MATCH(calculos_quadro!$G$320,calculos_quadro!$B$96:$U$96,0)),""))</f>
        <v/>
      </c>
      <c r="Y57" s="490" t="str">
        <f>IF(calculos_quadro!$G$321="","",IFERROR(INDEX(calculos_quadro!$B$116:$U$116,MATCH(calculos_quadro!$G$321,calculos_quadro!$B$96:$U$96,0)),""))</f>
        <v/>
      </c>
      <c r="Z57" s="490" t="str">
        <f>IF(calculos_quadro!$G$322="","",IFERROR(INDEX(calculos_quadro!$B$116:$U$116,MATCH(calculos_quadro!$G$322,calculos_quadro!$B$96:$U$96,0)),""))</f>
        <v/>
      </c>
    </row>
    <row r="58" ht="15.75" customHeight="1">
      <c r="B58" s="527"/>
      <c r="C58" s="247"/>
      <c r="D58" s="482" t="inlineStr">
        <is>
          <t xml:space="preserve">Absenteísmo (H/H)</t>
        </is>
      </c>
      <c r="E58" s="481"/>
      <c r="F58" s="481"/>
      <c r="G58" s="481"/>
      <c r="H58" s="488">
        <f>IF(calculos_quadro!$G$307="","",IFERROR(INDEX(calculos_quadro!$B$117:$U$117,MATCH(calculos_quadro!$G$307,calculos_quadro!$B$96:$U$96,0)),""))</f>
        <v>0</v>
      </c>
      <c r="I58" s="488">
        <f>IF(calculos_quadro!$G$308="","",IFERROR(INDEX(calculos_quadro!$B$117:$U$117,MATCH(calculos_quadro!$G$308,calculos_quadro!$B$96:$U$96,0)),""))</f>
        <v>0</v>
      </c>
      <c r="J58" s="488">
        <f>IF(calculos_quadro!$G$309="","",IFERROR(INDEX(calculos_quadro!$B$117:$U$117,MATCH(calculos_quadro!$G$309,calculos_quadro!$B$96:$U$96,0)),""))</f>
        <v>0</v>
      </c>
      <c r="K58" s="487"/>
      <c r="L58" s="488">
        <f>IF(calculos_quadro!$G$310="","",IFERROR(INDEX(calculos_quadro!$B$117:$U$117,MATCH(calculos_quadro!$G$310,calculos_quadro!$B$96:$U$96,0)),""))</f>
        <v>0</v>
      </c>
      <c r="M58" s="488">
        <f>IF(calculos_quadro!$G$311="","",IFERROR(INDEX(calculos_quadro!$B$117:$U$117,MATCH(calculos_quadro!$G$311,calculos_quadro!$B$96:$U$96,0)),""))</f>
        <v>0</v>
      </c>
      <c r="N58" s="488" t="str">
        <f>IF(calculos_quadro!$G$312="","",IFERROR(INDEX(calculos_quadro!$B$117:$U$117,MATCH(calculos_quadro!$G$312,calculos_quadro!$B$96:$U$96,0)),""))</f>
        <v/>
      </c>
      <c r="O58" s="488" t="str">
        <f>IF(calculos_quadro!$G$313="","",IFERROR(INDEX(calculos_quadro!$B$117:$U$117,MATCH(calculos_quadro!$G$313,calculos_quadro!$B$96:$U$96,0)),""))</f>
        <v/>
      </c>
      <c r="P58" s="487"/>
      <c r="Q58" s="488" t="str">
        <f>IF(calculos_quadro!$G$314="","",IFERROR(INDEX(calculos_quadro!$B$117:$U$117,MATCH(calculos_quadro!$G$314,calculos_quadro!$B$96:$U$96,0)),""))</f>
        <v/>
      </c>
      <c r="R58" s="488" t="str">
        <f>IF(calculos_quadro!$G$315="","",IFERROR(INDEX(calculos_quadro!$B$117:$U$117,MATCH(calculos_quadro!$G$315,calculos_quadro!$B$96:$U$96,0)),""))</f>
        <v/>
      </c>
      <c r="S58" s="488" t="str">
        <f>IF(calculos_quadro!$G$316="","",IFERROR(INDEX(calculos_quadro!$B$117:$U$117,MATCH(calculos_quadro!$G$316,calculos_quadro!$B$96:$U$96,0)),""))</f>
        <v/>
      </c>
      <c r="T58" s="488" t="str">
        <f>IF(calculos_quadro!$G$317="","",IFERROR(INDEX(calculos_quadro!$B$117:$U$117,MATCH(calculos_quadro!$G$317,calculos_quadro!$B$96:$U$96,0)),""))</f>
        <v/>
      </c>
      <c r="U58" s="487"/>
      <c r="V58" s="488" t="str">
        <f>IF(calculos_quadro!$G$318="","",IFERROR(INDEX(calculos_quadro!$B$117:$U$117,MATCH(calculos_quadro!$G$318,calculos_quadro!$B$96:$U$96,0)),""))</f>
        <v/>
      </c>
      <c r="W58" s="488" t="str">
        <f>IF(calculos_quadro!$G$319="","",IFERROR(INDEX(calculos_quadro!$B$117:$U$117,MATCH(calculos_quadro!$G$319,calculos_quadro!$B$96:$U$96,0)),""))</f>
        <v/>
      </c>
      <c r="X58" s="488" t="str">
        <f>IF(calculos_quadro!$G$320="","",IFERROR(INDEX(calculos_quadro!$B$117:$U$117,MATCH(calculos_quadro!$G$320,calculos_quadro!$B$96:$U$96,0)),""))</f>
        <v/>
      </c>
      <c r="Y58" s="488" t="str">
        <f>IF(calculos_quadro!$G$321="","",IFERROR(INDEX(calculos_quadro!$B$117:$U$117,MATCH(calculos_quadro!$G$321,calculos_quadro!$B$96:$U$96,0)),""))</f>
        <v/>
      </c>
      <c r="Z58" s="488" t="str">
        <f>IF(calculos_quadro!$G$322="","",IFERROR(INDEX(calculos_quadro!$B$117:$U$117,MATCH(calculos_quadro!$G$322,calculos_quadro!$B$96:$U$96,0)),""))</f>
        <v/>
      </c>
    </row>
    <row r="59" ht="15.75" customHeight="1">
      <c r="B59" s="527"/>
      <c r="C59" s="247"/>
      <c r="D59" s="482" t="inlineStr">
        <is>
          <t xml:space="preserve">Folga</t>
        </is>
      </c>
      <c r="E59" s="481"/>
      <c r="F59" s="481"/>
      <c r="G59" s="481"/>
      <c r="H59" s="490">
        <f>IF(calculos_quadro!$G$307="","",IFERROR(INDEX(calculos_quadro!$B$118:$U$118,MATCH(calculos_quadro!$G$307,calculos_quadro!$B$96:$U$96,0)),""))</f>
        <v>0</v>
      </c>
      <c r="I59" s="490">
        <f>IF(calculos_quadro!$G$308="","",IFERROR(INDEX(calculos_quadro!$B$118:$U$118,MATCH(calculos_quadro!$G$308,calculos_quadro!$B$96:$U$96,0)),""))</f>
        <v>0</v>
      </c>
      <c r="J59" s="490">
        <f>IF(calculos_quadro!$G$309="","",IFERROR(INDEX(calculos_quadro!$B$118:$U$118,MATCH(calculos_quadro!$G$309,calculos_quadro!$B$96:$U$96,0)),""))</f>
        <v>0</v>
      </c>
      <c r="K59" s="489"/>
      <c r="L59" s="490">
        <f>IF(calculos_quadro!$G$310="","",IFERROR(INDEX(calculos_quadro!$B$118:$U$118,MATCH(calculos_quadro!$G$310,calculos_quadro!$B$96:$U$96,0)),""))</f>
        <v>0</v>
      </c>
      <c r="M59" s="490">
        <f>IF(calculos_quadro!$G$311="","",IFERROR(INDEX(calculos_quadro!$B$118:$U$118,MATCH(calculos_quadro!$G$311,calculos_quadro!$B$96:$U$96,0)),""))</f>
        <v>0</v>
      </c>
      <c r="N59" s="490" t="str">
        <f>IF(calculos_quadro!$G$312="","",IFERROR(INDEX(calculos_quadro!$B$118:$U$118,MATCH(calculos_quadro!$G$312,calculos_quadro!$B$96:$U$96,0)),""))</f>
        <v/>
      </c>
      <c r="O59" s="490" t="str">
        <f>IF(calculos_quadro!$G$313="","",IFERROR(INDEX(calculos_quadro!$B$118:$U$118,MATCH(calculos_quadro!$G$313,calculos_quadro!$B$96:$U$96,0)),""))</f>
        <v/>
      </c>
      <c r="P59" s="489"/>
      <c r="Q59" s="490" t="str">
        <f>IF(calculos_quadro!$G$314="","",IFERROR(INDEX(calculos_quadro!$B$118:$U$118,MATCH(calculos_quadro!$G$314,calculos_quadro!$B$96:$U$96,0)),""))</f>
        <v/>
      </c>
      <c r="R59" s="490" t="str">
        <f>IF(calculos_quadro!$G$315="","",IFERROR(INDEX(calculos_quadro!$B$118:$U$118,MATCH(calculos_quadro!$G$315,calculos_quadro!$B$96:$U$96,0)),""))</f>
        <v/>
      </c>
      <c r="S59" s="490" t="str">
        <f>IF(calculos_quadro!$G$316="","",IFERROR(INDEX(calculos_quadro!$B$118:$U$118,MATCH(calculos_quadro!$G$316,calculos_quadro!$B$96:$U$96,0)),""))</f>
        <v/>
      </c>
      <c r="T59" s="490" t="str">
        <f>IF(calculos_quadro!$G$317="","",IFERROR(INDEX(calculos_quadro!$B$118:$U$118,MATCH(calculos_quadro!$G$317,calculos_quadro!$B$96:$U$96,0)),""))</f>
        <v/>
      </c>
      <c r="U59" s="489"/>
      <c r="V59" s="490" t="str">
        <f>IF(calculos_quadro!$G$318="","",IFERROR(INDEX(calculos_quadro!$B$118:$U$118,MATCH(calculos_quadro!$G$318,calculos_quadro!$B$96:$U$96,0)),""))</f>
        <v/>
      </c>
      <c r="W59" s="490" t="str">
        <f>IF(calculos_quadro!$G$319="","",IFERROR(INDEX(calculos_quadro!$B$118:$U$118,MATCH(calculos_quadro!$G$319,calculos_quadro!$B$96:$U$96,0)),""))</f>
        <v/>
      </c>
      <c r="X59" s="490" t="str">
        <f>IF(calculos_quadro!$G$320="","",IFERROR(INDEX(calculos_quadro!$B$118:$U$118,MATCH(calculos_quadro!$G$320,calculos_quadro!$B$96:$U$96,0)),""))</f>
        <v/>
      </c>
      <c r="Y59" s="490" t="str">
        <f>IF(calculos_quadro!$G$321="","",IFERROR(INDEX(calculos_quadro!$B$118:$U$118,MATCH(calculos_quadro!$G$321,calculos_quadro!$B$96:$U$96,0)),""))</f>
        <v/>
      </c>
      <c r="Z59" s="490" t="str">
        <f>IF(calculos_quadro!$G$322="","",IFERROR(INDEX(calculos_quadro!$B$118:$U$118,MATCH(calculos_quadro!$G$322,calculos_quadro!$B$96:$U$96,0)),""))</f>
        <v/>
      </c>
    </row>
    <row r="60" ht="15.75" customHeight="1">
      <c r="B60" s="527"/>
      <c r="C60" s="247"/>
      <c r="D60" s="482" t="inlineStr">
        <is>
          <t xml:space="preserve">Férias</t>
        </is>
      </c>
      <c r="E60" s="481"/>
      <c r="F60" s="481"/>
      <c r="G60" s="481"/>
      <c r="H60" s="490">
        <f>IF(calculos_quadro!$G$307="","",IFERROR(INDEX(calculos_quadro!$B$119:$U$119,MATCH(calculos_quadro!$G$307,calculos_quadro!$B$96:$U$96,0)),""))</f>
        <v>0</v>
      </c>
      <c r="I60" s="490">
        <f>IF(calculos_quadro!$G$308="","",IFERROR(INDEX(calculos_quadro!$B$119:$U$119,MATCH(calculos_quadro!$G$308,calculos_quadro!$B$96:$U$96,0)),""))</f>
        <v>0</v>
      </c>
      <c r="J60" s="490">
        <f>IF(calculos_quadro!$G$309="","",IFERROR(INDEX(calculos_quadro!$B$119:$U$119,MATCH(calculos_quadro!$G$309,calculos_quadro!$B$96:$U$96,0)),""))</f>
        <v>0</v>
      </c>
      <c r="K60" s="489"/>
      <c r="L60" s="490">
        <f>IF(calculos_quadro!$G$310="","",IFERROR(INDEX(calculos_quadro!$B$119:$U$119,MATCH(calculos_quadro!$G$310,calculos_quadro!$B$96:$U$96,0)),""))</f>
        <v>0</v>
      </c>
      <c r="M60" s="490">
        <f>IF(calculos_quadro!$G$311="","",IFERROR(INDEX(calculos_quadro!$B$119:$U$119,MATCH(calculos_quadro!$G$311,calculos_quadro!$B$96:$U$96,0)),""))</f>
        <v>0</v>
      </c>
      <c r="N60" s="490" t="str">
        <f>IF(calculos_quadro!$G$312="","",IFERROR(INDEX(calculos_quadro!$B$119:$U$119,MATCH(calculos_quadro!$G$312,calculos_quadro!$B$96:$U$96,0)),""))</f>
        <v/>
      </c>
      <c r="O60" s="490" t="str">
        <f>IF(calculos_quadro!$G$313="","",IFERROR(INDEX(calculos_quadro!$B$119:$U$119,MATCH(calculos_quadro!$G$313,calculos_quadro!$B$96:$U$96,0)),""))</f>
        <v/>
      </c>
      <c r="P60" s="489"/>
      <c r="Q60" s="490" t="str">
        <f>IF(calculos_quadro!$G$314="","",IFERROR(INDEX(calculos_quadro!$B$119:$U$119,MATCH(calculos_quadro!$G$314,calculos_quadro!$B$96:$U$96,0)),""))</f>
        <v/>
      </c>
      <c r="R60" s="490" t="str">
        <f>IF(calculos_quadro!$G$315="","",IFERROR(INDEX(calculos_quadro!$B$119:$U$119,MATCH(calculos_quadro!$G$315,calculos_quadro!$B$96:$U$96,0)),""))</f>
        <v/>
      </c>
      <c r="S60" s="490" t="str">
        <f>IF(calculos_quadro!$G$316="","",IFERROR(INDEX(calculos_quadro!$B$119:$U$119,MATCH(calculos_quadro!$G$316,calculos_quadro!$B$96:$U$96,0)),""))</f>
        <v/>
      </c>
      <c r="T60" s="490" t="str">
        <f>IF(calculos_quadro!$G$317="","",IFERROR(INDEX(calculos_quadro!$B$119:$U$119,MATCH(calculos_quadro!$G$317,calculos_quadro!$B$96:$U$96,0)),""))</f>
        <v/>
      </c>
      <c r="U60" s="489"/>
      <c r="V60" s="490" t="str">
        <f>IF(calculos_quadro!$G$318="","",IFERROR(INDEX(calculos_quadro!$B$119:$U$119,MATCH(calculos_quadro!$G$318,calculos_quadro!$B$96:$U$96,0)),""))</f>
        <v/>
      </c>
      <c r="W60" s="490" t="str">
        <f>IF(calculos_quadro!$G$319="","",IFERROR(INDEX(calculos_quadro!$B$119:$U$119,MATCH(calculos_quadro!$G$319,calculos_quadro!$B$96:$U$96,0)),""))</f>
        <v/>
      </c>
      <c r="X60" s="490" t="str">
        <f>IF(calculos_quadro!$G$320="","",IFERROR(INDEX(calculos_quadro!$B$119:$U$119,MATCH(calculos_quadro!$G$320,calculos_quadro!$B$96:$U$96,0)),""))</f>
        <v/>
      </c>
      <c r="Y60" s="490" t="str">
        <f>IF(calculos_quadro!$G$321="","",IFERROR(INDEX(calculos_quadro!$B$119:$U$119,MATCH(calculos_quadro!$G$321,calculos_quadro!$B$96:$U$96,0)),""))</f>
        <v/>
      </c>
      <c r="Z60" s="490" t="str">
        <f>IF(calculos_quadro!$G$322="","",IFERROR(INDEX(calculos_quadro!$B$119:$U$119,MATCH(calculos_quadro!$G$322,calculos_quadro!$B$96:$U$96,0)),""))</f>
        <v/>
      </c>
    </row>
    <row r="61" ht="15.75" customHeight="1">
      <c r="B61" s="527"/>
      <c r="C61" s="247"/>
      <c r="D61" s="482" t="inlineStr">
        <is>
          <t xml:space="preserve">Desligamento</t>
        </is>
      </c>
      <c r="E61" s="481"/>
      <c r="F61" s="481"/>
      <c r="G61" s="481"/>
      <c r="H61" s="490">
        <f>IF(calculos_quadro!$G$307="","",IFERROR(INDEX(calculos_quadro!$B$120:$U$120,MATCH(calculos_quadro!$G$307,calculos_quadro!$B$96:$U$96,0)),""))</f>
        <v>0</v>
      </c>
      <c r="I61" s="490">
        <f>IF(calculos_quadro!$G$308="","",IFERROR(INDEX(calculos_quadro!$B$120:$U$120,MATCH(calculos_quadro!$G$308,calculos_quadro!$B$96:$U$96,0)),""))</f>
        <v>0</v>
      </c>
      <c r="J61" s="490">
        <f>IF(calculos_quadro!$G$309="","",IFERROR(INDEX(calculos_quadro!$B$120:$U$120,MATCH(calculos_quadro!$G$309,calculos_quadro!$B$96:$U$96,0)),""))</f>
        <v>0</v>
      </c>
      <c r="K61" s="489"/>
      <c r="L61" s="490">
        <f>IF(calculos_quadro!$G$310="","",IFERROR(INDEX(calculos_quadro!$B$120:$U$120,MATCH(calculos_quadro!$G$310,calculos_quadro!$B$96:$U$96,0)),""))</f>
        <v>0</v>
      </c>
      <c r="M61" s="490">
        <f>IF(calculos_quadro!$G$311="","",IFERROR(INDEX(calculos_quadro!$B$120:$U$120,MATCH(calculos_quadro!$G$311,calculos_quadro!$B$96:$U$96,0)),""))</f>
        <v>0</v>
      </c>
      <c r="N61" s="490" t="str">
        <f>IF(calculos_quadro!$G$312="","",IFERROR(INDEX(calculos_quadro!$B$120:$U$120,MATCH(calculos_quadro!$G$312,calculos_quadro!$B$96:$U$96,0)),""))</f>
        <v/>
      </c>
      <c r="O61" s="490" t="str">
        <f>IF(calculos_quadro!$G$313="","",IFERROR(INDEX(calculos_quadro!$B$120:$U$120,MATCH(calculos_quadro!$G$313,calculos_quadro!$B$96:$U$96,0)),""))</f>
        <v/>
      </c>
      <c r="P61" s="489"/>
      <c r="Q61" s="490" t="str">
        <f>IF(calculos_quadro!$G$314="","",IFERROR(INDEX(calculos_quadro!$B$120:$U$120,MATCH(calculos_quadro!$G$314,calculos_quadro!$B$96:$U$96,0)),""))</f>
        <v/>
      </c>
      <c r="R61" s="490" t="str">
        <f>IF(calculos_quadro!$G$315="","",IFERROR(INDEX(calculos_quadro!$B$120:$U$120,MATCH(calculos_quadro!$G$315,calculos_quadro!$B$96:$U$96,0)),""))</f>
        <v/>
      </c>
      <c r="S61" s="490" t="str">
        <f>IF(calculos_quadro!$G$316="","",IFERROR(INDEX(calculos_quadro!$B$120:$U$120,MATCH(calculos_quadro!$G$316,calculos_quadro!$B$96:$U$96,0)),""))</f>
        <v/>
      </c>
      <c r="T61" s="490" t="str">
        <f>IF(calculos_quadro!$G$317="","",IFERROR(INDEX(calculos_quadro!$B$120:$U$120,MATCH(calculos_quadro!$G$317,calculos_quadro!$B$96:$U$96,0)),""))</f>
        <v/>
      </c>
      <c r="U61" s="489"/>
      <c r="V61" s="490" t="str">
        <f>IF(calculos_quadro!$G$318="","",IFERROR(INDEX(calculos_quadro!$B$120:$U$120,MATCH(calculos_quadro!$G$318,calculos_quadro!$B$96:$U$96,0)),""))</f>
        <v/>
      </c>
      <c r="W61" s="490" t="str">
        <f>IF(calculos_quadro!$G$319="","",IFERROR(INDEX(calculos_quadro!$B$120:$U$120,MATCH(calculos_quadro!$G$319,calculos_quadro!$B$96:$U$96,0)),""))</f>
        <v/>
      </c>
      <c r="X61" s="490" t="str">
        <f>IF(calculos_quadro!$G$320="","",IFERROR(INDEX(calculos_quadro!$B$120:$U$120,MATCH(calculos_quadro!$G$320,calculos_quadro!$B$96:$U$96,0)),""))</f>
        <v/>
      </c>
      <c r="Y61" s="490" t="str">
        <f>IF(calculos_quadro!$G$321="","",IFERROR(INDEX(calculos_quadro!$B$120:$U$120,MATCH(calculos_quadro!$G$321,calculos_quadro!$B$96:$U$96,0)),""))</f>
        <v/>
      </c>
      <c r="Z61" s="490" t="str">
        <f>IF(calculos_quadro!$G$322="","",IFERROR(INDEX(calculos_quadro!$B$120:$U$120,MATCH(calculos_quadro!$G$322,calculos_quadro!$B$96:$U$96,0)),""))</f>
        <v/>
      </c>
    </row>
    <row r="62" ht="15.75" customHeight="1">
      <c r="B62" s="527"/>
      <c r="C62" s="247"/>
      <c r="D62" s="482" t="inlineStr">
        <is>
          <t xml:space="preserve">Desvios Comportamentais</t>
        </is>
      </c>
      <c r="E62" s="481"/>
      <c r="F62" s="481"/>
      <c r="G62" s="481"/>
      <c r="H62" s="490">
        <f>IF(calculos_quadro!$G$307="","",IFERROR(INDEX(calculos_quadro!$B$121:$U$121,MATCH(calculos_quadro!$G$307,calculos_quadro!$B$96:$U$96,0)),""))</f>
        <v>0</v>
      </c>
      <c r="I62" s="490">
        <f>IF(calculos_quadro!$G$308="","",IFERROR(INDEX(calculos_quadro!$B$121:$U$121,MATCH(calculos_quadro!$G$308,calculos_quadro!$B$96:$U$96,0)),""))</f>
        <v>0</v>
      </c>
      <c r="J62" s="490">
        <f>IF(calculos_quadro!$G$309="","",IFERROR(INDEX(calculos_quadro!$B$121:$U$121,MATCH(calculos_quadro!$G$309,calculos_quadro!$B$96:$U$96,0)),""))</f>
        <v>0</v>
      </c>
      <c r="K62" s="489"/>
      <c r="L62" s="490">
        <f>IF(calculos_quadro!$G$310="","",IFERROR(INDEX(calculos_quadro!$B$121:$U$121,MATCH(calculos_quadro!$G$310,calculos_quadro!$B$96:$U$96,0)),""))</f>
        <v>0</v>
      </c>
      <c r="M62" s="490">
        <f>IF(calculos_quadro!$G$311="","",IFERROR(INDEX(calculos_quadro!$B$121:$U$121,MATCH(calculos_quadro!$G$311,calculos_quadro!$B$96:$U$96,0)),""))</f>
        <v>0</v>
      </c>
      <c r="N62" s="490" t="str">
        <f>IF(calculos_quadro!$G$312="","",IFERROR(INDEX(calculos_quadro!$B$121:$U$121,MATCH(calculos_quadro!$G$312,calculos_quadro!$B$96:$U$96,0)),""))</f>
        <v/>
      </c>
      <c r="O62" s="490" t="str">
        <f>IF(calculos_quadro!$G$313="","",IFERROR(INDEX(calculos_quadro!$B$121:$U$121,MATCH(calculos_quadro!$G$313,calculos_quadro!$B$96:$U$96,0)),""))</f>
        <v/>
      </c>
      <c r="P62" s="489"/>
      <c r="Q62" s="490" t="str">
        <f>IF(calculos_quadro!$G$314="","",IFERROR(INDEX(calculos_quadro!$B$121:$U$121,MATCH(calculos_quadro!$G$314,calculos_quadro!$B$96:$U$96,0)),""))</f>
        <v/>
      </c>
      <c r="R62" s="490" t="str">
        <f>IF(calculos_quadro!$G$315="","",IFERROR(INDEX(calculos_quadro!$B$121:$U$121,MATCH(calculos_quadro!$G$315,calculos_quadro!$B$96:$U$96,0)),""))</f>
        <v/>
      </c>
      <c r="S62" s="490" t="str">
        <f>IF(calculos_quadro!$G$316="","",IFERROR(INDEX(calculos_quadro!$B$121:$U$121,MATCH(calculos_quadro!$G$316,calculos_quadro!$B$96:$U$96,0)),""))</f>
        <v/>
      </c>
      <c r="T62" s="490" t="str">
        <f>IF(calculos_quadro!$G$317="","",IFERROR(INDEX(calculos_quadro!$B$121:$U$121,MATCH(calculos_quadro!$G$317,calculos_quadro!$B$96:$U$96,0)),""))</f>
        <v/>
      </c>
      <c r="U62" s="489"/>
      <c r="V62" s="490" t="str">
        <f>IF(calculos_quadro!$G$318="","",IFERROR(INDEX(calculos_quadro!$B$121:$U$121,MATCH(calculos_quadro!$G$318,calculos_quadro!$B$96:$U$96,0)),""))</f>
        <v/>
      </c>
      <c r="W62" s="490" t="str">
        <f>IF(calculos_quadro!$G$319="","",IFERROR(INDEX(calculos_quadro!$B$121:$U$121,MATCH(calculos_quadro!$G$319,calculos_quadro!$B$96:$U$96,0)),""))</f>
        <v/>
      </c>
      <c r="X62" s="490" t="str">
        <f>IF(calculos_quadro!$G$320="","",IFERROR(INDEX(calculos_quadro!$B$121:$U$121,MATCH(calculos_quadro!$G$320,calculos_quadro!$B$96:$U$96,0)),""))</f>
        <v/>
      </c>
      <c r="Y62" s="490" t="str">
        <f>IF(calculos_quadro!$G$321="","",IFERROR(INDEX(calculos_quadro!$B$121:$U$121,MATCH(calculos_quadro!$G$321,calculos_quadro!$B$96:$U$96,0)),""))</f>
        <v/>
      </c>
      <c r="Z62" s="490" t="str">
        <f>IF(calculos_quadro!$G$322="","",IFERROR(INDEX(calculos_quadro!$B$121:$U$121,MATCH(calculos_quadro!$G$322,calculos_quadro!$B$96:$U$96,0)),""))</f>
        <v/>
      </c>
    </row>
    <row r="63" ht="15.75" customHeight="1">
      <c r="B63" s="527"/>
      <c r="C63" s="247"/>
      <c r="D63" s="482" t="inlineStr">
        <is>
          <t xml:space="preserve">Acidentes CAF</t>
        </is>
      </c>
      <c r="E63" s="481"/>
      <c r="F63" s="481"/>
      <c r="G63" s="481"/>
      <c r="H63" s="490">
        <f>IF(calculos_quadro!$G$307="","",IFERROR(INDEX(calculos_quadro!$B$122:$U$122,MATCH(calculos_quadro!$G$307,calculos_quadro!$B$96:$U$96,0)),""))</f>
        <v>0</v>
      </c>
      <c r="I63" s="490">
        <f>IF(calculos_quadro!$G$308="","",IFERROR(INDEX(calculos_quadro!$B$122:$U$122,MATCH(calculos_quadro!$G$308,calculos_quadro!$B$96:$U$96,0)),""))</f>
        <v>0</v>
      </c>
      <c r="J63" s="490">
        <f>IF(calculos_quadro!$G$309="","",IFERROR(INDEX(calculos_quadro!$B$122:$U$122,MATCH(calculos_quadro!$G$309,calculos_quadro!$B$96:$U$96,0)),""))</f>
        <v>0</v>
      </c>
      <c r="K63" s="489"/>
      <c r="L63" s="490">
        <f>IF(calculos_quadro!$G$310="","",IFERROR(INDEX(calculos_quadro!$B$122:$U$122,MATCH(calculos_quadro!$G$310,calculos_quadro!$B$96:$U$96,0)),""))</f>
        <v>0</v>
      </c>
      <c r="M63" s="490">
        <f>IF(calculos_quadro!$G$311="","",IFERROR(INDEX(calculos_quadro!$B$122:$U$122,MATCH(calculos_quadro!$G$311,calculos_quadro!$B$96:$U$96,0)),""))</f>
        <v>0</v>
      </c>
      <c r="N63" s="490" t="str">
        <f>IF(calculos_quadro!$G$312="","",IFERROR(INDEX(calculos_quadro!$B$122:$U$122,MATCH(calculos_quadro!$G$312,calculos_quadro!$B$96:$U$96,0)),""))</f>
        <v/>
      </c>
      <c r="O63" s="490" t="str">
        <f>IF(calculos_quadro!$G$313="","",IFERROR(INDEX(calculos_quadro!$B$122:$U$122,MATCH(calculos_quadro!$G$313,calculos_quadro!$B$96:$U$96,0)),""))</f>
        <v/>
      </c>
      <c r="P63" s="489"/>
      <c r="Q63" s="490" t="str">
        <f>IF(calculos_quadro!$G$314="","",IFERROR(INDEX(calculos_quadro!$B$122:$U$122,MATCH(calculos_quadro!$G$314,calculos_quadro!$B$96:$U$96,0)),""))</f>
        <v/>
      </c>
      <c r="R63" s="490" t="str">
        <f>IF(calculos_quadro!$G$315="","",IFERROR(INDEX(calculos_quadro!$B$122:$U$122,MATCH(calculos_quadro!$G$315,calculos_quadro!$B$96:$U$96,0)),""))</f>
        <v/>
      </c>
      <c r="S63" s="490" t="str">
        <f>IF(calculos_quadro!$G$316="","",IFERROR(INDEX(calculos_quadro!$B$122:$U$122,MATCH(calculos_quadro!$G$316,calculos_quadro!$B$96:$U$96,0)),""))</f>
        <v/>
      </c>
      <c r="T63" s="490" t="str">
        <f>IF(calculos_quadro!$G$317="","",IFERROR(INDEX(calculos_quadro!$B$122:$U$122,MATCH(calculos_quadro!$G$317,calculos_quadro!$B$96:$U$96,0)),""))</f>
        <v/>
      </c>
      <c r="U63" s="489"/>
      <c r="V63" s="490" t="str">
        <f>IF(calculos_quadro!$G$318="","",IFERROR(INDEX(calculos_quadro!$B$122:$U$122,MATCH(calculos_quadro!$G$318,calculos_quadro!$B$96:$U$96,0)),""))</f>
        <v/>
      </c>
      <c r="W63" s="490" t="str">
        <f>IF(calculos_quadro!$G$319="","",IFERROR(INDEX(calculos_quadro!$B$122:$U$122,MATCH(calculos_quadro!$G$319,calculos_quadro!$B$96:$U$96,0)),""))</f>
        <v/>
      </c>
      <c r="X63" s="490" t="str">
        <f>IF(calculos_quadro!$G$320="","",IFERROR(INDEX(calculos_quadro!$B$122:$U$122,MATCH(calculos_quadro!$G$320,calculos_quadro!$B$96:$U$96,0)),""))</f>
        <v/>
      </c>
      <c r="Y63" s="490" t="str">
        <f>IF(calculos_quadro!$G$321="","",IFERROR(INDEX(calculos_quadro!$B$122:$U$122,MATCH(calculos_quadro!$G$321,calculos_quadro!$B$96:$U$96,0)),""))</f>
        <v/>
      </c>
      <c r="Z63" s="490" t="str">
        <f>IF(calculos_quadro!$G$322="","",IFERROR(INDEX(calculos_quadro!$B$122:$U$122,MATCH(calculos_quadro!$G$322,calculos_quadro!$B$96:$U$96,0)),""))</f>
        <v/>
      </c>
    </row>
    <row r="64" ht="15.75" customHeight="1">
      <c r="B64" s="528"/>
      <c r="C64" s="258"/>
      <c r="D64" s="501" t="inlineStr">
        <is>
          <t xml:space="preserve">Acidentes SAF</t>
        </is>
      </c>
      <c r="E64" s="500"/>
      <c r="F64" s="500"/>
      <c r="G64" s="500"/>
      <c r="H64" s="509">
        <f>IF(calculos_quadro!$G$307="","",IFERROR(INDEX(calculos_quadro!$B$123:$U$123,MATCH(calculos_quadro!$G$307,calculos_quadro!$B$96:$U$96,0)),""))</f>
        <v>0</v>
      </c>
      <c r="I64" s="509">
        <f>IF(calculos_quadro!$G$308="","",IFERROR(INDEX(calculos_quadro!$B$123:$U$123,MATCH(calculos_quadro!$G$308,calculos_quadro!$B$96:$U$96,0)),""))</f>
        <v>0</v>
      </c>
      <c r="J64" s="509">
        <f>IF(calculos_quadro!$G$309="","",IFERROR(INDEX(calculos_quadro!$B$123:$U$123,MATCH(calculos_quadro!$G$309,calculos_quadro!$B$96:$U$96,0)),""))</f>
        <v>0</v>
      </c>
      <c r="K64" s="508"/>
      <c r="L64" s="509">
        <f>IF(calculos_quadro!$G$310="","",IFERROR(INDEX(calculos_quadro!$B$123:$U$123,MATCH(calculos_quadro!$G$310,calculos_quadro!$B$96:$U$96,0)),""))</f>
        <v>0</v>
      </c>
      <c r="M64" s="509">
        <f>IF(calculos_quadro!$G$311="","",IFERROR(INDEX(calculos_quadro!$B$123:$U$123,MATCH(calculos_quadro!$G$311,calculos_quadro!$B$96:$U$96,0)),""))</f>
        <v>0</v>
      </c>
      <c r="N64" s="509" t="str">
        <f>IF(calculos_quadro!$G$312="","",IFERROR(INDEX(calculos_quadro!$B$123:$U$123,MATCH(calculos_quadro!$G$312,calculos_quadro!$B$96:$U$96,0)),""))</f>
        <v/>
      </c>
      <c r="O64" s="509" t="str">
        <f>IF(calculos_quadro!$G$313="","",IFERROR(INDEX(calculos_quadro!$B$123:$U$123,MATCH(calculos_quadro!$G$313,calculos_quadro!$B$96:$U$96,0)),""))</f>
        <v/>
      </c>
      <c r="P64" s="508"/>
      <c r="Q64" s="509" t="str">
        <f>IF(calculos_quadro!$G$314="","",IFERROR(INDEX(calculos_quadro!$B$123:$U$123,MATCH(calculos_quadro!$G$314,calculos_quadro!$B$96:$U$96,0)),""))</f>
        <v/>
      </c>
      <c r="R64" s="509" t="str">
        <f>IF(calculos_quadro!$G$315="","",IFERROR(INDEX(calculos_quadro!$B$123:$U$123,MATCH(calculos_quadro!$G$315,calculos_quadro!$B$96:$U$96,0)),""))</f>
        <v/>
      </c>
      <c r="S64" s="509" t="str">
        <f>IF(calculos_quadro!$G$316="","",IFERROR(INDEX(calculos_quadro!$B$123:$U$123,MATCH(calculos_quadro!$G$316,calculos_quadro!$B$96:$U$96,0)),""))</f>
        <v/>
      </c>
      <c r="T64" s="509" t="str">
        <f>IF(calculos_quadro!$G$317="","",IFERROR(INDEX(calculos_quadro!$B$123:$U$123,MATCH(calculos_quadro!$G$317,calculos_quadro!$B$96:$U$96,0)),""))</f>
        <v/>
      </c>
      <c r="U64" s="508"/>
      <c r="V64" s="509" t="str">
        <f>IF(calculos_quadro!$G$318="","",IFERROR(INDEX(calculos_quadro!$B$123:$U$123,MATCH(calculos_quadro!$G$318,calculos_quadro!$B$96:$U$96,0)),""))</f>
        <v/>
      </c>
      <c r="W64" s="509" t="str">
        <f>IF(calculos_quadro!$G$319="","",IFERROR(INDEX(calculos_quadro!$B$123:$U$123,MATCH(calculos_quadro!$G$319,calculos_quadro!$B$96:$U$96,0)),""))</f>
        <v/>
      </c>
      <c r="X64" s="509" t="str">
        <f>IF(calculos_quadro!$G$320="","",IFERROR(INDEX(calculos_quadro!$B$123:$U$123,MATCH(calculos_quadro!$G$320,calculos_quadro!$B$96:$U$96,0)),""))</f>
        <v/>
      </c>
      <c r="Y64" s="509" t="str">
        <f>IF(calculos_quadro!$G$321="","",IFERROR(INDEX(calculos_quadro!$B$123:$U$123,MATCH(calculos_quadro!$G$321,calculos_quadro!$B$96:$U$96,0)),""))</f>
        <v/>
      </c>
      <c r="Z64" s="509" t="str">
        <f>IF(calculos_quadro!$G$322="","",IFERROR(INDEX(calculos_quadro!$B$123:$U$123,MATCH(calculos_quadro!$G$322,calculos_quadro!$B$96:$U$96,0)),""))</f>
        <v/>
      </c>
    </row>
    <row r="65">
      <c r="B65" s="36" t="inlineStr">
        <is>
          <t xml:space="preserve">Fluxos: soma do mês · Estoques (backlog, posições, efetivo): último dado do mês · TOTAL CD: posições disponíveis = capacidade física do CD; taxa = ocupadas ÷ capacidade.</t>
        </is>
      </c>
    </row>
  </sheetData>
  <sheetProtection password="CC30" sheet="1" objects="1" scenarios="1"/>
  <mergeCells count="383">
    <mergeCell ref="G1:U1"/>
    <mergeCell ref="V1:AA1"/>
    <mergeCell ref="B3:C3"/>
    <mergeCell ref="D3:I3"/>
    <mergeCell ref="Q3:Z3"/>
    <mergeCell ref="B5:Z5"/>
    <mergeCell ref="B6:C6"/>
    <mergeCell ref="D6:G6"/>
    <mergeCell ref="H6:I6"/>
    <mergeCell ref="J6:L6"/>
    <mergeCell ref="M6:N6"/>
    <mergeCell ref="O6:Q6"/>
    <mergeCell ref="R6:S6"/>
    <mergeCell ref="T6:V6"/>
    <mergeCell ref="W6:X6"/>
    <mergeCell ref="Y6:Z6"/>
    <mergeCell ref="D7:G7"/>
    <mergeCell ref="H7:I7"/>
    <mergeCell ref="J7:L7"/>
    <mergeCell ref="M7:N7"/>
    <mergeCell ref="O7:Q7"/>
    <mergeCell ref="R7:S7"/>
    <mergeCell ref="T7:V7"/>
    <mergeCell ref="W7:X7"/>
    <mergeCell ref="Y7:Z7"/>
    <mergeCell ref="D8:G8"/>
    <mergeCell ref="H8:I8"/>
    <mergeCell ref="J8:L8"/>
    <mergeCell ref="M8:N8"/>
    <mergeCell ref="O8:Q8"/>
    <mergeCell ref="R8:S8"/>
    <mergeCell ref="T8:V8"/>
    <mergeCell ref="W8:X8"/>
    <mergeCell ref="Y8:Z8"/>
    <mergeCell ref="D9:G9"/>
    <mergeCell ref="H9:I9"/>
    <mergeCell ref="J9:L9"/>
    <mergeCell ref="M9:N9"/>
    <mergeCell ref="O9:Q9"/>
    <mergeCell ref="R9:S9"/>
    <mergeCell ref="T9:V9"/>
    <mergeCell ref="W9:X9"/>
    <mergeCell ref="Y9:Z9"/>
    <mergeCell ref="D10:G10"/>
    <mergeCell ref="H10:I10"/>
    <mergeCell ref="J10:L10"/>
    <mergeCell ref="M10:N10"/>
    <mergeCell ref="O10:Q10"/>
    <mergeCell ref="R10:S10"/>
    <mergeCell ref="T10:V10"/>
    <mergeCell ref="W10:X10"/>
    <mergeCell ref="Y10:Z10"/>
    <mergeCell ref="D11:G11"/>
    <mergeCell ref="H11:I11"/>
    <mergeCell ref="J11:L11"/>
    <mergeCell ref="M11:N11"/>
    <mergeCell ref="O11:Q11"/>
    <mergeCell ref="R11:S11"/>
    <mergeCell ref="T11:V11"/>
    <mergeCell ref="W11:X11"/>
    <mergeCell ref="Y11:Z11"/>
    <mergeCell ref="D12:G12"/>
    <mergeCell ref="H12:I12"/>
    <mergeCell ref="J12:L12"/>
    <mergeCell ref="M12:N12"/>
    <mergeCell ref="O12:Q12"/>
    <mergeCell ref="R12:S12"/>
    <mergeCell ref="T12:V12"/>
    <mergeCell ref="W12:X12"/>
    <mergeCell ref="Y12:Z12"/>
    <mergeCell ref="D13:G13"/>
    <mergeCell ref="H13:I13"/>
    <mergeCell ref="J13:L13"/>
    <mergeCell ref="M13:N13"/>
    <mergeCell ref="O13:Q13"/>
    <mergeCell ref="R13:S13"/>
    <mergeCell ref="T13:V13"/>
    <mergeCell ref="W13:X13"/>
    <mergeCell ref="Y13:Z13"/>
    <mergeCell ref="D14:G14"/>
    <mergeCell ref="H14:I14"/>
    <mergeCell ref="J14:L14"/>
    <mergeCell ref="M14:N14"/>
    <mergeCell ref="O14:Q14"/>
    <mergeCell ref="R14:S14"/>
    <mergeCell ref="T14:V14"/>
    <mergeCell ref="W14:X14"/>
    <mergeCell ref="Y14:Z14"/>
    <mergeCell ref="D15:G15"/>
    <mergeCell ref="H15:I15"/>
    <mergeCell ref="J15:L15"/>
    <mergeCell ref="M15:N15"/>
    <mergeCell ref="O15:Q15"/>
    <mergeCell ref="R15:S15"/>
    <mergeCell ref="T15:V15"/>
    <mergeCell ref="W15:X15"/>
    <mergeCell ref="Y15:Z15"/>
    <mergeCell ref="D16:G16"/>
    <mergeCell ref="H16:I16"/>
    <mergeCell ref="J16:L16"/>
    <mergeCell ref="M16:N16"/>
    <mergeCell ref="O16:Q16"/>
    <mergeCell ref="R16:S16"/>
    <mergeCell ref="T16:V16"/>
    <mergeCell ref="W16:X16"/>
    <mergeCell ref="Y16:Z16"/>
    <mergeCell ref="D17:G17"/>
    <mergeCell ref="H17:I17"/>
    <mergeCell ref="J17:L17"/>
    <mergeCell ref="M17:N17"/>
    <mergeCell ref="O17:Q17"/>
    <mergeCell ref="R17:S17"/>
    <mergeCell ref="T17:V17"/>
    <mergeCell ref="W17:X17"/>
    <mergeCell ref="Y17:Z17"/>
    <mergeCell ref="D18:G18"/>
    <mergeCell ref="H18:I18"/>
    <mergeCell ref="J18:L18"/>
    <mergeCell ref="M18:N18"/>
    <mergeCell ref="O18:Q18"/>
    <mergeCell ref="R18:S18"/>
    <mergeCell ref="T18:V18"/>
    <mergeCell ref="W18:X18"/>
    <mergeCell ref="Y18:Z18"/>
    <mergeCell ref="D19:G19"/>
    <mergeCell ref="H19:I19"/>
    <mergeCell ref="J19:L19"/>
    <mergeCell ref="M19:N19"/>
    <mergeCell ref="O19:Q19"/>
    <mergeCell ref="R19:S19"/>
    <mergeCell ref="T19:V19"/>
    <mergeCell ref="W19:X19"/>
    <mergeCell ref="Y19:Z19"/>
    <mergeCell ref="D20:G20"/>
    <mergeCell ref="H20:I20"/>
    <mergeCell ref="J20:L20"/>
    <mergeCell ref="M20:N20"/>
    <mergeCell ref="O20:Q20"/>
    <mergeCell ref="R20:S20"/>
    <mergeCell ref="T20:V20"/>
    <mergeCell ref="W20:X20"/>
    <mergeCell ref="Y20:Z20"/>
    <mergeCell ref="D21:G21"/>
    <mergeCell ref="H21:I21"/>
    <mergeCell ref="J21:L21"/>
    <mergeCell ref="M21:N21"/>
    <mergeCell ref="O21:Q21"/>
    <mergeCell ref="R21:S21"/>
    <mergeCell ref="T21:V21"/>
    <mergeCell ref="W21:X21"/>
    <mergeCell ref="Y21:Z21"/>
    <mergeCell ref="D22:G22"/>
    <mergeCell ref="H22:I22"/>
    <mergeCell ref="J22:L22"/>
    <mergeCell ref="M22:N22"/>
    <mergeCell ref="O22:Q22"/>
    <mergeCell ref="R22:S22"/>
    <mergeCell ref="T22:V22"/>
    <mergeCell ref="W22:X22"/>
    <mergeCell ref="Y22:Z22"/>
    <mergeCell ref="D23:G23"/>
    <mergeCell ref="H23:I23"/>
    <mergeCell ref="J23:L23"/>
    <mergeCell ref="M23:N23"/>
    <mergeCell ref="O23:Q23"/>
    <mergeCell ref="R23:S23"/>
    <mergeCell ref="T23:V23"/>
    <mergeCell ref="W23:X23"/>
    <mergeCell ref="Y23:Z23"/>
    <mergeCell ref="D24:G24"/>
    <mergeCell ref="H24:I24"/>
    <mergeCell ref="J24:L24"/>
    <mergeCell ref="M24:N24"/>
    <mergeCell ref="O24:Q24"/>
    <mergeCell ref="R24:S24"/>
    <mergeCell ref="T24:V24"/>
    <mergeCell ref="W24:X24"/>
    <mergeCell ref="Y24:Z24"/>
    <mergeCell ref="D25:G25"/>
    <mergeCell ref="H25:I25"/>
    <mergeCell ref="J25:L25"/>
    <mergeCell ref="M25:N25"/>
    <mergeCell ref="O25:Q25"/>
    <mergeCell ref="R25:S25"/>
    <mergeCell ref="T25:V25"/>
    <mergeCell ref="W25:X25"/>
    <mergeCell ref="Y25:Z25"/>
    <mergeCell ref="D26:G26"/>
    <mergeCell ref="H26:I26"/>
    <mergeCell ref="J26:L26"/>
    <mergeCell ref="M26:N26"/>
    <mergeCell ref="O26:Q26"/>
    <mergeCell ref="R26:S26"/>
    <mergeCell ref="T26:V26"/>
    <mergeCell ref="W26:X26"/>
    <mergeCell ref="Y26:Z26"/>
    <mergeCell ref="D27:G27"/>
    <mergeCell ref="H27:I27"/>
    <mergeCell ref="J27:L27"/>
    <mergeCell ref="M27:N27"/>
    <mergeCell ref="O27:Q27"/>
    <mergeCell ref="R27:S27"/>
    <mergeCell ref="T27:V27"/>
    <mergeCell ref="W27:X27"/>
    <mergeCell ref="Y27:Z27"/>
    <mergeCell ref="D28:G28"/>
    <mergeCell ref="H28:I28"/>
    <mergeCell ref="J28:L28"/>
    <mergeCell ref="M28:N28"/>
    <mergeCell ref="O28:Q28"/>
    <mergeCell ref="R28:S28"/>
    <mergeCell ref="T28:V28"/>
    <mergeCell ref="W28:X28"/>
    <mergeCell ref="Y28:Z28"/>
    <mergeCell ref="D29:G29"/>
    <mergeCell ref="H29:I29"/>
    <mergeCell ref="J29:L29"/>
    <mergeCell ref="M29:N29"/>
    <mergeCell ref="O29:Q29"/>
    <mergeCell ref="R29:S29"/>
    <mergeCell ref="T29:V29"/>
    <mergeCell ref="W29:X29"/>
    <mergeCell ref="Y29:Z29"/>
    <mergeCell ref="D30:G30"/>
    <mergeCell ref="H30:I30"/>
    <mergeCell ref="J30:L30"/>
    <mergeCell ref="M30:N30"/>
    <mergeCell ref="O30:Q30"/>
    <mergeCell ref="R30:S30"/>
    <mergeCell ref="T30:V30"/>
    <mergeCell ref="W30:X30"/>
    <mergeCell ref="Y30:Z30"/>
    <mergeCell ref="D31:G31"/>
    <mergeCell ref="H31:I31"/>
    <mergeCell ref="J31:L31"/>
    <mergeCell ref="M31:N31"/>
    <mergeCell ref="O31:Q31"/>
    <mergeCell ref="R31:S31"/>
    <mergeCell ref="T31:V31"/>
    <mergeCell ref="W31:X31"/>
    <mergeCell ref="Y31:Z31"/>
    <mergeCell ref="D32:G32"/>
    <mergeCell ref="H32:I32"/>
    <mergeCell ref="J32:L32"/>
    <mergeCell ref="M32:N32"/>
    <mergeCell ref="O32:Q32"/>
    <mergeCell ref="R32:S32"/>
    <mergeCell ref="T32:V32"/>
    <mergeCell ref="W32:X32"/>
    <mergeCell ref="Y32:Z32"/>
    <mergeCell ref="D33:G33"/>
    <mergeCell ref="H33:I33"/>
    <mergeCell ref="J33:L33"/>
    <mergeCell ref="M33:N33"/>
    <mergeCell ref="O33:Q33"/>
    <mergeCell ref="R33:S33"/>
    <mergeCell ref="T33:V33"/>
    <mergeCell ref="W33:X33"/>
    <mergeCell ref="Y33:Z33"/>
    <mergeCell ref="B7:C11"/>
    <mergeCell ref="B12:C17"/>
    <mergeCell ref="B18:C21"/>
    <mergeCell ref="B22:C24"/>
    <mergeCell ref="B25:C33"/>
    <mergeCell ref="B36:Z36"/>
    <mergeCell ref="B37:C37"/>
    <mergeCell ref="D37:G37"/>
    <mergeCell ref="J37:K37"/>
    <mergeCell ref="O37:P37"/>
    <mergeCell ref="T37:U37"/>
    <mergeCell ref="D38:G38"/>
    <mergeCell ref="J38:K38"/>
    <mergeCell ref="O38:P38"/>
    <mergeCell ref="T38:U38"/>
    <mergeCell ref="D39:G39"/>
    <mergeCell ref="J39:K39"/>
    <mergeCell ref="O39:P39"/>
    <mergeCell ref="T39:U39"/>
    <mergeCell ref="D40:G40"/>
    <mergeCell ref="J40:K40"/>
    <mergeCell ref="O40:P40"/>
    <mergeCell ref="T40:U40"/>
    <mergeCell ref="D41:G41"/>
    <mergeCell ref="J41:K41"/>
    <mergeCell ref="O41:P41"/>
    <mergeCell ref="T41:U41"/>
    <mergeCell ref="D42:G42"/>
    <mergeCell ref="J42:K42"/>
    <mergeCell ref="O42:P42"/>
    <mergeCell ref="T42:U42"/>
    <mergeCell ref="D43:G43"/>
    <mergeCell ref="J43:K43"/>
    <mergeCell ref="O43:P43"/>
    <mergeCell ref="T43:U43"/>
    <mergeCell ref="D44:G44"/>
    <mergeCell ref="J44:K44"/>
    <mergeCell ref="O44:P44"/>
    <mergeCell ref="T44:U44"/>
    <mergeCell ref="D45:G45"/>
    <mergeCell ref="J45:K45"/>
    <mergeCell ref="O45:P45"/>
    <mergeCell ref="T45:U45"/>
    <mergeCell ref="D46:G46"/>
    <mergeCell ref="J46:K46"/>
    <mergeCell ref="O46:P46"/>
    <mergeCell ref="T46:U46"/>
    <mergeCell ref="D47:G47"/>
    <mergeCell ref="J47:K47"/>
    <mergeCell ref="O47:P47"/>
    <mergeCell ref="T47:U47"/>
    <mergeCell ref="D48:G48"/>
    <mergeCell ref="J48:K48"/>
    <mergeCell ref="O48:P48"/>
    <mergeCell ref="T48:U48"/>
    <mergeCell ref="D49:G49"/>
    <mergeCell ref="J49:K49"/>
    <mergeCell ref="O49:P49"/>
    <mergeCell ref="T49:U49"/>
    <mergeCell ref="D50:G50"/>
    <mergeCell ref="J50:K50"/>
    <mergeCell ref="O50:P50"/>
    <mergeCell ref="T50:U50"/>
    <mergeCell ref="D51:G51"/>
    <mergeCell ref="J51:K51"/>
    <mergeCell ref="O51:P51"/>
    <mergeCell ref="T51:U51"/>
    <mergeCell ref="D52:G52"/>
    <mergeCell ref="J52:K52"/>
    <mergeCell ref="O52:P52"/>
    <mergeCell ref="T52:U52"/>
    <mergeCell ref="D53:G53"/>
    <mergeCell ref="J53:K53"/>
    <mergeCell ref="O53:P53"/>
    <mergeCell ref="T53:U53"/>
    <mergeCell ref="D54:G54"/>
    <mergeCell ref="J54:K54"/>
    <mergeCell ref="O54:P54"/>
    <mergeCell ref="T54:U54"/>
    <mergeCell ref="D55:G55"/>
    <mergeCell ref="J55:K55"/>
    <mergeCell ref="O55:P55"/>
    <mergeCell ref="T55:U55"/>
    <mergeCell ref="D56:G56"/>
    <mergeCell ref="J56:K56"/>
    <mergeCell ref="O56:P56"/>
    <mergeCell ref="T56:U56"/>
    <mergeCell ref="D57:G57"/>
    <mergeCell ref="J57:K57"/>
    <mergeCell ref="O57:P57"/>
    <mergeCell ref="T57:U57"/>
    <mergeCell ref="D58:G58"/>
    <mergeCell ref="J58:K58"/>
    <mergeCell ref="O58:P58"/>
    <mergeCell ref="T58:U58"/>
    <mergeCell ref="D59:G59"/>
    <mergeCell ref="J59:K59"/>
    <mergeCell ref="O59:P59"/>
    <mergeCell ref="T59:U59"/>
    <mergeCell ref="D60:G60"/>
    <mergeCell ref="J60:K60"/>
    <mergeCell ref="O60:P60"/>
    <mergeCell ref="T60:U60"/>
    <mergeCell ref="D61:G61"/>
    <mergeCell ref="J61:K61"/>
    <mergeCell ref="O61:P61"/>
    <mergeCell ref="T61:U61"/>
    <mergeCell ref="D62:G62"/>
    <mergeCell ref="J62:K62"/>
    <mergeCell ref="O62:P62"/>
    <mergeCell ref="T62:U62"/>
    <mergeCell ref="D63:G63"/>
    <mergeCell ref="J63:K63"/>
    <mergeCell ref="O63:P63"/>
    <mergeCell ref="T63:U63"/>
    <mergeCell ref="D64:G64"/>
    <mergeCell ref="J64:K64"/>
    <mergeCell ref="O64:P64"/>
    <mergeCell ref="T64:U64"/>
    <mergeCell ref="B38:C42"/>
    <mergeCell ref="B43:C48"/>
    <mergeCell ref="B49:C52"/>
    <mergeCell ref="B53:C55"/>
    <mergeCell ref="B56:C64"/>
  </mergeCells>
  <conditionalFormatting sqref="T7">
    <cfRule type="expression" dxfId="10" priority="1">
      <formula>AND(ISNUMBER(T7),T7&gt;0)</formula>
    </cfRule>
  </conditionalFormatting>
  <conditionalFormatting sqref="T7">
    <cfRule type="expression" dxfId="11" priority="2">
      <formula>AND(ISNUMBER(T7),T7&lt;0)</formula>
    </cfRule>
  </conditionalFormatting>
  <conditionalFormatting sqref="Y7">
    <cfRule type="expression" dxfId="10" priority="3">
      <formula>OR(Y7="meta atingida",Y7="dentro do limite",Y7="ocupação alta",Y7="excede o contratado")</formula>
    </cfRule>
  </conditionalFormatting>
  <conditionalFormatting sqref="Y7">
    <cfRule type="expression" dxfId="12" priority="4">
      <formula>OR(Y7="ocupação média",Y7="abaixo da meta")</formula>
    </cfRule>
  </conditionalFormatting>
  <conditionalFormatting sqref="Y7">
    <cfRule type="expression" dxfId="11" priority="5">
      <formula>OR(Y7="ociosidade alta",Y7="acima do limite")</formula>
    </cfRule>
  </conditionalFormatting>
  <conditionalFormatting sqref="T8">
    <cfRule type="expression" dxfId="10" priority="6">
      <formula>AND(ISNUMBER(T8),T8&gt;0)</formula>
    </cfRule>
  </conditionalFormatting>
  <conditionalFormatting sqref="T8">
    <cfRule type="expression" dxfId="11" priority="7">
      <formula>AND(ISNUMBER(T8),T8&lt;0)</formula>
    </cfRule>
  </conditionalFormatting>
  <conditionalFormatting sqref="Y8">
    <cfRule type="expression" dxfId="10" priority="8">
      <formula>OR(Y8="meta atingida",Y8="dentro do limite",Y8="ocupação alta",Y8="excede o contratado")</formula>
    </cfRule>
  </conditionalFormatting>
  <conditionalFormatting sqref="Y8">
    <cfRule type="expression" dxfId="12" priority="9">
      <formula>OR(Y8="ocupação média",Y8="abaixo da meta")</formula>
    </cfRule>
  </conditionalFormatting>
  <conditionalFormatting sqref="Y8">
    <cfRule type="expression" dxfId="11" priority="10">
      <formula>OR(Y8="ociosidade alta",Y8="acima do limite")</formula>
    </cfRule>
  </conditionalFormatting>
  <conditionalFormatting sqref="T9">
    <cfRule type="expression" dxfId="10" priority="11">
      <formula>AND(ISNUMBER(T9),T9&gt;0)</formula>
    </cfRule>
  </conditionalFormatting>
  <conditionalFormatting sqref="T9">
    <cfRule type="expression" dxfId="11" priority="12">
      <formula>AND(ISNUMBER(T9),T9&lt;0)</formula>
    </cfRule>
  </conditionalFormatting>
  <conditionalFormatting sqref="Y9">
    <cfRule type="expression" dxfId="10" priority="13">
      <formula>OR(Y9="meta atingida",Y9="dentro do limite",Y9="ocupação alta",Y9="excede o contratado")</formula>
    </cfRule>
  </conditionalFormatting>
  <conditionalFormatting sqref="Y9">
    <cfRule type="expression" dxfId="12" priority="14">
      <formula>OR(Y9="ocupação média",Y9="abaixo da meta")</formula>
    </cfRule>
  </conditionalFormatting>
  <conditionalFormatting sqref="Y9">
    <cfRule type="expression" dxfId="11" priority="15">
      <formula>OR(Y9="ociosidade alta",Y9="acima do limite")</formula>
    </cfRule>
  </conditionalFormatting>
  <conditionalFormatting sqref="T10">
    <cfRule type="expression" dxfId="10" priority="16">
      <formula>AND(ISNUMBER(T10),T10&gt;0)</formula>
    </cfRule>
  </conditionalFormatting>
  <conditionalFormatting sqref="T10">
    <cfRule type="expression" dxfId="11" priority="17">
      <formula>AND(ISNUMBER(T10),T10&lt;0)</formula>
    </cfRule>
  </conditionalFormatting>
  <conditionalFormatting sqref="Y10">
    <cfRule type="expression" dxfId="10" priority="18">
      <formula>OR(Y10="meta atingida",Y10="dentro do limite",Y10="ocupação alta",Y10="excede o contratado")</formula>
    </cfRule>
  </conditionalFormatting>
  <conditionalFormatting sqref="Y10">
    <cfRule type="expression" dxfId="12" priority="19">
      <formula>OR(Y10="ocupação média",Y10="abaixo da meta")</formula>
    </cfRule>
  </conditionalFormatting>
  <conditionalFormatting sqref="Y10">
    <cfRule type="expression" dxfId="11" priority="20">
      <formula>OR(Y10="ociosidade alta",Y10="acima do limite")</formula>
    </cfRule>
  </conditionalFormatting>
  <conditionalFormatting sqref="T11">
    <cfRule type="expression" dxfId="10" priority="21">
      <formula>AND(ISNUMBER(T11),T11&gt;0)</formula>
    </cfRule>
  </conditionalFormatting>
  <conditionalFormatting sqref="T11">
    <cfRule type="expression" dxfId="11" priority="22">
      <formula>AND(ISNUMBER(T11),T11&lt;0)</formula>
    </cfRule>
  </conditionalFormatting>
  <conditionalFormatting sqref="Y11">
    <cfRule type="expression" dxfId="10" priority="23">
      <formula>OR(Y11="meta atingida",Y11="dentro do limite",Y11="ocupação alta",Y11="excede o contratado")</formula>
    </cfRule>
  </conditionalFormatting>
  <conditionalFormatting sqref="Y11">
    <cfRule type="expression" dxfId="12" priority="24">
      <formula>OR(Y11="ocupação média",Y11="abaixo da meta")</formula>
    </cfRule>
  </conditionalFormatting>
  <conditionalFormatting sqref="Y11">
    <cfRule type="expression" dxfId="11" priority="25">
      <formula>OR(Y11="ociosidade alta",Y11="acima do limite")</formula>
    </cfRule>
  </conditionalFormatting>
  <conditionalFormatting sqref="T12">
    <cfRule type="expression" dxfId="10" priority="26">
      <formula>AND(ISNUMBER(T12),T12&gt;0)</formula>
    </cfRule>
  </conditionalFormatting>
  <conditionalFormatting sqref="T12">
    <cfRule type="expression" dxfId="11" priority="27">
      <formula>AND(ISNUMBER(T12),T12&lt;0)</formula>
    </cfRule>
  </conditionalFormatting>
  <conditionalFormatting sqref="Y12">
    <cfRule type="expression" dxfId="10" priority="28">
      <formula>OR(Y12="meta atingida",Y12="dentro do limite",Y12="ocupação alta",Y12="excede o contratado")</formula>
    </cfRule>
  </conditionalFormatting>
  <conditionalFormatting sqref="Y12">
    <cfRule type="expression" dxfId="12" priority="29">
      <formula>OR(Y12="ocupação média",Y12="abaixo da meta")</formula>
    </cfRule>
  </conditionalFormatting>
  <conditionalFormatting sqref="Y12">
    <cfRule type="expression" dxfId="11" priority="30">
      <formula>OR(Y12="ociosidade alta",Y12="acima do limite")</formula>
    </cfRule>
  </conditionalFormatting>
  <conditionalFormatting sqref="T13">
    <cfRule type="expression" dxfId="10" priority="31">
      <formula>AND(ISNUMBER(T13),T13&gt;0)</formula>
    </cfRule>
  </conditionalFormatting>
  <conditionalFormatting sqref="T13">
    <cfRule type="expression" dxfId="11" priority="32">
      <formula>AND(ISNUMBER(T13),T13&lt;0)</formula>
    </cfRule>
  </conditionalFormatting>
  <conditionalFormatting sqref="Y13">
    <cfRule type="expression" dxfId="10" priority="33">
      <formula>OR(Y13="meta atingida",Y13="dentro do limite",Y13="ocupação alta",Y13="excede o contratado")</formula>
    </cfRule>
  </conditionalFormatting>
  <conditionalFormatting sqref="Y13">
    <cfRule type="expression" dxfId="12" priority="34">
      <formula>OR(Y13="ocupação média",Y13="abaixo da meta")</formula>
    </cfRule>
  </conditionalFormatting>
  <conditionalFormatting sqref="Y13">
    <cfRule type="expression" dxfId="11" priority="35">
      <formula>OR(Y13="ociosidade alta",Y13="acima do limite")</formula>
    </cfRule>
  </conditionalFormatting>
  <conditionalFormatting sqref="T14">
    <cfRule type="expression" dxfId="10" priority="36">
      <formula>AND(ISNUMBER(T14),T14&gt;0)</formula>
    </cfRule>
  </conditionalFormatting>
  <conditionalFormatting sqref="T14">
    <cfRule type="expression" dxfId="11" priority="37">
      <formula>AND(ISNUMBER(T14),T14&lt;0)</formula>
    </cfRule>
  </conditionalFormatting>
  <conditionalFormatting sqref="Y14">
    <cfRule type="expression" dxfId="10" priority="38">
      <formula>OR(Y14="meta atingida",Y14="dentro do limite",Y14="ocupação alta",Y14="excede o contratado")</formula>
    </cfRule>
  </conditionalFormatting>
  <conditionalFormatting sqref="Y14">
    <cfRule type="expression" dxfId="12" priority="39">
      <formula>OR(Y14="ocupação média",Y14="abaixo da meta")</formula>
    </cfRule>
  </conditionalFormatting>
  <conditionalFormatting sqref="Y14">
    <cfRule type="expression" dxfId="11" priority="40">
      <formula>OR(Y14="ociosidade alta",Y14="acima do limite")</formula>
    </cfRule>
  </conditionalFormatting>
  <conditionalFormatting sqref="T15">
    <cfRule type="expression" dxfId="10" priority="41">
      <formula>AND(ISNUMBER(T15),T15&gt;0)</formula>
    </cfRule>
  </conditionalFormatting>
  <conditionalFormatting sqref="T15">
    <cfRule type="expression" dxfId="11" priority="42">
      <formula>AND(ISNUMBER(T15),T15&lt;0)</formula>
    </cfRule>
  </conditionalFormatting>
  <conditionalFormatting sqref="Y15">
    <cfRule type="expression" dxfId="10" priority="43">
      <formula>OR(Y15="meta atingida",Y15="dentro do limite",Y15="ocupação alta",Y15="excede o contratado")</formula>
    </cfRule>
  </conditionalFormatting>
  <conditionalFormatting sqref="Y15">
    <cfRule type="expression" dxfId="12" priority="44">
      <formula>OR(Y15="ocupação média",Y15="abaixo da meta")</formula>
    </cfRule>
  </conditionalFormatting>
  <conditionalFormatting sqref="Y15">
    <cfRule type="expression" dxfId="11" priority="45">
      <formula>OR(Y15="ociosidade alta",Y15="acima do limite")</formula>
    </cfRule>
  </conditionalFormatting>
  <conditionalFormatting sqref="T16">
    <cfRule type="expression" dxfId="10" priority="46">
      <formula>AND(ISNUMBER(T16),T16&gt;0)</formula>
    </cfRule>
  </conditionalFormatting>
  <conditionalFormatting sqref="T16">
    <cfRule type="expression" dxfId="11" priority="47">
      <formula>AND(ISNUMBER(T16),T16&lt;0)</formula>
    </cfRule>
  </conditionalFormatting>
  <conditionalFormatting sqref="Y16">
    <cfRule type="expression" dxfId="10" priority="48">
      <formula>OR(Y16="meta atingida",Y16="dentro do limite",Y16="ocupação alta",Y16="excede o contratado")</formula>
    </cfRule>
  </conditionalFormatting>
  <conditionalFormatting sqref="Y16">
    <cfRule type="expression" dxfId="12" priority="49">
      <formula>OR(Y16="ocupação média",Y16="abaixo da meta")</formula>
    </cfRule>
  </conditionalFormatting>
  <conditionalFormatting sqref="Y16">
    <cfRule type="expression" dxfId="11" priority="50">
      <formula>OR(Y16="ociosidade alta",Y16="acima do limite")</formula>
    </cfRule>
  </conditionalFormatting>
  <conditionalFormatting sqref="T17">
    <cfRule type="expression" dxfId="10" priority="51">
      <formula>AND(ISNUMBER(T17),T17&gt;0)</formula>
    </cfRule>
  </conditionalFormatting>
  <conditionalFormatting sqref="T17">
    <cfRule type="expression" dxfId="11" priority="52">
      <formula>AND(ISNUMBER(T17),T17&lt;0)</formula>
    </cfRule>
  </conditionalFormatting>
  <conditionalFormatting sqref="Y17">
    <cfRule type="expression" dxfId="10" priority="53">
      <formula>OR(Y17="meta atingida",Y17="dentro do limite",Y17="ocupação alta",Y17="excede o contratado")</formula>
    </cfRule>
  </conditionalFormatting>
  <conditionalFormatting sqref="Y17">
    <cfRule type="expression" dxfId="12" priority="54">
      <formula>OR(Y17="ocupação média",Y17="abaixo da meta")</formula>
    </cfRule>
  </conditionalFormatting>
  <conditionalFormatting sqref="Y17">
    <cfRule type="expression" dxfId="11" priority="55">
      <formula>OR(Y17="ociosidade alta",Y17="acima do limite")</formula>
    </cfRule>
  </conditionalFormatting>
  <conditionalFormatting sqref="T18">
    <cfRule type="expression" dxfId="10" priority="56">
      <formula>AND(ISNUMBER(T18),T18&lt;0)</formula>
    </cfRule>
  </conditionalFormatting>
  <conditionalFormatting sqref="T18">
    <cfRule type="expression" dxfId="11" priority="57">
      <formula>AND(ISNUMBER(T18),T18&gt;0)</formula>
    </cfRule>
  </conditionalFormatting>
  <conditionalFormatting sqref="Y18">
    <cfRule type="expression" dxfId="10" priority="58">
      <formula>OR(Y18="meta atingida",Y18="dentro do limite",Y18="ocupação alta",Y18="excede o contratado")</formula>
    </cfRule>
  </conditionalFormatting>
  <conditionalFormatting sqref="Y18">
    <cfRule type="expression" dxfId="12" priority="59">
      <formula>OR(Y18="ocupação média",Y18="abaixo da meta")</formula>
    </cfRule>
  </conditionalFormatting>
  <conditionalFormatting sqref="Y18">
    <cfRule type="expression" dxfId="11" priority="60">
      <formula>OR(Y18="ociosidade alta",Y18="acima do limite")</formula>
    </cfRule>
  </conditionalFormatting>
  <conditionalFormatting sqref="T19">
    <cfRule type="expression" dxfId="10" priority="61">
      <formula>AND(ISNUMBER(T19),T19&lt;0)</formula>
    </cfRule>
  </conditionalFormatting>
  <conditionalFormatting sqref="T19">
    <cfRule type="expression" dxfId="11" priority="62">
      <formula>AND(ISNUMBER(T19),T19&gt;0)</formula>
    </cfRule>
  </conditionalFormatting>
  <conditionalFormatting sqref="Y19">
    <cfRule type="expression" dxfId="10" priority="63">
      <formula>OR(Y19="meta atingida",Y19="dentro do limite",Y19="ocupação alta",Y19="excede o contratado")</formula>
    </cfRule>
  </conditionalFormatting>
  <conditionalFormatting sqref="Y19">
    <cfRule type="expression" dxfId="12" priority="64">
      <formula>OR(Y19="ocupação média",Y19="abaixo da meta")</formula>
    </cfRule>
  </conditionalFormatting>
  <conditionalFormatting sqref="Y19">
    <cfRule type="expression" dxfId="11" priority="65">
      <formula>OR(Y19="ociosidade alta",Y19="acima do limite")</formula>
    </cfRule>
  </conditionalFormatting>
  <conditionalFormatting sqref="T20">
    <cfRule type="expression" dxfId="10" priority="66">
      <formula>AND(ISNUMBER(T20),T20&lt;0)</formula>
    </cfRule>
  </conditionalFormatting>
  <conditionalFormatting sqref="T20">
    <cfRule type="expression" dxfId="11" priority="67">
      <formula>AND(ISNUMBER(T20),T20&gt;0)</formula>
    </cfRule>
  </conditionalFormatting>
  <conditionalFormatting sqref="Y20">
    <cfRule type="expression" dxfId="10" priority="68">
      <formula>OR(Y20="meta atingida",Y20="dentro do limite",Y20="ocupação alta",Y20="excede o contratado")</formula>
    </cfRule>
  </conditionalFormatting>
  <conditionalFormatting sqref="Y20">
    <cfRule type="expression" dxfId="12" priority="69">
      <formula>OR(Y20="ocupação média",Y20="abaixo da meta")</formula>
    </cfRule>
  </conditionalFormatting>
  <conditionalFormatting sqref="Y20">
    <cfRule type="expression" dxfId="11" priority="70">
      <formula>OR(Y20="ociosidade alta",Y20="acima do limite")</formula>
    </cfRule>
  </conditionalFormatting>
  <conditionalFormatting sqref="T21">
    <cfRule type="expression" dxfId="10" priority="71">
      <formula>AND(ISNUMBER(T21),T21&lt;0)</formula>
    </cfRule>
  </conditionalFormatting>
  <conditionalFormatting sqref="T21">
    <cfRule type="expression" dxfId="11" priority="72">
      <formula>AND(ISNUMBER(T21),T21&gt;0)</formula>
    </cfRule>
  </conditionalFormatting>
  <conditionalFormatting sqref="Y21">
    <cfRule type="expression" dxfId="10" priority="73">
      <formula>OR(Y21="meta atingida",Y21="dentro do limite",Y21="ocupação alta",Y21="excede o contratado")</formula>
    </cfRule>
  </conditionalFormatting>
  <conditionalFormatting sqref="Y21">
    <cfRule type="expression" dxfId="12" priority="74">
      <formula>OR(Y21="ocupação média",Y21="abaixo da meta")</formula>
    </cfRule>
  </conditionalFormatting>
  <conditionalFormatting sqref="Y21">
    <cfRule type="expression" dxfId="11" priority="75">
      <formula>OR(Y21="ociosidade alta",Y21="acima do limite")</formula>
    </cfRule>
  </conditionalFormatting>
  <conditionalFormatting sqref="Y22">
    <cfRule type="expression" dxfId="10" priority="76">
      <formula>OR(Y22="meta atingida",Y22="dentro do limite",Y22="ocupação alta",Y22="excede o contratado")</formula>
    </cfRule>
  </conditionalFormatting>
  <conditionalFormatting sqref="Y22">
    <cfRule type="expression" dxfId="12" priority="77">
      <formula>OR(Y22="ocupação média",Y22="abaixo da meta")</formula>
    </cfRule>
  </conditionalFormatting>
  <conditionalFormatting sqref="Y22">
    <cfRule type="expression" dxfId="11" priority="78">
      <formula>OR(Y22="ociosidade alta",Y22="acima do limite")</formula>
    </cfRule>
  </conditionalFormatting>
  <conditionalFormatting sqref="Y23">
    <cfRule type="expression" dxfId="10" priority="79">
      <formula>OR(Y23="meta atingida",Y23="dentro do limite",Y23="ocupação alta",Y23="excede o contratado")</formula>
    </cfRule>
  </conditionalFormatting>
  <conditionalFormatting sqref="Y23">
    <cfRule type="expression" dxfId="12" priority="80">
      <formula>OR(Y23="ocupação média",Y23="abaixo da meta")</formula>
    </cfRule>
  </conditionalFormatting>
  <conditionalFormatting sqref="Y23">
    <cfRule type="expression" dxfId="11" priority="81">
      <formula>OR(Y23="ociosidade alta",Y23="acima do limite")</formula>
    </cfRule>
  </conditionalFormatting>
  <conditionalFormatting sqref="Y24">
    <cfRule type="expression" dxfId="10" priority="82">
      <formula>OR(Y24="meta atingida",Y24="dentro do limite",Y24="ocupação alta",Y24="excede o contratado")</formula>
    </cfRule>
  </conditionalFormatting>
  <conditionalFormatting sqref="Y24">
    <cfRule type="expression" dxfId="12" priority="83">
      <formula>OR(Y24="ocupação média",Y24="abaixo da meta")</formula>
    </cfRule>
  </conditionalFormatting>
  <conditionalFormatting sqref="Y24">
    <cfRule type="expression" dxfId="11" priority="84">
      <formula>OR(Y24="ociosidade alta",Y24="acima do limite")</formula>
    </cfRule>
  </conditionalFormatting>
  <conditionalFormatting sqref="T25">
    <cfRule type="expression" dxfId="10" priority="85">
      <formula>AND(ISNUMBER(T25),T25&gt;0)</formula>
    </cfRule>
  </conditionalFormatting>
  <conditionalFormatting sqref="T25">
    <cfRule type="expression" dxfId="11" priority="86">
      <formula>AND(ISNUMBER(T25),T25&lt;0)</formula>
    </cfRule>
  </conditionalFormatting>
  <conditionalFormatting sqref="Y25">
    <cfRule type="expression" dxfId="10" priority="87">
      <formula>OR(Y25="meta atingida",Y25="dentro do limite",Y25="ocupação alta",Y25="excede o contratado")</formula>
    </cfRule>
  </conditionalFormatting>
  <conditionalFormatting sqref="Y25">
    <cfRule type="expression" dxfId="12" priority="88">
      <formula>OR(Y25="ocupação média",Y25="abaixo da meta")</formula>
    </cfRule>
  </conditionalFormatting>
  <conditionalFormatting sqref="Y25">
    <cfRule type="expression" dxfId="11" priority="89">
      <formula>OR(Y25="ociosidade alta",Y25="acima do limite")</formula>
    </cfRule>
  </conditionalFormatting>
  <conditionalFormatting sqref="T26">
    <cfRule type="expression" dxfId="10" priority="90">
      <formula>AND(ISNUMBER(T26),T26&lt;0)</formula>
    </cfRule>
  </conditionalFormatting>
  <conditionalFormatting sqref="T26">
    <cfRule type="expression" dxfId="11" priority="91">
      <formula>AND(ISNUMBER(T26),T26&gt;0)</formula>
    </cfRule>
  </conditionalFormatting>
  <conditionalFormatting sqref="Y26">
    <cfRule type="expression" dxfId="10" priority="92">
      <formula>OR(Y26="meta atingida",Y26="dentro do limite",Y26="ocupação alta",Y26="excede o contratado")</formula>
    </cfRule>
  </conditionalFormatting>
  <conditionalFormatting sqref="Y26">
    <cfRule type="expression" dxfId="12" priority="93">
      <formula>OR(Y26="ocupação média",Y26="abaixo da meta")</formula>
    </cfRule>
  </conditionalFormatting>
  <conditionalFormatting sqref="Y26">
    <cfRule type="expression" dxfId="11" priority="94">
      <formula>OR(Y26="ociosidade alta",Y26="acima do limite")</formula>
    </cfRule>
  </conditionalFormatting>
  <conditionalFormatting sqref="T27">
    <cfRule type="expression" dxfId="10" priority="95">
      <formula>AND(ISNUMBER(T27),T27&lt;0)</formula>
    </cfRule>
  </conditionalFormatting>
  <conditionalFormatting sqref="T27">
    <cfRule type="expression" dxfId="11" priority="96">
      <formula>AND(ISNUMBER(T27),T27&gt;0)</formula>
    </cfRule>
  </conditionalFormatting>
  <conditionalFormatting sqref="Y27">
    <cfRule type="expression" dxfId="10" priority="97">
      <formula>OR(Y27="meta atingida",Y27="dentro do limite",Y27="ocupação alta",Y27="excede o contratado")</formula>
    </cfRule>
  </conditionalFormatting>
  <conditionalFormatting sqref="Y27">
    <cfRule type="expression" dxfId="12" priority="98">
      <formula>OR(Y27="ocupação média",Y27="abaixo da meta")</formula>
    </cfRule>
  </conditionalFormatting>
  <conditionalFormatting sqref="Y27">
    <cfRule type="expression" dxfId="11" priority="99">
      <formula>OR(Y27="ociosidade alta",Y27="acima do limite")</formula>
    </cfRule>
  </conditionalFormatting>
  <conditionalFormatting sqref="Y28">
    <cfRule type="expression" dxfId="10" priority="100">
      <formula>OR(Y28="meta atingida",Y28="dentro do limite",Y28="ocupação alta",Y28="excede o contratado")</formula>
    </cfRule>
  </conditionalFormatting>
  <conditionalFormatting sqref="Y28">
    <cfRule type="expression" dxfId="12" priority="101">
      <formula>OR(Y28="ocupação média",Y28="abaixo da meta")</formula>
    </cfRule>
  </conditionalFormatting>
  <conditionalFormatting sqref="Y28">
    <cfRule type="expression" dxfId="11" priority="102">
      <formula>OR(Y28="ociosidade alta",Y28="acima do limite")</formula>
    </cfRule>
  </conditionalFormatting>
  <conditionalFormatting sqref="Y29">
    <cfRule type="expression" dxfId="10" priority="103">
      <formula>OR(Y29="meta atingida",Y29="dentro do limite",Y29="ocupação alta",Y29="excede o contratado")</formula>
    </cfRule>
  </conditionalFormatting>
  <conditionalFormatting sqref="Y29">
    <cfRule type="expression" dxfId="12" priority="104">
      <formula>OR(Y29="ocupação média",Y29="abaixo da meta")</formula>
    </cfRule>
  </conditionalFormatting>
  <conditionalFormatting sqref="Y29">
    <cfRule type="expression" dxfId="11" priority="105">
      <formula>OR(Y29="ociosidade alta",Y29="acima do limite")</formula>
    </cfRule>
  </conditionalFormatting>
  <conditionalFormatting sqref="T30">
    <cfRule type="expression" dxfId="10" priority="106">
      <formula>AND(ISNUMBER(T30),T30&lt;0)</formula>
    </cfRule>
  </conditionalFormatting>
  <conditionalFormatting sqref="T30">
    <cfRule type="expression" dxfId="11" priority="107">
      <formula>AND(ISNUMBER(T30),T30&gt;0)</formula>
    </cfRule>
  </conditionalFormatting>
  <conditionalFormatting sqref="Y30">
    <cfRule type="expression" dxfId="10" priority="108">
      <formula>OR(Y30="meta atingida",Y30="dentro do limite",Y30="ocupação alta",Y30="excede o contratado")</formula>
    </cfRule>
  </conditionalFormatting>
  <conditionalFormatting sqref="Y30">
    <cfRule type="expression" dxfId="12" priority="109">
      <formula>OR(Y30="ocupação média",Y30="abaixo da meta")</formula>
    </cfRule>
  </conditionalFormatting>
  <conditionalFormatting sqref="Y30">
    <cfRule type="expression" dxfId="11" priority="110">
      <formula>OR(Y30="ociosidade alta",Y30="acima do limite")</formula>
    </cfRule>
  </conditionalFormatting>
  <conditionalFormatting sqref="T31">
    <cfRule type="expression" dxfId="10" priority="111">
      <formula>AND(ISNUMBER(T31),T31&lt;0)</formula>
    </cfRule>
  </conditionalFormatting>
  <conditionalFormatting sqref="T31">
    <cfRule type="expression" dxfId="11" priority="112">
      <formula>AND(ISNUMBER(T31),T31&gt;0)</formula>
    </cfRule>
  </conditionalFormatting>
  <conditionalFormatting sqref="Y31">
    <cfRule type="expression" dxfId="10" priority="113">
      <formula>OR(Y31="meta atingida",Y31="dentro do limite",Y31="ocupação alta",Y31="excede o contratado")</formula>
    </cfRule>
  </conditionalFormatting>
  <conditionalFormatting sqref="Y31">
    <cfRule type="expression" dxfId="12" priority="114">
      <formula>OR(Y31="ocupação média",Y31="abaixo da meta")</formula>
    </cfRule>
  </conditionalFormatting>
  <conditionalFormatting sqref="Y31">
    <cfRule type="expression" dxfId="11" priority="115">
      <formula>OR(Y31="ociosidade alta",Y31="acima do limite")</formula>
    </cfRule>
  </conditionalFormatting>
  <conditionalFormatting sqref="T32">
    <cfRule type="expression" dxfId="10" priority="116">
      <formula>AND(ISNUMBER(T32),T32&lt;0)</formula>
    </cfRule>
  </conditionalFormatting>
  <conditionalFormatting sqref="T32">
    <cfRule type="expression" dxfId="11" priority="117">
      <formula>AND(ISNUMBER(T32),T32&gt;0)</formula>
    </cfRule>
  </conditionalFormatting>
  <conditionalFormatting sqref="Y32">
    <cfRule type="expression" dxfId="10" priority="118">
      <formula>OR(Y32="meta atingida",Y32="dentro do limite",Y32="ocupação alta",Y32="excede o contratado")</formula>
    </cfRule>
  </conditionalFormatting>
  <conditionalFormatting sqref="Y32">
    <cfRule type="expression" dxfId="12" priority="119">
      <formula>OR(Y32="ocupação média",Y32="abaixo da meta")</formula>
    </cfRule>
  </conditionalFormatting>
  <conditionalFormatting sqref="Y32">
    <cfRule type="expression" dxfId="11" priority="120">
      <formula>OR(Y32="ociosidade alta",Y32="acima do limite")</formula>
    </cfRule>
  </conditionalFormatting>
  <conditionalFormatting sqref="T33">
    <cfRule type="expression" dxfId="10" priority="121">
      <formula>AND(ISNUMBER(T33),T33&lt;0)</formula>
    </cfRule>
  </conditionalFormatting>
  <conditionalFormatting sqref="T33">
    <cfRule type="expression" dxfId="11" priority="122">
      <formula>AND(ISNUMBER(T33),T33&gt;0)</formula>
    </cfRule>
  </conditionalFormatting>
  <conditionalFormatting sqref="Y33">
    <cfRule type="expression" dxfId="10" priority="123">
      <formula>OR(Y33="meta atingida",Y33="dentro do limite",Y33="ocupação alta",Y33="excede o contratado")</formula>
    </cfRule>
  </conditionalFormatting>
  <conditionalFormatting sqref="Y33">
    <cfRule type="expression" dxfId="12" priority="124">
      <formula>OR(Y33="ocupação média",Y33="abaixo da meta")</formula>
    </cfRule>
  </conditionalFormatting>
  <conditionalFormatting sqref="Y33">
    <cfRule type="expression" dxfId="11" priority="125">
      <formula>OR(Y33="ociosidade alta",Y33="acima do limite")</formula>
    </cfRule>
  </conditionalFormatting>
  <dataValidations count="2">
    <dataValidation type="list" allowBlank="1" showInputMessage="1" showErrorMessage="1" promptTitle="Mês" prompt="Escolha o mês do ano. Toda a aba se atualiza." errorTitle="Valor inválido" error="Escolha um mês da lista." sqref="V1">
      <formula1>calculos!$AL$12:$AL$23</formula1>
    </dataValidation>
    <dataValidation type="list" allowBlank="1" showInputMessage="1" showErrorMessage="1" promptTitle="Cliente" prompt="Filtro próprio do Consol Mensal (quadro e resumo por cliente)." errorTitle="Valor inválido" error="Escolha um valor da lista." sqref="D3">
      <formula1>OFFSET(calculos!$AN$12,0,0,1+calculos!$AN$10,1)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BC366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26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8" max="38" width="20" customWidth="1"/>
    <col min="40" max="40" width="22" customWidth="1"/>
    <col min="41" max="41" width="12" customWidth="1"/>
    <col min="43" max="43" width="52" customWidth="1"/>
    <col min="46" max="46" width="14" customWidth="1"/>
    <col min="48" max="48" width="20" customWidth="1"/>
    <col min="50" max="50" width="11" customWidth="1"/>
    <col min="51" max="51" width="11" customWidth="1"/>
    <col min="52" max="52" width="11" customWidth="1"/>
    <col min="53" max="53" width="11" customWidth="1"/>
    <col min="55" max="55" width="11" customWidth="1"/>
  </cols>
  <sheetData>
    <row r="1">
      <c r="A1" s="37" t="inlineStr">
        <is>
          <t xml:space="preserve">CÁLCULOS — base da aba Dashboard (período digitado; gráficos no mês do dia inicial) · gerado automaticamente</t>
        </is>
      </c>
    </row>
    <row r="2">
      <c r="A2" s="38" t="inlineStr">
        <is>
          <t xml:space="preserve">Cliente selecionado</t>
        </is>
      </c>
      <c r="B2" s="38" t="str">
        <f>IF(OR(Dashboard!$D$3="",Dashboard!$D$3="Todos"),"Todos",Dashboard!$D$3)</f>
        <v>Todos</v>
      </c>
      <c r="C2" s="39">
        <f>IF(LEFT($B$2,9)="Depósito ",2,1)</f>
        <v>1</v>
      </c>
      <c r="D2" s="40" t="str">
        <f>IF($C$2=2,MID($B$2,10,60),$B$2)</f>
        <v>Todos</v>
      </c>
      <c r="E2" s="40" t="str">
        <f>IFERROR(INDEX($AO$12:$AO$32,MATCH($B$2,$AN$12:$AN$32,0)),"")</f>
        <v>JSL</v>
      </c>
    </row>
    <row r="3">
      <c r="A3" s="38" t="inlineStr">
        <is>
          <t xml:space="preserve">Capacidade (posições)</t>
        </is>
      </c>
      <c r="B3" s="41">
        <f>SUM($AU$13:$AU$13)</f>
        <v>5872</v>
      </c>
      <c r="C3" s="36" t="inlineStr">
        <is>
          <t xml:space="preserve">soma dos depósitos (tabela de capacidade à direita, células amarelas)</t>
        </is>
      </c>
    </row>
    <row r="4">
      <c r="A4" s="36" t="inlineStr">
        <is>
          <t xml:space="preserve">Capacidade (repetida p/ fórmulas)</t>
        </is>
      </c>
      <c r="B4" s="42">
        <f>$B$3</f>
        <v>5872</v>
      </c>
    </row>
    <row r="5">
      <c r="A5" s="38" t="inlineStr">
        <is>
          <t xml:space="preserve">Faixa de atenção (ocupação)</t>
        </is>
      </c>
      <c r="B5" s="43">
        <f>N(Config!$C$97)</f>
        <v>0.7</v>
      </c>
      <c r="C5" s="36" t="inlineStr">
        <is>
          <t xml:space="preserve">parâmetros na aba Config</t>
        </is>
      </c>
    </row>
    <row r="6">
      <c r="A6" s="38" t="inlineStr">
        <is>
          <t xml:space="preserve">Faixa crítica (ocupação)</t>
        </is>
      </c>
      <c r="B6" s="43">
        <f>N(Config!$C$98)</f>
        <v>0.9</v>
      </c>
    </row>
    <row r="7">
      <c r="A7" s="38" t="inlineStr">
        <is>
          <t xml:space="preserve">Competência</t>
        </is>
      </c>
      <c r="B7" s="45" t="str">
        <f>INDEX({"Janeiro","Fevereiro","Março","Abril","Maio","Junho","Julho","Agosto","Setembro","Outubro","Novembro","Dezembro"},MONTH($C$7))&amp;"/"&amp;YEAR($C$7)</f>
        <v>Outubro/2026</v>
      </c>
      <c r="C7" s="44">
        <f>IF(ISNUMBER(Dashboard!$Q$3),DATE(YEAR(Dashboard!$Q$3),MONTH(Dashboard!$Q$3),1),IFERROR(DATE(VALUE(RIGHT(TRIM(Dashboard!$Q$3),4)),MATCH(TRIM(LEFT(Dashboard!$Q$3,FIND("·",Dashboard!$Q$3)-1)),{"JANEIRO","FEVEREIRO","MARÇO","ABRIL","MAIO","JUNHO","JULHO","AGOSTO","SETEMBRO","OUTUBRO","NOVEMBRO","DEZEMBRO"},0),1),DATE(2026,10,1)))</f>
        <v>46296</v>
      </c>
      <c r="D7" s="44">
        <f>DATE(YEAR($C$7),MONTH($C$7)+1,0)</f>
        <v>46326</v>
      </c>
      <c r="E7" s="38" t="inlineStr">
        <is>
          <t xml:space="preserve">Período (cards)</t>
        </is>
      </c>
      <c r="F7" s="44">
        <f>IF(ISNUMBER(Dashboard!$Q$3),Dashboard!$Q$3,$C$7)</f>
        <v>46296</v>
      </c>
      <c r="G7" s="44">
        <f>IF(ISNUMBER(Dashboard!$V$3),MAX(Dashboard!$V$3,$F$7),$D$7)</f>
        <v>46326</v>
      </c>
    </row>
    <row r="8">
      <c r="A8" s="38" t="inlineStr">
        <is>
          <t xml:space="preserve">Mês anterior (comparação)</t>
        </is>
      </c>
      <c r="B8" s="45" t="str">
        <f>INDEX({"Janeiro","Fevereiro","Março","Abril","Maio","Junho","Julho","Agosto","Setembro","Outubro","Novembro","Dezembro"},MONTH($C$8))&amp;"/"&amp;YEAR($C$8)</f>
        <v>Setembro/2026</v>
      </c>
      <c r="C8" s="44">
        <f>DATE(YEAR($C$7),MONTH($C$7)-1,1)</f>
        <v>46266</v>
      </c>
      <c r="D8" s="44">
        <f>IF($B$9=0,$C$8-1,$C$8+MIN($B$9,DAY($C$7-1))-1)</f>
        <v>46265</v>
      </c>
      <c r="E8" s="38" t="inlineStr">
        <is>
          <t xml:space="preserve">Período anterior</t>
        </is>
      </c>
      <c r="F8" s="44">
        <f>$F$7-($G$7-$F$7+1)</f>
        <v>46265</v>
      </c>
      <c r="G8" s="44">
        <f>$F$7-1</f>
        <v>46295</v>
      </c>
    </row>
    <row r="9">
      <c r="A9" s="38" t="inlineStr">
        <is>
          <t xml:space="preserve">Último dia com dado no mês</t>
        </is>
      </c>
      <c r="B9" s="46">
        <f>IF(COUNTIFS(BD!$A$3:$A$5001,"&gt;="&amp;$C$7,BD!$A$3:$A$5001,"&lt;="&amp;$D$7)=0,0,DAY(_xlfn.MAXIFS(BD!$A$3:$A$5001,BD!$A$3:$A$5001,"&gt;="&amp;$C$7,BD!$A$3:$A$5001,"&lt;="&amp;$D$7)))</f>
        <v>0</v>
      </c>
      <c r="C9" s="36" t="inlineStr">
        <is>
          <t xml:space="preserve">o mês anterior é comparado do dia 1 até este dia</t>
        </is>
      </c>
    </row>
    <row r="10">
      <c r="AM10" s="48" t="inlineStr">
        <is>
          <t xml:space="preserve">clientes</t>
        </is>
      </c>
      <c r="AN10" s="49">
        <f>MAX(1,$AP$32)</f>
        <v>5</v>
      </c>
    </row>
    <row r="11" ht="40" customHeight="1">
      <c r="A11" s="47" t="inlineStr">
        <is>
          <t xml:space="preserve">Dia</t>
        </is>
      </c>
      <c r="B11" s="47" t="inlineStr">
        <is>
          <t xml:space="preserve">Data</t>
        </is>
      </c>
      <c r="C11" s="47" t="inlineStr">
        <is>
          <t xml:space="preserve">IN Veículos Recebidos</t>
        </is>
      </c>
      <c r="D11" s="47" t="inlineStr">
        <is>
          <t xml:space="preserve">IN Pallets Movimentados</t>
        </is>
      </c>
      <c r="E11" s="47" t="inlineStr">
        <is>
          <t xml:space="preserve">IN Toneladas Movimentadas</t>
        </is>
      </c>
      <c r="F11" s="47" t="inlineStr">
        <is>
          <t xml:space="preserve">IN Caixas Recebidas</t>
        </is>
      </c>
      <c r="G11" s="47" t="inlineStr">
        <is>
          <t xml:space="preserve">IN Bags Recebidos</t>
        </is>
      </c>
      <c r="H11" s="47" t="inlineStr">
        <is>
          <t xml:space="preserve">OUT Veículos Expedidos</t>
        </is>
      </c>
      <c r="I11" s="47" t="inlineStr">
        <is>
          <t xml:space="preserve">OUT Pallets Movimentados</t>
        </is>
      </c>
      <c r="J11" s="47" t="inlineStr">
        <is>
          <t xml:space="preserve">OUT Toneladas Movimentadas</t>
        </is>
      </c>
      <c r="K11" s="47" t="inlineStr">
        <is>
          <t xml:space="preserve">OUT Caixas Expedidas</t>
        </is>
      </c>
      <c r="L11" s="47" t="inlineStr">
        <is>
          <t xml:space="preserve">OUT Pedidos Faturados</t>
        </is>
      </c>
      <c r="M11" s="47" t="inlineStr">
        <is>
          <t xml:space="preserve">OUT Bags Expedidos</t>
        </is>
      </c>
      <c r="N11" s="47" t="inlineStr">
        <is>
          <t xml:space="preserve">NC Incidentes</t>
        </is>
      </c>
      <c r="O11" s="47" t="inlineStr">
        <is>
          <t xml:space="preserve">NC No show</t>
        </is>
      </c>
      <c r="P11" s="47" t="inlineStr">
        <is>
          <t xml:space="preserve">NC Backlog Intralog</t>
        </is>
      </c>
      <c r="Q11" s="47" t="inlineStr">
        <is>
          <t xml:space="preserve">NC Backlog Cliente</t>
        </is>
      </c>
      <c r="R11" s="47" t="inlineStr">
        <is>
          <t xml:space="preserve">OCUPAÇÃO (P.P) Posições Disponíveis</t>
        </is>
      </c>
      <c r="S11" s="47" t="inlineStr">
        <is>
          <t xml:space="preserve">OCUPAÇÃO (P.P) Posições Ocupadas</t>
        </is>
      </c>
      <c r="T11" s="47" t="inlineStr">
        <is>
          <t xml:space="preserve">OCUPAÇÃO (P.P) Taxa de Ocupação</t>
        </is>
      </c>
      <c r="U11" s="47" t="inlineStr">
        <is>
          <t xml:space="preserve">GENTE Efetivo Op.</t>
        </is>
      </c>
      <c r="V11" s="47" t="inlineStr">
        <is>
          <t xml:space="preserve">GENTE Falta</t>
        </is>
      </c>
      <c r="W11" s="47" t="inlineStr">
        <is>
          <t xml:space="preserve">GENTE Absenteísmo (H/H)</t>
        </is>
      </c>
      <c r="X11" s="47" t="inlineStr">
        <is>
          <t xml:space="preserve">GENTE Folga</t>
        </is>
      </c>
      <c r="Y11" s="47" t="inlineStr">
        <is>
          <t xml:space="preserve">GENTE Férias</t>
        </is>
      </c>
      <c r="Z11" s="47" t="inlineStr">
        <is>
          <t xml:space="preserve">GENTE Desligamento</t>
        </is>
      </c>
      <c r="AA11" s="47" t="inlineStr">
        <is>
          <t xml:space="preserve">GENTE Desvios Comportamentais</t>
        </is>
      </c>
      <c r="AB11" s="47" t="inlineStr">
        <is>
          <t xml:space="preserve">GENTE Acidentes CAF</t>
        </is>
      </c>
      <c r="AC11" s="47" t="inlineStr">
        <is>
          <t xml:space="preserve">GENTE Acidentes SAF</t>
        </is>
      </c>
      <c r="AD11" s="47" t="inlineStr">
        <is>
          <t xml:space="preserve">Faixa atenção</t>
        </is>
      </c>
      <c r="AE11" s="47" t="inlineStr">
        <is>
          <t xml:space="preserve">Faixa crítica</t>
        </is>
      </c>
      <c r="AL11" s="47" t="inlineStr">
        <is>
          <t xml:space="preserve">Meses (filtros das abas)</t>
        </is>
      </c>
      <c r="AN11" s="47" t="inlineStr">
        <is>
          <t xml:space="preserve">Filtro: depósito / cliente</t>
        </is>
      </c>
      <c r="AO11" s="47" t="inlineStr">
        <is>
          <t xml:space="preserve">Depósito</t>
        </is>
      </c>
      <c r="AP11" s="47" t="inlineStr">
        <is>
          <t xml:space="preserve">Nº (vagas)</t>
        </is>
      </c>
      <c r="AQ11" s="47" t="inlineStr">
        <is>
          <t xml:space="preserve">Títulos dos gráficos (seguem os filtros)</t>
        </is>
      </c>
      <c r="AX11" s="47" t="inlineStr">
        <is>
          <t xml:space="preserve">Gráf A IN (diário)</t>
        </is>
      </c>
      <c r="AY11" s="47" t="inlineStr">
        <is>
          <t xml:space="preserve">Gráf A OUT (diário)</t>
        </is>
      </c>
      <c r="AZ11" s="47" t="inlineStr">
        <is>
          <t xml:space="preserve">Gráf B IN (diário)</t>
        </is>
      </c>
      <c r="BA11" s="47" t="inlineStr">
        <is>
          <t xml:space="preserve">Gráf B OUT (diário)</t>
        </is>
      </c>
      <c r="BC11" s="47" t="inlineStr">
        <is>
          <t xml:space="preserve">Rótulo contrato (último dia)</t>
        </is>
      </c>
    </row>
    <row r="12">
      <c r="A12" s="39">
        <v>1</v>
      </c>
      <c r="B12" s="57">
        <f>IF($A12&lt;=DAY($D$7),$C$7+$A12-1,"")</f>
        <v>46296</v>
      </c>
      <c r="C12" s="42">
        <f>IF($B12="","",IF($B$2="Todos",SUMIFS(BD!$C$3:$C$5001,BD!$A$3:$A$5001,$B12),SUMIFS(BD!$C$3:$C$5001,BD!$A$3:$A$5001,$B12,BD!$B$3:$B$5001,$D$2)))</f>
        <v>0</v>
      </c>
      <c r="D12" s="42">
        <f>IF($B12="","",IF($B$2="Todos",SUMIFS(BD!$D$3:$D$5001,BD!$A$3:$A$5001,$B12),SUMIFS(BD!$D$3:$D$5001,BD!$A$3:$A$5001,$B12,BD!$B$3:$B$5001,$D$2)))</f>
        <v>0</v>
      </c>
      <c r="E12" s="58">
        <f>IF($B12="","",IF($B$2="Todos",SUMIFS(BD!$E$3:$E$5001,BD!$A$3:$A$5001,$B12),SUMIFS(BD!$E$3:$E$5001,BD!$A$3:$A$5001,$B12,BD!$B$3:$B$5001,$D$2)))</f>
        <v>0</v>
      </c>
      <c r="F12" s="42">
        <f>IF($B12="","",IF($B$2="Todos",SUMIFS(BD!$F$3:$F$5001,BD!$A$3:$A$5001,$B12),SUMIFS(BD!$F$3:$F$5001,BD!$A$3:$A$5001,$B12,BD!$B$3:$B$5001,$D$2)))</f>
        <v>0</v>
      </c>
      <c r="G12" s="42">
        <f>IF($B12="","",IF($B$2="Todos",SUMIFS(BD!$G$3:$G$5001,BD!$A$3:$A$5001,$B12),SUMIFS(BD!$G$3:$G$5001,BD!$A$3:$A$5001,$B12,BD!$B$3:$B$5001,$D$2)))</f>
        <v>0</v>
      </c>
      <c r="H12" s="42">
        <f>IF($B12="","",IF($B$2="Todos",SUMIFS(BD!$H$3:$H$5001,BD!$A$3:$A$5001,$B12),SUMIFS(BD!$H$3:$H$5001,BD!$A$3:$A$5001,$B12,BD!$B$3:$B$5001,$D$2)))</f>
        <v>0</v>
      </c>
      <c r="I12" s="42">
        <f>IF($B12="","",IF($B$2="Todos",SUMIFS(BD!$I$3:$I$5001,BD!$A$3:$A$5001,$B12),SUMIFS(BD!$I$3:$I$5001,BD!$A$3:$A$5001,$B12,BD!$B$3:$B$5001,$D$2)))</f>
        <v>0</v>
      </c>
      <c r="J12" s="58">
        <f>IF($B12="","",IF($B$2="Todos",SUMIFS(BD!$J$3:$J$5001,BD!$A$3:$A$5001,$B12),SUMIFS(BD!$J$3:$J$5001,BD!$A$3:$A$5001,$B12,BD!$B$3:$B$5001,$D$2)))</f>
        <v>0</v>
      </c>
      <c r="K12" s="42">
        <f>IF($B12="","",IF($B$2="Todos",SUMIFS(BD!$K$3:$K$5001,BD!$A$3:$A$5001,$B12),SUMIFS(BD!$K$3:$K$5001,BD!$A$3:$A$5001,$B12,BD!$B$3:$B$5001,$D$2)))</f>
        <v>0</v>
      </c>
      <c r="L12" s="42">
        <f>IF($B12="","",IF($B$2="Todos",SUMIFS(BD!$L$3:$L$5001,BD!$A$3:$A$5001,$B12),SUMIFS(BD!$L$3:$L$5001,BD!$A$3:$A$5001,$B12,BD!$B$3:$B$5001,$D$2)))</f>
        <v>0</v>
      </c>
      <c r="M12" s="42">
        <f>IF($B12="","",IF($B$2="Todos",SUMIFS(BD!$M$3:$M$5001,BD!$A$3:$A$5001,$B12),SUMIFS(BD!$M$3:$M$5001,BD!$A$3:$A$5001,$B12,BD!$B$3:$B$5001,$D$2)))</f>
        <v>0</v>
      </c>
      <c r="N12" s="42">
        <f>IF($B12="","",IF($B$2="Todos",SUMIFS(BD!$N$3:$N$5001,BD!$A$3:$A$5001,$B12),SUMIFS(BD!$N$3:$N$5001,BD!$A$3:$A$5001,$B12,BD!$B$3:$B$5001,$D$2)))</f>
        <v>0</v>
      </c>
      <c r="O12" s="42">
        <f>IF($B12="","",IF($B$2="Todos",SUMIFS(BD!$O$3:$O$5001,BD!$A$3:$A$5001,$B12),SUMIFS(BD!$O$3:$O$5001,BD!$A$3:$A$5001,$B12,BD!$B$3:$B$5001,$D$2)))</f>
        <v>0</v>
      </c>
      <c r="P12" s="42" t="str">
        <f>IF($B$2="Todos",IF(COUNT($C$129:$V$129)=0,"",SUM($C$129:$V$129)),IFERROR(INDEX($C$129:$V$129,MATCH($D$2,$C$128:$V$128,0)),""))</f>
        <v/>
      </c>
      <c r="Q12" s="42" t="str">
        <f>IF($B$2="Todos",IF(COUNT($C$164:$V$164)=0,"",SUM($C$164:$V$164)),IFERROR(INDEX($C$164:$V$164,MATCH($D$2,$C$163:$V$163,0)),""))</f>
        <v/>
      </c>
      <c r="R12" s="59" t="str">
        <f>IF(S12="","",IF($B$2="Todos",IF($B$4&gt;0,$B$4,IF($B$2="Todos",IF(COUNT($C$234:$V$234)=0,"",SUM($C$234:$V$234)),IFERROR(INDEX($C$234:$V$234,MATCH($D$2,$C$233:$V$233,0)),""))),IFERROR(INDEX($C$234:$V$234,MATCH($D$2,$C$233:$V$233,0)),"")))</f>
        <v/>
      </c>
      <c r="S12" s="42" t="str">
        <f>IF($B$2="Todos",IF(COUNT($C$199:$V$199)=0,"",SUM($C$199:$V$199)),IFERROR(INDEX($C$199:$V$199,MATCH($D$2,$C$198:$V$198,0)),""))</f>
        <v/>
      </c>
      <c r="T12" s="60" t="str">
        <f>IF(AND(ISNUMBER(S12),ISNUMBER(R12)),IF(R12&gt;0,S12/R12,""),"")</f>
        <v/>
      </c>
      <c r="U12" s="42" t="str">
        <f>IF($B$2="Todos",IF(COUNT($C$269:$V$269)=0,"",SUM($C$269:$V$269)),IFERROR(INDEX($C$269:$V$269,MATCH($D$2,$C$268:$V$268,0)),""))</f>
        <v/>
      </c>
      <c r="V12" s="42">
        <f>IF($B12="","",IF($B$2="Todos",SUMIFS(BD!$U$3:$U$5001,BD!$A$3:$A$5001,$B12),SUMIFS(BD!$U$3:$U$5001,BD!$A$3:$A$5001,$B12,BD!$B$3:$B$5001,$D$2)))</f>
        <v>0</v>
      </c>
      <c r="W12" s="58">
        <f>IF($B12="","",IF($B$2="Todos",SUMIFS(BD!$V$3:$V$5001,BD!$A$3:$A$5001,$B12),SUMIFS(BD!$V$3:$V$5001,BD!$A$3:$A$5001,$B12,BD!$B$3:$B$5001,$D$2)))</f>
        <v>0</v>
      </c>
      <c r="X12" s="42">
        <f>IF($B12="","",IF($B$2="Todos",SUMIFS(BD!$W$3:$W$5001,BD!$A$3:$A$5001,$B12),SUMIFS(BD!$W$3:$W$5001,BD!$A$3:$A$5001,$B12,BD!$B$3:$B$5001,$D$2)))</f>
        <v>0</v>
      </c>
      <c r="Y12" s="42">
        <f>IF($B12="","",IF($B$2="Todos",SUMIFS(BD!$X$3:$X$5001,BD!$A$3:$A$5001,$B12),SUMIFS(BD!$X$3:$X$5001,BD!$A$3:$A$5001,$B12,BD!$B$3:$B$5001,$D$2)))</f>
        <v>0</v>
      </c>
      <c r="Z12" s="42">
        <f>IF($B12="","",IF($B$2="Todos",SUMIFS(BD!$Y$3:$Y$5001,BD!$A$3:$A$5001,$B12),SUMIFS(BD!$Y$3:$Y$5001,BD!$A$3:$A$5001,$B12,BD!$B$3:$B$5001,$D$2)))</f>
        <v>0</v>
      </c>
      <c r="AA12" s="42">
        <f>IF($B12="","",IF($B$2="Todos",SUMIFS(BD!$Z$3:$Z$5001,BD!$A$3:$A$5001,$B12),SUMIFS(BD!$Z$3:$Z$5001,BD!$A$3:$A$5001,$B12,BD!$B$3:$B$5001,$D$2)))</f>
        <v>0</v>
      </c>
      <c r="AB12" s="42">
        <f>IF($B12="","",IF($B$2="Todos",SUMIFS(BD!$AA$3:$AA$5001,BD!$A$3:$A$5001,$B12),SUMIFS(BD!$AA$3:$AA$5001,BD!$A$3:$A$5001,$B12,BD!$B$3:$B$5001,$D$2)))</f>
        <v>0</v>
      </c>
      <c r="AC12" s="42">
        <f>IF($B12="","",IF($B$2="Todos",SUMIFS(BD!$AB$3:$AB$5001,BD!$A$3:$A$5001,$B12),SUMIFS(BD!$AB$3:$AB$5001,BD!$A$3:$A$5001,$B12,BD!$B$3:$B$5001,$D$2)))</f>
        <v>0</v>
      </c>
      <c r="AD12" s="61">
        <f>$B$5</f>
        <v>0.7</v>
      </c>
      <c r="AE12" s="61">
        <f>$B$6</f>
        <v>0.9</v>
      </c>
      <c r="AL12" s="40" t="inlineStr">
        <is>
          <t xml:space="preserve">JANEIRO · 2026</t>
        </is>
      </c>
      <c r="AN12" s="40" t="inlineStr">
        <is>
          <t xml:space="preserve">Todos</t>
        </is>
      </c>
      <c r="AO12" s="39" t="inlineStr">
        <is>
          <t xml:space="preserve">JSL</t>
        </is>
      </c>
      <c r="AQ12" s="40" t="str">
        <f>Config!$D$82&amp;" — "&amp;IF($B$2="Todos","TODOS OS CLIENTES",UPPER($B$2))</f>
        <v>MOVIMENTAÇÃO VEÍCULO/DIA — TODOS OS CLIENTES</v>
      </c>
      <c r="AT12" s="47" t="inlineStr">
        <is>
          <t xml:space="preserve">Capacidade por depósito</t>
        </is>
      </c>
      <c r="AU12" s="47" t="inlineStr">
        <is>
          <t xml:space="preserve">Posições</t>
        </is>
      </c>
      <c r="AX12" s="72">
        <f>IF(OR($B12="",N(VALUE($AH$366))=0),"",IF(INDEX($C12:$AC12,VALUE($AH$366))="","",IF(N(VALUE($AJ$366))=0,INDEX($C12:$AC12,VALUE($AH$366)),IF(N(INDEX($C12:$AC12,N(VALUE($AJ$366))))&gt;0,INDEX($C12:$AC12,VALUE($AH$366))/INDEX($C12:$AC12,N(VALUE($AJ$366))),""))))</f>
        <v>0</v>
      </c>
      <c r="AY12" s="72">
        <f>IF(OR($B12="",N(VALUE($AI$366))=0),"",IF(INDEX($C12:$AC12,VALUE($AI$366))="","",IF(N(VALUE($AK$366))=0,INDEX($C12:$AC12,VALUE($AI$366)),IF(N(INDEX($C12:$AC12,N(VALUE($AK$366))))&gt;0,INDEX($C12:$AC12,VALUE($AI$366))/INDEX($C12:$AC12,N(VALUE($AK$366))),""))))</f>
        <v>0</v>
      </c>
      <c r="AZ12" s="72">
        <f>IF(OR($B12="",N(VALUE($AP$366))=0),"",IF(INDEX($C12:$AC12,VALUE($AP$366))="","",IF(N(VALUE($AR$366))=0,INDEX($C12:$AC12,VALUE($AP$366)),IF(N(INDEX($C12:$AC12,N(VALUE($AR$366))))&gt;0,INDEX($C12:$AC12,VALUE($AP$366))/INDEX($C12:$AC12,N(VALUE($AR$366))),""))))</f>
        <v>0</v>
      </c>
      <c r="BA12" s="72">
        <f>IF(OR($B12="",N(VALUE($AQ$366))=0),"",IF(INDEX($C12:$AC12,VALUE($AQ$366))="","",IF(N(VALUE($AS$366))=0,INDEX($C12:$AC12,VALUE($AQ$366)),IF(N(INDEX($C12:$AC12,N(VALUE($AS$366))))&gt;0,INDEX($C12:$AC12,VALUE($AQ$366))/INDEX($C12:$AC12,N(VALUE($AS$366))),""))))</f>
        <v>0</v>
      </c>
      <c r="BC12" s="42" t="str">
        <f>IF(AND($A12=$B$9,ISNUMBER(R12)),R12,NA())</f>
        <v/>
      </c>
    </row>
    <row r="13">
      <c r="A13" s="39">
        <v>2</v>
      </c>
      <c r="B13" s="57">
        <f>IF($A13&lt;=DAY($D$7),$C$7+$A13-1,"")</f>
        <v>46297</v>
      </c>
      <c r="C13" s="42">
        <f>IF($B13="","",IF($B$2="Todos",SUMIFS(BD!$C$3:$C$5001,BD!$A$3:$A$5001,$B13),SUMIFS(BD!$C$3:$C$5001,BD!$A$3:$A$5001,$B13,BD!$B$3:$B$5001,$D$2)))</f>
        <v>0</v>
      </c>
      <c r="D13" s="42">
        <f>IF($B13="","",IF($B$2="Todos",SUMIFS(BD!$D$3:$D$5001,BD!$A$3:$A$5001,$B13),SUMIFS(BD!$D$3:$D$5001,BD!$A$3:$A$5001,$B13,BD!$B$3:$B$5001,$D$2)))</f>
        <v>0</v>
      </c>
      <c r="E13" s="58">
        <f>IF($B13="","",IF($B$2="Todos",SUMIFS(BD!$E$3:$E$5001,BD!$A$3:$A$5001,$B13),SUMIFS(BD!$E$3:$E$5001,BD!$A$3:$A$5001,$B13,BD!$B$3:$B$5001,$D$2)))</f>
        <v>0</v>
      </c>
      <c r="F13" s="42">
        <f>IF($B13="","",IF($B$2="Todos",SUMIFS(BD!$F$3:$F$5001,BD!$A$3:$A$5001,$B13),SUMIFS(BD!$F$3:$F$5001,BD!$A$3:$A$5001,$B13,BD!$B$3:$B$5001,$D$2)))</f>
        <v>0</v>
      </c>
      <c r="G13" s="42">
        <f>IF($B13="","",IF($B$2="Todos",SUMIFS(BD!$G$3:$G$5001,BD!$A$3:$A$5001,$B13),SUMIFS(BD!$G$3:$G$5001,BD!$A$3:$A$5001,$B13,BD!$B$3:$B$5001,$D$2)))</f>
        <v>0</v>
      </c>
      <c r="H13" s="42">
        <f>IF($B13="","",IF($B$2="Todos",SUMIFS(BD!$H$3:$H$5001,BD!$A$3:$A$5001,$B13),SUMIFS(BD!$H$3:$H$5001,BD!$A$3:$A$5001,$B13,BD!$B$3:$B$5001,$D$2)))</f>
        <v>0</v>
      </c>
      <c r="I13" s="42">
        <f>IF($B13="","",IF($B$2="Todos",SUMIFS(BD!$I$3:$I$5001,BD!$A$3:$A$5001,$B13),SUMIFS(BD!$I$3:$I$5001,BD!$A$3:$A$5001,$B13,BD!$B$3:$B$5001,$D$2)))</f>
        <v>0</v>
      </c>
      <c r="J13" s="58">
        <f>IF($B13="","",IF($B$2="Todos",SUMIFS(BD!$J$3:$J$5001,BD!$A$3:$A$5001,$B13),SUMIFS(BD!$J$3:$J$5001,BD!$A$3:$A$5001,$B13,BD!$B$3:$B$5001,$D$2)))</f>
        <v>0</v>
      </c>
      <c r="K13" s="42">
        <f>IF($B13="","",IF($B$2="Todos",SUMIFS(BD!$K$3:$K$5001,BD!$A$3:$A$5001,$B13),SUMIFS(BD!$K$3:$K$5001,BD!$A$3:$A$5001,$B13,BD!$B$3:$B$5001,$D$2)))</f>
        <v>0</v>
      </c>
      <c r="L13" s="42">
        <f>IF($B13="","",IF($B$2="Todos",SUMIFS(BD!$L$3:$L$5001,BD!$A$3:$A$5001,$B13),SUMIFS(BD!$L$3:$L$5001,BD!$A$3:$A$5001,$B13,BD!$B$3:$B$5001,$D$2)))</f>
        <v>0</v>
      </c>
      <c r="M13" s="42">
        <f>IF($B13="","",IF($B$2="Todos",SUMIFS(BD!$M$3:$M$5001,BD!$A$3:$A$5001,$B13),SUMIFS(BD!$M$3:$M$5001,BD!$A$3:$A$5001,$B13,BD!$B$3:$B$5001,$D$2)))</f>
        <v>0</v>
      </c>
      <c r="N13" s="42">
        <f>IF($B13="","",IF($B$2="Todos",SUMIFS(BD!$N$3:$N$5001,BD!$A$3:$A$5001,$B13),SUMIFS(BD!$N$3:$N$5001,BD!$A$3:$A$5001,$B13,BD!$B$3:$B$5001,$D$2)))</f>
        <v>0</v>
      </c>
      <c r="O13" s="42">
        <f>IF($B13="","",IF($B$2="Todos",SUMIFS(BD!$O$3:$O$5001,BD!$A$3:$A$5001,$B13),SUMIFS(BD!$O$3:$O$5001,BD!$A$3:$A$5001,$B13,BD!$B$3:$B$5001,$D$2)))</f>
        <v>0</v>
      </c>
      <c r="P13" s="42" t="str">
        <f>IF($B$2="Todos",IF(COUNT($C$130:$V$130)=0,"",SUM($C$130:$V$130)),IFERROR(INDEX($C$130:$V$130,MATCH($D$2,$C$128:$V$128,0)),""))</f>
        <v/>
      </c>
      <c r="Q13" s="42" t="str">
        <f>IF($B$2="Todos",IF(COUNT($C$165:$V$165)=0,"",SUM($C$165:$V$165)),IFERROR(INDEX($C$165:$V$165,MATCH($D$2,$C$163:$V$163,0)),""))</f>
        <v/>
      </c>
      <c r="R13" s="59" t="str">
        <f>IF(S13="","",IF($B$2="Todos",IF($B$4&gt;0,$B$4,IF($B$2="Todos",IF(COUNT($C$235:$V$235)=0,"",SUM($C$235:$V$235)),IFERROR(INDEX($C$235:$V$235,MATCH($D$2,$C$233:$V$233,0)),""))),IFERROR(INDEX($C$235:$V$235,MATCH($D$2,$C$233:$V$233,0)),"")))</f>
        <v/>
      </c>
      <c r="S13" s="42" t="str">
        <f>IF($B$2="Todos",IF(COUNT($C$200:$V$200)=0,"",SUM($C$200:$V$200)),IFERROR(INDEX($C$200:$V$200,MATCH($D$2,$C$198:$V$198,0)),""))</f>
        <v/>
      </c>
      <c r="T13" s="60" t="str">
        <f>IF(AND(ISNUMBER(S13),ISNUMBER(R13)),IF(R13&gt;0,S13/R13,""),"")</f>
        <v/>
      </c>
      <c r="U13" s="42" t="str">
        <f>IF($B$2="Todos",IF(COUNT($C$270:$V$270)=0,"",SUM($C$270:$V$270)),IFERROR(INDEX($C$270:$V$270,MATCH($D$2,$C$268:$V$268,0)),""))</f>
        <v/>
      </c>
      <c r="V13" s="42">
        <f>IF($B13="","",IF($B$2="Todos",SUMIFS(BD!$U$3:$U$5001,BD!$A$3:$A$5001,$B13),SUMIFS(BD!$U$3:$U$5001,BD!$A$3:$A$5001,$B13,BD!$B$3:$B$5001,$D$2)))</f>
        <v>0</v>
      </c>
      <c r="W13" s="58">
        <f>IF($B13="","",IF($B$2="Todos",SUMIFS(BD!$V$3:$V$5001,BD!$A$3:$A$5001,$B13),SUMIFS(BD!$V$3:$V$5001,BD!$A$3:$A$5001,$B13,BD!$B$3:$B$5001,$D$2)))</f>
        <v>0</v>
      </c>
      <c r="X13" s="42">
        <f>IF($B13="","",IF($B$2="Todos",SUMIFS(BD!$W$3:$W$5001,BD!$A$3:$A$5001,$B13),SUMIFS(BD!$W$3:$W$5001,BD!$A$3:$A$5001,$B13,BD!$B$3:$B$5001,$D$2)))</f>
        <v>0</v>
      </c>
      <c r="Y13" s="42">
        <f>IF($B13="","",IF($B$2="Todos",SUMIFS(BD!$X$3:$X$5001,BD!$A$3:$A$5001,$B13),SUMIFS(BD!$X$3:$X$5001,BD!$A$3:$A$5001,$B13,BD!$B$3:$B$5001,$D$2)))</f>
        <v>0</v>
      </c>
      <c r="Z13" s="42">
        <f>IF($B13="","",IF($B$2="Todos",SUMIFS(BD!$Y$3:$Y$5001,BD!$A$3:$A$5001,$B13),SUMIFS(BD!$Y$3:$Y$5001,BD!$A$3:$A$5001,$B13,BD!$B$3:$B$5001,$D$2)))</f>
        <v>0</v>
      </c>
      <c r="AA13" s="42">
        <f>IF($B13="","",IF($B$2="Todos",SUMIFS(BD!$Z$3:$Z$5001,BD!$A$3:$A$5001,$B13),SUMIFS(BD!$Z$3:$Z$5001,BD!$A$3:$A$5001,$B13,BD!$B$3:$B$5001,$D$2)))</f>
        <v>0</v>
      </c>
      <c r="AB13" s="42">
        <f>IF($B13="","",IF($B$2="Todos",SUMIFS(BD!$AA$3:$AA$5001,BD!$A$3:$A$5001,$B13),SUMIFS(BD!$AA$3:$AA$5001,BD!$A$3:$A$5001,$B13,BD!$B$3:$B$5001,$D$2)))</f>
        <v>0</v>
      </c>
      <c r="AC13" s="42">
        <f>IF($B13="","",IF($B$2="Todos",SUMIFS(BD!$AB$3:$AB$5001,BD!$A$3:$A$5001,$B13),SUMIFS(BD!$AB$3:$AB$5001,BD!$A$3:$A$5001,$B13,BD!$B$3:$B$5001,$D$2)))</f>
        <v>0</v>
      </c>
      <c r="AD13" s="61">
        <f>$B$5</f>
        <v>0.7</v>
      </c>
      <c r="AE13" s="61">
        <f>$B$6</f>
        <v>0.9</v>
      </c>
      <c r="AL13" s="40" t="inlineStr">
        <is>
          <t xml:space="preserve">FEVEREIRO · 2026</t>
        </is>
      </c>
      <c r="AN13" s="40" t="str">
        <f>IFERROR(INDEX(Config!$B$10:$B$29,MATCH(1,$AP$13:$AP$32,0))&amp;"","")</f>
        <v>Barry Callebaut</v>
      </c>
      <c r="AO13" s="39" t="str">
        <f>IF(AN13="","",IF(INDEX(Config!$C$10:$C$29,MATCH(1,$AP$13:$AP$32,0))&amp;""="","JSL",INDEX(Config!$C$10:$C$29,MATCH(1,$AP$13:$AP$32,0))&amp;""))</f>
        <v>JSL</v>
      </c>
      <c r="AP13" s="48">
        <f>IF(Config!$B$10&amp;""="",0,0+1)</f>
        <v>1</v>
      </c>
      <c r="AQ13" s="40" t="str">
        <f>IF($AZ$366="Não se aplica",Config!$D$87,IF($AZ$366="Só ocupadas",Config!$D$86,Config!$D$85))&amp;" — "&amp;IF($B$2="Todos","TODOS OS CLIENTES",UPPER($B$2))</f>
        <v>OCUPAÇÃO DIÁRIA — TODOS OS CLIENTES</v>
      </c>
      <c r="AT13" s="50" t="inlineStr">
        <is>
          <t xml:space="preserve">JSL</t>
        </is>
      </c>
      <c r="AU13" s="51">
        <f>N(Config!$C$96)</f>
        <v>5872</v>
      </c>
      <c r="AV13" s="36" t="inlineStr">
        <is>
          <t xml:space="preserve">aba Config</t>
        </is>
      </c>
      <c r="AX13" s="72">
        <f>IF(OR($B13="",N(VALUE($AH$366))=0),"",IF(INDEX($C13:$AC13,VALUE($AH$366))="","",IF(N(VALUE($AJ$366))=0,INDEX($C13:$AC13,VALUE($AH$366)),IF(N(INDEX($C13:$AC13,N(VALUE($AJ$366))))&gt;0,INDEX($C13:$AC13,VALUE($AH$366))/INDEX($C13:$AC13,N(VALUE($AJ$366))),""))))</f>
        <v>0</v>
      </c>
      <c r="AY13" s="72">
        <f>IF(OR($B13="",N(VALUE($AI$366))=0),"",IF(INDEX($C13:$AC13,VALUE($AI$366))="","",IF(N(VALUE($AK$366))=0,INDEX($C13:$AC13,VALUE($AI$366)),IF(N(INDEX($C13:$AC13,N(VALUE($AK$366))))&gt;0,INDEX($C13:$AC13,VALUE($AI$366))/INDEX($C13:$AC13,N(VALUE($AK$366))),""))))</f>
        <v>0</v>
      </c>
      <c r="AZ13" s="72">
        <f>IF(OR($B13="",N(VALUE($AP$366))=0),"",IF(INDEX($C13:$AC13,VALUE($AP$366))="","",IF(N(VALUE($AR$366))=0,INDEX($C13:$AC13,VALUE($AP$366)),IF(N(INDEX($C13:$AC13,N(VALUE($AR$366))))&gt;0,INDEX($C13:$AC13,VALUE($AP$366))/INDEX($C13:$AC13,N(VALUE($AR$366))),""))))</f>
        <v>0</v>
      </c>
      <c r="BA13" s="72">
        <f>IF(OR($B13="",N(VALUE($AQ$366))=0),"",IF(INDEX($C13:$AC13,VALUE($AQ$366))="","",IF(N(VALUE($AS$366))=0,INDEX($C13:$AC13,VALUE($AQ$366)),IF(N(INDEX($C13:$AC13,N(VALUE($AS$366))))&gt;0,INDEX($C13:$AC13,VALUE($AQ$366))/INDEX($C13:$AC13,N(VALUE($AS$366))),""))))</f>
        <v>0</v>
      </c>
      <c r="BC13" s="42" t="str">
        <f>IF(AND($A13=$B$9,ISNUMBER(R13)),R13,NA())</f>
        <v/>
      </c>
    </row>
    <row r="14">
      <c r="A14" s="39">
        <v>3</v>
      </c>
      <c r="B14" s="57">
        <f>IF($A14&lt;=DAY($D$7),$C$7+$A14-1,"")</f>
        <v>46298</v>
      </c>
      <c r="C14" s="42">
        <f>IF($B14="","",IF($B$2="Todos",SUMIFS(BD!$C$3:$C$5001,BD!$A$3:$A$5001,$B14),SUMIFS(BD!$C$3:$C$5001,BD!$A$3:$A$5001,$B14,BD!$B$3:$B$5001,$D$2)))</f>
        <v>0</v>
      </c>
      <c r="D14" s="42">
        <f>IF($B14="","",IF($B$2="Todos",SUMIFS(BD!$D$3:$D$5001,BD!$A$3:$A$5001,$B14),SUMIFS(BD!$D$3:$D$5001,BD!$A$3:$A$5001,$B14,BD!$B$3:$B$5001,$D$2)))</f>
        <v>0</v>
      </c>
      <c r="E14" s="58">
        <f>IF($B14="","",IF($B$2="Todos",SUMIFS(BD!$E$3:$E$5001,BD!$A$3:$A$5001,$B14),SUMIFS(BD!$E$3:$E$5001,BD!$A$3:$A$5001,$B14,BD!$B$3:$B$5001,$D$2)))</f>
        <v>0</v>
      </c>
      <c r="F14" s="42">
        <f>IF($B14="","",IF($B$2="Todos",SUMIFS(BD!$F$3:$F$5001,BD!$A$3:$A$5001,$B14),SUMIFS(BD!$F$3:$F$5001,BD!$A$3:$A$5001,$B14,BD!$B$3:$B$5001,$D$2)))</f>
        <v>0</v>
      </c>
      <c r="G14" s="42">
        <f>IF($B14="","",IF($B$2="Todos",SUMIFS(BD!$G$3:$G$5001,BD!$A$3:$A$5001,$B14),SUMIFS(BD!$G$3:$G$5001,BD!$A$3:$A$5001,$B14,BD!$B$3:$B$5001,$D$2)))</f>
        <v>0</v>
      </c>
      <c r="H14" s="42">
        <f>IF($B14="","",IF($B$2="Todos",SUMIFS(BD!$H$3:$H$5001,BD!$A$3:$A$5001,$B14),SUMIFS(BD!$H$3:$H$5001,BD!$A$3:$A$5001,$B14,BD!$B$3:$B$5001,$D$2)))</f>
        <v>0</v>
      </c>
      <c r="I14" s="42">
        <f>IF($B14="","",IF($B$2="Todos",SUMIFS(BD!$I$3:$I$5001,BD!$A$3:$A$5001,$B14),SUMIFS(BD!$I$3:$I$5001,BD!$A$3:$A$5001,$B14,BD!$B$3:$B$5001,$D$2)))</f>
        <v>0</v>
      </c>
      <c r="J14" s="58">
        <f>IF($B14="","",IF($B$2="Todos",SUMIFS(BD!$J$3:$J$5001,BD!$A$3:$A$5001,$B14),SUMIFS(BD!$J$3:$J$5001,BD!$A$3:$A$5001,$B14,BD!$B$3:$B$5001,$D$2)))</f>
        <v>0</v>
      </c>
      <c r="K14" s="42">
        <f>IF($B14="","",IF($B$2="Todos",SUMIFS(BD!$K$3:$K$5001,BD!$A$3:$A$5001,$B14),SUMIFS(BD!$K$3:$K$5001,BD!$A$3:$A$5001,$B14,BD!$B$3:$B$5001,$D$2)))</f>
        <v>0</v>
      </c>
      <c r="L14" s="42">
        <f>IF($B14="","",IF($B$2="Todos",SUMIFS(BD!$L$3:$L$5001,BD!$A$3:$A$5001,$B14),SUMIFS(BD!$L$3:$L$5001,BD!$A$3:$A$5001,$B14,BD!$B$3:$B$5001,$D$2)))</f>
        <v>0</v>
      </c>
      <c r="M14" s="42">
        <f>IF($B14="","",IF($B$2="Todos",SUMIFS(BD!$M$3:$M$5001,BD!$A$3:$A$5001,$B14),SUMIFS(BD!$M$3:$M$5001,BD!$A$3:$A$5001,$B14,BD!$B$3:$B$5001,$D$2)))</f>
        <v>0</v>
      </c>
      <c r="N14" s="42">
        <f>IF($B14="","",IF($B$2="Todos",SUMIFS(BD!$N$3:$N$5001,BD!$A$3:$A$5001,$B14),SUMIFS(BD!$N$3:$N$5001,BD!$A$3:$A$5001,$B14,BD!$B$3:$B$5001,$D$2)))</f>
        <v>0</v>
      </c>
      <c r="O14" s="42">
        <f>IF($B14="","",IF($B$2="Todos",SUMIFS(BD!$O$3:$O$5001,BD!$A$3:$A$5001,$B14),SUMIFS(BD!$O$3:$O$5001,BD!$A$3:$A$5001,$B14,BD!$B$3:$B$5001,$D$2)))</f>
        <v>0</v>
      </c>
      <c r="P14" s="42" t="str">
        <f>IF($B$2="Todos",IF(COUNT($C$131:$V$131)=0,"",SUM($C$131:$V$131)),IFERROR(INDEX($C$131:$V$131,MATCH($D$2,$C$128:$V$128,0)),""))</f>
        <v/>
      </c>
      <c r="Q14" s="42" t="str">
        <f>IF($B$2="Todos",IF(COUNT($C$166:$V$166)=0,"",SUM($C$166:$V$166)),IFERROR(INDEX($C$166:$V$166,MATCH($D$2,$C$163:$V$163,0)),""))</f>
        <v/>
      </c>
      <c r="R14" s="59" t="str">
        <f>IF(S14="","",IF($B$2="Todos",IF($B$4&gt;0,$B$4,IF($B$2="Todos",IF(COUNT($C$236:$V$236)=0,"",SUM($C$236:$V$236)),IFERROR(INDEX($C$236:$V$236,MATCH($D$2,$C$233:$V$233,0)),""))),IFERROR(INDEX($C$236:$V$236,MATCH($D$2,$C$233:$V$233,0)),"")))</f>
        <v/>
      </c>
      <c r="S14" s="42" t="str">
        <f>IF($B$2="Todos",IF(COUNT($C$201:$V$201)=0,"",SUM($C$201:$V$201)),IFERROR(INDEX($C$201:$V$201,MATCH($D$2,$C$198:$V$198,0)),""))</f>
        <v/>
      </c>
      <c r="T14" s="60" t="str">
        <f>IF(AND(ISNUMBER(S14),ISNUMBER(R14)),IF(R14&gt;0,S14/R14,""),"")</f>
        <v/>
      </c>
      <c r="U14" s="42" t="str">
        <f>IF($B$2="Todos",IF(COUNT($C$271:$V$271)=0,"",SUM($C$271:$V$271)),IFERROR(INDEX($C$271:$V$271,MATCH($D$2,$C$268:$V$268,0)),""))</f>
        <v/>
      </c>
      <c r="V14" s="42">
        <f>IF($B14="","",IF($B$2="Todos",SUMIFS(BD!$U$3:$U$5001,BD!$A$3:$A$5001,$B14),SUMIFS(BD!$U$3:$U$5001,BD!$A$3:$A$5001,$B14,BD!$B$3:$B$5001,$D$2)))</f>
        <v>0</v>
      </c>
      <c r="W14" s="58">
        <f>IF($B14="","",IF($B$2="Todos",SUMIFS(BD!$V$3:$V$5001,BD!$A$3:$A$5001,$B14),SUMIFS(BD!$V$3:$V$5001,BD!$A$3:$A$5001,$B14,BD!$B$3:$B$5001,$D$2)))</f>
        <v>0</v>
      </c>
      <c r="X14" s="42">
        <f>IF($B14="","",IF($B$2="Todos",SUMIFS(BD!$W$3:$W$5001,BD!$A$3:$A$5001,$B14),SUMIFS(BD!$W$3:$W$5001,BD!$A$3:$A$5001,$B14,BD!$B$3:$B$5001,$D$2)))</f>
        <v>0</v>
      </c>
      <c r="Y14" s="42">
        <f>IF($B14="","",IF($B$2="Todos",SUMIFS(BD!$X$3:$X$5001,BD!$A$3:$A$5001,$B14),SUMIFS(BD!$X$3:$X$5001,BD!$A$3:$A$5001,$B14,BD!$B$3:$B$5001,$D$2)))</f>
        <v>0</v>
      </c>
      <c r="Z14" s="42">
        <f>IF($B14="","",IF($B$2="Todos",SUMIFS(BD!$Y$3:$Y$5001,BD!$A$3:$A$5001,$B14),SUMIFS(BD!$Y$3:$Y$5001,BD!$A$3:$A$5001,$B14,BD!$B$3:$B$5001,$D$2)))</f>
        <v>0</v>
      </c>
      <c r="AA14" s="42">
        <f>IF($B14="","",IF($B$2="Todos",SUMIFS(BD!$Z$3:$Z$5001,BD!$A$3:$A$5001,$B14),SUMIFS(BD!$Z$3:$Z$5001,BD!$A$3:$A$5001,$B14,BD!$B$3:$B$5001,$D$2)))</f>
        <v>0</v>
      </c>
      <c r="AB14" s="42">
        <f>IF($B14="","",IF($B$2="Todos",SUMIFS(BD!$AA$3:$AA$5001,BD!$A$3:$A$5001,$B14),SUMIFS(BD!$AA$3:$AA$5001,BD!$A$3:$A$5001,$B14,BD!$B$3:$B$5001,$D$2)))</f>
        <v>0</v>
      </c>
      <c r="AC14" s="42">
        <f>IF($B14="","",IF($B$2="Todos",SUMIFS(BD!$AB$3:$AB$5001,BD!$A$3:$A$5001,$B14),SUMIFS(BD!$AB$3:$AB$5001,BD!$A$3:$A$5001,$B14,BD!$B$3:$B$5001,$D$2)))</f>
        <v>0</v>
      </c>
      <c r="AD14" s="61">
        <f>$B$5</f>
        <v>0.7</v>
      </c>
      <c r="AE14" s="61">
        <f>$B$6</f>
        <v>0.9</v>
      </c>
      <c r="AL14" s="40" t="inlineStr">
        <is>
          <t xml:space="preserve">MARÇO · 2026</t>
        </is>
      </c>
      <c r="AN14" s="40" t="str">
        <f>IFERROR(INDEX(Config!$B$10:$B$29,MATCH(2,$AP$13:$AP$32,0))&amp;"","")</f>
        <v>GM</v>
      </c>
      <c r="AO14" s="39" t="str">
        <f>IF(AN14="","",IF(INDEX(Config!$C$10:$C$29,MATCH(2,$AP$13:$AP$32,0))&amp;""="","JSL",INDEX(Config!$C$10:$C$29,MATCH(2,$AP$13:$AP$32,0))&amp;""))</f>
        <v>JSL</v>
      </c>
      <c r="AP14" s="48">
        <f>IF(Config!$B$11&amp;""="",AP13,AP13+1)</f>
        <v>2</v>
      </c>
      <c r="AQ14" s="40" t="str">
        <f>$AL$366&amp;" — "&amp;IF($B$2="Todos","TODOS OS CLIENTES",UPPER($B$2))</f>
        <v>MOVIMENTAÇÃO PALETES/DIA — TODOS OS CLIENTES</v>
      </c>
      <c r="AX14" s="72">
        <f>IF(OR($B14="",N(VALUE($AH$366))=0),"",IF(INDEX($C14:$AC14,VALUE($AH$366))="","",IF(N(VALUE($AJ$366))=0,INDEX($C14:$AC14,VALUE($AH$366)),IF(N(INDEX($C14:$AC14,N(VALUE($AJ$366))))&gt;0,INDEX($C14:$AC14,VALUE($AH$366))/INDEX($C14:$AC14,N(VALUE($AJ$366))),""))))</f>
        <v>0</v>
      </c>
      <c r="AY14" s="72">
        <f>IF(OR($B14="",N(VALUE($AI$366))=0),"",IF(INDEX($C14:$AC14,VALUE($AI$366))="","",IF(N(VALUE($AK$366))=0,INDEX($C14:$AC14,VALUE($AI$366)),IF(N(INDEX($C14:$AC14,N(VALUE($AK$366))))&gt;0,INDEX($C14:$AC14,VALUE($AI$366))/INDEX($C14:$AC14,N(VALUE($AK$366))),""))))</f>
        <v>0</v>
      </c>
      <c r="AZ14" s="72">
        <f>IF(OR($B14="",N(VALUE($AP$366))=0),"",IF(INDEX($C14:$AC14,VALUE($AP$366))="","",IF(N(VALUE($AR$366))=0,INDEX($C14:$AC14,VALUE($AP$366)),IF(N(INDEX($C14:$AC14,N(VALUE($AR$366))))&gt;0,INDEX($C14:$AC14,VALUE($AP$366))/INDEX($C14:$AC14,N(VALUE($AR$366))),""))))</f>
        <v>0</v>
      </c>
      <c r="BA14" s="72">
        <f>IF(OR($B14="",N(VALUE($AQ$366))=0),"",IF(INDEX($C14:$AC14,VALUE($AQ$366))="","",IF(N(VALUE($AS$366))=0,INDEX($C14:$AC14,VALUE($AQ$366)),IF(N(INDEX($C14:$AC14,N(VALUE($AS$366))))&gt;0,INDEX($C14:$AC14,VALUE($AQ$366))/INDEX($C14:$AC14,N(VALUE($AS$366))),""))))</f>
        <v>0</v>
      </c>
      <c r="BC14" s="42" t="str">
        <f>IF(AND($A14=$B$9,ISNUMBER(R14)),R14,NA())</f>
        <v/>
      </c>
    </row>
    <row r="15">
      <c r="A15" s="39">
        <v>4</v>
      </c>
      <c r="B15" s="57">
        <f>IF($A15&lt;=DAY($D$7),$C$7+$A15-1,"")</f>
        <v>46299</v>
      </c>
      <c r="C15" s="42">
        <f>IF($B15="","",IF($B$2="Todos",SUMIFS(BD!$C$3:$C$5001,BD!$A$3:$A$5001,$B15),SUMIFS(BD!$C$3:$C$5001,BD!$A$3:$A$5001,$B15,BD!$B$3:$B$5001,$D$2)))</f>
        <v>0</v>
      </c>
      <c r="D15" s="42">
        <f>IF($B15="","",IF($B$2="Todos",SUMIFS(BD!$D$3:$D$5001,BD!$A$3:$A$5001,$B15),SUMIFS(BD!$D$3:$D$5001,BD!$A$3:$A$5001,$B15,BD!$B$3:$B$5001,$D$2)))</f>
        <v>0</v>
      </c>
      <c r="E15" s="58">
        <f>IF($B15="","",IF($B$2="Todos",SUMIFS(BD!$E$3:$E$5001,BD!$A$3:$A$5001,$B15),SUMIFS(BD!$E$3:$E$5001,BD!$A$3:$A$5001,$B15,BD!$B$3:$B$5001,$D$2)))</f>
        <v>0</v>
      </c>
      <c r="F15" s="42">
        <f>IF($B15="","",IF($B$2="Todos",SUMIFS(BD!$F$3:$F$5001,BD!$A$3:$A$5001,$B15),SUMIFS(BD!$F$3:$F$5001,BD!$A$3:$A$5001,$B15,BD!$B$3:$B$5001,$D$2)))</f>
        <v>0</v>
      </c>
      <c r="G15" s="42">
        <f>IF($B15="","",IF($B$2="Todos",SUMIFS(BD!$G$3:$G$5001,BD!$A$3:$A$5001,$B15),SUMIFS(BD!$G$3:$G$5001,BD!$A$3:$A$5001,$B15,BD!$B$3:$B$5001,$D$2)))</f>
        <v>0</v>
      </c>
      <c r="H15" s="42">
        <f>IF($B15="","",IF($B$2="Todos",SUMIFS(BD!$H$3:$H$5001,BD!$A$3:$A$5001,$B15),SUMIFS(BD!$H$3:$H$5001,BD!$A$3:$A$5001,$B15,BD!$B$3:$B$5001,$D$2)))</f>
        <v>0</v>
      </c>
      <c r="I15" s="42">
        <f>IF($B15="","",IF($B$2="Todos",SUMIFS(BD!$I$3:$I$5001,BD!$A$3:$A$5001,$B15),SUMIFS(BD!$I$3:$I$5001,BD!$A$3:$A$5001,$B15,BD!$B$3:$B$5001,$D$2)))</f>
        <v>0</v>
      </c>
      <c r="J15" s="58">
        <f>IF($B15="","",IF($B$2="Todos",SUMIFS(BD!$J$3:$J$5001,BD!$A$3:$A$5001,$B15),SUMIFS(BD!$J$3:$J$5001,BD!$A$3:$A$5001,$B15,BD!$B$3:$B$5001,$D$2)))</f>
        <v>0</v>
      </c>
      <c r="K15" s="42">
        <f>IF($B15="","",IF($B$2="Todos",SUMIFS(BD!$K$3:$K$5001,BD!$A$3:$A$5001,$B15),SUMIFS(BD!$K$3:$K$5001,BD!$A$3:$A$5001,$B15,BD!$B$3:$B$5001,$D$2)))</f>
        <v>0</v>
      </c>
      <c r="L15" s="42">
        <f>IF($B15="","",IF($B$2="Todos",SUMIFS(BD!$L$3:$L$5001,BD!$A$3:$A$5001,$B15),SUMIFS(BD!$L$3:$L$5001,BD!$A$3:$A$5001,$B15,BD!$B$3:$B$5001,$D$2)))</f>
        <v>0</v>
      </c>
      <c r="M15" s="42">
        <f>IF($B15="","",IF($B$2="Todos",SUMIFS(BD!$M$3:$M$5001,BD!$A$3:$A$5001,$B15),SUMIFS(BD!$M$3:$M$5001,BD!$A$3:$A$5001,$B15,BD!$B$3:$B$5001,$D$2)))</f>
        <v>0</v>
      </c>
      <c r="N15" s="42">
        <f>IF($B15="","",IF($B$2="Todos",SUMIFS(BD!$N$3:$N$5001,BD!$A$3:$A$5001,$B15),SUMIFS(BD!$N$3:$N$5001,BD!$A$3:$A$5001,$B15,BD!$B$3:$B$5001,$D$2)))</f>
        <v>0</v>
      </c>
      <c r="O15" s="42">
        <f>IF($B15="","",IF($B$2="Todos",SUMIFS(BD!$O$3:$O$5001,BD!$A$3:$A$5001,$B15),SUMIFS(BD!$O$3:$O$5001,BD!$A$3:$A$5001,$B15,BD!$B$3:$B$5001,$D$2)))</f>
        <v>0</v>
      </c>
      <c r="P15" s="42" t="str">
        <f>IF($B$2="Todos",IF(COUNT($C$132:$V$132)=0,"",SUM($C$132:$V$132)),IFERROR(INDEX($C$132:$V$132,MATCH($D$2,$C$128:$V$128,0)),""))</f>
        <v/>
      </c>
      <c r="Q15" s="42" t="str">
        <f>IF($B$2="Todos",IF(COUNT($C$167:$V$167)=0,"",SUM($C$167:$V$167)),IFERROR(INDEX($C$167:$V$167,MATCH($D$2,$C$163:$V$163,0)),""))</f>
        <v/>
      </c>
      <c r="R15" s="59" t="str">
        <f>IF(S15="","",IF($B$2="Todos",IF($B$4&gt;0,$B$4,IF($B$2="Todos",IF(COUNT($C$237:$V$237)=0,"",SUM($C$237:$V$237)),IFERROR(INDEX($C$237:$V$237,MATCH($D$2,$C$233:$V$233,0)),""))),IFERROR(INDEX($C$237:$V$237,MATCH($D$2,$C$233:$V$233,0)),"")))</f>
        <v/>
      </c>
      <c r="S15" s="42" t="str">
        <f>IF($B$2="Todos",IF(COUNT($C$202:$V$202)=0,"",SUM($C$202:$V$202)),IFERROR(INDEX($C$202:$V$202,MATCH($D$2,$C$198:$V$198,0)),""))</f>
        <v/>
      </c>
      <c r="T15" s="60" t="str">
        <f>IF(AND(ISNUMBER(S15),ISNUMBER(R15)),IF(R15&gt;0,S15/R15,""),"")</f>
        <v/>
      </c>
      <c r="U15" s="42" t="str">
        <f>IF($B$2="Todos",IF(COUNT($C$272:$V$272)=0,"",SUM($C$272:$V$272)),IFERROR(INDEX($C$272:$V$272,MATCH($D$2,$C$268:$V$268,0)),""))</f>
        <v/>
      </c>
      <c r="V15" s="42">
        <f>IF($B15="","",IF($B$2="Todos",SUMIFS(BD!$U$3:$U$5001,BD!$A$3:$A$5001,$B15),SUMIFS(BD!$U$3:$U$5001,BD!$A$3:$A$5001,$B15,BD!$B$3:$B$5001,$D$2)))</f>
        <v>0</v>
      </c>
      <c r="W15" s="58">
        <f>IF($B15="","",IF($B$2="Todos",SUMIFS(BD!$V$3:$V$5001,BD!$A$3:$A$5001,$B15),SUMIFS(BD!$V$3:$V$5001,BD!$A$3:$A$5001,$B15,BD!$B$3:$B$5001,$D$2)))</f>
        <v>0</v>
      </c>
      <c r="X15" s="42">
        <f>IF($B15="","",IF($B$2="Todos",SUMIFS(BD!$W$3:$W$5001,BD!$A$3:$A$5001,$B15),SUMIFS(BD!$W$3:$W$5001,BD!$A$3:$A$5001,$B15,BD!$B$3:$B$5001,$D$2)))</f>
        <v>0</v>
      </c>
      <c r="Y15" s="42">
        <f>IF($B15="","",IF($B$2="Todos",SUMIFS(BD!$X$3:$X$5001,BD!$A$3:$A$5001,$B15),SUMIFS(BD!$X$3:$X$5001,BD!$A$3:$A$5001,$B15,BD!$B$3:$B$5001,$D$2)))</f>
        <v>0</v>
      </c>
      <c r="Z15" s="42">
        <f>IF($B15="","",IF($B$2="Todos",SUMIFS(BD!$Y$3:$Y$5001,BD!$A$3:$A$5001,$B15),SUMIFS(BD!$Y$3:$Y$5001,BD!$A$3:$A$5001,$B15,BD!$B$3:$B$5001,$D$2)))</f>
        <v>0</v>
      </c>
      <c r="AA15" s="42">
        <f>IF($B15="","",IF($B$2="Todos",SUMIFS(BD!$Z$3:$Z$5001,BD!$A$3:$A$5001,$B15),SUMIFS(BD!$Z$3:$Z$5001,BD!$A$3:$A$5001,$B15,BD!$B$3:$B$5001,$D$2)))</f>
        <v>0</v>
      </c>
      <c r="AB15" s="42">
        <f>IF($B15="","",IF($B$2="Todos",SUMIFS(BD!$AA$3:$AA$5001,BD!$A$3:$A$5001,$B15),SUMIFS(BD!$AA$3:$AA$5001,BD!$A$3:$A$5001,$B15,BD!$B$3:$B$5001,$D$2)))</f>
        <v>0</v>
      </c>
      <c r="AC15" s="42">
        <f>IF($B15="","",IF($B$2="Todos",SUMIFS(BD!$AB$3:$AB$5001,BD!$A$3:$A$5001,$B15),SUMIFS(BD!$AB$3:$AB$5001,BD!$A$3:$A$5001,$B15,BD!$B$3:$B$5001,$D$2)))</f>
        <v>0</v>
      </c>
      <c r="AD15" s="61">
        <f>$B$5</f>
        <v>0.7</v>
      </c>
      <c r="AE15" s="61">
        <f>$B$6</f>
        <v>0.9</v>
      </c>
      <c r="AL15" s="40" t="inlineStr">
        <is>
          <t xml:space="preserve">ABRIL · 2026</t>
        </is>
      </c>
      <c r="AN15" s="40" t="str">
        <f>IFERROR(INDEX(Config!$B$10:$B$29,MATCH(3,$AP$13:$AP$32,0))&amp;"","")</f>
        <v>Mondelez</v>
      </c>
      <c r="AO15" s="39" t="str">
        <f>IF(AN15="","",IF(INDEX(Config!$C$10:$C$29,MATCH(3,$AP$13:$AP$32,0))&amp;""="","JSL",INDEX(Config!$C$10:$C$29,MATCH(3,$AP$13:$AP$32,0))&amp;""))</f>
        <v>JSL</v>
      </c>
      <c r="AP15" s="48">
        <f>IF(Config!$B$12&amp;""="",AP14,AP14+1)</f>
        <v>3</v>
      </c>
      <c r="AQ15" s="40" t="str">
        <f>$AT$366&amp;" — "&amp;IF($B$2="Todos","TODOS OS CLIENTES",UPPER($B$2))</f>
        <v>MOVIMENTAÇÃO TONS/DIA — TODOS OS CLIENTES</v>
      </c>
      <c r="AX15" s="72">
        <f>IF(OR($B15="",N(VALUE($AH$366))=0),"",IF(INDEX($C15:$AC15,VALUE($AH$366))="","",IF(N(VALUE($AJ$366))=0,INDEX($C15:$AC15,VALUE($AH$366)),IF(N(INDEX($C15:$AC15,N(VALUE($AJ$366))))&gt;0,INDEX($C15:$AC15,VALUE($AH$366))/INDEX($C15:$AC15,N(VALUE($AJ$366))),""))))</f>
        <v>0</v>
      </c>
      <c r="AY15" s="72">
        <f>IF(OR($B15="",N(VALUE($AI$366))=0),"",IF(INDEX($C15:$AC15,VALUE($AI$366))="","",IF(N(VALUE($AK$366))=0,INDEX($C15:$AC15,VALUE($AI$366)),IF(N(INDEX($C15:$AC15,N(VALUE($AK$366))))&gt;0,INDEX($C15:$AC15,VALUE($AI$366))/INDEX($C15:$AC15,N(VALUE($AK$366))),""))))</f>
        <v>0</v>
      </c>
      <c r="AZ15" s="72">
        <f>IF(OR($B15="",N(VALUE($AP$366))=0),"",IF(INDEX($C15:$AC15,VALUE($AP$366))="","",IF(N(VALUE($AR$366))=0,INDEX($C15:$AC15,VALUE($AP$366)),IF(N(INDEX($C15:$AC15,N(VALUE($AR$366))))&gt;0,INDEX($C15:$AC15,VALUE($AP$366))/INDEX($C15:$AC15,N(VALUE($AR$366))),""))))</f>
        <v>0</v>
      </c>
      <c r="BA15" s="72">
        <f>IF(OR($B15="",N(VALUE($AQ$366))=0),"",IF(INDEX($C15:$AC15,VALUE($AQ$366))="","",IF(N(VALUE($AS$366))=0,INDEX($C15:$AC15,VALUE($AQ$366)),IF(N(INDEX($C15:$AC15,N(VALUE($AS$366))))&gt;0,INDEX($C15:$AC15,VALUE($AQ$366))/INDEX($C15:$AC15,N(VALUE($AS$366))),""))))</f>
        <v>0</v>
      </c>
      <c r="BC15" s="42" t="str">
        <f>IF(AND($A15=$B$9,ISNUMBER(R15)),R15,NA())</f>
        <v/>
      </c>
    </row>
    <row r="16">
      <c r="A16" s="39">
        <v>5</v>
      </c>
      <c r="B16" s="57">
        <f>IF($A16&lt;=DAY($D$7),$C$7+$A16-1,"")</f>
        <v>46300</v>
      </c>
      <c r="C16" s="42">
        <f>IF($B16="","",IF($B$2="Todos",SUMIFS(BD!$C$3:$C$5001,BD!$A$3:$A$5001,$B16),SUMIFS(BD!$C$3:$C$5001,BD!$A$3:$A$5001,$B16,BD!$B$3:$B$5001,$D$2)))</f>
        <v>0</v>
      </c>
      <c r="D16" s="42">
        <f>IF($B16="","",IF($B$2="Todos",SUMIFS(BD!$D$3:$D$5001,BD!$A$3:$A$5001,$B16),SUMIFS(BD!$D$3:$D$5001,BD!$A$3:$A$5001,$B16,BD!$B$3:$B$5001,$D$2)))</f>
        <v>0</v>
      </c>
      <c r="E16" s="58">
        <f>IF($B16="","",IF($B$2="Todos",SUMIFS(BD!$E$3:$E$5001,BD!$A$3:$A$5001,$B16),SUMIFS(BD!$E$3:$E$5001,BD!$A$3:$A$5001,$B16,BD!$B$3:$B$5001,$D$2)))</f>
        <v>0</v>
      </c>
      <c r="F16" s="42">
        <f>IF($B16="","",IF($B$2="Todos",SUMIFS(BD!$F$3:$F$5001,BD!$A$3:$A$5001,$B16),SUMIFS(BD!$F$3:$F$5001,BD!$A$3:$A$5001,$B16,BD!$B$3:$B$5001,$D$2)))</f>
        <v>0</v>
      </c>
      <c r="G16" s="42">
        <f>IF($B16="","",IF($B$2="Todos",SUMIFS(BD!$G$3:$G$5001,BD!$A$3:$A$5001,$B16),SUMIFS(BD!$G$3:$G$5001,BD!$A$3:$A$5001,$B16,BD!$B$3:$B$5001,$D$2)))</f>
        <v>0</v>
      </c>
      <c r="H16" s="42">
        <f>IF($B16="","",IF($B$2="Todos",SUMIFS(BD!$H$3:$H$5001,BD!$A$3:$A$5001,$B16),SUMIFS(BD!$H$3:$H$5001,BD!$A$3:$A$5001,$B16,BD!$B$3:$B$5001,$D$2)))</f>
        <v>0</v>
      </c>
      <c r="I16" s="42">
        <f>IF($B16="","",IF($B$2="Todos",SUMIFS(BD!$I$3:$I$5001,BD!$A$3:$A$5001,$B16),SUMIFS(BD!$I$3:$I$5001,BD!$A$3:$A$5001,$B16,BD!$B$3:$B$5001,$D$2)))</f>
        <v>0</v>
      </c>
      <c r="J16" s="58">
        <f>IF($B16="","",IF($B$2="Todos",SUMIFS(BD!$J$3:$J$5001,BD!$A$3:$A$5001,$B16),SUMIFS(BD!$J$3:$J$5001,BD!$A$3:$A$5001,$B16,BD!$B$3:$B$5001,$D$2)))</f>
        <v>0</v>
      </c>
      <c r="K16" s="42">
        <f>IF($B16="","",IF($B$2="Todos",SUMIFS(BD!$K$3:$K$5001,BD!$A$3:$A$5001,$B16),SUMIFS(BD!$K$3:$K$5001,BD!$A$3:$A$5001,$B16,BD!$B$3:$B$5001,$D$2)))</f>
        <v>0</v>
      </c>
      <c r="L16" s="42">
        <f>IF($B16="","",IF($B$2="Todos",SUMIFS(BD!$L$3:$L$5001,BD!$A$3:$A$5001,$B16),SUMIFS(BD!$L$3:$L$5001,BD!$A$3:$A$5001,$B16,BD!$B$3:$B$5001,$D$2)))</f>
        <v>0</v>
      </c>
      <c r="M16" s="42">
        <f>IF($B16="","",IF($B$2="Todos",SUMIFS(BD!$M$3:$M$5001,BD!$A$3:$A$5001,$B16),SUMIFS(BD!$M$3:$M$5001,BD!$A$3:$A$5001,$B16,BD!$B$3:$B$5001,$D$2)))</f>
        <v>0</v>
      </c>
      <c r="N16" s="42">
        <f>IF($B16="","",IF($B$2="Todos",SUMIFS(BD!$N$3:$N$5001,BD!$A$3:$A$5001,$B16),SUMIFS(BD!$N$3:$N$5001,BD!$A$3:$A$5001,$B16,BD!$B$3:$B$5001,$D$2)))</f>
        <v>0</v>
      </c>
      <c r="O16" s="42">
        <f>IF($B16="","",IF($B$2="Todos",SUMIFS(BD!$O$3:$O$5001,BD!$A$3:$A$5001,$B16),SUMIFS(BD!$O$3:$O$5001,BD!$A$3:$A$5001,$B16,BD!$B$3:$B$5001,$D$2)))</f>
        <v>0</v>
      </c>
      <c r="P16" s="42" t="str">
        <f>IF($B$2="Todos",IF(COUNT($C$133:$V$133)=0,"",SUM($C$133:$V$133)),IFERROR(INDEX($C$133:$V$133,MATCH($D$2,$C$128:$V$128,0)),""))</f>
        <v/>
      </c>
      <c r="Q16" s="42" t="str">
        <f>IF($B$2="Todos",IF(COUNT($C$168:$V$168)=0,"",SUM($C$168:$V$168)),IFERROR(INDEX($C$168:$V$168,MATCH($D$2,$C$163:$V$163,0)),""))</f>
        <v/>
      </c>
      <c r="R16" s="59" t="str">
        <f>IF(S16="","",IF($B$2="Todos",IF($B$4&gt;0,$B$4,IF($B$2="Todos",IF(COUNT($C$238:$V$238)=0,"",SUM($C$238:$V$238)),IFERROR(INDEX($C$238:$V$238,MATCH($D$2,$C$233:$V$233,0)),""))),IFERROR(INDEX($C$238:$V$238,MATCH($D$2,$C$233:$V$233,0)),"")))</f>
        <v/>
      </c>
      <c r="S16" s="42" t="str">
        <f>IF($B$2="Todos",IF(COUNT($C$203:$V$203)=0,"",SUM($C$203:$V$203)),IFERROR(INDEX($C$203:$V$203,MATCH($D$2,$C$198:$V$198,0)),""))</f>
        <v/>
      </c>
      <c r="T16" s="60" t="str">
        <f>IF(AND(ISNUMBER(S16),ISNUMBER(R16)),IF(R16&gt;0,S16/R16,""),"")</f>
        <v/>
      </c>
      <c r="U16" s="42" t="str">
        <f>IF($B$2="Todos",IF(COUNT($C$273:$V$273)=0,"",SUM($C$273:$V$273)),IFERROR(INDEX($C$273:$V$273,MATCH($D$2,$C$268:$V$268,0)),""))</f>
        <v/>
      </c>
      <c r="V16" s="42">
        <f>IF($B16="","",IF($B$2="Todos",SUMIFS(BD!$U$3:$U$5001,BD!$A$3:$A$5001,$B16),SUMIFS(BD!$U$3:$U$5001,BD!$A$3:$A$5001,$B16,BD!$B$3:$B$5001,$D$2)))</f>
        <v>0</v>
      </c>
      <c r="W16" s="58">
        <f>IF($B16="","",IF($B$2="Todos",SUMIFS(BD!$V$3:$V$5001,BD!$A$3:$A$5001,$B16),SUMIFS(BD!$V$3:$V$5001,BD!$A$3:$A$5001,$B16,BD!$B$3:$B$5001,$D$2)))</f>
        <v>0</v>
      </c>
      <c r="X16" s="42">
        <f>IF($B16="","",IF($B$2="Todos",SUMIFS(BD!$W$3:$W$5001,BD!$A$3:$A$5001,$B16),SUMIFS(BD!$W$3:$W$5001,BD!$A$3:$A$5001,$B16,BD!$B$3:$B$5001,$D$2)))</f>
        <v>0</v>
      </c>
      <c r="Y16" s="42">
        <f>IF($B16="","",IF($B$2="Todos",SUMIFS(BD!$X$3:$X$5001,BD!$A$3:$A$5001,$B16),SUMIFS(BD!$X$3:$X$5001,BD!$A$3:$A$5001,$B16,BD!$B$3:$B$5001,$D$2)))</f>
        <v>0</v>
      </c>
      <c r="Z16" s="42">
        <f>IF($B16="","",IF($B$2="Todos",SUMIFS(BD!$Y$3:$Y$5001,BD!$A$3:$A$5001,$B16),SUMIFS(BD!$Y$3:$Y$5001,BD!$A$3:$A$5001,$B16,BD!$B$3:$B$5001,$D$2)))</f>
        <v>0</v>
      </c>
      <c r="AA16" s="42">
        <f>IF($B16="","",IF($B$2="Todos",SUMIFS(BD!$Z$3:$Z$5001,BD!$A$3:$A$5001,$B16),SUMIFS(BD!$Z$3:$Z$5001,BD!$A$3:$A$5001,$B16,BD!$B$3:$B$5001,$D$2)))</f>
        <v>0</v>
      </c>
      <c r="AB16" s="42">
        <f>IF($B16="","",IF($B$2="Todos",SUMIFS(BD!$AA$3:$AA$5001,BD!$A$3:$A$5001,$B16),SUMIFS(BD!$AA$3:$AA$5001,BD!$A$3:$A$5001,$B16,BD!$B$3:$B$5001,$D$2)))</f>
        <v>0</v>
      </c>
      <c r="AC16" s="42">
        <f>IF($B16="","",IF($B$2="Todos",SUMIFS(BD!$AB$3:$AB$5001,BD!$A$3:$A$5001,$B16),SUMIFS(BD!$AB$3:$AB$5001,BD!$A$3:$A$5001,$B16,BD!$B$3:$B$5001,$D$2)))</f>
        <v>0</v>
      </c>
      <c r="AD16" s="61">
        <f>$B$5</f>
        <v>0.7</v>
      </c>
      <c r="AE16" s="61">
        <f>$B$6</f>
        <v>0.9</v>
      </c>
      <c r="AL16" s="40" t="inlineStr">
        <is>
          <t xml:space="preserve">MAIO · 2026</t>
        </is>
      </c>
      <c r="AN16" s="40" t="str">
        <f>IFERROR(INDEX(Config!$B$10:$B$29,MATCH(4,$AP$13:$AP$32,0))&amp;"","")</f>
        <v>Nestlé</v>
      </c>
      <c r="AO16" s="39" t="str">
        <f>IF(AN16="","",IF(INDEX(Config!$C$10:$C$29,MATCH(4,$AP$13:$AP$32,0))&amp;""="","JSL",INDEX(Config!$C$10:$C$29,MATCH(4,$AP$13:$AP$32,0))&amp;""))</f>
        <v>JSL</v>
      </c>
      <c r="AP16" s="48">
        <f>IF(Config!$B$13&amp;""="",AP15,AP15+1)</f>
        <v>4</v>
      </c>
      <c r="AQ16" s="40" t="str">
        <f>$AM$366&amp;" — "&amp;IF($B$2="Todos","TODOS OS CLIENTES",UPPER($B$2))</f>
        <v>ACUMULADO SEMANAL PALETES — TODOS OS CLIENTES</v>
      </c>
      <c r="AX16" s="72">
        <f>IF(OR($B16="",N(VALUE($AH$366))=0),"",IF(INDEX($C16:$AC16,VALUE($AH$366))="","",IF(N(VALUE($AJ$366))=0,INDEX($C16:$AC16,VALUE($AH$366)),IF(N(INDEX($C16:$AC16,N(VALUE($AJ$366))))&gt;0,INDEX($C16:$AC16,VALUE($AH$366))/INDEX($C16:$AC16,N(VALUE($AJ$366))),""))))</f>
        <v>0</v>
      </c>
      <c r="AY16" s="72">
        <f>IF(OR($B16="",N(VALUE($AI$366))=0),"",IF(INDEX($C16:$AC16,VALUE($AI$366))="","",IF(N(VALUE($AK$366))=0,INDEX($C16:$AC16,VALUE($AI$366)),IF(N(INDEX($C16:$AC16,N(VALUE($AK$366))))&gt;0,INDEX($C16:$AC16,VALUE($AI$366))/INDEX($C16:$AC16,N(VALUE($AK$366))),""))))</f>
        <v>0</v>
      </c>
      <c r="AZ16" s="72">
        <f>IF(OR($B16="",N(VALUE($AP$366))=0),"",IF(INDEX($C16:$AC16,VALUE($AP$366))="","",IF(N(VALUE($AR$366))=0,INDEX($C16:$AC16,VALUE($AP$366)),IF(N(INDEX($C16:$AC16,N(VALUE($AR$366))))&gt;0,INDEX($C16:$AC16,VALUE($AP$366))/INDEX($C16:$AC16,N(VALUE($AR$366))),""))))</f>
        <v>0</v>
      </c>
      <c r="BA16" s="72">
        <f>IF(OR($B16="",N(VALUE($AQ$366))=0),"",IF(INDEX($C16:$AC16,VALUE($AQ$366))="","",IF(N(VALUE($AS$366))=0,INDEX($C16:$AC16,VALUE($AQ$366)),IF(N(INDEX($C16:$AC16,N(VALUE($AS$366))))&gt;0,INDEX($C16:$AC16,VALUE($AQ$366))/INDEX($C16:$AC16,N(VALUE($AS$366))),""))))</f>
        <v>0</v>
      </c>
      <c r="BC16" s="42" t="str">
        <f>IF(AND($A16=$B$9,ISNUMBER(R16)),R16,NA())</f>
        <v/>
      </c>
    </row>
    <row r="17">
      <c r="A17" s="39">
        <v>6</v>
      </c>
      <c r="B17" s="57">
        <f>IF($A17&lt;=DAY($D$7),$C$7+$A17-1,"")</f>
        <v>46301</v>
      </c>
      <c r="C17" s="42">
        <f>IF($B17="","",IF($B$2="Todos",SUMIFS(BD!$C$3:$C$5001,BD!$A$3:$A$5001,$B17),SUMIFS(BD!$C$3:$C$5001,BD!$A$3:$A$5001,$B17,BD!$B$3:$B$5001,$D$2)))</f>
        <v>0</v>
      </c>
      <c r="D17" s="42">
        <f>IF($B17="","",IF($B$2="Todos",SUMIFS(BD!$D$3:$D$5001,BD!$A$3:$A$5001,$B17),SUMIFS(BD!$D$3:$D$5001,BD!$A$3:$A$5001,$B17,BD!$B$3:$B$5001,$D$2)))</f>
        <v>0</v>
      </c>
      <c r="E17" s="58">
        <f>IF($B17="","",IF($B$2="Todos",SUMIFS(BD!$E$3:$E$5001,BD!$A$3:$A$5001,$B17),SUMIFS(BD!$E$3:$E$5001,BD!$A$3:$A$5001,$B17,BD!$B$3:$B$5001,$D$2)))</f>
        <v>0</v>
      </c>
      <c r="F17" s="42">
        <f>IF($B17="","",IF($B$2="Todos",SUMIFS(BD!$F$3:$F$5001,BD!$A$3:$A$5001,$B17),SUMIFS(BD!$F$3:$F$5001,BD!$A$3:$A$5001,$B17,BD!$B$3:$B$5001,$D$2)))</f>
        <v>0</v>
      </c>
      <c r="G17" s="42">
        <f>IF($B17="","",IF($B$2="Todos",SUMIFS(BD!$G$3:$G$5001,BD!$A$3:$A$5001,$B17),SUMIFS(BD!$G$3:$G$5001,BD!$A$3:$A$5001,$B17,BD!$B$3:$B$5001,$D$2)))</f>
        <v>0</v>
      </c>
      <c r="H17" s="42">
        <f>IF($B17="","",IF($B$2="Todos",SUMIFS(BD!$H$3:$H$5001,BD!$A$3:$A$5001,$B17),SUMIFS(BD!$H$3:$H$5001,BD!$A$3:$A$5001,$B17,BD!$B$3:$B$5001,$D$2)))</f>
        <v>0</v>
      </c>
      <c r="I17" s="42">
        <f>IF($B17="","",IF($B$2="Todos",SUMIFS(BD!$I$3:$I$5001,BD!$A$3:$A$5001,$B17),SUMIFS(BD!$I$3:$I$5001,BD!$A$3:$A$5001,$B17,BD!$B$3:$B$5001,$D$2)))</f>
        <v>0</v>
      </c>
      <c r="J17" s="58">
        <f>IF($B17="","",IF($B$2="Todos",SUMIFS(BD!$J$3:$J$5001,BD!$A$3:$A$5001,$B17),SUMIFS(BD!$J$3:$J$5001,BD!$A$3:$A$5001,$B17,BD!$B$3:$B$5001,$D$2)))</f>
        <v>0</v>
      </c>
      <c r="K17" s="42">
        <f>IF($B17="","",IF($B$2="Todos",SUMIFS(BD!$K$3:$K$5001,BD!$A$3:$A$5001,$B17),SUMIFS(BD!$K$3:$K$5001,BD!$A$3:$A$5001,$B17,BD!$B$3:$B$5001,$D$2)))</f>
        <v>0</v>
      </c>
      <c r="L17" s="42">
        <f>IF($B17="","",IF($B$2="Todos",SUMIFS(BD!$L$3:$L$5001,BD!$A$3:$A$5001,$B17),SUMIFS(BD!$L$3:$L$5001,BD!$A$3:$A$5001,$B17,BD!$B$3:$B$5001,$D$2)))</f>
        <v>0</v>
      </c>
      <c r="M17" s="42">
        <f>IF($B17="","",IF($B$2="Todos",SUMIFS(BD!$M$3:$M$5001,BD!$A$3:$A$5001,$B17),SUMIFS(BD!$M$3:$M$5001,BD!$A$3:$A$5001,$B17,BD!$B$3:$B$5001,$D$2)))</f>
        <v>0</v>
      </c>
      <c r="N17" s="42">
        <f>IF($B17="","",IF($B$2="Todos",SUMIFS(BD!$N$3:$N$5001,BD!$A$3:$A$5001,$B17),SUMIFS(BD!$N$3:$N$5001,BD!$A$3:$A$5001,$B17,BD!$B$3:$B$5001,$D$2)))</f>
        <v>0</v>
      </c>
      <c r="O17" s="42">
        <f>IF($B17="","",IF($B$2="Todos",SUMIFS(BD!$O$3:$O$5001,BD!$A$3:$A$5001,$B17),SUMIFS(BD!$O$3:$O$5001,BD!$A$3:$A$5001,$B17,BD!$B$3:$B$5001,$D$2)))</f>
        <v>0</v>
      </c>
      <c r="P17" s="42" t="str">
        <f>IF($B$2="Todos",IF(COUNT($C$134:$V$134)=0,"",SUM($C$134:$V$134)),IFERROR(INDEX($C$134:$V$134,MATCH($D$2,$C$128:$V$128,0)),""))</f>
        <v/>
      </c>
      <c r="Q17" s="42" t="str">
        <f>IF($B$2="Todos",IF(COUNT($C$169:$V$169)=0,"",SUM($C$169:$V$169)),IFERROR(INDEX($C$169:$V$169,MATCH($D$2,$C$163:$V$163,0)),""))</f>
        <v/>
      </c>
      <c r="R17" s="59" t="str">
        <f>IF(S17="","",IF($B$2="Todos",IF($B$4&gt;0,$B$4,IF($B$2="Todos",IF(COUNT($C$239:$V$239)=0,"",SUM($C$239:$V$239)),IFERROR(INDEX($C$239:$V$239,MATCH($D$2,$C$233:$V$233,0)),""))),IFERROR(INDEX($C$239:$V$239,MATCH($D$2,$C$233:$V$233,0)),"")))</f>
        <v/>
      </c>
      <c r="S17" s="42" t="str">
        <f>IF($B$2="Todos",IF(COUNT($C$204:$V$204)=0,"",SUM($C$204:$V$204)),IFERROR(INDEX($C$204:$V$204,MATCH($D$2,$C$198:$V$198,0)),""))</f>
        <v/>
      </c>
      <c r="T17" s="60" t="str">
        <f>IF(AND(ISNUMBER(S17),ISNUMBER(R17)),IF(R17&gt;0,S17/R17,""),"")</f>
        <v/>
      </c>
      <c r="U17" s="42" t="str">
        <f>IF($B$2="Todos",IF(COUNT($C$274:$V$274)=0,"",SUM($C$274:$V$274)),IFERROR(INDEX($C$274:$V$274,MATCH($D$2,$C$268:$V$268,0)),""))</f>
        <v/>
      </c>
      <c r="V17" s="42">
        <f>IF($B17="","",IF($B$2="Todos",SUMIFS(BD!$U$3:$U$5001,BD!$A$3:$A$5001,$B17),SUMIFS(BD!$U$3:$U$5001,BD!$A$3:$A$5001,$B17,BD!$B$3:$B$5001,$D$2)))</f>
        <v>0</v>
      </c>
      <c r="W17" s="58">
        <f>IF($B17="","",IF($B$2="Todos",SUMIFS(BD!$V$3:$V$5001,BD!$A$3:$A$5001,$B17),SUMIFS(BD!$V$3:$V$5001,BD!$A$3:$A$5001,$B17,BD!$B$3:$B$5001,$D$2)))</f>
        <v>0</v>
      </c>
      <c r="X17" s="42">
        <f>IF($B17="","",IF($B$2="Todos",SUMIFS(BD!$W$3:$W$5001,BD!$A$3:$A$5001,$B17),SUMIFS(BD!$W$3:$W$5001,BD!$A$3:$A$5001,$B17,BD!$B$3:$B$5001,$D$2)))</f>
        <v>0</v>
      </c>
      <c r="Y17" s="42">
        <f>IF($B17="","",IF($B$2="Todos",SUMIFS(BD!$X$3:$X$5001,BD!$A$3:$A$5001,$B17),SUMIFS(BD!$X$3:$X$5001,BD!$A$3:$A$5001,$B17,BD!$B$3:$B$5001,$D$2)))</f>
        <v>0</v>
      </c>
      <c r="Z17" s="42">
        <f>IF($B17="","",IF($B$2="Todos",SUMIFS(BD!$Y$3:$Y$5001,BD!$A$3:$A$5001,$B17),SUMIFS(BD!$Y$3:$Y$5001,BD!$A$3:$A$5001,$B17,BD!$B$3:$B$5001,$D$2)))</f>
        <v>0</v>
      </c>
      <c r="AA17" s="42">
        <f>IF($B17="","",IF($B$2="Todos",SUMIFS(BD!$Z$3:$Z$5001,BD!$A$3:$A$5001,$B17),SUMIFS(BD!$Z$3:$Z$5001,BD!$A$3:$A$5001,$B17,BD!$B$3:$B$5001,$D$2)))</f>
        <v>0</v>
      </c>
      <c r="AB17" s="42">
        <f>IF($B17="","",IF($B$2="Todos",SUMIFS(BD!$AA$3:$AA$5001,BD!$A$3:$A$5001,$B17),SUMIFS(BD!$AA$3:$AA$5001,BD!$A$3:$A$5001,$B17,BD!$B$3:$B$5001,$D$2)))</f>
        <v>0</v>
      </c>
      <c r="AC17" s="42">
        <f>IF($B17="","",IF($B$2="Todos",SUMIFS(BD!$AB$3:$AB$5001,BD!$A$3:$A$5001,$B17),SUMIFS(BD!$AB$3:$AB$5001,BD!$A$3:$A$5001,$B17,BD!$B$3:$B$5001,$D$2)))</f>
        <v>0</v>
      </c>
      <c r="AD17" s="61">
        <f>$B$5</f>
        <v>0.7</v>
      </c>
      <c r="AE17" s="61">
        <f>$B$6</f>
        <v>0.9</v>
      </c>
      <c r="AL17" s="40" t="inlineStr">
        <is>
          <t xml:space="preserve">JUNHO · 2026</t>
        </is>
      </c>
      <c r="AN17" s="40" t="str">
        <f>IFERROR(INDEX(Config!$B$10:$B$29,MATCH(5,$AP$13:$AP$32,0))&amp;"","")</f>
        <v>PMB</v>
      </c>
      <c r="AO17" s="39" t="str">
        <f>IF(AN17="","",IF(INDEX(Config!$C$10:$C$29,MATCH(5,$AP$13:$AP$32,0))&amp;""="","JSL",INDEX(Config!$C$10:$C$29,MATCH(5,$AP$13:$AP$32,0))&amp;""))</f>
        <v>JSL</v>
      </c>
      <c r="AP17" s="48">
        <f>IF(Config!$B$14&amp;""="",AP16,AP16+1)</f>
        <v>5</v>
      </c>
      <c r="AQ17" s="40" t="str">
        <f>$AU$366&amp;" — "&amp;IF($B$2="Todos","TODOS OS CLIENTES",UPPER($B$2))</f>
        <v>ACUMULADO SEMANAL TONS — TODOS OS CLIENTES</v>
      </c>
      <c r="AX17" s="72">
        <f>IF(OR($B17="",N(VALUE($AH$366))=0),"",IF(INDEX($C17:$AC17,VALUE($AH$366))="","",IF(N(VALUE($AJ$366))=0,INDEX($C17:$AC17,VALUE($AH$366)),IF(N(INDEX($C17:$AC17,N(VALUE($AJ$366))))&gt;0,INDEX($C17:$AC17,VALUE($AH$366))/INDEX($C17:$AC17,N(VALUE($AJ$366))),""))))</f>
        <v>0</v>
      </c>
      <c r="AY17" s="72">
        <f>IF(OR($B17="",N(VALUE($AI$366))=0),"",IF(INDEX($C17:$AC17,VALUE($AI$366))="","",IF(N(VALUE($AK$366))=0,INDEX($C17:$AC17,VALUE($AI$366)),IF(N(INDEX($C17:$AC17,N(VALUE($AK$366))))&gt;0,INDEX($C17:$AC17,VALUE($AI$366))/INDEX($C17:$AC17,N(VALUE($AK$366))),""))))</f>
        <v>0</v>
      </c>
      <c r="AZ17" s="72">
        <f>IF(OR($B17="",N(VALUE($AP$366))=0),"",IF(INDEX($C17:$AC17,VALUE($AP$366))="","",IF(N(VALUE($AR$366))=0,INDEX($C17:$AC17,VALUE($AP$366)),IF(N(INDEX($C17:$AC17,N(VALUE($AR$366))))&gt;0,INDEX($C17:$AC17,VALUE($AP$366))/INDEX($C17:$AC17,N(VALUE($AR$366))),""))))</f>
        <v>0</v>
      </c>
      <c r="BA17" s="72">
        <f>IF(OR($B17="",N(VALUE($AQ$366))=0),"",IF(INDEX($C17:$AC17,VALUE($AQ$366))="","",IF(N(VALUE($AS$366))=0,INDEX($C17:$AC17,VALUE($AQ$366)),IF(N(INDEX($C17:$AC17,N(VALUE($AS$366))))&gt;0,INDEX($C17:$AC17,VALUE($AQ$366))/INDEX($C17:$AC17,N(VALUE($AS$366))),""))))</f>
        <v>0</v>
      </c>
      <c r="BC17" s="42" t="str">
        <f>IF(AND($A17=$B$9,ISNUMBER(R17)),R17,NA())</f>
        <v/>
      </c>
    </row>
    <row r="18">
      <c r="A18" s="39">
        <v>7</v>
      </c>
      <c r="B18" s="57">
        <f>IF($A18&lt;=DAY($D$7),$C$7+$A18-1,"")</f>
        <v>46302</v>
      </c>
      <c r="C18" s="42">
        <f>IF($B18="","",IF($B$2="Todos",SUMIFS(BD!$C$3:$C$5001,BD!$A$3:$A$5001,$B18),SUMIFS(BD!$C$3:$C$5001,BD!$A$3:$A$5001,$B18,BD!$B$3:$B$5001,$D$2)))</f>
        <v>0</v>
      </c>
      <c r="D18" s="42">
        <f>IF($B18="","",IF($B$2="Todos",SUMIFS(BD!$D$3:$D$5001,BD!$A$3:$A$5001,$B18),SUMIFS(BD!$D$3:$D$5001,BD!$A$3:$A$5001,$B18,BD!$B$3:$B$5001,$D$2)))</f>
        <v>0</v>
      </c>
      <c r="E18" s="58">
        <f>IF($B18="","",IF($B$2="Todos",SUMIFS(BD!$E$3:$E$5001,BD!$A$3:$A$5001,$B18),SUMIFS(BD!$E$3:$E$5001,BD!$A$3:$A$5001,$B18,BD!$B$3:$B$5001,$D$2)))</f>
        <v>0</v>
      </c>
      <c r="F18" s="42">
        <f>IF($B18="","",IF($B$2="Todos",SUMIFS(BD!$F$3:$F$5001,BD!$A$3:$A$5001,$B18),SUMIFS(BD!$F$3:$F$5001,BD!$A$3:$A$5001,$B18,BD!$B$3:$B$5001,$D$2)))</f>
        <v>0</v>
      </c>
      <c r="G18" s="42">
        <f>IF($B18="","",IF($B$2="Todos",SUMIFS(BD!$G$3:$G$5001,BD!$A$3:$A$5001,$B18),SUMIFS(BD!$G$3:$G$5001,BD!$A$3:$A$5001,$B18,BD!$B$3:$B$5001,$D$2)))</f>
        <v>0</v>
      </c>
      <c r="H18" s="42">
        <f>IF($B18="","",IF($B$2="Todos",SUMIFS(BD!$H$3:$H$5001,BD!$A$3:$A$5001,$B18),SUMIFS(BD!$H$3:$H$5001,BD!$A$3:$A$5001,$B18,BD!$B$3:$B$5001,$D$2)))</f>
        <v>0</v>
      </c>
      <c r="I18" s="42">
        <f>IF($B18="","",IF($B$2="Todos",SUMIFS(BD!$I$3:$I$5001,BD!$A$3:$A$5001,$B18),SUMIFS(BD!$I$3:$I$5001,BD!$A$3:$A$5001,$B18,BD!$B$3:$B$5001,$D$2)))</f>
        <v>0</v>
      </c>
      <c r="J18" s="58">
        <f>IF($B18="","",IF($B$2="Todos",SUMIFS(BD!$J$3:$J$5001,BD!$A$3:$A$5001,$B18),SUMIFS(BD!$J$3:$J$5001,BD!$A$3:$A$5001,$B18,BD!$B$3:$B$5001,$D$2)))</f>
        <v>0</v>
      </c>
      <c r="K18" s="42">
        <f>IF($B18="","",IF($B$2="Todos",SUMIFS(BD!$K$3:$K$5001,BD!$A$3:$A$5001,$B18),SUMIFS(BD!$K$3:$K$5001,BD!$A$3:$A$5001,$B18,BD!$B$3:$B$5001,$D$2)))</f>
        <v>0</v>
      </c>
      <c r="L18" s="42">
        <f>IF($B18="","",IF($B$2="Todos",SUMIFS(BD!$L$3:$L$5001,BD!$A$3:$A$5001,$B18),SUMIFS(BD!$L$3:$L$5001,BD!$A$3:$A$5001,$B18,BD!$B$3:$B$5001,$D$2)))</f>
        <v>0</v>
      </c>
      <c r="M18" s="42">
        <f>IF($B18="","",IF($B$2="Todos",SUMIFS(BD!$M$3:$M$5001,BD!$A$3:$A$5001,$B18),SUMIFS(BD!$M$3:$M$5001,BD!$A$3:$A$5001,$B18,BD!$B$3:$B$5001,$D$2)))</f>
        <v>0</v>
      </c>
      <c r="N18" s="42">
        <f>IF($B18="","",IF($B$2="Todos",SUMIFS(BD!$N$3:$N$5001,BD!$A$3:$A$5001,$B18),SUMIFS(BD!$N$3:$N$5001,BD!$A$3:$A$5001,$B18,BD!$B$3:$B$5001,$D$2)))</f>
        <v>0</v>
      </c>
      <c r="O18" s="42">
        <f>IF($B18="","",IF($B$2="Todos",SUMIFS(BD!$O$3:$O$5001,BD!$A$3:$A$5001,$B18),SUMIFS(BD!$O$3:$O$5001,BD!$A$3:$A$5001,$B18,BD!$B$3:$B$5001,$D$2)))</f>
        <v>0</v>
      </c>
      <c r="P18" s="42" t="str">
        <f>IF($B$2="Todos",IF(COUNT($C$135:$V$135)=0,"",SUM($C$135:$V$135)),IFERROR(INDEX($C$135:$V$135,MATCH($D$2,$C$128:$V$128,0)),""))</f>
        <v/>
      </c>
      <c r="Q18" s="42" t="str">
        <f>IF($B$2="Todos",IF(COUNT($C$170:$V$170)=0,"",SUM($C$170:$V$170)),IFERROR(INDEX($C$170:$V$170,MATCH($D$2,$C$163:$V$163,0)),""))</f>
        <v/>
      </c>
      <c r="R18" s="59" t="str">
        <f>IF(S18="","",IF($B$2="Todos",IF($B$4&gt;0,$B$4,IF($B$2="Todos",IF(COUNT($C$240:$V$240)=0,"",SUM($C$240:$V$240)),IFERROR(INDEX($C$240:$V$240,MATCH($D$2,$C$233:$V$233,0)),""))),IFERROR(INDEX($C$240:$V$240,MATCH($D$2,$C$233:$V$233,0)),"")))</f>
        <v/>
      </c>
      <c r="S18" s="42" t="str">
        <f>IF($B$2="Todos",IF(COUNT($C$205:$V$205)=0,"",SUM($C$205:$V$205)),IFERROR(INDEX($C$205:$V$205,MATCH($D$2,$C$198:$V$198,0)),""))</f>
        <v/>
      </c>
      <c r="T18" s="60" t="str">
        <f>IF(AND(ISNUMBER(S18),ISNUMBER(R18)),IF(R18&gt;0,S18/R18,""),"")</f>
        <v/>
      </c>
      <c r="U18" s="42" t="str">
        <f>IF($B$2="Todos",IF(COUNT($C$275:$V$275)=0,"",SUM($C$275:$V$275)),IFERROR(INDEX($C$275:$V$275,MATCH($D$2,$C$268:$V$268,0)),""))</f>
        <v/>
      </c>
      <c r="V18" s="42">
        <f>IF($B18="","",IF($B$2="Todos",SUMIFS(BD!$U$3:$U$5001,BD!$A$3:$A$5001,$B18),SUMIFS(BD!$U$3:$U$5001,BD!$A$3:$A$5001,$B18,BD!$B$3:$B$5001,$D$2)))</f>
        <v>0</v>
      </c>
      <c r="W18" s="58">
        <f>IF($B18="","",IF($B$2="Todos",SUMIFS(BD!$V$3:$V$5001,BD!$A$3:$A$5001,$B18),SUMIFS(BD!$V$3:$V$5001,BD!$A$3:$A$5001,$B18,BD!$B$3:$B$5001,$D$2)))</f>
        <v>0</v>
      </c>
      <c r="X18" s="42">
        <f>IF($B18="","",IF($B$2="Todos",SUMIFS(BD!$W$3:$W$5001,BD!$A$3:$A$5001,$B18),SUMIFS(BD!$W$3:$W$5001,BD!$A$3:$A$5001,$B18,BD!$B$3:$B$5001,$D$2)))</f>
        <v>0</v>
      </c>
      <c r="Y18" s="42">
        <f>IF($B18="","",IF($B$2="Todos",SUMIFS(BD!$X$3:$X$5001,BD!$A$3:$A$5001,$B18),SUMIFS(BD!$X$3:$X$5001,BD!$A$3:$A$5001,$B18,BD!$B$3:$B$5001,$D$2)))</f>
        <v>0</v>
      </c>
      <c r="Z18" s="42">
        <f>IF($B18="","",IF($B$2="Todos",SUMIFS(BD!$Y$3:$Y$5001,BD!$A$3:$A$5001,$B18),SUMIFS(BD!$Y$3:$Y$5001,BD!$A$3:$A$5001,$B18,BD!$B$3:$B$5001,$D$2)))</f>
        <v>0</v>
      </c>
      <c r="AA18" s="42">
        <f>IF($B18="","",IF($B$2="Todos",SUMIFS(BD!$Z$3:$Z$5001,BD!$A$3:$A$5001,$B18),SUMIFS(BD!$Z$3:$Z$5001,BD!$A$3:$A$5001,$B18,BD!$B$3:$B$5001,$D$2)))</f>
        <v>0</v>
      </c>
      <c r="AB18" s="42">
        <f>IF($B18="","",IF($B$2="Todos",SUMIFS(BD!$AA$3:$AA$5001,BD!$A$3:$A$5001,$B18),SUMIFS(BD!$AA$3:$AA$5001,BD!$A$3:$A$5001,$B18,BD!$B$3:$B$5001,$D$2)))</f>
        <v>0</v>
      </c>
      <c r="AC18" s="42">
        <f>IF($B18="","",IF($B$2="Todos",SUMIFS(BD!$AB$3:$AB$5001,BD!$A$3:$A$5001,$B18),SUMIFS(BD!$AB$3:$AB$5001,BD!$A$3:$A$5001,$B18,BD!$B$3:$B$5001,$D$2)))</f>
        <v>0</v>
      </c>
      <c r="AD18" s="61">
        <f>$B$5</f>
        <v>0.7</v>
      </c>
      <c r="AE18" s="61">
        <f>$B$6</f>
        <v>0.9</v>
      </c>
      <c r="AL18" s="40" t="inlineStr">
        <is>
          <t xml:space="preserve">JULHO · 2026</t>
        </is>
      </c>
      <c r="AN18" s="40" t="str">
        <f>IFERROR(INDEX(Config!$B$10:$B$29,MATCH(6,$AP$13:$AP$32,0))&amp;"","")</f>
        <v/>
      </c>
      <c r="AO18" s="39" t="str">
        <f>IF(AN18="","",IF(INDEX(Config!$C$10:$C$29,MATCH(6,$AP$13:$AP$32,0))&amp;""="","JSL",INDEX(Config!$C$10:$C$29,MATCH(6,$AP$13:$AP$32,0))&amp;""))</f>
        <v/>
      </c>
      <c r="AP18" s="48">
        <f>IF(Config!$B$15&amp;""="",AP17,AP17+1)</f>
        <v>5</v>
      </c>
      <c r="AX18" s="72">
        <f>IF(OR($B18="",N(VALUE($AH$366))=0),"",IF(INDEX($C18:$AC18,VALUE($AH$366))="","",IF(N(VALUE($AJ$366))=0,INDEX($C18:$AC18,VALUE($AH$366)),IF(N(INDEX($C18:$AC18,N(VALUE($AJ$366))))&gt;0,INDEX($C18:$AC18,VALUE($AH$366))/INDEX($C18:$AC18,N(VALUE($AJ$366))),""))))</f>
        <v>0</v>
      </c>
      <c r="AY18" s="72">
        <f>IF(OR($B18="",N(VALUE($AI$366))=0),"",IF(INDEX($C18:$AC18,VALUE($AI$366))="","",IF(N(VALUE($AK$366))=0,INDEX($C18:$AC18,VALUE($AI$366)),IF(N(INDEX($C18:$AC18,N(VALUE($AK$366))))&gt;0,INDEX($C18:$AC18,VALUE($AI$366))/INDEX($C18:$AC18,N(VALUE($AK$366))),""))))</f>
        <v>0</v>
      </c>
      <c r="AZ18" s="72">
        <f>IF(OR($B18="",N(VALUE($AP$366))=0),"",IF(INDEX($C18:$AC18,VALUE($AP$366))="","",IF(N(VALUE($AR$366))=0,INDEX($C18:$AC18,VALUE($AP$366)),IF(N(INDEX($C18:$AC18,N(VALUE($AR$366))))&gt;0,INDEX($C18:$AC18,VALUE($AP$366))/INDEX($C18:$AC18,N(VALUE($AR$366))),""))))</f>
        <v>0</v>
      </c>
      <c r="BA18" s="72">
        <f>IF(OR($B18="",N(VALUE($AQ$366))=0),"",IF(INDEX($C18:$AC18,VALUE($AQ$366))="","",IF(N(VALUE($AS$366))=0,INDEX($C18:$AC18,VALUE($AQ$366)),IF(N(INDEX($C18:$AC18,N(VALUE($AS$366))))&gt;0,INDEX($C18:$AC18,VALUE($AQ$366))/INDEX($C18:$AC18,N(VALUE($AS$366))),""))))</f>
        <v>0</v>
      </c>
      <c r="BC18" s="42" t="str">
        <f>IF(AND($A18=$B$9,ISNUMBER(R18)),R18,NA())</f>
        <v/>
      </c>
    </row>
    <row r="19">
      <c r="A19" s="39">
        <v>8</v>
      </c>
      <c r="B19" s="57">
        <f>IF($A19&lt;=DAY($D$7),$C$7+$A19-1,"")</f>
        <v>46303</v>
      </c>
      <c r="C19" s="42">
        <f>IF($B19="","",IF($B$2="Todos",SUMIFS(BD!$C$3:$C$5001,BD!$A$3:$A$5001,$B19),SUMIFS(BD!$C$3:$C$5001,BD!$A$3:$A$5001,$B19,BD!$B$3:$B$5001,$D$2)))</f>
        <v>0</v>
      </c>
      <c r="D19" s="42">
        <f>IF($B19="","",IF($B$2="Todos",SUMIFS(BD!$D$3:$D$5001,BD!$A$3:$A$5001,$B19),SUMIFS(BD!$D$3:$D$5001,BD!$A$3:$A$5001,$B19,BD!$B$3:$B$5001,$D$2)))</f>
        <v>0</v>
      </c>
      <c r="E19" s="58">
        <f>IF($B19="","",IF($B$2="Todos",SUMIFS(BD!$E$3:$E$5001,BD!$A$3:$A$5001,$B19),SUMIFS(BD!$E$3:$E$5001,BD!$A$3:$A$5001,$B19,BD!$B$3:$B$5001,$D$2)))</f>
        <v>0</v>
      </c>
      <c r="F19" s="42">
        <f>IF($B19="","",IF($B$2="Todos",SUMIFS(BD!$F$3:$F$5001,BD!$A$3:$A$5001,$B19),SUMIFS(BD!$F$3:$F$5001,BD!$A$3:$A$5001,$B19,BD!$B$3:$B$5001,$D$2)))</f>
        <v>0</v>
      </c>
      <c r="G19" s="42">
        <f>IF($B19="","",IF($B$2="Todos",SUMIFS(BD!$G$3:$G$5001,BD!$A$3:$A$5001,$B19),SUMIFS(BD!$G$3:$G$5001,BD!$A$3:$A$5001,$B19,BD!$B$3:$B$5001,$D$2)))</f>
        <v>0</v>
      </c>
      <c r="H19" s="42">
        <f>IF($B19="","",IF($B$2="Todos",SUMIFS(BD!$H$3:$H$5001,BD!$A$3:$A$5001,$B19),SUMIFS(BD!$H$3:$H$5001,BD!$A$3:$A$5001,$B19,BD!$B$3:$B$5001,$D$2)))</f>
        <v>0</v>
      </c>
      <c r="I19" s="42">
        <f>IF($B19="","",IF($B$2="Todos",SUMIFS(BD!$I$3:$I$5001,BD!$A$3:$A$5001,$B19),SUMIFS(BD!$I$3:$I$5001,BD!$A$3:$A$5001,$B19,BD!$B$3:$B$5001,$D$2)))</f>
        <v>0</v>
      </c>
      <c r="J19" s="58">
        <f>IF($B19="","",IF($B$2="Todos",SUMIFS(BD!$J$3:$J$5001,BD!$A$3:$A$5001,$B19),SUMIFS(BD!$J$3:$J$5001,BD!$A$3:$A$5001,$B19,BD!$B$3:$B$5001,$D$2)))</f>
        <v>0</v>
      </c>
      <c r="K19" s="42">
        <f>IF($B19="","",IF($B$2="Todos",SUMIFS(BD!$K$3:$K$5001,BD!$A$3:$A$5001,$B19),SUMIFS(BD!$K$3:$K$5001,BD!$A$3:$A$5001,$B19,BD!$B$3:$B$5001,$D$2)))</f>
        <v>0</v>
      </c>
      <c r="L19" s="42">
        <f>IF($B19="","",IF($B$2="Todos",SUMIFS(BD!$L$3:$L$5001,BD!$A$3:$A$5001,$B19),SUMIFS(BD!$L$3:$L$5001,BD!$A$3:$A$5001,$B19,BD!$B$3:$B$5001,$D$2)))</f>
        <v>0</v>
      </c>
      <c r="M19" s="42">
        <f>IF($B19="","",IF($B$2="Todos",SUMIFS(BD!$M$3:$M$5001,BD!$A$3:$A$5001,$B19),SUMIFS(BD!$M$3:$M$5001,BD!$A$3:$A$5001,$B19,BD!$B$3:$B$5001,$D$2)))</f>
        <v>0</v>
      </c>
      <c r="N19" s="42">
        <f>IF($B19="","",IF($B$2="Todos",SUMIFS(BD!$N$3:$N$5001,BD!$A$3:$A$5001,$B19),SUMIFS(BD!$N$3:$N$5001,BD!$A$3:$A$5001,$B19,BD!$B$3:$B$5001,$D$2)))</f>
        <v>0</v>
      </c>
      <c r="O19" s="42">
        <f>IF($B19="","",IF($B$2="Todos",SUMIFS(BD!$O$3:$O$5001,BD!$A$3:$A$5001,$B19),SUMIFS(BD!$O$3:$O$5001,BD!$A$3:$A$5001,$B19,BD!$B$3:$B$5001,$D$2)))</f>
        <v>0</v>
      </c>
      <c r="P19" s="42" t="str">
        <f>IF($B$2="Todos",IF(COUNT($C$136:$V$136)=0,"",SUM($C$136:$V$136)),IFERROR(INDEX($C$136:$V$136,MATCH($D$2,$C$128:$V$128,0)),""))</f>
        <v/>
      </c>
      <c r="Q19" s="42" t="str">
        <f>IF($B$2="Todos",IF(COUNT($C$171:$V$171)=0,"",SUM($C$171:$V$171)),IFERROR(INDEX($C$171:$V$171,MATCH($D$2,$C$163:$V$163,0)),""))</f>
        <v/>
      </c>
      <c r="R19" s="59" t="str">
        <f>IF(S19="","",IF($B$2="Todos",IF($B$4&gt;0,$B$4,IF($B$2="Todos",IF(COUNT($C$241:$V$241)=0,"",SUM($C$241:$V$241)),IFERROR(INDEX($C$241:$V$241,MATCH($D$2,$C$233:$V$233,0)),""))),IFERROR(INDEX($C$241:$V$241,MATCH($D$2,$C$233:$V$233,0)),"")))</f>
        <v/>
      </c>
      <c r="S19" s="42" t="str">
        <f>IF($B$2="Todos",IF(COUNT($C$206:$V$206)=0,"",SUM($C$206:$V$206)),IFERROR(INDEX($C$206:$V$206,MATCH($D$2,$C$198:$V$198,0)),""))</f>
        <v/>
      </c>
      <c r="T19" s="60" t="str">
        <f>IF(AND(ISNUMBER(S19),ISNUMBER(R19)),IF(R19&gt;0,S19/R19,""),"")</f>
        <v/>
      </c>
      <c r="U19" s="42" t="str">
        <f>IF($B$2="Todos",IF(COUNT($C$276:$V$276)=0,"",SUM($C$276:$V$276)),IFERROR(INDEX($C$276:$V$276,MATCH($D$2,$C$268:$V$268,0)),""))</f>
        <v/>
      </c>
      <c r="V19" s="42">
        <f>IF($B19="","",IF($B$2="Todos",SUMIFS(BD!$U$3:$U$5001,BD!$A$3:$A$5001,$B19),SUMIFS(BD!$U$3:$U$5001,BD!$A$3:$A$5001,$B19,BD!$B$3:$B$5001,$D$2)))</f>
        <v>0</v>
      </c>
      <c r="W19" s="58">
        <f>IF($B19="","",IF($B$2="Todos",SUMIFS(BD!$V$3:$V$5001,BD!$A$3:$A$5001,$B19),SUMIFS(BD!$V$3:$V$5001,BD!$A$3:$A$5001,$B19,BD!$B$3:$B$5001,$D$2)))</f>
        <v>0</v>
      </c>
      <c r="X19" s="42">
        <f>IF($B19="","",IF($B$2="Todos",SUMIFS(BD!$W$3:$W$5001,BD!$A$3:$A$5001,$B19),SUMIFS(BD!$W$3:$W$5001,BD!$A$3:$A$5001,$B19,BD!$B$3:$B$5001,$D$2)))</f>
        <v>0</v>
      </c>
      <c r="Y19" s="42">
        <f>IF($B19="","",IF($B$2="Todos",SUMIFS(BD!$X$3:$X$5001,BD!$A$3:$A$5001,$B19),SUMIFS(BD!$X$3:$X$5001,BD!$A$3:$A$5001,$B19,BD!$B$3:$B$5001,$D$2)))</f>
        <v>0</v>
      </c>
      <c r="Z19" s="42">
        <f>IF($B19="","",IF($B$2="Todos",SUMIFS(BD!$Y$3:$Y$5001,BD!$A$3:$A$5001,$B19),SUMIFS(BD!$Y$3:$Y$5001,BD!$A$3:$A$5001,$B19,BD!$B$3:$B$5001,$D$2)))</f>
        <v>0</v>
      </c>
      <c r="AA19" s="42">
        <f>IF($B19="","",IF($B$2="Todos",SUMIFS(BD!$Z$3:$Z$5001,BD!$A$3:$A$5001,$B19),SUMIFS(BD!$Z$3:$Z$5001,BD!$A$3:$A$5001,$B19,BD!$B$3:$B$5001,$D$2)))</f>
        <v>0</v>
      </c>
      <c r="AB19" s="42">
        <f>IF($B19="","",IF($B$2="Todos",SUMIFS(BD!$AA$3:$AA$5001,BD!$A$3:$A$5001,$B19),SUMIFS(BD!$AA$3:$AA$5001,BD!$A$3:$A$5001,$B19,BD!$B$3:$B$5001,$D$2)))</f>
        <v>0</v>
      </c>
      <c r="AC19" s="42">
        <f>IF($B19="","",IF($B$2="Todos",SUMIFS(BD!$AB$3:$AB$5001,BD!$A$3:$A$5001,$B19),SUMIFS(BD!$AB$3:$AB$5001,BD!$A$3:$A$5001,$B19,BD!$B$3:$B$5001,$D$2)))</f>
        <v>0</v>
      </c>
      <c r="AD19" s="61">
        <f>$B$5</f>
        <v>0.7</v>
      </c>
      <c r="AE19" s="61">
        <f>$B$6</f>
        <v>0.9</v>
      </c>
      <c r="AL19" s="40" t="inlineStr">
        <is>
          <t xml:space="preserve">AGOSTO · 2026</t>
        </is>
      </c>
      <c r="AN19" s="40" t="str">
        <f>IFERROR(INDEX(Config!$B$10:$B$29,MATCH(7,$AP$13:$AP$32,0))&amp;"","")</f>
        <v/>
      </c>
      <c r="AO19" s="39" t="str">
        <f>IF(AN19="","",IF(INDEX(Config!$C$10:$C$29,MATCH(7,$AP$13:$AP$32,0))&amp;""="","JSL",INDEX(Config!$C$10:$C$29,MATCH(7,$AP$13:$AP$32,0))&amp;""))</f>
        <v/>
      </c>
      <c r="AP19" s="48">
        <f>IF(Config!$B$16&amp;""="",AP18,AP18+1)</f>
        <v>5</v>
      </c>
      <c r="AX19" s="72">
        <f>IF(OR($B19="",N(VALUE($AH$366))=0),"",IF(INDEX($C19:$AC19,VALUE($AH$366))="","",IF(N(VALUE($AJ$366))=0,INDEX($C19:$AC19,VALUE($AH$366)),IF(N(INDEX($C19:$AC19,N(VALUE($AJ$366))))&gt;0,INDEX($C19:$AC19,VALUE($AH$366))/INDEX($C19:$AC19,N(VALUE($AJ$366))),""))))</f>
        <v>0</v>
      </c>
      <c r="AY19" s="72">
        <f>IF(OR($B19="",N(VALUE($AI$366))=0),"",IF(INDEX($C19:$AC19,VALUE($AI$366))="","",IF(N(VALUE($AK$366))=0,INDEX($C19:$AC19,VALUE($AI$366)),IF(N(INDEX($C19:$AC19,N(VALUE($AK$366))))&gt;0,INDEX($C19:$AC19,VALUE($AI$366))/INDEX($C19:$AC19,N(VALUE($AK$366))),""))))</f>
        <v>0</v>
      </c>
      <c r="AZ19" s="72">
        <f>IF(OR($B19="",N(VALUE($AP$366))=0),"",IF(INDEX($C19:$AC19,VALUE($AP$366))="","",IF(N(VALUE($AR$366))=0,INDEX($C19:$AC19,VALUE($AP$366)),IF(N(INDEX($C19:$AC19,N(VALUE($AR$366))))&gt;0,INDEX($C19:$AC19,VALUE($AP$366))/INDEX($C19:$AC19,N(VALUE($AR$366))),""))))</f>
        <v>0</v>
      </c>
      <c r="BA19" s="72">
        <f>IF(OR($B19="",N(VALUE($AQ$366))=0),"",IF(INDEX($C19:$AC19,VALUE($AQ$366))="","",IF(N(VALUE($AS$366))=0,INDEX($C19:$AC19,VALUE($AQ$366)),IF(N(INDEX($C19:$AC19,N(VALUE($AS$366))))&gt;0,INDEX($C19:$AC19,VALUE($AQ$366))/INDEX($C19:$AC19,N(VALUE($AS$366))),""))))</f>
        <v>0</v>
      </c>
      <c r="BC19" s="42" t="str">
        <f>IF(AND($A19=$B$9,ISNUMBER(R19)),R19,NA())</f>
        <v/>
      </c>
    </row>
    <row r="20">
      <c r="A20" s="39">
        <v>9</v>
      </c>
      <c r="B20" s="57">
        <f>IF($A20&lt;=DAY($D$7),$C$7+$A20-1,"")</f>
        <v>46304</v>
      </c>
      <c r="C20" s="42">
        <f>IF($B20="","",IF($B$2="Todos",SUMIFS(BD!$C$3:$C$5001,BD!$A$3:$A$5001,$B20),SUMIFS(BD!$C$3:$C$5001,BD!$A$3:$A$5001,$B20,BD!$B$3:$B$5001,$D$2)))</f>
        <v>0</v>
      </c>
      <c r="D20" s="42">
        <f>IF($B20="","",IF($B$2="Todos",SUMIFS(BD!$D$3:$D$5001,BD!$A$3:$A$5001,$B20),SUMIFS(BD!$D$3:$D$5001,BD!$A$3:$A$5001,$B20,BD!$B$3:$B$5001,$D$2)))</f>
        <v>0</v>
      </c>
      <c r="E20" s="58">
        <f>IF($B20="","",IF($B$2="Todos",SUMIFS(BD!$E$3:$E$5001,BD!$A$3:$A$5001,$B20),SUMIFS(BD!$E$3:$E$5001,BD!$A$3:$A$5001,$B20,BD!$B$3:$B$5001,$D$2)))</f>
        <v>0</v>
      </c>
      <c r="F20" s="42">
        <f>IF($B20="","",IF($B$2="Todos",SUMIFS(BD!$F$3:$F$5001,BD!$A$3:$A$5001,$B20),SUMIFS(BD!$F$3:$F$5001,BD!$A$3:$A$5001,$B20,BD!$B$3:$B$5001,$D$2)))</f>
        <v>0</v>
      </c>
      <c r="G20" s="42">
        <f>IF($B20="","",IF($B$2="Todos",SUMIFS(BD!$G$3:$G$5001,BD!$A$3:$A$5001,$B20),SUMIFS(BD!$G$3:$G$5001,BD!$A$3:$A$5001,$B20,BD!$B$3:$B$5001,$D$2)))</f>
        <v>0</v>
      </c>
      <c r="H20" s="42">
        <f>IF($B20="","",IF($B$2="Todos",SUMIFS(BD!$H$3:$H$5001,BD!$A$3:$A$5001,$B20),SUMIFS(BD!$H$3:$H$5001,BD!$A$3:$A$5001,$B20,BD!$B$3:$B$5001,$D$2)))</f>
        <v>0</v>
      </c>
      <c r="I20" s="42">
        <f>IF($B20="","",IF($B$2="Todos",SUMIFS(BD!$I$3:$I$5001,BD!$A$3:$A$5001,$B20),SUMIFS(BD!$I$3:$I$5001,BD!$A$3:$A$5001,$B20,BD!$B$3:$B$5001,$D$2)))</f>
        <v>0</v>
      </c>
      <c r="J20" s="58">
        <f>IF($B20="","",IF($B$2="Todos",SUMIFS(BD!$J$3:$J$5001,BD!$A$3:$A$5001,$B20),SUMIFS(BD!$J$3:$J$5001,BD!$A$3:$A$5001,$B20,BD!$B$3:$B$5001,$D$2)))</f>
        <v>0</v>
      </c>
      <c r="K20" s="42">
        <f>IF($B20="","",IF($B$2="Todos",SUMIFS(BD!$K$3:$K$5001,BD!$A$3:$A$5001,$B20),SUMIFS(BD!$K$3:$K$5001,BD!$A$3:$A$5001,$B20,BD!$B$3:$B$5001,$D$2)))</f>
        <v>0</v>
      </c>
      <c r="L20" s="42">
        <f>IF($B20="","",IF($B$2="Todos",SUMIFS(BD!$L$3:$L$5001,BD!$A$3:$A$5001,$B20),SUMIFS(BD!$L$3:$L$5001,BD!$A$3:$A$5001,$B20,BD!$B$3:$B$5001,$D$2)))</f>
        <v>0</v>
      </c>
      <c r="M20" s="42">
        <f>IF($B20="","",IF($B$2="Todos",SUMIFS(BD!$M$3:$M$5001,BD!$A$3:$A$5001,$B20),SUMIFS(BD!$M$3:$M$5001,BD!$A$3:$A$5001,$B20,BD!$B$3:$B$5001,$D$2)))</f>
        <v>0</v>
      </c>
      <c r="N20" s="42">
        <f>IF($B20="","",IF($B$2="Todos",SUMIFS(BD!$N$3:$N$5001,BD!$A$3:$A$5001,$B20),SUMIFS(BD!$N$3:$N$5001,BD!$A$3:$A$5001,$B20,BD!$B$3:$B$5001,$D$2)))</f>
        <v>0</v>
      </c>
      <c r="O20" s="42">
        <f>IF($B20="","",IF($B$2="Todos",SUMIFS(BD!$O$3:$O$5001,BD!$A$3:$A$5001,$B20),SUMIFS(BD!$O$3:$O$5001,BD!$A$3:$A$5001,$B20,BD!$B$3:$B$5001,$D$2)))</f>
        <v>0</v>
      </c>
      <c r="P20" s="42" t="str">
        <f>IF($B$2="Todos",IF(COUNT($C$137:$V$137)=0,"",SUM($C$137:$V$137)),IFERROR(INDEX($C$137:$V$137,MATCH($D$2,$C$128:$V$128,0)),""))</f>
        <v/>
      </c>
      <c r="Q20" s="42" t="str">
        <f>IF($B$2="Todos",IF(COUNT($C$172:$V$172)=0,"",SUM($C$172:$V$172)),IFERROR(INDEX($C$172:$V$172,MATCH($D$2,$C$163:$V$163,0)),""))</f>
        <v/>
      </c>
      <c r="R20" s="59" t="str">
        <f>IF(S20="","",IF($B$2="Todos",IF($B$4&gt;0,$B$4,IF($B$2="Todos",IF(COUNT($C$242:$V$242)=0,"",SUM($C$242:$V$242)),IFERROR(INDEX($C$242:$V$242,MATCH($D$2,$C$233:$V$233,0)),""))),IFERROR(INDEX($C$242:$V$242,MATCH($D$2,$C$233:$V$233,0)),"")))</f>
        <v/>
      </c>
      <c r="S20" s="42" t="str">
        <f>IF($B$2="Todos",IF(COUNT($C$207:$V$207)=0,"",SUM($C$207:$V$207)),IFERROR(INDEX($C$207:$V$207,MATCH($D$2,$C$198:$V$198,0)),""))</f>
        <v/>
      </c>
      <c r="T20" s="60" t="str">
        <f>IF(AND(ISNUMBER(S20),ISNUMBER(R20)),IF(R20&gt;0,S20/R20,""),"")</f>
        <v/>
      </c>
      <c r="U20" s="42" t="str">
        <f>IF($B$2="Todos",IF(COUNT($C$277:$V$277)=0,"",SUM($C$277:$V$277)),IFERROR(INDEX($C$277:$V$277,MATCH($D$2,$C$268:$V$268,0)),""))</f>
        <v/>
      </c>
      <c r="V20" s="42">
        <f>IF($B20="","",IF($B$2="Todos",SUMIFS(BD!$U$3:$U$5001,BD!$A$3:$A$5001,$B20),SUMIFS(BD!$U$3:$U$5001,BD!$A$3:$A$5001,$B20,BD!$B$3:$B$5001,$D$2)))</f>
        <v>0</v>
      </c>
      <c r="W20" s="58">
        <f>IF($B20="","",IF($B$2="Todos",SUMIFS(BD!$V$3:$V$5001,BD!$A$3:$A$5001,$B20),SUMIFS(BD!$V$3:$V$5001,BD!$A$3:$A$5001,$B20,BD!$B$3:$B$5001,$D$2)))</f>
        <v>0</v>
      </c>
      <c r="X20" s="42">
        <f>IF($B20="","",IF($B$2="Todos",SUMIFS(BD!$W$3:$W$5001,BD!$A$3:$A$5001,$B20),SUMIFS(BD!$W$3:$W$5001,BD!$A$3:$A$5001,$B20,BD!$B$3:$B$5001,$D$2)))</f>
        <v>0</v>
      </c>
      <c r="Y20" s="42">
        <f>IF($B20="","",IF($B$2="Todos",SUMIFS(BD!$X$3:$X$5001,BD!$A$3:$A$5001,$B20),SUMIFS(BD!$X$3:$X$5001,BD!$A$3:$A$5001,$B20,BD!$B$3:$B$5001,$D$2)))</f>
        <v>0</v>
      </c>
      <c r="Z20" s="42">
        <f>IF($B20="","",IF($B$2="Todos",SUMIFS(BD!$Y$3:$Y$5001,BD!$A$3:$A$5001,$B20),SUMIFS(BD!$Y$3:$Y$5001,BD!$A$3:$A$5001,$B20,BD!$B$3:$B$5001,$D$2)))</f>
        <v>0</v>
      </c>
      <c r="AA20" s="42">
        <f>IF($B20="","",IF($B$2="Todos",SUMIFS(BD!$Z$3:$Z$5001,BD!$A$3:$A$5001,$B20),SUMIFS(BD!$Z$3:$Z$5001,BD!$A$3:$A$5001,$B20,BD!$B$3:$B$5001,$D$2)))</f>
        <v>0</v>
      </c>
      <c r="AB20" s="42">
        <f>IF($B20="","",IF($B$2="Todos",SUMIFS(BD!$AA$3:$AA$5001,BD!$A$3:$A$5001,$B20),SUMIFS(BD!$AA$3:$AA$5001,BD!$A$3:$A$5001,$B20,BD!$B$3:$B$5001,$D$2)))</f>
        <v>0</v>
      </c>
      <c r="AC20" s="42">
        <f>IF($B20="","",IF($B$2="Todos",SUMIFS(BD!$AB$3:$AB$5001,BD!$A$3:$A$5001,$B20),SUMIFS(BD!$AB$3:$AB$5001,BD!$A$3:$A$5001,$B20,BD!$B$3:$B$5001,$D$2)))</f>
        <v>0</v>
      </c>
      <c r="AD20" s="61">
        <f>$B$5</f>
        <v>0.7</v>
      </c>
      <c r="AE20" s="61">
        <f>$B$6</f>
        <v>0.9</v>
      </c>
      <c r="AL20" s="40" t="inlineStr">
        <is>
          <t xml:space="preserve">SETEMBRO · 2026</t>
        </is>
      </c>
      <c r="AN20" s="40" t="str">
        <f>IFERROR(INDEX(Config!$B$10:$B$29,MATCH(8,$AP$13:$AP$32,0))&amp;"","")</f>
        <v/>
      </c>
      <c r="AO20" s="39" t="str">
        <f>IF(AN20="","",IF(INDEX(Config!$C$10:$C$29,MATCH(8,$AP$13:$AP$32,0))&amp;""="","JSL",INDEX(Config!$C$10:$C$29,MATCH(8,$AP$13:$AP$32,0))&amp;""))</f>
        <v/>
      </c>
      <c r="AP20" s="48">
        <f>IF(Config!$B$17&amp;""="",AP19,AP19+1)</f>
        <v>5</v>
      </c>
      <c r="AX20" s="72">
        <f>IF(OR($B20="",N(VALUE($AH$366))=0),"",IF(INDEX($C20:$AC20,VALUE($AH$366))="","",IF(N(VALUE($AJ$366))=0,INDEX($C20:$AC20,VALUE($AH$366)),IF(N(INDEX($C20:$AC20,N(VALUE($AJ$366))))&gt;0,INDEX($C20:$AC20,VALUE($AH$366))/INDEX($C20:$AC20,N(VALUE($AJ$366))),""))))</f>
        <v>0</v>
      </c>
      <c r="AY20" s="72">
        <f>IF(OR($B20="",N(VALUE($AI$366))=0),"",IF(INDEX($C20:$AC20,VALUE($AI$366))="","",IF(N(VALUE($AK$366))=0,INDEX($C20:$AC20,VALUE($AI$366)),IF(N(INDEX($C20:$AC20,N(VALUE($AK$366))))&gt;0,INDEX($C20:$AC20,VALUE($AI$366))/INDEX($C20:$AC20,N(VALUE($AK$366))),""))))</f>
        <v>0</v>
      </c>
      <c r="AZ20" s="72">
        <f>IF(OR($B20="",N(VALUE($AP$366))=0),"",IF(INDEX($C20:$AC20,VALUE($AP$366))="","",IF(N(VALUE($AR$366))=0,INDEX($C20:$AC20,VALUE($AP$366)),IF(N(INDEX($C20:$AC20,N(VALUE($AR$366))))&gt;0,INDEX($C20:$AC20,VALUE($AP$366))/INDEX($C20:$AC20,N(VALUE($AR$366))),""))))</f>
        <v>0</v>
      </c>
      <c r="BA20" s="72">
        <f>IF(OR($B20="",N(VALUE($AQ$366))=0),"",IF(INDEX($C20:$AC20,VALUE($AQ$366))="","",IF(N(VALUE($AS$366))=0,INDEX($C20:$AC20,VALUE($AQ$366)),IF(N(INDEX($C20:$AC20,N(VALUE($AS$366))))&gt;0,INDEX($C20:$AC20,VALUE($AQ$366))/INDEX($C20:$AC20,N(VALUE($AS$366))),""))))</f>
        <v>0</v>
      </c>
      <c r="BC20" s="42" t="str">
        <f>IF(AND($A20=$B$9,ISNUMBER(R20)),R20,NA())</f>
        <v/>
      </c>
    </row>
    <row r="21">
      <c r="A21" s="39">
        <v>10</v>
      </c>
      <c r="B21" s="57">
        <f>IF($A21&lt;=DAY($D$7),$C$7+$A21-1,"")</f>
        <v>46305</v>
      </c>
      <c r="C21" s="42">
        <f>IF($B21="","",IF($B$2="Todos",SUMIFS(BD!$C$3:$C$5001,BD!$A$3:$A$5001,$B21),SUMIFS(BD!$C$3:$C$5001,BD!$A$3:$A$5001,$B21,BD!$B$3:$B$5001,$D$2)))</f>
        <v>0</v>
      </c>
      <c r="D21" s="42">
        <f>IF($B21="","",IF($B$2="Todos",SUMIFS(BD!$D$3:$D$5001,BD!$A$3:$A$5001,$B21),SUMIFS(BD!$D$3:$D$5001,BD!$A$3:$A$5001,$B21,BD!$B$3:$B$5001,$D$2)))</f>
        <v>0</v>
      </c>
      <c r="E21" s="58">
        <f>IF($B21="","",IF($B$2="Todos",SUMIFS(BD!$E$3:$E$5001,BD!$A$3:$A$5001,$B21),SUMIFS(BD!$E$3:$E$5001,BD!$A$3:$A$5001,$B21,BD!$B$3:$B$5001,$D$2)))</f>
        <v>0</v>
      </c>
      <c r="F21" s="42">
        <f>IF($B21="","",IF($B$2="Todos",SUMIFS(BD!$F$3:$F$5001,BD!$A$3:$A$5001,$B21),SUMIFS(BD!$F$3:$F$5001,BD!$A$3:$A$5001,$B21,BD!$B$3:$B$5001,$D$2)))</f>
        <v>0</v>
      </c>
      <c r="G21" s="42">
        <f>IF($B21="","",IF($B$2="Todos",SUMIFS(BD!$G$3:$G$5001,BD!$A$3:$A$5001,$B21),SUMIFS(BD!$G$3:$G$5001,BD!$A$3:$A$5001,$B21,BD!$B$3:$B$5001,$D$2)))</f>
        <v>0</v>
      </c>
      <c r="H21" s="42">
        <f>IF($B21="","",IF($B$2="Todos",SUMIFS(BD!$H$3:$H$5001,BD!$A$3:$A$5001,$B21),SUMIFS(BD!$H$3:$H$5001,BD!$A$3:$A$5001,$B21,BD!$B$3:$B$5001,$D$2)))</f>
        <v>0</v>
      </c>
      <c r="I21" s="42">
        <f>IF($B21="","",IF($B$2="Todos",SUMIFS(BD!$I$3:$I$5001,BD!$A$3:$A$5001,$B21),SUMIFS(BD!$I$3:$I$5001,BD!$A$3:$A$5001,$B21,BD!$B$3:$B$5001,$D$2)))</f>
        <v>0</v>
      </c>
      <c r="J21" s="58">
        <f>IF($B21="","",IF($B$2="Todos",SUMIFS(BD!$J$3:$J$5001,BD!$A$3:$A$5001,$B21),SUMIFS(BD!$J$3:$J$5001,BD!$A$3:$A$5001,$B21,BD!$B$3:$B$5001,$D$2)))</f>
        <v>0</v>
      </c>
      <c r="K21" s="42">
        <f>IF($B21="","",IF($B$2="Todos",SUMIFS(BD!$K$3:$K$5001,BD!$A$3:$A$5001,$B21),SUMIFS(BD!$K$3:$K$5001,BD!$A$3:$A$5001,$B21,BD!$B$3:$B$5001,$D$2)))</f>
        <v>0</v>
      </c>
      <c r="L21" s="42">
        <f>IF($B21="","",IF($B$2="Todos",SUMIFS(BD!$L$3:$L$5001,BD!$A$3:$A$5001,$B21),SUMIFS(BD!$L$3:$L$5001,BD!$A$3:$A$5001,$B21,BD!$B$3:$B$5001,$D$2)))</f>
        <v>0</v>
      </c>
      <c r="M21" s="42">
        <f>IF($B21="","",IF($B$2="Todos",SUMIFS(BD!$M$3:$M$5001,BD!$A$3:$A$5001,$B21),SUMIFS(BD!$M$3:$M$5001,BD!$A$3:$A$5001,$B21,BD!$B$3:$B$5001,$D$2)))</f>
        <v>0</v>
      </c>
      <c r="N21" s="42">
        <f>IF($B21="","",IF($B$2="Todos",SUMIFS(BD!$N$3:$N$5001,BD!$A$3:$A$5001,$B21),SUMIFS(BD!$N$3:$N$5001,BD!$A$3:$A$5001,$B21,BD!$B$3:$B$5001,$D$2)))</f>
        <v>0</v>
      </c>
      <c r="O21" s="42">
        <f>IF($B21="","",IF($B$2="Todos",SUMIFS(BD!$O$3:$O$5001,BD!$A$3:$A$5001,$B21),SUMIFS(BD!$O$3:$O$5001,BD!$A$3:$A$5001,$B21,BD!$B$3:$B$5001,$D$2)))</f>
        <v>0</v>
      </c>
      <c r="P21" s="42" t="str">
        <f>IF($B$2="Todos",IF(COUNT($C$138:$V$138)=0,"",SUM($C$138:$V$138)),IFERROR(INDEX($C$138:$V$138,MATCH($D$2,$C$128:$V$128,0)),""))</f>
        <v/>
      </c>
      <c r="Q21" s="42" t="str">
        <f>IF($B$2="Todos",IF(COUNT($C$173:$V$173)=0,"",SUM($C$173:$V$173)),IFERROR(INDEX($C$173:$V$173,MATCH($D$2,$C$163:$V$163,0)),""))</f>
        <v/>
      </c>
      <c r="R21" s="59" t="str">
        <f>IF(S21="","",IF($B$2="Todos",IF($B$4&gt;0,$B$4,IF($B$2="Todos",IF(COUNT($C$243:$V$243)=0,"",SUM($C$243:$V$243)),IFERROR(INDEX($C$243:$V$243,MATCH($D$2,$C$233:$V$233,0)),""))),IFERROR(INDEX($C$243:$V$243,MATCH($D$2,$C$233:$V$233,0)),"")))</f>
        <v/>
      </c>
      <c r="S21" s="42" t="str">
        <f>IF($B$2="Todos",IF(COUNT($C$208:$V$208)=0,"",SUM($C$208:$V$208)),IFERROR(INDEX($C$208:$V$208,MATCH($D$2,$C$198:$V$198,0)),""))</f>
        <v/>
      </c>
      <c r="T21" s="60" t="str">
        <f>IF(AND(ISNUMBER(S21),ISNUMBER(R21)),IF(R21&gt;0,S21/R21,""),"")</f>
        <v/>
      </c>
      <c r="U21" s="42" t="str">
        <f>IF($B$2="Todos",IF(COUNT($C$278:$V$278)=0,"",SUM($C$278:$V$278)),IFERROR(INDEX($C$278:$V$278,MATCH($D$2,$C$268:$V$268,0)),""))</f>
        <v/>
      </c>
      <c r="V21" s="42">
        <f>IF($B21="","",IF($B$2="Todos",SUMIFS(BD!$U$3:$U$5001,BD!$A$3:$A$5001,$B21),SUMIFS(BD!$U$3:$U$5001,BD!$A$3:$A$5001,$B21,BD!$B$3:$B$5001,$D$2)))</f>
        <v>0</v>
      </c>
      <c r="W21" s="58">
        <f>IF($B21="","",IF($B$2="Todos",SUMIFS(BD!$V$3:$V$5001,BD!$A$3:$A$5001,$B21),SUMIFS(BD!$V$3:$V$5001,BD!$A$3:$A$5001,$B21,BD!$B$3:$B$5001,$D$2)))</f>
        <v>0</v>
      </c>
      <c r="X21" s="42">
        <f>IF($B21="","",IF($B$2="Todos",SUMIFS(BD!$W$3:$W$5001,BD!$A$3:$A$5001,$B21),SUMIFS(BD!$W$3:$W$5001,BD!$A$3:$A$5001,$B21,BD!$B$3:$B$5001,$D$2)))</f>
        <v>0</v>
      </c>
      <c r="Y21" s="42">
        <f>IF($B21="","",IF($B$2="Todos",SUMIFS(BD!$X$3:$X$5001,BD!$A$3:$A$5001,$B21),SUMIFS(BD!$X$3:$X$5001,BD!$A$3:$A$5001,$B21,BD!$B$3:$B$5001,$D$2)))</f>
        <v>0</v>
      </c>
      <c r="Z21" s="42">
        <f>IF($B21="","",IF($B$2="Todos",SUMIFS(BD!$Y$3:$Y$5001,BD!$A$3:$A$5001,$B21),SUMIFS(BD!$Y$3:$Y$5001,BD!$A$3:$A$5001,$B21,BD!$B$3:$B$5001,$D$2)))</f>
        <v>0</v>
      </c>
      <c r="AA21" s="42">
        <f>IF($B21="","",IF($B$2="Todos",SUMIFS(BD!$Z$3:$Z$5001,BD!$A$3:$A$5001,$B21),SUMIFS(BD!$Z$3:$Z$5001,BD!$A$3:$A$5001,$B21,BD!$B$3:$B$5001,$D$2)))</f>
        <v>0</v>
      </c>
      <c r="AB21" s="42">
        <f>IF($B21="","",IF($B$2="Todos",SUMIFS(BD!$AA$3:$AA$5001,BD!$A$3:$A$5001,$B21),SUMIFS(BD!$AA$3:$AA$5001,BD!$A$3:$A$5001,$B21,BD!$B$3:$B$5001,$D$2)))</f>
        <v>0</v>
      </c>
      <c r="AC21" s="42">
        <f>IF($B21="","",IF($B$2="Todos",SUMIFS(BD!$AB$3:$AB$5001,BD!$A$3:$A$5001,$B21),SUMIFS(BD!$AB$3:$AB$5001,BD!$A$3:$A$5001,$B21,BD!$B$3:$B$5001,$D$2)))</f>
        <v>0</v>
      </c>
      <c r="AD21" s="61">
        <f>$B$5</f>
        <v>0.7</v>
      </c>
      <c r="AE21" s="61">
        <f>$B$6</f>
        <v>0.9</v>
      </c>
      <c r="AL21" s="40" t="inlineStr">
        <is>
          <t xml:space="preserve">OUTUBRO · 2026</t>
        </is>
      </c>
      <c r="AN21" s="40" t="str">
        <f>IFERROR(INDEX(Config!$B$10:$B$29,MATCH(9,$AP$13:$AP$32,0))&amp;"","")</f>
        <v/>
      </c>
      <c r="AO21" s="39" t="str">
        <f>IF(AN21="","",IF(INDEX(Config!$C$10:$C$29,MATCH(9,$AP$13:$AP$32,0))&amp;""="","JSL",INDEX(Config!$C$10:$C$29,MATCH(9,$AP$13:$AP$32,0))&amp;""))</f>
        <v/>
      </c>
      <c r="AP21" s="48">
        <f>IF(Config!$B$18&amp;""="",AP20,AP20+1)</f>
        <v>5</v>
      </c>
      <c r="AX21" s="72">
        <f>IF(OR($B21="",N(VALUE($AH$366))=0),"",IF(INDEX($C21:$AC21,VALUE($AH$366))="","",IF(N(VALUE($AJ$366))=0,INDEX($C21:$AC21,VALUE($AH$366)),IF(N(INDEX($C21:$AC21,N(VALUE($AJ$366))))&gt;0,INDEX($C21:$AC21,VALUE($AH$366))/INDEX($C21:$AC21,N(VALUE($AJ$366))),""))))</f>
        <v>0</v>
      </c>
      <c r="AY21" s="72">
        <f>IF(OR($B21="",N(VALUE($AI$366))=0),"",IF(INDEX($C21:$AC21,VALUE($AI$366))="","",IF(N(VALUE($AK$366))=0,INDEX($C21:$AC21,VALUE($AI$366)),IF(N(INDEX($C21:$AC21,N(VALUE($AK$366))))&gt;0,INDEX($C21:$AC21,VALUE($AI$366))/INDEX($C21:$AC21,N(VALUE($AK$366))),""))))</f>
        <v>0</v>
      </c>
      <c r="AZ21" s="72">
        <f>IF(OR($B21="",N(VALUE($AP$366))=0),"",IF(INDEX($C21:$AC21,VALUE($AP$366))="","",IF(N(VALUE($AR$366))=0,INDEX($C21:$AC21,VALUE($AP$366)),IF(N(INDEX($C21:$AC21,N(VALUE($AR$366))))&gt;0,INDEX($C21:$AC21,VALUE($AP$366))/INDEX($C21:$AC21,N(VALUE($AR$366))),""))))</f>
        <v>0</v>
      </c>
      <c r="BA21" s="72">
        <f>IF(OR($B21="",N(VALUE($AQ$366))=0),"",IF(INDEX($C21:$AC21,VALUE($AQ$366))="","",IF(N(VALUE($AS$366))=0,INDEX($C21:$AC21,VALUE($AQ$366)),IF(N(INDEX($C21:$AC21,N(VALUE($AS$366))))&gt;0,INDEX($C21:$AC21,VALUE($AQ$366))/INDEX($C21:$AC21,N(VALUE($AS$366))),""))))</f>
        <v>0</v>
      </c>
      <c r="BC21" s="42" t="str">
        <f>IF(AND($A21=$B$9,ISNUMBER(R21)),R21,NA())</f>
        <v/>
      </c>
    </row>
    <row r="22">
      <c r="A22" s="39">
        <v>11</v>
      </c>
      <c r="B22" s="57">
        <f>IF($A22&lt;=DAY($D$7),$C$7+$A22-1,"")</f>
        <v>46306</v>
      </c>
      <c r="C22" s="42">
        <f>IF($B22="","",IF($B$2="Todos",SUMIFS(BD!$C$3:$C$5001,BD!$A$3:$A$5001,$B22),SUMIFS(BD!$C$3:$C$5001,BD!$A$3:$A$5001,$B22,BD!$B$3:$B$5001,$D$2)))</f>
        <v>0</v>
      </c>
      <c r="D22" s="42">
        <f>IF($B22="","",IF($B$2="Todos",SUMIFS(BD!$D$3:$D$5001,BD!$A$3:$A$5001,$B22),SUMIFS(BD!$D$3:$D$5001,BD!$A$3:$A$5001,$B22,BD!$B$3:$B$5001,$D$2)))</f>
        <v>0</v>
      </c>
      <c r="E22" s="58">
        <f>IF($B22="","",IF($B$2="Todos",SUMIFS(BD!$E$3:$E$5001,BD!$A$3:$A$5001,$B22),SUMIFS(BD!$E$3:$E$5001,BD!$A$3:$A$5001,$B22,BD!$B$3:$B$5001,$D$2)))</f>
        <v>0</v>
      </c>
      <c r="F22" s="42">
        <f>IF($B22="","",IF($B$2="Todos",SUMIFS(BD!$F$3:$F$5001,BD!$A$3:$A$5001,$B22),SUMIFS(BD!$F$3:$F$5001,BD!$A$3:$A$5001,$B22,BD!$B$3:$B$5001,$D$2)))</f>
        <v>0</v>
      </c>
      <c r="G22" s="42">
        <f>IF($B22="","",IF($B$2="Todos",SUMIFS(BD!$G$3:$G$5001,BD!$A$3:$A$5001,$B22),SUMIFS(BD!$G$3:$G$5001,BD!$A$3:$A$5001,$B22,BD!$B$3:$B$5001,$D$2)))</f>
        <v>0</v>
      </c>
      <c r="H22" s="42">
        <f>IF($B22="","",IF($B$2="Todos",SUMIFS(BD!$H$3:$H$5001,BD!$A$3:$A$5001,$B22),SUMIFS(BD!$H$3:$H$5001,BD!$A$3:$A$5001,$B22,BD!$B$3:$B$5001,$D$2)))</f>
        <v>0</v>
      </c>
      <c r="I22" s="42">
        <f>IF($B22="","",IF($B$2="Todos",SUMIFS(BD!$I$3:$I$5001,BD!$A$3:$A$5001,$B22),SUMIFS(BD!$I$3:$I$5001,BD!$A$3:$A$5001,$B22,BD!$B$3:$B$5001,$D$2)))</f>
        <v>0</v>
      </c>
      <c r="J22" s="58">
        <f>IF($B22="","",IF($B$2="Todos",SUMIFS(BD!$J$3:$J$5001,BD!$A$3:$A$5001,$B22),SUMIFS(BD!$J$3:$J$5001,BD!$A$3:$A$5001,$B22,BD!$B$3:$B$5001,$D$2)))</f>
        <v>0</v>
      </c>
      <c r="K22" s="42">
        <f>IF($B22="","",IF($B$2="Todos",SUMIFS(BD!$K$3:$K$5001,BD!$A$3:$A$5001,$B22),SUMIFS(BD!$K$3:$K$5001,BD!$A$3:$A$5001,$B22,BD!$B$3:$B$5001,$D$2)))</f>
        <v>0</v>
      </c>
      <c r="L22" s="42">
        <f>IF($B22="","",IF($B$2="Todos",SUMIFS(BD!$L$3:$L$5001,BD!$A$3:$A$5001,$B22),SUMIFS(BD!$L$3:$L$5001,BD!$A$3:$A$5001,$B22,BD!$B$3:$B$5001,$D$2)))</f>
        <v>0</v>
      </c>
      <c r="M22" s="42">
        <f>IF($B22="","",IF($B$2="Todos",SUMIFS(BD!$M$3:$M$5001,BD!$A$3:$A$5001,$B22),SUMIFS(BD!$M$3:$M$5001,BD!$A$3:$A$5001,$B22,BD!$B$3:$B$5001,$D$2)))</f>
        <v>0</v>
      </c>
      <c r="N22" s="42">
        <f>IF($B22="","",IF($B$2="Todos",SUMIFS(BD!$N$3:$N$5001,BD!$A$3:$A$5001,$B22),SUMIFS(BD!$N$3:$N$5001,BD!$A$3:$A$5001,$B22,BD!$B$3:$B$5001,$D$2)))</f>
        <v>0</v>
      </c>
      <c r="O22" s="42">
        <f>IF($B22="","",IF($B$2="Todos",SUMIFS(BD!$O$3:$O$5001,BD!$A$3:$A$5001,$B22),SUMIFS(BD!$O$3:$O$5001,BD!$A$3:$A$5001,$B22,BD!$B$3:$B$5001,$D$2)))</f>
        <v>0</v>
      </c>
      <c r="P22" s="42" t="str">
        <f>IF($B$2="Todos",IF(COUNT($C$139:$V$139)=0,"",SUM($C$139:$V$139)),IFERROR(INDEX($C$139:$V$139,MATCH($D$2,$C$128:$V$128,0)),""))</f>
        <v/>
      </c>
      <c r="Q22" s="42" t="str">
        <f>IF($B$2="Todos",IF(COUNT($C$174:$V$174)=0,"",SUM($C$174:$V$174)),IFERROR(INDEX($C$174:$V$174,MATCH($D$2,$C$163:$V$163,0)),""))</f>
        <v/>
      </c>
      <c r="R22" s="59" t="str">
        <f>IF(S22="","",IF($B$2="Todos",IF($B$4&gt;0,$B$4,IF($B$2="Todos",IF(COUNT($C$244:$V$244)=0,"",SUM($C$244:$V$244)),IFERROR(INDEX($C$244:$V$244,MATCH($D$2,$C$233:$V$233,0)),""))),IFERROR(INDEX($C$244:$V$244,MATCH($D$2,$C$233:$V$233,0)),"")))</f>
        <v/>
      </c>
      <c r="S22" s="42" t="str">
        <f>IF($B$2="Todos",IF(COUNT($C$209:$V$209)=0,"",SUM($C$209:$V$209)),IFERROR(INDEX($C$209:$V$209,MATCH($D$2,$C$198:$V$198,0)),""))</f>
        <v/>
      </c>
      <c r="T22" s="60" t="str">
        <f>IF(AND(ISNUMBER(S22),ISNUMBER(R22)),IF(R22&gt;0,S22/R22,""),"")</f>
        <v/>
      </c>
      <c r="U22" s="42" t="str">
        <f>IF($B$2="Todos",IF(COUNT($C$279:$V$279)=0,"",SUM($C$279:$V$279)),IFERROR(INDEX($C$279:$V$279,MATCH($D$2,$C$268:$V$268,0)),""))</f>
        <v/>
      </c>
      <c r="V22" s="42">
        <f>IF($B22="","",IF($B$2="Todos",SUMIFS(BD!$U$3:$U$5001,BD!$A$3:$A$5001,$B22),SUMIFS(BD!$U$3:$U$5001,BD!$A$3:$A$5001,$B22,BD!$B$3:$B$5001,$D$2)))</f>
        <v>0</v>
      </c>
      <c r="W22" s="58">
        <f>IF($B22="","",IF($B$2="Todos",SUMIFS(BD!$V$3:$V$5001,BD!$A$3:$A$5001,$B22),SUMIFS(BD!$V$3:$V$5001,BD!$A$3:$A$5001,$B22,BD!$B$3:$B$5001,$D$2)))</f>
        <v>0</v>
      </c>
      <c r="X22" s="42">
        <f>IF($B22="","",IF($B$2="Todos",SUMIFS(BD!$W$3:$W$5001,BD!$A$3:$A$5001,$B22),SUMIFS(BD!$W$3:$W$5001,BD!$A$3:$A$5001,$B22,BD!$B$3:$B$5001,$D$2)))</f>
        <v>0</v>
      </c>
      <c r="Y22" s="42">
        <f>IF($B22="","",IF($B$2="Todos",SUMIFS(BD!$X$3:$X$5001,BD!$A$3:$A$5001,$B22),SUMIFS(BD!$X$3:$X$5001,BD!$A$3:$A$5001,$B22,BD!$B$3:$B$5001,$D$2)))</f>
        <v>0</v>
      </c>
      <c r="Z22" s="42">
        <f>IF($B22="","",IF($B$2="Todos",SUMIFS(BD!$Y$3:$Y$5001,BD!$A$3:$A$5001,$B22),SUMIFS(BD!$Y$3:$Y$5001,BD!$A$3:$A$5001,$B22,BD!$B$3:$B$5001,$D$2)))</f>
        <v>0</v>
      </c>
      <c r="AA22" s="42">
        <f>IF($B22="","",IF($B$2="Todos",SUMIFS(BD!$Z$3:$Z$5001,BD!$A$3:$A$5001,$B22),SUMIFS(BD!$Z$3:$Z$5001,BD!$A$3:$A$5001,$B22,BD!$B$3:$B$5001,$D$2)))</f>
        <v>0</v>
      </c>
      <c r="AB22" s="42">
        <f>IF($B22="","",IF($B$2="Todos",SUMIFS(BD!$AA$3:$AA$5001,BD!$A$3:$A$5001,$B22),SUMIFS(BD!$AA$3:$AA$5001,BD!$A$3:$A$5001,$B22,BD!$B$3:$B$5001,$D$2)))</f>
        <v>0</v>
      </c>
      <c r="AC22" s="42">
        <f>IF($B22="","",IF($B$2="Todos",SUMIFS(BD!$AB$3:$AB$5001,BD!$A$3:$A$5001,$B22),SUMIFS(BD!$AB$3:$AB$5001,BD!$A$3:$A$5001,$B22,BD!$B$3:$B$5001,$D$2)))</f>
        <v>0</v>
      </c>
      <c r="AD22" s="61">
        <f>$B$5</f>
        <v>0.7</v>
      </c>
      <c r="AE22" s="61">
        <f>$B$6</f>
        <v>0.9</v>
      </c>
      <c r="AL22" s="40" t="inlineStr">
        <is>
          <t xml:space="preserve">NOVEMBRO · 2026</t>
        </is>
      </c>
      <c r="AN22" s="40" t="str">
        <f>IFERROR(INDEX(Config!$B$10:$B$29,MATCH(10,$AP$13:$AP$32,0))&amp;"","")</f>
        <v/>
      </c>
      <c r="AO22" s="39" t="str">
        <f>IF(AN22="","",IF(INDEX(Config!$C$10:$C$29,MATCH(10,$AP$13:$AP$32,0))&amp;""="","JSL",INDEX(Config!$C$10:$C$29,MATCH(10,$AP$13:$AP$32,0))&amp;""))</f>
        <v/>
      </c>
      <c r="AP22" s="48">
        <f>IF(Config!$B$19&amp;""="",AP21,AP21+1)</f>
        <v>5</v>
      </c>
      <c r="AX22" s="72">
        <f>IF(OR($B22="",N(VALUE($AH$366))=0),"",IF(INDEX($C22:$AC22,VALUE($AH$366))="","",IF(N(VALUE($AJ$366))=0,INDEX($C22:$AC22,VALUE($AH$366)),IF(N(INDEX($C22:$AC22,N(VALUE($AJ$366))))&gt;0,INDEX($C22:$AC22,VALUE($AH$366))/INDEX($C22:$AC22,N(VALUE($AJ$366))),""))))</f>
        <v>0</v>
      </c>
      <c r="AY22" s="72">
        <f>IF(OR($B22="",N(VALUE($AI$366))=0),"",IF(INDEX($C22:$AC22,VALUE($AI$366))="","",IF(N(VALUE($AK$366))=0,INDEX($C22:$AC22,VALUE($AI$366)),IF(N(INDEX($C22:$AC22,N(VALUE($AK$366))))&gt;0,INDEX($C22:$AC22,VALUE($AI$366))/INDEX($C22:$AC22,N(VALUE($AK$366))),""))))</f>
        <v>0</v>
      </c>
      <c r="AZ22" s="72">
        <f>IF(OR($B22="",N(VALUE($AP$366))=0),"",IF(INDEX($C22:$AC22,VALUE($AP$366))="","",IF(N(VALUE($AR$366))=0,INDEX($C22:$AC22,VALUE($AP$366)),IF(N(INDEX($C22:$AC22,N(VALUE($AR$366))))&gt;0,INDEX($C22:$AC22,VALUE($AP$366))/INDEX($C22:$AC22,N(VALUE($AR$366))),""))))</f>
        <v>0</v>
      </c>
      <c r="BA22" s="72">
        <f>IF(OR($B22="",N(VALUE($AQ$366))=0),"",IF(INDEX($C22:$AC22,VALUE($AQ$366))="","",IF(N(VALUE($AS$366))=0,INDEX($C22:$AC22,VALUE($AQ$366)),IF(N(INDEX($C22:$AC22,N(VALUE($AS$366))))&gt;0,INDEX($C22:$AC22,VALUE($AQ$366))/INDEX($C22:$AC22,N(VALUE($AS$366))),""))))</f>
        <v>0</v>
      </c>
      <c r="BC22" s="42" t="str">
        <f>IF(AND($A22=$B$9,ISNUMBER(R22)),R22,NA())</f>
        <v/>
      </c>
    </row>
    <row r="23">
      <c r="A23" s="39">
        <v>12</v>
      </c>
      <c r="B23" s="57">
        <f>IF($A23&lt;=DAY($D$7),$C$7+$A23-1,"")</f>
        <v>46307</v>
      </c>
      <c r="C23" s="42">
        <f>IF($B23="","",IF($B$2="Todos",SUMIFS(BD!$C$3:$C$5001,BD!$A$3:$A$5001,$B23),SUMIFS(BD!$C$3:$C$5001,BD!$A$3:$A$5001,$B23,BD!$B$3:$B$5001,$D$2)))</f>
        <v>0</v>
      </c>
      <c r="D23" s="42">
        <f>IF($B23="","",IF($B$2="Todos",SUMIFS(BD!$D$3:$D$5001,BD!$A$3:$A$5001,$B23),SUMIFS(BD!$D$3:$D$5001,BD!$A$3:$A$5001,$B23,BD!$B$3:$B$5001,$D$2)))</f>
        <v>0</v>
      </c>
      <c r="E23" s="58">
        <f>IF($B23="","",IF($B$2="Todos",SUMIFS(BD!$E$3:$E$5001,BD!$A$3:$A$5001,$B23),SUMIFS(BD!$E$3:$E$5001,BD!$A$3:$A$5001,$B23,BD!$B$3:$B$5001,$D$2)))</f>
        <v>0</v>
      </c>
      <c r="F23" s="42">
        <f>IF($B23="","",IF($B$2="Todos",SUMIFS(BD!$F$3:$F$5001,BD!$A$3:$A$5001,$B23),SUMIFS(BD!$F$3:$F$5001,BD!$A$3:$A$5001,$B23,BD!$B$3:$B$5001,$D$2)))</f>
        <v>0</v>
      </c>
      <c r="G23" s="42">
        <f>IF($B23="","",IF($B$2="Todos",SUMIFS(BD!$G$3:$G$5001,BD!$A$3:$A$5001,$B23),SUMIFS(BD!$G$3:$G$5001,BD!$A$3:$A$5001,$B23,BD!$B$3:$B$5001,$D$2)))</f>
        <v>0</v>
      </c>
      <c r="H23" s="42">
        <f>IF($B23="","",IF($B$2="Todos",SUMIFS(BD!$H$3:$H$5001,BD!$A$3:$A$5001,$B23),SUMIFS(BD!$H$3:$H$5001,BD!$A$3:$A$5001,$B23,BD!$B$3:$B$5001,$D$2)))</f>
        <v>0</v>
      </c>
      <c r="I23" s="42">
        <f>IF($B23="","",IF($B$2="Todos",SUMIFS(BD!$I$3:$I$5001,BD!$A$3:$A$5001,$B23),SUMIFS(BD!$I$3:$I$5001,BD!$A$3:$A$5001,$B23,BD!$B$3:$B$5001,$D$2)))</f>
        <v>0</v>
      </c>
      <c r="J23" s="58">
        <f>IF($B23="","",IF($B$2="Todos",SUMIFS(BD!$J$3:$J$5001,BD!$A$3:$A$5001,$B23),SUMIFS(BD!$J$3:$J$5001,BD!$A$3:$A$5001,$B23,BD!$B$3:$B$5001,$D$2)))</f>
        <v>0</v>
      </c>
      <c r="K23" s="42">
        <f>IF($B23="","",IF($B$2="Todos",SUMIFS(BD!$K$3:$K$5001,BD!$A$3:$A$5001,$B23),SUMIFS(BD!$K$3:$K$5001,BD!$A$3:$A$5001,$B23,BD!$B$3:$B$5001,$D$2)))</f>
        <v>0</v>
      </c>
      <c r="L23" s="42">
        <f>IF($B23="","",IF($B$2="Todos",SUMIFS(BD!$L$3:$L$5001,BD!$A$3:$A$5001,$B23),SUMIFS(BD!$L$3:$L$5001,BD!$A$3:$A$5001,$B23,BD!$B$3:$B$5001,$D$2)))</f>
        <v>0</v>
      </c>
      <c r="M23" s="42">
        <f>IF($B23="","",IF($B$2="Todos",SUMIFS(BD!$M$3:$M$5001,BD!$A$3:$A$5001,$B23),SUMIFS(BD!$M$3:$M$5001,BD!$A$3:$A$5001,$B23,BD!$B$3:$B$5001,$D$2)))</f>
        <v>0</v>
      </c>
      <c r="N23" s="42">
        <f>IF($B23="","",IF($B$2="Todos",SUMIFS(BD!$N$3:$N$5001,BD!$A$3:$A$5001,$B23),SUMIFS(BD!$N$3:$N$5001,BD!$A$3:$A$5001,$B23,BD!$B$3:$B$5001,$D$2)))</f>
        <v>0</v>
      </c>
      <c r="O23" s="42">
        <f>IF($B23="","",IF($B$2="Todos",SUMIFS(BD!$O$3:$O$5001,BD!$A$3:$A$5001,$B23),SUMIFS(BD!$O$3:$O$5001,BD!$A$3:$A$5001,$B23,BD!$B$3:$B$5001,$D$2)))</f>
        <v>0</v>
      </c>
      <c r="P23" s="42" t="str">
        <f>IF($B$2="Todos",IF(COUNT($C$140:$V$140)=0,"",SUM($C$140:$V$140)),IFERROR(INDEX($C$140:$V$140,MATCH($D$2,$C$128:$V$128,0)),""))</f>
        <v/>
      </c>
      <c r="Q23" s="42" t="str">
        <f>IF($B$2="Todos",IF(COUNT($C$175:$V$175)=0,"",SUM($C$175:$V$175)),IFERROR(INDEX($C$175:$V$175,MATCH($D$2,$C$163:$V$163,0)),""))</f>
        <v/>
      </c>
      <c r="R23" s="59" t="str">
        <f>IF(S23="","",IF($B$2="Todos",IF($B$4&gt;0,$B$4,IF($B$2="Todos",IF(COUNT($C$245:$V$245)=0,"",SUM($C$245:$V$245)),IFERROR(INDEX($C$245:$V$245,MATCH($D$2,$C$233:$V$233,0)),""))),IFERROR(INDEX($C$245:$V$245,MATCH($D$2,$C$233:$V$233,0)),"")))</f>
        <v/>
      </c>
      <c r="S23" s="42" t="str">
        <f>IF($B$2="Todos",IF(COUNT($C$210:$V$210)=0,"",SUM($C$210:$V$210)),IFERROR(INDEX($C$210:$V$210,MATCH($D$2,$C$198:$V$198,0)),""))</f>
        <v/>
      </c>
      <c r="T23" s="60" t="str">
        <f>IF(AND(ISNUMBER(S23),ISNUMBER(R23)),IF(R23&gt;0,S23/R23,""),"")</f>
        <v/>
      </c>
      <c r="U23" s="42" t="str">
        <f>IF($B$2="Todos",IF(COUNT($C$280:$V$280)=0,"",SUM($C$280:$V$280)),IFERROR(INDEX($C$280:$V$280,MATCH($D$2,$C$268:$V$268,0)),""))</f>
        <v/>
      </c>
      <c r="V23" s="42">
        <f>IF($B23="","",IF($B$2="Todos",SUMIFS(BD!$U$3:$U$5001,BD!$A$3:$A$5001,$B23),SUMIFS(BD!$U$3:$U$5001,BD!$A$3:$A$5001,$B23,BD!$B$3:$B$5001,$D$2)))</f>
        <v>0</v>
      </c>
      <c r="W23" s="58">
        <f>IF($B23="","",IF($B$2="Todos",SUMIFS(BD!$V$3:$V$5001,BD!$A$3:$A$5001,$B23),SUMIFS(BD!$V$3:$V$5001,BD!$A$3:$A$5001,$B23,BD!$B$3:$B$5001,$D$2)))</f>
        <v>0</v>
      </c>
      <c r="X23" s="42">
        <f>IF($B23="","",IF($B$2="Todos",SUMIFS(BD!$W$3:$W$5001,BD!$A$3:$A$5001,$B23),SUMIFS(BD!$W$3:$W$5001,BD!$A$3:$A$5001,$B23,BD!$B$3:$B$5001,$D$2)))</f>
        <v>0</v>
      </c>
      <c r="Y23" s="42">
        <f>IF($B23="","",IF($B$2="Todos",SUMIFS(BD!$X$3:$X$5001,BD!$A$3:$A$5001,$B23),SUMIFS(BD!$X$3:$X$5001,BD!$A$3:$A$5001,$B23,BD!$B$3:$B$5001,$D$2)))</f>
        <v>0</v>
      </c>
      <c r="Z23" s="42">
        <f>IF($B23="","",IF($B$2="Todos",SUMIFS(BD!$Y$3:$Y$5001,BD!$A$3:$A$5001,$B23),SUMIFS(BD!$Y$3:$Y$5001,BD!$A$3:$A$5001,$B23,BD!$B$3:$B$5001,$D$2)))</f>
        <v>0</v>
      </c>
      <c r="AA23" s="42">
        <f>IF($B23="","",IF($B$2="Todos",SUMIFS(BD!$Z$3:$Z$5001,BD!$A$3:$A$5001,$B23),SUMIFS(BD!$Z$3:$Z$5001,BD!$A$3:$A$5001,$B23,BD!$B$3:$B$5001,$D$2)))</f>
        <v>0</v>
      </c>
      <c r="AB23" s="42">
        <f>IF($B23="","",IF($B$2="Todos",SUMIFS(BD!$AA$3:$AA$5001,BD!$A$3:$A$5001,$B23),SUMIFS(BD!$AA$3:$AA$5001,BD!$A$3:$A$5001,$B23,BD!$B$3:$B$5001,$D$2)))</f>
        <v>0</v>
      </c>
      <c r="AC23" s="42">
        <f>IF($B23="","",IF($B$2="Todos",SUMIFS(BD!$AB$3:$AB$5001,BD!$A$3:$A$5001,$B23),SUMIFS(BD!$AB$3:$AB$5001,BD!$A$3:$A$5001,$B23,BD!$B$3:$B$5001,$D$2)))</f>
        <v>0</v>
      </c>
      <c r="AD23" s="61">
        <f>$B$5</f>
        <v>0.7</v>
      </c>
      <c r="AE23" s="61">
        <f>$B$6</f>
        <v>0.9</v>
      </c>
      <c r="AL23" s="40" t="inlineStr">
        <is>
          <t xml:space="preserve">DEZEMBRO · 2026</t>
        </is>
      </c>
      <c r="AN23" s="40" t="str">
        <f>IFERROR(INDEX(Config!$B$10:$B$29,MATCH(11,$AP$13:$AP$32,0))&amp;"","")</f>
        <v/>
      </c>
      <c r="AO23" s="39" t="str">
        <f>IF(AN23="","",IF(INDEX(Config!$C$10:$C$29,MATCH(11,$AP$13:$AP$32,0))&amp;""="","JSL",INDEX(Config!$C$10:$C$29,MATCH(11,$AP$13:$AP$32,0))&amp;""))</f>
        <v/>
      </c>
      <c r="AP23" s="48">
        <f>IF(Config!$B$20&amp;""="",AP22,AP22+1)</f>
        <v>5</v>
      </c>
      <c r="AX23" s="72">
        <f>IF(OR($B23="",N(VALUE($AH$366))=0),"",IF(INDEX($C23:$AC23,VALUE($AH$366))="","",IF(N(VALUE($AJ$366))=0,INDEX($C23:$AC23,VALUE($AH$366)),IF(N(INDEX($C23:$AC23,N(VALUE($AJ$366))))&gt;0,INDEX($C23:$AC23,VALUE($AH$366))/INDEX($C23:$AC23,N(VALUE($AJ$366))),""))))</f>
        <v>0</v>
      </c>
      <c r="AY23" s="72">
        <f>IF(OR($B23="",N(VALUE($AI$366))=0),"",IF(INDEX($C23:$AC23,VALUE($AI$366))="","",IF(N(VALUE($AK$366))=0,INDEX($C23:$AC23,VALUE($AI$366)),IF(N(INDEX($C23:$AC23,N(VALUE($AK$366))))&gt;0,INDEX($C23:$AC23,VALUE($AI$366))/INDEX($C23:$AC23,N(VALUE($AK$366))),""))))</f>
        <v>0</v>
      </c>
      <c r="AZ23" s="72">
        <f>IF(OR($B23="",N(VALUE($AP$366))=0),"",IF(INDEX($C23:$AC23,VALUE($AP$366))="","",IF(N(VALUE($AR$366))=0,INDEX($C23:$AC23,VALUE($AP$366)),IF(N(INDEX($C23:$AC23,N(VALUE($AR$366))))&gt;0,INDEX($C23:$AC23,VALUE($AP$366))/INDEX($C23:$AC23,N(VALUE($AR$366))),""))))</f>
        <v>0</v>
      </c>
      <c r="BA23" s="72">
        <f>IF(OR($B23="",N(VALUE($AQ$366))=0),"",IF(INDEX($C23:$AC23,VALUE($AQ$366))="","",IF(N(VALUE($AS$366))=0,INDEX($C23:$AC23,VALUE($AQ$366)),IF(N(INDEX($C23:$AC23,N(VALUE($AS$366))))&gt;0,INDEX($C23:$AC23,VALUE($AQ$366))/INDEX($C23:$AC23,N(VALUE($AS$366))),""))))</f>
        <v>0</v>
      </c>
      <c r="BC23" s="42" t="str">
        <f>IF(AND($A23=$B$9,ISNUMBER(R23)),R23,NA())</f>
        <v/>
      </c>
    </row>
    <row r="24">
      <c r="A24" s="39">
        <v>13</v>
      </c>
      <c r="B24" s="57">
        <f>IF($A24&lt;=DAY($D$7),$C$7+$A24-1,"")</f>
        <v>46308</v>
      </c>
      <c r="C24" s="42">
        <f>IF($B24="","",IF($B$2="Todos",SUMIFS(BD!$C$3:$C$5001,BD!$A$3:$A$5001,$B24),SUMIFS(BD!$C$3:$C$5001,BD!$A$3:$A$5001,$B24,BD!$B$3:$B$5001,$D$2)))</f>
        <v>0</v>
      </c>
      <c r="D24" s="42">
        <f>IF($B24="","",IF($B$2="Todos",SUMIFS(BD!$D$3:$D$5001,BD!$A$3:$A$5001,$B24),SUMIFS(BD!$D$3:$D$5001,BD!$A$3:$A$5001,$B24,BD!$B$3:$B$5001,$D$2)))</f>
        <v>0</v>
      </c>
      <c r="E24" s="58">
        <f>IF($B24="","",IF($B$2="Todos",SUMIFS(BD!$E$3:$E$5001,BD!$A$3:$A$5001,$B24),SUMIFS(BD!$E$3:$E$5001,BD!$A$3:$A$5001,$B24,BD!$B$3:$B$5001,$D$2)))</f>
        <v>0</v>
      </c>
      <c r="F24" s="42">
        <f>IF($B24="","",IF($B$2="Todos",SUMIFS(BD!$F$3:$F$5001,BD!$A$3:$A$5001,$B24),SUMIFS(BD!$F$3:$F$5001,BD!$A$3:$A$5001,$B24,BD!$B$3:$B$5001,$D$2)))</f>
        <v>0</v>
      </c>
      <c r="G24" s="42">
        <f>IF($B24="","",IF($B$2="Todos",SUMIFS(BD!$G$3:$G$5001,BD!$A$3:$A$5001,$B24),SUMIFS(BD!$G$3:$G$5001,BD!$A$3:$A$5001,$B24,BD!$B$3:$B$5001,$D$2)))</f>
        <v>0</v>
      </c>
      <c r="H24" s="42">
        <f>IF($B24="","",IF($B$2="Todos",SUMIFS(BD!$H$3:$H$5001,BD!$A$3:$A$5001,$B24),SUMIFS(BD!$H$3:$H$5001,BD!$A$3:$A$5001,$B24,BD!$B$3:$B$5001,$D$2)))</f>
        <v>0</v>
      </c>
      <c r="I24" s="42">
        <f>IF($B24="","",IF($B$2="Todos",SUMIFS(BD!$I$3:$I$5001,BD!$A$3:$A$5001,$B24),SUMIFS(BD!$I$3:$I$5001,BD!$A$3:$A$5001,$B24,BD!$B$3:$B$5001,$D$2)))</f>
        <v>0</v>
      </c>
      <c r="J24" s="58">
        <f>IF($B24="","",IF($B$2="Todos",SUMIFS(BD!$J$3:$J$5001,BD!$A$3:$A$5001,$B24),SUMIFS(BD!$J$3:$J$5001,BD!$A$3:$A$5001,$B24,BD!$B$3:$B$5001,$D$2)))</f>
        <v>0</v>
      </c>
      <c r="K24" s="42">
        <f>IF($B24="","",IF($B$2="Todos",SUMIFS(BD!$K$3:$K$5001,BD!$A$3:$A$5001,$B24),SUMIFS(BD!$K$3:$K$5001,BD!$A$3:$A$5001,$B24,BD!$B$3:$B$5001,$D$2)))</f>
        <v>0</v>
      </c>
      <c r="L24" s="42">
        <f>IF($B24="","",IF($B$2="Todos",SUMIFS(BD!$L$3:$L$5001,BD!$A$3:$A$5001,$B24),SUMIFS(BD!$L$3:$L$5001,BD!$A$3:$A$5001,$B24,BD!$B$3:$B$5001,$D$2)))</f>
        <v>0</v>
      </c>
      <c r="M24" s="42">
        <f>IF($B24="","",IF($B$2="Todos",SUMIFS(BD!$M$3:$M$5001,BD!$A$3:$A$5001,$B24),SUMIFS(BD!$M$3:$M$5001,BD!$A$3:$A$5001,$B24,BD!$B$3:$B$5001,$D$2)))</f>
        <v>0</v>
      </c>
      <c r="N24" s="42">
        <f>IF($B24="","",IF($B$2="Todos",SUMIFS(BD!$N$3:$N$5001,BD!$A$3:$A$5001,$B24),SUMIFS(BD!$N$3:$N$5001,BD!$A$3:$A$5001,$B24,BD!$B$3:$B$5001,$D$2)))</f>
        <v>0</v>
      </c>
      <c r="O24" s="42">
        <f>IF($B24="","",IF($B$2="Todos",SUMIFS(BD!$O$3:$O$5001,BD!$A$3:$A$5001,$B24),SUMIFS(BD!$O$3:$O$5001,BD!$A$3:$A$5001,$B24,BD!$B$3:$B$5001,$D$2)))</f>
        <v>0</v>
      </c>
      <c r="P24" s="42" t="str">
        <f>IF($B$2="Todos",IF(COUNT($C$141:$V$141)=0,"",SUM($C$141:$V$141)),IFERROR(INDEX($C$141:$V$141,MATCH($D$2,$C$128:$V$128,0)),""))</f>
        <v/>
      </c>
      <c r="Q24" s="42" t="str">
        <f>IF($B$2="Todos",IF(COUNT($C$176:$V$176)=0,"",SUM($C$176:$V$176)),IFERROR(INDEX($C$176:$V$176,MATCH($D$2,$C$163:$V$163,0)),""))</f>
        <v/>
      </c>
      <c r="R24" s="59" t="str">
        <f>IF(S24="","",IF($B$2="Todos",IF($B$4&gt;0,$B$4,IF($B$2="Todos",IF(COUNT($C$246:$V$246)=0,"",SUM($C$246:$V$246)),IFERROR(INDEX($C$246:$V$246,MATCH($D$2,$C$233:$V$233,0)),""))),IFERROR(INDEX($C$246:$V$246,MATCH($D$2,$C$233:$V$233,0)),"")))</f>
        <v/>
      </c>
      <c r="S24" s="42" t="str">
        <f>IF($B$2="Todos",IF(COUNT($C$211:$V$211)=0,"",SUM($C$211:$V$211)),IFERROR(INDEX($C$211:$V$211,MATCH($D$2,$C$198:$V$198,0)),""))</f>
        <v/>
      </c>
      <c r="T24" s="60" t="str">
        <f>IF(AND(ISNUMBER(S24),ISNUMBER(R24)),IF(R24&gt;0,S24/R24,""),"")</f>
        <v/>
      </c>
      <c r="U24" s="42" t="str">
        <f>IF($B$2="Todos",IF(COUNT($C$281:$V$281)=0,"",SUM($C$281:$V$281)),IFERROR(INDEX($C$281:$V$281,MATCH($D$2,$C$268:$V$268,0)),""))</f>
        <v/>
      </c>
      <c r="V24" s="42">
        <f>IF($B24="","",IF($B$2="Todos",SUMIFS(BD!$U$3:$U$5001,BD!$A$3:$A$5001,$B24),SUMIFS(BD!$U$3:$U$5001,BD!$A$3:$A$5001,$B24,BD!$B$3:$B$5001,$D$2)))</f>
        <v>0</v>
      </c>
      <c r="W24" s="58">
        <f>IF($B24="","",IF($B$2="Todos",SUMIFS(BD!$V$3:$V$5001,BD!$A$3:$A$5001,$B24),SUMIFS(BD!$V$3:$V$5001,BD!$A$3:$A$5001,$B24,BD!$B$3:$B$5001,$D$2)))</f>
        <v>0</v>
      </c>
      <c r="X24" s="42">
        <f>IF($B24="","",IF($B$2="Todos",SUMIFS(BD!$W$3:$W$5001,BD!$A$3:$A$5001,$B24),SUMIFS(BD!$W$3:$W$5001,BD!$A$3:$A$5001,$B24,BD!$B$3:$B$5001,$D$2)))</f>
        <v>0</v>
      </c>
      <c r="Y24" s="42">
        <f>IF($B24="","",IF($B$2="Todos",SUMIFS(BD!$X$3:$X$5001,BD!$A$3:$A$5001,$B24),SUMIFS(BD!$X$3:$X$5001,BD!$A$3:$A$5001,$B24,BD!$B$3:$B$5001,$D$2)))</f>
        <v>0</v>
      </c>
      <c r="Z24" s="42">
        <f>IF($B24="","",IF($B$2="Todos",SUMIFS(BD!$Y$3:$Y$5001,BD!$A$3:$A$5001,$B24),SUMIFS(BD!$Y$3:$Y$5001,BD!$A$3:$A$5001,$B24,BD!$B$3:$B$5001,$D$2)))</f>
        <v>0</v>
      </c>
      <c r="AA24" s="42">
        <f>IF($B24="","",IF($B$2="Todos",SUMIFS(BD!$Z$3:$Z$5001,BD!$A$3:$A$5001,$B24),SUMIFS(BD!$Z$3:$Z$5001,BD!$A$3:$A$5001,$B24,BD!$B$3:$B$5001,$D$2)))</f>
        <v>0</v>
      </c>
      <c r="AB24" s="42">
        <f>IF($B24="","",IF($B$2="Todos",SUMIFS(BD!$AA$3:$AA$5001,BD!$A$3:$A$5001,$B24),SUMIFS(BD!$AA$3:$AA$5001,BD!$A$3:$A$5001,$B24,BD!$B$3:$B$5001,$D$2)))</f>
        <v>0</v>
      </c>
      <c r="AC24" s="42">
        <f>IF($B24="","",IF($B$2="Todos",SUMIFS(BD!$AB$3:$AB$5001,BD!$A$3:$A$5001,$B24),SUMIFS(BD!$AB$3:$AB$5001,BD!$A$3:$A$5001,$B24,BD!$B$3:$B$5001,$D$2)))</f>
        <v>0</v>
      </c>
      <c r="AD24" s="61">
        <f>$B$5</f>
        <v>0.7</v>
      </c>
      <c r="AE24" s="61">
        <f>$B$6</f>
        <v>0.9</v>
      </c>
      <c r="AN24" s="40" t="str">
        <f>IFERROR(INDEX(Config!$B$10:$B$29,MATCH(12,$AP$13:$AP$32,0))&amp;"","")</f>
        <v/>
      </c>
      <c r="AO24" s="39" t="str">
        <f>IF(AN24="","",IF(INDEX(Config!$C$10:$C$29,MATCH(12,$AP$13:$AP$32,0))&amp;""="","JSL",INDEX(Config!$C$10:$C$29,MATCH(12,$AP$13:$AP$32,0))&amp;""))</f>
        <v/>
      </c>
      <c r="AP24" s="48">
        <f>IF(Config!$B$21&amp;""="",AP23,AP23+1)</f>
        <v>5</v>
      </c>
      <c r="AX24" s="72">
        <f>IF(OR($B24="",N(VALUE($AH$366))=0),"",IF(INDEX($C24:$AC24,VALUE($AH$366))="","",IF(N(VALUE($AJ$366))=0,INDEX($C24:$AC24,VALUE($AH$366)),IF(N(INDEX($C24:$AC24,N(VALUE($AJ$366))))&gt;0,INDEX($C24:$AC24,VALUE($AH$366))/INDEX($C24:$AC24,N(VALUE($AJ$366))),""))))</f>
        <v>0</v>
      </c>
      <c r="AY24" s="72">
        <f>IF(OR($B24="",N(VALUE($AI$366))=0),"",IF(INDEX($C24:$AC24,VALUE($AI$366))="","",IF(N(VALUE($AK$366))=0,INDEX($C24:$AC24,VALUE($AI$366)),IF(N(INDEX($C24:$AC24,N(VALUE($AK$366))))&gt;0,INDEX($C24:$AC24,VALUE($AI$366))/INDEX($C24:$AC24,N(VALUE($AK$366))),""))))</f>
        <v>0</v>
      </c>
      <c r="AZ24" s="72">
        <f>IF(OR($B24="",N(VALUE($AP$366))=0),"",IF(INDEX($C24:$AC24,VALUE($AP$366))="","",IF(N(VALUE($AR$366))=0,INDEX($C24:$AC24,VALUE($AP$366)),IF(N(INDEX($C24:$AC24,N(VALUE($AR$366))))&gt;0,INDEX($C24:$AC24,VALUE($AP$366))/INDEX($C24:$AC24,N(VALUE($AR$366))),""))))</f>
        <v>0</v>
      </c>
      <c r="BA24" s="72">
        <f>IF(OR($B24="",N(VALUE($AQ$366))=0),"",IF(INDEX($C24:$AC24,VALUE($AQ$366))="","",IF(N(VALUE($AS$366))=0,INDEX($C24:$AC24,VALUE($AQ$366)),IF(N(INDEX($C24:$AC24,N(VALUE($AS$366))))&gt;0,INDEX($C24:$AC24,VALUE($AQ$366))/INDEX($C24:$AC24,N(VALUE($AS$366))),""))))</f>
        <v>0</v>
      </c>
      <c r="BC24" s="42" t="str">
        <f>IF(AND($A24=$B$9,ISNUMBER(R24)),R24,NA())</f>
        <v/>
      </c>
    </row>
    <row r="25">
      <c r="A25" s="39">
        <v>14</v>
      </c>
      <c r="B25" s="57">
        <f>IF($A25&lt;=DAY($D$7),$C$7+$A25-1,"")</f>
        <v>46309</v>
      </c>
      <c r="C25" s="42">
        <f>IF($B25="","",IF($B$2="Todos",SUMIFS(BD!$C$3:$C$5001,BD!$A$3:$A$5001,$B25),SUMIFS(BD!$C$3:$C$5001,BD!$A$3:$A$5001,$B25,BD!$B$3:$B$5001,$D$2)))</f>
        <v>0</v>
      </c>
      <c r="D25" s="42">
        <f>IF($B25="","",IF($B$2="Todos",SUMIFS(BD!$D$3:$D$5001,BD!$A$3:$A$5001,$B25),SUMIFS(BD!$D$3:$D$5001,BD!$A$3:$A$5001,$B25,BD!$B$3:$B$5001,$D$2)))</f>
        <v>0</v>
      </c>
      <c r="E25" s="58">
        <f>IF($B25="","",IF($B$2="Todos",SUMIFS(BD!$E$3:$E$5001,BD!$A$3:$A$5001,$B25),SUMIFS(BD!$E$3:$E$5001,BD!$A$3:$A$5001,$B25,BD!$B$3:$B$5001,$D$2)))</f>
        <v>0</v>
      </c>
      <c r="F25" s="42">
        <f>IF($B25="","",IF($B$2="Todos",SUMIFS(BD!$F$3:$F$5001,BD!$A$3:$A$5001,$B25),SUMIFS(BD!$F$3:$F$5001,BD!$A$3:$A$5001,$B25,BD!$B$3:$B$5001,$D$2)))</f>
        <v>0</v>
      </c>
      <c r="G25" s="42">
        <f>IF($B25="","",IF($B$2="Todos",SUMIFS(BD!$G$3:$G$5001,BD!$A$3:$A$5001,$B25),SUMIFS(BD!$G$3:$G$5001,BD!$A$3:$A$5001,$B25,BD!$B$3:$B$5001,$D$2)))</f>
        <v>0</v>
      </c>
      <c r="H25" s="42">
        <f>IF($B25="","",IF($B$2="Todos",SUMIFS(BD!$H$3:$H$5001,BD!$A$3:$A$5001,$B25),SUMIFS(BD!$H$3:$H$5001,BD!$A$3:$A$5001,$B25,BD!$B$3:$B$5001,$D$2)))</f>
        <v>0</v>
      </c>
      <c r="I25" s="42">
        <f>IF($B25="","",IF($B$2="Todos",SUMIFS(BD!$I$3:$I$5001,BD!$A$3:$A$5001,$B25),SUMIFS(BD!$I$3:$I$5001,BD!$A$3:$A$5001,$B25,BD!$B$3:$B$5001,$D$2)))</f>
        <v>0</v>
      </c>
      <c r="J25" s="58">
        <f>IF($B25="","",IF($B$2="Todos",SUMIFS(BD!$J$3:$J$5001,BD!$A$3:$A$5001,$B25),SUMIFS(BD!$J$3:$J$5001,BD!$A$3:$A$5001,$B25,BD!$B$3:$B$5001,$D$2)))</f>
        <v>0</v>
      </c>
      <c r="K25" s="42">
        <f>IF($B25="","",IF($B$2="Todos",SUMIFS(BD!$K$3:$K$5001,BD!$A$3:$A$5001,$B25),SUMIFS(BD!$K$3:$K$5001,BD!$A$3:$A$5001,$B25,BD!$B$3:$B$5001,$D$2)))</f>
        <v>0</v>
      </c>
      <c r="L25" s="42">
        <f>IF($B25="","",IF($B$2="Todos",SUMIFS(BD!$L$3:$L$5001,BD!$A$3:$A$5001,$B25),SUMIFS(BD!$L$3:$L$5001,BD!$A$3:$A$5001,$B25,BD!$B$3:$B$5001,$D$2)))</f>
        <v>0</v>
      </c>
      <c r="M25" s="42">
        <f>IF($B25="","",IF($B$2="Todos",SUMIFS(BD!$M$3:$M$5001,BD!$A$3:$A$5001,$B25),SUMIFS(BD!$M$3:$M$5001,BD!$A$3:$A$5001,$B25,BD!$B$3:$B$5001,$D$2)))</f>
        <v>0</v>
      </c>
      <c r="N25" s="42">
        <f>IF($B25="","",IF($B$2="Todos",SUMIFS(BD!$N$3:$N$5001,BD!$A$3:$A$5001,$B25),SUMIFS(BD!$N$3:$N$5001,BD!$A$3:$A$5001,$B25,BD!$B$3:$B$5001,$D$2)))</f>
        <v>0</v>
      </c>
      <c r="O25" s="42">
        <f>IF($B25="","",IF($B$2="Todos",SUMIFS(BD!$O$3:$O$5001,BD!$A$3:$A$5001,$B25),SUMIFS(BD!$O$3:$O$5001,BD!$A$3:$A$5001,$B25,BD!$B$3:$B$5001,$D$2)))</f>
        <v>0</v>
      </c>
      <c r="P25" s="42" t="str">
        <f>IF($B$2="Todos",IF(COUNT($C$142:$V$142)=0,"",SUM($C$142:$V$142)),IFERROR(INDEX($C$142:$V$142,MATCH($D$2,$C$128:$V$128,0)),""))</f>
        <v/>
      </c>
      <c r="Q25" s="42" t="str">
        <f>IF($B$2="Todos",IF(COUNT($C$177:$V$177)=0,"",SUM($C$177:$V$177)),IFERROR(INDEX($C$177:$V$177,MATCH($D$2,$C$163:$V$163,0)),""))</f>
        <v/>
      </c>
      <c r="R25" s="59" t="str">
        <f>IF(S25="","",IF($B$2="Todos",IF($B$4&gt;0,$B$4,IF($B$2="Todos",IF(COUNT($C$247:$V$247)=0,"",SUM($C$247:$V$247)),IFERROR(INDEX($C$247:$V$247,MATCH($D$2,$C$233:$V$233,0)),""))),IFERROR(INDEX($C$247:$V$247,MATCH($D$2,$C$233:$V$233,0)),"")))</f>
        <v/>
      </c>
      <c r="S25" s="42" t="str">
        <f>IF($B$2="Todos",IF(COUNT($C$212:$V$212)=0,"",SUM($C$212:$V$212)),IFERROR(INDEX($C$212:$V$212,MATCH($D$2,$C$198:$V$198,0)),""))</f>
        <v/>
      </c>
      <c r="T25" s="60" t="str">
        <f>IF(AND(ISNUMBER(S25),ISNUMBER(R25)),IF(R25&gt;0,S25/R25,""),"")</f>
        <v/>
      </c>
      <c r="U25" s="42" t="str">
        <f>IF($B$2="Todos",IF(COUNT($C$282:$V$282)=0,"",SUM($C$282:$V$282)),IFERROR(INDEX($C$282:$V$282,MATCH($D$2,$C$268:$V$268,0)),""))</f>
        <v/>
      </c>
      <c r="V25" s="42">
        <f>IF($B25="","",IF($B$2="Todos",SUMIFS(BD!$U$3:$U$5001,BD!$A$3:$A$5001,$B25),SUMIFS(BD!$U$3:$U$5001,BD!$A$3:$A$5001,$B25,BD!$B$3:$B$5001,$D$2)))</f>
        <v>0</v>
      </c>
      <c r="W25" s="58">
        <f>IF($B25="","",IF($B$2="Todos",SUMIFS(BD!$V$3:$V$5001,BD!$A$3:$A$5001,$B25),SUMIFS(BD!$V$3:$V$5001,BD!$A$3:$A$5001,$B25,BD!$B$3:$B$5001,$D$2)))</f>
        <v>0</v>
      </c>
      <c r="X25" s="42">
        <f>IF($B25="","",IF($B$2="Todos",SUMIFS(BD!$W$3:$W$5001,BD!$A$3:$A$5001,$B25),SUMIFS(BD!$W$3:$W$5001,BD!$A$3:$A$5001,$B25,BD!$B$3:$B$5001,$D$2)))</f>
        <v>0</v>
      </c>
      <c r="Y25" s="42">
        <f>IF($B25="","",IF($B$2="Todos",SUMIFS(BD!$X$3:$X$5001,BD!$A$3:$A$5001,$B25),SUMIFS(BD!$X$3:$X$5001,BD!$A$3:$A$5001,$B25,BD!$B$3:$B$5001,$D$2)))</f>
        <v>0</v>
      </c>
      <c r="Z25" s="42">
        <f>IF($B25="","",IF($B$2="Todos",SUMIFS(BD!$Y$3:$Y$5001,BD!$A$3:$A$5001,$B25),SUMIFS(BD!$Y$3:$Y$5001,BD!$A$3:$A$5001,$B25,BD!$B$3:$B$5001,$D$2)))</f>
        <v>0</v>
      </c>
      <c r="AA25" s="42">
        <f>IF($B25="","",IF($B$2="Todos",SUMIFS(BD!$Z$3:$Z$5001,BD!$A$3:$A$5001,$B25),SUMIFS(BD!$Z$3:$Z$5001,BD!$A$3:$A$5001,$B25,BD!$B$3:$B$5001,$D$2)))</f>
        <v>0</v>
      </c>
      <c r="AB25" s="42">
        <f>IF($B25="","",IF($B$2="Todos",SUMIFS(BD!$AA$3:$AA$5001,BD!$A$3:$A$5001,$B25),SUMIFS(BD!$AA$3:$AA$5001,BD!$A$3:$A$5001,$B25,BD!$B$3:$B$5001,$D$2)))</f>
        <v>0</v>
      </c>
      <c r="AC25" s="42">
        <f>IF($B25="","",IF($B$2="Todos",SUMIFS(BD!$AB$3:$AB$5001,BD!$A$3:$A$5001,$B25),SUMIFS(BD!$AB$3:$AB$5001,BD!$A$3:$A$5001,$B25,BD!$B$3:$B$5001,$D$2)))</f>
        <v>0</v>
      </c>
      <c r="AD25" s="61">
        <f>$B$5</f>
        <v>0.7</v>
      </c>
      <c r="AE25" s="61">
        <f>$B$6</f>
        <v>0.9</v>
      </c>
      <c r="AN25" s="40" t="str">
        <f>IFERROR(INDEX(Config!$B$10:$B$29,MATCH(13,$AP$13:$AP$32,0))&amp;"","")</f>
        <v/>
      </c>
      <c r="AO25" s="39" t="str">
        <f>IF(AN25="","",IF(INDEX(Config!$C$10:$C$29,MATCH(13,$AP$13:$AP$32,0))&amp;""="","JSL",INDEX(Config!$C$10:$C$29,MATCH(13,$AP$13:$AP$32,0))&amp;""))</f>
        <v/>
      </c>
      <c r="AP25" s="48">
        <f>IF(Config!$B$22&amp;""="",AP24,AP24+1)</f>
        <v>5</v>
      </c>
      <c r="AX25" s="72">
        <f>IF(OR($B25="",N(VALUE($AH$366))=0),"",IF(INDEX($C25:$AC25,VALUE($AH$366))="","",IF(N(VALUE($AJ$366))=0,INDEX($C25:$AC25,VALUE($AH$366)),IF(N(INDEX($C25:$AC25,N(VALUE($AJ$366))))&gt;0,INDEX($C25:$AC25,VALUE($AH$366))/INDEX($C25:$AC25,N(VALUE($AJ$366))),""))))</f>
        <v>0</v>
      </c>
      <c r="AY25" s="72">
        <f>IF(OR($B25="",N(VALUE($AI$366))=0),"",IF(INDEX($C25:$AC25,VALUE($AI$366))="","",IF(N(VALUE($AK$366))=0,INDEX($C25:$AC25,VALUE($AI$366)),IF(N(INDEX($C25:$AC25,N(VALUE($AK$366))))&gt;0,INDEX($C25:$AC25,VALUE($AI$366))/INDEX($C25:$AC25,N(VALUE($AK$366))),""))))</f>
        <v>0</v>
      </c>
      <c r="AZ25" s="72">
        <f>IF(OR($B25="",N(VALUE($AP$366))=0),"",IF(INDEX($C25:$AC25,VALUE($AP$366))="","",IF(N(VALUE($AR$366))=0,INDEX($C25:$AC25,VALUE($AP$366)),IF(N(INDEX($C25:$AC25,N(VALUE($AR$366))))&gt;0,INDEX($C25:$AC25,VALUE($AP$366))/INDEX($C25:$AC25,N(VALUE($AR$366))),""))))</f>
        <v>0</v>
      </c>
      <c r="BA25" s="72">
        <f>IF(OR($B25="",N(VALUE($AQ$366))=0),"",IF(INDEX($C25:$AC25,VALUE($AQ$366))="","",IF(N(VALUE($AS$366))=0,INDEX($C25:$AC25,VALUE($AQ$366)),IF(N(INDEX($C25:$AC25,N(VALUE($AS$366))))&gt;0,INDEX($C25:$AC25,VALUE($AQ$366))/INDEX($C25:$AC25,N(VALUE($AS$366))),""))))</f>
        <v>0</v>
      </c>
      <c r="BC25" s="42" t="str">
        <f>IF(AND($A25=$B$9,ISNUMBER(R25)),R25,NA())</f>
        <v/>
      </c>
    </row>
    <row r="26">
      <c r="A26" s="39">
        <v>15</v>
      </c>
      <c r="B26" s="57">
        <f>IF($A26&lt;=DAY($D$7),$C$7+$A26-1,"")</f>
        <v>46310</v>
      </c>
      <c r="C26" s="42">
        <f>IF($B26="","",IF($B$2="Todos",SUMIFS(BD!$C$3:$C$5001,BD!$A$3:$A$5001,$B26),SUMIFS(BD!$C$3:$C$5001,BD!$A$3:$A$5001,$B26,BD!$B$3:$B$5001,$D$2)))</f>
        <v>0</v>
      </c>
      <c r="D26" s="42">
        <f>IF($B26="","",IF($B$2="Todos",SUMIFS(BD!$D$3:$D$5001,BD!$A$3:$A$5001,$B26),SUMIFS(BD!$D$3:$D$5001,BD!$A$3:$A$5001,$B26,BD!$B$3:$B$5001,$D$2)))</f>
        <v>0</v>
      </c>
      <c r="E26" s="58">
        <f>IF($B26="","",IF($B$2="Todos",SUMIFS(BD!$E$3:$E$5001,BD!$A$3:$A$5001,$B26),SUMIFS(BD!$E$3:$E$5001,BD!$A$3:$A$5001,$B26,BD!$B$3:$B$5001,$D$2)))</f>
        <v>0</v>
      </c>
      <c r="F26" s="42">
        <f>IF($B26="","",IF($B$2="Todos",SUMIFS(BD!$F$3:$F$5001,BD!$A$3:$A$5001,$B26),SUMIFS(BD!$F$3:$F$5001,BD!$A$3:$A$5001,$B26,BD!$B$3:$B$5001,$D$2)))</f>
        <v>0</v>
      </c>
      <c r="G26" s="42">
        <f>IF($B26="","",IF($B$2="Todos",SUMIFS(BD!$G$3:$G$5001,BD!$A$3:$A$5001,$B26),SUMIFS(BD!$G$3:$G$5001,BD!$A$3:$A$5001,$B26,BD!$B$3:$B$5001,$D$2)))</f>
        <v>0</v>
      </c>
      <c r="H26" s="42">
        <f>IF($B26="","",IF($B$2="Todos",SUMIFS(BD!$H$3:$H$5001,BD!$A$3:$A$5001,$B26),SUMIFS(BD!$H$3:$H$5001,BD!$A$3:$A$5001,$B26,BD!$B$3:$B$5001,$D$2)))</f>
        <v>0</v>
      </c>
      <c r="I26" s="42">
        <f>IF($B26="","",IF($B$2="Todos",SUMIFS(BD!$I$3:$I$5001,BD!$A$3:$A$5001,$B26),SUMIFS(BD!$I$3:$I$5001,BD!$A$3:$A$5001,$B26,BD!$B$3:$B$5001,$D$2)))</f>
        <v>0</v>
      </c>
      <c r="J26" s="58">
        <f>IF($B26="","",IF($B$2="Todos",SUMIFS(BD!$J$3:$J$5001,BD!$A$3:$A$5001,$B26),SUMIFS(BD!$J$3:$J$5001,BD!$A$3:$A$5001,$B26,BD!$B$3:$B$5001,$D$2)))</f>
        <v>0</v>
      </c>
      <c r="K26" s="42">
        <f>IF($B26="","",IF($B$2="Todos",SUMIFS(BD!$K$3:$K$5001,BD!$A$3:$A$5001,$B26),SUMIFS(BD!$K$3:$K$5001,BD!$A$3:$A$5001,$B26,BD!$B$3:$B$5001,$D$2)))</f>
        <v>0</v>
      </c>
      <c r="L26" s="42">
        <f>IF($B26="","",IF($B$2="Todos",SUMIFS(BD!$L$3:$L$5001,BD!$A$3:$A$5001,$B26),SUMIFS(BD!$L$3:$L$5001,BD!$A$3:$A$5001,$B26,BD!$B$3:$B$5001,$D$2)))</f>
        <v>0</v>
      </c>
      <c r="M26" s="42">
        <f>IF($B26="","",IF($B$2="Todos",SUMIFS(BD!$M$3:$M$5001,BD!$A$3:$A$5001,$B26),SUMIFS(BD!$M$3:$M$5001,BD!$A$3:$A$5001,$B26,BD!$B$3:$B$5001,$D$2)))</f>
        <v>0</v>
      </c>
      <c r="N26" s="42">
        <f>IF($B26="","",IF($B$2="Todos",SUMIFS(BD!$N$3:$N$5001,BD!$A$3:$A$5001,$B26),SUMIFS(BD!$N$3:$N$5001,BD!$A$3:$A$5001,$B26,BD!$B$3:$B$5001,$D$2)))</f>
        <v>0</v>
      </c>
      <c r="O26" s="42">
        <f>IF($B26="","",IF($B$2="Todos",SUMIFS(BD!$O$3:$O$5001,BD!$A$3:$A$5001,$B26),SUMIFS(BD!$O$3:$O$5001,BD!$A$3:$A$5001,$B26,BD!$B$3:$B$5001,$D$2)))</f>
        <v>0</v>
      </c>
      <c r="P26" s="42" t="str">
        <f>IF($B$2="Todos",IF(COUNT($C$143:$V$143)=0,"",SUM($C$143:$V$143)),IFERROR(INDEX($C$143:$V$143,MATCH($D$2,$C$128:$V$128,0)),""))</f>
        <v/>
      </c>
      <c r="Q26" s="42" t="str">
        <f>IF($B$2="Todos",IF(COUNT($C$178:$V$178)=0,"",SUM($C$178:$V$178)),IFERROR(INDEX($C$178:$V$178,MATCH($D$2,$C$163:$V$163,0)),""))</f>
        <v/>
      </c>
      <c r="R26" s="59" t="str">
        <f>IF(S26="","",IF($B$2="Todos",IF($B$4&gt;0,$B$4,IF($B$2="Todos",IF(COUNT($C$248:$V$248)=0,"",SUM($C$248:$V$248)),IFERROR(INDEX($C$248:$V$248,MATCH($D$2,$C$233:$V$233,0)),""))),IFERROR(INDEX($C$248:$V$248,MATCH($D$2,$C$233:$V$233,0)),"")))</f>
        <v/>
      </c>
      <c r="S26" s="42" t="str">
        <f>IF($B$2="Todos",IF(COUNT($C$213:$V$213)=0,"",SUM($C$213:$V$213)),IFERROR(INDEX($C$213:$V$213,MATCH($D$2,$C$198:$V$198,0)),""))</f>
        <v/>
      </c>
      <c r="T26" s="60" t="str">
        <f>IF(AND(ISNUMBER(S26),ISNUMBER(R26)),IF(R26&gt;0,S26/R26,""),"")</f>
        <v/>
      </c>
      <c r="U26" s="42" t="str">
        <f>IF($B$2="Todos",IF(COUNT($C$283:$V$283)=0,"",SUM($C$283:$V$283)),IFERROR(INDEX($C$283:$V$283,MATCH($D$2,$C$268:$V$268,0)),""))</f>
        <v/>
      </c>
      <c r="V26" s="42">
        <f>IF($B26="","",IF($B$2="Todos",SUMIFS(BD!$U$3:$U$5001,BD!$A$3:$A$5001,$B26),SUMIFS(BD!$U$3:$U$5001,BD!$A$3:$A$5001,$B26,BD!$B$3:$B$5001,$D$2)))</f>
        <v>0</v>
      </c>
      <c r="W26" s="58">
        <f>IF($B26="","",IF($B$2="Todos",SUMIFS(BD!$V$3:$V$5001,BD!$A$3:$A$5001,$B26),SUMIFS(BD!$V$3:$V$5001,BD!$A$3:$A$5001,$B26,BD!$B$3:$B$5001,$D$2)))</f>
        <v>0</v>
      </c>
      <c r="X26" s="42">
        <f>IF($B26="","",IF($B$2="Todos",SUMIFS(BD!$W$3:$W$5001,BD!$A$3:$A$5001,$B26),SUMIFS(BD!$W$3:$W$5001,BD!$A$3:$A$5001,$B26,BD!$B$3:$B$5001,$D$2)))</f>
        <v>0</v>
      </c>
      <c r="Y26" s="42">
        <f>IF($B26="","",IF($B$2="Todos",SUMIFS(BD!$X$3:$X$5001,BD!$A$3:$A$5001,$B26),SUMIFS(BD!$X$3:$X$5001,BD!$A$3:$A$5001,$B26,BD!$B$3:$B$5001,$D$2)))</f>
        <v>0</v>
      </c>
      <c r="Z26" s="42">
        <f>IF($B26="","",IF($B$2="Todos",SUMIFS(BD!$Y$3:$Y$5001,BD!$A$3:$A$5001,$B26),SUMIFS(BD!$Y$3:$Y$5001,BD!$A$3:$A$5001,$B26,BD!$B$3:$B$5001,$D$2)))</f>
        <v>0</v>
      </c>
      <c r="AA26" s="42">
        <f>IF($B26="","",IF($B$2="Todos",SUMIFS(BD!$Z$3:$Z$5001,BD!$A$3:$A$5001,$B26),SUMIFS(BD!$Z$3:$Z$5001,BD!$A$3:$A$5001,$B26,BD!$B$3:$B$5001,$D$2)))</f>
        <v>0</v>
      </c>
      <c r="AB26" s="42">
        <f>IF($B26="","",IF($B$2="Todos",SUMIFS(BD!$AA$3:$AA$5001,BD!$A$3:$A$5001,$B26),SUMIFS(BD!$AA$3:$AA$5001,BD!$A$3:$A$5001,$B26,BD!$B$3:$B$5001,$D$2)))</f>
        <v>0</v>
      </c>
      <c r="AC26" s="42">
        <f>IF($B26="","",IF($B$2="Todos",SUMIFS(BD!$AB$3:$AB$5001,BD!$A$3:$A$5001,$B26),SUMIFS(BD!$AB$3:$AB$5001,BD!$A$3:$A$5001,$B26,BD!$B$3:$B$5001,$D$2)))</f>
        <v>0</v>
      </c>
      <c r="AD26" s="61">
        <f>$B$5</f>
        <v>0.7</v>
      </c>
      <c r="AE26" s="61">
        <f>$B$6</f>
        <v>0.9</v>
      </c>
      <c r="AN26" s="40" t="str">
        <f>IFERROR(INDEX(Config!$B$10:$B$29,MATCH(14,$AP$13:$AP$32,0))&amp;"","")</f>
        <v/>
      </c>
      <c r="AO26" s="39" t="str">
        <f>IF(AN26="","",IF(INDEX(Config!$C$10:$C$29,MATCH(14,$AP$13:$AP$32,0))&amp;""="","JSL",INDEX(Config!$C$10:$C$29,MATCH(14,$AP$13:$AP$32,0))&amp;""))</f>
        <v/>
      </c>
      <c r="AP26" s="48">
        <f>IF(Config!$B$23&amp;""="",AP25,AP25+1)</f>
        <v>5</v>
      </c>
      <c r="AX26" s="72">
        <f>IF(OR($B26="",N(VALUE($AH$366))=0),"",IF(INDEX($C26:$AC26,VALUE($AH$366))="","",IF(N(VALUE($AJ$366))=0,INDEX($C26:$AC26,VALUE($AH$366)),IF(N(INDEX($C26:$AC26,N(VALUE($AJ$366))))&gt;0,INDEX($C26:$AC26,VALUE($AH$366))/INDEX($C26:$AC26,N(VALUE($AJ$366))),""))))</f>
        <v>0</v>
      </c>
      <c r="AY26" s="72">
        <f>IF(OR($B26="",N(VALUE($AI$366))=0),"",IF(INDEX($C26:$AC26,VALUE($AI$366))="","",IF(N(VALUE($AK$366))=0,INDEX($C26:$AC26,VALUE($AI$366)),IF(N(INDEX($C26:$AC26,N(VALUE($AK$366))))&gt;0,INDEX($C26:$AC26,VALUE($AI$366))/INDEX($C26:$AC26,N(VALUE($AK$366))),""))))</f>
        <v>0</v>
      </c>
      <c r="AZ26" s="72">
        <f>IF(OR($B26="",N(VALUE($AP$366))=0),"",IF(INDEX($C26:$AC26,VALUE($AP$366))="","",IF(N(VALUE($AR$366))=0,INDEX($C26:$AC26,VALUE($AP$366)),IF(N(INDEX($C26:$AC26,N(VALUE($AR$366))))&gt;0,INDEX($C26:$AC26,VALUE($AP$366))/INDEX($C26:$AC26,N(VALUE($AR$366))),""))))</f>
        <v>0</v>
      </c>
      <c r="BA26" s="72">
        <f>IF(OR($B26="",N(VALUE($AQ$366))=0),"",IF(INDEX($C26:$AC26,VALUE($AQ$366))="","",IF(N(VALUE($AS$366))=0,INDEX($C26:$AC26,VALUE($AQ$366)),IF(N(INDEX($C26:$AC26,N(VALUE($AS$366))))&gt;0,INDEX($C26:$AC26,VALUE($AQ$366))/INDEX($C26:$AC26,N(VALUE($AS$366))),""))))</f>
        <v>0</v>
      </c>
      <c r="BC26" s="42" t="str">
        <f>IF(AND($A26=$B$9,ISNUMBER(R26)),R26,NA())</f>
        <v/>
      </c>
    </row>
    <row r="27">
      <c r="A27" s="39">
        <v>16</v>
      </c>
      <c r="B27" s="57">
        <f>IF($A27&lt;=DAY($D$7),$C$7+$A27-1,"")</f>
        <v>46311</v>
      </c>
      <c r="C27" s="42">
        <f>IF($B27="","",IF($B$2="Todos",SUMIFS(BD!$C$3:$C$5001,BD!$A$3:$A$5001,$B27),SUMIFS(BD!$C$3:$C$5001,BD!$A$3:$A$5001,$B27,BD!$B$3:$B$5001,$D$2)))</f>
        <v>0</v>
      </c>
      <c r="D27" s="42">
        <f>IF($B27="","",IF($B$2="Todos",SUMIFS(BD!$D$3:$D$5001,BD!$A$3:$A$5001,$B27),SUMIFS(BD!$D$3:$D$5001,BD!$A$3:$A$5001,$B27,BD!$B$3:$B$5001,$D$2)))</f>
        <v>0</v>
      </c>
      <c r="E27" s="58">
        <f>IF($B27="","",IF($B$2="Todos",SUMIFS(BD!$E$3:$E$5001,BD!$A$3:$A$5001,$B27),SUMIFS(BD!$E$3:$E$5001,BD!$A$3:$A$5001,$B27,BD!$B$3:$B$5001,$D$2)))</f>
        <v>0</v>
      </c>
      <c r="F27" s="42">
        <f>IF($B27="","",IF($B$2="Todos",SUMIFS(BD!$F$3:$F$5001,BD!$A$3:$A$5001,$B27),SUMIFS(BD!$F$3:$F$5001,BD!$A$3:$A$5001,$B27,BD!$B$3:$B$5001,$D$2)))</f>
        <v>0</v>
      </c>
      <c r="G27" s="42">
        <f>IF($B27="","",IF($B$2="Todos",SUMIFS(BD!$G$3:$G$5001,BD!$A$3:$A$5001,$B27),SUMIFS(BD!$G$3:$G$5001,BD!$A$3:$A$5001,$B27,BD!$B$3:$B$5001,$D$2)))</f>
        <v>0</v>
      </c>
      <c r="H27" s="42">
        <f>IF($B27="","",IF($B$2="Todos",SUMIFS(BD!$H$3:$H$5001,BD!$A$3:$A$5001,$B27),SUMIFS(BD!$H$3:$H$5001,BD!$A$3:$A$5001,$B27,BD!$B$3:$B$5001,$D$2)))</f>
        <v>0</v>
      </c>
      <c r="I27" s="42">
        <f>IF($B27="","",IF($B$2="Todos",SUMIFS(BD!$I$3:$I$5001,BD!$A$3:$A$5001,$B27),SUMIFS(BD!$I$3:$I$5001,BD!$A$3:$A$5001,$B27,BD!$B$3:$B$5001,$D$2)))</f>
        <v>0</v>
      </c>
      <c r="J27" s="58">
        <f>IF($B27="","",IF($B$2="Todos",SUMIFS(BD!$J$3:$J$5001,BD!$A$3:$A$5001,$B27),SUMIFS(BD!$J$3:$J$5001,BD!$A$3:$A$5001,$B27,BD!$B$3:$B$5001,$D$2)))</f>
        <v>0</v>
      </c>
      <c r="K27" s="42">
        <f>IF($B27="","",IF($B$2="Todos",SUMIFS(BD!$K$3:$K$5001,BD!$A$3:$A$5001,$B27),SUMIFS(BD!$K$3:$K$5001,BD!$A$3:$A$5001,$B27,BD!$B$3:$B$5001,$D$2)))</f>
        <v>0</v>
      </c>
      <c r="L27" s="42">
        <f>IF($B27="","",IF($B$2="Todos",SUMIFS(BD!$L$3:$L$5001,BD!$A$3:$A$5001,$B27),SUMIFS(BD!$L$3:$L$5001,BD!$A$3:$A$5001,$B27,BD!$B$3:$B$5001,$D$2)))</f>
        <v>0</v>
      </c>
      <c r="M27" s="42">
        <f>IF($B27="","",IF($B$2="Todos",SUMIFS(BD!$M$3:$M$5001,BD!$A$3:$A$5001,$B27),SUMIFS(BD!$M$3:$M$5001,BD!$A$3:$A$5001,$B27,BD!$B$3:$B$5001,$D$2)))</f>
        <v>0</v>
      </c>
      <c r="N27" s="42">
        <f>IF($B27="","",IF($B$2="Todos",SUMIFS(BD!$N$3:$N$5001,BD!$A$3:$A$5001,$B27),SUMIFS(BD!$N$3:$N$5001,BD!$A$3:$A$5001,$B27,BD!$B$3:$B$5001,$D$2)))</f>
        <v>0</v>
      </c>
      <c r="O27" s="42">
        <f>IF($B27="","",IF($B$2="Todos",SUMIFS(BD!$O$3:$O$5001,BD!$A$3:$A$5001,$B27),SUMIFS(BD!$O$3:$O$5001,BD!$A$3:$A$5001,$B27,BD!$B$3:$B$5001,$D$2)))</f>
        <v>0</v>
      </c>
      <c r="P27" s="42" t="str">
        <f>IF($B$2="Todos",IF(COUNT($C$144:$V$144)=0,"",SUM($C$144:$V$144)),IFERROR(INDEX($C$144:$V$144,MATCH($D$2,$C$128:$V$128,0)),""))</f>
        <v/>
      </c>
      <c r="Q27" s="42" t="str">
        <f>IF($B$2="Todos",IF(COUNT($C$179:$V$179)=0,"",SUM($C$179:$V$179)),IFERROR(INDEX($C$179:$V$179,MATCH($D$2,$C$163:$V$163,0)),""))</f>
        <v/>
      </c>
      <c r="R27" s="59" t="str">
        <f>IF(S27="","",IF($B$2="Todos",IF($B$4&gt;0,$B$4,IF($B$2="Todos",IF(COUNT($C$249:$V$249)=0,"",SUM($C$249:$V$249)),IFERROR(INDEX($C$249:$V$249,MATCH($D$2,$C$233:$V$233,0)),""))),IFERROR(INDEX($C$249:$V$249,MATCH($D$2,$C$233:$V$233,0)),"")))</f>
        <v/>
      </c>
      <c r="S27" s="42" t="str">
        <f>IF($B$2="Todos",IF(COUNT($C$214:$V$214)=0,"",SUM($C$214:$V$214)),IFERROR(INDEX($C$214:$V$214,MATCH($D$2,$C$198:$V$198,0)),""))</f>
        <v/>
      </c>
      <c r="T27" s="60" t="str">
        <f>IF(AND(ISNUMBER(S27),ISNUMBER(R27)),IF(R27&gt;0,S27/R27,""),"")</f>
        <v/>
      </c>
      <c r="U27" s="42" t="str">
        <f>IF($B$2="Todos",IF(COUNT($C$284:$V$284)=0,"",SUM($C$284:$V$284)),IFERROR(INDEX($C$284:$V$284,MATCH($D$2,$C$268:$V$268,0)),""))</f>
        <v/>
      </c>
      <c r="V27" s="42">
        <f>IF($B27="","",IF($B$2="Todos",SUMIFS(BD!$U$3:$U$5001,BD!$A$3:$A$5001,$B27),SUMIFS(BD!$U$3:$U$5001,BD!$A$3:$A$5001,$B27,BD!$B$3:$B$5001,$D$2)))</f>
        <v>0</v>
      </c>
      <c r="W27" s="58">
        <f>IF($B27="","",IF($B$2="Todos",SUMIFS(BD!$V$3:$V$5001,BD!$A$3:$A$5001,$B27),SUMIFS(BD!$V$3:$V$5001,BD!$A$3:$A$5001,$B27,BD!$B$3:$B$5001,$D$2)))</f>
        <v>0</v>
      </c>
      <c r="X27" s="42">
        <f>IF($B27="","",IF($B$2="Todos",SUMIFS(BD!$W$3:$W$5001,BD!$A$3:$A$5001,$B27),SUMIFS(BD!$W$3:$W$5001,BD!$A$3:$A$5001,$B27,BD!$B$3:$B$5001,$D$2)))</f>
        <v>0</v>
      </c>
      <c r="Y27" s="42">
        <f>IF($B27="","",IF($B$2="Todos",SUMIFS(BD!$X$3:$X$5001,BD!$A$3:$A$5001,$B27),SUMIFS(BD!$X$3:$X$5001,BD!$A$3:$A$5001,$B27,BD!$B$3:$B$5001,$D$2)))</f>
        <v>0</v>
      </c>
      <c r="Z27" s="42">
        <f>IF($B27="","",IF($B$2="Todos",SUMIFS(BD!$Y$3:$Y$5001,BD!$A$3:$A$5001,$B27),SUMIFS(BD!$Y$3:$Y$5001,BD!$A$3:$A$5001,$B27,BD!$B$3:$B$5001,$D$2)))</f>
        <v>0</v>
      </c>
      <c r="AA27" s="42">
        <f>IF($B27="","",IF($B$2="Todos",SUMIFS(BD!$Z$3:$Z$5001,BD!$A$3:$A$5001,$B27),SUMIFS(BD!$Z$3:$Z$5001,BD!$A$3:$A$5001,$B27,BD!$B$3:$B$5001,$D$2)))</f>
        <v>0</v>
      </c>
      <c r="AB27" s="42">
        <f>IF($B27="","",IF($B$2="Todos",SUMIFS(BD!$AA$3:$AA$5001,BD!$A$3:$A$5001,$B27),SUMIFS(BD!$AA$3:$AA$5001,BD!$A$3:$A$5001,$B27,BD!$B$3:$B$5001,$D$2)))</f>
        <v>0</v>
      </c>
      <c r="AC27" s="42">
        <f>IF($B27="","",IF($B$2="Todos",SUMIFS(BD!$AB$3:$AB$5001,BD!$A$3:$A$5001,$B27),SUMIFS(BD!$AB$3:$AB$5001,BD!$A$3:$A$5001,$B27,BD!$B$3:$B$5001,$D$2)))</f>
        <v>0</v>
      </c>
      <c r="AD27" s="61">
        <f>$B$5</f>
        <v>0.7</v>
      </c>
      <c r="AE27" s="61">
        <f>$B$6</f>
        <v>0.9</v>
      </c>
      <c r="AN27" s="40" t="str">
        <f>IFERROR(INDEX(Config!$B$10:$B$29,MATCH(15,$AP$13:$AP$32,0))&amp;"","")</f>
        <v/>
      </c>
      <c r="AO27" s="39" t="str">
        <f>IF(AN27="","",IF(INDEX(Config!$C$10:$C$29,MATCH(15,$AP$13:$AP$32,0))&amp;""="","JSL",INDEX(Config!$C$10:$C$29,MATCH(15,$AP$13:$AP$32,0))&amp;""))</f>
        <v/>
      </c>
      <c r="AP27" s="48">
        <f>IF(Config!$B$24&amp;""="",AP26,AP26+1)</f>
        <v>5</v>
      </c>
      <c r="AX27" s="72">
        <f>IF(OR($B27="",N(VALUE($AH$366))=0),"",IF(INDEX($C27:$AC27,VALUE($AH$366))="","",IF(N(VALUE($AJ$366))=0,INDEX($C27:$AC27,VALUE($AH$366)),IF(N(INDEX($C27:$AC27,N(VALUE($AJ$366))))&gt;0,INDEX($C27:$AC27,VALUE($AH$366))/INDEX($C27:$AC27,N(VALUE($AJ$366))),""))))</f>
        <v>0</v>
      </c>
      <c r="AY27" s="72">
        <f>IF(OR($B27="",N(VALUE($AI$366))=0),"",IF(INDEX($C27:$AC27,VALUE($AI$366))="","",IF(N(VALUE($AK$366))=0,INDEX($C27:$AC27,VALUE($AI$366)),IF(N(INDEX($C27:$AC27,N(VALUE($AK$366))))&gt;0,INDEX($C27:$AC27,VALUE($AI$366))/INDEX($C27:$AC27,N(VALUE($AK$366))),""))))</f>
        <v>0</v>
      </c>
      <c r="AZ27" s="72">
        <f>IF(OR($B27="",N(VALUE($AP$366))=0),"",IF(INDEX($C27:$AC27,VALUE($AP$366))="","",IF(N(VALUE($AR$366))=0,INDEX($C27:$AC27,VALUE($AP$366)),IF(N(INDEX($C27:$AC27,N(VALUE($AR$366))))&gt;0,INDEX($C27:$AC27,VALUE($AP$366))/INDEX($C27:$AC27,N(VALUE($AR$366))),""))))</f>
        <v>0</v>
      </c>
      <c r="BA27" s="72">
        <f>IF(OR($B27="",N(VALUE($AQ$366))=0),"",IF(INDEX($C27:$AC27,VALUE($AQ$366))="","",IF(N(VALUE($AS$366))=0,INDEX($C27:$AC27,VALUE($AQ$366)),IF(N(INDEX($C27:$AC27,N(VALUE($AS$366))))&gt;0,INDEX($C27:$AC27,VALUE($AQ$366))/INDEX($C27:$AC27,N(VALUE($AS$366))),""))))</f>
        <v>0</v>
      </c>
      <c r="BC27" s="42" t="str">
        <f>IF(AND($A27=$B$9,ISNUMBER(R27)),R27,NA())</f>
        <v/>
      </c>
    </row>
    <row r="28">
      <c r="A28" s="39">
        <v>17</v>
      </c>
      <c r="B28" s="57">
        <f>IF($A28&lt;=DAY($D$7),$C$7+$A28-1,"")</f>
        <v>46312</v>
      </c>
      <c r="C28" s="42">
        <f>IF($B28="","",IF($B$2="Todos",SUMIFS(BD!$C$3:$C$5001,BD!$A$3:$A$5001,$B28),SUMIFS(BD!$C$3:$C$5001,BD!$A$3:$A$5001,$B28,BD!$B$3:$B$5001,$D$2)))</f>
        <v>0</v>
      </c>
      <c r="D28" s="42">
        <f>IF($B28="","",IF($B$2="Todos",SUMIFS(BD!$D$3:$D$5001,BD!$A$3:$A$5001,$B28),SUMIFS(BD!$D$3:$D$5001,BD!$A$3:$A$5001,$B28,BD!$B$3:$B$5001,$D$2)))</f>
        <v>0</v>
      </c>
      <c r="E28" s="58">
        <f>IF($B28="","",IF($B$2="Todos",SUMIFS(BD!$E$3:$E$5001,BD!$A$3:$A$5001,$B28),SUMIFS(BD!$E$3:$E$5001,BD!$A$3:$A$5001,$B28,BD!$B$3:$B$5001,$D$2)))</f>
        <v>0</v>
      </c>
      <c r="F28" s="42">
        <f>IF($B28="","",IF($B$2="Todos",SUMIFS(BD!$F$3:$F$5001,BD!$A$3:$A$5001,$B28),SUMIFS(BD!$F$3:$F$5001,BD!$A$3:$A$5001,$B28,BD!$B$3:$B$5001,$D$2)))</f>
        <v>0</v>
      </c>
      <c r="G28" s="42">
        <f>IF($B28="","",IF($B$2="Todos",SUMIFS(BD!$G$3:$G$5001,BD!$A$3:$A$5001,$B28),SUMIFS(BD!$G$3:$G$5001,BD!$A$3:$A$5001,$B28,BD!$B$3:$B$5001,$D$2)))</f>
        <v>0</v>
      </c>
      <c r="H28" s="42">
        <f>IF($B28="","",IF($B$2="Todos",SUMIFS(BD!$H$3:$H$5001,BD!$A$3:$A$5001,$B28),SUMIFS(BD!$H$3:$H$5001,BD!$A$3:$A$5001,$B28,BD!$B$3:$B$5001,$D$2)))</f>
        <v>0</v>
      </c>
      <c r="I28" s="42">
        <f>IF($B28="","",IF($B$2="Todos",SUMIFS(BD!$I$3:$I$5001,BD!$A$3:$A$5001,$B28),SUMIFS(BD!$I$3:$I$5001,BD!$A$3:$A$5001,$B28,BD!$B$3:$B$5001,$D$2)))</f>
        <v>0</v>
      </c>
      <c r="J28" s="58">
        <f>IF($B28="","",IF($B$2="Todos",SUMIFS(BD!$J$3:$J$5001,BD!$A$3:$A$5001,$B28),SUMIFS(BD!$J$3:$J$5001,BD!$A$3:$A$5001,$B28,BD!$B$3:$B$5001,$D$2)))</f>
        <v>0</v>
      </c>
      <c r="K28" s="42">
        <f>IF($B28="","",IF($B$2="Todos",SUMIFS(BD!$K$3:$K$5001,BD!$A$3:$A$5001,$B28),SUMIFS(BD!$K$3:$K$5001,BD!$A$3:$A$5001,$B28,BD!$B$3:$B$5001,$D$2)))</f>
        <v>0</v>
      </c>
      <c r="L28" s="42">
        <f>IF($B28="","",IF($B$2="Todos",SUMIFS(BD!$L$3:$L$5001,BD!$A$3:$A$5001,$B28),SUMIFS(BD!$L$3:$L$5001,BD!$A$3:$A$5001,$B28,BD!$B$3:$B$5001,$D$2)))</f>
        <v>0</v>
      </c>
      <c r="M28" s="42">
        <f>IF($B28="","",IF($B$2="Todos",SUMIFS(BD!$M$3:$M$5001,BD!$A$3:$A$5001,$B28),SUMIFS(BD!$M$3:$M$5001,BD!$A$3:$A$5001,$B28,BD!$B$3:$B$5001,$D$2)))</f>
        <v>0</v>
      </c>
      <c r="N28" s="42">
        <f>IF($B28="","",IF($B$2="Todos",SUMIFS(BD!$N$3:$N$5001,BD!$A$3:$A$5001,$B28),SUMIFS(BD!$N$3:$N$5001,BD!$A$3:$A$5001,$B28,BD!$B$3:$B$5001,$D$2)))</f>
        <v>0</v>
      </c>
      <c r="O28" s="42">
        <f>IF($B28="","",IF($B$2="Todos",SUMIFS(BD!$O$3:$O$5001,BD!$A$3:$A$5001,$B28),SUMIFS(BD!$O$3:$O$5001,BD!$A$3:$A$5001,$B28,BD!$B$3:$B$5001,$D$2)))</f>
        <v>0</v>
      </c>
      <c r="P28" s="42" t="str">
        <f>IF($B$2="Todos",IF(COUNT($C$145:$V$145)=0,"",SUM($C$145:$V$145)),IFERROR(INDEX($C$145:$V$145,MATCH($D$2,$C$128:$V$128,0)),""))</f>
        <v/>
      </c>
      <c r="Q28" s="42" t="str">
        <f>IF($B$2="Todos",IF(COUNT($C$180:$V$180)=0,"",SUM($C$180:$V$180)),IFERROR(INDEX($C$180:$V$180,MATCH($D$2,$C$163:$V$163,0)),""))</f>
        <v/>
      </c>
      <c r="R28" s="59" t="str">
        <f>IF(S28="","",IF($B$2="Todos",IF($B$4&gt;0,$B$4,IF($B$2="Todos",IF(COUNT($C$250:$V$250)=0,"",SUM($C$250:$V$250)),IFERROR(INDEX($C$250:$V$250,MATCH($D$2,$C$233:$V$233,0)),""))),IFERROR(INDEX($C$250:$V$250,MATCH($D$2,$C$233:$V$233,0)),"")))</f>
        <v/>
      </c>
      <c r="S28" s="42" t="str">
        <f>IF($B$2="Todos",IF(COUNT($C$215:$V$215)=0,"",SUM($C$215:$V$215)),IFERROR(INDEX($C$215:$V$215,MATCH($D$2,$C$198:$V$198,0)),""))</f>
        <v/>
      </c>
      <c r="T28" s="60" t="str">
        <f>IF(AND(ISNUMBER(S28),ISNUMBER(R28)),IF(R28&gt;0,S28/R28,""),"")</f>
        <v/>
      </c>
      <c r="U28" s="42" t="str">
        <f>IF($B$2="Todos",IF(COUNT($C$285:$V$285)=0,"",SUM($C$285:$V$285)),IFERROR(INDEX($C$285:$V$285,MATCH($D$2,$C$268:$V$268,0)),""))</f>
        <v/>
      </c>
      <c r="V28" s="42">
        <f>IF($B28="","",IF($B$2="Todos",SUMIFS(BD!$U$3:$U$5001,BD!$A$3:$A$5001,$B28),SUMIFS(BD!$U$3:$U$5001,BD!$A$3:$A$5001,$B28,BD!$B$3:$B$5001,$D$2)))</f>
        <v>0</v>
      </c>
      <c r="W28" s="58">
        <f>IF($B28="","",IF($B$2="Todos",SUMIFS(BD!$V$3:$V$5001,BD!$A$3:$A$5001,$B28),SUMIFS(BD!$V$3:$V$5001,BD!$A$3:$A$5001,$B28,BD!$B$3:$B$5001,$D$2)))</f>
        <v>0</v>
      </c>
      <c r="X28" s="42">
        <f>IF($B28="","",IF($B$2="Todos",SUMIFS(BD!$W$3:$W$5001,BD!$A$3:$A$5001,$B28),SUMIFS(BD!$W$3:$W$5001,BD!$A$3:$A$5001,$B28,BD!$B$3:$B$5001,$D$2)))</f>
        <v>0</v>
      </c>
      <c r="Y28" s="42">
        <f>IF($B28="","",IF($B$2="Todos",SUMIFS(BD!$X$3:$X$5001,BD!$A$3:$A$5001,$B28),SUMIFS(BD!$X$3:$X$5001,BD!$A$3:$A$5001,$B28,BD!$B$3:$B$5001,$D$2)))</f>
        <v>0</v>
      </c>
      <c r="Z28" s="42">
        <f>IF($B28="","",IF($B$2="Todos",SUMIFS(BD!$Y$3:$Y$5001,BD!$A$3:$A$5001,$B28),SUMIFS(BD!$Y$3:$Y$5001,BD!$A$3:$A$5001,$B28,BD!$B$3:$B$5001,$D$2)))</f>
        <v>0</v>
      </c>
      <c r="AA28" s="42">
        <f>IF($B28="","",IF($B$2="Todos",SUMIFS(BD!$Z$3:$Z$5001,BD!$A$3:$A$5001,$B28),SUMIFS(BD!$Z$3:$Z$5001,BD!$A$3:$A$5001,$B28,BD!$B$3:$B$5001,$D$2)))</f>
        <v>0</v>
      </c>
      <c r="AB28" s="42">
        <f>IF($B28="","",IF($B$2="Todos",SUMIFS(BD!$AA$3:$AA$5001,BD!$A$3:$A$5001,$B28),SUMIFS(BD!$AA$3:$AA$5001,BD!$A$3:$A$5001,$B28,BD!$B$3:$B$5001,$D$2)))</f>
        <v>0</v>
      </c>
      <c r="AC28" s="42">
        <f>IF($B28="","",IF($B$2="Todos",SUMIFS(BD!$AB$3:$AB$5001,BD!$A$3:$A$5001,$B28),SUMIFS(BD!$AB$3:$AB$5001,BD!$A$3:$A$5001,$B28,BD!$B$3:$B$5001,$D$2)))</f>
        <v>0</v>
      </c>
      <c r="AD28" s="61">
        <f>$B$5</f>
        <v>0.7</v>
      </c>
      <c r="AE28" s="61">
        <f>$B$6</f>
        <v>0.9</v>
      </c>
      <c r="AN28" s="40" t="str">
        <f>IFERROR(INDEX(Config!$B$10:$B$29,MATCH(16,$AP$13:$AP$32,0))&amp;"","")</f>
        <v/>
      </c>
      <c r="AO28" s="39" t="str">
        <f>IF(AN28="","",IF(INDEX(Config!$C$10:$C$29,MATCH(16,$AP$13:$AP$32,0))&amp;""="","JSL",INDEX(Config!$C$10:$C$29,MATCH(16,$AP$13:$AP$32,0))&amp;""))</f>
        <v/>
      </c>
      <c r="AP28" s="48">
        <f>IF(Config!$B$25&amp;""="",AP27,AP27+1)</f>
        <v>5</v>
      </c>
      <c r="AX28" s="72">
        <f>IF(OR($B28="",N(VALUE($AH$366))=0),"",IF(INDEX($C28:$AC28,VALUE($AH$366))="","",IF(N(VALUE($AJ$366))=0,INDEX($C28:$AC28,VALUE($AH$366)),IF(N(INDEX($C28:$AC28,N(VALUE($AJ$366))))&gt;0,INDEX($C28:$AC28,VALUE($AH$366))/INDEX($C28:$AC28,N(VALUE($AJ$366))),""))))</f>
        <v>0</v>
      </c>
      <c r="AY28" s="72">
        <f>IF(OR($B28="",N(VALUE($AI$366))=0),"",IF(INDEX($C28:$AC28,VALUE($AI$366))="","",IF(N(VALUE($AK$366))=0,INDEX($C28:$AC28,VALUE($AI$366)),IF(N(INDEX($C28:$AC28,N(VALUE($AK$366))))&gt;0,INDEX($C28:$AC28,VALUE($AI$366))/INDEX($C28:$AC28,N(VALUE($AK$366))),""))))</f>
        <v>0</v>
      </c>
      <c r="AZ28" s="72">
        <f>IF(OR($B28="",N(VALUE($AP$366))=0),"",IF(INDEX($C28:$AC28,VALUE($AP$366))="","",IF(N(VALUE($AR$366))=0,INDEX($C28:$AC28,VALUE($AP$366)),IF(N(INDEX($C28:$AC28,N(VALUE($AR$366))))&gt;0,INDEX($C28:$AC28,VALUE($AP$366))/INDEX($C28:$AC28,N(VALUE($AR$366))),""))))</f>
        <v>0</v>
      </c>
      <c r="BA28" s="72">
        <f>IF(OR($B28="",N(VALUE($AQ$366))=0),"",IF(INDEX($C28:$AC28,VALUE($AQ$366))="","",IF(N(VALUE($AS$366))=0,INDEX($C28:$AC28,VALUE($AQ$366)),IF(N(INDEX($C28:$AC28,N(VALUE($AS$366))))&gt;0,INDEX($C28:$AC28,VALUE($AQ$366))/INDEX($C28:$AC28,N(VALUE($AS$366))),""))))</f>
        <v>0</v>
      </c>
      <c r="BC28" s="42" t="str">
        <f>IF(AND($A28=$B$9,ISNUMBER(R28)),R28,NA())</f>
        <v/>
      </c>
    </row>
    <row r="29">
      <c r="A29" s="39">
        <v>18</v>
      </c>
      <c r="B29" s="57">
        <f>IF($A29&lt;=DAY($D$7),$C$7+$A29-1,"")</f>
        <v>46313</v>
      </c>
      <c r="C29" s="42">
        <f>IF($B29="","",IF($B$2="Todos",SUMIFS(BD!$C$3:$C$5001,BD!$A$3:$A$5001,$B29),SUMIFS(BD!$C$3:$C$5001,BD!$A$3:$A$5001,$B29,BD!$B$3:$B$5001,$D$2)))</f>
        <v>0</v>
      </c>
      <c r="D29" s="42">
        <f>IF($B29="","",IF($B$2="Todos",SUMIFS(BD!$D$3:$D$5001,BD!$A$3:$A$5001,$B29),SUMIFS(BD!$D$3:$D$5001,BD!$A$3:$A$5001,$B29,BD!$B$3:$B$5001,$D$2)))</f>
        <v>0</v>
      </c>
      <c r="E29" s="58">
        <f>IF($B29="","",IF($B$2="Todos",SUMIFS(BD!$E$3:$E$5001,BD!$A$3:$A$5001,$B29),SUMIFS(BD!$E$3:$E$5001,BD!$A$3:$A$5001,$B29,BD!$B$3:$B$5001,$D$2)))</f>
        <v>0</v>
      </c>
      <c r="F29" s="42">
        <f>IF($B29="","",IF($B$2="Todos",SUMIFS(BD!$F$3:$F$5001,BD!$A$3:$A$5001,$B29),SUMIFS(BD!$F$3:$F$5001,BD!$A$3:$A$5001,$B29,BD!$B$3:$B$5001,$D$2)))</f>
        <v>0</v>
      </c>
      <c r="G29" s="42">
        <f>IF($B29="","",IF($B$2="Todos",SUMIFS(BD!$G$3:$G$5001,BD!$A$3:$A$5001,$B29),SUMIFS(BD!$G$3:$G$5001,BD!$A$3:$A$5001,$B29,BD!$B$3:$B$5001,$D$2)))</f>
        <v>0</v>
      </c>
      <c r="H29" s="42">
        <f>IF($B29="","",IF($B$2="Todos",SUMIFS(BD!$H$3:$H$5001,BD!$A$3:$A$5001,$B29),SUMIFS(BD!$H$3:$H$5001,BD!$A$3:$A$5001,$B29,BD!$B$3:$B$5001,$D$2)))</f>
        <v>0</v>
      </c>
      <c r="I29" s="42">
        <f>IF($B29="","",IF($B$2="Todos",SUMIFS(BD!$I$3:$I$5001,BD!$A$3:$A$5001,$B29),SUMIFS(BD!$I$3:$I$5001,BD!$A$3:$A$5001,$B29,BD!$B$3:$B$5001,$D$2)))</f>
        <v>0</v>
      </c>
      <c r="J29" s="58">
        <f>IF($B29="","",IF($B$2="Todos",SUMIFS(BD!$J$3:$J$5001,BD!$A$3:$A$5001,$B29),SUMIFS(BD!$J$3:$J$5001,BD!$A$3:$A$5001,$B29,BD!$B$3:$B$5001,$D$2)))</f>
        <v>0</v>
      </c>
      <c r="K29" s="42">
        <f>IF($B29="","",IF($B$2="Todos",SUMIFS(BD!$K$3:$K$5001,BD!$A$3:$A$5001,$B29),SUMIFS(BD!$K$3:$K$5001,BD!$A$3:$A$5001,$B29,BD!$B$3:$B$5001,$D$2)))</f>
        <v>0</v>
      </c>
      <c r="L29" s="42">
        <f>IF($B29="","",IF($B$2="Todos",SUMIFS(BD!$L$3:$L$5001,BD!$A$3:$A$5001,$B29),SUMIFS(BD!$L$3:$L$5001,BD!$A$3:$A$5001,$B29,BD!$B$3:$B$5001,$D$2)))</f>
        <v>0</v>
      </c>
      <c r="M29" s="42">
        <f>IF($B29="","",IF($B$2="Todos",SUMIFS(BD!$M$3:$M$5001,BD!$A$3:$A$5001,$B29),SUMIFS(BD!$M$3:$M$5001,BD!$A$3:$A$5001,$B29,BD!$B$3:$B$5001,$D$2)))</f>
        <v>0</v>
      </c>
      <c r="N29" s="42">
        <f>IF($B29="","",IF($B$2="Todos",SUMIFS(BD!$N$3:$N$5001,BD!$A$3:$A$5001,$B29),SUMIFS(BD!$N$3:$N$5001,BD!$A$3:$A$5001,$B29,BD!$B$3:$B$5001,$D$2)))</f>
        <v>0</v>
      </c>
      <c r="O29" s="42">
        <f>IF($B29="","",IF($B$2="Todos",SUMIFS(BD!$O$3:$O$5001,BD!$A$3:$A$5001,$B29),SUMIFS(BD!$O$3:$O$5001,BD!$A$3:$A$5001,$B29,BD!$B$3:$B$5001,$D$2)))</f>
        <v>0</v>
      </c>
      <c r="P29" s="42" t="str">
        <f>IF($B$2="Todos",IF(COUNT($C$146:$V$146)=0,"",SUM($C$146:$V$146)),IFERROR(INDEX($C$146:$V$146,MATCH($D$2,$C$128:$V$128,0)),""))</f>
        <v/>
      </c>
      <c r="Q29" s="42" t="str">
        <f>IF($B$2="Todos",IF(COUNT($C$181:$V$181)=0,"",SUM($C$181:$V$181)),IFERROR(INDEX($C$181:$V$181,MATCH($D$2,$C$163:$V$163,0)),""))</f>
        <v/>
      </c>
      <c r="R29" s="59" t="str">
        <f>IF(S29="","",IF($B$2="Todos",IF($B$4&gt;0,$B$4,IF($B$2="Todos",IF(COUNT($C$251:$V$251)=0,"",SUM($C$251:$V$251)),IFERROR(INDEX($C$251:$V$251,MATCH($D$2,$C$233:$V$233,0)),""))),IFERROR(INDEX($C$251:$V$251,MATCH($D$2,$C$233:$V$233,0)),"")))</f>
        <v/>
      </c>
      <c r="S29" s="42" t="str">
        <f>IF($B$2="Todos",IF(COUNT($C$216:$V$216)=0,"",SUM($C$216:$V$216)),IFERROR(INDEX($C$216:$V$216,MATCH($D$2,$C$198:$V$198,0)),""))</f>
        <v/>
      </c>
      <c r="T29" s="60" t="str">
        <f>IF(AND(ISNUMBER(S29),ISNUMBER(R29)),IF(R29&gt;0,S29/R29,""),"")</f>
        <v/>
      </c>
      <c r="U29" s="42" t="str">
        <f>IF($B$2="Todos",IF(COUNT($C$286:$V$286)=0,"",SUM($C$286:$V$286)),IFERROR(INDEX($C$286:$V$286,MATCH($D$2,$C$268:$V$268,0)),""))</f>
        <v/>
      </c>
      <c r="V29" s="42">
        <f>IF($B29="","",IF($B$2="Todos",SUMIFS(BD!$U$3:$U$5001,BD!$A$3:$A$5001,$B29),SUMIFS(BD!$U$3:$U$5001,BD!$A$3:$A$5001,$B29,BD!$B$3:$B$5001,$D$2)))</f>
        <v>0</v>
      </c>
      <c r="W29" s="58">
        <f>IF($B29="","",IF($B$2="Todos",SUMIFS(BD!$V$3:$V$5001,BD!$A$3:$A$5001,$B29),SUMIFS(BD!$V$3:$V$5001,BD!$A$3:$A$5001,$B29,BD!$B$3:$B$5001,$D$2)))</f>
        <v>0</v>
      </c>
      <c r="X29" s="42">
        <f>IF($B29="","",IF($B$2="Todos",SUMIFS(BD!$W$3:$W$5001,BD!$A$3:$A$5001,$B29),SUMIFS(BD!$W$3:$W$5001,BD!$A$3:$A$5001,$B29,BD!$B$3:$B$5001,$D$2)))</f>
        <v>0</v>
      </c>
      <c r="Y29" s="42">
        <f>IF($B29="","",IF($B$2="Todos",SUMIFS(BD!$X$3:$X$5001,BD!$A$3:$A$5001,$B29),SUMIFS(BD!$X$3:$X$5001,BD!$A$3:$A$5001,$B29,BD!$B$3:$B$5001,$D$2)))</f>
        <v>0</v>
      </c>
      <c r="Z29" s="42">
        <f>IF($B29="","",IF($B$2="Todos",SUMIFS(BD!$Y$3:$Y$5001,BD!$A$3:$A$5001,$B29),SUMIFS(BD!$Y$3:$Y$5001,BD!$A$3:$A$5001,$B29,BD!$B$3:$B$5001,$D$2)))</f>
        <v>0</v>
      </c>
      <c r="AA29" s="42">
        <f>IF($B29="","",IF($B$2="Todos",SUMIFS(BD!$Z$3:$Z$5001,BD!$A$3:$A$5001,$B29),SUMIFS(BD!$Z$3:$Z$5001,BD!$A$3:$A$5001,$B29,BD!$B$3:$B$5001,$D$2)))</f>
        <v>0</v>
      </c>
      <c r="AB29" s="42">
        <f>IF($B29="","",IF($B$2="Todos",SUMIFS(BD!$AA$3:$AA$5001,BD!$A$3:$A$5001,$B29),SUMIFS(BD!$AA$3:$AA$5001,BD!$A$3:$A$5001,$B29,BD!$B$3:$B$5001,$D$2)))</f>
        <v>0</v>
      </c>
      <c r="AC29" s="42">
        <f>IF($B29="","",IF($B$2="Todos",SUMIFS(BD!$AB$3:$AB$5001,BD!$A$3:$A$5001,$B29),SUMIFS(BD!$AB$3:$AB$5001,BD!$A$3:$A$5001,$B29,BD!$B$3:$B$5001,$D$2)))</f>
        <v>0</v>
      </c>
      <c r="AD29" s="61">
        <f>$B$5</f>
        <v>0.7</v>
      </c>
      <c r="AE29" s="61">
        <f>$B$6</f>
        <v>0.9</v>
      </c>
      <c r="AN29" s="40" t="str">
        <f>IFERROR(INDEX(Config!$B$10:$B$29,MATCH(17,$AP$13:$AP$32,0))&amp;"","")</f>
        <v/>
      </c>
      <c r="AO29" s="39" t="str">
        <f>IF(AN29="","",IF(INDEX(Config!$C$10:$C$29,MATCH(17,$AP$13:$AP$32,0))&amp;""="","JSL",INDEX(Config!$C$10:$C$29,MATCH(17,$AP$13:$AP$32,0))&amp;""))</f>
        <v/>
      </c>
      <c r="AP29" s="48">
        <f>IF(Config!$B$26&amp;""="",AP28,AP28+1)</f>
        <v>5</v>
      </c>
      <c r="AX29" s="72">
        <f>IF(OR($B29="",N(VALUE($AH$366))=0),"",IF(INDEX($C29:$AC29,VALUE($AH$366))="","",IF(N(VALUE($AJ$366))=0,INDEX($C29:$AC29,VALUE($AH$366)),IF(N(INDEX($C29:$AC29,N(VALUE($AJ$366))))&gt;0,INDEX($C29:$AC29,VALUE($AH$366))/INDEX($C29:$AC29,N(VALUE($AJ$366))),""))))</f>
        <v>0</v>
      </c>
      <c r="AY29" s="72">
        <f>IF(OR($B29="",N(VALUE($AI$366))=0),"",IF(INDEX($C29:$AC29,VALUE($AI$366))="","",IF(N(VALUE($AK$366))=0,INDEX($C29:$AC29,VALUE($AI$366)),IF(N(INDEX($C29:$AC29,N(VALUE($AK$366))))&gt;0,INDEX($C29:$AC29,VALUE($AI$366))/INDEX($C29:$AC29,N(VALUE($AK$366))),""))))</f>
        <v>0</v>
      </c>
      <c r="AZ29" s="72">
        <f>IF(OR($B29="",N(VALUE($AP$366))=0),"",IF(INDEX($C29:$AC29,VALUE($AP$366))="","",IF(N(VALUE($AR$366))=0,INDEX($C29:$AC29,VALUE($AP$366)),IF(N(INDEX($C29:$AC29,N(VALUE($AR$366))))&gt;0,INDEX($C29:$AC29,VALUE($AP$366))/INDEX($C29:$AC29,N(VALUE($AR$366))),""))))</f>
        <v>0</v>
      </c>
      <c r="BA29" s="72">
        <f>IF(OR($B29="",N(VALUE($AQ$366))=0),"",IF(INDEX($C29:$AC29,VALUE($AQ$366))="","",IF(N(VALUE($AS$366))=0,INDEX($C29:$AC29,VALUE($AQ$366)),IF(N(INDEX($C29:$AC29,N(VALUE($AS$366))))&gt;0,INDEX($C29:$AC29,VALUE($AQ$366))/INDEX($C29:$AC29,N(VALUE($AS$366))),""))))</f>
        <v>0</v>
      </c>
      <c r="BC29" s="42" t="str">
        <f>IF(AND($A29=$B$9,ISNUMBER(R29)),R29,NA())</f>
        <v/>
      </c>
    </row>
    <row r="30">
      <c r="A30" s="39">
        <v>19</v>
      </c>
      <c r="B30" s="57">
        <f>IF($A30&lt;=DAY($D$7),$C$7+$A30-1,"")</f>
        <v>46314</v>
      </c>
      <c r="C30" s="42">
        <f>IF($B30="","",IF($B$2="Todos",SUMIFS(BD!$C$3:$C$5001,BD!$A$3:$A$5001,$B30),SUMIFS(BD!$C$3:$C$5001,BD!$A$3:$A$5001,$B30,BD!$B$3:$B$5001,$D$2)))</f>
        <v>0</v>
      </c>
      <c r="D30" s="42">
        <f>IF($B30="","",IF($B$2="Todos",SUMIFS(BD!$D$3:$D$5001,BD!$A$3:$A$5001,$B30),SUMIFS(BD!$D$3:$D$5001,BD!$A$3:$A$5001,$B30,BD!$B$3:$B$5001,$D$2)))</f>
        <v>0</v>
      </c>
      <c r="E30" s="58">
        <f>IF($B30="","",IF($B$2="Todos",SUMIFS(BD!$E$3:$E$5001,BD!$A$3:$A$5001,$B30),SUMIFS(BD!$E$3:$E$5001,BD!$A$3:$A$5001,$B30,BD!$B$3:$B$5001,$D$2)))</f>
        <v>0</v>
      </c>
      <c r="F30" s="42">
        <f>IF($B30="","",IF($B$2="Todos",SUMIFS(BD!$F$3:$F$5001,BD!$A$3:$A$5001,$B30),SUMIFS(BD!$F$3:$F$5001,BD!$A$3:$A$5001,$B30,BD!$B$3:$B$5001,$D$2)))</f>
        <v>0</v>
      </c>
      <c r="G30" s="42">
        <f>IF($B30="","",IF($B$2="Todos",SUMIFS(BD!$G$3:$G$5001,BD!$A$3:$A$5001,$B30),SUMIFS(BD!$G$3:$G$5001,BD!$A$3:$A$5001,$B30,BD!$B$3:$B$5001,$D$2)))</f>
        <v>0</v>
      </c>
      <c r="H30" s="42">
        <f>IF($B30="","",IF($B$2="Todos",SUMIFS(BD!$H$3:$H$5001,BD!$A$3:$A$5001,$B30),SUMIFS(BD!$H$3:$H$5001,BD!$A$3:$A$5001,$B30,BD!$B$3:$B$5001,$D$2)))</f>
        <v>0</v>
      </c>
      <c r="I30" s="42">
        <f>IF($B30="","",IF($B$2="Todos",SUMIFS(BD!$I$3:$I$5001,BD!$A$3:$A$5001,$B30),SUMIFS(BD!$I$3:$I$5001,BD!$A$3:$A$5001,$B30,BD!$B$3:$B$5001,$D$2)))</f>
        <v>0</v>
      </c>
      <c r="J30" s="58">
        <f>IF($B30="","",IF($B$2="Todos",SUMIFS(BD!$J$3:$J$5001,BD!$A$3:$A$5001,$B30),SUMIFS(BD!$J$3:$J$5001,BD!$A$3:$A$5001,$B30,BD!$B$3:$B$5001,$D$2)))</f>
        <v>0</v>
      </c>
      <c r="K30" s="42">
        <f>IF($B30="","",IF($B$2="Todos",SUMIFS(BD!$K$3:$K$5001,BD!$A$3:$A$5001,$B30),SUMIFS(BD!$K$3:$K$5001,BD!$A$3:$A$5001,$B30,BD!$B$3:$B$5001,$D$2)))</f>
        <v>0</v>
      </c>
      <c r="L30" s="42">
        <f>IF($B30="","",IF($B$2="Todos",SUMIFS(BD!$L$3:$L$5001,BD!$A$3:$A$5001,$B30),SUMIFS(BD!$L$3:$L$5001,BD!$A$3:$A$5001,$B30,BD!$B$3:$B$5001,$D$2)))</f>
        <v>0</v>
      </c>
      <c r="M30" s="42">
        <f>IF($B30="","",IF($B$2="Todos",SUMIFS(BD!$M$3:$M$5001,BD!$A$3:$A$5001,$B30),SUMIFS(BD!$M$3:$M$5001,BD!$A$3:$A$5001,$B30,BD!$B$3:$B$5001,$D$2)))</f>
        <v>0</v>
      </c>
      <c r="N30" s="42">
        <f>IF($B30="","",IF($B$2="Todos",SUMIFS(BD!$N$3:$N$5001,BD!$A$3:$A$5001,$B30),SUMIFS(BD!$N$3:$N$5001,BD!$A$3:$A$5001,$B30,BD!$B$3:$B$5001,$D$2)))</f>
        <v>0</v>
      </c>
      <c r="O30" s="42">
        <f>IF($B30="","",IF($B$2="Todos",SUMIFS(BD!$O$3:$O$5001,BD!$A$3:$A$5001,$B30),SUMIFS(BD!$O$3:$O$5001,BD!$A$3:$A$5001,$B30,BD!$B$3:$B$5001,$D$2)))</f>
        <v>0</v>
      </c>
      <c r="P30" s="42" t="str">
        <f>IF($B$2="Todos",IF(COUNT($C$147:$V$147)=0,"",SUM($C$147:$V$147)),IFERROR(INDEX($C$147:$V$147,MATCH($D$2,$C$128:$V$128,0)),""))</f>
        <v/>
      </c>
      <c r="Q30" s="42" t="str">
        <f>IF($B$2="Todos",IF(COUNT($C$182:$V$182)=0,"",SUM($C$182:$V$182)),IFERROR(INDEX($C$182:$V$182,MATCH($D$2,$C$163:$V$163,0)),""))</f>
        <v/>
      </c>
      <c r="R30" s="59" t="str">
        <f>IF(S30="","",IF($B$2="Todos",IF($B$4&gt;0,$B$4,IF($B$2="Todos",IF(COUNT($C$252:$V$252)=0,"",SUM($C$252:$V$252)),IFERROR(INDEX($C$252:$V$252,MATCH($D$2,$C$233:$V$233,0)),""))),IFERROR(INDEX($C$252:$V$252,MATCH($D$2,$C$233:$V$233,0)),"")))</f>
        <v/>
      </c>
      <c r="S30" s="42" t="str">
        <f>IF($B$2="Todos",IF(COUNT($C$217:$V$217)=0,"",SUM($C$217:$V$217)),IFERROR(INDEX($C$217:$V$217,MATCH($D$2,$C$198:$V$198,0)),""))</f>
        <v/>
      </c>
      <c r="T30" s="60" t="str">
        <f>IF(AND(ISNUMBER(S30),ISNUMBER(R30)),IF(R30&gt;0,S30/R30,""),"")</f>
        <v/>
      </c>
      <c r="U30" s="42" t="str">
        <f>IF($B$2="Todos",IF(COUNT($C$287:$V$287)=0,"",SUM($C$287:$V$287)),IFERROR(INDEX($C$287:$V$287,MATCH($D$2,$C$268:$V$268,0)),""))</f>
        <v/>
      </c>
      <c r="V30" s="42">
        <f>IF($B30="","",IF($B$2="Todos",SUMIFS(BD!$U$3:$U$5001,BD!$A$3:$A$5001,$B30),SUMIFS(BD!$U$3:$U$5001,BD!$A$3:$A$5001,$B30,BD!$B$3:$B$5001,$D$2)))</f>
        <v>0</v>
      </c>
      <c r="W30" s="58">
        <f>IF($B30="","",IF($B$2="Todos",SUMIFS(BD!$V$3:$V$5001,BD!$A$3:$A$5001,$B30),SUMIFS(BD!$V$3:$V$5001,BD!$A$3:$A$5001,$B30,BD!$B$3:$B$5001,$D$2)))</f>
        <v>0</v>
      </c>
      <c r="X30" s="42">
        <f>IF($B30="","",IF($B$2="Todos",SUMIFS(BD!$W$3:$W$5001,BD!$A$3:$A$5001,$B30),SUMIFS(BD!$W$3:$W$5001,BD!$A$3:$A$5001,$B30,BD!$B$3:$B$5001,$D$2)))</f>
        <v>0</v>
      </c>
      <c r="Y30" s="42">
        <f>IF($B30="","",IF($B$2="Todos",SUMIFS(BD!$X$3:$X$5001,BD!$A$3:$A$5001,$B30),SUMIFS(BD!$X$3:$X$5001,BD!$A$3:$A$5001,$B30,BD!$B$3:$B$5001,$D$2)))</f>
        <v>0</v>
      </c>
      <c r="Z30" s="42">
        <f>IF($B30="","",IF($B$2="Todos",SUMIFS(BD!$Y$3:$Y$5001,BD!$A$3:$A$5001,$B30),SUMIFS(BD!$Y$3:$Y$5001,BD!$A$3:$A$5001,$B30,BD!$B$3:$B$5001,$D$2)))</f>
        <v>0</v>
      </c>
      <c r="AA30" s="42">
        <f>IF($B30="","",IF($B$2="Todos",SUMIFS(BD!$Z$3:$Z$5001,BD!$A$3:$A$5001,$B30),SUMIFS(BD!$Z$3:$Z$5001,BD!$A$3:$A$5001,$B30,BD!$B$3:$B$5001,$D$2)))</f>
        <v>0</v>
      </c>
      <c r="AB30" s="42">
        <f>IF($B30="","",IF($B$2="Todos",SUMIFS(BD!$AA$3:$AA$5001,BD!$A$3:$A$5001,$B30),SUMIFS(BD!$AA$3:$AA$5001,BD!$A$3:$A$5001,$B30,BD!$B$3:$B$5001,$D$2)))</f>
        <v>0</v>
      </c>
      <c r="AC30" s="42">
        <f>IF($B30="","",IF($B$2="Todos",SUMIFS(BD!$AB$3:$AB$5001,BD!$A$3:$A$5001,$B30),SUMIFS(BD!$AB$3:$AB$5001,BD!$A$3:$A$5001,$B30,BD!$B$3:$B$5001,$D$2)))</f>
        <v>0</v>
      </c>
      <c r="AD30" s="61">
        <f>$B$5</f>
        <v>0.7</v>
      </c>
      <c r="AE30" s="61">
        <f>$B$6</f>
        <v>0.9</v>
      </c>
      <c r="AN30" s="40" t="str">
        <f>IFERROR(INDEX(Config!$B$10:$B$29,MATCH(18,$AP$13:$AP$32,0))&amp;"","")</f>
        <v/>
      </c>
      <c r="AO30" s="39" t="str">
        <f>IF(AN30="","",IF(INDEX(Config!$C$10:$C$29,MATCH(18,$AP$13:$AP$32,0))&amp;""="","JSL",INDEX(Config!$C$10:$C$29,MATCH(18,$AP$13:$AP$32,0))&amp;""))</f>
        <v/>
      </c>
      <c r="AP30" s="48">
        <f>IF(Config!$B$27&amp;""="",AP29,AP29+1)</f>
        <v>5</v>
      </c>
      <c r="AX30" s="72">
        <f>IF(OR($B30="",N(VALUE($AH$366))=0),"",IF(INDEX($C30:$AC30,VALUE($AH$366))="","",IF(N(VALUE($AJ$366))=0,INDEX($C30:$AC30,VALUE($AH$366)),IF(N(INDEX($C30:$AC30,N(VALUE($AJ$366))))&gt;0,INDEX($C30:$AC30,VALUE($AH$366))/INDEX($C30:$AC30,N(VALUE($AJ$366))),""))))</f>
        <v>0</v>
      </c>
      <c r="AY30" s="72">
        <f>IF(OR($B30="",N(VALUE($AI$366))=0),"",IF(INDEX($C30:$AC30,VALUE($AI$366))="","",IF(N(VALUE($AK$366))=0,INDEX($C30:$AC30,VALUE($AI$366)),IF(N(INDEX($C30:$AC30,N(VALUE($AK$366))))&gt;0,INDEX($C30:$AC30,VALUE($AI$366))/INDEX($C30:$AC30,N(VALUE($AK$366))),""))))</f>
        <v>0</v>
      </c>
      <c r="AZ30" s="72">
        <f>IF(OR($B30="",N(VALUE($AP$366))=0),"",IF(INDEX($C30:$AC30,VALUE($AP$366))="","",IF(N(VALUE($AR$366))=0,INDEX($C30:$AC30,VALUE($AP$366)),IF(N(INDEX($C30:$AC30,N(VALUE($AR$366))))&gt;0,INDEX($C30:$AC30,VALUE($AP$366))/INDEX($C30:$AC30,N(VALUE($AR$366))),""))))</f>
        <v>0</v>
      </c>
      <c r="BA30" s="72">
        <f>IF(OR($B30="",N(VALUE($AQ$366))=0),"",IF(INDEX($C30:$AC30,VALUE($AQ$366))="","",IF(N(VALUE($AS$366))=0,INDEX($C30:$AC30,VALUE($AQ$366)),IF(N(INDEX($C30:$AC30,N(VALUE($AS$366))))&gt;0,INDEX($C30:$AC30,VALUE($AQ$366))/INDEX($C30:$AC30,N(VALUE($AS$366))),""))))</f>
        <v>0</v>
      </c>
      <c r="BC30" s="42" t="str">
        <f>IF(AND($A30=$B$9,ISNUMBER(R30)),R30,NA())</f>
        <v/>
      </c>
    </row>
    <row r="31">
      <c r="A31" s="39">
        <v>20</v>
      </c>
      <c r="B31" s="57">
        <f>IF($A31&lt;=DAY($D$7),$C$7+$A31-1,"")</f>
        <v>46315</v>
      </c>
      <c r="C31" s="42">
        <f>IF($B31="","",IF($B$2="Todos",SUMIFS(BD!$C$3:$C$5001,BD!$A$3:$A$5001,$B31),SUMIFS(BD!$C$3:$C$5001,BD!$A$3:$A$5001,$B31,BD!$B$3:$B$5001,$D$2)))</f>
        <v>0</v>
      </c>
      <c r="D31" s="42">
        <f>IF($B31="","",IF($B$2="Todos",SUMIFS(BD!$D$3:$D$5001,BD!$A$3:$A$5001,$B31),SUMIFS(BD!$D$3:$D$5001,BD!$A$3:$A$5001,$B31,BD!$B$3:$B$5001,$D$2)))</f>
        <v>0</v>
      </c>
      <c r="E31" s="58">
        <f>IF($B31="","",IF($B$2="Todos",SUMIFS(BD!$E$3:$E$5001,BD!$A$3:$A$5001,$B31),SUMIFS(BD!$E$3:$E$5001,BD!$A$3:$A$5001,$B31,BD!$B$3:$B$5001,$D$2)))</f>
        <v>0</v>
      </c>
      <c r="F31" s="42">
        <f>IF($B31="","",IF($B$2="Todos",SUMIFS(BD!$F$3:$F$5001,BD!$A$3:$A$5001,$B31),SUMIFS(BD!$F$3:$F$5001,BD!$A$3:$A$5001,$B31,BD!$B$3:$B$5001,$D$2)))</f>
        <v>0</v>
      </c>
      <c r="G31" s="42">
        <f>IF($B31="","",IF($B$2="Todos",SUMIFS(BD!$G$3:$G$5001,BD!$A$3:$A$5001,$B31),SUMIFS(BD!$G$3:$G$5001,BD!$A$3:$A$5001,$B31,BD!$B$3:$B$5001,$D$2)))</f>
        <v>0</v>
      </c>
      <c r="H31" s="42">
        <f>IF($B31="","",IF($B$2="Todos",SUMIFS(BD!$H$3:$H$5001,BD!$A$3:$A$5001,$B31),SUMIFS(BD!$H$3:$H$5001,BD!$A$3:$A$5001,$B31,BD!$B$3:$B$5001,$D$2)))</f>
        <v>0</v>
      </c>
      <c r="I31" s="42">
        <f>IF($B31="","",IF($B$2="Todos",SUMIFS(BD!$I$3:$I$5001,BD!$A$3:$A$5001,$B31),SUMIFS(BD!$I$3:$I$5001,BD!$A$3:$A$5001,$B31,BD!$B$3:$B$5001,$D$2)))</f>
        <v>0</v>
      </c>
      <c r="J31" s="58">
        <f>IF($B31="","",IF($B$2="Todos",SUMIFS(BD!$J$3:$J$5001,BD!$A$3:$A$5001,$B31),SUMIFS(BD!$J$3:$J$5001,BD!$A$3:$A$5001,$B31,BD!$B$3:$B$5001,$D$2)))</f>
        <v>0</v>
      </c>
      <c r="K31" s="42">
        <f>IF($B31="","",IF($B$2="Todos",SUMIFS(BD!$K$3:$K$5001,BD!$A$3:$A$5001,$B31),SUMIFS(BD!$K$3:$K$5001,BD!$A$3:$A$5001,$B31,BD!$B$3:$B$5001,$D$2)))</f>
        <v>0</v>
      </c>
      <c r="L31" s="42">
        <f>IF($B31="","",IF($B$2="Todos",SUMIFS(BD!$L$3:$L$5001,BD!$A$3:$A$5001,$B31),SUMIFS(BD!$L$3:$L$5001,BD!$A$3:$A$5001,$B31,BD!$B$3:$B$5001,$D$2)))</f>
        <v>0</v>
      </c>
      <c r="M31" s="42">
        <f>IF($B31="","",IF($B$2="Todos",SUMIFS(BD!$M$3:$M$5001,BD!$A$3:$A$5001,$B31),SUMIFS(BD!$M$3:$M$5001,BD!$A$3:$A$5001,$B31,BD!$B$3:$B$5001,$D$2)))</f>
        <v>0</v>
      </c>
      <c r="N31" s="42">
        <f>IF($B31="","",IF($B$2="Todos",SUMIFS(BD!$N$3:$N$5001,BD!$A$3:$A$5001,$B31),SUMIFS(BD!$N$3:$N$5001,BD!$A$3:$A$5001,$B31,BD!$B$3:$B$5001,$D$2)))</f>
        <v>0</v>
      </c>
      <c r="O31" s="42">
        <f>IF($B31="","",IF($B$2="Todos",SUMIFS(BD!$O$3:$O$5001,BD!$A$3:$A$5001,$B31),SUMIFS(BD!$O$3:$O$5001,BD!$A$3:$A$5001,$B31,BD!$B$3:$B$5001,$D$2)))</f>
        <v>0</v>
      </c>
      <c r="P31" s="42" t="str">
        <f>IF($B$2="Todos",IF(COUNT($C$148:$V$148)=0,"",SUM($C$148:$V$148)),IFERROR(INDEX($C$148:$V$148,MATCH($D$2,$C$128:$V$128,0)),""))</f>
        <v/>
      </c>
      <c r="Q31" s="42" t="str">
        <f>IF($B$2="Todos",IF(COUNT($C$183:$V$183)=0,"",SUM($C$183:$V$183)),IFERROR(INDEX($C$183:$V$183,MATCH($D$2,$C$163:$V$163,0)),""))</f>
        <v/>
      </c>
      <c r="R31" s="59" t="str">
        <f>IF(S31="","",IF($B$2="Todos",IF($B$4&gt;0,$B$4,IF($B$2="Todos",IF(COUNT($C$253:$V$253)=0,"",SUM($C$253:$V$253)),IFERROR(INDEX($C$253:$V$253,MATCH($D$2,$C$233:$V$233,0)),""))),IFERROR(INDEX($C$253:$V$253,MATCH($D$2,$C$233:$V$233,0)),"")))</f>
        <v/>
      </c>
      <c r="S31" s="42" t="str">
        <f>IF($B$2="Todos",IF(COUNT($C$218:$V$218)=0,"",SUM($C$218:$V$218)),IFERROR(INDEX($C$218:$V$218,MATCH($D$2,$C$198:$V$198,0)),""))</f>
        <v/>
      </c>
      <c r="T31" s="60" t="str">
        <f>IF(AND(ISNUMBER(S31),ISNUMBER(R31)),IF(R31&gt;0,S31/R31,""),"")</f>
        <v/>
      </c>
      <c r="U31" s="42" t="str">
        <f>IF($B$2="Todos",IF(COUNT($C$288:$V$288)=0,"",SUM($C$288:$V$288)),IFERROR(INDEX($C$288:$V$288,MATCH($D$2,$C$268:$V$268,0)),""))</f>
        <v/>
      </c>
      <c r="V31" s="42">
        <f>IF($B31="","",IF($B$2="Todos",SUMIFS(BD!$U$3:$U$5001,BD!$A$3:$A$5001,$B31),SUMIFS(BD!$U$3:$U$5001,BD!$A$3:$A$5001,$B31,BD!$B$3:$B$5001,$D$2)))</f>
        <v>0</v>
      </c>
      <c r="W31" s="58">
        <f>IF($B31="","",IF($B$2="Todos",SUMIFS(BD!$V$3:$V$5001,BD!$A$3:$A$5001,$B31),SUMIFS(BD!$V$3:$V$5001,BD!$A$3:$A$5001,$B31,BD!$B$3:$B$5001,$D$2)))</f>
        <v>0</v>
      </c>
      <c r="X31" s="42">
        <f>IF($B31="","",IF($B$2="Todos",SUMIFS(BD!$W$3:$W$5001,BD!$A$3:$A$5001,$B31),SUMIFS(BD!$W$3:$W$5001,BD!$A$3:$A$5001,$B31,BD!$B$3:$B$5001,$D$2)))</f>
        <v>0</v>
      </c>
      <c r="Y31" s="42">
        <f>IF($B31="","",IF($B$2="Todos",SUMIFS(BD!$X$3:$X$5001,BD!$A$3:$A$5001,$B31),SUMIFS(BD!$X$3:$X$5001,BD!$A$3:$A$5001,$B31,BD!$B$3:$B$5001,$D$2)))</f>
        <v>0</v>
      </c>
      <c r="Z31" s="42">
        <f>IF($B31="","",IF($B$2="Todos",SUMIFS(BD!$Y$3:$Y$5001,BD!$A$3:$A$5001,$B31),SUMIFS(BD!$Y$3:$Y$5001,BD!$A$3:$A$5001,$B31,BD!$B$3:$B$5001,$D$2)))</f>
        <v>0</v>
      </c>
      <c r="AA31" s="42">
        <f>IF($B31="","",IF($B$2="Todos",SUMIFS(BD!$Z$3:$Z$5001,BD!$A$3:$A$5001,$B31),SUMIFS(BD!$Z$3:$Z$5001,BD!$A$3:$A$5001,$B31,BD!$B$3:$B$5001,$D$2)))</f>
        <v>0</v>
      </c>
      <c r="AB31" s="42">
        <f>IF($B31="","",IF($B$2="Todos",SUMIFS(BD!$AA$3:$AA$5001,BD!$A$3:$A$5001,$B31),SUMIFS(BD!$AA$3:$AA$5001,BD!$A$3:$A$5001,$B31,BD!$B$3:$B$5001,$D$2)))</f>
        <v>0</v>
      </c>
      <c r="AC31" s="42">
        <f>IF($B31="","",IF($B$2="Todos",SUMIFS(BD!$AB$3:$AB$5001,BD!$A$3:$A$5001,$B31),SUMIFS(BD!$AB$3:$AB$5001,BD!$A$3:$A$5001,$B31,BD!$B$3:$B$5001,$D$2)))</f>
        <v>0</v>
      </c>
      <c r="AD31" s="61">
        <f>$B$5</f>
        <v>0.7</v>
      </c>
      <c r="AE31" s="61">
        <f>$B$6</f>
        <v>0.9</v>
      </c>
      <c r="AN31" s="40" t="str">
        <f>IFERROR(INDEX(Config!$B$10:$B$29,MATCH(19,$AP$13:$AP$32,0))&amp;"","")</f>
        <v/>
      </c>
      <c r="AO31" s="39" t="str">
        <f>IF(AN31="","",IF(INDEX(Config!$C$10:$C$29,MATCH(19,$AP$13:$AP$32,0))&amp;""="","JSL",INDEX(Config!$C$10:$C$29,MATCH(19,$AP$13:$AP$32,0))&amp;""))</f>
        <v/>
      </c>
      <c r="AP31" s="48">
        <f>IF(Config!$B$28&amp;""="",AP30,AP30+1)</f>
        <v>5</v>
      </c>
      <c r="AX31" s="72">
        <f>IF(OR($B31="",N(VALUE($AH$366))=0),"",IF(INDEX($C31:$AC31,VALUE($AH$366))="","",IF(N(VALUE($AJ$366))=0,INDEX($C31:$AC31,VALUE($AH$366)),IF(N(INDEX($C31:$AC31,N(VALUE($AJ$366))))&gt;0,INDEX($C31:$AC31,VALUE($AH$366))/INDEX($C31:$AC31,N(VALUE($AJ$366))),""))))</f>
        <v>0</v>
      </c>
      <c r="AY31" s="72">
        <f>IF(OR($B31="",N(VALUE($AI$366))=0),"",IF(INDEX($C31:$AC31,VALUE($AI$366))="","",IF(N(VALUE($AK$366))=0,INDEX($C31:$AC31,VALUE($AI$366)),IF(N(INDEX($C31:$AC31,N(VALUE($AK$366))))&gt;0,INDEX($C31:$AC31,VALUE($AI$366))/INDEX($C31:$AC31,N(VALUE($AK$366))),""))))</f>
        <v>0</v>
      </c>
      <c r="AZ31" s="72">
        <f>IF(OR($B31="",N(VALUE($AP$366))=0),"",IF(INDEX($C31:$AC31,VALUE($AP$366))="","",IF(N(VALUE($AR$366))=0,INDEX($C31:$AC31,VALUE($AP$366)),IF(N(INDEX($C31:$AC31,N(VALUE($AR$366))))&gt;0,INDEX($C31:$AC31,VALUE($AP$366))/INDEX($C31:$AC31,N(VALUE($AR$366))),""))))</f>
        <v>0</v>
      </c>
      <c r="BA31" s="72">
        <f>IF(OR($B31="",N(VALUE($AQ$366))=0),"",IF(INDEX($C31:$AC31,VALUE($AQ$366))="","",IF(N(VALUE($AS$366))=0,INDEX($C31:$AC31,VALUE($AQ$366)),IF(N(INDEX($C31:$AC31,N(VALUE($AS$366))))&gt;0,INDEX($C31:$AC31,VALUE($AQ$366))/INDEX($C31:$AC31,N(VALUE($AS$366))),""))))</f>
        <v>0</v>
      </c>
      <c r="BC31" s="42" t="str">
        <f>IF(AND($A31=$B$9,ISNUMBER(R31)),R31,NA())</f>
        <v/>
      </c>
    </row>
    <row r="32">
      <c r="A32" s="39">
        <v>21</v>
      </c>
      <c r="B32" s="57">
        <f>IF($A32&lt;=DAY($D$7),$C$7+$A32-1,"")</f>
        <v>46316</v>
      </c>
      <c r="C32" s="42">
        <f>IF($B32="","",IF($B$2="Todos",SUMIFS(BD!$C$3:$C$5001,BD!$A$3:$A$5001,$B32),SUMIFS(BD!$C$3:$C$5001,BD!$A$3:$A$5001,$B32,BD!$B$3:$B$5001,$D$2)))</f>
        <v>0</v>
      </c>
      <c r="D32" s="42">
        <f>IF($B32="","",IF($B$2="Todos",SUMIFS(BD!$D$3:$D$5001,BD!$A$3:$A$5001,$B32),SUMIFS(BD!$D$3:$D$5001,BD!$A$3:$A$5001,$B32,BD!$B$3:$B$5001,$D$2)))</f>
        <v>0</v>
      </c>
      <c r="E32" s="58">
        <f>IF($B32="","",IF($B$2="Todos",SUMIFS(BD!$E$3:$E$5001,BD!$A$3:$A$5001,$B32),SUMIFS(BD!$E$3:$E$5001,BD!$A$3:$A$5001,$B32,BD!$B$3:$B$5001,$D$2)))</f>
        <v>0</v>
      </c>
      <c r="F32" s="42">
        <f>IF($B32="","",IF($B$2="Todos",SUMIFS(BD!$F$3:$F$5001,BD!$A$3:$A$5001,$B32),SUMIFS(BD!$F$3:$F$5001,BD!$A$3:$A$5001,$B32,BD!$B$3:$B$5001,$D$2)))</f>
        <v>0</v>
      </c>
      <c r="G32" s="42">
        <f>IF($B32="","",IF($B$2="Todos",SUMIFS(BD!$G$3:$G$5001,BD!$A$3:$A$5001,$B32),SUMIFS(BD!$G$3:$G$5001,BD!$A$3:$A$5001,$B32,BD!$B$3:$B$5001,$D$2)))</f>
        <v>0</v>
      </c>
      <c r="H32" s="42">
        <f>IF($B32="","",IF($B$2="Todos",SUMIFS(BD!$H$3:$H$5001,BD!$A$3:$A$5001,$B32),SUMIFS(BD!$H$3:$H$5001,BD!$A$3:$A$5001,$B32,BD!$B$3:$B$5001,$D$2)))</f>
        <v>0</v>
      </c>
      <c r="I32" s="42">
        <f>IF($B32="","",IF($B$2="Todos",SUMIFS(BD!$I$3:$I$5001,BD!$A$3:$A$5001,$B32),SUMIFS(BD!$I$3:$I$5001,BD!$A$3:$A$5001,$B32,BD!$B$3:$B$5001,$D$2)))</f>
        <v>0</v>
      </c>
      <c r="J32" s="58">
        <f>IF($B32="","",IF($B$2="Todos",SUMIFS(BD!$J$3:$J$5001,BD!$A$3:$A$5001,$B32),SUMIFS(BD!$J$3:$J$5001,BD!$A$3:$A$5001,$B32,BD!$B$3:$B$5001,$D$2)))</f>
        <v>0</v>
      </c>
      <c r="K32" s="42">
        <f>IF($B32="","",IF($B$2="Todos",SUMIFS(BD!$K$3:$K$5001,BD!$A$3:$A$5001,$B32),SUMIFS(BD!$K$3:$K$5001,BD!$A$3:$A$5001,$B32,BD!$B$3:$B$5001,$D$2)))</f>
        <v>0</v>
      </c>
      <c r="L32" s="42">
        <f>IF($B32="","",IF($B$2="Todos",SUMIFS(BD!$L$3:$L$5001,BD!$A$3:$A$5001,$B32),SUMIFS(BD!$L$3:$L$5001,BD!$A$3:$A$5001,$B32,BD!$B$3:$B$5001,$D$2)))</f>
        <v>0</v>
      </c>
      <c r="M32" s="42">
        <f>IF($B32="","",IF($B$2="Todos",SUMIFS(BD!$M$3:$M$5001,BD!$A$3:$A$5001,$B32),SUMIFS(BD!$M$3:$M$5001,BD!$A$3:$A$5001,$B32,BD!$B$3:$B$5001,$D$2)))</f>
        <v>0</v>
      </c>
      <c r="N32" s="42">
        <f>IF($B32="","",IF($B$2="Todos",SUMIFS(BD!$N$3:$N$5001,BD!$A$3:$A$5001,$B32),SUMIFS(BD!$N$3:$N$5001,BD!$A$3:$A$5001,$B32,BD!$B$3:$B$5001,$D$2)))</f>
        <v>0</v>
      </c>
      <c r="O32" s="42">
        <f>IF($B32="","",IF($B$2="Todos",SUMIFS(BD!$O$3:$O$5001,BD!$A$3:$A$5001,$B32),SUMIFS(BD!$O$3:$O$5001,BD!$A$3:$A$5001,$B32,BD!$B$3:$B$5001,$D$2)))</f>
        <v>0</v>
      </c>
      <c r="P32" s="42" t="str">
        <f>IF($B$2="Todos",IF(COUNT($C$149:$V$149)=0,"",SUM($C$149:$V$149)),IFERROR(INDEX($C$149:$V$149,MATCH($D$2,$C$128:$V$128,0)),""))</f>
        <v/>
      </c>
      <c r="Q32" s="42" t="str">
        <f>IF($B$2="Todos",IF(COUNT($C$184:$V$184)=0,"",SUM($C$184:$V$184)),IFERROR(INDEX($C$184:$V$184,MATCH($D$2,$C$163:$V$163,0)),""))</f>
        <v/>
      </c>
      <c r="R32" s="59" t="str">
        <f>IF(S32="","",IF($B$2="Todos",IF($B$4&gt;0,$B$4,IF($B$2="Todos",IF(COUNT($C$254:$V$254)=0,"",SUM($C$254:$V$254)),IFERROR(INDEX($C$254:$V$254,MATCH($D$2,$C$233:$V$233,0)),""))),IFERROR(INDEX($C$254:$V$254,MATCH($D$2,$C$233:$V$233,0)),"")))</f>
        <v/>
      </c>
      <c r="S32" s="42" t="str">
        <f>IF($B$2="Todos",IF(COUNT($C$219:$V$219)=0,"",SUM($C$219:$V$219)),IFERROR(INDEX($C$219:$V$219,MATCH($D$2,$C$198:$V$198,0)),""))</f>
        <v/>
      </c>
      <c r="T32" s="60" t="str">
        <f>IF(AND(ISNUMBER(S32),ISNUMBER(R32)),IF(R32&gt;0,S32/R32,""),"")</f>
        <v/>
      </c>
      <c r="U32" s="42" t="str">
        <f>IF($B$2="Todos",IF(COUNT($C$289:$V$289)=0,"",SUM($C$289:$V$289)),IFERROR(INDEX($C$289:$V$289,MATCH($D$2,$C$268:$V$268,0)),""))</f>
        <v/>
      </c>
      <c r="V32" s="42">
        <f>IF($B32="","",IF($B$2="Todos",SUMIFS(BD!$U$3:$U$5001,BD!$A$3:$A$5001,$B32),SUMIFS(BD!$U$3:$U$5001,BD!$A$3:$A$5001,$B32,BD!$B$3:$B$5001,$D$2)))</f>
        <v>0</v>
      </c>
      <c r="W32" s="58">
        <f>IF($B32="","",IF($B$2="Todos",SUMIFS(BD!$V$3:$V$5001,BD!$A$3:$A$5001,$B32),SUMIFS(BD!$V$3:$V$5001,BD!$A$3:$A$5001,$B32,BD!$B$3:$B$5001,$D$2)))</f>
        <v>0</v>
      </c>
      <c r="X32" s="42">
        <f>IF($B32="","",IF($B$2="Todos",SUMIFS(BD!$W$3:$W$5001,BD!$A$3:$A$5001,$B32),SUMIFS(BD!$W$3:$W$5001,BD!$A$3:$A$5001,$B32,BD!$B$3:$B$5001,$D$2)))</f>
        <v>0</v>
      </c>
      <c r="Y32" s="42">
        <f>IF($B32="","",IF($B$2="Todos",SUMIFS(BD!$X$3:$X$5001,BD!$A$3:$A$5001,$B32),SUMIFS(BD!$X$3:$X$5001,BD!$A$3:$A$5001,$B32,BD!$B$3:$B$5001,$D$2)))</f>
        <v>0</v>
      </c>
      <c r="Z32" s="42">
        <f>IF($B32="","",IF($B$2="Todos",SUMIFS(BD!$Y$3:$Y$5001,BD!$A$3:$A$5001,$B32),SUMIFS(BD!$Y$3:$Y$5001,BD!$A$3:$A$5001,$B32,BD!$B$3:$B$5001,$D$2)))</f>
        <v>0</v>
      </c>
      <c r="AA32" s="42">
        <f>IF($B32="","",IF($B$2="Todos",SUMIFS(BD!$Z$3:$Z$5001,BD!$A$3:$A$5001,$B32),SUMIFS(BD!$Z$3:$Z$5001,BD!$A$3:$A$5001,$B32,BD!$B$3:$B$5001,$D$2)))</f>
        <v>0</v>
      </c>
      <c r="AB32" s="42">
        <f>IF($B32="","",IF($B$2="Todos",SUMIFS(BD!$AA$3:$AA$5001,BD!$A$3:$A$5001,$B32),SUMIFS(BD!$AA$3:$AA$5001,BD!$A$3:$A$5001,$B32,BD!$B$3:$B$5001,$D$2)))</f>
        <v>0</v>
      </c>
      <c r="AC32" s="42">
        <f>IF($B32="","",IF($B$2="Todos",SUMIFS(BD!$AB$3:$AB$5001,BD!$A$3:$A$5001,$B32),SUMIFS(BD!$AB$3:$AB$5001,BD!$A$3:$A$5001,$B32,BD!$B$3:$B$5001,$D$2)))</f>
        <v>0</v>
      </c>
      <c r="AD32" s="61">
        <f>$B$5</f>
        <v>0.7</v>
      </c>
      <c r="AE32" s="61">
        <f>$B$6</f>
        <v>0.9</v>
      </c>
      <c r="AN32" s="40" t="str">
        <f>IFERROR(INDEX(Config!$B$10:$B$29,MATCH(20,$AP$13:$AP$32,0))&amp;"","")</f>
        <v/>
      </c>
      <c r="AO32" s="39" t="str">
        <f>IF(AN32="","",IF(INDEX(Config!$C$10:$C$29,MATCH(20,$AP$13:$AP$32,0))&amp;""="","JSL",INDEX(Config!$C$10:$C$29,MATCH(20,$AP$13:$AP$32,0))&amp;""))</f>
        <v/>
      </c>
      <c r="AP32" s="48">
        <f>IF(Config!$B$29&amp;""="",AP31,AP31+1)</f>
        <v>5</v>
      </c>
      <c r="AX32" s="72">
        <f>IF(OR($B32="",N(VALUE($AH$366))=0),"",IF(INDEX($C32:$AC32,VALUE($AH$366))="","",IF(N(VALUE($AJ$366))=0,INDEX($C32:$AC32,VALUE($AH$366)),IF(N(INDEX($C32:$AC32,N(VALUE($AJ$366))))&gt;0,INDEX($C32:$AC32,VALUE($AH$366))/INDEX($C32:$AC32,N(VALUE($AJ$366))),""))))</f>
        <v>0</v>
      </c>
      <c r="AY32" s="72">
        <f>IF(OR($B32="",N(VALUE($AI$366))=0),"",IF(INDEX($C32:$AC32,VALUE($AI$366))="","",IF(N(VALUE($AK$366))=0,INDEX($C32:$AC32,VALUE($AI$366)),IF(N(INDEX($C32:$AC32,N(VALUE($AK$366))))&gt;0,INDEX($C32:$AC32,VALUE($AI$366))/INDEX($C32:$AC32,N(VALUE($AK$366))),""))))</f>
        <v>0</v>
      </c>
      <c r="AZ32" s="72">
        <f>IF(OR($B32="",N(VALUE($AP$366))=0),"",IF(INDEX($C32:$AC32,VALUE($AP$366))="","",IF(N(VALUE($AR$366))=0,INDEX($C32:$AC32,VALUE($AP$366)),IF(N(INDEX($C32:$AC32,N(VALUE($AR$366))))&gt;0,INDEX($C32:$AC32,VALUE($AP$366))/INDEX($C32:$AC32,N(VALUE($AR$366))),""))))</f>
        <v>0</v>
      </c>
      <c r="BA32" s="72">
        <f>IF(OR($B32="",N(VALUE($AQ$366))=0),"",IF(INDEX($C32:$AC32,VALUE($AQ$366))="","",IF(N(VALUE($AS$366))=0,INDEX($C32:$AC32,VALUE($AQ$366)),IF(N(INDEX($C32:$AC32,N(VALUE($AS$366))))&gt;0,INDEX($C32:$AC32,VALUE($AQ$366))/INDEX($C32:$AC32,N(VALUE($AS$366))),""))))</f>
        <v>0</v>
      </c>
      <c r="BC32" s="42" t="str">
        <f>IF(AND($A32=$B$9,ISNUMBER(R32)),R32,NA())</f>
        <v/>
      </c>
    </row>
    <row r="33">
      <c r="A33" s="39">
        <v>22</v>
      </c>
      <c r="B33" s="57">
        <f>IF($A33&lt;=DAY($D$7),$C$7+$A33-1,"")</f>
        <v>46317</v>
      </c>
      <c r="C33" s="42">
        <f>IF($B33="","",IF($B$2="Todos",SUMIFS(BD!$C$3:$C$5001,BD!$A$3:$A$5001,$B33),SUMIFS(BD!$C$3:$C$5001,BD!$A$3:$A$5001,$B33,BD!$B$3:$B$5001,$D$2)))</f>
        <v>0</v>
      </c>
      <c r="D33" s="42">
        <f>IF($B33="","",IF($B$2="Todos",SUMIFS(BD!$D$3:$D$5001,BD!$A$3:$A$5001,$B33),SUMIFS(BD!$D$3:$D$5001,BD!$A$3:$A$5001,$B33,BD!$B$3:$B$5001,$D$2)))</f>
        <v>0</v>
      </c>
      <c r="E33" s="58">
        <f>IF($B33="","",IF($B$2="Todos",SUMIFS(BD!$E$3:$E$5001,BD!$A$3:$A$5001,$B33),SUMIFS(BD!$E$3:$E$5001,BD!$A$3:$A$5001,$B33,BD!$B$3:$B$5001,$D$2)))</f>
        <v>0</v>
      </c>
      <c r="F33" s="42">
        <f>IF($B33="","",IF($B$2="Todos",SUMIFS(BD!$F$3:$F$5001,BD!$A$3:$A$5001,$B33),SUMIFS(BD!$F$3:$F$5001,BD!$A$3:$A$5001,$B33,BD!$B$3:$B$5001,$D$2)))</f>
        <v>0</v>
      </c>
      <c r="G33" s="42">
        <f>IF($B33="","",IF($B$2="Todos",SUMIFS(BD!$G$3:$G$5001,BD!$A$3:$A$5001,$B33),SUMIFS(BD!$G$3:$G$5001,BD!$A$3:$A$5001,$B33,BD!$B$3:$B$5001,$D$2)))</f>
        <v>0</v>
      </c>
      <c r="H33" s="42">
        <f>IF($B33="","",IF($B$2="Todos",SUMIFS(BD!$H$3:$H$5001,BD!$A$3:$A$5001,$B33),SUMIFS(BD!$H$3:$H$5001,BD!$A$3:$A$5001,$B33,BD!$B$3:$B$5001,$D$2)))</f>
        <v>0</v>
      </c>
      <c r="I33" s="42">
        <f>IF($B33="","",IF($B$2="Todos",SUMIFS(BD!$I$3:$I$5001,BD!$A$3:$A$5001,$B33),SUMIFS(BD!$I$3:$I$5001,BD!$A$3:$A$5001,$B33,BD!$B$3:$B$5001,$D$2)))</f>
        <v>0</v>
      </c>
      <c r="J33" s="58">
        <f>IF($B33="","",IF($B$2="Todos",SUMIFS(BD!$J$3:$J$5001,BD!$A$3:$A$5001,$B33),SUMIFS(BD!$J$3:$J$5001,BD!$A$3:$A$5001,$B33,BD!$B$3:$B$5001,$D$2)))</f>
        <v>0</v>
      </c>
      <c r="K33" s="42">
        <f>IF($B33="","",IF($B$2="Todos",SUMIFS(BD!$K$3:$K$5001,BD!$A$3:$A$5001,$B33),SUMIFS(BD!$K$3:$K$5001,BD!$A$3:$A$5001,$B33,BD!$B$3:$B$5001,$D$2)))</f>
        <v>0</v>
      </c>
      <c r="L33" s="42">
        <f>IF($B33="","",IF($B$2="Todos",SUMIFS(BD!$L$3:$L$5001,BD!$A$3:$A$5001,$B33),SUMIFS(BD!$L$3:$L$5001,BD!$A$3:$A$5001,$B33,BD!$B$3:$B$5001,$D$2)))</f>
        <v>0</v>
      </c>
      <c r="M33" s="42">
        <f>IF($B33="","",IF($B$2="Todos",SUMIFS(BD!$M$3:$M$5001,BD!$A$3:$A$5001,$B33),SUMIFS(BD!$M$3:$M$5001,BD!$A$3:$A$5001,$B33,BD!$B$3:$B$5001,$D$2)))</f>
        <v>0</v>
      </c>
      <c r="N33" s="42">
        <f>IF($B33="","",IF($B$2="Todos",SUMIFS(BD!$N$3:$N$5001,BD!$A$3:$A$5001,$B33),SUMIFS(BD!$N$3:$N$5001,BD!$A$3:$A$5001,$B33,BD!$B$3:$B$5001,$D$2)))</f>
        <v>0</v>
      </c>
      <c r="O33" s="42">
        <f>IF($B33="","",IF($B$2="Todos",SUMIFS(BD!$O$3:$O$5001,BD!$A$3:$A$5001,$B33),SUMIFS(BD!$O$3:$O$5001,BD!$A$3:$A$5001,$B33,BD!$B$3:$B$5001,$D$2)))</f>
        <v>0</v>
      </c>
      <c r="P33" s="42" t="str">
        <f>IF($B$2="Todos",IF(COUNT($C$150:$V$150)=0,"",SUM($C$150:$V$150)),IFERROR(INDEX($C$150:$V$150,MATCH($D$2,$C$128:$V$128,0)),""))</f>
        <v/>
      </c>
      <c r="Q33" s="42" t="str">
        <f>IF($B$2="Todos",IF(COUNT($C$185:$V$185)=0,"",SUM($C$185:$V$185)),IFERROR(INDEX($C$185:$V$185,MATCH($D$2,$C$163:$V$163,0)),""))</f>
        <v/>
      </c>
      <c r="R33" s="59" t="str">
        <f>IF(S33="","",IF($B$2="Todos",IF($B$4&gt;0,$B$4,IF($B$2="Todos",IF(COUNT($C$255:$V$255)=0,"",SUM($C$255:$V$255)),IFERROR(INDEX($C$255:$V$255,MATCH($D$2,$C$233:$V$233,0)),""))),IFERROR(INDEX($C$255:$V$255,MATCH($D$2,$C$233:$V$233,0)),"")))</f>
        <v/>
      </c>
      <c r="S33" s="42" t="str">
        <f>IF($B$2="Todos",IF(COUNT($C$220:$V$220)=0,"",SUM($C$220:$V$220)),IFERROR(INDEX($C$220:$V$220,MATCH($D$2,$C$198:$V$198,0)),""))</f>
        <v/>
      </c>
      <c r="T33" s="60" t="str">
        <f>IF(AND(ISNUMBER(S33),ISNUMBER(R33)),IF(R33&gt;0,S33/R33,""),"")</f>
        <v/>
      </c>
      <c r="U33" s="42" t="str">
        <f>IF($B$2="Todos",IF(COUNT($C$290:$V$290)=0,"",SUM($C$290:$V$290)),IFERROR(INDEX($C$290:$V$290,MATCH($D$2,$C$268:$V$268,0)),""))</f>
        <v/>
      </c>
      <c r="V33" s="42">
        <f>IF($B33="","",IF($B$2="Todos",SUMIFS(BD!$U$3:$U$5001,BD!$A$3:$A$5001,$B33),SUMIFS(BD!$U$3:$U$5001,BD!$A$3:$A$5001,$B33,BD!$B$3:$B$5001,$D$2)))</f>
        <v>0</v>
      </c>
      <c r="W33" s="58">
        <f>IF($B33="","",IF($B$2="Todos",SUMIFS(BD!$V$3:$V$5001,BD!$A$3:$A$5001,$B33),SUMIFS(BD!$V$3:$V$5001,BD!$A$3:$A$5001,$B33,BD!$B$3:$B$5001,$D$2)))</f>
        <v>0</v>
      </c>
      <c r="X33" s="42">
        <f>IF($B33="","",IF($B$2="Todos",SUMIFS(BD!$W$3:$W$5001,BD!$A$3:$A$5001,$B33),SUMIFS(BD!$W$3:$W$5001,BD!$A$3:$A$5001,$B33,BD!$B$3:$B$5001,$D$2)))</f>
        <v>0</v>
      </c>
      <c r="Y33" s="42">
        <f>IF($B33="","",IF($B$2="Todos",SUMIFS(BD!$X$3:$X$5001,BD!$A$3:$A$5001,$B33),SUMIFS(BD!$X$3:$X$5001,BD!$A$3:$A$5001,$B33,BD!$B$3:$B$5001,$D$2)))</f>
        <v>0</v>
      </c>
      <c r="Z33" s="42">
        <f>IF($B33="","",IF($B$2="Todos",SUMIFS(BD!$Y$3:$Y$5001,BD!$A$3:$A$5001,$B33),SUMIFS(BD!$Y$3:$Y$5001,BD!$A$3:$A$5001,$B33,BD!$B$3:$B$5001,$D$2)))</f>
        <v>0</v>
      </c>
      <c r="AA33" s="42">
        <f>IF($B33="","",IF($B$2="Todos",SUMIFS(BD!$Z$3:$Z$5001,BD!$A$3:$A$5001,$B33),SUMIFS(BD!$Z$3:$Z$5001,BD!$A$3:$A$5001,$B33,BD!$B$3:$B$5001,$D$2)))</f>
        <v>0</v>
      </c>
      <c r="AB33" s="42">
        <f>IF($B33="","",IF($B$2="Todos",SUMIFS(BD!$AA$3:$AA$5001,BD!$A$3:$A$5001,$B33),SUMIFS(BD!$AA$3:$AA$5001,BD!$A$3:$A$5001,$B33,BD!$B$3:$B$5001,$D$2)))</f>
        <v>0</v>
      </c>
      <c r="AC33" s="42">
        <f>IF($B33="","",IF($B$2="Todos",SUMIFS(BD!$AB$3:$AB$5001,BD!$A$3:$A$5001,$B33),SUMIFS(BD!$AB$3:$AB$5001,BD!$A$3:$A$5001,$B33,BD!$B$3:$B$5001,$D$2)))</f>
        <v>0</v>
      </c>
      <c r="AD33" s="61">
        <f>$B$5</f>
        <v>0.7</v>
      </c>
      <c r="AE33" s="61">
        <f>$B$6</f>
        <v>0.9</v>
      </c>
      <c r="AX33" s="72">
        <f>IF(OR($B33="",N(VALUE($AH$366))=0),"",IF(INDEX($C33:$AC33,VALUE($AH$366))="","",IF(N(VALUE($AJ$366))=0,INDEX($C33:$AC33,VALUE($AH$366)),IF(N(INDEX($C33:$AC33,N(VALUE($AJ$366))))&gt;0,INDEX($C33:$AC33,VALUE($AH$366))/INDEX($C33:$AC33,N(VALUE($AJ$366))),""))))</f>
        <v>0</v>
      </c>
      <c r="AY33" s="72">
        <f>IF(OR($B33="",N(VALUE($AI$366))=0),"",IF(INDEX($C33:$AC33,VALUE($AI$366))="","",IF(N(VALUE($AK$366))=0,INDEX($C33:$AC33,VALUE($AI$366)),IF(N(INDEX($C33:$AC33,N(VALUE($AK$366))))&gt;0,INDEX($C33:$AC33,VALUE($AI$366))/INDEX($C33:$AC33,N(VALUE($AK$366))),""))))</f>
        <v>0</v>
      </c>
      <c r="AZ33" s="72">
        <f>IF(OR($B33="",N(VALUE($AP$366))=0),"",IF(INDEX($C33:$AC33,VALUE($AP$366))="","",IF(N(VALUE($AR$366))=0,INDEX($C33:$AC33,VALUE($AP$366)),IF(N(INDEX($C33:$AC33,N(VALUE($AR$366))))&gt;0,INDEX($C33:$AC33,VALUE($AP$366))/INDEX($C33:$AC33,N(VALUE($AR$366))),""))))</f>
        <v>0</v>
      </c>
      <c r="BA33" s="72">
        <f>IF(OR($B33="",N(VALUE($AQ$366))=0),"",IF(INDEX($C33:$AC33,VALUE($AQ$366))="","",IF(N(VALUE($AS$366))=0,INDEX($C33:$AC33,VALUE($AQ$366)),IF(N(INDEX($C33:$AC33,N(VALUE($AS$366))))&gt;0,INDEX($C33:$AC33,VALUE($AQ$366))/INDEX($C33:$AC33,N(VALUE($AS$366))),""))))</f>
        <v>0</v>
      </c>
      <c r="BC33" s="42" t="str">
        <f>IF(AND($A33=$B$9,ISNUMBER(R33)),R33,NA())</f>
        <v/>
      </c>
    </row>
    <row r="34">
      <c r="A34" s="39">
        <v>23</v>
      </c>
      <c r="B34" s="57">
        <f>IF($A34&lt;=DAY($D$7),$C$7+$A34-1,"")</f>
        <v>46318</v>
      </c>
      <c r="C34" s="42">
        <f>IF($B34="","",IF($B$2="Todos",SUMIFS(BD!$C$3:$C$5001,BD!$A$3:$A$5001,$B34),SUMIFS(BD!$C$3:$C$5001,BD!$A$3:$A$5001,$B34,BD!$B$3:$B$5001,$D$2)))</f>
        <v>0</v>
      </c>
      <c r="D34" s="42">
        <f>IF($B34="","",IF($B$2="Todos",SUMIFS(BD!$D$3:$D$5001,BD!$A$3:$A$5001,$B34),SUMIFS(BD!$D$3:$D$5001,BD!$A$3:$A$5001,$B34,BD!$B$3:$B$5001,$D$2)))</f>
        <v>0</v>
      </c>
      <c r="E34" s="58">
        <f>IF($B34="","",IF($B$2="Todos",SUMIFS(BD!$E$3:$E$5001,BD!$A$3:$A$5001,$B34),SUMIFS(BD!$E$3:$E$5001,BD!$A$3:$A$5001,$B34,BD!$B$3:$B$5001,$D$2)))</f>
        <v>0</v>
      </c>
      <c r="F34" s="42">
        <f>IF($B34="","",IF($B$2="Todos",SUMIFS(BD!$F$3:$F$5001,BD!$A$3:$A$5001,$B34),SUMIFS(BD!$F$3:$F$5001,BD!$A$3:$A$5001,$B34,BD!$B$3:$B$5001,$D$2)))</f>
        <v>0</v>
      </c>
      <c r="G34" s="42">
        <f>IF($B34="","",IF($B$2="Todos",SUMIFS(BD!$G$3:$G$5001,BD!$A$3:$A$5001,$B34),SUMIFS(BD!$G$3:$G$5001,BD!$A$3:$A$5001,$B34,BD!$B$3:$B$5001,$D$2)))</f>
        <v>0</v>
      </c>
      <c r="H34" s="42">
        <f>IF($B34="","",IF($B$2="Todos",SUMIFS(BD!$H$3:$H$5001,BD!$A$3:$A$5001,$B34),SUMIFS(BD!$H$3:$H$5001,BD!$A$3:$A$5001,$B34,BD!$B$3:$B$5001,$D$2)))</f>
        <v>0</v>
      </c>
      <c r="I34" s="42">
        <f>IF($B34="","",IF($B$2="Todos",SUMIFS(BD!$I$3:$I$5001,BD!$A$3:$A$5001,$B34),SUMIFS(BD!$I$3:$I$5001,BD!$A$3:$A$5001,$B34,BD!$B$3:$B$5001,$D$2)))</f>
        <v>0</v>
      </c>
      <c r="J34" s="58">
        <f>IF($B34="","",IF($B$2="Todos",SUMIFS(BD!$J$3:$J$5001,BD!$A$3:$A$5001,$B34),SUMIFS(BD!$J$3:$J$5001,BD!$A$3:$A$5001,$B34,BD!$B$3:$B$5001,$D$2)))</f>
        <v>0</v>
      </c>
      <c r="K34" s="42">
        <f>IF($B34="","",IF($B$2="Todos",SUMIFS(BD!$K$3:$K$5001,BD!$A$3:$A$5001,$B34),SUMIFS(BD!$K$3:$K$5001,BD!$A$3:$A$5001,$B34,BD!$B$3:$B$5001,$D$2)))</f>
        <v>0</v>
      </c>
      <c r="L34" s="42">
        <f>IF($B34="","",IF($B$2="Todos",SUMIFS(BD!$L$3:$L$5001,BD!$A$3:$A$5001,$B34),SUMIFS(BD!$L$3:$L$5001,BD!$A$3:$A$5001,$B34,BD!$B$3:$B$5001,$D$2)))</f>
        <v>0</v>
      </c>
      <c r="M34" s="42">
        <f>IF($B34="","",IF($B$2="Todos",SUMIFS(BD!$M$3:$M$5001,BD!$A$3:$A$5001,$B34),SUMIFS(BD!$M$3:$M$5001,BD!$A$3:$A$5001,$B34,BD!$B$3:$B$5001,$D$2)))</f>
        <v>0</v>
      </c>
      <c r="N34" s="42">
        <f>IF($B34="","",IF($B$2="Todos",SUMIFS(BD!$N$3:$N$5001,BD!$A$3:$A$5001,$B34),SUMIFS(BD!$N$3:$N$5001,BD!$A$3:$A$5001,$B34,BD!$B$3:$B$5001,$D$2)))</f>
        <v>0</v>
      </c>
      <c r="O34" s="42">
        <f>IF($B34="","",IF($B$2="Todos",SUMIFS(BD!$O$3:$O$5001,BD!$A$3:$A$5001,$B34),SUMIFS(BD!$O$3:$O$5001,BD!$A$3:$A$5001,$B34,BD!$B$3:$B$5001,$D$2)))</f>
        <v>0</v>
      </c>
      <c r="P34" s="42" t="str">
        <f>IF($B$2="Todos",IF(COUNT($C$151:$V$151)=0,"",SUM($C$151:$V$151)),IFERROR(INDEX($C$151:$V$151,MATCH($D$2,$C$128:$V$128,0)),""))</f>
        <v/>
      </c>
      <c r="Q34" s="42" t="str">
        <f>IF($B$2="Todos",IF(COUNT($C$186:$V$186)=0,"",SUM($C$186:$V$186)),IFERROR(INDEX($C$186:$V$186,MATCH($D$2,$C$163:$V$163,0)),""))</f>
        <v/>
      </c>
      <c r="R34" s="59" t="str">
        <f>IF(S34="","",IF($B$2="Todos",IF($B$4&gt;0,$B$4,IF($B$2="Todos",IF(COUNT($C$256:$V$256)=0,"",SUM($C$256:$V$256)),IFERROR(INDEX($C$256:$V$256,MATCH($D$2,$C$233:$V$233,0)),""))),IFERROR(INDEX($C$256:$V$256,MATCH($D$2,$C$233:$V$233,0)),"")))</f>
        <v/>
      </c>
      <c r="S34" s="42" t="str">
        <f>IF($B$2="Todos",IF(COUNT($C$221:$V$221)=0,"",SUM($C$221:$V$221)),IFERROR(INDEX($C$221:$V$221,MATCH($D$2,$C$198:$V$198,0)),""))</f>
        <v/>
      </c>
      <c r="T34" s="60" t="str">
        <f>IF(AND(ISNUMBER(S34),ISNUMBER(R34)),IF(R34&gt;0,S34/R34,""),"")</f>
        <v/>
      </c>
      <c r="U34" s="42" t="str">
        <f>IF($B$2="Todos",IF(COUNT($C$291:$V$291)=0,"",SUM($C$291:$V$291)),IFERROR(INDEX($C$291:$V$291,MATCH($D$2,$C$268:$V$268,0)),""))</f>
        <v/>
      </c>
      <c r="V34" s="42">
        <f>IF($B34="","",IF($B$2="Todos",SUMIFS(BD!$U$3:$U$5001,BD!$A$3:$A$5001,$B34),SUMIFS(BD!$U$3:$U$5001,BD!$A$3:$A$5001,$B34,BD!$B$3:$B$5001,$D$2)))</f>
        <v>0</v>
      </c>
      <c r="W34" s="58">
        <f>IF($B34="","",IF($B$2="Todos",SUMIFS(BD!$V$3:$V$5001,BD!$A$3:$A$5001,$B34),SUMIFS(BD!$V$3:$V$5001,BD!$A$3:$A$5001,$B34,BD!$B$3:$B$5001,$D$2)))</f>
        <v>0</v>
      </c>
      <c r="X34" s="42">
        <f>IF($B34="","",IF($B$2="Todos",SUMIFS(BD!$W$3:$W$5001,BD!$A$3:$A$5001,$B34),SUMIFS(BD!$W$3:$W$5001,BD!$A$3:$A$5001,$B34,BD!$B$3:$B$5001,$D$2)))</f>
        <v>0</v>
      </c>
      <c r="Y34" s="42">
        <f>IF($B34="","",IF($B$2="Todos",SUMIFS(BD!$X$3:$X$5001,BD!$A$3:$A$5001,$B34),SUMIFS(BD!$X$3:$X$5001,BD!$A$3:$A$5001,$B34,BD!$B$3:$B$5001,$D$2)))</f>
        <v>0</v>
      </c>
      <c r="Z34" s="42">
        <f>IF($B34="","",IF($B$2="Todos",SUMIFS(BD!$Y$3:$Y$5001,BD!$A$3:$A$5001,$B34),SUMIFS(BD!$Y$3:$Y$5001,BD!$A$3:$A$5001,$B34,BD!$B$3:$B$5001,$D$2)))</f>
        <v>0</v>
      </c>
      <c r="AA34" s="42">
        <f>IF($B34="","",IF($B$2="Todos",SUMIFS(BD!$Z$3:$Z$5001,BD!$A$3:$A$5001,$B34),SUMIFS(BD!$Z$3:$Z$5001,BD!$A$3:$A$5001,$B34,BD!$B$3:$B$5001,$D$2)))</f>
        <v>0</v>
      </c>
      <c r="AB34" s="42">
        <f>IF($B34="","",IF($B$2="Todos",SUMIFS(BD!$AA$3:$AA$5001,BD!$A$3:$A$5001,$B34),SUMIFS(BD!$AA$3:$AA$5001,BD!$A$3:$A$5001,$B34,BD!$B$3:$B$5001,$D$2)))</f>
        <v>0</v>
      </c>
      <c r="AC34" s="42">
        <f>IF($B34="","",IF($B$2="Todos",SUMIFS(BD!$AB$3:$AB$5001,BD!$A$3:$A$5001,$B34),SUMIFS(BD!$AB$3:$AB$5001,BD!$A$3:$A$5001,$B34,BD!$B$3:$B$5001,$D$2)))</f>
        <v>0</v>
      </c>
      <c r="AD34" s="61">
        <f>$B$5</f>
        <v>0.7</v>
      </c>
      <c r="AE34" s="61">
        <f>$B$6</f>
        <v>0.9</v>
      </c>
      <c r="AX34" s="72">
        <f>IF(OR($B34="",N(VALUE($AH$366))=0),"",IF(INDEX($C34:$AC34,VALUE($AH$366))="","",IF(N(VALUE($AJ$366))=0,INDEX($C34:$AC34,VALUE($AH$366)),IF(N(INDEX($C34:$AC34,N(VALUE($AJ$366))))&gt;0,INDEX($C34:$AC34,VALUE($AH$366))/INDEX($C34:$AC34,N(VALUE($AJ$366))),""))))</f>
        <v>0</v>
      </c>
      <c r="AY34" s="72">
        <f>IF(OR($B34="",N(VALUE($AI$366))=0),"",IF(INDEX($C34:$AC34,VALUE($AI$366))="","",IF(N(VALUE($AK$366))=0,INDEX($C34:$AC34,VALUE($AI$366)),IF(N(INDEX($C34:$AC34,N(VALUE($AK$366))))&gt;0,INDEX($C34:$AC34,VALUE($AI$366))/INDEX($C34:$AC34,N(VALUE($AK$366))),""))))</f>
        <v>0</v>
      </c>
      <c r="AZ34" s="72">
        <f>IF(OR($B34="",N(VALUE($AP$366))=0),"",IF(INDEX($C34:$AC34,VALUE($AP$366))="","",IF(N(VALUE($AR$366))=0,INDEX($C34:$AC34,VALUE($AP$366)),IF(N(INDEX($C34:$AC34,N(VALUE($AR$366))))&gt;0,INDEX($C34:$AC34,VALUE($AP$366))/INDEX($C34:$AC34,N(VALUE($AR$366))),""))))</f>
        <v>0</v>
      </c>
      <c r="BA34" s="72">
        <f>IF(OR($B34="",N(VALUE($AQ$366))=0),"",IF(INDEX($C34:$AC34,VALUE($AQ$366))="","",IF(N(VALUE($AS$366))=0,INDEX($C34:$AC34,VALUE($AQ$366)),IF(N(INDEX($C34:$AC34,N(VALUE($AS$366))))&gt;0,INDEX($C34:$AC34,VALUE($AQ$366))/INDEX($C34:$AC34,N(VALUE($AS$366))),""))))</f>
        <v>0</v>
      </c>
      <c r="BC34" s="42" t="str">
        <f>IF(AND($A34=$B$9,ISNUMBER(R34)),R34,NA())</f>
        <v/>
      </c>
    </row>
    <row r="35">
      <c r="A35" s="39">
        <v>24</v>
      </c>
      <c r="B35" s="57">
        <f>IF($A35&lt;=DAY($D$7),$C$7+$A35-1,"")</f>
        <v>46319</v>
      </c>
      <c r="C35" s="42">
        <f>IF($B35="","",IF($B$2="Todos",SUMIFS(BD!$C$3:$C$5001,BD!$A$3:$A$5001,$B35),SUMIFS(BD!$C$3:$C$5001,BD!$A$3:$A$5001,$B35,BD!$B$3:$B$5001,$D$2)))</f>
        <v>0</v>
      </c>
      <c r="D35" s="42">
        <f>IF($B35="","",IF($B$2="Todos",SUMIFS(BD!$D$3:$D$5001,BD!$A$3:$A$5001,$B35),SUMIFS(BD!$D$3:$D$5001,BD!$A$3:$A$5001,$B35,BD!$B$3:$B$5001,$D$2)))</f>
        <v>0</v>
      </c>
      <c r="E35" s="58">
        <f>IF($B35="","",IF($B$2="Todos",SUMIFS(BD!$E$3:$E$5001,BD!$A$3:$A$5001,$B35),SUMIFS(BD!$E$3:$E$5001,BD!$A$3:$A$5001,$B35,BD!$B$3:$B$5001,$D$2)))</f>
        <v>0</v>
      </c>
      <c r="F35" s="42">
        <f>IF($B35="","",IF($B$2="Todos",SUMIFS(BD!$F$3:$F$5001,BD!$A$3:$A$5001,$B35),SUMIFS(BD!$F$3:$F$5001,BD!$A$3:$A$5001,$B35,BD!$B$3:$B$5001,$D$2)))</f>
        <v>0</v>
      </c>
      <c r="G35" s="42">
        <f>IF($B35="","",IF($B$2="Todos",SUMIFS(BD!$G$3:$G$5001,BD!$A$3:$A$5001,$B35),SUMIFS(BD!$G$3:$G$5001,BD!$A$3:$A$5001,$B35,BD!$B$3:$B$5001,$D$2)))</f>
        <v>0</v>
      </c>
      <c r="H35" s="42">
        <f>IF($B35="","",IF($B$2="Todos",SUMIFS(BD!$H$3:$H$5001,BD!$A$3:$A$5001,$B35),SUMIFS(BD!$H$3:$H$5001,BD!$A$3:$A$5001,$B35,BD!$B$3:$B$5001,$D$2)))</f>
        <v>0</v>
      </c>
      <c r="I35" s="42">
        <f>IF($B35="","",IF($B$2="Todos",SUMIFS(BD!$I$3:$I$5001,BD!$A$3:$A$5001,$B35),SUMIFS(BD!$I$3:$I$5001,BD!$A$3:$A$5001,$B35,BD!$B$3:$B$5001,$D$2)))</f>
        <v>0</v>
      </c>
      <c r="J35" s="58">
        <f>IF($B35="","",IF($B$2="Todos",SUMIFS(BD!$J$3:$J$5001,BD!$A$3:$A$5001,$B35),SUMIFS(BD!$J$3:$J$5001,BD!$A$3:$A$5001,$B35,BD!$B$3:$B$5001,$D$2)))</f>
        <v>0</v>
      </c>
      <c r="K35" s="42">
        <f>IF($B35="","",IF($B$2="Todos",SUMIFS(BD!$K$3:$K$5001,BD!$A$3:$A$5001,$B35),SUMIFS(BD!$K$3:$K$5001,BD!$A$3:$A$5001,$B35,BD!$B$3:$B$5001,$D$2)))</f>
        <v>0</v>
      </c>
      <c r="L35" s="42">
        <f>IF($B35="","",IF($B$2="Todos",SUMIFS(BD!$L$3:$L$5001,BD!$A$3:$A$5001,$B35),SUMIFS(BD!$L$3:$L$5001,BD!$A$3:$A$5001,$B35,BD!$B$3:$B$5001,$D$2)))</f>
        <v>0</v>
      </c>
      <c r="M35" s="42">
        <f>IF($B35="","",IF($B$2="Todos",SUMIFS(BD!$M$3:$M$5001,BD!$A$3:$A$5001,$B35),SUMIFS(BD!$M$3:$M$5001,BD!$A$3:$A$5001,$B35,BD!$B$3:$B$5001,$D$2)))</f>
        <v>0</v>
      </c>
      <c r="N35" s="42">
        <f>IF($B35="","",IF($B$2="Todos",SUMIFS(BD!$N$3:$N$5001,BD!$A$3:$A$5001,$B35),SUMIFS(BD!$N$3:$N$5001,BD!$A$3:$A$5001,$B35,BD!$B$3:$B$5001,$D$2)))</f>
        <v>0</v>
      </c>
      <c r="O35" s="42">
        <f>IF($B35="","",IF($B$2="Todos",SUMIFS(BD!$O$3:$O$5001,BD!$A$3:$A$5001,$B35),SUMIFS(BD!$O$3:$O$5001,BD!$A$3:$A$5001,$B35,BD!$B$3:$B$5001,$D$2)))</f>
        <v>0</v>
      </c>
      <c r="P35" s="42" t="str">
        <f>IF($B$2="Todos",IF(COUNT($C$152:$V$152)=0,"",SUM($C$152:$V$152)),IFERROR(INDEX($C$152:$V$152,MATCH($D$2,$C$128:$V$128,0)),""))</f>
        <v/>
      </c>
      <c r="Q35" s="42" t="str">
        <f>IF($B$2="Todos",IF(COUNT($C$187:$V$187)=0,"",SUM($C$187:$V$187)),IFERROR(INDEX($C$187:$V$187,MATCH($D$2,$C$163:$V$163,0)),""))</f>
        <v/>
      </c>
      <c r="R35" s="59" t="str">
        <f>IF(S35="","",IF($B$2="Todos",IF($B$4&gt;0,$B$4,IF($B$2="Todos",IF(COUNT($C$257:$V$257)=0,"",SUM($C$257:$V$257)),IFERROR(INDEX($C$257:$V$257,MATCH($D$2,$C$233:$V$233,0)),""))),IFERROR(INDEX($C$257:$V$257,MATCH($D$2,$C$233:$V$233,0)),"")))</f>
        <v/>
      </c>
      <c r="S35" s="42" t="str">
        <f>IF($B$2="Todos",IF(COUNT($C$222:$V$222)=0,"",SUM($C$222:$V$222)),IFERROR(INDEX($C$222:$V$222,MATCH($D$2,$C$198:$V$198,0)),""))</f>
        <v/>
      </c>
      <c r="T35" s="60" t="str">
        <f>IF(AND(ISNUMBER(S35),ISNUMBER(R35)),IF(R35&gt;0,S35/R35,""),"")</f>
        <v/>
      </c>
      <c r="U35" s="42" t="str">
        <f>IF($B$2="Todos",IF(COUNT($C$292:$V$292)=0,"",SUM($C$292:$V$292)),IFERROR(INDEX($C$292:$V$292,MATCH($D$2,$C$268:$V$268,0)),""))</f>
        <v/>
      </c>
      <c r="V35" s="42">
        <f>IF($B35="","",IF($B$2="Todos",SUMIFS(BD!$U$3:$U$5001,BD!$A$3:$A$5001,$B35),SUMIFS(BD!$U$3:$U$5001,BD!$A$3:$A$5001,$B35,BD!$B$3:$B$5001,$D$2)))</f>
        <v>0</v>
      </c>
      <c r="W35" s="58">
        <f>IF($B35="","",IF($B$2="Todos",SUMIFS(BD!$V$3:$V$5001,BD!$A$3:$A$5001,$B35),SUMIFS(BD!$V$3:$V$5001,BD!$A$3:$A$5001,$B35,BD!$B$3:$B$5001,$D$2)))</f>
        <v>0</v>
      </c>
      <c r="X35" s="42">
        <f>IF($B35="","",IF($B$2="Todos",SUMIFS(BD!$W$3:$W$5001,BD!$A$3:$A$5001,$B35),SUMIFS(BD!$W$3:$W$5001,BD!$A$3:$A$5001,$B35,BD!$B$3:$B$5001,$D$2)))</f>
        <v>0</v>
      </c>
      <c r="Y35" s="42">
        <f>IF($B35="","",IF($B$2="Todos",SUMIFS(BD!$X$3:$X$5001,BD!$A$3:$A$5001,$B35),SUMIFS(BD!$X$3:$X$5001,BD!$A$3:$A$5001,$B35,BD!$B$3:$B$5001,$D$2)))</f>
        <v>0</v>
      </c>
      <c r="Z35" s="42">
        <f>IF($B35="","",IF($B$2="Todos",SUMIFS(BD!$Y$3:$Y$5001,BD!$A$3:$A$5001,$B35),SUMIFS(BD!$Y$3:$Y$5001,BD!$A$3:$A$5001,$B35,BD!$B$3:$B$5001,$D$2)))</f>
        <v>0</v>
      </c>
      <c r="AA35" s="42">
        <f>IF($B35="","",IF($B$2="Todos",SUMIFS(BD!$Z$3:$Z$5001,BD!$A$3:$A$5001,$B35),SUMIFS(BD!$Z$3:$Z$5001,BD!$A$3:$A$5001,$B35,BD!$B$3:$B$5001,$D$2)))</f>
        <v>0</v>
      </c>
      <c r="AB35" s="42">
        <f>IF($B35="","",IF($B$2="Todos",SUMIFS(BD!$AA$3:$AA$5001,BD!$A$3:$A$5001,$B35),SUMIFS(BD!$AA$3:$AA$5001,BD!$A$3:$A$5001,$B35,BD!$B$3:$B$5001,$D$2)))</f>
        <v>0</v>
      </c>
      <c r="AC35" s="42">
        <f>IF($B35="","",IF($B$2="Todos",SUMIFS(BD!$AB$3:$AB$5001,BD!$A$3:$A$5001,$B35),SUMIFS(BD!$AB$3:$AB$5001,BD!$A$3:$A$5001,$B35,BD!$B$3:$B$5001,$D$2)))</f>
        <v>0</v>
      </c>
      <c r="AD35" s="61">
        <f>$B$5</f>
        <v>0.7</v>
      </c>
      <c r="AE35" s="61">
        <f>$B$6</f>
        <v>0.9</v>
      </c>
      <c r="AX35" s="72">
        <f>IF(OR($B35="",N(VALUE($AH$366))=0),"",IF(INDEX($C35:$AC35,VALUE($AH$366))="","",IF(N(VALUE($AJ$366))=0,INDEX($C35:$AC35,VALUE($AH$366)),IF(N(INDEX($C35:$AC35,N(VALUE($AJ$366))))&gt;0,INDEX($C35:$AC35,VALUE($AH$366))/INDEX($C35:$AC35,N(VALUE($AJ$366))),""))))</f>
        <v>0</v>
      </c>
      <c r="AY35" s="72">
        <f>IF(OR($B35="",N(VALUE($AI$366))=0),"",IF(INDEX($C35:$AC35,VALUE($AI$366))="","",IF(N(VALUE($AK$366))=0,INDEX($C35:$AC35,VALUE($AI$366)),IF(N(INDEX($C35:$AC35,N(VALUE($AK$366))))&gt;0,INDEX($C35:$AC35,VALUE($AI$366))/INDEX($C35:$AC35,N(VALUE($AK$366))),""))))</f>
        <v>0</v>
      </c>
      <c r="AZ35" s="72">
        <f>IF(OR($B35="",N(VALUE($AP$366))=0),"",IF(INDEX($C35:$AC35,VALUE($AP$366))="","",IF(N(VALUE($AR$366))=0,INDEX($C35:$AC35,VALUE($AP$366)),IF(N(INDEX($C35:$AC35,N(VALUE($AR$366))))&gt;0,INDEX($C35:$AC35,VALUE($AP$366))/INDEX($C35:$AC35,N(VALUE($AR$366))),""))))</f>
        <v>0</v>
      </c>
      <c r="BA35" s="72">
        <f>IF(OR($B35="",N(VALUE($AQ$366))=0),"",IF(INDEX($C35:$AC35,VALUE($AQ$366))="","",IF(N(VALUE($AS$366))=0,INDEX($C35:$AC35,VALUE($AQ$366)),IF(N(INDEX($C35:$AC35,N(VALUE($AS$366))))&gt;0,INDEX($C35:$AC35,VALUE($AQ$366))/INDEX($C35:$AC35,N(VALUE($AS$366))),""))))</f>
        <v>0</v>
      </c>
      <c r="BC35" s="42" t="str">
        <f>IF(AND($A35=$B$9,ISNUMBER(R35)),R35,NA())</f>
        <v/>
      </c>
    </row>
    <row r="36">
      <c r="A36" s="39">
        <v>25</v>
      </c>
      <c r="B36" s="57">
        <f>IF($A36&lt;=DAY($D$7),$C$7+$A36-1,"")</f>
        <v>46320</v>
      </c>
      <c r="C36" s="42">
        <f>IF($B36="","",IF($B$2="Todos",SUMIFS(BD!$C$3:$C$5001,BD!$A$3:$A$5001,$B36),SUMIFS(BD!$C$3:$C$5001,BD!$A$3:$A$5001,$B36,BD!$B$3:$B$5001,$D$2)))</f>
        <v>0</v>
      </c>
      <c r="D36" s="42">
        <f>IF($B36="","",IF($B$2="Todos",SUMIFS(BD!$D$3:$D$5001,BD!$A$3:$A$5001,$B36),SUMIFS(BD!$D$3:$D$5001,BD!$A$3:$A$5001,$B36,BD!$B$3:$B$5001,$D$2)))</f>
        <v>0</v>
      </c>
      <c r="E36" s="58">
        <f>IF($B36="","",IF($B$2="Todos",SUMIFS(BD!$E$3:$E$5001,BD!$A$3:$A$5001,$B36),SUMIFS(BD!$E$3:$E$5001,BD!$A$3:$A$5001,$B36,BD!$B$3:$B$5001,$D$2)))</f>
        <v>0</v>
      </c>
      <c r="F36" s="42">
        <f>IF($B36="","",IF($B$2="Todos",SUMIFS(BD!$F$3:$F$5001,BD!$A$3:$A$5001,$B36),SUMIFS(BD!$F$3:$F$5001,BD!$A$3:$A$5001,$B36,BD!$B$3:$B$5001,$D$2)))</f>
        <v>0</v>
      </c>
      <c r="G36" s="42">
        <f>IF($B36="","",IF($B$2="Todos",SUMIFS(BD!$G$3:$G$5001,BD!$A$3:$A$5001,$B36),SUMIFS(BD!$G$3:$G$5001,BD!$A$3:$A$5001,$B36,BD!$B$3:$B$5001,$D$2)))</f>
        <v>0</v>
      </c>
      <c r="H36" s="42">
        <f>IF($B36="","",IF($B$2="Todos",SUMIFS(BD!$H$3:$H$5001,BD!$A$3:$A$5001,$B36),SUMIFS(BD!$H$3:$H$5001,BD!$A$3:$A$5001,$B36,BD!$B$3:$B$5001,$D$2)))</f>
        <v>0</v>
      </c>
      <c r="I36" s="42">
        <f>IF($B36="","",IF($B$2="Todos",SUMIFS(BD!$I$3:$I$5001,BD!$A$3:$A$5001,$B36),SUMIFS(BD!$I$3:$I$5001,BD!$A$3:$A$5001,$B36,BD!$B$3:$B$5001,$D$2)))</f>
        <v>0</v>
      </c>
      <c r="J36" s="58">
        <f>IF($B36="","",IF($B$2="Todos",SUMIFS(BD!$J$3:$J$5001,BD!$A$3:$A$5001,$B36),SUMIFS(BD!$J$3:$J$5001,BD!$A$3:$A$5001,$B36,BD!$B$3:$B$5001,$D$2)))</f>
        <v>0</v>
      </c>
      <c r="K36" s="42">
        <f>IF($B36="","",IF($B$2="Todos",SUMIFS(BD!$K$3:$K$5001,BD!$A$3:$A$5001,$B36),SUMIFS(BD!$K$3:$K$5001,BD!$A$3:$A$5001,$B36,BD!$B$3:$B$5001,$D$2)))</f>
        <v>0</v>
      </c>
      <c r="L36" s="42">
        <f>IF($B36="","",IF($B$2="Todos",SUMIFS(BD!$L$3:$L$5001,BD!$A$3:$A$5001,$B36),SUMIFS(BD!$L$3:$L$5001,BD!$A$3:$A$5001,$B36,BD!$B$3:$B$5001,$D$2)))</f>
        <v>0</v>
      </c>
      <c r="M36" s="42">
        <f>IF($B36="","",IF($B$2="Todos",SUMIFS(BD!$M$3:$M$5001,BD!$A$3:$A$5001,$B36),SUMIFS(BD!$M$3:$M$5001,BD!$A$3:$A$5001,$B36,BD!$B$3:$B$5001,$D$2)))</f>
        <v>0</v>
      </c>
      <c r="N36" s="42">
        <f>IF($B36="","",IF($B$2="Todos",SUMIFS(BD!$N$3:$N$5001,BD!$A$3:$A$5001,$B36),SUMIFS(BD!$N$3:$N$5001,BD!$A$3:$A$5001,$B36,BD!$B$3:$B$5001,$D$2)))</f>
        <v>0</v>
      </c>
      <c r="O36" s="42">
        <f>IF($B36="","",IF($B$2="Todos",SUMIFS(BD!$O$3:$O$5001,BD!$A$3:$A$5001,$B36),SUMIFS(BD!$O$3:$O$5001,BD!$A$3:$A$5001,$B36,BD!$B$3:$B$5001,$D$2)))</f>
        <v>0</v>
      </c>
      <c r="P36" s="42" t="str">
        <f>IF($B$2="Todos",IF(COUNT($C$153:$V$153)=0,"",SUM($C$153:$V$153)),IFERROR(INDEX($C$153:$V$153,MATCH($D$2,$C$128:$V$128,0)),""))</f>
        <v/>
      </c>
      <c r="Q36" s="42" t="str">
        <f>IF($B$2="Todos",IF(COUNT($C$188:$V$188)=0,"",SUM($C$188:$V$188)),IFERROR(INDEX($C$188:$V$188,MATCH($D$2,$C$163:$V$163,0)),""))</f>
        <v/>
      </c>
      <c r="R36" s="59" t="str">
        <f>IF(S36="","",IF($B$2="Todos",IF($B$4&gt;0,$B$4,IF($B$2="Todos",IF(COUNT($C$258:$V$258)=0,"",SUM($C$258:$V$258)),IFERROR(INDEX($C$258:$V$258,MATCH($D$2,$C$233:$V$233,0)),""))),IFERROR(INDEX($C$258:$V$258,MATCH($D$2,$C$233:$V$233,0)),"")))</f>
        <v/>
      </c>
      <c r="S36" s="42" t="str">
        <f>IF($B$2="Todos",IF(COUNT($C$223:$V$223)=0,"",SUM($C$223:$V$223)),IFERROR(INDEX($C$223:$V$223,MATCH($D$2,$C$198:$V$198,0)),""))</f>
        <v/>
      </c>
      <c r="T36" s="60" t="str">
        <f>IF(AND(ISNUMBER(S36),ISNUMBER(R36)),IF(R36&gt;0,S36/R36,""),"")</f>
        <v/>
      </c>
      <c r="U36" s="42" t="str">
        <f>IF($B$2="Todos",IF(COUNT($C$293:$V$293)=0,"",SUM($C$293:$V$293)),IFERROR(INDEX($C$293:$V$293,MATCH($D$2,$C$268:$V$268,0)),""))</f>
        <v/>
      </c>
      <c r="V36" s="42">
        <f>IF($B36="","",IF($B$2="Todos",SUMIFS(BD!$U$3:$U$5001,BD!$A$3:$A$5001,$B36),SUMIFS(BD!$U$3:$U$5001,BD!$A$3:$A$5001,$B36,BD!$B$3:$B$5001,$D$2)))</f>
        <v>0</v>
      </c>
      <c r="W36" s="58">
        <f>IF($B36="","",IF($B$2="Todos",SUMIFS(BD!$V$3:$V$5001,BD!$A$3:$A$5001,$B36),SUMIFS(BD!$V$3:$V$5001,BD!$A$3:$A$5001,$B36,BD!$B$3:$B$5001,$D$2)))</f>
        <v>0</v>
      </c>
      <c r="X36" s="42">
        <f>IF($B36="","",IF($B$2="Todos",SUMIFS(BD!$W$3:$W$5001,BD!$A$3:$A$5001,$B36),SUMIFS(BD!$W$3:$W$5001,BD!$A$3:$A$5001,$B36,BD!$B$3:$B$5001,$D$2)))</f>
        <v>0</v>
      </c>
      <c r="Y36" s="42">
        <f>IF($B36="","",IF($B$2="Todos",SUMIFS(BD!$X$3:$X$5001,BD!$A$3:$A$5001,$B36),SUMIFS(BD!$X$3:$X$5001,BD!$A$3:$A$5001,$B36,BD!$B$3:$B$5001,$D$2)))</f>
        <v>0</v>
      </c>
      <c r="Z36" s="42">
        <f>IF($B36="","",IF($B$2="Todos",SUMIFS(BD!$Y$3:$Y$5001,BD!$A$3:$A$5001,$B36),SUMIFS(BD!$Y$3:$Y$5001,BD!$A$3:$A$5001,$B36,BD!$B$3:$B$5001,$D$2)))</f>
        <v>0</v>
      </c>
      <c r="AA36" s="42">
        <f>IF($B36="","",IF($B$2="Todos",SUMIFS(BD!$Z$3:$Z$5001,BD!$A$3:$A$5001,$B36),SUMIFS(BD!$Z$3:$Z$5001,BD!$A$3:$A$5001,$B36,BD!$B$3:$B$5001,$D$2)))</f>
        <v>0</v>
      </c>
      <c r="AB36" s="42">
        <f>IF($B36="","",IF($B$2="Todos",SUMIFS(BD!$AA$3:$AA$5001,BD!$A$3:$A$5001,$B36),SUMIFS(BD!$AA$3:$AA$5001,BD!$A$3:$A$5001,$B36,BD!$B$3:$B$5001,$D$2)))</f>
        <v>0</v>
      </c>
      <c r="AC36" s="42">
        <f>IF($B36="","",IF($B$2="Todos",SUMIFS(BD!$AB$3:$AB$5001,BD!$A$3:$A$5001,$B36),SUMIFS(BD!$AB$3:$AB$5001,BD!$A$3:$A$5001,$B36,BD!$B$3:$B$5001,$D$2)))</f>
        <v>0</v>
      </c>
      <c r="AD36" s="61">
        <f>$B$5</f>
        <v>0.7</v>
      </c>
      <c r="AE36" s="61">
        <f>$B$6</f>
        <v>0.9</v>
      </c>
      <c r="AX36" s="72">
        <f>IF(OR($B36="",N(VALUE($AH$366))=0),"",IF(INDEX($C36:$AC36,VALUE($AH$366))="","",IF(N(VALUE($AJ$366))=0,INDEX($C36:$AC36,VALUE($AH$366)),IF(N(INDEX($C36:$AC36,N(VALUE($AJ$366))))&gt;0,INDEX($C36:$AC36,VALUE($AH$366))/INDEX($C36:$AC36,N(VALUE($AJ$366))),""))))</f>
        <v>0</v>
      </c>
      <c r="AY36" s="72">
        <f>IF(OR($B36="",N(VALUE($AI$366))=0),"",IF(INDEX($C36:$AC36,VALUE($AI$366))="","",IF(N(VALUE($AK$366))=0,INDEX($C36:$AC36,VALUE($AI$366)),IF(N(INDEX($C36:$AC36,N(VALUE($AK$366))))&gt;0,INDEX($C36:$AC36,VALUE($AI$366))/INDEX($C36:$AC36,N(VALUE($AK$366))),""))))</f>
        <v>0</v>
      </c>
      <c r="AZ36" s="72">
        <f>IF(OR($B36="",N(VALUE($AP$366))=0),"",IF(INDEX($C36:$AC36,VALUE($AP$366))="","",IF(N(VALUE($AR$366))=0,INDEX($C36:$AC36,VALUE($AP$366)),IF(N(INDEX($C36:$AC36,N(VALUE($AR$366))))&gt;0,INDEX($C36:$AC36,VALUE($AP$366))/INDEX($C36:$AC36,N(VALUE($AR$366))),""))))</f>
        <v>0</v>
      </c>
      <c r="BA36" s="72">
        <f>IF(OR($B36="",N(VALUE($AQ$366))=0),"",IF(INDEX($C36:$AC36,VALUE($AQ$366))="","",IF(N(VALUE($AS$366))=0,INDEX($C36:$AC36,VALUE($AQ$366)),IF(N(INDEX($C36:$AC36,N(VALUE($AS$366))))&gt;0,INDEX($C36:$AC36,VALUE($AQ$366))/INDEX($C36:$AC36,N(VALUE($AS$366))),""))))</f>
        <v>0</v>
      </c>
      <c r="BC36" s="42" t="str">
        <f>IF(AND($A36=$B$9,ISNUMBER(R36)),R36,NA())</f>
        <v/>
      </c>
    </row>
    <row r="37">
      <c r="A37" s="39">
        <v>26</v>
      </c>
      <c r="B37" s="57">
        <f>IF($A37&lt;=DAY($D$7),$C$7+$A37-1,"")</f>
        <v>46321</v>
      </c>
      <c r="C37" s="42">
        <f>IF($B37="","",IF($B$2="Todos",SUMIFS(BD!$C$3:$C$5001,BD!$A$3:$A$5001,$B37),SUMIFS(BD!$C$3:$C$5001,BD!$A$3:$A$5001,$B37,BD!$B$3:$B$5001,$D$2)))</f>
        <v>0</v>
      </c>
      <c r="D37" s="42">
        <f>IF($B37="","",IF($B$2="Todos",SUMIFS(BD!$D$3:$D$5001,BD!$A$3:$A$5001,$B37),SUMIFS(BD!$D$3:$D$5001,BD!$A$3:$A$5001,$B37,BD!$B$3:$B$5001,$D$2)))</f>
        <v>0</v>
      </c>
      <c r="E37" s="58">
        <f>IF($B37="","",IF($B$2="Todos",SUMIFS(BD!$E$3:$E$5001,BD!$A$3:$A$5001,$B37),SUMIFS(BD!$E$3:$E$5001,BD!$A$3:$A$5001,$B37,BD!$B$3:$B$5001,$D$2)))</f>
        <v>0</v>
      </c>
      <c r="F37" s="42">
        <f>IF($B37="","",IF($B$2="Todos",SUMIFS(BD!$F$3:$F$5001,BD!$A$3:$A$5001,$B37),SUMIFS(BD!$F$3:$F$5001,BD!$A$3:$A$5001,$B37,BD!$B$3:$B$5001,$D$2)))</f>
        <v>0</v>
      </c>
      <c r="G37" s="42">
        <f>IF($B37="","",IF($B$2="Todos",SUMIFS(BD!$G$3:$G$5001,BD!$A$3:$A$5001,$B37),SUMIFS(BD!$G$3:$G$5001,BD!$A$3:$A$5001,$B37,BD!$B$3:$B$5001,$D$2)))</f>
        <v>0</v>
      </c>
      <c r="H37" s="42">
        <f>IF($B37="","",IF($B$2="Todos",SUMIFS(BD!$H$3:$H$5001,BD!$A$3:$A$5001,$B37),SUMIFS(BD!$H$3:$H$5001,BD!$A$3:$A$5001,$B37,BD!$B$3:$B$5001,$D$2)))</f>
        <v>0</v>
      </c>
      <c r="I37" s="42">
        <f>IF($B37="","",IF($B$2="Todos",SUMIFS(BD!$I$3:$I$5001,BD!$A$3:$A$5001,$B37),SUMIFS(BD!$I$3:$I$5001,BD!$A$3:$A$5001,$B37,BD!$B$3:$B$5001,$D$2)))</f>
        <v>0</v>
      </c>
      <c r="J37" s="58">
        <f>IF($B37="","",IF($B$2="Todos",SUMIFS(BD!$J$3:$J$5001,BD!$A$3:$A$5001,$B37),SUMIFS(BD!$J$3:$J$5001,BD!$A$3:$A$5001,$B37,BD!$B$3:$B$5001,$D$2)))</f>
        <v>0</v>
      </c>
      <c r="K37" s="42">
        <f>IF($B37="","",IF($B$2="Todos",SUMIFS(BD!$K$3:$K$5001,BD!$A$3:$A$5001,$B37),SUMIFS(BD!$K$3:$K$5001,BD!$A$3:$A$5001,$B37,BD!$B$3:$B$5001,$D$2)))</f>
        <v>0</v>
      </c>
      <c r="L37" s="42">
        <f>IF($B37="","",IF($B$2="Todos",SUMIFS(BD!$L$3:$L$5001,BD!$A$3:$A$5001,$B37),SUMIFS(BD!$L$3:$L$5001,BD!$A$3:$A$5001,$B37,BD!$B$3:$B$5001,$D$2)))</f>
        <v>0</v>
      </c>
      <c r="M37" s="42">
        <f>IF($B37="","",IF($B$2="Todos",SUMIFS(BD!$M$3:$M$5001,BD!$A$3:$A$5001,$B37),SUMIFS(BD!$M$3:$M$5001,BD!$A$3:$A$5001,$B37,BD!$B$3:$B$5001,$D$2)))</f>
        <v>0</v>
      </c>
      <c r="N37" s="42">
        <f>IF($B37="","",IF($B$2="Todos",SUMIFS(BD!$N$3:$N$5001,BD!$A$3:$A$5001,$B37),SUMIFS(BD!$N$3:$N$5001,BD!$A$3:$A$5001,$B37,BD!$B$3:$B$5001,$D$2)))</f>
        <v>0</v>
      </c>
      <c r="O37" s="42">
        <f>IF($B37="","",IF($B$2="Todos",SUMIFS(BD!$O$3:$O$5001,BD!$A$3:$A$5001,$B37),SUMIFS(BD!$O$3:$O$5001,BD!$A$3:$A$5001,$B37,BD!$B$3:$B$5001,$D$2)))</f>
        <v>0</v>
      </c>
      <c r="P37" s="42" t="str">
        <f>IF($B$2="Todos",IF(COUNT($C$154:$V$154)=0,"",SUM($C$154:$V$154)),IFERROR(INDEX($C$154:$V$154,MATCH($D$2,$C$128:$V$128,0)),""))</f>
        <v/>
      </c>
      <c r="Q37" s="42" t="str">
        <f>IF($B$2="Todos",IF(COUNT($C$189:$V$189)=0,"",SUM($C$189:$V$189)),IFERROR(INDEX($C$189:$V$189,MATCH($D$2,$C$163:$V$163,0)),""))</f>
        <v/>
      </c>
      <c r="R37" s="59" t="str">
        <f>IF(S37="","",IF($B$2="Todos",IF($B$4&gt;0,$B$4,IF($B$2="Todos",IF(COUNT($C$259:$V$259)=0,"",SUM($C$259:$V$259)),IFERROR(INDEX($C$259:$V$259,MATCH($D$2,$C$233:$V$233,0)),""))),IFERROR(INDEX($C$259:$V$259,MATCH($D$2,$C$233:$V$233,0)),"")))</f>
        <v/>
      </c>
      <c r="S37" s="42" t="str">
        <f>IF($B$2="Todos",IF(COUNT($C$224:$V$224)=0,"",SUM($C$224:$V$224)),IFERROR(INDEX($C$224:$V$224,MATCH($D$2,$C$198:$V$198,0)),""))</f>
        <v/>
      </c>
      <c r="T37" s="60" t="str">
        <f>IF(AND(ISNUMBER(S37),ISNUMBER(R37)),IF(R37&gt;0,S37/R37,""),"")</f>
        <v/>
      </c>
      <c r="U37" s="42" t="str">
        <f>IF($B$2="Todos",IF(COUNT($C$294:$V$294)=0,"",SUM($C$294:$V$294)),IFERROR(INDEX($C$294:$V$294,MATCH($D$2,$C$268:$V$268,0)),""))</f>
        <v/>
      </c>
      <c r="V37" s="42">
        <f>IF($B37="","",IF($B$2="Todos",SUMIFS(BD!$U$3:$U$5001,BD!$A$3:$A$5001,$B37),SUMIFS(BD!$U$3:$U$5001,BD!$A$3:$A$5001,$B37,BD!$B$3:$B$5001,$D$2)))</f>
        <v>0</v>
      </c>
      <c r="W37" s="58">
        <f>IF($B37="","",IF($B$2="Todos",SUMIFS(BD!$V$3:$V$5001,BD!$A$3:$A$5001,$B37),SUMIFS(BD!$V$3:$V$5001,BD!$A$3:$A$5001,$B37,BD!$B$3:$B$5001,$D$2)))</f>
        <v>0</v>
      </c>
      <c r="X37" s="42">
        <f>IF($B37="","",IF($B$2="Todos",SUMIFS(BD!$W$3:$W$5001,BD!$A$3:$A$5001,$B37),SUMIFS(BD!$W$3:$W$5001,BD!$A$3:$A$5001,$B37,BD!$B$3:$B$5001,$D$2)))</f>
        <v>0</v>
      </c>
      <c r="Y37" s="42">
        <f>IF($B37="","",IF($B$2="Todos",SUMIFS(BD!$X$3:$X$5001,BD!$A$3:$A$5001,$B37),SUMIFS(BD!$X$3:$X$5001,BD!$A$3:$A$5001,$B37,BD!$B$3:$B$5001,$D$2)))</f>
        <v>0</v>
      </c>
      <c r="Z37" s="42">
        <f>IF($B37="","",IF($B$2="Todos",SUMIFS(BD!$Y$3:$Y$5001,BD!$A$3:$A$5001,$B37),SUMIFS(BD!$Y$3:$Y$5001,BD!$A$3:$A$5001,$B37,BD!$B$3:$B$5001,$D$2)))</f>
        <v>0</v>
      </c>
      <c r="AA37" s="42">
        <f>IF($B37="","",IF($B$2="Todos",SUMIFS(BD!$Z$3:$Z$5001,BD!$A$3:$A$5001,$B37),SUMIFS(BD!$Z$3:$Z$5001,BD!$A$3:$A$5001,$B37,BD!$B$3:$B$5001,$D$2)))</f>
        <v>0</v>
      </c>
      <c r="AB37" s="42">
        <f>IF($B37="","",IF($B$2="Todos",SUMIFS(BD!$AA$3:$AA$5001,BD!$A$3:$A$5001,$B37),SUMIFS(BD!$AA$3:$AA$5001,BD!$A$3:$A$5001,$B37,BD!$B$3:$B$5001,$D$2)))</f>
        <v>0</v>
      </c>
      <c r="AC37" s="42">
        <f>IF($B37="","",IF($B$2="Todos",SUMIFS(BD!$AB$3:$AB$5001,BD!$A$3:$A$5001,$B37),SUMIFS(BD!$AB$3:$AB$5001,BD!$A$3:$A$5001,$B37,BD!$B$3:$B$5001,$D$2)))</f>
        <v>0</v>
      </c>
      <c r="AD37" s="61">
        <f>$B$5</f>
        <v>0.7</v>
      </c>
      <c r="AE37" s="61">
        <f>$B$6</f>
        <v>0.9</v>
      </c>
      <c r="AX37" s="72">
        <f>IF(OR($B37="",N(VALUE($AH$366))=0),"",IF(INDEX($C37:$AC37,VALUE($AH$366))="","",IF(N(VALUE($AJ$366))=0,INDEX($C37:$AC37,VALUE($AH$366)),IF(N(INDEX($C37:$AC37,N(VALUE($AJ$366))))&gt;0,INDEX($C37:$AC37,VALUE($AH$366))/INDEX($C37:$AC37,N(VALUE($AJ$366))),""))))</f>
        <v>0</v>
      </c>
      <c r="AY37" s="72">
        <f>IF(OR($B37="",N(VALUE($AI$366))=0),"",IF(INDEX($C37:$AC37,VALUE($AI$366))="","",IF(N(VALUE($AK$366))=0,INDEX($C37:$AC37,VALUE($AI$366)),IF(N(INDEX($C37:$AC37,N(VALUE($AK$366))))&gt;0,INDEX($C37:$AC37,VALUE($AI$366))/INDEX($C37:$AC37,N(VALUE($AK$366))),""))))</f>
        <v>0</v>
      </c>
      <c r="AZ37" s="72">
        <f>IF(OR($B37="",N(VALUE($AP$366))=0),"",IF(INDEX($C37:$AC37,VALUE($AP$366))="","",IF(N(VALUE($AR$366))=0,INDEX($C37:$AC37,VALUE($AP$366)),IF(N(INDEX($C37:$AC37,N(VALUE($AR$366))))&gt;0,INDEX($C37:$AC37,VALUE($AP$366))/INDEX($C37:$AC37,N(VALUE($AR$366))),""))))</f>
        <v>0</v>
      </c>
      <c r="BA37" s="72">
        <f>IF(OR($B37="",N(VALUE($AQ$366))=0),"",IF(INDEX($C37:$AC37,VALUE($AQ$366))="","",IF(N(VALUE($AS$366))=0,INDEX($C37:$AC37,VALUE($AQ$366)),IF(N(INDEX($C37:$AC37,N(VALUE($AS$366))))&gt;0,INDEX($C37:$AC37,VALUE($AQ$366))/INDEX($C37:$AC37,N(VALUE($AS$366))),""))))</f>
        <v>0</v>
      </c>
      <c r="BC37" s="42" t="str">
        <f>IF(AND($A37=$B$9,ISNUMBER(R37)),R37,NA())</f>
        <v/>
      </c>
    </row>
    <row r="38">
      <c r="A38" s="39">
        <v>27</v>
      </c>
      <c r="B38" s="57">
        <f>IF($A38&lt;=DAY($D$7),$C$7+$A38-1,"")</f>
        <v>46322</v>
      </c>
      <c r="C38" s="42">
        <f>IF($B38="","",IF($B$2="Todos",SUMIFS(BD!$C$3:$C$5001,BD!$A$3:$A$5001,$B38),SUMIFS(BD!$C$3:$C$5001,BD!$A$3:$A$5001,$B38,BD!$B$3:$B$5001,$D$2)))</f>
        <v>0</v>
      </c>
      <c r="D38" s="42">
        <f>IF($B38="","",IF($B$2="Todos",SUMIFS(BD!$D$3:$D$5001,BD!$A$3:$A$5001,$B38),SUMIFS(BD!$D$3:$D$5001,BD!$A$3:$A$5001,$B38,BD!$B$3:$B$5001,$D$2)))</f>
        <v>0</v>
      </c>
      <c r="E38" s="58">
        <f>IF($B38="","",IF($B$2="Todos",SUMIFS(BD!$E$3:$E$5001,BD!$A$3:$A$5001,$B38),SUMIFS(BD!$E$3:$E$5001,BD!$A$3:$A$5001,$B38,BD!$B$3:$B$5001,$D$2)))</f>
        <v>0</v>
      </c>
      <c r="F38" s="42">
        <f>IF($B38="","",IF($B$2="Todos",SUMIFS(BD!$F$3:$F$5001,BD!$A$3:$A$5001,$B38),SUMIFS(BD!$F$3:$F$5001,BD!$A$3:$A$5001,$B38,BD!$B$3:$B$5001,$D$2)))</f>
        <v>0</v>
      </c>
      <c r="G38" s="42">
        <f>IF($B38="","",IF($B$2="Todos",SUMIFS(BD!$G$3:$G$5001,BD!$A$3:$A$5001,$B38),SUMIFS(BD!$G$3:$G$5001,BD!$A$3:$A$5001,$B38,BD!$B$3:$B$5001,$D$2)))</f>
        <v>0</v>
      </c>
      <c r="H38" s="42">
        <f>IF($B38="","",IF($B$2="Todos",SUMIFS(BD!$H$3:$H$5001,BD!$A$3:$A$5001,$B38),SUMIFS(BD!$H$3:$H$5001,BD!$A$3:$A$5001,$B38,BD!$B$3:$B$5001,$D$2)))</f>
        <v>0</v>
      </c>
      <c r="I38" s="42">
        <f>IF($B38="","",IF($B$2="Todos",SUMIFS(BD!$I$3:$I$5001,BD!$A$3:$A$5001,$B38),SUMIFS(BD!$I$3:$I$5001,BD!$A$3:$A$5001,$B38,BD!$B$3:$B$5001,$D$2)))</f>
        <v>0</v>
      </c>
      <c r="J38" s="58">
        <f>IF($B38="","",IF($B$2="Todos",SUMIFS(BD!$J$3:$J$5001,BD!$A$3:$A$5001,$B38),SUMIFS(BD!$J$3:$J$5001,BD!$A$3:$A$5001,$B38,BD!$B$3:$B$5001,$D$2)))</f>
        <v>0</v>
      </c>
      <c r="K38" s="42">
        <f>IF($B38="","",IF($B$2="Todos",SUMIFS(BD!$K$3:$K$5001,BD!$A$3:$A$5001,$B38),SUMIFS(BD!$K$3:$K$5001,BD!$A$3:$A$5001,$B38,BD!$B$3:$B$5001,$D$2)))</f>
        <v>0</v>
      </c>
      <c r="L38" s="42">
        <f>IF($B38="","",IF($B$2="Todos",SUMIFS(BD!$L$3:$L$5001,BD!$A$3:$A$5001,$B38),SUMIFS(BD!$L$3:$L$5001,BD!$A$3:$A$5001,$B38,BD!$B$3:$B$5001,$D$2)))</f>
        <v>0</v>
      </c>
      <c r="M38" s="42">
        <f>IF($B38="","",IF($B$2="Todos",SUMIFS(BD!$M$3:$M$5001,BD!$A$3:$A$5001,$B38),SUMIFS(BD!$M$3:$M$5001,BD!$A$3:$A$5001,$B38,BD!$B$3:$B$5001,$D$2)))</f>
        <v>0</v>
      </c>
      <c r="N38" s="42">
        <f>IF($B38="","",IF($B$2="Todos",SUMIFS(BD!$N$3:$N$5001,BD!$A$3:$A$5001,$B38),SUMIFS(BD!$N$3:$N$5001,BD!$A$3:$A$5001,$B38,BD!$B$3:$B$5001,$D$2)))</f>
        <v>0</v>
      </c>
      <c r="O38" s="42">
        <f>IF($B38="","",IF($B$2="Todos",SUMIFS(BD!$O$3:$O$5001,BD!$A$3:$A$5001,$B38),SUMIFS(BD!$O$3:$O$5001,BD!$A$3:$A$5001,$B38,BD!$B$3:$B$5001,$D$2)))</f>
        <v>0</v>
      </c>
      <c r="P38" s="42" t="str">
        <f>IF($B$2="Todos",IF(COUNT($C$155:$V$155)=0,"",SUM($C$155:$V$155)),IFERROR(INDEX($C$155:$V$155,MATCH($D$2,$C$128:$V$128,0)),""))</f>
        <v/>
      </c>
      <c r="Q38" s="42" t="str">
        <f>IF($B$2="Todos",IF(COUNT($C$190:$V$190)=0,"",SUM($C$190:$V$190)),IFERROR(INDEX($C$190:$V$190,MATCH($D$2,$C$163:$V$163,0)),""))</f>
        <v/>
      </c>
      <c r="R38" s="59" t="str">
        <f>IF(S38="","",IF($B$2="Todos",IF($B$4&gt;0,$B$4,IF($B$2="Todos",IF(COUNT($C$260:$V$260)=0,"",SUM($C$260:$V$260)),IFERROR(INDEX($C$260:$V$260,MATCH($D$2,$C$233:$V$233,0)),""))),IFERROR(INDEX($C$260:$V$260,MATCH($D$2,$C$233:$V$233,0)),"")))</f>
        <v/>
      </c>
      <c r="S38" s="42" t="str">
        <f>IF($B$2="Todos",IF(COUNT($C$225:$V$225)=0,"",SUM($C$225:$V$225)),IFERROR(INDEX($C$225:$V$225,MATCH($D$2,$C$198:$V$198,0)),""))</f>
        <v/>
      </c>
      <c r="T38" s="60" t="str">
        <f>IF(AND(ISNUMBER(S38),ISNUMBER(R38)),IF(R38&gt;0,S38/R38,""),"")</f>
        <v/>
      </c>
      <c r="U38" s="42" t="str">
        <f>IF($B$2="Todos",IF(COUNT($C$295:$V$295)=0,"",SUM($C$295:$V$295)),IFERROR(INDEX($C$295:$V$295,MATCH($D$2,$C$268:$V$268,0)),""))</f>
        <v/>
      </c>
      <c r="V38" s="42">
        <f>IF($B38="","",IF($B$2="Todos",SUMIFS(BD!$U$3:$U$5001,BD!$A$3:$A$5001,$B38),SUMIFS(BD!$U$3:$U$5001,BD!$A$3:$A$5001,$B38,BD!$B$3:$B$5001,$D$2)))</f>
        <v>0</v>
      </c>
      <c r="W38" s="58">
        <f>IF($B38="","",IF($B$2="Todos",SUMIFS(BD!$V$3:$V$5001,BD!$A$3:$A$5001,$B38),SUMIFS(BD!$V$3:$V$5001,BD!$A$3:$A$5001,$B38,BD!$B$3:$B$5001,$D$2)))</f>
        <v>0</v>
      </c>
      <c r="X38" s="42">
        <f>IF($B38="","",IF($B$2="Todos",SUMIFS(BD!$W$3:$W$5001,BD!$A$3:$A$5001,$B38),SUMIFS(BD!$W$3:$W$5001,BD!$A$3:$A$5001,$B38,BD!$B$3:$B$5001,$D$2)))</f>
        <v>0</v>
      </c>
      <c r="Y38" s="42">
        <f>IF($B38="","",IF($B$2="Todos",SUMIFS(BD!$X$3:$X$5001,BD!$A$3:$A$5001,$B38),SUMIFS(BD!$X$3:$X$5001,BD!$A$3:$A$5001,$B38,BD!$B$3:$B$5001,$D$2)))</f>
        <v>0</v>
      </c>
      <c r="Z38" s="42">
        <f>IF($B38="","",IF($B$2="Todos",SUMIFS(BD!$Y$3:$Y$5001,BD!$A$3:$A$5001,$B38),SUMIFS(BD!$Y$3:$Y$5001,BD!$A$3:$A$5001,$B38,BD!$B$3:$B$5001,$D$2)))</f>
        <v>0</v>
      </c>
      <c r="AA38" s="42">
        <f>IF($B38="","",IF($B$2="Todos",SUMIFS(BD!$Z$3:$Z$5001,BD!$A$3:$A$5001,$B38),SUMIFS(BD!$Z$3:$Z$5001,BD!$A$3:$A$5001,$B38,BD!$B$3:$B$5001,$D$2)))</f>
        <v>0</v>
      </c>
      <c r="AB38" s="42">
        <f>IF($B38="","",IF($B$2="Todos",SUMIFS(BD!$AA$3:$AA$5001,BD!$A$3:$A$5001,$B38),SUMIFS(BD!$AA$3:$AA$5001,BD!$A$3:$A$5001,$B38,BD!$B$3:$B$5001,$D$2)))</f>
        <v>0</v>
      </c>
      <c r="AC38" s="42">
        <f>IF($B38="","",IF($B$2="Todos",SUMIFS(BD!$AB$3:$AB$5001,BD!$A$3:$A$5001,$B38),SUMIFS(BD!$AB$3:$AB$5001,BD!$A$3:$A$5001,$B38,BD!$B$3:$B$5001,$D$2)))</f>
        <v>0</v>
      </c>
      <c r="AD38" s="61">
        <f>$B$5</f>
        <v>0.7</v>
      </c>
      <c r="AE38" s="61">
        <f>$B$6</f>
        <v>0.9</v>
      </c>
      <c r="AX38" s="72">
        <f>IF(OR($B38="",N(VALUE($AH$366))=0),"",IF(INDEX($C38:$AC38,VALUE($AH$366))="","",IF(N(VALUE($AJ$366))=0,INDEX($C38:$AC38,VALUE($AH$366)),IF(N(INDEX($C38:$AC38,N(VALUE($AJ$366))))&gt;0,INDEX($C38:$AC38,VALUE($AH$366))/INDEX($C38:$AC38,N(VALUE($AJ$366))),""))))</f>
        <v>0</v>
      </c>
      <c r="AY38" s="72">
        <f>IF(OR($B38="",N(VALUE($AI$366))=0),"",IF(INDEX($C38:$AC38,VALUE($AI$366))="","",IF(N(VALUE($AK$366))=0,INDEX($C38:$AC38,VALUE($AI$366)),IF(N(INDEX($C38:$AC38,N(VALUE($AK$366))))&gt;0,INDEX($C38:$AC38,VALUE($AI$366))/INDEX($C38:$AC38,N(VALUE($AK$366))),""))))</f>
        <v>0</v>
      </c>
      <c r="AZ38" s="72">
        <f>IF(OR($B38="",N(VALUE($AP$366))=0),"",IF(INDEX($C38:$AC38,VALUE($AP$366))="","",IF(N(VALUE($AR$366))=0,INDEX($C38:$AC38,VALUE($AP$366)),IF(N(INDEX($C38:$AC38,N(VALUE($AR$366))))&gt;0,INDEX($C38:$AC38,VALUE($AP$366))/INDEX($C38:$AC38,N(VALUE($AR$366))),""))))</f>
        <v>0</v>
      </c>
      <c r="BA38" s="72">
        <f>IF(OR($B38="",N(VALUE($AQ$366))=0),"",IF(INDEX($C38:$AC38,VALUE($AQ$366))="","",IF(N(VALUE($AS$366))=0,INDEX($C38:$AC38,VALUE($AQ$366)),IF(N(INDEX($C38:$AC38,N(VALUE($AS$366))))&gt;0,INDEX($C38:$AC38,VALUE($AQ$366))/INDEX($C38:$AC38,N(VALUE($AS$366))),""))))</f>
        <v>0</v>
      </c>
      <c r="BC38" s="42" t="str">
        <f>IF(AND($A38=$B$9,ISNUMBER(R38)),R38,NA())</f>
        <v/>
      </c>
    </row>
    <row r="39">
      <c r="A39" s="39">
        <v>28</v>
      </c>
      <c r="B39" s="57">
        <f>IF($A39&lt;=DAY($D$7),$C$7+$A39-1,"")</f>
        <v>46323</v>
      </c>
      <c r="C39" s="42">
        <f>IF($B39="","",IF($B$2="Todos",SUMIFS(BD!$C$3:$C$5001,BD!$A$3:$A$5001,$B39),SUMIFS(BD!$C$3:$C$5001,BD!$A$3:$A$5001,$B39,BD!$B$3:$B$5001,$D$2)))</f>
        <v>0</v>
      </c>
      <c r="D39" s="42">
        <f>IF($B39="","",IF($B$2="Todos",SUMIFS(BD!$D$3:$D$5001,BD!$A$3:$A$5001,$B39),SUMIFS(BD!$D$3:$D$5001,BD!$A$3:$A$5001,$B39,BD!$B$3:$B$5001,$D$2)))</f>
        <v>0</v>
      </c>
      <c r="E39" s="58">
        <f>IF($B39="","",IF($B$2="Todos",SUMIFS(BD!$E$3:$E$5001,BD!$A$3:$A$5001,$B39),SUMIFS(BD!$E$3:$E$5001,BD!$A$3:$A$5001,$B39,BD!$B$3:$B$5001,$D$2)))</f>
        <v>0</v>
      </c>
      <c r="F39" s="42">
        <f>IF($B39="","",IF($B$2="Todos",SUMIFS(BD!$F$3:$F$5001,BD!$A$3:$A$5001,$B39),SUMIFS(BD!$F$3:$F$5001,BD!$A$3:$A$5001,$B39,BD!$B$3:$B$5001,$D$2)))</f>
        <v>0</v>
      </c>
      <c r="G39" s="42">
        <f>IF($B39="","",IF($B$2="Todos",SUMIFS(BD!$G$3:$G$5001,BD!$A$3:$A$5001,$B39),SUMIFS(BD!$G$3:$G$5001,BD!$A$3:$A$5001,$B39,BD!$B$3:$B$5001,$D$2)))</f>
        <v>0</v>
      </c>
      <c r="H39" s="42">
        <f>IF($B39="","",IF($B$2="Todos",SUMIFS(BD!$H$3:$H$5001,BD!$A$3:$A$5001,$B39),SUMIFS(BD!$H$3:$H$5001,BD!$A$3:$A$5001,$B39,BD!$B$3:$B$5001,$D$2)))</f>
        <v>0</v>
      </c>
      <c r="I39" s="42">
        <f>IF($B39="","",IF($B$2="Todos",SUMIFS(BD!$I$3:$I$5001,BD!$A$3:$A$5001,$B39),SUMIFS(BD!$I$3:$I$5001,BD!$A$3:$A$5001,$B39,BD!$B$3:$B$5001,$D$2)))</f>
        <v>0</v>
      </c>
      <c r="J39" s="58">
        <f>IF($B39="","",IF($B$2="Todos",SUMIFS(BD!$J$3:$J$5001,BD!$A$3:$A$5001,$B39),SUMIFS(BD!$J$3:$J$5001,BD!$A$3:$A$5001,$B39,BD!$B$3:$B$5001,$D$2)))</f>
        <v>0</v>
      </c>
      <c r="K39" s="42">
        <f>IF($B39="","",IF($B$2="Todos",SUMIFS(BD!$K$3:$K$5001,BD!$A$3:$A$5001,$B39),SUMIFS(BD!$K$3:$K$5001,BD!$A$3:$A$5001,$B39,BD!$B$3:$B$5001,$D$2)))</f>
        <v>0</v>
      </c>
      <c r="L39" s="42">
        <f>IF($B39="","",IF($B$2="Todos",SUMIFS(BD!$L$3:$L$5001,BD!$A$3:$A$5001,$B39),SUMIFS(BD!$L$3:$L$5001,BD!$A$3:$A$5001,$B39,BD!$B$3:$B$5001,$D$2)))</f>
        <v>0</v>
      </c>
      <c r="M39" s="42">
        <f>IF($B39="","",IF($B$2="Todos",SUMIFS(BD!$M$3:$M$5001,BD!$A$3:$A$5001,$B39),SUMIFS(BD!$M$3:$M$5001,BD!$A$3:$A$5001,$B39,BD!$B$3:$B$5001,$D$2)))</f>
        <v>0</v>
      </c>
      <c r="N39" s="42">
        <f>IF($B39="","",IF($B$2="Todos",SUMIFS(BD!$N$3:$N$5001,BD!$A$3:$A$5001,$B39),SUMIFS(BD!$N$3:$N$5001,BD!$A$3:$A$5001,$B39,BD!$B$3:$B$5001,$D$2)))</f>
        <v>0</v>
      </c>
      <c r="O39" s="42">
        <f>IF($B39="","",IF($B$2="Todos",SUMIFS(BD!$O$3:$O$5001,BD!$A$3:$A$5001,$B39),SUMIFS(BD!$O$3:$O$5001,BD!$A$3:$A$5001,$B39,BD!$B$3:$B$5001,$D$2)))</f>
        <v>0</v>
      </c>
      <c r="P39" s="42" t="str">
        <f>IF($B$2="Todos",IF(COUNT($C$156:$V$156)=0,"",SUM($C$156:$V$156)),IFERROR(INDEX($C$156:$V$156,MATCH($D$2,$C$128:$V$128,0)),""))</f>
        <v/>
      </c>
      <c r="Q39" s="42" t="str">
        <f>IF($B$2="Todos",IF(COUNT($C$191:$V$191)=0,"",SUM($C$191:$V$191)),IFERROR(INDEX($C$191:$V$191,MATCH($D$2,$C$163:$V$163,0)),""))</f>
        <v/>
      </c>
      <c r="R39" s="59" t="str">
        <f>IF(S39="","",IF($B$2="Todos",IF($B$4&gt;0,$B$4,IF($B$2="Todos",IF(COUNT($C$261:$V$261)=0,"",SUM($C$261:$V$261)),IFERROR(INDEX($C$261:$V$261,MATCH($D$2,$C$233:$V$233,0)),""))),IFERROR(INDEX($C$261:$V$261,MATCH($D$2,$C$233:$V$233,0)),"")))</f>
        <v/>
      </c>
      <c r="S39" s="42" t="str">
        <f>IF($B$2="Todos",IF(COUNT($C$226:$V$226)=0,"",SUM($C$226:$V$226)),IFERROR(INDEX($C$226:$V$226,MATCH($D$2,$C$198:$V$198,0)),""))</f>
        <v/>
      </c>
      <c r="T39" s="60" t="str">
        <f>IF(AND(ISNUMBER(S39),ISNUMBER(R39)),IF(R39&gt;0,S39/R39,""),"")</f>
        <v/>
      </c>
      <c r="U39" s="42" t="str">
        <f>IF($B$2="Todos",IF(COUNT($C$296:$V$296)=0,"",SUM($C$296:$V$296)),IFERROR(INDEX($C$296:$V$296,MATCH($D$2,$C$268:$V$268,0)),""))</f>
        <v/>
      </c>
      <c r="V39" s="42">
        <f>IF($B39="","",IF($B$2="Todos",SUMIFS(BD!$U$3:$U$5001,BD!$A$3:$A$5001,$B39),SUMIFS(BD!$U$3:$U$5001,BD!$A$3:$A$5001,$B39,BD!$B$3:$B$5001,$D$2)))</f>
        <v>0</v>
      </c>
      <c r="W39" s="58">
        <f>IF($B39="","",IF($B$2="Todos",SUMIFS(BD!$V$3:$V$5001,BD!$A$3:$A$5001,$B39),SUMIFS(BD!$V$3:$V$5001,BD!$A$3:$A$5001,$B39,BD!$B$3:$B$5001,$D$2)))</f>
        <v>0</v>
      </c>
      <c r="X39" s="42">
        <f>IF($B39="","",IF($B$2="Todos",SUMIFS(BD!$W$3:$W$5001,BD!$A$3:$A$5001,$B39),SUMIFS(BD!$W$3:$W$5001,BD!$A$3:$A$5001,$B39,BD!$B$3:$B$5001,$D$2)))</f>
        <v>0</v>
      </c>
      <c r="Y39" s="42">
        <f>IF($B39="","",IF($B$2="Todos",SUMIFS(BD!$X$3:$X$5001,BD!$A$3:$A$5001,$B39),SUMIFS(BD!$X$3:$X$5001,BD!$A$3:$A$5001,$B39,BD!$B$3:$B$5001,$D$2)))</f>
        <v>0</v>
      </c>
      <c r="Z39" s="42">
        <f>IF($B39="","",IF($B$2="Todos",SUMIFS(BD!$Y$3:$Y$5001,BD!$A$3:$A$5001,$B39),SUMIFS(BD!$Y$3:$Y$5001,BD!$A$3:$A$5001,$B39,BD!$B$3:$B$5001,$D$2)))</f>
        <v>0</v>
      </c>
      <c r="AA39" s="42">
        <f>IF($B39="","",IF($B$2="Todos",SUMIFS(BD!$Z$3:$Z$5001,BD!$A$3:$A$5001,$B39),SUMIFS(BD!$Z$3:$Z$5001,BD!$A$3:$A$5001,$B39,BD!$B$3:$B$5001,$D$2)))</f>
        <v>0</v>
      </c>
      <c r="AB39" s="42">
        <f>IF($B39="","",IF($B$2="Todos",SUMIFS(BD!$AA$3:$AA$5001,BD!$A$3:$A$5001,$B39),SUMIFS(BD!$AA$3:$AA$5001,BD!$A$3:$A$5001,$B39,BD!$B$3:$B$5001,$D$2)))</f>
        <v>0</v>
      </c>
      <c r="AC39" s="42">
        <f>IF($B39="","",IF($B$2="Todos",SUMIFS(BD!$AB$3:$AB$5001,BD!$A$3:$A$5001,$B39),SUMIFS(BD!$AB$3:$AB$5001,BD!$A$3:$A$5001,$B39,BD!$B$3:$B$5001,$D$2)))</f>
        <v>0</v>
      </c>
      <c r="AD39" s="61">
        <f>$B$5</f>
        <v>0.7</v>
      </c>
      <c r="AE39" s="61">
        <f>$B$6</f>
        <v>0.9</v>
      </c>
      <c r="AX39" s="72">
        <f>IF(OR($B39="",N(VALUE($AH$366))=0),"",IF(INDEX($C39:$AC39,VALUE($AH$366))="","",IF(N(VALUE($AJ$366))=0,INDEX($C39:$AC39,VALUE($AH$366)),IF(N(INDEX($C39:$AC39,N(VALUE($AJ$366))))&gt;0,INDEX($C39:$AC39,VALUE($AH$366))/INDEX($C39:$AC39,N(VALUE($AJ$366))),""))))</f>
        <v>0</v>
      </c>
      <c r="AY39" s="72">
        <f>IF(OR($B39="",N(VALUE($AI$366))=0),"",IF(INDEX($C39:$AC39,VALUE($AI$366))="","",IF(N(VALUE($AK$366))=0,INDEX($C39:$AC39,VALUE($AI$366)),IF(N(INDEX($C39:$AC39,N(VALUE($AK$366))))&gt;0,INDEX($C39:$AC39,VALUE($AI$366))/INDEX($C39:$AC39,N(VALUE($AK$366))),""))))</f>
        <v>0</v>
      </c>
      <c r="AZ39" s="72">
        <f>IF(OR($B39="",N(VALUE($AP$366))=0),"",IF(INDEX($C39:$AC39,VALUE($AP$366))="","",IF(N(VALUE($AR$366))=0,INDEX($C39:$AC39,VALUE($AP$366)),IF(N(INDEX($C39:$AC39,N(VALUE($AR$366))))&gt;0,INDEX($C39:$AC39,VALUE($AP$366))/INDEX($C39:$AC39,N(VALUE($AR$366))),""))))</f>
        <v>0</v>
      </c>
      <c r="BA39" s="72">
        <f>IF(OR($B39="",N(VALUE($AQ$366))=0),"",IF(INDEX($C39:$AC39,VALUE($AQ$366))="","",IF(N(VALUE($AS$366))=0,INDEX($C39:$AC39,VALUE($AQ$366)),IF(N(INDEX($C39:$AC39,N(VALUE($AS$366))))&gt;0,INDEX($C39:$AC39,VALUE($AQ$366))/INDEX($C39:$AC39,N(VALUE($AS$366))),""))))</f>
        <v>0</v>
      </c>
      <c r="BC39" s="42" t="str">
        <f>IF(AND($A39=$B$9,ISNUMBER(R39)),R39,NA())</f>
        <v/>
      </c>
    </row>
    <row r="40">
      <c r="A40" s="39">
        <v>29</v>
      </c>
      <c r="B40" s="57">
        <f>IF($A40&lt;=DAY($D$7),$C$7+$A40-1,"")</f>
        <v>46324</v>
      </c>
      <c r="C40" s="42">
        <f>IF($B40="","",IF($B$2="Todos",SUMIFS(BD!$C$3:$C$5001,BD!$A$3:$A$5001,$B40),SUMIFS(BD!$C$3:$C$5001,BD!$A$3:$A$5001,$B40,BD!$B$3:$B$5001,$D$2)))</f>
        <v>0</v>
      </c>
      <c r="D40" s="42">
        <f>IF($B40="","",IF($B$2="Todos",SUMIFS(BD!$D$3:$D$5001,BD!$A$3:$A$5001,$B40),SUMIFS(BD!$D$3:$D$5001,BD!$A$3:$A$5001,$B40,BD!$B$3:$B$5001,$D$2)))</f>
        <v>0</v>
      </c>
      <c r="E40" s="58">
        <f>IF($B40="","",IF($B$2="Todos",SUMIFS(BD!$E$3:$E$5001,BD!$A$3:$A$5001,$B40),SUMIFS(BD!$E$3:$E$5001,BD!$A$3:$A$5001,$B40,BD!$B$3:$B$5001,$D$2)))</f>
        <v>0</v>
      </c>
      <c r="F40" s="42">
        <f>IF($B40="","",IF($B$2="Todos",SUMIFS(BD!$F$3:$F$5001,BD!$A$3:$A$5001,$B40),SUMIFS(BD!$F$3:$F$5001,BD!$A$3:$A$5001,$B40,BD!$B$3:$B$5001,$D$2)))</f>
        <v>0</v>
      </c>
      <c r="G40" s="42">
        <f>IF($B40="","",IF($B$2="Todos",SUMIFS(BD!$G$3:$G$5001,BD!$A$3:$A$5001,$B40),SUMIFS(BD!$G$3:$G$5001,BD!$A$3:$A$5001,$B40,BD!$B$3:$B$5001,$D$2)))</f>
        <v>0</v>
      </c>
      <c r="H40" s="42">
        <f>IF($B40="","",IF($B$2="Todos",SUMIFS(BD!$H$3:$H$5001,BD!$A$3:$A$5001,$B40),SUMIFS(BD!$H$3:$H$5001,BD!$A$3:$A$5001,$B40,BD!$B$3:$B$5001,$D$2)))</f>
        <v>0</v>
      </c>
      <c r="I40" s="42">
        <f>IF($B40="","",IF($B$2="Todos",SUMIFS(BD!$I$3:$I$5001,BD!$A$3:$A$5001,$B40),SUMIFS(BD!$I$3:$I$5001,BD!$A$3:$A$5001,$B40,BD!$B$3:$B$5001,$D$2)))</f>
        <v>0</v>
      </c>
      <c r="J40" s="58">
        <f>IF($B40="","",IF($B$2="Todos",SUMIFS(BD!$J$3:$J$5001,BD!$A$3:$A$5001,$B40),SUMIFS(BD!$J$3:$J$5001,BD!$A$3:$A$5001,$B40,BD!$B$3:$B$5001,$D$2)))</f>
        <v>0</v>
      </c>
      <c r="K40" s="42">
        <f>IF($B40="","",IF($B$2="Todos",SUMIFS(BD!$K$3:$K$5001,BD!$A$3:$A$5001,$B40),SUMIFS(BD!$K$3:$K$5001,BD!$A$3:$A$5001,$B40,BD!$B$3:$B$5001,$D$2)))</f>
        <v>0</v>
      </c>
      <c r="L40" s="42">
        <f>IF($B40="","",IF($B$2="Todos",SUMIFS(BD!$L$3:$L$5001,BD!$A$3:$A$5001,$B40),SUMIFS(BD!$L$3:$L$5001,BD!$A$3:$A$5001,$B40,BD!$B$3:$B$5001,$D$2)))</f>
        <v>0</v>
      </c>
      <c r="M40" s="42">
        <f>IF($B40="","",IF($B$2="Todos",SUMIFS(BD!$M$3:$M$5001,BD!$A$3:$A$5001,$B40),SUMIFS(BD!$M$3:$M$5001,BD!$A$3:$A$5001,$B40,BD!$B$3:$B$5001,$D$2)))</f>
        <v>0</v>
      </c>
      <c r="N40" s="42">
        <f>IF($B40="","",IF($B$2="Todos",SUMIFS(BD!$N$3:$N$5001,BD!$A$3:$A$5001,$B40),SUMIFS(BD!$N$3:$N$5001,BD!$A$3:$A$5001,$B40,BD!$B$3:$B$5001,$D$2)))</f>
        <v>0</v>
      </c>
      <c r="O40" s="42">
        <f>IF($B40="","",IF($B$2="Todos",SUMIFS(BD!$O$3:$O$5001,BD!$A$3:$A$5001,$B40),SUMIFS(BD!$O$3:$O$5001,BD!$A$3:$A$5001,$B40,BD!$B$3:$B$5001,$D$2)))</f>
        <v>0</v>
      </c>
      <c r="P40" s="42" t="str">
        <f>IF($B$2="Todos",IF(COUNT($C$157:$V$157)=0,"",SUM($C$157:$V$157)),IFERROR(INDEX($C$157:$V$157,MATCH($D$2,$C$128:$V$128,0)),""))</f>
        <v/>
      </c>
      <c r="Q40" s="42" t="str">
        <f>IF($B$2="Todos",IF(COUNT($C$192:$V$192)=0,"",SUM($C$192:$V$192)),IFERROR(INDEX($C$192:$V$192,MATCH($D$2,$C$163:$V$163,0)),""))</f>
        <v/>
      </c>
      <c r="R40" s="59" t="str">
        <f>IF(S40="","",IF($B$2="Todos",IF($B$4&gt;0,$B$4,IF($B$2="Todos",IF(COUNT($C$262:$V$262)=0,"",SUM($C$262:$V$262)),IFERROR(INDEX($C$262:$V$262,MATCH($D$2,$C$233:$V$233,0)),""))),IFERROR(INDEX($C$262:$V$262,MATCH($D$2,$C$233:$V$233,0)),"")))</f>
        <v/>
      </c>
      <c r="S40" s="42" t="str">
        <f>IF($B$2="Todos",IF(COUNT($C$227:$V$227)=0,"",SUM($C$227:$V$227)),IFERROR(INDEX($C$227:$V$227,MATCH($D$2,$C$198:$V$198,0)),""))</f>
        <v/>
      </c>
      <c r="T40" s="60" t="str">
        <f>IF(AND(ISNUMBER(S40),ISNUMBER(R40)),IF(R40&gt;0,S40/R40,""),"")</f>
        <v/>
      </c>
      <c r="U40" s="42" t="str">
        <f>IF($B$2="Todos",IF(COUNT($C$297:$V$297)=0,"",SUM($C$297:$V$297)),IFERROR(INDEX($C$297:$V$297,MATCH($D$2,$C$268:$V$268,0)),""))</f>
        <v/>
      </c>
      <c r="V40" s="42">
        <f>IF($B40="","",IF($B$2="Todos",SUMIFS(BD!$U$3:$U$5001,BD!$A$3:$A$5001,$B40),SUMIFS(BD!$U$3:$U$5001,BD!$A$3:$A$5001,$B40,BD!$B$3:$B$5001,$D$2)))</f>
        <v>0</v>
      </c>
      <c r="W40" s="58">
        <f>IF($B40="","",IF($B$2="Todos",SUMIFS(BD!$V$3:$V$5001,BD!$A$3:$A$5001,$B40),SUMIFS(BD!$V$3:$V$5001,BD!$A$3:$A$5001,$B40,BD!$B$3:$B$5001,$D$2)))</f>
        <v>0</v>
      </c>
      <c r="X40" s="42">
        <f>IF($B40="","",IF($B$2="Todos",SUMIFS(BD!$W$3:$W$5001,BD!$A$3:$A$5001,$B40),SUMIFS(BD!$W$3:$W$5001,BD!$A$3:$A$5001,$B40,BD!$B$3:$B$5001,$D$2)))</f>
        <v>0</v>
      </c>
      <c r="Y40" s="42">
        <f>IF($B40="","",IF($B$2="Todos",SUMIFS(BD!$X$3:$X$5001,BD!$A$3:$A$5001,$B40),SUMIFS(BD!$X$3:$X$5001,BD!$A$3:$A$5001,$B40,BD!$B$3:$B$5001,$D$2)))</f>
        <v>0</v>
      </c>
      <c r="Z40" s="42">
        <f>IF($B40="","",IF($B$2="Todos",SUMIFS(BD!$Y$3:$Y$5001,BD!$A$3:$A$5001,$B40),SUMIFS(BD!$Y$3:$Y$5001,BD!$A$3:$A$5001,$B40,BD!$B$3:$B$5001,$D$2)))</f>
        <v>0</v>
      </c>
      <c r="AA40" s="42">
        <f>IF($B40="","",IF($B$2="Todos",SUMIFS(BD!$Z$3:$Z$5001,BD!$A$3:$A$5001,$B40),SUMIFS(BD!$Z$3:$Z$5001,BD!$A$3:$A$5001,$B40,BD!$B$3:$B$5001,$D$2)))</f>
        <v>0</v>
      </c>
      <c r="AB40" s="42">
        <f>IF($B40="","",IF($B$2="Todos",SUMIFS(BD!$AA$3:$AA$5001,BD!$A$3:$A$5001,$B40),SUMIFS(BD!$AA$3:$AA$5001,BD!$A$3:$A$5001,$B40,BD!$B$3:$B$5001,$D$2)))</f>
        <v>0</v>
      </c>
      <c r="AC40" s="42">
        <f>IF($B40="","",IF($B$2="Todos",SUMIFS(BD!$AB$3:$AB$5001,BD!$A$3:$A$5001,$B40),SUMIFS(BD!$AB$3:$AB$5001,BD!$A$3:$A$5001,$B40,BD!$B$3:$B$5001,$D$2)))</f>
        <v>0</v>
      </c>
      <c r="AD40" s="61">
        <f>$B$5</f>
        <v>0.7</v>
      </c>
      <c r="AE40" s="61">
        <f>$B$6</f>
        <v>0.9</v>
      </c>
      <c r="AX40" s="72">
        <f>IF(OR($B40="",N(VALUE($AH$366))=0),"",IF(INDEX($C40:$AC40,VALUE($AH$366))="","",IF(N(VALUE($AJ$366))=0,INDEX($C40:$AC40,VALUE($AH$366)),IF(N(INDEX($C40:$AC40,N(VALUE($AJ$366))))&gt;0,INDEX($C40:$AC40,VALUE($AH$366))/INDEX($C40:$AC40,N(VALUE($AJ$366))),""))))</f>
        <v>0</v>
      </c>
      <c r="AY40" s="72">
        <f>IF(OR($B40="",N(VALUE($AI$366))=0),"",IF(INDEX($C40:$AC40,VALUE($AI$366))="","",IF(N(VALUE($AK$366))=0,INDEX($C40:$AC40,VALUE($AI$366)),IF(N(INDEX($C40:$AC40,N(VALUE($AK$366))))&gt;0,INDEX($C40:$AC40,VALUE($AI$366))/INDEX($C40:$AC40,N(VALUE($AK$366))),""))))</f>
        <v>0</v>
      </c>
      <c r="AZ40" s="72">
        <f>IF(OR($B40="",N(VALUE($AP$366))=0),"",IF(INDEX($C40:$AC40,VALUE($AP$366))="","",IF(N(VALUE($AR$366))=0,INDEX($C40:$AC40,VALUE($AP$366)),IF(N(INDEX($C40:$AC40,N(VALUE($AR$366))))&gt;0,INDEX($C40:$AC40,VALUE($AP$366))/INDEX($C40:$AC40,N(VALUE($AR$366))),""))))</f>
        <v>0</v>
      </c>
      <c r="BA40" s="72">
        <f>IF(OR($B40="",N(VALUE($AQ$366))=0),"",IF(INDEX($C40:$AC40,VALUE($AQ$366))="","",IF(N(VALUE($AS$366))=0,INDEX($C40:$AC40,VALUE($AQ$366)),IF(N(INDEX($C40:$AC40,N(VALUE($AS$366))))&gt;0,INDEX($C40:$AC40,VALUE($AQ$366))/INDEX($C40:$AC40,N(VALUE($AS$366))),""))))</f>
        <v>0</v>
      </c>
      <c r="BC40" s="42" t="str">
        <f>IF(AND($A40=$B$9,ISNUMBER(R40)),R40,NA())</f>
        <v/>
      </c>
    </row>
    <row r="41">
      <c r="A41" s="39">
        <v>30</v>
      </c>
      <c r="B41" s="57">
        <f>IF($A41&lt;=DAY($D$7),$C$7+$A41-1,"")</f>
        <v>46325</v>
      </c>
      <c r="C41" s="42">
        <f>IF($B41="","",IF($B$2="Todos",SUMIFS(BD!$C$3:$C$5001,BD!$A$3:$A$5001,$B41),SUMIFS(BD!$C$3:$C$5001,BD!$A$3:$A$5001,$B41,BD!$B$3:$B$5001,$D$2)))</f>
        <v>0</v>
      </c>
      <c r="D41" s="42">
        <f>IF($B41="","",IF($B$2="Todos",SUMIFS(BD!$D$3:$D$5001,BD!$A$3:$A$5001,$B41),SUMIFS(BD!$D$3:$D$5001,BD!$A$3:$A$5001,$B41,BD!$B$3:$B$5001,$D$2)))</f>
        <v>0</v>
      </c>
      <c r="E41" s="58">
        <f>IF($B41="","",IF($B$2="Todos",SUMIFS(BD!$E$3:$E$5001,BD!$A$3:$A$5001,$B41),SUMIFS(BD!$E$3:$E$5001,BD!$A$3:$A$5001,$B41,BD!$B$3:$B$5001,$D$2)))</f>
        <v>0</v>
      </c>
      <c r="F41" s="42">
        <f>IF($B41="","",IF($B$2="Todos",SUMIFS(BD!$F$3:$F$5001,BD!$A$3:$A$5001,$B41),SUMIFS(BD!$F$3:$F$5001,BD!$A$3:$A$5001,$B41,BD!$B$3:$B$5001,$D$2)))</f>
        <v>0</v>
      </c>
      <c r="G41" s="42">
        <f>IF($B41="","",IF($B$2="Todos",SUMIFS(BD!$G$3:$G$5001,BD!$A$3:$A$5001,$B41),SUMIFS(BD!$G$3:$G$5001,BD!$A$3:$A$5001,$B41,BD!$B$3:$B$5001,$D$2)))</f>
        <v>0</v>
      </c>
      <c r="H41" s="42">
        <f>IF($B41="","",IF($B$2="Todos",SUMIFS(BD!$H$3:$H$5001,BD!$A$3:$A$5001,$B41),SUMIFS(BD!$H$3:$H$5001,BD!$A$3:$A$5001,$B41,BD!$B$3:$B$5001,$D$2)))</f>
        <v>0</v>
      </c>
      <c r="I41" s="42">
        <f>IF($B41="","",IF($B$2="Todos",SUMIFS(BD!$I$3:$I$5001,BD!$A$3:$A$5001,$B41),SUMIFS(BD!$I$3:$I$5001,BD!$A$3:$A$5001,$B41,BD!$B$3:$B$5001,$D$2)))</f>
        <v>0</v>
      </c>
      <c r="J41" s="58">
        <f>IF($B41="","",IF($B$2="Todos",SUMIFS(BD!$J$3:$J$5001,BD!$A$3:$A$5001,$B41),SUMIFS(BD!$J$3:$J$5001,BD!$A$3:$A$5001,$B41,BD!$B$3:$B$5001,$D$2)))</f>
        <v>0</v>
      </c>
      <c r="K41" s="42">
        <f>IF($B41="","",IF($B$2="Todos",SUMIFS(BD!$K$3:$K$5001,BD!$A$3:$A$5001,$B41),SUMIFS(BD!$K$3:$K$5001,BD!$A$3:$A$5001,$B41,BD!$B$3:$B$5001,$D$2)))</f>
        <v>0</v>
      </c>
      <c r="L41" s="42">
        <f>IF($B41="","",IF($B$2="Todos",SUMIFS(BD!$L$3:$L$5001,BD!$A$3:$A$5001,$B41),SUMIFS(BD!$L$3:$L$5001,BD!$A$3:$A$5001,$B41,BD!$B$3:$B$5001,$D$2)))</f>
        <v>0</v>
      </c>
      <c r="M41" s="42">
        <f>IF($B41="","",IF($B$2="Todos",SUMIFS(BD!$M$3:$M$5001,BD!$A$3:$A$5001,$B41),SUMIFS(BD!$M$3:$M$5001,BD!$A$3:$A$5001,$B41,BD!$B$3:$B$5001,$D$2)))</f>
        <v>0</v>
      </c>
      <c r="N41" s="42">
        <f>IF($B41="","",IF($B$2="Todos",SUMIFS(BD!$N$3:$N$5001,BD!$A$3:$A$5001,$B41),SUMIFS(BD!$N$3:$N$5001,BD!$A$3:$A$5001,$B41,BD!$B$3:$B$5001,$D$2)))</f>
        <v>0</v>
      </c>
      <c r="O41" s="42">
        <f>IF($B41="","",IF($B$2="Todos",SUMIFS(BD!$O$3:$O$5001,BD!$A$3:$A$5001,$B41),SUMIFS(BD!$O$3:$O$5001,BD!$A$3:$A$5001,$B41,BD!$B$3:$B$5001,$D$2)))</f>
        <v>0</v>
      </c>
      <c r="P41" s="42" t="str">
        <f>IF($B$2="Todos",IF(COUNT($C$158:$V$158)=0,"",SUM($C$158:$V$158)),IFERROR(INDEX($C$158:$V$158,MATCH($D$2,$C$128:$V$128,0)),""))</f>
        <v/>
      </c>
      <c r="Q41" s="42" t="str">
        <f>IF($B$2="Todos",IF(COUNT($C$193:$V$193)=0,"",SUM($C$193:$V$193)),IFERROR(INDEX($C$193:$V$193,MATCH($D$2,$C$163:$V$163,0)),""))</f>
        <v/>
      </c>
      <c r="R41" s="59" t="str">
        <f>IF(S41="","",IF($B$2="Todos",IF($B$4&gt;0,$B$4,IF($B$2="Todos",IF(COUNT($C$263:$V$263)=0,"",SUM($C$263:$V$263)),IFERROR(INDEX($C$263:$V$263,MATCH($D$2,$C$233:$V$233,0)),""))),IFERROR(INDEX($C$263:$V$263,MATCH($D$2,$C$233:$V$233,0)),"")))</f>
        <v/>
      </c>
      <c r="S41" s="42" t="str">
        <f>IF($B$2="Todos",IF(COUNT($C$228:$V$228)=0,"",SUM($C$228:$V$228)),IFERROR(INDEX($C$228:$V$228,MATCH($D$2,$C$198:$V$198,0)),""))</f>
        <v/>
      </c>
      <c r="T41" s="60" t="str">
        <f>IF(AND(ISNUMBER(S41),ISNUMBER(R41)),IF(R41&gt;0,S41/R41,""),"")</f>
        <v/>
      </c>
      <c r="U41" s="42" t="str">
        <f>IF($B$2="Todos",IF(COUNT($C$298:$V$298)=0,"",SUM($C$298:$V$298)),IFERROR(INDEX($C$298:$V$298,MATCH($D$2,$C$268:$V$268,0)),""))</f>
        <v/>
      </c>
      <c r="V41" s="42">
        <f>IF($B41="","",IF($B$2="Todos",SUMIFS(BD!$U$3:$U$5001,BD!$A$3:$A$5001,$B41),SUMIFS(BD!$U$3:$U$5001,BD!$A$3:$A$5001,$B41,BD!$B$3:$B$5001,$D$2)))</f>
        <v>0</v>
      </c>
      <c r="W41" s="58">
        <f>IF($B41="","",IF($B$2="Todos",SUMIFS(BD!$V$3:$V$5001,BD!$A$3:$A$5001,$B41),SUMIFS(BD!$V$3:$V$5001,BD!$A$3:$A$5001,$B41,BD!$B$3:$B$5001,$D$2)))</f>
        <v>0</v>
      </c>
      <c r="X41" s="42">
        <f>IF($B41="","",IF($B$2="Todos",SUMIFS(BD!$W$3:$W$5001,BD!$A$3:$A$5001,$B41),SUMIFS(BD!$W$3:$W$5001,BD!$A$3:$A$5001,$B41,BD!$B$3:$B$5001,$D$2)))</f>
        <v>0</v>
      </c>
      <c r="Y41" s="42">
        <f>IF($B41="","",IF($B$2="Todos",SUMIFS(BD!$X$3:$X$5001,BD!$A$3:$A$5001,$B41),SUMIFS(BD!$X$3:$X$5001,BD!$A$3:$A$5001,$B41,BD!$B$3:$B$5001,$D$2)))</f>
        <v>0</v>
      </c>
      <c r="Z41" s="42">
        <f>IF($B41="","",IF($B$2="Todos",SUMIFS(BD!$Y$3:$Y$5001,BD!$A$3:$A$5001,$B41),SUMIFS(BD!$Y$3:$Y$5001,BD!$A$3:$A$5001,$B41,BD!$B$3:$B$5001,$D$2)))</f>
        <v>0</v>
      </c>
      <c r="AA41" s="42">
        <f>IF($B41="","",IF($B$2="Todos",SUMIFS(BD!$Z$3:$Z$5001,BD!$A$3:$A$5001,$B41),SUMIFS(BD!$Z$3:$Z$5001,BD!$A$3:$A$5001,$B41,BD!$B$3:$B$5001,$D$2)))</f>
        <v>0</v>
      </c>
      <c r="AB41" s="42">
        <f>IF($B41="","",IF($B$2="Todos",SUMIFS(BD!$AA$3:$AA$5001,BD!$A$3:$A$5001,$B41),SUMIFS(BD!$AA$3:$AA$5001,BD!$A$3:$A$5001,$B41,BD!$B$3:$B$5001,$D$2)))</f>
        <v>0</v>
      </c>
      <c r="AC41" s="42">
        <f>IF($B41="","",IF($B$2="Todos",SUMIFS(BD!$AB$3:$AB$5001,BD!$A$3:$A$5001,$B41),SUMIFS(BD!$AB$3:$AB$5001,BD!$A$3:$A$5001,$B41,BD!$B$3:$B$5001,$D$2)))</f>
        <v>0</v>
      </c>
      <c r="AD41" s="61">
        <f>$B$5</f>
        <v>0.7</v>
      </c>
      <c r="AE41" s="61">
        <f>$B$6</f>
        <v>0.9</v>
      </c>
      <c r="AX41" s="72">
        <f>IF(OR($B41="",N(VALUE($AH$366))=0),"",IF(INDEX($C41:$AC41,VALUE($AH$366))="","",IF(N(VALUE($AJ$366))=0,INDEX($C41:$AC41,VALUE($AH$366)),IF(N(INDEX($C41:$AC41,N(VALUE($AJ$366))))&gt;0,INDEX($C41:$AC41,VALUE($AH$366))/INDEX($C41:$AC41,N(VALUE($AJ$366))),""))))</f>
        <v>0</v>
      </c>
      <c r="AY41" s="72">
        <f>IF(OR($B41="",N(VALUE($AI$366))=0),"",IF(INDEX($C41:$AC41,VALUE($AI$366))="","",IF(N(VALUE($AK$366))=0,INDEX($C41:$AC41,VALUE($AI$366)),IF(N(INDEX($C41:$AC41,N(VALUE($AK$366))))&gt;0,INDEX($C41:$AC41,VALUE($AI$366))/INDEX($C41:$AC41,N(VALUE($AK$366))),""))))</f>
        <v>0</v>
      </c>
      <c r="AZ41" s="72">
        <f>IF(OR($B41="",N(VALUE($AP$366))=0),"",IF(INDEX($C41:$AC41,VALUE($AP$366))="","",IF(N(VALUE($AR$366))=0,INDEX($C41:$AC41,VALUE($AP$366)),IF(N(INDEX($C41:$AC41,N(VALUE($AR$366))))&gt;0,INDEX($C41:$AC41,VALUE($AP$366))/INDEX($C41:$AC41,N(VALUE($AR$366))),""))))</f>
        <v>0</v>
      </c>
      <c r="BA41" s="72">
        <f>IF(OR($B41="",N(VALUE($AQ$366))=0),"",IF(INDEX($C41:$AC41,VALUE($AQ$366))="","",IF(N(VALUE($AS$366))=0,INDEX($C41:$AC41,VALUE($AQ$366)),IF(N(INDEX($C41:$AC41,N(VALUE($AS$366))))&gt;0,INDEX($C41:$AC41,VALUE($AQ$366))/INDEX($C41:$AC41,N(VALUE($AS$366))),""))))</f>
        <v>0</v>
      </c>
      <c r="BC41" s="42" t="str">
        <f>IF(AND($A41=$B$9,ISNUMBER(R41)),R41,NA())</f>
        <v/>
      </c>
    </row>
    <row r="42">
      <c r="A42" s="39">
        <v>31</v>
      </c>
      <c r="B42" s="57">
        <f>IF($A42&lt;=DAY($D$7),$C$7+$A42-1,"")</f>
        <v>46326</v>
      </c>
      <c r="C42" s="42">
        <f>IF($B42="","",IF($B$2="Todos",SUMIFS(BD!$C$3:$C$5001,BD!$A$3:$A$5001,$B42),SUMIFS(BD!$C$3:$C$5001,BD!$A$3:$A$5001,$B42,BD!$B$3:$B$5001,$D$2)))</f>
        <v>0</v>
      </c>
      <c r="D42" s="42">
        <f>IF($B42="","",IF($B$2="Todos",SUMIFS(BD!$D$3:$D$5001,BD!$A$3:$A$5001,$B42),SUMIFS(BD!$D$3:$D$5001,BD!$A$3:$A$5001,$B42,BD!$B$3:$B$5001,$D$2)))</f>
        <v>0</v>
      </c>
      <c r="E42" s="58">
        <f>IF($B42="","",IF($B$2="Todos",SUMIFS(BD!$E$3:$E$5001,BD!$A$3:$A$5001,$B42),SUMIFS(BD!$E$3:$E$5001,BD!$A$3:$A$5001,$B42,BD!$B$3:$B$5001,$D$2)))</f>
        <v>0</v>
      </c>
      <c r="F42" s="42">
        <f>IF($B42="","",IF($B$2="Todos",SUMIFS(BD!$F$3:$F$5001,BD!$A$3:$A$5001,$B42),SUMIFS(BD!$F$3:$F$5001,BD!$A$3:$A$5001,$B42,BD!$B$3:$B$5001,$D$2)))</f>
        <v>0</v>
      </c>
      <c r="G42" s="42">
        <f>IF($B42="","",IF($B$2="Todos",SUMIFS(BD!$G$3:$G$5001,BD!$A$3:$A$5001,$B42),SUMIFS(BD!$G$3:$G$5001,BD!$A$3:$A$5001,$B42,BD!$B$3:$B$5001,$D$2)))</f>
        <v>0</v>
      </c>
      <c r="H42" s="42">
        <f>IF($B42="","",IF($B$2="Todos",SUMIFS(BD!$H$3:$H$5001,BD!$A$3:$A$5001,$B42),SUMIFS(BD!$H$3:$H$5001,BD!$A$3:$A$5001,$B42,BD!$B$3:$B$5001,$D$2)))</f>
        <v>0</v>
      </c>
      <c r="I42" s="42">
        <f>IF($B42="","",IF($B$2="Todos",SUMIFS(BD!$I$3:$I$5001,BD!$A$3:$A$5001,$B42),SUMIFS(BD!$I$3:$I$5001,BD!$A$3:$A$5001,$B42,BD!$B$3:$B$5001,$D$2)))</f>
        <v>0</v>
      </c>
      <c r="J42" s="58">
        <f>IF($B42="","",IF($B$2="Todos",SUMIFS(BD!$J$3:$J$5001,BD!$A$3:$A$5001,$B42),SUMIFS(BD!$J$3:$J$5001,BD!$A$3:$A$5001,$B42,BD!$B$3:$B$5001,$D$2)))</f>
        <v>0</v>
      </c>
      <c r="K42" s="42">
        <f>IF($B42="","",IF($B$2="Todos",SUMIFS(BD!$K$3:$K$5001,BD!$A$3:$A$5001,$B42),SUMIFS(BD!$K$3:$K$5001,BD!$A$3:$A$5001,$B42,BD!$B$3:$B$5001,$D$2)))</f>
        <v>0</v>
      </c>
      <c r="L42" s="42">
        <f>IF($B42="","",IF($B$2="Todos",SUMIFS(BD!$L$3:$L$5001,BD!$A$3:$A$5001,$B42),SUMIFS(BD!$L$3:$L$5001,BD!$A$3:$A$5001,$B42,BD!$B$3:$B$5001,$D$2)))</f>
        <v>0</v>
      </c>
      <c r="M42" s="42">
        <f>IF($B42="","",IF($B$2="Todos",SUMIFS(BD!$M$3:$M$5001,BD!$A$3:$A$5001,$B42),SUMIFS(BD!$M$3:$M$5001,BD!$A$3:$A$5001,$B42,BD!$B$3:$B$5001,$D$2)))</f>
        <v>0</v>
      </c>
      <c r="N42" s="42">
        <f>IF($B42="","",IF($B$2="Todos",SUMIFS(BD!$N$3:$N$5001,BD!$A$3:$A$5001,$B42),SUMIFS(BD!$N$3:$N$5001,BD!$A$3:$A$5001,$B42,BD!$B$3:$B$5001,$D$2)))</f>
        <v>0</v>
      </c>
      <c r="O42" s="42">
        <f>IF($B42="","",IF($B$2="Todos",SUMIFS(BD!$O$3:$O$5001,BD!$A$3:$A$5001,$B42),SUMIFS(BD!$O$3:$O$5001,BD!$A$3:$A$5001,$B42,BD!$B$3:$B$5001,$D$2)))</f>
        <v>0</v>
      </c>
      <c r="P42" s="42" t="str">
        <f>IF($B$2="Todos",IF(COUNT($C$159:$V$159)=0,"",SUM($C$159:$V$159)),IFERROR(INDEX($C$159:$V$159,MATCH($D$2,$C$128:$V$128,0)),""))</f>
        <v/>
      </c>
      <c r="Q42" s="42" t="str">
        <f>IF($B$2="Todos",IF(COUNT($C$194:$V$194)=0,"",SUM($C$194:$V$194)),IFERROR(INDEX($C$194:$V$194,MATCH($D$2,$C$163:$V$163,0)),""))</f>
        <v/>
      </c>
      <c r="R42" s="59" t="str">
        <f>IF(S42="","",IF($B$2="Todos",IF($B$4&gt;0,$B$4,IF($B$2="Todos",IF(COUNT($C$264:$V$264)=0,"",SUM($C$264:$V$264)),IFERROR(INDEX($C$264:$V$264,MATCH($D$2,$C$233:$V$233,0)),""))),IFERROR(INDEX($C$264:$V$264,MATCH($D$2,$C$233:$V$233,0)),"")))</f>
        <v/>
      </c>
      <c r="S42" s="42" t="str">
        <f>IF($B$2="Todos",IF(COUNT($C$229:$V$229)=0,"",SUM($C$229:$V$229)),IFERROR(INDEX($C$229:$V$229,MATCH($D$2,$C$198:$V$198,0)),""))</f>
        <v/>
      </c>
      <c r="T42" s="60" t="str">
        <f>IF(AND(ISNUMBER(S42),ISNUMBER(R42)),IF(R42&gt;0,S42/R42,""),"")</f>
        <v/>
      </c>
      <c r="U42" s="42" t="str">
        <f>IF($B$2="Todos",IF(COUNT($C$299:$V$299)=0,"",SUM($C$299:$V$299)),IFERROR(INDEX($C$299:$V$299,MATCH($D$2,$C$268:$V$268,0)),""))</f>
        <v/>
      </c>
      <c r="V42" s="42">
        <f>IF($B42="","",IF($B$2="Todos",SUMIFS(BD!$U$3:$U$5001,BD!$A$3:$A$5001,$B42),SUMIFS(BD!$U$3:$U$5001,BD!$A$3:$A$5001,$B42,BD!$B$3:$B$5001,$D$2)))</f>
        <v>0</v>
      </c>
      <c r="W42" s="58">
        <f>IF($B42="","",IF($B$2="Todos",SUMIFS(BD!$V$3:$V$5001,BD!$A$3:$A$5001,$B42),SUMIFS(BD!$V$3:$V$5001,BD!$A$3:$A$5001,$B42,BD!$B$3:$B$5001,$D$2)))</f>
        <v>0</v>
      </c>
      <c r="X42" s="42">
        <f>IF($B42="","",IF($B$2="Todos",SUMIFS(BD!$W$3:$W$5001,BD!$A$3:$A$5001,$B42),SUMIFS(BD!$W$3:$W$5001,BD!$A$3:$A$5001,$B42,BD!$B$3:$B$5001,$D$2)))</f>
        <v>0</v>
      </c>
      <c r="Y42" s="42">
        <f>IF($B42="","",IF($B$2="Todos",SUMIFS(BD!$X$3:$X$5001,BD!$A$3:$A$5001,$B42),SUMIFS(BD!$X$3:$X$5001,BD!$A$3:$A$5001,$B42,BD!$B$3:$B$5001,$D$2)))</f>
        <v>0</v>
      </c>
      <c r="Z42" s="42">
        <f>IF($B42="","",IF($B$2="Todos",SUMIFS(BD!$Y$3:$Y$5001,BD!$A$3:$A$5001,$B42),SUMIFS(BD!$Y$3:$Y$5001,BD!$A$3:$A$5001,$B42,BD!$B$3:$B$5001,$D$2)))</f>
        <v>0</v>
      </c>
      <c r="AA42" s="42">
        <f>IF($B42="","",IF($B$2="Todos",SUMIFS(BD!$Z$3:$Z$5001,BD!$A$3:$A$5001,$B42),SUMIFS(BD!$Z$3:$Z$5001,BD!$A$3:$A$5001,$B42,BD!$B$3:$B$5001,$D$2)))</f>
        <v>0</v>
      </c>
      <c r="AB42" s="42">
        <f>IF($B42="","",IF($B$2="Todos",SUMIFS(BD!$AA$3:$AA$5001,BD!$A$3:$A$5001,$B42),SUMIFS(BD!$AA$3:$AA$5001,BD!$A$3:$A$5001,$B42,BD!$B$3:$B$5001,$D$2)))</f>
        <v>0</v>
      </c>
      <c r="AC42" s="42">
        <f>IF($B42="","",IF($B$2="Todos",SUMIFS(BD!$AB$3:$AB$5001,BD!$A$3:$A$5001,$B42),SUMIFS(BD!$AB$3:$AB$5001,BD!$A$3:$A$5001,$B42,BD!$B$3:$B$5001,$D$2)))</f>
        <v>0</v>
      </c>
      <c r="AD42" s="61">
        <f>$B$5</f>
        <v>0.7</v>
      </c>
      <c r="AE42" s="61">
        <f>$B$6</f>
        <v>0.9</v>
      </c>
      <c r="AX42" s="72">
        <f>IF(OR($B42="",N(VALUE($AH$366))=0),"",IF(INDEX($C42:$AC42,VALUE($AH$366))="","",IF(N(VALUE($AJ$366))=0,INDEX($C42:$AC42,VALUE($AH$366)),IF(N(INDEX($C42:$AC42,N(VALUE($AJ$366))))&gt;0,INDEX($C42:$AC42,VALUE($AH$366))/INDEX($C42:$AC42,N(VALUE($AJ$366))),""))))</f>
        <v>0</v>
      </c>
      <c r="AY42" s="72">
        <f>IF(OR($B42="",N(VALUE($AI$366))=0),"",IF(INDEX($C42:$AC42,VALUE($AI$366))="","",IF(N(VALUE($AK$366))=0,INDEX($C42:$AC42,VALUE($AI$366)),IF(N(INDEX($C42:$AC42,N(VALUE($AK$366))))&gt;0,INDEX($C42:$AC42,VALUE($AI$366))/INDEX($C42:$AC42,N(VALUE($AK$366))),""))))</f>
        <v>0</v>
      </c>
      <c r="AZ42" s="72">
        <f>IF(OR($B42="",N(VALUE($AP$366))=0),"",IF(INDEX($C42:$AC42,VALUE($AP$366))="","",IF(N(VALUE($AR$366))=0,INDEX($C42:$AC42,VALUE($AP$366)),IF(N(INDEX($C42:$AC42,N(VALUE($AR$366))))&gt;0,INDEX($C42:$AC42,VALUE($AP$366))/INDEX($C42:$AC42,N(VALUE($AR$366))),""))))</f>
        <v>0</v>
      </c>
      <c r="BA42" s="72">
        <f>IF(OR($B42="",N(VALUE($AQ$366))=0),"",IF(INDEX($C42:$AC42,VALUE($AQ$366))="","",IF(N(VALUE($AS$366))=0,INDEX($C42:$AC42,VALUE($AQ$366)),IF(N(INDEX($C42:$AC42,N(VALUE($AS$366))))&gt;0,INDEX($C42:$AC42,VALUE($AQ$366))/INDEX($C42:$AC42,N(VALUE($AS$366))),""))))</f>
        <v>0</v>
      </c>
      <c r="BC42" s="42" t="str">
        <f>IF(AND($A42=$B$9,ISNUMBER(R42)),R42,NA())</f>
        <v/>
      </c>
    </row>
    <row r="43">
      <c r="A43" s="62" t="inlineStr">
        <is>
          <t xml:space="preserve">Realizado no mês (soma · último valor em estoque)</t>
        </is>
      </c>
      <c r="C43" s="64">
        <f>SUM(C12:C42)</f>
        <v>0</v>
      </c>
      <c r="D43" s="64">
        <f>SUM(D12:D42)</f>
        <v>0</v>
      </c>
      <c r="E43" s="70">
        <f>SUM(E12:E42)</f>
        <v>0</v>
      </c>
      <c r="F43" s="64">
        <f>SUM(F12:F42)</f>
        <v>0</v>
      </c>
      <c r="G43" s="64">
        <f>SUM(G12:G42)</f>
        <v>0</v>
      </c>
      <c r="H43" s="64">
        <f>SUM(H12:H42)</f>
        <v>0</v>
      </c>
      <c r="I43" s="64">
        <f>SUM(I12:I42)</f>
        <v>0</v>
      </c>
      <c r="J43" s="70">
        <f>SUM(J12:J42)</f>
        <v>0</v>
      </c>
      <c r="K43" s="64">
        <f>SUM(K12:K42)</f>
        <v>0</v>
      </c>
      <c r="L43" s="64">
        <f>SUM(L12:L42)</f>
        <v>0</v>
      </c>
      <c r="M43" s="64">
        <f>SUM(M12:M42)</f>
        <v>0</v>
      </c>
      <c r="N43" s="64">
        <f>SUM(N12:N42)</f>
        <v>0</v>
      </c>
      <c r="O43" s="64">
        <f>SUM(O12:O42)</f>
        <v>0</v>
      </c>
      <c r="P43" s="64" t="str">
        <f>IFERROR(LOOKUP(9.99E+307,P12:P42),"")</f>
        <v/>
      </c>
      <c r="Q43" s="64" t="str">
        <f>IFERROR(LOOKUP(9.99E+307,Q12:Q42),"")</f>
        <v/>
      </c>
      <c r="R43" s="64" t="str">
        <f>IFERROR(LOOKUP(9.99E+307,R12:R42),"")</f>
        <v/>
      </c>
      <c r="S43" s="64" t="str">
        <f>IFERROR(LOOKUP(9.99E+307,S12:S42),"")</f>
        <v/>
      </c>
      <c r="T43" s="71" t="str">
        <f>IFERROR(LOOKUP(9.99E+307,T12:T42),"")</f>
        <v/>
      </c>
      <c r="U43" s="64" t="str">
        <f>IFERROR(LOOKUP(9.99E+307,U12:U42),"")</f>
        <v/>
      </c>
      <c r="V43" s="64">
        <f>SUM(V12:V42)</f>
        <v>0</v>
      </c>
      <c r="W43" s="70">
        <f>SUM(W12:W42)</f>
        <v>0</v>
      </c>
      <c r="X43" s="64">
        <f>SUM(X12:X42)</f>
        <v>0</v>
      </c>
      <c r="Y43" s="64">
        <f>SUM(Y12:Y42)</f>
        <v>0</v>
      </c>
      <c r="Z43" s="64">
        <f>SUM(Z12:Z42)</f>
        <v>0</v>
      </c>
      <c r="AA43" s="64">
        <f>SUM(AA12:AA42)</f>
        <v>0</v>
      </c>
      <c r="AB43" s="64">
        <f>SUM(AB12:AB42)</f>
        <v>0</v>
      </c>
      <c r="AC43" s="64">
        <f>SUM(AC12:AC42)</f>
        <v>0</v>
      </c>
    </row>
    <row r="44">
      <c r="A44" s="63" t="inlineStr">
        <is>
          <t xml:space="preserve">Média por dia</t>
        </is>
      </c>
      <c r="C44" s="65" t="str">
        <f>IFERROR(AVERAGEIF(C12:C42,"&gt;0"),"")</f>
        <v/>
      </c>
      <c r="D44" s="65" t="str">
        <f>IFERROR(AVERAGEIF(D12:D42,"&gt;0"),"")</f>
        <v/>
      </c>
      <c r="E44" s="65" t="str">
        <f>IFERROR(AVERAGEIF(E12:E42,"&gt;0"),"")</f>
        <v/>
      </c>
      <c r="F44" s="65" t="str">
        <f>IFERROR(AVERAGEIF(F12:F42,"&gt;0"),"")</f>
        <v/>
      </c>
      <c r="G44" s="65" t="str">
        <f>IFERROR(AVERAGEIF(G12:G42,"&gt;0"),"")</f>
        <v/>
      </c>
      <c r="H44" s="65" t="str">
        <f>IFERROR(AVERAGEIF(H12:H42,"&gt;0"),"")</f>
        <v/>
      </c>
      <c r="I44" s="65" t="str">
        <f>IFERROR(AVERAGEIF(I12:I42,"&gt;0"),"")</f>
        <v/>
      </c>
      <c r="J44" s="65" t="str">
        <f>IFERROR(AVERAGEIF(J12:J42,"&gt;0"),"")</f>
        <v/>
      </c>
      <c r="K44" s="65" t="str">
        <f>IFERROR(AVERAGEIF(K12:K42,"&gt;0"),"")</f>
        <v/>
      </c>
      <c r="L44" s="65" t="str">
        <f>IFERROR(AVERAGEIF(L12:L42,"&gt;0"),"")</f>
        <v/>
      </c>
      <c r="M44" s="65" t="str">
        <f>IFERROR(AVERAGEIF(M12:M42,"&gt;0"),"")</f>
        <v/>
      </c>
      <c r="N44" s="65" t="str">
        <f>IFERROR(AVERAGEIF(N12:N42,"&gt;0"),"")</f>
        <v/>
      </c>
      <c r="O44" s="65" t="str">
        <f>IFERROR(AVERAGEIF(O12:O42,"&gt;0"),"")</f>
        <v/>
      </c>
      <c r="P44" s="65" t="str">
        <f>IFERROR(AVERAGE(P12:P42),"")</f>
        <v/>
      </c>
      <c r="Q44" s="65" t="str">
        <f>IFERROR(AVERAGE(Q12:Q42),"")</f>
        <v/>
      </c>
      <c r="R44" s="65" t="str">
        <f>IFERROR(AVERAGE(R12:R42),"")</f>
        <v/>
      </c>
      <c r="S44" s="65" t="str">
        <f>IFERROR(AVERAGE(S12:S42),"")</f>
        <v/>
      </c>
      <c r="T44" s="67" t="str">
        <f>IFERROR(AVERAGE(T12:T42),"")</f>
        <v/>
      </c>
      <c r="U44" s="65" t="str">
        <f>IFERROR(AVERAGE(U12:U42),"")</f>
        <v/>
      </c>
      <c r="V44" s="65" t="str">
        <f>IFERROR(AVERAGEIF(V12:V42,"&gt;0"),"")</f>
        <v/>
      </c>
      <c r="W44" s="65" t="str">
        <f>IFERROR(AVERAGEIF(W12:W42,"&gt;0"),"")</f>
        <v/>
      </c>
      <c r="X44" s="65" t="str">
        <f>IFERROR(AVERAGEIF(X12:X42,"&gt;0"),"")</f>
        <v/>
      </c>
      <c r="Y44" s="65" t="str">
        <f>IFERROR(AVERAGEIF(Y12:Y42,"&gt;0"),"")</f>
        <v/>
      </c>
      <c r="Z44" s="65" t="str">
        <f>IFERROR(AVERAGEIF(Z12:Z42,"&gt;0"),"")</f>
        <v/>
      </c>
      <c r="AA44" s="65" t="str">
        <f>IFERROR(AVERAGEIF(AA12:AA42,"&gt;0"),"")</f>
        <v/>
      </c>
      <c r="AB44" s="65" t="str">
        <f>IFERROR(AVERAGEIF(AB12:AB42,"&gt;0"),"")</f>
        <v/>
      </c>
      <c r="AC44" s="65" t="str">
        <f>IFERROR(AVERAGEIF(AC12:AC42,"&gt;0"),"")</f>
        <v/>
      </c>
    </row>
    <row r="45">
      <c r="A45" s="63" t="inlineStr">
        <is>
          <t xml:space="preserve">Máximo em um dia</t>
        </is>
      </c>
      <c r="C45" s="66">
        <f>IF(COUNT(C12:C42)=0,"",MAX(C12:C42))</f>
        <v>0</v>
      </c>
      <c r="D45" s="66">
        <f>IF(COUNT(D12:D42)=0,"",MAX(D12:D42))</f>
        <v>0</v>
      </c>
      <c r="E45" s="65">
        <f>IF(COUNT(E12:E42)=0,"",MAX(E12:E42))</f>
        <v>0</v>
      </c>
      <c r="F45" s="66">
        <f>IF(COUNT(F12:F42)=0,"",MAX(F12:F42))</f>
        <v>0</v>
      </c>
      <c r="G45" s="66">
        <f>IF(COUNT(G12:G42)=0,"",MAX(G12:G42))</f>
        <v>0</v>
      </c>
      <c r="H45" s="66">
        <f>IF(COUNT(H12:H42)=0,"",MAX(H12:H42))</f>
        <v>0</v>
      </c>
      <c r="I45" s="66">
        <f>IF(COUNT(I12:I42)=0,"",MAX(I12:I42))</f>
        <v>0</v>
      </c>
      <c r="J45" s="65">
        <f>IF(COUNT(J12:J42)=0,"",MAX(J12:J42))</f>
        <v>0</v>
      </c>
      <c r="K45" s="66">
        <f>IF(COUNT(K12:K42)=0,"",MAX(K12:K42))</f>
        <v>0</v>
      </c>
      <c r="L45" s="66">
        <f>IF(COUNT(L12:L42)=0,"",MAX(L12:L42))</f>
        <v>0</v>
      </c>
      <c r="M45" s="66">
        <f>IF(COUNT(M12:M42)=0,"",MAX(M12:M42))</f>
        <v>0</v>
      </c>
      <c r="N45" s="66">
        <f>IF(COUNT(N12:N42)=0,"",MAX(N12:N42))</f>
        <v>0</v>
      </c>
      <c r="O45" s="66">
        <f>IF(COUNT(O12:O42)=0,"",MAX(O12:O42))</f>
        <v>0</v>
      </c>
      <c r="P45" s="66" t="str">
        <f>IF(COUNT(P12:P42)=0,"",MAX(P12:P42))</f>
        <v/>
      </c>
      <c r="Q45" s="66" t="str">
        <f>IF(COUNT(Q12:Q42)=0,"",MAX(Q12:Q42))</f>
        <v/>
      </c>
      <c r="R45" s="66" t="str">
        <f>IF(COUNT(R12:R42)=0,"",MAX(R12:R42))</f>
        <v/>
      </c>
      <c r="S45" s="66" t="str">
        <f>IF(COUNT(S12:S42)=0,"",MAX(S12:S42))</f>
        <v/>
      </c>
      <c r="T45" s="67" t="str">
        <f>IF(COUNT(T12:T42)=0,"",MAX(T12:T42))</f>
        <v/>
      </c>
      <c r="U45" s="66" t="str">
        <f>IF(COUNT(U12:U42)=0,"",MAX(U12:U42))</f>
        <v/>
      </c>
      <c r="V45" s="66">
        <f>IF(COUNT(V12:V42)=0,"",MAX(V12:V42))</f>
        <v>0</v>
      </c>
      <c r="W45" s="65">
        <f>IF(COUNT(W12:W42)=0,"",MAX(W12:W42))</f>
        <v>0</v>
      </c>
      <c r="X45" s="66">
        <f>IF(COUNT(X12:X42)=0,"",MAX(X12:X42))</f>
        <v>0</v>
      </c>
      <c r="Y45" s="66">
        <f>IF(COUNT(Y12:Y42)=0,"",MAX(Y12:Y42))</f>
        <v>0</v>
      </c>
      <c r="Z45" s="66">
        <f>IF(COUNT(Z12:Z42)=0,"",MAX(Z12:Z42))</f>
        <v>0</v>
      </c>
      <c r="AA45" s="66">
        <f>IF(COUNT(AA12:AA42)=0,"",MAX(AA12:AA42))</f>
        <v>0</v>
      </c>
      <c r="AB45" s="66">
        <f>IF(COUNT(AB12:AB42)=0,"",MAX(AB12:AB42))</f>
        <v>0</v>
      </c>
      <c r="AC45" s="66">
        <f>IF(COUNT(AC12:AC42)=0,"",MAX(AC12:AC42))</f>
        <v>0</v>
      </c>
    </row>
    <row r="46">
      <c r="A46" s="63" t="inlineStr">
        <is>
          <t xml:space="preserve">Mês anterior (mesmo intervalo)</t>
        </is>
      </c>
      <c r="C46" s="66" t="str">
        <f>IF($B$9=0,"",IF($B$2="Todos",SUMIFS(BD!$C$3:$C$5001,BD!$A$3:$A$5001,"&gt;="&amp;$C$8,BD!$A$3:$A$5001,"&lt;="&amp;$D$8),SUMIFS(BD!$C$3:$C$5001,BD!$A$3:$A$5001,"&gt;="&amp;$C$8,BD!$A$3:$A$5001,"&lt;="&amp;$D$8,BD!$B$3:$B$5001,$D$2)))</f>
        <v/>
      </c>
      <c r="D46" s="66" t="str">
        <f>IF($B$9=0,"",IF($B$2="Todos",SUMIFS(BD!$D$3:$D$5001,BD!$A$3:$A$5001,"&gt;="&amp;$C$8,BD!$A$3:$A$5001,"&lt;="&amp;$D$8),SUMIFS(BD!$D$3:$D$5001,BD!$A$3:$A$5001,"&gt;="&amp;$C$8,BD!$A$3:$A$5001,"&lt;="&amp;$D$8,BD!$B$3:$B$5001,$D$2)))</f>
        <v/>
      </c>
      <c r="E46" s="65" t="str">
        <f>IF($B$9=0,"",IF($B$2="Todos",SUMIFS(BD!$E$3:$E$5001,BD!$A$3:$A$5001,"&gt;="&amp;$C$8,BD!$A$3:$A$5001,"&lt;="&amp;$D$8),SUMIFS(BD!$E$3:$E$5001,BD!$A$3:$A$5001,"&gt;="&amp;$C$8,BD!$A$3:$A$5001,"&lt;="&amp;$D$8,BD!$B$3:$B$5001,$D$2)))</f>
        <v/>
      </c>
      <c r="F46" s="66" t="str">
        <f>IF($B$9=0,"",IF($B$2="Todos",SUMIFS(BD!$F$3:$F$5001,BD!$A$3:$A$5001,"&gt;="&amp;$C$8,BD!$A$3:$A$5001,"&lt;="&amp;$D$8),SUMIFS(BD!$F$3:$F$5001,BD!$A$3:$A$5001,"&gt;="&amp;$C$8,BD!$A$3:$A$5001,"&lt;="&amp;$D$8,BD!$B$3:$B$5001,$D$2)))</f>
        <v/>
      </c>
      <c r="G46" s="66" t="str">
        <f>IF($B$9=0,"",IF($B$2="Todos",SUMIFS(BD!$G$3:$G$5001,BD!$A$3:$A$5001,"&gt;="&amp;$C$8,BD!$A$3:$A$5001,"&lt;="&amp;$D$8),SUMIFS(BD!$G$3:$G$5001,BD!$A$3:$A$5001,"&gt;="&amp;$C$8,BD!$A$3:$A$5001,"&lt;="&amp;$D$8,BD!$B$3:$B$5001,$D$2)))</f>
        <v/>
      </c>
      <c r="H46" s="66" t="str">
        <f>IF($B$9=0,"",IF($B$2="Todos",SUMIFS(BD!$H$3:$H$5001,BD!$A$3:$A$5001,"&gt;="&amp;$C$8,BD!$A$3:$A$5001,"&lt;="&amp;$D$8),SUMIFS(BD!$H$3:$H$5001,BD!$A$3:$A$5001,"&gt;="&amp;$C$8,BD!$A$3:$A$5001,"&lt;="&amp;$D$8,BD!$B$3:$B$5001,$D$2)))</f>
        <v/>
      </c>
      <c r="I46" s="66" t="str">
        <f>IF($B$9=0,"",IF($B$2="Todos",SUMIFS(BD!$I$3:$I$5001,BD!$A$3:$A$5001,"&gt;="&amp;$C$8,BD!$A$3:$A$5001,"&lt;="&amp;$D$8),SUMIFS(BD!$I$3:$I$5001,BD!$A$3:$A$5001,"&gt;="&amp;$C$8,BD!$A$3:$A$5001,"&lt;="&amp;$D$8,BD!$B$3:$B$5001,$D$2)))</f>
        <v/>
      </c>
      <c r="J46" s="65" t="str">
        <f>IF($B$9=0,"",IF($B$2="Todos",SUMIFS(BD!$J$3:$J$5001,BD!$A$3:$A$5001,"&gt;="&amp;$C$8,BD!$A$3:$A$5001,"&lt;="&amp;$D$8),SUMIFS(BD!$J$3:$J$5001,BD!$A$3:$A$5001,"&gt;="&amp;$C$8,BD!$A$3:$A$5001,"&lt;="&amp;$D$8,BD!$B$3:$B$5001,$D$2)))</f>
        <v/>
      </c>
      <c r="K46" s="66" t="str">
        <f>IF($B$9=0,"",IF($B$2="Todos",SUMIFS(BD!$K$3:$K$5001,BD!$A$3:$A$5001,"&gt;="&amp;$C$8,BD!$A$3:$A$5001,"&lt;="&amp;$D$8),SUMIFS(BD!$K$3:$K$5001,BD!$A$3:$A$5001,"&gt;="&amp;$C$8,BD!$A$3:$A$5001,"&lt;="&amp;$D$8,BD!$B$3:$B$5001,$D$2)))</f>
        <v/>
      </c>
      <c r="L46" s="66" t="str">
        <f>IF($B$9=0,"",IF($B$2="Todos",SUMIFS(BD!$L$3:$L$5001,BD!$A$3:$A$5001,"&gt;="&amp;$C$8,BD!$A$3:$A$5001,"&lt;="&amp;$D$8),SUMIFS(BD!$L$3:$L$5001,BD!$A$3:$A$5001,"&gt;="&amp;$C$8,BD!$A$3:$A$5001,"&lt;="&amp;$D$8,BD!$B$3:$B$5001,$D$2)))</f>
        <v/>
      </c>
      <c r="M46" s="66" t="str">
        <f>IF($B$9=0,"",IF($B$2="Todos",SUMIFS(BD!$M$3:$M$5001,BD!$A$3:$A$5001,"&gt;="&amp;$C$8,BD!$A$3:$A$5001,"&lt;="&amp;$D$8),SUMIFS(BD!$M$3:$M$5001,BD!$A$3:$A$5001,"&gt;="&amp;$C$8,BD!$A$3:$A$5001,"&lt;="&amp;$D$8,BD!$B$3:$B$5001,$D$2)))</f>
        <v/>
      </c>
      <c r="N46" s="66" t="str">
        <f>IF($B$9=0,"",IF($B$2="Todos",SUMIFS(BD!$N$3:$N$5001,BD!$A$3:$A$5001,"&gt;="&amp;$C$8,BD!$A$3:$A$5001,"&lt;="&amp;$D$8),SUMIFS(BD!$N$3:$N$5001,BD!$A$3:$A$5001,"&gt;="&amp;$C$8,BD!$A$3:$A$5001,"&lt;="&amp;$D$8,BD!$B$3:$B$5001,$D$2)))</f>
        <v/>
      </c>
      <c r="O46" s="66" t="str">
        <f>IF($B$9=0,"",IF($B$2="Todos",SUMIFS(BD!$O$3:$O$5001,BD!$A$3:$A$5001,"&gt;="&amp;$C$8,BD!$A$3:$A$5001,"&lt;="&amp;$D$8),SUMIFS(BD!$O$3:$O$5001,BD!$A$3:$A$5001,"&gt;="&amp;$C$8,BD!$A$3:$A$5001,"&lt;="&amp;$D$8,BD!$B$3:$B$5001,$D$2)))</f>
        <v/>
      </c>
      <c r="P46" s="66" t="str">
        <f>IF($B$9=0,"",IF($B$2="Todos",IF(COUNT($C$160:$V$160)=0,"",SUM($C$160:$V$160)),IFERROR(INDEX($C$160:$V$160,MATCH($D$2,$C$128:$V$128,0)),"")))</f>
        <v/>
      </c>
      <c r="Q46" s="66" t="str">
        <f>IF($B$9=0,"",IF($B$2="Todos",IF(COUNT($C$195:$V$195)=0,"",SUM($C$195:$V$195)),IFERROR(INDEX($C$195:$V$195,MATCH($D$2,$C$163:$V$163,0)),"")))</f>
        <v/>
      </c>
      <c r="R46" s="66" t="str">
        <f>IF(S46="","",IF($B$2="Todos",IF($B$4&gt;0,$B$4,IF($B$2="Todos",IF(COUNT($C$265:$V$265)=0,"",SUM($C$265:$V$265)),IFERROR(INDEX($C$265:$V$265,MATCH($D$2,$C$233:$V$233,0)),""))),IFERROR(INDEX($C$265:$V$265,MATCH($D$2,$C$233:$V$233,0)),"")))</f>
        <v/>
      </c>
      <c r="S46" s="66" t="str">
        <f>IF($B$9=0,"",IF($B$2="Todos",IF(COUNT($C$230:$V$230)=0,"",SUM($C$230:$V$230)),IFERROR(INDEX($C$230:$V$230,MATCH($D$2,$C$198:$V$198,0)),"")))</f>
        <v/>
      </c>
      <c r="T46" s="67" t="str">
        <f>IF(AND(ISNUMBER(S46),ISNUMBER(R46)),IF(R46&gt;0,S46/R46,""),"")</f>
        <v/>
      </c>
      <c r="U46" s="66" t="str">
        <f>IF($B$9=0,"",IF($B$2="Todos",IF(COUNT($C$300:$V$300)=0,"",SUM($C$300:$V$300)),IFERROR(INDEX($C$300:$V$300,MATCH($D$2,$C$268:$V$268,0)),"")))</f>
        <v/>
      </c>
      <c r="V46" s="66" t="str">
        <f>IF($B$9=0,"",IF($B$2="Todos",SUMIFS(BD!$U$3:$U$5001,BD!$A$3:$A$5001,"&gt;="&amp;$C$8,BD!$A$3:$A$5001,"&lt;="&amp;$D$8),SUMIFS(BD!$U$3:$U$5001,BD!$A$3:$A$5001,"&gt;="&amp;$C$8,BD!$A$3:$A$5001,"&lt;="&amp;$D$8,BD!$B$3:$B$5001,$D$2)))</f>
        <v/>
      </c>
      <c r="W46" s="65" t="str">
        <f>IF($B$9=0,"",IF($B$2="Todos",SUMIFS(BD!$V$3:$V$5001,BD!$A$3:$A$5001,"&gt;="&amp;$C$8,BD!$A$3:$A$5001,"&lt;="&amp;$D$8),SUMIFS(BD!$V$3:$V$5001,BD!$A$3:$A$5001,"&gt;="&amp;$C$8,BD!$A$3:$A$5001,"&lt;="&amp;$D$8,BD!$B$3:$B$5001,$D$2)))</f>
        <v/>
      </c>
      <c r="X46" s="66" t="str">
        <f>IF($B$9=0,"",IF($B$2="Todos",SUMIFS(BD!$W$3:$W$5001,BD!$A$3:$A$5001,"&gt;="&amp;$C$8,BD!$A$3:$A$5001,"&lt;="&amp;$D$8),SUMIFS(BD!$W$3:$W$5001,BD!$A$3:$A$5001,"&gt;="&amp;$C$8,BD!$A$3:$A$5001,"&lt;="&amp;$D$8,BD!$B$3:$B$5001,$D$2)))</f>
        <v/>
      </c>
      <c r="Y46" s="66" t="str">
        <f>IF($B$9=0,"",IF($B$2="Todos",SUMIFS(BD!$X$3:$X$5001,BD!$A$3:$A$5001,"&gt;="&amp;$C$8,BD!$A$3:$A$5001,"&lt;="&amp;$D$8),SUMIFS(BD!$X$3:$X$5001,BD!$A$3:$A$5001,"&gt;="&amp;$C$8,BD!$A$3:$A$5001,"&lt;="&amp;$D$8,BD!$B$3:$B$5001,$D$2)))</f>
        <v/>
      </c>
      <c r="Z46" s="66" t="str">
        <f>IF($B$9=0,"",IF($B$2="Todos",SUMIFS(BD!$Y$3:$Y$5001,BD!$A$3:$A$5001,"&gt;="&amp;$C$8,BD!$A$3:$A$5001,"&lt;="&amp;$D$8),SUMIFS(BD!$Y$3:$Y$5001,BD!$A$3:$A$5001,"&gt;="&amp;$C$8,BD!$A$3:$A$5001,"&lt;="&amp;$D$8,BD!$B$3:$B$5001,$D$2)))</f>
        <v/>
      </c>
      <c r="AA46" s="66" t="str">
        <f>IF($B$9=0,"",IF($B$2="Todos",SUMIFS(BD!$Z$3:$Z$5001,BD!$A$3:$A$5001,"&gt;="&amp;$C$8,BD!$A$3:$A$5001,"&lt;="&amp;$D$8),SUMIFS(BD!$Z$3:$Z$5001,BD!$A$3:$A$5001,"&gt;="&amp;$C$8,BD!$A$3:$A$5001,"&lt;="&amp;$D$8,BD!$B$3:$B$5001,$D$2)))</f>
        <v/>
      </c>
      <c r="AB46" s="66" t="str">
        <f>IF($B$9=0,"",IF($B$2="Todos",SUMIFS(BD!$AA$3:$AA$5001,BD!$A$3:$A$5001,"&gt;="&amp;$C$8,BD!$A$3:$A$5001,"&lt;="&amp;$D$8),SUMIFS(BD!$AA$3:$AA$5001,BD!$A$3:$A$5001,"&gt;="&amp;$C$8,BD!$A$3:$A$5001,"&lt;="&amp;$D$8,BD!$B$3:$B$5001,$D$2)))</f>
        <v/>
      </c>
      <c r="AC46" s="66" t="str">
        <f>IF($B$9=0,"",IF($B$2="Todos",SUMIFS(BD!$AB$3:$AB$5001,BD!$A$3:$A$5001,"&gt;="&amp;$C$8,BD!$A$3:$A$5001,"&lt;="&amp;$D$8),SUMIFS(BD!$AB$3:$AB$5001,BD!$A$3:$A$5001,"&gt;="&amp;$C$8,BD!$A$3:$A$5001,"&lt;="&amp;$D$8,BD!$B$3:$B$5001,$D$2)))</f>
        <v/>
      </c>
    </row>
    <row r="47">
      <c r="A47" s="63" t="inlineStr">
        <is>
          <t xml:space="preserve">Variação vs mês anterior</t>
        </is>
      </c>
      <c r="C47" s="67" t="str">
        <f>IF(AND(ISNUMBER(C43),ISNUMBER(C46)),IF(C46&lt;&gt;0,C43/C46-1,""),"")</f>
        <v/>
      </c>
      <c r="D47" s="67" t="str">
        <f>IF(AND(ISNUMBER(D43),ISNUMBER(D46)),IF(D46&lt;&gt;0,D43/D46-1,""),"")</f>
        <v/>
      </c>
      <c r="E47" s="67" t="str">
        <f>IF(AND(ISNUMBER(E43),ISNUMBER(E46)),IF(E46&lt;&gt;0,E43/E46-1,""),"")</f>
        <v/>
      </c>
      <c r="F47" s="67" t="str">
        <f>IF(AND(ISNUMBER(F43),ISNUMBER(F46)),IF(F46&lt;&gt;0,F43/F46-1,""),"")</f>
        <v/>
      </c>
      <c r="G47" s="67" t="str">
        <f>IF(AND(ISNUMBER(G43),ISNUMBER(G46)),IF(G46&lt;&gt;0,G43/G46-1,""),"")</f>
        <v/>
      </c>
      <c r="H47" s="67" t="str">
        <f>IF(AND(ISNUMBER(H43),ISNUMBER(H46)),IF(H46&lt;&gt;0,H43/H46-1,""),"")</f>
        <v/>
      </c>
      <c r="I47" s="67" t="str">
        <f>IF(AND(ISNUMBER(I43),ISNUMBER(I46)),IF(I46&lt;&gt;0,I43/I46-1,""),"")</f>
        <v/>
      </c>
      <c r="J47" s="67" t="str">
        <f>IF(AND(ISNUMBER(J43),ISNUMBER(J46)),IF(J46&lt;&gt;0,J43/J46-1,""),"")</f>
        <v/>
      </c>
      <c r="K47" s="67" t="str">
        <f>IF(AND(ISNUMBER(K43),ISNUMBER(K46)),IF(K46&lt;&gt;0,K43/K46-1,""),"")</f>
        <v/>
      </c>
      <c r="L47" s="67" t="str">
        <f>IF(AND(ISNUMBER(L43),ISNUMBER(L46)),IF(L46&lt;&gt;0,L43/L46-1,""),"")</f>
        <v/>
      </c>
      <c r="M47" s="67" t="str">
        <f>IF(AND(ISNUMBER(M43),ISNUMBER(M46)),IF(M46&lt;&gt;0,M43/M46-1,""),"")</f>
        <v/>
      </c>
      <c r="N47" s="67" t="str">
        <f>IF(AND(ISNUMBER(N43),ISNUMBER(N46)),IF(N46&lt;&gt;0,N43/N46-1,""),"")</f>
        <v/>
      </c>
      <c r="O47" s="67" t="str">
        <f>IF(AND(ISNUMBER(O43),ISNUMBER(O46)),IF(O46&lt;&gt;0,O43/O46-1,""),"")</f>
        <v/>
      </c>
      <c r="P47" s="67" t="str">
        <f>IF(AND(ISNUMBER(P43),ISNUMBER(P46)),IF(P46&lt;&gt;0,P43/P46-1,""),"")</f>
        <v/>
      </c>
      <c r="Q47" s="67" t="str">
        <f>IF(AND(ISNUMBER(Q43),ISNUMBER(Q46)),IF(Q46&lt;&gt;0,Q43/Q46-1,""),"")</f>
        <v/>
      </c>
      <c r="R47" s="67" t="str">
        <f>IF(AND(ISNUMBER(R43),ISNUMBER(R46)),IF(R46&lt;&gt;0,R43/R46-1,""),"")</f>
        <v/>
      </c>
      <c r="S47" s="67" t="str">
        <f>IF(AND(ISNUMBER(S43),ISNUMBER(S46)),IF(S46&lt;&gt;0,S43/S46-1,""),"")</f>
        <v/>
      </c>
      <c r="T47" s="67" t="str">
        <f>IF(AND(ISNUMBER(T43),ISNUMBER(T46)),IF(T46&lt;&gt;0,T43/T46-1,""),"")</f>
        <v/>
      </c>
      <c r="U47" s="67" t="str">
        <f>IF(AND(ISNUMBER(U43),ISNUMBER(U46)),IF(U46&lt;&gt;0,U43/U46-1,""),"")</f>
        <v/>
      </c>
      <c r="V47" s="67" t="str">
        <f>IF(AND(ISNUMBER(V43),ISNUMBER(V46)),IF(V46&lt;&gt;0,V43/V46-1,""),"")</f>
        <v/>
      </c>
      <c r="W47" s="67" t="str">
        <f>IF(AND(ISNUMBER(W43),ISNUMBER(W46)),IF(W46&lt;&gt;0,W43/W46-1,""),"")</f>
        <v/>
      </c>
      <c r="X47" s="67" t="str">
        <f>IF(AND(ISNUMBER(X43),ISNUMBER(X46)),IF(X46&lt;&gt;0,X43/X46-1,""),"")</f>
        <v/>
      </c>
      <c r="Y47" s="67" t="str">
        <f>IF(AND(ISNUMBER(Y43),ISNUMBER(Y46)),IF(Y46&lt;&gt;0,Y43/Y46-1,""),"")</f>
        <v/>
      </c>
      <c r="Z47" s="67" t="str">
        <f>IF(AND(ISNUMBER(Z43),ISNUMBER(Z46)),IF(Z46&lt;&gt;0,Z43/Z46-1,""),"")</f>
        <v/>
      </c>
      <c r="AA47" s="67" t="str">
        <f>IF(AND(ISNUMBER(AA43),ISNUMBER(AA46)),IF(AA46&lt;&gt;0,AA43/AA46-1,""),"")</f>
        <v/>
      </c>
      <c r="AB47" s="67" t="str">
        <f>IF(AND(ISNUMBER(AB43),ISNUMBER(AB46)),IF(AB46&lt;&gt;0,AB43/AB46-1,""),"")</f>
        <v/>
      </c>
      <c r="AC47" s="67" t="str">
        <f>IF(AND(ISNUMBER(AC43),ISNUMBER(AC46)),IF(AC46&lt;&gt;0,AC43/AC46-1,""),"")</f>
        <v/>
      </c>
    </row>
    <row r="48">
      <c r="A48" s="63" t="inlineStr">
        <is>
          <t xml:space="preserve">Meta (seleção)</t>
        </is>
      </c>
      <c r="C48" s="66" t="str">
        <f>IFERROR(1/(1/INDEX(BD!$AF$23:$AZ$23,MATCH($B$2,BD!$AF$22:$AZ$22,0))),"")</f>
        <v/>
      </c>
      <c r="D48" s="66" t="str">
        <f>IFERROR(1/(1/INDEX(BD!$AF$24:$AZ$24,MATCH($B$2,BD!$AF$22:$AZ$22,0))),"")</f>
        <v/>
      </c>
      <c r="E48" s="66" t="str">
        <f>IFERROR(1/(1/INDEX(BD!$AF$25:$AZ$25,MATCH($B$2,BD!$AF$22:$AZ$22,0))),"")</f>
        <v/>
      </c>
      <c r="F48" s="66" t="str">
        <f>IFERROR(1/(1/INDEX(BD!$AF$26:$AZ$26,MATCH($B$2,BD!$AF$22:$AZ$22,0))),"")</f>
        <v/>
      </c>
      <c r="G48" s="66" t="str">
        <f>IFERROR(1/(1/INDEX(BD!$AF$27:$AZ$27,MATCH($B$2,BD!$AF$22:$AZ$22,0))),"")</f>
        <v/>
      </c>
      <c r="H48" s="66" t="str">
        <f>IFERROR(1/(1/INDEX(BD!$AF$28:$AZ$28,MATCH($B$2,BD!$AF$22:$AZ$22,0))),"")</f>
        <v/>
      </c>
      <c r="I48" s="66" t="str">
        <f>IFERROR(1/(1/INDEX(BD!$AF$29:$AZ$29,MATCH($B$2,BD!$AF$22:$AZ$22,0))),"")</f>
        <v/>
      </c>
      <c r="J48" s="66" t="str">
        <f>IFERROR(1/(1/INDEX(BD!$AF$30:$AZ$30,MATCH($B$2,BD!$AF$22:$AZ$22,0))),"")</f>
        <v/>
      </c>
      <c r="K48" s="66" t="str">
        <f>IFERROR(1/(1/INDEX(BD!$AF$31:$AZ$31,MATCH($B$2,BD!$AF$22:$AZ$22,0))),"")</f>
        <v/>
      </c>
      <c r="L48" s="66" t="str">
        <f>IFERROR(1/(1/INDEX(BD!$AF$32:$AZ$32,MATCH($B$2,BD!$AF$22:$AZ$22,0))),"")</f>
        <v/>
      </c>
      <c r="M48" s="66" t="str">
        <f>IFERROR(1/(1/INDEX(BD!$AF$33:$AZ$33,MATCH($B$2,BD!$AF$22:$AZ$22,0))),"")</f>
        <v/>
      </c>
      <c r="N48" s="66" t="str">
        <f>IFERROR(1/(1/INDEX(BD!$AF$34:$AZ$34,MATCH($B$2,BD!$AF$22:$AZ$22,0))),"")</f>
        <v/>
      </c>
      <c r="O48" s="66" t="str">
        <f>IFERROR(1/(1/INDEX(BD!$AF$35:$AZ$35,MATCH($B$2,BD!$AF$22:$AZ$22,0))),"")</f>
        <v/>
      </c>
      <c r="P48" s="66" t="str">
        <f>IFERROR(1/(1/INDEX(BD!$AF$36:$AZ$36,MATCH($B$2,BD!$AF$22:$AZ$22,0))),"")</f>
        <v/>
      </c>
      <c r="Q48" s="66" t="str">
        <f>IFERROR(1/(1/INDEX(BD!$AF$37:$AZ$37,MATCH($B$2,BD!$AF$22:$AZ$22,0))),"")</f>
        <v/>
      </c>
      <c r="R48" s="66" t="str">
        <f>IFERROR(1/(1/INDEX(BD!$AF$38:$AZ$38,MATCH($B$2,BD!$AF$22:$AZ$22,0))),"")</f>
        <v/>
      </c>
      <c r="S48" s="66" t="str">
        <f>IFERROR(1/(1/INDEX(BD!$AF$39:$AZ$39,MATCH($B$2,BD!$AF$22:$AZ$22,0))),"")</f>
        <v/>
      </c>
      <c r="T48" s="68" t="str">
        <f>IFERROR(1/(1/INDEX(BD!$AF$40:$AZ$40,MATCH($B$2,BD!$AF$22:$AZ$22,0))),"")</f>
        <v/>
      </c>
      <c r="U48" s="66" t="str">
        <f>IFERROR(1/(1/INDEX(BD!$AF$41:$AZ$41,MATCH($B$2,BD!$AF$22:$AZ$22,0))),"")</f>
        <v/>
      </c>
      <c r="V48" s="66" t="str">
        <f>IFERROR(1/(1/INDEX(BD!$AF$42:$AZ$42,MATCH($B$2,BD!$AF$22:$AZ$22,0))),"")</f>
        <v/>
      </c>
      <c r="W48" s="66" t="str">
        <f>IFERROR(1/(1/INDEX(BD!$AF$43:$AZ$43,MATCH($B$2,BD!$AF$22:$AZ$22,0))),"")</f>
        <v/>
      </c>
      <c r="X48" s="66" t="str">
        <f>IFERROR(1/(1/INDEX(BD!$AF$44:$AZ$44,MATCH($B$2,BD!$AF$22:$AZ$22,0))),"")</f>
        <v/>
      </c>
      <c r="Y48" s="66" t="str">
        <f>IFERROR(1/(1/INDEX(BD!$AF$45:$AZ$45,MATCH($B$2,BD!$AF$22:$AZ$22,0))),"")</f>
        <v/>
      </c>
      <c r="Z48" s="66" t="str">
        <f>IFERROR(1/(1/INDEX(BD!$AF$46:$AZ$46,MATCH($B$2,BD!$AF$22:$AZ$22,0))),"")</f>
        <v/>
      </c>
      <c r="AA48" s="66" t="str">
        <f>IFERROR(1/(1/INDEX(BD!$AF$47:$AZ$47,MATCH($B$2,BD!$AF$22:$AZ$22,0))),"")</f>
        <v/>
      </c>
      <c r="AB48" s="66" t="str">
        <f>IFERROR(1/(1/INDEX(BD!$AF$48:$AZ$48,MATCH($B$2,BD!$AF$22:$AZ$22,0))),"")</f>
        <v/>
      </c>
      <c r="AC48" s="66" t="str">
        <f>IFERROR(1/(1/INDEX(BD!$AF$49:$AZ$49,MATCH($B$2,BD!$AF$22:$AZ$22,0))),"")</f>
        <v/>
      </c>
    </row>
    <row r="49">
      <c r="A49" s="63" t="inlineStr">
        <is>
          <t xml:space="preserve">% da meta</t>
        </is>
      </c>
      <c r="C49" s="68" t="str">
        <f>IF(AND(ISNUMBER(C48),ISNUMBER(C43)),IF(C48&gt;0,C43/C48,""),"")</f>
        <v/>
      </c>
      <c r="D49" s="68" t="str">
        <f>IF(AND(ISNUMBER(D48),ISNUMBER(D43)),IF(D48&gt;0,D43/D48,""),"")</f>
        <v/>
      </c>
      <c r="E49" s="68" t="str">
        <f>IF(AND(ISNUMBER(E48),ISNUMBER(E43)),IF(E48&gt;0,E43/E48,""),"")</f>
        <v/>
      </c>
      <c r="F49" s="68" t="str">
        <f>IF(AND(ISNUMBER(F48),ISNUMBER(F43)),IF(F48&gt;0,F43/F48,""),"")</f>
        <v/>
      </c>
      <c r="G49" s="68" t="str">
        <f>IF(AND(ISNUMBER(G48),ISNUMBER(G43)),IF(G48&gt;0,G43/G48,""),"")</f>
        <v/>
      </c>
      <c r="H49" s="68" t="str">
        <f>IF(AND(ISNUMBER(H48),ISNUMBER(H43)),IF(H48&gt;0,H43/H48,""),"")</f>
        <v/>
      </c>
      <c r="I49" s="68" t="str">
        <f>IF(AND(ISNUMBER(I48),ISNUMBER(I43)),IF(I48&gt;0,I43/I48,""),"")</f>
        <v/>
      </c>
      <c r="J49" s="68" t="str">
        <f>IF(AND(ISNUMBER(J48),ISNUMBER(J43)),IF(J48&gt;0,J43/J48,""),"")</f>
        <v/>
      </c>
      <c r="K49" s="68" t="str">
        <f>IF(AND(ISNUMBER(K48),ISNUMBER(K43)),IF(K48&gt;0,K43/K48,""),"")</f>
        <v/>
      </c>
      <c r="L49" s="68" t="str">
        <f>IF(AND(ISNUMBER(L48),ISNUMBER(L43)),IF(L48&gt;0,L43/L48,""),"")</f>
        <v/>
      </c>
      <c r="M49" s="68" t="str">
        <f>IF(AND(ISNUMBER(M48),ISNUMBER(M43)),IF(M48&gt;0,M43/M48,""),"")</f>
        <v/>
      </c>
      <c r="N49" s="68" t="str">
        <f>IF(AND(ISNUMBER(N48),ISNUMBER(N43)),IF(N48&gt;0,N43/N48,""),"")</f>
        <v/>
      </c>
      <c r="O49" s="68" t="str">
        <f>IF(AND(ISNUMBER(O48),ISNUMBER(O43)),IF(O48&gt;0,O43/O48,""),"")</f>
        <v/>
      </c>
      <c r="P49" s="68" t="str">
        <f>IF(AND(ISNUMBER(P48),ISNUMBER(P43)),IF(P48&gt;0,P43/P48,""),"")</f>
        <v/>
      </c>
      <c r="Q49" s="68" t="str">
        <f>IF(AND(ISNUMBER(Q48),ISNUMBER(Q43)),IF(Q48&gt;0,Q43/Q48,""),"")</f>
        <v/>
      </c>
      <c r="R49" s="68" t="str">
        <f>IF(AND(ISNUMBER(R48),ISNUMBER(R43)),IF(R48&gt;0,R43/R48,""),"")</f>
        <v/>
      </c>
      <c r="S49" s="68" t="str">
        <f>IF(AND(ISNUMBER(S48),ISNUMBER(S43)),IF(S48&gt;0,S43/S48,""),"")</f>
        <v/>
      </c>
      <c r="T49" s="68" t="str">
        <f>IF(AND(ISNUMBER(T48),ISNUMBER(T43)),IF(T48&gt;0,T43/T48,""),"")</f>
        <v/>
      </c>
      <c r="U49" s="68" t="str">
        <f>IF(AND(ISNUMBER(U48),ISNUMBER(U43)),IF(U48&gt;0,U43/U48,""),"")</f>
        <v/>
      </c>
      <c r="V49" s="68" t="str">
        <f>IF(AND(ISNUMBER(V48),ISNUMBER(V43)),IF(V48&gt;0,V43/V48,""),"")</f>
        <v/>
      </c>
      <c r="W49" s="68" t="str">
        <f>IF(AND(ISNUMBER(W48),ISNUMBER(W43)),IF(W48&gt;0,W43/W48,""),"")</f>
        <v/>
      </c>
      <c r="X49" s="68" t="str">
        <f>IF(AND(ISNUMBER(X48),ISNUMBER(X43)),IF(X48&gt;0,X43/X48,""),"")</f>
        <v/>
      </c>
      <c r="Y49" s="68" t="str">
        <f>IF(AND(ISNUMBER(Y48),ISNUMBER(Y43)),IF(Y48&gt;0,Y43/Y48,""),"")</f>
        <v/>
      </c>
      <c r="Z49" s="68" t="str">
        <f>IF(AND(ISNUMBER(Z48),ISNUMBER(Z43)),IF(Z48&gt;0,Z43/Z48,""),"")</f>
        <v/>
      </c>
      <c r="AA49" s="68" t="str">
        <f>IF(AND(ISNUMBER(AA48),ISNUMBER(AA43)),IF(AA48&gt;0,AA43/AA48,""),"")</f>
        <v/>
      </c>
      <c r="AB49" s="68" t="str">
        <f>IF(AND(ISNUMBER(AB48),ISNUMBER(AB43)),IF(AB48&gt;0,AB43/AB48,""),"")</f>
        <v/>
      </c>
      <c r="AC49" s="68" t="str">
        <f>IF(AND(ISNUMBER(AC48),ISNUMBER(AC43)),IF(AC48&gt;0,AC43/AC48,""),"")</f>
        <v/>
      </c>
    </row>
    <row r="50">
      <c r="A50" s="63" t="inlineStr">
        <is>
          <t xml:space="preserve">Status</t>
        </is>
      </c>
      <c r="C50" s="69" t="str">
        <f>IF(ISNUMBER(C49),IF(C49&gt;=1,"meta atingida","abaixo da meta"),"")</f>
        <v/>
      </c>
      <c r="D50" s="69" t="str">
        <f>IF(ISNUMBER(D49),IF(D49&gt;=1,"meta atingida","abaixo da meta"),"")</f>
        <v/>
      </c>
      <c r="E50" s="69" t="str">
        <f>IF(ISNUMBER(E49),IF(E49&gt;=1,"meta atingida","abaixo da meta"),"")</f>
        <v/>
      </c>
      <c r="F50" s="69" t="str">
        <f>IF(ISNUMBER(F49),IF(F49&gt;=1,"meta atingida","abaixo da meta"),"")</f>
        <v/>
      </c>
      <c r="G50" s="69" t="str">
        <f>IF(ISNUMBER(G49),IF(G49&gt;=1,"meta atingida","abaixo da meta"),"")</f>
        <v/>
      </c>
      <c r="H50" s="69" t="str">
        <f>IF(ISNUMBER(H49),IF(H49&gt;=1,"meta atingida","abaixo da meta"),"")</f>
        <v/>
      </c>
      <c r="I50" s="69" t="str">
        <f>IF(ISNUMBER(I49),IF(I49&gt;=1,"meta atingida","abaixo da meta"),"")</f>
        <v/>
      </c>
      <c r="J50" s="69" t="str">
        <f>IF(ISNUMBER(J49),IF(J49&gt;=1,"meta atingida","abaixo da meta"),"")</f>
        <v/>
      </c>
      <c r="K50" s="69" t="str">
        <f>IF(ISNUMBER(K49),IF(K49&gt;=1,"meta atingida","abaixo da meta"),"")</f>
        <v/>
      </c>
      <c r="L50" s="69" t="str">
        <f>IF(ISNUMBER(L49),IF(L49&gt;=1,"meta atingida","abaixo da meta"),"")</f>
        <v/>
      </c>
      <c r="M50" s="69" t="str">
        <f>IF(ISNUMBER(M49),IF(M49&gt;=1,"meta atingida","abaixo da meta"),"")</f>
        <v/>
      </c>
      <c r="N50" s="69" t="str">
        <f>IF(AND(ISNUMBER(N48),ISNUMBER(N43)),IF(N43&lt;=N48,"dentro do limite","acima do limite"),"")</f>
        <v/>
      </c>
      <c r="O50" s="69" t="str">
        <f>IF(AND(ISNUMBER(O48),ISNUMBER(O43)),IF(O43&lt;=O48,"dentro do limite","acima do limite"),"")</f>
        <v/>
      </c>
      <c r="P50" s="69" t="str">
        <f>IF(AND(ISNUMBER(P48),ISNUMBER(P43)),IF(P43&lt;=P48,"dentro do limite","acima do limite"),"")</f>
        <v/>
      </c>
      <c r="Q50" s="69" t="str">
        <f>IF(AND(ISNUMBER(Q48),ISNUMBER(Q43)),IF(Q43&lt;=Q48,"dentro do limite","acima do limite"),"")</f>
        <v/>
      </c>
      <c r="R50" s="69" t="str">
        <f>IF(ISNUMBER(R49),IF(R49&gt;=1,"meta atingida","abaixo da meta"),"")</f>
        <v/>
      </c>
      <c r="S50" s="69" t="str">
        <f>IF(ISNUMBER(S49),IF(S49&gt;=1,"meta atingida","abaixo da meta"),"")</f>
        <v/>
      </c>
      <c r="T50" s="69" t="str">
        <f>IF(ISNUMBER(T43),IF(T43&gt;1,"excede o contratado",IF(T43&gt;=$B$6,"ocupação alta",IF(T43&gt;=$B$5,"ocupação média","ociosidade alta"))),"")</f>
        <v/>
      </c>
      <c r="U50" s="69" t="str">
        <f>IF(ISNUMBER(U49),IF(U49&gt;=1,"meta atingida","abaixo da meta"),"")</f>
        <v/>
      </c>
      <c r="V50" s="69" t="str">
        <f>IF(AND(ISNUMBER(V48),ISNUMBER(V43)),IF(V43&lt;=V48,"dentro do limite","acima do limite"),"")</f>
        <v/>
      </c>
      <c r="W50" s="69" t="str">
        <f>IF(AND(ISNUMBER(W48),ISNUMBER(W43)),IF(W43&lt;=W48,"dentro do limite","acima do limite"),"")</f>
        <v/>
      </c>
      <c r="X50" s="69" t="str">
        <f>IF(ISNUMBER(X49),IF(X49&gt;=1,"meta atingida","abaixo da meta"),"")</f>
        <v/>
      </c>
      <c r="Y50" s="69" t="str">
        <f>IF(ISNUMBER(Y49),IF(Y49&gt;=1,"meta atingida","abaixo da meta"),"")</f>
        <v/>
      </c>
      <c r="Z50" s="69" t="str">
        <f>IF(AND(ISNUMBER(Z48),ISNUMBER(Z43)),IF(Z43&lt;=Z48,"dentro do limite","acima do limite"),"")</f>
        <v/>
      </c>
      <c r="AA50" s="69" t="str">
        <f>IF(AND(ISNUMBER(AA48),ISNUMBER(AA43)),IF(AA43&lt;=AA48,"dentro do limite","acima do limite"),"")</f>
        <v/>
      </c>
      <c r="AB50" s="69" t="str">
        <f>IF(AND(ISNUMBER(AB48),ISNUMBER(AB43)),IF(AB43&lt;=AB48,"dentro do limite","acima do limite"),"")</f>
        <v/>
      </c>
      <c r="AC50" s="69" t="str">
        <f>IF(AND(ISNUMBER(AC48),ISNUMBER(AC43)),IF(AC43&lt;=AC48,"dentro do limite","acima do limite"),"")</f>
        <v/>
      </c>
    </row>
    <row r="85">
      <c r="A85" s="52" t="inlineStr">
        <is>
          <t xml:space="preserve">ACUMULADO SEMANAL — toneladas e pallets (seguem o filtro; mês do gráfico)</t>
        </is>
      </c>
    </row>
    <row r="86">
      <c r="A86" s="47" t="inlineStr">
        <is>
          <t xml:space="preserve">Semana</t>
        </is>
      </c>
      <c r="B86" s="47" t="inlineStr">
        <is>
          <t xml:space="preserve">Do dia</t>
        </is>
      </c>
      <c r="C86" s="47" t="inlineStr">
        <is>
          <t xml:space="preserve">Ao dia</t>
        </is>
      </c>
      <c r="D86" s="47" t="inlineStr">
        <is>
          <t xml:space="preserve">IN tons</t>
        </is>
      </c>
      <c r="E86" s="47" t="inlineStr">
        <is>
          <t xml:space="preserve">OUT tons</t>
        </is>
      </c>
      <c r="F86" s="47" t="inlineStr">
        <is>
          <t xml:space="preserve">IN pallets</t>
        </is>
      </c>
      <c r="G86" s="47" t="inlineStr">
        <is>
          <t xml:space="preserve">OUT pallets</t>
        </is>
      </c>
      <c r="AX86" s="47" t="inlineStr">
        <is>
          <t xml:space="preserve">Gráf A IN (semanal)</t>
        </is>
      </c>
      <c r="AY86" s="47" t="inlineStr">
        <is>
          <t xml:space="preserve">Gráf A OUT (semanal)</t>
        </is>
      </c>
      <c r="AZ86" s="47" t="inlineStr">
        <is>
          <t xml:space="preserve">Gráf B IN (semanal)</t>
        </is>
      </c>
      <c r="BA86" s="47" t="inlineStr">
        <is>
          <t xml:space="preserve">Gráf B OUT (semanal)</t>
        </is>
      </c>
    </row>
    <row r="87">
      <c r="A87" s="40" t="inlineStr">
        <is>
          <t xml:space="preserve">Sem 1 (01–07)</t>
        </is>
      </c>
      <c r="B87" s="39">
        <v>1</v>
      </c>
      <c r="C87" s="39">
        <v>7</v>
      </c>
      <c r="D87" s="72">
        <f>SUMIFS(E12:E42,A12:A42,"&gt;="&amp;$B87,A12:A42,"&lt;="&amp;$C87)</f>
        <v>0</v>
      </c>
      <c r="E87" s="72">
        <f>SUMIFS(J12:J42,A12:A42,"&gt;="&amp;$B87,A12:A42,"&lt;="&amp;$C87)</f>
        <v>0</v>
      </c>
      <c r="F87" s="42">
        <f>SUMIFS(D12:D42,A12:A42,"&gt;="&amp;$B87,A12:A42,"&lt;="&amp;$C87)</f>
        <v>0</v>
      </c>
      <c r="G87" s="42">
        <f>SUMIFS(I12:I42,A12:A42,"&gt;="&amp;$B87,A12:A42,"&lt;="&amp;$C87)</f>
        <v>0</v>
      </c>
      <c r="AX87" s="72">
        <f>IF(N(VALUE($AH$366))=0,"",IF(N(VALUE($AJ$366))=0,SUMIFS(AX$12:AX$42,$A$12:$A$42,"&gt;="&amp;$B87,$A$12:$A$42,"&lt;="&amp;$C87),IF(SUMIFS(INDEX($C$12:$AC$42,0,N(VALUE($AJ$366))),$A$12:$A$42,"&gt;="&amp;$B87,$A$12:$A$42,"&lt;="&amp;$C87)&gt;0,SUMIFS(INDEX($C$12:$AC$42,0,VALUE($AH$366)),$A$12:$A$42,"&gt;="&amp;$B87,$A$12:$A$42,"&lt;="&amp;$C87)/SUMIFS(INDEX($C$12:$AC$42,0,N(VALUE($AJ$366))),$A$12:$A$42,"&gt;="&amp;$B87,$A$12:$A$42,"&lt;="&amp;$C87),"")))</f>
        <v>0</v>
      </c>
      <c r="AY87" s="72">
        <f>IF(N(VALUE($AI$366))=0,"",IF(N(VALUE($AK$366))=0,SUMIFS(AY$12:AY$42,$A$12:$A$42,"&gt;="&amp;$B87,$A$12:$A$42,"&lt;="&amp;$C87),IF(SUMIFS(INDEX($C$12:$AC$42,0,N(VALUE($AK$366))),$A$12:$A$42,"&gt;="&amp;$B87,$A$12:$A$42,"&lt;="&amp;$C87)&gt;0,SUMIFS(INDEX($C$12:$AC$42,0,VALUE($AI$366)),$A$12:$A$42,"&gt;="&amp;$B87,$A$12:$A$42,"&lt;="&amp;$C87)/SUMIFS(INDEX($C$12:$AC$42,0,N(VALUE($AK$366))),$A$12:$A$42,"&gt;="&amp;$B87,$A$12:$A$42,"&lt;="&amp;$C87),"")))</f>
        <v>0</v>
      </c>
      <c r="AZ87" s="72">
        <f>IF(N(VALUE($AP$366))=0,"",IF(N(VALUE($AR$366))=0,SUMIFS(AZ$12:AZ$42,$A$12:$A$42,"&gt;="&amp;$B87,$A$12:$A$42,"&lt;="&amp;$C87),IF(SUMIFS(INDEX($C$12:$AC$42,0,N(VALUE($AR$366))),$A$12:$A$42,"&gt;="&amp;$B87,$A$12:$A$42,"&lt;="&amp;$C87)&gt;0,SUMIFS(INDEX($C$12:$AC$42,0,VALUE($AP$366)),$A$12:$A$42,"&gt;="&amp;$B87,$A$12:$A$42,"&lt;="&amp;$C87)/SUMIFS(INDEX($C$12:$AC$42,0,N(VALUE($AR$366))),$A$12:$A$42,"&gt;="&amp;$B87,$A$12:$A$42,"&lt;="&amp;$C87),"")))</f>
        <v>0</v>
      </c>
      <c r="BA87" s="72">
        <f>IF(N(VALUE($AQ$366))=0,"",IF(N(VALUE($AS$366))=0,SUMIFS(BA$12:BA$42,$A$12:$A$42,"&gt;="&amp;$B87,$A$12:$A$42,"&lt;="&amp;$C87),IF(SUMIFS(INDEX($C$12:$AC$42,0,N(VALUE($AS$366))),$A$12:$A$42,"&gt;="&amp;$B87,$A$12:$A$42,"&lt;="&amp;$C87)&gt;0,SUMIFS(INDEX($C$12:$AC$42,0,VALUE($AQ$366)),$A$12:$A$42,"&gt;="&amp;$B87,$A$12:$A$42,"&lt;="&amp;$C87)/SUMIFS(INDEX($C$12:$AC$42,0,N(VALUE($AS$366))),$A$12:$A$42,"&gt;="&amp;$B87,$A$12:$A$42,"&lt;="&amp;$C87),"")))</f>
        <v>0</v>
      </c>
    </row>
    <row r="88">
      <c r="A88" s="40" t="inlineStr">
        <is>
          <t xml:space="preserve">Sem 2 (08–14)</t>
        </is>
      </c>
      <c r="B88" s="39">
        <v>8</v>
      </c>
      <c r="C88" s="39">
        <v>14</v>
      </c>
      <c r="D88" s="72">
        <f>SUMIFS(E12:E42,A12:A42,"&gt;="&amp;$B88,A12:A42,"&lt;="&amp;$C88)</f>
        <v>0</v>
      </c>
      <c r="E88" s="72">
        <f>SUMIFS(J12:J42,A12:A42,"&gt;="&amp;$B88,A12:A42,"&lt;="&amp;$C88)</f>
        <v>0</v>
      </c>
      <c r="F88" s="42">
        <f>SUMIFS(D12:D42,A12:A42,"&gt;="&amp;$B88,A12:A42,"&lt;="&amp;$C88)</f>
        <v>0</v>
      </c>
      <c r="G88" s="42">
        <f>SUMIFS(I12:I42,A12:A42,"&gt;="&amp;$B88,A12:A42,"&lt;="&amp;$C88)</f>
        <v>0</v>
      </c>
      <c r="AX88" s="72">
        <f>IF(N(VALUE($AH$366))=0,"",IF(N(VALUE($AJ$366))=0,SUMIFS(AX$12:AX$42,$A$12:$A$42,"&gt;="&amp;$B88,$A$12:$A$42,"&lt;="&amp;$C88),IF(SUMIFS(INDEX($C$12:$AC$42,0,N(VALUE($AJ$366))),$A$12:$A$42,"&gt;="&amp;$B88,$A$12:$A$42,"&lt;="&amp;$C88)&gt;0,SUMIFS(INDEX($C$12:$AC$42,0,VALUE($AH$366)),$A$12:$A$42,"&gt;="&amp;$B88,$A$12:$A$42,"&lt;="&amp;$C88)/SUMIFS(INDEX($C$12:$AC$42,0,N(VALUE($AJ$366))),$A$12:$A$42,"&gt;="&amp;$B88,$A$12:$A$42,"&lt;="&amp;$C88),"")))</f>
        <v>0</v>
      </c>
      <c r="AY88" s="72">
        <f>IF(N(VALUE($AI$366))=0,"",IF(N(VALUE($AK$366))=0,SUMIFS(AY$12:AY$42,$A$12:$A$42,"&gt;="&amp;$B88,$A$12:$A$42,"&lt;="&amp;$C88),IF(SUMIFS(INDEX($C$12:$AC$42,0,N(VALUE($AK$366))),$A$12:$A$42,"&gt;="&amp;$B88,$A$12:$A$42,"&lt;="&amp;$C88)&gt;0,SUMIFS(INDEX($C$12:$AC$42,0,VALUE($AI$366)),$A$12:$A$42,"&gt;="&amp;$B88,$A$12:$A$42,"&lt;="&amp;$C88)/SUMIFS(INDEX($C$12:$AC$42,0,N(VALUE($AK$366))),$A$12:$A$42,"&gt;="&amp;$B88,$A$12:$A$42,"&lt;="&amp;$C88),"")))</f>
        <v>0</v>
      </c>
      <c r="AZ88" s="72">
        <f>IF(N(VALUE($AP$366))=0,"",IF(N(VALUE($AR$366))=0,SUMIFS(AZ$12:AZ$42,$A$12:$A$42,"&gt;="&amp;$B88,$A$12:$A$42,"&lt;="&amp;$C88),IF(SUMIFS(INDEX($C$12:$AC$42,0,N(VALUE($AR$366))),$A$12:$A$42,"&gt;="&amp;$B88,$A$12:$A$42,"&lt;="&amp;$C88)&gt;0,SUMIFS(INDEX($C$12:$AC$42,0,VALUE($AP$366)),$A$12:$A$42,"&gt;="&amp;$B88,$A$12:$A$42,"&lt;="&amp;$C88)/SUMIFS(INDEX($C$12:$AC$42,0,N(VALUE($AR$366))),$A$12:$A$42,"&gt;="&amp;$B88,$A$12:$A$42,"&lt;="&amp;$C88),"")))</f>
        <v>0</v>
      </c>
      <c r="BA88" s="72">
        <f>IF(N(VALUE($AQ$366))=0,"",IF(N(VALUE($AS$366))=0,SUMIFS(BA$12:BA$42,$A$12:$A$42,"&gt;="&amp;$B88,$A$12:$A$42,"&lt;="&amp;$C88),IF(SUMIFS(INDEX($C$12:$AC$42,0,N(VALUE($AS$366))),$A$12:$A$42,"&gt;="&amp;$B88,$A$12:$A$42,"&lt;="&amp;$C88)&gt;0,SUMIFS(INDEX($C$12:$AC$42,0,VALUE($AQ$366)),$A$12:$A$42,"&gt;="&amp;$B88,$A$12:$A$42,"&lt;="&amp;$C88)/SUMIFS(INDEX($C$12:$AC$42,0,N(VALUE($AS$366))),$A$12:$A$42,"&gt;="&amp;$B88,$A$12:$A$42,"&lt;="&amp;$C88),"")))</f>
        <v>0</v>
      </c>
    </row>
    <row r="89">
      <c r="A89" s="40" t="inlineStr">
        <is>
          <t xml:space="preserve">Sem 3 (15–21)</t>
        </is>
      </c>
      <c r="B89" s="39">
        <v>15</v>
      </c>
      <c r="C89" s="39">
        <v>21</v>
      </c>
      <c r="D89" s="72">
        <f>SUMIFS(E12:E42,A12:A42,"&gt;="&amp;$B89,A12:A42,"&lt;="&amp;$C89)</f>
        <v>0</v>
      </c>
      <c r="E89" s="72">
        <f>SUMIFS(J12:J42,A12:A42,"&gt;="&amp;$B89,A12:A42,"&lt;="&amp;$C89)</f>
        <v>0</v>
      </c>
      <c r="F89" s="42">
        <f>SUMIFS(D12:D42,A12:A42,"&gt;="&amp;$B89,A12:A42,"&lt;="&amp;$C89)</f>
        <v>0</v>
      </c>
      <c r="G89" s="42">
        <f>SUMIFS(I12:I42,A12:A42,"&gt;="&amp;$B89,A12:A42,"&lt;="&amp;$C89)</f>
        <v>0</v>
      </c>
      <c r="AX89" s="72">
        <f>IF(N(VALUE($AH$366))=0,"",IF(N(VALUE($AJ$366))=0,SUMIFS(AX$12:AX$42,$A$12:$A$42,"&gt;="&amp;$B89,$A$12:$A$42,"&lt;="&amp;$C89),IF(SUMIFS(INDEX($C$12:$AC$42,0,N(VALUE($AJ$366))),$A$12:$A$42,"&gt;="&amp;$B89,$A$12:$A$42,"&lt;="&amp;$C89)&gt;0,SUMIFS(INDEX($C$12:$AC$42,0,VALUE($AH$366)),$A$12:$A$42,"&gt;="&amp;$B89,$A$12:$A$42,"&lt;="&amp;$C89)/SUMIFS(INDEX($C$12:$AC$42,0,N(VALUE($AJ$366))),$A$12:$A$42,"&gt;="&amp;$B89,$A$12:$A$42,"&lt;="&amp;$C89),"")))</f>
        <v>0</v>
      </c>
      <c r="AY89" s="72">
        <f>IF(N(VALUE($AI$366))=0,"",IF(N(VALUE($AK$366))=0,SUMIFS(AY$12:AY$42,$A$12:$A$42,"&gt;="&amp;$B89,$A$12:$A$42,"&lt;="&amp;$C89),IF(SUMIFS(INDEX($C$12:$AC$42,0,N(VALUE($AK$366))),$A$12:$A$42,"&gt;="&amp;$B89,$A$12:$A$42,"&lt;="&amp;$C89)&gt;0,SUMIFS(INDEX($C$12:$AC$42,0,VALUE($AI$366)),$A$12:$A$42,"&gt;="&amp;$B89,$A$12:$A$42,"&lt;="&amp;$C89)/SUMIFS(INDEX($C$12:$AC$42,0,N(VALUE($AK$366))),$A$12:$A$42,"&gt;="&amp;$B89,$A$12:$A$42,"&lt;="&amp;$C89),"")))</f>
        <v>0</v>
      </c>
      <c r="AZ89" s="72">
        <f>IF(N(VALUE($AP$366))=0,"",IF(N(VALUE($AR$366))=0,SUMIFS(AZ$12:AZ$42,$A$12:$A$42,"&gt;="&amp;$B89,$A$12:$A$42,"&lt;="&amp;$C89),IF(SUMIFS(INDEX($C$12:$AC$42,0,N(VALUE($AR$366))),$A$12:$A$42,"&gt;="&amp;$B89,$A$12:$A$42,"&lt;="&amp;$C89)&gt;0,SUMIFS(INDEX($C$12:$AC$42,0,VALUE($AP$366)),$A$12:$A$42,"&gt;="&amp;$B89,$A$12:$A$42,"&lt;="&amp;$C89)/SUMIFS(INDEX($C$12:$AC$42,0,N(VALUE($AR$366))),$A$12:$A$42,"&gt;="&amp;$B89,$A$12:$A$42,"&lt;="&amp;$C89),"")))</f>
        <v>0</v>
      </c>
      <c r="BA89" s="72">
        <f>IF(N(VALUE($AQ$366))=0,"",IF(N(VALUE($AS$366))=0,SUMIFS(BA$12:BA$42,$A$12:$A$42,"&gt;="&amp;$B89,$A$12:$A$42,"&lt;="&amp;$C89),IF(SUMIFS(INDEX($C$12:$AC$42,0,N(VALUE($AS$366))),$A$12:$A$42,"&gt;="&amp;$B89,$A$12:$A$42,"&lt;="&amp;$C89)&gt;0,SUMIFS(INDEX($C$12:$AC$42,0,VALUE($AQ$366)),$A$12:$A$42,"&gt;="&amp;$B89,$A$12:$A$42,"&lt;="&amp;$C89)/SUMIFS(INDEX($C$12:$AC$42,0,N(VALUE($AS$366))),$A$12:$A$42,"&gt;="&amp;$B89,$A$12:$A$42,"&lt;="&amp;$C89),"")))</f>
        <v>0</v>
      </c>
    </row>
    <row r="90">
      <c r="A90" s="40" t="inlineStr">
        <is>
          <t xml:space="preserve">Sem 4 (22–28)</t>
        </is>
      </c>
      <c r="B90" s="39">
        <v>22</v>
      </c>
      <c r="C90" s="39">
        <v>28</v>
      </c>
      <c r="D90" s="72">
        <f>SUMIFS(E12:E42,A12:A42,"&gt;="&amp;$B90,A12:A42,"&lt;="&amp;$C90)</f>
        <v>0</v>
      </c>
      <c r="E90" s="72">
        <f>SUMIFS(J12:J42,A12:A42,"&gt;="&amp;$B90,A12:A42,"&lt;="&amp;$C90)</f>
        <v>0</v>
      </c>
      <c r="F90" s="42">
        <f>SUMIFS(D12:D42,A12:A42,"&gt;="&amp;$B90,A12:A42,"&lt;="&amp;$C90)</f>
        <v>0</v>
      </c>
      <c r="G90" s="42">
        <f>SUMIFS(I12:I42,A12:A42,"&gt;="&amp;$B90,A12:A42,"&lt;="&amp;$C90)</f>
        <v>0</v>
      </c>
      <c r="AX90" s="72">
        <f>IF(N(VALUE($AH$366))=0,"",IF(N(VALUE($AJ$366))=0,SUMIFS(AX$12:AX$42,$A$12:$A$42,"&gt;="&amp;$B90,$A$12:$A$42,"&lt;="&amp;$C90),IF(SUMIFS(INDEX($C$12:$AC$42,0,N(VALUE($AJ$366))),$A$12:$A$42,"&gt;="&amp;$B90,$A$12:$A$42,"&lt;="&amp;$C90)&gt;0,SUMIFS(INDEX($C$12:$AC$42,0,VALUE($AH$366)),$A$12:$A$42,"&gt;="&amp;$B90,$A$12:$A$42,"&lt;="&amp;$C90)/SUMIFS(INDEX($C$12:$AC$42,0,N(VALUE($AJ$366))),$A$12:$A$42,"&gt;="&amp;$B90,$A$12:$A$42,"&lt;="&amp;$C90),"")))</f>
        <v>0</v>
      </c>
      <c r="AY90" s="72">
        <f>IF(N(VALUE($AI$366))=0,"",IF(N(VALUE($AK$366))=0,SUMIFS(AY$12:AY$42,$A$12:$A$42,"&gt;="&amp;$B90,$A$12:$A$42,"&lt;="&amp;$C90),IF(SUMIFS(INDEX($C$12:$AC$42,0,N(VALUE($AK$366))),$A$12:$A$42,"&gt;="&amp;$B90,$A$12:$A$42,"&lt;="&amp;$C90)&gt;0,SUMIFS(INDEX($C$12:$AC$42,0,VALUE($AI$366)),$A$12:$A$42,"&gt;="&amp;$B90,$A$12:$A$42,"&lt;="&amp;$C90)/SUMIFS(INDEX($C$12:$AC$42,0,N(VALUE($AK$366))),$A$12:$A$42,"&gt;="&amp;$B90,$A$12:$A$42,"&lt;="&amp;$C90),"")))</f>
        <v>0</v>
      </c>
      <c r="AZ90" s="72">
        <f>IF(N(VALUE($AP$366))=0,"",IF(N(VALUE($AR$366))=0,SUMIFS(AZ$12:AZ$42,$A$12:$A$42,"&gt;="&amp;$B90,$A$12:$A$42,"&lt;="&amp;$C90),IF(SUMIFS(INDEX($C$12:$AC$42,0,N(VALUE($AR$366))),$A$12:$A$42,"&gt;="&amp;$B90,$A$12:$A$42,"&lt;="&amp;$C90)&gt;0,SUMIFS(INDEX($C$12:$AC$42,0,VALUE($AP$366)),$A$12:$A$42,"&gt;="&amp;$B90,$A$12:$A$42,"&lt;="&amp;$C90)/SUMIFS(INDEX($C$12:$AC$42,0,N(VALUE($AR$366))),$A$12:$A$42,"&gt;="&amp;$B90,$A$12:$A$42,"&lt;="&amp;$C90),"")))</f>
        <v>0</v>
      </c>
      <c r="BA90" s="72">
        <f>IF(N(VALUE($AQ$366))=0,"",IF(N(VALUE($AS$366))=0,SUMIFS(BA$12:BA$42,$A$12:$A$42,"&gt;="&amp;$B90,$A$12:$A$42,"&lt;="&amp;$C90),IF(SUMIFS(INDEX($C$12:$AC$42,0,N(VALUE($AS$366))),$A$12:$A$42,"&gt;="&amp;$B90,$A$12:$A$42,"&lt;="&amp;$C90)&gt;0,SUMIFS(INDEX($C$12:$AC$42,0,VALUE($AQ$366)),$A$12:$A$42,"&gt;="&amp;$B90,$A$12:$A$42,"&lt;="&amp;$C90)/SUMIFS(INDEX($C$12:$AC$42,0,N(VALUE($AS$366))),$A$12:$A$42,"&gt;="&amp;$B90,$A$12:$A$42,"&lt;="&amp;$C90),"")))</f>
        <v>0</v>
      </c>
    </row>
    <row r="91">
      <c r="A91" s="40" t="inlineStr">
        <is>
          <t xml:space="preserve">Sem 5 (29–fim)</t>
        </is>
      </c>
      <c r="B91" s="39">
        <v>29</v>
      </c>
      <c r="C91" s="39">
        <v>31</v>
      </c>
      <c r="D91" s="72">
        <f>SUMIFS(E12:E42,A12:A42,"&gt;="&amp;$B91,A12:A42,"&lt;="&amp;$C91)</f>
        <v>0</v>
      </c>
      <c r="E91" s="72">
        <f>SUMIFS(J12:J42,A12:A42,"&gt;="&amp;$B91,A12:A42,"&lt;="&amp;$C91)</f>
        <v>0</v>
      </c>
      <c r="F91" s="42">
        <f>SUMIFS(D12:D42,A12:A42,"&gt;="&amp;$B91,A12:A42,"&lt;="&amp;$C91)</f>
        <v>0</v>
      </c>
      <c r="G91" s="42">
        <f>SUMIFS(I12:I42,A12:A42,"&gt;="&amp;$B91,A12:A42,"&lt;="&amp;$C91)</f>
        <v>0</v>
      </c>
      <c r="AX91" s="72">
        <f>IF(N(VALUE($AH$366))=0,"",IF(N(VALUE($AJ$366))=0,SUMIFS(AX$12:AX$42,$A$12:$A$42,"&gt;="&amp;$B91,$A$12:$A$42,"&lt;="&amp;$C91),IF(SUMIFS(INDEX($C$12:$AC$42,0,N(VALUE($AJ$366))),$A$12:$A$42,"&gt;="&amp;$B91,$A$12:$A$42,"&lt;="&amp;$C91)&gt;0,SUMIFS(INDEX($C$12:$AC$42,0,VALUE($AH$366)),$A$12:$A$42,"&gt;="&amp;$B91,$A$12:$A$42,"&lt;="&amp;$C91)/SUMIFS(INDEX($C$12:$AC$42,0,N(VALUE($AJ$366))),$A$12:$A$42,"&gt;="&amp;$B91,$A$12:$A$42,"&lt;="&amp;$C91),"")))</f>
        <v>0</v>
      </c>
      <c r="AY91" s="72">
        <f>IF(N(VALUE($AI$366))=0,"",IF(N(VALUE($AK$366))=0,SUMIFS(AY$12:AY$42,$A$12:$A$42,"&gt;="&amp;$B91,$A$12:$A$42,"&lt;="&amp;$C91),IF(SUMIFS(INDEX($C$12:$AC$42,0,N(VALUE($AK$366))),$A$12:$A$42,"&gt;="&amp;$B91,$A$12:$A$42,"&lt;="&amp;$C91)&gt;0,SUMIFS(INDEX($C$12:$AC$42,0,VALUE($AI$366)),$A$12:$A$42,"&gt;="&amp;$B91,$A$12:$A$42,"&lt;="&amp;$C91)/SUMIFS(INDEX($C$12:$AC$42,0,N(VALUE($AK$366))),$A$12:$A$42,"&gt;="&amp;$B91,$A$12:$A$42,"&lt;="&amp;$C91),"")))</f>
        <v>0</v>
      </c>
      <c r="AZ91" s="72">
        <f>IF(N(VALUE($AP$366))=0,"",IF(N(VALUE($AR$366))=0,SUMIFS(AZ$12:AZ$42,$A$12:$A$42,"&gt;="&amp;$B91,$A$12:$A$42,"&lt;="&amp;$C91),IF(SUMIFS(INDEX($C$12:$AC$42,0,N(VALUE($AR$366))),$A$12:$A$42,"&gt;="&amp;$B91,$A$12:$A$42,"&lt;="&amp;$C91)&gt;0,SUMIFS(INDEX($C$12:$AC$42,0,VALUE($AP$366)),$A$12:$A$42,"&gt;="&amp;$B91,$A$12:$A$42,"&lt;="&amp;$C91)/SUMIFS(INDEX($C$12:$AC$42,0,N(VALUE($AR$366))),$A$12:$A$42,"&gt;="&amp;$B91,$A$12:$A$42,"&lt;="&amp;$C91),"")))</f>
        <v>0</v>
      </c>
      <c r="BA91" s="72">
        <f>IF(N(VALUE($AQ$366))=0,"",IF(N(VALUE($AS$366))=0,SUMIFS(BA$12:BA$42,$A$12:$A$42,"&gt;="&amp;$B91,$A$12:$A$42,"&lt;="&amp;$C91),IF(SUMIFS(INDEX($C$12:$AC$42,0,N(VALUE($AS$366))),$A$12:$A$42,"&gt;="&amp;$B91,$A$12:$A$42,"&lt;="&amp;$C91)&gt;0,SUMIFS(INDEX($C$12:$AC$42,0,VALUE($AQ$366)),$A$12:$A$42,"&gt;="&amp;$B91,$A$12:$A$42,"&lt;="&amp;$C91)/SUMIFS(INDEX($C$12:$AC$42,0,N(VALUE($AS$366))),$A$12:$A$42,"&gt;="&amp;$B91,$A$12:$A$42,"&lt;="&amp;$C91),"")))</f>
        <v>0</v>
      </c>
    </row>
    <row r="95">
      <c r="A95" s="52" t="inlineStr">
        <is>
          <t xml:space="preserve">POR CLIENTE — mês inteiro (todos os clientes). Estoque = último valor do mês.</t>
        </is>
      </c>
    </row>
    <row r="96" ht="30" customHeight="1">
      <c r="A96" s="47" t="inlineStr">
        <is>
          <t xml:space="preserve">Indicador</t>
        </is>
      </c>
      <c r="B96" s="47" t="str">
        <f>Config!$B$10&amp;""</f>
        <v>Barry Callebaut</v>
      </c>
      <c r="C96" s="47" t="str">
        <f>Config!$B$11&amp;""</f>
        <v>GM</v>
      </c>
      <c r="D96" s="47" t="str">
        <f>Config!$B$12&amp;""</f>
        <v>Mondelez</v>
      </c>
      <c r="E96" s="47" t="str">
        <f>Config!$B$13&amp;""</f>
        <v>Nestlé</v>
      </c>
      <c r="F96" s="47" t="str">
        <f>Config!$B$14&amp;""</f>
        <v>PMB</v>
      </c>
      <c r="G96" s="47" t="str">
        <f>Config!$B$15&amp;""</f>
        <v/>
      </c>
      <c r="H96" s="47" t="str">
        <f>Config!$B$16&amp;""</f>
        <v/>
      </c>
      <c r="I96" s="47" t="str">
        <f>Config!$B$17&amp;""</f>
        <v/>
      </c>
      <c r="J96" s="47" t="str">
        <f>Config!$B$18&amp;""</f>
        <v/>
      </c>
      <c r="K96" s="47" t="str">
        <f>Config!$B$19&amp;""</f>
        <v/>
      </c>
      <c r="L96" s="47" t="str">
        <f>Config!$B$20&amp;""</f>
        <v/>
      </c>
      <c r="M96" s="47" t="str">
        <f>Config!$B$21&amp;""</f>
        <v/>
      </c>
      <c r="N96" s="47" t="str">
        <f>Config!$B$22&amp;""</f>
        <v/>
      </c>
      <c r="O96" s="47" t="str">
        <f>Config!$B$23&amp;""</f>
        <v/>
      </c>
      <c r="P96" s="47" t="str">
        <f>Config!$B$24&amp;""</f>
        <v/>
      </c>
      <c r="Q96" s="47" t="str">
        <f>Config!$B$25&amp;""</f>
        <v/>
      </c>
      <c r="R96" s="47" t="str">
        <f>Config!$B$26&amp;""</f>
        <v/>
      </c>
      <c r="S96" s="47" t="str">
        <f>Config!$B$27&amp;""</f>
        <v/>
      </c>
      <c r="T96" s="47" t="str">
        <f>Config!$B$28&amp;""</f>
        <v/>
      </c>
      <c r="U96" s="47" t="str">
        <f>Config!$B$29&amp;""</f>
        <v/>
      </c>
      <c r="V96" s="47" t="inlineStr">
        <is>
          <t xml:space="preserve">TOTAL</t>
        </is>
      </c>
    </row>
    <row r="97">
      <c r="A97" s="40" t="inlineStr">
        <is>
          <t xml:space="preserve">IN · Veículos Recebidos</t>
        </is>
      </c>
      <c r="B97" s="42">
        <f>IF(B$96="","",IF(Config!$D$35&lt;&gt;"Não",SUMIFS(BD!$C$3:$C$5001,BD!$B$3:$B$5001,B$96,BD!$A$3:$A$5001,"&gt;="&amp;$C$7,BD!$A$3:$A$5001,"&lt;="&amp;$D$7),"—"))</f>
        <v>0</v>
      </c>
      <c r="C97" s="42" t="str">
        <f>IF(C$96="","",IF(Config!$D$36&lt;&gt;"Não",SUMIFS(BD!$C$3:$C$5001,BD!$B$3:$B$5001,C$96,BD!$A$3:$A$5001,"&gt;="&amp;$C$7,BD!$A$3:$A$5001,"&lt;="&amp;$D$7),"—"))</f>
        <v>—</v>
      </c>
      <c r="D97" s="42">
        <f>IF(D$96="","",IF(Config!$D$37&lt;&gt;"Não",SUMIFS(BD!$C$3:$C$5001,BD!$B$3:$B$5001,D$96,BD!$A$3:$A$5001,"&gt;="&amp;$C$7,BD!$A$3:$A$5001,"&lt;="&amp;$D$7),"—"))</f>
        <v>0</v>
      </c>
      <c r="E97" s="42">
        <f>IF(E$96="","",IF(Config!$D$38&lt;&gt;"Não",SUMIFS(BD!$C$3:$C$5001,BD!$B$3:$B$5001,E$96,BD!$A$3:$A$5001,"&gt;="&amp;$C$7,BD!$A$3:$A$5001,"&lt;="&amp;$D$7),"—"))</f>
        <v>0</v>
      </c>
      <c r="F97" s="42">
        <f>IF(F$96="","",IF(Config!$D$39&lt;&gt;"Não",SUMIFS(BD!$C$3:$C$5001,BD!$B$3:$B$5001,F$96,BD!$A$3:$A$5001,"&gt;="&amp;$C$7,BD!$A$3:$A$5001,"&lt;="&amp;$D$7),"—"))</f>
        <v>0</v>
      </c>
      <c r="G97" s="42" t="str">
        <f>IF(G$96="","",IF(Config!$D$40&lt;&gt;"Não",SUMIFS(BD!$C$3:$C$5001,BD!$B$3:$B$5001,G$96,BD!$A$3:$A$5001,"&gt;="&amp;$C$7,BD!$A$3:$A$5001,"&lt;="&amp;$D$7),"—"))</f>
        <v/>
      </c>
      <c r="H97" s="42" t="str">
        <f>IF(H$96="","",IF(Config!$D$41&lt;&gt;"Não",SUMIFS(BD!$C$3:$C$5001,BD!$B$3:$B$5001,H$96,BD!$A$3:$A$5001,"&gt;="&amp;$C$7,BD!$A$3:$A$5001,"&lt;="&amp;$D$7),"—"))</f>
        <v/>
      </c>
      <c r="I97" s="42" t="str">
        <f>IF(I$96="","",IF(Config!$D$42&lt;&gt;"Não",SUMIFS(BD!$C$3:$C$5001,BD!$B$3:$B$5001,I$96,BD!$A$3:$A$5001,"&gt;="&amp;$C$7,BD!$A$3:$A$5001,"&lt;="&amp;$D$7),"—"))</f>
        <v/>
      </c>
      <c r="J97" s="42" t="str">
        <f>IF(J$96="","",IF(Config!$D$43&lt;&gt;"Não",SUMIFS(BD!$C$3:$C$5001,BD!$B$3:$B$5001,J$96,BD!$A$3:$A$5001,"&gt;="&amp;$C$7,BD!$A$3:$A$5001,"&lt;="&amp;$D$7),"—"))</f>
        <v/>
      </c>
      <c r="K97" s="42" t="str">
        <f>IF(K$96="","",IF(Config!$D$44&lt;&gt;"Não",SUMIFS(BD!$C$3:$C$5001,BD!$B$3:$B$5001,K$96,BD!$A$3:$A$5001,"&gt;="&amp;$C$7,BD!$A$3:$A$5001,"&lt;="&amp;$D$7),"—"))</f>
        <v/>
      </c>
      <c r="L97" s="42" t="str">
        <f>IF(L$96="","",IF(Config!$D$45&lt;&gt;"Não",SUMIFS(BD!$C$3:$C$5001,BD!$B$3:$B$5001,L$96,BD!$A$3:$A$5001,"&gt;="&amp;$C$7,BD!$A$3:$A$5001,"&lt;="&amp;$D$7),"—"))</f>
        <v/>
      </c>
      <c r="M97" s="42" t="str">
        <f>IF(M$96="","",IF(Config!$D$46&lt;&gt;"Não",SUMIFS(BD!$C$3:$C$5001,BD!$B$3:$B$5001,M$96,BD!$A$3:$A$5001,"&gt;="&amp;$C$7,BD!$A$3:$A$5001,"&lt;="&amp;$D$7),"—"))</f>
        <v/>
      </c>
      <c r="N97" s="42" t="str">
        <f>IF(N$96="","",IF(Config!$D$47&lt;&gt;"Não",SUMIFS(BD!$C$3:$C$5001,BD!$B$3:$B$5001,N$96,BD!$A$3:$A$5001,"&gt;="&amp;$C$7,BD!$A$3:$A$5001,"&lt;="&amp;$D$7),"—"))</f>
        <v/>
      </c>
      <c r="O97" s="42" t="str">
        <f>IF(O$96="","",IF(Config!$D$48&lt;&gt;"Não",SUMIFS(BD!$C$3:$C$5001,BD!$B$3:$B$5001,O$96,BD!$A$3:$A$5001,"&gt;="&amp;$C$7,BD!$A$3:$A$5001,"&lt;="&amp;$D$7),"—"))</f>
        <v/>
      </c>
      <c r="P97" s="42" t="str">
        <f>IF(P$96="","",IF(Config!$D$49&lt;&gt;"Não",SUMIFS(BD!$C$3:$C$5001,BD!$B$3:$B$5001,P$96,BD!$A$3:$A$5001,"&gt;="&amp;$C$7,BD!$A$3:$A$5001,"&lt;="&amp;$D$7),"—"))</f>
        <v/>
      </c>
      <c r="Q97" s="42" t="str">
        <f>IF(Q$96="","",IF(Config!$D$50&lt;&gt;"Não",SUMIFS(BD!$C$3:$C$5001,BD!$B$3:$B$5001,Q$96,BD!$A$3:$A$5001,"&gt;="&amp;$C$7,BD!$A$3:$A$5001,"&lt;="&amp;$D$7),"—"))</f>
        <v/>
      </c>
      <c r="R97" s="42" t="str">
        <f>IF(R$96="","",IF(Config!$D$51&lt;&gt;"Não",SUMIFS(BD!$C$3:$C$5001,BD!$B$3:$B$5001,R$96,BD!$A$3:$A$5001,"&gt;="&amp;$C$7,BD!$A$3:$A$5001,"&lt;="&amp;$D$7),"—"))</f>
        <v/>
      </c>
      <c r="S97" s="42" t="str">
        <f>IF(S$96="","",IF(Config!$D$52&lt;&gt;"Não",SUMIFS(BD!$C$3:$C$5001,BD!$B$3:$B$5001,S$96,BD!$A$3:$A$5001,"&gt;="&amp;$C$7,BD!$A$3:$A$5001,"&lt;="&amp;$D$7),"—"))</f>
        <v/>
      </c>
      <c r="T97" s="42" t="str">
        <f>IF(T$96="","",IF(Config!$D$53&lt;&gt;"Não",SUMIFS(BD!$C$3:$C$5001,BD!$B$3:$B$5001,T$96,BD!$A$3:$A$5001,"&gt;="&amp;$C$7,BD!$A$3:$A$5001,"&lt;="&amp;$D$7),"—"))</f>
        <v/>
      </c>
      <c r="U97" s="42" t="str">
        <f>IF(U$96="","",IF(Config!$D$54&lt;&gt;"Não",SUMIFS(BD!$C$3:$C$5001,BD!$B$3:$B$5001,U$96,BD!$A$3:$A$5001,"&gt;="&amp;$C$7,BD!$A$3:$A$5001,"&lt;="&amp;$D$7),"—"))</f>
        <v/>
      </c>
      <c r="V97" s="73">
        <f>SUM(B97:U97)</f>
        <v>0</v>
      </c>
    </row>
    <row r="98">
      <c r="A98" s="40" t="inlineStr">
        <is>
          <t xml:space="preserve">IN · Pallets Movimentados</t>
        </is>
      </c>
      <c r="B98" s="42">
        <f>IF(B$96="","",IF(Config!$E$35&lt;&gt;"Não",SUMIFS(BD!$D$3:$D$5001,BD!$B$3:$B$5001,B$96,BD!$A$3:$A$5001,"&gt;="&amp;$C$7,BD!$A$3:$A$5001,"&lt;="&amp;$D$7),"—"))</f>
        <v>0</v>
      </c>
      <c r="C98" s="42" t="str">
        <f>IF(C$96="","",IF(Config!$E$36&lt;&gt;"Não",SUMIFS(BD!$D$3:$D$5001,BD!$B$3:$B$5001,C$96,BD!$A$3:$A$5001,"&gt;="&amp;$C$7,BD!$A$3:$A$5001,"&lt;="&amp;$D$7),"—"))</f>
        <v>—</v>
      </c>
      <c r="D98" s="42">
        <f>IF(D$96="","",IF(Config!$E$37&lt;&gt;"Não",SUMIFS(BD!$D$3:$D$5001,BD!$B$3:$B$5001,D$96,BD!$A$3:$A$5001,"&gt;="&amp;$C$7,BD!$A$3:$A$5001,"&lt;="&amp;$D$7),"—"))</f>
        <v>0</v>
      </c>
      <c r="E98" s="42">
        <f>IF(E$96="","",IF(Config!$E$38&lt;&gt;"Não",SUMIFS(BD!$D$3:$D$5001,BD!$B$3:$B$5001,E$96,BD!$A$3:$A$5001,"&gt;="&amp;$C$7,BD!$A$3:$A$5001,"&lt;="&amp;$D$7),"—"))</f>
        <v>0</v>
      </c>
      <c r="F98" s="42">
        <f>IF(F$96="","",IF(Config!$E$39&lt;&gt;"Não",SUMIFS(BD!$D$3:$D$5001,BD!$B$3:$B$5001,F$96,BD!$A$3:$A$5001,"&gt;="&amp;$C$7,BD!$A$3:$A$5001,"&lt;="&amp;$D$7),"—"))</f>
        <v>0</v>
      </c>
      <c r="G98" s="42" t="str">
        <f>IF(G$96="","",IF(Config!$E$40&lt;&gt;"Não",SUMIFS(BD!$D$3:$D$5001,BD!$B$3:$B$5001,G$96,BD!$A$3:$A$5001,"&gt;="&amp;$C$7,BD!$A$3:$A$5001,"&lt;="&amp;$D$7),"—"))</f>
        <v/>
      </c>
      <c r="H98" s="42" t="str">
        <f>IF(H$96="","",IF(Config!$E$41&lt;&gt;"Não",SUMIFS(BD!$D$3:$D$5001,BD!$B$3:$B$5001,H$96,BD!$A$3:$A$5001,"&gt;="&amp;$C$7,BD!$A$3:$A$5001,"&lt;="&amp;$D$7),"—"))</f>
        <v/>
      </c>
      <c r="I98" s="42" t="str">
        <f>IF(I$96="","",IF(Config!$E$42&lt;&gt;"Não",SUMIFS(BD!$D$3:$D$5001,BD!$B$3:$B$5001,I$96,BD!$A$3:$A$5001,"&gt;="&amp;$C$7,BD!$A$3:$A$5001,"&lt;="&amp;$D$7),"—"))</f>
        <v/>
      </c>
      <c r="J98" s="42" t="str">
        <f>IF(J$96="","",IF(Config!$E$43&lt;&gt;"Não",SUMIFS(BD!$D$3:$D$5001,BD!$B$3:$B$5001,J$96,BD!$A$3:$A$5001,"&gt;="&amp;$C$7,BD!$A$3:$A$5001,"&lt;="&amp;$D$7),"—"))</f>
        <v/>
      </c>
      <c r="K98" s="42" t="str">
        <f>IF(K$96="","",IF(Config!$E$44&lt;&gt;"Não",SUMIFS(BD!$D$3:$D$5001,BD!$B$3:$B$5001,K$96,BD!$A$3:$A$5001,"&gt;="&amp;$C$7,BD!$A$3:$A$5001,"&lt;="&amp;$D$7),"—"))</f>
        <v/>
      </c>
      <c r="L98" s="42" t="str">
        <f>IF(L$96="","",IF(Config!$E$45&lt;&gt;"Não",SUMIFS(BD!$D$3:$D$5001,BD!$B$3:$B$5001,L$96,BD!$A$3:$A$5001,"&gt;="&amp;$C$7,BD!$A$3:$A$5001,"&lt;="&amp;$D$7),"—"))</f>
        <v/>
      </c>
      <c r="M98" s="42" t="str">
        <f>IF(M$96="","",IF(Config!$E$46&lt;&gt;"Não",SUMIFS(BD!$D$3:$D$5001,BD!$B$3:$B$5001,M$96,BD!$A$3:$A$5001,"&gt;="&amp;$C$7,BD!$A$3:$A$5001,"&lt;="&amp;$D$7),"—"))</f>
        <v/>
      </c>
      <c r="N98" s="42" t="str">
        <f>IF(N$96="","",IF(Config!$E$47&lt;&gt;"Não",SUMIFS(BD!$D$3:$D$5001,BD!$B$3:$B$5001,N$96,BD!$A$3:$A$5001,"&gt;="&amp;$C$7,BD!$A$3:$A$5001,"&lt;="&amp;$D$7),"—"))</f>
        <v/>
      </c>
      <c r="O98" s="42" t="str">
        <f>IF(O$96="","",IF(Config!$E$48&lt;&gt;"Não",SUMIFS(BD!$D$3:$D$5001,BD!$B$3:$B$5001,O$96,BD!$A$3:$A$5001,"&gt;="&amp;$C$7,BD!$A$3:$A$5001,"&lt;="&amp;$D$7),"—"))</f>
        <v/>
      </c>
      <c r="P98" s="42" t="str">
        <f>IF(P$96="","",IF(Config!$E$49&lt;&gt;"Não",SUMIFS(BD!$D$3:$D$5001,BD!$B$3:$B$5001,P$96,BD!$A$3:$A$5001,"&gt;="&amp;$C$7,BD!$A$3:$A$5001,"&lt;="&amp;$D$7),"—"))</f>
        <v/>
      </c>
      <c r="Q98" s="42" t="str">
        <f>IF(Q$96="","",IF(Config!$E$50&lt;&gt;"Não",SUMIFS(BD!$D$3:$D$5001,BD!$B$3:$B$5001,Q$96,BD!$A$3:$A$5001,"&gt;="&amp;$C$7,BD!$A$3:$A$5001,"&lt;="&amp;$D$7),"—"))</f>
        <v/>
      </c>
      <c r="R98" s="42" t="str">
        <f>IF(R$96="","",IF(Config!$E$51&lt;&gt;"Não",SUMIFS(BD!$D$3:$D$5001,BD!$B$3:$B$5001,R$96,BD!$A$3:$A$5001,"&gt;="&amp;$C$7,BD!$A$3:$A$5001,"&lt;="&amp;$D$7),"—"))</f>
        <v/>
      </c>
      <c r="S98" s="42" t="str">
        <f>IF(S$96="","",IF(Config!$E$52&lt;&gt;"Não",SUMIFS(BD!$D$3:$D$5001,BD!$B$3:$B$5001,S$96,BD!$A$3:$A$5001,"&gt;="&amp;$C$7,BD!$A$3:$A$5001,"&lt;="&amp;$D$7),"—"))</f>
        <v/>
      </c>
      <c r="T98" s="42" t="str">
        <f>IF(T$96="","",IF(Config!$E$53&lt;&gt;"Não",SUMIFS(BD!$D$3:$D$5001,BD!$B$3:$B$5001,T$96,BD!$A$3:$A$5001,"&gt;="&amp;$C$7,BD!$A$3:$A$5001,"&lt;="&amp;$D$7),"—"))</f>
        <v/>
      </c>
      <c r="U98" s="42" t="str">
        <f>IF(U$96="","",IF(Config!$E$54&lt;&gt;"Não",SUMIFS(BD!$D$3:$D$5001,BD!$B$3:$B$5001,U$96,BD!$A$3:$A$5001,"&gt;="&amp;$C$7,BD!$A$3:$A$5001,"&lt;="&amp;$D$7),"—"))</f>
        <v/>
      </c>
      <c r="V98" s="73">
        <f>SUM(B98:U98)</f>
        <v>0</v>
      </c>
    </row>
    <row r="99">
      <c r="A99" s="40" t="inlineStr">
        <is>
          <t xml:space="preserve">IN · Toneladas Movimentadas</t>
        </is>
      </c>
      <c r="B99" s="72">
        <f>IF(B$96="","",IF(Config!$F$35&lt;&gt;"Não",SUMIFS(BD!$E$3:$E$5001,BD!$B$3:$B$5001,B$96,BD!$A$3:$A$5001,"&gt;="&amp;$C$7,BD!$A$3:$A$5001,"&lt;="&amp;$D$7),"—"))</f>
        <v>0</v>
      </c>
      <c r="C99" s="72" t="str">
        <f>IF(C$96="","",IF(Config!$F$36&lt;&gt;"Não",SUMIFS(BD!$E$3:$E$5001,BD!$B$3:$B$5001,C$96,BD!$A$3:$A$5001,"&gt;="&amp;$C$7,BD!$A$3:$A$5001,"&lt;="&amp;$D$7),"—"))</f>
        <v>—</v>
      </c>
      <c r="D99" s="72">
        <f>IF(D$96="","",IF(Config!$F$37&lt;&gt;"Não",SUMIFS(BD!$E$3:$E$5001,BD!$B$3:$B$5001,D$96,BD!$A$3:$A$5001,"&gt;="&amp;$C$7,BD!$A$3:$A$5001,"&lt;="&amp;$D$7),"—"))</f>
        <v>0</v>
      </c>
      <c r="E99" s="72">
        <f>IF(E$96="","",IF(Config!$F$38&lt;&gt;"Não",SUMIFS(BD!$E$3:$E$5001,BD!$B$3:$B$5001,E$96,BD!$A$3:$A$5001,"&gt;="&amp;$C$7,BD!$A$3:$A$5001,"&lt;="&amp;$D$7),"—"))</f>
        <v>0</v>
      </c>
      <c r="F99" s="72">
        <f>IF(F$96="","",IF(Config!$F$39&lt;&gt;"Não",SUMIFS(BD!$E$3:$E$5001,BD!$B$3:$B$5001,F$96,BD!$A$3:$A$5001,"&gt;="&amp;$C$7,BD!$A$3:$A$5001,"&lt;="&amp;$D$7),"—"))</f>
        <v>0</v>
      </c>
      <c r="G99" s="72" t="str">
        <f>IF(G$96="","",IF(Config!$F$40&lt;&gt;"Não",SUMIFS(BD!$E$3:$E$5001,BD!$B$3:$B$5001,G$96,BD!$A$3:$A$5001,"&gt;="&amp;$C$7,BD!$A$3:$A$5001,"&lt;="&amp;$D$7),"—"))</f>
        <v/>
      </c>
      <c r="H99" s="72" t="str">
        <f>IF(H$96="","",IF(Config!$F$41&lt;&gt;"Não",SUMIFS(BD!$E$3:$E$5001,BD!$B$3:$B$5001,H$96,BD!$A$3:$A$5001,"&gt;="&amp;$C$7,BD!$A$3:$A$5001,"&lt;="&amp;$D$7),"—"))</f>
        <v/>
      </c>
      <c r="I99" s="72" t="str">
        <f>IF(I$96="","",IF(Config!$F$42&lt;&gt;"Não",SUMIFS(BD!$E$3:$E$5001,BD!$B$3:$B$5001,I$96,BD!$A$3:$A$5001,"&gt;="&amp;$C$7,BD!$A$3:$A$5001,"&lt;="&amp;$D$7),"—"))</f>
        <v/>
      </c>
      <c r="J99" s="72" t="str">
        <f>IF(J$96="","",IF(Config!$F$43&lt;&gt;"Não",SUMIFS(BD!$E$3:$E$5001,BD!$B$3:$B$5001,J$96,BD!$A$3:$A$5001,"&gt;="&amp;$C$7,BD!$A$3:$A$5001,"&lt;="&amp;$D$7),"—"))</f>
        <v/>
      </c>
      <c r="K99" s="72" t="str">
        <f>IF(K$96="","",IF(Config!$F$44&lt;&gt;"Não",SUMIFS(BD!$E$3:$E$5001,BD!$B$3:$B$5001,K$96,BD!$A$3:$A$5001,"&gt;="&amp;$C$7,BD!$A$3:$A$5001,"&lt;="&amp;$D$7),"—"))</f>
        <v/>
      </c>
      <c r="L99" s="72" t="str">
        <f>IF(L$96="","",IF(Config!$F$45&lt;&gt;"Não",SUMIFS(BD!$E$3:$E$5001,BD!$B$3:$B$5001,L$96,BD!$A$3:$A$5001,"&gt;="&amp;$C$7,BD!$A$3:$A$5001,"&lt;="&amp;$D$7),"—"))</f>
        <v/>
      </c>
      <c r="M99" s="72" t="str">
        <f>IF(M$96="","",IF(Config!$F$46&lt;&gt;"Não",SUMIFS(BD!$E$3:$E$5001,BD!$B$3:$B$5001,M$96,BD!$A$3:$A$5001,"&gt;="&amp;$C$7,BD!$A$3:$A$5001,"&lt;="&amp;$D$7),"—"))</f>
        <v/>
      </c>
      <c r="N99" s="72" t="str">
        <f>IF(N$96="","",IF(Config!$F$47&lt;&gt;"Não",SUMIFS(BD!$E$3:$E$5001,BD!$B$3:$B$5001,N$96,BD!$A$3:$A$5001,"&gt;="&amp;$C$7,BD!$A$3:$A$5001,"&lt;="&amp;$D$7),"—"))</f>
        <v/>
      </c>
      <c r="O99" s="72" t="str">
        <f>IF(O$96="","",IF(Config!$F$48&lt;&gt;"Não",SUMIFS(BD!$E$3:$E$5001,BD!$B$3:$B$5001,O$96,BD!$A$3:$A$5001,"&gt;="&amp;$C$7,BD!$A$3:$A$5001,"&lt;="&amp;$D$7),"—"))</f>
        <v/>
      </c>
      <c r="P99" s="72" t="str">
        <f>IF(P$96="","",IF(Config!$F$49&lt;&gt;"Não",SUMIFS(BD!$E$3:$E$5001,BD!$B$3:$B$5001,P$96,BD!$A$3:$A$5001,"&gt;="&amp;$C$7,BD!$A$3:$A$5001,"&lt;="&amp;$D$7),"—"))</f>
        <v/>
      </c>
      <c r="Q99" s="72" t="str">
        <f>IF(Q$96="","",IF(Config!$F$50&lt;&gt;"Não",SUMIFS(BD!$E$3:$E$5001,BD!$B$3:$B$5001,Q$96,BD!$A$3:$A$5001,"&gt;="&amp;$C$7,BD!$A$3:$A$5001,"&lt;="&amp;$D$7),"—"))</f>
        <v/>
      </c>
      <c r="R99" s="72" t="str">
        <f>IF(R$96="","",IF(Config!$F$51&lt;&gt;"Não",SUMIFS(BD!$E$3:$E$5001,BD!$B$3:$B$5001,R$96,BD!$A$3:$A$5001,"&gt;="&amp;$C$7,BD!$A$3:$A$5001,"&lt;="&amp;$D$7),"—"))</f>
        <v/>
      </c>
      <c r="S99" s="72" t="str">
        <f>IF(S$96="","",IF(Config!$F$52&lt;&gt;"Não",SUMIFS(BD!$E$3:$E$5001,BD!$B$3:$B$5001,S$96,BD!$A$3:$A$5001,"&gt;="&amp;$C$7,BD!$A$3:$A$5001,"&lt;="&amp;$D$7),"—"))</f>
        <v/>
      </c>
      <c r="T99" s="72" t="str">
        <f>IF(T$96="","",IF(Config!$F$53&lt;&gt;"Não",SUMIFS(BD!$E$3:$E$5001,BD!$B$3:$B$5001,T$96,BD!$A$3:$A$5001,"&gt;="&amp;$C$7,BD!$A$3:$A$5001,"&lt;="&amp;$D$7),"—"))</f>
        <v/>
      </c>
      <c r="U99" s="72" t="str">
        <f>IF(U$96="","",IF(Config!$F$54&lt;&gt;"Não",SUMIFS(BD!$E$3:$E$5001,BD!$B$3:$B$5001,U$96,BD!$A$3:$A$5001,"&gt;="&amp;$C$7,BD!$A$3:$A$5001,"&lt;="&amp;$D$7),"—"))</f>
        <v/>
      </c>
      <c r="V99" s="74">
        <f>SUM(B99:U99)</f>
        <v>0</v>
      </c>
    </row>
    <row r="100">
      <c r="A100" s="40" t="inlineStr">
        <is>
          <t xml:space="preserve">IN · Caixas Recebidas</t>
        </is>
      </c>
      <c r="B100" s="42">
        <f>IF(B$96="","",IF(Config!$G$35&lt;&gt;"Não",SUMIFS(BD!$F$3:$F$5001,BD!$B$3:$B$5001,B$96,BD!$A$3:$A$5001,"&gt;="&amp;$C$7,BD!$A$3:$A$5001,"&lt;="&amp;$D$7),"—"))</f>
        <v>0</v>
      </c>
      <c r="C100" s="42" t="str">
        <f>IF(C$96="","",IF(Config!$G$36&lt;&gt;"Não",SUMIFS(BD!$F$3:$F$5001,BD!$B$3:$B$5001,C$96,BD!$A$3:$A$5001,"&gt;="&amp;$C$7,BD!$A$3:$A$5001,"&lt;="&amp;$D$7),"—"))</f>
        <v>—</v>
      </c>
      <c r="D100" s="42">
        <f>IF(D$96="","",IF(Config!$G$37&lt;&gt;"Não",SUMIFS(BD!$F$3:$F$5001,BD!$B$3:$B$5001,D$96,BD!$A$3:$A$5001,"&gt;="&amp;$C$7,BD!$A$3:$A$5001,"&lt;="&amp;$D$7),"—"))</f>
        <v>0</v>
      </c>
      <c r="E100" s="42">
        <f>IF(E$96="","",IF(Config!$G$38&lt;&gt;"Não",SUMIFS(BD!$F$3:$F$5001,BD!$B$3:$B$5001,E$96,BD!$A$3:$A$5001,"&gt;="&amp;$C$7,BD!$A$3:$A$5001,"&lt;="&amp;$D$7),"—"))</f>
        <v>0</v>
      </c>
      <c r="F100" s="42">
        <f>IF(F$96="","",IF(Config!$G$39&lt;&gt;"Não",SUMIFS(BD!$F$3:$F$5001,BD!$B$3:$B$5001,F$96,BD!$A$3:$A$5001,"&gt;="&amp;$C$7,BD!$A$3:$A$5001,"&lt;="&amp;$D$7),"—"))</f>
        <v>0</v>
      </c>
      <c r="G100" s="42" t="str">
        <f>IF(G$96="","",IF(Config!$G$40&lt;&gt;"Não",SUMIFS(BD!$F$3:$F$5001,BD!$B$3:$B$5001,G$96,BD!$A$3:$A$5001,"&gt;="&amp;$C$7,BD!$A$3:$A$5001,"&lt;="&amp;$D$7),"—"))</f>
        <v/>
      </c>
      <c r="H100" s="42" t="str">
        <f>IF(H$96="","",IF(Config!$G$41&lt;&gt;"Não",SUMIFS(BD!$F$3:$F$5001,BD!$B$3:$B$5001,H$96,BD!$A$3:$A$5001,"&gt;="&amp;$C$7,BD!$A$3:$A$5001,"&lt;="&amp;$D$7),"—"))</f>
        <v/>
      </c>
      <c r="I100" s="42" t="str">
        <f>IF(I$96="","",IF(Config!$G$42&lt;&gt;"Não",SUMIFS(BD!$F$3:$F$5001,BD!$B$3:$B$5001,I$96,BD!$A$3:$A$5001,"&gt;="&amp;$C$7,BD!$A$3:$A$5001,"&lt;="&amp;$D$7),"—"))</f>
        <v/>
      </c>
      <c r="J100" s="42" t="str">
        <f>IF(J$96="","",IF(Config!$G$43&lt;&gt;"Não",SUMIFS(BD!$F$3:$F$5001,BD!$B$3:$B$5001,J$96,BD!$A$3:$A$5001,"&gt;="&amp;$C$7,BD!$A$3:$A$5001,"&lt;="&amp;$D$7),"—"))</f>
        <v/>
      </c>
      <c r="K100" s="42" t="str">
        <f>IF(K$96="","",IF(Config!$G$44&lt;&gt;"Não",SUMIFS(BD!$F$3:$F$5001,BD!$B$3:$B$5001,K$96,BD!$A$3:$A$5001,"&gt;="&amp;$C$7,BD!$A$3:$A$5001,"&lt;="&amp;$D$7),"—"))</f>
        <v/>
      </c>
      <c r="L100" s="42" t="str">
        <f>IF(L$96="","",IF(Config!$G$45&lt;&gt;"Não",SUMIFS(BD!$F$3:$F$5001,BD!$B$3:$B$5001,L$96,BD!$A$3:$A$5001,"&gt;="&amp;$C$7,BD!$A$3:$A$5001,"&lt;="&amp;$D$7),"—"))</f>
        <v/>
      </c>
      <c r="M100" s="42" t="str">
        <f>IF(M$96="","",IF(Config!$G$46&lt;&gt;"Não",SUMIFS(BD!$F$3:$F$5001,BD!$B$3:$B$5001,M$96,BD!$A$3:$A$5001,"&gt;="&amp;$C$7,BD!$A$3:$A$5001,"&lt;="&amp;$D$7),"—"))</f>
        <v/>
      </c>
      <c r="N100" s="42" t="str">
        <f>IF(N$96="","",IF(Config!$G$47&lt;&gt;"Não",SUMIFS(BD!$F$3:$F$5001,BD!$B$3:$B$5001,N$96,BD!$A$3:$A$5001,"&gt;="&amp;$C$7,BD!$A$3:$A$5001,"&lt;="&amp;$D$7),"—"))</f>
        <v/>
      </c>
      <c r="O100" s="42" t="str">
        <f>IF(O$96="","",IF(Config!$G$48&lt;&gt;"Não",SUMIFS(BD!$F$3:$F$5001,BD!$B$3:$B$5001,O$96,BD!$A$3:$A$5001,"&gt;="&amp;$C$7,BD!$A$3:$A$5001,"&lt;="&amp;$D$7),"—"))</f>
        <v/>
      </c>
      <c r="P100" s="42" t="str">
        <f>IF(P$96="","",IF(Config!$G$49&lt;&gt;"Não",SUMIFS(BD!$F$3:$F$5001,BD!$B$3:$B$5001,P$96,BD!$A$3:$A$5001,"&gt;="&amp;$C$7,BD!$A$3:$A$5001,"&lt;="&amp;$D$7),"—"))</f>
        <v/>
      </c>
      <c r="Q100" s="42" t="str">
        <f>IF(Q$96="","",IF(Config!$G$50&lt;&gt;"Não",SUMIFS(BD!$F$3:$F$5001,BD!$B$3:$B$5001,Q$96,BD!$A$3:$A$5001,"&gt;="&amp;$C$7,BD!$A$3:$A$5001,"&lt;="&amp;$D$7),"—"))</f>
        <v/>
      </c>
      <c r="R100" s="42" t="str">
        <f>IF(R$96="","",IF(Config!$G$51&lt;&gt;"Não",SUMIFS(BD!$F$3:$F$5001,BD!$B$3:$B$5001,R$96,BD!$A$3:$A$5001,"&gt;="&amp;$C$7,BD!$A$3:$A$5001,"&lt;="&amp;$D$7),"—"))</f>
        <v/>
      </c>
      <c r="S100" s="42" t="str">
        <f>IF(S$96="","",IF(Config!$G$52&lt;&gt;"Não",SUMIFS(BD!$F$3:$F$5001,BD!$B$3:$B$5001,S$96,BD!$A$3:$A$5001,"&gt;="&amp;$C$7,BD!$A$3:$A$5001,"&lt;="&amp;$D$7),"—"))</f>
        <v/>
      </c>
      <c r="T100" s="42" t="str">
        <f>IF(T$96="","",IF(Config!$G$53&lt;&gt;"Não",SUMIFS(BD!$F$3:$F$5001,BD!$B$3:$B$5001,T$96,BD!$A$3:$A$5001,"&gt;="&amp;$C$7,BD!$A$3:$A$5001,"&lt;="&amp;$D$7),"—"))</f>
        <v/>
      </c>
      <c r="U100" s="42" t="str">
        <f>IF(U$96="","",IF(Config!$G$54&lt;&gt;"Não",SUMIFS(BD!$F$3:$F$5001,BD!$B$3:$B$5001,U$96,BD!$A$3:$A$5001,"&gt;="&amp;$C$7,BD!$A$3:$A$5001,"&lt;="&amp;$D$7),"—"))</f>
        <v/>
      </c>
      <c r="V100" s="73">
        <f>SUM(B100:U100)</f>
        <v>0</v>
      </c>
    </row>
    <row r="101">
      <c r="A101" s="40" t="inlineStr">
        <is>
          <t xml:space="preserve">IN · Bags Recebidos</t>
        </is>
      </c>
      <c r="B101" s="42">
        <f>IF(B$96="","",IF(Config!$H$35&lt;&gt;"Não",SUMIFS(BD!$G$3:$G$5001,BD!$B$3:$B$5001,B$96,BD!$A$3:$A$5001,"&gt;="&amp;$C$7,BD!$A$3:$A$5001,"&lt;="&amp;$D$7),"—"))</f>
        <v>0</v>
      </c>
      <c r="C101" s="42" t="str">
        <f>IF(C$96="","",IF(Config!$H$36&lt;&gt;"Não",SUMIFS(BD!$G$3:$G$5001,BD!$B$3:$B$5001,C$96,BD!$A$3:$A$5001,"&gt;="&amp;$C$7,BD!$A$3:$A$5001,"&lt;="&amp;$D$7),"—"))</f>
        <v>—</v>
      </c>
      <c r="D101" s="42" t="str">
        <f>IF(D$96="","",IF(Config!$H$37&lt;&gt;"Não",SUMIFS(BD!$G$3:$G$5001,BD!$B$3:$B$5001,D$96,BD!$A$3:$A$5001,"&gt;="&amp;$C$7,BD!$A$3:$A$5001,"&lt;="&amp;$D$7),"—"))</f>
        <v>—</v>
      </c>
      <c r="E101" s="42" t="str">
        <f>IF(E$96="","",IF(Config!$H$38&lt;&gt;"Não",SUMIFS(BD!$G$3:$G$5001,BD!$B$3:$B$5001,E$96,BD!$A$3:$A$5001,"&gt;="&amp;$C$7,BD!$A$3:$A$5001,"&lt;="&amp;$D$7),"—"))</f>
        <v>—</v>
      </c>
      <c r="F101" s="42" t="str">
        <f>IF(F$96="","",IF(Config!$H$39&lt;&gt;"Não",SUMIFS(BD!$G$3:$G$5001,BD!$B$3:$B$5001,F$96,BD!$A$3:$A$5001,"&gt;="&amp;$C$7,BD!$A$3:$A$5001,"&lt;="&amp;$D$7),"—"))</f>
        <v>—</v>
      </c>
      <c r="G101" s="42" t="str">
        <f>IF(G$96="","",IF(Config!$H$40&lt;&gt;"Não",SUMIFS(BD!$G$3:$G$5001,BD!$B$3:$B$5001,G$96,BD!$A$3:$A$5001,"&gt;="&amp;$C$7,BD!$A$3:$A$5001,"&lt;="&amp;$D$7),"—"))</f>
        <v/>
      </c>
      <c r="H101" s="42" t="str">
        <f>IF(H$96="","",IF(Config!$H$41&lt;&gt;"Não",SUMIFS(BD!$G$3:$G$5001,BD!$B$3:$B$5001,H$96,BD!$A$3:$A$5001,"&gt;="&amp;$C$7,BD!$A$3:$A$5001,"&lt;="&amp;$D$7),"—"))</f>
        <v/>
      </c>
      <c r="I101" s="42" t="str">
        <f>IF(I$96="","",IF(Config!$H$42&lt;&gt;"Não",SUMIFS(BD!$G$3:$G$5001,BD!$B$3:$B$5001,I$96,BD!$A$3:$A$5001,"&gt;="&amp;$C$7,BD!$A$3:$A$5001,"&lt;="&amp;$D$7),"—"))</f>
        <v/>
      </c>
      <c r="J101" s="42" t="str">
        <f>IF(J$96="","",IF(Config!$H$43&lt;&gt;"Não",SUMIFS(BD!$G$3:$G$5001,BD!$B$3:$B$5001,J$96,BD!$A$3:$A$5001,"&gt;="&amp;$C$7,BD!$A$3:$A$5001,"&lt;="&amp;$D$7),"—"))</f>
        <v/>
      </c>
      <c r="K101" s="42" t="str">
        <f>IF(K$96="","",IF(Config!$H$44&lt;&gt;"Não",SUMIFS(BD!$G$3:$G$5001,BD!$B$3:$B$5001,K$96,BD!$A$3:$A$5001,"&gt;="&amp;$C$7,BD!$A$3:$A$5001,"&lt;="&amp;$D$7),"—"))</f>
        <v/>
      </c>
      <c r="L101" s="42" t="str">
        <f>IF(L$96="","",IF(Config!$H$45&lt;&gt;"Não",SUMIFS(BD!$G$3:$G$5001,BD!$B$3:$B$5001,L$96,BD!$A$3:$A$5001,"&gt;="&amp;$C$7,BD!$A$3:$A$5001,"&lt;="&amp;$D$7),"—"))</f>
        <v/>
      </c>
      <c r="M101" s="42" t="str">
        <f>IF(M$96="","",IF(Config!$H$46&lt;&gt;"Não",SUMIFS(BD!$G$3:$G$5001,BD!$B$3:$B$5001,M$96,BD!$A$3:$A$5001,"&gt;="&amp;$C$7,BD!$A$3:$A$5001,"&lt;="&amp;$D$7),"—"))</f>
        <v/>
      </c>
      <c r="N101" s="42" t="str">
        <f>IF(N$96="","",IF(Config!$H$47&lt;&gt;"Não",SUMIFS(BD!$G$3:$G$5001,BD!$B$3:$B$5001,N$96,BD!$A$3:$A$5001,"&gt;="&amp;$C$7,BD!$A$3:$A$5001,"&lt;="&amp;$D$7),"—"))</f>
        <v/>
      </c>
      <c r="O101" s="42" t="str">
        <f>IF(O$96="","",IF(Config!$H$48&lt;&gt;"Não",SUMIFS(BD!$G$3:$G$5001,BD!$B$3:$B$5001,O$96,BD!$A$3:$A$5001,"&gt;="&amp;$C$7,BD!$A$3:$A$5001,"&lt;="&amp;$D$7),"—"))</f>
        <v/>
      </c>
      <c r="P101" s="42" t="str">
        <f>IF(P$96="","",IF(Config!$H$49&lt;&gt;"Não",SUMIFS(BD!$G$3:$G$5001,BD!$B$3:$B$5001,P$96,BD!$A$3:$A$5001,"&gt;="&amp;$C$7,BD!$A$3:$A$5001,"&lt;="&amp;$D$7),"—"))</f>
        <v/>
      </c>
      <c r="Q101" s="42" t="str">
        <f>IF(Q$96="","",IF(Config!$H$50&lt;&gt;"Não",SUMIFS(BD!$G$3:$G$5001,BD!$B$3:$B$5001,Q$96,BD!$A$3:$A$5001,"&gt;="&amp;$C$7,BD!$A$3:$A$5001,"&lt;="&amp;$D$7),"—"))</f>
        <v/>
      </c>
      <c r="R101" s="42" t="str">
        <f>IF(R$96="","",IF(Config!$H$51&lt;&gt;"Não",SUMIFS(BD!$G$3:$G$5001,BD!$B$3:$B$5001,R$96,BD!$A$3:$A$5001,"&gt;="&amp;$C$7,BD!$A$3:$A$5001,"&lt;="&amp;$D$7),"—"))</f>
        <v/>
      </c>
      <c r="S101" s="42" t="str">
        <f>IF(S$96="","",IF(Config!$H$52&lt;&gt;"Não",SUMIFS(BD!$G$3:$G$5001,BD!$B$3:$B$5001,S$96,BD!$A$3:$A$5001,"&gt;="&amp;$C$7,BD!$A$3:$A$5001,"&lt;="&amp;$D$7),"—"))</f>
        <v/>
      </c>
      <c r="T101" s="42" t="str">
        <f>IF(T$96="","",IF(Config!$H$53&lt;&gt;"Não",SUMIFS(BD!$G$3:$G$5001,BD!$B$3:$B$5001,T$96,BD!$A$3:$A$5001,"&gt;="&amp;$C$7,BD!$A$3:$A$5001,"&lt;="&amp;$D$7),"—"))</f>
        <v/>
      </c>
      <c r="U101" s="42" t="str">
        <f>IF(U$96="","",IF(Config!$H$54&lt;&gt;"Não",SUMIFS(BD!$G$3:$G$5001,BD!$B$3:$B$5001,U$96,BD!$A$3:$A$5001,"&gt;="&amp;$C$7,BD!$A$3:$A$5001,"&lt;="&amp;$D$7),"—"))</f>
        <v/>
      </c>
      <c r="V101" s="73">
        <f>SUM(B101:U101)</f>
        <v>0</v>
      </c>
    </row>
    <row r="102">
      <c r="A102" s="40" t="inlineStr">
        <is>
          <t xml:space="preserve">OUT · Veículos Expedidos</t>
        </is>
      </c>
      <c r="B102" s="42">
        <f>IF(B$96="","",IF(Config!$I$35&lt;&gt;"Não",SUMIFS(BD!$H$3:$H$5001,BD!$B$3:$B$5001,B$96,BD!$A$3:$A$5001,"&gt;="&amp;$C$7,BD!$A$3:$A$5001,"&lt;="&amp;$D$7),"—"))</f>
        <v>0</v>
      </c>
      <c r="C102" s="42">
        <f>IF(C$96="","",IF(Config!$I$36&lt;&gt;"Não",SUMIFS(BD!$H$3:$H$5001,BD!$B$3:$B$5001,C$96,BD!$A$3:$A$5001,"&gt;="&amp;$C$7,BD!$A$3:$A$5001,"&lt;="&amp;$D$7),"—"))</f>
        <v>0</v>
      </c>
      <c r="D102" s="42">
        <f>IF(D$96="","",IF(Config!$I$37&lt;&gt;"Não",SUMIFS(BD!$H$3:$H$5001,BD!$B$3:$B$5001,D$96,BD!$A$3:$A$5001,"&gt;="&amp;$C$7,BD!$A$3:$A$5001,"&lt;="&amp;$D$7),"—"))</f>
        <v>0</v>
      </c>
      <c r="E102" s="42">
        <f>IF(E$96="","",IF(Config!$I$38&lt;&gt;"Não",SUMIFS(BD!$H$3:$H$5001,BD!$B$3:$B$5001,E$96,BD!$A$3:$A$5001,"&gt;="&amp;$C$7,BD!$A$3:$A$5001,"&lt;="&amp;$D$7),"—"))</f>
        <v>0</v>
      </c>
      <c r="F102" s="42">
        <f>IF(F$96="","",IF(Config!$I$39&lt;&gt;"Não",SUMIFS(BD!$H$3:$H$5001,BD!$B$3:$B$5001,F$96,BD!$A$3:$A$5001,"&gt;="&amp;$C$7,BD!$A$3:$A$5001,"&lt;="&amp;$D$7),"—"))</f>
        <v>0</v>
      </c>
      <c r="G102" s="42" t="str">
        <f>IF(G$96="","",IF(Config!$I$40&lt;&gt;"Não",SUMIFS(BD!$H$3:$H$5001,BD!$B$3:$B$5001,G$96,BD!$A$3:$A$5001,"&gt;="&amp;$C$7,BD!$A$3:$A$5001,"&lt;="&amp;$D$7),"—"))</f>
        <v/>
      </c>
      <c r="H102" s="42" t="str">
        <f>IF(H$96="","",IF(Config!$I$41&lt;&gt;"Não",SUMIFS(BD!$H$3:$H$5001,BD!$B$3:$B$5001,H$96,BD!$A$3:$A$5001,"&gt;="&amp;$C$7,BD!$A$3:$A$5001,"&lt;="&amp;$D$7),"—"))</f>
        <v/>
      </c>
      <c r="I102" s="42" t="str">
        <f>IF(I$96="","",IF(Config!$I$42&lt;&gt;"Não",SUMIFS(BD!$H$3:$H$5001,BD!$B$3:$B$5001,I$96,BD!$A$3:$A$5001,"&gt;="&amp;$C$7,BD!$A$3:$A$5001,"&lt;="&amp;$D$7),"—"))</f>
        <v/>
      </c>
      <c r="J102" s="42" t="str">
        <f>IF(J$96="","",IF(Config!$I$43&lt;&gt;"Não",SUMIFS(BD!$H$3:$H$5001,BD!$B$3:$B$5001,J$96,BD!$A$3:$A$5001,"&gt;="&amp;$C$7,BD!$A$3:$A$5001,"&lt;="&amp;$D$7),"—"))</f>
        <v/>
      </c>
      <c r="K102" s="42" t="str">
        <f>IF(K$96="","",IF(Config!$I$44&lt;&gt;"Não",SUMIFS(BD!$H$3:$H$5001,BD!$B$3:$B$5001,K$96,BD!$A$3:$A$5001,"&gt;="&amp;$C$7,BD!$A$3:$A$5001,"&lt;="&amp;$D$7),"—"))</f>
        <v/>
      </c>
      <c r="L102" s="42" t="str">
        <f>IF(L$96="","",IF(Config!$I$45&lt;&gt;"Não",SUMIFS(BD!$H$3:$H$5001,BD!$B$3:$B$5001,L$96,BD!$A$3:$A$5001,"&gt;="&amp;$C$7,BD!$A$3:$A$5001,"&lt;="&amp;$D$7),"—"))</f>
        <v/>
      </c>
      <c r="M102" s="42" t="str">
        <f>IF(M$96="","",IF(Config!$I$46&lt;&gt;"Não",SUMIFS(BD!$H$3:$H$5001,BD!$B$3:$B$5001,M$96,BD!$A$3:$A$5001,"&gt;="&amp;$C$7,BD!$A$3:$A$5001,"&lt;="&amp;$D$7),"—"))</f>
        <v/>
      </c>
      <c r="N102" s="42" t="str">
        <f>IF(N$96="","",IF(Config!$I$47&lt;&gt;"Não",SUMIFS(BD!$H$3:$H$5001,BD!$B$3:$B$5001,N$96,BD!$A$3:$A$5001,"&gt;="&amp;$C$7,BD!$A$3:$A$5001,"&lt;="&amp;$D$7),"—"))</f>
        <v/>
      </c>
      <c r="O102" s="42" t="str">
        <f>IF(O$96="","",IF(Config!$I$48&lt;&gt;"Não",SUMIFS(BD!$H$3:$H$5001,BD!$B$3:$B$5001,O$96,BD!$A$3:$A$5001,"&gt;="&amp;$C$7,BD!$A$3:$A$5001,"&lt;="&amp;$D$7),"—"))</f>
        <v/>
      </c>
      <c r="P102" s="42" t="str">
        <f>IF(P$96="","",IF(Config!$I$49&lt;&gt;"Não",SUMIFS(BD!$H$3:$H$5001,BD!$B$3:$B$5001,P$96,BD!$A$3:$A$5001,"&gt;="&amp;$C$7,BD!$A$3:$A$5001,"&lt;="&amp;$D$7),"—"))</f>
        <v/>
      </c>
      <c r="Q102" s="42" t="str">
        <f>IF(Q$96="","",IF(Config!$I$50&lt;&gt;"Não",SUMIFS(BD!$H$3:$H$5001,BD!$B$3:$B$5001,Q$96,BD!$A$3:$A$5001,"&gt;="&amp;$C$7,BD!$A$3:$A$5001,"&lt;="&amp;$D$7),"—"))</f>
        <v/>
      </c>
      <c r="R102" s="42" t="str">
        <f>IF(R$96="","",IF(Config!$I$51&lt;&gt;"Não",SUMIFS(BD!$H$3:$H$5001,BD!$B$3:$B$5001,R$96,BD!$A$3:$A$5001,"&gt;="&amp;$C$7,BD!$A$3:$A$5001,"&lt;="&amp;$D$7),"—"))</f>
        <v/>
      </c>
      <c r="S102" s="42" t="str">
        <f>IF(S$96="","",IF(Config!$I$52&lt;&gt;"Não",SUMIFS(BD!$H$3:$H$5001,BD!$B$3:$B$5001,S$96,BD!$A$3:$A$5001,"&gt;="&amp;$C$7,BD!$A$3:$A$5001,"&lt;="&amp;$D$7),"—"))</f>
        <v/>
      </c>
      <c r="T102" s="42" t="str">
        <f>IF(T$96="","",IF(Config!$I$53&lt;&gt;"Não",SUMIFS(BD!$H$3:$H$5001,BD!$B$3:$B$5001,T$96,BD!$A$3:$A$5001,"&gt;="&amp;$C$7,BD!$A$3:$A$5001,"&lt;="&amp;$D$7),"—"))</f>
        <v/>
      </c>
      <c r="U102" s="42" t="str">
        <f>IF(U$96="","",IF(Config!$I$54&lt;&gt;"Não",SUMIFS(BD!$H$3:$H$5001,BD!$B$3:$B$5001,U$96,BD!$A$3:$A$5001,"&gt;="&amp;$C$7,BD!$A$3:$A$5001,"&lt;="&amp;$D$7),"—"))</f>
        <v/>
      </c>
      <c r="V102" s="73">
        <f>SUM(B102:U102)</f>
        <v>0</v>
      </c>
    </row>
    <row r="103">
      <c r="A103" s="40" t="inlineStr">
        <is>
          <t xml:space="preserve">OUT · Pallets Movimentados</t>
        </is>
      </c>
      <c r="B103" s="42">
        <f>IF(B$96="","",IF(Config!$J$35&lt;&gt;"Não",SUMIFS(BD!$I$3:$I$5001,BD!$B$3:$B$5001,B$96,BD!$A$3:$A$5001,"&gt;="&amp;$C$7,BD!$A$3:$A$5001,"&lt;="&amp;$D$7),"—"))</f>
        <v>0</v>
      </c>
      <c r="C103" s="42">
        <f>IF(C$96="","",IF(Config!$J$36&lt;&gt;"Não",SUMIFS(BD!$I$3:$I$5001,BD!$B$3:$B$5001,C$96,BD!$A$3:$A$5001,"&gt;="&amp;$C$7,BD!$A$3:$A$5001,"&lt;="&amp;$D$7),"—"))</f>
        <v>0</v>
      </c>
      <c r="D103" s="42">
        <f>IF(D$96="","",IF(Config!$J$37&lt;&gt;"Não",SUMIFS(BD!$I$3:$I$5001,BD!$B$3:$B$5001,D$96,BD!$A$3:$A$5001,"&gt;="&amp;$C$7,BD!$A$3:$A$5001,"&lt;="&amp;$D$7),"—"))</f>
        <v>0</v>
      </c>
      <c r="E103" s="42">
        <f>IF(E$96="","",IF(Config!$J$38&lt;&gt;"Não",SUMIFS(BD!$I$3:$I$5001,BD!$B$3:$B$5001,E$96,BD!$A$3:$A$5001,"&gt;="&amp;$C$7,BD!$A$3:$A$5001,"&lt;="&amp;$D$7),"—"))</f>
        <v>0</v>
      </c>
      <c r="F103" s="42">
        <f>IF(F$96="","",IF(Config!$J$39&lt;&gt;"Não",SUMIFS(BD!$I$3:$I$5001,BD!$B$3:$B$5001,F$96,BD!$A$3:$A$5001,"&gt;="&amp;$C$7,BD!$A$3:$A$5001,"&lt;="&amp;$D$7),"—"))</f>
        <v>0</v>
      </c>
      <c r="G103" s="42" t="str">
        <f>IF(G$96="","",IF(Config!$J$40&lt;&gt;"Não",SUMIFS(BD!$I$3:$I$5001,BD!$B$3:$B$5001,G$96,BD!$A$3:$A$5001,"&gt;="&amp;$C$7,BD!$A$3:$A$5001,"&lt;="&amp;$D$7),"—"))</f>
        <v/>
      </c>
      <c r="H103" s="42" t="str">
        <f>IF(H$96="","",IF(Config!$J$41&lt;&gt;"Não",SUMIFS(BD!$I$3:$I$5001,BD!$B$3:$B$5001,H$96,BD!$A$3:$A$5001,"&gt;="&amp;$C$7,BD!$A$3:$A$5001,"&lt;="&amp;$D$7),"—"))</f>
        <v/>
      </c>
      <c r="I103" s="42" t="str">
        <f>IF(I$96="","",IF(Config!$J$42&lt;&gt;"Não",SUMIFS(BD!$I$3:$I$5001,BD!$B$3:$B$5001,I$96,BD!$A$3:$A$5001,"&gt;="&amp;$C$7,BD!$A$3:$A$5001,"&lt;="&amp;$D$7),"—"))</f>
        <v/>
      </c>
      <c r="J103" s="42" t="str">
        <f>IF(J$96="","",IF(Config!$J$43&lt;&gt;"Não",SUMIFS(BD!$I$3:$I$5001,BD!$B$3:$B$5001,J$96,BD!$A$3:$A$5001,"&gt;="&amp;$C$7,BD!$A$3:$A$5001,"&lt;="&amp;$D$7),"—"))</f>
        <v/>
      </c>
      <c r="K103" s="42" t="str">
        <f>IF(K$96="","",IF(Config!$J$44&lt;&gt;"Não",SUMIFS(BD!$I$3:$I$5001,BD!$B$3:$B$5001,K$96,BD!$A$3:$A$5001,"&gt;="&amp;$C$7,BD!$A$3:$A$5001,"&lt;="&amp;$D$7),"—"))</f>
        <v/>
      </c>
      <c r="L103" s="42" t="str">
        <f>IF(L$96="","",IF(Config!$J$45&lt;&gt;"Não",SUMIFS(BD!$I$3:$I$5001,BD!$B$3:$B$5001,L$96,BD!$A$3:$A$5001,"&gt;="&amp;$C$7,BD!$A$3:$A$5001,"&lt;="&amp;$D$7),"—"))</f>
        <v/>
      </c>
      <c r="M103" s="42" t="str">
        <f>IF(M$96="","",IF(Config!$J$46&lt;&gt;"Não",SUMIFS(BD!$I$3:$I$5001,BD!$B$3:$B$5001,M$96,BD!$A$3:$A$5001,"&gt;="&amp;$C$7,BD!$A$3:$A$5001,"&lt;="&amp;$D$7),"—"))</f>
        <v/>
      </c>
      <c r="N103" s="42" t="str">
        <f>IF(N$96="","",IF(Config!$J$47&lt;&gt;"Não",SUMIFS(BD!$I$3:$I$5001,BD!$B$3:$B$5001,N$96,BD!$A$3:$A$5001,"&gt;="&amp;$C$7,BD!$A$3:$A$5001,"&lt;="&amp;$D$7),"—"))</f>
        <v/>
      </c>
      <c r="O103" s="42" t="str">
        <f>IF(O$96="","",IF(Config!$J$48&lt;&gt;"Não",SUMIFS(BD!$I$3:$I$5001,BD!$B$3:$B$5001,O$96,BD!$A$3:$A$5001,"&gt;="&amp;$C$7,BD!$A$3:$A$5001,"&lt;="&amp;$D$7),"—"))</f>
        <v/>
      </c>
      <c r="P103" s="42" t="str">
        <f>IF(P$96="","",IF(Config!$J$49&lt;&gt;"Não",SUMIFS(BD!$I$3:$I$5001,BD!$B$3:$B$5001,P$96,BD!$A$3:$A$5001,"&gt;="&amp;$C$7,BD!$A$3:$A$5001,"&lt;="&amp;$D$7),"—"))</f>
        <v/>
      </c>
      <c r="Q103" s="42" t="str">
        <f>IF(Q$96="","",IF(Config!$J$50&lt;&gt;"Não",SUMIFS(BD!$I$3:$I$5001,BD!$B$3:$B$5001,Q$96,BD!$A$3:$A$5001,"&gt;="&amp;$C$7,BD!$A$3:$A$5001,"&lt;="&amp;$D$7),"—"))</f>
        <v/>
      </c>
      <c r="R103" s="42" t="str">
        <f>IF(R$96="","",IF(Config!$J$51&lt;&gt;"Não",SUMIFS(BD!$I$3:$I$5001,BD!$B$3:$B$5001,R$96,BD!$A$3:$A$5001,"&gt;="&amp;$C$7,BD!$A$3:$A$5001,"&lt;="&amp;$D$7),"—"))</f>
        <v/>
      </c>
      <c r="S103" s="42" t="str">
        <f>IF(S$96="","",IF(Config!$J$52&lt;&gt;"Não",SUMIFS(BD!$I$3:$I$5001,BD!$B$3:$B$5001,S$96,BD!$A$3:$A$5001,"&gt;="&amp;$C$7,BD!$A$3:$A$5001,"&lt;="&amp;$D$7),"—"))</f>
        <v/>
      </c>
      <c r="T103" s="42" t="str">
        <f>IF(T$96="","",IF(Config!$J$53&lt;&gt;"Não",SUMIFS(BD!$I$3:$I$5001,BD!$B$3:$B$5001,T$96,BD!$A$3:$A$5001,"&gt;="&amp;$C$7,BD!$A$3:$A$5001,"&lt;="&amp;$D$7),"—"))</f>
        <v/>
      </c>
      <c r="U103" s="42" t="str">
        <f>IF(U$96="","",IF(Config!$J$54&lt;&gt;"Não",SUMIFS(BD!$I$3:$I$5001,BD!$B$3:$B$5001,U$96,BD!$A$3:$A$5001,"&gt;="&amp;$C$7,BD!$A$3:$A$5001,"&lt;="&amp;$D$7),"—"))</f>
        <v/>
      </c>
      <c r="V103" s="73">
        <f>SUM(B103:U103)</f>
        <v>0</v>
      </c>
    </row>
    <row r="104">
      <c r="A104" s="40" t="inlineStr">
        <is>
          <t xml:space="preserve">OUT · Toneladas Movimentadas</t>
        </is>
      </c>
      <c r="B104" s="72">
        <f>IF(B$96="","",IF(Config!$K$35&lt;&gt;"Não",SUMIFS(BD!$J$3:$J$5001,BD!$B$3:$B$5001,B$96,BD!$A$3:$A$5001,"&gt;="&amp;$C$7,BD!$A$3:$A$5001,"&lt;="&amp;$D$7),"—"))</f>
        <v>0</v>
      </c>
      <c r="C104" s="72">
        <f>IF(C$96="","",IF(Config!$K$36&lt;&gt;"Não",SUMIFS(BD!$J$3:$J$5001,BD!$B$3:$B$5001,C$96,BD!$A$3:$A$5001,"&gt;="&amp;$C$7,BD!$A$3:$A$5001,"&lt;="&amp;$D$7),"—"))</f>
        <v>0</v>
      </c>
      <c r="D104" s="72">
        <f>IF(D$96="","",IF(Config!$K$37&lt;&gt;"Não",SUMIFS(BD!$J$3:$J$5001,BD!$B$3:$B$5001,D$96,BD!$A$3:$A$5001,"&gt;="&amp;$C$7,BD!$A$3:$A$5001,"&lt;="&amp;$D$7),"—"))</f>
        <v>0</v>
      </c>
      <c r="E104" s="72">
        <f>IF(E$96="","",IF(Config!$K$38&lt;&gt;"Não",SUMIFS(BD!$J$3:$J$5001,BD!$B$3:$B$5001,E$96,BD!$A$3:$A$5001,"&gt;="&amp;$C$7,BD!$A$3:$A$5001,"&lt;="&amp;$D$7),"—"))</f>
        <v>0</v>
      </c>
      <c r="F104" s="72">
        <f>IF(F$96="","",IF(Config!$K$39&lt;&gt;"Não",SUMIFS(BD!$J$3:$J$5001,BD!$B$3:$B$5001,F$96,BD!$A$3:$A$5001,"&gt;="&amp;$C$7,BD!$A$3:$A$5001,"&lt;="&amp;$D$7),"—"))</f>
        <v>0</v>
      </c>
      <c r="G104" s="72" t="str">
        <f>IF(G$96="","",IF(Config!$K$40&lt;&gt;"Não",SUMIFS(BD!$J$3:$J$5001,BD!$B$3:$B$5001,G$96,BD!$A$3:$A$5001,"&gt;="&amp;$C$7,BD!$A$3:$A$5001,"&lt;="&amp;$D$7),"—"))</f>
        <v/>
      </c>
      <c r="H104" s="72" t="str">
        <f>IF(H$96="","",IF(Config!$K$41&lt;&gt;"Não",SUMIFS(BD!$J$3:$J$5001,BD!$B$3:$B$5001,H$96,BD!$A$3:$A$5001,"&gt;="&amp;$C$7,BD!$A$3:$A$5001,"&lt;="&amp;$D$7),"—"))</f>
        <v/>
      </c>
      <c r="I104" s="72" t="str">
        <f>IF(I$96="","",IF(Config!$K$42&lt;&gt;"Não",SUMIFS(BD!$J$3:$J$5001,BD!$B$3:$B$5001,I$96,BD!$A$3:$A$5001,"&gt;="&amp;$C$7,BD!$A$3:$A$5001,"&lt;="&amp;$D$7),"—"))</f>
        <v/>
      </c>
      <c r="J104" s="72" t="str">
        <f>IF(J$96="","",IF(Config!$K$43&lt;&gt;"Não",SUMIFS(BD!$J$3:$J$5001,BD!$B$3:$B$5001,J$96,BD!$A$3:$A$5001,"&gt;="&amp;$C$7,BD!$A$3:$A$5001,"&lt;="&amp;$D$7),"—"))</f>
        <v/>
      </c>
      <c r="K104" s="72" t="str">
        <f>IF(K$96="","",IF(Config!$K$44&lt;&gt;"Não",SUMIFS(BD!$J$3:$J$5001,BD!$B$3:$B$5001,K$96,BD!$A$3:$A$5001,"&gt;="&amp;$C$7,BD!$A$3:$A$5001,"&lt;="&amp;$D$7),"—"))</f>
        <v/>
      </c>
      <c r="L104" s="72" t="str">
        <f>IF(L$96="","",IF(Config!$K$45&lt;&gt;"Não",SUMIFS(BD!$J$3:$J$5001,BD!$B$3:$B$5001,L$96,BD!$A$3:$A$5001,"&gt;="&amp;$C$7,BD!$A$3:$A$5001,"&lt;="&amp;$D$7),"—"))</f>
        <v/>
      </c>
      <c r="M104" s="72" t="str">
        <f>IF(M$96="","",IF(Config!$K$46&lt;&gt;"Não",SUMIFS(BD!$J$3:$J$5001,BD!$B$3:$B$5001,M$96,BD!$A$3:$A$5001,"&gt;="&amp;$C$7,BD!$A$3:$A$5001,"&lt;="&amp;$D$7),"—"))</f>
        <v/>
      </c>
      <c r="N104" s="72" t="str">
        <f>IF(N$96="","",IF(Config!$K$47&lt;&gt;"Não",SUMIFS(BD!$J$3:$J$5001,BD!$B$3:$B$5001,N$96,BD!$A$3:$A$5001,"&gt;="&amp;$C$7,BD!$A$3:$A$5001,"&lt;="&amp;$D$7),"—"))</f>
        <v/>
      </c>
      <c r="O104" s="72" t="str">
        <f>IF(O$96="","",IF(Config!$K$48&lt;&gt;"Não",SUMIFS(BD!$J$3:$J$5001,BD!$B$3:$B$5001,O$96,BD!$A$3:$A$5001,"&gt;="&amp;$C$7,BD!$A$3:$A$5001,"&lt;="&amp;$D$7),"—"))</f>
        <v/>
      </c>
      <c r="P104" s="72" t="str">
        <f>IF(P$96="","",IF(Config!$K$49&lt;&gt;"Não",SUMIFS(BD!$J$3:$J$5001,BD!$B$3:$B$5001,P$96,BD!$A$3:$A$5001,"&gt;="&amp;$C$7,BD!$A$3:$A$5001,"&lt;="&amp;$D$7),"—"))</f>
        <v/>
      </c>
      <c r="Q104" s="72" t="str">
        <f>IF(Q$96="","",IF(Config!$K$50&lt;&gt;"Não",SUMIFS(BD!$J$3:$J$5001,BD!$B$3:$B$5001,Q$96,BD!$A$3:$A$5001,"&gt;="&amp;$C$7,BD!$A$3:$A$5001,"&lt;="&amp;$D$7),"—"))</f>
        <v/>
      </c>
      <c r="R104" s="72" t="str">
        <f>IF(R$96="","",IF(Config!$K$51&lt;&gt;"Não",SUMIFS(BD!$J$3:$J$5001,BD!$B$3:$B$5001,R$96,BD!$A$3:$A$5001,"&gt;="&amp;$C$7,BD!$A$3:$A$5001,"&lt;="&amp;$D$7),"—"))</f>
        <v/>
      </c>
      <c r="S104" s="72" t="str">
        <f>IF(S$96="","",IF(Config!$K$52&lt;&gt;"Não",SUMIFS(BD!$J$3:$J$5001,BD!$B$3:$B$5001,S$96,BD!$A$3:$A$5001,"&gt;="&amp;$C$7,BD!$A$3:$A$5001,"&lt;="&amp;$D$7),"—"))</f>
        <v/>
      </c>
      <c r="T104" s="72" t="str">
        <f>IF(T$96="","",IF(Config!$K$53&lt;&gt;"Não",SUMIFS(BD!$J$3:$J$5001,BD!$B$3:$B$5001,T$96,BD!$A$3:$A$5001,"&gt;="&amp;$C$7,BD!$A$3:$A$5001,"&lt;="&amp;$D$7),"—"))</f>
        <v/>
      </c>
      <c r="U104" s="72" t="str">
        <f>IF(U$96="","",IF(Config!$K$54&lt;&gt;"Não",SUMIFS(BD!$J$3:$J$5001,BD!$B$3:$B$5001,U$96,BD!$A$3:$A$5001,"&gt;="&amp;$C$7,BD!$A$3:$A$5001,"&lt;="&amp;$D$7),"—"))</f>
        <v/>
      </c>
      <c r="V104" s="74">
        <f>SUM(B104:U104)</f>
        <v>0</v>
      </c>
    </row>
    <row r="105">
      <c r="A105" s="40" t="inlineStr">
        <is>
          <t xml:space="preserve">OUT · Caixas Expedidas</t>
        </is>
      </c>
      <c r="B105" s="42">
        <f>IF(B$96="","",IF(Config!$L$35&lt;&gt;"Não",SUMIFS(BD!$K$3:$K$5001,BD!$B$3:$B$5001,B$96,BD!$A$3:$A$5001,"&gt;="&amp;$C$7,BD!$A$3:$A$5001,"&lt;="&amp;$D$7),"—"))</f>
        <v>0</v>
      </c>
      <c r="C105" s="42">
        <f>IF(C$96="","",IF(Config!$L$36&lt;&gt;"Não",SUMIFS(BD!$K$3:$K$5001,BD!$B$3:$B$5001,C$96,BD!$A$3:$A$5001,"&gt;="&amp;$C$7,BD!$A$3:$A$5001,"&lt;="&amp;$D$7),"—"))</f>
        <v>0</v>
      </c>
      <c r="D105" s="42">
        <f>IF(D$96="","",IF(Config!$L$37&lt;&gt;"Não",SUMIFS(BD!$K$3:$K$5001,BD!$B$3:$B$5001,D$96,BD!$A$3:$A$5001,"&gt;="&amp;$C$7,BD!$A$3:$A$5001,"&lt;="&amp;$D$7),"—"))</f>
        <v>0</v>
      </c>
      <c r="E105" s="42">
        <f>IF(E$96="","",IF(Config!$L$38&lt;&gt;"Não",SUMIFS(BD!$K$3:$K$5001,BD!$B$3:$B$5001,E$96,BD!$A$3:$A$5001,"&gt;="&amp;$C$7,BD!$A$3:$A$5001,"&lt;="&amp;$D$7),"—"))</f>
        <v>0</v>
      </c>
      <c r="F105" s="42">
        <f>IF(F$96="","",IF(Config!$L$39&lt;&gt;"Não",SUMIFS(BD!$K$3:$K$5001,BD!$B$3:$B$5001,F$96,BD!$A$3:$A$5001,"&gt;="&amp;$C$7,BD!$A$3:$A$5001,"&lt;="&amp;$D$7),"—"))</f>
        <v>0</v>
      </c>
      <c r="G105" s="42" t="str">
        <f>IF(G$96="","",IF(Config!$L$40&lt;&gt;"Não",SUMIFS(BD!$K$3:$K$5001,BD!$B$3:$B$5001,G$96,BD!$A$3:$A$5001,"&gt;="&amp;$C$7,BD!$A$3:$A$5001,"&lt;="&amp;$D$7),"—"))</f>
        <v/>
      </c>
      <c r="H105" s="42" t="str">
        <f>IF(H$96="","",IF(Config!$L$41&lt;&gt;"Não",SUMIFS(BD!$K$3:$K$5001,BD!$B$3:$B$5001,H$96,BD!$A$3:$A$5001,"&gt;="&amp;$C$7,BD!$A$3:$A$5001,"&lt;="&amp;$D$7),"—"))</f>
        <v/>
      </c>
      <c r="I105" s="42" t="str">
        <f>IF(I$96="","",IF(Config!$L$42&lt;&gt;"Não",SUMIFS(BD!$K$3:$K$5001,BD!$B$3:$B$5001,I$96,BD!$A$3:$A$5001,"&gt;="&amp;$C$7,BD!$A$3:$A$5001,"&lt;="&amp;$D$7),"—"))</f>
        <v/>
      </c>
      <c r="J105" s="42" t="str">
        <f>IF(J$96="","",IF(Config!$L$43&lt;&gt;"Não",SUMIFS(BD!$K$3:$K$5001,BD!$B$3:$B$5001,J$96,BD!$A$3:$A$5001,"&gt;="&amp;$C$7,BD!$A$3:$A$5001,"&lt;="&amp;$D$7),"—"))</f>
        <v/>
      </c>
      <c r="K105" s="42" t="str">
        <f>IF(K$96="","",IF(Config!$L$44&lt;&gt;"Não",SUMIFS(BD!$K$3:$K$5001,BD!$B$3:$B$5001,K$96,BD!$A$3:$A$5001,"&gt;="&amp;$C$7,BD!$A$3:$A$5001,"&lt;="&amp;$D$7),"—"))</f>
        <v/>
      </c>
      <c r="L105" s="42" t="str">
        <f>IF(L$96="","",IF(Config!$L$45&lt;&gt;"Não",SUMIFS(BD!$K$3:$K$5001,BD!$B$3:$B$5001,L$96,BD!$A$3:$A$5001,"&gt;="&amp;$C$7,BD!$A$3:$A$5001,"&lt;="&amp;$D$7),"—"))</f>
        <v/>
      </c>
      <c r="M105" s="42" t="str">
        <f>IF(M$96="","",IF(Config!$L$46&lt;&gt;"Não",SUMIFS(BD!$K$3:$K$5001,BD!$B$3:$B$5001,M$96,BD!$A$3:$A$5001,"&gt;="&amp;$C$7,BD!$A$3:$A$5001,"&lt;="&amp;$D$7),"—"))</f>
        <v/>
      </c>
      <c r="N105" s="42" t="str">
        <f>IF(N$96="","",IF(Config!$L$47&lt;&gt;"Não",SUMIFS(BD!$K$3:$K$5001,BD!$B$3:$B$5001,N$96,BD!$A$3:$A$5001,"&gt;="&amp;$C$7,BD!$A$3:$A$5001,"&lt;="&amp;$D$7),"—"))</f>
        <v/>
      </c>
      <c r="O105" s="42" t="str">
        <f>IF(O$96="","",IF(Config!$L$48&lt;&gt;"Não",SUMIFS(BD!$K$3:$K$5001,BD!$B$3:$B$5001,O$96,BD!$A$3:$A$5001,"&gt;="&amp;$C$7,BD!$A$3:$A$5001,"&lt;="&amp;$D$7),"—"))</f>
        <v/>
      </c>
      <c r="P105" s="42" t="str">
        <f>IF(P$96="","",IF(Config!$L$49&lt;&gt;"Não",SUMIFS(BD!$K$3:$K$5001,BD!$B$3:$B$5001,P$96,BD!$A$3:$A$5001,"&gt;="&amp;$C$7,BD!$A$3:$A$5001,"&lt;="&amp;$D$7),"—"))</f>
        <v/>
      </c>
      <c r="Q105" s="42" t="str">
        <f>IF(Q$96="","",IF(Config!$L$50&lt;&gt;"Não",SUMIFS(BD!$K$3:$K$5001,BD!$B$3:$B$5001,Q$96,BD!$A$3:$A$5001,"&gt;="&amp;$C$7,BD!$A$3:$A$5001,"&lt;="&amp;$D$7),"—"))</f>
        <v/>
      </c>
      <c r="R105" s="42" t="str">
        <f>IF(R$96="","",IF(Config!$L$51&lt;&gt;"Não",SUMIFS(BD!$K$3:$K$5001,BD!$B$3:$B$5001,R$96,BD!$A$3:$A$5001,"&gt;="&amp;$C$7,BD!$A$3:$A$5001,"&lt;="&amp;$D$7),"—"))</f>
        <v/>
      </c>
      <c r="S105" s="42" t="str">
        <f>IF(S$96="","",IF(Config!$L$52&lt;&gt;"Não",SUMIFS(BD!$K$3:$K$5001,BD!$B$3:$B$5001,S$96,BD!$A$3:$A$5001,"&gt;="&amp;$C$7,BD!$A$3:$A$5001,"&lt;="&amp;$D$7),"—"))</f>
        <v/>
      </c>
      <c r="T105" s="42" t="str">
        <f>IF(T$96="","",IF(Config!$L$53&lt;&gt;"Não",SUMIFS(BD!$K$3:$K$5001,BD!$B$3:$B$5001,T$96,BD!$A$3:$A$5001,"&gt;="&amp;$C$7,BD!$A$3:$A$5001,"&lt;="&amp;$D$7),"—"))</f>
        <v/>
      </c>
      <c r="U105" s="42" t="str">
        <f>IF(U$96="","",IF(Config!$L$54&lt;&gt;"Não",SUMIFS(BD!$K$3:$K$5001,BD!$B$3:$B$5001,U$96,BD!$A$3:$A$5001,"&gt;="&amp;$C$7,BD!$A$3:$A$5001,"&lt;="&amp;$D$7),"—"))</f>
        <v/>
      </c>
      <c r="V105" s="73">
        <f>SUM(B105:U105)</f>
        <v>0</v>
      </c>
    </row>
    <row r="106">
      <c r="A106" s="40" t="inlineStr">
        <is>
          <t xml:space="preserve">OUT · Pedidos Faturados</t>
        </is>
      </c>
      <c r="B106" s="42">
        <f>IF(B$96="","",IF(Config!$M$35&lt;&gt;"Não",SUMIFS(BD!$L$3:$L$5001,BD!$B$3:$B$5001,B$96,BD!$A$3:$A$5001,"&gt;="&amp;$C$7,BD!$A$3:$A$5001,"&lt;="&amp;$D$7),"—"))</f>
        <v>0</v>
      </c>
      <c r="C106" s="42">
        <f>IF(C$96="","",IF(Config!$M$36&lt;&gt;"Não",SUMIFS(BD!$L$3:$L$5001,BD!$B$3:$B$5001,C$96,BD!$A$3:$A$5001,"&gt;="&amp;$C$7,BD!$A$3:$A$5001,"&lt;="&amp;$D$7),"—"))</f>
        <v>0</v>
      </c>
      <c r="D106" s="42">
        <f>IF(D$96="","",IF(Config!$M$37&lt;&gt;"Não",SUMIFS(BD!$L$3:$L$5001,BD!$B$3:$B$5001,D$96,BD!$A$3:$A$5001,"&gt;="&amp;$C$7,BD!$A$3:$A$5001,"&lt;="&amp;$D$7),"—"))</f>
        <v>0</v>
      </c>
      <c r="E106" s="42">
        <f>IF(E$96="","",IF(Config!$M$38&lt;&gt;"Não",SUMIFS(BD!$L$3:$L$5001,BD!$B$3:$B$5001,E$96,BD!$A$3:$A$5001,"&gt;="&amp;$C$7,BD!$A$3:$A$5001,"&lt;="&amp;$D$7),"—"))</f>
        <v>0</v>
      </c>
      <c r="F106" s="42">
        <f>IF(F$96="","",IF(Config!$M$39&lt;&gt;"Não",SUMIFS(BD!$L$3:$L$5001,BD!$B$3:$B$5001,F$96,BD!$A$3:$A$5001,"&gt;="&amp;$C$7,BD!$A$3:$A$5001,"&lt;="&amp;$D$7),"—"))</f>
        <v>0</v>
      </c>
      <c r="G106" s="42" t="str">
        <f>IF(G$96="","",IF(Config!$M$40&lt;&gt;"Não",SUMIFS(BD!$L$3:$L$5001,BD!$B$3:$B$5001,G$96,BD!$A$3:$A$5001,"&gt;="&amp;$C$7,BD!$A$3:$A$5001,"&lt;="&amp;$D$7),"—"))</f>
        <v/>
      </c>
      <c r="H106" s="42" t="str">
        <f>IF(H$96="","",IF(Config!$M$41&lt;&gt;"Não",SUMIFS(BD!$L$3:$L$5001,BD!$B$3:$B$5001,H$96,BD!$A$3:$A$5001,"&gt;="&amp;$C$7,BD!$A$3:$A$5001,"&lt;="&amp;$D$7),"—"))</f>
        <v/>
      </c>
      <c r="I106" s="42" t="str">
        <f>IF(I$96="","",IF(Config!$M$42&lt;&gt;"Não",SUMIFS(BD!$L$3:$L$5001,BD!$B$3:$B$5001,I$96,BD!$A$3:$A$5001,"&gt;="&amp;$C$7,BD!$A$3:$A$5001,"&lt;="&amp;$D$7),"—"))</f>
        <v/>
      </c>
      <c r="J106" s="42" t="str">
        <f>IF(J$96="","",IF(Config!$M$43&lt;&gt;"Não",SUMIFS(BD!$L$3:$L$5001,BD!$B$3:$B$5001,J$96,BD!$A$3:$A$5001,"&gt;="&amp;$C$7,BD!$A$3:$A$5001,"&lt;="&amp;$D$7),"—"))</f>
        <v/>
      </c>
      <c r="K106" s="42" t="str">
        <f>IF(K$96="","",IF(Config!$M$44&lt;&gt;"Não",SUMIFS(BD!$L$3:$L$5001,BD!$B$3:$B$5001,K$96,BD!$A$3:$A$5001,"&gt;="&amp;$C$7,BD!$A$3:$A$5001,"&lt;="&amp;$D$7),"—"))</f>
        <v/>
      </c>
      <c r="L106" s="42" t="str">
        <f>IF(L$96="","",IF(Config!$M$45&lt;&gt;"Não",SUMIFS(BD!$L$3:$L$5001,BD!$B$3:$B$5001,L$96,BD!$A$3:$A$5001,"&gt;="&amp;$C$7,BD!$A$3:$A$5001,"&lt;="&amp;$D$7),"—"))</f>
        <v/>
      </c>
      <c r="M106" s="42" t="str">
        <f>IF(M$96="","",IF(Config!$M$46&lt;&gt;"Não",SUMIFS(BD!$L$3:$L$5001,BD!$B$3:$B$5001,M$96,BD!$A$3:$A$5001,"&gt;="&amp;$C$7,BD!$A$3:$A$5001,"&lt;="&amp;$D$7),"—"))</f>
        <v/>
      </c>
      <c r="N106" s="42" t="str">
        <f>IF(N$96="","",IF(Config!$M$47&lt;&gt;"Não",SUMIFS(BD!$L$3:$L$5001,BD!$B$3:$B$5001,N$96,BD!$A$3:$A$5001,"&gt;="&amp;$C$7,BD!$A$3:$A$5001,"&lt;="&amp;$D$7),"—"))</f>
        <v/>
      </c>
      <c r="O106" s="42" t="str">
        <f>IF(O$96="","",IF(Config!$M$48&lt;&gt;"Não",SUMIFS(BD!$L$3:$L$5001,BD!$B$3:$B$5001,O$96,BD!$A$3:$A$5001,"&gt;="&amp;$C$7,BD!$A$3:$A$5001,"&lt;="&amp;$D$7),"—"))</f>
        <v/>
      </c>
      <c r="P106" s="42" t="str">
        <f>IF(P$96="","",IF(Config!$M$49&lt;&gt;"Não",SUMIFS(BD!$L$3:$L$5001,BD!$B$3:$B$5001,P$96,BD!$A$3:$A$5001,"&gt;="&amp;$C$7,BD!$A$3:$A$5001,"&lt;="&amp;$D$7),"—"))</f>
        <v/>
      </c>
      <c r="Q106" s="42" t="str">
        <f>IF(Q$96="","",IF(Config!$M$50&lt;&gt;"Não",SUMIFS(BD!$L$3:$L$5001,BD!$B$3:$B$5001,Q$96,BD!$A$3:$A$5001,"&gt;="&amp;$C$7,BD!$A$3:$A$5001,"&lt;="&amp;$D$7),"—"))</f>
        <v/>
      </c>
      <c r="R106" s="42" t="str">
        <f>IF(R$96="","",IF(Config!$M$51&lt;&gt;"Não",SUMIFS(BD!$L$3:$L$5001,BD!$B$3:$B$5001,R$96,BD!$A$3:$A$5001,"&gt;="&amp;$C$7,BD!$A$3:$A$5001,"&lt;="&amp;$D$7),"—"))</f>
        <v/>
      </c>
      <c r="S106" s="42" t="str">
        <f>IF(S$96="","",IF(Config!$M$52&lt;&gt;"Não",SUMIFS(BD!$L$3:$L$5001,BD!$B$3:$B$5001,S$96,BD!$A$3:$A$5001,"&gt;="&amp;$C$7,BD!$A$3:$A$5001,"&lt;="&amp;$D$7),"—"))</f>
        <v/>
      </c>
      <c r="T106" s="42" t="str">
        <f>IF(T$96="","",IF(Config!$M$53&lt;&gt;"Não",SUMIFS(BD!$L$3:$L$5001,BD!$B$3:$B$5001,T$96,BD!$A$3:$A$5001,"&gt;="&amp;$C$7,BD!$A$3:$A$5001,"&lt;="&amp;$D$7),"—"))</f>
        <v/>
      </c>
      <c r="U106" s="42" t="str">
        <f>IF(U$96="","",IF(Config!$M$54&lt;&gt;"Não",SUMIFS(BD!$L$3:$L$5001,BD!$B$3:$B$5001,U$96,BD!$A$3:$A$5001,"&gt;="&amp;$C$7,BD!$A$3:$A$5001,"&lt;="&amp;$D$7),"—"))</f>
        <v/>
      </c>
      <c r="V106" s="73">
        <f>SUM(B106:U106)</f>
        <v>0</v>
      </c>
    </row>
    <row r="107">
      <c r="A107" s="40" t="inlineStr">
        <is>
          <t xml:space="preserve">OUT · Bags Expedidos</t>
        </is>
      </c>
      <c r="B107" s="42">
        <f>IF(B$96="","",IF(Config!$N$35&lt;&gt;"Não",SUMIFS(BD!$M$3:$M$5001,BD!$B$3:$B$5001,B$96,BD!$A$3:$A$5001,"&gt;="&amp;$C$7,BD!$A$3:$A$5001,"&lt;="&amp;$D$7),"—"))</f>
        <v>0</v>
      </c>
      <c r="C107" s="42" t="str">
        <f>IF(C$96="","",IF(Config!$N$36&lt;&gt;"Não",SUMIFS(BD!$M$3:$M$5001,BD!$B$3:$B$5001,C$96,BD!$A$3:$A$5001,"&gt;="&amp;$C$7,BD!$A$3:$A$5001,"&lt;="&amp;$D$7),"—"))</f>
        <v>—</v>
      </c>
      <c r="D107" s="42" t="str">
        <f>IF(D$96="","",IF(Config!$N$37&lt;&gt;"Não",SUMIFS(BD!$M$3:$M$5001,BD!$B$3:$B$5001,D$96,BD!$A$3:$A$5001,"&gt;="&amp;$C$7,BD!$A$3:$A$5001,"&lt;="&amp;$D$7),"—"))</f>
        <v>—</v>
      </c>
      <c r="E107" s="42" t="str">
        <f>IF(E$96="","",IF(Config!$N$38&lt;&gt;"Não",SUMIFS(BD!$M$3:$M$5001,BD!$B$3:$B$5001,E$96,BD!$A$3:$A$5001,"&gt;="&amp;$C$7,BD!$A$3:$A$5001,"&lt;="&amp;$D$7),"—"))</f>
        <v>—</v>
      </c>
      <c r="F107" s="42" t="str">
        <f>IF(F$96="","",IF(Config!$N$39&lt;&gt;"Não",SUMIFS(BD!$M$3:$M$5001,BD!$B$3:$B$5001,F$96,BD!$A$3:$A$5001,"&gt;="&amp;$C$7,BD!$A$3:$A$5001,"&lt;="&amp;$D$7),"—"))</f>
        <v>—</v>
      </c>
      <c r="G107" s="42" t="str">
        <f>IF(G$96="","",IF(Config!$N$40&lt;&gt;"Não",SUMIFS(BD!$M$3:$M$5001,BD!$B$3:$B$5001,G$96,BD!$A$3:$A$5001,"&gt;="&amp;$C$7,BD!$A$3:$A$5001,"&lt;="&amp;$D$7),"—"))</f>
        <v/>
      </c>
      <c r="H107" s="42" t="str">
        <f>IF(H$96="","",IF(Config!$N$41&lt;&gt;"Não",SUMIFS(BD!$M$3:$M$5001,BD!$B$3:$B$5001,H$96,BD!$A$3:$A$5001,"&gt;="&amp;$C$7,BD!$A$3:$A$5001,"&lt;="&amp;$D$7),"—"))</f>
        <v/>
      </c>
      <c r="I107" s="42" t="str">
        <f>IF(I$96="","",IF(Config!$N$42&lt;&gt;"Não",SUMIFS(BD!$M$3:$M$5001,BD!$B$3:$B$5001,I$96,BD!$A$3:$A$5001,"&gt;="&amp;$C$7,BD!$A$3:$A$5001,"&lt;="&amp;$D$7),"—"))</f>
        <v/>
      </c>
      <c r="J107" s="42" t="str">
        <f>IF(J$96="","",IF(Config!$N$43&lt;&gt;"Não",SUMIFS(BD!$M$3:$M$5001,BD!$B$3:$B$5001,J$96,BD!$A$3:$A$5001,"&gt;="&amp;$C$7,BD!$A$3:$A$5001,"&lt;="&amp;$D$7),"—"))</f>
        <v/>
      </c>
      <c r="K107" s="42" t="str">
        <f>IF(K$96="","",IF(Config!$N$44&lt;&gt;"Não",SUMIFS(BD!$M$3:$M$5001,BD!$B$3:$B$5001,K$96,BD!$A$3:$A$5001,"&gt;="&amp;$C$7,BD!$A$3:$A$5001,"&lt;="&amp;$D$7),"—"))</f>
        <v/>
      </c>
      <c r="L107" s="42" t="str">
        <f>IF(L$96="","",IF(Config!$N$45&lt;&gt;"Não",SUMIFS(BD!$M$3:$M$5001,BD!$B$3:$B$5001,L$96,BD!$A$3:$A$5001,"&gt;="&amp;$C$7,BD!$A$3:$A$5001,"&lt;="&amp;$D$7),"—"))</f>
        <v/>
      </c>
      <c r="M107" s="42" t="str">
        <f>IF(M$96="","",IF(Config!$N$46&lt;&gt;"Não",SUMIFS(BD!$M$3:$M$5001,BD!$B$3:$B$5001,M$96,BD!$A$3:$A$5001,"&gt;="&amp;$C$7,BD!$A$3:$A$5001,"&lt;="&amp;$D$7),"—"))</f>
        <v/>
      </c>
      <c r="N107" s="42" t="str">
        <f>IF(N$96="","",IF(Config!$N$47&lt;&gt;"Não",SUMIFS(BD!$M$3:$M$5001,BD!$B$3:$B$5001,N$96,BD!$A$3:$A$5001,"&gt;="&amp;$C$7,BD!$A$3:$A$5001,"&lt;="&amp;$D$7),"—"))</f>
        <v/>
      </c>
      <c r="O107" s="42" t="str">
        <f>IF(O$96="","",IF(Config!$N$48&lt;&gt;"Não",SUMIFS(BD!$M$3:$M$5001,BD!$B$3:$B$5001,O$96,BD!$A$3:$A$5001,"&gt;="&amp;$C$7,BD!$A$3:$A$5001,"&lt;="&amp;$D$7),"—"))</f>
        <v/>
      </c>
      <c r="P107" s="42" t="str">
        <f>IF(P$96="","",IF(Config!$N$49&lt;&gt;"Não",SUMIFS(BD!$M$3:$M$5001,BD!$B$3:$B$5001,P$96,BD!$A$3:$A$5001,"&gt;="&amp;$C$7,BD!$A$3:$A$5001,"&lt;="&amp;$D$7),"—"))</f>
        <v/>
      </c>
      <c r="Q107" s="42" t="str">
        <f>IF(Q$96="","",IF(Config!$N$50&lt;&gt;"Não",SUMIFS(BD!$M$3:$M$5001,BD!$B$3:$B$5001,Q$96,BD!$A$3:$A$5001,"&gt;="&amp;$C$7,BD!$A$3:$A$5001,"&lt;="&amp;$D$7),"—"))</f>
        <v/>
      </c>
      <c r="R107" s="42" t="str">
        <f>IF(R$96="","",IF(Config!$N$51&lt;&gt;"Não",SUMIFS(BD!$M$3:$M$5001,BD!$B$3:$B$5001,R$96,BD!$A$3:$A$5001,"&gt;="&amp;$C$7,BD!$A$3:$A$5001,"&lt;="&amp;$D$7),"—"))</f>
        <v/>
      </c>
      <c r="S107" s="42" t="str">
        <f>IF(S$96="","",IF(Config!$N$52&lt;&gt;"Não",SUMIFS(BD!$M$3:$M$5001,BD!$B$3:$B$5001,S$96,BD!$A$3:$A$5001,"&gt;="&amp;$C$7,BD!$A$3:$A$5001,"&lt;="&amp;$D$7),"—"))</f>
        <v/>
      </c>
      <c r="T107" s="42" t="str">
        <f>IF(T$96="","",IF(Config!$N$53&lt;&gt;"Não",SUMIFS(BD!$M$3:$M$5001,BD!$B$3:$B$5001,T$96,BD!$A$3:$A$5001,"&gt;="&amp;$C$7,BD!$A$3:$A$5001,"&lt;="&amp;$D$7),"—"))</f>
        <v/>
      </c>
      <c r="U107" s="42" t="str">
        <f>IF(U$96="","",IF(Config!$N$54&lt;&gt;"Não",SUMIFS(BD!$M$3:$M$5001,BD!$B$3:$B$5001,U$96,BD!$A$3:$A$5001,"&gt;="&amp;$C$7,BD!$A$3:$A$5001,"&lt;="&amp;$D$7),"—"))</f>
        <v/>
      </c>
      <c r="V107" s="73">
        <f>SUM(B107:U107)</f>
        <v>0</v>
      </c>
    </row>
    <row r="108">
      <c r="A108" s="40" t="inlineStr">
        <is>
          <t xml:space="preserve">NC · Incidentes</t>
        </is>
      </c>
      <c r="B108" s="42">
        <f>IF(B$96="","",IF(Config!$O$35&lt;&gt;"Não",SUMIFS(BD!$N$3:$N$5001,BD!$B$3:$B$5001,B$96,BD!$A$3:$A$5001,"&gt;="&amp;$C$7,BD!$A$3:$A$5001,"&lt;="&amp;$D$7),"—"))</f>
        <v>0</v>
      </c>
      <c r="C108" s="42">
        <f>IF(C$96="","",IF(Config!$O$36&lt;&gt;"Não",SUMIFS(BD!$N$3:$N$5001,BD!$B$3:$B$5001,C$96,BD!$A$3:$A$5001,"&gt;="&amp;$C$7,BD!$A$3:$A$5001,"&lt;="&amp;$D$7),"—"))</f>
        <v>0</v>
      </c>
      <c r="D108" s="42">
        <f>IF(D$96="","",IF(Config!$O$37&lt;&gt;"Não",SUMIFS(BD!$N$3:$N$5001,BD!$B$3:$B$5001,D$96,BD!$A$3:$A$5001,"&gt;="&amp;$C$7,BD!$A$3:$A$5001,"&lt;="&amp;$D$7),"—"))</f>
        <v>0</v>
      </c>
      <c r="E108" s="42">
        <f>IF(E$96="","",IF(Config!$O$38&lt;&gt;"Não",SUMIFS(BD!$N$3:$N$5001,BD!$B$3:$B$5001,E$96,BD!$A$3:$A$5001,"&gt;="&amp;$C$7,BD!$A$3:$A$5001,"&lt;="&amp;$D$7),"—"))</f>
        <v>0</v>
      </c>
      <c r="F108" s="42">
        <f>IF(F$96="","",IF(Config!$O$39&lt;&gt;"Não",SUMIFS(BD!$N$3:$N$5001,BD!$B$3:$B$5001,F$96,BD!$A$3:$A$5001,"&gt;="&amp;$C$7,BD!$A$3:$A$5001,"&lt;="&amp;$D$7),"—"))</f>
        <v>0</v>
      </c>
      <c r="G108" s="42" t="str">
        <f>IF(G$96="","",IF(Config!$O$40&lt;&gt;"Não",SUMIFS(BD!$N$3:$N$5001,BD!$B$3:$B$5001,G$96,BD!$A$3:$A$5001,"&gt;="&amp;$C$7,BD!$A$3:$A$5001,"&lt;="&amp;$D$7),"—"))</f>
        <v/>
      </c>
      <c r="H108" s="42" t="str">
        <f>IF(H$96="","",IF(Config!$O$41&lt;&gt;"Não",SUMIFS(BD!$N$3:$N$5001,BD!$B$3:$B$5001,H$96,BD!$A$3:$A$5001,"&gt;="&amp;$C$7,BD!$A$3:$A$5001,"&lt;="&amp;$D$7),"—"))</f>
        <v/>
      </c>
      <c r="I108" s="42" t="str">
        <f>IF(I$96="","",IF(Config!$O$42&lt;&gt;"Não",SUMIFS(BD!$N$3:$N$5001,BD!$B$3:$B$5001,I$96,BD!$A$3:$A$5001,"&gt;="&amp;$C$7,BD!$A$3:$A$5001,"&lt;="&amp;$D$7),"—"))</f>
        <v/>
      </c>
      <c r="J108" s="42" t="str">
        <f>IF(J$96="","",IF(Config!$O$43&lt;&gt;"Não",SUMIFS(BD!$N$3:$N$5001,BD!$B$3:$B$5001,J$96,BD!$A$3:$A$5001,"&gt;="&amp;$C$7,BD!$A$3:$A$5001,"&lt;="&amp;$D$7),"—"))</f>
        <v/>
      </c>
      <c r="K108" s="42" t="str">
        <f>IF(K$96="","",IF(Config!$O$44&lt;&gt;"Não",SUMIFS(BD!$N$3:$N$5001,BD!$B$3:$B$5001,K$96,BD!$A$3:$A$5001,"&gt;="&amp;$C$7,BD!$A$3:$A$5001,"&lt;="&amp;$D$7),"—"))</f>
        <v/>
      </c>
      <c r="L108" s="42" t="str">
        <f>IF(L$96="","",IF(Config!$O$45&lt;&gt;"Não",SUMIFS(BD!$N$3:$N$5001,BD!$B$3:$B$5001,L$96,BD!$A$3:$A$5001,"&gt;="&amp;$C$7,BD!$A$3:$A$5001,"&lt;="&amp;$D$7),"—"))</f>
        <v/>
      </c>
      <c r="M108" s="42" t="str">
        <f>IF(M$96="","",IF(Config!$O$46&lt;&gt;"Não",SUMIFS(BD!$N$3:$N$5001,BD!$B$3:$B$5001,M$96,BD!$A$3:$A$5001,"&gt;="&amp;$C$7,BD!$A$3:$A$5001,"&lt;="&amp;$D$7),"—"))</f>
        <v/>
      </c>
      <c r="N108" s="42" t="str">
        <f>IF(N$96="","",IF(Config!$O$47&lt;&gt;"Não",SUMIFS(BD!$N$3:$N$5001,BD!$B$3:$B$5001,N$96,BD!$A$3:$A$5001,"&gt;="&amp;$C$7,BD!$A$3:$A$5001,"&lt;="&amp;$D$7),"—"))</f>
        <v/>
      </c>
      <c r="O108" s="42" t="str">
        <f>IF(O$96="","",IF(Config!$O$48&lt;&gt;"Não",SUMIFS(BD!$N$3:$N$5001,BD!$B$3:$B$5001,O$96,BD!$A$3:$A$5001,"&gt;="&amp;$C$7,BD!$A$3:$A$5001,"&lt;="&amp;$D$7),"—"))</f>
        <v/>
      </c>
      <c r="P108" s="42" t="str">
        <f>IF(P$96="","",IF(Config!$O$49&lt;&gt;"Não",SUMIFS(BD!$N$3:$N$5001,BD!$B$3:$B$5001,P$96,BD!$A$3:$A$5001,"&gt;="&amp;$C$7,BD!$A$3:$A$5001,"&lt;="&amp;$D$7),"—"))</f>
        <v/>
      </c>
      <c r="Q108" s="42" t="str">
        <f>IF(Q$96="","",IF(Config!$O$50&lt;&gt;"Não",SUMIFS(BD!$N$3:$N$5001,BD!$B$3:$B$5001,Q$96,BD!$A$3:$A$5001,"&gt;="&amp;$C$7,BD!$A$3:$A$5001,"&lt;="&amp;$D$7),"—"))</f>
        <v/>
      </c>
      <c r="R108" s="42" t="str">
        <f>IF(R$96="","",IF(Config!$O$51&lt;&gt;"Não",SUMIFS(BD!$N$3:$N$5001,BD!$B$3:$B$5001,R$96,BD!$A$3:$A$5001,"&gt;="&amp;$C$7,BD!$A$3:$A$5001,"&lt;="&amp;$D$7),"—"))</f>
        <v/>
      </c>
      <c r="S108" s="42" t="str">
        <f>IF(S$96="","",IF(Config!$O$52&lt;&gt;"Não",SUMIFS(BD!$N$3:$N$5001,BD!$B$3:$B$5001,S$96,BD!$A$3:$A$5001,"&gt;="&amp;$C$7,BD!$A$3:$A$5001,"&lt;="&amp;$D$7),"—"))</f>
        <v/>
      </c>
      <c r="T108" s="42" t="str">
        <f>IF(T$96="","",IF(Config!$O$53&lt;&gt;"Não",SUMIFS(BD!$N$3:$N$5001,BD!$B$3:$B$5001,T$96,BD!$A$3:$A$5001,"&gt;="&amp;$C$7,BD!$A$3:$A$5001,"&lt;="&amp;$D$7),"—"))</f>
        <v/>
      </c>
      <c r="U108" s="42" t="str">
        <f>IF(U$96="","",IF(Config!$O$54&lt;&gt;"Não",SUMIFS(BD!$N$3:$N$5001,BD!$B$3:$B$5001,U$96,BD!$A$3:$A$5001,"&gt;="&amp;$C$7,BD!$A$3:$A$5001,"&lt;="&amp;$D$7),"—"))</f>
        <v/>
      </c>
      <c r="V108" s="73">
        <f>SUM(B108:U108)</f>
        <v>0</v>
      </c>
    </row>
    <row r="109">
      <c r="A109" s="40" t="inlineStr">
        <is>
          <t xml:space="preserve">NC · No show</t>
        </is>
      </c>
      <c r="B109" s="42">
        <f>IF(B$96="","",IF(Config!$P$35&lt;&gt;"Não",SUMIFS(BD!$O$3:$O$5001,BD!$B$3:$B$5001,B$96,BD!$A$3:$A$5001,"&gt;="&amp;$C$7,BD!$A$3:$A$5001,"&lt;="&amp;$D$7),"—"))</f>
        <v>0</v>
      </c>
      <c r="C109" s="42">
        <f>IF(C$96="","",IF(Config!$P$36&lt;&gt;"Não",SUMIFS(BD!$O$3:$O$5001,BD!$B$3:$B$5001,C$96,BD!$A$3:$A$5001,"&gt;="&amp;$C$7,BD!$A$3:$A$5001,"&lt;="&amp;$D$7),"—"))</f>
        <v>0</v>
      </c>
      <c r="D109" s="42">
        <f>IF(D$96="","",IF(Config!$P$37&lt;&gt;"Não",SUMIFS(BD!$O$3:$O$5001,BD!$B$3:$B$5001,D$96,BD!$A$3:$A$5001,"&gt;="&amp;$C$7,BD!$A$3:$A$5001,"&lt;="&amp;$D$7),"—"))</f>
        <v>0</v>
      </c>
      <c r="E109" s="42">
        <f>IF(E$96="","",IF(Config!$P$38&lt;&gt;"Não",SUMIFS(BD!$O$3:$O$5001,BD!$B$3:$B$5001,E$96,BD!$A$3:$A$5001,"&gt;="&amp;$C$7,BD!$A$3:$A$5001,"&lt;="&amp;$D$7),"—"))</f>
        <v>0</v>
      </c>
      <c r="F109" s="42">
        <f>IF(F$96="","",IF(Config!$P$39&lt;&gt;"Não",SUMIFS(BD!$O$3:$O$5001,BD!$B$3:$B$5001,F$96,BD!$A$3:$A$5001,"&gt;="&amp;$C$7,BD!$A$3:$A$5001,"&lt;="&amp;$D$7),"—"))</f>
        <v>0</v>
      </c>
      <c r="G109" s="42" t="str">
        <f>IF(G$96="","",IF(Config!$P$40&lt;&gt;"Não",SUMIFS(BD!$O$3:$O$5001,BD!$B$3:$B$5001,G$96,BD!$A$3:$A$5001,"&gt;="&amp;$C$7,BD!$A$3:$A$5001,"&lt;="&amp;$D$7),"—"))</f>
        <v/>
      </c>
      <c r="H109" s="42" t="str">
        <f>IF(H$96="","",IF(Config!$P$41&lt;&gt;"Não",SUMIFS(BD!$O$3:$O$5001,BD!$B$3:$B$5001,H$96,BD!$A$3:$A$5001,"&gt;="&amp;$C$7,BD!$A$3:$A$5001,"&lt;="&amp;$D$7),"—"))</f>
        <v/>
      </c>
      <c r="I109" s="42" t="str">
        <f>IF(I$96="","",IF(Config!$P$42&lt;&gt;"Não",SUMIFS(BD!$O$3:$O$5001,BD!$B$3:$B$5001,I$96,BD!$A$3:$A$5001,"&gt;="&amp;$C$7,BD!$A$3:$A$5001,"&lt;="&amp;$D$7),"—"))</f>
        <v/>
      </c>
      <c r="J109" s="42" t="str">
        <f>IF(J$96="","",IF(Config!$P$43&lt;&gt;"Não",SUMIFS(BD!$O$3:$O$5001,BD!$B$3:$B$5001,J$96,BD!$A$3:$A$5001,"&gt;="&amp;$C$7,BD!$A$3:$A$5001,"&lt;="&amp;$D$7),"—"))</f>
        <v/>
      </c>
      <c r="K109" s="42" t="str">
        <f>IF(K$96="","",IF(Config!$P$44&lt;&gt;"Não",SUMIFS(BD!$O$3:$O$5001,BD!$B$3:$B$5001,K$96,BD!$A$3:$A$5001,"&gt;="&amp;$C$7,BD!$A$3:$A$5001,"&lt;="&amp;$D$7),"—"))</f>
        <v/>
      </c>
      <c r="L109" s="42" t="str">
        <f>IF(L$96="","",IF(Config!$P$45&lt;&gt;"Não",SUMIFS(BD!$O$3:$O$5001,BD!$B$3:$B$5001,L$96,BD!$A$3:$A$5001,"&gt;="&amp;$C$7,BD!$A$3:$A$5001,"&lt;="&amp;$D$7),"—"))</f>
        <v/>
      </c>
      <c r="M109" s="42" t="str">
        <f>IF(M$96="","",IF(Config!$P$46&lt;&gt;"Não",SUMIFS(BD!$O$3:$O$5001,BD!$B$3:$B$5001,M$96,BD!$A$3:$A$5001,"&gt;="&amp;$C$7,BD!$A$3:$A$5001,"&lt;="&amp;$D$7),"—"))</f>
        <v/>
      </c>
      <c r="N109" s="42" t="str">
        <f>IF(N$96="","",IF(Config!$P$47&lt;&gt;"Não",SUMIFS(BD!$O$3:$O$5001,BD!$B$3:$B$5001,N$96,BD!$A$3:$A$5001,"&gt;="&amp;$C$7,BD!$A$3:$A$5001,"&lt;="&amp;$D$7),"—"))</f>
        <v/>
      </c>
      <c r="O109" s="42" t="str">
        <f>IF(O$96="","",IF(Config!$P$48&lt;&gt;"Não",SUMIFS(BD!$O$3:$O$5001,BD!$B$3:$B$5001,O$96,BD!$A$3:$A$5001,"&gt;="&amp;$C$7,BD!$A$3:$A$5001,"&lt;="&amp;$D$7),"—"))</f>
        <v/>
      </c>
      <c r="P109" s="42" t="str">
        <f>IF(P$96="","",IF(Config!$P$49&lt;&gt;"Não",SUMIFS(BD!$O$3:$O$5001,BD!$B$3:$B$5001,P$96,BD!$A$3:$A$5001,"&gt;="&amp;$C$7,BD!$A$3:$A$5001,"&lt;="&amp;$D$7),"—"))</f>
        <v/>
      </c>
      <c r="Q109" s="42" t="str">
        <f>IF(Q$96="","",IF(Config!$P$50&lt;&gt;"Não",SUMIFS(BD!$O$3:$O$5001,BD!$B$3:$B$5001,Q$96,BD!$A$3:$A$5001,"&gt;="&amp;$C$7,BD!$A$3:$A$5001,"&lt;="&amp;$D$7),"—"))</f>
        <v/>
      </c>
      <c r="R109" s="42" t="str">
        <f>IF(R$96="","",IF(Config!$P$51&lt;&gt;"Não",SUMIFS(BD!$O$3:$O$5001,BD!$B$3:$B$5001,R$96,BD!$A$3:$A$5001,"&gt;="&amp;$C$7,BD!$A$3:$A$5001,"&lt;="&amp;$D$7),"—"))</f>
        <v/>
      </c>
      <c r="S109" s="42" t="str">
        <f>IF(S$96="","",IF(Config!$P$52&lt;&gt;"Não",SUMIFS(BD!$O$3:$O$5001,BD!$B$3:$B$5001,S$96,BD!$A$3:$A$5001,"&gt;="&amp;$C$7,BD!$A$3:$A$5001,"&lt;="&amp;$D$7),"—"))</f>
        <v/>
      </c>
      <c r="T109" s="42" t="str">
        <f>IF(T$96="","",IF(Config!$P$53&lt;&gt;"Não",SUMIFS(BD!$O$3:$O$5001,BD!$B$3:$B$5001,T$96,BD!$A$3:$A$5001,"&gt;="&amp;$C$7,BD!$A$3:$A$5001,"&lt;="&amp;$D$7),"—"))</f>
        <v/>
      </c>
      <c r="U109" s="42" t="str">
        <f>IF(U$96="","",IF(Config!$P$54&lt;&gt;"Não",SUMIFS(BD!$O$3:$O$5001,BD!$B$3:$B$5001,U$96,BD!$A$3:$A$5001,"&gt;="&amp;$C$7,BD!$A$3:$A$5001,"&lt;="&amp;$D$7),"—"))</f>
        <v/>
      </c>
      <c r="V109" s="73">
        <f>SUM(B109:U109)</f>
        <v>0</v>
      </c>
    </row>
    <row r="110">
      <c r="A110" s="40" t="inlineStr">
        <is>
          <t xml:space="preserve">NC · Backlog Intralog</t>
        </is>
      </c>
      <c r="B110" s="42" t="str">
        <f>IF(B$96="","",IF(Config!$Q$35&lt;&gt;"Não",IF(COUNTIFS(BD!$B$3:$B$5001,B$96,BD!$A$3:$A$5001,"&gt;="&amp;$C$7,BD!$A$3:$A$5001,"&lt;="&amp;$D$7,BD!$P$3:$P$5001,"&lt;&gt;")=0,"",SUMIFS(BD!$P$3:$P$5001,BD!$B$3:$B$5001,B$96,BD!$A$3:$A$5001,_xlfn.MAXIFS(BD!$A$3:$A$5001,BD!$B$3:$B$5001,B$96,BD!$A$3:$A$5001,"&gt;="&amp;$C$7,BD!$A$3:$A$5001,"&lt;="&amp;$D$7,BD!$P$3:$P$5001,"&lt;&gt;"))),"—"))</f>
        <v/>
      </c>
      <c r="C110" s="42" t="str">
        <f>IF(C$96="","",IF(Config!$Q$36&lt;&gt;"Não",IF(COUNTIFS(BD!$B$3:$B$5001,C$96,BD!$A$3:$A$5001,"&gt;="&amp;$C$7,BD!$A$3:$A$5001,"&lt;="&amp;$D$7,BD!$P$3:$P$5001,"&lt;&gt;")=0,"",SUMIFS(BD!$P$3:$P$5001,BD!$B$3:$B$5001,C$96,BD!$A$3:$A$5001,_xlfn.MAXIFS(BD!$A$3:$A$5001,BD!$B$3:$B$5001,C$96,BD!$A$3:$A$5001,"&gt;="&amp;$C$7,BD!$A$3:$A$5001,"&lt;="&amp;$D$7,BD!$P$3:$P$5001,"&lt;&gt;"))),"—"))</f>
        <v/>
      </c>
      <c r="D110" s="42" t="str">
        <f>IF(D$96="","",IF(Config!$Q$37&lt;&gt;"Não",IF(COUNTIFS(BD!$B$3:$B$5001,D$96,BD!$A$3:$A$5001,"&gt;="&amp;$C$7,BD!$A$3:$A$5001,"&lt;="&amp;$D$7,BD!$P$3:$P$5001,"&lt;&gt;")=0,"",SUMIFS(BD!$P$3:$P$5001,BD!$B$3:$B$5001,D$96,BD!$A$3:$A$5001,_xlfn.MAXIFS(BD!$A$3:$A$5001,BD!$B$3:$B$5001,D$96,BD!$A$3:$A$5001,"&gt;="&amp;$C$7,BD!$A$3:$A$5001,"&lt;="&amp;$D$7,BD!$P$3:$P$5001,"&lt;&gt;"))),"—"))</f>
        <v/>
      </c>
      <c r="E110" s="42" t="str">
        <f>IF(E$96="","",IF(Config!$Q$38&lt;&gt;"Não",IF(COUNTIFS(BD!$B$3:$B$5001,E$96,BD!$A$3:$A$5001,"&gt;="&amp;$C$7,BD!$A$3:$A$5001,"&lt;="&amp;$D$7,BD!$P$3:$P$5001,"&lt;&gt;")=0,"",SUMIFS(BD!$P$3:$P$5001,BD!$B$3:$B$5001,E$96,BD!$A$3:$A$5001,_xlfn.MAXIFS(BD!$A$3:$A$5001,BD!$B$3:$B$5001,E$96,BD!$A$3:$A$5001,"&gt;="&amp;$C$7,BD!$A$3:$A$5001,"&lt;="&amp;$D$7,BD!$P$3:$P$5001,"&lt;&gt;"))),"—"))</f>
        <v/>
      </c>
      <c r="F110" s="42" t="str">
        <f>IF(F$96="","",IF(Config!$Q$39&lt;&gt;"Não",IF(COUNTIFS(BD!$B$3:$B$5001,F$96,BD!$A$3:$A$5001,"&gt;="&amp;$C$7,BD!$A$3:$A$5001,"&lt;="&amp;$D$7,BD!$P$3:$P$5001,"&lt;&gt;")=0,"",SUMIFS(BD!$P$3:$P$5001,BD!$B$3:$B$5001,F$96,BD!$A$3:$A$5001,_xlfn.MAXIFS(BD!$A$3:$A$5001,BD!$B$3:$B$5001,F$96,BD!$A$3:$A$5001,"&gt;="&amp;$C$7,BD!$A$3:$A$5001,"&lt;="&amp;$D$7,BD!$P$3:$P$5001,"&lt;&gt;"))),"—"))</f>
        <v/>
      </c>
      <c r="G110" s="42" t="str">
        <f>IF(G$96="","",IF(Config!$Q$40&lt;&gt;"Não",IF(COUNTIFS(BD!$B$3:$B$5001,G$96,BD!$A$3:$A$5001,"&gt;="&amp;$C$7,BD!$A$3:$A$5001,"&lt;="&amp;$D$7,BD!$P$3:$P$5001,"&lt;&gt;")=0,"",SUMIFS(BD!$P$3:$P$5001,BD!$B$3:$B$5001,G$96,BD!$A$3:$A$5001,_xlfn.MAXIFS(BD!$A$3:$A$5001,BD!$B$3:$B$5001,G$96,BD!$A$3:$A$5001,"&gt;="&amp;$C$7,BD!$A$3:$A$5001,"&lt;="&amp;$D$7,BD!$P$3:$P$5001,"&lt;&gt;"))),"—"))</f>
        <v/>
      </c>
      <c r="H110" s="42" t="str">
        <f>IF(H$96="","",IF(Config!$Q$41&lt;&gt;"Não",IF(COUNTIFS(BD!$B$3:$B$5001,H$96,BD!$A$3:$A$5001,"&gt;="&amp;$C$7,BD!$A$3:$A$5001,"&lt;="&amp;$D$7,BD!$P$3:$P$5001,"&lt;&gt;")=0,"",SUMIFS(BD!$P$3:$P$5001,BD!$B$3:$B$5001,H$96,BD!$A$3:$A$5001,_xlfn.MAXIFS(BD!$A$3:$A$5001,BD!$B$3:$B$5001,H$96,BD!$A$3:$A$5001,"&gt;="&amp;$C$7,BD!$A$3:$A$5001,"&lt;="&amp;$D$7,BD!$P$3:$P$5001,"&lt;&gt;"))),"—"))</f>
        <v/>
      </c>
      <c r="I110" s="42" t="str">
        <f>IF(I$96="","",IF(Config!$Q$42&lt;&gt;"Não",IF(COUNTIFS(BD!$B$3:$B$5001,I$96,BD!$A$3:$A$5001,"&gt;="&amp;$C$7,BD!$A$3:$A$5001,"&lt;="&amp;$D$7,BD!$P$3:$P$5001,"&lt;&gt;")=0,"",SUMIFS(BD!$P$3:$P$5001,BD!$B$3:$B$5001,I$96,BD!$A$3:$A$5001,_xlfn.MAXIFS(BD!$A$3:$A$5001,BD!$B$3:$B$5001,I$96,BD!$A$3:$A$5001,"&gt;="&amp;$C$7,BD!$A$3:$A$5001,"&lt;="&amp;$D$7,BD!$P$3:$P$5001,"&lt;&gt;"))),"—"))</f>
        <v/>
      </c>
      <c r="J110" s="42" t="str">
        <f>IF(J$96="","",IF(Config!$Q$43&lt;&gt;"Não",IF(COUNTIFS(BD!$B$3:$B$5001,J$96,BD!$A$3:$A$5001,"&gt;="&amp;$C$7,BD!$A$3:$A$5001,"&lt;="&amp;$D$7,BD!$P$3:$P$5001,"&lt;&gt;")=0,"",SUMIFS(BD!$P$3:$P$5001,BD!$B$3:$B$5001,J$96,BD!$A$3:$A$5001,_xlfn.MAXIFS(BD!$A$3:$A$5001,BD!$B$3:$B$5001,J$96,BD!$A$3:$A$5001,"&gt;="&amp;$C$7,BD!$A$3:$A$5001,"&lt;="&amp;$D$7,BD!$P$3:$P$5001,"&lt;&gt;"))),"—"))</f>
        <v/>
      </c>
      <c r="K110" s="42" t="str">
        <f>IF(K$96="","",IF(Config!$Q$44&lt;&gt;"Não",IF(COUNTIFS(BD!$B$3:$B$5001,K$96,BD!$A$3:$A$5001,"&gt;="&amp;$C$7,BD!$A$3:$A$5001,"&lt;="&amp;$D$7,BD!$P$3:$P$5001,"&lt;&gt;")=0,"",SUMIFS(BD!$P$3:$P$5001,BD!$B$3:$B$5001,K$96,BD!$A$3:$A$5001,_xlfn.MAXIFS(BD!$A$3:$A$5001,BD!$B$3:$B$5001,K$96,BD!$A$3:$A$5001,"&gt;="&amp;$C$7,BD!$A$3:$A$5001,"&lt;="&amp;$D$7,BD!$P$3:$P$5001,"&lt;&gt;"))),"—"))</f>
        <v/>
      </c>
      <c r="L110" s="42" t="str">
        <f>IF(L$96="","",IF(Config!$Q$45&lt;&gt;"Não",IF(COUNTIFS(BD!$B$3:$B$5001,L$96,BD!$A$3:$A$5001,"&gt;="&amp;$C$7,BD!$A$3:$A$5001,"&lt;="&amp;$D$7,BD!$P$3:$P$5001,"&lt;&gt;")=0,"",SUMIFS(BD!$P$3:$P$5001,BD!$B$3:$B$5001,L$96,BD!$A$3:$A$5001,_xlfn.MAXIFS(BD!$A$3:$A$5001,BD!$B$3:$B$5001,L$96,BD!$A$3:$A$5001,"&gt;="&amp;$C$7,BD!$A$3:$A$5001,"&lt;="&amp;$D$7,BD!$P$3:$P$5001,"&lt;&gt;"))),"—"))</f>
        <v/>
      </c>
      <c r="M110" s="42" t="str">
        <f>IF(M$96="","",IF(Config!$Q$46&lt;&gt;"Não",IF(COUNTIFS(BD!$B$3:$B$5001,M$96,BD!$A$3:$A$5001,"&gt;="&amp;$C$7,BD!$A$3:$A$5001,"&lt;="&amp;$D$7,BD!$P$3:$P$5001,"&lt;&gt;")=0,"",SUMIFS(BD!$P$3:$P$5001,BD!$B$3:$B$5001,M$96,BD!$A$3:$A$5001,_xlfn.MAXIFS(BD!$A$3:$A$5001,BD!$B$3:$B$5001,M$96,BD!$A$3:$A$5001,"&gt;="&amp;$C$7,BD!$A$3:$A$5001,"&lt;="&amp;$D$7,BD!$P$3:$P$5001,"&lt;&gt;"))),"—"))</f>
        <v/>
      </c>
      <c r="N110" s="42" t="str">
        <f>IF(N$96="","",IF(Config!$Q$47&lt;&gt;"Não",IF(COUNTIFS(BD!$B$3:$B$5001,N$96,BD!$A$3:$A$5001,"&gt;="&amp;$C$7,BD!$A$3:$A$5001,"&lt;="&amp;$D$7,BD!$P$3:$P$5001,"&lt;&gt;")=0,"",SUMIFS(BD!$P$3:$P$5001,BD!$B$3:$B$5001,N$96,BD!$A$3:$A$5001,_xlfn.MAXIFS(BD!$A$3:$A$5001,BD!$B$3:$B$5001,N$96,BD!$A$3:$A$5001,"&gt;="&amp;$C$7,BD!$A$3:$A$5001,"&lt;="&amp;$D$7,BD!$P$3:$P$5001,"&lt;&gt;"))),"—"))</f>
        <v/>
      </c>
      <c r="O110" s="42" t="str">
        <f>IF(O$96="","",IF(Config!$Q$48&lt;&gt;"Não",IF(COUNTIFS(BD!$B$3:$B$5001,O$96,BD!$A$3:$A$5001,"&gt;="&amp;$C$7,BD!$A$3:$A$5001,"&lt;="&amp;$D$7,BD!$P$3:$P$5001,"&lt;&gt;")=0,"",SUMIFS(BD!$P$3:$P$5001,BD!$B$3:$B$5001,O$96,BD!$A$3:$A$5001,_xlfn.MAXIFS(BD!$A$3:$A$5001,BD!$B$3:$B$5001,O$96,BD!$A$3:$A$5001,"&gt;="&amp;$C$7,BD!$A$3:$A$5001,"&lt;="&amp;$D$7,BD!$P$3:$P$5001,"&lt;&gt;"))),"—"))</f>
        <v/>
      </c>
      <c r="P110" s="42" t="str">
        <f>IF(P$96="","",IF(Config!$Q$49&lt;&gt;"Não",IF(COUNTIFS(BD!$B$3:$B$5001,P$96,BD!$A$3:$A$5001,"&gt;="&amp;$C$7,BD!$A$3:$A$5001,"&lt;="&amp;$D$7,BD!$P$3:$P$5001,"&lt;&gt;")=0,"",SUMIFS(BD!$P$3:$P$5001,BD!$B$3:$B$5001,P$96,BD!$A$3:$A$5001,_xlfn.MAXIFS(BD!$A$3:$A$5001,BD!$B$3:$B$5001,P$96,BD!$A$3:$A$5001,"&gt;="&amp;$C$7,BD!$A$3:$A$5001,"&lt;="&amp;$D$7,BD!$P$3:$P$5001,"&lt;&gt;"))),"—"))</f>
        <v/>
      </c>
      <c r="Q110" s="42" t="str">
        <f>IF(Q$96="","",IF(Config!$Q$50&lt;&gt;"Não",IF(COUNTIFS(BD!$B$3:$B$5001,Q$96,BD!$A$3:$A$5001,"&gt;="&amp;$C$7,BD!$A$3:$A$5001,"&lt;="&amp;$D$7,BD!$P$3:$P$5001,"&lt;&gt;")=0,"",SUMIFS(BD!$P$3:$P$5001,BD!$B$3:$B$5001,Q$96,BD!$A$3:$A$5001,_xlfn.MAXIFS(BD!$A$3:$A$5001,BD!$B$3:$B$5001,Q$96,BD!$A$3:$A$5001,"&gt;="&amp;$C$7,BD!$A$3:$A$5001,"&lt;="&amp;$D$7,BD!$P$3:$P$5001,"&lt;&gt;"))),"—"))</f>
        <v/>
      </c>
      <c r="R110" s="42" t="str">
        <f>IF(R$96="","",IF(Config!$Q$51&lt;&gt;"Não",IF(COUNTIFS(BD!$B$3:$B$5001,R$96,BD!$A$3:$A$5001,"&gt;="&amp;$C$7,BD!$A$3:$A$5001,"&lt;="&amp;$D$7,BD!$P$3:$P$5001,"&lt;&gt;")=0,"",SUMIFS(BD!$P$3:$P$5001,BD!$B$3:$B$5001,R$96,BD!$A$3:$A$5001,_xlfn.MAXIFS(BD!$A$3:$A$5001,BD!$B$3:$B$5001,R$96,BD!$A$3:$A$5001,"&gt;="&amp;$C$7,BD!$A$3:$A$5001,"&lt;="&amp;$D$7,BD!$P$3:$P$5001,"&lt;&gt;"))),"—"))</f>
        <v/>
      </c>
      <c r="S110" s="42" t="str">
        <f>IF(S$96="","",IF(Config!$Q$52&lt;&gt;"Não",IF(COUNTIFS(BD!$B$3:$B$5001,S$96,BD!$A$3:$A$5001,"&gt;="&amp;$C$7,BD!$A$3:$A$5001,"&lt;="&amp;$D$7,BD!$P$3:$P$5001,"&lt;&gt;")=0,"",SUMIFS(BD!$P$3:$P$5001,BD!$B$3:$B$5001,S$96,BD!$A$3:$A$5001,_xlfn.MAXIFS(BD!$A$3:$A$5001,BD!$B$3:$B$5001,S$96,BD!$A$3:$A$5001,"&gt;="&amp;$C$7,BD!$A$3:$A$5001,"&lt;="&amp;$D$7,BD!$P$3:$P$5001,"&lt;&gt;"))),"—"))</f>
        <v/>
      </c>
      <c r="T110" s="42" t="str">
        <f>IF(T$96="","",IF(Config!$Q$53&lt;&gt;"Não",IF(COUNTIFS(BD!$B$3:$B$5001,T$96,BD!$A$3:$A$5001,"&gt;="&amp;$C$7,BD!$A$3:$A$5001,"&lt;="&amp;$D$7,BD!$P$3:$P$5001,"&lt;&gt;")=0,"",SUMIFS(BD!$P$3:$P$5001,BD!$B$3:$B$5001,T$96,BD!$A$3:$A$5001,_xlfn.MAXIFS(BD!$A$3:$A$5001,BD!$B$3:$B$5001,T$96,BD!$A$3:$A$5001,"&gt;="&amp;$C$7,BD!$A$3:$A$5001,"&lt;="&amp;$D$7,BD!$P$3:$P$5001,"&lt;&gt;"))),"—"))</f>
        <v/>
      </c>
      <c r="U110" s="42" t="str">
        <f>IF(U$96="","",IF(Config!$Q$54&lt;&gt;"Não",IF(COUNTIFS(BD!$B$3:$B$5001,U$96,BD!$A$3:$A$5001,"&gt;="&amp;$C$7,BD!$A$3:$A$5001,"&lt;="&amp;$D$7,BD!$P$3:$P$5001,"&lt;&gt;")=0,"",SUMIFS(BD!$P$3:$P$5001,BD!$B$3:$B$5001,U$96,BD!$A$3:$A$5001,_xlfn.MAXIFS(BD!$A$3:$A$5001,BD!$B$3:$B$5001,U$96,BD!$A$3:$A$5001,"&gt;="&amp;$C$7,BD!$A$3:$A$5001,"&lt;="&amp;$D$7,BD!$P$3:$P$5001,"&lt;&gt;"))),"—"))</f>
        <v/>
      </c>
      <c r="V110" s="73">
        <f>SUM(B110:U110)</f>
        <v>0</v>
      </c>
    </row>
    <row r="111">
      <c r="A111" s="40" t="inlineStr">
        <is>
          <t xml:space="preserve">NC · Backlog Cliente</t>
        </is>
      </c>
      <c r="B111" s="42" t="str">
        <f>IF(B$96="","",IF(Config!$R$35&lt;&gt;"Não",IF(COUNTIFS(BD!$B$3:$B$5001,B$96,BD!$A$3:$A$5001,"&gt;="&amp;$C$7,BD!$A$3:$A$5001,"&lt;="&amp;$D$7,BD!$Q$3:$Q$5001,"&lt;&gt;")=0,"",SUMIFS(BD!$Q$3:$Q$5001,BD!$B$3:$B$5001,B$96,BD!$A$3:$A$5001,_xlfn.MAXIFS(BD!$A$3:$A$5001,BD!$B$3:$B$5001,B$96,BD!$A$3:$A$5001,"&gt;="&amp;$C$7,BD!$A$3:$A$5001,"&lt;="&amp;$D$7,BD!$Q$3:$Q$5001,"&lt;&gt;"))),"—"))</f>
        <v/>
      </c>
      <c r="C111" s="42" t="str">
        <f>IF(C$96="","",IF(Config!$R$36&lt;&gt;"Não",IF(COUNTIFS(BD!$B$3:$B$5001,C$96,BD!$A$3:$A$5001,"&gt;="&amp;$C$7,BD!$A$3:$A$5001,"&lt;="&amp;$D$7,BD!$Q$3:$Q$5001,"&lt;&gt;")=0,"",SUMIFS(BD!$Q$3:$Q$5001,BD!$B$3:$B$5001,C$96,BD!$A$3:$A$5001,_xlfn.MAXIFS(BD!$A$3:$A$5001,BD!$B$3:$B$5001,C$96,BD!$A$3:$A$5001,"&gt;="&amp;$C$7,BD!$A$3:$A$5001,"&lt;="&amp;$D$7,BD!$Q$3:$Q$5001,"&lt;&gt;"))),"—"))</f>
        <v/>
      </c>
      <c r="D111" s="42" t="str">
        <f>IF(D$96="","",IF(Config!$R$37&lt;&gt;"Não",IF(COUNTIFS(BD!$B$3:$B$5001,D$96,BD!$A$3:$A$5001,"&gt;="&amp;$C$7,BD!$A$3:$A$5001,"&lt;="&amp;$D$7,BD!$Q$3:$Q$5001,"&lt;&gt;")=0,"",SUMIFS(BD!$Q$3:$Q$5001,BD!$B$3:$B$5001,D$96,BD!$A$3:$A$5001,_xlfn.MAXIFS(BD!$A$3:$A$5001,BD!$B$3:$B$5001,D$96,BD!$A$3:$A$5001,"&gt;="&amp;$C$7,BD!$A$3:$A$5001,"&lt;="&amp;$D$7,BD!$Q$3:$Q$5001,"&lt;&gt;"))),"—"))</f>
        <v/>
      </c>
      <c r="E111" s="42" t="str">
        <f>IF(E$96="","",IF(Config!$R$38&lt;&gt;"Não",IF(COUNTIFS(BD!$B$3:$B$5001,E$96,BD!$A$3:$A$5001,"&gt;="&amp;$C$7,BD!$A$3:$A$5001,"&lt;="&amp;$D$7,BD!$Q$3:$Q$5001,"&lt;&gt;")=0,"",SUMIFS(BD!$Q$3:$Q$5001,BD!$B$3:$B$5001,E$96,BD!$A$3:$A$5001,_xlfn.MAXIFS(BD!$A$3:$A$5001,BD!$B$3:$B$5001,E$96,BD!$A$3:$A$5001,"&gt;="&amp;$C$7,BD!$A$3:$A$5001,"&lt;="&amp;$D$7,BD!$Q$3:$Q$5001,"&lt;&gt;"))),"—"))</f>
        <v/>
      </c>
      <c r="F111" s="42" t="str">
        <f>IF(F$96="","",IF(Config!$R$39&lt;&gt;"Não",IF(COUNTIFS(BD!$B$3:$B$5001,F$96,BD!$A$3:$A$5001,"&gt;="&amp;$C$7,BD!$A$3:$A$5001,"&lt;="&amp;$D$7,BD!$Q$3:$Q$5001,"&lt;&gt;")=0,"",SUMIFS(BD!$Q$3:$Q$5001,BD!$B$3:$B$5001,F$96,BD!$A$3:$A$5001,_xlfn.MAXIFS(BD!$A$3:$A$5001,BD!$B$3:$B$5001,F$96,BD!$A$3:$A$5001,"&gt;="&amp;$C$7,BD!$A$3:$A$5001,"&lt;="&amp;$D$7,BD!$Q$3:$Q$5001,"&lt;&gt;"))),"—"))</f>
        <v/>
      </c>
      <c r="G111" s="42" t="str">
        <f>IF(G$96="","",IF(Config!$R$40&lt;&gt;"Não",IF(COUNTIFS(BD!$B$3:$B$5001,G$96,BD!$A$3:$A$5001,"&gt;="&amp;$C$7,BD!$A$3:$A$5001,"&lt;="&amp;$D$7,BD!$Q$3:$Q$5001,"&lt;&gt;")=0,"",SUMIFS(BD!$Q$3:$Q$5001,BD!$B$3:$B$5001,G$96,BD!$A$3:$A$5001,_xlfn.MAXIFS(BD!$A$3:$A$5001,BD!$B$3:$B$5001,G$96,BD!$A$3:$A$5001,"&gt;="&amp;$C$7,BD!$A$3:$A$5001,"&lt;="&amp;$D$7,BD!$Q$3:$Q$5001,"&lt;&gt;"))),"—"))</f>
        <v/>
      </c>
      <c r="H111" s="42" t="str">
        <f>IF(H$96="","",IF(Config!$R$41&lt;&gt;"Não",IF(COUNTIFS(BD!$B$3:$B$5001,H$96,BD!$A$3:$A$5001,"&gt;="&amp;$C$7,BD!$A$3:$A$5001,"&lt;="&amp;$D$7,BD!$Q$3:$Q$5001,"&lt;&gt;")=0,"",SUMIFS(BD!$Q$3:$Q$5001,BD!$B$3:$B$5001,H$96,BD!$A$3:$A$5001,_xlfn.MAXIFS(BD!$A$3:$A$5001,BD!$B$3:$B$5001,H$96,BD!$A$3:$A$5001,"&gt;="&amp;$C$7,BD!$A$3:$A$5001,"&lt;="&amp;$D$7,BD!$Q$3:$Q$5001,"&lt;&gt;"))),"—"))</f>
        <v/>
      </c>
      <c r="I111" s="42" t="str">
        <f>IF(I$96="","",IF(Config!$R$42&lt;&gt;"Não",IF(COUNTIFS(BD!$B$3:$B$5001,I$96,BD!$A$3:$A$5001,"&gt;="&amp;$C$7,BD!$A$3:$A$5001,"&lt;="&amp;$D$7,BD!$Q$3:$Q$5001,"&lt;&gt;")=0,"",SUMIFS(BD!$Q$3:$Q$5001,BD!$B$3:$B$5001,I$96,BD!$A$3:$A$5001,_xlfn.MAXIFS(BD!$A$3:$A$5001,BD!$B$3:$B$5001,I$96,BD!$A$3:$A$5001,"&gt;="&amp;$C$7,BD!$A$3:$A$5001,"&lt;="&amp;$D$7,BD!$Q$3:$Q$5001,"&lt;&gt;"))),"—"))</f>
        <v/>
      </c>
      <c r="J111" s="42" t="str">
        <f>IF(J$96="","",IF(Config!$R$43&lt;&gt;"Não",IF(COUNTIFS(BD!$B$3:$B$5001,J$96,BD!$A$3:$A$5001,"&gt;="&amp;$C$7,BD!$A$3:$A$5001,"&lt;="&amp;$D$7,BD!$Q$3:$Q$5001,"&lt;&gt;")=0,"",SUMIFS(BD!$Q$3:$Q$5001,BD!$B$3:$B$5001,J$96,BD!$A$3:$A$5001,_xlfn.MAXIFS(BD!$A$3:$A$5001,BD!$B$3:$B$5001,J$96,BD!$A$3:$A$5001,"&gt;="&amp;$C$7,BD!$A$3:$A$5001,"&lt;="&amp;$D$7,BD!$Q$3:$Q$5001,"&lt;&gt;"))),"—"))</f>
        <v/>
      </c>
      <c r="K111" s="42" t="str">
        <f>IF(K$96="","",IF(Config!$R$44&lt;&gt;"Não",IF(COUNTIFS(BD!$B$3:$B$5001,K$96,BD!$A$3:$A$5001,"&gt;="&amp;$C$7,BD!$A$3:$A$5001,"&lt;="&amp;$D$7,BD!$Q$3:$Q$5001,"&lt;&gt;")=0,"",SUMIFS(BD!$Q$3:$Q$5001,BD!$B$3:$B$5001,K$96,BD!$A$3:$A$5001,_xlfn.MAXIFS(BD!$A$3:$A$5001,BD!$B$3:$B$5001,K$96,BD!$A$3:$A$5001,"&gt;="&amp;$C$7,BD!$A$3:$A$5001,"&lt;="&amp;$D$7,BD!$Q$3:$Q$5001,"&lt;&gt;"))),"—"))</f>
        <v/>
      </c>
      <c r="L111" s="42" t="str">
        <f>IF(L$96="","",IF(Config!$R$45&lt;&gt;"Não",IF(COUNTIFS(BD!$B$3:$B$5001,L$96,BD!$A$3:$A$5001,"&gt;="&amp;$C$7,BD!$A$3:$A$5001,"&lt;="&amp;$D$7,BD!$Q$3:$Q$5001,"&lt;&gt;")=0,"",SUMIFS(BD!$Q$3:$Q$5001,BD!$B$3:$B$5001,L$96,BD!$A$3:$A$5001,_xlfn.MAXIFS(BD!$A$3:$A$5001,BD!$B$3:$B$5001,L$96,BD!$A$3:$A$5001,"&gt;="&amp;$C$7,BD!$A$3:$A$5001,"&lt;="&amp;$D$7,BD!$Q$3:$Q$5001,"&lt;&gt;"))),"—"))</f>
        <v/>
      </c>
      <c r="M111" s="42" t="str">
        <f>IF(M$96="","",IF(Config!$R$46&lt;&gt;"Não",IF(COUNTIFS(BD!$B$3:$B$5001,M$96,BD!$A$3:$A$5001,"&gt;="&amp;$C$7,BD!$A$3:$A$5001,"&lt;="&amp;$D$7,BD!$Q$3:$Q$5001,"&lt;&gt;")=0,"",SUMIFS(BD!$Q$3:$Q$5001,BD!$B$3:$B$5001,M$96,BD!$A$3:$A$5001,_xlfn.MAXIFS(BD!$A$3:$A$5001,BD!$B$3:$B$5001,M$96,BD!$A$3:$A$5001,"&gt;="&amp;$C$7,BD!$A$3:$A$5001,"&lt;="&amp;$D$7,BD!$Q$3:$Q$5001,"&lt;&gt;"))),"—"))</f>
        <v/>
      </c>
      <c r="N111" s="42" t="str">
        <f>IF(N$96="","",IF(Config!$R$47&lt;&gt;"Não",IF(COUNTIFS(BD!$B$3:$B$5001,N$96,BD!$A$3:$A$5001,"&gt;="&amp;$C$7,BD!$A$3:$A$5001,"&lt;="&amp;$D$7,BD!$Q$3:$Q$5001,"&lt;&gt;")=0,"",SUMIFS(BD!$Q$3:$Q$5001,BD!$B$3:$B$5001,N$96,BD!$A$3:$A$5001,_xlfn.MAXIFS(BD!$A$3:$A$5001,BD!$B$3:$B$5001,N$96,BD!$A$3:$A$5001,"&gt;="&amp;$C$7,BD!$A$3:$A$5001,"&lt;="&amp;$D$7,BD!$Q$3:$Q$5001,"&lt;&gt;"))),"—"))</f>
        <v/>
      </c>
      <c r="O111" s="42" t="str">
        <f>IF(O$96="","",IF(Config!$R$48&lt;&gt;"Não",IF(COUNTIFS(BD!$B$3:$B$5001,O$96,BD!$A$3:$A$5001,"&gt;="&amp;$C$7,BD!$A$3:$A$5001,"&lt;="&amp;$D$7,BD!$Q$3:$Q$5001,"&lt;&gt;")=0,"",SUMIFS(BD!$Q$3:$Q$5001,BD!$B$3:$B$5001,O$96,BD!$A$3:$A$5001,_xlfn.MAXIFS(BD!$A$3:$A$5001,BD!$B$3:$B$5001,O$96,BD!$A$3:$A$5001,"&gt;="&amp;$C$7,BD!$A$3:$A$5001,"&lt;="&amp;$D$7,BD!$Q$3:$Q$5001,"&lt;&gt;"))),"—"))</f>
        <v/>
      </c>
      <c r="P111" s="42" t="str">
        <f>IF(P$96="","",IF(Config!$R$49&lt;&gt;"Não",IF(COUNTIFS(BD!$B$3:$B$5001,P$96,BD!$A$3:$A$5001,"&gt;="&amp;$C$7,BD!$A$3:$A$5001,"&lt;="&amp;$D$7,BD!$Q$3:$Q$5001,"&lt;&gt;")=0,"",SUMIFS(BD!$Q$3:$Q$5001,BD!$B$3:$B$5001,P$96,BD!$A$3:$A$5001,_xlfn.MAXIFS(BD!$A$3:$A$5001,BD!$B$3:$B$5001,P$96,BD!$A$3:$A$5001,"&gt;="&amp;$C$7,BD!$A$3:$A$5001,"&lt;="&amp;$D$7,BD!$Q$3:$Q$5001,"&lt;&gt;"))),"—"))</f>
        <v/>
      </c>
      <c r="Q111" s="42" t="str">
        <f>IF(Q$96="","",IF(Config!$R$50&lt;&gt;"Não",IF(COUNTIFS(BD!$B$3:$B$5001,Q$96,BD!$A$3:$A$5001,"&gt;="&amp;$C$7,BD!$A$3:$A$5001,"&lt;="&amp;$D$7,BD!$Q$3:$Q$5001,"&lt;&gt;")=0,"",SUMIFS(BD!$Q$3:$Q$5001,BD!$B$3:$B$5001,Q$96,BD!$A$3:$A$5001,_xlfn.MAXIFS(BD!$A$3:$A$5001,BD!$B$3:$B$5001,Q$96,BD!$A$3:$A$5001,"&gt;="&amp;$C$7,BD!$A$3:$A$5001,"&lt;="&amp;$D$7,BD!$Q$3:$Q$5001,"&lt;&gt;"))),"—"))</f>
        <v/>
      </c>
      <c r="R111" s="42" t="str">
        <f>IF(R$96="","",IF(Config!$R$51&lt;&gt;"Não",IF(COUNTIFS(BD!$B$3:$B$5001,R$96,BD!$A$3:$A$5001,"&gt;="&amp;$C$7,BD!$A$3:$A$5001,"&lt;="&amp;$D$7,BD!$Q$3:$Q$5001,"&lt;&gt;")=0,"",SUMIFS(BD!$Q$3:$Q$5001,BD!$B$3:$B$5001,R$96,BD!$A$3:$A$5001,_xlfn.MAXIFS(BD!$A$3:$A$5001,BD!$B$3:$B$5001,R$96,BD!$A$3:$A$5001,"&gt;="&amp;$C$7,BD!$A$3:$A$5001,"&lt;="&amp;$D$7,BD!$Q$3:$Q$5001,"&lt;&gt;"))),"—"))</f>
        <v/>
      </c>
      <c r="S111" s="42" t="str">
        <f>IF(S$96="","",IF(Config!$R$52&lt;&gt;"Não",IF(COUNTIFS(BD!$B$3:$B$5001,S$96,BD!$A$3:$A$5001,"&gt;="&amp;$C$7,BD!$A$3:$A$5001,"&lt;="&amp;$D$7,BD!$Q$3:$Q$5001,"&lt;&gt;")=0,"",SUMIFS(BD!$Q$3:$Q$5001,BD!$B$3:$B$5001,S$96,BD!$A$3:$A$5001,_xlfn.MAXIFS(BD!$A$3:$A$5001,BD!$B$3:$B$5001,S$96,BD!$A$3:$A$5001,"&gt;="&amp;$C$7,BD!$A$3:$A$5001,"&lt;="&amp;$D$7,BD!$Q$3:$Q$5001,"&lt;&gt;"))),"—"))</f>
        <v/>
      </c>
      <c r="T111" s="42" t="str">
        <f>IF(T$96="","",IF(Config!$R$53&lt;&gt;"Não",IF(COUNTIFS(BD!$B$3:$B$5001,T$96,BD!$A$3:$A$5001,"&gt;="&amp;$C$7,BD!$A$3:$A$5001,"&lt;="&amp;$D$7,BD!$Q$3:$Q$5001,"&lt;&gt;")=0,"",SUMIFS(BD!$Q$3:$Q$5001,BD!$B$3:$B$5001,T$96,BD!$A$3:$A$5001,_xlfn.MAXIFS(BD!$A$3:$A$5001,BD!$B$3:$B$5001,T$96,BD!$A$3:$A$5001,"&gt;="&amp;$C$7,BD!$A$3:$A$5001,"&lt;="&amp;$D$7,BD!$Q$3:$Q$5001,"&lt;&gt;"))),"—"))</f>
        <v/>
      </c>
      <c r="U111" s="42" t="str">
        <f>IF(U$96="","",IF(Config!$R$54&lt;&gt;"Não",IF(COUNTIFS(BD!$B$3:$B$5001,U$96,BD!$A$3:$A$5001,"&gt;="&amp;$C$7,BD!$A$3:$A$5001,"&lt;="&amp;$D$7,BD!$Q$3:$Q$5001,"&lt;&gt;")=0,"",SUMIFS(BD!$Q$3:$Q$5001,BD!$B$3:$B$5001,U$96,BD!$A$3:$A$5001,_xlfn.MAXIFS(BD!$A$3:$A$5001,BD!$B$3:$B$5001,U$96,BD!$A$3:$A$5001,"&gt;="&amp;$C$7,BD!$A$3:$A$5001,"&lt;="&amp;$D$7,BD!$Q$3:$Q$5001,"&lt;&gt;"))),"—"))</f>
        <v/>
      </c>
      <c r="V111" s="73">
        <f>SUM(B111:U111)</f>
        <v>0</v>
      </c>
    </row>
    <row r="112">
      <c r="A112" s="40" t="inlineStr">
        <is>
          <t xml:space="preserve">OCUPAÇÃO (P.P) · Posições Disponíveis</t>
        </is>
      </c>
      <c r="B112" s="42" t="str">
        <f>IF(B$96="","",IF(Config!$S$35&lt;&gt;"Não",IF(N(IF(COUNTIFS(BD!$B$3:$B$5001,B$96,BD!$A$3:$A$5001,"&gt;="&amp;$C$7,BD!$A$3:$A$5001,"&lt;="&amp;$D$7,BD!$S$3:$S$5001,"&lt;&gt;")=0,"",SUMIFS(BD!$R$3:$R$5001,BD!$B$3:$B$5001,B$96,BD!$A$3:$A$5001,_xlfn.MAXIFS(BD!$A$3:$A$5001,BD!$B$3:$B$5001,B$96,BD!$A$3:$A$5001,"&gt;="&amp;$C$7,BD!$A$3:$A$5001,"&lt;="&amp;$D$7,BD!$S$3:$S$5001,"&lt;&gt;"))))=0,"",IF(COUNTIFS(BD!$B$3:$B$5001,B$96,BD!$A$3:$A$5001,"&gt;="&amp;$C$7,BD!$A$3:$A$5001,"&lt;="&amp;$D$7,BD!$S$3:$S$5001,"&lt;&gt;")=0,"",SUMIFS(BD!$R$3:$R$5001,BD!$B$3:$B$5001,B$96,BD!$A$3:$A$5001,_xlfn.MAXIFS(BD!$A$3:$A$5001,BD!$B$3:$B$5001,B$96,BD!$A$3:$A$5001,"&gt;="&amp;$C$7,BD!$A$3:$A$5001,"&lt;="&amp;$D$7,BD!$S$3:$S$5001,"&lt;&gt;")))),"—"))</f>
        <v/>
      </c>
      <c r="C112" s="42" t="str">
        <f>IF(C$96="","",IF(Config!$S$36&lt;&gt;"Não",IF(N(IF(COUNTIFS(BD!$B$3:$B$5001,C$96,BD!$A$3:$A$5001,"&gt;="&amp;$C$7,BD!$A$3:$A$5001,"&lt;="&amp;$D$7,BD!$S$3:$S$5001,"&lt;&gt;")=0,"",SUMIFS(BD!$R$3:$R$5001,BD!$B$3:$B$5001,C$96,BD!$A$3:$A$5001,_xlfn.MAXIFS(BD!$A$3:$A$5001,BD!$B$3:$B$5001,C$96,BD!$A$3:$A$5001,"&gt;="&amp;$C$7,BD!$A$3:$A$5001,"&lt;="&amp;$D$7,BD!$S$3:$S$5001,"&lt;&gt;"))))=0,"",IF(COUNTIFS(BD!$B$3:$B$5001,C$96,BD!$A$3:$A$5001,"&gt;="&amp;$C$7,BD!$A$3:$A$5001,"&lt;="&amp;$D$7,BD!$S$3:$S$5001,"&lt;&gt;")=0,"",SUMIFS(BD!$R$3:$R$5001,BD!$B$3:$B$5001,C$96,BD!$A$3:$A$5001,_xlfn.MAXIFS(BD!$A$3:$A$5001,BD!$B$3:$B$5001,C$96,BD!$A$3:$A$5001,"&gt;="&amp;$C$7,BD!$A$3:$A$5001,"&lt;="&amp;$D$7,BD!$S$3:$S$5001,"&lt;&gt;")))),"—"))</f>
        <v>—</v>
      </c>
      <c r="D112" s="42" t="str">
        <f>IF(D$96="","",IF(Config!$S$37&lt;&gt;"Não",IF(N(IF(COUNTIFS(BD!$B$3:$B$5001,D$96,BD!$A$3:$A$5001,"&gt;="&amp;$C$7,BD!$A$3:$A$5001,"&lt;="&amp;$D$7,BD!$S$3:$S$5001,"&lt;&gt;")=0,"",SUMIFS(BD!$R$3:$R$5001,BD!$B$3:$B$5001,D$96,BD!$A$3:$A$5001,_xlfn.MAXIFS(BD!$A$3:$A$5001,BD!$B$3:$B$5001,D$96,BD!$A$3:$A$5001,"&gt;="&amp;$C$7,BD!$A$3:$A$5001,"&lt;="&amp;$D$7,BD!$S$3:$S$5001,"&lt;&gt;"))))=0,"",IF(COUNTIFS(BD!$B$3:$B$5001,D$96,BD!$A$3:$A$5001,"&gt;="&amp;$C$7,BD!$A$3:$A$5001,"&lt;="&amp;$D$7,BD!$S$3:$S$5001,"&lt;&gt;")=0,"",SUMIFS(BD!$R$3:$R$5001,BD!$B$3:$B$5001,D$96,BD!$A$3:$A$5001,_xlfn.MAXIFS(BD!$A$3:$A$5001,BD!$B$3:$B$5001,D$96,BD!$A$3:$A$5001,"&gt;="&amp;$C$7,BD!$A$3:$A$5001,"&lt;="&amp;$D$7,BD!$S$3:$S$5001,"&lt;&gt;")))),"—"))</f>
        <v>—</v>
      </c>
      <c r="E112" s="42" t="str">
        <f>IF(E$96="","",IF(Config!$S$38&lt;&gt;"Não",IF(N(IF(COUNTIFS(BD!$B$3:$B$5001,E$96,BD!$A$3:$A$5001,"&gt;="&amp;$C$7,BD!$A$3:$A$5001,"&lt;="&amp;$D$7,BD!$S$3:$S$5001,"&lt;&gt;")=0,"",SUMIFS(BD!$R$3:$R$5001,BD!$B$3:$B$5001,E$96,BD!$A$3:$A$5001,_xlfn.MAXIFS(BD!$A$3:$A$5001,BD!$B$3:$B$5001,E$96,BD!$A$3:$A$5001,"&gt;="&amp;$C$7,BD!$A$3:$A$5001,"&lt;="&amp;$D$7,BD!$S$3:$S$5001,"&lt;&gt;"))))=0,"",IF(COUNTIFS(BD!$B$3:$B$5001,E$96,BD!$A$3:$A$5001,"&gt;="&amp;$C$7,BD!$A$3:$A$5001,"&lt;="&amp;$D$7,BD!$S$3:$S$5001,"&lt;&gt;")=0,"",SUMIFS(BD!$R$3:$R$5001,BD!$B$3:$B$5001,E$96,BD!$A$3:$A$5001,_xlfn.MAXIFS(BD!$A$3:$A$5001,BD!$B$3:$B$5001,E$96,BD!$A$3:$A$5001,"&gt;="&amp;$C$7,BD!$A$3:$A$5001,"&lt;="&amp;$D$7,BD!$S$3:$S$5001,"&lt;&gt;")))),"—"))</f>
        <v>—</v>
      </c>
      <c r="F112" s="42" t="str">
        <f>IF(F$96="","",IF(Config!$S$39&lt;&gt;"Não",IF(N(IF(COUNTIFS(BD!$B$3:$B$5001,F$96,BD!$A$3:$A$5001,"&gt;="&amp;$C$7,BD!$A$3:$A$5001,"&lt;="&amp;$D$7,BD!$S$3:$S$5001,"&lt;&gt;")=0,"",SUMIFS(BD!$R$3:$R$5001,BD!$B$3:$B$5001,F$96,BD!$A$3:$A$5001,_xlfn.MAXIFS(BD!$A$3:$A$5001,BD!$B$3:$B$5001,F$96,BD!$A$3:$A$5001,"&gt;="&amp;$C$7,BD!$A$3:$A$5001,"&lt;="&amp;$D$7,BD!$S$3:$S$5001,"&lt;&gt;"))))=0,"",IF(COUNTIFS(BD!$B$3:$B$5001,F$96,BD!$A$3:$A$5001,"&gt;="&amp;$C$7,BD!$A$3:$A$5001,"&lt;="&amp;$D$7,BD!$S$3:$S$5001,"&lt;&gt;")=0,"",SUMIFS(BD!$R$3:$R$5001,BD!$B$3:$B$5001,F$96,BD!$A$3:$A$5001,_xlfn.MAXIFS(BD!$A$3:$A$5001,BD!$B$3:$B$5001,F$96,BD!$A$3:$A$5001,"&gt;="&amp;$C$7,BD!$A$3:$A$5001,"&lt;="&amp;$D$7,BD!$S$3:$S$5001,"&lt;&gt;")))),"—"))</f>
        <v/>
      </c>
      <c r="G112" s="42" t="str">
        <f>IF(G$96="","",IF(Config!$S$40&lt;&gt;"Não",IF(N(IF(COUNTIFS(BD!$B$3:$B$5001,G$96,BD!$A$3:$A$5001,"&gt;="&amp;$C$7,BD!$A$3:$A$5001,"&lt;="&amp;$D$7,BD!$S$3:$S$5001,"&lt;&gt;")=0,"",SUMIFS(BD!$R$3:$R$5001,BD!$B$3:$B$5001,G$96,BD!$A$3:$A$5001,_xlfn.MAXIFS(BD!$A$3:$A$5001,BD!$B$3:$B$5001,G$96,BD!$A$3:$A$5001,"&gt;="&amp;$C$7,BD!$A$3:$A$5001,"&lt;="&amp;$D$7,BD!$S$3:$S$5001,"&lt;&gt;"))))=0,"",IF(COUNTIFS(BD!$B$3:$B$5001,G$96,BD!$A$3:$A$5001,"&gt;="&amp;$C$7,BD!$A$3:$A$5001,"&lt;="&amp;$D$7,BD!$S$3:$S$5001,"&lt;&gt;")=0,"",SUMIFS(BD!$R$3:$R$5001,BD!$B$3:$B$5001,G$96,BD!$A$3:$A$5001,_xlfn.MAXIFS(BD!$A$3:$A$5001,BD!$B$3:$B$5001,G$96,BD!$A$3:$A$5001,"&gt;="&amp;$C$7,BD!$A$3:$A$5001,"&lt;="&amp;$D$7,BD!$S$3:$S$5001,"&lt;&gt;")))),"—"))</f>
        <v/>
      </c>
      <c r="H112" s="42" t="str">
        <f>IF(H$96="","",IF(Config!$S$41&lt;&gt;"Não",IF(N(IF(COUNTIFS(BD!$B$3:$B$5001,H$96,BD!$A$3:$A$5001,"&gt;="&amp;$C$7,BD!$A$3:$A$5001,"&lt;="&amp;$D$7,BD!$S$3:$S$5001,"&lt;&gt;")=0,"",SUMIFS(BD!$R$3:$R$5001,BD!$B$3:$B$5001,H$96,BD!$A$3:$A$5001,_xlfn.MAXIFS(BD!$A$3:$A$5001,BD!$B$3:$B$5001,H$96,BD!$A$3:$A$5001,"&gt;="&amp;$C$7,BD!$A$3:$A$5001,"&lt;="&amp;$D$7,BD!$S$3:$S$5001,"&lt;&gt;"))))=0,"",IF(COUNTIFS(BD!$B$3:$B$5001,H$96,BD!$A$3:$A$5001,"&gt;="&amp;$C$7,BD!$A$3:$A$5001,"&lt;="&amp;$D$7,BD!$S$3:$S$5001,"&lt;&gt;")=0,"",SUMIFS(BD!$R$3:$R$5001,BD!$B$3:$B$5001,H$96,BD!$A$3:$A$5001,_xlfn.MAXIFS(BD!$A$3:$A$5001,BD!$B$3:$B$5001,H$96,BD!$A$3:$A$5001,"&gt;="&amp;$C$7,BD!$A$3:$A$5001,"&lt;="&amp;$D$7,BD!$S$3:$S$5001,"&lt;&gt;")))),"—"))</f>
        <v/>
      </c>
      <c r="I112" s="42" t="str">
        <f>IF(I$96="","",IF(Config!$S$42&lt;&gt;"Não",IF(N(IF(COUNTIFS(BD!$B$3:$B$5001,I$96,BD!$A$3:$A$5001,"&gt;="&amp;$C$7,BD!$A$3:$A$5001,"&lt;="&amp;$D$7,BD!$S$3:$S$5001,"&lt;&gt;")=0,"",SUMIFS(BD!$R$3:$R$5001,BD!$B$3:$B$5001,I$96,BD!$A$3:$A$5001,_xlfn.MAXIFS(BD!$A$3:$A$5001,BD!$B$3:$B$5001,I$96,BD!$A$3:$A$5001,"&gt;="&amp;$C$7,BD!$A$3:$A$5001,"&lt;="&amp;$D$7,BD!$S$3:$S$5001,"&lt;&gt;"))))=0,"",IF(COUNTIFS(BD!$B$3:$B$5001,I$96,BD!$A$3:$A$5001,"&gt;="&amp;$C$7,BD!$A$3:$A$5001,"&lt;="&amp;$D$7,BD!$S$3:$S$5001,"&lt;&gt;")=0,"",SUMIFS(BD!$R$3:$R$5001,BD!$B$3:$B$5001,I$96,BD!$A$3:$A$5001,_xlfn.MAXIFS(BD!$A$3:$A$5001,BD!$B$3:$B$5001,I$96,BD!$A$3:$A$5001,"&gt;="&amp;$C$7,BD!$A$3:$A$5001,"&lt;="&amp;$D$7,BD!$S$3:$S$5001,"&lt;&gt;")))),"—"))</f>
        <v/>
      </c>
      <c r="J112" s="42" t="str">
        <f>IF(J$96="","",IF(Config!$S$43&lt;&gt;"Não",IF(N(IF(COUNTIFS(BD!$B$3:$B$5001,J$96,BD!$A$3:$A$5001,"&gt;="&amp;$C$7,BD!$A$3:$A$5001,"&lt;="&amp;$D$7,BD!$S$3:$S$5001,"&lt;&gt;")=0,"",SUMIFS(BD!$R$3:$R$5001,BD!$B$3:$B$5001,J$96,BD!$A$3:$A$5001,_xlfn.MAXIFS(BD!$A$3:$A$5001,BD!$B$3:$B$5001,J$96,BD!$A$3:$A$5001,"&gt;="&amp;$C$7,BD!$A$3:$A$5001,"&lt;="&amp;$D$7,BD!$S$3:$S$5001,"&lt;&gt;"))))=0,"",IF(COUNTIFS(BD!$B$3:$B$5001,J$96,BD!$A$3:$A$5001,"&gt;="&amp;$C$7,BD!$A$3:$A$5001,"&lt;="&amp;$D$7,BD!$S$3:$S$5001,"&lt;&gt;")=0,"",SUMIFS(BD!$R$3:$R$5001,BD!$B$3:$B$5001,J$96,BD!$A$3:$A$5001,_xlfn.MAXIFS(BD!$A$3:$A$5001,BD!$B$3:$B$5001,J$96,BD!$A$3:$A$5001,"&gt;="&amp;$C$7,BD!$A$3:$A$5001,"&lt;="&amp;$D$7,BD!$S$3:$S$5001,"&lt;&gt;")))),"—"))</f>
        <v/>
      </c>
      <c r="K112" s="42" t="str">
        <f>IF(K$96="","",IF(Config!$S$44&lt;&gt;"Não",IF(N(IF(COUNTIFS(BD!$B$3:$B$5001,K$96,BD!$A$3:$A$5001,"&gt;="&amp;$C$7,BD!$A$3:$A$5001,"&lt;="&amp;$D$7,BD!$S$3:$S$5001,"&lt;&gt;")=0,"",SUMIFS(BD!$R$3:$R$5001,BD!$B$3:$B$5001,K$96,BD!$A$3:$A$5001,_xlfn.MAXIFS(BD!$A$3:$A$5001,BD!$B$3:$B$5001,K$96,BD!$A$3:$A$5001,"&gt;="&amp;$C$7,BD!$A$3:$A$5001,"&lt;="&amp;$D$7,BD!$S$3:$S$5001,"&lt;&gt;"))))=0,"",IF(COUNTIFS(BD!$B$3:$B$5001,K$96,BD!$A$3:$A$5001,"&gt;="&amp;$C$7,BD!$A$3:$A$5001,"&lt;="&amp;$D$7,BD!$S$3:$S$5001,"&lt;&gt;")=0,"",SUMIFS(BD!$R$3:$R$5001,BD!$B$3:$B$5001,K$96,BD!$A$3:$A$5001,_xlfn.MAXIFS(BD!$A$3:$A$5001,BD!$B$3:$B$5001,K$96,BD!$A$3:$A$5001,"&gt;="&amp;$C$7,BD!$A$3:$A$5001,"&lt;="&amp;$D$7,BD!$S$3:$S$5001,"&lt;&gt;")))),"—"))</f>
        <v/>
      </c>
      <c r="L112" s="42" t="str">
        <f>IF(L$96="","",IF(Config!$S$45&lt;&gt;"Não",IF(N(IF(COUNTIFS(BD!$B$3:$B$5001,L$96,BD!$A$3:$A$5001,"&gt;="&amp;$C$7,BD!$A$3:$A$5001,"&lt;="&amp;$D$7,BD!$S$3:$S$5001,"&lt;&gt;")=0,"",SUMIFS(BD!$R$3:$R$5001,BD!$B$3:$B$5001,L$96,BD!$A$3:$A$5001,_xlfn.MAXIFS(BD!$A$3:$A$5001,BD!$B$3:$B$5001,L$96,BD!$A$3:$A$5001,"&gt;="&amp;$C$7,BD!$A$3:$A$5001,"&lt;="&amp;$D$7,BD!$S$3:$S$5001,"&lt;&gt;"))))=0,"",IF(COUNTIFS(BD!$B$3:$B$5001,L$96,BD!$A$3:$A$5001,"&gt;="&amp;$C$7,BD!$A$3:$A$5001,"&lt;="&amp;$D$7,BD!$S$3:$S$5001,"&lt;&gt;")=0,"",SUMIFS(BD!$R$3:$R$5001,BD!$B$3:$B$5001,L$96,BD!$A$3:$A$5001,_xlfn.MAXIFS(BD!$A$3:$A$5001,BD!$B$3:$B$5001,L$96,BD!$A$3:$A$5001,"&gt;="&amp;$C$7,BD!$A$3:$A$5001,"&lt;="&amp;$D$7,BD!$S$3:$S$5001,"&lt;&gt;")))),"—"))</f>
        <v/>
      </c>
      <c r="M112" s="42" t="str">
        <f>IF(M$96="","",IF(Config!$S$46&lt;&gt;"Não",IF(N(IF(COUNTIFS(BD!$B$3:$B$5001,M$96,BD!$A$3:$A$5001,"&gt;="&amp;$C$7,BD!$A$3:$A$5001,"&lt;="&amp;$D$7,BD!$S$3:$S$5001,"&lt;&gt;")=0,"",SUMIFS(BD!$R$3:$R$5001,BD!$B$3:$B$5001,M$96,BD!$A$3:$A$5001,_xlfn.MAXIFS(BD!$A$3:$A$5001,BD!$B$3:$B$5001,M$96,BD!$A$3:$A$5001,"&gt;="&amp;$C$7,BD!$A$3:$A$5001,"&lt;="&amp;$D$7,BD!$S$3:$S$5001,"&lt;&gt;"))))=0,"",IF(COUNTIFS(BD!$B$3:$B$5001,M$96,BD!$A$3:$A$5001,"&gt;="&amp;$C$7,BD!$A$3:$A$5001,"&lt;="&amp;$D$7,BD!$S$3:$S$5001,"&lt;&gt;")=0,"",SUMIFS(BD!$R$3:$R$5001,BD!$B$3:$B$5001,M$96,BD!$A$3:$A$5001,_xlfn.MAXIFS(BD!$A$3:$A$5001,BD!$B$3:$B$5001,M$96,BD!$A$3:$A$5001,"&gt;="&amp;$C$7,BD!$A$3:$A$5001,"&lt;="&amp;$D$7,BD!$S$3:$S$5001,"&lt;&gt;")))),"—"))</f>
        <v/>
      </c>
      <c r="N112" s="42" t="str">
        <f>IF(N$96="","",IF(Config!$S$47&lt;&gt;"Não",IF(N(IF(COUNTIFS(BD!$B$3:$B$5001,N$96,BD!$A$3:$A$5001,"&gt;="&amp;$C$7,BD!$A$3:$A$5001,"&lt;="&amp;$D$7,BD!$S$3:$S$5001,"&lt;&gt;")=0,"",SUMIFS(BD!$R$3:$R$5001,BD!$B$3:$B$5001,N$96,BD!$A$3:$A$5001,_xlfn.MAXIFS(BD!$A$3:$A$5001,BD!$B$3:$B$5001,N$96,BD!$A$3:$A$5001,"&gt;="&amp;$C$7,BD!$A$3:$A$5001,"&lt;="&amp;$D$7,BD!$S$3:$S$5001,"&lt;&gt;"))))=0,"",IF(COUNTIFS(BD!$B$3:$B$5001,N$96,BD!$A$3:$A$5001,"&gt;="&amp;$C$7,BD!$A$3:$A$5001,"&lt;="&amp;$D$7,BD!$S$3:$S$5001,"&lt;&gt;")=0,"",SUMIFS(BD!$R$3:$R$5001,BD!$B$3:$B$5001,N$96,BD!$A$3:$A$5001,_xlfn.MAXIFS(BD!$A$3:$A$5001,BD!$B$3:$B$5001,N$96,BD!$A$3:$A$5001,"&gt;="&amp;$C$7,BD!$A$3:$A$5001,"&lt;="&amp;$D$7,BD!$S$3:$S$5001,"&lt;&gt;")))),"—"))</f>
        <v/>
      </c>
      <c r="O112" s="42" t="str">
        <f>IF(O$96="","",IF(Config!$S$48&lt;&gt;"Não",IF(N(IF(COUNTIFS(BD!$B$3:$B$5001,O$96,BD!$A$3:$A$5001,"&gt;="&amp;$C$7,BD!$A$3:$A$5001,"&lt;="&amp;$D$7,BD!$S$3:$S$5001,"&lt;&gt;")=0,"",SUMIFS(BD!$R$3:$R$5001,BD!$B$3:$B$5001,O$96,BD!$A$3:$A$5001,_xlfn.MAXIFS(BD!$A$3:$A$5001,BD!$B$3:$B$5001,O$96,BD!$A$3:$A$5001,"&gt;="&amp;$C$7,BD!$A$3:$A$5001,"&lt;="&amp;$D$7,BD!$S$3:$S$5001,"&lt;&gt;"))))=0,"",IF(COUNTIFS(BD!$B$3:$B$5001,O$96,BD!$A$3:$A$5001,"&gt;="&amp;$C$7,BD!$A$3:$A$5001,"&lt;="&amp;$D$7,BD!$S$3:$S$5001,"&lt;&gt;")=0,"",SUMIFS(BD!$R$3:$R$5001,BD!$B$3:$B$5001,O$96,BD!$A$3:$A$5001,_xlfn.MAXIFS(BD!$A$3:$A$5001,BD!$B$3:$B$5001,O$96,BD!$A$3:$A$5001,"&gt;="&amp;$C$7,BD!$A$3:$A$5001,"&lt;="&amp;$D$7,BD!$S$3:$S$5001,"&lt;&gt;")))),"—"))</f>
        <v/>
      </c>
      <c r="P112" s="42" t="str">
        <f>IF(P$96="","",IF(Config!$S$49&lt;&gt;"Não",IF(N(IF(COUNTIFS(BD!$B$3:$B$5001,P$96,BD!$A$3:$A$5001,"&gt;="&amp;$C$7,BD!$A$3:$A$5001,"&lt;="&amp;$D$7,BD!$S$3:$S$5001,"&lt;&gt;")=0,"",SUMIFS(BD!$R$3:$R$5001,BD!$B$3:$B$5001,P$96,BD!$A$3:$A$5001,_xlfn.MAXIFS(BD!$A$3:$A$5001,BD!$B$3:$B$5001,P$96,BD!$A$3:$A$5001,"&gt;="&amp;$C$7,BD!$A$3:$A$5001,"&lt;="&amp;$D$7,BD!$S$3:$S$5001,"&lt;&gt;"))))=0,"",IF(COUNTIFS(BD!$B$3:$B$5001,P$96,BD!$A$3:$A$5001,"&gt;="&amp;$C$7,BD!$A$3:$A$5001,"&lt;="&amp;$D$7,BD!$S$3:$S$5001,"&lt;&gt;")=0,"",SUMIFS(BD!$R$3:$R$5001,BD!$B$3:$B$5001,P$96,BD!$A$3:$A$5001,_xlfn.MAXIFS(BD!$A$3:$A$5001,BD!$B$3:$B$5001,P$96,BD!$A$3:$A$5001,"&gt;="&amp;$C$7,BD!$A$3:$A$5001,"&lt;="&amp;$D$7,BD!$S$3:$S$5001,"&lt;&gt;")))),"—"))</f>
        <v/>
      </c>
      <c r="Q112" s="42" t="str">
        <f>IF(Q$96="","",IF(Config!$S$50&lt;&gt;"Não",IF(N(IF(COUNTIFS(BD!$B$3:$B$5001,Q$96,BD!$A$3:$A$5001,"&gt;="&amp;$C$7,BD!$A$3:$A$5001,"&lt;="&amp;$D$7,BD!$S$3:$S$5001,"&lt;&gt;")=0,"",SUMIFS(BD!$R$3:$R$5001,BD!$B$3:$B$5001,Q$96,BD!$A$3:$A$5001,_xlfn.MAXIFS(BD!$A$3:$A$5001,BD!$B$3:$B$5001,Q$96,BD!$A$3:$A$5001,"&gt;="&amp;$C$7,BD!$A$3:$A$5001,"&lt;="&amp;$D$7,BD!$S$3:$S$5001,"&lt;&gt;"))))=0,"",IF(COUNTIFS(BD!$B$3:$B$5001,Q$96,BD!$A$3:$A$5001,"&gt;="&amp;$C$7,BD!$A$3:$A$5001,"&lt;="&amp;$D$7,BD!$S$3:$S$5001,"&lt;&gt;")=0,"",SUMIFS(BD!$R$3:$R$5001,BD!$B$3:$B$5001,Q$96,BD!$A$3:$A$5001,_xlfn.MAXIFS(BD!$A$3:$A$5001,BD!$B$3:$B$5001,Q$96,BD!$A$3:$A$5001,"&gt;="&amp;$C$7,BD!$A$3:$A$5001,"&lt;="&amp;$D$7,BD!$S$3:$S$5001,"&lt;&gt;")))),"—"))</f>
        <v/>
      </c>
      <c r="R112" s="42" t="str">
        <f>IF(R$96="","",IF(Config!$S$51&lt;&gt;"Não",IF(N(IF(COUNTIFS(BD!$B$3:$B$5001,R$96,BD!$A$3:$A$5001,"&gt;="&amp;$C$7,BD!$A$3:$A$5001,"&lt;="&amp;$D$7,BD!$S$3:$S$5001,"&lt;&gt;")=0,"",SUMIFS(BD!$R$3:$R$5001,BD!$B$3:$B$5001,R$96,BD!$A$3:$A$5001,_xlfn.MAXIFS(BD!$A$3:$A$5001,BD!$B$3:$B$5001,R$96,BD!$A$3:$A$5001,"&gt;="&amp;$C$7,BD!$A$3:$A$5001,"&lt;="&amp;$D$7,BD!$S$3:$S$5001,"&lt;&gt;"))))=0,"",IF(COUNTIFS(BD!$B$3:$B$5001,R$96,BD!$A$3:$A$5001,"&gt;="&amp;$C$7,BD!$A$3:$A$5001,"&lt;="&amp;$D$7,BD!$S$3:$S$5001,"&lt;&gt;")=0,"",SUMIFS(BD!$R$3:$R$5001,BD!$B$3:$B$5001,R$96,BD!$A$3:$A$5001,_xlfn.MAXIFS(BD!$A$3:$A$5001,BD!$B$3:$B$5001,R$96,BD!$A$3:$A$5001,"&gt;="&amp;$C$7,BD!$A$3:$A$5001,"&lt;="&amp;$D$7,BD!$S$3:$S$5001,"&lt;&gt;")))),"—"))</f>
        <v/>
      </c>
      <c r="S112" s="42" t="str">
        <f>IF(S$96="","",IF(Config!$S$52&lt;&gt;"Não",IF(N(IF(COUNTIFS(BD!$B$3:$B$5001,S$96,BD!$A$3:$A$5001,"&gt;="&amp;$C$7,BD!$A$3:$A$5001,"&lt;="&amp;$D$7,BD!$S$3:$S$5001,"&lt;&gt;")=0,"",SUMIFS(BD!$R$3:$R$5001,BD!$B$3:$B$5001,S$96,BD!$A$3:$A$5001,_xlfn.MAXIFS(BD!$A$3:$A$5001,BD!$B$3:$B$5001,S$96,BD!$A$3:$A$5001,"&gt;="&amp;$C$7,BD!$A$3:$A$5001,"&lt;="&amp;$D$7,BD!$S$3:$S$5001,"&lt;&gt;"))))=0,"",IF(COUNTIFS(BD!$B$3:$B$5001,S$96,BD!$A$3:$A$5001,"&gt;="&amp;$C$7,BD!$A$3:$A$5001,"&lt;="&amp;$D$7,BD!$S$3:$S$5001,"&lt;&gt;")=0,"",SUMIFS(BD!$R$3:$R$5001,BD!$B$3:$B$5001,S$96,BD!$A$3:$A$5001,_xlfn.MAXIFS(BD!$A$3:$A$5001,BD!$B$3:$B$5001,S$96,BD!$A$3:$A$5001,"&gt;="&amp;$C$7,BD!$A$3:$A$5001,"&lt;="&amp;$D$7,BD!$S$3:$S$5001,"&lt;&gt;")))),"—"))</f>
        <v/>
      </c>
      <c r="T112" s="42" t="str">
        <f>IF(T$96="","",IF(Config!$S$53&lt;&gt;"Não",IF(N(IF(COUNTIFS(BD!$B$3:$B$5001,T$96,BD!$A$3:$A$5001,"&gt;="&amp;$C$7,BD!$A$3:$A$5001,"&lt;="&amp;$D$7,BD!$S$3:$S$5001,"&lt;&gt;")=0,"",SUMIFS(BD!$R$3:$R$5001,BD!$B$3:$B$5001,T$96,BD!$A$3:$A$5001,_xlfn.MAXIFS(BD!$A$3:$A$5001,BD!$B$3:$B$5001,T$96,BD!$A$3:$A$5001,"&gt;="&amp;$C$7,BD!$A$3:$A$5001,"&lt;="&amp;$D$7,BD!$S$3:$S$5001,"&lt;&gt;"))))=0,"",IF(COUNTIFS(BD!$B$3:$B$5001,T$96,BD!$A$3:$A$5001,"&gt;="&amp;$C$7,BD!$A$3:$A$5001,"&lt;="&amp;$D$7,BD!$S$3:$S$5001,"&lt;&gt;")=0,"",SUMIFS(BD!$R$3:$R$5001,BD!$B$3:$B$5001,T$96,BD!$A$3:$A$5001,_xlfn.MAXIFS(BD!$A$3:$A$5001,BD!$B$3:$B$5001,T$96,BD!$A$3:$A$5001,"&gt;="&amp;$C$7,BD!$A$3:$A$5001,"&lt;="&amp;$D$7,BD!$S$3:$S$5001,"&lt;&gt;")))),"—"))</f>
        <v/>
      </c>
      <c r="U112" s="42" t="str">
        <f>IF(U$96="","",IF(Config!$S$54&lt;&gt;"Não",IF(N(IF(COUNTIFS(BD!$B$3:$B$5001,U$96,BD!$A$3:$A$5001,"&gt;="&amp;$C$7,BD!$A$3:$A$5001,"&lt;="&amp;$D$7,BD!$S$3:$S$5001,"&lt;&gt;")=0,"",SUMIFS(BD!$R$3:$R$5001,BD!$B$3:$B$5001,U$96,BD!$A$3:$A$5001,_xlfn.MAXIFS(BD!$A$3:$A$5001,BD!$B$3:$B$5001,U$96,BD!$A$3:$A$5001,"&gt;="&amp;$C$7,BD!$A$3:$A$5001,"&lt;="&amp;$D$7,BD!$S$3:$S$5001,"&lt;&gt;"))))=0,"",IF(COUNTIFS(BD!$B$3:$B$5001,U$96,BD!$A$3:$A$5001,"&gt;="&amp;$C$7,BD!$A$3:$A$5001,"&lt;="&amp;$D$7,BD!$S$3:$S$5001,"&lt;&gt;")=0,"",SUMIFS(BD!$R$3:$R$5001,BD!$B$3:$B$5001,U$96,BD!$A$3:$A$5001,_xlfn.MAXIFS(BD!$A$3:$A$5001,BD!$B$3:$B$5001,U$96,BD!$A$3:$A$5001,"&gt;="&amp;$C$7,BD!$A$3:$A$5001,"&lt;="&amp;$D$7,BD!$S$3:$S$5001,"&lt;&gt;")))),"—"))</f>
        <v/>
      </c>
      <c r="V112" s="73">
        <f>IF($B$4&gt;0,$B$4,SUM(B112:U112))</f>
        <v>5872</v>
      </c>
    </row>
    <row r="113">
      <c r="A113" s="40" t="inlineStr">
        <is>
          <t xml:space="preserve">OCUPAÇÃO (P.P) · Posições Ocupadas</t>
        </is>
      </c>
      <c r="B113" s="42" t="str">
        <f>IF(B$96="","",IF(Config!$T$35&lt;&gt;"Não",IF(COUNTIFS(BD!$B$3:$B$5001,B$96,BD!$A$3:$A$5001,"&gt;="&amp;$C$7,BD!$A$3:$A$5001,"&lt;="&amp;$D$7,BD!$S$3:$S$5001,"&lt;&gt;")=0,"",SUMIFS(BD!$S$3:$S$5001,BD!$B$3:$B$5001,B$96,BD!$A$3:$A$5001,_xlfn.MAXIFS(BD!$A$3:$A$5001,BD!$B$3:$B$5001,B$96,BD!$A$3:$A$5001,"&gt;="&amp;$C$7,BD!$A$3:$A$5001,"&lt;="&amp;$D$7,BD!$S$3:$S$5001,"&lt;&gt;"))),"—"))</f>
        <v/>
      </c>
      <c r="C113" s="42" t="str">
        <f>IF(C$96="","",IF(Config!$T$36&lt;&gt;"Não",IF(COUNTIFS(BD!$B$3:$B$5001,C$96,BD!$A$3:$A$5001,"&gt;="&amp;$C$7,BD!$A$3:$A$5001,"&lt;="&amp;$D$7,BD!$S$3:$S$5001,"&lt;&gt;")=0,"",SUMIFS(BD!$S$3:$S$5001,BD!$B$3:$B$5001,C$96,BD!$A$3:$A$5001,_xlfn.MAXIFS(BD!$A$3:$A$5001,BD!$B$3:$B$5001,C$96,BD!$A$3:$A$5001,"&gt;="&amp;$C$7,BD!$A$3:$A$5001,"&lt;="&amp;$D$7,BD!$S$3:$S$5001,"&lt;&gt;"))),"—"))</f>
        <v>—</v>
      </c>
      <c r="D113" s="42" t="str">
        <f>IF(D$96="","",IF(Config!$T$37&lt;&gt;"Não",IF(COUNTIFS(BD!$B$3:$B$5001,D$96,BD!$A$3:$A$5001,"&gt;="&amp;$C$7,BD!$A$3:$A$5001,"&lt;="&amp;$D$7,BD!$S$3:$S$5001,"&lt;&gt;")=0,"",SUMIFS(BD!$S$3:$S$5001,BD!$B$3:$B$5001,D$96,BD!$A$3:$A$5001,_xlfn.MAXIFS(BD!$A$3:$A$5001,BD!$B$3:$B$5001,D$96,BD!$A$3:$A$5001,"&gt;="&amp;$C$7,BD!$A$3:$A$5001,"&lt;="&amp;$D$7,BD!$S$3:$S$5001,"&lt;&gt;"))),"—"))</f>
        <v/>
      </c>
      <c r="E113" s="42" t="str">
        <f>IF(E$96="","",IF(Config!$T$38&lt;&gt;"Não",IF(COUNTIFS(BD!$B$3:$B$5001,E$96,BD!$A$3:$A$5001,"&gt;="&amp;$C$7,BD!$A$3:$A$5001,"&lt;="&amp;$D$7,BD!$S$3:$S$5001,"&lt;&gt;")=0,"",SUMIFS(BD!$S$3:$S$5001,BD!$B$3:$B$5001,E$96,BD!$A$3:$A$5001,_xlfn.MAXIFS(BD!$A$3:$A$5001,BD!$B$3:$B$5001,E$96,BD!$A$3:$A$5001,"&gt;="&amp;$C$7,BD!$A$3:$A$5001,"&lt;="&amp;$D$7,BD!$S$3:$S$5001,"&lt;&gt;"))),"—"))</f>
        <v/>
      </c>
      <c r="F113" s="42" t="str">
        <f>IF(F$96="","",IF(Config!$T$39&lt;&gt;"Não",IF(COUNTIFS(BD!$B$3:$B$5001,F$96,BD!$A$3:$A$5001,"&gt;="&amp;$C$7,BD!$A$3:$A$5001,"&lt;="&amp;$D$7,BD!$S$3:$S$5001,"&lt;&gt;")=0,"",SUMIFS(BD!$S$3:$S$5001,BD!$B$3:$B$5001,F$96,BD!$A$3:$A$5001,_xlfn.MAXIFS(BD!$A$3:$A$5001,BD!$B$3:$B$5001,F$96,BD!$A$3:$A$5001,"&gt;="&amp;$C$7,BD!$A$3:$A$5001,"&lt;="&amp;$D$7,BD!$S$3:$S$5001,"&lt;&gt;"))),"—"))</f>
        <v/>
      </c>
      <c r="G113" s="42" t="str">
        <f>IF(G$96="","",IF(Config!$T$40&lt;&gt;"Não",IF(COUNTIFS(BD!$B$3:$B$5001,G$96,BD!$A$3:$A$5001,"&gt;="&amp;$C$7,BD!$A$3:$A$5001,"&lt;="&amp;$D$7,BD!$S$3:$S$5001,"&lt;&gt;")=0,"",SUMIFS(BD!$S$3:$S$5001,BD!$B$3:$B$5001,G$96,BD!$A$3:$A$5001,_xlfn.MAXIFS(BD!$A$3:$A$5001,BD!$B$3:$B$5001,G$96,BD!$A$3:$A$5001,"&gt;="&amp;$C$7,BD!$A$3:$A$5001,"&lt;="&amp;$D$7,BD!$S$3:$S$5001,"&lt;&gt;"))),"—"))</f>
        <v/>
      </c>
      <c r="H113" s="42" t="str">
        <f>IF(H$96="","",IF(Config!$T$41&lt;&gt;"Não",IF(COUNTIFS(BD!$B$3:$B$5001,H$96,BD!$A$3:$A$5001,"&gt;="&amp;$C$7,BD!$A$3:$A$5001,"&lt;="&amp;$D$7,BD!$S$3:$S$5001,"&lt;&gt;")=0,"",SUMIFS(BD!$S$3:$S$5001,BD!$B$3:$B$5001,H$96,BD!$A$3:$A$5001,_xlfn.MAXIFS(BD!$A$3:$A$5001,BD!$B$3:$B$5001,H$96,BD!$A$3:$A$5001,"&gt;="&amp;$C$7,BD!$A$3:$A$5001,"&lt;="&amp;$D$7,BD!$S$3:$S$5001,"&lt;&gt;"))),"—"))</f>
        <v/>
      </c>
      <c r="I113" s="42" t="str">
        <f>IF(I$96="","",IF(Config!$T$42&lt;&gt;"Não",IF(COUNTIFS(BD!$B$3:$B$5001,I$96,BD!$A$3:$A$5001,"&gt;="&amp;$C$7,BD!$A$3:$A$5001,"&lt;="&amp;$D$7,BD!$S$3:$S$5001,"&lt;&gt;")=0,"",SUMIFS(BD!$S$3:$S$5001,BD!$B$3:$B$5001,I$96,BD!$A$3:$A$5001,_xlfn.MAXIFS(BD!$A$3:$A$5001,BD!$B$3:$B$5001,I$96,BD!$A$3:$A$5001,"&gt;="&amp;$C$7,BD!$A$3:$A$5001,"&lt;="&amp;$D$7,BD!$S$3:$S$5001,"&lt;&gt;"))),"—"))</f>
        <v/>
      </c>
      <c r="J113" s="42" t="str">
        <f>IF(J$96="","",IF(Config!$T$43&lt;&gt;"Não",IF(COUNTIFS(BD!$B$3:$B$5001,J$96,BD!$A$3:$A$5001,"&gt;="&amp;$C$7,BD!$A$3:$A$5001,"&lt;="&amp;$D$7,BD!$S$3:$S$5001,"&lt;&gt;")=0,"",SUMIFS(BD!$S$3:$S$5001,BD!$B$3:$B$5001,J$96,BD!$A$3:$A$5001,_xlfn.MAXIFS(BD!$A$3:$A$5001,BD!$B$3:$B$5001,J$96,BD!$A$3:$A$5001,"&gt;="&amp;$C$7,BD!$A$3:$A$5001,"&lt;="&amp;$D$7,BD!$S$3:$S$5001,"&lt;&gt;"))),"—"))</f>
        <v/>
      </c>
      <c r="K113" s="42" t="str">
        <f>IF(K$96="","",IF(Config!$T$44&lt;&gt;"Não",IF(COUNTIFS(BD!$B$3:$B$5001,K$96,BD!$A$3:$A$5001,"&gt;="&amp;$C$7,BD!$A$3:$A$5001,"&lt;="&amp;$D$7,BD!$S$3:$S$5001,"&lt;&gt;")=0,"",SUMIFS(BD!$S$3:$S$5001,BD!$B$3:$B$5001,K$96,BD!$A$3:$A$5001,_xlfn.MAXIFS(BD!$A$3:$A$5001,BD!$B$3:$B$5001,K$96,BD!$A$3:$A$5001,"&gt;="&amp;$C$7,BD!$A$3:$A$5001,"&lt;="&amp;$D$7,BD!$S$3:$S$5001,"&lt;&gt;"))),"—"))</f>
        <v/>
      </c>
      <c r="L113" s="42" t="str">
        <f>IF(L$96="","",IF(Config!$T$45&lt;&gt;"Não",IF(COUNTIFS(BD!$B$3:$B$5001,L$96,BD!$A$3:$A$5001,"&gt;="&amp;$C$7,BD!$A$3:$A$5001,"&lt;="&amp;$D$7,BD!$S$3:$S$5001,"&lt;&gt;")=0,"",SUMIFS(BD!$S$3:$S$5001,BD!$B$3:$B$5001,L$96,BD!$A$3:$A$5001,_xlfn.MAXIFS(BD!$A$3:$A$5001,BD!$B$3:$B$5001,L$96,BD!$A$3:$A$5001,"&gt;="&amp;$C$7,BD!$A$3:$A$5001,"&lt;="&amp;$D$7,BD!$S$3:$S$5001,"&lt;&gt;"))),"—"))</f>
        <v/>
      </c>
      <c r="M113" s="42" t="str">
        <f>IF(M$96="","",IF(Config!$T$46&lt;&gt;"Não",IF(COUNTIFS(BD!$B$3:$B$5001,M$96,BD!$A$3:$A$5001,"&gt;="&amp;$C$7,BD!$A$3:$A$5001,"&lt;="&amp;$D$7,BD!$S$3:$S$5001,"&lt;&gt;")=0,"",SUMIFS(BD!$S$3:$S$5001,BD!$B$3:$B$5001,M$96,BD!$A$3:$A$5001,_xlfn.MAXIFS(BD!$A$3:$A$5001,BD!$B$3:$B$5001,M$96,BD!$A$3:$A$5001,"&gt;="&amp;$C$7,BD!$A$3:$A$5001,"&lt;="&amp;$D$7,BD!$S$3:$S$5001,"&lt;&gt;"))),"—"))</f>
        <v/>
      </c>
      <c r="N113" s="42" t="str">
        <f>IF(N$96="","",IF(Config!$T$47&lt;&gt;"Não",IF(COUNTIFS(BD!$B$3:$B$5001,N$96,BD!$A$3:$A$5001,"&gt;="&amp;$C$7,BD!$A$3:$A$5001,"&lt;="&amp;$D$7,BD!$S$3:$S$5001,"&lt;&gt;")=0,"",SUMIFS(BD!$S$3:$S$5001,BD!$B$3:$B$5001,N$96,BD!$A$3:$A$5001,_xlfn.MAXIFS(BD!$A$3:$A$5001,BD!$B$3:$B$5001,N$96,BD!$A$3:$A$5001,"&gt;="&amp;$C$7,BD!$A$3:$A$5001,"&lt;="&amp;$D$7,BD!$S$3:$S$5001,"&lt;&gt;"))),"—"))</f>
        <v/>
      </c>
      <c r="O113" s="42" t="str">
        <f>IF(O$96="","",IF(Config!$T$48&lt;&gt;"Não",IF(COUNTIFS(BD!$B$3:$B$5001,O$96,BD!$A$3:$A$5001,"&gt;="&amp;$C$7,BD!$A$3:$A$5001,"&lt;="&amp;$D$7,BD!$S$3:$S$5001,"&lt;&gt;")=0,"",SUMIFS(BD!$S$3:$S$5001,BD!$B$3:$B$5001,O$96,BD!$A$3:$A$5001,_xlfn.MAXIFS(BD!$A$3:$A$5001,BD!$B$3:$B$5001,O$96,BD!$A$3:$A$5001,"&gt;="&amp;$C$7,BD!$A$3:$A$5001,"&lt;="&amp;$D$7,BD!$S$3:$S$5001,"&lt;&gt;"))),"—"))</f>
        <v/>
      </c>
      <c r="P113" s="42" t="str">
        <f>IF(P$96="","",IF(Config!$T$49&lt;&gt;"Não",IF(COUNTIFS(BD!$B$3:$B$5001,P$96,BD!$A$3:$A$5001,"&gt;="&amp;$C$7,BD!$A$3:$A$5001,"&lt;="&amp;$D$7,BD!$S$3:$S$5001,"&lt;&gt;")=0,"",SUMIFS(BD!$S$3:$S$5001,BD!$B$3:$B$5001,P$96,BD!$A$3:$A$5001,_xlfn.MAXIFS(BD!$A$3:$A$5001,BD!$B$3:$B$5001,P$96,BD!$A$3:$A$5001,"&gt;="&amp;$C$7,BD!$A$3:$A$5001,"&lt;="&amp;$D$7,BD!$S$3:$S$5001,"&lt;&gt;"))),"—"))</f>
        <v/>
      </c>
      <c r="Q113" s="42" t="str">
        <f>IF(Q$96="","",IF(Config!$T$50&lt;&gt;"Não",IF(COUNTIFS(BD!$B$3:$B$5001,Q$96,BD!$A$3:$A$5001,"&gt;="&amp;$C$7,BD!$A$3:$A$5001,"&lt;="&amp;$D$7,BD!$S$3:$S$5001,"&lt;&gt;")=0,"",SUMIFS(BD!$S$3:$S$5001,BD!$B$3:$B$5001,Q$96,BD!$A$3:$A$5001,_xlfn.MAXIFS(BD!$A$3:$A$5001,BD!$B$3:$B$5001,Q$96,BD!$A$3:$A$5001,"&gt;="&amp;$C$7,BD!$A$3:$A$5001,"&lt;="&amp;$D$7,BD!$S$3:$S$5001,"&lt;&gt;"))),"—"))</f>
        <v/>
      </c>
      <c r="R113" s="42" t="str">
        <f>IF(R$96="","",IF(Config!$T$51&lt;&gt;"Não",IF(COUNTIFS(BD!$B$3:$B$5001,R$96,BD!$A$3:$A$5001,"&gt;="&amp;$C$7,BD!$A$3:$A$5001,"&lt;="&amp;$D$7,BD!$S$3:$S$5001,"&lt;&gt;")=0,"",SUMIFS(BD!$S$3:$S$5001,BD!$B$3:$B$5001,R$96,BD!$A$3:$A$5001,_xlfn.MAXIFS(BD!$A$3:$A$5001,BD!$B$3:$B$5001,R$96,BD!$A$3:$A$5001,"&gt;="&amp;$C$7,BD!$A$3:$A$5001,"&lt;="&amp;$D$7,BD!$S$3:$S$5001,"&lt;&gt;"))),"—"))</f>
        <v/>
      </c>
      <c r="S113" s="42" t="str">
        <f>IF(S$96="","",IF(Config!$T$52&lt;&gt;"Não",IF(COUNTIFS(BD!$B$3:$B$5001,S$96,BD!$A$3:$A$5001,"&gt;="&amp;$C$7,BD!$A$3:$A$5001,"&lt;="&amp;$D$7,BD!$S$3:$S$5001,"&lt;&gt;")=0,"",SUMIFS(BD!$S$3:$S$5001,BD!$B$3:$B$5001,S$96,BD!$A$3:$A$5001,_xlfn.MAXIFS(BD!$A$3:$A$5001,BD!$B$3:$B$5001,S$96,BD!$A$3:$A$5001,"&gt;="&amp;$C$7,BD!$A$3:$A$5001,"&lt;="&amp;$D$7,BD!$S$3:$S$5001,"&lt;&gt;"))),"—"))</f>
        <v/>
      </c>
      <c r="T113" s="42" t="str">
        <f>IF(T$96="","",IF(Config!$T$53&lt;&gt;"Não",IF(COUNTIFS(BD!$B$3:$B$5001,T$96,BD!$A$3:$A$5001,"&gt;="&amp;$C$7,BD!$A$3:$A$5001,"&lt;="&amp;$D$7,BD!$S$3:$S$5001,"&lt;&gt;")=0,"",SUMIFS(BD!$S$3:$S$5001,BD!$B$3:$B$5001,T$96,BD!$A$3:$A$5001,_xlfn.MAXIFS(BD!$A$3:$A$5001,BD!$B$3:$B$5001,T$96,BD!$A$3:$A$5001,"&gt;="&amp;$C$7,BD!$A$3:$A$5001,"&lt;="&amp;$D$7,BD!$S$3:$S$5001,"&lt;&gt;"))),"—"))</f>
        <v/>
      </c>
      <c r="U113" s="42" t="str">
        <f>IF(U$96="","",IF(Config!$T$54&lt;&gt;"Não",IF(COUNTIFS(BD!$B$3:$B$5001,U$96,BD!$A$3:$A$5001,"&gt;="&amp;$C$7,BD!$A$3:$A$5001,"&lt;="&amp;$D$7,BD!$S$3:$S$5001,"&lt;&gt;")=0,"",SUMIFS(BD!$S$3:$S$5001,BD!$B$3:$B$5001,U$96,BD!$A$3:$A$5001,_xlfn.MAXIFS(BD!$A$3:$A$5001,BD!$B$3:$B$5001,U$96,BD!$A$3:$A$5001,"&gt;="&amp;$C$7,BD!$A$3:$A$5001,"&lt;="&amp;$D$7,BD!$S$3:$S$5001,"&lt;&gt;"))),"—"))</f>
        <v/>
      </c>
      <c r="V113" s="73">
        <f>SUM(B113:U113)</f>
        <v>0</v>
      </c>
    </row>
    <row r="114">
      <c r="A114" s="40" t="inlineStr">
        <is>
          <t xml:space="preserve">OCUPAÇÃO (P.P) · Taxa de Ocupação</t>
        </is>
      </c>
      <c r="B114" s="61" t="str">
        <f>IF(B$96="","",IF(AND(Config!$S$35&lt;&gt;"Não",Config!$T$35&lt;&gt;"Não"),IF(AND(ISNUMBER(B113),ISNUMBER(B112)),IF(B112&gt;0,B113/B112,""),""),"—"))</f>
        <v/>
      </c>
      <c r="C114" s="61" t="str">
        <f>IF(C$96="","",IF(AND(Config!$S$36&lt;&gt;"Não",Config!$T$36&lt;&gt;"Não"),IF(AND(ISNUMBER(C113),ISNUMBER(C112)),IF(C112&gt;0,C113/C112,""),""),"—"))</f>
        <v>—</v>
      </c>
      <c r="D114" s="61" t="str">
        <f>IF(D$96="","",IF(AND(Config!$S$37&lt;&gt;"Não",Config!$T$37&lt;&gt;"Não"),IF(AND(ISNUMBER(D113),ISNUMBER(D112)),IF(D112&gt;0,D113/D112,""),""),"—"))</f>
        <v>—</v>
      </c>
      <c r="E114" s="61" t="str">
        <f>IF(E$96="","",IF(AND(Config!$S$38&lt;&gt;"Não",Config!$T$38&lt;&gt;"Não"),IF(AND(ISNUMBER(E113),ISNUMBER(E112)),IF(E112&gt;0,E113/E112,""),""),"—"))</f>
        <v>—</v>
      </c>
      <c r="F114" s="61" t="str">
        <f>IF(F$96="","",IF(AND(Config!$S$39&lt;&gt;"Não",Config!$T$39&lt;&gt;"Não"),IF(AND(ISNUMBER(F113),ISNUMBER(F112)),IF(F112&gt;0,F113/F112,""),""),"—"))</f>
        <v/>
      </c>
      <c r="G114" s="61" t="str">
        <f>IF(G$96="","",IF(AND(Config!$S$40&lt;&gt;"Não",Config!$T$40&lt;&gt;"Não"),IF(AND(ISNUMBER(G113),ISNUMBER(G112)),IF(G112&gt;0,G113/G112,""),""),"—"))</f>
        <v/>
      </c>
      <c r="H114" s="61" t="str">
        <f>IF(H$96="","",IF(AND(Config!$S$41&lt;&gt;"Não",Config!$T$41&lt;&gt;"Não"),IF(AND(ISNUMBER(H113),ISNUMBER(H112)),IF(H112&gt;0,H113/H112,""),""),"—"))</f>
        <v/>
      </c>
      <c r="I114" s="61" t="str">
        <f>IF(I$96="","",IF(AND(Config!$S$42&lt;&gt;"Não",Config!$T$42&lt;&gt;"Não"),IF(AND(ISNUMBER(I113),ISNUMBER(I112)),IF(I112&gt;0,I113/I112,""),""),"—"))</f>
        <v/>
      </c>
      <c r="J114" s="61" t="str">
        <f>IF(J$96="","",IF(AND(Config!$S$43&lt;&gt;"Não",Config!$T$43&lt;&gt;"Não"),IF(AND(ISNUMBER(J113),ISNUMBER(J112)),IF(J112&gt;0,J113/J112,""),""),"—"))</f>
        <v/>
      </c>
      <c r="K114" s="61" t="str">
        <f>IF(K$96="","",IF(AND(Config!$S$44&lt;&gt;"Não",Config!$T$44&lt;&gt;"Não"),IF(AND(ISNUMBER(K113),ISNUMBER(K112)),IF(K112&gt;0,K113/K112,""),""),"—"))</f>
        <v/>
      </c>
      <c r="L114" s="61" t="str">
        <f>IF(L$96="","",IF(AND(Config!$S$45&lt;&gt;"Não",Config!$T$45&lt;&gt;"Não"),IF(AND(ISNUMBER(L113),ISNUMBER(L112)),IF(L112&gt;0,L113/L112,""),""),"—"))</f>
        <v/>
      </c>
      <c r="M114" s="61" t="str">
        <f>IF(M$96="","",IF(AND(Config!$S$46&lt;&gt;"Não",Config!$T$46&lt;&gt;"Não"),IF(AND(ISNUMBER(M113),ISNUMBER(M112)),IF(M112&gt;0,M113/M112,""),""),"—"))</f>
        <v/>
      </c>
      <c r="N114" s="61" t="str">
        <f>IF(N$96="","",IF(AND(Config!$S$47&lt;&gt;"Não",Config!$T$47&lt;&gt;"Não"),IF(AND(ISNUMBER(N113),ISNUMBER(N112)),IF(N112&gt;0,N113/N112,""),""),"—"))</f>
        <v/>
      </c>
      <c r="O114" s="61" t="str">
        <f>IF(O$96="","",IF(AND(Config!$S$48&lt;&gt;"Não",Config!$T$48&lt;&gt;"Não"),IF(AND(ISNUMBER(O113),ISNUMBER(O112)),IF(O112&gt;0,O113/O112,""),""),"—"))</f>
        <v/>
      </c>
      <c r="P114" s="61" t="str">
        <f>IF(P$96="","",IF(AND(Config!$S$49&lt;&gt;"Não",Config!$T$49&lt;&gt;"Não"),IF(AND(ISNUMBER(P113),ISNUMBER(P112)),IF(P112&gt;0,P113/P112,""),""),"—"))</f>
        <v/>
      </c>
      <c r="Q114" s="61" t="str">
        <f>IF(Q$96="","",IF(AND(Config!$S$50&lt;&gt;"Não",Config!$T$50&lt;&gt;"Não"),IF(AND(ISNUMBER(Q113),ISNUMBER(Q112)),IF(Q112&gt;0,Q113/Q112,""),""),"—"))</f>
        <v/>
      </c>
      <c r="R114" s="61" t="str">
        <f>IF(R$96="","",IF(AND(Config!$S$51&lt;&gt;"Não",Config!$T$51&lt;&gt;"Não"),IF(AND(ISNUMBER(R113),ISNUMBER(R112)),IF(R112&gt;0,R113/R112,""),""),"—"))</f>
        <v/>
      </c>
      <c r="S114" s="61" t="str">
        <f>IF(S$96="","",IF(AND(Config!$S$52&lt;&gt;"Não",Config!$T$52&lt;&gt;"Não"),IF(AND(ISNUMBER(S113),ISNUMBER(S112)),IF(S112&gt;0,S113/S112,""),""),"—"))</f>
        <v/>
      </c>
      <c r="T114" s="61" t="str">
        <f>IF(T$96="","",IF(AND(Config!$S$53&lt;&gt;"Não",Config!$T$53&lt;&gt;"Não"),IF(AND(ISNUMBER(T113),ISNUMBER(T112)),IF(T112&gt;0,T113/T112,""),""),"—"))</f>
        <v/>
      </c>
      <c r="U114" s="61" t="str">
        <f>IF(U$96="","",IF(AND(Config!$S$54&lt;&gt;"Não",Config!$T$54&lt;&gt;"Não"),IF(AND(ISNUMBER(U113),ISNUMBER(U112)),IF(U112&gt;0,U113/U112,""),""),"—"))</f>
        <v/>
      </c>
      <c r="V114" s="75">
        <f>IFERROR(V113/V112,"")</f>
        <v>0</v>
      </c>
    </row>
    <row r="115">
      <c r="A115" s="40" t="inlineStr">
        <is>
          <t xml:space="preserve">GENTE · Efetivo Op.</t>
        </is>
      </c>
      <c r="B115" s="42" t="str">
        <f>IF(B$96="","",IF(Config!$U$35&lt;&gt;"Não",IF(COUNTIFS(BD!$B$3:$B$5001,B$96,BD!$A$3:$A$5001,"&gt;="&amp;$C$7,BD!$A$3:$A$5001,"&lt;="&amp;$D$7,BD!$T$3:$T$5001,"&lt;&gt;")=0,"",SUMIFS(BD!$T$3:$T$5001,BD!$B$3:$B$5001,B$96,BD!$A$3:$A$5001,_xlfn.MAXIFS(BD!$A$3:$A$5001,BD!$B$3:$B$5001,B$96,BD!$A$3:$A$5001,"&gt;="&amp;$C$7,BD!$A$3:$A$5001,"&lt;="&amp;$D$7,BD!$T$3:$T$5001,"&lt;&gt;"))),"—"))</f>
        <v/>
      </c>
      <c r="C115" s="42" t="str">
        <f>IF(C$96="","",IF(Config!$U$36&lt;&gt;"Não",IF(COUNTIFS(BD!$B$3:$B$5001,C$96,BD!$A$3:$A$5001,"&gt;="&amp;$C$7,BD!$A$3:$A$5001,"&lt;="&amp;$D$7,BD!$T$3:$T$5001,"&lt;&gt;")=0,"",SUMIFS(BD!$T$3:$T$5001,BD!$B$3:$B$5001,C$96,BD!$A$3:$A$5001,_xlfn.MAXIFS(BD!$A$3:$A$5001,BD!$B$3:$B$5001,C$96,BD!$A$3:$A$5001,"&gt;="&amp;$C$7,BD!$A$3:$A$5001,"&lt;="&amp;$D$7,BD!$T$3:$T$5001,"&lt;&gt;"))),"—"))</f>
        <v/>
      </c>
      <c r="D115" s="42" t="str">
        <f>IF(D$96="","",IF(Config!$U$37&lt;&gt;"Não",IF(COUNTIFS(BD!$B$3:$B$5001,D$96,BD!$A$3:$A$5001,"&gt;="&amp;$C$7,BD!$A$3:$A$5001,"&lt;="&amp;$D$7,BD!$T$3:$T$5001,"&lt;&gt;")=0,"",SUMIFS(BD!$T$3:$T$5001,BD!$B$3:$B$5001,D$96,BD!$A$3:$A$5001,_xlfn.MAXIFS(BD!$A$3:$A$5001,BD!$B$3:$B$5001,D$96,BD!$A$3:$A$5001,"&gt;="&amp;$C$7,BD!$A$3:$A$5001,"&lt;="&amp;$D$7,BD!$T$3:$T$5001,"&lt;&gt;"))),"—"))</f>
        <v/>
      </c>
      <c r="E115" s="42" t="str">
        <f>IF(E$96="","",IF(Config!$U$38&lt;&gt;"Não",IF(COUNTIFS(BD!$B$3:$B$5001,E$96,BD!$A$3:$A$5001,"&gt;="&amp;$C$7,BD!$A$3:$A$5001,"&lt;="&amp;$D$7,BD!$T$3:$T$5001,"&lt;&gt;")=0,"",SUMIFS(BD!$T$3:$T$5001,BD!$B$3:$B$5001,E$96,BD!$A$3:$A$5001,_xlfn.MAXIFS(BD!$A$3:$A$5001,BD!$B$3:$B$5001,E$96,BD!$A$3:$A$5001,"&gt;="&amp;$C$7,BD!$A$3:$A$5001,"&lt;="&amp;$D$7,BD!$T$3:$T$5001,"&lt;&gt;"))),"—"))</f>
        <v/>
      </c>
      <c r="F115" s="42" t="str">
        <f>IF(F$96="","",IF(Config!$U$39&lt;&gt;"Não",IF(COUNTIFS(BD!$B$3:$B$5001,F$96,BD!$A$3:$A$5001,"&gt;="&amp;$C$7,BD!$A$3:$A$5001,"&lt;="&amp;$D$7,BD!$T$3:$T$5001,"&lt;&gt;")=0,"",SUMIFS(BD!$T$3:$T$5001,BD!$B$3:$B$5001,F$96,BD!$A$3:$A$5001,_xlfn.MAXIFS(BD!$A$3:$A$5001,BD!$B$3:$B$5001,F$96,BD!$A$3:$A$5001,"&gt;="&amp;$C$7,BD!$A$3:$A$5001,"&lt;="&amp;$D$7,BD!$T$3:$T$5001,"&lt;&gt;"))),"—"))</f>
        <v/>
      </c>
      <c r="G115" s="42" t="str">
        <f>IF(G$96="","",IF(Config!$U$40&lt;&gt;"Não",IF(COUNTIFS(BD!$B$3:$B$5001,G$96,BD!$A$3:$A$5001,"&gt;="&amp;$C$7,BD!$A$3:$A$5001,"&lt;="&amp;$D$7,BD!$T$3:$T$5001,"&lt;&gt;")=0,"",SUMIFS(BD!$T$3:$T$5001,BD!$B$3:$B$5001,G$96,BD!$A$3:$A$5001,_xlfn.MAXIFS(BD!$A$3:$A$5001,BD!$B$3:$B$5001,G$96,BD!$A$3:$A$5001,"&gt;="&amp;$C$7,BD!$A$3:$A$5001,"&lt;="&amp;$D$7,BD!$T$3:$T$5001,"&lt;&gt;"))),"—"))</f>
        <v/>
      </c>
      <c r="H115" s="42" t="str">
        <f>IF(H$96="","",IF(Config!$U$41&lt;&gt;"Não",IF(COUNTIFS(BD!$B$3:$B$5001,H$96,BD!$A$3:$A$5001,"&gt;="&amp;$C$7,BD!$A$3:$A$5001,"&lt;="&amp;$D$7,BD!$T$3:$T$5001,"&lt;&gt;")=0,"",SUMIFS(BD!$T$3:$T$5001,BD!$B$3:$B$5001,H$96,BD!$A$3:$A$5001,_xlfn.MAXIFS(BD!$A$3:$A$5001,BD!$B$3:$B$5001,H$96,BD!$A$3:$A$5001,"&gt;="&amp;$C$7,BD!$A$3:$A$5001,"&lt;="&amp;$D$7,BD!$T$3:$T$5001,"&lt;&gt;"))),"—"))</f>
        <v/>
      </c>
      <c r="I115" s="42" t="str">
        <f>IF(I$96="","",IF(Config!$U$42&lt;&gt;"Não",IF(COUNTIFS(BD!$B$3:$B$5001,I$96,BD!$A$3:$A$5001,"&gt;="&amp;$C$7,BD!$A$3:$A$5001,"&lt;="&amp;$D$7,BD!$T$3:$T$5001,"&lt;&gt;")=0,"",SUMIFS(BD!$T$3:$T$5001,BD!$B$3:$B$5001,I$96,BD!$A$3:$A$5001,_xlfn.MAXIFS(BD!$A$3:$A$5001,BD!$B$3:$B$5001,I$96,BD!$A$3:$A$5001,"&gt;="&amp;$C$7,BD!$A$3:$A$5001,"&lt;="&amp;$D$7,BD!$T$3:$T$5001,"&lt;&gt;"))),"—"))</f>
        <v/>
      </c>
      <c r="J115" s="42" t="str">
        <f>IF(J$96="","",IF(Config!$U$43&lt;&gt;"Não",IF(COUNTIFS(BD!$B$3:$B$5001,J$96,BD!$A$3:$A$5001,"&gt;="&amp;$C$7,BD!$A$3:$A$5001,"&lt;="&amp;$D$7,BD!$T$3:$T$5001,"&lt;&gt;")=0,"",SUMIFS(BD!$T$3:$T$5001,BD!$B$3:$B$5001,J$96,BD!$A$3:$A$5001,_xlfn.MAXIFS(BD!$A$3:$A$5001,BD!$B$3:$B$5001,J$96,BD!$A$3:$A$5001,"&gt;="&amp;$C$7,BD!$A$3:$A$5001,"&lt;="&amp;$D$7,BD!$T$3:$T$5001,"&lt;&gt;"))),"—"))</f>
        <v/>
      </c>
      <c r="K115" s="42" t="str">
        <f>IF(K$96="","",IF(Config!$U$44&lt;&gt;"Não",IF(COUNTIFS(BD!$B$3:$B$5001,K$96,BD!$A$3:$A$5001,"&gt;="&amp;$C$7,BD!$A$3:$A$5001,"&lt;="&amp;$D$7,BD!$T$3:$T$5001,"&lt;&gt;")=0,"",SUMIFS(BD!$T$3:$T$5001,BD!$B$3:$B$5001,K$96,BD!$A$3:$A$5001,_xlfn.MAXIFS(BD!$A$3:$A$5001,BD!$B$3:$B$5001,K$96,BD!$A$3:$A$5001,"&gt;="&amp;$C$7,BD!$A$3:$A$5001,"&lt;="&amp;$D$7,BD!$T$3:$T$5001,"&lt;&gt;"))),"—"))</f>
        <v/>
      </c>
      <c r="L115" s="42" t="str">
        <f>IF(L$96="","",IF(Config!$U$45&lt;&gt;"Não",IF(COUNTIFS(BD!$B$3:$B$5001,L$96,BD!$A$3:$A$5001,"&gt;="&amp;$C$7,BD!$A$3:$A$5001,"&lt;="&amp;$D$7,BD!$T$3:$T$5001,"&lt;&gt;")=0,"",SUMIFS(BD!$T$3:$T$5001,BD!$B$3:$B$5001,L$96,BD!$A$3:$A$5001,_xlfn.MAXIFS(BD!$A$3:$A$5001,BD!$B$3:$B$5001,L$96,BD!$A$3:$A$5001,"&gt;="&amp;$C$7,BD!$A$3:$A$5001,"&lt;="&amp;$D$7,BD!$T$3:$T$5001,"&lt;&gt;"))),"—"))</f>
        <v/>
      </c>
      <c r="M115" s="42" t="str">
        <f>IF(M$96="","",IF(Config!$U$46&lt;&gt;"Não",IF(COUNTIFS(BD!$B$3:$B$5001,M$96,BD!$A$3:$A$5001,"&gt;="&amp;$C$7,BD!$A$3:$A$5001,"&lt;="&amp;$D$7,BD!$T$3:$T$5001,"&lt;&gt;")=0,"",SUMIFS(BD!$T$3:$T$5001,BD!$B$3:$B$5001,M$96,BD!$A$3:$A$5001,_xlfn.MAXIFS(BD!$A$3:$A$5001,BD!$B$3:$B$5001,M$96,BD!$A$3:$A$5001,"&gt;="&amp;$C$7,BD!$A$3:$A$5001,"&lt;="&amp;$D$7,BD!$T$3:$T$5001,"&lt;&gt;"))),"—"))</f>
        <v/>
      </c>
      <c r="N115" s="42" t="str">
        <f>IF(N$96="","",IF(Config!$U$47&lt;&gt;"Não",IF(COUNTIFS(BD!$B$3:$B$5001,N$96,BD!$A$3:$A$5001,"&gt;="&amp;$C$7,BD!$A$3:$A$5001,"&lt;="&amp;$D$7,BD!$T$3:$T$5001,"&lt;&gt;")=0,"",SUMIFS(BD!$T$3:$T$5001,BD!$B$3:$B$5001,N$96,BD!$A$3:$A$5001,_xlfn.MAXIFS(BD!$A$3:$A$5001,BD!$B$3:$B$5001,N$96,BD!$A$3:$A$5001,"&gt;="&amp;$C$7,BD!$A$3:$A$5001,"&lt;="&amp;$D$7,BD!$T$3:$T$5001,"&lt;&gt;"))),"—"))</f>
        <v/>
      </c>
      <c r="O115" s="42" t="str">
        <f>IF(O$96="","",IF(Config!$U$48&lt;&gt;"Não",IF(COUNTIFS(BD!$B$3:$B$5001,O$96,BD!$A$3:$A$5001,"&gt;="&amp;$C$7,BD!$A$3:$A$5001,"&lt;="&amp;$D$7,BD!$T$3:$T$5001,"&lt;&gt;")=0,"",SUMIFS(BD!$T$3:$T$5001,BD!$B$3:$B$5001,O$96,BD!$A$3:$A$5001,_xlfn.MAXIFS(BD!$A$3:$A$5001,BD!$B$3:$B$5001,O$96,BD!$A$3:$A$5001,"&gt;="&amp;$C$7,BD!$A$3:$A$5001,"&lt;="&amp;$D$7,BD!$T$3:$T$5001,"&lt;&gt;"))),"—"))</f>
        <v/>
      </c>
      <c r="P115" s="42" t="str">
        <f>IF(P$96="","",IF(Config!$U$49&lt;&gt;"Não",IF(COUNTIFS(BD!$B$3:$B$5001,P$96,BD!$A$3:$A$5001,"&gt;="&amp;$C$7,BD!$A$3:$A$5001,"&lt;="&amp;$D$7,BD!$T$3:$T$5001,"&lt;&gt;")=0,"",SUMIFS(BD!$T$3:$T$5001,BD!$B$3:$B$5001,P$96,BD!$A$3:$A$5001,_xlfn.MAXIFS(BD!$A$3:$A$5001,BD!$B$3:$B$5001,P$96,BD!$A$3:$A$5001,"&gt;="&amp;$C$7,BD!$A$3:$A$5001,"&lt;="&amp;$D$7,BD!$T$3:$T$5001,"&lt;&gt;"))),"—"))</f>
        <v/>
      </c>
      <c r="Q115" s="42" t="str">
        <f>IF(Q$96="","",IF(Config!$U$50&lt;&gt;"Não",IF(COUNTIFS(BD!$B$3:$B$5001,Q$96,BD!$A$3:$A$5001,"&gt;="&amp;$C$7,BD!$A$3:$A$5001,"&lt;="&amp;$D$7,BD!$T$3:$T$5001,"&lt;&gt;")=0,"",SUMIFS(BD!$T$3:$T$5001,BD!$B$3:$B$5001,Q$96,BD!$A$3:$A$5001,_xlfn.MAXIFS(BD!$A$3:$A$5001,BD!$B$3:$B$5001,Q$96,BD!$A$3:$A$5001,"&gt;="&amp;$C$7,BD!$A$3:$A$5001,"&lt;="&amp;$D$7,BD!$T$3:$T$5001,"&lt;&gt;"))),"—"))</f>
        <v/>
      </c>
      <c r="R115" s="42" t="str">
        <f>IF(R$96="","",IF(Config!$U$51&lt;&gt;"Não",IF(COUNTIFS(BD!$B$3:$B$5001,R$96,BD!$A$3:$A$5001,"&gt;="&amp;$C$7,BD!$A$3:$A$5001,"&lt;="&amp;$D$7,BD!$T$3:$T$5001,"&lt;&gt;")=0,"",SUMIFS(BD!$T$3:$T$5001,BD!$B$3:$B$5001,R$96,BD!$A$3:$A$5001,_xlfn.MAXIFS(BD!$A$3:$A$5001,BD!$B$3:$B$5001,R$96,BD!$A$3:$A$5001,"&gt;="&amp;$C$7,BD!$A$3:$A$5001,"&lt;="&amp;$D$7,BD!$T$3:$T$5001,"&lt;&gt;"))),"—"))</f>
        <v/>
      </c>
      <c r="S115" s="42" t="str">
        <f>IF(S$96="","",IF(Config!$U$52&lt;&gt;"Não",IF(COUNTIFS(BD!$B$3:$B$5001,S$96,BD!$A$3:$A$5001,"&gt;="&amp;$C$7,BD!$A$3:$A$5001,"&lt;="&amp;$D$7,BD!$T$3:$T$5001,"&lt;&gt;")=0,"",SUMIFS(BD!$T$3:$T$5001,BD!$B$3:$B$5001,S$96,BD!$A$3:$A$5001,_xlfn.MAXIFS(BD!$A$3:$A$5001,BD!$B$3:$B$5001,S$96,BD!$A$3:$A$5001,"&gt;="&amp;$C$7,BD!$A$3:$A$5001,"&lt;="&amp;$D$7,BD!$T$3:$T$5001,"&lt;&gt;"))),"—"))</f>
        <v/>
      </c>
      <c r="T115" s="42" t="str">
        <f>IF(T$96="","",IF(Config!$U$53&lt;&gt;"Não",IF(COUNTIFS(BD!$B$3:$B$5001,T$96,BD!$A$3:$A$5001,"&gt;="&amp;$C$7,BD!$A$3:$A$5001,"&lt;="&amp;$D$7,BD!$T$3:$T$5001,"&lt;&gt;")=0,"",SUMIFS(BD!$T$3:$T$5001,BD!$B$3:$B$5001,T$96,BD!$A$3:$A$5001,_xlfn.MAXIFS(BD!$A$3:$A$5001,BD!$B$3:$B$5001,T$96,BD!$A$3:$A$5001,"&gt;="&amp;$C$7,BD!$A$3:$A$5001,"&lt;="&amp;$D$7,BD!$T$3:$T$5001,"&lt;&gt;"))),"—"))</f>
        <v/>
      </c>
      <c r="U115" s="42" t="str">
        <f>IF(U$96="","",IF(Config!$U$54&lt;&gt;"Não",IF(COUNTIFS(BD!$B$3:$B$5001,U$96,BD!$A$3:$A$5001,"&gt;="&amp;$C$7,BD!$A$3:$A$5001,"&lt;="&amp;$D$7,BD!$T$3:$T$5001,"&lt;&gt;")=0,"",SUMIFS(BD!$T$3:$T$5001,BD!$B$3:$B$5001,U$96,BD!$A$3:$A$5001,_xlfn.MAXIFS(BD!$A$3:$A$5001,BD!$B$3:$B$5001,U$96,BD!$A$3:$A$5001,"&gt;="&amp;$C$7,BD!$A$3:$A$5001,"&lt;="&amp;$D$7,BD!$T$3:$T$5001,"&lt;&gt;"))),"—"))</f>
        <v/>
      </c>
      <c r="V115" s="73">
        <f>SUM(B115:U115)</f>
        <v>0</v>
      </c>
    </row>
    <row r="116">
      <c r="A116" s="40" t="inlineStr">
        <is>
          <t xml:space="preserve">GENTE · Falta</t>
        </is>
      </c>
      <c r="B116" s="42">
        <f>IF(B$96="","",IF(Config!$V$35&lt;&gt;"Não",SUMIFS(BD!$U$3:$U$5001,BD!$B$3:$B$5001,B$96,BD!$A$3:$A$5001,"&gt;="&amp;$C$7,BD!$A$3:$A$5001,"&lt;="&amp;$D$7),"—"))</f>
        <v>0</v>
      </c>
      <c r="C116" s="42">
        <f>IF(C$96="","",IF(Config!$V$36&lt;&gt;"Não",SUMIFS(BD!$U$3:$U$5001,BD!$B$3:$B$5001,C$96,BD!$A$3:$A$5001,"&gt;="&amp;$C$7,BD!$A$3:$A$5001,"&lt;="&amp;$D$7),"—"))</f>
        <v>0</v>
      </c>
      <c r="D116" s="42">
        <f>IF(D$96="","",IF(Config!$V$37&lt;&gt;"Não",SUMIFS(BD!$U$3:$U$5001,BD!$B$3:$B$5001,D$96,BD!$A$3:$A$5001,"&gt;="&amp;$C$7,BD!$A$3:$A$5001,"&lt;="&amp;$D$7),"—"))</f>
        <v>0</v>
      </c>
      <c r="E116" s="42">
        <f>IF(E$96="","",IF(Config!$V$38&lt;&gt;"Não",SUMIFS(BD!$U$3:$U$5001,BD!$B$3:$B$5001,E$96,BD!$A$3:$A$5001,"&gt;="&amp;$C$7,BD!$A$3:$A$5001,"&lt;="&amp;$D$7),"—"))</f>
        <v>0</v>
      </c>
      <c r="F116" s="42">
        <f>IF(F$96="","",IF(Config!$V$39&lt;&gt;"Não",SUMIFS(BD!$U$3:$U$5001,BD!$B$3:$B$5001,F$96,BD!$A$3:$A$5001,"&gt;="&amp;$C$7,BD!$A$3:$A$5001,"&lt;="&amp;$D$7),"—"))</f>
        <v>0</v>
      </c>
      <c r="G116" s="42" t="str">
        <f>IF(G$96="","",IF(Config!$V$40&lt;&gt;"Não",SUMIFS(BD!$U$3:$U$5001,BD!$B$3:$B$5001,G$96,BD!$A$3:$A$5001,"&gt;="&amp;$C$7,BD!$A$3:$A$5001,"&lt;="&amp;$D$7),"—"))</f>
        <v/>
      </c>
      <c r="H116" s="42" t="str">
        <f>IF(H$96="","",IF(Config!$V$41&lt;&gt;"Não",SUMIFS(BD!$U$3:$U$5001,BD!$B$3:$B$5001,H$96,BD!$A$3:$A$5001,"&gt;="&amp;$C$7,BD!$A$3:$A$5001,"&lt;="&amp;$D$7),"—"))</f>
        <v/>
      </c>
      <c r="I116" s="42" t="str">
        <f>IF(I$96="","",IF(Config!$V$42&lt;&gt;"Não",SUMIFS(BD!$U$3:$U$5001,BD!$B$3:$B$5001,I$96,BD!$A$3:$A$5001,"&gt;="&amp;$C$7,BD!$A$3:$A$5001,"&lt;="&amp;$D$7),"—"))</f>
        <v/>
      </c>
      <c r="J116" s="42" t="str">
        <f>IF(J$96="","",IF(Config!$V$43&lt;&gt;"Não",SUMIFS(BD!$U$3:$U$5001,BD!$B$3:$B$5001,J$96,BD!$A$3:$A$5001,"&gt;="&amp;$C$7,BD!$A$3:$A$5001,"&lt;="&amp;$D$7),"—"))</f>
        <v/>
      </c>
      <c r="K116" s="42" t="str">
        <f>IF(K$96="","",IF(Config!$V$44&lt;&gt;"Não",SUMIFS(BD!$U$3:$U$5001,BD!$B$3:$B$5001,K$96,BD!$A$3:$A$5001,"&gt;="&amp;$C$7,BD!$A$3:$A$5001,"&lt;="&amp;$D$7),"—"))</f>
        <v/>
      </c>
      <c r="L116" s="42" t="str">
        <f>IF(L$96="","",IF(Config!$V$45&lt;&gt;"Não",SUMIFS(BD!$U$3:$U$5001,BD!$B$3:$B$5001,L$96,BD!$A$3:$A$5001,"&gt;="&amp;$C$7,BD!$A$3:$A$5001,"&lt;="&amp;$D$7),"—"))</f>
        <v/>
      </c>
      <c r="M116" s="42" t="str">
        <f>IF(M$96="","",IF(Config!$V$46&lt;&gt;"Não",SUMIFS(BD!$U$3:$U$5001,BD!$B$3:$B$5001,M$96,BD!$A$3:$A$5001,"&gt;="&amp;$C$7,BD!$A$3:$A$5001,"&lt;="&amp;$D$7),"—"))</f>
        <v/>
      </c>
      <c r="N116" s="42" t="str">
        <f>IF(N$96="","",IF(Config!$V$47&lt;&gt;"Não",SUMIFS(BD!$U$3:$U$5001,BD!$B$3:$B$5001,N$96,BD!$A$3:$A$5001,"&gt;="&amp;$C$7,BD!$A$3:$A$5001,"&lt;="&amp;$D$7),"—"))</f>
        <v/>
      </c>
      <c r="O116" s="42" t="str">
        <f>IF(O$96="","",IF(Config!$V$48&lt;&gt;"Não",SUMIFS(BD!$U$3:$U$5001,BD!$B$3:$B$5001,O$96,BD!$A$3:$A$5001,"&gt;="&amp;$C$7,BD!$A$3:$A$5001,"&lt;="&amp;$D$7),"—"))</f>
        <v/>
      </c>
      <c r="P116" s="42" t="str">
        <f>IF(P$96="","",IF(Config!$V$49&lt;&gt;"Não",SUMIFS(BD!$U$3:$U$5001,BD!$B$3:$B$5001,P$96,BD!$A$3:$A$5001,"&gt;="&amp;$C$7,BD!$A$3:$A$5001,"&lt;="&amp;$D$7),"—"))</f>
        <v/>
      </c>
      <c r="Q116" s="42" t="str">
        <f>IF(Q$96="","",IF(Config!$V$50&lt;&gt;"Não",SUMIFS(BD!$U$3:$U$5001,BD!$B$3:$B$5001,Q$96,BD!$A$3:$A$5001,"&gt;="&amp;$C$7,BD!$A$3:$A$5001,"&lt;="&amp;$D$7),"—"))</f>
        <v/>
      </c>
      <c r="R116" s="42" t="str">
        <f>IF(R$96="","",IF(Config!$V$51&lt;&gt;"Não",SUMIFS(BD!$U$3:$U$5001,BD!$B$3:$B$5001,R$96,BD!$A$3:$A$5001,"&gt;="&amp;$C$7,BD!$A$3:$A$5001,"&lt;="&amp;$D$7),"—"))</f>
        <v/>
      </c>
      <c r="S116" s="42" t="str">
        <f>IF(S$96="","",IF(Config!$V$52&lt;&gt;"Não",SUMIFS(BD!$U$3:$U$5001,BD!$B$3:$B$5001,S$96,BD!$A$3:$A$5001,"&gt;="&amp;$C$7,BD!$A$3:$A$5001,"&lt;="&amp;$D$7),"—"))</f>
        <v/>
      </c>
      <c r="T116" s="42" t="str">
        <f>IF(T$96="","",IF(Config!$V$53&lt;&gt;"Não",SUMIFS(BD!$U$3:$U$5001,BD!$B$3:$B$5001,T$96,BD!$A$3:$A$5001,"&gt;="&amp;$C$7,BD!$A$3:$A$5001,"&lt;="&amp;$D$7),"—"))</f>
        <v/>
      </c>
      <c r="U116" s="42" t="str">
        <f>IF(U$96="","",IF(Config!$V$54&lt;&gt;"Não",SUMIFS(BD!$U$3:$U$5001,BD!$B$3:$B$5001,U$96,BD!$A$3:$A$5001,"&gt;="&amp;$C$7,BD!$A$3:$A$5001,"&lt;="&amp;$D$7),"—"))</f>
        <v/>
      </c>
      <c r="V116" s="73">
        <f>SUM(B116:U116)</f>
        <v>0</v>
      </c>
    </row>
    <row r="117">
      <c r="A117" s="40" t="inlineStr">
        <is>
          <t xml:space="preserve">GENTE · Absenteísmo (H/H)</t>
        </is>
      </c>
      <c r="B117" s="72">
        <f>IF(B$96="","",IF(Config!$W$35&lt;&gt;"Não",SUMIFS(BD!$V$3:$V$5001,BD!$B$3:$B$5001,B$96,BD!$A$3:$A$5001,"&gt;="&amp;$C$7,BD!$A$3:$A$5001,"&lt;="&amp;$D$7),"—"))</f>
        <v>0</v>
      </c>
      <c r="C117" s="72">
        <f>IF(C$96="","",IF(Config!$W$36&lt;&gt;"Não",SUMIFS(BD!$V$3:$V$5001,BD!$B$3:$B$5001,C$96,BD!$A$3:$A$5001,"&gt;="&amp;$C$7,BD!$A$3:$A$5001,"&lt;="&amp;$D$7),"—"))</f>
        <v>0</v>
      </c>
      <c r="D117" s="72">
        <f>IF(D$96="","",IF(Config!$W$37&lt;&gt;"Não",SUMIFS(BD!$V$3:$V$5001,BD!$B$3:$B$5001,D$96,BD!$A$3:$A$5001,"&gt;="&amp;$C$7,BD!$A$3:$A$5001,"&lt;="&amp;$D$7),"—"))</f>
        <v>0</v>
      </c>
      <c r="E117" s="72">
        <f>IF(E$96="","",IF(Config!$W$38&lt;&gt;"Não",SUMIFS(BD!$V$3:$V$5001,BD!$B$3:$B$5001,E$96,BD!$A$3:$A$5001,"&gt;="&amp;$C$7,BD!$A$3:$A$5001,"&lt;="&amp;$D$7),"—"))</f>
        <v>0</v>
      </c>
      <c r="F117" s="72">
        <f>IF(F$96="","",IF(Config!$W$39&lt;&gt;"Não",SUMIFS(BD!$V$3:$V$5001,BD!$B$3:$B$5001,F$96,BD!$A$3:$A$5001,"&gt;="&amp;$C$7,BD!$A$3:$A$5001,"&lt;="&amp;$D$7),"—"))</f>
        <v>0</v>
      </c>
      <c r="G117" s="72" t="str">
        <f>IF(G$96="","",IF(Config!$W$40&lt;&gt;"Não",SUMIFS(BD!$V$3:$V$5001,BD!$B$3:$B$5001,G$96,BD!$A$3:$A$5001,"&gt;="&amp;$C$7,BD!$A$3:$A$5001,"&lt;="&amp;$D$7),"—"))</f>
        <v/>
      </c>
      <c r="H117" s="72" t="str">
        <f>IF(H$96="","",IF(Config!$W$41&lt;&gt;"Não",SUMIFS(BD!$V$3:$V$5001,BD!$B$3:$B$5001,H$96,BD!$A$3:$A$5001,"&gt;="&amp;$C$7,BD!$A$3:$A$5001,"&lt;="&amp;$D$7),"—"))</f>
        <v/>
      </c>
      <c r="I117" s="72" t="str">
        <f>IF(I$96="","",IF(Config!$W$42&lt;&gt;"Não",SUMIFS(BD!$V$3:$V$5001,BD!$B$3:$B$5001,I$96,BD!$A$3:$A$5001,"&gt;="&amp;$C$7,BD!$A$3:$A$5001,"&lt;="&amp;$D$7),"—"))</f>
        <v/>
      </c>
      <c r="J117" s="72" t="str">
        <f>IF(J$96="","",IF(Config!$W$43&lt;&gt;"Não",SUMIFS(BD!$V$3:$V$5001,BD!$B$3:$B$5001,J$96,BD!$A$3:$A$5001,"&gt;="&amp;$C$7,BD!$A$3:$A$5001,"&lt;="&amp;$D$7),"—"))</f>
        <v/>
      </c>
      <c r="K117" s="72" t="str">
        <f>IF(K$96="","",IF(Config!$W$44&lt;&gt;"Não",SUMIFS(BD!$V$3:$V$5001,BD!$B$3:$B$5001,K$96,BD!$A$3:$A$5001,"&gt;="&amp;$C$7,BD!$A$3:$A$5001,"&lt;="&amp;$D$7),"—"))</f>
        <v/>
      </c>
      <c r="L117" s="72" t="str">
        <f>IF(L$96="","",IF(Config!$W$45&lt;&gt;"Não",SUMIFS(BD!$V$3:$V$5001,BD!$B$3:$B$5001,L$96,BD!$A$3:$A$5001,"&gt;="&amp;$C$7,BD!$A$3:$A$5001,"&lt;="&amp;$D$7),"—"))</f>
        <v/>
      </c>
      <c r="M117" s="72" t="str">
        <f>IF(M$96="","",IF(Config!$W$46&lt;&gt;"Não",SUMIFS(BD!$V$3:$V$5001,BD!$B$3:$B$5001,M$96,BD!$A$3:$A$5001,"&gt;="&amp;$C$7,BD!$A$3:$A$5001,"&lt;="&amp;$D$7),"—"))</f>
        <v/>
      </c>
      <c r="N117" s="72" t="str">
        <f>IF(N$96="","",IF(Config!$W$47&lt;&gt;"Não",SUMIFS(BD!$V$3:$V$5001,BD!$B$3:$B$5001,N$96,BD!$A$3:$A$5001,"&gt;="&amp;$C$7,BD!$A$3:$A$5001,"&lt;="&amp;$D$7),"—"))</f>
        <v/>
      </c>
      <c r="O117" s="72" t="str">
        <f>IF(O$96="","",IF(Config!$W$48&lt;&gt;"Não",SUMIFS(BD!$V$3:$V$5001,BD!$B$3:$B$5001,O$96,BD!$A$3:$A$5001,"&gt;="&amp;$C$7,BD!$A$3:$A$5001,"&lt;="&amp;$D$7),"—"))</f>
        <v/>
      </c>
      <c r="P117" s="72" t="str">
        <f>IF(P$96="","",IF(Config!$W$49&lt;&gt;"Não",SUMIFS(BD!$V$3:$V$5001,BD!$B$3:$B$5001,P$96,BD!$A$3:$A$5001,"&gt;="&amp;$C$7,BD!$A$3:$A$5001,"&lt;="&amp;$D$7),"—"))</f>
        <v/>
      </c>
      <c r="Q117" s="72" t="str">
        <f>IF(Q$96="","",IF(Config!$W$50&lt;&gt;"Não",SUMIFS(BD!$V$3:$V$5001,BD!$B$3:$B$5001,Q$96,BD!$A$3:$A$5001,"&gt;="&amp;$C$7,BD!$A$3:$A$5001,"&lt;="&amp;$D$7),"—"))</f>
        <v/>
      </c>
      <c r="R117" s="72" t="str">
        <f>IF(R$96="","",IF(Config!$W$51&lt;&gt;"Não",SUMIFS(BD!$V$3:$V$5001,BD!$B$3:$B$5001,R$96,BD!$A$3:$A$5001,"&gt;="&amp;$C$7,BD!$A$3:$A$5001,"&lt;="&amp;$D$7),"—"))</f>
        <v/>
      </c>
      <c r="S117" s="72" t="str">
        <f>IF(S$96="","",IF(Config!$W$52&lt;&gt;"Não",SUMIFS(BD!$V$3:$V$5001,BD!$B$3:$B$5001,S$96,BD!$A$3:$A$5001,"&gt;="&amp;$C$7,BD!$A$3:$A$5001,"&lt;="&amp;$D$7),"—"))</f>
        <v/>
      </c>
      <c r="T117" s="72" t="str">
        <f>IF(T$96="","",IF(Config!$W$53&lt;&gt;"Não",SUMIFS(BD!$V$3:$V$5001,BD!$B$3:$B$5001,T$96,BD!$A$3:$A$5001,"&gt;="&amp;$C$7,BD!$A$3:$A$5001,"&lt;="&amp;$D$7),"—"))</f>
        <v/>
      </c>
      <c r="U117" s="72" t="str">
        <f>IF(U$96="","",IF(Config!$W$54&lt;&gt;"Não",SUMIFS(BD!$V$3:$V$5001,BD!$B$3:$B$5001,U$96,BD!$A$3:$A$5001,"&gt;="&amp;$C$7,BD!$A$3:$A$5001,"&lt;="&amp;$D$7),"—"))</f>
        <v/>
      </c>
      <c r="V117" s="74">
        <f>SUM(B117:U117)</f>
        <v>0</v>
      </c>
    </row>
    <row r="118">
      <c r="A118" s="40" t="inlineStr">
        <is>
          <t xml:space="preserve">GENTE · Folga</t>
        </is>
      </c>
      <c r="B118" s="42">
        <f>IF(B$96="","",IF(Config!$X$35&lt;&gt;"Não",SUMIFS(BD!$W$3:$W$5001,BD!$B$3:$B$5001,B$96,BD!$A$3:$A$5001,"&gt;="&amp;$C$7,BD!$A$3:$A$5001,"&lt;="&amp;$D$7),"—"))</f>
        <v>0</v>
      </c>
      <c r="C118" s="42">
        <f>IF(C$96="","",IF(Config!$X$36&lt;&gt;"Não",SUMIFS(BD!$W$3:$W$5001,BD!$B$3:$B$5001,C$96,BD!$A$3:$A$5001,"&gt;="&amp;$C$7,BD!$A$3:$A$5001,"&lt;="&amp;$D$7),"—"))</f>
        <v>0</v>
      </c>
      <c r="D118" s="42">
        <f>IF(D$96="","",IF(Config!$X$37&lt;&gt;"Não",SUMIFS(BD!$W$3:$W$5001,BD!$B$3:$B$5001,D$96,BD!$A$3:$A$5001,"&gt;="&amp;$C$7,BD!$A$3:$A$5001,"&lt;="&amp;$D$7),"—"))</f>
        <v>0</v>
      </c>
      <c r="E118" s="42">
        <f>IF(E$96="","",IF(Config!$X$38&lt;&gt;"Não",SUMIFS(BD!$W$3:$W$5001,BD!$B$3:$B$5001,E$96,BD!$A$3:$A$5001,"&gt;="&amp;$C$7,BD!$A$3:$A$5001,"&lt;="&amp;$D$7),"—"))</f>
        <v>0</v>
      </c>
      <c r="F118" s="42">
        <f>IF(F$96="","",IF(Config!$X$39&lt;&gt;"Não",SUMIFS(BD!$W$3:$W$5001,BD!$B$3:$B$5001,F$96,BD!$A$3:$A$5001,"&gt;="&amp;$C$7,BD!$A$3:$A$5001,"&lt;="&amp;$D$7),"—"))</f>
        <v>0</v>
      </c>
      <c r="G118" s="42" t="str">
        <f>IF(G$96="","",IF(Config!$X$40&lt;&gt;"Não",SUMIFS(BD!$W$3:$W$5001,BD!$B$3:$B$5001,G$96,BD!$A$3:$A$5001,"&gt;="&amp;$C$7,BD!$A$3:$A$5001,"&lt;="&amp;$D$7),"—"))</f>
        <v/>
      </c>
      <c r="H118" s="42" t="str">
        <f>IF(H$96="","",IF(Config!$X$41&lt;&gt;"Não",SUMIFS(BD!$W$3:$W$5001,BD!$B$3:$B$5001,H$96,BD!$A$3:$A$5001,"&gt;="&amp;$C$7,BD!$A$3:$A$5001,"&lt;="&amp;$D$7),"—"))</f>
        <v/>
      </c>
      <c r="I118" s="42" t="str">
        <f>IF(I$96="","",IF(Config!$X$42&lt;&gt;"Não",SUMIFS(BD!$W$3:$W$5001,BD!$B$3:$B$5001,I$96,BD!$A$3:$A$5001,"&gt;="&amp;$C$7,BD!$A$3:$A$5001,"&lt;="&amp;$D$7),"—"))</f>
        <v/>
      </c>
      <c r="J118" s="42" t="str">
        <f>IF(J$96="","",IF(Config!$X$43&lt;&gt;"Não",SUMIFS(BD!$W$3:$W$5001,BD!$B$3:$B$5001,J$96,BD!$A$3:$A$5001,"&gt;="&amp;$C$7,BD!$A$3:$A$5001,"&lt;="&amp;$D$7),"—"))</f>
        <v/>
      </c>
      <c r="K118" s="42" t="str">
        <f>IF(K$96="","",IF(Config!$X$44&lt;&gt;"Não",SUMIFS(BD!$W$3:$W$5001,BD!$B$3:$B$5001,K$96,BD!$A$3:$A$5001,"&gt;="&amp;$C$7,BD!$A$3:$A$5001,"&lt;="&amp;$D$7),"—"))</f>
        <v/>
      </c>
      <c r="L118" s="42" t="str">
        <f>IF(L$96="","",IF(Config!$X$45&lt;&gt;"Não",SUMIFS(BD!$W$3:$W$5001,BD!$B$3:$B$5001,L$96,BD!$A$3:$A$5001,"&gt;="&amp;$C$7,BD!$A$3:$A$5001,"&lt;="&amp;$D$7),"—"))</f>
        <v/>
      </c>
      <c r="M118" s="42" t="str">
        <f>IF(M$96="","",IF(Config!$X$46&lt;&gt;"Não",SUMIFS(BD!$W$3:$W$5001,BD!$B$3:$B$5001,M$96,BD!$A$3:$A$5001,"&gt;="&amp;$C$7,BD!$A$3:$A$5001,"&lt;="&amp;$D$7),"—"))</f>
        <v/>
      </c>
      <c r="N118" s="42" t="str">
        <f>IF(N$96="","",IF(Config!$X$47&lt;&gt;"Não",SUMIFS(BD!$W$3:$W$5001,BD!$B$3:$B$5001,N$96,BD!$A$3:$A$5001,"&gt;="&amp;$C$7,BD!$A$3:$A$5001,"&lt;="&amp;$D$7),"—"))</f>
        <v/>
      </c>
      <c r="O118" s="42" t="str">
        <f>IF(O$96="","",IF(Config!$X$48&lt;&gt;"Não",SUMIFS(BD!$W$3:$W$5001,BD!$B$3:$B$5001,O$96,BD!$A$3:$A$5001,"&gt;="&amp;$C$7,BD!$A$3:$A$5001,"&lt;="&amp;$D$7),"—"))</f>
        <v/>
      </c>
      <c r="P118" s="42" t="str">
        <f>IF(P$96="","",IF(Config!$X$49&lt;&gt;"Não",SUMIFS(BD!$W$3:$W$5001,BD!$B$3:$B$5001,P$96,BD!$A$3:$A$5001,"&gt;="&amp;$C$7,BD!$A$3:$A$5001,"&lt;="&amp;$D$7),"—"))</f>
        <v/>
      </c>
      <c r="Q118" s="42" t="str">
        <f>IF(Q$96="","",IF(Config!$X$50&lt;&gt;"Não",SUMIFS(BD!$W$3:$W$5001,BD!$B$3:$B$5001,Q$96,BD!$A$3:$A$5001,"&gt;="&amp;$C$7,BD!$A$3:$A$5001,"&lt;="&amp;$D$7),"—"))</f>
        <v/>
      </c>
      <c r="R118" s="42" t="str">
        <f>IF(R$96="","",IF(Config!$X$51&lt;&gt;"Não",SUMIFS(BD!$W$3:$W$5001,BD!$B$3:$B$5001,R$96,BD!$A$3:$A$5001,"&gt;="&amp;$C$7,BD!$A$3:$A$5001,"&lt;="&amp;$D$7),"—"))</f>
        <v/>
      </c>
      <c r="S118" s="42" t="str">
        <f>IF(S$96="","",IF(Config!$X$52&lt;&gt;"Não",SUMIFS(BD!$W$3:$W$5001,BD!$B$3:$B$5001,S$96,BD!$A$3:$A$5001,"&gt;="&amp;$C$7,BD!$A$3:$A$5001,"&lt;="&amp;$D$7),"—"))</f>
        <v/>
      </c>
      <c r="T118" s="42" t="str">
        <f>IF(T$96="","",IF(Config!$X$53&lt;&gt;"Não",SUMIFS(BD!$W$3:$W$5001,BD!$B$3:$B$5001,T$96,BD!$A$3:$A$5001,"&gt;="&amp;$C$7,BD!$A$3:$A$5001,"&lt;="&amp;$D$7),"—"))</f>
        <v/>
      </c>
      <c r="U118" s="42" t="str">
        <f>IF(U$96="","",IF(Config!$X$54&lt;&gt;"Não",SUMIFS(BD!$W$3:$W$5001,BD!$B$3:$B$5001,U$96,BD!$A$3:$A$5001,"&gt;="&amp;$C$7,BD!$A$3:$A$5001,"&lt;="&amp;$D$7),"—"))</f>
        <v/>
      </c>
      <c r="V118" s="73">
        <f>SUM(B118:U118)</f>
        <v>0</v>
      </c>
    </row>
    <row r="119">
      <c r="A119" s="40" t="inlineStr">
        <is>
          <t xml:space="preserve">GENTE · Férias</t>
        </is>
      </c>
      <c r="B119" s="42">
        <f>IF(B$96="","",IF(Config!$Y$35&lt;&gt;"Não",SUMIFS(BD!$X$3:$X$5001,BD!$B$3:$B$5001,B$96,BD!$A$3:$A$5001,"&gt;="&amp;$C$7,BD!$A$3:$A$5001,"&lt;="&amp;$D$7),"—"))</f>
        <v>0</v>
      </c>
      <c r="C119" s="42">
        <f>IF(C$96="","",IF(Config!$Y$36&lt;&gt;"Não",SUMIFS(BD!$X$3:$X$5001,BD!$B$3:$B$5001,C$96,BD!$A$3:$A$5001,"&gt;="&amp;$C$7,BD!$A$3:$A$5001,"&lt;="&amp;$D$7),"—"))</f>
        <v>0</v>
      </c>
      <c r="D119" s="42">
        <f>IF(D$96="","",IF(Config!$Y$37&lt;&gt;"Não",SUMIFS(BD!$X$3:$X$5001,BD!$B$3:$B$5001,D$96,BD!$A$3:$A$5001,"&gt;="&amp;$C$7,BD!$A$3:$A$5001,"&lt;="&amp;$D$7),"—"))</f>
        <v>0</v>
      </c>
      <c r="E119" s="42">
        <f>IF(E$96="","",IF(Config!$Y$38&lt;&gt;"Não",SUMIFS(BD!$X$3:$X$5001,BD!$B$3:$B$5001,E$96,BD!$A$3:$A$5001,"&gt;="&amp;$C$7,BD!$A$3:$A$5001,"&lt;="&amp;$D$7),"—"))</f>
        <v>0</v>
      </c>
      <c r="F119" s="42">
        <f>IF(F$96="","",IF(Config!$Y$39&lt;&gt;"Não",SUMIFS(BD!$X$3:$X$5001,BD!$B$3:$B$5001,F$96,BD!$A$3:$A$5001,"&gt;="&amp;$C$7,BD!$A$3:$A$5001,"&lt;="&amp;$D$7),"—"))</f>
        <v>0</v>
      </c>
      <c r="G119" s="42" t="str">
        <f>IF(G$96="","",IF(Config!$Y$40&lt;&gt;"Não",SUMIFS(BD!$X$3:$X$5001,BD!$B$3:$B$5001,G$96,BD!$A$3:$A$5001,"&gt;="&amp;$C$7,BD!$A$3:$A$5001,"&lt;="&amp;$D$7),"—"))</f>
        <v/>
      </c>
      <c r="H119" s="42" t="str">
        <f>IF(H$96="","",IF(Config!$Y$41&lt;&gt;"Não",SUMIFS(BD!$X$3:$X$5001,BD!$B$3:$B$5001,H$96,BD!$A$3:$A$5001,"&gt;="&amp;$C$7,BD!$A$3:$A$5001,"&lt;="&amp;$D$7),"—"))</f>
        <v/>
      </c>
      <c r="I119" s="42" t="str">
        <f>IF(I$96="","",IF(Config!$Y$42&lt;&gt;"Não",SUMIFS(BD!$X$3:$X$5001,BD!$B$3:$B$5001,I$96,BD!$A$3:$A$5001,"&gt;="&amp;$C$7,BD!$A$3:$A$5001,"&lt;="&amp;$D$7),"—"))</f>
        <v/>
      </c>
      <c r="J119" s="42" t="str">
        <f>IF(J$96="","",IF(Config!$Y$43&lt;&gt;"Não",SUMIFS(BD!$X$3:$X$5001,BD!$B$3:$B$5001,J$96,BD!$A$3:$A$5001,"&gt;="&amp;$C$7,BD!$A$3:$A$5001,"&lt;="&amp;$D$7),"—"))</f>
        <v/>
      </c>
      <c r="K119" s="42" t="str">
        <f>IF(K$96="","",IF(Config!$Y$44&lt;&gt;"Não",SUMIFS(BD!$X$3:$X$5001,BD!$B$3:$B$5001,K$96,BD!$A$3:$A$5001,"&gt;="&amp;$C$7,BD!$A$3:$A$5001,"&lt;="&amp;$D$7),"—"))</f>
        <v/>
      </c>
      <c r="L119" s="42" t="str">
        <f>IF(L$96="","",IF(Config!$Y$45&lt;&gt;"Não",SUMIFS(BD!$X$3:$X$5001,BD!$B$3:$B$5001,L$96,BD!$A$3:$A$5001,"&gt;="&amp;$C$7,BD!$A$3:$A$5001,"&lt;="&amp;$D$7),"—"))</f>
        <v/>
      </c>
      <c r="M119" s="42" t="str">
        <f>IF(M$96="","",IF(Config!$Y$46&lt;&gt;"Não",SUMIFS(BD!$X$3:$X$5001,BD!$B$3:$B$5001,M$96,BD!$A$3:$A$5001,"&gt;="&amp;$C$7,BD!$A$3:$A$5001,"&lt;="&amp;$D$7),"—"))</f>
        <v/>
      </c>
      <c r="N119" s="42" t="str">
        <f>IF(N$96="","",IF(Config!$Y$47&lt;&gt;"Não",SUMIFS(BD!$X$3:$X$5001,BD!$B$3:$B$5001,N$96,BD!$A$3:$A$5001,"&gt;="&amp;$C$7,BD!$A$3:$A$5001,"&lt;="&amp;$D$7),"—"))</f>
        <v/>
      </c>
      <c r="O119" s="42" t="str">
        <f>IF(O$96="","",IF(Config!$Y$48&lt;&gt;"Não",SUMIFS(BD!$X$3:$X$5001,BD!$B$3:$B$5001,O$96,BD!$A$3:$A$5001,"&gt;="&amp;$C$7,BD!$A$3:$A$5001,"&lt;="&amp;$D$7),"—"))</f>
        <v/>
      </c>
      <c r="P119" s="42" t="str">
        <f>IF(P$96="","",IF(Config!$Y$49&lt;&gt;"Não",SUMIFS(BD!$X$3:$X$5001,BD!$B$3:$B$5001,P$96,BD!$A$3:$A$5001,"&gt;="&amp;$C$7,BD!$A$3:$A$5001,"&lt;="&amp;$D$7),"—"))</f>
        <v/>
      </c>
      <c r="Q119" s="42" t="str">
        <f>IF(Q$96="","",IF(Config!$Y$50&lt;&gt;"Não",SUMIFS(BD!$X$3:$X$5001,BD!$B$3:$B$5001,Q$96,BD!$A$3:$A$5001,"&gt;="&amp;$C$7,BD!$A$3:$A$5001,"&lt;="&amp;$D$7),"—"))</f>
        <v/>
      </c>
      <c r="R119" s="42" t="str">
        <f>IF(R$96="","",IF(Config!$Y$51&lt;&gt;"Não",SUMIFS(BD!$X$3:$X$5001,BD!$B$3:$B$5001,R$96,BD!$A$3:$A$5001,"&gt;="&amp;$C$7,BD!$A$3:$A$5001,"&lt;="&amp;$D$7),"—"))</f>
        <v/>
      </c>
      <c r="S119" s="42" t="str">
        <f>IF(S$96="","",IF(Config!$Y$52&lt;&gt;"Não",SUMIFS(BD!$X$3:$X$5001,BD!$B$3:$B$5001,S$96,BD!$A$3:$A$5001,"&gt;="&amp;$C$7,BD!$A$3:$A$5001,"&lt;="&amp;$D$7),"—"))</f>
        <v/>
      </c>
      <c r="T119" s="42" t="str">
        <f>IF(T$96="","",IF(Config!$Y$53&lt;&gt;"Não",SUMIFS(BD!$X$3:$X$5001,BD!$B$3:$B$5001,T$96,BD!$A$3:$A$5001,"&gt;="&amp;$C$7,BD!$A$3:$A$5001,"&lt;="&amp;$D$7),"—"))</f>
        <v/>
      </c>
      <c r="U119" s="42" t="str">
        <f>IF(U$96="","",IF(Config!$Y$54&lt;&gt;"Não",SUMIFS(BD!$X$3:$X$5001,BD!$B$3:$B$5001,U$96,BD!$A$3:$A$5001,"&gt;="&amp;$C$7,BD!$A$3:$A$5001,"&lt;="&amp;$D$7),"—"))</f>
        <v/>
      </c>
      <c r="V119" s="73">
        <f>SUM(B119:U119)</f>
        <v>0</v>
      </c>
    </row>
    <row r="120">
      <c r="A120" s="40" t="inlineStr">
        <is>
          <t xml:space="preserve">GENTE · Desligamento</t>
        </is>
      </c>
      <c r="B120" s="42">
        <f>IF(B$96="","",IF(Config!$Z$35&lt;&gt;"Não",SUMIFS(BD!$Y$3:$Y$5001,BD!$B$3:$B$5001,B$96,BD!$A$3:$A$5001,"&gt;="&amp;$C$7,BD!$A$3:$A$5001,"&lt;="&amp;$D$7),"—"))</f>
        <v>0</v>
      </c>
      <c r="C120" s="42">
        <f>IF(C$96="","",IF(Config!$Z$36&lt;&gt;"Não",SUMIFS(BD!$Y$3:$Y$5001,BD!$B$3:$B$5001,C$96,BD!$A$3:$A$5001,"&gt;="&amp;$C$7,BD!$A$3:$A$5001,"&lt;="&amp;$D$7),"—"))</f>
        <v>0</v>
      </c>
      <c r="D120" s="42">
        <f>IF(D$96="","",IF(Config!$Z$37&lt;&gt;"Não",SUMIFS(BD!$Y$3:$Y$5001,BD!$B$3:$B$5001,D$96,BD!$A$3:$A$5001,"&gt;="&amp;$C$7,BD!$A$3:$A$5001,"&lt;="&amp;$D$7),"—"))</f>
        <v>0</v>
      </c>
      <c r="E120" s="42">
        <f>IF(E$96="","",IF(Config!$Z$38&lt;&gt;"Não",SUMIFS(BD!$Y$3:$Y$5001,BD!$B$3:$B$5001,E$96,BD!$A$3:$A$5001,"&gt;="&amp;$C$7,BD!$A$3:$A$5001,"&lt;="&amp;$D$7),"—"))</f>
        <v>0</v>
      </c>
      <c r="F120" s="42">
        <f>IF(F$96="","",IF(Config!$Z$39&lt;&gt;"Não",SUMIFS(BD!$Y$3:$Y$5001,BD!$B$3:$B$5001,F$96,BD!$A$3:$A$5001,"&gt;="&amp;$C$7,BD!$A$3:$A$5001,"&lt;="&amp;$D$7),"—"))</f>
        <v>0</v>
      </c>
      <c r="G120" s="42" t="str">
        <f>IF(G$96="","",IF(Config!$Z$40&lt;&gt;"Não",SUMIFS(BD!$Y$3:$Y$5001,BD!$B$3:$B$5001,G$96,BD!$A$3:$A$5001,"&gt;="&amp;$C$7,BD!$A$3:$A$5001,"&lt;="&amp;$D$7),"—"))</f>
        <v/>
      </c>
      <c r="H120" s="42" t="str">
        <f>IF(H$96="","",IF(Config!$Z$41&lt;&gt;"Não",SUMIFS(BD!$Y$3:$Y$5001,BD!$B$3:$B$5001,H$96,BD!$A$3:$A$5001,"&gt;="&amp;$C$7,BD!$A$3:$A$5001,"&lt;="&amp;$D$7),"—"))</f>
        <v/>
      </c>
      <c r="I120" s="42" t="str">
        <f>IF(I$96="","",IF(Config!$Z$42&lt;&gt;"Não",SUMIFS(BD!$Y$3:$Y$5001,BD!$B$3:$B$5001,I$96,BD!$A$3:$A$5001,"&gt;="&amp;$C$7,BD!$A$3:$A$5001,"&lt;="&amp;$D$7),"—"))</f>
        <v/>
      </c>
      <c r="J120" s="42" t="str">
        <f>IF(J$96="","",IF(Config!$Z$43&lt;&gt;"Não",SUMIFS(BD!$Y$3:$Y$5001,BD!$B$3:$B$5001,J$96,BD!$A$3:$A$5001,"&gt;="&amp;$C$7,BD!$A$3:$A$5001,"&lt;="&amp;$D$7),"—"))</f>
        <v/>
      </c>
      <c r="K120" s="42" t="str">
        <f>IF(K$96="","",IF(Config!$Z$44&lt;&gt;"Não",SUMIFS(BD!$Y$3:$Y$5001,BD!$B$3:$B$5001,K$96,BD!$A$3:$A$5001,"&gt;="&amp;$C$7,BD!$A$3:$A$5001,"&lt;="&amp;$D$7),"—"))</f>
        <v/>
      </c>
      <c r="L120" s="42" t="str">
        <f>IF(L$96="","",IF(Config!$Z$45&lt;&gt;"Não",SUMIFS(BD!$Y$3:$Y$5001,BD!$B$3:$B$5001,L$96,BD!$A$3:$A$5001,"&gt;="&amp;$C$7,BD!$A$3:$A$5001,"&lt;="&amp;$D$7),"—"))</f>
        <v/>
      </c>
      <c r="M120" s="42" t="str">
        <f>IF(M$96="","",IF(Config!$Z$46&lt;&gt;"Não",SUMIFS(BD!$Y$3:$Y$5001,BD!$B$3:$B$5001,M$96,BD!$A$3:$A$5001,"&gt;="&amp;$C$7,BD!$A$3:$A$5001,"&lt;="&amp;$D$7),"—"))</f>
        <v/>
      </c>
      <c r="N120" s="42" t="str">
        <f>IF(N$96="","",IF(Config!$Z$47&lt;&gt;"Não",SUMIFS(BD!$Y$3:$Y$5001,BD!$B$3:$B$5001,N$96,BD!$A$3:$A$5001,"&gt;="&amp;$C$7,BD!$A$3:$A$5001,"&lt;="&amp;$D$7),"—"))</f>
        <v/>
      </c>
      <c r="O120" s="42" t="str">
        <f>IF(O$96="","",IF(Config!$Z$48&lt;&gt;"Não",SUMIFS(BD!$Y$3:$Y$5001,BD!$B$3:$B$5001,O$96,BD!$A$3:$A$5001,"&gt;="&amp;$C$7,BD!$A$3:$A$5001,"&lt;="&amp;$D$7),"—"))</f>
        <v/>
      </c>
      <c r="P120" s="42" t="str">
        <f>IF(P$96="","",IF(Config!$Z$49&lt;&gt;"Não",SUMIFS(BD!$Y$3:$Y$5001,BD!$B$3:$B$5001,P$96,BD!$A$3:$A$5001,"&gt;="&amp;$C$7,BD!$A$3:$A$5001,"&lt;="&amp;$D$7),"—"))</f>
        <v/>
      </c>
      <c r="Q120" s="42" t="str">
        <f>IF(Q$96="","",IF(Config!$Z$50&lt;&gt;"Não",SUMIFS(BD!$Y$3:$Y$5001,BD!$B$3:$B$5001,Q$96,BD!$A$3:$A$5001,"&gt;="&amp;$C$7,BD!$A$3:$A$5001,"&lt;="&amp;$D$7),"—"))</f>
        <v/>
      </c>
      <c r="R120" s="42" t="str">
        <f>IF(R$96="","",IF(Config!$Z$51&lt;&gt;"Não",SUMIFS(BD!$Y$3:$Y$5001,BD!$B$3:$B$5001,R$96,BD!$A$3:$A$5001,"&gt;="&amp;$C$7,BD!$A$3:$A$5001,"&lt;="&amp;$D$7),"—"))</f>
        <v/>
      </c>
      <c r="S120" s="42" t="str">
        <f>IF(S$96="","",IF(Config!$Z$52&lt;&gt;"Não",SUMIFS(BD!$Y$3:$Y$5001,BD!$B$3:$B$5001,S$96,BD!$A$3:$A$5001,"&gt;="&amp;$C$7,BD!$A$3:$A$5001,"&lt;="&amp;$D$7),"—"))</f>
        <v/>
      </c>
      <c r="T120" s="42" t="str">
        <f>IF(T$96="","",IF(Config!$Z$53&lt;&gt;"Não",SUMIFS(BD!$Y$3:$Y$5001,BD!$B$3:$B$5001,T$96,BD!$A$3:$A$5001,"&gt;="&amp;$C$7,BD!$A$3:$A$5001,"&lt;="&amp;$D$7),"—"))</f>
        <v/>
      </c>
      <c r="U120" s="42" t="str">
        <f>IF(U$96="","",IF(Config!$Z$54&lt;&gt;"Não",SUMIFS(BD!$Y$3:$Y$5001,BD!$B$3:$B$5001,U$96,BD!$A$3:$A$5001,"&gt;="&amp;$C$7,BD!$A$3:$A$5001,"&lt;="&amp;$D$7),"—"))</f>
        <v/>
      </c>
      <c r="V120" s="73">
        <f>SUM(B120:U120)</f>
        <v>0</v>
      </c>
    </row>
    <row r="121">
      <c r="A121" s="40" t="inlineStr">
        <is>
          <t xml:space="preserve">GENTE · Desvios Comportamentais</t>
        </is>
      </c>
      <c r="B121" s="42">
        <f>IF(B$96="","",IF(Config!$AA$35&lt;&gt;"Não",SUMIFS(BD!$Z$3:$Z$5001,BD!$B$3:$B$5001,B$96,BD!$A$3:$A$5001,"&gt;="&amp;$C$7,BD!$A$3:$A$5001,"&lt;="&amp;$D$7),"—"))</f>
        <v>0</v>
      </c>
      <c r="C121" s="42">
        <f>IF(C$96="","",IF(Config!$AA$36&lt;&gt;"Não",SUMIFS(BD!$Z$3:$Z$5001,BD!$B$3:$B$5001,C$96,BD!$A$3:$A$5001,"&gt;="&amp;$C$7,BD!$A$3:$A$5001,"&lt;="&amp;$D$7),"—"))</f>
        <v>0</v>
      </c>
      <c r="D121" s="42">
        <f>IF(D$96="","",IF(Config!$AA$37&lt;&gt;"Não",SUMIFS(BD!$Z$3:$Z$5001,BD!$B$3:$B$5001,D$96,BD!$A$3:$A$5001,"&gt;="&amp;$C$7,BD!$A$3:$A$5001,"&lt;="&amp;$D$7),"—"))</f>
        <v>0</v>
      </c>
      <c r="E121" s="42">
        <f>IF(E$96="","",IF(Config!$AA$38&lt;&gt;"Não",SUMIFS(BD!$Z$3:$Z$5001,BD!$B$3:$B$5001,E$96,BD!$A$3:$A$5001,"&gt;="&amp;$C$7,BD!$A$3:$A$5001,"&lt;="&amp;$D$7),"—"))</f>
        <v>0</v>
      </c>
      <c r="F121" s="42">
        <f>IF(F$96="","",IF(Config!$AA$39&lt;&gt;"Não",SUMIFS(BD!$Z$3:$Z$5001,BD!$B$3:$B$5001,F$96,BD!$A$3:$A$5001,"&gt;="&amp;$C$7,BD!$A$3:$A$5001,"&lt;="&amp;$D$7),"—"))</f>
        <v>0</v>
      </c>
      <c r="G121" s="42" t="str">
        <f>IF(G$96="","",IF(Config!$AA$40&lt;&gt;"Não",SUMIFS(BD!$Z$3:$Z$5001,BD!$B$3:$B$5001,G$96,BD!$A$3:$A$5001,"&gt;="&amp;$C$7,BD!$A$3:$A$5001,"&lt;="&amp;$D$7),"—"))</f>
        <v/>
      </c>
      <c r="H121" s="42" t="str">
        <f>IF(H$96="","",IF(Config!$AA$41&lt;&gt;"Não",SUMIFS(BD!$Z$3:$Z$5001,BD!$B$3:$B$5001,H$96,BD!$A$3:$A$5001,"&gt;="&amp;$C$7,BD!$A$3:$A$5001,"&lt;="&amp;$D$7),"—"))</f>
        <v/>
      </c>
      <c r="I121" s="42" t="str">
        <f>IF(I$96="","",IF(Config!$AA$42&lt;&gt;"Não",SUMIFS(BD!$Z$3:$Z$5001,BD!$B$3:$B$5001,I$96,BD!$A$3:$A$5001,"&gt;="&amp;$C$7,BD!$A$3:$A$5001,"&lt;="&amp;$D$7),"—"))</f>
        <v/>
      </c>
      <c r="J121" s="42" t="str">
        <f>IF(J$96="","",IF(Config!$AA$43&lt;&gt;"Não",SUMIFS(BD!$Z$3:$Z$5001,BD!$B$3:$B$5001,J$96,BD!$A$3:$A$5001,"&gt;="&amp;$C$7,BD!$A$3:$A$5001,"&lt;="&amp;$D$7),"—"))</f>
        <v/>
      </c>
      <c r="K121" s="42" t="str">
        <f>IF(K$96="","",IF(Config!$AA$44&lt;&gt;"Não",SUMIFS(BD!$Z$3:$Z$5001,BD!$B$3:$B$5001,K$96,BD!$A$3:$A$5001,"&gt;="&amp;$C$7,BD!$A$3:$A$5001,"&lt;="&amp;$D$7),"—"))</f>
        <v/>
      </c>
      <c r="L121" s="42" t="str">
        <f>IF(L$96="","",IF(Config!$AA$45&lt;&gt;"Não",SUMIFS(BD!$Z$3:$Z$5001,BD!$B$3:$B$5001,L$96,BD!$A$3:$A$5001,"&gt;="&amp;$C$7,BD!$A$3:$A$5001,"&lt;="&amp;$D$7),"—"))</f>
        <v/>
      </c>
      <c r="M121" s="42" t="str">
        <f>IF(M$96="","",IF(Config!$AA$46&lt;&gt;"Não",SUMIFS(BD!$Z$3:$Z$5001,BD!$B$3:$B$5001,M$96,BD!$A$3:$A$5001,"&gt;="&amp;$C$7,BD!$A$3:$A$5001,"&lt;="&amp;$D$7),"—"))</f>
        <v/>
      </c>
      <c r="N121" s="42" t="str">
        <f>IF(N$96="","",IF(Config!$AA$47&lt;&gt;"Não",SUMIFS(BD!$Z$3:$Z$5001,BD!$B$3:$B$5001,N$96,BD!$A$3:$A$5001,"&gt;="&amp;$C$7,BD!$A$3:$A$5001,"&lt;="&amp;$D$7),"—"))</f>
        <v/>
      </c>
      <c r="O121" s="42" t="str">
        <f>IF(O$96="","",IF(Config!$AA$48&lt;&gt;"Não",SUMIFS(BD!$Z$3:$Z$5001,BD!$B$3:$B$5001,O$96,BD!$A$3:$A$5001,"&gt;="&amp;$C$7,BD!$A$3:$A$5001,"&lt;="&amp;$D$7),"—"))</f>
        <v/>
      </c>
      <c r="P121" s="42" t="str">
        <f>IF(P$96="","",IF(Config!$AA$49&lt;&gt;"Não",SUMIFS(BD!$Z$3:$Z$5001,BD!$B$3:$B$5001,P$96,BD!$A$3:$A$5001,"&gt;="&amp;$C$7,BD!$A$3:$A$5001,"&lt;="&amp;$D$7),"—"))</f>
        <v/>
      </c>
      <c r="Q121" s="42" t="str">
        <f>IF(Q$96="","",IF(Config!$AA$50&lt;&gt;"Não",SUMIFS(BD!$Z$3:$Z$5001,BD!$B$3:$B$5001,Q$96,BD!$A$3:$A$5001,"&gt;="&amp;$C$7,BD!$A$3:$A$5001,"&lt;="&amp;$D$7),"—"))</f>
        <v/>
      </c>
      <c r="R121" s="42" t="str">
        <f>IF(R$96="","",IF(Config!$AA$51&lt;&gt;"Não",SUMIFS(BD!$Z$3:$Z$5001,BD!$B$3:$B$5001,R$96,BD!$A$3:$A$5001,"&gt;="&amp;$C$7,BD!$A$3:$A$5001,"&lt;="&amp;$D$7),"—"))</f>
        <v/>
      </c>
      <c r="S121" s="42" t="str">
        <f>IF(S$96="","",IF(Config!$AA$52&lt;&gt;"Não",SUMIFS(BD!$Z$3:$Z$5001,BD!$B$3:$B$5001,S$96,BD!$A$3:$A$5001,"&gt;="&amp;$C$7,BD!$A$3:$A$5001,"&lt;="&amp;$D$7),"—"))</f>
        <v/>
      </c>
      <c r="T121" s="42" t="str">
        <f>IF(T$96="","",IF(Config!$AA$53&lt;&gt;"Não",SUMIFS(BD!$Z$3:$Z$5001,BD!$B$3:$B$5001,T$96,BD!$A$3:$A$5001,"&gt;="&amp;$C$7,BD!$A$3:$A$5001,"&lt;="&amp;$D$7),"—"))</f>
        <v/>
      </c>
      <c r="U121" s="42" t="str">
        <f>IF(U$96="","",IF(Config!$AA$54&lt;&gt;"Não",SUMIFS(BD!$Z$3:$Z$5001,BD!$B$3:$B$5001,U$96,BD!$A$3:$A$5001,"&gt;="&amp;$C$7,BD!$A$3:$A$5001,"&lt;="&amp;$D$7),"—"))</f>
        <v/>
      </c>
      <c r="V121" s="73">
        <f>SUM(B121:U121)</f>
        <v>0</v>
      </c>
    </row>
    <row r="122">
      <c r="A122" s="40" t="inlineStr">
        <is>
          <t xml:space="preserve">GENTE · Acidentes CAF</t>
        </is>
      </c>
      <c r="B122" s="42">
        <f>IF(B$96="","",IF(Config!$AB$35&lt;&gt;"Não",SUMIFS(BD!$AA$3:$AA$5001,BD!$B$3:$B$5001,B$96,BD!$A$3:$A$5001,"&gt;="&amp;$C$7,BD!$A$3:$A$5001,"&lt;="&amp;$D$7),"—"))</f>
        <v>0</v>
      </c>
      <c r="C122" s="42">
        <f>IF(C$96="","",IF(Config!$AB$36&lt;&gt;"Não",SUMIFS(BD!$AA$3:$AA$5001,BD!$B$3:$B$5001,C$96,BD!$A$3:$A$5001,"&gt;="&amp;$C$7,BD!$A$3:$A$5001,"&lt;="&amp;$D$7),"—"))</f>
        <v>0</v>
      </c>
      <c r="D122" s="42">
        <f>IF(D$96="","",IF(Config!$AB$37&lt;&gt;"Não",SUMIFS(BD!$AA$3:$AA$5001,BD!$B$3:$B$5001,D$96,BD!$A$3:$A$5001,"&gt;="&amp;$C$7,BD!$A$3:$A$5001,"&lt;="&amp;$D$7),"—"))</f>
        <v>0</v>
      </c>
      <c r="E122" s="42">
        <f>IF(E$96="","",IF(Config!$AB$38&lt;&gt;"Não",SUMIFS(BD!$AA$3:$AA$5001,BD!$B$3:$B$5001,E$96,BD!$A$3:$A$5001,"&gt;="&amp;$C$7,BD!$A$3:$A$5001,"&lt;="&amp;$D$7),"—"))</f>
        <v>0</v>
      </c>
      <c r="F122" s="42">
        <f>IF(F$96="","",IF(Config!$AB$39&lt;&gt;"Não",SUMIFS(BD!$AA$3:$AA$5001,BD!$B$3:$B$5001,F$96,BD!$A$3:$A$5001,"&gt;="&amp;$C$7,BD!$A$3:$A$5001,"&lt;="&amp;$D$7),"—"))</f>
        <v>0</v>
      </c>
      <c r="G122" s="42" t="str">
        <f>IF(G$96="","",IF(Config!$AB$40&lt;&gt;"Não",SUMIFS(BD!$AA$3:$AA$5001,BD!$B$3:$B$5001,G$96,BD!$A$3:$A$5001,"&gt;="&amp;$C$7,BD!$A$3:$A$5001,"&lt;="&amp;$D$7),"—"))</f>
        <v/>
      </c>
      <c r="H122" s="42" t="str">
        <f>IF(H$96="","",IF(Config!$AB$41&lt;&gt;"Não",SUMIFS(BD!$AA$3:$AA$5001,BD!$B$3:$B$5001,H$96,BD!$A$3:$A$5001,"&gt;="&amp;$C$7,BD!$A$3:$A$5001,"&lt;="&amp;$D$7),"—"))</f>
        <v/>
      </c>
      <c r="I122" s="42" t="str">
        <f>IF(I$96="","",IF(Config!$AB$42&lt;&gt;"Não",SUMIFS(BD!$AA$3:$AA$5001,BD!$B$3:$B$5001,I$96,BD!$A$3:$A$5001,"&gt;="&amp;$C$7,BD!$A$3:$A$5001,"&lt;="&amp;$D$7),"—"))</f>
        <v/>
      </c>
      <c r="J122" s="42" t="str">
        <f>IF(J$96="","",IF(Config!$AB$43&lt;&gt;"Não",SUMIFS(BD!$AA$3:$AA$5001,BD!$B$3:$B$5001,J$96,BD!$A$3:$A$5001,"&gt;="&amp;$C$7,BD!$A$3:$A$5001,"&lt;="&amp;$D$7),"—"))</f>
        <v/>
      </c>
      <c r="K122" s="42" t="str">
        <f>IF(K$96="","",IF(Config!$AB$44&lt;&gt;"Não",SUMIFS(BD!$AA$3:$AA$5001,BD!$B$3:$B$5001,K$96,BD!$A$3:$A$5001,"&gt;="&amp;$C$7,BD!$A$3:$A$5001,"&lt;="&amp;$D$7),"—"))</f>
        <v/>
      </c>
      <c r="L122" s="42" t="str">
        <f>IF(L$96="","",IF(Config!$AB$45&lt;&gt;"Não",SUMIFS(BD!$AA$3:$AA$5001,BD!$B$3:$B$5001,L$96,BD!$A$3:$A$5001,"&gt;="&amp;$C$7,BD!$A$3:$A$5001,"&lt;="&amp;$D$7),"—"))</f>
        <v/>
      </c>
      <c r="M122" s="42" t="str">
        <f>IF(M$96="","",IF(Config!$AB$46&lt;&gt;"Não",SUMIFS(BD!$AA$3:$AA$5001,BD!$B$3:$B$5001,M$96,BD!$A$3:$A$5001,"&gt;="&amp;$C$7,BD!$A$3:$A$5001,"&lt;="&amp;$D$7),"—"))</f>
        <v/>
      </c>
      <c r="N122" s="42" t="str">
        <f>IF(N$96="","",IF(Config!$AB$47&lt;&gt;"Não",SUMIFS(BD!$AA$3:$AA$5001,BD!$B$3:$B$5001,N$96,BD!$A$3:$A$5001,"&gt;="&amp;$C$7,BD!$A$3:$A$5001,"&lt;="&amp;$D$7),"—"))</f>
        <v/>
      </c>
      <c r="O122" s="42" t="str">
        <f>IF(O$96="","",IF(Config!$AB$48&lt;&gt;"Não",SUMIFS(BD!$AA$3:$AA$5001,BD!$B$3:$B$5001,O$96,BD!$A$3:$A$5001,"&gt;="&amp;$C$7,BD!$A$3:$A$5001,"&lt;="&amp;$D$7),"—"))</f>
        <v/>
      </c>
      <c r="P122" s="42" t="str">
        <f>IF(P$96="","",IF(Config!$AB$49&lt;&gt;"Não",SUMIFS(BD!$AA$3:$AA$5001,BD!$B$3:$B$5001,P$96,BD!$A$3:$A$5001,"&gt;="&amp;$C$7,BD!$A$3:$A$5001,"&lt;="&amp;$D$7),"—"))</f>
        <v/>
      </c>
      <c r="Q122" s="42" t="str">
        <f>IF(Q$96="","",IF(Config!$AB$50&lt;&gt;"Não",SUMIFS(BD!$AA$3:$AA$5001,BD!$B$3:$B$5001,Q$96,BD!$A$3:$A$5001,"&gt;="&amp;$C$7,BD!$A$3:$A$5001,"&lt;="&amp;$D$7),"—"))</f>
        <v/>
      </c>
      <c r="R122" s="42" t="str">
        <f>IF(R$96="","",IF(Config!$AB$51&lt;&gt;"Não",SUMIFS(BD!$AA$3:$AA$5001,BD!$B$3:$B$5001,R$96,BD!$A$3:$A$5001,"&gt;="&amp;$C$7,BD!$A$3:$A$5001,"&lt;="&amp;$D$7),"—"))</f>
        <v/>
      </c>
      <c r="S122" s="42" t="str">
        <f>IF(S$96="","",IF(Config!$AB$52&lt;&gt;"Não",SUMIFS(BD!$AA$3:$AA$5001,BD!$B$3:$B$5001,S$96,BD!$A$3:$A$5001,"&gt;="&amp;$C$7,BD!$A$3:$A$5001,"&lt;="&amp;$D$7),"—"))</f>
        <v/>
      </c>
      <c r="T122" s="42" t="str">
        <f>IF(T$96="","",IF(Config!$AB$53&lt;&gt;"Não",SUMIFS(BD!$AA$3:$AA$5001,BD!$B$3:$B$5001,T$96,BD!$A$3:$A$5001,"&gt;="&amp;$C$7,BD!$A$3:$A$5001,"&lt;="&amp;$D$7),"—"))</f>
        <v/>
      </c>
      <c r="U122" s="42" t="str">
        <f>IF(U$96="","",IF(Config!$AB$54&lt;&gt;"Não",SUMIFS(BD!$AA$3:$AA$5001,BD!$B$3:$B$5001,U$96,BD!$A$3:$A$5001,"&gt;="&amp;$C$7,BD!$A$3:$A$5001,"&lt;="&amp;$D$7),"—"))</f>
        <v/>
      </c>
      <c r="V122" s="73">
        <f>SUM(B122:U122)</f>
        <v>0</v>
      </c>
    </row>
    <row r="123">
      <c r="A123" s="40" t="inlineStr">
        <is>
          <t xml:space="preserve">GENTE · Acidentes SAF</t>
        </is>
      </c>
      <c r="B123" s="42">
        <f>IF(B$96="","",IF(Config!$AC$35&lt;&gt;"Não",SUMIFS(BD!$AB$3:$AB$5001,BD!$B$3:$B$5001,B$96,BD!$A$3:$A$5001,"&gt;="&amp;$C$7,BD!$A$3:$A$5001,"&lt;="&amp;$D$7),"—"))</f>
        <v>0</v>
      </c>
      <c r="C123" s="42">
        <f>IF(C$96="","",IF(Config!$AC$36&lt;&gt;"Não",SUMIFS(BD!$AB$3:$AB$5001,BD!$B$3:$B$5001,C$96,BD!$A$3:$A$5001,"&gt;="&amp;$C$7,BD!$A$3:$A$5001,"&lt;="&amp;$D$7),"—"))</f>
        <v>0</v>
      </c>
      <c r="D123" s="42">
        <f>IF(D$96="","",IF(Config!$AC$37&lt;&gt;"Não",SUMIFS(BD!$AB$3:$AB$5001,BD!$B$3:$B$5001,D$96,BD!$A$3:$A$5001,"&gt;="&amp;$C$7,BD!$A$3:$A$5001,"&lt;="&amp;$D$7),"—"))</f>
        <v>0</v>
      </c>
      <c r="E123" s="42">
        <f>IF(E$96="","",IF(Config!$AC$38&lt;&gt;"Não",SUMIFS(BD!$AB$3:$AB$5001,BD!$B$3:$B$5001,E$96,BD!$A$3:$A$5001,"&gt;="&amp;$C$7,BD!$A$3:$A$5001,"&lt;="&amp;$D$7),"—"))</f>
        <v>0</v>
      </c>
      <c r="F123" s="42">
        <f>IF(F$96="","",IF(Config!$AC$39&lt;&gt;"Não",SUMIFS(BD!$AB$3:$AB$5001,BD!$B$3:$B$5001,F$96,BD!$A$3:$A$5001,"&gt;="&amp;$C$7,BD!$A$3:$A$5001,"&lt;="&amp;$D$7),"—"))</f>
        <v>0</v>
      </c>
      <c r="G123" s="42" t="str">
        <f>IF(G$96="","",IF(Config!$AC$40&lt;&gt;"Não",SUMIFS(BD!$AB$3:$AB$5001,BD!$B$3:$B$5001,G$96,BD!$A$3:$A$5001,"&gt;="&amp;$C$7,BD!$A$3:$A$5001,"&lt;="&amp;$D$7),"—"))</f>
        <v/>
      </c>
      <c r="H123" s="42" t="str">
        <f>IF(H$96="","",IF(Config!$AC$41&lt;&gt;"Não",SUMIFS(BD!$AB$3:$AB$5001,BD!$B$3:$B$5001,H$96,BD!$A$3:$A$5001,"&gt;="&amp;$C$7,BD!$A$3:$A$5001,"&lt;="&amp;$D$7),"—"))</f>
        <v/>
      </c>
      <c r="I123" s="42" t="str">
        <f>IF(I$96="","",IF(Config!$AC$42&lt;&gt;"Não",SUMIFS(BD!$AB$3:$AB$5001,BD!$B$3:$B$5001,I$96,BD!$A$3:$A$5001,"&gt;="&amp;$C$7,BD!$A$3:$A$5001,"&lt;="&amp;$D$7),"—"))</f>
        <v/>
      </c>
      <c r="J123" s="42" t="str">
        <f>IF(J$96="","",IF(Config!$AC$43&lt;&gt;"Não",SUMIFS(BD!$AB$3:$AB$5001,BD!$B$3:$B$5001,J$96,BD!$A$3:$A$5001,"&gt;="&amp;$C$7,BD!$A$3:$A$5001,"&lt;="&amp;$D$7),"—"))</f>
        <v/>
      </c>
      <c r="K123" s="42" t="str">
        <f>IF(K$96="","",IF(Config!$AC$44&lt;&gt;"Não",SUMIFS(BD!$AB$3:$AB$5001,BD!$B$3:$B$5001,K$96,BD!$A$3:$A$5001,"&gt;="&amp;$C$7,BD!$A$3:$A$5001,"&lt;="&amp;$D$7),"—"))</f>
        <v/>
      </c>
      <c r="L123" s="42" t="str">
        <f>IF(L$96="","",IF(Config!$AC$45&lt;&gt;"Não",SUMIFS(BD!$AB$3:$AB$5001,BD!$B$3:$B$5001,L$96,BD!$A$3:$A$5001,"&gt;="&amp;$C$7,BD!$A$3:$A$5001,"&lt;="&amp;$D$7),"—"))</f>
        <v/>
      </c>
      <c r="M123" s="42" t="str">
        <f>IF(M$96="","",IF(Config!$AC$46&lt;&gt;"Não",SUMIFS(BD!$AB$3:$AB$5001,BD!$B$3:$B$5001,M$96,BD!$A$3:$A$5001,"&gt;="&amp;$C$7,BD!$A$3:$A$5001,"&lt;="&amp;$D$7),"—"))</f>
        <v/>
      </c>
      <c r="N123" s="42" t="str">
        <f>IF(N$96="","",IF(Config!$AC$47&lt;&gt;"Não",SUMIFS(BD!$AB$3:$AB$5001,BD!$B$3:$B$5001,N$96,BD!$A$3:$A$5001,"&gt;="&amp;$C$7,BD!$A$3:$A$5001,"&lt;="&amp;$D$7),"—"))</f>
        <v/>
      </c>
      <c r="O123" s="42" t="str">
        <f>IF(O$96="","",IF(Config!$AC$48&lt;&gt;"Não",SUMIFS(BD!$AB$3:$AB$5001,BD!$B$3:$B$5001,O$96,BD!$A$3:$A$5001,"&gt;="&amp;$C$7,BD!$A$3:$A$5001,"&lt;="&amp;$D$7),"—"))</f>
        <v/>
      </c>
      <c r="P123" s="42" t="str">
        <f>IF(P$96="","",IF(Config!$AC$49&lt;&gt;"Não",SUMIFS(BD!$AB$3:$AB$5001,BD!$B$3:$B$5001,P$96,BD!$A$3:$A$5001,"&gt;="&amp;$C$7,BD!$A$3:$A$5001,"&lt;="&amp;$D$7),"—"))</f>
        <v/>
      </c>
      <c r="Q123" s="42" t="str">
        <f>IF(Q$96="","",IF(Config!$AC$50&lt;&gt;"Não",SUMIFS(BD!$AB$3:$AB$5001,BD!$B$3:$B$5001,Q$96,BD!$A$3:$A$5001,"&gt;="&amp;$C$7,BD!$A$3:$A$5001,"&lt;="&amp;$D$7),"—"))</f>
        <v/>
      </c>
      <c r="R123" s="42" t="str">
        <f>IF(R$96="","",IF(Config!$AC$51&lt;&gt;"Não",SUMIFS(BD!$AB$3:$AB$5001,BD!$B$3:$B$5001,R$96,BD!$A$3:$A$5001,"&gt;="&amp;$C$7,BD!$A$3:$A$5001,"&lt;="&amp;$D$7),"—"))</f>
        <v/>
      </c>
      <c r="S123" s="42" t="str">
        <f>IF(S$96="","",IF(Config!$AC$52&lt;&gt;"Não",SUMIFS(BD!$AB$3:$AB$5001,BD!$B$3:$B$5001,S$96,BD!$A$3:$A$5001,"&gt;="&amp;$C$7,BD!$A$3:$A$5001,"&lt;="&amp;$D$7),"—"))</f>
        <v/>
      </c>
      <c r="T123" s="42" t="str">
        <f>IF(T$96="","",IF(Config!$AC$53&lt;&gt;"Não",SUMIFS(BD!$AB$3:$AB$5001,BD!$B$3:$B$5001,T$96,BD!$A$3:$A$5001,"&gt;="&amp;$C$7,BD!$A$3:$A$5001,"&lt;="&amp;$D$7),"—"))</f>
        <v/>
      </c>
      <c r="U123" s="42" t="str">
        <f>IF(U$96="","",IF(Config!$AC$54&lt;&gt;"Não",SUMIFS(BD!$AB$3:$AB$5001,BD!$B$3:$B$5001,U$96,BD!$A$3:$A$5001,"&gt;="&amp;$C$7,BD!$A$3:$A$5001,"&lt;="&amp;$D$7),"—"))</f>
        <v/>
      </c>
      <c r="V123" s="73">
        <f>SUM(B123:U123)</f>
        <v>0</v>
      </c>
    </row>
    <row r="127">
      <c r="A127" s="52" t="inlineStr">
        <is>
          <t xml:space="preserve">ESTOQUES POR CLIENTE — último valor informado até cada dia (Backlog, Posições e Efetivo)</t>
        </is>
      </c>
    </row>
    <row r="128">
      <c r="A128" s="47" t="inlineStr">
        <is>
          <t xml:space="preserve">Backlog Intralog</t>
        </is>
      </c>
      <c r="B128" s="47" t="inlineStr">
        <is>
          <t xml:space="preserve">Data</t>
        </is>
      </c>
      <c r="C128" s="47" t="str">
        <f>Config!$B$10&amp;""</f>
        <v>Barry Callebaut</v>
      </c>
      <c r="D128" s="47" t="str">
        <f>Config!$B$11&amp;""</f>
        <v>GM</v>
      </c>
      <c r="E128" s="47" t="str">
        <f>Config!$B$12&amp;""</f>
        <v>Mondelez</v>
      </c>
      <c r="F128" s="47" t="str">
        <f>Config!$B$13&amp;""</f>
        <v>Nestlé</v>
      </c>
      <c r="G128" s="47" t="str">
        <f>Config!$B$14&amp;""</f>
        <v>PMB</v>
      </c>
      <c r="H128" s="47" t="str">
        <f>Config!$B$15&amp;""</f>
        <v/>
      </c>
      <c r="I128" s="47" t="str">
        <f>Config!$B$16&amp;""</f>
        <v/>
      </c>
      <c r="J128" s="47" t="str">
        <f>Config!$B$17&amp;""</f>
        <v/>
      </c>
      <c r="K128" s="47" t="str">
        <f>Config!$B$18&amp;""</f>
        <v/>
      </c>
      <c r="L128" s="47" t="str">
        <f>Config!$B$19&amp;""</f>
        <v/>
      </c>
      <c r="M128" s="47" t="str">
        <f>Config!$B$20&amp;""</f>
        <v/>
      </c>
      <c r="N128" s="47" t="str">
        <f>Config!$B$21&amp;""</f>
        <v/>
      </c>
      <c r="O128" s="47" t="str">
        <f>Config!$B$22&amp;""</f>
        <v/>
      </c>
      <c r="P128" s="47" t="str">
        <f>Config!$B$23&amp;""</f>
        <v/>
      </c>
      <c r="Q128" s="47" t="str">
        <f>Config!$B$24&amp;""</f>
        <v/>
      </c>
      <c r="R128" s="47" t="str">
        <f>Config!$B$25&amp;""</f>
        <v/>
      </c>
      <c r="S128" s="47" t="str">
        <f>Config!$B$26&amp;""</f>
        <v/>
      </c>
      <c r="T128" s="47" t="str">
        <f>Config!$B$27&amp;""</f>
        <v/>
      </c>
      <c r="U128" s="47" t="str">
        <f>Config!$B$28&amp;""</f>
        <v/>
      </c>
      <c r="V128" s="47" t="str">
        <f>Config!$B$29&amp;""</f>
        <v/>
      </c>
    </row>
    <row r="129">
      <c r="A129" s="48">
        <v>1</v>
      </c>
      <c r="B129" s="53">
        <f>$B$12</f>
        <v>46296</v>
      </c>
      <c r="C129" s="54" t="str">
        <f>IF(OR($B129="",$A129&gt;$B$9,C$128=""),"",IF(COUNTIFS(BD!$B$3:$B$5001,C$128,BD!$A$3:$A$5001,"&gt;="&amp;$C$7,BD!$A$3:$A$5001,"&lt;="&amp;$B129,BD!$P$3:$P$5001,"&lt;&gt;")=0,"",SUMIFS(BD!$P$3:$P$5001,BD!$B$3:$B$5001,C$128,BD!$A$3:$A$5001,_xlfn.MAXIFS(BD!$A$3:$A$5001,BD!$B$3:$B$5001,C$128,BD!$A$3:$A$5001,"&gt;="&amp;$C$7,BD!$A$3:$A$5001,"&lt;="&amp;$B129,BD!$P$3:$P$5001,"&lt;&gt;"))))</f>
        <v/>
      </c>
      <c r="D129" s="54" t="str">
        <f>IF(OR($B129="",$A129&gt;$B$9,D$128=""),"",IF(COUNTIFS(BD!$B$3:$B$5001,D$128,BD!$A$3:$A$5001,"&gt;="&amp;$C$7,BD!$A$3:$A$5001,"&lt;="&amp;$B129,BD!$P$3:$P$5001,"&lt;&gt;")=0,"",SUMIFS(BD!$P$3:$P$5001,BD!$B$3:$B$5001,D$128,BD!$A$3:$A$5001,_xlfn.MAXIFS(BD!$A$3:$A$5001,BD!$B$3:$B$5001,D$128,BD!$A$3:$A$5001,"&gt;="&amp;$C$7,BD!$A$3:$A$5001,"&lt;="&amp;$B129,BD!$P$3:$P$5001,"&lt;&gt;"))))</f>
        <v/>
      </c>
      <c r="E129" s="54" t="str">
        <f>IF(OR($B129="",$A129&gt;$B$9,E$128=""),"",IF(COUNTIFS(BD!$B$3:$B$5001,E$128,BD!$A$3:$A$5001,"&gt;="&amp;$C$7,BD!$A$3:$A$5001,"&lt;="&amp;$B129,BD!$P$3:$P$5001,"&lt;&gt;")=0,"",SUMIFS(BD!$P$3:$P$5001,BD!$B$3:$B$5001,E$128,BD!$A$3:$A$5001,_xlfn.MAXIFS(BD!$A$3:$A$5001,BD!$B$3:$B$5001,E$128,BD!$A$3:$A$5001,"&gt;="&amp;$C$7,BD!$A$3:$A$5001,"&lt;="&amp;$B129,BD!$P$3:$P$5001,"&lt;&gt;"))))</f>
        <v/>
      </c>
      <c r="F129" s="54" t="str">
        <f>IF(OR($B129="",$A129&gt;$B$9,F$128=""),"",IF(COUNTIFS(BD!$B$3:$B$5001,F$128,BD!$A$3:$A$5001,"&gt;="&amp;$C$7,BD!$A$3:$A$5001,"&lt;="&amp;$B129,BD!$P$3:$P$5001,"&lt;&gt;")=0,"",SUMIFS(BD!$P$3:$P$5001,BD!$B$3:$B$5001,F$128,BD!$A$3:$A$5001,_xlfn.MAXIFS(BD!$A$3:$A$5001,BD!$B$3:$B$5001,F$128,BD!$A$3:$A$5001,"&gt;="&amp;$C$7,BD!$A$3:$A$5001,"&lt;="&amp;$B129,BD!$P$3:$P$5001,"&lt;&gt;"))))</f>
        <v/>
      </c>
      <c r="G129" s="54" t="str">
        <f>IF(OR($B129="",$A129&gt;$B$9,G$128=""),"",IF(COUNTIFS(BD!$B$3:$B$5001,G$128,BD!$A$3:$A$5001,"&gt;="&amp;$C$7,BD!$A$3:$A$5001,"&lt;="&amp;$B129,BD!$P$3:$P$5001,"&lt;&gt;")=0,"",SUMIFS(BD!$P$3:$P$5001,BD!$B$3:$B$5001,G$128,BD!$A$3:$A$5001,_xlfn.MAXIFS(BD!$A$3:$A$5001,BD!$B$3:$B$5001,G$128,BD!$A$3:$A$5001,"&gt;="&amp;$C$7,BD!$A$3:$A$5001,"&lt;="&amp;$B129,BD!$P$3:$P$5001,"&lt;&gt;"))))</f>
        <v/>
      </c>
      <c r="H129" s="54" t="str">
        <f>IF(OR($B129="",$A129&gt;$B$9,H$128=""),"",IF(COUNTIFS(BD!$B$3:$B$5001,H$128,BD!$A$3:$A$5001,"&gt;="&amp;$C$7,BD!$A$3:$A$5001,"&lt;="&amp;$B129,BD!$P$3:$P$5001,"&lt;&gt;")=0,"",SUMIFS(BD!$P$3:$P$5001,BD!$B$3:$B$5001,H$128,BD!$A$3:$A$5001,_xlfn.MAXIFS(BD!$A$3:$A$5001,BD!$B$3:$B$5001,H$128,BD!$A$3:$A$5001,"&gt;="&amp;$C$7,BD!$A$3:$A$5001,"&lt;="&amp;$B129,BD!$P$3:$P$5001,"&lt;&gt;"))))</f>
        <v/>
      </c>
      <c r="I129" s="54" t="str">
        <f>IF(OR($B129="",$A129&gt;$B$9,I$128=""),"",IF(COUNTIFS(BD!$B$3:$B$5001,I$128,BD!$A$3:$A$5001,"&gt;="&amp;$C$7,BD!$A$3:$A$5001,"&lt;="&amp;$B129,BD!$P$3:$P$5001,"&lt;&gt;")=0,"",SUMIFS(BD!$P$3:$P$5001,BD!$B$3:$B$5001,I$128,BD!$A$3:$A$5001,_xlfn.MAXIFS(BD!$A$3:$A$5001,BD!$B$3:$B$5001,I$128,BD!$A$3:$A$5001,"&gt;="&amp;$C$7,BD!$A$3:$A$5001,"&lt;="&amp;$B129,BD!$P$3:$P$5001,"&lt;&gt;"))))</f>
        <v/>
      </c>
      <c r="J129" s="54" t="str">
        <f>IF(OR($B129="",$A129&gt;$B$9,J$128=""),"",IF(COUNTIFS(BD!$B$3:$B$5001,J$128,BD!$A$3:$A$5001,"&gt;="&amp;$C$7,BD!$A$3:$A$5001,"&lt;="&amp;$B129,BD!$P$3:$P$5001,"&lt;&gt;")=0,"",SUMIFS(BD!$P$3:$P$5001,BD!$B$3:$B$5001,J$128,BD!$A$3:$A$5001,_xlfn.MAXIFS(BD!$A$3:$A$5001,BD!$B$3:$B$5001,J$128,BD!$A$3:$A$5001,"&gt;="&amp;$C$7,BD!$A$3:$A$5001,"&lt;="&amp;$B129,BD!$P$3:$P$5001,"&lt;&gt;"))))</f>
        <v/>
      </c>
      <c r="K129" s="54" t="str">
        <f>IF(OR($B129="",$A129&gt;$B$9,K$128=""),"",IF(COUNTIFS(BD!$B$3:$B$5001,K$128,BD!$A$3:$A$5001,"&gt;="&amp;$C$7,BD!$A$3:$A$5001,"&lt;="&amp;$B129,BD!$P$3:$P$5001,"&lt;&gt;")=0,"",SUMIFS(BD!$P$3:$P$5001,BD!$B$3:$B$5001,K$128,BD!$A$3:$A$5001,_xlfn.MAXIFS(BD!$A$3:$A$5001,BD!$B$3:$B$5001,K$128,BD!$A$3:$A$5001,"&gt;="&amp;$C$7,BD!$A$3:$A$5001,"&lt;="&amp;$B129,BD!$P$3:$P$5001,"&lt;&gt;"))))</f>
        <v/>
      </c>
      <c r="L129" s="54" t="str">
        <f>IF(OR($B129="",$A129&gt;$B$9,L$128=""),"",IF(COUNTIFS(BD!$B$3:$B$5001,L$128,BD!$A$3:$A$5001,"&gt;="&amp;$C$7,BD!$A$3:$A$5001,"&lt;="&amp;$B129,BD!$P$3:$P$5001,"&lt;&gt;")=0,"",SUMIFS(BD!$P$3:$P$5001,BD!$B$3:$B$5001,L$128,BD!$A$3:$A$5001,_xlfn.MAXIFS(BD!$A$3:$A$5001,BD!$B$3:$B$5001,L$128,BD!$A$3:$A$5001,"&gt;="&amp;$C$7,BD!$A$3:$A$5001,"&lt;="&amp;$B129,BD!$P$3:$P$5001,"&lt;&gt;"))))</f>
        <v/>
      </c>
      <c r="M129" s="54" t="str">
        <f>IF(OR($B129="",$A129&gt;$B$9,M$128=""),"",IF(COUNTIFS(BD!$B$3:$B$5001,M$128,BD!$A$3:$A$5001,"&gt;="&amp;$C$7,BD!$A$3:$A$5001,"&lt;="&amp;$B129,BD!$P$3:$P$5001,"&lt;&gt;")=0,"",SUMIFS(BD!$P$3:$P$5001,BD!$B$3:$B$5001,M$128,BD!$A$3:$A$5001,_xlfn.MAXIFS(BD!$A$3:$A$5001,BD!$B$3:$B$5001,M$128,BD!$A$3:$A$5001,"&gt;="&amp;$C$7,BD!$A$3:$A$5001,"&lt;="&amp;$B129,BD!$P$3:$P$5001,"&lt;&gt;"))))</f>
        <v/>
      </c>
      <c r="N129" s="54" t="str">
        <f>IF(OR($B129="",$A129&gt;$B$9,N$128=""),"",IF(COUNTIFS(BD!$B$3:$B$5001,N$128,BD!$A$3:$A$5001,"&gt;="&amp;$C$7,BD!$A$3:$A$5001,"&lt;="&amp;$B129,BD!$P$3:$P$5001,"&lt;&gt;")=0,"",SUMIFS(BD!$P$3:$P$5001,BD!$B$3:$B$5001,N$128,BD!$A$3:$A$5001,_xlfn.MAXIFS(BD!$A$3:$A$5001,BD!$B$3:$B$5001,N$128,BD!$A$3:$A$5001,"&gt;="&amp;$C$7,BD!$A$3:$A$5001,"&lt;="&amp;$B129,BD!$P$3:$P$5001,"&lt;&gt;"))))</f>
        <v/>
      </c>
      <c r="O129" s="54" t="str">
        <f>IF(OR($B129="",$A129&gt;$B$9,O$128=""),"",IF(COUNTIFS(BD!$B$3:$B$5001,O$128,BD!$A$3:$A$5001,"&gt;="&amp;$C$7,BD!$A$3:$A$5001,"&lt;="&amp;$B129,BD!$P$3:$P$5001,"&lt;&gt;")=0,"",SUMIFS(BD!$P$3:$P$5001,BD!$B$3:$B$5001,O$128,BD!$A$3:$A$5001,_xlfn.MAXIFS(BD!$A$3:$A$5001,BD!$B$3:$B$5001,O$128,BD!$A$3:$A$5001,"&gt;="&amp;$C$7,BD!$A$3:$A$5001,"&lt;="&amp;$B129,BD!$P$3:$P$5001,"&lt;&gt;"))))</f>
        <v/>
      </c>
      <c r="P129" s="54" t="str">
        <f>IF(OR($B129="",$A129&gt;$B$9,P$128=""),"",IF(COUNTIFS(BD!$B$3:$B$5001,P$128,BD!$A$3:$A$5001,"&gt;="&amp;$C$7,BD!$A$3:$A$5001,"&lt;="&amp;$B129,BD!$P$3:$P$5001,"&lt;&gt;")=0,"",SUMIFS(BD!$P$3:$P$5001,BD!$B$3:$B$5001,P$128,BD!$A$3:$A$5001,_xlfn.MAXIFS(BD!$A$3:$A$5001,BD!$B$3:$B$5001,P$128,BD!$A$3:$A$5001,"&gt;="&amp;$C$7,BD!$A$3:$A$5001,"&lt;="&amp;$B129,BD!$P$3:$P$5001,"&lt;&gt;"))))</f>
        <v/>
      </c>
      <c r="Q129" s="54" t="str">
        <f>IF(OR($B129="",$A129&gt;$B$9,Q$128=""),"",IF(COUNTIFS(BD!$B$3:$B$5001,Q$128,BD!$A$3:$A$5001,"&gt;="&amp;$C$7,BD!$A$3:$A$5001,"&lt;="&amp;$B129,BD!$P$3:$P$5001,"&lt;&gt;")=0,"",SUMIFS(BD!$P$3:$P$5001,BD!$B$3:$B$5001,Q$128,BD!$A$3:$A$5001,_xlfn.MAXIFS(BD!$A$3:$A$5001,BD!$B$3:$B$5001,Q$128,BD!$A$3:$A$5001,"&gt;="&amp;$C$7,BD!$A$3:$A$5001,"&lt;="&amp;$B129,BD!$P$3:$P$5001,"&lt;&gt;"))))</f>
        <v/>
      </c>
      <c r="R129" s="54" t="str">
        <f>IF(OR($B129="",$A129&gt;$B$9,R$128=""),"",IF(COUNTIFS(BD!$B$3:$B$5001,R$128,BD!$A$3:$A$5001,"&gt;="&amp;$C$7,BD!$A$3:$A$5001,"&lt;="&amp;$B129,BD!$P$3:$P$5001,"&lt;&gt;")=0,"",SUMIFS(BD!$P$3:$P$5001,BD!$B$3:$B$5001,R$128,BD!$A$3:$A$5001,_xlfn.MAXIFS(BD!$A$3:$A$5001,BD!$B$3:$B$5001,R$128,BD!$A$3:$A$5001,"&gt;="&amp;$C$7,BD!$A$3:$A$5001,"&lt;="&amp;$B129,BD!$P$3:$P$5001,"&lt;&gt;"))))</f>
        <v/>
      </c>
      <c r="S129" s="54" t="str">
        <f>IF(OR($B129="",$A129&gt;$B$9,S$128=""),"",IF(COUNTIFS(BD!$B$3:$B$5001,S$128,BD!$A$3:$A$5001,"&gt;="&amp;$C$7,BD!$A$3:$A$5001,"&lt;="&amp;$B129,BD!$P$3:$P$5001,"&lt;&gt;")=0,"",SUMIFS(BD!$P$3:$P$5001,BD!$B$3:$B$5001,S$128,BD!$A$3:$A$5001,_xlfn.MAXIFS(BD!$A$3:$A$5001,BD!$B$3:$B$5001,S$128,BD!$A$3:$A$5001,"&gt;="&amp;$C$7,BD!$A$3:$A$5001,"&lt;="&amp;$B129,BD!$P$3:$P$5001,"&lt;&gt;"))))</f>
        <v/>
      </c>
      <c r="T129" s="54" t="str">
        <f>IF(OR($B129="",$A129&gt;$B$9,T$128=""),"",IF(COUNTIFS(BD!$B$3:$B$5001,T$128,BD!$A$3:$A$5001,"&gt;="&amp;$C$7,BD!$A$3:$A$5001,"&lt;="&amp;$B129,BD!$P$3:$P$5001,"&lt;&gt;")=0,"",SUMIFS(BD!$P$3:$P$5001,BD!$B$3:$B$5001,T$128,BD!$A$3:$A$5001,_xlfn.MAXIFS(BD!$A$3:$A$5001,BD!$B$3:$B$5001,T$128,BD!$A$3:$A$5001,"&gt;="&amp;$C$7,BD!$A$3:$A$5001,"&lt;="&amp;$B129,BD!$P$3:$P$5001,"&lt;&gt;"))))</f>
        <v/>
      </c>
      <c r="U129" s="54" t="str">
        <f>IF(OR($B129="",$A129&gt;$B$9,U$128=""),"",IF(COUNTIFS(BD!$B$3:$B$5001,U$128,BD!$A$3:$A$5001,"&gt;="&amp;$C$7,BD!$A$3:$A$5001,"&lt;="&amp;$B129,BD!$P$3:$P$5001,"&lt;&gt;")=0,"",SUMIFS(BD!$P$3:$P$5001,BD!$B$3:$B$5001,U$128,BD!$A$3:$A$5001,_xlfn.MAXIFS(BD!$A$3:$A$5001,BD!$B$3:$B$5001,U$128,BD!$A$3:$A$5001,"&gt;="&amp;$C$7,BD!$A$3:$A$5001,"&lt;="&amp;$B129,BD!$P$3:$P$5001,"&lt;&gt;"))))</f>
        <v/>
      </c>
      <c r="V129" s="54" t="str">
        <f>IF(OR($B129="",$A129&gt;$B$9,V$128=""),"",IF(COUNTIFS(BD!$B$3:$B$5001,V$128,BD!$A$3:$A$5001,"&gt;="&amp;$C$7,BD!$A$3:$A$5001,"&lt;="&amp;$B129,BD!$P$3:$P$5001,"&lt;&gt;")=0,"",SUMIFS(BD!$P$3:$P$5001,BD!$B$3:$B$5001,V$128,BD!$A$3:$A$5001,_xlfn.MAXIFS(BD!$A$3:$A$5001,BD!$B$3:$B$5001,V$128,BD!$A$3:$A$5001,"&gt;="&amp;$C$7,BD!$A$3:$A$5001,"&lt;="&amp;$B129,BD!$P$3:$P$5001,"&lt;&gt;"))))</f>
        <v/>
      </c>
    </row>
    <row r="130">
      <c r="A130" s="48">
        <v>2</v>
      </c>
      <c r="B130" s="53">
        <f>$B$13</f>
        <v>46297</v>
      </c>
      <c r="C130" s="54" t="str">
        <f>IF(OR($B130="",$A130&gt;$B$9,C$128=""),"",IF(COUNTIFS(BD!$B$3:$B$5001,C$128,BD!$A$3:$A$5001,"&gt;="&amp;$C$7,BD!$A$3:$A$5001,"&lt;="&amp;$B130,BD!$P$3:$P$5001,"&lt;&gt;")=0,"",SUMIFS(BD!$P$3:$P$5001,BD!$B$3:$B$5001,C$128,BD!$A$3:$A$5001,_xlfn.MAXIFS(BD!$A$3:$A$5001,BD!$B$3:$B$5001,C$128,BD!$A$3:$A$5001,"&gt;="&amp;$C$7,BD!$A$3:$A$5001,"&lt;="&amp;$B130,BD!$P$3:$P$5001,"&lt;&gt;"))))</f>
        <v/>
      </c>
      <c r="D130" s="54" t="str">
        <f>IF(OR($B130="",$A130&gt;$B$9,D$128=""),"",IF(COUNTIFS(BD!$B$3:$B$5001,D$128,BD!$A$3:$A$5001,"&gt;="&amp;$C$7,BD!$A$3:$A$5001,"&lt;="&amp;$B130,BD!$P$3:$P$5001,"&lt;&gt;")=0,"",SUMIFS(BD!$P$3:$P$5001,BD!$B$3:$B$5001,D$128,BD!$A$3:$A$5001,_xlfn.MAXIFS(BD!$A$3:$A$5001,BD!$B$3:$B$5001,D$128,BD!$A$3:$A$5001,"&gt;="&amp;$C$7,BD!$A$3:$A$5001,"&lt;="&amp;$B130,BD!$P$3:$P$5001,"&lt;&gt;"))))</f>
        <v/>
      </c>
      <c r="E130" s="54" t="str">
        <f>IF(OR($B130="",$A130&gt;$B$9,E$128=""),"",IF(COUNTIFS(BD!$B$3:$B$5001,E$128,BD!$A$3:$A$5001,"&gt;="&amp;$C$7,BD!$A$3:$A$5001,"&lt;="&amp;$B130,BD!$P$3:$P$5001,"&lt;&gt;")=0,"",SUMIFS(BD!$P$3:$P$5001,BD!$B$3:$B$5001,E$128,BD!$A$3:$A$5001,_xlfn.MAXIFS(BD!$A$3:$A$5001,BD!$B$3:$B$5001,E$128,BD!$A$3:$A$5001,"&gt;="&amp;$C$7,BD!$A$3:$A$5001,"&lt;="&amp;$B130,BD!$P$3:$P$5001,"&lt;&gt;"))))</f>
        <v/>
      </c>
      <c r="F130" s="54" t="str">
        <f>IF(OR($B130="",$A130&gt;$B$9,F$128=""),"",IF(COUNTIFS(BD!$B$3:$B$5001,F$128,BD!$A$3:$A$5001,"&gt;="&amp;$C$7,BD!$A$3:$A$5001,"&lt;="&amp;$B130,BD!$P$3:$P$5001,"&lt;&gt;")=0,"",SUMIFS(BD!$P$3:$P$5001,BD!$B$3:$B$5001,F$128,BD!$A$3:$A$5001,_xlfn.MAXIFS(BD!$A$3:$A$5001,BD!$B$3:$B$5001,F$128,BD!$A$3:$A$5001,"&gt;="&amp;$C$7,BD!$A$3:$A$5001,"&lt;="&amp;$B130,BD!$P$3:$P$5001,"&lt;&gt;"))))</f>
        <v/>
      </c>
      <c r="G130" s="54" t="str">
        <f>IF(OR($B130="",$A130&gt;$B$9,G$128=""),"",IF(COUNTIFS(BD!$B$3:$B$5001,G$128,BD!$A$3:$A$5001,"&gt;="&amp;$C$7,BD!$A$3:$A$5001,"&lt;="&amp;$B130,BD!$P$3:$P$5001,"&lt;&gt;")=0,"",SUMIFS(BD!$P$3:$P$5001,BD!$B$3:$B$5001,G$128,BD!$A$3:$A$5001,_xlfn.MAXIFS(BD!$A$3:$A$5001,BD!$B$3:$B$5001,G$128,BD!$A$3:$A$5001,"&gt;="&amp;$C$7,BD!$A$3:$A$5001,"&lt;="&amp;$B130,BD!$P$3:$P$5001,"&lt;&gt;"))))</f>
        <v/>
      </c>
      <c r="H130" s="54" t="str">
        <f>IF(OR($B130="",$A130&gt;$B$9,H$128=""),"",IF(COUNTIFS(BD!$B$3:$B$5001,H$128,BD!$A$3:$A$5001,"&gt;="&amp;$C$7,BD!$A$3:$A$5001,"&lt;="&amp;$B130,BD!$P$3:$P$5001,"&lt;&gt;")=0,"",SUMIFS(BD!$P$3:$P$5001,BD!$B$3:$B$5001,H$128,BD!$A$3:$A$5001,_xlfn.MAXIFS(BD!$A$3:$A$5001,BD!$B$3:$B$5001,H$128,BD!$A$3:$A$5001,"&gt;="&amp;$C$7,BD!$A$3:$A$5001,"&lt;="&amp;$B130,BD!$P$3:$P$5001,"&lt;&gt;"))))</f>
        <v/>
      </c>
      <c r="I130" s="54" t="str">
        <f>IF(OR($B130="",$A130&gt;$B$9,I$128=""),"",IF(COUNTIFS(BD!$B$3:$B$5001,I$128,BD!$A$3:$A$5001,"&gt;="&amp;$C$7,BD!$A$3:$A$5001,"&lt;="&amp;$B130,BD!$P$3:$P$5001,"&lt;&gt;")=0,"",SUMIFS(BD!$P$3:$P$5001,BD!$B$3:$B$5001,I$128,BD!$A$3:$A$5001,_xlfn.MAXIFS(BD!$A$3:$A$5001,BD!$B$3:$B$5001,I$128,BD!$A$3:$A$5001,"&gt;="&amp;$C$7,BD!$A$3:$A$5001,"&lt;="&amp;$B130,BD!$P$3:$P$5001,"&lt;&gt;"))))</f>
        <v/>
      </c>
      <c r="J130" s="54" t="str">
        <f>IF(OR($B130="",$A130&gt;$B$9,J$128=""),"",IF(COUNTIFS(BD!$B$3:$B$5001,J$128,BD!$A$3:$A$5001,"&gt;="&amp;$C$7,BD!$A$3:$A$5001,"&lt;="&amp;$B130,BD!$P$3:$P$5001,"&lt;&gt;")=0,"",SUMIFS(BD!$P$3:$P$5001,BD!$B$3:$B$5001,J$128,BD!$A$3:$A$5001,_xlfn.MAXIFS(BD!$A$3:$A$5001,BD!$B$3:$B$5001,J$128,BD!$A$3:$A$5001,"&gt;="&amp;$C$7,BD!$A$3:$A$5001,"&lt;="&amp;$B130,BD!$P$3:$P$5001,"&lt;&gt;"))))</f>
        <v/>
      </c>
      <c r="K130" s="54" t="str">
        <f>IF(OR($B130="",$A130&gt;$B$9,K$128=""),"",IF(COUNTIFS(BD!$B$3:$B$5001,K$128,BD!$A$3:$A$5001,"&gt;="&amp;$C$7,BD!$A$3:$A$5001,"&lt;="&amp;$B130,BD!$P$3:$P$5001,"&lt;&gt;")=0,"",SUMIFS(BD!$P$3:$P$5001,BD!$B$3:$B$5001,K$128,BD!$A$3:$A$5001,_xlfn.MAXIFS(BD!$A$3:$A$5001,BD!$B$3:$B$5001,K$128,BD!$A$3:$A$5001,"&gt;="&amp;$C$7,BD!$A$3:$A$5001,"&lt;="&amp;$B130,BD!$P$3:$P$5001,"&lt;&gt;"))))</f>
        <v/>
      </c>
      <c r="L130" s="54" t="str">
        <f>IF(OR($B130="",$A130&gt;$B$9,L$128=""),"",IF(COUNTIFS(BD!$B$3:$B$5001,L$128,BD!$A$3:$A$5001,"&gt;="&amp;$C$7,BD!$A$3:$A$5001,"&lt;="&amp;$B130,BD!$P$3:$P$5001,"&lt;&gt;")=0,"",SUMIFS(BD!$P$3:$P$5001,BD!$B$3:$B$5001,L$128,BD!$A$3:$A$5001,_xlfn.MAXIFS(BD!$A$3:$A$5001,BD!$B$3:$B$5001,L$128,BD!$A$3:$A$5001,"&gt;="&amp;$C$7,BD!$A$3:$A$5001,"&lt;="&amp;$B130,BD!$P$3:$P$5001,"&lt;&gt;"))))</f>
        <v/>
      </c>
      <c r="M130" s="54" t="str">
        <f>IF(OR($B130="",$A130&gt;$B$9,M$128=""),"",IF(COUNTIFS(BD!$B$3:$B$5001,M$128,BD!$A$3:$A$5001,"&gt;="&amp;$C$7,BD!$A$3:$A$5001,"&lt;="&amp;$B130,BD!$P$3:$P$5001,"&lt;&gt;")=0,"",SUMIFS(BD!$P$3:$P$5001,BD!$B$3:$B$5001,M$128,BD!$A$3:$A$5001,_xlfn.MAXIFS(BD!$A$3:$A$5001,BD!$B$3:$B$5001,M$128,BD!$A$3:$A$5001,"&gt;="&amp;$C$7,BD!$A$3:$A$5001,"&lt;="&amp;$B130,BD!$P$3:$P$5001,"&lt;&gt;"))))</f>
        <v/>
      </c>
      <c r="N130" s="54" t="str">
        <f>IF(OR($B130="",$A130&gt;$B$9,N$128=""),"",IF(COUNTIFS(BD!$B$3:$B$5001,N$128,BD!$A$3:$A$5001,"&gt;="&amp;$C$7,BD!$A$3:$A$5001,"&lt;="&amp;$B130,BD!$P$3:$P$5001,"&lt;&gt;")=0,"",SUMIFS(BD!$P$3:$P$5001,BD!$B$3:$B$5001,N$128,BD!$A$3:$A$5001,_xlfn.MAXIFS(BD!$A$3:$A$5001,BD!$B$3:$B$5001,N$128,BD!$A$3:$A$5001,"&gt;="&amp;$C$7,BD!$A$3:$A$5001,"&lt;="&amp;$B130,BD!$P$3:$P$5001,"&lt;&gt;"))))</f>
        <v/>
      </c>
      <c r="O130" s="54" t="str">
        <f>IF(OR($B130="",$A130&gt;$B$9,O$128=""),"",IF(COUNTIFS(BD!$B$3:$B$5001,O$128,BD!$A$3:$A$5001,"&gt;="&amp;$C$7,BD!$A$3:$A$5001,"&lt;="&amp;$B130,BD!$P$3:$P$5001,"&lt;&gt;")=0,"",SUMIFS(BD!$P$3:$P$5001,BD!$B$3:$B$5001,O$128,BD!$A$3:$A$5001,_xlfn.MAXIFS(BD!$A$3:$A$5001,BD!$B$3:$B$5001,O$128,BD!$A$3:$A$5001,"&gt;="&amp;$C$7,BD!$A$3:$A$5001,"&lt;="&amp;$B130,BD!$P$3:$P$5001,"&lt;&gt;"))))</f>
        <v/>
      </c>
      <c r="P130" s="54" t="str">
        <f>IF(OR($B130="",$A130&gt;$B$9,P$128=""),"",IF(COUNTIFS(BD!$B$3:$B$5001,P$128,BD!$A$3:$A$5001,"&gt;="&amp;$C$7,BD!$A$3:$A$5001,"&lt;="&amp;$B130,BD!$P$3:$P$5001,"&lt;&gt;")=0,"",SUMIFS(BD!$P$3:$P$5001,BD!$B$3:$B$5001,P$128,BD!$A$3:$A$5001,_xlfn.MAXIFS(BD!$A$3:$A$5001,BD!$B$3:$B$5001,P$128,BD!$A$3:$A$5001,"&gt;="&amp;$C$7,BD!$A$3:$A$5001,"&lt;="&amp;$B130,BD!$P$3:$P$5001,"&lt;&gt;"))))</f>
        <v/>
      </c>
      <c r="Q130" s="54" t="str">
        <f>IF(OR($B130="",$A130&gt;$B$9,Q$128=""),"",IF(COUNTIFS(BD!$B$3:$B$5001,Q$128,BD!$A$3:$A$5001,"&gt;="&amp;$C$7,BD!$A$3:$A$5001,"&lt;="&amp;$B130,BD!$P$3:$P$5001,"&lt;&gt;")=0,"",SUMIFS(BD!$P$3:$P$5001,BD!$B$3:$B$5001,Q$128,BD!$A$3:$A$5001,_xlfn.MAXIFS(BD!$A$3:$A$5001,BD!$B$3:$B$5001,Q$128,BD!$A$3:$A$5001,"&gt;="&amp;$C$7,BD!$A$3:$A$5001,"&lt;="&amp;$B130,BD!$P$3:$P$5001,"&lt;&gt;"))))</f>
        <v/>
      </c>
      <c r="R130" s="54" t="str">
        <f>IF(OR($B130="",$A130&gt;$B$9,R$128=""),"",IF(COUNTIFS(BD!$B$3:$B$5001,R$128,BD!$A$3:$A$5001,"&gt;="&amp;$C$7,BD!$A$3:$A$5001,"&lt;="&amp;$B130,BD!$P$3:$P$5001,"&lt;&gt;")=0,"",SUMIFS(BD!$P$3:$P$5001,BD!$B$3:$B$5001,R$128,BD!$A$3:$A$5001,_xlfn.MAXIFS(BD!$A$3:$A$5001,BD!$B$3:$B$5001,R$128,BD!$A$3:$A$5001,"&gt;="&amp;$C$7,BD!$A$3:$A$5001,"&lt;="&amp;$B130,BD!$P$3:$P$5001,"&lt;&gt;"))))</f>
        <v/>
      </c>
      <c r="S130" s="54" t="str">
        <f>IF(OR($B130="",$A130&gt;$B$9,S$128=""),"",IF(COUNTIFS(BD!$B$3:$B$5001,S$128,BD!$A$3:$A$5001,"&gt;="&amp;$C$7,BD!$A$3:$A$5001,"&lt;="&amp;$B130,BD!$P$3:$P$5001,"&lt;&gt;")=0,"",SUMIFS(BD!$P$3:$P$5001,BD!$B$3:$B$5001,S$128,BD!$A$3:$A$5001,_xlfn.MAXIFS(BD!$A$3:$A$5001,BD!$B$3:$B$5001,S$128,BD!$A$3:$A$5001,"&gt;="&amp;$C$7,BD!$A$3:$A$5001,"&lt;="&amp;$B130,BD!$P$3:$P$5001,"&lt;&gt;"))))</f>
        <v/>
      </c>
      <c r="T130" s="54" t="str">
        <f>IF(OR($B130="",$A130&gt;$B$9,T$128=""),"",IF(COUNTIFS(BD!$B$3:$B$5001,T$128,BD!$A$3:$A$5001,"&gt;="&amp;$C$7,BD!$A$3:$A$5001,"&lt;="&amp;$B130,BD!$P$3:$P$5001,"&lt;&gt;")=0,"",SUMIFS(BD!$P$3:$P$5001,BD!$B$3:$B$5001,T$128,BD!$A$3:$A$5001,_xlfn.MAXIFS(BD!$A$3:$A$5001,BD!$B$3:$B$5001,T$128,BD!$A$3:$A$5001,"&gt;="&amp;$C$7,BD!$A$3:$A$5001,"&lt;="&amp;$B130,BD!$P$3:$P$5001,"&lt;&gt;"))))</f>
        <v/>
      </c>
      <c r="U130" s="54" t="str">
        <f>IF(OR($B130="",$A130&gt;$B$9,U$128=""),"",IF(COUNTIFS(BD!$B$3:$B$5001,U$128,BD!$A$3:$A$5001,"&gt;="&amp;$C$7,BD!$A$3:$A$5001,"&lt;="&amp;$B130,BD!$P$3:$P$5001,"&lt;&gt;")=0,"",SUMIFS(BD!$P$3:$P$5001,BD!$B$3:$B$5001,U$128,BD!$A$3:$A$5001,_xlfn.MAXIFS(BD!$A$3:$A$5001,BD!$B$3:$B$5001,U$128,BD!$A$3:$A$5001,"&gt;="&amp;$C$7,BD!$A$3:$A$5001,"&lt;="&amp;$B130,BD!$P$3:$P$5001,"&lt;&gt;"))))</f>
        <v/>
      </c>
      <c r="V130" s="54" t="str">
        <f>IF(OR($B130="",$A130&gt;$B$9,V$128=""),"",IF(COUNTIFS(BD!$B$3:$B$5001,V$128,BD!$A$3:$A$5001,"&gt;="&amp;$C$7,BD!$A$3:$A$5001,"&lt;="&amp;$B130,BD!$P$3:$P$5001,"&lt;&gt;")=0,"",SUMIFS(BD!$P$3:$P$5001,BD!$B$3:$B$5001,V$128,BD!$A$3:$A$5001,_xlfn.MAXIFS(BD!$A$3:$A$5001,BD!$B$3:$B$5001,V$128,BD!$A$3:$A$5001,"&gt;="&amp;$C$7,BD!$A$3:$A$5001,"&lt;="&amp;$B130,BD!$P$3:$P$5001,"&lt;&gt;"))))</f>
        <v/>
      </c>
    </row>
    <row r="131">
      <c r="A131" s="48">
        <v>3</v>
      </c>
      <c r="B131" s="53">
        <f>$B$14</f>
        <v>46298</v>
      </c>
      <c r="C131" s="54" t="str">
        <f>IF(OR($B131="",$A131&gt;$B$9,C$128=""),"",IF(COUNTIFS(BD!$B$3:$B$5001,C$128,BD!$A$3:$A$5001,"&gt;="&amp;$C$7,BD!$A$3:$A$5001,"&lt;="&amp;$B131,BD!$P$3:$P$5001,"&lt;&gt;")=0,"",SUMIFS(BD!$P$3:$P$5001,BD!$B$3:$B$5001,C$128,BD!$A$3:$A$5001,_xlfn.MAXIFS(BD!$A$3:$A$5001,BD!$B$3:$B$5001,C$128,BD!$A$3:$A$5001,"&gt;="&amp;$C$7,BD!$A$3:$A$5001,"&lt;="&amp;$B131,BD!$P$3:$P$5001,"&lt;&gt;"))))</f>
        <v/>
      </c>
      <c r="D131" s="54" t="str">
        <f>IF(OR($B131="",$A131&gt;$B$9,D$128=""),"",IF(COUNTIFS(BD!$B$3:$B$5001,D$128,BD!$A$3:$A$5001,"&gt;="&amp;$C$7,BD!$A$3:$A$5001,"&lt;="&amp;$B131,BD!$P$3:$P$5001,"&lt;&gt;")=0,"",SUMIFS(BD!$P$3:$P$5001,BD!$B$3:$B$5001,D$128,BD!$A$3:$A$5001,_xlfn.MAXIFS(BD!$A$3:$A$5001,BD!$B$3:$B$5001,D$128,BD!$A$3:$A$5001,"&gt;="&amp;$C$7,BD!$A$3:$A$5001,"&lt;="&amp;$B131,BD!$P$3:$P$5001,"&lt;&gt;"))))</f>
        <v/>
      </c>
      <c r="E131" s="54" t="str">
        <f>IF(OR($B131="",$A131&gt;$B$9,E$128=""),"",IF(COUNTIFS(BD!$B$3:$B$5001,E$128,BD!$A$3:$A$5001,"&gt;="&amp;$C$7,BD!$A$3:$A$5001,"&lt;="&amp;$B131,BD!$P$3:$P$5001,"&lt;&gt;")=0,"",SUMIFS(BD!$P$3:$P$5001,BD!$B$3:$B$5001,E$128,BD!$A$3:$A$5001,_xlfn.MAXIFS(BD!$A$3:$A$5001,BD!$B$3:$B$5001,E$128,BD!$A$3:$A$5001,"&gt;="&amp;$C$7,BD!$A$3:$A$5001,"&lt;="&amp;$B131,BD!$P$3:$P$5001,"&lt;&gt;"))))</f>
        <v/>
      </c>
      <c r="F131" s="54" t="str">
        <f>IF(OR($B131="",$A131&gt;$B$9,F$128=""),"",IF(COUNTIFS(BD!$B$3:$B$5001,F$128,BD!$A$3:$A$5001,"&gt;="&amp;$C$7,BD!$A$3:$A$5001,"&lt;="&amp;$B131,BD!$P$3:$P$5001,"&lt;&gt;")=0,"",SUMIFS(BD!$P$3:$P$5001,BD!$B$3:$B$5001,F$128,BD!$A$3:$A$5001,_xlfn.MAXIFS(BD!$A$3:$A$5001,BD!$B$3:$B$5001,F$128,BD!$A$3:$A$5001,"&gt;="&amp;$C$7,BD!$A$3:$A$5001,"&lt;="&amp;$B131,BD!$P$3:$P$5001,"&lt;&gt;"))))</f>
        <v/>
      </c>
      <c r="G131" s="54" t="str">
        <f>IF(OR($B131="",$A131&gt;$B$9,G$128=""),"",IF(COUNTIFS(BD!$B$3:$B$5001,G$128,BD!$A$3:$A$5001,"&gt;="&amp;$C$7,BD!$A$3:$A$5001,"&lt;="&amp;$B131,BD!$P$3:$P$5001,"&lt;&gt;")=0,"",SUMIFS(BD!$P$3:$P$5001,BD!$B$3:$B$5001,G$128,BD!$A$3:$A$5001,_xlfn.MAXIFS(BD!$A$3:$A$5001,BD!$B$3:$B$5001,G$128,BD!$A$3:$A$5001,"&gt;="&amp;$C$7,BD!$A$3:$A$5001,"&lt;="&amp;$B131,BD!$P$3:$P$5001,"&lt;&gt;"))))</f>
        <v/>
      </c>
      <c r="H131" s="54" t="str">
        <f>IF(OR($B131="",$A131&gt;$B$9,H$128=""),"",IF(COUNTIFS(BD!$B$3:$B$5001,H$128,BD!$A$3:$A$5001,"&gt;="&amp;$C$7,BD!$A$3:$A$5001,"&lt;="&amp;$B131,BD!$P$3:$P$5001,"&lt;&gt;")=0,"",SUMIFS(BD!$P$3:$P$5001,BD!$B$3:$B$5001,H$128,BD!$A$3:$A$5001,_xlfn.MAXIFS(BD!$A$3:$A$5001,BD!$B$3:$B$5001,H$128,BD!$A$3:$A$5001,"&gt;="&amp;$C$7,BD!$A$3:$A$5001,"&lt;="&amp;$B131,BD!$P$3:$P$5001,"&lt;&gt;"))))</f>
        <v/>
      </c>
      <c r="I131" s="54" t="str">
        <f>IF(OR($B131="",$A131&gt;$B$9,I$128=""),"",IF(COUNTIFS(BD!$B$3:$B$5001,I$128,BD!$A$3:$A$5001,"&gt;="&amp;$C$7,BD!$A$3:$A$5001,"&lt;="&amp;$B131,BD!$P$3:$P$5001,"&lt;&gt;")=0,"",SUMIFS(BD!$P$3:$P$5001,BD!$B$3:$B$5001,I$128,BD!$A$3:$A$5001,_xlfn.MAXIFS(BD!$A$3:$A$5001,BD!$B$3:$B$5001,I$128,BD!$A$3:$A$5001,"&gt;="&amp;$C$7,BD!$A$3:$A$5001,"&lt;="&amp;$B131,BD!$P$3:$P$5001,"&lt;&gt;"))))</f>
        <v/>
      </c>
      <c r="J131" s="54" t="str">
        <f>IF(OR($B131="",$A131&gt;$B$9,J$128=""),"",IF(COUNTIFS(BD!$B$3:$B$5001,J$128,BD!$A$3:$A$5001,"&gt;="&amp;$C$7,BD!$A$3:$A$5001,"&lt;="&amp;$B131,BD!$P$3:$P$5001,"&lt;&gt;")=0,"",SUMIFS(BD!$P$3:$P$5001,BD!$B$3:$B$5001,J$128,BD!$A$3:$A$5001,_xlfn.MAXIFS(BD!$A$3:$A$5001,BD!$B$3:$B$5001,J$128,BD!$A$3:$A$5001,"&gt;="&amp;$C$7,BD!$A$3:$A$5001,"&lt;="&amp;$B131,BD!$P$3:$P$5001,"&lt;&gt;"))))</f>
        <v/>
      </c>
      <c r="K131" s="54" t="str">
        <f>IF(OR($B131="",$A131&gt;$B$9,K$128=""),"",IF(COUNTIFS(BD!$B$3:$B$5001,K$128,BD!$A$3:$A$5001,"&gt;="&amp;$C$7,BD!$A$3:$A$5001,"&lt;="&amp;$B131,BD!$P$3:$P$5001,"&lt;&gt;")=0,"",SUMIFS(BD!$P$3:$P$5001,BD!$B$3:$B$5001,K$128,BD!$A$3:$A$5001,_xlfn.MAXIFS(BD!$A$3:$A$5001,BD!$B$3:$B$5001,K$128,BD!$A$3:$A$5001,"&gt;="&amp;$C$7,BD!$A$3:$A$5001,"&lt;="&amp;$B131,BD!$P$3:$P$5001,"&lt;&gt;"))))</f>
        <v/>
      </c>
      <c r="L131" s="54" t="str">
        <f>IF(OR($B131="",$A131&gt;$B$9,L$128=""),"",IF(COUNTIFS(BD!$B$3:$B$5001,L$128,BD!$A$3:$A$5001,"&gt;="&amp;$C$7,BD!$A$3:$A$5001,"&lt;="&amp;$B131,BD!$P$3:$P$5001,"&lt;&gt;")=0,"",SUMIFS(BD!$P$3:$P$5001,BD!$B$3:$B$5001,L$128,BD!$A$3:$A$5001,_xlfn.MAXIFS(BD!$A$3:$A$5001,BD!$B$3:$B$5001,L$128,BD!$A$3:$A$5001,"&gt;="&amp;$C$7,BD!$A$3:$A$5001,"&lt;="&amp;$B131,BD!$P$3:$P$5001,"&lt;&gt;"))))</f>
        <v/>
      </c>
      <c r="M131" s="54" t="str">
        <f>IF(OR($B131="",$A131&gt;$B$9,M$128=""),"",IF(COUNTIFS(BD!$B$3:$B$5001,M$128,BD!$A$3:$A$5001,"&gt;="&amp;$C$7,BD!$A$3:$A$5001,"&lt;="&amp;$B131,BD!$P$3:$P$5001,"&lt;&gt;")=0,"",SUMIFS(BD!$P$3:$P$5001,BD!$B$3:$B$5001,M$128,BD!$A$3:$A$5001,_xlfn.MAXIFS(BD!$A$3:$A$5001,BD!$B$3:$B$5001,M$128,BD!$A$3:$A$5001,"&gt;="&amp;$C$7,BD!$A$3:$A$5001,"&lt;="&amp;$B131,BD!$P$3:$P$5001,"&lt;&gt;"))))</f>
        <v/>
      </c>
      <c r="N131" s="54" t="str">
        <f>IF(OR($B131="",$A131&gt;$B$9,N$128=""),"",IF(COUNTIFS(BD!$B$3:$B$5001,N$128,BD!$A$3:$A$5001,"&gt;="&amp;$C$7,BD!$A$3:$A$5001,"&lt;="&amp;$B131,BD!$P$3:$P$5001,"&lt;&gt;")=0,"",SUMIFS(BD!$P$3:$P$5001,BD!$B$3:$B$5001,N$128,BD!$A$3:$A$5001,_xlfn.MAXIFS(BD!$A$3:$A$5001,BD!$B$3:$B$5001,N$128,BD!$A$3:$A$5001,"&gt;="&amp;$C$7,BD!$A$3:$A$5001,"&lt;="&amp;$B131,BD!$P$3:$P$5001,"&lt;&gt;"))))</f>
        <v/>
      </c>
      <c r="O131" s="54" t="str">
        <f>IF(OR($B131="",$A131&gt;$B$9,O$128=""),"",IF(COUNTIFS(BD!$B$3:$B$5001,O$128,BD!$A$3:$A$5001,"&gt;="&amp;$C$7,BD!$A$3:$A$5001,"&lt;="&amp;$B131,BD!$P$3:$P$5001,"&lt;&gt;")=0,"",SUMIFS(BD!$P$3:$P$5001,BD!$B$3:$B$5001,O$128,BD!$A$3:$A$5001,_xlfn.MAXIFS(BD!$A$3:$A$5001,BD!$B$3:$B$5001,O$128,BD!$A$3:$A$5001,"&gt;="&amp;$C$7,BD!$A$3:$A$5001,"&lt;="&amp;$B131,BD!$P$3:$P$5001,"&lt;&gt;"))))</f>
        <v/>
      </c>
      <c r="P131" s="54" t="str">
        <f>IF(OR($B131="",$A131&gt;$B$9,P$128=""),"",IF(COUNTIFS(BD!$B$3:$B$5001,P$128,BD!$A$3:$A$5001,"&gt;="&amp;$C$7,BD!$A$3:$A$5001,"&lt;="&amp;$B131,BD!$P$3:$P$5001,"&lt;&gt;")=0,"",SUMIFS(BD!$P$3:$P$5001,BD!$B$3:$B$5001,P$128,BD!$A$3:$A$5001,_xlfn.MAXIFS(BD!$A$3:$A$5001,BD!$B$3:$B$5001,P$128,BD!$A$3:$A$5001,"&gt;="&amp;$C$7,BD!$A$3:$A$5001,"&lt;="&amp;$B131,BD!$P$3:$P$5001,"&lt;&gt;"))))</f>
        <v/>
      </c>
      <c r="Q131" s="54" t="str">
        <f>IF(OR($B131="",$A131&gt;$B$9,Q$128=""),"",IF(COUNTIFS(BD!$B$3:$B$5001,Q$128,BD!$A$3:$A$5001,"&gt;="&amp;$C$7,BD!$A$3:$A$5001,"&lt;="&amp;$B131,BD!$P$3:$P$5001,"&lt;&gt;")=0,"",SUMIFS(BD!$P$3:$P$5001,BD!$B$3:$B$5001,Q$128,BD!$A$3:$A$5001,_xlfn.MAXIFS(BD!$A$3:$A$5001,BD!$B$3:$B$5001,Q$128,BD!$A$3:$A$5001,"&gt;="&amp;$C$7,BD!$A$3:$A$5001,"&lt;="&amp;$B131,BD!$P$3:$P$5001,"&lt;&gt;"))))</f>
        <v/>
      </c>
      <c r="R131" s="54" t="str">
        <f>IF(OR($B131="",$A131&gt;$B$9,R$128=""),"",IF(COUNTIFS(BD!$B$3:$B$5001,R$128,BD!$A$3:$A$5001,"&gt;="&amp;$C$7,BD!$A$3:$A$5001,"&lt;="&amp;$B131,BD!$P$3:$P$5001,"&lt;&gt;")=0,"",SUMIFS(BD!$P$3:$P$5001,BD!$B$3:$B$5001,R$128,BD!$A$3:$A$5001,_xlfn.MAXIFS(BD!$A$3:$A$5001,BD!$B$3:$B$5001,R$128,BD!$A$3:$A$5001,"&gt;="&amp;$C$7,BD!$A$3:$A$5001,"&lt;="&amp;$B131,BD!$P$3:$P$5001,"&lt;&gt;"))))</f>
        <v/>
      </c>
      <c r="S131" s="54" t="str">
        <f>IF(OR($B131="",$A131&gt;$B$9,S$128=""),"",IF(COUNTIFS(BD!$B$3:$B$5001,S$128,BD!$A$3:$A$5001,"&gt;="&amp;$C$7,BD!$A$3:$A$5001,"&lt;="&amp;$B131,BD!$P$3:$P$5001,"&lt;&gt;")=0,"",SUMIFS(BD!$P$3:$P$5001,BD!$B$3:$B$5001,S$128,BD!$A$3:$A$5001,_xlfn.MAXIFS(BD!$A$3:$A$5001,BD!$B$3:$B$5001,S$128,BD!$A$3:$A$5001,"&gt;="&amp;$C$7,BD!$A$3:$A$5001,"&lt;="&amp;$B131,BD!$P$3:$P$5001,"&lt;&gt;"))))</f>
        <v/>
      </c>
      <c r="T131" s="54" t="str">
        <f>IF(OR($B131="",$A131&gt;$B$9,T$128=""),"",IF(COUNTIFS(BD!$B$3:$B$5001,T$128,BD!$A$3:$A$5001,"&gt;="&amp;$C$7,BD!$A$3:$A$5001,"&lt;="&amp;$B131,BD!$P$3:$P$5001,"&lt;&gt;")=0,"",SUMIFS(BD!$P$3:$P$5001,BD!$B$3:$B$5001,T$128,BD!$A$3:$A$5001,_xlfn.MAXIFS(BD!$A$3:$A$5001,BD!$B$3:$B$5001,T$128,BD!$A$3:$A$5001,"&gt;="&amp;$C$7,BD!$A$3:$A$5001,"&lt;="&amp;$B131,BD!$P$3:$P$5001,"&lt;&gt;"))))</f>
        <v/>
      </c>
      <c r="U131" s="54" t="str">
        <f>IF(OR($B131="",$A131&gt;$B$9,U$128=""),"",IF(COUNTIFS(BD!$B$3:$B$5001,U$128,BD!$A$3:$A$5001,"&gt;="&amp;$C$7,BD!$A$3:$A$5001,"&lt;="&amp;$B131,BD!$P$3:$P$5001,"&lt;&gt;")=0,"",SUMIFS(BD!$P$3:$P$5001,BD!$B$3:$B$5001,U$128,BD!$A$3:$A$5001,_xlfn.MAXIFS(BD!$A$3:$A$5001,BD!$B$3:$B$5001,U$128,BD!$A$3:$A$5001,"&gt;="&amp;$C$7,BD!$A$3:$A$5001,"&lt;="&amp;$B131,BD!$P$3:$P$5001,"&lt;&gt;"))))</f>
        <v/>
      </c>
      <c r="V131" s="54" t="str">
        <f>IF(OR($B131="",$A131&gt;$B$9,V$128=""),"",IF(COUNTIFS(BD!$B$3:$B$5001,V$128,BD!$A$3:$A$5001,"&gt;="&amp;$C$7,BD!$A$3:$A$5001,"&lt;="&amp;$B131,BD!$P$3:$P$5001,"&lt;&gt;")=0,"",SUMIFS(BD!$P$3:$P$5001,BD!$B$3:$B$5001,V$128,BD!$A$3:$A$5001,_xlfn.MAXIFS(BD!$A$3:$A$5001,BD!$B$3:$B$5001,V$128,BD!$A$3:$A$5001,"&gt;="&amp;$C$7,BD!$A$3:$A$5001,"&lt;="&amp;$B131,BD!$P$3:$P$5001,"&lt;&gt;"))))</f>
        <v/>
      </c>
    </row>
    <row r="132">
      <c r="A132" s="48">
        <v>4</v>
      </c>
      <c r="B132" s="53">
        <f>$B$15</f>
        <v>46299</v>
      </c>
      <c r="C132" s="54" t="str">
        <f>IF(OR($B132="",$A132&gt;$B$9,C$128=""),"",IF(COUNTIFS(BD!$B$3:$B$5001,C$128,BD!$A$3:$A$5001,"&gt;="&amp;$C$7,BD!$A$3:$A$5001,"&lt;="&amp;$B132,BD!$P$3:$P$5001,"&lt;&gt;")=0,"",SUMIFS(BD!$P$3:$P$5001,BD!$B$3:$B$5001,C$128,BD!$A$3:$A$5001,_xlfn.MAXIFS(BD!$A$3:$A$5001,BD!$B$3:$B$5001,C$128,BD!$A$3:$A$5001,"&gt;="&amp;$C$7,BD!$A$3:$A$5001,"&lt;="&amp;$B132,BD!$P$3:$P$5001,"&lt;&gt;"))))</f>
        <v/>
      </c>
      <c r="D132" s="54" t="str">
        <f>IF(OR($B132="",$A132&gt;$B$9,D$128=""),"",IF(COUNTIFS(BD!$B$3:$B$5001,D$128,BD!$A$3:$A$5001,"&gt;="&amp;$C$7,BD!$A$3:$A$5001,"&lt;="&amp;$B132,BD!$P$3:$P$5001,"&lt;&gt;")=0,"",SUMIFS(BD!$P$3:$P$5001,BD!$B$3:$B$5001,D$128,BD!$A$3:$A$5001,_xlfn.MAXIFS(BD!$A$3:$A$5001,BD!$B$3:$B$5001,D$128,BD!$A$3:$A$5001,"&gt;="&amp;$C$7,BD!$A$3:$A$5001,"&lt;="&amp;$B132,BD!$P$3:$P$5001,"&lt;&gt;"))))</f>
        <v/>
      </c>
      <c r="E132" s="54" t="str">
        <f>IF(OR($B132="",$A132&gt;$B$9,E$128=""),"",IF(COUNTIFS(BD!$B$3:$B$5001,E$128,BD!$A$3:$A$5001,"&gt;="&amp;$C$7,BD!$A$3:$A$5001,"&lt;="&amp;$B132,BD!$P$3:$P$5001,"&lt;&gt;")=0,"",SUMIFS(BD!$P$3:$P$5001,BD!$B$3:$B$5001,E$128,BD!$A$3:$A$5001,_xlfn.MAXIFS(BD!$A$3:$A$5001,BD!$B$3:$B$5001,E$128,BD!$A$3:$A$5001,"&gt;="&amp;$C$7,BD!$A$3:$A$5001,"&lt;="&amp;$B132,BD!$P$3:$P$5001,"&lt;&gt;"))))</f>
        <v/>
      </c>
      <c r="F132" s="54" t="str">
        <f>IF(OR($B132="",$A132&gt;$B$9,F$128=""),"",IF(COUNTIFS(BD!$B$3:$B$5001,F$128,BD!$A$3:$A$5001,"&gt;="&amp;$C$7,BD!$A$3:$A$5001,"&lt;="&amp;$B132,BD!$P$3:$P$5001,"&lt;&gt;")=0,"",SUMIFS(BD!$P$3:$P$5001,BD!$B$3:$B$5001,F$128,BD!$A$3:$A$5001,_xlfn.MAXIFS(BD!$A$3:$A$5001,BD!$B$3:$B$5001,F$128,BD!$A$3:$A$5001,"&gt;="&amp;$C$7,BD!$A$3:$A$5001,"&lt;="&amp;$B132,BD!$P$3:$P$5001,"&lt;&gt;"))))</f>
        <v/>
      </c>
      <c r="G132" s="54" t="str">
        <f>IF(OR($B132="",$A132&gt;$B$9,G$128=""),"",IF(COUNTIFS(BD!$B$3:$B$5001,G$128,BD!$A$3:$A$5001,"&gt;="&amp;$C$7,BD!$A$3:$A$5001,"&lt;="&amp;$B132,BD!$P$3:$P$5001,"&lt;&gt;")=0,"",SUMIFS(BD!$P$3:$P$5001,BD!$B$3:$B$5001,G$128,BD!$A$3:$A$5001,_xlfn.MAXIFS(BD!$A$3:$A$5001,BD!$B$3:$B$5001,G$128,BD!$A$3:$A$5001,"&gt;="&amp;$C$7,BD!$A$3:$A$5001,"&lt;="&amp;$B132,BD!$P$3:$P$5001,"&lt;&gt;"))))</f>
        <v/>
      </c>
      <c r="H132" s="54" t="str">
        <f>IF(OR($B132="",$A132&gt;$B$9,H$128=""),"",IF(COUNTIFS(BD!$B$3:$B$5001,H$128,BD!$A$3:$A$5001,"&gt;="&amp;$C$7,BD!$A$3:$A$5001,"&lt;="&amp;$B132,BD!$P$3:$P$5001,"&lt;&gt;")=0,"",SUMIFS(BD!$P$3:$P$5001,BD!$B$3:$B$5001,H$128,BD!$A$3:$A$5001,_xlfn.MAXIFS(BD!$A$3:$A$5001,BD!$B$3:$B$5001,H$128,BD!$A$3:$A$5001,"&gt;="&amp;$C$7,BD!$A$3:$A$5001,"&lt;="&amp;$B132,BD!$P$3:$P$5001,"&lt;&gt;"))))</f>
        <v/>
      </c>
      <c r="I132" s="54" t="str">
        <f>IF(OR($B132="",$A132&gt;$B$9,I$128=""),"",IF(COUNTIFS(BD!$B$3:$B$5001,I$128,BD!$A$3:$A$5001,"&gt;="&amp;$C$7,BD!$A$3:$A$5001,"&lt;="&amp;$B132,BD!$P$3:$P$5001,"&lt;&gt;")=0,"",SUMIFS(BD!$P$3:$P$5001,BD!$B$3:$B$5001,I$128,BD!$A$3:$A$5001,_xlfn.MAXIFS(BD!$A$3:$A$5001,BD!$B$3:$B$5001,I$128,BD!$A$3:$A$5001,"&gt;="&amp;$C$7,BD!$A$3:$A$5001,"&lt;="&amp;$B132,BD!$P$3:$P$5001,"&lt;&gt;"))))</f>
        <v/>
      </c>
      <c r="J132" s="54" t="str">
        <f>IF(OR($B132="",$A132&gt;$B$9,J$128=""),"",IF(COUNTIFS(BD!$B$3:$B$5001,J$128,BD!$A$3:$A$5001,"&gt;="&amp;$C$7,BD!$A$3:$A$5001,"&lt;="&amp;$B132,BD!$P$3:$P$5001,"&lt;&gt;")=0,"",SUMIFS(BD!$P$3:$P$5001,BD!$B$3:$B$5001,J$128,BD!$A$3:$A$5001,_xlfn.MAXIFS(BD!$A$3:$A$5001,BD!$B$3:$B$5001,J$128,BD!$A$3:$A$5001,"&gt;="&amp;$C$7,BD!$A$3:$A$5001,"&lt;="&amp;$B132,BD!$P$3:$P$5001,"&lt;&gt;"))))</f>
        <v/>
      </c>
      <c r="K132" s="54" t="str">
        <f>IF(OR($B132="",$A132&gt;$B$9,K$128=""),"",IF(COUNTIFS(BD!$B$3:$B$5001,K$128,BD!$A$3:$A$5001,"&gt;="&amp;$C$7,BD!$A$3:$A$5001,"&lt;="&amp;$B132,BD!$P$3:$P$5001,"&lt;&gt;")=0,"",SUMIFS(BD!$P$3:$P$5001,BD!$B$3:$B$5001,K$128,BD!$A$3:$A$5001,_xlfn.MAXIFS(BD!$A$3:$A$5001,BD!$B$3:$B$5001,K$128,BD!$A$3:$A$5001,"&gt;="&amp;$C$7,BD!$A$3:$A$5001,"&lt;="&amp;$B132,BD!$P$3:$P$5001,"&lt;&gt;"))))</f>
        <v/>
      </c>
      <c r="L132" s="54" t="str">
        <f>IF(OR($B132="",$A132&gt;$B$9,L$128=""),"",IF(COUNTIFS(BD!$B$3:$B$5001,L$128,BD!$A$3:$A$5001,"&gt;="&amp;$C$7,BD!$A$3:$A$5001,"&lt;="&amp;$B132,BD!$P$3:$P$5001,"&lt;&gt;")=0,"",SUMIFS(BD!$P$3:$P$5001,BD!$B$3:$B$5001,L$128,BD!$A$3:$A$5001,_xlfn.MAXIFS(BD!$A$3:$A$5001,BD!$B$3:$B$5001,L$128,BD!$A$3:$A$5001,"&gt;="&amp;$C$7,BD!$A$3:$A$5001,"&lt;="&amp;$B132,BD!$P$3:$P$5001,"&lt;&gt;"))))</f>
        <v/>
      </c>
      <c r="M132" s="54" t="str">
        <f>IF(OR($B132="",$A132&gt;$B$9,M$128=""),"",IF(COUNTIFS(BD!$B$3:$B$5001,M$128,BD!$A$3:$A$5001,"&gt;="&amp;$C$7,BD!$A$3:$A$5001,"&lt;="&amp;$B132,BD!$P$3:$P$5001,"&lt;&gt;")=0,"",SUMIFS(BD!$P$3:$P$5001,BD!$B$3:$B$5001,M$128,BD!$A$3:$A$5001,_xlfn.MAXIFS(BD!$A$3:$A$5001,BD!$B$3:$B$5001,M$128,BD!$A$3:$A$5001,"&gt;="&amp;$C$7,BD!$A$3:$A$5001,"&lt;="&amp;$B132,BD!$P$3:$P$5001,"&lt;&gt;"))))</f>
        <v/>
      </c>
      <c r="N132" s="54" t="str">
        <f>IF(OR($B132="",$A132&gt;$B$9,N$128=""),"",IF(COUNTIFS(BD!$B$3:$B$5001,N$128,BD!$A$3:$A$5001,"&gt;="&amp;$C$7,BD!$A$3:$A$5001,"&lt;="&amp;$B132,BD!$P$3:$P$5001,"&lt;&gt;")=0,"",SUMIFS(BD!$P$3:$P$5001,BD!$B$3:$B$5001,N$128,BD!$A$3:$A$5001,_xlfn.MAXIFS(BD!$A$3:$A$5001,BD!$B$3:$B$5001,N$128,BD!$A$3:$A$5001,"&gt;="&amp;$C$7,BD!$A$3:$A$5001,"&lt;="&amp;$B132,BD!$P$3:$P$5001,"&lt;&gt;"))))</f>
        <v/>
      </c>
      <c r="O132" s="54" t="str">
        <f>IF(OR($B132="",$A132&gt;$B$9,O$128=""),"",IF(COUNTIFS(BD!$B$3:$B$5001,O$128,BD!$A$3:$A$5001,"&gt;="&amp;$C$7,BD!$A$3:$A$5001,"&lt;="&amp;$B132,BD!$P$3:$P$5001,"&lt;&gt;")=0,"",SUMIFS(BD!$P$3:$P$5001,BD!$B$3:$B$5001,O$128,BD!$A$3:$A$5001,_xlfn.MAXIFS(BD!$A$3:$A$5001,BD!$B$3:$B$5001,O$128,BD!$A$3:$A$5001,"&gt;="&amp;$C$7,BD!$A$3:$A$5001,"&lt;="&amp;$B132,BD!$P$3:$P$5001,"&lt;&gt;"))))</f>
        <v/>
      </c>
      <c r="P132" s="54" t="str">
        <f>IF(OR($B132="",$A132&gt;$B$9,P$128=""),"",IF(COUNTIFS(BD!$B$3:$B$5001,P$128,BD!$A$3:$A$5001,"&gt;="&amp;$C$7,BD!$A$3:$A$5001,"&lt;="&amp;$B132,BD!$P$3:$P$5001,"&lt;&gt;")=0,"",SUMIFS(BD!$P$3:$P$5001,BD!$B$3:$B$5001,P$128,BD!$A$3:$A$5001,_xlfn.MAXIFS(BD!$A$3:$A$5001,BD!$B$3:$B$5001,P$128,BD!$A$3:$A$5001,"&gt;="&amp;$C$7,BD!$A$3:$A$5001,"&lt;="&amp;$B132,BD!$P$3:$P$5001,"&lt;&gt;"))))</f>
        <v/>
      </c>
      <c r="Q132" s="54" t="str">
        <f>IF(OR($B132="",$A132&gt;$B$9,Q$128=""),"",IF(COUNTIFS(BD!$B$3:$B$5001,Q$128,BD!$A$3:$A$5001,"&gt;="&amp;$C$7,BD!$A$3:$A$5001,"&lt;="&amp;$B132,BD!$P$3:$P$5001,"&lt;&gt;")=0,"",SUMIFS(BD!$P$3:$P$5001,BD!$B$3:$B$5001,Q$128,BD!$A$3:$A$5001,_xlfn.MAXIFS(BD!$A$3:$A$5001,BD!$B$3:$B$5001,Q$128,BD!$A$3:$A$5001,"&gt;="&amp;$C$7,BD!$A$3:$A$5001,"&lt;="&amp;$B132,BD!$P$3:$P$5001,"&lt;&gt;"))))</f>
        <v/>
      </c>
      <c r="R132" s="54" t="str">
        <f>IF(OR($B132="",$A132&gt;$B$9,R$128=""),"",IF(COUNTIFS(BD!$B$3:$B$5001,R$128,BD!$A$3:$A$5001,"&gt;="&amp;$C$7,BD!$A$3:$A$5001,"&lt;="&amp;$B132,BD!$P$3:$P$5001,"&lt;&gt;")=0,"",SUMIFS(BD!$P$3:$P$5001,BD!$B$3:$B$5001,R$128,BD!$A$3:$A$5001,_xlfn.MAXIFS(BD!$A$3:$A$5001,BD!$B$3:$B$5001,R$128,BD!$A$3:$A$5001,"&gt;="&amp;$C$7,BD!$A$3:$A$5001,"&lt;="&amp;$B132,BD!$P$3:$P$5001,"&lt;&gt;"))))</f>
        <v/>
      </c>
      <c r="S132" s="54" t="str">
        <f>IF(OR($B132="",$A132&gt;$B$9,S$128=""),"",IF(COUNTIFS(BD!$B$3:$B$5001,S$128,BD!$A$3:$A$5001,"&gt;="&amp;$C$7,BD!$A$3:$A$5001,"&lt;="&amp;$B132,BD!$P$3:$P$5001,"&lt;&gt;")=0,"",SUMIFS(BD!$P$3:$P$5001,BD!$B$3:$B$5001,S$128,BD!$A$3:$A$5001,_xlfn.MAXIFS(BD!$A$3:$A$5001,BD!$B$3:$B$5001,S$128,BD!$A$3:$A$5001,"&gt;="&amp;$C$7,BD!$A$3:$A$5001,"&lt;="&amp;$B132,BD!$P$3:$P$5001,"&lt;&gt;"))))</f>
        <v/>
      </c>
      <c r="T132" s="54" t="str">
        <f>IF(OR($B132="",$A132&gt;$B$9,T$128=""),"",IF(COUNTIFS(BD!$B$3:$B$5001,T$128,BD!$A$3:$A$5001,"&gt;="&amp;$C$7,BD!$A$3:$A$5001,"&lt;="&amp;$B132,BD!$P$3:$P$5001,"&lt;&gt;")=0,"",SUMIFS(BD!$P$3:$P$5001,BD!$B$3:$B$5001,T$128,BD!$A$3:$A$5001,_xlfn.MAXIFS(BD!$A$3:$A$5001,BD!$B$3:$B$5001,T$128,BD!$A$3:$A$5001,"&gt;="&amp;$C$7,BD!$A$3:$A$5001,"&lt;="&amp;$B132,BD!$P$3:$P$5001,"&lt;&gt;"))))</f>
        <v/>
      </c>
      <c r="U132" s="54" t="str">
        <f>IF(OR($B132="",$A132&gt;$B$9,U$128=""),"",IF(COUNTIFS(BD!$B$3:$B$5001,U$128,BD!$A$3:$A$5001,"&gt;="&amp;$C$7,BD!$A$3:$A$5001,"&lt;="&amp;$B132,BD!$P$3:$P$5001,"&lt;&gt;")=0,"",SUMIFS(BD!$P$3:$P$5001,BD!$B$3:$B$5001,U$128,BD!$A$3:$A$5001,_xlfn.MAXIFS(BD!$A$3:$A$5001,BD!$B$3:$B$5001,U$128,BD!$A$3:$A$5001,"&gt;="&amp;$C$7,BD!$A$3:$A$5001,"&lt;="&amp;$B132,BD!$P$3:$P$5001,"&lt;&gt;"))))</f>
        <v/>
      </c>
      <c r="V132" s="54" t="str">
        <f>IF(OR($B132="",$A132&gt;$B$9,V$128=""),"",IF(COUNTIFS(BD!$B$3:$B$5001,V$128,BD!$A$3:$A$5001,"&gt;="&amp;$C$7,BD!$A$3:$A$5001,"&lt;="&amp;$B132,BD!$P$3:$P$5001,"&lt;&gt;")=0,"",SUMIFS(BD!$P$3:$P$5001,BD!$B$3:$B$5001,V$128,BD!$A$3:$A$5001,_xlfn.MAXIFS(BD!$A$3:$A$5001,BD!$B$3:$B$5001,V$128,BD!$A$3:$A$5001,"&gt;="&amp;$C$7,BD!$A$3:$A$5001,"&lt;="&amp;$B132,BD!$P$3:$P$5001,"&lt;&gt;"))))</f>
        <v/>
      </c>
    </row>
    <row r="133">
      <c r="A133" s="48">
        <v>5</v>
      </c>
      <c r="B133" s="53">
        <f>$B$16</f>
        <v>46300</v>
      </c>
      <c r="C133" s="54" t="str">
        <f>IF(OR($B133="",$A133&gt;$B$9,C$128=""),"",IF(COUNTIFS(BD!$B$3:$B$5001,C$128,BD!$A$3:$A$5001,"&gt;="&amp;$C$7,BD!$A$3:$A$5001,"&lt;="&amp;$B133,BD!$P$3:$P$5001,"&lt;&gt;")=0,"",SUMIFS(BD!$P$3:$P$5001,BD!$B$3:$B$5001,C$128,BD!$A$3:$A$5001,_xlfn.MAXIFS(BD!$A$3:$A$5001,BD!$B$3:$B$5001,C$128,BD!$A$3:$A$5001,"&gt;="&amp;$C$7,BD!$A$3:$A$5001,"&lt;="&amp;$B133,BD!$P$3:$P$5001,"&lt;&gt;"))))</f>
        <v/>
      </c>
      <c r="D133" s="54" t="str">
        <f>IF(OR($B133="",$A133&gt;$B$9,D$128=""),"",IF(COUNTIFS(BD!$B$3:$B$5001,D$128,BD!$A$3:$A$5001,"&gt;="&amp;$C$7,BD!$A$3:$A$5001,"&lt;="&amp;$B133,BD!$P$3:$P$5001,"&lt;&gt;")=0,"",SUMIFS(BD!$P$3:$P$5001,BD!$B$3:$B$5001,D$128,BD!$A$3:$A$5001,_xlfn.MAXIFS(BD!$A$3:$A$5001,BD!$B$3:$B$5001,D$128,BD!$A$3:$A$5001,"&gt;="&amp;$C$7,BD!$A$3:$A$5001,"&lt;="&amp;$B133,BD!$P$3:$P$5001,"&lt;&gt;"))))</f>
        <v/>
      </c>
      <c r="E133" s="54" t="str">
        <f>IF(OR($B133="",$A133&gt;$B$9,E$128=""),"",IF(COUNTIFS(BD!$B$3:$B$5001,E$128,BD!$A$3:$A$5001,"&gt;="&amp;$C$7,BD!$A$3:$A$5001,"&lt;="&amp;$B133,BD!$P$3:$P$5001,"&lt;&gt;")=0,"",SUMIFS(BD!$P$3:$P$5001,BD!$B$3:$B$5001,E$128,BD!$A$3:$A$5001,_xlfn.MAXIFS(BD!$A$3:$A$5001,BD!$B$3:$B$5001,E$128,BD!$A$3:$A$5001,"&gt;="&amp;$C$7,BD!$A$3:$A$5001,"&lt;="&amp;$B133,BD!$P$3:$P$5001,"&lt;&gt;"))))</f>
        <v/>
      </c>
      <c r="F133" s="54" t="str">
        <f>IF(OR($B133="",$A133&gt;$B$9,F$128=""),"",IF(COUNTIFS(BD!$B$3:$B$5001,F$128,BD!$A$3:$A$5001,"&gt;="&amp;$C$7,BD!$A$3:$A$5001,"&lt;="&amp;$B133,BD!$P$3:$P$5001,"&lt;&gt;")=0,"",SUMIFS(BD!$P$3:$P$5001,BD!$B$3:$B$5001,F$128,BD!$A$3:$A$5001,_xlfn.MAXIFS(BD!$A$3:$A$5001,BD!$B$3:$B$5001,F$128,BD!$A$3:$A$5001,"&gt;="&amp;$C$7,BD!$A$3:$A$5001,"&lt;="&amp;$B133,BD!$P$3:$P$5001,"&lt;&gt;"))))</f>
        <v/>
      </c>
      <c r="G133" s="54" t="str">
        <f>IF(OR($B133="",$A133&gt;$B$9,G$128=""),"",IF(COUNTIFS(BD!$B$3:$B$5001,G$128,BD!$A$3:$A$5001,"&gt;="&amp;$C$7,BD!$A$3:$A$5001,"&lt;="&amp;$B133,BD!$P$3:$P$5001,"&lt;&gt;")=0,"",SUMIFS(BD!$P$3:$P$5001,BD!$B$3:$B$5001,G$128,BD!$A$3:$A$5001,_xlfn.MAXIFS(BD!$A$3:$A$5001,BD!$B$3:$B$5001,G$128,BD!$A$3:$A$5001,"&gt;="&amp;$C$7,BD!$A$3:$A$5001,"&lt;="&amp;$B133,BD!$P$3:$P$5001,"&lt;&gt;"))))</f>
        <v/>
      </c>
      <c r="H133" s="54" t="str">
        <f>IF(OR($B133="",$A133&gt;$B$9,H$128=""),"",IF(COUNTIFS(BD!$B$3:$B$5001,H$128,BD!$A$3:$A$5001,"&gt;="&amp;$C$7,BD!$A$3:$A$5001,"&lt;="&amp;$B133,BD!$P$3:$P$5001,"&lt;&gt;")=0,"",SUMIFS(BD!$P$3:$P$5001,BD!$B$3:$B$5001,H$128,BD!$A$3:$A$5001,_xlfn.MAXIFS(BD!$A$3:$A$5001,BD!$B$3:$B$5001,H$128,BD!$A$3:$A$5001,"&gt;="&amp;$C$7,BD!$A$3:$A$5001,"&lt;="&amp;$B133,BD!$P$3:$P$5001,"&lt;&gt;"))))</f>
        <v/>
      </c>
      <c r="I133" s="54" t="str">
        <f>IF(OR($B133="",$A133&gt;$B$9,I$128=""),"",IF(COUNTIFS(BD!$B$3:$B$5001,I$128,BD!$A$3:$A$5001,"&gt;="&amp;$C$7,BD!$A$3:$A$5001,"&lt;="&amp;$B133,BD!$P$3:$P$5001,"&lt;&gt;")=0,"",SUMIFS(BD!$P$3:$P$5001,BD!$B$3:$B$5001,I$128,BD!$A$3:$A$5001,_xlfn.MAXIFS(BD!$A$3:$A$5001,BD!$B$3:$B$5001,I$128,BD!$A$3:$A$5001,"&gt;="&amp;$C$7,BD!$A$3:$A$5001,"&lt;="&amp;$B133,BD!$P$3:$P$5001,"&lt;&gt;"))))</f>
        <v/>
      </c>
      <c r="J133" s="54" t="str">
        <f>IF(OR($B133="",$A133&gt;$B$9,J$128=""),"",IF(COUNTIFS(BD!$B$3:$B$5001,J$128,BD!$A$3:$A$5001,"&gt;="&amp;$C$7,BD!$A$3:$A$5001,"&lt;="&amp;$B133,BD!$P$3:$P$5001,"&lt;&gt;")=0,"",SUMIFS(BD!$P$3:$P$5001,BD!$B$3:$B$5001,J$128,BD!$A$3:$A$5001,_xlfn.MAXIFS(BD!$A$3:$A$5001,BD!$B$3:$B$5001,J$128,BD!$A$3:$A$5001,"&gt;="&amp;$C$7,BD!$A$3:$A$5001,"&lt;="&amp;$B133,BD!$P$3:$P$5001,"&lt;&gt;"))))</f>
        <v/>
      </c>
      <c r="K133" s="54" t="str">
        <f>IF(OR($B133="",$A133&gt;$B$9,K$128=""),"",IF(COUNTIFS(BD!$B$3:$B$5001,K$128,BD!$A$3:$A$5001,"&gt;="&amp;$C$7,BD!$A$3:$A$5001,"&lt;="&amp;$B133,BD!$P$3:$P$5001,"&lt;&gt;")=0,"",SUMIFS(BD!$P$3:$P$5001,BD!$B$3:$B$5001,K$128,BD!$A$3:$A$5001,_xlfn.MAXIFS(BD!$A$3:$A$5001,BD!$B$3:$B$5001,K$128,BD!$A$3:$A$5001,"&gt;="&amp;$C$7,BD!$A$3:$A$5001,"&lt;="&amp;$B133,BD!$P$3:$P$5001,"&lt;&gt;"))))</f>
        <v/>
      </c>
      <c r="L133" s="54" t="str">
        <f>IF(OR($B133="",$A133&gt;$B$9,L$128=""),"",IF(COUNTIFS(BD!$B$3:$B$5001,L$128,BD!$A$3:$A$5001,"&gt;="&amp;$C$7,BD!$A$3:$A$5001,"&lt;="&amp;$B133,BD!$P$3:$P$5001,"&lt;&gt;")=0,"",SUMIFS(BD!$P$3:$P$5001,BD!$B$3:$B$5001,L$128,BD!$A$3:$A$5001,_xlfn.MAXIFS(BD!$A$3:$A$5001,BD!$B$3:$B$5001,L$128,BD!$A$3:$A$5001,"&gt;="&amp;$C$7,BD!$A$3:$A$5001,"&lt;="&amp;$B133,BD!$P$3:$P$5001,"&lt;&gt;"))))</f>
        <v/>
      </c>
      <c r="M133" s="54" t="str">
        <f>IF(OR($B133="",$A133&gt;$B$9,M$128=""),"",IF(COUNTIFS(BD!$B$3:$B$5001,M$128,BD!$A$3:$A$5001,"&gt;="&amp;$C$7,BD!$A$3:$A$5001,"&lt;="&amp;$B133,BD!$P$3:$P$5001,"&lt;&gt;")=0,"",SUMIFS(BD!$P$3:$P$5001,BD!$B$3:$B$5001,M$128,BD!$A$3:$A$5001,_xlfn.MAXIFS(BD!$A$3:$A$5001,BD!$B$3:$B$5001,M$128,BD!$A$3:$A$5001,"&gt;="&amp;$C$7,BD!$A$3:$A$5001,"&lt;="&amp;$B133,BD!$P$3:$P$5001,"&lt;&gt;"))))</f>
        <v/>
      </c>
      <c r="N133" s="54" t="str">
        <f>IF(OR($B133="",$A133&gt;$B$9,N$128=""),"",IF(COUNTIFS(BD!$B$3:$B$5001,N$128,BD!$A$3:$A$5001,"&gt;="&amp;$C$7,BD!$A$3:$A$5001,"&lt;="&amp;$B133,BD!$P$3:$P$5001,"&lt;&gt;")=0,"",SUMIFS(BD!$P$3:$P$5001,BD!$B$3:$B$5001,N$128,BD!$A$3:$A$5001,_xlfn.MAXIFS(BD!$A$3:$A$5001,BD!$B$3:$B$5001,N$128,BD!$A$3:$A$5001,"&gt;="&amp;$C$7,BD!$A$3:$A$5001,"&lt;="&amp;$B133,BD!$P$3:$P$5001,"&lt;&gt;"))))</f>
        <v/>
      </c>
      <c r="O133" s="54" t="str">
        <f>IF(OR($B133="",$A133&gt;$B$9,O$128=""),"",IF(COUNTIFS(BD!$B$3:$B$5001,O$128,BD!$A$3:$A$5001,"&gt;="&amp;$C$7,BD!$A$3:$A$5001,"&lt;="&amp;$B133,BD!$P$3:$P$5001,"&lt;&gt;")=0,"",SUMIFS(BD!$P$3:$P$5001,BD!$B$3:$B$5001,O$128,BD!$A$3:$A$5001,_xlfn.MAXIFS(BD!$A$3:$A$5001,BD!$B$3:$B$5001,O$128,BD!$A$3:$A$5001,"&gt;="&amp;$C$7,BD!$A$3:$A$5001,"&lt;="&amp;$B133,BD!$P$3:$P$5001,"&lt;&gt;"))))</f>
        <v/>
      </c>
      <c r="P133" s="54" t="str">
        <f>IF(OR($B133="",$A133&gt;$B$9,P$128=""),"",IF(COUNTIFS(BD!$B$3:$B$5001,P$128,BD!$A$3:$A$5001,"&gt;="&amp;$C$7,BD!$A$3:$A$5001,"&lt;="&amp;$B133,BD!$P$3:$P$5001,"&lt;&gt;")=0,"",SUMIFS(BD!$P$3:$P$5001,BD!$B$3:$B$5001,P$128,BD!$A$3:$A$5001,_xlfn.MAXIFS(BD!$A$3:$A$5001,BD!$B$3:$B$5001,P$128,BD!$A$3:$A$5001,"&gt;="&amp;$C$7,BD!$A$3:$A$5001,"&lt;="&amp;$B133,BD!$P$3:$P$5001,"&lt;&gt;"))))</f>
        <v/>
      </c>
      <c r="Q133" s="54" t="str">
        <f>IF(OR($B133="",$A133&gt;$B$9,Q$128=""),"",IF(COUNTIFS(BD!$B$3:$B$5001,Q$128,BD!$A$3:$A$5001,"&gt;="&amp;$C$7,BD!$A$3:$A$5001,"&lt;="&amp;$B133,BD!$P$3:$P$5001,"&lt;&gt;")=0,"",SUMIFS(BD!$P$3:$P$5001,BD!$B$3:$B$5001,Q$128,BD!$A$3:$A$5001,_xlfn.MAXIFS(BD!$A$3:$A$5001,BD!$B$3:$B$5001,Q$128,BD!$A$3:$A$5001,"&gt;="&amp;$C$7,BD!$A$3:$A$5001,"&lt;="&amp;$B133,BD!$P$3:$P$5001,"&lt;&gt;"))))</f>
        <v/>
      </c>
      <c r="R133" s="54" t="str">
        <f>IF(OR($B133="",$A133&gt;$B$9,R$128=""),"",IF(COUNTIFS(BD!$B$3:$B$5001,R$128,BD!$A$3:$A$5001,"&gt;="&amp;$C$7,BD!$A$3:$A$5001,"&lt;="&amp;$B133,BD!$P$3:$P$5001,"&lt;&gt;")=0,"",SUMIFS(BD!$P$3:$P$5001,BD!$B$3:$B$5001,R$128,BD!$A$3:$A$5001,_xlfn.MAXIFS(BD!$A$3:$A$5001,BD!$B$3:$B$5001,R$128,BD!$A$3:$A$5001,"&gt;="&amp;$C$7,BD!$A$3:$A$5001,"&lt;="&amp;$B133,BD!$P$3:$P$5001,"&lt;&gt;"))))</f>
        <v/>
      </c>
      <c r="S133" s="54" t="str">
        <f>IF(OR($B133="",$A133&gt;$B$9,S$128=""),"",IF(COUNTIFS(BD!$B$3:$B$5001,S$128,BD!$A$3:$A$5001,"&gt;="&amp;$C$7,BD!$A$3:$A$5001,"&lt;="&amp;$B133,BD!$P$3:$P$5001,"&lt;&gt;")=0,"",SUMIFS(BD!$P$3:$P$5001,BD!$B$3:$B$5001,S$128,BD!$A$3:$A$5001,_xlfn.MAXIFS(BD!$A$3:$A$5001,BD!$B$3:$B$5001,S$128,BD!$A$3:$A$5001,"&gt;="&amp;$C$7,BD!$A$3:$A$5001,"&lt;="&amp;$B133,BD!$P$3:$P$5001,"&lt;&gt;"))))</f>
        <v/>
      </c>
      <c r="T133" s="54" t="str">
        <f>IF(OR($B133="",$A133&gt;$B$9,T$128=""),"",IF(COUNTIFS(BD!$B$3:$B$5001,T$128,BD!$A$3:$A$5001,"&gt;="&amp;$C$7,BD!$A$3:$A$5001,"&lt;="&amp;$B133,BD!$P$3:$P$5001,"&lt;&gt;")=0,"",SUMIFS(BD!$P$3:$P$5001,BD!$B$3:$B$5001,T$128,BD!$A$3:$A$5001,_xlfn.MAXIFS(BD!$A$3:$A$5001,BD!$B$3:$B$5001,T$128,BD!$A$3:$A$5001,"&gt;="&amp;$C$7,BD!$A$3:$A$5001,"&lt;="&amp;$B133,BD!$P$3:$P$5001,"&lt;&gt;"))))</f>
        <v/>
      </c>
      <c r="U133" s="54" t="str">
        <f>IF(OR($B133="",$A133&gt;$B$9,U$128=""),"",IF(COUNTIFS(BD!$B$3:$B$5001,U$128,BD!$A$3:$A$5001,"&gt;="&amp;$C$7,BD!$A$3:$A$5001,"&lt;="&amp;$B133,BD!$P$3:$P$5001,"&lt;&gt;")=0,"",SUMIFS(BD!$P$3:$P$5001,BD!$B$3:$B$5001,U$128,BD!$A$3:$A$5001,_xlfn.MAXIFS(BD!$A$3:$A$5001,BD!$B$3:$B$5001,U$128,BD!$A$3:$A$5001,"&gt;="&amp;$C$7,BD!$A$3:$A$5001,"&lt;="&amp;$B133,BD!$P$3:$P$5001,"&lt;&gt;"))))</f>
        <v/>
      </c>
      <c r="V133" s="54" t="str">
        <f>IF(OR($B133="",$A133&gt;$B$9,V$128=""),"",IF(COUNTIFS(BD!$B$3:$B$5001,V$128,BD!$A$3:$A$5001,"&gt;="&amp;$C$7,BD!$A$3:$A$5001,"&lt;="&amp;$B133,BD!$P$3:$P$5001,"&lt;&gt;")=0,"",SUMIFS(BD!$P$3:$P$5001,BD!$B$3:$B$5001,V$128,BD!$A$3:$A$5001,_xlfn.MAXIFS(BD!$A$3:$A$5001,BD!$B$3:$B$5001,V$128,BD!$A$3:$A$5001,"&gt;="&amp;$C$7,BD!$A$3:$A$5001,"&lt;="&amp;$B133,BD!$P$3:$P$5001,"&lt;&gt;"))))</f>
        <v/>
      </c>
    </row>
    <row r="134">
      <c r="A134" s="48">
        <v>6</v>
      </c>
      <c r="B134" s="53">
        <f>$B$17</f>
        <v>46301</v>
      </c>
      <c r="C134" s="54" t="str">
        <f>IF(OR($B134="",$A134&gt;$B$9,C$128=""),"",IF(COUNTIFS(BD!$B$3:$B$5001,C$128,BD!$A$3:$A$5001,"&gt;="&amp;$C$7,BD!$A$3:$A$5001,"&lt;="&amp;$B134,BD!$P$3:$P$5001,"&lt;&gt;")=0,"",SUMIFS(BD!$P$3:$P$5001,BD!$B$3:$B$5001,C$128,BD!$A$3:$A$5001,_xlfn.MAXIFS(BD!$A$3:$A$5001,BD!$B$3:$B$5001,C$128,BD!$A$3:$A$5001,"&gt;="&amp;$C$7,BD!$A$3:$A$5001,"&lt;="&amp;$B134,BD!$P$3:$P$5001,"&lt;&gt;"))))</f>
        <v/>
      </c>
      <c r="D134" s="54" t="str">
        <f>IF(OR($B134="",$A134&gt;$B$9,D$128=""),"",IF(COUNTIFS(BD!$B$3:$B$5001,D$128,BD!$A$3:$A$5001,"&gt;="&amp;$C$7,BD!$A$3:$A$5001,"&lt;="&amp;$B134,BD!$P$3:$P$5001,"&lt;&gt;")=0,"",SUMIFS(BD!$P$3:$P$5001,BD!$B$3:$B$5001,D$128,BD!$A$3:$A$5001,_xlfn.MAXIFS(BD!$A$3:$A$5001,BD!$B$3:$B$5001,D$128,BD!$A$3:$A$5001,"&gt;="&amp;$C$7,BD!$A$3:$A$5001,"&lt;="&amp;$B134,BD!$P$3:$P$5001,"&lt;&gt;"))))</f>
        <v/>
      </c>
      <c r="E134" s="54" t="str">
        <f>IF(OR($B134="",$A134&gt;$B$9,E$128=""),"",IF(COUNTIFS(BD!$B$3:$B$5001,E$128,BD!$A$3:$A$5001,"&gt;="&amp;$C$7,BD!$A$3:$A$5001,"&lt;="&amp;$B134,BD!$P$3:$P$5001,"&lt;&gt;")=0,"",SUMIFS(BD!$P$3:$P$5001,BD!$B$3:$B$5001,E$128,BD!$A$3:$A$5001,_xlfn.MAXIFS(BD!$A$3:$A$5001,BD!$B$3:$B$5001,E$128,BD!$A$3:$A$5001,"&gt;="&amp;$C$7,BD!$A$3:$A$5001,"&lt;="&amp;$B134,BD!$P$3:$P$5001,"&lt;&gt;"))))</f>
        <v/>
      </c>
      <c r="F134" s="54" t="str">
        <f>IF(OR($B134="",$A134&gt;$B$9,F$128=""),"",IF(COUNTIFS(BD!$B$3:$B$5001,F$128,BD!$A$3:$A$5001,"&gt;="&amp;$C$7,BD!$A$3:$A$5001,"&lt;="&amp;$B134,BD!$P$3:$P$5001,"&lt;&gt;")=0,"",SUMIFS(BD!$P$3:$P$5001,BD!$B$3:$B$5001,F$128,BD!$A$3:$A$5001,_xlfn.MAXIFS(BD!$A$3:$A$5001,BD!$B$3:$B$5001,F$128,BD!$A$3:$A$5001,"&gt;="&amp;$C$7,BD!$A$3:$A$5001,"&lt;="&amp;$B134,BD!$P$3:$P$5001,"&lt;&gt;"))))</f>
        <v/>
      </c>
      <c r="G134" s="54" t="str">
        <f>IF(OR($B134="",$A134&gt;$B$9,G$128=""),"",IF(COUNTIFS(BD!$B$3:$B$5001,G$128,BD!$A$3:$A$5001,"&gt;="&amp;$C$7,BD!$A$3:$A$5001,"&lt;="&amp;$B134,BD!$P$3:$P$5001,"&lt;&gt;")=0,"",SUMIFS(BD!$P$3:$P$5001,BD!$B$3:$B$5001,G$128,BD!$A$3:$A$5001,_xlfn.MAXIFS(BD!$A$3:$A$5001,BD!$B$3:$B$5001,G$128,BD!$A$3:$A$5001,"&gt;="&amp;$C$7,BD!$A$3:$A$5001,"&lt;="&amp;$B134,BD!$P$3:$P$5001,"&lt;&gt;"))))</f>
        <v/>
      </c>
      <c r="H134" s="54" t="str">
        <f>IF(OR($B134="",$A134&gt;$B$9,H$128=""),"",IF(COUNTIFS(BD!$B$3:$B$5001,H$128,BD!$A$3:$A$5001,"&gt;="&amp;$C$7,BD!$A$3:$A$5001,"&lt;="&amp;$B134,BD!$P$3:$P$5001,"&lt;&gt;")=0,"",SUMIFS(BD!$P$3:$P$5001,BD!$B$3:$B$5001,H$128,BD!$A$3:$A$5001,_xlfn.MAXIFS(BD!$A$3:$A$5001,BD!$B$3:$B$5001,H$128,BD!$A$3:$A$5001,"&gt;="&amp;$C$7,BD!$A$3:$A$5001,"&lt;="&amp;$B134,BD!$P$3:$P$5001,"&lt;&gt;"))))</f>
        <v/>
      </c>
      <c r="I134" s="54" t="str">
        <f>IF(OR($B134="",$A134&gt;$B$9,I$128=""),"",IF(COUNTIFS(BD!$B$3:$B$5001,I$128,BD!$A$3:$A$5001,"&gt;="&amp;$C$7,BD!$A$3:$A$5001,"&lt;="&amp;$B134,BD!$P$3:$P$5001,"&lt;&gt;")=0,"",SUMIFS(BD!$P$3:$P$5001,BD!$B$3:$B$5001,I$128,BD!$A$3:$A$5001,_xlfn.MAXIFS(BD!$A$3:$A$5001,BD!$B$3:$B$5001,I$128,BD!$A$3:$A$5001,"&gt;="&amp;$C$7,BD!$A$3:$A$5001,"&lt;="&amp;$B134,BD!$P$3:$P$5001,"&lt;&gt;"))))</f>
        <v/>
      </c>
      <c r="J134" s="54" t="str">
        <f>IF(OR($B134="",$A134&gt;$B$9,J$128=""),"",IF(COUNTIFS(BD!$B$3:$B$5001,J$128,BD!$A$3:$A$5001,"&gt;="&amp;$C$7,BD!$A$3:$A$5001,"&lt;="&amp;$B134,BD!$P$3:$P$5001,"&lt;&gt;")=0,"",SUMIFS(BD!$P$3:$P$5001,BD!$B$3:$B$5001,J$128,BD!$A$3:$A$5001,_xlfn.MAXIFS(BD!$A$3:$A$5001,BD!$B$3:$B$5001,J$128,BD!$A$3:$A$5001,"&gt;="&amp;$C$7,BD!$A$3:$A$5001,"&lt;="&amp;$B134,BD!$P$3:$P$5001,"&lt;&gt;"))))</f>
        <v/>
      </c>
      <c r="K134" s="54" t="str">
        <f>IF(OR($B134="",$A134&gt;$B$9,K$128=""),"",IF(COUNTIFS(BD!$B$3:$B$5001,K$128,BD!$A$3:$A$5001,"&gt;="&amp;$C$7,BD!$A$3:$A$5001,"&lt;="&amp;$B134,BD!$P$3:$P$5001,"&lt;&gt;")=0,"",SUMIFS(BD!$P$3:$P$5001,BD!$B$3:$B$5001,K$128,BD!$A$3:$A$5001,_xlfn.MAXIFS(BD!$A$3:$A$5001,BD!$B$3:$B$5001,K$128,BD!$A$3:$A$5001,"&gt;="&amp;$C$7,BD!$A$3:$A$5001,"&lt;="&amp;$B134,BD!$P$3:$P$5001,"&lt;&gt;"))))</f>
        <v/>
      </c>
      <c r="L134" s="54" t="str">
        <f>IF(OR($B134="",$A134&gt;$B$9,L$128=""),"",IF(COUNTIFS(BD!$B$3:$B$5001,L$128,BD!$A$3:$A$5001,"&gt;="&amp;$C$7,BD!$A$3:$A$5001,"&lt;="&amp;$B134,BD!$P$3:$P$5001,"&lt;&gt;")=0,"",SUMIFS(BD!$P$3:$P$5001,BD!$B$3:$B$5001,L$128,BD!$A$3:$A$5001,_xlfn.MAXIFS(BD!$A$3:$A$5001,BD!$B$3:$B$5001,L$128,BD!$A$3:$A$5001,"&gt;="&amp;$C$7,BD!$A$3:$A$5001,"&lt;="&amp;$B134,BD!$P$3:$P$5001,"&lt;&gt;"))))</f>
        <v/>
      </c>
      <c r="M134" s="54" t="str">
        <f>IF(OR($B134="",$A134&gt;$B$9,M$128=""),"",IF(COUNTIFS(BD!$B$3:$B$5001,M$128,BD!$A$3:$A$5001,"&gt;="&amp;$C$7,BD!$A$3:$A$5001,"&lt;="&amp;$B134,BD!$P$3:$P$5001,"&lt;&gt;")=0,"",SUMIFS(BD!$P$3:$P$5001,BD!$B$3:$B$5001,M$128,BD!$A$3:$A$5001,_xlfn.MAXIFS(BD!$A$3:$A$5001,BD!$B$3:$B$5001,M$128,BD!$A$3:$A$5001,"&gt;="&amp;$C$7,BD!$A$3:$A$5001,"&lt;="&amp;$B134,BD!$P$3:$P$5001,"&lt;&gt;"))))</f>
        <v/>
      </c>
      <c r="N134" s="54" t="str">
        <f>IF(OR($B134="",$A134&gt;$B$9,N$128=""),"",IF(COUNTIFS(BD!$B$3:$B$5001,N$128,BD!$A$3:$A$5001,"&gt;="&amp;$C$7,BD!$A$3:$A$5001,"&lt;="&amp;$B134,BD!$P$3:$P$5001,"&lt;&gt;")=0,"",SUMIFS(BD!$P$3:$P$5001,BD!$B$3:$B$5001,N$128,BD!$A$3:$A$5001,_xlfn.MAXIFS(BD!$A$3:$A$5001,BD!$B$3:$B$5001,N$128,BD!$A$3:$A$5001,"&gt;="&amp;$C$7,BD!$A$3:$A$5001,"&lt;="&amp;$B134,BD!$P$3:$P$5001,"&lt;&gt;"))))</f>
        <v/>
      </c>
      <c r="O134" s="54" t="str">
        <f>IF(OR($B134="",$A134&gt;$B$9,O$128=""),"",IF(COUNTIFS(BD!$B$3:$B$5001,O$128,BD!$A$3:$A$5001,"&gt;="&amp;$C$7,BD!$A$3:$A$5001,"&lt;="&amp;$B134,BD!$P$3:$P$5001,"&lt;&gt;")=0,"",SUMIFS(BD!$P$3:$P$5001,BD!$B$3:$B$5001,O$128,BD!$A$3:$A$5001,_xlfn.MAXIFS(BD!$A$3:$A$5001,BD!$B$3:$B$5001,O$128,BD!$A$3:$A$5001,"&gt;="&amp;$C$7,BD!$A$3:$A$5001,"&lt;="&amp;$B134,BD!$P$3:$P$5001,"&lt;&gt;"))))</f>
        <v/>
      </c>
      <c r="P134" s="54" t="str">
        <f>IF(OR($B134="",$A134&gt;$B$9,P$128=""),"",IF(COUNTIFS(BD!$B$3:$B$5001,P$128,BD!$A$3:$A$5001,"&gt;="&amp;$C$7,BD!$A$3:$A$5001,"&lt;="&amp;$B134,BD!$P$3:$P$5001,"&lt;&gt;")=0,"",SUMIFS(BD!$P$3:$P$5001,BD!$B$3:$B$5001,P$128,BD!$A$3:$A$5001,_xlfn.MAXIFS(BD!$A$3:$A$5001,BD!$B$3:$B$5001,P$128,BD!$A$3:$A$5001,"&gt;="&amp;$C$7,BD!$A$3:$A$5001,"&lt;="&amp;$B134,BD!$P$3:$P$5001,"&lt;&gt;"))))</f>
        <v/>
      </c>
      <c r="Q134" s="54" t="str">
        <f>IF(OR($B134="",$A134&gt;$B$9,Q$128=""),"",IF(COUNTIFS(BD!$B$3:$B$5001,Q$128,BD!$A$3:$A$5001,"&gt;="&amp;$C$7,BD!$A$3:$A$5001,"&lt;="&amp;$B134,BD!$P$3:$P$5001,"&lt;&gt;")=0,"",SUMIFS(BD!$P$3:$P$5001,BD!$B$3:$B$5001,Q$128,BD!$A$3:$A$5001,_xlfn.MAXIFS(BD!$A$3:$A$5001,BD!$B$3:$B$5001,Q$128,BD!$A$3:$A$5001,"&gt;="&amp;$C$7,BD!$A$3:$A$5001,"&lt;="&amp;$B134,BD!$P$3:$P$5001,"&lt;&gt;"))))</f>
        <v/>
      </c>
      <c r="R134" s="54" t="str">
        <f>IF(OR($B134="",$A134&gt;$B$9,R$128=""),"",IF(COUNTIFS(BD!$B$3:$B$5001,R$128,BD!$A$3:$A$5001,"&gt;="&amp;$C$7,BD!$A$3:$A$5001,"&lt;="&amp;$B134,BD!$P$3:$P$5001,"&lt;&gt;")=0,"",SUMIFS(BD!$P$3:$P$5001,BD!$B$3:$B$5001,R$128,BD!$A$3:$A$5001,_xlfn.MAXIFS(BD!$A$3:$A$5001,BD!$B$3:$B$5001,R$128,BD!$A$3:$A$5001,"&gt;="&amp;$C$7,BD!$A$3:$A$5001,"&lt;="&amp;$B134,BD!$P$3:$P$5001,"&lt;&gt;"))))</f>
        <v/>
      </c>
      <c r="S134" s="54" t="str">
        <f>IF(OR($B134="",$A134&gt;$B$9,S$128=""),"",IF(COUNTIFS(BD!$B$3:$B$5001,S$128,BD!$A$3:$A$5001,"&gt;="&amp;$C$7,BD!$A$3:$A$5001,"&lt;="&amp;$B134,BD!$P$3:$P$5001,"&lt;&gt;")=0,"",SUMIFS(BD!$P$3:$P$5001,BD!$B$3:$B$5001,S$128,BD!$A$3:$A$5001,_xlfn.MAXIFS(BD!$A$3:$A$5001,BD!$B$3:$B$5001,S$128,BD!$A$3:$A$5001,"&gt;="&amp;$C$7,BD!$A$3:$A$5001,"&lt;="&amp;$B134,BD!$P$3:$P$5001,"&lt;&gt;"))))</f>
        <v/>
      </c>
      <c r="T134" s="54" t="str">
        <f>IF(OR($B134="",$A134&gt;$B$9,T$128=""),"",IF(COUNTIFS(BD!$B$3:$B$5001,T$128,BD!$A$3:$A$5001,"&gt;="&amp;$C$7,BD!$A$3:$A$5001,"&lt;="&amp;$B134,BD!$P$3:$P$5001,"&lt;&gt;")=0,"",SUMIFS(BD!$P$3:$P$5001,BD!$B$3:$B$5001,T$128,BD!$A$3:$A$5001,_xlfn.MAXIFS(BD!$A$3:$A$5001,BD!$B$3:$B$5001,T$128,BD!$A$3:$A$5001,"&gt;="&amp;$C$7,BD!$A$3:$A$5001,"&lt;="&amp;$B134,BD!$P$3:$P$5001,"&lt;&gt;"))))</f>
        <v/>
      </c>
      <c r="U134" s="54" t="str">
        <f>IF(OR($B134="",$A134&gt;$B$9,U$128=""),"",IF(COUNTIFS(BD!$B$3:$B$5001,U$128,BD!$A$3:$A$5001,"&gt;="&amp;$C$7,BD!$A$3:$A$5001,"&lt;="&amp;$B134,BD!$P$3:$P$5001,"&lt;&gt;")=0,"",SUMIFS(BD!$P$3:$P$5001,BD!$B$3:$B$5001,U$128,BD!$A$3:$A$5001,_xlfn.MAXIFS(BD!$A$3:$A$5001,BD!$B$3:$B$5001,U$128,BD!$A$3:$A$5001,"&gt;="&amp;$C$7,BD!$A$3:$A$5001,"&lt;="&amp;$B134,BD!$P$3:$P$5001,"&lt;&gt;"))))</f>
        <v/>
      </c>
      <c r="V134" s="54" t="str">
        <f>IF(OR($B134="",$A134&gt;$B$9,V$128=""),"",IF(COUNTIFS(BD!$B$3:$B$5001,V$128,BD!$A$3:$A$5001,"&gt;="&amp;$C$7,BD!$A$3:$A$5001,"&lt;="&amp;$B134,BD!$P$3:$P$5001,"&lt;&gt;")=0,"",SUMIFS(BD!$P$3:$P$5001,BD!$B$3:$B$5001,V$128,BD!$A$3:$A$5001,_xlfn.MAXIFS(BD!$A$3:$A$5001,BD!$B$3:$B$5001,V$128,BD!$A$3:$A$5001,"&gt;="&amp;$C$7,BD!$A$3:$A$5001,"&lt;="&amp;$B134,BD!$P$3:$P$5001,"&lt;&gt;"))))</f>
        <v/>
      </c>
    </row>
    <row r="135">
      <c r="A135" s="48">
        <v>7</v>
      </c>
      <c r="B135" s="53">
        <f>$B$18</f>
        <v>46302</v>
      </c>
      <c r="C135" s="54" t="str">
        <f>IF(OR($B135="",$A135&gt;$B$9,C$128=""),"",IF(COUNTIFS(BD!$B$3:$B$5001,C$128,BD!$A$3:$A$5001,"&gt;="&amp;$C$7,BD!$A$3:$A$5001,"&lt;="&amp;$B135,BD!$P$3:$P$5001,"&lt;&gt;")=0,"",SUMIFS(BD!$P$3:$P$5001,BD!$B$3:$B$5001,C$128,BD!$A$3:$A$5001,_xlfn.MAXIFS(BD!$A$3:$A$5001,BD!$B$3:$B$5001,C$128,BD!$A$3:$A$5001,"&gt;="&amp;$C$7,BD!$A$3:$A$5001,"&lt;="&amp;$B135,BD!$P$3:$P$5001,"&lt;&gt;"))))</f>
        <v/>
      </c>
      <c r="D135" s="54" t="str">
        <f>IF(OR($B135="",$A135&gt;$B$9,D$128=""),"",IF(COUNTIFS(BD!$B$3:$B$5001,D$128,BD!$A$3:$A$5001,"&gt;="&amp;$C$7,BD!$A$3:$A$5001,"&lt;="&amp;$B135,BD!$P$3:$P$5001,"&lt;&gt;")=0,"",SUMIFS(BD!$P$3:$P$5001,BD!$B$3:$B$5001,D$128,BD!$A$3:$A$5001,_xlfn.MAXIFS(BD!$A$3:$A$5001,BD!$B$3:$B$5001,D$128,BD!$A$3:$A$5001,"&gt;="&amp;$C$7,BD!$A$3:$A$5001,"&lt;="&amp;$B135,BD!$P$3:$P$5001,"&lt;&gt;"))))</f>
        <v/>
      </c>
      <c r="E135" s="54" t="str">
        <f>IF(OR($B135="",$A135&gt;$B$9,E$128=""),"",IF(COUNTIFS(BD!$B$3:$B$5001,E$128,BD!$A$3:$A$5001,"&gt;="&amp;$C$7,BD!$A$3:$A$5001,"&lt;="&amp;$B135,BD!$P$3:$P$5001,"&lt;&gt;")=0,"",SUMIFS(BD!$P$3:$P$5001,BD!$B$3:$B$5001,E$128,BD!$A$3:$A$5001,_xlfn.MAXIFS(BD!$A$3:$A$5001,BD!$B$3:$B$5001,E$128,BD!$A$3:$A$5001,"&gt;="&amp;$C$7,BD!$A$3:$A$5001,"&lt;="&amp;$B135,BD!$P$3:$P$5001,"&lt;&gt;"))))</f>
        <v/>
      </c>
      <c r="F135" s="54" t="str">
        <f>IF(OR($B135="",$A135&gt;$B$9,F$128=""),"",IF(COUNTIFS(BD!$B$3:$B$5001,F$128,BD!$A$3:$A$5001,"&gt;="&amp;$C$7,BD!$A$3:$A$5001,"&lt;="&amp;$B135,BD!$P$3:$P$5001,"&lt;&gt;")=0,"",SUMIFS(BD!$P$3:$P$5001,BD!$B$3:$B$5001,F$128,BD!$A$3:$A$5001,_xlfn.MAXIFS(BD!$A$3:$A$5001,BD!$B$3:$B$5001,F$128,BD!$A$3:$A$5001,"&gt;="&amp;$C$7,BD!$A$3:$A$5001,"&lt;="&amp;$B135,BD!$P$3:$P$5001,"&lt;&gt;"))))</f>
        <v/>
      </c>
      <c r="G135" s="54" t="str">
        <f>IF(OR($B135="",$A135&gt;$B$9,G$128=""),"",IF(COUNTIFS(BD!$B$3:$B$5001,G$128,BD!$A$3:$A$5001,"&gt;="&amp;$C$7,BD!$A$3:$A$5001,"&lt;="&amp;$B135,BD!$P$3:$P$5001,"&lt;&gt;")=0,"",SUMIFS(BD!$P$3:$P$5001,BD!$B$3:$B$5001,G$128,BD!$A$3:$A$5001,_xlfn.MAXIFS(BD!$A$3:$A$5001,BD!$B$3:$B$5001,G$128,BD!$A$3:$A$5001,"&gt;="&amp;$C$7,BD!$A$3:$A$5001,"&lt;="&amp;$B135,BD!$P$3:$P$5001,"&lt;&gt;"))))</f>
        <v/>
      </c>
      <c r="H135" s="54" t="str">
        <f>IF(OR($B135="",$A135&gt;$B$9,H$128=""),"",IF(COUNTIFS(BD!$B$3:$B$5001,H$128,BD!$A$3:$A$5001,"&gt;="&amp;$C$7,BD!$A$3:$A$5001,"&lt;="&amp;$B135,BD!$P$3:$P$5001,"&lt;&gt;")=0,"",SUMIFS(BD!$P$3:$P$5001,BD!$B$3:$B$5001,H$128,BD!$A$3:$A$5001,_xlfn.MAXIFS(BD!$A$3:$A$5001,BD!$B$3:$B$5001,H$128,BD!$A$3:$A$5001,"&gt;="&amp;$C$7,BD!$A$3:$A$5001,"&lt;="&amp;$B135,BD!$P$3:$P$5001,"&lt;&gt;"))))</f>
        <v/>
      </c>
      <c r="I135" s="54" t="str">
        <f>IF(OR($B135="",$A135&gt;$B$9,I$128=""),"",IF(COUNTIFS(BD!$B$3:$B$5001,I$128,BD!$A$3:$A$5001,"&gt;="&amp;$C$7,BD!$A$3:$A$5001,"&lt;="&amp;$B135,BD!$P$3:$P$5001,"&lt;&gt;")=0,"",SUMIFS(BD!$P$3:$P$5001,BD!$B$3:$B$5001,I$128,BD!$A$3:$A$5001,_xlfn.MAXIFS(BD!$A$3:$A$5001,BD!$B$3:$B$5001,I$128,BD!$A$3:$A$5001,"&gt;="&amp;$C$7,BD!$A$3:$A$5001,"&lt;="&amp;$B135,BD!$P$3:$P$5001,"&lt;&gt;"))))</f>
        <v/>
      </c>
      <c r="J135" s="54" t="str">
        <f>IF(OR($B135="",$A135&gt;$B$9,J$128=""),"",IF(COUNTIFS(BD!$B$3:$B$5001,J$128,BD!$A$3:$A$5001,"&gt;="&amp;$C$7,BD!$A$3:$A$5001,"&lt;="&amp;$B135,BD!$P$3:$P$5001,"&lt;&gt;")=0,"",SUMIFS(BD!$P$3:$P$5001,BD!$B$3:$B$5001,J$128,BD!$A$3:$A$5001,_xlfn.MAXIFS(BD!$A$3:$A$5001,BD!$B$3:$B$5001,J$128,BD!$A$3:$A$5001,"&gt;="&amp;$C$7,BD!$A$3:$A$5001,"&lt;="&amp;$B135,BD!$P$3:$P$5001,"&lt;&gt;"))))</f>
        <v/>
      </c>
      <c r="K135" s="54" t="str">
        <f>IF(OR($B135="",$A135&gt;$B$9,K$128=""),"",IF(COUNTIFS(BD!$B$3:$B$5001,K$128,BD!$A$3:$A$5001,"&gt;="&amp;$C$7,BD!$A$3:$A$5001,"&lt;="&amp;$B135,BD!$P$3:$P$5001,"&lt;&gt;")=0,"",SUMIFS(BD!$P$3:$P$5001,BD!$B$3:$B$5001,K$128,BD!$A$3:$A$5001,_xlfn.MAXIFS(BD!$A$3:$A$5001,BD!$B$3:$B$5001,K$128,BD!$A$3:$A$5001,"&gt;="&amp;$C$7,BD!$A$3:$A$5001,"&lt;="&amp;$B135,BD!$P$3:$P$5001,"&lt;&gt;"))))</f>
        <v/>
      </c>
      <c r="L135" s="54" t="str">
        <f>IF(OR($B135="",$A135&gt;$B$9,L$128=""),"",IF(COUNTIFS(BD!$B$3:$B$5001,L$128,BD!$A$3:$A$5001,"&gt;="&amp;$C$7,BD!$A$3:$A$5001,"&lt;="&amp;$B135,BD!$P$3:$P$5001,"&lt;&gt;")=0,"",SUMIFS(BD!$P$3:$P$5001,BD!$B$3:$B$5001,L$128,BD!$A$3:$A$5001,_xlfn.MAXIFS(BD!$A$3:$A$5001,BD!$B$3:$B$5001,L$128,BD!$A$3:$A$5001,"&gt;="&amp;$C$7,BD!$A$3:$A$5001,"&lt;="&amp;$B135,BD!$P$3:$P$5001,"&lt;&gt;"))))</f>
        <v/>
      </c>
      <c r="M135" s="54" t="str">
        <f>IF(OR($B135="",$A135&gt;$B$9,M$128=""),"",IF(COUNTIFS(BD!$B$3:$B$5001,M$128,BD!$A$3:$A$5001,"&gt;="&amp;$C$7,BD!$A$3:$A$5001,"&lt;="&amp;$B135,BD!$P$3:$P$5001,"&lt;&gt;")=0,"",SUMIFS(BD!$P$3:$P$5001,BD!$B$3:$B$5001,M$128,BD!$A$3:$A$5001,_xlfn.MAXIFS(BD!$A$3:$A$5001,BD!$B$3:$B$5001,M$128,BD!$A$3:$A$5001,"&gt;="&amp;$C$7,BD!$A$3:$A$5001,"&lt;="&amp;$B135,BD!$P$3:$P$5001,"&lt;&gt;"))))</f>
        <v/>
      </c>
      <c r="N135" s="54" t="str">
        <f>IF(OR($B135="",$A135&gt;$B$9,N$128=""),"",IF(COUNTIFS(BD!$B$3:$B$5001,N$128,BD!$A$3:$A$5001,"&gt;="&amp;$C$7,BD!$A$3:$A$5001,"&lt;="&amp;$B135,BD!$P$3:$P$5001,"&lt;&gt;")=0,"",SUMIFS(BD!$P$3:$P$5001,BD!$B$3:$B$5001,N$128,BD!$A$3:$A$5001,_xlfn.MAXIFS(BD!$A$3:$A$5001,BD!$B$3:$B$5001,N$128,BD!$A$3:$A$5001,"&gt;="&amp;$C$7,BD!$A$3:$A$5001,"&lt;="&amp;$B135,BD!$P$3:$P$5001,"&lt;&gt;"))))</f>
        <v/>
      </c>
      <c r="O135" s="54" t="str">
        <f>IF(OR($B135="",$A135&gt;$B$9,O$128=""),"",IF(COUNTIFS(BD!$B$3:$B$5001,O$128,BD!$A$3:$A$5001,"&gt;="&amp;$C$7,BD!$A$3:$A$5001,"&lt;="&amp;$B135,BD!$P$3:$P$5001,"&lt;&gt;")=0,"",SUMIFS(BD!$P$3:$P$5001,BD!$B$3:$B$5001,O$128,BD!$A$3:$A$5001,_xlfn.MAXIFS(BD!$A$3:$A$5001,BD!$B$3:$B$5001,O$128,BD!$A$3:$A$5001,"&gt;="&amp;$C$7,BD!$A$3:$A$5001,"&lt;="&amp;$B135,BD!$P$3:$P$5001,"&lt;&gt;"))))</f>
        <v/>
      </c>
      <c r="P135" s="54" t="str">
        <f>IF(OR($B135="",$A135&gt;$B$9,P$128=""),"",IF(COUNTIFS(BD!$B$3:$B$5001,P$128,BD!$A$3:$A$5001,"&gt;="&amp;$C$7,BD!$A$3:$A$5001,"&lt;="&amp;$B135,BD!$P$3:$P$5001,"&lt;&gt;")=0,"",SUMIFS(BD!$P$3:$P$5001,BD!$B$3:$B$5001,P$128,BD!$A$3:$A$5001,_xlfn.MAXIFS(BD!$A$3:$A$5001,BD!$B$3:$B$5001,P$128,BD!$A$3:$A$5001,"&gt;="&amp;$C$7,BD!$A$3:$A$5001,"&lt;="&amp;$B135,BD!$P$3:$P$5001,"&lt;&gt;"))))</f>
        <v/>
      </c>
      <c r="Q135" s="54" t="str">
        <f>IF(OR($B135="",$A135&gt;$B$9,Q$128=""),"",IF(COUNTIFS(BD!$B$3:$B$5001,Q$128,BD!$A$3:$A$5001,"&gt;="&amp;$C$7,BD!$A$3:$A$5001,"&lt;="&amp;$B135,BD!$P$3:$P$5001,"&lt;&gt;")=0,"",SUMIFS(BD!$P$3:$P$5001,BD!$B$3:$B$5001,Q$128,BD!$A$3:$A$5001,_xlfn.MAXIFS(BD!$A$3:$A$5001,BD!$B$3:$B$5001,Q$128,BD!$A$3:$A$5001,"&gt;="&amp;$C$7,BD!$A$3:$A$5001,"&lt;="&amp;$B135,BD!$P$3:$P$5001,"&lt;&gt;"))))</f>
        <v/>
      </c>
      <c r="R135" s="54" t="str">
        <f>IF(OR($B135="",$A135&gt;$B$9,R$128=""),"",IF(COUNTIFS(BD!$B$3:$B$5001,R$128,BD!$A$3:$A$5001,"&gt;="&amp;$C$7,BD!$A$3:$A$5001,"&lt;="&amp;$B135,BD!$P$3:$P$5001,"&lt;&gt;")=0,"",SUMIFS(BD!$P$3:$P$5001,BD!$B$3:$B$5001,R$128,BD!$A$3:$A$5001,_xlfn.MAXIFS(BD!$A$3:$A$5001,BD!$B$3:$B$5001,R$128,BD!$A$3:$A$5001,"&gt;="&amp;$C$7,BD!$A$3:$A$5001,"&lt;="&amp;$B135,BD!$P$3:$P$5001,"&lt;&gt;"))))</f>
        <v/>
      </c>
      <c r="S135" s="54" t="str">
        <f>IF(OR($B135="",$A135&gt;$B$9,S$128=""),"",IF(COUNTIFS(BD!$B$3:$B$5001,S$128,BD!$A$3:$A$5001,"&gt;="&amp;$C$7,BD!$A$3:$A$5001,"&lt;="&amp;$B135,BD!$P$3:$P$5001,"&lt;&gt;")=0,"",SUMIFS(BD!$P$3:$P$5001,BD!$B$3:$B$5001,S$128,BD!$A$3:$A$5001,_xlfn.MAXIFS(BD!$A$3:$A$5001,BD!$B$3:$B$5001,S$128,BD!$A$3:$A$5001,"&gt;="&amp;$C$7,BD!$A$3:$A$5001,"&lt;="&amp;$B135,BD!$P$3:$P$5001,"&lt;&gt;"))))</f>
        <v/>
      </c>
      <c r="T135" s="54" t="str">
        <f>IF(OR($B135="",$A135&gt;$B$9,T$128=""),"",IF(COUNTIFS(BD!$B$3:$B$5001,T$128,BD!$A$3:$A$5001,"&gt;="&amp;$C$7,BD!$A$3:$A$5001,"&lt;="&amp;$B135,BD!$P$3:$P$5001,"&lt;&gt;")=0,"",SUMIFS(BD!$P$3:$P$5001,BD!$B$3:$B$5001,T$128,BD!$A$3:$A$5001,_xlfn.MAXIFS(BD!$A$3:$A$5001,BD!$B$3:$B$5001,T$128,BD!$A$3:$A$5001,"&gt;="&amp;$C$7,BD!$A$3:$A$5001,"&lt;="&amp;$B135,BD!$P$3:$P$5001,"&lt;&gt;"))))</f>
        <v/>
      </c>
      <c r="U135" s="54" t="str">
        <f>IF(OR($B135="",$A135&gt;$B$9,U$128=""),"",IF(COUNTIFS(BD!$B$3:$B$5001,U$128,BD!$A$3:$A$5001,"&gt;="&amp;$C$7,BD!$A$3:$A$5001,"&lt;="&amp;$B135,BD!$P$3:$P$5001,"&lt;&gt;")=0,"",SUMIFS(BD!$P$3:$P$5001,BD!$B$3:$B$5001,U$128,BD!$A$3:$A$5001,_xlfn.MAXIFS(BD!$A$3:$A$5001,BD!$B$3:$B$5001,U$128,BD!$A$3:$A$5001,"&gt;="&amp;$C$7,BD!$A$3:$A$5001,"&lt;="&amp;$B135,BD!$P$3:$P$5001,"&lt;&gt;"))))</f>
        <v/>
      </c>
      <c r="V135" s="54" t="str">
        <f>IF(OR($B135="",$A135&gt;$B$9,V$128=""),"",IF(COUNTIFS(BD!$B$3:$B$5001,V$128,BD!$A$3:$A$5001,"&gt;="&amp;$C$7,BD!$A$3:$A$5001,"&lt;="&amp;$B135,BD!$P$3:$P$5001,"&lt;&gt;")=0,"",SUMIFS(BD!$P$3:$P$5001,BD!$B$3:$B$5001,V$128,BD!$A$3:$A$5001,_xlfn.MAXIFS(BD!$A$3:$A$5001,BD!$B$3:$B$5001,V$128,BD!$A$3:$A$5001,"&gt;="&amp;$C$7,BD!$A$3:$A$5001,"&lt;="&amp;$B135,BD!$P$3:$P$5001,"&lt;&gt;"))))</f>
        <v/>
      </c>
    </row>
    <row r="136">
      <c r="A136" s="48">
        <v>8</v>
      </c>
      <c r="B136" s="53">
        <f>$B$19</f>
        <v>46303</v>
      </c>
      <c r="C136" s="54" t="str">
        <f>IF(OR($B136="",$A136&gt;$B$9,C$128=""),"",IF(COUNTIFS(BD!$B$3:$B$5001,C$128,BD!$A$3:$A$5001,"&gt;="&amp;$C$7,BD!$A$3:$A$5001,"&lt;="&amp;$B136,BD!$P$3:$P$5001,"&lt;&gt;")=0,"",SUMIFS(BD!$P$3:$P$5001,BD!$B$3:$B$5001,C$128,BD!$A$3:$A$5001,_xlfn.MAXIFS(BD!$A$3:$A$5001,BD!$B$3:$B$5001,C$128,BD!$A$3:$A$5001,"&gt;="&amp;$C$7,BD!$A$3:$A$5001,"&lt;="&amp;$B136,BD!$P$3:$P$5001,"&lt;&gt;"))))</f>
        <v/>
      </c>
      <c r="D136" s="54" t="str">
        <f>IF(OR($B136="",$A136&gt;$B$9,D$128=""),"",IF(COUNTIFS(BD!$B$3:$B$5001,D$128,BD!$A$3:$A$5001,"&gt;="&amp;$C$7,BD!$A$3:$A$5001,"&lt;="&amp;$B136,BD!$P$3:$P$5001,"&lt;&gt;")=0,"",SUMIFS(BD!$P$3:$P$5001,BD!$B$3:$B$5001,D$128,BD!$A$3:$A$5001,_xlfn.MAXIFS(BD!$A$3:$A$5001,BD!$B$3:$B$5001,D$128,BD!$A$3:$A$5001,"&gt;="&amp;$C$7,BD!$A$3:$A$5001,"&lt;="&amp;$B136,BD!$P$3:$P$5001,"&lt;&gt;"))))</f>
        <v/>
      </c>
      <c r="E136" s="54" t="str">
        <f>IF(OR($B136="",$A136&gt;$B$9,E$128=""),"",IF(COUNTIFS(BD!$B$3:$B$5001,E$128,BD!$A$3:$A$5001,"&gt;="&amp;$C$7,BD!$A$3:$A$5001,"&lt;="&amp;$B136,BD!$P$3:$P$5001,"&lt;&gt;")=0,"",SUMIFS(BD!$P$3:$P$5001,BD!$B$3:$B$5001,E$128,BD!$A$3:$A$5001,_xlfn.MAXIFS(BD!$A$3:$A$5001,BD!$B$3:$B$5001,E$128,BD!$A$3:$A$5001,"&gt;="&amp;$C$7,BD!$A$3:$A$5001,"&lt;="&amp;$B136,BD!$P$3:$P$5001,"&lt;&gt;"))))</f>
        <v/>
      </c>
      <c r="F136" s="54" t="str">
        <f>IF(OR($B136="",$A136&gt;$B$9,F$128=""),"",IF(COUNTIFS(BD!$B$3:$B$5001,F$128,BD!$A$3:$A$5001,"&gt;="&amp;$C$7,BD!$A$3:$A$5001,"&lt;="&amp;$B136,BD!$P$3:$P$5001,"&lt;&gt;")=0,"",SUMIFS(BD!$P$3:$P$5001,BD!$B$3:$B$5001,F$128,BD!$A$3:$A$5001,_xlfn.MAXIFS(BD!$A$3:$A$5001,BD!$B$3:$B$5001,F$128,BD!$A$3:$A$5001,"&gt;="&amp;$C$7,BD!$A$3:$A$5001,"&lt;="&amp;$B136,BD!$P$3:$P$5001,"&lt;&gt;"))))</f>
        <v/>
      </c>
      <c r="G136" s="54" t="str">
        <f>IF(OR($B136="",$A136&gt;$B$9,G$128=""),"",IF(COUNTIFS(BD!$B$3:$B$5001,G$128,BD!$A$3:$A$5001,"&gt;="&amp;$C$7,BD!$A$3:$A$5001,"&lt;="&amp;$B136,BD!$P$3:$P$5001,"&lt;&gt;")=0,"",SUMIFS(BD!$P$3:$P$5001,BD!$B$3:$B$5001,G$128,BD!$A$3:$A$5001,_xlfn.MAXIFS(BD!$A$3:$A$5001,BD!$B$3:$B$5001,G$128,BD!$A$3:$A$5001,"&gt;="&amp;$C$7,BD!$A$3:$A$5001,"&lt;="&amp;$B136,BD!$P$3:$P$5001,"&lt;&gt;"))))</f>
        <v/>
      </c>
      <c r="H136" s="54" t="str">
        <f>IF(OR($B136="",$A136&gt;$B$9,H$128=""),"",IF(COUNTIFS(BD!$B$3:$B$5001,H$128,BD!$A$3:$A$5001,"&gt;="&amp;$C$7,BD!$A$3:$A$5001,"&lt;="&amp;$B136,BD!$P$3:$P$5001,"&lt;&gt;")=0,"",SUMIFS(BD!$P$3:$P$5001,BD!$B$3:$B$5001,H$128,BD!$A$3:$A$5001,_xlfn.MAXIFS(BD!$A$3:$A$5001,BD!$B$3:$B$5001,H$128,BD!$A$3:$A$5001,"&gt;="&amp;$C$7,BD!$A$3:$A$5001,"&lt;="&amp;$B136,BD!$P$3:$P$5001,"&lt;&gt;"))))</f>
        <v/>
      </c>
      <c r="I136" s="54" t="str">
        <f>IF(OR($B136="",$A136&gt;$B$9,I$128=""),"",IF(COUNTIFS(BD!$B$3:$B$5001,I$128,BD!$A$3:$A$5001,"&gt;="&amp;$C$7,BD!$A$3:$A$5001,"&lt;="&amp;$B136,BD!$P$3:$P$5001,"&lt;&gt;")=0,"",SUMIFS(BD!$P$3:$P$5001,BD!$B$3:$B$5001,I$128,BD!$A$3:$A$5001,_xlfn.MAXIFS(BD!$A$3:$A$5001,BD!$B$3:$B$5001,I$128,BD!$A$3:$A$5001,"&gt;="&amp;$C$7,BD!$A$3:$A$5001,"&lt;="&amp;$B136,BD!$P$3:$P$5001,"&lt;&gt;"))))</f>
        <v/>
      </c>
      <c r="J136" s="54" t="str">
        <f>IF(OR($B136="",$A136&gt;$B$9,J$128=""),"",IF(COUNTIFS(BD!$B$3:$B$5001,J$128,BD!$A$3:$A$5001,"&gt;="&amp;$C$7,BD!$A$3:$A$5001,"&lt;="&amp;$B136,BD!$P$3:$P$5001,"&lt;&gt;")=0,"",SUMIFS(BD!$P$3:$P$5001,BD!$B$3:$B$5001,J$128,BD!$A$3:$A$5001,_xlfn.MAXIFS(BD!$A$3:$A$5001,BD!$B$3:$B$5001,J$128,BD!$A$3:$A$5001,"&gt;="&amp;$C$7,BD!$A$3:$A$5001,"&lt;="&amp;$B136,BD!$P$3:$P$5001,"&lt;&gt;"))))</f>
        <v/>
      </c>
      <c r="K136" s="54" t="str">
        <f>IF(OR($B136="",$A136&gt;$B$9,K$128=""),"",IF(COUNTIFS(BD!$B$3:$B$5001,K$128,BD!$A$3:$A$5001,"&gt;="&amp;$C$7,BD!$A$3:$A$5001,"&lt;="&amp;$B136,BD!$P$3:$P$5001,"&lt;&gt;")=0,"",SUMIFS(BD!$P$3:$P$5001,BD!$B$3:$B$5001,K$128,BD!$A$3:$A$5001,_xlfn.MAXIFS(BD!$A$3:$A$5001,BD!$B$3:$B$5001,K$128,BD!$A$3:$A$5001,"&gt;="&amp;$C$7,BD!$A$3:$A$5001,"&lt;="&amp;$B136,BD!$P$3:$P$5001,"&lt;&gt;"))))</f>
        <v/>
      </c>
      <c r="L136" s="54" t="str">
        <f>IF(OR($B136="",$A136&gt;$B$9,L$128=""),"",IF(COUNTIFS(BD!$B$3:$B$5001,L$128,BD!$A$3:$A$5001,"&gt;="&amp;$C$7,BD!$A$3:$A$5001,"&lt;="&amp;$B136,BD!$P$3:$P$5001,"&lt;&gt;")=0,"",SUMIFS(BD!$P$3:$P$5001,BD!$B$3:$B$5001,L$128,BD!$A$3:$A$5001,_xlfn.MAXIFS(BD!$A$3:$A$5001,BD!$B$3:$B$5001,L$128,BD!$A$3:$A$5001,"&gt;="&amp;$C$7,BD!$A$3:$A$5001,"&lt;="&amp;$B136,BD!$P$3:$P$5001,"&lt;&gt;"))))</f>
        <v/>
      </c>
      <c r="M136" s="54" t="str">
        <f>IF(OR($B136="",$A136&gt;$B$9,M$128=""),"",IF(COUNTIFS(BD!$B$3:$B$5001,M$128,BD!$A$3:$A$5001,"&gt;="&amp;$C$7,BD!$A$3:$A$5001,"&lt;="&amp;$B136,BD!$P$3:$P$5001,"&lt;&gt;")=0,"",SUMIFS(BD!$P$3:$P$5001,BD!$B$3:$B$5001,M$128,BD!$A$3:$A$5001,_xlfn.MAXIFS(BD!$A$3:$A$5001,BD!$B$3:$B$5001,M$128,BD!$A$3:$A$5001,"&gt;="&amp;$C$7,BD!$A$3:$A$5001,"&lt;="&amp;$B136,BD!$P$3:$P$5001,"&lt;&gt;"))))</f>
        <v/>
      </c>
      <c r="N136" s="54" t="str">
        <f>IF(OR($B136="",$A136&gt;$B$9,N$128=""),"",IF(COUNTIFS(BD!$B$3:$B$5001,N$128,BD!$A$3:$A$5001,"&gt;="&amp;$C$7,BD!$A$3:$A$5001,"&lt;="&amp;$B136,BD!$P$3:$P$5001,"&lt;&gt;")=0,"",SUMIFS(BD!$P$3:$P$5001,BD!$B$3:$B$5001,N$128,BD!$A$3:$A$5001,_xlfn.MAXIFS(BD!$A$3:$A$5001,BD!$B$3:$B$5001,N$128,BD!$A$3:$A$5001,"&gt;="&amp;$C$7,BD!$A$3:$A$5001,"&lt;="&amp;$B136,BD!$P$3:$P$5001,"&lt;&gt;"))))</f>
        <v/>
      </c>
      <c r="O136" s="54" t="str">
        <f>IF(OR($B136="",$A136&gt;$B$9,O$128=""),"",IF(COUNTIFS(BD!$B$3:$B$5001,O$128,BD!$A$3:$A$5001,"&gt;="&amp;$C$7,BD!$A$3:$A$5001,"&lt;="&amp;$B136,BD!$P$3:$P$5001,"&lt;&gt;")=0,"",SUMIFS(BD!$P$3:$P$5001,BD!$B$3:$B$5001,O$128,BD!$A$3:$A$5001,_xlfn.MAXIFS(BD!$A$3:$A$5001,BD!$B$3:$B$5001,O$128,BD!$A$3:$A$5001,"&gt;="&amp;$C$7,BD!$A$3:$A$5001,"&lt;="&amp;$B136,BD!$P$3:$P$5001,"&lt;&gt;"))))</f>
        <v/>
      </c>
      <c r="P136" s="54" t="str">
        <f>IF(OR($B136="",$A136&gt;$B$9,P$128=""),"",IF(COUNTIFS(BD!$B$3:$B$5001,P$128,BD!$A$3:$A$5001,"&gt;="&amp;$C$7,BD!$A$3:$A$5001,"&lt;="&amp;$B136,BD!$P$3:$P$5001,"&lt;&gt;")=0,"",SUMIFS(BD!$P$3:$P$5001,BD!$B$3:$B$5001,P$128,BD!$A$3:$A$5001,_xlfn.MAXIFS(BD!$A$3:$A$5001,BD!$B$3:$B$5001,P$128,BD!$A$3:$A$5001,"&gt;="&amp;$C$7,BD!$A$3:$A$5001,"&lt;="&amp;$B136,BD!$P$3:$P$5001,"&lt;&gt;"))))</f>
        <v/>
      </c>
      <c r="Q136" s="54" t="str">
        <f>IF(OR($B136="",$A136&gt;$B$9,Q$128=""),"",IF(COUNTIFS(BD!$B$3:$B$5001,Q$128,BD!$A$3:$A$5001,"&gt;="&amp;$C$7,BD!$A$3:$A$5001,"&lt;="&amp;$B136,BD!$P$3:$P$5001,"&lt;&gt;")=0,"",SUMIFS(BD!$P$3:$P$5001,BD!$B$3:$B$5001,Q$128,BD!$A$3:$A$5001,_xlfn.MAXIFS(BD!$A$3:$A$5001,BD!$B$3:$B$5001,Q$128,BD!$A$3:$A$5001,"&gt;="&amp;$C$7,BD!$A$3:$A$5001,"&lt;="&amp;$B136,BD!$P$3:$P$5001,"&lt;&gt;"))))</f>
        <v/>
      </c>
      <c r="R136" s="54" t="str">
        <f>IF(OR($B136="",$A136&gt;$B$9,R$128=""),"",IF(COUNTIFS(BD!$B$3:$B$5001,R$128,BD!$A$3:$A$5001,"&gt;="&amp;$C$7,BD!$A$3:$A$5001,"&lt;="&amp;$B136,BD!$P$3:$P$5001,"&lt;&gt;")=0,"",SUMIFS(BD!$P$3:$P$5001,BD!$B$3:$B$5001,R$128,BD!$A$3:$A$5001,_xlfn.MAXIFS(BD!$A$3:$A$5001,BD!$B$3:$B$5001,R$128,BD!$A$3:$A$5001,"&gt;="&amp;$C$7,BD!$A$3:$A$5001,"&lt;="&amp;$B136,BD!$P$3:$P$5001,"&lt;&gt;"))))</f>
        <v/>
      </c>
      <c r="S136" s="54" t="str">
        <f>IF(OR($B136="",$A136&gt;$B$9,S$128=""),"",IF(COUNTIFS(BD!$B$3:$B$5001,S$128,BD!$A$3:$A$5001,"&gt;="&amp;$C$7,BD!$A$3:$A$5001,"&lt;="&amp;$B136,BD!$P$3:$P$5001,"&lt;&gt;")=0,"",SUMIFS(BD!$P$3:$P$5001,BD!$B$3:$B$5001,S$128,BD!$A$3:$A$5001,_xlfn.MAXIFS(BD!$A$3:$A$5001,BD!$B$3:$B$5001,S$128,BD!$A$3:$A$5001,"&gt;="&amp;$C$7,BD!$A$3:$A$5001,"&lt;="&amp;$B136,BD!$P$3:$P$5001,"&lt;&gt;"))))</f>
        <v/>
      </c>
      <c r="T136" s="54" t="str">
        <f>IF(OR($B136="",$A136&gt;$B$9,T$128=""),"",IF(COUNTIFS(BD!$B$3:$B$5001,T$128,BD!$A$3:$A$5001,"&gt;="&amp;$C$7,BD!$A$3:$A$5001,"&lt;="&amp;$B136,BD!$P$3:$P$5001,"&lt;&gt;")=0,"",SUMIFS(BD!$P$3:$P$5001,BD!$B$3:$B$5001,T$128,BD!$A$3:$A$5001,_xlfn.MAXIFS(BD!$A$3:$A$5001,BD!$B$3:$B$5001,T$128,BD!$A$3:$A$5001,"&gt;="&amp;$C$7,BD!$A$3:$A$5001,"&lt;="&amp;$B136,BD!$P$3:$P$5001,"&lt;&gt;"))))</f>
        <v/>
      </c>
      <c r="U136" s="54" t="str">
        <f>IF(OR($B136="",$A136&gt;$B$9,U$128=""),"",IF(COUNTIFS(BD!$B$3:$B$5001,U$128,BD!$A$3:$A$5001,"&gt;="&amp;$C$7,BD!$A$3:$A$5001,"&lt;="&amp;$B136,BD!$P$3:$P$5001,"&lt;&gt;")=0,"",SUMIFS(BD!$P$3:$P$5001,BD!$B$3:$B$5001,U$128,BD!$A$3:$A$5001,_xlfn.MAXIFS(BD!$A$3:$A$5001,BD!$B$3:$B$5001,U$128,BD!$A$3:$A$5001,"&gt;="&amp;$C$7,BD!$A$3:$A$5001,"&lt;="&amp;$B136,BD!$P$3:$P$5001,"&lt;&gt;"))))</f>
        <v/>
      </c>
      <c r="V136" s="54" t="str">
        <f>IF(OR($B136="",$A136&gt;$B$9,V$128=""),"",IF(COUNTIFS(BD!$B$3:$B$5001,V$128,BD!$A$3:$A$5001,"&gt;="&amp;$C$7,BD!$A$3:$A$5001,"&lt;="&amp;$B136,BD!$P$3:$P$5001,"&lt;&gt;")=0,"",SUMIFS(BD!$P$3:$P$5001,BD!$B$3:$B$5001,V$128,BD!$A$3:$A$5001,_xlfn.MAXIFS(BD!$A$3:$A$5001,BD!$B$3:$B$5001,V$128,BD!$A$3:$A$5001,"&gt;="&amp;$C$7,BD!$A$3:$A$5001,"&lt;="&amp;$B136,BD!$P$3:$P$5001,"&lt;&gt;"))))</f>
        <v/>
      </c>
    </row>
    <row r="137">
      <c r="A137" s="48">
        <v>9</v>
      </c>
      <c r="B137" s="53">
        <f>$B$20</f>
        <v>46304</v>
      </c>
      <c r="C137" s="54" t="str">
        <f>IF(OR($B137="",$A137&gt;$B$9,C$128=""),"",IF(COUNTIFS(BD!$B$3:$B$5001,C$128,BD!$A$3:$A$5001,"&gt;="&amp;$C$7,BD!$A$3:$A$5001,"&lt;="&amp;$B137,BD!$P$3:$P$5001,"&lt;&gt;")=0,"",SUMIFS(BD!$P$3:$P$5001,BD!$B$3:$B$5001,C$128,BD!$A$3:$A$5001,_xlfn.MAXIFS(BD!$A$3:$A$5001,BD!$B$3:$B$5001,C$128,BD!$A$3:$A$5001,"&gt;="&amp;$C$7,BD!$A$3:$A$5001,"&lt;="&amp;$B137,BD!$P$3:$P$5001,"&lt;&gt;"))))</f>
        <v/>
      </c>
      <c r="D137" s="54" t="str">
        <f>IF(OR($B137="",$A137&gt;$B$9,D$128=""),"",IF(COUNTIFS(BD!$B$3:$B$5001,D$128,BD!$A$3:$A$5001,"&gt;="&amp;$C$7,BD!$A$3:$A$5001,"&lt;="&amp;$B137,BD!$P$3:$P$5001,"&lt;&gt;")=0,"",SUMIFS(BD!$P$3:$P$5001,BD!$B$3:$B$5001,D$128,BD!$A$3:$A$5001,_xlfn.MAXIFS(BD!$A$3:$A$5001,BD!$B$3:$B$5001,D$128,BD!$A$3:$A$5001,"&gt;="&amp;$C$7,BD!$A$3:$A$5001,"&lt;="&amp;$B137,BD!$P$3:$P$5001,"&lt;&gt;"))))</f>
        <v/>
      </c>
      <c r="E137" s="54" t="str">
        <f>IF(OR($B137="",$A137&gt;$B$9,E$128=""),"",IF(COUNTIFS(BD!$B$3:$B$5001,E$128,BD!$A$3:$A$5001,"&gt;="&amp;$C$7,BD!$A$3:$A$5001,"&lt;="&amp;$B137,BD!$P$3:$P$5001,"&lt;&gt;")=0,"",SUMIFS(BD!$P$3:$P$5001,BD!$B$3:$B$5001,E$128,BD!$A$3:$A$5001,_xlfn.MAXIFS(BD!$A$3:$A$5001,BD!$B$3:$B$5001,E$128,BD!$A$3:$A$5001,"&gt;="&amp;$C$7,BD!$A$3:$A$5001,"&lt;="&amp;$B137,BD!$P$3:$P$5001,"&lt;&gt;"))))</f>
        <v/>
      </c>
      <c r="F137" s="54" t="str">
        <f>IF(OR($B137="",$A137&gt;$B$9,F$128=""),"",IF(COUNTIFS(BD!$B$3:$B$5001,F$128,BD!$A$3:$A$5001,"&gt;="&amp;$C$7,BD!$A$3:$A$5001,"&lt;="&amp;$B137,BD!$P$3:$P$5001,"&lt;&gt;")=0,"",SUMIFS(BD!$P$3:$P$5001,BD!$B$3:$B$5001,F$128,BD!$A$3:$A$5001,_xlfn.MAXIFS(BD!$A$3:$A$5001,BD!$B$3:$B$5001,F$128,BD!$A$3:$A$5001,"&gt;="&amp;$C$7,BD!$A$3:$A$5001,"&lt;="&amp;$B137,BD!$P$3:$P$5001,"&lt;&gt;"))))</f>
        <v/>
      </c>
      <c r="G137" s="54" t="str">
        <f>IF(OR($B137="",$A137&gt;$B$9,G$128=""),"",IF(COUNTIFS(BD!$B$3:$B$5001,G$128,BD!$A$3:$A$5001,"&gt;="&amp;$C$7,BD!$A$3:$A$5001,"&lt;="&amp;$B137,BD!$P$3:$P$5001,"&lt;&gt;")=0,"",SUMIFS(BD!$P$3:$P$5001,BD!$B$3:$B$5001,G$128,BD!$A$3:$A$5001,_xlfn.MAXIFS(BD!$A$3:$A$5001,BD!$B$3:$B$5001,G$128,BD!$A$3:$A$5001,"&gt;="&amp;$C$7,BD!$A$3:$A$5001,"&lt;="&amp;$B137,BD!$P$3:$P$5001,"&lt;&gt;"))))</f>
        <v/>
      </c>
      <c r="H137" s="54" t="str">
        <f>IF(OR($B137="",$A137&gt;$B$9,H$128=""),"",IF(COUNTIFS(BD!$B$3:$B$5001,H$128,BD!$A$3:$A$5001,"&gt;="&amp;$C$7,BD!$A$3:$A$5001,"&lt;="&amp;$B137,BD!$P$3:$P$5001,"&lt;&gt;")=0,"",SUMIFS(BD!$P$3:$P$5001,BD!$B$3:$B$5001,H$128,BD!$A$3:$A$5001,_xlfn.MAXIFS(BD!$A$3:$A$5001,BD!$B$3:$B$5001,H$128,BD!$A$3:$A$5001,"&gt;="&amp;$C$7,BD!$A$3:$A$5001,"&lt;="&amp;$B137,BD!$P$3:$P$5001,"&lt;&gt;"))))</f>
        <v/>
      </c>
      <c r="I137" s="54" t="str">
        <f>IF(OR($B137="",$A137&gt;$B$9,I$128=""),"",IF(COUNTIFS(BD!$B$3:$B$5001,I$128,BD!$A$3:$A$5001,"&gt;="&amp;$C$7,BD!$A$3:$A$5001,"&lt;="&amp;$B137,BD!$P$3:$P$5001,"&lt;&gt;")=0,"",SUMIFS(BD!$P$3:$P$5001,BD!$B$3:$B$5001,I$128,BD!$A$3:$A$5001,_xlfn.MAXIFS(BD!$A$3:$A$5001,BD!$B$3:$B$5001,I$128,BD!$A$3:$A$5001,"&gt;="&amp;$C$7,BD!$A$3:$A$5001,"&lt;="&amp;$B137,BD!$P$3:$P$5001,"&lt;&gt;"))))</f>
        <v/>
      </c>
      <c r="J137" s="54" t="str">
        <f>IF(OR($B137="",$A137&gt;$B$9,J$128=""),"",IF(COUNTIFS(BD!$B$3:$B$5001,J$128,BD!$A$3:$A$5001,"&gt;="&amp;$C$7,BD!$A$3:$A$5001,"&lt;="&amp;$B137,BD!$P$3:$P$5001,"&lt;&gt;")=0,"",SUMIFS(BD!$P$3:$P$5001,BD!$B$3:$B$5001,J$128,BD!$A$3:$A$5001,_xlfn.MAXIFS(BD!$A$3:$A$5001,BD!$B$3:$B$5001,J$128,BD!$A$3:$A$5001,"&gt;="&amp;$C$7,BD!$A$3:$A$5001,"&lt;="&amp;$B137,BD!$P$3:$P$5001,"&lt;&gt;"))))</f>
        <v/>
      </c>
      <c r="K137" s="54" t="str">
        <f>IF(OR($B137="",$A137&gt;$B$9,K$128=""),"",IF(COUNTIFS(BD!$B$3:$B$5001,K$128,BD!$A$3:$A$5001,"&gt;="&amp;$C$7,BD!$A$3:$A$5001,"&lt;="&amp;$B137,BD!$P$3:$P$5001,"&lt;&gt;")=0,"",SUMIFS(BD!$P$3:$P$5001,BD!$B$3:$B$5001,K$128,BD!$A$3:$A$5001,_xlfn.MAXIFS(BD!$A$3:$A$5001,BD!$B$3:$B$5001,K$128,BD!$A$3:$A$5001,"&gt;="&amp;$C$7,BD!$A$3:$A$5001,"&lt;="&amp;$B137,BD!$P$3:$P$5001,"&lt;&gt;"))))</f>
        <v/>
      </c>
      <c r="L137" s="54" t="str">
        <f>IF(OR($B137="",$A137&gt;$B$9,L$128=""),"",IF(COUNTIFS(BD!$B$3:$B$5001,L$128,BD!$A$3:$A$5001,"&gt;="&amp;$C$7,BD!$A$3:$A$5001,"&lt;="&amp;$B137,BD!$P$3:$P$5001,"&lt;&gt;")=0,"",SUMIFS(BD!$P$3:$P$5001,BD!$B$3:$B$5001,L$128,BD!$A$3:$A$5001,_xlfn.MAXIFS(BD!$A$3:$A$5001,BD!$B$3:$B$5001,L$128,BD!$A$3:$A$5001,"&gt;="&amp;$C$7,BD!$A$3:$A$5001,"&lt;="&amp;$B137,BD!$P$3:$P$5001,"&lt;&gt;"))))</f>
        <v/>
      </c>
      <c r="M137" s="54" t="str">
        <f>IF(OR($B137="",$A137&gt;$B$9,M$128=""),"",IF(COUNTIFS(BD!$B$3:$B$5001,M$128,BD!$A$3:$A$5001,"&gt;="&amp;$C$7,BD!$A$3:$A$5001,"&lt;="&amp;$B137,BD!$P$3:$P$5001,"&lt;&gt;")=0,"",SUMIFS(BD!$P$3:$P$5001,BD!$B$3:$B$5001,M$128,BD!$A$3:$A$5001,_xlfn.MAXIFS(BD!$A$3:$A$5001,BD!$B$3:$B$5001,M$128,BD!$A$3:$A$5001,"&gt;="&amp;$C$7,BD!$A$3:$A$5001,"&lt;="&amp;$B137,BD!$P$3:$P$5001,"&lt;&gt;"))))</f>
        <v/>
      </c>
      <c r="N137" s="54" t="str">
        <f>IF(OR($B137="",$A137&gt;$B$9,N$128=""),"",IF(COUNTIFS(BD!$B$3:$B$5001,N$128,BD!$A$3:$A$5001,"&gt;="&amp;$C$7,BD!$A$3:$A$5001,"&lt;="&amp;$B137,BD!$P$3:$P$5001,"&lt;&gt;")=0,"",SUMIFS(BD!$P$3:$P$5001,BD!$B$3:$B$5001,N$128,BD!$A$3:$A$5001,_xlfn.MAXIFS(BD!$A$3:$A$5001,BD!$B$3:$B$5001,N$128,BD!$A$3:$A$5001,"&gt;="&amp;$C$7,BD!$A$3:$A$5001,"&lt;="&amp;$B137,BD!$P$3:$P$5001,"&lt;&gt;"))))</f>
        <v/>
      </c>
      <c r="O137" s="54" t="str">
        <f>IF(OR($B137="",$A137&gt;$B$9,O$128=""),"",IF(COUNTIFS(BD!$B$3:$B$5001,O$128,BD!$A$3:$A$5001,"&gt;="&amp;$C$7,BD!$A$3:$A$5001,"&lt;="&amp;$B137,BD!$P$3:$P$5001,"&lt;&gt;")=0,"",SUMIFS(BD!$P$3:$P$5001,BD!$B$3:$B$5001,O$128,BD!$A$3:$A$5001,_xlfn.MAXIFS(BD!$A$3:$A$5001,BD!$B$3:$B$5001,O$128,BD!$A$3:$A$5001,"&gt;="&amp;$C$7,BD!$A$3:$A$5001,"&lt;="&amp;$B137,BD!$P$3:$P$5001,"&lt;&gt;"))))</f>
        <v/>
      </c>
      <c r="P137" s="54" t="str">
        <f>IF(OR($B137="",$A137&gt;$B$9,P$128=""),"",IF(COUNTIFS(BD!$B$3:$B$5001,P$128,BD!$A$3:$A$5001,"&gt;="&amp;$C$7,BD!$A$3:$A$5001,"&lt;="&amp;$B137,BD!$P$3:$P$5001,"&lt;&gt;")=0,"",SUMIFS(BD!$P$3:$P$5001,BD!$B$3:$B$5001,P$128,BD!$A$3:$A$5001,_xlfn.MAXIFS(BD!$A$3:$A$5001,BD!$B$3:$B$5001,P$128,BD!$A$3:$A$5001,"&gt;="&amp;$C$7,BD!$A$3:$A$5001,"&lt;="&amp;$B137,BD!$P$3:$P$5001,"&lt;&gt;"))))</f>
        <v/>
      </c>
      <c r="Q137" s="54" t="str">
        <f>IF(OR($B137="",$A137&gt;$B$9,Q$128=""),"",IF(COUNTIFS(BD!$B$3:$B$5001,Q$128,BD!$A$3:$A$5001,"&gt;="&amp;$C$7,BD!$A$3:$A$5001,"&lt;="&amp;$B137,BD!$P$3:$P$5001,"&lt;&gt;")=0,"",SUMIFS(BD!$P$3:$P$5001,BD!$B$3:$B$5001,Q$128,BD!$A$3:$A$5001,_xlfn.MAXIFS(BD!$A$3:$A$5001,BD!$B$3:$B$5001,Q$128,BD!$A$3:$A$5001,"&gt;="&amp;$C$7,BD!$A$3:$A$5001,"&lt;="&amp;$B137,BD!$P$3:$P$5001,"&lt;&gt;"))))</f>
        <v/>
      </c>
      <c r="R137" s="54" t="str">
        <f>IF(OR($B137="",$A137&gt;$B$9,R$128=""),"",IF(COUNTIFS(BD!$B$3:$B$5001,R$128,BD!$A$3:$A$5001,"&gt;="&amp;$C$7,BD!$A$3:$A$5001,"&lt;="&amp;$B137,BD!$P$3:$P$5001,"&lt;&gt;")=0,"",SUMIFS(BD!$P$3:$P$5001,BD!$B$3:$B$5001,R$128,BD!$A$3:$A$5001,_xlfn.MAXIFS(BD!$A$3:$A$5001,BD!$B$3:$B$5001,R$128,BD!$A$3:$A$5001,"&gt;="&amp;$C$7,BD!$A$3:$A$5001,"&lt;="&amp;$B137,BD!$P$3:$P$5001,"&lt;&gt;"))))</f>
        <v/>
      </c>
      <c r="S137" s="54" t="str">
        <f>IF(OR($B137="",$A137&gt;$B$9,S$128=""),"",IF(COUNTIFS(BD!$B$3:$B$5001,S$128,BD!$A$3:$A$5001,"&gt;="&amp;$C$7,BD!$A$3:$A$5001,"&lt;="&amp;$B137,BD!$P$3:$P$5001,"&lt;&gt;")=0,"",SUMIFS(BD!$P$3:$P$5001,BD!$B$3:$B$5001,S$128,BD!$A$3:$A$5001,_xlfn.MAXIFS(BD!$A$3:$A$5001,BD!$B$3:$B$5001,S$128,BD!$A$3:$A$5001,"&gt;="&amp;$C$7,BD!$A$3:$A$5001,"&lt;="&amp;$B137,BD!$P$3:$P$5001,"&lt;&gt;"))))</f>
        <v/>
      </c>
      <c r="T137" s="54" t="str">
        <f>IF(OR($B137="",$A137&gt;$B$9,T$128=""),"",IF(COUNTIFS(BD!$B$3:$B$5001,T$128,BD!$A$3:$A$5001,"&gt;="&amp;$C$7,BD!$A$3:$A$5001,"&lt;="&amp;$B137,BD!$P$3:$P$5001,"&lt;&gt;")=0,"",SUMIFS(BD!$P$3:$P$5001,BD!$B$3:$B$5001,T$128,BD!$A$3:$A$5001,_xlfn.MAXIFS(BD!$A$3:$A$5001,BD!$B$3:$B$5001,T$128,BD!$A$3:$A$5001,"&gt;="&amp;$C$7,BD!$A$3:$A$5001,"&lt;="&amp;$B137,BD!$P$3:$P$5001,"&lt;&gt;"))))</f>
        <v/>
      </c>
      <c r="U137" s="54" t="str">
        <f>IF(OR($B137="",$A137&gt;$B$9,U$128=""),"",IF(COUNTIFS(BD!$B$3:$B$5001,U$128,BD!$A$3:$A$5001,"&gt;="&amp;$C$7,BD!$A$3:$A$5001,"&lt;="&amp;$B137,BD!$P$3:$P$5001,"&lt;&gt;")=0,"",SUMIFS(BD!$P$3:$P$5001,BD!$B$3:$B$5001,U$128,BD!$A$3:$A$5001,_xlfn.MAXIFS(BD!$A$3:$A$5001,BD!$B$3:$B$5001,U$128,BD!$A$3:$A$5001,"&gt;="&amp;$C$7,BD!$A$3:$A$5001,"&lt;="&amp;$B137,BD!$P$3:$P$5001,"&lt;&gt;"))))</f>
        <v/>
      </c>
      <c r="V137" s="54" t="str">
        <f>IF(OR($B137="",$A137&gt;$B$9,V$128=""),"",IF(COUNTIFS(BD!$B$3:$B$5001,V$128,BD!$A$3:$A$5001,"&gt;="&amp;$C$7,BD!$A$3:$A$5001,"&lt;="&amp;$B137,BD!$P$3:$P$5001,"&lt;&gt;")=0,"",SUMIFS(BD!$P$3:$P$5001,BD!$B$3:$B$5001,V$128,BD!$A$3:$A$5001,_xlfn.MAXIFS(BD!$A$3:$A$5001,BD!$B$3:$B$5001,V$128,BD!$A$3:$A$5001,"&gt;="&amp;$C$7,BD!$A$3:$A$5001,"&lt;="&amp;$B137,BD!$P$3:$P$5001,"&lt;&gt;"))))</f>
        <v/>
      </c>
    </row>
    <row r="138">
      <c r="A138" s="48">
        <v>10</v>
      </c>
      <c r="B138" s="53">
        <f>$B$21</f>
        <v>46305</v>
      </c>
      <c r="C138" s="54" t="str">
        <f>IF(OR($B138="",$A138&gt;$B$9,C$128=""),"",IF(COUNTIFS(BD!$B$3:$B$5001,C$128,BD!$A$3:$A$5001,"&gt;="&amp;$C$7,BD!$A$3:$A$5001,"&lt;="&amp;$B138,BD!$P$3:$P$5001,"&lt;&gt;")=0,"",SUMIFS(BD!$P$3:$P$5001,BD!$B$3:$B$5001,C$128,BD!$A$3:$A$5001,_xlfn.MAXIFS(BD!$A$3:$A$5001,BD!$B$3:$B$5001,C$128,BD!$A$3:$A$5001,"&gt;="&amp;$C$7,BD!$A$3:$A$5001,"&lt;="&amp;$B138,BD!$P$3:$P$5001,"&lt;&gt;"))))</f>
        <v/>
      </c>
      <c r="D138" s="54" t="str">
        <f>IF(OR($B138="",$A138&gt;$B$9,D$128=""),"",IF(COUNTIFS(BD!$B$3:$B$5001,D$128,BD!$A$3:$A$5001,"&gt;="&amp;$C$7,BD!$A$3:$A$5001,"&lt;="&amp;$B138,BD!$P$3:$P$5001,"&lt;&gt;")=0,"",SUMIFS(BD!$P$3:$P$5001,BD!$B$3:$B$5001,D$128,BD!$A$3:$A$5001,_xlfn.MAXIFS(BD!$A$3:$A$5001,BD!$B$3:$B$5001,D$128,BD!$A$3:$A$5001,"&gt;="&amp;$C$7,BD!$A$3:$A$5001,"&lt;="&amp;$B138,BD!$P$3:$P$5001,"&lt;&gt;"))))</f>
        <v/>
      </c>
      <c r="E138" s="54" t="str">
        <f>IF(OR($B138="",$A138&gt;$B$9,E$128=""),"",IF(COUNTIFS(BD!$B$3:$B$5001,E$128,BD!$A$3:$A$5001,"&gt;="&amp;$C$7,BD!$A$3:$A$5001,"&lt;="&amp;$B138,BD!$P$3:$P$5001,"&lt;&gt;")=0,"",SUMIFS(BD!$P$3:$P$5001,BD!$B$3:$B$5001,E$128,BD!$A$3:$A$5001,_xlfn.MAXIFS(BD!$A$3:$A$5001,BD!$B$3:$B$5001,E$128,BD!$A$3:$A$5001,"&gt;="&amp;$C$7,BD!$A$3:$A$5001,"&lt;="&amp;$B138,BD!$P$3:$P$5001,"&lt;&gt;"))))</f>
        <v/>
      </c>
      <c r="F138" s="54" t="str">
        <f>IF(OR($B138="",$A138&gt;$B$9,F$128=""),"",IF(COUNTIFS(BD!$B$3:$B$5001,F$128,BD!$A$3:$A$5001,"&gt;="&amp;$C$7,BD!$A$3:$A$5001,"&lt;="&amp;$B138,BD!$P$3:$P$5001,"&lt;&gt;")=0,"",SUMIFS(BD!$P$3:$P$5001,BD!$B$3:$B$5001,F$128,BD!$A$3:$A$5001,_xlfn.MAXIFS(BD!$A$3:$A$5001,BD!$B$3:$B$5001,F$128,BD!$A$3:$A$5001,"&gt;="&amp;$C$7,BD!$A$3:$A$5001,"&lt;="&amp;$B138,BD!$P$3:$P$5001,"&lt;&gt;"))))</f>
        <v/>
      </c>
      <c r="G138" s="54" t="str">
        <f>IF(OR($B138="",$A138&gt;$B$9,G$128=""),"",IF(COUNTIFS(BD!$B$3:$B$5001,G$128,BD!$A$3:$A$5001,"&gt;="&amp;$C$7,BD!$A$3:$A$5001,"&lt;="&amp;$B138,BD!$P$3:$P$5001,"&lt;&gt;")=0,"",SUMIFS(BD!$P$3:$P$5001,BD!$B$3:$B$5001,G$128,BD!$A$3:$A$5001,_xlfn.MAXIFS(BD!$A$3:$A$5001,BD!$B$3:$B$5001,G$128,BD!$A$3:$A$5001,"&gt;="&amp;$C$7,BD!$A$3:$A$5001,"&lt;="&amp;$B138,BD!$P$3:$P$5001,"&lt;&gt;"))))</f>
        <v/>
      </c>
      <c r="H138" s="54" t="str">
        <f>IF(OR($B138="",$A138&gt;$B$9,H$128=""),"",IF(COUNTIFS(BD!$B$3:$B$5001,H$128,BD!$A$3:$A$5001,"&gt;="&amp;$C$7,BD!$A$3:$A$5001,"&lt;="&amp;$B138,BD!$P$3:$P$5001,"&lt;&gt;")=0,"",SUMIFS(BD!$P$3:$P$5001,BD!$B$3:$B$5001,H$128,BD!$A$3:$A$5001,_xlfn.MAXIFS(BD!$A$3:$A$5001,BD!$B$3:$B$5001,H$128,BD!$A$3:$A$5001,"&gt;="&amp;$C$7,BD!$A$3:$A$5001,"&lt;="&amp;$B138,BD!$P$3:$P$5001,"&lt;&gt;"))))</f>
        <v/>
      </c>
      <c r="I138" s="54" t="str">
        <f>IF(OR($B138="",$A138&gt;$B$9,I$128=""),"",IF(COUNTIFS(BD!$B$3:$B$5001,I$128,BD!$A$3:$A$5001,"&gt;="&amp;$C$7,BD!$A$3:$A$5001,"&lt;="&amp;$B138,BD!$P$3:$P$5001,"&lt;&gt;")=0,"",SUMIFS(BD!$P$3:$P$5001,BD!$B$3:$B$5001,I$128,BD!$A$3:$A$5001,_xlfn.MAXIFS(BD!$A$3:$A$5001,BD!$B$3:$B$5001,I$128,BD!$A$3:$A$5001,"&gt;="&amp;$C$7,BD!$A$3:$A$5001,"&lt;="&amp;$B138,BD!$P$3:$P$5001,"&lt;&gt;"))))</f>
        <v/>
      </c>
      <c r="J138" s="54" t="str">
        <f>IF(OR($B138="",$A138&gt;$B$9,J$128=""),"",IF(COUNTIFS(BD!$B$3:$B$5001,J$128,BD!$A$3:$A$5001,"&gt;="&amp;$C$7,BD!$A$3:$A$5001,"&lt;="&amp;$B138,BD!$P$3:$P$5001,"&lt;&gt;")=0,"",SUMIFS(BD!$P$3:$P$5001,BD!$B$3:$B$5001,J$128,BD!$A$3:$A$5001,_xlfn.MAXIFS(BD!$A$3:$A$5001,BD!$B$3:$B$5001,J$128,BD!$A$3:$A$5001,"&gt;="&amp;$C$7,BD!$A$3:$A$5001,"&lt;="&amp;$B138,BD!$P$3:$P$5001,"&lt;&gt;"))))</f>
        <v/>
      </c>
      <c r="K138" s="54" t="str">
        <f>IF(OR($B138="",$A138&gt;$B$9,K$128=""),"",IF(COUNTIFS(BD!$B$3:$B$5001,K$128,BD!$A$3:$A$5001,"&gt;="&amp;$C$7,BD!$A$3:$A$5001,"&lt;="&amp;$B138,BD!$P$3:$P$5001,"&lt;&gt;")=0,"",SUMIFS(BD!$P$3:$P$5001,BD!$B$3:$B$5001,K$128,BD!$A$3:$A$5001,_xlfn.MAXIFS(BD!$A$3:$A$5001,BD!$B$3:$B$5001,K$128,BD!$A$3:$A$5001,"&gt;="&amp;$C$7,BD!$A$3:$A$5001,"&lt;="&amp;$B138,BD!$P$3:$P$5001,"&lt;&gt;"))))</f>
        <v/>
      </c>
      <c r="L138" s="54" t="str">
        <f>IF(OR($B138="",$A138&gt;$B$9,L$128=""),"",IF(COUNTIFS(BD!$B$3:$B$5001,L$128,BD!$A$3:$A$5001,"&gt;="&amp;$C$7,BD!$A$3:$A$5001,"&lt;="&amp;$B138,BD!$P$3:$P$5001,"&lt;&gt;")=0,"",SUMIFS(BD!$P$3:$P$5001,BD!$B$3:$B$5001,L$128,BD!$A$3:$A$5001,_xlfn.MAXIFS(BD!$A$3:$A$5001,BD!$B$3:$B$5001,L$128,BD!$A$3:$A$5001,"&gt;="&amp;$C$7,BD!$A$3:$A$5001,"&lt;="&amp;$B138,BD!$P$3:$P$5001,"&lt;&gt;"))))</f>
        <v/>
      </c>
      <c r="M138" s="54" t="str">
        <f>IF(OR($B138="",$A138&gt;$B$9,M$128=""),"",IF(COUNTIFS(BD!$B$3:$B$5001,M$128,BD!$A$3:$A$5001,"&gt;="&amp;$C$7,BD!$A$3:$A$5001,"&lt;="&amp;$B138,BD!$P$3:$P$5001,"&lt;&gt;")=0,"",SUMIFS(BD!$P$3:$P$5001,BD!$B$3:$B$5001,M$128,BD!$A$3:$A$5001,_xlfn.MAXIFS(BD!$A$3:$A$5001,BD!$B$3:$B$5001,M$128,BD!$A$3:$A$5001,"&gt;="&amp;$C$7,BD!$A$3:$A$5001,"&lt;="&amp;$B138,BD!$P$3:$P$5001,"&lt;&gt;"))))</f>
        <v/>
      </c>
      <c r="N138" s="54" t="str">
        <f>IF(OR($B138="",$A138&gt;$B$9,N$128=""),"",IF(COUNTIFS(BD!$B$3:$B$5001,N$128,BD!$A$3:$A$5001,"&gt;="&amp;$C$7,BD!$A$3:$A$5001,"&lt;="&amp;$B138,BD!$P$3:$P$5001,"&lt;&gt;")=0,"",SUMIFS(BD!$P$3:$P$5001,BD!$B$3:$B$5001,N$128,BD!$A$3:$A$5001,_xlfn.MAXIFS(BD!$A$3:$A$5001,BD!$B$3:$B$5001,N$128,BD!$A$3:$A$5001,"&gt;="&amp;$C$7,BD!$A$3:$A$5001,"&lt;="&amp;$B138,BD!$P$3:$P$5001,"&lt;&gt;"))))</f>
        <v/>
      </c>
      <c r="O138" s="54" t="str">
        <f>IF(OR($B138="",$A138&gt;$B$9,O$128=""),"",IF(COUNTIFS(BD!$B$3:$B$5001,O$128,BD!$A$3:$A$5001,"&gt;="&amp;$C$7,BD!$A$3:$A$5001,"&lt;="&amp;$B138,BD!$P$3:$P$5001,"&lt;&gt;")=0,"",SUMIFS(BD!$P$3:$P$5001,BD!$B$3:$B$5001,O$128,BD!$A$3:$A$5001,_xlfn.MAXIFS(BD!$A$3:$A$5001,BD!$B$3:$B$5001,O$128,BD!$A$3:$A$5001,"&gt;="&amp;$C$7,BD!$A$3:$A$5001,"&lt;="&amp;$B138,BD!$P$3:$P$5001,"&lt;&gt;"))))</f>
        <v/>
      </c>
      <c r="P138" s="54" t="str">
        <f>IF(OR($B138="",$A138&gt;$B$9,P$128=""),"",IF(COUNTIFS(BD!$B$3:$B$5001,P$128,BD!$A$3:$A$5001,"&gt;="&amp;$C$7,BD!$A$3:$A$5001,"&lt;="&amp;$B138,BD!$P$3:$P$5001,"&lt;&gt;")=0,"",SUMIFS(BD!$P$3:$P$5001,BD!$B$3:$B$5001,P$128,BD!$A$3:$A$5001,_xlfn.MAXIFS(BD!$A$3:$A$5001,BD!$B$3:$B$5001,P$128,BD!$A$3:$A$5001,"&gt;="&amp;$C$7,BD!$A$3:$A$5001,"&lt;="&amp;$B138,BD!$P$3:$P$5001,"&lt;&gt;"))))</f>
        <v/>
      </c>
      <c r="Q138" s="54" t="str">
        <f>IF(OR($B138="",$A138&gt;$B$9,Q$128=""),"",IF(COUNTIFS(BD!$B$3:$B$5001,Q$128,BD!$A$3:$A$5001,"&gt;="&amp;$C$7,BD!$A$3:$A$5001,"&lt;="&amp;$B138,BD!$P$3:$P$5001,"&lt;&gt;")=0,"",SUMIFS(BD!$P$3:$P$5001,BD!$B$3:$B$5001,Q$128,BD!$A$3:$A$5001,_xlfn.MAXIFS(BD!$A$3:$A$5001,BD!$B$3:$B$5001,Q$128,BD!$A$3:$A$5001,"&gt;="&amp;$C$7,BD!$A$3:$A$5001,"&lt;="&amp;$B138,BD!$P$3:$P$5001,"&lt;&gt;"))))</f>
        <v/>
      </c>
      <c r="R138" s="54" t="str">
        <f>IF(OR($B138="",$A138&gt;$B$9,R$128=""),"",IF(COUNTIFS(BD!$B$3:$B$5001,R$128,BD!$A$3:$A$5001,"&gt;="&amp;$C$7,BD!$A$3:$A$5001,"&lt;="&amp;$B138,BD!$P$3:$P$5001,"&lt;&gt;")=0,"",SUMIFS(BD!$P$3:$P$5001,BD!$B$3:$B$5001,R$128,BD!$A$3:$A$5001,_xlfn.MAXIFS(BD!$A$3:$A$5001,BD!$B$3:$B$5001,R$128,BD!$A$3:$A$5001,"&gt;="&amp;$C$7,BD!$A$3:$A$5001,"&lt;="&amp;$B138,BD!$P$3:$P$5001,"&lt;&gt;"))))</f>
        <v/>
      </c>
      <c r="S138" s="54" t="str">
        <f>IF(OR($B138="",$A138&gt;$B$9,S$128=""),"",IF(COUNTIFS(BD!$B$3:$B$5001,S$128,BD!$A$3:$A$5001,"&gt;="&amp;$C$7,BD!$A$3:$A$5001,"&lt;="&amp;$B138,BD!$P$3:$P$5001,"&lt;&gt;")=0,"",SUMIFS(BD!$P$3:$P$5001,BD!$B$3:$B$5001,S$128,BD!$A$3:$A$5001,_xlfn.MAXIFS(BD!$A$3:$A$5001,BD!$B$3:$B$5001,S$128,BD!$A$3:$A$5001,"&gt;="&amp;$C$7,BD!$A$3:$A$5001,"&lt;="&amp;$B138,BD!$P$3:$P$5001,"&lt;&gt;"))))</f>
        <v/>
      </c>
      <c r="T138" s="54" t="str">
        <f>IF(OR($B138="",$A138&gt;$B$9,T$128=""),"",IF(COUNTIFS(BD!$B$3:$B$5001,T$128,BD!$A$3:$A$5001,"&gt;="&amp;$C$7,BD!$A$3:$A$5001,"&lt;="&amp;$B138,BD!$P$3:$P$5001,"&lt;&gt;")=0,"",SUMIFS(BD!$P$3:$P$5001,BD!$B$3:$B$5001,T$128,BD!$A$3:$A$5001,_xlfn.MAXIFS(BD!$A$3:$A$5001,BD!$B$3:$B$5001,T$128,BD!$A$3:$A$5001,"&gt;="&amp;$C$7,BD!$A$3:$A$5001,"&lt;="&amp;$B138,BD!$P$3:$P$5001,"&lt;&gt;"))))</f>
        <v/>
      </c>
      <c r="U138" s="54" t="str">
        <f>IF(OR($B138="",$A138&gt;$B$9,U$128=""),"",IF(COUNTIFS(BD!$B$3:$B$5001,U$128,BD!$A$3:$A$5001,"&gt;="&amp;$C$7,BD!$A$3:$A$5001,"&lt;="&amp;$B138,BD!$P$3:$P$5001,"&lt;&gt;")=0,"",SUMIFS(BD!$P$3:$P$5001,BD!$B$3:$B$5001,U$128,BD!$A$3:$A$5001,_xlfn.MAXIFS(BD!$A$3:$A$5001,BD!$B$3:$B$5001,U$128,BD!$A$3:$A$5001,"&gt;="&amp;$C$7,BD!$A$3:$A$5001,"&lt;="&amp;$B138,BD!$P$3:$P$5001,"&lt;&gt;"))))</f>
        <v/>
      </c>
      <c r="V138" s="54" t="str">
        <f>IF(OR($B138="",$A138&gt;$B$9,V$128=""),"",IF(COUNTIFS(BD!$B$3:$B$5001,V$128,BD!$A$3:$A$5001,"&gt;="&amp;$C$7,BD!$A$3:$A$5001,"&lt;="&amp;$B138,BD!$P$3:$P$5001,"&lt;&gt;")=0,"",SUMIFS(BD!$P$3:$P$5001,BD!$B$3:$B$5001,V$128,BD!$A$3:$A$5001,_xlfn.MAXIFS(BD!$A$3:$A$5001,BD!$B$3:$B$5001,V$128,BD!$A$3:$A$5001,"&gt;="&amp;$C$7,BD!$A$3:$A$5001,"&lt;="&amp;$B138,BD!$P$3:$P$5001,"&lt;&gt;"))))</f>
        <v/>
      </c>
    </row>
    <row r="139">
      <c r="A139" s="48">
        <v>11</v>
      </c>
      <c r="B139" s="53">
        <f>$B$22</f>
        <v>46306</v>
      </c>
      <c r="C139" s="54" t="str">
        <f>IF(OR($B139="",$A139&gt;$B$9,C$128=""),"",IF(COUNTIFS(BD!$B$3:$B$5001,C$128,BD!$A$3:$A$5001,"&gt;="&amp;$C$7,BD!$A$3:$A$5001,"&lt;="&amp;$B139,BD!$P$3:$P$5001,"&lt;&gt;")=0,"",SUMIFS(BD!$P$3:$P$5001,BD!$B$3:$B$5001,C$128,BD!$A$3:$A$5001,_xlfn.MAXIFS(BD!$A$3:$A$5001,BD!$B$3:$B$5001,C$128,BD!$A$3:$A$5001,"&gt;="&amp;$C$7,BD!$A$3:$A$5001,"&lt;="&amp;$B139,BD!$P$3:$P$5001,"&lt;&gt;"))))</f>
        <v/>
      </c>
      <c r="D139" s="54" t="str">
        <f>IF(OR($B139="",$A139&gt;$B$9,D$128=""),"",IF(COUNTIFS(BD!$B$3:$B$5001,D$128,BD!$A$3:$A$5001,"&gt;="&amp;$C$7,BD!$A$3:$A$5001,"&lt;="&amp;$B139,BD!$P$3:$P$5001,"&lt;&gt;")=0,"",SUMIFS(BD!$P$3:$P$5001,BD!$B$3:$B$5001,D$128,BD!$A$3:$A$5001,_xlfn.MAXIFS(BD!$A$3:$A$5001,BD!$B$3:$B$5001,D$128,BD!$A$3:$A$5001,"&gt;="&amp;$C$7,BD!$A$3:$A$5001,"&lt;="&amp;$B139,BD!$P$3:$P$5001,"&lt;&gt;"))))</f>
        <v/>
      </c>
      <c r="E139" s="54" t="str">
        <f>IF(OR($B139="",$A139&gt;$B$9,E$128=""),"",IF(COUNTIFS(BD!$B$3:$B$5001,E$128,BD!$A$3:$A$5001,"&gt;="&amp;$C$7,BD!$A$3:$A$5001,"&lt;="&amp;$B139,BD!$P$3:$P$5001,"&lt;&gt;")=0,"",SUMIFS(BD!$P$3:$P$5001,BD!$B$3:$B$5001,E$128,BD!$A$3:$A$5001,_xlfn.MAXIFS(BD!$A$3:$A$5001,BD!$B$3:$B$5001,E$128,BD!$A$3:$A$5001,"&gt;="&amp;$C$7,BD!$A$3:$A$5001,"&lt;="&amp;$B139,BD!$P$3:$P$5001,"&lt;&gt;"))))</f>
        <v/>
      </c>
      <c r="F139" s="54" t="str">
        <f>IF(OR($B139="",$A139&gt;$B$9,F$128=""),"",IF(COUNTIFS(BD!$B$3:$B$5001,F$128,BD!$A$3:$A$5001,"&gt;="&amp;$C$7,BD!$A$3:$A$5001,"&lt;="&amp;$B139,BD!$P$3:$P$5001,"&lt;&gt;")=0,"",SUMIFS(BD!$P$3:$P$5001,BD!$B$3:$B$5001,F$128,BD!$A$3:$A$5001,_xlfn.MAXIFS(BD!$A$3:$A$5001,BD!$B$3:$B$5001,F$128,BD!$A$3:$A$5001,"&gt;="&amp;$C$7,BD!$A$3:$A$5001,"&lt;="&amp;$B139,BD!$P$3:$P$5001,"&lt;&gt;"))))</f>
        <v/>
      </c>
      <c r="G139" s="54" t="str">
        <f>IF(OR($B139="",$A139&gt;$B$9,G$128=""),"",IF(COUNTIFS(BD!$B$3:$B$5001,G$128,BD!$A$3:$A$5001,"&gt;="&amp;$C$7,BD!$A$3:$A$5001,"&lt;="&amp;$B139,BD!$P$3:$P$5001,"&lt;&gt;")=0,"",SUMIFS(BD!$P$3:$P$5001,BD!$B$3:$B$5001,G$128,BD!$A$3:$A$5001,_xlfn.MAXIFS(BD!$A$3:$A$5001,BD!$B$3:$B$5001,G$128,BD!$A$3:$A$5001,"&gt;="&amp;$C$7,BD!$A$3:$A$5001,"&lt;="&amp;$B139,BD!$P$3:$P$5001,"&lt;&gt;"))))</f>
        <v/>
      </c>
      <c r="H139" s="54" t="str">
        <f>IF(OR($B139="",$A139&gt;$B$9,H$128=""),"",IF(COUNTIFS(BD!$B$3:$B$5001,H$128,BD!$A$3:$A$5001,"&gt;="&amp;$C$7,BD!$A$3:$A$5001,"&lt;="&amp;$B139,BD!$P$3:$P$5001,"&lt;&gt;")=0,"",SUMIFS(BD!$P$3:$P$5001,BD!$B$3:$B$5001,H$128,BD!$A$3:$A$5001,_xlfn.MAXIFS(BD!$A$3:$A$5001,BD!$B$3:$B$5001,H$128,BD!$A$3:$A$5001,"&gt;="&amp;$C$7,BD!$A$3:$A$5001,"&lt;="&amp;$B139,BD!$P$3:$P$5001,"&lt;&gt;"))))</f>
        <v/>
      </c>
      <c r="I139" s="54" t="str">
        <f>IF(OR($B139="",$A139&gt;$B$9,I$128=""),"",IF(COUNTIFS(BD!$B$3:$B$5001,I$128,BD!$A$3:$A$5001,"&gt;="&amp;$C$7,BD!$A$3:$A$5001,"&lt;="&amp;$B139,BD!$P$3:$P$5001,"&lt;&gt;")=0,"",SUMIFS(BD!$P$3:$P$5001,BD!$B$3:$B$5001,I$128,BD!$A$3:$A$5001,_xlfn.MAXIFS(BD!$A$3:$A$5001,BD!$B$3:$B$5001,I$128,BD!$A$3:$A$5001,"&gt;="&amp;$C$7,BD!$A$3:$A$5001,"&lt;="&amp;$B139,BD!$P$3:$P$5001,"&lt;&gt;"))))</f>
        <v/>
      </c>
      <c r="J139" s="54" t="str">
        <f>IF(OR($B139="",$A139&gt;$B$9,J$128=""),"",IF(COUNTIFS(BD!$B$3:$B$5001,J$128,BD!$A$3:$A$5001,"&gt;="&amp;$C$7,BD!$A$3:$A$5001,"&lt;="&amp;$B139,BD!$P$3:$P$5001,"&lt;&gt;")=0,"",SUMIFS(BD!$P$3:$P$5001,BD!$B$3:$B$5001,J$128,BD!$A$3:$A$5001,_xlfn.MAXIFS(BD!$A$3:$A$5001,BD!$B$3:$B$5001,J$128,BD!$A$3:$A$5001,"&gt;="&amp;$C$7,BD!$A$3:$A$5001,"&lt;="&amp;$B139,BD!$P$3:$P$5001,"&lt;&gt;"))))</f>
        <v/>
      </c>
      <c r="K139" s="54" t="str">
        <f>IF(OR($B139="",$A139&gt;$B$9,K$128=""),"",IF(COUNTIFS(BD!$B$3:$B$5001,K$128,BD!$A$3:$A$5001,"&gt;="&amp;$C$7,BD!$A$3:$A$5001,"&lt;="&amp;$B139,BD!$P$3:$P$5001,"&lt;&gt;")=0,"",SUMIFS(BD!$P$3:$P$5001,BD!$B$3:$B$5001,K$128,BD!$A$3:$A$5001,_xlfn.MAXIFS(BD!$A$3:$A$5001,BD!$B$3:$B$5001,K$128,BD!$A$3:$A$5001,"&gt;="&amp;$C$7,BD!$A$3:$A$5001,"&lt;="&amp;$B139,BD!$P$3:$P$5001,"&lt;&gt;"))))</f>
        <v/>
      </c>
      <c r="L139" s="54" t="str">
        <f>IF(OR($B139="",$A139&gt;$B$9,L$128=""),"",IF(COUNTIFS(BD!$B$3:$B$5001,L$128,BD!$A$3:$A$5001,"&gt;="&amp;$C$7,BD!$A$3:$A$5001,"&lt;="&amp;$B139,BD!$P$3:$P$5001,"&lt;&gt;")=0,"",SUMIFS(BD!$P$3:$P$5001,BD!$B$3:$B$5001,L$128,BD!$A$3:$A$5001,_xlfn.MAXIFS(BD!$A$3:$A$5001,BD!$B$3:$B$5001,L$128,BD!$A$3:$A$5001,"&gt;="&amp;$C$7,BD!$A$3:$A$5001,"&lt;="&amp;$B139,BD!$P$3:$P$5001,"&lt;&gt;"))))</f>
        <v/>
      </c>
      <c r="M139" s="54" t="str">
        <f>IF(OR($B139="",$A139&gt;$B$9,M$128=""),"",IF(COUNTIFS(BD!$B$3:$B$5001,M$128,BD!$A$3:$A$5001,"&gt;="&amp;$C$7,BD!$A$3:$A$5001,"&lt;="&amp;$B139,BD!$P$3:$P$5001,"&lt;&gt;")=0,"",SUMIFS(BD!$P$3:$P$5001,BD!$B$3:$B$5001,M$128,BD!$A$3:$A$5001,_xlfn.MAXIFS(BD!$A$3:$A$5001,BD!$B$3:$B$5001,M$128,BD!$A$3:$A$5001,"&gt;="&amp;$C$7,BD!$A$3:$A$5001,"&lt;="&amp;$B139,BD!$P$3:$P$5001,"&lt;&gt;"))))</f>
        <v/>
      </c>
      <c r="N139" s="54" t="str">
        <f>IF(OR($B139="",$A139&gt;$B$9,N$128=""),"",IF(COUNTIFS(BD!$B$3:$B$5001,N$128,BD!$A$3:$A$5001,"&gt;="&amp;$C$7,BD!$A$3:$A$5001,"&lt;="&amp;$B139,BD!$P$3:$P$5001,"&lt;&gt;")=0,"",SUMIFS(BD!$P$3:$P$5001,BD!$B$3:$B$5001,N$128,BD!$A$3:$A$5001,_xlfn.MAXIFS(BD!$A$3:$A$5001,BD!$B$3:$B$5001,N$128,BD!$A$3:$A$5001,"&gt;="&amp;$C$7,BD!$A$3:$A$5001,"&lt;="&amp;$B139,BD!$P$3:$P$5001,"&lt;&gt;"))))</f>
        <v/>
      </c>
      <c r="O139" s="54" t="str">
        <f>IF(OR($B139="",$A139&gt;$B$9,O$128=""),"",IF(COUNTIFS(BD!$B$3:$B$5001,O$128,BD!$A$3:$A$5001,"&gt;="&amp;$C$7,BD!$A$3:$A$5001,"&lt;="&amp;$B139,BD!$P$3:$P$5001,"&lt;&gt;")=0,"",SUMIFS(BD!$P$3:$P$5001,BD!$B$3:$B$5001,O$128,BD!$A$3:$A$5001,_xlfn.MAXIFS(BD!$A$3:$A$5001,BD!$B$3:$B$5001,O$128,BD!$A$3:$A$5001,"&gt;="&amp;$C$7,BD!$A$3:$A$5001,"&lt;="&amp;$B139,BD!$P$3:$P$5001,"&lt;&gt;"))))</f>
        <v/>
      </c>
      <c r="P139" s="54" t="str">
        <f>IF(OR($B139="",$A139&gt;$B$9,P$128=""),"",IF(COUNTIFS(BD!$B$3:$B$5001,P$128,BD!$A$3:$A$5001,"&gt;="&amp;$C$7,BD!$A$3:$A$5001,"&lt;="&amp;$B139,BD!$P$3:$P$5001,"&lt;&gt;")=0,"",SUMIFS(BD!$P$3:$P$5001,BD!$B$3:$B$5001,P$128,BD!$A$3:$A$5001,_xlfn.MAXIFS(BD!$A$3:$A$5001,BD!$B$3:$B$5001,P$128,BD!$A$3:$A$5001,"&gt;="&amp;$C$7,BD!$A$3:$A$5001,"&lt;="&amp;$B139,BD!$P$3:$P$5001,"&lt;&gt;"))))</f>
        <v/>
      </c>
      <c r="Q139" s="54" t="str">
        <f>IF(OR($B139="",$A139&gt;$B$9,Q$128=""),"",IF(COUNTIFS(BD!$B$3:$B$5001,Q$128,BD!$A$3:$A$5001,"&gt;="&amp;$C$7,BD!$A$3:$A$5001,"&lt;="&amp;$B139,BD!$P$3:$P$5001,"&lt;&gt;")=0,"",SUMIFS(BD!$P$3:$P$5001,BD!$B$3:$B$5001,Q$128,BD!$A$3:$A$5001,_xlfn.MAXIFS(BD!$A$3:$A$5001,BD!$B$3:$B$5001,Q$128,BD!$A$3:$A$5001,"&gt;="&amp;$C$7,BD!$A$3:$A$5001,"&lt;="&amp;$B139,BD!$P$3:$P$5001,"&lt;&gt;"))))</f>
        <v/>
      </c>
      <c r="R139" s="54" t="str">
        <f>IF(OR($B139="",$A139&gt;$B$9,R$128=""),"",IF(COUNTIFS(BD!$B$3:$B$5001,R$128,BD!$A$3:$A$5001,"&gt;="&amp;$C$7,BD!$A$3:$A$5001,"&lt;="&amp;$B139,BD!$P$3:$P$5001,"&lt;&gt;")=0,"",SUMIFS(BD!$P$3:$P$5001,BD!$B$3:$B$5001,R$128,BD!$A$3:$A$5001,_xlfn.MAXIFS(BD!$A$3:$A$5001,BD!$B$3:$B$5001,R$128,BD!$A$3:$A$5001,"&gt;="&amp;$C$7,BD!$A$3:$A$5001,"&lt;="&amp;$B139,BD!$P$3:$P$5001,"&lt;&gt;"))))</f>
        <v/>
      </c>
      <c r="S139" s="54" t="str">
        <f>IF(OR($B139="",$A139&gt;$B$9,S$128=""),"",IF(COUNTIFS(BD!$B$3:$B$5001,S$128,BD!$A$3:$A$5001,"&gt;="&amp;$C$7,BD!$A$3:$A$5001,"&lt;="&amp;$B139,BD!$P$3:$P$5001,"&lt;&gt;")=0,"",SUMIFS(BD!$P$3:$P$5001,BD!$B$3:$B$5001,S$128,BD!$A$3:$A$5001,_xlfn.MAXIFS(BD!$A$3:$A$5001,BD!$B$3:$B$5001,S$128,BD!$A$3:$A$5001,"&gt;="&amp;$C$7,BD!$A$3:$A$5001,"&lt;="&amp;$B139,BD!$P$3:$P$5001,"&lt;&gt;"))))</f>
        <v/>
      </c>
      <c r="T139" s="54" t="str">
        <f>IF(OR($B139="",$A139&gt;$B$9,T$128=""),"",IF(COUNTIFS(BD!$B$3:$B$5001,T$128,BD!$A$3:$A$5001,"&gt;="&amp;$C$7,BD!$A$3:$A$5001,"&lt;="&amp;$B139,BD!$P$3:$P$5001,"&lt;&gt;")=0,"",SUMIFS(BD!$P$3:$P$5001,BD!$B$3:$B$5001,T$128,BD!$A$3:$A$5001,_xlfn.MAXIFS(BD!$A$3:$A$5001,BD!$B$3:$B$5001,T$128,BD!$A$3:$A$5001,"&gt;="&amp;$C$7,BD!$A$3:$A$5001,"&lt;="&amp;$B139,BD!$P$3:$P$5001,"&lt;&gt;"))))</f>
        <v/>
      </c>
      <c r="U139" s="54" t="str">
        <f>IF(OR($B139="",$A139&gt;$B$9,U$128=""),"",IF(COUNTIFS(BD!$B$3:$B$5001,U$128,BD!$A$3:$A$5001,"&gt;="&amp;$C$7,BD!$A$3:$A$5001,"&lt;="&amp;$B139,BD!$P$3:$P$5001,"&lt;&gt;")=0,"",SUMIFS(BD!$P$3:$P$5001,BD!$B$3:$B$5001,U$128,BD!$A$3:$A$5001,_xlfn.MAXIFS(BD!$A$3:$A$5001,BD!$B$3:$B$5001,U$128,BD!$A$3:$A$5001,"&gt;="&amp;$C$7,BD!$A$3:$A$5001,"&lt;="&amp;$B139,BD!$P$3:$P$5001,"&lt;&gt;"))))</f>
        <v/>
      </c>
      <c r="V139" s="54" t="str">
        <f>IF(OR($B139="",$A139&gt;$B$9,V$128=""),"",IF(COUNTIFS(BD!$B$3:$B$5001,V$128,BD!$A$3:$A$5001,"&gt;="&amp;$C$7,BD!$A$3:$A$5001,"&lt;="&amp;$B139,BD!$P$3:$P$5001,"&lt;&gt;")=0,"",SUMIFS(BD!$P$3:$P$5001,BD!$B$3:$B$5001,V$128,BD!$A$3:$A$5001,_xlfn.MAXIFS(BD!$A$3:$A$5001,BD!$B$3:$B$5001,V$128,BD!$A$3:$A$5001,"&gt;="&amp;$C$7,BD!$A$3:$A$5001,"&lt;="&amp;$B139,BD!$P$3:$P$5001,"&lt;&gt;"))))</f>
        <v/>
      </c>
    </row>
    <row r="140">
      <c r="A140" s="48">
        <v>12</v>
      </c>
      <c r="B140" s="53">
        <f>$B$23</f>
        <v>46307</v>
      </c>
      <c r="C140" s="54" t="str">
        <f>IF(OR($B140="",$A140&gt;$B$9,C$128=""),"",IF(COUNTIFS(BD!$B$3:$B$5001,C$128,BD!$A$3:$A$5001,"&gt;="&amp;$C$7,BD!$A$3:$A$5001,"&lt;="&amp;$B140,BD!$P$3:$P$5001,"&lt;&gt;")=0,"",SUMIFS(BD!$P$3:$P$5001,BD!$B$3:$B$5001,C$128,BD!$A$3:$A$5001,_xlfn.MAXIFS(BD!$A$3:$A$5001,BD!$B$3:$B$5001,C$128,BD!$A$3:$A$5001,"&gt;="&amp;$C$7,BD!$A$3:$A$5001,"&lt;="&amp;$B140,BD!$P$3:$P$5001,"&lt;&gt;"))))</f>
        <v/>
      </c>
      <c r="D140" s="54" t="str">
        <f>IF(OR($B140="",$A140&gt;$B$9,D$128=""),"",IF(COUNTIFS(BD!$B$3:$B$5001,D$128,BD!$A$3:$A$5001,"&gt;="&amp;$C$7,BD!$A$3:$A$5001,"&lt;="&amp;$B140,BD!$P$3:$P$5001,"&lt;&gt;")=0,"",SUMIFS(BD!$P$3:$P$5001,BD!$B$3:$B$5001,D$128,BD!$A$3:$A$5001,_xlfn.MAXIFS(BD!$A$3:$A$5001,BD!$B$3:$B$5001,D$128,BD!$A$3:$A$5001,"&gt;="&amp;$C$7,BD!$A$3:$A$5001,"&lt;="&amp;$B140,BD!$P$3:$P$5001,"&lt;&gt;"))))</f>
        <v/>
      </c>
      <c r="E140" s="54" t="str">
        <f>IF(OR($B140="",$A140&gt;$B$9,E$128=""),"",IF(COUNTIFS(BD!$B$3:$B$5001,E$128,BD!$A$3:$A$5001,"&gt;="&amp;$C$7,BD!$A$3:$A$5001,"&lt;="&amp;$B140,BD!$P$3:$P$5001,"&lt;&gt;")=0,"",SUMIFS(BD!$P$3:$P$5001,BD!$B$3:$B$5001,E$128,BD!$A$3:$A$5001,_xlfn.MAXIFS(BD!$A$3:$A$5001,BD!$B$3:$B$5001,E$128,BD!$A$3:$A$5001,"&gt;="&amp;$C$7,BD!$A$3:$A$5001,"&lt;="&amp;$B140,BD!$P$3:$P$5001,"&lt;&gt;"))))</f>
        <v/>
      </c>
      <c r="F140" s="54" t="str">
        <f>IF(OR($B140="",$A140&gt;$B$9,F$128=""),"",IF(COUNTIFS(BD!$B$3:$B$5001,F$128,BD!$A$3:$A$5001,"&gt;="&amp;$C$7,BD!$A$3:$A$5001,"&lt;="&amp;$B140,BD!$P$3:$P$5001,"&lt;&gt;")=0,"",SUMIFS(BD!$P$3:$P$5001,BD!$B$3:$B$5001,F$128,BD!$A$3:$A$5001,_xlfn.MAXIFS(BD!$A$3:$A$5001,BD!$B$3:$B$5001,F$128,BD!$A$3:$A$5001,"&gt;="&amp;$C$7,BD!$A$3:$A$5001,"&lt;="&amp;$B140,BD!$P$3:$P$5001,"&lt;&gt;"))))</f>
        <v/>
      </c>
      <c r="G140" s="54" t="str">
        <f>IF(OR($B140="",$A140&gt;$B$9,G$128=""),"",IF(COUNTIFS(BD!$B$3:$B$5001,G$128,BD!$A$3:$A$5001,"&gt;="&amp;$C$7,BD!$A$3:$A$5001,"&lt;="&amp;$B140,BD!$P$3:$P$5001,"&lt;&gt;")=0,"",SUMIFS(BD!$P$3:$P$5001,BD!$B$3:$B$5001,G$128,BD!$A$3:$A$5001,_xlfn.MAXIFS(BD!$A$3:$A$5001,BD!$B$3:$B$5001,G$128,BD!$A$3:$A$5001,"&gt;="&amp;$C$7,BD!$A$3:$A$5001,"&lt;="&amp;$B140,BD!$P$3:$P$5001,"&lt;&gt;"))))</f>
        <v/>
      </c>
      <c r="H140" s="54" t="str">
        <f>IF(OR($B140="",$A140&gt;$B$9,H$128=""),"",IF(COUNTIFS(BD!$B$3:$B$5001,H$128,BD!$A$3:$A$5001,"&gt;="&amp;$C$7,BD!$A$3:$A$5001,"&lt;="&amp;$B140,BD!$P$3:$P$5001,"&lt;&gt;")=0,"",SUMIFS(BD!$P$3:$P$5001,BD!$B$3:$B$5001,H$128,BD!$A$3:$A$5001,_xlfn.MAXIFS(BD!$A$3:$A$5001,BD!$B$3:$B$5001,H$128,BD!$A$3:$A$5001,"&gt;="&amp;$C$7,BD!$A$3:$A$5001,"&lt;="&amp;$B140,BD!$P$3:$P$5001,"&lt;&gt;"))))</f>
        <v/>
      </c>
      <c r="I140" s="54" t="str">
        <f>IF(OR($B140="",$A140&gt;$B$9,I$128=""),"",IF(COUNTIFS(BD!$B$3:$B$5001,I$128,BD!$A$3:$A$5001,"&gt;="&amp;$C$7,BD!$A$3:$A$5001,"&lt;="&amp;$B140,BD!$P$3:$P$5001,"&lt;&gt;")=0,"",SUMIFS(BD!$P$3:$P$5001,BD!$B$3:$B$5001,I$128,BD!$A$3:$A$5001,_xlfn.MAXIFS(BD!$A$3:$A$5001,BD!$B$3:$B$5001,I$128,BD!$A$3:$A$5001,"&gt;="&amp;$C$7,BD!$A$3:$A$5001,"&lt;="&amp;$B140,BD!$P$3:$P$5001,"&lt;&gt;"))))</f>
        <v/>
      </c>
      <c r="J140" s="54" t="str">
        <f>IF(OR($B140="",$A140&gt;$B$9,J$128=""),"",IF(COUNTIFS(BD!$B$3:$B$5001,J$128,BD!$A$3:$A$5001,"&gt;="&amp;$C$7,BD!$A$3:$A$5001,"&lt;="&amp;$B140,BD!$P$3:$P$5001,"&lt;&gt;")=0,"",SUMIFS(BD!$P$3:$P$5001,BD!$B$3:$B$5001,J$128,BD!$A$3:$A$5001,_xlfn.MAXIFS(BD!$A$3:$A$5001,BD!$B$3:$B$5001,J$128,BD!$A$3:$A$5001,"&gt;="&amp;$C$7,BD!$A$3:$A$5001,"&lt;="&amp;$B140,BD!$P$3:$P$5001,"&lt;&gt;"))))</f>
        <v/>
      </c>
      <c r="K140" s="54" t="str">
        <f>IF(OR($B140="",$A140&gt;$B$9,K$128=""),"",IF(COUNTIFS(BD!$B$3:$B$5001,K$128,BD!$A$3:$A$5001,"&gt;="&amp;$C$7,BD!$A$3:$A$5001,"&lt;="&amp;$B140,BD!$P$3:$P$5001,"&lt;&gt;")=0,"",SUMIFS(BD!$P$3:$P$5001,BD!$B$3:$B$5001,K$128,BD!$A$3:$A$5001,_xlfn.MAXIFS(BD!$A$3:$A$5001,BD!$B$3:$B$5001,K$128,BD!$A$3:$A$5001,"&gt;="&amp;$C$7,BD!$A$3:$A$5001,"&lt;="&amp;$B140,BD!$P$3:$P$5001,"&lt;&gt;"))))</f>
        <v/>
      </c>
      <c r="L140" s="54" t="str">
        <f>IF(OR($B140="",$A140&gt;$B$9,L$128=""),"",IF(COUNTIFS(BD!$B$3:$B$5001,L$128,BD!$A$3:$A$5001,"&gt;="&amp;$C$7,BD!$A$3:$A$5001,"&lt;="&amp;$B140,BD!$P$3:$P$5001,"&lt;&gt;")=0,"",SUMIFS(BD!$P$3:$P$5001,BD!$B$3:$B$5001,L$128,BD!$A$3:$A$5001,_xlfn.MAXIFS(BD!$A$3:$A$5001,BD!$B$3:$B$5001,L$128,BD!$A$3:$A$5001,"&gt;="&amp;$C$7,BD!$A$3:$A$5001,"&lt;="&amp;$B140,BD!$P$3:$P$5001,"&lt;&gt;"))))</f>
        <v/>
      </c>
      <c r="M140" s="54" t="str">
        <f>IF(OR($B140="",$A140&gt;$B$9,M$128=""),"",IF(COUNTIFS(BD!$B$3:$B$5001,M$128,BD!$A$3:$A$5001,"&gt;="&amp;$C$7,BD!$A$3:$A$5001,"&lt;="&amp;$B140,BD!$P$3:$P$5001,"&lt;&gt;")=0,"",SUMIFS(BD!$P$3:$P$5001,BD!$B$3:$B$5001,M$128,BD!$A$3:$A$5001,_xlfn.MAXIFS(BD!$A$3:$A$5001,BD!$B$3:$B$5001,M$128,BD!$A$3:$A$5001,"&gt;="&amp;$C$7,BD!$A$3:$A$5001,"&lt;="&amp;$B140,BD!$P$3:$P$5001,"&lt;&gt;"))))</f>
        <v/>
      </c>
      <c r="N140" s="54" t="str">
        <f>IF(OR($B140="",$A140&gt;$B$9,N$128=""),"",IF(COUNTIFS(BD!$B$3:$B$5001,N$128,BD!$A$3:$A$5001,"&gt;="&amp;$C$7,BD!$A$3:$A$5001,"&lt;="&amp;$B140,BD!$P$3:$P$5001,"&lt;&gt;")=0,"",SUMIFS(BD!$P$3:$P$5001,BD!$B$3:$B$5001,N$128,BD!$A$3:$A$5001,_xlfn.MAXIFS(BD!$A$3:$A$5001,BD!$B$3:$B$5001,N$128,BD!$A$3:$A$5001,"&gt;="&amp;$C$7,BD!$A$3:$A$5001,"&lt;="&amp;$B140,BD!$P$3:$P$5001,"&lt;&gt;"))))</f>
        <v/>
      </c>
      <c r="O140" s="54" t="str">
        <f>IF(OR($B140="",$A140&gt;$B$9,O$128=""),"",IF(COUNTIFS(BD!$B$3:$B$5001,O$128,BD!$A$3:$A$5001,"&gt;="&amp;$C$7,BD!$A$3:$A$5001,"&lt;="&amp;$B140,BD!$P$3:$P$5001,"&lt;&gt;")=0,"",SUMIFS(BD!$P$3:$P$5001,BD!$B$3:$B$5001,O$128,BD!$A$3:$A$5001,_xlfn.MAXIFS(BD!$A$3:$A$5001,BD!$B$3:$B$5001,O$128,BD!$A$3:$A$5001,"&gt;="&amp;$C$7,BD!$A$3:$A$5001,"&lt;="&amp;$B140,BD!$P$3:$P$5001,"&lt;&gt;"))))</f>
        <v/>
      </c>
      <c r="P140" s="54" t="str">
        <f>IF(OR($B140="",$A140&gt;$B$9,P$128=""),"",IF(COUNTIFS(BD!$B$3:$B$5001,P$128,BD!$A$3:$A$5001,"&gt;="&amp;$C$7,BD!$A$3:$A$5001,"&lt;="&amp;$B140,BD!$P$3:$P$5001,"&lt;&gt;")=0,"",SUMIFS(BD!$P$3:$P$5001,BD!$B$3:$B$5001,P$128,BD!$A$3:$A$5001,_xlfn.MAXIFS(BD!$A$3:$A$5001,BD!$B$3:$B$5001,P$128,BD!$A$3:$A$5001,"&gt;="&amp;$C$7,BD!$A$3:$A$5001,"&lt;="&amp;$B140,BD!$P$3:$P$5001,"&lt;&gt;"))))</f>
        <v/>
      </c>
      <c r="Q140" s="54" t="str">
        <f>IF(OR($B140="",$A140&gt;$B$9,Q$128=""),"",IF(COUNTIFS(BD!$B$3:$B$5001,Q$128,BD!$A$3:$A$5001,"&gt;="&amp;$C$7,BD!$A$3:$A$5001,"&lt;="&amp;$B140,BD!$P$3:$P$5001,"&lt;&gt;")=0,"",SUMIFS(BD!$P$3:$P$5001,BD!$B$3:$B$5001,Q$128,BD!$A$3:$A$5001,_xlfn.MAXIFS(BD!$A$3:$A$5001,BD!$B$3:$B$5001,Q$128,BD!$A$3:$A$5001,"&gt;="&amp;$C$7,BD!$A$3:$A$5001,"&lt;="&amp;$B140,BD!$P$3:$P$5001,"&lt;&gt;"))))</f>
        <v/>
      </c>
      <c r="R140" s="54" t="str">
        <f>IF(OR($B140="",$A140&gt;$B$9,R$128=""),"",IF(COUNTIFS(BD!$B$3:$B$5001,R$128,BD!$A$3:$A$5001,"&gt;="&amp;$C$7,BD!$A$3:$A$5001,"&lt;="&amp;$B140,BD!$P$3:$P$5001,"&lt;&gt;")=0,"",SUMIFS(BD!$P$3:$P$5001,BD!$B$3:$B$5001,R$128,BD!$A$3:$A$5001,_xlfn.MAXIFS(BD!$A$3:$A$5001,BD!$B$3:$B$5001,R$128,BD!$A$3:$A$5001,"&gt;="&amp;$C$7,BD!$A$3:$A$5001,"&lt;="&amp;$B140,BD!$P$3:$P$5001,"&lt;&gt;"))))</f>
        <v/>
      </c>
      <c r="S140" s="54" t="str">
        <f>IF(OR($B140="",$A140&gt;$B$9,S$128=""),"",IF(COUNTIFS(BD!$B$3:$B$5001,S$128,BD!$A$3:$A$5001,"&gt;="&amp;$C$7,BD!$A$3:$A$5001,"&lt;="&amp;$B140,BD!$P$3:$P$5001,"&lt;&gt;")=0,"",SUMIFS(BD!$P$3:$P$5001,BD!$B$3:$B$5001,S$128,BD!$A$3:$A$5001,_xlfn.MAXIFS(BD!$A$3:$A$5001,BD!$B$3:$B$5001,S$128,BD!$A$3:$A$5001,"&gt;="&amp;$C$7,BD!$A$3:$A$5001,"&lt;="&amp;$B140,BD!$P$3:$P$5001,"&lt;&gt;"))))</f>
        <v/>
      </c>
      <c r="T140" s="54" t="str">
        <f>IF(OR($B140="",$A140&gt;$B$9,T$128=""),"",IF(COUNTIFS(BD!$B$3:$B$5001,T$128,BD!$A$3:$A$5001,"&gt;="&amp;$C$7,BD!$A$3:$A$5001,"&lt;="&amp;$B140,BD!$P$3:$P$5001,"&lt;&gt;")=0,"",SUMIFS(BD!$P$3:$P$5001,BD!$B$3:$B$5001,T$128,BD!$A$3:$A$5001,_xlfn.MAXIFS(BD!$A$3:$A$5001,BD!$B$3:$B$5001,T$128,BD!$A$3:$A$5001,"&gt;="&amp;$C$7,BD!$A$3:$A$5001,"&lt;="&amp;$B140,BD!$P$3:$P$5001,"&lt;&gt;"))))</f>
        <v/>
      </c>
      <c r="U140" s="54" t="str">
        <f>IF(OR($B140="",$A140&gt;$B$9,U$128=""),"",IF(COUNTIFS(BD!$B$3:$B$5001,U$128,BD!$A$3:$A$5001,"&gt;="&amp;$C$7,BD!$A$3:$A$5001,"&lt;="&amp;$B140,BD!$P$3:$P$5001,"&lt;&gt;")=0,"",SUMIFS(BD!$P$3:$P$5001,BD!$B$3:$B$5001,U$128,BD!$A$3:$A$5001,_xlfn.MAXIFS(BD!$A$3:$A$5001,BD!$B$3:$B$5001,U$128,BD!$A$3:$A$5001,"&gt;="&amp;$C$7,BD!$A$3:$A$5001,"&lt;="&amp;$B140,BD!$P$3:$P$5001,"&lt;&gt;"))))</f>
        <v/>
      </c>
      <c r="V140" s="54" t="str">
        <f>IF(OR($B140="",$A140&gt;$B$9,V$128=""),"",IF(COUNTIFS(BD!$B$3:$B$5001,V$128,BD!$A$3:$A$5001,"&gt;="&amp;$C$7,BD!$A$3:$A$5001,"&lt;="&amp;$B140,BD!$P$3:$P$5001,"&lt;&gt;")=0,"",SUMIFS(BD!$P$3:$P$5001,BD!$B$3:$B$5001,V$128,BD!$A$3:$A$5001,_xlfn.MAXIFS(BD!$A$3:$A$5001,BD!$B$3:$B$5001,V$128,BD!$A$3:$A$5001,"&gt;="&amp;$C$7,BD!$A$3:$A$5001,"&lt;="&amp;$B140,BD!$P$3:$P$5001,"&lt;&gt;"))))</f>
        <v/>
      </c>
    </row>
    <row r="141">
      <c r="A141" s="48">
        <v>13</v>
      </c>
      <c r="B141" s="53">
        <f>$B$24</f>
        <v>46308</v>
      </c>
      <c r="C141" s="54" t="str">
        <f>IF(OR($B141="",$A141&gt;$B$9,C$128=""),"",IF(COUNTIFS(BD!$B$3:$B$5001,C$128,BD!$A$3:$A$5001,"&gt;="&amp;$C$7,BD!$A$3:$A$5001,"&lt;="&amp;$B141,BD!$P$3:$P$5001,"&lt;&gt;")=0,"",SUMIFS(BD!$P$3:$P$5001,BD!$B$3:$B$5001,C$128,BD!$A$3:$A$5001,_xlfn.MAXIFS(BD!$A$3:$A$5001,BD!$B$3:$B$5001,C$128,BD!$A$3:$A$5001,"&gt;="&amp;$C$7,BD!$A$3:$A$5001,"&lt;="&amp;$B141,BD!$P$3:$P$5001,"&lt;&gt;"))))</f>
        <v/>
      </c>
      <c r="D141" s="54" t="str">
        <f>IF(OR($B141="",$A141&gt;$B$9,D$128=""),"",IF(COUNTIFS(BD!$B$3:$B$5001,D$128,BD!$A$3:$A$5001,"&gt;="&amp;$C$7,BD!$A$3:$A$5001,"&lt;="&amp;$B141,BD!$P$3:$P$5001,"&lt;&gt;")=0,"",SUMIFS(BD!$P$3:$P$5001,BD!$B$3:$B$5001,D$128,BD!$A$3:$A$5001,_xlfn.MAXIFS(BD!$A$3:$A$5001,BD!$B$3:$B$5001,D$128,BD!$A$3:$A$5001,"&gt;="&amp;$C$7,BD!$A$3:$A$5001,"&lt;="&amp;$B141,BD!$P$3:$P$5001,"&lt;&gt;"))))</f>
        <v/>
      </c>
      <c r="E141" s="54" t="str">
        <f>IF(OR($B141="",$A141&gt;$B$9,E$128=""),"",IF(COUNTIFS(BD!$B$3:$B$5001,E$128,BD!$A$3:$A$5001,"&gt;="&amp;$C$7,BD!$A$3:$A$5001,"&lt;="&amp;$B141,BD!$P$3:$P$5001,"&lt;&gt;")=0,"",SUMIFS(BD!$P$3:$P$5001,BD!$B$3:$B$5001,E$128,BD!$A$3:$A$5001,_xlfn.MAXIFS(BD!$A$3:$A$5001,BD!$B$3:$B$5001,E$128,BD!$A$3:$A$5001,"&gt;="&amp;$C$7,BD!$A$3:$A$5001,"&lt;="&amp;$B141,BD!$P$3:$P$5001,"&lt;&gt;"))))</f>
        <v/>
      </c>
      <c r="F141" s="54" t="str">
        <f>IF(OR($B141="",$A141&gt;$B$9,F$128=""),"",IF(COUNTIFS(BD!$B$3:$B$5001,F$128,BD!$A$3:$A$5001,"&gt;="&amp;$C$7,BD!$A$3:$A$5001,"&lt;="&amp;$B141,BD!$P$3:$P$5001,"&lt;&gt;")=0,"",SUMIFS(BD!$P$3:$P$5001,BD!$B$3:$B$5001,F$128,BD!$A$3:$A$5001,_xlfn.MAXIFS(BD!$A$3:$A$5001,BD!$B$3:$B$5001,F$128,BD!$A$3:$A$5001,"&gt;="&amp;$C$7,BD!$A$3:$A$5001,"&lt;="&amp;$B141,BD!$P$3:$P$5001,"&lt;&gt;"))))</f>
        <v/>
      </c>
      <c r="G141" s="54" t="str">
        <f>IF(OR($B141="",$A141&gt;$B$9,G$128=""),"",IF(COUNTIFS(BD!$B$3:$B$5001,G$128,BD!$A$3:$A$5001,"&gt;="&amp;$C$7,BD!$A$3:$A$5001,"&lt;="&amp;$B141,BD!$P$3:$P$5001,"&lt;&gt;")=0,"",SUMIFS(BD!$P$3:$P$5001,BD!$B$3:$B$5001,G$128,BD!$A$3:$A$5001,_xlfn.MAXIFS(BD!$A$3:$A$5001,BD!$B$3:$B$5001,G$128,BD!$A$3:$A$5001,"&gt;="&amp;$C$7,BD!$A$3:$A$5001,"&lt;="&amp;$B141,BD!$P$3:$P$5001,"&lt;&gt;"))))</f>
        <v/>
      </c>
      <c r="H141" s="54" t="str">
        <f>IF(OR($B141="",$A141&gt;$B$9,H$128=""),"",IF(COUNTIFS(BD!$B$3:$B$5001,H$128,BD!$A$3:$A$5001,"&gt;="&amp;$C$7,BD!$A$3:$A$5001,"&lt;="&amp;$B141,BD!$P$3:$P$5001,"&lt;&gt;")=0,"",SUMIFS(BD!$P$3:$P$5001,BD!$B$3:$B$5001,H$128,BD!$A$3:$A$5001,_xlfn.MAXIFS(BD!$A$3:$A$5001,BD!$B$3:$B$5001,H$128,BD!$A$3:$A$5001,"&gt;="&amp;$C$7,BD!$A$3:$A$5001,"&lt;="&amp;$B141,BD!$P$3:$P$5001,"&lt;&gt;"))))</f>
        <v/>
      </c>
      <c r="I141" s="54" t="str">
        <f>IF(OR($B141="",$A141&gt;$B$9,I$128=""),"",IF(COUNTIFS(BD!$B$3:$B$5001,I$128,BD!$A$3:$A$5001,"&gt;="&amp;$C$7,BD!$A$3:$A$5001,"&lt;="&amp;$B141,BD!$P$3:$P$5001,"&lt;&gt;")=0,"",SUMIFS(BD!$P$3:$P$5001,BD!$B$3:$B$5001,I$128,BD!$A$3:$A$5001,_xlfn.MAXIFS(BD!$A$3:$A$5001,BD!$B$3:$B$5001,I$128,BD!$A$3:$A$5001,"&gt;="&amp;$C$7,BD!$A$3:$A$5001,"&lt;="&amp;$B141,BD!$P$3:$P$5001,"&lt;&gt;"))))</f>
        <v/>
      </c>
      <c r="J141" s="54" t="str">
        <f>IF(OR($B141="",$A141&gt;$B$9,J$128=""),"",IF(COUNTIFS(BD!$B$3:$B$5001,J$128,BD!$A$3:$A$5001,"&gt;="&amp;$C$7,BD!$A$3:$A$5001,"&lt;="&amp;$B141,BD!$P$3:$P$5001,"&lt;&gt;")=0,"",SUMIFS(BD!$P$3:$P$5001,BD!$B$3:$B$5001,J$128,BD!$A$3:$A$5001,_xlfn.MAXIFS(BD!$A$3:$A$5001,BD!$B$3:$B$5001,J$128,BD!$A$3:$A$5001,"&gt;="&amp;$C$7,BD!$A$3:$A$5001,"&lt;="&amp;$B141,BD!$P$3:$P$5001,"&lt;&gt;"))))</f>
        <v/>
      </c>
      <c r="K141" s="54" t="str">
        <f>IF(OR($B141="",$A141&gt;$B$9,K$128=""),"",IF(COUNTIFS(BD!$B$3:$B$5001,K$128,BD!$A$3:$A$5001,"&gt;="&amp;$C$7,BD!$A$3:$A$5001,"&lt;="&amp;$B141,BD!$P$3:$P$5001,"&lt;&gt;")=0,"",SUMIFS(BD!$P$3:$P$5001,BD!$B$3:$B$5001,K$128,BD!$A$3:$A$5001,_xlfn.MAXIFS(BD!$A$3:$A$5001,BD!$B$3:$B$5001,K$128,BD!$A$3:$A$5001,"&gt;="&amp;$C$7,BD!$A$3:$A$5001,"&lt;="&amp;$B141,BD!$P$3:$P$5001,"&lt;&gt;"))))</f>
        <v/>
      </c>
      <c r="L141" s="54" t="str">
        <f>IF(OR($B141="",$A141&gt;$B$9,L$128=""),"",IF(COUNTIFS(BD!$B$3:$B$5001,L$128,BD!$A$3:$A$5001,"&gt;="&amp;$C$7,BD!$A$3:$A$5001,"&lt;="&amp;$B141,BD!$P$3:$P$5001,"&lt;&gt;")=0,"",SUMIFS(BD!$P$3:$P$5001,BD!$B$3:$B$5001,L$128,BD!$A$3:$A$5001,_xlfn.MAXIFS(BD!$A$3:$A$5001,BD!$B$3:$B$5001,L$128,BD!$A$3:$A$5001,"&gt;="&amp;$C$7,BD!$A$3:$A$5001,"&lt;="&amp;$B141,BD!$P$3:$P$5001,"&lt;&gt;"))))</f>
        <v/>
      </c>
      <c r="M141" s="54" t="str">
        <f>IF(OR($B141="",$A141&gt;$B$9,M$128=""),"",IF(COUNTIFS(BD!$B$3:$B$5001,M$128,BD!$A$3:$A$5001,"&gt;="&amp;$C$7,BD!$A$3:$A$5001,"&lt;="&amp;$B141,BD!$P$3:$P$5001,"&lt;&gt;")=0,"",SUMIFS(BD!$P$3:$P$5001,BD!$B$3:$B$5001,M$128,BD!$A$3:$A$5001,_xlfn.MAXIFS(BD!$A$3:$A$5001,BD!$B$3:$B$5001,M$128,BD!$A$3:$A$5001,"&gt;="&amp;$C$7,BD!$A$3:$A$5001,"&lt;="&amp;$B141,BD!$P$3:$P$5001,"&lt;&gt;"))))</f>
        <v/>
      </c>
      <c r="N141" s="54" t="str">
        <f>IF(OR($B141="",$A141&gt;$B$9,N$128=""),"",IF(COUNTIFS(BD!$B$3:$B$5001,N$128,BD!$A$3:$A$5001,"&gt;="&amp;$C$7,BD!$A$3:$A$5001,"&lt;="&amp;$B141,BD!$P$3:$P$5001,"&lt;&gt;")=0,"",SUMIFS(BD!$P$3:$P$5001,BD!$B$3:$B$5001,N$128,BD!$A$3:$A$5001,_xlfn.MAXIFS(BD!$A$3:$A$5001,BD!$B$3:$B$5001,N$128,BD!$A$3:$A$5001,"&gt;="&amp;$C$7,BD!$A$3:$A$5001,"&lt;="&amp;$B141,BD!$P$3:$P$5001,"&lt;&gt;"))))</f>
        <v/>
      </c>
      <c r="O141" s="54" t="str">
        <f>IF(OR($B141="",$A141&gt;$B$9,O$128=""),"",IF(COUNTIFS(BD!$B$3:$B$5001,O$128,BD!$A$3:$A$5001,"&gt;="&amp;$C$7,BD!$A$3:$A$5001,"&lt;="&amp;$B141,BD!$P$3:$P$5001,"&lt;&gt;")=0,"",SUMIFS(BD!$P$3:$P$5001,BD!$B$3:$B$5001,O$128,BD!$A$3:$A$5001,_xlfn.MAXIFS(BD!$A$3:$A$5001,BD!$B$3:$B$5001,O$128,BD!$A$3:$A$5001,"&gt;="&amp;$C$7,BD!$A$3:$A$5001,"&lt;="&amp;$B141,BD!$P$3:$P$5001,"&lt;&gt;"))))</f>
        <v/>
      </c>
      <c r="P141" s="54" t="str">
        <f>IF(OR($B141="",$A141&gt;$B$9,P$128=""),"",IF(COUNTIFS(BD!$B$3:$B$5001,P$128,BD!$A$3:$A$5001,"&gt;="&amp;$C$7,BD!$A$3:$A$5001,"&lt;="&amp;$B141,BD!$P$3:$P$5001,"&lt;&gt;")=0,"",SUMIFS(BD!$P$3:$P$5001,BD!$B$3:$B$5001,P$128,BD!$A$3:$A$5001,_xlfn.MAXIFS(BD!$A$3:$A$5001,BD!$B$3:$B$5001,P$128,BD!$A$3:$A$5001,"&gt;="&amp;$C$7,BD!$A$3:$A$5001,"&lt;="&amp;$B141,BD!$P$3:$P$5001,"&lt;&gt;"))))</f>
        <v/>
      </c>
      <c r="Q141" s="54" t="str">
        <f>IF(OR($B141="",$A141&gt;$B$9,Q$128=""),"",IF(COUNTIFS(BD!$B$3:$B$5001,Q$128,BD!$A$3:$A$5001,"&gt;="&amp;$C$7,BD!$A$3:$A$5001,"&lt;="&amp;$B141,BD!$P$3:$P$5001,"&lt;&gt;")=0,"",SUMIFS(BD!$P$3:$P$5001,BD!$B$3:$B$5001,Q$128,BD!$A$3:$A$5001,_xlfn.MAXIFS(BD!$A$3:$A$5001,BD!$B$3:$B$5001,Q$128,BD!$A$3:$A$5001,"&gt;="&amp;$C$7,BD!$A$3:$A$5001,"&lt;="&amp;$B141,BD!$P$3:$P$5001,"&lt;&gt;"))))</f>
        <v/>
      </c>
      <c r="R141" s="54" t="str">
        <f>IF(OR($B141="",$A141&gt;$B$9,R$128=""),"",IF(COUNTIFS(BD!$B$3:$B$5001,R$128,BD!$A$3:$A$5001,"&gt;="&amp;$C$7,BD!$A$3:$A$5001,"&lt;="&amp;$B141,BD!$P$3:$P$5001,"&lt;&gt;")=0,"",SUMIFS(BD!$P$3:$P$5001,BD!$B$3:$B$5001,R$128,BD!$A$3:$A$5001,_xlfn.MAXIFS(BD!$A$3:$A$5001,BD!$B$3:$B$5001,R$128,BD!$A$3:$A$5001,"&gt;="&amp;$C$7,BD!$A$3:$A$5001,"&lt;="&amp;$B141,BD!$P$3:$P$5001,"&lt;&gt;"))))</f>
        <v/>
      </c>
      <c r="S141" s="54" t="str">
        <f>IF(OR($B141="",$A141&gt;$B$9,S$128=""),"",IF(COUNTIFS(BD!$B$3:$B$5001,S$128,BD!$A$3:$A$5001,"&gt;="&amp;$C$7,BD!$A$3:$A$5001,"&lt;="&amp;$B141,BD!$P$3:$P$5001,"&lt;&gt;")=0,"",SUMIFS(BD!$P$3:$P$5001,BD!$B$3:$B$5001,S$128,BD!$A$3:$A$5001,_xlfn.MAXIFS(BD!$A$3:$A$5001,BD!$B$3:$B$5001,S$128,BD!$A$3:$A$5001,"&gt;="&amp;$C$7,BD!$A$3:$A$5001,"&lt;="&amp;$B141,BD!$P$3:$P$5001,"&lt;&gt;"))))</f>
        <v/>
      </c>
      <c r="T141" s="54" t="str">
        <f>IF(OR($B141="",$A141&gt;$B$9,T$128=""),"",IF(COUNTIFS(BD!$B$3:$B$5001,T$128,BD!$A$3:$A$5001,"&gt;="&amp;$C$7,BD!$A$3:$A$5001,"&lt;="&amp;$B141,BD!$P$3:$P$5001,"&lt;&gt;")=0,"",SUMIFS(BD!$P$3:$P$5001,BD!$B$3:$B$5001,T$128,BD!$A$3:$A$5001,_xlfn.MAXIFS(BD!$A$3:$A$5001,BD!$B$3:$B$5001,T$128,BD!$A$3:$A$5001,"&gt;="&amp;$C$7,BD!$A$3:$A$5001,"&lt;="&amp;$B141,BD!$P$3:$P$5001,"&lt;&gt;"))))</f>
        <v/>
      </c>
      <c r="U141" s="54" t="str">
        <f>IF(OR($B141="",$A141&gt;$B$9,U$128=""),"",IF(COUNTIFS(BD!$B$3:$B$5001,U$128,BD!$A$3:$A$5001,"&gt;="&amp;$C$7,BD!$A$3:$A$5001,"&lt;="&amp;$B141,BD!$P$3:$P$5001,"&lt;&gt;")=0,"",SUMIFS(BD!$P$3:$P$5001,BD!$B$3:$B$5001,U$128,BD!$A$3:$A$5001,_xlfn.MAXIFS(BD!$A$3:$A$5001,BD!$B$3:$B$5001,U$128,BD!$A$3:$A$5001,"&gt;="&amp;$C$7,BD!$A$3:$A$5001,"&lt;="&amp;$B141,BD!$P$3:$P$5001,"&lt;&gt;"))))</f>
        <v/>
      </c>
      <c r="V141" s="54" t="str">
        <f>IF(OR($B141="",$A141&gt;$B$9,V$128=""),"",IF(COUNTIFS(BD!$B$3:$B$5001,V$128,BD!$A$3:$A$5001,"&gt;="&amp;$C$7,BD!$A$3:$A$5001,"&lt;="&amp;$B141,BD!$P$3:$P$5001,"&lt;&gt;")=0,"",SUMIFS(BD!$P$3:$P$5001,BD!$B$3:$B$5001,V$128,BD!$A$3:$A$5001,_xlfn.MAXIFS(BD!$A$3:$A$5001,BD!$B$3:$B$5001,V$128,BD!$A$3:$A$5001,"&gt;="&amp;$C$7,BD!$A$3:$A$5001,"&lt;="&amp;$B141,BD!$P$3:$P$5001,"&lt;&gt;"))))</f>
        <v/>
      </c>
    </row>
    <row r="142">
      <c r="A142" s="48">
        <v>14</v>
      </c>
      <c r="B142" s="53">
        <f>$B$25</f>
        <v>46309</v>
      </c>
      <c r="C142" s="54" t="str">
        <f>IF(OR($B142="",$A142&gt;$B$9,C$128=""),"",IF(COUNTIFS(BD!$B$3:$B$5001,C$128,BD!$A$3:$A$5001,"&gt;="&amp;$C$7,BD!$A$3:$A$5001,"&lt;="&amp;$B142,BD!$P$3:$P$5001,"&lt;&gt;")=0,"",SUMIFS(BD!$P$3:$P$5001,BD!$B$3:$B$5001,C$128,BD!$A$3:$A$5001,_xlfn.MAXIFS(BD!$A$3:$A$5001,BD!$B$3:$B$5001,C$128,BD!$A$3:$A$5001,"&gt;="&amp;$C$7,BD!$A$3:$A$5001,"&lt;="&amp;$B142,BD!$P$3:$P$5001,"&lt;&gt;"))))</f>
        <v/>
      </c>
      <c r="D142" s="54" t="str">
        <f>IF(OR($B142="",$A142&gt;$B$9,D$128=""),"",IF(COUNTIFS(BD!$B$3:$B$5001,D$128,BD!$A$3:$A$5001,"&gt;="&amp;$C$7,BD!$A$3:$A$5001,"&lt;="&amp;$B142,BD!$P$3:$P$5001,"&lt;&gt;")=0,"",SUMIFS(BD!$P$3:$P$5001,BD!$B$3:$B$5001,D$128,BD!$A$3:$A$5001,_xlfn.MAXIFS(BD!$A$3:$A$5001,BD!$B$3:$B$5001,D$128,BD!$A$3:$A$5001,"&gt;="&amp;$C$7,BD!$A$3:$A$5001,"&lt;="&amp;$B142,BD!$P$3:$P$5001,"&lt;&gt;"))))</f>
        <v/>
      </c>
      <c r="E142" s="54" t="str">
        <f>IF(OR($B142="",$A142&gt;$B$9,E$128=""),"",IF(COUNTIFS(BD!$B$3:$B$5001,E$128,BD!$A$3:$A$5001,"&gt;="&amp;$C$7,BD!$A$3:$A$5001,"&lt;="&amp;$B142,BD!$P$3:$P$5001,"&lt;&gt;")=0,"",SUMIFS(BD!$P$3:$P$5001,BD!$B$3:$B$5001,E$128,BD!$A$3:$A$5001,_xlfn.MAXIFS(BD!$A$3:$A$5001,BD!$B$3:$B$5001,E$128,BD!$A$3:$A$5001,"&gt;="&amp;$C$7,BD!$A$3:$A$5001,"&lt;="&amp;$B142,BD!$P$3:$P$5001,"&lt;&gt;"))))</f>
        <v/>
      </c>
      <c r="F142" s="54" t="str">
        <f>IF(OR($B142="",$A142&gt;$B$9,F$128=""),"",IF(COUNTIFS(BD!$B$3:$B$5001,F$128,BD!$A$3:$A$5001,"&gt;="&amp;$C$7,BD!$A$3:$A$5001,"&lt;="&amp;$B142,BD!$P$3:$P$5001,"&lt;&gt;")=0,"",SUMIFS(BD!$P$3:$P$5001,BD!$B$3:$B$5001,F$128,BD!$A$3:$A$5001,_xlfn.MAXIFS(BD!$A$3:$A$5001,BD!$B$3:$B$5001,F$128,BD!$A$3:$A$5001,"&gt;="&amp;$C$7,BD!$A$3:$A$5001,"&lt;="&amp;$B142,BD!$P$3:$P$5001,"&lt;&gt;"))))</f>
        <v/>
      </c>
      <c r="G142" s="54" t="str">
        <f>IF(OR($B142="",$A142&gt;$B$9,G$128=""),"",IF(COUNTIFS(BD!$B$3:$B$5001,G$128,BD!$A$3:$A$5001,"&gt;="&amp;$C$7,BD!$A$3:$A$5001,"&lt;="&amp;$B142,BD!$P$3:$P$5001,"&lt;&gt;")=0,"",SUMIFS(BD!$P$3:$P$5001,BD!$B$3:$B$5001,G$128,BD!$A$3:$A$5001,_xlfn.MAXIFS(BD!$A$3:$A$5001,BD!$B$3:$B$5001,G$128,BD!$A$3:$A$5001,"&gt;="&amp;$C$7,BD!$A$3:$A$5001,"&lt;="&amp;$B142,BD!$P$3:$P$5001,"&lt;&gt;"))))</f>
        <v/>
      </c>
      <c r="H142" s="54" t="str">
        <f>IF(OR($B142="",$A142&gt;$B$9,H$128=""),"",IF(COUNTIFS(BD!$B$3:$B$5001,H$128,BD!$A$3:$A$5001,"&gt;="&amp;$C$7,BD!$A$3:$A$5001,"&lt;="&amp;$B142,BD!$P$3:$P$5001,"&lt;&gt;")=0,"",SUMIFS(BD!$P$3:$P$5001,BD!$B$3:$B$5001,H$128,BD!$A$3:$A$5001,_xlfn.MAXIFS(BD!$A$3:$A$5001,BD!$B$3:$B$5001,H$128,BD!$A$3:$A$5001,"&gt;="&amp;$C$7,BD!$A$3:$A$5001,"&lt;="&amp;$B142,BD!$P$3:$P$5001,"&lt;&gt;"))))</f>
        <v/>
      </c>
      <c r="I142" s="54" t="str">
        <f>IF(OR($B142="",$A142&gt;$B$9,I$128=""),"",IF(COUNTIFS(BD!$B$3:$B$5001,I$128,BD!$A$3:$A$5001,"&gt;="&amp;$C$7,BD!$A$3:$A$5001,"&lt;="&amp;$B142,BD!$P$3:$P$5001,"&lt;&gt;")=0,"",SUMIFS(BD!$P$3:$P$5001,BD!$B$3:$B$5001,I$128,BD!$A$3:$A$5001,_xlfn.MAXIFS(BD!$A$3:$A$5001,BD!$B$3:$B$5001,I$128,BD!$A$3:$A$5001,"&gt;="&amp;$C$7,BD!$A$3:$A$5001,"&lt;="&amp;$B142,BD!$P$3:$P$5001,"&lt;&gt;"))))</f>
        <v/>
      </c>
      <c r="J142" s="54" t="str">
        <f>IF(OR($B142="",$A142&gt;$B$9,J$128=""),"",IF(COUNTIFS(BD!$B$3:$B$5001,J$128,BD!$A$3:$A$5001,"&gt;="&amp;$C$7,BD!$A$3:$A$5001,"&lt;="&amp;$B142,BD!$P$3:$P$5001,"&lt;&gt;")=0,"",SUMIFS(BD!$P$3:$P$5001,BD!$B$3:$B$5001,J$128,BD!$A$3:$A$5001,_xlfn.MAXIFS(BD!$A$3:$A$5001,BD!$B$3:$B$5001,J$128,BD!$A$3:$A$5001,"&gt;="&amp;$C$7,BD!$A$3:$A$5001,"&lt;="&amp;$B142,BD!$P$3:$P$5001,"&lt;&gt;"))))</f>
        <v/>
      </c>
      <c r="K142" s="54" t="str">
        <f>IF(OR($B142="",$A142&gt;$B$9,K$128=""),"",IF(COUNTIFS(BD!$B$3:$B$5001,K$128,BD!$A$3:$A$5001,"&gt;="&amp;$C$7,BD!$A$3:$A$5001,"&lt;="&amp;$B142,BD!$P$3:$P$5001,"&lt;&gt;")=0,"",SUMIFS(BD!$P$3:$P$5001,BD!$B$3:$B$5001,K$128,BD!$A$3:$A$5001,_xlfn.MAXIFS(BD!$A$3:$A$5001,BD!$B$3:$B$5001,K$128,BD!$A$3:$A$5001,"&gt;="&amp;$C$7,BD!$A$3:$A$5001,"&lt;="&amp;$B142,BD!$P$3:$P$5001,"&lt;&gt;"))))</f>
        <v/>
      </c>
      <c r="L142" s="54" t="str">
        <f>IF(OR($B142="",$A142&gt;$B$9,L$128=""),"",IF(COUNTIFS(BD!$B$3:$B$5001,L$128,BD!$A$3:$A$5001,"&gt;="&amp;$C$7,BD!$A$3:$A$5001,"&lt;="&amp;$B142,BD!$P$3:$P$5001,"&lt;&gt;")=0,"",SUMIFS(BD!$P$3:$P$5001,BD!$B$3:$B$5001,L$128,BD!$A$3:$A$5001,_xlfn.MAXIFS(BD!$A$3:$A$5001,BD!$B$3:$B$5001,L$128,BD!$A$3:$A$5001,"&gt;="&amp;$C$7,BD!$A$3:$A$5001,"&lt;="&amp;$B142,BD!$P$3:$P$5001,"&lt;&gt;"))))</f>
        <v/>
      </c>
      <c r="M142" s="54" t="str">
        <f>IF(OR($B142="",$A142&gt;$B$9,M$128=""),"",IF(COUNTIFS(BD!$B$3:$B$5001,M$128,BD!$A$3:$A$5001,"&gt;="&amp;$C$7,BD!$A$3:$A$5001,"&lt;="&amp;$B142,BD!$P$3:$P$5001,"&lt;&gt;")=0,"",SUMIFS(BD!$P$3:$P$5001,BD!$B$3:$B$5001,M$128,BD!$A$3:$A$5001,_xlfn.MAXIFS(BD!$A$3:$A$5001,BD!$B$3:$B$5001,M$128,BD!$A$3:$A$5001,"&gt;="&amp;$C$7,BD!$A$3:$A$5001,"&lt;="&amp;$B142,BD!$P$3:$P$5001,"&lt;&gt;"))))</f>
        <v/>
      </c>
      <c r="N142" s="54" t="str">
        <f>IF(OR($B142="",$A142&gt;$B$9,N$128=""),"",IF(COUNTIFS(BD!$B$3:$B$5001,N$128,BD!$A$3:$A$5001,"&gt;="&amp;$C$7,BD!$A$3:$A$5001,"&lt;="&amp;$B142,BD!$P$3:$P$5001,"&lt;&gt;")=0,"",SUMIFS(BD!$P$3:$P$5001,BD!$B$3:$B$5001,N$128,BD!$A$3:$A$5001,_xlfn.MAXIFS(BD!$A$3:$A$5001,BD!$B$3:$B$5001,N$128,BD!$A$3:$A$5001,"&gt;="&amp;$C$7,BD!$A$3:$A$5001,"&lt;="&amp;$B142,BD!$P$3:$P$5001,"&lt;&gt;"))))</f>
        <v/>
      </c>
      <c r="O142" s="54" t="str">
        <f>IF(OR($B142="",$A142&gt;$B$9,O$128=""),"",IF(COUNTIFS(BD!$B$3:$B$5001,O$128,BD!$A$3:$A$5001,"&gt;="&amp;$C$7,BD!$A$3:$A$5001,"&lt;="&amp;$B142,BD!$P$3:$P$5001,"&lt;&gt;")=0,"",SUMIFS(BD!$P$3:$P$5001,BD!$B$3:$B$5001,O$128,BD!$A$3:$A$5001,_xlfn.MAXIFS(BD!$A$3:$A$5001,BD!$B$3:$B$5001,O$128,BD!$A$3:$A$5001,"&gt;="&amp;$C$7,BD!$A$3:$A$5001,"&lt;="&amp;$B142,BD!$P$3:$P$5001,"&lt;&gt;"))))</f>
        <v/>
      </c>
      <c r="P142" s="54" t="str">
        <f>IF(OR($B142="",$A142&gt;$B$9,P$128=""),"",IF(COUNTIFS(BD!$B$3:$B$5001,P$128,BD!$A$3:$A$5001,"&gt;="&amp;$C$7,BD!$A$3:$A$5001,"&lt;="&amp;$B142,BD!$P$3:$P$5001,"&lt;&gt;")=0,"",SUMIFS(BD!$P$3:$P$5001,BD!$B$3:$B$5001,P$128,BD!$A$3:$A$5001,_xlfn.MAXIFS(BD!$A$3:$A$5001,BD!$B$3:$B$5001,P$128,BD!$A$3:$A$5001,"&gt;="&amp;$C$7,BD!$A$3:$A$5001,"&lt;="&amp;$B142,BD!$P$3:$P$5001,"&lt;&gt;"))))</f>
        <v/>
      </c>
      <c r="Q142" s="54" t="str">
        <f>IF(OR($B142="",$A142&gt;$B$9,Q$128=""),"",IF(COUNTIFS(BD!$B$3:$B$5001,Q$128,BD!$A$3:$A$5001,"&gt;="&amp;$C$7,BD!$A$3:$A$5001,"&lt;="&amp;$B142,BD!$P$3:$P$5001,"&lt;&gt;")=0,"",SUMIFS(BD!$P$3:$P$5001,BD!$B$3:$B$5001,Q$128,BD!$A$3:$A$5001,_xlfn.MAXIFS(BD!$A$3:$A$5001,BD!$B$3:$B$5001,Q$128,BD!$A$3:$A$5001,"&gt;="&amp;$C$7,BD!$A$3:$A$5001,"&lt;="&amp;$B142,BD!$P$3:$P$5001,"&lt;&gt;"))))</f>
        <v/>
      </c>
      <c r="R142" s="54" t="str">
        <f>IF(OR($B142="",$A142&gt;$B$9,R$128=""),"",IF(COUNTIFS(BD!$B$3:$B$5001,R$128,BD!$A$3:$A$5001,"&gt;="&amp;$C$7,BD!$A$3:$A$5001,"&lt;="&amp;$B142,BD!$P$3:$P$5001,"&lt;&gt;")=0,"",SUMIFS(BD!$P$3:$P$5001,BD!$B$3:$B$5001,R$128,BD!$A$3:$A$5001,_xlfn.MAXIFS(BD!$A$3:$A$5001,BD!$B$3:$B$5001,R$128,BD!$A$3:$A$5001,"&gt;="&amp;$C$7,BD!$A$3:$A$5001,"&lt;="&amp;$B142,BD!$P$3:$P$5001,"&lt;&gt;"))))</f>
        <v/>
      </c>
      <c r="S142" s="54" t="str">
        <f>IF(OR($B142="",$A142&gt;$B$9,S$128=""),"",IF(COUNTIFS(BD!$B$3:$B$5001,S$128,BD!$A$3:$A$5001,"&gt;="&amp;$C$7,BD!$A$3:$A$5001,"&lt;="&amp;$B142,BD!$P$3:$P$5001,"&lt;&gt;")=0,"",SUMIFS(BD!$P$3:$P$5001,BD!$B$3:$B$5001,S$128,BD!$A$3:$A$5001,_xlfn.MAXIFS(BD!$A$3:$A$5001,BD!$B$3:$B$5001,S$128,BD!$A$3:$A$5001,"&gt;="&amp;$C$7,BD!$A$3:$A$5001,"&lt;="&amp;$B142,BD!$P$3:$P$5001,"&lt;&gt;"))))</f>
        <v/>
      </c>
      <c r="T142" s="54" t="str">
        <f>IF(OR($B142="",$A142&gt;$B$9,T$128=""),"",IF(COUNTIFS(BD!$B$3:$B$5001,T$128,BD!$A$3:$A$5001,"&gt;="&amp;$C$7,BD!$A$3:$A$5001,"&lt;="&amp;$B142,BD!$P$3:$P$5001,"&lt;&gt;")=0,"",SUMIFS(BD!$P$3:$P$5001,BD!$B$3:$B$5001,T$128,BD!$A$3:$A$5001,_xlfn.MAXIFS(BD!$A$3:$A$5001,BD!$B$3:$B$5001,T$128,BD!$A$3:$A$5001,"&gt;="&amp;$C$7,BD!$A$3:$A$5001,"&lt;="&amp;$B142,BD!$P$3:$P$5001,"&lt;&gt;"))))</f>
        <v/>
      </c>
      <c r="U142" s="54" t="str">
        <f>IF(OR($B142="",$A142&gt;$B$9,U$128=""),"",IF(COUNTIFS(BD!$B$3:$B$5001,U$128,BD!$A$3:$A$5001,"&gt;="&amp;$C$7,BD!$A$3:$A$5001,"&lt;="&amp;$B142,BD!$P$3:$P$5001,"&lt;&gt;")=0,"",SUMIFS(BD!$P$3:$P$5001,BD!$B$3:$B$5001,U$128,BD!$A$3:$A$5001,_xlfn.MAXIFS(BD!$A$3:$A$5001,BD!$B$3:$B$5001,U$128,BD!$A$3:$A$5001,"&gt;="&amp;$C$7,BD!$A$3:$A$5001,"&lt;="&amp;$B142,BD!$P$3:$P$5001,"&lt;&gt;"))))</f>
        <v/>
      </c>
      <c r="V142" s="54" t="str">
        <f>IF(OR($B142="",$A142&gt;$B$9,V$128=""),"",IF(COUNTIFS(BD!$B$3:$B$5001,V$128,BD!$A$3:$A$5001,"&gt;="&amp;$C$7,BD!$A$3:$A$5001,"&lt;="&amp;$B142,BD!$P$3:$P$5001,"&lt;&gt;")=0,"",SUMIFS(BD!$P$3:$P$5001,BD!$B$3:$B$5001,V$128,BD!$A$3:$A$5001,_xlfn.MAXIFS(BD!$A$3:$A$5001,BD!$B$3:$B$5001,V$128,BD!$A$3:$A$5001,"&gt;="&amp;$C$7,BD!$A$3:$A$5001,"&lt;="&amp;$B142,BD!$P$3:$P$5001,"&lt;&gt;"))))</f>
        <v/>
      </c>
    </row>
    <row r="143">
      <c r="A143" s="48">
        <v>15</v>
      </c>
      <c r="B143" s="53">
        <f>$B$26</f>
        <v>46310</v>
      </c>
      <c r="C143" s="54" t="str">
        <f>IF(OR($B143="",$A143&gt;$B$9,C$128=""),"",IF(COUNTIFS(BD!$B$3:$B$5001,C$128,BD!$A$3:$A$5001,"&gt;="&amp;$C$7,BD!$A$3:$A$5001,"&lt;="&amp;$B143,BD!$P$3:$P$5001,"&lt;&gt;")=0,"",SUMIFS(BD!$P$3:$P$5001,BD!$B$3:$B$5001,C$128,BD!$A$3:$A$5001,_xlfn.MAXIFS(BD!$A$3:$A$5001,BD!$B$3:$B$5001,C$128,BD!$A$3:$A$5001,"&gt;="&amp;$C$7,BD!$A$3:$A$5001,"&lt;="&amp;$B143,BD!$P$3:$P$5001,"&lt;&gt;"))))</f>
        <v/>
      </c>
      <c r="D143" s="54" t="str">
        <f>IF(OR($B143="",$A143&gt;$B$9,D$128=""),"",IF(COUNTIFS(BD!$B$3:$B$5001,D$128,BD!$A$3:$A$5001,"&gt;="&amp;$C$7,BD!$A$3:$A$5001,"&lt;="&amp;$B143,BD!$P$3:$P$5001,"&lt;&gt;")=0,"",SUMIFS(BD!$P$3:$P$5001,BD!$B$3:$B$5001,D$128,BD!$A$3:$A$5001,_xlfn.MAXIFS(BD!$A$3:$A$5001,BD!$B$3:$B$5001,D$128,BD!$A$3:$A$5001,"&gt;="&amp;$C$7,BD!$A$3:$A$5001,"&lt;="&amp;$B143,BD!$P$3:$P$5001,"&lt;&gt;"))))</f>
        <v/>
      </c>
      <c r="E143" s="54" t="str">
        <f>IF(OR($B143="",$A143&gt;$B$9,E$128=""),"",IF(COUNTIFS(BD!$B$3:$B$5001,E$128,BD!$A$3:$A$5001,"&gt;="&amp;$C$7,BD!$A$3:$A$5001,"&lt;="&amp;$B143,BD!$P$3:$P$5001,"&lt;&gt;")=0,"",SUMIFS(BD!$P$3:$P$5001,BD!$B$3:$B$5001,E$128,BD!$A$3:$A$5001,_xlfn.MAXIFS(BD!$A$3:$A$5001,BD!$B$3:$B$5001,E$128,BD!$A$3:$A$5001,"&gt;="&amp;$C$7,BD!$A$3:$A$5001,"&lt;="&amp;$B143,BD!$P$3:$P$5001,"&lt;&gt;"))))</f>
        <v/>
      </c>
      <c r="F143" s="54" t="str">
        <f>IF(OR($B143="",$A143&gt;$B$9,F$128=""),"",IF(COUNTIFS(BD!$B$3:$B$5001,F$128,BD!$A$3:$A$5001,"&gt;="&amp;$C$7,BD!$A$3:$A$5001,"&lt;="&amp;$B143,BD!$P$3:$P$5001,"&lt;&gt;")=0,"",SUMIFS(BD!$P$3:$P$5001,BD!$B$3:$B$5001,F$128,BD!$A$3:$A$5001,_xlfn.MAXIFS(BD!$A$3:$A$5001,BD!$B$3:$B$5001,F$128,BD!$A$3:$A$5001,"&gt;="&amp;$C$7,BD!$A$3:$A$5001,"&lt;="&amp;$B143,BD!$P$3:$P$5001,"&lt;&gt;"))))</f>
        <v/>
      </c>
      <c r="G143" s="54" t="str">
        <f>IF(OR($B143="",$A143&gt;$B$9,G$128=""),"",IF(COUNTIFS(BD!$B$3:$B$5001,G$128,BD!$A$3:$A$5001,"&gt;="&amp;$C$7,BD!$A$3:$A$5001,"&lt;="&amp;$B143,BD!$P$3:$P$5001,"&lt;&gt;")=0,"",SUMIFS(BD!$P$3:$P$5001,BD!$B$3:$B$5001,G$128,BD!$A$3:$A$5001,_xlfn.MAXIFS(BD!$A$3:$A$5001,BD!$B$3:$B$5001,G$128,BD!$A$3:$A$5001,"&gt;="&amp;$C$7,BD!$A$3:$A$5001,"&lt;="&amp;$B143,BD!$P$3:$P$5001,"&lt;&gt;"))))</f>
        <v/>
      </c>
      <c r="H143" s="54" t="str">
        <f>IF(OR($B143="",$A143&gt;$B$9,H$128=""),"",IF(COUNTIFS(BD!$B$3:$B$5001,H$128,BD!$A$3:$A$5001,"&gt;="&amp;$C$7,BD!$A$3:$A$5001,"&lt;="&amp;$B143,BD!$P$3:$P$5001,"&lt;&gt;")=0,"",SUMIFS(BD!$P$3:$P$5001,BD!$B$3:$B$5001,H$128,BD!$A$3:$A$5001,_xlfn.MAXIFS(BD!$A$3:$A$5001,BD!$B$3:$B$5001,H$128,BD!$A$3:$A$5001,"&gt;="&amp;$C$7,BD!$A$3:$A$5001,"&lt;="&amp;$B143,BD!$P$3:$P$5001,"&lt;&gt;"))))</f>
        <v/>
      </c>
      <c r="I143" s="54" t="str">
        <f>IF(OR($B143="",$A143&gt;$B$9,I$128=""),"",IF(COUNTIFS(BD!$B$3:$B$5001,I$128,BD!$A$3:$A$5001,"&gt;="&amp;$C$7,BD!$A$3:$A$5001,"&lt;="&amp;$B143,BD!$P$3:$P$5001,"&lt;&gt;")=0,"",SUMIFS(BD!$P$3:$P$5001,BD!$B$3:$B$5001,I$128,BD!$A$3:$A$5001,_xlfn.MAXIFS(BD!$A$3:$A$5001,BD!$B$3:$B$5001,I$128,BD!$A$3:$A$5001,"&gt;="&amp;$C$7,BD!$A$3:$A$5001,"&lt;="&amp;$B143,BD!$P$3:$P$5001,"&lt;&gt;"))))</f>
        <v/>
      </c>
      <c r="J143" s="54" t="str">
        <f>IF(OR($B143="",$A143&gt;$B$9,J$128=""),"",IF(COUNTIFS(BD!$B$3:$B$5001,J$128,BD!$A$3:$A$5001,"&gt;="&amp;$C$7,BD!$A$3:$A$5001,"&lt;="&amp;$B143,BD!$P$3:$P$5001,"&lt;&gt;")=0,"",SUMIFS(BD!$P$3:$P$5001,BD!$B$3:$B$5001,J$128,BD!$A$3:$A$5001,_xlfn.MAXIFS(BD!$A$3:$A$5001,BD!$B$3:$B$5001,J$128,BD!$A$3:$A$5001,"&gt;="&amp;$C$7,BD!$A$3:$A$5001,"&lt;="&amp;$B143,BD!$P$3:$P$5001,"&lt;&gt;"))))</f>
        <v/>
      </c>
      <c r="K143" s="54" t="str">
        <f>IF(OR($B143="",$A143&gt;$B$9,K$128=""),"",IF(COUNTIFS(BD!$B$3:$B$5001,K$128,BD!$A$3:$A$5001,"&gt;="&amp;$C$7,BD!$A$3:$A$5001,"&lt;="&amp;$B143,BD!$P$3:$P$5001,"&lt;&gt;")=0,"",SUMIFS(BD!$P$3:$P$5001,BD!$B$3:$B$5001,K$128,BD!$A$3:$A$5001,_xlfn.MAXIFS(BD!$A$3:$A$5001,BD!$B$3:$B$5001,K$128,BD!$A$3:$A$5001,"&gt;="&amp;$C$7,BD!$A$3:$A$5001,"&lt;="&amp;$B143,BD!$P$3:$P$5001,"&lt;&gt;"))))</f>
        <v/>
      </c>
      <c r="L143" s="54" t="str">
        <f>IF(OR($B143="",$A143&gt;$B$9,L$128=""),"",IF(COUNTIFS(BD!$B$3:$B$5001,L$128,BD!$A$3:$A$5001,"&gt;="&amp;$C$7,BD!$A$3:$A$5001,"&lt;="&amp;$B143,BD!$P$3:$P$5001,"&lt;&gt;")=0,"",SUMIFS(BD!$P$3:$P$5001,BD!$B$3:$B$5001,L$128,BD!$A$3:$A$5001,_xlfn.MAXIFS(BD!$A$3:$A$5001,BD!$B$3:$B$5001,L$128,BD!$A$3:$A$5001,"&gt;="&amp;$C$7,BD!$A$3:$A$5001,"&lt;="&amp;$B143,BD!$P$3:$P$5001,"&lt;&gt;"))))</f>
        <v/>
      </c>
      <c r="M143" s="54" t="str">
        <f>IF(OR($B143="",$A143&gt;$B$9,M$128=""),"",IF(COUNTIFS(BD!$B$3:$B$5001,M$128,BD!$A$3:$A$5001,"&gt;="&amp;$C$7,BD!$A$3:$A$5001,"&lt;="&amp;$B143,BD!$P$3:$P$5001,"&lt;&gt;")=0,"",SUMIFS(BD!$P$3:$P$5001,BD!$B$3:$B$5001,M$128,BD!$A$3:$A$5001,_xlfn.MAXIFS(BD!$A$3:$A$5001,BD!$B$3:$B$5001,M$128,BD!$A$3:$A$5001,"&gt;="&amp;$C$7,BD!$A$3:$A$5001,"&lt;="&amp;$B143,BD!$P$3:$P$5001,"&lt;&gt;"))))</f>
        <v/>
      </c>
      <c r="N143" s="54" t="str">
        <f>IF(OR($B143="",$A143&gt;$B$9,N$128=""),"",IF(COUNTIFS(BD!$B$3:$B$5001,N$128,BD!$A$3:$A$5001,"&gt;="&amp;$C$7,BD!$A$3:$A$5001,"&lt;="&amp;$B143,BD!$P$3:$P$5001,"&lt;&gt;")=0,"",SUMIFS(BD!$P$3:$P$5001,BD!$B$3:$B$5001,N$128,BD!$A$3:$A$5001,_xlfn.MAXIFS(BD!$A$3:$A$5001,BD!$B$3:$B$5001,N$128,BD!$A$3:$A$5001,"&gt;="&amp;$C$7,BD!$A$3:$A$5001,"&lt;="&amp;$B143,BD!$P$3:$P$5001,"&lt;&gt;"))))</f>
        <v/>
      </c>
      <c r="O143" s="54" t="str">
        <f>IF(OR($B143="",$A143&gt;$B$9,O$128=""),"",IF(COUNTIFS(BD!$B$3:$B$5001,O$128,BD!$A$3:$A$5001,"&gt;="&amp;$C$7,BD!$A$3:$A$5001,"&lt;="&amp;$B143,BD!$P$3:$P$5001,"&lt;&gt;")=0,"",SUMIFS(BD!$P$3:$P$5001,BD!$B$3:$B$5001,O$128,BD!$A$3:$A$5001,_xlfn.MAXIFS(BD!$A$3:$A$5001,BD!$B$3:$B$5001,O$128,BD!$A$3:$A$5001,"&gt;="&amp;$C$7,BD!$A$3:$A$5001,"&lt;="&amp;$B143,BD!$P$3:$P$5001,"&lt;&gt;"))))</f>
        <v/>
      </c>
      <c r="P143" s="54" t="str">
        <f>IF(OR($B143="",$A143&gt;$B$9,P$128=""),"",IF(COUNTIFS(BD!$B$3:$B$5001,P$128,BD!$A$3:$A$5001,"&gt;="&amp;$C$7,BD!$A$3:$A$5001,"&lt;="&amp;$B143,BD!$P$3:$P$5001,"&lt;&gt;")=0,"",SUMIFS(BD!$P$3:$P$5001,BD!$B$3:$B$5001,P$128,BD!$A$3:$A$5001,_xlfn.MAXIFS(BD!$A$3:$A$5001,BD!$B$3:$B$5001,P$128,BD!$A$3:$A$5001,"&gt;="&amp;$C$7,BD!$A$3:$A$5001,"&lt;="&amp;$B143,BD!$P$3:$P$5001,"&lt;&gt;"))))</f>
        <v/>
      </c>
      <c r="Q143" s="54" t="str">
        <f>IF(OR($B143="",$A143&gt;$B$9,Q$128=""),"",IF(COUNTIFS(BD!$B$3:$B$5001,Q$128,BD!$A$3:$A$5001,"&gt;="&amp;$C$7,BD!$A$3:$A$5001,"&lt;="&amp;$B143,BD!$P$3:$P$5001,"&lt;&gt;")=0,"",SUMIFS(BD!$P$3:$P$5001,BD!$B$3:$B$5001,Q$128,BD!$A$3:$A$5001,_xlfn.MAXIFS(BD!$A$3:$A$5001,BD!$B$3:$B$5001,Q$128,BD!$A$3:$A$5001,"&gt;="&amp;$C$7,BD!$A$3:$A$5001,"&lt;="&amp;$B143,BD!$P$3:$P$5001,"&lt;&gt;"))))</f>
        <v/>
      </c>
      <c r="R143" s="54" t="str">
        <f>IF(OR($B143="",$A143&gt;$B$9,R$128=""),"",IF(COUNTIFS(BD!$B$3:$B$5001,R$128,BD!$A$3:$A$5001,"&gt;="&amp;$C$7,BD!$A$3:$A$5001,"&lt;="&amp;$B143,BD!$P$3:$P$5001,"&lt;&gt;")=0,"",SUMIFS(BD!$P$3:$P$5001,BD!$B$3:$B$5001,R$128,BD!$A$3:$A$5001,_xlfn.MAXIFS(BD!$A$3:$A$5001,BD!$B$3:$B$5001,R$128,BD!$A$3:$A$5001,"&gt;="&amp;$C$7,BD!$A$3:$A$5001,"&lt;="&amp;$B143,BD!$P$3:$P$5001,"&lt;&gt;"))))</f>
        <v/>
      </c>
      <c r="S143" s="54" t="str">
        <f>IF(OR($B143="",$A143&gt;$B$9,S$128=""),"",IF(COUNTIFS(BD!$B$3:$B$5001,S$128,BD!$A$3:$A$5001,"&gt;="&amp;$C$7,BD!$A$3:$A$5001,"&lt;="&amp;$B143,BD!$P$3:$P$5001,"&lt;&gt;")=0,"",SUMIFS(BD!$P$3:$P$5001,BD!$B$3:$B$5001,S$128,BD!$A$3:$A$5001,_xlfn.MAXIFS(BD!$A$3:$A$5001,BD!$B$3:$B$5001,S$128,BD!$A$3:$A$5001,"&gt;="&amp;$C$7,BD!$A$3:$A$5001,"&lt;="&amp;$B143,BD!$P$3:$P$5001,"&lt;&gt;"))))</f>
        <v/>
      </c>
      <c r="T143" s="54" t="str">
        <f>IF(OR($B143="",$A143&gt;$B$9,T$128=""),"",IF(COUNTIFS(BD!$B$3:$B$5001,T$128,BD!$A$3:$A$5001,"&gt;="&amp;$C$7,BD!$A$3:$A$5001,"&lt;="&amp;$B143,BD!$P$3:$P$5001,"&lt;&gt;")=0,"",SUMIFS(BD!$P$3:$P$5001,BD!$B$3:$B$5001,T$128,BD!$A$3:$A$5001,_xlfn.MAXIFS(BD!$A$3:$A$5001,BD!$B$3:$B$5001,T$128,BD!$A$3:$A$5001,"&gt;="&amp;$C$7,BD!$A$3:$A$5001,"&lt;="&amp;$B143,BD!$P$3:$P$5001,"&lt;&gt;"))))</f>
        <v/>
      </c>
      <c r="U143" s="54" t="str">
        <f>IF(OR($B143="",$A143&gt;$B$9,U$128=""),"",IF(COUNTIFS(BD!$B$3:$B$5001,U$128,BD!$A$3:$A$5001,"&gt;="&amp;$C$7,BD!$A$3:$A$5001,"&lt;="&amp;$B143,BD!$P$3:$P$5001,"&lt;&gt;")=0,"",SUMIFS(BD!$P$3:$P$5001,BD!$B$3:$B$5001,U$128,BD!$A$3:$A$5001,_xlfn.MAXIFS(BD!$A$3:$A$5001,BD!$B$3:$B$5001,U$128,BD!$A$3:$A$5001,"&gt;="&amp;$C$7,BD!$A$3:$A$5001,"&lt;="&amp;$B143,BD!$P$3:$P$5001,"&lt;&gt;"))))</f>
        <v/>
      </c>
      <c r="V143" s="54" t="str">
        <f>IF(OR($B143="",$A143&gt;$B$9,V$128=""),"",IF(COUNTIFS(BD!$B$3:$B$5001,V$128,BD!$A$3:$A$5001,"&gt;="&amp;$C$7,BD!$A$3:$A$5001,"&lt;="&amp;$B143,BD!$P$3:$P$5001,"&lt;&gt;")=0,"",SUMIFS(BD!$P$3:$P$5001,BD!$B$3:$B$5001,V$128,BD!$A$3:$A$5001,_xlfn.MAXIFS(BD!$A$3:$A$5001,BD!$B$3:$B$5001,V$128,BD!$A$3:$A$5001,"&gt;="&amp;$C$7,BD!$A$3:$A$5001,"&lt;="&amp;$B143,BD!$P$3:$P$5001,"&lt;&gt;"))))</f>
        <v/>
      </c>
    </row>
    <row r="144">
      <c r="A144" s="48">
        <v>16</v>
      </c>
      <c r="B144" s="53">
        <f>$B$27</f>
        <v>46311</v>
      </c>
      <c r="C144" s="54" t="str">
        <f>IF(OR($B144="",$A144&gt;$B$9,C$128=""),"",IF(COUNTIFS(BD!$B$3:$B$5001,C$128,BD!$A$3:$A$5001,"&gt;="&amp;$C$7,BD!$A$3:$A$5001,"&lt;="&amp;$B144,BD!$P$3:$P$5001,"&lt;&gt;")=0,"",SUMIFS(BD!$P$3:$P$5001,BD!$B$3:$B$5001,C$128,BD!$A$3:$A$5001,_xlfn.MAXIFS(BD!$A$3:$A$5001,BD!$B$3:$B$5001,C$128,BD!$A$3:$A$5001,"&gt;="&amp;$C$7,BD!$A$3:$A$5001,"&lt;="&amp;$B144,BD!$P$3:$P$5001,"&lt;&gt;"))))</f>
        <v/>
      </c>
      <c r="D144" s="54" t="str">
        <f>IF(OR($B144="",$A144&gt;$B$9,D$128=""),"",IF(COUNTIFS(BD!$B$3:$B$5001,D$128,BD!$A$3:$A$5001,"&gt;="&amp;$C$7,BD!$A$3:$A$5001,"&lt;="&amp;$B144,BD!$P$3:$P$5001,"&lt;&gt;")=0,"",SUMIFS(BD!$P$3:$P$5001,BD!$B$3:$B$5001,D$128,BD!$A$3:$A$5001,_xlfn.MAXIFS(BD!$A$3:$A$5001,BD!$B$3:$B$5001,D$128,BD!$A$3:$A$5001,"&gt;="&amp;$C$7,BD!$A$3:$A$5001,"&lt;="&amp;$B144,BD!$P$3:$P$5001,"&lt;&gt;"))))</f>
        <v/>
      </c>
      <c r="E144" s="54" t="str">
        <f>IF(OR($B144="",$A144&gt;$B$9,E$128=""),"",IF(COUNTIFS(BD!$B$3:$B$5001,E$128,BD!$A$3:$A$5001,"&gt;="&amp;$C$7,BD!$A$3:$A$5001,"&lt;="&amp;$B144,BD!$P$3:$P$5001,"&lt;&gt;")=0,"",SUMIFS(BD!$P$3:$P$5001,BD!$B$3:$B$5001,E$128,BD!$A$3:$A$5001,_xlfn.MAXIFS(BD!$A$3:$A$5001,BD!$B$3:$B$5001,E$128,BD!$A$3:$A$5001,"&gt;="&amp;$C$7,BD!$A$3:$A$5001,"&lt;="&amp;$B144,BD!$P$3:$P$5001,"&lt;&gt;"))))</f>
        <v/>
      </c>
      <c r="F144" s="54" t="str">
        <f>IF(OR($B144="",$A144&gt;$B$9,F$128=""),"",IF(COUNTIFS(BD!$B$3:$B$5001,F$128,BD!$A$3:$A$5001,"&gt;="&amp;$C$7,BD!$A$3:$A$5001,"&lt;="&amp;$B144,BD!$P$3:$P$5001,"&lt;&gt;")=0,"",SUMIFS(BD!$P$3:$P$5001,BD!$B$3:$B$5001,F$128,BD!$A$3:$A$5001,_xlfn.MAXIFS(BD!$A$3:$A$5001,BD!$B$3:$B$5001,F$128,BD!$A$3:$A$5001,"&gt;="&amp;$C$7,BD!$A$3:$A$5001,"&lt;="&amp;$B144,BD!$P$3:$P$5001,"&lt;&gt;"))))</f>
        <v/>
      </c>
      <c r="G144" s="54" t="str">
        <f>IF(OR($B144="",$A144&gt;$B$9,G$128=""),"",IF(COUNTIFS(BD!$B$3:$B$5001,G$128,BD!$A$3:$A$5001,"&gt;="&amp;$C$7,BD!$A$3:$A$5001,"&lt;="&amp;$B144,BD!$P$3:$P$5001,"&lt;&gt;")=0,"",SUMIFS(BD!$P$3:$P$5001,BD!$B$3:$B$5001,G$128,BD!$A$3:$A$5001,_xlfn.MAXIFS(BD!$A$3:$A$5001,BD!$B$3:$B$5001,G$128,BD!$A$3:$A$5001,"&gt;="&amp;$C$7,BD!$A$3:$A$5001,"&lt;="&amp;$B144,BD!$P$3:$P$5001,"&lt;&gt;"))))</f>
        <v/>
      </c>
      <c r="H144" s="54" t="str">
        <f>IF(OR($B144="",$A144&gt;$B$9,H$128=""),"",IF(COUNTIFS(BD!$B$3:$B$5001,H$128,BD!$A$3:$A$5001,"&gt;="&amp;$C$7,BD!$A$3:$A$5001,"&lt;="&amp;$B144,BD!$P$3:$P$5001,"&lt;&gt;")=0,"",SUMIFS(BD!$P$3:$P$5001,BD!$B$3:$B$5001,H$128,BD!$A$3:$A$5001,_xlfn.MAXIFS(BD!$A$3:$A$5001,BD!$B$3:$B$5001,H$128,BD!$A$3:$A$5001,"&gt;="&amp;$C$7,BD!$A$3:$A$5001,"&lt;="&amp;$B144,BD!$P$3:$P$5001,"&lt;&gt;"))))</f>
        <v/>
      </c>
      <c r="I144" s="54" t="str">
        <f>IF(OR($B144="",$A144&gt;$B$9,I$128=""),"",IF(COUNTIFS(BD!$B$3:$B$5001,I$128,BD!$A$3:$A$5001,"&gt;="&amp;$C$7,BD!$A$3:$A$5001,"&lt;="&amp;$B144,BD!$P$3:$P$5001,"&lt;&gt;")=0,"",SUMIFS(BD!$P$3:$P$5001,BD!$B$3:$B$5001,I$128,BD!$A$3:$A$5001,_xlfn.MAXIFS(BD!$A$3:$A$5001,BD!$B$3:$B$5001,I$128,BD!$A$3:$A$5001,"&gt;="&amp;$C$7,BD!$A$3:$A$5001,"&lt;="&amp;$B144,BD!$P$3:$P$5001,"&lt;&gt;"))))</f>
        <v/>
      </c>
      <c r="J144" s="54" t="str">
        <f>IF(OR($B144="",$A144&gt;$B$9,J$128=""),"",IF(COUNTIFS(BD!$B$3:$B$5001,J$128,BD!$A$3:$A$5001,"&gt;="&amp;$C$7,BD!$A$3:$A$5001,"&lt;="&amp;$B144,BD!$P$3:$P$5001,"&lt;&gt;")=0,"",SUMIFS(BD!$P$3:$P$5001,BD!$B$3:$B$5001,J$128,BD!$A$3:$A$5001,_xlfn.MAXIFS(BD!$A$3:$A$5001,BD!$B$3:$B$5001,J$128,BD!$A$3:$A$5001,"&gt;="&amp;$C$7,BD!$A$3:$A$5001,"&lt;="&amp;$B144,BD!$P$3:$P$5001,"&lt;&gt;"))))</f>
        <v/>
      </c>
      <c r="K144" s="54" t="str">
        <f>IF(OR($B144="",$A144&gt;$B$9,K$128=""),"",IF(COUNTIFS(BD!$B$3:$B$5001,K$128,BD!$A$3:$A$5001,"&gt;="&amp;$C$7,BD!$A$3:$A$5001,"&lt;="&amp;$B144,BD!$P$3:$P$5001,"&lt;&gt;")=0,"",SUMIFS(BD!$P$3:$P$5001,BD!$B$3:$B$5001,K$128,BD!$A$3:$A$5001,_xlfn.MAXIFS(BD!$A$3:$A$5001,BD!$B$3:$B$5001,K$128,BD!$A$3:$A$5001,"&gt;="&amp;$C$7,BD!$A$3:$A$5001,"&lt;="&amp;$B144,BD!$P$3:$P$5001,"&lt;&gt;"))))</f>
        <v/>
      </c>
      <c r="L144" s="54" t="str">
        <f>IF(OR($B144="",$A144&gt;$B$9,L$128=""),"",IF(COUNTIFS(BD!$B$3:$B$5001,L$128,BD!$A$3:$A$5001,"&gt;="&amp;$C$7,BD!$A$3:$A$5001,"&lt;="&amp;$B144,BD!$P$3:$P$5001,"&lt;&gt;")=0,"",SUMIFS(BD!$P$3:$P$5001,BD!$B$3:$B$5001,L$128,BD!$A$3:$A$5001,_xlfn.MAXIFS(BD!$A$3:$A$5001,BD!$B$3:$B$5001,L$128,BD!$A$3:$A$5001,"&gt;="&amp;$C$7,BD!$A$3:$A$5001,"&lt;="&amp;$B144,BD!$P$3:$P$5001,"&lt;&gt;"))))</f>
        <v/>
      </c>
      <c r="M144" s="54" t="str">
        <f>IF(OR($B144="",$A144&gt;$B$9,M$128=""),"",IF(COUNTIFS(BD!$B$3:$B$5001,M$128,BD!$A$3:$A$5001,"&gt;="&amp;$C$7,BD!$A$3:$A$5001,"&lt;="&amp;$B144,BD!$P$3:$P$5001,"&lt;&gt;")=0,"",SUMIFS(BD!$P$3:$P$5001,BD!$B$3:$B$5001,M$128,BD!$A$3:$A$5001,_xlfn.MAXIFS(BD!$A$3:$A$5001,BD!$B$3:$B$5001,M$128,BD!$A$3:$A$5001,"&gt;="&amp;$C$7,BD!$A$3:$A$5001,"&lt;="&amp;$B144,BD!$P$3:$P$5001,"&lt;&gt;"))))</f>
        <v/>
      </c>
      <c r="N144" s="54" t="str">
        <f>IF(OR($B144="",$A144&gt;$B$9,N$128=""),"",IF(COUNTIFS(BD!$B$3:$B$5001,N$128,BD!$A$3:$A$5001,"&gt;="&amp;$C$7,BD!$A$3:$A$5001,"&lt;="&amp;$B144,BD!$P$3:$P$5001,"&lt;&gt;")=0,"",SUMIFS(BD!$P$3:$P$5001,BD!$B$3:$B$5001,N$128,BD!$A$3:$A$5001,_xlfn.MAXIFS(BD!$A$3:$A$5001,BD!$B$3:$B$5001,N$128,BD!$A$3:$A$5001,"&gt;="&amp;$C$7,BD!$A$3:$A$5001,"&lt;="&amp;$B144,BD!$P$3:$P$5001,"&lt;&gt;"))))</f>
        <v/>
      </c>
      <c r="O144" s="54" t="str">
        <f>IF(OR($B144="",$A144&gt;$B$9,O$128=""),"",IF(COUNTIFS(BD!$B$3:$B$5001,O$128,BD!$A$3:$A$5001,"&gt;="&amp;$C$7,BD!$A$3:$A$5001,"&lt;="&amp;$B144,BD!$P$3:$P$5001,"&lt;&gt;")=0,"",SUMIFS(BD!$P$3:$P$5001,BD!$B$3:$B$5001,O$128,BD!$A$3:$A$5001,_xlfn.MAXIFS(BD!$A$3:$A$5001,BD!$B$3:$B$5001,O$128,BD!$A$3:$A$5001,"&gt;="&amp;$C$7,BD!$A$3:$A$5001,"&lt;="&amp;$B144,BD!$P$3:$P$5001,"&lt;&gt;"))))</f>
        <v/>
      </c>
      <c r="P144" s="54" t="str">
        <f>IF(OR($B144="",$A144&gt;$B$9,P$128=""),"",IF(COUNTIFS(BD!$B$3:$B$5001,P$128,BD!$A$3:$A$5001,"&gt;="&amp;$C$7,BD!$A$3:$A$5001,"&lt;="&amp;$B144,BD!$P$3:$P$5001,"&lt;&gt;")=0,"",SUMIFS(BD!$P$3:$P$5001,BD!$B$3:$B$5001,P$128,BD!$A$3:$A$5001,_xlfn.MAXIFS(BD!$A$3:$A$5001,BD!$B$3:$B$5001,P$128,BD!$A$3:$A$5001,"&gt;="&amp;$C$7,BD!$A$3:$A$5001,"&lt;="&amp;$B144,BD!$P$3:$P$5001,"&lt;&gt;"))))</f>
        <v/>
      </c>
      <c r="Q144" s="54" t="str">
        <f>IF(OR($B144="",$A144&gt;$B$9,Q$128=""),"",IF(COUNTIFS(BD!$B$3:$B$5001,Q$128,BD!$A$3:$A$5001,"&gt;="&amp;$C$7,BD!$A$3:$A$5001,"&lt;="&amp;$B144,BD!$P$3:$P$5001,"&lt;&gt;")=0,"",SUMIFS(BD!$P$3:$P$5001,BD!$B$3:$B$5001,Q$128,BD!$A$3:$A$5001,_xlfn.MAXIFS(BD!$A$3:$A$5001,BD!$B$3:$B$5001,Q$128,BD!$A$3:$A$5001,"&gt;="&amp;$C$7,BD!$A$3:$A$5001,"&lt;="&amp;$B144,BD!$P$3:$P$5001,"&lt;&gt;"))))</f>
        <v/>
      </c>
      <c r="R144" s="54" t="str">
        <f>IF(OR($B144="",$A144&gt;$B$9,R$128=""),"",IF(COUNTIFS(BD!$B$3:$B$5001,R$128,BD!$A$3:$A$5001,"&gt;="&amp;$C$7,BD!$A$3:$A$5001,"&lt;="&amp;$B144,BD!$P$3:$P$5001,"&lt;&gt;")=0,"",SUMIFS(BD!$P$3:$P$5001,BD!$B$3:$B$5001,R$128,BD!$A$3:$A$5001,_xlfn.MAXIFS(BD!$A$3:$A$5001,BD!$B$3:$B$5001,R$128,BD!$A$3:$A$5001,"&gt;="&amp;$C$7,BD!$A$3:$A$5001,"&lt;="&amp;$B144,BD!$P$3:$P$5001,"&lt;&gt;"))))</f>
        <v/>
      </c>
      <c r="S144" s="54" t="str">
        <f>IF(OR($B144="",$A144&gt;$B$9,S$128=""),"",IF(COUNTIFS(BD!$B$3:$B$5001,S$128,BD!$A$3:$A$5001,"&gt;="&amp;$C$7,BD!$A$3:$A$5001,"&lt;="&amp;$B144,BD!$P$3:$P$5001,"&lt;&gt;")=0,"",SUMIFS(BD!$P$3:$P$5001,BD!$B$3:$B$5001,S$128,BD!$A$3:$A$5001,_xlfn.MAXIFS(BD!$A$3:$A$5001,BD!$B$3:$B$5001,S$128,BD!$A$3:$A$5001,"&gt;="&amp;$C$7,BD!$A$3:$A$5001,"&lt;="&amp;$B144,BD!$P$3:$P$5001,"&lt;&gt;"))))</f>
        <v/>
      </c>
      <c r="T144" s="54" t="str">
        <f>IF(OR($B144="",$A144&gt;$B$9,T$128=""),"",IF(COUNTIFS(BD!$B$3:$B$5001,T$128,BD!$A$3:$A$5001,"&gt;="&amp;$C$7,BD!$A$3:$A$5001,"&lt;="&amp;$B144,BD!$P$3:$P$5001,"&lt;&gt;")=0,"",SUMIFS(BD!$P$3:$P$5001,BD!$B$3:$B$5001,T$128,BD!$A$3:$A$5001,_xlfn.MAXIFS(BD!$A$3:$A$5001,BD!$B$3:$B$5001,T$128,BD!$A$3:$A$5001,"&gt;="&amp;$C$7,BD!$A$3:$A$5001,"&lt;="&amp;$B144,BD!$P$3:$P$5001,"&lt;&gt;"))))</f>
        <v/>
      </c>
      <c r="U144" s="54" t="str">
        <f>IF(OR($B144="",$A144&gt;$B$9,U$128=""),"",IF(COUNTIFS(BD!$B$3:$B$5001,U$128,BD!$A$3:$A$5001,"&gt;="&amp;$C$7,BD!$A$3:$A$5001,"&lt;="&amp;$B144,BD!$P$3:$P$5001,"&lt;&gt;")=0,"",SUMIFS(BD!$P$3:$P$5001,BD!$B$3:$B$5001,U$128,BD!$A$3:$A$5001,_xlfn.MAXIFS(BD!$A$3:$A$5001,BD!$B$3:$B$5001,U$128,BD!$A$3:$A$5001,"&gt;="&amp;$C$7,BD!$A$3:$A$5001,"&lt;="&amp;$B144,BD!$P$3:$P$5001,"&lt;&gt;"))))</f>
        <v/>
      </c>
      <c r="V144" s="54" t="str">
        <f>IF(OR($B144="",$A144&gt;$B$9,V$128=""),"",IF(COUNTIFS(BD!$B$3:$B$5001,V$128,BD!$A$3:$A$5001,"&gt;="&amp;$C$7,BD!$A$3:$A$5001,"&lt;="&amp;$B144,BD!$P$3:$P$5001,"&lt;&gt;")=0,"",SUMIFS(BD!$P$3:$P$5001,BD!$B$3:$B$5001,V$128,BD!$A$3:$A$5001,_xlfn.MAXIFS(BD!$A$3:$A$5001,BD!$B$3:$B$5001,V$128,BD!$A$3:$A$5001,"&gt;="&amp;$C$7,BD!$A$3:$A$5001,"&lt;="&amp;$B144,BD!$P$3:$P$5001,"&lt;&gt;"))))</f>
        <v/>
      </c>
    </row>
    <row r="145">
      <c r="A145" s="48">
        <v>17</v>
      </c>
      <c r="B145" s="53">
        <f>$B$28</f>
        <v>46312</v>
      </c>
      <c r="C145" s="54" t="str">
        <f>IF(OR($B145="",$A145&gt;$B$9,C$128=""),"",IF(COUNTIFS(BD!$B$3:$B$5001,C$128,BD!$A$3:$A$5001,"&gt;="&amp;$C$7,BD!$A$3:$A$5001,"&lt;="&amp;$B145,BD!$P$3:$P$5001,"&lt;&gt;")=0,"",SUMIFS(BD!$P$3:$P$5001,BD!$B$3:$B$5001,C$128,BD!$A$3:$A$5001,_xlfn.MAXIFS(BD!$A$3:$A$5001,BD!$B$3:$B$5001,C$128,BD!$A$3:$A$5001,"&gt;="&amp;$C$7,BD!$A$3:$A$5001,"&lt;="&amp;$B145,BD!$P$3:$P$5001,"&lt;&gt;"))))</f>
        <v/>
      </c>
      <c r="D145" s="54" t="str">
        <f>IF(OR($B145="",$A145&gt;$B$9,D$128=""),"",IF(COUNTIFS(BD!$B$3:$B$5001,D$128,BD!$A$3:$A$5001,"&gt;="&amp;$C$7,BD!$A$3:$A$5001,"&lt;="&amp;$B145,BD!$P$3:$P$5001,"&lt;&gt;")=0,"",SUMIFS(BD!$P$3:$P$5001,BD!$B$3:$B$5001,D$128,BD!$A$3:$A$5001,_xlfn.MAXIFS(BD!$A$3:$A$5001,BD!$B$3:$B$5001,D$128,BD!$A$3:$A$5001,"&gt;="&amp;$C$7,BD!$A$3:$A$5001,"&lt;="&amp;$B145,BD!$P$3:$P$5001,"&lt;&gt;"))))</f>
        <v/>
      </c>
      <c r="E145" s="54" t="str">
        <f>IF(OR($B145="",$A145&gt;$B$9,E$128=""),"",IF(COUNTIFS(BD!$B$3:$B$5001,E$128,BD!$A$3:$A$5001,"&gt;="&amp;$C$7,BD!$A$3:$A$5001,"&lt;="&amp;$B145,BD!$P$3:$P$5001,"&lt;&gt;")=0,"",SUMIFS(BD!$P$3:$P$5001,BD!$B$3:$B$5001,E$128,BD!$A$3:$A$5001,_xlfn.MAXIFS(BD!$A$3:$A$5001,BD!$B$3:$B$5001,E$128,BD!$A$3:$A$5001,"&gt;="&amp;$C$7,BD!$A$3:$A$5001,"&lt;="&amp;$B145,BD!$P$3:$P$5001,"&lt;&gt;"))))</f>
        <v/>
      </c>
      <c r="F145" s="54" t="str">
        <f>IF(OR($B145="",$A145&gt;$B$9,F$128=""),"",IF(COUNTIFS(BD!$B$3:$B$5001,F$128,BD!$A$3:$A$5001,"&gt;="&amp;$C$7,BD!$A$3:$A$5001,"&lt;="&amp;$B145,BD!$P$3:$P$5001,"&lt;&gt;")=0,"",SUMIFS(BD!$P$3:$P$5001,BD!$B$3:$B$5001,F$128,BD!$A$3:$A$5001,_xlfn.MAXIFS(BD!$A$3:$A$5001,BD!$B$3:$B$5001,F$128,BD!$A$3:$A$5001,"&gt;="&amp;$C$7,BD!$A$3:$A$5001,"&lt;="&amp;$B145,BD!$P$3:$P$5001,"&lt;&gt;"))))</f>
        <v/>
      </c>
      <c r="G145" s="54" t="str">
        <f>IF(OR($B145="",$A145&gt;$B$9,G$128=""),"",IF(COUNTIFS(BD!$B$3:$B$5001,G$128,BD!$A$3:$A$5001,"&gt;="&amp;$C$7,BD!$A$3:$A$5001,"&lt;="&amp;$B145,BD!$P$3:$P$5001,"&lt;&gt;")=0,"",SUMIFS(BD!$P$3:$P$5001,BD!$B$3:$B$5001,G$128,BD!$A$3:$A$5001,_xlfn.MAXIFS(BD!$A$3:$A$5001,BD!$B$3:$B$5001,G$128,BD!$A$3:$A$5001,"&gt;="&amp;$C$7,BD!$A$3:$A$5001,"&lt;="&amp;$B145,BD!$P$3:$P$5001,"&lt;&gt;"))))</f>
        <v/>
      </c>
      <c r="H145" s="54" t="str">
        <f>IF(OR($B145="",$A145&gt;$B$9,H$128=""),"",IF(COUNTIFS(BD!$B$3:$B$5001,H$128,BD!$A$3:$A$5001,"&gt;="&amp;$C$7,BD!$A$3:$A$5001,"&lt;="&amp;$B145,BD!$P$3:$P$5001,"&lt;&gt;")=0,"",SUMIFS(BD!$P$3:$P$5001,BD!$B$3:$B$5001,H$128,BD!$A$3:$A$5001,_xlfn.MAXIFS(BD!$A$3:$A$5001,BD!$B$3:$B$5001,H$128,BD!$A$3:$A$5001,"&gt;="&amp;$C$7,BD!$A$3:$A$5001,"&lt;="&amp;$B145,BD!$P$3:$P$5001,"&lt;&gt;"))))</f>
        <v/>
      </c>
      <c r="I145" s="54" t="str">
        <f>IF(OR($B145="",$A145&gt;$B$9,I$128=""),"",IF(COUNTIFS(BD!$B$3:$B$5001,I$128,BD!$A$3:$A$5001,"&gt;="&amp;$C$7,BD!$A$3:$A$5001,"&lt;="&amp;$B145,BD!$P$3:$P$5001,"&lt;&gt;")=0,"",SUMIFS(BD!$P$3:$P$5001,BD!$B$3:$B$5001,I$128,BD!$A$3:$A$5001,_xlfn.MAXIFS(BD!$A$3:$A$5001,BD!$B$3:$B$5001,I$128,BD!$A$3:$A$5001,"&gt;="&amp;$C$7,BD!$A$3:$A$5001,"&lt;="&amp;$B145,BD!$P$3:$P$5001,"&lt;&gt;"))))</f>
        <v/>
      </c>
      <c r="J145" s="54" t="str">
        <f>IF(OR($B145="",$A145&gt;$B$9,J$128=""),"",IF(COUNTIFS(BD!$B$3:$B$5001,J$128,BD!$A$3:$A$5001,"&gt;="&amp;$C$7,BD!$A$3:$A$5001,"&lt;="&amp;$B145,BD!$P$3:$P$5001,"&lt;&gt;")=0,"",SUMIFS(BD!$P$3:$P$5001,BD!$B$3:$B$5001,J$128,BD!$A$3:$A$5001,_xlfn.MAXIFS(BD!$A$3:$A$5001,BD!$B$3:$B$5001,J$128,BD!$A$3:$A$5001,"&gt;="&amp;$C$7,BD!$A$3:$A$5001,"&lt;="&amp;$B145,BD!$P$3:$P$5001,"&lt;&gt;"))))</f>
        <v/>
      </c>
      <c r="K145" s="54" t="str">
        <f>IF(OR($B145="",$A145&gt;$B$9,K$128=""),"",IF(COUNTIFS(BD!$B$3:$B$5001,K$128,BD!$A$3:$A$5001,"&gt;="&amp;$C$7,BD!$A$3:$A$5001,"&lt;="&amp;$B145,BD!$P$3:$P$5001,"&lt;&gt;")=0,"",SUMIFS(BD!$P$3:$P$5001,BD!$B$3:$B$5001,K$128,BD!$A$3:$A$5001,_xlfn.MAXIFS(BD!$A$3:$A$5001,BD!$B$3:$B$5001,K$128,BD!$A$3:$A$5001,"&gt;="&amp;$C$7,BD!$A$3:$A$5001,"&lt;="&amp;$B145,BD!$P$3:$P$5001,"&lt;&gt;"))))</f>
        <v/>
      </c>
      <c r="L145" s="54" t="str">
        <f>IF(OR($B145="",$A145&gt;$B$9,L$128=""),"",IF(COUNTIFS(BD!$B$3:$B$5001,L$128,BD!$A$3:$A$5001,"&gt;="&amp;$C$7,BD!$A$3:$A$5001,"&lt;="&amp;$B145,BD!$P$3:$P$5001,"&lt;&gt;")=0,"",SUMIFS(BD!$P$3:$P$5001,BD!$B$3:$B$5001,L$128,BD!$A$3:$A$5001,_xlfn.MAXIFS(BD!$A$3:$A$5001,BD!$B$3:$B$5001,L$128,BD!$A$3:$A$5001,"&gt;="&amp;$C$7,BD!$A$3:$A$5001,"&lt;="&amp;$B145,BD!$P$3:$P$5001,"&lt;&gt;"))))</f>
        <v/>
      </c>
      <c r="M145" s="54" t="str">
        <f>IF(OR($B145="",$A145&gt;$B$9,M$128=""),"",IF(COUNTIFS(BD!$B$3:$B$5001,M$128,BD!$A$3:$A$5001,"&gt;="&amp;$C$7,BD!$A$3:$A$5001,"&lt;="&amp;$B145,BD!$P$3:$P$5001,"&lt;&gt;")=0,"",SUMIFS(BD!$P$3:$P$5001,BD!$B$3:$B$5001,M$128,BD!$A$3:$A$5001,_xlfn.MAXIFS(BD!$A$3:$A$5001,BD!$B$3:$B$5001,M$128,BD!$A$3:$A$5001,"&gt;="&amp;$C$7,BD!$A$3:$A$5001,"&lt;="&amp;$B145,BD!$P$3:$P$5001,"&lt;&gt;"))))</f>
        <v/>
      </c>
      <c r="N145" s="54" t="str">
        <f>IF(OR($B145="",$A145&gt;$B$9,N$128=""),"",IF(COUNTIFS(BD!$B$3:$B$5001,N$128,BD!$A$3:$A$5001,"&gt;="&amp;$C$7,BD!$A$3:$A$5001,"&lt;="&amp;$B145,BD!$P$3:$P$5001,"&lt;&gt;")=0,"",SUMIFS(BD!$P$3:$P$5001,BD!$B$3:$B$5001,N$128,BD!$A$3:$A$5001,_xlfn.MAXIFS(BD!$A$3:$A$5001,BD!$B$3:$B$5001,N$128,BD!$A$3:$A$5001,"&gt;="&amp;$C$7,BD!$A$3:$A$5001,"&lt;="&amp;$B145,BD!$P$3:$P$5001,"&lt;&gt;"))))</f>
        <v/>
      </c>
      <c r="O145" s="54" t="str">
        <f>IF(OR($B145="",$A145&gt;$B$9,O$128=""),"",IF(COUNTIFS(BD!$B$3:$B$5001,O$128,BD!$A$3:$A$5001,"&gt;="&amp;$C$7,BD!$A$3:$A$5001,"&lt;="&amp;$B145,BD!$P$3:$P$5001,"&lt;&gt;")=0,"",SUMIFS(BD!$P$3:$P$5001,BD!$B$3:$B$5001,O$128,BD!$A$3:$A$5001,_xlfn.MAXIFS(BD!$A$3:$A$5001,BD!$B$3:$B$5001,O$128,BD!$A$3:$A$5001,"&gt;="&amp;$C$7,BD!$A$3:$A$5001,"&lt;="&amp;$B145,BD!$P$3:$P$5001,"&lt;&gt;"))))</f>
        <v/>
      </c>
      <c r="P145" s="54" t="str">
        <f>IF(OR($B145="",$A145&gt;$B$9,P$128=""),"",IF(COUNTIFS(BD!$B$3:$B$5001,P$128,BD!$A$3:$A$5001,"&gt;="&amp;$C$7,BD!$A$3:$A$5001,"&lt;="&amp;$B145,BD!$P$3:$P$5001,"&lt;&gt;")=0,"",SUMIFS(BD!$P$3:$P$5001,BD!$B$3:$B$5001,P$128,BD!$A$3:$A$5001,_xlfn.MAXIFS(BD!$A$3:$A$5001,BD!$B$3:$B$5001,P$128,BD!$A$3:$A$5001,"&gt;="&amp;$C$7,BD!$A$3:$A$5001,"&lt;="&amp;$B145,BD!$P$3:$P$5001,"&lt;&gt;"))))</f>
        <v/>
      </c>
      <c r="Q145" s="54" t="str">
        <f>IF(OR($B145="",$A145&gt;$B$9,Q$128=""),"",IF(COUNTIFS(BD!$B$3:$B$5001,Q$128,BD!$A$3:$A$5001,"&gt;="&amp;$C$7,BD!$A$3:$A$5001,"&lt;="&amp;$B145,BD!$P$3:$P$5001,"&lt;&gt;")=0,"",SUMIFS(BD!$P$3:$P$5001,BD!$B$3:$B$5001,Q$128,BD!$A$3:$A$5001,_xlfn.MAXIFS(BD!$A$3:$A$5001,BD!$B$3:$B$5001,Q$128,BD!$A$3:$A$5001,"&gt;="&amp;$C$7,BD!$A$3:$A$5001,"&lt;="&amp;$B145,BD!$P$3:$P$5001,"&lt;&gt;"))))</f>
        <v/>
      </c>
      <c r="R145" s="54" t="str">
        <f>IF(OR($B145="",$A145&gt;$B$9,R$128=""),"",IF(COUNTIFS(BD!$B$3:$B$5001,R$128,BD!$A$3:$A$5001,"&gt;="&amp;$C$7,BD!$A$3:$A$5001,"&lt;="&amp;$B145,BD!$P$3:$P$5001,"&lt;&gt;")=0,"",SUMIFS(BD!$P$3:$P$5001,BD!$B$3:$B$5001,R$128,BD!$A$3:$A$5001,_xlfn.MAXIFS(BD!$A$3:$A$5001,BD!$B$3:$B$5001,R$128,BD!$A$3:$A$5001,"&gt;="&amp;$C$7,BD!$A$3:$A$5001,"&lt;="&amp;$B145,BD!$P$3:$P$5001,"&lt;&gt;"))))</f>
        <v/>
      </c>
      <c r="S145" s="54" t="str">
        <f>IF(OR($B145="",$A145&gt;$B$9,S$128=""),"",IF(COUNTIFS(BD!$B$3:$B$5001,S$128,BD!$A$3:$A$5001,"&gt;="&amp;$C$7,BD!$A$3:$A$5001,"&lt;="&amp;$B145,BD!$P$3:$P$5001,"&lt;&gt;")=0,"",SUMIFS(BD!$P$3:$P$5001,BD!$B$3:$B$5001,S$128,BD!$A$3:$A$5001,_xlfn.MAXIFS(BD!$A$3:$A$5001,BD!$B$3:$B$5001,S$128,BD!$A$3:$A$5001,"&gt;="&amp;$C$7,BD!$A$3:$A$5001,"&lt;="&amp;$B145,BD!$P$3:$P$5001,"&lt;&gt;"))))</f>
        <v/>
      </c>
      <c r="T145" s="54" t="str">
        <f>IF(OR($B145="",$A145&gt;$B$9,T$128=""),"",IF(COUNTIFS(BD!$B$3:$B$5001,T$128,BD!$A$3:$A$5001,"&gt;="&amp;$C$7,BD!$A$3:$A$5001,"&lt;="&amp;$B145,BD!$P$3:$P$5001,"&lt;&gt;")=0,"",SUMIFS(BD!$P$3:$P$5001,BD!$B$3:$B$5001,T$128,BD!$A$3:$A$5001,_xlfn.MAXIFS(BD!$A$3:$A$5001,BD!$B$3:$B$5001,T$128,BD!$A$3:$A$5001,"&gt;="&amp;$C$7,BD!$A$3:$A$5001,"&lt;="&amp;$B145,BD!$P$3:$P$5001,"&lt;&gt;"))))</f>
        <v/>
      </c>
      <c r="U145" s="54" t="str">
        <f>IF(OR($B145="",$A145&gt;$B$9,U$128=""),"",IF(COUNTIFS(BD!$B$3:$B$5001,U$128,BD!$A$3:$A$5001,"&gt;="&amp;$C$7,BD!$A$3:$A$5001,"&lt;="&amp;$B145,BD!$P$3:$P$5001,"&lt;&gt;")=0,"",SUMIFS(BD!$P$3:$P$5001,BD!$B$3:$B$5001,U$128,BD!$A$3:$A$5001,_xlfn.MAXIFS(BD!$A$3:$A$5001,BD!$B$3:$B$5001,U$128,BD!$A$3:$A$5001,"&gt;="&amp;$C$7,BD!$A$3:$A$5001,"&lt;="&amp;$B145,BD!$P$3:$P$5001,"&lt;&gt;"))))</f>
        <v/>
      </c>
      <c r="V145" s="54" t="str">
        <f>IF(OR($B145="",$A145&gt;$B$9,V$128=""),"",IF(COUNTIFS(BD!$B$3:$B$5001,V$128,BD!$A$3:$A$5001,"&gt;="&amp;$C$7,BD!$A$3:$A$5001,"&lt;="&amp;$B145,BD!$P$3:$P$5001,"&lt;&gt;")=0,"",SUMIFS(BD!$P$3:$P$5001,BD!$B$3:$B$5001,V$128,BD!$A$3:$A$5001,_xlfn.MAXIFS(BD!$A$3:$A$5001,BD!$B$3:$B$5001,V$128,BD!$A$3:$A$5001,"&gt;="&amp;$C$7,BD!$A$3:$A$5001,"&lt;="&amp;$B145,BD!$P$3:$P$5001,"&lt;&gt;"))))</f>
        <v/>
      </c>
    </row>
    <row r="146">
      <c r="A146" s="48">
        <v>18</v>
      </c>
      <c r="B146" s="53">
        <f>$B$29</f>
        <v>46313</v>
      </c>
      <c r="C146" s="54" t="str">
        <f>IF(OR($B146="",$A146&gt;$B$9,C$128=""),"",IF(COUNTIFS(BD!$B$3:$B$5001,C$128,BD!$A$3:$A$5001,"&gt;="&amp;$C$7,BD!$A$3:$A$5001,"&lt;="&amp;$B146,BD!$P$3:$P$5001,"&lt;&gt;")=0,"",SUMIFS(BD!$P$3:$P$5001,BD!$B$3:$B$5001,C$128,BD!$A$3:$A$5001,_xlfn.MAXIFS(BD!$A$3:$A$5001,BD!$B$3:$B$5001,C$128,BD!$A$3:$A$5001,"&gt;="&amp;$C$7,BD!$A$3:$A$5001,"&lt;="&amp;$B146,BD!$P$3:$P$5001,"&lt;&gt;"))))</f>
        <v/>
      </c>
      <c r="D146" s="54" t="str">
        <f>IF(OR($B146="",$A146&gt;$B$9,D$128=""),"",IF(COUNTIFS(BD!$B$3:$B$5001,D$128,BD!$A$3:$A$5001,"&gt;="&amp;$C$7,BD!$A$3:$A$5001,"&lt;="&amp;$B146,BD!$P$3:$P$5001,"&lt;&gt;")=0,"",SUMIFS(BD!$P$3:$P$5001,BD!$B$3:$B$5001,D$128,BD!$A$3:$A$5001,_xlfn.MAXIFS(BD!$A$3:$A$5001,BD!$B$3:$B$5001,D$128,BD!$A$3:$A$5001,"&gt;="&amp;$C$7,BD!$A$3:$A$5001,"&lt;="&amp;$B146,BD!$P$3:$P$5001,"&lt;&gt;"))))</f>
        <v/>
      </c>
      <c r="E146" s="54" t="str">
        <f>IF(OR($B146="",$A146&gt;$B$9,E$128=""),"",IF(COUNTIFS(BD!$B$3:$B$5001,E$128,BD!$A$3:$A$5001,"&gt;="&amp;$C$7,BD!$A$3:$A$5001,"&lt;="&amp;$B146,BD!$P$3:$P$5001,"&lt;&gt;")=0,"",SUMIFS(BD!$P$3:$P$5001,BD!$B$3:$B$5001,E$128,BD!$A$3:$A$5001,_xlfn.MAXIFS(BD!$A$3:$A$5001,BD!$B$3:$B$5001,E$128,BD!$A$3:$A$5001,"&gt;="&amp;$C$7,BD!$A$3:$A$5001,"&lt;="&amp;$B146,BD!$P$3:$P$5001,"&lt;&gt;"))))</f>
        <v/>
      </c>
      <c r="F146" s="54" t="str">
        <f>IF(OR($B146="",$A146&gt;$B$9,F$128=""),"",IF(COUNTIFS(BD!$B$3:$B$5001,F$128,BD!$A$3:$A$5001,"&gt;="&amp;$C$7,BD!$A$3:$A$5001,"&lt;="&amp;$B146,BD!$P$3:$P$5001,"&lt;&gt;")=0,"",SUMIFS(BD!$P$3:$P$5001,BD!$B$3:$B$5001,F$128,BD!$A$3:$A$5001,_xlfn.MAXIFS(BD!$A$3:$A$5001,BD!$B$3:$B$5001,F$128,BD!$A$3:$A$5001,"&gt;="&amp;$C$7,BD!$A$3:$A$5001,"&lt;="&amp;$B146,BD!$P$3:$P$5001,"&lt;&gt;"))))</f>
        <v/>
      </c>
      <c r="G146" s="54" t="str">
        <f>IF(OR($B146="",$A146&gt;$B$9,G$128=""),"",IF(COUNTIFS(BD!$B$3:$B$5001,G$128,BD!$A$3:$A$5001,"&gt;="&amp;$C$7,BD!$A$3:$A$5001,"&lt;="&amp;$B146,BD!$P$3:$P$5001,"&lt;&gt;")=0,"",SUMIFS(BD!$P$3:$P$5001,BD!$B$3:$B$5001,G$128,BD!$A$3:$A$5001,_xlfn.MAXIFS(BD!$A$3:$A$5001,BD!$B$3:$B$5001,G$128,BD!$A$3:$A$5001,"&gt;="&amp;$C$7,BD!$A$3:$A$5001,"&lt;="&amp;$B146,BD!$P$3:$P$5001,"&lt;&gt;"))))</f>
        <v/>
      </c>
      <c r="H146" s="54" t="str">
        <f>IF(OR($B146="",$A146&gt;$B$9,H$128=""),"",IF(COUNTIFS(BD!$B$3:$B$5001,H$128,BD!$A$3:$A$5001,"&gt;="&amp;$C$7,BD!$A$3:$A$5001,"&lt;="&amp;$B146,BD!$P$3:$P$5001,"&lt;&gt;")=0,"",SUMIFS(BD!$P$3:$P$5001,BD!$B$3:$B$5001,H$128,BD!$A$3:$A$5001,_xlfn.MAXIFS(BD!$A$3:$A$5001,BD!$B$3:$B$5001,H$128,BD!$A$3:$A$5001,"&gt;="&amp;$C$7,BD!$A$3:$A$5001,"&lt;="&amp;$B146,BD!$P$3:$P$5001,"&lt;&gt;"))))</f>
        <v/>
      </c>
      <c r="I146" s="54" t="str">
        <f>IF(OR($B146="",$A146&gt;$B$9,I$128=""),"",IF(COUNTIFS(BD!$B$3:$B$5001,I$128,BD!$A$3:$A$5001,"&gt;="&amp;$C$7,BD!$A$3:$A$5001,"&lt;="&amp;$B146,BD!$P$3:$P$5001,"&lt;&gt;")=0,"",SUMIFS(BD!$P$3:$P$5001,BD!$B$3:$B$5001,I$128,BD!$A$3:$A$5001,_xlfn.MAXIFS(BD!$A$3:$A$5001,BD!$B$3:$B$5001,I$128,BD!$A$3:$A$5001,"&gt;="&amp;$C$7,BD!$A$3:$A$5001,"&lt;="&amp;$B146,BD!$P$3:$P$5001,"&lt;&gt;"))))</f>
        <v/>
      </c>
      <c r="J146" s="54" t="str">
        <f>IF(OR($B146="",$A146&gt;$B$9,J$128=""),"",IF(COUNTIFS(BD!$B$3:$B$5001,J$128,BD!$A$3:$A$5001,"&gt;="&amp;$C$7,BD!$A$3:$A$5001,"&lt;="&amp;$B146,BD!$P$3:$P$5001,"&lt;&gt;")=0,"",SUMIFS(BD!$P$3:$P$5001,BD!$B$3:$B$5001,J$128,BD!$A$3:$A$5001,_xlfn.MAXIFS(BD!$A$3:$A$5001,BD!$B$3:$B$5001,J$128,BD!$A$3:$A$5001,"&gt;="&amp;$C$7,BD!$A$3:$A$5001,"&lt;="&amp;$B146,BD!$P$3:$P$5001,"&lt;&gt;"))))</f>
        <v/>
      </c>
      <c r="K146" s="54" t="str">
        <f>IF(OR($B146="",$A146&gt;$B$9,K$128=""),"",IF(COUNTIFS(BD!$B$3:$B$5001,K$128,BD!$A$3:$A$5001,"&gt;="&amp;$C$7,BD!$A$3:$A$5001,"&lt;="&amp;$B146,BD!$P$3:$P$5001,"&lt;&gt;")=0,"",SUMIFS(BD!$P$3:$P$5001,BD!$B$3:$B$5001,K$128,BD!$A$3:$A$5001,_xlfn.MAXIFS(BD!$A$3:$A$5001,BD!$B$3:$B$5001,K$128,BD!$A$3:$A$5001,"&gt;="&amp;$C$7,BD!$A$3:$A$5001,"&lt;="&amp;$B146,BD!$P$3:$P$5001,"&lt;&gt;"))))</f>
        <v/>
      </c>
      <c r="L146" s="54" t="str">
        <f>IF(OR($B146="",$A146&gt;$B$9,L$128=""),"",IF(COUNTIFS(BD!$B$3:$B$5001,L$128,BD!$A$3:$A$5001,"&gt;="&amp;$C$7,BD!$A$3:$A$5001,"&lt;="&amp;$B146,BD!$P$3:$P$5001,"&lt;&gt;")=0,"",SUMIFS(BD!$P$3:$P$5001,BD!$B$3:$B$5001,L$128,BD!$A$3:$A$5001,_xlfn.MAXIFS(BD!$A$3:$A$5001,BD!$B$3:$B$5001,L$128,BD!$A$3:$A$5001,"&gt;="&amp;$C$7,BD!$A$3:$A$5001,"&lt;="&amp;$B146,BD!$P$3:$P$5001,"&lt;&gt;"))))</f>
        <v/>
      </c>
      <c r="M146" s="54" t="str">
        <f>IF(OR($B146="",$A146&gt;$B$9,M$128=""),"",IF(COUNTIFS(BD!$B$3:$B$5001,M$128,BD!$A$3:$A$5001,"&gt;="&amp;$C$7,BD!$A$3:$A$5001,"&lt;="&amp;$B146,BD!$P$3:$P$5001,"&lt;&gt;")=0,"",SUMIFS(BD!$P$3:$P$5001,BD!$B$3:$B$5001,M$128,BD!$A$3:$A$5001,_xlfn.MAXIFS(BD!$A$3:$A$5001,BD!$B$3:$B$5001,M$128,BD!$A$3:$A$5001,"&gt;="&amp;$C$7,BD!$A$3:$A$5001,"&lt;="&amp;$B146,BD!$P$3:$P$5001,"&lt;&gt;"))))</f>
        <v/>
      </c>
      <c r="N146" s="54" t="str">
        <f>IF(OR($B146="",$A146&gt;$B$9,N$128=""),"",IF(COUNTIFS(BD!$B$3:$B$5001,N$128,BD!$A$3:$A$5001,"&gt;="&amp;$C$7,BD!$A$3:$A$5001,"&lt;="&amp;$B146,BD!$P$3:$P$5001,"&lt;&gt;")=0,"",SUMIFS(BD!$P$3:$P$5001,BD!$B$3:$B$5001,N$128,BD!$A$3:$A$5001,_xlfn.MAXIFS(BD!$A$3:$A$5001,BD!$B$3:$B$5001,N$128,BD!$A$3:$A$5001,"&gt;="&amp;$C$7,BD!$A$3:$A$5001,"&lt;="&amp;$B146,BD!$P$3:$P$5001,"&lt;&gt;"))))</f>
        <v/>
      </c>
      <c r="O146" s="54" t="str">
        <f>IF(OR($B146="",$A146&gt;$B$9,O$128=""),"",IF(COUNTIFS(BD!$B$3:$B$5001,O$128,BD!$A$3:$A$5001,"&gt;="&amp;$C$7,BD!$A$3:$A$5001,"&lt;="&amp;$B146,BD!$P$3:$P$5001,"&lt;&gt;")=0,"",SUMIFS(BD!$P$3:$P$5001,BD!$B$3:$B$5001,O$128,BD!$A$3:$A$5001,_xlfn.MAXIFS(BD!$A$3:$A$5001,BD!$B$3:$B$5001,O$128,BD!$A$3:$A$5001,"&gt;="&amp;$C$7,BD!$A$3:$A$5001,"&lt;="&amp;$B146,BD!$P$3:$P$5001,"&lt;&gt;"))))</f>
        <v/>
      </c>
      <c r="P146" s="54" t="str">
        <f>IF(OR($B146="",$A146&gt;$B$9,P$128=""),"",IF(COUNTIFS(BD!$B$3:$B$5001,P$128,BD!$A$3:$A$5001,"&gt;="&amp;$C$7,BD!$A$3:$A$5001,"&lt;="&amp;$B146,BD!$P$3:$P$5001,"&lt;&gt;")=0,"",SUMIFS(BD!$P$3:$P$5001,BD!$B$3:$B$5001,P$128,BD!$A$3:$A$5001,_xlfn.MAXIFS(BD!$A$3:$A$5001,BD!$B$3:$B$5001,P$128,BD!$A$3:$A$5001,"&gt;="&amp;$C$7,BD!$A$3:$A$5001,"&lt;="&amp;$B146,BD!$P$3:$P$5001,"&lt;&gt;"))))</f>
        <v/>
      </c>
      <c r="Q146" s="54" t="str">
        <f>IF(OR($B146="",$A146&gt;$B$9,Q$128=""),"",IF(COUNTIFS(BD!$B$3:$B$5001,Q$128,BD!$A$3:$A$5001,"&gt;="&amp;$C$7,BD!$A$3:$A$5001,"&lt;="&amp;$B146,BD!$P$3:$P$5001,"&lt;&gt;")=0,"",SUMIFS(BD!$P$3:$P$5001,BD!$B$3:$B$5001,Q$128,BD!$A$3:$A$5001,_xlfn.MAXIFS(BD!$A$3:$A$5001,BD!$B$3:$B$5001,Q$128,BD!$A$3:$A$5001,"&gt;="&amp;$C$7,BD!$A$3:$A$5001,"&lt;="&amp;$B146,BD!$P$3:$P$5001,"&lt;&gt;"))))</f>
        <v/>
      </c>
      <c r="R146" s="54" t="str">
        <f>IF(OR($B146="",$A146&gt;$B$9,R$128=""),"",IF(COUNTIFS(BD!$B$3:$B$5001,R$128,BD!$A$3:$A$5001,"&gt;="&amp;$C$7,BD!$A$3:$A$5001,"&lt;="&amp;$B146,BD!$P$3:$P$5001,"&lt;&gt;")=0,"",SUMIFS(BD!$P$3:$P$5001,BD!$B$3:$B$5001,R$128,BD!$A$3:$A$5001,_xlfn.MAXIFS(BD!$A$3:$A$5001,BD!$B$3:$B$5001,R$128,BD!$A$3:$A$5001,"&gt;="&amp;$C$7,BD!$A$3:$A$5001,"&lt;="&amp;$B146,BD!$P$3:$P$5001,"&lt;&gt;"))))</f>
        <v/>
      </c>
      <c r="S146" s="54" t="str">
        <f>IF(OR($B146="",$A146&gt;$B$9,S$128=""),"",IF(COUNTIFS(BD!$B$3:$B$5001,S$128,BD!$A$3:$A$5001,"&gt;="&amp;$C$7,BD!$A$3:$A$5001,"&lt;="&amp;$B146,BD!$P$3:$P$5001,"&lt;&gt;")=0,"",SUMIFS(BD!$P$3:$P$5001,BD!$B$3:$B$5001,S$128,BD!$A$3:$A$5001,_xlfn.MAXIFS(BD!$A$3:$A$5001,BD!$B$3:$B$5001,S$128,BD!$A$3:$A$5001,"&gt;="&amp;$C$7,BD!$A$3:$A$5001,"&lt;="&amp;$B146,BD!$P$3:$P$5001,"&lt;&gt;"))))</f>
        <v/>
      </c>
      <c r="T146" s="54" t="str">
        <f>IF(OR($B146="",$A146&gt;$B$9,T$128=""),"",IF(COUNTIFS(BD!$B$3:$B$5001,T$128,BD!$A$3:$A$5001,"&gt;="&amp;$C$7,BD!$A$3:$A$5001,"&lt;="&amp;$B146,BD!$P$3:$P$5001,"&lt;&gt;")=0,"",SUMIFS(BD!$P$3:$P$5001,BD!$B$3:$B$5001,T$128,BD!$A$3:$A$5001,_xlfn.MAXIFS(BD!$A$3:$A$5001,BD!$B$3:$B$5001,T$128,BD!$A$3:$A$5001,"&gt;="&amp;$C$7,BD!$A$3:$A$5001,"&lt;="&amp;$B146,BD!$P$3:$P$5001,"&lt;&gt;"))))</f>
        <v/>
      </c>
      <c r="U146" s="54" t="str">
        <f>IF(OR($B146="",$A146&gt;$B$9,U$128=""),"",IF(COUNTIFS(BD!$B$3:$B$5001,U$128,BD!$A$3:$A$5001,"&gt;="&amp;$C$7,BD!$A$3:$A$5001,"&lt;="&amp;$B146,BD!$P$3:$P$5001,"&lt;&gt;")=0,"",SUMIFS(BD!$P$3:$P$5001,BD!$B$3:$B$5001,U$128,BD!$A$3:$A$5001,_xlfn.MAXIFS(BD!$A$3:$A$5001,BD!$B$3:$B$5001,U$128,BD!$A$3:$A$5001,"&gt;="&amp;$C$7,BD!$A$3:$A$5001,"&lt;="&amp;$B146,BD!$P$3:$P$5001,"&lt;&gt;"))))</f>
        <v/>
      </c>
      <c r="V146" s="54" t="str">
        <f>IF(OR($B146="",$A146&gt;$B$9,V$128=""),"",IF(COUNTIFS(BD!$B$3:$B$5001,V$128,BD!$A$3:$A$5001,"&gt;="&amp;$C$7,BD!$A$3:$A$5001,"&lt;="&amp;$B146,BD!$P$3:$P$5001,"&lt;&gt;")=0,"",SUMIFS(BD!$P$3:$P$5001,BD!$B$3:$B$5001,V$128,BD!$A$3:$A$5001,_xlfn.MAXIFS(BD!$A$3:$A$5001,BD!$B$3:$B$5001,V$128,BD!$A$3:$A$5001,"&gt;="&amp;$C$7,BD!$A$3:$A$5001,"&lt;="&amp;$B146,BD!$P$3:$P$5001,"&lt;&gt;"))))</f>
        <v/>
      </c>
    </row>
    <row r="147">
      <c r="A147" s="48">
        <v>19</v>
      </c>
      <c r="B147" s="53">
        <f>$B$30</f>
        <v>46314</v>
      </c>
      <c r="C147" s="54" t="str">
        <f>IF(OR($B147="",$A147&gt;$B$9,C$128=""),"",IF(COUNTIFS(BD!$B$3:$B$5001,C$128,BD!$A$3:$A$5001,"&gt;="&amp;$C$7,BD!$A$3:$A$5001,"&lt;="&amp;$B147,BD!$P$3:$P$5001,"&lt;&gt;")=0,"",SUMIFS(BD!$P$3:$P$5001,BD!$B$3:$B$5001,C$128,BD!$A$3:$A$5001,_xlfn.MAXIFS(BD!$A$3:$A$5001,BD!$B$3:$B$5001,C$128,BD!$A$3:$A$5001,"&gt;="&amp;$C$7,BD!$A$3:$A$5001,"&lt;="&amp;$B147,BD!$P$3:$P$5001,"&lt;&gt;"))))</f>
        <v/>
      </c>
      <c r="D147" s="54" t="str">
        <f>IF(OR($B147="",$A147&gt;$B$9,D$128=""),"",IF(COUNTIFS(BD!$B$3:$B$5001,D$128,BD!$A$3:$A$5001,"&gt;="&amp;$C$7,BD!$A$3:$A$5001,"&lt;="&amp;$B147,BD!$P$3:$P$5001,"&lt;&gt;")=0,"",SUMIFS(BD!$P$3:$P$5001,BD!$B$3:$B$5001,D$128,BD!$A$3:$A$5001,_xlfn.MAXIFS(BD!$A$3:$A$5001,BD!$B$3:$B$5001,D$128,BD!$A$3:$A$5001,"&gt;="&amp;$C$7,BD!$A$3:$A$5001,"&lt;="&amp;$B147,BD!$P$3:$P$5001,"&lt;&gt;"))))</f>
        <v/>
      </c>
      <c r="E147" s="54" t="str">
        <f>IF(OR($B147="",$A147&gt;$B$9,E$128=""),"",IF(COUNTIFS(BD!$B$3:$B$5001,E$128,BD!$A$3:$A$5001,"&gt;="&amp;$C$7,BD!$A$3:$A$5001,"&lt;="&amp;$B147,BD!$P$3:$P$5001,"&lt;&gt;")=0,"",SUMIFS(BD!$P$3:$P$5001,BD!$B$3:$B$5001,E$128,BD!$A$3:$A$5001,_xlfn.MAXIFS(BD!$A$3:$A$5001,BD!$B$3:$B$5001,E$128,BD!$A$3:$A$5001,"&gt;="&amp;$C$7,BD!$A$3:$A$5001,"&lt;="&amp;$B147,BD!$P$3:$P$5001,"&lt;&gt;"))))</f>
        <v/>
      </c>
      <c r="F147" s="54" t="str">
        <f>IF(OR($B147="",$A147&gt;$B$9,F$128=""),"",IF(COUNTIFS(BD!$B$3:$B$5001,F$128,BD!$A$3:$A$5001,"&gt;="&amp;$C$7,BD!$A$3:$A$5001,"&lt;="&amp;$B147,BD!$P$3:$P$5001,"&lt;&gt;")=0,"",SUMIFS(BD!$P$3:$P$5001,BD!$B$3:$B$5001,F$128,BD!$A$3:$A$5001,_xlfn.MAXIFS(BD!$A$3:$A$5001,BD!$B$3:$B$5001,F$128,BD!$A$3:$A$5001,"&gt;="&amp;$C$7,BD!$A$3:$A$5001,"&lt;="&amp;$B147,BD!$P$3:$P$5001,"&lt;&gt;"))))</f>
        <v/>
      </c>
      <c r="G147" s="54" t="str">
        <f>IF(OR($B147="",$A147&gt;$B$9,G$128=""),"",IF(COUNTIFS(BD!$B$3:$B$5001,G$128,BD!$A$3:$A$5001,"&gt;="&amp;$C$7,BD!$A$3:$A$5001,"&lt;="&amp;$B147,BD!$P$3:$P$5001,"&lt;&gt;")=0,"",SUMIFS(BD!$P$3:$P$5001,BD!$B$3:$B$5001,G$128,BD!$A$3:$A$5001,_xlfn.MAXIFS(BD!$A$3:$A$5001,BD!$B$3:$B$5001,G$128,BD!$A$3:$A$5001,"&gt;="&amp;$C$7,BD!$A$3:$A$5001,"&lt;="&amp;$B147,BD!$P$3:$P$5001,"&lt;&gt;"))))</f>
        <v/>
      </c>
      <c r="H147" s="54" t="str">
        <f>IF(OR($B147="",$A147&gt;$B$9,H$128=""),"",IF(COUNTIFS(BD!$B$3:$B$5001,H$128,BD!$A$3:$A$5001,"&gt;="&amp;$C$7,BD!$A$3:$A$5001,"&lt;="&amp;$B147,BD!$P$3:$P$5001,"&lt;&gt;")=0,"",SUMIFS(BD!$P$3:$P$5001,BD!$B$3:$B$5001,H$128,BD!$A$3:$A$5001,_xlfn.MAXIFS(BD!$A$3:$A$5001,BD!$B$3:$B$5001,H$128,BD!$A$3:$A$5001,"&gt;="&amp;$C$7,BD!$A$3:$A$5001,"&lt;="&amp;$B147,BD!$P$3:$P$5001,"&lt;&gt;"))))</f>
        <v/>
      </c>
      <c r="I147" s="54" t="str">
        <f>IF(OR($B147="",$A147&gt;$B$9,I$128=""),"",IF(COUNTIFS(BD!$B$3:$B$5001,I$128,BD!$A$3:$A$5001,"&gt;="&amp;$C$7,BD!$A$3:$A$5001,"&lt;="&amp;$B147,BD!$P$3:$P$5001,"&lt;&gt;")=0,"",SUMIFS(BD!$P$3:$P$5001,BD!$B$3:$B$5001,I$128,BD!$A$3:$A$5001,_xlfn.MAXIFS(BD!$A$3:$A$5001,BD!$B$3:$B$5001,I$128,BD!$A$3:$A$5001,"&gt;="&amp;$C$7,BD!$A$3:$A$5001,"&lt;="&amp;$B147,BD!$P$3:$P$5001,"&lt;&gt;"))))</f>
        <v/>
      </c>
      <c r="J147" s="54" t="str">
        <f>IF(OR($B147="",$A147&gt;$B$9,J$128=""),"",IF(COUNTIFS(BD!$B$3:$B$5001,J$128,BD!$A$3:$A$5001,"&gt;="&amp;$C$7,BD!$A$3:$A$5001,"&lt;="&amp;$B147,BD!$P$3:$P$5001,"&lt;&gt;")=0,"",SUMIFS(BD!$P$3:$P$5001,BD!$B$3:$B$5001,J$128,BD!$A$3:$A$5001,_xlfn.MAXIFS(BD!$A$3:$A$5001,BD!$B$3:$B$5001,J$128,BD!$A$3:$A$5001,"&gt;="&amp;$C$7,BD!$A$3:$A$5001,"&lt;="&amp;$B147,BD!$P$3:$P$5001,"&lt;&gt;"))))</f>
        <v/>
      </c>
      <c r="K147" s="54" t="str">
        <f>IF(OR($B147="",$A147&gt;$B$9,K$128=""),"",IF(COUNTIFS(BD!$B$3:$B$5001,K$128,BD!$A$3:$A$5001,"&gt;="&amp;$C$7,BD!$A$3:$A$5001,"&lt;="&amp;$B147,BD!$P$3:$P$5001,"&lt;&gt;")=0,"",SUMIFS(BD!$P$3:$P$5001,BD!$B$3:$B$5001,K$128,BD!$A$3:$A$5001,_xlfn.MAXIFS(BD!$A$3:$A$5001,BD!$B$3:$B$5001,K$128,BD!$A$3:$A$5001,"&gt;="&amp;$C$7,BD!$A$3:$A$5001,"&lt;="&amp;$B147,BD!$P$3:$P$5001,"&lt;&gt;"))))</f>
        <v/>
      </c>
      <c r="L147" s="54" t="str">
        <f>IF(OR($B147="",$A147&gt;$B$9,L$128=""),"",IF(COUNTIFS(BD!$B$3:$B$5001,L$128,BD!$A$3:$A$5001,"&gt;="&amp;$C$7,BD!$A$3:$A$5001,"&lt;="&amp;$B147,BD!$P$3:$P$5001,"&lt;&gt;")=0,"",SUMIFS(BD!$P$3:$P$5001,BD!$B$3:$B$5001,L$128,BD!$A$3:$A$5001,_xlfn.MAXIFS(BD!$A$3:$A$5001,BD!$B$3:$B$5001,L$128,BD!$A$3:$A$5001,"&gt;="&amp;$C$7,BD!$A$3:$A$5001,"&lt;="&amp;$B147,BD!$P$3:$P$5001,"&lt;&gt;"))))</f>
        <v/>
      </c>
      <c r="M147" s="54" t="str">
        <f>IF(OR($B147="",$A147&gt;$B$9,M$128=""),"",IF(COUNTIFS(BD!$B$3:$B$5001,M$128,BD!$A$3:$A$5001,"&gt;="&amp;$C$7,BD!$A$3:$A$5001,"&lt;="&amp;$B147,BD!$P$3:$P$5001,"&lt;&gt;")=0,"",SUMIFS(BD!$P$3:$P$5001,BD!$B$3:$B$5001,M$128,BD!$A$3:$A$5001,_xlfn.MAXIFS(BD!$A$3:$A$5001,BD!$B$3:$B$5001,M$128,BD!$A$3:$A$5001,"&gt;="&amp;$C$7,BD!$A$3:$A$5001,"&lt;="&amp;$B147,BD!$P$3:$P$5001,"&lt;&gt;"))))</f>
        <v/>
      </c>
      <c r="N147" s="54" t="str">
        <f>IF(OR($B147="",$A147&gt;$B$9,N$128=""),"",IF(COUNTIFS(BD!$B$3:$B$5001,N$128,BD!$A$3:$A$5001,"&gt;="&amp;$C$7,BD!$A$3:$A$5001,"&lt;="&amp;$B147,BD!$P$3:$P$5001,"&lt;&gt;")=0,"",SUMIFS(BD!$P$3:$P$5001,BD!$B$3:$B$5001,N$128,BD!$A$3:$A$5001,_xlfn.MAXIFS(BD!$A$3:$A$5001,BD!$B$3:$B$5001,N$128,BD!$A$3:$A$5001,"&gt;="&amp;$C$7,BD!$A$3:$A$5001,"&lt;="&amp;$B147,BD!$P$3:$P$5001,"&lt;&gt;"))))</f>
        <v/>
      </c>
      <c r="O147" s="54" t="str">
        <f>IF(OR($B147="",$A147&gt;$B$9,O$128=""),"",IF(COUNTIFS(BD!$B$3:$B$5001,O$128,BD!$A$3:$A$5001,"&gt;="&amp;$C$7,BD!$A$3:$A$5001,"&lt;="&amp;$B147,BD!$P$3:$P$5001,"&lt;&gt;")=0,"",SUMIFS(BD!$P$3:$P$5001,BD!$B$3:$B$5001,O$128,BD!$A$3:$A$5001,_xlfn.MAXIFS(BD!$A$3:$A$5001,BD!$B$3:$B$5001,O$128,BD!$A$3:$A$5001,"&gt;="&amp;$C$7,BD!$A$3:$A$5001,"&lt;="&amp;$B147,BD!$P$3:$P$5001,"&lt;&gt;"))))</f>
        <v/>
      </c>
      <c r="P147" s="54" t="str">
        <f>IF(OR($B147="",$A147&gt;$B$9,P$128=""),"",IF(COUNTIFS(BD!$B$3:$B$5001,P$128,BD!$A$3:$A$5001,"&gt;="&amp;$C$7,BD!$A$3:$A$5001,"&lt;="&amp;$B147,BD!$P$3:$P$5001,"&lt;&gt;")=0,"",SUMIFS(BD!$P$3:$P$5001,BD!$B$3:$B$5001,P$128,BD!$A$3:$A$5001,_xlfn.MAXIFS(BD!$A$3:$A$5001,BD!$B$3:$B$5001,P$128,BD!$A$3:$A$5001,"&gt;="&amp;$C$7,BD!$A$3:$A$5001,"&lt;="&amp;$B147,BD!$P$3:$P$5001,"&lt;&gt;"))))</f>
        <v/>
      </c>
      <c r="Q147" s="54" t="str">
        <f>IF(OR($B147="",$A147&gt;$B$9,Q$128=""),"",IF(COUNTIFS(BD!$B$3:$B$5001,Q$128,BD!$A$3:$A$5001,"&gt;="&amp;$C$7,BD!$A$3:$A$5001,"&lt;="&amp;$B147,BD!$P$3:$P$5001,"&lt;&gt;")=0,"",SUMIFS(BD!$P$3:$P$5001,BD!$B$3:$B$5001,Q$128,BD!$A$3:$A$5001,_xlfn.MAXIFS(BD!$A$3:$A$5001,BD!$B$3:$B$5001,Q$128,BD!$A$3:$A$5001,"&gt;="&amp;$C$7,BD!$A$3:$A$5001,"&lt;="&amp;$B147,BD!$P$3:$P$5001,"&lt;&gt;"))))</f>
        <v/>
      </c>
      <c r="R147" s="54" t="str">
        <f>IF(OR($B147="",$A147&gt;$B$9,R$128=""),"",IF(COUNTIFS(BD!$B$3:$B$5001,R$128,BD!$A$3:$A$5001,"&gt;="&amp;$C$7,BD!$A$3:$A$5001,"&lt;="&amp;$B147,BD!$P$3:$P$5001,"&lt;&gt;")=0,"",SUMIFS(BD!$P$3:$P$5001,BD!$B$3:$B$5001,R$128,BD!$A$3:$A$5001,_xlfn.MAXIFS(BD!$A$3:$A$5001,BD!$B$3:$B$5001,R$128,BD!$A$3:$A$5001,"&gt;="&amp;$C$7,BD!$A$3:$A$5001,"&lt;="&amp;$B147,BD!$P$3:$P$5001,"&lt;&gt;"))))</f>
        <v/>
      </c>
      <c r="S147" s="54" t="str">
        <f>IF(OR($B147="",$A147&gt;$B$9,S$128=""),"",IF(COUNTIFS(BD!$B$3:$B$5001,S$128,BD!$A$3:$A$5001,"&gt;="&amp;$C$7,BD!$A$3:$A$5001,"&lt;="&amp;$B147,BD!$P$3:$P$5001,"&lt;&gt;")=0,"",SUMIFS(BD!$P$3:$P$5001,BD!$B$3:$B$5001,S$128,BD!$A$3:$A$5001,_xlfn.MAXIFS(BD!$A$3:$A$5001,BD!$B$3:$B$5001,S$128,BD!$A$3:$A$5001,"&gt;="&amp;$C$7,BD!$A$3:$A$5001,"&lt;="&amp;$B147,BD!$P$3:$P$5001,"&lt;&gt;"))))</f>
        <v/>
      </c>
      <c r="T147" s="54" t="str">
        <f>IF(OR($B147="",$A147&gt;$B$9,T$128=""),"",IF(COUNTIFS(BD!$B$3:$B$5001,T$128,BD!$A$3:$A$5001,"&gt;="&amp;$C$7,BD!$A$3:$A$5001,"&lt;="&amp;$B147,BD!$P$3:$P$5001,"&lt;&gt;")=0,"",SUMIFS(BD!$P$3:$P$5001,BD!$B$3:$B$5001,T$128,BD!$A$3:$A$5001,_xlfn.MAXIFS(BD!$A$3:$A$5001,BD!$B$3:$B$5001,T$128,BD!$A$3:$A$5001,"&gt;="&amp;$C$7,BD!$A$3:$A$5001,"&lt;="&amp;$B147,BD!$P$3:$P$5001,"&lt;&gt;"))))</f>
        <v/>
      </c>
      <c r="U147" s="54" t="str">
        <f>IF(OR($B147="",$A147&gt;$B$9,U$128=""),"",IF(COUNTIFS(BD!$B$3:$B$5001,U$128,BD!$A$3:$A$5001,"&gt;="&amp;$C$7,BD!$A$3:$A$5001,"&lt;="&amp;$B147,BD!$P$3:$P$5001,"&lt;&gt;")=0,"",SUMIFS(BD!$P$3:$P$5001,BD!$B$3:$B$5001,U$128,BD!$A$3:$A$5001,_xlfn.MAXIFS(BD!$A$3:$A$5001,BD!$B$3:$B$5001,U$128,BD!$A$3:$A$5001,"&gt;="&amp;$C$7,BD!$A$3:$A$5001,"&lt;="&amp;$B147,BD!$P$3:$P$5001,"&lt;&gt;"))))</f>
        <v/>
      </c>
      <c r="V147" s="54" t="str">
        <f>IF(OR($B147="",$A147&gt;$B$9,V$128=""),"",IF(COUNTIFS(BD!$B$3:$B$5001,V$128,BD!$A$3:$A$5001,"&gt;="&amp;$C$7,BD!$A$3:$A$5001,"&lt;="&amp;$B147,BD!$P$3:$P$5001,"&lt;&gt;")=0,"",SUMIFS(BD!$P$3:$P$5001,BD!$B$3:$B$5001,V$128,BD!$A$3:$A$5001,_xlfn.MAXIFS(BD!$A$3:$A$5001,BD!$B$3:$B$5001,V$128,BD!$A$3:$A$5001,"&gt;="&amp;$C$7,BD!$A$3:$A$5001,"&lt;="&amp;$B147,BD!$P$3:$P$5001,"&lt;&gt;"))))</f>
        <v/>
      </c>
    </row>
    <row r="148">
      <c r="A148" s="48">
        <v>20</v>
      </c>
      <c r="B148" s="53">
        <f>$B$31</f>
        <v>46315</v>
      </c>
      <c r="C148" s="54" t="str">
        <f>IF(OR($B148="",$A148&gt;$B$9,C$128=""),"",IF(COUNTIFS(BD!$B$3:$B$5001,C$128,BD!$A$3:$A$5001,"&gt;="&amp;$C$7,BD!$A$3:$A$5001,"&lt;="&amp;$B148,BD!$P$3:$P$5001,"&lt;&gt;")=0,"",SUMIFS(BD!$P$3:$P$5001,BD!$B$3:$B$5001,C$128,BD!$A$3:$A$5001,_xlfn.MAXIFS(BD!$A$3:$A$5001,BD!$B$3:$B$5001,C$128,BD!$A$3:$A$5001,"&gt;="&amp;$C$7,BD!$A$3:$A$5001,"&lt;="&amp;$B148,BD!$P$3:$P$5001,"&lt;&gt;"))))</f>
        <v/>
      </c>
      <c r="D148" s="54" t="str">
        <f>IF(OR($B148="",$A148&gt;$B$9,D$128=""),"",IF(COUNTIFS(BD!$B$3:$B$5001,D$128,BD!$A$3:$A$5001,"&gt;="&amp;$C$7,BD!$A$3:$A$5001,"&lt;="&amp;$B148,BD!$P$3:$P$5001,"&lt;&gt;")=0,"",SUMIFS(BD!$P$3:$P$5001,BD!$B$3:$B$5001,D$128,BD!$A$3:$A$5001,_xlfn.MAXIFS(BD!$A$3:$A$5001,BD!$B$3:$B$5001,D$128,BD!$A$3:$A$5001,"&gt;="&amp;$C$7,BD!$A$3:$A$5001,"&lt;="&amp;$B148,BD!$P$3:$P$5001,"&lt;&gt;"))))</f>
        <v/>
      </c>
      <c r="E148" s="54" t="str">
        <f>IF(OR($B148="",$A148&gt;$B$9,E$128=""),"",IF(COUNTIFS(BD!$B$3:$B$5001,E$128,BD!$A$3:$A$5001,"&gt;="&amp;$C$7,BD!$A$3:$A$5001,"&lt;="&amp;$B148,BD!$P$3:$P$5001,"&lt;&gt;")=0,"",SUMIFS(BD!$P$3:$P$5001,BD!$B$3:$B$5001,E$128,BD!$A$3:$A$5001,_xlfn.MAXIFS(BD!$A$3:$A$5001,BD!$B$3:$B$5001,E$128,BD!$A$3:$A$5001,"&gt;="&amp;$C$7,BD!$A$3:$A$5001,"&lt;="&amp;$B148,BD!$P$3:$P$5001,"&lt;&gt;"))))</f>
        <v/>
      </c>
      <c r="F148" s="54" t="str">
        <f>IF(OR($B148="",$A148&gt;$B$9,F$128=""),"",IF(COUNTIFS(BD!$B$3:$B$5001,F$128,BD!$A$3:$A$5001,"&gt;="&amp;$C$7,BD!$A$3:$A$5001,"&lt;="&amp;$B148,BD!$P$3:$P$5001,"&lt;&gt;")=0,"",SUMIFS(BD!$P$3:$P$5001,BD!$B$3:$B$5001,F$128,BD!$A$3:$A$5001,_xlfn.MAXIFS(BD!$A$3:$A$5001,BD!$B$3:$B$5001,F$128,BD!$A$3:$A$5001,"&gt;="&amp;$C$7,BD!$A$3:$A$5001,"&lt;="&amp;$B148,BD!$P$3:$P$5001,"&lt;&gt;"))))</f>
        <v/>
      </c>
      <c r="G148" s="54" t="str">
        <f>IF(OR($B148="",$A148&gt;$B$9,G$128=""),"",IF(COUNTIFS(BD!$B$3:$B$5001,G$128,BD!$A$3:$A$5001,"&gt;="&amp;$C$7,BD!$A$3:$A$5001,"&lt;="&amp;$B148,BD!$P$3:$P$5001,"&lt;&gt;")=0,"",SUMIFS(BD!$P$3:$P$5001,BD!$B$3:$B$5001,G$128,BD!$A$3:$A$5001,_xlfn.MAXIFS(BD!$A$3:$A$5001,BD!$B$3:$B$5001,G$128,BD!$A$3:$A$5001,"&gt;="&amp;$C$7,BD!$A$3:$A$5001,"&lt;="&amp;$B148,BD!$P$3:$P$5001,"&lt;&gt;"))))</f>
        <v/>
      </c>
      <c r="H148" s="54" t="str">
        <f>IF(OR($B148="",$A148&gt;$B$9,H$128=""),"",IF(COUNTIFS(BD!$B$3:$B$5001,H$128,BD!$A$3:$A$5001,"&gt;="&amp;$C$7,BD!$A$3:$A$5001,"&lt;="&amp;$B148,BD!$P$3:$P$5001,"&lt;&gt;")=0,"",SUMIFS(BD!$P$3:$P$5001,BD!$B$3:$B$5001,H$128,BD!$A$3:$A$5001,_xlfn.MAXIFS(BD!$A$3:$A$5001,BD!$B$3:$B$5001,H$128,BD!$A$3:$A$5001,"&gt;="&amp;$C$7,BD!$A$3:$A$5001,"&lt;="&amp;$B148,BD!$P$3:$P$5001,"&lt;&gt;"))))</f>
        <v/>
      </c>
      <c r="I148" s="54" t="str">
        <f>IF(OR($B148="",$A148&gt;$B$9,I$128=""),"",IF(COUNTIFS(BD!$B$3:$B$5001,I$128,BD!$A$3:$A$5001,"&gt;="&amp;$C$7,BD!$A$3:$A$5001,"&lt;="&amp;$B148,BD!$P$3:$P$5001,"&lt;&gt;")=0,"",SUMIFS(BD!$P$3:$P$5001,BD!$B$3:$B$5001,I$128,BD!$A$3:$A$5001,_xlfn.MAXIFS(BD!$A$3:$A$5001,BD!$B$3:$B$5001,I$128,BD!$A$3:$A$5001,"&gt;="&amp;$C$7,BD!$A$3:$A$5001,"&lt;="&amp;$B148,BD!$P$3:$P$5001,"&lt;&gt;"))))</f>
        <v/>
      </c>
      <c r="J148" s="54" t="str">
        <f>IF(OR($B148="",$A148&gt;$B$9,J$128=""),"",IF(COUNTIFS(BD!$B$3:$B$5001,J$128,BD!$A$3:$A$5001,"&gt;="&amp;$C$7,BD!$A$3:$A$5001,"&lt;="&amp;$B148,BD!$P$3:$P$5001,"&lt;&gt;")=0,"",SUMIFS(BD!$P$3:$P$5001,BD!$B$3:$B$5001,J$128,BD!$A$3:$A$5001,_xlfn.MAXIFS(BD!$A$3:$A$5001,BD!$B$3:$B$5001,J$128,BD!$A$3:$A$5001,"&gt;="&amp;$C$7,BD!$A$3:$A$5001,"&lt;="&amp;$B148,BD!$P$3:$P$5001,"&lt;&gt;"))))</f>
        <v/>
      </c>
      <c r="K148" s="54" t="str">
        <f>IF(OR($B148="",$A148&gt;$B$9,K$128=""),"",IF(COUNTIFS(BD!$B$3:$B$5001,K$128,BD!$A$3:$A$5001,"&gt;="&amp;$C$7,BD!$A$3:$A$5001,"&lt;="&amp;$B148,BD!$P$3:$P$5001,"&lt;&gt;")=0,"",SUMIFS(BD!$P$3:$P$5001,BD!$B$3:$B$5001,K$128,BD!$A$3:$A$5001,_xlfn.MAXIFS(BD!$A$3:$A$5001,BD!$B$3:$B$5001,K$128,BD!$A$3:$A$5001,"&gt;="&amp;$C$7,BD!$A$3:$A$5001,"&lt;="&amp;$B148,BD!$P$3:$P$5001,"&lt;&gt;"))))</f>
        <v/>
      </c>
      <c r="L148" s="54" t="str">
        <f>IF(OR($B148="",$A148&gt;$B$9,L$128=""),"",IF(COUNTIFS(BD!$B$3:$B$5001,L$128,BD!$A$3:$A$5001,"&gt;="&amp;$C$7,BD!$A$3:$A$5001,"&lt;="&amp;$B148,BD!$P$3:$P$5001,"&lt;&gt;")=0,"",SUMIFS(BD!$P$3:$P$5001,BD!$B$3:$B$5001,L$128,BD!$A$3:$A$5001,_xlfn.MAXIFS(BD!$A$3:$A$5001,BD!$B$3:$B$5001,L$128,BD!$A$3:$A$5001,"&gt;="&amp;$C$7,BD!$A$3:$A$5001,"&lt;="&amp;$B148,BD!$P$3:$P$5001,"&lt;&gt;"))))</f>
        <v/>
      </c>
      <c r="M148" s="54" t="str">
        <f>IF(OR($B148="",$A148&gt;$B$9,M$128=""),"",IF(COUNTIFS(BD!$B$3:$B$5001,M$128,BD!$A$3:$A$5001,"&gt;="&amp;$C$7,BD!$A$3:$A$5001,"&lt;="&amp;$B148,BD!$P$3:$P$5001,"&lt;&gt;")=0,"",SUMIFS(BD!$P$3:$P$5001,BD!$B$3:$B$5001,M$128,BD!$A$3:$A$5001,_xlfn.MAXIFS(BD!$A$3:$A$5001,BD!$B$3:$B$5001,M$128,BD!$A$3:$A$5001,"&gt;="&amp;$C$7,BD!$A$3:$A$5001,"&lt;="&amp;$B148,BD!$P$3:$P$5001,"&lt;&gt;"))))</f>
        <v/>
      </c>
      <c r="N148" s="54" t="str">
        <f>IF(OR($B148="",$A148&gt;$B$9,N$128=""),"",IF(COUNTIFS(BD!$B$3:$B$5001,N$128,BD!$A$3:$A$5001,"&gt;="&amp;$C$7,BD!$A$3:$A$5001,"&lt;="&amp;$B148,BD!$P$3:$P$5001,"&lt;&gt;")=0,"",SUMIFS(BD!$P$3:$P$5001,BD!$B$3:$B$5001,N$128,BD!$A$3:$A$5001,_xlfn.MAXIFS(BD!$A$3:$A$5001,BD!$B$3:$B$5001,N$128,BD!$A$3:$A$5001,"&gt;="&amp;$C$7,BD!$A$3:$A$5001,"&lt;="&amp;$B148,BD!$P$3:$P$5001,"&lt;&gt;"))))</f>
        <v/>
      </c>
      <c r="O148" s="54" t="str">
        <f>IF(OR($B148="",$A148&gt;$B$9,O$128=""),"",IF(COUNTIFS(BD!$B$3:$B$5001,O$128,BD!$A$3:$A$5001,"&gt;="&amp;$C$7,BD!$A$3:$A$5001,"&lt;="&amp;$B148,BD!$P$3:$P$5001,"&lt;&gt;")=0,"",SUMIFS(BD!$P$3:$P$5001,BD!$B$3:$B$5001,O$128,BD!$A$3:$A$5001,_xlfn.MAXIFS(BD!$A$3:$A$5001,BD!$B$3:$B$5001,O$128,BD!$A$3:$A$5001,"&gt;="&amp;$C$7,BD!$A$3:$A$5001,"&lt;="&amp;$B148,BD!$P$3:$P$5001,"&lt;&gt;"))))</f>
        <v/>
      </c>
      <c r="P148" s="54" t="str">
        <f>IF(OR($B148="",$A148&gt;$B$9,P$128=""),"",IF(COUNTIFS(BD!$B$3:$B$5001,P$128,BD!$A$3:$A$5001,"&gt;="&amp;$C$7,BD!$A$3:$A$5001,"&lt;="&amp;$B148,BD!$P$3:$P$5001,"&lt;&gt;")=0,"",SUMIFS(BD!$P$3:$P$5001,BD!$B$3:$B$5001,P$128,BD!$A$3:$A$5001,_xlfn.MAXIFS(BD!$A$3:$A$5001,BD!$B$3:$B$5001,P$128,BD!$A$3:$A$5001,"&gt;="&amp;$C$7,BD!$A$3:$A$5001,"&lt;="&amp;$B148,BD!$P$3:$P$5001,"&lt;&gt;"))))</f>
        <v/>
      </c>
      <c r="Q148" s="54" t="str">
        <f>IF(OR($B148="",$A148&gt;$B$9,Q$128=""),"",IF(COUNTIFS(BD!$B$3:$B$5001,Q$128,BD!$A$3:$A$5001,"&gt;="&amp;$C$7,BD!$A$3:$A$5001,"&lt;="&amp;$B148,BD!$P$3:$P$5001,"&lt;&gt;")=0,"",SUMIFS(BD!$P$3:$P$5001,BD!$B$3:$B$5001,Q$128,BD!$A$3:$A$5001,_xlfn.MAXIFS(BD!$A$3:$A$5001,BD!$B$3:$B$5001,Q$128,BD!$A$3:$A$5001,"&gt;="&amp;$C$7,BD!$A$3:$A$5001,"&lt;="&amp;$B148,BD!$P$3:$P$5001,"&lt;&gt;"))))</f>
        <v/>
      </c>
      <c r="R148" s="54" t="str">
        <f>IF(OR($B148="",$A148&gt;$B$9,R$128=""),"",IF(COUNTIFS(BD!$B$3:$B$5001,R$128,BD!$A$3:$A$5001,"&gt;="&amp;$C$7,BD!$A$3:$A$5001,"&lt;="&amp;$B148,BD!$P$3:$P$5001,"&lt;&gt;")=0,"",SUMIFS(BD!$P$3:$P$5001,BD!$B$3:$B$5001,R$128,BD!$A$3:$A$5001,_xlfn.MAXIFS(BD!$A$3:$A$5001,BD!$B$3:$B$5001,R$128,BD!$A$3:$A$5001,"&gt;="&amp;$C$7,BD!$A$3:$A$5001,"&lt;="&amp;$B148,BD!$P$3:$P$5001,"&lt;&gt;"))))</f>
        <v/>
      </c>
      <c r="S148" s="54" t="str">
        <f>IF(OR($B148="",$A148&gt;$B$9,S$128=""),"",IF(COUNTIFS(BD!$B$3:$B$5001,S$128,BD!$A$3:$A$5001,"&gt;="&amp;$C$7,BD!$A$3:$A$5001,"&lt;="&amp;$B148,BD!$P$3:$P$5001,"&lt;&gt;")=0,"",SUMIFS(BD!$P$3:$P$5001,BD!$B$3:$B$5001,S$128,BD!$A$3:$A$5001,_xlfn.MAXIFS(BD!$A$3:$A$5001,BD!$B$3:$B$5001,S$128,BD!$A$3:$A$5001,"&gt;="&amp;$C$7,BD!$A$3:$A$5001,"&lt;="&amp;$B148,BD!$P$3:$P$5001,"&lt;&gt;"))))</f>
        <v/>
      </c>
      <c r="T148" s="54" t="str">
        <f>IF(OR($B148="",$A148&gt;$B$9,T$128=""),"",IF(COUNTIFS(BD!$B$3:$B$5001,T$128,BD!$A$3:$A$5001,"&gt;="&amp;$C$7,BD!$A$3:$A$5001,"&lt;="&amp;$B148,BD!$P$3:$P$5001,"&lt;&gt;")=0,"",SUMIFS(BD!$P$3:$P$5001,BD!$B$3:$B$5001,T$128,BD!$A$3:$A$5001,_xlfn.MAXIFS(BD!$A$3:$A$5001,BD!$B$3:$B$5001,T$128,BD!$A$3:$A$5001,"&gt;="&amp;$C$7,BD!$A$3:$A$5001,"&lt;="&amp;$B148,BD!$P$3:$P$5001,"&lt;&gt;"))))</f>
        <v/>
      </c>
      <c r="U148" s="54" t="str">
        <f>IF(OR($B148="",$A148&gt;$B$9,U$128=""),"",IF(COUNTIFS(BD!$B$3:$B$5001,U$128,BD!$A$3:$A$5001,"&gt;="&amp;$C$7,BD!$A$3:$A$5001,"&lt;="&amp;$B148,BD!$P$3:$P$5001,"&lt;&gt;")=0,"",SUMIFS(BD!$P$3:$P$5001,BD!$B$3:$B$5001,U$128,BD!$A$3:$A$5001,_xlfn.MAXIFS(BD!$A$3:$A$5001,BD!$B$3:$B$5001,U$128,BD!$A$3:$A$5001,"&gt;="&amp;$C$7,BD!$A$3:$A$5001,"&lt;="&amp;$B148,BD!$P$3:$P$5001,"&lt;&gt;"))))</f>
        <v/>
      </c>
      <c r="V148" s="54" t="str">
        <f>IF(OR($B148="",$A148&gt;$B$9,V$128=""),"",IF(COUNTIFS(BD!$B$3:$B$5001,V$128,BD!$A$3:$A$5001,"&gt;="&amp;$C$7,BD!$A$3:$A$5001,"&lt;="&amp;$B148,BD!$P$3:$P$5001,"&lt;&gt;")=0,"",SUMIFS(BD!$P$3:$P$5001,BD!$B$3:$B$5001,V$128,BD!$A$3:$A$5001,_xlfn.MAXIFS(BD!$A$3:$A$5001,BD!$B$3:$B$5001,V$128,BD!$A$3:$A$5001,"&gt;="&amp;$C$7,BD!$A$3:$A$5001,"&lt;="&amp;$B148,BD!$P$3:$P$5001,"&lt;&gt;"))))</f>
        <v/>
      </c>
    </row>
    <row r="149">
      <c r="A149" s="48">
        <v>21</v>
      </c>
      <c r="B149" s="53">
        <f>$B$32</f>
        <v>46316</v>
      </c>
      <c r="C149" s="54" t="str">
        <f>IF(OR($B149="",$A149&gt;$B$9,C$128=""),"",IF(COUNTIFS(BD!$B$3:$B$5001,C$128,BD!$A$3:$A$5001,"&gt;="&amp;$C$7,BD!$A$3:$A$5001,"&lt;="&amp;$B149,BD!$P$3:$P$5001,"&lt;&gt;")=0,"",SUMIFS(BD!$P$3:$P$5001,BD!$B$3:$B$5001,C$128,BD!$A$3:$A$5001,_xlfn.MAXIFS(BD!$A$3:$A$5001,BD!$B$3:$B$5001,C$128,BD!$A$3:$A$5001,"&gt;="&amp;$C$7,BD!$A$3:$A$5001,"&lt;="&amp;$B149,BD!$P$3:$P$5001,"&lt;&gt;"))))</f>
        <v/>
      </c>
      <c r="D149" s="54" t="str">
        <f>IF(OR($B149="",$A149&gt;$B$9,D$128=""),"",IF(COUNTIFS(BD!$B$3:$B$5001,D$128,BD!$A$3:$A$5001,"&gt;="&amp;$C$7,BD!$A$3:$A$5001,"&lt;="&amp;$B149,BD!$P$3:$P$5001,"&lt;&gt;")=0,"",SUMIFS(BD!$P$3:$P$5001,BD!$B$3:$B$5001,D$128,BD!$A$3:$A$5001,_xlfn.MAXIFS(BD!$A$3:$A$5001,BD!$B$3:$B$5001,D$128,BD!$A$3:$A$5001,"&gt;="&amp;$C$7,BD!$A$3:$A$5001,"&lt;="&amp;$B149,BD!$P$3:$P$5001,"&lt;&gt;"))))</f>
        <v/>
      </c>
      <c r="E149" s="54" t="str">
        <f>IF(OR($B149="",$A149&gt;$B$9,E$128=""),"",IF(COUNTIFS(BD!$B$3:$B$5001,E$128,BD!$A$3:$A$5001,"&gt;="&amp;$C$7,BD!$A$3:$A$5001,"&lt;="&amp;$B149,BD!$P$3:$P$5001,"&lt;&gt;")=0,"",SUMIFS(BD!$P$3:$P$5001,BD!$B$3:$B$5001,E$128,BD!$A$3:$A$5001,_xlfn.MAXIFS(BD!$A$3:$A$5001,BD!$B$3:$B$5001,E$128,BD!$A$3:$A$5001,"&gt;="&amp;$C$7,BD!$A$3:$A$5001,"&lt;="&amp;$B149,BD!$P$3:$P$5001,"&lt;&gt;"))))</f>
        <v/>
      </c>
      <c r="F149" s="54" t="str">
        <f>IF(OR($B149="",$A149&gt;$B$9,F$128=""),"",IF(COUNTIFS(BD!$B$3:$B$5001,F$128,BD!$A$3:$A$5001,"&gt;="&amp;$C$7,BD!$A$3:$A$5001,"&lt;="&amp;$B149,BD!$P$3:$P$5001,"&lt;&gt;")=0,"",SUMIFS(BD!$P$3:$P$5001,BD!$B$3:$B$5001,F$128,BD!$A$3:$A$5001,_xlfn.MAXIFS(BD!$A$3:$A$5001,BD!$B$3:$B$5001,F$128,BD!$A$3:$A$5001,"&gt;="&amp;$C$7,BD!$A$3:$A$5001,"&lt;="&amp;$B149,BD!$P$3:$P$5001,"&lt;&gt;"))))</f>
        <v/>
      </c>
      <c r="G149" s="54" t="str">
        <f>IF(OR($B149="",$A149&gt;$B$9,G$128=""),"",IF(COUNTIFS(BD!$B$3:$B$5001,G$128,BD!$A$3:$A$5001,"&gt;="&amp;$C$7,BD!$A$3:$A$5001,"&lt;="&amp;$B149,BD!$P$3:$P$5001,"&lt;&gt;")=0,"",SUMIFS(BD!$P$3:$P$5001,BD!$B$3:$B$5001,G$128,BD!$A$3:$A$5001,_xlfn.MAXIFS(BD!$A$3:$A$5001,BD!$B$3:$B$5001,G$128,BD!$A$3:$A$5001,"&gt;="&amp;$C$7,BD!$A$3:$A$5001,"&lt;="&amp;$B149,BD!$P$3:$P$5001,"&lt;&gt;"))))</f>
        <v/>
      </c>
      <c r="H149" s="54" t="str">
        <f>IF(OR($B149="",$A149&gt;$B$9,H$128=""),"",IF(COUNTIFS(BD!$B$3:$B$5001,H$128,BD!$A$3:$A$5001,"&gt;="&amp;$C$7,BD!$A$3:$A$5001,"&lt;="&amp;$B149,BD!$P$3:$P$5001,"&lt;&gt;")=0,"",SUMIFS(BD!$P$3:$P$5001,BD!$B$3:$B$5001,H$128,BD!$A$3:$A$5001,_xlfn.MAXIFS(BD!$A$3:$A$5001,BD!$B$3:$B$5001,H$128,BD!$A$3:$A$5001,"&gt;="&amp;$C$7,BD!$A$3:$A$5001,"&lt;="&amp;$B149,BD!$P$3:$P$5001,"&lt;&gt;"))))</f>
        <v/>
      </c>
      <c r="I149" s="54" t="str">
        <f>IF(OR($B149="",$A149&gt;$B$9,I$128=""),"",IF(COUNTIFS(BD!$B$3:$B$5001,I$128,BD!$A$3:$A$5001,"&gt;="&amp;$C$7,BD!$A$3:$A$5001,"&lt;="&amp;$B149,BD!$P$3:$P$5001,"&lt;&gt;")=0,"",SUMIFS(BD!$P$3:$P$5001,BD!$B$3:$B$5001,I$128,BD!$A$3:$A$5001,_xlfn.MAXIFS(BD!$A$3:$A$5001,BD!$B$3:$B$5001,I$128,BD!$A$3:$A$5001,"&gt;="&amp;$C$7,BD!$A$3:$A$5001,"&lt;="&amp;$B149,BD!$P$3:$P$5001,"&lt;&gt;"))))</f>
        <v/>
      </c>
      <c r="J149" s="54" t="str">
        <f>IF(OR($B149="",$A149&gt;$B$9,J$128=""),"",IF(COUNTIFS(BD!$B$3:$B$5001,J$128,BD!$A$3:$A$5001,"&gt;="&amp;$C$7,BD!$A$3:$A$5001,"&lt;="&amp;$B149,BD!$P$3:$P$5001,"&lt;&gt;")=0,"",SUMIFS(BD!$P$3:$P$5001,BD!$B$3:$B$5001,J$128,BD!$A$3:$A$5001,_xlfn.MAXIFS(BD!$A$3:$A$5001,BD!$B$3:$B$5001,J$128,BD!$A$3:$A$5001,"&gt;="&amp;$C$7,BD!$A$3:$A$5001,"&lt;="&amp;$B149,BD!$P$3:$P$5001,"&lt;&gt;"))))</f>
        <v/>
      </c>
      <c r="K149" s="54" t="str">
        <f>IF(OR($B149="",$A149&gt;$B$9,K$128=""),"",IF(COUNTIFS(BD!$B$3:$B$5001,K$128,BD!$A$3:$A$5001,"&gt;="&amp;$C$7,BD!$A$3:$A$5001,"&lt;="&amp;$B149,BD!$P$3:$P$5001,"&lt;&gt;")=0,"",SUMIFS(BD!$P$3:$P$5001,BD!$B$3:$B$5001,K$128,BD!$A$3:$A$5001,_xlfn.MAXIFS(BD!$A$3:$A$5001,BD!$B$3:$B$5001,K$128,BD!$A$3:$A$5001,"&gt;="&amp;$C$7,BD!$A$3:$A$5001,"&lt;="&amp;$B149,BD!$P$3:$P$5001,"&lt;&gt;"))))</f>
        <v/>
      </c>
      <c r="L149" s="54" t="str">
        <f>IF(OR($B149="",$A149&gt;$B$9,L$128=""),"",IF(COUNTIFS(BD!$B$3:$B$5001,L$128,BD!$A$3:$A$5001,"&gt;="&amp;$C$7,BD!$A$3:$A$5001,"&lt;="&amp;$B149,BD!$P$3:$P$5001,"&lt;&gt;")=0,"",SUMIFS(BD!$P$3:$P$5001,BD!$B$3:$B$5001,L$128,BD!$A$3:$A$5001,_xlfn.MAXIFS(BD!$A$3:$A$5001,BD!$B$3:$B$5001,L$128,BD!$A$3:$A$5001,"&gt;="&amp;$C$7,BD!$A$3:$A$5001,"&lt;="&amp;$B149,BD!$P$3:$P$5001,"&lt;&gt;"))))</f>
        <v/>
      </c>
      <c r="M149" s="54" t="str">
        <f>IF(OR($B149="",$A149&gt;$B$9,M$128=""),"",IF(COUNTIFS(BD!$B$3:$B$5001,M$128,BD!$A$3:$A$5001,"&gt;="&amp;$C$7,BD!$A$3:$A$5001,"&lt;="&amp;$B149,BD!$P$3:$P$5001,"&lt;&gt;")=0,"",SUMIFS(BD!$P$3:$P$5001,BD!$B$3:$B$5001,M$128,BD!$A$3:$A$5001,_xlfn.MAXIFS(BD!$A$3:$A$5001,BD!$B$3:$B$5001,M$128,BD!$A$3:$A$5001,"&gt;="&amp;$C$7,BD!$A$3:$A$5001,"&lt;="&amp;$B149,BD!$P$3:$P$5001,"&lt;&gt;"))))</f>
        <v/>
      </c>
      <c r="N149" s="54" t="str">
        <f>IF(OR($B149="",$A149&gt;$B$9,N$128=""),"",IF(COUNTIFS(BD!$B$3:$B$5001,N$128,BD!$A$3:$A$5001,"&gt;="&amp;$C$7,BD!$A$3:$A$5001,"&lt;="&amp;$B149,BD!$P$3:$P$5001,"&lt;&gt;")=0,"",SUMIFS(BD!$P$3:$P$5001,BD!$B$3:$B$5001,N$128,BD!$A$3:$A$5001,_xlfn.MAXIFS(BD!$A$3:$A$5001,BD!$B$3:$B$5001,N$128,BD!$A$3:$A$5001,"&gt;="&amp;$C$7,BD!$A$3:$A$5001,"&lt;="&amp;$B149,BD!$P$3:$P$5001,"&lt;&gt;"))))</f>
        <v/>
      </c>
      <c r="O149" s="54" t="str">
        <f>IF(OR($B149="",$A149&gt;$B$9,O$128=""),"",IF(COUNTIFS(BD!$B$3:$B$5001,O$128,BD!$A$3:$A$5001,"&gt;="&amp;$C$7,BD!$A$3:$A$5001,"&lt;="&amp;$B149,BD!$P$3:$P$5001,"&lt;&gt;")=0,"",SUMIFS(BD!$P$3:$P$5001,BD!$B$3:$B$5001,O$128,BD!$A$3:$A$5001,_xlfn.MAXIFS(BD!$A$3:$A$5001,BD!$B$3:$B$5001,O$128,BD!$A$3:$A$5001,"&gt;="&amp;$C$7,BD!$A$3:$A$5001,"&lt;="&amp;$B149,BD!$P$3:$P$5001,"&lt;&gt;"))))</f>
        <v/>
      </c>
      <c r="P149" s="54" t="str">
        <f>IF(OR($B149="",$A149&gt;$B$9,P$128=""),"",IF(COUNTIFS(BD!$B$3:$B$5001,P$128,BD!$A$3:$A$5001,"&gt;="&amp;$C$7,BD!$A$3:$A$5001,"&lt;="&amp;$B149,BD!$P$3:$P$5001,"&lt;&gt;")=0,"",SUMIFS(BD!$P$3:$P$5001,BD!$B$3:$B$5001,P$128,BD!$A$3:$A$5001,_xlfn.MAXIFS(BD!$A$3:$A$5001,BD!$B$3:$B$5001,P$128,BD!$A$3:$A$5001,"&gt;="&amp;$C$7,BD!$A$3:$A$5001,"&lt;="&amp;$B149,BD!$P$3:$P$5001,"&lt;&gt;"))))</f>
        <v/>
      </c>
      <c r="Q149" s="54" t="str">
        <f>IF(OR($B149="",$A149&gt;$B$9,Q$128=""),"",IF(COUNTIFS(BD!$B$3:$B$5001,Q$128,BD!$A$3:$A$5001,"&gt;="&amp;$C$7,BD!$A$3:$A$5001,"&lt;="&amp;$B149,BD!$P$3:$P$5001,"&lt;&gt;")=0,"",SUMIFS(BD!$P$3:$P$5001,BD!$B$3:$B$5001,Q$128,BD!$A$3:$A$5001,_xlfn.MAXIFS(BD!$A$3:$A$5001,BD!$B$3:$B$5001,Q$128,BD!$A$3:$A$5001,"&gt;="&amp;$C$7,BD!$A$3:$A$5001,"&lt;="&amp;$B149,BD!$P$3:$P$5001,"&lt;&gt;"))))</f>
        <v/>
      </c>
      <c r="R149" s="54" t="str">
        <f>IF(OR($B149="",$A149&gt;$B$9,R$128=""),"",IF(COUNTIFS(BD!$B$3:$B$5001,R$128,BD!$A$3:$A$5001,"&gt;="&amp;$C$7,BD!$A$3:$A$5001,"&lt;="&amp;$B149,BD!$P$3:$P$5001,"&lt;&gt;")=0,"",SUMIFS(BD!$P$3:$P$5001,BD!$B$3:$B$5001,R$128,BD!$A$3:$A$5001,_xlfn.MAXIFS(BD!$A$3:$A$5001,BD!$B$3:$B$5001,R$128,BD!$A$3:$A$5001,"&gt;="&amp;$C$7,BD!$A$3:$A$5001,"&lt;="&amp;$B149,BD!$P$3:$P$5001,"&lt;&gt;"))))</f>
        <v/>
      </c>
      <c r="S149" s="54" t="str">
        <f>IF(OR($B149="",$A149&gt;$B$9,S$128=""),"",IF(COUNTIFS(BD!$B$3:$B$5001,S$128,BD!$A$3:$A$5001,"&gt;="&amp;$C$7,BD!$A$3:$A$5001,"&lt;="&amp;$B149,BD!$P$3:$P$5001,"&lt;&gt;")=0,"",SUMIFS(BD!$P$3:$P$5001,BD!$B$3:$B$5001,S$128,BD!$A$3:$A$5001,_xlfn.MAXIFS(BD!$A$3:$A$5001,BD!$B$3:$B$5001,S$128,BD!$A$3:$A$5001,"&gt;="&amp;$C$7,BD!$A$3:$A$5001,"&lt;="&amp;$B149,BD!$P$3:$P$5001,"&lt;&gt;"))))</f>
        <v/>
      </c>
      <c r="T149" s="54" t="str">
        <f>IF(OR($B149="",$A149&gt;$B$9,T$128=""),"",IF(COUNTIFS(BD!$B$3:$B$5001,T$128,BD!$A$3:$A$5001,"&gt;="&amp;$C$7,BD!$A$3:$A$5001,"&lt;="&amp;$B149,BD!$P$3:$P$5001,"&lt;&gt;")=0,"",SUMIFS(BD!$P$3:$P$5001,BD!$B$3:$B$5001,T$128,BD!$A$3:$A$5001,_xlfn.MAXIFS(BD!$A$3:$A$5001,BD!$B$3:$B$5001,T$128,BD!$A$3:$A$5001,"&gt;="&amp;$C$7,BD!$A$3:$A$5001,"&lt;="&amp;$B149,BD!$P$3:$P$5001,"&lt;&gt;"))))</f>
        <v/>
      </c>
      <c r="U149" s="54" t="str">
        <f>IF(OR($B149="",$A149&gt;$B$9,U$128=""),"",IF(COUNTIFS(BD!$B$3:$B$5001,U$128,BD!$A$3:$A$5001,"&gt;="&amp;$C$7,BD!$A$3:$A$5001,"&lt;="&amp;$B149,BD!$P$3:$P$5001,"&lt;&gt;")=0,"",SUMIFS(BD!$P$3:$P$5001,BD!$B$3:$B$5001,U$128,BD!$A$3:$A$5001,_xlfn.MAXIFS(BD!$A$3:$A$5001,BD!$B$3:$B$5001,U$128,BD!$A$3:$A$5001,"&gt;="&amp;$C$7,BD!$A$3:$A$5001,"&lt;="&amp;$B149,BD!$P$3:$P$5001,"&lt;&gt;"))))</f>
        <v/>
      </c>
      <c r="V149" s="54" t="str">
        <f>IF(OR($B149="",$A149&gt;$B$9,V$128=""),"",IF(COUNTIFS(BD!$B$3:$B$5001,V$128,BD!$A$3:$A$5001,"&gt;="&amp;$C$7,BD!$A$3:$A$5001,"&lt;="&amp;$B149,BD!$P$3:$P$5001,"&lt;&gt;")=0,"",SUMIFS(BD!$P$3:$P$5001,BD!$B$3:$B$5001,V$128,BD!$A$3:$A$5001,_xlfn.MAXIFS(BD!$A$3:$A$5001,BD!$B$3:$B$5001,V$128,BD!$A$3:$A$5001,"&gt;="&amp;$C$7,BD!$A$3:$A$5001,"&lt;="&amp;$B149,BD!$P$3:$P$5001,"&lt;&gt;"))))</f>
        <v/>
      </c>
    </row>
    <row r="150">
      <c r="A150" s="48">
        <v>22</v>
      </c>
      <c r="B150" s="53">
        <f>$B$33</f>
        <v>46317</v>
      </c>
      <c r="C150" s="54" t="str">
        <f>IF(OR($B150="",$A150&gt;$B$9,C$128=""),"",IF(COUNTIFS(BD!$B$3:$B$5001,C$128,BD!$A$3:$A$5001,"&gt;="&amp;$C$7,BD!$A$3:$A$5001,"&lt;="&amp;$B150,BD!$P$3:$P$5001,"&lt;&gt;")=0,"",SUMIFS(BD!$P$3:$P$5001,BD!$B$3:$B$5001,C$128,BD!$A$3:$A$5001,_xlfn.MAXIFS(BD!$A$3:$A$5001,BD!$B$3:$B$5001,C$128,BD!$A$3:$A$5001,"&gt;="&amp;$C$7,BD!$A$3:$A$5001,"&lt;="&amp;$B150,BD!$P$3:$P$5001,"&lt;&gt;"))))</f>
        <v/>
      </c>
      <c r="D150" s="54" t="str">
        <f>IF(OR($B150="",$A150&gt;$B$9,D$128=""),"",IF(COUNTIFS(BD!$B$3:$B$5001,D$128,BD!$A$3:$A$5001,"&gt;="&amp;$C$7,BD!$A$3:$A$5001,"&lt;="&amp;$B150,BD!$P$3:$P$5001,"&lt;&gt;")=0,"",SUMIFS(BD!$P$3:$P$5001,BD!$B$3:$B$5001,D$128,BD!$A$3:$A$5001,_xlfn.MAXIFS(BD!$A$3:$A$5001,BD!$B$3:$B$5001,D$128,BD!$A$3:$A$5001,"&gt;="&amp;$C$7,BD!$A$3:$A$5001,"&lt;="&amp;$B150,BD!$P$3:$P$5001,"&lt;&gt;"))))</f>
        <v/>
      </c>
      <c r="E150" s="54" t="str">
        <f>IF(OR($B150="",$A150&gt;$B$9,E$128=""),"",IF(COUNTIFS(BD!$B$3:$B$5001,E$128,BD!$A$3:$A$5001,"&gt;="&amp;$C$7,BD!$A$3:$A$5001,"&lt;="&amp;$B150,BD!$P$3:$P$5001,"&lt;&gt;")=0,"",SUMIFS(BD!$P$3:$P$5001,BD!$B$3:$B$5001,E$128,BD!$A$3:$A$5001,_xlfn.MAXIFS(BD!$A$3:$A$5001,BD!$B$3:$B$5001,E$128,BD!$A$3:$A$5001,"&gt;="&amp;$C$7,BD!$A$3:$A$5001,"&lt;="&amp;$B150,BD!$P$3:$P$5001,"&lt;&gt;"))))</f>
        <v/>
      </c>
      <c r="F150" s="54" t="str">
        <f>IF(OR($B150="",$A150&gt;$B$9,F$128=""),"",IF(COUNTIFS(BD!$B$3:$B$5001,F$128,BD!$A$3:$A$5001,"&gt;="&amp;$C$7,BD!$A$3:$A$5001,"&lt;="&amp;$B150,BD!$P$3:$P$5001,"&lt;&gt;")=0,"",SUMIFS(BD!$P$3:$P$5001,BD!$B$3:$B$5001,F$128,BD!$A$3:$A$5001,_xlfn.MAXIFS(BD!$A$3:$A$5001,BD!$B$3:$B$5001,F$128,BD!$A$3:$A$5001,"&gt;="&amp;$C$7,BD!$A$3:$A$5001,"&lt;="&amp;$B150,BD!$P$3:$P$5001,"&lt;&gt;"))))</f>
        <v/>
      </c>
      <c r="G150" s="54" t="str">
        <f>IF(OR($B150="",$A150&gt;$B$9,G$128=""),"",IF(COUNTIFS(BD!$B$3:$B$5001,G$128,BD!$A$3:$A$5001,"&gt;="&amp;$C$7,BD!$A$3:$A$5001,"&lt;="&amp;$B150,BD!$P$3:$P$5001,"&lt;&gt;")=0,"",SUMIFS(BD!$P$3:$P$5001,BD!$B$3:$B$5001,G$128,BD!$A$3:$A$5001,_xlfn.MAXIFS(BD!$A$3:$A$5001,BD!$B$3:$B$5001,G$128,BD!$A$3:$A$5001,"&gt;="&amp;$C$7,BD!$A$3:$A$5001,"&lt;="&amp;$B150,BD!$P$3:$P$5001,"&lt;&gt;"))))</f>
        <v/>
      </c>
      <c r="H150" s="54" t="str">
        <f>IF(OR($B150="",$A150&gt;$B$9,H$128=""),"",IF(COUNTIFS(BD!$B$3:$B$5001,H$128,BD!$A$3:$A$5001,"&gt;="&amp;$C$7,BD!$A$3:$A$5001,"&lt;="&amp;$B150,BD!$P$3:$P$5001,"&lt;&gt;")=0,"",SUMIFS(BD!$P$3:$P$5001,BD!$B$3:$B$5001,H$128,BD!$A$3:$A$5001,_xlfn.MAXIFS(BD!$A$3:$A$5001,BD!$B$3:$B$5001,H$128,BD!$A$3:$A$5001,"&gt;="&amp;$C$7,BD!$A$3:$A$5001,"&lt;="&amp;$B150,BD!$P$3:$P$5001,"&lt;&gt;"))))</f>
        <v/>
      </c>
      <c r="I150" s="54" t="str">
        <f>IF(OR($B150="",$A150&gt;$B$9,I$128=""),"",IF(COUNTIFS(BD!$B$3:$B$5001,I$128,BD!$A$3:$A$5001,"&gt;="&amp;$C$7,BD!$A$3:$A$5001,"&lt;="&amp;$B150,BD!$P$3:$P$5001,"&lt;&gt;")=0,"",SUMIFS(BD!$P$3:$P$5001,BD!$B$3:$B$5001,I$128,BD!$A$3:$A$5001,_xlfn.MAXIFS(BD!$A$3:$A$5001,BD!$B$3:$B$5001,I$128,BD!$A$3:$A$5001,"&gt;="&amp;$C$7,BD!$A$3:$A$5001,"&lt;="&amp;$B150,BD!$P$3:$P$5001,"&lt;&gt;"))))</f>
        <v/>
      </c>
      <c r="J150" s="54" t="str">
        <f>IF(OR($B150="",$A150&gt;$B$9,J$128=""),"",IF(COUNTIFS(BD!$B$3:$B$5001,J$128,BD!$A$3:$A$5001,"&gt;="&amp;$C$7,BD!$A$3:$A$5001,"&lt;="&amp;$B150,BD!$P$3:$P$5001,"&lt;&gt;")=0,"",SUMIFS(BD!$P$3:$P$5001,BD!$B$3:$B$5001,J$128,BD!$A$3:$A$5001,_xlfn.MAXIFS(BD!$A$3:$A$5001,BD!$B$3:$B$5001,J$128,BD!$A$3:$A$5001,"&gt;="&amp;$C$7,BD!$A$3:$A$5001,"&lt;="&amp;$B150,BD!$P$3:$P$5001,"&lt;&gt;"))))</f>
        <v/>
      </c>
      <c r="K150" s="54" t="str">
        <f>IF(OR($B150="",$A150&gt;$B$9,K$128=""),"",IF(COUNTIFS(BD!$B$3:$B$5001,K$128,BD!$A$3:$A$5001,"&gt;="&amp;$C$7,BD!$A$3:$A$5001,"&lt;="&amp;$B150,BD!$P$3:$P$5001,"&lt;&gt;")=0,"",SUMIFS(BD!$P$3:$P$5001,BD!$B$3:$B$5001,K$128,BD!$A$3:$A$5001,_xlfn.MAXIFS(BD!$A$3:$A$5001,BD!$B$3:$B$5001,K$128,BD!$A$3:$A$5001,"&gt;="&amp;$C$7,BD!$A$3:$A$5001,"&lt;="&amp;$B150,BD!$P$3:$P$5001,"&lt;&gt;"))))</f>
        <v/>
      </c>
      <c r="L150" s="54" t="str">
        <f>IF(OR($B150="",$A150&gt;$B$9,L$128=""),"",IF(COUNTIFS(BD!$B$3:$B$5001,L$128,BD!$A$3:$A$5001,"&gt;="&amp;$C$7,BD!$A$3:$A$5001,"&lt;="&amp;$B150,BD!$P$3:$P$5001,"&lt;&gt;")=0,"",SUMIFS(BD!$P$3:$P$5001,BD!$B$3:$B$5001,L$128,BD!$A$3:$A$5001,_xlfn.MAXIFS(BD!$A$3:$A$5001,BD!$B$3:$B$5001,L$128,BD!$A$3:$A$5001,"&gt;="&amp;$C$7,BD!$A$3:$A$5001,"&lt;="&amp;$B150,BD!$P$3:$P$5001,"&lt;&gt;"))))</f>
        <v/>
      </c>
      <c r="M150" s="54" t="str">
        <f>IF(OR($B150="",$A150&gt;$B$9,M$128=""),"",IF(COUNTIFS(BD!$B$3:$B$5001,M$128,BD!$A$3:$A$5001,"&gt;="&amp;$C$7,BD!$A$3:$A$5001,"&lt;="&amp;$B150,BD!$P$3:$P$5001,"&lt;&gt;")=0,"",SUMIFS(BD!$P$3:$P$5001,BD!$B$3:$B$5001,M$128,BD!$A$3:$A$5001,_xlfn.MAXIFS(BD!$A$3:$A$5001,BD!$B$3:$B$5001,M$128,BD!$A$3:$A$5001,"&gt;="&amp;$C$7,BD!$A$3:$A$5001,"&lt;="&amp;$B150,BD!$P$3:$P$5001,"&lt;&gt;"))))</f>
        <v/>
      </c>
      <c r="N150" s="54" t="str">
        <f>IF(OR($B150="",$A150&gt;$B$9,N$128=""),"",IF(COUNTIFS(BD!$B$3:$B$5001,N$128,BD!$A$3:$A$5001,"&gt;="&amp;$C$7,BD!$A$3:$A$5001,"&lt;="&amp;$B150,BD!$P$3:$P$5001,"&lt;&gt;")=0,"",SUMIFS(BD!$P$3:$P$5001,BD!$B$3:$B$5001,N$128,BD!$A$3:$A$5001,_xlfn.MAXIFS(BD!$A$3:$A$5001,BD!$B$3:$B$5001,N$128,BD!$A$3:$A$5001,"&gt;="&amp;$C$7,BD!$A$3:$A$5001,"&lt;="&amp;$B150,BD!$P$3:$P$5001,"&lt;&gt;"))))</f>
        <v/>
      </c>
      <c r="O150" s="54" t="str">
        <f>IF(OR($B150="",$A150&gt;$B$9,O$128=""),"",IF(COUNTIFS(BD!$B$3:$B$5001,O$128,BD!$A$3:$A$5001,"&gt;="&amp;$C$7,BD!$A$3:$A$5001,"&lt;="&amp;$B150,BD!$P$3:$P$5001,"&lt;&gt;")=0,"",SUMIFS(BD!$P$3:$P$5001,BD!$B$3:$B$5001,O$128,BD!$A$3:$A$5001,_xlfn.MAXIFS(BD!$A$3:$A$5001,BD!$B$3:$B$5001,O$128,BD!$A$3:$A$5001,"&gt;="&amp;$C$7,BD!$A$3:$A$5001,"&lt;="&amp;$B150,BD!$P$3:$P$5001,"&lt;&gt;"))))</f>
        <v/>
      </c>
      <c r="P150" s="54" t="str">
        <f>IF(OR($B150="",$A150&gt;$B$9,P$128=""),"",IF(COUNTIFS(BD!$B$3:$B$5001,P$128,BD!$A$3:$A$5001,"&gt;="&amp;$C$7,BD!$A$3:$A$5001,"&lt;="&amp;$B150,BD!$P$3:$P$5001,"&lt;&gt;")=0,"",SUMIFS(BD!$P$3:$P$5001,BD!$B$3:$B$5001,P$128,BD!$A$3:$A$5001,_xlfn.MAXIFS(BD!$A$3:$A$5001,BD!$B$3:$B$5001,P$128,BD!$A$3:$A$5001,"&gt;="&amp;$C$7,BD!$A$3:$A$5001,"&lt;="&amp;$B150,BD!$P$3:$P$5001,"&lt;&gt;"))))</f>
        <v/>
      </c>
      <c r="Q150" s="54" t="str">
        <f>IF(OR($B150="",$A150&gt;$B$9,Q$128=""),"",IF(COUNTIFS(BD!$B$3:$B$5001,Q$128,BD!$A$3:$A$5001,"&gt;="&amp;$C$7,BD!$A$3:$A$5001,"&lt;="&amp;$B150,BD!$P$3:$P$5001,"&lt;&gt;")=0,"",SUMIFS(BD!$P$3:$P$5001,BD!$B$3:$B$5001,Q$128,BD!$A$3:$A$5001,_xlfn.MAXIFS(BD!$A$3:$A$5001,BD!$B$3:$B$5001,Q$128,BD!$A$3:$A$5001,"&gt;="&amp;$C$7,BD!$A$3:$A$5001,"&lt;="&amp;$B150,BD!$P$3:$P$5001,"&lt;&gt;"))))</f>
        <v/>
      </c>
      <c r="R150" s="54" t="str">
        <f>IF(OR($B150="",$A150&gt;$B$9,R$128=""),"",IF(COUNTIFS(BD!$B$3:$B$5001,R$128,BD!$A$3:$A$5001,"&gt;="&amp;$C$7,BD!$A$3:$A$5001,"&lt;="&amp;$B150,BD!$P$3:$P$5001,"&lt;&gt;")=0,"",SUMIFS(BD!$P$3:$P$5001,BD!$B$3:$B$5001,R$128,BD!$A$3:$A$5001,_xlfn.MAXIFS(BD!$A$3:$A$5001,BD!$B$3:$B$5001,R$128,BD!$A$3:$A$5001,"&gt;="&amp;$C$7,BD!$A$3:$A$5001,"&lt;="&amp;$B150,BD!$P$3:$P$5001,"&lt;&gt;"))))</f>
        <v/>
      </c>
      <c r="S150" s="54" t="str">
        <f>IF(OR($B150="",$A150&gt;$B$9,S$128=""),"",IF(COUNTIFS(BD!$B$3:$B$5001,S$128,BD!$A$3:$A$5001,"&gt;="&amp;$C$7,BD!$A$3:$A$5001,"&lt;="&amp;$B150,BD!$P$3:$P$5001,"&lt;&gt;")=0,"",SUMIFS(BD!$P$3:$P$5001,BD!$B$3:$B$5001,S$128,BD!$A$3:$A$5001,_xlfn.MAXIFS(BD!$A$3:$A$5001,BD!$B$3:$B$5001,S$128,BD!$A$3:$A$5001,"&gt;="&amp;$C$7,BD!$A$3:$A$5001,"&lt;="&amp;$B150,BD!$P$3:$P$5001,"&lt;&gt;"))))</f>
        <v/>
      </c>
      <c r="T150" s="54" t="str">
        <f>IF(OR($B150="",$A150&gt;$B$9,T$128=""),"",IF(COUNTIFS(BD!$B$3:$B$5001,T$128,BD!$A$3:$A$5001,"&gt;="&amp;$C$7,BD!$A$3:$A$5001,"&lt;="&amp;$B150,BD!$P$3:$P$5001,"&lt;&gt;")=0,"",SUMIFS(BD!$P$3:$P$5001,BD!$B$3:$B$5001,T$128,BD!$A$3:$A$5001,_xlfn.MAXIFS(BD!$A$3:$A$5001,BD!$B$3:$B$5001,T$128,BD!$A$3:$A$5001,"&gt;="&amp;$C$7,BD!$A$3:$A$5001,"&lt;="&amp;$B150,BD!$P$3:$P$5001,"&lt;&gt;"))))</f>
        <v/>
      </c>
      <c r="U150" s="54" t="str">
        <f>IF(OR($B150="",$A150&gt;$B$9,U$128=""),"",IF(COUNTIFS(BD!$B$3:$B$5001,U$128,BD!$A$3:$A$5001,"&gt;="&amp;$C$7,BD!$A$3:$A$5001,"&lt;="&amp;$B150,BD!$P$3:$P$5001,"&lt;&gt;")=0,"",SUMIFS(BD!$P$3:$P$5001,BD!$B$3:$B$5001,U$128,BD!$A$3:$A$5001,_xlfn.MAXIFS(BD!$A$3:$A$5001,BD!$B$3:$B$5001,U$128,BD!$A$3:$A$5001,"&gt;="&amp;$C$7,BD!$A$3:$A$5001,"&lt;="&amp;$B150,BD!$P$3:$P$5001,"&lt;&gt;"))))</f>
        <v/>
      </c>
      <c r="V150" s="54" t="str">
        <f>IF(OR($B150="",$A150&gt;$B$9,V$128=""),"",IF(COUNTIFS(BD!$B$3:$B$5001,V$128,BD!$A$3:$A$5001,"&gt;="&amp;$C$7,BD!$A$3:$A$5001,"&lt;="&amp;$B150,BD!$P$3:$P$5001,"&lt;&gt;")=0,"",SUMIFS(BD!$P$3:$P$5001,BD!$B$3:$B$5001,V$128,BD!$A$3:$A$5001,_xlfn.MAXIFS(BD!$A$3:$A$5001,BD!$B$3:$B$5001,V$128,BD!$A$3:$A$5001,"&gt;="&amp;$C$7,BD!$A$3:$A$5001,"&lt;="&amp;$B150,BD!$P$3:$P$5001,"&lt;&gt;"))))</f>
        <v/>
      </c>
    </row>
    <row r="151">
      <c r="A151" s="48">
        <v>23</v>
      </c>
      <c r="B151" s="53">
        <f>$B$34</f>
        <v>46318</v>
      </c>
      <c r="C151" s="54" t="str">
        <f>IF(OR($B151="",$A151&gt;$B$9,C$128=""),"",IF(COUNTIFS(BD!$B$3:$B$5001,C$128,BD!$A$3:$A$5001,"&gt;="&amp;$C$7,BD!$A$3:$A$5001,"&lt;="&amp;$B151,BD!$P$3:$P$5001,"&lt;&gt;")=0,"",SUMIFS(BD!$P$3:$P$5001,BD!$B$3:$B$5001,C$128,BD!$A$3:$A$5001,_xlfn.MAXIFS(BD!$A$3:$A$5001,BD!$B$3:$B$5001,C$128,BD!$A$3:$A$5001,"&gt;="&amp;$C$7,BD!$A$3:$A$5001,"&lt;="&amp;$B151,BD!$P$3:$P$5001,"&lt;&gt;"))))</f>
        <v/>
      </c>
      <c r="D151" s="54" t="str">
        <f>IF(OR($B151="",$A151&gt;$B$9,D$128=""),"",IF(COUNTIFS(BD!$B$3:$B$5001,D$128,BD!$A$3:$A$5001,"&gt;="&amp;$C$7,BD!$A$3:$A$5001,"&lt;="&amp;$B151,BD!$P$3:$P$5001,"&lt;&gt;")=0,"",SUMIFS(BD!$P$3:$P$5001,BD!$B$3:$B$5001,D$128,BD!$A$3:$A$5001,_xlfn.MAXIFS(BD!$A$3:$A$5001,BD!$B$3:$B$5001,D$128,BD!$A$3:$A$5001,"&gt;="&amp;$C$7,BD!$A$3:$A$5001,"&lt;="&amp;$B151,BD!$P$3:$P$5001,"&lt;&gt;"))))</f>
        <v/>
      </c>
      <c r="E151" s="54" t="str">
        <f>IF(OR($B151="",$A151&gt;$B$9,E$128=""),"",IF(COUNTIFS(BD!$B$3:$B$5001,E$128,BD!$A$3:$A$5001,"&gt;="&amp;$C$7,BD!$A$3:$A$5001,"&lt;="&amp;$B151,BD!$P$3:$P$5001,"&lt;&gt;")=0,"",SUMIFS(BD!$P$3:$P$5001,BD!$B$3:$B$5001,E$128,BD!$A$3:$A$5001,_xlfn.MAXIFS(BD!$A$3:$A$5001,BD!$B$3:$B$5001,E$128,BD!$A$3:$A$5001,"&gt;="&amp;$C$7,BD!$A$3:$A$5001,"&lt;="&amp;$B151,BD!$P$3:$P$5001,"&lt;&gt;"))))</f>
        <v/>
      </c>
      <c r="F151" s="54" t="str">
        <f>IF(OR($B151="",$A151&gt;$B$9,F$128=""),"",IF(COUNTIFS(BD!$B$3:$B$5001,F$128,BD!$A$3:$A$5001,"&gt;="&amp;$C$7,BD!$A$3:$A$5001,"&lt;="&amp;$B151,BD!$P$3:$P$5001,"&lt;&gt;")=0,"",SUMIFS(BD!$P$3:$P$5001,BD!$B$3:$B$5001,F$128,BD!$A$3:$A$5001,_xlfn.MAXIFS(BD!$A$3:$A$5001,BD!$B$3:$B$5001,F$128,BD!$A$3:$A$5001,"&gt;="&amp;$C$7,BD!$A$3:$A$5001,"&lt;="&amp;$B151,BD!$P$3:$P$5001,"&lt;&gt;"))))</f>
        <v/>
      </c>
      <c r="G151" s="54" t="str">
        <f>IF(OR($B151="",$A151&gt;$B$9,G$128=""),"",IF(COUNTIFS(BD!$B$3:$B$5001,G$128,BD!$A$3:$A$5001,"&gt;="&amp;$C$7,BD!$A$3:$A$5001,"&lt;="&amp;$B151,BD!$P$3:$P$5001,"&lt;&gt;")=0,"",SUMIFS(BD!$P$3:$P$5001,BD!$B$3:$B$5001,G$128,BD!$A$3:$A$5001,_xlfn.MAXIFS(BD!$A$3:$A$5001,BD!$B$3:$B$5001,G$128,BD!$A$3:$A$5001,"&gt;="&amp;$C$7,BD!$A$3:$A$5001,"&lt;="&amp;$B151,BD!$P$3:$P$5001,"&lt;&gt;"))))</f>
        <v/>
      </c>
      <c r="H151" s="54" t="str">
        <f>IF(OR($B151="",$A151&gt;$B$9,H$128=""),"",IF(COUNTIFS(BD!$B$3:$B$5001,H$128,BD!$A$3:$A$5001,"&gt;="&amp;$C$7,BD!$A$3:$A$5001,"&lt;="&amp;$B151,BD!$P$3:$P$5001,"&lt;&gt;")=0,"",SUMIFS(BD!$P$3:$P$5001,BD!$B$3:$B$5001,H$128,BD!$A$3:$A$5001,_xlfn.MAXIFS(BD!$A$3:$A$5001,BD!$B$3:$B$5001,H$128,BD!$A$3:$A$5001,"&gt;="&amp;$C$7,BD!$A$3:$A$5001,"&lt;="&amp;$B151,BD!$P$3:$P$5001,"&lt;&gt;"))))</f>
        <v/>
      </c>
      <c r="I151" s="54" t="str">
        <f>IF(OR($B151="",$A151&gt;$B$9,I$128=""),"",IF(COUNTIFS(BD!$B$3:$B$5001,I$128,BD!$A$3:$A$5001,"&gt;="&amp;$C$7,BD!$A$3:$A$5001,"&lt;="&amp;$B151,BD!$P$3:$P$5001,"&lt;&gt;")=0,"",SUMIFS(BD!$P$3:$P$5001,BD!$B$3:$B$5001,I$128,BD!$A$3:$A$5001,_xlfn.MAXIFS(BD!$A$3:$A$5001,BD!$B$3:$B$5001,I$128,BD!$A$3:$A$5001,"&gt;="&amp;$C$7,BD!$A$3:$A$5001,"&lt;="&amp;$B151,BD!$P$3:$P$5001,"&lt;&gt;"))))</f>
        <v/>
      </c>
      <c r="J151" s="54" t="str">
        <f>IF(OR($B151="",$A151&gt;$B$9,J$128=""),"",IF(COUNTIFS(BD!$B$3:$B$5001,J$128,BD!$A$3:$A$5001,"&gt;="&amp;$C$7,BD!$A$3:$A$5001,"&lt;="&amp;$B151,BD!$P$3:$P$5001,"&lt;&gt;")=0,"",SUMIFS(BD!$P$3:$P$5001,BD!$B$3:$B$5001,J$128,BD!$A$3:$A$5001,_xlfn.MAXIFS(BD!$A$3:$A$5001,BD!$B$3:$B$5001,J$128,BD!$A$3:$A$5001,"&gt;="&amp;$C$7,BD!$A$3:$A$5001,"&lt;="&amp;$B151,BD!$P$3:$P$5001,"&lt;&gt;"))))</f>
        <v/>
      </c>
      <c r="K151" s="54" t="str">
        <f>IF(OR($B151="",$A151&gt;$B$9,K$128=""),"",IF(COUNTIFS(BD!$B$3:$B$5001,K$128,BD!$A$3:$A$5001,"&gt;="&amp;$C$7,BD!$A$3:$A$5001,"&lt;="&amp;$B151,BD!$P$3:$P$5001,"&lt;&gt;")=0,"",SUMIFS(BD!$P$3:$P$5001,BD!$B$3:$B$5001,K$128,BD!$A$3:$A$5001,_xlfn.MAXIFS(BD!$A$3:$A$5001,BD!$B$3:$B$5001,K$128,BD!$A$3:$A$5001,"&gt;="&amp;$C$7,BD!$A$3:$A$5001,"&lt;="&amp;$B151,BD!$P$3:$P$5001,"&lt;&gt;"))))</f>
        <v/>
      </c>
      <c r="L151" s="54" t="str">
        <f>IF(OR($B151="",$A151&gt;$B$9,L$128=""),"",IF(COUNTIFS(BD!$B$3:$B$5001,L$128,BD!$A$3:$A$5001,"&gt;="&amp;$C$7,BD!$A$3:$A$5001,"&lt;="&amp;$B151,BD!$P$3:$P$5001,"&lt;&gt;")=0,"",SUMIFS(BD!$P$3:$P$5001,BD!$B$3:$B$5001,L$128,BD!$A$3:$A$5001,_xlfn.MAXIFS(BD!$A$3:$A$5001,BD!$B$3:$B$5001,L$128,BD!$A$3:$A$5001,"&gt;="&amp;$C$7,BD!$A$3:$A$5001,"&lt;="&amp;$B151,BD!$P$3:$P$5001,"&lt;&gt;"))))</f>
        <v/>
      </c>
      <c r="M151" s="54" t="str">
        <f>IF(OR($B151="",$A151&gt;$B$9,M$128=""),"",IF(COUNTIFS(BD!$B$3:$B$5001,M$128,BD!$A$3:$A$5001,"&gt;="&amp;$C$7,BD!$A$3:$A$5001,"&lt;="&amp;$B151,BD!$P$3:$P$5001,"&lt;&gt;")=0,"",SUMIFS(BD!$P$3:$P$5001,BD!$B$3:$B$5001,M$128,BD!$A$3:$A$5001,_xlfn.MAXIFS(BD!$A$3:$A$5001,BD!$B$3:$B$5001,M$128,BD!$A$3:$A$5001,"&gt;="&amp;$C$7,BD!$A$3:$A$5001,"&lt;="&amp;$B151,BD!$P$3:$P$5001,"&lt;&gt;"))))</f>
        <v/>
      </c>
      <c r="N151" s="54" t="str">
        <f>IF(OR($B151="",$A151&gt;$B$9,N$128=""),"",IF(COUNTIFS(BD!$B$3:$B$5001,N$128,BD!$A$3:$A$5001,"&gt;="&amp;$C$7,BD!$A$3:$A$5001,"&lt;="&amp;$B151,BD!$P$3:$P$5001,"&lt;&gt;")=0,"",SUMIFS(BD!$P$3:$P$5001,BD!$B$3:$B$5001,N$128,BD!$A$3:$A$5001,_xlfn.MAXIFS(BD!$A$3:$A$5001,BD!$B$3:$B$5001,N$128,BD!$A$3:$A$5001,"&gt;="&amp;$C$7,BD!$A$3:$A$5001,"&lt;="&amp;$B151,BD!$P$3:$P$5001,"&lt;&gt;"))))</f>
        <v/>
      </c>
      <c r="O151" s="54" t="str">
        <f>IF(OR($B151="",$A151&gt;$B$9,O$128=""),"",IF(COUNTIFS(BD!$B$3:$B$5001,O$128,BD!$A$3:$A$5001,"&gt;="&amp;$C$7,BD!$A$3:$A$5001,"&lt;="&amp;$B151,BD!$P$3:$P$5001,"&lt;&gt;")=0,"",SUMIFS(BD!$P$3:$P$5001,BD!$B$3:$B$5001,O$128,BD!$A$3:$A$5001,_xlfn.MAXIFS(BD!$A$3:$A$5001,BD!$B$3:$B$5001,O$128,BD!$A$3:$A$5001,"&gt;="&amp;$C$7,BD!$A$3:$A$5001,"&lt;="&amp;$B151,BD!$P$3:$P$5001,"&lt;&gt;"))))</f>
        <v/>
      </c>
      <c r="P151" s="54" t="str">
        <f>IF(OR($B151="",$A151&gt;$B$9,P$128=""),"",IF(COUNTIFS(BD!$B$3:$B$5001,P$128,BD!$A$3:$A$5001,"&gt;="&amp;$C$7,BD!$A$3:$A$5001,"&lt;="&amp;$B151,BD!$P$3:$P$5001,"&lt;&gt;")=0,"",SUMIFS(BD!$P$3:$P$5001,BD!$B$3:$B$5001,P$128,BD!$A$3:$A$5001,_xlfn.MAXIFS(BD!$A$3:$A$5001,BD!$B$3:$B$5001,P$128,BD!$A$3:$A$5001,"&gt;="&amp;$C$7,BD!$A$3:$A$5001,"&lt;="&amp;$B151,BD!$P$3:$P$5001,"&lt;&gt;"))))</f>
        <v/>
      </c>
      <c r="Q151" s="54" t="str">
        <f>IF(OR($B151="",$A151&gt;$B$9,Q$128=""),"",IF(COUNTIFS(BD!$B$3:$B$5001,Q$128,BD!$A$3:$A$5001,"&gt;="&amp;$C$7,BD!$A$3:$A$5001,"&lt;="&amp;$B151,BD!$P$3:$P$5001,"&lt;&gt;")=0,"",SUMIFS(BD!$P$3:$P$5001,BD!$B$3:$B$5001,Q$128,BD!$A$3:$A$5001,_xlfn.MAXIFS(BD!$A$3:$A$5001,BD!$B$3:$B$5001,Q$128,BD!$A$3:$A$5001,"&gt;="&amp;$C$7,BD!$A$3:$A$5001,"&lt;="&amp;$B151,BD!$P$3:$P$5001,"&lt;&gt;"))))</f>
        <v/>
      </c>
      <c r="R151" s="54" t="str">
        <f>IF(OR($B151="",$A151&gt;$B$9,R$128=""),"",IF(COUNTIFS(BD!$B$3:$B$5001,R$128,BD!$A$3:$A$5001,"&gt;="&amp;$C$7,BD!$A$3:$A$5001,"&lt;="&amp;$B151,BD!$P$3:$P$5001,"&lt;&gt;")=0,"",SUMIFS(BD!$P$3:$P$5001,BD!$B$3:$B$5001,R$128,BD!$A$3:$A$5001,_xlfn.MAXIFS(BD!$A$3:$A$5001,BD!$B$3:$B$5001,R$128,BD!$A$3:$A$5001,"&gt;="&amp;$C$7,BD!$A$3:$A$5001,"&lt;="&amp;$B151,BD!$P$3:$P$5001,"&lt;&gt;"))))</f>
        <v/>
      </c>
      <c r="S151" s="54" t="str">
        <f>IF(OR($B151="",$A151&gt;$B$9,S$128=""),"",IF(COUNTIFS(BD!$B$3:$B$5001,S$128,BD!$A$3:$A$5001,"&gt;="&amp;$C$7,BD!$A$3:$A$5001,"&lt;="&amp;$B151,BD!$P$3:$P$5001,"&lt;&gt;")=0,"",SUMIFS(BD!$P$3:$P$5001,BD!$B$3:$B$5001,S$128,BD!$A$3:$A$5001,_xlfn.MAXIFS(BD!$A$3:$A$5001,BD!$B$3:$B$5001,S$128,BD!$A$3:$A$5001,"&gt;="&amp;$C$7,BD!$A$3:$A$5001,"&lt;="&amp;$B151,BD!$P$3:$P$5001,"&lt;&gt;"))))</f>
        <v/>
      </c>
      <c r="T151" s="54" t="str">
        <f>IF(OR($B151="",$A151&gt;$B$9,T$128=""),"",IF(COUNTIFS(BD!$B$3:$B$5001,T$128,BD!$A$3:$A$5001,"&gt;="&amp;$C$7,BD!$A$3:$A$5001,"&lt;="&amp;$B151,BD!$P$3:$P$5001,"&lt;&gt;")=0,"",SUMIFS(BD!$P$3:$P$5001,BD!$B$3:$B$5001,T$128,BD!$A$3:$A$5001,_xlfn.MAXIFS(BD!$A$3:$A$5001,BD!$B$3:$B$5001,T$128,BD!$A$3:$A$5001,"&gt;="&amp;$C$7,BD!$A$3:$A$5001,"&lt;="&amp;$B151,BD!$P$3:$P$5001,"&lt;&gt;"))))</f>
        <v/>
      </c>
      <c r="U151" s="54" t="str">
        <f>IF(OR($B151="",$A151&gt;$B$9,U$128=""),"",IF(COUNTIFS(BD!$B$3:$B$5001,U$128,BD!$A$3:$A$5001,"&gt;="&amp;$C$7,BD!$A$3:$A$5001,"&lt;="&amp;$B151,BD!$P$3:$P$5001,"&lt;&gt;")=0,"",SUMIFS(BD!$P$3:$P$5001,BD!$B$3:$B$5001,U$128,BD!$A$3:$A$5001,_xlfn.MAXIFS(BD!$A$3:$A$5001,BD!$B$3:$B$5001,U$128,BD!$A$3:$A$5001,"&gt;="&amp;$C$7,BD!$A$3:$A$5001,"&lt;="&amp;$B151,BD!$P$3:$P$5001,"&lt;&gt;"))))</f>
        <v/>
      </c>
      <c r="V151" s="54" t="str">
        <f>IF(OR($B151="",$A151&gt;$B$9,V$128=""),"",IF(COUNTIFS(BD!$B$3:$B$5001,V$128,BD!$A$3:$A$5001,"&gt;="&amp;$C$7,BD!$A$3:$A$5001,"&lt;="&amp;$B151,BD!$P$3:$P$5001,"&lt;&gt;")=0,"",SUMIFS(BD!$P$3:$P$5001,BD!$B$3:$B$5001,V$128,BD!$A$3:$A$5001,_xlfn.MAXIFS(BD!$A$3:$A$5001,BD!$B$3:$B$5001,V$128,BD!$A$3:$A$5001,"&gt;="&amp;$C$7,BD!$A$3:$A$5001,"&lt;="&amp;$B151,BD!$P$3:$P$5001,"&lt;&gt;"))))</f>
        <v/>
      </c>
    </row>
    <row r="152">
      <c r="A152" s="48">
        <v>24</v>
      </c>
      <c r="B152" s="53">
        <f>$B$35</f>
        <v>46319</v>
      </c>
      <c r="C152" s="54" t="str">
        <f>IF(OR($B152="",$A152&gt;$B$9,C$128=""),"",IF(COUNTIFS(BD!$B$3:$B$5001,C$128,BD!$A$3:$A$5001,"&gt;="&amp;$C$7,BD!$A$3:$A$5001,"&lt;="&amp;$B152,BD!$P$3:$P$5001,"&lt;&gt;")=0,"",SUMIFS(BD!$P$3:$P$5001,BD!$B$3:$B$5001,C$128,BD!$A$3:$A$5001,_xlfn.MAXIFS(BD!$A$3:$A$5001,BD!$B$3:$B$5001,C$128,BD!$A$3:$A$5001,"&gt;="&amp;$C$7,BD!$A$3:$A$5001,"&lt;="&amp;$B152,BD!$P$3:$P$5001,"&lt;&gt;"))))</f>
        <v/>
      </c>
      <c r="D152" s="54" t="str">
        <f>IF(OR($B152="",$A152&gt;$B$9,D$128=""),"",IF(COUNTIFS(BD!$B$3:$B$5001,D$128,BD!$A$3:$A$5001,"&gt;="&amp;$C$7,BD!$A$3:$A$5001,"&lt;="&amp;$B152,BD!$P$3:$P$5001,"&lt;&gt;")=0,"",SUMIFS(BD!$P$3:$P$5001,BD!$B$3:$B$5001,D$128,BD!$A$3:$A$5001,_xlfn.MAXIFS(BD!$A$3:$A$5001,BD!$B$3:$B$5001,D$128,BD!$A$3:$A$5001,"&gt;="&amp;$C$7,BD!$A$3:$A$5001,"&lt;="&amp;$B152,BD!$P$3:$P$5001,"&lt;&gt;"))))</f>
        <v/>
      </c>
      <c r="E152" s="54" t="str">
        <f>IF(OR($B152="",$A152&gt;$B$9,E$128=""),"",IF(COUNTIFS(BD!$B$3:$B$5001,E$128,BD!$A$3:$A$5001,"&gt;="&amp;$C$7,BD!$A$3:$A$5001,"&lt;="&amp;$B152,BD!$P$3:$P$5001,"&lt;&gt;")=0,"",SUMIFS(BD!$P$3:$P$5001,BD!$B$3:$B$5001,E$128,BD!$A$3:$A$5001,_xlfn.MAXIFS(BD!$A$3:$A$5001,BD!$B$3:$B$5001,E$128,BD!$A$3:$A$5001,"&gt;="&amp;$C$7,BD!$A$3:$A$5001,"&lt;="&amp;$B152,BD!$P$3:$P$5001,"&lt;&gt;"))))</f>
        <v/>
      </c>
      <c r="F152" s="54" t="str">
        <f>IF(OR($B152="",$A152&gt;$B$9,F$128=""),"",IF(COUNTIFS(BD!$B$3:$B$5001,F$128,BD!$A$3:$A$5001,"&gt;="&amp;$C$7,BD!$A$3:$A$5001,"&lt;="&amp;$B152,BD!$P$3:$P$5001,"&lt;&gt;")=0,"",SUMIFS(BD!$P$3:$P$5001,BD!$B$3:$B$5001,F$128,BD!$A$3:$A$5001,_xlfn.MAXIFS(BD!$A$3:$A$5001,BD!$B$3:$B$5001,F$128,BD!$A$3:$A$5001,"&gt;="&amp;$C$7,BD!$A$3:$A$5001,"&lt;="&amp;$B152,BD!$P$3:$P$5001,"&lt;&gt;"))))</f>
        <v/>
      </c>
      <c r="G152" s="54" t="str">
        <f>IF(OR($B152="",$A152&gt;$B$9,G$128=""),"",IF(COUNTIFS(BD!$B$3:$B$5001,G$128,BD!$A$3:$A$5001,"&gt;="&amp;$C$7,BD!$A$3:$A$5001,"&lt;="&amp;$B152,BD!$P$3:$P$5001,"&lt;&gt;")=0,"",SUMIFS(BD!$P$3:$P$5001,BD!$B$3:$B$5001,G$128,BD!$A$3:$A$5001,_xlfn.MAXIFS(BD!$A$3:$A$5001,BD!$B$3:$B$5001,G$128,BD!$A$3:$A$5001,"&gt;="&amp;$C$7,BD!$A$3:$A$5001,"&lt;="&amp;$B152,BD!$P$3:$P$5001,"&lt;&gt;"))))</f>
        <v/>
      </c>
      <c r="H152" s="54" t="str">
        <f>IF(OR($B152="",$A152&gt;$B$9,H$128=""),"",IF(COUNTIFS(BD!$B$3:$B$5001,H$128,BD!$A$3:$A$5001,"&gt;="&amp;$C$7,BD!$A$3:$A$5001,"&lt;="&amp;$B152,BD!$P$3:$P$5001,"&lt;&gt;")=0,"",SUMIFS(BD!$P$3:$P$5001,BD!$B$3:$B$5001,H$128,BD!$A$3:$A$5001,_xlfn.MAXIFS(BD!$A$3:$A$5001,BD!$B$3:$B$5001,H$128,BD!$A$3:$A$5001,"&gt;="&amp;$C$7,BD!$A$3:$A$5001,"&lt;="&amp;$B152,BD!$P$3:$P$5001,"&lt;&gt;"))))</f>
        <v/>
      </c>
      <c r="I152" s="54" t="str">
        <f>IF(OR($B152="",$A152&gt;$B$9,I$128=""),"",IF(COUNTIFS(BD!$B$3:$B$5001,I$128,BD!$A$3:$A$5001,"&gt;="&amp;$C$7,BD!$A$3:$A$5001,"&lt;="&amp;$B152,BD!$P$3:$P$5001,"&lt;&gt;")=0,"",SUMIFS(BD!$P$3:$P$5001,BD!$B$3:$B$5001,I$128,BD!$A$3:$A$5001,_xlfn.MAXIFS(BD!$A$3:$A$5001,BD!$B$3:$B$5001,I$128,BD!$A$3:$A$5001,"&gt;="&amp;$C$7,BD!$A$3:$A$5001,"&lt;="&amp;$B152,BD!$P$3:$P$5001,"&lt;&gt;"))))</f>
        <v/>
      </c>
      <c r="J152" s="54" t="str">
        <f>IF(OR($B152="",$A152&gt;$B$9,J$128=""),"",IF(COUNTIFS(BD!$B$3:$B$5001,J$128,BD!$A$3:$A$5001,"&gt;="&amp;$C$7,BD!$A$3:$A$5001,"&lt;="&amp;$B152,BD!$P$3:$P$5001,"&lt;&gt;")=0,"",SUMIFS(BD!$P$3:$P$5001,BD!$B$3:$B$5001,J$128,BD!$A$3:$A$5001,_xlfn.MAXIFS(BD!$A$3:$A$5001,BD!$B$3:$B$5001,J$128,BD!$A$3:$A$5001,"&gt;="&amp;$C$7,BD!$A$3:$A$5001,"&lt;="&amp;$B152,BD!$P$3:$P$5001,"&lt;&gt;"))))</f>
        <v/>
      </c>
      <c r="K152" s="54" t="str">
        <f>IF(OR($B152="",$A152&gt;$B$9,K$128=""),"",IF(COUNTIFS(BD!$B$3:$B$5001,K$128,BD!$A$3:$A$5001,"&gt;="&amp;$C$7,BD!$A$3:$A$5001,"&lt;="&amp;$B152,BD!$P$3:$P$5001,"&lt;&gt;")=0,"",SUMIFS(BD!$P$3:$P$5001,BD!$B$3:$B$5001,K$128,BD!$A$3:$A$5001,_xlfn.MAXIFS(BD!$A$3:$A$5001,BD!$B$3:$B$5001,K$128,BD!$A$3:$A$5001,"&gt;="&amp;$C$7,BD!$A$3:$A$5001,"&lt;="&amp;$B152,BD!$P$3:$P$5001,"&lt;&gt;"))))</f>
        <v/>
      </c>
      <c r="L152" s="54" t="str">
        <f>IF(OR($B152="",$A152&gt;$B$9,L$128=""),"",IF(COUNTIFS(BD!$B$3:$B$5001,L$128,BD!$A$3:$A$5001,"&gt;="&amp;$C$7,BD!$A$3:$A$5001,"&lt;="&amp;$B152,BD!$P$3:$P$5001,"&lt;&gt;")=0,"",SUMIFS(BD!$P$3:$P$5001,BD!$B$3:$B$5001,L$128,BD!$A$3:$A$5001,_xlfn.MAXIFS(BD!$A$3:$A$5001,BD!$B$3:$B$5001,L$128,BD!$A$3:$A$5001,"&gt;="&amp;$C$7,BD!$A$3:$A$5001,"&lt;="&amp;$B152,BD!$P$3:$P$5001,"&lt;&gt;"))))</f>
        <v/>
      </c>
      <c r="M152" s="54" t="str">
        <f>IF(OR($B152="",$A152&gt;$B$9,M$128=""),"",IF(COUNTIFS(BD!$B$3:$B$5001,M$128,BD!$A$3:$A$5001,"&gt;="&amp;$C$7,BD!$A$3:$A$5001,"&lt;="&amp;$B152,BD!$P$3:$P$5001,"&lt;&gt;")=0,"",SUMIFS(BD!$P$3:$P$5001,BD!$B$3:$B$5001,M$128,BD!$A$3:$A$5001,_xlfn.MAXIFS(BD!$A$3:$A$5001,BD!$B$3:$B$5001,M$128,BD!$A$3:$A$5001,"&gt;="&amp;$C$7,BD!$A$3:$A$5001,"&lt;="&amp;$B152,BD!$P$3:$P$5001,"&lt;&gt;"))))</f>
        <v/>
      </c>
      <c r="N152" s="54" t="str">
        <f>IF(OR($B152="",$A152&gt;$B$9,N$128=""),"",IF(COUNTIFS(BD!$B$3:$B$5001,N$128,BD!$A$3:$A$5001,"&gt;="&amp;$C$7,BD!$A$3:$A$5001,"&lt;="&amp;$B152,BD!$P$3:$P$5001,"&lt;&gt;")=0,"",SUMIFS(BD!$P$3:$P$5001,BD!$B$3:$B$5001,N$128,BD!$A$3:$A$5001,_xlfn.MAXIFS(BD!$A$3:$A$5001,BD!$B$3:$B$5001,N$128,BD!$A$3:$A$5001,"&gt;="&amp;$C$7,BD!$A$3:$A$5001,"&lt;="&amp;$B152,BD!$P$3:$P$5001,"&lt;&gt;"))))</f>
        <v/>
      </c>
      <c r="O152" s="54" t="str">
        <f>IF(OR($B152="",$A152&gt;$B$9,O$128=""),"",IF(COUNTIFS(BD!$B$3:$B$5001,O$128,BD!$A$3:$A$5001,"&gt;="&amp;$C$7,BD!$A$3:$A$5001,"&lt;="&amp;$B152,BD!$P$3:$P$5001,"&lt;&gt;")=0,"",SUMIFS(BD!$P$3:$P$5001,BD!$B$3:$B$5001,O$128,BD!$A$3:$A$5001,_xlfn.MAXIFS(BD!$A$3:$A$5001,BD!$B$3:$B$5001,O$128,BD!$A$3:$A$5001,"&gt;="&amp;$C$7,BD!$A$3:$A$5001,"&lt;="&amp;$B152,BD!$P$3:$P$5001,"&lt;&gt;"))))</f>
        <v/>
      </c>
      <c r="P152" s="54" t="str">
        <f>IF(OR($B152="",$A152&gt;$B$9,P$128=""),"",IF(COUNTIFS(BD!$B$3:$B$5001,P$128,BD!$A$3:$A$5001,"&gt;="&amp;$C$7,BD!$A$3:$A$5001,"&lt;="&amp;$B152,BD!$P$3:$P$5001,"&lt;&gt;")=0,"",SUMIFS(BD!$P$3:$P$5001,BD!$B$3:$B$5001,P$128,BD!$A$3:$A$5001,_xlfn.MAXIFS(BD!$A$3:$A$5001,BD!$B$3:$B$5001,P$128,BD!$A$3:$A$5001,"&gt;="&amp;$C$7,BD!$A$3:$A$5001,"&lt;="&amp;$B152,BD!$P$3:$P$5001,"&lt;&gt;"))))</f>
        <v/>
      </c>
      <c r="Q152" s="54" t="str">
        <f>IF(OR($B152="",$A152&gt;$B$9,Q$128=""),"",IF(COUNTIFS(BD!$B$3:$B$5001,Q$128,BD!$A$3:$A$5001,"&gt;="&amp;$C$7,BD!$A$3:$A$5001,"&lt;="&amp;$B152,BD!$P$3:$P$5001,"&lt;&gt;")=0,"",SUMIFS(BD!$P$3:$P$5001,BD!$B$3:$B$5001,Q$128,BD!$A$3:$A$5001,_xlfn.MAXIFS(BD!$A$3:$A$5001,BD!$B$3:$B$5001,Q$128,BD!$A$3:$A$5001,"&gt;="&amp;$C$7,BD!$A$3:$A$5001,"&lt;="&amp;$B152,BD!$P$3:$P$5001,"&lt;&gt;"))))</f>
        <v/>
      </c>
      <c r="R152" s="54" t="str">
        <f>IF(OR($B152="",$A152&gt;$B$9,R$128=""),"",IF(COUNTIFS(BD!$B$3:$B$5001,R$128,BD!$A$3:$A$5001,"&gt;="&amp;$C$7,BD!$A$3:$A$5001,"&lt;="&amp;$B152,BD!$P$3:$P$5001,"&lt;&gt;")=0,"",SUMIFS(BD!$P$3:$P$5001,BD!$B$3:$B$5001,R$128,BD!$A$3:$A$5001,_xlfn.MAXIFS(BD!$A$3:$A$5001,BD!$B$3:$B$5001,R$128,BD!$A$3:$A$5001,"&gt;="&amp;$C$7,BD!$A$3:$A$5001,"&lt;="&amp;$B152,BD!$P$3:$P$5001,"&lt;&gt;"))))</f>
        <v/>
      </c>
      <c r="S152" s="54" t="str">
        <f>IF(OR($B152="",$A152&gt;$B$9,S$128=""),"",IF(COUNTIFS(BD!$B$3:$B$5001,S$128,BD!$A$3:$A$5001,"&gt;="&amp;$C$7,BD!$A$3:$A$5001,"&lt;="&amp;$B152,BD!$P$3:$P$5001,"&lt;&gt;")=0,"",SUMIFS(BD!$P$3:$P$5001,BD!$B$3:$B$5001,S$128,BD!$A$3:$A$5001,_xlfn.MAXIFS(BD!$A$3:$A$5001,BD!$B$3:$B$5001,S$128,BD!$A$3:$A$5001,"&gt;="&amp;$C$7,BD!$A$3:$A$5001,"&lt;="&amp;$B152,BD!$P$3:$P$5001,"&lt;&gt;"))))</f>
        <v/>
      </c>
      <c r="T152" s="54" t="str">
        <f>IF(OR($B152="",$A152&gt;$B$9,T$128=""),"",IF(COUNTIFS(BD!$B$3:$B$5001,T$128,BD!$A$3:$A$5001,"&gt;="&amp;$C$7,BD!$A$3:$A$5001,"&lt;="&amp;$B152,BD!$P$3:$P$5001,"&lt;&gt;")=0,"",SUMIFS(BD!$P$3:$P$5001,BD!$B$3:$B$5001,T$128,BD!$A$3:$A$5001,_xlfn.MAXIFS(BD!$A$3:$A$5001,BD!$B$3:$B$5001,T$128,BD!$A$3:$A$5001,"&gt;="&amp;$C$7,BD!$A$3:$A$5001,"&lt;="&amp;$B152,BD!$P$3:$P$5001,"&lt;&gt;"))))</f>
        <v/>
      </c>
      <c r="U152" s="54" t="str">
        <f>IF(OR($B152="",$A152&gt;$B$9,U$128=""),"",IF(COUNTIFS(BD!$B$3:$B$5001,U$128,BD!$A$3:$A$5001,"&gt;="&amp;$C$7,BD!$A$3:$A$5001,"&lt;="&amp;$B152,BD!$P$3:$P$5001,"&lt;&gt;")=0,"",SUMIFS(BD!$P$3:$P$5001,BD!$B$3:$B$5001,U$128,BD!$A$3:$A$5001,_xlfn.MAXIFS(BD!$A$3:$A$5001,BD!$B$3:$B$5001,U$128,BD!$A$3:$A$5001,"&gt;="&amp;$C$7,BD!$A$3:$A$5001,"&lt;="&amp;$B152,BD!$P$3:$P$5001,"&lt;&gt;"))))</f>
        <v/>
      </c>
      <c r="V152" s="54" t="str">
        <f>IF(OR($B152="",$A152&gt;$B$9,V$128=""),"",IF(COUNTIFS(BD!$B$3:$B$5001,V$128,BD!$A$3:$A$5001,"&gt;="&amp;$C$7,BD!$A$3:$A$5001,"&lt;="&amp;$B152,BD!$P$3:$P$5001,"&lt;&gt;")=0,"",SUMIFS(BD!$P$3:$P$5001,BD!$B$3:$B$5001,V$128,BD!$A$3:$A$5001,_xlfn.MAXIFS(BD!$A$3:$A$5001,BD!$B$3:$B$5001,V$128,BD!$A$3:$A$5001,"&gt;="&amp;$C$7,BD!$A$3:$A$5001,"&lt;="&amp;$B152,BD!$P$3:$P$5001,"&lt;&gt;"))))</f>
        <v/>
      </c>
    </row>
    <row r="153">
      <c r="A153" s="48">
        <v>25</v>
      </c>
      <c r="B153" s="53">
        <f>$B$36</f>
        <v>46320</v>
      </c>
      <c r="C153" s="54" t="str">
        <f>IF(OR($B153="",$A153&gt;$B$9,C$128=""),"",IF(COUNTIFS(BD!$B$3:$B$5001,C$128,BD!$A$3:$A$5001,"&gt;="&amp;$C$7,BD!$A$3:$A$5001,"&lt;="&amp;$B153,BD!$P$3:$P$5001,"&lt;&gt;")=0,"",SUMIFS(BD!$P$3:$P$5001,BD!$B$3:$B$5001,C$128,BD!$A$3:$A$5001,_xlfn.MAXIFS(BD!$A$3:$A$5001,BD!$B$3:$B$5001,C$128,BD!$A$3:$A$5001,"&gt;="&amp;$C$7,BD!$A$3:$A$5001,"&lt;="&amp;$B153,BD!$P$3:$P$5001,"&lt;&gt;"))))</f>
        <v/>
      </c>
      <c r="D153" s="54" t="str">
        <f>IF(OR($B153="",$A153&gt;$B$9,D$128=""),"",IF(COUNTIFS(BD!$B$3:$B$5001,D$128,BD!$A$3:$A$5001,"&gt;="&amp;$C$7,BD!$A$3:$A$5001,"&lt;="&amp;$B153,BD!$P$3:$P$5001,"&lt;&gt;")=0,"",SUMIFS(BD!$P$3:$P$5001,BD!$B$3:$B$5001,D$128,BD!$A$3:$A$5001,_xlfn.MAXIFS(BD!$A$3:$A$5001,BD!$B$3:$B$5001,D$128,BD!$A$3:$A$5001,"&gt;="&amp;$C$7,BD!$A$3:$A$5001,"&lt;="&amp;$B153,BD!$P$3:$P$5001,"&lt;&gt;"))))</f>
        <v/>
      </c>
      <c r="E153" s="54" t="str">
        <f>IF(OR($B153="",$A153&gt;$B$9,E$128=""),"",IF(COUNTIFS(BD!$B$3:$B$5001,E$128,BD!$A$3:$A$5001,"&gt;="&amp;$C$7,BD!$A$3:$A$5001,"&lt;="&amp;$B153,BD!$P$3:$P$5001,"&lt;&gt;")=0,"",SUMIFS(BD!$P$3:$P$5001,BD!$B$3:$B$5001,E$128,BD!$A$3:$A$5001,_xlfn.MAXIFS(BD!$A$3:$A$5001,BD!$B$3:$B$5001,E$128,BD!$A$3:$A$5001,"&gt;="&amp;$C$7,BD!$A$3:$A$5001,"&lt;="&amp;$B153,BD!$P$3:$P$5001,"&lt;&gt;"))))</f>
        <v/>
      </c>
      <c r="F153" s="54" t="str">
        <f>IF(OR($B153="",$A153&gt;$B$9,F$128=""),"",IF(COUNTIFS(BD!$B$3:$B$5001,F$128,BD!$A$3:$A$5001,"&gt;="&amp;$C$7,BD!$A$3:$A$5001,"&lt;="&amp;$B153,BD!$P$3:$P$5001,"&lt;&gt;")=0,"",SUMIFS(BD!$P$3:$P$5001,BD!$B$3:$B$5001,F$128,BD!$A$3:$A$5001,_xlfn.MAXIFS(BD!$A$3:$A$5001,BD!$B$3:$B$5001,F$128,BD!$A$3:$A$5001,"&gt;="&amp;$C$7,BD!$A$3:$A$5001,"&lt;="&amp;$B153,BD!$P$3:$P$5001,"&lt;&gt;"))))</f>
        <v/>
      </c>
      <c r="G153" s="54" t="str">
        <f>IF(OR($B153="",$A153&gt;$B$9,G$128=""),"",IF(COUNTIFS(BD!$B$3:$B$5001,G$128,BD!$A$3:$A$5001,"&gt;="&amp;$C$7,BD!$A$3:$A$5001,"&lt;="&amp;$B153,BD!$P$3:$P$5001,"&lt;&gt;")=0,"",SUMIFS(BD!$P$3:$P$5001,BD!$B$3:$B$5001,G$128,BD!$A$3:$A$5001,_xlfn.MAXIFS(BD!$A$3:$A$5001,BD!$B$3:$B$5001,G$128,BD!$A$3:$A$5001,"&gt;="&amp;$C$7,BD!$A$3:$A$5001,"&lt;="&amp;$B153,BD!$P$3:$P$5001,"&lt;&gt;"))))</f>
        <v/>
      </c>
      <c r="H153" s="54" t="str">
        <f>IF(OR($B153="",$A153&gt;$B$9,H$128=""),"",IF(COUNTIFS(BD!$B$3:$B$5001,H$128,BD!$A$3:$A$5001,"&gt;="&amp;$C$7,BD!$A$3:$A$5001,"&lt;="&amp;$B153,BD!$P$3:$P$5001,"&lt;&gt;")=0,"",SUMIFS(BD!$P$3:$P$5001,BD!$B$3:$B$5001,H$128,BD!$A$3:$A$5001,_xlfn.MAXIFS(BD!$A$3:$A$5001,BD!$B$3:$B$5001,H$128,BD!$A$3:$A$5001,"&gt;="&amp;$C$7,BD!$A$3:$A$5001,"&lt;="&amp;$B153,BD!$P$3:$P$5001,"&lt;&gt;"))))</f>
        <v/>
      </c>
      <c r="I153" s="54" t="str">
        <f>IF(OR($B153="",$A153&gt;$B$9,I$128=""),"",IF(COUNTIFS(BD!$B$3:$B$5001,I$128,BD!$A$3:$A$5001,"&gt;="&amp;$C$7,BD!$A$3:$A$5001,"&lt;="&amp;$B153,BD!$P$3:$P$5001,"&lt;&gt;")=0,"",SUMIFS(BD!$P$3:$P$5001,BD!$B$3:$B$5001,I$128,BD!$A$3:$A$5001,_xlfn.MAXIFS(BD!$A$3:$A$5001,BD!$B$3:$B$5001,I$128,BD!$A$3:$A$5001,"&gt;="&amp;$C$7,BD!$A$3:$A$5001,"&lt;="&amp;$B153,BD!$P$3:$P$5001,"&lt;&gt;"))))</f>
        <v/>
      </c>
      <c r="J153" s="54" t="str">
        <f>IF(OR($B153="",$A153&gt;$B$9,J$128=""),"",IF(COUNTIFS(BD!$B$3:$B$5001,J$128,BD!$A$3:$A$5001,"&gt;="&amp;$C$7,BD!$A$3:$A$5001,"&lt;="&amp;$B153,BD!$P$3:$P$5001,"&lt;&gt;")=0,"",SUMIFS(BD!$P$3:$P$5001,BD!$B$3:$B$5001,J$128,BD!$A$3:$A$5001,_xlfn.MAXIFS(BD!$A$3:$A$5001,BD!$B$3:$B$5001,J$128,BD!$A$3:$A$5001,"&gt;="&amp;$C$7,BD!$A$3:$A$5001,"&lt;="&amp;$B153,BD!$P$3:$P$5001,"&lt;&gt;"))))</f>
        <v/>
      </c>
      <c r="K153" s="54" t="str">
        <f>IF(OR($B153="",$A153&gt;$B$9,K$128=""),"",IF(COUNTIFS(BD!$B$3:$B$5001,K$128,BD!$A$3:$A$5001,"&gt;="&amp;$C$7,BD!$A$3:$A$5001,"&lt;="&amp;$B153,BD!$P$3:$P$5001,"&lt;&gt;")=0,"",SUMIFS(BD!$P$3:$P$5001,BD!$B$3:$B$5001,K$128,BD!$A$3:$A$5001,_xlfn.MAXIFS(BD!$A$3:$A$5001,BD!$B$3:$B$5001,K$128,BD!$A$3:$A$5001,"&gt;="&amp;$C$7,BD!$A$3:$A$5001,"&lt;="&amp;$B153,BD!$P$3:$P$5001,"&lt;&gt;"))))</f>
        <v/>
      </c>
      <c r="L153" s="54" t="str">
        <f>IF(OR($B153="",$A153&gt;$B$9,L$128=""),"",IF(COUNTIFS(BD!$B$3:$B$5001,L$128,BD!$A$3:$A$5001,"&gt;="&amp;$C$7,BD!$A$3:$A$5001,"&lt;="&amp;$B153,BD!$P$3:$P$5001,"&lt;&gt;")=0,"",SUMIFS(BD!$P$3:$P$5001,BD!$B$3:$B$5001,L$128,BD!$A$3:$A$5001,_xlfn.MAXIFS(BD!$A$3:$A$5001,BD!$B$3:$B$5001,L$128,BD!$A$3:$A$5001,"&gt;="&amp;$C$7,BD!$A$3:$A$5001,"&lt;="&amp;$B153,BD!$P$3:$P$5001,"&lt;&gt;"))))</f>
        <v/>
      </c>
      <c r="M153" s="54" t="str">
        <f>IF(OR($B153="",$A153&gt;$B$9,M$128=""),"",IF(COUNTIFS(BD!$B$3:$B$5001,M$128,BD!$A$3:$A$5001,"&gt;="&amp;$C$7,BD!$A$3:$A$5001,"&lt;="&amp;$B153,BD!$P$3:$P$5001,"&lt;&gt;")=0,"",SUMIFS(BD!$P$3:$P$5001,BD!$B$3:$B$5001,M$128,BD!$A$3:$A$5001,_xlfn.MAXIFS(BD!$A$3:$A$5001,BD!$B$3:$B$5001,M$128,BD!$A$3:$A$5001,"&gt;="&amp;$C$7,BD!$A$3:$A$5001,"&lt;="&amp;$B153,BD!$P$3:$P$5001,"&lt;&gt;"))))</f>
        <v/>
      </c>
      <c r="N153" s="54" t="str">
        <f>IF(OR($B153="",$A153&gt;$B$9,N$128=""),"",IF(COUNTIFS(BD!$B$3:$B$5001,N$128,BD!$A$3:$A$5001,"&gt;="&amp;$C$7,BD!$A$3:$A$5001,"&lt;="&amp;$B153,BD!$P$3:$P$5001,"&lt;&gt;")=0,"",SUMIFS(BD!$P$3:$P$5001,BD!$B$3:$B$5001,N$128,BD!$A$3:$A$5001,_xlfn.MAXIFS(BD!$A$3:$A$5001,BD!$B$3:$B$5001,N$128,BD!$A$3:$A$5001,"&gt;="&amp;$C$7,BD!$A$3:$A$5001,"&lt;="&amp;$B153,BD!$P$3:$P$5001,"&lt;&gt;"))))</f>
        <v/>
      </c>
      <c r="O153" s="54" t="str">
        <f>IF(OR($B153="",$A153&gt;$B$9,O$128=""),"",IF(COUNTIFS(BD!$B$3:$B$5001,O$128,BD!$A$3:$A$5001,"&gt;="&amp;$C$7,BD!$A$3:$A$5001,"&lt;="&amp;$B153,BD!$P$3:$P$5001,"&lt;&gt;")=0,"",SUMIFS(BD!$P$3:$P$5001,BD!$B$3:$B$5001,O$128,BD!$A$3:$A$5001,_xlfn.MAXIFS(BD!$A$3:$A$5001,BD!$B$3:$B$5001,O$128,BD!$A$3:$A$5001,"&gt;="&amp;$C$7,BD!$A$3:$A$5001,"&lt;="&amp;$B153,BD!$P$3:$P$5001,"&lt;&gt;"))))</f>
        <v/>
      </c>
      <c r="P153" s="54" t="str">
        <f>IF(OR($B153="",$A153&gt;$B$9,P$128=""),"",IF(COUNTIFS(BD!$B$3:$B$5001,P$128,BD!$A$3:$A$5001,"&gt;="&amp;$C$7,BD!$A$3:$A$5001,"&lt;="&amp;$B153,BD!$P$3:$P$5001,"&lt;&gt;")=0,"",SUMIFS(BD!$P$3:$P$5001,BD!$B$3:$B$5001,P$128,BD!$A$3:$A$5001,_xlfn.MAXIFS(BD!$A$3:$A$5001,BD!$B$3:$B$5001,P$128,BD!$A$3:$A$5001,"&gt;="&amp;$C$7,BD!$A$3:$A$5001,"&lt;="&amp;$B153,BD!$P$3:$P$5001,"&lt;&gt;"))))</f>
        <v/>
      </c>
      <c r="Q153" s="54" t="str">
        <f>IF(OR($B153="",$A153&gt;$B$9,Q$128=""),"",IF(COUNTIFS(BD!$B$3:$B$5001,Q$128,BD!$A$3:$A$5001,"&gt;="&amp;$C$7,BD!$A$3:$A$5001,"&lt;="&amp;$B153,BD!$P$3:$P$5001,"&lt;&gt;")=0,"",SUMIFS(BD!$P$3:$P$5001,BD!$B$3:$B$5001,Q$128,BD!$A$3:$A$5001,_xlfn.MAXIFS(BD!$A$3:$A$5001,BD!$B$3:$B$5001,Q$128,BD!$A$3:$A$5001,"&gt;="&amp;$C$7,BD!$A$3:$A$5001,"&lt;="&amp;$B153,BD!$P$3:$P$5001,"&lt;&gt;"))))</f>
        <v/>
      </c>
      <c r="R153" s="54" t="str">
        <f>IF(OR($B153="",$A153&gt;$B$9,R$128=""),"",IF(COUNTIFS(BD!$B$3:$B$5001,R$128,BD!$A$3:$A$5001,"&gt;="&amp;$C$7,BD!$A$3:$A$5001,"&lt;="&amp;$B153,BD!$P$3:$P$5001,"&lt;&gt;")=0,"",SUMIFS(BD!$P$3:$P$5001,BD!$B$3:$B$5001,R$128,BD!$A$3:$A$5001,_xlfn.MAXIFS(BD!$A$3:$A$5001,BD!$B$3:$B$5001,R$128,BD!$A$3:$A$5001,"&gt;="&amp;$C$7,BD!$A$3:$A$5001,"&lt;="&amp;$B153,BD!$P$3:$P$5001,"&lt;&gt;"))))</f>
        <v/>
      </c>
      <c r="S153" s="54" t="str">
        <f>IF(OR($B153="",$A153&gt;$B$9,S$128=""),"",IF(COUNTIFS(BD!$B$3:$B$5001,S$128,BD!$A$3:$A$5001,"&gt;="&amp;$C$7,BD!$A$3:$A$5001,"&lt;="&amp;$B153,BD!$P$3:$P$5001,"&lt;&gt;")=0,"",SUMIFS(BD!$P$3:$P$5001,BD!$B$3:$B$5001,S$128,BD!$A$3:$A$5001,_xlfn.MAXIFS(BD!$A$3:$A$5001,BD!$B$3:$B$5001,S$128,BD!$A$3:$A$5001,"&gt;="&amp;$C$7,BD!$A$3:$A$5001,"&lt;="&amp;$B153,BD!$P$3:$P$5001,"&lt;&gt;"))))</f>
        <v/>
      </c>
      <c r="T153" s="54" t="str">
        <f>IF(OR($B153="",$A153&gt;$B$9,T$128=""),"",IF(COUNTIFS(BD!$B$3:$B$5001,T$128,BD!$A$3:$A$5001,"&gt;="&amp;$C$7,BD!$A$3:$A$5001,"&lt;="&amp;$B153,BD!$P$3:$P$5001,"&lt;&gt;")=0,"",SUMIFS(BD!$P$3:$P$5001,BD!$B$3:$B$5001,T$128,BD!$A$3:$A$5001,_xlfn.MAXIFS(BD!$A$3:$A$5001,BD!$B$3:$B$5001,T$128,BD!$A$3:$A$5001,"&gt;="&amp;$C$7,BD!$A$3:$A$5001,"&lt;="&amp;$B153,BD!$P$3:$P$5001,"&lt;&gt;"))))</f>
        <v/>
      </c>
      <c r="U153" s="54" t="str">
        <f>IF(OR($B153="",$A153&gt;$B$9,U$128=""),"",IF(COUNTIFS(BD!$B$3:$B$5001,U$128,BD!$A$3:$A$5001,"&gt;="&amp;$C$7,BD!$A$3:$A$5001,"&lt;="&amp;$B153,BD!$P$3:$P$5001,"&lt;&gt;")=0,"",SUMIFS(BD!$P$3:$P$5001,BD!$B$3:$B$5001,U$128,BD!$A$3:$A$5001,_xlfn.MAXIFS(BD!$A$3:$A$5001,BD!$B$3:$B$5001,U$128,BD!$A$3:$A$5001,"&gt;="&amp;$C$7,BD!$A$3:$A$5001,"&lt;="&amp;$B153,BD!$P$3:$P$5001,"&lt;&gt;"))))</f>
        <v/>
      </c>
      <c r="V153" s="54" t="str">
        <f>IF(OR($B153="",$A153&gt;$B$9,V$128=""),"",IF(COUNTIFS(BD!$B$3:$B$5001,V$128,BD!$A$3:$A$5001,"&gt;="&amp;$C$7,BD!$A$3:$A$5001,"&lt;="&amp;$B153,BD!$P$3:$P$5001,"&lt;&gt;")=0,"",SUMIFS(BD!$P$3:$P$5001,BD!$B$3:$B$5001,V$128,BD!$A$3:$A$5001,_xlfn.MAXIFS(BD!$A$3:$A$5001,BD!$B$3:$B$5001,V$128,BD!$A$3:$A$5001,"&gt;="&amp;$C$7,BD!$A$3:$A$5001,"&lt;="&amp;$B153,BD!$P$3:$P$5001,"&lt;&gt;"))))</f>
        <v/>
      </c>
    </row>
    <row r="154">
      <c r="A154" s="48">
        <v>26</v>
      </c>
      <c r="B154" s="53">
        <f>$B$37</f>
        <v>46321</v>
      </c>
      <c r="C154" s="54" t="str">
        <f>IF(OR($B154="",$A154&gt;$B$9,C$128=""),"",IF(COUNTIFS(BD!$B$3:$B$5001,C$128,BD!$A$3:$A$5001,"&gt;="&amp;$C$7,BD!$A$3:$A$5001,"&lt;="&amp;$B154,BD!$P$3:$P$5001,"&lt;&gt;")=0,"",SUMIFS(BD!$P$3:$P$5001,BD!$B$3:$B$5001,C$128,BD!$A$3:$A$5001,_xlfn.MAXIFS(BD!$A$3:$A$5001,BD!$B$3:$B$5001,C$128,BD!$A$3:$A$5001,"&gt;="&amp;$C$7,BD!$A$3:$A$5001,"&lt;="&amp;$B154,BD!$P$3:$P$5001,"&lt;&gt;"))))</f>
        <v/>
      </c>
      <c r="D154" s="54" t="str">
        <f>IF(OR($B154="",$A154&gt;$B$9,D$128=""),"",IF(COUNTIFS(BD!$B$3:$B$5001,D$128,BD!$A$3:$A$5001,"&gt;="&amp;$C$7,BD!$A$3:$A$5001,"&lt;="&amp;$B154,BD!$P$3:$P$5001,"&lt;&gt;")=0,"",SUMIFS(BD!$P$3:$P$5001,BD!$B$3:$B$5001,D$128,BD!$A$3:$A$5001,_xlfn.MAXIFS(BD!$A$3:$A$5001,BD!$B$3:$B$5001,D$128,BD!$A$3:$A$5001,"&gt;="&amp;$C$7,BD!$A$3:$A$5001,"&lt;="&amp;$B154,BD!$P$3:$P$5001,"&lt;&gt;"))))</f>
        <v/>
      </c>
      <c r="E154" s="54" t="str">
        <f>IF(OR($B154="",$A154&gt;$B$9,E$128=""),"",IF(COUNTIFS(BD!$B$3:$B$5001,E$128,BD!$A$3:$A$5001,"&gt;="&amp;$C$7,BD!$A$3:$A$5001,"&lt;="&amp;$B154,BD!$P$3:$P$5001,"&lt;&gt;")=0,"",SUMIFS(BD!$P$3:$P$5001,BD!$B$3:$B$5001,E$128,BD!$A$3:$A$5001,_xlfn.MAXIFS(BD!$A$3:$A$5001,BD!$B$3:$B$5001,E$128,BD!$A$3:$A$5001,"&gt;="&amp;$C$7,BD!$A$3:$A$5001,"&lt;="&amp;$B154,BD!$P$3:$P$5001,"&lt;&gt;"))))</f>
        <v/>
      </c>
      <c r="F154" s="54" t="str">
        <f>IF(OR($B154="",$A154&gt;$B$9,F$128=""),"",IF(COUNTIFS(BD!$B$3:$B$5001,F$128,BD!$A$3:$A$5001,"&gt;="&amp;$C$7,BD!$A$3:$A$5001,"&lt;="&amp;$B154,BD!$P$3:$P$5001,"&lt;&gt;")=0,"",SUMIFS(BD!$P$3:$P$5001,BD!$B$3:$B$5001,F$128,BD!$A$3:$A$5001,_xlfn.MAXIFS(BD!$A$3:$A$5001,BD!$B$3:$B$5001,F$128,BD!$A$3:$A$5001,"&gt;="&amp;$C$7,BD!$A$3:$A$5001,"&lt;="&amp;$B154,BD!$P$3:$P$5001,"&lt;&gt;"))))</f>
        <v/>
      </c>
      <c r="G154" s="54" t="str">
        <f>IF(OR($B154="",$A154&gt;$B$9,G$128=""),"",IF(COUNTIFS(BD!$B$3:$B$5001,G$128,BD!$A$3:$A$5001,"&gt;="&amp;$C$7,BD!$A$3:$A$5001,"&lt;="&amp;$B154,BD!$P$3:$P$5001,"&lt;&gt;")=0,"",SUMIFS(BD!$P$3:$P$5001,BD!$B$3:$B$5001,G$128,BD!$A$3:$A$5001,_xlfn.MAXIFS(BD!$A$3:$A$5001,BD!$B$3:$B$5001,G$128,BD!$A$3:$A$5001,"&gt;="&amp;$C$7,BD!$A$3:$A$5001,"&lt;="&amp;$B154,BD!$P$3:$P$5001,"&lt;&gt;"))))</f>
        <v/>
      </c>
      <c r="H154" s="54" t="str">
        <f>IF(OR($B154="",$A154&gt;$B$9,H$128=""),"",IF(COUNTIFS(BD!$B$3:$B$5001,H$128,BD!$A$3:$A$5001,"&gt;="&amp;$C$7,BD!$A$3:$A$5001,"&lt;="&amp;$B154,BD!$P$3:$P$5001,"&lt;&gt;")=0,"",SUMIFS(BD!$P$3:$P$5001,BD!$B$3:$B$5001,H$128,BD!$A$3:$A$5001,_xlfn.MAXIFS(BD!$A$3:$A$5001,BD!$B$3:$B$5001,H$128,BD!$A$3:$A$5001,"&gt;="&amp;$C$7,BD!$A$3:$A$5001,"&lt;="&amp;$B154,BD!$P$3:$P$5001,"&lt;&gt;"))))</f>
        <v/>
      </c>
      <c r="I154" s="54" t="str">
        <f>IF(OR($B154="",$A154&gt;$B$9,I$128=""),"",IF(COUNTIFS(BD!$B$3:$B$5001,I$128,BD!$A$3:$A$5001,"&gt;="&amp;$C$7,BD!$A$3:$A$5001,"&lt;="&amp;$B154,BD!$P$3:$P$5001,"&lt;&gt;")=0,"",SUMIFS(BD!$P$3:$P$5001,BD!$B$3:$B$5001,I$128,BD!$A$3:$A$5001,_xlfn.MAXIFS(BD!$A$3:$A$5001,BD!$B$3:$B$5001,I$128,BD!$A$3:$A$5001,"&gt;="&amp;$C$7,BD!$A$3:$A$5001,"&lt;="&amp;$B154,BD!$P$3:$P$5001,"&lt;&gt;"))))</f>
        <v/>
      </c>
      <c r="J154" s="54" t="str">
        <f>IF(OR($B154="",$A154&gt;$B$9,J$128=""),"",IF(COUNTIFS(BD!$B$3:$B$5001,J$128,BD!$A$3:$A$5001,"&gt;="&amp;$C$7,BD!$A$3:$A$5001,"&lt;="&amp;$B154,BD!$P$3:$P$5001,"&lt;&gt;")=0,"",SUMIFS(BD!$P$3:$P$5001,BD!$B$3:$B$5001,J$128,BD!$A$3:$A$5001,_xlfn.MAXIFS(BD!$A$3:$A$5001,BD!$B$3:$B$5001,J$128,BD!$A$3:$A$5001,"&gt;="&amp;$C$7,BD!$A$3:$A$5001,"&lt;="&amp;$B154,BD!$P$3:$P$5001,"&lt;&gt;"))))</f>
        <v/>
      </c>
      <c r="K154" s="54" t="str">
        <f>IF(OR($B154="",$A154&gt;$B$9,K$128=""),"",IF(COUNTIFS(BD!$B$3:$B$5001,K$128,BD!$A$3:$A$5001,"&gt;="&amp;$C$7,BD!$A$3:$A$5001,"&lt;="&amp;$B154,BD!$P$3:$P$5001,"&lt;&gt;")=0,"",SUMIFS(BD!$P$3:$P$5001,BD!$B$3:$B$5001,K$128,BD!$A$3:$A$5001,_xlfn.MAXIFS(BD!$A$3:$A$5001,BD!$B$3:$B$5001,K$128,BD!$A$3:$A$5001,"&gt;="&amp;$C$7,BD!$A$3:$A$5001,"&lt;="&amp;$B154,BD!$P$3:$P$5001,"&lt;&gt;"))))</f>
        <v/>
      </c>
      <c r="L154" s="54" t="str">
        <f>IF(OR($B154="",$A154&gt;$B$9,L$128=""),"",IF(COUNTIFS(BD!$B$3:$B$5001,L$128,BD!$A$3:$A$5001,"&gt;="&amp;$C$7,BD!$A$3:$A$5001,"&lt;="&amp;$B154,BD!$P$3:$P$5001,"&lt;&gt;")=0,"",SUMIFS(BD!$P$3:$P$5001,BD!$B$3:$B$5001,L$128,BD!$A$3:$A$5001,_xlfn.MAXIFS(BD!$A$3:$A$5001,BD!$B$3:$B$5001,L$128,BD!$A$3:$A$5001,"&gt;="&amp;$C$7,BD!$A$3:$A$5001,"&lt;="&amp;$B154,BD!$P$3:$P$5001,"&lt;&gt;"))))</f>
        <v/>
      </c>
      <c r="M154" s="54" t="str">
        <f>IF(OR($B154="",$A154&gt;$B$9,M$128=""),"",IF(COUNTIFS(BD!$B$3:$B$5001,M$128,BD!$A$3:$A$5001,"&gt;="&amp;$C$7,BD!$A$3:$A$5001,"&lt;="&amp;$B154,BD!$P$3:$P$5001,"&lt;&gt;")=0,"",SUMIFS(BD!$P$3:$P$5001,BD!$B$3:$B$5001,M$128,BD!$A$3:$A$5001,_xlfn.MAXIFS(BD!$A$3:$A$5001,BD!$B$3:$B$5001,M$128,BD!$A$3:$A$5001,"&gt;="&amp;$C$7,BD!$A$3:$A$5001,"&lt;="&amp;$B154,BD!$P$3:$P$5001,"&lt;&gt;"))))</f>
        <v/>
      </c>
      <c r="N154" s="54" t="str">
        <f>IF(OR($B154="",$A154&gt;$B$9,N$128=""),"",IF(COUNTIFS(BD!$B$3:$B$5001,N$128,BD!$A$3:$A$5001,"&gt;="&amp;$C$7,BD!$A$3:$A$5001,"&lt;="&amp;$B154,BD!$P$3:$P$5001,"&lt;&gt;")=0,"",SUMIFS(BD!$P$3:$P$5001,BD!$B$3:$B$5001,N$128,BD!$A$3:$A$5001,_xlfn.MAXIFS(BD!$A$3:$A$5001,BD!$B$3:$B$5001,N$128,BD!$A$3:$A$5001,"&gt;="&amp;$C$7,BD!$A$3:$A$5001,"&lt;="&amp;$B154,BD!$P$3:$P$5001,"&lt;&gt;"))))</f>
        <v/>
      </c>
      <c r="O154" s="54" t="str">
        <f>IF(OR($B154="",$A154&gt;$B$9,O$128=""),"",IF(COUNTIFS(BD!$B$3:$B$5001,O$128,BD!$A$3:$A$5001,"&gt;="&amp;$C$7,BD!$A$3:$A$5001,"&lt;="&amp;$B154,BD!$P$3:$P$5001,"&lt;&gt;")=0,"",SUMIFS(BD!$P$3:$P$5001,BD!$B$3:$B$5001,O$128,BD!$A$3:$A$5001,_xlfn.MAXIFS(BD!$A$3:$A$5001,BD!$B$3:$B$5001,O$128,BD!$A$3:$A$5001,"&gt;="&amp;$C$7,BD!$A$3:$A$5001,"&lt;="&amp;$B154,BD!$P$3:$P$5001,"&lt;&gt;"))))</f>
        <v/>
      </c>
      <c r="P154" s="54" t="str">
        <f>IF(OR($B154="",$A154&gt;$B$9,P$128=""),"",IF(COUNTIFS(BD!$B$3:$B$5001,P$128,BD!$A$3:$A$5001,"&gt;="&amp;$C$7,BD!$A$3:$A$5001,"&lt;="&amp;$B154,BD!$P$3:$P$5001,"&lt;&gt;")=0,"",SUMIFS(BD!$P$3:$P$5001,BD!$B$3:$B$5001,P$128,BD!$A$3:$A$5001,_xlfn.MAXIFS(BD!$A$3:$A$5001,BD!$B$3:$B$5001,P$128,BD!$A$3:$A$5001,"&gt;="&amp;$C$7,BD!$A$3:$A$5001,"&lt;="&amp;$B154,BD!$P$3:$P$5001,"&lt;&gt;"))))</f>
        <v/>
      </c>
      <c r="Q154" s="54" t="str">
        <f>IF(OR($B154="",$A154&gt;$B$9,Q$128=""),"",IF(COUNTIFS(BD!$B$3:$B$5001,Q$128,BD!$A$3:$A$5001,"&gt;="&amp;$C$7,BD!$A$3:$A$5001,"&lt;="&amp;$B154,BD!$P$3:$P$5001,"&lt;&gt;")=0,"",SUMIFS(BD!$P$3:$P$5001,BD!$B$3:$B$5001,Q$128,BD!$A$3:$A$5001,_xlfn.MAXIFS(BD!$A$3:$A$5001,BD!$B$3:$B$5001,Q$128,BD!$A$3:$A$5001,"&gt;="&amp;$C$7,BD!$A$3:$A$5001,"&lt;="&amp;$B154,BD!$P$3:$P$5001,"&lt;&gt;"))))</f>
        <v/>
      </c>
      <c r="R154" s="54" t="str">
        <f>IF(OR($B154="",$A154&gt;$B$9,R$128=""),"",IF(COUNTIFS(BD!$B$3:$B$5001,R$128,BD!$A$3:$A$5001,"&gt;="&amp;$C$7,BD!$A$3:$A$5001,"&lt;="&amp;$B154,BD!$P$3:$P$5001,"&lt;&gt;")=0,"",SUMIFS(BD!$P$3:$P$5001,BD!$B$3:$B$5001,R$128,BD!$A$3:$A$5001,_xlfn.MAXIFS(BD!$A$3:$A$5001,BD!$B$3:$B$5001,R$128,BD!$A$3:$A$5001,"&gt;="&amp;$C$7,BD!$A$3:$A$5001,"&lt;="&amp;$B154,BD!$P$3:$P$5001,"&lt;&gt;"))))</f>
        <v/>
      </c>
      <c r="S154" s="54" t="str">
        <f>IF(OR($B154="",$A154&gt;$B$9,S$128=""),"",IF(COUNTIFS(BD!$B$3:$B$5001,S$128,BD!$A$3:$A$5001,"&gt;="&amp;$C$7,BD!$A$3:$A$5001,"&lt;="&amp;$B154,BD!$P$3:$P$5001,"&lt;&gt;")=0,"",SUMIFS(BD!$P$3:$P$5001,BD!$B$3:$B$5001,S$128,BD!$A$3:$A$5001,_xlfn.MAXIFS(BD!$A$3:$A$5001,BD!$B$3:$B$5001,S$128,BD!$A$3:$A$5001,"&gt;="&amp;$C$7,BD!$A$3:$A$5001,"&lt;="&amp;$B154,BD!$P$3:$P$5001,"&lt;&gt;"))))</f>
        <v/>
      </c>
      <c r="T154" s="54" t="str">
        <f>IF(OR($B154="",$A154&gt;$B$9,T$128=""),"",IF(COUNTIFS(BD!$B$3:$B$5001,T$128,BD!$A$3:$A$5001,"&gt;="&amp;$C$7,BD!$A$3:$A$5001,"&lt;="&amp;$B154,BD!$P$3:$P$5001,"&lt;&gt;")=0,"",SUMIFS(BD!$P$3:$P$5001,BD!$B$3:$B$5001,T$128,BD!$A$3:$A$5001,_xlfn.MAXIFS(BD!$A$3:$A$5001,BD!$B$3:$B$5001,T$128,BD!$A$3:$A$5001,"&gt;="&amp;$C$7,BD!$A$3:$A$5001,"&lt;="&amp;$B154,BD!$P$3:$P$5001,"&lt;&gt;"))))</f>
        <v/>
      </c>
      <c r="U154" s="54" t="str">
        <f>IF(OR($B154="",$A154&gt;$B$9,U$128=""),"",IF(COUNTIFS(BD!$B$3:$B$5001,U$128,BD!$A$3:$A$5001,"&gt;="&amp;$C$7,BD!$A$3:$A$5001,"&lt;="&amp;$B154,BD!$P$3:$P$5001,"&lt;&gt;")=0,"",SUMIFS(BD!$P$3:$P$5001,BD!$B$3:$B$5001,U$128,BD!$A$3:$A$5001,_xlfn.MAXIFS(BD!$A$3:$A$5001,BD!$B$3:$B$5001,U$128,BD!$A$3:$A$5001,"&gt;="&amp;$C$7,BD!$A$3:$A$5001,"&lt;="&amp;$B154,BD!$P$3:$P$5001,"&lt;&gt;"))))</f>
        <v/>
      </c>
      <c r="V154" s="54" t="str">
        <f>IF(OR($B154="",$A154&gt;$B$9,V$128=""),"",IF(COUNTIFS(BD!$B$3:$B$5001,V$128,BD!$A$3:$A$5001,"&gt;="&amp;$C$7,BD!$A$3:$A$5001,"&lt;="&amp;$B154,BD!$P$3:$P$5001,"&lt;&gt;")=0,"",SUMIFS(BD!$P$3:$P$5001,BD!$B$3:$B$5001,V$128,BD!$A$3:$A$5001,_xlfn.MAXIFS(BD!$A$3:$A$5001,BD!$B$3:$B$5001,V$128,BD!$A$3:$A$5001,"&gt;="&amp;$C$7,BD!$A$3:$A$5001,"&lt;="&amp;$B154,BD!$P$3:$P$5001,"&lt;&gt;"))))</f>
        <v/>
      </c>
    </row>
    <row r="155">
      <c r="A155" s="48">
        <v>27</v>
      </c>
      <c r="B155" s="53">
        <f>$B$38</f>
        <v>46322</v>
      </c>
      <c r="C155" s="54" t="str">
        <f>IF(OR($B155="",$A155&gt;$B$9,C$128=""),"",IF(COUNTIFS(BD!$B$3:$B$5001,C$128,BD!$A$3:$A$5001,"&gt;="&amp;$C$7,BD!$A$3:$A$5001,"&lt;="&amp;$B155,BD!$P$3:$P$5001,"&lt;&gt;")=0,"",SUMIFS(BD!$P$3:$P$5001,BD!$B$3:$B$5001,C$128,BD!$A$3:$A$5001,_xlfn.MAXIFS(BD!$A$3:$A$5001,BD!$B$3:$B$5001,C$128,BD!$A$3:$A$5001,"&gt;="&amp;$C$7,BD!$A$3:$A$5001,"&lt;="&amp;$B155,BD!$P$3:$P$5001,"&lt;&gt;"))))</f>
        <v/>
      </c>
      <c r="D155" s="54" t="str">
        <f>IF(OR($B155="",$A155&gt;$B$9,D$128=""),"",IF(COUNTIFS(BD!$B$3:$B$5001,D$128,BD!$A$3:$A$5001,"&gt;="&amp;$C$7,BD!$A$3:$A$5001,"&lt;="&amp;$B155,BD!$P$3:$P$5001,"&lt;&gt;")=0,"",SUMIFS(BD!$P$3:$P$5001,BD!$B$3:$B$5001,D$128,BD!$A$3:$A$5001,_xlfn.MAXIFS(BD!$A$3:$A$5001,BD!$B$3:$B$5001,D$128,BD!$A$3:$A$5001,"&gt;="&amp;$C$7,BD!$A$3:$A$5001,"&lt;="&amp;$B155,BD!$P$3:$P$5001,"&lt;&gt;"))))</f>
        <v/>
      </c>
      <c r="E155" s="54" t="str">
        <f>IF(OR($B155="",$A155&gt;$B$9,E$128=""),"",IF(COUNTIFS(BD!$B$3:$B$5001,E$128,BD!$A$3:$A$5001,"&gt;="&amp;$C$7,BD!$A$3:$A$5001,"&lt;="&amp;$B155,BD!$P$3:$P$5001,"&lt;&gt;")=0,"",SUMIFS(BD!$P$3:$P$5001,BD!$B$3:$B$5001,E$128,BD!$A$3:$A$5001,_xlfn.MAXIFS(BD!$A$3:$A$5001,BD!$B$3:$B$5001,E$128,BD!$A$3:$A$5001,"&gt;="&amp;$C$7,BD!$A$3:$A$5001,"&lt;="&amp;$B155,BD!$P$3:$P$5001,"&lt;&gt;"))))</f>
        <v/>
      </c>
      <c r="F155" s="54" t="str">
        <f>IF(OR($B155="",$A155&gt;$B$9,F$128=""),"",IF(COUNTIFS(BD!$B$3:$B$5001,F$128,BD!$A$3:$A$5001,"&gt;="&amp;$C$7,BD!$A$3:$A$5001,"&lt;="&amp;$B155,BD!$P$3:$P$5001,"&lt;&gt;")=0,"",SUMIFS(BD!$P$3:$P$5001,BD!$B$3:$B$5001,F$128,BD!$A$3:$A$5001,_xlfn.MAXIFS(BD!$A$3:$A$5001,BD!$B$3:$B$5001,F$128,BD!$A$3:$A$5001,"&gt;="&amp;$C$7,BD!$A$3:$A$5001,"&lt;="&amp;$B155,BD!$P$3:$P$5001,"&lt;&gt;"))))</f>
        <v/>
      </c>
      <c r="G155" s="54" t="str">
        <f>IF(OR($B155="",$A155&gt;$B$9,G$128=""),"",IF(COUNTIFS(BD!$B$3:$B$5001,G$128,BD!$A$3:$A$5001,"&gt;="&amp;$C$7,BD!$A$3:$A$5001,"&lt;="&amp;$B155,BD!$P$3:$P$5001,"&lt;&gt;")=0,"",SUMIFS(BD!$P$3:$P$5001,BD!$B$3:$B$5001,G$128,BD!$A$3:$A$5001,_xlfn.MAXIFS(BD!$A$3:$A$5001,BD!$B$3:$B$5001,G$128,BD!$A$3:$A$5001,"&gt;="&amp;$C$7,BD!$A$3:$A$5001,"&lt;="&amp;$B155,BD!$P$3:$P$5001,"&lt;&gt;"))))</f>
        <v/>
      </c>
      <c r="H155" s="54" t="str">
        <f>IF(OR($B155="",$A155&gt;$B$9,H$128=""),"",IF(COUNTIFS(BD!$B$3:$B$5001,H$128,BD!$A$3:$A$5001,"&gt;="&amp;$C$7,BD!$A$3:$A$5001,"&lt;="&amp;$B155,BD!$P$3:$P$5001,"&lt;&gt;")=0,"",SUMIFS(BD!$P$3:$P$5001,BD!$B$3:$B$5001,H$128,BD!$A$3:$A$5001,_xlfn.MAXIFS(BD!$A$3:$A$5001,BD!$B$3:$B$5001,H$128,BD!$A$3:$A$5001,"&gt;="&amp;$C$7,BD!$A$3:$A$5001,"&lt;="&amp;$B155,BD!$P$3:$P$5001,"&lt;&gt;"))))</f>
        <v/>
      </c>
      <c r="I155" s="54" t="str">
        <f>IF(OR($B155="",$A155&gt;$B$9,I$128=""),"",IF(COUNTIFS(BD!$B$3:$B$5001,I$128,BD!$A$3:$A$5001,"&gt;="&amp;$C$7,BD!$A$3:$A$5001,"&lt;="&amp;$B155,BD!$P$3:$P$5001,"&lt;&gt;")=0,"",SUMIFS(BD!$P$3:$P$5001,BD!$B$3:$B$5001,I$128,BD!$A$3:$A$5001,_xlfn.MAXIFS(BD!$A$3:$A$5001,BD!$B$3:$B$5001,I$128,BD!$A$3:$A$5001,"&gt;="&amp;$C$7,BD!$A$3:$A$5001,"&lt;="&amp;$B155,BD!$P$3:$P$5001,"&lt;&gt;"))))</f>
        <v/>
      </c>
      <c r="J155" s="54" t="str">
        <f>IF(OR($B155="",$A155&gt;$B$9,J$128=""),"",IF(COUNTIFS(BD!$B$3:$B$5001,J$128,BD!$A$3:$A$5001,"&gt;="&amp;$C$7,BD!$A$3:$A$5001,"&lt;="&amp;$B155,BD!$P$3:$P$5001,"&lt;&gt;")=0,"",SUMIFS(BD!$P$3:$P$5001,BD!$B$3:$B$5001,J$128,BD!$A$3:$A$5001,_xlfn.MAXIFS(BD!$A$3:$A$5001,BD!$B$3:$B$5001,J$128,BD!$A$3:$A$5001,"&gt;="&amp;$C$7,BD!$A$3:$A$5001,"&lt;="&amp;$B155,BD!$P$3:$P$5001,"&lt;&gt;"))))</f>
        <v/>
      </c>
      <c r="K155" s="54" t="str">
        <f>IF(OR($B155="",$A155&gt;$B$9,K$128=""),"",IF(COUNTIFS(BD!$B$3:$B$5001,K$128,BD!$A$3:$A$5001,"&gt;="&amp;$C$7,BD!$A$3:$A$5001,"&lt;="&amp;$B155,BD!$P$3:$P$5001,"&lt;&gt;")=0,"",SUMIFS(BD!$P$3:$P$5001,BD!$B$3:$B$5001,K$128,BD!$A$3:$A$5001,_xlfn.MAXIFS(BD!$A$3:$A$5001,BD!$B$3:$B$5001,K$128,BD!$A$3:$A$5001,"&gt;="&amp;$C$7,BD!$A$3:$A$5001,"&lt;="&amp;$B155,BD!$P$3:$P$5001,"&lt;&gt;"))))</f>
        <v/>
      </c>
      <c r="L155" s="54" t="str">
        <f>IF(OR($B155="",$A155&gt;$B$9,L$128=""),"",IF(COUNTIFS(BD!$B$3:$B$5001,L$128,BD!$A$3:$A$5001,"&gt;="&amp;$C$7,BD!$A$3:$A$5001,"&lt;="&amp;$B155,BD!$P$3:$P$5001,"&lt;&gt;")=0,"",SUMIFS(BD!$P$3:$P$5001,BD!$B$3:$B$5001,L$128,BD!$A$3:$A$5001,_xlfn.MAXIFS(BD!$A$3:$A$5001,BD!$B$3:$B$5001,L$128,BD!$A$3:$A$5001,"&gt;="&amp;$C$7,BD!$A$3:$A$5001,"&lt;="&amp;$B155,BD!$P$3:$P$5001,"&lt;&gt;"))))</f>
        <v/>
      </c>
      <c r="M155" s="54" t="str">
        <f>IF(OR($B155="",$A155&gt;$B$9,M$128=""),"",IF(COUNTIFS(BD!$B$3:$B$5001,M$128,BD!$A$3:$A$5001,"&gt;="&amp;$C$7,BD!$A$3:$A$5001,"&lt;="&amp;$B155,BD!$P$3:$P$5001,"&lt;&gt;")=0,"",SUMIFS(BD!$P$3:$P$5001,BD!$B$3:$B$5001,M$128,BD!$A$3:$A$5001,_xlfn.MAXIFS(BD!$A$3:$A$5001,BD!$B$3:$B$5001,M$128,BD!$A$3:$A$5001,"&gt;="&amp;$C$7,BD!$A$3:$A$5001,"&lt;="&amp;$B155,BD!$P$3:$P$5001,"&lt;&gt;"))))</f>
        <v/>
      </c>
      <c r="N155" s="54" t="str">
        <f>IF(OR($B155="",$A155&gt;$B$9,N$128=""),"",IF(COUNTIFS(BD!$B$3:$B$5001,N$128,BD!$A$3:$A$5001,"&gt;="&amp;$C$7,BD!$A$3:$A$5001,"&lt;="&amp;$B155,BD!$P$3:$P$5001,"&lt;&gt;")=0,"",SUMIFS(BD!$P$3:$P$5001,BD!$B$3:$B$5001,N$128,BD!$A$3:$A$5001,_xlfn.MAXIFS(BD!$A$3:$A$5001,BD!$B$3:$B$5001,N$128,BD!$A$3:$A$5001,"&gt;="&amp;$C$7,BD!$A$3:$A$5001,"&lt;="&amp;$B155,BD!$P$3:$P$5001,"&lt;&gt;"))))</f>
        <v/>
      </c>
      <c r="O155" s="54" t="str">
        <f>IF(OR($B155="",$A155&gt;$B$9,O$128=""),"",IF(COUNTIFS(BD!$B$3:$B$5001,O$128,BD!$A$3:$A$5001,"&gt;="&amp;$C$7,BD!$A$3:$A$5001,"&lt;="&amp;$B155,BD!$P$3:$P$5001,"&lt;&gt;")=0,"",SUMIFS(BD!$P$3:$P$5001,BD!$B$3:$B$5001,O$128,BD!$A$3:$A$5001,_xlfn.MAXIFS(BD!$A$3:$A$5001,BD!$B$3:$B$5001,O$128,BD!$A$3:$A$5001,"&gt;="&amp;$C$7,BD!$A$3:$A$5001,"&lt;="&amp;$B155,BD!$P$3:$P$5001,"&lt;&gt;"))))</f>
        <v/>
      </c>
      <c r="P155" s="54" t="str">
        <f>IF(OR($B155="",$A155&gt;$B$9,P$128=""),"",IF(COUNTIFS(BD!$B$3:$B$5001,P$128,BD!$A$3:$A$5001,"&gt;="&amp;$C$7,BD!$A$3:$A$5001,"&lt;="&amp;$B155,BD!$P$3:$P$5001,"&lt;&gt;")=0,"",SUMIFS(BD!$P$3:$P$5001,BD!$B$3:$B$5001,P$128,BD!$A$3:$A$5001,_xlfn.MAXIFS(BD!$A$3:$A$5001,BD!$B$3:$B$5001,P$128,BD!$A$3:$A$5001,"&gt;="&amp;$C$7,BD!$A$3:$A$5001,"&lt;="&amp;$B155,BD!$P$3:$P$5001,"&lt;&gt;"))))</f>
        <v/>
      </c>
      <c r="Q155" s="54" t="str">
        <f>IF(OR($B155="",$A155&gt;$B$9,Q$128=""),"",IF(COUNTIFS(BD!$B$3:$B$5001,Q$128,BD!$A$3:$A$5001,"&gt;="&amp;$C$7,BD!$A$3:$A$5001,"&lt;="&amp;$B155,BD!$P$3:$P$5001,"&lt;&gt;")=0,"",SUMIFS(BD!$P$3:$P$5001,BD!$B$3:$B$5001,Q$128,BD!$A$3:$A$5001,_xlfn.MAXIFS(BD!$A$3:$A$5001,BD!$B$3:$B$5001,Q$128,BD!$A$3:$A$5001,"&gt;="&amp;$C$7,BD!$A$3:$A$5001,"&lt;="&amp;$B155,BD!$P$3:$P$5001,"&lt;&gt;"))))</f>
        <v/>
      </c>
      <c r="R155" s="54" t="str">
        <f>IF(OR($B155="",$A155&gt;$B$9,R$128=""),"",IF(COUNTIFS(BD!$B$3:$B$5001,R$128,BD!$A$3:$A$5001,"&gt;="&amp;$C$7,BD!$A$3:$A$5001,"&lt;="&amp;$B155,BD!$P$3:$P$5001,"&lt;&gt;")=0,"",SUMIFS(BD!$P$3:$P$5001,BD!$B$3:$B$5001,R$128,BD!$A$3:$A$5001,_xlfn.MAXIFS(BD!$A$3:$A$5001,BD!$B$3:$B$5001,R$128,BD!$A$3:$A$5001,"&gt;="&amp;$C$7,BD!$A$3:$A$5001,"&lt;="&amp;$B155,BD!$P$3:$P$5001,"&lt;&gt;"))))</f>
        <v/>
      </c>
      <c r="S155" s="54" t="str">
        <f>IF(OR($B155="",$A155&gt;$B$9,S$128=""),"",IF(COUNTIFS(BD!$B$3:$B$5001,S$128,BD!$A$3:$A$5001,"&gt;="&amp;$C$7,BD!$A$3:$A$5001,"&lt;="&amp;$B155,BD!$P$3:$P$5001,"&lt;&gt;")=0,"",SUMIFS(BD!$P$3:$P$5001,BD!$B$3:$B$5001,S$128,BD!$A$3:$A$5001,_xlfn.MAXIFS(BD!$A$3:$A$5001,BD!$B$3:$B$5001,S$128,BD!$A$3:$A$5001,"&gt;="&amp;$C$7,BD!$A$3:$A$5001,"&lt;="&amp;$B155,BD!$P$3:$P$5001,"&lt;&gt;"))))</f>
        <v/>
      </c>
      <c r="T155" s="54" t="str">
        <f>IF(OR($B155="",$A155&gt;$B$9,T$128=""),"",IF(COUNTIFS(BD!$B$3:$B$5001,T$128,BD!$A$3:$A$5001,"&gt;="&amp;$C$7,BD!$A$3:$A$5001,"&lt;="&amp;$B155,BD!$P$3:$P$5001,"&lt;&gt;")=0,"",SUMIFS(BD!$P$3:$P$5001,BD!$B$3:$B$5001,T$128,BD!$A$3:$A$5001,_xlfn.MAXIFS(BD!$A$3:$A$5001,BD!$B$3:$B$5001,T$128,BD!$A$3:$A$5001,"&gt;="&amp;$C$7,BD!$A$3:$A$5001,"&lt;="&amp;$B155,BD!$P$3:$P$5001,"&lt;&gt;"))))</f>
        <v/>
      </c>
      <c r="U155" s="54" t="str">
        <f>IF(OR($B155="",$A155&gt;$B$9,U$128=""),"",IF(COUNTIFS(BD!$B$3:$B$5001,U$128,BD!$A$3:$A$5001,"&gt;="&amp;$C$7,BD!$A$3:$A$5001,"&lt;="&amp;$B155,BD!$P$3:$P$5001,"&lt;&gt;")=0,"",SUMIFS(BD!$P$3:$P$5001,BD!$B$3:$B$5001,U$128,BD!$A$3:$A$5001,_xlfn.MAXIFS(BD!$A$3:$A$5001,BD!$B$3:$B$5001,U$128,BD!$A$3:$A$5001,"&gt;="&amp;$C$7,BD!$A$3:$A$5001,"&lt;="&amp;$B155,BD!$P$3:$P$5001,"&lt;&gt;"))))</f>
        <v/>
      </c>
      <c r="V155" s="54" t="str">
        <f>IF(OR($B155="",$A155&gt;$B$9,V$128=""),"",IF(COUNTIFS(BD!$B$3:$B$5001,V$128,BD!$A$3:$A$5001,"&gt;="&amp;$C$7,BD!$A$3:$A$5001,"&lt;="&amp;$B155,BD!$P$3:$P$5001,"&lt;&gt;")=0,"",SUMIFS(BD!$P$3:$P$5001,BD!$B$3:$B$5001,V$128,BD!$A$3:$A$5001,_xlfn.MAXIFS(BD!$A$3:$A$5001,BD!$B$3:$B$5001,V$128,BD!$A$3:$A$5001,"&gt;="&amp;$C$7,BD!$A$3:$A$5001,"&lt;="&amp;$B155,BD!$P$3:$P$5001,"&lt;&gt;"))))</f>
        <v/>
      </c>
    </row>
    <row r="156">
      <c r="A156" s="48">
        <v>28</v>
      </c>
      <c r="B156" s="53">
        <f>$B$39</f>
        <v>46323</v>
      </c>
      <c r="C156" s="54" t="str">
        <f>IF(OR($B156="",$A156&gt;$B$9,C$128=""),"",IF(COUNTIFS(BD!$B$3:$B$5001,C$128,BD!$A$3:$A$5001,"&gt;="&amp;$C$7,BD!$A$3:$A$5001,"&lt;="&amp;$B156,BD!$P$3:$P$5001,"&lt;&gt;")=0,"",SUMIFS(BD!$P$3:$P$5001,BD!$B$3:$B$5001,C$128,BD!$A$3:$A$5001,_xlfn.MAXIFS(BD!$A$3:$A$5001,BD!$B$3:$B$5001,C$128,BD!$A$3:$A$5001,"&gt;="&amp;$C$7,BD!$A$3:$A$5001,"&lt;="&amp;$B156,BD!$P$3:$P$5001,"&lt;&gt;"))))</f>
        <v/>
      </c>
      <c r="D156" s="54" t="str">
        <f>IF(OR($B156="",$A156&gt;$B$9,D$128=""),"",IF(COUNTIFS(BD!$B$3:$B$5001,D$128,BD!$A$3:$A$5001,"&gt;="&amp;$C$7,BD!$A$3:$A$5001,"&lt;="&amp;$B156,BD!$P$3:$P$5001,"&lt;&gt;")=0,"",SUMIFS(BD!$P$3:$P$5001,BD!$B$3:$B$5001,D$128,BD!$A$3:$A$5001,_xlfn.MAXIFS(BD!$A$3:$A$5001,BD!$B$3:$B$5001,D$128,BD!$A$3:$A$5001,"&gt;="&amp;$C$7,BD!$A$3:$A$5001,"&lt;="&amp;$B156,BD!$P$3:$P$5001,"&lt;&gt;"))))</f>
        <v/>
      </c>
      <c r="E156" s="54" t="str">
        <f>IF(OR($B156="",$A156&gt;$B$9,E$128=""),"",IF(COUNTIFS(BD!$B$3:$B$5001,E$128,BD!$A$3:$A$5001,"&gt;="&amp;$C$7,BD!$A$3:$A$5001,"&lt;="&amp;$B156,BD!$P$3:$P$5001,"&lt;&gt;")=0,"",SUMIFS(BD!$P$3:$P$5001,BD!$B$3:$B$5001,E$128,BD!$A$3:$A$5001,_xlfn.MAXIFS(BD!$A$3:$A$5001,BD!$B$3:$B$5001,E$128,BD!$A$3:$A$5001,"&gt;="&amp;$C$7,BD!$A$3:$A$5001,"&lt;="&amp;$B156,BD!$P$3:$P$5001,"&lt;&gt;"))))</f>
        <v/>
      </c>
      <c r="F156" s="54" t="str">
        <f>IF(OR($B156="",$A156&gt;$B$9,F$128=""),"",IF(COUNTIFS(BD!$B$3:$B$5001,F$128,BD!$A$3:$A$5001,"&gt;="&amp;$C$7,BD!$A$3:$A$5001,"&lt;="&amp;$B156,BD!$P$3:$P$5001,"&lt;&gt;")=0,"",SUMIFS(BD!$P$3:$P$5001,BD!$B$3:$B$5001,F$128,BD!$A$3:$A$5001,_xlfn.MAXIFS(BD!$A$3:$A$5001,BD!$B$3:$B$5001,F$128,BD!$A$3:$A$5001,"&gt;="&amp;$C$7,BD!$A$3:$A$5001,"&lt;="&amp;$B156,BD!$P$3:$P$5001,"&lt;&gt;"))))</f>
        <v/>
      </c>
      <c r="G156" s="54" t="str">
        <f>IF(OR($B156="",$A156&gt;$B$9,G$128=""),"",IF(COUNTIFS(BD!$B$3:$B$5001,G$128,BD!$A$3:$A$5001,"&gt;="&amp;$C$7,BD!$A$3:$A$5001,"&lt;="&amp;$B156,BD!$P$3:$P$5001,"&lt;&gt;")=0,"",SUMIFS(BD!$P$3:$P$5001,BD!$B$3:$B$5001,G$128,BD!$A$3:$A$5001,_xlfn.MAXIFS(BD!$A$3:$A$5001,BD!$B$3:$B$5001,G$128,BD!$A$3:$A$5001,"&gt;="&amp;$C$7,BD!$A$3:$A$5001,"&lt;="&amp;$B156,BD!$P$3:$P$5001,"&lt;&gt;"))))</f>
        <v/>
      </c>
      <c r="H156" s="54" t="str">
        <f>IF(OR($B156="",$A156&gt;$B$9,H$128=""),"",IF(COUNTIFS(BD!$B$3:$B$5001,H$128,BD!$A$3:$A$5001,"&gt;="&amp;$C$7,BD!$A$3:$A$5001,"&lt;="&amp;$B156,BD!$P$3:$P$5001,"&lt;&gt;")=0,"",SUMIFS(BD!$P$3:$P$5001,BD!$B$3:$B$5001,H$128,BD!$A$3:$A$5001,_xlfn.MAXIFS(BD!$A$3:$A$5001,BD!$B$3:$B$5001,H$128,BD!$A$3:$A$5001,"&gt;="&amp;$C$7,BD!$A$3:$A$5001,"&lt;="&amp;$B156,BD!$P$3:$P$5001,"&lt;&gt;"))))</f>
        <v/>
      </c>
      <c r="I156" s="54" t="str">
        <f>IF(OR($B156="",$A156&gt;$B$9,I$128=""),"",IF(COUNTIFS(BD!$B$3:$B$5001,I$128,BD!$A$3:$A$5001,"&gt;="&amp;$C$7,BD!$A$3:$A$5001,"&lt;="&amp;$B156,BD!$P$3:$P$5001,"&lt;&gt;")=0,"",SUMIFS(BD!$P$3:$P$5001,BD!$B$3:$B$5001,I$128,BD!$A$3:$A$5001,_xlfn.MAXIFS(BD!$A$3:$A$5001,BD!$B$3:$B$5001,I$128,BD!$A$3:$A$5001,"&gt;="&amp;$C$7,BD!$A$3:$A$5001,"&lt;="&amp;$B156,BD!$P$3:$P$5001,"&lt;&gt;"))))</f>
        <v/>
      </c>
      <c r="J156" s="54" t="str">
        <f>IF(OR($B156="",$A156&gt;$B$9,J$128=""),"",IF(COUNTIFS(BD!$B$3:$B$5001,J$128,BD!$A$3:$A$5001,"&gt;="&amp;$C$7,BD!$A$3:$A$5001,"&lt;="&amp;$B156,BD!$P$3:$P$5001,"&lt;&gt;")=0,"",SUMIFS(BD!$P$3:$P$5001,BD!$B$3:$B$5001,J$128,BD!$A$3:$A$5001,_xlfn.MAXIFS(BD!$A$3:$A$5001,BD!$B$3:$B$5001,J$128,BD!$A$3:$A$5001,"&gt;="&amp;$C$7,BD!$A$3:$A$5001,"&lt;="&amp;$B156,BD!$P$3:$P$5001,"&lt;&gt;"))))</f>
        <v/>
      </c>
      <c r="K156" s="54" t="str">
        <f>IF(OR($B156="",$A156&gt;$B$9,K$128=""),"",IF(COUNTIFS(BD!$B$3:$B$5001,K$128,BD!$A$3:$A$5001,"&gt;="&amp;$C$7,BD!$A$3:$A$5001,"&lt;="&amp;$B156,BD!$P$3:$P$5001,"&lt;&gt;")=0,"",SUMIFS(BD!$P$3:$P$5001,BD!$B$3:$B$5001,K$128,BD!$A$3:$A$5001,_xlfn.MAXIFS(BD!$A$3:$A$5001,BD!$B$3:$B$5001,K$128,BD!$A$3:$A$5001,"&gt;="&amp;$C$7,BD!$A$3:$A$5001,"&lt;="&amp;$B156,BD!$P$3:$P$5001,"&lt;&gt;"))))</f>
        <v/>
      </c>
      <c r="L156" s="54" t="str">
        <f>IF(OR($B156="",$A156&gt;$B$9,L$128=""),"",IF(COUNTIFS(BD!$B$3:$B$5001,L$128,BD!$A$3:$A$5001,"&gt;="&amp;$C$7,BD!$A$3:$A$5001,"&lt;="&amp;$B156,BD!$P$3:$P$5001,"&lt;&gt;")=0,"",SUMIFS(BD!$P$3:$P$5001,BD!$B$3:$B$5001,L$128,BD!$A$3:$A$5001,_xlfn.MAXIFS(BD!$A$3:$A$5001,BD!$B$3:$B$5001,L$128,BD!$A$3:$A$5001,"&gt;="&amp;$C$7,BD!$A$3:$A$5001,"&lt;="&amp;$B156,BD!$P$3:$P$5001,"&lt;&gt;"))))</f>
        <v/>
      </c>
      <c r="M156" s="54" t="str">
        <f>IF(OR($B156="",$A156&gt;$B$9,M$128=""),"",IF(COUNTIFS(BD!$B$3:$B$5001,M$128,BD!$A$3:$A$5001,"&gt;="&amp;$C$7,BD!$A$3:$A$5001,"&lt;="&amp;$B156,BD!$P$3:$P$5001,"&lt;&gt;")=0,"",SUMIFS(BD!$P$3:$P$5001,BD!$B$3:$B$5001,M$128,BD!$A$3:$A$5001,_xlfn.MAXIFS(BD!$A$3:$A$5001,BD!$B$3:$B$5001,M$128,BD!$A$3:$A$5001,"&gt;="&amp;$C$7,BD!$A$3:$A$5001,"&lt;="&amp;$B156,BD!$P$3:$P$5001,"&lt;&gt;"))))</f>
        <v/>
      </c>
      <c r="N156" s="54" t="str">
        <f>IF(OR($B156="",$A156&gt;$B$9,N$128=""),"",IF(COUNTIFS(BD!$B$3:$B$5001,N$128,BD!$A$3:$A$5001,"&gt;="&amp;$C$7,BD!$A$3:$A$5001,"&lt;="&amp;$B156,BD!$P$3:$P$5001,"&lt;&gt;")=0,"",SUMIFS(BD!$P$3:$P$5001,BD!$B$3:$B$5001,N$128,BD!$A$3:$A$5001,_xlfn.MAXIFS(BD!$A$3:$A$5001,BD!$B$3:$B$5001,N$128,BD!$A$3:$A$5001,"&gt;="&amp;$C$7,BD!$A$3:$A$5001,"&lt;="&amp;$B156,BD!$P$3:$P$5001,"&lt;&gt;"))))</f>
        <v/>
      </c>
      <c r="O156" s="54" t="str">
        <f>IF(OR($B156="",$A156&gt;$B$9,O$128=""),"",IF(COUNTIFS(BD!$B$3:$B$5001,O$128,BD!$A$3:$A$5001,"&gt;="&amp;$C$7,BD!$A$3:$A$5001,"&lt;="&amp;$B156,BD!$P$3:$P$5001,"&lt;&gt;")=0,"",SUMIFS(BD!$P$3:$P$5001,BD!$B$3:$B$5001,O$128,BD!$A$3:$A$5001,_xlfn.MAXIFS(BD!$A$3:$A$5001,BD!$B$3:$B$5001,O$128,BD!$A$3:$A$5001,"&gt;="&amp;$C$7,BD!$A$3:$A$5001,"&lt;="&amp;$B156,BD!$P$3:$P$5001,"&lt;&gt;"))))</f>
        <v/>
      </c>
      <c r="P156" s="54" t="str">
        <f>IF(OR($B156="",$A156&gt;$B$9,P$128=""),"",IF(COUNTIFS(BD!$B$3:$B$5001,P$128,BD!$A$3:$A$5001,"&gt;="&amp;$C$7,BD!$A$3:$A$5001,"&lt;="&amp;$B156,BD!$P$3:$P$5001,"&lt;&gt;")=0,"",SUMIFS(BD!$P$3:$P$5001,BD!$B$3:$B$5001,P$128,BD!$A$3:$A$5001,_xlfn.MAXIFS(BD!$A$3:$A$5001,BD!$B$3:$B$5001,P$128,BD!$A$3:$A$5001,"&gt;="&amp;$C$7,BD!$A$3:$A$5001,"&lt;="&amp;$B156,BD!$P$3:$P$5001,"&lt;&gt;"))))</f>
        <v/>
      </c>
      <c r="Q156" s="54" t="str">
        <f>IF(OR($B156="",$A156&gt;$B$9,Q$128=""),"",IF(COUNTIFS(BD!$B$3:$B$5001,Q$128,BD!$A$3:$A$5001,"&gt;="&amp;$C$7,BD!$A$3:$A$5001,"&lt;="&amp;$B156,BD!$P$3:$P$5001,"&lt;&gt;")=0,"",SUMIFS(BD!$P$3:$P$5001,BD!$B$3:$B$5001,Q$128,BD!$A$3:$A$5001,_xlfn.MAXIFS(BD!$A$3:$A$5001,BD!$B$3:$B$5001,Q$128,BD!$A$3:$A$5001,"&gt;="&amp;$C$7,BD!$A$3:$A$5001,"&lt;="&amp;$B156,BD!$P$3:$P$5001,"&lt;&gt;"))))</f>
        <v/>
      </c>
      <c r="R156" s="54" t="str">
        <f>IF(OR($B156="",$A156&gt;$B$9,R$128=""),"",IF(COUNTIFS(BD!$B$3:$B$5001,R$128,BD!$A$3:$A$5001,"&gt;="&amp;$C$7,BD!$A$3:$A$5001,"&lt;="&amp;$B156,BD!$P$3:$P$5001,"&lt;&gt;")=0,"",SUMIFS(BD!$P$3:$P$5001,BD!$B$3:$B$5001,R$128,BD!$A$3:$A$5001,_xlfn.MAXIFS(BD!$A$3:$A$5001,BD!$B$3:$B$5001,R$128,BD!$A$3:$A$5001,"&gt;="&amp;$C$7,BD!$A$3:$A$5001,"&lt;="&amp;$B156,BD!$P$3:$P$5001,"&lt;&gt;"))))</f>
        <v/>
      </c>
      <c r="S156" s="54" t="str">
        <f>IF(OR($B156="",$A156&gt;$B$9,S$128=""),"",IF(COUNTIFS(BD!$B$3:$B$5001,S$128,BD!$A$3:$A$5001,"&gt;="&amp;$C$7,BD!$A$3:$A$5001,"&lt;="&amp;$B156,BD!$P$3:$P$5001,"&lt;&gt;")=0,"",SUMIFS(BD!$P$3:$P$5001,BD!$B$3:$B$5001,S$128,BD!$A$3:$A$5001,_xlfn.MAXIFS(BD!$A$3:$A$5001,BD!$B$3:$B$5001,S$128,BD!$A$3:$A$5001,"&gt;="&amp;$C$7,BD!$A$3:$A$5001,"&lt;="&amp;$B156,BD!$P$3:$P$5001,"&lt;&gt;"))))</f>
        <v/>
      </c>
      <c r="T156" s="54" t="str">
        <f>IF(OR($B156="",$A156&gt;$B$9,T$128=""),"",IF(COUNTIFS(BD!$B$3:$B$5001,T$128,BD!$A$3:$A$5001,"&gt;="&amp;$C$7,BD!$A$3:$A$5001,"&lt;="&amp;$B156,BD!$P$3:$P$5001,"&lt;&gt;")=0,"",SUMIFS(BD!$P$3:$P$5001,BD!$B$3:$B$5001,T$128,BD!$A$3:$A$5001,_xlfn.MAXIFS(BD!$A$3:$A$5001,BD!$B$3:$B$5001,T$128,BD!$A$3:$A$5001,"&gt;="&amp;$C$7,BD!$A$3:$A$5001,"&lt;="&amp;$B156,BD!$P$3:$P$5001,"&lt;&gt;"))))</f>
        <v/>
      </c>
      <c r="U156" s="54" t="str">
        <f>IF(OR($B156="",$A156&gt;$B$9,U$128=""),"",IF(COUNTIFS(BD!$B$3:$B$5001,U$128,BD!$A$3:$A$5001,"&gt;="&amp;$C$7,BD!$A$3:$A$5001,"&lt;="&amp;$B156,BD!$P$3:$P$5001,"&lt;&gt;")=0,"",SUMIFS(BD!$P$3:$P$5001,BD!$B$3:$B$5001,U$128,BD!$A$3:$A$5001,_xlfn.MAXIFS(BD!$A$3:$A$5001,BD!$B$3:$B$5001,U$128,BD!$A$3:$A$5001,"&gt;="&amp;$C$7,BD!$A$3:$A$5001,"&lt;="&amp;$B156,BD!$P$3:$P$5001,"&lt;&gt;"))))</f>
        <v/>
      </c>
      <c r="V156" s="54" t="str">
        <f>IF(OR($B156="",$A156&gt;$B$9,V$128=""),"",IF(COUNTIFS(BD!$B$3:$B$5001,V$128,BD!$A$3:$A$5001,"&gt;="&amp;$C$7,BD!$A$3:$A$5001,"&lt;="&amp;$B156,BD!$P$3:$P$5001,"&lt;&gt;")=0,"",SUMIFS(BD!$P$3:$P$5001,BD!$B$3:$B$5001,V$128,BD!$A$3:$A$5001,_xlfn.MAXIFS(BD!$A$3:$A$5001,BD!$B$3:$B$5001,V$128,BD!$A$3:$A$5001,"&gt;="&amp;$C$7,BD!$A$3:$A$5001,"&lt;="&amp;$B156,BD!$P$3:$P$5001,"&lt;&gt;"))))</f>
        <v/>
      </c>
    </row>
    <row r="157">
      <c r="A157" s="48">
        <v>29</v>
      </c>
      <c r="B157" s="53">
        <f>$B$40</f>
        <v>46324</v>
      </c>
      <c r="C157" s="54" t="str">
        <f>IF(OR($B157="",$A157&gt;$B$9,C$128=""),"",IF(COUNTIFS(BD!$B$3:$B$5001,C$128,BD!$A$3:$A$5001,"&gt;="&amp;$C$7,BD!$A$3:$A$5001,"&lt;="&amp;$B157,BD!$P$3:$P$5001,"&lt;&gt;")=0,"",SUMIFS(BD!$P$3:$P$5001,BD!$B$3:$B$5001,C$128,BD!$A$3:$A$5001,_xlfn.MAXIFS(BD!$A$3:$A$5001,BD!$B$3:$B$5001,C$128,BD!$A$3:$A$5001,"&gt;="&amp;$C$7,BD!$A$3:$A$5001,"&lt;="&amp;$B157,BD!$P$3:$P$5001,"&lt;&gt;"))))</f>
        <v/>
      </c>
      <c r="D157" s="54" t="str">
        <f>IF(OR($B157="",$A157&gt;$B$9,D$128=""),"",IF(COUNTIFS(BD!$B$3:$B$5001,D$128,BD!$A$3:$A$5001,"&gt;="&amp;$C$7,BD!$A$3:$A$5001,"&lt;="&amp;$B157,BD!$P$3:$P$5001,"&lt;&gt;")=0,"",SUMIFS(BD!$P$3:$P$5001,BD!$B$3:$B$5001,D$128,BD!$A$3:$A$5001,_xlfn.MAXIFS(BD!$A$3:$A$5001,BD!$B$3:$B$5001,D$128,BD!$A$3:$A$5001,"&gt;="&amp;$C$7,BD!$A$3:$A$5001,"&lt;="&amp;$B157,BD!$P$3:$P$5001,"&lt;&gt;"))))</f>
        <v/>
      </c>
      <c r="E157" s="54" t="str">
        <f>IF(OR($B157="",$A157&gt;$B$9,E$128=""),"",IF(COUNTIFS(BD!$B$3:$B$5001,E$128,BD!$A$3:$A$5001,"&gt;="&amp;$C$7,BD!$A$3:$A$5001,"&lt;="&amp;$B157,BD!$P$3:$P$5001,"&lt;&gt;")=0,"",SUMIFS(BD!$P$3:$P$5001,BD!$B$3:$B$5001,E$128,BD!$A$3:$A$5001,_xlfn.MAXIFS(BD!$A$3:$A$5001,BD!$B$3:$B$5001,E$128,BD!$A$3:$A$5001,"&gt;="&amp;$C$7,BD!$A$3:$A$5001,"&lt;="&amp;$B157,BD!$P$3:$P$5001,"&lt;&gt;"))))</f>
        <v/>
      </c>
      <c r="F157" s="54" t="str">
        <f>IF(OR($B157="",$A157&gt;$B$9,F$128=""),"",IF(COUNTIFS(BD!$B$3:$B$5001,F$128,BD!$A$3:$A$5001,"&gt;="&amp;$C$7,BD!$A$3:$A$5001,"&lt;="&amp;$B157,BD!$P$3:$P$5001,"&lt;&gt;")=0,"",SUMIFS(BD!$P$3:$P$5001,BD!$B$3:$B$5001,F$128,BD!$A$3:$A$5001,_xlfn.MAXIFS(BD!$A$3:$A$5001,BD!$B$3:$B$5001,F$128,BD!$A$3:$A$5001,"&gt;="&amp;$C$7,BD!$A$3:$A$5001,"&lt;="&amp;$B157,BD!$P$3:$P$5001,"&lt;&gt;"))))</f>
        <v/>
      </c>
      <c r="G157" s="54" t="str">
        <f>IF(OR($B157="",$A157&gt;$B$9,G$128=""),"",IF(COUNTIFS(BD!$B$3:$B$5001,G$128,BD!$A$3:$A$5001,"&gt;="&amp;$C$7,BD!$A$3:$A$5001,"&lt;="&amp;$B157,BD!$P$3:$P$5001,"&lt;&gt;")=0,"",SUMIFS(BD!$P$3:$P$5001,BD!$B$3:$B$5001,G$128,BD!$A$3:$A$5001,_xlfn.MAXIFS(BD!$A$3:$A$5001,BD!$B$3:$B$5001,G$128,BD!$A$3:$A$5001,"&gt;="&amp;$C$7,BD!$A$3:$A$5001,"&lt;="&amp;$B157,BD!$P$3:$P$5001,"&lt;&gt;"))))</f>
        <v/>
      </c>
      <c r="H157" s="54" t="str">
        <f>IF(OR($B157="",$A157&gt;$B$9,H$128=""),"",IF(COUNTIFS(BD!$B$3:$B$5001,H$128,BD!$A$3:$A$5001,"&gt;="&amp;$C$7,BD!$A$3:$A$5001,"&lt;="&amp;$B157,BD!$P$3:$P$5001,"&lt;&gt;")=0,"",SUMIFS(BD!$P$3:$P$5001,BD!$B$3:$B$5001,H$128,BD!$A$3:$A$5001,_xlfn.MAXIFS(BD!$A$3:$A$5001,BD!$B$3:$B$5001,H$128,BD!$A$3:$A$5001,"&gt;="&amp;$C$7,BD!$A$3:$A$5001,"&lt;="&amp;$B157,BD!$P$3:$P$5001,"&lt;&gt;"))))</f>
        <v/>
      </c>
      <c r="I157" s="54" t="str">
        <f>IF(OR($B157="",$A157&gt;$B$9,I$128=""),"",IF(COUNTIFS(BD!$B$3:$B$5001,I$128,BD!$A$3:$A$5001,"&gt;="&amp;$C$7,BD!$A$3:$A$5001,"&lt;="&amp;$B157,BD!$P$3:$P$5001,"&lt;&gt;")=0,"",SUMIFS(BD!$P$3:$P$5001,BD!$B$3:$B$5001,I$128,BD!$A$3:$A$5001,_xlfn.MAXIFS(BD!$A$3:$A$5001,BD!$B$3:$B$5001,I$128,BD!$A$3:$A$5001,"&gt;="&amp;$C$7,BD!$A$3:$A$5001,"&lt;="&amp;$B157,BD!$P$3:$P$5001,"&lt;&gt;"))))</f>
        <v/>
      </c>
      <c r="J157" s="54" t="str">
        <f>IF(OR($B157="",$A157&gt;$B$9,J$128=""),"",IF(COUNTIFS(BD!$B$3:$B$5001,J$128,BD!$A$3:$A$5001,"&gt;="&amp;$C$7,BD!$A$3:$A$5001,"&lt;="&amp;$B157,BD!$P$3:$P$5001,"&lt;&gt;")=0,"",SUMIFS(BD!$P$3:$P$5001,BD!$B$3:$B$5001,J$128,BD!$A$3:$A$5001,_xlfn.MAXIFS(BD!$A$3:$A$5001,BD!$B$3:$B$5001,J$128,BD!$A$3:$A$5001,"&gt;="&amp;$C$7,BD!$A$3:$A$5001,"&lt;="&amp;$B157,BD!$P$3:$P$5001,"&lt;&gt;"))))</f>
        <v/>
      </c>
      <c r="K157" s="54" t="str">
        <f>IF(OR($B157="",$A157&gt;$B$9,K$128=""),"",IF(COUNTIFS(BD!$B$3:$B$5001,K$128,BD!$A$3:$A$5001,"&gt;="&amp;$C$7,BD!$A$3:$A$5001,"&lt;="&amp;$B157,BD!$P$3:$P$5001,"&lt;&gt;")=0,"",SUMIFS(BD!$P$3:$P$5001,BD!$B$3:$B$5001,K$128,BD!$A$3:$A$5001,_xlfn.MAXIFS(BD!$A$3:$A$5001,BD!$B$3:$B$5001,K$128,BD!$A$3:$A$5001,"&gt;="&amp;$C$7,BD!$A$3:$A$5001,"&lt;="&amp;$B157,BD!$P$3:$P$5001,"&lt;&gt;"))))</f>
        <v/>
      </c>
      <c r="L157" s="54" t="str">
        <f>IF(OR($B157="",$A157&gt;$B$9,L$128=""),"",IF(COUNTIFS(BD!$B$3:$B$5001,L$128,BD!$A$3:$A$5001,"&gt;="&amp;$C$7,BD!$A$3:$A$5001,"&lt;="&amp;$B157,BD!$P$3:$P$5001,"&lt;&gt;")=0,"",SUMIFS(BD!$P$3:$P$5001,BD!$B$3:$B$5001,L$128,BD!$A$3:$A$5001,_xlfn.MAXIFS(BD!$A$3:$A$5001,BD!$B$3:$B$5001,L$128,BD!$A$3:$A$5001,"&gt;="&amp;$C$7,BD!$A$3:$A$5001,"&lt;="&amp;$B157,BD!$P$3:$P$5001,"&lt;&gt;"))))</f>
        <v/>
      </c>
      <c r="M157" s="54" t="str">
        <f>IF(OR($B157="",$A157&gt;$B$9,M$128=""),"",IF(COUNTIFS(BD!$B$3:$B$5001,M$128,BD!$A$3:$A$5001,"&gt;="&amp;$C$7,BD!$A$3:$A$5001,"&lt;="&amp;$B157,BD!$P$3:$P$5001,"&lt;&gt;")=0,"",SUMIFS(BD!$P$3:$P$5001,BD!$B$3:$B$5001,M$128,BD!$A$3:$A$5001,_xlfn.MAXIFS(BD!$A$3:$A$5001,BD!$B$3:$B$5001,M$128,BD!$A$3:$A$5001,"&gt;="&amp;$C$7,BD!$A$3:$A$5001,"&lt;="&amp;$B157,BD!$P$3:$P$5001,"&lt;&gt;"))))</f>
        <v/>
      </c>
      <c r="N157" s="54" t="str">
        <f>IF(OR($B157="",$A157&gt;$B$9,N$128=""),"",IF(COUNTIFS(BD!$B$3:$B$5001,N$128,BD!$A$3:$A$5001,"&gt;="&amp;$C$7,BD!$A$3:$A$5001,"&lt;="&amp;$B157,BD!$P$3:$P$5001,"&lt;&gt;")=0,"",SUMIFS(BD!$P$3:$P$5001,BD!$B$3:$B$5001,N$128,BD!$A$3:$A$5001,_xlfn.MAXIFS(BD!$A$3:$A$5001,BD!$B$3:$B$5001,N$128,BD!$A$3:$A$5001,"&gt;="&amp;$C$7,BD!$A$3:$A$5001,"&lt;="&amp;$B157,BD!$P$3:$P$5001,"&lt;&gt;"))))</f>
        <v/>
      </c>
      <c r="O157" s="54" t="str">
        <f>IF(OR($B157="",$A157&gt;$B$9,O$128=""),"",IF(COUNTIFS(BD!$B$3:$B$5001,O$128,BD!$A$3:$A$5001,"&gt;="&amp;$C$7,BD!$A$3:$A$5001,"&lt;="&amp;$B157,BD!$P$3:$P$5001,"&lt;&gt;")=0,"",SUMIFS(BD!$P$3:$P$5001,BD!$B$3:$B$5001,O$128,BD!$A$3:$A$5001,_xlfn.MAXIFS(BD!$A$3:$A$5001,BD!$B$3:$B$5001,O$128,BD!$A$3:$A$5001,"&gt;="&amp;$C$7,BD!$A$3:$A$5001,"&lt;="&amp;$B157,BD!$P$3:$P$5001,"&lt;&gt;"))))</f>
        <v/>
      </c>
      <c r="P157" s="54" t="str">
        <f>IF(OR($B157="",$A157&gt;$B$9,P$128=""),"",IF(COUNTIFS(BD!$B$3:$B$5001,P$128,BD!$A$3:$A$5001,"&gt;="&amp;$C$7,BD!$A$3:$A$5001,"&lt;="&amp;$B157,BD!$P$3:$P$5001,"&lt;&gt;")=0,"",SUMIFS(BD!$P$3:$P$5001,BD!$B$3:$B$5001,P$128,BD!$A$3:$A$5001,_xlfn.MAXIFS(BD!$A$3:$A$5001,BD!$B$3:$B$5001,P$128,BD!$A$3:$A$5001,"&gt;="&amp;$C$7,BD!$A$3:$A$5001,"&lt;="&amp;$B157,BD!$P$3:$P$5001,"&lt;&gt;"))))</f>
        <v/>
      </c>
      <c r="Q157" s="54" t="str">
        <f>IF(OR($B157="",$A157&gt;$B$9,Q$128=""),"",IF(COUNTIFS(BD!$B$3:$B$5001,Q$128,BD!$A$3:$A$5001,"&gt;="&amp;$C$7,BD!$A$3:$A$5001,"&lt;="&amp;$B157,BD!$P$3:$P$5001,"&lt;&gt;")=0,"",SUMIFS(BD!$P$3:$P$5001,BD!$B$3:$B$5001,Q$128,BD!$A$3:$A$5001,_xlfn.MAXIFS(BD!$A$3:$A$5001,BD!$B$3:$B$5001,Q$128,BD!$A$3:$A$5001,"&gt;="&amp;$C$7,BD!$A$3:$A$5001,"&lt;="&amp;$B157,BD!$P$3:$P$5001,"&lt;&gt;"))))</f>
        <v/>
      </c>
      <c r="R157" s="54" t="str">
        <f>IF(OR($B157="",$A157&gt;$B$9,R$128=""),"",IF(COUNTIFS(BD!$B$3:$B$5001,R$128,BD!$A$3:$A$5001,"&gt;="&amp;$C$7,BD!$A$3:$A$5001,"&lt;="&amp;$B157,BD!$P$3:$P$5001,"&lt;&gt;")=0,"",SUMIFS(BD!$P$3:$P$5001,BD!$B$3:$B$5001,R$128,BD!$A$3:$A$5001,_xlfn.MAXIFS(BD!$A$3:$A$5001,BD!$B$3:$B$5001,R$128,BD!$A$3:$A$5001,"&gt;="&amp;$C$7,BD!$A$3:$A$5001,"&lt;="&amp;$B157,BD!$P$3:$P$5001,"&lt;&gt;"))))</f>
        <v/>
      </c>
      <c r="S157" s="54" t="str">
        <f>IF(OR($B157="",$A157&gt;$B$9,S$128=""),"",IF(COUNTIFS(BD!$B$3:$B$5001,S$128,BD!$A$3:$A$5001,"&gt;="&amp;$C$7,BD!$A$3:$A$5001,"&lt;="&amp;$B157,BD!$P$3:$P$5001,"&lt;&gt;")=0,"",SUMIFS(BD!$P$3:$P$5001,BD!$B$3:$B$5001,S$128,BD!$A$3:$A$5001,_xlfn.MAXIFS(BD!$A$3:$A$5001,BD!$B$3:$B$5001,S$128,BD!$A$3:$A$5001,"&gt;="&amp;$C$7,BD!$A$3:$A$5001,"&lt;="&amp;$B157,BD!$P$3:$P$5001,"&lt;&gt;"))))</f>
        <v/>
      </c>
      <c r="T157" s="54" t="str">
        <f>IF(OR($B157="",$A157&gt;$B$9,T$128=""),"",IF(COUNTIFS(BD!$B$3:$B$5001,T$128,BD!$A$3:$A$5001,"&gt;="&amp;$C$7,BD!$A$3:$A$5001,"&lt;="&amp;$B157,BD!$P$3:$P$5001,"&lt;&gt;")=0,"",SUMIFS(BD!$P$3:$P$5001,BD!$B$3:$B$5001,T$128,BD!$A$3:$A$5001,_xlfn.MAXIFS(BD!$A$3:$A$5001,BD!$B$3:$B$5001,T$128,BD!$A$3:$A$5001,"&gt;="&amp;$C$7,BD!$A$3:$A$5001,"&lt;="&amp;$B157,BD!$P$3:$P$5001,"&lt;&gt;"))))</f>
        <v/>
      </c>
      <c r="U157" s="54" t="str">
        <f>IF(OR($B157="",$A157&gt;$B$9,U$128=""),"",IF(COUNTIFS(BD!$B$3:$B$5001,U$128,BD!$A$3:$A$5001,"&gt;="&amp;$C$7,BD!$A$3:$A$5001,"&lt;="&amp;$B157,BD!$P$3:$P$5001,"&lt;&gt;")=0,"",SUMIFS(BD!$P$3:$P$5001,BD!$B$3:$B$5001,U$128,BD!$A$3:$A$5001,_xlfn.MAXIFS(BD!$A$3:$A$5001,BD!$B$3:$B$5001,U$128,BD!$A$3:$A$5001,"&gt;="&amp;$C$7,BD!$A$3:$A$5001,"&lt;="&amp;$B157,BD!$P$3:$P$5001,"&lt;&gt;"))))</f>
        <v/>
      </c>
      <c r="V157" s="54" t="str">
        <f>IF(OR($B157="",$A157&gt;$B$9,V$128=""),"",IF(COUNTIFS(BD!$B$3:$B$5001,V$128,BD!$A$3:$A$5001,"&gt;="&amp;$C$7,BD!$A$3:$A$5001,"&lt;="&amp;$B157,BD!$P$3:$P$5001,"&lt;&gt;")=0,"",SUMIFS(BD!$P$3:$P$5001,BD!$B$3:$B$5001,V$128,BD!$A$3:$A$5001,_xlfn.MAXIFS(BD!$A$3:$A$5001,BD!$B$3:$B$5001,V$128,BD!$A$3:$A$5001,"&gt;="&amp;$C$7,BD!$A$3:$A$5001,"&lt;="&amp;$B157,BD!$P$3:$P$5001,"&lt;&gt;"))))</f>
        <v/>
      </c>
    </row>
    <row r="158">
      <c r="A158" s="48">
        <v>30</v>
      </c>
      <c r="B158" s="53">
        <f>$B$41</f>
        <v>46325</v>
      </c>
      <c r="C158" s="54" t="str">
        <f>IF(OR($B158="",$A158&gt;$B$9,C$128=""),"",IF(COUNTIFS(BD!$B$3:$B$5001,C$128,BD!$A$3:$A$5001,"&gt;="&amp;$C$7,BD!$A$3:$A$5001,"&lt;="&amp;$B158,BD!$P$3:$P$5001,"&lt;&gt;")=0,"",SUMIFS(BD!$P$3:$P$5001,BD!$B$3:$B$5001,C$128,BD!$A$3:$A$5001,_xlfn.MAXIFS(BD!$A$3:$A$5001,BD!$B$3:$B$5001,C$128,BD!$A$3:$A$5001,"&gt;="&amp;$C$7,BD!$A$3:$A$5001,"&lt;="&amp;$B158,BD!$P$3:$P$5001,"&lt;&gt;"))))</f>
        <v/>
      </c>
      <c r="D158" s="54" t="str">
        <f>IF(OR($B158="",$A158&gt;$B$9,D$128=""),"",IF(COUNTIFS(BD!$B$3:$B$5001,D$128,BD!$A$3:$A$5001,"&gt;="&amp;$C$7,BD!$A$3:$A$5001,"&lt;="&amp;$B158,BD!$P$3:$P$5001,"&lt;&gt;")=0,"",SUMIFS(BD!$P$3:$P$5001,BD!$B$3:$B$5001,D$128,BD!$A$3:$A$5001,_xlfn.MAXIFS(BD!$A$3:$A$5001,BD!$B$3:$B$5001,D$128,BD!$A$3:$A$5001,"&gt;="&amp;$C$7,BD!$A$3:$A$5001,"&lt;="&amp;$B158,BD!$P$3:$P$5001,"&lt;&gt;"))))</f>
        <v/>
      </c>
      <c r="E158" s="54" t="str">
        <f>IF(OR($B158="",$A158&gt;$B$9,E$128=""),"",IF(COUNTIFS(BD!$B$3:$B$5001,E$128,BD!$A$3:$A$5001,"&gt;="&amp;$C$7,BD!$A$3:$A$5001,"&lt;="&amp;$B158,BD!$P$3:$P$5001,"&lt;&gt;")=0,"",SUMIFS(BD!$P$3:$P$5001,BD!$B$3:$B$5001,E$128,BD!$A$3:$A$5001,_xlfn.MAXIFS(BD!$A$3:$A$5001,BD!$B$3:$B$5001,E$128,BD!$A$3:$A$5001,"&gt;="&amp;$C$7,BD!$A$3:$A$5001,"&lt;="&amp;$B158,BD!$P$3:$P$5001,"&lt;&gt;"))))</f>
        <v/>
      </c>
      <c r="F158" s="54" t="str">
        <f>IF(OR($B158="",$A158&gt;$B$9,F$128=""),"",IF(COUNTIFS(BD!$B$3:$B$5001,F$128,BD!$A$3:$A$5001,"&gt;="&amp;$C$7,BD!$A$3:$A$5001,"&lt;="&amp;$B158,BD!$P$3:$P$5001,"&lt;&gt;")=0,"",SUMIFS(BD!$P$3:$P$5001,BD!$B$3:$B$5001,F$128,BD!$A$3:$A$5001,_xlfn.MAXIFS(BD!$A$3:$A$5001,BD!$B$3:$B$5001,F$128,BD!$A$3:$A$5001,"&gt;="&amp;$C$7,BD!$A$3:$A$5001,"&lt;="&amp;$B158,BD!$P$3:$P$5001,"&lt;&gt;"))))</f>
        <v/>
      </c>
      <c r="G158" s="54" t="str">
        <f>IF(OR($B158="",$A158&gt;$B$9,G$128=""),"",IF(COUNTIFS(BD!$B$3:$B$5001,G$128,BD!$A$3:$A$5001,"&gt;="&amp;$C$7,BD!$A$3:$A$5001,"&lt;="&amp;$B158,BD!$P$3:$P$5001,"&lt;&gt;")=0,"",SUMIFS(BD!$P$3:$P$5001,BD!$B$3:$B$5001,G$128,BD!$A$3:$A$5001,_xlfn.MAXIFS(BD!$A$3:$A$5001,BD!$B$3:$B$5001,G$128,BD!$A$3:$A$5001,"&gt;="&amp;$C$7,BD!$A$3:$A$5001,"&lt;="&amp;$B158,BD!$P$3:$P$5001,"&lt;&gt;"))))</f>
        <v/>
      </c>
      <c r="H158" s="54" t="str">
        <f>IF(OR($B158="",$A158&gt;$B$9,H$128=""),"",IF(COUNTIFS(BD!$B$3:$B$5001,H$128,BD!$A$3:$A$5001,"&gt;="&amp;$C$7,BD!$A$3:$A$5001,"&lt;="&amp;$B158,BD!$P$3:$P$5001,"&lt;&gt;")=0,"",SUMIFS(BD!$P$3:$P$5001,BD!$B$3:$B$5001,H$128,BD!$A$3:$A$5001,_xlfn.MAXIFS(BD!$A$3:$A$5001,BD!$B$3:$B$5001,H$128,BD!$A$3:$A$5001,"&gt;="&amp;$C$7,BD!$A$3:$A$5001,"&lt;="&amp;$B158,BD!$P$3:$P$5001,"&lt;&gt;"))))</f>
        <v/>
      </c>
      <c r="I158" s="54" t="str">
        <f>IF(OR($B158="",$A158&gt;$B$9,I$128=""),"",IF(COUNTIFS(BD!$B$3:$B$5001,I$128,BD!$A$3:$A$5001,"&gt;="&amp;$C$7,BD!$A$3:$A$5001,"&lt;="&amp;$B158,BD!$P$3:$P$5001,"&lt;&gt;")=0,"",SUMIFS(BD!$P$3:$P$5001,BD!$B$3:$B$5001,I$128,BD!$A$3:$A$5001,_xlfn.MAXIFS(BD!$A$3:$A$5001,BD!$B$3:$B$5001,I$128,BD!$A$3:$A$5001,"&gt;="&amp;$C$7,BD!$A$3:$A$5001,"&lt;="&amp;$B158,BD!$P$3:$P$5001,"&lt;&gt;"))))</f>
        <v/>
      </c>
      <c r="J158" s="54" t="str">
        <f>IF(OR($B158="",$A158&gt;$B$9,J$128=""),"",IF(COUNTIFS(BD!$B$3:$B$5001,J$128,BD!$A$3:$A$5001,"&gt;="&amp;$C$7,BD!$A$3:$A$5001,"&lt;="&amp;$B158,BD!$P$3:$P$5001,"&lt;&gt;")=0,"",SUMIFS(BD!$P$3:$P$5001,BD!$B$3:$B$5001,J$128,BD!$A$3:$A$5001,_xlfn.MAXIFS(BD!$A$3:$A$5001,BD!$B$3:$B$5001,J$128,BD!$A$3:$A$5001,"&gt;="&amp;$C$7,BD!$A$3:$A$5001,"&lt;="&amp;$B158,BD!$P$3:$P$5001,"&lt;&gt;"))))</f>
        <v/>
      </c>
      <c r="K158" s="54" t="str">
        <f>IF(OR($B158="",$A158&gt;$B$9,K$128=""),"",IF(COUNTIFS(BD!$B$3:$B$5001,K$128,BD!$A$3:$A$5001,"&gt;="&amp;$C$7,BD!$A$3:$A$5001,"&lt;="&amp;$B158,BD!$P$3:$P$5001,"&lt;&gt;")=0,"",SUMIFS(BD!$P$3:$P$5001,BD!$B$3:$B$5001,K$128,BD!$A$3:$A$5001,_xlfn.MAXIFS(BD!$A$3:$A$5001,BD!$B$3:$B$5001,K$128,BD!$A$3:$A$5001,"&gt;="&amp;$C$7,BD!$A$3:$A$5001,"&lt;="&amp;$B158,BD!$P$3:$P$5001,"&lt;&gt;"))))</f>
        <v/>
      </c>
      <c r="L158" s="54" t="str">
        <f>IF(OR($B158="",$A158&gt;$B$9,L$128=""),"",IF(COUNTIFS(BD!$B$3:$B$5001,L$128,BD!$A$3:$A$5001,"&gt;="&amp;$C$7,BD!$A$3:$A$5001,"&lt;="&amp;$B158,BD!$P$3:$P$5001,"&lt;&gt;")=0,"",SUMIFS(BD!$P$3:$P$5001,BD!$B$3:$B$5001,L$128,BD!$A$3:$A$5001,_xlfn.MAXIFS(BD!$A$3:$A$5001,BD!$B$3:$B$5001,L$128,BD!$A$3:$A$5001,"&gt;="&amp;$C$7,BD!$A$3:$A$5001,"&lt;="&amp;$B158,BD!$P$3:$P$5001,"&lt;&gt;"))))</f>
        <v/>
      </c>
      <c r="M158" s="54" t="str">
        <f>IF(OR($B158="",$A158&gt;$B$9,M$128=""),"",IF(COUNTIFS(BD!$B$3:$B$5001,M$128,BD!$A$3:$A$5001,"&gt;="&amp;$C$7,BD!$A$3:$A$5001,"&lt;="&amp;$B158,BD!$P$3:$P$5001,"&lt;&gt;")=0,"",SUMIFS(BD!$P$3:$P$5001,BD!$B$3:$B$5001,M$128,BD!$A$3:$A$5001,_xlfn.MAXIFS(BD!$A$3:$A$5001,BD!$B$3:$B$5001,M$128,BD!$A$3:$A$5001,"&gt;="&amp;$C$7,BD!$A$3:$A$5001,"&lt;="&amp;$B158,BD!$P$3:$P$5001,"&lt;&gt;"))))</f>
        <v/>
      </c>
      <c r="N158" s="54" t="str">
        <f>IF(OR($B158="",$A158&gt;$B$9,N$128=""),"",IF(COUNTIFS(BD!$B$3:$B$5001,N$128,BD!$A$3:$A$5001,"&gt;="&amp;$C$7,BD!$A$3:$A$5001,"&lt;="&amp;$B158,BD!$P$3:$P$5001,"&lt;&gt;")=0,"",SUMIFS(BD!$P$3:$P$5001,BD!$B$3:$B$5001,N$128,BD!$A$3:$A$5001,_xlfn.MAXIFS(BD!$A$3:$A$5001,BD!$B$3:$B$5001,N$128,BD!$A$3:$A$5001,"&gt;="&amp;$C$7,BD!$A$3:$A$5001,"&lt;="&amp;$B158,BD!$P$3:$P$5001,"&lt;&gt;"))))</f>
        <v/>
      </c>
      <c r="O158" s="54" t="str">
        <f>IF(OR($B158="",$A158&gt;$B$9,O$128=""),"",IF(COUNTIFS(BD!$B$3:$B$5001,O$128,BD!$A$3:$A$5001,"&gt;="&amp;$C$7,BD!$A$3:$A$5001,"&lt;="&amp;$B158,BD!$P$3:$P$5001,"&lt;&gt;")=0,"",SUMIFS(BD!$P$3:$P$5001,BD!$B$3:$B$5001,O$128,BD!$A$3:$A$5001,_xlfn.MAXIFS(BD!$A$3:$A$5001,BD!$B$3:$B$5001,O$128,BD!$A$3:$A$5001,"&gt;="&amp;$C$7,BD!$A$3:$A$5001,"&lt;="&amp;$B158,BD!$P$3:$P$5001,"&lt;&gt;"))))</f>
        <v/>
      </c>
      <c r="P158" s="54" t="str">
        <f>IF(OR($B158="",$A158&gt;$B$9,P$128=""),"",IF(COUNTIFS(BD!$B$3:$B$5001,P$128,BD!$A$3:$A$5001,"&gt;="&amp;$C$7,BD!$A$3:$A$5001,"&lt;="&amp;$B158,BD!$P$3:$P$5001,"&lt;&gt;")=0,"",SUMIFS(BD!$P$3:$P$5001,BD!$B$3:$B$5001,P$128,BD!$A$3:$A$5001,_xlfn.MAXIFS(BD!$A$3:$A$5001,BD!$B$3:$B$5001,P$128,BD!$A$3:$A$5001,"&gt;="&amp;$C$7,BD!$A$3:$A$5001,"&lt;="&amp;$B158,BD!$P$3:$P$5001,"&lt;&gt;"))))</f>
        <v/>
      </c>
      <c r="Q158" s="54" t="str">
        <f>IF(OR($B158="",$A158&gt;$B$9,Q$128=""),"",IF(COUNTIFS(BD!$B$3:$B$5001,Q$128,BD!$A$3:$A$5001,"&gt;="&amp;$C$7,BD!$A$3:$A$5001,"&lt;="&amp;$B158,BD!$P$3:$P$5001,"&lt;&gt;")=0,"",SUMIFS(BD!$P$3:$P$5001,BD!$B$3:$B$5001,Q$128,BD!$A$3:$A$5001,_xlfn.MAXIFS(BD!$A$3:$A$5001,BD!$B$3:$B$5001,Q$128,BD!$A$3:$A$5001,"&gt;="&amp;$C$7,BD!$A$3:$A$5001,"&lt;="&amp;$B158,BD!$P$3:$P$5001,"&lt;&gt;"))))</f>
        <v/>
      </c>
      <c r="R158" s="54" t="str">
        <f>IF(OR($B158="",$A158&gt;$B$9,R$128=""),"",IF(COUNTIFS(BD!$B$3:$B$5001,R$128,BD!$A$3:$A$5001,"&gt;="&amp;$C$7,BD!$A$3:$A$5001,"&lt;="&amp;$B158,BD!$P$3:$P$5001,"&lt;&gt;")=0,"",SUMIFS(BD!$P$3:$P$5001,BD!$B$3:$B$5001,R$128,BD!$A$3:$A$5001,_xlfn.MAXIFS(BD!$A$3:$A$5001,BD!$B$3:$B$5001,R$128,BD!$A$3:$A$5001,"&gt;="&amp;$C$7,BD!$A$3:$A$5001,"&lt;="&amp;$B158,BD!$P$3:$P$5001,"&lt;&gt;"))))</f>
        <v/>
      </c>
      <c r="S158" s="54" t="str">
        <f>IF(OR($B158="",$A158&gt;$B$9,S$128=""),"",IF(COUNTIFS(BD!$B$3:$B$5001,S$128,BD!$A$3:$A$5001,"&gt;="&amp;$C$7,BD!$A$3:$A$5001,"&lt;="&amp;$B158,BD!$P$3:$P$5001,"&lt;&gt;")=0,"",SUMIFS(BD!$P$3:$P$5001,BD!$B$3:$B$5001,S$128,BD!$A$3:$A$5001,_xlfn.MAXIFS(BD!$A$3:$A$5001,BD!$B$3:$B$5001,S$128,BD!$A$3:$A$5001,"&gt;="&amp;$C$7,BD!$A$3:$A$5001,"&lt;="&amp;$B158,BD!$P$3:$P$5001,"&lt;&gt;"))))</f>
        <v/>
      </c>
      <c r="T158" s="54" t="str">
        <f>IF(OR($B158="",$A158&gt;$B$9,T$128=""),"",IF(COUNTIFS(BD!$B$3:$B$5001,T$128,BD!$A$3:$A$5001,"&gt;="&amp;$C$7,BD!$A$3:$A$5001,"&lt;="&amp;$B158,BD!$P$3:$P$5001,"&lt;&gt;")=0,"",SUMIFS(BD!$P$3:$P$5001,BD!$B$3:$B$5001,T$128,BD!$A$3:$A$5001,_xlfn.MAXIFS(BD!$A$3:$A$5001,BD!$B$3:$B$5001,T$128,BD!$A$3:$A$5001,"&gt;="&amp;$C$7,BD!$A$3:$A$5001,"&lt;="&amp;$B158,BD!$P$3:$P$5001,"&lt;&gt;"))))</f>
        <v/>
      </c>
      <c r="U158" s="54" t="str">
        <f>IF(OR($B158="",$A158&gt;$B$9,U$128=""),"",IF(COUNTIFS(BD!$B$3:$B$5001,U$128,BD!$A$3:$A$5001,"&gt;="&amp;$C$7,BD!$A$3:$A$5001,"&lt;="&amp;$B158,BD!$P$3:$P$5001,"&lt;&gt;")=0,"",SUMIFS(BD!$P$3:$P$5001,BD!$B$3:$B$5001,U$128,BD!$A$3:$A$5001,_xlfn.MAXIFS(BD!$A$3:$A$5001,BD!$B$3:$B$5001,U$128,BD!$A$3:$A$5001,"&gt;="&amp;$C$7,BD!$A$3:$A$5001,"&lt;="&amp;$B158,BD!$P$3:$P$5001,"&lt;&gt;"))))</f>
        <v/>
      </c>
      <c r="V158" s="54" t="str">
        <f>IF(OR($B158="",$A158&gt;$B$9,V$128=""),"",IF(COUNTIFS(BD!$B$3:$B$5001,V$128,BD!$A$3:$A$5001,"&gt;="&amp;$C$7,BD!$A$3:$A$5001,"&lt;="&amp;$B158,BD!$P$3:$P$5001,"&lt;&gt;")=0,"",SUMIFS(BD!$P$3:$P$5001,BD!$B$3:$B$5001,V$128,BD!$A$3:$A$5001,_xlfn.MAXIFS(BD!$A$3:$A$5001,BD!$B$3:$B$5001,V$128,BD!$A$3:$A$5001,"&gt;="&amp;$C$7,BD!$A$3:$A$5001,"&lt;="&amp;$B158,BD!$P$3:$P$5001,"&lt;&gt;"))))</f>
        <v/>
      </c>
    </row>
    <row r="159">
      <c r="A159" s="48">
        <v>31</v>
      </c>
      <c r="B159" s="53">
        <f>$B$42</f>
        <v>46326</v>
      </c>
      <c r="C159" s="54" t="str">
        <f>IF(OR($B159="",$A159&gt;$B$9,C$128=""),"",IF(COUNTIFS(BD!$B$3:$B$5001,C$128,BD!$A$3:$A$5001,"&gt;="&amp;$C$7,BD!$A$3:$A$5001,"&lt;="&amp;$B159,BD!$P$3:$P$5001,"&lt;&gt;")=0,"",SUMIFS(BD!$P$3:$P$5001,BD!$B$3:$B$5001,C$128,BD!$A$3:$A$5001,_xlfn.MAXIFS(BD!$A$3:$A$5001,BD!$B$3:$B$5001,C$128,BD!$A$3:$A$5001,"&gt;="&amp;$C$7,BD!$A$3:$A$5001,"&lt;="&amp;$B159,BD!$P$3:$P$5001,"&lt;&gt;"))))</f>
        <v/>
      </c>
      <c r="D159" s="54" t="str">
        <f>IF(OR($B159="",$A159&gt;$B$9,D$128=""),"",IF(COUNTIFS(BD!$B$3:$B$5001,D$128,BD!$A$3:$A$5001,"&gt;="&amp;$C$7,BD!$A$3:$A$5001,"&lt;="&amp;$B159,BD!$P$3:$P$5001,"&lt;&gt;")=0,"",SUMIFS(BD!$P$3:$P$5001,BD!$B$3:$B$5001,D$128,BD!$A$3:$A$5001,_xlfn.MAXIFS(BD!$A$3:$A$5001,BD!$B$3:$B$5001,D$128,BD!$A$3:$A$5001,"&gt;="&amp;$C$7,BD!$A$3:$A$5001,"&lt;="&amp;$B159,BD!$P$3:$P$5001,"&lt;&gt;"))))</f>
        <v/>
      </c>
      <c r="E159" s="54" t="str">
        <f>IF(OR($B159="",$A159&gt;$B$9,E$128=""),"",IF(COUNTIFS(BD!$B$3:$B$5001,E$128,BD!$A$3:$A$5001,"&gt;="&amp;$C$7,BD!$A$3:$A$5001,"&lt;="&amp;$B159,BD!$P$3:$P$5001,"&lt;&gt;")=0,"",SUMIFS(BD!$P$3:$P$5001,BD!$B$3:$B$5001,E$128,BD!$A$3:$A$5001,_xlfn.MAXIFS(BD!$A$3:$A$5001,BD!$B$3:$B$5001,E$128,BD!$A$3:$A$5001,"&gt;="&amp;$C$7,BD!$A$3:$A$5001,"&lt;="&amp;$B159,BD!$P$3:$P$5001,"&lt;&gt;"))))</f>
        <v/>
      </c>
      <c r="F159" s="54" t="str">
        <f>IF(OR($B159="",$A159&gt;$B$9,F$128=""),"",IF(COUNTIFS(BD!$B$3:$B$5001,F$128,BD!$A$3:$A$5001,"&gt;="&amp;$C$7,BD!$A$3:$A$5001,"&lt;="&amp;$B159,BD!$P$3:$P$5001,"&lt;&gt;")=0,"",SUMIFS(BD!$P$3:$P$5001,BD!$B$3:$B$5001,F$128,BD!$A$3:$A$5001,_xlfn.MAXIFS(BD!$A$3:$A$5001,BD!$B$3:$B$5001,F$128,BD!$A$3:$A$5001,"&gt;="&amp;$C$7,BD!$A$3:$A$5001,"&lt;="&amp;$B159,BD!$P$3:$P$5001,"&lt;&gt;"))))</f>
        <v/>
      </c>
      <c r="G159" s="54" t="str">
        <f>IF(OR($B159="",$A159&gt;$B$9,G$128=""),"",IF(COUNTIFS(BD!$B$3:$B$5001,G$128,BD!$A$3:$A$5001,"&gt;="&amp;$C$7,BD!$A$3:$A$5001,"&lt;="&amp;$B159,BD!$P$3:$P$5001,"&lt;&gt;")=0,"",SUMIFS(BD!$P$3:$P$5001,BD!$B$3:$B$5001,G$128,BD!$A$3:$A$5001,_xlfn.MAXIFS(BD!$A$3:$A$5001,BD!$B$3:$B$5001,G$128,BD!$A$3:$A$5001,"&gt;="&amp;$C$7,BD!$A$3:$A$5001,"&lt;="&amp;$B159,BD!$P$3:$P$5001,"&lt;&gt;"))))</f>
        <v/>
      </c>
      <c r="H159" s="54" t="str">
        <f>IF(OR($B159="",$A159&gt;$B$9,H$128=""),"",IF(COUNTIFS(BD!$B$3:$B$5001,H$128,BD!$A$3:$A$5001,"&gt;="&amp;$C$7,BD!$A$3:$A$5001,"&lt;="&amp;$B159,BD!$P$3:$P$5001,"&lt;&gt;")=0,"",SUMIFS(BD!$P$3:$P$5001,BD!$B$3:$B$5001,H$128,BD!$A$3:$A$5001,_xlfn.MAXIFS(BD!$A$3:$A$5001,BD!$B$3:$B$5001,H$128,BD!$A$3:$A$5001,"&gt;="&amp;$C$7,BD!$A$3:$A$5001,"&lt;="&amp;$B159,BD!$P$3:$P$5001,"&lt;&gt;"))))</f>
        <v/>
      </c>
      <c r="I159" s="54" t="str">
        <f>IF(OR($B159="",$A159&gt;$B$9,I$128=""),"",IF(COUNTIFS(BD!$B$3:$B$5001,I$128,BD!$A$3:$A$5001,"&gt;="&amp;$C$7,BD!$A$3:$A$5001,"&lt;="&amp;$B159,BD!$P$3:$P$5001,"&lt;&gt;")=0,"",SUMIFS(BD!$P$3:$P$5001,BD!$B$3:$B$5001,I$128,BD!$A$3:$A$5001,_xlfn.MAXIFS(BD!$A$3:$A$5001,BD!$B$3:$B$5001,I$128,BD!$A$3:$A$5001,"&gt;="&amp;$C$7,BD!$A$3:$A$5001,"&lt;="&amp;$B159,BD!$P$3:$P$5001,"&lt;&gt;"))))</f>
        <v/>
      </c>
      <c r="J159" s="54" t="str">
        <f>IF(OR($B159="",$A159&gt;$B$9,J$128=""),"",IF(COUNTIFS(BD!$B$3:$B$5001,J$128,BD!$A$3:$A$5001,"&gt;="&amp;$C$7,BD!$A$3:$A$5001,"&lt;="&amp;$B159,BD!$P$3:$P$5001,"&lt;&gt;")=0,"",SUMIFS(BD!$P$3:$P$5001,BD!$B$3:$B$5001,J$128,BD!$A$3:$A$5001,_xlfn.MAXIFS(BD!$A$3:$A$5001,BD!$B$3:$B$5001,J$128,BD!$A$3:$A$5001,"&gt;="&amp;$C$7,BD!$A$3:$A$5001,"&lt;="&amp;$B159,BD!$P$3:$P$5001,"&lt;&gt;"))))</f>
        <v/>
      </c>
      <c r="K159" s="54" t="str">
        <f>IF(OR($B159="",$A159&gt;$B$9,K$128=""),"",IF(COUNTIFS(BD!$B$3:$B$5001,K$128,BD!$A$3:$A$5001,"&gt;="&amp;$C$7,BD!$A$3:$A$5001,"&lt;="&amp;$B159,BD!$P$3:$P$5001,"&lt;&gt;")=0,"",SUMIFS(BD!$P$3:$P$5001,BD!$B$3:$B$5001,K$128,BD!$A$3:$A$5001,_xlfn.MAXIFS(BD!$A$3:$A$5001,BD!$B$3:$B$5001,K$128,BD!$A$3:$A$5001,"&gt;="&amp;$C$7,BD!$A$3:$A$5001,"&lt;="&amp;$B159,BD!$P$3:$P$5001,"&lt;&gt;"))))</f>
        <v/>
      </c>
      <c r="L159" s="54" t="str">
        <f>IF(OR($B159="",$A159&gt;$B$9,L$128=""),"",IF(COUNTIFS(BD!$B$3:$B$5001,L$128,BD!$A$3:$A$5001,"&gt;="&amp;$C$7,BD!$A$3:$A$5001,"&lt;="&amp;$B159,BD!$P$3:$P$5001,"&lt;&gt;")=0,"",SUMIFS(BD!$P$3:$P$5001,BD!$B$3:$B$5001,L$128,BD!$A$3:$A$5001,_xlfn.MAXIFS(BD!$A$3:$A$5001,BD!$B$3:$B$5001,L$128,BD!$A$3:$A$5001,"&gt;="&amp;$C$7,BD!$A$3:$A$5001,"&lt;="&amp;$B159,BD!$P$3:$P$5001,"&lt;&gt;"))))</f>
        <v/>
      </c>
      <c r="M159" s="54" t="str">
        <f>IF(OR($B159="",$A159&gt;$B$9,M$128=""),"",IF(COUNTIFS(BD!$B$3:$B$5001,M$128,BD!$A$3:$A$5001,"&gt;="&amp;$C$7,BD!$A$3:$A$5001,"&lt;="&amp;$B159,BD!$P$3:$P$5001,"&lt;&gt;")=0,"",SUMIFS(BD!$P$3:$P$5001,BD!$B$3:$B$5001,M$128,BD!$A$3:$A$5001,_xlfn.MAXIFS(BD!$A$3:$A$5001,BD!$B$3:$B$5001,M$128,BD!$A$3:$A$5001,"&gt;="&amp;$C$7,BD!$A$3:$A$5001,"&lt;="&amp;$B159,BD!$P$3:$P$5001,"&lt;&gt;"))))</f>
        <v/>
      </c>
      <c r="N159" s="54" t="str">
        <f>IF(OR($B159="",$A159&gt;$B$9,N$128=""),"",IF(COUNTIFS(BD!$B$3:$B$5001,N$128,BD!$A$3:$A$5001,"&gt;="&amp;$C$7,BD!$A$3:$A$5001,"&lt;="&amp;$B159,BD!$P$3:$P$5001,"&lt;&gt;")=0,"",SUMIFS(BD!$P$3:$P$5001,BD!$B$3:$B$5001,N$128,BD!$A$3:$A$5001,_xlfn.MAXIFS(BD!$A$3:$A$5001,BD!$B$3:$B$5001,N$128,BD!$A$3:$A$5001,"&gt;="&amp;$C$7,BD!$A$3:$A$5001,"&lt;="&amp;$B159,BD!$P$3:$P$5001,"&lt;&gt;"))))</f>
        <v/>
      </c>
      <c r="O159" s="54" t="str">
        <f>IF(OR($B159="",$A159&gt;$B$9,O$128=""),"",IF(COUNTIFS(BD!$B$3:$B$5001,O$128,BD!$A$3:$A$5001,"&gt;="&amp;$C$7,BD!$A$3:$A$5001,"&lt;="&amp;$B159,BD!$P$3:$P$5001,"&lt;&gt;")=0,"",SUMIFS(BD!$P$3:$P$5001,BD!$B$3:$B$5001,O$128,BD!$A$3:$A$5001,_xlfn.MAXIFS(BD!$A$3:$A$5001,BD!$B$3:$B$5001,O$128,BD!$A$3:$A$5001,"&gt;="&amp;$C$7,BD!$A$3:$A$5001,"&lt;="&amp;$B159,BD!$P$3:$P$5001,"&lt;&gt;"))))</f>
        <v/>
      </c>
      <c r="P159" s="54" t="str">
        <f>IF(OR($B159="",$A159&gt;$B$9,P$128=""),"",IF(COUNTIFS(BD!$B$3:$B$5001,P$128,BD!$A$3:$A$5001,"&gt;="&amp;$C$7,BD!$A$3:$A$5001,"&lt;="&amp;$B159,BD!$P$3:$P$5001,"&lt;&gt;")=0,"",SUMIFS(BD!$P$3:$P$5001,BD!$B$3:$B$5001,P$128,BD!$A$3:$A$5001,_xlfn.MAXIFS(BD!$A$3:$A$5001,BD!$B$3:$B$5001,P$128,BD!$A$3:$A$5001,"&gt;="&amp;$C$7,BD!$A$3:$A$5001,"&lt;="&amp;$B159,BD!$P$3:$P$5001,"&lt;&gt;"))))</f>
        <v/>
      </c>
      <c r="Q159" s="54" t="str">
        <f>IF(OR($B159="",$A159&gt;$B$9,Q$128=""),"",IF(COUNTIFS(BD!$B$3:$B$5001,Q$128,BD!$A$3:$A$5001,"&gt;="&amp;$C$7,BD!$A$3:$A$5001,"&lt;="&amp;$B159,BD!$P$3:$P$5001,"&lt;&gt;")=0,"",SUMIFS(BD!$P$3:$P$5001,BD!$B$3:$B$5001,Q$128,BD!$A$3:$A$5001,_xlfn.MAXIFS(BD!$A$3:$A$5001,BD!$B$3:$B$5001,Q$128,BD!$A$3:$A$5001,"&gt;="&amp;$C$7,BD!$A$3:$A$5001,"&lt;="&amp;$B159,BD!$P$3:$P$5001,"&lt;&gt;"))))</f>
        <v/>
      </c>
      <c r="R159" s="54" t="str">
        <f>IF(OR($B159="",$A159&gt;$B$9,R$128=""),"",IF(COUNTIFS(BD!$B$3:$B$5001,R$128,BD!$A$3:$A$5001,"&gt;="&amp;$C$7,BD!$A$3:$A$5001,"&lt;="&amp;$B159,BD!$P$3:$P$5001,"&lt;&gt;")=0,"",SUMIFS(BD!$P$3:$P$5001,BD!$B$3:$B$5001,R$128,BD!$A$3:$A$5001,_xlfn.MAXIFS(BD!$A$3:$A$5001,BD!$B$3:$B$5001,R$128,BD!$A$3:$A$5001,"&gt;="&amp;$C$7,BD!$A$3:$A$5001,"&lt;="&amp;$B159,BD!$P$3:$P$5001,"&lt;&gt;"))))</f>
        <v/>
      </c>
      <c r="S159" s="54" t="str">
        <f>IF(OR($B159="",$A159&gt;$B$9,S$128=""),"",IF(COUNTIFS(BD!$B$3:$B$5001,S$128,BD!$A$3:$A$5001,"&gt;="&amp;$C$7,BD!$A$3:$A$5001,"&lt;="&amp;$B159,BD!$P$3:$P$5001,"&lt;&gt;")=0,"",SUMIFS(BD!$P$3:$P$5001,BD!$B$3:$B$5001,S$128,BD!$A$3:$A$5001,_xlfn.MAXIFS(BD!$A$3:$A$5001,BD!$B$3:$B$5001,S$128,BD!$A$3:$A$5001,"&gt;="&amp;$C$7,BD!$A$3:$A$5001,"&lt;="&amp;$B159,BD!$P$3:$P$5001,"&lt;&gt;"))))</f>
        <v/>
      </c>
      <c r="T159" s="54" t="str">
        <f>IF(OR($B159="",$A159&gt;$B$9,T$128=""),"",IF(COUNTIFS(BD!$B$3:$B$5001,T$128,BD!$A$3:$A$5001,"&gt;="&amp;$C$7,BD!$A$3:$A$5001,"&lt;="&amp;$B159,BD!$P$3:$P$5001,"&lt;&gt;")=0,"",SUMIFS(BD!$P$3:$P$5001,BD!$B$3:$B$5001,T$128,BD!$A$3:$A$5001,_xlfn.MAXIFS(BD!$A$3:$A$5001,BD!$B$3:$B$5001,T$128,BD!$A$3:$A$5001,"&gt;="&amp;$C$7,BD!$A$3:$A$5001,"&lt;="&amp;$B159,BD!$P$3:$P$5001,"&lt;&gt;"))))</f>
        <v/>
      </c>
      <c r="U159" s="54" t="str">
        <f>IF(OR($B159="",$A159&gt;$B$9,U$128=""),"",IF(COUNTIFS(BD!$B$3:$B$5001,U$128,BD!$A$3:$A$5001,"&gt;="&amp;$C$7,BD!$A$3:$A$5001,"&lt;="&amp;$B159,BD!$P$3:$P$5001,"&lt;&gt;")=0,"",SUMIFS(BD!$P$3:$P$5001,BD!$B$3:$B$5001,U$128,BD!$A$3:$A$5001,_xlfn.MAXIFS(BD!$A$3:$A$5001,BD!$B$3:$B$5001,U$128,BD!$A$3:$A$5001,"&gt;="&amp;$C$7,BD!$A$3:$A$5001,"&lt;="&amp;$B159,BD!$P$3:$P$5001,"&lt;&gt;"))))</f>
        <v/>
      </c>
      <c r="V159" s="54" t="str">
        <f>IF(OR($B159="",$A159&gt;$B$9,V$128=""),"",IF(COUNTIFS(BD!$B$3:$B$5001,V$128,BD!$A$3:$A$5001,"&gt;="&amp;$C$7,BD!$A$3:$A$5001,"&lt;="&amp;$B159,BD!$P$3:$P$5001,"&lt;&gt;")=0,"",SUMIFS(BD!$P$3:$P$5001,BD!$B$3:$B$5001,V$128,BD!$A$3:$A$5001,_xlfn.MAXIFS(BD!$A$3:$A$5001,BD!$B$3:$B$5001,V$128,BD!$A$3:$A$5001,"&gt;="&amp;$C$7,BD!$A$3:$A$5001,"&lt;="&amp;$B159,BD!$P$3:$P$5001,"&lt;&gt;"))))</f>
        <v/>
      </c>
    </row>
    <row r="160">
      <c r="A160" s="55" t="inlineStr">
        <is>
          <t xml:space="preserve">Mês anterior (último)</t>
        </is>
      </c>
      <c r="C160" s="56" t="str">
        <f>IF(C$128="","",IF(COUNTIFS(BD!$B$3:$B$5001,C$128,BD!$A$3:$A$5001,"&gt;="&amp;$C$8,BD!$A$3:$A$5001,"&lt;="&amp;$D$8,BD!$P$3:$P$5001,"&lt;&gt;")=0,"",SUMIFS(BD!$P$3:$P$5001,BD!$B$3:$B$5001,C$128,BD!$A$3:$A$5001,_xlfn.MAXIFS(BD!$A$3:$A$5001,BD!$B$3:$B$5001,C$128,BD!$A$3:$A$5001,"&gt;="&amp;$C$8,BD!$A$3:$A$5001,"&lt;="&amp;$D$8,BD!$P$3:$P$5001,"&lt;&gt;"))))</f>
        <v/>
      </c>
      <c r="D160" s="56" t="str">
        <f>IF(D$128="","",IF(COUNTIFS(BD!$B$3:$B$5001,D$128,BD!$A$3:$A$5001,"&gt;="&amp;$C$8,BD!$A$3:$A$5001,"&lt;="&amp;$D$8,BD!$P$3:$P$5001,"&lt;&gt;")=0,"",SUMIFS(BD!$P$3:$P$5001,BD!$B$3:$B$5001,D$128,BD!$A$3:$A$5001,_xlfn.MAXIFS(BD!$A$3:$A$5001,BD!$B$3:$B$5001,D$128,BD!$A$3:$A$5001,"&gt;="&amp;$C$8,BD!$A$3:$A$5001,"&lt;="&amp;$D$8,BD!$P$3:$P$5001,"&lt;&gt;"))))</f>
        <v/>
      </c>
      <c r="E160" s="56" t="str">
        <f>IF(E$128="","",IF(COUNTIFS(BD!$B$3:$B$5001,E$128,BD!$A$3:$A$5001,"&gt;="&amp;$C$8,BD!$A$3:$A$5001,"&lt;="&amp;$D$8,BD!$P$3:$P$5001,"&lt;&gt;")=0,"",SUMIFS(BD!$P$3:$P$5001,BD!$B$3:$B$5001,E$128,BD!$A$3:$A$5001,_xlfn.MAXIFS(BD!$A$3:$A$5001,BD!$B$3:$B$5001,E$128,BD!$A$3:$A$5001,"&gt;="&amp;$C$8,BD!$A$3:$A$5001,"&lt;="&amp;$D$8,BD!$P$3:$P$5001,"&lt;&gt;"))))</f>
        <v/>
      </c>
      <c r="F160" s="56" t="str">
        <f>IF(F$128="","",IF(COUNTIFS(BD!$B$3:$B$5001,F$128,BD!$A$3:$A$5001,"&gt;="&amp;$C$8,BD!$A$3:$A$5001,"&lt;="&amp;$D$8,BD!$P$3:$P$5001,"&lt;&gt;")=0,"",SUMIFS(BD!$P$3:$P$5001,BD!$B$3:$B$5001,F$128,BD!$A$3:$A$5001,_xlfn.MAXIFS(BD!$A$3:$A$5001,BD!$B$3:$B$5001,F$128,BD!$A$3:$A$5001,"&gt;="&amp;$C$8,BD!$A$3:$A$5001,"&lt;="&amp;$D$8,BD!$P$3:$P$5001,"&lt;&gt;"))))</f>
        <v/>
      </c>
      <c r="G160" s="56" t="str">
        <f>IF(G$128="","",IF(COUNTIFS(BD!$B$3:$B$5001,G$128,BD!$A$3:$A$5001,"&gt;="&amp;$C$8,BD!$A$3:$A$5001,"&lt;="&amp;$D$8,BD!$P$3:$P$5001,"&lt;&gt;")=0,"",SUMIFS(BD!$P$3:$P$5001,BD!$B$3:$B$5001,G$128,BD!$A$3:$A$5001,_xlfn.MAXIFS(BD!$A$3:$A$5001,BD!$B$3:$B$5001,G$128,BD!$A$3:$A$5001,"&gt;="&amp;$C$8,BD!$A$3:$A$5001,"&lt;="&amp;$D$8,BD!$P$3:$P$5001,"&lt;&gt;"))))</f>
        <v/>
      </c>
      <c r="H160" s="56" t="str">
        <f>IF(H$128="","",IF(COUNTIFS(BD!$B$3:$B$5001,H$128,BD!$A$3:$A$5001,"&gt;="&amp;$C$8,BD!$A$3:$A$5001,"&lt;="&amp;$D$8,BD!$P$3:$P$5001,"&lt;&gt;")=0,"",SUMIFS(BD!$P$3:$P$5001,BD!$B$3:$B$5001,H$128,BD!$A$3:$A$5001,_xlfn.MAXIFS(BD!$A$3:$A$5001,BD!$B$3:$B$5001,H$128,BD!$A$3:$A$5001,"&gt;="&amp;$C$8,BD!$A$3:$A$5001,"&lt;="&amp;$D$8,BD!$P$3:$P$5001,"&lt;&gt;"))))</f>
        <v/>
      </c>
      <c r="I160" s="56" t="str">
        <f>IF(I$128="","",IF(COUNTIFS(BD!$B$3:$B$5001,I$128,BD!$A$3:$A$5001,"&gt;="&amp;$C$8,BD!$A$3:$A$5001,"&lt;="&amp;$D$8,BD!$P$3:$P$5001,"&lt;&gt;")=0,"",SUMIFS(BD!$P$3:$P$5001,BD!$B$3:$B$5001,I$128,BD!$A$3:$A$5001,_xlfn.MAXIFS(BD!$A$3:$A$5001,BD!$B$3:$B$5001,I$128,BD!$A$3:$A$5001,"&gt;="&amp;$C$8,BD!$A$3:$A$5001,"&lt;="&amp;$D$8,BD!$P$3:$P$5001,"&lt;&gt;"))))</f>
        <v/>
      </c>
      <c r="J160" s="56" t="str">
        <f>IF(J$128="","",IF(COUNTIFS(BD!$B$3:$B$5001,J$128,BD!$A$3:$A$5001,"&gt;="&amp;$C$8,BD!$A$3:$A$5001,"&lt;="&amp;$D$8,BD!$P$3:$P$5001,"&lt;&gt;")=0,"",SUMIFS(BD!$P$3:$P$5001,BD!$B$3:$B$5001,J$128,BD!$A$3:$A$5001,_xlfn.MAXIFS(BD!$A$3:$A$5001,BD!$B$3:$B$5001,J$128,BD!$A$3:$A$5001,"&gt;="&amp;$C$8,BD!$A$3:$A$5001,"&lt;="&amp;$D$8,BD!$P$3:$P$5001,"&lt;&gt;"))))</f>
        <v/>
      </c>
      <c r="K160" s="56" t="str">
        <f>IF(K$128="","",IF(COUNTIFS(BD!$B$3:$B$5001,K$128,BD!$A$3:$A$5001,"&gt;="&amp;$C$8,BD!$A$3:$A$5001,"&lt;="&amp;$D$8,BD!$P$3:$P$5001,"&lt;&gt;")=0,"",SUMIFS(BD!$P$3:$P$5001,BD!$B$3:$B$5001,K$128,BD!$A$3:$A$5001,_xlfn.MAXIFS(BD!$A$3:$A$5001,BD!$B$3:$B$5001,K$128,BD!$A$3:$A$5001,"&gt;="&amp;$C$8,BD!$A$3:$A$5001,"&lt;="&amp;$D$8,BD!$P$3:$P$5001,"&lt;&gt;"))))</f>
        <v/>
      </c>
      <c r="L160" s="56" t="str">
        <f>IF(L$128="","",IF(COUNTIFS(BD!$B$3:$B$5001,L$128,BD!$A$3:$A$5001,"&gt;="&amp;$C$8,BD!$A$3:$A$5001,"&lt;="&amp;$D$8,BD!$P$3:$P$5001,"&lt;&gt;")=0,"",SUMIFS(BD!$P$3:$P$5001,BD!$B$3:$B$5001,L$128,BD!$A$3:$A$5001,_xlfn.MAXIFS(BD!$A$3:$A$5001,BD!$B$3:$B$5001,L$128,BD!$A$3:$A$5001,"&gt;="&amp;$C$8,BD!$A$3:$A$5001,"&lt;="&amp;$D$8,BD!$P$3:$P$5001,"&lt;&gt;"))))</f>
        <v/>
      </c>
      <c r="M160" s="56" t="str">
        <f>IF(M$128="","",IF(COUNTIFS(BD!$B$3:$B$5001,M$128,BD!$A$3:$A$5001,"&gt;="&amp;$C$8,BD!$A$3:$A$5001,"&lt;="&amp;$D$8,BD!$P$3:$P$5001,"&lt;&gt;")=0,"",SUMIFS(BD!$P$3:$P$5001,BD!$B$3:$B$5001,M$128,BD!$A$3:$A$5001,_xlfn.MAXIFS(BD!$A$3:$A$5001,BD!$B$3:$B$5001,M$128,BD!$A$3:$A$5001,"&gt;="&amp;$C$8,BD!$A$3:$A$5001,"&lt;="&amp;$D$8,BD!$P$3:$P$5001,"&lt;&gt;"))))</f>
        <v/>
      </c>
      <c r="N160" s="56" t="str">
        <f>IF(N$128="","",IF(COUNTIFS(BD!$B$3:$B$5001,N$128,BD!$A$3:$A$5001,"&gt;="&amp;$C$8,BD!$A$3:$A$5001,"&lt;="&amp;$D$8,BD!$P$3:$P$5001,"&lt;&gt;")=0,"",SUMIFS(BD!$P$3:$P$5001,BD!$B$3:$B$5001,N$128,BD!$A$3:$A$5001,_xlfn.MAXIFS(BD!$A$3:$A$5001,BD!$B$3:$B$5001,N$128,BD!$A$3:$A$5001,"&gt;="&amp;$C$8,BD!$A$3:$A$5001,"&lt;="&amp;$D$8,BD!$P$3:$P$5001,"&lt;&gt;"))))</f>
        <v/>
      </c>
      <c r="O160" s="56" t="str">
        <f>IF(O$128="","",IF(COUNTIFS(BD!$B$3:$B$5001,O$128,BD!$A$3:$A$5001,"&gt;="&amp;$C$8,BD!$A$3:$A$5001,"&lt;="&amp;$D$8,BD!$P$3:$P$5001,"&lt;&gt;")=0,"",SUMIFS(BD!$P$3:$P$5001,BD!$B$3:$B$5001,O$128,BD!$A$3:$A$5001,_xlfn.MAXIFS(BD!$A$3:$A$5001,BD!$B$3:$B$5001,O$128,BD!$A$3:$A$5001,"&gt;="&amp;$C$8,BD!$A$3:$A$5001,"&lt;="&amp;$D$8,BD!$P$3:$P$5001,"&lt;&gt;"))))</f>
        <v/>
      </c>
      <c r="P160" s="56" t="str">
        <f>IF(P$128="","",IF(COUNTIFS(BD!$B$3:$B$5001,P$128,BD!$A$3:$A$5001,"&gt;="&amp;$C$8,BD!$A$3:$A$5001,"&lt;="&amp;$D$8,BD!$P$3:$P$5001,"&lt;&gt;")=0,"",SUMIFS(BD!$P$3:$P$5001,BD!$B$3:$B$5001,P$128,BD!$A$3:$A$5001,_xlfn.MAXIFS(BD!$A$3:$A$5001,BD!$B$3:$B$5001,P$128,BD!$A$3:$A$5001,"&gt;="&amp;$C$8,BD!$A$3:$A$5001,"&lt;="&amp;$D$8,BD!$P$3:$P$5001,"&lt;&gt;"))))</f>
        <v/>
      </c>
      <c r="Q160" s="56" t="str">
        <f>IF(Q$128="","",IF(COUNTIFS(BD!$B$3:$B$5001,Q$128,BD!$A$3:$A$5001,"&gt;="&amp;$C$8,BD!$A$3:$A$5001,"&lt;="&amp;$D$8,BD!$P$3:$P$5001,"&lt;&gt;")=0,"",SUMIFS(BD!$P$3:$P$5001,BD!$B$3:$B$5001,Q$128,BD!$A$3:$A$5001,_xlfn.MAXIFS(BD!$A$3:$A$5001,BD!$B$3:$B$5001,Q$128,BD!$A$3:$A$5001,"&gt;="&amp;$C$8,BD!$A$3:$A$5001,"&lt;="&amp;$D$8,BD!$P$3:$P$5001,"&lt;&gt;"))))</f>
        <v/>
      </c>
      <c r="R160" s="56" t="str">
        <f>IF(R$128="","",IF(COUNTIFS(BD!$B$3:$B$5001,R$128,BD!$A$3:$A$5001,"&gt;="&amp;$C$8,BD!$A$3:$A$5001,"&lt;="&amp;$D$8,BD!$P$3:$P$5001,"&lt;&gt;")=0,"",SUMIFS(BD!$P$3:$P$5001,BD!$B$3:$B$5001,R$128,BD!$A$3:$A$5001,_xlfn.MAXIFS(BD!$A$3:$A$5001,BD!$B$3:$B$5001,R$128,BD!$A$3:$A$5001,"&gt;="&amp;$C$8,BD!$A$3:$A$5001,"&lt;="&amp;$D$8,BD!$P$3:$P$5001,"&lt;&gt;"))))</f>
        <v/>
      </c>
      <c r="S160" s="56" t="str">
        <f>IF(S$128="","",IF(COUNTIFS(BD!$B$3:$B$5001,S$128,BD!$A$3:$A$5001,"&gt;="&amp;$C$8,BD!$A$3:$A$5001,"&lt;="&amp;$D$8,BD!$P$3:$P$5001,"&lt;&gt;")=0,"",SUMIFS(BD!$P$3:$P$5001,BD!$B$3:$B$5001,S$128,BD!$A$3:$A$5001,_xlfn.MAXIFS(BD!$A$3:$A$5001,BD!$B$3:$B$5001,S$128,BD!$A$3:$A$5001,"&gt;="&amp;$C$8,BD!$A$3:$A$5001,"&lt;="&amp;$D$8,BD!$P$3:$P$5001,"&lt;&gt;"))))</f>
        <v/>
      </c>
      <c r="T160" s="56" t="str">
        <f>IF(T$128="","",IF(COUNTIFS(BD!$B$3:$B$5001,T$128,BD!$A$3:$A$5001,"&gt;="&amp;$C$8,BD!$A$3:$A$5001,"&lt;="&amp;$D$8,BD!$P$3:$P$5001,"&lt;&gt;")=0,"",SUMIFS(BD!$P$3:$P$5001,BD!$B$3:$B$5001,T$128,BD!$A$3:$A$5001,_xlfn.MAXIFS(BD!$A$3:$A$5001,BD!$B$3:$B$5001,T$128,BD!$A$3:$A$5001,"&gt;="&amp;$C$8,BD!$A$3:$A$5001,"&lt;="&amp;$D$8,BD!$P$3:$P$5001,"&lt;&gt;"))))</f>
        <v/>
      </c>
      <c r="U160" s="56" t="str">
        <f>IF(U$128="","",IF(COUNTIFS(BD!$B$3:$B$5001,U$128,BD!$A$3:$A$5001,"&gt;="&amp;$C$8,BD!$A$3:$A$5001,"&lt;="&amp;$D$8,BD!$P$3:$P$5001,"&lt;&gt;")=0,"",SUMIFS(BD!$P$3:$P$5001,BD!$B$3:$B$5001,U$128,BD!$A$3:$A$5001,_xlfn.MAXIFS(BD!$A$3:$A$5001,BD!$B$3:$B$5001,U$128,BD!$A$3:$A$5001,"&gt;="&amp;$C$8,BD!$A$3:$A$5001,"&lt;="&amp;$D$8,BD!$P$3:$P$5001,"&lt;&gt;"))))</f>
        <v/>
      </c>
      <c r="V160" s="56" t="str">
        <f>IF(V$128="","",IF(COUNTIFS(BD!$B$3:$B$5001,V$128,BD!$A$3:$A$5001,"&gt;="&amp;$C$8,BD!$A$3:$A$5001,"&lt;="&amp;$D$8,BD!$P$3:$P$5001,"&lt;&gt;")=0,"",SUMIFS(BD!$P$3:$P$5001,BD!$B$3:$B$5001,V$128,BD!$A$3:$A$5001,_xlfn.MAXIFS(BD!$A$3:$A$5001,BD!$B$3:$B$5001,V$128,BD!$A$3:$A$5001,"&gt;="&amp;$C$8,BD!$A$3:$A$5001,"&lt;="&amp;$D$8,BD!$P$3:$P$5001,"&lt;&gt;"))))</f>
        <v/>
      </c>
    </row>
    <row r="161">
      <c r="A161" s="55" t="inlineStr">
        <is>
          <t xml:space="preserve">Depósito</t>
        </is>
      </c>
      <c r="C161" s="48" t="str">
        <f>IF(Config!$C$10="","JSL",Config!$C$10)</f>
        <v>JSL</v>
      </c>
      <c r="D161" s="48" t="str">
        <f>IF(Config!$C$11="","JSL",Config!$C$11)</f>
        <v>JSL</v>
      </c>
      <c r="E161" s="48" t="str">
        <f>IF(Config!$C$12="","JSL",Config!$C$12)</f>
        <v>JSL</v>
      </c>
      <c r="F161" s="48" t="str">
        <f>IF(Config!$C$13="","JSL",Config!$C$13)</f>
        <v>JSL</v>
      </c>
      <c r="G161" s="48" t="str">
        <f>IF(Config!$C$14="","JSL",Config!$C$14)</f>
        <v>JSL</v>
      </c>
      <c r="H161" s="48" t="str">
        <f>IF(Config!$C$15="","JSL",Config!$C$15)</f>
        <v>JSL</v>
      </c>
      <c r="I161" s="48" t="str">
        <f>IF(Config!$C$16="","JSL",Config!$C$16)</f>
        <v>JSL</v>
      </c>
      <c r="J161" s="48" t="str">
        <f>IF(Config!$C$17="","JSL",Config!$C$17)</f>
        <v>JSL</v>
      </c>
      <c r="K161" s="48" t="str">
        <f>IF(Config!$C$18="","JSL",Config!$C$18)</f>
        <v>JSL</v>
      </c>
      <c r="L161" s="48" t="str">
        <f>IF(Config!$C$19="","JSL",Config!$C$19)</f>
        <v>JSL</v>
      </c>
      <c r="M161" s="48" t="str">
        <f>IF(Config!$C$20="","JSL",Config!$C$20)</f>
        <v>JSL</v>
      </c>
      <c r="N161" s="48" t="str">
        <f>IF(Config!$C$21="","JSL",Config!$C$21)</f>
        <v>JSL</v>
      </c>
      <c r="O161" s="48" t="str">
        <f>IF(Config!$C$22="","JSL",Config!$C$22)</f>
        <v>JSL</v>
      </c>
      <c r="P161" s="48" t="str">
        <f>IF(Config!$C$23="","JSL",Config!$C$23)</f>
        <v>JSL</v>
      </c>
      <c r="Q161" s="48" t="str">
        <f>IF(Config!$C$24="","JSL",Config!$C$24)</f>
        <v>JSL</v>
      </c>
      <c r="R161" s="48" t="str">
        <f>IF(Config!$C$25="","JSL",Config!$C$25)</f>
        <v>JSL</v>
      </c>
      <c r="S161" s="48" t="str">
        <f>IF(Config!$C$26="","JSL",Config!$C$26)</f>
        <v>JSL</v>
      </c>
      <c r="T161" s="48" t="str">
        <f>IF(Config!$C$27="","JSL",Config!$C$27)</f>
        <v>JSL</v>
      </c>
      <c r="U161" s="48" t="str">
        <f>IF(Config!$C$28="","JSL",Config!$C$28)</f>
        <v>JSL</v>
      </c>
      <c r="V161" s="48" t="str">
        <f>IF(Config!$C$29="","JSL",Config!$C$29)</f>
        <v>JSL</v>
      </c>
    </row>
    <row r="163">
      <c r="A163" s="47" t="inlineStr">
        <is>
          <t xml:space="preserve">Backlog Cliente</t>
        </is>
      </c>
      <c r="B163" s="47" t="inlineStr">
        <is>
          <t xml:space="preserve">Data</t>
        </is>
      </c>
      <c r="C163" s="47" t="str">
        <f>Config!$B$10&amp;""</f>
        <v>Barry Callebaut</v>
      </c>
      <c r="D163" s="47" t="str">
        <f>Config!$B$11&amp;""</f>
        <v>GM</v>
      </c>
      <c r="E163" s="47" t="str">
        <f>Config!$B$12&amp;""</f>
        <v>Mondelez</v>
      </c>
      <c r="F163" s="47" t="str">
        <f>Config!$B$13&amp;""</f>
        <v>Nestlé</v>
      </c>
      <c r="G163" s="47" t="str">
        <f>Config!$B$14&amp;""</f>
        <v>PMB</v>
      </c>
      <c r="H163" s="47" t="str">
        <f>Config!$B$15&amp;""</f>
        <v/>
      </c>
      <c r="I163" s="47" t="str">
        <f>Config!$B$16&amp;""</f>
        <v/>
      </c>
      <c r="J163" s="47" t="str">
        <f>Config!$B$17&amp;""</f>
        <v/>
      </c>
      <c r="K163" s="47" t="str">
        <f>Config!$B$18&amp;""</f>
        <v/>
      </c>
      <c r="L163" s="47" t="str">
        <f>Config!$B$19&amp;""</f>
        <v/>
      </c>
      <c r="M163" s="47" t="str">
        <f>Config!$B$20&amp;""</f>
        <v/>
      </c>
      <c r="N163" s="47" t="str">
        <f>Config!$B$21&amp;""</f>
        <v/>
      </c>
      <c r="O163" s="47" t="str">
        <f>Config!$B$22&amp;""</f>
        <v/>
      </c>
      <c r="P163" s="47" t="str">
        <f>Config!$B$23&amp;""</f>
        <v/>
      </c>
      <c r="Q163" s="47" t="str">
        <f>Config!$B$24&amp;""</f>
        <v/>
      </c>
      <c r="R163" s="47" t="str">
        <f>Config!$B$25&amp;""</f>
        <v/>
      </c>
      <c r="S163" s="47" t="str">
        <f>Config!$B$26&amp;""</f>
        <v/>
      </c>
      <c r="T163" s="47" t="str">
        <f>Config!$B$27&amp;""</f>
        <v/>
      </c>
      <c r="U163" s="47" t="str">
        <f>Config!$B$28&amp;""</f>
        <v/>
      </c>
      <c r="V163" s="47" t="str">
        <f>Config!$B$29&amp;""</f>
        <v/>
      </c>
    </row>
    <row r="164">
      <c r="A164" s="48">
        <v>1</v>
      </c>
      <c r="B164" s="53">
        <f>$B$12</f>
        <v>46296</v>
      </c>
      <c r="C164" s="54" t="str">
        <f>IF(OR($B164="",$A164&gt;$B$9,C$163=""),"",IF(COUNTIFS(BD!$B$3:$B$5001,C$163,BD!$A$3:$A$5001,"&gt;="&amp;$C$7,BD!$A$3:$A$5001,"&lt;="&amp;$B164,BD!$Q$3:$Q$5001,"&lt;&gt;")=0,"",SUMIFS(BD!$Q$3:$Q$5001,BD!$B$3:$B$5001,C$163,BD!$A$3:$A$5001,_xlfn.MAXIFS(BD!$A$3:$A$5001,BD!$B$3:$B$5001,C$163,BD!$A$3:$A$5001,"&gt;="&amp;$C$7,BD!$A$3:$A$5001,"&lt;="&amp;$B164,BD!$Q$3:$Q$5001,"&lt;&gt;"))))</f>
        <v/>
      </c>
      <c r="D164" s="54" t="str">
        <f>IF(OR($B164="",$A164&gt;$B$9,D$163=""),"",IF(COUNTIFS(BD!$B$3:$B$5001,D$163,BD!$A$3:$A$5001,"&gt;="&amp;$C$7,BD!$A$3:$A$5001,"&lt;="&amp;$B164,BD!$Q$3:$Q$5001,"&lt;&gt;")=0,"",SUMIFS(BD!$Q$3:$Q$5001,BD!$B$3:$B$5001,D$163,BD!$A$3:$A$5001,_xlfn.MAXIFS(BD!$A$3:$A$5001,BD!$B$3:$B$5001,D$163,BD!$A$3:$A$5001,"&gt;="&amp;$C$7,BD!$A$3:$A$5001,"&lt;="&amp;$B164,BD!$Q$3:$Q$5001,"&lt;&gt;"))))</f>
        <v/>
      </c>
      <c r="E164" s="54" t="str">
        <f>IF(OR($B164="",$A164&gt;$B$9,E$163=""),"",IF(COUNTIFS(BD!$B$3:$B$5001,E$163,BD!$A$3:$A$5001,"&gt;="&amp;$C$7,BD!$A$3:$A$5001,"&lt;="&amp;$B164,BD!$Q$3:$Q$5001,"&lt;&gt;")=0,"",SUMIFS(BD!$Q$3:$Q$5001,BD!$B$3:$B$5001,E$163,BD!$A$3:$A$5001,_xlfn.MAXIFS(BD!$A$3:$A$5001,BD!$B$3:$B$5001,E$163,BD!$A$3:$A$5001,"&gt;="&amp;$C$7,BD!$A$3:$A$5001,"&lt;="&amp;$B164,BD!$Q$3:$Q$5001,"&lt;&gt;"))))</f>
        <v/>
      </c>
      <c r="F164" s="54" t="str">
        <f>IF(OR($B164="",$A164&gt;$B$9,F$163=""),"",IF(COUNTIFS(BD!$B$3:$B$5001,F$163,BD!$A$3:$A$5001,"&gt;="&amp;$C$7,BD!$A$3:$A$5001,"&lt;="&amp;$B164,BD!$Q$3:$Q$5001,"&lt;&gt;")=0,"",SUMIFS(BD!$Q$3:$Q$5001,BD!$B$3:$B$5001,F$163,BD!$A$3:$A$5001,_xlfn.MAXIFS(BD!$A$3:$A$5001,BD!$B$3:$B$5001,F$163,BD!$A$3:$A$5001,"&gt;="&amp;$C$7,BD!$A$3:$A$5001,"&lt;="&amp;$B164,BD!$Q$3:$Q$5001,"&lt;&gt;"))))</f>
        <v/>
      </c>
      <c r="G164" s="54" t="str">
        <f>IF(OR($B164="",$A164&gt;$B$9,G$163=""),"",IF(COUNTIFS(BD!$B$3:$B$5001,G$163,BD!$A$3:$A$5001,"&gt;="&amp;$C$7,BD!$A$3:$A$5001,"&lt;="&amp;$B164,BD!$Q$3:$Q$5001,"&lt;&gt;")=0,"",SUMIFS(BD!$Q$3:$Q$5001,BD!$B$3:$B$5001,G$163,BD!$A$3:$A$5001,_xlfn.MAXIFS(BD!$A$3:$A$5001,BD!$B$3:$B$5001,G$163,BD!$A$3:$A$5001,"&gt;="&amp;$C$7,BD!$A$3:$A$5001,"&lt;="&amp;$B164,BD!$Q$3:$Q$5001,"&lt;&gt;"))))</f>
        <v/>
      </c>
      <c r="H164" s="54" t="str">
        <f>IF(OR($B164="",$A164&gt;$B$9,H$163=""),"",IF(COUNTIFS(BD!$B$3:$B$5001,H$163,BD!$A$3:$A$5001,"&gt;="&amp;$C$7,BD!$A$3:$A$5001,"&lt;="&amp;$B164,BD!$Q$3:$Q$5001,"&lt;&gt;")=0,"",SUMIFS(BD!$Q$3:$Q$5001,BD!$B$3:$B$5001,H$163,BD!$A$3:$A$5001,_xlfn.MAXIFS(BD!$A$3:$A$5001,BD!$B$3:$B$5001,H$163,BD!$A$3:$A$5001,"&gt;="&amp;$C$7,BD!$A$3:$A$5001,"&lt;="&amp;$B164,BD!$Q$3:$Q$5001,"&lt;&gt;"))))</f>
        <v/>
      </c>
      <c r="I164" s="54" t="str">
        <f>IF(OR($B164="",$A164&gt;$B$9,I$163=""),"",IF(COUNTIFS(BD!$B$3:$B$5001,I$163,BD!$A$3:$A$5001,"&gt;="&amp;$C$7,BD!$A$3:$A$5001,"&lt;="&amp;$B164,BD!$Q$3:$Q$5001,"&lt;&gt;")=0,"",SUMIFS(BD!$Q$3:$Q$5001,BD!$B$3:$B$5001,I$163,BD!$A$3:$A$5001,_xlfn.MAXIFS(BD!$A$3:$A$5001,BD!$B$3:$B$5001,I$163,BD!$A$3:$A$5001,"&gt;="&amp;$C$7,BD!$A$3:$A$5001,"&lt;="&amp;$B164,BD!$Q$3:$Q$5001,"&lt;&gt;"))))</f>
        <v/>
      </c>
      <c r="J164" s="54" t="str">
        <f>IF(OR($B164="",$A164&gt;$B$9,J$163=""),"",IF(COUNTIFS(BD!$B$3:$B$5001,J$163,BD!$A$3:$A$5001,"&gt;="&amp;$C$7,BD!$A$3:$A$5001,"&lt;="&amp;$B164,BD!$Q$3:$Q$5001,"&lt;&gt;")=0,"",SUMIFS(BD!$Q$3:$Q$5001,BD!$B$3:$B$5001,J$163,BD!$A$3:$A$5001,_xlfn.MAXIFS(BD!$A$3:$A$5001,BD!$B$3:$B$5001,J$163,BD!$A$3:$A$5001,"&gt;="&amp;$C$7,BD!$A$3:$A$5001,"&lt;="&amp;$B164,BD!$Q$3:$Q$5001,"&lt;&gt;"))))</f>
        <v/>
      </c>
      <c r="K164" s="54" t="str">
        <f>IF(OR($B164="",$A164&gt;$B$9,K$163=""),"",IF(COUNTIFS(BD!$B$3:$B$5001,K$163,BD!$A$3:$A$5001,"&gt;="&amp;$C$7,BD!$A$3:$A$5001,"&lt;="&amp;$B164,BD!$Q$3:$Q$5001,"&lt;&gt;")=0,"",SUMIFS(BD!$Q$3:$Q$5001,BD!$B$3:$B$5001,K$163,BD!$A$3:$A$5001,_xlfn.MAXIFS(BD!$A$3:$A$5001,BD!$B$3:$B$5001,K$163,BD!$A$3:$A$5001,"&gt;="&amp;$C$7,BD!$A$3:$A$5001,"&lt;="&amp;$B164,BD!$Q$3:$Q$5001,"&lt;&gt;"))))</f>
        <v/>
      </c>
      <c r="L164" s="54" t="str">
        <f>IF(OR($B164="",$A164&gt;$B$9,L$163=""),"",IF(COUNTIFS(BD!$B$3:$B$5001,L$163,BD!$A$3:$A$5001,"&gt;="&amp;$C$7,BD!$A$3:$A$5001,"&lt;="&amp;$B164,BD!$Q$3:$Q$5001,"&lt;&gt;")=0,"",SUMIFS(BD!$Q$3:$Q$5001,BD!$B$3:$B$5001,L$163,BD!$A$3:$A$5001,_xlfn.MAXIFS(BD!$A$3:$A$5001,BD!$B$3:$B$5001,L$163,BD!$A$3:$A$5001,"&gt;="&amp;$C$7,BD!$A$3:$A$5001,"&lt;="&amp;$B164,BD!$Q$3:$Q$5001,"&lt;&gt;"))))</f>
        <v/>
      </c>
      <c r="M164" s="54" t="str">
        <f>IF(OR($B164="",$A164&gt;$B$9,M$163=""),"",IF(COUNTIFS(BD!$B$3:$B$5001,M$163,BD!$A$3:$A$5001,"&gt;="&amp;$C$7,BD!$A$3:$A$5001,"&lt;="&amp;$B164,BD!$Q$3:$Q$5001,"&lt;&gt;")=0,"",SUMIFS(BD!$Q$3:$Q$5001,BD!$B$3:$B$5001,M$163,BD!$A$3:$A$5001,_xlfn.MAXIFS(BD!$A$3:$A$5001,BD!$B$3:$B$5001,M$163,BD!$A$3:$A$5001,"&gt;="&amp;$C$7,BD!$A$3:$A$5001,"&lt;="&amp;$B164,BD!$Q$3:$Q$5001,"&lt;&gt;"))))</f>
        <v/>
      </c>
      <c r="N164" s="54" t="str">
        <f>IF(OR($B164="",$A164&gt;$B$9,N$163=""),"",IF(COUNTIFS(BD!$B$3:$B$5001,N$163,BD!$A$3:$A$5001,"&gt;="&amp;$C$7,BD!$A$3:$A$5001,"&lt;="&amp;$B164,BD!$Q$3:$Q$5001,"&lt;&gt;")=0,"",SUMIFS(BD!$Q$3:$Q$5001,BD!$B$3:$B$5001,N$163,BD!$A$3:$A$5001,_xlfn.MAXIFS(BD!$A$3:$A$5001,BD!$B$3:$B$5001,N$163,BD!$A$3:$A$5001,"&gt;="&amp;$C$7,BD!$A$3:$A$5001,"&lt;="&amp;$B164,BD!$Q$3:$Q$5001,"&lt;&gt;"))))</f>
        <v/>
      </c>
      <c r="O164" s="54" t="str">
        <f>IF(OR($B164="",$A164&gt;$B$9,O$163=""),"",IF(COUNTIFS(BD!$B$3:$B$5001,O$163,BD!$A$3:$A$5001,"&gt;="&amp;$C$7,BD!$A$3:$A$5001,"&lt;="&amp;$B164,BD!$Q$3:$Q$5001,"&lt;&gt;")=0,"",SUMIFS(BD!$Q$3:$Q$5001,BD!$B$3:$B$5001,O$163,BD!$A$3:$A$5001,_xlfn.MAXIFS(BD!$A$3:$A$5001,BD!$B$3:$B$5001,O$163,BD!$A$3:$A$5001,"&gt;="&amp;$C$7,BD!$A$3:$A$5001,"&lt;="&amp;$B164,BD!$Q$3:$Q$5001,"&lt;&gt;"))))</f>
        <v/>
      </c>
      <c r="P164" s="54" t="str">
        <f>IF(OR($B164="",$A164&gt;$B$9,P$163=""),"",IF(COUNTIFS(BD!$B$3:$B$5001,P$163,BD!$A$3:$A$5001,"&gt;="&amp;$C$7,BD!$A$3:$A$5001,"&lt;="&amp;$B164,BD!$Q$3:$Q$5001,"&lt;&gt;")=0,"",SUMIFS(BD!$Q$3:$Q$5001,BD!$B$3:$B$5001,P$163,BD!$A$3:$A$5001,_xlfn.MAXIFS(BD!$A$3:$A$5001,BD!$B$3:$B$5001,P$163,BD!$A$3:$A$5001,"&gt;="&amp;$C$7,BD!$A$3:$A$5001,"&lt;="&amp;$B164,BD!$Q$3:$Q$5001,"&lt;&gt;"))))</f>
        <v/>
      </c>
      <c r="Q164" s="54" t="str">
        <f>IF(OR($B164="",$A164&gt;$B$9,Q$163=""),"",IF(COUNTIFS(BD!$B$3:$B$5001,Q$163,BD!$A$3:$A$5001,"&gt;="&amp;$C$7,BD!$A$3:$A$5001,"&lt;="&amp;$B164,BD!$Q$3:$Q$5001,"&lt;&gt;")=0,"",SUMIFS(BD!$Q$3:$Q$5001,BD!$B$3:$B$5001,Q$163,BD!$A$3:$A$5001,_xlfn.MAXIFS(BD!$A$3:$A$5001,BD!$B$3:$B$5001,Q$163,BD!$A$3:$A$5001,"&gt;="&amp;$C$7,BD!$A$3:$A$5001,"&lt;="&amp;$B164,BD!$Q$3:$Q$5001,"&lt;&gt;"))))</f>
        <v/>
      </c>
      <c r="R164" s="54" t="str">
        <f>IF(OR($B164="",$A164&gt;$B$9,R$163=""),"",IF(COUNTIFS(BD!$B$3:$B$5001,R$163,BD!$A$3:$A$5001,"&gt;="&amp;$C$7,BD!$A$3:$A$5001,"&lt;="&amp;$B164,BD!$Q$3:$Q$5001,"&lt;&gt;")=0,"",SUMIFS(BD!$Q$3:$Q$5001,BD!$B$3:$B$5001,R$163,BD!$A$3:$A$5001,_xlfn.MAXIFS(BD!$A$3:$A$5001,BD!$B$3:$B$5001,R$163,BD!$A$3:$A$5001,"&gt;="&amp;$C$7,BD!$A$3:$A$5001,"&lt;="&amp;$B164,BD!$Q$3:$Q$5001,"&lt;&gt;"))))</f>
        <v/>
      </c>
      <c r="S164" s="54" t="str">
        <f>IF(OR($B164="",$A164&gt;$B$9,S$163=""),"",IF(COUNTIFS(BD!$B$3:$B$5001,S$163,BD!$A$3:$A$5001,"&gt;="&amp;$C$7,BD!$A$3:$A$5001,"&lt;="&amp;$B164,BD!$Q$3:$Q$5001,"&lt;&gt;")=0,"",SUMIFS(BD!$Q$3:$Q$5001,BD!$B$3:$B$5001,S$163,BD!$A$3:$A$5001,_xlfn.MAXIFS(BD!$A$3:$A$5001,BD!$B$3:$B$5001,S$163,BD!$A$3:$A$5001,"&gt;="&amp;$C$7,BD!$A$3:$A$5001,"&lt;="&amp;$B164,BD!$Q$3:$Q$5001,"&lt;&gt;"))))</f>
        <v/>
      </c>
      <c r="T164" s="54" t="str">
        <f>IF(OR($B164="",$A164&gt;$B$9,T$163=""),"",IF(COUNTIFS(BD!$B$3:$B$5001,T$163,BD!$A$3:$A$5001,"&gt;="&amp;$C$7,BD!$A$3:$A$5001,"&lt;="&amp;$B164,BD!$Q$3:$Q$5001,"&lt;&gt;")=0,"",SUMIFS(BD!$Q$3:$Q$5001,BD!$B$3:$B$5001,T$163,BD!$A$3:$A$5001,_xlfn.MAXIFS(BD!$A$3:$A$5001,BD!$B$3:$B$5001,T$163,BD!$A$3:$A$5001,"&gt;="&amp;$C$7,BD!$A$3:$A$5001,"&lt;="&amp;$B164,BD!$Q$3:$Q$5001,"&lt;&gt;"))))</f>
        <v/>
      </c>
      <c r="U164" s="54" t="str">
        <f>IF(OR($B164="",$A164&gt;$B$9,U$163=""),"",IF(COUNTIFS(BD!$B$3:$B$5001,U$163,BD!$A$3:$A$5001,"&gt;="&amp;$C$7,BD!$A$3:$A$5001,"&lt;="&amp;$B164,BD!$Q$3:$Q$5001,"&lt;&gt;")=0,"",SUMIFS(BD!$Q$3:$Q$5001,BD!$B$3:$B$5001,U$163,BD!$A$3:$A$5001,_xlfn.MAXIFS(BD!$A$3:$A$5001,BD!$B$3:$B$5001,U$163,BD!$A$3:$A$5001,"&gt;="&amp;$C$7,BD!$A$3:$A$5001,"&lt;="&amp;$B164,BD!$Q$3:$Q$5001,"&lt;&gt;"))))</f>
        <v/>
      </c>
      <c r="V164" s="54" t="str">
        <f>IF(OR($B164="",$A164&gt;$B$9,V$163=""),"",IF(COUNTIFS(BD!$B$3:$B$5001,V$163,BD!$A$3:$A$5001,"&gt;="&amp;$C$7,BD!$A$3:$A$5001,"&lt;="&amp;$B164,BD!$Q$3:$Q$5001,"&lt;&gt;")=0,"",SUMIFS(BD!$Q$3:$Q$5001,BD!$B$3:$B$5001,V$163,BD!$A$3:$A$5001,_xlfn.MAXIFS(BD!$A$3:$A$5001,BD!$B$3:$B$5001,V$163,BD!$A$3:$A$5001,"&gt;="&amp;$C$7,BD!$A$3:$A$5001,"&lt;="&amp;$B164,BD!$Q$3:$Q$5001,"&lt;&gt;"))))</f>
        <v/>
      </c>
    </row>
    <row r="165">
      <c r="A165" s="48">
        <v>2</v>
      </c>
      <c r="B165" s="53">
        <f>$B$13</f>
        <v>46297</v>
      </c>
      <c r="C165" s="54" t="str">
        <f>IF(OR($B165="",$A165&gt;$B$9,C$163=""),"",IF(COUNTIFS(BD!$B$3:$B$5001,C$163,BD!$A$3:$A$5001,"&gt;="&amp;$C$7,BD!$A$3:$A$5001,"&lt;="&amp;$B165,BD!$Q$3:$Q$5001,"&lt;&gt;")=0,"",SUMIFS(BD!$Q$3:$Q$5001,BD!$B$3:$B$5001,C$163,BD!$A$3:$A$5001,_xlfn.MAXIFS(BD!$A$3:$A$5001,BD!$B$3:$B$5001,C$163,BD!$A$3:$A$5001,"&gt;="&amp;$C$7,BD!$A$3:$A$5001,"&lt;="&amp;$B165,BD!$Q$3:$Q$5001,"&lt;&gt;"))))</f>
        <v/>
      </c>
      <c r="D165" s="54" t="str">
        <f>IF(OR($B165="",$A165&gt;$B$9,D$163=""),"",IF(COUNTIFS(BD!$B$3:$B$5001,D$163,BD!$A$3:$A$5001,"&gt;="&amp;$C$7,BD!$A$3:$A$5001,"&lt;="&amp;$B165,BD!$Q$3:$Q$5001,"&lt;&gt;")=0,"",SUMIFS(BD!$Q$3:$Q$5001,BD!$B$3:$B$5001,D$163,BD!$A$3:$A$5001,_xlfn.MAXIFS(BD!$A$3:$A$5001,BD!$B$3:$B$5001,D$163,BD!$A$3:$A$5001,"&gt;="&amp;$C$7,BD!$A$3:$A$5001,"&lt;="&amp;$B165,BD!$Q$3:$Q$5001,"&lt;&gt;"))))</f>
        <v/>
      </c>
      <c r="E165" s="54" t="str">
        <f>IF(OR($B165="",$A165&gt;$B$9,E$163=""),"",IF(COUNTIFS(BD!$B$3:$B$5001,E$163,BD!$A$3:$A$5001,"&gt;="&amp;$C$7,BD!$A$3:$A$5001,"&lt;="&amp;$B165,BD!$Q$3:$Q$5001,"&lt;&gt;")=0,"",SUMIFS(BD!$Q$3:$Q$5001,BD!$B$3:$B$5001,E$163,BD!$A$3:$A$5001,_xlfn.MAXIFS(BD!$A$3:$A$5001,BD!$B$3:$B$5001,E$163,BD!$A$3:$A$5001,"&gt;="&amp;$C$7,BD!$A$3:$A$5001,"&lt;="&amp;$B165,BD!$Q$3:$Q$5001,"&lt;&gt;"))))</f>
        <v/>
      </c>
      <c r="F165" s="54" t="str">
        <f>IF(OR($B165="",$A165&gt;$B$9,F$163=""),"",IF(COUNTIFS(BD!$B$3:$B$5001,F$163,BD!$A$3:$A$5001,"&gt;="&amp;$C$7,BD!$A$3:$A$5001,"&lt;="&amp;$B165,BD!$Q$3:$Q$5001,"&lt;&gt;")=0,"",SUMIFS(BD!$Q$3:$Q$5001,BD!$B$3:$B$5001,F$163,BD!$A$3:$A$5001,_xlfn.MAXIFS(BD!$A$3:$A$5001,BD!$B$3:$B$5001,F$163,BD!$A$3:$A$5001,"&gt;="&amp;$C$7,BD!$A$3:$A$5001,"&lt;="&amp;$B165,BD!$Q$3:$Q$5001,"&lt;&gt;"))))</f>
        <v/>
      </c>
      <c r="G165" s="54" t="str">
        <f>IF(OR($B165="",$A165&gt;$B$9,G$163=""),"",IF(COUNTIFS(BD!$B$3:$B$5001,G$163,BD!$A$3:$A$5001,"&gt;="&amp;$C$7,BD!$A$3:$A$5001,"&lt;="&amp;$B165,BD!$Q$3:$Q$5001,"&lt;&gt;")=0,"",SUMIFS(BD!$Q$3:$Q$5001,BD!$B$3:$B$5001,G$163,BD!$A$3:$A$5001,_xlfn.MAXIFS(BD!$A$3:$A$5001,BD!$B$3:$B$5001,G$163,BD!$A$3:$A$5001,"&gt;="&amp;$C$7,BD!$A$3:$A$5001,"&lt;="&amp;$B165,BD!$Q$3:$Q$5001,"&lt;&gt;"))))</f>
        <v/>
      </c>
      <c r="H165" s="54" t="str">
        <f>IF(OR($B165="",$A165&gt;$B$9,H$163=""),"",IF(COUNTIFS(BD!$B$3:$B$5001,H$163,BD!$A$3:$A$5001,"&gt;="&amp;$C$7,BD!$A$3:$A$5001,"&lt;="&amp;$B165,BD!$Q$3:$Q$5001,"&lt;&gt;")=0,"",SUMIFS(BD!$Q$3:$Q$5001,BD!$B$3:$B$5001,H$163,BD!$A$3:$A$5001,_xlfn.MAXIFS(BD!$A$3:$A$5001,BD!$B$3:$B$5001,H$163,BD!$A$3:$A$5001,"&gt;="&amp;$C$7,BD!$A$3:$A$5001,"&lt;="&amp;$B165,BD!$Q$3:$Q$5001,"&lt;&gt;"))))</f>
        <v/>
      </c>
      <c r="I165" s="54" t="str">
        <f>IF(OR($B165="",$A165&gt;$B$9,I$163=""),"",IF(COUNTIFS(BD!$B$3:$B$5001,I$163,BD!$A$3:$A$5001,"&gt;="&amp;$C$7,BD!$A$3:$A$5001,"&lt;="&amp;$B165,BD!$Q$3:$Q$5001,"&lt;&gt;")=0,"",SUMIFS(BD!$Q$3:$Q$5001,BD!$B$3:$B$5001,I$163,BD!$A$3:$A$5001,_xlfn.MAXIFS(BD!$A$3:$A$5001,BD!$B$3:$B$5001,I$163,BD!$A$3:$A$5001,"&gt;="&amp;$C$7,BD!$A$3:$A$5001,"&lt;="&amp;$B165,BD!$Q$3:$Q$5001,"&lt;&gt;"))))</f>
        <v/>
      </c>
      <c r="J165" s="54" t="str">
        <f>IF(OR($B165="",$A165&gt;$B$9,J$163=""),"",IF(COUNTIFS(BD!$B$3:$B$5001,J$163,BD!$A$3:$A$5001,"&gt;="&amp;$C$7,BD!$A$3:$A$5001,"&lt;="&amp;$B165,BD!$Q$3:$Q$5001,"&lt;&gt;")=0,"",SUMIFS(BD!$Q$3:$Q$5001,BD!$B$3:$B$5001,J$163,BD!$A$3:$A$5001,_xlfn.MAXIFS(BD!$A$3:$A$5001,BD!$B$3:$B$5001,J$163,BD!$A$3:$A$5001,"&gt;="&amp;$C$7,BD!$A$3:$A$5001,"&lt;="&amp;$B165,BD!$Q$3:$Q$5001,"&lt;&gt;"))))</f>
        <v/>
      </c>
      <c r="K165" s="54" t="str">
        <f>IF(OR($B165="",$A165&gt;$B$9,K$163=""),"",IF(COUNTIFS(BD!$B$3:$B$5001,K$163,BD!$A$3:$A$5001,"&gt;="&amp;$C$7,BD!$A$3:$A$5001,"&lt;="&amp;$B165,BD!$Q$3:$Q$5001,"&lt;&gt;")=0,"",SUMIFS(BD!$Q$3:$Q$5001,BD!$B$3:$B$5001,K$163,BD!$A$3:$A$5001,_xlfn.MAXIFS(BD!$A$3:$A$5001,BD!$B$3:$B$5001,K$163,BD!$A$3:$A$5001,"&gt;="&amp;$C$7,BD!$A$3:$A$5001,"&lt;="&amp;$B165,BD!$Q$3:$Q$5001,"&lt;&gt;"))))</f>
        <v/>
      </c>
      <c r="L165" s="54" t="str">
        <f>IF(OR($B165="",$A165&gt;$B$9,L$163=""),"",IF(COUNTIFS(BD!$B$3:$B$5001,L$163,BD!$A$3:$A$5001,"&gt;="&amp;$C$7,BD!$A$3:$A$5001,"&lt;="&amp;$B165,BD!$Q$3:$Q$5001,"&lt;&gt;")=0,"",SUMIFS(BD!$Q$3:$Q$5001,BD!$B$3:$B$5001,L$163,BD!$A$3:$A$5001,_xlfn.MAXIFS(BD!$A$3:$A$5001,BD!$B$3:$B$5001,L$163,BD!$A$3:$A$5001,"&gt;="&amp;$C$7,BD!$A$3:$A$5001,"&lt;="&amp;$B165,BD!$Q$3:$Q$5001,"&lt;&gt;"))))</f>
        <v/>
      </c>
      <c r="M165" s="54" t="str">
        <f>IF(OR($B165="",$A165&gt;$B$9,M$163=""),"",IF(COUNTIFS(BD!$B$3:$B$5001,M$163,BD!$A$3:$A$5001,"&gt;="&amp;$C$7,BD!$A$3:$A$5001,"&lt;="&amp;$B165,BD!$Q$3:$Q$5001,"&lt;&gt;")=0,"",SUMIFS(BD!$Q$3:$Q$5001,BD!$B$3:$B$5001,M$163,BD!$A$3:$A$5001,_xlfn.MAXIFS(BD!$A$3:$A$5001,BD!$B$3:$B$5001,M$163,BD!$A$3:$A$5001,"&gt;="&amp;$C$7,BD!$A$3:$A$5001,"&lt;="&amp;$B165,BD!$Q$3:$Q$5001,"&lt;&gt;"))))</f>
        <v/>
      </c>
      <c r="N165" s="54" t="str">
        <f>IF(OR($B165="",$A165&gt;$B$9,N$163=""),"",IF(COUNTIFS(BD!$B$3:$B$5001,N$163,BD!$A$3:$A$5001,"&gt;="&amp;$C$7,BD!$A$3:$A$5001,"&lt;="&amp;$B165,BD!$Q$3:$Q$5001,"&lt;&gt;")=0,"",SUMIFS(BD!$Q$3:$Q$5001,BD!$B$3:$B$5001,N$163,BD!$A$3:$A$5001,_xlfn.MAXIFS(BD!$A$3:$A$5001,BD!$B$3:$B$5001,N$163,BD!$A$3:$A$5001,"&gt;="&amp;$C$7,BD!$A$3:$A$5001,"&lt;="&amp;$B165,BD!$Q$3:$Q$5001,"&lt;&gt;"))))</f>
        <v/>
      </c>
      <c r="O165" s="54" t="str">
        <f>IF(OR($B165="",$A165&gt;$B$9,O$163=""),"",IF(COUNTIFS(BD!$B$3:$B$5001,O$163,BD!$A$3:$A$5001,"&gt;="&amp;$C$7,BD!$A$3:$A$5001,"&lt;="&amp;$B165,BD!$Q$3:$Q$5001,"&lt;&gt;")=0,"",SUMIFS(BD!$Q$3:$Q$5001,BD!$B$3:$B$5001,O$163,BD!$A$3:$A$5001,_xlfn.MAXIFS(BD!$A$3:$A$5001,BD!$B$3:$B$5001,O$163,BD!$A$3:$A$5001,"&gt;="&amp;$C$7,BD!$A$3:$A$5001,"&lt;="&amp;$B165,BD!$Q$3:$Q$5001,"&lt;&gt;"))))</f>
        <v/>
      </c>
      <c r="P165" s="54" t="str">
        <f>IF(OR($B165="",$A165&gt;$B$9,P$163=""),"",IF(COUNTIFS(BD!$B$3:$B$5001,P$163,BD!$A$3:$A$5001,"&gt;="&amp;$C$7,BD!$A$3:$A$5001,"&lt;="&amp;$B165,BD!$Q$3:$Q$5001,"&lt;&gt;")=0,"",SUMIFS(BD!$Q$3:$Q$5001,BD!$B$3:$B$5001,P$163,BD!$A$3:$A$5001,_xlfn.MAXIFS(BD!$A$3:$A$5001,BD!$B$3:$B$5001,P$163,BD!$A$3:$A$5001,"&gt;="&amp;$C$7,BD!$A$3:$A$5001,"&lt;="&amp;$B165,BD!$Q$3:$Q$5001,"&lt;&gt;"))))</f>
        <v/>
      </c>
      <c r="Q165" s="54" t="str">
        <f>IF(OR($B165="",$A165&gt;$B$9,Q$163=""),"",IF(COUNTIFS(BD!$B$3:$B$5001,Q$163,BD!$A$3:$A$5001,"&gt;="&amp;$C$7,BD!$A$3:$A$5001,"&lt;="&amp;$B165,BD!$Q$3:$Q$5001,"&lt;&gt;")=0,"",SUMIFS(BD!$Q$3:$Q$5001,BD!$B$3:$B$5001,Q$163,BD!$A$3:$A$5001,_xlfn.MAXIFS(BD!$A$3:$A$5001,BD!$B$3:$B$5001,Q$163,BD!$A$3:$A$5001,"&gt;="&amp;$C$7,BD!$A$3:$A$5001,"&lt;="&amp;$B165,BD!$Q$3:$Q$5001,"&lt;&gt;"))))</f>
        <v/>
      </c>
      <c r="R165" s="54" t="str">
        <f>IF(OR($B165="",$A165&gt;$B$9,R$163=""),"",IF(COUNTIFS(BD!$B$3:$B$5001,R$163,BD!$A$3:$A$5001,"&gt;="&amp;$C$7,BD!$A$3:$A$5001,"&lt;="&amp;$B165,BD!$Q$3:$Q$5001,"&lt;&gt;")=0,"",SUMIFS(BD!$Q$3:$Q$5001,BD!$B$3:$B$5001,R$163,BD!$A$3:$A$5001,_xlfn.MAXIFS(BD!$A$3:$A$5001,BD!$B$3:$B$5001,R$163,BD!$A$3:$A$5001,"&gt;="&amp;$C$7,BD!$A$3:$A$5001,"&lt;="&amp;$B165,BD!$Q$3:$Q$5001,"&lt;&gt;"))))</f>
        <v/>
      </c>
      <c r="S165" s="54" t="str">
        <f>IF(OR($B165="",$A165&gt;$B$9,S$163=""),"",IF(COUNTIFS(BD!$B$3:$B$5001,S$163,BD!$A$3:$A$5001,"&gt;="&amp;$C$7,BD!$A$3:$A$5001,"&lt;="&amp;$B165,BD!$Q$3:$Q$5001,"&lt;&gt;")=0,"",SUMIFS(BD!$Q$3:$Q$5001,BD!$B$3:$B$5001,S$163,BD!$A$3:$A$5001,_xlfn.MAXIFS(BD!$A$3:$A$5001,BD!$B$3:$B$5001,S$163,BD!$A$3:$A$5001,"&gt;="&amp;$C$7,BD!$A$3:$A$5001,"&lt;="&amp;$B165,BD!$Q$3:$Q$5001,"&lt;&gt;"))))</f>
        <v/>
      </c>
      <c r="T165" s="54" t="str">
        <f>IF(OR($B165="",$A165&gt;$B$9,T$163=""),"",IF(COUNTIFS(BD!$B$3:$B$5001,T$163,BD!$A$3:$A$5001,"&gt;="&amp;$C$7,BD!$A$3:$A$5001,"&lt;="&amp;$B165,BD!$Q$3:$Q$5001,"&lt;&gt;")=0,"",SUMIFS(BD!$Q$3:$Q$5001,BD!$B$3:$B$5001,T$163,BD!$A$3:$A$5001,_xlfn.MAXIFS(BD!$A$3:$A$5001,BD!$B$3:$B$5001,T$163,BD!$A$3:$A$5001,"&gt;="&amp;$C$7,BD!$A$3:$A$5001,"&lt;="&amp;$B165,BD!$Q$3:$Q$5001,"&lt;&gt;"))))</f>
        <v/>
      </c>
      <c r="U165" s="54" t="str">
        <f>IF(OR($B165="",$A165&gt;$B$9,U$163=""),"",IF(COUNTIFS(BD!$B$3:$B$5001,U$163,BD!$A$3:$A$5001,"&gt;="&amp;$C$7,BD!$A$3:$A$5001,"&lt;="&amp;$B165,BD!$Q$3:$Q$5001,"&lt;&gt;")=0,"",SUMIFS(BD!$Q$3:$Q$5001,BD!$B$3:$B$5001,U$163,BD!$A$3:$A$5001,_xlfn.MAXIFS(BD!$A$3:$A$5001,BD!$B$3:$B$5001,U$163,BD!$A$3:$A$5001,"&gt;="&amp;$C$7,BD!$A$3:$A$5001,"&lt;="&amp;$B165,BD!$Q$3:$Q$5001,"&lt;&gt;"))))</f>
        <v/>
      </c>
      <c r="V165" s="54" t="str">
        <f>IF(OR($B165="",$A165&gt;$B$9,V$163=""),"",IF(COUNTIFS(BD!$B$3:$B$5001,V$163,BD!$A$3:$A$5001,"&gt;="&amp;$C$7,BD!$A$3:$A$5001,"&lt;="&amp;$B165,BD!$Q$3:$Q$5001,"&lt;&gt;")=0,"",SUMIFS(BD!$Q$3:$Q$5001,BD!$B$3:$B$5001,V$163,BD!$A$3:$A$5001,_xlfn.MAXIFS(BD!$A$3:$A$5001,BD!$B$3:$B$5001,V$163,BD!$A$3:$A$5001,"&gt;="&amp;$C$7,BD!$A$3:$A$5001,"&lt;="&amp;$B165,BD!$Q$3:$Q$5001,"&lt;&gt;"))))</f>
        <v/>
      </c>
    </row>
    <row r="166">
      <c r="A166" s="48">
        <v>3</v>
      </c>
      <c r="B166" s="53">
        <f>$B$14</f>
        <v>46298</v>
      </c>
      <c r="C166" s="54" t="str">
        <f>IF(OR($B166="",$A166&gt;$B$9,C$163=""),"",IF(COUNTIFS(BD!$B$3:$B$5001,C$163,BD!$A$3:$A$5001,"&gt;="&amp;$C$7,BD!$A$3:$A$5001,"&lt;="&amp;$B166,BD!$Q$3:$Q$5001,"&lt;&gt;")=0,"",SUMIFS(BD!$Q$3:$Q$5001,BD!$B$3:$B$5001,C$163,BD!$A$3:$A$5001,_xlfn.MAXIFS(BD!$A$3:$A$5001,BD!$B$3:$B$5001,C$163,BD!$A$3:$A$5001,"&gt;="&amp;$C$7,BD!$A$3:$A$5001,"&lt;="&amp;$B166,BD!$Q$3:$Q$5001,"&lt;&gt;"))))</f>
        <v/>
      </c>
      <c r="D166" s="54" t="str">
        <f>IF(OR($B166="",$A166&gt;$B$9,D$163=""),"",IF(COUNTIFS(BD!$B$3:$B$5001,D$163,BD!$A$3:$A$5001,"&gt;="&amp;$C$7,BD!$A$3:$A$5001,"&lt;="&amp;$B166,BD!$Q$3:$Q$5001,"&lt;&gt;")=0,"",SUMIFS(BD!$Q$3:$Q$5001,BD!$B$3:$B$5001,D$163,BD!$A$3:$A$5001,_xlfn.MAXIFS(BD!$A$3:$A$5001,BD!$B$3:$B$5001,D$163,BD!$A$3:$A$5001,"&gt;="&amp;$C$7,BD!$A$3:$A$5001,"&lt;="&amp;$B166,BD!$Q$3:$Q$5001,"&lt;&gt;"))))</f>
        <v/>
      </c>
      <c r="E166" s="54" t="str">
        <f>IF(OR($B166="",$A166&gt;$B$9,E$163=""),"",IF(COUNTIFS(BD!$B$3:$B$5001,E$163,BD!$A$3:$A$5001,"&gt;="&amp;$C$7,BD!$A$3:$A$5001,"&lt;="&amp;$B166,BD!$Q$3:$Q$5001,"&lt;&gt;")=0,"",SUMIFS(BD!$Q$3:$Q$5001,BD!$B$3:$B$5001,E$163,BD!$A$3:$A$5001,_xlfn.MAXIFS(BD!$A$3:$A$5001,BD!$B$3:$B$5001,E$163,BD!$A$3:$A$5001,"&gt;="&amp;$C$7,BD!$A$3:$A$5001,"&lt;="&amp;$B166,BD!$Q$3:$Q$5001,"&lt;&gt;"))))</f>
        <v/>
      </c>
      <c r="F166" s="54" t="str">
        <f>IF(OR($B166="",$A166&gt;$B$9,F$163=""),"",IF(COUNTIFS(BD!$B$3:$B$5001,F$163,BD!$A$3:$A$5001,"&gt;="&amp;$C$7,BD!$A$3:$A$5001,"&lt;="&amp;$B166,BD!$Q$3:$Q$5001,"&lt;&gt;")=0,"",SUMIFS(BD!$Q$3:$Q$5001,BD!$B$3:$B$5001,F$163,BD!$A$3:$A$5001,_xlfn.MAXIFS(BD!$A$3:$A$5001,BD!$B$3:$B$5001,F$163,BD!$A$3:$A$5001,"&gt;="&amp;$C$7,BD!$A$3:$A$5001,"&lt;="&amp;$B166,BD!$Q$3:$Q$5001,"&lt;&gt;"))))</f>
        <v/>
      </c>
      <c r="G166" s="54" t="str">
        <f>IF(OR($B166="",$A166&gt;$B$9,G$163=""),"",IF(COUNTIFS(BD!$B$3:$B$5001,G$163,BD!$A$3:$A$5001,"&gt;="&amp;$C$7,BD!$A$3:$A$5001,"&lt;="&amp;$B166,BD!$Q$3:$Q$5001,"&lt;&gt;")=0,"",SUMIFS(BD!$Q$3:$Q$5001,BD!$B$3:$B$5001,G$163,BD!$A$3:$A$5001,_xlfn.MAXIFS(BD!$A$3:$A$5001,BD!$B$3:$B$5001,G$163,BD!$A$3:$A$5001,"&gt;="&amp;$C$7,BD!$A$3:$A$5001,"&lt;="&amp;$B166,BD!$Q$3:$Q$5001,"&lt;&gt;"))))</f>
        <v/>
      </c>
      <c r="H166" s="54" t="str">
        <f>IF(OR($B166="",$A166&gt;$B$9,H$163=""),"",IF(COUNTIFS(BD!$B$3:$B$5001,H$163,BD!$A$3:$A$5001,"&gt;="&amp;$C$7,BD!$A$3:$A$5001,"&lt;="&amp;$B166,BD!$Q$3:$Q$5001,"&lt;&gt;")=0,"",SUMIFS(BD!$Q$3:$Q$5001,BD!$B$3:$B$5001,H$163,BD!$A$3:$A$5001,_xlfn.MAXIFS(BD!$A$3:$A$5001,BD!$B$3:$B$5001,H$163,BD!$A$3:$A$5001,"&gt;="&amp;$C$7,BD!$A$3:$A$5001,"&lt;="&amp;$B166,BD!$Q$3:$Q$5001,"&lt;&gt;"))))</f>
        <v/>
      </c>
      <c r="I166" s="54" t="str">
        <f>IF(OR($B166="",$A166&gt;$B$9,I$163=""),"",IF(COUNTIFS(BD!$B$3:$B$5001,I$163,BD!$A$3:$A$5001,"&gt;="&amp;$C$7,BD!$A$3:$A$5001,"&lt;="&amp;$B166,BD!$Q$3:$Q$5001,"&lt;&gt;")=0,"",SUMIFS(BD!$Q$3:$Q$5001,BD!$B$3:$B$5001,I$163,BD!$A$3:$A$5001,_xlfn.MAXIFS(BD!$A$3:$A$5001,BD!$B$3:$B$5001,I$163,BD!$A$3:$A$5001,"&gt;="&amp;$C$7,BD!$A$3:$A$5001,"&lt;="&amp;$B166,BD!$Q$3:$Q$5001,"&lt;&gt;"))))</f>
        <v/>
      </c>
      <c r="J166" s="54" t="str">
        <f>IF(OR($B166="",$A166&gt;$B$9,J$163=""),"",IF(COUNTIFS(BD!$B$3:$B$5001,J$163,BD!$A$3:$A$5001,"&gt;="&amp;$C$7,BD!$A$3:$A$5001,"&lt;="&amp;$B166,BD!$Q$3:$Q$5001,"&lt;&gt;")=0,"",SUMIFS(BD!$Q$3:$Q$5001,BD!$B$3:$B$5001,J$163,BD!$A$3:$A$5001,_xlfn.MAXIFS(BD!$A$3:$A$5001,BD!$B$3:$B$5001,J$163,BD!$A$3:$A$5001,"&gt;="&amp;$C$7,BD!$A$3:$A$5001,"&lt;="&amp;$B166,BD!$Q$3:$Q$5001,"&lt;&gt;"))))</f>
        <v/>
      </c>
      <c r="K166" s="54" t="str">
        <f>IF(OR($B166="",$A166&gt;$B$9,K$163=""),"",IF(COUNTIFS(BD!$B$3:$B$5001,K$163,BD!$A$3:$A$5001,"&gt;="&amp;$C$7,BD!$A$3:$A$5001,"&lt;="&amp;$B166,BD!$Q$3:$Q$5001,"&lt;&gt;")=0,"",SUMIFS(BD!$Q$3:$Q$5001,BD!$B$3:$B$5001,K$163,BD!$A$3:$A$5001,_xlfn.MAXIFS(BD!$A$3:$A$5001,BD!$B$3:$B$5001,K$163,BD!$A$3:$A$5001,"&gt;="&amp;$C$7,BD!$A$3:$A$5001,"&lt;="&amp;$B166,BD!$Q$3:$Q$5001,"&lt;&gt;"))))</f>
        <v/>
      </c>
      <c r="L166" s="54" t="str">
        <f>IF(OR($B166="",$A166&gt;$B$9,L$163=""),"",IF(COUNTIFS(BD!$B$3:$B$5001,L$163,BD!$A$3:$A$5001,"&gt;="&amp;$C$7,BD!$A$3:$A$5001,"&lt;="&amp;$B166,BD!$Q$3:$Q$5001,"&lt;&gt;")=0,"",SUMIFS(BD!$Q$3:$Q$5001,BD!$B$3:$B$5001,L$163,BD!$A$3:$A$5001,_xlfn.MAXIFS(BD!$A$3:$A$5001,BD!$B$3:$B$5001,L$163,BD!$A$3:$A$5001,"&gt;="&amp;$C$7,BD!$A$3:$A$5001,"&lt;="&amp;$B166,BD!$Q$3:$Q$5001,"&lt;&gt;"))))</f>
        <v/>
      </c>
      <c r="M166" s="54" t="str">
        <f>IF(OR($B166="",$A166&gt;$B$9,M$163=""),"",IF(COUNTIFS(BD!$B$3:$B$5001,M$163,BD!$A$3:$A$5001,"&gt;="&amp;$C$7,BD!$A$3:$A$5001,"&lt;="&amp;$B166,BD!$Q$3:$Q$5001,"&lt;&gt;")=0,"",SUMIFS(BD!$Q$3:$Q$5001,BD!$B$3:$B$5001,M$163,BD!$A$3:$A$5001,_xlfn.MAXIFS(BD!$A$3:$A$5001,BD!$B$3:$B$5001,M$163,BD!$A$3:$A$5001,"&gt;="&amp;$C$7,BD!$A$3:$A$5001,"&lt;="&amp;$B166,BD!$Q$3:$Q$5001,"&lt;&gt;"))))</f>
        <v/>
      </c>
      <c r="N166" s="54" t="str">
        <f>IF(OR($B166="",$A166&gt;$B$9,N$163=""),"",IF(COUNTIFS(BD!$B$3:$B$5001,N$163,BD!$A$3:$A$5001,"&gt;="&amp;$C$7,BD!$A$3:$A$5001,"&lt;="&amp;$B166,BD!$Q$3:$Q$5001,"&lt;&gt;")=0,"",SUMIFS(BD!$Q$3:$Q$5001,BD!$B$3:$B$5001,N$163,BD!$A$3:$A$5001,_xlfn.MAXIFS(BD!$A$3:$A$5001,BD!$B$3:$B$5001,N$163,BD!$A$3:$A$5001,"&gt;="&amp;$C$7,BD!$A$3:$A$5001,"&lt;="&amp;$B166,BD!$Q$3:$Q$5001,"&lt;&gt;"))))</f>
        <v/>
      </c>
      <c r="O166" s="54" t="str">
        <f>IF(OR($B166="",$A166&gt;$B$9,O$163=""),"",IF(COUNTIFS(BD!$B$3:$B$5001,O$163,BD!$A$3:$A$5001,"&gt;="&amp;$C$7,BD!$A$3:$A$5001,"&lt;="&amp;$B166,BD!$Q$3:$Q$5001,"&lt;&gt;")=0,"",SUMIFS(BD!$Q$3:$Q$5001,BD!$B$3:$B$5001,O$163,BD!$A$3:$A$5001,_xlfn.MAXIFS(BD!$A$3:$A$5001,BD!$B$3:$B$5001,O$163,BD!$A$3:$A$5001,"&gt;="&amp;$C$7,BD!$A$3:$A$5001,"&lt;="&amp;$B166,BD!$Q$3:$Q$5001,"&lt;&gt;"))))</f>
        <v/>
      </c>
      <c r="P166" s="54" t="str">
        <f>IF(OR($B166="",$A166&gt;$B$9,P$163=""),"",IF(COUNTIFS(BD!$B$3:$B$5001,P$163,BD!$A$3:$A$5001,"&gt;="&amp;$C$7,BD!$A$3:$A$5001,"&lt;="&amp;$B166,BD!$Q$3:$Q$5001,"&lt;&gt;")=0,"",SUMIFS(BD!$Q$3:$Q$5001,BD!$B$3:$B$5001,P$163,BD!$A$3:$A$5001,_xlfn.MAXIFS(BD!$A$3:$A$5001,BD!$B$3:$B$5001,P$163,BD!$A$3:$A$5001,"&gt;="&amp;$C$7,BD!$A$3:$A$5001,"&lt;="&amp;$B166,BD!$Q$3:$Q$5001,"&lt;&gt;"))))</f>
        <v/>
      </c>
      <c r="Q166" s="54" t="str">
        <f>IF(OR($B166="",$A166&gt;$B$9,Q$163=""),"",IF(COUNTIFS(BD!$B$3:$B$5001,Q$163,BD!$A$3:$A$5001,"&gt;="&amp;$C$7,BD!$A$3:$A$5001,"&lt;="&amp;$B166,BD!$Q$3:$Q$5001,"&lt;&gt;")=0,"",SUMIFS(BD!$Q$3:$Q$5001,BD!$B$3:$B$5001,Q$163,BD!$A$3:$A$5001,_xlfn.MAXIFS(BD!$A$3:$A$5001,BD!$B$3:$B$5001,Q$163,BD!$A$3:$A$5001,"&gt;="&amp;$C$7,BD!$A$3:$A$5001,"&lt;="&amp;$B166,BD!$Q$3:$Q$5001,"&lt;&gt;"))))</f>
        <v/>
      </c>
      <c r="R166" s="54" t="str">
        <f>IF(OR($B166="",$A166&gt;$B$9,R$163=""),"",IF(COUNTIFS(BD!$B$3:$B$5001,R$163,BD!$A$3:$A$5001,"&gt;="&amp;$C$7,BD!$A$3:$A$5001,"&lt;="&amp;$B166,BD!$Q$3:$Q$5001,"&lt;&gt;")=0,"",SUMIFS(BD!$Q$3:$Q$5001,BD!$B$3:$B$5001,R$163,BD!$A$3:$A$5001,_xlfn.MAXIFS(BD!$A$3:$A$5001,BD!$B$3:$B$5001,R$163,BD!$A$3:$A$5001,"&gt;="&amp;$C$7,BD!$A$3:$A$5001,"&lt;="&amp;$B166,BD!$Q$3:$Q$5001,"&lt;&gt;"))))</f>
        <v/>
      </c>
      <c r="S166" s="54" t="str">
        <f>IF(OR($B166="",$A166&gt;$B$9,S$163=""),"",IF(COUNTIFS(BD!$B$3:$B$5001,S$163,BD!$A$3:$A$5001,"&gt;="&amp;$C$7,BD!$A$3:$A$5001,"&lt;="&amp;$B166,BD!$Q$3:$Q$5001,"&lt;&gt;")=0,"",SUMIFS(BD!$Q$3:$Q$5001,BD!$B$3:$B$5001,S$163,BD!$A$3:$A$5001,_xlfn.MAXIFS(BD!$A$3:$A$5001,BD!$B$3:$B$5001,S$163,BD!$A$3:$A$5001,"&gt;="&amp;$C$7,BD!$A$3:$A$5001,"&lt;="&amp;$B166,BD!$Q$3:$Q$5001,"&lt;&gt;"))))</f>
        <v/>
      </c>
      <c r="T166" s="54" t="str">
        <f>IF(OR($B166="",$A166&gt;$B$9,T$163=""),"",IF(COUNTIFS(BD!$B$3:$B$5001,T$163,BD!$A$3:$A$5001,"&gt;="&amp;$C$7,BD!$A$3:$A$5001,"&lt;="&amp;$B166,BD!$Q$3:$Q$5001,"&lt;&gt;")=0,"",SUMIFS(BD!$Q$3:$Q$5001,BD!$B$3:$B$5001,T$163,BD!$A$3:$A$5001,_xlfn.MAXIFS(BD!$A$3:$A$5001,BD!$B$3:$B$5001,T$163,BD!$A$3:$A$5001,"&gt;="&amp;$C$7,BD!$A$3:$A$5001,"&lt;="&amp;$B166,BD!$Q$3:$Q$5001,"&lt;&gt;"))))</f>
        <v/>
      </c>
      <c r="U166" s="54" t="str">
        <f>IF(OR($B166="",$A166&gt;$B$9,U$163=""),"",IF(COUNTIFS(BD!$B$3:$B$5001,U$163,BD!$A$3:$A$5001,"&gt;="&amp;$C$7,BD!$A$3:$A$5001,"&lt;="&amp;$B166,BD!$Q$3:$Q$5001,"&lt;&gt;")=0,"",SUMIFS(BD!$Q$3:$Q$5001,BD!$B$3:$B$5001,U$163,BD!$A$3:$A$5001,_xlfn.MAXIFS(BD!$A$3:$A$5001,BD!$B$3:$B$5001,U$163,BD!$A$3:$A$5001,"&gt;="&amp;$C$7,BD!$A$3:$A$5001,"&lt;="&amp;$B166,BD!$Q$3:$Q$5001,"&lt;&gt;"))))</f>
        <v/>
      </c>
      <c r="V166" s="54" t="str">
        <f>IF(OR($B166="",$A166&gt;$B$9,V$163=""),"",IF(COUNTIFS(BD!$B$3:$B$5001,V$163,BD!$A$3:$A$5001,"&gt;="&amp;$C$7,BD!$A$3:$A$5001,"&lt;="&amp;$B166,BD!$Q$3:$Q$5001,"&lt;&gt;")=0,"",SUMIFS(BD!$Q$3:$Q$5001,BD!$B$3:$B$5001,V$163,BD!$A$3:$A$5001,_xlfn.MAXIFS(BD!$A$3:$A$5001,BD!$B$3:$B$5001,V$163,BD!$A$3:$A$5001,"&gt;="&amp;$C$7,BD!$A$3:$A$5001,"&lt;="&amp;$B166,BD!$Q$3:$Q$5001,"&lt;&gt;"))))</f>
        <v/>
      </c>
    </row>
    <row r="167">
      <c r="A167" s="48">
        <v>4</v>
      </c>
      <c r="B167" s="53">
        <f>$B$15</f>
        <v>46299</v>
      </c>
      <c r="C167" s="54" t="str">
        <f>IF(OR($B167="",$A167&gt;$B$9,C$163=""),"",IF(COUNTIFS(BD!$B$3:$B$5001,C$163,BD!$A$3:$A$5001,"&gt;="&amp;$C$7,BD!$A$3:$A$5001,"&lt;="&amp;$B167,BD!$Q$3:$Q$5001,"&lt;&gt;")=0,"",SUMIFS(BD!$Q$3:$Q$5001,BD!$B$3:$B$5001,C$163,BD!$A$3:$A$5001,_xlfn.MAXIFS(BD!$A$3:$A$5001,BD!$B$3:$B$5001,C$163,BD!$A$3:$A$5001,"&gt;="&amp;$C$7,BD!$A$3:$A$5001,"&lt;="&amp;$B167,BD!$Q$3:$Q$5001,"&lt;&gt;"))))</f>
        <v/>
      </c>
      <c r="D167" s="54" t="str">
        <f>IF(OR($B167="",$A167&gt;$B$9,D$163=""),"",IF(COUNTIFS(BD!$B$3:$B$5001,D$163,BD!$A$3:$A$5001,"&gt;="&amp;$C$7,BD!$A$3:$A$5001,"&lt;="&amp;$B167,BD!$Q$3:$Q$5001,"&lt;&gt;")=0,"",SUMIFS(BD!$Q$3:$Q$5001,BD!$B$3:$B$5001,D$163,BD!$A$3:$A$5001,_xlfn.MAXIFS(BD!$A$3:$A$5001,BD!$B$3:$B$5001,D$163,BD!$A$3:$A$5001,"&gt;="&amp;$C$7,BD!$A$3:$A$5001,"&lt;="&amp;$B167,BD!$Q$3:$Q$5001,"&lt;&gt;"))))</f>
        <v/>
      </c>
      <c r="E167" s="54" t="str">
        <f>IF(OR($B167="",$A167&gt;$B$9,E$163=""),"",IF(COUNTIFS(BD!$B$3:$B$5001,E$163,BD!$A$3:$A$5001,"&gt;="&amp;$C$7,BD!$A$3:$A$5001,"&lt;="&amp;$B167,BD!$Q$3:$Q$5001,"&lt;&gt;")=0,"",SUMIFS(BD!$Q$3:$Q$5001,BD!$B$3:$B$5001,E$163,BD!$A$3:$A$5001,_xlfn.MAXIFS(BD!$A$3:$A$5001,BD!$B$3:$B$5001,E$163,BD!$A$3:$A$5001,"&gt;="&amp;$C$7,BD!$A$3:$A$5001,"&lt;="&amp;$B167,BD!$Q$3:$Q$5001,"&lt;&gt;"))))</f>
        <v/>
      </c>
      <c r="F167" s="54" t="str">
        <f>IF(OR($B167="",$A167&gt;$B$9,F$163=""),"",IF(COUNTIFS(BD!$B$3:$B$5001,F$163,BD!$A$3:$A$5001,"&gt;="&amp;$C$7,BD!$A$3:$A$5001,"&lt;="&amp;$B167,BD!$Q$3:$Q$5001,"&lt;&gt;")=0,"",SUMIFS(BD!$Q$3:$Q$5001,BD!$B$3:$B$5001,F$163,BD!$A$3:$A$5001,_xlfn.MAXIFS(BD!$A$3:$A$5001,BD!$B$3:$B$5001,F$163,BD!$A$3:$A$5001,"&gt;="&amp;$C$7,BD!$A$3:$A$5001,"&lt;="&amp;$B167,BD!$Q$3:$Q$5001,"&lt;&gt;"))))</f>
        <v/>
      </c>
      <c r="G167" s="54" t="str">
        <f>IF(OR($B167="",$A167&gt;$B$9,G$163=""),"",IF(COUNTIFS(BD!$B$3:$B$5001,G$163,BD!$A$3:$A$5001,"&gt;="&amp;$C$7,BD!$A$3:$A$5001,"&lt;="&amp;$B167,BD!$Q$3:$Q$5001,"&lt;&gt;")=0,"",SUMIFS(BD!$Q$3:$Q$5001,BD!$B$3:$B$5001,G$163,BD!$A$3:$A$5001,_xlfn.MAXIFS(BD!$A$3:$A$5001,BD!$B$3:$B$5001,G$163,BD!$A$3:$A$5001,"&gt;="&amp;$C$7,BD!$A$3:$A$5001,"&lt;="&amp;$B167,BD!$Q$3:$Q$5001,"&lt;&gt;"))))</f>
        <v/>
      </c>
      <c r="H167" s="54" t="str">
        <f>IF(OR($B167="",$A167&gt;$B$9,H$163=""),"",IF(COUNTIFS(BD!$B$3:$B$5001,H$163,BD!$A$3:$A$5001,"&gt;="&amp;$C$7,BD!$A$3:$A$5001,"&lt;="&amp;$B167,BD!$Q$3:$Q$5001,"&lt;&gt;")=0,"",SUMIFS(BD!$Q$3:$Q$5001,BD!$B$3:$B$5001,H$163,BD!$A$3:$A$5001,_xlfn.MAXIFS(BD!$A$3:$A$5001,BD!$B$3:$B$5001,H$163,BD!$A$3:$A$5001,"&gt;="&amp;$C$7,BD!$A$3:$A$5001,"&lt;="&amp;$B167,BD!$Q$3:$Q$5001,"&lt;&gt;"))))</f>
        <v/>
      </c>
      <c r="I167" s="54" t="str">
        <f>IF(OR($B167="",$A167&gt;$B$9,I$163=""),"",IF(COUNTIFS(BD!$B$3:$B$5001,I$163,BD!$A$3:$A$5001,"&gt;="&amp;$C$7,BD!$A$3:$A$5001,"&lt;="&amp;$B167,BD!$Q$3:$Q$5001,"&lt;&gt;")=0,"",SUMIFS(BD!$Q$3:$Q$5001,BD!$B$3:$B$5001,I$163,BD!$A$3:$A$5001,_xlfn.MAXIFS(BD!$A$3:$A$5001,BD!$B$3:$B$5001,I$163,BD!$A$3:$A$5001,"&gt;="&amp;$C$7,BD!$A$3:$A$5001,"&lt;="&amp;$B167,BD!$Q$3:$Q$5001,"&lt;&gt;"))))</f>
        <v/>
      </c>
      <c r="J167" s="54" t="str">
        <f>IF(OR($B167="",$A167&gt;$B$9,J$163=""),"",IF(COUNTIFS(BD!$B$3:$B$5001,J$163,BD!$A$3:$A$5001,"&gt;="&amp;$C$7,BD!$A$3:$A$5001,"&lt;="&amp;$B167,BD!$Q$3:$Q$5001,"&lt;&gt;")=0,"",SUMIFS(BD!$Q$3:$Q$5001,BD!$B$3:$B$5001,J$163,BD!$A$3:$A$5001,_xlfn.MAXIFS(BD!$A$3:$A$5001,BD!$B$3:$B$5001,J$163,BD!$A$3:$A$5001,"&gt;="&amp;$C$7,BD!$A$3:$A$5001,"&lt;="&amp;$B167,BD!$Q$3:$Q$5001,"&lt;&gt;"))))</f>
        <v/>
      </c>
      <c r="K167" s="54" t="str">
        <f>IF(OR($B167="",$A167&gt;$B$9,K$163=""),"",IF(COUNTIFS(BD!$B$3:$B$5001,K$163,BD!$A$3:$A$5001,"&gt;="&amp;$C$7,BD!$A$3:$A$5001,"&lt;="&amp;$B167,BD!$Q$3:$Q$5001,"&lt;&gt;")=0,"",SUMIFS(BD!$Q$3:$Q$5001,BD!$B$3:$B$5001,K$163,BD!$A$3:$A$5001,_xlfn.MAXIFS(BD!$A$3:$A$5001,BD!$B$3:$B$5001,K$163,BD!$A$3:$A$5001,"&gt;="&amp;$C$7,BD!$A$3:$A$5001,"&lt;="&amp;$B167,BD!$Q$3:$Q$5001,"&lt;&gt;"))))</f>
        <v/>
      </c>
      <c r="L167" s="54" t="str">
        <f>IF(OR($B167="",$A167&gt;$B$9,L$163=""),"",IF(COUNTIFS(BD!$B$3:$B$5001,L$163,BD!$A$3:$A$5001,"&gt;="&amp;$C$7,BD!$A$3:$A$5001,"&lt;="&amp;$B167,BD!$Q$3:$Q$5001,"&lt;&gt;")=0,"",SUMIFS(BD!$Q$3:$Q$5001,BD!$B$3:$B$5001,L$163,BD!$A$3:$A$5001,_xlfn.MAXIFS(BD!$A$3:$A$5001,BD!$B$3:$B$5001,L$163,BD!$A$3:$A$5001,"&gt;="&amp;$C$7,BD!$A$3:$A$5001,"&lt;="&amp;$B167,BD!$Q$3:$Q$5001,"&lt;&gt;"))))</f>
        <v/>
      </c>
      <c r="M167" s="54" t="str">
        <f>IF(OR($B167="",$A167&gt;$B$9,M$163=""),"",IF(COUNTIFS(BD!$B$3:$B$5001,M$163,BD!$A$3:$A$5001,"&gt;="&amp;$C$7,BD!$A$3:$A$5001,"&lt;="&amp;$B167,BD!$Q$3:$Q$5001,"&lt;&gt;")=0,"",SUMIFS(BD!$Q$3:$Q$5001,BD!$B$3:$B$5001,M$163,BD!$A$3:$A$5001,_xlfn.MAXIFS(BD!$A$3:$A$5001,BD!$B$3:$B$5001,M$163,BD!$A$3:$A$5001,"&gt;="&amp;$C$7,BD!$A$3:$A$5001,"&lt;="&amp;$B167,BD!$Q$3:$Q$5001,"&lt;&gt;"))))</f>
        <v/>
      </c>
      <c r="N167" s="54" t="str">
        <f>IF(OR($B167="",$A167&gt;$B$9,N$163=""),"",IF(COUNTIFS(BD!$B$3:$B$5001,N$163,BD!$A$3:$A$5001,"&gt;="&amp;$C$7,BD!$A$3:$A$5001,"&lt;="&amp;$B167,BD!$Q$3:$Q$5001,"&lt;&gt;")=0,"",SUMIFS(BD!$Q$3:$Q$5001,BD!$B$3:$B$5001,N$163,BD!$A$3:$A$5001,_xlfn.MAXIFS(BD!$A$3:$A$5001,BD!$B$3:$B$5001,N$163,BD!$A$3:$A$5001,"&gt;="&amp;$C$7,BD!$A$3:$A$5001,"&lt;="&amp;$B167,BD!$Q$3:$Q$5001,"&lt;&gt;"))))</f>
        <v/>
      </c>
      <c r="O167" s="54" t="str">
        <f>IF(OR($B167="",$A167&gt;$B$9,O$163=""),"",IF(COUNTIFS(BD!$B$3:$B$5001,O$163,BD!$A$3:$A$5001,"&gt;="&amp;$C$7,BD!$A$3:$A$5001,"&lt;="&amp;$B167,BD!$Q$3:$Q$5001,"&lt;&gt;")=0,"",SUMIFS(BD!$Q$3:$Q$5001,BD!$B$3:$B$5001,O$163,BD!$A$3:$A$5001,_xlfn.MAXIFS(BD!$A$3:$A$5001,BD!$B$3:$B$5001,O$163,BD!$A$3:$A$5001,"&gt;="&amp;$C$7,BD!$A$3:$A$5001,"&lt;="&amp;$B167,BD!$Q$3:$Q$5001,"&lt;&gt;"))))</f>
        <v/>
      </c>
      <c r="P167" s="54" t="str">
        <f>IF(OR($B167="",$A167&gt;$B$9,P$163=""),"",IF(COUNTIFS(BD!$B$3:$B$5001,P$163,BD!$A$3:$A$5001,"&gt;="&amp;$C$7,BD!$A$3:$A$5001,"&lt;="&amp;$B167,BD!$Q$3:$Q$5001,"&lt;&gt;")=0,"",SUMIFS(BD!$Q$3:$Q$5001,BD!$B$3:$B$5001,P$163,BD!$A$3:$A$5001,_xlfn.MAXIFS(BD!$A$3:$A$5001,BD!$B$3:$B$5001,P$163,BD!$A$3:$A$5001,"&gt;="&amp;$C$7,BD!$A$3:$A$5001,"&lt;="&amp;$B167,BD!$Q$3:$Q$5001,"&lt;&gt;"))))</f>
        <v/>
      </c>
      <c r="Q167" s="54" t="str">
        <f>IF(OR($B167="",$A167&gt;$B$9,Q$163=""),"",IF(COUNTIFS(BD!$B$3:$B$5001,Q$163,BD!$A$3:$A$5001,"&gt;="&amp;$C$7,BD!$A$3:$A$5001,"&lt;="&amp;$B167,BD!$Q$3:$Q$5001,"&lt;&gt;")=0,"",SUMIFS(BD!$Q$3:$Q$5001,BD!$B$3:$B$5001,Q$163,BD!$A$3:$A$5001,_xlfn.MAXIFS(BD!$A$3:$A$5001,BD!$B$3:$B$5001,Q$163,BD!$A$3:$A$5001,"&gt;="&amp;$C$7,BD!$A$3:$A$5001,"&lt;="&amp;$B167,BD!$Q$3:$Q$5001,"&lt;&gt;"))))</f>
        <v/>
      </c>
      <c r="R167" s="54" t="str">
        <f>IF(OR($B167="",$A167&gt;$B$9,R$163=""),"",IF(COUNTIFS(BD!$B$3:$B$5001,R$163,BD!$A$3:$A$5001,"&gt;="&amp;$C$7,BD!$A$3:$A$5001,"&lt;="&amp;$B167,BD!$Q$3:$Q$5001,"&lt;&gt;")=0,"",SUMIFS(BD!$Q$3:$Q$5001,BD!$B$3:$B$5001,R$163,BD!$A$3:$A$5001,_xlfn.MAXIFS(BD!$A$3:$A$5001,BD!$B$3:$B$5001,R$163,BD!$A$3:$A$5001,"&gt;="&amp;$C$7,BD!$A$3:$A$5001,"&lt;="&amp;$B167,BD!$Q$3:$Q$5001,"&lt;&gt;"))))</f>
        <v/>
      </c>
      <c r="S167" s="54" t="str">
        <f>IF(OR($B167="",$A167&gt;$B$9,S$163=""),"",IF(COUNTIFS(BD!$B$3:$B$5001,S$163,BD!$A$3:$A$5001,"&gt;="&amp;$C$7,BD!$A$3:$A$5001,"&lt;="&amp;$B167,BD!$Q$3:$Q$5001,"&lt;&gt;")=0,"",SUMIFS(BD!$Q$3:$Q$5001,BD!$B$3:$B$5001,S$163,BD!$A$3:$A$5001,_xlfn.MAXIFS(BD!$A$3:$A$5001,BD!$B$3:$B$5001,S$163,BD!$A$3:$A$5001,"&gt;="&amp;$C$7,BD!$A$3:$A$5001,"&lt;="&amp;$B167,BD!$Q$3:$Q$5001,"&lt;&gt;"))))</f>
        <v/>
      </c>
      <c r="T167" s="54" t="str">
        <f>IF(OR($B167="",$A167&gt;$B$9,T$163=""),"",IF(COUNTIFS(BD!$B$3:$B$5001,T$163,BD!$A$3:$A$5001,"&gt;="&amp;$C$7,BD!$A$3:$A$5001,"&lt;="&amp;$B167,BD!$Q$3:$Q$5001,"&lt;&gt;")=0,"",SUMIFS(BD!$Q$3:$Q$5001,BD!$B$3:$B$5001,T$163,BD!$A$3:$A$5001,_xlfn.MAXIFS(BD!$A$3:$A$5001,BD!$B$3:$B$5001,T$163,BD!$A$3:$A$5001,"&gt;="&amp;$C$7,BD!$A$3:$A$5001,"&lt;="&amp;$B167,BD!$Q$3:$Q$5001,"&lt;&gt;"))))</f>
        <v/>
      </c>
      <c r="U167" s="54" t="str">
        <f>IF(OR($B167="",$A167&gt;$B$9,U$163=""),"",IF(COUNTIFS(BD!$B$3:$B$5001,U$163,BD!$A$3:$A$5001,"&gt;="&amp;$C$7,BD!$A$3:$A$5001,"&lt;="&amp;$B167,BD!$Q$3:$Q$5001,"&lt;&gt;")=0,"",SUMIFS(BD!$Q$3:$Q$5001,BD!$B$3:$B$5001,U$163,BD!$A$3:$A$5001,_xlfn.MAXIFS(BD!$A$3:$A$5001,BD!$B$3:$B$5001,U$163,BD!$A$3:$A$5001,"&gt;="&amp;$C$7,BD!$A$3:$A$5001,"&lt;="&amp;$B167,BD!$Q$3:$Q$5001,"&lt;&gt;"))))</f>
        <v/>
      </c>
      <c r="V167" s="54" t="str">
        <f>IF(OR($B167="",$A167&gt;$B$9,V$163=""),"",IF(COUNTIFS(BD!$B$3:$B$5001,V$163,BD!$A$3:$A$5001,"&gt;="&amp;$C$7,BD!$A$3:$A$5001,"&lt;="&amp;$B167,BD!$Q$3:$Q$5001,"&lt;&gt;")=0,"",SUMIFS(BD!$Q$3:$Q$5001,BD!$B$3:$B$5001,V$163,BD!$A$3:$A$5001,_xlfn.MAXIFS(BD!$A$3:$A$5001,BD!$B$3:$B$5001,V$163,BD!$A$3:$A$5001,"&gt;="&amp;$C$7,BD!$A$3:$A$5001,"&lt;="&amp;$B167,BD!$Q$3:$Q$5001,"&lt;&gt;"))))</f>
        <v/>
      </c>
    </row>
    <row r="168">
      <c r="A168" s="48">
        <v>5</v>
      </c>
      <c r="B168" s="53">
        <f>$B$16</f>
        <v>46300</v>
      </c>
      <c r="C168" s="54" t="str">
        <f>IF(OR($B168="",$A168&gt;$B$9,C$163=""),"",IF(COUNTIFS(BD!$B$3:$B$5001,C$163,BD!$A$3:$A$5001,"&gt;="&amp;$C$7,BD!$A$3:$A$5001,"&lt;="&amp;$B168,BD!$Q$3:$Q$5001,"&lt;&gt;")=0,"",SUMIFS(BD!$Q$3:$Q$5001,BD!$B$3:$B$5001,C$163,BD!$A$3:$A$5001,_xlfn.MAXIFS(BD!$A$3:$A$5001,BD!$B$3:$B$5001,C$163,BD!$A$3:$A$5001,"&gt;="&amp;$C$7,BD!$A$3:$A$5001,"&lt;="&amp;$B168,BD!$Q$3:$Q$5001,"&lt;&gt;"))))</f>
        <v/>
      </c>
      <c r="D168" s="54" t="str">
        <f>IF(OR($B168="",$A168&gt;$B$9,D$163=""),"",IF(COUNTIFS(BD!$B$3:$B$5001,D$163,BD!$A$3:$A$5001,"&gt;="&amp;$C$7,BD!$A$3:$A$5001,"&lt;="&amp;$B168,BD!$Q$3:$Q$5001,"&lt;&gt;")=0,"",SUMIFS(BD!$Q$3:$Q$5001,BD!$B$3:$B$5001,D$163,BD!$A$3:$A$5001,_xlfn.MAXIFS(BD!$A$3:$A$5001,BD!$B$3:$B$5001,D$163,BD!$A$3:$A$5001,"&gt;="&amp;$C$7,BD!$A$3:$A$5001,"&lt;="&amp;$B168,BD!$Q$3:$Q$5001,"&lt;&gt;"))))</f>
        <v/>
      </c>
      <c r="E168" s="54" t="str">
        <f>IF(OR($B168="",$A168&gt;$B$9,E$163=""),"",IF(COUNTIFS(BD!$B$3:$B$5001,E$163,BD!$A$3:$A$5001,"&gt;="&amp;$C$7,BD!$A$3:$A$5001,"&lt;="&amp;$B168,BD!$Q$3:$Q$5001,"&lt;&gt;")=0,"",SUMIFS(BD!$Q$3:$Q$5001,BD!$B$3:$B$5001,E$163,BD!$A$3:$A$5001,_xlfn.MAXIFS(BD!$A$3:$A$5001,BD!$B$3:$B$5001,E$163,BD!$A$3:$A$5001,"&gt;="&amp;$C$7,BD!$A$3:$A$5001,"&lt;="&amp;$B168,BD!$Q$3:$Q$5001,"&lt;&gt;"))))</f>
        <v/>
      </c>
      <c r="F168" s="54" t="str">
        <f>IF(OR($B168="",$A168&gt;$B$9,F$163=""),"",IF(COUNTIFS(BD!$B$3:$B$5001,F$163,BD!$A$3:$A$5001,"&gt;="&amp;$C$7,BD!$A$3:$A$5001,"&lt;="&amp;$B168,BD!$Q$3:$Q$5001,"&lt;&gt;")=0,"",SUMIFS(BD!$Q$3:$Q$5001,BD!$B$3:$B$5001,F$163,BD!$A$3:$A$5001,_xlfn.MAXIFS(BD!$A$3:$A$5001,BD!$B$3:$B$5001,F$163,BD!$A$3:$A$5001,"&gt;="&amp;$C$7,BD!$A$3:$A$5001,"&lt;="&amp;$B168,BD!$Q$3:$Q$5001,"&lt;&gt;"))))</f>
        <v/>
      </c>
      <c r="G168" s="54" t="str">
        <f>IF(OR($B168="",$A168&gt;$B$9,G$163=""),"",IF(COUNTIFS(BD!$B$3:$B$5001,G$163,BD!$A$3:$A$5001,"&gt;="&amp;$C$7,BD!$A$3:$A$5001,"&lt;="&amp;$B168,BD!$Q$3:$Q$5001,"&lt;&gt;")=0,"",SUMIFS(BD!$Q$3:$Q$5001,BD!$B$3:$B$5001,G$163,BD!$A$3:$A$5001,_xlfn.MAXIFS(BD!$A$3:$A$5001,BD!$B$3:$B$5001,G$163,BD!$A$3:$A$5001,"&gt;="&amp;$C$7,BD!$A$3:$A$5001,"&lt;="&amp;$B168,BD!$Q$3:$Q$5001,"&lt;&gt;"))))</f>
        <v/>
      </c>
      <c r="H168" s="54" t="str">
        <f>IF(OR($B168="",$A168&gt;$B$9,H$163=""),"",IF(COUNTIFS(BD!$B$3:$B$5001,H$163,BD!$A$3:$A$5001,"&gt;="&amp;$C$7,BD!$A$3:$A$5001,"&lt;="&amp;$B168,BD!$Q$3:$Q$5001,"&lt;&gt;")=0,"",SUMIFS(BD!$Q$3:$Q$5001,BD!$B$3:$B$5001,H$163,BD!$A$3:$A$5001,_xlfn.MAXIFS(BD!$A$3:$A$5001,BD!$B$3:$B$5001,H$163,BD!$A$3:$A$5001,"&gt;="&amp;$C$7,BD!$A$3:$A$5001,"&lt;="&amp;$B168,BD!$Q$3:$Q$5001,"&lt;&gt;"))))</f>
        <v/>
      </c>
      <c r="I168" s="54" t="str">
        <f>IF(OR($B168="",$A168&gt;$B$9,I$163=""),"",IF(COUNTIFS(BD!$B$3:$B$5001,I$163,BD!$A$3:$A$5001,"&gt;="&amp;$C$7,BD!$A$3:$A$5001,"&lt;="&amp;$B168,BD!$Q$3:$Q$5001,"&lt;&gt;")=0,"",SUMIFS(BD!$Q$3:$Q$5001,BD!$B$3:$B$5001,I$163,BD!$A$3:$A$5001,_xlfn.MAXIFS(BD!$A$3:$A$5001,BD!$B$3:$B$5001,I$163,BD!$A$3:$A$5001,"&gt;="&amp;$C$7,BD!$A$3:$A$5001,"&lt;="&amp;$B168,BD!$Q$3:$Q$5001,"&lt;&gt;"))))</f>
        <v/>
      </c>
      <c r="J168" s="54" t="str">
        <f>IF(OR($B168="",$A168&gt;$B$9,J$163=""),"",IF(COUNTIFS(BD!$B$3:$B$5001,J$163,BD!$A$3:$A$5001,"&gt;="&amp;$C$7,BD!$A$3:$A$5001,"&lt;="&amp;$B168,BD!$Q$3:$Q$5001,"&lt;&gt;")=0,"",SUMIFS(BD!$Q$3:$Q$5001,BD!$B$3:$B$5001,J$163,BD!$A$3:$A$5001,_xlfn.MAXIFS(BD!$A$3:$A$5001,BD!$B$3:$B$5001,J$163,BD!$A$3:$A$5001,"&gt;="&amp;$C$7,BD!$A$3:$A$5001,"&lt;="&amp;$B168,BD!$Q$3:$Q$5001,"&lt;&gt;"))))</f>
        <v/>
      </c>
      <c r="K168" s="54" t="str">
        <f>IF(OR($B168="",$A168&gt;$B$9,K$163=""),"",IF(COUNTIFS(BD!$B$3:$B$5001,K$163,BD!$A$3:$A$5001,"&gt;="&amp;$C$7,BD!$A$3:$A$5001,"&lt;="&amp;$B168,BD!$Q$3:$Q$5001,"&lt;&gt;")=0,"",SUMIFS(BD!$Q$3:$Q$5001,BD!$B$3:$B$5001,K$163,BD!$A$3:$A$5001,_xlfn.MAXIFS(BD!$A$3:$A$5001,BD!$B$3:$B$5001,K$163,BD!$A$3:$A$5001,"&gt;="&amp;$C$7,BD!$A$3:$A$5001,"&lt;="&amp;$B168,BD!$Q$3:$Q$5001,"&lt;&gt;"))))</f>
        <v/>
      </c>
      <c r="L168" s="54" t="str">
        <f>IF(OR($B168="",$A168&gt;$B$9,L$163=""),"",IF(COUNTIFS(BD!$B$3:$B$5001,L$163,BD!$A$3:$A$5001,"&gt;="&amp;$C$7,BD!$A$3:$A$5001,"&lt;="&amp;$B168,BD!$Q$3:$Q$5001,"&lt;&gt;")=0,"",SUMIFS(BD!$Q$3:$Q$5001,BD!$B$3:$B$5001,L$163,BD!$A$3:$A$5001,_xlfn.MAXIFS(BD!$A$3:$A$5001,BD!$B$3:$B$5001,L$163,BD!$A$3:$A$5001,"&gt;="&amp;$C$7,BD!$A$3:$A$5001,"&lt;="&amp;$B168,BD!$Q$3:$Q$5001,"&lt;&gt;"))))</f>
        <v/>
      </c>
      <c r="M168" s="54" t="str">
        <f>IF(OR($B168="",$A168&gt;$B$9,M$163=""),"",IF(COUNTIFS(BD!$B$3:$B$5001,M$163,BD!$A$3:$A$5001,"&gt;="&amp;$C$7,BD!$A$3:$A$5001,"&lt;="&amp;$B168,BD!$Q$3:$Q$5001,"&lt;&gt;")=0,"",SUMIFS(BD!$Q$3:$Q$5001,BD!$B$3:$B$5001,M$163,BD!$A$3:$A$5001,_xlfn.MAXIFS(BD!$A$3:$A$5001,BD!$B$3:$B$5001,M$163,BD!$A$3:$A$5001,"&gt;="&amp;$C$7,BD!$A$3:$A$5001,"&lt;="&amp;$B168,BD!$Q$3:$Q$5001,"&lt;&gt;"))))</f>
        <v/>
      </c>
      <c r="N168" s="54" t="str">
        <f>IF(OR($B168="",$A168&gt;$B$9,N$163=""),"",IF(COUNTIFS(BD!$B$3:$B$5001,N$163,BD!$A$3:$A$5001,"&gt;="&amp;$C$7,BD!$A$3:$A$5001,"&lt;="&amp;$B168,BD!$Q$3:$Q$5001,"&lt;&gt;")=0,"",SUMIFS(BD!$Q$3:$Q$5001,BD!$B$3:$B$5001,N$163,BD!$A$3:$A$5001,_xlfn.MAXIFS(BD!$A$3:$A$5001,BD!$B$3:$B$5001,N$163,BD!$A$3:$A$5001,"&gt;="&amp;$C$7,BD!$A$3:$A$5001,"&lt;="&amp;$B168,BD!$Q$3:$Q$5001,"&lt;&gt;"))))</f>
        <v/>
      </c>
      <c r="O168" s="54" t="str">
        <f>IF(OR($B168="",$A168&gt;$B$9,O$163=""),"",IF(COUNTIFS(BD!$B$3:$B$5001,O$163,BD!$A$3:$A$5001,"&gt;="&amp;$C$7,BD!$A$3:$A$5001,"&lt;="&amp;$B168,BD!$Q$3:$Q$5001,"&lt;&gt;")=0,"",SUMIFS(BD!$Q$3:$Q$5001,BD!$B$3:$B$5001,O$163,BD!$A$3:$A$5001,_xlfn.MAXIFS(BD!$A$3:$A$5001,BD!$B$3:$B$5001,O$163,BD!$A$3:$A$5001,"&gt;="&amp;$C$7,BD!$A$3:$A$5001,"&lt;="&amp;$B168,BD!$Q$3:$Q$5001,"&lt;&gt;"))))</f>
        <v/>
      </c>
      <c r="P168" s="54" t="str">
        <f>IF(OR($B168="",$A168&gt;$B$9,P$163=""),"",IF(COUNTIFS(BD!$B$3:$B$5001,P$163,BD!$A$3:$A$5001,"&gt;="&amp;$C$7,BD!$A$3:$A$5001,"&lt;="&amp;$B168,BD!$Q$3:$Q$5001,"&lt;&gt;")=0,"",SUMIFS(BD!$Q$3:$Q$5001,BD!$B$3:$B$5001,P$163,BD!$A$3:$A$5001,_xlfn.MAXIFS(BD!$A$3:$A$5001,BD!$B$3:$B$5001,P$163,BD!$A$3:$A$5001,"&gt;="&amp;$C$7,BD!$A$3:$A$5001,"&lt;="&amp;$B168,BD!$Q$3:$Q$5001,"&lt;&gt;"))))</f>
        <v/>
      </c>
      <c r="Q168" s="54" t="str">
        <f>IF(OR($B168="",$A168&gt;$B$9,Q$163=""),"",IF(COUNTIFS(BD!$B$3:$B$5001,Q$163,BD!$A$3:$A$5001,"&gt;="&amp;$C$7,BD!$A$3:$A$5001,"&lt;="&amp;$B168,BD!$Q$3:$Q$5001,"&lt;&gt;")=0,"",SUMIFS(BD!$Q$3:$Q$5001,BD!$B$3:$B$5001,Q$163,BD!$A$3:$A$5001,_xlfn.MAXIFS(BD!$A$3:$A$5001,BD!$B$3:$B$5001,Q$163,BD!$A$3:$A$5001,"&gt;="&amp;$C$7,BD!$A$3:$A$5001,"&lt;="&amp;$B168,BD!$Q$3:$Q$5001,"&lt;&gt;"))))</f>
        <v/>
      </c>
      <c r="R168" s="54" t="str">
        <f>IF(OR($B168="",$A168&gt;$B$9,R$163=""),"",IF(COUNTIFS(BD!$B$3:$B$5001,R$163,BD!$A$3:$A$5001,"&gt;="&amp;$C$7,BD!$A$3:$A$5001,"&lt;="&amp;$B168,BD!$Q$3:$Q$5001,"&lt;&gt;")=0,"",SUMIFS(BD!$Q$3:$Q$5001,BD!$B$3:$B$5001,R$163,BD!$A$3:$A$5001,_xlfn.MAXIFS(BD!$A$3:$A$5001,BD!$B$3:$B$5001,R$163,BD!$A$3:$A$5001,"&gt;="&amp;$C$7,BD!$A$3:$A$5001,"&lt;="&amp;$B168,BD!$Q$3:$Q$5001,"&lt;&gt;"))))</f>
        <v/>
      </c>
      <c r="S168" s="54" t="str">
        <f>IF(OR($B168="",$A168&gt;$B$9,S$163=""),"",IF(COUNTIFS(BD!$B$3:$B$5001,S$163,BD!$A$3:$A$5001,"&gt;="&amp;$C$7,BD!$A$3:$A$5001,"&lt;="&amp;$B168,BD!$Q$3:$Q$5001,"&lt;&gt;")=0,"",SUMIFS(BD!$Q$3:$Q$5001,BD!$B$3:$B$5001,S$163,BD!$A$3:$A$5001,_xlfn.MAXIFS(BD!$A$3:$A$5001,BD!$B$3:$B$5001,S$163,BD!$A$3:$A$5001,"&gt;="&amp;$C$7,BD!$A$3:$A$5001,"&lt;="&amp;$B168,BD!$Q$3:$Q$5001,"&lt;&gt;"))))</f>
        <v/>
      </c>
      <c r="T168" s="54" t="str">
        <f>IF(OR($B168="",$A168&gt;$B$9,T$163=""),"",IF(COUNTIFS(BD!$B$3:$B$5001,T$163,BD!$A$3:$A$5001,"&gt;="&amp;$C$7,BD!$A$3:$A$5001,"&lt;="&amp;$B168,BD!$Q$3:$Q$5001,"&lt;&gt;")=0,"",SUMIFS(BD!$Q$3:$Q$5001,BD!$B$3:$B$5001,T$163,BD!$A$3:$A$5001,_xlfn.MAXIFS(BD!$A$3:$A$5001,BD!$B$3:$B$5001,T$163,BD!$A$3:$A$5001,"&gt;="&amp;$C$7,BD!$A$3:$A$5001,"&lt;="&amp;$B168,BD!$Q$3:$Q$5001,"&lt;&gt;"))))</f>
        <v/>
      </c>
      <c r="U168" s="54" t="str">
        <f>IF(OR($B168="",$A168&gt;$B$9,U$163=""),"",IF(COUNTIFS(BD!$B$3:$B$5001,U$163,BD!$A$3:$A$5001,"&gt;="&amp;$C$7,BD!$A$3:$A$5001,"&lt;="&amp;$B168,BD!$Q$3:$Q$5001,"&lt;&gt;")=0,"",SUMIFS(BD!$Q$3:$Q$5001,BD!$B$3:$B$5001,U$163,BD!$A$3:$A$5001,_xlfn.MAXIFS(BD!$A$3:$A$5001,BD!$B$3:$B$5001,U$163,BD!$A$3:$A$5001,"&gt;="&amp;$C$7,BD!$A$3:$A$5001,"&lt;="&amp;$B168,BD!$Q$3:$Q$5001,"&lt;&gt;"))))</f>
        <v/>
      </c>
      <c r="V168" s="54" t="str">
        <f>IF(OR($B168="",$A168&gt;$B$9,V$163=""),"",IF(COUNTIFS(BD!$B$3:$B$5001,V$163,BD!$A$3:$A$5001,"&gt;="&amp;$C$7,BD!$A$3:$A$5001,"&lt;="&amp;$B168,BD!$Q$3:$Q$5001,"&lt;&gt;")=0,"",SUMIFS(BD!$Q$3:$Q$5001,BD!$B$3:$B$5001,V$163,BD!$A$3:$A$5001,_xlfn.MAXIFS(BD!$A$3:$A$5001,BD!$B$3:$B$5001,V$163,BD!$A$3:$A$5001,"&gt;="&amp;$C$7,BD!$A$3:$A$5001,"&lt;="&amp;$B168,BD!$Q$3:$Q$5001,"&lt;&gt;"))))</f>
        <v/>
      </c>
    </row>
    <row r="169">
      <c r="A169" s="48">
        <v>6</v>
      </c>
      <c r="B169" s="53">
        <f>$B$17</f>
        <v>46301</v>
      </c>
      <c r="C169" s="54" t="str">
        <f>IF(OR($B169="",$A169&gt;$B$9,C$163=""),"",IF(COUNTIFS(BD!$B$3:$B$5001,C$163,BD!$A$3:$A$5001,"&gt;="&amp;$C$7,BD!$A$3:$A$5001,"&lt;="&amp;$B169,BD!$Q$3:$Q$5001,"&lt;&gt;")=0,"",SUMIFS(BD!$Q$3:$Q$5001,BD!$B$3:$B$5001,C$163,BD!$A$3:$A$5001,_xlfn.MAXIFS(BD!$A$3:$A$5001,BD!$B$3:$B$5001,C$163,BD!$A$3:$A$5001,"&gt;="&amp;$C$7,BD!$A$3:$A$5001,"&lt;="&amp;$B169,BD!$Q$3:$Q$5001,"&lt;&gt;"))))</f>
        <v/>
      </c>
      <c r="D169" s="54" t="str">
        <f>IF(OR($B169="",$A169&gt;$B$9,D$163=""),"",IF(COUNTIFS(BD!$B$3:$B$5001,D$163,BD!$A$3:$A$5001,"&gt;="&amp;$C$7,BD!$A$3:$A$5001,"&lt;="&amp;$B169,BD!$Q$3:$Q$5001,"&lt;&gt;")=0,"",SUMIFS(BD!$Q$3:$Q$5001,BD!$B$3:$B$5001,D$163,BD!$A$3:$A$5001,_xlfn.MAXIFS(BD!$A$3:$A$5001,BD!$B$3:$B$5001,D$163,BD!$A$3:$A$5001,"&gt;="&amp;$C$7,BD!$A$3:$A$5001,"&lt;="&amp;$B169,BD!$Q$3:$Q$5001,"&lt;&gt;"))))</f>
        <v/>
      </c>
      <c r="E169" s="54" t="str">
        <f>IF(OR($B169="",$A169&gt;$B$9,E$163=""),"",IF(COUNTIFS(BD!$B$3:$B$5001,E$163,BD!$A$3:$A$5001,"&gt;="&amp;$C$7,BD!$A$3:$A$5001,"&lt;="&amp;$B169,BD!$Q$3:$Q$5001,"&lt;&gt;")=0,"",SUMIFS(BD!$Q$3:$Q$5001,BD!$B$3:$B$5001,E$163,BD!$A$3:$A$5001,_xlfn.MAXIFS(BD!$A$3:$A$5001,BD!$B$3:$B$5001,E$163,BD!$A$3:$A$5001,"&gt;="&amp;$C$7,BD!$A$3:$A$5001,"&lt;="&amp;$B169,BD!$Q$3:$Q$5001,"&lt;&gt;"))))</f>
        <v/>
      </c>
      <c r="F169" s="54" t="str">
        <f>IF(OR($B169="",$A169&gt;$B$9,F$163=""),"",IF(COUNTIFS(BD!$B$3:$B$5001,F$163,BD!$A$3:$A$5001,"&gt;="&amp;$C$7,BD!$A$3:$A$5001,"&lt;="&amp;$B169,BD!$Q$3:$Q$5001,"&lt;&gt;")=0,"",SUMIFS(BD!$Q$3:$Q$5001,BD!$B$3:$B$5001,F$163,BD!$A$3:$A$5001,_xlfn.MAXIFS(BD!$A$3:$A$5001,BD!$B$3:$B$5001,F$163,BD!$A$3:$A$5001,"&gt;="&amp;$C$7,BD!$A$3:$A$5001,"&lt;="&amp;$B169,BD!$Q$3:$Q$5001,"&lt;&gt;"))))</f>
        <v/>
      </c>
      <c r="G169" s="54" t="str">
        <f>IF(OR($B169="",$A169&gt;$B$9,G$163=""),"",IF(COUNTIFS(BD!$B$3:$B$5001,G$163,BD!$A$3:$A$5001,"&gt;="&amp;$C$7,BD!$A$3:$A$5001,"&lt;="&amp;$B169,BD!$Q$3:$Q$5001,"&lt;&gt;")=0,"",SUMIFS(BD!$Q$3:$Q$5001,BD!$B$3:$B$5001,G$163,BD!$A$3:$A$5001,_xlfn.MAXIFS(BD!$A$3:$A$5001,BD!$B$3:$B$5001,G$163,BD!$A$3:$A$5001,"&gt;="&amp;$C$7,BD!$A$3:$A$5001,"&lt;="&amp;$B169,BD!$Q$3:$Q$5001,"&lt;&gt;"))))</f>
        <v/>
      </c>
      <c r="H169" s="54" t="str">
        <f>IF(OR($B169="",$A169&gt;$B$9,H$163=""),"",IF(COUNTIFS(BD!$B$3:$B$5001,H$163,BD!$A$3:$A$5001,"&gt;="&amp;$C$7,BD!$A$3:$A$5001,"&lt;="&amp;$B169,BD!$Q$3:$Q$5001,"&lt;&gt;")=0,"",SUMIFS(BD!$Q$3:$Q$5001,BD!$B$3:$B$5001,H$163,BD!$A$3:$A$5001,_xlfn.MAXIFS(BD!$A$3:$A$5001,BD!$B$3:$B$5001,H$163,BD!$A$3:$A$5001,"&gt;="&amp;$C$7,BD!$A$3:$A$5001,"&lt;="&amp;$B169,BD!$Q$3:$Q$5001,"&lt;&gt;"))))</f>
        <v/>
      </c>
      <c r="I169" s="54" t="str">
        <f>IF(OR($B169="",$A169&gt;$B$9,I$163=""),"",IF(COUNTIFS(BD!$B$3:$B$5001,I$163,BD!$A$3:$A$5001,"&gt;="&amp;$C$7,BD!$A$3:$A$5001,"&lt;="&amp;$B169,BD!$Q$3:$Q$5001,"&lt;&gt;")=0,"",SUMIFS(BD!$Q$3:$Q$5001,BD!$B$3:$B$5001,I$163,BD!$A$3:$A$5001,_xlfn.MAXIFS(BD!$A$3:$A$5001,BD!$B$3:$B$5001,I$163,BD!$A$3:$A$5001,"&gt;="&amp;$C$7,BD!$A$3:$A$5001,"&lt;="&amp;$B169,BD!$Q$3:$Q$5001,"&lt;&gt;"))))</f>
        <v/>
      </c>
      <c r="J169" s="54" t="str">
        <f>IF(OR($B169="",$A169&gt;$B$9,J$163=""),"",IF(COUNTIFS(BD!$B$3:$B$5001,J$163,BD!$A$3:$A$5001,"&gt;="&amp;$C$7,BD!$A$3:$A$5001,"&lt;="&amp;$B169,BD!$Q$3:$Q$5001,"&lt;&gt;")=0,"",SUMIFS(BD!$Q$3:$Q$5001,BD!$B$3:$B$5001,J$163,BD!$A$3:$A$5001,_xlfn.MAXIFS(BD!$A$3:$A$5001,BD!$B$3:$B$5001,J$163,BD!$A$3:$A$5001,"&gt;="&amp;$C$7,BD!$A$3:$A$5001,"&lt;="&amp;$B169,BD!$Q$3:$Q$5001,"&lt;&gt;"))))</f>
        <v/>
      </c>
      <c r="K169" s="54" t="str">
        <f>IF(OR($B169="",$A169&gt;$B$9,K$163=""),"",IF(COUNTIFS(BD!$B$3:$B$5001,K$163,BD!$A$3:$A$5001,"&gt;="&amp;$C$7,BD!$A$3:$A$5001,"&lt;="&amp;$B169,BD!$Q$3:$Q$5001,"&lt;&gt;")=0,"",SUMIFS(BD!$Q$3:$Q$5001,BD!$B$3:$B$5001,K$163,BD!$A$3:$A$5001,_xlfn.MAXIFS(BD!$A$3:$A$5001,BD!$B$3:$B$5001,K$163,BD!$A$3:$A$5001,"&gt;="&amp;$C$7,BD!$A$3:$A$5001,"&lt;="&amp;$B169,BD!$Q$3:$Q$5001,"&lt;&gt;"))))</f>
        <v/>
      </c>
      <c r="L169" s="54" t="str">
        <f>IF(OR($B169="",$A169&gt;$B$9,L$163=""),"",IF(COUNTIFS(BD!$B$3:$B$5001,L$163,BD!$A$3:$A$5001,"&gt;="&amp;$C$7,BD!$A$3:$A$5001,"&lt;="&amp;$B169,BD!$Q$3:$Q$5001,"&lt;&gt;")=0,"",SUMIFS(BD!$Q$3:$Q$5001,BD!$B$3:$B$5001,L$163,BD!$A$3:$A$5001,_xlfn.MAXIFS(BD!$A$3:$A$5001,BD!$B$3:$B$5001,L$163,BD!$A$3:$A$5001,"&gt;="&amp;$C$7,BD!$A$3:$A$5001,"&lt;="&amp;$B169,BD!$Q$3:$Q$5001,"&lt;&gt;"))))</f>
        <v/>
      </c>
      <c r="M169" s="54" t="str">
        <f>IF(OR($B169="",$A169&gt;$B$9,M$163=""),"",IF(COUNTIFS(BD!$B$3:$B$5001,M$163,BD!$A$3:$A$5001,"&gt;="&amp;$C$7,BD!$A$3:$A$5001,"&lt;="&amp;$B169,BD!$Q$3:$Q$5001,"&lt;&gt;")=0,"",SUMIFS(BD!$Q$3:$Q$5001,BD!$B$3:$B$5001,M$163,BD!$A$3:$A$5001,_xlfn.MAXIFS(BD!$A$3:$A$5001,BD!$B$3:$B$5001,M$163,BD!$A$3:$A$5001,"&gt;="&amp;$C$7,BD!$A$3:$A$5001,"&lt;="&amp;$B169,BD!$Q$3:$Q$5001,"&lt;&gt;"))))</f>
        <v/>
      </c>
      <c r="N169" s="54" t="str">
        <f>IF(OR($B169="",$A169&gt;$B$9,N$163=""),"",IF(COUNTIFS(BD!$B$3:$B$5001,N$163,BD!$A$3:$A$5001,"&gt;="&amp;$C$7,BD!$A$3:$A$5001,"&lt;="&amp;$B169,BD!$Q$3:$Q$5001,"&lt;&gt;")=0,"",SUMIFS(BD!$Q$3:$Q$5001,BD!$B$3:$B$5001,N$163,BD!$A$3:$A$5001,_xlfn.MAXIFS(BD!$A$3:$A$5001,BD!$B$3:$B$5001,N$163,BD!$A$3:$A$5001,"&gt;="&amp;$C$7,BD!$A$3:$A$5001,"&lt;="&amp;$B169,BD!$Q$3:$Q$5001,"&lt;&gt;"))))</f>
        <v/>
      </c>
      <c r="O169" s="54" t="str">
        <f>IF(OR($B169="",$A169&gt;$B$9,O$163=""),"",IF(COUNTIFS(BD!$B$3:$B$5001,O$163,BD!$A$3:$A$5001,"&gt;="&amp;$C$7,BD!$A$3:$A$5001,"&lt;="&amp;$B169,BD!$Q$3:$Q$5001,"&lt;&gt;")=0,"",SUMIFS(BD!$Q$3:$Q$5001,BD!$B$3:$B$5001,O$163,BD!$A$3:$A$5001,_xlfn.MAXIFS(BD!$A$3:$A$5001,BD!$B$3:$B$5001,O$163,BD!$A$3:$A$5001,"&gt;="&amp;$C$7,BD!$A$3:$A$5001,"&lt;="&amp;$B169,BD!$Q$3:$Q$5001,"&lt;&gt;"))))</f>
        <v/>
      </c>
      <c r="P169" s="54" t="str">
        <f>IF(OR($B169="",$A169&gt;$B$9,P$163=""),"",IF(COUNTIFS(BD!$B$3:$B$5001,P$163,BD!$A$3:$A$5001,"&gt;="&amp;$C$7,BD!$A$3:$A$5001,"&lt;="&amp;$B169,BD!$Q$3:$Q$5001,"&lt;&gt;")=0,"",SUMIFS(BD!$Q$3:$Q$5001,BD!$B$3:$B$5001,P$163,BD!$A$3:$A$5001,_xlfn.MAXIFS(BD!$A$3:$A$5001,BD!$B$3:$B$5001,P$163,BD!$A$3:$A$5001,"&gt;="&amp;$C$7,BD!$A$3:$A$5001,"&lt;="&amp;$B169,BD!$Q$3:$Q$5001,"&lt;&gt;"))))</f>
        <v/>
      </c>
      <c r="Q169" s="54" t="str">
        <f>IF(OR($B169="",$A169&gt;$B$9,Q$163=""),"",IF(COUNTIFS(BD!$B$3:$B$5001,Q$163,BD!$A$3:$A$5001,"&gt;="&amp;$C$7,BD!$A$3:$A$5001,"&lt;="&amp;$B169,BD!$Q$3:$Q$5001,"&lt;&gt;")=0,"",SUMIFS(BD!$Q$3:$Q$5001,BD!$B$3:$B$5001,Q$163,BD!$A$3:$A$5001,_xlfn.MAXIFS(BD!$A$3:$A$5001,BD!$B$3:$B$5001,Q$163,BD!$A$3:$A$5001,"&gt;="&amp;$C$7,BD!$A$3:$A$5001,"&lt;="&amp;$B169,BD!$Q$3:$Q$5001,"&lt;&gt;"))))</f>
        <v/>
      </c>
      <c r="R169" s="54" t="str">
        <f>IF(OR($B169="",$A169&gt;$B$9,R$163=""),"",IF(COUNTIFS(BD!$B$3:$B$5001,R$163,BD!$A$3:$A$5001,"&gt;="&amp;$C$7,BD!$A$3:$A$5001,"&lt;="&amp;$B169,BD!$Q$3:$Q$5001,"&lt;&gt;")=0,"",SUMIFS(BD!$Q$3:$Q$5001,BD!$B$3:$B$5001,R$163,BD!$A$3:$A$5001,_xlfn.MAXIFS(BD!$A$3:$A$5001,BD!$B$3:$B$5001,R$163,BD!$A$3:$A$5001,"&gt;="&amp;$C$7,BD!$A$3:$A$5001,"&lt;="&amp;$B169,BD!$Q$3:$Q$5001,"&lt;&gt;"))))</f>
        <v/>
      </c>
      <c r="S169" s="54" t="str">
        <f>IF(OR($B169="",$A169&gt;$B$9,S$163=""),"",IF(COUNTIFS(BD!$B$3:$B$5001,S$163,BD!$A$3:$A$5001,"&gt;="&amp;$C$7,BD!$A$3:$A$5001,"&lt;="&amp;$B169,BD!$Q$3:$Q$5001,"&lt;&gt;")=0,"",SUMIFS(BD!$Q$3:$Q$5001,BD!$B$3:$B$5001,S$163,BD!$A$3:$A$5001,_xlfn.MAXIFS(BD!$A$3:$A$5001,BD!$B$3:$B$5001,S$163,BD!$A$3:$A$5001,"&gt;="&amp;$C$7,BD!$A$3:$A$5001,"&lt;="&amp;$B169,BD!$Q$3:$Q$5001,"&lt;&gt;"))))</f>
        <v/>
      </c>
      <c r="T169" s="54" t="str">
        <f>IF(OR($B169="",$A169&gt;$B$9,T$163=""),"",IF(COUNTIFS(BD!$B$3:$B$5001,T$163,BD!$A$3:$A$5001,"&gt;="&amp;$C$7,BD!$A$3:$A$5001,"&lt;="&amp;$B169,BD!$Q$3:$Q$5001,"&lt;&gt;")=0,"",SUMIFS(BD!$Q$3:$Q$5001,BD!$B$3:$B$5001,T$163,BD!$A$3:$A$5001,_xlfn.MAXIFS(BD!$A$3:$A$5001,BD!$B$3:$B$5001,T$163,BD!$A$3:$A$5001,"&gt;="&amp;$C$7,BD!$A$3:$A$5001,"&lt;="&amp;$B169,BD!$Q$3:$Q$5001,"&lt;&gt;"))))</f>
        <v/>
      </c>
      <c r="U169" s="54" t="str">
        <f>IF(OR($B169="",$A169&gt;$B$9,U$163=""),"",IF(COUNTIFS(BD!$B$3:$B$5001,U$163,BD!$A$3:$A$5001,"&gt;="&amp;$C$7,BD!$A$3:$A$5001,"&lt;="&amp;$B169,BD!$Q$3:$Q$5001,"&lt;&gt;")=0,"",SUMIFS(BD!$Q$3:$Q$5001,BD!$B$3:$B$5001,U$163,BD!$A$3:$A$5001,_xlfn.MAXIFS(BD!$A$3:$A$5001,BD!$B$3:$B$5001,U$163,BD!$A$3:$A$5001,"&gt;="&amp;$C$7,BD!$A$3:$A$5001,"&lt;="&amp;$B169,BD!$Q$3:$Q$5001,"&lt;&gt;"))))</f>
        <v/>
      </c>
      <c r="V169" s="54" t="str">
        <f>IF(OR($B169="",$A169&gt;$B$9,V$163=""),"",IF(COUNTIFS(BD!$B$3:$B$5001,V$163,BD!$A$3:$A$5001,"&gt;="&amp;$C$7,BD!$A$3:$A$5001,"&lt;="&amp;$B169,BD!$Q$3:$Q$5001,"&lt;&gt;")=0,"",SUMIFS(BD!$Q$3:$Q$5001,BD!$B$3:$B$5001,V$163,BD!$A$3:$A$5001,_xlfn.MAXIFS(BD!$A$3:$A$5001,BD!$B$3:$B$5001,V$163,BD!$A$3:$A$5001,"&gt;="&amp;$C$7,BD!$A$3:$A$5001,"&lt;="&amp;$B169,BD!$Q$3:$Q$5001,"&lt;&gt;"))))</f>
        <v/>
      </c>
    </row>
    <row r="170">
      <c r="A170" s="48">
        <v>7</v>
      </c>
      <c r="B170" s="53">
        <f>$B$18</f>
        <v>46302</v>
      </c>
      <c r="C170" s="54" t="str">
        <f>IF(OR($B170="",$A170&gt;$B$9,C$163=""),"",IF(COUNTIFS(BD!$B$3:$B$5001,C$163,BD!$A$3:$A$5001,"&gt;="&amp;$C$7,BD!$A$3:$A$5001,"&lt;="&amp;$B170,BD!$Q$3:$Q$5001,"&lt;&gt;")=0,"",SUMIFS(BD!$Q$3:$Q$5001,BD!$B$3:$B$5001,C$163,BD!$A$3:$A$5001,_xlfn.MAXIFS(BD!$A$3:$A$5001,BD!$B$3:$B$5001,C$163,BD!$A$3:$A$5001,"&gt;="&amp;$C$7,BD!$A$3:$A$5001,"&lt;="&amp;$B170,BD!$Q$3:$Q$5001,"&lt;&gt;"))))</f>
        <v/>
      </c>
      <c r="D170" s="54" t="str">
        <f>IF(OR($B170="",$A170&gt;$B$9,D$163=""),"",IF(COUNTIFS(BD!$B$3:$B$5001,D$163,BD!$A$3:$A$5001,"&gt;="&amp;$C$7,BD!$A$3:$A$5001,"&lt;="&amp;$B170,BD!$Q$3:$Q$5001,"&lt;&gt;")=0,"",SUMIFS(BD!$Q$3:$Q$5001,BD!$B$3:$B$5001,D$163,BD!$A$3:$A$5001,_xlfn.MAXIFS(BD!$A$3:$A$5001,BD!$B$3:$B$5001,D$163,BD!$A$3:$A$5001,"&gt;="&amp;$C$7,BD!$A$3:$A$5001,"&lt;="&amp;$B170,BD!$Q$3:$Q$5001,"&lt;&gt;"))))</f>
        <v/>
      </c>
      <c r="E170" s="54" t="str">
        <f>IF(OR($B170="",$A170&gt;$B$9,E$163=""),"",IF(COUNTIFS(BD!$B$3:$B$5001,E$163,BD!$A$3:$A$5001,"&gt;="&amp;$C$7,BD!$A$3:$A$5001,"&lt;="&amp;$B170,BD!$Q$3:$Q$5001,"&lt;&gt;")=0,"",SUMIFS(BD!$Q$3:$Q$5001,BD!$B$3:$B$5001,E$163,BD!$A$3:$A$5001,_xlfn.MAXIFS(BD!$A$3:$A$5001,BD!$B$3:$B$5001,E$163,BD!$A$3:$A$5001,"&gt;="&amp;$C$7,BD!$A$3:$A$5001,"&lt;="&amp;$B170,BD!$Q$3:$Q$5001,"&lt;&gt;"))))</f>
        <v/>
      </c>
      <c r="F170" s="54" t="str">
        <f>IF(OR($B170="",$A170&gt;$B$9,F$163=""),"",IF(COUNTIFS(BD!$B$3:$B$5001,F$163,BD!$A$3:$A$5001,"&gt;="&amp;$C$7,BD!$A$3:$A$5001,"&lt;="&amp;$B170,BD!$Q$3:$Q$5001,"&lt;&gt;")=0,"",SUMIFS(BD!$Q$3:$Q$5001,BD!$B$3:$B$5001,F$163,BD!$A$3:$A$5001,_xlfn.MAXIFS(BD!$A$3:$A$5001,BD!$B$3:$B$5001,F$163,BD!$A$3:$A$5001,"&gt;="&amp;$C$7,BD!$A$3:$A$5001,"&lt;="&amp;$B170,BD!$Q$3:$Q$5001,"&lt;&gt;"))))</f>
        <v/>
      </c>
      <c r="G170" s="54" t="str">
        <f>IF(OR($B170="",$A170&gt;$B$9,G$163=""),"",IF(COUNTIFS(BD!$B$3:$B$5001,G$163,BD!$A$3:$A$5001,"&gt;="&amp;$C$7,BD!$A$3:$A$5001,"&lt;="&amp;$B170,BD!$Q$3:$Q$5001,"&lt;&gt;")=0,"",SUMIFS(BD!$Q$3:$Q$5001,BD!$B$3:$B$5001,G$163,BD!$A$3:$A$5001,_xlfn.MAXIFS(BD!$A$3:$A$5001,BD!$B$3:$B$5001,G$163,BD!$A$3:$A$5001,"&gt;="&amp;$C$7,BD!$A$3:$A$5001,"&lt;="&amp;$B170,BD!$Q$3:$Q$5001,"&lt;&gt;"))))</f>
        <v/>
      </c>
      <c r="H170" s="54" t="str">
        <f>IF(OR($B170="",$A170&gt;$B$9,H$163=""),"",IF(COUNTIFS(BD!$B$3:$B$5001,H$163,BD!$A$3:$A$5001,"&gt;="&amp;$C$7,BD!$A$3:$A$5001,"&lt;="&amp;$B170,BD!$Q$3:$Q$5001,"&lt;&gt;")=0,"",SUMIFS(BD!$Q$3:$Q$5001,BD!$B$3:$B$5001,H$163,BD!$A$3:$A$5001,_xlfn.MAXIFS(BD!$A$3:$A$5001,BD!$B$3:$B$5001,H$163,BD!$A$3:$A$5001,"&gt;="&amp;$C$7,BD!$A$3:$A$5001,"&lt;="&amp;$B170,BD!$Q$3:$Q$5001,"&lt;&gt;"))))</f>
        <v/>
      </c>
      <c r="I170" s="54" t="str">
        <f>IF(OR($B170="",$A170&gt;$B$9,I$163=""),"",IF(COUNTIFS(BD!$B$3:$B$5001,I$163,BD!$A$3:$A$5001,"&gt;="&amp;$C$7,BD!$A$3:$A$5001,"&lt;="&amp;$B170,BD!$Q$3:$Q$5001,"&lt;&gt;")=0,"",SUMIFS(BD!$Q$3:$Q$5001,BD!$B$3:$B$5001,I$163,BD!$A$3:$A$5001,_xlfn.MAXIFS(BD!$A$3:$A$5001,BD!$B$3:$B$5001,I$163,BD!$A$3:$A$5001,"&gt;="&amp;$C$7,BD!$A$3:$A$5001,"&lt;="&amp;$B170,BD!$Q$3:$Q$5001,"&lt;&gt;"))))</f>
        <v/>
      </c>
      <c r="J170" s="54" t="str">
        <f>IF(OR($B170="",$A170&gt;$B$9,J$163=""),"",IF(COUNTIFS(BD!$B$3:$B$5001,J$163,BD!$A$3:$A$5001,"&gt;="&amp;$C$7,BD!$A$3:$A$5001,"&lt;="&amp;$B170,BD!$Q$3:$Q$5001,"&lt;&gt;")=0,"",SUMIFS(BD!$Q$3:$Q$5001,BD!$B$3:$B$5001,J$163,BD!$A$3:$A$5001,_xlfn.MAXIFS(BD!$A$3:$A$5001,BD!$B$3:$B$5001,J$163,BD!$A$3:$A$5001,"&gt;="&amp;$C$7,BD!$A$3:$A$5001,"&lt;="&amp;$B170,BD!$Q$3:$Q$5001,"&lt;&gt;"))))</f>
        <v/>
      </c>
      <c r="K170" s="54" t="str">
        <f>IF(OR($B170="",$A170&gt;$B$9,K$163=""),"",IF(COUNTIFS(BD!$B$3:$B$5001,K$163,BD!$A$3:$A$5001,"&gt;="&amp;$C$7,BD!$A$3:$A$5001,"&lt;="&amp;$B170,BD!$Q$3:$Q$5001,"&lt;&gt;")=0,"",SUMIFS(BD!$Q$3:$Q$5001,BD!$B$3:$B$5001,K$163,BD!$A$3:$A$5001,_xlfn.MAXIFS(BD!$A$3:$A$5001,BD!$B$3:$B$5001,K$163,BD!$A$3:$A$5001,"&gt;="&amp;$C$7,BD!$A$3:$A$5001,"&lt;="&amp;$B170,BD!$Q$3:$Q$5001,"&lt;&gt;"))))</f>
        <v/>
      </c>
      <c r="L170" s="54" t="str">
        <f>IF(OR($B170="",$A170&gt;$B$9,L$163=""),"",IF(COUNTIFS(BD!$B$3:$B$5001,L$163,BD!$A$3:$A$5001,"&gt;="&amp;$C$7,BD!$A$3:$A$5001,"&lt;="&amp;$B170,BD!$Q$3:$Q$5001,"&lt;&gt;")=0,"",SUMIFS(BD!$Q$3:$Q$5001,BD!$B$3:$B$5001,L$163,BD!$A$3:$A$5001,_xlfn.MAXIFS(BD!$A$3:$A$5001,BD!$B$3:$B$5001,L$163,BD!$A$3:$A$5001,"&gt;="&amp;$C$7,BD!$A$3:$A$5001,"&lt;="&amp;$B170,BD!$Q$3:$Q$5001,"&lt;&gt;"))))</f>
        <v/>
      </c>
      <c r="M170" s="54" t="str">
        <f>IF(OR($B170="",$A170&gt;$B$9,M$163=""),"",IF(COUNTIFS(BD!$B$3:$B$5001,M$163,BD!$A$3:$A$5001,"&gt;="&amp;$C$7,BD!$A$3:$A$5001,"&lt;="&amp;$B170,BD!$Q$3:$Q$5001,"&lt;&gt;")=0,"",SUMIFS(BD!$Q$3:$Q$5001,BD!$B$3:$B$5001,M$163,BD!$A$3:$A$5001,_xlfn.MAXIFS(BD!$A$3:$A$5001,BD!$B$3:$B$5001,M$163,BD!$A$3:$A$5001,"&gt;="&amp;$C$7,BD!$A$3:$A$5001,"&lt;="&amp;$B170,BD!$Q$3:$Q$5001,"&lt;&gt;"))))</f>
        <v/>
      </c>
      <c r="N170" s="54" t="str">
        <f>IF(OR($B170="",$A170&gt;$B$9,N$163=""),"",IF(COUNTIFS(BD!$B$3:$B$5001,N$163,BD!$A$3:$A$5001,"&gt;="&amp;$C$7,BD!$A$3:$A$5001,"&lt;="&amp;$B170,BD!$Q$3:$Q$5001,"&lt;&gt;")=0,"",SUMIFS(BD!$Q$3:$Q$5001,BD!$B$3:$B$5001,N$163,BD!$A$3:$A$5001,_xlfn.MAXIFS(BD!$A$3:$A$5001,BD!$B$3:$B$5001,N$163,BD!$A$3:$A$5001,"&gt;="&amp;$C$7,BD!$A$3:$A$5001,"&lt;="&amp;$B170,BD!$Q$3:$Q$5001,"&lt;&gt;"))))</f>
        <v/>
      </c>
      <c r="O170" s="54" t="str">
        <f>IF(OR($B170="",$A170&gt;$B$9,O$163=""),"",IF(COUNTIFS(BD!$B$3:$B$5001,O$163,BD!$A$3:$A$5001,"&gt;="&amp;$C$7,BD!$A$3:$A$5001,"&lt;="&amp;$B170,BD!$Q$3:$Q$5001,"&lt;&gt;")=0,"",SUMIFS(BD!$Q$3:$Q$5001,BD!$B$3:$B$5001,O$163,BD!$A$3:$A$5001,_xlfn.MAXIFS(BD!$A$3:$A$5001,BD!$B$3:$B$5001,O$163,BD!$A$3:$A$5001,"&gt;="&amp;$C$7,BD!$A$3:$A$5001,"&lt;="&amp;$B170,BD!$Q$3:$Q$5001,"&lt;&gt;"))))</f>
        <v/>
      </c>
      <c r="P170" s="54" t="str">
        <f>IF(OR($B170="",$A170&gt;$B$9,P$163=""),"",IF(COUNTIFS(BD!$B$3:$B$5001,P$163,BD!$A$3:$A$5001,"&gt;="&amp;$C$7,BD!$A$3:$A$5001,"&lt;="&amp;$B170,BD!$Q$3:$Q$5001,"&lt;&gt;")=0,"",SUMIFS(BD!$Q$3:$Q$5001,BD!$B$3:$B$5001,P$163,BD!$A$3:$A$5001,_xlfn.MAXIFS(BD!$A$3:$A$5001,BD!$B$3:$B$5001,P$163,BD!$A$3:$A$5001,"&gt;="&amp;$C$7,BD!$A$3:$A$5001,"&lt;="&amp;$B170,BD!$Q$3:$Q$5001,"&lt;&gt;"))))</f>
        <v/>
      </c>
      <c r="Q170" s="54" t="str">
        <f>IF(OR($B170="",$A170&gt;$B$9,Q$163=""),"",IF(COUNTIFS(BD!$B$3:$B$5001,Q$163,BD!$A$3:$A$5001,"&gt;="&amp;$C$7,BD!$A$3:$A$5001,"&lt;="&amp;$B170,BD!$Q$3:$Q$5001,"&lt;&gt;")=0,"",SUMIFS(BD!$Q$3:$Q$5001,BD!$B$3:$B$5001,Q$163,BD!$A$3:$A$5001,_xlfn.MAXIFS(BD!$A$3:$A$5001,BD!$B$3:$B$5001,Q$163,BD!$A$3:$A$5001,"&gt;="&amp;$C$7,BD!$A$3:$A$5001,"&lt;="&amp;$B170,BD!$Q$3:$Q$5001,"&lt;&gt;"))))</f>
        <v/>
      </c>
      <c r="R170" s="54" t="str">
        <f>IF(OR($B170="",$A170&gt;$B$9,R$163=""),"",IF(COUNTIFS(BD!$B$3:$B$5001,R$163,BD!$A$3:$A$5001,"&gt;="&amp;$C$7,BD!$A$3:$A$5001,"&lt;="&amp;$B170,BD!$Q$3:$Q$5001,"&lt;&gt;")=0,"",SUMIFS(BD!$Q$3:$Q$5001,BD!$B$3:$B$5001,R$163,BD!$A$3:$A$5001,_xlfn.MAXIFS(BD!$A$3:$A$5001,BD!$B$3:$B$5001,R$163,BD!$A$3:$A$5001,"&gt;="&amp;$C$7,BD!$A$3:$A$5001,"&lt;="&amp;$B170,BD!$Q$3:$Q$5001,"&lt;&gt;"))))</f>
        <v/>
      </c>
      <c r="S170" s="54" t="str">
        <f>IF(OR($B170="",$A170&gt;$B$9,S$163=""),"",IF(COUNTIFS(BD!$B$3:$B$5001,S$163,BD!$A$3:$A$5001,"&gt;="&amp;$C$7,BD!$A$3:$A$5001,"&lt;="&amp;$B170,BD!$Q$3:$Q$5001,"&lt;&gt;")=0,"",SUMIFS(BD!$Q$3:$Q$5001,BD!$B$3:$B$5001,S$163,BD!$A$3:$A$5001,_xlfn.MAXIFS(BD!$A$3:$A$5001,BD!$B$3:$B$5001,S$163,BD!$A$3:$A$5001,"&gt;="&amp;$C$7,BD!$A$3:$A$5001,"&lt;="&amp;$B170,BD!$Q$3:$Q$5001,"&lt;&gt;"))))</f>
        <v/>
      </c>
      <c r="T170" s="54" t="str">
        <f>IF(OR($B170="",$A170&gt;$B$9,T$163=""),"",IF(COUNTIFS(BD!$B$3:$B$5001,T$163,BD!$A$3:$A$5001,"&gt;="&amp;$C$7,BD!$A$3:$A$5001,"&lt;="&amp;$B170,BD!$Q$3:$Q$5001,"&lt;&gt;")=0,"",SUMIFS(BD!$Q$3:$Q$5001,BD!$B$3:$B$5001,T$163,BD!$A$3:$A$5001,_xlfn.MAXIFS(BD!$A$3:$A$5001,BD!$B$3:$B$5001,T$163,BD!$A$3:$A$5001,"&gt;="&amp;$C$7,BD!$A$3:$A$5001,"&lt;="&amp;$B170,BD!$Q$3:$Q$5001,"&lt;&gt;"))))</f>
        <v/>
      </c>
      <c r="U170" s="54" t="str">
        <f>IF(OR($B170="",$A170&gt;$B$9,U$163=""),"",IF(COUNTIFS(BD!$B$3:$B$5001,U$163,BD!$A$3:$A$5001,"&gt;="&amp;$C$7,BD!$A$3:$A$5001,"&lt;="&amp;$B170,BD!$Q$3:$Q$5001,"&lt;&gt;")=0,"",SUMIFS(BD!$Q$3:$Q$5001,BD!$B$3:$B$5001,U$163,BD!$A$3:$A$5001,_xlfn.MAXIFS(BD!$A$3:$A$5001,BD!$B$3:$B$5001,U$163,BD!$A$3:$A$5001,"&gt;="&amp;$C$7,BD!$A$3:$A$5001,"&lt;="&amp;$B170,BD!$Q$3:$Q$5001,"&lt;&gt;"))))</f>
        <v/>
      </c>
      <c r="V170" s="54" t="str">
        <f>IF(OR($B170="",$A170&gt;$B$9,V$163=""),"",IF(COUNTIFS(BD!$B$3:$B$5001,V$163,BD!$A$3:$A$5001,"&gt;="&amp;$C$7,BD!$A$3:$A$5001,"&lt;="&amp;$B170,BD!$Q$3:$Q$5001,"&lt;&gt;")=0,"",SUMIFS(BD!$Q$3:$Q$5001,BD!$B$3:$B$5001,V$163,BD!$A$3:$A$5001,_xlfn.MAXIFS(BD!$A$3:$A$5001,BD!$B$3:$B$5001,V$163,BD!$A$3:$A$5001,"&gt;="&amp;$C$7,BD!$A$3:$A$5001,"&lt;="&amp;$B170,BD!$Q$3:$Q$5001,"&lt;&gt;"))))</f>
        <v/>
      </c>
    </row>
    <row r="171">
      <c r="A171" s="48">
        <v>8</v>
      </c>
      <c r="B171" s="53">
        <f>$B$19</f>
        <v>46303</v>
      </c>
      <c r="C171" s="54" t="str">
        <f>IF(OR($B171="",$A171&gt;$B$9,C$163=""),"",IF(COUNTIFS(BD!$B$3:$B$5001,C$163,BD!$A$3:$A$5001,"&gt;="&amp;$C$7,BD!$A$3:$A$5001,"&lt;="&amp;$B171,BD!$Q$3:$Q$5001,"&lt;&gt;")=0,"",SUMIFS(BD!$Q$3:$Q$5001,BD!$B$3:$B$5001,C$163,BD!$A$3:$A$5001,_xlfn.MAXIFS(BD!$A$3:$A$5001,BD!$B$3:$B$5001,C$163,BD!$A$3:$A$5001,"&gt;="&amp;$C$7,BD!$A$3:$A$5001,"&lt;="&amp;$B171,BD!$Q$3:$Q$5001,"&lt;&gt;"))))</f>
        <v/>
      </c>
      <c r="D171" s="54" t="str">
        <f>IF(OR($B171="",$A171&gt;$B$9,D$163=""),"",IF(COUNTIFS(BD!$B$3:$B$5001,D$163,BD!$A$3:$A$5001,"&gt;="&amp;$C$7,BD!$A$3:$A$5001,"&lt;="&amp;$B171,BD!$Q$3:$Q$5001,"&lt;&gt;")=0,"",SUMIFS(BD!$Q$3:$Q$5001,BD!$B$3:$B$5001,D$163,BD!$A$3:$A$5001,_xlfn.MAXIFS(BD!$A$3:$A$5001,BD!$B$3:$B$5001,D$163,BD!$A$3:$A$5001,"&gt;="&amp;$C$7,BD!$A$3:$A$5001,"&lt;="&amp;$B171,BD!$Q$3:$Q$5001,"&lt;&gt;"))))</f>
        <v/>
      </c>
      <c r="E171" s="54" t="str">
        <f>IF(OR($B171="",$A171&gt;$B$9,E$163=""),"",IF(COUNTIFS(BD!$B$3:$B$5001,E$163,BD!$A$3:$A$5001,"&gt;="&amp;$C$7,BD!$A$3:$A$5001,"&lt;="&amp;$B171,BD!$Q$3:$Q$5001,"&lt;&gt;")=0,"",SUMIFS(BD!$Q$3:$Q$5001,BD!$B$3:$B$5001,E$163,BD!$A$3:$A$5001,_xlfn.MAXIFS(BD!$A$3:$A$5001,BD!$B$3:$B$5001,E$163,BD!$A$3:$A$5001,"&gt;="&amp;$C$7,BD!$A$3:$A$5001,"&lt;="&amp;$B171,BD!$Q$3:$Q$5001,"&lt;&gt;"))))</f>
        <v/>
      </c>
      <c r="F171" s="54" t="str">
        <f>IF(OR($B171="",$A171&gt;$B$9,F$163=""),"",IF(COUNTIFS(BD!$B$3:$B$5001,F$163,BD!$A$3:$A$5001,"&gt;="&amp;$C$7,BD!$A$3:$A$5001,"&lt;="&amp;$B171,BD!$Q$3:$Q$5001,"&lt;&gt;")=0,"",SUMIFS(BD!$Q$3:$Q$5001,BD!$B$3:$B$5001,F$163,BD!$A$3:$A$5001,_xlfn.MAXIFS(BD!$A$3:$A$5001,BD!$B$3:$B$5001,F$163,BD!$A$3:$A$5001,"&gt;="&amp;$C$7,BD!$A$3:$A$5001,"&lt;="&amp;$B171,BD!$Q$3:$Q$5001,"&lt;&gt;"))))</f>
        <v/>
      </c>
      <c r="G171" s="54" t="str">
        <f>IF(OR($B171="",$A171&gt;$B$9,G$163=""),"",IF(COUNTIFS(BD!$B$3:$B$5001,G$163,BD!$A$3:$A$5001,"&gt;="&amp;$C$7,BD!$A$3:$A$5001,"&lt;="&amp;$B171,BD!$Q$3:$Q$5001,"&lt;&gt;")=0,"",SUMIFS(BD!$Q$3:$Q$5001,BD!$B$3:$B$5001,G$163,BD!$A$3:$A$5001,_xlfn.MAXIFS(BD!$A$3:$A$5001,BD!$B$3:$B$5001,G$163,BD!$A$3:$A$5001,"&gt;="&amp;$C$7,BD!$A$3:$A$5001,"&lt;="&amp;$B171,BD!$Q$3:$Q$5001,"&lt;&gt;"))))</f>
        <v/>
      </c>
      <c r="H171" s="54" t="str">
        <f>IF(OR($B171="",$A171&gt;$B$9,H$163=""),"",IF(COUNTIFS(BD!$B$3:$B$5001,H$163,BD!$A$3:$A$5001,"&gt;="&amp;$C$7,BD!$A$3:$A$5001,"&lt;="&amp;$B171,BD!$Q$3:$Q$5001,"&lt;&gt;")=0,"",SUMIFS(BD!$Q$3:$Q$5001,BD!$B$3:$B$5001,H$163,BD!$A$3:$A$5001,_xlfn.MAXIFS(BD!$A$3:$A$5001,BD!$B$3:$B$5001,H$163,BD!$A$3:$A$5001,"&gt;="&amp;$C$7,BD!$A$3:$A$5001,"&lt;="&amp;$B171,BD!$Q$3:$Q$5001,"&lt;&gt;"))))</f>
        <v/>
      </c>
      <c r="I171" s="54" t="str">
        <f>IF(OR($B171="",$A171&gt;$B$9,I$163=""),"",IF(COUNTIFS(BD!$B$3:$B$5001,I$163,BD!$A$3:$A$5001,"&gt;="&amp;$C$7,BD!$A$3:$A$5001,"&lt;="&amp;$B171,BD!$Q$3:$Q$5001,"&lt;&gt;")=0,"",SUMIFS(BD!$Q$3:$Q$5001,BD!$B$3:$B$5001,I$163,BD!$A$3:$A$5001,_xlfn.MAXIFS(BD!$A$3:$A$5001,BD!$B$3:$B$5001,I$163,BD!$A$3:$A$5001,"&gt;="&amp;$C$7,BD!$A$3:$A$5001,"&lt;="&amp;$B171,BD!$Q$3:$Q$5001,"&lt;&gt;"))))</f>
        <v/>
      </c>
      <c r="J171" s="54" t="str">
        <f>IF(OR($B171="",$A171&gt;$B$9,J$163=""),"",IF(COUNTIFS(BD!$B$3:$B$5001,J$163,BD!$A$3:$A$5001,"&gt;="&amp;$C$7,BD!$A$3:$A$5001,"&lt;="&amp;$B171,BD!$Q$3:$Q$5001,"&lt;&gt;")=0,"",SUMIFS(BD!$Q$3:$Q$5001,BD!$B$3:$B$5001,J$163,BD!$A$3:$A$5001,_xlfn.MAXIFS(BD!$A$3:$A$5001,BD!$B$3:$B$5001,J$163,BD!$A$3:$A$5001,"&gt;="&amp;$C$7,BD!$A$3:$A$5001,"&lt;="&amp;$B171,BD!$Q$3:$Q$5001,"&lt;&gt;"))))</f>
        <v/>
      </c>
      <c r="K171" s="54" t="str">
        <f>IF(OR($B171="",$A171&gt;$B$9,K$163=""),"",IF(COUNTIFS(BD!$B$3:$B$5001,K$163,BD!$A$3:$A$5001,"&gt;="&amp;$C$7,BD!$A$3:$A$5001,"&lt;="&amp;$B171,BD!$Q$3:$Q$5001,"&lt;&gt;")=0,"",SUMIFS(BD!$Q$3:$Q$5001,BD!$B$3:$B$5001,K$163,BD!$A$3:$A$5001,_xlfn.MAXIFS(BD!$A$3:$A$5001,BD!$B$3:$B$5001,K$163,BD!$A$3:$A$5001,"&gt;="&amp;$C$7,BD!$A$3:$A$5001,"&lt;="&amp;$B171,BD!$Q$3:$Q$5001,"&lt;&gt;"))))</f>
        <v/>
      </c>
      <c r="L171" s="54" t="str">
        <f>IF(OR($B171="",$A171&gt;$B$9,L$163=""),"",IF(COUNTIFS(BD!$B$3:$B$5001,L$163,BD!$A$3:$A$5001,"&gt;="&amp;$C$7,BD!$A$3:$A$5001,"&lt;="&amp;$B171,BD!$Q$3:$Q$5001,"&lt;&gt;")=0,"",SUMIFS(BD!$Q$3:$Q$5001,BD!$B$3:$B$5001,L$163,BD!$A$3:$A$5001,_xlfn.MAXIFS(BD!$A$3:$A$5001,BD!$B$3:$B$5001,L$163,BD!$A$3:$A$5001,"&gt;="&amp;$C$7,BD!$A$3:$A$5001,"&lt;="&amp;$B171,BD!$Q$3:$Q$5001,"&lt;&gt;"))))</f>
        <v/>
      </c>
      <c r="M171" s="54" t="str">
        <f>IF(OR($B171="",$A171&gt;$B$9,M$163=""),"",IF(COUNTIFS(BD!$B$3:$B$5001,M$163,BD!$A$3:$A$5001,"&gt;="&amp;$C$7,BD!$A$3:$A$5001,"&lt;="&amp;$B171,BD!$Q$3:$Q$5001,"&lt;&gt;")=0,"",SUMIFS(BD!$Q$3:$Q$5001,BD!$B$3:$B$5001,M$163,BD!$A$3:$A$5001,_xlfn.MAXIFS(BD!$A$3:$A$5001,BD!$B$3:$B$5001,M$163,BD!$A$3:$A$5001,"&gt;="&amp;$C$7,BD!$A$3:$A$5001,"&lt;="&amp;$B171,BD!$Q$3:$Q$5001,"&lt;&gt;"))))</f>
        <v/>
      </c>
      <c r="N171" s="54" t="str">
        <f>IF(OR($B171="",$A171&gt;$B$9,N$163=""),"",IF(COUNTIFS(BD!$B$3:$B$5001,N$163,BD!$A$3:$A$5001,"&gt;="&amp;$C$7,BD!$A$3:$A$5001,"&lt;="&amp;$B171,BD!$Q$3:$Q$5001,"&lt;&gt;")=0,"",SUMIFS(BD!$Q$3:$Q$5001,BD!$B$3:$B$5001,N$163,BD!$A$3:$A$5001,_xlfn.MAXIFS(BD!$A$3:$A$5001,BD!$B$3:$B$5001,N$163,BD!$A$3:$A$5001,"&gt;="&amp;$C$7,BD!$A$3:$A$5001,"&lt;="&amp;$B171,BD!$Q$3:$Q$5001,"&lt;&gt;"))))</f>
        <v/>
      </c>
      <c r="O171" s="54" t="str">
        <f>IF(OR($B171="",$A171&gt;$B$9,O$163=""),"",IF(COUNTIFS(BD!$B$3:$B$5001,O$163,BD!$A$3:$A$5001,"&gt;="&amp;$C$7,BD!$A$3:$A$5001,"&lt;="&amp;$B171,BD!$Q$3:$Q$5001,"&lt;&gt;")=0,"",SUMIFS(BD!$Q$3:$Q$5001,BD!$B$3:$B$5001,O$163,BD!$A$3:$A$5001,_xlfn.MAXIFS(BD!$A$3:$A$5001,BD!$B$3:$B$5001,O$163,BD!$A$3:$A$5001,"&gt;="&amp;$C$7,BD!$A$3:$A$5001,"&lt;="&amp;$B171,BD!$Q$3:$Q$5001,"&lt;&gt;"))))</f>
        <v/>
      </c>
      <c r="P171" s="54" t="str">
        <f>IF(OR($B171="",$A171&gt;$B$9,P$163=""),"",IF(COUNTIFS(BD!$B$3:$B$5001,P$163,BD!$A$3:$A$5001,"&gt;="&amp;$C$7,BD!$A$3:$A$5001,"&lt;="&amp;$B171,BD!$Q$3:$Q$5001,"&lt;&gt;")=0,"",SUMIFS(BD!$Q$3:$Q$5001,BD!$B$3:$B$5001,P$163,BD!$A$3:$A$5001,_xlfn.MAXIFS(BD!$A$3:$A$5001,BD!$B$3:$B$5001,P$163,BD!$A$3:$A$5001,"&gt;="&amp;$C$7,BD!$A$3:$A$5001,"&lt;="&amp;$B171,BD!$Q$3:$Q$5001,"&lt;&gt;"))))</f>
        <v/>
      </c>
      <c r="Q171" s="54" t="str">
        <f>IF(OR($B171="",$A171&gt;$B$9,Q$163=""),"",IF(COUNTIFS(BD!$B$3:$B$5001,Q$163,BD!$A$3:$A$5001,"&gt;="&amp;$C$7,BD!$A$3:$A$5001,"&lt;="&amp;$B171,BD!$Q$3:$Q$5001,"&lt;&gt;")=0,"",SUMIFS(BD!$Q$3:$Q$5001,BD!$B$3:$B$5001,Q$163,BD!$A$3:$A$5001,_xlfn.MAXIFS(BD!$A$3:$A$5001,BD!$B$3:$B$5001,Q$163,BD!$A$3:$A$5001,"&gt;="&amp;$C$7,BD!$A$3:$A$5001,"&lt;="&amp;$B171,BD!$Q$3:$Q$5001,"&lt;&gt;"))))</f>
        <v/>
      </c>
      <c r="R171" s="54" t="str">
        <f>IF(OR($B171="",$A171&gt;$B$9,R$163=""),"",IF(COUNTIFS(BD!$B$3:$B$5001,R$163,BD!$A$3:$A$5001,"&gt;="&amp;$C$7,BD!$A$3:$A$5001,"&lt;="&amp;$B171,BD!$Q$3:$Q$5001,"&lt;&gt;")=0,"",SUMIFS(BD!$Q$3:$Q$5001,BD!$B$3:$B$5001,R$163,BD!$A$3:$A$5001,_xlfn.MAXIFS(BD!$A$3:$A$5001,BD!$B$3:$B$5001,R$163,BD!$A$3:$A$5001,"&gt;="&amp;$C$7,BD!$A$3:$A$5001,"&lt;="&amp;$B171,BD!$Q$3:$Q$5001,"&lt;&gt;"))))</f>
        <v/>
      </c>
      <c r="S171" s="54" t="str">
        <f>IF(OR($B171="",$A171&gt;$B$9,S$163=""),"",IF(COUNTIFS(BD!$B$3:$B$5001,S$163,BD!$A$3:$A$5001,"&gt;="&amp;$C$7,BD!$A$3:$A$5001,"&lt;="&amp;$B171,BD!$Q$3:$Q$5001,"&lt;&gt;")=0,"",SUMIFS(BD!$Q$3:$Q$5001,BD!$B$3:$B$5001,S$163,BD!$A$3:$A$5001,_xlfn.MAXIFS(BD!$A$3:$A$5001,BD!$B$3:$B$5001,S$163,BD!$A$3:$A$5001,"&gt;="&amp;$C$7,BD!$A$3:$A$5001,"&lt;="&amp;$B171,BD!$Q$3:$Q$5001,"&lt;&gt;"))))</f>
        <v/>
      </c>
      <c r="T171" s="54" t="str">
        <f>IF(OR($B171="",$A171&gt;$B$9,T$163=""),"",IF(COUNTIFS(BD!$B$3:$B$5001,T$163,BD!$A$3:$A$5001,"&gt;="&amp;$C$7,BD!$A$3:$A$5001,"&lt;="&amp;$B171,BD!$Q$3:$Q$5001,"&lt;&gt;")=0,"",SUMIFS(BD!$Q$3:$Q$5001,BD!$B$3:$B$5001,T$163,BD!$A$3:$A$5001,_xlfn.MAXIFS(BD!$A$3:$A$5001,BD!$B$3:$B$5001,T$163,BD!$A$3:$A$5001,"&gt;="&amp;$C$7,BD!$A$3:$A$5001,"&lt;="&amp;$B171,BD!$Q$3:$Q$5001,"&lt;&gt;"))))</f>
        <v/>
      </c>
      <c r="U171" s="54" t="str">
        <f>IF(OR($B171="",$A171&gt;$B$9,U$163=""),"",IF(COUNTIFS(BD!$B$3:$B$5001,U$163,BD!$A$3:$A$5001,"&gt;="&amp;$C$7,BD!$A$3:$A$5001,"&lt;="&amp;$B171,BD!$Q$3:$Q$5001,"&lt;&gt;")=0,"",SUMIFS(BD!$Q$3:$Q$5001,BD!$B$3:$B$5001,U$163,BD!$A$3:$A$5001,_xlfn.MAXIFS(BD!$A$3:$A$5001,BD!$B$3:$B$5001,U$163,BD!$A$3:$A$5001,"&gt;="&amp;$C$7,BD!$A$3:$A$5001,"&lt;="&amp;$B171,BD!$Q$3:$Q$5001,"&lt;&gt;"))))</f>
        <v/>
      </c>
      <c r="V171" s="54" t="str">
        <f>IF(OR($B171="",$A171&gt;$B$9,V$163=""),"",IF(COUNTIFS(BD!$B$3:$B$5001,V$163,BD!$A$3:$A$5001,"&gt;="&amp;$C$7,BD!$A$3:$A$5001,"&lt;="&amp;$B171,BD!$Q$3:$Q$5001,"&lt;&gt;")=0,"",SUMIFS(BD!$Q$3:$Q$5001,BD!$B$3:$B$5001,V$163,BD!$A$3:$A$5001,_xlfn.MAXIFS(BD!$A$3:$A$5001,BD!$B$3:$B$5001,V$163,BD!$A$3:$A$5001,"&gt;="&amp;$C$7,BD!$A$3:$A$5001,"&lt;="&amp;$B171,BD!$Q$3:$Q$5001,"&lt;&gt;"))))</f>
        <v/>
      </c>
    </row>
    <row r="172">
      <c r="A172" s="48">
        <v>9</v>
      </c>
      <c r="B172" s="53">
        <f>$B$20</f>
        <v>46304</v>
      </c>
      <c r="C172" s="54" t="str">
        <f>IF(OR($B172="",$A172&gt;$B$9,C$163=""),"",IF(COUNTIFS(BD!$B$3:$B$5001,C$163,BD!$A$3:$A$5001,"&gt;="&amp;$C$7,BD!$A$3:$A$5001,"&lt;="&amp;$B172,BD!$Q$3:$Q$5001,"&lt;&gt;")=0,"",SUMIFS(BD!$Q$3:$Q$5001,BD!$B$3:$B$5001,C$163,BD!$A$3:$A$5001,_xlfn.MAXIFS(BD!$A$3:$A$5001,BD!$B$3:$B$5001,C$163,BD!$A$3:$A$5001,"&gt;="&amp;$C$7,BD!$A$3:$A$5001,"&lt;="&amp;$B172,BD!$Q$3:$Q$5001,"&lt;&gt;"))))</f>
        <v/>
      </c>
      <c r="D172" s="54" t="str">
        <f>IF(OR($B172="",$A172&gt;$B$9,D$163=""),"",IF(COUNTIFS(BD!$B$3:$B$5001,D$163,BD!$A$3:$A$5001,"&gt;="&amp;$C$7,BD!$A$3:$A$5001,"&lt;="&amp;$B172,BD!$Q$3:$Q$5001,"&lt;&gt;")=0,"",SUMIFS(BD!$Q$3:$Q$5001,BD!$B$3:$B$5001,D$163,BD!$A$3:$A$5001,_xlfn.MAXIFS(BD!$A$3:$A$5001,BD!$B$3:$B$5001,D$163,BD!$A$3:$A$5001,"&gt;="&amp;$C$7,BD!$A$3:$A$5001,"&lt;="&amp;$B172,BD!$Q$3:$Q$5001,"&lt;&gt;"))))</f>
        <v/>
      </c>
      <c r="E172" s="54" t="str">
        <f>IF(OR($B172="",$A172&gt;$B$9,E$163=""),"",IF(COUNTIFS(BD!$B$3:$B$5001,E$163,BD!$A$3:$A$5001,"&gt;="&amp;$C$7,BD!$A$3:$A$5001,"&lt;="&amp;$B172,BD!$Q$3:$Q$5001,"&lt;&gt;")=0,"",SUMIFS(BD!$Q$3:$Q$5001,BD!$B$3:$B$5001,E$163,BD!$A$3:$A$5001,_xlfn.MAXIFS(BD!$A$3:$A$5001,BD!$B$3:$B$5001,E$163,BD!$A$3:$A$5001,"&gt;="&amp;$C$7,BD!$A$3:$A$5001,"&lt;="&amp;$B172,BD!$Q$3:$Q$5001,"&lt;&gt;"))))</f>
        <v/>
      </c>
      <c r="F172" s="54" t="str">
        <f>IF(OR($B172="",$A172&gt;$B$9,F$163=""),"",IF(COUNTIFS(BD!$B$3:$B$5001,F$163,BD!$A$3:$A$5001,"&gt;="&amp;$C$7,BD!$A$3:$A$5001,"&lt;="&amp;$B172,BD!$Q$3:$Q$5001,"&lt;&gt;")=0,"",SUMIFS(BD!$Q$3:$Q$5001,BD!$B$3:$B$5001,F$163,BD!$A$3:$A$5001,_xlfn.MAXIFS(BD!$A$3:$A$5001,BD!$B$3:$B$5001,F$163,BD!$A$3:$A$5001,"&gt;="&amp;$C$7,BD!$A$3:$A$5001,"&lt;="&amp;$B172,BD!$Q$3:$Q$5001,"&lt;&gt;"))))</f>
        <v/>
      </c>
      <c r="G172" s="54" t="str">
        <f>IF(OR($B172="",$A172&gt;$B$9,G$163=""),"",IF(COUNTIFS(BD!$B$3:$B$5001,G$163,BD!$A$3:$A$5001,"&gt;="&amp;$C$7,BD!$A$3:$A$5001,"&lt;="&amp;$B172,BD!$Q$3:$Q$5001,"&lt;&gt;")=0,"",SUMIFS(BD!$Q$3:$Q$5001,BD!$B$3:$B$5001,G$163,BD!$A$3:$A$5001,_xlfn.MAXIFS(BD!$A$3:$A$5001,BD!$B$3:$B$5001,G$163,BD!$A$3:$A$5001,"&gt;="&amp;$C$7,BD!$A$3:$A$5001,"&lt;="&amp;$B172,BD!$Q$3:$Q$5001,"&lt;&gt;"))))</f>
        <v/>
      </c>
      <c r="H172" s="54" t="str">
        <f>IF(OR($B172="",$A172&gt;$B$9,H$163=""),"",IF(COUNTIFS(BD!$B$3:$B$5001,H$163,BD!$A$3:$A$5001,"&gt;="&amp;$C$7,BD!$A$3:$A$5001,"&lt;="&amp;$B172,BD!$Q$3:$Q$5001,"&lt;&gt;")=0,"",SUMIFS(BD!$Q$3:$Q$5001,BD!$B$3:$B$5001,H$163,BD!$A$3:$A$5001,_xlfn.MAXIFS(BD!$A$3:$A$5001,BD!$B$3:$B$5001,H$163,BD!$A$3:$A$5001,"&gt;="&amp;$C$7,BD!$A$3:$A$5001,"&lt;="&amp;$B172,BD!$Q$3:$Q$5001,"&lt;&gt;"))))</f>
        <v/>
      </c>
      <c r="I172" s="54" t="str">
        <f>IF(OR($B172="",$A172&gt;$B$9,I$163=""),"",IF(COUNTIFS(BD!$B$3:$B$5001,I$163,BD!$A$3:$A$5001,"&gt;="&amp;$C$7,BD!$A$3:$A$5001,"&lt;="&amp;$B172,BD!$Q$3:$Q$5001,"&lt;&gt;")=0,"",SUMIFS(BD!$Q$3:$Q$5001,BD!$B$3:$B$5001,I$163,BD!$A$3:$A$5001,_xlfn.MAXIFS(BD!$A$3:$A$5001,BD!$B$3:$B$5001,I$163,BD!$A$3:$A$5001,"&gt;="&amp;$C$7,BD!$A$3:$A$5001,"&lt;="&amp;$B172,BD!$Q$3:$Q$5001,"&lt;&gt;"))))</f>
        <v/>
      </c>
      <c r="J172" s="54" t="str">
        <f>IF(OR($B172="",$A172&gt;$B$9,J$163=""),"",IF(COUNTIFS(BD!$B$3:$B$5001,J$163,BD!$A$3:$A$5001,"&gt;="&amp;$C$7,BD!$A$3:$A$5001,"&lt;="&amp;$B172,BD!$Q$3:$Q$5001,"&lt;&gt;")=0,"",SUMIFS(BD!$Q$3:$Q$5001,BD!$B$3:$B$5001,J$163,BD!$A$3:$A$5001,_xlfn.MAXIFS(BD!$A$3:$A$5001,BD!$B$3:$B$5001,J$163,BD!$A$3:$A$5001,"&gt;="&amp;$C$7,BD!$A$3:$A$5001,"&lt;="&amp;$B172,BD!$Q$3:$Q$5001,"&lt;&gt;"))))</f>
        <v/>
      </c>
      <c r="K172" s="54" t="str">
        <f>IF(OR($B172="",$A172&gt;$B$9,K$163=""),"",IF(COUNTIFS(BD!$B$3:$B$5001,K$163,BD!$A$3:$A$5001,"&gt;="&amp;$C$7,BD!$A$3:$A$5001,"&lt;="&amp;$B172,BD!$Q$3:$Q$5001,"&lt;&gt;")=0,"",SUMIFS(BD!$Q$3:$Q$5001,BD!$B$3:$B$5001,K$163,BD!$A$3:$A$5001,_xlfn.MAXIFS(BD!$A$3:$A$5001,BD!$B$3:$B$5001,K$163,BD!$A$3:$A$5001,"&gt;="&amp;$C$7,BD!$A$3:$A$5001,"&lt;="&amp;$B172,BD!$Q$3:$Q$5001,"&lt;&gt;"))))</f>
        <v/>
      </c>
      <c r="L172" s="54" t="str">
        <f>IF(OR($B172="",$A172&gt;$B$9,L$163=""),"",IF(COUNTIFS(BD!$B$3:$B$5001,L$163,BD!$A$3:$A$5001,"&gt;="&amp;$C$7,BD!$A$3:$A$5001,"&lt;="&amp;$B172,BD!$Q$3:$Q$5001,"&lt;&gt;")=0,"",SUMIFS(BD!$Q$3:$Q$5001,BD!$B$3:$B$5001,L$163,BD!$A$3:$A$5001,_xlfn.MAXIFS(BD!$A$3:$A$5001,BD!$B$3:$B$5001,L$163,BD!$A$3:$A$5001,"&gt;="&amp;$C$7,BD!$A$3:$A$5001,"&lt;="&amp;$B172,BD!$Q$3:$Q$5001,"&lt;&gt;"))))</f>
        <v/>
      </c>
      <c r="M172" s="54" t="str">
        <f>IF(OR($B172="",$A172&gt;$B$9,M$163=""),"",IF(COUNTIFS(BD!$B$3:$B$5001,M$163,BD!$A$3:$A$5001,"&gt;="&amp;$C$7,BD!$A$3:$A$5001,"&lt;="&amp;$B172,BD!$Q$3:$Q$5001,"&lt;&gt;")=0,"",SUMIFS(BD!$Q$3:$Q$5001,BD!$B$3:$B$5001,M$163,BD!$A$3:$A$5001,_xlfn.MAXIFS(BD!$A$3:$A$5001,BD!$B$3:$B$5001,M$163,BD!$A$3:$A$5001,"&gt;="&amp;$C$7,BD!$A$3:$A$5001,"&lt;="&amp;$B172,BD!$Q$3:$Q$5001,"&lt;&gt;"))))</f>
        <v/>
      </c>
      <c r="N172" s="54" t="str">
        <f>IF(OR($B172="",$A172&gt;$B$9,N$163=""),"",IF(COUNTIFS(BD!$B$3:$B$5001,N$163,BD!$A$3:$A$5001,"&gt;="&amp;$C$7,BD!$A$3:$A$5001,"&lt;="&amp;$B172,BD!$Q$3:$Q$5001,"&lt;&gt;")=0,"",SUMIFS(BD!$Q$3:$Q$5001,BD!$B$3:$B$5001,N$163,BD!$A$3:$A$5001,_xlfn.MAXIFS(BD!$A$3:$A$5001,BD!$B$3:$B$5001,N$163,BD!$A$3:$A$5001,"&gt;="&amp;$C$7,BD!$A$3:$A$5001,"&lt;="&amp;$B172,BD!$Q$3:$Q$5001,"&lt;&gt;"))))</f>
        <v/>
      </c>
      <c r="O172" s="54" t="str">
        <f>IF(OR($B172="",$A172&gt;$B$9,O$163=""),"",IF(COUNTIFS(BD!$B$3:$B$5001,O$163,BD!$A$3:$A$5001,"&gt;="&amp;$C$7,BD!$A$3:$A$5001,"&lt;="&amp;$B172,BD!$Q$3:$Q$5001,"&lt;&gt;")=0,"",SUMIFS(BD!$Q$3:$Q$5001,BD!$B$3:$B$5001,O$163,BD!$A$3:$A$5001,_xlfn.MAXIFS(BD!$A$3:$A$5001,BD!$B$3:$B$5001,O$163,BD!$A$3:$A$5001,"&gt;="&amp;$C$7,BD!$A$3:$A$5001,"&lt;="&amp;$B172,BD!$Q$3:$Q$5001,"&lt;&gt;"))))</f>
        <v/>
      </c>
      <c r="P172" s="54" t="str">
        <f>IF(OR($B172="",$A172&gt;$B$9,P$163=""),"",IF(COUNTIFS(BD!$B$3:$B$5001,P$163,BD!$A$3:$A$5001,"&gt;="&amp;$C$7,BD!$A$3:$A$5001,"&lt;="&amp;$B172,BD!$Q$3:$Q$5001,"&lt;&gt;")=0,"",SUMIFS(BD!$Q$3:$Q$5001,BD!$B$3:$B$5001,P$163,BD!$A$3:$A$5001,_xlfn.MAXIFS(BD!$A$3:$A$5001,BD!$B$3:$B$5001,P$163,BD!$A$3:$A$5001,"&gt;="&amp;$C$7,BD!$A$3:$A$5001,"&lt;="&amp;$B172,BD!$Q$3:$Q$5001,"&lt;&gt;"))))</f>
        <v/>
      </c>
      <c r="Q172" s="54" t="str">
        <f>IF(OR($B172="",$A172&gt;$B$9,Q$163=""),"",IF(COUNTIFS(BD!$B$3:$B$5001,Q$163,BD!$A$3:$A$5001,"&gt;="&amp;$C$7,BD!$A$3:$A$5001,"&lt;="&amp;$B172,BD!$Q$3:$Q$5001,"&lt;&gt;")=0,"",SUMIFS(BD!$Q$3:$Q$5001,BD!$B$3:$B$5001,Q$163,BD!$A$3:$A$5001,_xlfn.MAXIFS(BD!$A$3:$A$5001,BD!$B$3:$B$5001,Q$163,BD!$A$3:$A$5001,"&gt;="&amp;$C$7,BD!$A$3:$A$5001,"&lt;="&amp;$B172,BD!$Q$3:$Q$5001,"&lt;&gt;"))))</f>
        <v/>
      </c>
      <c r="R172" s="54" t="str">
        <f>IF(OR($B172="",$A172&gt;$B$9,R$163=""),"",IF(COUNTIFS(BD!$B$3:$B$5001,R$163,BD!$A$3:$A$5001,"&gt;="&amp;$C$7,BD!$A$3:$A$5001,"&lt;="&amp;$B172,BD!$Q$3:$Q$5001,"&lt;&gt;")=0,"",SUMIFS(BD!$Q$3:$Q$5001,BD!$B$3:$B$5001,R$163,BD!$A$3:$A$5001,_xlfn.MAXIFS(BD!$A$3:$A$5001,BD!$B$3:$B$5001,R$163,BD!$A$3:$A$5001,"&gt;="&amp;$C$7,BD!$A$3:$A$5001,"&lt;="&amp;$B172,BD!$Q$3:$Q$5001,"&lt;&gt;"))))</f>
        <v/>
      </c>
      <c r="S172" s="54" t="str">
        <f>IF(OR($B172="",$A172&gt;$B$9,S$163=""),"",IF(COUNTIFS(BD!$B$3:$B$5001,S$163,BD!$A$3:$A$5001,"&gt;="&amp;$C$7,BD!$A$3:$A$5001,"&lt;="&amp;$B172,BD!$Q$3:$Q$5001,"&lt;&gt;")=0,"",SUMIFS(BD!$Q$3:$Q$5001,BD!$B$3:$B$5001,S$163,BD!$A$3:$A$5001,_xlfn.MAXIFS(BD!$A$3:$A$5001,BD!$B$3:$B$5001,S$163,BD!$A$3:$A$5001,"&gt;="&amp;$C$7,BD!$A$3:$A$5001,"&lt;="&amp;$B172,BD!$Q$3:$Q$5001,"&lt;&gt;"))))</f>
        <v/>
      </c>
      <c r="T172" s="54" t="str">
        <f>IF(OR($B172="",$A172&gt;$B$9,T$163=""),"",IF(COUNTIFS(BD!$B$3:$B$5001,T$163,BD!$A$3:$A$5001,"&gt;="&amp;$C$7,BD!$A$3:$A$5001,"&lt;="&amp;$B172,BD!$Q$3:$Q$5001,"&lt;&gt;")=0,"",SUMIFS(BD!$Q$3:$Q$5001,BD!$B$3:$B$5001,T$163,BD!$A$3:$A$5001,_xlfn.MAXIFS(BD!$A$3:$A$5001,BD!$B$3:$B$5001,T$163,BD!$A$3:$A$5001,"&gt;="&amp;$C$7,BD!$A$3:$A$5001,"&lt;="&amp;$B172,BD!$Q$3:$Q$5001,"&lt;&gt;"))))</f>
        <v/>
      </c>
      <c r="U172" s="54" t="str">
        <f>IF(OR($B172="",$A172&gt;$B$9,U$163=""),"",IF(COUNTIFS(BD!$B$3:$B$5001,U$163,BD!$A$3:$A$5001,"&gt;="&amp;$C$7,BD!$A$3:$A$5001,"&lt;="&amp;$B172,BD!$Q$3:$Q$5001,"&lt;&gt;")=0,"",SUMIFS(BD!$Q$3:$Q$5001,BD!$B$3:$B$5001,U$163,BD!$A$3:$A$5001,_xlfn.MAXIFS(BD!$A$3:$A$5001,BD!$B$3:$B$5001,U$163,BD!$A$3:$A$5001,"&gt;="&amp;$C$7,BD!$A$3:$A$5001,"&lt;="&amp;$B172,BD!$Q$3:$Q$5001,"&lt;&gt;"))))</f>
        <v/>
      </c>
      <c r="V172" s="54" t="str">
        <f>IF(OR($B172="",$A172&gt;$B$9,V$163=""),"",IF(COUNTIFS(BD!$B$3:$B$5001,V$163,BD!$A$3:$A$5001,"&gt;="&amp;$C$7,BD!$A$3:$A$5001,"&lt;="&amp;$B172,BD!$Q$3:$Q$5001,"&lt;&gt;")=0,"",SUMIFS(BD!$Q$3:$Q$5001,BD!$B$3:$B$5001,V$163,BD!$A$3:$A$5001,_xlfn.MAXIFS(BD!$A$3:$A$5001,BD!$B$3:$B$5001,V$163,BD!$A$3:$A$5001,"&gt;="&amp;$C$7,BD!$A$3:$A$5001,"&lt;="&amp;$B172,BD!$Q$3:$Q$5001,"&lt;&gt;"))))</f>
        <v/>
      </c>
    </row>
    <row r="173">
      <c r="A173" s="48">
        <v>10</v>
      </c>
      <c r="B173" s="53">
        <f>$B$21</f>
        <v>46305</v>
      </c>
      <c r="C173" s="54" t="str">
        <f>IF(OR($B173="",$A173&gt;$B$9,C$163=""),"",IF(COUNTIFS(BD!$B$3:$B$5001,C$163,BD!$A$3:$A$5001,"&gt;="&amp;$C$7,BD!$A$3:$A$5001,"&lt;="&amp;$B173,BD!$Q$3:$Q$5001,"&lt;&gt;")=0,"",SUMIFS(BD!$Q$3:$Q$5001,BD!$B$3:$B$5001,C$163,BD!$A$3:$A$5001,_xlfn.MAXIFS(BD!$A$3:$A$5001,BD!$B$3:$B$5001,C$163,BD!$A$3:$A$5001,"&gt;="&amp;$C$7,BD!$A$3:$A$5001,"&lt;="&amp;$B173,BD!$Q$3:$Q$5001,"&lt;&gt;"))))</f>
        <v/>
      </c>
      <c r="D173" s="54" t="str">
        <f>IF(OR($B173="",$A173&gt;$B$9,D$163=""),"",IF(COUNTIFS(BD!$B$3:$B$5001,D$163,BD!$A$3:$A$5001,"&gt;="&amp;$C$7,BD!$A$3:$A$5001,"&lt;="&amp;$B173,BD!$Q$3:$Q$5001,"&lt;&gt;")=0,"",SUMIFS(BD!$Q$3:$Q$5001,BD!$B$3:$B$5001,D$163,BD!$A$3:$A$5001,_xlfn.MAXIFS(BD!$A$3:$A$5001,BD!$B$3:$B$5001,D$163,BD!$A$3:$A$5001,"&gt;="&amp;$C$7,BD!$A$3:$A$5001,"&lt;="&amp;$B173,BD!$Q$3:$Q$5001,"&lt;&gt;"))))</f>
        <v/>
      </c>
      <c r="E173" s="54" t="str">
        <f>IF(OR($B173="",$A173&gt;$B$9,E$163=""),"",IF(COUNTIFS(BD!$B$3:$B$5001,E$163,BD!$A$3:$A$5001,"&gt;="&amp;$C$7,BD!$A$3:$A$5001,"&lt;="&amp;$B173,BD!$Q$3:$Q$5001,"&lt;&gt;")=0,"",SUMIFS(BD!$Q$3:$Q$5001,BD!$B$3:$B$5001,E$163,BD!$A$3:$A$5001,_xlfn.MAXIFS(BD!$A$3:$A$5001,BD!$B$3:$B$5001,E$163,BD!$A$3:$A$5001,"&gt;="&amp;$C$7,BD!$A$3:$A$5001,"&lt;="&amp;$B173,BD!$Q$3:$Q$5001,"&lt;&gt;"))))</f>
        <v/>
      </c>
      <c r="F173" s="54" t="str">
        <f>IF(OR($B173="",$A173&gt;$B$9,F$163=""),"",IF(COUNTIFS(BD!$B$3:$B$5001,F$163,BD!$A$3:$A$5001,"&gt;="&amp;$C$7,BD!$A$3:$A$5001,"&lt;="&amp;$B173,BD!$Q$3:$Q$5001,"&lt;&gt;")=0,"",SUMIFS(BD!$Q$3:$Q$5001,BD!$B$3:$B$5001,F$163,BD!$A$3:$A$5001,_xlfn.MAXIFS(BD!$A$3:$A$5001,BD!$B$3:$B$5001,F$163,BD!$A$3:$A$5001,"&gt;="&amp;$C$7,BD!$A$3:$A$5001,"&lt;="&amp;$B173,BD!$Q$3:$Q$5001,"&lt;&gt;"))))</f>
        <v/>
      </c>
      <c r="G173" s="54" t="str">
        <f>IF(OR($B173="",$A173&gt;$B$9,G$163=""),"",IF(COUNTIFS(BD!$B$3:$B$5001,G$163,BD!$A$3:$A$5001,"&gt;="&amp;$C$7,BD!$A$3:$A$5001,"&lt;="&amp;$B173,BD!$Q$3:$Q$5001,"&lt;&gt;")=0,"",SUMIFS(BD!$Q$3:$Q$5001,BD!$B$3:$B$5001,G$163,BD!$A$3:$A$5001,_xlfn.MAXIFS(BD!$A$3:$A$5001,BD!$B$3:$B$5001,G$163,BD!$A$3:$A$5001,"&gt;="&amp;$C$7,BD!$A$3:$A$5001,"&lt;="&amp;$B173,BD!$Q$3:$Q$5001,"&lt;&gt;"))))</f>
        <v/>
      </c>
      <c r="H173" s="54" t="str">
        <f>IF(OR($B173="",$A173&gt;$B$9,H$163=""),"",IF(COUNTIFS(BD!$B$3:$B$5001,H$163,BD!$A$3:$A$5001,"&gt;="&amp;$C$7,BD!$A$3:$A$5001,"&lt;="&amp;$B173,BD!$Q$3:$Q$5001,"&lt;&gt;")=0,"",SUMIFS(BD!$Q$3:$Q$5001,BD!$B$3:$B$5001,H$163,BD!$A$3:$A$5001,_xlfn.MAXIFS(BD!$A$3:$A$5001,BD!$B$3:$B$5001,H$163,BD!$A$3:$A$5001,"&gt;="&amp;$C$7,BD!$A$3:$A$5001,"&lt;="&amp;$B173,BD!$Q$3:$Q$5001,"&lt;&gt;"))))</f>
        <v/>
      </c>
      <c r="I173" s="54" t="str">
        <f>IF(OR($B173="",$A173&gt;$B$9,I$163=""),"",IF(COUNTIFS(BD!$B$3:$B$5001,I$163,BD!$A$3:$A$5001,"&gt;="&amp;$C$7,BD!$A$3:$A$5001,"&lt;="&amp;$B173,BD!$Q$3:$Q$5001,"&lt;&gt;")=0,"",SUMIFS(BD!$Q$3:$Q$5001,BD!$B$3:$B$5001,I$163,BD!$A$3:$A$5001,_xlfn.MAXIFS(BD!$A$3:$A$5001,BD!$B$3:$B$5001,I$163,BD!$A$3:$A$5001,"&gt;="&amp;$C$7,BD!$A$3:$A$5001,"&lt;="&amp;$B173,BD!$Q$3:$Q$5001,"&lt;&gt;"))))</f>
        <v/>
      </c>
      <c r="J173" s="54" t="str">
        <f>IF(OR($B173="",$A173&gt;$B$9,J$163=""),"",IF(COUNTIFS(BD!$B$3:$B$5001,J$163,BD!$A$3:$A$5001,"&gt;="&amp;$C$7,BD!$A$3:$A$5001,"&lt;="&amp;$B173,BD!$Q$3:$Q$5001,"&lt;&gt;")=0,"",SUMIFS(BD!$Q$3:$Q$5001,BD!$B$3:$B$5001,J$163,BD!$A$3:$A$5001,_xlfn.MAXIFS(BD!$A$3:$A$5001,BD!$B$3:$B$5001,J$163,BD!$A$3:$A$5001,"&gt;="&amp;$C$7,BD!$A$3:$A$5001,"&lt;="&amp;$B173,BD!$Q$3:$Q$5001,"&lt;&gt;"))))</f>
        <v/>
      </c>
      <c r="K173" s="54" t="str">
        <f>IF(OR($B173="",$A173&gt;$B$9,K$163=""),"",IF(COUNTIFS(BD!$B$3:$B$5001,K$163,BD!$A$3:$A$5001,"&gt;="&amp;$C$7,BD!$A$3:$A$5001,"&lt;="&amp;$B173,BD!$Q$3:$Q$5001,"&lt;&gt;")=0,"",SUMIFS(BD!$Q$3:$Q$5001,BD!$B$3:$B$5001,K$163,BD!$A$3:$A$5001,_xlfn.MAXIFS(BD!$A$3:$A$5001,BD!$B$3:$B$5001,K$163,BD!$A$3:$A$5001,"&gt;="&amp;$C$7,BD!$A$3:$A$5001,"&lt;="&amp;$B173,BD!$Q$3:$Q$5001,"&lt;&gt;"))))</f>
        <v/>
      </c>
      <c r="L173" s="54" t="str">
        <f>IF(OR($B173="",$A173&gt;$B$9,L$163=""),"",IF(COUNTIFS(BD!$B$3:$B$5001,L$163,BD!$A$3:$A$5001,"&gt;="&amp;$C$7,BD!$A$3:$A$5001,"&lt;="&amp;$B173,BD!$Q$3:$Q$5001,"&lt;&gt;")=0,"",SUMIFS(BD!$Q$3:$Q$5001,BD!$B$3:$B$5001,L$163,BD!$A$3:$A$5001,_xlfn.MAXIFS(BD!$A$3:$A$5001,BD!$B$3:$B$5001,L$163,BD!$A$3:$A$5001,"&gt;="&amp;$C$7,BD!$A$3:$A$5001,"&lt;="&amp;$B173,BD!$Q$3:$Q$5001,"&lt;&gt;"))))</f>
        <v/>
      </c>
      <c r="M173" s="54" t="str">
        <f>IF(OR($B173="",$A173&gt;$B$9,M$163=""),"",IF(COUNTIFS(BD!$B$3:$B$5001,M$163,BD!$A$3:$A$5001,"&gt;="&amp;$C$7,BD!$A$3:$A$5001,"&lt;="&amp;$B173,BD!$Q$3:$Q$5001,"&lt;&gt;")=0,"",SUMIFS(BD!$Q$3:$Q$5001,BD!$B$3:$B$5001,M$163,BD!$A$3:$A$5001,_xlfn.MAXIFS(BD!$A$3:$A$5001,BD!$B$3:$B$5001,M$163,BD!$A$3:$A$5001,"&gt;="&amp;$C$7,BD!$A$3:$A$5001,"&lt;="&amp;$B173,BD!$Q$3:$Q$5001,"&lt;&gt;"))))</f>
        <v/>
      </c>
      <c r="N173" s="54" t="str">
        <f>IF(OR($B173="",$A173&gt;$B$9,N$163=""),"",IF(COUNTIFS(BD!$B$3:$B$5001,N$163,BD!$A$3:$A$5001,"&gt;="&amp;$C$7,BD!$A$3:$A$5001,"&lt;="&amp;$B173,BD!$Q$3:$Q$5001,"&lt;&gt;")=0,"",SUMIFS(BD!$Q$3:$Q$5001,BD!$B$3:$B$5001,N$163,BD!$A$3:$A$5001,_xlfn.MAXIFS(BD!$A$3:$A$5001,BD!$B$3:$B$5001,N$163,BD!$A$3:$A$5001,"&gt;="&amp;$C$7,BD!$A$3:$A$5001,"&lt;="&amp;$B173,BD!$Q$3:$Q$5001,"&lt;&gt;"))))</f>
        <v/>
      </c>
      <c r="O173" s="54" t="str">
        <f>IF(OR($B173="",$A173&gt;$B$9,O$163=""),"",IF(COUNTIFS(BD!$B$3:$B$5001,O$163,BD!$A$3:$A$5001,"&gt;="&amp;$C$7,BD!$A$3:$A$5001,"&lt;="&amp;$B173,BD!$Q$3:$Q$5001,"&lt;&gt;")=0,"",SUMIFS(BD!$Q$3:$Q$5001,BD!$B$3:$B$5001,O$163,BD!$A$3:$A$5001,_xlfn.MAXIFS(BD!$A$3:$A$5001,BD!$B$3:$B$5001,O$163,BD!$A$3:$A$5001,"&gt;="&amp;$C$7,BD!$A$3:$A$5001,"&lt;="&amp;$B173,BD!$Q$3:$Q$5001,"&lt;&gt;"))))</f>
        <v/>
      </c>
      <c r="P173" s="54" t="str">
        <f>IF(OR($B173="",$A173&gt;$B$9,P$163=""),"",IF(COUNTIFS(BD!$B$3:$B$5001,P$163,BD!$A$3:$A$5001,"&gt;="&amp;$C$7,BD!$A$3:$A$5001,"&lt;="&amp;$B173,BD!$Q$3:$Q$5001,"&lt;&gt;")=0,"",SUMIFS(BD!$Q$3:$Q$5001,BD!$B$3:$B$5001,P$163,BD!$A$3:$A$5001,_xlfn.MAXIFS(BD!$A$3:$A$5001,BD!$B$3:$B$5001,P$163,BD!$A$3:$A$5001,"&gt;="&amp;$C$7,BD!$A$3:$A$5001,"&lt;="&amp;$B173,BD!$Q$3:$Q$5001,"&lt;&gt;"))))</f>
        <v/>
      </c>
      <c r="Q173" s="54" t="str">
        <f>IF(OR($B173="",$A173&gt;$B$9,Q$163=""),"",IF(COUNTIFS(BD!$B$3:$B$5001,Q$163,BD!$A$3:$A$5001,"&gt;="&amp;$C$7,BD!$A$3:$A$5001,"&lt;="&amp;$B173,BD!$Q$3:$Q$5001,"&lt;&gt;")=0,"",SUMIFS(BD!$Q$3:$Q$5001,BD!$B$3:$B$5001,Q$163,BD!$A$3:$A$5001,_xlfn.MAXIFS(BD!$A$3:$A$5001,BD!$B$3:$B$5001,Q$163,BD!$A$3:$A$5001,"&gt;="&amp;$C$7,BD!$A$3:$A$5001,"&lt;="&amp;$B173,BD!$Q$3:$Q$5001,"&lt;&gt;"))))</f>
        <v/>
      </c>
      <c r="R173" s="54" t="str">
        <f>IF(OR($B173="",$A173&gt;$B$9,R$163=""),"",IF(COUNTIFS(BD!$B$3:$B$5001,R$163,BD!$A$3:$A$5001,"&gt;="&amp;$C$7,BD!$A$3:$A$5001,"&lt;="&amp;$B173,BD!$Q$3:$Q$5001,"&lt;&gt;")=0,"",SUMIFS(BD!$Q$3:$Q$5001,BD!$B$3:$B$5001,R$163,BD!$A$3:$A$5001,_xlfn.MAXIFS(BD!$A$3:$A$5001,BD!$B$3:$B$5001,R$163,BD!$A$3:$A$5001,"&gt;="&amp;$C$7,BD!$A$3:$A$5001,"&lt;="&amp;$B173,BD!$Q$3:$Q$5001,"&lt;&gt;"))))</f>
        <v/>
      </c>
      <c r="S173" s="54" t="str">
        <f>IF(OR($B173="",$A173&gt;$B$9,S$163=""),"",IF(COUNTIFS(BD!$B$3:$B$5001,S$163,BD!$A$3:$A$5001,"&gt;="&amp;$C$7,BD!$A$3:$A$5001,"&lt;="&amp;$B173,BD!$Q$3:$Q$5001,"&lt;&gt;")=0,"",SUMIFS(BD!$Q$3:$Q$5001,BD!$B$3:$B$5001,S$163,BD!$A$3:$A$5001,_xlfn.MAXIFS(BD!$A$3:$A$5001,BD!$B$3:$B$5001,S$163,BD!$A$3:$A$5001,"&gt;="&amp;$C$7,BD!$A$3:$A$5001,"&lt;="&amp;$B173,BD!$Q$3:$Q$5001,"&lt;&gt;"))))</f>
        <v/>
      </c>
      <c r="T173" s="54" t="str">
        <f>IF(OR($B173="",$A173&gt;$B$9,T$163=""),"",IF(COUNTIFS(BD!$B$3:$B$5001,T$163,BD!$A$3:$A$5001,"&gt;="&amp;$C$7,BD!$A$3:$A$5001,"&lt;="&amp;$B173,BD!$Q$3:$Q$5001,"&lt;&gt;")=0,"",SUMIFS(BD!$Q$3:$Q$5001,BD!$B$3:$B$5001,T$163,BD!$A$3:$A$5001,_xlfn.MAXIFS(BD!$A$3:$A$5001,BD!$B$3:$B$5001,T$163,BD!$A$3:$A$5001,"&gt;="&amp;$C$7,BD!$A$3:$A$5001,"&lt;="&amp;$B173,BD!$Q$3:$Q$5001,"&lt;&gt;"))))</f>
        <v/>
      </c>
      <c r="U173" s="54" t="str">
        <f>IF(OR($B173="",$A173&gt;$B$9,U$163=""),"",IF(COUNTIFS(BD!$B$3:$B$5001,U$163,BD!$A$3:$A$5001,"&gt;="&amp;$C$7,BD!$A$3:$A$5001,"&lt;="&amp;$B173,BD!$Q$3:$Q$5001,"&lt;&gt;")=0,"",SUMIFS(BD!$Q$3:$Q$5001,BD!$B$3:$B$5001,U$163,BD!$A$3:$A$5001,_xlfn.MAXIFS(BD!$A$3:$A$5001,BD!$B$3:$B$5001,U$163,BD!$A$3:$A$5001,"&gt;="&amp;$C$7,BD!$A$3:$A$5001,"&lt;="&amp;$B173,BD!$Q$3:$Q$5001,"&lt;&gt;"))))</f>
        <v/>
      </c>
      <c r="V173" s="54" t="str">
        <f>IF(OR($B173="",$A173&gt;$B$9,V$163=""),"",IF(COUNTIFS(BD!$B$3:$B$5001,V$163,BD!$A$3:$A$5001,"&gt;="&amp;$C$7,BD!$A$3:$A$5001,"&lt;="&amp;$B173,BD!$Q$3:$Q$5001,"&lt;&gt;")=0,"",SUMIFS(BD!$Q$3:$Q$5001,BD!$B$3:$B$5001,V$163,BD!$A$3:$A$5001,_xlfn.MAXIFS(BD!$A$3:$A$5001,BD!$B$3:$B$5001,V$163,BD!$A$3:$A$5001,"&gt;="&amp;$C$7,BD!$A$3:$A$5001,"&lt;="&amp;$B173,BD!$Q$3:$Q$5001,"&lt;&gt;"))))</f>
        <v/>
      </c>
    </row>
    <row r="174">
      <c r="A174" s="48">
        <v>11</v>
      </c>
      <c r="B174" s="53">
        <f>$B$22</f>
        <v>46306</v>
      </c>
      <c r="C174" s="54" t="str">
        <f>IF(OR($B174="",$A174&gt;$B$9,C$163=""),"",IF(COUNTIFS(BD!$B$3:$B$5001,C$163,BD!$A$3:$A$5001,"&gt;="&amp;$C$7,BD!$A$3:$A$5001,"&lt;="&amp;$B174,BD!$Q$3:$Q$5001,"&lt;&gt;")=0,"",SUMIFS(BD!$Q$3:$Q$5001,BD!$B$3:$B$5001,C$163,BD!$A$3:$A$5001,_xlfn.MAXIFS(BD!$A$3:$A$5001,BD!$B$3:$B$5001,C$163,BD!$A$3:$A$5001,"&gt;="&amp;$C$7,BD!$A$3:$A$5001,"&lt;="&amp;$B174,BD!$Q$3:$Q$5001,"&lt;&gt;"))))</f>
        <v/>
      </c>
      <c r="D174" s="54" t="str">
        <f>IF(OR($B174="",$A174&gt;$B$9,D$163=""),"",IF(COUNTIFS(BD!$B$3:$B$5001,D$163,BD!$A$3:$A$5001,"&gt;="&amp;$C$7,BD!$A$3:$A$5001,"&lt;="&amp;$B174,BD!$Q$3:$Q$5001,"&lt;&gt;")=0,"",SUMIFS(BD!$Q$3:$Q$5001,BD!$B$3:$B$5001,D$163,BD!$A$3:$A$5001,_xlfn.MAXIFS(BD!$A$3:$A$5001,BD!$B$3:$B$5001,D$163,BD!$A$3:$A$5001,"&gt;="&amp;$C$7,BD!$A$3:$A$5001,"&lt;="&amp;$B174,BD!$Q$3:$Q$5001,"&lt;&gt;"))))</f>
        <v/>
      </c>
      <c r="E174" s="54" t="str">
        <f>IF(OR($B174="",$A174&gt;$B$9,E$163=""),"",IF(COUNTIFS(BD!$B$3:$B$5001,E$163,BD!$A$3:$A$5001,"&gt;="&amp;$C$7,BD!$A$3:$A$5001,"&lt;="&amp;$B174,BD!$Q$3:$Q$5001,"&lt;&gt;")=0,"",SUMIFS(BD!$Q$3:$Q$5001,BD!$B$3:$B$5001,E$163,BD!$A$3:$A$5001,_xlfn.MAXIFS(BD!$A$3:$A$5001,BD!$B$3:$B$5001,E$163,BD!$A$3:$A$5001,"&gt;="&amp;$C$7,BD!$A$3:$A$5001,"&lt;="&amp;$B174,BD!$Q$3:$Q$5001,"&lt;&gt;"))))</f>
        <v/>
      </c>
      <c r="F174" s="54" t="str">
        <f>IF(OR($B174="",$A174&gt;$B$9,F$163=""),"",IF(COUNTIFS(BD!$B$3:$B$5001,F$163,BD!$A$3:$A$5001,"&gt;="&amp;$C$7,BD!$A$3:$A$5001,"&lt;="&amp;$B174,BD!$Q$3:$Q$5001,"&lt;&gt;")=0,"",SUMIFS(BD!$Q$3:$Q$5001,BD!$B$3:$B$5001,F$163,BD!$A$3:$A$5001,_xlfn.MAXIFS(BD!$A$3:$A$5001,BD!$B$3:$B$5001,F$163,BD!$A$3:$A$5001,"&gt;="&amp;$C$7,BD!$A$3:$A$5001,"&lt;="&amp;$B174,BD!$Q$3:$Q$5001,"&lt;&gt;"))))</f>
        <v/>
      </c>
      <c r="G174" s="54" t="str">
        <f>IF(OR($B174="",$A174&gt;$B$9,G$163=""),"",IF(COUNTIFS(BD!$B$3:$B$5001,G$163,BD!$A$3:$A$5001,"&gt;="&amp;$C$7,BD!$A$3:$A$5001,"&lt;="&amp;$B174,BD!$Q$3:$Q$5001,"&lt;&gt;")=0,"",SUMIFS(BD!$Q$3:$Q$5001,BD!$B$3:$B$5001,G$163,BD!$A$3:$A$5001,_xlfn.MAXIFS(BD!$A$3:$A$5001,BD!$B$3:$B$5001,G$163,BD!$A$3:$A$5001,"&gt;="&amp;$C$7,BD!$A$3:$A$5001,"&lt;="&amp;$B174,BD!$Q$3:$Q$5001,"&lt;&gt;"))))</f>
        <v/>
      </c>
      <c r="H174" s="54" t="str">
        <f>IF(OR($B174="",$A174&gt;$B$9,H$163=""),"",IF(COUNTIFS(BD!$B$3:$B$5001,H$163,BD!$A$3:$A$5001,"&gt;="&amp;$C$7,BD!$A$3:$A$5001,"&lt;="&amp;$B174,BD!$Q$3:$Q$5001,"&lt;&gt;")=0,"",SUMIFS(BD!$Q$3:$Q$5001,BD!$B$3:$B$5001,H$163,BD!$A$3:$A$5001,_xlfn.MAXIFS(BD!$A$3:$A$5001,BD!$B$3:$B$5001,H$163,BD!$A$3:$A$5001,"&gt;="&amp;$C$7,BD!$A$3:$A$5001,"&lt;="&amp;$B174,BD!$Q$3:$Q$5001,"&lt;&gt;"))))</f>
        <v/>
      </c>
      <c r="I174" s="54" t="str">
        <f>IF(OR($B174="",$A174&gt;$B$9,I$163=""),"",IF(COUNTIFS(BD!$B$3:$B$5001,I$163,BD!$A$3:$A$5001,"&gt;="&amp;$C$7,BD!$A$3:$A$5001,"&lt;="&amp;$B174,BD!$Q$3:$Q$5001,"&lt;&gt;")=0,"",SUMIFS(BD!$Q$3:$Q$5001,BD!$B$3:$B$5001,I$163,BD!$A$3:$A$5001,_xlfn.MAXIFS(BD!$A$3:$A$5001,BD!$B$3:$B$5001,I$163,BD!$A$3:$A$5001,"&gt;="&amp;$C$7,BD!$A$3:$A$5001,"&lt;="&amp;$B174,BD!$Q$3:$Q$5001,"&lt;&gt;"))))</f>
        <v/>
      </c>
      <c r="J174" s="54" t="str">
        <f>IF(OR($B174="",$A174&gt;$B$9,J$163=""),"",IF(COUNTIFS(BD!$B$3:$B$5001,J$163,BD!$A$3:$A$5001,"&gt;="&amp;$C$7,BD!$A$3:$A$5001,"&lt;="&amp;$B174,BD!$Q$3:$Q$5001,"&lt;&gt;")=0,"",SUMIFS(BD!$Q$3:$Q$5001,BD!$B$3:$B$5001,J$163,BD!$A$3:$A$5001,_xlfn.MAXIFS(BD!$A$3:$A$5001,BD!$B$3:$B$5001,J$163,BD!$A$3:$A$5001,"&gt;="&amp;$C$7,BD!$A$3:$A$5001,"&lt;="&amp;$B174,BD!$Q$3:$Q$5001,"&lt;&gt;"))))</f>
        <v/>
      </c>
      <c r="K174" s="54" t="str">
        <f>IF(OR($B174="",$A174&gt;$B$9,K$163=""),"",IF(COUNTIFS(BD!$B$3:$B$5001,K$163,BD!$A$3:$A$5001,"&gt;="&amp;$C$7,BD!$A$3:$A$5001,"&lt;="&amp;$B174,BD!$Q$3:$Q$5001,"&lt;&gt;")=0,"",SUMIFS(BD!$Q$3:$Q$5001,BD!$B$3:$B$5001,K$163,BD!$A$3:$A$5001,_xlfn.MAXIFS(BD!$A$3:$A$5001,BD!$B$3:$B$5001,K$163,BD!$A$3:$A$5001,"&gt;="&amp;$C$7,BD!$A$3:$A$5001,"&lt;="&amp;$B174,BD!$Q$3:$Q$5001,"&lt;&gt;"))))</f>
        <v/>
      </c>
      <c r="L174" s="54" t="str">
        <f>IF(OR($B174="",$A174&gt;$B$9,L$163=""),"",IF(COUNTIFS(BD!$B$3:$B$5001,L$163,BD!$A$3:$A$5001,"&gt;="&amp;$C$7,BD!$A$3:$A$5001,"&lt;="&amp;$B174,BD!$Q$3:$Q$5001,"&lt;&gt;")=0,"",SUMIFS(BD!$Q$3:$Q$5001,BD!$B$3:$B$5001,L$163,BD!$A$3:$A$5001,_xlfn.MAXIFS(BD!$A$3:$A$5001,BD!$B$3:$B$5001,L$163,BD!$A$3:$A$5001,"&gt;="&amp;$C$7,BD!$A$3:$A$5001,"&lt;="&amp;$B174,BD!$Q$3:$Q$5001,"&lt;&gt;"))))</f>
        <v/>
      </c>
      <c r="M174" s="54" t="str">
        <f>IF(OR($B174="",$A174&gt;$B$9,M$163=""),"",IF(COUNTIFS(BD!$B$3:$B$5001,M$163,BD!$A$3:$A$5001,"&gt;="&amp;$C$7,BD!$A$3:$A$5001,"&lt;="&amp;$B174,BD!$Q$3:$Q$5001,"&lt;&gt;")=0,"",SUMIFS(BD!$Q$3:$Q$5001,BD!$B$3:$B$5001,M$163,BD!$A$3:$A$5001,_xlfn.MAXIFS(BD!$A$3:$A$5001,BD!$B$3:$B$5001,M$163,BD!$A$3:$A$5001,"&gt;="&amp;$C$7,BD!$A$3:$A$5001,"&lt;="&amp;$B174,BD!$Q$3:$Q$5001,"&lt;&gt;"))))</f>
        <v/>
      </c>
      <c r="N174" s="54" t="str">
        <f>IF(OR($B174="",$A174&gt;$B$9,N$163=""),"",IF(COUNTIFS(BD!$B$3:$B$5001,N$163,BD!$A$3:$A$5001,"&gt;="&amp;$C$7,BD!$A$3:$A$5001,"&lt;="&amp;$B174,BD!$Q$3:$Q$5001,"&lt;&gt;")=0,"",SUMIFS(BD!$Q$3:$Q$5001,BD!$B$3:$B$5001,N$163,BD!$A$3:$A$5001,_xlfn.MAXIFS(BD!$A$3:$A$5001,BD!$B$3:$B$5001,N$163,BD!$A$3:$A$5001,"&gt;="&amp;$C$7,BD!$A$3:$A$5001,"&lt;="&amp;$B174,BD!$Q$3:$Q$5001,"&lt;&gt;"))))</f>
        <v/>
      </c>
      <c r="O174" s="54" t="str">
        <f>IF(OR($B174="",$A174&gt;$B$9,O$163=""),"",IF(COUNTIFS(BD!$B$3:$B$5001,O$163,BD!$A$3:$A$5001,"&gt;="&amp;$C$7,BD!$A$3:$A$5001,"&lt;="&amp;$B174,BD!$Q$3:$Q$5001,"&lt;&gt;")=0,"",SUMIFS(BD!$Q$3:$Q$5001,BD!$B$3:$B$5001,O$163,BD!$A$3:$A$5001,_xlfn.MAXIFS(BD!$A$3:$A$5001,BD!$B$3:$B$5001,O$163,BD!$A$3:$A$5001,"&gt;="&amp;$C$7,BD!$A$3:$A$5001,"&lt;="&amp;$B174,BD!$Q$3:$Q$5001,"&lt;&gt;"))))</f>
        <v/>
      </c>
      <c r="P174" s="54" t="str">
        <f>IF(OR($B174="",$A174&gt;$B$9,P$163=""),"",IF(COUNTIFS(BD!$B$3:$B$5001,P$163,BD!$A$3:$A$5001,"&gt;="&amp;$C$7,BD!$A$3:$A$5001,"&lt;="&amp;$B174,BD!$Q$3:$Q$5001,"&lt;&gt;")=0,"",SUMIFS(BD!$Q$3:$Q$5001,BD!$B$3:$B$5001,P$163,BD!$A$3:$A$5001,_xlfn.MAXIFS(BD!$A$3:$A$5001,BD!$B$3:$B$5001,P$163,BD!$A$3:$A$5001,"&gt;="&amp;$C$7,BD!$A$3:$A$5001,"&lt;="&amp;$B174,BD!$Q$3:$Q$5001,"&lt;&gt;"))))</f>
        <v/>
      </c>
      <c r="Q174" s="54" t="str">
        <f>IF(OR($B174="",$A174&gt;$B$9,Q$163=""),"",IF(COUNTIFS(BD!$B$3:$B$5001,Q$163,BD!$A$3:$A$5001,"&gt;="&amp;$C$7,BD!$A$3:$A$5001,"&lt;="&amp;$B174,BD!$Q$3:$Q$5001,"&lt;&gt;")=0,"",SUMIFS(BD!$Q$3:$Q$5001,BD!$B$3:$B$5001,Q$163,BD!$A$3:$A$5001,_xlfn.MAXIFS(BD!$A$3:$A$5001,BD!$B$3:$B$5001,Q$163,BD!$A$3:$A$5001,"&gt;="&amp;$C$7,BD!$A$3:$A$5001,"&lt;="&amp;$B174,BD!$Q$3:$Q$5001,"&lt;&gt;"))))</f>
        <v/>
      </c>
      <c r="R174" s="54" t="str">
        <f>IF(OR($B174="",$A174&gt;$B$9,R$163=""),"",IF(COUNTIFS(BD!$B$3:$B$5001,R$163,BD!$A$3:$A$5001,"&gt;="&amp;$C$7,BD!$A$3:$A$5001,"&lt;="&amp;$B174,BD!$Q$3:$Q$5001,"&lt;&gt;")=0,"",SUMIFS(BD!$Q$3:$Q$5001,BD!$B$3:$B$5001,R$163,BD!$A$3:$A$5001,_xlfn.MAXIFS(BD!$A$3:$A$5001,BD!$B$3:$B$5001,R$163,BD!$A$3:$A$5001,"&gt;="&amp;$C$7,BD!$A$3:$A$5001,"&lt;="&amp;$B174,BD!$Q$3:$Q$5001,"&lt;&gt;"))))</f>
        <v/>
      </c>
      <c r="S174" s="54" t="str">
        <f>IF(OR($B174="",$A174&gt;$B$9,S$163=""),"",IF(COUNTIFS(BD!$B$3:$B$5001,S$163,BD!$A$3:$A$5001,"&gt;="&amp;$C$7,BD!$A$3:$A$5001,"&lt;="&amp;$B174,BD!$Q$3:$Q$5001,"&lt;&gt;")=0,"",SUMIFS(BD!$Q$3:$Q$5001,BD!$B$3:$B$5001,S$163,BD!$A$3:$A$5001,_xlfn.MAXIFS(BD!$A$3:$A$5001,BD!$B$3:$B$5001,S$163,BD!$A$3:$A$5001,"&gt;="&amp;$C$7,BD!$A$3:$A$5001,"&lt;="&amp;$B174,BD!$Q$3:$Q$5001,"&lt;&gt;"))))</f>
        <v/>
      </c>
      <c r="T174" s="54" t="str">
        <f>IF(OR($B174="",$A174&gt;$B$9,T$163=""),"",IF(COUNTIFS(BD!$B$3:$B$5001,T$163,BD!$A$3:$A$5001,"&gt;="&amp;$C$7,BD!$A$3:$A$5001,"&lt;="&amp;$B174,BD!$Q$3:$Q$5001,"&lt;&gt;")=0,"",SUMIFS(BD!$Q$3:$Q$5001,BD!$B$3:$B$5001,T$163,BD!$A$3:$A$5001,_xlfn.MAXIFS(BD!$A$3:$A$5001,BD!$B$3:$B$5001,T$163,BD!$A$3:$A$5001,"&gt;="&amp;$C$7,BD!$A$3:$A$5001,"&lt;="&amp;$B174,BD!$Q$3:$Q$5001,"&lt;&gt;"))))</f>
        <v/>
      </c>
      <c r="U174" s="54" t="str">
        <f>IF(OR($B174="",$A174&gt;$B$9,U$163=""),"",IF(COUNTIFS(BD!$B$3:$B$5001,U$163,BD!$A$3:$A$5001,"&gt;="&amp;$C$7,BD!$A$3:$A$5001,"&lt;="&amp;$B174,BD!$Q$3:$Q$5001,"&lt;&gt;")=0,"",SUMIFS(BD!$Q$3:$Q$5001,BD!$B$3:$B$5001,U$163,BD!$A$3:$A$5001,_xlfn.MAXIFS(BD!$A$3:$A$5001,BD!$B$3:$B$5001,U$163,BD!$A$3:$A$5001,"&gt;="&amp;$C$7,BD!$A$3:$A$5001,"&lt;="&amp;$B174,BD!$Q$3:$Q$5001,"&lt;&gt;"))))</f>
        <v/>
      </c>
      <c r="V174" s="54" t="str">
        <f>IF(OR($B174="",$A174&gt;$B$9,V$163=""),"",IF(COUNTIFS(BD!$B$3:$B$5001,V$163,BD!$A$3:$A$5001,"&gt;="&amp;$C$7,BD!$A$3:$A$5001,"&lt;="&amp;$B174,BD!$Q$3:$Q$5001,"&lt;&gt;")=0,"",SUMIFS(BD!$Q$3:$Q$5001,BD!$B$3:$B$5001,V$163,BD!$A$3:$A$5001,_xlfn.MAXIFS(BD!$A$3:$A$5001,BD!$B$3:$B$5001,V$163,BD!$A$3:$A$5001,"&gt;="&amp;$C$7,BD!$A$3:$A$5001,"&lt;="&amp;$B174,BD!$Q$3:$Q$5001,"&lt;&gt;"))))</f>
        <v/>
      </c>
    </row>
    <row r="175">
      <c r="A175" s="48">
        <v>12</v>
      </c>
      <c r="B175" s="53">
        <f>$B$23</f>
        <v>46307</v>
      </c>
      <c r="C175" s="54" t="str">
        <f>IF(OR($B175="",$A175&gt;$B$9,C$163=""),"",IF(COUNTIFS(BD!$B$3:$B$5001,C$163,BD!$A$3:$A$5001,"&gt;="&amp;$C$7,BD!$A$3:$A$5001,"&lt;="&amp;$B175,BD!$Q$3:$Q$5001,"&lt;&gt;")=0,"",SUMIFS(BD!$Q$3:$Q$5001,BD!$B$3:$B$5001,C$163,BD!$A$3:$A$5001,_xlfn.MAXIFS(BD!$A$3:$A$5001,BD!$B$3:$B$5001,C$163,BD!$A$3:$A$5001,"&gt;="&amp;$C$7,BD!$A$3:$A$5001,"&lt;="&amp;$B175,BD!$Q$3:$Q$5001,"&lt;&gt;"))))</f>
        <v/>
      </c>
      <c r="D175" s="54" t="str">
        <f>IF(OR($B175="",$A175&gt;$B$9,D$163=""),"",IF(COUNTIFS(BD!$B$3:$B$5001,D$163,BD!$A$3:$A$5001,"&gt;="&amp;$C$7,BD!$A$3:$A$5001,"&lt;="&amp;$B175,BD!$Q$3:$Q$5001,"&lt;&gt;")=0,"",SUMIFS(BD!$Q$3:$Q$5001,BD!$B$3:$B$5001,D$163,BD!$A$3:$A$5001,_xlfn.MAXIFS(BD!$A$3:$A$5001,BD!$B$3:$B$5001,D$163,BD!$A$3:$A$5001,"&gt;="&amp;$C$7,BD!$A$3:$A$5001,"&lt;="&amp;$B175,BD!$Q$3:$Q$5001,"&lt;&gt;"))))</f>
        <v/>
      </c>
      <c r="E175" s="54" t="str">
        <f>IF(OR($B175="",$A175&gt;$B$9,E$163=""),"",IF(COUNTIFS(BD!$B$3:$B$5001,E$163,BD!$A$3:$A$5001,"&gt;="&amp;$C$7,BD!$A$3:$A$5001,"&lt;="&amp;$B175,BD!$Q$3:$Q$5001,"&lt;&gt;")=0,"",SUMIFS(BD!$Q$3:$Q$5001,BD!$B$3:$B$5001,E$163,BD!$A$3:$A$5001,_xlfn.MAXIFS(BD!$A$3:$A$5001,BD!$B$3:$B$5001,E$163,BD!$A$3:$A$5001,"&gt;="&amp;$C$7,BD!$A$3:$A$5001,"&lt;="&amp;$B175,BD!$Q$3:$Q$5001,"&lt;&gt;"))))</f>
        <v/>
      </c>
      <c r="F175" s="54" t="str">
        <f>IF(OR($B175="",$A175&gt;$B$9,F$163=""),"",IF(COUNTIFS(BD!$B$3:$B$5001,F$163,BD!$A$3:$A$5001,"&gt;="&amp;$C$7,BD!$A$3:$A$5001,"&lt;="&amp;$B175,BD!$Q$3:$Q$5001,"&lt;&gt;")=0,"",SUMIFS(BD!$Q$3:$Q$5001,BD!$B$3:$B$5001,F$163,BD!$A$3:$A$5001,_xlfn.MAXIFS(BD!$A$3:$A$5001,BD!$B$3:$B$5001,F$163,BD!$A$3:$A$5001,"&gt;="&amp;$C$7,BD!$A$3:$A$5001,"&lt;="&amp;$B175,BD!$Q$3:$Q$5001,"&lt;&gt;"))))</f>
        <v/>
      </c>
      <c r="G175" s="54" t="str">
        <f>IF(OR($B175="",$A175&gt;$B$9,G$163=""),"",IF(COUNTIFS(BD!$B$3:$B$5001,G$163,BD!$A$3:$A$5001,"&gt;="&amp;$C$7,BD!$A$3:$A$5001,"&lt;="&amp;$B175,BD!$Q$3:$Q$5001,"&lt;&gt;")=0,"",SUMIFS(BD!$Q$3:$Q$5001,BD!$B$3:$B$5001,G$163,BD!$A$3:$A$5001,_xlfn.MAXIFS(BD!$A$3:$A$5001,BD!$B$3:$B$5001,G$163,BD!$A$3:$A$5001,"&gt;="&amp;$C$7,BD!$A$3:$A$5001,"&lt;="&amp;$B175,BD!$Q$3:$Q$5001,"&lt;&gt;"))))</f>
        <v/>
      </c>
      <c r="H175" s="54" t="str">
        <f>IF(OR($B175="",$A175&gt;$B$9,H$163=""),"",IF(COUNTIFS(BD!$B$3:$B$5001,H$163,BD!$A$3:$A$5001,"&gt;="&amp;$C$7,BD!$A$3:$A$5001,"&lt;="&amp;$B175,BD!$Q$3:$Q$5001,"&lt;&gt;")=0,"",SUMIFS(BD!$Q$3:$Q$5001,BD!$B$3:$B$5001,H$163,BD!$A$3:$A$5001,_xlfn.MAXIFS(BD!$A$3:$A$5001,BD!$B$3:$B$5001,H$163,BD!$A$3:$A$5001,"&gt;="&amp;$C$7,BD!$A$3:$A$5001,"&lt;="&amp;$B175,BD!$Q$3:$Q$5001,"&lt;&gt;"))))</f>
        <v/>
      </c>
      <c r="I175" s="54" t="str">
        <f>IF(OR($B175="",$A175&gt;$B$9,I$163=""),"",IF(COUNTIFS(BD!$B$3:$B$5001,I$163,BD!$A$3:$A$5001,"&gt;="&amp;$C$7,BD!$A$3:$A$5001,"&lt;="&amp;$B175,BD!$Q$3:$Q$5001,"&lt;&gt;")=0,"",SUMIFS(BD!$Q$3:$Q$5001,BD!$B$3:$B$5001,I$163,BD!$A$3:$A$5001,_xlfn.MAXIFS(BD!$A$3:$A$5001,BD!$B$3:$B$5001,I$163,BD!$A$3:$A$5001,"&gt;="&amp;$C$7,BD!$A$3:$A$5001,"&lt;="&amp;$B175,BD!$Q$3:$Q$5001,"&lt;&gt;"))))</f>
        <v/>
      </c>
      <c r="J175" s="54" t="str">
        <f>IF(OR($B175="",$A175&gt;$B$9,J$163=""),"",IF(COUNTIFS(BD!$B$3:$B$5001,J$163,BD!$A$3:$A$5001,"&gt;="&amp;$C$7,BD!$A$3:$A$5001,"&lt;="&amp;$B175,BD!$Q$3:$Q$5001,"&lt;&gt;")=0,"",SUMIFS(BD!$Q$3:$Q$5001,BD!$B$3:$B$5001,J$163,BD!$A$3:$A$5001,_xlfn.MAXIFS(BD!$A$3:$A$5001,BD!$B$3:$B$5001,J$163,BD!$A$3:$A$5001,"&gt;="&amp;$C$7,BD!$A$3:$A$5001,"&lt;="&amp;$B175,BD!$Q$3:$Q$5001,"&lt;&gt;"))))</f>
        <v/>
      </c>
      <c r="K175" s="54" t="str">
        <f>IF(OR($B175="",$A175&gt;$B$9,K$163=""),"",IF(COUNTIFS(BD!$B$3:$B$5001,K$163,BD!$A$3:$A$5001,"&gt;="&amp;$C$7,BD!$A$3:$A$5001,"&lt;="&amp;$B175,BD!$Q$3:$Q$5001,"&lt;&gt;")=0,"",SUMIFS(BD!$Q$3:$Q$5001,BD!$B$3:$B$5001,K$163,BD!$A$3:$A$5001,_xlfn.MAXIFS(BD!$A$3:$A$5001,BD!$B$3:$B$5001,K$163,BD!$A$3:$A$5001,"&gt;="&amp;$C$7,BD!$A$3:$A$5001,"&lt;="&amp;$B175,BD!$Q$3:$Q$5001,"&lt;&gt;"))))</f>
        <v/>
      </c>
      <c r="L175" s="54" t="str">
        <f>IF(OR($B175="",$A175&gt;$B$9,L$163=""),"",IF(COUNTIFS(BD!$B$3:$B$5001,L$163,BD!$A$3:$A$5001,"&gt;="&amp;$C$7,BD!$A$3:$A$5001,"&lt;="&amp;$B175,BD!$Q$3:$Q$5001,"&lt;&gt;")=0,"",SUMIFS(BD!$Q$3:$Q$5001,BD!$B$3:$B$5001,L$163,BD!$A$3:$A$5001,_xlfn.MAXIFS(BD!$A$3:$A$5001,BD!$B$3:$B$5001,L$163,BD!$A$3:$A$5001,"&gt;="&amp;$C$7,BD!$A$3:$A$5001,"&lt;="&amp;$B175,BD!$Q$3:$Q$5001,"&lt;&gt;"))))</f>
        <v/>
      </c>
      <c r="M175" s="54" t="str">
        <f>IF(OR($B175="",$A175&gt;$B$9,M$163=""),"",IF(COUNTIFS(BD!$B$3:$B$5001,M$163,BD!$A$3:$A$5001,"&gt;="&amp;$C$7,BD!$A$3:$A$5001,"&lt;="&amp;$B175,BD!$Q$3:$Q$5001,"&lt;&gt;")=0,"",SUMIFS(BD!$Q$3:$Q$5001,BD!$B$3:$B$5001,M$163,BD!$A$3:$A$5001,_xlfn.MAXIFS(BD!$A$3:$A$5001,BD!$B$3:$B$5001,M$163,BD!$A$3:$A$5001,"&gt;="&amp;$C$7,BD!$A$3:$A$5001,"&lt;="&amp;$B175,BD!$Q$3:$Q$5001,"&lt;&gt;"))))</f>
        <v/>
      </c>
      <c r="N175" s="54" t="str">
        <f>IF(OR($B175="",$A175&gt;$B$9,N$163=""),"",IF(COUNTIFS(BD!$B$3:$B$5001,N$163,BD!$A$3:$A$5001,"&gt;="&amp;$C$7,BD!$A$3:$A$5001,"&lt;="&amp;$B175,BD!$Q$3:$Q$5001,"&lt;&gt;")=0,"",SUMIFS(BD!$Q$3:$Q$5001,BD!$B$3:$B$5001,N$163,BD!$A$3:$A$5001,_xlfn.MAXIFS(BD!$A$3:$A$5001,BD!$B$3:$B$5001,N$163,BD!$A$3:$A$5001,"&gt;="&amp;$C$7,BD!$A$3:$A$5001,"&lt;="&amp;$B175,BD!$Q$3:$Q$5001,"&lt;&gt;"))))</f>
        <v/>
      </c>
      <c r="O175" s="54" t="str">
        <f>IF(OR($B175="",$A175&gt;$B$9,O$163=""),"",IF(COUNTIFS(BD!$B$3:$B$5001,O$163,BD!$A$3:$A$5001,"&gt;="&amp;$C$7,BD!$A$3:$A$5001,"&lt;="&amp;$B175,BD!$Q$3:$Q$5001,"&lt;&gt;")=0,"",SUMIFS(BD!$Q$3:$Q$5001,BD!$B$3:$B$5001,O$163,BD!$A$3:$A$5001,_xlfn.MAXIFS(BD!$A$3:$A$5001,BD!$B$3:$B$5001,O$163,BD!$A$3:$A$5001,"&gt;="&amp;$C$7,BD!$A$3:$A$5001,"&lt;="&amp;$B175,BD!$Q$3:$Q$5001,"&lt;&gt;"))))</f>
        <v/>
      </c>
      <c r="P175" s="54" t="str">
        <f>IF(OR($B175="",$A175&gt;$B$9,P$163=""),"",IF(COUNTIFS(BD!$B$3:$B$5001,P$163,BD!$A$3:$A$5001,"&gt;="&amp;$C$7,BD!$A$3:$A$5001,"&lt;="&amp;$B175,BD!$Q$3:$Q$5001,"&lt;&gt;")=0,"",SUMIFS(BD!$Q$3:$Q$5001,BD!$B$3:$B$5001,P$163,BD!$A$3:$A$5001,_xlfn.MAXIFS(BD!$A$3:$A$5001,BD!$B$3:$B$5001,P$163,BD!$A$3:$A$5001,"&gt;="&amp;$C$7,BD!$A$3:$A$5001,"&lt;="&amp;$B175,BD!$Q$3:$Q$5001,"&lt;&gt;"))))</f>
        <v/>
      </c>
      <c r="Q175" s="54" t="str">
        <f>IF(OR($B175="",$A175&gt;$B$9,Q$163=""),"",IF(COUNTIFS(BD!$B$3:$B$5001,Q$163,BD!$A$3:$A$5001,"&gt;="&amp;$C$7,BD!$A$3:$A$5001,"&lt;="&amp;$B175,BD!$Q$3:$Q$5001,"&lt;&gt;")=0,"",SUMIFS(BD!$Q$3:$Q$5001,BD!$B$3:$B$5001,Q$163,BD!$A$3:$A$5001,_xlfn.MAXIFS(BD!$A$3:$A$5001,BD!$B$3:$B$5001,Q$163,BD!$A$3:$A$5001,"&gt;="&amp;$C$7,BD!$A$3:$A$5001,"&lt;="&amp;$B175,BD!$Q$3:$Q$5001,"&lt;&gt;"))))</f>
        <v/>
      </c>
      <c r="R175" s="54" t="str">
        <f>IF(OR($B175="",$A175&gt;$B$9,R$163=""),"",IF(COUNTIFS(BD!$B$3:$B$5001,R$163,BD!$A$3:$A$5001,"&gt;="&amp;$C$7,BD!$A$3:$A$5001,"&lt;="&amp;$B175,BD!$Q$3:$Q$5001,"&lt;&gt;")=0,"",SUMIFS(BD!$Q$3:$Q$5001,BD!$B$3:$B$5001,R$163,BD!$A$3:$A$5001,_xlfn.MAXIFS(BD!$A$3:$A$5001,BD!$B$3:$B$5001,R$163,BD!$A$3:$A$5001,"&gt;="&amp;$C$7,BD!$A$3:$A$5001,"&lt;="&amp;$B175,BD!$Q$3:$Q$5001,"&lt;&gt;"))))</f>
        <v/>
      </c>
      <c r="S175" s="54" t="str">
        <f>IF(OR($B175="",$A175&gt;$B$9,S$163=""),"",IF(COUNTIFS(BD!$B$3:$B$5001,S$163,BD!$A$3:$A$5001,"&gt;="&amp;$C$7,BD!$A$3:$A$5001,"&lt;="&amp;$B175,BD!$Q$3:$Q$5001,"&lt;&gt;")=0,"",SUMIFS(BD!$Q$3:$Q$5001,BD!$B$3:$B$5001,S$163,BD!$A$3:$A$5001,_xlfn.MAXIFS(BD!$A$3:$A$5001,BD!$B$3:$B$5001,S$163,BD!$A$3:$A$5001,"&gt;="&amp;$C$7,BD!$A$3:$A$5001,"&lt;="&amp;$B175,BD!$Q$3:$Q$5001,"&lt;&gt;"))))</f>
        <v/>
      </c>
      <c r="T175" s="54" t="str">
        <f>IF(OR($B175="",$A175&gt;$B$9,T$163=""),"",IF(COUNTIFS(BD!$B$3:$B$5001,T$163,BD!$A$3:$A$5001,"&gt;="&amp;$C$7,BD!$A$3:$A$5001,"&lt;="&amp;$B175,BD!$Q$3:$Q$5001,"&lt;&gt;")=0,"",SUMIFS(BD!$Q$3:$Q$5001,BD!$B$3:$B$5001,T$163,BD!$A$3:$A$5001,_xlfn.MAXIFS(BD!$A$3:$A$5001,BD!$B$3:$B$5001,T$163,BD!$A$3:$A$5001,"&gt;="&amp;$C$7,BD!$A$3:$A$5001,"&lt;="&amp;$B175,BD!$Q$3:$Q$5001,"&lt;&gt;"))))</f>
        <v/>
      </c>
      <c r="U175" s="54" t="str">
        <f>IF(OR($B175="",$A175&gt;$B$9,U$163=""),"",IF(COUNTIFS(BD!$B$3:$B$5001,U$163,BD!$A$3:$A$5001,"&gt;="&amp;$C$7,BD!$A$3:$A$5001,"&lt;="&amp;$B175,BD!$Q$3:$Q$5001,"&lt;&gt;")=0,"",SUMIFS(BD!$Q$3:$Q$5001,BD!$B$3:$B$5001,U$163,BD!$A$3:$A$5001,_xlfn.MAXIFS(BD!$A$3:$A$5001,BD!$B$3:$B$5001,U$163,BD!$A$3:$A$5001,"&gt;="&amp;$C$7,BD!$A$3:$A$5001,"&lt;="&amp;$B175,BD!$Q$3:$Q$5001,"&lt;&gt;"))))</f>
        <v/>
      </c>
      <c r="V175" s="54" t="str">
        <f>IF(OR($B175="",$A175&gt;$B$9,V$163=""),"",IF(COUNTIFS(BD!$B$3:$B$5001,V$163,BD!$A$3:$A$5001,"&gt;="&amp;$C$7,BD!$A$3:$A$5001,"&lt;="&amp;$B175,BD!$Q$3:$Q$5001,"&lt;&gt;")=0,"",SUMIFS(BD!$Q$3:$Q$5001,BD!$B$3:$B$5001,V$163,BD!$A$3:$A$5001,_xlfn.MAXIFS(BD!$A$3:$A$5001,BD!$B$3:$B$5001,V$163,BD!$A$3:$A$5001,"&gt;="&amp;$C$7,BD!$A$3:$A$5001,"&lt;="&amp;$B175,BD!$Q$3:$Q$5001,"&lt;&gt;"))))</f>
        <v/>
      </c>
    </row>
    <row r="176">
      <c r="A176" s="48">
        <v>13</v>
      </c>
      <c r="B176" s="53">
        <f>$B$24</f>
        <v>46308</v>
      </c>
      <c r="C176" s="54" t="str">
        <f>IF(OR($B176="",$A176&gt;$B$9,C$163=""),"",IF(COUNTIFS(BD!$B$3:$B$5001,C$163,BD!$A$3:$A$5001,"&gt;="&amp;$C$7,BD!$A$3:$A$5001,"&lt;="&amp;$B176,BD!$Q$3:$Q$5001,"&lt;&gt;")=0,"",SUMIFS(BD!$Q$3:$Q$5001,BD!$B$3:$B$5001,C$163,BD!$A$3:$A$5001,_xlfn.MAXIFS(BD!$A$3:$A$5001,BD!$B$3:$B$5001,C$163,BD!$A$3:$A$5001,"&gt;="&amp;$C$7,BD!$A$3:$A$5001,"&lt;="&amp;$B176,BD!$Q$3:$Q$5001,"&lt;&gt;"))))</f>
        <v/>
      </c>
      <c r="D176" s="54" t="str">
        <f>IF(OR($B176="",$A176&gt;$B$9,D$163=""),"",IF(COUNTIFS(BD!$B$3:$B$5001,D$163,BD!$A$3:$A$5001,"&gt;="&amp;$C$7,BD!$A$3:$A$5001,"&lt;="&amp;$B176,BD!$Q$3:$Q$5001,"&lt;&gt;")=0,"",SUMIFS(BD!$Q$3:$Q$5001,BD!$B$3:$B$5001,D$163,BD!$A$3:$A$5001,_xlfn.MAXIFS(BD!$A$3:$A$5001,BD!$B$3:$B$5001,D$163,BD!$A$3:$A$5001,"&gt;="&amp;$C$7,BD!$A$3:$A$5001,"&lt;="&amp;$B176,BD!$Q$3:$Q$5001,"&lt;&gt;"))))</f>
        <v/>
      </c>
      <c r="E176" s="54" t="str">
        <f>IF(OR($B176="",$A176&gt;$B$9,E$163=""),"",IF(COUNTIFS(BD!$B$3:$B$5001,E$163,BD!$A$3:$A$5001,"&gt;="&amp;$C$7,BD!$A$3:$A$5001,"&lt;="&amp;$B176,BD!$Q$3:$Q$5001,"&lt;&gt;")=0,"",SUMIFS(BD!$Q$3:$Q$5001,BD!$B$3:$B$5001,E$163,BD!$A$3:$A$5001,_xlfn.MAXIFS(BD!$A$3:$A$5001,BD!$B$3:$B$5001,E$163,BD!$A$3:$A$5001,"&gt;="&amp;$C$7,BD!$A$3:$A$5001,"&lt;="&amp;$B176,BD!$Q$3:$Q$5001,"&lt;&gt;"))))</f>
        <v/>
      </c>
      <c r="F176" s="54" t="str">
        <f>IF(OR($B176="",$A176&gt;$B$9,F$163=""),"",IF(COUNTIFS(BD!$B$3:$B$5001,F$163,BD!$A$3:$A$5001,"&gt;="&amp;$C$7,BD!$A$3:$A$5001,"&lt;="&amp;$B176,BD!$Q$3:$Q$5001,"&lt;&gt;")=0,"",SUMIFS(BD!$Q$3:$Q$5001,BD!$B$3:$B$5001,F$163,BD!$A$3:$A$5001,_xlfn.MAXIFS(BD!$A$3:$A$5001,BD!$B$3:$B$5001,F$163,BD!$A$3:$A$5001,"&gt;="&amp;$C$7,BD!$A$3:$A$5001,"&lt;="&amp;$B176,BD!$Q$3:$Q$5001,"&lt;&gt;"))))</f>
        <v/>
      </c>
      <c r="G176" s="54" t="str">
        <f>IF(OR($B176="",$A176&gt;$B$9,G$163=""),"",IF(COUNTIFS(BD!$B$3:$B$5001,G$163,BD!$A$3:$A$5001,"&gt;="&amp;$C$7,BD!$A$3:$A$5001,"&lt;="&amp;$B176,BD!$Q$3:$Q$5001,"&lt;&gt;")=0,"",SUMIFS(BD!$Q$3:$Q$5001,BD!$B$3:$B$5001,G$163,BD!$A$3:$A$5001,_xlfn.MAXIFS(BD!$A$3:$A$5001,BD!$B$3:$B$5001,G$163,BD!$A$3:$A$5001,"&gt;="&amp;$C$7,BD!$A$3:$A$5001,"&lt;="&amp;$B176,BD!$Q$3:$Q$5001,"&lt;&gt;"))))</f>
        <v/>
      </c>
      <c r="H176" s="54" t="str">
        <f>IF(OR($B176="",$A176&gt;$B$9,H$163=""),"",IF(COUNTIFS(BD!$B$3:$B$5001,H$163,BD!$A$3:$A$5001,"&gt;="&amp;$C$7,BD!$A$3:$A$5001,"&lt;="&amp;$B176,BD!$Q$3:$Q$5001,"&lt;&gt;")=0,"",SUMIFS(BD!$Q$3:$Q$5001,BD!$B$3:$B$5001,H$163,BD!$A$3:$A$5001,_xlfn.MAXIFS(BD!$A$3:$A$5001,BD!$B$3:$B$5001,H$163,BD!$A$3:$A$5001,"&gt;="&amp;$C$7,BD!$A$3:$A$5001,"&lt;="&amp;$B176,BD!$Q$3:$Q$5001,"&lt;&gt;"))))</f>
        <v/>
      </c>
      <c r="I176" s="54" t="str">
        <f>IF(OR($B176="",$A176&gt;$B$9,I$163=""),"",IF(COUNTIFS(BD!$B$3:$B$5001,I$163,BD!$A$3:$A$5001,"&gt;="&amp;$C$7,BD!$A$3:$A$5001,"&lt;="&amp;$B176,BD!$Q$3:$Q$5001,"&lt;&gt;")=0,"",SUMIFS(BD!$Q$3:$Q$5001,BD!$B$3:$B$5001,I$163,BD!$A$3:$A$5001,_xlfn.MAXIFS(BD!$A$3:$A$5001,BD!$B$3:$B$5001,I$163,BD!$A$3:$A$5001,"&gt;="&amp;$C$7,BD!$A$3:$A$5001,"&lt;="&amp;$B176,BD!$Q$3:$Q$5001,"&lt;&gt;"))))</f>
        <v/>
      </c>
      <c r="J176" s="54" t="str">
        <f>IF(OR($B176="",$A176&gt;$B$9,J$163=""),"",IF(COUNTIFS(BD!$B$3:$B$5001,J$163,BD!$A$3:$A$5001,"&gt;="&amp;$C$7,BD!$A$3:$A$5001,"&lt;="&amp;$B176,BD!$Q$3:$Q$5001,"&lt;&gt;")=0,"",SUMIFS(BD!$Q$3:$Q$5001,BD!$B$3:$B$5001,J$163,BD!$A$3:$A$5001,_xlfn.MAXIFS(BD!$A$3:$A$5001,BD!$B$3:$B$5001,J$163,BD!$A$3:$A$5001,"&gt;="&amp;$C$7,BD!$A$3:$A$5001,"&lt;="&amp;$B176,BD!$Q$3:$Q$5001,"&lt;&gt;"))))</f>
        <v/>
      </c>
      <c r="K176" s="54" t="str">
        <f>IF(OR($B176="",$A176&gt;$B$9,K$163=""),"",IF(COUNTIFS(BD!$B$3:$B$5001,K$163,BD!$A$3:$A$5001,"&gt;="&amp;$C$7,BD!$A$3:$A$5001,"&lt;="&amp;$B176,BD!$Q$3:$Q$5001,"&lt;&gt;")=0,"",SUMIFS(BD!$Q$3:$Q$5001,BD!$B$3:$B$5001,K$163,BD!$A$3:$A$5001,_xlfn.MAXIFS(BD!$A$3:$A$5001,BD!$B$3:$B$5001,K$163,BD!$A$3:$A$5001,"&gt;="&amp;$C$7,BD!$A$3:$A$5001,"&lt;="&amp;$B176,BD!$Q$3:$Q$5001,"&lt;&gt;"))))</f>
        <v/>
      </c>
      <c r="L176" s="54" t="str">
        <f>IF(OR($B176="",$A176&gt;$B$9,L$163=""),"",IF(COUNTIFS(BD!$B$3:$B$5001,L$163,BD!$A$3:$A$5001,"&gt;="&amp;$C$7,BD!$A$3:$A$5001,"&lt;="&amp;$B176,BD!$Q$3:$Q$5001,"&lt;&gt;")=0,"",SUMIFS(BD!$Q$3:$Q$5001,BD!$B$3:$B$5001,L$163,BD!$A$3:$A$5001,_xlfn.MAXIFS(BD!$A$3:$A$5001,BD!$B$3:$B$5001,L$163,BD!$A$3:$A$5001,"&gt;="&amp;$C$7,BD!$A$3:$A$5001,"&lt;="&amp;$B176,BD!$Q$3:$Q$5001,"&lt;&gt;"))))</f>
        <v/>
      </c>
      <c r="M176" s="54" t="str">
        <f>IF(OR($B176="",$A176&gt;$B$9,M$163=""),"",IF(COUNTIFS(BD!$B$3:$B$5001,M$163,BD!$A$3:$A$5001,"&gt;="&amp;$C$7,BD!$A$3:$A$5001,"&lt;="&amp;$B176,BD!$Q$3:$Q$5001,"&lt;&gt;")=0,"",SUMIFS(BD!$Q$3:$Q$5001,BD!$B$3:$B$5001,M$163,BD!$A$3:$A$5001,_xlfn.MAXIFS(BD!$A$3:$A$5001,BD!$B$3:$B$5001,M$163,BD!$A$3:$A$5001,"&gt;="&amp;$C$7,BD!$A$3:$A$5001,"&lt;="&amp;$B176,BD!$Q$3:$Q$5001,"&lt;&gt;"))))</f>
        <v/>
      </c>
      <c r="N176" s="54" t="str">
        <f>IF(OR($B176="",$A176&gt;$B$9,N$163=""),"",IF(COUNTIFS(BD!$B$3:$B$5001,N$163,BD!$A$3:$A$5001,"&gt;="&amp;$C$7,BD!$A$3:$A$5001,"&lt;="&amp;$B176,BD!$Q$3:$Q$5001,"&lt;&gt;")=0,"",SUMIFS(BD!$Q$3:$Q$5001,BD!$B$3:$B$5001,N$163,BD!$A$3:$A$5001,_xlfn.MAXIFS(BD!$A$3:$A$5001,BD!$B$3:$B$5001,N$163,BD!$A$3:$A$5001,"&gt;="&amp;$C$7,BD!$A$3:$A$5001,"&lt;="&amp;$B176,BD!$Q$3:$Q$5001,"&lt;&gt;"))))</f>
        <v/>
      </c>
      <c r="O176" s="54" t="str">
        <f>IF(OR($B176="",$A176&gt;$B$9,O$163=""),"",IF(COUNTIFS(BD!$B$3:$B$5001,O$163,BD!$A$3:$A$5001,"&gt;="&amp;$C$7,BD!$A$3:$A$5001,"&lt;="&amp;$B176,BD!$Q$3:$Q$5001,"&lt;&gt;")=0,"",SUMIFS(BD!$Q$3:$Q$5001,BD!$B$3:$B$5001,O$163,BD!$A$3:$A$5001,_xlfn.MAXIFS(BD!$A$3:$A$5001,BD!$B$3:$B$5001,O$163,BD!$A$3:$A$5001,"&gt;="&amp;$C$7,BD!$A$3:$A$5001,"&lt;="&amp;$B176,BD!$Q$3:$Q$5001,"&lt;&gt;"))))</f>
        <v/>
      </c>
      <c r="P176" s="54" t="str">
        <f>IF(OR($B176="",$A176&gt;$B$9,P$163=""),"",IF(COUNTIFS(BD!$B$3:$B$5001,P$163,BD!$A$3:$A$5001,"&gt;="&amp;$C$7,BD!$A$3:$A$5001,"&lt;="&amp;$B176,BD!$Q$3:$Q$5001,"&lt;&gt;")=0,"",SUMIFS(BD!$Q$3:$Q$5001,BD!$B$3:$B$5001,P$163,BD!$A$3:$A$5001,_xlfn.MAXIFS(BD!$A$3:$A$5001,BD!$B$3:$B$5001,P$163,BD!$A$3:$A$5001,"&gt;="&amp;$C$7,BD!$A$3:$A$5001,"&lt;="&amp;$B176,BD!$Q$3:$Q$5001,"&lt;&gt;"))))</f>
        <v/>
      </c>
      <c r="Q176" s="54" t="str">
        <f>IF(OR($B176="",$A176&gt;$B$9,Q$163=""),"",IF(COUNTIFS(BD!$B$3:$B$5001,Q$163,BD!$A$3:$A$5001,"&gt;="&amp;$C$7,BD!$A$3:$A$5001,"&lt;="&amp;$B176,BD!$Q$3:$Q$5001,"&lt;&gt;")=0,"",SUMIFS(BD!$Q$3:$Q$5001,BD!$B$3:$B$5001,Q$163,BD!$A$3:$A$5001,_xlfn.MAXIFS(BD!$A$3:$A$5001,BD!$B$3:$B$5001,Q$163,BD!$A$3:$A$5001,"&gt;="&amp;$C$7,BD!$A$3:$A$5001,"&lt;="&amp;$B176,BD!$Q$3:$Q$5001,"&lt;&gt;"))))</f>
        <v/>
      </c>
      <c r="R176" s="54" t="str">
        <f>IF(OR($B176="",$A176&gt;$B$9,R$163=""),"",IF(COUNTIFS(BD!$B$3:$B$5001,R$163,BD!$A$3:$A$5001,"&gt;="&amp;$C$7,BD!$A$3:$A$5001,"&lt;="&amp;$B176,BD!$Q$3:$Q$5001,"&lt;&gt;")=0,"",SUMIFS(BD!$Q$3:$Q$5001,BD!$B$3:$B$5001,R$163,BD!$A$3:$A$5001,_xlfn.MAXIFS(BD!$A$3:$A$5001,BD!$B$3:$B$5001,R$163,BD!$A$3:$A$5001,"&gt;="&amp;$C$7,BD!$A$3:$A$5001,"&lt;="&amp;$B176,BD!$Q$3:$Q$5001,"&lt;&gt;"))))</f>
        <v/>
      </c>
      <c r="S176" s="54" t="str">
        <f>IF(OR($B176="",$A176&gt;$B$9,S$163=""),"",IF(COUNTIFS(BD!$B$3:$B$5001,S$163,BD!$A$3:$A$5001,"&gt;="&amp;$C$7,BD!$A$3:$A$5001,"&lt;="&amp;$B176,BD!$Q$3:$Q$5001,"&lt;&gt;")=0,"",SUMIFS(BD!$Q$3:$Q$5001,BD!$B$3:$B$5001,S$163,BD!$A$3:$A$5001,_xlfn.MAXIFS(BD!$A$3:$A$5001,BD!$B$3:$B$5001,S$163,BD!$A$3:$A$5001,"&gt;="&amp;$C$7,BD!$A$3:$A$5001,"&lt;="&amp;$B176,BD!$Q$3:$Q$5001,"&lt;&gt;"))))</f>
        <v/>
      </c>
      <c r="T176" s="54" t="str">
        <f>IF(OR($B176="",$A176&gt;$B$9,T$163=""),"",IF(COUNTIFS(BD!$B$3:$B$5001,T$163,BD!$A$3:$A$5001,"&gt;="&amp;$C$7,BD!$A$3:$A$5001,"&lt;="&amp;$B176,BD!$Q$3:$Q$5001,"&lt;&gt;")=0,"",SUMIFS(BD!$Q$3:$Q$5001,BD!$B$3:$B$5001,T$163,BD!$A$3:$A$5001,_xlfn.MAXIFS(BD!$A$3:$A$5001,BD!$B$3:$B$5001,T$163,BD!$A$3:$A$5001,"&gt;="&amp;$C$7,BD!$A$3:$A$5001,"&lt;="&amp;$B176,BD!$Q$3:$Q$5001,"&lt;&gt;"))))</f>
        <v/>
      </c>
      <c r="U176" s="54" t="str">
        <f>IF(OR($B176="",$A176&gt;$B$9,U$163=""),"",IF(COUNTIFS(BD!$B$3:$B$5001,U$163,BD!$A$3:$A$5001,"&gt;="&amp;$C$7,BD!$A$3:$A$5001,"&lt;="&amp;$B176,BD!$Q$3:$Q$5001,"&lt;&gt;")=0,"",SUMIFS(BD!$Q$3:$Q$5001,BD!$B$3:$B$5001,U$163,BD!$A$3:$A$5001,_xlfn.MAXIFS(BD!$A$3:$A$5001,BD!$B$3:$B$5001,U$163,BD!$A$3:$A$5001,"&gt;="&amp;$C$7,BD!$A$3:$A$5001,"&lt;="&amp;$B176,BD!$Q$3:$Q$5001,"&lt;&gt;"))))</f>
        <v/>
      </c>
      <c r="V176" s="54" t="str">
        <f>IF(OR($B176="",$A176&gt;$B$9,V$163=""),"",IF(COUNTIFS(BD!$B$3:$B$5001,V$163,BD!$A$3:$A$5001,"&gt;="&amp;$C$7,BD!$A$3:$A$5001,"&lt;="&amp;$B176,BD!$Q$3:$Q$5001,"&lt;&gt;")=0,"",SUMIFS(BD!$Q$3:$Q$5001,BD!$B$3:$B$5001,V$163,BD!$A$3:$A$5001,_xlfn.MAXIFS(BD!$A$3:$A$5001,BD!$B$3:$B$5001,V$163,BD!$A$3:$A$5001,"&gt;="&amp;$C$7,BD!$A$3:$A$5001,"&lt;="&amp;$B176,BD!$Q$3:$Q$5001,"&lt;&gt;"))))</f>
        <v/>
      </c>
    </row>
    <row r="177">
      <c r="A177" s="48">
        <v>14</v>
      </c>
      <c r="B177" s="53">
        <f>$B$25</f>
        <v>46309</v>
      </c>
      <c r="C177" s="54" t="str">
        <f>IF(OR($B177="",$A177&gt;$B$9,C$163=""),"",IF(COUNTIFS(BD!$B$3:$B$5001,C$163,BD!$A$3:$A$5001,"&gt;="&amp;$C$7,BD!$A$3:$A$5001,"&lt;="&amp;$B177,BD!$Q$3:$Q$5001,"&lt;&gt;")=0,"",SUMIFS(BD!$Q$3:$Q$5001,BD!$B$3:$B$5001,C$163,BD!$A$3:$A$5001,_xlfn.MAXIFS(BD!$A$3:$A$5001,BD!$B$3:$B$5001,C$163,BD!$A$3:$A$5001,"&gt;="&amp;$C$7,BD!$A$3:$A$5001,"&lt;="&amp;$B177,BD!$Q$3:$Q$5001,"&lt;&gt;"))))</f>
        <v/>
      </c>
      <c r="D177" s="54" t="str">
        <f>IF(OR($B177="",$A177&gt;$B$9,D$163=""),"",IF(COUNTIFS(BD!$B$3:$B$5001,D$163,BD!$A$3:$A$5001,"&gt;="&amp;$C$7,BD!$A$3:$A$5001,"&lt;="&amp;$B177,BD!$Q$3:$Q$5001,"&lt;&gt;")=0,"",SUMIFS(BD!$Q$3:$Q$5001,BD!$B$3:$B$5001,D$163,BD!$A$3:$A$5001,_xlfn.MAXIFS(BD!$A$3:$A$5001,BD!$B$3:$B$5001,D$163,BD!$A$3:$A$5001,"&gt;="&amp;$C$7,BD!$A$3:$A$5001,"&lt;="&amp;$B177,BD!$Q$3:$Q$5001,"&lt;&gt;"))))</f>
        <v/>
      </c>
      <c r="E177" s="54" t="str">
        <f>IF(OR($B177="",$A177&gt;$B$9,E$163=""),"",IF(COUNTIFS(BD!$B$3:$B$5001,E$163,BD!$A$3:$A$5001,"&gt;="&amp;$C$7,BD!$A$3:$A$5001,"&lt;="&amp;$B177,BD!$Q$3:$Q$5001,"&lt;&gt;")=0,"",SUMIFS(BD!$Q$3:$Q$5001,BD!$B$3:$B$5001,E$163,BD!$A$3:$A$5001,_xlfn.MAXIFS(BD!$A$3:$A$5001,BD!$B$3:$B$5001,E$163,BD!$A$3:$A$5001,"&gt;="&amp;$C$7,BD!$A$3:$A$5001,"&lt;="&amp;$B177,BD!$Q$3:$Q$5001,"&lt;&gt;"))))</f>
        <v/>
      </c>
      <c r="F177" s="54" t="str">
        <f>IF(OR($B177="",$A177&gt;$B$9,F$163=""),"",IF(COUNTIFS(BD!$B$3:$B$5001,F$163,BD!$A$3:$A$5001,"&gt;="&amp;$C$7,BD!$A$3:$A$5001,"&lt;="&amp;$B177,BD!$Q$3:$Q$5001,"&lt;&gt;")=0,"",SUMIFS(BD!$Q$3:$Q$5001,BD!$B$3:$B$5001,F$163,BD!$A$3:$A$5001,_xlfn.MAXIFS(BD!$A$3:$A$5001,BD!$B$3:$B$5001,F$163,BD!$A$3:$A$5001,"&gt;="&amp;$C$7,BD!$A$3:$A$5001,"&lt;="&amp;$B177,BD!$Q$3:$Q$5001,"&lt;&gt;"))))</f>
        <v/>
      </c>
      <c r="G177" s="54" t="str">
        <f>IF(OR($B177="",$A177&gt;$B$9,G$163=""),"",IF(COUNTIFS(BD!$B$3:$B$5001,G$163,BD!$A$3:$A$5001,"&gt;="&amp;$C$7,BD!$A$3:$A$5001,"&lt;="&amp;$B177,BD!$Q$3:$Q$5001,"&lt;&gt;")=0,"",SUMIFS(BD!$Q$3:$Q$5001,BD!$B$3:$B$5001,G$163,BD!$A$3:$A$5001,_xlfn.MAXIFS(BD!$A$3:$A$5001,BD!$B$3:$B$5001,G$163,BD!$A$3:$A$5001,"&gt;="&amp;$C$7,BD!$A$3:$A$5001,"&lt;="&amp;$B177,BD!$Q$3:$Q$5001,"&lt;&gt;"))))</f>
        <v/>
      </c>
      <c r="H177" s="54" t="str">
        <f>IF(OR($B177="",$A177&gt;$B$9,H$163=""),"",IF(COUNTIFS(BD!$B$3:$B$5001,H$163,BD!$A$3:$A$5001,"&gt;="&amp;$C$7,BD!$A$3:$A$5001,"&lt;="&amp;$B177,BD!$Q$3:$Q$5001,"&lt;&gt;")=0,"",SUMIFS(BD!$Q$3:$Q$5001,BD!$B$3:$B$5001,H$163,BD!$A$3:$A$5001,_xlfn.MAXIFS(BD!$A$3:$A$5001,BD!$B$3:$B$5001,H$163,BD!$A$3:$A$5001,"&gt;="&amp;$C$7,BD!$A$3:$A$5001,"&lt;="&amp;$B177,BD!$Q$3:$Q$5001,"&lt;&gt;"))))</f>
        <v/>
      </c>
      <c r="I177" s="54" t="str">
        <f>IF(OR($B177="",$A177&gt;$B$9,I$163=""),"",IF(COUNTIFS(BD!$B$3:$B$5001,I$163,BD!$A$3:$A$5001,"&gt;="&amp;$C$7,BD!$A$3:$A$5001,"&lt;="&amp;$B177,BD!$Q$3:$Q$5001,"&lt;&gt;")=0,"",SUMIFS(BD!$Q$3:$Q$5001,BD!$B$3:$B$5001,I$163,BD!$A$3:$A$5001,_xlfn.MAXIFS(BD!$A$3:$A$5001,BD!$B$3:$B$5001,I$163,BD!$A$3:$A$5001,"&gt;="&amp;$C$7,BD!$A$3:$A$5001,"&lt;="&amp;$B177,BD!$Q$3:$Q$5001,"&lt;&gt;"))))</f>
        <v/>
      </c>
      <c r="J177" s="54" t="str">
        <f>IF(OR($B177="",$A177&gt;$B$9,J$163=""),"",IF(COUNTIFS(BD!$B$3:$B$5001,J$163,BD!$A$3:$A$5001,"&gt;="&amp;$C$7,BD!$A$3:$A$5001,"&lt;="&amp;$B177,BD!$Q$3:$Q$5001,"&lt;&gt;")=0,"",SUMIFS(BD!$Q$3:$Q$5001,BD!$B$3:$B$5001,J$163,BD!$A$3:$A$5001,_xlfn.MAXIFS(BD!$A$3:$A$5001,BD!$B$3:$B$5001,J$163,BD!$A$3:$A$5001,"&gt;="&amp;$C$7,BD!$A$3:$A$5001,"&lt;="&amp;$B177,BD!$Q$3:$Q$5001,"&lt;&gt;"))))</f>
        <v/>
      </c>
      <c r="K177" s="54" t="str">
        <f>IF(OR($B177="",$A177&gt;$B$9,K$163=""),"",IF(COUNTIFS(BD!$B$3:$B$5001,K$163,BD!$A$3:$A$5001,"&gt;="&amp;$C$7,BD!$A$3:$A$5001,"&lt;="&amp;$B177,BD!$Q$3:$Q$5001,"&lt;&gt;")=0,"",SUMIFS(BD!$Q$3:$Q$5001,BD!$B$3:$B$5001,K$163,BD!$A$3:$A$5001,_xlfn.MAXIFS(BD!$A$3:$A$5001,BD!$B$3:$B$5001,K$163,BD!$A$3:$A$5001,"&gt;="&amp;$C$7,BD!$A$3:$A$5001,"&lt;="&amp;$B177,BD!$Q$3:$Q$5001,"&lt;&gt;"))))</f>
        <v/>
      </c>
      <c r="L177" s="54" t="str">
        <f>IF(OR($B177="",$A177&gt;$B$9,L$163=""),"",IF(COUNTIFS(BD!$B$3:$B$5001,L$163,BD!$A$3:$A$5001,"&gt;="&amp;$C$7,BD!$A$3:$A$5001,"&lt;="&amp;$B177,BD!$Q$3:$Q$5001,"&lt;&gt;")=0,"",SUMIFS(BD!$Q$3:$Q$5001,BD!$B$3:$B$5001,L$163,BD!$A$3:$A$5001,_xlfn.MAXIFS(BD!$A$3:$A$5001,BD!$B$3:$B$5001,L$163,BD!$A$3:$A$5001,"&gt;="&amp;$C$7,BD!$A$3:$A$5001,"&lt;="&amp;$B177,BD!$Q$3:$Q$5001,"&lt;&gt;"))))</f>
        <v/>
      </c>
      <c r="M177" s="54" t="str">
        <f>IF(OR($B177="",$A177&gt;$B$9,M$163=""),"",IF(COUNTIFS(BD!$B$3:$B$5001,M$163,BD!$A$3:$A$5001,"&gt;="&amp;$C$7,BD!$A$3:$A$5001,"&lt;="&amp;$B177,BD!$Q$3:$Q$5001,"&lt;&gt;")=0,"",SUMIFS(BD!$Q$3:$Q$5001,BD!$B$3:$B$5001,M$163,BD!$A$3:$A$5001,_xlfn.MAXIFS(BD!$A$3:$A$5001,BD!$B$3:$B$5001,M$163,BD!$A$3:$A$5001,"&gt;="&amp;$C$7,BD!$A$3:$A$5001,"&lt;="&amp;$B177,BD!$Q$3:$Q$5001,"&lt;&gt;"))))</f>
        <v/>
      </c>
      <c r="N177" s="54" t="str">
        <f>IF(OR($B177="",$A177&gt;$B$9,N$163=""),"",IF(COUNTIFS(BD!$B$3:$B$5001,N$163,BD!$A$3:$A$5001,"&gt;="&amp;$C$7,BD!$A$3:$A$5001,"&lt;="&amp;$B177,BD!$Q$3:$Q$5001,"&lt;&gt;")=0,"",SUMIFS(BD!$Q$3:$Q$5001,BD!$B$3:$B$5001,N$163,BD!$A$3:$A$5001,_xlfn.MAXIFS(BD!$A$3:$A$5001,BD!$B$3:$B$5001,N$163,BD!$A$3:$A$5001,"&gt;="&amp;$C$7,BD!$A$3:$A$5001,"&lt;="&amp;$B177,BD!$Q$3:$Q$5001,"&lt;&gt;"))))</f>
        <v/>
      </c>
      <c r="O177" s="54" t="str">
        <f>IF(OR($B177="",$A177&gt;$B$9,O$163=""),"",IF(COUNTIFS(BD!$B$3:$B$5001,O$163,BD!$A$3:$A$5001,"&gt;="&amp;$C$7,BD!$A$3:$A$5001,"&lt;="&amp;$B177,BD!$Q$3:$Q$5001,"&lt;&gt;")=0,"",SUMIFS(BD!$Q$3:$Q$5001,BD!$B$3:$B$5001,O$163,BD!$A$3:$A$5001,_xlfn.MAXIFS(BD!$A$3:$A$5001,BD!$B$3:$B$5001,O$163,BD!$A$3:$A$5001,"&gt;="&amp;$C$7,BD!$A$3:$A$5001,"&lt;="&amp;$B177,BD!$Q$3:$Q$5001,"&lt;&gt;"))))</f>
        <v/>
      </c>
      <c r="P177" s="54" t="str">
        <f>IF(OR($B177="",$A177&gt;$B$9,P$163=""),"",IF(COUNTIFS(BD!$B$3:$B$5001,P$163,BD!$A$3:$A$5001,"&gt;="&amp;$C$7,BD!$A$3:$A$5001,"&lt;="&amp;$B177,BD!$Q$3:$Q$5001,"&lt;&gt;")=0,"",SUMIFS(BD!$Q$3:$Q$5001,BD!$B$3:$B$5001,P$163,BD!$A$3:$A$5001,_xlfn.MAXIFS(BD!$A$3:$A$5001,BD!$B$3:$B$5001,P$163,BD!$A$3:$A$5001,"&gt;="&amp;$C$7,BD!$A$3:$A$5001,"&lt;="&amp;$B177,BD!$Q$3:$Q$5001,"&lt;&gt;"))))</f>
        <v/>
      </c>
      <c r="Q177" s="54" t="str">
        <f>IF(OR($B177="",$A177&gt;$B$9,Q$163=""),"",IF(COUNTIFS(BD!$B$3:$B$5001,Q$163,BD!$A$3:$A$5001,"&gt;="&amp;$C$7,BD!$A$3:$A$5001,"&lt;="&amp;$B177,BD!$Q$3:$Q$5001,"&lt;&gt;")=0,"",SUMIFS(BD!$Q$3:$Q$5001,BD!$B$3:$B$5001,Q$163,BD!$A$3:$A$5001,_xlfn.MAXIFS(BD!$A$3:$A$5001,BD!$B$3:$B$5001,Q$163,BD!$A$3:$A$5001,"&gt;="&amp;$C$7,BD!$A$3:$A$5001,"&lt;="&amp;$B177,BD!$Q$3:$Q$5001,"&lt;&gt;"))))</f>
        <v/>
      </c>
      <c r="R177" s="54" t="str">
        <f>IF(OR($B177="",$A177&gt;$B$9,R$163=""),"",IF(COUNTIFS(BD!$B$3:$B$5001,R$163,BD!$A$3:$A$5001,"&gt;="&amp;$C$7,BD!$A$3:$A$5001,"&lt;="&amp;$B177,BD!$Q$3:$Q$5001,"&lt;&gt;")=0,"",SUMIFS(BD!$Q$3:$Q$5001,BD!$B$3:$B$5001,R$163,BD!$A$3:$A$5001,_xlfn.MAXIFS(BD!$A$3:$A$5001,BD!$B$3:$B$5001,R$163,BD!$A$3:$A$5001,"&gt;="&amp;$C$7,BD!$A$3:$A$5001,"&lt;="&amp;$B177,BD!$Q$3:$Q$5001,"&lt;&gt;"))))</f>
        <v/>
      </c>
      <c r="S177" s="54" t="str">
        <f>IF(OR($B177="",$A177&gt;$B$9,S$163=""),"",IF(COUNTIFS(BD!$B$3:$B$5001,S$163,BD!$A$3:$A$5001,"&gt;="&amp;$C$7,BD!$A$3:$A$5001,"&lt;="&amp;$B177,BD!$Q$3:$Q$5001,"&lt;&gt;")=0,"",SUMIFS(BD!$Q$3:$Q$5001,BD!$B$3:$B$5001,S$163,BD!$A$3:$A$5001,_xlfn.MAXIFS(BD!$A$3:$A$5001,BD!$B$3:$B$5001,S$163,BD!$A$3:$A$5001,"&gt;="&amp;$C$7,BD!$A$3:$A$5001,"&lt;="&amp;$B177,BD!$Q$3:$Q$5001,"&lt;&gt;"))))</f>
        <v/>
      </c>
      <c r="T177" s="54" t="str">
        <f>IF(OR($B177="",$A177&gt;$B$9,T$163=""),"",IF(COUNTIFS(BD!$B$3:$B$5001,T$163,BD!$A$3:$A$5001,"&gt;="&amp;$C$7,BD!$A$3:$A$5001,"&lt;="&amp;$B177,BD!$Q$3:$Q$5001,"&lt;&gt;")=0,"",SUMIFS(BD!$Q$3:$Q$5001,BD!$B$3:$B$5001,T$163,BD!$A$3:$A$5001,_xlfn.MAXIFS(BD!$A$3:$A$5001,BD!$B$3:$B$5001,T$163,BD!$A$3:$A$5001,"&gt;="&amp;$C$7,BD!$A$3:$A$5001,"&lt;="&amp;$B177,BD!$Q$3:$Q$5001,"&lt;&gt;"))))</f>
        <v/>
      </c>
      <c r="U177" s="54" t="str">
        <f>IF(OR($B177="",$A177&gt;$B$9,U$163=""),"",IF(COUNTIFS(BD!$B$3:$B$5001,U$163,BD!$A$3:$A$5001,"&gt;="&amp;$C$7,BD!$A$3:$A$5001,"&lt;="&amp;$B177,BD!$Q$3:$Q$5001,"&lt;&gt;")=0,"",SUMIFS(BD!$Q$3:$Q$5001,BD!$B$3:$B$5001,U$163,BD!$A$3:$A$5001,_xlfn.MAXIFS(BD!$A$3:$A$5001,BD!$B$3:$B$5001,U$163,BD!$A$3:$A$5001,"&gt;="&amp;$C$7,BD!$A$3:$A$5001,"&lt;="&amp;$B177,BD!$Q$3:$Q$5001,"&lt;&gt;"))))</f>
        <v/>
      </c>
      <c r="V177" s="54" t="str">
        <f>IF(OR($B177="",$A177&gt;$B$9,V$163=""),"",IF(COUNTIFS(BD!$B$3:$B$5001,V$163,BD!$A$3:$A$5001,"&gt;="&amp;$C$7,BD!$A$3:$A$5001,"&lt;="&amp;$B177,BD!$Q$3:$Q$5001,"&lt;&gt;")=0,"",SUMIFS(BD!$Q$3:$Q$5001,BD!$B$3:$B$5001,V$163,BD!$A$3:$A$5001,_xlfn.MAXIFS(BD!$A$3:$A$5001,BD!$B$3:$B$5001,V$163,BD!$A$3:$A$5001,"&gt;="&amp;$C$7,BD!$A$3:$A$5001,"&lt;="&amp;$B177,BD!$Q$3:$Q$5001,"&lt;&gt;"))))</f>
        <v/>
      </c>
    </row>
    <row r="178">
      <c r="A178" s="48">
        <v>15</v>
      </c>
      <c r="B178" s="53">
        <f>$B$26</f>
        <v>46310</v>
      </c>
      <c r="C178" s="54" t="str">
        <f>IF(OR($B178="",$A178&gt;$B$9,C$163=""),"",IF(COUNTIFS(BD!$B$3:$B$5001,C$163,BD!$A$3:$A$5001,"&gt;="&amp;$C$7,BD!$A$3:$A$5001,"&lt;="&amp;$B178,BD!$Q$3:$Q$5001,"&lt;&gt;")=0,"",SUMIFS(BD!$Q$3:$Q$5001,BD!$B$3:$B$5001,C$163,BD!$A$3:$A$5001,_xlfn.MAXIFS(BD!$A$3:$A$5001,BD!$B$3:$B$5001,C$163,BD!$A$3:$A$5001,"&gt;="&amp;$C$7,BD!$A$3:$A$5001,"&lt;="&amp;$B178,BD!$Q$3:$Q$5001,"&lt;&gt;"))))</f>
        <v/>
      </c>
      <c r="D178" s="54" t="str">
        <f>IF(OR($B178="",$A178&gt;$B$9,D$163=""),"",IF(COUNTIFS(BD!$B$3:$B$5001,D$163,BD!$A$3:$A$5001,"&gt;="&amp;$C$7,BD!$A$3:$A$5001,"&lt;="&amp;$B178,BD!$Q$3:$Q$5001,"&lt;&gt;")=0,"",SUMIFS(BD!$Q$3:$Q$5001,BD!$B$3:$B$5001,D$163,BD!$A$3:$A$5001,_xlfn.MAXIFS(BD!$A$3:$A$5001,BD!$B$3:$B$5001,D$163,BD!$A$3:$A$5001,"&gt;="&amp;$C$7,BD!$A$3:$A$5001,"&lt;="&amp;$B178,BD!$Q$3:$Q$5001,"&lt;&gt;"))))</f>
        <v/>
      </c>
      <c r="E178" s="54" t="str">
        <f>IF(OR($B178="",$A178&gt;$B$9,E$163=""),"",IF(COUNTIFS(BD!$B$3:$B$5001,E$163,BD!$A$3:$A$5001,"&gt;="&amp;$C$7,BD!$A$3:$A$5001,"&lt;="&amp;$B178,BD!$Q$3:$Q$5001,"&lt;&gt;")=0,"",SUMIFS(BD!$Q$3:$Q$5001,BD!$B$3:$B$5001,E$163,BD!$A$3:$A$5001,_xlfn.MAXIFS(BD!$A$3:$A$5001,BD!$B$3:$B$5001,E$163,BD!$A$3:$A$5001,"&gt;="&amp;$C$7,BD!$A$3:$A$5001,"&lt;="&amp;$B178,BD!$Q$3:$Q$5001,"&lt;&gt;"))))</f>
        <v/>
      </c>
      <c r="F178" s="54" t="str">
        <f>IF(OR($B178="",$A178&gt;$B$9,F$163=""),"",IF(COUNTIFS(BD!$B$3:$B$5001,F$163,BD!$A$3:$A$5001,"&gt;="&amp;$C$7,BD!$A$3:$A$5001,"&lt;="&amp;$B178,BD!$Q$3:$Q$5001,"&lt;&gt;")=0,"",SUMIFS(BD!$Q$3:$Q$5001,BD!$B$3:$B$5001,F$163,BD!$A$3:$A$5001,_xlfn.MAXIFS(BD!$A$3:$A$5001,BD!$B$3:$B$5001,F$163,BD!$A$3:$A$5001,"&gt;="&amp;$C$7,BD!$A$3:$A$5001,"&lt;="&amp;$B178,BD!$Q$3:$Q$5001,"&lt;&gt;"))))</f>
        <v/>
      </c>
      <c r="G178" s="54" t="str">
        <f>IF(OR($B178="",$A178&gt;$B$9,G$163=""),"",IF(COUNTIFS(BD!$B$3:$B$5001,G$163,BD!$A$3:$A$5001,"&gt;="&amp;$C$7,BD!$A$3:$A$5001,"&lt;="&amp;$B178,BD!$Q$3:$Q$5001,"&lt;&gt;")=0,"",SUMIFS(BD!$Q$3:$Q$5001,BD!$B$3:$B$5001,G$163,BD!$A$3:$A$5001,_xlfn.MAXIFS(BD!$A$3:$A$5001,BD!$B$3:$B$5001,G$163,BD!$A$3:$A$5001,"&gt;="&amp;$C$7,BD!$A$3:$A$5001,"&lt;="&amp;$B178,BD!$Q$3:$Q$5001,"&lt;&gt;"))))</f>
        <v/>
      </c>
      <c r="H178" s="54" t="str">
        <f>IF(OR($B178="",$A178&gt;$B$9,H$163=""),"",IF(COUNTIFS(BD!$B$3:$B$5001,H$163,BD!$A$3:$A$5001,"&gt;="&amp;$C$7,BD!$A$3:$A$5001,"&lt;="&amp;$B178,BD!$Q$3:$Q$5001,"&lt;&gt;")=0,"",SUMIFS(BD!$Q$3:$Q$5001,BD!$B$3:$B$5001,H$163,BD!$A$3:$A$5001,_xlfn.MAXIFS(BD!$A$3:$A$5001,BD!$B$3:$B$5001,H$163,BD!$A$3:$A$5001,"&gt;="&amp;$C$7,BD!$A$3:$A$5001,"&lt;="&amp;$B178,BD!$Q$3:$Q$5001,"&lt;&gt;"))))</f>
        <v/>
      </c>
      <c r="I178" s="54" t="str">
        <f>IF(OR($B178="",$A178&gt;$B$9,I$163=""),"",IF(COUNTIFS(BD!$B$3:$B$5001,I$163,BD!$A$3:$A$5001,"&gt;="&amp;$C$7,BD!$A$3:$A$5001,"&lt;="&amp;$B178,BD!$Q$3:$Q$5001,"&lt;&gt;")=0,"",SUMIFS(BD!$Q$3:$Q$5001,BD!$B$3:$B$5001,I$163,BD!$A$3:$A$5001,_xlfn.MAXIFS(BD!$A$3:$A$5001,BD!$B$3:$B$5001,I$163,BD!$A$3:$A$5001,"&gt;="&amp;$C$7,BD!$A$3:$A$5001,"&lt;="&amp;$B178,BD!$Q$3:$Q$5001,"&lt;&gt;"))))</f>
        <v/>
      </c>
      <c r="J178" s="54" t="str">
        <f>IF(OR($B178="",$A178&gt;$B$9,J$163=""),"",IF(COUNTIFS(BD!$B$3:$B$5001,J$163,BD!$A$3:$A$5001,"&gt;="&amp;$C$7,BD!$A$3:$A$5001,"&lt;="&amp;$B178,BD!$Q$3:$Q$5001,"&lt;&gt;")=0,"",SUMIFS(BD!$Q$3:$Q$5001,BD!$B$3:$B$5001,J$163,BD!$A$3:$A$5001,_xlfn.MAXIFS(BD!$A$3:$A$5001,BD!$B$3:$B$5001,J$163,BD!$A$3:$A$5001,"&gt;="&amp;$C$7,BD!$A$3:$A$5001,"&lt;="&amp;$B178,BD!$Q$3:$Q$5001,"&lt;&gt;"))))</f>
        <v/>
      </c>
      <c r="K178" s="54" t="str">
        <f>IF(OR($B178="",$A178&gt;$B$9,K$163=""),"",IF(COUNTIFS(BD!$B$3:$B$5001,K$163,BD!$A$3:$A$5001,"&gt;="&amp;$C$7,BD!$A$3:$A$5001,"&lt;="&amp;$B178,BD!$Q$3:$Q$5001,"&lt;&gt;")=0,"",SUMIFS(BD!$Q$3:$Q$5001,BD!$B$3:$B$5001,K$163,BD!$A$3:$A$5001,_xlfn.MAXIFS(BD!$A$3:$A$5001,BD!$B$3:$B$5001,K$163,BD!$A$3:$A$5001,"&gt;="&amp;$C$7,BD!$A$3:$A$5001,"&lt;="&amp;$B178,BD!$Q$3:$Q$5001,"&lt;&gt;"))))</f>
        <v/>
      </c>
      <c r="L178" s="54" t="str">
        <f>IF(OR($B178="",$A178&gt;$B$9,L$163=""),"",IF(COUNTIFS(BD!$B$3:$B$5001,L$163,BD!$A$3:$A$5001,"&gt;="&amp;$C$7,BD!$A$3:$A$5001,"&lt;="&amp;$B178,BD!$Q$3:$Q$5001,"&lt;&gt;")=0,"",SUMIFS(BD!$Q$3:$Q$5001,BD!$B$3:$B$5001,L$163,BD!$A$3:$A$5001,_xlfn.MAXIFS(BD!$A$3:$A$5001,BD!$B$3:$B$5001,L$163,BD!$A$3:$A$5001,"&gt;="&amp;$C$7,BD!$A$3:$A$5001,"&lt;="&amp;$B178,BD!$Q$3:$Q$5001,"&lt;&gt;"))))</f>
        <v/>
      </c>
      <c r="M178" s="54" t="str">
        <f>IF(OR($B178="",$A178&gt;$B$9,M$163=""),"",IF(COUNTIFS(BD!$B$3:$B$5001,M$163,BD!$A$3:$A$5001,"&gt;="&amp;$C$7,BD!$A$3:$A$5001,"&lt;="&amp;$B178,BD!$Q$3:$Q$5001,"&lt;&gt;")=0,"",SUMIFS(BD!$Q$3:$Q$5001,BD!$B$3:$B$5001,M$163,BD!$A$3:$A$5001,_xlfn.MAXIFS(BD!$A$3:$A$5001,BD!$B$3:$B$5001,M$163,BD!$A$3:$A$5001,"&gt;="&amp;$C$7,BD!$A$3:$A$5001,"&lt;="&amp;$B178,BD!$Q$3:$Q$5001,"&lt;&gt;"))))</f>
        <v/>
      </c>
      <c r="N178" s="54" t="str">
        <f>IF(OR($B178="",$A178&gt;$B$9,N$163=""),"",IF(COUNTIFS(BD!$B$3:$B$5001,N$163,BD!$A$3:$A$5001,"&gt;="&amp;$C$7,BD!$A$3:$A$5001,"&lt;="&amp;$B178,BD!$Q$3:$Q$5001,"&lt;&gt;")=0,"",SUMIFS(BD!$Q$3:$Q$5001,BD!$B$3:$B$5001,N$163,BD!$A$3:$A$5001,_xlfn.MAXIFS(BD!$A$3:$A$5001,BD!$B$3:$B$5001,N$163,BD!$A$3:$A$5001,"&gt;="&amp;$C$7,BD!$A$3:$A$5001,"&lt;="&amp;$B178,BD!$Q$3:$Q$5001,"&lt;&gt;"))))</f>
        <v/>
      </c>
      <c r="O178" s="54" t="str">
        <f>IF(OR($B178="",$A178&gt;$B$9,O$163=""),"",IF(COUNTIFS(BD!$B$3:$B$5001,O$163,BD!$A$3:$A$5001,"&gt;="&amp;$C$7,BD!$A$3:$A$5001,"&lt;="&amp;$B178,BD!$Q$3:$Q$5001,"&lt;&gt;")=0,"",SUMIFS(BD!$Q$3:$Q$5001,BD!$B$3:$B$5001,O$163,BD!$A$3:$A$5001,_xlfn.MAXIFS(BD!$A$3:$A$5001,BD!$B$3:$B$5001,O$163,BD!$A$3:$A$5001,"&gt;="&amp;$C$7,BD!$A$3:$A$5001,"&lt;="&amp;$B178,BD!$Q$3:$Q$5001,"&lt;&gt;"))))</f>
        <v/>
      </c>
      <c r="P178" s="54" t="str">
        <f>IF(OR($B178="",$A178&gt;$B$9,P$163=""),"",IF(COUNTIFS(BD!$B$3:$B$5001,P$163,BD!$A$3:$A$5001,"&gt;="&amp;$C$7,BD!$A$3:$A$5001,"&lt;="&amp;$B178,BD!$Q$3:$Q$5001,"&lt;&gt;")=0,"",SUMIFS(BD!$Q$3:$Q$5001,BD!$B$3:$B$5001,P$163,BD!$A$3:$A$5001,_xlfn.MAXIFS(BD!$A$3:$A$5001,BD!$B$3:$B$5001,P$163,BD!$A$3:$A$5001,"&gt;="&amp;$C$7,BD!$A$3:$A$5001,"&lt;="&amp;$B178,BD!$Q$3:$Q$5001,"&lt;&gt;"))))</f>
        <v/>
      </c>
      <c r="Q178" s="54" t="str">
        <f>IF(OR($B178="",$A178&gt;$B$9,Q$163=""),"",IF(COUNTIFS(BD!$B$3:$B$5001,Q$163,BD!$A$3:$A$5001,"&gt;="&amp;$C$7,BD!$A$3:$A$5001,"&lt;="&amp;$B178,BD!$Q$3:$Q$5001,"&lt;&gt;")=0,"",SUMIFS(BD!$Q$3:$Q$5001,BD!$B$3:$B$5001,Q$163,BD!$A$3:$A$5001,_xlfn.MAXIFS(BD!$A$3:$A$5001,BD!$B$3:$B$5001,Q$163,BD!$A$3:$A$5001,"&gt;="&amp;$C$7,BD!$A$3:$A$5001,"&lt;="&amp;$B178,BD!$Q$3:$Q$5001,"&lt;&gt;"))))</f>
        <v/>
      </c>
      <c r="R178" s="54" t="str">
        <f>IF(OR($B178="",$A178&gt;$B$9,R$163=""),"",IF(COUNTIFS(BD!$B$3:$B$5001,R$163,BD!$A$3:$A$5001,"&gt;="&amp;$C$7,BD!$A$3:$A$5001,"&lt;="&amp;$B178,BD!$Q$3:$Q$5001,"&lt;&gt;")=0,"",SUMIFS(BD!$Q$3:$Q$5001,BD!$B$3:$B$5001,R$163,BD!$A$3:$A$5001,_xlfn.MAXIFS(BD!$A$3:$A$5001,BD!$B$3:$B$5001,R$163,BD!$A$3:$A$5001,"&gt;="&amp;$C$7,BD!$A$3:$A$5001,"&lt;="&amp;$B178,BD!$Q$3:$Q$5001,"&lt;&gt;"))))</f>
        <v/>
      </c>
      <c r="S178" s="54" t="str">
        <f>IF(OR($B178="",$A178&gt;$B$9,S$163=""),"",IF(COUNTIFS(BD!$B$3:$B$5001,S$163,BD!$A$3:$A$5001,"&gt;="&amp;$C$7,BD!$A$3:$A$5001,"&lt;="&amp;$B178,BD!$Q$3:$Q$5001,"&lt;&gt;")=0,"",SUMIFS(BD!$Q$3:$Q$5001,BD!$B$3:$B$5001,S$163,BD!$A$3:$A$5001,_xlfn.MAXIFS(BD!$A$3:$A$5001,BD!$B$3:$B$5001,S$163,BD!$A$3:$A$5001,"&gt;="&amp;$C$7,BD!$A$3:$A$5001,"&lt;="&amp;$B178,BD!$Q$3:$Q$5001,"&lt;&gt;"))))</f>
        <v/>
      </c>
      <c r="T178" s="54" t="str">
        <f>IF(OR($B178="",$A178&gt;$B$9,T$163=""),"",IF(COUNTIFS(BD!$B$3:$B$5001,T$163,BD!$A$3:$A$5001,"&gt;="&amp;$C$7,BD!$A$3:$A$5001,"&lt;="&amp;$B178,BD!$Q$3:$Q$5001,"&lt;&gt;")=0,"",SUMIFS(BD!$Q$3:$Q$5001,BD!$B$3:$B$5001,T$163,BD!$A$3:$A$5001,_xlfn.MAXIFS(BD!$A$3:$A$5001,BD!$B$3:$B$5001,T$163,BD!$A$3:$A$5001,"&gt;="&amp;$C$7,BD!$A$3:$A$5001,"&lt;="&amp;$B178,BD!$Q$3:$Q$5001,"&lt;&gt;"))))</f>
        <v/>
      </c>
      <c r="U178" s="54" t="str">
        <f>IF(OR($B178="",$A178&gt;$B$9,U$163=""),"",IF(COUNTIFS(BD!$B$3:$B$5001,U$163,BD!$A$3:$A$5001,"&gt;="&amp;$C$7,BD!$A$3:$A$5001,"&lt;="&amp;$B178,BD!$Q$3:$Q$5001,"&lt;&gt;")=0,"",SUMIFS(BD!$Q$3:$Q$5001,BD!$B$3:$B$5001,U$163,BD!$A$3:$A$5001,_xlfn.MAXIFS(BD!$A$3:$A$5001,BD!$B$3:$B$5001,U$163,BD!$A$3:$A$5001,"&gt;="&amp;$C$7,BD!$A$3:$A$5001,"&lt;="&amp;$B178,BD!$Q$3:$Q$5001,"&lt;&gt;"))))</f>
        <v/>
      </c>
      <c r="V178" s="54" t="str">
        <f>IF(OR($B178="",$A178&gt;$B$9,V$163=""),"",IF(COUNTIFS(BD!$B$3:$B$5001,V$163,BD!$A$3:$A$5001,"&gt;="&amp;$C$7,BD!$A$3:$A$5001,"&lt;="&amp;$B178,BD!$Q$3:$Q$5001,"&lt;&gt;")=0,"",SUMIFS(BD!$Q$3:$Q$5001,BD!$B$3:$B$5001,V$163,BD!$A$3:$A$5001,_xlfn.MAXIFS(BD!$A$3:$A$5001,BD!$B$3:$B$5001,V$163,BD!$A$3:$A$5001,"&gt;="&amp;$C$7,BD!$A$3:$A$5001,"&lt;="&amp;$B178,BD!$Q$3:$Q$5001,"&lt;&gt;"))))</f>
        <v/>
      </c>
    </row>
    <row r="179">
      <c r="A179" s="48">
        <v>16</v>
      </c>
      <c r="B179" s="53">
        <f>$B$27</f>
        <v>46311</v>
      </c>
      <c r="C179" s="54" t="str">
        <f>IF(OR($B179="",$A179&gt;$B$9,C$163=""),"",IF(COUNTIFS(BD!$B$3:$B$5001,C$163,BD!$A$3:$A$5001,"&gt;="&amp;$C$7,BD!$A$3:$A$5001,"&lt;="&amp;$B179,BD!$Q$3:$Q$5001,"&lt;&gt;")=0,"",SUMIFS(BD!$Q$3:$Q$5001,BD!$B$3:$B$5001,C$163,BD!$A$3:$A$5001,_xlfn.MAXIFS(BD!$A$3:$A$5001,BD!$B$3:$B$5001,C$163,BD!$A$3:$A$5001,"&gt;="&amp;$C$7,BD!$A$3:$A$5001,"&lt;="&amp;$B179,BD!$Q$3:$Q$5001,"&lt;&gt;"))))</f>
        <v/>
      </c>
      <c r="D179" s="54" t="str">
        <f>IF(OR($B179="",$A179&gt;$B$9,D$163=""),"",IF(COUNTIFS(BD!$B$3:$B$5001,D$163,BD!$A$3:$A$5001,"&gt;="&amp;$C$7,BD!$A$3:$A$5001,"&lt;="&amp;$B179,BD!$Q$3:$Q$5001,"&lt;&gt;")=0,"",SUMIFS(BD!$Q$3:$Q$5001,BD!$B$3:$B$5001,D$163,BD!$A$3:$A$5001,_xlfn.MAXIFS(BD!$A$3:$A$5001,BD!$B$3:$B$5001,D$163,BD!$A$3:$A$5001,"&gt;="&amp;$C$7,BD!$A$3:$A$5001,"&lt;="&amp;$B179,BD!$Q$3:$Q$5001,"&lt;&gt;"))))</f>
        <v/>
      </c>
      <c r="E179" s="54" t="str">
        <f>IF(OR($B179="",$A179&gt;$B$9,E$163=""),"",IF(COUNTIFS(BD!$B$3:$B$5001,E$163,BD!$A$3:$A$5001,"&gt;="&amp;$C$7,BD!$A$3:$A$5001,"&lt;="&amp;$B179,BD!$Q$3:$Q$5001,"&lt;&gt;")=0,"",SUMIFS(BD!$Q$3:$Q$5001,BD!$B$3:$B$5001,E$163,BD!$A$3:$A$5001,_xlfn.MAXIFS(BD!$A$3:$A$5001,BD!$B$3:$B$5001,E$163,BD!$A$3:$A$5001,"&gt;="&amp;$C$7,BD!$A$3:$A$5001,"&lt;="&amp;$B179,BD!$Q$3:$Q$5001,"&lt;&gt;"))))</f>
        <v/>
      </c>
      <c r="F179" s="54" t="str">
        <f>IF(OR($B179="",$A179&gt;$B$9,F$163=""),"",IF(COUNTIFS(BD!$B$3:$B$5001,F$163,BD!$A$3:$A$5001,"&gt;="&amp;$C$7,BD!$A$3:$A$5001,"&lt;="&amp;$B179,BD!$Q$3:$Q$5001,"&lt;&gt;")=0,"",SUMIFS(BD!$Q$3:$Q$5001,BD!$B$3:$B$5001,F$163,BD!$A$3:$A$5001,_xlfn.MAXIFS(BD!$A$3:$A$5001,BD!$B$3:$B$5001,F$163,BD!$A$3:$A$5001,"&gt;="&amp;$C$7,BD!$A$3:$A$5001,"&lt;="&amp;$B179,BD!$Q$3:$Q$5001,"&lt;&gt;"))))</f>
        <v/>
      </c>
      <c r="G179" s="54" t="str">
        <f>IF(OR($B179="",$A179&gt;$B$9,G$163=""),"",IF(COUNTIFS(BD!$B$3:$B$5001,G$163,BD!$A$3:$A$5001,"&gt;="&amp;$C$7,BD!$A$3:$A$5001,"&lt;="&amp;$B179,BD!$Q$3:$Q$5001,"&lt;&gt;")=0,"",SUMIFS(BD!$Q$3:$Q$5001,BD!$B$3:$B$5001,G$163,BD!$A$3:$A$5001,_xlfn.MAXIFS(BD!$A$3:$A$5001,BD!$B$3:$B$5001,G$163,BD!$A$3:$A$5001,"&gt;="&amp;$C$7,BD!$A$3:$A$5001,"&lt;="&amp;$B179,BD!$Q$3:$Q$5001,"&lt;&gt;"))))</f>
        <v/>
      </c>
      <c r="H179" s="54" t="str">
        <f>IF(OR($B179="",$A179&gt;$B$9,H$163=""),"",IF(COUNTIFS(BD!$B$3:$B$5001,H$163,BD!$A$3:$A$5001,"&gt;="&amp;$C$7,BD!$A$3:$A$5001,"&lt;="&amp;$B179,BD!$Q$3:$Q$5001,"&lt;&gt;")=0,"",SUMIFS(BD!$Q$3:$Q$5001,BD!$B$3:$B$5001,H$163,BD!$A$3:$A$5001,_xlfn.MAXIFS(BD!$A$3:$A$5001,BD!$B$3:$B$5001,H$163,BD!$A$3:$A$5001,"&gt;="&amp;$C$7,BD!$A$3:$A$5001,"&lt;="&amp;$B179,BD!$Q$3:$Q$5001,"&lt;&gt;"))))</f>
        <v/>
      </c>
      <c r="I179" s="54" t="str">
        <f>IF(OR($B179="",$A179&gt;$B$9,I$163=""),"",IF(COUNTIFS(BD!$B$3:$B$5001,I$163,BD!$A$3:$A$5001,"&gt;="&amp;$C$7,BD!$A$3:$A$5001,"&lt;="&amp;$B179,BD!$Q$3:$Q$5001,"&lt;&gt;")=0,"",SUMIFS(BD!$Q$3:$Q$5001,BD!$B$3:$B$5001,I$163,BD!$A$3:$A$5001,_xlfn.MAXIFS(BD!$A$3:$A$5001,BD!$B$3:$B$5001,I$163,BD!$A$3:$A$5001,"&gt;="&amp;$C$7,BD!$A$3:$A$5001,"&lt;="&amp;$B179,BD!$Q$3:$Q$5001,"&lt;&gt;"))))</f>
        <v/>
      </c>
      <c r="J179" s="54" t="str">
        <f>IF(OR($B179="",$A179&gt;$B$9,J$163=""),"",IF(COUNTIFS(BD!$B$3:$B$5001,J$163,BD!$A$3:$A$5001,"&gt;="&amp;$C$7,BD!$A$3:$A$5001,"&lt;="&amp;$B179,BD!$Q$3:$Q$5001,"&lt;&gt;")=0,"",SUMIFS(BD!$Q$3:$Q$5001,BD!$B$3:$B$5001,J$163,BD!$A$3:$A$5001,_xlfn.MAXIFS(BD!$A$3:$A$5001,BD!$B$3:$B$5001,J$163,BD!$A$3:$A$5001,"&gt;="&amp;$C$7,BD!$A$3:$A$5001,"&lt;="&amp;$B179,BD!$Q$3:$Q$5001,"&lt;&gt;"))))</f>
        <v/>
      </c>
      <c r="K179" s="54" t="str">
        <f>IF(OR($B179="",$A179&gt;$B$9,K$163=""),"",IF(COUNTIFS(BD!$B$3:$B$5001,K$163,BD!$A$3:$A$5001,"&gt;="&amp;$C$7,BD!$A$3:$A$5001,"&lt;="&amp;$B179,BD!$Q$3:$Q$5001,"&lt;&gt;")=0,"",SUMIFS(BD!$Q$3:$Q$5001,BD!$B$3:$B$5001,K$163,BD!$A$3:$A$5001,_xlfn.MAXIFS(BD!$A$3:$A$5001,BD!$B$3:$B$5001,K$163,BD!$A$3:$A$5001,"&gt;="&amp;$C$7,BD!$A$3:$A$5001,"&lt;="&amp;$B179,BD!$Q$3:$Q$5001,"&lt;&gt;"))))</f>
        <v/>
      </c>
      <c r="L179" s="54" t="str">
        <f>IF(OR($B179="",$A179&gt;$B$9,L$163=""),"",IF(COUNTIFS(BD!$B$3:$B$5001,L$163,BD!$A$3:$A$5001,"&gt;="&amp;$C$7,BD!$A$3:$A$5001,"&lt;="&amp;$B179,BD!$Q$3:$Q$5001,"&lt;&gt;")=0,"",SUMIFS(BD!$Q$3:$Q$5001,BD!$B$3:$B$5001,L$163,BD!$A$3:$A$5001,_xlfn.MAXIFS(BD!$A$3:$A$5001,BD!$B$3:$B$5001,L$163,BD!$A$3:$A$5001,"&gt;="&amp;$C$7,BD!$A$3:$A$5001,"&lt;="&amp;$B179,BD!$Q$3:$Q$5001,"&lt;&gt;"))))</f>
        <v/>
      </c>
      <c r="M179" s="54" t="str">
        <f>IF(OR($B179="",$A179&gt;$B$9,M$163=""),"",IF(COUNTIFS(BD!$B$3:$B$5001,M$163,BD!$A$3:$A$5001,"&gt;="&amp;$C$7,BD!$A$3:$A$5001,"&lt;="&amp;$B179,BD!$Q$3:$Q$5001,"&lt;&gt;")=0,"",SUMIFS(BD!$Q$3:$Q$5001,BD!$B$3:$B$5001,M$163,BD!$A$3:$A$5001,_xlfn.MAXIFS(BD!$A$3:$A$5001,BD!$B$3:$B$5001,M$163,BD!$A$3:$A$5001,"&gt;="&amp;$C$7,BD!$A$3:$A$5001,"&lt;="&amp;$B179,BD!$Q$3:$Q$5001,"&lt;&gt;"))))</f>
        <v/>
      </c>
      <c r="N179" s="54" t="str">
        <f>IF(OR($B179="",$A179&gt;$B$9,N$163=""),"",IF(COUNTIFS(BD!$B$3:$B$5001,N$163,BD!$A$3:$A$5001,"&gt;="&amp;$C$7,BD!$A$3:$A$5001,"&lt;="&amp;$B179,BD!$Q$3:$Q$5001,"&lt;&gt;")=0,"",SUMIFS(BD!$Q$3:$Q$5001,BD!$B$3:$B$5001,N$163,BD!$A$3:$A$5001,_xlfn.MAXIFS(BD!$A$3:$A$5001,BD!$B$3:$B$5001,N$163,BD!$A$3:$A$5001,"&gt;="&amp;$C$7,BD!$A$3:$A$5001,"&lt;="&amp;$B179,BD!$Q$3:$Q$5001,"&lt;&gt;"))))</f>
        <v/>
      </c>
      <c r="O179" s="54" t="str">
        <f>IF(OR($B179="",$A179&gt;$B$9,O$163=""),"",IF(COUNTIFS(BD!$B$3:$B$5001,O$163,BD!$A$3:$A$5001,"&gt;="&amp;$C$7,BD!$A$3:$A$5001,"&lt;="&amp;$B179,BD!$Q$3:$Q$5001,"&lt;&gt;")=0,"",SUMIFS(BD!$Q$3:$Q$5001,BD!$B$3:$B$5001,O$163,BD!$A$3:$A$5001,_xlfn.MAXIFS(BD!$A$3:$A$5001,BD!$B$3:$B$5001,O$163,BD!$A$3:$A$5001,"&gt;="&amp;$C$7,BD!$A$3:$A$5001,"&lt;="&amp;$B179,BD!$Q$3:$Q$5001,"&lt;&gt;"))))</f>
        <v/>
      </c>
      <c r="P179" s="54" t="str">
        <f>IF(OR($B179="",$A179&gt;$B$9,P$163=""),"",IF(COUNTIFS(BD!$B$3:$B$5001,P$163,BD!$A$3:$A$5001,"&gt;="&amp;$C$7,BD!$A$3:$A$5001,"&lt;="&amp;$B179,BD!$Q$3:$Q$5001,"&lt;&gt;")=0,"",SUMIFS(BD!$Q$3:$Q$5001,BD!$B$3:$B$5001,P$163,BD!$A$3:$A$5001,_xlfn.MAXIFS(BD!$A$3:$A$5001,BD!$B$3:$B$5001,P$163,BD!$A$3:$A$5001,"&gt;="&amp;$C$7,BD!$A$3:$A$5001,"&lt;="&amp;$B179,BD!$Q$3:$Q$5001,"&lt;&gt;"))))</f>
        <v/>
      </c>
      <c r="Q179" s="54" t="str">
        <f>IF(OR($B179="",$A179&gt;$B$9,Q$163=""),"",IF(COUNTIFS(BD!$B$3:$B$5001,Q$163,BD!$A$3:$A$5001,"&gt;="&amp;$C$7,BD!$A$3:$A$5001,"&lt;="&amp;$B179,BD!$Q$3:$Q$5001,"&lt;&gt;")=0,"",SUMIFS(BD!$Q$3:$Q$5001,BD!$B$3:$B$5001,Q$163,BD!$A$3:$A$5001,_xlfn.MAXIFS(BD!$A$3:$A$5001,BD!$B$3:$B$5001,Q$163,BD!$A$3:$A$5001,"&gt;="&amp;$C$7,BD!$A$3:$A$5001,"&lt;="&amp;$B179,BD!$Q$3:$Q$5001,"&lt;&gt;"))))</f>
        <v/>
      </c>
      <c r="R179" s="54" t="str">
        <f>IF(OR($B179="",$A179&gt;$B$9,R$163=""),"",IF(COUNTIFS(BD!$B$3:$B$5001,R$163,BD!$A$3:$A$5001,"&gt;="&amp;$C$7,BD!$A$3:$A$5001,"&lt;="&amp;$B179,BD!$Q$3:$Q$5001,"&lt;&gt;")=0,"",SUMIFS(BD!$Q$3:$Q$5001,BD!$B$3:$B$5001,R$163,BD!$A$3:$A$5001,_xlfn.MAXIFS(BD!$A$3:$A$5001,BD!$B$3:$B$5001,R$163,BD!$A$3:$A$5001,"&gt;="&amp;$C$7,BD!$A$3:$A$5001,"&lt;="&amp;$B179,BD!$Q$3:$Q$5001,"&lt;&gt;"))))</f>
        <v/>
      </c>
      <c r="S179" s="54" t="str">
        <f>IF(OR($B179="",$A179&gt;$B$9,S$163=""),"",IF(COUNTIFS(BD!$B$3:$B$5001,S$163,BD!$A$3:$A$5001,"&gt;="&amp;$C$7,BD!$A$3:$A$5001,"&lt;="&amp;$B179,BD!$Q$3:$Q$5001,"&lt;&gt;")=0,"",SUMIFS(BD!$Q$3:$Q$5001,BD!$B$3:$B$5001,S$163,BD!$A$3:$A$5001,_xlfn.MAXIFS(BD!$A$3:$A$5001,BD!$B$3:$B$5001,S$163,BD!$A$3:$A$5001,"&gt;="&amp;$C$7,BD!$A$3:$A$5001,"&lt;="&amp;$B179,BD!$Q$3:$Q$5001,"&lt;&gt;"))))</f>
        <v/>
      </c>
      <c r="T179" s="54" t="str">
        <f>IF(OR($B179="",$A179&gt;$B$9,T$163=""),"",IF(COUNTIFS(BD!$B$3:$B$5001,T$163,BD!$A$3:$A$5001,"&gt;="&amp;$C$7,BD!$A$3:$A$5001,"&lt;="&amp;$B179,BD!$Q$3:$Q$5001,"&lt;&gt;")=0,"",SUMIFS(BD!$Q$3:$Q$5001,BD!$B$3:$B$5001,T$163,BD!$A$3:$A$5001,_xlfn.MAXIFS(BD!$A$3:$A$5001,BD!$B$3:$B$5001,T$163,BD!$A$3:$A$5001,"&gt;="&amp;$C$7,BD!$A$3:$A$5001,"&lt;="&amp;$B179,BD!$Q$3:$Q$5001,"&lt;&gt;"))))</f>
        <v/>
      </c>
      <c r="U179" s="54" t="str">
        <f>IF(OR($B179="",$A179&gt;$B$9,U$163=""),"",IF(COUNTIFS(BD!$B$3:$B$5001,U$163,BD!$A$3:$A$5001,"&gt;="&amp;$C$7,BD!$A$3:$A$5001,"&lt;="&amp;$B179,BD!$Q$3:$Q$5001,"&lt;&gt;")=0,"",SUMIFS(BD!$Q$3:$Q$5001,BD!$B$3:$B$5001,U$163,BD!$A$3:$A$5001,_xlfn.MAXIFS(BD!$A$3:$A$5001,BD!$B$3:$B$5001,U$163,BD!$A$3:$A$5001,"&gt;="&amp;$C$7,BD!$A$3:$A$5001,"&lt;="&amp;$B179,BD!$Q$3:$Q$5001,"&lt;&gt;"))))</f>
        <v/>
      </c>
      <c r="V179" s="54" t="str">
        <f>IF(OR($B179="",$A179&gt;$B$9,V$163=""),"",IF(COUNTIFS(BD!$B$3:$B$5001,V$163,BD!$A$3:$A$5001,"&gt;="&amp;$C$7,BD!$A$3:$A$5001,"&lt;="&amp;$B179,BD!$Q$3:$Q$5001,"&lt;&gt;")=0,"",SUMIFS(BD!$Q$3:$Q$5001,BD!$B$3:$B$5001,V$163,BD!$A$3:$A$5001,_xlfn.MAXIFS(BD!$A$3:$A$5001,BD!$B$3:$B$5001,V$163,BD!$A$3:$A$5001,"&gt;="&amp;$C$7,BD!$A$3:$A$5001,"&lt;="&amp;$B179,BD!$Q$3:$Q$5001,"&lt;&gt;"))))</f>
        <v/>
      </c>
    </row>
    <row r="180">
      <c r="A180" s="48">
        <v>17</v>
      </c>
      <c r="B180" s="53">
        <f>$B$28</f>
        <v>46312</v>
      </c>
      <c r="C180" s="54" t="str">
        <f>IF(OR($B180="",$A180&gt;$B$9,C$163=""),"",IF(COUNTIFS(BD!$B$3:$B$5001,C$163,BD!$A$3:$A$5001,"&gt;="&amp;$C$7,BD!$A$3:$A$5001,"&lt;="&amp;$B180,BD!$Q$3:$Q$5001,"&lt;&gt;")=0,"",SUMIFS(BD!$Q$3:$Q$5001,BD!$B$3:$B$5001,C$163,BD!$A$3:$A$5001,_xlfn.MAXIFS(BD!$A$3:$A$5001,BD!$B$3:$B$5001,C$163,BD!$A$3:$A$5001,"&gt;="&amp;$C$7,BD!$A$3:$A$5001,"&lt;="&amp;$B180,BD!$Q$3:$Q$5001,"&lt;&gt;"))))</f>
        <v/>
      </c>
      <c r="D180" s="54" t="str">
        <f>IF(OR($B180="",$A180&gt;$B$9,D$163=""),"",IF(COUNTIFS(BD!$B$3:$B$5001,D$163,BD!$A$3:$A$5001,"&gt;="&amp;$C$7,BD!$A$3:$A$5001,"&lt;="&amp;$B180,BD!$Q$3:$Q$5001,"&lt;&gt;")=0,"",SUMIFS(BD!$Q$3:$Q$5001,BD!$B$3:$B$5001,D$163,BD!$A$3:$A$5001,_xlfn.MAXIFS(BD!$A$3:$A$5001,BD!$B$3:$B$5001,D$163,BD!$A$3:$A$5001,"&gt;="&amp;$C$7,BD!$A$3:$A$5001,"&lt;="&amp;$B180,BD!$Q$3:$Q$5001,"&lt;&gt;"))))</f>
        <v/>
      </c>
      <c r="E180" s="54" t="str">
        <f>IF(OR($B180="",$A180&gt;$B$9,E$163=""),"",IF(COUNTIFS(BD!$B$3:$B$5001,E$163,BD!$A$3:$A$5001,"&gt;="&amp;$C$7,BD!$A$3:$A$5001,"&lt;="&amp;$B180,BD!$Q$3:$Q$5001,"&lt;&gt;")=0,"",SUMIFS(BD!$Q$3:$Q$5001,BD!$B$3:$B$5001,E$163,BD!$A$3:$A$5001,_xlfn.MAXIFS(BD!$A$3:$A$5001,BD!$B$3:$B$5001,E$163,BD!$A$3:$A$5001,"&gt;="&amp;$C$7,BD!$A$3:$A$5001,"&lt;="&amp;$B180,BD!$Q$3:$Q$5001,"&lt;&gt;"))))</f>
        <v/>
      </c>
      <c r="F180" s="54" t="str">
        <f>IF(OR($B180="",$A180&gt;$B$9,F$163=""),"",IF(COUNTIFS(BD!$B$3:$B$5001,F$163,BD!$A$3:$A$5001,"&gt;="&amp;$C$7,BD!$A$3:$A$5001,"&lt;="&amp;$B180,BD!$Q$3:$Q$5001,"&lt;&gt;")=0,"",SUMIFS(BD!$Q$3:$Q$5001,BD!$B$3:$B$5001,F$163,BD!$A$3:$A$5001,_xlfn.MAXIFS(BD!$A$3:$A$5001,BD!$B$3:$B$5001,F$163,BD!$A$3:$A$5001,"&gt;="&amp;$C$7,BD!$A$3:$A$5001,"&lt;="&amp;$B180,BD!$Q$3:$Q$5001,"&lt;&gt;"))))</f>
        <v/>
      </c>
      <c r="G180" s="54" t="str">
        <f>IF(OR($B180="",$A180&gt;$B$9,G$163=""),"",IF(COUNTIFS(BD!$B$3:$B$5001,G$163,BD!$A$3:$A$5001,"&gt;="&amp;$C$7,BD!$A$3:$A$5001,"&lt;="&amp;$B180,BD!$Q$3:$Q$5001,"&lt;&gt;")=0,"",SUMIFS(BD!$Q$3:$Q$5001,BD!$B$3:$B$5001,G$163,BD!$A$3:$A$5001,_xlfn.MAXIFS(BD!$A$3:$A$5001,BD!$B$3:$B$5001,G$163,BD!$A$3:$A$5001,"&gt;="&amp;$C$7,BD!$A$3:$A$5001,"&lt;="&amp;$B180,BD!$Q$3:$Q$5001,"&lt;&gt;"))))</f>
        <v/>
      </c>
      <c r="H180" s="54" t="str">
        <f>IF(OR($B180="",$A180&gt;$B$9,H$163=""),"",IF(COUNTIFS(BD!$B$3:$B$5001,H$163,BD!$A$3:$A$5001,"&gt;="&amp;$C$7,BD!$A$3:$A$5001,"&lt;="&amp;$B180,BD!$Q$3:$Q$5001,"&lt;&gt;")=0,"",SUMIFS(BD!$Q$3:$Q$5001,BD!$B$3:$B$5001,H$163,BD!$A$3:$A$5001,_xlfn.MAXIFS(BD!$A$3:$A$5001,BD!$B$3:$B$5001,H$163,BD!$A$3:$A$5001,"&gt;="&amp;$C$7,BD!$A$3:$A$5001,"&lt;="&amp;$B180,BD!$Q$3:$Q$5001,"&lt;&gt;"))))</f>
        <v/>
      </c>
      <c r="I180" s="54" t="str">
        <f>IF(OR($B180="",$A180&gt;$B$9,I$163=""),"",IF(COUNTIFS(BD!$B$3:$B$5001,I$163,BD!$A$3:$A$5001,"&gt;="&amp;$C$7,BD!$A$3:$A$5001,"&lt;="&amp;$B180,BD!$Q$3:$Q$5001,"&lt;&gt;")=0,"",SUMIFS(BD!$Q$3:$Q$5001,BD!$B$3:$B$5001,I$163,BD!$A$3:$A$5001,_xlfn.MAXIFS(BD!$A$3:$A$5001,BD!$B$3:$B$5001,I$163,BD!$A$3:$A$5001,"&gt;="&amp;$C$7,BD!$A$3:$A$5001,"&lt;="&amp;$B180,BD!$Q$3:$Q$5001,"&lt;&gt;"))))</f>
        <v/>
      </c>
      <c r="J180" s="54" t="str">
        <f>IF(OR($B180="",$A180&gt;$B$9,J$163=""),"",IF(COUNTIFS(BD!$B$3:$B$5001,J$163,BD!$A$3:$A$5001,"&gt;="&amp;$C$7,BD!$A$3:$A$5001,"&lt;="&amp;$B180,BD!$Q$3:$Q$5001,"&lt;&gt;")=0,"",SUMIFS(BD!$Q$3:$Q$5001,BD!$B$3:$B$5001,J$163,BD!$A$3:$A$5001,_xlfn.MAXIFS(BD!$A$3:$A$5001,BD!$B$3:$B$5001,J$163,BD!$A$3:$A$5001,"&gt;="&amp;$C$7,BD!$A$3:$A$5001,"&lt;="&amp;$B180,BD!$Q$3:$Q$5001,"&lt;&gt;"))))</f>
        <v/>
      </c>
      <c r="K180" s="54" t="str">
        <f>IF(OR($B180="",$A180&gt;$B$9,K$163=""),"",IF(COUNTIFS(BD!$B$3:$B$5001,K$163,BD!$A$3:$A$5001,"&gt;="&amp;$C$7,BD!$A$3:$A$5001,"&lt;="&amp;$B180,BD!$Q$3:$Q$5001,"&lt;&gt;")=0,"",SUMIFS(BD!$Q$3:$Q$5001,BD!$B$3:$B$5001,K$163,BD!$A$3:$A$5001,_xlfn.MAXIFS(BD!$A$3:$A$5001,BD!$B$3:$B$5001,K$163,BD!$A$3:$A$5001,"&gt;="&amp;$C$7,BD!$A$3:$A$5001,"&lt;="&amp;$B180,BD!$Q$3:$Q$5001,"&lt;&gt;"))))</f>
        <v/>
      </c>
      <c r="L180" s="54" t="str">
        <f>IF(OR($B180="",$A180&gt;$B$9,L$163=""),"",IF(COUNTIFS(BD!$B$3:$B$5001,L$163,BD!$A$3:$A$5001,"&gt;="&amp;$C$7,BD!$A$3:$A$5001,"&lt;="&amp;$B180,BD!$Q$3:$Q$5001,"&lt;&gt;")=0,"",SUMIFS(BD!$Q$3:$Q$5001,BD!$B$3:$B$5001,L$163,BD!$A$3:$A$5001,_xlfn.MAXIFS(BD!$A$3:$A$5001,BD!$B$3:$B$5001,L$163,BD!$A$3:$A$5001,"&gt;="&amp;$C$7,BD!$A$3:$A$5001,"&lt;="&amp;$B180,BD!$Q$3:$Q$5001,"&lt;&gt;"))))</f>
        <v/>
      </c>
      <c r="M180" s="54" t="str">
        <f>IF(OR($B180="",$A180&gt;$B$9,M$163=""),"",IF(COUNTIFS(BD!$B$3:$B$5001,M$163,BD!$A$3:$A$5001,"&gt;="&amp;$C$7,BD!$A$3:$A$5001,"&lt;="&amp;$B180,BD!$Q$3:$Q$5001,"&lt;&gt;")=0,"",SUMIFS(BD!$Q$3:$Q$5001,BD!$B$3:$B$5001,M$163,BD!$A$3:$A$5001,_xlfn.MAXIFS(BD!$A$3:$A$5001,BD!$B$3:$B$5001,M$163,BD!$A$3:$A$5001,"&gt;="&amp;$C$7,BD!$A$3:$A$5001,"&lt;="&amp;$B180,BD!$Q$3:$Q$5001,"&lt;&gt;"))))</f>
        <v/>
      </c>
      <c r="N180" s="54" t="str">
        <f>IF(OR($B180="",$A180&gt;$B$9,N$163=""),"",IF(COUNTIFS(BD!$B$3:$B$5001,N$163,BD!$A$3:$A$5001,"&gt;="&amp;$C$7,BD!$A$3:$A$5001,"&lt;="&amp;$B180,BD!$Q$3:$Q$5001,"&lt;&gt;")=0,"",SUMIFS(BD!$Q$3:$Q$5001,BD!$B$3:$B$5001,N$163,BD!$A$3:$A$5001,_xlfn.MAXIFS(BD!$A$3:$A$5001,BD!$B$3:$B$5001,N$163,BD!$A$3:$A$5001,"&gt;="&amp;$C$7,BD!$A$3:$A$5001,"&lt;="&amp;$B180,BD!$Q$3:$Q$5001,"&lt;&gt;"))))</f>
        <v/>
      </c>
      <c r="O180" s="54" t="str">
        <f>IF(OR($B180="",$A180&gt;$B$9,O$163=""),"",IF(COUNTIFS(BD!$B$3:$B$5001,O$163,BD!$A$3:$A$5001,"&gt;="&amp;$C$7,BD!$A$3:$A$5001,"&lt;="&amp;$B180,BD!$Q$3:$Q$5001,"&lt;&gt;")=0,"",SUMIFS(BD!$Q$3:$Q$5001,BD!$B$3:$B$5001,O$163,BD!$A$3:$A$5001,_xlfn.MAXIFS(BD!$A$3:$A$5001,BD!$B$3:$B$5001,O$163,BD!$A$3:$A$5001,"&gt;="&amp;$C$7,BD!$A$3:$A$5001,"&lt;="&amp;$B180,BD!$Q$3:$Q$5001,"&lt;&gt;"))))</f>
        <v/>
      </c>
      <c r="P180" s="54" t="str">
        <f>IF(OR($B180="",$A180&gt;$B$9,P$163=""),"",IF(COUNTIFS(BD!$B$3:$B$5001,P$163,BD!$A$3:$A$5001,"&gt;="&amp;$C$7,BD!$A$3:$A$5001,"&lt;="&amp;$B180,BD!$Q$3:$Q$5001,"&lt;&gt;")=0,"",SUMIFS(BD!$Q$3:$Q$5001,BD!$B$3:$B$5001,P$163,BD!$A$3:$A$5001,_xlfn.MAXIFS(BD!$A$3:$A$5001,BD!$B$3:$B$5001,P$163,BD!$A$3:$A$5001,"&gt;="&amp;$C$7,BD!$A$3:$A$5001,"&lt;="&amp;$B180,BD!$Q$3:$Q$5001,"&lt;&gt;"))))</f>
        <v/>
      </c>
      <c r="Q180" s="54" t="str">
        <f>IF(OR($B180="",$A180&gt;$B$9,Q$163=""),"",IF(COUNTIFS(BD!$B$3:$B$5001,Q$163,BD!$A$3:$A$5001,"&gt;="&amp;$C$7,BD!$A$3:$A$5001,"&lt;="&amp;$B180,BD!$Q$3:$Q$5001,"&lt;&gt;")=0,"",SUMIFS(BD!$Q$3:$Q$5001,BD!$B$3:$B$5001,Q$163,BD!$A$3:$A$5001,_xlfn.MAXIFS(BD!$A$3:$A$5001,BD!$B$3:$B$5001,Q$163,BD!$A$3:$A$5001,"&gt;="&amp;$C$7,BD!$A$3:$A$5001,"&lt;="&amp;$B180,BD!$Q$3:$Q$5001,"&lt;&gt;"))))</f>
        <v/>
      </c>
      <c r="R180" s="54" t="str">
        <f>IF(OR($B180="",$A180&gt;$B$9,R$163=""),"",IF(COUNTIFS(BD!$B$3:$B$5001,R$163,BD!$A$3:$A$5001,"&gt;="&amp;$C$7,BD!$A$3:$A$5001,"&lt;="&amp;$B180,BD!$Q$3:$Q$5001,"&lt;&gt;")=0,"",SUMIFS(BD!$Q$3:$Q$5001,BD!$B$3:$B$5001,R$163,BD!$A$3:$A$5001,_xlfn.MAXIFS(BD!$A$3:$A$5001,BD!$B$3:$B$5001,R$163,BD!$A$3:$A$5001,"&gt;="&amp;$C$7,BD!$A$3:$A$5001,"&lt;="&amp;$B180,BD!$Q$3:$Q$5001,"&lt;&gt;"))))</f>
        <v/>
      </c>
      <c r="S180" s="54" t="str">
        <f>IF(OR($B180="",$A180&gt;$B$9,S$163=""),"",IF(COUNTIFS(BD!$B$3:$B$5001,S$163,BD!$A$3:$A$5001,"&gt;="&amp;$C$7,BD!$A$3:$A$5001,"&lt;="&amp;$B180,BD!$Q$3:$Q$5001,"&lt;&gt;")=0,"",SUMIFS(BD!$Q$3:$Q$5001,BD!$B$3:$B$5001,S$163,BD!$A$3:$A$5001,_xlfn.MAXIFS(BD!$A$3:$A$5001,BD!$B$3:$B$5001,S$163,BD!$A$3:$A$5001,"&gt;="&amp;$C$7,BD!$A$3:$A$5001,"&lt;="&amp;$B180,BD!$Q$3:$Q$5001,"&lt;&gt;"))))</f>
        <v/>
      </c>
      <c r="T180" s="54" t="str">
        <f>IF(OR($B180="",$A180&gt;$B$9,T$163=""),"",IF(COUNTIFS(BD!$B$3:$B$5001,T$163,BD!$A$3:$A$5001,"&gt;="&amp;$C$7,BD!$A$3:$A$5001,"&lt;="&amp;$B180,BD!$Q$3:$Q$5001,"&lt;&gt;")=0,"",SUMIFS(BD!$Q$3:$Q$5001,BD!$B$3:$B$5001,T$163,BD!$A$3:$A$5001,_xlfn.MAXIFS(BD!$A$3:$A$5001,BD!$B$3:$B$5001,T$163,BD!$A$3:$A$5001,"&gt;="&amp;$C$7,BD!$A$3:$A$5001,"&lt;="&amp;$B180,BD!$Q$3:$Q$5001,"&lt;&gt;"))))</f>
        <v/>
      </c>
      <c r="U180" s="54" t="str">
        <f>IF(OR($B180="",$A180&gt;$B$9,U$163=""),"",IF(COUNTIFS(BD!$B$3:$B$5001,U$163,BD!$A$3:$A$5001,"&gt;="&amp;$C$7,BD!$A$3:$A$5001,"&lt;="&amp;$B180,BD!$Q$3:$Q$5001,"&lt;&gt;")=0,"",SUMIFS(BD!$Q$3:$Q$5001,BD!$B$3:$B$5001,U$163,BD!$A$3:$A$5001,_xlfn.MAXIFS(BD!$A$3:$A$5001,BD!$B$3:$B$5001,U$163,BD!$A$3:$A$5001,"&gt;="&amp;$C$7,BD!$A$3:$A$5001,"&lt;="&amp;$B180,BD!$Q$3:$Q$5001,"&lt;&gt;"))))</f>
        <v/>
      </c>
      <c r="V180" s="54" t="str">
        <f>IF(OR($B180="",$A180&gt;$B$9,V$163=""),"",IF(COUNTIFS(BD!$B$3:$B$5001,V$163,BD!$A$3:$A$5001,"&gt;="&amp;$C$7,BD!$A$3:$A$5001,"&lt;="&amp;$B180,BD!$Q$3:$Q$5001,"&lt;&gt;")=0,"",SUMIFS(BD!$Q$3:$Q$5001,BD!$B$3:$B$5001,V$163,BD!$A$3:$A$5001,_xlfn.MAXIFS(BD!$A$3:$A$5001,BD!$B$3:$B$5001,V$163,BD!$A$3:$A$5001,"&gt;="&amp;$C$7,BD!$A$3:$A$5001,"&lt;="&amp;$B180,BD!$Q$3:$Q$5001,"&lt;&gt;"))))</f>
        <v/>
      </c>
    </row>
    <row r="181">
      <c r="A181" s="48">
        <v>18</v>
      </c>
      <c r="B181" s="53">
        <f>$B$29</f>
        <v>46313</v>
      </c>
      <c r="C181" s="54" t="str">
        <f>IF(OR($B181="",$A181&gt;$B$9,C$163=""),"",IF(COUNTIFS(BD!$B$3:$B$5001,C$163,BD!$A$3:$A$5001,"&gt;="&amp;$C$7,BD!$A$3:$A$5001,"&lt;="&amp;$B181,BD!$Q$3:$Q$5001,"&lt;&gt;")=0,"",SUMIFS(BD!$Q$3:$Q$5001,BD!$B$3:$B$5001,C$163,BD!$A$3:$A$5001,_xlfn.MAXIFS(BD!$A$3:$A$5001,BD!$B$3:$B$5001,C$163,BD!$A$3:$A$5001,"&gt;="&amp;$C$7,BD!$A$3:$A$5001,"&lt;="&amp;$B181,BD!$Q$3:$Q$5001,"&lt;&gt;"))))</f>
        <v/>
      </c>
      <c r="D181" s="54" t="str">
        <f>IF(OR($B181="",$A181&gt;$B$9,D$163=""),"",IF(COUNTIFS(BD!$B$3:$B$5001,D$163,BD!$A$3:$A$5001,"&gt;="&amp;$C$7,BD!$A$3:$A$5001,"&lt;="&amp;$B181,BD!$Q$3:$Q$5001,"&lt;&gt;")=0,"",SUMIFS(BD!$Q$3:$Q$5001,BD!$B$3:$B$5001,D$163,BD!$A$3:$A$5001,_xlfn.MAXIFS(BD!$A$3:$A$5001,BD!$B$3:$B$5001,D$163,BD!$A$3:$A$5001,"&gt;="&amp;$C$7,BD!$A$3:$A$5001,"&lt;="&amp;$B181,BD!$Q$3:$Q$5001,"&lt;&gt;"))))</f>
        <v/>
      </c>
      <c r="E181" s="54" t="str">
        <f>IF(OR($B181="",$A181&gt;$B$9,E$163=""),"",IF(COUNTIFS(BD!$B$3:$B$5001,E$163,BD!$A$3:$A$5001,"&gt;="&amp;$C$7,BD!$A$3:$A$5001,"&lt;="&amp;$B181,BD!$Q$3:$Q$5001,"&lt;&gt;")=0,"",SUMIFS(BD!$Q$3:$Q$5001,BD!$B$3:$B$5001,E$163,BD!$A$3:$A$5001,_xlfn.MAXIFS(BD!$A$3:$A$5001,BD!$B$3:$B$5001,E$163,BD!$A$3:$A$5001,"&gt;="&amp;$C$7,BD!$A$3:$A$5001,"&lt;="&amp;$B181,BD!$Q$3:$Q$5001,"&lt;&gt;"))))</f>
        <v/>
      </c>
      <c r="F181" s="54" t="str">
        <f>IF(OR($B181="",$A181&gt;$B$9,F$163=""),"",IF(COUNTIFS(BD!$B$3:$B$5001,F$163,BD!$A$3:$A$5001,"&gt;="&amp;$C$7,BD!$A$3:$A$5001,"&lt;="&amp;$B181,BD!$Q$3:$Q$5001,"&lt;&gt;")=0,"",SUMIFS(BD!$Q$3:$Q$5001,BD!$B$3:$B$5001,F$163,BD!$A$3:$A$5001,_xlfn.MAXIFS(BD!$A$3:$A$5001,BD!$B$3:$B$5001,F$163,BD!$A$3:$A$5001,"&gt;="&amp;$C$7,BD!$A$3:$A$5001,"&lt;="&amp;$B181,BD!$Q$3:$Q$5001,"&lt;&gt;"))))</f>
        <v/>
      </c>
      <c r="G181" s="54" t="str">
        <f>IF(OR($B181="",$A181&gt;$B$9,G$163=""),"",IF(COUNTIFS(BD!$B$3:$B$5001,G$163,BD!$A$3:$A$5001,"&gt;="&amp;$C$7,BD!$A$3:$A$5001,"&lt;="&amp;$B181,BD!$Q$3:$Q$5001,"&lt;&gt;")=0,"",SUMIFS(BD!$Q$3:$Q$5001,BD!$B$3:$B$5001,G$163,BD!$A$3:$A$5001,_xlfn.MAXIFS(BD!$A$3:$A$5001,BD!$B$3:$B$5001,G$163,BD!$A$3:$A$5001,"&gt;="&amp;$C$7,BD!$A$3:$A$5001,"&lt;="&amp;$B181,BD!$Q$3:$Q$5001,"&lt;&gt;"))))</f>
        <v/>
      </c>
      <c r="H181" s="54" t="str">
        <f>IF(OR($B181="",$A181&gt;$B$9,H$163=""),"",IF(COUNTIFS(BD!$B$3:$B$5001,H$163,BD!$A$3:$A$5001,"&gt;="&amp;$C$7,BD!$A$3:$A$5001,"&lt;="&amp;$B181,BD!$Q$3:$Q$5001,"&lt;&gt;")=0,"",SUMIFS(BD!$Q$3:$Q$5001,BD!$B$3:$B$5001,H$163,BD!$A$3:$A$5001,_xlfn.MAXIFS(BD!$A$3:$A$5001,BD!$B$3:$B$5001,H$163,BD!$A$3:$A$5001,"&gt;="&amp;$C$7,BD!$A$3:$A$5001,"&lt;="&amp;$B181,BD!$Q$3:$Q$5001,"&lt;&gt;"))))</f>
        <v/>
      </c>
      <c r="I181" s="54" t="str">
        <f>IF(OR($B181="",$A181&gt;$B$9,I$163=""),"",IF(COUNTIFS(BD!$B$3:$B$5001,I$163,BD!$A$3:$A$5001,"&gt;="&amp;$C$7,BD!$A$3:$A$5001,"&lt;="&amp;$B181,BD!$Q$3:$Q$5001,"&lt;&gt;")=0,"",SUMIFS(BD!$Q$3:$Q$5001,BD!$B$3:$B$5001,I$163,BD!$A$3:$A$5001,_xlfn.MAXIFS(BD!$A$3:$A$5001,BD!$B$3:$B$5001,I$163,BD!$A$3:$A$5001,"&gt;="&amp;$C$7,BD!$A$3:$A$5001,"&lt;="&amp;$B181,BD!$Q$3:$Q$5001,"&lt;&gt;"))))</f>
        <v/>
      </c>
      <c r="J181" s="54" t="str">
        <f>IF(OR($B181="",$A181&gt;$B$9,J$163=""),"",IF(COUNTIFS(BD!$B$3:$B$5001,J$163,BD!$A$3:$A$5001,"&gt;="&amp;$C$7,BD!$A$3:$A$5001,"&lt;="&amp;$B181,BD!$Q$3:$Q$5001,"&lt;&gt;")=0,"",SUMIFS(BD!$Q$3:$Q$5001,BD!$B$3:$B$5001,J$163,BD!$A$3:$A$5001,_xlfn.MAXIFS(BD!$A$3:$A$5001,BD!$B$3:$B$5001,J$163,BD!$A$3:$A$5001,"&gt;="&amp;$C$7,BD!$A$3:$A$5001,"&lt;="&amp;$B181,BD!$Q$3:$Q$5001,"&lt;&gt;"))))</f>
        <v/>
      </c>
      <c r="K181" s="54" t="str">
        <f>IF(OR($B181="",$A181&gt;$B$9,K$163=""),"",IF(COUNTIFS(BD!$B$3:$B$5001,K$163,BD!$A$3:$A$5001,"&gt;="&amp;$C$7,BD!$A$3:$A$5001,"&lt;="&amp;$B181,BD!$Q$3:$Q$5001,"&lt;&gt;")=0,"",SUMIFS(BD!$Q$3:$Q$5001,BD!$B$3:$B$5001,K$163,BD!$A$3:$A$5001,_xlfn.MAXIFS(BD!$A$3:$A$5001,BD!$B$3:$B$5001,K$163,BD!$A$3:$A$5001,"&gt;="&amp;$C$7,BD!$A$3:$A$5001,"&lt;="&amp;$B181,BD!$Q$3:$Q$5001,"&lt;&gt;"))))</f>
        <v/>
      </c>
      <c r="L181" s="54" t="str">
        <f>IF(OR($B181="",$A181&gt;$B$9,L$163=""),"",IF(COUNTIFS(BD!$B$3:$B$5001,L$163,BD!$A$3:$A$5001,"&gt;="&amp;$C$7,BD!$A$3:$A$5001,"&lt;="&amp;$B181,BD!$Q$3:$Q$5001,"&lt;&gt;")=0,"",SUMIFS(BD!$Q$3:$Q$5001,BD!$B$3:$B$5001,L$163,BD!$A$3:$A$5001,_xlfn.MAXIFS(BD!$A$3:$A$5001,BD!$B$3:$B$5001,L$163,BD!$A$3:$A$5001,"&gt;="&amp;$C$7,BD!$A$3:$A$5001,"&lt;="&amp;$B181,BD!$Q$3:$Q$5001,"&lt;&gt;"))))</f>
        <v/>
      </c>
      <c r="M181" s="54" t="str">
        <f>IF(OR($B181="",$A181&gt;$B$9,M$163=""),"",IF(COUNTIFS(BD!$B$3:$B$5001,M$163,BD!$A$3:$A$5001,"&gt;="&amp;$C$7,BD!$A$3:$A$5001,"&lt;="&amp;$B181,BD!$Q$3:$Q$5001,"&lt;&gt;")=0,"",SUMIFS(BD!$Q$3:$Q$5001,BD!$B$3:$B$5001,M$163,BD!$A$3:$A$5001,_xlfn.MAXIFS(BD!$A$3:$A$5001,BD!$B$3:$B$5001,M$163,BD!$A$3:$A$5001,"&gt;="&amp;$C$7,BD!$A$3:$A$5001,"&lt;="&amp;$B181,BD!$Q$3:$Q$5001,"&lt;&gt;"))))</f>
        <v/>
      </c>
      <c r="N181" s="54" t="str">
        <f>IF(OR($B181="",$A181&gt;$B$9,N$163=""),"",IF(COUNTIFS(BD!$B$3:$B$5001,N$163,BD!$A$3:$A$5001,"&gt;="&amp;$C$7,BD!$A$3:$A$5001,"&lt;="&amp;$B181,BD!$Q$3:$Q$5001,"&lt;&gt;")=0,"",SUMIFS(BD!$Q$3:$Q$5001,BD!$B$3:$B$5001,N$163,BD!$A$3:$A$5001,_xlfn.MAXIFS(BD!$A$3:$A$5001,BD!$B$3:$B$5001,N$163,BD!$A$3:$A$5001,"&gt;="&amp;$C$7,BD!$A$3:$A$5001,"&lt;="&amp;$B181,BD!$Q$3:$Q$5001,"&lt;&gt;"))))</f>
        <v/>
      </c>
      <c r="O181" s="54" t="str">
        <f>IF(OR($B181="",$A181&gt;$B$9,O$163=""),"",IF(COUNTIFS(BD!$B$3:$B$5001,O$163,BD!$A$3:$A$5001,"&gt;="&amp;$C$7,BD!$A$3:$A$5001,"&lt;="&amp;$B181,BD!$Q$3:$Q$5001,"&lt;&gt;")=0,"",SUMIFS(BD!$Q$3:$Q$5001,BD!$B$3:$B$5001,O$163,BD!$A$3:$A$5001,_xlfn.MAXIFS(BD!$A$3:$A$5001,BD!$B$3:$B$5001,O$163,BD!$A$3:$A$5001,"&gt;="&amp;$C$7,BD!$A$3:$A$5001,"&lt;="&amp;$B181,BD!$Q$3:$Q$5001,"&lt;&gt;"))))</f>
        <v/>
      </c>
      <c r="P181" s="54" t="str">
        <f>IF(OR($B181="",$A181&gt;$B$9,P$163=""),"",IF(COUNTIFS(BD!$B$3:$B$5001,P$163,BD!$A$3:$A$5001,"&gt;="&amp;$C$7,BD!$A$3:$A$5001,"&lt;="&amp;$B181,BD!$Q$3:$Q$5001,"&lt;&gt;")=0,"",SUMIFS(BD!$Q$3:$Q$5001,BD!$B$3:$B$5001,P$163,BD!$A$3:$A$5001,_xlfn.MAXIFS(BD!$A$3:$A$5001,BD!$B$3:$B$5001,P$163,BD!$A$3:$A$5001,"&gt;="&amp;$C$7,BD!$A$3:$A$5001,"&lt;="&amp;$B181,BD!$Q$3:$Q$5001,"&lt;&gt;"))))</f>
        <v/>
      </c>
      <c r="Q181" s="54" t="str">
        <f>IF(OR($B181="",$A181&gt;$B$9,Q$163=""),"",IF(COUNTIFS(BD!$B$3:$B$5001,Q$163,BD!$A$3:$A$5001,"&gt;="&amp;$C$7,BD!$A$3:$A$5001,"&lt;="&amp;$B181,BD!$Q$3:$Q$5001,"&lt;&gt;")=0,"",SUMIFS(BD!$Q$3:$Q$5001,BD!$B$3:$B$5001,Q$163,BD!$A$3:$A$5001,_xlfn.MAXIFS(BD!$A$3:$A$5001,BD!$B$3:$B$5001,Q$163,BD!$A$3:$A$5001,"&gt;="&amp;$C$7,BD!$A$3:$A$5001,"&lt;="&amp;$B181,BD!$Q$3:$Q$5001,"&lt;&gt;"))))</f>
        <v/>
      </c>
      <c r="R181" s="54" t="str">
        <f>IF(OR($B181="",$A181&gt;$B$9,R$163=""),"",IF(COUNTIFS(BD!$B$3:$B$5001,R$163,BD!$A$3:$A$5001,"&gt;="&amp;$C$7,BD!$A$3:$A$5001,"&lt;="&amp;$B181,BD!$Q$3:$Q$5001,"&lt;&gt;")=0,"",SUMIFS(BD!$Q$3:$Q$5001,BD!$B$3:$B$5001,R$163,BD!$A$3:$A$5001,_xlfn.MAXIFS(BD!$A$3:$A$5001,BD!$B$3:$B$5001,R$163,BD!$A$3:$A$5001,"&gt;="&amp;$C$7,BD!$A$3:$A$5001,"&lt;="&amp;$B181,BD!$Q$3:$Q$5001,"&lt;&gt;"))))</f>
        <v/>
      </c>
      <c r="S181" s="54" t="str">
        <f>IF(OR($B181="",$A181&gt;$B$9,S$163=""),"",IF(COUNTIFS(BD!$B$3:$B$5001,S$163,BD!$A$3:$A$5001,"&gt;="&amp;$C$7,BD!$A$3:$A$5001,"&lt;="&amp;$B181,BD!$Q$3:$Q$5001,"&lt;&gt;")=0,"",SUMIFS(BD!$Q$3:$Q$5001,BD!$B$3:$B$5001,S$163,BD!$A$3:$A$5001,_xlfn.MAXIFS(BD!$A$3:$A$5001,BD!$B$3:$B$5001,S$163,BD!$A$3:$A$5001,"&gt;="&amp;$C$7,BD!$A$3:$A$5001,"&lt;="&amp;$B181,BD!$Q$3:$Q$5001,"&lt;&gt;"))))</f>
        <v/>
      </c>
      <c r="T181" s="54" t="str">
        <f>IF(OR($B181="",$A181&gt;$B$9,T$163=""),"",IF(COUNTIFS(BD!$B$3:$B$5001,T$163,BD!$A$3:$A$5001,"&gt;="&amp;$C$7,BD!$A$3:$A$5001,"&lt;="&amp;$B181,BD!$Q$3:$Q$5001,"&lt;&gt;")=0,"",SUMIFS(BD!$Q$3:$Q$5001,BD!$B$3:$B$5001,T$163,BD!$A$3:$A$5001,_xlfn.MAXIFS(BD!$A$3:$A$5001,BD!$B$3:$B$5001,T$163,BD!$A$3:$A$5001,"&gt;="&amp;$C$7,BD!$A$3:$A$5001,"&lt;="&amp;$B181,BD!$Q$3:$Q$5001,"&lt;&gt;"))))</f>
        <v/>
      </c>
      <c r="U181" s="54" t="str">
        <f>IF(OR($B181="",$A181&gt;$B$9,U$163=""),"",IF(COUNTIFS(BD!$B$3:$B$5001,U$163,BD!$A$3:$A$5001,"&gt;="&amp;$C$7,BD!$A$3:$A$5001,"&lt;="&amp;$B181,BD!$Q$3:$Q$5001,"&lt;&gt;")=0,"",SUMIFS(BD!$Q$3:$Q$5001,BD!$B$3:$B$5001,U$163,BD!$A$3:$A$5001,_xlfn.MAXIFS(BD!$A$3:$A$5001,BD!$B$3:$B$5001,U$163,BD!$A$3:$A$5001,"&gt;="&amp;$C$7,BD!$A$3:$A$5001,"&lt;="&amp;$B181,BD!$Q$3:$Q$5001,"&lt;&gt;"))))</f>
        <v/>
      </c>
      <c r="V181" s="54" t="str">
        <f>IF(OR($B181="",$A181&gt;$B$9,V$163=""),"",IF(COUNTIFS(BD!$B$3:$B$5001,V$163,BD!$A$3:$A$5001,"&gt;="&amp;$C$7,BD!$A$3:$A$5001,"&lt;="&amp;$B181,BD!$Q$3:$Q$5001,"&lt;&gt;")=0,"",SUMIFS(BD!$Q$3:$Q$5001,BD!$B$3:$B$5001,V$163,BD!$A$3:$A$5001,_xlfn.MAXIFS(BD!$A$3:$A$5001,BD!$B$3:$B$5001,V$163,BD!$A$3:$A$5001,"&gt;="&amp;$C$7,BD!$A$3:$A$5001,"&lt;="&amp;$B181,BD!$Q$3:$Q$5001,"&lt;&gt;"))))</f>
        <v/>
      </c>
    </row>
    <row r="182">
      <c r="A182" s="48">
        <v>19</v>
      </c>
      <c r="B182" s="53">
        <f>$B$30</f>
        <v>46314</v>
      </c>
      <c r="C182" s="54" t="str">
        <f>IF(OR($B182="",$A182&gt;$B$9,C$163=""),"",IF(COUNTIFS(BD!$B$3:$B$5001,C$163,BD!$A$3:$A$5001,"&gt;="&amp;$C$7,BD!$A$3:$A$5001,"&lt;="&amp;$B182,BD!$Q$3:$Q$5001,"&lt;&gt;")=0,"",SUMIFS(BD!$Q$3:$Q$5001,BD!$B$3:$B$5001,C$163,BD!$A$3:$A$5001,_xlfn.MAXIFS(BD!$A$3:$A$5001,BD!$B$3:$B$5001,C$163,BD!$A$3:$A$5001,"&gt;="&amp;$C$7,BD!$A$3:$A$5001,"&lt;="&amp;$B182,BD!$Q$3:$Q$5001,"&lt;&gt;"))))</f>
        <v/>
      </c>
      <c r="D182" s="54" t="str">
        <f>IF(OR($B182="",$A182&gt;$B$9,D$163=""),"",IF(COUNTIFS(BD!$B$3:$B$5001,D$163,BD!$A$3:$A$5001,"&gt;="&amp;$C$7,BD!$A$3:$A$5001,"&lt;="&amp;$B182,BD!$Q$3:$Q$5001,"&lt;&gt;")=0,"",SUMIFS(BD!$Q$3:$Q$5001,BD!$B$3:$B$5001,D$163,BD!$A$3:$A$5001,_xlfn.MAXIFS(BD!$A$3:$A$5001,BD!$B$3:$B$5001,D$163,BD!$A$3:$A$5001,"&gt;="&amp;$C$7,BD!$A$3:$A$5001,"&lt;="&amp;$B182,BD!$Q$3:$Q$5001,"&lt;&gt;"))))</f>
        <v/>
      </c>
      <c r="E182" s="54" t="str">
        <f>IF(OR($B182="",$A182&gt;$B$9,E$163=""),"",IF(COUNTIFS(BD!$B$3:$B$5001,E$163,BD!$A$3:$A$5001,"&gt;="&amp;$C$7,BD!$A$3:$A$5001,"&lt;="&amp;$B182,BD!$Q$3:$Q$5001,"&lt;&gt;")=0,"",SUMIFS(BD!$Q$3:$Q$5001,BD!$B$3:$B$5001,E$163,BD!$A$3:$A$5001,_xlfn.MAXIFS(BD!$A$3:$A$5001,BD!$B$3:$B$5001,E$163,BD!$A$3:$A$5001,"&gt;="&amp;$C$7,BD!$A$3:$A$5001,"&lt;="&amp;$B182,BD!$Q$3:$Q$5001,"&lt;&gt;"))))</f>
        <v/>
      </c>
      <c r="F182" s="54" t="str">
        <f>IF(OR($B182="",$A182&gt;$B$9,F$163=""),"",IF(COUNTIFS(BD!$B$3:$B$5001,F$163,BD!$A$3:$A$5001,"&gt;="&amp;$C$7,BD!$A$3:$A$5001,"&lt;="&amp;$B182,BD!$Q$3:$Q$5001,"&lt;&gt;")=0,"",SUMIFS(BD!$Q$3:$Q$5001,BD!$B$3:$B$5001,F$163,BD!$A$3:$A$5001,_xlfn.MAXIFS(BD!$A$3:$A$5001,BD!$B$3:$B$5001,F$163,BD!$A$3:$A$5001,"&gt;="&amp;$C$7,BD!$A$3:$A$5001,"&lt;="&amp;$B182,BD!$Q$3:$Q$5001,"&lt;&gt;"))))</f>
        <v/>
      </c>
      <c r="G182" s="54" t="str">
        <f>IF(OR($B182="",$A182&gt;$B$9,G$163=""),"",IF(COUNTIFS(BD!$B$3:$B$5001,G$163,BD!$A$3:$A$5001,"&gt;="&amp;$C$7,BD!$A$3:$A$5001,"&lt;="&amp;$B182,BD!$Q$3:$Q$5001,"&lt;&gt;")=0,"",SUMIFS(BD!$Q$3:$Q$5001,BD!$B$3:$B$5001,G$163,BD!$A$3:$A$5001,_xlfn.MAXIFS(BD!$A$3:$A$5001,BD!$B$3:$B$5001,G$163,BD!$A$3:$A$5001,"&gt;="&amp;$C$7,BD!$A$3:$A$5001,"&lt;="&amp;$B182,BD!$Q$3:$Q$5001,"&lt;&gt;"))))</f>
        <v/>
      </c>
      <c r="H182" s="54" t="str">
        <f>IF(OR($B182="",$A182&gt;$B$9,H$163=""),"",IF(COUNTIFS(BD!$B$3:$B$5001,H$163,BD!$A$3:$A$5001,"&gt;="&amp;$C$7,BD!$A$3:$A$5001,"&lt;="&amp;$B182,BD!$Q$3:$Q$5001,"&lt;&gt;")=0,"",SUMIFS(BD!$Q$3:$Q$5001,BD!$B$3:$B$5001,H$163,BD!$A$3:$A$5001,_xlfn.MAXIFS(BD!$A$3:$A$5001,BD!$B$3:$B$5001,H$163,BD!$A$3:$A$5001,"&gt;="&amp;$C$7,BD!$A$3:$A$5001,"&lt;="&amp;$B182,BD!$Q$3:$Q$5001,"&lt;&gt;"))))</f>
        <v/>
      </c>
      <c r="I182" s="54" t="str">
        <f>IF(OR($B182="",$A182&gt;$B$9,I$163=""),"",IF(COUNTIFS(BD!$B$3:$B$5001,I$163,BD!$A$3:$A$5001,"&gt;="&amp;$C$7,BD!$A$3:$A$5001,"&lt;="&amp;$B182,BD!$Q$3:$Q$5001,"&lt;&gt;")=0,"",SUMIFS(BD!$Q$3:$Q$5001,BD!$B$3:$B$5001,I$163,BD!$A$3:$A$5001,_xlfn.MAXIFS(BD!$A$3:$A$5001,BD!$B$3:$B$5001,I$163,BD!$A$3:$A$5001,"&gt;="&amp;$C$7,BD!$A$3:$A$5001,"&lt;="&amp;$B182,BD!$Q$3:$Q$5001,"&lt;&gt;"))))</f>
        <v/>
      </c>
      <c r="J182" s="54" t="str">
        <f>IF(OR($B182="",$A182&gt;$B$9,J$163=""),"",IF(COUNTIFS(BD!$B$3:$B$5001,J$163,BD!$A$3:$A$5001,"&gt;="&amp;$C$7,BD!$A$3:$A$5001,"&lt;="&amp;$B182,BD!$Q$3:$Q$5001,"&lt;&gt;")=0,"",SUMIFS(BD!$Q$3:$Q$5001,BD!$B$3:$B$5001,J$163,BD!$A$3:$A$5001,_xlfn.MAXIFS(BD!$A$3:$A$5001,BD!$B$3:$B$5001,J$163,BD!$A$3:$A$5001,"&gt;="&amp;$C$7,BD!$A$3:$A$5001,"&lt;="&amp;$B182,BD!$Q$3:$Q$5001,"&lt;&gt;"))))</f>
        <v/>
      </c>
      <c r="K182" s="54" t="str">
        <f>IF(OR($B182="",$A182&gt;$B$9,K$163=""),"",IF(COUNTIFS(BD!$B$3:$B$5001,K$163,BD!$A$3:$A$5001,"&gt;="&amp;$C$7,BD!$A$3:$A$5001,"&lt;="&amp;$B182,BD!$Q$3:$Q$5001,"&lt;&gt;")=0,"",SUMIFS(BD!$Q$3:$Q$5001,BD!$B$3:$B$5001,K$163,BD!$A$3:$A$5001,_xlfn.MAXIFS(BD!$A$3:$A$5001,BD!$B$3:$B$5001,K$163,BD!$A$3:$A$5001,"&gt;="&amp;$C$7,BD!$A$3:$A$5001,"&lt;="&amp;$B182,BD!$Q$3:$Q$5001,"&lt;&gt;"))))</f>
        <v/>
      </c>
      <c r="L182" s="54" t="str">
        <f>IF(OR($B182="",$A182&gt;$B$9,L$163=""),"",IF(COUNTIFS(BD!$B$3:$B$5001,L$163,BD!$A$3:$A$5001,"&gt;="&amp;$C$7,BD!$A$3:$A$5001,"&lt;="&amp;$B182,BD!$Q$3:$Q$5001,"&lt;&gt;")=0,"",SUMIFS(BD!$Q$3:$Q$5001,BD!$B$3:$B$5001,L$163,BD!$A$3:$A$5001,_xlfn.MAXIFS(BD!$A$3:$A$5001,BD!$B$3:$B$5001,L$163,BD!$A$3:$A$5001,"&gt;="&amp;$C$7,BD!$A$3:$A$5001,"&lt;="&amp;$B182,BD!$Q$3:$Q$5001,"&lt;&gt;"))))</f>
        <v/>
      </c>
      <c r="M182" s="54" t="str">
        <f>IF(OR($B182="",$A182&gt;$B$9,M$163=""),"",IF(COUNTIFS(BD!$B$3:$B$5001,M$163,BD!$A$3:$A$5001,"&gt;="&amp;$C$7,BD!$A$3:$A$5001,"&lt;="&amp;$B182,BD!$Q$3:$Q$5001,"&lt;&gt;")=0,"",SUMIFS(BD!$Q$3:$Q$5001,BD!$B$3:$B$5001,M$163,BD!$A$3:$A$5001,_xlfn.MAXIFS(BD!$A$3:$A$5001,BD!$B$3:$B$5001,M$163,BD!$A$3:$A$5001,"&gt;="&amp;$C$7,BD!$A$3:$A$5001,"&lt;="&amp;$B182,BD!$Q$3:$Q$5001,"&lt;&gt;"))))</f>
        <v/>
      </c>
      <c r="N182" s="54" t="str">
        <f>IF(OR($B182="",$A182&gt;$B$9,N$163=""),"",IF(COUNTIFS(BD!$B$3:$B$5001,N$163,BD!$A$3:$A$5001,"&gt;="&amp;$C$7,BD!$A$3:$A$5001,"&lt;="&amp;$B182,BD!$Q$3:$Q$5001,"&lt;&gt;")=0,"",SUMIFS(BD!$Q$3:$Q$5001,BD!$B$3:$B$5001,N$163,BD!$A$3:$A$5001,_xlfn.MAXIFS(BD!$A$3:$A$5001,BD!$B$3:$B$5001,N$163,BD!$A$3:$A$5001,"&gt;="&amp;$C$7,BD!$A$3:$A$5001,"&lt;="&amp;$B182,BD!$Q$3:$Q$5001,"&lt;&gt;"))))</f>
        <v/>
      </c>
      <c r="O182" s="54" t="str">
        <f>IF(OR($B182="",$A182&gt;$B$9,O$163=""),"",IF(COUNTIFS(BD!$B$3:$B$5001,O$163,BD!$A$3:$A$5001,"&gt;="&amp;$C$7,BD!$A$3:$A$5001,"&lt;="&amp;$B182,BD!$Q$3:$Q$5001,"&lt;&gt;")=0,"",SUMIFS(BD!$Q$3:$Q$5001,BD!$B$3:$B$5001,O$163,BD!$A$3:$A$5001,_xlfn.MAXIFS(BD!$A$3:$A$5001,BD!$B$3:$B$5001,O$163,BD!$A$3:$A$5001,"&gt;="&amp;$C$7,BD!$A$3:$A$5001,"&lt;="&amp;$B182,BD!$Q$3:$Q$5001,"&lt;&gt;"))))</f>
        <v/>
      </c>
      <c r="P182" s="54" t="str">
        <f>IF(OR($B182="",$A182&gt;$B$9,P$163=""),"",IF(COUNTIFS(BD!$B$3:$B$5001,P$163,BD!$A$3:$A$5001,"&gt;="&amp;$C$7,BD!$A$3:$A$5001,"&lt;="&amp;$B182,BD!$Q$3:$Q$5001,"&lt;&gt;")=0,"",SUMIFS(BD!$Q$3:$Q$5001,BD!$B$3:$B$5001,P$163,BD!$A$3:$A$5001,_xlfn.MAXIFS(BD!$A$3:$A$5001,BD!$B$3:$B$5001,P$163,BD!$A$3:$A$5001,"&gt;="&amp;$C$7,BD!$A$3:$A$5001,"&lt;="&amp;$B182,BD!$Q$3:$Q$5001,"&lt;&gt;"))))</f>
        <v/>
      </c>
      <c r="Q182" s="54" t="str">
        <f>IF(OR($B182="",$A182&gt;$B$9,Q$163=""),"",IF(COUNTIFS(BD!$B$3:$B$5001,Q$163,BD!$A$3:$A$5001,"&gt;="&amp;$C$7,BD!$A$3:$A$5001,"&lt;="&amp;$B182,BD!$Q$3:$Q$5001,"&lt;&gt;")=0,"",SUMIFS(BD!$Q$3:$Q$5001,BD!$B$3:$B$5001,Q$163,BD!$A$3:$A$5001,_xlfn.MAXIFS(BD!$A$3:$A$5001,BD!$B$3:$B$5001,Q$163,BD!$A$3:$A$5001,"&gt;="&amp;$C$7,BD!$A$3:$A$5001,"&lt;="&amp;$B182,BD!$Q$3:$Q$5001,"&lt;&gt;"))))</f>
        <v/>
      </c>
      <c r="R182" s="54" t="str">
        <f>IF(OR($B182="",$A182&gt;$B$9,R$163=""),"",IF(COUNTIFS(BD!$B$3:$B$5001,R$163,BD!$A$3:$A$5001,"&gt;="&amp;$C$7,BD!$A$3:$A$5001,"&lt;="&amp;$B182,BD!$Q$3:$Q$5001,"&lt;&gt;")=0,"",SUMIFS(BD!$Q$3:$Q$5001,BD!$B$3:$B$5001,R$163,BD!$A$3:$A$5001,_xlfn.MAXIFS(BD!$A$3:$A$5001,BD!$B$3:$B$5001,R$163,BD!$A$3:$A$5001,"&gt;="&amp;$C$7,BD!$A$3:$A$5001,"&lt;="&amp;$B182,BD!$Q$3:$Q$5001,"&lt;&gt;"))))</f>
        <v/>
      </c>
      <c r="S182" s="54" t="str">
        <f>IF(OR($B182="",$A182&gt;$B$9,S$163=""),"",IF(COUNTIFS(BD!$B$3:$B$5001,S$163,BD!$A$3:$A$5001,"&gt;="&amp;$C$7,BD!$A$3:$A$5001,"&lt;="&amp;$B182,BD!$Q$3:$Q$5001,"&lt;&gt;")=0,"",SUMIFS(BD!$Q$3:$Q$5001,BD!$B$3:$B$5001,S$163,BD!$A$3:$A$5001,_xlfn.MAXIFS(BD!$A$3:$A$5001,BD!$B$3:$B$5001,S$163,BD!$A$3:$A$5001,"&gt;="&amp;$C$7,BD!$A$3:$A$5001,"&lt;="&amp;$B182,BD!$Q$3:$Q$5001,"&lt;&gt;"))))</f>
        <v/>
      </c>
      <c r="T182" s="54" t="str">
        <f>IF(OR($B182="",$A182&gt;$B$9,T$163=""),"",IF(COUNTIFS(BD!$B$3:$B$5001,T$163,BD!$A$3:$A$5001,"&gt;="&amp;$C$7,BD!$A$3:$A$5001,"&lt;="&amp;$B182,BD!$Q$3:$Q$5001,"&lt;&gt;")=0,"",SUMIFS(BD!$Q$3:$Q$5001,BD!$B$3:$B$5001,T$163,BD!$A$3:$A$5001,_xlfn.MAXIFS(BD!$A$3:$A$5001,BD!$B$3:$B$5001,T$163,BD!$A$3:$A$5001,"&gt;="&amp;$C$7,BD!$A$3:$A$5001,"&lt;="&amp;$B182,BD!$Q$3:$Q$5001,"&lt;&gt;"))))</f>
        <v/>
      </c>
      <c r="U182" s="54" t="str">
        <f>IF(OR($B182="",$A182&gt;$B$9,U$163=""),"",IF(COUNTIFS(BD!$B$3:$B$5001,U$163,BD!$A$3:$A$5001,"&gt;="&amp;$C$7,BD!$A$3:$A$5001,"&lt;="&amp;$B182,BD!$Q$3:$Q$5001,"&lt;&gt;")=0,"",SUMIFS(BD!$Q$3:$Q$5001,BD!$B$3:$B$5001,U$163,BD!$A$3:$A$5001,_xlfn.MAXIFS(BD!$A$3:$A$5001,BD!$B$3:$B$5001,U$163,BD!$A$3:$A$5001,"&gt;="&amp;$C$7,BD!$A$3:$A$5001,"&lt;="&amp;$B182,BD!$Q$3:$Q$5001,"&lt;&gt;"))))</f>
        <v/>
      </c>
      <c r="V182" s="54" t="str">
        <f>IF(OR($B182="",$A182&gt;$B$9,V$163=""),"",IF(COUNTIFS(BD!$B$3:$B$5001,V$163,BD!$A$3:$A$5001,"&gt;="&amp;$C$7,BD!$A$3:$A$5001,"&lt;="&amp;$B182,BD!$Q$3:$Q$5001,"&lt;&gt;")=0,"",SUMIFS(BD!$Q$3:$Q$5001,BD!$B$3:$B$5001,V$163,BD!$A$3:$A$5001,_xlfn.MAXIFS(BD!$A$3:$A$5001,BD!$B$3:$B$5001,V$163,BD!$A$3:$A$5001,"&gt;="&amp;$C$7,BD!$A$3:$A$5001,"&lt;="&amp;$B182,BD!$Q$3:$Q$5001,"&lt;&gt;"))))</f>
        <v/>
      </c>
    </row>
    <row r="183">
      <c r="A183" s="48">
        <v>20</v>
      </c>
      <c r="B183" s="53">
        <f>$B$31</f>
        <v>46315</v>
      </c>
      <c r="C183" s="54" t="str">
        <f>IF(OR($B183="",$A183&gt;$B$9,C$163=""),"",IF(COUNTIFS(BD!$B$3:$B$5001,C$163,BD!$A$3:$A$5001,"&gt;="&amp;$C$7,BD!$A$3:$A$5001,"&lt;="&amp;$B183,BD!$Q$3:$Q$5001,"&lt;&gt;")=0,"",SUMIFS(BD!$Q$3:$Q$5001,BD!$B$3:$B$5001,C$163,BD!$A$3:$A$5001,_xlfn.MAXIFS(BD!$A$3:$A$5001,BD!$B$3:$B$5001,C$163,BD!$A$3:$A$5001,"&gt;="&amp;$C$7,BD!$A$3:$A$5001,"&lt;="&amp;$B183,BD!$Q$3:$Q$5001,"&lt;&gt;"))))</f>
        <v/>
      </c>
      <c r="D183" s="54" t="str">
        <f>IF(OR($B183="",$A183&gt;$B$9,D$163=""),"",IF(COUNTIFS(BD!$B$3:$B$5001,D$163,BD!$A$3:$A$5001,"&gt;="&amp;$C$7,BD!$A$3:$A$5001,"&lt;="&amp;$B183,BD!$Q$3:$Q$5001,"&lt;&gt;")=0,"",SUMIFS(BD!$Q$3:$Q$5001,BD!$B$3:$B$5001,D$163,BD!$A$3:$A$5001,_xlfn.MAXIFS(BD!$A$3:$A$5001,BD!$B$3:$B$5001,D$163,BD!$A$3:$A$5001,"&gt;="&amp;$C$7,BD!$A$3:$A$5001,"&lt;="&amp;$B183,BD!$Q$3:$Q$5001,"&lt;&gt;"))))</f>
        <v/>
      </c>
      <c r="E183" s="54" t="str">
        <f>IF(OR($B183="",$A183&gt;$B$9,E$163=""),"",IF(COUNTIFS(BD!$B$3:$B$5001,E$163,BD!$A$3:$A$5001,"&gt;="&amp;$C$7,BD!$A$3:$A$5001,"&lt;="&amp;$B183,BD!$Q$3:$Q$5001,"&lt;&gt;")=0,"",SUMIFS(BD!$Q$3:$Q$5001,BD!$B$3:$B$5001,E$163,BD!$A$3:$A$5001,_xlfn.MAXIFS(BD!$A$3:$A$5001,BD!$B$3:$B$5001,E$163,BD!$A$3:$A$5001,"&gt;="&amp;$C$7,BD!$A$3:$A$5001,"&lt;="&amp;$B183,BD!$Q$3:$Q$5001,"&lt;&gt;"))))</f>
        <v/>
      </c>
      <c r="F183" s="54" t="str">
        <f>IF(OR($B183="",$A183&gt;$B$9,F$163=""),"",IF(COUNTIFS(BD!$B$3:$B$5001,F$163,BD!$A$3:$A$5001,"&gt;="&amp;$C$7,BD!$A$3:$A$5001,"&lt;="&amp;$B183,BD!$Q$3:$Q$5001,"&lt;&gt;")=0,"",SUMIFS(BD!$Q$3:$Q$5001,BD!$B$3:$B$5001,F$163,BD!$A$3:$A$5001,_xlfn.MAXIFS(BD!$A$3:$A$5001,BD!$B$3:$B$5001,F$163,BD!$A$3:$A$5001,"&gt;="&amp;$C$7,BD!$A$3:$A$5001,"&lt;="&amp;$B183,BD!$Q$3:$Q$5001,"&lt;&gt;"))))</f>
        <v/>
      </c>
      <c r="G183" s="54" t="str">
        <f>IF(OR($B183="",$A183&gt;$B$9,G$163=""),"",IF(COUNTIFS(BD!$B$3:$B$5001,G$163,BD!$A$3:$A$5001,"&gt;="&amp;$C$7,BD!$A$3:$A$5001,"&lt;="&amp;$B183,BD!$Q$3:$Q$5001,"&lt;&gt;")=0,"",SUMIFS(BD!$Q$3:$Q$5001,BD!$B$3:$B$5001,G$163,BD!$A$3:$A$5001,_xlfn.MAXIFS(BD!$A$3:$A$5001,BD!$B$3:$B$5001,G$163,BD!$A$3:$A$5001,"&gt;="&amp;$C$7,BD!$A$3:$A$5001,"&lt;="&amp;$B183,BD!$Q$3:$Q$5001,"&lt;&gt;"))))</f>
        <v/>
      </c>
      <c r="H183" s="54" t="str">
        <f>IF(OR($B183="",$A183&gt;$B$9,H$163=""),"",IF(COUNTIFS(BD!$B$3:$B$5001,H$163,BD!$A$3:$A$5001,"&gt;="&amp;$C$7,BD!$A$3:$A$5001,"&lt;="&amp;$B183,BD!$Q$3:$Q$5001,"&lt;&gt;")=0,"",SUMIFS(BD!$Q$3:$Q$5001,BD!$B$3:$B$5001,H$163,BD!$A$3:$A$5001,_xlfn.MAXIFS(BD!$A$3:$A$5001,BD!$B$3:$B$5001,H$163,BD!$A$3:$A$5001,"&gt;="&amp;$C$7,BD!$A$3:$A$5001,"&lt;="&amp;$B183,BD!$Q$3:$Q$5001,"&lt;&gt;"))))</f>
        <v/>
      </c>
      <c r="I183" s="54" t="str">
        <f>IF(OR($B183="",$A183&gt;$B$9,I$163=""),"",IF(COUNTIFS(BD!$B$3:$B$5001,I$163,BD!$A$3:$A$5001,"&gt;="&amp;$C$7,BD!$A$3:$A$5001,"&lt;="&amp;$B183,BD!$Q$3:$Q$5001,"&lt;&gt;")=0,"",SUMIFS(BD!$Q$3:$Q$5001,BD!$B$3:$B$5001,I$163,BD!$A$3:$A$5001,_xlfn.MAXIFS(BD!$A$3:$A$5001,BD!$B$3:$B$5001,I$163,BD!$A$3:$A$5001,"&gt;="&amp;$C$7,BD!$A$3:$A$5001,"&lt;="&amp;$B183,BD!$Q$3:$Q$5001,"&lt;&gt;"))))</f>
        <v/>
      </c>
      <c r="J183" s="54" t="str">
        <f>IF(OR($B183="",$A183&gt;$B$9,J$163=""),"",IF(COUNTIFS(BD!$B$3:$B$5001,J$163,BD!$A$3:$A$5001,"&gt;="&amp;$C$7,BD!$A$3:$A$5001,"&lt;="&amp;$B183,BD!$Q$3:$Q$5001,"&lt;&gt;")=0,"",SUMIFS(BD!$Q$3:$Q$5001,BD!$B$3:$B$5001,J$163,BD!$A$3:$A$5001,_xlfn.MAXIFS(BD!$A$3:$A$5001,BD!$B$3:$B$5001,J$163,BD!$A$3:$A$5001,"&gt;="&amp;$C$7,BD!$A$3:$A$5001,"&lt;="&amp;$B183,BD!$Q$3:$Q$5001,"&lt;&gt;"))))</f>
        <v/>
      </c>
      <c r="K183" s="54" t="str">
        <f>IF(OR($B183="",$A183&gt;$B$9,K$163=""),"",IF(COUNTIFS(BD!$B$3:$B$5001,K$163,BD!$A$3:$A$5001,"&gt;="&amp;$C$7,BD!$A$3:$A$5001,"&lt;="&amp;$B183,BD!$Q$3:$Q$5001,"&lt;&gt;")=0,"",SUMIFS(BD!$Q$3:$Q$5001,BD!$B$3:$B$5001,K$163,BD!$A$3:$A$5001,_xlfn.MAXIFS(BD!$A$3:$A$5001,BD!$B$3:$B$5001,K$163,BD!$A$3:$A$5001,"&gt;="&amp;$C$7,BD!$A$3:$A$5001,"&lt;="&amp;$B183,BD!$Q$3:$Q$5001,"&lt;&gt;"))))</f>
        <v/>
      </c>
      <c r="L183" s="54" t="str">
        <f>IF(OR($B183="",$A183&gt;$B$9,L$163=""),"",IF(COUNTIFS(BD!$B$3:$B$5001,L$163,BD!$A$3:$A$5001,"&gt;="&amp;$C$7,BD!$A$3:$A$5001,"&lt;="&amp;$B183,BD!$Q$3:$Q$5001,"&lt;&gt;")=0,"",SUMIFS(BD!$Q$3:$Q$5001,BD!$B$3:$B$5001,L$163,BD!$A$3:$A$5001,_xlfn.MAXIFS(BD!$A$3:$A$5001,BD!$B$3:$B$5001,L$163,BD!$A$3:$A$5001,"&gt;="&amp;$C$7,BD!$A$3:$A$5001,"&lt;="&amp;$B183,BD!$Q$3:$Q$5001,"&lt;&gt;"))))</f>
        <v/>
      </c>
      <c r="M183" s="54" t="str">
        <f>IF(OR($B183="",$A183&gt;$B$9,M$163=""),"",IF(COUNTIFS(BD!$B$3:$B$5001,M$163,BD!$A$3:$A$5001,"&gt;="&amp;$C$7,BD!$A$3:$A$5001,"&lt;="&amp;$B183,BD!$Q$3:$Q$5001,"&lt;&gt;")=0,"",SUMIFS(BD!$Q$3:$Q$5001,BD!$B$3:$B$5001,M$163,BD!$A$3:$A$5001,_xlfn.MAXIFS(BD!$A$3:$A$5001,BD!$B$3:$B$5001,M$163,BD!$A$3:$A$5001,"&gt;="&amp;$C$7,BD!$A$3:$A$5001,"&lt;="&amp;$B183,BD!$Q$3:$Q$5001,"&lt;&gt;"))))</f>
        <v/>
      </c>
      <c r="N183" s="54" t="str">
        <f>IF(OR($B183="",$A183&gt;$B$9,N$163=""),"",IF(COUNTIFS(BD!$B$3:$B$5001,N$163,BD!$A$3:$A$5001,"&gt;="&amp;$C$7,BD!$A$3:$A$5001,"&lt;="&amp;$B183,BD!$Q$3:$Q$5001,"&lt;&gt;")=0,"",SUMIFS(BD!$Q$3:$Q$5001,BD!$B$3:$B$5001,N$163,BD!$A$3:$A$5001,_xlfn.MAXIFS(BD!$A$3:$A$5001,BD!$B$3:$B$5001,N$163,BD!$A$3:$A$5001,"&gt;="&amp;$C$7,BD!$A$3:$A$5001,"&lt;="&amp;$B183,BD!$Q$3:$Q$5001,"&lt;&gt;"))))</f>
        <v/>
      </c>
      <c r="O183" s="54" t="str">
        <f>IF(OR($B183="",$A183&gt;$B$9,O$163=""),"",IF(COUNTIFS(BD!$B$3:$B$5001,O$163,BD!$A$3:$A$5001,"&gt;="&amp;$C$7,BD!$A$3:$A$5001,"&lt;="&amp;$B183,BD!$Q$3:$Q$5001,"&lt;&gt;")=0,"",SUMIFS(BD!$Q$3:$Q$5001,BD!$B$3:$B$5001,O$163,BD!$A$3:$A$5001,_xlfn.MAXIFS(BD!$A$3:$A$5001,BD!$B$3:$B$5001,O$163,BD!$A$3:$A$5001,"&gt;="&amp;$C$7,BD!$A$3:$A$5001,"&lt;="&amp;$B183,BD!$Q$3:$Q$5001,"&lt;&gt;"))))</f>
        <v/>
      </c>
      <c r="P183" s="54" t="str">
        <f>IF(OR($B183="",$A183&gt;$B$9,P$163=""),"",IF(COUNTIFS(BD!$B$3:$B$5001,P$163,BD!$A$3:$A$5001,"&gt;="&amp;$C$7,BD!$A$3:$A$5001,"&lt;="&amp;$B183,BD!$Q$3:$Q$5001,"&lt;&gt;")=0,"",SUMIFS(BD!$Q$3:$Q$5001,BD!$B$3:$B$5001,P$163,BD!$A$3:$A$5001,_xlfn.MAXIFS(BD!$A$3:$A$5001,BD!$B$3:$B$5001,P$163,BD!$A$3:$A$5001,"&gt;="&amp;$C$7,BD!$A$3:$A$5001,"&lt;="&amp;$B183,BD!$Q$3:$Q$5001,"&lt;&gt;"))))</f>
        <v/>
      </c>
      <c r="Q183" s="54" t="str">
        <f>IF(OR($B183="",$A183&gt;$B$9,Q$163=""),"",IF(COUNTIFS(BD!$B$3:$B$5001,Q$163,BD!$A$3:$A$5001,"&gt;="&amp;$C$7,BD!$A$3:$A$5001,"&lt;="&amp;$B183,BD!$Q$3:$Q$5001,"&lt;&gt;")=0,"",SUMIFS(BD!$Q$3:$Q$5001,BD!$B$3:$B$5001,Q$163,BD!$A$3:$A$5001,_xlfn.MAXIFS(BD!$A$3:$A$5001,BD!$B$3:$B$5001,Q$163,BD!$A$3:$A$5001,"&gt;="&amp;$C$7,BD!$A$3:$A$5001,"&lt;="&amp;$B183,BD!$Q$3:$Q$5001,"&lt;&gt;"))))</f>
        <v/>
      </c>
      <c r="R183" s="54" t="str">
        <f>IF(OR($B183="",$A183&gt;$B$9,R$163=""),"",IF(COUNTIFS(BD!$B$3:$B$5001,R$163,BD!$A$3:$A$5001,"&gt;="&amp;$C$7,BD!$A$3:$A$5001,"&lt;="&amp;$B183,BD!$Q$3:$Q$5001,"&lt;&gt;")=0,"",SUMIFS(BD!$Q$3:$Q$5001,BD!$B$3:$B$5001,R$163,BD!$A$3:$A$5001,_xlfn.MAXIFS(BD!$A$3:$A$5001,BD!$B$3:$B$5001,R$163,BD!$A$3:$A$5001,"&gt;="&amp;$C$7,BD!$A$3:$A$5001,"&lt;="&amp;$B183,BD!$Q$3:$Q$5001,"&lt;&gt;"))))</f>
        <v/>
      </c>
      <c r="S183" s="54" t="str">
        <f>IF(OR($B183="",$A183&gt;$B$9,S$163=""),"",IF(COUNTIFS(BD!$B$3:$B$5001,S$163,BD!$A$3:$A$5001,"&gt;="&amp;$C$7,BD!$A$3:$A$5001,"&lt;="&amp;$B183,BD!$Q$3:$Q$5001,"&lt;&gt;")=0,"",SUMIFS(BD!$Q$3:$Q$5001,BD!$B$3:$B$5001,S$163,BD!$A$3:$A$5001,_xlfn.MAXIFS(BD!$A$3:$A$5001,BD!$B$3:$B$5001,S$163,BD!$A$3:$A$5001,"&gt;="&amp;$C$7,BD!$A$3:$A$5001,"&lt;="&amp;$B183,BD!$Q$3:$Q$5001,"&lt;&gt;"))))</f>
        <v/>
      </c>
      <c r="T183" s="54" t="str">
        <f>IF(OR($B183="",$A183&gt;$B$9,T$163=""),"",IF(COUNTIFS(BD!$B$3:$B$5001,T$163,BD!$A$3:$A$5001,"&gt;="&amp;$C$7,BD!$A$3:$A$5001,"&lt;="&amp;$B183,BD!$Q$3:$Q$5001,"&lt;&gt;")=0,"",SUMIFS(BD!$Q$3:$Q$5001,BD!$B$3:$B$5001,T$163,BD!$A$3:$A$5001,_xlfn.MAXIFS(BD!$A$3:$A$5001,BD!$B$3:$B$5001,T$163,BD!$A$3:$A$5001,"&gt;="&amp;$C$7,BD!$A$3:$A$5001,"&lt;="&amp;$B183,BD!$Q$3:$Q$5001,"&lt;&gt;"))))</f>
        <v/>
      </c>
      <c r="U183" s="54" t="str">
        <f>IF(OR($B183="",$A183&gt;$B$9,U$163=""),"",IF(COUNTIFS(BD!$B$3:$B$5001,U$163,BD!$A$3:$A$5001,"&gt;="&amp;$C$7,BD!$A$3:$A$5001,"&lt;="&amp;$B183,BD!$Q$3:$Q$5001,"&lt;&gt;")=0,"",SUMIFS(BD!$Q$3:$Q$5001,BD!$B$3:$B$5001,U$163,BD!$A$3:$A$5001,_xlfn.MAXIFS(BD!$A$3:$A$5001,BD!$B$3:$B$5001,U$163,BD!$A$3:$A$5001,"&gt;="&amp;$C$7,BD!$A$3:$A$5001,"&lt;="&amp;$B183,BD!$Q$3:$Q$5001,"&lt;&gt;"))))</f>
        <v/>
      </c>
      <c r="V183" s="54" t="str">
        <f>IF(OR($B183="",$A183&gt;$B$9,V$163=""),"",IF(COUNTIFS(BD!$B$3:$B$5001,V$163,BD!$A$3:$A$5001,"&gt;="&amp;$C$7,BD!$A$3:$A$5001,"&lt;="&amp;$B183,BD!$Q$3:$Q$5001,"&lt;&gt;")=0,"",SUMIFS(BD!$Q$3:$Q$5001,BD!$B$3:$B$5001,V$163,BD!$A$3:$A$5001,_xlfn.MAXIFS(BD!$A$3:$A$5001,BD!$B$3:$B$5001,V$163,BD!$A$3:$A$5001,"&gt;="&amp;$C$7,BD!$A$3:$A$5001,"&lt;="&amp;$B183,BD!$Q$3:$Q$5001,"&lt;&gt;"))))</f>
        <v/>
      </c>
    </row>
    <row r="184">
      <c r="A184" s="48">
        <v>21</v>
      </c>
      <c r="B184" s="53">
        <f>$B$32</f>
        <v>46316</v>
      </c>
      <c r="C184" s="54" t="str">
        <f>IF(OR($B184="",$A184&gt;$B$9,C$163=""),"",IF(COUNTIFS(BD!$B$3:$B$5001,C$163,BD!$A$3:$A$5001,"&gt;="&amp;$C$7,BD!$A$3:$A$5001,"&lt;="&amp;$B184,BD!$Q$3:$Q$5001,"&lt;&gt;")=0,"",SUMIFS(BD!$Q$3:$Q$5001,BD!$B$3:$B$5001,C$163,BD!$A$3:$A$5001,_xlfn.MAXIFS(BD!$A$3:$A$5001,BD!$B$3:$B$5001,C$163,BD!$A$3:$A$5001,"&gt;="&amp;$C$7,BD!$A$3:$A$5001,"&lt;="&amp;$B184,BD!$Q$3:$Q$5001,"&lt;&gt;"))))</f>
        <v/>
      </c>
      <c r="D184" s="54" t="str">
        <f>IF(OR($B184="",$A184&gt;$B$9,D$163=""),"",IF(COUNTIFS(BD!$B$3:$B$5001,D$163,BD!$A$3:$A$5001,"&gt;="&amp;$C$7,BD!$A$3:$A$5001,"&lt;="&amp;$B184,BD!$Q$3:$Q$5001,"&lt;&gt;")=0,"",SUMIFS(BD!$Q$3:$Q$5001,BD!$B$3:$B$5001,D$163,BD!$A$3:$A$5001,_xlfn.MAXIFS(BD!$A$3:$A$5001,BD!$B$3:$B$5001,D$163,BD!$A$3:$A$5001,"&gt;="&amp;$C$7,BD!$A$3:$A$5001,"&lt;="&amp;$B184,BD!$Q$3:$Q$5001,"&lt;&gt;"))))</f>
        <v/>
      </c>
      <c r="E184" s="54" t="str">
        <f>IF(OR($B184="",$A184&gt;$B$9,E$163=""),"",IF(COUNTIFS(BD!$B$3:$B$5001,E$163,BD!$A$3:$A$5001,"&gt;="&amp;$C$7,BD!$A$3:$A$5001,"&lt;="&amp;$B184,BD!$Q$3:$Q$5001,"&lt;&gt;")=0,"",SUMIFS(BD!$Q$3:$Q$5001,BD!$B$3:$B$5001,E$163,BD!$A$3:$A$5001,_xlfn.MAXIFS(BD!$A$3:$A$5001,BD!$B$3:$B$5001,E$163,BD!$A$3:$A$5001,"&gt;="&amp;$C$7,BD!$A$3:$A$5001,"&lt;="&amp;$B184,BD!$Q$3:$Q$5001,"&lt;&gt;"))))</f>
        <v/>
      </c>
      <c r="F184" s="54" t="str">
        <f>IF(OR($B184="",$A184&gt;$B$9,F$163=""),"",IF(COUNTIFS(BD!$B$3:$B$5001,F$163,BD!$A$3:$A$5001,"&gt;="&amp;$C$7,BD!$A$3:$A$5001,"&lt;="&amp;$B184,BD!$Q$3:$Q$5001,"&lt;&gt;")=0,"",SUMIFS(BD!$Q$3:$Q$5001,BD!$B$3:$B$5001,F$163,BD!$A$3:$A$5001,_xlfn.MAXIFS(BD!$A$3:$A$5001,BD!$B$3:$B$5001,F$163,BD!$A$3:$A$5001,"&gt;="&amp;$C$7,BD!$A$3:$A$5001,"&lt;="&amp;$B184,BD!$Q$3:$Q$5001,"&lt;&gt;"))))</f>
        <v/>
      </c>
      <c r="G184" s="54" t="str">
        <f>IF(OR($B184="",$A184&gt;$B$9,G$163=""),"",IF(COUNTIFS(BD!$B$3:$B$5001,G$163,BD!$A$3:$A$5001,"&gt;="&amp;$C$7,BD!$A$3:$A$5001,"&lt;="&amp;$B184,BD!$Q$3:$Q$5001,"&lt;&gt;")=0,"",SUMIFS(BD!$Q$3:$Q$5001,BD!$B$3:$B$5001,G$163,BD!$A$3:$A$5001,_xlfn.MAXIFS(BD!$A$3:$A$5001,BD!$B$3:$B$5001,G$163,BD!$A$3:$A$5001,"&gt;="&amp;$C$7,BD!$A$3:$A$5001,"&lt;="&amp;$B184,BD!$Q$3:$Q$5001,"&lt;&gt;"))))</f>
        <v/>
      </c>
      <c r="H184" s="54" t="str">
        <f>IF(OR($B184="",$A184&gt;$B$9,H$163=""),"",IF(COUNTIFS(BD!$B$3:$B$5001,H$163,BD!$A$3:$A$5001,"&gt;="&amp;$C$7,BD!$A$3:$A$5001,"&lt;="&amp;$B184,BD!$Q$3:$Q$5001,"&lt;&gt;")=0,"",SUMIFS(BD!$Q$3:$Q$5001,BD!$B$3:$B$5001,H$163,BD!$A$3:$A$5001,_xlfn.MAXIFS(BD!$A$3:$A$5001,BD!$B$3:$B$5001,H$163,BD!$A$3:$A$5001,"&gt;="&amp;$C$7,BD!$A$3:$A$5001,"&lt;="&amp;$B184,BD!$Q$3:$Q$5001,"&lt;&gt;"))))</f>
        <v/>
      </c>
      <c r="I184" s="54" t="str">
        <f>IF(OR($B184="",$A184&gt;$B$9,I$163=""),"",IF(COUNTIFS(BD!$B$3:$B$5001,I$163,BD!$A$3:$A$5001,"&gt;="&amp;$C$7,BD!$A$3:$A$5001,"&lt;="&amp;$B184,BD!$Q$3:$Q$5001,"&lt;&gt;")=0,"",SUMIFS(BD!$Q$3:$Q$5001,BD!$B$3:$B$5001,I$163,BD!$A$3:$A$5001,_xlfn.MAXIFS(BD!$A$3:$A$5001,BD!$B$3:$B$5001,I$163,BD!$A$3:$A$5001,"&gt;="&amp;$C$7,BD!$A$3:$A$5001,"&lt;="&amp;$B184,BD!$Q$3:$Q$5001,"&lt;&gt;"))))</f>
        <v/>
      </c>
      <c r="J184" s="54" t="str">
        <f>IF(OR($B184="",$A184&gt;$B$9,J$163=""),"",IF(COUNTIFS(BD!$B$3:$B$5001,J$163,BD!$A$3:$A$5001,"&gt;="&amp;$C$7,BD!$A$3:$A$5001,"&lt;="&amp;$B184,BD!$Q$3:$Q$5001,"&lt;&gt;")=0,"",SUMIFS(BD!$Q$3:$Q$5001,BD!$B$3:$B$5001,J$163,BD!$A$3:$A$5001,_xlfn.MAXIFS(BD!$A$3:$A$5001,BD!$B$3:$B$5001,J$163,BD!$A$3:$A$5001,"&gt;="&amp;$C$7,BD!$A$3:$A$5001,"&lt;="&amp;$B184,BD!$Q$3:$Q$5001,"&lt;&gt;"))))</f>
        <v/>
      </c>
      <c r="K184" s="54" t="str">
        <f>IF(OR($B184="",$A184&gt;$B$9,K$163=""),"",IF(COUNTIFS(BD!$B$3:$B$5001,K$163,BD!$A$3:$A$5001,"&gt;="&amp;$C$7,BD!$A$3:$A$5001,"&lt;="&amp;$B184,BD!$Q$3:$Q$5001,"&lt;&gt;")=0,"",SUMIFS(BD!$Q$3:$Q$5001,BD!$B$3:$B$5001,K$163,BD!$A$3:$A$5001,_xlfn.MAXIFS(BD!$A$3:$A$5001,BD!$B$3:$B$5001,K$163,BD!$A$3:$A$5001,"&gt;="&amp;$C$7,BD!$A$3:$A$5001,"&lt;="&amp;$B184,BD!$Q$3:$Q$5001,"&lt;&gt;"))))</f>
        <v/>
      </c>
      <c r="L184" s="54" t="str">
        <f>IF(OR($B184="",$A184&gt;$B$9,L$163=""),"",IF(COUNTIFS(BD!$B$3:$B$5001,L$163,BD!$A$3:$A$5001,"&gt;="&amp;$C$7,BD!$A$3:$A$5001,"&lt;="&amp;$B184,BD!$Q$3:$Q$5001,"&lt;&gt;")=0,"",SUMIFS(BD!$Q$3:$Q$5001,BD!$B$3:$B$5001,L$163,BD!$A$3:$A$5001,_xlfn.MAXIFS(BD!$A$3:$A$5001,BD!$B$3:$B$5001,L$163,BD!$A$3:$A$5001,"&gt;="&amp;$C$7,BD!$A$3:$A$5001,"&lt;="&amp;$B184,BD!$Q$3:$Q$5001,"&lt;&gt;"))))</f>
        <v/>
      </c>
      <c r="M184" s="54" t="str">
        <f>IF(OR($B184="",$A184&gt;$B$9,M$163=""),"",IF(COUNTIFS(BD!$B$3:$B$5001,M$163,BD!$A$3:$A$5001,"&gt;="&amp;$C$7,BD!$A$3:$A$5001,"&lt;="&amp;$B184,BD!$Q$3:$Q$5001,"&lt;&gt;")=0,"",SUMIFS(BD!$Q$3:$Q$5001,BD!$B$3:$B$5001,M$163,BD!$A$3:$A$5001,_xlfn.MAXIFS(BD!$A$3:$A$5001,BD!$B$3:$B$5001,M$163,BD!$A$3:$A$5001,"&gt;="&amp;$C$7,BD!$A$3:$A$5001,"&lt;="&amp;$B184,BD!$Q$3:$Q$5001,"&lt;&gt;"))))</f>
        <v/>
      </c>
      <c r="N184" s="54" t="str">
        <f>IF(OR($B184="",$A184&gt;$B$9,N$163=""),"",IF(COUNTIFS(BD!$B$3:$B$5001,N$163,BD!$A$3:$A$5001,"&gt;="&amp;$C$7,BD!$A$3:$A$5001,"&lt;="&amp;$B184,BD!$Q$3:$Q$5001,"&lt;&gt;")=0,"",SUMIFS(BD!$Q$3:$Q$5001,BD!$B$3:$B$5001,N$163,BD!$A$3:$A$5001,_xlfn.MAXIFS(BD!$A$3:$A$5001,BD!$B$3:$B$5001,N$163,BD!$A$3:$A$5001,"&gt;="&amp;$C$7,BD!$A$3:$A$5001,"&lt;="&amp;$B184,BD!$Q$3:$Q$5001,"&lt;&gt;"))))</f>
        <v/>
      </c>
      <c r="O184" s="54" t="str">
        <f>IF(OR($B184="",$A184&gt;$B$9,O$163=""),"",IF(COUNTIFS(BD!$B$3:$B$5001,O$163,BD!$A$3:$A$5001,"&gt;="&amp;$C$7,BD!$A$3:$A$5001,"&lt;="&amp;$B184,BD!$Q$3:$Q$5001,"&lt;&gt;")=0,"",SUMIFS(BD!$Q$3:$Q$5001,BD!$B$3:$B$5001,O$163,BD!$A$3:$A$5001,_xlfn.MAXIFS(BD!$A$3:$A$5001,BD!$B$3:$B$5001,O$163,BD!$A$3:$A$5001,"&gt;="&amp;$C$7,BD!$A$3:$A$5001,"&lt;="&amp;$B184,BD!$Q$3:$Q$5001,"&lt;&gt;"))))</f>
        <v/>
      </c>
      <c r="P184" s="54" t="str">
        <f>IF(OR($B184="",$A184&gt;$B$9,P$163=""),"",IF(COUNTIFS(BD!$B$3:$B$5001,P$163,BD!$A$3:$A$5001,"&gt;="&amp;$C$7,BD!$A$3:$A$5001,"&lt;="&amp;$B184,BD!$Q$3:$Q$5001,"&lt;&gt;")=0,"",SUMIFS(BD!$Q$3:$Q$5001,BD!$B$3:$B$5001,P$163,BD!$A$3:$A$5001,_xlfn.MAXIFS(BD!$A$3:$A$5001,BD!$B$3:$B$5001,P$163,BD!$A$3:$A$5001,"&gt;="&amp;$C$7,BD!$A$3:$A$5001,"&lt;="&amp;$B184,BD!$Q$3:$Q$5001,"&lt;&gt;"))))</f>
        <v/>
      </c>
      <c r="Q184" s="54" t="str">
        <f>IF(OR($B184="",$A184&gt;$B$9,Q$163=""),"",IF(COUNTIFS(BD!$B$3:$B$5001,Q$163,BD!$A$3:$A$5001,"&gt;="&amp;$C$7,BD!$A$3:$A$5001,"&lt;="&amp;$B184,BD!$Q$3:$Q$5001,"&lt;&gt;")=0,"",SUMIFS(BD!$Q$3:$Q$5001,BD!$B$3:$B$5001,Q$163,BD!$A$3:$A$5001,_xlfn.MAXIFS(BD!$A$3:$A$5001,BD!$B$3:$B$5001,Q$163,BD!$A$3:$A$5001,"&gt;="&amp;$C$7,BD!$A$3:$A$5001,"&lt;="&amp;$B184,BD!$Q$3:$Q$5001,"&lt;&gt;"))))</f>
        <v/>
      </c>
      <c r="R184" s="54" t="str">
        <f>IF(OR($B184="",$A184&gt;$B$9,R$163=""),"",IF(COUNTIFS(BD!$B$3:$B$5001,R$163,BD!$A$3:$A$5001,"&gt;="&amp;$C$7,BD!$A$3:$A$5001,"&lt;="&amp;$B184,BD!$Q$3:$Q$5001,"&lt;&gt;")=0,"",SUMIFS(BD!$Q$3:$Q$5001,BD!$B$3:$B$5001,R$163,BD!$A$3:$A$5001,_xlfn.MAXIFS(BD!$A$3:$A$5001,BD!$B$3:$B$5001,R$163,BD!$A$3:$A$5001,"&gt;="&amp;$C$7,BD!$A$3:$A$5001,"&lt;="&amp;$B184,BD!$Q$3:$Q$5001,"&lt;&gt;"))))</f>
        <v/>
      </c>
      <c r="S184" s="54" t="str">
        <f>IF(OR($B184="",$A184&gt;$B$9,S$163=""),"",IF(COUNTIFS(BD!$B$3:$B$5001,S$163,BD!$A$3:$A$5001,"&gt;="&amp;$C$7,BD!$A$3:$A$5001,"&lt;="&amp;$B184,BD!$Q$3:$Q$5001,"&lt;&gt;")=0,"",SUMIFS(BD!$Q$3:$Q$5001,BD!$B$3:$B$5001,S$163,BD!$A$3:$A$5001,_xlfn.MAXIFS(BD!$A$3:$A$5001,BD!$B$3:$B$5001,S$163,BD!$A$3:$A$5001,"&gt;="&amp;$C$7,BD!$A$3:$A$5001,"&lt;="&amp;$B184,BD!$Q$3:$Q$5001,"&lt;&gt;"))))</f>
        <v/>
      </c>
      <c r="T184" s="54" t="str">
        <f>IF(OR($B184="",$A184&gt;$B$9,T$163=""),"",IF(COUNTIFS(BD!$B$3:$B$5001,T$163,BD!$A$3:$A$5001,"&gt;="&amp;$C$7,BD!$A$3:$A$5001,"&lt;="&amp;$B184,BD!$Q$3:$Q$5001,"&lt;&gt;")=0,"",SUMIFS(BD!$Q$3:$Q$5001,BD!$B$3:$B$5001,T$163,BD!$A$3:$A$5001,_xlfn.MAXIFS(BD!$A$3:$A$5001,BD!$B$3:$B$5001,T$163,BD!$A$3:$A$5001,"&gt;="&amp;$C$7,BD!$A$3:$A$5001,"&lt;="&amp;$B184,BD!$Q$3:$Q$5001,"&lt;&gt;"))))</f>
        <v/>
      </c>
      <c r="U184" s="54" t="str">
        <f>IF(OR($B184="",$A184&gt;$B$9,U$163=""),"",IF(COUNTIFS(BD!$B$3:$B$5001,U$163,BD!$A$3:$A$5001,"&gt;="&amp;$C$7,BD!$A$3:$A$5001,"&lt;="&amp;$B184,BD!$Q$3:$Q$5001,"&lt;&gt;")=0,"",SUMIFS(BD!$Q$3:$Q$5001,BD!$B$3:$B$5001,U$163,BD!$A$3:$A$5001,_xlfn.MAXIFS(BD!$A$3:$A$5001,BD!$B$3:$B$5001,U$163,BD!$A$3:$A$5001,"&gt;="&amp;$C$7,BD!$A$3:$A$5001,"&lt;="&amp;$B184,BD!$Q$3:$Q$5001,"&lt;&gt;"))))</f>
        <v/>
      </c>
      <c r="V184" s="54" t="str">
        <f>IF(OR($B184="",$A184&gt;$B$9,V$163=""),"",IF(COUNTIFS(BD!$B$3:$B$5001,V$163,BD!$A$3:$A$5001,"&gt;="&amp;$C$7,BD!$A$3:$A$5001,"&lt;="&amp;$B184,BD!$Q$3:$Q$5001,"&lt;&gt;")=0,"",SUMIFS(BD!$Q$3:$Q$5001,BD!$B$3:$B$5001,V$163,BD!$A$3:$A$5001,_xlfn.MAXIFS(BD!$A$3:$A$5001,BD!$B$3:$B$5001,V$163,BD!$A$3:$A$5001,"&gt;="&amp;$C$7,BD!$A$3:$A$5001,"&lt;="&amp;$B184,BD!$Q$3:$Q$5001,"&lt;&gt;"))))</f>
        <v/>
      </c>
    </row>
    <row r="185">
      <c r="A185" s="48">
        <v>22</v>
      </c>
      <c r="B185" s="53">
        <f>$B$33</f>
        <v>46317</v>
      </c>
      <c r="C185" s="54" t="str">
        <f>IF(OR($B185="",$A185&gt;$B$9,C$163=""),"",IF(COUNTIFS(BD!$B$3:$B$5001,C$163,BD!$A$3:$A$5001,"&gt;="&amp;$C$7,BD!$A$3:$A$5001,"&lt;="&amp;$B185,BD!$Q$3:$Q$5001,"&lt;&gt;")=0,"",SUMIFS(BD!$Q$3:$Q$5001,BD!$B$3:$B$5001,C$163,BD!$A$3:$A$5001,_xlfn.MAXIFS(BD!$A$3:$A$5001,BD!$B$3:$B$5001,C$163,BD!$A$3:$A$5001,"&gt;="&amp;$C$7,BD!$A$3:$A$5001,"&lt;="&amp;$B185,BD!$Q$3:$Q$5001,"&lt;&gt;"))))</f>
        <v/>
      </c>
      <c r="D185" s="54" t="str">
        <f>IF(OR($B185="",$A185&gt;$B$9,D$163=""),"",IF(COUNTIFS(BD!$B$3:$B$5001,D$163,BD!$A$3:$A$5001,"&gt;="&amp;$C$7,BD!$A$3:$A$5001,"&lt;="&amp;$B185,BD!$Q$3:$Q$5001,"&lt;&gt;")=0,"",SUMIFS(BD!$Q$3:$Q$5001,BD!$B$3:$B$5001,D$163,BD!$A$3:$A$5001,_xlfn.MAXIFS(BD!$A$3:$A$5001,BD!$B$3:$B$5001,D$163,BD!$A$3:$A$5001,"&gt;="&amp;$C$7,BD!$A$3:$A$5001,"&lt;="&amp;$B185,BD!$Q$3:$Q$5001,"&lt;&gt;"))))</f>
        <v/>
      </c>
      <c r="E185" s="54" t="str">
        <f>IF(OR($B185="",$A185&gt;$B$9,E$163=""),"",IF(COUNTIFS(BD!$B$3:$B$5001,E$163,BD!$A$3:$A$5001,"&gt;="&amp;$C$7,BD!$A$3:$A$5001,"&lt;="&amp;$B185,BD!$Q$3:$Q$5001,"&lt;&gt;")=0,"",SUMIFS(BD!$Q$3:$Q$5001,BD!$B$3:$B$5001,E$163,BD!$A$3:$A$5001,_xlfn.MAXIFS(BD!$A$3:$A$5001,BD!$B$3:$B$5001,E$163,BD!$A$3:$A$5001,"&gt;="&amp;$C$7,BD!$A$3:$A$5001,"&lt;="&amp;$B185,BD!$Q$3:$Q$5001,"&lt;&gt;"))))</f>
        <v/>
      </c>
      <c r="F185" s="54" t="str">
        <f>IF(OR($B185="",$A185&gt;$B$9,F$163=""),"",IF(COUNTIFS(BD!$B$3:$B$5001,F$163,BD!$A$3:$A$5001,"&gt;="&amp;$C$7,BD!$A$3:$A$5001,"&lt;="&amp;$B185,BD!$Q$3:$Q$5001,"&lt;&gt;")=0,"",SUMIFS(BD!$Q$3:$Q$5001,BD!$B$3:$B$5001,F$163,BD!$A$3:$A$5001,_xlfn.MAXIFS(BD!$A$3:$A$5001,BD!$B$3:$B$5001,F$163,BD!$A$3:$A$5001,"&gt;="&amp;$C$7,BD!$A$3:$A$5001,"&lt;="&amp;$B185,BD!$Q$3:$Q$5001,"&lt;&gt;"))))</f>
        <v/>
      </c>
      <c r="G185" s="54" t="str">
        <f>IF(OR($B185="",$A185&gt;$B$9,G$163=""),"",IF(COUNTIFS(BD!$B$3:$B$5001,G$163,BD!$A$3:$A$5001,"&gt;="&amp;$C$7,BD!$A$3:$A$5001,"&lt;="&amp;$B185,BD!$Q$3:$Q$5001,"&lt;&gt;")=0,"",SUMIFS(BD!$Q$3:$Q$5001,BD!$B$3:$B$5001,G$163,BD!$A$3:$A$5001,_xlfn.MAXIFS(BD!$A$3:$A$5001,BD!$B$3:$B$5001,G$163,BD!$A$3:$A$5001,"&gt;="&amp;$C$7,BD!$A$3:$A$5001,"&lt;="&amp;$B185,BD!$Q$3:$Q$5001,"&lt;&gt;"))))</f>
        <v/>
      </c>
      <c r="H185" s="54" t="str">
        <f>IF(OR($B185="",$A185&gt;$B$9,H$163=""),"",IF(COUNTIFS(BD!$B$3:$B$5001,H$163,BD!$A$3:$A$5001,"&gt;="&amp;$C$7,BD!$A$3:$A$5001,"&lt;="&amp;$B185,BD!$Q$3:$Q$5001,"&lt;&gt;")=0,"",SUMIFS(BD!$Q$3:$Q$5001,BD!$B$3:$B$5001,H$163,BD!$A$3:$A$5001,_xlfn.MAXIFS(BD!$A$3:$A$5001,BD!$B$3:$B$5001,H$163,BD!$A$3:$A$5001,"&gt;="&amp;$C$7,BD!$A$3:$A$5001,"&lt;="&amp;$B185,BD!$Q$3:$Q$5001,"&lt;&gt;"))))</f>
        <v/>
      </c>
      <c r="I185" s="54" t="str">
        <f>IF(OR($B185="",$A185&gt;$B$9,I$163=""),"",IF(COUNTIFS(BD!$B$3:$B$5001,I$163,BD!$A$3:$A$5001,"&gt;="&amp;$C$7,BD!$A$3:$A$5001,"&lt;="&amp;$B185,BD!$Q$3:$Q$5001,"&lt;&gt;")=0,"",SUMIFS(BD!$Q$3:$Q$5001,BD!$B$3:$B$5001,I$163,BD!$A$3:$A$5001,_xlfn.MAXIFS(BD!$A$3:$A$5001,BD!$B$3:$B$5001,I$163,BD!$A$3:$A$5001,"&gt;="&amp;$C$7,BD!$A$3:$A$5001,"&lt;="&amp;$B185,BD!$Q$3:$Q$5001,"&lt;&gt;"))))</f>
        <v/>
      </c>
      <c r="J185" s="54" t="str">
        <f>IF(OR($B185="",$A185&gt;$B$9,J$163=""),"",IF(COUNTIFS(BD!$B$3:$B$5001,J$163,BD!$A$3:$A$5001,"&gt;="&amp;$C$7,BD!$A$3:$A$5001,"&lt;="&amp;$B185,BD!$Q$3:$Q$5001,"&lt;&gt;")=0,"",SUMIFS(BD!$Q$3:$Q$5001,BD!$B$3:$B$5001,J$163,BD!$A$3:$A$5001,_xlfn.MAXIFS(BD!$A$3:$A$5001,BD!$B$3:$B$5001,J$163,BD!$A$3:$A$5001,"&gt;="&amp;$C$7,BD!$A$3:$A$5001,"&lt;="&amp;$B185,BD!$Q$3:$Q$5001,"&lt;&gt;"))))</f>
        <v/>
      </c>
      <c r="K185" s="54" t="str">
        <f>IF(OR($B185="",$A185&gt;$B$9,K$163=""),"",IF(COUNTIFS(BD!$B$3:$B$5001,K$163,BD!$A$3:$A$5001,"&gt;="&amp;$C$7,BD!$A$3:$A$5001,"&lt;="&amp;$B185,BD!$Q$3:$Q$5001,"&lt;&gt;")=0,"",SUMIFS(BD!$Q$3:$Q$5001,BD!$B$3:$B$5001,K$163,BD!$A$3:$A$5001,_xlfn.MAXIFS(BD!$A$3:$A$5001,BD!$B$3:$B$5001,K$163,BD!$A$3:$A$5001,"&gt;="&amp;$C$7,BD!$A$3:$A$5001,"&lt;="&amp;$B185,BD!$Q$3:$Q$5001,"&lt;&gt;"))))</f>
        <v/>
      </c>
      <c r="L185" s="54" t="str">
        <f>IF(OR($B185="",$A185&gt;$B$9,L$163=""),"",IF(COUNTIFS(BD!$B$3:$B$5001,L$163,BD!$A$3:$A$5001,"&gt;="&amp;$C$7,BD!$A$3:$A$5001,"&lt;="&amp;$B185,BD!$Q$3:$Q$5001,"&lt;&gt;")=0,"",SUMIFS(BD!$Q$3:$Q$5001,BD!$B$3:$B$5001,L$163,BD!$A$3:$A$5001,_xlfn.MAXIFS(BD!$A$3:$A$5001,BD!$B$3:$B$5001,L$163,BD!$A$3:$A$5001,"&gt;="&amp;$C$7,BD!$A$3:$A$5001,"&lt;="&amp;$B185,BD!$Q$3:$Q$5001,"&lt;&gt;"))))</f>
        <v/>
      </c>
      <c r="M185" s="54" t="str">
        <f>IF(OR($B185="",$A185&gt;$B$9,M$163=""),"",IF(COUNTIFS(BD!$B$3:$B$5001,M$163,BD!$A$3:$A$5001,"&gt;="&amp;$C$7,BD!$A$3:$A$5001,"&lt;="&amp;$B185,BD!$Q$3:$Q$5001,"&lt;&gt;")=0,"",SUMIFS(BD!$Q$3:$Q$5001,BD!$B$3:$B$5001,M$163,BD!$A$3:$A$5001,_xlfn.MAXIFS(BD!$A$3:$A$5001,BD!$B$3:$B$5001,M$163,BD!$A$3:$A$5001,"&gt;="&amp;$C$7,BD!$A$3:$A$5001,"&lt;="&amp;$B185,BD!$Q$3:$Q$5001,"&lt;&gt;"))))</f>
        <v/>
      </c>
      <c r="N185" s="54" t="str">
        <f>IF(OR($B185="",$A185&gt;$B$9,N$163=""),"",IF(COUNTIFS(BD!$B$3:$B$5001,N$163,BD!$A$3:$A$5001,"&gt;="&amp;$C$7,BD!$A$3:$A$5001,"&lt;="&amp;$B185,BD!$Q$3:$Q$5001,"&lt;&gt;")=0,"",SUMIFS(BD!$Q$3:$Q$5001,BD!$B$3:$B$5001,N$163,BD!$A$3:$A$5001,_xlfn.MAXIFS(BD!$A$3:$A$5001,BD!$B$3:$B$5001,N$163,BD!$A$3:$A$5001,"&gt;="&amp;$C$7,BD!$A$3:$A$5001,"&lt;="&amp;$B185,BD!$Q$3:$Q$5001,"&lt;&gt;"))))</f>
        <v/>
      </c>
      <c r="O185" s="54" t="str">
        <f>IF(OR($B185="",$A185&gt;$B$9,O$163=""),"",IF(COUNTIFS(BD!$B$3:$B$5001,O$163,BD!$A$3:$A$5001,"&gt;="&amp;$C$7,BD!$A$3:$A$5001,"&lt;="&amp;$B185,BD!$Q$3:$Q$5001,"&lt;&gt;")=0,"",SUMIFS(BD!$Q$3:$Q$5001,BD!$B$3:$B$5001,O$163,BD!$A$3:$A$5001,_xlfn.MAXIFS(BD!$A$3:$A$5001,BD!$B$3:$B$5001,O$163,BD!$A$3:$A$5001,"&gt;="&amp;$C$7,BD!$A$3:$A$5001,"&lt;="&amp;$B185,BD!$Q$3:$Q$5001,"&lt;&gt;"))))</f>
        <v/>
      </c>
      <c r="P185" s="54" t="str">
        <f>IF(OR($B185="",$A185&gt;$B$9,P$163=""),"",IF(COUNTIFS(BD!$B$3:$B$5001,P$163,BD!$A$3:$A$5001,"&gt;="&amp;$C$7,BD!$A$3:$A$5001,"&lt;="&amp;$B185,BD!$Q$3:$Q$5001,"&lt;&gt;")=0,"",SUMIFS(BD!$Q$3:$Q$5001,BD!$B$3:$B$5001,P$163,BD!$A$3:$A$5001,_xlfn.MAXIFS(BD!$A$3:$A$5001,BD!$B$3:$B$5001,P$163,BD!$A$3:$A$5001,"&gt;="&amp;$C$7,BD!$A$3:$A$5001,"&lt;="&amp;$B185,BD!$Q$3:$Q$5001,"&lt;&gt;"))))</f>
        <v/>
      </c>
      <c r="Q185" s="54" t="str">
        <f>IF(OR($B185="",$A185&gt;$B$9,Q$163=""),"",IF(COUNTIFS(BD!$B$3:$B$5001,Q$163,BD!$A$3:$A$5001,"&gt;="&amp;$C$7,BD!$A$3:$A$5001,"&lt;="&amp;$B185,BD!$Q$3:$Q$5001,"&lt;&gt;")=0,"",SUMIFS(BD!$Q$3:$Q$5001,BD!$B$3:$B$5001,Q$163,BD!$A$3:$A$5001,_xlfn.MAXIFS(BD!$A$3:$A$5001,BD!$B$3:$B$5001,Q$163,BD!$A$3:$A$5001,"&gt;="&amp;$C$7,BD!$A$3:$A$5001,"&lt;="&amp;$B185,BD!$Q$3:$Q$5001,"&lt;&gt;"))))</f>
        <v/>
      </c>
      <c r="R185" s="54" t="str">
        <f>IF(OR($B185="",$A185&gt;$B$9,R$163=""),"",IF(COUNTIFS(BD!$B$3:$B$5001,R$163,BD!$A$3:$A$5001,"&gt;="&amp;$C$7,BD!$A$3:$A$5001,"&lt;="&amp;$B185,BD!$Q$3:$Q$5001,"&lt;&gt;")=0,"",SUMIFS(BD!$Q$3:$Q$5001,BD!$B$3:$B$5001,R$163,BD!$A$3:$A$5001,_xlfn.MAXIFS(BD!$A$3:$A$5001,BD!$B$3:$B$5001,R$163,BD!$A$3:$A$5001,"&gt;="&amp;$C$7,BD!$A$3:$A$5001,"&lt;="&amp;$B185,BD!$Q$3:$Q$5001,"&lt;&gt;"))))</f>
        <v/>
      </c>
      <c r="S185" s="54" t="str">
        <f>IF(OR($B185="",$A185&gt;$B$9,S$163=""),"",IF(COUNTIFS(BD!$B$3:$B$5001,S$163,BD!$A$3:$A$5001,"&gt;="&amp;$C$7,BD!$A$3:$A$5001,"&lt;="&amp;$B185,BD!$Q$3:$Q$5001,"&lt;&gt;")=0,"",SUMIFS(BD!$Q$3:$Q$5001,BD!$B$3:$B$5001,S$163,BD!$A$3:$A$5001,_xlfn.MAXIFS(BD!$A$3:$A$5001,BD!$B$3:$B$5001,S$163,BD!$A$3:$A$5001,"&gt;="&amp;$C$7,BD!$A$3:$A$5001,"&lt;="&amp;$B185,BD!$Q$3:$Q$5001,"&lt;&gt;"))))</f>
        <v/>
      </c>
      <c r="T185" s="54" t="str">
        <f>IF(OR($B185="",$A185&gt;$B$9,T$163=""),"",IF(COUNTIFS(BD!$B$3:$B$5001,T$163,BD!$A$3:$A$5001,"&gt;="&amp;$C$7,BD!$A$3:$A$5001,"&lt;="&amp;$B185,BD!$Q$3:$Q$5001,"&lt;&gt;")=0,"",SUMIFS(BD!$Q$3:$Q$5001,BD!$B$3:$B$5001,T$163,BD!$A$3:$A$5001,_xlfn.MAXIFS(BD!$A$3:$A$5001,BD!$B$3:$B$5001,T$163,BD!$A$3:$A$5001,"&gt;="&amp;$C$7,BD!$A$3:$A$5001,"&lt;="&amp;$B185,BD!$Q$3:$Q$5001,"&lt;&gt;"))))</f>
        <v/>
      </c>
      <c r="U185" s="54" t="str">
        <f>IF(OR($B185="",$A185&gt;$B$9,U$163=""),"",IF(COUNTIFS(BD!$B$3:$B$5001,U$163,BD!$A$3:$A$5001,"&gt;="&amp;$C$7,BD!$A$3:$A$5001,"&lt;="&amp;$B185,BD!$Q$3:$Q$5001,"&lt;&gt;")=0,"",SUMIFS(BD!$Q$3:$Q$5001,BD!$B$3:$B$5001,U$163,BD!$A$3:$A$5001,_xlfn.MAXIFS(BD!$A$3:$A$5001,BD!$B$3:$B$5001,U$163,BD!$A$3:$A$5001,"&gt;="&amp;$C$7,BD!$A$3:$A$5001,"&lt;="&amp;$B185,BD!$Q$3:$Q$5001,"&lt;&gt;"))))</f>
        <v/>
      </c>
      <c r="V185" s="54" t="str">
        <f>IF(OR($B185="",$A185&gt;$B$9,V$163=""),"",IF(COUNTIFS(BD!$B$3:$B$5001,V$163,BD!$A$3:$A$5001,"&gt;="&amp;$C$7,BD!$A$3:$A$5001,"&lt;="&amp;$B185,BD!$Q$3:$Q$5001,"&lt;&gt;")=0,"",SUMIFS(BD!$Q$3:$Q$5001,BD!$B$3:$B$5001,V$163,BD!$A$3:$A$5001,_xlfn.MAXIFS(BD!$A$3:$A$5001,BD!$B$3:$B$5001,V$163,BD!$A$3:$A$5001,"&gt;="&amp;$C$7,BD!$A$3:$A$5001,"&lt;="&amp;$B185,BD!$Q$3:$Q$5001,"&lt;&gt;"))))</f>
        <v/>
      </c>
    </row>
    <row r="186">
      <c r="A186" s="48">
        <v>23</v>
      </c>
      <c r="B186" s="53">
        <f>$B$34</f>
        <v>46318</v>
      </c>
      <c r="C186" s="54" t="str">
        <f>IF(OR($B186="",$A186&gt;$B$9,C$163=""),"",IF(COUNTIFS(BD!$B$3:$B$5001,C$163,BD!$A$3:$A$5001,"&gt;="&amp;$C$7,BD!$A$3:$A$5001,"&lt;="&amp;$B186,BD!$Q$3:$Q$5001,"&lt;&gt;")=0,"",SUMIFS(BD!$Q$3:$Q$5001,BD!$B$3:$B$5001,C$163,BD!$A$3:$A$5001,_xlfn.MAXIFS(BD!$A$3:$A$5001,BD!$B$3:$B$5001,C$163,BD!$A$3:$A$5001,"&gt;="&amp;$C$7,BD!$A$3:$A$5001,"&lt;="&amp;$B186,BD!$Q$3:$Q$5001,"&lt;&gt;"))))</f>
        <v/>
      </c>
      <c r="D186" s="54" t="str">
        <f>IF(OR($B186="",$A186&gt;$B$9,D$163=""),"",IF(COUNTIFS(BD!$B$3:$B$5001,D$163,BD!$A$3:$A$5001,"&gt;="&amp;$C$7,BD!$A$3:$A$5001,"&lt;="&amp;$B186,BD!$Q$3:$Q$5001,"&lt;&gt;")=0,"",SUMIFS(BD!$Q$3:$Q$5001,BD!$B$3:$B$5001,D$163,BD!$A$3:$A$5001,_xlfn.MAXIFS(BD!$A$3:$A$5001,BD!$B$3:$B$5001,D$163,BD!$A$3:$A$5001,"&gt;="&amp;$C$7,BD!$A$3:$A$5001,"&lt;="&amp;$B186,BD!$Q$3:$Q$5001,"&lt;&gt;"))))</f>
        <v/>
      </c>
      <c r="E186" s="54" t="str">
        <f>IF(OR($B186="",$A186&gt;$B$9,E$163=""),"",IF(COUNTIFS(BD!$B$3:$B$5001,E$163,BD!$A$3:$A$5001,"&gt;="&amp;$C$7,BD!$A$3:$A$5001,"&lt;="&amp;$B186,BD!$Q$3:$Q$5001,"&lt;&gt;")=0,"",SUMIFS(BD!$Q$3:$Q$5001,BD!$B$3:$B$5001,E$163,BD!$A$3:$A$5001,_xlfn.MAXIFS(BD!$A$3:$A$5001,BD!$B$3:$B$5001,E$163,BD!$A$3:$A$5001,"&gt;="&amp;$C$7,BD!$A$3:$A$5001,"&lt;="&amp;$B186,BD!$Q$3:$Q$5001,"&lt;&gt;"))))</f>
        <v/>
      </c>
      <c r="F186" s="54" t="str">
        <f>IF(OR($B186="",$A186&gt;$B$9,F$163=""),"",IF(COUNTIFS(BD!$B$3:$B$5001,F$163,BD!$A$3:$A$5001,"&gt;="&amp;$C$7,BD!$A$3:$A$5001,"&lt;="&amp;$B186,BD!$Q$3:$Q$5001,"&lt;&gt;")=0,"",SUMIFS(BD!$Q$3:$Q$5001,BD!$B$3:$B$5001,F$163,BD!$A$3:$A$5001,_xlfn.MAXIFS(BD!$A$3:$A$5001,BD!$B$3:$B$5001,F$163,BD!$A$3:$A$5001,"&gt;="&amp;$C$7,BD!$A$3:$A$5001,"&lt;="&amp;$B186,BD!$Q$3:$Q$5001,"&lt;&gt;"))))</f>
        <v/>
      </c>
      <c r="G186" s="54" t="str">
        <f>IF(OR($B186="",$A186&gt;$B$9,G$163=""),"",IF(COUNTIFS(BD!$B$3:$B$5001,G$163,BD!$A$3:$A$5001,"&gt;="&amp;$C$7,BD!$A$3:$A$5001,"&lt;="&amp;$B186,BD!$Q$3:$Q$5001,"&lt;&gt;")=0,"",SUMIFS(BD!$Q$3:$Q$5001,BD!$B$3:$B$5001,G$163,BD!$A$3:$A$5001,_xlfn.MAXIFS(BD!$A$3:$A$5001,BD!$B$3:$B$5001,G$163,BD!$A$3:$A$5001,"&gt;="&amp;$C$7,BD!$A$3:$A$5001,"&lt;="&amp;$B186,BD!$Q$3:$Q$5001,"&lt;&gt;"))))</f>
        <v/>
      </c>
      <c r="H186" s="54" t="str">
        <f>IF(OR($B186="",$A186&gt;$B$9,H$163=""),"",IF(COUNTIFS(BD!$B$3:$B$5001,H$163,BD!$A$3:$A$5001,"&gt;="&amp;$C$7,BD!$A$3:$A$5001,"&lt;="&amp;$B186,BD!$Q$3:$Q$5001,"&lt;&gt;")=0,"",SUMIFS(BD!$Q$3:$Q$5001,BD!$B$3:$B$5001,H$163,BD!$A$3:$A$5001,_xlfn.MAXIFS(BD!$A$3:$A$5001,BD!$B$3:$B$5001,H$163,BD!$A$3:$A$5001,"&gt;="&amp;$C$7,BD!$A$3:$A$5001,"&lt;="&amp;$B186,BD!$Q$3:$Q$5001,"&lt;&gt;"))))</f>
        <v/>
      </c>
      <c r="I186" s="54" t="str">
        <f>IF(OR($B186="",$A186&gt;$B$9,I$163=""),"",IF(COUNTIFS(BD!$B$3:$B$5001,I$163,BD!$A$3:$A$5001,"&gt;="&amp;$C$7,BD!$A$3:$A$5001,"&lt;="&amp;$B186,BD!$Q$3:$Q$5001,"&lt;&gt;")=0,"",SUMIFS(BD!$Q$3:$Q$5001,BD!$B$3:$B$5001,I$163,BD!$A$3:$A$5001,_xlfn.MAXIFS(BD!$A$3:$A$5001,BD!$B$3:$B$5001,I$163,BD!$A$3:$A$5001,"&gt;="&amp;$C$7,BD!$A$3:$A$5001,"&lt;="&amp;$B186,BD!$Q$3:$Q$5001,"&lt;&gt;"))))</f>
        <v/>
      </c>
      <c r="J186" s="54" t="str">
        <f>IF(OR($B186="",$A186&gt;$B$9,J$163=""),"",IF(COUNTIFS(BD!$B$3:$B$5001,J$163,BD!$A$3:$A$5001,"&gt;="&amp;$C$7,BD!$A$3:$A$5001,"&lt;="&amp;$B186,BD!$Q$3:$Q$5001,"&lt;&gt;")=0,"",SUMIFS(BD!$Q$3:$Q$5001,BD!$B$3:$B$5001,J$163,BD!$A$3:$A$5001,_xlfn.MAXIFS(BD!$A$3:$A$5001,BD!$B$3:$B$5001,J$163,BD!$A$3:$A$5001,"&gt;="&amp;$C$7,BD!$A$3:$A$5001,"&lt;="&amp;$B186,BD!$Q$3:$Q$5001,"&lt;&gt;"))))</f>
        <v/>
      </c>
      <c r="K186" s="54" t="str">
        <f>IF(OR($B186="",$A186&gt;$B$9,K$163=""),"",IF(COUNTIFS(BD!$B$3:$B$5001,K$163,BD!$A$3:$A$5001,"&gt;="&amp;$C$7,BD!$A$3:$A$5001,"&lt;="&amp;$B186,BD!$Q$3:$Q$5001,"&lt;&gt;")=0,"",SUMIFS(BD!$Q$3:$Q$5001,BD!$B$3:$B$5001,K$163,BD!$A$3:$A$5001,_xlfn.MAXIFS(BD!$A$3:$A$5001,BD!$B$3:$B$5001,K$163,BD!$A$3:$A$5001,"&gt;="&amp;$C$7,BD!$A$3:$A$5001,"&lt;="&amp;$B186,BD!$Q$3:$Q$5001,"&lt;&gt;"))))</f>
        <v/>
      </c>
      <c r="L186" s="54" t="str">
        <f>IF(OR($B186="",$A186&gt;$B$9,L$163=""),"",IF(COUNTIFS(BD!$B$3:$B$5001,L$163,BD!$A$3:$A$5001,"&gt;="&amp;$C$7,BD!$A$3:$A$5001,"&lt;="&amp;$B186,BD!$Q$3:$Q$5001,"&lt;&gt;")=0,"",SUMIFS(BD!$Q$3:$Q$5001,BD!$B$3:$B$5001,L$163,BD!$A$3:$A$5001,_xlfn.MAXIFS(BD!$A$3:$A$5001,BD!$B$3:$B$5001,L$163,BD!$A$3:$A$5001,"&gt;="&amp;$C$7,BD!$A$3:$A$5001,"&lt;="&amp;$B186,BD!$Q$3:$Q$5001,"&lt;&gt;"))))</f>
        <v/>
      </c>
      <c r="M186" s="54" t="str">
        <f>IF(OR($B186="",$A186&gt;$B$9,M$163=""),"",IF(COUNTIFS(BD!$B$3:$B$5001,M$163,BD!$A$3:$A$5001,"&gt;="&amp;$C$7,BD!$A$3:$A$5001,"&lt;="&amp;$B186,BD!$Q$3:$Q$5001,"&lt;&gt;")=0,"",SUMIFS(BD!$Q$3:$Q$5001,BD!$B$3:$B$5001,M$163,BD!$A$3:$A$5001,_xlfn.MAXIFS(BD!$A$3:$A$5001,BD!$B$3:$B$5001,M$163,BD!$A$3:$A$5001,"&gt;="&amp;$C$7,BD!$A$3:$A$5001,"&lt;="&amp;$B186,BD!$Q$3:$Q$5001,"&lt;&gt;"))))</f>
        <v/>
      </c>
      <c r="N186" s="54" t="str">
        <f>IF(OR($B186="",$A186&gt;$B$9,N$163=""),"",IF(COUNTIFS(BD!$B$3:$B$5001,N$163,BD!$A$3:$A$5001,"&gt;="&amp;$C$7,BD!$A$3:$A$5001,"&lt;="&amp;$B186,BD!$Q$3:$Q$5001,"&lt;&gt;")=0,"",SUMIFS(BD!$Q$3:$Q$5001,BD!$B$3:$B$5001,N$163,BD!$A$3:$A$5001,_xlfn.MAXIFS(BD!$A$3:$A$5001,BD!$B$3:$B$5001,N$163,BD!$A$3:$A$5001,"&gt;="&amp;$C$7,BD!$A$3:$A$5001,"&lt;="&amp;$B186,BD!$Q$3:$Q$5001,"&lt;&gt;"))))</f>
        <v/>
      </c>
      <c r="O186" s="54" t="str">
        <f>IF(OR($B186="",$A186&gt;$B$9,O$163=""),"",IF(COUNTIFS(BD!$B$3:$B$5001,O$163,BD!$A$3:$A$5001,"&gt;="&amp;$C$7,BD!$A$3:$A$5001,"&lt;="&amp;$B186,BD!$Q$3:$Q$5001,"&lt;&gt;")=0,"",SUMIFS(BD!$Q$3:$Q$5001,BD!$B$3:$B$5001,O$163,BD!$A$3:$A$5001,_xlfn.MAXIFS(BD!$A$3:$A$5001,BD!$B$3:$B$5001,O$163,BD!$A$3:$A$5001,"&gt;="&amp;$C$7,BD!$A$3:$A$5001,"&lt;="&amp;$B186,BD!$Q$3:$Q$5001,"&lt;&gt;"))))</f>
        <v/>
      </c>
      <c r="P186" s="54" t="str">
        <f>IF(OR($B186="",$A186&gt;$B$9,P$163=""),"",IF(COUNTIFS(BD!$B$3:$B$5001,P$163,BD!$A$3:$A$5001,"&gt;="&amp;$C$7,BD!$A$3:$A$5001,"&lt;="&amp;$B186,BD!$Q$3:$Q$5001,"&lt;&gt;")=0,"",SUMIFS(BD!$Q$3:$Q$5001,BD!$B$3:$B$5001,P$163,BD!$A$3:$A$5001,_xlfn.MAXIFS(BD!$A$3:$A$5001,BD!$B$3:$B$5001,P$163,BD!$A$3:$A$5001,"&gt;="&amp;$C$7,BD!$A$3:$A$5001,"&lt;="&amp;$B186,BD!$Q$3:$Q$5001,"&lt;&gt;"))))</f>
        <v/>
      </c>
      <c r="Q186" s="54" t="str">
        <f>IF(OR($B186="",$A186&gt;$B$9,Q$163=""),"",IF(COUNTIFS(BD!$B$3:$B$5001,Q$163,BD!$A$3:$A$5001,"&gt;="&amp;$C$7,BD!$A$3:$A$5001,"&lt;="&amp;$B186,BD!$Q$3:$Q$5001,"&lt;&gt;")=0,"",SUMIFS(BD!$Q$3:$Q$5001,BD!$B$3:$B$5001,Q$163,BD!$A$3:$A$5001,_xlfn.MAXIFS(BD!$A$3:$A$5001,BD!$B$3:$B$5001,Q$163,BD!$A$3:$A$5001,"&gt;="&amp;$C$7,BD!$A$3:$A$5001,"&lt;="&amp;$B186,BD!$Q$3:$Q$5001,"&lt;&gt;"))))</f>
        <v/>
      </c>
      <c r="R186" s="54" t="str">
        <f>IF(OR($B186="",$A186&gt;$B$9,R$163=""),"",IF(COUNTIFS(BD!$B$3:$B$5001,R$163,BD!$A$3:$A$5001,"&gt;="&amp;$C$7,BD!$A$3:$A$5001,"&lt;="&amp;$B186,BD!$Q$3:$Q$5001,"&lt;&gt;")=0,"",SUMIFS(BD!$Q$3:$Q$5001,BD!$B$3:$B$5001,R$163,BD!$A$3:$A$5001,_xlfn.MAXIFS(BD!$A$3:$A$5001,BD!$B$3:$B$5001,R$163,BD!$A$3:$A$5001,"&gt;="&amp;$C$7,BD!$A$3:$A$5001,"&lt;="&amp;$B186,BD!$Q$3:$Q$5001,"&lt;&gt;"))))</f>
        <v/>
      </c>
      <c r="S186" s="54" t="str">
        <f>IF(OR($B186="",$A186&gt;$B$9,S$163=""),"",IF(COUNTIFS(BD!$B$3:$B$5001,S$163,BD!$A$3:$A$5001,"&gt;="&amp;$C$7,BD!$A$3:$A$5001,"&lt;="&amp;$B186,BD!$Q$3:$Q$5001,"&lt;&gt;")=0,"",SUMIFS(BD!$Q$3:$Q$5001,BD!$B$3:$B$5001,S$163,BD!$A$3:$A$5001,_xlfn.MAXIFS(BD!$A$3:$A$5001,BD!$B$3:$B$5001,S$163,BD!$A$3:$A$5001,"&gt;="&amp;$C$7,BD!$A$3:$A$5001,"&lt;="&amp;$B186,BD!$Q$3:$Q$5001,"&lt;&gt;"))))</f>
        <v/>
      </c>
      <c r="T186" s="54" t="str">
        <f>IF(OR($B186="",$A186&gt;$B$9,T$163=""),"",IF(COUNTIFS(BD!$B$3:$B$5001,T$163,BD!$A$3:$A$5001,"&gt;="&amp;$C$7,BD!$A$3:$A$5001,"&lt;="&amp;$B186,BD!$Q$3:$Q$5001,"&lt;&gt;")=0,"",SUMIFS(BD!$Q$3:$Q$5001,BD!$B$3:$B$5001,T$163,BD!$A$3:$A$5001,_xlfn.MAXIFS(BD!$A$3:$A$5001,BD!$B$3:$B$5001,T$163,BD!$A$3:$A$5001,"&gt;="&amp;$C$7,BD!$A$3:$A$5001,"&lt;="&amp;$B186,BD!$Q$3:$Q$5001,"&lt;&gt;"))))</f>
        <v/>
      </c>
      <c r="U186" s="54" t="str">
        <f>IF(OR($B186="",$A186&gt;$B$9,U$163=""),"",IF(COUNTIFS(BD!$B$3:$B$5001,U$163,BD!$A$3:$A$5001,"&gt;="&amp;$C$7,BD!$A$3:$A$5001,"&lt;="&amp;$B186,BD!$Q$3:$Q$5001,"&lt;&gt;")=0,"",SUMIFS(BD!$Q$3:$Q$5001,BD!$B$3:$B$5001,U$163,BD!$A$3:$A$5001,_xlfn.MAXIFS(BD!$A$3:$A$5001,BD!$B$3:$B$5001,U$163,BD!$A$3:$A$5001,"&gt;="&amp;$C$7,BD!$A$3:$A$5001,"&lt;="&amp;$B186,BD!$Q$3:$Q$5001,"&lt;&gt;"))))</f>
        <v/>
      </c>
      <c r="V186" s="54" t="str">
        <f>IF(OR($B186="",$A186&gt;$B$9,V$163=""),"",IF(COUNTIFS(BD!$B$3:$B$5001,V$163,BD!$A$3:$A$5001,"&gt;="&amp;$C$7,BD!$A$3:$A$5001,"&lt;="&amp;$B186,BD!$Q$3:$Q$5001,"&lt;&gt;")=0,"",SUMIFS(BD!$Q$3:$Q$5001,BD!$B$3:$B$5001,V$163,BD!$A$3:$A$5001,_xlfn.MAXIFS(BD!$A$3:$A$5001,BD!$B$3:$B$5001,V$163,BD!$A$3:$A$5001,"&gt;="&amp;$C$7,BD!$A$3:$A$5001,"&lt;="&amp;$B186,BD!$Q$3:$Q$5001,"&lt;&gt;"))))</f>
        <v/>
      </c>
    </row>
    <row r="187">
      <c r="A187" s="48">
        <v>24</v>
      </c>
      <c r="B187" s="53">
        <f>$B$35</f>
        <v>46319</v>
      </c>
      <c r="C187" s="54" t="str">
        <f>IF(OR($B187="",$A187&gt;$B$9,C$163=""),"",IF(COUNTIFS(BD!$B$3:$B$5001,C$163,BD!$A$3:$A$5001,"&gt;="&amp;$C$7,BD!$A$3:$A$5001,"&lt;="&amp;$B187,BD!$Q$3:$Q$5001,"&lt;&gt;")=0,"",SUMIFS(BD!$Q$3:$Q$5001,BD!$B$3:$B$5001,C$163,BD!$A$3:$A$5001,_xlfn.MAXIFS(BD!$A$3:$A$5001,BD!$B$3:$B$5001,C$163,BD!$A$3:$A$5001,"&gt;="&amp;$C$7,BD!$A$3:$A$5001,"&lt;="&amp;$B187,BD!$Q$3:$Q$5001,"&lt;&gt;"))))</f>
        <v/>
      </c>
      <c r="D187" s="54" t="str">
        <f>IF(OR($B187="",$A187&gt;$B$9,D$163=""),"",IF(COUNTIFS(BD!$B$3:$B$5001,D$163,BD!$A$3:$A$5001,"&gt;="&amp;$C$7,BD!$A$3:$A$5001,"&lt;="&amp;$B187,BD!$Q$3:$Q$5001,"&lt;&gt;")=0,"",SUMIFS(BD!$Q$3:$Q$5001,BD!$B$3:$B$5001,D$163,BD!$A$3:$A$5001,_xlfn.MAXIFS(BD!$A$3:$A$5001,BD!$B$3:$B$5001,D$163,BD!$A$3:$A$5001,"&gt;="&amp;$C$7,BD!$A$3:$A$5001,"&lt;="&amp;$B187,BD!$Q$3:$Q$5001,"&lt;&gt;"))))</f>
        <v/>
      </c>
      <c r="E187" s="54" t="str">
        <f>IF(OR($B187="",$A187&gt;$B$9,E$163=""),"",IF(COUNTIFS(BD!$B$3:$B$5001,E$163,BD!$A$3:$A$5001,"&gt;="&amp;$C$7,BD!$A$3:$A$5001,"&lt;="&amp;$B187,BD!$Q$3:$Q$5001,"&lt;&gt;")=0,"",SUMIFS(BD!$Q$3:$Q$5001,BD!$B$3:$B$5001,E$163,BD!$A$3:$A$5001,_xlfn.MAXIFS(BD!$A$3:$A$5001,BD!$B$3:$B$5001,E$163,BD!$A$3:$A$5001,"&gt;="&amp;$C$7,BD!$A$3:$A$5001,"&lt;="&amp;$B187,BD!$Q$3:$Q$5001,"&lt;&gt;"))))</f>
        <v/>
      </c>
      <c r="F187" s="54" t="str">
        <f>IF(OR($B187="",$A187&gt;$B$9,F$163=""),"",IF(COUNTIFS(BD!$B$3:$B$5001,F$163,BD!$A$3:$A$5001,"&gt;="&amp;$C$7,BD!$A$3:$A$5001,"&lt;="&amp;$B187,BD!$Q$3:$Q$5001,"&lt;&gt;")=0,"",SUMIFS(BD!$Q$3:$Q$5001,BD!$B$3:$B$5001,F$163,BD!$A$3:$A$5001,_xlfn.MAXIFS(BD!$A$3:$A$5001,BD!$B$3:$B$5001,F$163,BD!$A$3:$A$5001,"&gt;="&amp;$C$7,BD!$A$3:$A$5001,"&lt;="&amp;$B187,BD!$Q$3:$Q$5001,"&lt;&gt;"))))</f>
        <v/>
      </c>
      <c r="G187" s="54" t="str">
        <f>IF(OR($B187="",$A187&gt;$B$9,G$163=""),"",IF(COUNTIFS(BD!$B$3:$B$5001,G$163,BD!$A$3:$A$5001,"&gt;="&amp;$C$7,BD!$A$3:$A$5001,"&lt;="&amp;$B187,BD!$Q$3:$Q$5001,"&lt;&gt;")=0,"",SUMIFS(BD!$Q$3:$Q$5001,BD!$B$3:$B$5001,G$163,BD!$A$3:$A$5001,_xlfn.MAXIFS(BD!$A$3:$A$5001,BD!$B$3:$B$5001,G$163,BD!$A$3:$A$5001,"&gt;="&amp;$C$7,BD!$A$3:$A$5001,"&lt;="&amp;$B187,BD!$Q$3:$Q$5001,"&lt;&gt;"))))</f>
        <v/>
      </c>
      <c r="H187" s="54" t="str">
        <f>IF(OR($B187="",$A187&gt;$B$9,H$163=""),"",IF(COUNTIFS(BD!$B$3:$B$5001,H$163,BD!$A$3:$A$5001,"&gt;="&amp;$C$7,BD!$A$3:$A$5001,"&lt;="&amp;$B187,BD!$Q$3:$Q$5001,"&lt;&gt;")=0,"",SUMIFS(BD!$Q$3:$Q$5001,BD!$B$3:$B$5001,H$163,BD!$A$3:$A$5001,_xlfn.MAXIFS(BD!$A$3:$A$5001,BD!$B$3:$B$5001,H$163,BD!$A$3:$A$5001,"&gt;="&amp;$C$7,BD!$A$3:$A$5001,"&lt;="&amp;$B187,BD!$Q$3:$Q$5001,"&lt;&gt;"))))</f>
        <v/>
      </c>
      <c r="I187" s="54" t="str">
        <f>IF(OR($B187="",$A187&gt;$B$9,I$163=""),"",IF(COUNTIFS(BD!$B$3:$B$5001,I$163,BD!$A$3:$A$5001,"&gt;="&amp;$C$7,BD!$A$3:$A$5001,"&lt;="&amp;$B187,BD!$Q$3:$Q$5001,"&lt;&gt;")=0,"",SUMIFS(BD!$Q$3:$Q$5001,BD!$B$3:$B$5001,I$163,BD!$A$3:$A$5001,_xlfn.MAXIFS(BD!$A$3:$A$5001,BD!$B$3:$B$5001,I$163,BD!$A$3:$A$5001,"&gt;="&amp;$C$7,BD!$A$3:$A$5001,"&lt;="&amp;$B187,BD!$Q$3:$Q$5001,"&lt;&gt;"))))</f>
        <v/>
      </c>
      <c r="J187" s="54" t="str">
        <f>IF(OR($B187="",$A187&gt;$B$9,J$163=""),"",IF(COUNTIFS(BD!$B$3:$B$5001,J$163,BD!$A$3:$A$5001,"&gt;="&amp;$C$7,BD!$A$3:$A$5001,"&lt;="&amp;$B187,BD!$Q$3:$Q$5001,"&lt;&gt;")=0,"",SUMIFS(BD!$Q$3:$Q$5001,BD!$B$3:$B$5001,J$163,BD!$A$3:$A$5001,_xlfn.MAXIFS(BD!$A$3:$A$5001,BD!$B$3:$B$5001,J$163,BD!$A$3:$A$5001,"&gt;="&amp;$C$7,BD!$A$3:$A$5001,"&lt;="&amp;$B187,BD!$Q$3:$Q$5001,"&lt;&gt;"))))</f>
        <v/>
      </c>
      <c r="K187" s="54" t="str">
        <f>IF(OR($B187="",$A187&gt;$B$9,K$163=""),"",IF(COUNTIFS(BD!$B$3:$B$5001,K$163,BD!$A$3:$A$5001,"&gt;="&amp;$C$7,BD!$A$3:$A$5001,"&lt;="&amp;$B187,BD!$Q$3:$Q$5001,"&lt;&gt;")=0,"",SUMIFS(BD!$Q$3:$Q$5001,BD!$B$3:$B$5001,K$163,BD!$A$3:$A$5001,_xlfn.MAXIFS(BD!$A$3:$A$5001,BD!$B$3:$B$5001,K$163,BD!$A$3:$A$5001,"&gt;="&amp;$C$7,BD!$A$3:$A$5001,"&lt;="&amp;$B187,BD!$Q$3:$Q$5001,"&lt;&gt;"))))</f>
        <v/>
      </c>
      <c r="L187" s="54" t="str">
        <f>IF(OR($B187="",$A187&gt;$B$9,L$163=""),"",IF(COUNTIFS(BD!$B$3:$B$5001,L$163,BD!$A$3:$A$5001,"&gt;="&amp;$C$7,BD!$A$3:$A$5001,"&lt;="&amp;$B187,BD!$Q$3:$Q$5001,"&lt;&gt;")=0,"",SUMIFS(BD!$Q$3:$Q$5001,BD!$B$3:$B$5001,L$163,BD!$A$3:$A$5001,_xlfn.MAXIFS(BD!$A$3:$A$5001,BD!$B$3:$B$5001,L$163,BD!$A$3:$A$5001,"&gt;="&amp;$C$7,BD!$A$3:$A$5001,"&lt;="&amp;$B187,BD!$Q$3:$Q$5001,"&lt;&gt;"))))</f>
        <v/>
      </c>
      <c r="M187" s="54" t="str">
        <f>IF(OR($B187="",$A187&gt;$B$9,M$163=""),"",IF(COUNTIFS(BD!$B$3:$B$5001,M$163,BD!$A$3:$A$5001,"&gt;="&amp;$C$7,BD!$A$3:$A$5001,"&lt;="&amp;$B187,BD!$Q$3:$Q$5001,"&lt;&gt;")=0,"",SUMIFS(BD!$Q$3:$Q$5001,BD!$B$3:$B$5001,M$163,BD!$A$3:$A$5001,_xlfn.MAXIFS(BD!$A$3:$A$5001,BD!$B$3:$B$5001,M$163,BD!$A$3:$A$5001,"&gt;="&amp;$C$7,BD!$A$3:$A$5001,"&lt;="&amp;$B187,BD!$Q$3:$Q$5001,"&lt;&gt;"))))</f>
        <v/>
      </c>
      <c r="N187" s="54" t="str">
        <f>IF(OR($B187="",$A187&gt;$B$9,N$163=""),"",IF(COUNTIFS(BD!$B$3:$B$5001,N$163,BD!$A$3:$A$5001,"&gt;="&amp;$C$7,BD!$A$3:$A$5001,"&lt;="&amp;$B187,BD!$Q$3:$Q$5001,"&lt;&gt;")=0,"",SUMIFS(BD!$Q$3:$Q$5001,BD!$B$3:$B$5001,N$163,BD!$A$3:$A$5001,_xlfn.MAXIFS(BD!$A$3:$A$5001,BD!$B$3:$B$5001,N$163,BD!$A$3:$A$5001,"&gt;="&amp;$C$7,BD!$A$3:$A$5001,"&lt;="&amp;$B187,BD!$Q$3:$Q$5001,"&lt;&gt;"))))</f>
        <v/>
      </c>
      <c r="O187" s="54" t="str">
        <f>IF(OR($B187="",$A187&gt;$B$9,O$163=""),"",IF(COUNTIFS(BD!$B$3:$B$5001,O$163,BD!$A$3:$A$5001,"&gt;="&amp;$C$7,BD!$A$3:$A$5001,"&lt;="&amp;$B187,BD!$Q$3:$Q$5001,"&lt;&gt;")=0,"",SUMIFS(BD!$Q$3:$Q$5001,BD!$B$3:$B$5001,O$163,BD!$A$3:$A$5001,_xlfn.MAXIFS(BD!$A$3:$A$5001,BD!$B$3:$B$5001,O$163,BD!$A$3:$A$5001,"&gt;="&amp;$C$7,BD!$A$3:$A$5001,"&lt;="&amp;$B187,BD!$Q$3:$Q$5001,"&lt;&gt;"))))</f>
        <v/>
      </c>
      <c r="P187" s="54" t="str">
        <f>IF(OR($B187="",$A187&gt;$B$9,P$163=""),"",IF(COUNTIFS(BD!$B$3:$B$5001,P$163,BD!$A$3:$A$5001,"&gt;="&amp;$C$7,BD!$A$3:$A$5001,"&lt;="&amp;$B187,BD!$Q$3:$Q$5001,"&lt;&gt;")=0,"",SUMIFS(BD!$Q$3:$Q$5001,BD!$B$3:$B$5001,P$163,BD!$A$3:$A$5001,_xlfn.MAXIFS(BD!$A$3:$A$5001,BD!$B$3:$B$5001,P$163,BD!$A$3:$A$5001,"&gt;="&amp;$C$7,BD!$A$3:$A$5001,"&lt;="&amp;$B187,BD!$Q$3:$Q$5001,"&lt;&gt;"))))</f>
        <v/>
      </c>
      <c r="Q187" s="54" t="str">
        <f>IF(OR($B187="",$A187&gt;$B$9,Q$163=""),"",IF(COUNTIFS(BD!$B$3:$B$5001,Q$163,BD!$A$3:$A$5001,"&gt;="&amp;$C$7,BD!$A$3:$A$5001,"&lt;="&amp;$B187,BD!$Q$3:$Q$5001,"&lt;&gt;")=0,"",SUMIFS(BD!$Q$3:$Q$5001,BD!$B$3:$B$5001,Q$163,BD!$A$3:$A$5001,_xlfn.MAXIFS(BD!$A$3:$A$5001,BD!$B$3:$B$5001,Q$163,BD!$A$3:$A$5001,"&gt;="&amp;$C$7,BD!$A$3:$A$5001,"&lt;="&amp;$B187,BD!$Q$3:$Q$5001,"&lt;&gt;"))))</f>
        <v/>
      </c>
      <c r="R187" s="54" t="str">
        <f>IF(OR($B187="",$A187&gt;$B$9,R$163=""),"",IF(COUNTIFS(BD!$B$3:$B$5001,R$163,BD!$A$3:$A$5001,"&gt;="&amp;$C$7,BD!$A$3:$A$5001,"&lt;="&amp;$B187,BD!$Q$3:$Q$5001,"&lt;&gt;")=0,"",SUMIFS(BD!$Q$3:$Q$5001,BD!$B$3:$B$5001,R$163,BD!$A$3:$A$5001,_xlfn.MAXIFS(BD!$A$3:$A$5001,BD!$B$3:$B$5001,R$163,BD!$A$3:$A$5001,"&gt;="&amp;$C$7,BD!$A$3:$A$5001,"&lt;="&amp;$B187,BD!$Q$3:$Q$5001,"&lt;&gt;"))))</f>
        <v/>
      </c>
      <c r="S187" s="54" t="str">
        <f>IF(OR($B187="",$A187&gt;$B$9,S$163=""),"",IF(COUNTIFS(BD!$B$3:$B$5001,S$163,BD!$A$3:$A$5001,"&gt;="&amp;$C$7,BD!$A$3:$A$5001,"&lt;="&amp;$B187,BD!$Q$3:$Q$5001,"&lt;&gt;")=0,"",SUMIFS(BD!$Q$3:$Q$5001,BD!$B$3:$B$5001,S$163,BD!$A$3:$A$5001,_xlfn.MAXIFS(BD!$A$3:$A$5001,BD!$B$3:$B$5001,S$163,BD!$A$3:$A$5001,"&gt;="&amp;$C$7,BD!$A$3:$A$5001,"&lt;="&amp;$B187,BD!$Q$3:$Q$5001,"&lt;&gt;"))))</f>
        <v/>
      </c>
      <c r="T187" s="54" t="str">
        <f>IF(OR($B187="",$A187&gt;$B$9,T$163=""),"",IF(COUNTIFS(BD!$B$3:$B$5001,T$163,BD!$A$3:$A$5001,"&gt;="&amp;$C$7,BD!$A$3:$A$5001,"&lt;="&amp;$B187,BD!$Q$3:$Q$5001,"&lt;&gt;")=0,"",SUMIFS(BD!$Q$3:$Q$5001,BD!$B$3:$B$5001,T$163,BD!$A$3:$A$5001,_xlfn.MAXIFS(BD!$A$3:$A$5001,BD!$B$3:$B$5001,T$163,BD!$A$3:$A$5001,"&gt;="&amp;$C$7,BD!$A$3:$A$5001,"&lt;="&amp;$B187,BD!$Q$3:$Q$5001,"&lt;&gt;"))))</f>
        <v/>
      </c>
      <c r="U187" s="54" t="str">
        <f>IF(OR($B187="",$A187&gt;$B$9,U$163=""),"",IF(COUNTIFS(BD!$B$3:$B$5001,U$163,BD!$A$3:$A$5001,"&gt;="&amp;$C$7,BD!$A$3:$A$5001,"&lt;="&amp;$B187,BD!$Q$3:$Q$5001,"&lt;&gt;")=0,"",SUMIFS(BD!$Q$3:$Q$5001,BD!$B$3:$B$5001,U$163,BD!$A$3:$A$5001,_xlfn.MAXIFS(BD!$A$3:$A$5001,BD!$B$3:$B$5001,U$163,BD!$A$3:$A$5001,"&gt;="&amp;$C$7,BD!$A$3:$A$5001,"&lt;="&amp;$B187,BD!$Q$3:$Q$5001,"&lt;&gt;"))))</f>
        <v/>
      </c>
      <c r="V187" s="54" t="str">
        <f>IF(OR($B187="",$A187&gt;$B$9,V$163=""),"",IF(COUNTIFS(BD!$B$3:$B$5001,V$163,BD!$A$3:$A$5001,"&gt;="&amp;$C$7,BD!$A$3:$A$5001,"&lt;="&amp;$B187,BD!$Q$3:$Q$5001,"&lt;&gt;")=0,"",SUMIFS(BD!$Q$3:$Q$5001,BD!$B$3:$B$5001,V$163,BD!$A$3:$A$5001,_xlfn.MAXIFS(BD!$A$3:$A$5001,BD!$B$3:$B$5001,V$163,BD!$A$3:$A$5001,"&gt;="&amp;$C$7,BD!$A$3:$A$5001,"&lt;="&amp;$B187,BD!$Q$3:$Q$5001,"&lt;&gt;"))))</f>
        <v/>
      </c>
    </row>
    <row r="188">
      <c r="A188" s="48">
        <v>25</v>
      </c>
      <c r="B188" s="53">
        <f>$B$36</f>
        <v>46320</v>
      </c>
      <c r="C188" s="54" t="str">
        <f>IF(OR($B188="",$A188&gt;$B$9,C$163=""),"",IF(COUNTIFS(BD!$B$3:$B$5001,C$163,BD!$A$3:$A$5001,"&gt;="&amp;$C$7,BD!$A$3:$A$5001,"&lt;="&amp;$B188,BD!$Q$3:$Q$5001,"&lt;&gt;")=0,"",SUMIFS(BD!$Q$3:$Q$5001,BD!$B$3:$B$5001,C$163,BD!$A$3:$A$5001,_xlfn.MAXIFS(BD!$A$3:$A$5001,BD!$B$3:$B$5001,C$163,BD!$A$3:$A$5001,"&gt;="&amp;$C$7,BD!$A$3:$A$5001,"&lt;="&amp;$B188,BD!$Q$3:$Q$5001,"&lt;&gt;"))))</f>
        <v/>
      </c>
      <c r="D188" s="54" t="str">
        <f>IF(OR($B188="",$A188&gt;$B$9,D$163=""),"",IF(COUNTIFS(BD!$B$3:$B$5001,D$163,BD!$A$3:$A$5001,"&gt;="&amp;$C$7,BD!$A$3:$A$5001,"&lt;="&amp;$B188,BD!$Q$3:$Q$5001,"&lt;&gt;")=0,"",SUMIFS(BD!$Q$3:$Q$5001,BD!$B$3:$B$5001,D$163,BD!$A$3:$A$5001,_xlfn.MAXIFS(BD!$A$3:$A$5001,BD!$B$3:$B$5001,D$163,BD!$A$3:$A$5001,"&gt;="&amp;$C$7,BD!$A$3:$A$5001,"&lt;="&amp;$B188,BD!$Q$3:$Q$5001,"&lt;&gt;"))))</f>
        <v/>
      </c>
      <c r="E188" s="54" t="str">
        <f>IF(OR($B188="",$A188&gt;$B$9,E$163=""),"",IF(COUNTIFS(BD!$B$3:$B$5001,E$163,BD!$A$3:$A$5001,"&gt;="&amp;$C$7,BD!$A$3:$A$5001,"&lt;="&amp;$B188,BD!$Q$3:$Q$5001,"&lt;&gt;")=0,"",SUMIFS(BD!$Q$3:$Q$5001,BD!$B$3:$B$5001,E$163,BD!$A$3:$A$5001,_xlfn.MAXIFS(BD!$A$3:$A$5001,BD!$B$3:$B$5001,E$163,BD!$A$3:$A$5001,"&gt;="&amp;$C$7,BD!$A$3:$A$5001,"&lt;="&amp;$B188,BD!$Q$3:$Q$5001,"&lt;&gt;"))))</f>
        <v/>
      </c>
      <c r="F188" s="54" t="str">
        <f>IF(OR($B188="",$A188&gt;$B$9,F$163=""),"",IF(COUNTIFS(BD!$B$3:$B$5001,F$163,BD!$A$3:$A$5001,"&gt;="&amp;$C$7,BD!$A$3:$A$5001,"&lt;="&amp;$B188,BD!$Q$3:$Q$5001,"&lt;&gt;")=0,"",SUMIFS(BD!$Q$3:$Q$5001,BD!$B$3:$B$5001,F$163,BD!$A$3:$A$5001,_xlfn.MAXIFS(BD!$A$3:$A$5001,BD!$B$3:$B$5001,F$163,BD!$A$3:$A$5001,"&gt;="&amp;$C$7,BD!$A$3:$A$5001,"&lt;="&amp;$B188,BD!$Q$3:$Q$5001,"&lt;&gt;"))))</f>
        <v/>
      </c>
      <c r="G188" s="54" t="str">
        <f>IF(OR($B188="",$A188&gt;$B$9,G$163=""),"",IF(COUNTIFS(BD!$B$3:$B$5001,G$163,BD!$A$3:$A$5001,"&gt;="&amp;$C$7,BD!$A$3:$A$5001,"&lt;="&amp;$B188,BD!$Q$3:$Q$5001,"&lt;&gt;")=0,"",SUMIFS(BD!$Q$3:$Q$5001,BD!$B$3:$B$5001,G$163,BD!$A$3:$A$5001,_xlfn.MAXIFS(BD!$A$3:$A$5001,BD!$B$3:$B$5001,G$163,BD!$A$3:$A$5001,"&gt;="&amp;$C$7,BD!$A$3:$A$5001,"&lt;="&amp;$B188,BD!$Q$3:$Q$5001,"&lt;&gt;"))))</f>
        <v/>
      </c>
      <c r="H188" s="54" t="str">
        <f>IF(OR($B188="",$A188&gt;$B$9,H$163=""),"",IF(COUNTIFS(BD!$B$3:$B$5001,H$163,BD!$A$3:$A$5001,"&gt;="&amp;$C$7,BD!$A$3:$A$5001,"&lt;="&amp;$B188,BD!$Q$3:$Q$5001,"&lt;&gt;")=0,"",SUMIFS(BD!$Q$3:$Q$5001,BD!$B$3:$B$5001,H$163,BD!$A$3:$A$5001,_xlfn.MAXIFS(BD!$A$3:$A$5001,BD!$B$3:$B$5001,H$163,BD!$A$3:$A$5001,"&gt;="&amp;$C$7,BD!$A$3:$A$5001,"&lt;="&amp;$B188,BD!$Q$3:$Q$5001,"&lt;&gt;"))))</f>
        <v/>
      </c>
      <c r="I188" s="54" t="str">
        <f>IF(OR($B188="",$A188&gt;$B$9,I$163=""),"",IF(COUNTIFS(BD!$B$3:$B$5001,I$163,BD!$A$3:$A$5001,"&gt;="&amp;$C$7,BD!$A$3:$A$5001,"&lt;="&amp;$B188,BD!$Q$3:$Q$5001,"&lt;&gt;")=0,"",SUMIFS(BD!$Q$3:$Q$5001,BD!$B$3:$B$5001,I$163,BD!$A$3:$A$5001,_xlfn.MAXIFS(BD!$A$3:$A$5001,BD!$B$3:$B$5001,I$163,BD!$A$3:$A$5001,"&gt;="&amp;$C$7,BD!$A$3:$A$5001,"&lt;="&amp;$B188,BD!$Q$3:$Q$5001,"&lt;&gt;"))))</f>
        <v/>
      </c>
      <c r="J188" s="54" t="str">
        <f>IF(OR($B188="",$A188&gt;$B$9,J$163=""),"",IF(COUNTIFS(BD!$B$3:$B$5001,J$163,BD!$A$3:$A$5001,"&gt;="&amp;$C$7,BD!$A$3:$A$5001,"&lt;="&amp;$B188,BD!$Q$3:$Q$5001,"&lt;&gt;")=0,"",SUMIFS(BD!$Q$3:$Q$5001,BD!$B$3:$B$5001,J$163,BD!$A$3:$A$5001,_xlfn.MAXIFS(BD!$A$3:$A$5001,BD!$B$3:$B$5001,J$163,BD!$A$3:$A$5001,"&gt;="&amp;$C$7,BD!$A$3:$A$5001,"&lt;="&amp;$B188,BD!$Q$3:$Q$5001,"&lt;&gt;"))))</f>
        <v/>
      </c>
      <c r="K188" s="54" t="str">
        <f>IF(OR($B188="",$A188&gt;$B$9,K$163=""),"",IF(COUNTIFS(BD!$B$3:$B$5001,K$163,BD!$A$3:$A$5001,"&gt;="&amp;$C$7,BD!$A$3:$A$5001,"&lt;="&amp;$B188,BD!$Q$3:$Q$5001,"&lt;&gt;")=0,"",SUMIFS(BD!$Q$3:$Q$5001,BD!$B$3:$B$5001,K$163,BD!$A$3:$A$5001,_xlfn.MAXIFS(BD!$A$3:$A$5001,BD!$B$3:$B$5001,K$163,BD!$A$3:$A$5001,"&gt;="&amp;$C$7,BD!$A$3:$A$5001,"&lt;="&amp;$B188,BD!$Q$3:$Q$5001,"&lt;&gt;"))))</f>
        <v/>
      </c>
      <c r="L188" s="54" t="str">
        <f>IF(OR($B188="",$A188&gt;$B$9,L$163=""),"",IF(COUNTIFS(BD!$B$3:$B$5001,L$163,BD!$A$3:$A$5001,"&gt;="&amp;$C$7,BD!$A$3:$A$5001,"&lt;="&amp;$B188,BD!$Q$3:$Q$5001,"&lt;&gt;")=0,"",SUMIFS(BD!$Q$3:$Q$5001,BD!$B$3:$B$5001,L$163,BD!$A$3:$A$5001,_xlfn.MAXIFS(BD!$A$3:$A$5001,BD!$B$3:$B$5001,L$163,BD!$A$3:$A$5001,"&gt;="&amp;$C$7,BD!$A$3:$A$5001,"&lt;="&amp;$B188,BD!$Q$3:$Q$5001,"&lt;&gt;"))))</f>
        <v/>
      </c>
      <c r="M188" s="54" t="str">
        <f>IF(OR($B188="",$A188&gt;$B$9,M$163=""),"",IF(COUNTIFS(BD!$B$3:$B$5001,M$163,BD!$A$3:$A$5001,"&gt;="&amp;$C$7,BD!$A$3:$A$5001,"&lt;="&amp;$B188,BD!$Q$3:$Q$5001,"&lt;&gt;")=0,"",SUMIFS(BD!$Q$3:$Q$5001,BD!$B$3:$B$5001,M$163,BD!$A$3:$A$5001,_xlfn.MAXIFS(BD!$A$3:$A$5001,BD!$B$3:$B$5001,M$163,BD!$A$3:$A$5001,"&gt;="&amp;$C$7,BD!$A$3:$A$5001,"&lt;="&amp;$B188,BD!$Q$3:$Q$5001,"&lt;&gt;"))))</f>
        <v/>
      </c>
      <c r="N188" s="54" t="str">
        <f>IF(OR($B188="",$A188&gt;$B$9,N$163=""),"",IF(COUNTIFS(BD!$B$3:$B$5001,N$163,BD!$A$3:$A$5001,"&gt;="&amp;$C$7,BD!$A$3:$A$5001,"&lt;="&amp;$B188,BD!$Q$3:$Q$5001,"&lt;&gt;")=0,"",SUMIFS(BD!$Q$3:$Q$5001,BD!$B$3:$B$5001,N$163,BD!$A$3:$A$5001,_xlfn.MAXIFS(BD!$A$3:$A$5001,BD!$B$3:$B$5001,N$163,BD!$A$3:$A$5001,"&gt;="&amp;$C$7,BD!$A$3:$A$5001,"&lt;="&amp;$B188,BD!$Q$3:$Q$5001,"&lt;&gt;"))))</f>
        <v/>
      </c>
      <c r="O188" s="54" t="str">
        <f>IF(OR($B188="",$A188&gt;$B$9,O$163=""),"",IF(COUNTIFS(BD!$B$3:$B$5001,O$163,BD!$A$3:$A$5001,"&gt;="&amp;$C$7,BD!$A$3:$A$5001,"&lt;="&amp;$B188,BD!$Q$3:$Q$5001,"&lt;&gt;")=0,"",SUMIFS(BD!$Q$3:$Q$5001,BD!$B$3:$B$5001,O$163,BD!$A$3:$A$5001,_xlfn.MAXIFS(BD!$A$3:$A$5001,BD!$B$3:$B$5001,O$163,BD!$A$3:$A$5001,"&gt;="&amp;$C$7,BD!$A$3:$A$5001,"&lt;="&amp;$B188,BD!$Q$3:$Q$5001,"&lt;&gt;"))))</f>
        <v/>
      </c>
      <c r="P188" s="54" t="str">
        <f>IF(OR($B188="",$A188&gt;$B$9,P$163=""),"",IF(COUNTIFS(BD!$B$3:$B$5001,P$163,BD!$A$3:$A$5001,"&gt;="&amp;$C$7,BD!$A$3:$A$5001,"&lt;="&amp;$B188,BD!$Q$3:$Q$5001,"&lt;&gt;")=0,"",SUMIFS(BD!$Q$3:$Q$5001,BD!$B$3:$B$5001,P$163,BD!$A$3:$A$5001,_xlfn.MAXIFS(BD!$A$3:$A$5001,BD!$B$3:$B$5001,P$163,BD!$A$3:$A$5001,"&gt;="&amp;$C$7,BD!$A$3:$A$5001,"&lt;="&amp;$B188,BD!$Q$3:$Q$5001,"&lt;&gt;"))))</f>
        <v/>
      </c>
      <c r="Q188" s="54" t="str">
        <f>IF(OR($B188="",$A188&gt;$B$9,Q$163=""),"",IF(COUNTIFS(BD!$B$3:$B$5001,Q$163,BD!$A$3:$A$5001,"&gt;="&amp;$C$7,BD!$A$3:$A$5001,"&lt;="&amp;$B188,BD!$Q$3:$Q$5001,"&lt;&gt;")=0,"",SUMIFS(BD!$Q$3:$Q$5001,BD!$B$3:$B$5001,Q$163,BD!$A$3:$A$5001,_xlfn.MAXIFS(BD!$A$3:$A$5001,BD!$B$3:$B$5001,Q$163,BD!$A$3:$A$5001,"&gt;="&amp;$C$7,BD!$A$3:$A$5001,"&lt;="&amp;$B188,BD!$Q$3:$Q$5001,"&lt;&gt;"))))</f>
        <v/>
      </c>
      <c r="R188" s="54" t="str">
        <f>IF(OR($B188="",$A188&gt;$B$9,R$163=""),"",IF(COUNTIFS(BD!$B$3:$B$5001,R$163,BD!$A$3:$A$5001,"&gt;="&amp;$C$7,BD!$A$3:$A$5001,"&lt;="&amp;$B188,BD!$Q$3:$Q$5001,"&lt;&gt;")=0,"",SUMIFS(BD!$Q$3:$Q$5001,BD!$B$3:$B$5001,R$163,BD!$A$3:$A$5001,_xlfn.MAXIFS(BD!$A$3:$A$5001,BD!$B$3:$B$5001,R$163,BD!$A$3:$A$5001,"&gt;="&amp;$C$7,BD!$A$3:$A$5001,"&lt;="&amp;$B188,BD!$Q$3:$Q$5001,"&lt;&gt;"))))</f>
        <v/>
      </c>
      <c r="S188" s="54" t="str">
        <f>IF(OR($B188="",$A188&gt;$B$9,S$163=""),"",IF(COUNTIFS(BD!$B$3:$B$5001,S$163,BD!$A$3:$A$5001,"&gt;="&amp;$C$7,BD!$A$3:$A$5001,"&lt;="&amp;$B188,BD!$Q$3:$Q$5001,"&lt;&gt;")=0,"",SUMIFS(BD!$Q$3:$Q$5001,BD!$B$3:$B$5001,S$163,BD!$A$3:$A$5001,_xlfn.MAXIFS(BD!$A$3:$A$5001,BD!$B$3:$B$5001,S$163,BD!$A$3:$A$5001,"&gt;="&amp;$C$7,BD!$A$3:$A$5001,"&lt;="&amp;$B188,BD!$Q$3:$Q$5001,"&lt;&gt;"))))</f>
        <v/>
      </c>
      <c r="T188" s="54" t="str">
        <f>IF(OR($B188="",$A188&gt;$B$9,T$163=""),"",IF(COUNTIFS(BD!$B$3:$B$5001,T$163,BD!$A$3:$A$5001,"&gt;="&amp;$C$7,BD!$A$3:$A$5001,"&lt;="&amp;$B188,BD!$Q$3:$Q$5001,"&lt;&gt;")=0,"",SUMIFS(BD!$Q$3:$Q$5001,BD!$B$3:$B$5001,T$163,BD!$A$3:$A$5001,_xlfn.MAXIFS(BD!$A$3:$A$5001,BD!$B$3:$B$5001,T$163,BD!$A$3:$A$5001,"&gt;="&amp;$C$7,BD!$A$3:$A$5001,"&lt;="&amp;$B188,BD!$Q$3:$Q$5001,"&lt;&gt;"))))</f>
        <v/>
      </c>
      <c r="U188" s="54" t="str">
        <f>IF(OR($B188="",$A188&gt;$B$9,U$163=""),"",IF(COUNTIFS(BD!$B$3:$B$5001,U$163,BD!$A$3:$A$5001,"&gt;="&amp;$C$7,BD!$A$3:$A$5001,"&lt;="&amp;$B188,BD!$Q$3:$Q$5001,"&lt;&gt;")=0,"",SUMIFS(BD!$Q$3:$Q$5001,BD!$B$3:$B$5001,U$163,BD!$A$3:$A$5001,_xlfn.MAXIFS(BD!$A$3:$A$5001,BD!$B$3:$B$5001,U$163,BD!$A$3:$A$5001,"&gt;="&amp;$C$7,BD!$A$3:$A$5001,"&lt;="&amp;$B188,BD!$Q$3:$Q$5001,"&lt;&gt;"))))</f>
        <v/>
      </c>
      <c r="V188" s="54" t="str">
        <f>IF(OR($B188="",$A188&gt;$B$9,V$163=""),"",IF(COUNTIFS(BD!$B$3:$B$5001,V$163,BD!$A$3:$A$5001,"&gt;="&amp;$C$7,BD!$A$3:$A$5001,"&lt;="&amp;$B188,BD!$Q$3:$Q$5001,"&lt;&gt;")=0,"",SUMIFS(BD!$Q$3:$Q$5001,BD!$B$3:$B$5001,V$163,BD!$A$3:$A$5001,_xlfn.MAXIFS(BD!$A$3:$A$5001,BD!$B$3:$B$5001,V$163,BD!$A$3:$A$5001,"&gt;="&amp;$C$7,BD!$A$3:$A$5001,"&lt;="&amp;$B188,BD!$Q$3:$Q$5001,"&lt;&gt;"))))</f>
        <v/>
      </c>
    </row>
    <row r="189">
      <c r="A189" s="48">
        <v>26</v>
      </c>
      <c r="B189" s="53">
        <f>$B$37</f>
        <v>46321</v>
      </c>
      <c r="C189" s="54" t="str">
        <f>IF(OR($B189="",$A189&gt;$B$9,C$163=""),"",IF(COUNTIFS(BD!$B$3:$B$5001,C$163,BD!$A$3:$A$5001,"&gt;="&amp;$C$7,BD!$A$3:$A$5001,"&lt;="&amp;$B189,BD!$Q$3:$Q$5001,"&lt;&gt;")=0,"",SUMIFS(BD!$Q$3:$Q$5001,BD!$B$3:$B$5001,C$163,BD!$A$3:$A$5001,_xlfn.MAXIFS(BD!$A$3:$A$5001,BD!$B$3:$B$5001,C$163,BD!$A$3:$A$5001,"&gt;="&amp;$C$7,BD!$A$3:$A$5001,"&lt;="&amp;$B189,BD!$Q$3:$Q$5001,"&lt;&gt;"))))</f>
        <v/>
      </c>
      <c r="D189" s="54" t="str">
        <f>IF(OR($B189="",$A189&gt;$B$9,D$163=""),"",IF(COUNTIFS(BD!$B$3:$B$5001,D$163,BD!$A$3:$A$5001,"&gt;="&amp;$C$7,BD!$A$3:$A$5001,"&lt;="&amp;$B189,BD!$Q$3:$Q$5001,"&lt;&gt;")=0,"",SUMIFS(BD!$Q$3:$Q$5001,BD!$B$3:$B$5001,D$163,BD!$A$3:$A$5001,_xlfn.MAXIFS(BD!$A$3:$A$5001,BD!$B$3:$B$5001,D$163,BD!$A$3:$A$5001,"&gt;="&amp;$C$7,BD!$A$3:$A$5001,"&lt;="&amp;$B189,BD!$Q$3:$Q$5001,"&lt;&gt;"))))</f>
        <v/>
      </c>
      <c r="E189" s="54" t="str">
        <f>IF(OR($B189="",$A189&gt;$B$9,E$163=""),"",IF(COUNTIFS(BD!$B$3:$B$5001,E$163,BD!$A$3:$A$5001,"&gt;="&amp;$C$7,BD!$A$3:$A$5001,"&lt;="&amp;$B189,BD!$Q$3:$Q$5001,"&lt;&gt;")=0,"",SUMIFS(BD!$Q$3:$Q$5001,BD!$B$3:$B$5001,E$163,BD!$A$3:$A$5001,_xlfn.MAXIFS(BD!$A$3:$A$5001,BD!$B$3:$B$5001,E$163,BD!$A$3:$A$5001,"&gt;="&amp;$C$7,BD!$A$3:$A$5001,"&lt;="&amp;$B189,BD!$Q$3:$Q$5001,"&lt;&gt;"))))</f>
        <v/>
      </c>
      <c r="F189" s="54" t="str">
        <f>IF(OR($B189="",$A189&gt;$B$9,F$163=""),"",IF(COUNTIFS(BD!$B$3:$B$5001,F$163,BD!$A$3:$A$5001,"&gt;="&amp;$C$7,BD!$A$3:$A$5001,"&lt;="&amp;$B189,BD!$Q$3:$Q$5001,"&lt;&gt;")=0,"",SUMIFS(BD!$Q$3:$Q$5001,BD!$B$3:$B$5001,F$163,BD!$A$3:$A$5001,_xlfn.MAXIFS(BD!$A$3:$A$5001,BD!$B$3:$B$5001,F$163,BD!$A$3:$A$5001,"&gt;="&amp;$C$7,BD!$A$3:$A$5001,"&lt;="&amp;$B189,BD!$Q$3:$Q$5001,"&lt;&gt;"))))</f>
        <v/>
      </c>
      <c r="G189" s="54" t="str">
        <f>IF(OR($B189="",$A189&gt;$B$9,G$163=""),"",IF(COUNTIFS(BD!$B$3:$B$5001,G$163,BD!$A$3:$A$5001,"&gt;="&amp;$C$7,BD!$A$3:$A$5001,"&lt;="&amp;$B189,BD!$Q$3:$Q$5001,"&lt;&gt;")=0,"",SUMIFS(BD!$Q$3:$Q$5001,BD!$B$3:$B$5001,G$163,BD!$A$3:$A$5001,_xlfn.MAXIFS(BD!$A$3:$A$5001,BD!$B$3:$B$5001,G$163,BD!$A$3:$A$5001,"&gt;="&amp;$C$7,BD!$A$3:$A$5001,"&lt;="&amp;$B189,BD!$Q$3:$Q$5001,"&lt;&gt;"))))</f>
        <v/>
      </c>
      <c r="H189" s="54" t="str">
        <f>IF(OR($B189="",$A189&gt;$B$9,H$163=""),"",IF(COUNTIFS(BD!$B$3:$B$5001,H$163,BD!$A$3:$A$5001,"&gt;="&amp;$C$7,BD!$A$3:$A$5001,"&lt;="&amp;$B189,BD!$Q$3:$Q$5001,"&lt;&gt;")=0,"",SUMIFS(BD!$Q$3:$Q$5001,BD!$B$3:$B$5001,H$163,BD!$A$3:$A$5001,_xlfn.MAXIFS(BD!$A$3:$A$5001,BD!$B$3:$B$5001,H$163,BD!$A$3:$A$5001,"&gt;="&amp;$C$7,BD!$A$3:$A$5001,"&lt;="&amp;$B189,BD!$Q$3:$Q$5001,"&lt;&gt;"))))</f>
        <v/>
      </c>
      <c r="I189" s="54" t="str">
        <f>IF(OR($B189="",$A189&gt;$B$9,I$163=""),"",IF(COUNTIFS(BD!$B$3:$B$5001,I$163,BD!$A$3:$A$5001,"&gt;="&amp;$C$7,BD!$A$3:$A$5001,"&lt;="&amp;$B189,BD!$Q$3:$Q$5001,"&lt;&gt;")=0,"",SUMIFS(BD!$Q$3:$Q$5001,BD!$B$3:$B$5001,I$163,BD!$A$3:$A$5001,_xlfn.MAXIFS(BD!$A$3:$A$5001,BD!$B$3:$B$5001,I$163,BD!$A$3:$A$5001,"&gt;="&amp;$C$7,BD!$A$3:$A$5001,"&lt;="&amp;$B189,BD!$Q$3:$Q$5001,"&lt;&gt;"))))</f>
        <v/>
      </c>
      <c r="J189" s="54" t="str">
        <f>IF(OR($B189="",$A189&gt;$B$9,J$163=""),"",IF(COUNTIFS(BD!$B$3:$B$5001,J$163,BD!$A$3:$A$5001,"&gt;="&amp;$C$7,BD!$A$3:$A$5001,"&lt;="&amp;$B189,BD!$Q$3:$Q$5001,"&lt;&gt;")=0,"",SUMIFS(BD!$Q$3:$Q$5001,BD!$B$3:$B$5001,J$163,BD!$A$3:$A$5001,_xlfn.MAXIFS(BD!$A$3:$A$5001,BD!$B$3:$B$5001,J$163,BD!$A$3:$A$5001,"&gt;="&amp;$C$7,BD!$A$3:$A$5001,"&lt;="&amp;$B189,BD!$Q$3:$Q$5001,"&lt;&gt;"))))</f>
        <v/>
      </c>
      <c r="K189" s="54" t="str">
        <f>IF(OR($B189="",$A189&gt;$B$9,K$163=""),"",IF(COUNTIFS(BD!$B$3:$B$5001,K$163,BD!$A$3:$A$5001,"&gt;="&amp;$C$7,BD!$A$3:$A$5001,"&lt;="&amp;$B189,BD!$Q$3:$Q$5001,"&lt;&gt;")=0,"",SUMIFS(BD!$Q$3:$Q$5001,BD!$B$3:$B$5001,K$163,BD!$A$3:$A$5001,_xlfn.MAXIFS(BD!$A$3:$A$5001,BD!$B$3:$B$5001,K$163,BD!$A$3:$A$5001,"&gt;="&amp;$C$7,BD!$A$3:$A$5001,"&lt;="&amp;$B189,BD!$Q$3:$Q$5001,"&lt;&gt;"))))</f>
        <v/>
      </c>
      <c r="L189" s="54" t="str">
        <f>IF(OR($B189="",$A189&gt;$B$9,L$163=""),"",IF(COUNTIFS(BD!$B$3:$B$5001,L$163,BD!$A$3:$A$5001,"&gt;="&amp;$C$7,BD!$A$3:$A$5001,"&lt;="&amp;$B189,BD!$Q$3:$Q$5001,"&lt;&gt;")=0,"",SUMIFS(BD!$Q$3:$Q$5001,BD!$B$3:$B$5001,L$163,BD!$A$3:$A$5001,_xlfn.MAXIFS(BD!$A$3:$A$5001,BD!$B$3:$B$5001,L$163,BD!$A$3:$A$5001,"&gt;="&amp;$C$7,BD!$A$3:$A$5001,"&lt;="&amp;$B189,BD!$Q$3:$Q$5001,"&lt;&gt;"))))</f>
        <v/>
      </c>
      <c r="M189" s="54" t="str">
        <f>IF(OR($B189="",$A189&gt;$B$9,M$163=""),"",IF(COUNTIFS(BD!$B$3:$B$5001,M$163,BD!$A$3:$A$5001,"&gt;="&amp;$C$7,BD!$A$3:$A$5001,"&lt;="&amp;$B189,BD!$Q$3:$Q$5001,"&lt;&gt;")=0,"",SUMIFS(BD!$Q$3:$Q$5001,BD!$B$3:$B$5001,M$163,BD!$A$3:$A$5001,_xlfn.MAXIFS(BD!$A$3:$A$5001,BD!$B$3:$B$5001,M$163,BD!$A$3:$A$5001,"&gt;="&amp;$C$7,BD!$A$3:$A$5001,"&lt;="&amp;$B189,BD!$Q$3:$Q$5001,"&lt;&gt;"))))</f>
        <v/>
      </c>
      <c r="N189" s="54" t="str">
        <f>IF(OR($B189="",$A189&gt;$B$9,N$163=""),"",IF(COUNTIFS(BD!$B$3:$B$5001,N$163,BD!$A$3:$A$5001,"&gt;="&amp;$C$7,BD!$A$3:$A$5001,"&lt;="&amp;$B189,BD!$Q$3:$Q$5001,"&lt;&gt;")=0,"",SUMIFS(BD!$Q$3:$Q$5001,BD!$B$3:$B$5001,N$163,BD!$A$3:$A$5001,_xlfn.MAXIFS(BD!$A$3:$A$5001,BD!$B$3:$B$5001,N$163,BD!$A$3:$A$5001,"&gt;="&amp;$C$7,BD!$A$3:$A$5001,"&lt;="&amp;$B189,BD!$Q$3:$Q$5001,"&lt;&gt;"))))</f>
        <v/>
      </c>
      <c r="O189" s="54" t="str">
        <f>IF(OR($B189="",$A189&gt;$B$9,O$163=""),"",IF(COUNTIFS(BD!$B$3:$B$5001,O$163,BD!$A$3:$A$5001,"&gt;="&amp;$C$7,BD!$A$3:$A$5001,"&lt;="&amp;$B189,BD!$Q$3:$Q$5001,"&lt;&gt;")=0,"",SUMIFS(BD!$Q$3:$Q$5001,BD!$B$3:$B$5001,O$163,BD!$A$3:$A$5001,_xlfn.MAXIFS(BD!$A$3:$A$5001,BD!$B$3:$B$5001,O$163,BD!$A$3:$A$5001,"&gt;="&amp;$C$7,BD!$A$3:$A$5001,"&lt;="&amp;$B189,BD!$Q$3:$Q$5001,"&lt;&gt;"))))</f>
        <v/>
      </c>
      <c r="P189" s="54" t="str">
        <f>IF(OR($B189="",$A189&gt;$B$9,P$163=""),"",IF(COUNTIFS(BD!$B$3:$B$5001,P$163,BD!$A$3:$A$5001,"&gt;="&amp;$C$7,BD!$A$3:$A$5001,"&lt;="&amp;$B189,BD!$Q$3:$Q$5001,"&lt;&gt;")=0,"",SUMIFS(BD!$Q$3:$Q$5001,BD!$B$3:$B$5001,P$163,BD!$A$3:$A$5001,_xlfn.MAXIFS(BD!$A$3:$A$5001,BD!$B$3:$B$5001,P$163,BD!$A$3:$A$5001,"&gt;="&amp;$C$7,BD!$A$3:$A$5001,"&lt;="&amp;$B189,BD!$Q$3:$Q$5001,"&lt;&gt;"))))</f>
        <v/>
      </c>
      <c r="Q189" s="54" t="str">
        <f>IF(OR($B189="",$A189&gt;$B$9,Q$163=""),"",IF(COUNTIFS(BD!$B$3:$B$5001,Q$163,BD!$A$3:$A$5001,"&gt;="&amp;$C$7,BD!$A$3:$A$5001,"&lt;="&amp;$B189,BD!$Q$3:$Q$5001,"&lt;&gt;")=0,"",SUMIFS(BD!$Q$3:$Q$5001,BD!$B$3:$B$5001,Q$163,BD!$A$3:$A$5001,_xlfn.MAXIFS(BD!$A$3:$A$5001,BD!$B$3:$B$5001,Q$163,BD!$A$3:$A$5001,"&gt;="&amp;$C$7,BD!$A$3:$A$5001,"&lt;="&amp;$B189,BD!$Q$3:$Q$5001,"&lt;&gt;"))))</f>
        <v/>
      </c>
      <c r="R189" s="54" t="str">
        <f>IF(OR($B189="",$A189&gt;$B$9,R$163=""),"",IF(COUNTIFS(BD!$B$3:$B$5001,R$163,BD!$A$3:$A$5001,"&gt;="&amp;$C$7,BD!$A$3:$A$5001,"&lt;="&amp;$B189,BD!$Q$3:$Q$5001,"&lt;&gt;")=0,"",SUMIFS(BD!$Q$3:$Q$5001,BD!$B$3:$B$5001,R$163,BD!$A$3:$A$5001,_xlfn.MAXIFS(BD!$A$3:$A$5001,BD!$B$3:$B$5001,R$163,BD!$A$3:$A$5001,"&gt;="&amp;$C$7,BD!$A$3:$A$5001,"&lt;="&amp;$B189,BD!$Q$3:$Q$5001,"&lt;&gt;"))))</f>
        <v/>
      </c>
      <c r="S189" s="54" t="str">
        <f>IF(OR($B189="",$A189&gt;$B$9,S$163=""),"",IF(COUNTIFS(BD!$B$3:$B$5001,S$163,BD!$A$3:$A$5001,"&gt;="&amp;$C$7,BD!$A$3:$A$5001,"&lt;="&amp;$B189,BD!$Q$3:$Q$5001,"&lt;&gt;")=0,"",SUMIFS(BD!$Q$3:$Q$5001,BD!$B$3:$B$5001,S$163,BD!$A$3:$A$5001,_xlfn.MAXIFS(BD!$A$3:$A$5001,BD!$B$3:$B$5001,S$163,BD!$A$3:$A$5001,"&gt;="&amp;$C$7,BD!$A$3:$A$5001,"&lt;="&amp;$B189,BD!$Q$3:$Q$5001,"&lt;&gt;"))))</f>
        <v/>
      </c>
      <c r="T189" s="54" t="str">
        <f>IF(OR($B189="",$A189&gt;$B$9,T$163=""),"",IF(COUNTIFS(BD!$B$3:$B$5001,T$163,BD!$A$3:$A$5001,"&gt;="&amp;$C$7,BD!$A$3:$A$5001,"&lt;="&amp;$B189,BD!$Q$3:$Q$5001,"&lt;&gt;")=0,"",SUMIFS(BD!$Q$3:$Q$5001,BD!$B$3:$B$5001,T$163,BD!$A$3:$A$5001,_xlfn.MAXIFS(BD!$A$3:$A$5001,BD!$B$3:$B$5001,T$163,BD!$A$3:$A$5001,"&gt;="&amp;$C$7,BD!$A$3:$A$5001,"&lt;="&amp;$B189,BD!$Q$3:$Q$5001,"&lt;&gt;"))))</f>
        <v/>
      </c>
      <c r="U189" s="54" t="str">
        <f>IF(OR($B189="",$A189&gt;$B$9,U$163=""),"",IF(COUNTIFS(BD!$B$3:$B$5001,U$163,BD!$A$3:$A$5001,"&gt;="&amp;$C$7,BD!$A$3:$A$5001,"&lt;="&amp;$B189,BD!$Q$3:$Q$5001,"&lt;&gt;")=0,"",SUMIFS(BD!$Q$3:$Q$5001,BD!$B$3:$B$5001,U$163,BD!$A$3:$A$5001,_xlfn.MAXIFS(BD!$A$3:$A$5001,BD!$B$3:$B$5001,U$163,BD!$A$3:$A$5001,"&gt;="&amp;$C$7,BD!$A$3:$A$5001,"&lt;="&amp;$B189,BD!$Q$3:$Q$5001,"&lt;&gt;"))))</f>
        <v/>
      </c>
      <c r="V189" s="54" t="str">
        <f>IF(OR($B189="",$A189&gt;$B$9,V$163=""),"",IF(COUNTIFS(BD!$B$3:$B$5001,V$163,BD!$A$3:$A$5001,"&gt;="&amp;$C$7,BD!$A$3:$A$5001,"&lt;="&amp;$B189,BD!$Q$3:$Q$5001,"&lt;&gt;")=0,"",SUMIFS(BD!$Q$3:$Q$5001,BD!$B$3:$B$5001,V$163,BD!$A$3:$A$5001,_xlfn.MAXIFS(BD!$A$3:$A$5001,BD!$B$3:$B$5001,V$163,BD!$A$3:$A$5001,"&gt;="&amp;$C$7,BD!$A$3:$A$5001,"&lt;="&amp;$B189,BD!$Q$3:$Q$5001,"&lt;&gt;"))))</f>
        <v/>
      </c>
    </row>
    <row r="190">
      <c r="A190" s="48">
        <v>27</v>
      </c>
      <c r="B190" s="53">
        <f>$B$38</f>
        <v>46322</v>
      </c>
      <c r="C190" s="54" t="str">
        <f>IF(OR($B190="",$A190&gt;$B$9,C$163=""),"",IF(COUNTIFS(BD!$B$3:$B$5001,C$163,BD!$A$3:$A$5001,"&gt;="&amp;$C$7,BD!$A$3:$A$5001,"&lt;="&amp;$B190,BD!$Q$3:$Q$5001,"&lt;&gt;")=0,"",SUMIFS(BD!$Q$3:$Q$5001,BD!$B$3:$B$5001,C$163,BD!$A$3:$A$5001,_xlfn.MAXIFS(BD!$A$3:$A$5001,BD!$B$3:$B$5001,C$163,BD!$A$3:$A$5001,"&gt;="&amp;$C$7,BD!$A$3:$A$5001,"&lt;="&amp;$B190,BD!$Q$3:$Q$5001,"&lt;&gt;"))))</f>
        <v/>
      </c>
      <c r="D190" s="54" t="str">
        <f>IF(OR($B190="",$A190&gt;$B$9,D$163=""),"",IF(COUNTIFS(BD!$B$3:$B$5001,D$163,BD!$A$3:$A$5001,"&gt;="&amp;$C$7,BD!$A$3:$A$5001,"&lt;="&amp;$B190,BD!$Q$3:$Q$5001,"&lt;&gt;")=0,"",SUMIFS(BD!$Q$3:$Q$5001,BD!$B$3:$B$5001,D$163,BD!$A$3:$A$5001,_xlfn.MAXIFS(BD!$A$3:$A$5001,BD!$B$3:$B$5001,D$163,BD!$A$3:$A$5001,"&gt;="&amp;$C$7,BD!$A$3:$A$5001,"&lt;="&amp;$B190,BD!$Q$3:$Q$5001,"&lt;&gt;"))))</f>
        <v/>
      </c>
      <c r="E190" s="54" t="str">
        <f>IF(OR($B190="",$A190&gt;$B$9,E$163=""),"",IF(COUNTIFS(BD!$B$3:$B$5001,E$163,BD!$A$3:$A$5001,"&gt;="&amp;$C$7,BD!$A$3:$A$5001,"&lt;="&amp;$B190,BD!$Q$3:$Q$5001,"&lt;&gt;")=0,"",SUMIFS(BD!$Q$3:$Q$5001,BD!$B$3:$B$5001,E$163,BD!$A$3:$A$5001,_xlfn.MAXIFS(BD!$A$3:$A$5001,BD!$B$3:$B$5001,E$163,BD!$A$3:$A$5001,"&gt;="&amp;$C$7,BD!$A$3:$A$5001,"&lt;="&amp;$B190,BD!$Q$3:$Q$5001,"&lt;&gt;"))))</f>
        <v/>
      </c>
      <c r="F190" s="54" t="str">
        <f>IF(OR($B190="",$A190&gt;$B$9,F$163=""),"",IF(COUNTIFS(BD!$B$3:$B$5001,F$163,BD!$A$3:$A$5001,"&gt;="&amp;$C$7,BD!$A$3:$A$5001,"&lt;="&amp;$B190,BD!$Q$3:$Q$5001,"&lt;&gt;")=0,"",SUMIFS(BD!$Q$3:$Q$5001,BD!$B$3:$B$5001,F$163,BD!$A$3:$A$5001,_xlfn.MAXIFS(BD!$A$3:$A$5001,BD!$B$3:$B$5001,F$163,BD!$A$3:$A$5001,"&gt;="&amp;$C$7,BD!$A$3:$A$5001,"&lt;="&amp;$B190,BD!$Q$3:$Q$5001,"&lt;&gt;"))))</f>
        <v/>
      </c>
      <c r="G190" s="54" t="str">
        <f>IF(OR($B190="",$A190&gt;$B$9,G$163=""),"",IF(COUNTIFS(BD!$B$3:$B$5001,G$163,BD!$A$3:$A$5001,"&gt;="&amp;$C$7,BD!$A$3:$A$5001,"&lt;="&amp;$B190,BD!$Q$3:$Q$5001,"&lt;&gt;")=0,"",SUMIFS(BD!$Q$3:$Q$5001,BD!$B$3:$B$5001,G$163,BD!$A$3:$A$5001,_xlfn.MAXIFS(BD!$A$3:$A$5001,BD!$B$3:$B$5001,G$163,BD!$A$3:$A$5001,"&gt;="&amp;$C$7,BD!$A$3:$A$5001,"&lt;="&amp;$B190,BD!$Q$3:$Q$5001,"&lt;&gt;"))))</f>
        <v/>
      </c>
      <c r="H190" s="54" t="str">
        <f>IF(OR($B190="",$A190&gt;$B$9,H$163=""),"",IF(COUNTIFS(BD!$B$3:$B$5001,H$163,BD!$A$3:$A$5001,"&gt;="&amp;$C$7,BD!$A$3:$A$5001,"&lt;="&amp;$B190,BD!$Q$3:$Q$5001,"&lt;&gt;")=0,"",SUMIFS(BD!$Q$3:$Q$5001,BD!$B$3:$B$5001,H$163,BD!$A$3:$A$5001,_xlfn.MAXIFS(BD!$A$3:$A$5001,BD!$B$3:$B$5001,H$163,BD!$A$3:$A$5001,"&gt;="&amp;$C$7,BD!$A$3:$A$5001,"&lt;="&amp;$B190,BD!$Q$3:$Q$5001,"&lt;&gt;"))))</f>
        <v/>
      </c>
      <c r="I190" s="54" t="str">
        <f>IF(OR($B190="",$A190&gt;$B$9,I$163=""),"",IF(COUNTIFS(BD!$B$3:$B$5001,I$163,BD!$A$3:$A$5001,"&gt;="&amp;$C$7,BD!$A$3:$A$5001,"&lt;="&amp;$B190,BD!$Q$3:$Q$5001,"&lt;&gt;")=0,"",SUMIFS(BD!$Q$3:$Q$5001,BD!$B$3:$B$5001,I$163,BD!$A$3:$A$5001,_xlfn.MAXIFS(BD!$A$3:$A$5001,BD!$B$3:$B$5001,I$163,BD!$A$3:$A$5001,"&gt;="&amp;$C$7,BD!$A$3:$A$5001,"&lt;="&amp;$B190,BD!$Q$3:$Q$5001,"&lt;&gt;"))))</f>
        <v/>
      </c>
      <c r="J190" s="54" t="str">
        <f>IF(OR($B190="",$A190&gt;$B$9,J$163=""),"",IF(COUNTIFS(BD!$B$3:$B$5001,J$163,BD!$A$3:$A$5001,"&gt;="&amp;$C$7,BD!$A$3:$A$5001,"&lt;="&amp;$B190,BD!$Q$3:$Q$5001,"&lt;&gt;")=0,"",SUMIFS(BD!$Q$3:$Q$5001,BD!$B$3:$B$5001,J$163,BD!$A$3:$A$5001,_xlfn.MAXIFS(BD!$A$3:$A$5001,BD!$B$3:$B$5001,J$163,BD!$A$3:$A$5001,"&gt;="&amp;$C$7,BD!$A$3:$A$5001,"&lt;="&amp;$B190,BD!$Q$3:$Q$5001,"&lt;&gt;"))))</f>
        <v/>
      </c>
      <c r="K190" s="54" t="str">
        <f>IF(OR($B190="",$A190&gt;$B$9,K$163=""),"",IF(COUNTIFS(BD!$B$3:$B$5001,K$163,BD!$A$3:$A$5001,"&gt;="&amp;$C$7,BD!$A$3:$A$5001,"&lt;="&amp;$B190,BD!$Q$3:$Q$5001,"&lt;&gt;")=0,"",SUMIFS(BD!$Q$3:$Q$5001,BD!$B$3:$B$5001,K$163,BD!$A$3:$A$5001,_xlfn.MAXIFS(BD!$A$3:$A$5001,BD!$B$3:$B$5001,K$163,BD!$A$3:$A$5001,"&gt;="&amp;$C$7,BD!$A$3:$A$5001,"&lt;="&amp;$B190,BD!$Q$3:$Q$5001,"&lt;&gt;"))))</f>
        <v/>
      </c>
      <c r="L190" s="54" t="str">
        <f>IF(OR($B190="",$A190&gt;$B$9,L$163=""),"",IF(COUNTIFS(BD!$B$3:$B$5001,L$163,BD!$A$3:$A$5001,"&gt;="&amp;$C$7,BD!$A$3:$A$5001,"&lt;="&amp;$B190,BD!$Q$3:$Q$5001,"&lt;&gt;")=0,"",SUMIFS(BD!$Q$3:$Q$5001,BD!$B$3:$B$5001,L$163,BD!$A$3:$A$5001,_xlfn.MAXIFS(BD!$A$3:$A$5001,BD!$B$3:$B$5001,L$163,BD!$A$3:$A$5001,"&gt;="&amp;$C$7,BD!$A$3:$A$5001,"&lt;="&amp;$B190,BD!$Q$3:$Q$5001,"&lt;&gt;"))))</f>
        <v/>
      </c>
      <c r="M190" s="54" t="str">
        <f>IF(OR($B190="",$A190&gt;$B$9,M$163=""),"",IF(COUNTIFS(BD!$B$3:$B$5001,M$163,BD!$A$3:$A$5001,"&gt;="&amp;$C$7,BD!$A$3:$A$5001,"&lt;="&amp;$B190,BD!$Q$3:$Q$5001,"&lt;&gt;")=0,"",SUMIFS(BD!$Q$3:$Q$5001,BD!$B$3:$B$5001,M$163,BD!$A$3:$A$5001,_xlfn.MAXIFS(BD!$A$3:$A$5001,BD!$B$3:$B$5001,M$163,BD!$A$3:$A$5001,"&gt;="&amp;$C$7,BD!$A$3:$A$5001,"&lt;="&amp;$B190,BD!$Q$3:$Q$5001,"&lt;&gt;"))))</f>
        <v/>
      </c>
      <c r="N190" s="54" t="str">
        <f>IF(OR($B190="",$A190&gt;$B$9,N$163=""),"",IF(COUNTIFS(BD!$B$3:$B$5001,N$163,BD!$A$3:$A$5001,"&gt;="&amp;$C$7,BD!$A$3:$A$5001,"&lt;="&amp;$B190,BD!$Q$3:$Q$5001,"&lt;&gt;")=0,"",SUMIFS(BD!$Q$3:$Q$5001,BD!$B$3:$B$5001,N$163,BD!$A$3:$A$5001,_xlfn.MAXIFS(BD!$A$3:$A$5001,BD!$B$3:$B$5001,N$163,BD!$A$3:$A$5001,"&gt;="&amp;$C$7,BD!$A$3:$A$5001,"&lt;="&amp;$B190,BD!$Q$3:$Q$5001,"&lt;&gt;"))))</f>
        <v/>
      </c>
      <c r="O190" s="54" t="str">
        <f>IF(OR($B190="",$A190&gt;$B$9,O$163=""),"",IF(COUNTIFS(BD!$B$3:$B$5001,O$163,BD!$A$3:$A$5001,"&gt;="&amp;$C$7,BD!$A$3:$A$5001,"&lt;="&amp;$B190,BD!$Q$3:$Q$5001,"&lt;&gt;")=0,"",SUMIFS(BD!$Q$3:$Q$5001,BD!$B$3:$B$5001,O$163,BD!$A$3:$A$5001,_xlfn.MAXIFS(BD!$A$3:$A$5001,BD!$B$3:$B$5001,O$163,BD!$A$3:$A$5001,"&gt;="&amp;$C$7,BD!$A$3:$A$5001,"&lt;="&amp;$B190,BD!$Q$3:$Q$5001,"&lt;&gt;"))))</f>
        <v/>
      </c>
      <c r="P190" s="54" t="str">
        <f>IF(OR($B190="",$A190&gt;$B$9,P$163=""),"",IF(COUNTIFS(BD!$B$3:$B$5001,P$163,BD!$A$3:$A$5001,"&gt;="&amp;$C$7,BD!$A$3:$A$5001,"&lt;="&amp;$B190,BD!$Q$3:$Q$5001,"&lt;&gt;")=0,"",SUMIFS(BD!$Q$3:$Q$5001,BD!$B$3:$B$5001,P$163,BD!$A$3:$A$5001,_xlfn.MAXIFS(BD!$A$3:$A$5001,BD!$B$3:$B$5001,P$163,BD!$A$3:$A$5001,"&gt;="&amp;$C$7,BD!$A$3:$A$5001,"&lt;="&amp;$B190,BD!$Q$3:$Q$5001,"&lt;&gt;"))))</f>
        <v/>
      </c>
      <c r="Q190" s="54" t="str">
        <f>IF(OR($B190="",$A190&gt;$B$9,Q$163=""),"",IF(COUNTIFS(BD!$B$3:$B$5001,Q$163,BD!$A$3:$A$5001,"&gt;="&amp;$C$7,BD!$A$3:$A$5001,"&lt;="&amp;$B190,BD!$Q$3:$Q$5001,"&lt;&gt;")=0,"",SUMIFS(BD!$Q$3:$Q$5001,BD!$B$3:$B$5001,Q$163,BD!$A$3:$A$5001,_xlfn.MAXIFS(BD!$A$3:$A$5001,BD!$B$3:$B$5001,Q$163,BD!$A$3:$A$5001,"&gt;="&amp;$C$7,BD!$A$3:$A$5001,"&lt;="&amp;$B190,BD!$Q$3:$Q$5001,"&lt;&gt;"))))</f>
        <v/>
      </c>
      <c r="R190" s="54" t="str">
        <f>IF(OR($B190="",$A190&gt;$B$9,R$163=""),"",IF(COUNTIFS(BD!$B$3:$B$5001,R$163,BD!$A$3:$A$5001,"&gt;="&amp;$C$7,BD!$A$3:$A$5001,"&lt;="&amp;$B190,BD!$Q$3:$Q$5001,"&lt;&gt;")=0,"",SUMIFS(BD!$Q$3:$Q$5001,BD!$B$3:$B$5001,R$163,BD!$A$3:$A$5001,_xlfn.MAXIFS(BD!$A$3:$A$5001,BD!$B$3:$B$5001,R$163,BD!$A$3:$A$5001,"&gt;="&amp;$C$7,BD!$A$3:$A$5001,"&lt;="&amp;$B190,BD!$Q$3:$Q$5001,"&lt;&gt;"))))</f>
        <v/>
      </c>
      <c r="S190" s="54" t="str">
        <f>IF(OR($B190="",$A190&gt;$B$9,S$163=""),"",IF(COUNTIFS(BD!$B$3:$B$5001,S$163,BD!$A$3:$A$5001,"&gt;="&amp;$C$7,BD!$A$3:$A$5001,"&lt;="&amp;$B190,BD!$Q$3:$Q$5001,"&lt;&gt;")=0,"",SUMIFS(BD!$Q$3:$Q$5001,BD!$B$3:$B$5001,S$163,BD!$A$3:$A$5001,_xlfn.MAXIFS(BD!$A$3:$A$5001,BD!$B$3:$B$5001,S$163,BD!$A$3:$A$5001,"&gt;="&amp;$C$7,BD!$A$3:$A$5001,"&lt;="&amp;$B190,BD!$Q$3:$Q$5001,"&lt;&gt;"))))</f>
        <v/>
      </c>
      <c r="T190" s="54" t="str">
        <f>IF(OR($B190="",$A190&gt;$B$9,T$163=""),"",IF(COUNTIFS(BD!$B$3:$B$5001,T$163,BD!$A$3:$A$5001,"&gt;="&amp;$C$7,BD!$A$3:$A$5001,"&lt;="&amp;$B190,BD!$Q$3:$Q$5001,"&lt;&gt;")=0,"",SUMIFS(BD!$Q$3:$Q$5001,BD!$B$3:$B$5001,T$163,BD!$A$3:$A$5001,_xlfn.MAXIFS(BD!$A$3:$A$5001,BD!$B$3:$B$5001,T$163,BD!$A$3:$A$5001,"&gt;="&amp;$C$7,BD!$A$3:$A$5001,"&lt;="&amp;$B190,BD!$Q$3:$Q$5001,"&lt;&gt;"))))</f>
        <v/>
      </c>
      <c r="U190" s="54" t="str">
        <f>IF(OR($B190="",$A190&gt;$B$9,U$163=""),"",IF(COUNTIFS(BD!$B$3:$B$5001,U$163,BD!$A$3:$A$5001,"&gt;="&amp;$C$7,BD!$A$3:$A$5001,"&lt;="&amp;$B190,BD!$Q$3:$Q$5001,"&lt;&gt;")=0,"",SUMIFS(BD!$Q$3:$Q$5001,BD!$B$3:$B$5001,U$163,BD!$A$3:$A$5001,_xlfn.MAXIFS(BD!$A$3:$A$5001,BD!$B$3:$B$5001,U$163,BD!$A$3:$A$5001,"&gt;="&amp;$C$7,BD!$A$3:$A$5001,"&lt;="&amp;$B190,BD!$Q$3:$Q$5001,"&lt;&gt;"))))</f>
        <v/>
      </c>
      <c r="V190" s="54" t="str">
        <f>IF(OR($B190="",$A190&gt;$B$9,V$163=""),"",IF(COUNTIFS(BD!$B$3:$B$5001,V$163,BD!$A$3:$A$5001,"&gt;="&amp;$C$7,BD!$A$3:$A$5001,"&lt;="&amp;$B190,BD!$Q$3:$Q$5001,"&lt;&gt;")=0,"",SUMIFS(BD!$Q$3:$Q$5001,BD!$B$3:$B$5001,V$163,BD!$A$3:$A$5001,_xlfn.MAXIFS(BD!$A$3:$A$5001,BD!$B$3:$B$5001,V$163,BD!$A$3:$A$5001,"&gt;="&amp;$C$7,BD!$A$3:$A$5001,"&lt;="&amp;$B190,BD!$Q$3:$Q$5001,"&lt;&gt;"))))</f>
        <v/>
      </c>
    </row>
    <row r="191">
      <c r="A191" s="48">
        <v>28</v>
      </c>
      <c r="B191" s="53">
        <f>$B$39</f>
        <v>46323</v>
      </c>
      <c r="C191" s="54" t="str">
        <f>IF(OR($B191="",$A191&gt;$B$9,C$163=""),"",IF(COUNTIFS(BD!$B$3:$B$5001,C$163,BD!$A$3:$A$5001,"&gt;="&amp;$C$7,BD!$A$3:$A$5001,"&lt;="&amp;$B191,BD!$Q$3:$Q$5001,"&lt;&gt;")=0,"",SUMIFS(BD!$Q$3:$Q$5001,BD!$B$3:$B$5001,C$163,BD!$A$3:$A$5001,_xlfn.MAXIFS(BD!$A$3:$A$5001,BD!$B$3:$B$5001,C$163,BD!$A$3:$A$5001,"&gt;="&amp;$C$7,BD!$A$3:$A$5001,"&lt;="&amp;$B191,BD!$Q$3:$Q$5001,"&lt;&gt;"))))</f>
        <v/>
      </c>
      <c r="D191" s="54" t="str">
        <f>IF(OR($B191="",$A191&gt;$B$9,D$163=""),"",IF(COUNTIFS(BD!$B$3:$B$5001,D$163,BD!$A$3:$A$5001,"&gt;="&amp;$C$7,BD!$A$3:$A$5001,"&lt;="&amp;$B191,BD!$Q$3:$Q$5001,"&lt;&gt;")=0,"",SUMIFS(BD!$Q$3:$Q$5001,BD!$B$3:$B$5001,D$163,BD!$A$3:$A$5001,_xlfn.MAXIFS(BD!$A$3:$A$5001,BD!$B$3:$B$5001,D$163,BD!$A$3:$A$5001,"&gt;="&amp;$C$7,BD!$A$3:$A$5001,"&lt;="&amp;$B191,BD!$Q$3:$Q$5001,"&lt;&gt;"))))</f>
        <v/>
      </c>
      <c r="E191" s="54" t="str">
        <f>IF(OR($B191="",$A191&gt;$B$9,E$163=""),"",IF(COUNTIFS(BD!$B$3:$B$5001,E$163,BD!$A$3:$A$5001,"&gt;="&amp;$C$7,BD!$A$3:$A$5001,"&lt;="&amp;$B191,BD!$Q$3:$Q$5001,"&lt;&gt;")=0,"",SUMIFS(BD!$Q$3:$Q$5001,BD!$B$3:$B$5001,E$163,BD!$A$3:$A$5001,_xlfn.MAXIFS(BD!$A$3:$A$5001,BD!$B$3:$B$5001,E$163,BD!$A$3:$A$5001,"&gt;="&amp;$C$7,BD!$A$3:$A$5001,"&lt;="&amp;$B191,BD!$Q$3:$Q$5001,"&lt;&gt;"))))</f>
        <v/>
      </c>
      <c r="F191" s="54" t="str">
        <f>IF(OR($B191="",$A191&gt;$B$9,F$163=""),"",IF(COUNTIFS(BD!$B$3:$B$5001,F$163,BD!$A$3:$A$5001,"&gt;="&amp;$C$7,BD!$A$3:$A$5001,"&lt;="&amp;$B191,BD!$Q$3:$Q$5001,"&lt;&gt;")=0,"",SUMIFS(BD!$Q$3:$Q$5001,BD!$B$3:$B$5001,F$163,BD!$A$3:$A$5001,_xlfn.MAXIFS(BD!$A$3:$A$5001,BD!$B$3:$B$5001,F$163,BD!$A$3:$A$5001,"&gt;="&amp;$C$7,BD!$A$3:$A$5001,"&lt;="&amp;$B191,BD!$Q$3:$Q$5001,"&lt;&gt;"))))</f>
        <v/>
      </c>
      <c r="G191" s="54" t="str">
        <f>IF(OR($B191="",$A191&gt;$B$9,G$163=""),"",IF(COUNTIFS(BD!$B$3:$B$5001,G$163,BD!$A$3:$A$5001,"&gt;="&amp;$C$7,BD!$A$3:$A$5001,"&lt;="&amp;$B191,BD!$Q$3:$Q$5001,"&lt;&gt;")=0,"",SUMIFS(BD!$Q$3:$Q$5001,BD!$B$3:$B$5001,G$163,BD!$A$3:$A$5001,_xlfn.MAXIFS(BD!$A$3:$A$5001,BD!$B$3:$B$5001,G$163,BD!$A$3:$A$5001,"&gt;="&amp;$C$7,BD!$A$3:$A$5001,"&lt;="&amp;$B191,BD!$Q$3:$Q$5001,"&lt;&gt;"))))</f>
        <v/>
      </c>
      <c r="H191" s="54" t="str">
        <f>IF(OR($B191="",$A191&gt;$B$9,H$163=""),"",IF(COUNTIFS(BD!$B$3:$B$5001,H$163,BD!$A$3:$A$5001,"&gt;="&amp;$C$7,BD!$A$3:$A$5001,"&lt;="&amp;$B191,BD!$Q$3:$Q$5001,"&lt;&gt;")=0,"",SUMIFS(BD!$Q$3:$Q$5001,BD!$B$3:$B$5001,H$163,BD!$A$3:$A$5001,_xlfn.MAXIFS(BD!$A$3:$A$5001,BD!$B$3:$B$5001,H$163,BD!$A$3:$A$5001,"&gt;="&amp;$C$7,BD!$A$3:$A$5001,"&lt;="&amp;$B191,BD!$Q$3:$Q$5001,"&lt;&gt;"))))</f>
        <v/>
      </c>
      <c r="I191" s="54" t="str">
        <f>IF(OR($B191="",$A191&gt;$B$9,I$163=""),"",IF(COUNTIFS(BD!$B$3:$B$5001,I$163,BD!$A$3:$A$5001,"&gt;="&amp;$C$7,BD!$A$3:$A$5001,"&lt;="&amp;$B191,BD!$Q$3:$Q$5001,"&lt;&gt;")=0,"",SUMIFS(BD!$Q$3:$Q$5001,BD!$B$3:$B$5001,I$163,BD!$A$3:$A$5001,_xlfn.MAXIFS(BD!$A$3:$A$5001,BD!$B$3:$B$5001,I$163,BD!$A$3:$A$5001,"&gt;="&amp;$C$7,BD!$A$3:$A$5001,"&lt;="&amp;$B191,BD!$Q$3:$Q$5001,"&lt;&gt;"))))</f>
        <v/>
      </c>
      <c r="J191" s="54" t="str">
        <f>IF(OR($B191="",$A191&gt;$B$9,J$163=""),"",IF(COUNTIFS(BD!$B$3:$B$5001,J$163,BD!$A$3:$A$5001,"&gt;="&amp;$C$7,BD!$A$3:$A$5001,"&lt;="&amp;$B191,BD!$Q$3:$Q$5001,"&lt;&gt;")=0,"",SUMIFS(BD!$Q$3:$Q$5001,BD!$B$3:$B$5001,J$163,BD!$A$3:$A$5001,_xlfn.MAXIFS(BD!$A$3:$A$5001,BD!$B$3:$B$5001,J$163,BD!$A$3:$A$5001,"&gt;="&amp;$C$7,BD!$A$3:$A$5001,"&lt;="&amp;$B191,BD!$Q$3:$Q$5001,"&lt;&gt;"))))</f>
        <v/>
      </c>
      <c r="K191" s="54" t="str">
        <f>IF(OR($B191="",$A191&gt;$B$9,K$163=""),"",IF(COUNTIFS(BD!$B$3:$B$5001,K$163,BD!$A$3:$A$5001,"&gt;="&amp;$C$7,BD!$A$3:$A$5001,"&lt;="&amp;$B191,BD!$Q$3:$Q$5001,"&lt;&gt;")=0,"",SUMIFS(BD!$Q$3:$Q$5001,BD!$B$3:$B$5001,K$163,BD!$A$3:$A$5001,_xlfn.MAXIFS(BD!$A$3:$A$5001,BD!$B$3:$B$5001,K$163,BD!$A$3:$A$5001,"&gt;="&amp;$C$7,BD!$A$3:$A$5001,"&lt;="&amp;$B191,BD!$Q$3:$Q$5001,"&lt;&gt;"))))</f>
        <v/>
      </c>
      <c r="L191" s="54" t="str">
        <f>IF(OR($B191="",$A191&gt;$B$9,L$163=""),"",IF(COUNTIFS(BD!$B$3:$B$5001,L$163,BD!$A$3:$A$5001,"&gt;="&amp;$C$7,BD!$A$3:$A$5001,"&lt;="&amp;$B191,BD!$Q$3:$Q$5001,"&lt;&gt;")=0,"",SUMIFS(BD!$Q$3:$Q$5001,BD!$B$3:$B$5001,L$163,BD!$A$3:$A$5001,_xlfn.MAXIFS(BD!$A$3:$A$5001,BD!$B$3:$B$5001,L$163,BD!$A$3:$A$5001,"&gt;="&amp;$C$7,BD!$A$3:$A$5001,"&lt;="&amp;$B191,BD!$Q$3:$Q$5001,"&lt;&gt;"))))</f>
        <v/>
      </c>
      <c r="M191" s="54" t="str">
        <f>IF(OR($B191="",$A191&gt;$B$9,M$163=""),"",IF(COUNTIFS(BD!$B$3:$B$5001,M$163,BD!$A$3:$A$5001,"&gt;="&amp;$C$7,BD!$A$3:$A$5001,"&lt;="&amp;$B191,BD!$Q$3:$Q$5001,"&lt;&gt;")=0,"",SUMIFS(BD!$Q$3:$Q$5001,BD!$B$3:$B$5001,M$163,BD!$A$3:$A$5001,_xlfn.MAXIFS(BD!$A$3:$A$5001,BD!$B$3:$B$5001,M$163,BD!$A$3:$A$5001,"&gt;="&amp;$C$7,BD!$A$3:$A$5001,"&lt;="&amp;$B191,BD!$Q$3:$Q$5001,"&lt;&gt;"))))</f>
        <v/>
      </c>
      <c r="N191" s="54" t="str">
        <f>IF(OR($B191="",$A191&gt;$B$9,N$163=""),"",IF(COUNTIFS(BD!$B$3:$B$5001,N$163,BD!$A$3:$A$5001,"&gt;="&amp;$C$7,BD!$A$3:$A$5001,"&lt;="&amp;$B191,BD!$Q$3:$Q$5001,"&lt;&gt;")=0,"",SUMIFS(BD!$Q$3:$Q$5001,BD!$B$3:$B$5001,N$163,BD!$A$3:$A$5001,_xlfn.MAXIFS(BD!$A$3:$A$5001,BD!$B$3:$B$5001,N$163,BD!$A$3:$A$5001,"&gt;="&amp;$C$7,BD!$A$3:$A$5001,"&lt;="&amp;$B191,BD!$Q$3:$Q$5001,"&lt;&gt;"))))</f>
        <v/>
      </c>
      <c r="O191" s="54" t="str">
        <f>IF(OR($B191="",$A191&gt;$B$9,O$163=""),"",IF(COUNTIFS(BD!$B$3:$B$5001,O$163,BD!$A$3:$A$5001,"&gt;="&amp;$C$7,BD!$A$3:$A$5001,"&lt;="&amp;$B191,BD!$Q$3:$Q$5001,"&lt;&gt;")=0,"",SUMIFS(BD!$Q$3:$Q$5001,BD!$B$3:$B$5001,O$163,BD!$A$3:$A$5001,_xlfn.MAXIFS(BD!$A$3:$A$5001,BD!$B$3:$B$5001,O$163,BD!$A$3:$A$5001,"&gt;="&amp;$C$7,BD!$A$3:$A$5001,"&lt;="&amp;$B191,BD!$Q$3:$Q$5001,"&lt;&gt;"))))</f>
        <v/>
      </c>
      <c r="P191" s="54" t="str">
        <f>IF(OR($B191="",$A191&gt;$B$9,P$163=""),"",IF(COUNTIFS(BD!$B$3:$B$5001,P$163,BD!$A$3:$A$5001,"&gt;="&amp;$C$7,BD!$A$3:$A$5001,"&lt;="&amp;$B191,BD!$Q$3:$Q$5001,"&lt;&gt;")=0,"",SUMIFS(BD!$Q$3:$Q$5001,BD!$B$3:$B$5001,P$163,BD!$A$3:$A$5001,_xlfn.MAXIFS(BD!$A$3:$A$5001,BD!$B$3:$B$5001,P$163,BD!$A$3:$A$5001,"&gt;="&amp;$C$7,BD!$A$3:$A$5001,"&lt;="&amp;$B191,BD!$Q$3:$Q$5001,"&lt;&gt;"))))</f>
        <v/>
      </c>
      <c r="Q191" s="54" t="str">
        <f>IF(OR($B191="",$A191&gt;$B$9,Q$163=""),"",IF(COUNTIFS(BD!$B$3:$B$5001,Q$163,BD!$A$3:$A$5001,"&gt;="&amp;$C$7,BD!$A$3:$A$5001,"&lt;="&amp;$B191,BD!$Q$3:$Q$5001,"&lt;&gt;")=0,"",SUMIFS(BD!$Q$3:$Q$5001,BD!$B$3:$B$5001,Q$163,BD!$A$3:$A$5001,_xlfn.MAXIFS(BD!$A$3:$A$5001,BD!$B$3:$B$5001,Q$163,BD!$A$3:$A$5001,"&gt;="&amp;$C$7,BD!$A$3:$A$5001,"&lt;="&amp;$B191,BD!$Q$3:$Q$5001,"&lt;&gt;"))))</f>
        <v/>
      </c>
      <c r="R191" s="54" t="str">
        <f>IF(OR($B191="",$A191&gt;$B$9,R$163=""),"",IF(COUNTIFS(BD!$B$3:$B$5001,R$163,BD!$A$3:$A$5001,"&gt;="&amp;$C$7,BD!$A$3:$A$5001,"&lt;="&amp;$B191,BD!$Q$3:$Q$5001,"&lt;&gt;")=0,"",SUMIFS(BD!$Q$3:$Q$5001,BD!$B$3:$B$5001,R$163,BD!$A$3:$A$5001,_xlfn.MAXIFS(BD!$A$3:$A$5001,BD!$B$3:$B$5001,R$163,BD!$A$3:$A$5001,"&gt;="&amp;$C$7,BD!$A$3:$A$5001,"&lt;="&amp;$B191,BD!$Q$3:$Q$5001,"&lt;&gt;"))))</f>
        <v/>
      </c>
      <c r="S191" s="54" t="str">
        <f>IF(OR($B191="",$A191&gt;$B$9,S$163=""),"",IF(COUNTIFS(BD!$B$3:$B$5001,S$163,BD!$A$3:$A$5001,"&gt;="&amp;$C$7,BD!$A$3:$A$5001,"&lt;="&amp;$B191,BD!$Q$3:$Q$5001,"&lt;&gt;")=0,"",SUMIFS(BD!$Q$3:$Q$5001,BD!$B$3:$B$5001,S$163,BD!$A$3:$A$5001,_xlfn.MAXIFS(BD!$A$3:$A$5001,BD!$B$3:$B$5001,S$163,BD!$A$3:$A$5001,"&gt;="&amp;$C$7,BD!$A$3:$A$5001,"&lt;="&amp;$B191,BD!$Q$3:$Q$5001,"&lt;&gt;"))))</f>
        <v/>
      </c>
      <c r="T191" s="54" t="str">
        <f>IF(OR($B191="",$A191&gt;$B$9,T$163=""),"",IF(COUNTIFS(BD!$B$3:$B$5001,T$163,BD!$A$3:$A$5001,"&gt;="&amp;$C$7,BD!$A$3:$A$5001,"&lt;="&amp;$B191,BD!$Q$3:$Q$5001,"&lt;&gt;")=0,"",SUMIFS(BD!$Q$3:$Q$5001,BD!$B$3:$B$5001,T$163,BD!$A$3:$A$5001,_xlfn.MAXIFS(BD!$A$3:$A$5001,BD!$B$3:$B$5001,T$163,BD!$A$3:$A$5001,"&gt;="&amp;$C$7,BD!$A$3:$A$5001,"&lt;="&amp;$B191,BD!$Q$3:$Q$5001,"&lt;&gt;"))))</f>
        <v/>
      </c>
      <c r="U191" s="54" t="str">
        <f>IF(OR($B191="",$A191&gt;$B$9,U$163=""),"",IF(COUNTIFS(BD!$B$3:$B$5001,U$163,BD!$A$3:$A$5001,"&gt;="&amp;$C$7,BD!$A$3:$A$5001,"&lt;="&amp;$B191,BD!$Q$3:$Q$5001,"&lt;&gt;")=0,"",SUMIFS(BD!$Q$3:$Q$5001,BD!$B$3:$B$5001,U$163,BD!$A$3:$A$5001,_xlfn.MAXIFS(BD!$A$3:$A$5001,BD!$B$3:$B$5001,U$163,BD!$A$3:$A$5001,"&gt;="&amp;$C$7,BD!$A$3:$A$5001,"&lt;="&amp;$B191,BD!$Q$3:$Q$5001,"&lt;&gt;"))))</f>
        <v/>
      </c>
      <c r="V191" s="54" t="str">
        <f>IF(OR($B191="",$A191&gt;$B$9,V$163=""),"",IF(COUNTIFS(BD!$B$3:$B$5001,V$163,BD!$A$3:$A$5001,"&gt;="&amp;$C$7,BD!$A$3:$A$5001,"&lt;="&amp;$B191,BD!$Q$3:$Q$5001,"&lt;&gt;")=0,"",SUMIFS(BD!$Q$3:$Q$5001,BD!$B$3:$B$5001,V$163,BD!$A$3:$A$5001,_xlfn.MAXIFS(BD!$A$3:$A$5001,BD!$B$3:$B$5001,V$163,BD!$A$3:$A$5001,"&gt;="&amp;$C$7,BD!$A$3:$A$5001,"&lt;="&amp;$B191,BD!$Q$3:$Q$5001,"&lt;&gt;"))))</f>
        <v/>
      </c>
    </row>
    <row r="192">
      <c r="A192" s="48">
        <v>29</v>
      </c>
      <c r="B192" s="53">
        <f>$B$40</f>
        <v>46324</v>
      </c>
      <c r="C192" s="54" t="str">
        <f>IF(OR($B192="",$A192&gt;$B$9,C$163=""),"",IF(COUNTIFS(BD!$B$3:$B$5001,C$163,BD!$A$3:$A$5001,"&gt;="&amp;$C$7,BD!$A$3:$A$5001,"&lt;="&amp;$B192,BD!$Q$3:$Q$5001,"&lt;&gt;")=0,"",SUMIFS(BD!$Q$3:$Q$5001,BD!$B$3:$B$5001,C$163,BD!$A$3:$A$5001,_xlfn.MAXIFS(BD!$A$3:$A$5001,BD!$B$3:$B$5001,C$163,BD!$A$3:$A$5001,"&gt;="&amp;$C$7,BD!$A$3:$A$5001,"&lt;="&amp;$B192,BD!$Q$3:$Q$5001,"&lt;&gt;"))))</f>
        <v/>
      </c>
      <c r="D192" s="54" t="str">
        <f>IF(OR($B192="",$A192&gt;$B$9,D$163=""),"",IF(COUNTIFS(BD!$B$3:$B$5001,D$163,BD!$A$3:$A$5001,"&gt;="&amp;$C$7,BD!$A$3:$A$5001,"&lt;="&amp;$B192,BD!$Q$3:$Q$5001,"&lt;&gt;")=0,"",SUMIFS(BD!$Q$3:$Q$5001,BD!$B$3:$B$5001,D$163,BD!$A$3:$A$5001,_xlfn.MAXIFS(BD!$A$3:$A$5001,BD!$B$3:$B$5001,D$163,BD!$A$3:$A$5001,"&gt;="&amp;$C$7,BD!$A$3:$A$5001,"&lt;="&amp;$B192,BD!$Q$3:$Q$5001,"&lt;&gt;"))))</f>
        <v/>
      </c>
      <c r="E192" s="54" t="str">
        <f>IF(OR($B192="",$A192&gt;$B$9,E$163=""),"",IF(COUNTIFS(BD!$B$3:$B$5001,E$163,BD!$A$3:$A$5001,"&gt;="&amp;$C$7,BD!$A$3:$A$5001,"&lt;="&amp;$B192,BD!$Q$3:$Q$5001,"&lt;&gt;")=0,"",SUMIFS(BD!$Q$3:$Q$5001,BD!$B$3:$B$5001,E$163,BD!$A$3:$A$5001,_xlfn.MAXIFS(BD!$A$3:$A$5001,BD!$B$3:$B$5001,E$163,BD!$A$3:$A$5001,"&gt;="&amp;$C$7,BD!$A$3:$A$5001,"&lt;="&amp;$B192,BD!$Q$3:$Q$5001,"&lt;&gt;"))))</f>
        <v/>
      </c>
      <c r="F192" s="54" t="str">
        <f>IF(OR($B192="",$A192&gt;$B$9,F$163=""),"",IF(COUNTIFS(BD!$B$3:$B$5001,F$163,BD!$A$3:$A$5001,"&gt;="&amp;$C$7,BD!$A$3:$A$5001,"&lt;="&amp;$B192,BD!$Q$3:$Q$5001,"&lt;&gt;")=0,"",SUMIFS(BD!$Q$3:$Q$5001,BD!$B$3:$B$5001,F$163,BD!$A$3:$A$5001,_xlfn.MAXIFS(BD!$A$3:$A$5001,BD!$B$3:$B$5001,F$163,BD!$A$3:$A$5001,"&gt;="&amp;$C$7,BD!$A$3:$A$5001,"&lt;="&amp;$B192,BD!$Q$3:$Q$5001,"&lt;&gt;"))))</f>
        <v/>
      </c>
      <c r="G192" s="54" t="str">
        <f>IF(OR($B192="",$A192&gt;$B$9,G$163=""),"",IF(COUNTIFS(BD!$B$3:$B$5001,G$163,BD!$A$3:$A$5001,"&gt;="&amp;$C$7,BD!$A$3:$A$5001,"&lt;="&amp;$B192,BD!$Q$3:$Q$5001,"&lt;&gt;")=0,"",SUMIFS(BD!$Q$3:$Q$5001,BD!$B$3:$B$5001,G$163,BD!$A$3:$A$5001,_xlfn.MAXIFS(BD!$A$3:$A$5001,BD!$B$3:$B$5001,G$163,BD!$A$3:$A$5001,"&gt;="&amp;$C$7,BD!$A$3:$A$5001,"&lt;="&amp;$B192,BD!$Q$3:$Q$5001,"&lt;&gt;"))))</f>
        <v/>
      </c>
      <c r="H192" s="54" t="str">
        <f>IF(OR($B192="",$A192&gt;$B$9,H$163=""),"",IF(COUNTIFS(BD!$B$3:$B$5001,H$163,BD!$A$3:$A$5001,"&gt;="&amp;$C$7,BD!$A$3:$A$5001,"&lt;="&amp;$B192,BD!$Q$3:$Q$5001,"&lt;&gt;")=0,"",SUMIFS(BD!$Q$3:$Q$5001,BD!$B$3:$B$5001,H$163,BD!$A$3:$A$5001,_xlfn.MAXIFS(BD!$A$3:$A$5001,BD!$B$3:$B$5001,H$163,BD!$A$3:$A$5001,"&gt;="&amp;$C$7,BD!$A$3:$A$5001,"&lt;="&amp;$B192,BD!$Q$3:$Q$5001,"&lt;&gt;"))))</f>
        <v/>
      </c>
      <c r="I192" s="54" t="str">
        <f>IF(OR($B192="",$A192&gt;$B$9,I$163=""),"",IF(COUNTIFS(BD!$B$3:$B$5001,I$163,BD!$A$3:$A$5001,"&gt;="&amp;$C$7,BD!$A$3:$A$5001,"&lt;="&amp;$B192,BD!$Q$3:$Q$5001,"&lt;&gt;")=0,"",SUMIFS(BD!$Q$3:$Q$5001,BD!$B$3:$B$5001,I$163,BD!$A$3:$A$5001,_xlfn.MAXIFS(BD!$A$3:$A$5001,BD!$B$3:$B$5001,I$163,BD!$A$3:$A$5001,"&gt;="&amp;$C$7,BD!$A$3:$A$5001,"&lt;="&amp;$B192,BD!$Q$3:$Q$5001,"&lt;&gt;"))))</f>
        <v/>
      </c>
      <c r="J192" s="54" t="str">
        <f>IF(OR($B192="",$A192&gt;$B$9,J$163=""),"",IF(COUNTIFS(BD!$B$3:$B$5001,J$163,BD!$A$3:$A$5001,"&gt;="&amp;$C$7,BD!$A$3:$A$5001,"&lt;="&amp;$B192,BD!$Q$3:$Q$5001,"&lt;&gt;")=0,"",SUMIFS(BD!$Q$3:$Q$5001,BD!$B$3:$B$5001,J$163,BD!$A$3:$A$5001,_xlfn.MAXIFS(BD!$A$3:$A$5001,BD!$B$3:$B$5001,J$163,BD!$A$3:$A$5001,"&gt;="&amp;$C$7,BD!$A$3:$A$5001,"&lt;="&amp;$B192,BD!$Q$3:$Q$5001,"&lt;&gt;"))))</f>
        <v/>
      </c>
      <c r="K192" s="54" t="str">
        <f>IF(OR($B192="",$A192&gt;$B$9,K$163=""),"",IF(COUNTIFS(BD!$B$3:$B$5001,K$163,BD!$A$3:$A$5001,"&gt;="&amp;$C$7,BD!$A$3:$A$5001,"&lt;="&amp;$B192,BD!$Q$3:$Q$5001,"&lt;&gt;")=0,"",SUMIFS(BD!$Q$3:$Q$5001,BD!$B$3:$B$5001,K$163,BD!$A$3:$A$5001,_xlfn.MAXIFS(BD!$A$3:$A$5001,BD!$B$3:$B$5001,K$163,BD!$A$3:$A$5001,"&gt;="&amp;$C$7,BD!$A$3:$A$5001,"&lt;="&amp;$B192,BD!$Q$3:$Q$5001,"&lt;&gt;"))))</f>
        <v/>
      </c>
      <c r="L192" s="54" t="str">
        <f>IF(OR($B192="",$A192&gt;$B$9,L$163=""),"",IF(COUNTIFS(BD!$B$3:$B$5001,L$163,BD!$A$3:$A$5001,"&gt;="&amp;$C$7,BD!$A$3:$A$5001,"&lt;="&amp;$B192,BD!$Q$3:$Q$5001,"&lt;&gt;")=0,"",SUMIFS(BD!$Q$3:$Q$5001,BD!$B$3:$B$5001,L$163,BD!$A$3:$A$5001,_xlfn.MAXIFS(BD!$A$3:$A$5001,BD!$B$3:$B$5001,L$163,BD!$A$3:$A$5001,"&gt;="&amp;$C$7,BD!$A$3:$A$5001,"&lt;="&amp;$B192,BD!$Q$3:$Q$5001,"&lt;&gt;"))))</f>
        <v/>
      </c>
      <c r="M192" s="54" t="str">
        <f>IF(OR($B192="",$A192&gt;$B$9,M$163=""),"",IF(COUNTIFS(BD!$B$3:$B$5001,M$163,BD!$A$3:$A$5001,"&gt;="&amp;$C$7,BD!$A$3:$A$5001,"&lt;="&amp;$B192,BD!$Q$3:$Q$5001,"&lt;&gt;")=0,"",SUMIFS(BD!$Q$3:$Q$5001,BD!$B$3:$B$5001,M$163,BD!$A$3:$A$5001,_xlfn.MAXIFS(BD!$A$3:$A$5001,BD!$B$3:$B$5001,M$163,BD!$A$3:$A$5001,"&gt;="&amp;$C$7,BD!$A$3:$A$5001,"&lt;="&amp;$B192,BD!$Q$3:$Q$5001,"&lt;&gt;"))))</f>
        <v/>
      </c>
      <c r="N192" s="54" t="str">
        <f>IF(OR($B192="",$A192&gt;$B$9,N$163=""),"",IF(COUNTIFS(BD!$B$3:$B$5001,N$163,BD!$A$3:$A$5001,"&gt;="&amp;$C$7,BD!$A$3:$A$5001,"&lt;="&amp;$B192,BD!$Q$3:$Q$5001,"&lt;&gt;")=0,"",SUMIFS(BD!$Q$3:$Q$5001,BD!$B$3:$B$5001,N$163,BD!$A$3:$A$5001,_xlfn.MAXIFS(BD!$A$3:$A$5001,BD!$B$3:$B$5001,N$163,BD!$A$3:$A$5001,"&gt;="&amp;$C$7,BD!$A$3:$A$5001,"&lt;="&amp;$B192,BD!$Q$3:$Q$5001,"&lt;&gt;"))))</f>
        <v/>
      </c>
      <c r="O192" s="54" t="str">
        <f>IF(OR($B192="",$A192&gt;$B$9,O$163=""),"",IF(COUNTIFS(BD!$B$3:$B$5001,O$163,BD!$A$3:$A$5001,"&gt;="&amp;$C$7,BD!$A$3:$A$5001,"&lt;="&amp;$B192,BD!$Q$3:$Q$5001,"&lt;&gt;")=0,"",SUMIFS(BD!$Q$3:$Q$5001,BD!$B$3:$B$5001,O$163,BD!$A$3:$A$5001,_xlfn.MAXIFS(BD!$A$3:$A$5001,BD!$B$3:$B$5001,O$163,BD!$A$3:$A$5001,"&gt;="&amp;$C$7,BD!$A$3:$A$5001,"&lt;="&amp;$B192,BD!$Q$3:$Q$5001,"&lt;&gt;"))))</f>
        <v/>
      </c>
      <c r="P192" s="54" t="str">
        <f>IF(OR($B192="",$A192&gt;$B$9,P$163=""),"",IF(COUNTIFS(BD!$B$3:$B$5001,P$163,BD!$A$3:$A$5001,"&gt;="&amp;$C$7,BD!$A$3:$A$5001,"&lt;="&amp;$B192,BD!$Q$3:$Q$5001,"&lt;&gt;")=0,"",SUMIFS(BD!$Q$3:$Q$5001,BD!$B$3:$B$5001,P$163,BD!$A$3:$A$5001,_xlfn.MAXIFS(BD!$A$3:$A$5001,BD!$B$3:$B$5001,P$163,BD!$A$3:$A$5001,"&gt;="&amp;$C$7,BD!$A$3:$A$5001,"&lt;="&amp;$B192,BD!$Q$3:$Q$5001,"&lt;&gt;"))))</f>
        <v/>
      </c>
      <c r="Q192" s="54" t="str">
        <f>IF(OR($B192="",$A192&gt;$B$9,Q$163=""),"",IF(COUNTIFS(BD!$B$3:$B$5001,Q$163,BD!$A$3:$A$5001,"&gt;="&amp;$C$7,BD!$A$3:$A$5001,"&lt;="&amp;$B192,BD!$Q$3:$Q$5001,"&lt;&gt;")=0,"",SUMIFS(BD!$Q$3:$Q$5001,BD!$B$3:$B$5001,Q$163,BD!$A$3:$A$5001,_xlfn.MAXIFS(BD!$A$3:$A$5001,BD!$B$3:$B$5001,Q$163,BD!$A$3:$A$5001,"&gt;="&amp;$C$7,BD!$A$3:$A$5001,"&lt;="&amp;$B192,BD!$Q$3:$Q$5001,"&lt;&gt;"))))</f>
        <v/>
      </c>
      <c r="R192" s="54" t="str">
        <f>IF(OR($B192="",$A192&gt;$B$9,R$163=""),"",IF(COUNTIFS(BD!$B$3:$B$5001,R$163,BD!$A$3:$A$5001,"&gt;="&amp;$C$7,BD!$A$3:$A$5001,"&lt;="&amp;$B192,BD!$Q$3:$Q$5001,"&lt;&gt;")=0,"",SUMIFS(BD!$Q$3:$Q$5001,BD!$B$3:$B$5001,R$163,BD!$A$3:$A$5001,_xlfn.MAXIFS(BD!$A$3:$A$5001,BD!$B$3:$B$5001,R$163,BD!$A$3:$A$5001,"&gt;="&amp;$C$7,BD!$A$3:$A$5001,"&lt;="&amp;$B192,BD!$Q$3:$Q$5001,"&lt;&gt;"))))</f>
        <v/>
      </c>
      <c r="S192" s="54" t="str">
        <f>IF(OR($B192="",$A192&gt;$B$9,S$163=""),"",IF(COUNTIFS(BD!$B$3:$B$5001,S$163,BD!$A$3:$A$5001,"&gt;="&amp;$C$7,BD!$A$3:$A$5001,"&lt;="&amp;$B192,BD!$Q$3:$Q$5001,"&lt;&gt;")=0,"",SUMIFS(BD!$Q$3:$Q$5001,BD!$B$3:$B$5001,S$163,BD!$A$3:$A$5001,_xlfn.MAXIFS(BD!$A$3:$A$5001,BD!$B$3:$B$5001,S$163,BD!$A$3:$A$5001,"&gt;="&amp;$C$7,BD!$A$3:$A$5001,"&lt;="&amp;$B192,BD!$Q$3:$Q$5001,"&lt;&gt;"))))</f>
        <v/>
      </c>
      <c r="T192" s="54" t="str">
        <f>IF(OR($B192="",$A192&gt;$B$9,T$163=""),"",IF(COUNTIFS(BD!$B$3:$B$5001,T$163,BD!$A$3:$A$5001,"&gt;="&amp;$C$7,BD!$A$3:$A$5001,"&lt;="&amp;$B192,BD!$Q$3:$Q$5001,"&lt;&gt;")=0,"",SUMIFS(BD!$Q$3:$Q$5001,BD!$B$3:$B$5001,T$163,BD!$A$3:$A$5001,_xlfn.MAXIFS(BD!$A$3:$A$5001,BD!$B$3:$B$5001,T$163,BD!$A$3:$A$5001,"&gt;="&amp;$C$7,BD!$A$3:$A$5001,"&lt;="&amp;$B192,BD!$Q$3:$Q$5001,"&lt;&gt;"))))</f>
        <v/>
      </c>
      <c r="U192" s="54" t="str">
        <f>IF(OR($B192="",$A192&gt;$B$9,U$163=""),"",IF(COUNTIFS(BD!$B$3:$B$5001,U$163,BD!$A$3:$A$5001,"&gt;="&amp;$C$7,BD!$A$3:$A$5001,"&lt;="&amp;$B192,BD!$Q$3:$Q$5001,"&lt;&gt;")=0,"",SUMIFS(BD!$Q$3:$Q$5001,BD!$B$3:$B$5001,U$163,BD!$A$3:$A$5001,_xlfn.MAXIFS(BD!$A$3:$A$5001,BD!$B$3:$B$5001,U$163,BD!$A$3:$A$5001,"&gt;="&amp;$C$7,BD!$A$3:$A$5001,"&lt;="&amp;$B192,BD!$Q$3:$Q$5001,"&lt;&gt;"))))</f>
        <v/>
      </c>
      <c r="V192" s="54" t="str">
        <f>IF(OR($B192="",$A192&gt;$B$9,V$163=""),"",IF(COUNTIFS(BD!$B$3:$B$5001,V$163,BD!$A$3:$A$5001,"&gt;="&amp;$C$7,BD!$A$3:$A$5001,"&lt;="&amp;$B192,BD!$Q$3:$Q$5001,"&lt;&gt;")=0,"",SUMIFS(BD!$Q$3:$Q$5001,BD!$B$3:$B$5001,V$163,BD!$A$3:$A$5001,_xlfn.MAXIFS(BD!$A$3:$A$5001,BD!$B$3:$B$5001,V$163,BD!$A$3:$A$5001,"&gt;="&amp;$C$7,BD!$A$3:$A$5001,"&lt;="&amp;$B192,BD!$Q$3:$Q$5001,"&lt;&gt;"))))</f>
        <v/>
      </c>
    </row>
    <row r="193">
      <c r="A193" s="48">
        <v>30</v>
      </c>
      <c r="B193" s="53">
        <f>$B$41</f>
        <v>46325</v>
      </c>
      <c r="C193" s="54" t="str">
        <f>IF(OR($B193="",$A193&gt;$B$9,C$163=""),"",IF(COUNTIFS(BD!$B$3:$B$5001,C$163,BD!$A$3:$A$5001,"&gt;="&amp;$C$7,BD!$A$3:$A$5001,"&lt;="&amp;$B193,BD!$Q$3:$Q$5001,"&lt;&gt;")=0,"",SUMIFS(BD!$Q$3:$Q$5001,BD!$B$3:$B$5001,C$163,BD!$A$3:$A$5001,_xlfn.MAXIFS(BD!$A$3:$A$5001,BD!$B$3:$B$5001,C$163,BD!$A$3:$A$5001,"&gt;="&amp;$C$7,BD!$A$3:$A$5001,"&lt;="&amp;$B193,BD!$Q$3:$Q$5001,"&lt;&gt;"))))</f>
        <v/>
      </c>
      <c r="D193" s="54" t="str">
        <f>IF(OR($B193="",$A193&gt;$B$9,D$163=""),"",IF(COUNTIFS(BD!$B$3:$B$5001,D$163,BD!$A$3:$A$5001,"&gt;="&amp;$C$7,BD!$A$3:$A$5001,"&lt;="&amp;$B193,BD!$Q$3:$Q$5001,"&lt;&gt;")=0,"",SUMIFS(BD!$Q$3:$Q$5001,BD!$B$3:$B$5001,D$163,BD!$A$3:$A$5001,_xlfn.MAXIFS(BD!$A$3:$A$5001,BD!$B$3:$B$5001,D$163,BD!$A$3:$A$5001,"&gt;="&amp;$C$7,BD!$A$3:$A$5001,"&lt;="&amp;$B193,BD!$Q$3:$Q$5001,"&lt;&gt;"))))</f>
        <v/>
      </c>
      <c r="E193" s="54" t="str">
        <f>IF(OR($B193="",$A193&gt;$B$9,E$163=""),"",IF(COUNTIFS(BD!$B$3:$B$5001,E$163,BD!$A$3:$A$5001,"&gt;="&amp;$C$7,BD!$A$3:$A$5001,"&lt;="&amp;$B193,BD!$Q$3:$Q$5001,"&lt;&gt;")=0,"",SUMIFS(BD!$Q$3:$Q$5001,BD!$B$3:$B$5001,E$163,BD!$A$3:$A$5001,_xlfn.MAXIFS(BD!$A$3:$A$5001,BD!$B$3:$B$5001,E$163,BD!$A$3:$A$5001,"&gt;="&amp;$C$7,BD!$A$3:$A$5001,"&lt;="&amp;$B193,BD!$Q$3:$Q$5001,"&lt;&gt;"))))</f>
        <v/>
      </c>
      <c r="F193" s="54" t="str">
        <f>IF(OR($B193="",$A193&gt;$B$9,F$163=""),"",IF(COUNTIFS(BD!$B$3:$B$5001,F$163,BD!$A$3:$A$5001,"&gt;="&amp;$C$7,BD!$A$3:$A$5001,"&lt;="&amp;$B193,BD!$Q$3:$Q$5001,"&lt;&gt;")=0,"",SUMIFS(BD!$Q$3:$Q$5001,BD!$B$3:$B$5001,F$163,BD!$A$3:$A$5001,_xlfn.MAXIFS(BD!$A$3:$A$5001,BD!$B$3:$B$5001,F$163,BD!$A$3:$A$5001,"&gt;="&amp;$C$7,BD!$A$3:$A$5001,"&lt;="&amp;$B193,BD!$Q$3:$Q$5001,"&lt;&gt;"))))</f>
        <v/>
      </c>
      <c r="G193" s="54" t="str">
        <f>IF(OR($B193="",$A193&gt;$B$9,G$163=""),"",IF(COUNTIFS(BD!$B$3:$B$5001,G$163,BD!$A$3:$A$5001,"&gt;="&amp;$C$7,BD!$A$3:$A$5001,"&lt;="&amp;$B193,BD!$Q$3:$Q$5001,"&lt;&gt;")=0,"",SUMIFS(BD!$Q$3:$Q$5001,BD!$B$3:$B$5001,G$163,BD!$A$3:$A$5001,_xlfn.MAXIFS(BD!$A$3:$A$5001,BD!$B$3:$B$5001,G$163,BD!$A$3:$A$5001,"&gt;="&amp;$C$7,BD!$A$3:$A$5001,"&lt;="&amp;$B193,BD!$Q$3:$Q$5001,"&lt;&gt;"))))</f>
        <v/>
      </c>
      <c r="H193" s="54" t="str">
        <f>IF(OR($B193="",$A193&gt;$B$9,H$163=""),"",IF(COUNTIFS(BD!$B$3:$B$5001,H$163,BD!$A$3:$A$5001,"&gt;="&amp;$C$7,BD!$A$3:$A$5001,"&lt;="&amp;$B193,BD!$Q$3:$Q$5001,"&lt;&gt;")=0,"",SUMIFS(BD!$Q$3:$Q$5001,BD!$B$3:$B$5001,H$163,BD!$A$3:$A$5001,_xlfn.MAXIFS(BD!$A$3:$A$5001,BD!$B$3:$B$5001,H$163,BD!$A$3:$A$5001,"&gt;="&amp;$C$7,BD!$A$3:$A$5001,"&lt;="&amp;$B193,BD!$Q$3:$Q$5001,"&lt;&gt;"))))</f>
        <v/>
      </c>
      <c r="I193" s="54" t="str">
        <f>IF(OR($B193="",$A193&gt;$B$9,I$163=""),"",IF(COUNTIFS(BD!$B$3:$B$5001,I$163,BD!$A$3:$A$5001,"&gt;="&amp;$C$7,BD!$A$3:$A$5001,"&lt;="&amp;$B193,BD!$Q$3:$Q$5001,"&lt;&gt;")=0,"",SUMIFS(BD!$Q$3:$Q$5001,BD!$B$3:$B$5001,I$163,BD!$A$3:$A$5001,_xlfn.MAXIFS(BD!$A$3:$A$5001,BD!$B$3:$B$5001,I$163,BD!$A$3:$A$5001,"&gt;="&amp;$C$7,BD!$A$3:$A$5001,"&lt;="&amp;$B193,BD!$Q$3:$Q$5001,"&lt;&gt;"))))</f>
        <v/>
      </c>
      <c r="J193" s="54" t="str">
        <f>IF(OR($B193="",$A193&gt;$B$9,J$163=""),"",IF(COUNTIFS(BD!$B$3:$B$5001,J$163,BD!$A$3:$A$5001,"&gt;="&amp;$C$7,BD!$A$3:$A$5001,"&lt;="&amp;$B193,BD!$Q$3:$Q$5001,"&lt;&gt;")=0,"",SUMIFS(BD!$Q$3:$Q$5001,BD!$B$3:$B$5001,J$163,BD!$A$3:$A$5001,_xlfn.MAXIFS(BD!$A$3:$A$5001,BD!$B$3:$B$5001,J$163,BD!$A$3:$A$5001,"&gt;="&amp;$C$7,BD!$A$3:$A$5001,"&lt;="&amp;$B193,BD!$Q$3:$Q$5001,"&lt;&gt;"))))</f>
        <v/>
      </c>
      <c r="K193" s="54" t="str">
        <f>IF(OR($B193="",$A193&gt;$B$9,K$163=""),"",IF(COUNTIFS(BD!$B$3:$B$5001,K$163,BD!$A$3:$A$5001,"&gt;="&amp;$C$7,BD!$A$3:$A$5001,"&lt;="&amp;$B193,BD!$Q$3:$Q$5001,"&lt;&gt;")=0,"",SUMIFS(BD!$Q$3:$Q$5001,BD!$B$3:$B$5001,K$163,BD!$A$3:$A$5001,_xlfn.MAXIFS(BD!$A$3:$A$5001,BD!$B$3:$B$5001,K$163,BD!$A$3:$A$5001,"&gt;="&amp;$C$7,BD!$A$3:$A$5001,"&lt;="&amp;$B193,BD!$Q$3:$Q$5001,"&lt;&gt;"))))</f>
        <v/>
      </c>
      <c r="L193" s="54" t="str">
        <f>IF(OR($B193="",$A193&gt;$B$9,L$163=""),"",IF(COUNTIFS(BD!$B$3:$B$5001,L$163,BD!$A$3:$A$5001,"&gt;="&amp;$C$7,BD!$A$3:$A$5001,"&lt;="&amp;$B193,BD!$Q$3:$Q$5001,"&lt;&gt;")=0,"",SUMIFS(BD!$Q$3:$Q$5001,BD!$B$3:$B$5001,L$163,BD!$A$3:$A$5001,_xlfn.MAXIFS(BD!$A$3:$A$5001,BD!$B$3:$B$5001,L$163,BD!$A$3:$A$5001,"&gt;="&amp;$C$7,BD!$A$3:$A$5001,"&lt;="&amp;$B193,BD!$Q$3:$Q$5001,"&lt;&gt;"))))</f>
        <v/>
      </c>
      <c r="M193" s="54" t="str">
        <f>IF(OR($B193="",$A193&gt;$B$9,M$163=""),"",IF(COUNTIFS(BD!$B$3:$B$5001,M$163,BD!$A$3:$A$5001,"&gt;="&amp;$C$7,BD!$A$3:$A$5001,"&lt;="&amp;$B193,BD!$Q$3:$Q$5001,"&lt;&gt;")=0,"",SUMIFS(BD!$Q$3:$Q$5001,BD!$B$3:$B$5001,M$163,BD!$A$3:$A$5001,_xlfn.MAXIFS(BD!$A$3:$A$5001,BD!$B$3:$B$5001,M$163,BD!$A$3:$A$5001,"&gt;="&amp;$C$7,BD!$A$3:$A$5001,"&lt;="&amp;$B193,BD!$Q$3:$Q$5001,"&lt;&gt;"))))</f>
        <v/>
      </c>
      <c r="N193" s="54" t="str">
        <f>IF(OR($B193="",$A193&gt;$B$9,N$163=""),"",IF(COUNTIFS(BD!$B$3:$B$5001,N$163,BD!$A$3:$A$5001,"&gt;="&amp;$C$7,BD!$A$3:$A$5001,"&lt;="&amp;$B193,BD!$Q$3:$Q$5001,"&lt;&gt;")=0,"",SUMIFS(BD!$Q$3:$Q$5001,BD!$B$3:$B$5001,N$163,BD!$A$3:$A$5001,_xlfn.MAXIFS(BD!$A$3:$A$5001,BD!$B$3:$B$5001,N$163,BD!$A$3:$A$5001,"&gt;="&amp;$C$7,BD!$A$3:$A$5001,"&lt;="&amp;$B193,BD!$Q$3:$Q$5001,"&lt;&gt;"))))</f>
        <v/>
      </c>
      <c r="O193" s="54" t="str">
        <f>IF(OR($B193="",$A193&gt;$B$9,O$163=""),"",IF(COUNTIFS(BD!$B$3:$B$5001,O$163,BD!$A$3:$A$5001,"&gt;="&amp;$C$7,BD!$A$3:$A$5001,"&lt;="&amp;$B193,BD!$Q$3:$Q$5001,"&lt;&gt;")=0,"",SUMIFS(BD!$Q$3:$Q$5001,BD!$B$3:$B$5001,O$163,BD!$A$3:$A$5001,_xlfn.MAXIFS(BD!$A$3:$A$5001,BD!$B$3:$B$5001,O$163,BD!$A$3:$A$5001,"&gt;="&amp;$C$7,BD!$A$3:$A$5001,"&lt;="&amp;$B193,BD!$Q$3:$Q$5001,"&lt;&gt;"))))</f>
        <v/>
      </c>
      <c r="P193" s="54" t="str">
        <f>IF(OR($B193="",$A193&gt;$B$9,P$163=""),"",IF(COUNTIFS(BD!$B$3:$B$5001,P$163,BD!$A$3:$A$5001,"&gt;="&amp;$C$7,BD!$A$3:$A$5001,"&lt;="&amp;$B193,BD!$Q$3:$Q$5001,"&lt;&gt;")=0,"",SUMIFS(BD!$Q$3:$Q$5001,BD!$B$3:$B$5001,P$163,BD!$A$3:$A$5001,_xlfn.MAXIFS(BD!$A$3:$A$5001,BD!$B$3:$B$5001,P$163,BD!$A$3:$A$5001,"&gt;="&amp;$C$7,BD!$A$3:$A$5001,"&lt;="&amp;$B193,BD!$Q$3:$Q$5001,"&lt;&gt;"))))</f>
        <v/>
      </c>
      <c r="Q193" s="54" t="str">
        <f>IF(OR($B193="",$A193&gt;$B$9,Q$163=""),"",IF(COUNTIFS(BD!$B$3:$B$5001,Q$163,BD!$A$3:$A$5001,"&gt;="&amp;$C$7,BD!$A$3:$A$5001,"&lt;="&amp;$B193,BD!$Q$3:$Q$5001,"&lt;&gt;")=0,"",SUMIFS(BD!$Q$3:$Q$5001,BD!$B$3:$B$5001,Q$163,BD!$A$3:$A$5001,_xlfn.MAXIFS(BD!$A$3:$A$5001,BD!$B$3:$B$5001,Q$163,BD!$A$3:$A$5001,"&gt;="&amp;$C$7,BD!$A$3:$A$5001,"&lt;="&amp;$B193,BD!$Q$3:$Q$5001,"&lt;&gt;"))))</f>
        <v/>
      </c>
      <c r="R193" s="54" t="str">
        <f>IF(OR($B193="",$A193&gt;$B$9,R$163=""),"",IF(COUNTIFS(BD!$B$3:$B$5001,R$163,BD!$A$3:$A$5001,"&gt;="&amp;$C$7,BD!$A$3:$A$5001,"&lt;="&amp;$B193,BD!$Q$3:$Q$5001,"&lt;&gt;")=0,"",SUMIFS(BD!$Q$3:$Q$5001,BD!$B$3:$B$5001,R$163,BD!$A$3:$A$5001,_xlfn.MAXIFS(BD!$A$3:$A$5001,BD!$B$3:$B$5001,R$163,BD!$A$3:$A$5001,"&gt;="&amp;$C$7,BD!$A$3:$A$5001,"&lt;="&amp;$B193,BD!$Q$3:$Q$5001,"&lt;&gt;"))))</f>
        <v/>
      </c>
      <c r="S193" s="54" t="str">
        <f>IF(OR($B193="",$A193&gt;$B$9,S$163=""),"",IF(COUNTIFS(BD!$B$3:$B$5001,S$163,BD!$A$3:$A$5001,"&gt;="&amp;$C$7,BD!$A$3:$A$5001,"&lt;="&amp;$B193,BD!$Q$3:$Q$5001,"&lt;&gt;")=0,"",SUMIFS(BD!$Q$3:$Q$5001,BD!$B$3:$B$5001,S$163,BD!$A$3:$A$5001,_xlfn.MAXIFS(BD!$A$3:$A$5001,BD!$B$3:$B$5001,S$163,BD!$A$3:$A$5001,"&gt;="&amp;$C$7,BD!$A$3:$A$5001,"&lt;="&amp;$B193,BD!$Q$3:$Q$5001,"&lt;&gt;"))))</f>
        <v/>
      </c>
      <c r="T193" s="54" t="str">
        <f>IF(OR($B193="",$A193&gt;$B$9,T$163=""),"",IF(COUNTIFS(BD!$B$3:$B$5001,T$163,BD!$A$3:$A$5001,"&gt;="&amp;$C$7,BD!$A$3:$A$5001,"&lt;="&amp;$B193,BD!$Q$3:$Q$5001,"&lt;&gt;")=0,"",SUMIFS(BD!$Q$3:$Q$5001,BD!$B$3:$B$5001,T$163,BD!$A$3:$A$5001,_xlfn.MAXIFS(BD!$A$3:$A$5001,BD!$B$3:$B$5001,T$163,BD!$A$3:$A$5001,"&gt;="&amp;$C$7,BD!$A$3:$A$5001,"&lt;="&amp;$B193,BD!$Q$3:$Q$5001,"&lt;&gt;"))))</f>
        <v/>
      </c>
      <c r="U193" s="54" t="str">
        <f>IF(OR($B193="",$A193&gt;$B$9,U$163=""),"",IF(COUNTIFS(BD!$B$3:$B$5001,U$163,BD!$A$3:$A$5001,"&gt;="&amp;$C$7,BD!$A$3:$A$5001,"&lt;="&amp;$B193,BD!$Q$3:$Q$5001,"&lt;&gt;")=0,"",SUMIFS(BD!$Q$3:$Q$5001,BD!$B$3:$B$5001,U$163,BD!$A$3:$A$5001,_xlfn.MAXIFS(BD!$A$3:$A$5001,BD!$B$3:$B$5001,U$163,BD!$A$3:$A$5001,"&gt;="&amp;$C$7,BD!$A$3:$A$5001,"&lt;="&amp;$B193,BD!$Q$3:$Q$5001,"&lt;&gt;"))))</f>
        <v/>
      </c>
      <c r="V193" s="54" t="str">
        <f>IF(OR($B193="",$A193&gt;$B$9,V$163=""),"",IF(COUNTIFS(BD!$B$3:$B$5001,V$163,BD!$A$3:$A$5001,"&gt;="&amp;$C$7,BD!$A$3:$A$5001,"&lt;="&amp;$B193,BD!$Q$3:$Q$5001,"&lt;&gt;")=0,"",SUMIFS(BD!$Q$3:$Q$5001,BD!$B$3:$B$5001,V$163,BD!$A$3:$A$5001,_xlfn.MAXIFS(BD!$A$3:$A$5001,BD!$B$3:$B$5001,V$163,BD!$A$3:$A$5001,"&gt;="&amp;$C$7,BD!$A$3:$A$5001,"&lt;="&amp;$B193,BD!$Q$3:$Q$5001,"&lt;&gt;"))))</f>
        <v/>
      </c>
    </row>
    <row r="194">
      <c r="A194" s="48">
        <v>31</v>
      </c>
      <c r="B194" s="53">
        <f>$B$42</f>
        <v>46326</v>
      </c>
      <c r="C194" s="54" t="str">
        <f>IF(OR($B194="",$A194&gt;$B$9,C$163=""),"",IF(COUNTIFS(BD!$B$3:$B$5001,C$163,BD!$A$3:$A$5001,"&gt;="&amp;$C$7,BD!$A$3:$A$5001,"&lt;="&amp;$B194,BD!$Q$3:$Q$5001,"&lt;&gt;")=0,"",SUMIFS(BD!$Q$3:$Q$5001,BD!$B$3:$B$5001,C$163,BD!$A$3:$A$5001,_xlfn.MAXIFS(BD!$A$3:$A$5001,BD!$B$3:$B$5001,C$163,BD!$A$3:$A$5001,"&gt;="&amp;$C$7,BD!$A$3:$A$5001,"&lt;="&amp;$B194,BD!$Q$3:$Q$5001,"&lt;&gt;"))))</f>
        <v/>
      </c>
      <c r="D194" s="54" t="str">
        <f>IF(OR($B194="",$A194&gt;$B$9,D$163=""),"",IF(COUNTIFS(BD!$B$3:$B$5001,D$163,BD!$A$3:$A$5001,"&gt;="&amp;$C$7,BD!$A$3:$A$5001,"&lt;="&amp;$B194,BD!$Q$3:$Q$5001,"&lt;&gt;")=0,"",SUMIFS(BD!$Q$3:$Q$5001,BD!$B$3:$B$5001,D$163,BD!$A$3:$A$5001,_xlfn.MAXIFS(BD!$A$3:$A$5001,BD!$B$3:$B$5001,D$163,BD!$A$3:$A$5001,"&gt;="&amp;$C$7,BD!$A$3:$A$5001,"&lt;="&amp;$B194,BD!$Q$3:$Q$5001,"&lt;&gt;"))))</f>
        <v/>
      </c>
      <c r="E194" s="54" t="str">
        <f>IF(OR($B194="",$A194&gt;$B$9,E$163=""),"",IF(COUNTIFS(BD!$B$3:$B$5001,E$163,BD!$A$3:$A$5001,"&gt;="&amp;$C$7,BD!$A$3:$A$5001,"&lt;="&amp;$B194,BD!$Q$3:$Q$5001,"&lt;&gt;")=0,"",SUMIFS(BD!$Q$3:$Q$5001,BD!$B$3:$B$5001,E$163,BD!$A$3:$A$5001,_xlfn.MAXIFS(BD!$A$3:$A$5001,BD!$B$3:$B$5001,E$163,BD!$A$3:$A$5001,"&gt;="&amp;$C$7,BD!$A$3:$A$5001,"&lt;="&amp;$B194,BD!$Q$3:$Q$5001,"&lt;&gt;"))))</f>
        <v/>
      </c>
      <c r="F194" s="54" t="str">
        <f>IF(OR($B194="",$A194&gt;$B$9,F$163=""),"",IF(COUNTIFS(BD!$B$3:$B$5001,F$163,BD!$A$3:$A$5001,"&gt;="&amp;$C$7,BD!$A$3:$A$5001,"&lt;="&amp;$B194,BD!$Q$3:$Q$5001,"&lt;&gt;")=0,"",SUMIFS(BD!$Q$3:$Q$5001,BD!$B$3:$B$5001,F$163,BD!$A$3:$A$5001,_xlfn.MAXIFS(BD!$A$3:$A$5001,BD!$B$3:$B$5001,F$163,BD!$A$3:$A$5001,"&gt;="&amp;$C$7,BD!$A$3:$A$5001,"&lt;="&amp;$B194,BD!$Q$3:$Q$5001,"&lt;&gt;"))))</f>
        <v/>
      </c>
      <c r="G194" s="54" t="str">
        <f>IF(OR($B194="",$A194&gt;$B$9,G$163=""),"",IF(COUNTIFS(BD!$B$3:$B$5001,G$163,BD!$A$3:$A$5001,"&gt;="&amp;$C$7,BD!$A$3:$A$5001,"&lt;="&amp;$B194,BD!$Q$3:$Q$5001,"&lt;&gt;")=0,"",SUMIFS(BD!$Q$3:$Q$5001,BD!$B$3:$B$5001,G$163,BD!$A$3:$A$5001,_xlfn.MAXIFS(BD!$A$3:$A$5001,BD!$B$3:$B$5001,G$163,BD!$A$3:$A$5001,"&gt;="&amp;$C$7,BD!$A$3:$A$5001,"&lt;="&amp;$B194,BD!$Q$3:$Q$5001,"&lt;&gt;"))))</f>
        <v/>
      </c>
      <c r="H194" s="54" t="str">
        <f>IF(OR($B194="",$A194&gt;$B$9,H$163=""),"",IF(COUNTIFS(BD!$B$3:$B$5001,H$163,BD!$A$3:$A$5001,"&gt;="&amp;$C$7,BD!$A$3:$A$5001,"&lt;="&amp;$B194,BD!$Q$3:$Q$5001,"&lt;&gt;")=0,"",SUMIFS(BD!$Q$3:$Q$5001,BD!$B$3:$B$5001,H$163,BD!$A$3:$A$5001,_xlfn.MAXIFS(BD!$A$3:$A$5001,BD!$B$3:$B$5001,H$163,BD!$A$3:$A$5001,"&gt;="&amp;$C$7,BD!$A$3:$A$5001,"&lt;="&amp;$B194,BD!$Q$3:$Q$5001,"&lt;&gt;"))))</f>
        <v/>
      </c>
      <c r="I194" s="54" t="str">
        <f>IF(OR($B194="",$A194&gt;$B$9,I$163=""),"",IF(COUNTIFS(BD!$B$3:$B$5001,I$163,BD!$A$3:$A$5001,"&gt;="&amp;$C$7,BD!$A$3:$A$5001,"&lt;="&amp;$B194,BD!$Q$3:$Q$5001,"&lt;&gt;")=0,"",SUMIFS(BD!$Q$3:$Q$5001,BD!$B$3:$B$5001,I$163,BD!$A$3:$A$5001,_xlfn.MAXIFS(BD!$A$3:$A$5001,BD!$B$3:$B$5001,I$163,BD!$A$3:$A$5001,"&gt;="&amp;$C$7,BD!$A$3:$A$5001,"&lt;="&amp;$B194,BD!$Q$3:$Q$5001,"&lt;&gt;"))))</f>
        <v/>
      </c>
      <c r="J194" s="54" t="str">
        <f>IF(OR($B194="",$A194&gt;$B$9,J$163=""),"",IF(COUNTIFS(BD!$B$3:$B$5001,J$163,BD!$A$3:$A$5001,"&gt;="&amp;$C$7,BD!$A$3:$A$5001,"&lt;="&amp;$B194,BD!$Q$3:$Q$5001,"&lt;&gt;")=0,"",SUMIFS(BD!$Q$3:$Q$5001,BD!$B$3:$B$5001,J$163,BD!$A$3:$A$5001,_xlfn.MAXIFS(BD!$A$3:$A$5001,BD!$B$3:$B$5001,J$163,BD!$A$3:$A$5001,"&gt;="&amp;$C$7,BD!$A$3:$A$5001,"&lt;="&amp;$B194,BD!$Q$3:$Q$5001,"&lt;&gt;"))))</f>
        <v/>
      </c>
      <c r="K194" s="54" t="str">
        <f>IF(OR($B194="",$A194&gt;$B$9,K$163=""),"",IF(COUNTIFS(BD!$B$3:$B$5001,K$163,BD!$A$3:$A$5001,"&gt;="&amp;$C$7,BD!$A$3:$A$5001,"&lt;="&amp;$B194,BD!$Q$3:$Q$5001,"&lt;&gt;")=0,"",SUMIFS(BD!$Q$3:$Q$5001,BD!$B$3:$B$5001,K$163,BD!$A$3:$A$5001,_xlfn.MAXIFS(BD!$A$3:$A$5001,BD!$B$3:$B$5001,K$163,BD!$A$3:$A$5001,"&gt;="&amp;$C$7,BD!$A$3:$A$5001,"&lt;="&amp;$B194,BD!$Q$3:$Q$5001,"&lt;&gt;"))))</f>
        <v/>
      </c>
      <c r="L194" s="54" t="str">
        <f>IF(OR($B194="",$A194&gt;$B$9,L$163=""),"",IF(COUNTIFS(BD!$B$3:$B$5001,L$163,BD!$A$3:$A$5001,"&gt;="&amp;$C$7,BD!$A$3:$A$5001,"&lt;="&amp;$B194,BD!$Q$3:$Q$5001,"&lt;&gt;")=0,"",SUMIFS(BD!$Q$3:$Q$5001,BD!$B$3:$B$5001,L$163,BD!$A$3:$A$5001,_xlfn.MAXIFS(BD!$A$3:$A$5001,BD!$B$3:$B$5001,L$163,BD!$A$3:$A$5001,"&gt;="&amp;$C$7,BD!$A$3:$A$5001,"&lt;="&amp;$B194,BD!$Q$3:$Q$5001,"&lt;&gt;"))))</f>
        <v/>
      </c>
      <c r="M194" s="54" t="str">
        <f>IF(OR($B194="",$A194&gt;$B$9,M$163=""),"",IF(COUNTIFS(BD!$B$3:$B$5001,M$163,BD!$A$3:$A$5001,"&gt;="&amp;$C$7,BD!$A$3:$A$5001,"&lt;="&amp;$B194,BD!$Q$3:$Q$5001,"&lt;&gt;")=0,"",SUMIFS(BD!$Q$3:$Q$5001,BD!$B$3:$B$5001,M$163,BD!$A$3:$A$5001,_xlfn.MAXIFS(BD!$A$3:$A$5001,BD!$B$3:$B$5001,M$163,BD!$A$3:$A$5001,"&gt;="&amp;$C$7,BD!$A$3:$A$5001,"&lt;="&amp;$B194,BD!$Q$3:$Q$5001,"&lt;&gt;"))))</f>
        <v/>
      </c>
      <c r="N194" s="54" t="str">
        <f>IF(OR($B194="",$A194&gt;$B$9,N$163=""),"",IF(COUNTIFS(BD!$B$3:$B$5001,N$163,BD!$A$3:$A$5001,"&gt;="&amp;$C$7,BD!$A$3:$A$5001,"&lt;="&amp;$B194,BD!$Q$3:$Q$5001,"&lt;&gt;")=0,"",SUMIFS(BD!$Q$3:$Q$5001,BD!$B$3:$B$5001,N$163,BD!$A$3:$A$5001,_xlfn.MAXIFS(BD!$A$3:$A$5001,BD!$B$3:$B$5001,N$163,BD!$A$3:$A$5001,"&gt;="&amp;$C$7,BD!$A$3:$A$5001,"&lt;="&amp;$B194,BD!$Q$3:$Q$5001,"&lt;&gt;"))))</f>
        <v/>
      </c>
      <c r="O194" s="54" t="str">
        <f>IF(OR($B194="",$A194&gt;$B$9,O$163=""),"",IF(COUNTIFS(BD!$B$3:$B$5001,O$163,BD!$A$3:$A$5001,"&gt;="&amp;$C$7,BD!$A$3:$A$5001,"&lt;="&amp;$B194,BD!$Q$3:$Q$5001,"&lt;&gt;")=0,"",SUMIFS(BD!$Q$3:$Q$5001,BD!$B$3:$B$5001,O$163,BD!$A$3:$A$5001,_xlfn.MAXIFS(BD!$A$3:$A$5001,BD!$B$3:$B$5001,O$163,BD!$A$3:$A$5001,"&gt;="&amp;$C$7,BD!$A$3:$A$5001,"&lt;="&amp;$B194,BD!$Q$3:$Q$5001,"&lt;&gt;"))))</f>
        <v/>
      </c>
      <c r="P194" s="54" t="str">
        <f>IF(OR($B194="",$A194&gt;$B$9,P$163=""),"",IF(COUNTIFS(BD!$B$3:$B$5001,P$163,BD!$A$3:$A$5001,"&gt;="&amp;$C$7,BD!$A$3:$A$5001,"&lt;="&amp;$B194,BD!$Q$3:$Q$5001,"&lt;&gt;")=0,"",SUMIFS(BD!$Q$3:$Q$5001,BD!$B$3:$B$5001,P$163,BD!$A$3:$A$5001,_xlfn.MAXIFS(BD!$A$3:$A$5001,BD!$B$3:$B$5001,P$163,BD!$A$3:$A$5001,"&gt;="&amp;$C$7,BD!$A$3:$A$5001,"&lt;="&amp;$B194,BD!$Q$3:$Q$5001,"&lt;&gt;"))))</f>
        <v/>
      </c>
      <c r="Q194" s="54" t="str">
        <f>IF(OR($B194="",$A194&gt;$B$9,Q$163=""),"",IF(COUNTIFS(BD!$B$3:$B$5001,Q$163,BD!$A$3:$A$5001,"&gt;="&amp;$C$7,BD!$A$3:$A$5001,"&lt;="&amp;$B194,BD!$Q$3:$Q$5001,"&lt;&gt;")=0,"",SUMIFS(BD!$Q$3:$Q$5001,BD!$B$3:$B$5001,Q$163,BD!$A$3:$A$5001,_xlfn.MAXIFS(BD!$A$3:$A$5001,BD!$B$3:$B$5001,Q$163,BD!$A$3:$A$5001,"&gt;="&amp;$C$7,BD!$A$3:$A$5001,"&lt;="&amp;$B194,BD!$Q$3:$Q$5001,"&lt;&gt;"))))</f>
        <v/>
      </c>
      <c r="R194" s="54" t="str">
        <f>IF(OR($B194="",$A194&gt;$B$9,R$163=""),"",IF(COUNTIFS(BD!$B$3:$B$5001,R$163,BD!$A$3:$A$5001,"&gt;="&amp;$C$7,BD!$A$3:$A$5001,"&lt;="&amp;$B194,BD!$Q$3:$Q$5001,"&lt;&gt;")=0,"",SUMIFS(BD!$Q$3:$Q$5001,BD!$B$3:$B$5001,R$163,BD!$A$3:$A$5001,_xlfn.MAXIFS(BD!$A$3:$A$5001,BD!$B$3:$B$5001,R$163,BD!$A$3:$A$5001,"&gt;="&amp;$C$7,BD!$A$3:$A$5001,"&lt;="&amp;$B194,BD!$Q$3:$Q$5001,"&lt;&gt;"))))</f>
        <v/>
      </c>
      <c r="S194" s="54" t="str">
        <f>IF(OR($B194="",$A194&gt;$B$9,S$163=""),"",IF(COUNTIFS(BD!$B$3:$B$5001,S$163,BD!$A$3:$A$5001,"&gt;="&amp;$C$7,BD!$A$3:$A$5001,"&lt;="&amp;$B194,BD!$Q$3:$Q$5001,"&lt;&gt;")=0,"",SUMIFS(BD!$Q$3:$Q$5001,BD!$B$3:$B$5001,S$163,BD!$A$3:$A$5001,_xlfn.MAXIFS(BD!$A$3:$A$5001,BD!$B$3:$B$5001,S$163,BD!$A$3:$A$5001,"&gt;="&amp;$C$7,BD!$A$3:$A$5001,"&lt;="&amp;$B194,BD!$Q$3:$Q$5001,"&lt;&gt;"))))</f>
        <v/>
      </c>
      <c r="T194" s="54" t="str">
        <f>IF(OR($B194="",$A194&gt;$B$9,T$163=""),"",IF(COUNTIFS(BD!$B$3:$B$5001,T$163,BD!$A$3:$A$5001,"&gt;="&amp;$C$7,BD!$A$3:$A$5001,"&lt;="&amp;$B194,BD!$Q$3:$Q$5001,"&lt;&gt;")=0,"",SUMIFS(BD!$Q$3:$Q$5001,BD!$B$3:$B$5001,T$163,BD!$A$3:$A$5001,_xlfn.MAXIFS(BD!$A$3:$A$5001,BD!$B$3:$B$5001,T$163,BD!$A$3:$A$5001,"&gt;="&amp;$C$7,BD!$A$3:$A$5001,"&lt;="&amp;$B194,BD!$Q$3:$Q$5001,"&lt;&gt;"))))</f>
        <v/>
      </c>
      <c r="U194" s="54" t="str">
        <f>IF(OR($B194="",$A194&gt;$B$9,U$163=""),"",IF(COUNTIFS(BD!$B$3:$B$5001,U$163,BD!$A$3:$A$5001,"&gt;="&amp;$C$7,BD!$A$3:$A$5001,"&lt;="&amp;$B194,BD!$Q$3:$Q$5001,"&lt;&gt;")=0,"",SUMIFS(BD!$Q$3:$Q$5001,BD!$B$3:$B$5001,U$163,BD!$A$3:$A$5001,_xlfn.MAXIFS(BD!$A$3:$A$5001,BD!$B$3:$B$5001,U$163,BD!$A$3:$A$5001,"&gt;="&amp;$C$7,BD!$A$3:$A$5001,"&lt;="&amp;$B194,BD!$Q$3:$Q$5001,"&lt;&gt;"))))</f>
        <v/>
      </c>
      <c r="V194" s="54" t="str">
        <f>IF(OR($B194="",$A194&gt;$B$9,V$163=""),"",IF(COUNTIFS(BD!$B$3:$B$5001,V$163,BD!$A$3:$A$5001,"&gt;="&amp;$C$7,BD!$A$3:$A$5001,"&lt;="&amp;$B194,BD!$Q$3:$Q$5001,"&lt;&gt;")=0,"",SUMIFS(BD!$Q$3:$Q$5001,BD!$B$3:$B$5001,V$163,BD!$A$3:$A$5001,_xlfn.MAXIFS(BD!$A$3:$A$5001,BD!$B$3:$B$5001,V$163,BD!$A$3:$A$5001,"&gt;="&amp;$C$7,BD!$A$3:$A$5001,"&lt;="&amp;$B194,BD!$Q$3:$Q$5001,"&lt;&gt;"))))</f>
        <v/>
      </c>
    </row>
    <row r="195">
      <c r="A195" s="55" t="inlineStr">
        <is>
          <t xml:space="preserve">Mês anterior (último)</t>
        </is>
      </c>
      <c r="C195" s="56" t="str">
        <f>IF(C$163="","",IF(COUNTIFS(BD!$B$3:$B$5001,C$163,BD!$A$3:$A$5001,"&gt;="&amp;$C$8,BD!$A$3:$A$5001,"&lt;="&amp;$D$8,BD!$Q$3:$Q$5001,"&lt;&gt;")=0,"",SUMIFS(BD!$Q$3:$Q$5001,BD!$B$3:$B$5001,C$163,BD!$A$3:$A$5001,_xlfn.MAXIFS(BD!$A$3:$A$5001,BD!$B$3:$B$5001,C$163,BD!$A$3:$A$5001,"&gt;="&amp;$C$8,BD!$A$3:$A$5001,"&lt;="&amp;$D$8,BD!$Q$3:$Q$5001,"&lt;&gt;"))))</f>
        <v/>
      </c>
      <c r="D195" s="56" t="str">
        <f>IF(D$163="","",IF(COUNTIFS(BD!$B$3:$B$5001,D$163,BD!$A$3:$A$5001,"&gt;="&amp;$C$8,BD!$A$3:$A$5001,"&lt;="&amp;$D$8,BD!$Q$3:$Q$5001,"&lt;&gt;")=0,"",SUMIFS(BD!$Q$3:$Q$5001,BD!$B$3:$B$5001,D$163,BD!$A$3:$A$5001,_xlfn.MAXIFS(BD!$A$3:$A$5001,BD!$B$3:$B$5001,D$163,BD!$A$3:$A$5001,"&gt;="&amp;$C$8,BD!$A$3:$A$5001,"&lt;="&amp;$D$8,BD!$Q$3:$Q$5001,"&lt;&gt;"))))</f>
        <v/>
      </c>
      <c r="E195" s="56" t="str">
        <f>IF(E$163="","",IF(COUNTIFS(BD!$B$3:$B$5001,E$163,BD!$A$3:$A$5001,"&gt;="&amp;$C$8,BD!$A$3:$A$5001,"&lt;="&amp;$D$8,BD!$Q$3:$Q$5001,"&lt;&gt;")=0,"",SUMIFS(BD!$Q$3:$Q$5001,BD!$B$3:$B$5001,E$163,BD!$A$3:$A$5001,_xlfn.MAXIFS(BD!$A$3:$A$5001,BD!$B$3:$B$5001,E$163,BD!$A$3:$A$5001,"&gt;="&amp;$C$8,BD!$A$3:$A$5001,"&lt;="&amp;$D$8,BD!$Q$3:$Q$5001,"&lt;&gt;"))))</f>
        <v/>
      </c>
      <c r="F195" s="56" t="str">
        <f>IF(F$163="","",IF(COUNTIFS(BD!$B$3:$B$5001,F$163,BD!$A$3:$A$5001,"&gt;="&amp;$C$8,BD!$A$3:$A$5001,"&lt;="&amp;$D$8,BD!$Q$3:$Q$5001,"&lt;&gt;")=0,"",SUMIFS(BD!$Q$3:$Q$5001,BD!$B$3:$B$5001,F$163,BD!$A$3:$A$5001,_xlfn.MAXIFS(BD!$A$3:$A$5001,BD!$B$3:$B$5001,F$163,BD!$A$3:$A$5001,"&gt;="&amp;$C$8,BD!$A$3:$A$5001,"&lt;="&amp;$D$8,BD!$Q$3:$Q$5001,"&lt;&gt;"))))</f>
        <v/>
      </c>
      <c r="G195" s="56" t="str">
        <f>IF(G$163="","",IF(COUNTIFS(BD!$B$3:$B$5001,G$163,BD!$A$3:$A$5001,"&gt;="&amp;$C$8,BD!$A$3:$A$5001,"&lt;="&amp;$D$8,BD!$Q$3:$Q$5001,"&lt;&gt;")=0,"",SUMIFS(BD!$Q$3:$Q$5001,BD!$B$3:$B$5001,G$163,BD!$A$3:$A$5001,_xlfn.MAXIFS(BD!$A$3:$A$5001,BD!$B$3:$B$5001,G$163,BD!$A$3:$A$5001,"&gt;="&amp;$C$8,BD!$A$3:$A$5001,"&lt;="&amp;$D$8,BD!$Q$3:$Q$5001,"&lt;&gt;"))))</f>
        <v/>
      </c>
      <c r="H195" s="56" t="str">
        <f>IF(H$163="","",IF(COUNTIFS(BD!$B$3:$B$5001,H$163,BD!$A$3:$A$5001,"&gt;="&amp;$C$8,BD!$A$3:$A$5001,"&lt;="&amp;$D$8,BD!$Q$3:$Q$5001,"&lt;&gt;")=0,"",SUMIFS(BD!$Q$3:$Q$5001,BD!$B$3:$B$5001,H$163,BD!$A$3:$A$5001,_xlfn.MAXIFS(BD!$A$3:$A$5001,BD!$B$3:$B$5001,H$163,BD!$A$3:$A$5001,"&gt;="&amp;$C$8,BD!$A$3:$A$5001,"&lt;="&amp;$D$8,BD!$Q$3:$Q$5001,"&lt;&gt;"))))</f>
        <v/>
      </c>
      <c r="I195" s="56" t="str">
        <f>IF(I$163="","",IF(COUNTIFS(BD!$B$3:$B$5001,I$163,BD!$A$3:$A$5001,"&gt;="&amp;$C$8,BD!$A$3:$A$5001,"&lt;="&amp;$D$8,BD!$Q$3:$Q$5001,"&lt;&gt;")=0,"",SUMIFS(BD!$Q$3:$Q$5001,BD!$B$3:$B$5001,I$163,BD!$A$3:$A$5001,_xlfn.MAXIFS(BD!$A$3:$A$5001,BD!$B$3:$B$5001,I$163,BD!$A$3:$A$5001,"&gt;="&amp;$C$8,BD!$A$3:$A$5001,"&lt;="&amp;$D$8,BD!$Q$3:$Q$5001,"&lt;&gt;"))))</f>
        <v/>
      </c>
      <c r="J195" s="56" t="str">
        <f>IF(J$163="","",IF(COUNTIFS(BD!$B$3:$B$5001,J$163,BD!$A$3:$A$5001,"&gt;="&amp;$C$8,BD!$A$3:$A$5001,"&lt;="&amp;$D$8,BD!$Q$3:$Q$5001,"&lt;&gt;")=0,"",SUMIFS(BD!$Q$3:$Q$5001,BD!$B$3:$B$5001,J$163,BD!$A$3:$A$5001,_xlfn.MAXIFS(BD!$A$3:$A$5001,BD!$B$3:$B$5001,J$163,BD!$A$3:$A$5001,"&gt;="&amp;$C$8,BD!$A$3:$A$5001,"&lt;="&amp;$D$8,BD!$Q$3:$Q$5001,"&lt;&gt;"))))</f>
        <v/>
      </c>
      <c r="K195" s="56" t="str">
        <f>IF(K$163="","",IF(COUNTIFS(BD!$B$3:$B$5001,K$163,BD!$A$3:$A$5001,"&gt;="&amp;$C$8,BD!$A$3:$A$5001,"&lt;="&amp;$D$8,BD!$Q$3:$Q$5001,"&lt;&gt;")=0,"",SUMIFS(BD!$Q$3:$Q$5001,BD!$B$3:$B$5001,K$163,BD!$A$3:$A$5001,_xlfn.MAXIFS(BD!$A$3:$A$5001,BD!$B$3:$B$5001,K$163,BD!$A$3:$A$5001,"&gt;="&amp;$C$8,BD!$A$3:$A$5001,"&lt;="&amp;$D$8,BD!$Q$3:$Q$5001,"&lt;&gt;"))))</f>
        <v/>
      </c>
      <c r="L195" s="56" t="str">
        <f>IF(L$163="","",IF(COUNTIFS(BD!$B$3:$B$5001,L$163,BD!$A$3:$A$5001,"&gt;="&amp;$C$8,BD!$A$3:$A$5001,"&lt;="&amp;$D$8,BD!$Q$3:$Q$5001,"&lt;&gt;")=0,"",SUMIFS(BD!$Q$3:$Q$5001,BD!$B$3:$B$5001,L$163,BD!$A$3:$A$5001,_xlfn.MAXIFS(BD!$A$3:$A$5001,BD!$B$3:$B$5001,L$163,BD!$A$3:$A$5001,"&gt;="&amp;$C$8,BD!$A$3:$A$5001,"&lt;="&amp;$D$8,BD!$Q$3:$Q$5001,"&lt;&gt;"))))</f>
        <v/>
      </c>
      <c r="M195" s="56" t="str">
        <f>IF(M$163="","",IF(COUNTIFS(BD!$B$3:$B$5001,M$163,BD!$A$3:$A$5001,"&gt;="&amp;$C$8,BD!$A$3:$A$5001,"&lt;="&amp;$D$8,BD!$Q$3:$Q$5001,"&lt;&gt;")=0,"",SUMIFS(BD!$Q$3:$Q$5001,BD!$B$3:$B$5001,M$163,BD!$A$3:$A$5001,_xlfn.MAXIFS(BD!$A$3:$A$5001,BD!$B$3:$B$5001,M$163,BD!$A$3:$A$5001,"&gt;="&amp;$C$8,BD!$A$3:$A$5001,"&lt;="&amp;$D$8,BD!$Q$3:$Q$5001,"&lt;&gt;"))))</f>
        <v/>
      </c>
      <c r="N195" s="56" t="str">
        <f>IF(N$163="","",IF(COUNTIFS(BD!$B$3:$B$5001,N$163,BD!$A$3:$A$5001,"&gt;="&amp;$C$8,BD!$A$3:$A$5001,"&lt;="&amp;$D$8,BD!$Q$3:$Q$5001,"&lt;&gt;")=0,"",SUMIFS(BD!$Q$3:$Q$5001,BD!$B$3:$B$5001,N$163,BD!$A$3:$A$5001,_xlfn.MAXIFS(BD!$A$3:$A$5001,BD!$B$3:$B$5001,N$163,BD!$A$3:$A$5001,"&gt;="&amp;$C$8,BD!$A$3:$A$5001,"&lt;="&amp;$D$8,BD!$Q$3:$Q$5001,"&lt;&gt;"))))</f>
        <v/>
      </c>
      <c r="O195" s="56" t="str">
        <f>IF(O$163="","",IF(COUNTIFS(BD!$B$3:$B$5001,O$163,BD!$A$3:$A$5001,"&gt;="&amp;$C$8,BD!$A$3:$A$5001,"&lt;="&amp;$D$8,BD!$Q$3:$Q$5001,"&lt;&gt;")=0,"",SUMIFS(BD!$Q$3:$Q$5001,BD!$B$3:$B$5001,O$163,BD!$A$3:$A$5001,_xlfn.MAXIFS(BD!$A$3:$A$5001,BD!$B$3:$B$5001,O$163,BD!$A$3:$A$5001,"&gt;="&amp;$C$8,BD!$A$3:$A$5001,"&lt;="&amp;$D$8,BD!$Q$3:$Q$5001,"&lt;&gt;"))))</f>
        <v/>
      </c>
      <c r="P195" s="56" t="str">
        <f>IF(P$163="","",IF(COUNTIFS(BD!$B$3:$B$5001,P$163,BD!$A$3:$A$5001,"&gt;="&amp;$C$8,BD!$A$3:$A$5001,"&lt;="&amp;$D$8,BD!$Q$3:$Q$5001,"&lt;&gt;")=0,"",SUMIFS(BD!$Q$3:$Q$5001,BD!$B$3:$B$5001,P$163,BD!$A$3:$A$5001,_xlfn.MAXIFS(BD!$A$3:$A$5001,BD!$B$3:$B$5001,P$163,BD!$A$3:$A$5001,"&gt;="&amp;$C$8,BD!$A$3:$A$5001,"&lt;="&amp;$D$8,BD!$Q$3:$Q$5001,"&lt;&gt;"))))</f>
        <v/>
      </c>
      <c r="Q195" s="56" t="str">
        <f>IF(Q$163="","",IF(COUNTIFS(BD!$B$3:$B$5001,Q$163,BD!$A$3:$A$5001,"&gt;="&amp;$C$8,BD!$A$3:$A$5001,"&lt;="&amp;$D$8,BD!$Q$3:$Q$5001,"&lt;&gt;")=0,"",SUMIFS(BD!$Q$3:$Q$5001,BD!$B$3:$B$5001,Q$163,BD!$A$3:$A$5001,_xlfn.MAXIFS(BD!$A$3:$A$5001,BD!$B$3:$B$5001,Q$163,BD!$A$3:$A$5001,"&gt;="&amp;$C$8,BD!$A$3:$A$5001,"&lt;="&amp;$D$8,BD!$Q$3:$Q$5001,"&lt;&gt;"))))</f>
        <v/>
      </c>
      <c r="R195" s="56" t="str">
        <f>IF(R$163="","",IF(COUNTIFS(BD!$B$3:$B$5001,R$163,BD!$A$3:$A$5001,"&gt;="&amp;$C$8,BD!$A$3:$A$5001,"&lt;="&amp;$D$8,BD!$Q$3:$Q$5001,"&lt;&gt;")=0,"",SUMIFS(BD!$Q$3:$Q$5001,BD!$B$3:$B$5001,R$163,BD!$A$3:$A$5001,_xlfn.MAXIFS(BD!$A$3:$A$5001,BD!$B$3:$B$5001,R$163,BD!$A$3:$A$5001,"&gt;="&amp;$C$8,BD!$A$3:$A$5001,"&lt;="&amp;$D$8,BD!$Q$3:$Q$5001,"&lt;&gt;"))))</f>
        <v/>
      </c>
      <c r="S195" s="56" t="str">
        <f>IF(S$163="","",IF(COUNTIFS(BD!$B$3:$B$5001,S$163,BD!$A$3:$A$5001,"&gt;="&amp;$C$8,BD!$A$3:$A$5001,"&lt;="&amp;$D$8,BD!$Q$3:$Q$5001,"&lt;&gt;")=0,"",SUMIFS(BD!$Q$3:$Q$5001,BD!$B$3:$B$5001,S$163,BD!$A$3:$A$5001,_xlfn.MAXIFS(BD!$A$3:$A$5001,BD!$B$3:$B$5001,S$163,BD!$A$3:$A$5001,"&gt;="&amp;$C$8,BD!$A$3:$A$5001,"&lt;="&amp;$D$8,BD!$Q$3:$Q$5001,"&lt;&gt;"))))</f>
        <v/>
      </c>
      <c r="T195" s="56" t="str">
        <f>IF(T$163="","",IF(COUNTIFS(BD!$B$3:$B$5001,T$163,BD!$A$3:$A$5001,"&gt;="&amp;$C$8,BD!$A$3:$A$5001,"&lt;="&amp;$D$8,BD!$Q$3:$Q$5001,"&lt;&gt;")=0,"",SUMIFS(BD!$Q$3:$Q$5001,BD!$B$3:$B$5001,T$163,BD!$A$3:$A$5001,_xlfn.MAXIFS(BD!$A$3:$A$5001,BD!$B$3:$B$5001,T$163,BD!$A$3:$A$5001,"&gt;="&amp;$C$8,BD!$A$3:$A$5001,"&lt;="&amp;$D$8,BD!$Q$3:$Q$5001,"&lt;&gt;"))))</f>
        <v/>
      </c>
      <c r="U195" s="56" t="str">
        <f>IF(U$163="","",IF(COUNTIFS(BD!$B$3:$B$5001,U$163,BD!$A$3:$A$5001,"&gt;="&amp;$C$8,BD!$A$3:$A$5001,"&lt;="&amp;$D$8,BD!$Q$3:$Q$5001,"&lt;&gt;")=0,"",SUMIFS(BD!$Q$3:$Q$5001,BD!$B$3:$B$5001,U$163,BD!$A$3:$A$5001,_xlfn.MAXIFS(BD!$A$3:$A$5001,BD!$B$3:$B$5001,U$163,BD!$A$3:$A$5001,"&gt;="&amp;$C$8,BD!$A$3:$A$5001,"&lt;="&amp;$D$8,BD!$Q$3:$Q$5001,"&lt;&gt;"))))</f>
        <v/>
      </c>
      <c r="V195" s="56" t="str">
        <f>IF(V$163="","",IF(COUNTIFS(BD!$B$3:$B$5001,V$163,BD!$A$3:$A$5001,"&gt;="&amp;$C$8,BD!$A$3:$A$5001,"&lt;="&amp;$D$8,BD!$Q$3:$Q$5001,"&lt;&gt;")=0,"",SUMIFS(BD!$Q$3:$Q$5001,BD!$B$3:$B$5001,V$163,BD!$A$3:$A$5001,_xlfn.MAXIFS(BD!$A$3:$A$5001,BD!$B$3:$B$5001,V$163,BD!$A$3:$A$5001,"&gt;="&amp;$C$8,BD!$A$3:$A$5001,"&lt;="&amp;$D$8,BD!$Q$3:$Q$5001,"&lt;&gt;"))))</f>
        <v/>
      </c>
    </row>
    <row r="196">
      <c r="A196" s="55" t="inlineStr">
        <is>
          <t xml:space="preserve">Depósito</t>
        </is>
      </c>
      <c r="C196" s="48" t="str">
        <f>IF(Config!$C$10="","JSL",Config!$C$10)</f>
        <v>JSL</v>
      </c>
      <c r="D196" s="48" t="str">
        <f>IF(Config!$C$11="","JSL",Config!$C$11)</f>
        <v>JSL</v>
      </c>
      <c r="E196" s="48" t="str">
        <f>IF(Config!$C$12="","JSL",Config!$C$12)</f>
        <v>JSL</v>
      </c>
      <c r="F196" s="48" t="str">
        <f>IF(Config!$C$13="","JSL",Config!$C$13)</f>
        <v>JSL</v>
      </c>
      <c r="G196" s="48" t="str">
        <f>IF(Config!$C$14="","JSL",Config!$C$14)</f>
        <v>JSL</v>
      </c>
      <c r="H196" s="48" t="str">
        <f>IF(Config!$C$15="","JSL",Config!$C$15)</f>
        <v>JSL</v>
      </c>
      <c r="I196" s="48" t="str">
        <f>IF(Config!$C$16="","JSL",Config!$C$16)</f>
        <v>JSL</v>
      </c>
      <c r="J196" s="48" t="str">
        <f>IF(Config!$C$17="","JSL",Config!$C$17)</f>
        <v>JSL</v>
      </c>
      <c r="K196" s="48" t="str">
        <f>IF(Config!$C$18="","JSL",Config!$C$18)</f>
        <v>JSL</v>
      </c>
      <c r="L196" s="48" t="str">
        <f>IF(Config!$C$19="","JSL",Config!$C$19)</f>
        <v>JSL</v>
      </c>
      <c r="M196" s="48" t="str">
        <f>IF(Config!$C$20="","JSL",Config!$C$20)</f>
        <v>JSL</v>
      </c>
      <c r="N196" s="48" t="str">
        <f>IF(Config!$C$21="","JSL",Config!$C$21)</f>
        <v>JSL</v>
      </c>
      <c r="O196" s="48" t="str">
        <f>IF(Config!$C$22="","JSL",Config!$C$22)</f>
        <v>JSL</v>
      </c>
      <c r="P196" s="48" t="str">
        <f>IF(Config!$C$23="","JSL",Config!$C$23)</f>
        <v>JSL</v>
      </c>
      <c r="Q196" s="48" t="str">
        <f>IF(Config!$C$24="","JSL",Config!$C$24)</f>
        <v>JSL</v>
      </c>
      <c r="R196" s="48" t="str">
        <f>IF(Config!$C$25="","JSL",Config!$C$25)</f>
        <v>JSL</v>
      </c>
      <c r="S196" s="48" t="str">
        <f>IF(Config!$C$26="","JSL",Config!$C$26)</f>
        <v>JSL</v>
      </c>
      <c r="T196" s="48" t="str">
        <f>IF(Config!$C$27="","JSL",Config!$C$27)</f>
        <v>JSL</v>
      </c>
      <c r="U196" s="48" t="str">
        <f>IF(Config!$C$28="","JSL",Config!$C$28)</f>
        <v>JSL</v>
      </c>
      <c r="V196" s="48" t="str">
        <f>IF(Config!$C$29="","JSL",Config!$C$29)</f>
        <v>JSL</v>
      </c>
    </row>
    <row r="198">
      <c r="A198" s="47" t="inlineStr">
        <is>
          <t xml:space="preserve">Posições Ocupadas</t>
        </is>
      </c>
      <c r="B198" s="47" t="inlineStr">
        <is>
          <t xml:space="preserve">Data</t>
        </is>
      </c>
      <c r="C198" s="47" t="str">
        <f>Config!$B$10&amp;""</f>
        <v>Barry Callebaut</v>
      </c>
      <c r="D198" s="47" t="str">
        <f>Config!$B$11&amp;""</f>
        <v>GM</v>
      </c>
      <c r="E198" s="47" t="str">
        <f>Config!$B$12&amp;""</f>
        <v>Mondelez</v>
      </c>
      <c r="F198" s="47" t="str">
        <f>Config!$B$13&amp;""</f>
        <v>Nestlé</v>
      </c>
      <c r="G198" s="47" t="str">
        <f>Config!$B$14&amp;""</f>
        <v>PMB</v>
      </c>
      <c r="H198" s="47" t="str">
        <f>Config!$B$15&amp;""</f>
        <v/>
      </c>
      <c r="I198" s="47" t="str">
        <f>Config!$B$16&amp;""</f>
        <v/>
      </c>
      <c r="J198" s="47" t="str">
        <f>Config!$B$17&amp;""</f>
        <v/>
      </c>
      <c r="K198" s="47" t="str">
        <f>Config!$B$18&amp;""</f>
        <v/>
      </c>
      <c r="L198" s="47" t="str">
        <f>Config!$B$19&amp;""</f>
        <v/>
      </c>
      <c r="M198" s="47" t="str">
        <f>Config!$B$20&amp;""</f>
        <v/>
      </c>
      <c r="N198" s="47" t="str">
        <f>Config!$B$21&amp;""</f>
        <v/>
      </c>
      <c r="O198" s="47" t="str">
        <f>Config!$B$22&amp;""</f>
        <v/>
      </c>
      <c r="P198" s="47" t="str">
        <f>Config!$B$23&amp;""</f>
        <v/>
      </c>
      <c r="Q198" s="47" t="str">
        <f>Config!$B$24&amp;""</f>
        <v/>
      </c>
      <c r="R198" s="47" t="str">
        <f>Config!$B$25&amp;""</f>
        <v/>
      </c>
      <c r="S198" s="47" t="str">
        <f>Config!$B$26&amp;""</f>
        <v/>
      </c>
      <c r="T198" s="47" t="str">
        <f>Config!$B$27&amp;""</f>
        <v/>
      </c>
      <c r="U198" s="47" t="str">
        <f>Config!$B$28&amp;""</f>
        <v/>
      </c>
      <c r="V198" s="47" t="str">
        <f>Config!$B$29&amp;""</f>
        <v/>
      </c>
    </row>
    <row r="199">
      <c r="A199" s="48">
        <v>1</v>
      </c>
      <c r="B199" s="53">
        <f>$B$12</f>
        <v>46296</v>
      </c>
      <c r="C199" s="54" t="str">
        <f>IF(OR($B199="",$A199&gt;$B$9,C$198=""),"",IF(COUNTIFS(BD!$B$3:$B$5001,C$198,BD!$A$3:$A$5001,"&gt;="&amp;$C$7,BD!$A$3:$A$5001,"&lt;="&amp;$B199,BD!$S$3:$S$5001,"&lt;&gt;")=0,"",SUMIFS(BD!$S$3:$S$5001,BD!$B$3:$B$5001,C$198,BD!$A$3:$A$5001,_xlfn.MAXIFS(BD!$A$3:$A$5001,BD!$B$3:$B$5001,C$198,BD!$A$3:$A$5001,"&gt;="&amp;$C$7,BD!$A$3:$A$5001,"&lt;="&amp;$B199,BD!$S$3:$S$5001,"&lt;&gt;"))))</f>
        <v/>
      </c>
      <c r="D199" s="54" t="str">
        <f>IF(OR($B199="",$A199&gt;$B$9,D$198=""),"",IF(COUNTIFS(BD!$B$3:$B$5001,D$198,BD!$A$3:$A$5001,"&gt;="&amp;$C$7,BD!$A$3:$A$5001,"&lt;="&amp;$B199,BD!$S$3:$S$5001,"&lt;&gt;")=0,"",SUMIFS(BD!$S$3:$S$5001,BD!$B$3:$B$5001,D$198,BD!$A$3:$A$5001,_xlfn.MAXIFS(BD!$A$3:$A$5001,BD!$B$3:$B$5001,D$198,BD!$A$3:$A$5001,"&gt;="&amp;$C$7,BD!$A$3:$A$5001,"&lt;="&amp;$B199,BD!$S$3:$S$5001,"&lt;&gt;"))))</f>
        <v/>
      </c>
      <c r="E199" s="54" t="str">
        <f>IF(OR($B199="",$A199&gt;$B$9,E$198=""),"",IF(COUNTIFS(BD!$B$3:$B$5001,E$198,BD!$A$3:$A$5001,"&gt;="&amp;$C$7,BD!$A$3:$A$5001,"&lt;="&amp;$B199,BD!$S$3:$S$5001,"&lt;&gt;")=0,"",SUMIFS(BD!$S$3:$S$5001,BD!$B$3:$B$5001,E$198,BD!$A$3:$A$5001,_xlfn.MAXIFS(BD!$A$3:$A$5001,BD!$B$3:$B$5001,E$198,BD!$A$3:$A$5001,"&gt;="&amp;$C$7,BD!$A$3:$A$5001,"&lt;="&amp;$B199,BD!$S$3:$S$5001,"&lt;&gt;"))))</f>
        <v/>
      </c>
      <c r="F199" s="54" t="str">
        <f>IF(OR($B199="",$A199&gt;$B$9,F$198=""),"",IF(COUNTIFS(BD!$B$3:$B$5001,F$198,BD!$A$3:$A$5001,"&gt;="&amp;$C$7,BD!$A$3:$A$5001,"&lt;="&amp;$B199,BD!$S$3:$S$5001,"&lt;&gt;")=0,"",SUMIFS(BD!$S$3:$S$5001,BD!$B$3:$B$5001,F$198,BD!$A$3:$A$5001,_xlfn.MAXIFS(BD!$A$3:$A$5001,BD!$B$3:$B$5001,F$198,BD!$A$3:$A$5001,"&gt;="&amp;$C$7,BD!$A$3:$A$5001,"&lt;="&amp;$B199,BD!$S$3:$S$5001,"&lt;&gt;"))))</f>
        <v/>
      </c>
      <c r="G199" s="54" t="str">
        <f>IF(OR($B199="",$A199&gt;$B$9,G$198=""),"",IF(COUNTIFS(BD!$B$3:$B$5001,G$198,BD!$A$3:$A$5001,"&gt;="&amp;$C$7,BD!$A$3:$A$5001,"&lt;="&amp;$B199,BD!$S$3:$S$5001,"&lt;&gt;")=0,"",SUMIFS(BD!$S$3:$S$5001,BD!$B$3:$B$5001,G$198,BD!$A$3:$A$5001,_xlfn.MAXIFS(BD!$A$3:$A$5001,BD!$B$3:$B$5001,G$198,BD!$A$3:$A$5001,"&gt;="&amp;$C$7,BD!$A$3:$A$5001,"&lt;="&amp;$B199,BD!$S$3:$S$5001,"&lt;&gt;"))))</f>
        <v/>
      </c>
      <c r="H199" s="54" t="str">
        <f>IF(OR($B199="",$A199&gt;$B$9,H$198=""),"",IF(COUNTIFS(BD!$B$3:$B$5001,H$198,BD!$A$3:$A$5001,"&gt;="&amp;$C$7,BD!$A$3:$A$5001,"&lt;="&amp;$B199,BD!$S$3:$S$5001,"&lt;&gt;")=0,"",SUMIFS(BD!$S$3:$S$5001,BD!$B$3:$B$5001,H$198,BD!$A$3:$A$5001,_xlfn.MAXIFS(BD!$A$3:$A$5001,BD!$B$3:$B$5001,H$198,BD!$A$3:$A$5001,"&gt;="&amp;$C$7,BD!$A$3:$A$5001,"&lt;="&amp;$B199,BD!$S$3:$S$5001,"&lt;&gt;"))))</f>
        <v/>
      </c>
      <c r="I199" s="54" t="str">
        <f>IF(OR($B199="",$A199&gt;$B$9,I$198=""),"",IF(COUNTIFS(BD!$B$3:$B$5001,I$198,BD!$A$3:$A$5001,"&gt;="&amp;$C$7,BD!$A$3:$A$5001,"&lt;="&amp;$B199,BD!$S$3:$S$5001,"&lt;&gt;")=0,"",SUMIFS(BD!$S$3:$S$5001,BD!$B$3:$B$5001,I$198,BD!$A$3:$A$5001,_xlfn.MAXIFS(BD!$A$3:$A$5001,BD!$B$3:$B$5001,I$198,BD!$A$3:$A$5001,"&gt;="&amp;$C$7,BD!$A$3:$A$5001,"&lt;="&amp;$B199,BD!$S$3:$S$5001,"&lt;&gt;"))))</f>
        <v/>
      </c>
      <c r="J199" s="54" t="str">
        <f>IF(OR($B199="",$A199&gt;$B$9,J$198=""),"",IF(COUNTIFS(BD!$B$3:$B$5001,J$198,BD!$A$3:$A$5001,"&gt;="&amp;$C$7,BD!$A$3:$A$5001,"&lt;="&amp;$B199,BD!$S$3:$S$5001,"&lt;&gt;")=0,"",SUMIFS(BD!$S$3:$S$5001,BD!$B$3:$B$5001,J$198,BD!$A$3:$A$5001,_xlfn.MAXIFS(BD!$A$3:$A$5001,BD!$B$3:$B$5001,J$198,BD!$A$3:$A$5001,"&gt;="&amp;$C$7,BD!$A$3:$A$5001,"&lt;="&amp;$B199,BD!$S$3:$S$5001,"&lt;&gt;"))))</f>
        <v/>
      </c>
      <c r="K199" s="54" t="str">
        <f>IF(OR($B199="",$A199&gt;$B$9,K$198=""),"",IF(COUNTIFS(BD!$B$3:$B$5001,K$198,BD!$A$3:$A$5001,"&gt;="&amp;$C$7,BD!$A$3:$A$5001,"&lt;="&amp;$B199,BD!$S$3:$S$5001,"&lt;&gt;")=0,"",SUMIFS(BD!$S$3:$S$5001,BD!$B$3:$B$5001,K$198,BD!$A$3:$A$5001,_xlfn.MAXIFS(BD!$A$3:$A$5001,BD!$B$3:$B$5001,K$198,BD!$A$3:$A$5001,"&gt;="&amp;$C$7,BD!$A$3:$A$5001,"&lt;="&amp;$B199,BD!$S$3:$S$5001,"&lt;&gt;"))))</f>
        <v/>
      </c>
      <c r="L199" s="54" t="str">
        <f>IF(OR($B199="",$A199&gt;$B$9,L$198=""),"",IF(COUNTIFS(BD!$B$3:$B$5001,L$198,BD!$A$3:$A$5001,"&gt;="&amp;$C$7,BD!$A$3:$A$5001,"&lt;="&amp;$B199,BD!$S$3:$S$5001,"&lt;&gt;")=0,"",SUMIFS(BD!$S$3:$S$5001,BD!$B$3:$B$5001,L$198,BD!$A$3:$A$5001,_xlfn.MAXIFS(BD!$A$3:$A$5001,BD!$B$3:$B$5001,L$198,BD!$A$3:$A$5001,"&gt;="&amp;$C$7,BD!$A$3:$A$5001,"&lt;="&amp;$B199,BD!$S$3:$S$5001,"&lt;&gt;"))))</f>
        <v/>
      </c>
      <c r="M199" s="54" t="str">
        <f>IF(OR($B199="",$A199&gt;$B$9,M$198=""),"",IF(COUNTIFS(BD!$B$3:$B$5001,M$198,BD!$A$3:$A$5001,"&gt;="&amp;$C$7,BD!$A$3:$A$5001,"&lt;="&amp;$B199,BD!$S$3:$S$5001,"&lt;&gt;")=0,"",SUMIFS(BD!$S$3:$S$5001,BD!$B$3:$B$5001,M$198,BD!$A$3:$A$5001,_xlfn.MAXIFS(BD!$A$3:$A$5001,BD!$B$3:$B$5001,M$198,BD!$A$3:$A$5001,"&gt;="&amp;$C$7,BD!$A$3:$A$5001,"&lt;="&amp;$B199,BD!$S$3:$S$5001,"&lt;&gt;"))))</f>
        <v/>
      </c>
      <c r="N199" s="54" t="str">
        <f>IF(OR($B199="",$A199&gt;$B$9,N$198=""),"",IF(COUNTIFS(BD!$B$3:$B$5001,N$198,BD!$A$3:$A$5001,"&gt;="&amp;$C$7,BD!$A$3:$A$5001,"&lt;="&amp;$B199,BD!$S$3:$S$5001,"&lt;&gt;")=0,"",SUMIFS(BD!$S$3:$S$5001,BD!$B$3:$B$5001,N$198,BD!$A$3:$A$5001,_xlfn.MAXIFS(BD!$A$3:$A$5001,BD!$B$3:$B$5001,N$198,BD!$A$3:$A$5001,"&gt;="&amp;$C$7,BD!$A$3:$A$5001,"&lt;="&amp;$B199,BD!$S$3:$S$5001,"&lt;&gt;"))))</f>
        <v/>
      </c>
      <c r="O199" s="54" t="str">
        <f>IF(OR($B199="",$A199&gt;$B$9,O$198=""),"",IF(COUNTIFS(BD!$B$3:$B$5001,O$198,BD!$A$3:$A$5001,"&gt;="&amp;$C$7,BD!$A$3:$A$5001,"&lt;="&amp;$B199,BD!$S$3:$S$5001,"&lt;&gt;")=0,"",SUMIFS(BD!$S$3:$S$5001,BD!$B$3:$B$5001,O$198,BD!$A$3:$A$5001,_xlfn.MAXIFS(BD!$A$3:$A$5001,BD!$B$3:$B$5001,O$198,BD!$A$3:$A$5001,"&gt;="&amp;$C$7,BD!$A$3:$A$5001,"&lt;="&amp;$B199,BD!$S$3:$S$5001,"&lt;&gt;"))))</f>
        <v/>
      </c>
      <c r="P199" s="54" t="str">
        <f>IF(OR($B199="",$A199&gt;$B$9,P$198=""),"",IF(COUNTIFS(BD!$B$3:$B$5001,P$198,BD!$A$3:$A$5001,"&gt;="&amp;$C$7,BD!$A$3:$A$5001,"&lt;="&amp;$B199,BD!$S$3:$S$5001,"&lt;&gt;")=0,"",SUMIFS(BD!$S$3:$S$5001,BD!$B$3:$B$5001,P$198,BD!$A$3:$A$5001,_xlfn.MAXIFS(BD!$A$3:$A$5001,BD!$B$3:$B$5001,P$198,BD!$A$3:$A$5001,"&gt;="&amp;$C$7,BD!$A$3:$A$5001,"&lt;="&amp;$B199,BD!$S$3:$S$5001,"&lt;&gt;"))))</f>
        <v/>
      </c>
      <c r="Q199" s="54" t="str">
        <f>IF(OR($B199="",$A199&gt;$B$9,Q$198=""),"",IF(COUNTIFS(BD!$B$3:$B$5001,Q$198,BD!$A$3:$A$5001,"&gt;="&amp;$C$7,BD!$A$3:$A$5001,"&lt;="&amp;$B199,BD!$S$3:$S$5001,"&lt;&gt;")=0,"",SUMIFS(BD!$S$3:$S$5001,BD!$B$3:$B$5001,Q$198,BD!$A$3:$A$5001,_xlfn.MAXIFS(BD!$A$3:$A$5001,BD!$B$3:$B$5001,Q$198,BD!$A$3:$A$5001,"&gt;="&amp;$C$7,BD!$A$3:$A$5001,"&lt;="&amp;$B199,BD!$S$3:$S$5001,"&lt;&gt;"))))</f>
        <v/>
      </c>
      <c r="R199" s="54" t="str">
        <f>IF(OR($B199="",$A199&gt;$B$9,R$198=""),"",IF(COUNTIFS(BD!$B$3:$B$5001,R$198,BD!$A$3:$A$5001,"&gt;="&amp;$C$7,BD!$A$3:$A$5001,"&lt;="&amp;$B199,BD!$S$3:$S$5001,"&lt;&gt;")=0,"",SUMIFS(BD!$S$3:$S$5001,BD!$B$3:$B$5001,R$198,BD!$A$3:$A$5001,_xlfn.MAXIFS(BD!$A$3:$A$5001,BD!$B$3:$B$5001,R$198,BD!$A$3:$A$5001,"&gt;="&amp;$C$7,BD!$A$3:$A$5001,"&lt;="&amp;$B199,BD!$S$3:$S$5001,"&lt;&gt;"))))</f>
        <v/>
      </c>
      <c r="S199" s="54" t="str">
        <f>IF(OR($B199="",$A199&gt;$B$9,S$198=""),"",IF(COUNTIFS(BD!$B$3:$B$5001,S$198,BD!$A$3:$A$5001,"&gt;="&amp;$C$7,BD!$A$3:$A$5001,"&lt;="&amp;$B199,BD!$S$3:$S$5001,"&lt;&gt;")=0,"",SUMIFS(BD!$S$3:$S$5001,BD!$B$3:$B$5001,S$198,BD!$A$3:$A$5001,_xlfn.MAXIFS(BD!$A$3:$A$5001,BD!$B$3:$B$5001,S$198,BD!$A$3:$A$5001,"&gt;="&amp;$C$7,BD!$A$3:$A$5001,"&lt;="&amp;$B199,BD!$S$3:$S$5001,"&lt;&gt;"))))</f>
        <v/>
      </c>
      <c r="T199" s="54" t="str">
        <f>IF(OR($B199="",$A199&gt;$B$9,T$198=""),"",IF(COUNTIFS(BD!$B$3:$B$5001,T$198,BD!$A$3:$A$5001,"&gt;="&amp;$C$7,BD!$A$3:$A$5001,"&lt;="&amp;$B199,BD!$S$3:$S$5001,"&lt;&gt;")=0,"",SUMIFS(BD!$S$3:$S$5001,BD!$B$3:$B$5001,T$198,BD!$A$3:$A$5001,_xlfn.MAXIFS(BD!$A$3:$A$5001,BD!$B$3:$B$5001,T$198,BD!$A$3:$A$5001,"&gt;="&amp;$C$7,BD!$A$3:$A$5001,"&lt;="&amp;$B199,BD!$S$3:$S$5001,"&lt;&gt;"))))</f>
        <v/>
      </c>
      <c r="U199" s="54" t="str">
        <f>IF(OR($B199="",$A199&gt;$B$9,U$198=""),"",IF(COUNTIFS(BD!$B$3:$B$5001,U$198,BD!$A$3:$A$5001,"&gt;="&amp;$C$7,BD!$A$3:$A$5001,"&lt;="&amp;$B199,BD!$S$3:$S$5001,"&lt;&gt;")=0,"",SUMIFS(BD!$S$3:$S$5001,BD!$B$3:$B$5001,U$198,BD!$A$3:$A$5001,_xlfn.MAXIFS(BD!$A$3:$A$5001,BD!$B$3:$B$5001,U$198,BD!$A$3:$A$5001,"&gt;="&amp;$C$7,BD!$A$3:$A$5001,"&lt;="&amp;$B199,BD!$S$3:$S$5001,"&lt;&gt;"))))</f>
        <v/>
      </c>
      <c r="V199" s="54" t="str">
        <f>IF(OR($B199="",$A199&gt;$B$9,V$198=""),"",IF(COUNTIFS(BD!$B$3:$B$5001,V$198,BD!$A$3:$A$5001,"&gt;="&amp;$C$7,BD!$A$3:$A$5001,"&lt;="&amp;$B199,BD!$S$3:$S$5001,"&lt;&gt;")=0,"",SUMIFS(BD!$S$3:$S$5001,BD!$B$3:$B$5001,V$198,BD!$A$3:$A$5001,_xlfn.MAXIFS(BD!$A$3:$A$5001,BD!$B$3:$B$5001,V$198,BD!$A$3:$A$5001,"&gt;="&amp;$C$7,BD!$A$3:$A$5001,"&lt;="&amp;$B199,BD!$S$3:$S$5001,"&lt;&gt;"))))</f>
        <v/>
      </c>
    </row>
    <row r="200">
      <c r="A200" s="48">
        <v>2</v>
      </c>
      <c r="B200" s="53">
        <f>$B$13</f>
        <v>46297</v>
      </c>
      <c r="C200" s="54" t="str">
        <f>IF(OR($B200="",$A200&gt;$B$9,C$198=""),"",IF(COUNTIFS(BD!$B$3:$B$5001,C$198,BD!$A$3:$A$5001,"&gt;="&amp;$C$7,BD!$A$3:$A$5001,"&lt;="&amp;$B200,BD!$S$3:$S$5001,"&lt;&gt;")=0,"",SUMIFS(BD!$S$3:$S$5001,BD!$B$3:$B$5001,C$198,BD!$A$3:$A$5001,_xlfn.MAXIFS(BD!$A$3:$A$5001,BD!$B$3:$B$5001,C$198,BD!$A$3:$A$5001,"&gt;="&amp;$C$7,BD!$A$3:$A$5001,"&lt;="&amp;$B200,BD!$S$3:$S$5001,"&lt;&gt;"))))</f>
        <v/>
      </c>
      <c r="D200" s="54" t="str">
        <f>IF(OR($B200="",$A200&gt;$B$9,D$198=""),"",IF(COUNTIFS(BD!$B$3:$B$5001,D$198,BD!$A$3:$A$5001,"&gt;="&amp;$C$7,BD!$A$3:$A$5001,"&lt;="&amp;$B200,BD!$S$3:$S$5001,"&lt;&gt;")=0,"",SUMIFS(BD!$S$3:$S$5001,BD!$B$3:$B$5001,D$198,BD!$A$3:$A$5001,_xlfn.MAXIFS(BD!$A$3:$A$5001,BD!$B$3:$B$5001,D$198,BD!$A$3:$A$5001,"&gt;="&amp;$C$7,BD!$A$3:$A$5001,"&lt;="&amp;$B200,BD!$S$3:$S$5001,"&lt;&gt;"))))</f>
        <v/>
      </c>
      <c r="E200" s="54" t="str">
        <f>IF(OR($B200="",$A200&gt;$B$9,E$198=""),"",IF(COUNTIFS(BD!$B$3:$B$5001,E$198,BD!$A$3:$A$5001,"&gt;="&amp;$C$7,BD!$A$3:$A$5001,"&lt;="&amp;$B200,BD!$S$3:$S$5001,"&lt;&gt;")=0,"",SUMIFS(BD!$S$3:$S$5001,BD!$B$3:$B$5001,E$198,BD!$A$3:$A$5001,_xlfn.MAXIFS(BD!$A$3:$A$5001,BD!$B$3:$B$5001,E$198,BD!$A$3:$A$5001,"&gt;="&amp;$C$7,BD!$A$3:$A$5001,"&lt;="&amp;$B200,BD!$S$3:$S$5001,"&lt;&gt;"))))</f>
        <v/>
      </c>
      <c r="F200" s="54" t="str">
        <f>IF(OR($B200="",$A200&gt;$B$9,F$198=""),"",IF(COUNTIFS(BD!$B$3:$B$5001,F$198,BD!$A$3:$A$5001,"&gt;="&amp;$C$7,BD!$A$3:$A$5001,"&lt;="&amp;$B200,BD!$S$3:$S$5001,"&lt;&gt;")=0,"",SUMIFS(BD!$S$3:$S$5001,BD!$B$3:$B$5001,F$198,BD!$A$3:$A$5001,_xlfn.MAXIFS(BD!$A$3:$A$5001,BD!$B$3:$B$5001,F$198,BD!$A$3:$A$5001,"&gt;="&amp;$C$7,BD!$A$3:$A$5001,"&lt;="&amp;$B200,BD!$S$3:$S$5001,"&lt;&gt;"))))</f>
        <v/>
      </c>
      <c r="G200" s="54" t="str">
        <f>IF(OR($B200="",$A200&gt;$B$9,G$198=""),"",IF(COUNTIFS(BD!$B$3:$B$5001,G$198,BD!$A$3:$A$5001,"&gt;="&amp;$C$7,BD!$A$3:$A$5001,"&lt;="&amp;$B200,BD!$S$3:$S$5001,"&lt;&gt;")=0,"",SUMIFS(BD!$S$3:$S$5001,BD!$B$3:$B$5001,G$198,BD!$A$3:$A$5001,_xlfn.MAXIFS(BD!$A$3:$A$5001,BD!$B$3:$B$5001,G$198,BD!$A$3:$A$5001,"&gt;="&amp;$C$7,BD!$A$3:$A$5001,"&lt;="&amp;$B200,BD!$S$3:$S$5001,"&lt;&gt;"))))</f>
        <v/>
      </c>
      <c r="H200" s="54" t="str">
        <f>IF(OR($B200="",$A200&gt;$B$9,H$198=""),"",IF(COUNTIFS(BD!$B$3:$B$5001,H$198,BD!$A$3:$A$5001,"&gt;="&amp;$C$7,BD!$A$3:$A$5001,"&lt;="&amp;$B200,BD!$S$3:$S$5001,"&lt;&gt;")=0,"",SUMIFS(BD!$S$3:$S$5001,BD!$B$3:$B$5001,H$198,BD!$A$3:$A$5001,_xlfn.MAXIFS(BD!$A$3:$A$5001,BD!$B$3:$B$5001,H$198,BD!$A$3:$A$5001,"&gt;="&amp;$C$7,BD!$A$3:$A$5001,"&lt;="&amp;$B200,BD!$S$3:$S$5001,"&lt;&gt;"))))</f>
        <v/>
      </c>
      <c r="I200" s="54" t="str">
        <f>IF(OR($B200="",$A200&gt;$B$9,I$198=""),"",IF(COUNTIFS(BD!$B$3:$B$5001,I$198,BD!$A$3:$A$5001,"&gt;="&amp;$C$7,BD!$A$3:$A$5001,"&lt;="&amp;$B200,BD!$S$3:$S$5001,"&lt;&gt;")=0,"",SUMIFS(BD!$S$3:$S$5001,BD!$B$3:$B$5001,I$198,BD!$A$3:$A$5001,_xlfn.MAXIFS(BD!$A$3:$A$5001,BD!$B$3:$B$5001,I$198,BD!$A$3:$A$5001,"&gt;="&amp;$C$7,BD!$A$3:$A$5001,"&lt;="&amp;$B200,BD!$S$3:$S$5001,"&lt;&gt;"))))</f>
        <v/>
      </c>
      <c r="J200" s="54" t="str">
        <f>IF(OR($B200="",$A200&gt;$B$9,J$198=""),"",IF(COUNTIFS(BD!$B$3:$B$5001,J$198,BD!$A$3:$A$5001,"&gt;="&amp;$C$7,BD!$A$3:$A$5001,"&lt;="&amp;$B200,BD!$S$3:$S$5001,"&lt;&gt;")=0,"",SUMIFS(BD!$S$3:$S$5001,BD!$B$3:$B$5001,J$198,BD!$A$3:$A$5001,_xlfn.MAXIFS(BD!$A$3:$A$5001,BD!$B$3:$B$5001,J$198,BD!$A$3:$A$5001,"&gt;="&amp;$C$7,BD!$A$3:$A$5001,"&lt;="&amp;$B200,BD!$S$3:$S$5001,"&lt;&gt;"))))</f>
        <v/>
      </c>
      <c r="K200" s="54" t="str">
        <f>IF(OR($B200="",$A200&gt;$B$9,K$198=""),"",IF(COUNTIFS(BD!$B$3:$B$5001,K$198,BD!$A$3:$A$5001,"&gt;="&amp;$C$7,BD!$A$3:$A$5001,"&lt;="&amp;$B200,BD!$S$3:$S$5001,"&lt;&gt;")=0,"",SUMIFS(BD!$S$3:$S$5001,BD!$B$3:$B$5001,K$198,BD!$A$3:$A$5001,_xlfn.MAXIFS(BD!$A$3:$A$5001,BD!$B$3:$B$5001,K$198,BD!$A$3:$A$5001,"&gt;="&amp;$C$7,BD!$A$3:$A$5001,"&lt;="&amp;$B200,BD!$S$3:$S$5001,"&lt;&gt;"))))</f>
        <v/>
      </c>
      <c r="L200" s="54" t="str">
        <f>IF(OR($B200="",$A200&gt;$B$9,L$198=""),"",IF(COUNTIFS(BD!$B$3:$B$5001,L$198,BD!$A$3:$A$5001,"&gt;="&amp;$C$7,BD!$A$3:$A$5001,"&lt;="&amp;$B200,BD!$S$3:$S$5001,"&lt;&gt;")=0,"",SUMIFS(BD!$S$3:$S$5001,BD!$B$3:$B$5001,L$198,BD!$A$3:$A$5001,_xlfn.MAXIFS(BD!$A$3:$A$5001,BD!$B$3:$B$5001,L$198,BD!$A$3:$A$5001,"&gt;="&amp;$C$7,BD!$A$3:$A$5001,"&lt;="&amp;$B200,BD!$S$3:$S$5001,"&lt;&gt;"))))</f>
        <v/>
      </c>
      <c r="M200" s="54" t="str">
        <f>IF(OR($B200="",$A200&gt;$B$9,M$198=""),"",IF(COUNTIFS(BD!$B$3:$B$5001,M$198,BD!$A$3:$A$5001,"&gt;="&amp;$C$7,BD!$A$3:$A$5001,"&lt;="&amp;$B200,BD!$S$3:$S$5001,"&lt;&gt;")=0,"",SUMIFS(BD!$S$3:$S$5001,BD!$B$3:$B$5001,M$198,BD!$A$3:$A$5001,_xlfn.MAXIFS(BD!$A$3:$A$5001,BD!$B$3:$B$5001,M$198,BD!$A$3:$A$5001,"&gt;="&amp;$C$7,BD!$A$3:$A$5001,"&lt;="&amp;$B200,BD!$S$3:$S$5001,"&lt;&gt;"))))</f>
        <v/>
      </c>
      <c r="N200" s="54" t="str">
        <f>IF(OR($B200="",$A200&gt;$B$9,N$198=""),"",IF(COUNTIFS(BD!$B$3:$B$5001,N$198,BD!$A$3:$A$5001,"&gt;="&amp;$C$7,BD!$A$3:$A$5001,"&lt;="&amp;$B200,BD!$S$3:$S$5001,"&lt;&gt;")=0,"",SUMIFS(BD!$S$3:$S$5001,BD!$B$3:$B$5001,N$198,BD!$A$3:$A$5001,_xlfn.MAXIFS(BD!$A$3:$A$5001,BD!$B$3:$B$5001,N$198,BD!$A$3:$A$5001,"&gt;="&amp;$C$7,BD!$A$3:$A$5001,"&lt;="&amp;$B200,BD!$S$3:$S$5001,"&lt;&gt;"))))</f>
        <v/>
      </c>
      <c r="O200" s="54" t="str">
        <f>IF(OR($B200="",$A200&gt;$B$9,O$198=""),"",IF(COUNTIFS(BD!$B$3:$B$5001,O$198,BD!$A$3:$A$5001,"&gt;="&amp;$C$7,BD!$A$3:$A$5001,"&lt;="&amp;$B200,BD!$S$3:$S$5001,"&lt;&gt;")=0,"",SUMIFS(BD!$S$3:$S$5001,BD!$B$3:$B$5001,O$198,BD!$A$3:$A$5001,_xlfn.MAXIFS(BD!$A$3:$A$5001,BD!$B$3:$B$5001,O$198,BD!$A$3:$A$5001,"&gt;="&amp;$C$7,BD!$A$3:$A$5001,"&lt;="&amp;$B200,BD!$S$3:$S$5001,"&lt;&gt;"))))</f>
        <v/>
      </c>
      <c r="P200" s="54" t="str">
        <f>IF(OR($B200="",$A200&gt;$B$9,P$198=""),"",IF(COUNTIFS(BD!$B$3:$B$5001,P$198,BD!$A$3:$A$5001,"&gt;="&amp;$C$7,BD!$A$3:$A$5001,"&lt;="&amp;$B200,BD!$S$3:$S$5001,"&lt;&gt;")=0,"",SUMIFS(BD!$S$3:$S$5001,BD!$B$3:$B$5001,P$198,BD!$A$3:$A$5001,_xlfn.MAXIFS(BD!$A$3:$A$5001,BD!$B$3:$B$5001,P$198,BD!$A$3:$A$5001,"&gt;="&amp;$C$7,BD!$A$3:$A$5001,"&lt;="&amp;$B200,BD!$S$3:$S$5001,"&lt;&gt;"))))</f>
        <v/>
      </c>
      <c r="Q200" s="54" t="str">
        <f>IF(OR($B200="",$A200&gt;$B$9,Q$198=""),"",IF(COUNTIFS(BD!$B$3:$B$5001,Q$198,BD!$A$3:$A$5001,"&gt;="&amp;$C$7,BD!$A$3:$A$5001,"&lt;="&amp;$B200,BD!$S$3:$S$5001,"&lt;&gt;")=0,"",SUMIFS(BD!$S$3:$S$5001,BD!$B$3:$B$5001,Q$198,BD!$A$3:$A$5001,_xlfn.MAXIFS(BD!$A$3:$A$5001,BD!$B$3:$B$5001,Q$198,BD!$A$3:$A$5001,"&gt;="&amp;$C$7,BD!$A$3:$A$5001,"&lt;="&amp;$B200,BD!$S$3:$S$5001,"&lt;&gt;"))))</f>
        <v/>
      </c>
      <c r="R200" s="54" t="str">
        <f>IF(OR($B200="",$A200&gt;$B$9,R$198=""),"",IF(COUNTIFS(BD!$B$3:$B$5001,R$198,BD!$A$3:$A$5001,"&gt;="&amp;$C$7,BD!$A$3:$A$5001,"&lt;="&amp;$B200,BD!$S$3:$S$5001,"&lt;&gt;")=0,"",SUMIFS(BD!$S$3:$S$5001,BD!$B$3:$B$5001,R$198,BD!$A$3:$A$5001,_xlfn.MAXIFS(BD!$A$3:$A$5001,BD!$B$3:$B$5001,R$198,BD!$A$3:$A$5001,"&gt;="&amp;$C$7,BD!$A$3:$A$5001,"&lt;="&amp;$B200,BD!$S$3:$S$5001,"&lt;&gt;"))))</f>
        <v/>
      </c>
      <c r="S200" s="54" t="str">
        <f>IF(OR($B200="",$A200&gt;$B$9,S$198=""),"",IF(COUNTIFS(BD!$B$3:$B$5001,S$198,BD!$A$3:$A$5001,"&gt;="&amp;$C$7,BD!$A$3:$A$5001,"&lt;="&amp;$B200,BD!$S$3:$S$5001,"&lt;&gt;")=0,"",SUMIFS(BD!$S$3:$S$5001,BD!$B$3:$B$5001,S$198,BD!$A$3:$A$5001,_xlfn.MAXIFS(BD!$A$3:$A$5001,BD!$B$3:$B$5001,S$198,BD!$A$3:$A$5001,"&gt;="&amp;$C$7,BD!$A$3:$A$5001,"&lt;="&amp;$B200,BD!$S$3:$S$5001,"&lt;&gt;"))))</f>
        <v/>
      </c>
      <c r="T200" s="54" t="str">
        <f>IF(OR($B200="",$A200&gt;$B$9,T$198=""),"",IF(COUNTIFS(BD!$B$3:$B$5001,T$198,BD!$A$3:$A$5001,"&gt;="&amp;$C$7,BD!$A$3:$A$5001,"&lt;="&amp;$B200,BD!$S$3:$S$5001,"&lt;&gt;")=0,"",SUMIFS(BD!$S$3:$S$5001,BD!$B$3:$B$5001,T$198,BD!$A$3:$A$5001,_xlfn.MAXIFS(BD!$A$3:$A$5001,BD!$B$3:$B$5001,T$198,BD!$A$3:$A$5001,"&gt;="&amp;$C$7,BD!$A$3:$A$5001,"&lt;="&amp;$B200,BD!$S$3:$S$5001,"&lt;&gt;"))))</f>
        <v/>
      </c>
      <c r="U200" s="54" t="str">
        <f>IF(OR($B200="",$A200&gt;$B$9,U$198=""),"",IF(COUNTIFS(BD!$B$3:$B$5001,U$198,BD!$A$3:$A$5001,"&gt;="&amp;$C$7,BD!$A$3:$A$5001,"&lt;="&amp;$B200,BD!$S$3:$S$5001,"&lt;&gt;")=0,"",SUMIFS(BD!$S$3:$S$5001,BD!$B$3:$B$5001,U$198,BD!$A$3:$A$5001,_xlfn.MAXIFS(BD!$A$3:$A$5001,BD!$B$3:$B$5001,U$198,BD!$A$3:$A$5001,"&gt;="&amp;$C$7,BD!$A$3:$A$5001,"&lt;="&amp;$B200,BD!$S$3:$S$5001,"&lt;&gt;"))))</f>
        <v/>
      </c>
      <c r="V200" s="54" t="str">
        <f>IF(OR($B200="",$A200&gt;$B$9,V$198=""),"",IF(COUNTIFS(BD!$B$3:$B$5001,V$198,BD!$A$3:$A$5001,"&gt;="&amp;$C$7,BD!$A$3:$A$5001,"&lt;="&amp;$B200,BD!$S$3:$S$5001,"&lt;&gt;")=0,"",SUMIFS(BD!$S$3:$S$5001,BD!$B$3:$B$5001,V$198,BD!$A$3:$A$5001,_xlfn.MAXIFS(BD!$A$3:$A$5001,BD!$B$3:$B$5001,V$198,BD!$A$3:$A$5001,"&gt;="&amp;$C$7,BD!$A$3:$A$5001,"&lt;="&amp;$B200,BD!$S$3:$S$5001,"&lt;&gt;"))))</f>
        <v/>
      </c>
    </row>
    <row r="201">
      <c r="A201" s="48">
        <v>3</v>
      </c>
      <c r="B201" s="53">
        <f>$B$14</f>
        <v>46298</v>
      </c>
      <c r="C201" s="54" t="str">
        <f>IF(OR($B201="",$A201&gt;$B$9,C$198=""),"",IF(COUNTIFS(BD!$B$3:$B$5001,C$198,BD!$A$3:$A$5001,"&gt;="&amp;$C$7,BD!$A$3:$A$5001,"&lt;="&amp;$B201,BD!$S$3:$S$5001,"&lt;&gt;")=0,"",SUMIFS(BD!$S$3:$S$5001,BD!$B$3:$B$5001,C$198,BD!$A$3:$A$5001,_xlfn.MAXIFS(BD!$A$3:$A$5001,BD!$B$3:$B$5001,C$198,BD!$A$3:$A$5001,"&gt;="&amp;$C$7,BD!$A$3:$A$5001,"&lt;="&amp;$B201,BD!$S$3:$S$5001,"&lt;&gt;"))))</f>
        <v/>
      </c>
      <c r="D201" s="54" t="str">
        <f>IF(OR($B201="",$A201&gt;$B$9,D$198=""),"",IF(COUNTIFS(BD!$B$3:$B$5001,D$198,BD!$A$3:$A$5001,"&gt;="&amp;$C$7,BD!$A$3:$A$5001,"&lt;="&amp;$B201,BD!$S$3:$S$5001,"&lt;&gt;")=0,"",SUMIFS(BD!$S$3:$S$5001,BD!$B$3:$B$5001,D$198,BD!$A$3:$A$5001,_xlfn.MAXIFS(BD!$A$3:$A$5001,BD!$B$3:$B$5001,D$198,BD!$A$3:$A$5001,"&gt;="&amp;$C$7,BD!$A$3:$A$5001,"&lt;="&amp;$B201,BD!$S$3:$S$5001,"&lt;&gt;"))))</f>
        <v/>
      </c>
      <c r="E201" s="54" t="str">
        <f>IF(OR($B201="",$A201&gt;$B$9,E$198=""),"",IF(COUNTIFS(BD!$B$3:$B$5001,E$198,BD!$A$3:$A$5001,"&gt;="&amp;$C$7,BD!$A$3:$A$5001,"&lt;="&amp;$B201,BD!$S$3:$S$5001,"&lt;&gt;")=0,"",SUMIFS(BD!$S$3:$S$5001,BD!$B$3:$B$5001,E$198,BD!$A$3:$A$5001,_xlfn.MAXIFS(BD!$A$3:$A$5001,BD!$B$3:$B$5001,E$198,BD!$A$3:$A$5001,"&gt;="&amp;$C$7,BD!$A$3:$A$5001,"&lt;="&amp;$B201,BD!$S$3:$S$5001,"&lt;&gt;"))))</f>
        <v/>
      </c>
      <c r="F201" s="54" t="str">
        <f>IF(OR($B201="",$A201&gt;$B$9,F$198=""),"",IF(COUNTIFS(BD!$B$3:$B$5001,F$198,BD!$A$3:$A$5001,"&gt;="&amp;$C$7,BD!$A$3:$A$5001,"&lt;="&amp;$B201,BD!$S$3:$S$5001,"&lt;&gt;")=0,"",SUMIFS(BD!$S$3:$S$5001,BD!$B$3:$B$5001,F$198,BD!$A$3:$A$5001,_xlfn.MAXIFS(BD!$A$3:$A$5001,BD!$B$3:$B$5001,F$198,BD!$A$3:$A$5001,"&gt;="&amp;$C$7,BD!$A$3:$A$5001,"&lt;="&amp;$B201,BD!$S$3:$S$5001,"&lt;&gt;"))))</f>
        <v/>
      </c>
      <c r="G201" s="54" t="str">
        <f>IF(OR($B201="",$A201&gt;$B$9,G$198=""),"",IF(COUNTIFS(BD!$B$3:$B$5001,G$198,BD!$A$3:$A$5001,"&gt;="&amp;$C$7,BD!$A$3:$A$5001,"&lt;="&amp;$B201,BD!$S$3:$S$5001,"&lt;&gt;")=0,"",SUMIFS(BD!$S$3:$S$5001,BD!$B$3:$B$5001,G$198,BD!$A$3:$A$5001,_xlfn.MAXIFS(BD!$A$3:$A$5001,BD!$B$3:$B$5001,G$198,BD!$A$3:$A$5001,"&gt;="&amp;$C$7,BD!$A$3:$A$5001,"&lt;="&amp;$B201,BD!$S$3:$S$5001,"&lt;&gt;"))))</f>
        <v/>
      </c>
      <c r="H201" s="54" t="str">
        <f>IF(OR($B201="",$A201&gt;$B$9,H$198=""),"",IF(COUNTIFS(BD!$B$3:$B$5001,H$198,BD!$A$3:$A$5001,"&gt;="&amp;$C$7,BD!$A$3:$A$5001,"&lt;="&amp;$B201,BD!$S$3:$S$5001,"&lt;&gt;")=0,"",SUMIFS(BD!$S$3:$S$5001,BD!$B$3:$B$5001,H$198,BD!$A$3:$A$5001,_xlfn.MAXIFS(BD!$A$3:$A$5001,BD!$B$3:$B$5001,H$198,BD!$A$3:$A$5001,"&gt;="&amp;$C$7,BD!$A$3:$A$5001,"&lt;="&amp;$B201,BD!$S$3:$S$5001,"&lt;&gt;"))))</f>
        <v/>
      </c>
      <c r="I201" s="54" t="str">
        <f>IF(OR($B201="",$A201&gt;$B$9,I$198=""),"",IF(COUNTIFS(BD!$B$3:$B$5001,I$198,BD!$A$3:$A$5001,"&gt;="&amp;$C$7,BD!$A$3:$A$5001,"&lt;="&amp;$B201,BD!$S$3:$S$5001,"&lt;&gt;")=0,"",SUMIFS(BD!$S$3:$S$5001,BD!$B$3:$B$5001,I$198,BD!$A$3:$A$5001,_xlfn.MAXIFS(BD!$A$3:$A$5001,BD!$B$3:$B$5001,I$198,BD!$A$3:$A$5001,"&gt;="&amp;$C$7,BD!$A$3:$A$5001,"&lt;="&amp;$B201,BD!$S$3:$S$5001,"&lt;&gt;"))))</f>
        <v/>
      </c>
      <c r="J201" s="54" t="str">
        <f>IF(OR($B201="",$A201&gt;$B$9,J$198=""),"",IF(COUNTIFS(BD!$B$3:$B$5001,J$198,BD!$A$3:$A$5001,"&gt;="&amp;$C$7,BD!$A$3:$A$5001,"&lt;="&amp;$B201,BD!$S$3:$S$5001,"&lt;&gt;")=0,"",SUMIFS(BD!$S$3:$S$5001,BD!$B$3:$B$5001,J$198,BD!$A$3:$A$5001,_xlfn.MAXIFS(BD!$A$3:$A$5001,BD!$B$3:$B$5001,J$198,BD!$A$3:$A$5001,"&gt;="&amp;$C$7,BD!$A$3:$A$5001,"&lt;="&amp;$B201,BD!$S$3:$S$5001,"&lt;&gt;"))))</f>
        <v/>
      </c>
      <c r="K201" s="54" t="str">
        <f>IF(OR($B201="",$A201&gt;$B$9,K$198=""),"",IF(COUNTIFS(BD!$B$3:$B$5001,K$198,BD!$A$3:$A$5001,"&gt;="&amp;$C$7,BD!$A$3:$A$5001,"&lt;="&amp;$B201,BD!$S$3:$S$5001,"&lt;&gt;")=0,"",SUMIFS(BD!$S$3:$S$5001,BD!$B$3:$B$5001,K$198,BD!$A$3:$A$5001,_xlfn.MAXIFS(BD!$A$3:$A$5001,BD!$B$3:$B$5001,K$198,BD!$A$3:$A$5001,"&gt;="&amp;$C$7,BD!$A$3:$A$5001,"&lt;="&amp;$B201,BD!$S$3:$S$5001,"&lt;&gt;"))))</f>
        <v/>
      </c>
      <c r="L201" s="54" t="str">
        <f>IF(OR($B201="",$A201&gt;$B$9,L$198=""),"",IF(COUNTIFS(BD!$B$3:$B$5001,L$198,BD!$A$3:$A$5001,"&gt;="&amp;$C$7,BD!$A$3:$A$5001,"&lt;="&amp;$B201,BD!$S$3:$S$5001,"&lt;&gt;")=0,"",SUMIFS(BD!$S$3:$S$5001,BD!$B$3:$B$5001,L$198,BD!$A$3:$A$5001,_xlfn.MAXIFS(BD!$A$3:$A$5001,BD!$B$3:$B$5001,L$198,BD!$A$3:$A$5001,"&gt;="&amp;$C$7,BD!$A$3:$A$5001,"&lt;="&amp;$B201,BD!$S$3:$S$5001,"&lt;&gt;"))))</f>
        <v/>
      </c>
      <c r="M201" s="54" t="str">
        <f>IF(OR($B201="",$A201&gt;$B$9,M$198=""),"",IF(COUNTIFS(BD!$B$3:$B$5001,M$198,BD!$A$3:$A$5001,"&gt;="&amp;$C$7,BD!$A$3:$A$5001,"&lt;="&amp;$B201,BD!$S$3:$S$5001,"&lt;&gt;")=0,"",SUMIFS(BD!$S$3:$S$5001,BD!$B$3:$B$5001,M$198,BD!$A$3:$A$5001,_xlfn.MAXIFS(BD!$A$3:$A$5001,BD!$B$3:$B$5001,M$198,BD!$A$3:$A$5001,"&gt;="&amp;$C$7,BD!$A$3:$A$5001,"&lt;="&amp;$B201,BD!$S$3:$S$5001,"&lt;&gt;"))))</f>
        <v/>
      </c>
      <c r="N201" s="54" t="str">
        <f>IF(OR($B201="",$A201&gt;$B$9,N$198=""),"",IF(COUNTIFS(BD!$B$3:$B$5001,N$198,BD!$A$3:$A$5001,"&gt;="&amp;$C$7,BD!$A$3:$A$5001,"&lt;="&amp;$B201,BD!$S$3:$S$5001,"&lt;&gt;")=0,"",SUMIFS(BD!$S$3:$S$5001,BD!$B$3:$B$5001,N$198,BD!$A$3:$A$5001,_xlfn.MAXIFS(BD!$A$3:$A$5001,BD!$B$3:$B$5001,N$198,BD!$A$3:$A$5001,"&gt;="&amp;$C$7,BD!$A$3:$A$5001,"&lt;="&amp;$B201,BD!$S$3:$S$5001,"&lt;&gt;"))))</f>
        <v/>
      </c>
      <c r="O201" s="54" t="str">
        <f>IF(OR($B201="",$A201&gt;$B$9,O$198=""),"",IF(COUNTIFS(BD!$B$3:$B$5001,O$198,BD!$A$3:$A$5001,"&gt;="&amp;$C$7,BD!$A$3:$A$5001,"&lt;="&amp;$B201,BD!$S$3:$S$5001,"&lt;&gt;")=0,"",SUMIFS(BD!$S$3:$S$5001,BD!$B$3:$B$5001,O$198,BD!$A$3:$A$5001,_xlfn.MAXIFS(BD!$A$3:$A$5001,BD!$B$3:$B$5001,O$198,BD!$A$3:$A$5001,"&gt;="&amp;$C$7,BD!$A$3:$A$5001,"&lt;="&amp;$B201,BD!$S$3:$S$5001,"&lt;&gt;"))))</f>
        <v/>
      </c>
      <c r="P201" s="54" t="str">
        <f>IF(OR($B201="",$A201&gt;$B$9,P$198=""),"",IF(COUNTIFS(BD!$B$3:$B$5001,P$198,BD!$A$3:$A$5001,"&gt;="&amp;$C$7,BD!$A$3:$A$5001,"&lt;="&amp;$B201,BD!$S$3:$S$5001,"&lt;&gt;")=0,"",SUMIFS(BD!$S$3:$S$5001,BD!$B$3:$B$5001,P$198,BD!$A$3:$A$5001,_xlfn.MAXIFS(BD!$A$3:$A$5001,BD!$B$3:$B$5001,P$198,BD!$A$3:$A$5001,"&gt;="&amp;$C$7,BD!$A$3:$A$5001,"&lt;="&amp;$B201,BD!$S$3:$S$5001,"&lt;&gt;"))))</f>
        <v/>
      </c>
      <c r="Q201" s="54" t="str">
        <f>IF(OR($B201="",$A201&gt;$B$9,Q$198=""),"",IF(COUNTIFS(BD!$B$3:$B$5001,Q$198,BD!$A$3:$A$5001,"&gt;="&amp;$C$7,BD!$A$3:$A$5001,"&lt;="&amp;$B201,BD!$S$3:$S$5001,"&lt;&gt;")=0,"",SUMIFS(BD!$S$3:$S$5001,BD!$B$3:$B$5001,Q$198,BD!$A$3:$A$5001,_xlfn.MAXIFS(BD!$A$3:$A$5001,BD!$B$3:$B$5001,Q$198,BD!$A$3:$A$5001,"&gt;="&amp;$C$7,BD!$A$3:$A$5001,"&lt;="&amp;$B201,BD!$S$3:$S$5001,"&lt;&gt;"))))</f>
        <v/>
      </c>
      <c r="R201" s="54" t="str">
        <f>IF(OR($B201="",$A201&gt;$B$9,R$198=""),"",IF(COUNTIFS(BD!$B$3:$B$5001,R$198,BD!$A$3:$A$5001,"&gt;="&amp;$C$7,BD!$A$3:$A$5001,"&lt;="&amp;$B201,BD!$S$3:$S$5001,"&lt;&gt;")=0,"",SUMIFS(BD!$S$3:$S$5001,BD!$B$3:$B$5001,R$198,BD!$A$3:$A$5001,_xlfn.MAXIFS(BD!$A$3:$A$5001,BD!$B$3:$B$5001,R$198,BD!$A$3:$A$5001,"&gt;="&amp;$C$7,BD!$A$3:$A$5001,"&lt;="&amp;$B201,BD!$S$3:$S$5001,"&lt;&gt;"))))</f>
        <v/>
      </c>
      <c r="S201" s="54" t="str">
        <f>IF(OR($B201="",$A201&gt;$B$9,S$198=""),"",IF(COUNTIFS(BD!$B$3:$B$5001,S$198,BD!$A$3:$A$5001,"&gt;="&amp;$C$7,BD!$A$3:$A$5001,"&lt;="&amp;$B201,BD!$S$3:$S$5001,"&lt;&gt;")=0,"",SUMIFS(BD!$S$3:$S$5001,BD!$B$3:$B$5001,S$198,BD!$A$3:$A$5001,_xlfn.MAXIFS(BD!$A$3:$A$5001,BD!$B$3:$B$5001,S$198,BD!$A$3:$A$5001,"&gt;="&amp;$C$7,BD!$A$3:$A$5001,"&lt;="&amp;$B201,BD!$S$3:$S$5001,"&lt;&gt;"))))</f>
        <v/>
      </c>
      <c r="T201" s="54" t="str">
        <f>IF(OR($B201="",$A201&gt;$B$9,T$198=""),"",IF(COUNTIFS(BD!$B$3:$B$5001,T$198,BD!$A$3:$A$5001,"&gt;="&amp;$C$7,BD!$A$3:$A$5001,"&lt;="&amp;$B201,BD!$S$3:$S$5001,"&lt;&gt;")=0,"",SUMIFS(BD!$S$3:$S$5001,BD!$B$3:$B$5001,T$198,BD!$A$3:$A$5001,_xlfn.MAXIFS(BD!$A$3:$A$5001,BD!$B$3:$B$5001,T$198,BD!$A$3:$A$5001,"&gt;="&amp;$C$7,BD!$A$3:$A$5001,"&lt;="&amp;$B201,BD!$S$3:$S$5001,"&lt;&gt;"))))</f>
        <v/>
      </c>
      <c r="U201" s="54" t="str">
        <f>IF(OR($B201="",$A201&gt;$B$9,U$198=""),"",IF(COUNTIFS(BD!$B$3:$B$5001,U$198,BD!$A$3:$A$5001,"&gt;="&amp;$C$7,BD!$A$3:$A$5001,"&lt;="&amp;$B201,BD!$S$3:$S$5001,"&lt;&gt;")=0,"",SUMIFS(BD!$S$3:$S$5001,BD!$B$3:$B$5001,U$198,BD!$A$3:$A$5001,_xlfn.MAXIFS(BD!$A$3:$A$5001,BD!$B$3:$B$5001,U$198,BD!$A$3:$A$5001,"&gt;="&amp;$C$7,BD!$A$3:$A$5001,"&lt;="&amp;$B201,BD!$S$3:$S$5001,"&lt;&gt;"))))</f>
        <v/>
      </c>
      <c r="V201" s="54" t="str">
        <f>IF(OR($B201="",$A201&gt;$B$9,V$198=""),"",IF(COUNTIFS(BD!$B$3:$B$5001,V$198,BD!$A$3:$A$5001,"&gt;="&amp;$C$7,BD!$A$3:$A$5001,"&lt;="&amp;$B201,BD!$S$3:$S$5001,"&lt;&gt;")=0,"",SUMIFS(BD!$S$3:$S$5001,BD!$B$3:$B$5001,V$198,BD!$A$3:$A$5001,_xlfn.MAXIFS(BD!$A$3:$A$5001,BD!$B$3:$B$5001,V$198,BD!$A$3:$A$5001,"&gt;="&amp;$C$7,BD!$A$3:$A$5001,"&lt;="&amp;$B201,BD!$S$3:$S$5001,"&lt;&gt;"))))</f>
        <v/>
      </c>
    </row>
    <row r="202">
      <c r="A202" s="48">
        <v>4</v>
      </c>
      <c r="B202" s="53">
        <f>$B$15</f>
        <v>46299</v>
      </c>
      <c r="C202" s="54" t="str">
        <f>IF(OR($B202="",$A202&gt;$B$9,C$198=""),"",IF(COUNTIFS(BD!$B$3:$B$5001,C$198,BD!$A$3:$A$5001,"&gt;="&amp;$C$7,BD!$A$3:$A$5001,"&lt;="&amp;$B202,BD!$S$3:$S$5001,"&lt;&gt;")=0,"",SUMIFS(BD!$S$3:$S$5001,BD!$B$3:$B$5001,C$198,BD!$A$3:$A$5001,_xlfn.MAXIFS(BD!$A$3:$A$5001,BD!$B$3:$B$5001,C$198,BD!$A$3:$A$5001,"&gt;="&amp;$C$7,BD!$A$3:$A$5001,"&lt;="&amp;$B202,BD!$S$3:$S$5001,"&lt;&gt;"))))</f>
        <v/>
      </c>
      <c r="D202" s="54" t="str">
        <f>IF(OR($B202="",$A202&gt;$B$9,D$198=""),"",IF(COUNTIFS(BD!$B$3:$B$5001,D$198,BD!$A$3:$A$5001,"&gt;="&amp;$C$7,BD!$A$3:$A$5001,"&lt;="&amp;$B202,BD!$S$3:$S$5001,"&lt;&gt;")=0,"",SUMIFS(BD!$S$3:$S$5001,BD!$B$3:$B$5001,D$198,BD!$A$3:$A$5001,_xlfn.MAXIFS(BD!$A$3:$A$5001,BD!$B$3:$B$5001,D$198,BD!$A$3:$A$5001,"&gt;="&amp;$C$7,BD!$A$3:$A$5001,"&lt;="&amp;$B202,BD!$S$3:$S$5001,"&lt;&gt;"))))</f>
        <v/>
      </c>
      <c r="E202" s="54" t="str">
        <f>IF(OR($B202="",$A202&gt;$B$9,E$198=""),"",IF(COUNTIFS(BD!$B$3:$B$5001,E$198,BD!$A$3:$A$5001,"&gt;="&amp;$C$7,BD!$A$3:$A$5001,"&lt;="&amp;$B202,BD!$S$3:$S$5001,"&lt;&gt;")=0,"",SUMIFS(BD!$S$3:$S$5001,BD!$B$3:$B$5001,E$198,BD!$A$3:$A$5001,_xlfn.MAXIFS(BD!$A$3:$A$5001,BD!$B$3:$B$5001,E$198,BD!$A$3:$A$5001,"&gt;="&amp;$C$7,BD!$A$3:$A$5001,"&lt;="&amp;$B202,BD!$S$3:$S$5001,"&lt;&gt;"))))</f>
        <v/>
      </c>
      <c r="F202" s="54" t="str">
        <f>IF(OR($B202="",$A202&gt;$B$9,F$198=""),"",IF(COUNTIFS(BD!$B$3:$B$5001,F$198,BD!$A$3:$A$5001,"&gt;="&amp;$C$7,BD!$A$3:$A$5001,"&lt;="&amp;$B202,BD!$S$3:$S$5001,"&lt;&gt;")=0,"",SUMIFS(BD!$S$3:$S$5001,BD!$B$3:$B$5001,F$198,BD!$A$3:$A$5001,_xlfn.MAXIFS(BD!$A$3:$A$5001,BD!$B$3:$B$5001,F$198,BD!$A$3:$A$5001,"&gt;="&amp;$C$7,BD!$A$3:$A$5001,"&lt;="&amp;$B202,BD!$S$3:$S$5001,"&lt;&gt;"))))</f>
        <v/>
      </c>
      <c r="G202" s="54" t="str">
        <f>IF(OR($B202="",$A202&gt;$B$9,G$198=""),"",IF(COUNTIFS(BD!$B$3:$B$5001,G$198,BD!$A$3:$A$5001,"&gt;="&amp;$C$7,BD!$A$3:$A$5001,"&lt;="&amp;$B202,BD!$S$3:$S$5001,"&lt;&gt;")=0,"",SUMIFS(BD!$S$3:$S$5001,BD!$B$3:$B$5001,G$198,BD!$A$3:$A$5001,_xlfn.MAXIFS(BD!$A$3:$A$5001,BD!$B$3:$B$5001,G$198,BD!$A$3:$A$5001,"&gt;="&amp;$C$7,BD!$A$3:$A$5001,"&lt;="&amp;$B202,BD!$S$3:$S$5001,"&lt;&gt;"))))</f>
        <v/>
      </c>
      <c r="H202" s="54" t="str">
        <f>IF(OR($B202="",$A202&gt;$B$9,H$198=""),"",IF(COUNTIFS(BD!$B$3:$B$5001,H$198,BD!$A$3:$A$5001,"&gt;="&amp;$C$7,BD!$A$3:$A$5001,"&lt;="&amp;$B202,BD!$S$3:$S$5001,"&lt;&gt;")=0,"",SUMIFS(BD!$S$3:$S$5001,BD!$B$3:$B$5001,H$198,BD!$A$3:$A$5001,_xlfn.MAXIFS(BD!$A$3:$A$5001,BD!$B$3:$B$5001,H$198,BD!$A$3:$A$5001,"&gt;="&amp;$C$7,BD!$A$3:$A$5001,"&lt;="&amp;$B202,BD!$S$3:$S$5001,"&lt;&gt;"))))</f>
        <v/>
      </c>
      <c r="I202" s="54" t="str">
        <f>IF(OR($B202="",$A202&gt;$B$9,I$198=""),"",IF(COUNTIFS(BD!$B$3:$B$5001,I$198,BD!$A$3:$A$5001,"&gt;="&amp;$C$7,BD!$A$3:$A$5001,"&lt;="&amp;$B202,BD!$S$3:$S$5001,"&lt;&gt;")=0,"",SUMIFS(BD!$S$3:$S$5001,BD!$B$3:$B$5001,I$198,BD!$A$3:$A$5001,_xlfn.MAXIFS(BD!$A$3:$A$5001,BD!$B$3:$B$5001,I$198,BD!$A$3:$A$5001,"&gt;="&amp;$C$7,BD!$A$3:$A$5001,"&lt;="&amp;$B202,BD!$S$3:$S$5001,"&lt;&gt;"))))</f>
        <v/>
      </c>
      <c r="J202" s="54" t="str">
        <f>IF(OR($B202="",$A202&gt;$B$9,J$198=""),"",IF(COUNTIFS(BD!$B$3:$B$5001,J$198,BD!$A$3:$A$5001,"&gt;="&amp;$C$7,BD!$A$3:$A$5001,"&lt;="&amp;$B202,BD!$S$3:$S$5001,"&lt;&gt;")=0,"",SUMIFS(BD!$S$3:$S$5001,BD!$B$3:$B$5001,J$198,BD!$A$3:$A$5001,_xlfn.MAXIFS(BD!$A$3:$A$5001,BD!$B$3:$B$5001,J$198,BD!$A$3:$A$5001,"&gt;="&amp;$C$7,BD!$A$3:$A$5001,"&lt;="&amp;$B202,BD!$S$3:$S$5001,"&lt;&gt;"))))</f>
        <v/>
      </c>
      <c r="K202" s="54" t="str">
        <f>IF(OR($B202="",$A202&gt;$B$9,K$198=""),"",IF(COUNTIFS(BD!$B$3:$B$5001,K$198,BD!$A$3:$A$5001,"&gt;="&amp;$C$7,BD!$A$3:$A$5001,"&lt;="&amp;$B202,BD!$S$3:$S$5001,"&lt;&gt;")=0,"",SUMIFS(BD!$S$3:$S$5001,BD!$B$3:$B$5001,K$198,BD!$A$3:$A$5001,_xlfn.MAXIFS(BD!$A$3:$A$5001,BD!$B$3:$B$5001,K$198,BD!$A$3:$A$5001,"&gt;="&amp;$C$7,BD!$A$3:$A$5001,"&lt;="&amp;$B202,BD!$S$3:$S$5001,"&lt;&gt;"))))</f>
        <v/>
      </c>
      <c r="L202" s="54" t="str">
        <f>IF(OR($B202="",$A202&gt;$B$9,L$198=""),"",IF(COUNTIFS(BD!$B$3:$B$5001,L$198,BD!$A$3:$A$5001,"&gt;="&amp;$C$7,BD!$A$3:$A$5001,"&lt;="&amp;$B202,BD!$S$3:$S$5001,"&lt;&gt;")=0,"",SUMIFS(BD!$S$3:$S$5001,BD!$B$3:$B$5001,L$198,BD!$A$3:$A$5001,_xlfn.MAXIFS(BD!$A$3:$A$5001,BD!$B$3:$B$5001,L$198,BD!$A$3:$A$5001,"&gt;="&amp;$C$7,BD!$A$3:$A$5001,"&lt;="&amp;$B202,BD!$S$3:$S$5001,"&lt;&gt;"))))</f>
        <v/>
      </c>
      <c r="M202" s="54" t="str">
        <f>IF(OR($B202="",$A202&gt;$B$9,M$198=""),"",IF(COUNTIFS(BD!$B$3:$B$5001,M$198,BD!$A$3:$A$5001,"&gt;="&amp;$C$7,BD!$A$3:$A$5001,"&lt;="&amp;$B202,BD!$S$3:$S$5001,"&lt;&gt;")=0,"",SUMIFS(BD!$S$3:$S$5001,BD!$B$3:$B$5001,M$198,BD!$A$3:$A$5001,_xlfn.MAXIFS(BD!$A$3:$A$5001,BD!$B$3:$B$5001,M$198,BD!$A$3:$A$5001,"&gt;="&amp;$C$7,BD!$A$3:$A$5001,"&lt;="&amp;$B202,BD!$S$3:$S$5001,"&lt;&gt;"))))</f>
        <v/>
      </c>
      <c r="N202" s="54" t="str">
        <f>IF(OR($B202="",$A202&gt;$B$9,N$198=""),"",IF(COUNTIFS(BD!$B$3:$B$5001,N$198,BD!$A$3:$A$5001,"&gt;="&amp;$C$7,BD!$A$3:$A$5001,"&lt;="&amp;$B202,BD!$S$3:$S$5001,"&lt;&gt;")=0,"",SUMIFS(BD!$S$3:$S$5001,BD!$B$3:$B$5001,N$198,BD!$A$3:$A$5001,_xlfn.MAXIFS(BD!$A$3:$A$5001,BD!$B$3:$B$5001,N$198,BD!$A$3:$A$5001,"&gt;="&amp;$C$7,BD!$A$3:$A$5001,"&lt;="&amp;$B202,BD!$S$3:$S$5001,"&lt;&gt;"))))</f>
        <v/>
      </c>
      <c r="O202" s="54" t="str">
        <f>IF(OR($B202="",$A202&gt;$B$9,O$198=""),"",IF(COUNTIFS(BD!$B$3:$B$5001,O$198,BD!$A$3:$A$5001,"&gt;="&amp;$C$7,BD!$A$3:$A$5001,"&lt;="&amp;$B202,BD!$S$3:$S$5001,"&lt;&gt;")=0,"",SUMIFS(BD!$S$3:$S$5001,BD!$B$3:$B$5001,O$198,BD!$A$3:$A$5001,_xlfn.MAXIFS(BD!$A$3:$A$5001,BD!$B$3:$B$5001,O$198,BD!$A$3:$A$5001,"&gt;="&amp;$C$7,BD!$A$3:$A$5001,"&lt;="&amp;$B202,BD!$S$3:$S$5001,"&lt;&gt;"))))</f>
        <v/>
      </c>
      <c r="P202" s="54" t="str">
        <f>IF(OR($B202="",$A202&gt;$B$9,P$198=""),"",IF(COUNTIFS(BD!$B$3:$B$5001,P$198,BD!$A$3:$A$5001,"&gt;="&amp;$C$7,BD!$A$3:$A$5001,"&lt;="&amp;$B202,BD!$S$3:$S$5001,"&lt;&gt;")=0,"",SUMIFS(BD!$S$3:$S$5001,BD!$B$3:$B$5001,P$198,BD!$A$3:$A$5001,_xlfn.MAXIFS(BD!$A$3:$A$5001,BD!$B$3:$B$5001,P$198,BD!$A$3:$A$5001,"&gt;="&amp;$C$7,BD!$A$3:$A$5001,"&lt;="&amp;$B202,BD!$S$3:$S$5001,"&lt;&gt;"))))</f>
        <v/>
      </c>
      <c r="Q202" s="54" t="str">
        <f>IF(OR($B202="",$A202&gt;$B$9,Q$198=""),"",IF(COUNTIFS(BD!$B$3:$B$5001,Q$198,BD!$A$3:$A$5001,"&gt;="&amp;$C$7,BD!$A$3:$A$5001,"&lt;="&amp;$B202,BD!$S$3:$S$5001,"&lt;&gt;")=0,"",SUMIFS(BD!$S$3:$S$5001,BD!$B$3:$B$5001,Q$198,BD!$A$3:$A$5001,_xlfn.MAXIFS(BD!$A$3:$A$5001,BD!$B$3:$B$5001,Q$198,BD!$A$3:$A$5001,"&gt;="&amp;$C$7,BD!$A$3:$A$5001,"&lt;="&amp;$B202,BD!$S$3:$S$5001,"&lt;&gt;"))))</f>
        <v/>
      </c>
      <c r="R202" s="54" t="str">
        <f>IF(OR($B202="",$A202&gt;$B$9,R$198=""),"",IF(COUNTIFS(BD!$B$3:$B$5001,R$198,BD!$A$3:$A$5001,"&gt;="&amp;$C$7,BD!$A$3:$A$5001,"&lt;="&amp;$B202,BD!$S$3:$S$5001,"&lt;&gt;")=0,"",SUMIFS(BD!$S$3:$S$5001,BD!$B$3:$B$5001,R$198,BD!$A$3:$A$5001,_xlfn.MAXIFS(BD!$A$3:$A$5001,BD!$B$3:$B$5001,R$198,BD!$A$3:$A$5001,"&gt;="&amp;$C$7,BD!$A$3:$A$5001,"&lt;="&amp;$B202,BD!$S$3:$S$5001,"&lt;&gt;"))))</f>
        <v/>
      </c>
      <c r="S202" s="54" t="str">
        <f>IF(OR($B202="",$A202&gt;$B$9,S$198=""),"",IF(COUNTIFS(BD!$B$3:$B$5001,S$198,BD!$A$3:$A$5001,"&gt;="&amp;$C$7,BD!$A$3:$A$5001,"&lt;="&amp;$B202,BD!$S$3:$S$5001,"&lt;&gt;")=0,"",SUMIFS(BD!$S$3:$S$5001,BD!$B$3:$B$5001,S$198,BD!$A$3:$A$5001,_xlfn.MAXIFS(BD!$A$3:$A$5001,BD!$B$3:$B$5001,S$198,BD!$A$3:$A$5001,"&gt;="&amp;$C$7,BD!$A$3:$A$5001,"&lt;="&amp;$B202,BD!$S$3:$S$5001,"&lt;&gt;"))))</f>
        <v/>
      </c>
      <c r="T202" s="54" t="str">
        <f>IF(OR($B202="",$A202&gt;$B$9,T$198=""),"",IF(COUNTIFS(BD!$B$3:$B$5001,T$198,BD!$A$3:$A$5001,"&gt;="&amp;$C$7,BD!$A$3:$A$5001,"&lt;="&amp;$B202,BD!$S$3:$S$5001,"&lt;&gt;")=0,"",SUMIFS(BD!$S$3:$S$5001,BD!$B$3:$B$5001,T$198,BD!$A$3:$A$5001,_xlfn.MAXIFS(BD!$A$3:$A$5001,BD!$B$3:$B$5001,T$198,BD!$A$3:$A$5001,"&gt;="&amp;$C$7,BD!$A$3:$A$5001,"&lt;="&amp;$B202,BD!$S$3:$S$5001,"&lt;&gt;"))))</f>
        <v/>
      </c>
      <c r="U202" s="54" t="str">
        <f>IF(OR($B202="",$A202&gt;$B$9,U$198=""),"",IF(COUNTIFS(BD!$B$3:$B$5001,U$198,BD!$A$3:$A$5001,"&gt;="&amp;$C$7,BD!$A$3:$A$5001,"&lt;="&amp;$B202,BD!$S$3:$S$5001,"&lt;&gt;")=0,"",SUMIFS(BD!$S$3:$S$5001,BD!$B$3:$B$5001,U$198,BD!$A$3:$A$5001,_xlfn.MAXIFS(BD!$A$3:$A$5001,BD!$B$3:$B$5001,U$198,BD!$A$3:$A$5001,"&gt;="&amp;$C$7,BD!$A$3:$A$5001,"&lt;="&amp;$B202,BD!$S$3:$S$5001,"&lt;&gt;"))))</f>
        <v/>
      </c>
      <c r="V202" s="54" t="str">
        <f>IF(OR($B202="",$A202&gt;$B$9,V$198=""),"",IF(COUNTIFS(BD!$B$3:$B$5001,V$198,BD!$A$3:$A$5001,"&gt;="&amp;$C$7,BD!$A$3:$A$5001,"&lt;="&amp;$B202,BD!$S$3:$S$5001,"&lt;&gt;")=0,"",SUMIFS(BD!$S$3:$S$5001,BD!$B$3:$B$5001,V$198,BD!$A$3:$A$5001,_xlfn.MAXIFS(BD!$A$3:$A$5001,BD!$B$3:$B$5001,V$198,BD!$A$3:$A$5001,"&gt;="&amp;$C$7,BD!$A$3:$A$5001,"&lt;="&amp;$B202,BD!$S$3:$S$5001,"&lt;&gt;"))))</f>
        <v/>
      </c>
    </row>
    <row r="203">
      <c r="A203" s="48">
        <v>5</v>
      </c>
      <c r="B203" s="53">
        <f>$B$16</f>
        <v>46300</v>
      </c>
      <c r="C203" s="54" t="str">
        <f>IF(OR($B203="",$A203&gt;$B$9,C$198=""),"",IF(COUNTIFS(BD!$B$3:$B$5001,C$198,BD!$A$3:$A$5001,"&gt;="&amp;$C$7,BD!$A$3:$A$5001,"&lt;="&amp;$B203,BD!$S$3:$S$5001,"&lt;&gt;")=0,"",SUMIFS(BD!$S$3:$S$5001,BD!$B$3:$B$5001,C$198,BD!$A$3:$A$5001,_xlfn.MAXIFS(BD!$A$3:$A$5001,BD!$B$3:$B$5001,C$198,BD!$A$3:$A$5001,"&gt;="&amp;$C$7,BD!$A$3:$A$5001,"&lt;="&amp;$B203,BD!$S$3:$S$5001,"&lt;&gt;"))))</f>
        <v/>
      </c>
      <c r="D203" s="54" t="str">
        <f>IF(OR($B203="",$A203&gt;$B$9,D$198=""),"",IF(COUNTIFS(BD!$B$3:$B$5001,D$198,BD!$A$3:$A$5001,"&gt;="&amp;$C$7,BD!$A$3:$A$5001,"&lt;="&amp;$B203,BD!$S$3:$S$5001,"&lt;&gt;")=0,"",SUMIFS(BD!$S$3:$S$5001,BD!$B$3:$B$5001,D$198,BD!$A$3:$A$5001,_xlfn.MAXIFS(BD!$A$3:$A$5001,BD!$B$3:$B$5001,D$198,BD!$A$3:$A$5001,"&gt;="&amp;$C$7,BD!$A$3:$A$5001,"&lt;="&amp;$B203,BD!$S$3:$S$5001,"&lt;&gt;"))))</f>
        <v/>
      </c>
      <c r="E203" s="54" t="str">
        <f>IF(OR($B203="",$A203&gt;$B$9,E$198=""),"",IF(COUNTIFS(BD!$B$3:$B$5001,E$198,BD!$A$3:$A$5001,"&gt;="&amp;$C$7,BD!$A$3:$A$5001,"&lt;="&amp;$B203,BD!$S$3:$S$5001,"&lt;&gt;")=0,"",SUMIFS(BD!$S$3:$S$5001,BD!$B$3:$B$5001,E$198,BD!$A$3:$A$5001,_xlfn.MAXIFS(BD!$A$3:$A$5001,BD!$B$3:$B$5001,E$198,BD!$A$3:$A$5001,"&gt;="&amp;$C$7,BD!$A$3:$A$5001,"&lt;="&amp;$B203,BD!$S$3:$S$5001,"&lt;&gt;"))))</f>
        <v/>
      </c>
      <c r="F203" s="54" t="str">
        <f>IF(OR($B203="",$A203&gt;$B$9,F$198=""),"",IF(COUNTIFS(BD!$B$3:$B$5001,F$198,BD!$A$3:$A$5001,"&gt;="&amp;$C$7,BD!$A$3:$A$5001,"&lt;="&amp;$B203,BD!$S$3:$S$5001,"&lt;&gt;")=0,"",SUMIFS(BD!$S$3:$S$5001,BD!$B$3:$B$5001,F$198,BD!$A$3:$A$5001,_xlfn.MAXIFS(BD!$A$3:$A$5001,BD!$B$3:$B$5001,F$198,BD!$A$3:$A$5001,"&gt;="&amp;$C$7,BD!$A$3:$A$5001,"&lt;="&amp;$B203,BD!$S$3:$S$5001,"&lt;&gt;"))))</f>
        <v/>
      </c>
      <c r="G203" s="54" t="str">
        <f>IF(OR($B203="",$A203&gt;$B$9,G$198=""),"",IF(COUNTIFS(BD!$B$3:$B$5001,G$198,BD!$A$3:$A$5001,"&gt;="&amp;$C$7,BD!$A$3:$A$5001,"&lt;="&amp;$B203,BD!$S$3:$S$5001,"&lt;&gt;")=0,"",SUMIFS(BD!$S$3:$S$5001,BD!$B$3:$B$5001,G$198,BD!$A$3:$A$5001,_xlfn.MAXIFS(BD!$A$3:$A$5001,BD!$B$3:$B$5001,G$198,BD!$A$3:$A$5001,"&gt;="&amp;$C$7,BD!$A$3:$A$5001,"&lt;="&amp;$B203,BD!$S$3:$S$5001,"&lt;&gt;"))))</f>
        <v/>
      </c>
      <c r="H203" s="54" t="str">
        <f>IF(OR($B203="",$A203&gt;$B$9,H$198=""),"",IF(COUNTIFS(BD!$B$3:$B$5001,H$198,BD!$A$3:$A$5001,"&gt;="&amp;$C$7,BD!$A$3:$A$5001,"&lt;="&amp;$B203,BD!$S$3:$S$5001,"&lt;&gt;")=0,"",SUMIFS(BD!$S$3:$S$5001,BD!$B$3:$B$5001,H$198,BD!$A$3:$A$5001,_xlfn.MAXIFS(BD!$A$3:$A$5001,BD!$B$3:$B$5001,H$198,BD!$A$3:$A$5001,"&gt;="&amp;$C$7,BD!$A$3:$A$5001,"&lt;="&amp;$B203,BD!$S$3:$S$5001,"&lt;&gt;"))))</f>
        <v/>
      </c>
      <c r="I203" s="54" t="str">
        <f>IF(OR($B203="",$A203&gt;$B$9,I$198=""),"",IF(COUNTIFS(BD!$B$3:$B$5001,I$198,BD!$A$3:$A$5001,"&gt;="&amp;$C$7,BD!$A$3:$A$5001,"&lt;="&amp;$B203,BD!$S$3:$S$5001,"&lt;&gt;")=0,"",SUMIFS(BD!$S$3:$S$5001,BD!$B$3:$B$5001,I$198,BD!$A$3:$A$5001,_xlfn.MAXIFS(BD!$A$3:$A$5001,BD!$B$3:$B$5001,I$198,BD!$A$3:$A$5001,"&gt;="&amp;$C$7,BD!$A$3:$A$5001,"&lt;="&amp;$B203,BD!$S$3:$S$5001,"&lt;&gt;"))))</f>
        <v/>
      </c>
      <c r="J203" s="54" t="str">
        <f>IF(OR($B203="",$A203&gt;$B$9,J$198=""),"",IF(COUNTIFS(BD!$B$3:$B$5001,J$198,BD!$A$3:$A$5001,"&gt;="&amp;$C$7,BD!$A$3:$A$5001,"&lt;="&amp;$B203,BD!$S$3:$S$5001,"&lt;&gt;")=0,"",SUMIFS(BD!$S$3:$S$5001,BD!$B$3:$B$5001,J$198,BD!$A$3:$A$5001,_xlfn.MAXIFS(BD!$A$3:$A$5001,BD!$B$3:$B$5001,J$198,BD!$A$3:$A$5001,"&gt;="&amp;$C$7,BD!$A$3:$A$5001,"&lt;="&amp;$B203,BD!$S$3:$S$5001,"&lt;&gt;"))))</f>
        <v/>
      </c>
      <c r="K203" s="54" t="str">
        <f>IF(OR($B203="",$A203&gt;$B$9,K$198=""),"",IF(COUNTIFS(BD!$B$3:$B$5001,K$198,BD!$A$3:$A$5001,"&gt;="&amp;$C$7,BD!$A$3:$A$5001,"&lt;="&amp;$B203,BD!$S$3:$S$5001,"&lt;&gt;")=0,"",SUMIFS(BD!$S$3:$S$5001,BD!$B$3:$B$5001,K$198,BD!$A$3:$A$5001,_xlfn.MAXIFS(BD!$A$3:$A$5001,BD!$B$3:$B$5001,K$198,BD!$A$3:$A$5001,"&gt;="&amp;$C$7,BD!$A$3:$A$5001,"&lt;="&amp;$B203,BD!$S$3:$S$5001,"&lt;&gt;"))))</f>
        <v/>
      </c>
      <c r="L203" s="54" t="str">
        <f>IF(OR($B203="",$A203&gt;$B$9,L$198=""),"",IF(COUNTIFS(BD!$B$3:$B$5001,L$198,BD!$A$3:$A$5001,"&gt;="&amp;$C$7,BD!$A$3:$A$5001,"&lt;="&amp;$B203,BD!$S$3:$S$5001,"&lt;&gt;")=0,"",SUMIFS(BD!$S$3:$S$5001,BD!$B$3:$B$5001,L$198,BD!$A$3:$A$5001,_xlfn.MAXIFS(BD!$A$3:$A$5001,BD!$B$3:$B$5001,L$198,BD!$A$3:$A$5001,"&gt;="&amp;$C$7,BD!$A$3:$A$5001,"&lt;="&amp;$B203,BD!$S$3:$S$5001,"&lt;&gt;"))))</f>
        <v/>
      </c>
      <c r="M203" s="54" t="str">
        <f>IF(OR($B203="",$A203&gt;$B$9,M$198=""),"",IF(COUNTIFS(BD!$B$3:$B$5001,M$198,BD!$A$3:$A$5001,"&gt;="&amp;$C$7,BD!$A$3:$A$5001,"&lt;="&amp;$B203,BD!$S$3:$S$5001,"&lt;&gt;")=0,"",SUMIFS(BD!$S$3:$S$5001,BD!$B$3:$B$5001,M$198,BD!$A$3:$A$5001,_xlfn.MAXIFS(BD!$A$3:$A$5001,BD!$B$3:$B$5001,M$198,BD!$A$3:$A$5001,"&gt;="&amp;$C$7,BD!$A$3:$A$5001,"&lt;="&amp;$B203,BD!$S$3:$S$5001,"&lt;&gt;"))))</f>
        <v/>
      </c>
      <c r="N203" s="54" t="str">
        <f>IF(OR($B203="",$A203&gt;$B$9,N$198=""),"",IF(COUNTIFS(BD!$B$3:$B$5001,N$198,BD!$A$3:$A$5001,"&gt;="&amp;$C$7,BD!$A$3:$A$5001,"&lt;="&amp;$B203,BD!$S$3:$S$5001,"&lt;&gt;")=0,"",SUMIFS(BD!$S$3:$S$5001,BD!$B$3:$B$5001,N$198,BD!$A$3:$A$5001,_xlfn.MAXIFS(BD!$A$3:$A$5001,BD!$B$3:$B$5001,N$198,BD!$A$3:$A$5001,"&gt;="&amp;$C$7,BD!$A$3:$A$5001,"&lt;="&amp;$B203,BD!$S$3:$S$5001,"&lt;&gt;"))))</f>
        <v/>
      </c>
      <c r="O203" s="54" t="str">
        <f>IF(OR($B203="",$A203&gt;$B$9,O$198=""),"",IF(COUNTIFS(BD!$B$3:$B$5001,O$198,BD!$A$3:$A$5001,"&gt;="&amp;$C$7,BD!$A$3:$A$5001,"&lt;="&amp;$B203,BD!$S$3:$S$5001,"&lt;&gt;")=0,"",SUMIFS(BD!$S$3:$S$5001,BD!$B$3:$B$5001,O$198,BD!$A$3:$A$5001,_xlfn.MAXIFS(BD!$A$3:$A$5001,BD!$B$3:$B$5001,O$198,BD!$A$3:$A$5001,"&gt;="&amp;$C$7,BD!$A$3:$A$5001,"&lt;="&amp;$B203,BD!$S$3:$S$5001,"&lt;&gt;"))))</f>
        <v/>
      </c>
      <c r="P203" s="54" t="str">
        <f>IF(OR($B203="",$A203&gt;$B$9,P$198=""),"",IF(COUNTIFS(BD!$B$3:$B$5001,P$198,BD!$A$3:$A$5001,"&gt;="&amp;$C$7,BD!$A$3:$A$5001,"&lt;="&amp;$B203,BD!$S$3:$S$5001,"&lt;&gt;")=0,"",SUMIFS(BD!$S$3:$S$5001,BD!$B$3:$B$5001,P$198,BD!$A$3:$A$5001,_xlfn.MAXIFS(BD!$A$3:$A$5001,BD!$B$3:$B$5001,P$198,BD!$A$3:$A$5001,"&gt;="&amp;$C$7,BD!$A$3:$A$5001,"&lt;="&amp;$B203,BD!$S$3:$S$5001,"&lt;&gt;"))))</f>
        <v/>
      </c>
      <c r="Q203" s="54" t="str">
        <f>IF(OR($B203="",$A203&gt;$B$9,Q$198=""),"",IF(COUNTIFS(BD!$B$3:$B$5001,Q$198,BD!$A$3:$A$5001,"&gt;="&amp;$C$7,BD!$A$3:$A$5001,"&lt;="&amp;$B203,BD!$S$3:$S$5001,"&lt;&gt;")=0,"",SUMIFS(BD!$S$3:$S$5001,BD!$B$3:$B$5001,Q$198,BD!$A$3:$A$5001,_xlfn.MAXIFS(BD!$A$3:$A$5001,BD!$B$3:$B$5001,Q$198,BD!$A$3:$A$5001,"&gt;="&amp;$C$7,BD!$A$3:$A$5001,"&lt;="&amp;$B203,BD!$S$3:$S$5001,"&lt;&gt;"))))</f>
        <v/>
      </c>
      <c r="R203" s="54" t="str">
        <f>IF(OR($B203="",$A203&gt;$B$9,R$198=""),"",IF(COUNTIFS(BD!$B$3:$B$5001,R$198,BD!$A$3:$A$5001,"&gt;="&amp;$C$7,BD!$A$3:$A$5001,"&lt;="&amp;$B203,BD!$S$3:$S$5001,"&lt;&gt;")=0,"",SUMIFS(BD!$S$3:$S$5001,BD!$B$3:$B$5001,R$198,BD!$A$3:$A$5001,_xlfn.MAXIFS(BD!$A$3:$A$5001,BD!$B$3:$B$5001,R$198,BD!$A$3:$A$5001,"&gt;="&amp;$C$7,BD!$A$3:$A$5001,"&lt;="&amp;$B203,BD!$S$3:$S$5001,"&lt;&gt;"))))</f>
        <v/>
      </c>
      <c r="S203" s="54" t="str">
        <f>IF(OR($B203="",$A203&gt;$B$9,S$198=""),"",IF(COUNTIFS(BD!$B$3:$B$5001,S$198,BD!$A$3:$A$5001,"&gt;="&amp;$C$7,BD!$A$3:$A$5001,"&lt;="&amp;$B203,BD!$S$3:$S$5001,"&lt;&gt;")=0,"",SUMIFS(BD!$S$3:$S$5001,BD!$B$3:$B$5001,S$198,BD!$A$3:$A$5001,_xlfn.MAXIFS(BD!$A$3:$A$5001,BD!$B$3:$B$5001,S$198,BD!$A$3:$A$5001,"&gt;="&amp;$C$7,BD!$A$3:$A$5001,"&lt;="&amp;$B203,BD!$S$3:$S$5001,"&lt;&gt;"))))</f>
        <v/>
      </c>
      <c r="T203" s="54" t="str">
        <f>IF(OR($B203="",$A203&gt;$B$9,T$198=""),"",IF(COUNTIFS(BD!$B$3:$B$5001,T$198,BD!$A$3:$A$5001,"&gt;="&amp;$C$7,BD!$A$3:$A$5001,"&lt;="&amp;$B203,BD!$S$3:$S$5001,"&lt;&gt;")=0,"",SUMIFS(BD!$S$3:$S$5001,BD!$B$3:$B$5001,T$198,BD!$A$3:$A$5001,_xlfn.MAXIFS(BD!$A$3:$A$5001,BD!$B$3:$B$5001,T$198,BD!$A$3:$A$5001,"&gt;="&amp;$C$7,BD!$A$3:$A$5001,"&lt;="&amp;$B203,BD!$S$3:$S$5001,"&lt;&gt;"))))</f>
        <v/>
      </c>
      <c r="U203" s="54" t="str">
        <f>IF(OR($B203="",$A203&gt;$B$9,U$198=""),"",IF(COUNTIFS(BD!$B$3:$B$5001,U$198,BD!$A$3:$A$5001,"&gt;="&amp;$C$7,BD!$A$3:$A$5001,"&lt;="&amp;$B203,BD!$S$3:$S$5001,"&lt;&gt;")=0,"",SUMIFS(BD!$S$3:$S$5001,BD!$B$3:$B$5001,U$198,BD!$A$3:$A$5001,_xlfn.MAXIFS(BD!$A$3:$A$5001,BD!$B$3:$B$5001,U$198,BD!$A$3:$A$5001,"&gt;="&amp;$C$7,BD!$A$3:$A$5001,"&lt;="&amp;$B203,BD!$S$3:$S$5001,"&lt;&gt;"))))</f>
        <v/>
      </c>
      <c r="V203" s="54" t="str">
        <f>IF(OR($B203="",$A203&gt;$B$9,V$198=""),"",IF(COUNTIFS(BD!$B$3:$B$5001,V$198,BD!$A$3:$A$5001,"&gt;="&amp;$C$7,BD!$A$3:$A$5001,"&lt;="&amp;$B203,BD!$S$3:$S$5001,"&lt;&gt;")=0,"",SUMIFS(BD!$S$3:$S$5001,BD!$B$3:$B$5001,V$198,BD!$A$3:$A$5001,_xlfn.MAXIFS(BD!$A$3:$A$5001,BD!$B$3:$B$5001,V$198,BD!$A$3:$A$5001,"&gt;="&amp;$C$7,BD!$A$3:$A$5001,"&lt;="&amp;$B203,BD!$S$3:$S$5001,"&lt;&gt;"))))</f>
        <v/>
      </c>
    </row>
    <row r="204">
      <c r="A204" s="48">
        <v>6</v>
      </c>
      <c r="B204" s="53">
        <f>$B$17</f>
        <v>46301</v>
      </c>
      <c r="C204" s="54" t="str">
        <f>IF(OR($B204="",$A204&gt;$B$9,C$198=""),"",IF(COUNTIFS(BD!$B$3:$B$5001,C$198,BD!$A$3:$A$5001,"&gt;="&amp;$C$7,BD!$A$3:$A$5001,"&lt;="&amp;$B204,BD!$S$3:$S$5001,"&lt;&gt;")=0,"",SUMIFS(BD!$S$3:$S$5001,BD!$B$3:$B$5001,C$198,BD!$A$3:$A$5001,_xlfn.MAXIFS(BD!$A$3:$A$5001,BD!$B$3:$B$5001,C$198,BD!$A$3:$A$5001,"&gt;="&amp;$C$7,BD!$A$3:$A$5001,"&lt;="&amp;$B204,BD!$S$3:$S$5001,"&lt;&gt;"))))</f>
        <v/>
      </c>
      <c r="D204" s="54" t="str">
        <f>IF(OR($B204="",$A204&gt;$B$9,D$198=""),"",IF(COUNTIFS(BD!$B$3:$B$5001,D$198,BD!$A$3:$A$5001,"&gt;="&amp;$C$7,BD!$A$3:$A$5001,"&lt;="&amp;$B204,BD!$S$3:$S$5001,"&lt;&gt;")=0,"",SUMIFS(BD!$S$3:$S$5001,BD!$B$3:$B$5001,D$198,BD!$A$3:$A$5001,_xlfn.MAXIFS(BD!$A$3:$A$5001,BD!$B$3:$B$5001,D$198,BD!$A$3:$A$5001,"&gt;="&amp;$C$7,BD!$A$3:$A$5001,"&lt;="&amp;$B204,BD!$S$3:$S$5001,"&lt;&gt;"))))</f>
        <v/>
      </c>
      <c r="E204" s="54" t="str">
        <f>IF(OR($B204="",$A204&gt;$B$9,E$198=""),"",IF(COUNTIFS(BD!$B$3:$B$5001,E$198,BD!$A$3:$A$5001,"&gt;="&amp;$C$7,BD!$A$3:$A$5001,"&lt;="&amp;$B204,BD!$S$3:$S$5001,"&lt;&gt;")=0,"",SUMIFS(BD!$S$3:$S$5001,BD!$B$3:$B$5001,E$198,BD!$A$3:$A$5001,_xlfn.MAXIFS(BD!$A$3:$A$5001,BD!$B$3:$B$5001,E$198,BD!$A$3:$A$5001,"&gt;="&amp;$C$7,BD!$A$3:$A$5001,"&lt;="&amp;$B204,BD!$S$3:$S$5001,"&lt;&gt;"))))</f>
        <v/>
      </c>
      <c r="F204" s="54" t="str">
        <f>IF(OR($B204="",$A204&gt;$B$9,F$198=""),"",IF(COUNTIFS(BD!$B$3:$B$5001,F$198,BD!$A$3:$A$5001,"&gt;="&amp;$C$7,BD!$A$3:$A$5001,"&lt;="&amp;$B204,BD!$S$3:$S$5001,"&lt;&gt;")=0,"",SUMIFS(BD!$S$3:$S$5001,BD!$B$3:$B$5001,F$198,BD!$A$3:$A$5001,_xlfn.MAXIFS(BD!$A$3:$A$5001,BD!$B$3:$B$5001,F$198,BD!$A$3:$A$5001,"&gt;="&amp;$C$7,BD!$A$3:$A$5001,"&lt;="&amp;$B204,BD!$S$3:$S$5001,"&lt;&gt;"))))</f>
        <v/>
      </c>
      <c r="G204" s="54" t="str">
        <f>IF(OR($B204="",$A204&gt;$B$9,G$198=""),"",IF(COUNTIFS(BD!$B$3:$B$5001,G$198,BD!$A$3:$A$5001,"&gt;="&amp;$C$7,BD!$A$3:$A$5001,"&lt;="&amp;$B204,BD!$S$3:$S$5001,"&lt;&gt;")=0,"",SUMIFS(BD!$S$3:$S$5001,BD!$B$3:$B$5001,G$198,BD!$A$3:$A$5001,_xlfn.MAXIFS(BD!$A$3:$A$5001,BD!$B$3:$B$5001,G$198,BD!$A$3:$A$5001,"&gt;="&amp;$C$7,BD!$A$3:$A$5001,"&lt;="&amp;$B204,BD!$S$3:$S$5001,"&lt;&gt;"))))</f>
        <v/>
      </c>
      <c r="H204" s="54" t="str">
        <f>IF(OR($B204="",$A204&gt;$B$9,H$198=""),"",IF(COUNTIFS(BD!$B$3:$B$5001,H$198,BD!$A$3:$A$5001,"&gt;="&amp;$C$7,BD!$A$3:$A$5001,"&lt;="&amp;$B204,BD!$S$3:$S$5001,"&lt;&gt;")=0,"",SUMIFS(BD!$S$3:$S$5001,BD!$B$3:$B$5001,H$198,BD!$A$3:$A$5001,_xlfn.MAXIFS(BD!$A$3:$A$5001,BD!$B$3:$B$5001,H$198,BD!$A$3:$A$5001,"&gt;="&amp;$C$7,BD!$A$3:$A$5001,"&lt;="&amp;$B204,BD!$S$3:$S$5001,"&lt;&gt;"))))</f>
        <v/>
      </c>
      <c r="I204" s="54" t="str">
        <f>IF(OR($B204="",$A204&gt;$B$9,I$198=""),"",IF(COUNTIFS(BD!$B$3:$B$5001,I$198,BD!$A$3:$A$5001,"&gt;="&amp;$C$7,BD!$A$3:$A$5001,"&lt;="&amp;$B204,BD!$S$3:$S$5001,"&lt;&gt;")=0,"",SUMIFS(BD!$S$3:$S$5001,BD!$B$3:$B$5001,I$198,BD!$A$3:$A$5001,_xlfn.MAXIFS(BD!$A$3:$A$5001,BD!$B$3:$B$5001,I$198,BD!$A$3:$A$5001,"&gt;="&amp;$C$7,BD!$A$3:$A$5001,"&lt;="&amp;$B204,BD!$S$3:$S$5001,"&lt;&gt;"))))</f>
        <v/>
      </c>
      <c r="J204" s="54" t="str">
        <f>IF(OR($B204="",$A204&gt;$B$9,J$198=""),"",IF(COUNTIFS(BD!$B$3:$B$5001,J$198,BD!$A$3:$A$5001,"&gt;="&amp;$C$7,BD!$A$3:$A$5001,"&lt;="&amp;$B204,BD!$S$3:$S$5001,"&lt;&gt;")=0,"",SUMIFS(BD!$S$3:$S$5001,BD!$B$3:$B$5001,J$198,BD!$A$3:$A$5001,_xlfn.MAXIFS(BD!$A$3:$A$5001,BD!$B$3:$B$5001,J$198,BD!$A$3:$A$5001,"&gt;="&amp;$C$7,BD!$A$3:$A$5001,"&lt;="&amp;$B204,BD!$S$3:$S$5001,"&lt;&gt;"))))</f>
        <v/>
      </c>
      <c r="K204" s="54" t="str">
        <f>IF(OR($B204="",$A204&gt;$B$9,K$198=""),"",IF(COUNTIFS(BD!$B$3:$B$5001,K$198,BD!$A$3:$A$5001,"&gt;="&amp;$C$7,BD!$A$3:$A$5001,"&lt;="&amp;$B204,BD!$S$3:$S$5001,"&lt;&gt;")=0,"",SUMIFS(BD!$S$3:$S$5001,BD!$B$3:$B$5001,K$198,BD!$A$3:$A$5001,_xlfn.MAXIFS(BD!$A$3:$A$5001,BD!$B$3:$B$5001,K$198,BD!$A$3:$A$5001,"&gt;="&amp;$C$7,BD!$A$3:$A$5001,"&lt;="&amp;$B204,BD!$S$3:$S$5001,"&lt;&gt;"))))</f>
        <v/>
      </c>
      <c r="L204" s="54" t="str">
        <f>IF(OR($B204="",$A204&gt;$B$9,L$198=""),"",IF(COUNTIFS(BD!$B$3:$B$5001,L$198,BD!$A$3:$A$5001,"&gt;="&amp;$C$7,BD!$A$3:$A$5001,"&lt;="&amp;$B204,BD!$S$3:$S$5001,"&lt;&gt;")=0,"",SUMIFS(BD!$S$3:$S$5001,BD!$B$3:$B$5001,L$198,BD!$A$3:$A$5001,_xlfn.MAXIFS(BD!$A$3:$A$5001,BD!$B$3:$B$5001,L$198,BD!$A$3:$A$5001,"&gt;="&amp;$C$7,BD!$A$3:$A$5001,"&lt;="&amp;$B204,BD!$S$3:$S$5001,"&lt;&gt;"))))</f>
        <v/>
      </c>
      <c r="M204" s="54" t="str">
        <f>IF(OR($B204="",$A204&gt;$B$9,M$198=""),"",IF(COUNTIFS(BD!$B$3:$B$5001,M$198,BD!$A$3:$A$5001,"&gt;="&amp;$C$7,BD!$A$3:$A$5001,"&lt;="&amp;$B204,BD!$S$3:$S$5001,"&lt;&gt;")=0,"",SUMIFS(BD!$S$3:$S$5001,BD!$B$3:$B$5001,M$198,BD!$A$3:$A$5001,_xlfn.MAXIFS(BD!$A$3:$A$5001,BD!$B$3:$B$5001,M$198,BD!$A$3:$A$5001,"&gt;="&amp;$C$7,BD!$A$3:$A$5001,"&lt;="&amp;$B204,BD!$S$3:$S$5001,"&lt;&gt;"))))</f>
        <v/>
      </c>
      <c r="N204" s="54" t="str">
        <f>IF(OR($B204="",$A204&gt;$B$9,N$198=""),"",IF(COUNTIFS(BD!$B$3:$B$5001,N$198,BD!$A$3:$A$5001,"&gt;="&amp;$C$7,BD!$A$3:$A$5001,"&lt;="&amp;$B204,BD!$S$3:$S$5001,"&lt;&gt;")=0,"",SUMIFS(BD!$S$3:$S$5001,BD!$B$3:$B$5001,N$198,BD!$A$3:$A$5001,_xlfn.MAXIFS(BD!$A$3:$A$5001,BD!$B$3:$B$5001,N$198,BD!$A$3:$A$5001,"&gt;="&amp;$C$7,BD!$A$3:$A$5001,"&lt;="&amp;$B204,BD!$S$3:$S$5001,"&lt;&gt;"))))</f>
        <v/>
      </c>
      <c r="O204" s="54" t="str">
        <f>IF(OR($B204="",$A204&gt;$B$9,O$198=""),"",IF(COUNTIFS(BD!$B$3:$B$5001,O$198,BD!$A$3:$A$5001,"&gt;="&amp;$C$7,BD!$A$3:$A$5001,"&lt;="&amp;$B204,BD!$S$3:$S$5001,"&lt;&gt;")=0,"",SUMIFS(BD!$S$3:$S$5001,BD!$B$3:$B$5001,O$198,BD!$A$3:$A$5001,_xlfn.MAXIFS(BD!$A$3:$A$5001,BD!$B$3:$B$5001,O$198,BD!$A$3:$A$5001,"&gt;="&amp;$C$7,BD!$A$3:$A$5001,"&lt;="&amp;$B204,BD!$S$3:$S$5001,"&lt;&gt;"))))</f>
        <v/>
      </c>
      <c r="P204" s="54" t="str">
        <f>IF(OR($B204="",$A204&gt;$B$9,P$198=""),"",IF(COUNTIFS(BD!$B$3:$B$5001,P$198,BD!$A$3:$A$5001,"&gt;="&amp;$C$7,BD!$A$3:$A$5001,"&lt;="&amp;$B204,BD!$S$3:$S$5001,"&lt;&gt;")=0,"",SUMIFS(BD!$S$3:$S$5001,BD!$B$3:$B$5001,P$198,BD!$A$3:$A$5001,_xlfn.MAXIFS(BD!$A$3:$A$5001,BD!$B$3:$B$5001,P$198,BD!$A$3:$A$5001,"&gt;="&amp;$C$7,BD!$A$3:$A$5001,"&lt;="&amp;$B204,BD!$S$3:$S$5001,"&lt;&gt;"))))</f>
        <v/>
      </c>
      <c r="Q204" s="54" t="str">
        <f>IF(OR($B204="",$A204&gt;$B$9,Q$198=""),"",IF(COUNTIFS(BD!$B$3:$B$5001,Q$198,BD!$A$3:$A$5001,"&gt;="&amp;$C$7,BD!$A$3:$A$5001,"&lt;="&amp;$B204,BD!$S$3:$S$5001,"&lt;&gt;")=0,"",SUMIFS(BD!$S$3:$S$5001,BD!$B$3:$B$5001,Q$198,BD!$A$3:$A$5001,_xlfn.MAXIFS(BD!$A$3:$A$5001,BD!$B$3:$B$5001,Q$198,BD!$A$3:$A$5001,"&gt;="&amp;$C$7,BD!$A$3:$A$5001,"&lt;="&amp;$B204,BD!$S$3:$S$5001,"&lt;&gt;"))))</f>
        <v/>
      </c>
      <c r="R204" s="54" t="str">
        <f>IF(OR($B204="",$A204&gt;$B$9,R$198=""),"",IF(COUNTIFS(BD!$B$3:$B$5001,R$198,BD!$A$3:$A$5001,"&gt;="&amp;$C$7,BD!$A$3:$A$5001,"&lt;="&amp;$B204,BD!$S$3:$S$5001,"&lt;&gt;")=0,"",SUMIFS(BD!$S$3:$S$5001,BD!$B$3:$B$5001,R$198,BD!$A$3:$A$5001,_xlfn.MAXIFS(BD!$A$3:$A$5001,BD!$B$3:$B$5001,R$198,BD!$A$3:$A$5001,"&gt;="&amp;$C$7,BD!$A$3:$A$5001,"&lt;="&amp;$B204,BD!$S$3:$S$5001,"&lt;&gt;"))))</f>
        <v/>
      </c>
      <c r="S204" s="54" t="str">
        <f>IF(OR($B204="",$A204&gt;$B$9,S$198=""),"",IF(COUNTIFS(BD!$B$3:$B$5001,S$198,BD!$A$3:$A$5001,"&gt;="&amp;$C$7,BD!$A$3:$A$5001,"&lt;="&amp;$B204,BD!$S$3:$S$5001,"&lt;&gt;")=0,"",SUMIFS(BD!$S$3:$S$5001,BD!$B$3:$B$5001,S$198,BD!$A$3:$A$5001,_xlfn.MAXIFS(BD!$A$3:$A$5001,BD!$B$3:$B$5001,S$198,BD!$A$3:$A$5001,"&gt;="&amp;$C$7,BD!$A$3:$A$5001,"&lt;="&amp;$B204,BD!$S$3:$S$5001,"&lt;&gt;"))))</f>
        <v/>
      </c>
      <c r="T204" s="54" t="str">
        <f>IF(OR($B204="",$A204&gt;$B$9,T$198=""),"",IF(COUNTIFS(BD!$B$3:$B$5001,T$198,BD!$A$3:$A$5001,"&gt;="&amp;$C$7,BD!$A$3:$A$5001,"&lt;="&amp;$B204,BD!$S$3:$S$5001,"&lt;&gt;")=0,"",SUMIFS(BD!$S$3:$S$5001,BD!$B$3:$B$5001,T$198,BD!$A$3:$A$5001,_xlfn.MAXIFS(BD!$A$3:$A$5001,BD!$B$3:$B$5001,T$198,BD!$A$3:$A$5001,"&gt;="&amp;$C$7,BD!$A$3:$A$5001,"&lt;="&amp;$B204,BD!$S$3:$S$5001,"&lt;&gt;"))))</f>
        <v/>
      </c>
      <c r="U204" s="54" t="str">
        <f>IF(OR($B204="",$A204&gt;$B$9,U$198=""),"",IF(COUNTIFS(BD!$B$3:$B$5001,U$198,BD!$A$3:$A$5001,"&gt;="&amp;$C$7,BD!$A$3:$A$5001,"&lt;="&amp;$B204,BD!$S$3:$S$5001,"&lt;&gt;")=0,"",SUMIFS(BD!$S$3:$S$5001,BD!$B$3:$B$5001,U$198,BD!$A$3:$A$5001,_xlfn.MAXIFS(BD!$A$3:$A$5001,BD!$B$3:$B$5001,U$198,BD!$A$3:$A$5001,"&gt;="&amp;$C$7,BD!$A$3:$A$5001,"&lt;="&amp;$B204,BD!$S$3:$S$5001,"&lt;&gt;"))))</f>
        <v/>
      </c>
      <c r="V204" s="54" t="str">
        <f>IF(OR($B204="",$A204&gt;$B$9,V$198=""),"",IF(COUNTIFS(BD!$B$3:$B$5001,V$198,BD!$A$3:$A$5001,"&gt;="&amp;$C$7,BD!$A$3:$A$5001,"&lt;="&amp;$B204,BD!$S$3:$S$5001,"&lt;&gt;")=0,"",SUMIFS(BD!$S$3:$S$5001,BD!$B$3:$B$5001,V$198,BD!$A$3:$A$5001,_xlfn.MAXIFS(BD!$A$3:$A$5001,BD!$B$3:$B$5001,V$198,BD!$A$3:$A$5001,"&gt;="&amp;$C$7,BD!$A$3:$A$5001,"&lt;="&amp;$B204,BD!$S$3:$S$5001,"&lt;&gt;"))))</f>
        <v/>
      </c>
    </row>
    <row r="205">
      <c r="A205" s="48">
        <v>7</v>
      </c>
      <c r="B205" s="53">
        <f>$B$18</f>
        <v>46302</v>
      </c>
      <c r="C205" s="54" t="str">
        <f>IF(OR($B205="",$A205&gt;$B$9,C$198=""),"",IF(COUNTIFS(BD!$B$3:$B$5001,C$198,BD!$A$3:$A$5001,"&gt;="&amp;$C$7,BD!$A$3:$A$5001,"&lt;="&amp;$B205,BD!$S$3:$S$5001,"&lt;&gt;")=0,"",SUMIFS(BD!$S$3:$S$5001,BD!$B$3:$B$5001,C$198,BD!$A$3:$A$5001,_xlfn.MAXIFS(BD!$A$3:$A$5001,BD!$B$3:$B$5001,C$198,BD!$A$3:$A$5001,"&gt;="&amp;$C$7,BD!$A$3:$A$5001,"&lt;="&amp;$B205,BD!$S$3:$S$5001,"&lt;&gt;"))))</f>
        <v/>
      </c>
      <c r="D205" s="54" t="str">
        <f>IF(OR($B205="",$A205&gt;$B$9,D$198=""),"",IF(COUNTIFS(BD!$B$3:$B$5001,D$198,BD!$A$3:$A$5001,"&gt;="&amp;$C$7,BD!$A$3:$A$5001,"&lt;="&amp;$B205,BD!$S$3:$S$5001,"&lt;&gt;")=0,"",SUMIFS(BD!$S$3:$S$5001,BD!$B$3:$B$5001,D$198,BD!$A$3:$A$5001,_xlfn.MAXIFS(BD!$A$3:$A$5001,BD!$B$3:$B$5001,D$198,BD!$A$3:$A$5001,"&gt;="&amp;$C$7,BD!$A$3:$A$5001,"&lt;="&amp;$B205,BD!$S$3:$S$5001,"&lt;&gt;"))))</f>
        <v/>
      </c>
      <c r="E205" s="54" t="str">
        <f>IF(OR($B205="",$A205&gt;$B$9,E$198=""),"",IF(COUNTIFS(BD!$B$3:$B$5001,E$198,BD!$A$3:$A$5001,"&gt;="&amp;$C$7,BD!$A$3:$A$5001,"&lt;="&amp;$B205,BD!$S$3:$S$5001,"&lt;&gt;")=0,"",SUMIFS(BD!$S$3:$S$5001,BD!$B$3:$B$5001,E$198,BD!$A$3:$A$5001,_xlfn.MAXIFS(BD!$A$3:$A$5001,BD!$B$3:$B$5001,E$198,BD!$A$3:$A$5001,"&gt;="&amp;$C$7,BD!$A$3:$A$5001,"&lt;="&amp;$B205,BD!$S$3:$S$5001,"&lt;&gt;"))))</f>
        <v/>
      </c>
      <c r="F205" s="54" t="str">
        <f>IF(OR($B205="",$A205&gt;$B$9,F$198=""),"",IF(COUNTIFS(BD!$B$3:$B$5001,F$198,BD!$A$3:$A$5001,"&gt;="&amp;$C$7,BD!$A$3:$A$5001,"&lt;="&amp;$B205,BD!$S$3:$S$5001,"&lt;&gt;")=0,"",SUMIFS(BD!$S$3:$S$5001,BD!$B$3:$B$5001,F$198,BD!$A$3:$A$5001,_xlfn.MAXIFS(BD!$A$3:$A$5001,BD!$B$3:$B$5001,F$198,BD!$A$3:$A$5001,"&gt;="&amp;$C$7,BD!$A$3:$A$5001,"&lt;="&amp;$B205,BD!$S$3:$S$5001,"&lt;&gt;"))))</f>
        <v/>
      </c>
      <c r="G205" s="54" t="str">
        <f>IF(OR($B205="",$A205&gt;$B$9,G$198=""),"",IF(COUNTIFS(BD!$B$3:$B$5001,G$198,BD!$A$3:$A$5001,"&gt;="&amp;$C$7,BD!$A$3:$A$5001,"&lt;="&amp;$B205,BD!$S$3:$S$5001,"&lt;&gt;")=0,"",SUMIFS(BD!$S$3:$S$5001,BD!$B$3:$B$5001,G$198,BD!$A$3:$A$5001,_xlfn.MAXIFS(BD!$A$3:$A$5001,BD!$B$3:$B$5001,G$198,BD!$A$3:$A$5001,"&gt;="&amp;$C$7,BD!$A$3:$A$5001,"&lt;="&amp;$B205,BD!$S$3:$S$5001,"&lt;&gt;"))))</f>
        <v/>
      </c>
      <c r="H205" s="54" t="str">
        <f>IF(OR($B205="",$A205&gt;$B$9,H$198=""),"",IF(COUNTIFS(BD!$B$3:$B$5001,H$198,BD!$A$3:$A$5001,"&gt;="&amp;$C$7,BD!$A$3:$A$5001,"&lt;="&amp;$B205,BD!$S$3:$S$5001,"&lt;&gt;")=0,"",SUMIFS(BD!$S$3:$S$5001,BD!$B$3:$B$5001,H$198,BD!$A$3:$A$5001,_xlfn.MAXIFS(BD!$A$3:$A$5001,BD!$B$3:$B$5001,H$198,BD!$A$3:$A$5001,"&gt;="&amp;$C$7,BD!$A$3:$A$5001,"&lt;="&amp;$B205,BD!$S$3:$S$5001,"&lt;&gt;"))))</f>
        <v/>
      </c>
      <c r="I205" s="54" t="str">
        <f>IF(OR($B205="",$A205&gt;$B$9,I$198=""),"",IF(COUNTIFS(BD!$B$3:$B$5001,I$198,BD!$A$3:$A$5001,"&gt;="&amp;$C$7,BD!$A$3:$A$5001,"&lt;="&amp;$B205,BD!$S$3:$S$5001,"&lt;&gt;")=0,"",SUMIFS(BD!$S$3:$S$5001,BD!$B$3:$B$5001,I$198,BD!$A$3:$A$5001,_xlfn.MAXIFS(BD!$A$3:$A$5001,BD!$B$3:$B$5001,I$198,BD!$A$3:$A$5001,"&gt;="&amp;$C$7,BD!$A$3:$A$5001,"&lt;="&amp;$B205,BD!$S$3:$S$5001,"&lt;&gt;"))))</f>
        <v/>
      </c>
      <c r="J205" s="54" t="str">
        <f>IF(OR($B205="",$A205&gt;$B$9,J$198=""),"",IF(COUNTIFS(BD!$B$3:$B$5001,J$198,BD!$A$3:$A$5001,"&gt;="&amp;$C$7,BD!$A$3:$A$5001,"&lt;="&amp;$B205,BD!$S$3:$S$5001,"&lt;&gt;")=0,"",SUMIFS(BD!$S$3:$S$5001,BD!$B$3:$B$5001,J$198,BD!$A$3:$A$5001,_xlfn.MAXIFS(BD!$A$3:$A$5001,BD!$B$3:$B$5001,J$198,BD!$A$3:$A$5001,"&gt;="&amp;$C$7,BD!$A$3:$A$5001,"&lt;="&amp;$B205,BD!$S$3:$S$5001,"&lt;&gt;"))))</f>
        <v/>
      </c>
      <c r="K205" s="54" t="str">
        <f>IF(OR($B205="",$A205&gt;$B$9,K$198=""),"",IF(COUNTIFS(BD!$B$3:$B$5001,K$198,BD!$A$3:$A$5001,"&gt;="&amp;$C$7,BD!$A$3:$A$5001,"&lt;="&amp;$B205,BD!$S$3:$S$5001,"&lt;&gt;")=0,"",SUMIFS(BD!$S$3:$S$5001,BD!$B$3:$B$5001,K$198,BD!$A$3:$A$5001,_xlfn.MAXIFS(BD!$A$3:$A$5001,BD!$B$3:$B$5001,K$198,BD!$A$3:$A$5001,"&gt;="&amp;$C$7,BD!$A$3:$A$5001,"&lt;="&amp;$B205,BD!$S$3:$S$5001,"&lt;&gt;"))))</f>
        <v/>
      </c>
      <c r="L205" s="54" t="str">
        <f>IF(OR($B205="",$A205&gt;$B$9,L$198=""),"",IF(COUNTIFS(BD!$B$3:$B$5001,L$198,BD!$A$3:$A$5001,"&gt;="&amp;$C$7,BD!$A$3:$A$5001,"&lt;="&amp;$B205,BD!$S$3:$S$5001,"&lt;&gt;")=0,"",SUMIFS(BD!$S$3:$S$5001,BD!$B$3:$B$5001,L$198,BD!$A$3:$A$5001,_xlfn.MAXIFS(BD!$A$3:$A$5001,BD!$B$3:$B$5001,L$198,BD!$A$3:$A$5001,"&gt;="&amp;$C$7,BD!$A$3:$A$5001,"&lt;="&amp;$B205,BD!$S$3:$S$5001,"&lt;&gt;"))))</f>
        <v/>
      </c>
      <c r="M205" s="54" t="str">
        <f>IF(OR($B205="",$A205&gt;$B$9,M$198=""),"",IF(COUNTIFS(BD!$B$3:$B$5001,M$198,BD!$A$3:$A$5001,"&gt;="&amp;$C$7,BD!$A$3:$A$5001,"&lt;="&amp;$B205,BD!$S$3:$S$5001,"&lt;&gt;")=0,"",SUMIFS(BD!$S$3:$S$5001,BD!$B$3:$B$5001,M$198,BD!$A$3:$A$5001,_xlfn.MAXIFS(BD!$A$3:$A$5001,BD!$B$3:$B$5001,M$198,BD!$A$3:$A$5001,"&gt;="&amp;$C$7,BD!$A$3:$A$5001,"&lt;="&amp;$B205,BD!$S$3:$S$5001,"&lt;&gt;"))))</f>
        <v/>
      </c>
      <c r="N205" s="54" t="str">
        <f>IF(OR($B205="",$A205&gt;$B$9,N$198=""),"",IF(COUNTIFS(BD!$B$3:$B$5001,N$198,BD!$A$3:$A$5001,"&gt;="&amp;$C$7,BD!$A$3:$A$5001,"&lt;="&amp;$B205,BD!$S$3:$S$5001,"&lt;&gt;")=0,"",SUMIFS(BD!$S$3:$S$5001,BD!$B$3:$B$5001,N$198,BD!$A$3:$A$5001,_xlfn.MAXIFS(BD!$A$3:$A$5001,BD!$B$3:$B$5001,N$198,BD!$A$3:$A$5001,"&gt;="&amp;$C$7,BD!$A$3:$A$5001,"&lt;="&amp;$B205,BD!$S$3:$S$5001,"&lt;&gt;"))))</f>
        <v/>
      </c>
      <c r="O205" s="54" t="str">
        <f>IF(OR($B205="",$A205&gt;$B$9,O$198=""),"",IF(COUNTIFS(BD!$B$3:$B$5001,O$198,BD!$A$3:$A$5001,"&gt;="&amp;$C$7,BD!$A$3:$A$5001,"&lt;="&amp;$B205,BD!$S$3:$S$5001,"&lt;&gt;")=0,"",SUMIFS(BD!$S$3:$S$5001,BD!$B$3:$B$5001,O$198,BD!$A$3:$A$5001,_xlfn.MAXIFS(BD!$A$3:$A$5001,BD!$B$3:$B$5001,O$198,BD!$A$3:$A$5001,"&gt;="&amp;$C$7,BD!$A$3:$A$5001,"&lt;="&amp;$B205,BD!$S$3:$S$5001,"&lt;&gt;"))))</f>
        <v/>
      </c>
      <c r="P205" s="54" t="str">
        <f>IF(OR($B205="",$A205&gt;$B$9,P$198=""),"",IF(COUNTIFS(BD!$B$3:$B$5001,P$198,BD!$A$3:$A$5001,"&gt;="&amp;$C$7,BD!$A$3:$A$5001,"&lt;="&amp;$B205,BD!$S$3:$S$5001,"&lt;&gt;")=0,"",SUMIFS(BD!$S$3:$S$5001,BD!$B$3:$B$5001,P$198,BD!$A$3:$A$5001,_xlfn.MAXIFS(BD!$A$3:$A$5001,BD!$B$3:$B$5001,P$198,BD!$A$3:$A$5001,"&gt;="&amp;$C$7,BD!$A$3:$A$5001,"&lt;="&amp;$B205,BD!$S$3:$S$5001,"&lt;&gt;"))))</f>
        <v/>
      </c>
      <c r="Q205" s="54" t="str">
        <f>IF(OR($B205="",$A205&gt;$B$9,Q$198=""),"",IF(COUNTIFS(BD!$B$3:$B$5001,Q$198,BD!$A$3:$A$5001,"&gt;="&amp;$C$7,BD!$A$3:$A$5001,"&lt;="&amp;$B205,BD!$S$3:$S$5001,"&lt;&gt;")=0,"",SUMIFS(BD!$S$3:$S$5001,BD!$B$3:$B$5001,Q$198,BD!$A$3:$A$5001,_xlfn.MAXIFS(BD!$A$3:$A$5001,BD!$B$3:$B$5001,Q$198,BD!$A$3:$A$5001,"&gt;="&amp;$C$7,BD!$A$3:$A$5001,"&lt;="&amp;$B205,BD!$S$3:$S$5001,"&lt;&gt;"))))</f>
        <v/>
      </c>
      <c r="R205" s="54" t="str">
        <f>IF(OR($B205="",$A205&gt;$B$9,R$198=""),"",IF(COUNTIFS(BD!$B$3:$B$5001,R$198,BD!$A$3:$A$5001,"&gt;="&amp;$C$7,BD!$A$3:$A$5001,"&lt;="&amp;$B205,BD!$S$3:$S$5001,"&lt;&gt;")=0,"",SUMIFS(BD!$S$3:$S$5001,BD!$B$3:$B$5001,R$198,BD!$A$3:$A$5001,_xlfn.MAXIFS(BD!$A$3:$A$5001,BD!$B$3:$B$5001,R$198,BD!$A$3:$A$5001,"&gt;="&amp;$C$7,BD!$A$3:$A$5001,"&lt;="&amp;$B205,BD!$S$3:$S$5001,"&lt;&gt;"))))</f>
        <v/>
      </c>
      <c r="S205" s="54" t="str">
        <f>IF(OR($B205="",$A205&gt;$B$9,S$198=""),"",IF(COUNTIFS(BD!$B$3:$B$5001,S$198,BD!$A$3:$A$5001,"&gt;="&amp;$C$7,BD!$A$3:$A$5001,"&lt;="&amp;$B205,BD!$S$3:$S$5001,"&lt;&gt;")=0,"",SUMIFS(BD!$S$3:$S$5001,BD!$B$3:$B$5001,S$198,BD!$A$3:$A$5001,_xlfn.MAXIFS(BD!$A$3:$A$5001,BD!$B$3:$B$5001,S$198,BD!$A$3:$A$5001,"&gt;="&amp;$C$7,BD!$A$3:$A$5001,"&lt;="&amp;$B205,BD!$S$3:$S$5001,"&lt;&gt;"))))</f>
        <v/>
      </c>
      <c r="T205" s="54" t="str">
        <f>IF(OR($B205="",$A205&gt;$B$9,T$198=""),"",IF(COUNTIFS(BD!$B$3:$B$5001,T$198,BD!$A$3:$A$5001,"&gt;="&amp;$C$7,BD!$A$3:$A$5001,"&lt;="&amp;$B205,BD!$S$3:$S$5001,"&lt;&gt;")=0,"",SUMIFS(BD!$S$3:$S$5001,BD!$B$3:$B$5001,T$198,BD!$A$3:$A$5001,_xlfn.MAXIFS(BD!$A$3:$A$5001,BD!$B$3:$B$5001,T$198,BD!$A$3:$A$5001,"&gt;="&amp;$C$7,BD!$A$3:$A$5001,"&lt;="&amp;$B205,BD!$S$3:$S$5001,"&lt;&gt;"))))</f>
        <v/>
      </c>
      <c r="U205" s="54" t="str">
        <f>IF(OR($B205="",$A205&gt;$B$9,U$198=""),"",IF(COUNTIFS(BD!$B$3:$B$5001,U$198,BD!$A$3:$A$5001,"&gt;="&amp;$C$7,BD!$A$3:$A$5001,"&lt;="&amp;$B205,BD!$S$3:$S$5001,"&lt;&gt;")=0,"",SUMIFS(BD!$S$3:$S$5001,BD!$B$3:$B$5001,U$198,BD!$A$3:$A$5001,_xlfn.MAXIFS(BD!$A$3:$A$5001,BD!$B$3:$B$5001,U$198,BD!$A$3:$A$5001,"&gt;="&amp;$C$7,BD!$A$3:$A$5001,"&lt;="&amp;$B205,BD!$S$3:$S$5001,"&lt;&gt;"))))</f>
        <v/>
      </c>
      <c r="V205" s="54" t="str">
        <f>IF(OR($B205="",$A205&gt;$B$9,V$198=""),"",IF(COUNTIFS(BD!$B$3:$B$5001,V$198,BD!$A$3:$A$5001,"&gt;="&amp;$C$7,BD!$A$3:$A$5001,"&lt;="&amp;$B205,BD!$S$3:$S$5001,"&lt;&gt;")=0,"",SUMIFS(BD!$S$3:$S$5001,BD!$B$3:$B$5001,V$198,BD!$A$3:$A$5001,_xlfn.MAXIFS(BD!$A$3:$A$5001,BD!$B$3:$B$5001,V$198,BD!$A$3:$A$5001,"&gt;="&amp;$C$7,BD!$A$3:$A$5001,"&lt;="&amp;$B205,BD!$S$3:$S$5001,"&lt;&gt;"))))</f>
        <v/>
      </c>
    </row>
    <row r="206">
      <c r="A206" s="48">
        <v>8</v>
      </c>
      <c r="B206" s="53">
        <f>$B$19</f>
        <v>46303</v>
      </c>
      <c r="C206" s="54" t="str">
        <f>IF(OR($B206="",$A206&gt;$B$9,C$198=""),"",IF(COUNTIFS(BD!$B$3:$B$5001,C$198,BD!$A$3:$A$5001,"&gt;="&amp;$C$7,BD!$A$3:$A$5001,"&lt;="&amp;$B206,BD!$S$3:$S$5001,"&lt;&gt;")=0,"",SUMIFS(BD!$S$3:$S$5001,BD!$B$3:$B$5001,C$198,BD!$A$3:$A$5001,_xlfn.MAXIFS(BD!$A$3:$A$5001,BD!$B$3:$B$5001,C$198,BD!$A$3:$A$5001,"&gt;="&amp;$C$7,BD!$A$3:$A$5001,"&lt;="&amp;$B206,BD!$S$3:$S$5001,"&lt;&gt;"))))</f>
        <v/>
      </c>
      <c r="D206" s="54" t="str">
        <f>IF(OR($B206="",$A206&gt;$B$9,D$198=""),"",IF(COUNTIFS(BD!$B$3:$B$5001,D$198,BD!$A$3:$A$5001,"&gt;="&amp;$C$7,BD!$A$3:$A$5001,"&lt;="&amp;$B206,BD!$S$3:$S$5001,"&lt;&gt;")=0,"",SUMIFS(BD!$S$3:$S$5001,BD!$B$3:$B$5001,D$198,BD!$A$3:$A$5001,_xlfn.MAXIFS(BD!$A$3:$A$5001,BD!$B$3:$B$5001,D$198,BD!$A$3:$A$5001,"&gt;="&amp;$C$7,BD!$A$3:$A$5001,"&lt;="&amp;$B206,BD!$S$3:$S$5001,"&lt;&gt;"))))</f>
        <v/>
      </c>
      <c r="E206" s="54" t="str">
        <f>IF(OR($B206="",$A206&gt;$B$9,E$198=""),"",IF(COUNTIFS(BD!$B$3:$B$5001,E$198,BD!$A$3:$A$5001,"&gt;="&amp;$C$7,BD!$A$3:$A$5001,"&lt;="&amp;$B206,BD!$S$3:$S$5001,"&lt;&gt;")=0,"",SUMIFS(BD!$S$3:$S$5001,BD!$B$3:$B$5001,E$198,BD!$A$3:$A$5001,_xlfn.MAXIFS(BD!$A$3:$A$5001,BD!$B$3:$B$5001,E$198,BD!$A$3:$A$5001,"&gt;="&amp;$C$7,BD!$A$3:$A$5001,"&lt;="&amp;$B206,BD!$S$3:$S$5001,"&lt;&gt;"))))</f>
        <v/>
      </c>
      <c r="F206" s="54" t="str">
        <f>IF(OR($B206="",$A206&gt;$B$9,F$198=""),"",IF(COUNTIFS(BD!$B$3:$B$5001,F$198,BD!$A$3:$A$5001,"&gt;="&amp;$C$7,BD!$A$3:$A$5001,"&lt;="&amp;$B206,BD!$S$3:$S$5001,"&lt;&gt;")=0,"",SUMIFS(BD!$S$3:$S$5001,BD!$B$3:$B$5001,F$198,BD!$A$3:$A$5001,_xlfn.MAXIFS(BD!$A$3:$A$5001,BD!$B$3:$B$5001,F$198,BD!$A$3:$A$5001,"&gt;="&amp;$C$7,BD!$A$3:$A$5001,"&lt;="&amp;$B206,BD!$S$3:$S$5001,"&lt;&gt;"))))</f>
        <v/>
      </c>
      <c r="G206" s="54" t="str">
        <f>IF(OR($B206="",$A206&gt;$B$9,G$198=""),"",IF(COUNTIFS(BD!$B$3:$B$5001,G$198,BD!$A$3:$A$5001,"&gt;="&amp;$C$7,BD!$A$3:$A$5001,"&lt;="&amp;$B206,BD!$S$3:$S$5001,"&lt;&gt;")=0,"",SUMIFS(BD!$S$3:$S$5001,BD!$B$3:$B$5001,G$198,BD!$A$3:$A$5001,_xlfn.MAXIFS(BD!$A$3:$A$5001,BD!$B$3:$B$5001,G$198,BD!$A$3:$A$5001,"&gt;="&amp;$C$7,BD!$A$3:$A$5001,"&lt;="&amp;$B206,BD!$S$3:$S$5001,"&lt;&gt;"))))</f>
        <v/>
      </c>
      <c r="H206" s="54" t="str">
        <f>IF(OR($B206="",$A206&gt;$B$9,H$198=""),"",IF(COUNTIFS(BD!$B$3:$B$5001,H$198,BD!$A$3:$A$5001,"&gt;="&amp;$C$7,BD!$A$3:$A$5001,"&lt;="&amp;$B206,BD!$S$3:$S$5001,"&lt;&gt;")=0,"",SUMIFS(BD!$S$3:$S$5001,BD!$B$3:$B$5001,H$198,BD!$A$3:$A$5001,_xlfn.MAXIFS(BD!$A$3:$A$5001,BD!$B$3:$B$5001,H$198,BD!$A$3:$A$5001,"&gt;="&amp;$C$7,BD!$A$3:$A$5001,"&lt;="&amp;$B206,BD!$S$3:$S$5001,"&lt;&gt;"))))</f>
        <v/>
      </c>
      <c r="I206" s="54" t="str">
        <f>IF(OR($B206="",$A206&gt;$B$9,I$198=""),"",IF(COUNTIFS(BD!$B$3:$B$5001,I$198,BD!$A$3:$A$5001,"&gt;="&amp;$C$7,BD!$A$3:$A$5001,"&lt;="&amp;$B206,BD!$S$3:$S$5001,"&lt;&gt;")=0,"",SUMIFS(BD!$S$3:$S$5001,BD!$B$3:$B$5001,I$198,BD!$A$3:$A$5001,_xlfn.MAXIFS(BD!$A$3:$A$5001,BD!$B$3:$B$5001,I$198,BD!$A$3:$A$5001,"&gt;="&amp;$C$7,BD!$A$3:$A$5001,"&lt;="&amp;$B206,BD!$S$3:$S$5001,"&lt;&gt;"))))</f>
        <v/>
      </c>
      <c r="J206" s="54" t="str">
        <f>IF(OR($B206="",$A206&gt;$B$9,J$198=""),"",IF(COUNTIFS(BD!$B$3:$B$5001,J$198,BD!$A$3:$A$5001,"&gt;="&amp;$C$7,BD!$A$3:$A$5001,"&lt;="&amp;$B206,BD!$S$3:$S$5001,"&lt;&gt;")=0,"",SUMIFS(BD!$S$3:$S$5001,BD!$B$3:$B$5001,J$198,BD!$A$3:$A$5001,_xlfn.MAXIFS(BD!$A$3:$A$5001,BD!$B$3:$B$5001,J$198,BD!$A$3:$A$5001,"&gt;="&amp;$C$7,BD!$A$3:$A$5001,"&lt;="&amp;$B206,BD!$S$3:$S$5001,"&lt;&gt;"))))</f>
        <v/>
      </c>
      <c r="K206" s="54" t="str">
        <f>IF(OR($B206="",$A206&gt;$B$9,K$198=""),"",IF(COUNTIFS(BD!$B$3:$B$5001,K$198,BD!$A$3:$A$5001,"&gt;="&amp;$C$7,BD!$A$3:$A$5001,"&lt;="&amp;$B206,BD!$S$3:$S$5001,"&lt;&gt;")=0,"",SUMIFS(BD!$S$3:$S$5001,BD!$B$3:$B$5001,K$198,BD!$A$3:$A$5001,_xlfn.MAXIFS(BD!$A$3:$A$5001,BD!$B$3:$B$5001,K$198,BD!$A$3:$A$5001,"&gt;="&amp;$C$7,BD!$A$3:$A$5001,"&lt;="&amp;$B206,BD!$S$3:$S$5001,"&lt;&gt;"))))</f>
        <v/>
      </c>
      <c r="L206" s="54" t="str">
        <f>IF(OR($B206="",$A206&gt;$B$9,L$198=""),"",IF(COUNTIFS(BD!$B$3:$B$5001,L$198,BD!$A$3:$A$5001,"&gt;="&amp;$C$7,BD!$A$3:$A$5001,"&lt;="&amp;$B206,BD!$S$3:$S$5001,"&lt;&gt;")=0,"",SUMIFS(BD!$S$3:$S$5001,BD!$B$3:$B$5001,L$198,BD!$A$3:$A$5001,_xlfn.MAXIFS(BD!$A$3:$A$5001,BD!$B$3:$B$5001,L$198,BD!$A$3:$A$5001,"&gt;="&amp;$C$7,BD!$A$3:$A$5001,"&lt;="&amp;$B206,BD!$S$3:$S$5001,"&lt;&gt;"))))</f>
        <v/>
      </c>
      <c r="M206" s="54" t="str">
        <f>IF(OR($B206="",$A206&gt;$B$9,M$198=""),"",IF(COUNTIFS(BD!$B$3:$B$5001,M$198,BD!$A$3:$A$5001,"&gt;="&amp;$C$7,BD!$A$3:$A$5001,"&lt;="&amp;$B206,BD!$S$3:$S$5001,"&lt;&gt;")=0,"",SUMIFS(BD!$S$3:$S$5001,BD!$B$3:$B$5001,M$198,BD!$A$3:$A$5001,_xlfn.MAXIFS(BD!$A$3:$A$5001,BD!$B$3:$B$5001,M$198,BD!$A$3:$A$5001,"&gt;="&amp;$C$7,BD!$A$3:$A$5001,"&lt;="&amp;$B206,BD!$S$3:$S$5001,"&lt;&gt;"))))</f>
        <v/>
      </c>
      <c r="N206" s="54" t="str">
        <f>IF(OR($B206="",$A206&gt;$B$9,N$198=""),"",IF(COUNTIFS(BD!$B$3:$B$5001,N$198,BD!$A$3:$A$5001,"&gt;="&amp;$C$7,BD!$A$3:$A$5001,"&lt;="&amp;$B206,BD!$S$3:$S$5001,"&lt;&gt;")=0,"",SUMIFS(BD!$S$3:$S$5001,BD!$B$3:$B$5001,N$198,BD!$A$3:$A$5001,_xlfn.MAXIFS(BD!$A$3:$A$5001,BD!$B$3:$B$5001,N$198,BD!$A$3:$A$5001,"&gt;="&amp;$C$7,BD!$A$3:$A$5001,"&lt;="&amp;$B206,BD!$S$3:$S$5001,"&lt;&gt;"))))</f>
        <v/>
      </c>
      <c r="O206" s="54" t="str">
        <f>IF(OR($B206="",$A206&gt;$B$9,O$198=""),"",IF(COUNTIFS(BD!$B$3:$B$5001,O$198,BD!$A$3:$A$5001,"&gt;="&amp;$C$7,BD!$A$3:$A$5001,"&lt;="&amp;$B206,BD!$S$3:$S$5001,"&lt;&gt;")=0,"",SUMIFS(BD!$S$3:$S$5001,BD!$B$3:$B$5001,O$198,BD!$A$3:$A$5001,_xlfn.MAXIFS(BD!$A$3:$A$5001,BD!$B$3:$B$5001,O$198,BD!$A$3:$A$5001,"&gt;="&amp;$C$7,BD!$A$3:$A$5001,"&lt;="&amp;$B206,BD!$S$3:$S$5001,"&lt;&gt;"))))</f>
        <v/>
      </c>
      <c r="P206" s="54" t="str">
        <f>IF(OR($B206="",$A206&gt;$B$9,P$198=""),"",IF(COUNTIFS(BD!$B$3:$B$5001,P$198,BD!$A$3:$A$5001,"&gt;="&amp;$C$7,BD!$A$3:$A$5001,"&lt;="&amp;$B206,BD!$S$3:$S$5001,"&lt;&gt;")=0,"",SUMIFS(BD!$S$3:$S$5001,BD!$B$3:$B$5001,P$198,BD!$A$3:$A$5001,_xlfn.MAXIFS(BD!$A$3:$A$5001,BD!$B$3:$B$5001,P$198,BD!$A$3:$A$5001,"&gt;="&amp;$C$7,BD!$A$3:$A$5001,"&lt;="&amp;$B206,BD!$S$3:$S$5001,"&lt;&gt;"))))</f>
        <v/>
      </c>
      <c r="Q206" s="54" t="str">
        <f>IF(OR($B206="",$A206&gt;$B$9,Q$198=""),"",IF(COUNTIFS(BD!$B$3:$B$5001,Q$198,BD!$A$3:$A$5001,"&gt;="&amp;$C$7,BD!$A$3:$A$5001,"&lt;="&amp;$B206,BD!$S$3:$S$5001,"&lt;&gt;")=0,"",SUMIFS(BD!$S$3:$S$5001,BD!$B$3:$B$5001,Q$198,BD!$A$3:$A$5001,_xlfn.MAXIFS(BD!$A$3:$A$5001,BD!$B$3:$B$5001,Q$198,BD!$A$3:$A$5001,"&gt;="&amp;$C$7,BD!$A$3:$A$5001,"&lt;="&amp;$B206,BD!$S$3:$S$5001,"&lt;&gt;"))))</f>
        <v/>
      </c>
      <c r="R206" s="54" t="str">
        <f>IF(OR($B206="",$A206&gt;$B$9,R$198=""),"",IF(COUNTIFS(BD!$B$3:$B$5001,R$198,BD!$A$3:$A$5001,"&gt;="&amp;$C$7,BD!$A$3:$A$5001,"&lt;="&amp;$B206,BD!$S$3:$S$5001,"&lt;&gt;")=0,"",SUMIFS(BD!$S$3:$S$5001,BD!$B$3:$B$5001,R$198,BD!$A$3:$A$5001,_xlfn.MAXIFS(BD!$A$3:$A$5001,BD!$B$3:$B$5001,R$198,BD!$A$3:$A$5001,"&gt;="&amp;$C$7,BD!$A$3:$A$5001,"&lt;="&amp;$B206,BD!$S$3:$S$5001,"&lt;&gt;"))))</f>
        <v/>
      </c>
      <c r="S206" s="54" t="str">
        <f>IF(OR($B206="",$A206&gt;$B$9,S$198=""),"",IF(COUNTIFS(BD!$B$3:$B$5001,S$198,BD!$A$3:$A$5001,"&gt;="&amp;$C$7,BD!$A$3:$A$5001,"&lt;="&amp;$B206,BD!$S$3:$S$5001,"&lt;&gt;")=0,"",SUMIFS(BD!$S$3:$S$5001,BD!$B$3:$B$5001,S$198,BD!$A$3:$A$5001,_xlfn.MAXIFS(BD!$A$3:$A$5001,BD!$B$3:$B$5001,S$198,BD!$A$3:$A$5001,"&gt;="&amp;$C$7,BD!$A$3:$A$5001,"&lt;="&amp;$B206,BD!$S$3:$S$5001,"&lt;&gt;"))))</f>
        <v/>
      </c>
      <c r="T206" s="54" t="str">
        <f>IF(OR($B206="",$A206&gt;$B$9,T$198=""),"",IF(COUNTIFS(BD!$B$3:$B$5001,T$198,BD!$A$3:$A$5001,"&gt;="&amp;$C$7,BD!$A$3:$A$5001,"&lt;="&amp;$B206,BD!$S$3:$S$5001,"&lt;&gt;")=0,"",SUMIFS(BD!$S$3:$S$5001,BD!$B$3:$B$5001,T$198,BD!$A$3:$A$5001,_xlfn.MAXIFS(BD!$A$3:$A$5001,BD!$B$3:$B$5001,T$198,BD!$A$3:$A$5001,"&gt;="&amp;$C$7,BD!$A$3:$A$5001,"&lt;="&amp;$B206,BD!$S$3:$S$5001,"&lt;&gt;"))))</f>
        <v/>
      </c>
      <c r="U206" s="54" t="str">
        <f>IF(OR($B206="",$A206&gt;$B$9,U$198=""),"",IF(COUNTIFS(BD!$B$3:$B$5001,U$198,BD!$A$3:$A$5001,"&gt;="&amp;$C$7,BD!$A$3:$A$5001,"&lt;="&amp;$B206,BD!$S$3:$S$5001,"&lt;&gt;")=0,"",SUMIFS(BD!$S$3:$S$5001,BD!$B$3:$B$5001,U$198,BD!$A$3:$A$5001,_xlfn.MAXIFS(BD!$A$3:$A$5001,BD!$B$3:$B$5001,U$198,BD!$A$3:$A$5001,"&gt;="&amp;$C$7,BD!$A$3:$A$5001,"&lt;="&amp;$B206,BD!$S$3:$S$5001,"&lt;&gt;"))))</f>
        <v/>
      </c>
      <c r="V206" s="54" t="str">
        <f>IF(OR($B206="",$A206&gt;$B$9,V$198=""),"",IF(COUNTIFS(BD!$B$3:$B$5001,V$198,BD!$A$3:$A$5001,"&gt;="&amp;$C$7,BD!$A$3:$A$5001,"&lt;="&amp;$B206,BD!$S$3:$S$5001,"&lt;&gt;")=0,"",SUMIFS(BD!$S$3:$S$5001,BD!$B$3:$B$5001,V$198,BD!$A$3:$A$5001,_xlfn.MAXIFS(BD!$A$3:$A$5001,BD!$B$3:$B$5001,V$198,BD!$A$3:$A$5001,"&gt;="&amp;$C$7,BD!$A$3:$A$5001,"&lt;="&amp;$B206,BD!$S$3:$S$5001,"&lt;&gt;"))))</f>
        <v/>
      </c>
    </row>
    <row r="207">
      <c r="A207" s="48">
        <v>9</v>
      </c>
      <c r="B207" s="53">
        <f>$B$20</f>
        <v>46304</v>
      </c>
      <c r="C207" s="54" t="str">
        <f>IF(OR($B207="",$A207&gt;$B$9,C$198=""),"",IF(COUNTIFS(BD!$B$3:$B$5001,C$198,BD!$A$3:$A$5001,"&gt;="&amp;$C$7,BD!$A$3:$A$5001,"&lt;="&amp;$B207,BD!$S$3:$S$5001,"&lt;&gt;")=0,"",SUMIFS(BD!$S$3:$S$5001,BD!$B$3:$B$5001,C$198,BD!$A$3:$A$5001,_xlfn.MAXIFS(BD!$A$3:$A$5001,BD!$B$3:$B$5001,C$198,BD!$A$3:$A$5001,"&gt;="&amp;$C$7,BD!$A$3:$A$5001,"&lt;="&amp;$B207,BD!$S$3:$S$5001,"&lt;&gt;"))))</f>
        <v/>
      </c>
      <c r="D207" s="54" t="str">
        <f>IF(OR($B207="",$A207&gt;$B$9,D$198=""),"",IF(COUNTIFS(BD!$B$3:$B$5001,D$198,BD!$A$3:$A$5001,"&gt;="&amp;$C$7,BD!$A$3:$A$5001,"&lt;="&amp;$B207,BD!$S$3:$S$5001,"&lt;&gt;")=0,"",SUMIFS(BD!$S$3:$S$5001,BD!$B$3:$B$5001,D$198,BD!$A$3:$A$5001,_xlfn.MAXIFS(BD!$A$3:$A$5001,BD!$B$3:$B$5001,D$198,BD!$A$3:$A$5001,"&gt;="&amp;$C$7,BD!$A$3:$A$5001,"&lt;="&amp;$B207,BD!$S$3:$S$5001,"&lt;&gt;"))))</f>
        <v/>
      </c>
      <c r="E207" s="54" t="str">
        <f>IF(OR($B207="",$A207&gt;$B$9,E$198=""),"",IF(COUNTIFS(BD!$B$3:$B$5001,E$198,BD!$A$3:$A$5001,"&gt;="&amp;$C$7,BD!$A$3:$A$5001,"&lt;="&amp;$B207,BD!$S$3:$S$5001,"&lt;&gt;")=0,"",SUMIFS(BD!$S$3:$S$5001,BD!$B$3:$B$5001,E$198,BD!$A$3:$A$5001,_xlfn.MAXIFS(BD!$A$3:$A$5001,BD!$B$3:$B$5001,E$198,BD!$A$3:$A$5001,"&gt;="&amp;$C$7,BD!$A$3:$A$5001,"&lt;="&amp;$B207,BD!$S$3:$S$5001,"&lt;&gt;"))))</f>
        <v/>
      </c>
      <c r="F207" s="54" t="str">
        <f>IF(OR($B207="",$A207&gt;$B$9,F$198=""),"",IF(COUNTIFS(BD!$B$3:$B$5001,F$198,BD!$A$3:$A$5001,"&gt;="&amp;$C$7,BD!$A$3:$A$5001,"&lt;="&amp;$B207,BD!$S$3:$S$5001,"&lt;&gt;")=0,"",SUMIFS(BD!$S$3:$S$5001,BD!$B$3:$B$5001,F$198,BD!$A$3:$A$5001,_xlfn.MAXIFS(BD!$A$3:$A$5001,BD!$B$3:$B$5001,F$198,BD!$A$3:$A$5001,"&gt;="&amp;$C$7,BD!$A$3:$A$5001,"&lt;="&amp;$B207,BD!$S$3:$S$5001,"&lt;&gt;"))))</f>
        <v/>
      </c>
      <c r="G207" s="54" t="str">
        <f>IF(OR($B207="",$A207&gt;$B$9,G$198=""),"",IF(COUNTIFS(BD!$B$3:$B$5001,G$198,BD!$A$3:$A$5001,"&gt;="&amp;$C$7,BD!$A$3:$A$5001,"&lt;="&amp;$B207,BD!$S$3:$S$5001,"&lt;&gt;")=0,"",SUMIFS(BD!$S$3:$S$5001,BD!$B$3:$B$5001,G$198,BD!$A$3:$A$5001,_xlfn.MAXIFS(BD!$A$3:$A$5001,BD!$B$3:$B$5001,G$198,BD!$A$3:$A$5001,"&gt;="&amp;$C$7,BD!$A$3:$A$5001,"&lt;="&amp;$B207,BD!$S$3:$S$5001,"&lt;&gt;"))))</f>
        <v/>
      </c>
      <c r="H207" s="54" t="str">
        <f>IF(OR($B207="",$A207&gt;$B$9,H$198=""),"",IF(COUNTIFS(BD!$B$3:$B$5001,H$198,BD!$A$3:$A$5001,"&gt;="&amp;$C$7,BD!$A$3:$A$5001,"&lt;="&amp;$B207,BD!$S$3:$S$5001,"&lt;&gt;")=0,"",SUMIFS(BD!$S$3:$S$5001,BD!$B$3:$B$5001,H$198,BD!$A$3:$A$5001,_xlfn.MAXIFS(BD!$A$3:$A$5001,BD!$B$3:$B$5001,H$198,BD!$A$3:$A$5001,"&gt;="&amp;$C$7,BD!$A$3:$A$5001,"&lt;="&amp;$B207,BD!$S$3:$S$5001,"&lt;&gt;"))))</f>
        <v/>
      </c>
      <c r="I207" s="54" t="str">
        <f>IF(OR($B207="",$A207&gt;$B$9,I$198=""),"",IF(COUNTIFS(BD!$B$3:$B$5001,I$198,BD!$A$3:$A$5001,"&gt;="&amp;$C$7,BD!$A$3:$A$5001,"&lt;="&amp;$B207,BD!$S$3:$S$5001,"&lt;&gt;")=0,"",SUMIFS(BD!$S$3:$S$5001,BD!$B$3:$B$5001,I$198,BD!$A$3:$A$5001,_xlfn.MAXIFS(BD!$A$3:$A$5001,BD!$B$3:$B$5001,I$198,BD!$A$3:$A$5001,"&gt;="&amp;$C$7,BD!$A$3:$A$5001,"&lt;="&amp;$B207,BD!$S$3:$S$5001,"&lt;&gt;"))))</f>
        <v/>
      </c>
      <c r="J207" s="54" t="str">
        <f>IF(OR($B207="",$A207&gt;$B$9,J$198=""),"",IF(COUNTIFS(BD!$B$3:$B$5001,J$198,BD!$A$3:$A$5001,"&gt;="&amp;$C$7,BD!$A$3:$A$5001,"&lt;="&amp;$B207,BD!$S$3:$S$5001,"&lt;&gt;")=0,"",SUMIFS(BD!$S$3:$S$5001,BD!$B$3:$B$5001,J$198,BD!$A$3:$A$5001,_xlfn.MAXIFS(BD!$A$3:$A$5001,BD!$B$3:$B$5001,J$198,BD!$A$3:$A$5001,"&gt;="&amp;$C$7,BD!$A$3:$A$5001,"&lt;="&amp;$B207,BD!$S$3:$S$5001,"&lt;&gt;"))))</f>
        <v/>
      </c>
      <c r="K207" s="54" t="str">
        <f>IF(OR($B207="",$A207&gt;$B$9,K$198=""),"",IF(COUNTIFS(BD!$B$3:$B$5001,K$198,BD!$A$3:$A$5001,"&gt;="&amp;$C$7,BD!$A$3:$A$5001,"&lt;="&amp;$B207,BD!$S$3:$S$5001,"&lt;&gt;")=0,"",SUMIFS(BD!$S$3:$S$5001,BD!$B$3:$B$5001,K$198,BD!$A$3:$A$5001,_xlfn.MAXIFS(BD!$A$3:$A$5001,BD!$B$3:$B$5001,K$198,BD!$A$3:$A$5001,"&gt;="&amp;$C$7,BD!$A$3:$A$5001,"&lt;="&amp;$B207,BD!$S$3:$S$5001,"&lt;&gt;"))))</f>
        <v/>
      </c>
      <c r="L207" s="54" t="str">
        <f>IF(OR($B207="",$A207&gt;$B$9,L$198=""),"",IF(COUNTIFS(BD!$B$3:$B$5001,L$198,BD!$A$3:$A$5001,"&gt;="&amp;$C$7,BD!$A$3:$A$5001,"&lt;="&amp;$B207,BD!$S$3:$S$5001,"&lt;&gt;")=0,"",SUMIFS(BD!$S$3:$S$5001,BD!$B$3:$B$5001,L$198,BD!$A$3:$A$5001,_xlfn.MAXIFS(BD!$A$3:$A$5001,BD!$B$3:$B$5001,L$198,BD!$A$3:$A$5001,"&gt;="&amp;$C$7,BD!$A$3:$A$5001,"&lt;="&amp;$B207,BD!$S$3:$S$5001,"&lt;&gt;"))))</f>
        <v/>
      </c>
      <c r="M207" s="54" t="str">
        <f>IF(OR($B207="",$A207&gt;$B$9,M$198=""),"",IF(COUNTIFS(BD!$B$3:$B$5001,M$198,BD!$A$3:$A$5001,"&gt;="&amp;$C$7,BD!$A$3:$A$5001,"&lt;="&amp;$B207,BD!$S$3:$S$5001,"&lt;&gt;")=0,"",SUMIFS(BD!$S$3:$S$5001,BD!$B$3:$B$5001,M$198,BD!$A$3:$A$5001,_xlfn.MAXIFS(BD!$A$3:$A$5001,BD!$B$3:$B$5001,M$198,BD!$A$3:$A$5001,"&gt;="&amp;$C$7,BD!$A$3:$A$5001,"&lt;="&amp;$B207,BD!$S$3:$S$5001,"&lt;&gt;"))))</f>
        <v/>
      </c>
      <c r="N207" s="54" t="str">
        <f>IF(OR($B207="",$A207&gt;$B$9,N$198=""),"",IF(COUNTIFS(BD!$B$3:$B$5001,N$198,BD!$A$3:$A$5001,"&gt;="&amp;$C$7,BD!$A$3:$A$5001,"&lt;="&amp;$B207,BD!$S$3:$S$5001,"&lt;&gt;")=0,"",SUMIFS(BD!$S$3:$S$5001,BD!$B$3:$B$5001,N$198,BD!$A$3:$A$5001,_xlfn.MAXIFS(BD!$A$3:$A$5001,BD!$B$3:$B$5001,N$198,BD!$A$3:$A$5001,"&gt;="&amp;$C$7,BD!$A$3:$A$5001,"&lt;="&amp;$B207,BD!$S$3:$S$5001,"&lt;&gt;"))))</f>
        <v/>
      </c>
      <c r="O207" s="54" t="str">
        <f>IF(OR($B207="",$A207&gt;$B$9,O$198=""),"",IF(COUNTIFS(BD!$B$3:$B$5001,O$198,BD!$A$3:$A$5001,"&gt;="&amp;$C$7,BD!$A$3:$A$5001,"&lt;="&amp;$B207,BD!$S$3:$S$5001,"&lt;&gt;")=0,"",SUMIFS(BD!$S$3:$S$5001,BD!$B$3:$B$5001,O$198,BD!$A$3:$A$5001,_xlfn.MAXIFS(BD!$A$3:$A$5001,BD!$B$3:$B$5001,O$198,BD!$A$3:$A$5001,"&gt;="&amp;$C$7,BD!$A$3:$A$5001,"&lt;="&amp;$B207,BD!$S$3:$S$5001,"&lt;&gt;"))))</f>
        <v/>
      </c>
      <c r="P207" s="54" t="str">
        <f>IF(OR($B207="",$A207&gt;$B$9,P$198=""),"",IF(COUNTIFS(BD!$B$3:$B$5001,P$198,BD!$A$3:$A$5001,"&gt;="&amp;$C$7,BD!$A$3:$A$5001,"&lt;="&amp;$B207,BD!$S$3:$S$5001,"&lt;&gt;")=0,"",SUMIFS(BD!$S$3:$S$5001,BD!$B$3:$B$5001,P$198,BD!$A$3:$A$5001,_xlfn.MAXIFS(BD!$A$3:$A$5001,BD!$B$3:$B$5001,P$198,BD!$A$3:$A$5001,"&gt;="&amp;$C$7,BD!$A$3:$A$5001,"&lt;="&amp;$B207,BD!$S$3:$S$5001,"&lt;&gt;"))))</f>
        <v/>
      </c>
      <c r="Q207" s="54" t="str">
        <f>IF(OR($B207="",$A207&gt;$B$9,Q$198=""),"",IF(COUNTIFS(BD!$B$3:$B$5001,Q$198,BD!$A$3:$A$5001,"&gt;="&amp;$C$7,BD!$A$3:$A$5001,"&lt;="&amp;$B207,BD!$S$3:$S$5001,"&lt;&gt;")=0,"",SUMIFS(BD!$S$3:$S$5001,BD!$B$3:$B$5001,Q$198,BD!$A$3:$A$5001,_xlfn.MAXIFS(BD!$A$3:$A$5001,BD!$B$3:$B$5001,Q$198,BD!$A$3:$A$5001,"&gt;="&amp;$C$7,BD!$A$3:$A$5001,"&lt;="&amp;$B207,BD!$S$3:$S$5001,"&lt;&gt;"))))</f>
        <v/>
      </c>
      <c r="R207" s="54" t="str">
        <f>IF(OR($B207="",$A207&gt;$B$9,R$198=""),"",IF(COUNTIFS(BD!$B$3:$B$5001,R$198,BD!$A$3:$A$5001,"&gt;="&amp;$C$7,BD!$A$3:$A$5001,"&lt;="&amp;$B207,BD!$S$3:$S$5001,"&lt;&gt;")=0,"",SUMIFS(BD!$S$3:$S$5001,BD!$B$3:$B$5001,R$198,BD!$A$3:$A$5001,_xlfn.MAXIFS(BD!$A$3:$A$5001,BD!$B$3:$B$5001,R$198,BD!$A$3:$A$5001,"&gt;="&amp;$C$7,BD!$A$3:$A$5001,"&lt;="&amp;$B207,BD!$S$3:$S$5001,"&lt;&gt;"))))</f>
        <v/>
      </c>
      <c r="S207" s="54" t="str">
        <f>IF(OR($B207="",$A207&gt;$B$9,S$198=""),"",IF(COUNTIFS(BD!$B$3:$B$5001,S$198,BD!$A$3:$A$5001,"&gt;="&amp;$C$7,BD!$A$3:$A$5001,"&lt;="&amp;$B207,BD!$S$3:$S$5001,"&lt;&gt;")=0,"",SUMIFS(BD!$S$3:$S$5001,BD!$B$3:$B$5001,S$198,BD!$A$3:$A$5001,_xlfn.MAXIFS(BD!$A$3:$A$5001,BD!$B$3:$B$5001,S$198,BD!$A$3:$A$5001,"&gt;="&amp;$C$7,BD!$A$3:$A$5001,"&lt;="&amp;$B207,BD!$S$3:$S$5001,"&lt;&gt;"))))</f>
        <v/>
      </c>
      <c r="T207" s="54" t="str">
        <f>IF(OR($B207="",$A207&gt;$B$9,T$198=""),"",IF(COUNTIFS(BD!$B$3:$B$5001,T$198,BD!$A$3:$A$5001,"&gt;="&amp;$C$7,BD!$A$3:$A$5001,"&lt;="&amp;$B207,BD!$S$3:$S$5001,"&lt;&gt;")=0,"",SUMIFS(BD!$S$3:$S$5001,BD!$B$3:$B$5001,T$198,BD!$A$3:$A$5001,_xlfn.MAXIFS(BD!$A$3:$A$5001,BD!$B$3:$B$5001,T$198,BD!$A$3:$A$5001,"&gt;="&amp;$C$7,BD!$A$3:$A$5001,"&lt;="&amp;$B207,BD!$S$3:$S$5001,"&lt;&gt;"))))</f>
        <v/>
      </c>
      <c r="U207" s="54" t="str">
        <f>IF(OR($B207="",$A207&gt;$B$9,U$198=""),"",IF(COUNTIFS(BD!$B$3:$B$5001,U$198,BD!$A$3:$A$5001,"&gt;="&amp;$C$7,BD!$A$3:$A$5001,"&lt;="&amp;$B207,BD!$S$3:$S$5001,"&lt;&gt;")=0,"",SUMIFS(BD!$S$3:$S$5001,BD!$B$3:$B$5001,U$198,BD!$A$3:$A$5001,_xlfn.MAXIFS(BD!$A$3:$A$5001,BD!$B$3:$B$5001,U$198,BD!$A$3:$A$5001,"&gt;="&amp;$C$7,BD!$A$3:$A$5001,"&lt;="&amp;$B207,BD!$S$3:$S$5001,"&lt;&gt;"))))</f>
        <v/>
      </c>
      <c r="V207" s="54" t="str">
        <f>IF(OR($B207="",$A207&gt;$B$9,V$198=""),"",IF(COUNTIFS(BD!$B$3:$B$5001,V$198,BD!$A$3:$A$5001,"&gt;="&amp;$C$7,BD!$A$3:$A$5001,"&lt;="&amp;$B207,BD!$S$3:$S$5001,"&lt;&gt;")=0,"",SUMIFS(BD!$S$3:$S$5001,BD!$B$3:$B$5001,V$198,BD!$A$3:$A$5001,_xlfn.MAXIFS(BD!$A$3:$A$5001,BD!$B$3:$B$5001,V$198,BD!$A$3:$A$5001,"&gt;="&amp;$C$7,BD!$A$3:$A$5001,"&lt;="&amp;$B207,BD!$S$3:$S$5001,"&lt;&gt;"))))</f>
        <v/>
      </c>
    </row>
    <row r="208">
      <c r="A208" s="48">
        <v>10</v>
      </c>
      <c r="B208" s="53">
        <f>$B$21</f>
        <v>46305</v>
      </c>
      <c r="C208" s="54" t="str">
        <f>IF(OR($B208="",$A208&gt;$B$9,C$198=""),"",IF(COUNTIFS(BD!$B$3:$B$5001,C$198,BD!$A$3:$A$5001,"&gt;="&amp;$C$7,BD!$A$3:$A$5001,"&lt;="&amp;$B208,BD!$S$3:$S$5001,"&lt;&gt;")=0,"",SUMIFS(BD!$S$3:$S$5001,BD!$B$3:$B$5001,C$198,BD!$A$3:$A$5001,_xlfn.MAXIFS(BD!$A$3:$A$5001,BD!$B$3:$B$5001,C$198,BD!$A$3:$A$5001,"&gt;="&amp;$C$7,BD!$A$3:$A$5001,"&lt;="&amp;$B208,BD!$S$3:$S$5001,"&lt;&gt;"))))</f>
        <v/>
      </c>
      <c r="D208" s="54" t="str">
        <f>IF(OR($B208="",$A208&gt;$B$9,D$198=""),"",IF(COUNTIFS(BD!$B$3:$B$5001,D$198,BD!$A$3:$A$5001,"&gt;="&amp;$C$7,BD!$A$3:$A$5001,"&lt;="&amp;$B208,BD!$S$3:$S$5001,"&lt;&gt;")=0,"",SUMIFS(BD!$S$3:$S$5001,BD!$B$3:$B$5001,D$198,BD!$A$3:$A$5001,_xlfn.MAXIFS(BD!$A$3:$A$5001,BD!$B$3:$B$5001,D$198,BD!$A$3:$A$5001,"&gt;="&amp;$C$7,BD!$A$3:$A$5001,"&lt;="&amp;$B208,BD!$S$3:$S$5001,"&lt;&gt;"))))</f>
        <v/>
      </c>
      <c r="E208" s="54" t="str">
        <f>IF(OR($B208="",$A208&gt;$B$9,E$198=""),"",IF(COUNTIFS(BD!$B$3:$B$5001,E$198,BD!$A$3:$A$5001,"&gt;="&amp;$C$7,BD!$A$3:$A$5001,"&lt;="&amp;$B208,BD!$S$3:$S$5001,"&lt;&gt;")=0,"",SUMIFS(BD!$S$3:$S$5001,BD!$B$3:$B$5001,E$198,BD!$A$3:$A$5001,_xlfn.MAXIFS(BD!$A$3:$A$5001,BD!$B$3:$B$5001,E$198,BD!$A$3:$A$5001,"&gt;="&amp;$C$7,BD!$A$3:$A$5001,"&lt;="&amp;$B208,BD!$S$3:$S$5001,"&lt;&gt;"))))</f>
        <v/>
      </c>
      <c r="F208" s="54" t="str">
        <f>IF(OR($B208="",$A208&gt;$B$9,F$198=""),"",IF(COUNTIFS(BD!$B$3:$B$5001,F$198,BD!$A$3:$A$5001,"&gt;="&amp;$C$7,BD!$A$3:$A$5001,"&lt;="&amp;$B208,BD!$S$3:$S$5001,"&lt;&gt;")=0,"",SUMIFS(BD!$S$3:$S$5001,BD!$B$3:$B$5001,F$198,BD!$A$3:$A$5001,_xlfn.MAXIFS(BD!$A$3:$A$5001,BD!$B$3:$B$5001,F$198,BD!$A$3:$A$5001,"&gt;="&amp;$C$7,BD!$A$3:$A$5001,"&lt;="&amp;$B208,BD!$S$3:$S$5001,"&lt;&gt;"))))</f>
        <v/>
      </c>
      <c r="G208" s="54" t="str">
        <f>IF(OR($B208="",$A208&gt;$B$9,G$198=""),"",IF(COUNTIFS(BD!$B$3:$B$5001,G$198,BD!$A$3:$A$5001,"&gt;="&amp;$C$7,BD!$A$3:$A$5001,"&lt;="&amp;$B208,BD!$S$3:$S$5001,"&lt;&gt;")=0,"",SUMIFS(BD!$S$3:$S$5001,BD!$B$3:$B$5001,G$198,BD!$A$3:$A$5001,_xlfn.MAXIFS(BD!$A$3:$A$5001,BD!$B$3:$B$5001,G$198,BD!$A$3:$A$5001,"&gt;="&amp;$C$7,BD!$A$3:$A$5001,"&lt;="&amp;$B208,BD!$S$3:$S$5001,"&lt;&gt;"))))</f>
        <v/>
      </c>
      <c r="H208" s="54" t="str">
        <f>IF(OR($B208="",$A208&gt;$B$9,H$198=""),"",IF(COUNTIFS(BD!$B$3:$B$5001,H$198,BD!$A$3:$A$5001,"&gt;="&amp;$C$7,BD!$A$3:$A$5001,"&lt;="&amp;$B208,BD!$S$3:$S$5001,"&lt;&gt;")=0,"",SUMIFS(BD!$S$3:$S$5001,BD!$B$3:$B$5001,H$198,BD!$A$3:$A$5001,_xlfn.MAXIFS(BD!$A$3:$A$5001,BD!$B$3:$B$5001,H$198,BD!$A$3:$A$5001,"&gt;="&amp;$C$7,BD!$A$3:$A$5001,"&lt;="&amp;$B208,BD!$S$3:$S$5001,"&lt;&gt;"))))</f>
        <v/>
      </c>
      <c r="I208" s="54" t="str">
        <f>IF(OR($B208="",$A208&gt;$B$9,I$198=""),"",IF(COUNTIFS(BD!$B$3:$B$5001,I$198,BD!$A$3:$A$5001,"&gt;="&amp;$C$7,BD!$A$3:$A$5001,"&lt;="&amp;$B208,BD!$S$3:$S$5001,"&lt;&gt;")=0,"",SUMIFS(BD!$S$3:$S$5001,BD!$B$3:$B$5001,I$198,BD!$A$3:$A$5001,_xlfn.MAXIFS(BD!$A$3:$A$5001,BD!$B$3:$B$5001,I$198,BD!$A$3:$A$5001,"&gt;="&amp;$C$7,BD!$A$3:$A$5001,"&lt;="&amp;$B208,BD!$S$3:$S$5001,"&lt;&gt;"))))</f>
        <v/>
      </c>
      <c r="J208" s="54" t="str">
        <f>IF(OR($B208="",$A208&gt;$B$9,J$198=""),"",IF(COUNTIFS(BD!$B$3:$B$5001,J$198,BD!$A$3:$A$5001,"&gt;="&amp;$C$7,BD!$A$3:$A$5001,"&lt;="&amp;$B208,BD!$S$3:$S$5001,"&lt;&gt;")=0,"",SUMIFS(BD!$S$3:$S$5001,BD!$B$3:$B$5001,J$198,BD!$A$3:$A$5001,_xlfn.MAXIFS(BD!$A$3:$A$5001,BD!$B$3:$B$5001,J$198,BD!$A$3:$A$5001,"&gt;="&amp;$C$7,BD!$A$3:$A$5001,"&lt;="&amp;$B208,BD!$S$3:$S$5001,"&lt;&gt;"))))</f>
        <v/>
      </c>
      <c r="K208" s="54" t="str">
        <f>IF(OR($B208="",$A208&gt;$B$9,K$198=""),"",IF(COUNTIFS(BD!$B$3:$B$5001,K$198,BD!$A$3:$A$5001,"&gt;="&amp;$C$7,BD!$A$3:$A$5001,"&lt;="&amp;$B208,BD!$S$3:$S$5001,"&lt;&gt;")=0,"",SUMIFS(BD!$S$3:$S$5001,BD!$B$3:$B$5001,K$198,BD!$A$3:$A$5001,_xlfn.MAXIFS(BD!$A$3:$A$5001,BD!$B$3:$B$5001,K$198,BD!$A$3:$A$5001,"&gt;="&amp;$C$7,BD!$A$3:$A$5001,"&lt;="&amp;$B208,BD!$S$3:$S$5001,"&lt;&gt;"))))</f>
        <v/>
      </c>
      <c r="L208" s="54" t="str">
        <f>IF(OR($B208="",$A208&gt;$B$9,L$198=""),"",IF(COUNTIFS(BD!$B$3:$B$5001,L$198,BD!$A$3:$A$5001,"&gt;="&amp;$C$7,BD!$A$3:$A$5001,"&lt;="&amp;$B208,BD!$S$3:$S$5001,"&lt;&gt;")=0,"",SUMIFS(BD!$S$3:$S$5001,BD!$B$3:$B$5001,L$198,BD!$A$3:$A$5001,_xlfn.MAXIFS(BD!$A$3:$A$5001,BD!$B$3:$B$5001,L$198,BD!$A$3:$A$5001,"&gt;="&amp;$C$7,BD!$A$3:$A$5001,"&lt;="&amp;$B208,BD!$S$3:$S$5001,"&lt;&gt;"))))</f>
        <v/>
      </c>
      <c r="M208" s="54" t="str">
        <f>IF(OR($B208="",$A208&gt;$B$9,M$198=""),"",IF(COUNTIFS(BD!$B$3:$B$5001,M$198,BD!$A$3:$A$5001,"&gt;="&amp;$C$7,BD!$A$3:$A$5001,"&lt;="&amp;$B208,BD!$S$3:$S$5001,"&lt;&gt;")=0,"",SUMIFS(BD!$S$3:$S$5001,BD!$B$3:$B$5001,M$198,BD!$A$3:$A$5001,_xlfn.MAXIFS(BD!$A$3:$A$5001,BD!$B$3:$B$5001,M$198,BD!$A$3:$A$5001,"&gt;="&amp;$C$7,BD!$A$3:$A$5001,"&lt;="&amp;$B208,BD!$S$3:$S$5001,"&lt;&gt;"))))</f>
        <v/>
      </c>
      <c r="N208" s="54" t="str">
        <f>IF(OR($B208="",$A208&gt;$B$9,N$198=""),"",IF(COUNTIFS(BD!$B$3:$B$5001,N$198,BD!$A$3:$A$5001,"&gt;="&amp;$C$7,BD!$A$3:$A$5001,"&lt;="&amp;$B208,BD!$S$3:$S$5001,"&lt;&gt;")=0,"",SUMIFS(BD!$S$3:$S$5001,BD!$B$3:$B$5001,N$198,BD!$A$3:$A$5001,_xlfn.MAXIFS(BD!$A$3:$A$5001,BD!$B$3:$B$5001,N$198,BD!$A$3:$A$5001,"&gt;="&amp;$C$7,BD!$A$3:$A$5001,"&lt;="&amp;$B208,BD!$S$3:$S$5001,"&lt;&gt;"))))</f>
        <v/>
      </c>
      <c r="O208" s="54" t="str">
        <f>IF(OR($B208="",$A208&gt;$B$9,O$198=""),"",IF(COUNTIFS(BD!$B$3:$B$5001,O$198,BD!$A$3:$A$5001,"&gt;="&amp;$C$7,BD!$A$3:$A$5001,"&lt;="&amp;$B208,BD!$S$3:$S$5001,"&lt;&gt;")=0,"",SUMIFS(BD!$S$3:$S$5001,BD!$B$3:$B$5001,O$198,BD!$A$3:$A$5001,_xlfn.MAXIFS(BD!$A$3:$A$5001,BD!$B$3:$B$5001,O$198,BD!$A$3:$A$5001,"&gt;="&amp;$C$7,BD!$A$3:$A$5001,"&lt;="&amp;$B208,BD!$S$3:$S$5001,"&lt;&gt;"))))</f>
        <v/>
      </c>
      <c r="P208" s="54" t="str">
        <f>IF(OR($B208="",$A208&gt;$B$9,P$198=""),"",IF(COUNTIFS(BD!$B$3:$B$5001,P$198,BD!$A$3:$A$5001,"&gt;="&amp;$C$7,BD!$A$3:$A$5001,"&lt;="&amp;$B208,BD!$S$3:$S$5001,"&lt;&gt;")=0,"",SUMIFS(BD!$S$3:$S$5001,BD!$B$3:$B$5001,P$198,BD!$A$3:$A$5001,_xlfn.MAXIFS(BD!$A$3:$A$5001,BD!$B$3:$B$5001,P$198,BD!$A$3:$A$5001,"&gt;="&amp;$C$7,BD!$A$3:$A$5001,"&lt;="&amp;$B208,BD!$S$3:$S$5001,"&lt;&gt;"))))</f>
        <v/>
      </c>
      <c r="Q208" s="54" t="str">
        <f>IF(OR($B208="",$A208&gt;$B$9,Q$198=""),"",IF(COUNTIFS(BD!$B$3:$B$5001,Q$198,BD!$A$3:$A$5001,"&gt;="&amp;$C$7,BD!$A$3:$A$5001,"&lt;="&amp;$B208,BD!$S$3:$S$5001,"&lt;&gt;")=0,"",SUMIFS(BD!$S$3:$S$5001,BD!$B$3:$B$5001,Q$198,BD!$A$3:$A$5001,_xlfn.MAXIFS(BD!$A$3:$A$5001,BD!$B$3:$B$5001,Q$198,BD!$A$3:$A$5001,"&gt;="&amp;$C$7,BD!$A$3:$A$5001,"&lt;="&amp;$B208,BD!$S$3:$S$5001,"&lt;&gt;"))))</f>
        <v/>
      </c>
      <c r="R208" s="54" t="str">
        <f>IF(OR($B208="",$A208&gt;$B$9,R$198=""),"",IF(COUNTIFS(BD!$B$3:$B$5001,R$198,BD!$A$3:$A$5001,"&gt;="&amp;$C$7,BD!$A$3:$A$5001,"&lt;="&amp;$B208,BD!$S$3:$S$5001,"&lt;&gt;")=0,"",SUMIFS(BD!$S$3:$S$5001,BD!$B$3:$B$5001,R$198,BD!$A$3:$A$5001,_xlfn.MAXIFS(BD!$A$3:$A$5001,BD!$B$3:$B$5001,R$198,BD!$A$3:$A$5001,"&gt;="&amp;$C$7,BD!$A$3:$A$5001,"&lt;="&amp;$B208,BD!$S$3:$S$5001,"&lt;&gt;"))))</f>
        <v/>
      </c>
      <c r="S208" s="54" t="str">
        <f>IF(OR($B208="",$A208&gt;$B$9,S$198=""),"",IF(COUNTIFS(BD!$B$3:$B$5001,S$198,BD!$A$3:$A$5001,"&gt;="&amp;$C$7,BD!$A$3:$A$5001,"&lt;="&amp;$B208,BD!$S$3:$S$5001,"&lt;&gt;")=0,"",SUMIFS(BD!$S$3:$S$5001,BD!$B$3:$B$5001,S$198,BD!$A$3:$A$5001,_xlfn.MAXIFS(BD!$A$3:$A$5001,BD!$B$3:$B$5001,S$198,BD!$A$3:$A$5001,"&gt;="&amp;$C$7,BD!$A$3:$A$5001,"&lt;="&amp;$B208,BD!$S$3:$S$5001,"&lt;&gt;"))))</f>
        <v/>
      </c>
      <c r="T208" s="54" t="str">
        <f>IF(OR($B208="",$A208&gt;$B$9,T$198=""),"",IF(COUNTIFS(BD!$B$3:$B$5001,T$198,BD!$A$3:$A$5001,"&gt;="&amp;$C$7,BD!$A$3:$A$5001,"&lt;="&amp;$B208,BD!$S$3:$S$5001,"&lt;&gt;")=0,"",SUMIFS(BD!$S$3:$S$5001,BD!$B$3:$B$5001,T$198,BD!$A$3:$A$5001,_xlfn.MAXIFS(BD!$A$3:$A$5001,BD!$B$3:$B$5001,T$198,BD!$A$3:$A$5001,"&gt;="&amp;$C$7,BD!$A$3:$A$5001,"&lt;="&amp;$B208,BD!$S$3:$S$5001,"&lt;&gt;"))))</f>
        <v/>
      </c>
      <c r="U208" s="54" t="str">
        <f>IF(OR($B208="",$A208&gt;$B$9,U$198=""),"",IF(COUNTIFS(BD!$B$3:$B$5001,U$198,BD!$A$3:$A$5001,"&gt;="&amp;$C$7,BD!$A$3:$A$5001,"&lt;="&amp;$B208,BD!$S$3:$S$5001,"&lt;&gt;")=0,"",SUMIFS(BD!$S$3:$S$5001,BD!$B$3:$B$5001,U$198,BD!$A$3:$A$5001,_xlfn.MAXIFS(BD!$A$3:$A$5001,BD!$B$3:$B$5001,U$198,BD!$A$3:$A$5001,"&gt;="&amp;$C$7,BD!$A$3:$A$5001,"&lt;="&amp;$B208,BD!$S$3:$S$5001,"&lt;&gt;"))))</f>
        <v/>
      </c>
      <c r="V208" s="54" t="str">
        <f>IF(OR($B208="",$A208&gt;$B$9,V$198=""),"",IF(COUNTIFS(BD!$B$3:$B$5001,V$198,BD!$A$3:$A$5001,"&gt;="&amp;$C$7,BD!$A$3:$A$5001,"&lt;="&amp;$B208,BD!$S$3:$S$5001,"&lt;&gt;")=0,"",SUMIFS(BD!$S$3:$S$5001,BD!$B$3:$B$5001,V$198,BD!$A$3:$A$5001,_xlfn.MAXIFS(BD!$A$3:$A$5001,BD!$B$3:$B$5001,V$198,BD!$A$3:$A$5001,"&gt;="&amp;$C$7,BD!$A$3:$A$5001,"&lt;="&amp;$B208,BD!$S$3:$S$5001,"&lt;&gt;"))))</f>
        <v/>
      </c>
    </row>
    <row r="209">
      <c r="A209" s="48">
        <v>11</v>
      </c>
      <c r="B209" s="53">
        <f>$B$22</f>
        <v>46306</v>
      </c>
      <c r="C209" s="54" t="str">
        <f>IF(OR($B209="",$A209&gt;$B$9,C$198=""),"",IF(COUNTIFS(BD!$B$3:$B$5001,C$198,BD!$A$3:$A$5001,"&gt;="&amp;$C$7,BD!$A$3:$A$5001,"&lt;="&amp;$B209,BD!$S$3:$S$5001,"&lt;&gt;")=0,"",SUMIFS(BD!$S$3:$S$5001,BD!$B$3:$B$5001,C$198,BD!$A$3:$A$5001,_xlfn.MAXIFS(BD!$A$3:$A$5001,BD!$B$3:$B$5001,C$198,BD!$A$3:$A$5001,"&gt;="&amp;$C$7,BD!$A$3:$A$5001,"&lt;="&amp;$B209,BD!$S$3:$S$5001,"&lt;&gt;"))))</f>
        <v/>
      </c>
      <c r="D209" s="54" t="str">
        <f>IF(OR($B209="",$A209&gt;$B$9,D$198=""),"",IF(COUNTIFS(BD!$B$3:$B$5001,D$198,BD!$A$3:$A$5001,"&gt;="&amp;$C$7,BD!$A$3:$A$5001,"&lt;="&amp;$B209,BD!$S$3:$S$5001,"&lt;&gt;")=0,"",SUMIFS(BD!$S$3:$S$5001,BD!$B$3:$B$5001,D$198,BD!$A$3:$A$5001,_xlfn.MAXIFS(BD!$A$3:$A$5001,BD!$B$3:$B$5001,D$198,BD!$A$3:$A$5001,"&gt;="&amp;$C$7,BD!$A$3:$A$5001,"&lt;="&amp;$B209,BD!$S$3:$S$5001,"&lt;&gt;"))))</f>
        <v/>
      </c>
      <c r="E209" s="54" t="str">
        <f>IF(OR($B209="",$A209&gt;$B$9,E$198=""),"",IF(COUNTIFS(BD!$B$3:$B$5001,E$198,BD!$A$3:$A$5001,"&gt;="&amp;$C$7,BD!$A$3:$A$5001,"&lt;="&amp;$B209,BD!$S$3:$S$5001,"&lt;&gt;")=0,"",SUMIFS(BD!$S$3:$S$5001,BD!$B$3:$B$5001,E$198,BD!$A$3:$A$5001,_xlfn.MAXIFS(BD!$A$3:$A$5001,BD!$B$3:$B$5001,E$198,BD!$A$3:$A$5001,"&gt;="&amp;$C$7,BD!$A$3:$A$5001,"&lt;="&amp;$B209,BD!$S$3:$S$5001,"&lt;&gt;"))))</f>
        <v/>
      </c>
      <c r="F209" s="54" t="str">
        <f>IF(OR($B209="",$A209&gt;$B$9,F$198=""),"",IF(COUNTIFS(BD!$B$3:$B$5001,F$198,BD!$A$3:$A$5001,"&gt;="&amp;$C$7,BD!$A$3:$A$5001,"&lt;="&amp;$B209,BD!$S$3:$S$5001,"&lt;&gt;")=0,"",SUMIFS(BD!$S$3:$S$5001,BD!$B$3:$B$5001,F$198,BD!$A$3:$A$5001,_xlfn.MAXIFS(BD!$A$3:$A$5001,BD!$B$3:$B$5001,F$198,BD!$A$3:$A$5001,"&gt;="&amp;$C$7,BD!$A$3:$A$5001,"&lt;="&amp;$B209,BD!$S$3:$S$5001,"&lt;&gt;"))))</f>
        <v/>
      </c>
      <c r="G209" s="54" t="str">
        <f>IF(OR($B209="",$A209&gt;$B$9,G$198=""),"",IF(COUNTIFS(BD!$B$3:$B$5001,G$198,BD!$A$3:$A$5001,"&gt;="&amp;$C$7,BD!$A$3:$A$5001,"&lt;="&amp;$B209,BD!$S$3:$S$5001,"&lt;&gt;")=0,"",SUMIFS(BD!$S$3:$S$5001,BD!$B$3:$B$5001,G$198,BD!$A$3:$A$5001,_xlfn.MAXIFS(BD!$A$3:$A$5001,BD!$B$3:$B$5001,G$198,BD!$A$3:$A$5001,"&gt;="&amp;$C$7,BD!$A$3:$A$5001,"&lt;="&amp;$B209,BD!$S$3:$S$5001,"&lt;&gt;"))))</f>
        <v/>
      </c>
      <c r="H209" s="54" t="str">
        <f>IF(OR($B209="",$A209&gt;$B$9,H$198=""),"",IF(COUNTIFS(BD!$B$3:$B$5001,H$198,BD!$A$3:$A$5001,"&gt;="&amp;$C$7,BD!$A$3:$A$5001,"&lt;="&amp;$B209,BD!$S$3:$S$5001,"&lt;&gt;")=0,"",SUMIFS(BD!$S$3:$S$5001,BD!$B$3:$B$5001,H$198,BD!$A$3:$A$5001,_xlfn.MAXIFS(BD!$A$3:$A$5001,BD!$B$3:$B$5001,H$198,BD!$A$3:$A$5001,"&gt;="&amp;$C$7,BD!$A$3:$A$5001,"&lt;="&amp;$B209,BD!$S$3:$S$5001,"&lt;&gt;"))))</f>
        <v/>
      </c>
      <c r="I209" s="54" t="str">
        <f>IF(OR($B209="",$A209&gt;$B$9,I$198=""),"",IF(COUNTIFS(BD!$B$3:$B$5001,I$198,BD!$A$3:$A$5001,"&gt;="&amp;$C$7,BD!$A$3:$A$5001,"&lt;="&amp;$B209,BD!$S$3:$S$5001,"&lt;&gt;")=0,"",SUMIFS(BD!$S$3:$S$5001,BD!$B$3:$B$5001,I$198,BD!$A$3:$A$5001,_xlfn.MAXIFS(BD!$A$3:$A$5001,BD!$B$3:$B$5001,I$198,BD!$A$3:$A$5001,"&gt;="&amp;$C$7,BD!$A$3:$A$5001,"&lt;="&amp;$B209,BD!$S$3:$S$5001,"&lt;&gt;"))))</f>
        <v/>
      </c>
      <c r="J209" s="54" t="str">
        <f>IF(OR($B209="",$A209&gt;$B$9,J$198=""),"",IF(COUNTIFS(BD!$B$3:$B$5001,J$198,BD!$A$3:$A$5001,"&gt;="&amp;$C$7,BD!$A$3:$A$5001,"&lt;="&amp;$B209,BD!$S$3:$S$5001,"&lt;&gt;")=0,"",SUMIFS(BD!$S$3:$S$5001,BD!$B$3:$B$5001,J$198,BD!$A$3:$A$5001,_xlfn.MAXIFS(BD!$A$3:$A$5001,BD!$B$3:$B$5001,J$198,BD!$A$3:$A$5001,"&gt;="&amp;$C$7,BD!$A$3:$A$5001,"&lt;="&amp;$B209,BD!$S$3:$S$5001,"&lt;&gt;"))))</f>
        <v/>
      </c>
      <c r="K209" s="54" t="str">
        <f>IF(OR($B209="",$A209&gt;$B$9,K$198=""),"",IF(COUNTIFS(BD!$B$3:$B$5001,K$198,BD!$A$3:$A$5001,"&gt;="&amp;$C$7,BD!$A$3:$A$5001,"&lt;="&amp;$B209,BD!$S$3:$S$5001,"&lt;&gt;")=0,"",SUMIFS(BD!$S$3:$S$5001,BD!$B$3:$B$5001,K$198,BD!$A$3:$A$5001,_xlfn.MAXIFS(BD!$A$3:$A$5001,BD!$B$3:$B$5001,K$198,BD!$A$3:$A$5001,"&gt;="&amp;$C$7,BD!$A$3:$A$5001,"&lt;="&amp;$B209,BD!$S$3:$S$5001,"&lt;&gt;"))))</f>
        <v/>
      </c>
      <c r="L209" s="54" t="str">
        <f>IF(OR($B209="",$A209&gt;$B$9,L$198=""),"",IF(COUNTIFS(BD!$B$3:$B$5001,L$198,BD!$A$3:$A$5001,"&gt;="&amp;$C$7,BD!$A$3:$A$5001,"&lt;="&amp;$B209,BD!$S$3:$S$5001,"&lt;&gt;")=0,"",SUMIFS(BD!$S$3:$S$5001,BD!$B$3:$B$5001,L$198,BD!$A$3:$A$5001,_xlfn.MAXIFS(BD!$A$3:$A$5001,BD!$B$3:$B$5001,L$198,BD!$A$3:$A$5001,"&gt;="&amp;$C$7,BD!$A$3:$A$5001,"&lt;="&amp;$B209,BD!$S$3:$S$5001,"&lt;&gt;"))))</f>
        <v/>
      </c>
      <c r="M209" s="54" t="str">
        <f>IF(OR($B209="",$A209&gt;$B$9,M$198=""),"",IF(COUNTIFS(BD!$B$3:$B$5001,M$198,BD!$A$3:$A$5001,"&gt;="&amp;$C$7,BD!$A$3:$A$5001,"&lt;="&amp;$B209,BD!$S$3:$S$5001,"&lt;&gt;")=0,"",SUMIFS(BD!$S$3:$S$5001,BD!$B$3:$B$5001,M$198,BD!$A$3:$A$5001,_xlfn.MAXIFS(BD!$A$3:$A$5001,BD!$B$3:$B$5001,M$198,BD!$A$3:$A$5001,"&gt;="&amp;$C$7,BD!$A$3:$A$5001,"&lt;="&amp;$B209,BD!$S$3:$S$5001,"&lt;&gt;"))))</f>
        <v/>
      </c>
      <c r="N209" s="54" t="str">
        <f>IF(OR($B209="",$A209&gt;$B$9,N$198=""),"",IF(COUNTIFS(BD!$B$3:$B$5001,N$198,BD!$A$3:$A$5001,"&gt;="&amp;$C$7,BD!$A$3:$A$5001,"&lt;="&amp;$B209,BD!$S$3:$S$5001,"&lt;&gt;")=0,"",SUMIFS(BD!$S$3:$S$5001,BD!$B$3:$B$5001,N$198,BD!$A$3:$A$5001,_xlfn.MAXIFS(BD!$A$3:$A$5001,BD!$B$3:$B$5001,N$198,BD!$A$3:$A$5001,"&gt;="&amp;$C$7,BD!$A$3:$A$5001,"&lt;="&amp;$B209,BD!$S$3:$S$5001,"&lt;&gt;"))))</f>
        <v/>
      </c>
      <c r="O209" s="54" t="str">
        <f>IF(OR($B209="",$A209&gt;$B$9,O$198=""),"",IF(COUNTIFS(BD!$B$3:$B$5001,O$198,BD!$A$3:$A$5001,"&gt;="&amp;$C$7,BD!$A$3:$A$5001,"&lt;="&amp;$B209,BD!$S$3:$S$5001,"&lt;&gt;")=0,"",SUMIFS(BD!$S$3:$S$5001,BD!$B$3:$B$5001,O$198,BD!$A$3:$A$5001,_xlfn.MAXIFS(BD!$A$3:$A$5001,BD!$B$3:$B$5001,O$198,BD!$A$3:$A$5001,"&gt;="&amp;$C$7,BD!$A$3:$A$5001,"&lt;="&amp;$B209,BD!$S$3:$S$5001,"&lt;&gt;"))))</f>
        <v/>
      </c>
      <c r="P209" s="54" t="str">
        <f>IF(OR($B209="",$A209&gt;$B$9,P$198=""),"",IF(COUNTIFS(BD!$B$3:$B$5001,P$198,BD!$A$3:$A$5001,"&gt;="&amp;$C$7,BD!$A$3:$A$5001,"&lt;="&amp;$B209,BD!$S$3:$S$5001,"&lt;&gt;")=0,"",SUMIFS(BD!$S$3:$S$5001,BD!$B$3:$B$5001,P$198,BD!$A$3:$A$5001,_xlfn.MAXIFS(BD!$A$3:$A$5001,BD!$B$3:$B$5001,P$198,BD!$A$3:$A$5001,"&gt;="&amp;$C$7,BD!$A$3:$A$5001,"&lt;="&amp;$B209,BD!$S$3:$S$5001,"&lt;&gt;"))))</f>
        <v/>
      </c>
      <c r="Q209" s="54" t="str">
        <f>IF(OR($B209="",$A209&gt;$B$9,Q$198=""),"",IF(COUNTIFS(BD!$B$3:$B$5001,Q$198,BD!$A$3:$A$5001,"&gt;="&amp;$C$7,BD!$A$3:$A$5001,"&lt;="&amp;$B209,BD!$S$3:$S$5001,"&lt;&gt;")=0,"",SUMIFS(BD!$S$3:$S$5001,BD!$B$3:$B$5001,Q$198,BD!$A$3:$A$5001,_xlfn.MAXIFS(BD!$A$3:$A$5001,BD!$B$3:$B$5001,Q$198,BD!$A$3:$A$5001,"&gt;="&amp;$C$7,BD!$A$3:$A$5001,"&lt;="&amp;$B209,BD!$S$3:$S$5001,"&lt;&gt;"))))</f>
        <v/>
      </c>
      <c r="R209" s="54" t="str">
        <f>IF(OR($B209="",$A209&gt;$B$9,R$198=""),"",IF(COUNTIFS(BD!$B$3:$B$5001,R$198,BD!$A$3:$A$5001,"&gt;="&amp;$C$7,BD!$A$3:$A$5001,"&lt;="&amp;$B209,BD!$S$3:$S$5001,"&lt;&gt;")=0,"",SUMIFS(BD!$S$3:$S$5001,BD!$B$3:$B$5001,R$198,BD!$A$3:$A$5001,_xlfn.MAXIFS(BD!$A$3:$A$5001,BD!$B$3:$B$5001,R$198,BD!$A$3:$A$5001,"&gt;="&amp;$C$7,BD!$A$3:$A$5001,"&lt;="&amp;$B209,BD!$S$3:$S$5001,"&lt;&gt;"))))</f>
        <v/>
      </c>
      <c r="S209" s="54" t="str">
        <f>IF(OR($B209="",$A209&gt;$B$9,S$198=""),"",IF(COUNTIFS(BD!$B$3:$B$5001,S$198,BD!$A$3:$A$5001,"&gt;="&amp;$C$7,BD!$A$3:$A$5001,"&lt;="&amp;$B209,BD!$S$3:$S$5001,"&lt;&gt;")=0,"",SUMIFS(BD!$S$3:$S$5001,BD!$B$3:$B$5001,S$198,BD!$A$3:$A$5001,_xlfn.MAXIFS(BD!$A$3:$A$5001,BD!$B$3:$B$5001,S$198,BD!$A$3:$A$5001,"&gt;="&amp;$C$7,BD!$A$3:$A$5001,"&lt;="&amp;$B209,BD!$S$3:$S$5001,"&lt;&gt;"))))</f>
        <v/>
      </c>
      <c r="T209" s="54" t="str">
        <f>IF(OR($B209="",$A209&gt;$B$9,T$198=""),"",IF(COUNTIFS(BD!$B$3:$B$5001,T$198,BD!$A$3:$A$5001,"&gt;="&amp;$C$7,BD!$A$3:$A$5001,"&lt;="&amp;$B209,BD!$S$3:$S$5001,"&lt;&gt;")=0,"",SUMIFS(BD!$S$3:$S$5001,BD!$B$3:$B$5001,T$198,BD!$A$3:$A$5001,_xlfn.MAXIFS(BD!$A$3:$A$5001,BD!$B$3:$B$5001,T$198,BD!$A$3:$A$5001,"&gt;="&amp;$C$7,BD!$A$3:$A$5001,"&lt;="&amp;$B209,BD!$S$3:$S$5001,"&lt;&gt;"))))</f>
        <v/>
      </c>
      <c r="U209" s="54" t="str">
        <f>IF(OR($B209="",$A209&gt;$B$9,U$198=""),"",IF(COUNTIFS(BD!$B$3:$B$5001,U$198,BD!$A$3:$A$5001,"&gt;="&amp;$C$7,BD!$A$3:$A$5001,"&lt;="&amp;$B209,BD!$S$3:$S$5001,"&lt;&gt;")=0,"",SUMIFS(BD!$S$3:$S$5001,BD!$B$3:$B$5001,U$198,BD!$A$3:$A$5001,_xlfn.MAXIFS(BD!$A$3:$A$5001,BD!$B$3:$B$5001,U$198,BD!$A$3:$A$5001,"&gt;="&amp;$C$7,BD!$A$3:$A$5001,"&lt;="&amp;$B209,BD!$S$3:$S$5001,"&lt;&gt;"))))</f>
        <v/>
      </c>
      <c r="V209" s="54" t="str">
        <f>IF(OR($B209="",$A209&gt;$B$9,V$198=""),"",IF(COUNTIFS(BD!$B$3:$B$5001,V$198,BD!$A$3:$A$5001,"&gt;="&amp;$C$7,BD!$A$3:$A$5001,"&lt;="&amp;$B209,BD!$S$3:$S$5001,"&lt;&gt;")=0,"",SUMIFS(BD!$S$3:$S$5001,BD!$B$3:$B$5001,V$198,BD!$A$3:$A$5001,_xlfn.MAXIFS(BD!$A$3:$A$5001,BD!$B$3:$B$5001,V$198,BD!$A$3:$A$5001,"&gt;="&amp;$C$7,BD!$A$3:$A$5001,"&lt;="&amp;$B209,BD!$S$3:$S$5001,"&lt;&gt;"))))</f>
        <v/>
      </c>
    </row>
    <row r="210">
      <c r="A210" s="48">
        <v>12</v>
      </c>
      <c r="B210" s="53">
        <f>$B$23</f>
        <v>46307</v>
      </c>
      <c r="C210" s="54" t="str">
        <f>IF(OR($B210="",$A210&gt;$B$9,C$198=""),"",IF(COUNTIFS(BD!$B$3:$B$5001,C$198,BD!$A$3:$A$5001,"&gt;="&amp;$C$7,BD!$A$3:$A$5001,"&lt;="&amp;$B210,BD!$S$3:$S$5001,"&lt;&gt;")=0,"",SUMIFS(BD!$S$3:$S$5001,BD!$B$3:$B$5001,C$198,BD!$A$3:$A$5001,_xlfn.MAXIFS(BD!$A$3:$A$5001,BD!$B$3:$B$5001,C$198,BD!$A$3:$A$5001,"&gt;="&amp;$C$7,BD!$A$3:$A$5001,"&lt;="&amp;$B210,BD!$S$3:$S$5001,"&lt;&gt;"))))</f>
        <v/>
      </c>
      <c r="D210" s="54" t="str">
        <f>IF(OR($B210="",$A210&gt;$B$9,D$198=""),"",IF(COUNTIFS(BD!$B$3:$B$5001,D$198,BD!$A$3:$A$5001,"&gt;="&amp;$C$7,BD!$A$3:$A$5001,"&lt;="&amp;$B210,BD!$S$3:$S$5001,"&lt;&gt;")=0,"",SUMIFS(BD!$S$3:$S$5001,BD!$B$3:$B$5001,D$198,BD!$A$3:$A$5001,_xlfn.MAXIFS(BD!$A$3:$A$5001,BD!$B$3:$B$5001,D$198,BD!$A$3:$A$5001,"&gt;="&amp;$C$7,BD!$A$3:$A$5001,"&lt;="&amp;$B210,BD!$S$3:$S$5001,"&lt;&gt;"))))</f>
        <v/>
      </c>
      <c r="E210" s="54" t="str">
        <f>IF(OR($B210="",$A210&gt;$B$9,E$198=""),"",IF(COUNTIFS(BD!$B$3:$B$5001,E$198,BD!$A$3:$A$5001,"&gt;="&amp;$C$7,BD!$A$3:$A$5001,"&lt;="&amp;$B210,BD!$S$3:$S$5001,"&lt;&gt;")=0,"",SUMIFS(BD!$S$3:$S$5001,BD!$B$3:$B$5001,E$198,BD!$A$3:$A$5001,_xlfn.MAXIFS(BD!$A$3:$A$5001,BD!$B$3:$B$5001,E$198,BD!$A$3:$A$5001,"&gt;="&amp;$C$7,BD!$A$3:$A$5001,"&lt;="&amp;$B210,BD!$S$3:$S$5001,"&lt;&gt;"))))</f>
        <v/>
      </c>
      <c r="F210" s="54" t="str">
        <f>IF(OR($B210="",$A210&gt;$B$9,F$198=""),"",IF(COUNTIFS(BD!$B$3:$B$5001,F$198,BD!$A$3:$A$5001,"&gt;="&amp;$C$7,BD!$A$3:$A$5001,"&lt;="&amp;$B210,BD!$S$3:$S$5001,"&lt;&gt;")=0,"",SUMIFS(BD!$S$3:$S$5001,BD!$B$3:$B$5001,F$198,BD!$A$3:$A$5001,_xlfn.MAXIFS(BD!$A$3:$A$5001,BD!$B$3:$B$5001,F$198,BD!$A$3:$A$5001,"&gt;="&amp;$C$7,BD!$A$3:$A$5001,"&lt;="&amp;$B210,BD!$S$3:$S$5001,"&lt;&gt;"))))</f>
        <v/>
      </c>
      <c r="G210" s="54" t="str">
        <f>IF(OR($B210="",$A210&gt;$B$9,G$198=""),"",IF(COUNTIFS(BD!$B$3:$B$5001,G$198,BD!$A$3:$A$5001,"&gt;="&amp;$C$7,BD!$A$3:$A$5001,"&lt;="&amp;$B210,BD!$S$3:$S$5001,"&lt;&gt;")=0,"",SUMIFS(BD!$S$3:$S$5001,BD!$B$3:$B$5001,G$198,BD!$A$3:$A$5001,_xlfn.MAXIFS(BD!$A$3:$A$5001,BD!$B$3:$B$5001,G$198,BD!$A$3:$A$5001,"&gt;="&amp;$C$7,BD!$A$3:$A$5001,"&lt;="&amp;$B210,BD!$S$3:$S$5001,"&lt;&gt;"))))</f>
        <v/>
      </c>
      <c r="H210" s="54" t="str">
        <f>IF(OR($B210="",$A210&gt;$B$9,H$198=""),"",IF(COUNTIFS(BD!$B$3:$B$5001,H$198,BD!$A$3:$A$5001,"&gt;="&amp;$C$7,BD!$A$3:$A$5001,"&lt;="&amp;$B210,BD!$S$3:$S$5001,"&lt;&gt;")=0,"",SUMIFS(BD!$S$3:$S$5001,BD!$B$3:$B$5001,H$198,BD!$A$3:$A$5001,_xlfn.MAXIFS(BD!$A$3:$A$5001,BD!$B$3:$B$5001,H$198,BD!$A$3:$A$5001,"&gt;="&amp;$C$7,BD!$A$3:$A$5001,"&lt;="&amp;$B210,BD!$S$3:$S$5001,"&lt;&gt;"))))</f>
        <v/>
      </c>
      <c r="I210" s="54" t="str">
        <f>IF(OR($B210="",$A210&gt;$B$9,I$198=""),"",IF(COUNTIFS(BD!$B$3:$B$5001,I$198,BD!$A$3:$A$5001,"&gt;="&amp;$C$7,BD!$A$3:$A$5001,"&lt;="&amp;$B210,BD!$S$3:$S$5001,"&lt;&gt;")=0,"",SUMIFS(BD!$S$3:$S$5001,BD!$B$3:$B$5001,I$198,BD!$A$3:$A$5001,_xlfn.MAXIFS(BD!$A$3:$A$5001,BD!$B$3:$B$5001,I$198,BD!$A$3:$A$5001,"&gt;="&amp;$C$7,BD!$A$3:$A$5001,"&lt;="&amp;$B210,BD!$S$3:$S$5001,"&lt;&gt;"))))</f>
        <v/>
      </c>
      <c r="J210" s="54" t="str">
        <f>IF(OR($B210="",$A210&gt;$B$9,J$198=""),"",IF(COUNTIFS(BD!$B$3:$B$5001,J$198,BD!$A$3:$A$5001,"&gt;="&amp;$C$7,BD!$A$3:$A$5001,"&lt;="&amp;$B210,BD!$S$3:$S$5001,"&lt;&gt;")=0,"",SUMIFS(BD!$S$3:$S$5001,BD!$B$3:$B$5001,J$198,BD!$A$3:$A$5001,_xlfn.MAXIFS(BD!$A$3:$A$5001,BD!$B$3:$B$5001,J$198,BD!$A$3:$A$5001,"&gt;="&amp;$C$7,BD!$A$3:$A$5001,"&lt;="&amp;$B210,BD!$S$3:$S$5001,"&lt;&gt;"))))</f>
        <v/>
      </c>
      <c r="K210" s="54" t="str">
        <f>IF(OR($B210="",$A210&gt;$B$9,K$198=""),"",IF(COUNTIFS(BD!$B$3:$B$5001,K$198,BD!$A$3:$A$5001,"&gt;="&amp;$C$7,BD!$A$3:$A$5001,"&lt;="&amp;$B210,BD!$S$3:$S$5001,"&lt;&gt;")=0,"",SUMIFS(BD!$S$3:$S$5001,BD!$B$3:$B$5001,K$198,BD!$A$3:$A$5001,_xlfn.MAXIFS(BD!$A$3:$A$5001,BD!$B$3:$B$5001,K$198,BD!$A$3:$A$5001,"&gt;="&amp;$C$7,BD!$A$3:$A$5001,"&lt;="&amp;$B210,BD!$S$3:$S$5001,"&lt;&gt;"))))</f>
        <v/>
      </c>
      <c r="L210" s="54" t="str">
        <f>IF(OR($B210="",$A210&gt;$B$9,L$198=""),"",IF(COUNTIFS(BD!$B$3:$B$5001,L$198,BD!$A$3:$A$5001,"&gt;="&amp;$C$7,BD!$A$3:$A$5001,"&lt;="&amp;$B210,BD!$S$3:$S$5001,"&lt;&gt;")=0,"",SUMIFS(BD!$S$3:$S$5001,BD!$B$3:$B$5001,L$198,BD!$A$3:$A$5001,_xlfn.MAXIFS(BD!$A$3:$A$5001,BD!$B$3:$B$5001,L$198,BD!$A$3:$A$5001,"&gt;="&amp;$C$7,BD!$A$3:$A$5001,"&lt;="&amp;$B210,BD!$S$3:$S$5001,"&lt;&gt;"))))</f>
        <v/>
      </c>
      <c r="M210" s="54" t="str">
        <f>IF(OR($B210="",$A210&gt;$B$9,M$198=""),"",IF(COUNTIFS(BD!$B$3:$B$5001,M$198,BD!$A$3:$A$5001,"&gt;="&amp;$C$7,BD!$A$3:$A$5001,"&lt;="&amp;$B210,BD!$S$3:$S$5001,"&lt;&gt;")=0,"",SUMIFS(BD!$S$3:$S$5001,BD!$B$3:$B$5001,M$198,BD!$A$3:$A$5001,_xlfn.MAXIFS(BD!$A$3:$A$5001,BD!$B$3:$B$5001,M$198,BD!$A$3:$A$5001,"&gt;="&amp;$C$7,BD!$A$3:$A$5001,"&lt;="&amp;$B210,BD!$S$3:$S$5001,"&lt;&gt;"))))</f>
        <v/>
      </c>
      <c r="N210" s="54" t="str">
        <f>IF(OR($B210="",$A210&gt;$B$9,N$198=""),"",IF(COUNTIFS(BD!$B$3:$B$5001,N$198,BD!$A$3:$A$5001,"&gt;="&amp;$C$7,BD!$A$3:$A$5001,"&lt;="&amp;$B210,BD!$S$3:$S$5001,"&lt;&gt;")=0,"",SUMIFS(BD!$S$3:$S$5001,BD!$B$3:$B$5001,N$198,BD!$A$3:$A$5001,_xlfn.MAXIFS(BD!$A$3:$A$5001,BD!$B$3:$B$5001,N$198,BD!$A$3:$A$5001,"&gt;="&amp;$C$7,BD!$A$3:$A$5001,"&lt;="&amp;$B210,BD!$S$3:$S$5001,"&lt;&gt;"))))</f>
        <v/>
      </c>
      <c r="O210" s="54" t="str">
        <f>IF(OR($B210="",$A210&gt;$B$9,O$198=""),"",IF(COUNTIFS(BD!$B$3:$B$5001,O$198,BD!$A$3:$A$5001,"&gt;="&amp;$C$7,BD!$A$3:$A$5001,"&lt;="&amp;$B210,BD!$S$3:$S$5001,"&lt;&gt;")=0,"",SUMIFS(BD!$S$3:$S$5001,BD!$B$3:$B$5001,O$198,BD!$A$3:$A$5001,_xlfn.MAXIFS(BD!$A$3:$A$5001,BD!$B$3:$B$5001,O$198,BD!$A$3:$A$5001,"&gt;="&amp;$C$7,BD!$A$3:$A$5001,"&lt;="&amp;$B210,BD!$S$3:$S$5001,"&lt;&gt;"))))</f>
        <v/>
      </c>
      <c r="P210" s="54" t="str">
        <f>IF(OR($B210="",$A210&gt;$B$9,P$198=""),"",IF(COUNTIFS(BD!$B$3:$B$5001,P$198,BD!$A$3:$A$5001,"&gt;="&amp;$C$7,BD!$A$3:$A$5001,"&lt;="&amp;$B210,BD!$S$3:$S$5001,"&lt;&gt;")=0,"",SUMIFS(BD!$S$3:$S$5001,BD!$B$3:$B$5001,P$198,BD!$A$3:$A$5001,_xlfn.MAXIFS(BD!$A$3:$A$5001,BD!$B$3:$B$5001,P$198,BD!$A$3:$A$5001,"&gt;="&amp;$C$7,BD!$A$3:$A$5001,"&lt;="&amp;$B210,BD!$S$3:$S$5001,"&lt;&gt;"))))</f>
        <v/>
      </c>
      <c r="Q210" s="54" t="str">
        <f>IF(OR($B210="",$A210&gt;$B$9,Q$198=""),"",IF(COUNTIFS(BD!$B$3:$B$5001,Q$198,BD!$A$3:$A$5001,"&gt;="&amp;$C$7,BD!$A$3:$A$5001,"&lt;="&amp;$B210,BD!$S$3:$S$5001,"&lt;&gt;")=0,"",SUMIFS(BD!$S$3:$S$5001,BD!$B$3:$B$5001,Q$198,BD!$A$3:$A$5001,_xlfn.MAXIFS(BD!$A$3:$A$5001,BD!$B$3:$B$5001,Q$198,BD!$A$3:$A$5001,"&gt;="&amp;$C$7,BD!$A$3:$A$5001,"&lt;="&amp;$B210,BD!$S$3:$S$5001,"&lt;&gt;"))))</f>
        <v/>
      </c>
      <c r="R210" s="54" t="str">
        <f>IF(OR($B210="",$A210&gt;$B$9,R$198=""),"",IF(COUNTIFS(BD!$B$3:$B$5001,R$198,BD!$A$3:$A$5001,"&gt;="&amp;$C$7,BD!$A$3:$A$5001,"&lt;="&amp;$B210,BD!$S$3:$S$5001,"&lt;&gt;")=0,"",SUMIFS(BD!$S$3:$S$5001,BD!$B$3:$B$5001,R$198,BD!$A$3:$A$5001,_xlfn.MAXIFS(BD!$A$3:$A$5001,BD!$B$3:$B$5001,R$198,BD!$A$3:$A$5001,"&gt;="&amp;$C$7,BD!$A$3:$A$5001,"&lt;="&amp;$B210,BD!$S$3:$S$5001,"&lt;&gt;"))))</f>
        <v/>
      </c>
      <c r="S210" s="54" t="str">
        <f>IF(OR($B210="",$A210&gt;$B$9,S$198=""),"",IF(COUNTIFS(BD!$B$3:$B$5001,S$198,BD!$A$3:$A$5001,"&gt;="&amp;$C$7,BD!$A$3:$A$5001,"&lt;="&amp;$B210,BD!$S$3:$S$5001,"&lt;&gt;")=0,"",SUMIFS(BD!$S$3:$S$5001,BD!$B$3:$B$5001,S$198,BD!$A$3:$A$5001,_xlfn.MAXIFS(BD!$A$3:$A$5001,BD!$B$3:$B$5001,S$198,BD!$A$3:$A$5001,"&gt;="&amp;$C$7,BD!$A$3:$A$5001,"&lt;="&amp;$B210,BD!$S$3:$S$5001,"&lt;&gt;"))))</f>
        <v/>
      </c>
      <c r="T210" s="54" t="str">
        <f>IF(OR($B210="",$A210&gt;$B$9,T$198=""),"",IF(COUNTIFS(BD!$B$3:$B$5001,T$198,BD!$A$3:$A$5001,"&gt;="&amp;$C$7,BD!$A$3:$A$5001,"&lt;="&amp;$B210,BD!$S$3:$S$5001,"&lt;&gt;")=0,"",SUMIFS(BD!$S$3:$S$5001,BD!$B$3:$B$5001,T$198,BD!$A$3:$A$5001,_xlfn.MAXIFS(BD!$A$3:$A$5001,BD!$B$3:$B$5001,T$198,BD!$A$3:$A$5001,"&gt;="&amp;$C$7,BD!$A$3:$A$5001,"&lt;="&amp;$B210,BD!$S$3:$S$5001,"&lt;&gt;"))))</f>
        <v/>
      </c>
      <c r="U210" s="54" t="str">
        <f>IF(OR($B210="",$A210&gt;$B$9,U$198=""),"",IF(COUNTIFS(BD!$B$3:$B$5001,U$198,BD!$A$3:$A$5001,"&gt;="&amp;$C$7,BD!$A$3:$A$5001,"&lt;="&amp;$B210,BD!$S$3:$S$5001,"&lt;&gt;")=0,"",SUMIFS(BD!$S$3:$S$5001,BD!$B$3:$B$5001,U$198,BD!$A$3:$A$5001,_xlfn.MAXIFS(BD!$A$3:$A$5001,BD!$B$3:$B$5001,U$198,BD!$A$3:$A$5001,"&gt;="&amp;$C$7,BD!$A$3:$A$5001,"&lt;="&amp;$B210,BD!$S$3:$S$5001,"&lt;&gt;"))))</f>
        <v/>
      </c>
      <c r="V210" s="54" t="str">
        <f>IF(OR($B210="",$A210&gt;$B$9,V$198=""),"",IF(COUNTIFS(BD!$B$3:$B$5001,V$198,BD!$A$3:$A$5001,"&gt;="&amp;$C$7,BD!$A$3:$A$5001,"&lt;="&amp;$B210,BD!$S$3:$S$5001,"&lt;&gt;")=0,"",SUMIFS(BD!$S$3:$S$5001,BD!$B$3:$B$5001,V$198,BD!$A$3:$A$5001,_xlfn.MAXIFS(BD!$A$3:$A$5001,BD!$B$3:$B$5001,V$198,BD!$A$3:$A$5001,"&gt;="&amp;$C$7,BD!$A$3:$A$5001,"&lt;="&amp;$B210,BD!$S$3:$S$5001,"&lt;&gt;"))))</f>
        <v/>
      </c>
    </row>
    <row r="211">
      <c r="A211" s="48">
        <v>13</v>
      </c>
      <c r="B211" s="53">
        <f>$B$24</f>
        <v>46308</v>
      </c>
      <c r="C211" s="54" t="str">
        <f>IF(OR($B211="",$A211&gt;$B$9,C$198=""),"",IF(COUNTIFS(BD!$B$3:$B$5001,C$198,BD!$A$3:$A$5001,"&gt;="&amp;$C$7,BD!$A$3:$A$5001,"&lt;="&amp;$B211,BD!$S$3:$S$5001,"&lt;&gt;")=0,"",SUMIFS(BD!$S$3:$S$5001,BD!$B$3:$B$5001,C$198,BD!$A$3:$A$5001,_xlfn.MAXIFS(BD!$A$3:$A$5001,BD!$B$3:$B$5001,C$198,BD!$A$3:$A$5001,"&gt;="&amp;$C$7,BD!$A$3:$A$5001,"&lt;="&amp;$B211,BD!$S$3:$S$5001,"&lt;&gt;"))))</f>
        <v/>
      </c>
      <c r="D211" s="54" t="str">
        <f>IF(OR($B211="",$A211&gt;$B$9,D$198=""),"",IF(COUNTIFS(BD!$B$3:$B$5001,D$198,BD!$A$3:$A$5001,"&gt;="&amp;$C$7,BD!$A$3:$A$5001,"&lt;="&amp;$B211,BD!$S$3:$S$5001,"&lt;&gt;")=0,"",SUMIFS(BD!$S$3:$S$5001,BD!$B$3:$B$5001,D$198,BD!$A$3:$A$5001,_xlfn.MAXIFS(BD!$A$3:$A$5001,BD!$B$3:$B$5001,D$198,BD!$A$3:$A$5001,"&gt;="&amp;$C$7,BD!$A$3:$A$5001,"&lt;="&amp;$B211,BD!$S$3:$S$5001,"&lt;&gt;"))))</f>
        <v/>
      </c>
      <c r="E211" s="54" t="str">
        <f>IF(OR($B211="",$A211&gt;$B$9,E$198=""),"",IF(COUNTIFS(BD!$B$3:$B$5001,E$198,BD!$A$3:$A$5001,"&gt;="&amp;$C$7,BD!$A$3:$A$5001,"&lt;="&amp;$B211,BD!$S$3:$S$5001,"&lt;&gt;")=0,"",SUMIFS(BD!$S$3:$S$5001,BD!$B$3:$B$5001,E$198,BD!$A$3:$A$5001,_xlfn.MAXIFS(BD!$A$3:$A$5001,BD!$B$3:$B$5001,E$198,BD!$A$3:$A$5001,"&gt;="&amp;$C$7,BD!$A$3:$A$5001,"&lt;="&amp;$B211,BD!$S$3:$S$5001,"&lt;&gt;"))))</f>
        <v/>
      </c>
      <c r="F211" s="54" t="str">
        <f>IF(OR($B211="",$A211&gt;$B$9,F$198=""),"",IF(COUNTIFS(BD!$B$3:$B$5001,F$198,BD!$A$3:$A$5001,"&gt;="&amp;$C$7,BD!$A$3:$A$5001,"&lt;="&amp;$B211,BD!$S$3:$S$5001,"&lt;&gt;")=0,"",SUMIFS(BD!$S$3:$S$5001,BD!$B$3:$B$5001,F$198,BD!$A$3:$A$5001,_xlfn.MAXIFS(BD!$A$3:$A$5001,BD!$B$3:$B$5001,F$198,BD!$A$3:$A$5001,"&gt;="&amp;$C$7,BD!$A$3:$A$5001,"&lt;="&amp;$B211,BD!$S$3:$S$5001,"&lt;&gt;"))))</f>
        <v/>
      </c>
      <c r="G211" s="54" t="str">
        <f>IF(OR($B211="",$A211&gt;$B$9,G$198=""),"",IF(COUNTIFS(BD!$B$3:$B$5001,G$198,BD!$A$3:$A$5001,"&gt;="&amp;$C$7,BD!$A$3:$A$5001,"&lt;="&amp;$B211,BD!$S$3:$S$5001,"&lt;&gt;")=0,"",SUMIFS(BD!$S$3:$S$5001,BD!$B$3:$B$5001,G$198,BD!$A$3:$A$5001,_xlfn.MAXIFS(BD!$A$3:$A$5001,BD!$B$3:$B$5001,G$198,BD!$A$3:$A$5001,"&gt;="&amp;$C$7,BD!$A$3:$A$5001,"&lt;="&amp;$B211,BD!$S$3:$S$5001,"&lt;&gt;"))))</f>
        <v/>
      </c>
      <c r="H211" s="54" t="str">
        <f>IF(OR($B211="",$A211&gt;$B$9,H$198=""),"",IF(COUNTIFS(BD!$B$3:$B$5001,H$198,BD!$A$3:$A$5001,"&gt;="&amp;$C$7,BD!$A$3:$A$5001,"&lt;="&amp;$B211,BD!$S$3:$S$5001,"&lt;&gt;")=0,"",SUMIFS(BD!$S$3:$S$5001,BD!$B$3:$B$5001,H$198,BD!$A$3:$A$5001,_xlfn.MAXIFS(BD!$A$3:$A$5001,BD!$B$3:$B$5001,H$198,BD!$A$3:$A$5001,"&gt;="&amp;$C$7,BD!$A$3:$A$5001,"&lt;="&amp;$B211,BD!$S$3:$S$5001,"&lt;&gt;"))))</f>
        <v/>
      </c>
      <c r="I211" s="54" t="str">
        <f>IF(OR($B211="",$A211&gt;$B$9,I$198=""),"",IF(COUNTIFS(BD!$B$3:$B$5001,I$198,BD!$A$3:$A$5001,"&gt;="&amp;$C$7,BD!$A$3:$A$5001,"&lt;="&amp;$B211,BD!$S$3:$S$5001,"&lt;&gt;")=0,"",SUMIFS(BD!$S$3:$S$5001,BD!$B$3:$B$5001,I$198,BD!$A$3:$A$5001,_xlfn.MAXIFS(BD!$A$3:$A$5001,BD!$B$3:$B$5001,I$198,BD!$A$3:$A$5001,"&gt;="&amp;$C$7,BD!$A$3:$A$5001,"&lt;="&amp;$B211,BD!$S$3:$S$5001,"&lt;&gt;"))))</f>
        <v/>
      </c>
      <c r="J211" s="54" t="str">
        <f>IF(OR($B211="",$A211&gt;$B$9,J$198=""),"",IF(COUNTIFS(BD!$B$3:$B$5001,J$198,BD!$A$3:$A$5001,"&gt;="&amp;$C$7,BD!$A$3:$A$5001,"&lt;="&amp;$B211,BD!$S$3:$S$5001,"&lt;&gt;")=0,"",SUMIFS(BD!$S$3:$S$5001,BD!$B$3:$B$5001,J$198,BD!$A$3:$A$5001,_xlfn.MAXIFS(BD!$A$3:$A$5001,BD!$B$3:$B$5001,J$198,BD!$A$3:$A$5001,"&gt;="&amp;$C$7,BD!$A$3:$A$5001,"&lt;="&amp;$B211,BD!$S$3:$S$5001,"&lt;&gt;"))))</f>
        <v/>
      </c>
      <c r="K211" s="54" t="str">
        <f>IF(OR($B211="",$A211&gt;$B$9,K$198=""),"",IF(COUNTIFS(BD!$B$3:$B$5001,K$198,BD!$A$3:$A$5001,"&gt;="&amp;$C$7,BD!$A$3:$A$5001,"&lt;="&amp;$B211,BD!$S$3:$S$5001,"&lt;&gt;")=0,"",SUMIFS(BD!$S$3:$S$5001,BD!$B$3:$B$5001,K$198,BD!$A$3:$A$5001,_xlfn.MAXIFS(BD!$A$3:$A$5001,BD!$B$3:$B$5001,K$198,BD!$A$3:$A$5001,"&gt;="&amp;$C$7,BD!$A$3:$A$5001,"&lt;="&amp;$B211,BD!$S$3:$S$5001,"&lt;&gt;"))))</f>
        <v/>
      </c>
      <c r="L211" s="54" t="str">
        <f>IF(OR($B211="",$A211&gt;$B$9,L$198=""),"",IF(COUNTIFS(BD!$B$3:$B$5001,L$198,BD!$A$3:$A$5001,"&gt;="&amp;$C$7,BD!$A$3:$A$5001,"&lt;="&amp;$B211,BD!$S$3:$S$5001,"&lt;&gt;")=0,"",SUMIFS(BD!$S$3:$S$5001,BD!$B$3:$B$5001,L$198,BD!$A$3:$A$5001,_xlfn.MAXIFS(BD!$A$3:$A$5001,BD!$B$3:$B$5001,L$198,BD!$A$3:$A$5001,"&gt;="&amp;$C$7,BD!$A$3:$A$5001,"&lt;="&amp;$B211,BD!$S$3:$S$5001,"&lt;&gt;"))))</f>
        <v/>
      </c>
      <c r="M211" s="54" t="str">
        <f>IF(OR($B211="",$A211&gt;$B$9,M$198=""),"",IF(COUNTIFS(BD!$B$3:$B$5001,M$198,BD!$A$3:$A$5001,"&gt;="&amp;$C$7,BD!$A$3:$A$5001,"&lt;="&amp;$B211,BD!$S$3:$S$5001,"&lt;&gt;")=0,"",SUMIFS(BD!$S$3:$S$5001,BD!$B$3:$B$5001,M$198,BD!$A$3:$A$5001,_xlfn.MAXIFS(BD!$A$3:$A$5001,BD!$B$3:$B$5001,M$198,BD!$A$3:$A$5001,"&gt;="&amp;$C$7,BD!$A$3:$A$5001,"&lt;="&amp;$B211,BD!$S$3:$S$5001,"&lt;&gt;"))))</f>
        <v/>
      </c>
      <c r="N211" s="54" t="str">
        <f>IF(OR($B211="",$A211&gt;$B$9,N$198=""),"",IF(COUNTIFS(BD!$B$3:$B$5001,N$198,BD!$A$3:$A$5001,"&gt;="&amp;$C$7,BD!$A$3:$A$5001,"&lt;="&amp;$B211,BD!$S$3:$S$5001,"&lt;&gt;")=0,"",SUMIFS(BD!$S$3:$S$5001,BD!$B$3:$B$5001,N$198,BD!$A$3:$A$5001,_xlfn.MAXIFS(BD!$A$3:$A$5001,BD!$B$3:$B$5001,N$198,BD!$A$3:$A$5001,"&gt;="&amp;$C$7,BD!$A$3:$A$5001,"&lt;="&amp;$B211,BD!$S$3:$S$5001,"&lt;&gt;"))))</f>
        <v/>
      </c>
      <c r="O211" s="54" t="str">
        <f>IF(OR($B211="",$A211&gt;$B$9,O$198=""),"",IF(COUNTIFS(BD!$B$3:$B$5001,O$198,BD!$A$3:$A$5001,"&gt;="&amp;$C$7,BD!$A$3:$A$5001,"&lt;="&amp;$B211,BD!$S$3:$S$5001,"&lt;&gt;")=0,"",SUMIFS(BD!$S$3:$S$5001,BD!$B$3:$B$5001,O$198,BD!$A$3:$A$5001,_xlfn.MAXIFS(BD!$A$3:$A$5001,BD!$B$3:$B$5001,O$198,BD!$A$3:$A$5001,"&gt;="&amp;$C$7,BD!$A$3:$A$5001,"&lt;="&amp;$B211,BD!$S$3:$S$5001,"&lt;&gt;"))))</f>
        <v/>
      </c>
      <c r="P211" s="54" t="str">
        <f>IF(OR($B211="",$A211&gt;$B$9,P$198=""),"",IF(COUNTIFS(BD!$B$3:$B$5001,P$198,BD!$A$3:$A$5001,"&gt;="&amp;$C$7,BD!$A$3:$A$5001,"&lt;="&amp;$B211,BD!$S$3:$S$5001,"&lt;&gt;")=0,"",SUMIFS(BD!$S$3:$S$5001,BD!$B$3:$B$5001,P$198,BD!$A$3:$A$5001,_xlfn.MAXIFS(BD!$A$3:$A$5001,BD!$B$3:$B$5001,P$198,BD!$A$3:$A$5001,"&gt;="&amp;$C$7,BD!$A$3:$A$5001,"&lt;="&amp;$B211,BD!$S$3:$S$5001,"&lt;&gt;"))))</f>
        <v/>
      </c>
      <c r="Q211" s="54" t="str">
        <f>IF(OR($B211="",$A211&gt;$B$9,Q$198=""),"",IF(COUNTIFS(BD!$B$3:$B$5001,Q$198,BD!$A$3:$A$5001,"&gt;="&amp;$C$7,BD!$A$3:$A$5001,"&lt;="&amp;$B211,BD!$S$3:$S$5001,"&lt;&gt;")=0,"",SUMIFS(BD!$S$3:$S$5001,BD!$B$3:$B$5001,Q$198,BD!$A$3:$A$5001,_xlfn.MAXIFS(BD!$A$3:$A$5001,BD!$B$3:$B$5001,Q$198,BD!$A$3:$A$5001,"&gt;="&amp;$C$7,BD!$A$3:$A$5001,"&lt;="&amp;$B211,BD!$S$3:$S$5001,"&lt;&gt;"))))</f>
        <v/>
      </c>
      <c r="R211" s="54" t="str">
        <f>IF(OR($B211="",$A211&gt;$B$9,R$198=""),"",IF(COUNTIFS(BD!$B$3:$B$5001,R$198,BD!$A$3:$A$5001,"&gt;="&amp;$C$7,BD!$A$3:$A$5001,"&lt;="&amp;$B211,BD!$S$3:$S$5001,"&lt;&gt;")=0,"",SUMIFS(BD!$S$3:$S$5001,BD!$B$3:$B$5001,R$198,BD!$A$3:$A$5001,_xlfn.MAXIFS(BD!$A$3:$A$5001,BD!$B$3:$B$5001,R$198,BD!$A$3:$A$5001,"&gt;="&amp;$C$7,BD!$A$3:$A$5001,"&lt;="&amp;$B211,BD!$S$3:$S$5001,"&lt;&gt;"))))</f>
        <v/>
      </c>
      <c r="S211" s="54" t="str">
        <f>IF(OR($B211="",$A211&gt;$B$9,S$198=""),"",IF(COUNTIFS(BD!$B$3:$B$5001,S$198,BD!$A$3:$A$5001,"&gt;="&amp;$C$7,BD!$A$3:$A$5001,"&lt;="&amp;$B211,BD!$S$3:$S$5001,"&lt;&gt;")=0,"",SUMIFS(BD!$S$3:$S$5001,BD!$B$3:$B$5001,S$198,BD!$A$3:$A$5001,_xlfn.MAXIFS(BD!$A$3:$A$5001,BD!$B$3:$B$5001,S$198,BD!$A$3:$A$5001,"&gt;="&amp;$C$7,BD!$A$3:$A$5001,"&lt;="&amp;$B211,BD!$S$3:$S$5001,"&lt;&gt;"))))</f>
        <v/>
      </c>
      <c r="T211" s="54" t="str">
        <f>IF(OR($B211="",$A211&gt;$B$9,T$198=""),"",IF(COUNTIFS(BD!$B$3:$B$5001,T$198,BD!$A$3:$A$5001,"&gt;="&amp;$C$7,BD!$A$3:$A$5001,"&lt;="&amp;$B211,BD!$S$3:$S$5001,"&lt;&gt;")=0,"",SUMIFS(BD!$S$3:$S$5001,BD!$B$3:$B$5001,T$198,BD!$A$3:$A$5001,_xlfn.MAXIFS(BD!$A$3:$A$5001,BD!$B$3:$B$5001,T$198,BD!$A$3:$A$5001,"&gt;="&amp;$C$7,BD!$A$3:$A$5001,"&lt;="&amp;$B211,BD!$S$3:$S$5001,"&lt;&gt;"))))</f>
        <v/>
      </c>
      <c r="U211" s="54" t="str">
        <f>IF(OR($B211="",$A211&gt;$B$9,U$198=""),"",IF(COUNTIFS(BD!$B$3:$B$5001,U$198,BD!$A$3:$A$5001,"&gt;="&amp;$C$7,BD!$A$3:$A$5001,"&lt;="&amp;$B211,BD!$S$3:$S$5001,"&lt;&gt;")=0,"",SUMIFS(BD!$S$3:$S$5001,BD!$B$3:$B$5001,U$198,BD!$A$3:$A$5001,_xlfn.MAXIFS(BD!$A$3:$A$5001,BD!$B$3:$B$5001,U$198,BD!$A$3:$A$5001,"&gt;="&amp;$C$7,BD!$A$3:$A$5001,"&lt;="&amp;$B211,BD!$S$3:$S$5001,"&lt;&gt;"))))</f>
        <v/>
      </c>
      <c r="V211" s="54" t="str">
        <f>IF(OR($B211="",$A211&gt;$B$9,V$198=""),"",IF(COUNTIFS(BD!$B$3:$B$5001,V$198,BD!$A$3:$A$5001,"&gt;="&amp;$C$7,BD!$A$3:$A$5001,"&lt;="&amp;$B211,BD!$S$3:$S$5001,"&lt;&gt;")=0,"",SUMIFS(BD!$S$3:$S$5001,BD!$B$3:$B$5001,V$198,BD!$A$3:$A$5001,_xlfn.MAXIFS(BD!$A$3:$A$5001,BD!$B$3:$B$5001,V$198,BD!$A$3:$A$5001,"&gt;="&amp;$C$7,BD!$A$3:$A$5001,"&lt;="&amp;$B211,BD!$S$3:$S$5001,"&lt;&gt;"))))</f>
        <v/>
      </c>
    </row>
    <row r="212">
      <c r="A212" s="48">
        <v>14</v>
      </c>
      <c r="B212" s="53">
        <f>$B$25</f>
        <v>46309</v>
      </c>
      <c r="C212" s="54" t="str">
        <f>IF(OR($B212="",$A212&gt;$B$9,C$198=""),"",IF(COUNTIFS(BD!$B$3:$B$5001,C$198,BD!$A$3:$A$5001,"&gt;="&amp;$C$7,BD!$A$3:$A$5001,"&lt;="&amp;$B212,BD!$S$3:$S$5001,"&lt;&gt;")=0,"",SUMIFS(BD!$S$3:$S$5001,BD!$B$3:$B$5001,C$198,BD!$A$3:$A$5001,_xlfn.MAXIFS(BD!$A$3:$A$5001,BD!$B$3:$B$5001,C$198,BD!$A$3:$A$5001,"&gt;="&amp;$C$7,BD!$A$3:$A$5001,"&lt;="&amp;$B212,BD!$S$3:$S$5001,"&lt;&gt;"))))</f>
        <v/>
      </c>
      <c r="D212" s="54" t="str">
        <f>IF(OR($B212="",$A212&gt;$B$9,D$198=""),"",IF(COUNTIFS(BD!$B$3:$B$5001,D$198,BD!$A$3:$A$5001,"&gt;="&amp;$C$7,BD!$A$3:$A$5001,"&lt;="&amp;$B212,BD!$S$3:$S$5001,"&lt;&gt;")=0,"",SUMIFS(BD!$S$3:$S$5001,BD!$B$3:$B$5001,D$198,BD!$A$3:$A$5001,_xlfn.MAXIFS(BD!$A$3:$A$5001,BD!$B$3:$B$5001,D$198,BD!$A$3:$A$5001,"&gt;="&amp;$C$7,BD!$A$3:$A$5001,"&lt;="&amp;$B212,BD!$S$3:$S$5001,"&lt;&gt;"))))</f>
        <v/>
      </c>
      <c r="E212" s="54" t="str">
        <f>IF(OR($B212="",$A212&gt;$B$9,E$198=""),"",IF(COUNTIFS(BD!$B$3:$B$5001,E$198,BD!$A$3:$A$5001,"&gt;="&amp;$C$7,BD!$A$3:$A$5001,"&lt;="&amp;$B212,BD!$S$3:$S$5001,"&lt;&gt;")=0,"",SUMIFS(BD!$S$3:$S$5001,BD!$B$3:$B$5001,E$198,BD!$A$3:$A$5001,_xlfn.MAXIFS(BD!$A$3:$A$5001,BD!$B$3:$B$5001,E$198,BD!$A$3:$A$5001,"&gt;="&amp;$C$7,BD!$A$3:$A$5001,"&lt;="&amp;$B212,BD!$S$3:$S$5001,"&lt;&gt;"))))</f>
        <v/>
      </c>
      <c r="F212" s="54" t="str">
        <f>IF(OR($B212="",$A212&gt;$B$9,F$198=""),"",IF(COUNTIFS(BD!$B$3:$B$5001,F$198,BD!$A$3:$A$5001,"&gt;="&amp;$C$7,BD!$A$3:$A$5001,"&lt;="&amp;$B212,BD!$S$3:$S$5001,"&lt;&gt;")=0,"",SUMIFS(BD!$S$3:$S$5001,BD!$B$3:$B$5001,F$198,BD!$A$3:$A$5001,_xlfn.MAXIFS(BD!$A$3:$A$5001,BD!$B$3:$B$5001,F$198,BD!$A$3:$A$5001,"&gt;="&amp;$C$7,BD!$A$3:$A$5001,"&lt;="&amp;$B212,BD!$S$3:$S$5001,"&lt;&gt;"))))</f>
        <v/>
      </c>
      <c r="G212" s="54" t="str">
        <f>IF(OR($B212="",$A212&gt;$B$9,G$198=""),"",IF(COUNTIFS(BD!$B$3:$B$5001,G$198,BD!$A$3:$A$5001,"&gt;="&amp;$C$7,BD!$A$3:$A$5001,"&lt;="&amp;$B212,BD!$S$3:$S$5001,"&lt;&gt;")=0,"",SUMIFS(BD!$S$3:$S$5001,BD!$B$3:$B$5001,G$198,BD!$A$3:$A$5001,_xlfn.MAXIFS(BD!$A$3:$A$5001,BD!$B$3:$B$5001,G$198,BD!$A$3:$A$5001,"&gt;="&amp;$C$7,BD!$A$3:$A$5001,"&lt;="&amp;$B212,BD!$S$3:$S$5001,"&lt;&gt;"))))</f>
        <v/>
      </c>
      <c r="H212" s="54" t="str">
        <f>IF(OR($B212="",$A212&gt;$B$9,H$198=""),"",IF(COUNTIFS(BD!$B$3:$B$5001,H$198,BD!$A$3:$A$5001,"&gt;="&amp;$C$7,BD!$A$3:$A$5001,"&lt;="&amp;$B212,BD!$S$3:$S$5001,"&lt;&gt;")=0,"",SUMIFS(BD!$S$3:$S$5001,BD!$B$3:$B$5001,H$198,BD!$A$3:$A$5001,_xlfn.MAXIFS(BD!$A$3:$A$5001,BD!$B$3:$B$5001,H$198,BD!$A$3:$A$5001,"&gt;="&amp;$C$7,BD!$A$3:$A$5001,"&lt;="&amp;$B212,BD!$S$3:$S$5001,"&lt;&gt;"))))</f>
        <v/>
      </c>
      <c r="I212" s="54" t="str">
        <f>IF(OR($B212="",$A212&gt;$B$9,I$198=""),"",IF(COUNTIFS(BD!$B$3:$B$5001,I$198,BD!$A$3:$A$5001,"&gt;="&amp;$C$7,BD!$A$3:$A$5001,"&lt;="&amp;$B212,BD!$S$3:$S$5001,"&lt;&gt;")=0,"",SUMIFS(BD!$S$3:$S$5001,BD!$B$3:$B$5001,I$198,BD!$A$3:$A$5001,_xlfn.MAXIFS(BD!$A$3:$A$5001,BD!$B$3:$B$5001,I$198,BD!$A$3:$A$5001,"&gt;="&amp;$C$7,BD!$A$3:$A$5001,"&lt;="&amp;$B212,BD!$S$3:$S$5001,"&lt;&gt;"))))</f>
        <v/>
      </c>
      <c r="J212" s="54" t="str">
        <f>IF(OR($B212="",$A212&gt;$B$9,J$198=""),"",IF(COUNTIFS(BD!$B$3:$B$5001,J$198,BD!$A$3:$A$5001,"&gt;="&amp;$C$7,BD!$A$3:$A$5001,"&lt;="&amp;$B212,BD!$S$3:$S$5001,"&lt;&gt;")=0,"",SUMIFS(BD!$S$3:$S$5001,BD!$B$3:$B$5001,J$198,BD!$A$3:$A$5001,_xlfn.MAXIFS(BD!$A$3:$A$5001,BD!$B$3:$B$5001,J$198,BD!$A$3:$A$5001,"&gt;="&amp;$C$7,BD!$A$3:$A$5001,"&lt;="&amp;$B212,BD!$S$3:$S$5001,"&lt;&gt;"))))</f>
        <v/>
      </c>
      <c r="K212" s="54" t="str">
        <f>IF(OR($B212="",$A212&gt;$B$9,K$198=""),"",IF(COUNTIFS(BD!$B$3:$B$5001,K$198,BD!$A$3:$A$5001,"&gt;="&amp;$C$7,BD!$A$3:$A$5001,"&lt;="&amp;$B212,BD!$S$3:$S$5001,"&lt;&gt;")=0,"",SUMIFS(BD!$S$3:$S$5001,BD!$B$3:$B$5001,K$198,BD!$A$3:$A$5001,_xlfn.MAXIFS(BD!$A$3:$A$5001,BD!$B$3:$B$5001,K$198,BD!$A$3:$A$5001,"&gt;="&amp;$C$7,BD!$A$3:$A$5001,"&lt;="&amp;$B212,BD!$S$3:$S$5001,"&lt;&gt;"))))</f>
        <v/>
      </c>
      <c r="L212" s="54" t="str">
        <f>IF(OR($B212="",$A212&gt;$B$9,L$198=""),"",IF(COUNTIFS(BD!$B$3:$B$5001,L$198,BD!$A$3:$A$5001,"&gt;="&amp;$C$7,BD!$A$3:$A$5001,"&lt;="&amp;$B212,BD!$S$3:$S$5001,"&lt;&gt;")=0,"",SUMIFS(BD!$S$3:$S$5001,BD!$B$3:$B$5001,L$198,BD!$A$3:$A$5001,_xlfn.MAXIFS(BD!$A$3:$A$5001,BD!$B$3:$B$5001,L$198,BD!$A$3:$A$5001,"&gt;="&amp;$C$7,BD!$A$3:$A$5001,"&lt;="&amp;$B212,BD!$S$3:$S$5001,"&lt;&gt;"))))</f>
        <v/>
      </c>
      <c r="M212" s="54" t="str">
        <f>IF(OR($B212="",$A212&gt;$B$9,M$198=""),"",IF(COUNTIFS(BD!$B$3:$B$5001,M$198,BD!$A$3:$A$5001,"&gt;="&amp;$C$7,BD!$A$3:$A$5001,"&lt;="&amp;$B212,BD!$S$3:$S$5001,"&lt;&gt;")=0,"",SUMIFS(BD!$S$3:$S$5001,BD!$B$3:$B$5001,M$198,BD!$A$3:$A$5001,_xlfn.MAXIFS(BD!$A$3:$A$5001,BD!$B$3:$B$5001,M$198,BD!$A$3:$A$5001,"&gt;="&amp;$C$7,BD!$A$3:$A$5001,"&lt;="&amp;$B212,BD!$S$3:$S$5001,"&lt;&gt;"))))</f>
        <v/>
      </c>
      <c r="N212" s="54" t="str">
        <f>IF(OR($B212="",$A212&gt;$B$9,N$198=""),"",IF(COUNTIFS(BD!$B$3:$B$5001,N$198,BD!$A$3:$A$5001,"&gt;="&amp;$C$7,BD!$A$3:$A$5001,"&lt;="&amp;$B212,BD!$S$3:$S$5001,"&lt;&gt;")=0,"",SUMIFS(BD!$S$3:$S$5001,BD!$B$3:$B$5001,N$198,BD!$A$3:$A$5001,_xlfn.MAXIFS(BD!$A$3:$A$5001,BD!$B$3:$B$5001,N$198,BD!$A$3:$A$5001,"&gt;="&amp;$C$7,BD!$A$3:$A$5001,"&lt;="&amp;$B212,BD!$S$3:$S$5001,"&lt;&gt;"))))</f>
        <v/>
      </c>
      <c r="O212" s="54" t="str">
        <f>IF(OR($B212="",$A212&gt;$B$9,O$198=""),"",IF(COUNTIFS(BD!$B$3:$B$5001,O$198,BD!$A$3:$A$5001,"&gt;="&amp;$C$7,BD!$A$3:$A$5001,"&lt;="&amp;$B212,BD!$S$3:$S$5001,"&lt;&gt;")=0,"",SUMIFS(BD!$S$3:$S$5001,BD!$B$3:$B$5001,O$198,BD!$A$3:$A$5001,_xlfn.MAXIFS(BD!$A$3:$A$5001,BD!$B$3:$B$5001,O$198,BD!$A$3:$A$5001,"&gt;="&amp;$C$7,BD!$A$3:$A$5001,"&lt;="&amp;$B212,BD!$S$3:$S$5001,"&lt;&gt;"))))</f>
        <v/>
      </c>
      <c r="P212" s="54" t="str">
        <f>IF(OR($B212="",$A212&gt;$B$9,P$198=""),"",IF(COUNTIFS(BD!$B$3:$B$5001,P$198,BD!$A$3:$A$5001,"&gt;="&amp;$C$7,BD!$A$3:$A$5001,"&lt;="&amp;$B212,BD!$S$3:$S$5001,"&lt;&gt;")=0,"",SUMIFS(BD!$S$3:$S$5001,BD!$B$3:$B$5001,P$198,BD!$A$3:$A$5001,_xlfn.MAXIFS(BD!$A$3:$A$5001,BD!$B$3:$B$5001,P$198,BD!$A$3:$A$5001,"&gt;="&amp;$C$7,BD!$A$3:$A$5001,"&lt;="&amp;$B212,BD!$S$3:$S$5001,"&lt;&gt;"))))</f>
        <v/>
      </c>
      <c r="Q212" s="54" t="str">
        <f>IF(OR($B212="",$A212&gt;$B$9,Q$198=""),"",IF(COUNTIFS(BD!$B$3:$B$5001,Q$198,BD!$A$3:$A$5001,"&gt;="&amp;$C$7,BD!$A$3:$A$5001,"&lt;="&amp;$B212,BD!$S$3:$S$5001,"&lt;&gt;")=0,"",SUMIFS(BD!$S$3:$S$5001,BD!$B$3:$B$5001,Q$198,BD!$A$3:$A$5001,_xlfn.MAXIFS(BD!$A$3:$A$5001,BD!$B$3:$B$5001,Q$198,BD!$A$3:$A$5001,"&gt;="&amp;$C$7,BD!$A$3:$A$5001,"&lt;="&amp;$B212,BD!$S$3:$S$5001,"&lt;&gt;"))))</f>
        <v/>
      </c>
      <c r="R212" s="54" t="str">
        <f>IF(OR($B212="",$A212&gt;$B$9,R$198=""),"",IF(COUNTIFS(BD!$B$3:$B$5001,R$198,BD!$A$3:$A$5001,"&gt;="&amp;$C$7,BD!$A$3:$A$5001,"&lt;="&amp;$B212,BD!$S$3:$S$5001,"&lt;&gt;")=0,"",SUMIFS(BD!$S$3:$S$5001,BD!$B$3:$B$5001,R$198,BD!$A$3:$A$5001,_xlfn.MAXIFS(BD!$A$3:$A$5001,BD!$B$3:$B$5001,R$198,BD!$A$3:$A$5001,"&gt;="&amp;$C$7,BD!$A$3:$A$5001,"&lt;="&amp;$B212,BD!$S$3:$S$5001,"&lt;&gt;"))))</f>
        <v/>
      </c>
      <c r="S212" s="54" t="str">
        <f>IF(OR($B212="",$A212&gt;$B$9,S$198=""),"",IF(COUNTIFS(BD!$B$3:$B$5001,S$198,BD!$A$3:$A$5001,"&gt;="&amp;$C$7,BD!$A$3:$A$5001,"&lt;="&amp;$B212,BD!$S$3:$S$5001,"&lt;&gt;")=0,"",SUMIFS(BD!$S$3:$S$5001,BD!$B$3:$B$5001,S$198,BD!$A$3:$A$5001,_xlfn.MAXIFS(BD!$A$3:$A$5001,BD!$B$3:$B$5001,S$198,BD!$A$3:$A$5001,"&gt;="&amp;$C$7,BD!$A$3:$A$5001,"&lt;="&amp;$B212,BD!$S$3:$S$5001,"&lt;&gt;"))))</f>
        <v/>
      </c>
      <c r="T212" s="54" t="str">
        <f>IF(OR($B212="",$A212&gt;$B$9,T$198=""),"",IF(COUNTIFS(BD!$B$3:$B$5001,T$198,BD!$A$3:$A$5001,"&gt;="&amp;$C$7,BD!$A$3:$A$5001,"&lt;="&amp;$B212,BD!$S$3:$S$5001,"&lt;&gt;")=0,"",SUMIFS(BD!$S$3:$S$5001,BD!$B$3:$B$5001,T$198,BD!$A$3:$A$5001,_xlfn.MAXIFS(BD!$A$3:$A$5001,BD!$B$3:$B$5001,T$198,BD!$A$3:$A$5001,"&gt;="&amp;$C$7,BD!$A$3:$A$5001,"&lt;="&amp;$B212,BD!$S$3:$S$5001,"&lt;&gt;"))))</f>
        <v/>
      </c>
      <c r="U212" s="54" t="str">
        <f>IF(OR($B212="",$A212&gt;$B$9,U$198=""),"",IF(COUNTIFS(BD!$B$3:$B$5001,U$198,BD!$A$3:$A$5001,"&gt;="&amp;$C$7,BD!$A$3:$A$5001,"&lt;="&amp;$B212,BD!$S$3:$S$5001,"&lt;&gt;")=0,"",SUMIFS(BD!$S$3:$S$5001,BD!$B$3:$B$5001,U$198,BD!$A$3:$A$5001,_xlfn.MAXIFS(BD!$A$3:$A$5001,BD!$B$3:$B$5001,U$198,BD!$A$3:$A$5001,"&gt;="&amp;$C$7,BD!$A$3:$A$5001,"&lt;="&amp;$B212,BD!$S$3:$S$5001,"&lt;&gt;"))))</f>
        <v/>
      </c>
      <c r="V212" s="54" t="str">
        <f>IF(OR($B212="",$A212&gt;$B$9,V$198=""),"",IF(COUNTIFS(BD!$B$3:$B$5001,V$198,BD!$A$3:$A$5001,"&gt;="&amp;$C$7,BD!$A$3:$A$5001,"&lt;="&amp;$B212,BD!$S$3:$S$5001,"&lt;&gt;")=0,"",SUMIFS(BD!$S$3:$S$5001,BD!$B$3:$B$5001,V$198,BD!$A$3:$A$5001,_xlfn.MAXIFS(BD!$A$3:$A$5001,BD!$B$3:$B$5001,V$198,BD!$A$3:$A$5001,"&gt;="&amp;$C$7,BD!$A$3:$A$5001,"&lt;="&amp;$B212,BD!$S$3:$S$5001,"&lt;&gt;"))))</f>
        <v/>
      </c>
    </row>
    <row r="213">
      <c r="A213" s="48">
        <v>15</v>
      </c>
      <c r="B213" s="53">
        <f>$B$26</f>
        <v>46310</v>
      </c>
      <c r="C213" s="54" t="str">
        <f>IF(OR($B213="",$A213&gt;$B$9,C$198=""),"",IF(COUNTIFS(BD!$B$3:$B$5001,C$198,BD!$A$3:$A$5001,"&gt;="&amp;$C$7,BD!$A$3:$A$5001,"&lt;="&amp;$B213,BD!$S$3:$S$5001,"&lt;&gt;")=0,"",SUMIFS(BD!$S$3:$S$5001,BD!$B$3:$B$5001,C$198,BD!$A$3:$A$5001,_xlfn.MAXIFS(BD!$A$3:$A$5001,BD!$B$3:$B$5001,C$198,BD!$A$3:$A$5001,"&gt;="&amp;$C$7,BD!$A$3:$A$5001,"&lt;="&amp;$B213,BD!$S$3:$S$5001,"&lt;&gt;"))))</f>
        <v/>
      </c>
      <c r="D213" s="54" t="str">
        <f>IF(OR($B213="",$A213&gt;$B$9,D$198=""),"",IF(COUNTIFS(BD!$B$3:$B$5001,D$198,BD!$A$3:$A$5001,"&gt;="&amp;$C$7,BD!$A$3:$A$5001,"&lt;="&amp;$B213,BD!$S$3:$S$5001,"&lt;&gt;")=0,"",SUMIFS(BD!$S$3:$S$5001,BD!$B$3:$B$5001,D$198,BD!$A$3:$A$5001,_xlfn.MAXIFS(BD!$A$3:$A$5001,BD!$B$3:$B$5001,D$198,BD!$A$3:$A$5001,"&gt;="&amp;$C$7,BD!$A$3:$A$5001,"&lt;="&amp;$B213,BD!$S$3:$S$5001,"&lt;&gt;"))))</f>
        <v/>
      </c>
      <c r="E213" s="54" t="str">
        <f>IF(OR($B213="",$A213&gt;$B$9,E$198=""),"",IF(COUNTIFS(BD!$B$3:$B$5001,E$198,BD!$A$3:$A$5001,"&gt;="&amp;$C$7,BD!$A$3:$A$5001,"&lt;="&amp;$B213,BD!$S$3:$S$5001,"&lt;&gt;")=0,"",SUMIFS(BD!$S$3:$S$5001,BD!$B$3:$B$5001,E$198,BD!$A$3:$A$5001,_xlfn.MAXIFS(BD!$A$3:$A$5001,BD!$B$3:$B$5001,E$198,BD!$A$3:$A$5001,"&gt;="&amp;$C$7,BD!$A$3:$A$5001,"&lt;="&amp;$B213,BD!$S$3:$S$5001,"&lt;&gt;"))))</f>
        <v/>
      </c>
      <c r="F213" s="54" t="str">
        <f>IF(OR($B213="",$A213&gt;$B$9,F$198=""),"",IF(COUNTIFS(BD!$B$3:$B$5001,F$198,BD!$A$3:$A$5001,"&gt;="&amp;$C$7,BD!$A$3:$A$5001,"&lt;="&amp;$B213,BD!$S$3:$S$5001,"&lt;&gt;")=0,"",SUMIFS(BD!$S$3:$S$5001,BD!$B$3:$B$5001,F$198,BD!$A$3:$A$5001,_xlfn.MAXIFS(BD!$A$3:$A$5001,BD!$B$3:$B$5001,F$198,BD!$A$3:$A$5001,"&gt;="&amp;$C$7,BD!$A$3:$A$5001,"&lt;="&amp;$B213,BD!$S$3:$S$5001,"&lt;&gt;"))))</f>
        <v/>
      </c>
      <c r="G213" s="54" t="str">
        <f>IF(OR($B213="",$A213&gt;$B$9,G$198=""),"",IF(COUNTIFS(BD!$B$3:$B$5001,G$198,BD!$A$3:$A$5001,"&gt;="&amp;$C$7,BD!$A$3:$A$5001,"&lt;="&amp;$B213,BD!$S$3:$S$5001,"&lt;&gt;")=0,"",SUMIFS(BD!$S$3:$S$5001,BD!$B$3:$B$5001,G$198,BD!$A$3:$A$5001,_xlfn.MAXIFS(BD!$A$3:$A$5001,BD!$B$3:$B$5001,G$198,BD!$A$3:$A$5001,"&gt;="&amp;$C$7,BD!$A$3:$A$5001,"&lt;="&amp;$B213,BD!$S$3:$S$5001,"&lt;&gt;"))))</f>
        <v/>
      </c>
      <c r="H213" s="54" t="str">
        <f>IF(OR($B213="",$A213&gt;$B$9,H$198=""),"",IF(COUNTIFS(BD!$B$3:$B$5001,H$198,BD!$A$3:$A$5001,"&gt;="&amp;$C$7,BD!$A$3:$A$5001,"&lt;="&amp;$B213,BD!$S$3:$S$5001,"&lt;&gt;")=0,"",SUMIFS(BD!$S$3:$S$5001,BD!$B$3:$B$5001,H$198,BD!$A$3:$A$5001,_xlfn.MAXIFS(BD!$A$3:$A$5001,BD!$B$3:$B$5001,H$198,BD!$A$3:$A$5001,"&gt;="&amp;$C$7,BD!$A$3:$A$5001,"&lt;="&amp;$B213,BD!$S$3:$S$5001,"&lt;&gt;"))))</f>
        <v/>
      </c>
      <c r="I213" s="54" t="str">
        <f>IF(OR($B213="",$A213&gt;$B$9,I$198=""),"",IF(COUNTIFS(BD!$B$3:$B$5001,I$198,BD!$A$3:$A$5001,"&gt;="&amp;$C$7,BD!$A$3:$A$5001,"&lt;="&amp;$B213,BD!$S$3:$S$5001,"&lt;&gt;")=0,"",SUMIFS(BD!$S$3:$S$5001,BD!$B$3:$B$5001,I$198,BD!$A$3:$A$5001,_xlfn.MAXIFS(BD!$A$3:$A$5001,BD!$B$3:$B$5001,I$198,BD!$A$3:$A$5001,"&gt;="&amp;$C$7,BD!$A$3:$A$5001,"&lt;="&amp;$B213,BD!$S$3:$S$5001,"&lt;&gt;"))))</f>
        <v/>
      </c>
      <c r="J213" s="54" t="str">
        <f>IF(OR($B213="",$A213&gt;$B$9,J$198=""),"",IF(COUNTIFS(BD!$B$3:$B$5001,J$198,BD!$A$3:$A$5001,"&gt;="&amp;$C$7,BD!$A$3:$A$5001,"&lt;="&amp;$B213,BD!$S$3:$S$5001,"&lt;&gt;")=0,"",SUMIFS(BD!$S$3:$S$5001,BD!$B$3:$B$5001,J$198,BD!$A$3:$A$5001,_xlfn.MAXIFS(BD!$A$3:$A$5001,BD!$B$3:$B$5001,J$198,BD!$A$3:$A$5001,"&gt;="&amp;$C$7,BD!$A$3:$A$5001,"&lt;="&amp;$B213,BD!$S$3:$S$5001,"&lt;&gt;"))))</f>
        <v/>
      </c>
      <c r="K213" s="54" t="str">
        <f>IF(OR($B213="",$A213&gt;$B$9,K$198=""),"",IF(COUNTIFS(BD!$B$3:$B$5001,K$198,BD!$A$3:$A$5001,"&gt;="&amp;$C$7,BD!$A$3:$A$5001,"&lt;="&amp;$B213,BD!$S$3:$S$5001,"&lt;&gt;")=0,"",SUMIFS(BD!$S$3:$S$5001,BD!$B$3:$B$5001,K$198,BD!$A$3:$A$5001,_xlfn.MAXIFS(BD!$A$3:$A$5001,BD!$B$3:$B$5001,K$198,BD!$A$3:$A$5001,"&gt;="&amp;$C$7,BD!$A$3:$A$5001,"&lt;="&amp;$B213,BD!$S$3:$S$5001,"&lt;&gt;"))))</f>
        <v/>
      </c>
      <c r="L213" s="54" t="str">
        <f>IF(OR($B213="",$A213&gt;$B$9,L$198=""),"",IF(COUNTIFS(BD!$B$3:$B$5001,L$198,BD!$A$3:$A$5001,"&gt;="&amp;$C$7,BD!$A$3:$A$5001,"&lt;="&amp;$B213,BD!$S$3:$S$5001,"&lt;&gt;")=0,"",SUMIFS(BD!$S$3:$S$5001,BD!$B$3:$B$5001,L$198,BD!$A$3:$A$5001,_xlfn.MAXIFS(BD!$A$3:$A$5001,BD!$B$3:$B$5001,L$198,BD!$A$3:$A$5001,"&gt;="&amp;$C$7,BD!$A$3:$A$5001,"&lt;="&amp;$B213,BD!$S$3:$S$5001,"&lt;&gt;"))))</f>
        <v/>
      </c>
      <c r="M213" s="54" t="str">
        <f>IF(OR($B213="",$A213&gt;$B$9,M$198=""),"",IF(COUNTIFS(BD!$B$3:$B$5001,M$198,BD!$A$3:$A$5001,"&gt;="&amp;$C$7,BD!$A$3:$A$5001,"&lt;="&amp;$B213,BD!$S$3:$S$5001,"&lt;&gt;")=0,"",SUMIFS(BD!$S$3:$S$5001,BD!$B$3:$B$5001,M$198,BD!$A$3:$A$5001,_xlfn.MAXIFS(BD!$A$3:$A$5001,BD!$B$3:$B$5001,M$198,BD!$A$3:$A$5001,"&gt;="&amp;$C$7,BD!$A$3:$A$5001,"&lt;="&amp;$B213,BD!$S$3:$S$5001,"&lt;&gt;"))))</f>
        <v/>
      </c>
      <c r="N213" s="54" t="str">
        <f>IF(OR($B213="",$A213&gt;$B$9,N$198=""),"",IF(COUNTIFS(BD!$B$3:$B$5001,N$198,BD!$A$3:$A$5001,"&gt;="&amp;$C$7,BD!$A$3:$A$5001,"&lt;="&amp;$B213,BD!$S$3:$S$5001,"&lt;&gt;")=0,"",SUMIFS(BD!$S$3:$S$5001,BD!$B$3:$B$5001,N$198,BD!$A$3:$A$5001,_xlfn.MAXIFS(BD!$A$3:$A$5001,BD!$B$3:$B$5001,N$198,BD!$A$3:$A$5001,"&gt;="&amp;$C$7,BD!$A$3:$A$5001,"&lt;="&amp;$B213,BD!$S$3:$S$5001,"&lt;&gt;"))))</f>
        <v/>
      </c>
      <c r="O213" s="54" t="str">
        <f>IF(OR($B213="",$A213&gt;$B$9,O$198=""),"",IF(COUNTIFS(BD!$B$3:$B$5001,O$198,BD!$A$3:$A$5001,"&gt;="&amp;$C$7,BD!$A$3:$A$5001,"&lt;="&amp;$B213,BD!$S$3:$S$5001,"&lt;&gt;")=0,"",SUMIFS(BD!$S$3:$S$5001,BD!$B$3:$B$5001,O$198,BD!$A$3:$A$5001,_xlfn.MAXIFS(BD!$A$3:$A$5001,BD!$B$3:$B$5001,O$198,BD!$A$3:$A$5001,"&gt;="&amp;$C$7,BD!$A$3:$A$5001,"&lt;="&amp;$B213,BD!$S$3:$S$5001,"&lt;&gt;"))))</f>
        <v/>
      </c>
      <c r="P213" s="54" t="str">
        <f>IF(OR($B213="",$A213&gt;$B$9,P$198=""),"",IF(COUNTIFS(BD!$B$3:$B$5001,P$198,BD!$A$3:$A$5001,"&gt;="&amp;$C$7,BD!$A$3:$A$5001,"&lt;="&amp;$B213,BD!$S$3:$S$5001,"&lt;&gt;")=0,"",SUMIFS(BD!$S$3:$S$5001,BD!$B$3:$B$5001,P$198,BD!$A$3:$A$5001,_xlfn.MAXIFS(BD!$A$3:$A$5001,BD!$B$3:$B$5001,P$198,BD!$A$3:$A$5001,"&gt;="&amp;$C$7,BD!$A$3:$A$5001,"&lt;="&amp;$B213,BD!$S$3:$S$5001,"&lt;&gt;"))))</f>
        <v/>
      </c>
      <c r="Q213" s="54" t="str">
        <f>IF(OR($B213="",$A213&gt;$B$9,Q$198=""),"",IF(COUNTIFS(BD!$B$3:$B$5001,Q$198,BD!$A$3:$A$5001,"&gt;="&amp;$C$7,BD!$A$3:$A$5001,"&lt;="&amp;$B213,BD!$S$3:$S$5001,"&lt;&gt;")=0,"",SUMIFS(BD!$S$3:$S$5001,BD!$B$3:$B$5001,Q$198,BD!$A$3:$A$5001,_xlfn.MAXIFS(BD!$A$3:$A$5001,BD!$B$3:$B$5001,Q$198,BD!$A$3:$A$5001,"&gt;="&amp;$C$7,BD!$A$3:$A$5001,"&lt;="&amp;$B213,BD!$S$3:$S$5001,"&lt;&gt;"))))</f>
        <v/>
      </c>
      <c r="R213" s="54" t="str">
        <f>IF(OR($B213="",$A213&gt;$B$9,R$198=""),"",IF(COUNTIFS(BD!$B$3:$B$5001,R$198,BD!$A$3:$A$5001,"&gt;="&amp;$C$7,BD!$A$3:$A$5001,"&lt;="&amp;$B213,BD!$S$3:$S$5001,"&lt;&gt;")=0,"",SUMIFS(BD!$S$3:$S$5001,BD!$B$3:$B$5001,R$198,BD!$A$3:$A$5001,_xlfn.MAXIFS(BD!$A$3:$A$5001,BD!$B$3:$B$5001,R$198,BD!$A$3:$A$5001,"&gt;="&amp;$C$7,BD!$A$3:$A$5001,"&lt;="&amp;$B213,BD!$S$3:$S$5001,"&lt;&gt;"))))</f>
        <v/>
      </c>
      <c r="S213" s="54" t="str">
        <f>IF(OR($B213="",$A213&gt;$B$9,S$198=""),"",IF(COUNTIFS(BD!$B$3:$B$5001,S$198,BD!$A$3:$A$5001,"&gt;="&amp;$C$7,BD!$A$3:$A$5001,"&lt;="&amp;$B213,BD!$S$3:$S$5001,"&lt;&gt;")=0,"",SUMIFS(BD!$S$3:$S$5001,BD!$B$3:$B$5001,S$198,BD!$A$3:$A$5001,_xlfn.MAXIFS(BD!$A$3:$A$5001,BD!$B$3:$B$5001,S$198,BD!$A$3:$A$5001,"&gt;="&amp;$C$7,BD!$A$3:$A$5001,"&lt;="&amp;$B213,BD!$S$3:$S$5001,"&lt;&gt;"))))</f>
        <v/>
      </c>
      <c r="T213" s="54" t="str">
        <f>IF(OR($B213="",$A213&gt;$B$9,T$198=""),"",IF(COUNTIFS(BD!$B$3:$B$5001,T$198,BD!$A$3:$A$5001,"&gt;="&amp;$C$7,BD!$A$3:$A$5001,"&lt;="&amp;$B213,BD!$S$3:$S$5001,"&lt;&gt;")=0,"",SUMIFS(BD!$S$3:$S$5001,BD!$B$3:$B$5001,T$198,BD!$A$3:$A$5001,_xlfn.MAXIFS(BD!$A$3:$A$5001,BD!$B$3:$B$5001,T$198,BD!$A$3:$A$5001,"&gt;="&amp;$C$7,BD!$A$3:$A$5001,"&lt;="&amp;$B213,BD!$S$3:$S$5001,"&lt;&gt;"))))</f>
        <v/>
      </c>
      <c r="U213" s="54" t="str">
        <f>IF(OR($B213="",$A213&gt;$B$9,U$198=""),"",IF(COUNTIFS(BD!$B$3:$B$5001,U$198,BD!$A$3:$A$5001,"&gt;="&amp;$C$7,BD!$A$3:$A$5001,"&lt;="&amp;$B213,BD!$S$3:$S$5001,"&lt;&gt;")=0,"",SUMIFS(BD!$S$3:$S$5001,BD!$B$3:$B$5001,U$198,BD!$A$3:$A$5001,_xlfn.MAXIFS(BD!$A$3:$A$5001,BD!$B$3:$B$5001,U$198,BD!$A$3:$A$5001,"&gt;="&amp;$C$7,BD!$A$3:$A$5001,"&lt;="&amp;$B213,BD!$S$3:$S$5001,"&lt;&gt;"))))</f>
        <v/>
      </c>
      <c r="V213" s="54" t="str">
        <f>IF(OR($B213="",$A213&gt;$B$9,V$198=""),"",IF(COUNTIFS(BD!$B$3:$B$5001,V$198,BD!$A$3:$A$5001,"&gt;="&amp;$C$7,BD!$A$3:$A$5001,"&lt;="&amp;$B213,BD!$S$3:$S$5001,"&lt;&gt;")=0,"",SUMIFS(BD!$S$3:$S$5001,BD!$B$3:$B$5001,V$198,BD!$A$3:$A$5001,_xlfn.MAXIFS(BD!$A$3:$A$5001,BD!$B$3:$B$5001,V$198,BD!$A$3:$A$5001,"&gt;="&amp;$C$7,BD!$A$3:$A$5001,"&lt;="&amp;$B213,BD!$S$3:$S$5001,"&lt;&gt;"))))</f>
        <v/>
      </c>
    </row>
    <row r="214">
      <c r="A214" s="48">
        <v>16</v>
      </c>
      <c r="B214" s="53">
        <f>$B$27</f>
        <v>46311</v>
      </c>
      <c r="C214" s="54" t="str">
        <f>IF(OR($B214="",$A214&gt;$B$9,C$198=""),"",IF(COUNTIFS(BD!$B$3:$B$5001,C$198,BD!$A$3:$A$5001,"&gt;="&amp;$C$7,BD!$A$3:$A$5001,"&lt;="&amp;$B214,BD!$S$3:$S$5001,"&lt;&gt;")=0,"",SUMIFS(BD!$S$3:$S$5001,BD!$B$3:$B$5001,C$198,BD!$A$3:$A$5001,_xlfn.MAXIFS(BD!$A$3:$A$5001,BD!$B$3:$B$5001,C$198,BD!$A$3:$A$5001,"&gt;="&amp;$C$7,BD!$A$3:$A$5001,"&lt;="&amp;$B214,BD!$S$3:$S$5001,"&lt;&gt;"))))</f>
        <v/>
      </c>
      <c r="D214" s="54" t="str">
        <f>IF(OR($B214="",$A214&gt;$B$9,D$198=""),"",IF(COUNTIFS(BD!$B$3:$B$5001,D$198,BD!$A$3:$A$5001,"&gt;="&amp;$C$7,BD!$A$3:$A$5001,"&lt;="&amp;$B214,BD!$S$3:$S$5001,"&lt;&gt;")=0,"",SUMIFS(BD!$S$3:$S$5001,BD!$B$3:$B$5001,D$198,BD!$A$3:$A$5001,_xlfn.MAXIFS(BD!$A$3:$A$5001,BD!$B$3:$B$5001,D$198,BD!$A$3:$A$5001,"&gt;="&amp;$C$7,BD!$A$3:$A$5001,"&lt;="&amp;$B214,BD!$S$3:$S$5001,"&lt;&gt;"))))</f>
        <v/>
      </c>
      <c r="E214" s="54" t="str">
        <f>IF(OR($B214="",$A214&gt;$B$9,E$198=""),"",IF(COUNTIFS(BD!$B$3:$B$5001,E$198,BD!$A$3:$A$5001,"&gt;="&amp;$C$7,BD!$A$3:$A$5001,"&lt;="&amp;$B214,BD!$S$3:$S$5001,"&lt;&gt;")=0,"",SUMIFS(BD!$S$3:$S$5001,BD!$B$3:$B$5001,E$198,BD!$A$3:$A$5001,_xlfn.MAXIFS(BD!$A$3:$A$5001,BD!$B$3:$B$5001,E$198,BD!$A$3:$A$5001,"&gt;="&amp;$C$7,BD!$A$3:$A$5001,"&lt;="&amp;$B214,BD!$S$3:$S$5001,"&lt;&gt;"))))</f>
        <v/>
      </c>
      <c r="F214" s="54" t="str">
        <f>IF(OR($B214="",$A214&gt;$B$9,F$198=""),"",IF(COUNTIFS(BD!$B$3:$B$5001,F$198,BD!$A$3:$A$5001,"&gt;="&amp;$C$7,BD!$A$3:$A$5001,"&lt;="&amp;$B214,BD!$S$3:$S$5001,"&lt;&gt;")=0,"",SUMIFS(BD!$S$3:$S$5001,BD!$B$3:$B$5001,F$198,BD!$A$3:$A$5001,_xlfn.MAXIFS(BD!$A$3:$A$5001,BD!$B$3:$B$5001,F$198,BD!$A$3:$A$5001,"&gt;="&amp;$C$7,BD!$A$3:$A$5001,"&lt;="&amp;$B214,BD!$S$3:$S$5001,"&lt;&gt;"))))</f>
        <v/>
      </c>
      <c r="G214" s="54" t="str">
        <f>IF(OR($B214="",$A214&gt;$B$9,G$198=""),"",IF(COUNTIFS(BD!$B$3:$B$5001,G$198,BD!$A$3:$A$5001,"&gt;="&amp;$C$7,BD!$A$3:$A$5001,"&lt;="&amp;$B214,BD!$S$3:$S$5001,"&lt;&gt;")=0,"",SUMIFS(BD!$S$3:$S$5001,BD!$B$3:$B$5001,G$198,BD!$A$3:$A$5001,_xlfn.MAXIFS(BD!$A$3:$A$5001,BD!$B$3:$B$5001,G$198,BD!$A$3:$A$5001,"&gt;="&amp;$C$7,BD!$A$3:$A$5001,"&lt;="&amp;$B214,BD!$S$3:$S$5001,"&lt;&gt;"))))</f>
        <v/>
      </c>
      <c r="H214" s="54" t="str">
        <f>IF(OR($B214="",$A214&gt;$B$9,H$198=""),"",IF(COUNTIFS(BD!$B$3:$B$5001,H$198,BD!$A$3:$A$5001,"&gt;="&amp;$C$7,BD!$A$3:$A$5001,"&lt;="&amp;$B214,BD!$S$3:$S$5001,"&lt;&gt;")=0,"",SUMIFS(BD!$S$3:$S$5001,BD!$B$3:$B$5001,H$198,BD!$A$3:$A$5001,_xlfn.MAXIFS(BD!$A$3:$A$5001,BD!$B$3:$B$5001,H$198,BD!$A$3:$A$5001,"&gt;="&amp;$C$7,BD!$A$3:$A$5001,"&lt;="&amp;$B214,BD!$S$3:$S$5001,"&lt;&gt;"))))</f>
        <v/>
      </c>
      <c r="I214" s="54" t="str">
        <f>IF(OR($B214="",$A214&gt;$B$9,I$198=""),"",IF(COUNTIFS(BD!$B$3:$B$5001,I$198,BD!$A$3:$A$5001,"&gt;="&amp;$C$7,BD!$A$3:$A$5001,"&lt;="&amp;$B214,BD!$S$3:$S$5001,"&lt;&gt;")=0,"",SUMIFS(BD!$S$3:$S$5001,BD!$B$3:$B$5001,I$198,BD!$A$3:$A$5001,_xlfn.MAXIFS(BD!$A$3:$A$5001,BD!$B$3:$B$5001,I$198,BD!$A$3:$A$5001,"&gt;="&amp;$C$7,BD!$A$3:$A$5001,"&lt;="&amp;$B214,BD!$S$3:$S$5001,"&lt;&gt;"))))</f>
        <v/>
      </c>
      <c r="J214" s="54" t="str">
        <f>IF(OR($B214="",$A214&gt;$B$9,J$198=""),"",IF(COUNTIFS(BD!$B$3:$B$5001,J$198,BD!$A$3:$A$5001,"&gt;="&amp;$C$7,BD!$A$3:$A$5001,"&lt;="&amp;$B214,BD!$S$3:$S$5001,"&lt;&gt;")=0,"",SUMIFS(BD!$S$3:$S$5001,BD!$B$3:$B$5001,J$198,BD!$A$3:$A$5001,_xlfn.MAXIFS(BD!$A$3:$A$5001,BD!$B$3:$B$5001,J$198,BD!$A$3:$A$5001,"&gt;="&amp;$C$7,BD!$A$3:$A$5001,"&lt;="&amp;$B214,BD!$S$3:$S$5001,"&lt;&gt;"))))</f>
        <v/>
      </c>
      <c r="K214" s="54" t="str">
        <f>IF(OR($B214="",$A214&gt;$B$9,K$198=""),"",IF(COUNTIFS(BD!$B$3:$B$5001,K$198,BD!$A$3:$A$5001,"&gt;="&amp;$C$7,BD!$A$3:$A$5001,"&lt;="&amp;$B214,BD!$S$3:$S$5001,"&lt;&gt;")=0,"",SUMIFS(BD!$S$3:$S$5001,BD!$B$3:$B$5001,K$198,BD!$A$3:$A$5001,_xlfn.MAXIFS(BD!$A$3:$A$5001,BD!$B$3:$B$5001,K$198,BD!$A$3:$A$5001,"&gt;="&amp;$C$7,BD!$A$3:$A$5001,"&lt;="&amp;$B214,BD!$S$3:$S$5001,"&lt;&gt;"))))</f>
        <v/>
      </c>
      <c r="L214" s="54" t="str">
        <f>IF(OR($B214="",$A214&gt;$B$9,L$198=""),"",IF(COUNTIFS(BD!$B$3:$B$5001,L$198,BD!$A$3:$A$5001,"&gt;="&amp;$C$7,BD!$A$3:$A$5001,"&lt;="&amp;$B214,BD!$S$3:$S$5001,"&lt;&gt;")=0,"",SUMIFS(BD!$S$3:$S$5001,BD!$B$3:$B$5001,L$198,BD!$A$3:$A$5001,_xlfn.MAXIFS(BD!$A$3:$A$5001,BD!$B$3:$B$5001,L$198,BD!$A$3:$A$5001,"&gt;="&amp;$C$7,BD!$A$3:$A$5001,"&lt;="&amp;$B214,BD!$S$3:$S$5001,"&lt;&gt;"))))</f>
        <v/>
      </c>
      <c r="M214" s="54" t="str">
        <f>IF(OR($B214="",$A214&gt;$B$9,M$198=""),"",IF(COUNTIFS(BD!$B$3:$B$5001,M$198,BD!$A$3:$A$5001,"&gt;="&amp;$C$7,BD!$A$3:$A$5001,"&lt;="&amp;$B214,BD!$S$3:$S$5001,"&lt;&gt;")=0,"",SUMIFS(BD!$S$3:$S$5001,BD!$B$3:$B$5001,M$198,BD!$A$3:$A$5001,_xlfn.MAXIFS(BD!$A$3:$A$5001,BD!$B$3:$B$5001,M$198,BD!$A$3:$A$5001,"&gt;="&amp;$C$7,BD!$A$3:$A$5001,"&lt;="&amp;$B214,BD!$S$3:$S$5001,"&lt;&gt;"))))</f>
        <v/>
      </c>
      <c r="N214" s="54" t="str">
        <f>IF(OR($B214="",$A214&gt;$B$9,N$198=""),"",IF(COUNTIFS(BD!$B$3:$B$5001,N$198,BD!$A$3:$A$5001,"&gt;="&amp;$C$7,BD!$A$3:$A$5001,"&lt;="&amp;$B214,BD!$S$3:$S$5001,"&lt;&gt;")=0,"",SUMIFS(BD!$S$3:$S$5001,BD!$B$3:$B$5001,N$198,BD!$A$3:$A$5001,_xlfn.MAXIFS(BD!$A$3:$A$5001,BD!$B$3:$B$5001,N$198,BD!$A$3:$A$5001,"&gt;="&amp;$C$7,BD!$A$3:$A$5001,"&lt;="&amp;$B214,BD!$S$3:$S$5001,"&lt;&gt;"))))</f>
        <v/>
      </c>
      <c r="O214" s="54" t="str">
        <f>IF(OR($B214="",$A214&gt;$B$9,O$198=""),"",IF(COUNTIFS(BD!$B$3:$B$5001,O$198,BD!$A$3:$A$5001,"&gt;="&amp;$C$7,BD!$A$3:$A$5001,"&lt;="&amp;$B214,BD!$S$3:$S$5001,"&lt;&gt;")=0,"",SUMIFS(BD!$S$3:$S$5001,BD!$B$3:$B$5001,O$198,BD!$A$3:$A$5001,_xlfn.MAXIFS(BD!$A$3:$A$5001,BD!$B$3:$B$5001,O$198,BD!$A$3:$A$5001,"&gt;="&amp;$C$7,BD!$A$3:$A$5001,"&lt;="&amp;$B214,BD!$S$3:$S$5001,"&lt;&gt;"))))</f>
        <v/>
      </c>
      <c r="P214" s="54" t="str">
        <f>IF(OR($B214="",$A214&gt;$B$9,P$198=""),"",IF(COUNTIFS(BD!$B$3:$B$5001,P$198,BD!$A$3:$A$5001,"&gt;="&amp;$C$7,BD!$A$3:$A$5001,"&lt;="&amp;$B214,BD!$S$3:$S$5001,"&lt;&gt;")=0,"",SUMIFS(BD!$S$3:$S$5001,BD!$B$3:$B$5001,P$198,BD!$A$3:$A$5001,_xlfn.MAXIFS(BD!$A$3:$A$5001,BD!$B$3:$B$5001,P$198,BD!$A$3:$A$5001,"&gt;="&amp;$C$7,BD!$A$3:$A$5001,"&lt;="&amp;$B214,BD!$S$3:$S$5001,"&lt;&gt;"))))</f>
        <v/>
      </c>
      <c r="Q214" s="54" t="str">
        <f>IF(OR($B214="",$A214&gt;$B$9,Q$198=""),"",IF(COUNTIFS(BD!$B$3:$B$5001,Q$198,BD!$A$3:$A$5001,"&gt;="&amp;$C$7,BD!$A$3:$A$5001,"&lt;="&amp;$B214,BD!$S$3:$S$5001,"&lt;&gt;")=0,"",SUMIFS(BD!$S$3:$S$5001,BD!$B$3:$B$5001,Q$198,BD!$A$3:$A$5001,_xlfn.MAXIFS(BD!$A$3:$A$5001,BD!$B$3:$B$5001,Q$198,BD!$A$3:$A$5001,"&gt;="&amp;$C$7,BD!$A$3:$A$5001,"&lt;="&amp;$B214,BD!$S$3:$S$5001,"&lt;&gt;"))))</f>
        <v/>
      </c>
      <c r="R214" s="54" t="str">
        <f>IF(OR($B214="",$A214&gt;$B$9,R$198=""),"",IF(COUNTIFS(BD!$B$3:$B$5001,R$198,BD!$A$3:$A$5001,"&gt;="&amp;$C$7,BD!$A$3:$A$5001,"&lt;="&amp;$B214,BD!$S$3:$S$5001,"&lt;&gt;")=0,"",SUMIFS(BD!$S$3:$S$5001,BD!$B$3:$B$5001,R$198,BD!$A$3:$A$5001,_xlfn.MAXIFS(BD!$A$3:$A$5001,BD!$B$3:$B$5001,R$198,BD!$A$3:$A$5001,"&gt;="&amp;$C$7,BD!$A$3:$A$5001,"&lt;="&amp;$B214,BD!$S$3:$S$5001,"&lt;&gt;"))))</f>
        <v/>
      </c>
      <c r="S214" s="54" t="str">
        <f>IF(OR($B214="",$A214&gt;$B$9,S$198=""),"",IF(COUNTIFS(BD!$B$3:$B$5001,S$198,BD!$A$3:$A$5001,"&gt;="&amp;$C$7,BD!$A$3:$A$5001,"&lt;="&amp;$B214,BD!$S$3:$S$5001,"&lt;&gt;")=0,"",SUMIFS(BD!$S$3:$S$5001,BD!$B$3:$B$5001,S$198,BD!$A$3:$A$5001,_xlfn.MAXIFS(BD!$A$3:$A$5001,BD!$B$3:$B$5001,S$198,BD!$A$3:$A$5001,"&gt;="&amp;$C$7,BD!$A$3:$A$5001,"&lt;="&amp;$B214,BD!$S$3:$S$5001,"&lt;&gt;"))))</f>
        <v/>
      </c>
      <c r="T214" s="54" t="str">
        <f>IF(OR($B214="",$A214&gt;$B$9,T$198=""),"",IF(COUNTIFS(BD!$B$3:$B$5001,T$198,BD!$A$3:$A$5001,"&gt;="&amp;$C$7,BD!$A$3:$A$5001,"&lt;="&amp;$B214,BD!$S$3:$S$5001,"&lt;&gt;")=0,"",SUMIFS(BD!$S$3:$S$5001,BD!$B$3:$B$5001,T$198,BD!$A$3:$A$5001,_xlfn.MAXIFS(BD!$A$3:$A$5001,BD!$B$3:$B$5001,T$198,BD!$A$3:$A$5001,"&gt;="&amp;$C$7,BD!$A$3:$A$5001,"&lt;="&amp;$B214,BD!$S$3:$S$5001,"&lt;&gt;"))))</f>
        <v/>
      </c>
      <c r="U214" s="54" t="str">
        <f>IF(OR($B214="",$A214&gt;$B$9,U$198=""),"",IF(COUNTIFS(BD!$B$3:$B$5001,U$198,BD!$A$3:$A$5001,"&gt;="&amp;$C$7,BD!$A$3:$A$5001,"&lt;="&amp;$B214,BD!$S$3:$S$5001,"&lt;&gt;")=0,"",SUMIFS(BD!$S$3:$S$5001,BD!$B$3:$B$5001,U$198,BD!$A$3:$A$5001,_xlfn.MAXIFS(BD!$A$3:$A$5001,BD!$B$3:$B$5001,U$198,BD!$A$3:$A$5001,"&gt;="&amp;$C$7,BD!$A$3:$A$5001,"&lt;="&amp;$B214,BD!$S$3:$S$5001,"&lt;&gt;"))))</f>
        <v/>
      </c>
      <c r="V214" s="54" t="str">
        <f>IF(OR($B214="",$A214&gt;$B$9,V$198=""),"",IF(COUNTIFS(BD!$B$3:$B$5001,V$198,BD!$A$3:$A$5001,"&gt;="&amp;$C$7,BD!$A$3:$A$5001,"&lt;="&amp;$B214,BD!$S$3:$S$5001,"&lt;&gt;")=0,"",SUMIFS(BD!$S$3:$S$5001,BD!$B$3:$B$5001,V$198,BD!$A$3:$A$5001,_xlfn.MAXIFS(BD!$A$3:$A$5001,BD!$B$3:$B$5001,V$198,BD!$A$3:$A$5001,"&gt;="&amp;$C$7,BD!$A$3:$A$5001,"&lt;="&amp;$B214,BD!$S$3:$S$5001,"&lt;&gt;"))))</f>
        <v/>
      </c>
    </row>
    <row r="215">
      <c r="A215" s="48">
        <v>17</v>
      </c>
      <c r="B215" s="53">
        <f>$B$28</f>
        <v>46312</v>
      </c>
      <c r="C215" s="54" t="str">
        <f>IF(OR($B215="",$A215&gt;$B$9,C$198=""),"",IF(COUNTIFS(BD!$B$3:$B$5001,C$198,BD!$A$3:$A$5001,"&gt;="&amp;$C$7,BD!$A$3:$A$5001,"&lt;="&amp;$B215,BD!$S$3:$S$5001,"&lt;&gt;")=0,"",SUMIFS(BD!$S$3:$S$5001,BD!$B$3:$B$5001,C$198,BD!$A$3:$A$5001,_xlfn.MAXIFS(BD!$A$3:$A$5001,BD!$B$3:$B$5001,C$198,BD!$A$3:$A$5001,"&gt;="&amp;$C$7,BD!$A$3:$A$5001,"&lt;="&amp;$B215,BD!$S$3:$S$5001,"&lt;&gt;"))))</f>
        <v/>
      </c>
      <c r="D215" s="54" t="str">
        <f>IF(OR($B215="",$A215&gt;$B$9,D$198=""),"",IF(COUNTIFS(BD!$B$3:$B$5001,D$198,BD!$A$3:$A$5001,"&gt;="&amp;$C$7,BD!$A$3:$A$5001,"&lt;="&amp;$B215,BD!$S$3:$S$5001,"&lt;&gt;")=0,"",SUMIFS(BD!$S$3:$S$5001,BD!$B$3:$B$5001,D$198,BD!$A$3:$A$5001,_xlfn.MAXIFS(BD!$A$3:$A$5001,BD!$B$3:$B$5001,D$198,BD!$A$3:$A$5001,"&gt;="&amp;$C$7,BD!$A$3:$A$5001,"&lt;="&amp;$B215,BD!$S$3:$S$5001,"&lt;&gt;"))))</f>
        <v/>
      </c>
      <c r="E215" s="54" t="str">
        <f>IF(OR($B215="",$A215&gt;$B$9,E$198=""),"",IF(COUNTIFS(BD!$B$3:$B$5001,E$198,BD!$A$3:$A$5001,"&gt;="&amp;$C$7,BD!$A$3:$A$5001,"&lt;="&amp;$B215,BD!$S$3:$S$5001,"&lt;&gt;")=0,"",SUMIFS(BD!$S$3:$S$5001,BD!$B$3:$B$5001,E$198,BD!$A$3:$A$5001,_xlfn.MAXIFS(BD!$A$3:$A$5001,BD!$B$3:$B$5001,E$198,BD!$A$3:$A$5001,"&gt;="&amp;$C$7,BD!$A$3:$A$5001,"&lt;="&amp;$B215,BD!$S$3:$S$5001,"&lt;&gt;"))))</f>
        <v/>
      </c>
      <c r="F215" s="54" t="str">
        <f>IF(OR($B215="",$A215&gt;$B$9,F$198=""),"",IF(COUNTIFS(BD!$B$3:$B$5001,F$198,BD!$A$3:$A$5001,"&gt;="&amp;$C$7,BD!$A$3:$A$5001,"&lt;="&amp;$B215,BD!$S$3:$S$5001,"&lt;&gt;")=0,"",SUMIFS(BD!$S$3:$S$5001,BD!$B$3:$B$5001,F$198,BD!$A$3:$A$5001,_xlfn.MAXIFS(BD!$A$3:$A$5001,BD!$B$3:$B$5001,F$198,BD!$A$3:$A$5001,"&gt;="&amp;$C$7,BD!$A$3:$A$5001,"&lt;="&amp;$B215,BD!$S$3:$S$5001,"&lt;&gt;"))))</f>
        <v/>
      </c>
      <c r="G215" s="54" t="str">
        <f>IF(OR($B215="",$A215&gt;$B$9,G$198=""),"",IF(COUNTIFS(BD!$B$3:$B$5001,G$198,BD!$A$3:$A$5001,"&gt;="&amp;$C$7,BD!$A$3:$A$5001,"&lt;="&amp;$B215,BD!$S$3:$S$5001,"&lt;&gt;")=0,"",SUMIFS(BD!$S$3:$S$5001,BD!$B$3:$B$5001,G$198,BD!$A$3:$A$5001,_xlfn.MAXIFS(BD!$A$3:$A$5001,BD!$B$3:$B$5001,G$198,BD!$A$3:$A$5001,"&gt;="&amp;$C$7,BD!$A$3:$A$5001,"&lt;="&amp;$B215,BD!$S$3:$S$5001,"&lt;&gt;"))))</f>
        <v/>
      </c>
      <c r="H215" s="54" t="str">
        <f>IF(OR($B215="",$A215&gt;$B$9,H$198=""),"",IF(COUNTIFS(BD!$B$3:$B$5001,H$198,BD!$A$3:$A$5001,"&gt;="&amp;$C$7,BD!$A$3:$A$5001,"&lt;="&amp;$B215,BD!$S$3:$S$5001,"&lt;&gt;")=0,"",SUMIFS(BD!$S$3:$S$5001,BD!$B$3:$B$5001,H$198,BD!$A$3:$A$5001,_xlfn.MAXIFS(BD!$A$3:$A$5001,BD!$B$3:$B$5001,H$198,BD!$A$3:$A$5001,"&gt;="&amp;$C$7,BD!$A$3:$A$5001,"&lt;="&amp;$B215,BD!$S$3:$S$5001,"&lt;&gt;"))))</f>
        <v/>
      </c>
      <c r="I215" s="54" t="str">
        <f>IF(OR($B215="",$A215&gt;$B$9,I$198=""),"",IF(COUNTIFS(BD!$B$3:$B$5001,I$198,BD!$A$3:$A$5001,"&gt;="&amp;$C$7,BD!$A$3:$A$5001,"&lt;="&amp;$B215,BD!$S$3:$S$5001,"&lt;&gt;")=0,"",SUMIFS(BD!$S$3:$S$5001,BD!$B$3:$B$5001,I$198,BD!$A$3:$A$5001,_xlfn.MAXIFS(BD!$A$3:$A$5001,BD!$B$3:$B$5001,I$198,BD!$A$3:$A$5001,"&gt;="&amp;$C$7,BD!$A$3:$A$5001,"&lt;="&amp;$B215,BD!$S$3:$S$5001,"&lt;&gt;"))))</f>
        <v/>
      </c>
      <c r="J215" s="54" t="str">
        <f>IF(OR($B215="",$A215&gt;$B$9,J$198=""),"",IF(COUNTIFS(BD!$B$3:$B$5001,J$198,BD!$A$3:$A$5001,"&gt;="&amp;$C$7,BD!$A$3:$A$5001,"&lt;="&amp;$B215,BD!$S$3:$S$5001,"&lt;&gt;")=0,"",SUMIFS(BD!$S$3:$S$5001,BD!$B$3:$B$5001,J$198,BD!$A$3:$A$5001,_xlfn.MAXIFS(BD!$A$3:$A$5001,BD!$B$3:$B$5001,J$198,BD!$A$3:$A$5001,"&gt;="&amp;$C$7,BD!$A$3:$A$5001,"&lt;="&amp;$B215,BD!$S$3:$S$5001,"&lt;&gt;"))))</f>
        <v/>
      </c>
      <c r="K215" s="54" t="str">
        <f>IF(OR($B215="",$A215&gt;$B$9,K$198=""),"",IF(COUNTIFS(BD!$B$3:$B$5001,K$198,BD!$A$3:$A$5001,"&gt;="&amp;$C$7,BD!$A$3:$A$5001,"&lt;="&amp;$B215,BD!$S$3:$S$5001,"&lt;&gt;")=0,"",SUMIFS(BD!$S$3:$S$5001,BD!$B$3:$B$5001,K$198,BD!$A$3:$A$5001,_xlfn.MAXIFS(BD!$A$3:$A$5001,BD!$B$3:$B$5001,K$198,BD!$A$3:$A$5001,"&gt;="&amp;$C$7,BD!$A$3:$A$5001,"&lt;="&amp;$B215,BD!$S$3:$S$5001,"&lt;&gt;"))))</f>
        <v/>
      </c>
      <c r="L215" s="54" t="str">
        <f>IF(OR($B215="",$A215&gt;$B$9,L$198=""),"",IF(COUNTIFS(BD!$B$3:$B$5001,L$198,BD!$A$3:$A$5001,"&gt;="&amp;$C$7,BD!$A$3:$A$5001,"&lt;="&amp;$B215,BD!$S$3:$S$5001,"&lt;&gt;")=0,"",SUMIFS(BD!$S$3:$S$5001,BD!$B$3:$B$5001,L$198,BD!$A$3:$A$5001,_xlfn.MAXIFS(BD!$A$3:$A$5001,BD!$B$3:$B$5001,L$198,BD!$A$3:$A$5001,"&gt;="&amp;$C$7,BD!$A$3:$A$5001,"&lt;="&amp;$B215,BD!$S$3:$S$5001,"&lt;&gt;"))))</f>
        <v/>
      </c>
      <c r="M215" s="54" t="str">
        <f>IF(OR($B215="",$A215&gt;$B$9,M$198=""),"",IF(COUNTIFS(BD!$B$3:$B$5001,M$198,BD!$A$3:$A$5001,"&gt;="&amp;$C$7,BD!$A$3:$A$5001,"&lt;="&amp;$B215,BD!$S$3:$S$5001,"&lt;&gt;")=0,"",SUMIFS(BD!$S$3:$S$5001,BD!$B$3:$B$5001,M$198,BD!$A$3:$A$5001,_xlfn.MAXIFS(BD!$A$3:$A$5001,BD!$B$3:$B$5001,M$198,BD!$A$3:$A$5001,"&gt;="&amp;$C$7,BD!$A$3:$A$5001,"&lt;="&amp;$B215,BD!$S$3:$S$5001,"&lt;&gt;"))))</f>
        <v/>
      </c>
      <c r="N215" s="54" t="str">
        <f>IF(OR($B215="",$A215&gt;$B$9,N$198=""),"",IF(COUNTIFS(BD!$B$3:$B$5001,N$198,BD!$A$3:$A$5001,"&gt;="&amp;$C$7,BD!$A$3:$A$5001,"&lt;="&amp;$B215,BD!$S$3:$S$5001,"&lt;&gt;")=0,"",SUMIFS(BD!$S$3:$S$5001,BD!$B$3:$B$5001,N$198,BD!$A$3:$A$5001,_xlfn.MAXIFS(BD!$A$3:$A$5001,BD!$B$3:$B$5001,N$198,BD!$A$3:$A$5001,"&gt;="&amp;$C$7,BD!$A$3:$A$5001,"&lt;="&amp;$B215,BD!$S$3:$S$5001,"&lt;&gt;"))))</f>
        <v/>
      </c>
      <c r="O215" s="54" t="str">
        <f>IF(OR($B215="",$A215&gt;$B$9,O$198=""),"",IF(COUNTIFS(BD!$B$3:$B$5001,O$198,BD!$A$3:$A$5001,"&gt;="&amp;$C$7,BD!$A$3:$A$5001,"&lt;="&amp;$B215,BD!$S$3:$S$5001,"&lt;&gt;")=0,"",SUMIFS(BD!$S$3:$S$5001,BD!$B$3:$B$5001,O$198,BD!$A$3:$A$5001,_xlfn.MAXIFS(BD!$A$3:$A$5001,BD!$B$3:$B$5001,O$198,BD!$A$3:$A$5001,"&gt;="&amp;$C$7,BD!$A$3:$A$5001,"&lt;="&amp;$B215,BD!$S$3:$S$5001,"&lt;&gt;"))))</f>
        <v/>
      </c>
      <c r="P215" s="54" t="str">
        <f>IF(OR($B215="",$A215&gt;$B$9,P$198=""),"",IF(COUNTIFS(BD!$B$3:$B$5001,P$198,BD!$A$3:$A$5001,"&gt;="&amp;$C$7,BD!$A$3:$A$5001,"&lt;="&amp;$B215,BD!$S$3:$S$5001,"&lt;&gt;")=0,"",SUMIFS(BD!$S$3:$S$5001,BD!$B$3:$B$5001,P$198,BD!$A$3:$A$5001,_xlfn.MAXIFS(BD!$A$3:$A$5001,BD!$B$3:$B$5001,P$198,BD!$A$3:$A$5001,"&gt;="&amp;$C$7,BD!$A$3:$A$5001,"&lt;="&amp;$B215,BD!$S$3:$S$5001,"&lt;&gt;"))))</f>
        <v/>
      </c>
      <c r="Q215" s="54" t="str">
        <f>IF(OR($B215="",$A215&gt;$B$9,Q$198=""),"",IF(COUNTIFS(BD!$B$3:$B$5001,Q$198,BD!$A$3:$A$5001,"&gt;="&amp;$C$7,BD!$A$3:$A$5001,"&lt;="&amp;$B215,BD!$S$3:$S$5001,"&lt;&gt;")=0,"",SUMIFS(BD!$S$3:$S$5001,BD!$B$3:$B$5001,Q$198,BD!$A$3:$A$5001,_xlfn.MAXIFS(BD!$A$3:$A$5001,BD!$B$3:$B$5001,Q$198,BD!$A$3:$A$5001,"&gt;="&amp;$C$7,BD!$A$3:$A$5001,"&lt;="&amp;$B215,BD!$S$3:$S$5001,"&lt;&gt;"))))</f>
        <v/>
      </c>
      <c r="R215" s="54" t="str">
        <f>IF(OR($B215="",$A215&gt;$B$9,R$198=""),"",IF(COUNTIFS(BD!$B$3:$B$5001,R$198,BD!$A$3:$A$5001,"&gt;="&amp;$C$7,BD!$A$3:$A$5001,"&lt;="&amp;$B215,BD!$S$3:$S$5001,"&lt;&gt;")=0,"",SUMIFS(BD!$S$3:$S$5001,BD!$B$3:$B$5001,R$198,BD!$A$3:$A$5001,_xlfn.MAXIFS(BD!$A$3:$A$5001,BD!$B$3:$B$5001,R$198,BD!$A$3:$A$5001,"&gt;="&amp;$C$7,BD!$A$3:$A$5001,"&lt;="&amp;$B215,BD!$S$3:$S$5001,"&lt;&gt;"))))</f>
        <v/>
      </c>
      <c r="S215" s="54" t="str">
        <f>IF(OR($B215="",$A215&gt;$B$9,S$198=""),"",IF(COUNTIFS(BD!$B$3:$B$5001,S$198,BD!$A$3:$A$5001,"&gt;="&amp;$C$7,BD!$A$3:$A$5001,"&lt;="&amp;$B215,BD!$S$3:$S$5001,"&lt;&gt;")=0,"",SUMIFS(BD!$S$3:$S$5001,BD!$B$3:$B$5001,S$198,BD!$A$3:$A$5001,_xlfn.MAXIFS(BD!$A$3:$A$5001,BD!$B$3:$B$5001,S$198,BD!$A$3:$A$5001,"&gt;="&amp;$C$7,BD!$A$3:$A$5001,"&lt;="&amp;$B215,BD!$S$3:$S$5001,"&lt;&gt;"))))</f>
        <v/>
      </c>
      <c r="T215" s="54" t="str">
        <f>IF(OR($B215="",$A215&gt;$B$9,T$198=""),"",IF(COUNTIFS(BD!$B$3:$B$5001,T$198,BD!$A$3:$A$5001,"&gt;="&amp;$C$7,BD!$A$3:$A$5001,"&lt;="&amp;$B215,BD!$S$3:$S$5001,"&lt;&gt;")=0,"",SUMIFS(BD!$S$3:$S$5001,BD!$B$3:$B$5001,T$198,BD!$A$3:$A$5001,_xlfn.MAXIFS(BD!$A$3:$A$5001,BD!$B$3:$B$5001,T$198,BD!$A$3:$A$5001,"&gt;="&amp;$C$7,BD!$A$3:$A$5001,"&lt;="&amp;$B215,BD!$S$3:$S$5001,"&lt;&gt;"))))</f>
        <v/>
      </c>
      <c r="U215" s="54" t="str">
        <f>IF(OR($B215="",$A215&gt;$B$9,U$198=""),"",IF(COUNTIFS(BD!$B$3:$B$5001,U$198,BD!$A$3:$A$5001,"&gt;="&amp;$C$7,BD!$A$3:$A$5001,"&lt;="&amp;$B215,BD!$S$3:$S$5001,"&lt;&gt;")=0,"",SUMIFS(BD!$S$3:$S$5001,BD!$B$3:$B$5001,U$198,BD!$A$3:$A$5001,_xlfn.MAXIFS(BD!$A$3:$A$5001,BD!$B$3:$B$5001,U$198,BD!$A$3:$A$5001,"&gt;="&amp;$C$7,BD!$A$3:$A$5001,"&lt;="&amp;$B215,BD!$S$3:$S$5001,"&lt;&gt;"))))</f>
        <v/>
      </c>
      <c r="V215" s="54" t="str">
        <f>IF(OR($B215="",$A215&gt;$B$9,V$198=""),"",IF(COUNTIFS(BD!$B$3:$B$5001,V$198,BD!$A$3:$A$5001,"&gt;="&amp;$C$7,BD!$A$3:$A$5001,"&lt;="&amp;$B215,BD!$S$3:$S$5001,"&lt;&gt;")=0,"",SUMIFS(BD!$S$3:$S$5001,BD!$B$3:$B$5001,V$198,BD!$A$3:$A$5001,_xlfn.MAXIFS(BD!$A$3:$A$5001,BD!$B$3:$B$5001,V$198,BD!$A$3:$A$5001,"&gt;="&amp;$C$7,BD!$A$3:$A$5001,"&lt;="&amp;$B215,BD!$S$3:$S$5001,"&lt;&gt;"))))</f>
        <v/>
      </c>
    </row>
    <row r="216">
      <c r="A216" s="48">
        <v>18</v>
      </c>
      <c r="B216" s="53">
        <f>$B$29</f>
        <v>46313</v>
      </c>
      <c r="C216" s="54" t="str">
        <f>IF(OR($B216="",$A216&gt;$B$9,C$198=""),"",IF(COUNTIFS(BD!$B$3:$B$5001,C$198,BD!$A$3:$A$5001,"&gt;="&amp;$C$7,BD!$A$3:$A$5001,"&lt;="&amp;$B216,BD!$S$3:$S$5001,"&lt;&gt;")=0,"",SUMIFS(BD!$S$3:$S$5001,BD!$B$3:$B$5001,C$198,BD!$A$3:$A$5001,_xlfn.MAXIFS(BD!$A$3:$A$5001,BD!$B$3:$B$5001,C$198,BD!$A$3:$A$5001,"&gt;="&amp;$C$7,BD!$A$3:$A$5001,"&lt;="&amp;$B216,BD!$S$3:$S$5001,"&lt;&gt;"))))</f>
        <v/>
      </c>
      <c r="D216" s="54" t="str">
        <f>IF(OR($B216="",$A216&gt;$B$9,D$198=""),"",IF(COUNTIFS(BD!$B$3:$B$5001,D$198,BD!$A$3:$A$5001,"&gt;="&amp;$C$7,BD!$A$3:$A$5001,"&lt;="&amp;$B216,BD!$S$3:$S$5001,"&lt;&gt;")=0,"",SUMIFS(BD!$S$3:$S$5001,BD!$B$3:$B$5001,D$198,BD!$A$3:$A$5001,_xlfn.MAXIFS(BD!$A$3:$A$5001,BD!$B$3:$B$5001,D$198,BD!$A$3:$A$5001,"&gt;="&amp;$C$7,BD!$A$3:$A$5001,"&lt;="&amp;$B216,BD!$S$3:$S$5001,"&lt;&gt;"))))</f>
        <v/>
      </c>
      <c r="E216" s="54" t="str">
        <f>IF(OR($B216="",$A216&gt;$B$9,E$198=""),"",IF(COUNTIFS(BD!$B$3:$B$5001,E$198,BD!$A$3:$A$5001,"&gt;="&amp;$C$7,BD!$A$3:$A$5001,"&lt;="&amp;$B216,BD!$S$3:$S$5001,"&lt;&gt;")=0,"",SUMIFS(BD!$S$3:$S$5001,BD!$B$3:$B$5001,E$198,BD!$A$3:$A$5001,_xlfn.MAXIFS(BD!$A$3:$A$5001,BD!$B$3:$B$5001,E$198,BD!$A$3:$A$5001,"&gt;="&amp;$C$7,BD!$A$3:$A$5001,"&lt;="&amp;$B216,BD!$S$3:$S$5001,"&lt;&gt;"))))</f>
        <v/>
      </c>
      <c r="F216" s="54" t="str">
        <f>IF(OR($B216="",$A216&gt;$B$9,F$198=""),"",IF(COUNTIFS(BD!$B$3:$B$5001,F$198,BD!$A$3:$A$5001,"&gt;="&amp;$C$7,BD!$A$3:$A$5001,"&lt;="&amp;$B216,BD!$S$3:$S$5001,"&lt;&gt;")=0,"",SUMIFS(BD!$S$3:$S$5001,BD!$B$3:$B$5001,F$198,BD!$A$3:$A$5001,_xlfn.MAXIFS(BD!$A$3:$A$5001,BD!$B$3:$B$5001,F$198,BD!$A$3:$A$5001,"&gt;="&amp;$C$7,BD!$A$3:$A$5001,"&lt;="&amp;$B216,BD!$S$3:$S$5001,"&lt;&gt;"))))</f>
        <v/>
      </c>
      <c r="G216" s="54" t="str">
        <f>IF(OR($B216="",$A216&gt;$B$9,G$198=""),"",IF(COUNTIFS(BD!$B$3:$B$5001,G$198,BD!$A$3:$A$5001,"&gt;="&amp;$C$7,BD!$A$3:$A$5001,"&lt;="&amp;$B216,BD!$S$3:$S$5001,"&lt;&gt;")=0,"",SUMIFS(BD!$S$3:$S$5001,BD!$B$3:$B$5001,G$198,BD!$A$3:$A$5001,_xlfn.MAXIFS(BD!$A$3:$A$5001,BD!$B$3:$B$5001,G$198,BD!$A$3:$A$5001,"&gt;="&amp;$C$7,BD!$A$3:$A$5001,"&lt;="&amp;$B216,BD!$S$3:$S$5001,"&lt;&gt;"))))</f>
        <v/>
      </c>
      <c r="H216" s="54" t="str">
        <f>IF(OR($B216="",$A216&gt;$B$9,H$198=""),"",IF(COUNTIFS(BD!$B$3:$B$5001,H$198,BD!$A$3:$A$5001,"&gt;="&amp;$C$7,BD!$A$3:$A$5001,"&lt;="&amp;$B216,BD!$S$3:$S$5001,"&lt;&gt;")=0,"",SUMIFS(BD!$S$3:$S$5001,BD!$B$3:$B$5001,H$198,BD!$A$3:$A$5001,_xlfn.MAXIFS(BD!$A$3:$A$5001,BD!$B$3:$B$5001,H$198,BD!$A$3:$A$5001,"&gt;="&amp;$C$7,BD!$A$3:$A$5001,"&lt;="&amp;$B216,BD!$S$3:$S$5001,"&lt;&gt;"))))</f>
        <v/>
      </c>
      <c r="I216" s="54" t="str">
        <f>IF(OR($B216="",$A216&gt;$B$9,I$198=""),"",IF(COUNTIFS(BD!$B$3:$B$5001,I$198,BD!$A$3:$A$5001,"&gt;="&amp;$C$7,BD!$A$3:$A$5001,"&lt;="&amp;$B216,BD!$S$3:$S$5001,"&lt;&gt;")=0,"",SUMIFS(BD!$S$3:$S$5001,BD!$B$3:$B$5001,I$198,BD!$A$3:$A$5001,_xlfn.MAXIFS(BD!$A$3:$A$5001,BD!$B$3:$B$5001,I$198,BD!$A$3:$A$5001,"&gt;="&amp;$C$7,BD!$A$3:$A$5001,"&lt;="&amp;$B216,BD!$S$3:$S$5001,"&lt;&gt;"))))</f>
        <v/>
      </c>
      <c r="J216" s="54" t="str">
        <f>IF(OR($B216="",$A216&gt;$B$9,J$198=""),"",IF(COUNTIFS(BD!$B$3:$B$5001,J$198,BD!$A$3:$A$5001,"&gt;="&amp;$C$7,BD!$A$3:$A$5001,"&lt;="&amp;$B216,BD!$S$3:$S$5001,"&lt;&gt;")=0,"",SUMIFS(BD!$S$3:$S$5001,BD!$B$3:$B$5001,J$198,BD!$A$3:$A$5001,_xlfn.MAXIFS(BD!$A$3:$A$5001,BD!$B$3:$B$5001,J$198,BD!$A$3:$A$5001,"&gt;="&amp;$C$7,BD!$A$3:$A$5001,"&lt;="&amp;$B216,BD!$S$3:$S$5001,"&lt;&gt;"))))</f>
        <v/>
      </c>
      <c r="K216" s="54" t="str">
        <f>IF(OR($B216="",$A216&gt;$B$9,K$198=""),"",IF(COUNTIFS(BD!$B$3:$B$5001,K$198,BD!$A$3:$A$5001,"&gt;="&amp;$C$7,BD!$A$3:$A$5001,"&lt;="&amp;$B216,BD!$S$3:$S$5001,"&lt;&gt;")=0,"",SUMIFS(BD!$S$3:$S$5001,BD!$B$3:$B$5001,K$198,BD!$A$3:$A$5001,_xlfn.MAXIFS(BD!$A$3:$A$5001,BD!$B$3:$B$5001,K$198,BD!$A$3:$A$5001,"&gt;="&amp;$C$7,BD!$A$3:$A$5001,"&lt;="&amp;$B216,BD!$S$3:$S$5001,"&lt;&gt;"))))</f>
        <v/>
      </c>
      <c r="L216" s="54" t="str">
        <f>IF(OR($B216="",$A216&gt;$B$9,L$198=""),"",IF(COUNTIFS(BD!$B$3:$B$5001,L$198,BD!$A$3:$A$5001,"&gt;="&amp;$C$7,BD!$A$3:$A$5001,"&lt;="&amp;$B216,BD!$S$3:$S$5001,"&lt;&gt;")=0,"",SUMIFS(BD!$S$3:$S$5001,BD!$B$3:$B$5001,L$198,BD!$A$3:$A$5001,_xlfn.MAXIFS(BD!$A$3:$A$5001,BD!$B$3:$B$5001,L$198,BD!$A$3:$A$5001,"&gt;="&amp;$C$7,BD!$A$3:$A$5001,"&lt;="&amp;$B216,BD!$S$3:$S$5001,"&lt;&gt;"))))</f>
        <v/>
      </c>
      <c r="M216" s="54" t="str">
        <f>IF(OR($B216="",$A216&gt;$B$9,M$198=""),"",IF(COUNTIFS(BD!$B$3:$B$5001,M$198,BD!$A$3:$A$5001,"&gt;="&amp;$C$7,BD!$A$3:$A$5001,"&lt;="&amp;$B216,BD!$S$3:$S$5001,"&lt;&gt;")=0,"",SUMIFS(BD!$S$3:$S$5001,BD!$B$3:$B$5001,M$198,BD!$A$3:$A$5001,_xlfn.MAXIFS(BD!$A$3:$A$5001,BD!$B$3:$B$5001,M$198,BD!$A$3:$A$5001,"&gt;="&amp;$C$7,BD!$A$3:$A$5001,"&lt;="&amp;$B216,BD!$S$3:$S$5001,"&lt;&gt;"))))</f>
        <v/>
      </c>
      <c r="N216" s="54" t="str">
        <f>IF(OR($B216="",$A216&gt;$B$9,N$198=""),"",IF(COUNTIFS(BD!$B$3:$B$5001,N$198,BD!$A$3:$A$5001,"&gt;="&amp;$C$7,BD!$A$3:$A$5001,"&lt;="&amp;$B216,BD!$S$3:$S$5001,"&lt;&gt;")=0,"",SUMIFS(BD!$S$3:$S$5001,BD!$B$3:$B$5001,N$198,BD!$A$3:$A$5001,_xlfn.MAXIFS(BD!$A$3:$A$5001,BD!$B$3:$B$5001,N$198,BD!$A$3:$A$5001,"&gt;="&amp;$C$7,BD!$A$3:$A$5001,"&lt;="&amp;$B216,BD!$S$3:$S$5001,"&lt;&gt;"))))</f>
        <v/>
      </c>
      <c r="O216" s="54" t="str">
        <f>IF(OR($B216="",$A216&gt;$B$9,O$198=""),"",IF(COUNTIFS(BD!$B$3:$B$5001,O$198,BD!$A$3:$A$5001,"&gt;="&amp;$C$7,BD!$A$3:$A$5001,"&lt;="&amp;$B216,BD!$S$3:$S$5001,"&lt;&gt;")=0,"",SUMIFS(BD!$S$3:$S$5001,BD!$B$3:$B$5001,O$198,BD!$A$3:$A$5001,_xlfn.MAXIFS(BD!$A$3:$A$5001,BD!$B$3:$B$5001,O$198,BD!$A$3:$A$5001,"&gt;="&amp;$C$7,BD!$A$3:$A$5001,"&lt;="&amp;$B216,BD!$S$3:$S$5001,"&lt;&gt;"))))</f>
        <v/>
      </c>
      <c r="P216" s="54" t="str">
        <f>IF(OR($B216="",$A216&gt;$B$9,P$198=""),"",IF(COUNTIFS(BD!$B$3:$B$5001,P$198,BD!$A$3:$A$5001,"&gt;="&amp;$C$7,BD!$A$3:$A$5001,"&lt;="&amp;$B216,BD!$S$3:$S$5001,"&lt;&gt;")=0,"",SUMIFS(BD!$S$3:$S$5001,BD!$B$3:$B$5001,P$198,BD!$A$3:$A$5001,_xlfn.MAXIFS(BD!$A$3:$A$5001,BD!$B$3:$B$5001,P$198,BD!$A$3:$A$5001,"&gt;="&amp;$C$7,BD!$A$3:$A$5001,"&lt;="&amp;$B216,BD!$S$3:$S$5001,"&lt;&gt;"))))</f>
        <v/>
      </c>
      <c r="Q216" s="54" t="str">
        <f>IF(OR($B216="",$A216&gt;$B$9,Q$198=""),"",IF(COUNTIFS(BD!$B$3:$B$5001,Q$198,BD!$A$3:$A$5001,"&gt;="&amp;$C$7,BD!$A$3:$A$5001,"&lt;="&amp;$B216,BD!$S$3:$S$5001,"&lt;&gt;")=0,"",SUMIFS(BD!$S$3:$S$5001,BD!$B$3:$B$5001,Q$198,BD!$A$3:$A$5001,_xlfn.MAXIFS(BD!$A$3:$A$5001,BD!$B$3:$B$5001,Q$198,BD!$A$3:$A$5001,"&gt;="&amp;$C$7,BD!$A$3:$A$5001,"&lt;="&amp;$B216,BD!$S$3:$S$5001,"&lt;&gt;"))))</f>
        <v/>
      </c>
      <c r="R216" s="54" t="str">
        <f>IF(OR($B216="",$A216&gt;$B$9,R$198=""),"",IF(COUNTIFS(BD!$B$3:$B$5001,R$198,BD!$A$3:$A$5001,"&gt;="&amp;$C$7,BD!$A$3:$A$5001,"&lt;="&amp;$B216,BD!$S$3:$S$5001,"&lt;&gt;")=0,"",SUMIFS(BD!$S$3:$S$5001,BD!$B$3:$B$5001,R$198,BD!$A$3:$A$5001,_xlfn.MAXIFS(BD!$A$3:$A$5001,BD!$B$3:$B$5001,R$198,BD!$A$3:$A$5001,"&gt;="&amp;$C$7,BD!$A$3:$A$5001,"&lt;="&amp;$B216,BD!$S$3:$S$5001,"&lt;&gt;"))))</f>
        <v/>
      </c>
      <c r="S216" s="54" t="str">
        <f>IF(OR($B216="",$A216&gt;$B$9,S$198=""),"",IF(COUNTIFS(BD!$B$3:$B$5001,S$198,BD!$A$3:$A$5001,"&gt;="&amp;$C$7,BD!$A$3:$A$5001,"&lt;="&amp;$B216,BD!$S$3:$S$5001,"&lt;&gt;")=0,"",SUMIFS(BD!$S$3:$S$5001,BD!$B$3:$B$5001,S$198,BD!$A$3:$A$5001,_xlfn.MAXIFS(BD!$A$3:$A$5001,BD!$B$3:$B$5001,S$198,BD!$A$3:$A$5001,"&gt;="&amp;$C$7,BD!$A$3:$A$5001,"&lt;="&amp;$B216,BD!$S$3:$S$5001,"&lt;&gt;"))))</f>
        <v/>
      </c>
      <c r="T216" s="54" t="str">
        <f>IF(OR($B216="",$A216&gt;$B$9,T$198=""),"",IF(COUNTIFS(BD!$B$3:$B$5001,T$198,BD!$A$3:$A$5001,"&gt;="&amp;$C$7,BD!$A$3:$A$5001,"&lt;="&amp;$B216,BD!$S$3:$S$5001,"&lt;&gt;")=0,"",SUMIFS(BD!$S$3:$S$5001,BD!$B$3:$B$5001,T$198,BD!$A$3:$A$5001,_xlfn.MAXIFS(BD!$A$3:$A$5001,BD!$B$3:$B$5001,T$198,BD!$A$3:$A$5001,"&gt;="&amp;$C$7,BD!$A$3:$A$5001,"&lt;="&amp;$B216,BD!$S$3:$S$5001,"&lt;&gt;"))))</f>
        <v/>
      </c>
      <c r="U216" s="54" t="str">
        <f>IF(OR($B216="",$A216&gt;$B$9,U$198=""),"",IF(COUNTIFS(BD!$B$3:$B$5001,U$198,BD!$A$3:$A$5001,"&gt;="&amp;$C$7,BD!$A$3:$A$5001,"&lt;="&amp;$B216,BD!$S$3:$S$5001,"&lt;&gt;")=0,"",SUMIFS(BD!$S$3:$S$5001,BD!$B$3:$B$5001,U$198,BD!$A$3:$A$5001,_xlfn.MAXIFS(BD!$A$3:$A$5001,BD!$B$3:$B$5001,U$198,BD!$A$3:$A$5001,"&gt;="&amp;$C$7,BD!$A$3:$A$5001,"&lt;="&amp;$B216,BD!$S$3:$S$5001,"&lt;&gt;"))))</f>
        <v/>
      </c>
      <c r="V216" s="54" t="str">
        <f>IF(OR($B216="",$A216&gt;$B$9,V$198=""),"",IF(COUNTIFS(BD!$B$3:$B$5001,V$198,BD!$A$3:$A$5001,"&gt;="&amp;$C$7,BD!$A$3:$A$5001,"&lt;="&amp;$B216,BD!$S$3:$S$5001,"&lt;&gt;")=0,"",SUMIFS(BD!$S$3:$S$5001,BD!$B$3:$B$5001,V$198,BD!$A$3:$A$5001,_xlfn.MAXIFS(BD!$A$3:$A$5001,BD!$B$3:$B$5001,V$198,BD!$A$3:$A$5001,"&gt;="&amp;$C$7,BD!$A$3:$A$5001,"&lt;="&amp;$B216,BD!$S$3:$S$5001,"&lt;&gt;"))))</f>
        <v/>
      </c>
    </row>
    <row r="217">
      <c r="A217" s="48">
        <v>19</v>
      </c>
      <c r="B217" s="53">
        <f>$B$30</f>
        <v>46314</v>
      </c>
      <c r="C217" s="54" t="str">
        <f>IF(OR($B217="",$A217&gt;$B$9,C$198=""),"",IF(COUNTIFS(BD!$B$3:$B$5001,C$198,BD!$A$3:$A$5001,"&gt;="&amp;$C$7,BD!$A$3:$A$5001,"&lt;="&amp;$B217,BD!$S$3:$S$5001,"&lt;&gt;")=0,"",SUMIFS(BD!$S$3:$S$5001,BD!$B$3:$B$5001,C$198,BD!$A$3:$A$5001,_xlfn.MAXIFS(BD!$A$3:$A$5001,BD!$B$3:$B$5001,C$198,BD!$A$3:$A$5001,"&gt;="&amp;$C$7,BD!$A$3:$A$5001,"&lt;="&amp;$B217,BD!$S$3:$S$5001,"&lt;&gt;"))))</f>
        <v/>
      </c>
      <c r="D217" s="54" t="str">
        <f>IF(OR($B217="",$A217&gt;$B$9,D$198=""),"",IF(COUNTIFS(BD!$B$3:$B$5001,D$198,BD!$A$3:$A$5001,"&gt;="&amp;$C$7,BD!$A$3:$A$5001,"&lt;="&amp;$B217,BD!$S$3:$S$5001,"&lt;&gt;")=0,"",SUMIFS(BD!$S$3:$S$5001,BD!$B$3:$B$5001,D$198,BD!$A$3:$A$5001,_xlfn.MAXIFS(BD!$A$3:$A$5001,BD!$B$3:$B$5001,D$198,BD!$A$3:$A$5001,"&gt;="&amp;$C$7,BD!$A$3:$A$5001,"&lt;="&amp;$B217,BD!$S$3:$S$5001,"&lt;&gt;"))))</f>
        <v/>
      </c>
      <c r="E217" s="54" t="str">
        <f>IF(OR($B217="",$A217&gt;$B$9,E$198=""),"",IF(COUNTIFS(BD!$B$3:$B$5001,E$198,BD!$A$3:$A$5001,"&gt;="&amp;$C$7,BD!$A$3:$A$5001,"&lt;="&amp;$B217,BD!$S$3:$S$5001,"&lt;&gt;")=0,"",SUMIFS(BD!$S$3:$S$5001,BD!$B$3:$B$5001,E$198,BD!$A$3:$A$5001,_xlfn.MAXIFS(BD!$A$3:$A$5001,BD!$B$3:$B$5001,E$198,BD!$A$3:$A$5001,"&gt;="&amp;$C$7,BD!$A$3:$A$5001,"&lt;="&amp;$B217,BD!$S$3:$S$5001,"&lt;&gt;"))))</f>
        <v/>
      </c>
      <c r="F217" s="54" t="str">
        <f>IF(OR($B217="",$A217&gt;$B$9,F$198=""),"",IF(COUNTIFS(BD!$B$3:$B$5001,F$198,BD!$A$3:$A$5001,"&gt;="&amp;$C$7,BD!$A$3:$A$5001,"&lt;="&amp;$B217,BD!$S$3:$S$5001,"&lt;&gt;")=0,"",SUMIFS(BD!$S$3:$S$5001,BD!$B$3:$B$5001,F$198,BD!$A$3:$A$5001,_xlfn.MAXIFS(BD!$A$3:$A$5001,BD!$B$3:$B$5001,F$198,BD!$A$3:$A$5001,"&gt;="&amp;$C$7,BD!$A$3:$A$5001,"&lt;="&amp;$B217,BD!$S$3:$S$5001,"&lt;&gt;"))))</f>
        <v/>
      </c>
      <c r="G217" s="54" t="str">
        <f>IF(OR($B217="",$A217&gt;$B$9,G$198=""),"",IF(COUNTIFS(BD!$B$3:$B$5001,G$198,BD!$A$3:$A$5001,"&gt;="&amp;$C$7,BD!$A$3:$A$5001,"&lt;="&amp;$B217,BD!$S$3:$S$5001,"&lt;&gt;")=0,"",SUMIFS(BD!$S$3:$S$5001,BD!$B$3:$B$5001,G$198,BD!$A$3:$A$5001,_xlfn.MAXIFS(BD!$A$3:$A$5001,BD!$B$3:$B$5001,G$198,BD!$A$3:$A$5001,"&gt;="&amp;$C$7,BD!$A$3:$A$5001,"&lt;="&amp;$B217,BD!$S$3:$S$5001,"&lt;&gt;"))))</f>
        <v/>
      </c>
      <c r="H217" s="54" t="str">
        <f>IF(OR($B217="",$A217&gt;$B$9,H$198=""),"",IF(COUNTIFS(BD!$B$3:$B$5001,H$198,BD!$A$3:$A$5001,"&gt;="&amp;$C$7,BD!$A$3:$A$5001,"&lt;="&amp;$B217,BD!$S$3:$S$5001,"&lt;&gt;")=0,"",SUMIFS(BD!$S$3:$S$5001,BD!$B$3:$B$5001,H$198,BD!$A$3:$A$5001,_xlfn.MAXIFS(BD!$A$3:$A$5001,BD!$B$3:$B$5001,H$198,BD!$A$3:$A$5001,"&gt;="&amp;$C$7,BD!$A$3:$A$5001,"&lt;="&amp;$B217,BD!$S$3:$S$5001,"&lt;&gt;"))))</f>
        <v/>
      </c>
      <c r="I217" s="54" t="str">
        <f>IF(OR($B217="",$A217&gt;$B$9,I$198=""),"",IF(COUNTIFS(BD!$B$3:$B$5001,I$198,BD!$A$3:$A$5001,"&gt;="&amp;$C$7,BD!$A$3:$A$5001,"&lt;="&amp;$B217,BD!$S$3:$S$5001,"&lt;&gt;")=0,"",SUMIFS(BD!$S$3:$S$5001,BD!$B$3:$B$5001,I$198,BD!$A$3:$A$5001,_xlfn.MAXIFS(BD!$A$3:$A$5001,BD!$B$3:$B$5001,I$198,BD!$A$3:$A$5001,"&gt;="&amp;$C$7,BD!$A$3:$A$5001,"&lt;="&amp;$B217,BD!$S$3:$S$5001,"&lt;&gt;"))))</f>
        <v/>
      </c>
      <c r="J217" s="54" t="str">
        <f>IF(OR($B217="",$A217&gt;$B$9,J$198=""),"",IF(COUNTIFS(BD!$B$3:$B$5001,J$198,BD!$A$3:$A$5001,"&gt;="&amp;$C$7,BD!$A$3:$A$5001,"&lt;="&amp;$B217,BD!$S$3:$S$5001,"&lt;&gt;")=0,"",SUMIFS(BD!$S$3:$S$5001,BD!$B$3:$B$5001,J$198,BD!$A$3:$A$5001,_xlfn.MAXIFS(BD!$A$3:$A$5001,BD!$B$3:$B$5001,J$198,BD!$A$3:$A$5001,"&gt;="&amp;$C$7,BD!$A$3:$A$5001,"&lt;="&amp;$B217,BD!$S$3:$S$5001,"&lt;&gt;"))))</f>
        <v/>
      </c>
      <c r="K217" s="54" t="str">
        <f>IF(OR($B217="",$A217&gt;$B$9,K$198=""),"",IF(COUNTIFS(BD!$B$3:$B$5001,K$198,BD!$A$3:$A$5001,"&gt;="&amp;$C$7,BD!$A$3:$A$5001,"&lt;="&amp;$B217,BD!$S$3:$S$5001,"&lt;&gt;")=0,"",SUMIFS(BD!$S$3:$S$5001,BD!$B$3:$B$5001,K$198,BD!$A$3:$A$5001,_xlfn.MAXIFS(BD!$A$3:$A$5001,BD!$B$3:$B$5001,K$198,BD!$A$3:$A$5001,"&gt;="&amp;$C$7,BD!$A$3:$A$5001,"&lt;="&amp;$B217,BD!$S$3:$S$5001,"&lt;&gt;"))))</f>
        <v/>
      </c>
      <c r="L217" s="54" t="str">
        <f>IF(OR($B217="",$A217&gt;$B$9,L$198=""),"",IF(COUNTIFS(BD!$B$3:$B$5001,L$198,BD!$A$3:$A$5001,"&gt;="&amp;$C$7,BD!$A$3:$A$5001,"&lt;="&amp;$B217,BD!$S$3:$S$5001,"&lt;&gt;")=0,"",SUMIFS(BD!$S$3:$S$5001,BD!$B$3:$B$5001,L$198,BD!$A$3:$A$5001,_xlfn.MAXIFS(BD!$A$3:$A$5001,BD!$B$3:$B$5001,L$198,BD!$A$3:$A$5001,"&gt;="&amp;$C$7,BD!$A$3:$A$5001,"&lt;="&amp;$B217,BD!$S$3:$S$5001,"&lt;&gt;"))))</f>
        <v/>
      </c>
      <c r="M217" s="54" t="str">
        <f>IF(OR($B217="",$A217&gt;$B$9,M$198=""),"",IF(COUNTIFS(BD!$B$3:$B$5001,M$198,BD!$A$3:$A$5001,"&gt;="&amp;$C$7,BD!$A$3:$A$5001,"&lt;="&amp;$B217,BD!$S$3:$S$5001,"&lt;&gt;")=0,"",SUMIFS(BD!$S$3:$S$5001,BD!$B$3:$B$5001,M$198,BD!$A$3:$A$5001,_xlfn.MAXIFS(BD!$A$3:$A$5001,BD!$B$3:$B$5001,M$198,BD!$A$3:$A$5001,"&gt;="&amp;$C$7,BD!$A$3:$A$5001,"&lt;="&amp;$B217,BD!$S$3:$S$5001,"&lt;&gt;"))))</f>
        <v/>
      </c>
      <c r="N217" s="54" t="str">
        <f>IF(OR($B217="",$A217&gt;$B$9,N$198=""),"",IF(COUNTIFS(BD!$B$3:$B$5001,N$198,BD!$A$3:$A$5001,"&gt;="&amp;$C$7,BD!$A$3:$A$5001,"&lt;="&amp;$B217,BD!$S$3:$S$5001,"&lt;&gt;")=0,"",SUMIFS(BD!$S$3:$S$5001,BD!$B$3:$B$5001,N$198,BD!$A$3:$A$5001,_xlfn.MAXIFS(BD!$A$3:$A$5001,BD!$B$3:$B$5001,N$198,BD!$A$3:$A$5001,"&gt;="&amp;$C$7,BD!$A$3:$A$5001,"&lt;="&amp;$B217,BD!$S$3:$S$5001,"&lt;&gt;"))))</f>
        <v/>
      </c>
      <c r="O217" s="54" t="str">
        <f>IF(OR($B217="",$A217&gt;$B$9,O$198=""),"",IF(COUNTIFS(BD!$B$3:$B$5001,O$198,BD!$A$3:$A$5001,"&gt;="&amp;$C$7,BD!$A$3:$A$5001,"&lt;="&amp;$B217,BD!$S$3:$S$5001,"&lt;&gt;")=0,"",SUMIFS(BD!$S$3:$S$5001,BD!$B$3:$B$5001,O$198,BD!$A$3:$A$5001,_xlfn.MAXIFS(BD!$A$3:$A$5001,BD!$B$3:$B$5001,O$198,BD!$A$3:$A$5001,"&gt;="&amp;$C$7,BD!$A$3:$A$5001,"&lt;="&amp;$B217,BD!$S$3:$S$5001,"&lt;&gt;"))))</f>
        <v/>
      </c>
      <c r="P217" s="54" t="str">
        <f>IF(OR($B217="",$A217&gt;$B$9,P$198=""),"",IF(COUNTIFS(BD!$B$3:$B$5001,P$198,BD!$A$3:$A$5001,"&gt;="&amp;$C$7,BD!$A$3:$A$5001,"&lt;="&amp;$B217,BD!$S$3:$S$5001,"&lt;&gt;")=0,"",SUMIFS(BD!$S$3:$S$5001,BD!$B$3:$B$5001,P$198,BD!$A$3:$A$5001,_xlfn.MAXIFS(BD!$A$3:$A$5001,BD!$B$3:$B$5001,P$198,BD!$A$3:$A$5001,"&gt;="&amp;$C$7,BD!$A$3:$A$5001,"&lt;="&amp;$B217,BD!$S$3:$S$5001,"&lt;&gt;"))))</f>
        <v/>
      </c>
      <c r="Q217" s="54" t="str">
        <f>IF(OR($B217="",$A217&gt;$B$9,Q$198=""),"",IF(COUNTIFS(BD!$B$3:$B$5001,Q$198,BD!$A$3:$A$5001,"&gt;="&amp;$C$7,BD!$A$3:$A$5001,"&lt;="&amp;$B217,BD!$S$3:$S$5001,"&lt;&gt;")=0,"",SUMIFS(BD!$S$3:$S$5001,BD!$B$3:$B$5001,Q$198,BD!$A$3:$A$5001,_xlfn.MAXIFS(BD!$A$3:$A$5001,BD!$B$3:$B$5001,Q$198,BD!$A$3:$A$5001,"&gt;="&amp;$C$7,BD!$A$3:$A$5001,"&lt;="&amp;$B217,BD!$S$3:$S$5001,"&lt;&gt;"))))</f>
        <v/>
      </c>
      <c r="R217" s="54" t="str">
        <f>IF(OR($B217="",$A217&gt;$B$9,R$198=""),"",IF(COUNTIFS(BD!$B$3:$B$5001,R$198,BD!$A$3:$A$5001,"&gt;="&amp;$C$7,BD!$A$3:$A$5001,"&lt;="&amp;$B217,BD!$S$3:$S$5001,"&lt;&gt;")=0,"",SUMIFS(BD!$S$3:$S$5001,BD!$B$3:$B$5001,R$198,BD!$A$3:$A$5001,_xlfn.MAXIFS(BD!$A$3:$A$5001,BD!$B$3:$B$5001,R$198,BD!$A$3:$A$5001,"&gt;="&amp;$C$7,BD!$A$3:$A$5001,"&lt;="&amp;$B217,BD!$S$3:$S$5001,"&lt;&gt;"))))</f>
        <v/>
      </c>
      <c r="S217" s="54" t="str">
        <f>IF(OR($B217="",$A217&gt;$B$9,S$198=""),"",IF(COUNTIFS(BD!$B$3:$B$5001,S$198,BD!$A$3:$A$5001,"&gt;="&amp;$C$7,BD!$A$3:$A$5001,"&lt;="&amp;$B217,BD!$S$3:$S$5001,"&lt;&gt;")=0,"",SUMIFS(BD!$S$3:$S$5001,BD!$B$3:$B$5001,S$198,BD!$A$3:$A$5001,_xlfn.MAXIFS(BD!$A$3:$A$5001,BD!$B$3:$B$5001,S$198,BD!$A$3:$A$5001,"&gt;="&amp;$C$7,BD!$A$3:$A$5001,"&lt;="&amp;$B217,BD!$S$3:$S$5001,"&lt;&gt;"))))</f>
        <v/>
      </c>
      <c r="T217" s="54" t="str">
        <f>IF(OR($B217="",$A217&gt;$B$9,T$198=""),"",IF(COUNTIFS(BD!$B$3:$B$5001,T$198,BD!$A$3:$A$5001,"&gt;="&amp;$C$7,BD!$A$3:$A$5001,"&lt;="&amp;$B217,BD!$S$3:$S$5001,"&lt;&gt;")=0,"",SUMIFS(BD!$S$3:$S$5001,BD!$B$3:$B$5001,T$198,BD!$A$3:$A$5001,_xlfn.MAXIFS(BD!$A$3:$A$5001,BD!$B$3:$B$5001,T$198,BD!$A$3:$A$5001,"&gt;="&amp;$C$7,BD!$A$3:$A$5001,"&lt;="&amp;$B217,BD!$S$3:$S$5001,"&lt;&gt;"))))</f>
        <v/>
      </c>
      <c r="U217" s="54" t="str">
        <f>IF(OR($B217="",$A217&gt;$B$9,U$198=""),"",IF(COUNTIFS(BD!$B$3:$B$5001,U$198,BD!$A$3:$A$5001,"&gt;="&amp;$C$7,BD!$A$3:$A$5001,"&lt;="&amp;$B217,BD!$S$3:$S$5001,"&lt;&gt;")=0,"",SUMIFS(BD!$S$3:$S$5001,BD!$B$3:$B$5001,U$198,BD!$A$3:$A$5001,_xlfn.MAXIFS(BD!$A$3:$A$5001,BD!$B$3:$B$5001,U$198,BD!$A$3:$A$5001,"&gt;="&amp;$C$7,BD!$A$3:$A$5001,"&lt;="&amp;$B217,BD!$S$3:$S$5001,"&lt;&gt;"))))</f>
        <v/>
      </c>
      <c r="V217" s="54" t="str">
        <f>IF(OR($B217="",$A217&gt;$B$9,V$198=""),"",IF(COUNTIFS(BD!$B$3:$B$5001,V$198,BD!$A$3:$A$5001,"&gt;="&amp;$C$7,BD!$A$3:$A$5001,"&lt;="&amp;$B217,BD!$S$3:$S$5001,"&lt;&gt;")=0,"",SUMIFS(BD!$S$3:$S$5001,BD!$B$3:$B$5001,V$198,BD!$A$3:$A$5001,_xlfn.MAXIFS(BD!$A$3:$A$5001,BD!$B$3:$B$5001,V$198,BD!$A$3:$A$5001,"&gt;="&amp;$C$7,BD!$A$3:$A$5001,"&lt;="&amp;$B217,BD!$S$3:$S$5001,"&lt;&gt;"))))</f>
        <v/>
      </c>
    </row>
    <row r="218">
      <c r="A218" s="48">
        <v>20</v>
      </c>
      <c r="B218" s="53">
        <f>$B$31</f>
        <v>46315</v>
      </c>
      <c r="C218" s="54" t="str">
        <f>IF(OR($B218="",$A218&gt;$B$9,C$198=""),"",IF(COUNTIFS(BD!$B$3:$B$5001,C$198,BD!$A$3:$A$5001,"&gt;="&amp;$C$7,BD!$A$3:$A$5001,"&lt;="&amp;$B218,BD!$S$3:$S$5001,"&lt;&gt;")=0,"",SUMIFS(BD!$S$3:$S$5001,BD!$B$3:$B$5001,C$198,BD!$A$3:$A$5001,_xlfn.MAXIFS(BD!$A$3:$A$5001,BD!$B$3:$B$5001,C$198,BD!$A$3:$A$5001,"&gt;="&amp;$C$7,BD!$A$3:$A$5001,"&lt;="&amp;$B218,BD!$S$3:$S$5001,"&lt;&gt;"))))</f>
        <v/>
      </c>
      <c r="D218" s="54" t="str">
        <f>IF(OR($B218="",$A218&gt;$B$9,D$198=""),"",IF(COUNTIFS(BD!$B$3:$B$5001,D$198,BD!$A$3:$A$5001,"&gt;="&amp;$C$7,BD!$A$3:$A$5001,"&lt;="&amp;$B218,BD!$S$3:$S$5001,"&lt;&gt;")=0,"",SUMIFS(BD!$S$3:$S$5001,BD!$B$3:$B$5001,D$198,BD!$A$3:$A$5001,_xlfn.MAXIFS(BD!$A$3:$A$5001,BD!$B$3:$B$5001,D$198,BD!$A$3:$A$5001,"&gt;="&amp;$C$7,BD!$A$3:$A$5001,"&lt;="&amp;$B218,BD!$S$3:$S$5001,"&lt;&gt;"))))</f>
        <v/>
      </c>
      <c r="E218" s="54" t="str">
        <f>IF(OR($B218="",$A218&gt;$B$9,E$198=""),"",IF(COUNTIFS(BD!$B$3:$B$5001,E$198,BD!$A$3:$A$5001,"&gt;="&amp;$C$7,BD!$A$3:$A$5001,"&lt;="&amp;$B218,BD!$S$3:$S$5001,"&lt;&gt;")=0,"",SUMIFS(BD!$S$3:$S$5001,BD!$B$3:$B$5001,E$198,BD!$A$3:$A$5001,_xlfn.MAXIFS(BD!$A$3:$A$5001,BD!$B$3:$B$5001,E$198,BD!$A$3:$A$5001,"&gt;="&amp;$C$7,BD!$A$3:$A$5001,"&lt;="&amp;$B218,BD!$S$3:$S$5001,"&lt;&gt;"))))</f>
        <v/>
      </c>
      <c r="F218" s="54" t="str">
        <f>IF(OR($B218="",$A218&gt;$B$9,F$198=""),"",IF(COUNTIFS(BD!$B$3:$B$5001,F$198,BD!$A$3:$A$5001,"&gt;="&amp;$C$7,BD!$A$3:$A$5001,"&lt;="&amp;$B218,BD!$S$3:$S$5001,"&lt;&gt;")=0,"",SUMIFS(BD!$S$3:$S$5001,BD!$B$3:$B$5001,F$198,BD!$A$3:$A$5001,_xlfn.MAXIFS(BD!$A$3:$A$5001,BD!$B$3:$B$5001,F$198,BD!$A$3:$A$5001,"&gt;="&amp;$C$7,BD!$A$3:$A$5001,"&lt;="&amp;$B218,BD!$S$3:$S$5001,"&lt;&gt;"))))</f>
        <v/>
      </c>
      <c r="G218" s="54" t="str">
        <f>IF(OR($B218="",$A218&gt;$B$9,G$198=""),"",IF(COUNTIFS(BD!$B$3:$B$5001,G$198,BD!$A$3:$A$5001,"&gt;="&amp;$C$7,BD!$A$3:$A$5001,"&lt;="&amp;$B218,BD!$S$3:$S$5001,"&lt;&gt;")=0,"",SUMIFS(BD!$S$3:$S$5001,BD!$B$3:$B$5001,G$198,BD!$A$3:$A$5001,_xlfn.MAXIFS(BD!$A$3:$A$5001,BD!$B$3:$B$5001,G$198,BD!$A$3:$A$5001,"&gt;="&amp;$C$7,BD!$A$3:$A$5001,"&lt;="&amp;$B218,BD!$S$3:$S$5001,"&lt;&gt;"))))</f>
        <v/>
      </c>
      <c r="H218" s="54" t="str">
        <f>IF(OR($B218="",$A218&gt;$B$9,H$198=""),"",IF(COUNTIFS(BD!$B$3:$B$5001,H$198,BD!$A$3:$A$5001,"&gt;="&amp;$C$7,BD!$A$3:$A$5001,"&lt;="&amp;$B218,BD!$S$3:$S$5001,"&lt;&gt;")=0,"",SUMIFS(BD!$S$3:$S$5001,BD!$B$3:$B$5001,H$198,BD!$A$3:$A$5001,_xlfn.MAXIFS(BD!$A$3:$A$5001,BD!$B$3:$B$5001,H$198,BD!$A$3:$A$5001,"&gt;="&amp;$C$7,BD!$A$3:$A$5001,"&lt;="&amp;$B218,BD!$S$3:$S$5001,"&lt;&gt;"))))</f>
        <v/>
      </c>
      <c r="I218" s="54" t="str">
        <f>IF(OR($B218="",$A218&gt;$B$9,I$198=""),"",IF(COUNTIFS(BD!$B$3:$B$5001,I$198,BD!$A$3:$A$5001,"&gt;="&amp;$C$7,BD!$A$3:$A$5001,"&lt;="&amp;$B218,BD!$S$3:$S$5001,"&lt;&gt;")=0,"",SUMIFS(BD!$S$3:$S$5001,BD!$B$3:$B$5001,I$198,BD!$A$3:$A$5001,_xlfn.MAXIFS(BD!$A$3:$A$5001,BD!$B$3:$B$5001,I$198,BD!$A$3:$A$5001,"&gt;="&amp;$C$7,BD!$A$3:$A$5001,"&lt;="&amp;$B218,BD!$S$3:$S$5001,"&lt;&gt;"))))</f>
        <v/>
      </c>
      <c r="J218" s="54" t="str">
        <f>IF(OR($B218="",$A218&gt;$B$9,J$198=""),"",IF(COUNTIFS(BD!$B$3:$B$5001,J$198,BD!$A$3:$A$5001,"&gt;="&amp;$C$7,BD!$A$3:$A$5001,"&lt;="&amp;$B218,BD!$S$3:$S$5001,"&lt;&gt;")=0,"",SUMIFS(BD!$S$3:$S$5001,BD!$B$3:$B$5001,J$198,BD!$A$3:$A$5001,_xlfn.MAXIFS(BD!$A$3:$A$5001,BD!$B$3:$B$5001,J$198,BD!$A$3:$A$5001,"&gt;="&amp;$C$7,BD!$A$3:$A$5001,"&lt;="&amp;$B218,BD!$S$3:$S$5001,"&lt;&gt;"))))</f>
        <v/>
      </c>
      <c r="K218" s="54" t="str">
        <f>IF(OR($B218="",$A218&gt;$B$9,K$198=""),"",IF(COUNTIFS(BD!$B$3:$B$5001,K$198,BD!$A$3:$A$5001,"&gt;="&amp;$C$7,BD!$A$3:$A$5001,"&lt;="&amp;$B218,BD!$S$3:$S$5001,"&lt;&gt;")=0,"",SUMIFS(BD!$S$3:$S$5001,BD!$B$3:$B$5001,K$198,BD!$A$3:$A$5001,_xlfn.MAXIFS(BD!$A$3:$A$5001,BD!$B$3:$B$5001,K$198,BD!$A$3:$A$5001,"&gt;="&amp;$C$7,BD!$A$3:$A$5001,"&lt;="&amp;$B218,BD!$S$3:$S$5001,"&lt;&gt;"))))</f>
        <v/>
      </c>
      <c r="L218" s="54" t="str">
        <f>IF(OR($B218="",$A218&gt;$B$9,L$198=""),"",IF(COUNTIFS(BD!$B$3:$B$5001,L$198,BD!$A$3:$A$5001,"&gt;="&amp;$C$7,BD!$A$3:$A$5001,"&lt;="&amp;$B218,BD!$S$3:$S$5001,"&lt;&gt;")=0,"",SUMIFS(BD!$S$3:$S$5001,BD!$B$3:$B$5001,L$198,BD!$A$3:$A$5001,_xlfn.MAXIFS(BD!$A$3:$A$5001,BD!$B$3:$B$5001,L$198,BD!$A$3:$A$5001,"&gt;="&amp;$C$7,BD!$A$3:$A$5001,"&lt;="&amp;$B218,BD!$S$3:$S$5001,"&lt;&gt;"))))</f>
        <v/>
      </c>
      <c r="M218" s="54" t="str">
        <f>IF(OR($B218="",$A218&gt;$B$9,M$198=""),"",IF(COUNTIFS(BD!$B$3:$B$5001,M$198,BD!$A$3:$A$5001,"&gt;="&amp;$C$7,BD!$A$3:$A$5001,"&lt;="&amp;$B218,BD!$S$3:$S$5001,"&lt;&gt;")=0,"",SUMIFS(BD!$S$3:$S$5001,BD!$B$3:$B$5001,M$198,BD!$A$3:$A$5001,_xlfn.MAXIFS(BD!$A$3:$A$5001,BD!$B$3:$B$5001,M$198,BD!$A$3:$A$5001,"&gt;="&amp;$C$7,BD!$A$3:$A$5001,"&lt;="&amp;$B218,BD!$S$3:$S$5001,"&lt;&gt;"))))</f>
        <v/>
      </c>
      <c r="N218" s="54" t="str">
        <f>IF(OR($B218="",$A218&gt;$B$9,N$198=""),"",IF(COUNTIFS(BD!$B$3:$B$5001,N$198,BD!$A$3:$A$5001,"&gt;="&amp;$C$7,BD!$A$3:$A$5001,"&lt;="&amp;$B218,BD!$S$3:$S$5001,"&lt;&gt;")=0,"",SUMIFS(BD!$S$3:$S$5001,BD!$B$3:$B$5001,N$198,BD!$A$3:$A$5001,_xlfn.MAXIFS(BD!$A$3:$A$5001,BD!$B$3:$B$5001,N$198,BD!$A$3:$A$5001,"&gt;="&amp;$C$7,BD!$A$3:$A$5001,"&lt;="&amp;$B218,BD!$S$3:$S$5001,"&lt;&gt;"))))</f>
        <v/>
      </c>
      <c r="O218" s="54" t="str">
        <f>IF(OR($B218="",$A218&gt;$B$9,O$198=""),"",IF(COUNTIFS(BD!$B$3:$B$5001,O$198,BD!$A$3:$A$5001,"&gt;="&amp;$C$7,BD!$A$3:$A$5001,"&lt;="&amp;$B218,BD!$S$3:$S$5001,"&lt;&gt;")=0,"",SUMIFS(BD!$S$3:$S$5001,BD!$B$3:$B$5001,O$198,BD!$A$3:$A$5001,_xlfn.MAXIFS(BD!$A$3:$A$5001,BD!$B$3:$B$5001,O$198,BD!$A$3:$A$5001,"&gt;="&amp;$C$7,BD!$A$3:$A$5001,"&lt;="&amp;$B218,BD!$S$3:$S$5001,"&lt;&gt;"))))</f>
        <v/>
      </c>
      <c r="P218" s="54" t="str">
        <f>IF(OR($B218="",$A218&gt;$B$9,P$198=""),"",IF(COUNTIFS(BD!$B$3:$B$5001,P$198,BD!$A$3:$A$5001,"&gt;="&amp;$C$7,BD!$A$3:$A$5001,"&lt;="&amp;$B218,BD!$S$3:$S$5001,"&lt;&gt;")=0,"",SUMIFS(BD!$S$3:$S$5001,BD!$B$3:$B$5001,P$198,BD!$A$3:$A$5001,_xlfn.MAXIFS(BD!$A$3:$A$5001,BD!$B$3:$B$5001,P$198,BD!$A$3:$A$5001,"&gt;="&amp;$C$7,BD!$A$3:$A$5001,"&lt;="&amp;$B218,BD!$S$3:$S$5001,"&lt;&gt;"))))</f>
        <v/>
      </c>
      <c r="Q218" s="54" t="str">
        <f>IF(OR($B218="",$A218&gt;$B$9,Q$198=""),"",IF(COUNTIFS(BD!$B$3:$B$5001,Q$198,BD!$A$3:$A$5001,"&gt;="&amp;$C$7,BD!$A$3:$A$5001,"&lt;="&amp;$B218,BD!$S$3:$S$5001,"&lt;&gt;")=0,"",SUMIFS(BD!$S$3:$S$5001,BD!$B$3:$B$5001,Q$198,BD!$A$3:$A$5001,_xlfn.MAXIFS(BD!$A$3:$A$5001,BD!$B$3:$B$5001,Q$198,BD!$A$3:$A$5001,"&gt;="&amp;$C$7,BD!$A$3:$A$5001,"&lt;="&amp;$B218,BD!$S$3:$S$5001,"&lt;&gt;"))))</f>
        <v/>
      </c>
      <c r="R218" s="54" t="str">
        <f>IF(OR($B218="",$A218&gt;$B$9,R$198=""),"",IF(COUNTIFS(BD!$B$3:$B$5001,R$198,BD!$A$3:$A$5001,"&gt;="&amp;$C$7,BD!$A$3:$A$5001,"&lt;="&amp;$B218,BD!$S$3:$S$5001,"&lt;&gt;")=0,"",SUMIFS(BD!$S$3:$S$5001,BD!$B$3:$B$5001,R$198,BD!$A$3:$A$5001,_xlfn.MAXIFS(BD!$A$3:$A$5001,BD!$B$3:$B$5001,R$198,BD!$A$3:$A$5001,"&gt;="&amp;$C$7,BD!$A$3:$A$5001,"&lt;="&amp;$B218,BD!$S$3:$S$5001,"&lt;&gt;"))))</f>
        <v/>
      </c>
      <c r="S218" s="54" t="str">
        <f>IF(OR($B218="",$A218&gt;$B$9,S$198=""),"",IF(COUNTIFS(BD!$B$3:$B$5001,S$198,BD!$A$3:$A$5001,"&gt;="&amp;$C$7,BD!$A$3:$A$5001,"&lt;="&amp;$B218,BD!$S$3:$S$5001,"&lt;&gt;")=0,"",SUMIFS(BD!$S$3:$S$5001,BD!$B$3:$B$5001,S$198,BD!$A$3:$A$5001,_xlfn.MAXIFS(BD!$A$3:$A$5001,BD!$B$3:$B$5001,S$198,BD!$A$3:$A$5001,"&gt;="&amp;$C$7,BD!$A$3:$A$5001,"&lt;="&amp;$B218,BD!$S$3:$S$5001,"&lt;&gt;"))))</f>
        <v/>
      </c>
      <c r="T218" s="54" t="str">
        <f>IF(OR($B218="",$A218&gt;$B$9,T$198=""),"",IF(COUNTIFS(BD!$B$3:$B$5001,T$198,BD!$A$3:$A$5001,"&gt;="&amp;$C$7,BD!$A$3:$A$5001,"&lt;="&amp;$B218,BD!$S$3:$S$5001,"&lt;&gt;")=0,"",SUMIFS(BD!$S$3:$S$5001,BD!$B$3:$B$5001,T$198,BD!$A$3:$A$5001,_xlfn.MAXIFS(BD!$A$3:$A$5001,BD!$B$3:$B$5001,T$198,BD!$A$3:$A$5001,"&gt;="&amp;$C$7,BD!$A$3:$A$5001,"&lt;="&amp;$B218,BD!$S$3:$S$5001,"&lt;&gt;"))))</f>
        <v/>
      </c>
      <c r="U218" s="54" t="str">
        <f>IF(OR($B218="",$A218&gt;$B$9,U$198=""),"",IF(COUNTIFS(BD!$B$3:$B$5001,U$198,BD!$A$3:$A$5001,"&gt;="&amp;$C$7,BD!$A$3:$A$5001,"&lt;="&amp;$B218,BD!$S$3:$S$5001,"&lt;&gt;")=0,"",SUMIFS(BD!$S$3:$S$5001,BD!$B$3:$B$5001,U$198,BD!$A$3:$A$5001,_xlfn.MAXIFS(BD!$A$3:$A$5001,BD!$B$3:$B$5001,U$198,BD!$A$3:$A$5001,"&gt;="&amp;$C$7,BD!$A$3:$A$5001,"&lt;="&amp;$B218,BD!$S$3:$S$5001,"&lt;&gt;"))))</f>
        <v/>
      </c>
      <c r="V218" s="54" t="str">
        <f>IF(OR($B218="",$A218&gt;$B$9,V$198=""),"",IF(COUNTIFS(BD!$B$3:$B$5001,V$198,BD!$A$3:$A$5001,"&gt;="&amp;$C$7,BD!$A$3:$A$5001,"&lt;="&amp;$B218,BD!$S$3:$S$5001,"&lt;&gt;")=0,"",SUMIFS(BD!$S$3:$S$5001,BD!$B$3:$B$5001,V$198,BD!$A$3:$A$5001,_xlfn.MAXIFS(BD!$A$3:$A$5001,BD!$B$3:$B$5001,V$198,BD!$A$3:$A$5001,"&gt;="&amp;$C$7,BD!$A$3:$A$5001,"&lt;="&amp;$B218,BD!$S$3:$S$5001,"&lt;&gt;"))))</f>
        <v/>
      </c>
    </row>
    <row r="219">
      <c r="A219" s="48">
        <v>21</v>
      </c>
      <c r="B219" s="53">
        <f>$B$32</f>
        <v>46316</v>
      </c>
      <c r="C219" s="54" t="str">
        <f>IF(OR($B219="",$A219&gt;$B$9,C$198=""),"",IF(COUNTIFS(BD!$B$3:$B$5001,C$198,BD!$A$3:$A$5001,"&gt;="&amp;$C$7,BD!$A$3:$A$5001,"&lt;="&amp;$B219,BD!$S$3:$S$5001,"&lt;&gt;")=0,"",SUMIFS(BD!$S$3:$S$5001,BD!$B$3:$B$5001,C$198,BD!$A$3:$A$5001,_xlfn.MAXIFS(BD!$A$3:$A$5001,BD!$B$3:$B$5001,C$198,BD!$A$3:$A$5001,"&gt;="&amp;$C$7,BD!$A$3:$A$5001,"&lt;="&amp;$B219,BD!$S$3:$S$5001,"&lt;&gt;"))))</f>
        <v/>
      </c>
      <c r="D219" s="54" t="str">
        <f>IF(OR($B219="",$A219&gt;$B$9,D$198=""),"",IF(COUNTIFS(BD!$B$3:$B$5001,D$198,BD!$A$3:$A$5001,"&gt;="&amp;$C$7,BD!$A$3:$A$5001,"&lt;="&amp;$B219,BD!$S$3:$S$5001,"&lt;&gt;")=0,"",SUMIFS(BD!$S$3:$S$5001,BD!$B$3:$B$5001,D$198,BD!$A$3:$A$5001,_xlfn.MAXIFS(BD!$A$3:$A$5001,BD!$B$3:$B$5001,D$198,BD!$A$3:$A$5001,"&gt;="&amp;$C$7,BD!$A$3:$A$5001,"&lt;="&amp;$B219,BD!$S$3:$S$5001,"&lt;&gt;"))))</f>
        <v/>
      </c>
      <c r="E219" s="54" t="str">
        <f>IF(OR($B219="",$A219&gt;$B$9,E$198=""),"",IF(COUNTIFS(BD!$B$3:$B$5001,E$198,BD!$A$3:$A$5001,"&gt;="&amp;$C$7,BD!$A$3:$A$5001,"&lt;="&amp;$B219,BD!$S$3:$S$5001,"&lt;&gt;")=0,"",SUMIFS(BD!$S$3:$S$5001,BD!$B$3:$B$5001,E$198,BD!$A$3:$A$5001,_xlfn.MAXIFS(BD!$A$3:$A$5001,BD!$B$3:$B$5001,E$198,BD!$A$3:$A$5001,"&gt;="&amp;$C$7,BD!$A$3:$A$5001,"&lt;="&amp;$B219,BD!$S$3:$S$5001,"&lt;&gt;"))))</f>
        <v/>
      </c>
      <c r="F219" s="54" t="str">
        <f>IF(OR($B219="",$A219&gt;$B$9,F$198=""),"",IF(COUNTIFS(BD!$B$3:$B$5001,F$198,BD!$A$3:$A$5001,"&gt;="&amp;$C$7,BD!$A$3:$A$5001,"&lt;="&amp;$B219,BD!$S$3:$S$5001,"&lt;&gt;")=0,"",SUMIFS(BD!$S$3:$S$5001,BD!$B$3:$B$5001,F$198,BD!$A$3:$A$5001,_xlfn.MAXIFS(BD!$A$3:$A$5001,BD!$B$3:$B$5001,F$198,BD!$A$3:$A$5001,"&gt;="&amp;$C$7,BD!$A$3:$A$5001,"&lt;="&amp;$B219,BD!$S$3:$S$5001,"&lt;&gt;"))))</f>
        <v/>
      </c>
      <c r="G219" s="54" t="str">
        <f>IF(OR($B219="",$A219&gt;$B$9,G$198=""),"",IF(COUNTIFS(BD!$B$3:$B$5001,G$198,BD!$A$3:$A$5001,"&gt;="&amp;$C$7,BD!$A$3:$A$5001,"&lt;="&amp;$B219,BD!$S$3:$S$5001,"&lt;&gt;")=0,"",SUMIFS(BD!$S$3:$S$5001,BD!$B$3:$B$5001,G$198,BD!$A$3:$A$5001,_xlfn.MAXIFS(BD!$A$3:$A$5001,BD!$B$3:$B$5001,G$198,BD!$A$3:$A$5001,"&gt;="&amp;$C$7,BD!$A$3:$A$5001,"&lt;="&amp;$B219,BD!$S$3:$S$5001,"&lt;&gt;"))))</f>
        <v/>
      </c>
      <c r="H219" s="54" t="str">
        <f>IF(OR($B219="",$A219&gt;$B$9,H$198=""),"",IF(COUNTIFS(BD!$B$3:$B$5001,H$198,BD!$A$3:$A$5001,"&gt;="&amp;$C$7,BD!$A$3:$A$5001,"&lt;="&amp;$B219,BD!$S$3:$S$5001,"&lt;&gt;")=0,"",SUMIFS(BD!$S$3:$S$5001,BD!$B$3:$B$5001,H$198,BD!$A$3:$A$5001,_xlfn.MAXIFS(BD!$A$3:$A$5001,BD!$B$3:$B$5001,H$198,BD!$A$3:$A$5001,"&gt;="&amp;$C$7,BD!$A$3:$A$5001,"&lt;="&amp;$B219,BD!$S$3:$S$5001,"&lt;&gt;"))))</f>
        <v/>
      </c>
      <c r="I219" s="54" t="str">
        <f>IF(OR($B219="",$A219&gt;$B$9,I$198=""),"",IF(COUNTIFS(BD!$B$3:$B$5001,I$198,BD!$A$3:$A$5001,"&gt;="&amp;$C$7,BD!$A$3:$A$5001,"&lt;="&amp;$B219,BD!$S$3:$S$5001,"&lt;&gt;")=0,"",SUMIFS(BD!$S$3:$S$5001,BD!$B$3:$B$5001,I$198,BD!$A$3:$A$5001,_xlfn.MAXIFS(BD!$A$3:$A$5001,BD!$B$3:$B$5001,I$198,BD!$A$3:$A$5001,"&gt;="&amp;$C$7,BD!$A$3:$A$5001,"&lt;="&amp;$B219,BD!$S$3:$S$5001,"&lt;&gt;"))))</f>
        <v/>
      </c>
      <c r="J219" s="54" t="str">
        <f>IF(OR($B219="",$A219&gt;$B$9,J$198=""),"",IF(COUNTIFS(BD!$B$3:$B$5001,J$198,BD!$A$3:$A$5001,"&gt;="&amp;$C$7,BD!$A$3:$A$5001,"&lt;="&amp;$B219,BD!$S$3:$S$5001,"&lt;&gt;")=0,"",SUMIFS(BD!$S$3:$S$5001,BD!$B$3:$B$5001,J$198,BD!$A$3:$A$5001,_xlfn.MAXIFS(BD!$A$3:$A$5001,BD!$B$3:$B$5001,J$198,BD!$A$3:$A$5001,"&gt;="&amp;$C$7,BD!$A$3:$A$5001,"&lt;="&amp;$B219,BD!$S$3:$S$5001,"&lt;&gt;"))))</f>
        <v/>
      </c>
      <c r="K219" s="54" t="str">
        <f>IF(OR($B219="",$A219&gt;$B$9,K$198=""),"",IF(COUNTIFS(BD!$B$3:$B$5001,K$198,BD!$A$3:$A$5001,"&gt;="&amp;$C$7,BD!$A$3:$A$5001,"&lt;="&amp;$B219,BD!$S$3:$S$5001,"&lt;&gt;")=0,"",SUMIFS(BD!$S$3:$S$5001,BD!$B$3:$B$5001,K$198,BD!$A$3:$A$5001,_xlfn.MAXIFS(BD!$A$3:$A$5001,BD!$B$3:$B$5001,K$198,BD!$A$3:$A$5001,"&gt;="&amp;$C$7,BD!$A$3:$A$5001,"&lt;="&amp;$B219,BD!$S$3:$S$5001,"&lt;&gt;"))))</f>
        <v/>
      </c>
      <c r="L219" s="54" t="str">
        <f>IF(OR($B219="",$A219&gt;$B$9,L$198=""),"",IF(COUNTIFS(BD!$B$3:$B$5001,L$198,BD!$A$3:$A$5001,"&gt;="&amp;$C$7,BD!$A$3:$A$5001,"&lt;="&amp;$B219,BD!$S$3:$S$5001,"&lt;&gt;")=0,"",SUMIFS(BD!$S$3:$S$5001,BD!$B$3:$B$5001,L$198,BD!$A$3:$A$5001,_xlfn.MAXIFS(BD!$A$3:$A$5001,BD!$B$3:$B$5001,L$198,BD!$A$3:$A$5001,"&gt;="&amp;$C$7,BD!$A$3:$A$5001,"&lt;="&amp;$B219,BD!$S$3:$S$5001,"&lt;&gt;"))))</f>
        <v/>
      </c>
      <c r="M219" s="54" t="str">
        <f>IF(OR($B219="",$A219&gt;$B$9,M$198=""),"",IF(COUNTIFS(BD!$B$3:$B$5001,M$198,BD!$A$3:$A$5001,"&gt;="&amp;$C$7,BD!$A$3:$A$5001,"&lt;="&amp;$B219,BD!$S$3:$S$5001,"&lt;&gt;")=0,"",SUMIFS(BD!$S$3:$S$5001,BD!$B$3:$B$5001,M$198,BD!$A$3:$A$5001,_xlfn.MAXIFS(BD!$A$3:$A$5001,BD!$B$3:$B$5001,M$198,BD!$A$3:$A$5001,"&gt;="&amp;$C$7,BD!$A$3:$A$5001,"&lt;="&amp;$B219,BD!$S$3:$S$5001,"&lt;&gt;"))))</f>
        <v/>
      </c>
      <c r="N219" s="54" t="str">
        <f>IF(OR($B219="",$A219&gt;$B$9,N$198=""),"",IF(COUNTIFS(BD!$B$3:$B$5001,N$198,BD!$A$3:$A$5001,"&gt;="&amp;$C$7,BD!$A$3:$A$5001,"&lt;="&amp;$B219,BD!$S$3:$S$5001,"&lt;&gt;")=0,"",SUMIFS(BD!$S$3:$S$5001,BD!$B$3:$B$5001,N$198,BD!$A$3:$A$5001,_xlfn.MAXIFS(BD!$A$3:$A$5001,BD!$B$3:$B$5001,N$198,BD!$A$3:$A$5001,"&gt;="&amp;$C$7,BD!$A$3:$A$5001,"&lt;="&amp;$B219,BD!$S$3:$S$5001,"&lt;&gt;"))))</f>
        <v/>
      </c>
      <c r="O219" s="54" t="str">
        <f>IF(OR($B219="",$A219&gt;$B$9,O$198=""),"",IF(COUNTIFS(BD!$B$3:$B$5001,O$198,BD!$A$3:$A$5001,"&gt;="&amp;$C$7,BD!$A$3:$A$5001,"&lt;="&amp;$B219,BD!$S$3:$S$5001,"&lt;&gt;")=0,"",SUMIFS(BD!$S$3:$S$5001,BD!$B$3:$B$5001,O$198,BD!$A$3:$A$5001,_xlfn.MAXIFS(BD!$A$3:$A$5001,BD!$B$3:$B$5001,O$198,BD!$A$3:$A$5001,"&gt;="&amp;$C$7,BD!$A$3:$A$5001,"&lt;="&amp;$B219,BD!$S$3:$S$5001,"&lt;&gt;"))))</f>
        <v/>
      </c>
      <c r="P219" s="54" t="str">
        <f>IF(OR($B219="",$A219&gt;$B$9,P$198=""),"",IF(COUNTIFS(BD!$B$3:$B$5001,P$198,BD!$A$3:$A$5001,"&gt;="&amp;$C$7,BD!$A$3:$A$5001,"&lt;="&amp;$B219,BD!$S$3:$S$5001,"&lt;&gt;")=0,"",SUMIFS(BD!$S$3:$S$5001,BD!$B$3:$B$5001,P$198,BD!$A$3:$A$5001,_xlfn.MAXIFS(BD!$A$3:$A$5001,BD!$B$3:$B$5001,P$198,BD!$A$3:$A$5001,"&gt;="&amp;$C$7,BD!$A$3:$A$5001,"&lt;="&amp;$B219,BD!$S$3:$S$5001,"&lt;&gt;"))))</f>
        <v/>
      </c>
      <c r="Q219" s="54" t="str">
        <f>IF(OR($B219="",$A219&gt;$B$9,Q$198=""),"",IF(COUNTIFS(BD!$B$3:$B$5001,Q$198,BD!$A$3:$A$5001,"&gt;="&amp;$C$7,BD!$A$3:$A$5001,"&lt;="&amp;$B219,BD!$S$3:$S$5001,"&lt;&gt;")=0,"",SUMIFS(BD!$S$3:$S$5001,BD!$B$3:$B$5001,Q$198,BD!$A$3:$A$5001,_xlfn.MAXIFS(BD!$A$3:$A$5001,BD!$B$3:$B$5001,Q$198,BD!$A$3:$A$5001,"&gt;="&amp;$C$7,BD!$A$3:$A$5001,"&lt;="&amp;$B219,BD!$S$3:$S$5001,"&lt;&gt;"))))</f>
        <v/>
      </c>
      <c r="R219" s="54" t="str">
        <f>IF(OR($B219="",$A219&gt;$B$9,R$198=""),"",IF(COUNTIFS(BD!$B$3:$B$5001,R$198,BD!$A$3:$A$5001,"&gt;="&amp;$C$7,BD!$A$3:$A$5001,"&lt;="&amp;$B219,BD!$S$3:$S$5001,"&lt;&gt;")=0,"",SUMIFS(BD!$S$3:$S$5001,BD!$B$3:$B$5001,R$198,BD!$A$3:$A$5001,_xlfn.MAXIFS(BD!$A$3:$A$5001,BD!$B$3:$B$5001,R$198,BD!$A$3:$A$5001,"&gt;="&amp;$C$7,BD!$A$3:$A$5001,"&lt;="&amp;$B219,BD!$S$3:$S$5001,"&lt;&gt;"))))</f>
        <v/>
      </c>
      <c r="S219" s="54" t="str">
        <f>IF(OR($B219="",$A219&gt;$B$9,S$198=""),"",IF(COUNTIFS(BD!$B$3:$B$5001,S$198,BD!$A$3:$A$5001,"&gt;="&amp;$C$7,BD!$A$3:$A$5001,"&lt;="&amp;$B219,BD!$S$3:$S$5001,"&lt;&gt;")=0,"",SUMIFS(BD!$S$3:$S$5001,BD!$B$3:$B$5001,S$198,BD!$A$3:$A$5001,_xlfn.MAXIFS(BD!$A$3:$A$5001,BD!$B$3:$B$5001,S$198,BD!$A$3:$A$5001,"&gt;="&amp;$C$7,BD!$A$3:$A$5001,"&lt;="&amp;$B219,BD!$S$3:$S$5001,"&lt;&gt;"))))</f>
        <v/>
      </c>
      <c r="T219" s="54" t="str">
        <f>IF(OR($B219="",$A219&gt;$B$9,T$198=""),"",IF(COUNTIFS(BD!$B$3:$B$5001,T$198,BD!$A$3:$A$5001,"&gt;="&amp;$C$7,BD!$A$3:$A$5001,"&lt;="&amp;$B219,BD!$S$3:$S$5001,"&lt;&gt;")=0,"",SUMIFS(BD!$S$3:$S$5001,BD!$B$3:$B$5001,T$198,BD!$A$3:$A$5001,_xlfn.MAXIFS(BD!$A$3:$A$5001,BD!$B$3:$B$5001,T$198,BD!$A$3:$A$5001,"&gt;="&amp;$C$7,BD!$A$3:$A$5001,"&lt;="&amp;$B219,BD!$S$3:$S$5001,"&lt;&gt;"))))</f>
        <v/>
      </c>
      <c r="U219" s="54" t="str">
        <f>IF(OR($B219="",$A219&gt;$B$9,U$198=""),"",IF(COUNTIFS(BD!$B$3:$B$5001,U$198,BD!$A$3:$A$5001,"&gt;="&amp;$C$7,BD!$A$3:$A$5001,"&lt;="&amp;$B219,BD!$S$3:$S$5001,"&lt;&gt;")=0,"",SUMIFS(BD!$S$3:$S$5001,BD!$B$3:$B$5001,U$198,BD!$A$3:$A$5001,_xlfn.MAXIFS(BD!$A$3:$A$5001,BD!$B$3:$B$5001,U$198,BD!$A$3:$A$5001,"&gt;="&amp;$C$7,BD!$A$3:$A$5001,"&lt;="&amp;$B219,BD!$S$3:$S$5001,"&lt;&gt;"))))</f>
        <v/>
      </c>
      <c r="V219" s="54" t="str">
        <f>IF(OR($B219="",$A219&gt;$B$9,V$198=""),"",IF(COUNTIFS(BD!$B$3:$B$5001,V$198,BD!$A$3:$A$5001,"&gt;="&amp;$C$7,BD!$A$3:$A$5001,"&lt;="&amp;$B219,BD!$S$3:$S$5001,"&lt;&gt;")=0,"",SUMIFS(BD!$S$3:$S$5001,BD!$B$3:$B$5001,V$198,BD!$A$3:$A$5001,_xlfn.MAXIFS(BD!$A$3:$A$5001,BD!$B$3:$B$5001,V$198,BD!$A$3:$A$5001,"&gt;="&amp;$C$7,BD!$A$3:$A$5001,"&lt;="&amp;$B219,BD!$S$3:$S$5001,"&lt;&gt;"))))</f>
        <v/>
      </c>
    </row>
    <row r="220">
      <c r="A220" s="48">
        <v>22</v>
      </c>
      <c r="B220" s="53">
        <f>$B$33</f>
        <v>46317</v>
      </c>
      <c r="C220" s="54" t="str">
        <f>IF(OR($B220="",$A220&gt;$B$9,C$198=""),"",IF(COUNTIFS(BD!$B$3:$B$5001,C$198,BD!$A$3:$A$5001,"&gt;="&amp;$C$7,BD!$A$3:$A$5001,"&lt;="&amp;$B220,BD!$S$3:$S$5001,"&lt;&gt;")=0,"",SUMIFS(BD!$S$3:$S$5001,BD!$B$3:$B$5001,C$198,BD!$A$3:$A$5001,_xlfn.MAXIFS(BD!$A$3:$A$5001,BD!$B$3:$B$5001,C$198,BD!$A$3:$A$5001,"&gt;="&amp;$C$7,BD!$A$3:$A$5001,"&lt;="&amp;$B220,BD!$S$3:$S$5001,"&lt;&gt;"))))</f>
        <v/>
      </c>
      <c r="D220" s="54" t="str">
        <f>IF(OR($B220="",$A220&gt;$B$9,D$198=""),"",IF(COUNTIFS(BD!$B$3:$B$5001,D$198,BD!$A$3:$A$5001,"&gt;="&amp;$C$7,BD!$A$3:$A$5001,"&lt;="&amp;$B220,BD!$S$3:$S$5001,"&lt;&gt;")=0,"",SUMIFS(BD!$S$3:$S$5001,BD!$B$3:$B$5001,D$198,BD!$A$3:$A$5001,_xlfn.MAXIFS(BD!$A$3:$A$5001,BD!$B$3:$B$5001,D$198,BD!$A$3:$A$5001,"&gt;="&amp;$C$7,BD!$A$3:$A$5001,"&lt;="&amp;$B220,BD!$S$3:$S$5001,"&lt;&gt;"))))</f>
        <v/>
      </c>
      <c r="E220" s="54" t="str">
        <f>IF(OR($B220="",$A220&gt;$B$9,E$198=""),"",IF(COUNTIFS(BD!$B$3:$B$5001,E$198,BD!$A$3:$A$5001,"&gt;="&amp;$C$7,BD!$A$3:$A$5001,"&lt;="&amp;$B220,BD!$S$3:$S$5001,"&lt;&gt;")=0,"",SUMIFS(BD!$S$3:$S$5001,BD!$B$3:$B$5001,E$198,BD!$A$3:$A$5001,_xlfn.MAXIFS(BD!$A$3:$A$5001,BD!$B$3:$B$5001,E$198,BD!$A$3:$A$5001,"&gt;="&amp;$C$7,BD!$A$3:$A$5001,"&lt;="&amp;$B220,BD!$S$3:$S$5001,"&lt;&gt;"))))</f>
        <v/>
      </c>
      <c r="F220" s="54" t="str">
        <f>IF(OR($B220="",$A220&gt;$B$9,F$198=""),"",IF(COUNTIFS(BD!$B$3:$B$5001,F$198,BD!$A$3:$A$5001,"&gt;="&amp;$C$7,BD!$A$3:$A$5001,"&lt;="&amp;$B220,BD!$S$3:$S$5001,"&lt;&gt;")=0,"",SUMIFS(BD!$S$3:$S$5001,BD!$B$3:$B$5001,F$198,BD!$A$3:$A$5001,_xlfn.MAXIFS(BD!$A$3:$A$5001,BD!$B$3:$B$5001,F$198,BD!$A$3:$A$5001,"&gt;="&amp;$C$7,BD!$A$3:$A$5001,"&lt;="&amp;$B220,BD!$S$3:$S$5001,"&lt;&gt;"))))</f>
        <v/>
      </c>
      <c r="G220" s="54" t="str">
        <f>IF(OR($B220="",$A220&gt;$B$9,G$198=""),"",IF(COUNTIFS(BD!$B$3:$B$5001,G$198,BD!$A$3:$A$5001,"&gt;="&amp;$C$7,BD!$A$3:$A$5001,"&lt;="&amp;$B220,BD!$S$3:$S$5001,"&lt;&gt;")=0,"",SUMIFS(BD!$S$3:$S$5001,BD!$B$3:$B$5001,G$198,BD!$A$3:$A$5001,_xlfn.MAXIFS(BD!$A$3:$A$5001,BD!$B$3:$B$5001,G$198,BD!$A$3:$A$5001,"&gt;="&amp;$C$7,BD!$A$3:$A$5001,"&lt;="&amp;$B220,BD!$S$3:$S$5001,"&lt;&gt;"))))</f>
        <v/>
      </c>
      <c r="H220" s="54" t="str">
        <f>IF(OR($B220="",$A220&gt;$B$9,H$198=""),"",IF(COUNTIFS(BD!$B$3:$B$5001,H$198,BD!$A$3:$A$5001,"&gt;="&amp;$C$7,BD!$A$3:$A$5001,"&lt;="&amp;$B220,BD!$S$3:$S$5001,"&lt;&gt;")=0,"",SUMIFS(BD!$S$3:$S$5001,BD!$B$3:$B$5001,H$198,BD!$A$3:$A$5001,_xlfn.MAXIFS(BD!$A$3:$A$5001,BD!$B$3:$B$5001,H$198,BD!$A$3:$A$5001,"&gt;="&amp;$C$7,BD!$A$3:$A$5001,"&lt;="&amp;$B220,BD!$S$3:$S$5001,"&lt;&gt;"))))</f>
        <v/>
      </c>
      <c r="I220" s="54" t="str">
        <f>IF(OR($B220="",$A220&gt;$B$9,I$198=""),"",IF(COUNTIFS(BD!$B$3:$B$5001,I$198,BD!$A$3:$A$5001,"&gt;="&amp;$C$7,BD!$A$3:$A$5001,"&lt;="&amp;$B220,BD!$S$3:$S$5001,"&lt;&gt;")=0,"",SUMIFS(BD!$S$3:$S$5001,BD!$B$3:$B$5001,I$198,BD!$A$3:$A$5001,_xlfn.MAXIFS(BD!$A$3:$A$5001,BD!$B$3:$B$5001,I$198,BD!$A$3:$A$5001,"&gt;="&amp;$C$7,BD!$A$3:$A$5001,"&lt;="&amp;$B220,BD!$S$3:$S$5001,"&lt;&gt;"))))</f>
        <v/>
      </c>
      <c r="J220" s="54" t="str">
        <f>IF(OR($B220="",$A220&gt;$B$9,J$198=""),"",IF(COUNTIFS(BD!$B$3:$B$5001,J$198,BD!$A$3:$A$5001,"&gt;="&amp;$C$7,BD!$A$3:$A$5001,"&lt;="&amp;$B220,BD!$S$3:$S$5001,"&lt;&gt;")=0,"",SUMIFS(BD!$S$3:$S$5001,BD!$B$3:$B$5001,J$198,BD!$A$3:$A$5001,_xlfn.MAXIFS(BD!$A$3:$A$5001,BD!$B$3:$B$5001,J$198,BD!$A$3:$A$5001,"&gt;="&amp;$C$7,BD!$A$3:$A$5001,"&lt;="&amp;$B220,BD!$S$3:$S$5001,"&lt;&gt;"))))</f>
        <v/>
      </c>
      <c r="K220" s="54" t="str">
        <f>IF(OR($B220="",$A220&gt;$B$9,K$198=""),"",IF(COUNTIFS(BD!$B$3:$B$5001,K$198,BD!$A$3:$A$5001,"&gt;="&amp;$C$7,BD!$A$3:$A$5001,"&lt;="&amp;$B220,BD!$S$3:$S$5001,"&lt;&gt;")=0,"",SUMIFS(BD!$S$3:$S$5001,BD!$B$3:$B$5001,K$198,BD!$A$3:$A$5001,_xlfn.MAXIFS(BD!$A$3:$A$5001,BD!$B$3:$B$5001,K$198,BD!$A$3:$A$5001,"&gt;="&amp;$C$7,BD!$A$3:$A$5001,"&lt;="&amp;$B220,BD!$S$3:$S$5001,"&lt;&gt;"))))</f>
        <v/>
      </c>
      <c r="L220" s="54" t="str">
        <f>IF(OR($B220="",$A220&gt;$B$9,L$198=""),"",IF(COUNTIFS(BD!$B$3:$B$5001,L$198,BD!$A$3:$A$5001,"&gt;="&amp;$C$7,BD!$A$3:$A$5001,"&lt;="&amp;$B220,BD!$S$3:$S$5001,"&lt;&gt;")=0,"",SUMIFS(BD!$S$3:$S$5001,BD!$B$3:$B$5001,L$198,BD!$A$3:$A$5001,_xlfn.MAXIFS(BD!$A$3:$A$5001,BD!$B$3:$B$5001,L$198,BD!$A$3:$A$5001,"&gt;="&amp;$C$7,BD!$A$3:$A$5001,"&lt;="&amp;$B220,BD!$S$3:$S$5001,"&lt;&gt;"))))</f>
        <v/>
      </c>
      <c r="M220" s="54" t="str">
        <f>IF(OR($B220="",$A220&gt;$B$9,M$198=""),"",IF(COUNTIFS(BD!$B$3:$B$5001,M$198,BD!$A$3:$A$5001,"&gt;="&amp;$C$7,BD!$A$3:$A$5001,"&lt;="&amp;$B220,BD!$S$3:$S$5001,"&lt;&gt;")=0,"",SUMIFS(BD!$S$3:$S$5001,BD!$B$3:$B$5001,M$198,BD!$A$3:$A$5001,_xlfn.MAXIFS(BD!$A$3:$A$5001,BD!$B$3:$B$5001,M$198,BD!$A$3:$A$5001,"&gt;="&amp;$C$7,BD!$A$3:$A$5001,"&lt;="&amp;$B220,BD!$S$3:$S$5001,"&lt;&gt;"))))</f>
        <v/>
      </c>
      <c r="N220" s="54" t="str">
        <f>IF(OR($B220="",$A220&gt;$B$9,N$198=""),"",IF(COUNTIFS(BD!$B$3:$B$5001,N$198,BD!$A$3:$A$5001,"&gt;="&amp;$C$7,BD!$A$3:$A$5001,"&lt;="&amp;$B220,BD!$S$3:$S$5001,"&lt;&gt;")=0,"",SUMIFS(BD!$S$3:$S$5001,BD!$B$3:$B$5001,N$198,BD!$A$3:$A$5001,_xlfn.MAXIFS(BD!$A$3:$A$5001,BD!$B$3:$B$5001,N$198,BD!$A$3:$A$5001,"&gt;="&amp;$C$7,BD!$A$3:$A$5001,"&lt;="&amp;$B220,BD!$S$3:$S$5001,"&lt;&gt;"))))</f>
        <v/>
      </c>
      <c r="O220" s="54" t="str">
        <f>IF(OR($B220="",$A220&gt;$B$9,O$198=""),"",IF(COUNTIFS(BD!$B$3:$B$5001,O$198,BD!$A$3:$A$5001,"&gt;="&amp;$C$7,BD!$A$3:$A$5001,"&lt;="&amp;$B220,BD!$S$3:$S$5001,"&lt;&gt;")=0,"",SUMIFS(BD!$S$3:$S$5001,BD!$B$3:$B$5001,O$198,BD!$A$3:$A$5001,_xlfn.MAXIFS(BD!$A$3:$A$5001,BD!$B$3:$B$5001,O$198,BD!$A$3:$A$5001,"&gt;="&amp;$C$7,BD!$A$3:$A$5001,"&lt;="&amp;$B220,BD!$S$3:$S$5001,"&lt;&gt;"))))</f>
        <v/>
      </c>
      <c r="P220" s="54" t="str">
        <f>IF(OR($B220="",$A220&gt;$B$9,P$198=""),"",IF(COUNTIFS(BD!$B$3:$B$5001,P$198,BD!$A$3:$A$5001,"&gt;="&amp;$C$7,BD!$A$3:$A$5001,"&lt;="&amp;$B220,BD!$S$3:$S$5001,"&lt;&gt;")=0,"",SUMIFS(BD!$S$3:$S$5001,BD!$B$3:$B$5001,P$198,BD!$A$3:$A$5001,_xlfn.MAXIFS(BD!$A$3:$A$5001,BD!$B$3:$B$5001,P$198,BD!$A$3:$A$5001,"&gt;="&amp;$C$7,BD!$A$3:$A$5001,"&lt;="&amp;$B220,BD!$S$3:$S$5001,"&lt;&gt;"))))</f>
        <v/>
      </c>
      <c r="Q220" s="54" t="str">
        <f>IF(OR($B220="",$A220&gt;$B$9,Q$198=""),"",IF(COUNTIFS(BD!$B$3:$B$5001,Q$198,BD!$A$3:$A$5001,"&gt;="&amp;$C$7,BD!$A$3:$A$5001,"&lt;="&amp;$B220,BD!$S$3:$S$5001,"&lt;&gt;")=0,"",SUMIFS(BD!$S$3:$S$5001,BD!$B$3:$B$5001,Q$198,BD!$A$3:$A$5001,_xlfn.MAXIFS(BD!$A$3:$A$5001,BD!$B$3:$B$5001,Q$198,BD!$A$3:$A$5001,"&gt;="&amp;$C$7,BD!$A$3:$A$5001,"&lt;="&amp;$B220,BD!$S$3:$S$5001,"&lt;&gt;"))))</f>
        <v/>
      </c>
      <c r="R220" s="54" t="str">
        <f>IF(OR($B220="",$A220&gt;$B$9,R$198=""),"",IF(COUNTIFS(BD!$B$3:$B$5001,R$198,BD!$A$3:$A$5001,"&gt;="&amp;$C$7,BD!$A$3:$A$5001,"&lt;="&amp;$B220,BD!$S$3:$S$5001,"&lt;&gt;")=0,"",SUMIFS(BD!$S$3:$S$5001,BD!$B$3:$B$5001,R$198,BD!$A$3:$A$5001,_xlfn.MAXIFS(BD!$A$3:$A$5001,BD!$B$3:$B$5001,R$198,BD!$A$3:$A$5001,"&gt;="&amp;$C$7,BD!$A$3:$A$5001,"&lt;="&amp;$B220,BD!$S$3:$S$5001,"&lt;&gt;"))))</f>
        <v/>
      </c>
      <c r="S220" s="54" t="str">
        <f>IF(OR($B220="",$A220&gt;$B$9,S$198=""),"",IF(COUNTIFS(BD!$B$3:$B$5001,S$198,BD!$A$3:$A$5001,"&gt;="&amp;$C$7,BD!$A$3:$A$5001,"&lt;="&amp;$B220,BD!$S$3:$S$5001,"&lt;&gt;")=0,"",SUMIFS(BD!$S$3:$S$5001,BD!$B$3:$B$5001,S$198,BD!$A$3:$A$5001,_xlfn.MAXIFS(BD!$A$3:$A$5001,BD!$B$3:$B$5001,S$198,BD!$A$3:$A$5001,"&gt;="&amp;$C$7,BD!$A$3:$A$5001,"&lt;="&amp;$B220,BD!$S$3:$S$5001,"&lt;&gt;"))))</f>
        <v/>
      </c>
      <c r="T220" s="54" t="str">
        <f>IF(OR($B220="",$A220&gt;$B$9,T$198=""),"",IF(COUNTIFS(BD!$B$3:$B$5001,T$198,BD!$A$3:$A$5001,"&gt;="&amp;$C$7,BD!$A$3:$A$5001,"&lt;="&amp;$B220,BD!$S$3:$S$5001,"&lt;&gt;")=0,"",SUMIFS(BD!$S$3:$S$5001,BD!$B$3:$B$5001,T$198,BD!$A$3:$A$5001,_xlfn.MAXIFS(BD!$A$3:$A$5001,BD!$B$3:$B$5001,T$198,BD!$A$3:$A$5001,"&gt;="&amp;$C$7,BD!$A$3:$A$5001,"&lt;="&amp;$B220,BD!$S$3:$S$5001,"&lt;&gt;"))))</f>
        <v/>
      </c>
      <c r="U220" s="54" t="str">
        <f>IF(OR($B220="",$A220&gt;$B$9,U$198=""),"",IF(COUNTIFS(BD!$B$3:$B$5001,U$198,BD!$A$3:$A$5001,"&gt;="&amp;$C$7,BD!$A$3:$A$5001,"&lt;="&amp;$B220,BD!$S$3:$S$5001,"&lt;&gt;")=0,"",SUMIFS(BD!$S$3:$S$5001,BD!$B$3:$B$5001,U$198,BD!$A$3:$A$5001,_xlfn.MAXIFS(BD!$A$3:$A$5001,BD!$B$3:$B$5001,U$198,BD!$A$3:$A$5001,"&gt;="&amp;$C$7,BD!$A$3:$A$5001,"&lt;="&amp;$B220,BD!$S$3:$S$5001,"&lt;&gt;"))))</f>
        <v/>
      </c>
      <c r="V220" s="54" t="str">
        <f>IF(OR($B220="",$A220&gt;$B$9,V$198=""),"",IF(COUNTIFS(BD!$B$3:$B$5001,V$198,BD!$A$3:$A$5001,"&gt;="&amp;$C$7,BD!$A$3:$A$5001,"&lt;="&amp;$B220,BD!$S$3:$S$5001,"&lt;&gt;")=0,"",SUMIFS(BD!$S$3:$S$5001,BD!$B$3:$B$5001,V$198,BD!$A$3:$A$5001,_xlfn.MAXIFS(BD!$A$3:$A$5001,BD!$B$3:$B$5001,V$198,BD!$A$3:$A$5001,"&gt;="&amp;$C$7,BD!$A$3:$A$5001,"&lt;="&amp;$B220,BD!$S$3:$S$5001,"&lt;&gt;"))))</f>
        <v/>
      </c>
    </row>
    <row r="221">
      <c r="A221" s="48">
        <v>23</v>
      </c>
      <c r="B221" s="53">
        <f>$B$34</f>
        <v>46318</v>
      </c>
      <c r="C221" s="54" t="str">
        <f>IF(OR($B221="",$A221&gt;$B$9,C$198=""),"",IF(COUNTIFS(BD!$B$3:$B$5001,C$198,BD!$A$3:$A$5001,"&gt;="&amp;$C$7,BD!$A$3:$A$5001,"&lt;="&amp;$B221,BD!$S$3:$S$5001,"&lt;&gt;")=0,"",SUMIFS(BD!$S$3:$S$5001,BD!$B$3:$B$5001,C$198,BD!$A$3:$A$5001,_xlfn.MAXIFS(BD!$A$3:$A$5001,BD!$B$3:$B$5001,C$198,BD!$A$3:$A$5001,"&gt;="&amp;$C$7,BD!$A$3:$A$5001,"&lt;="&amp;$B221,BD!$S$3:$S$5001,"&lt;&gt;"))))</f>
        <v/>
      </c>
      <c r="D221" s="54" t="str">
        <f>IF(OR($B221="",$A221&gt;$B$9,D$198=""),"",IF(COUNTIFS(BD!$B$3:$B$5001,D$198,BD!$A$3:$A$5001,"&gt;="&amp;$C$7,BD!$A$3:$A$5001,"&lt;="&amp;$B221,BD!$S$3:$S$5001,"&lt;&gt;")=0,"",SUMIFS(BD!$S$3:$S$5001,BD!$B$3:$B$5001,D$198,BD!$A$3:$A$5001,_xlfn.MAXIFS(BD!$A$3:$A$5001,BD!$B$3:$B$5001,D$198,BD!$A$3:$A$5001,"&gt;="&amp;$C$7,BD!$A$3:$A$5001,"&lt;="&amp;$B221,BD!$S$3:$S$5001,"&lt;&gt;"))))</f>
        <v/>
      </c>
      <c r="E221" s="54" t="str">
        <f>IF(OR($B221="",$A221&gt;$B$9,E$198=""),"",IF(COUNTIFS(BD!$B$3:$B$5001,E$198,BD!$A$3:$A$5001,"&gt;="&amp;$C$7,BD!$A$3:$A$5001,"&lt;="&amp;$B221,BD!$S$3:$S$5001,"&lt;&gt;")=0,"",SUMIFS(BD!$S$3:$S$5001,BD!$B$3:$B$5001,E$198,BD!$A$3:$A$5001,_xlfn.MAXIFS(BD!$A$3:$A$5001,BD!$B$3:$B$5001,E$198,BD!$A$3:$A$5001,"&gt;="&amp;$C$7,BD!$A$3:$A$5001,"&lt;="&amp;$B221,BD!$S$3:$S$5001,"&lt;&gt;"))))</f>
        <v/>
      </c>
      <c r="F221" s="54" t="str">
        <f>IF(OR($B221="",$A221&gt;$B$9,F$198=""),"",IF(COUNTIFS(BD!$B$3:$B$5001,F$198,BD!$A$3:$A$5001,"&gt;="&amp;$C$7,BD!$A$3:$A$5001,"&lt;="&amp;$B221,BD!$S$3:$S$5001,"&lt;&gt;")=0,"",SUMIFS(BD!$S$3:$S$5001,BD!$B$3:$B$5001,F$198,BD!$A$3:$A$5001,_xlfn.MAXIFS(BD!$A$3:$A$5001,BD!$B$3:$B$5001,F$198,BD!$A$3:$A$5001,"&gt;="&amp;$C$7,BD!$A$3:$A$5001,"&lt;="&amp;$B221,BD!$S$3:$S$5001,"&lt;&gt;"))))</f>
        <v/>
      </c>
      <c r="G221" s="54" t="str">
        <f>IF(OR($B221="",$A221&gt;$B$9,G$198=""),"",IF(COUNTIFS(BD!$B$3:$B$5001,G$198,BD!$A$3:$A$5001,"&gt;="&amp;$C$7,BD!$A$3:$A$5001,"&lt;="&amp;$B221,BD!$S$3:$S$5001,"&lt;&gt;")=0,"",SUMIFS(BD!$S$3:$S$5001,BD!$B$3:$B$5001,G$198,BD!$A$3:$A$5001,_xlfn.MAXIFS(BD!$A$3:$A$5001,BD!$B$3:$B$5001,G$198,BD!$A$3:$A$5001,"&gt;="&amp;$C$7,BD!$A$3:$A$5001,"&lt;="&amp;$B221,BD!$S$3:$S$5001,"&lt;&gt;"))))</f>
        <v/>
      </c>
      <c r="H221" s="54" t="str">
        <f>IF(OR($B221="",$A221&gt;$B$9,H$198=""),"",IF(COUNTIFS(BD!$B$3:$B$5001,H$198,BD!$A$3:$A$5001,"&gt;="&amp;$C$7,BD!$A$3:$A$5001,"&lt;="&amp;$B221,BD!$S$3:$S$5001,"&lt;&gt;")=0,"",SUMIFS(BD!$S$3:$S$5001,BD!$B$3:$B$5001,H$198,BD!$A$3:$A$5001,_xlfn.MAXIFS(BD!$A$3:$A$5001,BD!$B$3:$B$5001,H$198,BD!$A$3:$A$5001,"&gt;="&amp;$C$7,BD!$A$3:$A$5001,"&lt;="&amp;$B221,BD!$S$3:$S$5001,"&lt;&gt;"))))</f>
        <v/>
      </c>
      <c r="I221" s="54" t="str">
        <f>IF(OR($B221="",$A221&gt;$B$9,I$198=""),"",IF(COUNTIFS(BD!$B$3:$B$5001,I$198,BD!$A$3:$A$5001,"&gt;="&amp;$C$7,BD!$A$3:$A$5001,"&lt;="&amp;$B221,BD!$S$3:$S$5001,"&lt;&gt;")=0,"",SUMIFS(BD!$S$3:$S$5001,BD!$B$3:$B$5001,I$198,BD!$A$3:$A$5001,_xlfn.MAXIFS(BD!$A$3:$A$5001,BD!$B$3:$B$5001,I$198,BD!$A$3:$A$5001,"&gt;="&amp;$C$7,BD!$A$3:$A$5001,"&lt;="&amp;$B221,BD!$S$3:$S$5001,"&lt;&gt;"))))</f>
        <v/>
      </c>
      <c r="J221" s="54" t="str">
        <f>IF(OR($B221="",$A221&gt;$B$9,J$198=""),"",IF(COUNTIFS(BD!$B$3:$B$5001,J$198,BD!$A$3:$A$5001,"&gt;="&amp;$C$7,BD!$A$3:$A$5001,"&lt;="&amp;$B221,BD!$S$3:$S$5001,"&lt;&gt;")=0,"",SUMIFS(BD!$S$3:$S$5001,BD!$B$3:$B$5001,J$198,BD!$A$3:$A$5001,_xlfn.MAXIFS(BD!$A$3:$A$5001,BD!$B$3:$B$5001,J$198,BD!$A$3:$A$5001,"&gt;="&amp;$C$7,BD!$A$3:$A$5001,"&lt;="&amp;$B221,BD!$S$3:$S$5001,"&lt;&gt;"))))</f>
        <v/>
      </c>
      <c r="K221" s="54" t="str">
        <f>IF(OR($B221="",$A221&gt;$B$9,K$198=""),"",IF(COUNTIFS(BD!$B$3:$B$5001,K$198,BD!$A$3:$A$5001,"&gt;="&amp;$C$7,BD!$A$3:$A$5001,"&lt;="&amp;$B221,BD!$S$3:$S$5001,"&lt;&gt;")=0,"",SUMIFS(BD!$S$3:$S$5001,BD!$B$3:$B$5001,K$198,BD!$A$3:$A$5001,_xlfn.MAXIFS(BD!$A$3:$A$5001,BD!$B$3:$B$5001,K$198,BD!$A$3:$A$5001,"&gt;="&amp;$C$7,BD!$A$3:$A$5001,"&lt;="&amp;$B221,BD!$S$3:$S$5001,"&lt;&gt;"))))</f>
        <v/>
      </c>
      <c r="L221" s="54" t="str">
        <f>IF(OR($B221="",$A221&gt;$B$9,L$198=""),"",IF(COUNTIFS(BD!$B$3:$B$5001,L$198,BD!$A$3:$A$5001,"&gt;="&amp;$C$7,BD!$A$3:$A$5001,"&lt;="&amp;$B221,BD!$S$3:$S$5001,"&lt;&gt;")=0,"",SUMIFS(BD!$S$3:$S$5001,BD!$B$3:$B$5001,L$198,BD!$A$3:$A$5001,_xlfn.MAXIFS(BD!$A$3:$A$5001,BD!$B$3:$B$5001,L$198,BD!$A$3:$A$5001,"&gt;="&amp;$C$7,BD!$A$3:$A$5001,"&lt;="&amp;$B221,BD!$S$3:$S$5001,"&lt;&gt;"))))</f>
        <v/>
      </c>
      <c r="M221" s="54" t="str">
        <f>IF(OR($B221="",$A221&gt;$B$9,M$198=""),"",IF(COUNTIFS(BD!$B$3:$B$5001,M$198,BD!$A$3:$A$5001,"&gt;="&amp;$C$7,BD!$A$3:$A$5001,"&lt;="&amp;$B221,BD!$S$3:$S$5001,"&lt;&gt;")=0,"",SUMIFS(BD!$S$3:$S$5001,BD!$B$3:$B$5001,M$198,BD!$A$3:$A$5001,_xlfn.MAXIFS(BD!$A$3:$A$5001,BD!$B$3:$B$5001,M$198,BD!$A$3:$A$5001,"&gt;="&amp;$C$7,BD!$A$3:$A$5001,"&lt;="&amp;$B221,BD!$S$3:$S$5001,"&lt;&gt;"))))</f>
        <v/>
      </c>
      <c r="N221" s="54" t="str">
        <f>IF(OR($B221="",$A221&gt;$B$9,N$198=""),"",IF(COUNTIFS(BD!$B$3:$B$5001,N$198,BD!$A$3:$A$5001,"&gt;="&amp;$C$7,BD!$A$3:$A$5001,"&lt;="&amp;$B221,BD!$S$3:$S$5001,"&lt;&gt;")=0,"",SUMIFS(BD!$S$3:$S$5001,BD!$B$3:$B$5001,N$198,BD!$A$3:$A$5001,_xlfn.MAXIFS(BD!$A$3:$A$5001,BD!$B$3:$B$5001,N$198,BD!$A$3:$A$5001,"&gt;="&amp;$C$7,BD!$A$3:$A$5001,"&lt;="&amp;$B221,BD!$S$3:$S$5001,"&lt;&gt;"))))</f>
        <v/>
      </c>
      <c r="O221" s="54" t="str">
        <f>IF(OR($B221="",$A221&gt;$B$9,O$198=""),"",IF(COUNTIFS(BD!$B$3:$B$5001,O$198,BD!$A$3:$A$5001,"&gt;="&amp;$C$7,BD!$A$3:$A$5001,"&lt;="&amp;$B221,BD!$S$3:$S$5001,"&lt;&gt;")=0,"",SUMIFS(BD!$S$3:$S$5001,BD!$B$3:$B$5001,O$198,BD!$A$3:$A$5001,_xlfn.MAXIFS(BD!$A$3:$A$5001,BD!$B$3:$B$5001,O$198,BD!$A$3:$A$5001,"&gt;="&amp;$C$7,BD!$A$3:$A$5001,"&lt;="&amp;$B221,BD!$S$3:$S$5001,"&lt;&gt;"))))</f>
        <v/>
      </c>
      <c r="P221" s="54" t="str">
        <f>IF(OR($B221="",$A221&gt;$B$9,P$198=""),"",IF(COUNTIFS(BD!$B$3:$B$5001,P$198,BD!$A$3:$A$5001,"&gt;="&amp;$C$7,BD!$A$3:$A$5001,"&lt;="&amp;$B221,BD!$S$3:$S$5001,"&lt;&gt;")=0,"",SUMIFS(BD!$S$3:$S$5001,BD!$B$3:$B$5001,P$198,BD!$A$3:$A$5001,_xlfn.MAXIFS(BD!$A$3:$A$5001,BD!$B$3:$B$5001,P$198,BD!$A$3:$A$5001,"&gt;="&amp;$C$7,BD!$A$3:$A$5001,"&lt;="&amp;$B221,BD!$S$3:$S$5001,"&lt;&gt;"))))</f>
        <v/>
      </c>
      <c r="Q221" s="54" t="str">
        <f>IF(OR($B221="",$A221&gt;$B$9,Q$198=""),"",IF(COUNTIFS(BD!$B$3:$B$5001,Q$198,BD!$A$3:$A$5001,"&gt;="&amp;$C$7,BD!$A$3:$A$5001,"&lt;="&amp;$B221,BD!$S$3:$S$5001,"&lt;&gt;")=0,"",SUMIFS(BD!$S$3:$S$5001,BD!$B$3:$B$5001,Q$198,BD!$A$3:$A$5001,_xlfn.MAXIFS(BD!$A$3:$A$5001,BD!$B$3:$B$5001,Q$198,BD!$A$3:$A$5001,"&gt;="&amp;$C$7,BD!$A$3:$A$5001,"&lt;="&amp;$B221,BD!$S$3:$S$5001,"&lt;&gt;"))))</f>
        <v/>
      </c>
      <c r="R221" s="54" t="str">
        <f>IF(OR($B221="",$A221&gt;$B$9,R$198=""),"",IF(COUNTIFS(BD!$B$3:$B$5001,R$198,BD!$A$3:$A$5001,"&gt;="&amp;$C$7,BD!$A$3:$A$5001,"&lt;="&amp;$B221,BD!$S$3:$S$5001,"&lt;&gt;")=0,"",SUMIFS(BD!$S$3:$S$5001,BD!$B$3:$B$5001,R$198,BD!$A$3:$A$5001,_xlfn.MAXIFS(BD!$A$3:$A$5001,BD!$B$3:$B$5001,R$198,BD!$A$3:$A$5001,"&gt;="&amp;$C$7,BD!$A$3:$A$5001,"&lt;="&amp;$B221,BD!$S$3:$S$5001,"&lt;&gt;"))))</f>
        <v/>
      </c>
      <c r="S221" s="54" t="str">
        <f>IF(OR($B221="",$A221&gt;$B$9,S$198=""),"",IF(COUNTIFS(BD!$B$3:$B$5001,S$198,BD!$A$3:$A$5001,"&gt;="&amp;$C$7,BD!$A$3:$A$5001,"&lt;="&amp;$B221,BD!$S$3:$S$5001,"&lt;&gt;")=0,"",SUMIFS(BD!$S$3:$S$5001,BD!$B$3:$B$5001,S$198,BD!$A$3:$A$5001,_xlfn.MAXIFS(BD!$A$3:$A$5001,BD!$B$3:$B$5001,S$198,BD!$A$3:$A$5001,"&gt;="&amp;$C$7,BD!$A$3:$A$5001,"&lt;="&amp;$B221,BD!$S$3:$S$5001,"&lt;&gt;"))))</f>
        <v/>
      </c>
      <c r="T221" s="54" t="str">
        <f>IF(OR($B221="",$A221&gt;$B$9,T$198=""),"",IF(COUNTIFS(BD!$B$3:$B$5001,T$198,BD!$A$3:$A$5001,"&gt;="&amp;$C$7,BD!$A$3:$A$5001,"&lt;="&amp;$B221,BD!$S$3:$S$5001,"&lt;&gt;")=0,"",SUMIFS(BD!$S$3:$S$5001,BD!$B$3:$B$5001,T$198,BD!$A$3:$A$5001,_xlfn.MAXIFS(BD!$A$3:$A$5001,BD!$B$3:$B$5001,T$198,BD!$A$3:$A$5001,"&gt;="&amp;$C$7,BD!$A$3:$A$5001,"&lt;="&amp;$B221,BD!$S$3:$S$5001,"&lt;&gt;"))))</f>
        <v/>
      </c>
      <c r="U221" s="54" t="str">
        <f>IF(OR($B221="",$A221&gt;$B$9,U$198=""),"",IF(COUNTIFS(BD!$B$3:$B$5001,U$198,BD!$A$3:$A$5001,"&gt;="&amp;$C$7,BD!$A$3:$A$5001,"&lt;="&amp;$B221,BD!$S$3:$S$5001,"&lt;&gt;")=0,"",SUMIFS(BD!$S$3:$S$5001,BD!$B$3:$B$5001,U$198,BD!$A$3:$A$5001,_xlfn.MAXIFS(BD!$A$3:$A$5001,BD!$B$3:$B$5001,U$198,BD!$A$3:$A$5001,"&gt;="&amp;$C$7,BD!$A$3:$A$5001,"&lt;="&amp;$B221,BD!$S$3:$S$5001,"&lt;&gt;"))))</f>
        <v/>
      </c>
      <c r="V221" s="54" t="str">
        <f>IF(OR($B221="",$A221&gt;$B$9,V$198=""),"",IF(COUNTIFS(BD!$B$3:$B$5001,V$198,BD!$A$3:$A$5001,"&gt;="&amp;$C$7,BD!$A$3:$A$5001,"&lt;="&amp;$B221,BD!$S$3:$S$5001,"&lt;&gt;")=0,"",SUMIFS(BD!$S$3:$S$5001,BD!$B$3:$B$5001,V$198,BD!$A$3:$A$5001,_xlfn.MAXIFS(BD!$A$3:$A$5001,BD!$B$3:$B$5001,V$198,BD!$A$3:$A$5001,"&gt;="&amp;$C$7,BD!$A$3:$A$5001,"&lt;="&amp;$B221,BD!$S$3:$S$5001,"&lt;&gt;"))))</f>
        <v/>
      </c>
    </row>
    <row r="222">
      <c r="A222" s="48">
        <v>24</v>
      </c>
      <c r="B222" s="53">
        <f>$B$35</f>
        <v>46319</v>
      </c>
      <c r="C222" s="54" t="str">
        <f>IF(OR($B222="",$A222&gt;$B$9,C$198=""),"",IF(COUNTIFS(BD!$B$3:$B$5001,C$198,BD!$A$3:$A$5001,"&gt;="&amp;$C$7,BD!$A$3:$A$5001,"&lt;="&amp;$B222,BD!$S$3:$S$5001,"&lt;&gt;")=0,"",SUMIFS(BD!$S$3:$S$5001,BD!$B$3:$B$5001,C$198,BD!$A$3:$A$5001,_xlfn.MAXIFS(BD!$A$3:$A$5001,BD!$B$3:$B$5001,C$198,BD!$A$3:$A$5001,"&gt;="&amp;$C$7,BD!$A$3:$A$5001,"&lt;="&amp;$B222,BD!$S$3:$S$5001,"&lt;&gt;"))))</f>
        <v/>
      </c>
      <c r="D222" s="54" t="str">
        <f>IF(OR($B222="",$A222&gt;$B$9,D$198=""),"",IF(COUNTIFS(BD!$B$3:$B$5001,D$198,BD!$A$3:$A$5001,"&gt;="&amp;$C$7,BD!$A$3:$A$5001,"&lt;="&amp;$B222,BD!$S$3:$S$5001,"&lt;&gt;")=0,"",SUMIFS(BD!$S$3:$S$5001,BD!$B$3:$B$5001,D$198,BD!$A$3:$A$5001,_xlfn.MAXIFS(BD!$A$3:$A$5001,BD!$B$3:$B$5001,D$198,BD!$A$3:$A$5001,"&gt;="&amp;$C$7,BD!$A$3:$A$5001,"&lt;="&amp;$B222,BD!$S$3:$S$5001,"&lt;&gt;"))))</f>
        <v/>
      </c>
      <c r="E222" s="54" t="str">
        <f>IF(OR($B222="",$A222&gt;$B$9,E$198=""),"",IF(COUNTIFS(BD!$B$3:$B$5001,E$198,BD!$A$3:$A$5001,"&gt;="&amp;$C$7,BD!$A$3:$A$5001,"&lt;="&amp;$B222,BD!$S$3:$S$5001,"&lt;&gt;")=0,"",SUMIFS(BD!$S$3:$S$5001,BD!$B$3:$B$5001,E$198,BD!$A$3:$A$5001,_xlfn.MAXIFS(BD!$A$3:$A$5001,BD!$B$3:$B$5001,E$198,BD!$A$3:$A$5001,"&gt;="&amp;$C$7,BD!$A$3:$A$5001,"&lt;="&amp;$B222,BD!$S$3:$S$5001,"&lt;&gt;"))))</f>
        <v/>
      </c>
      <c r="F222" s="54" t="str">
        <f>IF(OR($B222="",$A222&gt;$B$9,F$198=""),"",IF(COUNTIFS(BD!$B$3:$B$5001,F$198,BD!$A$3:$A$5001,"&gt;="&amp;$C$7,BD!$A$3:$A$5001,"&lt;="&amp;$B222,BD!$S$3:$S$5001,"&lt;&gt;")=0,"",SUMIFS(BD!$S$3:$S$5001,BD!$B$3:$B$5001,F$198,BD!$A$3:$A$5001,_xlfn.MAXIFS(BD!$A$3:$A$5001,BD!$B$3:$B$5001,F$198,BD!$A$3:$A$5001,"&gt;="&amp;$C$7,BD!$A$3:$A$5001,"&lt;="&amp;$B222,BD!$S$3:$S$5001,"&lt;&gt;"))))</f>
        <v/>
      </c>
      <c r="G222" s="54" t="str">
        <f>IF(OR($B222="",$A222&gt;$B$9,G$198=""),"",IF(COUNTIFS(BD!$B$3:$B$5001,G$198,BD!$A$3:$A$5001,"&gt;="&amp;$C$7,BD!$A$3:$A$5001,"&lt;="&amp;$B222,BD!$S$3:$S$5001,"&lt;&gt;")=0,"",SUMIFS(BD!$S$3:$S$5001,BD!$B$3:$B$5001,G$198,BD!$A$3:$A$5001,_xlfn.MAXIFS(BD!$A$3:$A$5001,BD!$B$3:$B$5001,G$198,BD!$A$3:$A$5001,"&gt;="&amp;$C$7,BD!$A$3:$A$5001,"&lt;="&amp;$B222,BD!$S$3:$S$5001,"&lt;&gt;"))))</f>
        <v/>
      </c>
      <c r="H222" s="54" t="str">
        <f>IF(OR($B222="",$A222&gt;$B$9,H$198=""),"",IF(COUNTIFS(BD!$B$3:$B$5001,H$198,BD!$A$3:$A$5001,"&gt;="&amp;$C$7,BD!$A$3:$A$5001,"&lt;="&amp;$B222,BD!$S$3:$S$5001,"&lt;&gt;")=0,"",SUMIFS(BD!$S$3:$S$5001,BD!$B$3:$B$5001,H$198,BD!$A$3:$A$5001,_xlfn.MAXIFS(BD!$A$3:$A$5001,BD!$B$3:$B$5001,H$198,BD!$A$3:$A$5001,"&gt;="&amp;$C$7,BD!$A$3:$A$5001,"&lt;="&amp;$B222,BD!$S$3:$S$5001,"&lt;&gt;"))))</f>
        <v/>
      </c>
      <c r="I222" s="54" t="str">
        <f>IF(OR($B222="",$A222&gt;$B$9,I$198=""),"",IF(COUNTIFS(BD!$B$3:$B$5001,I$198,BD!$A$3:$A$5001,"&gt;="&amp;$C$7,BD!$A$3:$A$5001,"&lt;="&amp;$B222,BD!$S$3:$S$5001,"&lt;&gt;")=0,"",SUMIFS(BD!$S$3:$S$5001,BD!$B$3:$B$5001,I$198,BD!$A$3:$A$5001,_xlfn.MAXIFS(BD!$A$3:$A$5001,BD!$B$3:$B$5001,I$198,BD!$A$3:$A$5001,"&gt;="&amp;$C$7,BD!$A$3:$A$5001,"&lt;="&amp;$B222,BD!$S$3:$S$5001,"&lt;&gt;"))))</f>
        <v/>
      </c>
      <c r="J222" s="54" t="str">
        <f>IF(OR($B222="",$A222&gt;$B$9,J$198=""),"",IF(COUNTIFS(BD!$B$3:$B$5001,J$198,BD!$A$3:$A$5001,"&gt;="&amp;$C$7,BD!$A$3:$A$5001,"&lt;="&amp;$B222,BD!$S$3:$S$5001,"&lt;&gt;")=0,"",SUMIFS(BD!$S$3:$S$5001,BD!$B$3:$B$5001,J$198,BD!$A$3:$A$5001,_xlfn.MAXIFS(BD!$A$3:$A$5001,BD!$B$3:$B$5001,J$198,BD!$A$3:$A$5001,"&gt;="&amp;$C$7,BD!$A$3:$A$5001,"&lt;="&amp;$B222,BD!$S$3:$S$5001,"&lt;&gt;"))))</f>
        <v/>
      </c>
      <c r="K222" s="54" t="str">
        <f>IF(OR($B222="",$A222&gt;$B$9,K$198=""),"",IF(COUNTIFS(BD!$B$3:$B$5001,K$198,BD!$A$3:$A$5001,"&gt;="&amp;$C$7,BD!$A$3:$A$5001,"&lt;="&amp;$B222,BD!$S$3:$S$5001,"&lt;&gt;")=0,"",SUMIFS(BD!$S$3:$S$5001,BD!$B$3:$B$5001,K$198,BD!$A$3:$A$5001,_xlfn.MAXIFS(BD!$A$3:$A$5001,BD!$B$3:$B$5001,K$198,BD!$A$3:$A$5001,"&gt;="&amp;$C$7,BD!$A$3:$A$5001,"&lt;="&amp;$B222,BD!$S$3:$S$5001,"&lt;&gt;"))))</f>
        <v/>
      </c>
      <c r="L222" s="54" t="str">
        <f>IF(OR($B222="",$A222&gt;$B$9,L$198=""),"",IF(COUNTIFS(BD!$B$3:$B$5001,L$198,BD!$A$3:$A$5001,"&gt;="&amp;$C$7,BD!$A$3:$A$5001,"&lt;="&amp;$B222,BD!$S$3:$S$5001,"&lt;&gt;")=0,"",SUMIFS(BD!$S$3:$S$5001,BD!$B$3:$B$5001,L$198,BD!$A$3:$A$5001,_xlfn.MAXIFS(BD!$A$3:$A$5001,BD!$B$3:$B$5001,L$198,BD!$A$3:$A$5001,"&gt;="&amp;$C$7,BD!$A$3:$A$5001,"&lt;="&amp;$B222,BD!$S$3:$S$5001,"&lt;&gt;"))))</f>
        <v/>
      </c>
      <c r="M222" s="54" t="str">
        <f>IF(OR($B222="",$A222&gt;$B$9,M$198=""),"",IF(COUNTIFS(BD!$B$3:$B$5001,M$198,BD!$A$3:$A$5001,"&gt;="&amp;$C$7,BD!$A$3:$A$5001,"&lt;="&amp;$B222,BD!$S$3:$S$5001,"&lt;&gt;")=0,"",SUMIFS(BD!$S$3:$S$5001,BD!$B$3:$B$5001,M$198,BD!$A$3:$A$5001,_xlfn.MAXIFS(BD!$A$3:$A$5001,BD!$B$3:$B$5001,M$198,BD!$A$3:$A$5001,"&gt;="&amp;$C$7,BD!$A$3:$A$5001,"&lt;="&amp;$B222,BD!$S$3:$S$5001,"&lt;&gt;"))))</f>
        <v/>
      </c>
      <c r="N222" s="54" t="str">
        <f>IF(OR($B222="",$A222&gt;$B$9,N$198=""),"",IF(COUNTIFS(BD!$B$3:$B$5001,N$198,BD!$A$3:$A$5001,"&gt;="&amp;$C$7,BD!$A$3:$A$5001,"&lt;="&amp;$B222,BD!$S$3:$S$5001,"&lt;&gt;")=0,"",SUMIFS(BD!$S$3:$S$5001,BD!$B$3:$B$5001,N$198,BD!$A$3:$A$5001,_xlfn.MAXIFS(BD!$A$3:$A$5001,BD!$B$3:$B$5001,N$198,BD!$A$3:$A$5001,"&gt;="&amp;$C$7,BD!$A$3:$A$5001,"&lt;="&amp;$B222,BD!$S$3:$S$5001,"&lt;&gt;"))))</f>
        <v/>
      </c>
      <c r="O222" s="54" t="str">
        <f>IF(OR($B222="",$A222&gt;$B$9,O$198=""),"",IF(COUNTIFS(BD!$B$3:$B$5001,O$198,BD!$A$3:$A$5001,"&gt;="&amp;$C$7,BD!$A$3:$A$5001,"&lt;="&amp;$B222,BD!$S$3:$S$5001,"&lt;&gt;")=0,"",SUMIFS(BD!$S$3:$S$5001,BD!$B$3:$B$5001,O$198,BD!$A$3:$A$5001,_xlfn.MAXIFS(BD!$A$3:$A$5001,BD!$B$3:$B$5001,O$198,BD!$A$3:$A$5001,"&gt;="&amp;$C$7,BD!$A$3:$A$5001,"&lt;="&amp;$B222,BD!$S$3:$S$5001,"&lt;&gt;"))))</f>
        <v/>
      </c>
      <c r="P222" s="54" t="str">
        <f>IF(OR($B222="",$A222&gt;$B$9,P$198=""),"",IF(COUNTIFS(BD!$B$3:$B$5001,P$198,BD!$A$3:$A$5001,"&gt;="&amp;$C$7,BD!$A$3:$A$5001,"&lt;="&amp;$B222,BD!$S$3:$S$5001,"&lt;&gt;")=0,"",SUMIFS(BD!$S$3:$S$5001,BD!$B$3:$B$5001,P$198,BD!$A$3:$A$5001,_xlfn.MAXIFS(BD!$A$3:$A$5001,BD!$B$3:$B$5001,P$198,BD!$A$3:$A$5001,"&gt;="&amp;$C$7,BD!$A$3:$A$5001,"&lt;="&amp;$B222,BD!$S$3:$S$5001,"&lt;&gt;"))))</f>
        <v/>
      </c>
      <c r="Q222" s="54" t="str">
        <f>IF(OR($B222="",$A222&gt;$B$9,Q$198=""),"",IF(COUNTIFS(BD!$B$3:$B$5001,Q$198,BD!$A$3:$A$5001,"&gt;="&amp;$C$7,BD!$A$3:$A$5001,"&lt;="&amp;$B222,BD!$S$3:$S$5001,"&lt;&gt;")=0,"",SUMIFS(BD!$S$3:$S$5001,BD!$B$3:$B$5001,Q$198,BD!$A$3:$A$5001,_xlfn.MAXIFS(BD!$A$3:$A$5001,BD!$B$3:$B$5001,Q$198,BD!$A$3:$A$5001,"&gt;="&amp;$C$7,BD!$A$3:$A$5001,"&lt;="&amp;$B222,BD!$S$3:$S$5001,"&lt;&gt;"))))</f>
        <v/>
      </c>
      <c r="R222" s="54" t="str">
        <f>IF(OR($B222="",$A222&gt;$B$9,R$198=""),"",IF(COUNTIFS(BD!$B$3:$B$5001,R$198,BD!$A$3:$A$5001,"&gt;="&amp;$C$7,BD!$A$3:$A$5001,"&lt;="&amp;$B222,BD!$S$3:$S$5001,"&lt;&gt;")=0,"",SUMIFS(BD!$S$3:$S$5001,BD!$B$3:$B$5001,R$198,BD!$A$3:$A$5001,_xlfn.MAXIFS(BD!$A$3:$A$5001,BD!$B$3:$B$5001,R$198,BD!$A$3:$A$5001,"&gt;="&amp;$C$7,BD!$A$3:$A$5001,"&lt;="&amp;$B222,BD!$S$3:$S$5001,"&lt;&gt;"))))</f>
        <v/>
      </c>
      <c r="S222" s="54" t="str">
        <f>IF(OR($B222="",$A222&gt;$B$9,S$198=""),"",IF(COUNTIFS(BD!$B$3:$B$5001,S$198,BD!$A$3:$A$5001,"&gt;="&amp;$C$7,BD!$A$3:$A$5001,"&lt;="&amp;$B222,BD!$S$3:$S$5001,"&lt;&gt;")=0,"",SUMIFS(BD!$S$3:$S$5001,BD!$B$3:$B$5001,S$198,BD!$A$3:$A$5001,_xlfn.MAXIFS(BD!$A$3:$A$5001,BD!$B$3:$B$5001,S$198,BD!$A$3:$A$5001,"&gt;="&amp;$C$7,BD!$A$3:$A$5001,"&lt;="&amp;$B222,BD!$S$3:$S$5001,"&lt;&gt;"))))</f>
        <v/>
      </c>
      <c r="T222" s="54" t="str">
        <f>IF(OR($B222="",$A222&gt;$B$9,T$198=""),"",IF(COUNTIFS(BD!$B$3:$B$5001,T$198,BD!$A$3:$A$5001,"&gt;="&amp;$C$7,BD!$A$3:$A$5001,"&lt;="&amp;$B222,BD!$S$3:$S$5001,"&lt;&gt;")=0,"",SUMIFS(BD!$S$3:$S$5001,BD!$B$3:$B$5001,T$198,BD!$A$3:$A$5001,_xlfn.MAXIFS(BD!$A$3:$A$5001,BD!$B$3:$B$5001,T$198,BD!$A$3:$A$5001,"&gt;="&amp;$C$7,BD!$A$3:$A$5001,"&lt;="&amp;$B222,BD!$S$3:$S$5001,"&lt;&gt;"))))</f>
        <v/>
      </c>
      <c r="U222" s="54" t="str">
        <f>IF(OR($B222="",$A222&gt;$B$9,U$198=""),"",IF(COUNTIFS(BD!$B$3:$B$5001,U$198,BD!$A$3:$A$5001,"&gt;="&amp;$C$7,BD!$A$3:$A$5001,"&lt;="&amp;$B222,BD!$S$3:$S$5001,"&lt;&gt;")=0,"",SUMIFS(BD!$S$3:$S$5001,BD!$B$3:$B$5001,U$198,BD!$A$3:$A$5001,_xlfn.MAXIFS(BD!$A$3:$A$5001,BD!$B$3:$B$5001,U$198,BD!$A$3:$A$5001,"&gt;="&amp;$C$7,BD!$A$3:$A$5001,"&lt;="&amp;$B222,BD!$S$3:$S$5001,"&lt;&gt;"))))</f>
        <v/>
      </c>
      <c r="V222" s="54" t="str">
        <f>IF(OR($B222="",$A222&gt;$B$9,V$198=""),"",IF(COUNTIFS(BD!$B$3:$B$5001,V$198,BD!$A$3:$A$5001,"&gt;="&amp;$C$7,BD!$A$3:$A$5001,"&lt;="&amp;$B222,BD!$S$3:$S$5001,"&lt;&gt;")=0,"",SUMIFS(BD!$S$3:$S$5001,BD!$B$3:$B$5001,V$198,BD!$A$3:$A$5001,_xlfn.MAXIFS(BD!$A$3:$A$5001,BD!$B$3:$B$5001,V$198,BD!$A$3:$A$5001,"&gt;="&amp;$C$7,BD!$A$3:$A$5001,"&lt;="&amp;$B222,BD!$S$3:$S$5001,"&lt;&gt;"))))</f>
        <v/>
      </c>
    </row>
    <row r="223">
      <c r="A223" s="48">
        <v>25</v>
      </c>
      <c r="B223" s="53">
        <f>$B$36</f>
        <v>46320</v>
      </c>
      <c r="C223" s="54" t="str">
        <f>IF(OR($B223="",$A223&gt;$B$9,C$198=""),"",IF(COUNTIFS(BD!$B$3:$B$5001,C$198,BD!$A$3:$A$5001,"&gt;="&amp;$C$7,BD!$A$3:$A$5001,"&lt;="&amp;$B223,BD!$S$3:$S$5001,"&lt;&gt;")=0,"",SUMIFS(BD!$S$3:$S$5001,BD!$B$3:$B$5001,C$198,BD!$A$3:$A$5001,_xlfn.MAXIFS(BD!$A$3:$A$5001,BD!$B$3:$B$5001,C$198,BD!$A$3:$A$5001,"&gt;="&amp;$C$7,BD!$A$3:$A$5001,"&lt;="&amp;$B223,BD!$S$3:$S$5001,"&lt;&gt;"))))</f>
        <v/>
      </c>
      <c r="D223" s="54" t="str">
        <f>IF(OR($B223="",$A223&gt;$B$9,D$198=""),"",IF(COUNTIFS(BD!$B$3:$B$5001,D$198,BD!$A$3:$A$5001,"&gt;="&amp;$C$7,BD!$A$3:$A$5001,"&lt;="&amp;$B223,BD!$S$3:$S$5001,"&lt;&gt;")=0,"",SUMIFS(BD!$S$3:$S$5001,BD!$B$3:$B$5001,D$198,BD!$A$3:$A$5001,_xlfn.MAXIFS(BD!$A$3:$A$5001,BD!$B$3:$B$5001,D$198,BD!$A$3:$A$5001,"&gt;="&amp;$C$7,BD!$A$3:$A$5001,"&lt;="&amp;$B223,BD!$S$3:$S$5001,"&lt;&gt;"))))</f>
        <v/>
      </c>
      <c r="E223" s="54" t="str">
        <f>IF(OR($B223="",$A223&gt;$B$9,E$198=""),"",IF(COUNTIFS(BD!$B$3:$B$5001,E$198,BD!$A$3:$A$5001,"&gt;="&amp;$C$7,BD!$A$3:$A$5001,"&lt;="&amp;$B223,BD!$S$3:$S$5001,"&lt;&gt;")=0,"",SUMIFS(BD!$S$3:$S$5001,BD!$B$3:$B$5001,E$198,BD!$A$3:$A$5001,_xlfn.MAXIFS(BD!$A$3:$A$5001,BD!$B$3:$B$5001,E$198,BD!$A$3:$A$5001,"&gt;="&amp;$C$7,BD!$A$3:$A$5001,"&lt;="&amp;$B223,BD!$S$3:$S$5001,"&lt;&gt;"))))</f>
        <v/>
      </c>
      <c r="F223" s="54" t="str">
        <f>IF(OR($B223="",$A223&gt;$B$9,F$198=""),"",IF(COUNTIFS(BD!$B$3:$B$5001,F$198,BD!$A$3:$A$5001,"&gt;="&amp;$C$7,BD!$A$3:$A$5001,"&lt;="&amp;$B223,BD!$S$3:$S$5001,"&lt;&gt;")=0,"",SUMIFS(BD!$S$3:$S$5001,BD!$B$3:$B$5001,F$198,BD!$A$3:$A$5001,_xlfn.MAXIFS(BD!$A$3:$A$5001,BD!$B$3:$B$5001,F$198,BD!$A$3:$A$5001,"&gt;="&amp;$C$7,BD!$A$3:$A$5001,"&lt;="&amp;$B223,BD!$S$3:$S$5001,"&lt;&gt;"))))</f>
        <v/>
      </c>
      <c r="G223" s="54" t="str">
        <f>IF(OR($B223="",$A223&gt;$B$9,G$198=""),"",IF(COUNTIFS(BD!$B$3:$B$5001,G$198,BD!$A$3:$A$5001,"&gt;="&amp;$C$7,BD!$A$3:$A$5001,"&lt;="&amp;$B223,BD!$S$3:$S$5001,"&lt;&gt;")=0,"",SUMIFS(BD!$S$3:$S$5001,BD!$B$3:$B$5001,G$198,BD!$A$3:$A$5001,_xlfn.MAXIFS(BD!$A$3:$A$5001,BD!$B$3:$B$5001,G$198,BD!$A$3:$A$5001,"&gt;="&amp;$C$7,BD!$A$3:$A$5001,"&lt;="&amp;$B223,BD!$S$3:$S$5001,"&lt;&gt;"))))</f>
        <v/>
      </c>
      <c r="H223" s="54" t="str">
        <f>IF(OR($B223="",$A223&gt;$B$9,H$198=""),"",IF(COUNTIFS(BD!$B$3:$B$5001,H$198,BD!$A$3:$A$5001,"&gt;="&amp;$C$7,BD!$A$3:$A$5001,"&lt;="&amp;$B223,BD!$S$3:$S$5001,"&lt;&gt;")=0,"",SUMIFS(BD!$S$3:$S$5001,BD!$B$3:$B$5001,H$198,BD!$A$3:$A$5001,_xlfn.MAXIFS(BD!$A$3:$A$5001,BD!$B$3:$B$5001,H$198,BD!$A$3:$A$5001,"&gt;="&amp;$C$7,BD!$A$3:$A$5001,"&lt;="&amp;$B223,BD!$S$3:$S$5001,"&lt;&gt;"))))</f>
        <v/>
      </c>
      <c r="I223" s="54" t="str">
        <f>IF(OR($B223="",$A223&gt;$B$9,I$198=""),"",IF(COUNTIFS(BD!$B$3:$B$5001,I$198,BD!$A$3:$A$5001,"&gt;="&amp;$C$7,BD!$A$3:$A$5001,"&lt;="&amp;$B223,BD!$S$3:$S$5001,"&lt;&gt;")=0,"",SUMIFS(BD!$S$3:$S$5001,BD!$B$3:$B$5001,I$198,BD!$A$3:$A$5001,_xlfn.MAXIFS(BD!$A$3:$A$5001,BD!$B$3:$B$5001,I$198,BD!$A$3:$A$5001,"&gt;="&amp;$C$7,BD!$A$3:$A$5001,"&lt;="&amp;$B223,BD!$S$3:$S$5001,"&lt;&gt;"))))</f>
        <v/>
      </c>
      <c r="J223" s="54" t="str">
        <f>IF(OR($B223="",$A223&gt;$B$9,J$198=""),"",IF(COUNTIFS(BD!$B$3:$B$5001,J$198,BD!$A$3:$A$5001,"&gt;="&amp;$C$7,BD!$A$3:$A$5001,"&lt;="&amp;$B223,BD!$S$3:$S$5001,"&lt;&gt;")=0,"",SUMIFS(BD!$S$3:$S$5001,BD!$B$3:$B$5001,J$198,BD!$A$3:$A$5001,_xlfn.MAXIFS(BD!$A$3:$A$5001,BD!$B$3:$B$5001,J$198,BD!$A$3:$A$5001,"&gt;="&amp;$C$7,BD!$A$3:$A$5001,"&lt;="&amp;$B223,BD!$S$3:$S$5001,"&lt;&gt;"))))</f>
        <v/>
      </c>
      <c r="K223" s="54" t="str">
        <f>IF(OR($B223="",$A223&gt;$B$9,K$198=""),"",IF(COUNTIFS(BD!$B$3:$B$5001,K$198,BD!$A$3:$A$5001,"&gt;="&amp;$C$7,BD!$A$3:$A$5001,"&lt;="&amp;$B223,BD!$S$3:$S$5001,"&lt;&gt;")=0,"",SUMIFS(BD!$S$3:$S$5001,BD!$B$3:$B$5001,K$198,BD!$A$3:$A$5001,_xlfn.MAXIFS(BD!$A$3:$A$5001,BD!$B$3:$B$5001,K$198,BD!$A$3:$A$5001,"&gt;="&amp;$C$7,BD!$A$3:$A$5001,"&lt;="&amp;$B223,BD!$S$3:$S$5001,"&lt;&gt;"))))</f>
        <v/>
      </c>
      <c r="L223" s="54" t="str">
        <f>IF(OR($B223="",$A223&gt;$B$9,L$198=""),"",IF(COUNTIFS(BD!$B$3:$B$5001,L$198,BD!$A$3:$A$5001,"&gt;="&amp;$C$7,BD!$A$3:$A$5001,"&lt;="&amp;$B223,BD!$S$3:$S$5001,"&lt;&gt;")=0,"",SUMIFS(BD!$S$3:$S$5001,BD!$B$3:$B$5001,L$198,BD!$A$3:$A$5001,_xlfn.MAXIFS(BD!$A$3:$A$5001,BD!$B$3:$B$5001,L$198,BD!$A$3:$A$5001,"&gt;="&amp;$C$7,BD!$A$3:$A$5001,"&lt;="&amp;$B223,BD!$S$3:$S$5001,"&lt;&gt;"))))</f>
        <v/>
      </c>
      <c r="M223" s="54" t="str">
        <f>IF(OR($B223="",$A223&gt;$B$9,M$198=""),"",IF(COUNTIFS(BD!$B$3:$B$5001,M$198,BD!$A$3:$A$5001,"&gt;="&amp;$C$7,BD!$A$3:$A$5001,"&lt;="&amp;$B223,BD!$S$3:$S$5001,"&lt;&gt;")=0,"",SUMIFS(BD!$S$3:$S$5001,BD!$B$3:$B$5001,M$198,BD!$A$3:$A$5001,_xlfn.MAXIFS(BD!$A$3:$A$5001,BD!$B$3:$B$5001,M$198,BD!$A$3:$A$5001,"&gt;="&amp;$C$7,BD!$A$3:$A$5001,"&lt;="&amp;$B223,BD!$S$3:$S$5001,"&lt;&gt;"))))</f>
        <v/>
      </c>
      <c r="N223" s="54" t="str">
        <f>IF(OR($B223="",$A223&gt;$B$9,N$198=""),"",IF(COUNTIFS(BD!$B$3:$B$5001,N$198,BD!$A$3:$A$5001,"&gt;="&amp;$C$7,BD!$A$3:$A$5001,"&lt;="&amp;$B223,BD!$S$3:$S$5001,"&lt;&gt;")=0,"",SUMIFS(BD!$S$3:$S$5001,BD!$B$3:$B$5001,N$198,BD!$A$3:$A$5001,_xlfn.MAXIFS(BD!$A$3:$A$5001,BD!$B$3:$B$5001,N$198,BD!$A$3:$A$5001,"&gt;="&amp;$C$7,BD!$A$3:$A$5001,"&lt;="&amp;$B223,BD!$S$3:$S$5001,"&lt;&gt;"))))</f>
        <v/>
      </c>
      <c r="O223" s="54" t="str">
        <f>IF(OR($B223="",$A223&gt;$B$9,O$198=""),"",IF(COUNTIFS(BD!$B$3:$B$5001,O$198,BD!$A$3:$A$5001,"&gt;="&amp;$C$7,BD!$A$3:$A$5001,"&lt;="&amp;$B223,BD!$S$3:$S$5001,"&lt;&gt;")=0,"",SUMIFS(BD!$S$3:$S$5001,BD!$B$3:$B$5001,O$198,BD!$A$3:$A$5001,_xlfn.MAXIFS(BD!$A$3:$A$5001,BD!$B$3:$B$5001,O$198,BD!$A$3:$A$5001,"&gt;="&amp;$C$7,BD!$A$3:$A$5001,"&lt;="&amp;$B223,BD!$S$3:$S$5001,"&lt;&gt;"))))</f>
        <v/>
      </c>
      <c r="P223" s="54" t="str">
        <f>IF(OR($B223="",$A223&gt;$B$9,P$198=""),"",IF(COUNTIFS(BD!$B$3:$B$5001,P$198,BD!$A$3:$A$5001,"&gt;="&amp;$C$7,BD!$A$3:$A$5001,"&lt;="&amp;$B223,BD!$S$3:$S$5001,"&lt;&gt;")=0,"",SUMIFS(BD!$S$3:$S$5001,BD!$B$3:$B$5001,P$198,BD!$A$3:$A$5001,_xlfn.MAXIFS(BD!$A$3:$A$5001,BD!$B$3:$B$5001,P$198,BD!$A$3:$A$5001,"&gt;="&amp;$C$7,BD!$A$3:$A$5001,"&lt;="&amp;$B223,BD!$S$3:$S$5001,"&lt;&gt;"))))</f>
        <v/>
      </c>
      <c r="Q223" s="54" t="str">
        <f>IF(OR($B223="",$A223&gt;$B$9,Q$198=""),"",IF(COUNTIFS(BD!$B$3:$B$5001,Q$198,BD!$A$3:$A$5001,"&gt;="&amp;$C$7,BD!$A$3:$A$5001,"&lt;="&amp;$B223,BD!$S$3:$S$5001,"&lt;&gt;")=0,"",SUMIFS(BD!$S$3:$S$5001,BD!$B$3:$B$5001,Q$198,BD!$A$3:$A$5001,_xlfn.MAXIFS(BD!$A$3:$A$5001,BD!$B$3:$B$5001,Q$198,BD!$A$3:$A$5001,"&gt;="&amp;$C$7,BD!$A$3:$A$5001,"&lt;="&amp;$B223,BD!$S$3:$S$5001,"&lt;&gt;"))))</f>
        <v/>
      </c>
      <c r="R223" s="54" t="str">
        <f>IF(OR($B223="",$A223&gt;$B$9,R$198=""),"",IF(COUNTIFS(BD!$B$3:$B$5001,R$198,BD!$A$3:$A$5001,"&gt;="&amp;$C$7,BD!$A$3:$A$5001,"&lt;="&amp;$B223,BD!$S$3:$S$5001,"&lt;&gt;")=0,"",SUMIFS(BD!$S$3:$S$5001,BD!$B$3:$B$5001,R$198,BD!$A$3:$A$5001,_xlfn.MAXIFS(BD!$A$3:$A$5001,BD!$B$3:$B$5001,R$198,BD!$A$3:$A$5001,"&gt;="&amp;$C$7,BD!$A$3:$A$5001,"&lt;="&amp;$B223,BD!$S$3:$S$5001,"&lt;&gt;"))))</f>
        <v/>
      </c>
      <c r="S223" s="54" t="str">
        <f>IF(OR($B223="",$A223&gt;$B$9,S$198=""),"",IF(COUNTIFS(BD!$B$3:$B$5001,S$198,BD!$A$3:$A$5001,"&gt;="&amp;$C$7,BD!$A$3:$A$5001,"&lt;="&amp;$B223,BD!$S$3:$S$5001,"&lt;&gt;")=0,"",SUMIFS(BD!$S$3:$S$5001,BD!$B$3:$B$5001,S$198,BD!$A$3:$A$5001,_xlfn.MAXIFS(BD!$A$3:$A$5001,BD!$B$3:$B$5001,S$198,BD!$A$3:$A$5001,"&gt;="&amp;$C$7,BD!$A$3:$A$5001,"&lt;="&amp;$B223,BD!$S$3:$S$5001,"&lt;&gt;"))))</f>
        <v/>
      </c>
      <c r="T223" s="54" t="str">
        <f>IF(OR($B223="",$A223&gt;$B$9,T$198=""),"",IF(COUNTIFS(BD!$B$3:$B$5001,T$198,BD!$A$3:$A$5001,"&gt;="&amp;$C$7,BD!$A$3:$A$5001,"&lt;="&amp;$B223,BD!$S$3:$S$5001,"&lt;&gt;")=0,"",SUMIFS(BD!$S$3:$S$5001,BD!$B$3:$B$5001,T$198,BD!$A$3:$A$5001,_xlfn.MAXIFS(BD!$A$3:$A$5001,BD!$B$3:$B$5001,T$198,BD!$A$3:$A$5001,"&gt;="&amp;$C$7,BD!$A$3:$A$5001,"&lt;="&amp;$B223,BD!$S$3:$S$5001,"&lt;&gt;"))))</f>
        <v/>
      </c>
      <c r="U223" s="54" t="str">
        <f>IF(OR($B223="",$A223&gt;$B$9,U$198=""),"",IF(COUNTIFS(BD!$B$3:$B$5001,U$198,BD!$A$3:$A$5001,"&gt;="&amp;$C$7,BD!$A$3:$A$5001,"&lt;="&amp;$B223,BD!$S$3:$S$5001,"&lt;&gt;")=0,"",SUMIFS(BD!$S$3:$S$5001,BD!$B$3:$B$5001,U$198,BD!$A$3:$A$5001,_xlfn.MAXIFS(BD!$A$3:$A$5001,BD!$B$3:$B$5001,U$198,BD!$A$3:$A$5001,"&gt;="&amp;$C$7,BD!$A$3:$A$5001,"&lt;="&amp;$B223,BD!$S$3:$S$5001,"&lt;&gt;"))))</f>
        <v/>
      </c>
      <c r="V223" s="54" t="str">
        <f>IF(OR($B223="",$A223&gt;$B$9,V$198=""),"",IF(COUNTIFS(BD!$B$3:$B$5001,V$198,BD!$A$3:$A$5001,"&gt;="&amp;$C$7,BD!$A$3:$A$5001,"&lt;="&amp;$B223,BD!$S$3:$S$5001,"&lt;&gt;")=0,"",SUMIFS(BD!$S$3:$S$5001,BD!$B$3:$B$5001,V$198,BD!$A$3:$A$5001,_xlfn.MAXIFS(BD!$A$3:$A$5001,BD!$B$3:$B$5001,V$198,BD!$A$3:$A$5001,"&gt;="&amp;$C$7,BD!$A$3:$A$5001,"&lt;="&amp;$B223,BD!$S$3:$S$5001,"&lt;&gt;"))))</f>
        <v/>
      </c>
    </row>
    <row r="224">
      <c r="A224" s="48">
        <v>26</v>
      </c>
      <c r="B224" s="53">
        <f>$B$37</f>
        <v>46321</v>
      </c>
      <c r="C224" s="54" t="str">
        <f>IF(OR($B224="",$A224&gt;$B$9,C$198=""),"",IF(COUNTIFS(BD!$B$3:$B$5001,C$198,BD!$A$3:$A$5001,"&gt;="&amp;$C$7,BD!$A$3:$A$5001,"&lt;="&amp;$B224,BD!$S$3:$S$5001,"&lt;&gt;")=0,"",SUMIFS(BD!$S$3:$S$5001,BD!$B$3:$B$5001,C$198,BD!$A$3:$A$5001,_xlfn.MAXIFS(BD!$A$3:$A$5001,BD!$B$3:$B$5001,C$198,BD!$A$3:$A$5001,"&gt;="&amp;$C$7,BD!$A$3:$A$5001,"&lt;="&amp;$B224,BD!$S$3:$S$5001,"&lt;&gt;"))))</f>
        <v/>
      </c>
      <c r="D224" s="54" t="str">
        <f>IF(OR($B224="",$A224&gt;$B$9,D$198=""),"",IF(COUNTIFS(BD!$B$3:$B$5001,D$198,BD!$A$3:$A$5001,"&gt;="&amp;$C$7,BD!$A$3:$A$5001,"&lt;="&amp;$B224,BD!$S$3:$S$5001,"&lt;&gt;")=0,"",SUMIFS(BD!$S$3:$S$5001,BD!$B$3:$B$5001,D$198,BD!$A$3:$A$5001,_xlfn.MAXIFS(BD!$A$3:$A$5001,BD!$B$3:$B$5001,D$198,BD!$A$3:$A$5001,"&gt;="&amp;$C$7,BD!$A$3:$A$5001,"&lt;="&amp;$B224,BD!$S$3:$S$5001,"&lt;&gt;"))))</f>
        <v/>
      </c>
      <c r="E224" s="54" t="str">
        <f>IF(OR($B224="",$A224&gt;$B$9,E$198=""),"",IF(COUNTIFS(BD!$B$3:$B$5001,E$198,BD!$A$3:$A$5001,"&gt;="&amp;$C$7,BD!$A$3:$A$5001,"&lt;="&amp;$B224,BD!$S$3:$S$5001,"&lt;&gt;")=0,"",SUMIFS(BD!$S$3:$S$5001,BD!$B$3:$B$5001,E$198,BD!$A$3:$A$5001,_xlfn.MAXIFS(BD!$A$3:$A$5001,BD!$B$3:$B$5001,E$198,BD!$A$3:$A$5001,"&gt;="&amp;$C$7,BD!$A$3:$A$5001,"&lt;="&amp;$B224,BD!$S$3:$S$5001,"&lt;&gt;"))))</f>
        <v/>
      </c>
      <c r="F224" s="54" t="str">
        <f>IF(OR($B224="",$A224&gt;$B$9,F$198=""),"",IF(COUNTIFS(BD!$B$3:$B$5001,F$198,BD!$A$3:$A$5001,"&gt;="&amp;$C$7,BD!$A$3:$A$5001,"&lt;="&amp;$B224,BD!$S$3:$S$5001,"&lt;&gt;")=0,"",SUMIFS(BD!$S$3:$S$5001,BD!$B$3:$B$5001,F$198,BD!$A$3:$A$5001,_xlfn.MAXIFS(BD!$A$3:$A$5001,BD!$B$3:$B$5001,F$198,BD!$A$3:$A$5001,"&gt;="&amp;$C$7,BD!$A$3:$A$5001,"&lt;="&amp;$B224,BD!$S$3:$S$5001,"&lt;&gt;"))))</f>
        <v/>
      </c>
      <c r="G224" s="54" t="str">
        <f>IF(OR($B224="",$A224&gt;$B$9,G$198=""),"",IF(COUNTIFS(BD!$B$3:$B$5001,G$198,BD!$A$3:$A$5001,"&gt;="&amp;$C$7,BD!$A$3:$A$5001,"&lt;="&amp;$B224,BD!$S$3:$S$5001,"&lt;&gt;")=0,"",SUMIFS(BD!$S$3:$S$5001,BD!$B$3:$B$5001,G$198,BD!$A$3:$A$5001,_xlfn.MAXIFS(BD!$A$3:$A$5001,BD!$B$3:$B$5001,G$198,BD!$A$3:$A$5001,"&gt;="&amp;$C$7,BD!$A$3:$A$5001,"&lt;="&amp;$B224,BD!$S$3:$S$5001,"&lt;&gt;"))))</f>
        <v/>
      </c>
      <c r="H224" s="54" t="str">
        <f>IF(OR($B224="",$A224&gt;$B$9,H$198=""),"",IF(COUNTIFS(BD!$B$3:$B$5001,H$198,BD!$A$3:$A$5001,"&gt;="&amp;$C$7,BD!$A$3:$A$5001,"&lt;="&amp;$B224,BD!$S$3:$S$5001,"&lt;&gt;")=0,"",SUMIFS(BD!$S$3:$S$5001,BD!$B$3:$B$5001,H$198,BD!$A$3:$A$5001,_xlfn.MAXIFS(BD!$A$3:$A$5001,BD!$B$3:$B$5001,H$198,BD!$A$3:$A$5001,"&gt;="&amp;$C$7,BD!$A$3:$A$5001,"&lt;="&amp;$B224,BD!$S$3:$S$5001,"&lt;&gt;"))))</f>
        <v/>
      </c>
      <c r="I224" s="54" t="str">
        <f>IF(OR($B224="",$A224&gt;$B$9,I$198=""),"",IF(COUNTIFS(BD!$B$3:$B$5001,I$198,BD!$A$3:$A$5001,"&gt;="&amp;$C$7,BD!$A$3:$A$5001,"&lt;="&amp;$B224,BD!$S$3:$S$5001,"&lt;&gt;")=0,"",SUMIFS(BD!$S$3:$S$5001,BD!$B$3:$B$5001,I$198,BD!$A$3:$A$5001,_xlfn.MAXIFS(BD!$A$3:$A$5001,BD!$B$3:$B$5001,I$198,BD!$A$3:$A$5001,"&gt;="&amp;$C$7,BD!$A$3:$A$5001,"&lt;="&amp;$B224,BD!$S$3:$S$5001,"&lt;&gt;"))))</f>
        <v/>
      </c>
      <c r="J224" s="54" t="str">
        <f>IF(OR($B224="",$A224&gt;$B$9,J$198=""),"",IF(COUNTIFS(BD!$B$3:$B$5001,J$198,BD!$A$3:$A$5001,"&gt;="&amp;$C$7,BD!$A$3:$A$5001,"&lt;="&amp;$B224,BD!$S$3:$S$5001,"&lt;&gt;")=0,"",SUMIFS(BD!$S$3:$S$5001,BD!$B$3:$B$5001,J$198,BD!$A$3:$A$5001,_xlfn.MAXIFS(BD!$A$3:$A$5001,BD!$B$3:$B$5001,J$198,BD!$A$3:$A$5001,"&gt;="&amp;$C$7,BD!$A$3:$A$5001,"&lt;="&amp;$B224,BD!$S$3:$S$5001,"&lt;&gt;"))))</f>
        <v/>
      </c>
      <c r="K224" s="54" t="str">
        <f>IF(OR($B224="",$A224&gt;$B$9,K$198=""),"",IF(COUNTIFS(BD!$B$3:$B$5001,K$198,BD!$A$3:$A$5001,"&gt;="&amp;$C$7,BD!$A$3:$A$5001,"&lt;="&amp;$B224,BD!$S$3:$S$5001,"&lt;&gt;")=0,"",SUMIFS(BD!$S$3:$S$5001,BD!$B$3:$B$5001,K$198,BD!$A$3:$A$5001,_xlfn.MAXIFS(BD!$A$3:$A$5001,BD!$B$3:$B$5001,K$198,BD!$A$3:$A$5001,"&gt;="&amp;$C$7,BD!$A$3:$A$5001,"&lt;="&amp;$B224,BD!$S$3:$S$5001,"&lt;&gt;"))))</f>
        <v/>
      </c>
      <c r="L224" s="54" t="str">
        <f>IF(OR($B224="",$A224&gt;$B$9,L$198=""),"",IF(COUNTIFS(BD!$B$3:$B$5001,L$198,BD!$A$3:$A$5001,"&gt;="&amp;$C$7,BD!$A$3:$A$5001,"&lt;="&amp;$B224,BD!$S$3:$S$5001,"&lt;&gt;")=0,"",SUMIFS(BD!$S$3:$S$5001,BD!$B$3:$B$5001,L$198,BD!$A$3:$A$5001,_xlfn.MAXIFS(BD!$A$3:$A$5001,BD!$B$3:$B$5001,L$198,BD!$A$3:$A$5001,"&gt;="&amp;$C$7,BD!$A$3:$A$5001,"&lt;="&amp;$B224,BD!$S$3:$S$5001,"&lt;&gt;"))))</f>
        <v/>
      </c>
      <c r="M224" s="54" t="str">
        <f>IF(OR($B224="",$A224&gt;$B$9,M$198=""),"",IF(COUNTIFS(BD!$B$3:$B$5001,M$198,BD!$A$3:$A$5001,"&gt;="&amp;$C$7,BD!$A$3:$A$5001,"&lt;="&amp;$B224,BD!$S$3:$S$5001,"&lt;&gt;")=0,"",SUMIFS(BD!$S$3:$S$5001,BD!$B$3:$B$5001,M$198,BD!$A$3:$A$5001,_xlfn.MAXIFS(BD!$A$3:$A$5001,BD!$B$3:$B$5001,M$198,BD!$A$3:$A$5001,"&gt;="&amp;$C$7,BD!$A$3:$A$5001,"&lt;="&amp;$B224,BD!$S$3:$S$5001,"&lt;&gt;"))))</f>
        <v/>
      </c>
      <c r="N224" s="54" t="str">
        <f>IF(OR($B224="",$A224&gt;$B$9,N$198=""),"",IF(COUNTIFS(BD!$B$3:$B$5001,N$198,BD!$A$3:$A$5001,"&gt;="&amp;$C$7,BD!$A$3:$A$5001,"&lt;="&amp;$B224,BD!$S$3:$S$5001,"&lt;&gt;")=0,"",SUMIFS(BD!$S$3:$S$5001,BD!$B$3:$B$5001,N$198,BD!$A$3:$A$5001,_xlfn.MAXIFS(BD!$A$3:$A$5001,BD!$B$3:$B$5001,N$198,BD!$A$3:$A$5001,"&gt;="&amp;$C$7,BD!$A$3:$A$5001,"&lt;="&amp;$B224,BD!$S$3:$S$5001,"&lt;&gt;"))))</f>
        <v/>
      </c>
      <c r="O224" s="54" t="str">
        <f>IF(OR($B224="",$A224&gt;$B$9,O$198=""),"",IF(COUNTIFS(BD!$B$3:$B$5001,O$198,BD!$A$3:$A$5001,"&gt;="&amp;$C$7,BD!$A$3:$A$5001,"&lt;="&amp;$B224,BD!$S$3:$S$5001,"&lt;&gt;")=0,"",SUMIFS(BD!$S$3:$S$5001,BD!$B$3:$B$5001,O$198,BD!$A$3:$A$5001,_xlfn.MAXIFS(BD!$A$3:$A$5001,BD!$B$3:$B$5001,O$198,BD!$A$3:$A$5001,"&gt;="&amp;$C$7,BD!$A$3:$A$5001,"&lt;="&amp;$B224,BD!$S$3:$S$5001,"&lt;&gt;"))))</f>
        <v/>
      </c>
      <c r="P224" s="54" t="str">
        <f>IF(OR($B224="",$A224&gt;$B$9,P$198=""),"",IF(COUNTIFS(BD!$B$3:$B$5001,P$198,BD!$A$3:$A$5001,"&gt;="&amp;$C$7,BD!$A$3:$A$5001,"&lt;="&amp;$B224,BD!$S$3:$S$5001,"&lt;&gt;")=0,"",SUMIFS(BD!$S$3:$S$5001,BD!$B$3:$B$5001,P$198,BD!$A$3:$A$5001,_xlfn.MAXIFS(BD!$A$3:$A$5001,BD!$B$3:$B$5001,P$198,BD!$A$3:$A$5001,"&gt;="&amp;$C$7,BD!$A$3:$A$5001,"&lt;="&amp;$B224,BD!$S$3:$S$5001,"&lt;&gt;"))))</f>
        <v/>
      </c>
      <c r="Q224" s="54" t="str">
        <f>IF(OR($B224="",$A224&gt;$B$9,Q$198=""),"",IF(COUNTIFS(BD!$B$3:$B$5001,Q$198,BD!$A$3:$A$5001,"&gt;="&amp;$C$7,BD!$A$3:$A$5001,"&lt;="&amp;$B224,BD!$S$3:$S$5001,"&lt;&gt;")=0,"",SUMIFS(BD!$S$3:$S$5001,BD!$B$3:$B$5001,Q$198,BD!$A$3:$A$5001,_xlfn.MAXIFS(BD!$A$3:$A$5001,BD!$B$3:$B$5001,Q$198,BD!$A$3:$A$5001,"&gt;="&amp;$C$7,BD!$A$3:$A$5001,"&lt;="&amp;$B224,BD!$S$3:$S$5001,"&lt;&gt;"))))</f>
        <v/>
      </c>
      <c r="R224" s="54" t="str">
        <f>IF(OR($B224="",$A224&gt;$B$9,R$198=""),"",IF(COUNTIFS(BD!$B$3:$B$5001,R$198,BD!$A$3:$A$5001,"&gt;="&amp;$C$7,BD!$A$3:$A$5001,"&lt;="&amp;$B224,BD!$S$3:$S$5001,"&lt;&gt;")=0,"",SUMIFS(BD!$S$3:$S$5001,BD!$B$3:$B$5001,R$198,BD!$A$3:$A$5001,_xlfn.MAXIFS(BD!$A$3:$A$5001,BD!$B$3:$B$5001,R$198,BD!$A$3:$A$5001,"&gt;="&amp;$C$7,BD!$A$3:$A$5001,"&lt;="&amp;$B224,BD!$S$3:$S$5001,"&lt;&gt;"))))</f>
        <v/>
      </c>
      <c r="S224" s="54" t="str">
        <f>IF(OR($B224="",$A224&gt;$B$9,S$198=""),"",IF(COUNTIFS(BD!$B$3:$B$5001,S$198,BD!$A$3:$A$5001,"&gt;="&amp;$C$7,BD!$A$3:$A$5001,"&lt;="&amp;$B224,BD!$S$3:$S$5001,"&lt;&gt;")=0,"",SUMIFS(BD!$S$3:$S$5001,BD!$B$3:$B$5001,S$198,BD!$A$3:$A$5001,_xlfn.MAXIFS(BD!$A$3:$A$5001,BD!$B$3:$B$5001,S$198,BD!$A$3:$A$5001,"&gt;="&amp;$C$7,BD!$A$3:$A$5001,"&lt;="&amp;$B224,BD!$S$3:$S$5001,"&lt;&gt;"))))</f>
        <v/>
      </c>
      <c r="T224" s="54" t="str">
        <f>IF(OR($B224="",$A224&gt;$B$9,T$198=""),"",IF(COUNTIFS(BD!$B$3:$B$5001,T$198,BD!$A$3:$A$5001,"&gt;="&amp;$C$7,BD!$A$3:$A$5001,"&lt;="&amp;$B224,BD!$S$3:$S$5001,"&lt;&gt;")=0,"",SUMIFS(BD!$S$3:$S$5001,BD!$B$3:$B$5001,T$198,BD!$A$3:$A$5001,_xlfn.MAXIFS(BD!$A$3:$A$5001,BD!$B$3:$B$5001,T$198,BD!$A$3:$A$5001,"&gt;="&amp;$C$7,BD!$A$3:$A$5001,"&lt;="&amp;$B224,BD!$S$3:$S$5001,"&lt;&gt;"))))</f>
        <v/>
      </c>
      <c r="U224" s="54" t="str">
        <f>IF(OR($B224="",$A224&gt;$B$9,U$198=""),"",IF(COUNTIFS(BD!$B$3:$B$5001,U$198,BD!$A$3:$A$5001,"&gt;="&amp;$C$7,BD!$A$3:$A$5001,"&lt;="&amp;$B224,BD!$S$3:$S$5001,"&lt;&gt;")=0,"",SUMIFS(BD!$S$3:$S$5001,BD!$B$3:$B$5001,U$198,BD!$A$3:$A$5001,_xlfn.MAXIFS(BD!$A$3:$A$5001,BD!$B$3:$B$5001,U$198,BD!$A$3:$A$5001,"&gt;="&amp;$C$7,BD!$A$3:$A$5001,"&lt;="&amp;$B224,BD!$S$3:$S$5001,"&lt;&gt;"))))</f>
        <v/>
      </c>
      <c r="V224" s="54" t="str">
        <f>IF(OR($B224="",$A224&gt;$B$9,V$198=""),"",IF(COUNTIFS(BD!$B$3:$B$5001,V$198,BD!$A$3:$A$5001,"&gt;="&amp;$C$7,BD!$A$3:$A$5001,"&lt;="&amp;$B224,BD!$S$3:$S$5001,"&lt;&gt;")=0,"",SUMIFS(BD!$S$3:$S$5001,BD!$B$3:$B$5001,V$198,BD!$A$3:$A$5001,_xlfn.MAXIFS(BD!$A$3:$A$5001,BD!$B$3:$B$5001,V$198,BD!$A$3:$A$5001,"&gt;="&amp;$C$7,BD!$A$3:$A$5001,"&lt;="&amp;$B224,BD!$S$3:$S$5001,"&lt;&gt;"))))</f>
        <v/>
      </c>
    </row>
    <row r="225">
      <c r="A225" s="48">
        <v>27</v>
      </c>
      <c r="B225" s="53">
        <f>$B$38</f>
        <v>46322</v>
      </c>
      <c r="C225" s="54" t="str">
        <f>IF(OR($B225="",$A225&gt;$B$9,C$198=""),"",IF(COUNTIFS(BD!$B$3:$B$5001,C$198,BD!$A$3:$A$5001,"&gt;="&amp;$C$7,BD!$A$3:$A$5001,"&lt;="&amp;$B225,BD!$S$3:$S$5001,"&lt;&gt;")=0,"",SUMIFS(BD!$S$3:$S$5001,BD!$B$3:$B$5001,C$198,BD!$A$3:$A$5001,_xlfn.MAXIFS(BD!$A$3:$A$5001,BD!$B$3:$B$5001,C$198,BD!$A$3:$A$5001,"&gt;="&amp;$C$7,BD!$A$3:$A$5001,"&lt;="&amp;$B225,BD!$S$3:$S$5001,"&lt;&gt;"))))</f>
        <v/>
      </c>
      <c r="D225" s="54" t="str">
        <f>IF(OR($B225="",$A225&gt;$B$9,D$198=""),"",IF(COUNTIFS(BD!$B$3:$B$5001,D$198,BD!$A$3:$A$5001,"&gt;="&amp;$C$7,BD!$A$3:$A$5001,"&lt;="&amp;$B225,BD!$S$3:$S$5001,"&lt;&gt;")=0,"",SUMIFS(BD!$S$3:$S$5001,BD!$B$3:$B$5001,D$198,BD!$A$3:$A$5001,_xlfn.MAXIFS(BD!$A$3:$A$5001,BD!$B$3:$B$5001,D$198,BD!$A$3:$A$5001,"&gt;="&amp;$C$7,BD!$A$3:$A$5001,"&lt;="&amp;$B225,BD!$S$3:$S$5001,"&lt;&gt;"))))</f>
        <v/>
      </c>
      <c r="E225" s="54" t="str">
        <f>IF(OR($B225="",$A225&gt;$B$9,E$198=""),"",IF(COUNTIFS(BD!$B$3:$B$5001,E$198,BD!$A$3:$A$5001,"&gt;="&amp;$C$7,BD!$A$3:$A$5001,"&lt;="&amp;$B225,BD!$S$3:$S$5001,"&lt;&gt;")=0,"",SUMIFS(BD!$S$3:$S$5001,BD!$B$3:$B$5001,E$198,BD!$A$3:$A$5001,_xlfn.MAXIFS(BD!$A$3:$A$5001,BD!$B$3:$B$5001,E$198,BD!$A$3:$A$5001,"&gt;="&amp;$C$7,BD!$A$3:$A$5001,"&lt;="&amp;$B225,BD!$S$3:$S$5001,"&lt;&gt;"))))</f>
        <v/>
      </c>
      <c r="F225" s="54" t="str">
        <f>IF(OR($B225="",$A225&gt;$B$9,F$198=""),"",IF(COUNTIFS(BD!$B$3:$B$5001,F$198,BD!$A$3:$A$5001,"&gt;="&amp;$C$7,BD!$A$3:$A$5001,"&lt;="&amp;$B225,BD!$S$3:$S$5001,"&lt;&gt;")=0,"",SUMIFS(BD!$S$3:$S$5001,BD!$B$3:$B$5001,F$198,BD!$A$3:$A$5001,_xlfn.MAXIFS(BD!$A$3:$A$5001,BD!$B$3:$B$5001,F$198,BD!$A$3:$A$5001,"&gt;="&amp;$C$7,BD!$A$3:$A$5001,"&lt;="&amp;$B225,BD!$S$3:$S$5001,"&lt;&gt;"))))</f>
        <v/>
      </c>
      <c r="G225" s="54" t="str">
        <f>IF(OR($B225="",$A225&gt;$B$9,G$198=""),"",IF(COUNTIFS(BD!$B$3:$B$5001,G$198,BD!$A$3:$A$5001,"&gt;="&amp;$C$7,BD!$A$3:$A$5001,"&lt;="&amp;$B225,BD!$S$3:$S$5001,"&lt;&gt;")=0,"",SUMIFS(BD!$S$3:$S$5001,BD!$B$3:$B$5001,G$198,BD!$A$3:$A$5001,_xlfn.MAXIFS(BD!$A$3:$A$5001,BD!$B$3:$B$5001,G$198,BD!$A$3:$A$5001,"&gt;="&amp;$C$7,BD!$A$3:$A$5001,"&lt;="&amp;$B225,BD!$S$3:$S$5001,"&lt;&gt;"))))</f>
        <v/>
      </c>
      <c r="H225" s="54" t="str">
        <f>IF(OR($B225="",$A225&gt;$B$9,H$198=""),"",IF(COUNTIFS(BD!$B$3:$B$5001,H$198,BD!$A$3:$A$5001,"&gt;="&amp;$C$7,BD!$A$3:$A$5001,"&lt;="&amp;$B225,BD!$S$3:$S$5001,"&lt;&gt;")=0,"",SUMIFS(BD!$S$3:$S$5001,BD!$B$3:$B$5001,H$198,BD!$A$3:$A$5001,_xlfn.MAXIFS(BD!$A$3:$A$5001,BD!$B$3:$B$5001,H$198,BD!$A$3:$A$5001,"&gt;="&amp;$C$7,BD!$A$3:$A$5001,"&lt;="&amp;$B225,BD!$S$3:$S$5001,"&lt;&gt;"))))</f>
        <v/>
      </c>
      <c r="I225" s="54" t="str">
        <f>IF(OR($B225="",$A225&gt;$B$9,I$198=""),"",IF(COUNTIFS(BD!$B$3:$B$5001,I$198,BD!$A$3:$A$5001,"&gt;="&amp;$C$7,BD!$A$3:$A$5001,"&lt;="&amp;$B225,BD!$S$3:$S$5001,"&lt;&gt;")=0,"",SUMIFS(BD!$S$3:$S$5001,BD!$B$3:$B$5001,I$198,BD!$A$3:$A$5001,_xlfn.MAXIFS(BD!$A$3:$A$5001,BD!$B$3:$B$5001,I$198,BD!$A$3:$A$5001,"&gt;="&amp;$C$7,BD!$A$3:$A$5001,"&lt;="&amp;$B225,BD!$S$3:$S$5001,"&lt;&gt;"))))</f>
        <v/>
      </c>
      <c r="J225" s="54" t="str">
        <f>IF(OR($B225="",$A225&gt;$B$9,J$198=""),"",IF(COUNTIFS(BD!$B$3:$B$5001,J$198,BD!$A$3:$A$5001,"&gt;="&amp;$C$7,BD!$A$3:$A$5001,"&lt;="&amp;$B225,BD!$S$3:$S$5001,"&lt;&gt;")=0,"",SUMIFS(BD!$S$3:$S$5001,BD!$B$3:$B$5001,J$198,BD!$A$3:$A$5001,_xlfn.MAXIFS(BD!$A$3:$A$5001,BD!$B$3:$B$5001,J$198,BD!$A$3:$A$5001,"&gt;="&amp;$C$7,BD!$A$3:$A$5001,"&lt;="&amp;$B225,BD!$S$3:$S$5001,"&lt;&gt;"))))</f>
        <v/>
      </c>
      <c r="K225" s="54" t="str">
        <f>IF(OR($B225="",$A225&gt;$B$9,K$198=""),"",IF(COUNTIFS(BD!$B$3:$B$5001,K$198,BD!$A$3:$A$5001,"&gt;="&amp;$C$7,BD!$A$3:$A$5001,"&lt;="&amp;$B225,BD!$S$3:$S$5001,"&lt;&gt;")=0,"",SUMIFS(BD!$S$3:$S$5001,BD!$B$3:$B$5001,K$198,BD!$A$3:$A$5001,_xlfn.MAXIFS(BD!$A$3:$A$5001,BD!$B$3:$B$5001,K$198,BD!$A$3:$A$5001,"&gt;="&amp;$C$7,BD!$A$3:$A$5001,"&lt;="&amp;$B225,BD!$S$3:$S$5001,"&lt;&gt;"))))</f>
        <v/>
      </c>
      <c r="L225" s="54" t="str">
        <f>IF(OR($B225="",$A225&gt;$B$9,L$198=""),"",IF(COUNTIFS(BD!$B$3:$B$5001,L$198,BD!$A$3:$A$5001,"&gt;="&amp;$C$7,BD!$A$3:$A$5001,"&lt;="&amp;$B225,BD!$S$3:$S$5001,"&lt;&gt;")=0,"",SUMIFS(BD!$S$3:$S$5001,BD!$B$3:$B$5001,L$198,BD!$A$3:$A$5001,_xlfn.MAXIFS(BD!$A$3:$A$5001,BD!$B$3:$B$5001,L$198,BD!$A$3:$A$5001,"&gt;="&amp;$C$7,BD!$A$3:$A$5001,"&lt;="&amp;$B225,BD!$S$3:$S$5001,"&lt;&gt;"))))</f>
        <v/>
      </c>
      <c r="M225" s="54" t="str">
        <f>IF(OR($B225="",$A225&gt;$B$9,M$198=""),"",IF(COUNTIFS(BD!$B$3:$B$5001,M$198,BD!$A$3:$A$5001,"&gt;="&amp;$C$7,BD!$A$3:$A$5001,"&lt;="&amp;$B225,BD!$S$3:$S$5001,"&lt;&gt;")=0,"",SUMIFS(BD!$S$3:$S$5001,BD!$B$3:$B$5001,M$198,BD!$A$3:$A$5001,_xlfn.MAXIFS(BD!$A$3:$A$5001,BD!$B$3:$B$5001,M$198,BD!$A$3:$A$5001,"&gt;="&amp;$C$7,BD!$A$3:$A$5001,"&lt;="&amp;$B225,BD!$S$3:$S$5001,"&lt;&gt;"))))</f>
        <v/>
      </c>
      <c r="N225" s="54" t="str">
        <f>IF(OR($B225="",$A225&gt;$B$9,N$198=""),"",IF(COUNTIFS(BD!$B$3:$B$5001,N$198,BD!$A$3:$A$5001,"&gt;="&amp;$C$7,BD!$A$3:$A$5001,"&lt;="&amp;$B225,BD!$S$3:$S$5001,"&lt;&gt;")=0,"",SUMIFS(BD!$S$3:$S$5001,BD!$B$3:$B$5001,N$198,BD!$A$3:$A$5001,_xlfn.MAXIFS(BD!$A$3:$A$5001,BD!$B$3:$B$5001,N$198,BD!$A$3:$A$5001,"&gt;="&amp;$C$7,BD!$A$3:$A$5001,"&lt;="&amp;$B225,BD!$S$3:$S$5001,"&lt;&gt;"))))</f>
        <v/>
      </c>
      <c r="O225" s="54" t="str">
        <f>IF(OR($B225="",$A225&gt;$B$9,O$198=""),"",IF(COUNTIFS(BD!$B$3:$B$5001,O$198,BD!$A$3:$A$5001,"&gt;="&amp;$C$7,BD!$A$3:$A$5001,"&lt;="&amp;$B225,BD!$S$3:$S$5001,"&lt;&gt;")=0,"",SUMIFS(BD!$S$3:$S$5001,BD!$B$3:$B$5001,O$198,BD!$A$3:$A$5001,_xlfn.MAXIFS(BD!$A$3:$A$5001,BD!$B$3:$B$5001,O$198,BD!$A$3:$A$5001,"&gt;="&amp;$C$7,BD!$A$3:$A$5001,"&lt;="&amp;$B225,BD!$S$3:$S$5001,"&lt;&gt;"))))</f>
        <v/>
      </c>
      <c r="P225" s="54" t="str">
        <f>IF(OR($B225="",$A225&gt;$B$9,P$198=""),"",IF(COUNTIFS(BD!$B$3:$B$5001,P$198,BD!$A$3:$A$5001,"&gt;="&amp;$C$7,BD!$A$3:$A$5001,"&lt;="&amp;$B225,BD!$S$3:$S$5001,"&lt;&gt;")=0,"",SUMIFS(BD!$S$3:$S$5001,BD!$B$3:$B$5001,P$198,BD!$A$3:$A$5001,_xlfn.MAXIFS(BD!$A$3:$A$5001,BD!$B$3:$B$5001,P$198,BD!$A$3:$A$5001,"&gt;="&amp;$C$7,BD!$A$3:$A$5001,"&lt;="&amp;$B225,BD!$S$3:$S$5001,"&lt;&gt;"))))</f>
        <v/>
      </c>
      <c r="Q225" s="54" t="str">
        <f>IF(OR($B225="",$A225&gt;$B$9,Q$198=""),"",IF(COUNTIFS(BD!$B$3:$B$5001,Q$198,BD!$A$3:$A$5001,"&gt;="&amp;$C$7,BD!$A$3:$A$5001,"&lt;="&amp;$B225,BD!$S$3:$S$5001,"&lt;&gt;")=0,"",SUMIFS(BD!$S$3:$S$5001,BD!$B$3:$B$5001,Q$198,BD!$A$3:$A$5001,_xlfn.MAXIFS(BD!$A$3:$A$5001,BD!$B$3:$B$5001,Q$198,BD!$A$3:$A$5001,"&gt;="&amp;$C$7,BD!$A$3:$A$5001,"&lt;="&amp;$B225,BD!$S$3:$S$5001,"&lt;&gt;"))))</f>
        <v/>
      </c>
      <c r="R225" s="54" t="str">
        <f>IF(OR($B225="",$A225&gt;$B$9,R$198=""),"",IF(COUNTIFS(BD!$B$3:$B$5001,R$198,BD!$A$3:$A$5001,"&gt;="&amp;$C$7,BD!$A$3:$A$5001,"&lt;="&amp;$B225,BD!$S$3:$S$5001,"&lt;&gt;")=0,"",SUMIFS(BD!$S$3:$S$5001,BD!$B$3:$B$5001,R$198,BD!$A$3:$A$5001,_xlfn.MAXIFS(BD!$A$3:$A$5001,BD!$B$3:$B$5001,R$198,BD!$A$3:$A$5001,"&gt;="&amp;$C$7,BD!$A$3:$A$5001,"&lt;="&amp;$B225,BD!$S$3:$S$5001,"&lt;&gt;"))))</f>
        <v/>
      </c>
      <c r="S225" s="54" t="str">
        <f>IF(OR($B225="",$A225&gt;$B$9,S$198=""),"",IF(COUNTIFS(BD!$B$3:$B$5001,S$198,BD!$A$3:$A$5001,"&gt;="&amp;$C$7,BD!$A$3:$A$5001,"&lt;="&amp;$B225,BD!$S$3:$S$5001,"&lt;&gt;")=0,"",SUMIFS(BD!$S$3:$S$5001,BD!$B$3:$B$5001,S$198,BD!$A$3:$A$5001,_xlfn.MAXIFS(BD!$A$3:$A$5001,BD!$B$3:$B$5001,S$198,BD!$A$3:$A$5001,"&gt;="&amp;$C$7,BD!$A$3:$A$5001,"&lt;="&amp;$B225,BD!$S$3:$S$5001,"&lt;&gt;"))))</f>
        <v/>
      </c>
      <c r="T225" s="54" t="str">
        <f>IF(OR($B225="",$A225&gt;$B$9,T$198=""),"",IF(COUNTIFS(BD!$B$3:$B$5001,T$198,BD!$A$3:$A$5001,"&gt;="&amp;$C$7,BD!$A$3:$A$5001,"&lt;="&amp;$B225,BD!$S$3:$S$5001,"&lt;&gt;")=0,"",SUMIFS(BD!$S$3:$S$5001,BD!$B$3:$B$5001,T$198,BD!$A$3:$A$5001,_xlfn.MAXIFS(BD!$A$3:$A$5001,BD!$B$3:$B$5001,T$198,BD!$A$3:$A$5001,"&gt;="&amp;$C$7,BD!$A$3:$A$5001,"&lt;="&amp;$B225,BD!$S$3:$S$5001,"&lt;&gt;"))))</f>
        <v/>
      </c>
      <c r="U225" s="54" t="str">
        <f>IF(OR($B225="",$A225&gt;$B$9,U$198=""),"",IF(COUNTIFS(BD!$B$3:$B$5001,U$198,BD!$A$3:$A$5001,"&gt;="&amp;$C$7,BD!$A$3:$A$5001,"&lt;="&amp;$B225,BD!$S$3:$S$5001,"&lt;&gt;")=0,"",SUMIFS(BD!$S$3:$S$5001,BD!$B$3:$B$5001,U$198,BD!$A$3:$A$5001,_xlfn.MAXIFS(BD!$A$3:$A$5001,BD!$B$3:$B$5001,U$198,BD!$A$3:$A$5001,"&gt;="&amp;$C$7,BD!$A$3:$A$5001,"&lt;="&amp;$B225,BD!$S$3:$S$5001,"&lt;&gt;"))))</f>
        <v/>
      </c>
      <c r="V225" s="54" t="str">
        <f>IF(OR($B225="",$A225&gt;$B$9,V$198=""),"",IF(COUNTIFS(BD!$B$3:$B$5001,V$198,BD!$A$3:$A$5001,"&gt;="&amp;$C$7,BD!$A$3:$A$5001,"&lt;="&amp;$B225,BD!$S$3:$S$5001,"&lt;&gt;")=0,"",SUMIFS(BD!$S$3:$S$5001,BD!$B$3:$B$5001,V$198,BD!$A$3:$A$5001,_xlfn.MAXIFS(BD!$A$3:$A$5001,BD!$B$3:$B$5001,V$198,BD!$A$3:$A$5001,"&gt;="&amp;$C$7,BD!$A$3:$A$5001,"&lt;="&amp;$B225,BD!$S$3:$S$5001,"&lt;&gt;"))))</f>
        <v/>
      </c>
    </row>
    <row r="226">
      <c r="A226" s="48">
        <v>28</v>
      </c>
      <c r="B226" s="53">
        <f>$B$39</f>
        <v>46323</v>
      </c>
      <c r="C226" s="54" t="str">
        <f>IF(OR($B226="",$A226&gt;$B$9,C$198=""),"",IF(COUNTIFS(BD!$B$3:$B$5001,C$198,BD!$A$3:$A$5001,"&gt;="&amp;$C$7,BD!$A$3:$A$5001,"&lt;="&amp;$B226,BD!$S$3:$S$5001,"&lt;&gt;")=0,"",SUMIFS(BD!$S$3:$S$5001,BD!$B$3:$B$5001,C$198,BD!$A$3:$A$5001,_xlfn.MAXIFS(BD!$A$3:$A$5001,BD!$B$3:$B$5001,C$198,BD!$A$3:$A$5001,"&gt;="&amp;$C$7,BD!$A$3:$A$5001,"&lt;="&amp;$B226,BD!$S$3:$S$5001,"&lt;&gt;"))))</f>
        <v/>
      </c>
      <c r="D226" s="54" t="str">
        <f>IF(OR($B226="",$A226&gt;$B$9,D$198=""),"",IF(COUNTIFS(BD!$B$3:$B$5001,D$198,BD!$A$3:$A$5001,"&gt;="&amp;$C$7,BD!$A$3:$A$5001,"&lt;="&amp;$B226,BD!$S$3:$S$5001,"&lt;&gt;")=0,"",SUMIFS(BD!$S$3:$S$5001,BD!$B$3:$B$5001,D$198,BD!$A$3:$A$5001,_xlfn.MAXIFS(BD!$A$3:$A$5001,BD!$B$3:$B$5001,D$198,BD!$A$3:$A$5001,"&gt;="&amp;$C$7,BD!$A$3:$A$5001,"&lt;="&amp;$B226,BD!$S$3:$S$5001,"&lt;&gt;"))))</f>
        <v/>
      </c>
      <c r="E226" s="54" t="str">
        <f>IF(OR($B226="",$A226&gt;$B$9,E$198=""),"",IF(COUNTIFS(BD!$B$3:$B$5001,E$198,BD!$A$3:$A$5001,"&gt;="&amp;$C$7,BD!$A$3:$A$5001,"&lt;="&amp;$B226,BD!$S$3:$S$5001,"&lt;&gt;")=0,"",SUMIFS(BD!$S$3:$S$5001,BD!$B$3:$B$5001,E$198,BD!$A$3:$A$5001,_xlfn.MAXIFS(BD!$A$3:$A$5001,BD!$B$3:$B$5001,E$198,BD!$A$3:$A$5001,"&gt;="&amp;$C$7,BD!$A$3:$A$5001,"&lt;="&amp;$B226,BD!$S$3:$S$5001,"&lt;&gt;"))))</f>
        <v/>
      </c>
      <c r="F226" s="54" t="str">
        <f>IF(OR($B226="",$A226&gt;$B$9,F$198=""),"",IF(COUNTIFS(BD!$B$3:$B$5001,F$198,BD!$A$3:$A$5001,"&gt;="&amp;$C$7,BD!$A$3:$A$5001,"&lt;="&amp;$B226,BD!$S$3:$S$5001,"&lt;&gt;")=0,"",SUMIFS(BD!$S$3:$S$5001,BD!$B$3:$B$5001,F$198,BD!$A$3:$A$5001,_xlfn.MAXIFS(BD!$A$3:$A$5001,BD!$B$3:$B$5001,F$198,BD!$A$3:$A$5001,"&gt;="&amp;$C$7,BD!$A$3:$A$5001,"&lt;="&amp;$B226,BD!$S$3:$S$5001,"&lt;&gt;"))))</f>
        <v/>
      </c>
      <c r="G226" s="54" t="str">
        <f>IF(OR($B226="",$A226&gt;$B$9,G$198=""),"",IF(COUNTIFS(BD!$B$3:$B$5001,G$198,BD!$A$3:$A$5001,"&gt;="&amp;$C$7,BD!$A$3:$A$5001,"&lt;="&amp;$B226,BD!$S$3:$S$5001,"&lt;&gt;")=0,"",SUMIFS(BD!$S$3:$S$5001,BD!$B$3:$B$5001,G$198,BD!$A$3:$A$5001,_xlfn.MAXIFS(BD!$A$3:$A$5001,BD!$B$3:$B$5001,G$198,BD!$A$3:$A$5001,"&gt;="&amp;$C$7,BD!$A$3:$A$5001,"&lt;="&amp;$B226,BD!$S$3:$S$5001,"&lt;&gt;"))))</f>
        <v/>
      </c>
      <c r="H226" s="54" t="str">
        <f>IF(OR($B226="",$A226&gt;$B$9,H$198=""),"",IF(COUNTIFS(BD!$B$3:$B$5001,H$198,BD!$A$3:$A$5001,"&gt;="&amp;$C$7,BD!$A$3:$A$5001,"&lt;="&amp;$B226,BD!$S$3:$S$5001,"&lt;&gt;")=0,"",SUMIFS(BD!$S$3:$S$5001,BD!$B$3:$B$5001,H$198,BD!$A$3:$A$5001,_xlfn.MAXIFS(BD!$A$3:$A$5001,BD!$B$3:$B$5001,H$198,BD!$A$3:$A$5001,"&gt;="&amp;$C$7,BD!$A$3:$A$5001,"&lt;="&amp;$B226,BD!$S$3:$S$5001,"&lt;&gt;"))))</f>
        <v/>
      </c>
      <c r="I226" s="54" t="str">
        <f>IF(OR($B226="",$A226&gt;$B$9,I$198=""),"",IF(COUNTIFS(BD!$B$3:$B$5001,I$198,BD!$A$3:$A$5001,"&gt;="&amp;$C$7,BD!$A$3:$A$5001,"&lt;="&amp;$B226,BD!$S$3:$S$5001,"&lt;&gt;")=0,"",SUMIFS(BD!$S$3:$S$5001,BD!$B$3:$B$5001,I$198,BD!$A$3:$A$5001,_xlfn.MAXIFS(BD!$A$3:$A$5001,BD!$B$3:$B$5001,I$198,BD!$A$3:$A$5001,"&gt;="&amp;$C$7,BD!$A$3:$A$5001,"&lt;="&amp;$B226,BD!$S$3:$S$5001,"&lt;&gt;"))))</f>
        <v/>
      </c>
      <c r="J226" s="54" t="str">
        <f>IF(OR($B226="",$A226&gt;$B$9,J$198=""),"",IF(COUNTIFS(BD!$B$3:$B$5001,J$198,BD!$A$3:$A$5001,"&gt;="&amp;$C$7,BD!$A$3:$A$5001,"&lt;="&amp;$B226,BD!$S$3:$S$5001,"&lt;&gt;")=0,"",SUMIFS(BD!$S$3:$S$5001,BD!$B$3:$B$5001,J$198,BD!$A$3:$A$5001,_xlfn.MAXIFS(BD!$A$3:$A$5001,BD!$B$3:$B$5001,J$198,BD!$A$3:$A$5001,"&gt;="&amp;$C$7,BD!$A$3:$A$5001,"&lt;="&amp;$B226,BD!$S$3:$S$5001,"&lt;&gt;"))))</f>
        <v/>
      </c>
      <c r="K226" s="54" t="str">
        <f>IF(OR($B226="",$A226&gt;$B$9,K$198=""),"",IF(COUNTIFS(BD!$B$3:$B$5001,K$198,BD!$A$3:$A$5001,"&gt;="&amp;$C$7,BD!$A$3:$A$5001,"&lt;="&amp;$B226,BD!$S$3:$S$5001,"&lt;&gt;")=0,"",SUMIFS(BD!$S$3:$S$5001,BD!$B$3:$B$5001,K$198,BD!$A$3:$A$5001,_xlfn.MAXIFS(BD!$A$3:$A$5001,BD!$B$3:$B$5001,K$198,BD!$A$3:$A$5001,"&gt;="&amp;$C$7,BD!$A$3:$A$5001,"&lt;="&amp;$B226,BD!$S$3:$S$5001,"&lt;&gt;"))))</f>
        <v/>
      </c>
      <c r="L226" s="54" t="str">
        <f>IF(OR($B226="",$A226&gt;$B$9,L$198=""),"",IF(COUNTIFS(BD!$B$3:$B$5001,L$198,BD!$A$3:$A$5001,"&gt;="&amp;$C$7,BD!$A$3:$A$5001,"&lt;="&amp;$B226,BD!$S$3:$S$5001,"&lt;&gt;")=0,"",SUMIFS(BD!$S$3:$S$5001,BD!$B$3:$B$5001,L$198,BD!$A$3:$A$5001,_xlfn.MAXIFS(BD!$A$3:$A$5001,BD!$B$3:$B$5001,L$198,BD!$A$3:$A$5001,"&gt;="&amp;$C$7,BD!$A$3:$A$5001,"&lt;="&amp;$B226,BD!$S$3:$S$5001,"&lt;&gt;"))))</f>
        <v/>
      </c>
      <c r="M226" s="54" t="str">
        <f>IF(OR($B226="",$A226&gt;$B$9,M$198=""),"",IF(COUNTIFS(BD!$B$3:$B$5001,M$198,BD!$A$3:$A$5001,"&gt;="&amp;$C$7,BD!$A$3:$A$5001,"&lt;="&amp;$B226,BD!$S$3:$S$5001,"&lt;&gt;")=0,"",SUMIFS(BD!$S$3:$S$5001,BD!$B$3:$B$5001,M$198,BD!$A$3:$A$5001,_xlfn.MAXIFS(BD!$A$3:$A$5001,BD!$B$3:$B$5001,M$198,BD!$A$3:$A$5001,"&gt;="&amp;$C$7,BD!$A$3:$A$5001,"&lt;="&amp;$B226,BD!$S$3:$S$5001,"&lt;&gt;"))))</f>
        <v/>
      </c>
      <c r="N226" s="54" t="str">
        <f>IF(OR($B226="",$A226&gt;$B$9,N$198=""),"",IF(COUNTIFS(BD!$B$3:$B$5001,N$198,BD!$A$3:$A$5001,"&gt;="&amp;$C$7,BD!$A$3:$A$5001,"&lt;="&amp;$B226,BD!$S$3:$S$5001,"&lt;&gt;")=0,"",SUMIFS(BD!$S$3:$S$5001,BD!$B$3:$B$5001,N$198,BD!$A$3:$A$5001,_xlfn.MAXIFS(BD!$A$3:$A$5001,BD!$B$3:$B$5001,N$198,BD!$A$3:$A$5001,"&gt;="&amp;$C$7,BD!$A$3:$A$5001,"&lt;="&amp;$B226,BD!$S$3:$S$5001,"&lt;&gt;"))))</f>
        <v/>
      </c>
      <c r="O226" s="54" t="str">
        <f>IF(OR($B226="",$A226&gt;$B$9,O$198=""),"",IF(COUNTIFS(BD!$B$3:$B$5001,O$198,BD!$A$3:$A$5001,"&gt;="&amp;$C$7,BD!$A$3:$A$5001,"&lt;="&amp;$B226,BD!$S$3:$S$5001,"&lt;&gt;")=0,"",SUMIFS(BD!$S$3:$S$5001,BD!$B$3:$B$5001,O$198,BD!$A$3:$A$5001,_xlfn.MAXIFS(BD!$A$3:$A$5001,BD!$B$3:$B$5001,O$198,BD!$A$3:$A$5001,"&gt;="&amp;$C$7,BD!$A$3:$A$5001,"&lt;="&amp;$B226,BD!$S$3:$S$5001,"&lt;&gt;"))))</f>
        <v/>
      </c>
      <c r="P226" s="54" t="str">
        <f>IF(OR($B226="",$A226&gt;$B$9,P$198=""),"",IF(COUNTIFS(BD!$B$3:$B$5001,P$198,BD!$A$3:$A$5001,"&gt;="&amp;$C$7,BD!$A$3:$A$5001,"&lt;="&amp;$B226,BD!$S$3:$S$5001,"&lt;&gt;")=0,"",SUMIFS(BD!$S$3:$S$5001,BD!$B$3:$B$5001,P$198,BD!$A$3:$A$5001,_xlfn.MAXIFS(BD!$A$3:$A$5001,BD!$B$3:$B$5001,P$198,BD!$A$3:$A$5001,"&gt;="&amp;$C$7,BD!$A$3:$A$5001,"&lt;="&amp;$B226,BD!$S$3:$S$5001,"&lt;&gt;"))))</f>
        <v/>
      </c>
      <c r="Q226" s="54" t="str">
        <f>IF(OR($B226="",$A226&gt;$B$9,Q$198=""),"",IF(COUNTIFS(BD!$B$3:$B$5001,Q$198,BD!$A$3:$A$5001,"&gt;="&amp;$C$7,BD!$A$3:$A$5001,"&lt;="&amp;$B226,BD!$S$3:$S$5001,"&lt;&gt;")=0,"",SUMIFS(BD!$S$3:$S$5001,BD!$B$3:$B$5001,Q$198,BD!$A$3:$A$5001,_xlfn.MAXIFS(BD!$A$3:$A$5001,BD!$B$3:$B$5001,Q$198,BD!$A$3:$A$5001,"&gt;="&amp;$C$7,BD!$A$3:$A$5001,"&lt;="&amp;$B226,BD!$S$3:$S$5001,"&lt;&gt;"))))</f>
        <v/>
      </c>
      <c r="R226" s="54" t="str">
        <f>IF(OR($B226="",$A226&gt;$B$9,R$198=""),"",IF(COUNTIFS(BD!$B$3:$B$5001,R$198,BD!$A$3:$A$5001,"&gt;="&amp;$C$7,BD!$A$3:$A$5001,"&lt;="&amp;$B226,BD!$S$3:$S$5001,"&lt;&gt;")=0,"",SUMIFS(BD!$S$3:$S$5001,BD!$B$3:$B$5001,R$198,BD!$A$3:$A$5001,_xlfn.MAXIFS(BD!$A$3:$A$5001,BD!$B$3:$B$5001,R$198,BD!$A$3:$A$5001,"&gt;="&amp;$C$7,BD!$A$3:$A$5001,"&lt;="&amp;$B226,BD!$S$3:$S$5001,"&lt;&gt;"))))</f>
        <v/>
      </c>
      <c r="S226" s="54" t="str">
        <f>IF(OR($B226="",$A226&gt;$B$9,S$198=""),"",IF(COUNTIFS(BD!$B$3:$B$5001,S$198,BD!$A$3:$A$5001,"&gt;="&amp;$C$7,BD!$A$3:$A$5001,"&lt;="&amp;$B226,BD!$S$3:$S$5001,"&lt;&gt;")=0,"",SUMIFS(BD!$S$3:$S$5001,BD!$B$3:$B$5001,S$198,BD!$A$3:$A$5001,_xlfn.MAXIFS(BD!$A$3:$A$5001,BD!$B$3:$B$5001,S$198,BD!$A$3:$A$5001,"&gt;="&amp;$C$7,BD!$A$3:$A$5001,"&lt;="&amp;$B226,BD!$S$3:$S$5001,"&lt;&gt;"))))</f>
        <v/>
      </c>
      <c r="T226" s="54" t="str">
        <f>IF(OR($B226="",$A226&gt;$B$9,T$198=""),"",IF(COUNTIFS(BD!$B$3:$B$5001,T$198,BD!$A$3:$A$5001,"&gt;="&amp;$C$7,BD!$A$3:$A$5001,"&lt;="&amp;$B226,BD!$S$3:$S$5001,"&lt;&gt;")=0,"",SUMIFS(BD!$S$3:$S$5001,BD!$B$3:$B$5001,T$198,BD!$A$3:$A$5001,_xlfn.MAXIFS(BD!$A$3:$A$5001,BD!$B$3:$B$5001,T$198,BD!$A$3:$A$5001,"&gt;="&amp;$C$7,BD!$A$3:$A$5001,"&lt;="&amp;$B226,BD!$S$3:$S$5001,"&lt;&gt;"))))</f>
        <v/>
      </c>
      <c r="U226" s="54" t="str">
        <f>IF(OR($B226="",$A226&gt;$B$9,U$198=""),"",IF(COUNTIFS(BD!$B$3:$B$5001,U$198,BD!$A$3:$A$5001,"&gt;="&amp;$C$7,BD!$A$3:$A$5001,"&lt;="&amp;$B226,BD!$S$3:$S$5001,"&lt;&gt;")=0,"",SUMIFS(BD!$S$3:$S$5001,BD!$B$3:$B$5001,U$198,BD!$A$3:$A$5001,_xlfn.MAXIFS(BD!$A$3:$A$5001,BD!$B$3:$B$5001,U$198,BD!$A$3:$A$5001,"&gt;="&amp;$C$7,BD!$A$3:$A$5001,"&lt;="&amp;$B226,BD!$S$3:$S$5001,"&lt;&gt;"))))</f>
        <v/>
      </c>
      <c r="V226" s="54" t="str">
        <f>IF(OR($B226="",$A226&gt;$B$9,V$198=""),"",IF(COUNTIFS(BD!$B$3:$B$5001,V$198,BD!$A$3:$A$5001,"&gt;="&amp;$C$7,BD!$A$3:$A$5001,"&lt;="&amp;$B226,BD!$S$3:$S$5001,"&lt;&gt;")=0,"",SUMIFS(BD!$S$3:$S$5001,BD!$B$3:$B$5001,V$198,BD!$A$3:$A$5001,_xlfn.MAXIFS(BD!$A$3:$A$5001,BD!$B$3:$B$5001,V$198,BD!$A$3:$A$5001,"&gt;="&amp;$C$7,BD!$A$3:$A$5001,"&lt;="&amp;$B226,BD!$S$3:$S$5001,"&lt;&gt;"))))</f>
        <v/>
      </c>
    </row>
    <row r="227">
      <c r="A227" s="48">
        <v>29</v>
      </c>
      <c r="B227" s="53">
        <f>$B$40</f>
        <v>46324</v>
      </c>
      <c r="C227" s="54" t="str">
        <f>IF(OR($B227="",$A227&gt;$B$9,C$198=""),"",IF(COUNTIFS(BD!$B$3:$B$5001,C$198,BD!$A$3:$A$5001,"&gt;="&amp;$C$7,BD!$A$3:$A$5001,"&lt;="&amp;$B227,BD!$S$3:$S$5001,"&lt;&gt;")=0,"",SUMIFS(BD!$S$3:$S$5001,BD!$B$3:$B$5001,C$198,BD!$A$3:$A$5001,_xlfn.MAXIFS(BD!$A$3:$A$5001,BD!$B$3:$B$5001,C$198,BD!$A$3:$A$5001,"&gt;="&amp;$C$7,BD!$A$3:$A$5001,"&lt;="&amp;$B227,BD!$S$3:$S$5001,"&lt;&gt;"))))</f>
        <v/>
      </c>
      <c r="D227" s="54" t="str">
        <f>IF(OR($B227="",$A227&gt;$B$9,D$198=""),"",IF(COUNTIFS(BD!$B$3:$B$5001,D$198,BD!$A$3:$A$5001,"&gt;="&amp;$C$7,BD!$A$3:$A$5001,"&lt;="&amp;$B227,BD!$S$3:$S$5001,"&lt;&gt;")=0,"",SUMIFS(BD!$S$3:$S$5001,BD!$B$3:$B$5001,D$198,BD!$A$3:$A$5001,_xlfn.MAXIFS(BD!$A$3:$A$5001,BD!$B$3:$B$5001,D$198,BD!$A$3:$A$5001,"&gt;="&amp;$C$7,BD!$A$3:$A$5001,"&lt;="&amp;$B227,BD!$S$3:$S$5001,"&lt;&gt;"))))</f>
        <v/>
      </c>
      <c r="E227" s="54" t="str">
        <f>IF(OR($B227="",$A227&gt;$B$9,E$198=""),"",IF(COUNTIFS(BD!$B$3:$B$5001,E$198,BD!$A$3:$A$5001,"&gt;="&amp;$C$7,BD!$A$3:$A$5001,"&lt;="&amp;$B227,BD!$S$3:$S$5001,"&lt;&gt;")=0,"",SUMIFS(BD!$S$3:$S$5001,BD!$B$3:$B$5001,E$198,BD!$A$3:$A$5001,_xlfn.MAXIFS(BD!$A$3:$A$5001,BD!$B$3:$B$5001,E$198,BD!$A$3:$A$5001,"&gt;="&amp;$C$7,BD!$A$3:$A$5001,"&lt;="&amp;$B227,BD!$S$3:$S$5001,"&lt;&gt;"))))</f>
        <v/>
      </c>
      <c r="F227" s="54" t="str">
        <f>IF(OR($B227="",$A227&gt;$B$9,F$198=""),"",IF(COUNTIFS(BD!$B$3:$B$5001,F$198,BD!$A$3:$A$5001,"&gt;="&amp;$C$7,BD!$A$3:$A$5001,"&lt;="&amp;$B227,BD!$S$3:$S$5001,"&lt;&gt;")=0,"",SUMIFS(BD!$S$3:$S$5001,BD!$B$3:$B$5001,F$198,BD!$A$3:$A$5001,_xlfn.MAXIFS(BD!$A$3:$A$5001,BD!$B$3:$B$5001,F$198,BD!$A$3:$A$5001,"&gt;="&amp;$C$7,BD!$A$3:$A$5001,"&lt;="&amp;$B227,BD!$S$3:$S$5001,"&lt;&gt;"))))</f>
        <v/>
      </c>
      <c r="G227" s="54" t="str">
        <f>IF(OR($B227="",$A227&gt;$B$9,G$198=""),"",IF(COUNTIFS(BD!$B$3:$B$5001,G$198,BD!$A$3:$A$5001,"&gt;="&amp;$C$7,BD!$A$3:$A$5001,"&lt;="&amp;$B227,BD!$S$3:$S$5001,"&lt;&gt;")=0,"",SUMIFS(BD!$S$3:$S$5001,BD!$B$3:$B$5001,G$198,BD!$A$3:$A$5001,_xlfn.MAXIFS(BD!$A$3:$A$5001,BD!$B$3:$B$5001,G$198,BD!$A$3:$A$5001,"&gt;="&amp;$C$7,BD!$A$3:$A$5001,"&lt;="&amp;$B227,BD!$S$3:$S$5001,"&lt;&gt;"))))</f>
        <v/>
      </c>
      <c r="H227" s="54" t="str">
        <f>IF(OR($B227="",$A227&gt;$B$9,H$198=""),"",IF(COUNTIFS(BD!$B$3:$B$5001,H$198,BD!$A$3:$A$5001,"&gt;="&amp;$C$7,BD!$A$3:$A$5001,"&lt;="&amp;$B227,BD!$S$3:$S$5001,"&lt;&gt;")=0,"",SUMIFS(BD!$S$3:$S$5001,BD!$B$3:$B$5001,H$198,BD!$A$3:$A$5001,_xlfn.MAXIFS(BD!$A$3:$A$5001,BD!$B$3:$B$5001,H$198,BD!$A$3:$A$5001,"&gt;="&amp;$C$7,BD!$A$3:$A$5001,"&lt;="&amp;$B227,BD!$S$3:$S$5001,"&lt;&gt;"))))</f>
        <v/>
      </c>
      <c r="I227" s="54" t="str">
        <f>IF(OR($B227="",$A227&gt;$B$9,I$198=""),"",IF(COUNTIFS(BD!$B$3:$B$5001,I$198,BD!$A$3:$A$5001,"&gt;="&amp;$C$7,BD!$A$3:$A$5001,"&lt;="&amp;$B227,BD!$S$3:$S$5001,"&lt;&gt;")=0,"",SUMIFS(BD!$S$3:$S$5001,BD!$B$3:$B$5001,I$198,BD!$A$3:$A$5001,_xlfn.MAXIFS(BD!$A$3:$A$5001,BD!$B$3:$B$5001,I$198,BD!$A$3:$A$5001,"&gt;="&amp;$C$7,BD!$A$3:$A$5001,"&lt;="&amp;$B227,BD!$S$3:$S$5001,"&lt;&gt;"))))</f>
        <v/>
      </c>
      <c r="J227" s="54" t="str">
        <f>IF(OR($B227="",$A227&gt;$B$9,J$198=""),"",IF(COUNTIFS(BD!$B$3:$B$5001,J$198,BD!$A$3:$A$5001,"&gt;="&amp;$C$7,BD!$A$3:$A$5001,"&lt;="&amp;$B227,BD!$S$3:$S$5001,"&lt;&gt;")=0,"",SUMIFS(BD!$S$3:$S$5001,BD!$B$3:$B$5001,J$198,BD!$A$3:$A$5001,_xlfn.MAXIFS(BD!$A$3:$A$5001,BD!$B$3:$B$5001,J$198,BD!$A$3:$A$5001,"&gt;="&amp;$C$7,BD!$A$3:$A$5001,"&lt;="&amp;$B227,BD!$S$3:$S$5001,"&lt;&gt;"))))</f>
        <v/>
      </c>
      <c r="K227" s="54" t="str">
        <f>IF(OR($B227="",$A227&gt;$B$9,K$198=""),"",IF(COUNTIFS(BD!$B$3:$B$5001,K$198,BD!$A$3:$A$5001,"&gt;="&amp;$C$7,BD!$A$3:$A$5001,"&lt;="&amp;$B227,BD!$S$3:$S$5001,"&lt;&gt;")=0,"",SUMIFS(BD!$S$3:$S$5001,BD!$B$3:$B$5001,K$198,BD!$A$3:$A$5001,_xlfn.MAXIFS(BD!$A$3:$A$5001,BD!$B$3:$B$5001,K$198,BD!$A$3:$A$5001,"&gt;="&amp;$C$7,BD!$A$3:$A$5001,"&lt;="&amp;$B227,BD!$S$3:$S$5001,"&lt;&gt;"))))</f>
        <v/>
      </c>
      <c r="L227" s="54" t="str">
        <f>IF(OR($B227="",$A227&gt;$B$9,L$198=""),"",IF(COUNTIFS(BD!$B$3:$B$5001,L$198,BD!$A$3:$A$5001,"&gt;="&amp;$C$7,BD!$A$3:$A$5001,"&lt;="&amp;$B227,BD!$S$3:$S$5001,"&lt;&gt;")=0,"",SUMIFS(BD!$S$3:$S$5001,BD!$B$3:$B$5001,L$198,BD!$A$3:$A$5001,_xlfn.MAXIFS(BD!$A$3:$A$5001,BD!$B$3:$B$5001,L$198,BD!$A$3:$A$5001,"&gt;="&amp;$C$7,BD!$A$3:$A$5001,"&lt;="&amp;$B227,BD!$S$3:$S$5001,"&lt;&gt;"))))</f>
        <v/>
      </c>
      <c r="M227" s="54" t="str">
        <f>IF(OR($B227="",$A227&gt;$B$9,M$198=""),"",IF(COUNTIFS(BD!$B$3:$B$5001,M$198,BD!$A$3:$A$5001,"&gt;="&amp;$C$7,BD!$A$3:$A$5001,"&lt;="&amp;$B227,BD!$S$3:$S$5001,"&lt;&gt;")=0,"",SUMIFS(BD!$S$3:$S$5001,BD!$B$3:$B$5001,M$198,BD!$A$3:$A$5001,_xlfn.MAXIFS(BD!$A$3:$A$5001,BD!$B$3:$B$5001,M$198,BD!$A$3:$A$5001,"&gt;="&amp;$C$7,BD!$A$3:$A$5001,"&lt;="&amp;$B227,BD!$S$3:$S$5001,"&lt;&gt;"))))</f>
        <v/>
      </c>
      <c r="N227" s="54" t="str">
        <f>IF(OR($B227="",$A227&gt;$B$9,N$198=""),"",IF(COUNTIFS(BD!$B$3:$B$5001,N$198,BD!$A$3:$A$5001,"&gt;="&amp;$C$7,BD!$A$3:$A$5001,"&lt;="&amp;$B227,BD!$S$3:$S$5001,"&lt;&gt;")=0,"",SUMIFS(BD!$S$3:$S$5001,BD!$B$3:$B$5001,N$198,BD!$A$3:$A$5001,_xlfn.MAXIFS(BD!$A$3:$A$5001,BD!$B$3:$B$5001,N$198,BD!$A$3:$A$5001,"&gt;="&amp;$C$7,BD!$A$3:$A$5001,"&lt;="&amp;$B227,BD!$S$3:$S$5001,"&lt;&gt;"))))</f>
        <v/>
      </c>
      <c r="O227" s="54" t="str">
        <f>IF(OR($B227="",$A227&gt;$B$9,O$198=""),"",IF(COUNTIFS(BD!$B$3:$B$5001,O$198,BD!$A$3:$A$5001,"&gt;="&amp;$C$7,BD!$A$3:$A$5001,"&lt;="&amp;$B227,BD!$S$3:$S$5001,"&lt;&gt;")=0,"",SUMIFS(BD!$S$3:$S$5001,BD!$B$3:$B$5001,O$198,BD!$A$3:$A$5001,_xlfn.MAXIFS(BD!$A$3:$A$5001,BD!$B$3:$B$5001,O$198,BD!$A$3:$A$5001,"&gt;="&amp;$C$7,BD!$A$3:$A$5001,"&lt;="&amp;$B227,BD!$S$3:$S$5001,"&lt;&gt;"))))</f>
        <v/>
      </c>
      <c r="P227" s="54" t="str">
        <f>IF(OR($B227="",$A227&gt;$B$9,P$198=""),"",IF(COUNTIFS(BD!$B$3:$B$5001,P$198,BD!$A$3:$A$5001,"&gt;="&amp;$C$7,BD!$A$3:$A$5001,"&lt;="&amp;$B227,BD!$S$3:$S$5001,"&lt;&gt;")=0,"",SUMIFS(BD!$S$3:$S$5001,BD!$B$3:$B$5001,P$198,BD!$A$3:$A$5001,_xlfn.MAXIFS(BD!$A$3:$A$5001,BD!$B$3:$B$5001,P$198,BD!$A$3:$A$5001,"&gt;="&amp;$C$7,BD!$A$3:$A$5001,"&lt;="&amp;$B227,BD!$S$3:$S$5001,"&lt;&gt;"))))</f>
        <v/>
      </c>
      <c r="Q227" s="54" t="str">
        <f>IF(OR($B227="",$A227&gt;$B$9,Q$198=""),"",IF(COUNTIFS(BD!$B$3:$B$5001,Q$198,BD!$A$3:$A$5001,"&gt;="&amp;$C$7,BD!$A$3:$A$5001,"&lt;="&amp;$B227,BD!$S$3:$S$5001,"&lt;&gt;")=0,"",SUMIFS(BD!$S$3:$S$5001,BD!$B$3:$B$5001,Q$198,BD!$A$3:$A$5001,_xlfn.MAXIFS(BD!$A$3:$A$5001,BD!$B$3:$B$5001,Q$198,BD!$A$3:$A$5001,"&gt;="&amp;$C$7,BD!$A$3:$A$5001,"&lt;="&amp;$B227,BD!$S$3:$S$5001,"&lt;&gt;"))))</f>
        <v/>
      </c>
      <c r="R227" s="54" t="str">
        <f>IF(OR($B227="",$A227&gt;$B$9,R$198=""),"",IF(COUNTIFS(BD!$B$3:$B$5001,R$198,BD!$A$3:$A$5001,"&gt;="&amp;$C$7,BD!$A$3:$A$5001,"&lt;="&amp;$B227,BD!$S$3:$S$5001,"&lt;&gt;")=0,"",SUMIFS(BD!$S$3:$S$5001,BD!$B$3:$B$5001,R$198,BD!$A$3:$A$5001,_xlfn.MAXIFS(BD!$A$3:$A$5001,BD!$B$3:$B$5001,R$198,BD!$A$3:$A$5001,"&gt;="&amp;$C$7,BD!$A$3:$A$5001,"&lt;="&amp;$B227,BD!$S$3:$S$5001,"&lt;&gt;"))))</f>
        <v/>
      </c>
      <c r="S227" s="54" t="str">
        <f>IF(OR($B227="",$A227&gt;$B$9,S$198=""),"",IF(COUNTIFS(BD!$B$3:$B$5001,S$198,BD!$A$3:$A$5001,"&gt;="&amp;$C$7,BD!$A$3:$A$5001,"&lt;="&amp;$B227,BD!$S$3:$S$5001,"&lt;&gt;")=0,"",SUMIFS(BD!$S$3:$S$5001,BD!$B$3:$B$5001,S$198,BD!$A$3:$A$5001,_xlfn.MAXIFS(BD!$A$3:$A$5001,BD!$B$3:$B$5001,S$198,BD!$A$3:$A$5001,"&gt;="&amp;$C$7,BD!$A$3:$A$5001,"&lt;="&amp;$B227,BD!$S$3:$S$5001,"&lt;&gt;"))))</f>
        <v/>
      </c>
      <c r="T227" s="54" t="str">
        <f>IF(OR($B227="",$A227&gt;$B$9,T$198=""),"",IF(COUNTIFS(BD!$B$3:$B$5001,T$198,BD!$A$3:$A$5001,"&gt;="&amp;$C$7,BD!$A$3:$A$5001,"&lt;="&amp;$B227,BD!$S$3:$S$5001,"&lt;&gt;")=0,"",SUMIFS(BD!$S$3:$S$5001,BD!$B$3:$B$5001,T$198,BD!$A$3:$A$5001,_xlfn.MAXIFS(BD!$A$3:$A$5001,BD!$B$3:$B$5001,T$198,BD!$A$3:$A$5001,"&gt;="&amp;$C$7,BD!$A$3:$A$5001,"&lt;="&amp;$B227,BD!$S$3:$S$5001,"&lt;&gt;"))))</f>
        <v/>
      </c>
      <c r="U227" s="54" t="str">
        <f>IF(OR($B227="",$A227&gt;$B$9,U$198=""),"",IF(COUNTIFS(BD!$B$3:$B$5001,U$198,BD!$A$3:$A$5001,"&gt;="&amp;$C$7,BD!$A$3:$A$5001,"&lt;="&amp;$B227,BD!$S$3:$S$5001,"&lt;&gt;")=0,"",SUMIFS(BD!$S$3:$S$5001,BD!$B$3:$B$5001,U$198,BD!$A$3:$A$5001,_xlfn.MAXIFS(BD!$A$3:$A$5001,BD!$B$3:$B$5001,U$198,BD!$A$3:$A$5001,"&gt;="&amp;$C$7,BD!$A$3:$A$5001,"&lt;="&amp;$B227,BD!$S$3:$S$5001,"&lt;&gt;"))))</f>
        <v/>
      </c>
      <c r="V227" s="54" t="str">
        <f>IF(OR($B227="",$A227&gt;$B$9,V$198=""),"",IF(COUNTIFS(BD!$B$3:$B$5001,V$198,BD!$A$3:$A$5001,"&gt;="&amp;$C$7,BD!$A$3:$A$5001,"&lt;="&amp;$B227,BD!$S$3:$S$5001,"&lt;&gt;")=0,"",SUMIFS(BD!$S$3:$S$5001,BD!$B$3:$B$5001,V$198,BD!$A$3:$A$5001,_xlfn.MAXIFS(BD!$A$3:$A$5001,BD!$B$3:$B$5001,V$198,BD!$A$3:$A$5001,"&gt;="&amp;$C$7,BD!$A$3:$A$5001,"&lt;="&amp;$B227,BD!$S$3:$S$5001,"&lt;&gt;"))))</f>
        <v/>
      </c>
    </row>
    <row r="228">
      <c r="A228" s="48">
        <v>30</v>
      </c>
      <c r="B228" s="53">
        <f>$B$41</f>
        <v>46325</v>
      </c>
      <c r="C228" s="54" t="str">
        <f>IF(OR($B228="",$A228&gt;$B$9,C$198=""),"",IF(COUNTIFS(BD!$B$3:$B$5001,C$198,BD!$A$3:$A$5001,"&gt;="&amp;$C$7,BD!$A$3:$A$5001,"&lt;="&amp;$B228,BD!$S$3:$S$5001,"&lt;&gt;")=0,"",SUMIFS(BD!$S$3:$S$5001,BD!$B$3:$B$5001,C$198,BD!$A$3:$A$5001,_xlfn.MAXIFS(BD!$A$3:$A$5001,BD!$B$3:$B$5001,C$198,BD!$A$3:$A$5001,"&gt;="&amp;$C$7,BD!$A$3:$A$5001,"&lt;="&amp;$B228,BD!$S$3:$S$5001,"&lt;&gt;"))))</f>
        <v/>
      </c>
      <c r="D228" s="54" t="str">
        <f>IF(OR($B228="",$A228&gt;$B$9,D$198=""),"",IF(COUNTIFS(BD!$B$3:$B$5001,D$198,BD!$A$3:$A$5001,"&gt;="&amp;$C$7,BD!$A$3:$A$5001,"&lt;="&amp;$B228,BD!$S$3:$S$5001,"&lt;&gt;")=0,"",SUMIFS(BD!$S$3:$S$5001,BD!$B$3:$B$5001,D$198,BD!$A$3:$A$5001,_xlfn.MAXIFS(BD!$A$3:$A$5001,BD!$B$3:$B$5001,D$198,BD!$A$3:$A$5001,"&gt;="&amp;$C$7,BD!$A$3:$A$5001,"&lt;="&amp;$B228,BD!$S$3:$S$5001,"&lt;&gt;"))))</f>
        <v/>
      </c>
      <c r="E228" s="54" t="str">
        <f>IF(OR($B228="",$A228&gt;$B$9,E$198=""),"",IF(COUNTIFS(BD!$B$3:$B$5001,E$198,BD!$A$3:$A$5001,"&gt;="&amp;$C$7,BD!$A$3:$A$5001,"&lt;="&amp;$B228,BD!$S$3:$S$5001,"&lt;&gt;")=0,"",SUMIFS(BD!$S$3:$S$5001,BD!$B$3:$B$5001,E$198,BD!$A$3:$A$5001,_xlfn.MAXIFS(BD!$A$3:$A$5001,BD!$B$3:$B$5001,E$198,BD!$A$3:$A$5001,"&gt;="&amp;$C$7,BD!$A$3:$A$5001,"&lt;="&amp;$B228,BD!$S$3:$S$5001,"&lt;&gt;"))))</f>
        <v/>
      </c>
      <c r="F228" s="54" t="str">
        <f>IF(OR($B228="",$A228&gt;$B$9,F$198=""),"",IF(COUNTIFS(BD!$B$3:$B$5001,F$198,BD!$A$3:$A$5001,"&gt;="&amp;$C$7,BD!$A$3:$A$5001,"&lt;="&amp;$B228,BD!$S$3:$S$5001,"&lt;&gt;")=0,"",SUMIFS(BD!$S$3:$S$5001,BD!$B$3:$B$5001,F$198,BD!$A$3:$A$5001,_xlfn.MAXIFS(BD!$A$3:$A$5001,BD!$B$3:$B$5001,F$198,BD!$A$3:$A$5001,"&gt;="&amp;$C$7,BD!$A$3:$A$5001,"&lt;="&amp;$B228,BD!$S$3:$S$5001,"&lt;&gt;"))))</f>
        <v/>
      </c>
      <c r="G228" s="54" t="str">
        <f>IF(OR($B228="",$A228&gt;$B$9,G$198=""),"",IF(COUNTIFS(BD!$B$3:$B$5001,G$198,BD!$A$3:$A$5001,"&gt;="&amp;$C$7,BD!$A$3:$A$5001,"&lt;="&amp;$B228,BD!$S$3:$S$5001,"&lt;&gt;")=0,"",SUMIFS(BD!$S$3:$S$5001,BD!$B$3:$B$5001,G$198,BD!$A$3:$A$5001,_xlfn.MAXIFS(BD!$A$3:$A$5001,BD!$B$3:$B$5001,G$198,BD!$A$3:$A$5001,"&gt;="&amp;$C$7,BD!$A$3:$A$5001,"&lt;="&amp;$B228,BD!$S$3:$S$5001,"&lt;&gt;"))))</f>
        <v/>
      </c>
      <c r="H228" s="54" t="str">
        <f>IF(OR($B228="",$A228&gt;$B$9,H$198=""),"",IF(COUNTIFS(BD!$B$3:$B$5001,H$198,BD!$A$3:$A$5001,"&gt;="&amp;$C$7,BD!$A$3:$A$5001,"&lt;="&amp;$B228,BD!$S$3:$S$5001,"&lt;&gt;")=0,"",SUMIFS(BD!$S$3:$S$5001,BD!$B$3:$B$5001,H$198,BD!$A$3:$A$5001,_xlfn.MAXIFS(BD!$A$3:$A$5001,BD!$B$3:$B$5001,H$198,BD!$A$3:$A$5001,"&gt;="&amp;$C$7,BD!$A$3:$A$5001,"&lt;="&amp;$B228,BD!$S$3:$S$5001,"&lt;&gt;"))))</f>
        <v/>
      </c>
      <c r="I228" s="54" t="str">
        <f>IF(OR($B228="",$A228&gt;$B$9,I$198=""),"",IF(COUNTIFS(BD!$B$3:$B$5001,I$198,BD!$A$3:$A$5001,"&gt;="&amp;$C$7,BD!$A$3:$A$5001,"&lt;="&amp;$B228,BD!$S$3:$S$5001,"&lt;&gt;")=0,"",SUMIFS(BD!$S$3:$S$5001,BD!$B$3:$B$5001,I$198,BD!$A$3:$A$5001,_xlfn.MAXIFS(BD!$A$3:$A$5001,BD!$B$3:$B$5001,I$198,BD!$A$3:$A$5001,"&gt;="&amp;$C$7,BD!$A$3:$A$5001,"&lt;="&amp;$B228,BD!$S$3:$S$5001,"&lt;&gt;"))))</f>
        <v/>
      </c>
      <c r="J228" s="54" t="str">
        <f>IF(OR($B228="",$A228&gt;$B$9,J$198=""),"",IF(COUNTIFS(BD!$B$3:$B$5001,J$198,BD!$A$3:$A$5001,"&gt;="&amp;$C$7,BD!$A$3:$A$5001,"&lt;="&amp;$B228,BD!$S$3:$S$5001,"&lt;&gt;")=0,"",SUMIFS(BD!$S$3:$S$5001,BD!$B$3:$B$5001,J$198,BD!$A$3:$A$5001,_xlfn.MAXIFS(BD!$A$3:$A$5001,BD!$B$3:$B$5001,J$198,BD!$A$3:$A$5001,"&gt;="&amp;$C$7,BD!$A$3:$A$5001,"&lt;="&amp;$B228,BD!$S$3:$S$5001,"&lt;&gt;"))))</f>
        <v/>
      </c>
      <c r="K228" s="54" t="str">
        <f>IF(OR($B228="",$A228&gt;$B$9,K$198=""),"",IF(COUNTIFS(BD!$B$3:$B$5001,K$198,BD!$A$3:$A$5001,"&gt;="&amp;$C$7,BD!$A$3:$A$5001,"&lt;="&amp;$B228,BD!$S$3:$S$5001,"&lt;&gt;")=0,"",SUMIFS(BD!$S$3:$S$5001,BD!$B$3:$B$5001,K$198,BD!$A$3:$A$5001,_xlfn.MAXIFS(BD!$A$3:$A$5001,BD!$B$3:$B$5001,K$198,BD!$A$3:$A$5001,"&gt;="&amp;$C$7,BD!$A$3:$A$5001,"&lt;="&amp;$B228,BD!$S$3:$S$5001,"&lt;&gt;"))))</f>
        <v/>
      </c>
      <c r="L228" s="54" t="str">
        <f>IF(OR($B228="",$A228&gt;$B$9,L$198=""),"",IF(COUNTIFS(BD!$B$3:$B$5001,L$198,BD!$A$3:$A$5001,"&gt;="&amp;$C$7,BD!$A$3:$A$5001,"&lt;="&amp;$B228,BD!$S$3:$S$5001,"&lt;&gt;")=0,"",SUMIFS(BD!$S$3:$S$5001,BD!$B$3:$B$5001,L$198,BD!$A$3:$A$5001,_xlfn.MAXIFS(BD!$A$3:$A$5001,BD!$B$3:$B$5001,L$198,BD!$A$3:$A$5001,"&gt;="&amp;$C$7,BD!$A$3:$A$5001,"&lt;="&amp;$B228,BD!$S$3:$S$5001,"&lt;&gt;"))))</f>
        <v/>
      </c>
      <c r="M228" s="54" t="str">
        <f>IF(OR($B228="",$A228&gt;$B$9,M$198=""),"",IF(COUNTIFS(BD!$B$3:$B$5001,M$198,BD!$A$3:$A$5001,"&gt;="&amp;$C$7,BD!$A$3:$A$5001,"&lt;="&amp;$B228,BD!$S$3:$S$5001,"&lt;&gt;")=0,"",SUMIFS(BD!$S$3:$S$5001,BD!$B$3:$B$5001,M$198,BD!$A$3:$A$5001,_xlfn.MAXIFS(BD!$A$3:$A$5001,BD!$B$3:$B$5001,M$198,BD!$A$3:$A$5001,"&gt;="&amp;$C$7,BD!$A$3:$A$5001,"&lt;="&amp;$B228,BD!$S$3:$S$5001,"&lt;&gt;"))))</f>
        <v/>
      </c>
      <c r="N228" s="54" t="str">
        <f>IF(OR($B228="",$A228&gt;$B$9,N$198=""),"",IF(COUNTIFS(BD!$B$3:$B$5001,N$198,BD!$A$3:$A$5001,"&gt;="&amp;$C$7,BD!$A$3:$A$5001,"&lt;="&amp;$B228,BD!$S$3:$S$5001,"&lt;&gt;")=0,"",SUMIFS(BD!$S$3:$S$5001,BD!$B$3:$B$5001,N$198,BD!$A$3:$A$5001,_xlfn.MAXIFS(BD!$A$3:$A$5001,BD!$B$3:$B$5001,N$198,BD!$A$3:$A$5001,"&gt;="&amp;$C$7,BD!$A$3:$A$5001,"&lt;="&amp;$B228,BD!$S$3:$S$5001,"&lt;&gt;"))))</f>
        <v/>
      </c>
      <c r="O228" s="54" t="str">
        <f>IF(OR($B228="",$A228&gt;$B$9,O$198=""),"",IF(COUNTIFS(BD!$B$3:$B$5001,O$198,BD!$A$3:$A$5001,"&gt;="&amp;$C$7,BD!$A$3:$A$5001,"&lt;="&amp;$B228,BD!$S$3:$S$5001,"&lt;&gt;")=0,"",SUMIFS(BD!$S$3:$S$5001,BD!$B$3:$B$5001,O$198,BD!$A$3:$A$5001,_xlfn.MAXIFS(BD!$A$3:$A$5001,BD!$B$3:$B$5001,O$198,BD!$A$3:$A$5001,"&gt;="&amp;$C$7,BD!$A$3:$A$5001,"&lt;="&amp;$B228,BD!$S$3:$S$5001,"&lt;&gt;"))))</f>
        <v/>
      </c>
      <c r="P228" s="54" t="str">
        <f>IF(OR($B228="",$A228&gt;$B$9,P$198=""),"",IF(COUNTIFS(BD!$B$3:$B$5001,P$198,BD!$A$3:$A$5001,"&gt;="&amp;$C$7,BD!$A$3:$A$5001,"&lt;="&amp;$B228,BD!$S$3:$S$5001,"&lt;&gt;")=0,"",SUMIFS(BD!$S$3:$S$5001,BD!$B$3:$B$5001,P$198,BD!$A$3:$A$5001,_xlfn.MAXIFS(BD!$A$3:$A$5001,BD!$B$3:$B$5001,P$198,BD!$A$3:$A$5001,"&gt;="&amp;$C$7,BD!$A$3:$A$5001,"&lt;="&amp;$B228,BD!$S$3:$S$5001,"&lt;&gt;"))))</f>
        <v/>
      </c>
      <c r="Q228" s="54" t="str">
        <f>IF(OR($B228="",$A228&gt;$B$9,Q$198=""),"",IF(COUNTIFS(BD!$B$3:$B$5001,Q$198,BD!$A$3:$A$5001,"&gt;="&amp;$C$7,BD!$A$3:$A$5001,"&lt;="&amp;$B228,BD!$S$3:$S$5001,"&lt;&gt;")=0,"",SUMIFS(BD!$S$3:$S$5001,BD!$B$3:$B$5001,Q$198,BD!$A$3:$A$5001,_xlfn.MAXIFS(BD!$A$3:$A$5001,BD!$B$3:$B$5001,Q$198,BD!$A$3:$A$5001,"&gt;="&amp;$C$7,BD!$A$3:$A$5001,"&lt;="&amp;$B228,BD!$S$3:$S$5001,"&lt;&gt;"))))</f>
        <v/>
      </c>
      <c r="R228" s="54" t="str">
        <f>IF(OR($B228="",$A228&gt;$B$9,R$198=""),"",IF(COUNTIFS(BD!$B$3:$B$5001,R$198,BD!$A$3:$A$5001,"&gt;="&amp;$C$7,BD!$A$3:$A$5001,"&lt;="&amp;$B228,BD!$S$3:$S$5001,"&lt;&gt;")=0,"",SUMIFS(BD!$S$3:$S$5001,BD!$B$3:$B$5001,R$198,BD!$A$3:$A$5001,_xlfn.MAXIFS(BD!$A$3:$A$5001,BD!$B$3:$B$5001,R$198,BD!$A$3:$A$5001,"&gt;="&amp;$C$7,BD!$A$3:$A$5001,"&lt;="&amp;$B228,BD!$S$3:$S$5001,"&lt;&gt;"))))</f>
        <v/>
      </c>
      <c r="S228" s="54" t="str">
        <f>IF(OR($B228="",$A228&gt;$B$9,S$198=""),"",IF(COUNTIFS(BD!$B$3:$B$5001,S$198,BD!$A$3:$A$5001,"&gt;="&amp;$C$7,BD!$A$3:$A$5001,"&lt;="&amp;$B228,BD!$S$3:$S$5001,"&lt;&gt;")=0,"",SUMIFS(BD!$S$3:$S$5001,BD!$B$3:$B$5001,S$198,BD!$A$3:$A$5001,_xlfn.MAXIFS(BD!$A$3:$A$5001,BD!$B$3:$B$5001,S$198,BD!$A$3:$A$5001,"&gt;="&amp;$C$7,BD!$A$3:$A$5001,"&lt;="&amp;$B228,BD!$S$3:$S$5001,"&lt;&gt;"))))</f>
        <v/>
      </c>
      <c r="T228" s="54" t="str">
        <f>IF(OR($B228="",$A228&gt;$B$9,T$198=""),"",IF(COUNTIFS(BD!$B$3:$B$5001,T$198,BD!$A$3:$A$5001,"&gt;="&amp;$C$7,BD!$A$3:$A$5001,"&lt;="&amp;$B228,BD!$S$3:$S$5001,"&lt;&gt;")=0,"",SUMIFS(BD!$S$3:$S$5001,BD!$B$3:$B$5001,T$198,BD!$A$3:$A$5001,_xlfn.MAXIFS(BD!$A$3:$A$5001,BD!$B$3:$B$5001,T$198,BD!$A$3:$A$5001,"&gt;="&amp;$C$7,BD!$A$3:$A$5001,"&lt;="&amp;$B228,BD!$S$3:$S$5001,"&lt;&gt;"))))</f>
        <v/>
      </c>
      <c r="U228" s="54" t="str">
        <f>IF(OR($B228="",$A228&gt;$B$9,U$198=""),"",IF(COUNTIFS(BD!$B$3:$B$5001,U$198,BD!$A$3:$A$5001,"&gt;="&amp;$C$7,BD!$A$3:$A$5001,"&lt;="&amp;$B228,BD!$S$3:$S$5001,"&lt;&gt;")=0,"",SUMIFS(BD!$S$3:$S$5001,BD!$B$3:$B$5001,U$198,BD!$A$3:$A$5001,_xlfn.MAXIFS(BD!$A$3:$A$5001,BD!$B$3:$B$5001,U$198,BD!$A$3:$A$5001,"&gt;="&amp;$C$7,BD!$A$3:$A$5001,"&lt;="&amp;$B228,BD!$S$3:$S$5001,"&lt;&gt;"))))</f>
        <v/>
      </c>
      <c r="V228" s="54" t="str">
        <f>IF(OR($B228="",$A228&gt;$B$9,V$198=""),"",IF(COUNTIFS(BD!$B$3:$B$5001,V$198,BD!$A$3:$A$5001,"&gt;="&amp;$C$7,BD!$A$3:$A$5001,"&lt;="&amp;$B228,BD!$S$3:$S$5001,"&lt;&gt;")=0,"",SUMIFS(BD!$S$3:$S$5001,BD!$B$3:$B$5001,V$198,BD!$A$3:$A$5001,_xlfn.MAXIFS(BD!$A$3:$A$5001,BD!$B$3:$B$5001,V$198,BD!$A$3:$A$5001,"&gt;="&amp;$C$7,BD!$A$3:$A$5001,"&lt;="&amp;$B228,BD!$S$3:$S$5001,"&lt;&gt;"))))</f>
        <v/>
      </c>
    </row>
    <row r="229">
      <c r="A229" s="48">
        <v>31</v>
      </c>
      <c r="B229" s="53">
        <f>$B$42</f>
        <v>46326</v>
      </c>
      <c r="C229" s="54" t="str">
        <f>IF(OR($B229="",$A229&gt;$B$9,C$198=""),"",IF(COUNTIFS(BD!$B$3:$B$5001,C$198,BD!$A$3:$A$5001,"&gt;="&amp;$C$7,BD!$A$3:$A$5001,"&lt;="&amp;$B229,BD!$S$3:$S$5001,"&lt;&gt;")=0,"",SUMIFS(BD!$S$3:$S$5001,BD!$B$3:$B$5001,C$198,BD!$A$3:$A$5001,_xlfn.MAXIFS(BD!$A$3:$A$5001,BD!$B$3:$B$5001,C$198,BD!$A$3:$A$5001,"&gt;="&amp;$C$7,BD!$A$3:$A$5001,"&lt;="&amp;$B229,BD!$S$3:$S$5001,"&lt;&gt;"))))</f>
        <v/>
      </c>
      <c r="D229" s="54" t="str">
        <f>IF(OR($B229="",$A229&gt;$B$9,D$198=""),"",IF(COUNTIFS(BD!$B$3:$B$5001,D$198,BD!$A$3:$A$5001,"&gt;="&amp;$C$7,BD!$A$3:$A$5001,"&lt;="&amp;$B229,BD!$S$3:$S$5001,"&lt;&gt;")=0,"",SUMIFS(BD!$S$3:$S$5001,BD!$B$3:$B$5001,D$198,BD!$A$3:$A$5001,_xlfn.MAXIFS(BD!$A$3:$A$5001,BD!$B$3:$B$5001,D$198,BD!$A$3:$A$5001,"&gt;="&amp;$C$7,BD!$A$3:$A$5001,"&lt;="&amp;$B229,BD!$S$3:$S$5001,"&lt;&gt;"))))</f>
        <v/>
      </c>
      <c r="E229" s="54" t="str">
        <f>IF(OR($B229="",$A229&gt;$B$9,E$198=""),"",IF(COUNTIFS(BD!$B$3:$B$5001,E$198,BD!$A$3:$A$5001,"&gt;="&amp;$C$7,BD!$A$3:$A$5001,"&lt;="&amp;$B229,BD!$S$3:$S$5001,"&lt;&gt;")=0,"",SUMIFS(BD!$S$3:$S$5001,BD!$B$3:$B$5001,E$198,BD!$A$3:$A$5001,_xlfn.MAXIFS(BD!$A$3:$A$5001,BD!$B$3:$B$5001,E$198,BD!$A$3:$A$5001,"&gt;="&amp;$C$7,BD!$A$3:$A$5001,"&lt;="&amp;$B229,BD!$S$3:$S$5001,"&lt;&gt;"))))</f>
        <v/>
      </c>
      <c r="F229" s="54" t="str">
        <f>IF(OR($B229="",$A229&gt;$B$9,F$198=""),"",IF(COUNTIFS(BD!$B$3:$B$5001,F$198,BD!$A$3:$A$5001,"&gt;="&amp;$C$7,BD!$A$3:$A$5001,"&lt;="&amp;$B229,BD!$S$3:$S$5001,"&lt;&gt;")=0,"",SUMIFS(BD!$S$3:$S$5001,BD!$B$3:$B$5001,F$198,BD!$A$3:$A$5001,_xlfn.MAXIFS(BD!$A$3:$A$5001,BD!$B$3:$B$5001,F$198,BD!$A$3:$A$5001,"&gt;="&amp;$C$7,BD!$A$3:$A$5001,"&lt;="&amp;$B229,BD!$S$3:$S$5001,"&lt;&gt;"))))</f>
        <v/>
      </c>
      <c r="G229" s="54" t="str">
        <f>IF(OR($B229="",$A229&gt;$B$9,G$198=""),"",IF(COUNTIFS(BD!$B$3:$B$5001,G$198,BD!$A$3:$A$5001,"&gt;="&amp;$C$7,BD!$A$3:$A$5001,"&lt;="&amp;$B229,BD!$S$3:$S$5001,"&lt;&gt;")=0,"",SUMIFS(BD!$S$3:$S$5001,BD!$B$3:$B$5001,G$198,BD!$A$3:$A$5001,_xlfn.MAXIFS(BD!$A$3:$A$5001,BD!$B$3:$B$5001,G$198,BD!$A$3:$A$5001,"&gt;="&amp;$C$7,BD!$A$3:$A$5001,"&lt;="&amp;$B229,BD!$S$3:$S$5001,"&lt;&gt;"))))</f>
        <v/>
      </c>
      <c r="H229" s="54" t="str">
        <f>IF(OR($B229="",$A229&gt;$B$9,H$198=""),"",IF(COUNTIFS(BD!$B$3:$B$5001,H$198,BD!$A$3:$A$5001,"&gt;="&amp;$C$7,BD!$A$3:$A$5001,"&lt;="&amp;$B229,BD!$S$3:$S$5001,"&lt;&gt;")=0,"",SUMIFS(BD!$S$3:$S$5001,BD!$B$3:$B$5001,H$198,BD!$A$3:$A$5001,_xlfn.MAXIFS(BD!$A$3:$A$5001,BD!$B$3:$B$5001,H$198,BD!$A$3:$A$5001,"&gt;="&amp;$C$7,BD!$A$3:$A$5001,"&lt;="&amp;$B229,BD!$S$3:$S$5001,"&lt;&gt;"))))</f>
        <v/>
      </c>
      <c r="I229" s="54" t="str">
        <f>IF(OR($B229="",$A229&gt;$B$9,I$198=""),"",IF(COUNTIFS(BD!$B$3:$B$5001,I$198,BD!$A$3:$A$5001,"&gt;="&amp;$C$7,BD!$A$3:$A$5001,"&lt;="&amp;$B229,BD!$S$3:$S$5001,"&lt;&gt;")=0,"",SUMIFS(BD!$S$3:$S$5001,BD!$B$3:$B$5001,I$198,BD!$A$3:$A$5001,_xlfn.MAXIFS(BD!$A$3:$A$5001,BD!$B$3:$B$5001,I$198,BD!$A$3:$A$5001,"&gt;="&amp;$C$7,BD!$A$3:$A$5001,"&lt;="&amp;$B229,BD!$S$3:$S$5001,"&lt;&gt;"))))</f>
        <v/>
      </c>
      <c r="J229" s="54" t="str">
        <f>IF(OR($B229="",$A229&gt;$B$9,J$198=""),"",IF(COUNTIFS(BD!$B$3:$B$5001,J$198,BD!$A$3:$A$5001,"&gt;="&amp;$C$7,BD!$A$3:$A$5001,"&lt;="&amp;$B229,BD!$S$3:$S$5001,"&lt;&gt;")=0,"",SUMIFS(BD!$S$3:$S$5001,BD!$B$3:$B$5001,J$198,BD!$A$3:$A$5001,_xlfn.MAXIFS(BD!$A$3:$A$5001,BD!$B$3:$B$5001,J$198,BD!$A$3:$A$5001,"&gt;="&amp;$C$7,BD!$A$3:$A$5001,"&lt;="&amp;$B229,BD!$S$3:$S$5001,"&lt;&gt;"))))</f>
        <v/>
      </c>
      <c r="K229" s="54" t="str">
        <f>IF(OR($B229="",$A229&gt;$B$9,K$198=""),"",IF(COUNTIFS(BD!$B$3:$B$5001,K$198,BD!$A$3:$A$5001,"&gt;="&amp;$C$7,BD!$A$3:$A$5001,"&lt;="&amp;$B229,BD!$S$3:$S$5001,"&lt;&gt;")=0,"",SUMIFS(BD!$S$3:$S$5001,BD!$B$3:$B$5001,K$198,BD!$A$3:$A$5001,_xlfn.MAXIFS(BD!$A$3:$A$5001,BD!$B$3:$B$5001,K$198,BD!$A$3:$A$5001,"&gt;="&amp;$C$7,BD!$A$3:$A$5001,"&lt;="&amp;$B229,BD!$S$3:$S$5001,"&lt;&gt;"))))</f>
        <v/>
      </c>
      <c r="L229" s="54" t="str">
        <f>IF(OR($B229="",$A229&gt;$B$9,L$198=""),"",IF(COUNTIFS(BD!$B$3:$B$5001,L$198,BD!$A$3:$A$5001,"&gt;="&amp;$C$7,BD!$A$3:$A$5001,"&lt;="&amp;$B229,BD!$S$3:$S$5001,"&lt;&gt;")=0,"",SUMIFS(BD!$S$3:$S$5001,BD!$B$3:$B$5001,L$198,BD!$A$3:$A$5001,_xlfn.MAXIFS(BD!$A$3:$A$5001,BD!$B$3:$B$5001,L$198,BD!$A$3:$A$5001,"&gt;="&amp;$C$7,BD!$A$3:$A$5001,"&lt;="&amp;$B229,BD!$S$3:$S$5001,"&lt;&gt;"))))</f>
        <v/>
      </c>
      <c r="M229" s="54" t="str">
        <f>IF(OR($B229="",$A229&gt;$B$9,M$198=""),"",IF(COUNTIFS(BD!$B$3:$B$5001,M$198,BD!$A$3:$A$5001,"&gt;="&amp;$C$7,BD!$A$3:$A$5001,"&lt;="&amp;$B229,BD!$S$3:$S$5001,"&lt;&gt;")=0,"",SUMIFS(BD!$S$3:$S$5001,BD!$B$3:$B$5001,M$198,BD!$A$3:$A$5001,_xlfn.MAXIFS(BD!$A$3:$A$5001,BD!$B$3:$B$5001,M$198,BD!$A$3:$A$5001,"&gt;="&amp;$C$7,BD!$A$3:$A$5001,"&lt;="&amp;$B229,BD!$S$3:$S$5001,"&lt;&gt;"))))</f>
        <v/>
      </c>
      <c r="N229" s="54" t="str">
        <f>IF(OR($B229="",$A229&gt;$B$9,N$198=""),"",IF(COUNTIFS(BD!$B$3:$B$5001,N$198,BD!$A$3:$A$5001,"&gt;="&amp;$C$7,BD!$A$3:$A$5001,"&lt;="&amp;$B229,BD!$S$3:$S$5001,"&lt;&gt;")=0,"",SUMIFS(BD!$S$3:$S$5001,BD!$B$3:$B$5001,N$198,BD!$A$3:$A$5001,_xlfn.MAXIFS(BD!$A$3:$A$5001,BD!$B$3:$B$5001,N$198,BD!$A$3:$A$5001,"&gt;="&amp;$C$7,BD!$A$3:$A$5001,"&lt;="&amp;$B229,BD!$S$3:$S$5001,"&lt;&gt;"))))</f>
        <v/>
      </c>
      <c r="O229" s="54" t="str">
        <f>IF(OR($B229="",$A229&gt;$B$9,O$198=""),"",IF(COUNTIFS(BD!$B$3:$B$5001,O$198,BD!$A$3:$A$5001,"&gt;="&amp;$C$7,BD!$A$3:$A$5001,"&lt;="&amp;$B229,BD!$S$3:$S$5001,"&lt;&gt;")=0,"",SUMIFS(BD!$S$3:$S$5001,BD!$B$3:$B$5001,O$198,BD!$A$3:$A$5001,_xlfn.MAXIFS(BD!$A$3:$A$5001,BD!$B$3:$B$5001,O$198,BD!$A$3:$A$5001,"&gt;="&amp;$C$7,BD!$A$3:$A$5001,"&lt;="&amp;$B229,BD!$S$3:$S$5001,"&lt;&gt;"))))</f>
        <v/>
      </c>
      <c r="P229" s="54" t="str">
        <f>IF(OR($B229="",$A229&gt;$B$9,P$198=""),"",IF(COUNTIFS(BD!$B$3:$B$5001,P$198,BD!$A$3:$A$5001,"&gt;="&amp;$C$7,BD!$A$3:$A$5001,"&lt;="&amp;$B229,BD!$S$3:$S$5001,"&lt;&gt;")=0,"",SUMIFS(BD!$S$3:$S$5001,BD!$B$3:$B$5001,P$198,BD!$A$3:$A$5001,_xlfn.MAXIFS(BD!$A$3:$A$5001,BD!$B$3:$B$5001,P$198,BD!$A$3:$A$5001,"&gt;="&amp;$C$7,BD!$A$3:$A$5001,"&lt;="&amp;$B229,BD!$S$3:$S$5001,"&lt;&gt;"))))</f>
        <v/>
      </c>
      <c r="Q229" s="54" t="str">
        <f>IF(OR($B229="",$A229&gt;$B$9,Q$198=""),"",IF(COUNTIFS(BD!$B$3:$B$5001,Q$198,BD!$A$3:$A$5001,"&gt;="&amp;$C$7,BD!$A$3:$A$5001,"&lt;="&amp;$B229,BD!$S$3:$S$5001,"&lt;&gt;")=0,"",SUMIFS(BD!$S$3:$S$5001,BD!$B$3:$B$5001,Q$198,BD!$A$3:$A$5001,_xlfn.MAXIFS(BD!$A$3:$A$5001,BD!$B$3:$B$5001,Q$198,BD!$A$3:$A$5001,"&gt;="&amp;$C$7,BD!$A$3:$A$5001,"&lt;="&amp;$B229,BD!$S$3:$S$5001,"&lt;&gt;"))))</f>
        <v/>
      </c>
      <c r="R229" s="54" t="str">
        <f>IF(OR($B229="",$A229&gt;$B$9,R$198=""),"",IF(COUNTIFS(BD!$B$3:$B$5001,R$198,BD!$A$3:$A$5001,"&gt;="&amp;$C$7,BD!$A$3:$A$5001,"&lt;="&amp;$B229,BD!$S$3:$S$5001,"&lt;&gt;")=0,"",SUMIFS(BD!$S$3:$S$5001,BD!$B$3:$B$5001,R$198,BD!$A$3:$A$5001,_xlfn.MAXIFS(BD!$A$3:$A$5001,BD!$B$3:$B$5001,R$198,BD!$A$3:$A$5001,"&gt;="&amp;$C$7,BD!$A$3:$A$5001,"&lt;="&amp;$B229,BD!$S$3:$S$5001,"&lt;&gt;"))))</f>
        <v/>
      </c>
      <c r="S229" s="54" t="str">
        <f>IF(OR($B229="",$A229&gt;$B$9,S$198=""),"",IF(COUNTIFS(BD!$B$3:$B$5001,S$198,BD!$A$3:$A$5001,"&gt;="&amp;$C$7,BD!$A$3:$A$5001,"&lt;="&amp;$B229,BD!$S$3:$S$5001,"&lt;&gt;")=0,"",SUMIFS(BD!$S$3:$S$5001,BD!$B$3:$B$5001,S$198,BD!$A$3:$A$5001,_xlfn.MAXIFS(BD!$A$3:$A$5001,BD!$B$3:$B$5001,S$198,BD!$A$3:$A$5001,"&gt;="&amp;$C$7,BD!$A$3:$A$5001,"&lt;="&amp;$B229,BD!$S$3:$S$5001,"&lt;&gt;"))))</f>
        <v/>
      </c>
      <c r="T229" s="54" t="str">
        <f>IF(OR($B229="",$A229&gt;$B$9,T$198=""),"",IF(COUNTIFS(BD!$B$3:$B$5001,T$198,BD!$A$3:$A$5001,"&gt;="&amp;$C$7,BD!$A$3:$A$5001,"&lt;="&amp;$B229,BD!$S$3:$S$5001,"&lt;&gt;")=0,"",SUMIFS(BD!$S$3:$S$5001,BD!$B$3:$B$5001,T$198,BD!$A$3:$A$5001,_xlfn.MAXIFS(BD!$A$3:$A$5001,BD!$B$3:$B$5001,T$198,BD!$A$3:$A$5001,"&gt;="&amp;$C$7,BD!$A$3:$A$5001,"&lt;="&amp;$B229,BD!$S$3:$S$5001,"&lt;&gt;"))))</f>
        <v/>
      </c>
      <c r="U229" s="54" t="str">
        <f>IF(OR($B229="",$A229&gt;$B$9,U$198=""),"",IF(COUNTIFS(BD!$B$3:$B$5001,U$198,BD!$A$3:$A$5001,"&gt;="&amp;$C$7,BD!$A$3:$A$5001,"&lt;="&amp;$B229,BD!$S$3:$S$5001,"&lt;&gt;")=0,"",SUMIFS(BD!$S$3:$S$5001,BD!$B$3:$B$5001,U$198,BD!$A$3:$A$5001,_xlfn.MAXIFS(BD!$A$3:$A$5001,BD!$B$3:$B$5001,U$198,BD!$A$3:$A$5001,"&gt;="&amp;$C$7,BD!$A$3:$A$5001,"&lt;="&amp;$B229,BD!$S$3:$S$5001,"&lt;&gt;"))))</f>
        <v/>
      </c>
      <c r="V229" s="54" t="str">
        <f>IF(OR($B229="",$A229&gt;$B$9,V$198=""),"",IF(COUNTIFS(BD!$B$3:$B$5001,V$198,BD!$A$3:$A$5001,"&gt;="&amp;$C$7,BD!$A$3:$A$5001,"&lt;="&amp;$B229,BD!$S$3:$S$5001,"&lt;&gt;")=0,"",SUMIFS(BD!$S$3:$S$5001,BD!$B$3:$B$5001,V$198,BD!$A$3:$A$5001,_xlfn.MAXIFS(BD!$A$3:$A$5001,BD!$B$3:$B$5001,V$198,BD!$A$3:$A$5001,"&gt;="&amp;$C$7,BD!$A$3:$A$5001,"&lt;="&amp;$B229,BD!$S$3:$S$5001,"&lt;&gt;"))))</f>
        <v/>
      </c>
    </row>
    <row r="230">
      <c r="A230" s="55" t="inlineStr">
        <is>
          <t xml:space="preserve">Mês anterior (último)</t>
        </is>
      </c>
      <c r="C230" s="56" t="str">
        <f>IF(C$198="","",IF(COUNTIFS(BD!$B$3:$B$5001,C$198,BD!$A$3:$A$5001,"&gt;="&amp;$C$8,BD!$A$3:$A$5001,"&lt;="&amp;$D$8,BD!$S$3:$S$5001,"&lt;&gt;")=0,"",SUMIFS(BD!$S$3:$S$5001,BD!$B$3:$B$5001,C$198,BD!$A$3:$A$5001,_xlfn.MAXIFS(BD!$A$3:$A$5001,BD!$B$3:$B$5001,C$198,BD!$A$3:$A$5001,"&gt;="&amp;$C$8,BD!$A$3:$A$5001,"&lt;="&amp;$D$8,BD!$S$3:$S$5001,"&lt;&gt;"))))</f>
        <v/>
      </c>
      <c r="D230" s="56" t="str">
        <f>IF(D$198="","",IF(COUNTIFS(BD!$B$3:$B$5001,D$198,BD!$A$3:$A$5001,"&gt;="&amp;$C$8,BD!$A$3:$A$5001,"&lt;="&amp;$D$8,BD!$S$3:$S$5001,"&lt;&gt;")=0,"",SUMIFS(BD!$S$3:$S$5001,BD!$B$3:$B$5001,D$198,BD!$A$3:$A$5001,_xlfn.MAXIFS(BD!$A$3:$A$5001,BD!$B$3:$B$5001,D$198,BD!$A$3:$A$5001,"&gt;="&amp;$C$8,BD!$A$3:$A$5001,"&lt;="&amp;$D$8,BD!$S$3:$S$5001,"&lt;&gt;"))))</f>
        <v/>
      </c>
      <c r="E230" s="56" t="str">
        <f>IF(E$198="","",IF(COUNTIFS(BD!$B$3:$B$5001,E$198,BD!$A$3:$A$5001,"&gt;="&amp;$C$8,BD!$A$3:$A$5001,"&lt;="&amp;$D$8,BD!$S$3:$S$5001,"&lt;&gt;")=0,"",SUMIFS(BD!$S$3:$S$5001,BD!$B$3:$B$5001,E$198,BD!$A$3:$A$5001,_xlfn.MAXIFS(BD!$A$3:$A$5001,BD!$B$3:$B$5001,E$198,BD!$A$3:$A$5001,"&gt;="&amp;$C$8,BD!$A$3:$A$5001,"&lt;="&amp;$D$8,BD!$S$3:$S$5001,"&lt;&gt;"))))</f>
        <v/>
      </c>
      <c r="F230" s="56" t="str">
        <f>IF(F$198="","",IF(COUNTIFS(BD!$B$3:$B$5001,F$198,BD!$A$3:$A$5001,"&gt;="&amp;$C$8,BD!$A$3:$A$5001,"&lt;="&amp;$D$8,BD!$S$3:$S$5001,"&lt;&gt;")=0,"",SUMIFS(BD!$S$3:$S$5001,BD!$B$3:$B$5001,F$198,BD!$A$3:$A$5001,_xlfn.MAXIFS(BD!$A$3:$A$5001,BD!$B$3:$B$5001,F$198,BD!$A$3:$A$5001,"&gt;="&amp;$C$8,BD!$A$3:$A$5001,"&lt;="&amp;$D$8,BD!$S$3:$S$5001,"&lt;&gt;"))))</f>
        <v/>
      </c>
      <c r="G230" s="56" t="str">
        <f>IF(G$198="","",IF(COUNTIFS(BD!$B$3:$B$5001,G$198,BD!$A$3:$A$5001,"&gt;="&amp;$C$8,BD!$A$3:$A$5001,"&lt;="&amp;$D$8,BD!$S$3:$S$5001,"&lt;&gt;")=0,"",SUMIFS(BD!$S$3:$S$5001,BD!$B$3:$B$5001,G$198,BD!$A$3:$A$5001,_xlfn.MAXIFS(BD!$A$3:$A$5001,BD!$B$3:$B$5001,G$198,BD!$A$3:$A$5001,"&gt;="&amp;$C$8,BD!$A$3:$A$5001,"&lt;="&amp;$D$8,BD!$S$3:$S$5001,"&lt;&gt;"))))</f>
        <v/>
      </c>
      <c r="H230" s="56" t="str">
        <f>IF(H$198="","",IF(COUNTIFS(BD!$B$3:$B$5001,H$198,BD!$A$3:$A$5001,"&gt;="&amp;$C$8,BD!$A$3:$A$5001,"&lt;="&amp;$D$8,BD!$S$3:$S$5001,"&lt;&gt;")=0,"",SUMIFS(BD!$S$3:$S$5001,BD!$B$3:$B$5001,H$198,BD!$A$3:$A$5001,_xlfn.MAXIFS(BD!$A$3:$A$5001,BD!$B$3:$B$5001,H$198,BD!$A$3:$A$5001,"&gt;="&amp;$C$8,BD!$A$3:$A$5001,"&lt;="&amp;$D$8,BD!$S$3:$S$5001,"&lt;&gt;"))))</f>
        <v/>
      </c>
      <c r="I230" s="56" t="str">
        <f>IF(I$198="","",IF(COUNTIFS(BD!$B$3:$B$5001,I$198,BD!$A$3:$A$5001,"&gt;="&amp;$C$8,BD!$A$3:$A$5001,"&lt;="&amp;$D$8,BD!$S$3:$S$5001,"&lt;&gt;")=0,"",SUMIFS(BD!$S$3:$S$5001,BD!$B$3:$B$5001,I$198,BD!$A$3:$A$5001,_xlfn.MAXIFS(BD!$A$3:$A$5001,BD!$B$3:$B$5001,I$198,BD!$A$3:$A$5001,"&gt;="&amp;$C$8,BD!$A$3:$A$5001,"&lt;="&amp;$D$8,BD!$S$3:$S$5001,"&lt;&gt;"))))</f>
        <v/>
      </c>
      <c r="J230" s="56" t="str">
        <f>IF(J$198="","",IF(COUNTIFS(BD!$B$3:$B$5001,J$198,BD!$A$3:$A$5001,"&gt;="&amp;$C$8,BD!$A$3:$A$5001,"&lt;="&amp;$D$8,BD!$S$3:$S$5001,"&lt;&gt;")=0,"",SUMIFS(BD!$S$3:$S$5001,BD!$B$3:$B$5001,J$198,BD!$A$3:$A$5001,_xlfn.MAXIFS(BD!$A$3:$A$5001,BD!$B$3:$B$5001,J$198,BD!$A$3:$A$5001,"&gt;="&amp;$C$8,BD!$A$3:$A$5001,"&lt;="&amp;$D$8,BD!$S$3:$S$5001,"&lt;&gt;"))))</f>
        <v/>
      </c>
      <c r="K230" s="56" t="str">
        <f>IF(K$198="","",IF(COUNTIFS(BD!$B$3:$B$5001,K$198,BD!$A$3:$A$5001,"&gt;="&amp;$C$8,BD!$A$3:$A$5001,"&lt;="&amp;$D$8,BD!$S$3:$S$5001,"&lt;&gt;")=0,"",SUMIFS(BD!$S$3:$S$5001,BD!$B$3:$B$5001,K$198,BD!$A$3:$A$5001,_xlfn.MAXIFS(BD!$A$3:$A$5001,BD!$B$3:$B$5001,K$198,BD!$A$3:$A$5001,"&gt;="&amp;$C$8,BD!$A$3:$A$5001,"&lt;="&amp;$D$8,BD!$S$3:$S$5001,"&lt;&gt;"))))</f>
        <v/>
      </c>
      <c r="L230" s="56" t="str">
        <f>IF(L$198="","",IF(COUNTIFS(BD!$B$3:$B$5001,L$198,BD!$A$3:$A$5001,"&gt;="&amp;$C$8,BD!$A$3:$A$5001,"&lt;="&amp;$D$8,BD!$S$3:$S$5001,"&lt;&gt;")=0,"",SUMIFS(BD!$S$3:$S$5001,BD!$B$3:$B$5001,L$198,BD!$A$3:$A$5001,_xlfn.MAXIFS(BD!$A$3:$A$5001,BD!$B$3:$B$5001,L$198,BD!$A$3:$A$5001,"&gt;="&amp;$C$8,BD!$A$3:$A$5001,"&lt;="&amp;$D$8,BD!$S$3:$S$5001,"&lt;&gt;"))))</f>
        <v/>
      </c>
      <c r="M230" s="56" t="str">
        <f>IF(M$198="","",IF(COUNTIFS(BD!$B$3:$B$5001,M$198,BD!$A$3:$A$5001,"&gt;="&amp;$C$8,BD!$A$3:$A$5001,"&lt;="&amp;$D$8,BD!$S$3:$S$5001,"&lt;&gt;")=0,"",SUMIFS(BD!$S$3:$S$5001,BD!$B$3:$B$5001,M$198,BD!$A$3:$A$5001,_xlfn.MAXIFS(BD!$A$3:$A$5001,BD!$B$3:$B$5001,M$198,BD!$A$3:$A$5001,"&gt;="&amp;$C$8,BD!$A$3:$A$5001,"&lt;="&amp;$D$8,BD!$S$3:$S$5001,"&lt;&gt;"))))</f>
        <v/>
      </c>
      <c r="N230" s="56" t="str">
        <f>IF(N$198="","",IF(COUNTIFS(BD!$B$3:$B$5001,N$198,BD!$A$3:$A$5001,"&gt;="&amp;$C$8,BD!$A$3:$A$5001,"&lt;="&amp;$D$8,BD!$S$3:$S$5001,"&lt;&gt;")=0,"",SUMIFS(BD!$S$3:$S$5001,BD!$B$3:$B$5001,N$198,BD!$A$3:$A$5001,_xlfn.MAXIFS(BD!$A$3:$A$5001,BD!$B$3:$B$5001,N$198,BD!$A$3:$A$5001,"&gt;="&amp;$C$8,BD!$A$3:$A$5001,"&lt;="&amp;$D$8,BD!$S$3:$S$5001,"&lt;&gt;"))))</f>
        <v/>
      </c>
      <c r="O230" s="56" t="str">
        <f>IF(O$198="","",IF(COUNTIFS(BD!$B$3:$B$5001,O$198,BD!$A$3:$A$5001,"&gt;="&amp;$C$8,BD!$A$3:$A$5001,"&lt;="&amp;$D$8,BD!$S$3:$S$5001,"&lt;&gt;")=0,"",SUMIFS(BD!$S$3:$S$5001,BD!$B$3:$B$5001,O$198,BD!$A$3:$A$5001,_xlfn.MAXIFS(BD!$A$3:$A$5001,BD!$B$3:$B$5001,O$198,BD!$A$3:$A$5001,"&gt;="&amp;$C$8,BD!$A$3:$A$5001,"&lt;="&amp;$D$8,BD!$S$3:$S$5001,"&lt;&gt;"))))</f>
        <v/>
      </c>
      <c r="P230" s="56" t="str">
        <f>IF(P$198="","",IF(COUNTIFS(BD!$B$3:$B$5001,P$198,BD!$A$3:$A$5001,"&gt;="&amp;$C$8,BD!$A$3:$A$5001,"&lt;="&amp;$D$8,BD!$S$3:$S$5001,"&lt;&gt;")=0,"",SUMIFS(BD!$S$3:$S$5001,BD!$B$3:$B$5001,P$198,BD!$A$3:$A$5001,_xlfn.MAXIFS(BD!$A$3:$A$5001,BD!$B$3:$B$5001,P$198,BD!$A$3:$A$5001,"&gt;="&amp;$C$8,BD!$A$3:$A$5001,"&lt;="&amp;$D$8,BD!$S$3:$S$5001,"&lt;&gt;"))))</f>
        <v/>
      </c>
      <c r="Q230" s="56" t="str">
        <f>IF(Q$198="","",IF(COUNTIFS(BD!$B$3:$B$5001,Q$198,BD!$A$3:$A$5001,"&gt;="&amp;$C$8,BD!$A$3:$A$5001,"&lt;="&amp;$D$8,BD!$S$3:$S$5001,"&lt;&gt;")=0,"",SUMIFS(BD!$S$3:$S$5001,BD!$B$3:$B$5001,Q$198,BD!$A$3:$A$5001,_xlfn.MAXIFS(BD!$A$3:$A$5001,BD!$B$3:$B$5001,Q$198,BD!$A$3:$A$5001,"&gt;="&amp;$C$8,BD!$A$3:$A$5001,"&lt;="&amp;$D$8,BD!$S$3:$S$5001,"&lt;&gt;"))))</f>
        <v/>
      </c>
      <c r="R230" s="56" t="str">
        <f>IF(R$198="","",IF(COUNTIFS(BD!$B$3:$B$5001,R$198,BD!$A$3:$A$5001,"&gt;="&amp;$C$8,BD!$A$3:$A$5001,"&lt;="&amp;$D$8,BD!$S$3:$S$5001,"&lt;&gt;")=0,"",SUMIFS(BD!$S$3:$S$5001,BD!$B$3:$B$5001,R$198,BD!$A$3:$A$5001,_xlfn.MAXIFS(BD!$A$3:$A$5001,BD!$B$3:$B$5001,R$198,BD!$A$3:$A$5001,"&gt;="&amp;$C$8,BD!$A$3:$A$5001,"&lt;="&amp;$D$8,BD!$S$3:$S$5001,"&lt;&gt;"))))</f>
        <v/>
      </c>
      <c r="S230" s="56" t="str">
        <f>IF(S$198="","",IF(COUNTIFS(BD!$B$3:$B$5001,S$198,BD!$A$3:$A$5001,"&gt;="&amp;$C$8,BD!$A$3:$A$5001,"&lt;="&amp;$D$8,BD!$S$3:$S$5001,"&lt;&gt;")=0,"",SUMIFS(BD!$S$3:$S$5001,BD!$B$3:$B$5001,S$198,BD!$A$3:$A$5001,_xlfn.MAXIFS(BD!$A$3:$A$5001,BD!$B$3:$B$5001,S$198,BD!$A$3:$A$5001,"&gt;="&amp;$C$8,BD!$A$3:$A$5001,"&lt;="&amp;$D$8,BD!$S$3:$S$5001,"&lt;&gt;"))))</f>
        <v/>
      </c>
      <c r="T230" s="56" t="str">
        <f>IF(T$198="","",IF(COUNTIFS(BD!$B$3:$B$5001,T$198,BD!$A$3:$A$5001,"&gt;="&amp;$C$8,BD!$A$3:$A$5001,"&lt;="&amp;$D$8,BD!$S$3:$S$5001,"&lt;&gt;")=0,"",SUMIFS(BD!$S$3:$S$5001,BD!$B$3:$B$5001,T$198,BD!$A$3:$A$5001,_xlfn.MAXIFS(BD!$A$3:$A$5001,BD!$B$3:$B$5001,T$198,BD!$A$3:$A$5001,"&gt;="&amp;$C$8,BD!$A$3:$A$5001,"&lt;="&amp;$D$8,BD!$S$3:$S$5001,"&lt;&gt;"))))</f>
        <v/>
      </c>
      <c r="U230" s="56" t="str">
        <f>IF(U$198="","",IF(COUNTIFS(BD!$B$3:$B$5001,U$198,BD!$A$3:$A$5001,"&gt;="&amp;$C$8,BD!$A$3:$A$5001,"&lt;="&amp;$D$8,BD!$S$3:$S$5001,"&lt;&gt;")=0,"",SUMIFS(BD!$S$3:$S$5001,BD!$B$3:$B$5001,U$198,BD!$A$3:$A$5001,_xlfn.MAXIFS(BD!$A$3:$A$5001,BD!$B$3:$B$5001,U$198,BD!$A$3:$A$5001,"&gt;="&amp;$C$8,BD!$A$3:$A$5001,"&lt;="&amp;$D$8,BD!$S$3:$S$5001,"&lt;&gt;"))))</f>
        <v/>
      </c>
      <c r="V230" s="56" t="str">
        <f>IF(V$198="","",IF(COUNTIFS(BD!$B$3:$B$5001,V$198,BD!$A$3:$A$5001,"&gt;="&amp;$C$8,BD!$A$3:$A$5001,"&lt;="&amp;$D$8,BD!$S$3:$S$5001,"&lt;&gt;")=0,"",SUMIFS(BD!$S$3:$S$5001,BD!$B$3:$B$5001,V$198,BD!$A$3:$A$5001,_xlfn.MAXIFS(BD!$A$3:$A$5001,BD!$B$3:$B$5001,V$198,BD!$A$3:$A$5001,"&gt;="&amp;$C$8,BD!$A$3:$A$5001,"&lt;="&amp;$D$8,BD!$S$3:$S$5001,"&lt;&gt;"))))</f>
        <v/>
      </c>
    </row>
    <row r="231">
      <c r="A231" s="55" t="inlineStr">
        <is>
          <t xml:space="preserve">Depósito</t>
        </is>
      </c>
      <c r="C231" s="48" t="str">
        <f>IF(Config!$C$10="","JSL",Config!$C$10)</f>
        <v>JSL</v>
      </c>
      <c r="D231" s="48" t="str">
        <f>IF(Config!$C$11="","JSL",Config!$C$11)</f>
        <v>JSL</v>
      </c>
      <c r="E231" s="48" t="str">
        <f>IF(Config!$C$12="","JSL",Config!$C$12)</f>
        <v>JSL</v>
      </c>
      <c r="F231" s="48" t="str">
        <f>IF(Config!$C$13="","JSL",Config!$C$13)</f>
        <v>JSL</v>
      </c>
      <c r="G231" s="48" t="str">
        <f>IF(Config!$C$14="","JSL",Config!$C$14)</f>
        <v>JSL</v>
      </c>
      <c r="H231" s="48" t="str">
        <f>IF(Config!$C$15="","JSL",Config!$C$15)</f>
        <v>JSL</v>
      </c>
      <c r="I231" s="48" t="str">
        <f>IF(Config!$C$16="","JSL",Config!$C$16)</f>
        <v>JSL</v>
      </c>
      <c r="J231" s="48" t="str">
        <f>IF(Config!$C$17="","JSL",Config!$C$17)</f>
        <v>JSL</v>
      </c>
      <c r="K231" s="48" t="str">
        <f>IF(Config!$C$18="","JSL",Config!$C$18)</f>
        <v>JSL</v>
      </c>
      <c r="L231" s="48" t="str">
        <f>IF(Config!$C$19="","JSL",Config!$C$19)</f>
        <v>JSL</v>
      </c>
      <c r="M231" s="48" t="str">
        <f>IF(Config!$C$20="","JSL",Config!$C$20)</f>
        <v>JSL</v>
      </c>
      <c r="N231" s="48" t="str">
        <f>IF(Config!$C$21="","JSL",Config!$C$21)</f>
        <v>JSL</v>
      </c>
      <c r="O231" s="48" t="str">
        <f>IF(Config!$C$22="","JSL",Config!$C$22)</f>
        <v>JSL</v>
      </c>
      <c r="P231" s="48" t="str">
        <f>IF(Config!$C$23="","JSL",Config!$C$23)</f>
        <v>JSL</v>
      </c>
      <c r="Q231" s="48" t="str">
        <f>IF(Config!$C$24="","JSL",Config!$C$24)</f>
        <v>JSL</v>
      </c>
      <c r="R231" s="48" t="str">
        <f>IF(Config!$C$25="","JSL",Config!$C$25)</f>
        <v>JSL</v>
      </c>
      <c r="S231" s="48" t="str">
        <f>IF(Config!$C$26="","JSL",Config!$C$26)</f>
        <v>JSL</v>
      </c>
      <c r="T231" s="48" t="str">
        <f>IF(Config!$C$27="","JSL",Config!$C$27)</f>
        <v>JSL</v>
      </c>
      <c r="U231" s="48" t="str">
        <f>IF(Config!$C$28="","JSL",Config!$C$28)</f>
        <v>JSL</v>
      </c>
      <c r="V231" s="48" t="str">
        <f>IF(Config!$C$29="","JSL",Config!$C$29)</f>
        <v>JSL</v>
      </c>
    </row>
    <row r="233">
      <c r="A233" s="47" t="inlineStr">
        <is>
          <t xml:space="preserve">Posições Disponíveis</t>
        </is>
      </c>
      <c r="B233" s="47" t="inlineStr">
        <is>
          <t xml:space="preserve">Data</t>
        </is>
      </c>
      <c r="C233" s="47" t="str">
        <f>Config!$B$10&amp;""</f>
        <v>Barry Callebaut</v>
      </c>
      <c r="D233" s="47" t="str">
        <f>Config!$B$11&amp;""</f>
        <v>GM</v>
      </c>
      <c r="E233" s="47" t="str">
        <f>Config!$B$12&amp;""</f>
        <v>Mondelez</v>
      </c>
      <c r="F233" s="47" t="str">
        <f>Config!$B$13&amp;""</f>
        <v>Nestlé</v>
      </c>
      <c r="G233" s="47" t="str">
        <f>Config!$B$14&amp;""</f>
        <v>PMB</v>
      </c>
      <c r="H233" s="47" t="str">
        <f>Config!$B$15&amp;""</f>
        <v/>
      </c>
      <c r="I233" s="47" t="str">
        <f>Config!$B$16&amp;""</f>
        <v/>
      </c>
      <c r="J233" s="47" t="str">
        <f>Config!$B$17&amp;""</f>
        <v/>
      </c>
      <c r="K233" s="47" t="str">
        <f>Config!$B$18&amp;""</f>
        <v/>
      </c>
      <c r="L233" s="47" t="str">
        <f>Config!$B$19&amp;""</f>
        <v/>
      </c>
      <c r="M233" s="47" t="str">
        <f>Config!$B$20&amp;""</f>
        <v/>
      </c>
      <c r="N233" s="47" t="str">
        <f>Config!$B$21&amp;""</f>
        <v/>
      </c>
      <c r="O233" s="47" t="str">
        <f>Config!$B$22&amp;""</f>
        <v/>
      </c>
      <c r="P233" s="47" t="str">
        <f>Config!$B$23&amp;""</f>
        <v/>
      </c>
      <c r="Q233" s="47" t="str">
        <f>Config!$B$24&amp;""</f>
        <v/>
      </c>
      <c r="R233" s="47" t="str">
        <f>Config!$B$25&amp;""</f>
        <v/>
      </c>
      <c r="S233" s="47" t="str">
        <f>Config!$B$26&amp;""</f>
        <v/>
      </c>
      <c r="T233" s="47" t="str">
        <f>Config!$B$27&amp;""</f>
        <v/>
      </c>
      <c r="U233" s="47" t="str">
        <f>Config!$B$28&amp;""</f>
        <v/>
      </c>
      <c r="V233" s="47" t="str">
        <f>Config!$B$29&amp;""</f>
        <v/>
      </c>
    </row>
    <row r="234">
      <c r="A234" s="48">
        <v>1</v>
      </c>
      <c r="B234" s="53">
        <f>$B$12</f>
        <v>46296</v>
      </c>
      <c r="C234" s="54" t="str">
        <f>IF(OR($B234="",$A234&gt;$B$9,C$233=""),"",IF(COUNTIFS(BD!$B$3:$B$5001,C$233,BD!$A$3:$A$5001,"&gt;="&amp;$C$7,BD!$A$3:$A$5001,"&lt;="&amp;$B234,BD!$R$3:$R$5001,"&lt;&gt;")=0,"",SUMIFS(BD!$R$3:$R$5001,BD!$B$3:$B$5001,C$233,BD!$A$3:$A$5001,_xlfn.MAXIFS(BD!$A$3:$A$5001,BD!$B$3:$B$5001,C$233,BD!$A$3:$A$5001,"&gt;="&amp;$C$7,BD!$A$3:$A$5001,"&lt;="&amp;$B234,BD!$R$3:$R$5001,"&lt;&gt;"))))</f>
        <v/>
      </c>
      <c r="D234" s="54" t="str">
        <f>IF(OR($B234="",$A234&gt;$B$9,D$233=""),"",IF(COUNTIFS(BD!$B$3:$B$5001,D$233,BD!$A$3:$A$5001,"&gt;="&amp;$C$7,BD!$A$3:$A$5001,"&lt;="&amp;$B234,BD!$R$3:$R$5001,"&lt;&gt;")=0,"",SUMIFS(BD!$R$3:$R$5001,BD!$B$3:$B$5001,D$233,BD!$A$3:$A$5001,_xlfn.MAXIFS(BD!$A$3:$A$5001,BD!$B$3:$B$5001,D$233,BD!$A$3:$A$5001,"&gt;="&amp;$C$7,BD!$A$3:$A$5001,"&lt;="&amp;$B234,BD!$R$3:$R$5001,"&lt;&gt;"))))</f>
        <v/>
      </c>
      <c r="E234" s="54" t="str">
        <f>IF(OR($B234="",$A234&gt;$B$9,E$233=""),"",IF(COUNTIFS(BD!$B$3:$B$5001,E$233,BD!$A$3:$A$5001,"&gt;="&amp;$C$7,BD!$A$3:$A$5001,"&lt;="&amp;$B234,BD!$R$3:$R$5001,"&lt;&gt;")=0,"",SUMIFS(BD!$R$3:$R$5001,BD!$B$3:$B$5001,E$233,BD!$A$3:$A$5001,_xlfn.MAXIFS(BD!$A$3:$A$5001,BD!$B$3:$B$5001,E$233,BD!$A$3:$A$5001,"&gt;="&amp;$C$7,BD!$A$3:$A$5001,"&lt;="&amp;$B234,BD!$R$3:$R$5001,"&lt;&gt;"))))</f>
        <v/>
      </c>
      <c r="F234" s="54" t="str">
        <f>IF(OR($B234="",$A234&gt;$B$9,F$233=""),"",IF(COUNTIFS(BD!$B$3:$B$5001,F$233,BD!$A$3:$A$5001,"&gt;="&amp;$C$7,BD!$A$3:$A$5001,"&lt;="&amp;$B234,BD!$R$3:$R$5001,"&lt;&gt;")=0,"",SUMIFS(BD!$R$3:$R$5001,BD!$B$3:$B$5001,F$233,BD!$A$3:$A$5001,_xlfn.MAXIFS(BD!$A$3:$A$5001,BD!$B$3:$B$5001,F$233,BD!$A$3:$A$5001,"&gt;="&amp;$C$7,BD!$A$3:$A$5001,"&lt;="&amp;$B234,BD!$R$3:$R$5001,"&lt;&gt;"))))</f>
        <v/>
      </c>
      <c r="G234" s="54" t="str">
        <f>IF(OR($B234="",$A234&gt;$B$9,G$233=""),"",IF(COUNTIFS(BD!$B$3:$B$5001,G$233,BD!$A$3:$A$5001,"&gt;="&amp;$C$7,BD!$A$3:$A$5001,"&lt;="&amp;$B234,BD!$R$3:$R$5001,"&lt;&gt;")=0,"",SUMIFS(BD!$R$3:$R$5001,BD!$B$3:$B$5001,G$233,BD!$A$3:$A$5001,_xlfn.MAXIFS(BD!$A$3:$A$5001,BD!$B$3:$B$5001,G$233,BD!$A$3:$A$5001,"&gt;="&amp;$C$7,BD!$A$3:$A$5001,"&lt;="&amp;$B234,BD!$R$3:$R$5001,"&lt;&gt;"))))</f>
        <v/>
      </c>
      <c r="H234" s="54" t="str">
        <f>IF(OR($B234="",$A234&gt;$B$9,H$233=""),"",IF(COUNTIFS(BD!$B$3:$B$5001,H$233,BD!$A$3:$A$5001,"&gt;="&amp;$C$7,BD!$A$3:$A$5001,"&lt;="&amp;$B234,BD!$R$3:$R$5001,"&lt;&gt;")=0,"",SUMIFS(BD!$R$3:$R$5001,BD!$B$3:$B$5001,H$233,BD!$A$3:$A$5001,_xlfn.MAXIFS(BD!$A$3:$A$5001,BD!$B$3:$B$5001,H$233,BD!$A$3:$A$5001,"&gt;="&amp;$C$7,BD!$A$3:$A$5001,"&lt;="&amp;$B234,BD!$R$3:$R$5001,"&lt;&gt;"))))</f>
        <v/>
      </c>
      <c r="I234" s="54" t="str">
        <f>IF(OR($B234="",$A234&gt;$B$9,I$233=""),"",IF(COUNTIFS(BD!$B$3:$B$5001,I$233,BD!$A$3:$A$5001,"&gt;="&amp;$C$7,BD!$A$3:$A$5001,"&lt;="&amp;$B234,BD!$R$3:$R$5001,"&lt;&gt;")=0,"",SUMIFS(BD!$R$3:$R$5001,BD!$B$3:$B$5001,I$233,BD!$A$3:$A$5001,_xlfn.MAXIFS(BD!$A$3:$A$5001,BD!$B$3:$B$5001,I$233,BD!$A$3:$A$5001,"&gt;="&amp;$C$7,BD!$A$3:$A$5001,"&lt;="&amp;$B234,BD!$R$3:$R$5001,"&lt;&gt;"))))</f>
        <v/>
      </c>
      <c r="J234" s="54" t="str">
        <f>IF(OR($B234="",$A234&gt;$B$9,J$233=""),"",IF(COUNTIFS(BD!$B$3:$B$5001,J$233,BD!$A$3:$A$5001,"&gt;="&amp;$C$7,BD!$A$3:$A$5001,"&lt;="&amp;$B234,BD!$R$3:$R$5001,"&lt;&gt;")=0,"",SUMIFS(BD!$R$3:$R$5001,BD!$B$3:$B$5001,J$233,BD!$A$3:$A$5001,_xlfn.MAXIFS(BD!$A$3:$A$5001,BD!$B$3:$B$5001,J$233,BD!$A$3:$A$5001,"&gt;="&amp;$C$7,BD!$A$3:$A$5001,"&lt;="&amp;$B234,BD!$R$3:$R$5001,"&lt;&gt;"))))</f>
        <v/>
      </c>
      <c r="K234" s="54" t="str">
        <f>IF(OR($B234="",$A234&gt;$B$9,K$233=""),"",IF(COUNTIFS(BD!$B$3:$B$5001,K$233,BD!$A$3:$A$5001,"&gt;="&amp;$C$7,BD!$A$3:$A$5001,"&lt;="&amp;$B234,BD!$R$3:$R$5001,"&lt;&gt;")=0,"",SUMIFS(BD!$R$3:$R$5001,BD!$B$3:$B$5001,K$233,BD!$A$3:$A$5001,_xlfn.MAXIFS(BD!$A$3:$A$5001,BD!$B$3:$B$5001,K$233,BD!$A$3:$A$5001,"&gt;="&amp;$C$7,BD!$A$3:$A$5001,"&lt;="&amp;$B234,BD!$R$3:$R$5001,"&lt;&gt;"))))</f>
        <v/>
      </c>
      <c r="L234" s="54" t="str">
        <f>IF(OR($B234="",$A234&gt;$B$9,L$233=""),"",IF(COUNTIFS(BD!$B$3:$B$5001,L$233,BD!$A$3:$A$5001,"&gt;="&amp;$C$7,BD!$A$3:$A$5001,"&lt;="&amp;$B234,BD!$R$3:$R$5001,"&lt;&gt;")=0,"",SUMIFS(BD!$R$3:$R$5001,BD!$B$3:$B$5001,L$233,BD!$A$3:$A$5001,_xlfn.MAXIFS(BD!$A$3:$A$5001,BD!$B$3:$B$5001,L$233,BD!$A$3:$A$5001,"&gt;="&amp;$C$7,BD!$A$3:$A$5001,"&lt;="&amp;$B234,BD!$R$3:$R$5001,"&lt;&gt;"))))</f>
        <v/>
      </c>
      <c r="M234" s="54" t="str">
        <f>IF(OR($B234="",$A234&gt;$B$9,M$233=""),"",IF(COUNTIFS(BD!$B$3:$B$5001,M$233,BD!$A$3:$A$5001,"&gt;="&amp;$C$7,BD!$A$3:$A$5001,"&lt;="&amp;$B234,BD!$R$3:$R$5001,"&lt;&gt;")=0,"",SUMIFS(BD!$R$3:$R$5001,BD!$B$3:$B$5001,M$233,BD!$A$3:$A$5001,_xlfn.MAXIFS(BD!$A$3:$A$5001,BD!$B$3:$B$5001,M$233,BD!$A$3:$A$5001,"&gt;="&amp;$C$7,BD!$A$3:$A$5001,"&lt;="&amp;$B234,BD!$R$3:$R$5001,"&lt;&gt;"))))</f>
        <v/>
      </c>
      <c r="N234" s="54" t="str">
        <f>IF(OR($B234="",$A234&gt;$B$9,N$233=""),"",IF(COUNTIFS(BD!$B$3:$B$5001,N$233,BD!$A$3:$A$5001,"&gt;="&amp;$C$7,BD!$A$3:$A$5001,"&lt;="&amp;$B234,BD!$R$3:$R$5001,"&lt;&gt;")=0,"",SUMIFS(BD!$R$3:$R$5001,BD!$B$3:$B$5001,N$233,BD!$A$3:$A$5001,_xlfn.MAXIFS(BD!$A$3:$A$5001,BD!$B$3:$B$5001,N$233,BD!$A$3:$A$5001,"&gt;="&amp;$C$7,BD!$A$3:$A$5001,"&lt;="&amp;$B234,BD!$R$3:$R$5001,"&lt;&gt;"))))</f>
        <v/>
      </c>
      <c r="O234" s="54" t="str">
        <f>IF(OR($B234="",$A234&gt;$B$9,O$233=""),"",IF(COUNTIFS(BD!$B$3:$B$5001,O$233,BD!$A$3:$A$5001,"&gt;="&amp;$C$7,BD!$A$3:$A$5001,"&lt;="&amp;$B234,BD!$R$3:$R$5001,"&lt;&gt;")=0,"",SUMIFS(BD!$R$3:$R$5001,BD!$B$3:$B$5001,O$233,BD!$A$3:$A$5001,_xlfn.MAXIFS(BD!$A$3:$A$5001,BD!$B$3:$B$5001,O$233,BD!$A$3:$A$5001,"&gt;="&amp;$C$7,BD!$A$3:$A$5001,"&lt;="&amp;$B234,BD!$R$3:$R$5001,"&lt;&gt;"))))</f>
        <v/>
      </c>
      <c r="P234" s="54" t="str">
        <f>IF(OR($B234="",$A234&gt;$B$9,P$233=""),"",IF(COUNTIFS(BD!$B$3:$B$5001,P$233,BD!$A$3:$A$5001,"&gt;="&amp;$C$7,BD!$A$3:$A$5001,"&lt;="&amp;$B234,BD!$R$3:$R$5001,"&lt;&gt;")=0,"",SUMIFS(BD!$R$3:$R$5001,BD!$B$3:$B$5001,P$233,BD!$A$3:$A$5001,_xlfn.MAXIFS(BD!$A$3:$A$5001,BD!$B$3:$B$5001,P$233,BD!$A$3:$A$5001,"&gt;="&amp;$C$7,BD!$A$3:$A$5001,"&lt;="&amp;$B234,BD!$R$3:$R$5001,"&lt;&gt;"))))</f>
        <v/>
      </c>
      <c r="Q234" s="54" t="str">
        <f>IF(OR($B234="",$A234&gt;$B$9,Q$233=""),"",IF(COUNTIFS(BD!$B$3:$B$5001,Q$233,BD!$A$3:$A$5001,"&gt;="&amp;$C$7,BD!$A$3:$A$5001,"&lt;="&amp;$B234,BD!$R$3:$R$5001,"&lt;&gt;")=0,"",SUMIFS(BD!$R$3:$R$5001,BD!$B$3:$B$5001,Q$233,BD!$A$3:$A$5001,_xlfn.MAXIFS(BD!$A$3:$A$5001,BD!$B$3:$B$5001,Q$233,BD!$A$3:$A$5001,"&gt;="&amp;$C$7,BD!$A$3:$A$5001,"&lt;="&amp;$B234,BD!$R$3:$R$5001,"&lt;&gt;"))))</f>
        <v/>
      </c>
      <c r="R234" s="54" t="str">
        <f>IF(OR($B234="",$A234&gt;$B$9,R$233=""),"",IF(COUNTIFS(BD!$B$3:$B$5001,R$233,BD!$A$3:$A$5001,"&gt;="&amp;$C$7,BD!$A$3:$A$5001,"&lt;="&amp;$B234,BD!$R$3:$R$5001,"&lt;&gt;")=0,"",SUMIFS(BD!$R$3:$R$5001,BD!$B$3:$B$5001,R$233,BD!$A$3:$A$5001,_xlfn.MAXIFS(BD!$A$3:$A$5001,BD!$B$3:$B$5001,R$233,BD!$A$3:$A$5001,"&gt;="&amp;$C$7,BD!$A$3:$A$5001,"&lt;="&amp;$B234,BD!$R$3:$R$5001,"&lt;&gt;"))))</f>
        <v/>
      </c>
      <c r="S234" s="54" t="str">
        <f>IF(OR($B234="",$A234&gt;$B$9,S$233=""),"",IF(COUNTIFS(BD!$B$3:$B$5001,S$233,BD!$A$3:$A$5001,"&gt;="&amp;$C$7,BD!$A$3:$A$5001,"&lt;="&amp;$B234,BD!$R$3:$R$5001,"&lt;&gt;")=0,"",SUMIFS(BD!$R$3:$R$5001,BD!$B$3:$B$5001,S$233,BD!$A$3:$A$5001,_xlfn.MAXIFS(BD!$A$3:$A$5001,BD!$B$3:$B$5001,S$233,BD!$A$3:$A$5001,"&gt;="&amp;$C$7,BD!$A$3:$A$5001,"&lt;="&amp;$B234,BD!$R$3:$R$5001,"&lt;&gt;"))))</f>
        <v/>
      </c>
      <c r="T234" s="54" t="str">
        <f>IF(OR($B234="",$A234&gt;$B$9,T$233=""),"",IF(COUNTIFS(BD!$B$3:$B$5001,T$233,BD!$A$3:$A$5001,"&gt;="&amp;$C$7,BD!$A$3:$A$5001,"&lt;="&amp;$B234,BD!$R$3:$R$5001,"&lt;&gt;")=0,"",SUMIFS(BD!$R$3:$R$5001,BD!$B$3:$B$5001,T$233,BD!$A$3:$A$5001,_xlfn.MAXIFS(BD!$A$3:$A$5001,BD!$B$3:$B$5001,T$233,BD!$A$3:$A$5001,"&gt;="&amp;$C$7,BD!$A$3:$A$5001,"&lt;="&amp;$B234,BD!$R$3:$R$5001,"&lt;&gt;"))))</f>
        <v/>
      </c>
      <c r="U234" s="54" t="str">
        <f>IF(OR($B234="",$A234&gt;$B$9,U$233=""),"",IF(COUNTIFS(BD!$B$3:$B$5001,U$233,BD!$A$3:$A$5001,"&gt;="&amp;$C$7,BD!$A$3:$A$5001,"&lt;="&amp;$B234,BD!$R$3:$R$5001,"&lt;&gt;")=0,"",SUMIFS(BD!$R$3:$R$5001,BD!$B$3:$B$5001,U$233,BD!$A$3:$A$5001,_xlfn.MAXIFS(BD!$A$3:$A$5001,BD!$B$3:$B$5001,U$233,BD!$A$3:$A$5001,"&gt;="&amp;$C$7,BD!$A$3:$A$5001,"&lt;="&amp;$B234,BD!$R$3:$R$5001,"&lt;&gt;"))))</f>
        <v/>
      </c>
      <c r="V234" s="54" t="str">
        <f>IF(OR($B234="",$A234&gt;$B$9,V$233=""),"",IF(COUNTIFS(BD!$B$3:$B$5001,V$233,BD!$A$3:$A$5001,"&gt;="&amp;$C$7,BD!$A$3:$A$5001,"&lt;="&amp;$B234,BD!$R$3:$R$5001,"&lt;&gt;")=0,"",SUMIFS(BD!$R$3:$R$5001,BD!$B$3:$B$5001,V$233,BD!$A$3:$A$5001,_xlfn.MAXIFS(BD!$A$3:$A$5001,BD!$B$3:$B$5001,V$233,BD!$A$3:$A$5001,"&gt;="&amp;$C$7,BD!$A$3:$A$5001,"&lt;="&amp;$B234,BD!$R$3:$R$5001,"&lt;&gt;"))))</f>
        <v/>
      </c>
    </row>
    <row r="235">
      <c r="A235" s="48">
        <v>2</v>
      </c>
      <c r="B235" s="53">
        <f>$B$13</f>
        <v>46297</v>
      </c>
      <c r="C235" s="54" t="str">
        <f>IF(OR($B235="",$A235&gt;$B$9,C$233=""),"",IF(COUNTIFS(BD!$B$3:$B$5001,C$233,BD!$A$3:$A$5001,"&gt;="&amp;$C$7,BD!$A$3:$A$5001,"&lt;="&amp;$B235,BD!$R$3:$R$5001,"&lt;&gt;")=0,"",SUMIFS(BD!$R$3:$R$5001,BD!$B$3:$B$5001,C$233,BD!$A$3:$A$5001,_xlfn.MAXIFS(BD!$A$3:$A$5001,BD!$B$3:$B$5001,C$233,BD!$A$3:$A$5001,"&gt;="&amp;$C$7,BD!$A$3:$A$5001,"&lt;="&amp;$B235,BD!$R$3:$R$5001,"&lt;&gt;"))))</f>
        <v/>
      </c>
      <c r="D235" s="54" t="str">
        <f>IF(OR($B235="",$A235&gt;$B$9,D$233=""),"",IF(COUNTIFS(BD!$B$3:$B$5001,D$233,BD!$A$3:$A$5001,"&gt;="&amp;$C$7,BD!$A$3:$A$5001,"&lt;="&amp;$B235,BD!$R$3:$R$5001,"&lt;&gt;")=0,"",SUMIFS(BD!$R$3:$R$5001,BD!$B$3:$B$5001,D$233,BD!$A$3:$A$5001,_xlfn.MAXIFS(BD!$A$3:$A$5001,BD!$B$3:$B$5001,D$233,BD!$A$3:$A$5001,"&gt;="&amp;$C$7,BD!$A$3:$A$5001,"&lt;="&amp;$B235,BD!$R$3:$R$5001,"&lt;&gt;"))))</f>
        <v/>
      </c>
      <c r="E235" s="54" t="str">
        <f>IF(OR($B235="",$A235&gt;$B$9,E$233=""),"",IF(COUNTIFS(BD!$B$3:$B$5001,E$233,BD!$A$3:$A$5001,"&gt;="&amp;$C$7,BD!$A$3:$A$5001,"&lt;="&amp;$B235,BD!$R$3:$R$5001,"&lt;&gt;")=0,"",SUMIFS(BD!$R$3:$R$5001,BD!$B$3:$B$5001,E$233,BD!$A$3:$A$5001,_xlfn.MAXIFS(BD!$A$3:$A$5001,BD!$B$3:$B$5001,E$233,BD!$A$3:$A$5001,"&gt;="&amp;$C$7,BD!$A$3:$A$5001,"&lt;="&amp;$B235,BD!$R$3:$R$5001,"&lt;&gt;"))))</f>
        <v/>
      </c>
      <c r="F235" s="54" t="str">
        <f>IF(OR($B235="",$A235&gt;$B$9,F$233=""),"",IF(COUNTIFS(BD!$B$3:$B$5001,F$233,BD!$A$3:$A$5001,"&gt;="&amp;$C$7,BD!$A$3:$A$5001,"&lt;="&amp;$B235,BD!$R$3:$R$5001,"&lt;&gt;")=0,"",SUMIFS(BD!$R$3:$R$5001,BD!$B$3:$B$5001,F$233,BD!$A$3:$A$5001,_xlfn.MAXIFS(BD!$A$3:$A$5001,BD!$B$3:$B$5001,F$233,BD!$A$3:$A$5001,"&gt;="&amp;$C$7,BD!$A$3:$A$5001,"&lt;="&amp;$B235,BD!$R$3:$R$5001,"&lt;&gt;"))))</f>
        <v/>
      </c>
      <c r="G235" s="54" t="str">
        <f>IF(OR($B235="",$A235&gt;$B$9,G$233=""),"",IF(COUNTIFS(BD!$B$3:$B$5001,G$233,BD!$A$3:$A$5001,"&gt;="&amp;$C$7,BD!$A$3:$A$5001,"&lt;="&amp;$B235,BD!$R$3:$R$5001,"&lt;&gt;")=0,"",SUMIFS(BD!$R$3:$R$5001,BD!$B$3:$B$5001,G$233,BD!$A$3:$A$5001,_xlfn.MAXIFS(BD!$A$3:$A$5001,BD!$B$3:$B$5001,G$233,BD!$A$3:$A$5001,"&gt;="&amp;$C$7,BD!$A$3:$A$5001,"&lt;="&amp;$B235,BD!$R$3:$R$5001,"&lt;&gt;"))))</f>
        <v/>
      </c>
      <c r="H235" s="54" t="str">
        <f>IF(OR($B235="",$A235&gt;$B$9,H$233=""),"",IF(COUNTIFS(BD!$B$3:$B$5001,H$233,BD!$A$3:$A$5001,"&gt;="&amp;$C$7,BD!$A$3:$A$5001,"&lt;="&amp;$B235,BD!$R$3:$R$5001,"&lt;&gt;")=0,"",SUMIFS(BD!$R$3:$R$5001,BD!$B$3:$B$5001,H$233,BD!$A$3:$A$5001,_xlfn.MAXIFS(BD!$A$3:$A$5001,BD!$B$3:$B$5001,H$233,BD!$A$3:$A$5001,"&gt;="&amp;$C$7,BD!$A$3:$A$5001,"&lt;="&amp;$B235,BD!$R$3:$R$5001,"&lt;&gt;"))))</f>
        <v/>
      </c>
      <c r="I235" s="54" t="str">
        <f>IF(OR($B235="",$A235&gt;$B$9,I$233=""),"",IF(COUNTIFS(BD!$B$3:$B$5001,I$233,BD!$A$3:$A$5001,"&gt;="&amp;$C$7,BD!$A$3:$A$5001,"&lt;="&amp;$B235,BD!$R$3:$R$5001,"&lt;&gt;")=0,"",SUMIFS(BD!$R$3:$R$5001,BD!$B$3:$B$5001,I$233,BD!$A$3:$A$5001,_xlfn.MAXIFS(BD!$A$3:$A$5001,BD!$B$3:$B$5001,I$233,BD!$A$3:$A$5001,"&gt;="&amp;$C$7,BD!$A$3:$A$5001,"&lt;="&amp;$B235,BD!$R$3:$R$5001,"&lt;&gt;"))))</f>
        <v/>
      </c>
      <c r="J235" s="54" t="str">
        <f>IF(OR($B235="",$A235&gt;$B$9,J$233=""),"",IF(COUNTIFS(BD!$B$3:$B$5001,J$233,BD!$A$3:$A$5001,"&gt;="&amp;$C$7,BD!$A$3:$A$5001,"&lt;="&amp;$B235,BD!$R$3:$R$5001,"&lt;&gt;")=0,"",SUMIFS(BD!$R$3:$R$5001,BD!$B$3:$B$5001,J$233,BD!$A$3:$A$5001,_xlfn.MAXIFS(BD!$A$3:$A$5001,BD!$B$3:$B$5001,J$233,BD!$A$3:$A$5001,"&gt;="&amp;$C$7,BD!$A$3:$A$5001,"&lt;="&amp;$B235,BD!$R$3:$R$5001,"&lt;&gt;"))))</f>
        <v/>
      </c>
      <c r="K235" s="54" t="str">
        <f>IF(OR($B235="",$A235&gt;$B$9,K$233=""),"",IF(COUNTIFS(BD!$B$3:$B$5001,K$233,BD!$A$3:$A$5001,"&gt;="&amp;$C$7,BD!$A$3:$A$5001,"&lt;="&amp;$B235,BD!$R$3:$R$5001,"&lt;&gt;")=0,"",SUMIFS(BD!$R$3:$R$5001,BD!$B$3:$B$5001,K$233,BD!$A$3:$A$5001,_xlfn.MAXIFS(BD!$A$3:$A$5001,BD!$B$3:$B$5001,K$233,BD!$A$3:$A$5001,"&gt;="&amp;$C$7,BD!$A$3:$A$5001,"&lt;="&amp;$B235,BD!$R$3:$R$5001,"&lt;&gt;"))))</f>
        <v/>
      </c>
      <c r="L235" s="54" t="str">
        <f>IF(OR($B235="",$A235&gt;$B$9,L$233=""),"",IF(COUNTIFS(BD!$B$3:$B$5001,L$233,BD!$A$3:$A$5001,"&gt;="&amp;$C$7,BD!$A$3:$A$5001,"&lt;="&amp;$B235,BD!$R$3:$R$5001,"&lt;&gt;")=0,"",SUMIFS(BD!$R$3:$R$5001,BD!$B$3:$B$5001,L$233,BD!$A$3:$A$5001,_xlfn.MAXIFS(BD!$A$3:$A$5001,BD!$B$3:$B$5001,L$233,BD!$A$3:$A$5001,"&gt;="&amp;$C$7,BD!$A$3:$A$5001,"&lt;="&amp;$B235,BD!$R$3:$R$5001,"&lt;&gt;"))))</f>
        <v/>
      </c>
      <c r="M235" s="54" t="str">
        <f>IF(OR($B235="",$A235&gt;$B$9,M$233=""),"",IF(COUNTIFS(BD!$B$3:$B$5001,M$233,BD!$A$3:$A$5001,"&gt;="&amp;$C$7,BD!$A$3:$A$5001,"&lt;="&amp;$B235,BD!$R$3:$R$5001,"&lt;&gt;")=0,"",SUMIFS(BD!$R$3:$R$5001,BD!$B$3:$B$5001,M$233,BD!$A$3:$A$5001,_xlfn.MAXIFS(BD!$A$3:$A$5001,BD!$B$3:$B$5001,M$233,BD!$A$3:$A$5001,"&gt;="&amp;$C$7,BD!$A$3:$A$5001,"&lt;="&amp;$B235,BD!$R$3:$R$5001,"&lt;&gt;"))))</f>
        <v/>
      </c>
      <c r="N235" s="54" t="str">
        <f>IF(OR($B235="",$A235&gt;$B$9,N$233=""),"",IF(COUNTIFS(BD!$B$3:$B$5001,N$233,BD!$A$3:$A$5001,"&gt;="&amp;$C$7,BD!$A$3:$A$5001,"&lt;="&amp;$B235,BD!$R$3:$R$5001,"&lt;&gt;")=0,"",SUMIFS(BD!$R$3:$R$5001,BD!$B$3:$B$5001,N$233,BD!$A$3:$A$5001,_xlfn.MAXIFS(BD!$A$3:$A$5001,BD!$B$3:$B$5001,N$233,BD!$A$3:$A$5001,"&gt;="&amp;$C$7,BD!$A$3:$A$5001,"&lt;="&amp;$B235,BD!$R$3:$R$5001,"&lt;&gt;"))))</f>
        <v/>
      </c>
      <c r="O235" s="54" t="str">
        <f>IF(OR($B235="",$A235&gt;$B$9,O$233=""),"",IF(COUNTIFS(BD!$B$3:$B$5001,O$233,BD!$A$3:$A$5001,"&gt;="&amp;$C$7,BD!$A$3:$A$5001,"&lt;="&amp;$B235,BD!$R$3:$R$5001,"&lt;&gt;")=0,"",SUMIFS(BD!$R$3:$R$5001,BD!$B$3:$B$5001,O$233,BD!$A$3:$A$5001,_xlfn.MAXIFS(BD!$A$3:$A$5001,BD!$B$3:$B$5001,O$233,BD!$A$3:$A$5001,"&gt;="&amp;$C$7,BD!$A$3:$A$5001,"&lt;="&amp;$B235,BD!$R$3:$R$5001,"&lt;&gt;"))))</f>
        <v/>
      </c>
      <c r="P235" s="54" t="str">
        <f>IF(OR($B235="",$A235&gt;$B$9,P$233=""),"",IF(COUNTIFS(BD!$B$3:$B$5001,P$233,BD!$A$3:$A$5001,"&gt;="&amp;$C$7,BD!$A$3:$A$5001,"&lt;="&amp;$B235,BD!$R$3:$R$5001,"&lt;&gt;")=0,"",SUMIFS(BD!$R$3:$R$5001,BD!$B$3:$B$5001,P$233,BD!$A$3:$A$5001,_xlfn.MAXIFS(BD!$A$3:$A$5001,BD!$B$3:$B$5001,P$233,BD!$A$3:$A$5001,"&gt;="&amp;$C$7,BD!$A$3:$A$5001,"&lt;="&amp;$B235,BD!$R$3:$R$5001,"&lt;&gt;"))))</f>
        <v/>
      </c>
      <c r="Q235" s="54" t="str">
        <f>IF(OR($B235="",$A235&gt;$B$9,Q$233=""),"",IF(COUNTIFS(BD!$B$3:$B$5001,Q$233,BD!$A$3:$A$5001,"&gt;="&amp;$C$7,BD!$A$3:$A$5001,"&lt;="&amp;$B235,BD!$R$3:$R$5001,"&lt;&gt;")=0,"",SUMIFS(BD!$R$3:$R$5001,BD!$B$3:$B$5001,Q$233,BD!$A$3:$A$5001,_xlfn.MAXIFS(BD!$A$3:$A$5001,BD!$B$3:$B$5001,Q$233,BD!$A$3:$A$5001,"&gt;="&amp;$C$7,BD!$A$3:$A$5001,"&lt;="&amp;$B235,BD!$R$3:$R$5001,"&lt;&gt;"))))</f>
        <v/>
      </c>
      <c r="R235" s="54" t="str">
        <f>IF(OR($B235="",$A235&gt;$B$9,R$233=""),"",IF(COUNTIFS(BD!$B$3:$B$5001,R$233,BD!$A$3:$A$5001,"&gt;="&amp;$C$7,BD!$A$3:$A$5001,"&lt;="&amp;$B235,BD!$R$3:$R$5001,"&lt;&gt;")=0,"",SUMIFS(BD!$R$3:$R$5001,BD!$B$3:$B$5001,R$233,BD!$A$3:$A$5001,_xlfn.MAXIFS(BD!$A$3:$A$5001,BD!$B$3:$B$5001,R$233,BD!$A$3:$A$5001,"&gt;="&amp;$C$7,BD!$A$3:$A$5001,"&lt;="&amp;$B235,BD!$R$3:$R$5001,"&lt;&gt;"))))</f>
        <v/>
      </c>
      <c r="S235" s="54" t="str">
        <f>IF(OR($B235="",$A235&gt;$B$9,S$233=""),"",IF(COUNTIFS(BD!$B$3:$B$5001,S$233,BD!$A$3:$A$5001,"&gt;="&amp;$C$7,BD!$A$3:$A$5001,"&lt;="&amp;$B235,BD!$R$3:$R$5001,"&lt;&gt;")=0,"",SUMIFS(BD!$R$3:$R$5001,BD!$B$3:$B$5001,S$233,BD!$A$3:$A$5001,_xlfn.MAXIFS(BD!$A$3:$A$5001,BD!$B$3:$B$5001,S$233,BD!$A$3:$A$5001,"&gt;="&amp;$C$7,BD!$A$3:$A$5001,"&lt;="&amp;$B235,BD!$R$3:$R$5001,"&lt;&gt;"))))</f>
        <v/>
      </c>
      <c r="T235" s="54" t="str">
        <f>IF(OR($B235="",$A235&gt;$B$9,T$233=""),"",IF(COUNTIFS(BD!$B$3:$B$5001,T$233,BD!$A$3:$A$5001,"&gt;="&amp;$C$7,BD!$A$3:$A$5001,"&lt;="&amp;$B235,BD!$R$3:$R$5001,"&lt;&gt;")=0,"",SUMIFS(BD!$R$3:$R$5001,BD!$B$3:$B$5001,T$233,BD!$A$3:$A$5001,_xlfn.MAXIFS(BD!$A$3:$A$5001,BD!$B$3:$B$5001,T$233,BD!$A$3:$A$5001,"&gt;="&amp;$C$7,BD!$A$3:$A$5001,"&lt;="&amp;$B235,BD!$R$3:$R$5001,"&lt;&gt;"))))</f>
        <v/>
      </c>
      <c r="U235" s="54" t="str">
        <f>IF(OR($B235="",$A235&gt;$B$9,U$233=""),"",IF(COUNTIFS(BD!$B$3:$B$5001,U$233,BD!$A$3:$A$5001,"&gt;="&amp;$C$7,BD!$A$3:$A$5001,"&lt;="&amp;$B235,BD!$R$3:$R$5001,"&lt;&gt;")=0,"",SUMIFS(BD!$R$3:$R$5001,BD!$B$3:$B$5001,U$233,BD!$A$3:$A$5001,_xlfn.MAXIFS(BD!$A$3:$A$5001,BD!$B$3:$B$5001,U$233,BD!$A$3:$A$5001,"&gt;="&amp;$C$7,BD!$A$3:$A$5001,"&lt;="&amp;$B235,BD!$R$3:$R$5001,"&lt;&gt;"))))</f>
        <v/>
      </c>
      <c r="V235" s="54" t="str">
        <f>IF(OR($B235="",$A235&gt;$B$9,V$233=""),"",IF(COUNTIFS(BD!$B$3:$B$5001,V$233,BD!$A$3:$A$5001,"&gt;="&amp;$C$7,BD!$A$3:$A$5001,"&lt;="&amp;$B235,BD!$R$3:$R$5001,"&lt;&gt;")=0,"",SUMIFS(BD!$R$3:$R$5001,BD!$B$3:$B$5001,V$233,BD!$A$3:$A$5001,_xlfn.MAXIFS(BD!$A$3:$A$5001,BD!$B$3:$B$5001,V$233,BD!$A$3:$A$5001,"&gt;="&amp;$C$7,BD!$A$3:$A$5001,"&lt;="&amp;$B235,BD!$R$3:$R$5001,"&lt;&gt;"))))</f>
        <v/>
      </c>
    </row>
    <row r="236">
      <c r="A236" s="48">
        <v>3</v>
      </c>
      <c r="B236" s="53">
        <f>$B$14</f>
        <v>46298</v>
      </c>
      <c r="C236" s="54" t="str">
        <f>IF(OR($B236="",$A236&gt;$B$9,C$233=""),"",IF(COUNTIFS(BD!$B$3:$B$5001,C$233,BD!$A$3:$A$5001,"&gt;="&amp;$C$7,BD!$A$3:$A$5001,"&lt;="&amp;$B236,BD!$R$3:$R$5001,"&lt;&gt;")=0,"",SUMIFS(BD!$R$3:$R$5001,BD!$B$3:$B$5001,C$233,BD!$A$3:$A$5001,_xlfn.MAXIFS(BD!$A$3:$A$5001,BD!$B$3:$B$5001,C$233,BD!$A$3:$A$5001,"&gt;="&amp;$C$7,BD!$A$3:$A$5001,"&lt;="&amp;$B236,BD!$R$3:$R$5001,"&lt;&gt;"))))</f>
        <v/>
      </c>
      <c r="D236" s="54" t="str">
        <f>IF(OR($B236="",$A236&gt;$B$9,D$233=""),"",IF(COUNTIFS(BD!$B$3:$B$5001,D$233,BD!$A$3:$A$5001,"&gt;="&amp;$C$7,BD!$A$3:$A$5001,"&lt;="&amp;$B236,BD!$R$3:$R$5001,"&lt;&gt;")=0,"",SUMIFS(BD!$R$3:$R$5001,BD!$B$3:$B$5001,D$233,BD!$A$3:$A$5001,_xlfn.MAXIFS(BD!$A$3:$A$5001,BD!$B$3:$B$5001,D$233,BD!$A$3:$A$5001,"&gt;="&amp;$C$7,BD!$A$3:$A$5001,"&lt;="&amp;$B236,BD!$R$3:$R$5001,"&lt;&gt;"))))</f>
        <v/>
      </c>
      <c r="E236" s="54" t="str">
        <f>IF(OR($B236="",$A236&gt;$B$9,E$233=""),"",IF(COUNTIFS(BD!$B$3:$B$5001,E$233,BD!$A$3:$A$5001,"&gt;="&amp;$C$7,BD!$A$3:$A$5001,"&lt;="&amp;$B236,BD!$R$3:$R$5001,"&lt;&gt;")=0,"",SUMIFS(BD!$R$3:$R$5001,BD!$B$3:$B$5001,E$233,BD!$A$3:$A$5001,_xlfn.MAXIFS(BD!$A$3:$A$5001,BD!$B$3:$B$5001,E$233,BD!$A$3:$A$5001,"&gt;="&amp;$C$7,BD!$A$3:$A$5001,"&lt;="&amp;$B236,BD!$R$3:$R$5001,"&lt;&gt;"))))</f>
        <v/>
      </c>
      <c r="F236" s="54" t="str">
        <f>IF(OR($B236="",$A236&gt;$B$9,F$233=""),"",IF(COUNTIFS(BD!$B$3:$B$5001,F$233,BD!$A$3:$A$5001,"&gt;="&amp;$C$7,BD!$A$3:$A$5001,"&lt;="&amp;$B236,BD!$R$3:$R$5001,"&lt;&gt;")=0,"",SUMIFS(BD!$R$3:$R$5001,BD!$B$3:$B$5001,F$233,BD!$A$3:$A$5001,_xlfn.MAXIFS(BD!$A$3:$A$5001,BD!$B$3:$B$5001,F$233,BD!$A$3:$A$5001,"&gt;="&amp;$C$7,BD!$A$3:$A$5001,"&lt;="&amp;$B236,BD!$R$3:$R$5001,"&lt;&gt;"))))</f>
        <v/>
      </c>
      <c r="G236" s="54" t="str">
        <f>IF(OR($B236="",$A236&gt;$B$9,G$233=""),"",IF(COUNTIFS(BD!$B$3:$B$5001,G$233,BD!$A$3:$A$5001,"&gt;="&amp;$C$7,BD!$A$3:$A$5001,"&lt;="&amp;$B236,BD!$R$3:$R$5001,"&lt;&gt;")=0,"",SUMIFS(BD!$R$3:$R$5001,BD!$B$3:$B$5001,G$233,BD!$A$3:$A$5001,_xlfn.MAXIFS(BD!$A$3:$A$5001,BD!$B$3:$B$5001,G$233,BD!$A$3:$A$5001,"&gt;="&amp;$C$7,BD!$A$3:$A$5001,"&lt;="&amp;$B236,BD!$R$3:$R$5001,"&lt;&gt;"))))</f>
        <v/>
      </c>
      <c r="H236" s="54" t="str">
        <f>IF(OR($B236="",$A236&gt;$B$9,H$233=""),"",IF(COUNTIFS(BD!$B$3:$B$5001,H$233,BD!$A$3:$A$5001,"&gt;="&amp;$C$7,BD!$A$3:$A$5001,"&lt;="&amp;$B236,BD!$R$3:$R$5001,"&lt;&gt;")=0,"",SUMIFS(BD!$R$3:$R$5001,BD!$B$3:$B$5001,H$233,BD!$A$3:$A$5001,_xlfn.MAXIFS(BD!$A$3:$A$5001,BD!$B$3:$B$5001,H$233,BD!$A$3:$A$5001,"&gt;="&amp;$C$7,BD!$A$3:$A$5001,"&lt;="&amp;$B236,BD!$R$3:$R$5001,"&lt;&gt;"))))</f>
        <v/>
      </c>
      <c r="I236" s="54" t="str">
        <f>IF(OR($B236="",$A236&gt;$B$9,I$233=""),"",IF(COUNTIFS(BD!$B$3:$B$5001,I$233,BD!$A$3:$A$5001,"&gt;="&amp;$C$7,BD!$A$3:$A$5001,"&lt;="&amp;$B236,BD!$R$3:$R$5001,"&lt;&gt;")=0,"",SUMIFS(BD!$R$3:$R$5001,BD!$B$3:$B$5001,I$233,BD!$A$3:$A$5001,_xlfn.MAXIFS(BD!$A$3:$A$5001,BD!$B$3:$B$5001,I$233,BD!$A$3:$A$5001,"&gt;="&amp;$C$7,BD!$A$3:$A$5001,"&lt;="&amp;$B236,BD!$R$3:$R$5001,"&lt;&gt;"))))</f>
        <v/>
      </c>
      <c r="J236" s="54" t="str">
        <f>IF(OR($B236="",$A236&gt;$B$9,J$233=""),"",IF(COUNTIFS(BD!$B$3:$B$5001,J$233,BD!$A$3:$A$5001,"&gt;="&amp;$C$7,BD!$A$3:$A$5001,"&lt;="&amp;$B236,BD!$R$3:$R$5001,"&lt;&gt;")=0,"",SUMIFS(BD!$R$3:$R$5001,BD!$B$3:$B$5001,J$233,BD!$A$3:$A$5001,_xlfn.MAXIFS(BD!$A$3:$A$5001,BD!$B$3:$B$5001,J$233,BD!$A$3:$A$5001,"&gt;="&amp;$C$7,BD!$A$3:$A$5001,"&lt;="&amp;$B236,BD!$R$3:$R$5001,"&lt;&gt;"))))</f>
        <v/>
      </c>
      <c r="K236" s="54" t="str">
        <f>IF(OR($B236="",$A236&gt;$B$9,K$233=""),"",IF(COUNTIFS(BD!$B$3:$B$5001,K$233,BD!$A$3:$A$5001,"&gt;="&amp;$C$7,BD!$A$3:$A$5001,"&lt;="&amp;$B236,BD!$R$3:$R$5001,"&lt;&gt;")=0,"",SUMIFS(BD!$R$3:$R$5001,BD!$B$3:$B$5001,K$233,BD!$A$3:$A$5001,_xlfn.MAXIFS(BD!$A$3:$A$5001,BD!$B$3:$B$5001,K$233,BD!$A$3:$A$5001,"&gt;="&amp;$C$7,BD!$A$3:$A$5001,"&lt;="&amp;$B236,BD!$R$3:$R$5001,"&lt;&gt;"))))</f>
        <v/>
      </c>
      <c r="L236" s="54" t="str">
        <f>IF(OR($B236="",$A236&gt;$B$9,L$233=""),"",IF(COUNTIFS(BD!$B$3:$B$5001,L$233,BD!$A$3:$A$5001,"&gt;="&amp;$C$7,BD!$A$3:$A$5001,"&lt;="&amp;$B236,BD!$R$3:$R$5001,"&lt;&gt;")=0,"",SUMIFS(BD!$R$3:$R$5001,BD!$B$3:$B$5001,L$233,BD!$A$3:$A$5001,_xlfn.MAXIFS(BD!$A$3:$A$5001,BD!$B$3:$B$5001,L$233,BD!$A$3:$A$5001,"&gt;="&amp;$C$7,BD!$A$3:$A$5001,"&lt;="&amp;$B236,BD!$R$3:$R$5001,"&lt;&gt;"))))</f>
        <v/>
      </c>
      <c r="M236" s="54" t="str">
        <f>IF(OR($B236="",$A236&gt;$B$9,M$233=""),"",IF(COUNTIFS(BD!$B$3:$B$5001,M$233,BD!$A$3:$A$5001,"&gt;="&amp;$C$7,BD!$A$3:$A$5001,"&lt;="&amp;$B236,BD!$R$3:$R$5001,"&lt;&gt;")=0,"",SUMIFS(BD!$R$3:$R$5001,BD!$B$3:$B$5001,M$233,BD!$A$3:$A$5001,_xlfn.MAXIFS(BD!$A$3:$A$5001,BD!$B$3:$B$5001,M$233,BD!$A$3:$A$5001,"&gt;="&amp;$C$7,BD!$A$3:$A$5001,"&lt;="&amp;$B236,BD!$R$3:$R$5001,"&lt;&gt;"))))</f>
        <v/>
      </c>
      <c r="N236" s="54" t="str">
        <f>IF(OR($B236="",$A236&gt;$B$9,N$233=""),"",IF(COUNTIFS(BD!$B$3:$B$5001,N$233,BD!$A$3:$A$5001,"&gt;="&amp;$C$7,BD!$A$3:$A$5001,"&lt;="&amp;$B236,BD!$R$3:$R$5001,"&lt;&gt;")=0,"",SUMIFS(BD!$R$3:$R$5001,BD!$B$3:$B$5001,N$233,BD!$A$3:$A$5001,_xlfn.MAXIFS(BD!$A$3:$A$5001,BD!$B$3:$B$5001,N$233,BD!$A$3:$A$5001,"&gt;="&amp;$C$7,BD!$A$3:$A$5001,"&lt;="&amp;$B236,BD!$R$3:$R$5001,"&lt;&gt;"))))</f>
        <v/>
      </c>
      <c r="O236" s="54" t="str">
        <f>IF(OR($B236="",$A236&gt;$B$9,O$233=""),"",IF(COUNTIFS(BD!$B$3:$B$5001,O$233,BD!$A$3:$A$5001,"&gt;="&amp;$C$7,BD!$A$3:$A$5001,"&lt;="&amp;$B236,BD!$R$3:$R$5001,"&lt;&gt;")=0,"",SUMIFS(BD!$R$3:$R$5001,BD!$B$3:$B$5001,O$233,BD!$A$3:$A$5001,_xlfn.MAXIFS(BD!$A$3:$A$5001,BD!$B$3:$B$5001,O$233,BD!$A$3:$A$5001,"&gt;="&amp;$C$7,BD!$A$3:$A$5001,"&lt;="&amp;$B236,BD!$R$3:$R$5001,"&lt;&gt;"))))</f>
        <v/>
      </c>
      <c r="P236" s="54" t="str">
        <f>IF(OR($B236="",$A236&gt;$B$9,P$233=""),"",IF(COUNTIFS(BD!$B$3:$B$5001,P$233,BD!$A$3:$A$5001,"&gt;="&amp;$C$7,BD!$A$3:$A$5001,"&lt;="&amp;$B236,BD!$R$3:$R$5001,"&lt;&gt;")=0,"",SUMIFS(BD!$R$3:$R$5001,BD!$B$3:$B$5001,P$233,BD!$A$3:$A$5001,_xlfn.MAXIFS(BD!$A$3:$A$5001,BD!$B$3:$B$5001,P$233,BD!$A$3:$A$5001,"&gt;="&amp;$C$7,BD!$A$3:$A$5001,"&lt;="&amp;$B236,BD!$R$3:$R$5001,"&lt;&gt;"))))</f>
        <v/>
      </c>
      <c r="Q236" s="54" t="str">
        <f>IF(OR($B236="",$A236&gt;$B$9,Q$233=""),"",IF(COUNTIFS(BD!$B$3:$B$5001,Q$233,BD!$A$3:$A$5001,"&gt;="&amp;$C$7,BD!$A$3:$A$5001,"&lt;="&amp;$B236,BD!$R$3:$R$5001,"&lt;&gt;")=0,"",SUMIFS(BD!$R$3:$R$5001,BD!$B$3:$B$5001,Q$233,BD!$A$3:$A$5001,_xlfn.MAXIFS(BD!$A$3:$A$5001,BD!$B$3:$B$5001,Q$233,BD!$A$3:$A$5001,"&gt;="&amp;$C$7,BD!$A$3:$A$5001,"&lt;="&amp;$B236,BD!$R$3:$R$5001,"&lt;&gt;"))))</f>
        <v/>
      </c>
      <c r="R236" s="54" t="str">
        <f>IF(OR($B236="",$A236&gt;$B$9,R$233=""),"",IF(COUNTIFS(BD!$B$3:$B$5001,R$233,BD!$A$3:$A$5001,"&gt;="&amp;$C$7,BD!$A$3:$A$5001,"&lt;="&amp;$B236,BD!$R$3:$R$5001,"&lt;&gt;")=0,"",SUMIFS(BD!$R$3:$R$5001,BD!$B$3:$B$5001,R$233,BD!$A$3:$A$5001,_xlfn.MAXIFS(BD!$A$3:$A$5001,BD!$B$3:$B$5001,R$233,BD!$A$3:$A$5001,"&gt;="&amp;$C$7,BD!$A$3:$A$5001,"&lt;="&amp;$B236,BD!$R$3:$R$5001,"&lt;&gt;"))))</f>
        <v/>
      </c>
      <c r="S236" s="54" t="str">
        <f>IF(OR($B236="",$A236&gt;$B$9,S$233=""),"",IF(COUNTIFS(BD!$B$3:$B$5001,S$233,BD!$A$3:$A$5001,"&gt;="&amp;$C$7,BD!$A$3:$A$5001,"&lt;="&amp;$B236,BD!$R$3:$R$5001,"&lt;&gt;")=0,"",SUMIFS(BD!$R$3:$R$5001,BD!$B$3:$B$5001,S$233,BD!$A$3:$A$5001,_xlfn.MAXIFS(BD!$A$3:$A$5001,BD!$B$3:$B$5001,S$233,BD!$A$3:$A$5001,"&gt;="&amp;$C$7,BD!$A$3:$A$5001,"&lt;="&amp;$B236,BD!$R$3:$R$5001,"&lt;&gt;"))))</f>
        <v/>
      </c>
      <c r="T236" s="54" t="str">
        <f>IF(OR($B236="",$A236&gt;$B$9,T$233=""),"",IF(COUNTIFS(BD!$B$3:$B$5001,T$233,BD!$A$3:$A$5001,"&gt;="&amp;$C$7,BD!$A$3:$A$5001,"&lt;="&amp;$B236,BD!$R$3:$R$5001,"&lt;&gt;")=0,"",SUMIFS(BD!$R$3:$R$5001,BD!$B$3:$B$5001,T$233,BD!$A$3:$A$5001,_xlfn.MAXIFS(BD!$A$3:$A$5001,BD!$B$3:$B$5001,T$233,BD!$A$3:$A$5001,"&gt;="&amp;$C$7,BD!$A$3:$A$5001,"&lt;="&amp;$B236,BD!$R$3:$R$5001,"&lt;&gt;"))))</f>
        <v/>
      </c>
      <c r="U236" s="54" t="str">
        <f>IF(OR($B236="",$A236&gt;$B$9,U$233=""),"",IF(COUNTIFS(BD!$B$3:$B$5001,U$233,BD!$A$3:$A$5001,"&gt;="&amp;$C$7,BD!$A$3:$A$5001,"&lt;="&amp;$B236,BD!$R$3:$R$5001,"&lt;&gt;")=0,"",SUMIFS(BD!$R$3:$R$5001,BD!$B$3:$B$5001,U$233,BD!$A$3:$A$5001,_xlfn.MAXIFS(BD!$A$3:$A$5001,BD!$B$3:$B$5001,U$233,BD!$A$3:$A$5001,"&gt;="&amp;$C$7,BD!$A$3:$A$5001,"&lt;="&amp;$B236,BD!$R$3:$R$5001,"&lt;&gt;"))))</f>
        <v/>
      </c>
      <c r="V236" s="54" t="str">
        <f>IF(OR($B236="",$A236&gt;$B$9,V$233=""),"",IF(COUNTIFS(BD!$B$3:$B$5001,V$233,BD!$A$3:$A$5001,"&gt;="&amp;$C$7,BD!$A$3:$A$5001,"&lt;="&amp;$B236,BD!$R$3:$R$5001,"&lt;&gt;")=0,"",SUMIFS(BD!$R$3:$R$5001,BD!$B$3:$B$5001,V$233,BD!$A$3:$A$5001,_xlfn.MAXIFS(BD!$A$3:$A$5001,BD!$B$3:$B$5001,V$233,BD!$A$3:$A$5001,"&gt;="&amp;$C$7,BD!$A$3:$A$5001,"&lt;="&amp;$B236,BD!$R$3:$R$5001,"&lt;&gt;"))))</f>
        <v/>
      </c>
    </row>
    <row r="237">
      <c r="A237" s="48">
        <v>4</v>
      </c>
      <c r="B237" s="53">
        <f>$B$15</f>
        <v>46299</v>
      </c>
      <c r="C237" s="54" t="str">
        <f>IF(OR($B237="",$A237&gt;$B$9,C$233=""),"",IF(COUNTIFS(BD!$B$3:$B$5001,C$233,BD!$A$3:$A$5001,"&gt;="&amp;$C$7,BD!$A$3:$A$5001,"&lt;="&amp;$B237,BD!$R$3:$R$5001,"&lt;&gt;")=0,"",SUMIFS(BD!$R$3:$R$5001,BD!$B$3:$B$5001,C$233,BD!$A$3:$A$5001,_xlfn.MAXIFS(BD!$A$3:$A$5001,BD!$B$3:$B$5001,C$233,BD!$A$3:$A$5001,"&gt;="&amp;$C$7,BD!$A$3:$A$5001,"&lt;="&amp;$B237,BD!$R$3:$R$5001,"&lt;&gt;"))))</f>
        <v/>
      </c>
      <c r="D237" s="54" t="str">
        <f>IF(OR($B237="",$A237&gt;$B$9,D$233=""),"",IF(COUNTIFS(BD!$B$3:$B$5001,D$233,BD!$A$3:$A$5001,"&gt;="&amp;$C$7,BD!$A$3:$A$5001,"&lt;="&amp;$B237,BD!$R$3:$R$5001,"&lt;&gt;")=0,"",SUMIFS(BD!$R$3:$R$5001,BD!$B$3:$B$5001,D$233,BD!$A$3:$A$5001,_xlfn.MAXIFS(BD!$A$3:$A$5001,BD!$B$3:$B$5001,D$233,BD!$A$3:$A$5001,"&gt;="&amp;$C$7,BD!$A$3:$A$5001,"&lt;="&amp;$B237,BD!$R$3:$R$5001,"&lt;&gt;"))))</f>
        <v/>
      </c>
      <c r="E237" s="54" t="str">
        <f>IF(OR($B237="",$A237&gt;$B$9,E$233=""),"",IF(COUNTIFS(BD!$B$3:$B$5001,E$233,BD!$A$3:$A$5001,"&gt;="&amp;$C$7,BD!$A$3:$A$5001,"&lt;="&amp;$B237,BD!$R$3:$R$5001,"&lt;&gt;")=0,"",SUMIFS(BD!$R$3:$R$5001,BD!$B$3:$B$5001,E$233,BD!$A$3:$A$5001,_xlfn.MAXIFS(BD!$A$3:$A$5001,BD!$B$3:$B$5001,E$233,BD!$A$3:$A$5001,"&gt;="&amp;$C$7,BD!$A$3:$A$5001,"&lt;="&amp;$B237,BD!$R$3:$R$5001,"&lt;&gt;"))))</f>
        <v/>
      </c>
      <c r="F237" s="54" t="str">
        <f>IF(OR($B237="",$A237&gt;$B$9,F$233=""),"",IF(COUNTIFS(BD!$B$3:$B$5001,F$233,BD!$A$3:$A$5001,"&gt;="&amp;$C$7,BD!$A$3:$A$5001,"&lt;="&amp;$B237,BD!$R$3:$R$5001,"&lt;&gt;")=0,"",SUMIFS(BD!$R$3:$R$5001,BD!$B$3:$B$5001,F$233,BD!$A$3:$A$5001,_xlfn.MAXIFS(BD!$A$3:$A$5001,BD!$B$3:$B$5001,F$233,BD!$A$3:$A$5001,"&gt;="&amp;$C$7,BD!$A$3:$A$5001,"&lt;="&amp;$B237,BD!$R$3:$R$5001,"&lt;&gt;"))))</f>
        <v/>
      </c>
      <c r="G237" s="54" t="str">
        <f>IF(OR($B237="",$A237&gt;$B$9,G$233=""),"",IF(COUNTIFS(BD!$B$3:$B$5001,G$233,BD!$A$3:$A$5001,"&gt;="&amp;$C$7,BD!$A$3:$A$5001,"&lt;="&amp;$B237,BD!$R$3:$R$5001,"&lt;&gt;")=0,"",SUMIFS(BD!$R$3:$R$5001,BD!$B$3:$B$5001,G$233,BD!$A$3:$A$5001,_xlfn.MAXIFS(BD!$A$3:$A$5001,BD!$B$3:$B$5001,G$233,BD!$A$3:$A$5001,"&gt;="&amp;$C$7,BD!$A$3:$A$5001,"&lt;="&amp;$B237,BD!$R$3:$R$5001,"&lt;&gt;"))))</f>
        <v/>
      </c>
      <c r="H237" s="54" t="str">
        <f>IF(OR($B237="",$A237&gt;$B$9,H$233=""),"",IF(COUNTIFS(BD!$B$3:$B$5001,H$233,BD!$A$3:$A$5001,"&gt;="&amp;$C$7,BD!$A$3:$A$5001,"&lt;="&amp;$B237,BD!$R$3:$R$5001,"&lt;&gt;")=0,"",SUMIFS(BD!$R$3:$R$5001,BD!$B$3:$B$5001,H$233,BD!$A$3:$A$5001,_xlfn.MAXIFS(BD!$A$3:$A$5001,BD!$B$3:$B$5001,H$233,BD!$A$3:$A$5001,"&gt;="&amp;$C$7,BD!$A$3:$A$5001,"&lt;="&amp;$B237,BD!$R$3:$R$5001,"&lt;&gt;"))))</f>
        <v/>
      </c>
      <c r="I237" s="54" t="str">
        <f>IF(OR($B237="",$A237&gt;$B$9,I$233=""),"",IF(COUNTIFS(BD!$B$3:$B$5001,I$233,BD!$A$3:$A$5001,"&gt;="&amp;$C$7,BD!$A$3:$A$5001,"&lt;="&amp;$B237,BD!$R$3:$R$5001,"&lt;&gt;")=0,"",SUMIFS(BD!$R$3:$R$5001,BD!$B$3:$B$5001,I$233,BD!$A$3:$A$5001,_xlfn.MAXIFS(BD!$A$3:$A$5001,BD!$B$3:$B$5001,I$233,BD!$A$3:$A$5001,"&gt;="&amp;$C$7,BD!$A$3:$A$5001,"&lt;="&amp;$B237,BD!$R$3:$R$5001,"&lt;&gt;"))))</f>
        <v/>
      </c>
      <c r="J237" s="54" t="str">
        <f>IF(OR($B237="",$A237&gt;$B$9,J$233=""),"",IF(COUNTIFS(BD!$B$3:$B$5001,J$233,BD!$A$3:$A$5001,"&gt;="&amp;$C$7,BD!$A$3:$A$5001,"&lt;="&amp;$B237,BD!$R$3:$R$5001,"&lt;&gt;")=0,"",SUMIFS(BD!$R$3:$R$5001,BD!$B$3:$B$5001,J$233,BD!$A$3:$A$5001,_xlfn.MAXIFS(BD!$A$3:$A$5001,BD!$B$3:$B$5001,J$233,BD!$A$3:$A$5001,"&gt;="&amp;$C$7,BD!$A$3:$A$5001,"&lt;="&amp;$B237,BD!$R$3:$R$5001,"&lt;&gt;"))))</f>
        <v/>
      </c>
      <c r="K237" s="54" t="str">
        <f>IF(OR($B237="",$A237&gt;$B$9,K$233=""),"",IF(COUNTIFS(BD!$B$3:$B$5001,K$233,BD!$A$3:$A$5001,"&gt;="&amp;$C$7,BD!$A$3:$A$5001,"&lt;="&amp;$B237,BD!$R$3:$R$5001,"&lt;&gt;")=0,"",SUMIFS(BD!$R$3:$R$5001,BD!$B$3:$B$5001,K$233,BD!$A$3:$A$5001,_xlfn.MAXIFS(BD!$A$3:$A$5001,BD!$B$3:$B$5001,K$233,BD!$A$3:$A$5001,"&gt;="&amp;$C$7,BD!$A$3:$A$5001,"&lt;="&amp;$B237,BD!$R$3:$R$5001,"&lt;&gt;"))))</f>
        <v/>
      </c>
      <c r="L237" s="54" t="str">
        <f>IF(OR($B237="",$A237&gt;$B$9,L$233=""),"",IF(COUNTIFS(BD!$B$3:$B$5001,L$233,BD!$A$3:$A$5001,"&gt;="&amp;$C$7,BD!$A$3:$A$5001,"&lt;="&amp;$B237,BD!$R$3:$R$5001,"&lt;&gt;")=0,"",SUMIFS(BD!$R$3:$R$5001,BD!$B$3:$B$5001,L$233,BD!$A$3:$A$5001,_xlfn.MAXIFS(BD!$A$3:$A$5001,BD!$B$3:$B$5001,L$233,BD!$A$3:$A$5001,"&gt;="&amp;$C$7,BD!$A$3:$A$5001,"&lt;="&amp;$B237,BD!$R$3:$R$5001,"&lt;&gt;"))))</f>
        <v/>
      </c>
      <c r="M237" s="54" t="str">
        <f>IF(OR($B237="",$A237&gt;$B$9,M$233=""),"",IF(COUNTIFS(BD!$B$3:$B$5001,M$233,BD!$A$3:$A$5001,"&gt;="&amp;$C$7,BD!$A$3:$A$5001,"&lt;="&amp;$B237,BD!$R$3:$R$5001,"&lt;&gt;")=0,"",SUMIFS(BD!$R$3:$R$5001,BD!$B$3:$B$5001,M$233,BD!$A$3:$A$5001,_xlfn.MAXIFS(BD!$A$3:$A$5001,BD!$B$3:$B$5001,M$233,BD!$A$3:$A$5001,"&gt;="&amp;$C$7,BD!$A$3:$A$5001,"&lt;="&amp;$B237,BD!$R$3:$R$5001,"&lt;&gt;"))))</f>
        <v/>
      </c>
      <c r="N237" s="54" t="str">
        <f>IF(OR($B237="",$A237&gt;$B$9,N$233=""),"",IF(COUNTIFS(BD!$B$3:$B$5001,N$233,BD!$A$3:$A$5001,"&gt;="&amp;$C$7,BD!$A$3:$A$5001,"&lt;="&amp;$B237,BD!$R$3:$R$5001,"&lt;&gt;")=0,"",SUMIFS(BD!$R$3:$R$5001,BD!$B$3:$B$5001,N$233,BD!$A$3:$A$5001,_xlfn.MAXIFS(BD!$A$3:$A$5001,BD!$B$3:$B$5001,N$233,BD!$A$3:$A$5001,"&gt;="&amp;$C$7,BD!$A$3:$A$5001,"&lt;="&amp;$B237,BD!$R$3:$R$5001,"&lt;&gt;"))))</f>
        <v/>
      </c>
      <c r="O237" s="54" t="str">
        <f>IF(OR($B237="",$A237&gt;$B$9,O$233=""),"",IF(COUNTIFS(BD!$B$3:$B$5001,O$233,BD!$A$3:$A$5001,"&gt;="&amp;$C$7,BD!$A$3:$A$5001,"&lt;="&amp;$B237,BD!$R$3:$R$5001,"&lt;&gt;")=0,"",SUMIFS(BD!$R$3:$R$5001,BD!$B$3:$B$5001,O$233,BD!$A$3:$A$5001,_xlfn.MAXIFS(BD!$A$3:$A$5001,BD!$B$3:$B$5001,O$233,BD!$A$3:$A$5001,"&gt;="&amp;$C$7,BD!$A$3:$A$5001,"&lt;="&amp;$B237,BD!$R$3:$R$5001,"&lt;&gt;"))))</f>
        <v/>
      </c>
      <c r="P237" s="54" t="str">
        <f>IF(OR($B237="",$A237&gt;$B$9,P$233=""),"",IF(COUNTIFS(BD!$B$3:$B$5001,P$233,BD!$A$3:$A$5001,"&gt;="&amp;$C$7,BD!$A$3:$A$5001,"&lt;="&amp;$B237,BD!$R$3:$R$5001,"&lt;&gt;")=0,"",SUMIFS(BD!$R$3:$R$5001,BD!$B$3:$B$5001,P$233,BD!$A$3:$A$5001,_xlfn.MAXIFS(BD!$A$3:$A$5001,BD!$B$3:$B$5001,P$233,BD!$A$3:$A$5001,"&gt;="&amp;$C$7,BD!$A$3:$A$5001,"&lt;="&amp;$B237,BD!$R$3:$R$5001,"&lt;&gt;"))))</f>
        <v/>
      </c>
      <c r="Q237" s="54" t="str">
        <f>IF(OR($B237="",$A237&gt;$B$9,Q$233=""),"",IF(COUNTIFS(BD!$B$3:$B$5001,Q$233,BD!$A$3:$A$5001,"&gt;="&amp;$C$7,BD!$A$3:$A$5001,"&lt;="&amp;$B237,BD!$R$3:$R$5001,"&lt;&gt;")=0,"",SUMIFS(BD!$R$3:$R$5001,BD!$B$3:$B$5001,Q$233,BD!$A$3:$A$5001,_xlfn.MAXIFS(BD!$A$3:$A$5001,BD!$B$3:$B$5001,Q$233,BD!$A$3:$A$5001,"&gt;="&amp;$C$7,BD!$A$3:$A$5001,"&lt;="&amp;$B237,BD!$R$3:$R$5001,"&lt;&gt;"))))</f>
        <v/>
      </c>
      <c r="R237" s="54" t="str">
        <f>IF(OR($B237="",$A237&gt;$B$9,R$233=""),"",IF(COUNTIFS(BD!$B$3:$B$5001,R$233,BD!$A$3:$A$5001,"&gt;="&amp;$C$7,BD!$A$3:$A$5001,"&lt;="&amp;$B237,BD!$R$3:$R$5001,"&lt;&gt;")=0,"",SUMIFS(BD!$R$3:$R$5001,BD!$B$3:$B$5001,R$233,BD!$A$3:$A$5001,_xlfn.MAXIFS(BD!$A$3:$A$5001,BD!$B$3:$B$5001,R$233,BD!$A$3:$A$5001,"&gt;="&amp;$C$7,BD!$A$3:$A$5001,"&lt;="&amp;$B237,BD!$R$3:$R$5001,"&lt;&gt;"))))</f>
        <v/>
      </c>
      <c r="S237" s="54" t="str">
        <f>IF(OR($B237="",$A237&gt;$B$9,S$233=""),"",IF(COUNTIFS(BD!$B$3:$B$5001,S$233,BD!$A$3:$A$5001,"&gt;="&amp;$C$7,BD!$A$3:$A$5001,"&lt;="&amp;$B237,BD!$R$3:$R$5001,"&lt;&gt;")=0,"",SUMIFS(BD!$R$3:$R$5001,BD!$B$3:$B$5001,S$233,BD!$A$3:$A$5001,_xlfn.MAXIFS(BD!$A$3:$A$5001,BD!$B$3:$B$5001,S$233,BD!$A$3:$A$5001,"&gt;="&amp;$C$7,BD!$A$3:$A$5001,"&lt;="&amp;$B237,BD!$R$3:$R$5001,"&lt;&gt;"))))</f>
        <v/>
      </c>
      <c r="T237" s="54" t="str">
        <f>IF(OR($B237="",$A237&gt;$B$9,T$233=""),"",IF(COUNTIFS(BD!$B$3:$B$5001,T$233,BD!$A$3:$A$5001,"&gt;="&amp;$C$7,BD!$A$3:$A$5001,"&lt;="&amp;$B237,BD!$R$3:$R$5001,"&lt;&gt;")=0,"",SUMIFS(BD!$R$3:$R$5001,BD!$B$3:$B$5001,T$233,BD!$A$3:$A$5001,_xlfn.MAXIFS(BD!$A$3:$A$5001,BD!$B$3:$B$5001,T$233,BD!$A$3:$A$5001,"&gt;="&amp;$C$7,BD!$A$3:$A$5001,"&lt;="&amp;$B237,BD!$R$3:$R$5001,"&lt;&gt;"))))</f>
        <v/>
      </c>
      <c r="U237" s="54" t="str">
        <f>IF(OR($B237="",$A237&gt;$B$9,U$233=""),"",IF(COUNTIFS(BD!$B$3:$B$5001,U$233,BD!$A$3:$A$5001,"&gt;="&amp;$C$7,BD!$A$3:$A$5001,"&lt;="&amp;$B237,BD!$R$3:$R$5001,"&lt;&gt;")=0,"",SUMIFS(BD!$R$3:$R$5001,BD!$B$3:$B$5001,U$233,BD!$A$3:$A$5001,_xlfn.MAXIFS(BD!$A$3:$A$5001,BD!$B$3:$B$5001,U$233,BD!$A$3:$A$5001,"&gt;="&amp;$C$7,BD!$A$3:$A$5001,"&lt;="&amp;$B237,BD!$R$3:$R$5001,"&lt;&gt;"))))</f>
        <v/>
      </c>
      <c r="V237" s="54" t="str">
        <f>IF(OR($B237="",$A237&gt;$B$9,V$233=""),"",IF(COUNTIFS(BD!$B$3:$B$5001,V$233,BD!$A$3:$A$5001,"&gt;="&amp;$C$7,BD!$A$3:$A$5001,"&lt;="&amp;$B237,BD!$R$3:$R$5001,"&lt;&gt;")=0,"",SUMIFS(BD!$R$3:$R$5001,BD!$B$3:$B$5001,V$233,BD!$A$3:$A$5001,_xlfn.MAXIFS(BD!$A$3:$A$5001,BD!$B$3:$B$5001,V$233,BD!$A$3:$A$5001,"&gt;="&amp;$C$7,BD!$A$3:$A$5001,"&lt;="&amp;$B237,BD!$R$3:$R$5001,"&lt;&gt;"))))</f>
        <v/>
      </c>
    </row>
    <row r="238">
      <c r="A238" s="48">
        <v>5</v>
      </c>
      <c r="B238" s="53">
        <f>$B$16</f>
        <v>46300</v>
      </c>
      <c r="C238" s="54" t="str">
        <f>IF(OR($B238="",$A238&gt;$B$9,C$233=""),"",IF(COUNTIFS(BD!$B$3:$B$5001,C$233,BD!$A$3:$A$5001,"&gt;="&amp;$C$7,BD!$A$3:$A$5001,"&lt;="&amp;$B238,BD!$R$3:$R$5001,"&lt;&gt;")=0,"",SUMIFS(BD!$R$3:$R$5001,BD!$B$3:$B$5001,C$233,BD!$A$3:$A$5001,_xlfn.MAXIFS(BD!$A$3:$A$5001,BD!$B$3:$B$5001,C$233,BD!$A$3:$A$5001,"&gt;="&amp;$C$7,BD!$A$3:$A$5001,"&lt;="&amp;$B238,BD!$R$3:$R$5001,"&lt;&gt;"))))</f>
        <v/>
      </c>
      <c r="D238" s="54" t="str">
        <f>IF(OR($B238="",$A238&gt;$B$9,D$233=""),"",IF(COUNTIFS(BD!$B$3:$B$5001,D$233,BD!$A$3:$A$5001,"&gt;="&amp;$C$7,BD!$A$3:$A$5001,"&lt;="&amp;$B238,BD!$R$3:$R$5001,"&lt;&gt;")=0,"",SUMIFS(BD!$R$3:$R$5001,BD!$B$3:$B$5001,D$233,BD!$A$3:$A$5001,_xlfn.MAXIFS(BD!$A$3:$A$5001,BD!$B$3:$B$5001,D$233,BD!$A$3:$A$5001,"&gt;="&amp;$C$7,BD!$A$3:$A$5001,"&lt;="&amp;$B238,BD!$R$3:$R$5001,"&lt;&gt;"))))</f>
        <v/>
      </c>
      <c r="E238" s="54" t="str">
        <f>IF(OR($B238="",$A238&gt;$B$9,E$233=""),"",IF(COUNTIFS(BD!$B$3:$B$5001,E$233,BD!$A$3:$A$5001,"&gt;="&amp;$C$7,BD!$A$3:$A$5001,"&lt;="&amp;$B238,BD!$R$3:$R$5001,"&lt;&gt;")=0,"",SUMIFS(BD!$R$3:$R$5001,BD!$B$3:$B$5001,E$233,BD!$A$3:$A$5001,_xlfn.MAXIFS(BD!$A$3:$A$5001,BD!$B$3:$B$5001,E$233,BD!$A$3:$A$5001,"&gt;="&amp;$C$7,BD!$A$3:$A$5001,"&lt;="&amp;$B238,BD!$R$3:$R$5001,"&lt;&gt;"))))</f>
        <v/>
      </c>
      <c r="F238" s="54" t="str">
        <f>IF(OR($B238="",$A238&gt;$B$9,F$233=""),"",IF(COUNTIFS(BD!$B$3:$B$5001,F$233,BD!$A$3:$A$5001,"&gt;="&amp;$C$7,BD!$A$3:$A$5001,"&lt;="&amp;$B238,BD!$R$3:$R$5001,"&lt;&gt;")=0,"",SUMIFS(BD!$R$3:$R$5001,BD!$B$3:$B$5001,F$233,BD!$A$3:$A$5001,_xlfn.MAXIFS(BD!$A$3:$A$5001,BD!$B$3:$B$5001,F$233,BD!$A$3:$A$5001,"&gt;="&amp;$C$7,BD!$A$3:$A$5001,"&lt;="&amp;$B238,BD!$R$3:$R$5001,"&lt;&gt;"))))</f>
        <v/>
      </c>
      <c r="G238" s="54" t="str">
        <f>IF(OR($B238="",$A238&gt;$B$9,G$233=""),"",IF(COUNTIFS(BD!$B$3:$B$5001,G$233,BD!$A$3:$A$5001,"&gt;="&amp;$C$7,BD!$A$3:$A$5001,"&lt;="&amp;$B238,BD!$R$3:$R$5001,"&lt;&gt;")=0,"",SUMIFS(BD!$R$3:$R$5001,BD!$B$3:$B$5001,G$233,BD!$A$3:$A$5001,_xlfn.MAXIFS(BD!$A$3:$A$5001,BD!$B$3:$B$5001,G$233,BD!$A$3:$A$5001,"&gt;="&amp;$C$7,BD!$A$3:$A$5001,"&lt;="&amp;$B238,BD!$R$3:$R$5001,"&lt;&gt;"))))</f>
        <v/>
      </c>
      <c r="H238" s="54" t="str">
        <f>IF(OR($B238="",$A238&gt;$B$9,H$233=""),"",IF(COUNTIFS(BD!$B$3:$B$5001,H$233,BD!$A$3:$A$5001,"&gt;="&amp;$C$7,BD!$A$3:$A$5001,"&lt;="&amp;$B238,BD!$R$3:$R$5001,"&lt;&gt;")=0,"",SUMIFS(BD!$R$3:$R$5001,BD!$B$3:$B$5001,H$233,BD!$A$3:$A$5001,_xlfn.MAXIFS(BD!$A$3:$A$5001,BD!$B$3:$B$5001,H$233,BD!$A$3:$A$5001,"&gt;="&amp;$C$7,BD!$A$3:$A$5001,"&lt;="&amp;$B238,BD!$R$3:$R$5001,"&lt;&gt;"))))</f>
        <v/>
      </c>
      <c r="I238" s="54" t="str">
        <f>IF(OR($B238="",$A238&gt;$B$9,I$233=""),"",IF(COUNTIFS(BD!$B$3:$B$5001,I$233,BD!$A$3:$A$5001,"&gt;="&amp;$C$7,BD!$A$3:$A$5001,"&lt;="&amp;$B238,BD!$R$3:$R$5001,"&lt;&gt;")=0,"",SUMIFS(BD!$R$3:$R$5001,BD!$B$3:$B$5001,I$233,BD!$A$3:$A$5001,_xlfn.MAXIFS(BD!$A$3:$A$5001,BD!$B$3:$B$5001,I$233,BD!$A$3:$A$5001,"&gt;="&amp;$C$7,BD!$A$3:$A$5001,"&lt;="&amp;$B238,BD!$R$3:$R$5001,"&lt;&gt;"))))</f>
        <v/>
      </c>
      <c r="J238" s="54" t="str">
        <f>IF(OR($B238="",$A238&gt;$B$9,J$233=""),"",IF(COUNTIFS(BD!$B$3:$B$5001,J$233,BD!$A$3:$A$5001,"&gt;="&amp;$C$7,BD!$A$3:$A$5001,"&lt;="&amp;$B238,BD!$R$3:$R$5001,"&lt;&gt;")=0,"",SUMIFS(BD!$R$3:$R$5001,BD!$B$3:$B$5001,J$233,BD!$A$3:$A$5001,_xlfn.MAXIFS(BD!$A$3:$A$5001,BD!$B$3:$B$5001,J$233,BD!$A$3:$A$5001,"&gt;="&amp;$C$7,BD!$A$3:$A$5001,"&lt;="&amp;$B238,BD!$R$3:$R$5001,"&lt;&gt;"))))</f>
        <v/>
      </c>
      <c r="K238" s="54" t="str">
        <f>IF(OR($B238="",$A238&gt;$B$9,K$233=""),"",IF(COUNTIFS(BD!$B$3:$B$5001,K$233,BD!$A$3:$A$5001,"&gt;="&amp;$C$7,BD!$A$3:$A$5001,"&lt;="&amp;$B238,BD!$R$3:$R$5001,"&lt;&gt;")=0,"",SUMIFS(BD!$R$3:$R$5001,BD!$B$3:$B$5001,K$233,BD!$A$3:$A$5001,_xlfn.MAXIFS(BD!$A$3:$A$5001,BD!$B$3:$B$5001,K$233,BD!$A$3:$A$5001,"&gt;="&amp;$C$7,BD!$A$3:$A$5001,"&lt;="&amp;$B238,BD!$R$3:$R$5001,"&lt;&gt;"))))</f>
        <v/>
      </c>
      <c r="L238" s="54" t="str">
        <f>IF(OR($B238="",$A238&gt;$B$9,L$233=""),"",IF(COUNTIFS(BD!$B$3:$B$5001,L$233,BD!$A$3:$A$5001,"&gt;="&amp;$C$7,BD!$A$3:$A$5001,"&lt;="&amp;$B238,BD!$R$3:$R$5001,"&lt;&gt;")=0,"",SUMIFS(BD!$R$3:$R$5001,BD!$B$3:$B$5001,L$233,BD!$A$3:$A$5001,_xlfn.MAXIFS(BD!$A$3:$A$5001,BD!$B$3:$B$5001,L$233,BD!$A$3:$A$5001,"&gt;="&amp;$C$7,BD!$A$3:$A$5001,"&lt;="&amp;$B238,BD!$R$3:$R$5001,"&lt;&gt;"))))</f>
        <v/>
      </c>
      <c r="M238" s="54" t="str">
        <f>IF(OR($B238="",$A238&gt;$B$9,M$233=""),"",IF(COUNTIFS(BD!$B$3:$B$5001,M$233,BD!$A$3:$A$5001,"&gt;="&amp;$C$7,BD!$A$3:$A$5001,"&lt;="&amp;$B238,BD!$R$3:$R$5001,"&lt;&gt;")=0,"",SUMIFS(BD!$R$3:$R$5001,BD!$B$3:$B$5001,M$233,BD!$A$3:$A$5001,_xlfn.MAXIFS(BD!$A$3:$A$5001,BD!$B$3:$B$5001,M$233,BD!$A$3:$A$5001,"&gt;="&amp;$C$7,BD!$A$3:$A$5001,"&lt;="&amp;$B238,BD!$R$3:$R$5001,"&lt;&gt;"))))</f>
        <v/>
      </c>
      <c r="N238" s="54" t="str">
        <f>IF(OR($B238="",$A238&gt;$B$9,N$233=""),"",IF(COUNTIFS(BD!$B$3:$B$5001,N$233,BD!$A$3:$A$5001,"&gt;="&amp;$C$7,BD!$A$3:$A$5001,"&lt;="&amp;$B238,BD!$R$3:$R$5001,"&lt;&gt;")=0,"",SUMIFS(BD!$R$3:$R$5001,BD!$B$3:$B$5001,N$233,BD!$A$3:$A$5001,_xlfn.MAXIFS(BD!$A$3:$A$5001,BD!$B$3:$B$5001,N$233,BD!$A$3:$A$5001,"&gt;="&amp;$C$7,BD!$A$3:$A$5001,"&lt;="&amp;$B238,BD!$R$3:$R$5001,"&lt;&gt;"))))</f>
        <v/>
      </c>
      <c r="O238" s="54" t="str">
        <f>IF(OR($B238="",$A238&gt;$B$9,O$233=""),"",IF(COUNTIFS(BD!$B$3:$B$5001,O$233,BD!$A$3:$A$5001,"&gt;="&amp;$C$7,BD!$A$3:$A$5001,"&lt;="&amp;$B238,BD!$R$3:$R$5001,"&lt;&gt;")=0,"",SUMIFS(BD!$R$3:$R$5001,BD!$B$3:$B$5001,O$233,BD!$A$3:$A$5001,_xlfn.MAXIFS(BD!$A$3:$A$5001,BD!$B$3:$B$5001,O$233,BD!$A$3:$A$5001,"&gt;="&amp;$C$7,BD!$A$3:$A$5001,"&lt;="&amp;$B238,BD!$R$3:$R$5001,"&lt;&gt;"))))</f>
        <v/>
      </c>
      <c r="P238" s="54" t="str">
        <f>IF(OR($B238="",$A238&gt;$B$9,P$233=""),"",IF(COUNTIFS(BD!$B$3:$B$5001,P$233,BD!$A$3:$A$5001,"&gt;="&amp;$C$7,BD!$A$3:$A$5001,"&lt;="&amp;$B238,BD!$R$3:$R$5001,"&lt;&gt;")=0,"",SUMIFS(BD!$R$3:$R$5001,BD!$B$3:$B$5001,P$233,BD!$A$3:$A$5001,_xlfn.MAXIFS(BD!$A$3:$A$5001,BD!$B$3:$B$5001,P$233,BD!$A$3:$A$5001,"&gt;="&amp;$C$7,BD!$A$3:$A$5001,"&lt;="&amp;$B238,BD!$R$3:$R$5001,"&lt;&gt;"))))</f>
        <v/>
      </c>
      <c r="Q238" s="54" t="str">
        <f>IF(OR($B238="",$A238&gt;$B$9,Q$233=""),"",IF(COUNTIFS(BD!$B$3:$B$5001,Q$233,BD!$A$3:$A$5001,"&gt;="&amp;$C$7,BD!$A$3:$A$5001,"&lt;="&amp;$B238,BD!$R$3:$R$5001,"&lt;&gt;")=0,"",SUMIFS(BD!$R$3:$R$5001,BD!$B$3:$B$5001,Q$233,BD!$A$3:$A$5001,_xlfn.MAXIFS(BD!$A$3:$A$5001,BD!$B$3:$B$5001,Q$233,BD!$A$3:$A$5001,"&gt;="&amp;$C$7,BD!$A$3:$A$5001,"&lt;="&amp;$B238,BD!$R$3:$R$5001,"&lt;&gt;"))))</f>
        <v/>
      </c>
      <c r="R238" s="54" t="str">
        <f>IF(OR($B238="",$A238&gt;$B$9,R$233=""),"",IF(COUNTIFS(BD!$B$3:$B$5001,R$233,BD!$A$3:$A$5001,"&gt;="&amp;$C$7,BD!$A$3:$A$5001,"&lt;="&amp;$B238,BD!$R$3:$R$5001,"&lt;&gt;")=0,"",SUMIFS(BD!$R$3:$R$5001,BD!$B$3:$B$5001,R$233,BD!$A$3:$A$5001,_xlfn.MAXIFS(BD!$A$3:$A$5001,BD!$B$3:$B$5001,R$233,BD!$A$3:$A$5001,"&gt;="&amp;$C$7,BD!$A$3:$A$5001,"&lt;="&amp;$B238,BD!$R$3:$R$5001,"&lt;&gt;"))))</f>
        <v/>
      </c>
      <c r="S238" s="54" t="str">
        <f>IF(OR($B238="",$A238&gt;$B$9,S$233=""),"",IF(COUNTIFS(BD!$B$3:$B$5001,S$233,BD!$A$3:$A$5001,"&gt;="&amp;$C$7,BD!$A$3:$A$5001,"&lt;="&amp;$B238,BD!$R$3:$R$5001,"&lt;&gt;")=0,"",SUMIFS(BD!$R$3:$R$5001,BD!$B$3:$B$5001,S$233,BD!$A$3:$A$5001,_xlfn.MAXIFS(BD!$A$3:$A$5001,BD!$B$3:$B$5001,S$233,BD!$A$3:$A$5001,"&gt;="&amp;$C$7,BD!$A$3:$A$5001,"&lt;="&amp;$B238,BD!$R$3:$R$5001,"&lt;&gt;"))))</f>
        <v/>
      </c>
      <c r="T238" s="54" t="str">
        <f>IF(OR($B238="",$A238&gt;$B$9,T$233=""),"",IF(COUNTIFS(BD!$B$3:$B$5001,T$233,BD!$A$3:$A$5001,"&gt;="&amp;$C$7,BD!$A$3:$A$5001,"&lt;="&amp;$B238,BD!$R$3:$R$5001,"&lt;&gt;")=0,"",SUMIFS(BD!$R$3:$R$5001,BD!$B$3:$B$5001,T$233,BD!$A$3:$A$5001,_xlfn.MAXIFS(BD!$A$3:$A$5001,BD!$B$3:$B$5001,T$233,BD!$A$3:$A$5001,"&gt;="&amp;$C$7,BD!$A$3:$A$5001,"&lt;="&amp;$B238,BD!$R$3:$R$5001,"&lt;&gt;"))))</f>
        <v/>
      </c>
      <c r="U238" s="54" t="str">
        <f>IF(OR($B238="",$A238&gt;$B$9,U$233=""),"",IF(COUNTIFS(BD!$B$3:$B$5001,U$233,BD!$A$3:$A$5001,"&gt;="&amp;$C$7,BD!$A$3:$A$5001,"&lt;="&amp;$B238,BD!$R$3:$R$5001,"&lt;&gt;")=0,"",SUMIFS(BD!$R$3:$R$5001,BD!$B$3:$B$5001,U$233,BD!$A$3:$A$5001,_xlfn.MAXIFS(BD!$A$3:$A$5001,BD!$B$3:$B$5001,U$233,BD!$A$3:$A$5001,"&gt;="&amp;$C$7,BD!$A$3:$A$5001,"&lt;="&amp;$B238,BD!$R$3:$R$5001,"&lt;&gt;"))))</f>
        <v/>
      </c>
      <c r="V238" s="54" t="str">
        <f>IF(OR($B238="",$A238&gt;$B$9,V$233=""),"",IF(COUNTIFS(BD!$B$3:$B$5001,V$233,BD!$A$3:$A$5001,"&gt;="&amp;$C$7,BD!$A$3:$A$5001,"&lt;="&amp;$B238,BD!$R$3:$R$5001,"&lt;&gt;")=0,"",SUMIFS(BD!$R$3:$R$5001,BD!$B$3:$B$5001,V$233,BD!$A$3:$A$5001,_xlfn.MAXIFS(BD!$A$3:$A$5001,BD!$B$3:$B$5001,V$233,BD!$A$3:$A$5001,"&gt;="&amp;$C$7,BD!$A$3:$A$5001,"&lt;="&amp;$B238,BD!$R$3:$R$5001,"&lt;&gt;"))))</f>
        <v/>
      </c>
    </row>
    <row r="239">
      <c r="A239" s="48">
        <v>6</v>
      </c>
      <c r="B239" s="53">
        <f>$B$17</f>
        <v>46301</v>
      </c>
      <c r="C239" s="54" t="str">
        <f>IF(OR($B239="",$A239&gt;$B$9,C$233=""),"",IF(COUNTIFS(BD!$B$3:$B$5001,C$233,BD!$A$3:$A$5001,"&gt;="&amp;$C$7,BD!$A$3:$A$5001,"&lt;="&amp;$B239,BD!$R$3:$R$5001,"&lt;&gt;")=0,"",SUMIFS(BD!$R$3:$R$5001,BD!$B$3:$B$5001,C$233,BD!$A$3:$A$5001,_xlfn.MAXIFS(BD!$A$3:$A$5001,BD!$B$3:$B$5001,C$233,BD!$A$3:$A$5001,"&gt;="&amp;$C$7,BD!$A$3:$A$5001,"&lt;="&amp;$B239,BD!$R$3:$R$5001,"&lt;&gt;"))))</f>
        <v/>
      </c>
      <c r="D239" s="54" t="str">
        <f>IF(OR($B239="",$A239&gt;$B$9,D$233=""),"",IF(COUNTIFS(BD!$B$3:$B$5001,D$233,BD!$A$3:$A$5001,"&gt;="&amp;$C$7,BD!$A$3:$A$5001,"&lt;="&amp;$B239,BD!$R$3:$R$5001,"&lt;&gt;")=0,"",SUMIFS(BD!$R$3:$R$5001,BD!$B$3:$B$5001,D$233,BD!$A$3:$A$5001,_xlfn.MAXIFS(BD!$A$3:$A$5001,BD!$B$3:$B$5001,D$233,BD!$A$3:$A$5001,"&gt;="&amp;$C$7,BD!$A$3:$A$5001,"&lt;="&amp;$B239,BD!$R$3:$R$5001,"&lt;&gt;"))))</f>
        <v/>
      </c>
      <c r="E239" s="54" t="str">
        <f>IF(OR($B239="",$A239&gt;$B$9,E$233=""),"",IF(COUNTIFS(BD!$B$3:$B$5001,E$233,BD!$A$3:$A$5001,"&gt;="&amp;$C$7,BD!$A$3:$A$5001,"&lt;="&amp;$B239,BD!$R$3:$R$5001,"&lt;&gt;")=0,"",SUMIFS(BD!$R$3:$R$5001,BD!$B$3:$B$5001,E$233,BD!$A$3:$A$5001,_xlfn.MAXIFS(BD!$A$3:$A$5001,BD!$B$3:$B$5001,E$233,BD!$A$3:$A$5001,"&gt;="&amp;$C$7,BD!$A$3:$A$5001,"&lt;="&amp;$B239,BD!$R$3:$R$5001,"&lt;&gt;"))))</f>
        <v/>
      </c>
      <c r="F239" s="54" t="str">
        <f>IF(OR($B239="",$A239&gt;$B$9,F$233=""),"",IF(COUNTIFS(BD!$B$3:$B$5001,F$233,BD!$A$3:$A$5001,"&gt;="&amp;$C$7,BD!$A$3:$A$5001,"&lt;="&amp;$B239,BD!$R$3:$R$5001,"&lt;&gt;")=0,"",SUMIFS(BD!$R$3:$R$5001,BD!$B$3:$B$5001,F$233,BD!$A$3:$A$5001,_xlfn.MAXIFS(BD!$A$3:$A$5001,BD!$B$3:$B$5001,F$233,BD!$A$3:$A$5001,"&gt;="&amp;$C$7,BD!$A$3:$A$5001,"&lt;="&amp;$B239,BD!$R$3:$R$5001,"&lt;&gt;"))))</f>
        <v/>
      </c>
      <c r="G239" s="54" t="str">
        <f>IF(OR($B239="",$A239&gt;$B$9,G$233=""),"",IF(COUNTIFS(BD!$B$3:$B$5001,G$233,BD!$A$3:$A$5001,"&gt;="&amp;$C$7,BD!$A$3:$A$5001,"&lt;="&amp;$B239,BD!$R$3:$R$5001,"&lt;&gt;")=0,"",SUMIFS(BD!$R$3:$R$5001,BD!$B$3:$B$5001,G$233,BD!$A$3:$A$5001,_xlfn.MAXIFS(BD!$A$3:$A$5001,BD!$B$3:$B$5001,G$233,BD!$A$3:$A$5001,"&gt;="&amp;$C$7,BD!$A$3:$A$5001,"&lt;="&amp;$B239,BD!$R$3:$R$5001,"&lt;&gt;"))))</f>
        <v/>
      </c>
      <c r="H239" s="54" t="str">
        <f>IF(OR($B239="",$A239&gt;$B$9,H$233=""),"",IF(COUNTIFS(BD!$B$3:$B$5001,H$233,BD!$A$3:$A$5001,"&gt;="&amp;$C$7,BD!$A$3:$A$5001,"&lt;="&amp;$B239,BD!$R$3:$R$5001,"&lt;&gt;")=0,"",SUMIFS(BD!$R$3:$R$5001,BD!$B$3:$B$5001,H$233,BD!$A$3:$A$5001,_xlfn.MAXIFS(BD!$A$3:$A$5001,BD!$B$3:$B$5001,H$233,BD!$A$3:$A$5001,"&gt;="&amp;$C$7,BD!$A$3:$A$5001,"&lt;="&amp;$B239,BD!$R$3:$R$5001,"&lt;&gt;"))))</f>
        <v/>
      </c>
      <c r="I239" s="54" t="str">
        <f>IF(OR($B239="",$A239&gt;$B$9,I$233=""),"",IF(COUNTIFS(BD!$B$3:$B$5001,I$233,BD!$A$3:$A$5001,"&gt;="&amp;$C$7,BD!$A$3:$A$5001,"&lt;="&amp;$B239,BD!$R$3:$R$5001,"&lt;&gt;")=0,"",SUMIFS(BD!$R$3:$R$5001,BD!$B$3:$B$5001,I$233,BD!$A$3:$A$5001,_xlfn.MAXIFS(BD!$A$3:$A$5001,BD!$B$3:$B$5001,I$233,BD!$A$3:$A$5001,"&gt;="&amp;$C$7,BD!$A$3:$A$5001,"&lt;="&amp;$B239,BD!$R$3:$R$5001,"&lt;&gt;"))))</f>
        <v/>
      </c>
      <c r="J239" s="54" t="str">
        <f>IF(OR($B239="",$A239&gt;$B$9,J$233=""),"",IF(COUNTIFS(BD!$B$3:$B$5001,J$233,BD!$A$3:$A$5001,"&gt;="&amp;$C$7,BD!$A$3:$A$5001,"&lt;="&amp;$B239,BD!$R$3:$R$5001,"&lt;&gt;")=0,"",SUMIFS(BD!$R$3:$R$5001,BD!$B$3:$B$5001,J$233,BD!$A$3:$A$5001,_xlfn.MAXIFS(BD!$A$3:$A$5001,BD!$B$3:$B$5001,J$233,BD!$A$3:$A$5001,"&gt;="&amp;$C$7,BD!$A$3:$A$5001,"&lt;="&amp;$B239,BD!$R$3:$R$5001,"&lt;&gt;"))))</f>
        <v/>
      </c>
      <c r="K239" s="54" t="str">
        <f>IF(OR($B239="",$A239&gt;$B$9,K$233=""),"",IF(COUNTIFS(BD!$B$3:$B$5001,K$233,BD!$A$3:$A$5001,"&gt;="&amp;$C$7,BD!$A$3:$A$5001,"&lt;="&amp;$B239,BD!$R$3:$R$5001,"&lt;&gt;")=0,"",SUMIFS(BD!$R$3:$R$5001,BD!$B$3:$B$5001,K$233,BD!$A$3:$A$5001,_xlfn.MAXIFS(BD!$A$3:$A$5001,BD!$B$3:$B$5001,K$233,BD!$A$3:$A$5001,"&gt;="&amp;$C$7,BD!$A$3:$A$5001,"&lt;="&amp;$B239,BD!$R$3:$R$5001,"&lt;&gt;"))))</f>
        <v/>
      </c>
      <c r="L239" s="54" t="str">
        <f>IF(OR($B239="",$A239&gt;$B$9,L$233=""),"",IF(COUNTIFS(BD!$B$3:$B$5001,L$233,BD!$A$3:$A$5001,"&gt;="&amp;$C$7,BD!$A$3:$A$5001,"&lt;="&amp;$B239,BD!$R$3:$R$5001,"&lt;&gt;")=0,"",SUMIFS(BD!$R$3:$R$5001,BD!$B$3:$B$5001,L$233,BD!$A$3:$A$5001,_xlfn.MAXIFS(BD!$A$3:$A$5001,BD!$B$3:$B$5001,L$233,BD!$A$3:$A$5001,"&gt;="&amp;$C$7,BD!$A$3:$A$5001,"&lt;="&amp;$B239,BD!$R$3:$R$5001,"&lt;&gt;"))))</f>
        <v/>
      </c>
      <c r="M239" s="54" t="str">
        <f>IF(OR($B239="",$A239&gt;$B$9,M$233=""),"",IF(COUNTIFS(BD!$B$3:$B$5001,M$233,BD!$A$3:$A$5001,"&gt;="&amp;$C$7,BD!$A$3:$A$5001,"&lt;="&amp;$B239,BD!$R$3:$R$5001,"&lt;&gt;")=0,"",SUMIFS(BD!$R$3:$R$5001,BD!$B$3:$B$5001,M$233,BD!$A$3:$A$5001,_xlfn.MAXIFS(BD!$A$3:$A$5001,BD!$B$3:$B$5001,M$233,BD!$A$3:$A$5001,"&gt;="&amp;$C$7,BD!$A$3:$A$5001,"&lt;="&amp;$B239,BD!$R$3:$R$5001,"&lt;&gt;"))))</f>
        <v/>
      </c>
      <c r="N239" s="54" t="str">
        <f>IF(OR($B239="",$A239&gt;$B$9,N$233=""),"",IF(COUNTIFS(BD!$B$3:$B$5001,N$233,BD!$A$3:$A$5001,"&gt;="&amp;$C$7,BD!$A$3:$A$5001,"&lt;="&amp;$B239,BD!$R$3:$R$5001,"&lt;&gt;")=0,"",SUMIFS(BD!$R$3:$R$5001,BD!$B$3:$B$5001,N$233,BD!$A$3:$A$5001,_xlfn.MAXIFS(BD!$A$3:$A$5001,BD!$B$3:$B$5001,N$233,BD!$A$3:$A$5001,"&gt;="&amp;$C$7,BD!$A$3:$A$5001,"&lt;="&amp;$B239,BD!$R$3:$R$5001,"&lt;&gt;"))))</f>
        <v/>
      </c>
      <c r="O239" s="54" t="str">
        <f>IF(OR($B239="",$A239&gt;$B$9,O$233=""),"",IF(COUNTIFS(BD!$B$3:$B$5001,O$233,BD!$A$3:$A$5001,"&gt;="&amp;$C$7,BD!$A$3:$A$5001,"&lt;="&amp;$B239,BD!$R$3:$R$5001,"&lt;&gt;")=0,"",SUMIFS(BD!$R$3:$R$5001,BD!$B$3:$B$5001,O$233,BD!$A$3:$A$5001,_xlfn.MAXIFS(BD!$A$3:$A$5001,BD!$B$3:$B$5001,O$233,BD!$A$3:$A$5001,"&gt;="&amp;$C$7,BD!$A$3:$A$5001,"&lt;="&amp;$B239,BD!$R$3:$R$5001,"&lt;&gt;"))))</f>
        <v/>
      </c>
      <c r="P239" s="54" t="str">
        <f>IF(OR($B239="",$A239&gt;$B$9,P$233=""),"",IF(COUNTIFS(BD!$B$3:$B$5001,P$233,BD!$A$3:$A$5001,"&gt;="&amp;$C$7,BD!$A$3:$A$5001,"&lt;="&amp;$B239,BD!$R$3:$R$5001,"&lt;&gt;")=0,"",SUMIFS(BD!$R$3:$R$5001,BD!$B$3:$B$5001,P$233,BD!$A$3:$A$5001,_xlfn.MAXIFS(BD!$A$3:$A$5001,BD!$B$3:$B$5001,P$233,BD!$A$3:$A$5001,"&gt;="&amp;$C$7,BD!$A$3:$A$5001,"&lt;="&amp;$B239,BD!$R$3:$R$5001,"&lt;&gt;"))))</f>
        <v/>
      </c>
      <c r="Q239" s="54" t="str">
        <f>IF(OR($B239="",$A239&gt;$B$9,Q$233=""),"",IF(COUNTIFS(BD!$B$3:$B$5001,Q$233,BD!$A$3:$A$5001,"&gt;="&amp;$C$7,BD!$A$3:$A$5001,"&lt;="&amp;$B239,BD!$R$3:$R$5001,"&lt;&gt;")=0,"",SUMIFS(BD!$R$3:$R$5001,BD!$B$3:$B$5001,Q$233,BD!$A$3:$A$5001,_xlfn.MAXIFS(BD!$A$3:$A$5001,BD!$B$3:$B$5001,Q$233,BD!$A$3:$A$5001,"&gt;="&amp;$C$7,BD!$A$3:$A$5001,"&lt;="&amp;$B239,BD!$R$3:$R$5001,"&lt;&gt;"))))</f>
        <v/>
      </c>
      <c r="R239" s="54" t="str">
        <f>IF(OR($B239="",$A239&gt;$B$9,R$233=""),"",IF(COUNTIFS(BD!$B$3:$B$5001,R$233,BD!$A$3:$A$5001,"&gt;="&amp;$C$7,BD!$A$3:$A$5001,"&lt;="&amp;$B239,BD!$R$3:$R$5001,"&lt;&gt;")=0,"",SUMIFS(BD!$R$3:$R$5001,BD!$B$3:$B$5001,R$233,BD!$A$3:$A$5001,_xlfn.MAXIFS(BD!$A$3:$A$5001,BD!$B$3:$B$5001,R$233,BD!$A$3:$A$5001,"&gt;="&amp;$C$7,BD!$A$3:$A$5001,"&lt;="&amp;$B239,BD!$R$3:$R$5001,"&lt;&gt;"))))</f>
        <v/>
      </c>
      <c r="S239" s="54" t="str">
        <f>IF(OR($B239="",$A239&gt;$B$9,S$233=""),"",IF(COUNTIFS(BD!$B$3:$B$5001,S$233,BD!$A$3:$A$5001,"&gt;="&amp;$C$7,BD!$A$3:$A$5001,"&lt;="&amp;$B239,BD!$R$3:$R$5001,"&lt;&gt;")=0,"",SUMIFS(BD!$R$3:$R$5001,BD!$B$3:$B$5001,S$233,BD!$A$3:$A$5001,_xlfn.MAXIFS(BD!$A$3:$A$5001,BD!$B$3:$B$5001,S$233,BD!$A$3:$A$5001,"&gt;="&amp;$C$7,BD!$A$3:$A$5001,"&lt;="&amp;$B239,BD!$R$3:$R$5001,"&lt;&gt;"))))</f>
        <v/>
      </c>
      <c r="T239" s="54" t="str">
        <f>IF(OR($B239="",$A239&gt;$B$9,T$233=""),"",IF(COUNTIFS(BD!$B$3:$B$5001,T$233,BD!$A$3:$A$5001,"&gt;="&amp;$C$7,BD!$A$3:$A$5001,"&lt;="&amp;$B239,BD!$R$3:$R$5001,"&lt;&gt;")=0,"",SUMIFS(BD!$R$3:$R$5001,BD!$B$3:$B$5001,T$233,BD!$A$3:$A$5001,_xlfn.MAXIFS(BD!$A$3:$A$5001,BD!$B$3:$B$5001,T$233,BD!$A$3:$A$5001,"&gt;="&amp;$C$7,BD!$A$3:$A$5001,"&lt;="&amp;$B239,BD!$R$3:$R$5001,"&lt;&gt;"))))</f>
        <v/>
      </c>
      <c r="U239" s="54" t="str">
        <f>IF(OR($B239="",$A239&gt;$B$9,U$233=""),"",IF(COUNTIFS(BD!$B$3:$B$5001,U$233,BD!$A$3:$A$5001,"&gt;="&amp;$C$7,BD!$A$3:$A$5001,"&lt;="&amp;$B239,BD!$R$3:$R$5001,"&lt;&gt;")=0,"",SUMIFS(BD!$R$3:$R$5001,BD!$B$3:$B$5001,U$233,BD!$A$3:$A$5001,_xlfn.MAXIFS(BD!$A$3:$A$5001,BD!$B$3:$B$5001,U$233,BD!$A$3:$A$5001,"&gt;="&amp;$C$7,BD!$A$3:$A$5001,"&lt;="&amp;$B239,BD!$R$3:$R$5001,"&lt;&gt;"))))</f>
        <v/>
      </c>
      <c r="V239" s="54" t="str">
        <f>IF(OR($B239="",$A239&gt;$B$9,V$233=""),"",IF(COUNTIFS(BD!$B$3:$B$5001,V$233,BD!$A$3:$A$5001,"&gt;="&amp;$C$7,BD!$A$3:$A$5001,"&lt;="&amp;$B239,BD!$R$3:$R$5001,"&lt;&gt;")=0,"",SUMIFS(BD!$R$3:$R$5001,BD!$B$3:$B$5001,V$233,BD!$A$3:$A$5001,_xlfn.MAXIFS(BD!$A$3:$A$5001,BD!$B$3:$B$5001,V$233,BD!$A$3:$A$5001,"&gt;="&amp;$C$7,BD!$A$3:$A$5001,"&lt;="&amp;$B239,BD!$R$3:$R$5001,"&lt;&gt;"))))</f>
        <v/>
      </c>
    </row>
    <row r="240">
      <c r="A240" s="48">
        <v>7</v>
      </c>
      <c r="B240" s="53">
        <f>$B$18</f>
        <v>46302</v>
      </c>
      <c r="C240" s="54" t="str">
        <f>IF(OR($B240="",$A240&gt;$B$9,C$233=""),"",IF(COUNTIFS(BD!$B$3:$B$5001,C$233,BD!$A$3:$A$5001,"&gt;="&amp;$C$7,BD!$A$3:$A$5001,"&lt;="&amp;$B240,BD!$R$3:$R$5001,"&lt;&gt;")=0,"",SUMIFS(BD!$R$3:$R$5001,BD!$B$3:$B$5001,C$233,BD!$A$3:$A$5001,_xlfn.MAXIFS(BD!$A$3:$A$5001,BD!$B$3:$B$5001,C$233,BD!$A$3:$A$5001,"&gt;="&amp;$C$7,BD!$A$3:$A$5001,"&lt;="&amp;$B240,BD!$R$3:$R$5001,"&lt;&gt;"))))</f>
        <v/>
      </c>
      <c r="D240" s="54" t="str">
        <f>IF(OR($B240="",$A240&gt;$B$9,D$233=""),"",IF(COUNTIFS(BD!$B$3:$B$5001,D$233,BD!$A$3:$A$5001,"&gt;="&amp;$C$7,BD!$A$3:$A$5001,"&lt;="&amp;$B240,BD!$R$3:$R$5001,"&lt;&gt;")=0,"",SUMIFS(BD!$R$3:$R$5001,BD!$B$3:$B$5001,D$233,BD!$A$3:$A$5001,_xlfn.MAXIFS(BD!$A$3:$A$5001,BD!$B$3:$B$5001,D$233,BD!$A$3:$A$5001,"&gt;="&amp;$C$7,BD!$A$3:$A$5001,"&lt;="&amp;$B240,BD!$R$3:$R$5001,"&lt;&gt;"))))</f>
        <v/>
      </c>
      <c r="E240" s="54" t="str">
        <f>IF(OR($B240="",$A240&gt;$B$9,E$233=""),"",IF(COUNTIFS(BD!$B$3:$B$5001,E$233,BD!$A$3:$A$5001,"&gt;="&amp;$C$7,BD!$A$3:$A$5001,"&lt;="&amp;$B240,BD!$R$3:$R$5001,"&lt;&gt;")=0,"",SUMIFS(BD!$R$3:$R$5001,BD!$B$3:$B$5001,E$233,BD!$A$3:$A$5001,_xlfn.MAXIFS(BD!$A$3:$A$5001,BD!$B$3:$B$5001,E$233,BD!$A$3:$A$5001,"&gt;="&amp;$C$7,BD!$A$3:$A$5001,"&lt;="&amp;$B240,BD!$R$3:$R$5001,"&lt;&gt;"))))</f>
        <v/>
      </c>
      <c r="F240" s="54" t="str">
        <f>IF(OR($B240="",$A240&gt;$B$9,F$233=""),"",IF(COUNTIFS(BD!$B$3:$B$5001,F$233,BD!$A$3:$A$5001,"&gt;="&amp;$C$7,BD!$A$3:$A$5001,"&lt;="&amp;$B240,BD!$R$3:$R$5001,"&lt;&gt;")=0,"",SUMIFS(BD!$R$3:$R$5001,BD!$B$3:$B$5001,F$233,BD!$A$3:$A$5001,_xlfn.MAXIFS(BD!$A$3:$A$5001,BD!$B$3:$B$5001,F$233,BD!$A$3:$A$5001,"&gt;="&amp;$C$7,BD!$A$3:$A$5001,"&lt;="&amp;$B240,BD!$R$3:$R$5001,"&lt;&gt;"))))</f>
        <v/>
      </c>
      <c r="G240" s="54" t="str">
        <f>IF(OR($B240="",$A240&gt;$B$9,G$233=""),"",IF(COUNTIFS(BD!$B$3:$B$5001,G$233,BD!$A$3:$A$5001,"&gt;="&amp;$C$7,BD!$A$3:$A$5001,"&lt;="&amp;$B240,BD!$R$3:$R$5001,"&lt;&gt;")=0,"",SUMIFS(BD!$R$3:$R$5001,BD!$B$3:$B$5001,G$233,BD!$A$3:$A$5001,_xlfn.MAXIFS(BD!$A$3:$A$5001,BD!$B$3:$B$5001,G$233,BD!$A$3:$A$5001,"&gt;="&amp;$C$7,BD!$A$3:$A$5001,"&lt;="&amp;$B240,BD!$R$3:$R$5001,"&lt;&gt;"))))</f>
        <v/>
      </c>
      <c r="H240" s="54" t="str">
        <f>IF(OR($B240="",$A240&gt;$B$9,H$233=""),"",IF(COUNTIFS(BD!$B$3:$B$5001,H$233,BD!$A$3:$A$5001,"&gt;="&amp;$C$7,BD!$A$3:$A$5001,"&lt;="&amp;$B240,BD!$R$3:$R$5001,"&lt;&gt;")=0,"",SUMIFS(BD!$R$3:$R$5001,BD!$B$3:$B$5001,H$233,BD!$A$3:$A$5001,_xlfn.MAXIFS(BD!$A$3:$A$5001,BD!$B$3:$B$5001,H$233,BD!$A$3:$A$5001,"&gt;="&amp;$C$7,BD!$A$3:$A$5001,"&lt;="&amp;$B240,BD!$R$3:$R$5001,"&lt;&gt;"))))</f>
        <v/>
      </c>
      <c r="I240" s="54" t="str">
        <f>IF(OR($B240="",$A240&gt;$B$9,I$233=""),"",IF(COUNTIFS(BD!$B$3:$B$5001,I$233,BD!$A$3:$A$5001,"&gt;="&amp;$C$7,BD!$A$3:$A$5001,"&lt;="&amp;$B240,BD!$R$3:$R$5001,"&lt;&gt;")=0,"",SUMIFS(BD!$R$3:$R$5001,BD!$B$3:$B$5001,I$233,BD!$A$3:$A$5001,_xlfn.MAXIFS(BD!$A$3:$A$5001,BD!$B$3:$B$5001,I$233,BD!$A$3:$A$5001,"&gt;="&amp;$C$7,BD!$A$3:$A$5001,"&lt;="&amp;$B240,BD!$R$3:$R$5001,"&lt;&gt;"))))</f>
        <v/>
      </c>
      <c r="J240" s="54" t="str">
        <f>IF(OR($B240="",$A240&gt;$B$9,J$233=""),"",IF(COUNTIFS(BD!$B$3:$B$5001,J$233,BD!$A$3:$A$5001,"&gt;="&amp;$C$7,BD!$A$3:$A$5001,"&lt;="&amp;$B240,BD!$R$3:$R$5001,"&lt;&gt;")=0,"",SUMIFS(BD!$R$3:$R$5001,BD!$B$3:$B$5001,J$233,BD!$A$3:$A$5001,_xlfn.MAXIFS(BD!$A$3:$A$5001,BD!$B$3:$B$5001,J$233,BD!$A$3:$A$5001,"&gt;="&amp;$C$7,BD!$A$3:$A$5001,"&lt;="&amp;$B240,BD!$R$3:$R$5001,"&lt;&gt;"))))</f>
        <v/>
      </c>
      <c r="K240" s="54" t="str">
        <f>IF(OR($B240="",$A240&gt;$B$9,K$233=""),"",IF(COUNTIFS(BD!$B$3:$B$5001,K$233,BD!$A$3:$A$5001,"&gt;="&amp;$C$7,BD!$A$3:$A$5001,"&lt;="&amp;$B240,BD!$R$3:$R$5001,"&lt;&gt;")=0,"",SUMIFS(BD!$R$3:$R$5001,BD!$B$3:$B$5001,K$233,BD!$A$3:$A$5001,_xlfn.MAXIFS(BD!$A$3:$A$5001,BD!$B$3:$B$5001,K$233,BD!$A$3:$A$5001,"&gt;="&amp;$C$7,BD!$A$3:$A$5001,"&lt;="&amp;$B240,BD!$R$3:$R$5001,"&lt;&gt;"))))</f>
        <v/>
      </c>
      <c r="L240" s="54" t="str">
        <f>IF(OR($B240="",$A240&gt;$B$9,L$233=""),"",IF(COUNTIFS(BD!$B$3:$B$5001,L$233,BD!$A$3:$A$5001,"&gt;="&amp;$C$7,BD!$A$3:$A$5001,"&lt;="&amp;$B240,BD!$R$3:$R$5001,"&lt;&gt;")=0,"",SUMIFS(BD!$R$3:$R$5001,BD!$B$3:$B$5001,L$233,BD!$A$3:$A$5001,_xlfn.MAXIFS(BD!$A$3:$A$5001,BD!$B$3:$B$5001,L$233,BD!$A$3:$A$5001,"&gt;="&amp;$C$7,BD!$A$3:$A$5001,"&lt;="&amp;$B240,BD!$R$3:$R$5001,"&lt;&gt;"))))</f>
        <v/>
      </c>
      <c r="M240" s="54" t="str">
        <f>IF(OR($B240="",$A240&gt;$B$9,M$233=""),"",IF(COUNTIFS(BD!$B$3:$B$5001,M$233,BD!$A$3:$A$5001,"&gt;="&amp;$C$7,BD!$A$3:$A$5001,"&lt;="&amp;$B240,BD!$R$3:$R$5001,"&lt;&gt;")=0,"",SUMIFS(BD!$R$3:$R$5001,BD!$B$3:$B$5001,M$233,BD!$A$3:$A$5001,_xlfn.MAXIFS(BD!$A$3:$A$5001,BD!$B$3:$B$5001,M$233,BD!$A$3:$A$5001,"&gt;="&amp;$C$7,BD!$A$3:$A$5001,"&lt;="&amp;$B240,BD!$R$3:$R$5001,"&lt;&gt;"))))</f>
        <v/>
      </c>
      <c r="N240" s="54" t="str">
        <f>IF(OR($B240="",$A240&gt;$B$9,N$233=""),"",IF(COUNTIFS(BD!$B$3:$B$5001,N$233,BD!$A$3:$A$5001,"&gt;="&amp;$C$7,BD!$A$3:$A$5001,"&lt;="&amp;$B240,BD!$R$3:$R$5001,"&lt;&gt;")=0,"",SUMIFS(BD!$R$3:$R$5001,BD!$B$3:$B$5001,N$233,BD!$A$3:$A$5001,_xlfn.MAXIFS(BD!$A$3:$A$5001,BD!$B$3:$B$5001,N$233,BD!$A$3:$A$5001,"&gt;="&amp;$C$7,BD!$A$3:$A$5001,"&lt;="&amp;$B240,BD!$R$3:$R$5001,"&lt;&gt;"))))</f>
        <v/>
      </c>
      <c r="O240" s="54" t="str">
        <f>IF(OR($B240="",$A240&gt;$B$9,O$233=""),"",IF(COUNTIFS(BD!$B$3:$B$5001,O$233,BD!$A$3:$A$5001,"&gt;="&amp;$C$7,BD!$A$3:$A$5001,"&lt;="&amp;$B240,BD!$R$3:$R$5001,"&lt;&gt;")=0,"",SUMIFS(BD!$R$3:$R$5001,BD!$B$3:$B$5001,O$233,BD!$A$3:$A$5001,_xlfn.MAXIFS(BD!$A$3:$A$5001,BD!$B$3:$B$5001,O$233,BD!$A$3:$A$5001,"&gt;="&amp;$C$7,BD!$A$3:$A$5001,"&lt;="&amp;$B240,BD!$R$3:$R$5001,"&lt;&gt;"))))</f>
        <v/>
      </c>
      <c r="P240" s="54" t="str">
        <f>IF(OR($B240="",$A240&gt;$B$9,P$233=""),"",IF(COUNTIFS(BD!$B$3:$B$5001,P$233,BD!$A$3:$A$5001,"&gt;="&amp;$C$7,BD!$A$3:$A$5001,"&lt;="&amp;$B240,BD!$R$3:$R$5001,"&lt;&gt;")=0,"",SUMIFS(BD!$R$3:$R$5001,BD!$B$3:$B$5001,P$233,BD!$A$3:$A$5001,_xlfn.MAXIFS(BD!$A$3:$A$5001,BD!$B$3:$B$5001,P$233,BD!$A$3:$A$5001,"&gt;="&amp;$C$7,BD!$A$3:$A$5001,"&lt;="&amp;$B240,BD!$R$3:$R$5001,"&lt;&gt;"))))</f>
        <v/>
      </c>
      <c r="Q240" s="54" t="str">
        <f>IF(OR($B240="",$A240&gt;$B$9,Q$233=""),"",IF(COUNTIFS(BD!$B$3:$B$5001,Q$233,BD!$A$3:$A$5001,"&gt;="&amp;$C$7,BD!$A$3:$A$5001,"&lt;="&amp;$B240,BD!$R$3:$R$5001,"&lt;&gt;")=0,"",SUMIFS(BD!$R$3:$R$5001,BD!$B$3:$B$5001,Q$233,BD!$A$3:$A$5001,_xlfn.MAXIFS(BD!$A$3:$A$5001,BD!$B$3:$B$5001,Q$233,BD!$A$3:$A$5001,"&gt;="&amp;$C$7,BD!$A$3:$A$5001,"&lt;="&amp;$B240,BD!$R$3:$R$5001,"&lt;&gt;"))))</f>
        <v/>
      </c>
      <c r="R240" s="54" t="str">
        <f>IF(OR($B240="",$A240&gt;$B$9,R$233=""),"",IF(COUNTIFS(BD!$B$3:$B$5001,R$233,BD!$A$3:$A$5001,"&gt;="&amp;$C$7,BD!$A$3:$A$5001,"&lt;="&amp;$B240,BD!$R$3:$R$5001,"&lt;&gt;")=0,"",SUMIFS(BD!$R$3:$R$5001,BD!$B$3:$B$5001,R$233,BD!$A$3:$A$5001,_xlfn.MAXIFS(BD!$A$3:$A$5001,BD!$B$3:$B$5001,R$233,BD!$A$3:$A$5001,"&gt;="&amp;$C$7,BD!$A$3:$A$5001,"&lt;="&amp;$B240,BD!$R$3:$R$5001,"&lt;&gt;"))))</f>
        <v/>
      </c>
      <c r="S240" s="54" t="str">
        <f>IF(OR($B240="",$A240&gt;$B$9,S$233=""),"",IF(COUNTIFS(BD!$B$3:$B$5001,S$233,BD!$A$3:$A$5001,"&gt;="&amp;$C$7,BD!$A$3:$A$5001,"&lt;="&amp;$B240,BD!$R$3:$R$5001,"&lt;&gt;")=0,"",SUMIFS(BD!$R$3:$R$5001,BD!$B$3:$B$5001,S$233,BD!$A$3:$A$5001,_xlfn.MAXIFS(BD!$A$3:$A$5001,BD!$B$3:$B$5001,S$233,BD!$A$3:$A$5001,"&gt;="&amp;$C$7,BD!$A$3:$A$5001,"&lt;="&amp;$B240,BD!$R$3:$R$5001,"&lt;&gt;"))))</f>
        <v/>
      </c>
      <c r="T240" s="54" t="str">
        <f>IF(OR($B240="",$A240&gt;$B$9,T$233=""),"",IF(COUNTIFS(BD!$B$3:$B$5001,T$233,BD!$A$3:$A$5001,"&gt;="&amp;$C$7,BD!$A$3:$A$5001,"&lt;="&amp;$B240,BD!$R$3:$R$5001,"&lt;&gt;")=0,"",SUMIFS(BD!$R$3:$R$5001,BD!$B$3:$B$5001,T$233,BD!$A$3:$A$5001,_xlfn.MAXIFS(BD!$A$3:$A$5001,BD!$B$3:$B$5001,T$233,BD!$A$3:$A$5001,"&gt;="&amp;$C$7,BD!$A$3:$A$5001,"&lt;="&amp;$B240,BD!$R$3:$R$5001,"&lt;&gt;"))))</f>
        <v/>
      </c>
      <c r="U240" s="54" t="str">
        <f>IF(OR($B240="",$A240&gt;$B$9,U$233=""),"",IF(COUNTIFS(BD!$B$3:$B$5001,U$233,BD!$A$3:$A$5001,"&gt;="&amp;$C$7,BD!$A$3:$A$5001,"&lt;="&amp;$B240,BD!$R$3:$R$5001,"&lt;&gt;")=0,"",SUMIFS(BD!$R$3:$R$5001,BD!$B$3:$B$5001,U$233,BD!$A$3:$A$5001,_xlfn.MAXIFS(BD!$A$3:$A$5001,BD!$B$3:$B$5001,U$233,BD!$A$3:$A$5001,"&gt;="&amp;$C$7,BD!$A$3:$A$5001,"&lt;="&amp;$B240,BD!$R$3:$R$5001,"&lt;&gt;"))))</f>
        <v/>
      </c>
      <c r="V240" s="54" t="str">
        <f>IF(OR($B240="",$A240&gt;$B$9,V$233=""),"",IF(COUNTIFS(BD!$B$3:$B$5001,V$233,BD!$A$3:$A$5001,"&gt;="&amp;$C$7,BD!$A$3:$A$5001,"&lt;="&amp;$B240,BD!$R$3:$R$5001,"&lt;&gt;")=0,"",SUMIFS(BD!$R$3:$R$5001,BD!$B$3:$B$5001,V$233,BD!$A$3:$A$5001,_xlfn.MAXIFS(BD!$A$3:$A$5001,BD!$B$3:$B$5001,V$233,BD!$A$3:$A$5001,"&gt;="&amp;$C$7,BD!$A$3:$A$5001,"&lt;="&amp;$B240,BD!$R$3:$R$5001,"&lt;&gt;"))))</f>
        <v/>
      </c>
    </row>
    <row r="241">
      <c r="A241" s="48">
        <v>8</v>
      </c>
      <c r="B241" s="53">
        <f>$B$19</f>
        <v>46303</v>
      </c>
      <c r="C241" s="54" t="str">
        <f>IF(OR($B241="",$A241&gt;$B$9,C$233=""),"",IF(COUNTIFS(BD!$B$3:$B$5001,C$233,BD!$A$3:$A$5001,"&gt;="&amp;$C$7,BD!$A$3:$A$5001,"&lt;="&amp;$B241,BD!$R$3:$R$5001,"&lt;&gt;")=0,"",SUMIFS(BD!$R$3:$R$5001,BD!$B$3:$B$5001,C$233,BD!$A$3:$A$5001,_xlfn.MAXIFS(BD!$A$3:$A$5001,BD!$B$3:$B$5001,C$233,BD!$A$3:$A$5001,"&gt;="&amp;$C$7,BD!$A$3:$A$5001,"&lt;="&amp;$B241,BD!$R$3:$R$5001,"&lt;&gt;"))))</f>
        <v/>
      </c>
      <c r="D241" s="54" t="str">
        <f>IF(OR($B241="",$A241&gt;$B$9,D$233=""),"",IF(COUNTIFS(BD!$B$3:$B$5001,D$233,BD!$A$3:$A$5001,"&gt;="&amp;$C$7,BD!$A$3:$A$5001,"&lt;="&amp;$B241,BD!$R$3:$R$5001,"&lt;&gt;")=0,"",SUMIFS(BD!$R$3:$R$5001,BD!$B$3:$B$5001,D$233,BD!$A$3:$A$5001,_xlfn.MAXIFS(BD!$A$3:$A$5001,BD!$B$3:$B$5001,D$233,BD!$A$3:$A$5001,"&gt;="&amp;$C$7,BD!$A$3:$A$5001,"&lt;="&amp;$B241,BD!$R$3:$R$5001,"&lt;&gt;"))))</f>
        <v/>
      </c>
      <c r="E241" s="54" t="str">
        <f>IF(OR($B241="",$A241&gt;$B$9,E$233=""),"",IF(COUNTIFS(BD!$B$3:$B$5001,E$233,BD!$A$3:$A$5001,"&gt;="&amp;$C$7,BD!$A$3:$A$5001,"&lt;="&amp;$B241,BD!$R$3:$R$5001,"&lt;&gt;")=0,"",SUMIFS(BD!$R$3:$R$5001,BD!$B$3:$B$5001,E$233,BD!$A$3:$A$5001,_xlfn.MAXIFS(BD!$A$3:$A$5001,BD!$B$3:$B$5001,E$233,BD!$A$3:$A$5001,"&gt;="&amp;$C$7,BD!$A$3:$A$5001,"&lt;="&amp;$B241,BD!$R$3:$R$5001,"&lt;&gt;"))))</f>
        <v/>
      </c>
      <c r="F241" s="54" t="str">
        <f>IF(OR($B241="",$A241&gt;$B$9,F$233=""),"",IF(COUNTIFS(BD!$B$3:$B$5001,F$233,BD!$A$3:$A$5001,"&gt;="&amp;$C$7,BD!$A$3:$A$5001,"&lt;="&amp;$B241,BD!$R$3:$R$5001,"&lt;&gt;")=0,"",SUMIFS(BD!$R$3:$R$5001,BD!$B$3:$B$5001,F$233,BD!$A$3:$A$5001,_xlfn.MAXIFS(BD!$A$3:$A$5001,BD!$B$3:$B$5001,F$233,BD!$A$3:$A$5001,"&gt;="&amp;$C$7,BD!$A$3:$A$5001,"&lt;="&amp;$B241,BD!$R$3:$R$5001,"&lt;&gt;"))))</f>
        <v/>
      </c>
      <c r="G241" s="54" t="str">
        <f>IF(OR($B241="",$A241&gt;$B$9,G$233=""),"",IF(COUNTIFS(BD!$B$3:$B$5001,G$233,BD!$A$3:$A$5001,"&gt;="&amp;$C$7,BD!$A$3:$A$5001,"&lt;="&amp;$B241,BD!$R$3:$R$5001,"&lt;&gt;")=0,"",SUMIFS(BD!$R$3:$R$5001,BD!$B$3:$B$5001,G$233,BD!$A$3:$A$5001,_xlfn.MAXIFS(BD!$A$3:$A$5001,BD!$B$3:$B$5001,G$233,BD!$A$3:$A$5001,"&gt;="&amp;$C$7,BD!$A$3:$A$5001,"&lt;="&amp;$B241,BD!$R$3:$R$5001,"&lt;&gt;"))))</f>
        <v/>
      </c>
      <c r="H241" s="54" t="str">
        <f>IF(OR($B241="",$A241&gt;$B$9,H$233=""),"",IF(COUNTIFS(BD!$B$3:$B$5001,H$233,BD!$A$3:$A$5001,"&gt;="&amp;$C$7,BD!$A$3:$A$5001,"&lt;="&amp;$B241,BD!$R$3:$R$5001,"&lt;&gt;")=0,"",SUMIFS(BD!$R$3:$R$5001,BD!$B$3:$B$5001,H$233,BD!$A$3:$A$5001,_xlfn.MAXIFS(BD!$A$3:$A$5001,BD!$B$3:$B$5001,H$233,BD!$A$3:$A$5001,"&gt;="&amp;$C$7,BD!$A$3:$A$5001,"&lt;="&amp;$B241,BD!$R$3:$R$5001,"&lt;&gt;"))))</f>
        <v/>
      </c>
      <c r="I241" s="54" t="str">
        <f>IF(OR($B241="",$A241&gt;$B$9,I$233=""),"",IF(COUNTIFS(BD!$B$3:$B$5001,I$233,BD!$A$3:$A$5001,"&gt;="&amp;$C$7,BD!$A$3:$A$5001,"&lt;="&amp;$B241,BD!$R$3:$R$5001,"&lt;&gt;")=0,"",SUMIFS(BD!$R$3:$R$5001,BD!$B$3:$B$5001,I$233,BD!$A$3:$A$5001,_xlfn.MAXIFS(BD!$A$3:$A$5001,BD!$B$3:$B$5001,I$233,BD!$A$3:$A$5001,"&gt;="&amp;$C$7,BD!$A$3:$A$5001,"&lt;="&amp;$B241,BD!$R$3:$R$5001,"&lt;&gt;"))))</f>
        <v/>
      </c>
      <c r="J241" s="54" t="str">
        <f>IF(OR($B241="",$A241&gt;$B$9,J$233=""),"",IF(COUNTIFS(BD!$B$3:$B$5001,J$233,BD!$A$3:$A$5001,"&gt;="&amp;$C$7,BD!$A$3:$A$5001,"&lt;="&amp;$B241,BD!$R$3:$R$5001,"&lt;&gt;")=0,"",SUMIFS(BD!$R$3:$R$5001,BD!$B$3:$B$5001,J$233,BD!$A$3:$A$5001,_xlfn.MAXIFS(BD!$A$3:$A$5001,BD!$B$3:$B$5001,J$233,BD!$A$3:$A$5001,"&gt;="&amp;$C$7,BD!$A$3:$A$5001,"&lt;="&amp;$B241,BD!$R$3:$R$5001,"&lt;&gt;"))))</f>
        <v/>
      </c>
      <c r="K241" s="54" t="str">
        <f>IF(OR($B241="",$A241&gt;$B$9,K$233=""),"",IF(COUNTIFS(BD!$B$3:$B$5001,K$233,BD!$A$3:$A$5001,"&gt;="&amp;$C$7,BD!$A$3:$A$5001,"&lt;="&amp;$B241,BD!$R$3:$R$5001,"&lt;&gt;")=0,"",SUMIFS(BD!$R$3:$R$5001,BD!$B$3:$B$5001,K$233,BD!$A$3:$A$5001,_xlfn.MAXIFS(BD!$A$3:$A$5001,BD!$B$3:$B$5001,K$233,BD!$A$3:$A$5001,"&gt;="&amp;$C$7,BD!$A$3:$A$5001,"&lt;="&amp;$B241,BD!$R$3:$R$5001,"&lt;&gt;"))))</f>
        <v/>
      </c>
      <c r="L241" s="54" t="str">
        <f>IF(OR($B241="",$A241&gt;$B$9,L$233=""),"",IF(COUNTIFS(BD!$B$3:$B$5001,L$233,BD!$A$3:$A$5001,"&gt;="&amp;$C$7,BD!$A$3:$A$5001,"&lt;="&amp;$B241,BD!$R$3:$R$5001,"&lt;&gt;")=0,"",SUMIFS(BD!$R$3:$R$5001,BD!$B$3:$B$5001,L$233,BD!$A$3:$A$5001,_xlfn.MAXIFS(BD!$A$3:$A$5001,BD!$B$3:$B$5001,L$233,BD!$A$3:$A$5001,"&gt;="&amp;$C$7,BD!$A$3:$A$5001,"&lt;="&amp;$B241,BD!$R$3:$R$5001,"&lt;&gt;"))))</f>
        <v/>
      </c>
      <c r="M241" s="54" t="str">
        <f>IF(OR($B241="",$A241&gt;$B$9,M$233=""),"",IF(COUNTIFS(BD!$B$3:$B$5001,M$233,BD!$A$3:$A$5001,"&gt;="&amp;$C$7,BD!$A$3:$A$5001,"&lt;="&amp;$B241,BD!$R$3:$R$5001,"&lt;&gt;")=0,"",SUMIFS(BD!$R$3:$R$5001,BD!$B$3:$B$5001,M$233,BD!$A$3:$A$5001,_xlfn.MAXIFS(BD!$A$3:$A$5001,BD!$B$3:$B$5001,M$233,BD!$A$3:$A$5001,"&gt;="&amp;$C$7,BD!$A$3:$A$5001,"&lt;="&amp;$B241,BD!$R$3:$R$5001,"&lt;&gt;"))))</f>
        <v/>
      </c>
      <c r="N241" s="54" t="str">
        <f>IF(OR($B241="",$A241&gt;$B$9,N$233=""),"",IF(COUNTIFS(BD!$B$3:$B$5001,N$233,BD!$A$3:$A$5001,"&gt;="&amp;$C$7,BD!$A$3:$A$5001,"&lt;="&amp;$B241,BD!$R$3:$R$5001,"&lt;&gt;")=0,"",SUMIFS(BD!$R$3:$R$5001,BD!$B$3:$B$5001,N$233,BD!$A$3:$A$5001,_xlfn.MAXIFS(BD!$A$3:$A$5001,BD!$B$3:$B$5001,N$233,BD!$A$3:$A$5001,"&gt;="&amp;$C$7,BD!$A$3:$A$5001,"&lt;="&amp;$B241,BD!$R$3:$R$5001,"&lt;&gt;"))))</f>
        <v/>
      </c>
      <c r="O241" s="54" t="str">
        <f>IF(OR($B241="",$A241&gt;$B$9,O$233=""),"",IF(COUNTIFS(BD!$B$3:$B$5001,O$233,BD!$A$3:$A$5001,"&gt;="&amp;$C$7,BD!$A$3:$A$5001,"&lt;="&amp;$B241,BD!$R$3:$R$5001,"&lt;&gt;")=0,"",SUMIFS(BD!$R$3:$R$5001,BD!$B$3:$B$5001,O$233,BD!$A$3:$A$5001,_xlfn.MAXIFS(BD!$A$3:$A$5001,BD!$B$3:$B$5001,O$233,BD!$A$3:$A$5001,"&gt;="&amp;$C$7,BD!$A$3:$A$5001,"&lt;="&amp;$B241,BD!$R$3:$R$5001,"&lt;&gt;"))))</f>
        <v/>
      </c>
      <c r="P241" s="54" t="str">
        <f>IF(OR($B241="",$A241&gt;$B$9,P$233=""),"",IF(COUNTIFS(BD!$B$3:$B$5001,P$233,BD!$A$3:$A$5001,"&gt;="&amp;$C$7,BD!$A$3:$A$5001,"&lt;="&amp;$B241,BD!$R$3:$R$5001,"&lt;&gt;")=0,"",SUMIFS(BD!$R$3:$R$5001,BD!$B$3:$B$5001,P$233,BD!$A$3:$A$5001,_xlfn.MAXIFS(BD!$A$3:$A$5001,BD!$B$3:$B$5001,P$233,BD!$A$3:$A$5001,"&gt;="&amp;$C$7,BD!$A$3:$A$5001,"&lt;="&amp;$B241,BD!$R$3:$R$5001,"&lt;&gt;"))))</f>
        <v/>
      </c>
      <c r="Q241" s="54" t="str">
        <f>IF(OR($B241="",$A241&gt;$B$9,Q$233=""),"",IF(COUNTIFS(BD!$B$3:$B$5001,Q$233,BD!$A$3:$A$5001,"&gt;="&amp;$C$7,BD!$A$3:$A$5001,"&lt;="&amp;$B241,BD!$R$3:$R$5001,"&lt;&gt;")=0,"",SUMIFS(BD!$R$3:$R$5001,BD!$B$3:$B$5001,Q$233,BD!$A$3:$A$5001,_xlfn.MAXIFS(BD!$A$3:$A$5001,BD!$B$3:$B$5001,Q$233,BD!$A$3:$A$5001,"&gt;="&amp;$C$7,BD!$A$3:$A$5001,"&lt;="&amp;$B241,BD!$R$3:$R$5001,"&lt;&gt;"))))</f>
        <v/>
      </c>
      <c r="R241" s="54" t="str">
        <f>IF(OR($B241="",$A241&gt;$B$9,R$233=""),"",IF(COUNTIFS(BD!$B$3:$B$5001,R$233,BD!$A$3:$A$5001,"&gt;="&amp;$C$7,BD!$A$3:$A$5001,"&lt;="&amp;$B241,BD!$R$3:$R$5001,"&lt;&gt;")=0,"",SUMIFS(BD!$R$3:$R$5001,BD!$B$3:$B$5001,R$233,BD!$A$3:$A$5001,_xlfn.MAXIFS(BD!$A$3:$A$5001,BD!$B$3:$B$5001,R$233,BD!$A$3:$A$5001,"&gt;="&amp;$C$7,BD!$A$3:$A$5001,"&lt;="&amp;$B241,BD!$R$3:$R$5001,"&lt;&gt;"))))</f>
        <v/>
      </c>
      <c r="S241" s="54" t="str">
        <f>IF(OR($B241="",$A241&gt;$B$9,S$233=""),"",IF(COUNTIFS(BD!$B$3:$B$5001,S$233,BD!$A$3:$A$5001,"&gt;="&amp;$C$7,BD!$A$3:$A$5001,"&lt;="&amp;$B241,BD!$R$3:$R$5001,"&lt;&gt;")=0,"",SUMIFS(BD!$R$3:$R$5001,BD!$B$3:$B$5001,S$233,BD!$A$3:$A$5001,_xlfn.MAXIFS(BD!$A$3:$A$5001,BD!$B$3:$B$5001,S$233,BD!$A$3:$A$5001,"&gt;="&amp;$C$7,BD!$A$3:$A$5001,"&lt;="&amp;$B241,BD!$R$3:$R$5001,"&lt;&gt;"))))</f>
        <v/>
      </c>
      <c r="T241" s="54" t="str">
        <f>IF(OR($B241="",$A241&gt;$B$9,T$233=""),"",IF(COUNTIFS(BD!$B$3:$B$5001,T$233,BD!$A$3:$A$5001,"&gt;="&amp;$C$7,BD!$A$3:$A$5001,"&lt;="&amp;$B241,BD!$R$3:$R$5001,"&lt;&gt;")=0,"",SUMIFS(BD!$R$3:$R$5001,BD!$B$3:$B$5001,T$233,BD!$A$3:$A$5001,_xlfn.MAXIFS(BD!$A$3:$A$5001,BD!$B$3:$B$5001,T$233,BD!$A$3:$A$5001,"&gt;="&amp;$C$7,BD!$A$3:$A$5001,"&lt;="&amp;$B241,BD!$R$3:$R$5001,"&lt;&gt;"))))</f>
        <v/>
      </c>
      <c r="U241" s="54" t="str">
        <f>IF(OR($B241="",$A241&gt;$B$9,U$233=""),"",IF(COUNTIFS(BD!$B$3:$B$5001,U$233,BD!$A$3:$A$5001,"&gt;="&amp;$C$7,BD!$A$3:$A$5001,"&lt;="&amp;$B241,BD!$R$3:$R$5001,"&lt;&gt;")=0,"",SUMIFS(BD!$R$3:$R$5001,BD!$B$3:$B$5001,U$233,BD!$A$3:$A$5001,_xlfn.MAXIFS(BD!$A$3:$A$5001,BD!$B$3:$B$5001,U$233,BD!$A$3:$A$5001,"&gt;="&amp;$C$7,BD!$A$3:$A$5001,"&lt;="&amp;$B241,BD!$R$3:$R$5001,"&lt;&gt;"))))</f>
        <v/>
      </c>
      <c r="V241" s="54" t="str">
        <f>IF(OR($B241="",$A241&gt;$B$9,V$233=""),"",IF(COUNTIFS(BD!$B$3:$B$5001,V$233,BD!$A$3:$A$5001,"&gt;="&amp;$C$7,BD!$A$3:$A$5001,"&lt;="&amp;$B241,BD!$R$3:$R$5001,"&lt;&gt;")=0,"",SUMIFS(BD!$R$3:$R$5001,BD!$B$3:$B$5001,V$233,BD!$A$3:$A$5001,_xlfn.MAXIFS(BD!$A$3:$A$5001,BD!$B$3:$B$5001,V$233,BD!$A$3:$A$5001,"&gt;="&amp;$C$7,BD!$A$3:$A$5001,"&lt;="&amp;$B241,BD!$R$3:$R$5001,"&lt;&gt;"))))</f>
        <v/>
      </c>
    </row>
    <row r="242">
      <c r="A242" s="48">
        <v>9</v>
      </c>
      <c r="B242" s="53">
        <f>$B$20</f>
        <v>46304</v>
      </c>
      <c r="C242" s="54" t="str">
        <f>IF(OR($B242="",$A242&gt;$B$9,C$233=""),"",IF(COUNTIFS(BD!$B$3:$B$5001,C$233,BD!$A$3:$A$5001,"&gt;="&amp;$C$7,BD!$A$3:$A$5001,"&lt;="&amp;$B242,BD!$R$3:$R$5001,"&lt;&gt;")=0,"",SUMIFS(BD!$R$3:$R$5001,BD!$B$3:$B$5001,C$233,BD!$A$3:$A$5001,_xlfn.MAXIFS(BD!$A$3:$A$5001,BD!$B$3:$B$5001,C$233,BD!$A$3:$A$5001,"&gt;="&amp;$C$7,BD!$A$3:$A$5001,"&lt;="&amp;$B242,BD!$R$3:$R$5001,"&lt;&gt;"))))</f>
        <v/>
      </c>
      <c r="D242" s="54" t="str">
        <f>IF(OR($B242="",$A242&gt;$B$9,D$233=""),"",IF(COUNTIFS(BD!$B$3:$B$5001,D$233,BD!$A$3:$A$5001,"&gt;="&amp;$C$7,BD!$A$3:$A$5001,"&lt;="&amp;$B242,BD!$R$3:$R$5001,"&lt;&gt;")=0,"",SUMIFS(BD!$R$3:$R$5001,BD!$B$3:$B$5001,D$233,BD!$A$3:$A$5001,_xlfn.MAXIFS(BD!$A$3:$A$5001,BD!$B$3:$B$5001,D$233,BD!$A$3:$A$5001,"&gt;="&amp;$C$7,BD!$A$3:$A$5001,"&lt;="&amp;$B242,BD!$R$3:$R$5001,"&lt;&gt;"))))</f>
        <v/>
      </c>
      <c r="E242" s="54" t="str">
        <f>IF(OR($B242="",$A242&gt;$B$9,E$233=""),"",IF(COUNTIFS(BD!$B$3:$B$5001,E$233,BD!$A$3:$A$5001,"&gt;="&amp;$C$7,BD!$A$3:$A$5001,"&lt;="&amp;$B242,BD!$R$3:$R$5001,"&lt;&gt;")=0,"",SUMIFS(BD!$R$3:$R$5001,BD!$B$3:$B$5001,E$233,BD!$A$3:$A$5001,_xlfn.MAXIFS(BD!$A$3:$A$5001,BD!$B$3:$B$5001,E$233,BD!$A$3:$A$5001,"&gt;="&amp;$C$7,BD!$A$3:$A$5001,"&lt;="&amp;$B242,BD!$R$3:$R$5001,"&lt;&gt;"))))</f>
        <v/>
      </c>
      <c r="F242" s="54" t="str">
        <f>IF(OR($B242="",$A242&gt;$B$9,F$233=""),"",IF(COUNTIFS(BD!$B$3:$B$5001,F$233,BD!$A$3:$A$5001,"&gt;="&amp;$C$7,BD!$A$3:$A$5001,"&lt;="&amp;$B242,BD!$R$3:$R$5001,"&lt;&gt;")=0,"",SUMIFS(BD!$R$3:$R$5001,BD!$B$3:$B$5001,F$233,BD!$A$3:$A$5001,_xlfn.MAXIFS(BD!$A$3:$A$5001,BD!$B$3:$B$5001,F$233,BD!$A$3:$A$5001,"&gt;="&amp;$C$7,BD!$A$3:$A$5001,"&lt;="&amp;$B242,BD!$R$3:$R$5001,"&lt;&gt;"))))</f>
        <v/>
      </c>
      <c r="G242" s="54" t="str">
        <f>IF(OR($B242="",$A242&gt;$B$9,G$233=""),"",IF(COUNTIFS(BD!$B$3:$B$5001,G$233,BD!$A$3:$A$5001,"&gt;="&amp;$C$7,BD!$A$3:$A$5001,"&lt;="&amp;$B242,BD!$R$3:$R$5001,"&lt;&gt;")=0,"",SUMIFS(BD!$R$3:$R$5001,BD!$B$3:$B$5001,G$233,BD!$A$3:$A$5001,_xlfn.MAXIFS(BD!$A$3:$A$5001,BD!$B$3:$B$5001,G$233,BD!$A$3:$A$5001,"&gt;="&amp;$C$7,BD!$A$3:$A$5001,"&lt;="&amp;$B242,BD!$R$3:$R$5001,"&lt;&gt;"))))</f>
        <v/>
      </c>
      <c r="H242" s="54" t="str">
        <f>IF(OR($B242="",$A242&gt;$B$9,H$233=""),"",IF(COUNTIFS(BD!$B$3:$B$5001,H$233,BD!$A$3:$A$5001,"&gt;="&amp;$C$7,BD!$A$3:$A$5001,"&lt;="&amp;$B242,BD!$R$3:$R$5001,"&lt;&gt;")=0,"",SUMIFS(BD!$R$3:$R$5001,BD!$B$3:$B$5001,H$233,BD!$A$3:$A$5001,_xlfn.MAXIFS(BD!$A$3:$A$5001,BD!$B$3:$B$5001,H$233,BD!$A$3:$A$5001,"&gt;="&amp;$C$7,BD!$A$3:$A$5001,"&lt;="&amp;$B242,BD!$R$3:$R$5001,"&lt;&gt;"))))</f>
        <v/>
      </c>
      <c r="I242" s="54" t="str">
        <f>IF(OR($B242="",$A242&gt;$B$9,I$233=""),"",IF(COUNTIFS(BD!$B$3:$B$5001,I$233,BD!$A$3:$A$5001,"&gt;="&amp;$C$7,BD!$A$3:$A$5001,"&lt;="&amp;$B242,BD!$R$3:$R$5001,"&lt;&gt;")=0,"",SUMIFS(BD!$R$3:$R$5001,BD!$B$3:$B$5001,I$233,BD!$A$3:$A$5001,_xlfn.MAXIFS(BD!$A$3:$A$5001,BD!$B$3:$B$5001,I$233,BD!$A$3:$A$5001,"&gt;="&amp;$C$7,BD!$A$3:$A$5001,"&lt;="&amp;$B242,BD!$R$3:$R$5001,"&lt;&gt;"))))</f>
        <v/>
      </c>
      <c r="J242" s="54" t="str">
        <f>IF(OR($B242="",$A242&gt;$B$9,J$233=""),"",IF(COUNTIFS(BD!$B$3:$B$5001,J$233,BD!$A$3:$A$5001,"&gt;="&amp;$C$7,BD!$A$3:$A$5001,"&lt;="&amp;$B242,BD!$R$3:$R$5001,"&lt;&gt;")=0,"",SUMIFS(BD!$R$3:$R$5001,BD!$B$3:$B$5001,J$233,BD!$A$3:$A$5001,_xlfn.MAXIFS(BD!$A$3:$A$5001,BD!$B$3:$B$5001,J$233,BD!$A$3:$A$5001,"&gt;="&amp;$C$7,BD!$A$3:$A$5001,"&lt;="&amp;$B242,BD!$R$3:$R$5001,"&lt;&gt;"))))</f>
        <v/>
      </c>
      <c r="K242" s="54" t="str">
        <f>IF(OR($B242="",$A242&gt;$B$9,K$233=""),"",IF(COUNTIFS(BD!$B$3:$B$5001,K$233,BD!$A$3:$A$5001,"&gt;="&amp;$C$7,BD!$A$3:$A$5001,"&lt;="&amp;$B242,BD!$R$3:$R$5001,"&lt;&gt;")=0,"",SUMIFS(BD!$R$3:$R$5001,BD!$B$3:$B$5001,K$233,BD!$A$3:$A$5001,_xlfn.MAXIFS(BD!$A$3:$A$5001,BD!$B$3:$B$5001,K$233,BD!$A$3:$A$5001,"&gt;="&amp;$C$7,BD!$A$3:$A$5001,"&lt;="&amp;$B242,BD!$R$3:$R$5001,"&lt;&gt;"))))</f>
        <v/>
      </c>
      <c r="L242" s="54" t="str">
        <f>IF(OR($B242="",$A242&gt;$B$9,L$233=""),"",IF(COUNTIFS(BD!$B$3:$B$5001,L$233,BD!$A$3:$A$5001,"&gt;="&amp;$C$7,BD!$A$3:$A$5001,"&lt;="&amp;$B242,BD!$R$3:$R$5001,"&lt;&gt;")=0,"",SUMIFS(BD!$R$3:$R$5001,BD!$B$3:$B$5001,L$233,BD!$A$3:$A$5001,_xlfn.MAXIFS(BD!$A$3:$A$5001,BD!$B$3:$B$5001,L$233,BD!$A$3:$A$5001,"&gt;="&amp;$C$7,BD!$A$3:$A$5001,"&lt;="&amp;$B242,BD!$R$3:$R$5001,"&lt;&gt;"))))</f>
        <v/>
      </c>
      <c r="M242" s="54" t="str">
        <f>IF(OR($B242="",$A242&gt;$B$9,M$233=""),"",IF(COUNTIFS(BD!$B$3:$B$5001,M$233,BD!$A$3:$A$5001,"&gt;="&amp;$C$7,BD!$A$3:$A$5001,"&lt;="&amp;$B242,BD!$R$3:$R$5001,"&lt;&gt;")=0,"",SUMIFS(BD!$R$3:$R$5001,BD!$B$3:$B$5001,M$233,BD!$A$3:$A$5001,_xlfn.MAXIFS(BD!$A$3:$A$5001,BD!$B$3:$B$5001,M$233,BD!$A$3:$A$5001,"&gt;="&amp;$C$7,BD!$A$3:$A$5001,"&lt;="&amp;$B242,BD!$R$3:$R$5001,"&lt;&gt;"))))</f>
        <v/>
      </c>
      <c r="N242" s="54" t="str">
        <f>IF(OR($B242="",$A242&gt;$B$9,N$233=""),"",IF(COUNTIFS(BD!$B$3:$B$5001,N$233,BD!$A$3:$A$5001,"&gt;="&amp;$C$7,BD!$A$3:$A$5001,"&lt;="&amp;$B242,BD!$R$3:$R$5001,"&lt;&gt;")=0,"",SUMIFS(BD!$R$3:$R$5001,BD!$B$3:$B$5001,N$233,BD!$A$3:$A$5001,_xlfn.MAXIFS(BD!$A$3:$A$5001,BD!$B$3:$B$5001,N$233,BD!$A$3:$A$5001,"&gt;="&amp;$C$7,BD!$A$3:$A$5001,"&lt;="&amp;$B242,BD!$R$3:$R$5001,"&lt;&gt;"))))</f>
        <v/>
      </c>
      <c r="O242" s="54" t="str">
        <f>IF(OR($B242="",$A242&gt;$B$9,O$233=""),"",IF(COUNTIFS(BD!$B$3:$B$5001,O$233,BD!$A$3:$A$5001,"&gt;="&amp;$C$7,BD!$A$3:$A$5001,"&lt;="&amp;$B242,BD!$R$3:$R$5001,"&lt;&gt;")=0,"",SUMIFS(BD!$R$3:$R$5001,BD!$B$3:$B$5001,O$233,BD!$A$3:$A$5001,_xlfn.MAXIFS(BD!$A$3:$A$5001,BD!$B$3:$B$5001,O$233,BD!$A$3:$A$5001,"&gt;="&amp;$C$7,BD!$A$3:$A$5001,"&lt;="&amp;$B242,BD!$R$3:$R$5001,"&lt;&gt;"))))</f>
        <v/>
      </c>
      <c r="P242" s="54" t="str">
        <f>IF(OR($B242="",$A242&gt;$B$9,P$233=""),"",IF(COUNTIFS(BD!$B$3:$B$5001,P$233,BD!$A$3:$A$5001,"&gt;="&amp;$C$7,BD!$A$3:$A$5001,"&lt;="&amp;$B242,BD!$R$3:$R$5001,"&lt;&gt;")=0,"",SUMIFS(BD!$R$3:$R$5001,BD!$B$3:$B$5001,P$233,BD!$A$3:$A$5001,_xlfn.MAXIFS(BD!$A$3:$A$5001,BD!$B$3:$B$5001,P$233,BD!$A$3:$A$5001,"&gt;="&amp;$C$7,BD!$A$3:$A$5001,"&lt;="&amp;$B242,BD!$R$3:$R$5001,"&lt;&gt;"))))</f>
        <v/>
      </c>
      <c r="Q242" s="54" t="str">
        <f>IF(OR($B242="",$A242&gt;$B$9,Q$233=""),"",IF(COUNTIFS(BD!$B$3:$B$5001,Q$233,BD!$A$3:$A$5001,"&gt;="&amp;$C$7,BD!$A$3:$A$5001,"&lt;="&amp;$B242,BD!$R$3:$R$5001,"&lt;&gt;")=0,"",SUMIFS(BD!$R$3:$R$5001,BD!$B$3:$B$5001,Q$233,BD!$A$3:$A$5001,_xlfn.MAXIFS(BD!$A$3:$A$5001,BD!$B$3:$B$5001,Q$233,BD!$A$3:$A$5001,"&gt;="&amp;$C$7,BD!$A$3:$A$5001,"&lt;="&amp;$B242,BD!$R$3:$R$5001,"&lt;&gt;"))))</f>
        <v/>
      </c>
      <c r="R242" s="54" t="str">
        <f>IF(OR($B242="",$A242&gt;$B$9,R$233=""),"",IF(COUNTIFS(BD!$B$3:$B$5001,R$233,BD!$A$3:$A$5001,"&gt;="&amp;$C$7,BD!$A$3:$A$5001,"&lt;="&amp;$B242,BD!$R$3:$R$5001,"&lt;&gt;")=0,"",SUMIFS(BD!$R$3:$R$5001,BD!$B$3:$B$5001,R$233,BD!$A$3:$A$5001,_xlfn.MAXIFS(BD!$A$3:$A$5001,BD!$B$3:$B$5001,R$233,BD!$A$3:$A$5001,"&gt;="&amp;$C$7,BD!$A$3:$A$5001,"&lt;="&amp;$B242,BD!$R$3:$R$5001,"&lt;&gt;"))))</f>
        <v/>
      </c>
      <c r="S242" s="54" t="str">
        <f>IF(OR($B242="",$A242&gt;$B$9,S$233=""),"",IF(COUNTIFS(BD!$B$3:$B$5001,S$233,BD!$A$3:$A$5001,"&gt;="&amp;$C$7,BD!$A$3:$A$5001,"&lt;="&amp;$B242,BD!$R$3:$R$5001,"&lt;&gt;")=0,"",SUMIFS(BD!$R$3:$R$5001,BD!$B$3:$B$5001,S$233,BD!$A$3:$A$5001,_xlfn.MAXIFS(BD!$A$3:$A$5001,BD!$B$3:$B$5001,S$233,BD!$A$3:$A$5001,"&gt;="&amp;$C$7,BD!$A$3:$A$5001,"&lt;="&amp;$B242,BD!$R$3:$R$5001,"&lt;&gt;"))))</f>
        <v/>
      </c>
      <c r="T242" s="54" t="str">
        <f>IF(OR($B242="",$A242&gt;$B$9,T$233=""),"",IF(COUNTIFS(BD!$B$3:$B$5001,T$233,BD!$A$3:$A$5001,"&gt;="&amp;$C$7,BD!$A$3:$A$5001,"&lt;="&amp;$B242,BD!$R$3:$R$5001,"&lt;&gt;")=0,"",SUMIFS(BD!$R$3:$R$5001,BD!$B$3:$B$5001,T$233,BD!$A$3:$A$5001,_xlfn.MAXIFS(BD!$A$3:$A$5001,BD!$B$3:$B$5001,T$233,BD!$A$3:$A$5001,"&gt;="&amp;$C$7,BD!$A$3:$A$5001,"&lt;="&amp;$B242,BD!$R$3:$R$5001,"&lt;&gt;"))))</f>
        <v/>
      </c>
      <c r="U242" s="54" t="str">
        <f>IF(OR($B242="",$A242&gt;$B$9,U$233=""),"",IF(COUNTIFS(BD!$B$3:$B$5001,U$233,BD!$A$3:$A$5001,"&gt;="&amp;$C$7,BD!$A$3:$A$5001,"&lt;="&amp;$B242,BD!$R$3:$R$5001,"&lt;&gt;")=0,"",SUMIFS(BD!$R$3:$R$5001,BD!$B$3:$B$5001,U$233,BD!$A$3:$A$5001,_xlfn.MAXIFS(BD!$A$3:$A$5001,BD!$B$3:$B$5001,U$233,BD!$A$3:$A$5001,"&gt;="&amp;$C$7,BD!$A$3:$A$5001,"&lt;="&amp;$B242,BD!$R$3:$R$5001,"&lt;&gt;"))))</f>
        <v/>
      </c>
      <c r="V242" s="54" t="str">
        <f>IF(OR($B242="",$A242&gt;$B$9,V$233=""),"",IF(COUNTIFS(BD!$B$3:$B$5001,V$233,BD!$A$3:$A$5001,"&gt;="&amp;$C$7,BD!$A$3:$A$5001,"&lt;="&amp;$B242,BD!$R$3:$R$5001,"&lt;&gt;")=0,"",SUMIFS(BD!$R$3:$R$5001,BD!$B$3:$B$5001,V$233,BD!$A$3:$A$5001,_xlfn.MAXIFS(BD!$A$3:$A$5001,BD!$B$3:$B$5001,V$233,BD!$A$3:$A$5001,"&gt;="&amp;$C$7,BD!$A$3:$A$5001,"&lt;="&amp;$B242,BD!$R$3:$R$5001,"&lt;&gt;"))))</f>
        <v/>
      </c>
    </row>
    <row r="243">
      <c r="A243" s="48">
        <v>10</v>
      </c>
      <c r="B243" s="53">
        <f>$B$21</f>
        <v>46305</v>
      </c>
      <c r="C243" s="54" t="str">
        <f>IF(OR($B243="",$A243&gt;$B$9,C$233=""),"",IF(COUNTIFS(BD!$B$3:$B$5001,C$233,BD!$A$3:$A$5001,"&gt;="&amp;$C$7,BD!$A$3:$A$5001,"&lt;="&amp;$B243,BD!$R$3:$R$5001,"&lt;&gt;")=0,"",SUMIFS(BD!$R$3:$R$5001,BD!$B$3:$B$5001,C$233,BD!$A$3:$A$5001,_xlfn.MAXIFS(BD!$A$3:$A$5001,BD!$B$3:$B$5001,C$233,BD!$A$3:$A$5001,"&gt;="&amp;$C$7,BD!$A$3:$A$5001,"&lt;="&amp;$B243,BD!$R$3:$R$5001,"&lt;&gt;"))))</f>
        <v/>
      </c>
      <c r="D243" s="54" t="str">
        <f>IF(OR($B243="",$A243&gt;$B$9,D$233=""),"",IF(COUNTIFS(BD!$B$3:$B$5001,D$233,BD!$A$3:$A$5001,"&gt;="&amp;$C$7,BD!$A$3:$A$5001,"&lt;="&amp;$B243,BD!$R$3:$R$5001,"&lt;&gt;")=0,"",SUMIFS(BD!$R$3:$R$5001,BD!$B$3:$B$5001,D$233,BD!$A$3:$A$5001,_xlfn.MAXIFS(BD!$A$3:$A$5001,BD!$B$3:$B$5001,D$233,BD!$A$3:$A$5001,"&gt;="&amp;$C$7,BD!$A$3:$A$5001,"&lt;="&amp;$B243,BD!$R$3:$R$5001,"&lt;&gt;"))))</f>
        <v/>
      </c>
      <c r="E243" s="54" t="str">
        <f>IF(OR($B243="",$A243&gt;$B$9,E$233=""),"",IF(COUNTIFS(BD!$B$3:$B$5001,E$233,BD!$A$3:$A$5001,"&gt;="&amp;$C$7,BD!$A$3:$A$5001,"&lt;="&amp;$B243,BD!$R$3:$R$5001,"&lt;&gt;")=0,"",SUMIFS(BD!$R$3:$R$5001,BD!$B$3:$B$5001,E$233,BD!$A$3:$A$5001,_xlfn.MAXIFS(BD!$A$3:$A$5001,BD!$B$3:$B$5001,E$233,BD!$A$3:$A$5001,"&gt;="&amp;$C$7,BD!$A$3:$A$5001,"&lt;="&amp;$B243,BD!$R$3:$R$5001,"&lt;&gt;"))))</f>
        <v/>
      </c>
      <c r="F243" s="54" t="str">
        <f>IF(OR($B243="",$A243&gt;$B$9,F$233=""),"",IF(COUNTIFS(BD!$B$3:$B$5001,F$233,BD!$A$3:$A$5001,"&gt;="&amp;$C$7,BD!$A$3:$A$5001,"&lt;="&amp;$B243,BD!$R$3:$R$5001,"&lt;&gt;")=0,"",SUMIFS(BD!$R$3:$R$5001,BD!$B$3:$B$5001,F$233,BD!$A$3:$A$5001,_xlfn.MAXIFS(BD!$A$3:$A$5001,BD!$B$3:$B$5001,F$233,BD!$A$3:$A$5001,"&gt;="&amp;$C$7,BD!$A$3:$A$5001,"&lt;="&amp;$B243,BD!$R$3:$R$5001,"&lt;&gt;"))))</f>
        <v/>
      </c>
      <c r="G243" s="54" t="str">
        <f>IF(OR($B243="",$A243&gt;$B$9,G$233=""),"",IF(COUNTIFS(BD!$B$3:$B$5001,G$233,BD!$A$3:$A$5001,"&gt;="&amp;$C$7,BD!$A$3:$A$5001,"&lt;="&amp;$B243,BD!$R$3:$R$5001,"&lt;&gt;")=0,"",SUMIFS(BD!$R$3:$R$5001,BD!$B$3:$B$5001,G$233,BD!$A$3:$A$5001,_xlfn.MAXIFS(BD!$A$3:$A$5001,BD!$B$3:$B$5001,G$233,BD!$A$3:$A$5001,"&gt;="&amp;$C$7,BD!$A$3:$A$5001,"&lt;="&amp;$B243,BD!$R$3:$R$5001,"&lt;&gt;"))))</f>
        <v/>
      </c>
      <c r="H243" s="54" t="str">
        <f>IF(OR($B243="",$A243&gt;$B$9,H$233=""),"",IF(COUNTIFS(BD!$B$3:$B$5001,H$233,BD!$A$3:$A$5001,"&gt;="&amp;$C$7,BD!$A$3:$A$5001,"&lt;="&amp;$B243,BD!$R$3:$R$5001,"&lt;&gt;")=0,"",SUMIFS(BD!$R$3:$R$5001,BD!$B$3:$B$5001,H$233,BD!$A$3:$A$5001,_xlfn.MAXIFS(BD!$A$3:$A$5001,BD!$B$3:$B$5001,H$233,BD!$A$3:$A$5001,"&gt;="&amp;$C$7,BD!$A$3:$A$5001,"&lt;="&amp;$B243,BD!$R$3:$R$5001,"&lt;&gt;"))))</f>
        <v/>
      </c>
      <c r="I243" s="54" t="str">
        <f>IF(OR($B243="",$A243&gt;$B$9,I$233=""),"",IF(COUNTIFS(BD!$B$3:$B$5001,I$233,BD!$A$3:$A$5001,"&gt;="&amp;$C$7,BD!$A$3:$A$5001,"&lt;="&amp;$B243,BD!$R$3:$R$5001,"&lt;&gt;")=0,"",SUMIFS(BD!$R$3:$R$5001,BD!$B$3:$B$5001,I$233,BD!$A$3:$A$5001,_xlfn.MAXIFS(BD!$A$3:$A$5001,BD!$B$3:$B$5001,I$233,BD!$A$3:$A$5001,"&gt;="&amp;$C$7,BD!$A$3:$A$5001,"&lt;="&amp;$B243,BD!$R$3:$R$5001,"&lt;&gt;"))))</f>
        <v/>
      </c>
      <c r="J243" s="54" t="str">
        <f>IF(OR($B243="",$A243&gt;$B$9,J$233=""),"",IF(COUNTIFS(BD!$B$3:$B$5001,J$233,BD!$A$3:$A$5001,"&gt;="&amp;$C$7,BD!$A$3:$A$5001,"&lt;="&amp;$B243,BD!$R$3:$R$5001,"&lt;&gt;")=0,"",SUMIFS(BD!$R$3:$R$5001,BD!$B$3:$B$5001,J$233,BD!$A$3:$A$5001,_xlfn.MAXIFS(BD!$A$3:$A$5001,BD!$B$3:$B$5001,J$233,BD!$A$3:$A$5001,"&gt;="&amp;$C$7,BD!$A$3:$A$5001,"&lt;="&amp;$B243,BD!$R$3:$R$5001,"&lt;&gt;"))))</f>
        <v/>
      </c>
      <c r="K243" s="54" t="str">
        <f>IF(OR($B243="",$A243&gt;$B$9,K$233=""),"",IF(COUNTIFS(BD!$B$3:$B$5001,K$233,BD!$A$3:$A$5001,"&gt;="&amp;$C$7,BD!$A$3:$A$5001,"&lt;="&amp;$B243,BD!$R$3:$R$5001,"&lt;&gt;")=0,"",SUMIFS(BD!$R$3:$R$5001,BD!$B$3:$B$5001,K$233,BD!$A$3:$A$5001,_xlfn.MAXIFS(BD!$A$3:$A$5001,BD!$B$3:$B$5001,K$233,BD!$A$3:$A$5001,"&gt;="&amp;$C$7,BD!$A$3:$A$5001,"&lt;="&amp;$B243,BD!$R$3:$R$5001,"&lt;&gt;"))))</f>
        <v/>
      </c>
      <c r="L243" s="54" t="str">
        <f>IF(OR($B243="",$A243&gt;$B$9,L$233=""),"",IF(COUNTIFS(BD!$B$3:$B$5001,L$233,BD!$A$3:$A$5001,"&gt;="&amp;$C$7,BD!$A$3:$A$5001,"&lt;="&amp;$B243,BD!$R$3:$R$5001,"&lt;&gt;")=0,"",SUMIFS(BD!$R$3:$R$5001,BD!$B$3:$B$5001,L$233,BD!$A$3:$A$5001,_xlfn.MAXIFS(BD!$A$3:$A$5001,BD!$B$3:$B$5001,L$233,BD!$A$3:$A$5001,"&gt;="&amp;$C$7,BD!$A$3:$A$5001,"&lt;="&amp;$B243,BD!$R$3:$R$5001,"&lt;&gt;"))))</f>
        <v/>
      </c>
      <c r="M243" s="54" t="str">
        <f>IF(OR($B243="",$A243&gt;$B$9,M$233=""),"",IF(COUNTIFS(BD!$B$3:$B$5001,M$233,BD!$A$3:$A$5001,"&gt;="&amp;$C$7,BD!$A$3:$A$5001,"&lt;="&amp;$B243,BD!$R$3:$R$5001,"&lt;&gt;")=0,"",SUMIFS(BD!$R$3:$R$5001,BD!$B$3:$B$5001,M$233,BD!$A$3:$A$5001,_xlfn.MAXIFS(BD!$A$3:$A$5001,BD!$B$3:$B$5001,M$233,BD!$A$3:$A$5001,"&gt;="&amp;$C$7,BD!$A$3:$A$5001,"&lt;="&amp;$B243,BD!$R$3:$R$5001,"&lt;&gt;"))))</f>
        <v/>
      </c>
      <c r="N243" s="54" t="str">
        <f>IF(OR($B243="",$A243&gt;$B$9,N$233=""),"",IF(COUNTIFS(BD!$B$3:$B$5001,N$233,BD!$A$3:$A$5001,"&gt;="&amp;$C$7,BD!$A$3:$A$5001,"&lt;="&amp;$B243,BD!$R$3:$R$5001,"&lt;&gt;")=0,"",SUMIFS(BD!$R$3:$R$5001,BD!$B$3:$B$5001,N$233,BD!$A$3:$A$5001,_xlfn.MAXIFS(BD!$A$3:$A$5001,BD!$B$3:$B$5001,N$233,BD!$A$3:$A$5001,"&gt;="&amp;$C$7,BD!$A$3:$A$5001,"&lt;="&amp;$B243,BD!$R$3:$R$5001,"&lt;&gt;"))))</f>
        <v/>
      </c>
      <c r="O243" s="54" t="str">
        <f>IF(OR($B243="",$A243&gt;$B$9,O$233=""),"",IF(COUNTIFS(BD!$B$3:$B$5001,O$233,BD!$A$3:$A$5001,"&gt;="&amp;$C$7,BD!$A$3:$A$5001,"&lt;="&amp;$B243,BD!$R$3:$R$5001,"&lt;&gt;")=0,"",SUMIFS(BD!$R$3:$R$5001,BD!$B$3:$B$5001,O$233,BD!$A$3:$A$5001,_xlfn.MAXIFS(BD!$A$3:$A$5001,BD!$B$3:$B$5001,O$233,BD!$A$3:$A$5001,"&gt;="&amp;$C$7,BD!$A$3:$A$5001,"&lt;="&amp;$B243,BD!$R$3:$R$5001,"&lt;&gt;"))))</f>
        <v/>
      </c>
      <c r="P243" s="54" t="str">
        <f>IF(OR($B243="",$A243&gt;$B$9,P$233=""),"",IF(COUNTIFS(BD!$B$3:$B$5001,P$233,BD!$A$3:$A$5001,"&gt;="&amp;$C$7,BD!$A$3:$A$5001,"&lt;="&amp;$B243,BD!$R$3:$R$5001,"&lt;&gt;")=0,"",SUMIFS(BD!$R$3:$R$5001,BD!$B$3:$B$5001,P$233,BD!$A$3:$A$5001,_xlfn.MAXIFS(BD!$A$3:$A$5001,BD!$B$3:$B$5001,P$233,BD!$A$3:$A$5001,"&gt;="&amp;$C$7,BD!$A$3:$A$5001,"&lt;="&amp;$B243,BD!$R$3:$R$5001,"&lt;&gt;"))))</f>
        <v/>
      </c>
      <c r="Q243" s="54" t="str">
        <f>IF(OR($B243="",$A243&gt;$B$9,Q$233=""),"",IF(COUNTIFS(BD!$B$3:$B$5001,Q$233,BD!$A$3:$A$5001,"&gt;="&amp;$C$7,BD!$A$3:$A$5001,"&lt;="&amp;$B243,BD!$R$3:$R$5001,"&lt;&gt;")=0,"",SUMIFS(BD!$R$3:$R$5001,BD!$B$3:$B$5001,Q$233,BD!$A$3:$A$5001,_xlfn.MAXIFS(BD!$A$3:$A$5001,BD!$B$3:$B$5001,Q$233,BD!$A$3:$A$5001,"&gt;="&amp;$C$7,BD!$A$3:$A$5001,"&lt;="&amp;$B243,BD!$R$3:$R$5001,"&lt;&gt;"))))</f>
        <v/>
      </c>
      <c r="R243" s="54" t="str">
        <f>IF(OR($B243="",$A243&gt;$B$9,R$233=""),"",IF(COUNTIFS(BD!$B$3:$B$5001,R$233,BD!$A$3:$A$5001,"&gt;="&amp;$C$7,BD!$A$3:$A$5001,"&lt;="&amp;$B243,BD!$R$3:$R$5001,"&lt;&gt;")=0,"",SUMIFS(BD!$R$3:$R$5001,BD!$B$3:$B$5001,R$233,BD!$A$3:$A$5001,_xlfn.MAXIFS(BD!$A$3:$A$5001,BD!$B$3:$B$5001,R$233,BD!$A$3:$A$5001,"&gt;="&amp;$C$7,BD!$A$3:$A$5001,"&lt;="&amp;$B243,BD!$R$3:$R$5001,"&lt;&gt;"))))</f>
        <v/>
      </c>
      <c r="S243" s="54" t="str">
        <f>IF(OR($B243="",$A243&gt;$B$9,S$233=""),"",IF(COUNTIFS(BD!$B$3:$B$5001,S$233,BD!$A$3:$A$5001,"&gt;="&amp;$C$7,BD!$A$3:$A$5001,"&lt;="&amp;$B243,BD!$R$3:$R$5001,"&lt;&gt;")=0,"",SUMIFS(BD!$R$3:$R$5001,BD!$B$3:$B$5001,S$233,BD!$A$3:$A$5001,_xlfn.MAXIFS(BD!$A$3:$A$5001,BD!$B$3:$B$5001,S$233,BD!$A$3:$A$5001,"&gt;="&amp;$C$7,BD!$A$3:$A$5001,"&lt;="&amp;$B243,BD!$R$3:$R$5001,"&lt;&gt;"))))</f>
        <v/>
      </c>
      <c r="T243" s="54" t="str">
        <f>IF(OR($B243="",$A243&gt;$B$9,T$233=""),"",IF(COUNTIFS(BD!$B$3:$B$5001,T$233,BD!$A$3:$A$5001,"&gt;="&amp;$C$7,BD!$A$3:$A$5001,"&lt;="&amp;$B243,BD!$R$3:$R$5001,"&lt;&gt;")=0,"",SUMIFS(BD!$R$3:$R$5001,BD!$B$3:$B$5001,T$233,BD!$A$3:$A$5001,_xlfn.MAXIFS(BD!$A$3:$A$5001,BD!$B$3:$B$5001,T$233,BD!$A$3:$A$5001,"&gt;="&amp;$C$7,BD!$A$3:$A$5001,"&lt;="&amp;$B243,BD!$R$3:$R$5001,"&lt;&gt;"))))</f>
        <v/>
      </c>
      <c r="U243" s="54" t="str">
        <f>IF(OR($B243="",$A243&gt;$B$9,U$233=""),"",IF(COUNTIFS(BD!$B$3:$B$5001,U$233,BD!$A$3:$A$5001,"&gt;="&amp;$C$7,BD!$A$3:$A$5001,"&lt;="&amp;$B243,BD!$R$3:$R$5001,"&lt;&gt;")=0,"",SUMIFS(BD!$R$3:$R$5001,BD!$B$3:$B$5001,U$233,BD!$A$3:$A$5001,_xlfn.MAXIFS(BD!$A$3:$A$5001,BD!$B$3:$B$5001,U$233,BD!$A$3:$A$5001,"&gt;="&amp;$C$7,BD!$A$3:$A$5001,"&lt;="&amp;$B243,BD!$R$3:$R$5001,"&lt;&gt;"))))</f>
        <v/>
      </c>
      <c r="V243" s="54" t="str">
        <f>IF(OR($B243="",$A243&gt;$B$9,V$233=""),"",IF(COUNTIFS(BD!$B$3:$B$5001,V$233,BD!$A$3:$A$5001,"&gt;="&amp;$C$7,BD!$A$3:$A$5001,"&lt;="&amp;$B243,BD!$R$3:$R$5001,"&lt;&gt;")=0,"",SUMIFS(BD!$R$3:$R$5001,BD!$B$3:$B$5001,V$233,BD!$A$3:$A$5001,_xlfn.MAXIFS(BD!$A$3:$A$5001,BD!$B$3:$B$5001,V$233,BD!$A$3:$A$5001,"&gt;="&amp;$C$7,BD!$A$3:$A$5001,"&lt;="&amp;$B243,BD!$R$3:$R$5001,"&lt;&gt;"))))</f>
        <v/>
      </c>
    </row>
    <row r="244">
      <c r="A244" s="48">
        <v>11</v>
      </c>
      <c r="B244" s="53">
        <f>$B$22</f>
        <v>46306</v>
      </c>
      <c r="C244" s="54" t="str">
        <f>IF(OR($B244="",$A244&gt;$B$9,C$233=""),"",IF(COUNTIFS(BD!$B$3:$B$5001,C$233,BD!$A$3:$A$5001,"&gt;="&amp;$C$7,BD!$A$3:$A$5001,"&lt;="&amp;$B244,BD!$R$3:$R$5001,"&lt;&gt;")=0,"",SUMIFS(BD!$R$3:$R$5001,BD!$B$3:$B$5001,C$233,BD!$A$3:$A$5001,_xlfn.MAXIFS(BD!$A$3:$A$5001,BD!$B$3:$B$5001,C$233,BD!$A$3:$A$5001,"&gt;="&amp;$C$7,BD!$A$3:$A$5001,"&lt;="&amp;$B244,BD!$R$3:$R$5001,"&lt;&gt;"))))</f>
        <v/>
      </c>
      <c r="D244" s="54" t="str">
        <f>IF(OR($B244="",$A244&gt;$B$9,D$233=""),"",IF(COUNTIFS(BD!$B$3:$B$5001,D$233,BD!$A$3:$A$5001,"&gt;="&amp;$C$7,BD!$A$3:$A$5001,"&lt;="&amp;$B244,BD!$R$3:$R$5001,"&lt;&gt;")=0,"",SUMIFS(BD!$R$3:$R$5001,BD!$B$3:$B$5001,D$233,BD!$A$3:$A$5001,_xlfn.MAXIFS(BD!$A$3:$A$5001,BD!$B$3:$B$5001,D$233,BD!$A$3:$A$5001,"&gt;="&amp;$C$7,BD!$A$3:$A$5001,"&lt;="&amp;$B244,BD!$R$3:$R$5001,"&lt;&gt;"))))</f>
        <v/>
      </c>
      <c r="E244" s="54" t="str">
        <f>IF(OR($B244="",$A244&gt;$B$9,E$233=""),"",IF(COUNTIFS(BD!$B$3:$B$5001,E$233,BD!$A$3:$A$5001,"&gt;="&amp;$C$7,BD!$A$3:$A$5001,"&lt;="&amp;$B244,BD!$R$3:$R$5001,"&lt;&gt;")=0,"",SUMIFS(BD!$R$3:$R$5001,BD!$B$3:$B$5001,E$233,BD!$A$3:$A$5001,_xlfn.MAXIFS(BD!$A$3:$A$5001,BD!$B$3:$B$5001,E$233,BD!$A$3:$A$5001,"&gt;="&amp;$C$7,BD!$A$3:$A$5001,"&lt;="&amp;$B244,BD!$R$3:$R$5001,"&lt;&gt;"))))</f>
        <v/>
      </c>
      <c r="F244" s="54" t="str">
        <f>IF(OR($B244="",$A244&gt;$B$9,F$233=""),"",IF(COUNTIFS(BD!$B$3:$B$5001,F$233,BD!$A$3:$A$5001,"&gt;="&amp;$C$7,BD!$A$3:$A$5001,"&lt;="&amp;$B244,BD!$R$3:$R$5001,"&lt;&gt;")=0,"",SUMIFS(BD!$R$3:$R$5001,BD!$B$3:$B$5001,F$233,BD!$A$3:$A$5001,_xlfn.MAXIFS(BD!$A$3:$A$5001,BD!$B$3:$B$5001,F$233,BD!$A$3:$A$5001,"&gt;="&amp;$C$7,BD!$A$3:$A$5001,"&lt;="&amp;$B244,BD!$R$3:$R$5001,"&lt;&gt;"))))</f>
        <v/>
      </c>
      <c r="G244" s="54" t="str">
        <f>IF(OR($B244="",$A244&gt;$B$9,G$233=""),"",IF(COUNTIFS(BD!$B$3:$B$5001,G$233,BD!$A$3:$A$5001,"&gt;="&amp;$C$7,BD!$A$3:$A$5001,"&lt;="&amp;$B244,BD!$R$3:$R$5001,"&lt;&gt;")=0,"",SUMIFS(BD!$R$3:$R$5001,BD!$B$3:$B$5001,G$233,BD!$A$3:$A$5001,_xlfn.MAXIFS(BD!$A$3:$A$5001,BD!$B$3:$B$5001,G$233,BD!$A$3:$A$5001,"&gt;="&amp;$C$7,BD!$A$3:$A$5001,"&lt;="&amp;$B244,BD!$R$3:$R$5001,"&lt;&gt;"))))</f>
        <v/>
      </c>
      <c r="H244" s="54" t="str">
        <f>IF(OR($B244="",$A244&gt;$B$9,H$233=""),"",IF(COUNTIFS(BD!$B$3:$B$5001,H$233,BD!$A$3:$A$5001,"&gt;="&amp;$C$7,BD!$A$3:$A$5001,"&lt;="&amp;$B244,BD!$R$3:$R$5001,"&lt;&gt;")=0,"",SUMIFS(BD!$R$3:$R$5001,BD!$B$3:$B$5001,H$233,BD!$A$3:$A$5001,_xlfn.MAXIFS(BD!$A$3:$A$5001,BD!$B$3:$B$5001,H$233,BD!$A$3:$A$5001,"&gt;="&amp;$C$7,BD!$A$3:$A$5001,"&lt;="&amp;$B244,BD!$R$3:$R$5001,"&lt;&gt;"))))</f>
        <v/>
      </c>
      <c r="I244" s="54" t="str">
        <f>IF(OR($B244="",$A244&gt;$B$9,I$233=""),"",IF(COUNTIFS(BD!$B$3:$B$5001,I$233,BD!$A$3:$A$5001,"&gt;="&amp;$C$7,BD!$A$3:$A$5001,"&lt;="&amp;$B244,BD!$R$3:$R$5001,"&lt;&gt;")=0,"",SUMIFS(BD!$R$3:$R$5001,BD!$B$3:$B$5001,I$233,BD!$A$3:$A$5001,_xlfn.MAXIFS(BD!$A$3:$A$5001,BD!$B$3:$B$5001,I$233,BD!$A$3:$A$5001,"&gt;="&amp;$C$7,BD!$A$3:$A$5001,"&lt;="&amp;$B244,BD!$R$3:$R$5001,"&lt;&gt;"))))</f>
        <v/>
      </c>
      <c r="J244" s="54" t="str">
        <f>IF(OR($B244="",$A244&gt;$B$9,J$233=""),"",IF(COUNTIFS(BD!$B$3:$B$5001,J$233,BD!$A$3:$A$5001,"&gt;="&amp;$C$7,BD!$A$3:$A$5001,"&lt;="&amp;$B244,BD!$R$3:$R$5001,"&lt;&gt;")=0,"",SUMIFS(BD!$R$3:$R$5001,BD!$B$3:$B$5001,J$233,BD!$A$3:$A$5001,_xlfn.MAXIFS(BD!$A$3:$A$5001,BD!$B$3:$B$5001,J$233,BD!$A$3:$A$5001,"&gt;="&amp;$C$7,BD!$A$3:$A$5001,"&lt;="&amp;$B244,BD!$R$3:$R$5001,"&lt;&gt;"))))</f>
        <v/>
      </c>
      <c r="K244" s="54" t="str">
        <f>IF(OR($B244="",$A244&gt;$B$9,K$233=""),"",IF(COUNTIFS(BD!$B$3:$B$5001,K$233,BD!$A$3:$A$5001,"&gt;="&amp;$C$7,BD!$A$3:$A$5001,"&lt;="&amp;$B244,BD!$R$3:$R$5001,"&lt;&gt;")=0,"",SUMIFS(BD!$R$3:$R$5001,BD!$B$3:$B$5001,K$233,BD!$A$3:$A$5001,_xlfn.MAXIFS(BD!$A$3:$A$5001,BD!$B$3:$B$5001,K$233,BD!$A$3:$A$5001,"&gt;="&amp;$C$7,BD!$A$3:$A$5001,"&lt;="&amp;$B244,BD!$R$3:$R$5001,"&lt;&gt;"))))</f>
        <v/>
      </c>
      <c r="L244" s="54" t="str">
        <f>IF(OR($B244="",$A244&gt;$B$9,L$233=""),"",IF(COUNTIFS(BD!$B$3:$B$5001,L$233,BD!$A$3:$A$5001,"&gt;="&amp;$C$7,BD!$A$3:$A$5001,"&lt;="&amp;$B244,BD!$R$3:$R$5001,"&lt;&gt;")=0,"",SUMIFS(BD!$R$3:$R$5001,BD!$B$3:$B$5001,L$233,BD!$A$3:$A$5001,_xlfn.MAXIFS(BD!$A$3:$A$5001,BD!$B$3:$B$5001,L$233,BD!$A$3:$A$5001,"&gt;="&amp;$C$7,BD!$A$3:$A$5001,"&lt;="&amp;$B244,BD!$R$3:$R$5001,"&lt;&gt;"))))</f>
        <v/>
      </c>
      <c r="M244" s="54" t="str">
        <f>IF(OR($B244="",$A244&gt;$B$9,M$233=""),"",IF(COUNTIFS(BD!$B$3:$B$5001,M$233,BD!$A$3:$A$5001,"&gt;="&amp;$C$7,BD!$A$3:$A$5001,"&lt;="&amp;$B244,BD!$R$3:$R$5001,"&lt;&gt;")=0,"",SUMIFS(BD!$R$3:$R$5001,BD!$B$3:$B$5001,M$233,BD!$A$3:$A$5001,_xlfn.MAXIFS(BD!$A$3:$A$5001,BD!$B$3:$B$5001,M$233,BD!$A$3:$A$5001,"&gt;="&amp;$C$7,BD!$A$3:$A$5001,"&lt;="&amp;$B244,BD!$R$3:$R$5001,"&lt;&gt;"))))</f>
        <v/>
      </c>
      <c r="N244" s="54" t="str">
        <f>IF(OR($B244="",$A244&gt;$B$9,N$233=""),"",IF(COUNTIFS(BD!$B$3:$B$5001,N$233,BD!$A$3:$A$5001,"&gt;="&amp;$C$7,BD!$A$3:$A$5001,"&lt;="&amp;$B244,BD!$R$3:$R$5001,"&lt;&gt;")=0,"",SUMIFS(BD!$R$3:$R$5001,BD!$B$3:$B$5001,N$233,BD!$A$3:$A$5001,_xlfn.MAXIFS(BD!$A$3:$A$5001,BD!$B$3:$B$5001,N$233,BD!$A$3:$A$5001,"&gt;="&amp;$C$7,BD!$A$3:$A$5001,"&lt;="&amp;$B244,BD!$R$3:$R$5001,"&lt;&gt;"))))</f>
        <v/>
      </c>
      <c r="O244" s="54" t="str">
        <f>IF(OR($B244="",$A244&gt;$B$9,O$233=""),"",IF(COUNTIFS(BD!$B$3:$B$5001,O$233,BD!$A$3:$A$5001,"&gt;="&amp;$C$7,BD!$A$3:$A$5001,"&lt;="&amp;$B244,BD!$R$3:$R$5001,"&lt;&gt;")=0,"",SUMIFS(BD!$R$3:$R$5001,BD!$B$3:$B$5001,O$233,BD!$A$3:$A$5001,_xlfn.MAXIFS(BD!$A$3:$A$5001,BD!$B$3:$B$5001,O$233,BD!$A$3:$A$5001,"&gt;="&amp;$C$7,BD!$A$3:$A$5001,"&lt;="&amp;$B244,BD!$R$3:$R$5001,"&lt;&gt;"))))</f>
        <v/>
      </c>
      <c r="P244" s="54" t="str">
        <f>IF(OR($B244="",$A244&gt;$B$9,P$233=""),"",IF(COUNTIFS(BD!$B$3:$B$5001,P$233,BD!$A$3:$A$5001,"&gt;="&amp;$C$7,BD!$A$3:$A$5001,"&lt;="&amp;$B244,BD!$R$3:$R$5001,"&lt;&gt;")=0,"",SUMIFS(BD!$R$3:$R$5001,BD!$B$3:$B$5001,P$233,BD!$A$3:$A$5001,_xlfn.MAXIFS(BD!$A$3:$A$5001,BD!$B$3:$B$5001,P$233,BD!$A$3:$A$5001,"&gt;="&amp;$C$7,BD!$A$3:$A$5001,"&lt;="&amp;$B244,BD!$R$3:$R$5001,"&lt;&gt;"))))</f>
        <v/>
      </c>
      <c r="Q244" s="54" t="str">
        <f>IF(OR($B244="",$A244&gt;$B$9,Q$233=""),"",IF(COUNTIFS(BD!$B$3:$B$5001,Q$233,BD!$A$3:$A$5001,"&gt;="&amp;$C$7,BD!$A$3:$A$5001,"&lt;="&amp;$B244,BD!$R$3:$R$5001,"&lt;&gt;")=0,"",SUMIFS(BD!$R$3:$R$5001,BD!$B$3:$B$5001,Q$233,BD!$A$3:$A$5001,_xlfn.MAXIFS(BD!$A$3:$A$5001,BD!$B$3:$B$5001,Q$233,BD!$A$3:$A$5001,"&gt;="&amp;$C$7,BD!$A$3:$A$5001,"&lt;="&amp;$B244,BD!$R$3:$R$5001,"&lt;&gt;"))))</f>
        <v/>
      </c>
      <c r="R244" s="54" t="str">
        <f>IF(OR($B244="",$A244&gt;$B$9,R$233=""),"",IF(COUNTIFS(BD!$B$3:$B$5001,R$233,BD!$A$3:$A$5001,"&gt;="&amp;$C$7,BD!$A$3:$A$5001,"&lt;="&amp;$B244,BD!$R$3:$R$5001,"&lt;&gt;")=0,"",SUMIFS(BD!$R$3:$R$5001,BD!$B$3:$B$5001,R$233,BD!$A$3:$A$5001,_xlfn.MAXIFS(BD!$A$3:$A$5001,BD!$B$3:$B$5001,R$233,BD!$A$3:$A$5001,"&gt;="&amp;$C$7,BD!$A$3:$A$5001,"&lt;="&amp;$B244,BD!$R$3:$R$5001,"&lt;&gt;"))))</f>
        <v/>
      </c>
      <c r="S244" s="54" t="str">
        <f>IF(OR($B244="",$A244&gt;$B$9,S$233=""),"",IF(COUNTIFS(BD!$B$3:$B$5001,S$233,BD!$A$3:$A$5001,"&gt;="&amp;$C$7,BD!$A$3:$A$5001,"&lt;="&amp;$B244,BD!$R$3:$R$5001,"&lt;&gt;")=0,"",SUMIFS(BD!$R$3:$R$5001,BD!$B$3:$B$5001,S$233,BD!$A$3:$A$5001,_xlfn.MAXIFS(BD!$A$3:$A$5001,BD!$B$3:$B$5001,S$233,BD!$A$3:$A$5001,"&gt;="&amp;$C$7,BD!$A$3:$A$5001,"&lt;="&amp;$B244,BD!$R$3:$R$5001,"&lt;&gt;"))))</f>
        <v/>
      </c>
      <c r="T244" s="54" t="str">
        <f>IF(OR($B244="",$A244&gt;$B$9,T$233=""),"",IF(COUNTIFS(BD!$B$3:$B$5001,T$233,BD!$A$3:$A$5001,"&gt;="&amp;$C$7,BD!$A$3:$A$5001,"&lt;="&amp;$B244,BD!$R$3:$R$5001,"&lt;&gt;")=0,"",SUMIFS(BD!$R$3:$R$5001,BD!$B$3:$B$5001,T$233,BD!$A$3:$A$5001,_xlfn.MAXIFS(BD!$A$3:$A$5001,BD!$B$3:$B$5001,T$233,BD!$A$3:$A$5001,"&gt;="&amp;$C$7,BD!$A$3:$A$5001,"&lt;="&amp;$B244,BD!$R$3:$R$5001,"&lt;&gt;"))))</f>
        <v/>
      </c>
      <c r="U244" s="54" t="str">
        <f>IF(OR($B244="",$A244&gt;$B$9,U$233=""),"",IF(COUNTIFS(BD!$B$3:$B$5001,U$233,BD!$A$3:$A$5001,"&gt;="&amp;$C$7,BD!$A$3:$A$5001,"&lt;="&amp;$B244,BD!$R$3:$R$5001,"&lt;&gt;")=0,"",SUMIFS(BD!$R$3:$R$5001,BD!$B$3:$B$5001,U$233,BD!$A$3:$A$5001,_xlfn.MAXIFS(BD!$A$3:$A$5001,BD!$B$3:$B$5001,U$233,BD!$A$3:$A$5001,"&gt;="&amp;$C$7,BD!$A$3:$A$5001,"&lt;="&amp;$B244,BD!$R$3:$R$5001,"&lt;&gt;"))))</f>
        <v/>
      </c>
      <c r="V244" s="54" t="str">
        <f>IF(OR($B244="",$A244&gt;$B$9,V$233=""),"",IF(COUNTIFS(BD!$B$3:$B$5001,V$233,BD!$A$3:$A$5001,"&gt;="&amp;$C$7,BD!$A$3:$A$5001,"&lt;="&amp;$B244,BD!$R$3:$R$5001,"&lt;&gt;")=0,"",SUMIFS(BD!$R$3:$R$5001,BD!$B$3:$B$5001,V$233,BD!$A$3:$A$5001,_xlfn.MAXIFS(BD!$A$3:$A$5001,BD!$B$3:$B$5001,V$233,BD!$A$3:$A$5001,"&gt;="&amp;$C$7,BD!$A$3:$A$5001,"&lt;="&amp;$B244,BD!$R$3:$R$5001,"&lt;&gt;"))))</f>
        <v/>
      </c>
    </row>
    <row r="245">
      <c r="A245" s="48">
        <v>12</v>
      </c>
      <c r="B245" s="53">
        <f>$B$23</f>
        <v>46307</v>
      </c>
      <c r="C245" s="54" t="str">
        <f>IF(OR($B245="",$A245&gt;$B$9,C$233=""),"",IF(COUNTIFS(BD!$B$3:$B$5001,C$233,BD!$A$3:$A$5001,"&gt;="&amp;$C$7,BD!$A$3:$A$5001,"&lt;="&amp;$B245,BD!$R$3:$R$5001,"&lt;&gt;")=0,"",SUMIFS(BD!$R$3:$R$5001,BD!$B$3:$B$5001,C$233,BD!$A$3:$A$5001,_xlfn.MAXIFS(BD!$A$3:$A$5001,BD!$B$3:$B$5001,C$233,BD!$A$3:$A$5001,"&gt;="&amp;$C$7,BD!$A$3:$A$5001,"&lt;="&amp;$B245,BD!$R$3:$R$5001,"&lt;&gt;"))))</f>
        <v/>
      </c>
      <c r="D245" s="54" t="str">
        <f>IF(OR($B245="",$A245&gt;$B$9,D$233=""),"",IF(COUNTIFS(BD!$B$3:$B$5001,D$233,BD!$A$3:$A$5001,"&gt;="&amp;$C$7,BD!$A$3:$A$5001,"&lt;="&amp;$B245,BD!$R$3:$R$5001,"&lt;&gt;")=0,"",SUMIFS(BD!$R$3:$R$5001,BD!$B$3:$B$5001,D$233,BD!$A$3:$A$5001,_xlfn.MAXIFS(BD!$A$3:$A$5001,BD!$B$3:$B$5001,D$233,BD!$A$3:$A$5001,"&gt;="&amp;$C$7,BD!$A$3:$A$5001,"&lt;="&amp;$B245,BD!$R$3:$R$5001,"&lt;&gt;"))))</f>
        <v/>
      </c>
      <c r="E245" s="54" t="str">
        <f>IF(OR($B245="",$A245&gt;$B$9,E$233=""),"",IF(COUNTIFS(BD!$B$3:$B$5001,E$233,BD!$A$3:$A$5001,"&gt;="&amp;$C$7,BD!$A$3:$A$5001,"&lt;="&amp;$B245,BD!$R$3:$R$5001,"&lt;&gt;")=0,"",SUMIFS(BD!$R$3:$R$5001,BD!$B$3:$B$5001,E$233,BD!$A$3:$A$5001,_xlfn.MAXIFS(BD!$A$3:$A$5001,BD!$B$3:$B$5001,E$233,BD!$A$3:$A$5001,"&gt;="&amp;$C$7,BD!$A$3:$A$5001,"&lt;="&amp;$B245,BD!$R$3:$R$5001,"&lt;&gt;"))))</f>
        <v/>
      </c>
      <c r="F245" s="54" t="str">
        <f>IF(OR($B245="",$A245&gt;$B$9,F$233=""),"",IF(COUNTIFS(BD!$B$3:$B$5001,F$233,BD!$A$3:$A$5001,"&gt;="&amp;$C$7,BD!$A$3:$A$5001,"&lt;="&amp;$B245,BD!$R$3:$R$5001,"&lt;&gt;")=0,"",SUMIFS(BD!$R$3:$R$5001,BD!$B$3:$B$5001,F$233,BD!$A$3:$A$5001,_xlfn.MAXIFS(BD!$A$3:$A$5001,BD!$B$3:$B$5001,F$233,BD!$A$3:$A$5001,"&gt;="&amp;$C$7,BD!$A$3:$A$5001,"&lt;="&amp;$B245,BD!$R$3:$R$5001,"&lt;&gt;"))))</f>
        <v/>
      </c>
      <c r="G245" s="54" t="str">
        <f>IF(OR($B245="",$A245&gt;$B$9,G$233=""),"",IF(COUNTIFS(BD!$B$3:$B$5001,G$233,BD!$A$3:$A$5001,"&gt;="&amp;$C$7,BD!$A$3:$A$5001,"&lt;="&amp;$B245,BD!$R$3:$R$5001,"&lt;&gt;")=0,"",SUMIFS(BD!$R$3:$R$5001,BD!$B$3:$B$5001,G$233,BD!$A$3:$A$5001,_xlfn.MAXIFS(BD!$A$3:$A$5001,BD!$B$3:$B$5001,G$233,BD!$A$3:$A$5001,"&gt;="&amp;$C$7,BD!$A$3:$A$5001,"&lt;="&amp;$B245,BD!$R$3:$R$5001,"&lt;&gt;"))))</f>
        <v/>
      </c>
      <c r="H245" s="54" t="str">
        <f>IF(OR($B245="",$A245&gt;$B$9,H$233=""),"",IF(COUNTIFS(BD!$B$3:$B$5001,H$233,BD!$A$3:$A$5001,"&gt;="&amp;$C$7,BD!$A$3:$A$5001,"&lt;="&amp;$B245,BD!$R$3:$R$5001,"&lt;&gt;")=0,"",SUMIFS(BD!$R$3:$R$5001,BD!$B$3:$B$5001,H$233,BD!$A$3:$A$5001,_xlfn.MAXIFS(BD!$A$3:$A$5001,BD!$B$3:$B$5001,H$233,BD!$A$3:$A$5001,"&gt;="&amp;$C$7,BD!$A$3:$A$5001,"&lt;="&amp;$B245,BD!$R$3:$R$5001,"&lt;&gt;"))))</f>
        <v/>
      </c>
      <c r="I245" s="54" t="str">
        <f>IF(OR($B245="",$A245&gt;$B$9,I$233=""),"",IF(COUNTIFS(BD!$B$3:$B$5001,I$233,BD!$A$3:$A$5001,"&gt;="&amp;$C$7,BD!$A$3:$A$5001,"&lt;="&amp;$B245,BD!$R$3:$R$5001,"&lt;&gt;")=0,"",SUMIFS(BD!$R$3:$R$5001,BD!$B$3:$B$5001,I$233,BD!$A$3:$A$5001,_xlfn.MAXIFS(BD!$A$3:$A$5001,BD!$B$3:$B$5001,I$233,BD!$A$3:$A$5001,"&gt;="&amp;$C$7,BD!$A$3:$A$5001,"&lt;="&amp;$B245,BD!$R$3:$R$5001,"&lt;&gt;"))))</f>
        <v/>
      </c>
      <c r="J245" s="54" t="str">
        <f>IF(OR($B245="",$A245&gt;$B$9,J$233=""),"",IF(COUNTIFS(BD!$B$3:$B$5001,J$233,BD!$A$3:$A$5001,"&gt;="&amp;$C$7,BD!$A$3:$A$5001,"&lt;="&amp;$B245,BD!$R$3:$R$5001,"&lt;&gt;")=0,"",SUMIFS(BD!$R$3:$R$5001,BD!$B$3:$B$5001,J$233,BD!$A$3:$A$5001,_xlfn.MAXIFS(BD!$A$3:$A$5001,BD!$B$3:$B$5001,J$233,BD!$A$3:$A$5001,"&gt;="&amp;$C$7,BD!$A$3:$A$5001,"&lt;="&amp;$B245,BD!$R$3:$R$5001,"&lt;&gt;"))))</f>
        <v/>
      </c>
      <c r="K245" s="54" t="str">
        <f>IF(OR($B245="",$A245&gt;$B$9,K$233=""),"",IF(COUNTIFS(BD!$B$3:$B$5001,K$233,BD!$A$3:$A$5001,"&gt;="&amp;$C$7,BD!$A$3:$A$5001,"&lt;="&amp;$B245,BD!$R$3:$R$5001,"&lt;&gt;")=0,"",SUMIFS(BD!$R$3:$R$5001,BD!$B$3:$B$5001,K$233,BD!$A$3:$A$5001,_xlfn.MAXIFS(BD!$A$3:$A$5001,BD!$B$3:$B$5001,K$233,BD!$A$3:$A$5001,"&gt;="&amp;$C$7,BD!$A$3:$A$5001,"&lt;="&amp;$B245,BD!$R$3:$R$5001,"&lt;&gt;"))))</f>
        <v/>
      </c>
      <c r="L245" s="54" t="str">
        <f>IF(OR($B245="",$A245&gt;$B$9,L$233=""),"",IF(COUNTIFS(BD!$B$3:$B$5001,L$233,BD!$A$3:$A$5001,"&gt;="&amp;$C$7,BD!$A$3:$A$5001,"&lt;="&amp;$B245,BD!$R$3:$R$5001,"&lt;&gt;")=0,"",SUMIFS(BD!$R$3:$R$5001,BD!$B$3:$B$5001,L$233,BD!$A$3:$A$5001,_xlfn.MAXIFS(BD!$A$3:$A$5001,BD!$B$3:$B$5001,L$233,BD!$A$3:$A$5001,"&gt;="&amp;$C$7,BD!$A$3:$A$5001,"&lt;="&amp;$B245,BD!$R$3:$R$5001,"&lt;&gt;"))))</f>
        <v/>
      </c>
      <c r="M245" s="54" t="str">
        <f>IF(OR($B245="",$A245&gt;$B$9,M$233=""),"",IF(COUNTIFS(BD!$B$3:$B$5001,M$233,BD!$A$3:$A$5001,"&gt;="&amp;$C$7,BD!$A$3:$A$5001,"&lt;="&amp;$B245,BD!$R$3:$R$5001,"&lt;&gt;")=0,"",SUMIFS(BD!$R$3:$R$5001,BD!$B$3:$B$5001,M$233,BD!$A$3:$A$5001,_xlfn.MAXIFS(BD!$A$3:$A$5001,BD!$B$3:$B$5001,M$233,BD!$A$3:$A$5001,"&gt;="&amp;$C$7,BD!$A$3:$A$5001,"&lt;="&amp;$B245,BD!$R$3:$R$5001,"&lt;&gt;"))))</f>
        <v/>
      </c>
      <c r="N245" s="54" t="str">
        <f>IF(OR($B245="",$A245&gt;$B$9,N$233=""),"",IF(COUNTIFS(BD!$B$3:$B$5001,N$233,BD!$A$3:$A$5001,"&gt;="&amp;$C$7,BD!$A$3:$A$5001,"&lt;="&amp;$B245,BD!$R$3:$R$5001,"&lt;&gt;")=0,"",SUMIFS(BD!$R$3:$R$5001,BD!$B$3:$B$5001,N$233,BD!$A$3:$A$5001,_xlfn.MAXIFS(BD!$A$3:$A$5001,BD!$B$3:$B$5001,N$233,BD!$A$3:$A$5001,"&gt;="&amp;$C$7,BD!$A$3:$A$5001,"&lt;="&amp;$B245,BD!$R$3:$R$5001,"&lt;&gt;"))))</f>
        <v/>
      </c>
      <c r="O245" s="54" t="str">
        <f>IF(OR($B245="",$A245&gt;$B$9,O$233=""),"",IF(COUNTIFS(BD!$B$3:$B$5001,O$233,BD!$A$3:$A$5001,"&gt;="&amp;$C$7,BD!$A$3:$A$5001,"&lt;="&amp;$B245,BD!$R$3:$R$5001,"&lt;&gt;")=0,"",SUMIFS(BD!$R$3:$R$5001,BD!$B$3:$B$5001,O$233,BD!$A$3:$A$5001,_xlfn.MAXIFS(BD!$A$3:$A$5001,BD!$B$3:$B$5001,O$233,BD!$A$3:$A$5001,"&gt;="&amp;$C$7,BD!$A$3:$A$5001,"&lt;="&amp;$B245,BD!$R$3:$R$5001,"&lt;&gt;"))))</f>
        <v/>
      </c>
      <c r="P245" s="54" t="str">
        <f>IF(OR($B245="",$A245&gt;$B$9,P$233=""),"",IF(COUNTIFS(BD!$B$3:$B$5001,P$233,BD!$A$3:$A$5001,"&gt;="&amp;$C$7,BD!$A$3:$A$5001,"&lt;="&amp;$B245,BD!$R$3:$R$5001,"&lt;&gt;")=0,"",SUMIFS(BD!$R$3:$R$5001,BD!$B$3:$B$5001,P$233,BD!$A$3:$A$5001,_xlfn.MAXIFS(BD!$A$3:$A$5001,BD!$B$3:$B$5001,P$233,BD!$A$3:$A$5001,"&gt;="&amp;$C$7,BD!$A$3:$A$5001,"&lt;="&amp;$B245,BD!$R$3:$R$5001,"&lt;&gt;"))))</f>
        <v/>
      </c>
      <c r="Q245" s="54" t="str">
        <f>IF(OR($B245="",$A245&gt;$B$9,Q$233=""),"",IF(COUNTIFS(BD!$B$3:$B$5001,Q$233,BD!$A$3:$A$5001,"&gt;="&amp;$C$7,BD!$A$3:$A$5001,"&lt;="&amp;$B245,BD!$R$3:$R$5001,"&lt;&gt;")=0,"",SUMIFS(BD!$R$3:$R$5001,BD!$B$3:$B$5001,Q$233,BD!$A$3:$A$5001,_xlfn.MAXIFS(BD!$A$3:$A$5001,BD!$B$3:$B$5001,Q$233,BD!$A$3:$A$5001,"&gt;="&amp;$C$7,BD!$A$3:$A$5001,"&lt;="&amp;$B245,BD!$R$3:$R$5001,"&lt;&gt;"))))</f>
        <v/>
      </c>
      <c r="R245" s="54" t="str">
        <f>IF(OR($B245="",$A245&gt;$B$9,R$233=""),"",IF(COUNTIFS(BD!$B$3:$B$5001,R$233,BD!$A$3:$A$5001,"&gt;="&amp;$C$7,BD!$A$3:$A$5001,"&lt;="&amp;$B245,BD!$R$3:$R$5001,"&lt;&gt;")=0,"",SUMIFS(BD!$R$3:$R$5001,BD!$B$3:$B$5001,R$233,BD!$A$3:$A$5001,_xlfn.MAXIFS(BD!$A$3:$A$5001,BD!$B$3:$B$5001,R$233,BD!$A$3:$A$5001,"&gt;="&amp;$C$7,BD!$A$3:$A$5001,"&lt;="&amp;$B245,BD!$R$3:$R$5001,"&lt;&gt;"))))</f>
        <v/>
      </c>
      <c r="S245" s="54" t="str">
        <f>IF(OR($B245="",$A245&gt;$B$9,S$233=""),"",IF(COUNTIFS(BD!$B$3:$B$5001,S$233,BD!$A$3:$A$5001,"&gt;="&amp;$C$7,BD!$A$3:$A$5001,"&lt;="&amp;$B245,BD!$R$3:$R$5001,"&lt;&gt;")=0,"",SUMIFS(BD!$R$3:$R$5001,BD!$B$3:$B$5001,S$233,BD!$A$3:$A$5001,_xlfn.MAXIFS(BD!$A$3:$A$5001,BD!$B$3:$B$5001,S$233,BD!$A$3:$A$5001,"&gt;="&amp;$C$7,BD!$A$3:$A$5001,"&lt;="&amp;$B245,BD!$R$3:$R$5001,"&lt;&gt;"))))</f>
        <v/>
      </c>
      <c r="T245" s="54" t="str">
        <f>IF(OR($B245="",$A245&gt;$B$9,T$233=""),"",IF(COUNTIFS(BD!$B$3:$B$5001,T$233,BD!$A$3:$A$5001,"&gt;="&amp;$C$7,BD!$A$3:$A$5001,"&lt;="&amp;$B245,BD!$R$3:$R$5001,"&lt;&gt;")=0,"",SUMIFS(BD!$R$3:$R$5001,BD!$B$3:$B$5001,T$233,BD!$A$3:$A$5001,_xlfn.MAXIFS(BD!$A$3:$A$5001,BD!$B$3:$B$5001,T$233,BD!$A$3:$A$5001,"&gt;="&amp;$C$7,BD!$A$3:$A$5001,"&lt;="&amp;$B245,BD!$R$3:$R$5001,"&lt;&gt;"))))</f>
        <v/>
      </c>
      <c r="U245" s="54" t="str">
        <f>IF(OR($B245="",$A245&gt;$B$9,U$233=""),"",IF(COUNTIFS(BD!$B$3:$B$5001,U$233,BD!$A$3:$A$5001,"&gt;="&amp;$C$7,BD!$A$3:$A$5001,"&lt;="&amp;$B245,BD!$R$3:$R$5001,"&lt;&gt;")=0,"",SUMIFS(BD!$R$3:$R$5001,BD!$B$3:$B$5001,U$233,BD!$A$3:$A$5001,_xlfn.MAXIFS(BD!$A$3:$A$5001,BD!$B$3:$B$5001,U$233,BD!$A$3:$A$5001,"&gt;="&amp;$C$7,BD!$A$3:$A$5001,"&lt;="&amp;$B245,BD!$R$3:$R$5001,"&lt;&gt;"))))</f>
        <v/>
      </c>
      <c r="V245" s="54" t="str">
        <f>IF(OR($B245="",$A245&gt;$B$9,V$233=""),"",IF(COUNTIFS(BD!$B$3:$B$5001,V$233,BD!$A$3:$A$5001,"&gt;="&amp;$C$7,BD!$A$3:$A$5001,"&lt;="&amp;$B245,BD!$R$3:$R$5001,"&lt;&gt;")=0,"",SUMIFS(BD!$R$3:$R$5001,BD!$B$3:$B$5001,V$233,BD!$A$3:$A$5001,_xlfn.MAXIFS(BD!$A$3:$A$5001,BD!$B$3:$B$5001,V$233,BD!$A$3:$A$5001,"&gt;="&amp;$C$7,BD!$A$3:$A$5001,"&lt;="&amp;$B245,BD!$R$3:$R$5001,"&lt;&gt;"))))</f>
        <v/>
      </c>
    </row>
    <row r="246">
      <c r="A246" s="48">
        <v>13</v>
      </c>
      <c r="B246" s="53">
        <f>$B$24</f>
        <v>46308</v>
      </c>
      <c r="C246" s="54" t="str">
        <f>IF(OR($B246="",$A246&gt;$B$9,C$233=""),"",IF(COUNTIFS(BD!$B$3:$B$5001,C$233,BD!$A$3:$A$5001,"&gt;="&amp;$C$7,BD!$A$3:$A$5001,"&lt;="&amp;$B246,BD!$R$3:$R$5001,"&lt;&gt;")=0,"",SUMIFS(BD!$R$3:$R$5001,BD!$B$3:$B$5001,C$233,BD!$A$3:$A$5001,_xlfn.MAXIFS(BD!$A$3:$A$5001,BD!$B$3:$B$5001,C$233,BD!$A$3:$A$5001,"&gt;="&amp;$C$7,BD!$A$3:$A$5001,"&lt;="&amp;$B246,BD!$R$3:$R$5001,"&lt;&gt;"))))</f>
        <v/>
      </c>
      <c r="D246" s="54" t="str">
        <f>IF(OR($B246="",$A246&gt;$B$9,D$233=""),"",IF(COUNTIFS(BD!$B$3:$B$5001,D$233,BD!$A$3:$A$5001,"&gt;="&amp;$C$7,BD!$A$3:$A$5001,"&lt;="&amp;$B246,BD!$R$3:$R$5001,"&lt;&gt;")=0,"",SUMIFS(BD!$R$3:$R$5001,BD!$B$3:$B$5001,D$233,BD!$A$3:$A$5001,_xlfn.MAXIFS(BD!$A$3:$A$5001,BD!$B$3:$B$5001,D$233,BD!$A$3:$A$5001,"&gt;="&amp;$C$7,BD!$A$3:$A$5001,"&lt;="&amp;$B246,BD!$R$3:$R$5001,"&lt;&gt;"))))</f>
        <v/>
      </c>
      <c r="E246" s="54" t="str">
        <f>IF(OR($B246="",$A246&gt;$B$9,E$233=""),"",IF(COUNTIFS(BD!$B$3:$B$5001,E$233,BD!$A$3:$A$5001,"&gt;="&amp;$C$7,BD!$A$3:$A$5001,"&lt;="&amp;$B246,BD!$R$3:$R$5001,"&lt;&gt;")=0,"",SUMIFS(BD!$R$3:$R$5001,BD!$B$3:$B$5001,E$233,BD!$A$3:$A$5001,_xlfn.MAXIFS(BD!$A$3:$A$5001,BD!$B$3:$B$5001,E$233,BD!$A$3:$A$5001,"&gt;="&amp;$C$7,BD!$A$3:$A$5001,"&lt;="&amp;$B246,BD!$R$3:$R$5001,"&lt;&gt;"))))</f>
        <v/>
      </c>
      <c r="F246" s="54" t="str">
        <f>IF(OR($B246="",$A246&gt;$B$9,F$233=""),"",IF(COUNTIFS(BD!$B$3:$B$5001,F$233,BD!$A$3:$A$5001,"&gt;="&amp;$C$7,BD!$A$3:$A$5001,"&lt;="&amp;$B246,BD!$R$3:$R$5001,"&lt;&gt;")=0,"",SUMIFS(BD!$R$3:$R$5001,BD!$B$3:$B$5001,F$233,BD!$A$3:$A$5001,_xlfn.MAXIFS(BD!$A$3:$A$5001,BD!$B$3:$B$5001,F$233,BD!$A$3:$A$5001,"&gt;="&amp;$C$7,BD!$A$3:$A$5001,"&lt;="&amp;$B246,BD!$R$3:$R$5001,"&lt;&gt;"))))</f>
        <v/>
      </c>
      <c r="G246" s="54" t="str">
        <f>IF(OR($B246="",$A246&gt;$B$9,G$233=""),"",IF(COUNTIFS(BD!$B$3:$B$5001,G$233,BD!$A$3:$A$5001,"&gt;="&amp;$C$7,BD!$A$3:$A$5001,"&lt;="&amp;$B246,BD!$R$3:$R$5001,"&lt;&gt;")=0,"",SUMIFS(BD!$R$3:$R$5001,BD!$B$3:$B$5001,G$233,BD!$A$3:$A$5001,_xlfn.MAXIFS(BD!$A$3:$A$5001,BD!$B$3:$B$5001,G$233,BD!$A$3:$A$5001,"&gt;="&amp;$C$7,BD!$A$3:$A$5001,"&lt;="&amp;$B246,BD!$R$3:$R$5001,"&lt;&gt;"))))</f>
        <v/>
      </c>
      <c r="H246" s="54" t="str">
        <f>IF(OR($B246="",$A246&gt;$B$9,H$233=""),"",IF(COUNTIFS(BD!$B$3:$B$5001,H$233,BD!$A$3:$A$5001,"&gt;="&amp;$C$7,BD!$A$3:$A$5001,"&lt;="&amp;$B246,BD!$R$3:$R$5001,"&lt;&gt;")=0,"",SUMIFS(BD!$R$3:$R$5001,BD!$B$3:$B$5001,H$233,BD!$A$3:$A$5001,_xlfn.MAXIFS(BD!$A$3:$A$5001,BD!$B$3:$B$5001,H$233,BD!$A$3:$A$5001,"&gt;="&amp;$C$7,BD!$A$3:$A$5001,"&lt;="&amp;$B246,BD!$R$3:$R$5001,"&lt;&gt;"))))</f>
        <v/>
      </c>
      <c r="I246" s="54" t="str">
        <f>IF(OR($B246="",$A246&gt;$B$9,I$233=""),"",IF(COUNTIFS(BD!$B$3:$B$5001,I$233,BD!$A$3:$A$5001,"&gt;="&amp;$C$7,BD!$A$3:$A$5001,"&lt;="&amp;$B246,BD!$R$3:$R$5001,"&lt;&gt;")=0,"",SUMIFS(BD!$R$3:$R$5001,BD!$B$3:$B$5001,I$233,BD!$A$3:$A$5001,_xlfn.MAXIFS(BD!$A$3:$A$5001,BD!$B$3:$B$5001,I$233,BD!$A$3:$A$5001,"&gt;="&amp;$C$7,BD!$A$3:$A$5001,"&lt;="&amp;$B246,BD!$R$3:$R$5001,"&lt;&gt;"))))</f>
        <v/>
      </c>
      <c r="J246" s="54" t="str">
        <f>IF(OR($B246="",$A246&gt;$B$9,J$233=""),"",IF(COUNTIFS(BD!$B$3:$B$5001,J$233,BD!$A$3:$A$5001,"&gt;="&amp;$C$7,BD!$A$3:$A$5001,"&lt;="&amp;$B246,BD!$R$3:$R$5001,"&lt;&gt;")=0,"",SUMIFS(BD!$R$3:$R$5001,BD!$B$3:$B$5001,J$233,BD!$A$3:$A$5001,_xlfn.MAXIFS(BD!$A$3:$A$5001,BD!$B$3:$B$5001,J$233,BD!$A$3:$A$5001,"&gt;="&amp;$C$7,BD!$A$3:$A$5001,"&lt;="&amp;$B246,BD!$R$3:$R$5001,"&lt;&gt;"))))</f>
        <v/>
      </c>
      <c r="K246" s="54" t="str">
        <f>IF(OR($B246="",$A246&gt;$B$9,K$233=""),"",IF(COUNTIFS(BD!$B$3:$B$5001,K$233,BD!$A$3:$A$5001,"&gt;="&amp;$C$7,BD!$A$3:$A$5001,"&lt;="&amp;$B246,BD!$R$3:$R$5001,"&lt;&gt;")=0,"",SUMIFS(BD!$R$3:$R$5001,BD!$B$3:$B$5001,K$233,BD!$A$3:$A$5001,_xlfn.MAXIFS(BD!$A$3:$A$5001,BD!$B$3:$B$5001,K$233,BD!$A$3:$A$5001,"&gt;="&amp;$C$7,BD!$A$3:$A$5001,"&lt;="&amp;$B246,BD!$R$3:$R$5001,"&lt;&gt;"))))</f>
        <v/>
      </c>
      <c r="L246" s="54" t="str">
        <f>IF(OR($B246="",$A246&gt;$B$9,L$233=""),"",IF(COUNTIFS(BD!$B$3:$B$5001,L$233,BD!$A$3:$A$5001,"&gt;="&amp;$C$7,BD!$A$3:$A$5001,"&lt;="&amp;$B246,BD!$R$3:$R$5001,"&lt;&gt;")=0,"",SUMIFS(BD!$R$3:$R$5001,BD!$B$3:$B$5001,L$233,BD!$A$3:$A$5001,_xlfn.MAXIFS(BD!$A$3:$A$5001,BD!$B$3:$B$5001,L$233,BD!$A$3:$A$5001,"&gt;="&amp;$C$7,BD!$A$3:$A$5001,"&lt;="&amp;$B246,BD!$R$3:$R$5001,"&lt;&gt;"))))</f>
        <v/>
      </c>
      <c r="M246" s="54" t="str">
        <f>IF(OR($B246="",$A246&gt;$B$9,M$233=""),"",IF(COUNTIFS(BD!$B$3:$B$5001,M$233,BD!$A$3:$A$5001,"&gt;="&amp;$C$7,BD!$A$3:$A$5001,"&lt;="&amp;$B246,BD!$R$3:$R$5001,"&lt;&gt;")=0,"",SUMIFS(BD!$R$3:$R$5001,BD!$B$3:$B$5001,M$233,BD!$A$3:$A$5001,_xlfn.MAXIFS(BD!$A$3:$A$5001,BD!$B$3:$B$5001,M$233,BD!$A$3:$A$5001,"&gt;="&amp;$C$7,BD!$A$3:$A$5001,"&lt;="&amp;$B246,BD!$R$3:$R$5001,"&lt;&gt;"))))</f>
        <v/>
      </c>
      <c r="N246" s="54" t="str">
        <f>IF(OR($B246="",$A246&gt;$B$9,N$233=""),"",IF(COUNTIFS(BD!$B$3:$B$5001,N$233,BD!$A$3:$A$5001,"&gt;="&amp;$C$7,BD!$A$3:$A$5001,"&lt;="&amp;$B246,BD!$R$3:$R$5001,"&lt;&gt;")=0,"",SUMIFS(BD!$R$3:$R$5001,BD!$B$3:$B$5001,N$233,BD!$A$3:$A$5001,_xlfn.MAXIFS(BD!$A$3:$A$5001,BD!$B$3:$B$5001,N$233,BD!$A$3:$A$5001,"&gt;="&amp;$C$7,BD!$A$3:$A$5001,"&lt;="&amp;$B246,BD!$R$3:$R$5001,"&lt;&gt;"))))</f>
        <v/>
      </c>
      <c r="O246" s="54" t="str">
        <f>IF(OR($B246="",$A246&gt;$B$9,O$233=""),"",IF(COUNTIFS(BD!$B$3:$B$5001,O$233,BD!$A$3:$A$5001,"&gt;="&amp;$C$7,BD!$A$3:$A$5001,"&lt;="&amp;$B246,BD!$R$3:$R$5001,"&lt;&gt;")=0,"",SUMIFS(BD!$R$3:$R$5001,BD!$B$3:$B$5001,O$233,BD!$A$3:$A$5001,_xlfn.MAXIFS(BD!$A$3:$A$5001,BD!$B$3:$B$5001,O$233,BD!$A$3:$A$5001,"&gt;="&amp;$C$7,BD!$A$3:$A$5001,"&lt;="&amp;$B246,BD!$R$3:$R$5001,"&lt;&gt;"))))</f>
        <v/>
      </c>
      <c r="P246" s="54" t="str">
        <f>IF(OR($B246="",$A246&gt;$B$9,P$233=""),"",IF(COUNTIFS(BD!$B$3:$B$5001,P$233,BD!$A$3:$A$5001,"&gt;="&amp;$C$7,BD!$A$3:$A$5001,"&lt;="&amp;$B246,BD!$R$3:$R$5001,"&lt;&gt;")=0,"",SUMIFS(BD!$R$3:$R$5001,BD!$B$3:$B$5001,P$233,BD!$A$3:$A$5001,_xlfn.MAXIFS(BD!$A$3:$A$5001,BD!$B$3:$B$5001,P$233,BD!$A$3:$A$5001,"&gt;="&amp;$C$7,BD!$A$3:$A$5001,"&lt;="&amp;$B246,BD!$R$3:$R$5001,"&lt;&gt;"))))</f>
        <v/>
      </c>
      <c r="Q246" s="54" t="str">
        <f>IF(OR($B246="",$A246&gt;$B$9,Q$233=""),"",IF(COUNTIFS(BD!$B$3:$B$5001,Q$233,BD!$A$3:$A$5001,"&gt;="&amp;$C$7,BD!$A$3:$A$5001,"&lt;="&amp;$B246,BD!$R$3:$R$5001,"&lt;&gt;")=0,"",SUMIFS(BD!$R$3:$R$5001,BD!$B$3:$B$5001,Q$233,BD!$A$3:$A$5001,_xlfn.MAXIFS(BD!$A$3:$A$5001,BD!$B$3:$B$5001,Q$233,BD!$A$3:$A$5001,"&gt;="&amp;$C$7,BD!$A$3:$A$5001,"&lt;="&amp;$B246,BD!$R$3:$R$5001,"&lt;&gt;"))))</f>
        <v/>
      </c>
      <c r="R246" s="54" t="str">
        <f>IF(OR($B246="",$A246&gt;$B$9,R$233=""),"",IF(COUNTIFS(BD!$B$3:$B$5001,R$233,BD!$A$3:$A$5001,"&gt;="&amp;$C$7,BD!$A$3:$A$5001,"&lt;="&amp;$B246,BD!$R$3:$R$5001,"&lt;&gt;")=0,"",SUMIFS(BD!$R$3:$R$5001,BD!$B$3:$B$5001,R$233,BD!$A$3:$A$5001,_xlfn.MAXIFS(BD!$A$3:$A$5001,BD!$B$3:$B$5001,R$233,BD!$A$3:$A$5001,"&gt;="&amp;$C$7,BD!$A$3:$A$5001,"&lt;="&amp;$B246,BD!$R$3:$R$5001,"&lt;&gt;"))))</f>
        <v/>
      </c>
      <c r="S246" s="54" t="str">
        <f>IF(OR($B246="",$A246&gt;$B$9,S$233=""),"",IF(COUNTIFS(BD!$B$3:$B$5001,S$233,BD!$A$3:$A$5001,"&gt;="&amp;$C$7,BD!$A$3:$A$5001,"&lt;="&amp;$B246,BD!$R$3:$R$5001,"&lt;&gt;")=0,"",SUMIFS(BD!$R$3:$R$5001,BD!$B$3:$B$5001,S$233,BD!$A$3:$A$5001,_xlfn.MAXIFS(BD!$A$3:$A$5001,BD!$B$3:$B$5001,S$233,BD!$A$3:$A$5001,"&gt;="&amp;$C$7,BD!$A$3:$A$5001,"&lt;="&amp;$B246,BD!$R$3:$R$5001,"&lt;&gt;"))))</f>
        <v/>
      </c>
      <c r="T246" s="54" t="str">
        <f>IF(OR($B246="",$A246&gt;$B$9,T$233=""),"",IF(COUNTIFS(BD!$B$3:$B$5001,T$233,BD!$A$3:$A$5001,"&gt;="&amp;$C$7,BD!$A$3:$A$5001,"&lt;="&amp;$B246,BD!$R$3:$R$5001,"&lt;&gt;")=0,"",SUMIFS(BD!$R$3:$R$5001,BD!$B$3:$B$5001,T$233,BD!$A$3:$A$5001,_xlfn.MAXIFS(BD!$A$3:$A$5001,BD!$B$3:$B$5001,T$233,BD!$A$3:$A$5001,"&gt;="&amp;$C$7,BD!$A$3:$A$5001,"&lt;="&amp;$B246,BD!$R$3:$R$5001,"&lt;&gt;"))))</f>
        <v/>
      </c>
      <c r="U246" s="54" t="str">
        <f>IF(OR($B246="",$A246&gt;$B$9,U$233=""),"",IF(COUNTIFS(BD!$B$3:$B$5001,U$233,BD!$A$3:$A$5001,"&gt;="&amp;$C$7,BD!$A$3:$A$5001,"&lt;="&amp;$B246,BD!$R$3:$R$5001,"&lt;&gt;")=0,"",SUMIFS(BD!$R$3:$R$5001,BD!$B$3:$B$5001,U$233,BD!$A$3:$A$5001,_xlfn.MAXIFS(BD!$A$3:$A$5001,BD!$B$3:$B$5001,U$233,BD!$A$3:$A$5001,"&gt;="&amp;$C$7,BD!$A$3:$A$5001,"&lt;="&amp;$B246,BD!$R$3:$R$5001,"&lt;&gt;"))))</f>
        <v/>
      </c>
      <c r="V246" s="54" t="str">
        <f>IF(OR($B246="",$A246&gt;$B$9,V$233=""),"",IF(COUNTIFS(BD!$B$3:$B$5001,V$233,BD!$A$3:$A$5001,"&gt;="&amp;$C$7,BD!$A$3:$A$5001,"&lt;="&amp;$B246,BD!$R$3:$R$5001,"&lt;&gt;")=0,"",SUMIFS(BD!$R$3:$R$5001,BD!$B$3:$B$5001,V$233,BD!$A$3:$A$5001,_xlfn.MAXIFS(BD!$A$3:$A$5001,BD!$B$3:$B$5001,V$233,BD!$A$3:$A$5001,"&gt;="&amp;$C$7,BD!$A$3:$A$5001,"&lt;="&amp;$B246,BD!$R$3:$R$5001,"&lt;&gt;"))))</f>
        <v/>
      </c>
    </row>
    <row r="247">
      <c r="A247" s="48">
        <v>14</v>
      </c>
      <c r="B247" s="53">
        <f>$B$25</f>
        <v>46309</v>
      </c>
      <c r="C247" s="54" t="str">
        <f>IF(OR($B247="",$A247&gt;$B$9,C$233=""),"",IF(COUNTIFS(BD!$B$3:$B$5001,C$233,BD!$A$3:$A$5001,"&gt;="&amp;$C$7,BD!$A$3:$A$5001,"&lt;="&amp;$B247,BD!$R$3:$R$5001,"&lt;&gt;")=0,"",SUMIFS(BD!$R$3:$R$5001,BD!$B$3:$B$5001,C$233,BD!$A$3:$A$5001,_xlfn.MAXIFS(BD!$A$3:$A$5001,BD!$B$3:$B$5001,C$233,BD!$A$3:$A$5001,"&gt;="&amp;$C$7,BD!$A$3:$A$5001,"&lt;="&amp;$B247,BD!$R$3:$R$5001,"&lt;&gt;"))))</f>
        <v/>
      </c>
      <c r="D247" s="54" t="str">
        <f>IF(OR($B247="",$A247&gt;$B$9,D$233=""),"",IF(COUNTIFS(BD!$B$3:$B$5001,D$233,BD!$A$3:$A$5001,"&gt;="&amp;$C$7,BD!$A$3:$A$5001,"&lt;="&amp;$B247,BD!$R$3:$R$5001,"&lt;&gt;")=0,"",SUMIFS(BD!$R$3:$R$5001,BD!$B$3:$B$5001,D$233,BD!$A$3:$A$5001,_xlfn.MAXIFS(BD!$A$3:$A$5001,BD!$B$3:$B$5001,D$233,BD!$A$3:$A$5001,"&gt;="&amp;$C$7,BD!$A$3:$A$5001,"&lt;="&amp;$B247,BD!$R$3:$R$5001,"&lt;&gt;"))))</f>
        <v/>
      </c>
      <c r="E247" s="54" t="str">
        <f>IF(OR($B247="",$A247&gt;$B$9,E$233=""),"",IF(COUNTIFS(BD!$B$3:$B$5001,E$233,BD!$A$3:$A$5001,"&gt;="&amp;$C$7,BD!$A$3:$A$5001,"&lt;="&amp;$B247,BD!$R$3:$R$5001,"&lt;&gt;")=0,"",SUMIFS(BD!$R$3:$R$5001,BD!$B$3:$B$5001,E$233,BD!$A$3:$A$5001,_xlfn.MAXIFS(BD!$A$3:$A$5001,BD!$B$3:$B$5001,E$233,BD!$A$3:$A$5001,"&gt;="&amp;$C$7,BD!$A$3:$A$5001,"&lt;="&amp;$B247,BD!$R$3:$R$5001,"&lt;&gt;"))))</f>
        <v/>
      </c>
      <c r="F247" s="54" t="str">
        <f>IF(OR($B247="",$A247&gt;$B$9,F$233=""),"",IF(COUNTIFS(BD!$B$3:$B$5001,F$233,BD!$A$3:$A$5001,"&gt;="&amp;$C$7,BD!$A$3:$A$5001,"&lt;="&amp;$B247,BD!$R$3:$R$5001,"&lt;&gt;")=0,"",SUMIFS(BD!$R$3:$R$5001,BD!$B$3:$B$5001,F$233,BD!$A$3:$A$5001,_xlfn.MAXIFS(BD!$A$3:$A$5001,BD!$B$3:$B$5001,F$233,BD!$A$3:$A$5001,"&gt;="&amp;$C$7,BD!$A$3:$A$5001,"&lt;="&amp;$B247,BD!$R$3:$R$5001,"&lt;&gt;"))))</f>
        <v/>
      </c>
      <c r="G247" s="54" t="str">
        <f>IF(OR($B247="",$A247&gt;$B$9,G$233=""),"",IF(COUNTIFS(BD!$B$3:$B$5001,G$233,BD!$A$3:$A$5001,"&gt;="&amp;$C$7,BD!$A$3:$A$5001,"&lt;="&amp;$B247,BD!$R$3:$R$5001,"&lt;&gt;")=0,"",SUMIFS(BD!$R$3:$R$5001,BD!$B$3:$B$5001,G$233,BD!$A$3:$A$5001,_xlfn.MAXIFS(BD!$A$3:$A$5001,BD!$B$3:$B$5001,G$233,BD!$A$3:$A$5001,"&gt;="&amp;$C$7,BD!$A$3:$A$5001,"&lt;="&amp;$B247,BD!$R$3:$R$5001,"&lt;&gt;"))))</f>
        <v/>
      </c>
      <c r="H247" s="54" t="str">
        <f>IF(OR($B247="",$A247&gt;$B$9,H$233=""),"",IF(COUNTIFS(BD!$B$3:$B$5001,H$233,BD!$A$3:$A$5001,"&gt;="&amp;$C$7,BD!$A$3:$A$5001,"&lt;="&amp;$B247,BD!$R$3:$R$5001,"&lt;&gt;")=0,"",SUMIFS(BD!$R$3:$R$5001,BD!$B$3:$B$5001,H$233,BD!$A$3:$A$5001,_xlfn.MAXIFS(BD!$A$3:$A$5001,BD!$B$3:$B$5001,H$233,BD!$A$3:$A$5001,"&gt;="&amp;$C$7,BD!$A$3:$A$5001,"&lt;="&amp;$B247,BD!$R$3:$R$5001,"&lt;&gt;"))))</f>
        <v/>
      </c>
      <c r="I247" s="54" t="str">
        <f>IF(OR($B247="",$A247&gt;$B$9,I$233=""),"",IF(COUNTIFS(BD!$B$3:$B$5001,I$233,BD!$A$3:$A$5001,"&gt;="&amp;$C$7,BD!$A$3:$A$5001,"&lt;="&amp;$B247,BD!$R$3:$R$5001,"&lt;&gt;")=0,"",SUMIFS(BD!$R$3:$R$5001,BD!$B$3:$B$5001,I$233,BD!$A$3:$A$5001,_xlfn.MAXIFS(BD!$A$3:$A$5001,BD!$B$3:$B$5001,I$233,BD!$A$3:$A$5001,"&gt;="&amp;$C$7,BD!$A$3:$A$5001,"&lt;="&amp;$B247,BD!$R$3:$R$5001,"&lt;&gt;"))))</f>
        <v/>
      </c>
      <c r="J247" s="54" t="str">
        <f>IF(OR($B247="",$A247&gt;$B$9,J$233=""),"",IF(COUNTIFS(BD!$B$3:$B$5001,J$233,BD!$A$3:$A$5001,"&gt;="&amp;$C$7,BD!$A$3:$A$5001,"&lt;="&amp;$B247,BD!$R$3:$R$5001,"&lt;&gt;")=0,"",SUMIFS(BD!$R$3:$R$5001,BD!$B$3:$B$5001,J$233,BD!$A$3:$A$5001,_xlfn.MAXIFS(BD!$A$3:$A$5001,BD!$B$3:$B$5001,J$233,BD!$A$3:$A$5001,"&gt;="&amp;$C$7,BD!$A$3:$A$5001,"&lt;="&amp;$B247,BD!$R$3:$R$5001,"&lt;&gt;"))))</f>
        <v/>
      </c>
      <c r="K247" s="54" t="str">
        <f>IF(OR($B247="",$A247&gt;$B$9,K$233=""),"",IF(COUNTIFS(BD!$B$3:$B$5001,K$233,BD!$A$3:$A$5001,"&gt;="&amp;$C$7,BD!$A$3:$A$5001,"&lt;="&amp;$B247,BD!$R$3:$R$5001,"&lt;&gt;")=0,"",SUMIFS(BD!$R$3:$R$5001,BD!$B$3:$B$5001,K$233,BD!$A$3:$A$5001,_xlfn.MAXIFS(BD!$A$3:$A$5001,BD!$B$3:$B$5001,K$233,BD!$A$3:$A$5001,"&gt;="&amp;$C$7,BD!$A$3:$A$5001,"&lt;="&amp;$B247,BD!$R$3:$R$5001,"&lt;&gt;"))))</f>
        <v/>
      </c>
      <c r="L247" s="54" t="str">
        <f>IF(OR($B247="",$A247&gt;$B$9,L$233=""),"",IF(COUNTIFS(BD!$B$3:$B$5001,L$233,BD!$A$3:$A$5001,"&gt;="&amp;$C$7,BD!$A$3:$A$5001,"&lt;="&amp;$B247,BD!$R$3:$R$5001,"&lt;&gt;")=0,"",SUMIFS(BD!$R$3:$R$5001,BD!$B$3:$B$5001,L$233,BD!$A$3:$A$5001,_xlfn.MAXIFS(BD!$A$3:$A$5001,BD!$B$3:$B$5001,L$233,BD!$A$3:$A$5001,"&gt;="&amp;$C$7,BD!$A$3:$A$5001,"&lt;="&amp;$B247,BD!$R$3:$R$5001,"&lt;&gt;"))))</f>
        <v/>
      </c>
      <c r="M247" s="54" t="str">
        <f>IF(OR($B247="",$A247&gt;$B$9,M$233=""),"",IF(COUNTIFS(BD!$B$3:$B$5001,M$233,BD!$A$3:$A$5001,"&gt;="&amp;$C$7,BD!$A$3:$A$5001,"&lt;="&amp;$B247,BD!$R$3:$R$5001,"&lt;&gt;")=0,"",SUMIFS(BD!$R$3:$R$5001,BD!$B$3:$B$5001,M$233,BD!$A$3:$A$5001,_xlfn.MAXIFS(BD!$A$3:$A$5001,BD!$B$3:$B$5001,M$233,BD!$A$3:$A$5001,"&gt;="&amp;$C$7,BD!$A$3:$A$5001,"&lt;="&amp;$B247,BD!$R$3:$R$5001,"&lt;&gt;"))))</f>
        <v/>
      </c>
      <c r="N247" s="54" t="str">
        <f>IF(OR($B247="",$A247&gt;$B$9,N$233=""),"",IF(COUNTIFS(BD!$B$3:$B$5001,N$233,BD!$A$3:$A$5001,"&gt;="&amp;$C$7,BD!$A$3:$A$5001,"&lt;="&amp;$B247,BD!$R$3:$R$5001,"&lt;&gt;")=0,"",SUMIFS(BD!$R$3:$R$5001,BD!$B$3:$B$5001,N$233,BD!$A$3:$A$5001,_xlfn.MAXIFS(BD!$A$3:$A$5001,BD!$B$3:$B$5001,N$233,BD!$A$3:$A$5001,"&gt;="&amp;$C$7,BD!$A$3:$A$5001,"&lt;="&amp;$B247,BD!$R$3:$R$5001,"&lt;&gt;"))))</f>
        <v/>
      </c>
      <c r="O247" s="54" t="str">
        <f>IF(OR($B247="",$A247&gt;$B$9,O$233=""),"",IF(COUNTIFS(BD!$B$3:$B$5001,O$233,BD!$A$3:$A$5001,"&gt;="&amp;$C$7,BD!$A$3:$A$5001,"&lt;="&amp;$B247,BD!$R$3:$R$5001,"&lt;&gt;")=0,"",SUMIFS(BD!$R$3:$R$5001,BD!$B$3:$B$5001,O$233,BD!$A$3:$A$5001,_xlfn.MAXIFS(BD!$A$3:$A$5001,BD!$B$3:$B$5001,O$233,BD!$A$3:$A$5001,"&gt;="&amp;$C$7,BD!$A$3:$A$5001,"&lt;="&amp;$B247,BD!$R$3:$R$5001,"&lt;&gt;"))))</f>
        <v/>
      </c>
      <c r="P247" s="54" t="str">
        <f>IF(OR($B247="",$A247&gt;$B$9,P$233=""),"",IF(COUNTIFS(BD!$B$3:$B$5001,P$233,BD!$A$3:$A$5001,"&gt;="&amp;$C$7,BD!$A$3:$A$5001,"&lt;="&amp;$B247,BD!$R$3:$R$5001,"&lt;&gt;")=0,"",SUMIFS(BD!$R$3:$R$5001,BD!$B$3:$B$5001,P$233,BD!$A$3:$A$5001,_xlfn.MAXIFS(BD!$A$3:$A$5001,BD!$B$3:$B$5001,P$233,BD!$A$3:$A$5001,"&gt;="&amp;$C$7,BD!$A$3:$A$5001,"&lt;="&amp;$B247,BD!$R$3:$R$5001,"&lt;&gt;"))))</f>
        <v/>
      </c>
      <c r="Q247" s="54" t="str">
        <f>IF(OR($B247="",$A247&gt;$B$9,Q$233=""),"",IF(COUNTIFS(BD!$B$3:$B$5001,Q$233,BD!$A$3:$A$5001,"&gt;="&amp;$C$7,BD!$A$3:$A$5001,"&lt;="&amp;$B247,BD!$R$3:$R$5001,"&lt;&gt;")=0,"",SUMIFS(BD!$R$3:$R$5001,BD!$B$3:$B$5001,Q$233,BD!$A$3:$A$5001,_xlfn.MAXIFS(BD!$A$3:$A$5001,BD!$B$3:$B$5001,Q$233,BD!$A$3:$A$5001,"&gt;="&amp;$C$7,BD!$A$3:$A$5001,"&lt;="&amp;$B247,BD!$R$3:$R$5001,"&lt;&gt;"))))</f>
        <v/>
      </c>
      <c r="R247" s="54" t="str">
        <f>IF(OR($B247="",$A247&gt;$B$9,R$233=""),"",IF(COUNTIFS(BD!$B$3:$B$5001,R$233,BD!$A$3:$A$5001,"&gt;="&amp;$C$7,BD!$A$3:$A$5001,"&lt;="&amp;$B247,BD!$R$3:$R$5001,"&lt;&gt;")=0,"",SUMIFS(BD!$R$3:$R$5001,BD!$B$3:$B$5001,R$233,BD!$A$3:$A$5001,_xlfn.MAXIFS(BD!$A$3:$A$5001,BD!$B$3:$B$5001,R$233,BD!$A$3:$A$5001,"&gt;="&amp;$C$7,BD!$A$3:$A$5001,"&lt;="&amp;$B247,BD!$R$3:$R$5001,"&lt;&gt;"))))</f>
        <v/>
      </c>
      <c r="S247" s="54" t="str">
        <f>IF(OR($B247="",$A247&gt;$B$9,S$233=""),"",IF(COUNTIFS(BD!$B$3:$B$5001,S$233,BD!$A$3:$A$5001,"&gt;="&amp;$C$7,BD!$A$3:$A$5001,"&lt;="&amp;$B247,BD!$R$3:$R$5001,"&lt;&gt;")=0,"",SUMIFS(BD!$R$3:$R$5001,BD!$B$3:$B$5001,S$233,BD!$A$3:$A$5001,_xlfn.MAXIFS(BD!$A$3:$A$5001,BD!$B$3:$B$5001,S$233,BD!$A$3:$A$5001,"&gt;="&amp;$C$7,BD!$A$3:$A$5001,"&lt;="&amp;$B247,BD!$R$3:$R$5001,"&lt;&gt;"))))</f>
        <v/>
      </c>
      <c r="T247" s="54" t="str">
        <f>IF(OR($B247="",$A247&gt;$B$9,T$233=""),"",IF(COUNTIFS(BD!$B$3:$B$5001,T$233,BD!$A$3:$A$5001,"&gt;="&amp;$C$7,BD!$A$3:$A$5001,"&lt;="&amp;$B247,BD!$R$3:$R$5001,"&lt;&gt;")=0,"",SUMIFS(BD!$R$3:$R$5001,BD!$B$3:$B$5001,T$233,BD!$A$3:$A$5001,_xlfn.MAXIFS(BD!$A$3:$A$5001,BD!$B$3:$B$5001,T$233,BD!$A$3:$A$5001,"&gt;="&amp;$C$7,BD!$A$3:$A$5001,"&lt;="&amp;$B247,BD!$R$3:$R$5001,"&lt;&gt;"))))</f>
        <v/>
      </c>
      <c r="U247" s="54" t="str">
        <f>IF(OR($B247="",$A247&gt;$B$9,U$233=""),"",IF(COUNTIFS(BD!$B$3:$B$5001,U$233,BD!$A$3:$A$5001,"&gt;="&amp;$C$7,BD!$A$3:$A$5001,"&lt;="&amp;$B247,BD!$R$3:$R$5001,"&lt;&gt;")=0,"",SUMIFS(BD!$R$3:$R$5001,BD!$B$3:$B$5001,U$233,BD!$A$3:$A$5001,_xlfn.MAXIFS(BD!$A$3:$A$5001,BD!$B$3:$B$5001,U$233,BD!$A$3:$A$5001,"&gt;="&amp;$C$7,BD!$A$3:$A$5001,"&lt;="&amp;$B247,BD!$R$3:$R$5001,"&lt;&gt;"))))</f>
        <v/>
      </c>
      <c r="V247" s="54" t="str">
        <f>IF(OR($B247="",$A247&gt;$B$9,V$233=""),"",IF(COUNTIFS(BD!$B$3:$B$5001,V$233,BD!$A$3:$A$5001,"&gt;="&amp;$C$7,BD!$A$3:$A$5001,"&lt;="&amp;$B247,BD!$R$3:$R$5001,"&lt;&gt;")=0,"",SUMIFS(BD!$R$3:$R$5001,BD!$B$3:$B$5001,V$233,BD!$A$3:$A$5001,_xlfn.MAXIFS(BD!$A$3:$A$5001,BD!$B$3:$B$5001,V$233,BD!$A$3:$A$5001,"&gt;="&amp;$C$7,BD!$A$3:$A$5001,"&lt;="&amp;$B247,BD!$R$3:$R$5001,"&lt;&gt;"))))</f>
        <v/>
      </c>
    </row>
    <row r="248">
      <c r="A248" s="48">
        <v>15</v>
      </c>
      <c r="B248" s="53">
        <f>$B$26</f>
        <v>46310</v>
      </c>
      <c r="C248" s="54" t="str">
        <f>IF(OR($B248="",$A248&gt;$B$9,C$233=""),"",IF(COUNTIFS(BD!$B$3:$B$5001,C$233,BD!$A$3:$A$5001,"&gt;="&amp;$C$7,BD!$A$3:$A$5001,"&lt;="&amp;$B248,BD!$R$3:$R$5001,"&lt;&gt;")=0,"",SUMIFS(BD!$R$3:$R$5001,BD!$B$3:$B$5001,C$233,BD!$A$3:$A$5001,_xlfn.MAXIFS(BD!$A$3:$A$5001,BD!$B$3:$B$5001,C$233,BD!$A$3:$A$5001,"&gt;="&amp;$C$7,BD!$A$3:$A$5001,"&lt;="&amp;$B248,BD!$R$3:$R$5001,"&lt;&gt;"))))</f>
        <v/>
      </c>
      <c r="D248" s="54" t="str">
        <f>IF(OR($B248="",$A248&gt;$B$9,D$233=""),"",IF(COUNTIFS(BD!$B$3:$B$5001,D$233,BD!$A$3:$A$5001,"&gt;="&amp;$C$7,BD!$A$3:$A$5001,"&lt;="&amp;$B248,BD!$R$3:$R$5001,"&lt;&gt;")=0,"",SUMIFS(BD!$R$3:$R$5001,BD!$B$3:$B$5001,D$233,BD!$A$3:$A$5001,_xlfn.MAXIFS(BD!$A$3:$A$5001,BD!$B$3:$B$5001,D$233,BD!$A$3:$A$5001,"&gt;="&amp;$C$7,BD!$A$3:$A$5001,"&lt;="&amp;$B248,BD!$R$3:$R$5001,"&lt;&gt;"))))</f>
        <v/>
      </c>
      <c r="E248" s="54" t="str">
        <f>IF(OR($B248="",$A248&gt;$B$9,E$233=""),"",IF(COUNTIFS(BD!$B$3:$B$5001,E$233,BD!$A$3:$A$5001,"&gt;="&amp;$C$7,BD!$A$3:$A$5001,"&lt;="&amp;$B248,BD!$R$3:$R$5001,"&lt;&gt;")=0,"",SUMIFS(BD!$R$3:$R$5001,BD!$B$3:$B$5001,E$233,BD!$A$3:$A$5001,_xlfn.MAXIFS(BD!$A$3:$A$5001,BD!$B$3:$B$5001,E$233,BD!$A$3:$A$5001,"&gt;="&amp;$C$7,BD!$A$3:$A$5001,"&lt;="&amp;$B248,BD!$R$3:$R$5001,"&lt;&gt;"))))</f>
        <v/>
      </c>
      <c r="F248" s="54" t="str">
        <f>IF(OR($B248="",$A248&gt;$B$9,F$233=""),"",IF(COUNTIFS(BD!$B$3:$B$5001,F$233,BD!$A$3:$A$5001,"&gt;="&amp;$C$7,BD!$A$3:$A$5001,"&lt;="&amp;$B248,BD!$R$3:$R$5001,"&lt;&gt;")=0,"",SUMIFS(BD!$R$3:$R$5001,BD!$B$3:$B$5001,F$233,BD!$A$3:$A$5001,_xlfn.MAXIFS(BD!$A$3:$A$5001,BD!$B$3:$B$5001,F$233,BD!$A$3:$A$5001,"&gt;="&amp;$C$7,BD!$A$3:$A$5001,"&lt;="&amp;$B248,BD!$R$3:$R$5001,"&lt;&gt;"))))</f>
        <v/>
      </c>
      <c r="G248" s="54" t="str">
        <f>IF(OR($B248="",$A248&gt;$B$9,G$233=""),"",IF(COUNTIFS(BD!$B$3:$B$5001,G$233,BD!$A$3:$A$5001,"&gt;="&amp;$C$7,BD!$A$3:$A$5001,"&lt;="&amp;$B248,BD!$R$3:$R$5001,"&lt;&gt;")=0,"",SUMIFS(BD!$R$3:$R$5001,BD!$B$3:$B$5001,G$233,BD!$A$3:$A$5001,_xlfn.MAXIFS(BD!$A$3:$A$5001,BD!$B$3:$B$5001,G$233,BD!$A$3:$A$5001,"&gt;="&amp;$C$7,BD!$A$3:$A$5001,"&lt;="&amp;$B248,BD!$R$3:$R$5001,"&lt;&gt;"))))</f>
        <v/>
      </c>
      <c r="H248" s="54" t="str">
        <f>IF(OR($B248="",$A248&gt;$B$9,H$233=""),"",IF(COUNTIFS(BD!$B$3:$B$5001,H$233,BD!$A$3:$A$5001,"&gt;="&amp;$C$7,BD!$A$3:$A$5001,"&lt;="&amp;$B248,BD!$R$3:$R$5001,"&lt;&gt;")=0,"",SUMIFS(BD!$R$3:$R$5001,BD!$B$3:$B$5001,H$233,BD!$A$3:$A$5001,_xlfn.MAXIFS(BD!$A$3:$A$5001,BD!$B$3:$B$5001,H$233,BD!$A$3:$A$5001,"&gt;="&amp;$C$7,BD!$A$3:$A$5001,"&lt;="&amp;$B248,BD!$R$3:$R$5001,"&lt;&gt;"))))</f>
        <v/>
      </c>
      <c r="I248" s="54" t="str">
        <f>IF(OR($B248="",$A248&gt;$B$9,I$233=""),"",IF(COUNTIFS(BD!$B$3:$B$5001,I$233,BD!$A$3:$A$5001,"&gt;="&amp;$C$7,BD!$A$3:$A$5001,"&lt;="&amp;$B248,BD!$R$3:$R$5001,"&lt;&gt;")=0,"",SUMIFS(BD!$R$3:$R$5001,BD!$B$3:$B$5001,I$233,BD!$A$3:$A$5001,_xlfn.MAXIFS(BD!$A$3:$A$5001,BD!$B$3:$B$5001,I$233,BD!$A$3:$A$5001,"&gt;="&amp;$C$7,BD!$A$3:$A$5001,"&lt;="&amp;$B248,BD!$R$3:$R$5001,"&lt;&gt;"))))</f>
        <v/>
      </c>
      <c r="J248" s="54" t="str">
        <f>IF(OR($B248="",$A248&gt;$B$9,J$233=""),"",IF(COUNTIFS(BD!$B$3:$B$5001,J$233,BD!$A$3:$A$5001,"&gt;="&amp;$C$7,BD!$A$3:$A$5001,"&lt;="&amp;$B248,BD!$R$3:$R$5001,"&lt;&gt;")=0,"",SUMIFS(BD!$R$3:$R$5001,BD!$B$3:$B$5001,J$233,BD!$A$3:$A$5001,_xlfn.MAXIFS(BD!$A$3:$A$5001,BD!$B$3:$B$5001,J$233,BD!$A$3:$A$5001,"&gt;="&amp;$C$7,BD!$A$3:$A$5001,"&lt;="&amp;$B248,BD!$R$3:$R$5001,"&lt;&gt;"))))</f>
        <v/>
      </c>
      <c r="K248" s="54" t="str">
        <f>IF(OR($B248="",$A248&gt;$B$9,K$233=""),"",IF(COUNTIFS(BD!$B$3:$B$5001,K$233,BD!$A$3:$A$5001,"&gt;="&amp;$C$7,BD!$A$3:$A$5001,"&lt;="&amp;$B248,BD!$R$3:$R$5001,"&lt;&gt;")=0,"",SUMIFS(BD!$R$3:$R$5001,BD!$B$3:$B$5001,K$233,BD!$A$3:$A$5001,_xlfn.MAXIFS(BD!$A$3:$A$5001,BD!$B$3:$B$5001,K$233,BD!$A$3:$A$5001,"&gt;="&amp;$C$7,BD!$A$3:$A$5001,"&lt;="&amp;$B248,BD!$R$3:$R$5001,"&lt;&gt;"))))</f>
        <v/>
      </c>
      <c r="L248" s="54" t="str">
        <f>IF(OR($B248="",$A248&gt;$B$9,L$233=""),"",IF(COUNTIFS(BD!$B$3:$B$5001,L$233,BD!$A$3:$A$5001,"&gt;="&amp;$C$7,BD!$A$3:$A$5001,"&lt;="&amp;$B248,BD!$R$3:$R$5001,"&lt;&gt;")=0,"",SUMIFS(BD!$R$3:$R$5001,BD!$B$3:$B$5001,L$233,BD!$A$3:$A$5001,_xlfn.MAXIFS(BD!$A$3:$A$5001,BD!$B$3:$B$5001,L$233,BD!$A$3:$A$5001,"&gt;="&amp;$C$7,BD!$A$3:$A$5001,"&lt;="&amp;$B248,BD!$R$3:$R$5001,"&lt;&gt;"))))</f>
        <v/>
      </c>
      <c r="M248" s="54" t="str">
        <f>IF(OR($B248="",$A248&gt;$B$9,M$233=""),"",IF(COUNTIFS(BD!$B$3:$B$5001,M$233,BD!$A$3:$A$5001,"&gt;="&amp;$C$7,BD!$A$3:$A$5001,"&lt;="&amp;$B248,BD!$R$3:$R$5001,"&lt;&gt;")=0,"",SUMIFS(BD!$R$3:$R$5001,BD!$B$3:$B$5001,M$233,BD!$A$3:$A$5001,_xlfn.MAXIFS(BD!$A$3:$A$5001,BD!$B$3:$B$5001,M$233,BD!$A$3:$A$5001,"&gt;="&amp;$C$7,BD!$A$3:$A$5001,"&lt;="&amp;$B248,BD!$R$3:$R$5001,"&lt;&gt;"))))</f>
        <v/>
      </c>
      <c r="N248" s="54" t="str">
        <f>IF(OR($B248="",$A248&gt;$B$9,N$233=""),"",IF(COUNTIFS(BD!$B$3:$B$5001,N$233,BD!$A$3:$A$5001,"&gt;="&amp;$C$7,BD!$A$3:$A$5001,"&lt;="&amp;$B248,BD!$R$3:$R$5001,"&lt;&gt;")=0,"",SUMIFS(BD!$R$3:$R$5001,BD!$B$3:$B$5001,N$233,BD!$A$3:$A$5001,_xlfn.MAXIFS(BD!$A$3:$A$5001,BD!$B$3:$B$5001,N$233,BD!$A$3:$A$5001,"&gt;="&amp;$C$7,BD!$A$3:$A$5001,"&lt;="&amp;$B248,BD!$R$3:$R$5001,"&lt;&gt;"))))</f>
        <v/>
      </c>
      <c r="O248" s="54" t="str">
        <f>IF(OR($B248="",$A248&gt;$B$9,O$233=""),"",IF(COUNTIFS(BD!$B$3:$B$5001,O$233,BD!$A$3:$A$5001,"&gt;="&amp;$C$7,BD!$A$3:$A$5001,"&lt;="&amp;$B248,BD!$R$3:$R$5001,"&lt;&gt;")=0,"",SUMIFS(BD!$R$3:$R$5001,BD!$B$3:$B$5001,O$233,BD!$A$3:$A$5001,_xlfn.MAXIFS(BD!$A$3:$A$5001,BD!$B$3:$B$5001,O$233,BD!$A$3:$A$5001,"&gt;="&amp;$C$7,BD!$A$3:$A$5001,"&lt;="&amp;$B248,BD!$R$3:$R$5001,"&lt;&gt;"))))</f>
        <v/>
      </c>
      <c r="P248" s="54" t="str">
        <f>IF(OR($B248="",$A248&gt;$B$9,P$233=""),"",IF(COUNTIFS(BD!$B$3:$B$5001,P$233,BD!$A$3:$A$5001,"&gt;="&amp;$C$7,BD!$A$3:$A$5001,"&lt;="&amp;$B248,BD!$R$3:$R$5001,"&lt;&gt;")=0,"",SUMIFS(BD!$R$3:$R$5001,BD!$B$3:$B$5001,P$233,BD!$A$3:$A$5001,_xlfn.MAXIFS(BD!$A$3:$A$5001,BD!$B$3:$B$5001,P$233,BD!$A$3:$A$5001,"&gt;="&amp;$C$7,BD!$A$3:$A$5001,"&lt;="&amp;$B248,BD!$R$3:$R$5001,"&lt;&gt;"))))</f>
        <v/>
      </c>
      <c r="Q248" s="54" t="str">
        <f>IF(OR($B248="",$A248&gt;$B$9,Q$233=""),"",IF(COUNTIFS(BD!$B$3:$B$5001,Q$233,BD!$A$3:$A$5001,"&gt;="&amp;$C$7,BD!$A$3:$A$5001,"&lt;="&amp;$B248,BD!$R$3:$R$5001,"&lt;&gt;")=0,"",SUMIFS(BD!$R$3:$R$5001,BD!$B$3:$B$5001,Q$233,BD!$A$3:$A$5001,_xlfn.MAXIFS(BD!$A$3:$A$5001,BD!$B$3:$B$5001,Q$233,BD!$A$3:$A$5001,"&gt;="&amp;$C$7,BD!$A$3:$A$5001,"&lt;="&amp;$B248,BD!$R$3:$R$5001,"&lt;&gt;"))))</f>
        <v/>
      </c>
      <c r="R248" s="54" t="str">
        <f>IF(OR($B248="",$A248&gt;$B$9,R$233=""),"",IF(COUNTIFS(BD!$B$3:$B$5001,R$233,BD!$A$3:$A$5001,"&gt;="&amp;$C$7,BD!$A$3:$A$5001,"&lt;="&amp;$B248,BD!$R$3:$R$5001,"&lt;&gt;")=0,"",SUMIFS(BD!$R$3:$R$5001,BD!$B$3:$B$5001,R$233,BD!$A$3:$A$5001,_xlfn.MAXIFS(BD!$A$3:$A$5001,BD!$B$3:$B$5001,R$233,BD!$A$3:$A$5001,"&gt;="&amp;$C$7,BD!$A$3:$A$5001,"&lt;="&amp;$B248,BD!$R$3:$R$5001,"&lt;&gt;"))))</f>
        <v/>
      </c>
      <c r="S248" s="54" t="str">
        <f>IF(OR($B248="",$A248&gt;$B$9,S$233=""),"",IF(COUNTIFS(BD!$B$3:$B$5001,S$233,BD!$A$3:$A$5001,"&gt;="&amp;$C$7,BD!$A$3:$A$5001,"&lt;="&amp;$B248,BD!$R$3:$R$5001,"&lt;&gt;")=0,"",SUMIFS(BD!$R$3:$R$5001,BD!$B$3:$B$5001,S$233,BD!$A$3:$A$5001,_xlfn.MAXIFS(BD!$A$3:$A$5001,BD!$B$3:$B$5001,S$233,BD!$A$3:$A$5001,"&gt;="&amp;$C$7,BD!$A$3:$A$5001,"&lt;="&amp;$B248,BD!$R$3:$R$5001,"&lt;&gt;"))))</f>
        <v/>
      </c>
      <c r="T248" s="54" t="str">
        <f>IF(OR($B248="",$A248&gt;$B$9,T$233=""),"",IF(COUNTIFS(BD!$B$3:$B$5001,T$233,BD!$A$3:$A$5001,"&gt;="&amp;$C$7,BD!$A$3:$A$5001,"&lt;="&amp;$B248,BD!$R$3:$R$5001,"&lt;&gt;")=0,"",SUMIFS(BD!$R$3:$R$5001,BD!$B$3:$B$5001,T$233,BD!$A$3:$A$5001,_xlfn.MAXIFS(BD!$A$3:$A$5001,BD!$B$3:$B$5001,T$233,BD!$A$3:$A$5001,"&gt;="&amp;$C$7,BD!$A$3:$A$5001,"&lt;="&amp;$B248,BD!$R$3:$R$5001,"&lt;&gt;"))))</f>
        <v/>
      </c>
      <c r="U248" s="54" t="str">
        <f>IF(OR($B248="",$A248&gt;$B$9,U$233=""),"",IF(COUNTIFS(BD!$B$3:$B$5001,U$233,BD!$A$3:$A$5001,"&gt;="&amp;$C$7,BD!$A$3:$A$5001,"&lt;="&amp;$B248,BD!$R$3:$R$5001,"&lt;&gt;")=0,"",SUMIFS(BD!$R$3:$R$5001,BD!$B$3:$B$5001,U$233,BD!$A$3:$A$5001,_xlfn.MAXIFS(BD!$A$3:$A$5001,BD!$B$3:$B$5001,U$233,BD!$A$3:$A$5001,"&gt;="&amp;$C$7,BD!$A$3:$A$5001,"&lt;="&amp;$B248,BD!$R$3:$R$5001,"&lt;&gt;"))))</f>
        <v/>
      </c>
      <c r="V248" s="54" t="str">
        <f>IF(OR($B248="",$A248&gt;$B$9,V$233=""),"",IF(COUNTIFS(BD!$B$3:$B$5001,V$233,BD!$A$3:$A$5001,"&gt;="&amp;$C$7,BD!$A$3:$A$5001,"&lt;="&amp;$B248,BD!$R$3:$R$5001,"&lt;&gt;")=0,"",SUMIFS(BD!$R$3:$R$5001,BD!$B$3:$B$5001,V$233,BD!$A$3:$A$5001,_xlfn.MAXIFS(BD!$A$3:$A$5001,BD!$B$3:$B$5001,V$233,BD!$A$3:$A$5001,"&gt;="&amp;$C$7,BD!$A$3:$A$5001,"&lt;="&amp;$B248,BD!$R$3:$R$5001,"&lt;&gt;"))))</f>
        <v/>
      </c>
    </row>
    <row r="249">
      <c r="A249" s="48">
        <v>16</v>
      </c>
      <c r="B249" s="53">
        <f>$B$27</f>
        <v>46311</v>
      </c>
      <c r="C249" s="54" t="str">
        <f>IF(OR($B249="",$A249&gt;$B$9,C$233=""),"",IF(COUNTIFS(BD!$B$3:$B$5001,C$233,BD!$A$3:$A$5001,"&gt;="&amp;$C$7,BD!$A$3:$A$5001,"&lt;="&amp;$B249,BD!$R$3:$R$5001,"&lt;&gt;")=0,"",SUMIFS(BD!$R$3:$R$5001,BD!$B$3:$B$5001,C$233,BD!$A$3:$A$5001,_xlfn.MAXIFS(BD!$A$3:$A$5001,BD!$B$3:$B$5001,C$233,BD!$A$3:$A$5001,"&gt;="&amp;$C$7,BD!$A$3:$A$5001,"&lt;="&amp;$B249,BD!$R$3:$R$5001,"&lt;&gt;"))))</f>
        <v/>
      </c>
      <c r="D249" s="54" t="str">
        <f>IF(OR($B249="",$A249&gt;$B$9,D$233=""),"",IF(COUNTIFS(BD!$B$3:$B$5001,D$233,BD!$A$3:$A$5001,"&gt;="&amp;$C$7,BD!$A$3:$A$5001,"&lt;="&amp;$B249,BD!$R$3:$R$5001,"&lt;&gt;")=0,"",SUMIFS(BD!$R$3:$R$5001,BD!$B$3:$B$5001,D$233,BD!$A$3:$A$5001,_xlfn.MAXIFS(BD!$A$3:$A$5001,BD!$B$3:$B$5001,D$233,BD!$A$3:$A$5001,"&gt;="&amp;$C$7,BD!$A$3:$A$5001,"&lt;="&amp;$B249,BD!$R$3:$R$5001,"&lt;&gt;"))))</f>
        <v/>
      </c>
      <c r="E249" s="54" t="str">
        <f>IF(OR($B249="",$A249&gt;$B$9,E$233=""),"",IF(COUNTIFS(BD!$B$3:$B$5001,E$233,BD!$A$3:$A$5001,"&gt;="&amp;$C$7,BD!$A$3:$A$5001,"&lt;="&amp;$B249,BD!$R$3:$R$5001,"&lt;&gt;")=0,"",SUMIFS(BD!$R$3:$R$5001,BD!$B$3:$B$5001,E$233,BD!$A$3:$A$5001,_xlfn.MAXIFS(BD!$A$3:$A$5001,BD!$B$3:$B$5001,E$233,BD!$A$3:$A$5001,"&gt;="&amp;$C$7,BD!$A$3:$A$5001,"&lt;="&amp;$B249,BD!$R$3:$R$5001,"&lt;&gt;"))))</f>
        <v/>
      </c>
      <c r="F249" s="54" t="str">
        <f>IF(OR($B249="",$A249&gt;$B$9,F$233=""),"",IF(COUNTIFS(BD!$B$3:$B$5001,F$233,BD!$A$3:$A$5001,"&gt;="&amp;$C$7,BD!$A$3:$A$5001,"&lt;="&amp;$B249,BD!$R$3:$R$5001,"&lt;&gt;")=0,"",SUMIFS(BD!$R$3:$R$5001,BD!$B$3:$B$5001,F$233,BD!$A$3:$A$5001,_xlfn.MAXIFS(BD!$A$3:$A$5001,BD!$B$3:$B$5001,F$233,BD!$A$3:$A$5001,"&gt;="&amp;$C$7,BD!$A$3:$A$5001,"&lt;="&amp;$B249,BD!$R$3:$R$5001,"&lt;&gt;"))))</f>
        <v/>
      </c>
      <c r="G249" s="54" t="str">
        <f>IF(OR($B249="",$A249&gt;$B$9,G$233=""),"",IF(COUNTIFS(BD!$B$3:$B$5001,G$233,BD!$A$3:$A$5001,"&gt;="&amp;$C$7,BD!$A$3:$A$5001,"&lt;="&amp;$B249,BD!$R$3:$R$5001,"&lt;&gt;")=0,"",SUMIFS(BD!$R$3:$R$5001,BD!$B$3:$B$5001,G$233,BD!$A$3:$A$5001,_xlfn.MAXIFS(BD!$A$3:$A$5001,BD!$B$3:$B$5001,G$233,BD!$A$3:$A$5001,"&gt;="&amp;$C$7,BD!$A$3:$A$5001,"&lt;="&amp;$B249,BD!$R$3:$R$5001,"&lt;&gt;"))))</f>
        <v/>
      </c>
      <c r="H249" s="54" t="str">
        <f>IF(OR($B249="",$A249&gt;$B$9,H$233=""),"",IF(COUNTIFS(BD!$B$3:$B$5001,H$233,BD!$A$3:$A$5001,"&gt;="&amp;$C$7,BD!$A$3:$A$5001,"&lt;="&amp;$B249,BD!$R$3:$R$5001,"&lt;&gt;")=0,"",SUMIFS(BD!$R$3:$R$5001,BD!$B$3:$B$5001,H$233,BD!$A$3:$A$5001,_xlfn.MAXIFS(BD!$A$3:$A$5001,BD!$B$3:$B$5001,H$233,BD!$A$3:$A$5001,"&gt;="&amp;$C$7,BD!$A$3:$A$5001,"&lt;="&amp;$B249,BD!$R$3:$R$5001,"&lt;&gt;"))))</f>
        <v/>
      </c>
      <c r="I249" s="54" t="str">
        <f>IF(OR($B249="",$A249&gt;$B$9,I$233=""),"",IF(COUNTIFS(BD!$B$3:$B$5001,I$233,BD!$A$3:$A$5001,"&gt;="&amp;$C$7,BD!$A$3:$A$5001,"&lt;="&amp;$B249,BD!$R$3:$R$5001,"&lt;&gt;")=0,"",SUMIFS(BD!$R$3:$R$5001,BD!$B$3:$B$5001,I$233,BD!$A$3:$A$5001,_xlfn.MAXIFS(BD!$A$3:$A$5001,BD!$B$3:$B$5001,I$233,BD!$A$3:$A$5001,"&gt;="&amp;$C$7,BD!$A$3:$A$5001,"&lt;="&amp;$B249,BD!$R$3:$R$5001,"&lt;&gt;"))))</f>
        <v/>
      </c>
      <c r="J249" s="54" t="str">
        <f>IF(OR($B249="",$A249&gt;$B$9,J$233=""),"",IF(COUNTIFS(BD!$B$3:$B$5001,J$233,BD!$A$3:$A$5001,"&gt;="&amp;$C$7,BD!$A$3:$A$5001,"&lt;="&amp;$B249,BD!$R$3:$R$5001,"&lt;&gt;")=0,"",SUMIFS(BD!$R$3:$R$5001,BD!$B$3:$B$5001,J$233,BD!$A$3:$A$5001,_xlfn.MAXIFS(BD!$A$3:$A$5001,BD!$B$3:$B$5001,J$233,BD!$A$3:$A$5001,"&gt;="&amp;$C$7,BD!$A$3:$A$5001,"&lt;="&amp;$B249,BD!$R$3:$R$5001,"&lt;&gt;"))))</f>
        <v/>
      </c>
      <c r="K249" s="54" t="str">
        <f>IF(OR($B249="",$A249&gt;$B$9,K$233=""),"",IF(COUNTIFS(BD!$B$3:$B$5001,K$233,BD!$A$3:$A$5001,"&gt;="&amp;$C$7,BD!$A$3:$A$5001,"&lt;="&amp;$B249,BD!$R$3:$R$5001,"&lt;&gt;")=0,"",SUMIFS(BD!$R$3:$R$5001,BD!$B$3:$B$5001,K$233,BD!$A$3:$A$5001,_xlfn.MAXIFS(BD!$A$3:$A$5001,BD!$B$3:$B$5001,K$233,BD!$A$3:$A$5001,"&gt;="&amp;$C$7,BD!$A$3:$A$5001,"&lt;="&amp;$B249,BD!$R$3:$R$5001,"&lt;&gt;"))))</f>
        <v/>
      </c>
      <c r="L249" s="54" t="str">
        <f>IF(OR($B249="",$A249&gt;$B$9,L$233=""),"",IF(COUNTIFS(BD!$B$3:$B$5001,L$233,BD!$A$3:$A$5001,"&gt;="&amp;$C$7,BD!$A$3:$A$5001,"&lt;="&amp;$B249,BD!$R$3:$R$5001,"&lt;&gt;")=0,"",SUMIFS(BD!$R$3:$R$5001,BD!$B$3:$B$5001,L$233,BD!$A$3:$A$5001,_xlfn.MAXIFS(BD!$A$3:$A$5001,BD!$B$3:$B$5001,L$233,BD!$A$3:$A$5001,"&gt;="&amp;$C$7,BD!$A$3:$A$5001,"&lt;="&amp;$B249,BD!$R$3:$R$5001,"&lt;&gt;"))))</f>
        <v/>
      </c>
      <c r="M249" s="54" t="str">
        <f>IF(OR($B249="",$A249&gt;$B$9,M$233=""),"",IF(COUNTIFS(BD!$B$3:$B$5001,M$233,BD!$A$3:$A$5001,"&gt;="&amp;$C$7,BD!$A$3:$A$5001,"&lt;="&amp;$B249,BD!$R$3:$R$5001,"&lt;&gt;")=0,"",SUMIFS(BD!$R$3:$R$5001,BD!$B$3:$B$5001,M$233,BD!$A$3:$A$5001,_xlfn.MAXIFS(BD!$A$3:$A$5001,BD!$B$3:$B$5001,M$233,BD!$A$3:$A$5001,"&gt;="&amp;$C$7,BD!$A$3:$A$5001,"&lt;="&amp;$B249,BD!$R$3:$R$5001,"&lt;&gt;"))))</f>
        <v/>
      </c>
      <c r="N249" s="54" t="str">
        <f>IF(OR($B249="",$A249&gt;$B$9,N$233=""),"",IF(COUNTIFS(BD!$B$3:$B$5001,N$233,BD!$A$3:$A$5001,"&gt;="&amp;$C$7,BD!$A$3:$A$5001,"&lt;="&amp;$B249,BD!$R$3:$R$5001,"&lt;&gt;")=0,"",SUMIFS(BD!$R$3:$R$5001,BD!$B$3:$B$5001,N$233,BD!$A$3:$A$5001,_xlfn.MAXIFS(BD!$A$3:$A$5001,BD!$B$3:$B$5001,N$233,BD!$A$3:$A$5001,"&gt;="&amp;$C$7,BD!$A$3:$A$5001,"&lt;="&amp;$B249,BD!$R$3:$R$5001,"&lt;&gt;"))))</f>
        <v/>
      </c>
      <c r="O249" s="54" t="str">
        <f>IF(OR($B249="",$A249&gt;$B$9,O$233=""),"",IF(COUNTIFS(BD!$B$3:$B$5001,O$233,BD!$A$3:$A$5001,"&gt;="&amp;$C$7,BD!$A$3:$A$5001,"&lt;="&amp;$B249,BD!$R$3:$R$5001,"&lt;&gt;")=0,"",SUMIFS(BD!$R$3:$R$5001,BD!$B$3:$B$5001,O$233,BD!$A$3:$A$5001,_xlfn.MAXIFS(BD!$A$3:$A$5001,BD!$B$3:$B$5001,O$233,BD!$A$3:$A$5001,"&gt;="&amp;$C$7,BD!$A$3:$A$5001,"&lt;="&amp;$B249,BD!$R$3:$R$5001,"&lt;&gt;"))))</f>
        <v/>
      </c>
      <c r="P249" s="54" t="str">
        <f>IF(OR($B249="",$A249&gt;$B$9,P$233=""),"",IF(COUNTIFS(BD!$B$3:$B$5001,P$233,BD!$A$3:$A$5001,"&gt;="&amp;$C$7,BD!$A$3:$A$5001,"&lt;="&amp;$B249,BD!$R$3:$R$5001,"&lt;&gt;")=0,"",SUMIFS(BD!$R$3:$R$5001,BD!$B$3:$B$5001,P$233,BD!$A$3:$A$5001,_xlfn.MAXIFS(BD!$A$3:$A$5001,BD!$B$3:$B$5001,P$233,BD!$A$3:$A$5001,"&gt;="&amp;$C$7,BD!$A$3:$A$5001,"&lt;="&amp;$B249,BD!$R$3:$R$5001,"&lt;&gt;"))))</f>
        <v/>
      </c>
      <c r="Q249" s="54" t="str">
        <f>IF(OR($B249="",$A249&gt;$B$9,Q$233=""),"",IF(COUNTIFS(BD!$B$3:$B$5001,Q$233,BD!$A$3:$A$5001,"&gt;="&amp;$C$7,BD!$A$3:$A$5001,"&lt;="&amp;$B249,BD!$R$3:$R$5001,"&lt;&gt;")=0,"",SUMIFS(BD!$R$3:$R$5001,BD!$B$3:$B$5001,Q$233,BD!$A$3:$A$5001,_xlfn.MAXIFS(BD!$A$3:$A$5001,BD!$B$3:$B$5001,Q$233,BD!$A$3:$A$5001,"&gt;="&amp;$C$7,BD!$A$3:$A$5001,"&lt;="&amp;$B249,BD!$R$3:$R$5001,"&lt;&gt;"))))</f>
        <v/>
      </c>
      <c r="R249" s="54" t="str">
        <f>IF(OR($B249="",$A249&gt;$B$9,R$233=""),"",IF(COUNTIFS(BD!$B$3:$B$5001,R$233,BD!$A$3:$A$5001,"&gt;="&amp;$C$7,BD!$A$3:$A$5001,"&lt;="&amp;$B249,BD!$R$3:$R$5001,"&lt;&gt;")=0,"",SUMIFS(BD!$R$3:$R$5001,BD!$B$3:$B$5001,R$233,BD!$A$3:$A$5001,_xlfn.MAXIFS(BD!$A$3:$A$5001,BD!$B$3:$B$5001,R$233,BD!$A$3:$A$5001,"&gt;="&amp;$C$7,BD!$A$3:$A$5001,"&lt;="&amp;$B249,BD!$R$3:$R$5001,"&lt;&gt;"))))</f>
        <v/>
      </c>
      <c r="S249" s="54" t="str">
        <f>IF(OR($B249="",$A249&gt;$B$9,S$233=""),"",IF(COUNTIFS(BD!$B$3:$B$5001,S$233,BD!$A$3:$A$5001,"&gt;="&amp;$C$7,BD!$A$3:$A$5001,"&lt;="&amp;$B249,BD!$R$3:$R$5001,"&lt;&gt;")=0,"",SUMIFS(BD!$R$3:$R$5001,BD!$B$3:$B$5001,S$233,BD!$A$3:$A$5001,_xlfn.MAXIFS(BD!$A$3:$A$5001,BD!$B$3:$B$5001,S$233,BD!$A$3:$A$5001,"&gt;="&amp;$C$7,BD!$A$3:$A$5001,"&lt;="&amp;$B249,BD!$R$3:$R$5001,"&lt;&gt;"))))</f>
        <v/>
      </c>
      <c r="T249" s="54" t="str">
        <f>IF(OR($B249="",$A249&gt;$B$9,T$233=""),"",IF(COUNTIFS(BD!$B$3:$B$5001,T$233,BD!$A$3:$A$5001,"&gt;="&amp;$C$7,BD!$A$3:$A$5001,"&lt;="&amp;$B249,BD!$R$3:$R$5001,"&lt;&gt;")=0,"",SUMIFS(BD!$R$3:$R$5001,BD!$B$3:$B$5001,T$233,BD!$A$3:$A$5001,_xlfn.MAXIFS(BD!$A$3:$A$5001,BD!$B$3:$B$5001,T$233,BD!$A$3:$A$5001,"&gt;="&amp;$C$7,BD!$A$3:$A$5001,"&lt;="&amp;$B249,BD!$R$3:$R$5001,"&lt;&gt;"))))</f>
        <v/>
      </c>
      <c r="U249" s="54" t="str">
        <f>IF(OR($B249="",$A249&gt;$B$9,U$233=""),"",IF(COUNTIFS(BD!$B$3:$B$5001,U$233,BD!$A$3:$A$5001,"&gt;="&amp;$C$7,BD!$A$3:$A$5001,"&lt;="&amp;$B249,BD!$R$3:$R$5001,"&lt;&gt;")=0,"",SUMIFS(BD!$R$3:$R$5001,BD!$B$3:$B$5001,U$233,BD!$A$3:$A$5001,_xlfn.MAXIFS(BD!$A$3:$A$5001,BD!$B$3:$B$5001,U$233,BD!$A$3:$A$5001,"&gt;="&amp;$C$7,BD!$A$3:$A$5001,"&lt;="&amp;$B249,BD!$R$3:$R$5001,"&lt;&gt;"))))</f>
        <v/>
      </c>
      <c r="V249" s="54" t="str">
        <f>IF(OR($B249="",$A249&gt;$B$9,V$233=""),"",IF(COUNTIFS(BD!$B$3:$B$5001,V$233,BD!$A$3:$A$5001,"&gt;="&amp;$C$7,BD!$A$3:$A$5001,"&lt;="&amp;$B249,BD!$R$3:$R$5001,"&lt;&gt;")=0,"",SUMIFS(BD!$R$3:$R$5001,BD!$B$3:$B$5001,V$233,BD!$A$3:$A$5001,_xlfn.MAXIFS(BD!$A$3:$A$5001,BD!$B$3:$B$5001,V$233,BD!$A$3:$A$5001,"&gt;="&amp;$C$7,BD!$A$3:$A$5001,"&lt;="&amp;$B249,BD!$R$3:$R$5001,"&lt;&gt;"))))</f>
        <v/>
      </c>
    </row>
    <row r="250">
      <c r="A250" s="48">
        <v>17</v>
      </c>
      <c r="B250" s="53">
        <f>$B$28</f>
        <v>46312</v>
      </c>
      <c r="C250" s="54" t="str">
        <f>IF(OR($B250="",$A250&gt;$B$9,C$233=""),"",IF(COUNTIFS(BD!$B$3:$B$5001,C$233,BD!$A$3:$A$5001,"&gt;="&amp;$C$7,BD!$A$3:$A$5001,"&lt;="&amp;$B250,BD!$R$3:$R$5001,"&lt;&gt;")=0,"",SUMIFS(BD!$R$3:$R$5001,BD!$B$3:$B$5001,C$233,BD!$A$3:$A$5001,_xlfn.MAXIFS(BD!$A$3:$A$5001,BD!$B$3:$B$5001,C$233,BD!$A$3:$A$5001,"&gt;="&amp;$C$7,BD!$A$3:$A$5001,"&lt;="&amp;$B250,BD!$R$3:$R$5001,"&lt;&gt;"))))</f>
        <v/>
      </c>
      <c r="D250" s="54" t="str">
        <f>IF(OR($B250="",$A250&gt;$B$9,D$233=""),"",IF(COUNTIFS(BD!$B$3:$B$5001,D$233,BD!$A$3:$A$5001,"&gt;="&amp;$C$7,BD!$A$3:$A$5001,"&lt;="&amp;$B250,BD!$R$3:$R$5001,"&lt;&gt;")=0,"",SUMIFS(BD!$R$3:$R$5001,BD!$B$3:$B$5001,D$233,BD!$A$3:$A$5001,_xlfn.MAXIFS(BD!$A$3:$A$5001,BD!$B$3:$B$5001,D$233,BD!$A$3:$A$5001,"&gt;="&amp;$C$7,BD!$A$3:$A$5001,"&lt;="&amp;$B250,BD!$R$3:$R$5001,"&lt;&gt;"))))</f>
        <v/>
      </c>
      <c r="E250" s="54" t="str">
        <f>IF(OR($B250="",$A250&gt;$B$9,E$233=""),"",IF(COUNTIFS(BD!$B$3:$B$5001,E$233,BD!$A$3:$A$5001,"&gt;="&amp;$C$7,BD!$A$3:$A$5001,"&lt;="&amp;$B250,BD!$R$3:$R$5001,"&lt;&gt;")=0,"",SUMIFS(BD!$R$3:$R$5001,BD!$B$3:$B$5001,E$233,BD!$A$3:$A$5001,_xlfn.MAXIFS(BD!$A$3:$A$5001,BD!$B$3:$B$5001,E$233,BD!$A$3:$A$5001,"&gt;="&amp;$C$7,BD!$A$3:$A$5001,"&lt;="&amp;$B250,BD!$R$3:$R$5001,"&lt;&gt;"))))</f>
        <v/>
      </c>
      <c r="F250" s="54" t="str">
        <f>IF(OR($B250="",$A250&gt;$B$9,F$233=""),"",IF(COUNTIFS(BD!$B$3:$B$5001,F$233,BD!$A$3:$A$5001,"&gt;="&amp;$C$7,BD!$A$3:$A$5001,"&lt;="&amp;$B250,BD!$R$3:$R$5001,"&lt;&gt;")=0,"",SUMIFS(BD!$R$3:$R$5001,BD!$B$3:$B$5001,F$233,BD!$A$3:$A$5001,_xlfn.MAXIFS(BD!$A$3:$A$5001,BD!$B$3:$B$5001,F$233,BD!$A$3:$A$5001,"&gt;="&amp;$C$7,BD!$A$3:$A$5001,"&lt;="&amp;$B250,BD!$R$3:$R$5001,"&lt;&gt;"))))</f>
        <v/>
      </c>
      <c r="G250" s="54" t="str">
        <f>IF(OR($B250="",$A250&gt;$B$9,G$233=""),"",IF(COUNTIFS(BD!$B$3:$B$5001,G$233,BD!$A$3:$A$5001,"&gt;="&amp;$C$7,BD!$A$3:$A$5001,"&lt;="&amp;$B250,BD!$R$3:$R$5001,"&lt;&gt;")=0,"",SUMIFS(BD!$R$3:$R$5001,BD!$B$3:$B$5001,G$233,BD!$A$3:$A$5001,_xlfn.MAXIFS(BD!$A$3:$A$5001,BD!$B$3:$B$5001,G$233,BD!$A$3:$A$5001,"&gt;="&amp;$C$7,BD!$A$3:$A$5001,"&lt;="&amp;$B250,BD!$R$3:$R$5001,"&lt;&gt;"))))</f>
        <v/>
      </c>
      <c r="H250" s="54" t="str">
        <f>IF(OR($B250="",$A250&gt;$B$9,H$233=""),"",IF(COUNTIFS(BD!$B$3:$B$5001,H$233,BD!$A$3:$A$5001,"&gt;="&amp;$C$7,BD!$A$3:$A$5001,"&lt;="&amp;$B250,BD!$R$3:$R$5001,"&lt;&gt;")=0,"",SUMIFS(BD!$R$3:$R$5001,BD!$B$3:$B$5001,H$233,BD!$A$3:$A$5001,_xlfn.MAXIFS(BD!$A$3:$A$5001,BD!$B$3:$B$5001,H$233,BD!$A$3:$A$5001,"&gt;="&amp;$C$7,BD!$A$3:$A$5001,"&lt;="&amp;$B250,BD!$R$3:$R$5001,"&lt;&gt;"))))</f>
        <v/>
      </c>
      <c r="I250" s="54" t="str">
        <f>IF(OR($B250="",$A250&gt;$B$9,I$233=""),"",IF(COUNTIFS(BD!$B$3:$B$5001,I$233,BD!$A$3:$A$5001,"&gt;="&amp;$C$7,BD!$A$3:$A$5001,"&lt;="&amp;$B250,BD!$R$3:$R$5001,"&lt;&gt;")=0,"",SUMIFS(BD!$R$3:$R$5001,BD!$B$3:$B$5001,I$233,BD!$A$3:$A$5001,_xlfn.MAXIFS(BD!$A$3:$A$5001,BD!$B$3:$B$5001,I$233,BD!$A$3:$A$5001,"&gt;="&amp;$C$7,BD!$A$3:$A$5001,"&lt;="&amp;$B250,BD!$R$3:$R$5001,"&lt;&gt;"))))</f>
        <v/>
      </c>
      <c r="J250" s="54" t="str">
        <f>IF(OR($B250="",$A250&gt;$B$9,J$233=""),"",IF(COUNTIFS(BD!$B$3:$B$5001,J$233,BD!$A$3:$A$5001,"&gt;="&amp;$C$7,BD!$A$3:$A$5001,"&lt;="&amp;$B250,BD!$R$3:$R$5001,"&lt;&gt;")=0,"",SUMIFS(BD!$R$3:$R$5001,BD!$B$3:$B$5001,J$233,BD!$A$3:$A$5001,_xlfn.MAXIFS(BD!$A$3:$A$5001,BD!$B$3:$B$5001,J$233,BD!$A$3:$A$5001,"&gt;="&amp;$C$7,BD!$A$3:$A$5001,"&lt;="&amp;$B250,BD!$R$3:$R$5001,"&lt;&gt;"))))</f>
        <v/>
      </c>
      <c r="K250" s="54" t="str">
        <f>IF(OR($B250="",$A250&gt;$B$9,K$233=""),"",IF(COUNTIFS(BD!$B$3:$B$5001,K$233,BD!$A$3:$A$5001,"&gt;="&amp;$C$7,BD!$A$3:$A$5001,"&lt;="&amp;$B250,BD!$R$3:$R$5001,"&lt;&gt;")=0,"",SUMIFS(BD!$R$3:$R$5001,BD!$B$3:$B$5001,K$233,BD!$A$3:$A$5001,_xlfn.MAXIFS(BD!$A$3:$A$5001,BD!$B$3:$B$5001,K$233,BD!$A$3:$A$5001,"&gt;="&amp;$C$7,BD!$A$3:$A$5001,"&lt;="&amp;$B250,BD!$R$3:$R$5001,"&lt;&gt;"))))</f>
        <v/>
      </c>
      <c r="L250" s="54" t="str">
        <f>IF(OR($B250="",$A250&gt;$B$9,L$233=""),"",IF(COUNTIFS(BD!$B$3:$B$5001,L$233,BD!$A$3:$A$5001,"&gt;="&amp;$C$7,BD!$A$3:$A$5001,"&lt;="&amp;$B250,BD!$R$3:$R$5001,"&lt;&gt;")=0,"",SUMIFS(BD!$R$3:$R$5001,BD!$B$3:$B$5001,L$233,BD!$A$3:$A$5001,_xlfn.MAXIFS(BD!$A$3:$A$5001,BD!$B$3:$B$5001,L$233,BD!$A$3:$A$5001,"&gt;="&amp;$C$7,BD!$A$3:$A$5001,"&lt;="&amp;$B250,BD!$R$3:$R$5001,"&lt;&gt;"))))</f>
        <v/>
      </c>
      <c r="M250" s="54" t="str">
        <f>IF(OR($B250="",$A250&gt;$B$9,M$233=""),"",IF(COUNTIFS(BD!$B$3:$B$5001,M$233,BD!$A$3:$A$5001,"&gt;="&amp;$C$7,BD!$A$3:$A$5001,"&lt;="&amp;$B250,BD!$R$3:$R$5001,"&lt;&gt;")=0,"",SUMIFS(BD!$R$3:$R$5001,BD!$B$3:$B$5001,M$233,BD!$A$3:$A$5001,_xlfn.MAXIFS(BD!$A$3:$A$5001,BD!$B$3:$B$5001,M$233,BD!$A$3:$A$5001,"&gt;="&amp;$C$7,BD!$A$3:$A$5001,"&lt;="&amp;$B250,BD!$R$3:$R$5001,"&lt;&gt;"))))</f>
        <v/>
      </c>
      <c r="N250" s="54" t="str">
        <f>IF(OR($B250="",$A250&gt;$B$9,N$233=""),"",IF(COUNTIFS(BD!$B$3:$B$5001,N$233,BD!$A$3:$A$5001,"&gt;="&amp;$C$7,BD!$A$3:$A$5001,"&lt;="&amp;$B250,BD!$R$3:$R$5001,"&lt;&gt;")=0,"",SUMIFS(BD!$R$3:$R$5001,BD!$B$3:$B$5001,N$233,BD!$A$3:$A$5001,_xlfn.MAXIFS(BD!$A$3:$A$5001,BD!$B$3:$B$5001,N$233,BD!$A$3:$A$5001,"&gt;="&amp;$C$7,BD!$A$3:$A$5001,"&lt;="&amp;$B250,BD!$R$3:$R$5001,"&lt;&gt;"))))</f>
        <v/>
      </c>
      <c r="O250" s="54" t="str">
        <f>IF(OR($B250="",$A250&gt;$B$9,O$233=""),"",IF(COUNTIFS(BD!$B$3:$B$5001,O$233,BD!$A$3:$A$5001,"&gt;="&amp;$C$7,BD!$A$3:$A$5001,"&lt;="&amp;$B250,BD!$R$3:$R$5001,"&lt;&gt;")=0,"",SUMIFS(BD!$R$3:$R$5001,BD!$B$3:$B$5001,O$233,BD!$A$3:$A$5001,_xlfn.MAXIFS(BD!$A$3:$A$5001,BD!$B$3:$B$5001,O$233,BD!$A$3:$A$5001,"&gt;="&amp;$C$7,BD!$A$3:$A$5001,"&lt;="&amp;$B250,BD!$R$3:$R$5001,"&lt;&gt;"))))</f>
        <v/>
      </c>
      <c r="P250" s="54" t="str">
        <f>IF(OR($B250="",$A250&gt;$B$9,P$233=""),"",IF(COUNTIFS(BD!$B$3:$B$5001,P$233,BD!$A$3:$A$5001,"&gt;="&amp;$C$7,BD!$A$3:$A$5001,"&lt;="&amp;$B250,BD!$R$3:$R$5001,"&lt;&gt;")=0,"",SUMIFS(BD!$R$3:$R$5001,BD!$B$3:$B$5001,P$233,BD!$A$3:$A$5001,_xlfn.MAXIFS(BD!$A$3:$A$5001,BD!$B$3:$B$5001,P$233,BD!$A$3:$A$5001,"&gt;="&amp;$C$7,BD!$A$3:$A$5001,"&lt;="&amp;$B250,BD!$R$3:$R$5001,"&lt;&gt;"))))</f>
        <v/>
      </c>
      <c r="Q250" s="54" t="str">
        <f>IF(OR($B250="",$A250&gt;$B$9,Q$233=""),"",IF(COUNTIFS(BD!$B$3:$B$5001,Q$233,BD!$A$3:$A$5001,"&gt;="&amp;$C$7,BD!$A$3:$A$5001,"&lt;="&amp;$B250,BD!$R$3:$R$5001,"&lt;&gt;")=0,"",SUMIFS(BD!$R$3:$R$5001,BD!$B$3:$B$5001,Q$233,BD!$A$3:$A$5001,_xlfn.MAXIFS(BD!$A$3:$A$5001,BD!$B$3:$B$5001,Q$233,BD!$A$3:$A$5001,"&gt;="&amp;$C$7,BD!$A$3:$A$5001,"&lt;="&amp;$B250,BD!$R$3:$R$5001,"&lt;&gt;"))))</f>
        <v/>
      </c>
      <c r="R250" s="54" t="str">
        <f>IF(OR($B250="",$A250&gt;$B$9,R$233=""),"",IF(COUNTIFS(BD!$B$3:$B$5001,R$233,BD!$A$3:$A$5001,"&gt;="&amp;$C$7,BD!$A$3:$A$5001,"&lt;="&amp;$B250,BD!$R$3:$R$5001,"&lt;&gt;")=0,"",SUMIFS(BD!$R$3:$R$5001,BD!$B$3:$B$5001,R$233,BD!$A$3:$A$5001,_xlfn.MAXIFS(BD!$A$3:$A$5001,BD!$B$3:$B$5001,R$233,BD!$A$3:$A$5001,"&gt;="&amp;$C$7,BD!$A$3:$A$5001,"&lt;="&amp;$B250,BD!$R$3:$R$5001,"&lt;&gt;"))))</f>
        <v/>
      </c>
      <c r="S250" s="54" t="str">
        <f>IF(OR($B250="",$A250&gt;$B$9,S$233=""),"",IF(COUNTIFS(BD!$B$3:$B$5001,S$233,BD!$A$3:$A$5001,"&gt;="&amp;$C$7,BD!$A$3:$A$5001,"&lt;="&amp;$B250,BD!$R$3:$R$5001,"&lt;&gt;")=0,"",SUMIFS(BD!$R$3:$R$5001,BD!$B$3:$B$5001,S$233,BD!$A$3:$A$5001,_xlfn.MAXIFS(BD!$A$3:$A$5001,BD!$B$3:$B$5001,S$233,BD!$A$3:$A$5001,"&gt;="&amp;$C$7,BD!$A$3:$A$5001,"&lt;="&amp;$B250,BD!$R$3:$R$5001,"&lt;&gt;"))))</f>
        <v/>
      </c>
      <c r="T250" s="54" t="str">
        <f>IF(OR($B250="",$A250&gt;$B$9,T$233=""),"",IF(COUNTIFS(BD!$B$3:$B$5001,T$233,BD!$A$3:$A$5001,"&gt;="&amp;$C$7,BD!$A$3:$A$5001,"&lt;="&amp;$B250,BD!$R$3:$R$5001,"&lt;&gt;")=0,"",SUMIFS(BD!$R$3:$R$5001,BD!$B$3:$B$5001,T$233,BD!$A$3:$A$5001,_xlfn.MAXIFS(BD!$A$3:$A$5001,BD!$B$3:$B$5001,T$233,BD!$A$3:$A$5001,"&gt;="&amp;$C$7,BD!$A$3:$A$5001,"&lt;="&amp;$B250,BD!$R$3:$R$5001,"&lt;&gt;"))))</f>
        <v/>
      </c>
      <c r="U250" s="54" t="str">
        <f>IF(OR($B250="",$A250&gt;$B$9,U$233=""),"",IF(COUNTIFS(BD!$B$3:$B$5001,U$233,BD!$A$3:$A$5001,"&gt;="&amp;$C$7,BD!$A$3:$A$5001,"&lt;="&amp;$B250,BD!$R$3:$R$5001,"&lt;&gt;")=0,"",SUMIFS(BD!$R$3:$R$5001,BD!$B$3:$B$5001,U$233,BD!$A$3:$A$5001,_xlfn.MAXIFS(BD!$A$3:$A$5001,BD!$B$3:$B$5001,U$233,BD!$A$3:$A$5001,"&gt;="&amp;$C$7,BD!$A$3:$A$5001,"&lt;="&amp;$B250,BD!$R$3:$R$5001,"&lt;&gt;"))))</f>
        <v/>
      </c>
      <c r="V250" s="54" t="str">
        <f>IF(OR($B250="",$A250&gt;$B$9,V$233=""),"",IF(COUNTIFS(BD!$B$3:$B$5001,V$233,BD!$A$3:$A$5001,"&gt;="&amp;$C$7,BD!$A$3:$A$5001,"&lt;="&amp;$B250,BD!$R$3:$R$5001,"&lt;&gt;")=0,"",SUMIFS(BD!$R$3:$R$5001,BD!$B$3:$B$5001,V$233,BD!$A$3:$A$5001,_xlfn.MAXIFS(BD!$A$3:$A$5001,BD!$B$3:$B$5001,V$233,BD!$A$3:$A$5001,"&gt;="&amp;$C$7,BD!$A$3:$A$5001,"&lt;="&amp;$B250,BD!$R$3:$R$5001,"&lt;&gt;"))))</f>
        <v/>
      </c>
    </row>
    <row r="251">
      <c r="A251" s="48">
        <v>18</v>
      </c>
      <c r="B251" s="53">
        <f>$B$29</f>
        <v>46313</v>
      </c>
      <c r="C251" s="54" t="str">
        <f>IF(OR($B251="",$A251&gt;$B$9,C$233=""),"",IF(COUNTIFS(BD!$B$3:$B$5001,C$233,BD!$A$3:$A$5001,"&gt;="&amp;$C$7,BD!$A$3:$A$5001,"&lt;="&amp;$B251,BD!$R$3:$R$5001,"&lt;&gt;")=0,"",SUMIFS(BD!$R$3:$R$5001,BD!$B$3:$B$5001,C$233,BD!$A$3:$A$5001,_xlfn.MAXIFS(BD!$A$3:$A$5001,BD!$B$3:$B$5001,C$233,BD!$A$3:$A$5001,"&gt;="&amp;$C$7,BD!$A$3:$A$5001,"&lt;="&amp;$B251,BD!$R$3:$R$5001,"&lt;&gt;"))))</f>
        <v/>
      </c>
      <c r="D251" s="54" t="str">
        <f>IF(OR($B251="",$A251&gt;$B$9,D$233=""),"",IF(COUNTIFS(BD!$B$3:$B$5001,D$233,BD!$A$3:$A$5001,"&gt;="&amp;$C$7,BD!$A$3:$A$5001,"&lt;="&amp;$B251,BD!$R$3:$R$5001,"&lt;&gt;")=0,"",SUMIFS(BD!$R$3:$R$5001,BD!$B$3:$B$5001,D$233,BD!$A$3:$A$5001,_xlfn.MAXIFS(BD!$A$3:$A$5001,BD!$B$3:$B$5001,D$233,BD!$A$3:$A$5001,"&gt;="&amp;$C$7,BD!$A$3:$A$5001,"&lt;="&amp;$B251,BD!$R$3:$R$5001,"&lt;&gt;"))))</f>
        <v/>
      </c>
      <c r="E251" s="54" t="str">
        <f>IF(OR($B251="",$A251&gt;$B$9,E$233=""),"",IF(COUNTIFS(BD!$B$3:$B$5001,E$233,BD!$A$3:$A$5001,"&gt;="&amp;$C$7,BD!$A$3:$A$5001,"&lt;="&amp;$B251,BD!$R$3:$R$5001,"&lt;&gt;")=0,"",SUMIFS(BD!$R$3:$R$5001,BD!$B$3:$B$5001,E$233,BD!$A$3:$A$5001,_xlfn.MAXIFS(BD!$A$3:$A$5001,BD!$B$3:$B$5001,E$233,BD!$A$3:$A$5001,"&gt;="&amp;$C$7,BD!$A$3:$A$5001,"&lt;="&amp;$B251,BD!$R$3:$R$5001,"&lt;&gt;"))))</f>
        <v/>
      </c>
      <c r="F251" s="54" t="str">
        <f>IF(OR($B251="",$A251&gt;$B$9,F$233=""),"",IF(COUNTIFS(BD!$B$3:$B$5001,F$233,BD!$A$3:$A$5001,"&gt;="&amp;$C$7,BD!$A$3:$A$5001,"&lt;="&amp;$B251,BD!$R$3:$R$5001,"&lt;&gt;")=0,"",SUMIFS(BD!$R$3:$R$5001,BD!$B$3:$B$5001,F$233,BD!$A$3:$A$5001,_xlfn.MAXIFS(BD!$A$3:$A$5001,BD!$B$3:$B$5001,F$233,BD!$A$3:$A$5001,"&gt;="&amp;$C$7,BD!$A$3:$A$5001,"&lt;="&amp;$B251,BD!$R$3:$R$5001,"&lt;&gt;"))))</f>
        <v/>
      </c>
      <c r="G251" s="54" t="str">
        <f>IF(OR($B251="",$A251&gt;$B$9,G$233=""),"",IF(COUNTIFS(BD!$B$3:$B$5001,G$233,BD!$A$3:$A$5001,"&gt;="&amp;$C$7,BD!$A$3:$A$5001,"&lt;="&amp;$B251,BD!$R$3:$R$5001,"&lt;&gt;")=0,"",SUMIFS(BD!$R$3:$R$5001,BD!$B$3:$B$5001,G$233,BD!$A$3:$A$5001,_xlfn.MAXIFS(BD!$A$3:$A$5001,BD!$B$3:$B$5001,G$233,BD!$A$3:$A$5001,"&gt;="&amp;$C$7,BD!$A$3:$A$5001,"&lt;="&amp;$B251,BD!$R$3:$R$5001,"&lt;&gt;"))))</f>
        <v/>
      </c>
      <c r="H251" s="54" t="str">
        <f>IF(OR($B251="",$A251&gt;$B$9,H$233=""),"",IF(COUNTIFS(BD!$B$3:$B$5001,H$233,BD!$A$3:$A$5001,"&gt;="&amp;$C$7,BD!$A$3:$A$5001,"&lt;="&amp;$B251,BD!$R$3:$R$5001,"&lt;&gt;")=0,"",SUMIFS(BD!$R$3:$R$5001,BD!$B$3:$B$5001,H$233,BD!$A$3:$A$5001,_xlfn.MAXIFS(BD!$A$3:$A$5001,BD!$B$3:$B$5001,H$233,BD!$A$3:$A$5001,"&gt;="&amp;$C$7,BD!$A$3:$A$5001,"&lt;="&amp;$B251,BD!$R$3:$R$5001,"&lt;&gt;"))))</f>
        <v/>
      </c>
      <c r="I251" s="54" t="str">
        <f>IF(OR($B251="",$A251&gt;$B$9,I$233=""),"",IF(COUNTIFS(BD!$B$3:$B$5001,I$233,BD!$A$3:$A$5001,"&gt;="&amp;$C$7,BD!$A$3:$A$5001,"&lt;="&amp;$B251,BD!$R$3:$R$5001,"&lt;&gt;")=0,"",SUMIFS(BD!$R$3:$R$5001,BD!$B$3:$B$5001,I$233,BD!$A$3:$A$5001,_xlfn.MAXIFS(BD!$A$3:$A$5001,BD!$B$3:$B$5001,I$233,BD!$A$3:$A$5001,"&gt;="&amp;$C$7,BD!$A$3:$A$5001,"&lt;="&amp;$B251,BD!$R$3:$R$5001,"&lt;&gt;"))))</f>
        <v/>
      </c>
      <c r="J251" s="54" t="str">
        <f>IF(OR($B251="",$A251&gt;$B$9,J$233=""),"",IF(COUNTIFS(BD!$B$3:$B$5001,J$233,BD!$A$3:$A$5001,"&gt;="&amp;$C$7,BD!$A$3:$A$5001,"&lt;="&amp;$B251,BD!$R$3:$R$5001,"&lt;&gt;")=0,"",SUMIFS(BD!$R$3:$R$5001,BD!$B$3:$B$5001,J$233,BD!$A$3:$A$5001,_xlfn.MAXIFS(BD!$A$3:$A$5001,BD!$B$3:$B$5001,J$233,BD!$A$3:$A$5001,"&gt;="&amp;$C$7,BD!$A$3:$A$5001,"&lt;="&amp;$B251,BD!$R$3:$R$5001,"&lt;&gt;"))))</f>
        <v/>
      </c>
      <c r="K251" s="54" t="str">
        <f>IF(OR($B251="",$A251&gt;$B$9,K$233=""),"",IF(COUNTIFS(BD!$B$3:$B$5001,K$233,BD!$A$3:$A$5001,"&gt;="&amp;$C$7,BD!$A$3:$A$5001,"&lt;="&amp;$B251,BD!$R$3:$R$5001,"&lt;&gt;")=0,"",SUMIFS(BD!$R$3:$R$5001,BD!$B$3:$B$5001,K$233,BD!$A$3:$A$5001,_xlfn.MAXIFS(BD!$A$3:$A$5001,BD!$B$3:$B$5001,K$233,BD!$A$3:$A$5001,"&gt;="&amp;$C$7,BD!$A$3:$A$5001,"&lt;="&amp;$B251,BD!$R$3:$R$5001,"&lt;&gt;"))))</f>
        <v/>
      </c>
      <c r="L251" s="54" t="str">
        <f>IF(OR($B251="",$A251&gt;$B$9,L$233=""),"",IF(COUNTIFS(BD!$B$3:$B$5001,L$233,BD!$A$3:$A$5001,"&gt;="&amp;$C$7,BD!$A$3:$A$5001,"&lt;="&amp;$B251,BD!$R$3:$R$5001,"&lt;&gt;")=0,"",SUMIFS(BD!$R$3:$R$5001,BD!$B$3:$B$5001,L$233,BD!$A$3:$A$5001,_xlfn.MAXIFS(BD!$A$3:$A$5001,BD!$B$3:$B$5001,L$233,BD!$A$3:$A$5001,"&gt;="&amp;$C$7,BD!$A$3:$A$5001,"&lt;="&amp;$B251,BD!$R$3:$R$5001,"&lt;&gt;"))))</f>
        <v/>
      </c>
      <c r="M251" s="54" t="str">
        <f>IF(OR($B251="",$A251&gt;$B$9,M$233=""),"",IF(COUNTIFS(BD!$B$3:$B$5001,M$233,BD!$A$3:$A$5001,"&gt;="&amp;$C$7,BD!$A$3:$A$5001,"&lt;="&amp;$B251,BD!$R$3:$R$5001,"&lt;&gt;")=0,"",SUMIFS(BD!$R$3:$R$5001,BD!$B$3:$B$5001,M$233,BD!$A$3:$A$5001,_xlfn.MAXIFS(BD!$A$3:$A$5001,BD!$B$3:$B$5001,M$233,BD!$A$3:$A$5001,"&gt;="&amp;$C$7,BD!$A$3:$A$5001,"&lt;="&amp;$B251,BD!$R$3:$R$5001,"&lt;&gt;"))))</f>
        <v/>
      </c>
      <c r="N251" s="54" t="str">
        <f>IF(OR($B251="",$A251&gt;$B$9,N$233=""),"",IF(COUNTIFS(BD!$B$3:$B$5001,N$233,BD!$A$3:$A$5001,"&gt;="&amp;$C$7,BD!$A$3:$A$5001,"&lt;="&amp;$B251,BD!$R$3:$R$5001,"&lt;&gt;")=0,"",SUMIFS(BD!$R$3:$R$5001,BD!$B$3:$B$5001,N$233,BD!$A$3:$A$5001,_xlfn.MAXIFS(BD!$A$3:$A$5001,BD!$B$3:$B$5001,N$233,BD!$A$3:$A$5001,"&gt;="&amp;$C$7,BD!$A$3:$A$5001,"&lt;="&amp;$B251,BD!$R$3:$R$5001,"&lt;&gt;"))))</f>
        <v/>
      </c>
      <c r="O251" s="54" t="str">
        <f>IF(OR($B251="",$A251&gt;$B$9,O$233=""),"",IF(COUNTIFS(BD!$B$3:$B$5001,O$233,BD!$A$3:$A$5001,"&gt;="&amp;$C$7,BD!$A$3:$A$5001,"&lt;="&amp;$B251,BD!$R$3:$R$5001,"&lt;&gt;")=0,"",SUMIFS(BD!$R$3:$R$5001,BD!$B$3:$B$5001,O$233,BD!$A$3:$A$5001,_xlfn.MAXIFS(BD!$A$3:$A$5001,BD!$B$3:$B$5001,O$233,BD!$A$3:$A$5001,"&gt;="&amp;$C$7,BD!$A$3:$A$5001,"&lt;="&amp;$B251,BD!$R$3:$R$5001,"&lt;&gt;"))))</f>
        <v/>
      </c>
      <c r="P251" s="54" t="str">
        <f>IF(OR($B251="",$A251&gt;$B$9,P$233=""),"",IF(COUNTIFS(BD!$B$3:$B$5001,P$233,BD!$A$3:$A$5001,"&gt;="&amp;$C$7,BD!$A$3:$A$5001,"&lt;="&amp;$B251,BD!$R$3:$R$5001,"&lt;&gt;")=0,"",SUMIFS(BD!$R$3:$R$5001,BD!$B$3:$B$5001,P$233,BD!$A$3:$A$5001,_xlfn.MAXIFS(BD!$A$3:$A$5001,BD!$B$3:$B$5001,P$233,BD!$A$3:$A$5001,"&gt;="&amp;$C$7,BD!$A$3:$A$5001,"&lt;="&amp;$B251,BD!$R$3:$R$5001,"&lt;&gt;"))))</f>
        <v/>
      </c>
      <c r="Q251" s="54" t="str">
        <f>IF(OR($B251="",$A251&gt;$B$9,Q$233=""),"",IF(COUNTIFS(BD!$B$3:$B$5001,Q$233,BD!$A$3:$A$5001,"&gt;="&amp;$C$7,BD!$A$3:$A$5001,"&lt;="&amp;$B251,BD!$R$3:$R$5001,"&lt;&gt;")=0,"",SUMIFS(BD!$R$3:$R$5001,BD!$B$3:$B$5001,Q$233,BD!$A$3:$A$5001,_xlfn.MAXIFS(BD!$A$3:$A$5001,BD!$B$3:$B$5001,Q$233,BD!$A$3:$A$5001,"&gt;="&amp;$C$7,BD!$A$3:$A$5001,"&lt;="&amp;$B251,BD!$R$3:$R$5001,"&lt;&gt;"))))</f>
        <v/>
      </c>
      <c r="R251" s="54" t="str">
        <f>IF(OR($B251="",$A251&gt;$B$9,R$233=""),"",IF(COUNTIFS(BD!$B$3:$B$5001,R$233,BD!$A$3:$A$5001,"&gt;="&amp;$C$7,BD!$A$3:$A$5001,"&lt;="&amp;$B251,BD!$R$3:$R$5001,"&lt;&gt;")=0,"",SUMIFS(BD!$R$3:$R$5001,BD!$B$3:$B$5001,R$233,BD!$A$3:$A$5001,_xlfn.MAXIFS(BD!$A$3:$A$5001,BD!$B$3:$B$5001,R$233,BD!$A$3:$A$5001,"&gt;="&amp;$C$7,BD!$A$3:$A$5001,"&lt;="&amp;$B251,BD!$R$3:$R$5001,"&lt;&gt;"))))</f>
        <v/>
      </c>
      <c r="S251" s="54" t="str">
        <f>IF(OR($B251="",$A251&gt;$B$9,S$233=""),"",IF(COUNTIFS(BD!$B$3:$B$5001,S$233,BD!$A$3:$A$5001,"&gt;="&amp;$C$7,BD!$A$3:$A$5001,"&lt;="&amp;$B251,BD!$R$3:$R$5001,"&lt;&gt;")=0,"",SUMIFS(BD!$R$3:$R$5001,BD!$B$3:$B$5001,S$233,BD!$A$3:$A$5001,_xlfn.MAXIFS(BD!$A$3:$A$5001,BD!$B$3:$B$5001,S$233,BD!$A$3:$A$5001,"&gt;="&amp;$C$7,BD!$A$3:$A$5001,"&lt;="&amp;$B251,BD!$R$3:$R$5001,"&lt;&gt;"))))</f>
        <v/>
      </c>
      <c r="T251" s="54" t="str">
        <f>IF(OR($B251="",$A251&gt;$B$9,T$233=""),"",IF(COUNTIFS(BD!$B$3:$B$5001,T$233,BD!$A$3:$A$5001,"&gt;="&amp;$C$7,BD!$A$3:$A$5001,"&lt;="&amp;$B251,BD!$R$3:$R$5001,"&lt;&gt;")=0,"",SUMIFS(BD!$R$3:$R$5001,BD!$B$3:$B$5001,T$233,BD!$A$3:$A$5001,_xlfn.MAXIFS(BD!$A$3:$A$5001,BD!$B$3:$B$5001,T$233,BD!$A$3:$A$5001,"&gt;="&amp;$C$7,BD!$A$3:$A$5001,"&lt;="&amp;$B251,BD!$R$3:$R$5001,"&lt;&gt;"))))</f>
        <v/>
      </c>
      <c r="U251" s="54" t="str">
        <f>IF(OR($B251="",$A251&gt;$B$9,U$233=""),"",IF(COUNTIFS(BD!$B$3:$B$5001,U$233,BD!$A$3:$A$5001,"&gt;="&amp;$C$7,BD!$A$3:$A$5001,"&lt;="&amp;$B251,BD!$R$3:$R$5001,"&lt;&gt;")=0,"",SUMIFS(BD!$R$3:$R$5001,BD!$B$3:$B$5001,U$233,BD!$A$3:$A$5001,_xlfn.MAXIFS(BD!$A$3:$A$5001,BD!$B$3:$B$5001,U$233,BD!$A$3:$A$5001,"&gt;="&amp;$C$7,BD!$A$3:$A$5001,"&lt;="&amp;$B251,BD!$R$3:$R$5001,"&lt;&gt;"))))</f>
        <v/>
      </c>
      <c r="V251" s="54" t="str">
        <f>IF(OR($B251="",$A251&gt;$B$9,V$233=""),"",IF(COUNTIFS(BD!$B$3:$B$5001,V$233,BD!$A$3:$A$5001,"&gt;="&amp;$C$7,BD!$A$3:$A$5001,"&lt;="&amp;$B251,BD!$R$3:$R$5001,"&lt;&gt;")=0,"",SUMIFS(BD!$R$3:$R$5001,BD!$B$3:$B$5001,V$233,BD!$A$3:$A$5001,_xlfn.MAXIFS(BD!$A$3:$A$5001,BD!$B$3:$B$5001,V$233,BD!$A$3:$A$5001,"&gt;="&amp;$C$7,BD!$A$3:$A$5001,"&lt;="&amp;$B251,BD!$R$3:$R$5001,"&lt;&gt;"))))</f>
        <v/>
      </c>
    </row>
    <row r="252">
      <c r="A252" s="48">
        <v>19</v>
      </c>
      <c r="B252" s="53">
        <f>$B$30</f>
        <v>46314</v>
      </c>
      <c r="C252" s="54" t="str">
        <f>IF(OR($B252="",$A252&gt;$B$9,C$233=""),"",IF(COUNTIFS(BD!$B$3:$B$5001,C$233,BD!$A$3:$A$5001,"&gt;="&amp;$C$7,BD!$A$3:$A$5001,"&lt;="&amp;$B252,BD!$R$3:$R$5001,"&lt;&gt;")=0,"",SUMIFS(BD!$R$3:$R$5001,BD!$B$3:$B$5001,C$233,BD!$A$3:$A$5001,_xlfn.MAXIFS(BD!$A$3:$A$5001,BD!$B$3:$B$5001,C$233,BD!$A$3:$A$5001,"&gt;="&amp;$C$7,BD!$A$3:$A$5001,"&lt;="&amp;$B252,BD!$R$3:$R$5001,"&lt;&gt;"))))</f>
        <v/>
      </c>
      <c r="D252" s="54" t="str">
        <f>IF(OR($B252="",$A252&gt;$B$9,D$233=""),"",IF(COUNTIFS(BD!$B$3:$B$5001,D$233,BD!$A$3:$A$5001,"&gt;="&amp;$C$7,BD!$A$3:$A$5001,"&lt;="&amp;$B252,BD!$R$3:$R$5001,"&lt;&gt;")=0,"",SUMIFS(BD!$R$3:$R$5001,BD!$B$3:$B$5001,D$233,BD!$A$3:$A$5001,_xlfn.MAXIFS(BD!$A$3:$A$5001,BD!$B$3:$B$5001,D$233,BD!$A$3:$A$5001,"&gt;="&amp;$C$7,BD!$A$3:$A$5001,"&lt;="&amp;$B252,BD!$R$3:$R$5001,"&lt;&gt;"))))</f>
        <v/>
      </c>
      <c r="E252" s="54" t="str">
        <f>IF(OR($B252="",$A252&gt;$B$9,E$233=""),"",IF(COUNTIFS(BD!$B$3:$B$5001,E$233,BD!$A$3:$A$5001,"&gt;="&amp;$C$7,BD!$A$3:$A$5001,"&lt;="&amp;$B252,BD!$R$3:$R$5001,"&lt;&gt;")=0,"",SUMIFS(BD!$R$3:$R$5001,BD!$B$3:$B$5001,E$233,BD!$A$3:$A$5001,_xlfn.MAXIFS(BD!$A$3:$A$5001,BD!$B$3:$B$5001,E$233,BD!$A$3:$A$5001,"&gt;="&amp;$C$7,BD!$A$3:$A$5001,"&lt;="&amp;$B252,BD!$R$3:$R$5001,"&lt;&gt;"))))</f>
        <v/>
      </c>
      <c r="F252" s="54" t="str">
        <f>IF(OR($B252="",$A252&gt;$B$9,F$233=""),"",IF(COUNTIFS(BD!$B$3:$B$5001,F$233,BD!$A$3:$A$5001,"&gt;="&amp;$C$7,BD!$A$3:$A$5001,"&lt;="&amp;$B252,BD!$R$3:$R$5001,"&lt;&gt;")=0,"",SUMIFS(BD!$R$3:$R$5001,BD!$B$3:$B$5001,F$233,BD!$A$3:$A$5001,_xlfn.MAXIFS(BD!$A$3:$A$5001,BD!$B$3:$B$5001,F$233,BD!$A$3:$A$5001,"&gt;="&amp;$C$7,BD!$A$3:$A$5001,"&lt;="&amp;$B252,BD!$R$3:$R$5001,"&lt;&gt;"))))</f>
        <v/>
      </c>
      <c r="G252" s="54" t="str">
        <f>IF(OR($B252="",$A252&gt;$B$9,G$233=""),"",IF(COUNTIFS(BD!$B$3:$B$5001,G$233,BD!$A$3:$A$5001,"&gt;="&amp;$C$7,BD!$A$3:$A$5001,"&lt;="&amp;$B252,BD!$R$3:$R$5001,"&lt;&gt;")=0,"",SUMIFS(BD!$R$3:$R$5001,BD!$B$3:$B$5001,G$233,BD!$A$3:$A$5001,_xlfn.MAXIFS(BD!$A$3:$A$5001,BD!$B$3:$B$5001,G$233,BD!$A$3:$A$5001,"&gt;="&amp;$C$7,BD!$A$3:$A$5001,"&lt;="&amp;$B252,BD!$R$3:$R$5001,"&lt;&gt;"))))</f>
        <v/>
      </c>
      <c r="H252" s="54" t="str">
        <f>IF(OR($B252="",$A252&gt;$B$9,H$233=""),"",IF(COUNTIFS(BD!$B$3:$B$5001,H$233,BD!$A$3:$A$5001,"&gt;="&amp;$C$7,BD!$A$3:$A$5001,"&lt;="&amp;$B252,BD!$R$3:$R$5001,"&lt;&gt;")=0,"",SUMIFS(BD!$R$3:$R$5001,BD!$B$3:$B$5001,H$233,BD!$A$3:$A$5001,_xlfn.MAXIFS(BD!$A$3:$A$5001,BD!$B$3:$B$5001,H$233,BD!$A$3:$A$5001,"&gt;="&amp;$C$7,BD!$A$3:$A$5001,"&lt;="&amp;$B252,BD!$R$3:$R$5001,"&lt;&gt;"))))</f>
        <v/>
      </c>
      <c r="I252" s="54" t="str">
        <f>IF(OR($B252="",$A252&gt;$B$9,I$233=""),"",IF(COUNTIFS(BD!$B$3:$B$5001,I$233,BD!$A$3:$A$5001,"&gt;="&amp;$C$7,BD!$A$3:$A$5001,"&lt;="&amp;$B252,BD!$R$3:$R$5001,"&lt;&gt;")=0,"",SUMIFS(BD!$R$3:$R$5001,BD!$B$3:$B$5001,I$233,BD!$A$3:$A$5001,_xlfn.MAXIFS(BD!$A$3:$A$5001,BD!$B$3:$B$5001,I$233,BD!$A$3:$A$5001,"&gt;="&amp;$C$7,BD!$A$3:$A$5001,"&lt;="&amp;$B252,BD!$R$3:$R$5001,"&lt;&gt;"))))</f>
        <v/>
      </c>
      <c r="J252" s="54" t="str">
        <f>IF(OR($B252="",$A252&gt;$B$9,J$233=""),"",IF(COUNTIFS(BD!$B$3:$B$5001,J$233,BD!$A$3:$A$5001,"&gt;="&amp;$C$7,BD!$A$3:$A$5001,"&lt;="&amp;$B252,BD!$R$3:$R$5001,"&lt;&gt;")=0,"",SUMIFS(BD!$R$3:$R$5001,BD!$B$3:$B$5001,J$233,BD!$A$3:$A$5001,_xlfn.MAXIFS(BD!$A$3:$A$5001,BD!$B$3:$B$5001,J$233,BD!$A$3:$A$5001,"&gt;="&amp;$C$7,BD!$A$3:$A$5001,"&lt;="&amp;$B252,BD!$R$3:$R$5001,"&lt;&gt;"))))</f>
        <v/>
      </c>
      <c r="K252" s="54" t="str">
        <f>IF(OR($B252="",$A252&gt;$B$9,K$233=""),"",IF(COUNTIFS(BD!$B$3:$B$5001,K$233,BD!$A$3:$A$5001,"&gt;="&amp;$C$7,BD!$A$3:$A$5001,"&lt;="&amp;$B252,BD!$R$3:$R$5001,"&lt;&gt;")=0,"",SUMIFS(BD!$R$3:$R$5001,BD!$B$3:$B$5001,K$233,BD!$A$3:$A$5001,_xlfn.MAXIFS(BD!$A$3:$A$5001,BD!$B$3:$B$5001,K$233,BD!$A$3:$A$5001,"&gt;="&amp;$C$7,BD!$A$3:$A$5001,"&lt;="&amp;$B252,BD!$R$3:$R$5001,"&lt;&gt;"))))</f>
        <v/>
      </c>
      <c r="L252" s="54" t="str">
        <f>IF(OR($B252="",$A252&gt;$B$9,L$233=""),"",IF(COUNTIFS(BD!$B$3:$B$5001,L$233,BD!$A$3:$A$5001,"&gt;="&amp;$C$7,BD!$A$3:$A$5001,"&lt;="&amp;$B252,BD!$R$3:$R$5001,"&lt;&gt;")=0,"",SUMIFS(BD!$R$3:$R$5001,BD!$B$3:$B$5001,L$233,BD!$A$3:$A$5001,_xlfn.MAXIFS(BD!$A$3:$A$5001,BD!$B$3:$B$5001,L$233,BD!$A$3:$A$5001,"&gt;="&amp;$C$7,BD!$A$3:$A$5001,"&lt;="&amp;$B252,BD!$R$3:$R$5001,"&lt;&gt;"))))</f>
        <v/>
      </c>
      <c r="M252" s="54" t="str">
        <f>IF(OR($B252="",$A252&gt;$B$9,M$233=""),"",IF(COUNTIFS(BD!$B$3:$B$5001,M$233,BD!$A$3:$A$5001,"&gt;="&amp;$C$7,BD!$A$3:$A$5001,"&lt;="&amp;$B252,BD!$R$3:$R$5001,"&lt;&gt;")=0,"",SUMIFS(BD!$R$3:$R$5001,BD!$B$3:$B$5001,M$233,BD!$A$3:$A$5001,_xlfn.MAXIFS(BD!$A$3:$A$5001,BD!$B$3:$B$5001,M$233,BD!$A$3:$A$5001,"&gt;="&amp;$C$7,BD!$A$3:$A$5001,"&lt;="&amp;$B252,BD!$R$3:$R$5001,"&lt;&gt;"))))</f>
        <v/>
      </c>
      <c r="N252" s="54" t="str">
        <f>IF(OR($B252="",$A252&gt;$B$9,N$233=""),"",IF(COUNTIFS(BD!$B$3:$B$5001,N$233,BD!$A$3:$A$5001,"&gt;="&amp;$C$7,BD!$A$3:$A$5001,"&lt;="&amp;$B252,BD!$R$3:$R$5001,"&lt;&gt;")=0,"",SUMIFS(BD!$R$3:$R$5001,BD!$B$3:$B$5001,N$233,BD!$A$3:$A$5001,_xlfn.MAXIFS(BD!$A$3:$A$5001,BD!$B$3:$B$5001,N$233,BD!$A$3:$A$5001,"&gt;="&amp;$C$7,BD!$A$3:$A$5001,"&lt;="&amp;$B252,BD!$R$3:$R$5001,"&lt;&gt;"))))</f>
        <v/>
      </c>
      <c r="O252" s="54" t="str">
        <f>IF(OR($B252="",$A252&gt;$B$9,O$233=""),"",IF(COUNTIFS(BD!$B$3:$B$5001,O$233,BD!$A$3:$A$5001,"&gt;="&amp;$C$7,BD!$A$3:$A$5001,"&lt;="&amp;$B252,BD!$R$3:$R$5001,"&lt;&gt;")=0,"",SUMIFS(BD!$R$3:$R$5001,BD!$B$3:$B$5001,O$233,BD!$A$3:$A$5001,_xlfn.MAXIFS(BD!$A$3:$A$5001,BD!$B$3:$B$5001,O$233,BD!$A$3:$A$5001,"&gt;="&amp;$C$7,BD!$A$3:$A$5001,"&lt;="&amp;$B252,BD!$R$3:$R$5001,"&lt;&gt;"))))</f>
        <v/>
      </c>
      <c r="P252" s="54" t="str">
        <f>IF(OR($B252="",$A252&gt;$B$9,P$233=""),"",IF(COUNTIFS(BD!$B$3:$B$5001,P$233,BD!$A$3:$A$5001,"&gt;="&amp;$C$7,BD!$A$3:$A$5001,"&lt;="&amp;$B252,BD!$R$3:$R$5001,"&lt;&gt;")=0,"",SUMIFS(BD!$R$3:$R$5001,BD!$B$3:$B$5001,P$233,BD!$A$3:$A$5001,_xlfn.MAXIFS(BD!$A$3:$A$5001,BD!$B$3:$B$5001,P$233,BD!$A$3:$A$5001,"&gt;="&amp;$C$7,BD!$A$3:$A$5001,"&lt;="&amp;$B252,BD!$R$3:$R$5001,"&lt;&gt;"))))</f>
        <v/>
      </c>
      <c r="Q252" s="54" t="str">
        <f>IF(OR($B252="",$A252&gt;$B$9,Q$233=""),"",IF(COUNTIFS(BD!$B$3:$B$5001,Q$233,BD!$A$3:$A$5001,"&gt;="&amp;$C$7,BD!$A$3:$A$5001,"&lt;="&amp;$B252,BD!$R$3:$R$5001,"&lt;&gt;")=0,"",SUMIFS(BD!$R$3:$R$5001,BD!$B$3:$B$5001,Q$233,BD!$A$3:$A$5001,_xlfn.MAXIFS(BD!$A$3:$A$5001,BD!$B$3:$B$5001,Q$233,BD!$A$3:$A$5001,"&gt;="&amp;$C$7,BD!$A$3:$A$5001,"&lt;="&amp;$B252,BD!$R$3:$R$5001,"&lt;&gt;"))))</f>
        <v/>
      </c>
      <c r="R252" s="54" t="str">
        <f>IF(OR($B252="",$A252&gt;$B$9,R$233=""),"",IF(COUNTIFS(BD!$B$3:$B$5001,R$233,BD!$A$3:$A$5001,"&gt;="&amp;$C$7,BD!$A$3:$A$5001,"&lt;="&amp;$B252,BD!$R$3:$R$5001,"&lt;&gt;")=0,"",SUMIFS(BD!$R$3:$R$5001,BD!$B$3:$B$5001,R$233,BD!$A$3:$A$5001,_xlfn.MAXIFS(BD!$A$3:$A$5001,BD!$B$3:$B$5001,R$233,BD!$A$3:$A$5001,"&gt;="&amp;$C$7,BD!$A$3:$A$5001,"&lt;="&amp;$B252,BD!$R$3:$R$5001,"&lt;&gt;"))))</f>
        <v/>
      </c>
      <c r="S252" s="54" t="str">
        <f>IF(OR($B252="",$A252&gt;$B$9,S$233=""),"",IF(COUNTIFS(BD!$B$3:$B$5001,S$233,BD!$A$3:$A$5001,"&gt;="&amp;$C$7,BD!$A$3:$A$5001,"&lt;="&amp;$B252,BD!$R$3:$R$5001,"&lt;&gt;")=0,"",SUMIFS(BD!$R$3:$R$5001,BD!$B$3:$B$5001,S$233,BD!$A$3:$A$5001,_xlfn.MAXIFS(BD!$A$3:$A$5001,BD!$B$3:$B$5001,S$233,BD!$A$3:$A$5001,"&gt;="&amp;$C$7,BD!$A$3:$A$5001,"&lt;="&amp;$B252,BD!$R$3:$R$5001,"&lt;&gt;"))))</f>
        <v/>
      </c>
      <c r="T252" s="54" t="str">
        <f>IF(OR($B252="",$A252&gt;$B$9,T$233=""),"",IF(COUNTIFS(BD!$B$3:$B$5001,T$233,BD!$A$3:$A$5001,"&gt;="&amp;$C$7,BD!$A$3:$A$5001,"&lt;="&amp;$B252,BD!$R$3:$R$5001,"&lt;&gt;")=0,"",SUMIFS(BD!$R$3:$R$5001,BD!$B$3:$B$5001,T$233,BD!$A$3:$A$5001,_xlfn.MAXIFS(BD!$A$3:$A$5001,BD!$B$3:$B$5001,T$233,BD!$A$3:$A$5001,"&gt;="&amp;$C$7,BD!$A$3:$A$5001,"&lt;="&amp;$B252,BD!$R$3:$R$5001,"&lt;&gt;"))))</f>
        <v/>
      </c>
      <c r="U252" s="54" t="str">
        <f>IF(OR($B252="",$A252&gt;$B$9,U$233=""),"",IF(COUNTIFS(BD!$B$3:$B$5001,U$233,BD!$A$3:$A$5001,"&gt;="&amp;$C$7,BD!$A$3:$A$5001,"&lt;="&amp;$B252,BD!$R$3:$R$5001,"&lt;&gt;")=0,"",SUMIFS(BD!$R$3:$R$5001,BD!$B$3:$B$5001,U$233,BD!$A$3:$A$5001,_xlfn.MAXIFS(BD!$A$3:$A$5001,BD!$B$3:$B$5001,U$233,BD!$A$3:$A$5001,"&gt;="&amp;$C$7,BD!$A$3:$A$5001,"&lt;="&amp;$B252,BD!$R$3:$R$5001,"&lt;&gt;"))))</f>
        <v/>
      </c>
      <c r="V252" s="54" t="str">
        <f>IF(OR($B252="",$A252&gt;$B$9,V$233=""),"",IF(COUNTIFS(BD!$B$3:$B$5001,V$233,BD!$A$3:$A$5001,"&gt;="&amp;$C$7,BD!$A$3:$A$5001,"&lt;="&amp;$B252,BD!$R$3:$R$5001,"&lt;&gt;")=0,"",SUMIFS(BD!$R$3:$R$5001,BD!$B$3:$B$5001,V$233,BD!$A$3:$A$5001,_xlfn.MAXIFS(BD!$A$3:$A$5001,BD!$B$3:$B$5001,V$233,BD!$A$3:$A$5001,"&gt;="&amp;$C$7,BD!$A$3:$A$5001,"&lt;="&amp;$B252,BD!$R$3:$R$5001,"&lt;&gt;"))))</f>
        <v/>
      </c>
    </row>
    <row r="253">
      <c r="A253" s="48">
        <v>20</v>
      </c>
      <c r="B253" s="53">
        <f>$B$31</f>
        <v>46315</v>
      </c>
      <c r="C253" s="54" t="str">
        <f>IF(OR($B253="",$A253&gt;$B$9,C$233=""),"",IF(COUNTIFS(BD!$B$3:$B$5001,C$233,BD!$A$3:$A$5001,"&gt;="&amp;$C$7,BD!$A$3:$A$5001,"&lt;="&amp;$B253,BD!$R$3:$R$5001,"&lt;&gt;")=0,"",SUMIFS(BD!$R$3:$R$5001,BD!$B$3:$B$5001,C$233,BD!$A$3:$A$5001,_xlfn.MAXIFS(BD!$A$3:$A$5001,BD!$B$3:$B$5001,C$233,BD!$A$3:$A$5001,"&gt;="&amp;$C$7,BD!$A$3:$A$5001,"&lt;="&amp;$B253,BD!$R$3:$R$5001,"&lt;&gt;"))))</f>
        <v/>
      </c>
      <c r="D253" s="54" t="str">
        <f>IF(OR($B253="",$A253&gt;$B$9,D$233=""),"",IF(COUNTIFS(BD!$B$3:$B$5001,D$233,BD!$A$3:$A$5001,"&gt;="&amp;$C$7,BD!$A$3:$A$5001,"&lt;="&amp;$B253,BD!$R$3:$R$5001,"&lt;&gt;")=0,"",SUMIFS(BD!$R$3:$R$5001,BD!$B$3:$B$5001,D$233,BD!$A$3:$A$5001,_xlfn.MAXIFS(BD!$A$3:$A$5001,BD!$B$3:$B$5001,D$233,BD!$A$3:$A$5001,"&gt;="&amp;$C$7,BD!$A$3:$A$5001,"&lt;="&amp;$B253,BD!$R$3:$R$5001,"&lt;&gt;"))))</f>
        <v/>
      </c>
      <c r="E253" s="54" t="str">
        <f>IF(OR($B253="",$A253&gt;$B$9,E$233=""),"",IF(COUNTIFS(BD!$B$3:$B$5001,E$233,BD!$A$3:$A$5001,"&gt;="&amp;$C$7,BD!$A$3:$A$5001,"&lt;="&amp;$B253,BD!$R$3:$R$5001,"&lt;&gt;")=0,"",SUMIFS(BD!$R$3:$R$5001,BD!$B$3:$B$5001,E$233,BD!$A$3:$A$5001,_xlfn.MAXIFS(BD!$A$3:$A$5001,BD!$B$3:$B$5001,E$233,BD!$A$3:$A$5001,"&gt;="&amp;$C$7,BD!$A$3:$A$5001,"&lt;="&amp;$B253,BD!$R$3:$R$5001,"&lt;&gt;"))))</f>
        <v/>
      </c>
      <c r="F253" s="54" t="str">
        <f>IF(OR($B253="",$A253&gt;$B$9,F$233=""),"",IF(COUNTIFS(BD!$B$3:$B$5001,F$233,BD!$A$3:$A$5001,"&gt;="&amp;$C$7,BD!$A$3:$A$5001,"&lt;="&amp;$B253,BD!$R$3:$R$5001,"&lt;&gt;")=0,"",SUMIFS(BD!$R$3:$R$5001,BD!$B$3:$B$5001,F$233,BD!$A$3:$A$5001,_xlfn.MAXIFS(BD!$A$3:$A$5001,BD!$B$3:$B$5001,F$233,BD!$A$3:$A$5001,"&gt;="&amp;$C$7,BD!$A$3:$A$5001,"&lt;="&amp;$B253,BD!$R$3:$R$5001,"&lt;&gt;"))))</f>
        <v/>
      </c>
      <c r="G253" s="54" t="str">
        <f>IF(OR($B253="",$A253&gt;$B$9,G$233=""),"",IF(COUNTIFS(BD!$B$3:$B$5001,G$233,BD!$A$3:$A$5001,"&gt;="&amp;$C$7,BD!$A$3:$A$5001,"&lt;="&amp;$B253,BD!$R$3:$R$5001,"&lt;&gt;")=0,"",SUMIFS(BD!$R$3:$R$5001,BD!$B$3:$B$5001,G$233,BD!$A$3:$A$5001,_xlfn.MAXIFS(BD!$A$3:$A$5001,BD!$B$3:$B$5001,G$233,BD!$A$3:$A$5001,"&gt;="&amp;$C$7,BD!$A$3:$A$5001,"&lt;="&amp;$B253,BD!$R$3:$R$5001,"&lt;&gt;"))))</f>
        <v/>
      </c>
      <c r="H253" s="54" t="str">
        <f>IF(OR($B253="",$A253&gt;$B$9,H$233=""),"",IF(COUNTIFS(BD!$B$3:$B$5001,H$233,BD!$A$3:$A$5001,"&gt;="&amp;$C$7,BD!$A$3:$A$5001,"&lt;="&amp;$B253,BD!$R$3:$R$5001,"&lt;&gt;")=0,"",SUMIFS(BD!$R$3:$R$5001,BD!$B$3:$B$5001,H$233,BD!$A$3:$A$5001,_xlfn.MAXIFS(BD!$A$3:$A$5001,BD!$B$3:$B$5001,H$233,BD!$A$3:$A$5001,"&gt;="&amp;$C$7,BD!$A$3:$A$5001,"&lt;="&amp;$B253,BD!$R$3:$R$5001,"&lt;&gt;"))))</f>
        <v/>
      </c>
      <c r="I253" s="54" t="str">
        <f>IF(OR($B253="",$A253&gt;$B$9,I$233=""),"",IF(COUNTIFS(BD!$B$3:$B$5001,I$233,BD!$A$3:$A$5001,"&gt;="&amp;$C$7,BD!$A$3:$A$5001,"&lt;="&amp;$B253,BD!$R$3:$R$5001,"&lt;&gt;")=0,"",SUMIFS(BD!$R$3:$R$5001,BD!$B$3:$B$5001,I$233,BD!$A$3:$A$5001,_xlfn.MAXIFS(BD!$A$3:$A$5001,BD!$B$3:$B$5001,I$233,BD!$A$3:$A$5001,"&gt;="&amp;$C$7,BD!$A$3:$A$5001,"&lt;="&amp;$B253,BD!$R$3:$R$5001,"&lt;&gt;"))))</f>
        <v/>
      </c>
      <c r="J253" s="54" t="str">
        <f>IF(OR($B253="",$A253&gt;$B$9,J$233=""),"",IF(COUNTIFS(BD!$B$3:$B$5001,J$233,BD!$A$3:$A$5001,"&gt;="&amp;$C$7,BD!$A$3:$A$5001,"&lt;="&amp;$B253,BD!$R$3:$R$5001,"&lt;&gt;")=0,"",SUMIFS(BD!$R$3:$R$5001,BD!$B$3:$B$5001,J$233,BD!$A$3:$A$5001,_xlfn.MAXIFS(BD!$A$3:$A$5001,BD!$B$3:$B$5001,J$233,BD!$A$3:$A$5001,"&gt;="&amp;$C$7,BD!$A$3:$A$5001,"&lt;="&amp;$B253,BD!$R$3:$R$5001,"&lt;&gt;"))))</f>
        <v/>
      </c>
      <c r="K253" s="54" t="str">
        <f>IF(OR($B253="",$A253&gt;$B$9,K$233=""),"",IF(COUNTIFS(BD!$B$3:$B$5001,K$233,BD!$A$3:$A$5001,"&gt;="&amp;$C$7,BD!$A$3:$A$5001,"&lt;="&amp;$B253,BD!$R$3:$R$5001,"&lt;&gt;")=0,"",SUMIFS(BD!$R$3:$R$5001,BD!$B$3:$B$5001,K$233,BD!$A$3:$A$5001,_xlfn.MAXIFS(BD!$A$3:$A$5001,BD!$B$3:$B$5001,K$233,BD!$A$3:$A$5001,"&gt;="&amp;$C$7,BD!$A$3:$A$5001,"&lt;="&amp;$B253,BD!$R$3:$R$5001,"&lt;&gt;"))))</f>
        <v/>
      </c>
      <c r="L253" s="54" t="str">
        <f>IF(OR($B253="",$A253&gt;$B$9,L$233=""),"",IF(COUNTIFS(BD!$B$3:$B$5001,L$233,BD!$A$3:$A$5001,"&gt;="&amp;$C$7,BD!$A$3:$A$5001,"&lt;="&amp;$B253,BD!$R$3:$R$5001,"&lt;&gt;")=0,"",SUMIFS(BD!$R$3:$R$5001,BD!$B$3:$B$5001,L$233,BD!$A$3:$A$5001,_xlfn.MAXIFS(BD!$A$3:$A$5001,BD!$B$3:$B$5001,L$233,BD!$A$3:$A$5001,"&gt;="&amp;$C$7,BD!$A$3:$A$5001,"&lt;="&amp;$B253,BD!$R$3:$R$5001,"&lt;&gt;"))))</f>
        <v/>
      </c>
      <c r="M253" s="54" t="str">
        <f>IF(OR($B253="",$A253&gt;$B$9,M$233=""),"",IF(COUNTIFS(BD!$B$3:$B$5001,M$233,BD!$A$3:$A$5001,"&gt;="&amp;$C$7,BD!$A$3:$A$5001,"&lt;="&amp;$B253,BD!$R$3:$R$5001,"&lt;&gt;")=0,"",SUMIFS(BD!$R$3:$R$5001,BD!$B$3:$B$5001,M$233,BD!$A$3:$A$5001,_xlfn.MAXIFS(BD!$A$3:$A$5001,BD!$B$3:$B$5001,M$233,BD!$A$3:$A$5001,"&gt;="&amp;$C$7,BD!$A$3:$A$5001,"&lt;="&amp;$B253,BD!$R$3:$R$5001,"&lt;&gt;"))))</f>
        <v/>
      </c>
      <c r="N253" s="54" t="str">
        <f>IF(OR($B253="",$A253&gt;$B$9,N$233=""),"",IF(COUNTIFS(BD!$B$3:$B$5001,N$233,BD!$A$3:$A$5001,"&gt;="&amp;$C$7,BD!$A$3:$A$5001,"&lt;="&amp;$B253,BD!$R$3:$R$5001,"&lt;&gt;")=0,"",SUMIFS(BD!$R$3:$R$5001,BD!$B$3:$B$5001,N$233,BD!$A$3:$A$5001,_xlfn.MAXIFS(BD!$A$3:$A$5001,BD!$B$3:$B$5001,N$233,BD!$A$3:$A$5001,"&gt;="&amp;$C$7,BD!$A$3:$A$5001,"&lt;="&amp;$B253,BD!$R$3:$R$5001,"&lt;&gt;"))))</f>
        <v/>
      </c>
      <c r="O253" s="54" t="str">
        <f>IF(OR($B253="",$A253&gt;$B$9,O$233=""),"",IF(COUNTIFS(BD!$B$3:$B$5001,O$233,BD!$A$3:$A$5001,"&gt;="&amp;$C$7,BD!$A$3:$A$5001,"&lt;="&amp;$B253,BD!$R$3:$R$5001,"&lt;&gt;")=0,"",SUMIFS(BD!$R$3:$R$5001,BD!$B$3:$B$5001,O$233,BD!$A$3:$A$5001,_xlfn.MAXIFS(BD!$A$3:$A$5001,BD!$B$3:$B$5001,O$233,BD!$A$3:$A$5001,"&gt;="&amp;$C$7,BD!$A$3:$A$5001,"&lt;="&amp;$B253,BD!$R$3:$R$5001,"&lt;&gt;"))))</f>
        <v/>
      </c>
      <c r="P253" s="54" t="str">
        <f>IF(OR($B253="",$A253&gt;$B$9,P$233=""),"",IF(COUNTIFS(BD!$B$3:$B$5001,P$233,BD!$A$3:$A$5001,"&gt;="&amp;$C$7,BD!$A$3:$A$5001,"&lt;="&amp;$B253,BD!$R$3:$R$5001,"&lt;&gt;")=0,"",SUMIFS(BD!$R$3:$R$5001,BD!$B$3:$B$5001,P$233,BD!$A$3:$A$5001,_xlfn.MAXIFS(BD!$A$3:$A$5001,BD!$B$3:$B$5001,P$233,BD!$A$3:$A$5001,"&gt;="&amp;$C$7,BD!$A$3:$A$5001,"&lt;="&amp;$B253,BD!$R$3:$R$5001,"&lt;&gt;"))))</f>
        <v/>
      </c>
      <c r="Q253" s="54" t="str">
        <f>IF(OR($B253="",$A253&gt;$B$9,Q$233=""),"",IF(COUNTIFS(BD!$B$3:$B$5001,Q$233,BD!$A$3:$A$5001,"&gt;="&amp;$C$7,BD!$A$3:$A$5001,"&lt;="&amp;$B253,BD!$R$3:$R$5001,"&lt;&gt;")=0,"",SUMIFS(BD!$R$3:$R$5001,BD!$B$3:$B$5001,Q$233,BD!$A$3:$A$5001,_xlfn.MAXIFS(BD!$A$3:$A$5001,BD!$B$3:$B$5001,Q$233,BD!$A$3:$A$5001,"&gt;="&amp;$C$7,BD!$A$3:$A$5001,"&lt;="&amp;$B253,BD!$R$3:$R$5001,"&lt;&gt;"))))</f>
        <v/>
      </c>
      <c r="R253" s="54" t="str">
        <f>IF(OR($B253="",$A253&gt;$B$9,R$233=""),"",IF(COUNTIFS(BD!$B$3:$B$5001,R$233,BD!$A$3:$A$5001,"&gt;="&amp;$C$7,BD!$A$3:$A$5001,"&lt;="&amp;$B253,BD!$R$3:$R$5001,"&lt;&gt;")=0,"",SUMIFS(BD!$R$3:$R$5001,BD!$B$3:$B$5001,R$233,BD!$A$3:$A$5001,_xlfn.MAXIFS(BD!$A$3:$A$5001,BD!$B$3:$B$5001,R$233,BD!$A$3:$A$5001,"&gt;="&amp;$C$7,BD!$A$3:$A$5001,"&lt;="&amp;$B253,BD!$R$3:$R$5001,"&lt;&gt;"))))</f>
        <v/>
      </c>
      <c r="S253" s="54" t="str">
        <f>IF(OR($B253="",$A253&gt;$B$9,S$233=""),"",IF(COUNTIFS(BD!$B$3:$B$5001,S$233,BD!$A$3:$A$5001,"&gt;="&amp;$C$7,BD!$A$3:$A$5001,"&lt;="&amp;$B253,BD!$R$3:$R$5001,"&lt;&gt;")=0,"",SUMIFS(BD!$R$3:$R$5001,BD!$B$3:$B$5001,S$233,BD!$A$3:$A$5001,_xlfn.MAXIFS(BD!$A$3:$A$5001,BD!$B$3:$B$5001,S$233,BD!$A$3:$A$5001,"&gt;="&amp;$C$7,BD!$A$3:$A$5001,"&lt;="&amp;$B253,BD!$R$3:$R$5001,"&lt;&gt;"))))</f>
        <v/>
      </c>
      <c r="T253" s="54" t="str">
        <f>IF(OR($B253="",$A253&gt;$B$9,T$233=""),"",IF(COUNTIFS(BD!$B$3:$B$5001,T$233,BD!$A$3:$A$5001,"&gt;="&amp;$C$7,BD!$A$3:$A$5001,"&lt;="&amp;$B253,BD!$R$3:$R$5001,"&lt;&gt;")=0,"",SUMIFS(BD!$R$3:$R$5001,BD!$B$3:$B$5001,T$233,BD!$A$3:$A$5001,_xlfn.MAXIFS(BD!$A$3:$A$5001,BD!$B$3:$B$5001,T$233,BD!$A$3:$A$5001,"&gt;="&amp;$C$7,BD!$A$3:$A$5001,"&lt;="&amp;$B253,BD!$R$3:$R$5001,"&lt;&gt;"))))</f>
        <v/>
      </c>
      <c r="U253" s="54" t="str">
        <f>IF(OR($B253="",$A253&gt;$B$9,U$233=""),"",IF(COUNTIFS(BD!$B$3:$B$5001,U$233,BD!$A$3:$A$5001,"&gt;="&amp;$C$7,BD!$A$3:$A$5001,"&lt;="&amp;$B253,BD!$R$3:$R$5001,"&lt;&gt;")=0,"",SUMIFS(BD!$R$3:$R$5001,BD!$B$3:$B$5001,U$233,BD!$A$3:$A$5001,_xlfn.MAXIFS(BD!$A$3:$A$5001,BD!$B$3:$B$5001,U$233,BD!$A$3:$A$5001,"&gt;="&amp;$C$7,BD!$A$3:$A$5001,"&lt;="&amp;$B253,BD!$R$3:$R$5001,"&lt;&gt;"))))</f>
        <v/>
      </c>
      <c r="V253" s="54" t="str">
        <f>IF(OR($B253="",$A253&gt;$B$9,V$233=""),"",IF(COUNTIFS(BD!$B$3:$B$5001,V$233,BD!$A$3:$A$5001,"&gt;="&amp;$C$7,BD!$A$3:$A$5001,"&lt;="&amp;$B253,BD!$R$3:$R$5001,"&lt;&gt;")=0,"",SUMIFS(BD!$R$3:$R$5001,BD!$B$3:$B$5001,V$233,BD!$A$3:$A$5001,_xlfn.MAXIFS(BD!$A$3:$A$5001,BD!$B$3:$B$5001,V$233,BD!$A$3:$A$5001,"&gt;="&amp;$C$7,BD!$A$3:$A$5001,"&lt;="&amp;$B253,BD!$R$3:$R$5001,"&lt;&gt;"))))</f>
        <v/>
      </c>
    </row>
    <row r="254">
      <c r="A254" s="48">
        <v>21</v>
      </c>
      <c r="B254" s="53">
        <f>$B$32</f>
        <v>46316</v>
      </c>
      <c r="C254" s="54" t="str">
        <f>IF(OR($B254="",$A254&gt;$B$9,C$233=""),"",IF(COUNTIFS(BD!$B$3:$B$5001,C$233,BD!$A$3:$A$5001,"&gt;="&amp;$C$7,BD!$A$3:$A$5001,"&lt;="&amp;$B254,BD!$R$3:$R$5001,"&lt;&gt;")=0,"",SUMIFS(BD!$R$3:$R$5001,BD!$B$3:$B$5001,C$233,BD!$A$3:$A$5001,_xlfn.MAXIFS(BD!$A$3:$A$5001,BD!$B$3:$B$5001,C$233,BD!$A$3:$A$5001,"&gt;="&amp;$C$7,BD!$A$3:$A$5001,"&lt;="&amp;$B254,BD!$R$3:$R$5001,"&lt;&gt;"))))</f>
        <v/>
      </c>
      <c r="D254" s="54" t="str">
        <f>IF(OR($B254="",$A254&gt;$B$9,D$233=""),"",IF(COUNTIFS(BD!$B$3:$B$5001,D$233,BD!$A$3:$A$5001,"&gt;="&amp;$C$7,BD!$A$3:$A$5001,"&lt;="&amp;$B254,BD!$R$3:$R$5001,"&lt;&gt;")=0,"",SUMIFS(BD!$R$3:$R$5001,BD!$B$3:$B$5001,D$233,BD!$A$3:$A$5001,_xlfn.MAXIFS(BD!$A$3:$A$5001,BD!$B$3:$B$5001,D$233,BD!$A$3:$A$5001,"&gt;="&amp;$C$7,BD!$A$3:$A$5001,"&lt;="&amp;$B254,BD!$R$3:$R$5001,"&lt;&gt;"))))</f>
        <v/>
      </c>
      <c r="E254" s="54" t="str">
        <f>IF(OR($B254="",$A254&gt;$B$9,E$233=""),"",IF(COUNTIFS(BD!$B$3:$B$5001,E$233,BD!$A$3:$A$5001,"&gt;="&amp;$C$7,BD!$A$3:$A$5001,"&lt;="&amp;$B254,BD!$R$3:$R$5001,"&lt;&gt;")=0,"",SUMIFS(BD!$R$3:$R$5001,BD!$B$3:$B$5001,E$233,BD!$A$3:$A$5001,_xlfn.MAXIFS(BD!$A$3:$A$5001,BD!$B$3:$B$5001,E$233,BD!$A$3:$A$5001,"&gt;="&amp;$C$7,BD!$A$3:$A$5001,"&lt;="&amp;$B254,BD!$R$3:$R$5001,"&lt;&gt;"))))</f>
        <v/>
      </c>
      <c r="F254" s="54" t="str">
        <f>IF(OR($B254="",$A254&gt;$B$9,F$233=""),"",IF(COUNTIFS(BD!$B$3:$B$5001,F$233,BD!$A$3:$A$5001,"&gt;="&amp;$C$7,BD!$A$3:$A$5001,"&lt;="&amp;$B254,BD!$R$3:$R$5001,"&lt;&gt;")=0,"",SUMIFS(BD!$R$3:$R$5001,BD!$B$3:$B$5001,F$233,BD!$A$3:$A$5001,_xlfn.MAXIFS(BD!$A$3:$A$5001,BD!$B$3:$B$5001,F$233,BD!$A$3:$A$5001,"&gt;="&amp;$C$7,BD!$A$3:$A$5001,"&lt;="&amp;$B254,BD!$R$3:$R$5001,"&lt;&gt;"))))</f>
        <v/>
      </c>
      <c r="G254" s="54" t="str">
        <f>IF(OR($B254="",$A254&gt;$B$9,G$233=""),"",IF(COUNTIFS(BD!$B$3:$B$5001,G$233,BD!$A$3:$A$5001,"&gt;="&amp;$C$7,BD!$A$3:$A$5001,"&lt;="&amp;$B254,BD!$R$3:$R$5001,"&lt;&gt;")=0,"",SUMIFS(BD!$R$3:$R$5001,BD!$B$3:$B$5001,G$233,BD!$A$3:$A$5001,_xlfn.MAXIFS(BD!$A$3:$A$5001,BD!$B$3:$B$5001,G$233,BD!$A$3:$A$5001,"&gt;="&amp;$C$7,BD!$A$3:$A$5001,"&lt;="&amp;$B254,BD!$R$3:$R$5001,"&lt;&gt;"))))</f>
        <v/>
      </c>
      <c r="H254" s="54" t="str">
        <f>IF(OR($B254="",$A254&gt;$B$9,H$233=""),"",IF(COUNTIFS(BD!$B$3:$B$5001,H$233,BD!$A$3:$A$5001,"&gt;="&amp;$C$7,BD!$A$3:$A$5001,"&lt;="&amp;$B254,BD!$R$3:$R$5001,"&lt;&gt;")=0,"",SUMIFS(BD!$R$3:$R$5001,BD!$B$3:$B$5001,H$233,BD!$A$3:$A$5001,_xlfn.MAXIFS(BD!$A$3:$A$5001,BD!$B$3:$B$5001,H$233,BD!$A$3:$A$5001,"&gt;="&amp;$C$7,BD!$A$3:$A$5001,"&lt;="&amp;$B254,BD!$R$3:$R$5001,"&lt;&gt;"))))</f>
        <v/>
      </c>
      <c r="I254" s="54" t="str">
        <f>IF(OR($B254="",$A254&gt;$B$9,I$233=""),"",IF(COUNTIFS(BD!$B$3:$B$5001,I$233,BD!$A$3:$A$5001,"&gt;="&amp;$C$7,BD!$A$3:$A$5001,"&lt;="&amp;$B254,BD!$R$3:$R$5001,"&lt;&gt;")=0,"",SUMIFS(BD!$R$3:$R$5001,BD!$B$3:$B$5001,I$233,BD!$A$3:$A$5001,_xlfn.MAXIFS(BD!$A$3:$A$5001,BD!$B$3:$B$5001,I$233,BD!$A$3:$A$5001,"&gt;="&amp;$C$7,BD!$A$3:$A$5001,"&lt;="&amp;$B254,BD!$R$3:$R$5001,"&lt;&gt;"))))</f>
        <v/>
      </c>
      <c r="J254" s="54" t="str">
        <f>IF(OR($B254="",$A254&gt;$B$9,J$233=""),"",IF(COUNTIFS(BD!$B$3:$B$5001,J$233,BD!$A$3:$A$5001,"&gt;="&amp;$C$7,BD!$A$3:$A$5001,"&lt;="&amp;$B254,BD!$R$3:$R$5001,"&lt;&gt;")=0,"",SUMIFS(BD!$R$3:$R$5001,BD!$B$3:$B$5001,J$233,BD!$A$3:$A$5001,_xlfn.MAXIFS(BD!$A$3:$A$5001,BD!$B$3:$B$5001,J$233,BD!$A$3:$A$5001,"&gt;="&amp;$C$7,BD!$A$3:$A$5001,"&lt;="&amp;$B254,BD!$R$3:$R$5001,"&lt;&gt;"))))</f>
        <v/>
      </c>
      <c r="K254" s="54" t="str">
        <f>IF(OR($B254="",$A254&gt;$B$9,K$233=""),"",IF(COUNTIFS(BD!$B$3:$B$5001,K$233,BD!$A$3:$A$5001,"&gt;="&amp;$C$7,BD!$A$3:$A$5001,"&lt;="&amp;$B254,BD!$R$3:$R$5001,"&lt;&gt;")=0,"",SUMIFS(BD!$R$3:$R$5001,BD!$B$3:$B$5001,K$233,BD!$A$3:$A$5001,_xlfn.MAXIFS(BD!$A$3:$A$5001,BD!$B$3:$B$5001,K$233,BD!$A$3:$A$5001,"&gt;="&amp;$C$7,BD!$A$3:$A$5001,"&lt;="&amp;$B254,BD!$R$3:$R$5001,"&lt;&gt;"))))</f>
        <v/>
      </c>
      <c r="L254" s="54" t="str">
        <f>IF(OR($B254="",$A254&gt;$B$9,L$233=""),"",IF(COUNTIFS(BD!$B$3:$B$5001,L$233,BD!$A$3:$A$5001,"&gt;="&amp;$C$7,BD!$A$3:$A$5001,"&lt;="&amp;$B254,BD!$R$3:$R$5001,"&lt;&gt;")=0,"",SUMIFS(BD!$R$3:$R$5001,BD!$B$3:$B$5001,L$233,BD!$A$3:$A$5001,_xlfn.MAXIFS(BD!$A$3:$A$5001,BD!$B$3:$B$5001,L$233,BD!$A$3:$A$5001,"&gt;="&amp;$C$7,BD!$A$3:$A$5001,"&lt;="&amp;$B254,BD!$R$3:$R$5001,"&lt;&gt;"))))</f>
        <v/>
      </c>
      <c r="M254" s="54" t="str">
        <f>IF(OR($B254="",$A254&gt;$B$9,M$233=""),"",IF(COUNTIFS(BD!$B$3:$B$5001,M$233,BD!$A$3:$A$5001,"&gt;="&amp;$C$7,BD!$A$3:$A$5001,"&lt;="&amp;$B254,BD!$R$3:$R$5001,"&lt;&gt;")=0,"",SUMIFS(BD!$R$3:$R$5001,BD!$B$3:$B$5001,M$233,BD!$A$3:$A$5001,_xlfn.MAXIFS(BD!$A$3:$A$5001,BD!$B$3:$B$5001,M$233,BD!$A$3:$A$5001,"&gt;="&amp;$C$7,BD!$A$3:$A$5001,"&lt;="&amp;$B254,BD!$R$3:$R$5001,"&lt;&gt;"))))</f>
        <v/>
      </c>
      <c r="N254" s="54" t="str">
        <f>IF(OR($B254="",$A254&gt;$B$9,N$233=""),"",IF(COUNTIFS(BD!$B$3:$B$5001,N$233,BD!$A$3:$A$5001,"&gt;="&amp;$C$7,BD!$A$3:$A$5001,"&lt;="&amp;$B254,BD!$R$3:$R$5001,"&lt;&gt;")=0,"",SUMIFS(BD!$R$3:$R$5001,BD!$B$3:$B$5001,N$233,BD!$A$3:$A$5001,_xlfn.MAXIFS(BD!$A$3:$A$5001,BD!$B$3:$B$5001,N$233,BD!$A$3:$A$5001,"&gt;="&amp;$C$7,BD!$A$3:$A$5001,"&lt;="&amp;$B254,BD!$R$3:$R$5001,"&lt;&gt;"))))</f>
        <v/>
      </c>
      <c r="O254" s="54" t="str">
        <f>IF(OR($B254="",$A254&gt;$B$9,O$233=""),"",IF(COUNTIFS(BD!$B$3:$B$5001,O$233,BD!$A$3:$A$5001,"&gt;="&amp;$C$7,BD!$A$3:$A$5001,"&lt;="&amp;$B254,BD!$R$3:$R$5001,"&lt;&gt;")=0,"",SUMIFS(BD!$R$3:$R$5001,BD!$B$3:$B$5001,O$233,BD!$A$3:$A$5001,_xlfn.MAXIFS(BD!$A$3:$A$5001,BD!$B$3:$B$5001,O$233,BD!$A$3:$A$5001,"&gt;="&amp;$C$7,BD!$A$3:$A$5001,"&lt;="&amp;$B254,BD!$R$3:$R$5001,"&lt;&gt;"))))</f>
        <v/>
      </c>
      <c r="P254" s="54" t="str">
        <f>IF(OR($B254="",$A254&gt;$B$9,P$233=""),"",IF(COUNTIFS(BD!$B$3:$B$5001,P$233,BD!$A$3:$A$5001,"&gt;="&amp;$C$7,BD!$A$3:$A$5001,"&lt;="&amp;$B254,BD!$R$3:$R$5001,"&lt;&gt;")=0,"",SUMIFS(BD!$R$3:$R$5001,BD!$B$3:$B$5001,P$233,BD!$A$3:$A$5001,_xlfn.MAXIFS(BD!$A$3:$A$5001,BD!$B$3:$B$5001,P$233,BD!$A$3:$A$5001,"&gt;="&amp;$C$7,BD!$A$3:$A$5001,"&lt;="&amp;$B254,BD!$R$3:$R$5001,"&lt;&gt;"))))</f>
        <v/>
      </c>
      <c r="Q254" s="54" t="str">
        <f>IF(OR($B254="",$A254&gt;$B$9,Q$233=""),"",IF(COUNTIFS(BD!$B$3:$B$5001,Q$233,BD!$A$3:$A$5001,"&gt;="&amp;$C$7,BD!$A$3:$A$5001,"&lt;="&amp;$B254,BD!$R$3:$R$5001,"&lt;&gt;")=0,"",SUMIFS(BD!$R$3:$R$5001,BD!$B$3:$B$5001,Q$233,BD!$A$3:$A$5001,_xlfn.MAXIFS(BD!$A$3:$A$5001,BD!$B$3:$B$5001,Q$233,BD!$A$3:$A$5001,"&gt;="&amp;$C$7,BD!$A$3:$A$5001,"&lt;="&amp;$B254,BD!$R$3:$R$5001,"&lt;&gt;"))))</f>
        <v/>
      </c>
      <c r="R254" s="54" t="str">
        <f>IF(OR($B254="",$A254&gt;$B$9,R$233=""),"",IF(COUNTIFS(BD!$B$3:$B$5001,R$233,BD!$A$3:$A$5001,"&gt;="&amp;$C$7,BD!$A$3:$A$5001,"&lt;="&amp;$B254,BD!$R$3:$R$5001,"&lt;&gt;")=0,"",SUMIFS(BD!$R$3:$R$5001,BD!$B$3:$B$5001,R$233,BD!$A$3:$A$5001,_xlfn.MAXIFS(BD!$A$3:$A$5001,BD!$B$3:$B$5001,R$233,BD!$A$3:$A$5001,"&gt;="&amp;$C$7,BD!$A$3:$A$5001,"&lt;="&amp;$B254,BD!$R$3:$R$5001,"&lt;&gt;"))))</f>
        <v/>
      </c>
      <c r="S254" s="54" t="str">
        <f>IF(OR($B254="",$A254&gt;$B$9,S$233=""),"",IF(COUNTIFS(BD!$B$3:$B$5001,S$233,BD!$A$3:$A$5001,"&gt;="&amp;$C$7,BD!$A$3:$A$5001,"&lt;="&amp;$B254,BD!$R$3:$R$5001,"&lt;&gt;")=0,"",SUMIFS(BD!$R$3:$R$5001,BD!$B$3:$B$5001,S$233,BD!$A$3:$A$5001,_xlfn.MAXIFS(BD!$A$3:$A$5001,BD!$B$3:$B$5001,S$233,BD!$A$3:$A$5001,"&gt;="&amp;$C$7,BD!$A$3:$A$5001,"&lt;="&amp;$B254,BD!$R$3:$R$5001,"&lt;&gt;"))))</f>
        <v/>
      </c>
      <c r="T254" s="54" t="str">
        <f>IF(OR($B254="",$A254&gt;$B$9,T$233=""),"",IF(COUNTIFS(BD!$B$3:$B$5001,T$233,BD!$A$3:$A$5001,"&gt;="&amp;$C$7,BD!$A$3:$A$5001,"&lt;="&amp;$B254,BD!$R$3:$R$5001,"&lt;&gt;")=0,"",SUMIFS(BD!$R$3:$R$5001,BD!$B$3:$B$5001,T$233,BD!$A$3:$A$5001,_xlfn.MAXIFS(BD!$A$3:$A$5001,BD!$B$3:$B$5001,T$233,BD!$A$3:$A$5001,"&gt;="&amp;$C$7,BD!$A$3:$A$5001,"&lt;="&amp;$B254,BD!$R$3:$R$5001,"&lt;&gt;"))))</f>
        <v/>
      </c>
      <c r="U254" s="54" t="str">
        <f>IF(OR($B254="",$A254&gt;$B$9,U$233=""),"",IF(COUNTIFS(BD!$B$3:$B$5001,U$233,BD!$A$3:$A$5001,"&gt;="&amp;$C$7,BD!$A$3:$A$5001,"&lt;="&amp;$B254,BD!$R$3:$R$5001,"&lt;&gt;")=0,"",SUMIFS(BD!$R$3:$R$5001,BD!$B$3:$B$5001,U$233,BD!$A$3:$A$5001,_xlfn.MAXIFS(BD!$A$3:$A$5001,BD!$B$3:$B$5001,U$233,BD!$A$3:$A$5001,"&gt;="&amp;$C$7,BD!$A$3:$A$5001,"&lt;="&amp;$B254,BD!$R$3:$R$5001,"&lt;&gt;"))))</f>
        <v/>
      </c>
      <c r="V254" s="54" t="str">
        <f>IF(OR($B254="",$A254&gt;$B$9,V$233=""),"",IF(COUNTIFS(BD!$B$3:$B$5001,V$233,BD!$A$3:$A$5001,"&gt;="&amp;$C$7,BD!$A$3:$A$5001,"&lt;="&amp;$B254,BD!$R$3:$R$5001,"&lt;&gt;")=0,"",SUMIFS(BD!$R$3:$R$5001,BD!$B$3:$B$5001,V$233,BD!$A$3:$A$5001,_xlfn.MAXIFS(BD!$A$3:$A$5001,BD!$B$3:$B$5001,V$233,BD!$A$3:$A$5001,"&gt;="&amp;$C$7,BD!$A$3:$A$5001,"&lt;="&amp;$B254,BD!$R$3:$R$5001,"&lt;&gt;"))))</f>
        <v/>
      </c>
    </row>
    <row r="255">
      <c r="A255" s="48">
        <v>22</v>
      </c>
      <c r="B255" s="53">
        <f>$B$33</f>
        <v>46317</v>
      </c>
      <c r="C255" s="54" t="str">
        <f>IF(OR($B255="",$A255&gt;$B$9,C$233=""),"",IF(COUNTIFS(BD!$B$3:$B$5001,C$233,BD!$A$3:$A$5001,"&gt;="&amp;$C$7,BD!$A$3:$A$5001,"&lt;="&amp;$B255,BD!$R$3:$R$5001,"&lt;&gt;")=0,"",SUMIFS(BD!$R$3:$R$5001,BD!$B$3:$B$5001,C$233,BD!$A$3:$A$5001,_xlfn.MAXIFS(BD!$A$3:$A$5001,BD!$B$3:$B$5001,C$233,BD!$A$3:$A$5001,"&gt;="&amp;$C$7,BD!$A$3:$A$5001,"&lt;="&amp;$B255,BD!$R$3:$R$5001,"&lt;&gt;"))))</f>
        <v/>
      </c>
      <c r="D255" s="54" t="str">
        <f>IF(OR($B255="",$A255&gt;$B$9,D$233=""),"",IF(COUNTIFS(BD!$B$3:$B$5001,D$233,BD!$A$3:$A$5001,"&gt;="&amp;$C$7,BD!$A$3:$A$5001,"&lt;="&amp;$B255,BD!$R$3:$R$5001,"&lt;&gt;")=0,"",SUMIFS(BD!$R$3:$R$5001,BD!$B$3:$B$5001,D$233,BD!$A$3:$A$5001,_xlfn.MAXIFS(BD!$A$3:$A$5001,BD!$B$3:$B$5001,D$233,BD!$A$3:$A$5001,"&gt;="&amp;$C$7,BD!$A$3:$A$5001,"&lt;="&amp;$B255,BD!$R$3:$R$5001,"&lt;&gt;"))))</f>
        <v/>
      </c>
      <c r="E255" s="54" t="str">
        <f>IF(OR($B255="",$A255&gt;$B$9,E$233=""),"",IF(COUNTIFS(BD!$B$3:$B$5001,E$233,BD!$A$3:$A$5001,"&gt;="&amp;$C$7,BD!$A$3:$A$5001,"&lt;="&amp;$B255,BD!$R$3:$R$5001,"&lt;&gt;")=0,"",SUMIFS(BD!$R$3:$R$5001,BD!$B$3:$B$5001,E$233,BD!$A$3:$A$5001,_xlfn.MAXIFS(BD!$A$3:$A$5001,BD!$B$3:$B$5001,E$233,BD!$A$3:$A$5001,"&gt;="&amp;$C$7,BD!$A$3:$A$5001,"&lt;="&amp;$B255,BD!$R$3:$R$5001,"&lt;&gt;"))))</f>
        <v/>
      </c>
      <c r="F255" s="54" t="str">
        <f>IF(OR($B255="",$A255&gt;$B$9,F$233=""),"",IF(COUNTIFS(BD!$B$3:$B$5001,F$233,BD!$A$3:$A$5001,"&gt;="&amp;$C$7,BD!$A$3:$A$5001,"&lt;="&amp;$B255,BD!$R$3:$R$5001,"&lt;&gt;")=0,"",SUMIFS(BD!$R$3:$R$5001,BD!$B$3:$B$5001,F$233,BD!$A$3:$A$5001,_xlfn.MAXIFS(BD!$A$3:$A$5001,BD!$B$3:$B$5001,F$233,BD!$A$3:$A$5001,"&gt;="&amp;$C$7,BD!$A$3:$A$5001,"&lt;="&amp;$B255,BD!$R$3:$R$5001,"&lt;&gt;"))))</f>
        <v/>
      </c>
      <c r="G255" s="54" t="str">
        <f>IF(OR($B255="",$A255&gt;$B$9,G$233=""),"",IF(COUNTIFS(BD!$B$3:$B$5001,G$233,BD!$A$3:$A$5001,"&gt;="&amp;$C$7,BD!$A$3:$A$5001,"&lt;="&amp;$B255,BD!$R$3:$R$5001,"&lt;&gt;")=0,"",SUMIFS(BD!$R$3:$R$5001,BD!$B$3:$B$5001,G$233,BD!$A$3:$A$5001,_xlfn.MAXIFS(BD!$A$3:$A$5001,BD!$B$3:$B$5001,G$233,BD!$A$3:$A$5001,"&gt;="&amp;$C$7,BD!$A$3:$A$5001,"&lt;="&amp;$B255,BD!$R$3:$R$5001,"&lt;&gt;"))))</f>
        <v/>
      </c>
      <c r="H255" s="54" t="str">
        <f>IF(OR($B255="",$A255&gt;$B$9,H$233=""),"",IF(COUNTIFS(BD!$B$3:$B$5001,H$233,BD!$A$3:$A$5001,"&gt;="&amp;$C$7,BD!$A$3:$A$5001,"&lt;="&amp;$B255,BD!$R$3:$R$5001,"&lt;&gt;")=0,"",SUMIFS(BD!$R$3:$R$5001,BD!$B$3:$B$5001,H$233,BD!$A$3:$A$5001,_xlfn.MAXIFS(BD!$A$3:$A$5001,BD!$B$3:$B$5001,H$233,BD!$A$3:$A$5001,"&gt;="&amp;$C$7,BD!$A$3:$A$5001,"&lt;="&amp;$B255,BD!$R$3:$R$5001,"&lt;&gt;"))))</f>
        <v/>
      </c>
      <c r="I255" s="54" t="str">
        <f>IF(OR($B255="",$A255&gt;$B$9,I$233=""),"",IF(COUNTIFS(BD!$B$3:$B$5001,I$233,BD!$A$3:$A$5001,"&gt;="&amp;$C$7,BD!$A$3:$A$5001,"&lt;="&amp;$B255,BD!$R$3:$R$5001,"&lt;&gt;")=0,"",SUMIFS(BD!$R$3:$R$5001,BD!$B$3:$B$5001,I$233,BD!$A$3:$A$5001,_xlfn.MAXIFS(BD!$A$3:$A$5001,BD!$B$3:$B$5001,I$233,BD!$A$3:$A$5001,"&gt;="&amp;$C$7,BD!$A$3:$A$5001,"&lt;="&amp;$B255,BD!$R$3:$R$5001,"&lt;&gt;"))))</f>
        <v/>
      </c>
      <c r="J255" s="54" t="str">
        <f>IF(OR($B255="",$A255&gt;$B$9,J$233=""),"",IF(COUNTIFS(BD!$B$3:$B$5001,J$233,BD!$A$3:$A$5001,"&gt;="&amp;$C$7,BD!$A$3:$A$5001,"&lt;="&amp;$B255,BD!$R$3:$R$5001,"&lt;&gt;")=0,"",SUMIFS(BD!$R$3:$R$5001,BD!$B$3:$B$5001,J$233,BD!$A$3:$A$5001,_xlfn.MAXIFS(BD!$A$3:$A$5001,BD!$B$3:$B$5001,J$233,BD!$A$3:$A$5001,"&gt;="&amp;$C$7,BD!$A$3:$A$5001,"&lt;="&amp;$B255,BD!$R$3:$R$5001,"&lt;&gt;"))))</f>
        <v/>
      </c>
      <c r="K255" s="54" t="str">
        <f>IF(OR($B255="",$A255&gt;$B$9,K$233=""),"",IF(COUNTIFS(BD!$B$3:$B$5001,K$233,BD!$A$3:$A$5001,"&gt;="&amp;$C$7,BD!$A$3:$A$5001,"&lt;="&amp;$B255,BD!$R$3:$R$5001,"&lt;&gt;")=0,"",SUMIFS(BD!$R$3:$R$5001,BD!$B$3:$B$5001,K$233,BD!$A$3:$A$5001,_xlfn.MAXIFS(BD!$A$3:$A$5001,BD!$B$3:$B$5001,K$233,BD!$A$3:$A$5001,"&gt;="&amp;$C$7,BD!$A$3:$A$5001,"&lt;="&amp;$B255,BD!$R$3:$R$5001,"&lt;&gt;"))))</f>
        <v/>
      </c>
      <c r="L255" s="54" t="str">
        <f>IF(OR($B255="",$A255&gt;$B$9,L$233=""),"",IF(COUNTIFS(BD!$B$3:$B$5001,L$233,BD!$A$3:$A$5001,"&gt;="&amp;$C$7,BD!$A$3:$A$5001,"&lt;="&amp;$B255,BD!$R$3:$R$5001,"&lt;&gt;")=0,"",SUMIFS(BD!$R$3:$R$5001,BD!$B$3:$B$5001,L$233,BD!$A$3:$A$5001,_xlfn.MAXIFS(BD!$A$3:$A$5001,BD!$B$3:$B$5001,L$233,BD!$A$3:$A$5001,"&gt;="&amp;$C$7,BD!$A$3:$A$5001,"&lt;="&amp;$B255,BD!$R$3:$R$5001,"&lt;&gt;"))))</f>
        <v/>
      </c>
      <c r="M255" s="54" t="str">
        <f>IF(OR($B255="",$A255&gt;$B$9,M$233=""),"",IF(COUNTIFS(BD!$B$3:$B$5001,M$233,BD!$A$3:$A$5001,"&gt;="&amp;$C$7,BD!$A$3:$A$5001,"&lt;="&amp;$B255,BD!$R$3:$R$5001,"&lt;&gt;")=0,"",SUMIFS(BD!$R$3:$R$5001,BD!$B$3:$B$5001,M$233,BD!$A$3:$A$5001,_xlfn.MAXIFS(BD!$A$3:$A$5001,BD!$B$3:$B$5001,M$233,BD!$A$3:$A$5001,"&gt;="&amp;$C$7,BD!$A$3:$A$5001,"&lt;="&amp;$B255,BD!$R$3:$R$5001,"&lt;&gt;"))))</f>
        <v/>
      </c>
      <c r="N255" s="54" t="str">
        <f>IF(OR($B255="",$A255&gt;$B$9,N$233=""),"",IF(COUNTIFS(BD!$B$3:$B$5001,N$233,BD!$A$3:$A$5001,"&gt;="&amp;$C$7,BD!$A$3:$A$5001,"&lt;="&amp;$B255,BD!$R$3:$R$5001,"&lt;&gt;")=0,"",SUMIFS(BD!$R$3:$R$5001,BD!$B$3:$B$5001,N$233,BD!$A$3:$A$5001,_xlfn.MAXIFS(BD!$A$3:$A$5001,BD!$B$3:$B$5001,N$233,BD!$A$3:$A$5001,"&gt;="&amp;$C$7,BD!$A$3:$A$5001,"&lt;="&amp;$B255,BD!$R$3:$R$5001,"&lt;&gt;"))))</f>
        <v/>
      </c>
      <c r="O255" s="54" t="str">
        <f>IF(OR($B255="",$A255&gt;$B$9,O$233=""),"",IF(COUNTIFS(BD!$B$3:$B$5001,O$233,BD!$A$3:$A$5001,"&gt;="&amp;$C$7,BD!$A$3:$A$5001,"&lt;="&amp;$B255,BD!$R$3:$R$5001,"&lt;&gt;")=0,"",SUMIFS(BD!$R$3:$R$5001,BD!$B$3:$B$5001,O$233,BD!$A$3:$A$5001,_xlfn.MAXIFS(BD!$A$3:$A$5001,BD!$B$3:$B$5001,O$233,BD!$A$3:$A$5001,"&gt;="&amp;$C$7,BD!$A$3:$A$5001,"&lt;="&amp;$B255,BD!$R$3:$R$5001,"&lt;&gt;"))))</f>
        <v/>
      </c>
      <c r="P255" s="54" t="str">
        <f>IF(OR($B255="",$A255&gt;$B$9,P$233=""),"",IF(COUNTIFS(BD!$B$3:$B$5001,P$233,BD!$A$3:$A$5001,"&gt;="&amp;$C$7,BD!$A$3:$A$5001,"&lt;="&amp;$B255,BD!$R$3:$R$5001,"&lt;&gt;")=0,"",SUMIFS(BD!$R$3:$R$5001,BD!$B$3:$B$5001,P$233,BD!$A$3:$A$5001,_xlfn.MAXIFS(BD!$A$3:$A$5001,BD!$B$3:$B$5001,P$233,BD!$A$3:$A$5001,"&gt;="&amp;$C$7,BD!$A$3:$A$5001,"&lt;="&amp;$B255,BD!$R$3:$R$5001,"&lt;&gt;"))))</f>
        <v/>
      </c>
      <c r="Q255" s="54" t="str">
        <f>IF(OR($B255="",$A255&gt;$B$9,Q$233=""),"",IF(COUNTIFS(BD!$B$3:$B$5001,Q$233,BD!$A$3:$A$5001,"&gt;="&amp;$C$7,BD!$A$3:$A$5001,"&lt;="&amp;$B255,BD!$R$3:$R$5001,"&lt;&gt;")=0,"",SUMIFS(BD!$R$3:$R$5001,BD!$B$3:$B$5001,Q$233,BD!$A$3:$A$5001,_xlfn.MAXIFS(BD!$A$3:$A$5001,BD!$B$3:$B$5001,Q$233,BD!$A$3:$A$5001,"&gt;="&amp;$C$7,BD!$A$3:$A$5001,"&lt;="&amp;$B255,BD!$R$3:$R$5001,"&lt;&gt;"))))</f>
        <v/>
      </c>
      <c r="R255" s="54" t="str">
        <f>IF(OR($B255="",$A255&gt;$B$9,R$233=""),"",IF(COUNTIFS(BD!$B$3:$B$5001,R$233,BD!$A$3:$A$5001,"&gt;="&amp;$C$7,BD!$A$3:$A$5001,"&lt;="&amp;$B255,BD!$R$3:$R$5001,"&lt;&gt;")=0,"",SUMIFS(BD!$R$3:$R$5001,BD!$B$3:$B$5001,R$233,BD!$A$3:$A$5001,_xlfn.MAXIFS(BD!$A$3:$A$5001,BD!$B$3:$B$5001,R$233,BD!$A$3:$A$5001,"&gt;="&amp;$C$7,BD!$A$3:$A$5001,"&lt;="&amp;$B255,BD!$R$3:$R$5001,"&lt;&gt;"))))</f>
        <v/>
      </c>
      <c r="S255" s="54" t="str">
        <f>IF(OR($B255="",$A255&gt;$B$9,S$233=""),"",IF(COUNTIFS(BD!$B$3:$B$5001,S$233,BD!$A$3:$A$5001,"&gt;="&amp;$C$7,BD!$A$3:$A$5001,"&lt;="&amp;$B255,BD!$R$3:$R$5001,"&lt;&gt;")=0,"",SUMIFS(BD!$R$3:$R$5001,BD!$B$3:$B$5001,S$233,BD!$A$3:$A$5001,_xlfn.MAXIFS(BD!$A$3:$A$5001,BD!$B$3:$B$5001,S$233,BD!$A$3:$A$5001,"&gt;="&amp;$C$7,BD!$A$3:$A$5001,"&lt;="&amp;$B255,BD!$R$3:$R$5001,"&lt;&gt;"))))</f>
        <v/>
      </c>
      <c r="T255" s="54" t="str">
        <f>IF(OR($B255="",$A255&gt;$B$9,T$233=""),"",IF(COUNTIFS(BD!$B$3:$B$5001,T$233,BD!$A$3:$A$5001,"&gt;="&amp;$C$7,BD!$A$3:$A$5001,"&lt;="&amp;$B255,BD!$R$3:$R$5001,"&lt;&gt;")=0,"",SUMIFS(BD!$R$3:$R$5001,BD!$B$3:$B$5001,T$233,BD!$A$3:$A$5001,_xlfn.MAXIFS(BD!$A$3:$A$5001,BD!$B$3:$B$5001,T$233,BD!$A$3:$A$5001,"&gt;="&amp;$C$7,BD!$A$3:$A$5001,"&lt;="&amp;$B255,BD!$R$3:$R$5001,"&lt;&gt;"))))</f>
        <v/>
      </c>
      <c r="U255" s="54" t="str">
        <f>IF(OR($B255="",$A255&gt;$B$9,U$233=""),"",IF(COUNTIFS(BD!$B$3:$B$5001,U$233,BD!$A$3:$A$5001,"&gt;="&amp;$C$7,BD!$A$3:$A$5001,"&lt;="&amp;$B255,BD!$R$3:$R$5001,"&lt;&gt;")=0,"",SUMIFS(BD!$R$3:$R$5001,BD!$B$3:$B$5001,U$233,BD!$A$3:$A$5001,_xlfn.MAXIFS(BD!$A$3:$A$5001,BD!$B$3:$B$5001,U$233,BD!$A$3:$A$5001,"&gt;="&amp;$C$7,BD!$A$3:$A$5001,"&lt;="&amp;$B255,BD!$R$3:$R$5001,"&lt;&gt;"))))</f>
        <v/>
      </c>
      <c r="V255" s="54" t="str">
        <f>IF(OR($B255="",$A255&gt;$B$9,V$233=""),"",IF(COUNTIFS(BD!$B$3:$B$5001,V$233,BD!$A$3:$A$5001,"&gt;="&amp;$C$7,BD!$A$3:$A$5001,"&lt;="&amp;$B255,BD!$R$3:$R$5001,"&lt;&gt;")=0,"",SUMIFS(BD!$R$3:$R$5001,BD!$B$3:$B$5001,V$233,BD!$A$3:$A$5001,_xlfn.MAXIFS(BD!$A$3:$A$5001,BD!$B$3:$B$5001,V$233,BD!$A$3:$A$5001,"&gt;="&amp;$C$7,BD!$A$3:$A$5001,"&lt;="&amp;$B255,BD!$R$3:$R$5001,"&lt;&gt;"))))</f>
        <v/>
      </c>
    </row>
    <row r="256">
      <c r="A256" s="48">
        <v>23</v>
      </c>
      <c r="B256" s="53">
        <f>$B$34</f>
        <v>46318</v>
      </c>
      <c r="C256" s="54" t="str">
        <f>IF(OR($B256="",$A256&gt;$B$9,C$233=""),"",IF(COUNTIFS(BD!$B$3:$B$5001,C$233,BD!$A$3:$A$5001,"&gt;="&amp;$C$7,BD!$A$3:$A$5001,"&lt;="&amp;$B256,BD!$R$3:$R$5001,"&lt;&gt;")=0,"",SUMIFS(BD!$R$3:$R$5001,BD!$B$3:$B$5001,C$233,BD!$A$3:$A$5001,_xlfn.MAXIFS(BD!$A$3:$A$5001,BD!$B$3:$B$5001,C$233,BD!$A$3:$A$5001,"&gt;="&amp;$C$7,BD!$A$3:$A$5001,"&lt;="&amp;$B256,BD!$R$3:$R$5001,"&lt;&gt;"))))</f>
        <v/>
      </c>
      <c r="D256" s="54" t="str">
        <f>IF(OR($B256="",$A256&gt;$B$9,D$233=""),"",IF(COUNTIFS(BD!$B$3:$B$5001,D$233,BD!$A$3:$A$5001,"&gt;="&amp;$C$7,BD!$A$3:$A$5001,"&lt;="&amp;$B256,BD!$R$3:$R$5001,"&lt;&gt;")=0,"",SUMIFS(BD!$R$3:$R$5001,BD!$B$3:$B$5001,D$233,BD!$A$3:$A$5001,_xlfn.MAXIFS(BD!$A$3:$A$5001,BD!$B$3:$B$5001,D$233,BD!$A$3:$A$5001,"&gt;="&amp;$C$7,BD!$A$3:$A$5001,"&lt;="&amp;$B256,BD!$R$3:$R$5001,"&lt;&gt;"))))</f>
        <v/>
      </c>
      <c r="E256" s="54" t="str">
        <f>IF(OR($B256="",$A256&gt;$B$9,E$233=""),"",IF(COUNTIFS(BD!$B$3:$B$5001,E$233,BD!$A$3:$A$5001,"&gt;="&amp;$C$7,BD!$A$3:$A$5001,"&lt;="&amp;$B256,BD!$R$3:$R$5001,"&lt;&gt;")=0,"",SUMIFS(BD!$R$3:$R$5001,BD!$B$3:$B$5001,E$233,BD!$A$3:$A$5001,_xlfn.MAXIFS(BD!$A$3:$A$5001,BD!$B$3:$B$5001,E$233,BD!$A$3:$A$5001,"&gt;="&amp;$C$7,BD!$A$3:$A$5001,"&lt;="&amp;$B256,BD!$R$3:$R$5001,"&lt;&gt;"))))</f>
        <v/>
      </c>
      <c r="F256" s="54" t="str">
        <f>IF(OR($B256="",$A256&gt;$B$9,F$233=""),"",IF(COUNTIFS(BD!$B$3:$B$5001,F$233,BD!$A$3:$A$5001,"&gt;="&amp;$C$7,BD!$A$3:$A$5001,"&lt;="&amp;$B256,BD!$R$3:$R$5001,"&lt;&gt;")=0,"",SUMIFS(BD!$R$3:$R$5001,BD!$B$3:$B$5001,F$233,BD!$A$3:$A$5001,_xlfn.MAXIFS(BD!$A$3:$A$5001,BD!$B$3:$B$5001,F$233,BD!$A$3:$A$5001,"&gt;="&amp;$C$7,BD!$A$3:$A$5001,"&lt;="&amp;$B256,BD!$R$3:$R$5001,"&lt;&gt;"))))</f>
        <v/>
      </c>
      <c r="G256" s="54" t="str">
        <f>IF(OR($B256="",$A256&gt;$B$9,G$233=""),"",IF(COUNTIFS(BD!$B$3:$B$5001,G$233,BD!$A$3:$A$5001,"&gt;="&amp;$C$7,BD!$A$3:$A$5001,"&lt;="&amp;$B256,BD!$R$3:$R$5001,"&lt;&gt;")=0,"",SUMIFS(BD!$R$3:$R$5001,BD!$B$3:$B$5001,G$233,BD!$A$3:$A$5001,_xlfn.MAXIFS(BD!$A$3:$A$5001,BD!$B$3:$B$5001,G$233,BD!$A$3:$A$5001,"&gt;="&amp;$C$7,BD!$A$3:$A$5001,"&lt;="&amp;$B256,BD!$R$3:$R$5001,"&lt;&gt;"))))</f>
        <v/>
      </c>
      <c r="H256" s="54" t="str">
        <f>IF(OR($B256="",$A256&gt;$B$9,H$233=""),"",IF(COUNTIFS(BD!$B$3:$B$5001,H$233,BD!$A$3:$A$5001,"&gt;="&amp;$C$7,BD!$A$3:$A$5001,"&lt;="&amp;$B256,BD!$R$3:$R$5001,"&lt;&gt;")=0,"",SUMIFS(BD!$R$3:$R$5001,BD!$B$3:$B$5001,H$233,BD!$A$3:$A$5001,_xlfn.MAXIFS(BD!$A$3:$A$5001,BD!$B$3:$B$5001,H$233,BD!$A$3:$A$5001,"&gt;="&amp;$C$7,BD!$A$3:$A$5001,"&lt;="&amp;$B256,BD!$R$3:$R$5001,"&lt;&gt;"))))</f>
        <v/>
      </c>
      <c r="I256" s="54" t="str">
        <f>IF(OR($B256="",$A256&gt;$B$9,I$233=""),"",IF(COUNTIFS(BD!$B$3:$B$5001,I$233,BD!$A$3:$A$5001,"&gt;="&amp;$C$7,BD!$A$3:$A$5001,"&lt;="&amp;$B256,BD!$R$3:$R$5001,"&lt;&gt;")=0,"",SUMIFS(BD!$R$3:$R$5001,BD!$B$3:$B$5001,I$233,BD!$A$3:$A$5001,_xlfn.MAXIFS(BD!$A$3:$A$5001,BD!$B$3:$B$5001,I$233,BD!$A$3:$A$5001,"&gt;="&amp;$C$7,BD!$A$3:$A$5001,"&lt;="&amp;$B256,BD!$R$3:$R$5001,"&lt;&gt;"))))</f>
        <v/>
      </c>
      <c r="J256" s="54" t="str">
        <f>IF(OR($B256="",$A256&gt;$B$9,J$233=""),"",IF(COUNTIFS(BD!$B$3:$B$5001,J$233,BD!$A$3:$A$5001,"&gt;="&amp;$C$7,BD!$A$3:$A$5001,"&lt;="&amp;$B256,BD!$R$3:$R$5001,"&lt;&gt;")=0,"",SUMIFS(BD!$R$3:$R$5001,BD!$B$3:$B$5001,J$233,BD!$A$3:$A$5001,_xlfn.MAXIFS(BD!$A$3:$A$5001,BD!$B$3:$B$5001,J$233,BD!$A$3:$A$5001,"&gt;="&amp;$C$7,BD!$A$3:$A$5001,"&lt;="&amp;$B256,BD!$R$3:$R$5001,"&lt;&gt;"))))</f>
        <v/>
      </c>
      <c r="K256" s="54" t="str">
        <f>IF(OR($B256="",$A256&gt;$B$9,K$233=""),"",IF(COUNTIFS(BD!$B$3:$B$5001,K$233,BD!$A$3:$A$5001,"&gt;="&amp;$C$7,BD!$A$3:$A$5001,"&lt;="&amp;$B256,BD!$R$3:$R$5001,"&lt;&gt;")=0,"",SUMIFS(BD!$R$3:$R$5001,BD!$B$3:$B$5001,K$233,BD!$A$3:$A$5001,_xlfn.MAXIFS(BD!$A$3:$A$5001,BD!$B$3:$B$5001,K$233,BD!$A$3:$A$5001,"&gt;="&amp;$C$7,BD!$A$3:$A$5001,"&lt;="&amp;$B256,BD!$R$3:$R$5001,"&lt;&gt;"))))</f>
        <v/>
      </c>
      <c r="L256" s="54" t="str">
        <f>IF(OR($B256="",$A256&gt;$B$9,L$233=""),"",IF(COUNTIFS(BD!$B$3:$B$5001,L$233,BD!$A$3:$A$5001,"&gt;="&amp;$C$7,BD!$A$3:$A$5001,"&lt;="&amp;$B256,BD!$R$3:$R$5001,"&lt;&gt;")=0,"",SUMIFS(BD!$R$3:$R$5001,BD!$B$3:$B$5001,L$233,BD!$A$3:$A$5001,_xlfn.MAXIFS(BD!$A$3:$A$5001,BD!$B$3:$B$5001,L$233,BD!$A$3:$A$5001,"&gt;="&amp;$C$7,BD!$A$3:$A$5001,"&lt;="&amp;$B256,BD!$R$3:$R$5001,"&lt;&gt;"))))</f>
        <v/>
      </c>
      <c r="M256" s="54" t="str">
        <f>IF(OR($B256="",$A256&gt;$B$9,M$233=""),"",IF(COUNTIFS(BD!$B$3:$B$5001,M$233,BD!$A$3:$A$5001,"&gt;="&amp;$C$7,BD!$A$3:$A$5001,"&lt;="&amp;$B256,BD!$R$3:$R$5001,"&lt;&gt;")=0,"",SUMIFS(BD!$R$3:$R$5001,BD!$B$3:$B$5001,M$233,BD!$A$3:$A$5001,_xlfn.MAXIFS(BD!$A$3:$A$5001,BD!$B$3:$B$5001,M$233,BD!$A$3:$A$5001,"&gt;="&amp;$C$7,BD!$A$3:$A$5001,"&lt;="&amp;$B256,BD!$R$3:$R$5001,"&lt;&gt;"))))</f>
        <v/>
      </c>
      <c r="N256" s="54" t="str">
        <f>IF(OR($B256="",$A256&gt;$B$9,N$233=""),"",IF(COUNTIFS(BD!$B$3:$B$5001,N$233,BD!$A$3:$A$5001,"&gt;="&amp;$C$7,BD!$A$3:$A$5001,"&lt;="&amp;$B256,BD!$R$3:$R$5001,"&lt;&gt;")=0,"",SUMIFS(BD!$R$3:$R$5001,BD!$B$3:$B$5001,N$233,BD!$A$3:$A$5001,_xlfn.MAXIFS(BD!$A$3:$A$5001,BD!$B$3:$B$5001,N$233,BD!$A$3:$A$5001,"&gt;="&amp;$C$7,BD!$A$3:$A$5001,"&lt;="&amp;$B256,BD!$R$3:$R$5001,"&lt;&gt;"))))</f>
        <v/>
      </c>
      <c r="O256" s="54" t="str">
        <f>IF(OR($B256="",$A256&gt;$B$9,O$233=""),"",IF(COUNTIFS(BD!$B$3:$B$5001,O$233,BD!$A$3:$A$5001,"&gt;="&amp;$C$7,BD!$A$3:$A$5001,"&lt;="&amp;$B256,BD!$R$3:$R$5001,"&lt;&gt;")=0,"",SUMIFS(BD!$R$3:$R$5001,BD!$B$3:$B$5001,O$233,BD!$A$3:$A$5001,_xlfn.MAXIFS(BD!$A$3:$A$5001,BD!$B$3:$B$5001,O$233,BD!$A$3:$A$5001,"&gt;="&amp;$C$7,BD!$A$3:$A$5001,"&lt;="&amp;$B256,BD!$R$3:$R$5001,"&lt;&gt;"))))</f>
        <v/>
      </c>
      <c r="P256" s="54" t="str">
        <f>IF(OR($B256="",$A256&gt;$B$9,P$233=""),"",IF(COUNTIFS(BD!$B$3:$B$5001,P$233,BD!$A$3:$A$5001,"&gt;="&amp;$C$7,BD!$A$3:$A$5001,"&lt;="&amp;$B256,BD!$R$3:$R$5001,"&lt;&gt;")=0,"",SUMIFS(BD!$R$3:$R$5001,BD!$B$3:$B$5001,P$233,BD!$A$3:$A$5001,_xlfn.MAXIFS(BD!$A$3:$A$5001,BD!$B$3:$B$5001,P$233,BD!$A$3:$A$5001,"&gt;="&amp;$C$7,BD!$A$3:$A$5001,"&lt;="&amp;$B256,BD!$R$3:$R$5001,"&lt;&gt;"))))</f>
        <v/>
      </c>
      <c r="Q256" s="54" t="str">
        <f>IF(OR($B256="",$A256&gt;$B$9,Q$233=""),"",IF(COUNTIFS(BD!$B$3:$B$5001,Q$233,BD!$A$3:$A$5001,"&gt;="&amp;$C$7,BD!$A$3:$A$5001,"&lt;="&amp;$B256,BD!$R$3:$R$5001,"&lt;&gt;")=0,"",SUMIFS(BD!$R$3:$R$5001,BD!$B$3:$B$5001,Q$233,BD!$A$3:$A$5001,_xlfn.MAXIFS(BD!$A$3:$A$5001,BD!$B$3:$B$5001,Q$233,BD!$A$3:$A$5001,"&gt;="&amp;$C$7,BD!$A$3:$A$5001,"&lt;="&amp;$B256,BD!$R$3:$R$5001,"&lt;&gt;"))))</f>
        <v/>
      </c>
      <c r="R256" s="54" t="str">
        <f>IF(OR($B256="",$A256&gt;$B$9,R$233=""),"",IF(COUNTIFS(BD!$B$3:$B$5001,R$233,BD!$A$3:$A$5001,"&gt;="&amp;$C$7,BD!$A$3:$A$5001,"&lt;="&amp;$B256,BD!$R$3:$R$5001,"&lt;&gt;")=0,"",SUMIFS(BD!$R$3:$R$5001,BD!$B$3:$B$5001,R$233,BD!$A$3:$A$5001,_xlfn.MAXIFS(BD!$A$3:$A$5001,BD!$B$3:$B$5001,R$233,BD!$A$3:$A$5001,"&gt;="&amp;$C$7,BD!$A$3:$A$5001,"&lt;="&amp;$B256,BD!$R$3:$R$5001,"&lt;&gt;"))))</f>
        <v/>
      </c>
      <c r="S256" s="54" t="str">
        <f>IF(OR($B256="",$A256&gt;$B$9,S$233=""),"",IF(COUNTIFS(BD!$B$3:$B$5001,S$233,BD!$A$3:$A$5001,"&gt;="&amp;$C$7,BD!$A$3:$A$5001,"&lt;="&amp;$B256,BD!$R$3:$R$5001,"&lt;&gt;")=0,"",SUMIFS(BD!$R$3:$R$5001,BD!$B$3:$B$5001,S$233,BD!$A$3:$A$5001,_xlfn.MAXIFS(BD!$A$3:$A$5001,BD!$B$3:$B$5001,S$233,BD!$A$3:$A$5001,"&gt;="&amp;$C$7,BD!$A$3:$A$5001,"&lt;="&amp;$B256,BD!$R$3:$R$5001,"&lt;&gt;"))))</f>
        <v/>
      </c>
      <c r="T256" s="54" t="str">
        <f>IF(OR($B256="",$A256&gt;$B$9,T$233=""),"",IF(COUNTIFS(BD!$B$3:$B$5001,T$233,BD!$A$3:$A$5001,"&gt;="&amp;$C$7,BD!$A$3:$A$5001,"&lt;="&amp;$B256,BD!$R$3:$R$5001,"&lt;&gt;")=0,"",SUMIFS(BD!$R$3:$R$5001,BD!$B$3:$B$5001,T$233,BD!$A$3:$A$5001,_xlfn.MAXIFS(BD!$A$3:$A$5001,BD!$B$3:$B$5001,T$233,BD!$A$3:$A$5001,"&gt;="&amp;$C$7,BD!$A$3:$A$5001,"&lt;="&amp;$B256,BD!$R$3:$R$5001,"&lt;&gt;"))))</f>
        <v/>
      </c>
      <c r="U256" s="54" t="str">
        <f>IF(OR($B256="",$A256&gt;$B$9,U$233=""),"",IF(COUNTIFS(BD!$B$3:$B$5001,U$233,BD!$A$3:$A$5001,"&gt;="&amp;$C$7,BD!$A$3:$A$5001,"&lt;="&amp;$B256,BD!$R$3:$R$5001,"&lt;&gt;")=0,"",SUMIFS(BD!$R$3:$R$5001,BD!$B$3:$B$5001,U$233,BD!$A$3:$A$5001,_xlfn.MAXIFS(BD!$A$3:$A$5001,BD!$B$3:$B$5001,U$233,BD!$A$3:$A$5001,"&gt;="&amp;$C$7,BD!$A$3:$A$5001,"&lt;="&amp;$B256,BD!$R$3:$R$5001,"&lt;&gt;"))))</f>
        <v/>
      </c>
      <c r="V256" s="54" t="str">
        <f>IF(OR($B256="",$A256&gt;$B$9,V$233=""),"",IF(COUNTIFS(BD!$B$3:$B$5001,V$233,BD!$A$3:$A$5001,"&gt;="&amp;$C$7,BD!$A$3:$A$5001,"&lt;="&amp;$B256,BD!$R$3:$R$5001,"&lt;&gt;")=0,"",SUMIFS(BD!$R$3:$R$5001,BD!$B$3:$B$5001,V$233,BD!$A$3:$A$5001,_xlfn.MAXIFS(BD!$A$3:$A$5001,BD!$B$3:$B$5001,V$233,BD!$A$3:$A$5001,"&gt;="&amp;$C$7,BD!$A$3:$A$5001,"&lt;="&amp;$B256,BD!$R$3:$R$5001,"&lt;&gt;"))))</f>
        <v/>
      </c>
    </row>
    <row r="257">
      <c r="A257" s="48">
        <v>24</v>
      </c>
      <c r="B257" s="53">
        <f>$B$35</f>
        <v>46319</v>
      </c>
      <c r="C257" s="54" t="str">
        <f>IF(OR($B257="",$A257&gt;$B$9,C$233=""),"",IF(COUNTIFS(BD!$B$3:$B$5001,C$233,BD!$A$3:$A$5001,"&gt;="&amp;$C$7,BD!$A$3:$A$5001,"&lt;="&amp;$B257,BD!$R$3:$R$5001,"&lt;&gt;")=0,"",SUMIFS(BD!$R$3:$R$5001,BD!$B$3:$B$5001,C$233,BD!$A$3:$A$5001,_xlfn.MAXIFS(BD!$A$3:$A$5001,BD!$B$3:$B$5001,C$233,BD!$A$3:$A$5001,"&gt;="&amp;$C$7,BD!$A$3:$A$5001,"&lt;="&amp;$B257,BD!$R$3:$R$5001,"&lt;&gt;"))))</f>
        <v/>
      </c>
      <c r="D257" s="54" t="str">
        <f>IF(OR($B257="",$A257&gt;$B$9,D$233=""),"",IF(COUNTIFS(BD!$B$3:$B$5001,D$233,BD!$A$3:$A$5001,"&gt;="&amp;$C$7,BD!$A$3:$A$5001,"&lt;="&amp;$B257,BD!$R$3:$R$5001,"&lt;&gt;")=0,"",SUMIFS(BD!$R$3:$R$5001,BD!$B$3:$B$5001,D$233,BD!$A$3:$A$5001,_xlfn.MAXIFS(BD!$A$3:$A$5001,BD!$B$3:$B$5001,D$233,BD!$A$3:$A$5001,"&gt;="&amp;$C$7,BD!$A$3:$A$5001,"&lt;="&amp;$B257,BD!$R$3:$R$5001,"&lt;&gt;"))))</f>
        <v/>
      </c>
      <c r="E257" s="54" t="str">
        <f>IF(OR($B257="",$A257&gt;$B$9,E$233=""),"",IF(COUNTIFS(BD!$B$3:$B$5001,E$233,BD!$A$3:$A$5001,"&gt;="&amp;$C$7,BD!$A$3:$A$5001,"&lt;="&amp;$B257,BD!$R$3:$R$5001,"&lt;&gt;")=0,"",SUMIFS(BD!$R$3:$R$5001,BD!$B$3:$B$5001,E$233,BD!$A$3:$A$5001,_xlfn.MAXIFS(BD!$A$3:$A$5001,BD!$B$3:$B$5001,E$233,BD!$A$3:$A$5001,"&gt;="&amp;$C$7,BD!$A$3:$A$5001,"&lt;="&amp;$B257,BD!$R$3:$R$5001,"&lt;&gt;"))))</f>
        <v/>
      </c>
      <c r="F257" s="54" t="str">
        <f>IF(OR($B257="",$A257&gt;$B$9,F$233=""),"",IF(COUNTIFS(BD!$B$3:$B$5001,F$233,BD!$A$3:$A$5001,"&gt;="&amp;$C$7,BD!$A$3:$A$5001,"&lt;="&amp;$B257,BD!$R$3:$R$5001,"&lt;&gt;")=0,"",SUMIFS(BD!$R$3:$R$5001,BD!$B$3:$B$5001,F$233,BD!$A$3:$A$5001,_xlfn.MAXIFS(BD!$A$3:$A$5001,BD!$B$3:$B$5001,F$233,BD!$A$3:$A$5001,"&gt;="&amp;$C$7,BD!$A$3:$A$5001,"&lt;="&amp;$B257,BD!$R$3:$R$5001,"&lt;&gt;"))))</f>
        <v/>
      </c>
      <c r="G257" s="54" t="str">
        <f>IF(OR($B257="",$A257&gt;$B$9,G$233=""),"",IF(COUNTIFS(BD!$B$3:$B$5001,G$233,BD!$A$3:$A$5001,"&gt;="&amp;$C$7,BD!$A$3:$A$5001,"&lt;="&amp;$B257,BD!$R$3:$R$5001,"&lt;&gt;")=0,"",SUMIFS(BD!$R$3:$R$5001,BD!$B$3:$B$5001,G$233,BD!$A$3:$A$5001,_xlfn.MAXIFS(BD!$A$3:$A$5001,BD!$B$3:$B$5001,G$233,BD!$A$3:$A$5001,"&gt;="&amp;$C$7,BD!$A$3:$A$5001,"&lt;="&amp;$B257,BD!$R$3:$R$5001,"&lt;&gt;"))))</f>
        <v/>
      </c>
      <c r="H257" s="54" t="str">
        <f>IF(OR($B257="",$A257&gt;$B$9,H$233=""),"",IF(COUNTIFS(BD!$B$3:$B$5001,H$233,BD!$A$3:$A$5001,"&gt;="&amp;$C$7,BD!$A$3:$A$5001,"&lt;="&amp;$B257,BD!$R$3:$R$5001,"&lt;&gt;")=0,"",SUMIFS(BD!$R$3:$R$5001,BD!$B$3:$B$5001,H$233,BD!$A$3:$A$5001,_xlfn.MAXIFS(BD!$A$3:$A$5001,BD!$B$3:$B$5001,H$233,BD!$A$3:$A$5001,"&gt;="&amp;$C$7,BD!$A$3:$A$5001,"&lt;="&amp;$B257,BD!$R$3:$R$5001,"&lt;&gt;"))))</f>
        <v/>
      </c>
      <c r="I257" s="54" t="str">
        <f>IF(OR($B257="",$A257&gt;$B$9,I$233=""),"",IF(COUNTIFS(BD!$B$3:$B$5001,I$233,BD!$A$3:$A$5001,"&gt;="&amp;$C$7,BD!$A$3:$A$5001,"&lt;="&amp;$B257,BD!$R$3:$R$5001,"&lt;&gt;")=0,"",SUMIFS(BD!$R$3:$R$5001,BD!$B$3:$B$5001,I$233,BD!$A$3:$A$5001,_xlfn.MAXIFS(BD!$A$3:$A$5001,BD!$B$3:$B$5001,I$233,BD!$A$3:$A$5001,"&gt;="&amp;$C$7,BD!$A$3:$A$5001,"&lt;="&amp;$B257,BD!$R$3:$R$5001,"&lt;&gt;"))))</f>
        <v/>
      </c>
      <c r="J257" s="54" t="str">
        <f>IF(OR($B257="",$A257&gt;$B$9,J$233=""),"",IF(COUNTIFS(BD!$B$3:$B$5001,J$233,BD!$A$3:$A$5001,"&gt;="&amp;$C$7,BD!$A$3:$A$5001,"&lt;="&amp;$B257,BD!$R$3:$R$5001,"&lt;&gt;")=0,"",SUMIFS(BD!$R$3:$R$5001,BD!$B$3:$B$5001,J$233,BD!$A$3:$A$5001,_xlfn.MAXIFS(BD!$A$3:$A$5001,BD!$B$3:$B$5001,J$233,BD!$A$3:$A$5001,"&gt;="&amp;$C$7,BD!$A$3:$A$5001,"&lt;="&amp;$B257,BD!$R$3:$R$5001,"&lt;&gt;"))))</f>
        <v/>
      </c>
      <c r="K257" s="54" t="str">
        <f>IF(OR($B257="",$A257&gt;$B$9,K$233=""),"",IF(COUNTIFS(BD!$B$3:$B$5001,K$233,BD!$A$3:$A$5001,"&gt;="&amp;$C$7,BD!$A$3:$A$5001,"&lt;="&amp;$B257,BD!$R$3:$R$5001,"&lt;&gt;")=0,"",SUMIFS(BD!$R$3:$R$5001,BD!$B$3:$B$5001,K$233,BD!$A$3:$A$5001,_xlfn.MAXIFS(BD!$A$3:$A$5001,BD!$B$3:$B$5001,K$233,BD!$A$3:$A$5001,"&gt;="&amp;$C$7,BD!$A$3:$A$5001,"&lt;="&amp;$B257,BD!$R$3:$R$5001,"&lt;&gt;"))))</f>
        <v/>
      </c>
      <c r="L257" s="54" t="str">
        <f>IF(OR($B257="",$A257&gt;$B$9,L$233=""),"",IF(COUNTIFS(BD!$B$3:$B$5001,L$233,BD!$A$3:$A$5001,"&gt;="&amp;$C$7,BD!$A$3:$A$5001,"&lt;="&amp;$B257,BD!$R$3:$R$5001,"&lt;&gt;")=0,"",SUMIFS(BD!$R$3:$R$5001,BD!$B$3:$B$5001,L$233,BD!$A$3:$A$5001,_xlfn.MAXIFS(BD!$A$3:$A$5001,BD!$B$3:$B$5001,L$233,BD!$A$3:$A$5001,"&gt;="&amp;$C$7,BD!$A$3:$A$5001,"&lt;="&amp;$B257,BD!$R$3:$R$5001,"&lt;&gt;"))))</f>
        <v/>
      </c>
      <c r="M257" s="54" t="str">
        <f>IF(OR($B257="",$A257&gt;$B$9,M$233=""),"",IF(COUNTIFS(BD!$B$3:$B$5001,M$233,BD!$A$3:$A$5001,"&gt;="&amp;$C$7,BD!$A$3:$A$5001,"&lt;="&amp;$B257,BD!$R$3:$R$5001,"&lt;&gt;")=0,"",SUMIFS(BD!$R$3:$R$5001,BD!$B$3:$B$5001,M$233,BD!$A$3:$A$5001,_xlfn.MAXIFS(BD!$A$3:$A$5001,BD!$B$3:$B$5001,M$233,BD!$A$3:$A$5001,"&gt;="&amp;$C$7,BD!$A$3:$A$5001,"&lt;="&amp;$B257,BD!$R$3:$R$5001,"&lt;&gt;"))))</f>
        <v/>
      </c>
      <c r="N257" s="54" t="str">
        <f>IF(OR($B257="",$A257&gt;$B$9,N$233=""),"",IF(COUNTIFS(BD!$B$3:$B$5001,N$233,BD!$A$3:$A$5001,"&gt;="&amp;$C$7,BD!$A$3:$A$5001,"&lt;="&amp;$B257,BD!$R$3:$R$5001,"&lt;&gt;")=0,"",SUMIFS(BD!$R$3:$R$5001,BD!$B$3:$B$5001,N$233,BD!$A$3:$A$5001,_xlfn.MAXIFS(BD!$A$3:$A$5001,BD!$B$3:$B$5001,N$233,BD!$A$3:$A$5001,"&gt;="&amp;$C$7,BD!$A$3:$A$5001,"&lt;="&amp;$B257,BD!$R$3:$R$5001,"&lt;&gt;"))))</f>
        <v/>
      </c>
      <c r="O257" s="54" t="str">
        <f>IF(OR($B257="",$A257&gt;$B$9,O$233=""),"",IF(COUNTIFS(BD!$B$3:$B$5001,O$233,BD!$A$3:$A$5001,"&gt;="&amp;$C$7,BD!$A$3:$A$5001,"&lt;="&amp;$B257,BD!$R$3:$R$5001,"&lt;&gt;")=0,"",SUMIFS(BD!$R$3:$R$5001,BD!$B$3:$B$5001,O$233,BD!$A$3:$A$5001,_xlfn.MAXIFS(BD!$A$3:$A$5001,BD!$B$3:$B$5001,O$233,BD!$A$3:$A$5001,"&gt;="&amp;$C$7,BD!$A$3:$A$5001,"&lt;="&amp;$B257,BD!$R$3:$R$5001,"&lt;&gt;"))))</f>
        <v/>
      </c>
      <c r="P257" s="54" t="str">
        <f>IF(OR($B257="",$A257&gt;$B$9,P$233=""),"",IF(COUNTIFS(BD!$B$3:$B$5001,P$233,BD!$A$3:$A$5001,"&gt;="&amp;$C$7,BD!$A$3:$A$5001,"&lt;="&amp;$B257,BD!$R$3:$R$5001,"&lt;&gt;")=0,"",SUMIFS(BD!$R$3:$R$5001,BD!$B$3:$B$5001,P$233,BD!$A$3:$A$5001,_xlfn.MAXIFS(BD!$A$3:$A$5001,BD!$B$3:$B$5001,P$233,BD!$A$3:$A$5001,"&gt;="&amp;$C$7,BD!$A$3:$A$5001,"&lt;="&amp;$B257,BD!$R$3:$R$5001,"&lt;&gt;"))))</f>
        <v/>
      </c>
      <c r="Q257" s="54" t="str">
        <f>IF(OR($B257="",$A257&gt;$B$9,Q$233=""),"",IF(COUNTIFS(BD!$B$3:$B$5001,Q$233,BD!$A$3:$A$5001,"&gt;="&amp;$C$7,BD!$A$3:$A$5001,"&lt;="&amp;$B257,BD!$R$3:$R$5001,"&lt;&gt;")=0,"",SUMIFS(BD!$R$3:$R$5001,BD!$B$3:$B$5001,Q$233,BD!$A$3:$A$5001,_xlfn.MAXIFS(BD!$A$3:$A$5001,BD!$B$3:$B$5001,Q$233,BD!$A$3:$A$5001,"&gt;="&amp;$C$7,BD!$A$3:$A$5001,"&lt;="&amp;$B257,BD!$R$3:$R$5001,"&lt;&gt;"))))</f>
        <v/>
      </c>
      <c r="R257" s="54" t="str">
        <f>IF(OR($B257="",$A257&gt;$B$9,R$233=""),"",IF(COUNTIFS(BD!$B$3:$B$5001,R$233,BD!$A$3:$A$5001,"&gt;="&amp;$C$7,BD!$A$3:$A$5001,"&lt;="&amp;$B257,BD!$R$3:$R$5001,"&lt;&gt;")=0,"",SUMIFS(BD!$R$3:$R$5001,BD!$B$3:$B$5001,R$233,BD!$A$3:$A$5001,_xlfn.MAXIFS(BD!$A$3:$A$5001,BD!$B$3:$B$5001,R$233,BD!$A$3:$A$5001,"&gt;="&amp;$C$7,BD!$A$3:$A$5001,"&lt;="&amp;$B257,BD!$R$3:$R$5001,"&lt;&gt;"))))</f>
        <v/>
      </c>
      <c r="S257" s="54" t="str">
        <f>IF(OR($B257="",$A257&gt;$B$9,S$233=""),"",IF(COUNTIFS(BD!$B$3:$B$5001,S$233,BD!$A$3:$A$5001,"&gt;="&amp;$C$7,BD!$A$3:$A$5001,"&lt;="&amp;$B257,BD!$R$3:$R$5001,"&lt;&gt;")=0,"",SUMIFS(BD!$R$3:$R$5001,BD!$B$3:$B$5001,S$233,BD!$A$3:$A$5001,_xlfn.MAXIFS(BD!$A$3:$A$5001,BD!$B$3:$B$5001,S$233,BD!$A$3:$A$5001,"&gt;="&amp;$C$7,BD!$A$3:$A$5001,"&lt;="&amp;$B257,BD!$R$3:$R$5001,"&lt;&gt;"))))</f>
        <v/>
      </c>
      <c r="T257" s="54" t="str">
        <f>IF(OR($B257="",$A257&gt;$B$9,T$233=""),"",IF(COUNTIFS(BD!$B$3:$B$5001,T$233,BD!$A$3:$A$5001,"&gt;="&amp;$C$7,BD!$A$3:$A$5001,"&lt;="&amp;$B257,BD!$R$3:$R$5001,"&lt;&gt;")=0,"",SUMIFS(BD!$R$3:$R$5001,BD!$B$3:$B$5001,T$233,BD!$A$3:$A$5001,_xlfn.MAXIFS(BD!$A$3:$A$5001,BD!$B$3:$B$5001,T$233,BD!$A$3:$A$5001,"&gt;="&amp;$C$7,BD!$A$3:$A$5001,"&lt;="&amp;$B257,BD!$R$3:$R$5001,"&lt;&gt;"))))</f>
        <v/>
      </c>
      <c r="U257" s="54" t="str">
        <f>IF(OR($B257="",$A257&gt;$B$9,U$233=""),"",IF(COUNTIFS(BD!$B$3:$B$5001,U$233,BD!$A$3:$A$5001,"&gt;="&amp;$C$7,BD!$A$3:$A$5001,"&lt;="&amp;$B257,BD!$R$3:$R$5001,"&lt;&gt;")=0,"",SUMIFS(BD!$R$3:$R$5001,BD!$B$3:$B$5001,U$233,BD!$A$3:$A$5001,_xlfn.MAXIFS(BD!$A$3:$A$5001,BD!$B$3:$B$5001,U$233,BD!$A$3:$A$5001,"&gt;="&amp;$C$7,BD!$A$3:$A$5001,"&lt;="&amp;$B257,BD!$R$3:$R$5001,"&lt;&gt;"))))</f>
        <v/>
      </c>
      <c r="V257" s="54" t="str">
        <f>IF(OR($B257="",$A257&gt;$B$9,V$233=""),"",IF(COUNTIFS(BD!$B$3:$B$5001,V$233,BD!$A$3:$A$5001,"&gt;="&amp;$C$7,BD!$A$3:$A$5001,"&lt;="&amp;$B257,BD!$R$3:$R$5001,"&lt;&gt;")=0,"",SUMIFS(BD!$R$3:$R$5001,BD!$B$3:$B$5001,V$233,BD!$A$3:$A$5001,_xlfn.MAXIFS(BD!$A$3:$A$5001,BD!$B$3:$B$5001,V$233,BD!$A$3:$A$5001,"&gt;="&amp;$C$7,BD!$A$3:$A$5001,"&lt;="&amp;$B257,BD!$R$3:$R$5001,"&lt;&gt;"))))</f>
        <v/>
      </c>
    </row>
    <row r="258">
      <c r="A258" s="48">
        <v>25</v>
      </c>
      <c r="B258" s="53">
        <f>$B$36</f>
        <v>46320</v>
      </c>
      <c r="C258" s="54" t="str">
        <f>IF(OR($B258="",$A258&gt;$B$9,C$233=""),"",IF(COUNTIFS(BD!$B$3:$B$5001,C$233,BD!$A$3:$A$5001,"&gt;="&amp;$C$7,BD!$A$3:$A$5001,"&lt;="&amp;$B258,BD!$R$3:$R$5001,"&lt;&gt;")=0,"",SUMIFS(BD!$R$3:$R$5001,BD!$B$3:$B$5001,C$233,BD!$A$3:$A$5001,_xlfn.MAXIFS(BD!$A$3:$A$5001,BD!$B$3:$B$5001,C$233,BD!$A$3:$A$5001,"&gt;="&amp;$C$7,BD!$A$3:$A$5001,"&lt;="&amp;$B258,BD!$R$3:$R$5001,"&lt;&gt;"))))</f>
        <v/>
      </c>
      <c r="D258" s="54" t="str">
        <f>IF(OR($B258="",$A258&gt;$B$9,D$233=""),"",IF(COUNTIFS(BD!$B$3:$B$5001,D$233,BD!$A$3:$A$5001,"&gt;="&amp;$C$7,BD!$A$3:$A$5001,"&lt;="&amp;$B258,BD!$R$3:$R$5001,"&lt;&gt;")=0,"",SUMIFS(BD!$R$3:$R$5001,BD!$B$3:$B$5001,D$233,BD!$A$3:$A$5001,_xlfn.MAXIFS(BD!$A$3:$A$5001,BD!$B$3:$B$5001,D$233,BD!$A$3:$A$5001,"&gt;="&amp;$C$7,BD!$A$3:$A$5001,"&lt;="&amp;$B258,BD!$R$3:$R$5001,"&lt;&gt;"))))</f>
        <v/>
      </c>
      <c r="E258" s="54" t="str">
        <f>IF(OR($B258="",$A258&gt;$B$9,E$233=""),"",IF(COUNTIFS(BD!$B$3:$B$5001,E$233,BD!$A$3:$A$5001,"&gt;="&amp;$C$7,BD!$A$3:$A$5001,"&lt;="&amp;$B258,BD!$R$3:$R$5001,"&lt;&gt;")=0,"",SUMIFS(BD!$R$3:$R$5001,BD!$B$3:$B$5001,E$233,BD!$A$3:$A$5001,_xlfn.MAXIFS(BD!$A$3:$A$5001,BD!$B$3:$B$5001,E$233,BD!$A$3:$A$5001,"&gt;="&amp;$C$7,BD!$A$3:$A$5001,"&lt;="&amp;$B258,BD!$R$3:$R$5001,"&lt;&gt;"))))</f>
        <v/>
      </c>
      <c r="F258" s="54" t="str">
        <f>IF(OR($B258="",$A258&gt;$B$9,F$233=""),"",IF(COUNTIFS(BD!$B$3:$B$5001,F$233,BD!$A$3:$A$5001,"&gt;="&amp;$C$7,BD!$A$3:$A$5001,"&lt;="&amp;$B258,BD!$R$3:$R$5001,"&lt;&gt;")=0,"",SUMIFS(BD!$R$3:$R$5001,BD!$B$3:$B$5001,F$233,BD!$A$3:$A$5001,_xlfn.MAXIFS(BD!$A$3:$A$5001,BD!$B$3:$B$5001,F$233,BD!$A$3:$A$5001,"&gt;="&amp;$C$7,BD!$A$3:$A$5001,"&lt;="&amp;$B258,BD!$R$3:$R$5001,"&lt;&gt;"))))</f>
        <v/>
      </c>
      <c r="G258" s="54" t="str">
        <f>IF(OR($B258="",$A258&gt;$B$9,G$233=""),"",IF(COUNTIFS(BD!$B$3:$B$5001,G$233,BD!$A$3:$A$5001,"&gt;="&amp;$C$7,BD!$A$3:$A$5001,"&lt;="&amp;$B258,BD!$R$3:$R$5001,"&lt;&gt;")=0,"",SUMIFS(BD!$R$3:$R$5001,BD!$B$3:$B$5001,G$233,BD!$A$3:$A$5001,_xlfn.MAXIFS(BD!$A$3:$A$5001,BD!$B$3:$B$5001,G$233,BD!$A$3:$A$5001,"&gt;="&amp;$C$7,BD!$A$3:$A$5001,"&lt;="&amp;$B258,BD!$R$3:$R$5001,"&lt;&gt;"))))</f>
        <v/>
      </c>
      <c r="H258" s="54" t="str">
        <f>IF(OR($B258="",$A258&gt;$B$9,H$233=""),"",IF(COUNTIFS(BD!$B$3:$B$5001,H$233,BD!$A$3:$A$5001,"&gt;="&amp;$C$7,BD!$A$3:$A$5001,"&lt;="&amp;$B258,BD!$R$3:$R$5001,"&lt;&gt;")=0,"",SUMIFS(BD!$R$3:$R$5001,BD!$B$3:$B$5001,H$233,BD!$A$3:$A$5001,_xlfn.MAXIFS(BD!$A$3:$A$5001,BD!$B$3:$B$5001,H$233,BD!$A$3:$A$5001,"&gt;="&amp;$C$7,BD!$A$3:$A$5001,"&lt;="&amp;$B258,BD!$R$3:$R$5001,"&lt;&gt;"))))</f>
        <v/>
      </c>
      <c r="I258" s="54" t="str">
        <f>IF(OR($B258="",$A258&gt;$B$9,I$233=""),"",IF(COUNTIFS(BD!$B$3:$B$5001,I$233,BD!$A$3:$A$5001,"&gt;="&amp;$C$7,BD!$A$3:$A$5001,"&lt;="&amp;$B258,BD!$R$3:$R$5001,"&lt;&gt;")=0,"",SUMIFS(BD!$R$3:$R$5001,BD!$B$3:$B$5001,I$233,BD!$A$3:$A$5001,_xlfn.MAXIFS(BD!$A$3:$A$5001,BD!$B$3:$B$5001,I$233,BD!$A$3:$A$5001,"&gt;="&amp;$C$7,BD!$A$3:$A$5001,"&lt;="&amp;$B258,BD!$R$3:$R$5001,"&lt;&gt;"))))</f>
        <v/>
      </c>
      <c r="J258" s="54" t="str">
        <f>IF(OR($B258="",$A258&gt;$B$9,J$233=""),"",IF(COUNTIFS(BD!$B$3:$B$5001,J$233,BD!$A$3:$A$5001,"&gt;="&amp;$C$7,BD!$A$3:$A$5001,"&lt;="&amp;$B258,BD!$R$3:$R$5001,"&lt;&gt;")=0,"",SUMIFS(BD!$R$3:$R$5001,BD!$B$3:$B$5001,J$233,BD!$A$3:$A$5001,_xlfn.MAXIFS(BD!$A$3:$A$5001,BD!$B$3:$B$5001,J$233,BD!$A$3:$A$5001,"&gt;="&amp;$C$7,BD!$A$3:$A$5001,"&lt;="&amp;$B258,BD!$R$3:$R$5001,"&lt;&gt;"))))</f>
        <v/>
      </c>
      <c r="K258" s="54" t="str">
        <f>IF(OR($B258="",$A258&gt;$B$9,K$233=""),"",IF(COUNTIFS(BD!$B$3:$B$5001,K$233,BD!$A$3:$A$5001,"&gt;="&amp;$C$7,BD!$A$3:$A$5001,"&lt;="&amp;$B258,BD!$R$3:$R$5001,"&lt;&gt;")=0,"",SUMIFS(BD!$R$3:$R$5001,BD!$B$3:$B$5001,K$233,BD!$A$3:$A$5001,_xlfn.MAXIFS(BD!$A$3:$A$5001,BD!$B$3:$B$5001,K$233,BD!$A$3:$A$5001,"&gt;="&amp;$C$7,BD!$A$3:$A$5001,"&lt;="&amp;$B258,BD!$R$3:$R$5001,"&lt;&gt;"))))</f>
        <v/>
      </c>
      <c r="L258" s="54" t="str">
        <f>IF(OR($B258="",$A258&gt;$B$9,L$233=""),"",IF(COUNTIFS(BD!$B$3:$B$5001,L$233,BD!$A$3:$A$5001,"&gt;="&amp;$C$7,BD!$A$3:$A$5001,"&lt;="&amp;$B258,BD!$R$3:$R$5001,"&lt;&gt;")=0,"",SUMIFS(BD!$R$3:$R$5001,BD!$B$3:$B$5001,L$233,BD!$A$3:$A$5001,_xlfn.MAXIFS(BD!$A$3:$A$5001,BD!$B$3:$B$5001,L$233,BD!$A$3:$A$5001,"&gt;="&amp;$C$7,BD!$A$3:$A$5001,"&lt;="&amp;$B258,BD!$R$3:$R$5001,"&lt;&gt;"))))</f>
        <v/>
      </c>
      <c r="M258" s="54" t="str">
        <f>IF(OR($B258="",$A258&gt;$B$9,M$233=""),"",IF(COUNTIFS(BD!$B$3:$B$5001,M$233,BD!$A$3:$A$5001,"&gt;="&amp;$C$7,BD!$A$3:$A$5001,"&lt;="&amp;$B258,BD!$R$3:$R$5001,"&lt;&gt;")=0,"",SUMIFS(BD!$R$3:$R$5001,BD!$B$3:$B$5001,M$233,BD!$A$3:$A$5001,_xlfn.MAXIFS(BD!$A$3:$A$5001,BD!$B$3:$B$5001,M$233,BD!$A$3:$A$5001,"&gt;="&amp;$C$7,BD!$A$3:$A$5001,"&lt;="&amp;$B258,BD!$R$3:$R$5001,"&lt;&gt;"))))</f>
        <v/>
      </c>
      <c r="N258" s="54" t="str">
        <f>IF(OR($B258="",$A258&gt;$B$9,N$233=""),"",IF(COUNTIFS(BD!$B$3:$B$5001,N$233,BD!$A$3:$A$5001,"&gt;="&amp;$C$7,BD!$A$3:$A$5001,"&lt;="&amp;$B258,BD!$R$3:$R$5001,"&lt;&gt;")=0,"",SUMIFS(BD!$R$3:$R$5001,BD!$B$3:$B$5001,N$233,BD!$A$3:$A$5001,_xlfn.MAXIFS(BD!$A$3:$A$5001,BD!$B$3:$B$5001,N$233,BD!$A$3:$A$5001,"&gt;="&amp;$C$7,BD!$A$3:$A$5001,"&lt;="&amp;$B258,BD!$R$3:$R$5001,"&lt;&gt;"))))</f>
        <v/>
      </c>
      <c r="O258" s="54" t="str">
        <f>IF(OR($B258="",$A258&gt;$B$9,O$233=""),"",IF(COUNTIFS(BD!$B$3:$B$5001,O$233,BD!$A$3:$A$5001,"&gt;="&amp;$C$7,BD!$A$3:$A$5001,"&lt;="&amp;$B258,BD!$R$3:$R$5001,"&lt;&gt;")=0,"",SUMIFS(BD!$R$3:$R$5001,BD!$B$3:$B$5001,O$233,BD!$A$3:$A$5001,_xlfn.MAXIFS(BD!$A$3:$A$5001,BD!$B$3:$B$5001,O$233,BD!$A$3:$A$5001,"&gt;="&amp;$C$7,BD!$A$3:$A$5001,"&lt;="&amp;$B258,BD!$R$3:$R$5001,"&lt;&gt;"))))</f>
        <v/>
      </c>
      <c r="P258" s="54" t="str">
        <f>IF(OR($B258="",$A258&gt;$B$9,P$233=""),"",IF(COUNTIFS(BD!$B$3:$B$5001,P$233,BD!$A$3:$A$5001,"&gt;="&amp;$C$7,BD!$A$3:$A$5001,"&lt;="&amp;$B258,BD!$R$3:$R$5001,"&lt;&gt;")=0,"",SUMIFS(BD!$R$3:$R$5001,BD!$B$3:$B$5001,P$233,BD!$A$3:$A$5001,_xlfn.MAXIFS(BD!$A$3:$A$5001,BD!$B$3:$B$5001,P$233,BD!$A$3:$A$5001,"&gt;="&amp;$C$7,BD!$A$3:$A$5001,"&lt;="&amp;$B258,BD!$R$3:$R$5001,"&lt;&gt;"))))</f>
        <v/>
      </c>
      <c r="Q258" s="54" t="str">
        <f>IF(OR($B258="",$A258&gt;$B$9,Q$233=""),"",IF(COUNTIFS(BD!$B$3:$B$5001,Q$233,BD!$A$3:$A$5001,"&gt;="&amp;$C$7,BD!$A$3:$A$5001,"&lt;="&amp;$B258,BD!$R$3:$R$5001,"&lt;&gt;")=0,"",SUMIFS(BD!$R$3:$R$5001,BD!$B$3:$B$5001,Q$233,BD!$A$3:$A$5001,_xlfn.MAXIFS(BD!$A$3:$A$5001,BD!$B$3:$B$5001,Q$233,BD!$A$3:$A$5001,"&gt;="&amp;$C$7,BD!$A$3:$A$5001,"&lt;="&amp;$B258,BD!$R$3:$R$5001,"&lt;&gt;"))))</f>
        <v/>
      </c>
      <c r="R258" s="54" t="str">
        <f>IF(OR($B258="",$A258&gt;$B$9,R$233=""),"",IF(COUNTIFS(BD!$B$3:$B$5001,R$233,BD!$A$3:$A$5001,"&gt;="&amp;$C$7,BD!$A$3:$A$5001,"&lt;="&amp;$B258,BD!$R$3:$R$5001,"&lt;&gt;")=0,"",SUMIFS(BD!$R$3:$R$5001,BD!$B$3:$B$5001,R$233,BD!$A$3:$A$5001,_xlfn.MAXIFS(BD!$A$3:$A$5001,BD!$B$3:$B$5001,R$233,BD!$A$3:$A$5001,"&gt;="&amp;$C$7,BD!$A$3:$A$5001,"&lt;="&amp;$B258,BD!$R$3:$R$5001,"&lt;&gt;"))))</f>
        <v/>
      </c>
      <c r="S258" s="54" t="str">
        <f>IF(OR($B258="",$A258&gt;$B$9,S$233=""),"",IF(COUNTIFS(BD!$B$3:$B$5001,S$233,BD!$A$3:$A$5001,"&gt;="&amp;$C$7,BD!$A$3:$A$5001,"&lt;="&amp;$B258,BD!$R$3:$R$5001,"&lt;&gt;")=0,"",SUMIFS(BD!$R$3:$R$5001,BD!$B$3:$B$5001,S$233,BD!$A$3:$A$5001,_xlfn.MAXIFS(BD!$A$3:$A$5001,BD!$B$3:$B$5001,S$233,BD!$A$3:$A$5001,"&gt;="&amp;$C$7,BD!$A$3:$A$5001,"&lt;="&amp;$B258,BD!$R$3:$R$5001,"&lt;&gt;"))))</f>
        <v/>
      </c>
      <c r="T258" s="54" t="str">
        <f>IF(OR($B258="",$A258&gt;$B$9,T$233=""),"",IF(COUNTIFS(BD!$B$3:$B$5001,T$233,BD!$A$3:$A$5001,"&gt;="&amp;$C$7,BD!$A$3:$A$5001,"&lt;="&amp;$B258,BD!$R$3:$R$5001,"&lt;&gt;")=0,"",SUMIFS(BD!$R$3:$R$5001,BD!$B$3:$B$5001,T$233,BD!$A$3:$A$5001,_xlfn.MAXIFS(BD!$A$3:$A$5001,BD!$B$3:$B$5001,T$233,BD!$A$3:$A$5001,"&gt;="&amp;$C$7,BD!$A$3:$A$5001,"&lt;="&amp;$B258,BD!$R$3:$R$5001,"&lt;&gt;"))))</f>
        <v/>
      </c>
      <c r="U258" s="54" t="str">
        <f>IF(OR($B258="",$A258&gt;$B$9,U$233=""),"",IF(COUNTIFS(BD!$B$3:$B$5001,U$233,BD!$A$3:$A$5001,"&gt;="&amp;$C$7,BD!$A$3:$A$5001,"&lt;="&amp;$B258,BD!$R$3:$R$5001,"&lt;&gt;")=0,"",SUMIFS(BD!$R$3:$R$5001,BD!$B$3:$B$5001,U$233,BD!$A$3:$A$5001,_xlfn.MAXIFS(BD!$A$3:$A$5001,BD!$B$3:$B$5001,U$233,BD!$A$3:$A$5001,"&gt;="&amp;$C$7,BD!$A$3:$A$5001,"&lt;="&amp;$B258,BD!$R$3:$R$5001,"&lt;&gt;"))))</f>
        <v/>
      </c>
      <c r="V258" s="54" t="str">
        <f>IF(OR($B258="",$A258&gt;$B$9,V$233=""),"",IF(COUNTIFS(BD!$B$3:$B$5001,V$233,BD!$A$3:$A$5001,"&gt;="&amp;$C$7,BD!$A$3:$A$5001,"&lt;="&amp;$B258,BD!$R$3:$R$5001,"&lt;&gt;")=0,"",SUMIFS(BD!$R$3:$R$5001,BD!$B$3:$B$5001,V$233,BD!$A$3:$A$5001,_xlfn.MAXIFS(BD!$A$3:$A$5001,BD!$B$3:$B$5001,V$233,BD!$A$3:$A$5001,"&gt;="&amp;$C$7,BD!$A$3:$A$5001,"&lt;="&amp;$B258,BD!$R$3:$R$5001,"&lt;&gt;"))))</f>
        <v/>
      </c>
    </row>
    <row r="259">
      <c r="A259" s="48">
        <v>26</v>
      </c>
      <c r="B259" s="53">
        <f>$B$37</f>
        <v>46321</v>
      </c>
      <c r="C259" s="54" t="str">
        <f>IF(OR($B259="",$A259&gt;$B$9,C$233=""),"",IF(COUNTIFS(BD!$B$3:$B$5001,C$233,BD!$A$3:$A$5001,"&gt;="&amp;$C$7,BD!$A$3:$A$5001,"&lt;="&amp;$B259,BD!$R$3:$R$5001,"&lt;&gt;")=0,"",SUMIFS(BD!$R$3:$R$5001,BD!$B$3:$B$5001,C$233,BD!$A$3:$A$5001,_xlfn.MAXIFS(BD!$A$3:$A$5001,BD!$B$3:$B$5001,C$233,BD!$A$3:$A$5001,"&gt;="&amp;$C$7,BD!$A$3:$A$5001,"&lt;="&amp;$B259,BD!$R$3:$R$5001,"&lt;&gt;"))))</f>
        <v/>
      </c>
      <c r="D259" s="54" t="str">
        <f>IF(OR($B259="",$A259&gt;$B$9,D$233=""),"",IF(COUNTIFS(BD!$B$3:$B$5001,D$233,BD!$A$3:$A$5001,"&gt;="&amp;$C$7,BD!$A$3:$A$5001,"&lt;="&amp;$B259,BD!$R$3:$R$5001,"&lt;&gt;")=0,"",SUMIFS(BD!$R$3:$R$5001,BD!$B$3:$B$5001,D$233,BD!$A$3:$A$5001,_xlfn.MAXIFS(BD!$A$3:$A$5001,BD!$B$3:$B$5001,D$233,BD!$A$3:$A$5001,"&gt;="&amp;$C$7,BD!$A$3:$A$5001,"&lt;="&amp;$B259,BD!$R$3:$R$5001,"&lt;&gt;"))))</f>
        <v/>
      </c>
      <c r="E259" s="54" t="str">
        <f>IF(OR($B259="",$A259&gt;$B$9,E$233=""),"",IF(COUNTIFS(BD!$B$3:$B$5001,E$233,BD!$A$3:$A$5001,"&gt;="&amp;$C$7,BD!$A$3:$A$5001,"&lt;="&amp;$B259,BD!$R$3:$R$5001,"&lt;&gt;")=0,"",SUMIFS(BD!$R$3:$R$5001,BD!$B$3:$B$5001,E$233,BD!$A$3:$A$5001,_xlfn.MAXIFS(BD!$A$3:$A$5001,BD!$B$3:$B$5001,E$233,BD!$A$3:$A$5001,"&gt;="&amp;$C$7,BD!$A$3:$A$5001,"&lt;="&amp;$B259,BD!$R$3:$R$5001,"&lt;&gt;"))))</f>
        <v/>
      </c>
      <c r="F259" s="54" t="str">
        <f>IF(OR($B259="",$A259&gt;$B$9,F$233=""),"",IF(COUNTIFS(BD!$B$3:$B$5001,F$233,BD!$A$3:$A$5001,"&gt;="&amp;$C$7,BD!$A$3:$A$5001,"&lt;="&amp;$B259,BD!$R$3:$R$5001,"&lt;&gt;")=0,"",SUMIFS(BD!$R$3:$R$5001,BD!$B$3:$B$5001,F$233,BD!$A$3:$A$5001,_xlfn.MAXIFS(BD!$A$3:$A$5001,BD!$B$3:$B$5001,F$233,BD!$A$3:$A$5001,"&gt;="&amp;$C$7,BD!$A$3:$A$5001,"&lt;="&amp;$B259,BD!$R$3:$R$5001,"&lt;&gt;"))))</f>
        <v/>
      </c>
      <c r="G259" s="54" t="str">
        <f>IF(OR($B259="",$A259&gt;$B$9,G$233=""),"",IF(COUNTIFS(BD!$B$3:$B$5001,G$233,BD!$A$3:$A$5001,"&gt;="&amp;$C$7,BD!$A$3:$A$5001,"&lt;="&amp;$B259,BD!$R$3:$R$5001,"&lt;&gt;")=0,"",SUMIFS(BD!$R$3:$R$5001,BD!$B$3:$B$5001,G$233,BD!$A$3:$A$5001,_xlfn.MAXIFS(BD!$A$3:$A$5001,BD!$B$3:$B$5001,G$233,BD!$A$3:$A$5001,"&gt;="&amp;$C$7,BD!$A$3:$A$5001,"&lt;="&amp;$B259,BD!$R$3:$R$5001,"&lt;&gt;"))))</f>
        <v/>
      </c>
      <c r="H259" s="54" t="str">
        <f>IF(OR($B259="",$A259&gt;$B$9,H$233=""),"",IF(COUNTIFS(BD!$B$3:$B$5001,H$233,BD!$A$3:$A$5001,"&gt;="&amp;$C$7,BD!$A$3:$A$5001,"&lt;="&amp;$B259,BD!$R$3:$R$5001,"&lt;&gt;")=0,"",SUMIFS(BD!$R$3:$R$5001,BD!$B$3:$B$5001,H$233,BD!$A$3:$A$5001,_xlfn.MAXIFS(BD!$A$3:$A$5001,BD!$B$3:$B$5001,H$233,BD!$A$3:$A$5001,"&gt;="&amp;$C$7,BD!$A$3:$A$5001,"&lt;="&amp;$B259,BD!$R$3:$R$5001,"&lt;&gt;"))))</f>
        <v/>
      </c>
      <c r="I259" s="54" t="str">
        <f>IF(OR($B259="",$A259&gt;$B$9,I$233=""),"",IF(COUNTIFS(BD!$B$3:$B$5001,I$233,BD!$A$3:$A$5001,"&gt;="&amp;$C$7,BD!$A$3:$A$5001,"&lt;="&amp;$B259,BD!$R$3:$R$5001,"&lt;&gt;")=0,"",SUMIFS(BD!$R$3:$R$5001,BD!$B$3:$B$5001,I$233,BD!$A$3:$A$5001,_xlfn.MAXIFS(BD!$A$3:$A$5001,BD!$B$3:$B$5001,I$233,BD!$A$3:$A$5001,"&gt;="&amp;$C$7,BD!$A$3:$A$5001,"&lt;="&amp;$B259,BD!$R$3:$R$5001,"&lt;&gt;"))))</f>
        <v/>
      </c>
      <c r="J259" s="54" t="str">
        <f>IF(OR($B259="",$A259&gt;$B$9,J$233=""),"",IF(COUNTIFS(BD!$B$3:$B$5001,J$233,BD!$A$3:$A$5001,"&gt;="&amp;$C$7,BD!$A$3:$A$5001,"&lt;="&amp;$B259,BD!$R$3:$R$5001,"&lt;&gt;")=0,"",SUMIFS(BD!$R$3:$R$5001,BD!$B$3:$B$5001,J$233,BD!$A$3:$A$5001,_xlfn.MAXIFS(BD!$A$3:$A$5001,BD!$B$3:$B$5001,J$233,BD!$A$3:$A$5001,"&gt;="&amp;$C$7,BD!$A$3:$A$5001,"&lt;="&amp;$B259,BD!$R$3:$R$5001,"&lt;&gt;"))))</f>
        <v/>
      </c>
      <c r="K259" s="54" t="str">
        <f>IF(OR($B259="",$A259&gt;$B$9,K$233=""),"",IF(COUNTIFS(BD!$B$3:$B$5001,K$233,BD!$A$3:$A$5001,"&gt;="&amp;$C$7,BD!$A$3:$A$5001,"&lt;="&amp;$B259,BD!$R$3:$R$5001,"&lt;&gt;")=0,"",SUMIFS(BD!$R$3:$R$5001,BD!$B$3:$B$5001,K$233,BD!$A$3:$A$5001,_xlfn.MAXIFS(BD!$A$3:$A$5001,BD!$B$3:$B$5001,K$233,BD!$A$3:$A$5001,"&gt;="&amp;$C$7,BD!$A$3:$A$5001,"&lt;="&amp;$B259,BD!$R$3:$R$5001,"&lt;&gt;"))))</f>
        <v/>
      </c>
      <c r="L259" s="54" t="str">
        <f>IF(OR($B259="",$A259&gt;$B$9,L$233=""),"",IF(COUNTIFS(BD!$B$3:$B$5001,L$233,BD!$A$3:$A$5001,"&gt;="&amp;$C$7,BD!$A$3:$A$5001,"&lt;="&amp;$B259,BD!$R$3:$R$5001,"&lt;&gt;")=0,"",SUMIFS(BD!$R$3:$R$5001,BD!$B$3:$B$5001,L$233,BD!$A$3:$A$5001,_xlfn.MAXIFS(BD!$A$3:$A$5001,BD!$B$3:$B$5001,L$233,BD!$A$3:$A$5001,"&gt;="&amp;$C$7,BD!$A$3:$A$5001,"&lt;="&amp;$B259,BD!$R$3:$R$5001,"&lt;&gt;"))))</f>
        <v/>
      </c>
      <c r="M259" s="54" t="str">
        <f>IF(OR($B259="",$A259&gt;$B$9,M$233=""),"",IF(COUNTIFS(BD!$B$3:$B$5001,M$233,BD!$A$3:$A$5001,"&gt;="&amp;$C$7,BD!$A$3:$A$5001,"&lt;="&amp;$B259,BD!$R$3:$R$5001,"&lt;&gt;")=0,"",SUMIFS(BD!$R$3:$R$5001,BD!$B$3:$B$5001,M$233,BD!$A$3:$A$5001,_xlfn.MAXIFS(BD!$A$3:$A$5001,BD!$B$3:$B$5001,M$233,BD!$A$3:$A$5001,"&gt;="&amp;$C$7,BD!$A$3:$A$5001,"&lt;="&amp;$B259,BD!$R$3:$R$5001,"&lt;&gt;"))))</f>
        <v/>
      </c>
      <c r="N259" s="54" t="str">
        <f>IF(OR($B259="",$A259&gt;$B$9,N$233=""),"",IF(COUNTIFS(BD!$B$3:$B$5001,N$233,BD!$A$3:$A$5001,"&gt;="&amp;$C$7,BD!$A$3:$A$5001,"&lt;="&amp;$B259,BD!$R$3:$R$5001,"&lt;&gt;")=0,"",SUMIFS(BD!$R$3:$R$5001,BD!$B$3:$B$5001,N$233,BD!$A$3:$A$5001,_xlfn.MAXIFS(BD!$A$3:$A$5001,BD!$B$3:$B$5001,N$233,BD!$A$3:$A$5001,"&gt;="&amp;$C$7,BD!$A$3:$A$5001,"&lt;="&amp;$B259,BD!$R$3:$R$5001,"&lt;&gt;"))))</f>
        <v/>
      </c>
      <c r="O259" s="54" t="str">
        <f>IF(OR($B259="",$A259&gt;$B$9,O$233=""),"",IF(COUNTIFS(BD!$B$3:$B$5001,O$233,BD!$A$3:$A$5001,"&gt;="&amp;$C$7,BD!$A$3:$A$5001,"&lt;="&amp;$B259,BD!$R$3:$R$5001,"&lt;&gt;")=0,"",SUMIFS(BD!$R$3:$R$5001,BD!$B$3:$B$5001,O$233,BD!$A$3:$A$5001,_xlfn.MAXIFS(BD!$A$3:$A$5001,BD!$B$3:$B$5001,O$233,BD!$A$3:$A$5001,"&gt;="&amp;$C$7,BD!$A$3:$A$5001,"&lt;="&amp;$B259,BD!$R$3:$R$5001,"&lt;&gt;"))))</f>
        <v/>
      </c>
      <c r="P259" s="54" t="str">
        <f>IF(OR($B259="",$A259&gt;$B$9,P$233=""),"",IF(COUNTIFS(BD!$B$3:$B$5001,P$233,BD!$A$3:$A$5001,"&gt;="&amp;$C$7,BD!$A$3:$A$5001,"&lt;="&amp;$B259,BD!$R$3:$R$5001,"&lt;&gt;")=0,"",SUMIFS(BD!$R$3:$R$5001,BD!$B$3:$B$5001,P$233,BD!$A$3:$A$5001,_xlfn.MAXIFS(BD!$A$3:$A$5001,BD!$B$3:$B$5001,P$233,BD!$A$3:$A$5001,"&gt;="&amp;$C$7,BD!$A$3:$A$5001,"&lt;="&amp;$B259,BD!$R$3:$R$5001,"&lt;&gt;"))))</f>
        <v/>
      </c>
      <c r="Q259" s="54" t="str">
        <f>IF(OR($B259="",$A259&gt;$B$9,Q$233=""),"",IF(COUNTIFS(BD!$B$3:$B$5001,Q$233,BD!$A$3:$A$5001,"&gt;="&amp;$C$7,BD!$A$3:$A$5001,"&lt;="&amp;$B259,BD!$R$3:$R$5001,"&lt;&gt;")=0,"",SUMIFS(BD!$R$3:$R$5001,BD!$B$3:$B$5001,Q$233,BD!$A$3:$A$5001,_xlfn.MAXIFS(BD!$A$3:$A$5001,BD!$B$3:$B$5001,Q$233,BD!$A$3:$A$5001,"&gt;="&amp;$C$7,BD!$A$3:$A$5001,"&lt;="&amp;$B259,BD!$R$3:$R$5001,"&lt;&gt;"))))</f>
        <v/>
      </c>
      <c r="R259" s="54" t="str">
        <f>IF(OR($B259="",$A259&gt;$B$9,R$233=""),"",IF(COUNTIFS(BD!$B$3:$B$5001,R$233,BD!$A$3:$A$5001,"&gt;="&amp;$C$7,BD!$A$3:$A$5001,"&lt;="&amp;$B259,BD!$R$3:$R$5001,"&lt;&gt;")=0,"",SUMIFS(BD!$R$3:$R$5001,BD!$B$3:$B$5001,R$233,BD!$A$3:$A$5001,_xlfn.MAXIFS(BD!$A$3:$A$5001,BD!$B$3:$B$5001,R$233,BD!$A$3:$A$5001,"&gt;="&amp;$C$7,BD!$A$3:$A$5001,"&lt;="&amp;$B259,BD!$R$3:$R$5001,"&lt;&gt;"))))</f>
        <v/>
      </c>
      <c r="S259" s="54" t="str">
        <f>IF(OR($B259="",$A259&gt;$B$9,S$233=""),"",IF(COUNTIFS(BD!$B$3:$B$5001,S$233,BD!$A$3:$A$5001,"&gt;="&amp;$C$7,BD!$A$3:$A$5001,"&lt;="&amp;$B259,BD!$R$3:$R$5001,"&lt;&gt;")=0,"",SUMIFS(BD!$R$3:$R$5001,BD!$B$3:$B$5001,S$233,BD!$A$3:$A$5001,_xlfn.MAXIFS(BD!$A$3:$A$5001,BD!$B$3:$B$5001,S$233,BD!$A$3:$A$5001,"&gt;="&amp;$C$7,BD!$A$3:$A$5001,"&lt;="&amp;$B259,BD!$R$3:$R$5001,"&lt;&gt;"))))</f>
        <v/>
      </c>
      <c r="T259" s="54" t="str">
        <f>IF(OR($B259="",$A259&gt;$B$9,T$233=""),"",IF(COUNTIFS(BD!$B$3:$B$5001,T$233,BD!$A$3:$A$5001,"&gt;="&amp;$C$7,BD!$A$3:$A$5001,"&lt;="&amp;$B259,BD!$R$3:$R$5001,"&lt;&gt;")=0,"",SUMIFS(BD!$R$3:$R$5001,BD!$B$3:$B$5001,T$233,BD!$A$3:$A$5001,_xlfn.MAXIFS(BD!$A$3:$A$5001,BD!$B$3:$B$5001,T$233,BD!$A$3:$A$5001,"&gt;="&amp;$C$7,BD!$A$3:$A$5001,"&lt;="&amp;$B259,BD!$R$3:$R$5001,"&lt;&gt;"))))</f>
        <v/>
      </c>
      <c r="U259" s="54" t="str">
        <f>IF(OR($B259="",$A259&gt;$B$9,U$233=""),"",IF(COUNTIFS(BD!$B$3:$B$5001,U$233,BD!$A$3:$A$5001,"&gt;="&amp;$C$7,BD!$A$3:$A$5001,"&lt;="&amp;$B259,BD!$R$3:$R$5001,"&lt;&gt;")=0,"",SUMIFS(BD!$R$3:$R$5001,BD!$B$3:$B$5001,U$233,BD!$A$3:$A$5001,_xlfn.MAXIFS(BD!$A$3:$A$5001,BD!$B$3:$B$5001,U$233,BD!$A$3:$A$5001,"&gt;="&amp;$C$7,BD!$A$3:$A$5001,"&lt;="&amp;$B259,BD!$R$3:$R$5001,"&lt;&gt;"))))</f>
        <v/>
      </c>
      <c r="V259" s="54" t="str">
        <f>IF(OR($B259="",$A259&gt;$B$9,V$233=""),"",IF(COUNTIFS(BD!$B$3:$B$5001,V$233,BD!$A$3:$A$5001,"&gt;="&amp;$C$7,BD!$A$3:$A$5001,"&lt;="&amp;$B259,BD!$R$3:$R$5001,"&lt;&gt;")=0,"",SUMIFS(BD!$R$3:$R$5001,BD!$B$3:$B$5001,V$233,BD!$A$3:$A$5001,_xlfn.MAXIFS(BD!$A$3:$A$5001,BD!$B$3:$B$5001,V$233,BD!$A$3:$A$5001,"&gt;="&amp;$C$7,BD!$A$3:$A$5001,"&lt;="&amp;$B259,BD!$R$3:$R$5001,"&lt;&gt;"))))</f>
        <v/>
      </c>
    </row>
    <row r="260">
      <c r="A260" s="48">
        <v>27</v>
      </c>
      <c r="B260" s="53">
        <f>$B$38</f>
        <v>46322</v>
      </c>
      <c r="C260" s="54" t="str">
        <f>IF(OR($B260="",$A260&gt;$B$9,C$233=""),"",IF(COUNTIFS(BD!$B$3:$B$5001,C$233,BD!$A$3:$A$5001,"&gt;="&amp;$C$7,BD!$A$3:$A$5001,"&lt;="&amp;$B260,BD!$R$3:$R$5001,"&lt;&gt;")=0,"",SUMIFS(BD!$R$3:$R$5001,BD!$B$3:$B$5001,C$233,BD!$A$3:$A$5001,_xlfn.MAXIFS(BD!$A$3:$A$5001,BD!$B$3:$B$5001,C$233,BD!$A$3:$A$5001,"&gt;="&amp;$C$7,BD!$A$3:$A$5001,"&lt;="&amp;$B260,BD!$R$3:$R$5001,"&lt;&gt;"))))</f>
        <v/>
      </c>
      <c r="D260" s="54" t="str">
        <f>IF(OR($B260="",$A260&gt;$B$9,D$233=""),"",IF(COUNTIFS(BD!$B$3:$B$5001,D$233,BD!$A$3:$A$5001,"&gt;="&amp;$C$7,BD!$A$3:$A$5001,"&lt;="&amp;$B260,BD!$R$3:$R$5001,"&lt;&gt;")=0,"",SUMIFS(BD!$R$3:$R$5001,BD!$B$3:$B$5001,D$233,BD!$A$3:$A$5001,_xlfn.MAXIFS(BD!$A$3:$A$5001,BD!$B$3:$B$5001,D$233,BD!$A$3:$A$5001,"&gt;="&amp;$C$7,BD!$A$3:$A$5001,"&lt;="&amp;$B260,BD!$R$3:$R$5001,"&lt;&gt;"))))</f>
        <v/>
      </c>
      <c r="E260" s="54" t="str">
        <f>IF(OR($B260="",$A260&gt;$B$9,E$233=""),"",IF(COUNTIFS(BD!$B$3:$B$5001,E$233,BD!$A$3:$A$5001,"&gt;="&amp;$C$7,BD!$A$3:$A$5001,"&lt;="&amp;$B260,BD!$R$3:$R$5001,"&lt;&gt;")=0,"",SUMIFS(BD!$R$3:$R$5001,BD!$B$3:$B$5001,E$233,BD!$A$3:$A$5001,_xlfn.MAXIFS(BD!$A$3:$A$5001,BD!$B$3:$B$5001,E$233,BD!$A$3:$A$5001,"&gt;="&amp;$C$7,BD!$A$3:$A$5001,"&lt;="&amp;$B260,BD!$R$3:$R$5001,"&lt;&gt;"))))</f>
        <v/>
      </c>
      <c r="F260" s="54" t="str">
        <f>IF(OR($B260="",$A260&gt;$B$9,F$233=""),"",IF(COUNTIFS(BD!$B$3:$B$5001,F$233,BD!$A$3:$A$5001,"&gt;="&amp;$C$7,BD!$A$3:$A$5001,"&lt;="&amp;$B260,BD!$R$3:$R$5001,"&lt;&gt;")=0,"",SUMIFS(BD!$R$3:$R$5001,BD!$B$3:$B$5001,F$233,BD!$A$3:$A$5001,_xlfn.MAXIFS(BD!$A$3:$A$5001,BD!$B$3:$B$5001,F$233,BD!$A$3:$A$5001,"&gt;="&amp;$C$7,BD!$A$3:$A$5001,"&lt;="&amp;$B260,BD!$R$3:$R$5001,"&lt;&gt;"))))</f>
        <v/>
      </c>
      <c r="G260" s="54" t="str">
        <f>IF(OR($B260="",$A260&gt;$B$9,G$233=""),"",IF(COUNTIFS(BD!$B$3:$B$5001,G$233,BD!$A$3:$A$5001,"&gt;="&amp;$C$7,BD!$A$3:$A$5001,"&lt;="&amp;$B260,BD!$R$3:$R$5001,"&lt;&gt;")=0,"",SUMIFS(BD!$R$3:$R$5001,BD!$B$3:$B$5001,G$233,BD!$A$3:$A$5001,_xlfn.MAXIFS(BD!$A$3:$A$5001,BD!$B$3:$B$5001,G$233,BD!$A$3:$A$5001,"&gt;="&amp;$C$7,BD!$A$3:$A$5001,"&lt;="&amp;$B260,BD!$R$3:$R$5001,"&lt;&gt;"))))</f>
        <v/>
      </c>
      <c r="H260" s="54" t="str">
        <f>IF(OR($B260="",$A260&gt;$B$9,H$233=""),"",IF(COUNTIFS(BD!$B$3:$B$5001,H$233,BD!$A$3:$A$5001,"&gt;="&amp;$C$7,BD!$A$3:$A$5001,"&lt;="&amp;$B260,BD!$R$3:$R$5001,"&lt;&gt;")=0,"",SUMIFS(BD!$R$3:$R$5001,BD!$B$3:$B$5001,H$233,BD!$A$3:$A$5001,_xlfn.MAXIFS(BD!$A$3:$A$5001,BD!$B$3:$B$5001,H$233,BD!$A$3:$A$5001,"&gt;="&amp;$C$7,BD!$A$3:$A$5001,"&lt;="&amp;$B260,BD!$R$3:$R$5001,"&lt;&gt;"))))</f>
        <v/>
      </c>
      <c r="I260" s="54" t="str">
        <f>IF(OR($B260="",$A260&gt;$B$9,I$233=""),"",IF(COUNTIFS(BD!$B$3:$B$5001,I$233,BD!$A$3:$A$5001,"&gt;="&amp;$C$7,BD!$A$3:$A$5001,"&lt;="&amp;$B260,BD!$R$3:$R$5001,"&lt;&gt;")=0,"",SUMIFS(BD!$R$3:$R$5001,BD!$B$3:$B$5001,I$233,BD!$A$3:$A$5001,_xlfn.MAXIFS(BD!$A$3:$A$5001,BD!$B$3:$B$5001,I$233,BD!$A$3:$A$5001,"&gt;="&amp;$C$7,BD!$A$3:$A$5001,"&lt;="&amp;$B260,BD!$R$3:$R$5001,"&lt;&gt;"))))</f>
        <v/>
      </c>
      <c r="J260" s="54" t="str">
        <f>IF(OR($B260="",$A260&gt;$B$9,J$233=""),"",IF(COUNTIFS(BD!$B$3:$B$5001,J$233,BD!$A$3:$A$5001,"&gt;="&amp;$C$7,BD!$A$3:$A$5001,"&lt;="&amp;$B260,BD!$R$3:$R$5001,"&lt;&gt;")=0,"",SUMIFS(BD!$R$3:$R$5001,BD!$B$3:$B$5001,J$233,BD!$A$3:$A$5001,_xlfn.MAXIFS(BD!$A$3:$A$5001,BD!$B$3:$B$5001,J$233,BD!$A$3:$A$5001,"&gt;="&amp;$C$7,BD!$A$3:$A$5001,"&lt;="&amp;$B260,BD!$R$3:$R$5001,"&lt;&gt;"))))</f>
        <v/>
      </c>
      <c r="K260" s="54" t="str">
        <f>IF(OR($B260="",$A260&gt;$B$9,K$233=""),"",IF(COUNTIFS(BD!$B$3:$B$5001,K$233,BD!$A$3:$A$5001,"&gt;="&amp;$C$7,BD!$A$3:$A$5001,"&lt;="&amp;$B260,BD!$R$3:$R$5001,"&lt;&gt;")=0,"",SUMIFS(BD!$R$3:$R$5001,BD!$B$3:$B$5001,K$233,BD!$A$3:$A$5001,_xlfn.MAXIFS(BD!$A$3:$A$5001,BD!$B$3:$B$5001,K$233,BD!$A$3:$A$5001,"&gt;="&amp;$C$7,BD!$A$3:$A$5001,"&lt;="&amp;$B260,BD!$R$3:$R$5001,"&lt;&gt;"))))</f>
        <v/>
      </c>
      <c r="L260" s="54" t="str">
        <f>IF(OR($B260="",$A260&gt;$B$9,L$233=""),"",IF(COUNTIFS(BD!$B$3:$B$5001,L$233,BD!$A$3:$A$5001,"&gt;="&amp;$C$7,BD!$A$3:$A$5001,"&lt;="&amp;$B260,BD!$R$3:$R$5001,"&lt;&gt;")=0,"",SUMIFS(BD!$R$3:$R$5001,BD!$B$3:$B$5001,L$233,BD!$A$3:$A$5001,_xlfn.MAXIFS(BD!$A$3:$A$5001,BD!$B$3:$B$5001,L$233,BD!$A$3:$A$5001,"&gt;="&amp;$C$7,BD!$A$3:$A$5001,"&lt;="&amp;$B260,BD!$R$3:$R$5001,"&lt;&gt;"))))</f>
        <v/>
      </c>
      <c r="M260" s="54" t="str">
        <f>IF(OR($B260="",$A260&gt;$B$9,M$233=""),"",IF(COUNTIFS(BD!$B$3:$B$5001,M$233,BD!$A$3:$A$5001,"&gt;="&amp;$C$7,BD!$A$3:$A$5001,"&lt;="&amp;$B260,BD!$R$3:$R$5001,"&lt;&gt;")=0,"",SUMIFS(BD!$R$3:$R$5001,BD!$B$3:$B$5001,M$233,BD!$A$3:$A$5001,_xlfn.MAXIFS(BD!$A$3:$A$5001,BD!$B$3:$B$5001,M$233,BD!$A$3:$A$5001,"&gt;="&amp;$C$7,BD!$A$3:$A$5001,"&lt;="&amp;$B260,BD!$R$3:$R$5001,"&lt;&gt;"))))</f>
        <v/>
      </c>
      <c r="N260" s="54" t="str">
        <f>IF(OR($B260="",$A260&gt;$B$9,N$233=""),"",IF(COUNTIFS(BD!$B$3:$B$5001,N$233,BD!$A$3:$A$5001,"&gt;="&amp;$C$7,BD!$A$3:$A$5001,"&lt;="&amp;$B260,BD!$R$3:$R$5001,"&lt;&gt;")=0,"",SUMIFS(BD!$R$3:$R$5001,BD!$B$3:$B$5001,N$233,BD!$A$3:$A$5001,_xlfn.MAXIFS(BD!$A$3:$A$5001,BD!$B$3:$B$5001,N$233,BD!$A$3:$A$5001,"&gt;="&amp;$C$7,BD!$A$3:$A$5001,"&lt;="&amp;$B260,BD!$R$3:$R$5001,"&lt;&gt;"))))</f>
        <v/>
      </c>
      <c r="O260" s="54" t="str">
        <f>IF(OR($B260="",$A260&gt;$B$9,O$233=""),"",IF(COUNTIFS(BD!$B$3:$B$5001,O$233,BD!$A$3:$A$5001,"&gt;="&amp;$C$7,BD!$A$3:$A$5001,"&lt;="&amp;$B260,BD!$R$3:$R$5001,"&lt;&gt;")=0,"",SUMIFS(BD!$R$3:$R$5001,BD!$B$3:$B$5001,O$233,BD!$A$3:$A$5001,_xlfn.MAXIFS(BD!$A$3:$A$5001,BD!$B$3:$B$5001,O$233,BD!$A$3:$A$5001,"&gt;="&amp;$C$7,BD!$A$3:$A$5001,"&lt;="&amp;$B260,BD!$R$3:$R$5001,"&lt;&gt;"))))</f>
        <v/>
      </c>
      <c r="P260" s="54" t="str">
        <f>IF(OR($B260="",$A260&gt;$B$9,P$233=""),"",IF(COUNTIFS(BD!$B$3:$B$5001,P$233,BD!$A$3:$A$5001,"&gt;="&amp;$C$7,BD!$A$3:$A$5001,"&lt;="&amp;$B260,BD!$R$3:$R$5001,"&lt;&gt;")=0,"",SUMIFS(BD!$R$3:$R$5001,BD!$B$3:$B$5001,P$233,BD!$A$3:$A$5001,_xlfn.MAXIFS(BD!$A$3:$A$5001,BD!$B$3:$B$5001,P$233,BD!$A$3:$A$5001,"&gt;="&amp;$C$7,BD!$A$3:$A$5001,"&lt;="&amp;$B260,BD!$R$3:$R$5001,"&lt;&gt;"))))</f>
        <v/>
      </c>
      <c r="Q260" s="54" t="str">
        <f>IF(OR($B260="",$A260&gt;$B$9,Q$233=""),"",IF(COUNTIFS(BD!$B$3:$B$5001,Q$233,BD!$A$3:$A$5001,"&gt;="&amp;$C$7,BD!$A$3:$A$5001,"&lt;="&amp;$B260,BD!$R$3:$R$5001,"&lt;&gt;")=0,"",SUMIFS(BD!$R$3:$R$5001,BD!$B$3:$B$5001,Q$233,BD!$A$3:$A$5001,_xlfn.MAXIFS(BD!$A$3:$A$5001,BD!$B$3:$B$5001,Q$233,BD!$A$3:$A$5001,"&gt;="&amp;$C$7,BD!$A$3:$A$5001,"&lt;="&amp;$B260,BD!$R$3:$R$5001,"&lt;&gt;"))))</f>
        <v/>
      </c>
      <c r="R260" s="54" t="str">
        <f>IF(OR($B260="",$A260&gt;$B$9,R$233=""),"",IF(COUNTIFS(BD!$B$3:$B$5001,R$233,BD!$A$3:$A$5001,"&gt;="&amp;$C$7,BD!$A$3:$A$5001,"&lt;="&amp;$B260,BD!$R$3:$R$5001,"&lt;&gt;")=0,"",SUMIFS(BD!$R$3:$R$5001,BD!$B$3:$B$5001,R$233,BD!$A$3:$A$5001,_xlfn.MAXIFS(BD!$A$3:$A$5001,BD!$B$3:$B$5001,R$233,BD!$A$3:$A$5001,"&gt;="&amp;$C$7,BD!$A$3:$A$5001,"&lt;="&amp;$B260,BD!$R$3:$R$5001,"&lt;&gt;"))))</f>
        <v/>
      </c>
      <c r="S260" s="54" t="str">
        <f>IF(OR($B260="",$A260&gt;$B$9,S$233=""),"",IF(COUNTIFS(BD!$B$3:$B$5001,S$233,BD!$A$3:$A$5001,"&gt;="&amp;$C$7,BD!$A$3:$A$5001,"&lt;="&amp;$B260,BD!$R$3:$R$5001,"&lt;&gt;")=0,"",SUMIFS(BD!$R$3:$R$5001,BD!$B$3:$B$5001,S$233,BD!$A$3:$A$5001,_xlfn.MAXIFS(BD!$A$3:$A$5001,BD!$B$3:$B$5001,S$233,BD!$A$3:$A$5001,"&gt;="&amp;$C$7,BD!$A$3:$A$5001,"&lt;="&amp;$B260,BD!$R$3:$R$5001,"&lt;&gt;"))))</f>
        <v/>
      </c>
      <c r="T260" s="54" t="str">
        <f>IF(OR($B260="",$A260&gt;$B$9,T$233=""),"",IF(COUNTIFS(BD!$B$3:$B$5001,T$233,BD!$A$3:$A$5001,"&gt;="&amp;$C$7,BD!$A$3:$A$5001,"&lt;="&amp;$B260,BD!$R$3:$R$5001,"&lt;&gt;")=0,"",SUMIFS(BD!$R$3:$R$5001,BD!$B$3:$B$5001,T$233,BD!$A$3:$A$5001,_xlfn.MAXIFS(BD!$A$3:$A$5001,BD!$B$3:$B$5001,T$233,BD!$A$3:$A$5001,"&gt;="&amp;$C$7,BD!$A$3:$A$5001,"&lt;="&amp;$B260,BD!$R$3:$R$5001,"&lt;&gt;"))))</f>
        <v/>
      </c>
      <c r="U260" s="54" t="str">
        <f>IF(OR($B260="",$A260&gt;$B$9,U$233=""),"",IF(COUNTIFS(BD!$B$3:$B$5001,U$233,BD!$A$3:$A$5001,"&gt;="&amp;$C$7,BD!$A$3:$A$5001,"&lt;="&amp;$B260,BD!$R$3:$R$5001,"&lt;&gt;")=0,"",SUMIFS(BD!$R$3:$R$5001,BD!$B$3:$B$5001,U$233,BD!$A$3:$A$5001,_xlfn.MAXIFS(BD!$A$3:$A$5001,BD!$B$3:$B$5001,U$233,BD!$A$3:$A$5001,"&gt;="&amp;$C$7,BD!$A$3:$A$5001,"&lt;="&amp;$B260,BD!$R$3:$R$5001,"&lt;&gt;"))))</f>
        <v/>
      </c>
      <c r="V260" s="54" t="str">
        <f>IF(OR($B260="",$A260&gt;$B$9,V$233=""),"",IF(COUNTIFS(BD!$B$3:$B$5001,V$233,BD!$A$3:$A$5001,"&gt;="&amp;$C$7,BD!$A$3:$A$5001,"&lt;="&amp;$B260,BD!$R$3:$R$5001,"&lt;&gt;")=0,"",SUMIFS(BD!$R$3:$R$5001,BD!$B$3:$B$5001,V$233,BD!$A$3:$A$5001,_xlfn.MAXIFS(BD!$A$3:$A$5001,BD!$B$3:$B$5001,V$233,BD!$A$3:$A$5001,"&gt;="&amp;$C$7,BD!$A$3:$A$5001,"&lt;="&amp;$B260,BD!$R$3:$R$5001,"&lt;&gt;"))))</f>
        <v/>
      </c>
    </row>
    <row r="261">
      <c r="A261" s="48">
        <v>28</v>
      </c>
      <c r="B261" s="53">
        <f>$B$39</f>
        <v>46323</v>
      </c>
      <c r="C261" s="54" t="str">
        <f>IF(OR($B261="",$A261&gt;$B$9,C$233=""),"",IF(COUNTIFS(BD!$B$3:$B$5001,C$233,BD!$A$3:$A$5001,"&gt;="&amp;$C$7,BD!$A$3:$A$5001,"&lt;="&amp;$B261,BD!$R$3:$R$5001,"&lt;&gt;")=0,"",SUMIFS(BD!$R$3:$R$5001,BD!$B$3:$B$5001,C$233,BD!$A$3:$A$5001,_xlfn.MAXIFS(BD!$A$3:$A$5001,BD!$B$3:$B$5001,C$233,BD!$A$3:$A$5001,"&gt;="&amp;$C$7,BD!$A$3:$A$5001,"&lt;="&amp;$B261,BD!$R$3:$R$5001,"&lt;&gt;"))))</f>
        <v/>
      </c>
      <c r="D261" s="54" t="str">
        <f>IF(OR($B261="",$A261&gt;$B$9,D$233=""),"",IF(COUNTIFS(BD!$B$3:$B$5001,D$233,BD!$A$3:$A$5001,"&gt;="&amp;$C$7,BD!$A$3:$A$5001,"&lt;="&amp;$B261,BD!$R$3:$R$5001,"&lt;&gt;")=0,"",SUMIFS(BD!$R$3:$R$5001,BD!$B$3:$B$5001,D$233,BD!$A$3:$A$5001,_xlfn.MAXIFS(BD!$A$3:$A$5001,BD!$B$3:$B$5001,D$233,BD!$A$3:$A$5001,"&gt;="&amp;$C$7,BD!$A$3:$A$5001,"&lt;="&amp;$B261,BD!$R$3:$R$5001,"&lt;&gt;"))))</f>
        <v/>
      </c>
      <c r="E261" s="54" t="str">
        <f>IF(OR($B261="",$A261&gt;$B$9,E$233=""),"",IF(COUNTIFS(BD!$B$3:$B$5001,E$233,BD!$A$3:$A$5001,"&gt;="&amp;$C$7,BD!$A$3:$A$5001,"&lt;="&amp;$B261,BD!$R$3:$R$5001,"&lt;&gt;")=0,"",SUMIFS(BD!$R$3:$R$5001,BD!$B$3:$B$5001,E$233,BD!$A$3:$A$5001,_xlfn.MAXIFS(BD!$A$3:$A$5001,BD!$B$3:$B$5001,E$233,BD!$A$3:$A$5001,"&gt;="&amp;$C$7,BD!$A$3:$A$5001,"&lt;="&amp;$B261,BD!$R$3:$R$5001,"&lt;&gt;"))))</f>
        <v/>
      </c>
      <c r="F261" s="54" t="str">
        <f>IF(OR($B261="",$A261&gt;$B$9,F$233=""),"",IF(COUNTIFS(BD!$B$3:$B$5001,F$233,BD!$A$3:$A$5001,"&gt;="&amp;$C$7,BD!$A$3:$A$5001,"&lt;="&amp;$B261,BD!$R$3:$R$5001,"&lt;&gt;")=0,"",SUMIFS(BD!$R$3:$R$5001,BD!$B$3:$B$5001,F$233,BD!$A$3:$A$5001,_xlfn.MAXIFS(BD!$A$3:$A$5001,BD!$B$3:$B$5001,F$233,BD!$A$3:$A$5001,"&gt;="&amp;$C$7,BD!$A$3:$A$5001,"&lt;="&amp;$B261,BD!$R$3:$R$5001,"&lt;&gt;"))))</f>
        <v/>
      </c>
      <c r="G261" s="54" t="str">
        <f>IF(OR($B261="",$A261&gt;$B$9,G$233=""),"",IF(COUNTIFS(BD!$B$3:$B$5001,G$233,BD!$A$3:$A$5001,"&gt;="&amp;$C$7,BD!$A$3:$A$5001,"&lt;="&amp;$B261,BD!$R$3:$R$5001,"&lt;&gt;")=0,"",SUMIFS(BD!$R$3:$R$5001,BD!$B$3:$B$5001,G$233,BD!$A$3:$A$5001,_xlfn.MAXIFS(BD!$A$3:$A$5001,BD!$B$3:$B$5001,G$233,BD!$A$3:$A$5001,"&gt;="&amp;$C$7,BD!$A$3:$A$5001,"&lt;="&amp;$B261,BD!$R$3:$R$5001,"&lt;&gt;"))))</f>
        <v/>
      </c>
      <c r="H261" s="54" t="str">
        <f>IF(OR($B261="",$A261&gt;$B$9,H$233=""),"",IF(COUNTIFS(BD!$B$3:$B$5001,H$233,BD!$A$3:$A$5001,"&gt;="&amp;$C$7,BD!$A$3:$A$5001,"&lt;="&amp;$B261,BD!$R$3:$R$5001,"&lt;&gt;")=0,"",SUMIFS(BD!$R$3:$R$5001,BD!$B$3:$B$5001,H$233,BD!$A$3:$A$5001,_xlfn.MAXIFS(BD!$A$3:$A$5001,BD!$B$3:$B$5001,H$233,BD!$A$3:$A$5001,"&gt;="&amp;$C$7,BD!$A$3:$A$5001,"&lt;="&amp;$B261,BD!$R$3:$R$5001,"&lt;&gt;"))))</f>
        <v/>
      </c>
      <c r="I261" s="54" t="str">
        <f>IF(OR($B261="",$A261&gt;$B$9,I$233=""),"",IF(COUNTIFS(BD!$B$3:$B$5001,I$233,BD!$A$3:$A$5001,"&gt;="&amp;$C$7,BD!$A$3:$A$5001,"&lt;="&amp;$B261,BD!$R$3:$R$5001,"&lt;&gt;")=0,"",SUMIFS(BD!$R$3:$R$5001,BD!$B$3:$B$5001,I$233,BD!$A$3:$A$5001,_xlfn.MAXIFS(BD!$A$3:$A$5001,BD!$B$3:$B$5001,I$233,BD!$A$3:$A$5001,"&gt;="&amp;$C$7,BD!$A$3:$A$5001,"&lt;="&amp;$B261,BD!$R$3:$R$5001,"&lt;&gt;"))))</f>
        <v/>
      </c>
      <c r="J261" s="54" t="str">
        <f>IF(OR($B261="",$A261&gt;$B$9,J$233=""),"",IF(COUNTIFS(BD!$B$3:$B$5001,J$233,BD!$A$3:$A$5001,"&gt;="&amp;$C$7,BD!$A$3:$A$5001,"&lt;="&amp;$B261,BD!$R$3:$R$5001,"&lt;&gt;")=0,"",SUMIFS(BD!$R$3:$R$5001,BD!$B$3:$B$5001,J$233,BD!$A$3:$A$5001,_xlfn.MAXIFS(BD!$A$3:$A$5001,BD!$B$3:$B$5001,J$233,BD!$A$3:$A$5001,"&gt;="&amp;$C$7,BD!$A$3:$A$5001,"&lt;="&amp;$B261,BD!$R$3:$R$5001,"&lt;&gt;"))))</f>
        <v/>
      </c>
      <c r="K261" s="54" t="str">
        <f>IF(OR($B261="",$A261&gt;$B$9,K$233=""),"",IF(COUNTIFS(BD!$B$3:$B$5001,K$233,BD!$A$3:$A$5001,"&gt;="&amp;$C$7,BD!$A$3:$A$5001,"&lt;="&amp;$B261,BD!$R$3:$R$5001,"&lt;&gt;")=0,"",SUMIFS(BD!$R$3:$R$5001,BD!$B$3:$B$5001,K$233,BD!$A$3:$A$5001,_xlfn.MAXIFS(BD!$A$3:$A$5001,BD!$B$3:$B$5001,K$233,BD!$A$3:$A$5001,"&gt;="&amp;$C$7,BD!$A$3:$A$5001,"&lt;="&amp;$B261,BD!$R$3:$R$5001,"&lt;&gt;"))))</f>
        <v/>
      </c>
      <c r="L261" s="54" t="str">
        <f>IF(OR($B261="",$A261&gt;$B$9,L$233=""),"",IF(COUNTIFS(BD!$B$3:$B$5001,L$233,BD!$A$3:$A$5001,"&gt;="&amp;$C$7,BD!$A$3:$A$5001,"&lt;="&amp;$B261,BD!$R$3:$R$5001,"&lt;&gt;")=0,"",SUMIFS(BD!$R$3:$R$5001,BD!$B$3:$B$5001,L$233,BD!$A$3:$A$5001,_xlfn.MAXIFS(BD!$A$3:$A$5001,BD!$B$3:$B$5001,L$233,BD!$A$3:$A$5001,"&gt;="&amp;$C$7,BD!$A$3:$A$5001,"&lt;="&amp;$B261,BD!$R$3:$R$5001,"&lt;&gt;"))))</f>
        <v/>
      </c>
      <c r="M261" s="54" t="str">
        <f>IF(OR($B261="",$A261&gt;$B$9,M$233=""),"",IF(COUNTIFS(BD!$B$3:$B$5001,M$233,BD!$A$3:$A$5001,"&gt;="&amp;$C$7,BD!$A$3:$A$5001,"&lt;="&amp;$B261,BD!$R$3:$R$5001,"&lt;&gt;")=0,"",SUMIFS(BD!$R$3:$R$5001,BD!$B$3:$B$5001,M$233,BD!$A$3:$A$5001,_xlfn.MAXIFS(BD!$A$3:$A$5001,BD!$B$3:$B$5001,M$233,BD!$A$3:$A$5001,"&gt;="&amp;$C$7,BD!$A$3:$A$5001,"&lt;="&amp;$B261,BD!$R$3:$R$5001,"&lt;&gt;"))))</f>
        <v/>
      </c>
      <c r="N261" s="54" t="str">
        <f>IF(OR($B261="",$A261&gt;$B$9,N$233=""),"",IF(COUNTIFS(BD!$B$3:$B$5001,N$233,BD!$A$3:$A$5001,"&gt;="&amp;$C$7,BD!$A$3:$A$5001,"&lt;="&amp;$B261,BD!$R$3:$R$5001,"&lt;&gt;")=0,"",SUMIFS(BD!$R$3:$R$5001,BD!$B$3:$B$5001,N$233,BD!$A$3:$A$5001,_xlfn.MAXIFS(BD!$A$3:$A$5001,BD!$B$3:$B$5001,N$233,BD!$A$3:$A$5001,"&gt;="&amp;$C$7,BD!$A$3:$A$5001,"&lt;="&amp;$B261,BD!$R$3:$R$5001,"&lt;&gt;"))))</f>
        <v/>
      </c>
      <c r="O261" s="54" t="str">
        <f>IF(OR($B261="",$A261&gt;$B$9,O$233=""),"",IF(COUNTIFS(BD!$B$3:$B$5001,O$233,BD!$A$3:$A$5001,"&gt;="&amp;$C$7,BD!$A$3:$A$5001,"&lt;="&amp;$B261,BD!$R$3:$R$5001,"&lt;&gt;")=0,"",SUMIFS(BD!$R$3:$R$5001,BD!$B$3:$B$5001,O$233,BD!$A$3:$A$5001,_xlfn.MAXIFS(BD!$A$3:$A$5001,BD!$B$3:$B$5001,O$233,BD!$A$3:$A$5001,"&gt;="&amp;$C$7,BD!$A$3:$A$5001,"&lt;="&amp;$B261,BD!$R$3:$R$5001,"&lt;&gt;"))))</f>
        <v/>
      </c>
      <c r="P261" s="54" t="str">
        <f>IF(OR($B261="",$A261&gt;$B$9,P$233=""),"",IF(COUNTIFS(BD!$B$3:$B$5001,P$233,BD!$A$3:$A$5001,"&gt;="&amp;$C$7,BD!$A$3:$A$5001,"&lt;="&amp;$B261,BD!$R$3:$R$5001,"&lt;&gt;")=0,"",SUMIFS(BD!$R$3:$R$5001,BD!$B$3:$B$5001,P$233,BD!$A$3:$A$5001,_xlfn.MAXIFS(BD!$A$3:$A$5001,BD!$B$3:$B$5001,P$233,BD!$A$3:$A$5001,"&gt;="&amp;$C$7,BD!$A$3:$A$5001,"&lt;="&amp;$B261,BD!$R$3:$R$5001,"&lt;&gt;"))))</f>
        <v/>
      </c>
      <c r="Q261" s="54" t="str">
        <f>IF(OR($B261="",$A261&gt;$B$9,Q$233=""),"",IF(COUNTIFS(BD!$B$3:$B$5001,Q$233,BD!$A$3:$A$5001,"&gt;="&amp;$C$7,BD!$A$3:$A$5001,"&lt;="&amp;$B261,BD!$R$3:$R$5001,"&lt;&gt;")=0,"",SUMIFS(BD!$R$3:$R$5001,BD!$B$3:$B$5001,Q$233,BD!$A$3:$A$5001,_xlfn.MAXIFS(BD!$A$3:$A$5001,BD!$B$3:$B$5001,Q$233,BD!$A$3:$A$5001,"&gt;="&amp;$C$7,BD!$A$3:$A$5001,"&lt;="&amp;$B261,BD!$R$3:$R$5001,"&lt;&gt;"))))</f>
        <v/>
      </c>
      <c r="R261" s="54" t="str">
        <f>IF(OR($B261="",$A261&gt;$B$9,R$233=""),"",IF(COUNTIFS(BD!$B$3:$B$5001,R$233,BD!$A$3:$A$5001,"&gt;="&amp;$C$7,BD!$A$3:$A$5001,"&lt;="&amp;$B261,BD!$R$3:$R$5001,"&lt;&gt;")=0,"",SUMIFS(BD!$R$3:$R$5001,BD!$B$3:$B$5001,R$233,BD!$A$3:$A$5001,_xlfn.MAXIFS(BD!$A$3:$A$5001,BD!$B$3:$B$5001,R$233,BD!$A$3:$A$5001,"&gt;="&amp;$C$7,BD!$A$3:$A$5001,"&lt;="&amp;$B261,BD!$R$3:$R$5001,"&lt;&gt;"))))</f>
        <v/>
      </c>
      <c r="S261" s="54" t="str">
        <f>IF(OR($B261="",$A261&gt;$B$9,S$233=""),"",IF(COUNTIFS(BD!$B$3:$B$5001,S$233,BD!$A$3:$A$5001,"&gt;="&amp;$C$7,BD!$A$3:$A$5001,"&lt;="&amp;$B261,BD!$R$3:$R$5001,"&lt;&gt;")=0,"",SUMIFS(BD!$R$3:$R$5001,BD!$B$3:$B$5001,S$233,BD!$A$3:$A$5001,_xlfn.MAXIFS(BD!$A$3:$A$5001,BD!$B$3:$B$5001,S$233,BD!$A$3:$A$5001,"&gt;="&amp;$C$7,BD!$A$3:$A$5001,"&lt;="&amp;$B261,BD!$R$3:$R$5001,"&lt;&gt;"))))</f>
        <v/>
      </c>
      <c r="T261" s="54" t="str">
        <f>IF(OR($B261="",$A261&gt;$B$9,T$233=""),"",IF(COUNTIFS(BD!$B$3:$B$5001,T$233,BD!$A$3:$A$5001,"&gt;="&amp;$C$7,BD!$A$3:$A$5001,"&lt;="&amp;$B261,BD!$R$3:$R$5001,"&lt;&gt;")=0,"",SUMIFS(BD!$R$3:$R$5001,BD!$B$3:$B$5001,T$233,BD!$A$3:$A$5001,_xlfn.MAXIFS(BD!$A$3:$A$5001,BD!$B$3:$B$5001,T$233,BD!$A$3:$A$5001,"&gt;="&amp;$C$7,BD!$A$3:$A$5001,"&lt;="&amp;$B261,BD!$R$3:$R$5001,"&lt;&gt;"))))</f>
        <v/>
      </c>
      <c r="U261" s="54" t="str">
        <f>IF(OR($B261="",$A261&gt;$B$9,U$233=""),"",IF(COUNTIFS(BD!$B$3:$B$5001,U$233,BD!$A$3:$A$5001,"&gt;="&amp;$C$7,BD!$A$3:$A$5001,"&lt;="&amp;$B261,BD!$R$3:$R$5001,"&lt;&gt;")=0,"",SUMIFS(BD!$R$3:$R$5001,BD!$B$3:$B$5001,U$233,BD!$A$3:$A$5001,_xlfn.MAXIFS(BD!$A$3:$A$5001,BD!$B$3:$B$5001,U$233,BD!$A$3:$A$5001,"&gt;="&amp;$C$7,BD!$A$3:$A$5001,"&lt;="&amp;$B261,BD!$R$3:$R$5001,"&lt;&gt;"))))</f>
        <v/>
      </c>
      <c r="V261" s="54" t="str">
        <f>IF(OR($B261="",$A261&gt;$B$9,V$233=""),"",IF(COUNTIFS(BD!$B$3:$B$5001,V$233,BD!$A$3:$A$5001,"&gt;="&amp;$C$7,BD!$A$3:$A$5001,"&lt;="&amp;$B261,BD!$R$3:$R$5001,"&lt;&gt;")=0,"",SUMIFS(BD!$R$3:$R$5001,BD!$B$3:$B$5001,V$233,BD!$A$3:$A$5001,_xlfn.MAXIFS(BD!$A$3:$A$5001,BD!$B$3:$B$5001,V$233,BD!$A$3:$A$5001,"&gt;="&amp;$C$7,BD!$A$3:$A$5001,"&lt;="&amp;$B261,BD!$R$3:$R$5001,"&lt;&gt;"))))</f>
        <v/>
      </c>
    </row>
    <row r="262">
      <c r="A262" s="48">
        <v>29</v>
      </c>
      <c r="B262" s="53">
        <f>$B$40</f>
        <v>46324</v>
      </c>
      <c r="C262" s="54" t="str">
        <f>IF(OR($B262="",$A262&gt;$B$9,C$233=""),"",IF(COUNTIFS(BD!$B$3:$B$5001,C$233,BD!$A$3:$A$5001,"&gt;="&amp;$C$7,BD!$A$3:$A$5001,"&lt;="&amp;$B262,BD!$R$3:$R$5001,"&lt;&gt;")=0,"",SUMIFS(BD!$R$3:$R$5001,BD!$B$3:$B$5001,C$233,BD!$A$3:$A$5001,_xlfn.MAXIFS(BD!$A$3:$A$5001,BD!$B$3:$B$5001,C$233,BD!$A$3:$A$5001,"&gt;="&amp;$C$7,BD!$A$3:$A$5001,"&lt;="&amp;$B262,BD!$R$3:$R$5001,"&lt;&gt;"))))</f>
        <v/>
      </c>
      <c r="D262" s="54" t="str">
        <f>IF(OR($B262="",$A262&gt;$B$9,D$233=""),"",IF(COUNTIFS(BD!$B$3:$B$5001,D$233,BD!$A$3:$A$5001,"&gt;="&amp;$C$7,BD!$A$3:$A$5001,"&lt;="&amp;$B262,BD!$R$3:$R$5001,"&lt;&gt;")=0,"",SUMIFS(BD!$R$3:$R$5001,BD!$B$3:$B$5001,D$233,BD!$A$3:$A$5001,_xlfn.MAXIFS(BD!$A$3:$A$5001,BD!$B$3:$B$5001,D$233,BD!$A$3:$A$5001,"&gt;="&amp;$C$7,BD!$A$3:$A$5001,"&lt;="&amp;$B262,BD!$R$3:$R$5001,"&lt;&gt;"))))</f>
        <v/>
      </c>
      <c r="E262" s="54" t="str">
        <f>IF(OR($B262="",$A262&gt;$B$9,E$233=""),"",IF(COUNTIFS(BD!$B$3:$B$5001,E$233,BD!$A$3:$A$5001,"&gt;="&amp;$C$7,BD!$A$3:$A$5001,"&lt;="&amp;$B262,BD!$R$3:$R$5001,"&lt;&gt;")=0,"",SUMIFS(BD!$R$3:$R$5001,BD!$B$3:$B$5001,E$233,BD!$A$3:$A$5001,_xlfn.MAXIFS(BD!$A$3:$A$5001,BD!$B$3:$B$5001,E$233,BD!$A$3:$A$5001,"&gt;="&amp;$C$7,BD!$A$3:$A$5001,"&lt;="&amp;$B262,BD!$R$3:$R$5001,"&lt;&gt;"))))</f>
        <v/>
      </c>
      <c r="F262" s="54" t="str">
        <f>IF(OR($B262="",$A262&gt;$B$9,F$233=""),"",IF(COUNTIFS(BD!$B$3:$B$5001,F$233,BD!$A$3:$A$5001,"&gt;="&amp;$C$7,BD!$A$3:$A$5001,"&lt;="&amp;$B262,BD!$R$3:$R$5001,"&lt;&gt;")=0,"",SUMIFS(BD!$R$3:$R$5001,BD!$B$3:$B$5001,F$233,BD!$A$3:$A$5001,_xlfn.MAXIFS(BD!$A$3:$A$5001,BD!$B$3:$B$5001,F$233,BD!$A$3:$A$5001,"&gt;="&amp;$C$7,BD!$A$3:$A$5001,"&lt;="&amp;$B262,BD!$R$3:$R$5001,"&lt;&gt;"))))</f>
        <v/>
      </c>
      <c r="G262" s="54" t="str">
        <f>IF(OR($B262="",$A262&gt;$B$9,G$233=""),"",IF(COUNTIFS(BD!$B$3:$B$5001,G$233,BD!$A$3:$A$5001,"&gt;="&amp;$C$7,BD!$A$3:$A$5001,"&lt;="&amp;$B262,BD!$R$3:$R$5001,"&lt;&gt;")=0,"",SUMIFS(BD!$R$3:$R$5001,BD!$B$3:$B$5001,G$233,BD!$A$3:$A$5001,_xlfn.MAXIFS(BD!$A$3:$A$5001,BD!$B$3:$B$5001,G$233,BD!$A$3:$A$5001,"&gt;="&amp;$C$7,BD!$A$3:$A$5001,"&lt;="&amp;$B262,BD!$R$3:$R$5001,"&lt;&gt;"))))</f>
        <v/>
      </c>
      <c r="H262" s="54" t="str">
        <f>IF(OR($B262="",$A262&gt;$B$9,H$233=""),"",IF(COUNTIFS(BD!$B$3:$B$5001,H$233,BD!$A$3:$A$5001,"&gt;="&amp;$C$7,BD!$A$3:$A$5001,"&lt;="&amp;$B262,BD!$R$3:$R$5001,"&lt;&gt;")=0,"",SUMIFS(BD!$R$3:$R$5001,BD!$B$3:$B$5001,H$233,BD!$A$3:$A$5001,_xlfn.MAXIFS(BD!$A$3:$A$5001,BD!$B$3:$B$5001,H$233,BD!$A$3:$A$5001,"&gt;="&amp;$C$7,BD!$A$3:$A$5001,"&lt;="&amp;$B262,BD!$R$3:$R$5001,"&lt;&gt;"))))</f>
        <v/>
      </c>
      <c r="I262" s="54" t="str">
        <f>IF(OR($B262="",$A262&gt;$B$9,I$233=""),"",IF(COUNTIFS(BD!$B$3:$B$5001,I$233,BD!$A$3:$A$5001,"&gt;="&amp;$C$7,BD!$A$3:$A$5001,"&lt;="&amp;$B262,BD!$R$3:$R$5001,"&lt;&gt;")=0,"",SUMIFS(BD!$R$3:$R$5001,BD!$B$3:$B$5001,I$233,BD!$A$3:$A$5001,_xlfn.MAXIFS(BD!$A$3:$A$5001,BD!$B$3:$B$5001,I$233,BD!$A$3:$A$5001,"&gt;="&amp;$C$7,BD!$A$3:$A$5001,"&lt;="&amp;$B262,BD!$R$3:$R$5001,"&lt;&gt;"))))</f>
        <v/>
      </c>
      <c r="J262" s="54" t="str">
        <f>IF(OR($B262="",$A262&gt;$B$9,J$233=""),"",IF(COUNTIFS(BD!$B$3:$B$5001,J$233,BD!$A$3:$A$5001,"&gt;="&amp;$C$7,BD!$A$3:$A$5001,"&lt;="&amp;$B262,BD!$R$3:$R$5001,"&lt;&gt;")=0,"",SUMIFS(BD!$R$3:$R$5001,BD!$B$3:$B$5001,J$233,BD!$A$3:$A$5001,_xlfn.MAXIFS(BD!$A$3:$A$5001,BD!$B$3:$B$5001,J$233,BD!$A$3:$A$5001,"&gt;="&amp;$C$7,BD!$A$3:$A$5001,"&lt;="&amp;$B262,BD!$R$3:$R$5001,"&lt;&gt;"))))</f>
        <v/>
      </c>
      <c r="K262" s="54" t="str">
        <f>IF(OR($B262="",$A262&gt;$B$9,K$233=""),"",IF(COUNTIFS(BD!$B$3:$B$5001,K$233,BD!$A$3:$A$5001,"&gt;="&amp;$C$7,BD!$A$3:$A$5001,"&lt;="&amp;$B262,BD!$R$3:$R$5001,"&lt;&gt;")=0,"",SUMIFS(BD!$R$3:$R$5001,BD!$B$3:$B$5001,K$233,BD!$A$3:$A$5001,_xlfn.MAXIFS(BD!$A$3:$A$5001,BD!$B$3:$B$5001,K$233,BD!$A$3:$A$5001,"&gt;="&amp;$C$7,BD!$A$3:$A$5001,"&lt;="&amp;$B262,BD!$R$3:$R$5001,"&lt;&gt;"))))</f>
        <v/>
      </c>
      <c r="L262" s="54" t="str">
        <f>IF(OR($B262="",$A262&gt;$B$9,L$233=""),"",IF(COUNTIFS(BD!$B$3:$B$5001,L$233,BD!$A$3:$A$5001,"&gt;="&amp;$C$7,BD!$A$3:$A$5001,"&lt;="&amp;$B262,BD!$R$3:$R$5001,"&lt;&gt;")=0,"",SUMIFS(BD!$R$3:$R$5001,BD!$B$3:$B$5001,L$233,BD!$A$3:$A$5001,_xlfn.MAXIFS(BD!$A$3:$A$5001,BD!$B$3:$B$5001,L$233,BD!$A$3:$A$5001,"&gt;="&amp;$C$7,BD!$A$3:$A$5001,"&lt;="&amp;$B262,BD!$R$3:$R$5001,"&lt;&gt;"))))</f>
        <v/>
      </c>
      <c r="M262" s="54" t="str">
        <f>IF(OR($B262="",$A262&gt;$B$9,M$233=""),"",IF(COUNTIFS(BD!$B$3:$B$5001,M$233,BD!$A$3:$A$5001,"&gt;="&amp;$C$7,BD!$A$3:$A$5001,"&lt;="&amp;$B262,BD!$R$3:$R$5001,"&lt;&gt;")=0,"",SUMIFS(BD!$R$3:$R$5001,BD!$B$3:$B$5001,M$233,BD!$A$3:$A$5001,_xlfn.MAXIFS(BD!$A$3:$A$5001,BD!$B$3:$B$5001,M$233,BD!$A$3:$A$5001,"&gt;="&amp;$C$7,BD!$A$3:$A$5001,"&lt;="&amp;$B262,BD!$R$3:$R$5001,"&lt;&gt;"))))</f>
        <v/>
      </c>
      <c r="N262" s="54" t="str">
        <f>IF(OR($B262="",$A262&gt;$B$9,N$233=""),"",IF(COUNTIFS(BD!$B$3:$B$5001,N$233,BD!$A$3:$A$5001,"&gt;="&amp;$C$7,BD!$A$3:$A$5001,"&lt;="&amp;$B262,BD!$R$3:$R$5001,"&lt;&gt;")=0,"",SUMIFS(BD!$R$3:$R$5001,BD!$B$3:$B$5001,N$233,BD!$A$3:$A$5001,_xlfn.MAXIFS(BD!$A$3:$A$5001,BD!$B$3:$B$5001,N$233,BD!$A$3:$A$5001,"&gt;="&amp;$C$7,BD!$A$3:$A$5001,"&lt;="&amp;$B262,BD!$R$3:$R$5001,"&lt;&gt;"))))</f>
        <v/>
      </c>
      <c r="O262" s="54" t="str">
        <f>IF(OR($B262="",$A262&gt;$B$9,O$233=""),"",IF(COUNTIFS(BD!$B$3:$B$5001,O$233,BD!$A$3:$A$5001,"&gt;="&amp;$C$7,BD!$A$3:$A$5001,"&lt;="&amp;$B262,BD!$R$3:$R$5001,"&lt;&gt;")=0,"",SUMIFS(BD!$R$3:$R$5001,BD!$B$3:$B$5001,O$233,BD!$A$3:$A$5001,_xlfn.MAXIFS(BD!$A$3:$A$5001,BD!$B$3:$B$5001,O$233,BD!$A$3:$A$5001,"&gt;="&amp;$C$7,BD!$A$3:$A$5001,"&lt;="&amp;$B262,BD!$R$3:$R$5001,"&lt;&gt;"))))</f>
        <v/>
      </c>
      <c r="P262" s="54" t="str">
        <f>IF(OR($B262="",$A262&gt;$B$9,P$233=""),"",IF(COUNTIFS(BD!$B$3:$B$5001,P$233,BD!$A$3:$A$5001,"&gt;="&amp;$C$7,BD!$A$3:$A$5001,"&lt;="&amp;$B262,BD!$R$3:$R$5001,"&lt;&gt;")=0,"",SUMIFS(BD!$R$3:$R$5001,BD!$B$3:$B$5001,P$233,BD!$A$3:$A$5001,_xlfn.MAXIFS(BD!$A$3:$A$5001,BD!$B$3:$B$5001,P$233,BD!$A$3:$A$5001,"&gt;="&amp;$C$7,BD!$A$3:$A$5001,"&lt;="&amp;$B262,BD!$R$3:$R$5001,"&lt;&gt;"))))</f>
        <v/>
      </c>
      <c r="Q262" s="54" t="str">
        <f>IF(OR($B262="",$A262&gt;$B$9,Q$233=""),"",IF(COUNTIFS(BD!$B$3:$B$5001,Q$233,BD!$A$3:$A$5001,"&gt;="&amp;$C$7,BD!$A$3:$A$5001,"&lt;="&amp;$B262,BD!$R$3:$R$5001,"&lt;&gt;")=0,"",SUMIFS(BD!$R$3:$R$5001,BD!$B$3:$B$5001,Q$233,BD!$A$3:$A$5001,_xlfn.MAXIFS(BD!$A$3:$A$5001,BD!$B$3:$B$5001,Q$233,BD!$A$3:$A$5001,"&gt;="&amp;$C$7,BD!$A$3:$A$5001,"&lt;="&amp;$B262,BD!$R$3:$R$5001,"&lt;&gt;"))))</f>
        <v/>
      </c>
      <c r="R262" s="54" t="str">
        <f>IF(OR($B262="",$A262&gt;$B$9,R$233=""),"",IF(COUNTIFS(BD!$B$3:$B$5001,R$233,BD!$A$3:$A$5001,"&gt;="&amp;$C$7,BD!$A$3:$A$5001,"&lt;="&amp;$B262,BD!$R$3:$R$5001,"&lt;&gt;")=0,"",SUMIFS(BD!$R$3:$R$5001,BD!$B$3:$B$5001,R$233,BD!$A$3:$A$5001,_xlfn.MAXIFS(BD!$A$3:$A$5001,BD!$B$3:$B$5001,R$233,BD!$A$3:$A$5001,"&gt;="&amp;$C$7,BD!$A$3:$A$5001,"&lt;="&amp;$B262,BD!$R$3:$R$5001,"&lt;&gt;"))))</f>
        <v/>
      </c>
      <c r="S262" s="54" t="str">
        <f>IF(OR($B262="",$A262&gt;$B$9,S$233=""),"",IF(COUNTIFS(BD!$B$3:$B$5001,S$233,BD!$A$3:$A$5001,"&gt;="&amp;$C$7,BD!$A$3:$A$5001,"&lt;="&amp;$B262,BD!$R$3:$R$5001,"&lt;&gt;")=0,"",SUMIFS(BD!$R$3:$R$5001,BD!$B$3:$B$5001,S$233,BD!$A$3:$A$5001,_xlfn.MAXIFS(BD!$A$3:$A$5001,BD!$B$3:$B$5001,S$233,BD!$A$3:$A$5001,"&gt;="&amp;$C$7,BD!$A$3:$A$5001,"&lt;="&amp;$B262,BD!$R$3:$R$5001,"&lt;&gt;"))))</f>
        <v/>
      </c>
      <c r="T262" s="54" t="str">
        <f>IF(OR($B262="",$A262&gt;$B$9,T$233=""),"",IF(COUNTIFS(BD!$B$3:$B$5001,T$233,BD!$A$3:$A$5001,"&gt;="&amp;$C$7,BD!$A$3:$A$5001,"&lt;="&amp;$B262,BD!$R$3:$R$5001,"&lt;&gt;")=0,"",SUMIFS(BD!$R$3:$R$5001,BD!$B$3:$B$5001,T$233,BD!$A$3:$A$5001,_xlfn.MAXIFS(BD!$A$3:$A$5001,BD!$B$3:$B$5001,T$233,BD!$A$3:$A$5001,"&gt;="&amp;$C$7,BD!$A$3:$A$5001,"&lt;="&amp;$B262,BD!$R$3:$R$5001,"&lt;&gt;"))))</f>
        <v/>
      </c>
      <c r="U262" s="54" t="str">
        <f>IF(OR($B262="",$A262&gt;$B$9,U$233=""),"",IF(COUNTIFS(BD!$B$3:$B$5001,U$233,BD!$A$3:$A$5001,"&gt;="&amp;$C$7,BD!$A$3:$A$5001,"&lt;="&amp;$B262,BD!$R$3:$R$5001,"&lt;&gt;")=0,"",SUMIFS(BD!$R$3:$R$5001,BD!$B$3:$B$5001,U$233,BD!$A$3:$A$5001,_xlfn.MAXIFS(BD!$A$3:$A$5001,BD!$B$3:$B$5001,U$233,BD!$A$3:$A$5001,"&gt;="&amp;$C$7,BD!$A$3:$A$5001,"&lt;="&amp;$B262,BD!$R$3:$R$5001,"&lt;&gt;"))))</f>
        <v/>
      </c>
      <c r="V262" s="54" t="str">
        <f>IF(OR($B262="",$A262&gt;$B$9,V$233=""),"",IF(COUNTIFS(BD!$B$3:$B$5001,V$233,BD!$A$3:$A$5001,"&gt;="&amp;$C$7,BD!$A$3:$A$5001,"&lt;="&amp;$B262,BD!$R$3:$R$5001,"&lt;&gt;")=0,"",SUMIFS(BD!$R$3:$R$5001,BD!$B$3:$B$5001,V$233,BD!$A$3:$A$5001,_xlfn.MAXIFS(BD!$A$3:$A$5001,BD!$B$3:$B$5001,V$233,BD!$A$3:$A$5001,"&gt;="&amp;$C$7,BD!$A$3:$A$5001,"&lt;="&amp;$B262,BD!$R$3:$R$5001,"&lt;&gt;"))))</f>
        <v/>
      </c>
    </row>
    <row r="263">
      <c r="A263" s="48">
        <v>30</v>
      </c>
      <c r="B263" s="53">
        <f>$B$41</f>
        <v>46325</v>
      </c>
      <c r="C263" s="54" t="str">
        <f>IF(OR($B263="",$A263&gt;$B$9,C$233=""),"",IF(COUNTIFS(BD!$B$3:$B$5001,C$233,BD!$A$3:$A$5001,"&gt;="&amp;$C$7,BD!$A$3:$A$5001,"&lt;="&amp;$B263,BD!$R$3:$R$5001,"&lt;&gt;")=0,"",SUMIFS(BD!$R$3:$R$5001,BD!$B$3:$B$5001,C$233,BD!$A$3:$A$5001,_xlfn.MAXIFS(BD!$A$3:$A$5001,BD!$B$3:$B$5001,C$233,BD!$A$3:$A$5001,"&gt;="&amp;$C$7,BD!$A$3:$A$5001,"&lt;="&amp;$B263,BD!$R$3:$R$5001,"&lt;&gt;"))))</f>
        <v/>
      </c>
      <c r="D263" s="54" t="str">
        <f>IF(OR($B263="",$A263&gt;$B$9,D$233=""),"",IF(COUNTIFS(BD!$B$3:$B$5001,D$233,BD!$A$3:$A$5001,"&gt;="&amp;$C$7,BD!$A$3:$A$5001,"&lt;="&amp;$B263,BD!$R$3:$R$5001,"&lt;&gt;")=0,"",SUMIFS(BD!$R$3:$R$5001,BD!$B$3:$B$5001,D$233,BD!$A$3:$A$5001,_xlfn.MAXIFS(BD!$A$3:$A$5001,BD!$B$3:$B$5001,D$233,BD!$A$3:$A$5001,"&gt;="&amp;$C$7,BD!$A$3:$A$5001,"&lt;="&amp;$B263,BD!$R$3:$R$5001,"&lt;&gt;"))))</f>
        <v/>
      </c>
      <c r="E263" s="54" t="str">
        <f>IF(OR($B263="",$A263&gt;$B$9,E$233=""),"",IF(COUNTIFS(BD!$B$3:$B$5001,E$233,BD!$A$3:$A$5001,"&gt;="&amp;$C$7,BD!$A$3:$A$5001,"&lt;="&amp;$B263,BD!$R$3:$R$5001,"&lt;&gt;")=0,"",SUMIFS(BD!$R$3:$R$5001,BD!$B$3:$B$5001,E$233,BD!$A$3:$A$5001,_xlfn.MAXIFS(BD!$A$3:$A$5001,BD!$B$3:$B$5001,E$233,BD!$A$3:$A$5001,"&gt;="&amp;$C$7,BD!$A$3:$A$5001,"&lt;="&amp;$B263,BD!$R$3:$R$5001,"&lt;&gt;"))))</f>
        <v/>
      </c>
      <c r="F263" s="54" t="str">
        <f>IF(OR($B263="",$A263&gt;$B$9,F$233=""),"",IF(COUNTIFS(BD!$B$3:$B$5001,F$233,BD!$A$3:$A$5001,"&gt;="&amp;$C$7,BD!$A$3:$A$5001,"&lt;="&amp;$B263,BD!$R$3:$R$5001,"&lt;&gt;")=0,"",SUMIFS(BD!$R$3:$R$5001,BD!$B$3:$B$5001,F$233,BD!$A$3:$A$5001,_xlfn.MAXIFS(BD!$A$3:$A$5001,BD!$B$3:$B$5001,F$233,BD!$A$3:$A$5001,"&gt;="&amp;$C$7,BD!$A$3:$A$5001,"&lt;="&amp;$B263,BD!$R$3:$R$5001,"&lt;&gt;"))))</f>
        <v/>
      </c>
      <c r="G263" s="54" t="str">
        <f>IF(OR($B263="",$A263&gt;$B$9,G$233=""),"",IF(COUNTIFS(BD!$B$3:$B$5001,G$233,BD!$A$3:$A$5001,"&gt;="&amp;$C$7,BD!$A$3:$A$5001,"&lt;="&amp;$B263,BD!$R$3:$R$5001,"&lt;&gt;")=0,"",SUMIFS(BD!$R$3:$R$5001,BD!$B$3:$B$5001,G$233,BD!$A$3:$A$5001,_xlfn.MAXIFS(BD!$A$3:$A$5001,BD!$B$3:$B$5001,G$233,BD!$A$3:$A$5001,"&gt;="&amp;$C$7,BD!$A$3:$A$5001,"&lt;="&amp;$B263,BD!$R$3:$R$5001,"&lt;&gt;"))))</f>
        <v/>
      </c>
      <c r="H263" s="54" t="str">
        <f>IF(OR($B263="",$A263&gt;$B$9,H$233=""),"",IF(COUNTIFS(BD!$B$3:$B$5001,H$233,BD!$A$3:$A$5001,"&gt;="&amp;$C$7,BD!$A$3:$A$5001,"&lt;="&amp;$B263,BD!$R$3:$R$5001,"&lt;&gt;")=0,"",SUMIFS(BD!$R$3:$R$5001,BD!$B$3:$B$5001,H$233,BD!$A$3:$A$5001,_xlfn.MAXIFS(BD!$A$3:$A$5001,BD!$B$3:$B$5001,H$233,BD!$A$3:$A$5001,"&gt;="&amp;$C$7,BD!$A$3:$A$5001,"&lt;="&amp;$B263,BD!$R$3:$R$5001,"&lt;&gt;"))))</f>
        <v/>
      </c>
      <c r="I263" s="54" t="str">
        <f>IF(OR($B263="",$A263&gt;$B$9,I$233=""),"",IF(COUNTIFS(BD!$B$3:$B$5001,I$233,BD!$A$3:$A$5001,"&gt;="&amp;$C$7,BD!$A$3:$A$5001,"&lt;="&amp;$B263,BD!$R$3:$R$5001,"&lt;&gt;")=0,"",SUMIFS(BD!$R$3:$R$5001,BD!$B$3:$B$5001,I$233,BD!$A$3:$A$5001,_xlfn.MAXIFS(BD!$A$3:$A$5001,BD!$B$3:$B$5001,I$233,BD!$A$3:$A$5001,"&gt;="&amp;$C$7,BD!$A$3:$A$5001,"&lt;="&amp;$B263,BD!$R$3:$R$5001,"&lt;&gt;"))))</f>
        <v/>
      </c>
      <c r="J263" s="54" t="str">
        <f>IF(OR($B263="",$A263&gt;$B$9,J$233=""),"",IF(COUNTIFS(BD!$B$3:$B$5001,J$233,BD!$A$3:$A$5001,"&gt;="&amp;$C$7,BD!$A$3:$A$5001,"&lt;="&amp;$B263,BD!$R$3:$R$5001,"&lt;&gt;")=0,"",SUMIFS(BD!$R$3:$R$5001,BD!$B$3:$B$5001,J$233,BD!$A$3:$A$5001,_xlfn.MAXIFS(BD!$A$3:$A$5001,BD!$B$3:$B$5001,J$233,BD!$A$3:$A$5001,"&gt;="&amp;$C$7,BD!$A$3:$A$5001,"&lt;="&amp;$B263,BD!$R$3:$R$5001,"&lt;&gt;"))))</f>
        <v/>
      </c>
      <c r="K263" s="54" t="str">
        <f>IF(OR($B263="",$A263&gt;$B$9,K$233=""),"",IF(COUNTIFS(BD!$B$3:$B$5001,K$233,BD!$A$3:$A$5001,"&gt;="&amp;$C$7,BD!$A$3:$A$5001,"&lt;="&amp;$B263,BD!$R$3:$R$5001,"&lt;&gt;")=0,"",SUMIFS(BD!$R$3:$R$5001,BD!$B$3:$B$5001,K$233,BD!$A$3:$A$5001,_xlfn.MAXIFS(BD!$A$3:$A$5001,BD!$B$3:$B$5001,K$233,BD!$A$3:$A$5001,"&gt;="&amp;$C$7,BD!$A$3:$A$5001,"&lt;="&amp;$B263,BD!$R$3:$R$5001,"&lt;&gt;"))))</f>
        <v/>
      </c>
      <c r="L263" s="54" t="str">
        <f>IF(OR($B263="",$A263&gt;$B$9,L$233=""),"",IF(COUNTIFS(BD!$B$3:$B$5001,L$233,BD!$A$3:$A$5001,"&gt;="&amp;$C$7,BD!$A$3:$A$5001,"&lt;="&amp;$B263,BD!$R$3:$R$5001,"&lt;&gt;")=0,"",SUMIFS(BD!$R$3:$R$5001,BD!$B$3:$B$5001,L$233,BD!$A$3:$A$5001,_xlfn.MAXIFS(BD!$A$3:$A$5001,BD!$B$3:$B$5001,L$233,BD!$A$3:$A$5001,"&gt;="&amp;$C$7,BD!$A$3:$A$5001,"&lt;="&amp;$B263,BD!$R$3:$R$5001,"&lt;&gt;"))))</f>
        <v/>
      </c>
      <c r="M263" s="54" t="str">
        <f>IF(OR($B263="",$A263&gt;$B$9,M$233=""),"",IF(COUNTIFS(BD!$B$3:$B$5001,M$233,BD!$A$3:$A$5001,"&gt;="&amp;$C$7,BD!$A$3:$A$5001,"&lt;="&amp;$B263,BD!$R$3:$R$5001,"&lt;&gt;")=0,"",SUMIFS(BD!$R$3:$R$5001,BD!$B$3:$B$5001,M$233,BD!$A$3:$A$5001,_xlfn.MAXIFS(BD!$A$3:$A$5001,BD!$B$3:$B$5001,M$233,BD!$A$3:$A$5001,"&gt;="&amp;$C$7,BD!$A$3:$A$5001,"&lt;="&amp;$B263,BD!$R$3:$R$5001,"&lt;&gt;"))))</f>
        <v/>
      </c>
      <c r="N263" s="54" t="str">
        <f>IF(OR($B263="",$A263&gt;$B$9,N$233=""),"",IF(COUNTIFS(BD!$B$3:$B$5001,N$233,BD!$A$3:$A$5001,"&gt;="&amp;$C$7,BD!$A$3:$A$5001,"&lt;="&amp;$B263,BD!$R$3:$R$5001,"&lt;&gt;")=0,"",SUMIFS(BD!$R$3:$R$5001,BD!$B$3:$B$5001,N$233,BD!$A$3:$A$5001,_xlfn.MAXIFS(BD!$A$3:$A$5001,BD!$B$3:$B$5001,N$233,BD!$A$3:$A$5001,"&gt;="&amp;$C$7,BD!$A$3:$A$5001,"&lt;="&amp;$B263,BD!$R$3:$R$5001,"&lt;&gt;"))))</f>
        <v/>
      </c>
      <c r="O263" s="54" t="str">
        <f>IF(OR($B263="",$A263&gt;$B$9,O$233=""),"",IF(COUNTIFS(BD!$B$3:$B$5001,O$233,BD!$A$3:$A$5001,"&gt;="&amp;$C$7,BD!$A$3:$A$5001,"&lt;="&amp;$B263,BD!$R$3:$R$5001,"&lt;&gt;")=0,"",SUMIFS(BD!$R$3:$R$5001,BD!$B$3:$B$5001,O$233,BD!$A$3:$A$5001,_xlfn.MAXIFS(BD!$A$3:$A$5001,BD!$B$3:$B$5001,O$233,BD!$A$3:$A$5001,"&gt;="&amp;$C$7,BD!$A$3:$A$5001,"&lt;="&amp;$B263,BD!$R$3:$R$5001,"&lt;&gt;"))))</f>
        <v/>
      </c>
      <c r="P263" s="54" t="str">
        <f>IF(OR($B263="",$A263&gt;$B$9,P$233=""),"",IF(COUNTIFS(BD!$B$3:$B$5001,P$233,BD!$A$3:$A$5001,"&gt;="&amp;$C$7,BD!$A$3:$A$5001,"&lt;="&amp;$B263,BD!$R$3:$R$5001,"&lt;&gt;")=0,"",SUMIFS(BD!$R$3:$R$5001,BD!$B$3:$B$5001,P$233,BD!$A$3:$A$5001,_xlfn.MAXIFS(BD!$A$3:$A$5001,BD!$B$3:$B$5001,P$233,BD!$A$3:$A$5001,"&gt;="&amp;$C$7,BD!$A$3:$A$5001,"&lt;="&amp;$B263,BD!$R$3:$R$5001,"&lt;&gt;"))))</f>
        <v/>
      </c>
      <c r="Q263" s="54" t="str">
        <f>IF(OR($B263="",$A263&gt;$B$9,Q$233=""),"",IF(COUNTIFS(BD!$B$3:$B$5001,Q$233,BD!$A$3:$A$5001,"&gt;="&amp;$C$7,BD!$A$3:$A$5001,"&lt;="&amp;$B263,BD!$R$3:$R$5001,"&lt;&gt;")=0,"",SUMIFS(BD!$R$3:$R$5001,BD!$B$3:$B$5001,Q$233,BD!$A$3:$A$5001,_xlfn.MAXIFS(BD!$A$3:$A$5001,BD!$B$3:$B$5001,Q$233,BD!$A$3:$A$5001,"&gt;="&amp;$C$7,BD!$A$3:$A$5001,"&lt;="&amp;$B263,BD!$R$3:$R$5001,"&lt;&gt;"))))</f>
        <v/>
      </c>
      <c r="R263" s="54" t="str">
        <f>IF(OR($B263="",$A263&gt;$B$9,R$233=""),"",IF(COUNTIFS(BD!$B$3:$B$5001,R$233,BD!$A$3:$A$5001,"&gt;="&amp;$C$7,BD!$A$3:$A$5001,"&lt;="&amp;$B263,BD!$R$3:$R$5001,"&lt;&gt;")=0,"",SUMIFS(BD!$R$3:$R$5001,BD!$B$3:$B$5001,R$233,BD!$A$3:$A$5001,_xlfn.MAXIFS(BD!$A$3:$A$5001,BD!$B$3:$B$5001,R$233,BD!$A$3:$A$5001,"&gt;="&amp;$C$7,BD!$A$3:$A$5001,"&lt;="&amp;$B263,BD!$R$3:$R$5001,"&lt;&gt;"))))</f>
        <v/>
      </c>
      <c r="S263" s="54" t="str">
        <f>IF(OR($B263="",$A263&gt;$B$9,S$233=""),"",IF(COUNTIFS(BD!$B$3:$B$5001,S$233,BD!$A$3:$A$5001,"&gt;="&amp;$C$7,BD!$A$3:$A$5001,"&lt;="&amp;$B263,BD!$R$3:$R$5001,"&lt;&gt;")=0,"",SUMIFS(BD!$R$3:$R$5001,BD!$B$3:$B$5001,S$233,BD!$A$3:$A$5001,_xlfn.MAXIFS(BD!$A$3:$A$5001,BD!$B$3:$B$5001,S$233,BD!$A$3:$A$5001,"&gt;="&amp;$C$7,BD!$A$3:$A$5001,"&lt;="&amp;$B263,BD!$R$3:$R$5001,"&lt;&gt;"))))</f>
        <v/>
      </c>
      <c r="T263" s="54" t="str">
        <f>IF(OR($B263="",$A263&gt;$B$9,T$233=""),"",IF(COUNTIFS(BD!$B$3:$B$5001,T$233,BD!$A$3:$A$5001,"&gt;="&amp;$C$7,BD!$A$3:$A$5001,"&lt;="&amp;$B263,BD!$R$3:$R$5001,"&lt;&gt;")=0,"",SUMIFS(BD!$R$3:$R$5001,BD!$B$3:$B$5001,T$233,BD!$A$3:$A$5001,_xlfn.MAXIFS(BD!$A$3:$A$5001,BD!$B$3:$B$5001,T$233,BD!$A$3:$A$5001,"&gt;="&amp;$C$7,BD!$A$3:$A$5001,"&lt;="&amp;$B263,BD!$R$3:$R$5001,"&lt;&gt;"))))</f>
        <v/>
      </c>
      <c r="U263" s="54" t="str">
        <f>IF(OR($B263="",$A263&gt;$B$9,U$233=""),"",IF(COUNTIFS(BD!$B$3:$B$5001,U$233,BD!$A$3:$A$5001,"&gt;="&amp;$C$7,BD!$A$3:$A$5001,"&lt;="&amp;$B263,BD!$R$3:$R$5001,"&lt;&gt;")=0,"",SUMIFS(BD!$R$3:$R$5001,BD!$B$3:$B$5001,U$233,BD!$A$3:$A$5001,_xlfn.MAXIFS(BD!$A$3:$A$5001,BD!$B$3:$B$5001,U$233,BD!$A$3:$A$5001,"&gt;="&amp;$C$7,BD!$A$3:$A$5001,"&lt;="&amp;$B263,BD!$R$3:$R$5001,"&lt;&gt;"))))</f>
        <v/>
      </c>
      <c r="V263" s="54" t="str">
        <f>IF(OR($B263="",$A263&gt;$B$9,V$233=""),"",IF(COUNTIFS(BD!$B$3:$B$5001,V$233,BD!$A$3:$A$5001,"&gt;="&amp;$C$7,BD!$A$3:$A$5001,"&lt;="&amp;$B263,BD!$R$3:$R$5001,"&lt;&gt;")=0,"",SUMIFS(BD!$R$3:$R$5001,BD!$B$3:$B$5001,V$233,BD!$A$3:$A$5001,_xlfn.MAXIFS(BD!$A$3:$A$5001,BD!$B$3:$B$5001,V$233,BD!$A$3:$A$5001,"&gt;="&amp;$C$7,BD!$A$3:$A$5001,"&lt;="&amp;$B263,BD!$R$3:$R$5001,"&lt;&gt;"))))</f>
        <v/>
      </c>
    </row>
    <row r="264">
      <c r="A264" s="48">
        <v>31</v>
      </c>
      <c r="B264" s="53">
        <f>$B$42</f>
        <v>46326</v>
      </c>
      <c r="C264" s="54" t="str">
        <f>IF(OR($B264="",$A264&gt;$B$9,C$233=""),"",IF(COUNTIFS(BD!$B$3:$B$5001,C$233,BD!$A$3:$A$5001,"&gt;="&amp;$C$7,BD!$A$3:$A$5001,"&lt;="&amp;$B264,BD!$R$3:$R$5001,"&lt;&gt;")=0,"",SUMIFS(BD!$R$3:$R$5001,BD!$B$3:$B$5001,C$233,BD!$A$3:$A$5001,_xlfn.MAXIFS(BD!$A$3:$A$5001,BD!$B$3:$B$5001,C$233,BD!$A$3:$A$5001,"&gt;="&amp;$C$7,BD!$A$3:$A$5001,"&lt;="&amp;$B264,BD!$R$3:$R$5001,"&lt;&gt;"))))</f>
        <v/>
      </c>
      <c r="D264" s="54" t="str">
        <f>IF(OR($B264="",$A264&gt;$B$9,D$233=""),"",IF(COUNTIFS(BD!$B$3:$B$5001,D$233,BD!$A$3:$A$5001,"&gt;="&amp;$C$7,BD!$A$3:$A$5001,"&lt;="&amp;$B264,BD!$R$3:$R$5001,"&lt;&gt;")=0,"",SUMIFS(BD!$R$3:$R$5001,BD!$B$3:$B$5001,D$233,BD!$A$3:$A$5001,_xlfn.MAXIFS(BD!$A$3:$A$5001,BD!$B$3:$B$5001,D$233,BD!$A$3:$A$5001,"&gt;="&amp;$C$7,BD!$A$3:$A$5001,"&lt;="&amp;$B264,BD!$R$3:$R$5001,"&lt;&gt;"))))</f>
        <v/>
      </c>
      <c r="E264" s="54" t="str">
        <f>IF(OR($B264="",$A264&gt;$B$9,E$233=""),"",IF(COUNTIFS(BD!$B$3:$B$5001,E$233,BD!$A$3:$A$5001,"&gt;="&amp;$C$7,BD!$A$3:$A$5001,"&lt;="&amp;$B264,BD!$R$3:$R$5001,"&lt;&gt;")=0,"",SUMIFS(BD!$R$3:$R$5001,BD!$B$3:$B$5001,E$233,BD!$A$3:$A$5001,_xlfn.MAXIFS(BD!$A$3:$A$5001,BD!$B$3:$B$5001,E$233,BD!$A$3:$A$5001,"&gt;="&amp;$C$7,BD!$A$3:$A$5001,"&lt;="&amp;$B264,BD!$R$3:$R$5001,"&lt;&gt;"))))</f>
        <v/>
      </c>
      <c r="F264" s="54" t="str">
        <f>IF(OR($B264="",$A264&gt;$B$9,F$233=""),"",IF(COUNTIFS(BD!$B$3:$B$5001,F$233,BD!$A$3:$A$5001,"&gt;="&amp;$C$7,BD!$A$3:$A$5001,"&lt;="&amp;$B264,BD!$R$3:$R$5001,"&lt;&gt;")=0,"",SUMIFS(BD!$R$3:$R$5001,BD!$B$3:$B$5001,F$233,BD!$A$3:$A$5001,_xlfn.MAXIFS(BD!$A$3:$A$5001,BD!$B$3:$B$5001,F$233,BD!$A$3:$A$5001,"&gt;="&amp;$C$7,BD!$A$3:$A$5001,"&lt;="&amp;$B264,BD!$R$3:$R$5001,"&lt;&gt;"))))</f>
        <v/>
      </c>
      <c r="G264" s="54" t="str">
        <f>IF(OR($B264="",$A264&gt;$B$9,G$233=""),"",IF(COUNTIFS(BD!$B$3:$B$5001,G$233,BD!$A$3:$A$5001,"&gt;="&amp;$C$7,BD!$A$3:$A$5001,"&lt;="&amp;$B264,BD!$R$3:$R$5001,"&lt;&gt;")=0,"",SUMIFS(BD!$R$3:$R$5001,BD!$B$3:$B$5001,G$233,BD!$A$3:$A$5001,_xlfn.MAXIFS(BD!$A$3:$A$5001,BD!$B$3:$B$5001,G$233,BD!$A$3:$A$5001,"&gt;="&amp;$C$7,BD!$A$3:$A$5001,"&lt;="&amp;$B264,BD!$R$3:$R$5001,"&lt;&gt;"))))</f>
        <v/>
      </c>
      <c r="H264" s="54" t="str">
        <f>IF(OR($B264="",$A264&gt;$B$9,H$233=""),"",IF(COUNTIFS(BD!$B$3:$B$5001,H$233,BD!$A$3:$A$5001,"&gt;="&amp;$C$7,BD!$A$3:$A$5001,"&lt;="&amp;$B264,BD!$R$3:$R$5001,"&lt;&gt;")=0,"",SUMIFS(BD!$R$3:$R$5001,BD!$B$3:$B$5001,H$233,BD!$A$3:$A$5001,_xlfn.MAXIFS(BD!$A$3:$A$5001,BD!$B$3:$B$5001,H$233,BD!$A$3:$A$5001,"&gt;="&amp;$C$7,BD!$A$3:$A$5001,"&lt;="&amp;$B264,BD!$R$3:$R$5001,"&lt;&gt;"))))</f>
        <v/>
      </c>
      <c r="I264" s="54" t="str">
        <f>IF(OR($B264="",$A264&gt;$B$9,I$233=""),"",IF(COUNTIFS(BD!$B$3:$B$5001,I$233,BD!$A$3:$A$5001,"&gt;="&amp;$C$7,BD!$A$3:$A$5001,"&lt;="&amp;$B264,BD!$R$3:$R$5001,"&lt;&gt;")=0,"",SUMIFS(BD!$R$3:$R$5001,BD!$B$3:$B$5001,I$233,BD!$A$3:$A$5001,_xlfn.MAXIFS(BD!$A$3:$A$5001,BD!$B$3:$B$5001,I$233,BD!$A$3:$A$5001,"&gt;="&amp;$C$7,BD!$A$3:$A$5001,"&lt;="&amp;$B264,BD!$R$3:$R$5001,"&lt;&gt;"))))</f>
        <v/>
      </c>
      <c r="J264" s="54" t="str">
        <f>IF(OR($B264="",$A264&gt;$B$9,J$233=""),"",IF(COUNTIFS(BD!$B$3:$B$5001,J$233,BD!$A$3:$A$5001,"&gt;="&amp;$C$7,BD!$A$3:$A$5001,"&lt;="&amp;$B264,BD!$R$3:$R$5001,"&lt;&gt;")=0,"",SUMIFS(BD!$R$3:$R$5001,BD!$B$3:$B$5001,J$233,BD!$A$3:$A$5001,_xlfn.MAXIFS(BD!$A$3:$A$5001,BD!$B$3:$B$5001,J$233,BD!$A$3:$A$5001,"&gt;="&amp;$C$7,BD!$A$3:$A$5001,"&lt;="&amp;$B264,BD!$R$3:$R$5001,"&lt;&gt;"))))</f>
        <v/>
      </c>
      <c r="K264" s="54" t="str">
        <f>IF(OR($B264="",$A264&gt;$B$9,K$233=""),"",IF(COUNTIFS(BD!$B$3:$B$5001,K$233,BD!$A$3:$A$5001,"&gt;="&amp;$C$7,BD!$A$3:$A$5001,"&lt;="&amp;$B264,BD!$R$3:$R$5001,"&lt;&gt;")=0,"",SUMIFS(BD!$R$3:$R$5001,BD!$B$3:$B$5001,K$233,BD!$A$3:$A$5001,_xlfn.MAXIFS(BD!$A$3:$A$5001,BD!$B$3:$B$5001,K$233,BD!$A$3:$A$5001,"&gt;="&amp;$C$7,BD!$A$3:$A$5001,"&lt;="&amp;$B264,BD!$R$3:$R$5001,"&lt;&gt;"))))</f>
        <v/>
      </c>
      <c r="L264" s="54" t="str">
        <f>IF(OR($B264="",$A264&gt;$B$9,L$233=""),"",IF(COUNTIFS(BD!$B$3:$B$5001,L$233,BD!$A$3:$A$5001,"&gt;="&amp;$C$7,BD!$A$3:$A$5001,"&lt;="&amp;$B264,BD!$R$3:$R$5001,"&lt;&gt;")=0,"",SUMIFS(BD!$R$3:$R$5001,BD!$B$3:$B$5001,L$233,BD!$A$3:$A$5001,_xlfn.MAXIFS(BD!$A$3:$A$5001,BD!$B$3:$B$5001,L$233,BD!$A$3:$A$5001,"&gt;="&amp;$C$7,BD!$A$3:$A$5001,"&lt;="&amp;$B264,BD!$R$3:$R$5001,"&lt;&gt;"))))</f>
        <v/>
      </c>
      <c r="M264" s="54" t="str">
        <f>IF(OR($B264="",$A264&gt;$B$9,M$233=""),"",IF(COUNTIFS(BD!$B$3:$B$5001,M$233,BD!$A$3:$A$5001,"&gt;="&amp;$C$7,BD!$A$3:$A$5001,"&lt;="&amp;$B264,BD!$R$3:$R$5001,"&lt;&gt;")=0,"",SUMIFS(BD!$R$3:$R$5001,BD!$B$3:$B$5001,M$233,BD!$A$3:$A$5001,_xlfn.MAXIFS(BD!$A$3:$A$5001,BD!$B$3:$B$5001,M$233,BD!$A$3:$A$5001,"&gt;="&amp;$C$7,BD!$A$3:$A$5001,"&lt;="&amp;$B264,BD!$R$3:$R$5001,"&lt;&gt;"))))</f>
        <v/>
      </c>
      <c r="N264" s="54" t="str">
        <f>IF(OR($B264="",$A264&gt;$B$9,N$233=""),"",IF(COUNTIFS(BD!$B$3:$B$5001,N$233,BD!$A$3:$A$5001,"&gt;="&amp;$C$7,BD!$A$3:$A$5001,"&lt;="&amp;$B264,BD!$R$3:$R$5001,"&lt;&gt;")=0,"",SUMIFS(BD!$R$3:$R$5001,BD!$B$3:$B$5001,N$233,BD!$A$3:$A$5001,_xlfn.MAXIFS(BD!$A$3:$A$5001,BD!$B$3:$B$5001,N$233,BD!$A$3:$A$5001,"&gt;="&amp;$C$7,BD!$A$3:$A$5001,"&lt;="&amp;$B264,BD!$R$3:$R$5001,"&lt;&gt;"))))</f>
        <v/>
      </c>
      <c r="O264" s="54" t="str">
        <f>IF(OR($B264="",$A264&gt;$B$9,O$233=""),"",IF(COUNTIFS(BD!$B$3:$B$5001,O$233,BD!$A$3:$A$5001,"&gt;="&amp;$C$7,BD!$A$3:$A$5001,"&lt;="&amp;$B264,BD!$R$3:$R$5001,"&lt;&gt;")=0,"",SUMIFS(BD!$R$3:$R$5001,BD!$B$3:$B$5001,O$233,BD!$A$3:$A$5001,_xlfn.MAXIFS(BD!$A$3:$A$5001,BD!$B$3:$B$5001,O$233,BD!$A$3:$A$5001,"&gt;="&amp;$C$7,BD!$A$3:$A$5001,"&lt;="&amp;$B264,BD!$R$3:$R$5001,"&lt;&gt;"))))</f>
        <v/>
      </c>
      <c r="P264" s="54" t="str">
        <f>IF(OR($B264="",$A264&gt;$B$9,P$233=""),"",IF(COUNTIFS(BD!$B$3:$B$5001,P$233,BD!$A$3:$A$5001,"&gt;="&amp;$C$7,BD!$A$3:$A$5001,"&lt;="&amp;$B264,BD!$R$3:$R$5001,"&lt;&gt;")=0,"",SUMIFS(BD!$R$3:$R$5001,BD!$B$3:$B$5001,P$233,BD!$A$3:$A$5001,_xlfn.MAXIFS(BD!$A$3:$A$5001,BD!$B$3:$B$5001,P$233,BD!$A$3:$A$5001,"&gt;="&amp;$C$7,BD!$A$3:$A$5001,"&lt;="&amp;$B264,BD!$R$3:$R$5001,"&lt;&gt;"))))</f>
        <v/>
      </c>
      <c r="Q264" s="54" t="str">
        <f>IF(OR($B264="",$A264&gt;$B$9,Q$233=""),"",IF(COUNTIFS(BD!$B$3:$B$5001,Q$233,BD!$A$3:$A$5001,"&gt;="&amp;$C$7,BD!$A$3:$A$5001,"&lt;="&amp;$B264,BD!$R$3:$R$5001,"&lt;&gt;")=0,"",SUMIFS(BD!$R$3:$R$5001,BD!$B$3:$B$5001,Q$233,BD!$A$3:$A$5001,_xlfn.MAXIFS(BD!$A$3:$A$5001,BD!$B$3:$B$5001,Q$233,BD!$A$3:$A$5001,"&gt;="&amp;$C$7,BD!$A$3:$A$5001,"&lt;="&amp;$B264,BD!$R$3:$R$5001,"&lt;&gt;"))))</f>
        <v/>
      </c>
      <c r="R264" s="54" t="str">
        <f>IF(OR($B264="",$A264&gt;$B$9,R$233=""),"",IF(COUNTIFS(BD!$B$3:$B$5001,R$233,BD!$A$3:$A$5001,"&gt;="&amp;$C$7,BD!$A$3:$A$5001,"&lt;="&amp;$B264,BD!$R$3:$R$5001,"&lt;&gt;")=0,"",SUMIFS(BD!$R$3:$R$5001,BD!$B$3:$B$5001,R$233,BD!$A$3:$A$5001,_xlfn.MAXIFS(BD!$A$3:$A$5001,BD!$B$3:$B$5001,R$233,BD!$A$3:$A$5001,"&gt;="&amp;$C$7,BD!$A$3:$A$5001,"&lt;="&amp;$B264,BD!$R$3:$R$5001,"&lt;&gt;"))))</f>
        <v/>
      </c>
      <c r="S264" s="54" t="str">
        <f>IF(OR($B264="",$A264&gt;$B$9,S$233=""),"",IF(COUNTIFS(BD!$B$3:$B$5001,S$233,BD!$A$3:$A$5001,"&gt;="&amp;$C$7,BD!$A$3:$A$5001,"&lt;="&amp;$B264,BD!$R$3:$R$5001,"&lt;&gt;")=0,"",SUMIFS(BD!$R$3:$R$5001,BD!$B$3:$B$5001,S$233,BD!$A$3:$A$5001,_xlfn.MAXIFS(BD!$A$3:$A$5001,BD!$B$3:$B$5001,S$233,BD!$A$3:$A$5001,"&gt;="&amp;$C$7,BD!$A$3:$A$5001,"&lt;="&amp;$B264,BD!$R$3:$R$5001,"&lt;&gt;"))))</f>
        <v/>
      </c>
      <c r="T264" s="54" t="str">
        <f>IF(OR($B264="",$A264&gt;$B$9,T$233=""),"",IF(COUNTIFS(BD!$B$3:$B$5001,T$233,BD!$A$3:$A$5001,"&gt;="&amp;$C$7,BD!$A$3:$A$5001,"&lt;="&amp;$B264,BD!$R$3:$R$5001,"&lt;&gt;")=0,"",SUMIFS(BD!$R$3:$R$5001,BD!$B$3:$B$5001,T$233,BD!$A$3:$A$5001,_xlfn.MAXIFS(BD!$A$3:$A$5001,BD!$B$3:$B$5001,T$233,BD!$A$3:$A$5001,"&gt;="&amp;$C$7,BD!$A$3:$A$5001,"&lt;="&amp;$B264,BD!$R$3:$R$5001,"&lt;&gt;"))))</f>
        <v/>
      </c>
      <c r="U264" s="54" t="str">
        <f>IF(OR($B264="",$A264&gt;$B$9,U$233=""),"",IF(COUNTIFS(BD!$B$3:$B$5001,U$233,BD!$A$3:$A$5001,"&gt;="&amp;$C$7,BD!$A$3:$A$5001,"&lt;="&amp;$B264,BD!$R$3:$R$5001,"&lt;&gt;")=0,"",SUMIFS(BD!$R$3:$R$5001,BD!$B$3:$B$5001,U$233,BD!$A$3:$A$5001,_xlfn.MAXIFS(BD!$A$3:$A$5001,BD!$B$3:$B$5001,U$233,BD!$A$3:$A$5001,"&gt;="&amp;$C$7,BD!$A$3:$A$5001,"&lt;="&amp;$B264,BD!$R$3:$R$5001,"&lt;&gt;"))))</f>
        <v/>
      </c>
      <c r="V264" s="54" t="str">
        <f>IF(OR($B264="",$A264&gt;$B$9,V$233=""),"",IF(COUNTIFS(BD!$B$3:$B$5001,V$233,BD!$A$3:$A$5001,"&gt;="&amp;$C$7,BD!$A$3:$A$5001,"&lt;="&amp;$B264,BD!$R$3:$R$5001,"&lt;&gt;")=0,"",SUMIFS(BD!$R$3:$R$5001,BD!$B$3:$B$5001,V$233,BD!$A$3:$A$5001,_xlfn.MAXIFS(BD!$A$3:$A$5001,BD!$B$3:$B$5001,V$233,BD!$A$3:$A$5001,"&gt;="&amp;$C$7,BD!$A$3:$A$5001,"&lt;="&amp;$B264,BD!$R$3:$R$5001,"&lt;&gt;"))))</f>
        <v/>
      </c>
    </row>
    <row r="265">
      <c r="A265" s="55" t="inlineStr">
        <is>
          <t xml:space="preserve">Mês anterior (último)</t>
        </is>
      </c>
      <c r="C265" s="56" t="str">
        <f>IF(C$233="","",IF(COUNTIFS(BD!$B$3:$B$5001,C$233,BD!$A$3:$A$5001,"&gt;="&amp;$C$8,BD!$A$3:$A$5001,"&lt;="&amp;$D$8,BD!$R$3:$R$5001,"&lt;&gt;")=0,"",SUMIFS(BD!$R$3:$R$5001,BD!$B$3:$B$5001,C$233,BD!$A$3:$A$5001,_xlfn.MAXIFS(BD!$A$3:$A$5001,BD!$B$3:$B$5001,C$233,BD!$A$3:$A$5001,"&gt;="&amp;$C$8,BD!$A$3:$A$5001,"&lt;="&amp;$D$8,BD!$R$3:$R$5001,"&lt;&gt;"))))</f>
        <v/>
      </c>
      <c r="D265" s="56" t="str">
        <f>IF(D$233="","",IF(COUNTIFS(BD!$B$3:$B$5001,D$233,BD!$A$3:$A$5001,"&gt;="&amp;$C$8,BD!$A$3:$A$5001,"&lt;="&amp;$D$8,BD!$R$3:$R$5001,"&lt;&gt;")=0,"",SUMIFS(BD!$R$3:$R$5001,BD!$B$3:$B$5001,D$233,BD!$A$3:$A$5001,_xlfn.MAXIFS(BD!$A$3:$A$5001,BD!$B$3:$B$5001,D$233,BD!$A$3:$A$5001,"&gt;="&amp;$C$8,BD!$A$3:$A$5001,"&lt;="&amp;$D$8,BD!$R$3:$R$5001,"&lt;&gt;"))))</f>
        <v/>
      </c>
      <c r="E265" s="56" t="str">
        <f>IF(E$233="","",IF(COUNTIFS(BD!$B$3:$B$5001,E$233,BD!$A$3:$A$5001,"&gt;="&amp;$C$8,BD!$A$3:$A$5001,"&lt;="&amp;$D$8,BD!$R$3:$R$5001,"&lt;&gt;")=0,"",SUMIFS(BD!$R$3:$R$5001,BD!$B$3:$B$5001,E$233,BD!$A$3:$A$5001,_xlfn.MAXIFS(BD!$A$3:$A$5001,BD!$B$3:$B$5001,E$233,BD!$A$3:$A$5001,"&gt;="&amp;$C$8,BD!$A$3:$A$5001,"&lt;="&amp;$D$8,BD!$R$3:$R$5001,"&lt;&gt;"))))</f>
        <v/>
      </c>
      <c r="F265" s="56" t="str">
        <f>IF(F$233="","",IF(COUNTIFS(BD!$B$3:$B$5001,F$233,BD!$A$3:$A$5001,"&gt;="&amp;$C$8,BD!$A$3:$A$5001,"&lt;="&amp;$D$8,BD!$R$3:$R$5001,"&lt;&gt;")=0,"",SUMIFS(BD!$R$3:$R$5001,BD!$B$3:$B$5001,F$233,BD!$A$3:$A$5001,_xlfn.MAXIFS(BD!$A$3:$A$5001,BD!$B$3:$B$5001,F$233,BD!$A$3:$A$5001,"&gt;="&amp;$C$8,BD!$A$3:$A$5001,"&lt;="&amp;$D$8,BD!$R$3:$R$5001,"&lt;&gt;"))))</f>
        <v/>
      </c>
      <c r="G265" s="56" t="str">
        <f>IF(G$233="","",IF(COUNTIFS(BD!$B$3:$B$5001,G$233,BD!$A$3:$A$5001,"&gt;="&amp;$C$8,BD!$A$3:$A$5001,"&lt;="&amp;$D$8,BD!$R$3:$R$5001,"&lt;&gt;")=0,"",SUMIFS(BD!$R$3:$R$5001,BD!$B$3:$B$5001,G$233,BD!$A$3:$A$5001,_xlfn.MAXIFS(BD!$A$3:$A$5001,BD!$B$3:$B$5001,G$233,BD!$A$3:$A$5001,"&gt;="&amp;$C$8,BD!$A$3:$A$5001,"&lt;="&amp;$D$8,BD!$R$3:$R$5001,"&lt;&gt;"))))</f>
        <v/>
      </c>
      <c r="H265" s="56" t="str">
        <f>IF(H$233="","",IF(COUNTIFS(BD!$B$3:$B$5001,H$233,BD!$A$3:$A$5001,"&gt;="&amp;$C$8,BD!$A$3:$A$5001,"&lt;="&amp;$D$8,BD!$R$3:$R$5001,"&lt;&gt;")=0,"",SUMIFS(BD!$R$3:$R$5001,BD!$B$3:$B$5001,H$233,BD!$A$3:$A$5001,_xlfn.MAXIFS(BD!$A$3:$A$5001,BD!$B$3:$B$5001,H$233,BD!$A$3:$A$5001,"&gt;="&amp;$C$8,BD!$A$3:$A$5001,"&lt;="&amp;$D$8,BD!$R$3:$R$5001,"&lt;&gt;"))))</f>
        <v/>
      </c>
      <c r="I265" s="56" t="str">
        <f>IF(I$233="","",IF(COUNTIFS(BD!$B$3:$B$5001,I$233,BD!$A$3:$A$5001,"&gt;="&amp;$C$8,BD!$A$3:$A$5001,"&lt;="&amp;$D$8,BD!$R$3:$R$5001,"&lt;&gt;")=0,"",SUMIFS(BD!$R$3:$R$5001,BD!$B$3:$B$5001,I$233,BD!$A$3:$A$5001,_xlfn.MAXIFS(BD!$A$3:$A$5001,BD!$B$3:$B$5001,I$233,BD!$A$3:$A$5001,"&gt;="&amp;$C$8,BD!$A$3:$A$5001,"&lt;="&amp;$D$8,BD!$R$3:$R$5001,"&lt;&gt;"))))</f>
        <v/>
      </c>
      <c r="J265" s="56" t="str">
        <f>IF(J$233="","",IF(COUNTIFS(BD!$B$3:$B$5001,J$233,BD!$A$3:$A$5001,"&gt;="&amp;$C$8,BD!$A$3:$A$5001,"&lt;="&amp;$D$8,BD!$R$3:$R$5001,"&lt;&gt;")=0,"",SUMIFS(BD!$R$3:$R$5001,BD!$B$3:$B$5001,J$233,BD!$A$3:$A$5001,_xlfn.MAXIFS(BD!$A$3:$A$5001,BD!$B$3:$B$5001,J$233,BD!$A$3:$A$5001,"&gt;="&amp;$C$8,BD!$A$3:$A$5001,"&lt;="&amp;$D$8,BD!$R$3:$R$5001,"&lt;&gt;"))))</f>
        <v/>
      </c>
      <c r="K265" s="56" t="str">
        <f>IF(K$233="","",IF(COUNTIFS(BD!$B$3:$B$5001,K$233,BD!$A$3:$A$5001,"&gt;="&amp;$C$8,BD!$A$3:$A$5001,"&lt;="&amp;$D$8,BD!$R$3:$R$5001,"&lt;&gt;")=0,"",SUMIFS(BD!$R$3:$R$5001,BD!$B$3:$B$5001,K$233,BD!$A$3:$A$5001,_xlfn.MAXIFS(BD!$A$3:$A$5001,BD!$B$3:$B$5001,K$233,BD!$A$3:$A$5001,"&gt;="&amp;$C$8,BD!$A$3:$A$5001,"&lt;="&amp;$D$8,BD!$R$3:$R$5001,"&lt;&gt;"))))</f>
        <v/>
      </c>
      <c r="L265" s="56" t="str">
        <f>IF(L$233="","",IF(COUNTIFS(BD!$B$3:$B$5001,L$233,BD!$A$3:$A$5001,"&gt;="&amp;$C$8,BD!$A$3:$A$5001,"&lt;="&amp;$D$8,BD!$R$3:$R$5001,"&lt;&gt;")=0,"",SUMIFS(BD!$R$3:$R$5001,BD!$B$3:$B$5001,L$233,BD!$A$3:$A$5001,_xlfn.MAXIFS(BD!$A$3:$A$5001,BD!$B$3:$B$5001,L$233,BD!$A$3:$A$5001,"&gt;="&amp;$C$8,BD!$A$3:$A$5001,"&lt;="&amp;$D$8,BD!$R$3:$R$5001,"&lt;&gt;"))))</f>
        <v/>
      </c>
      <c r="M265" s="56" t="str">
        <f>IF(M$233="","",IF(COUNTIFS(BD!$B$3:$B$5001,M$233,BD!$A$3:$A$5001,"&gt;="&amp;$C$8,BD!$A$3:$A$5001,"&lt;="&amp;$D$8,BD!$R$3:$R$5001,"&lt;&gt;")=0,"",SUMIFS(BD!$R$3:$R$5001,BD!$B$3:$B$5001,M$233,BD!$A$3:$A$5001,_xlfn.MAXIFS(BD!$A$3:$A$5001,BD!$B$3:$B$5001,M$233,BD!$A$3:$A$5001,"&gt;="&amp;$C$8,BD!$A$3:$A$5001,"&lt;="&amp;$D$8,BD!$R$3:$R$5001,"&lt;&gt;"))))</f>
        <v/>
      </c>
      <c r="N265" s="56" t="str">
        <f>IF(N$233="","",IF(COUNTIFS(BD!$B$3:$B$5001,N$233,BD!$A$3:$A$5001,"&gt;="&amp;$C$8,BD!$A$3:$A$5001,"&lt;="&amp;$D$8,BD!$R$3:$R$5001,"&lt;&gt;")=0,"",SUMIFS(BD!$R$3:$R$5001,BD!$B$3:$B$5001,N$233,BD!$A$3:$A$5001,_xlfn.MAXIFS(BD!$A$3:$A$5001,BD!$B$3:$B$5001,N$233,BD!$A$3:$A$5001,"&gt;="&amp;$C$8,BD!$A$3:$A$5001,"&lt;="&amp;$D$8,BD!$R$3:$R$5001,"&lt;&gt;"))))</f>
        <v/>
      </c>
      <c r="O265" s="56" t="str">
        <f>IF(O$233="","",IF(COUNTIFS(BD!$B$3:$B$5001,O$233,BD!$A$3:$A$5001,"&gt;="&amp;$C$8,BD!$A$3:$A$5001,"&lt;="&amp;$D$8,BD!$R$3:$R$5001,"&lt;&gt;")=0,"",SUMIFS(BD!$R$3:$R$5001,BD!$B$3:$B$5001,O$233,BD!$A$3:$A$5001,_xlfn.MAXIFS(BD!$A$3:$A$5001,BD!$B$3:$B$5001,O$233,BD!$A$3:$A$5001,"&gt;="&amp;$C$8,BD!$A$3:$A$5001,"&lt;="&amp;$D$8,BD!$R$3:$R$5001,"&lt;&gt;"))))</f>
        <v/>
      </c>
      <c r="P265" s="56" t="str">
        <f>IF(P$233="","",IF(COUNTIFS(BD!$B$3:$B$5001,P$233,BD!$A$3:$A$5001,"&gt;="&amp;$C$8,BD!$A$3:$A$5001,"&lt;="&amp;$D$8,BD!$R$3:$R$5001,"&lt;&gt;")=0,"",SUMIFS(BD!$R$3:$R$5001,BD!$B$3:$B$5001,P$233,BD!$A$3:$A$5001,_xlfn.MAXIFS(BD!$A$3:$A$5001,BD!$B$3:$B$5001,P$233,BD!$A$3:$A$5001,"&gt;="&amp;$C$8,BD!$A$3:$A$5001,"&lt;="&amp;$D$8,BD!$R$3:$R$5001,"&lt;&gt;"))))</f>
        <v/>
      </c>
      <c r="Q265" s="56" t="str">
        <f>IF(Q$233="","",IF(COUNTIFS(BD!$B$3:$B$5001,Q$233,BD!$A$3:$A$5001,"&gt;="&amp;$C$8,BD!$A$3:$A$5001,"&lt;="&amp;$D$8,BD!$R$3:$R$5001,"&lt;&gt;")=0,"",SUMIFS(BD!$R$3:$R$5001,BD!$B$3:$B$5001,Q$233,BD!$A$3:$A$5001,_xlfn.MAXIFS(BD!$A$3:$A$5001,BD!$B$3:$B$5001,Q$233,BD!$A$3:$A$5001,"&gt;="&amp;$C$8,BD!$A$3:$A$5001,"&lt;="&amp;$D$8,BD!$R$3:$R$5001,"&lt;&gt;"))))</f>
        <v/>
      </c>
      <c r="R265" s="56" t="str">
        <f>IF(R$233="","",IF(COUNTIFS(BD!$B$3:$B$5001,R$233,BD!$A$3:$A$5001,"&gt;="&amp;$C$8,BD!$A$3:$A$5001,"&lt;="&amp;$D$8,BD!$R$3:$R$5001,"&lt;&gt;")=0,"",SUMIFS(BD!$R$3:$R$5001,BD!$B$3:$B$5001,R$233,BD!$A$3:$A$5001,_xlfn.MAXIFS(BD!$A$3:$A$5001,BD!$B$3:$B$5001,R$233,BD!$A$3:$A$5001,"&gt;="&amp;$C$8,BD!$A$3:$A$5001,"&lt;="&amp;$D$8,BD!$R$3:$R$5001,"&lt;&gt;"))))</f>
        <v/>
      </c>
      <c r="S265" s="56" t="str">
        <f>IF(S$233="","",IF(COUNTIFS(BD!$B$3:$B$5001,S$233,BD!$A$3:$A$5001,"&gt;="&amp;$C$8,BD!$A$3:$A$5001,"&lt;="&amp;$D$8,BD!$R$3:$R$5001,"&lt;&gt;")=0,"",SUMIFS(BD!$R$3:$R$5001,BD!$B$3:$B$5001,S$233,BD!$A$3:$A$5001,_xlfn.MAXIFS(BD!$A$3:$A$5001,BD!$B$3:$B$5001,S$233,BD!$A$3:$A$5001,"&gt;="&amp;$C$8,BD!$A$3:$A$5001,"&lt;="&amp;$D$8,BD!$R$3:$R$5001,"&lt;&gt;"))))</f>
        <v/>
      </c>
      <c r="T265" s="56" t="str">
        <f>IF(T$233="","",IF(COUNTIFS(BD!$B$3:$B$5001,T$233,BD!$A$3:$A$5001,"&gt;="&amp;$C$8,BD!$A$3:$A$5001,"&lt;="&amp;$D$8,BD!$R$3:$R$5001,"&lt;&gt;")=0,"",SUMIFS(BD!$R$3:$R$5001,BD!$B$3:$B$5001,T$233,BD!$A$3:$A$5001,_xlfn.MAXIFS(BD!$A$3:$A$5001,BD!$B$3:$B$5001,T$233,BD!$A$3:$A$5001,"&gt;="&amp;$C$8,BD!$A$3:$A$5001,"&lt;="&amp;$D$8,BD!$R$3:$R$5001,"&lt;&gt;"))))</f>
        <v/>
      </c>
      <c r="U265" s="56" t="str">
        <f>IF(U$233="","",IF(COUNTIFS(BD!$B$3:$B$5001,U$233,BD!$A$3:$A$5001,"&gt;="&amp;$C$8,BD!$A$3:$A$5001,"&lt;="&amp;$D$8,BD!$R$3:$R$5001,"&lt;&gt;")=0,"",SUMIFS(BD!$R$3:$R$5001,BD!$B$3:$B$5001,U$233,BD!$A$3:$A$5001,_xlfn.MAXIFS(BD!$A$3:$A$5001,BD!$B$3:$B$5001,U$233,BD!$A$3:$A$5001,"&gt;="&amp;$C$8,BD!$A$3:$A$5001,"&lt;="&amp;$D$8,BD!$R$3:$R$5001,"&lt;&gt;"))))</f>
        <v/>
      </c>
      <c r="V265" s="56" t="str">
        <f>IF(V$233="","",IF(COUNTIFS(BD!$B$3:$B$5001,V$233,BD!$A$3:$A$5001,"&gt;="&amp;$C$8,BD!$A$3:$A$5001,"&lt;="&amp;$D$8,BD!$R$3:$R$5001,"&lt;&gt;")=0,"",SUMIFS(BD!$R$3:$R$5001,BD!$B$3:$B$5001,V$233,BD!$A$3:$A$5001,_xlfn.MAXIFS(BD!$A$3:$A$5001,BD!$B$3:$B$5001,V$233,BD!$A$3:$A$5001,"&gt;="&amp;$C$8,BD!$A$3:$A$5001,"&lt;="&amp;$D$8,BD!$R$3:$R$5001,"&lt;&gt;"))))</f>
        <v/>
      </c>
    </row>
    <row r="266">
      <c r="A266" s="55" t="inlineStr">
        <is>
          <t xml:space="preserve">Depósito</t>
        </is>
      </c>
      <c r="C266" s="48" t="str">
        <f>IF(Config!$C$10="","JSL",Config!$C$10)</f>
        <v>JSL</v>
      </c>
      <c r="D266" s="48" t="str">
        <f>IF(Config!$C$11="","JSL",Config!$C$11)</f>
        <v>JSL</v>
      </c>
      <c r="E266" s="48" t="str">
        <f>IF(Config!$C$12="","JSL",Config!$C$12)</f>
        <v>JSL</v>
      </c>
      <c r="F266" s="48" t="str">
        <f>IF(Config!$C$13="","JSL",Config!$C$13)</f>
        <v>JSL</v>
      </c>
      <c r="G266" s="48" t="str">
        <f>IF(Config!$C$14="","JSL",Config!$C$14)</f>
        <v>JSL</v>
      </c>
      <c r="H266" s="48" t="str">
        <f>IF(Config!$C$15="","JSL",Config!$C$15)</f>
        <v>JSL</v>
      </c>
      <c r="I266" s="48" t="str">
        <f>IF(Config!$C$16="","JSL",Config!$C$16)</f>
        <v>JSL</v>
      </c>
      <c r="J266" s="48" t="str">
        <f>IF(Config!$C$17="","JSL",Config!$C$17)</f>
        <v>JSL</v>
      </c>
      <c r="K266" s="48" t="str">
        <f>IF(Config!$C$18="","JSL",Config!$C$18)</f>
        <v>JSL</v>
      </c>
      <c r="L266" s="48" t="str">
        <f>IF(Config!$C$19="","JSL",Config!$C$19)</f>
        <v>JSL</v>
      </c>
      <c r="M266" s="48" t="str">
        <f>IF(Config!$C$20="","JSL",Config!$C$20)</f>
        <v>JSL</v>
      </c>
      <c r="N266" s="48" t="str">
        <f>IF(Config!$C$21="","JSL",Config!$C$21)</f>
        <v>JSL</v>
      </c>
      <c r="O266" s="48" t="str">
        <f>IF(Config!$C$22="","JSL",Config!$C$22)</f>
        <v>JSL</v>
      </c>
      <c r="P266" s="48" t="str">
        <f>IF(Config!$C$23="","JSL",Config!$C$23)</f>
        <v>JSL</v>
      </c>
      <c r="Q266" s="48" t="str">
        <f>IF(Config!$C$24="","JSL",Config!$C$24)</f>
        <v>JSL</v>
      </c>
      <c r="R266" s="48" t="str">
        <f>IF(Config!$C$25="","JSL",Config!$C$25)</f>
        <v>JSL</v>
      </c>
      <c r="S266" s="48" t="str">
        <f>IF(Config!$C$26="","JSL",Config!$C$26)</f>
        <v>JSL</v>
      </c>
      <c r="T266" s="48" t="str">
        <f>IF(Config!$C$27="","JSL",Config!$C$27)</f>
        <v>JSL</v>
      </c>
      <c r="U266" s="48" t="str">
        <f>IF(Config!$C$28="","JSL",Config!$C$28)</f>
        <v>JSL</v>
      </c>
      <c r="V266" s="48" t="str">
        <f>IF(Config!$C$29="","JSL",Config!$C$29)</f>
        <v>JSL</v>
      </c>
    </row>
    <row r="268">
      <c r="A268" s="47" t="inlineStr">
        <is>
          <t xml:space="preserve">Efetivo Op.</t>
        </is>
      </c>
      <c r="B268" s="47" t="inlineStr">
        <is>
          <t xml:space="preserve">Data</t>
        </is>
      </c>
      <c r="C268" s="47" t="str">
        <f>Config!$B$10&amp;""</f>
        <v>Barry Callebaut</v>
      </c>
      <c r="D268" s="47" t="str">
        <f>Config!$B$11&amp;""</f>
        <v>GM</v>
      </c>
      <c r="E268" s="47" t="str">
        <f>Config!$B$12&amp;""</f>
        <v>Mondelez</v>
      </c>
      <c r="F268" s="47" t="str">
        <f>Config!$B$13&amp;""</f>
        <v>Nestlé</v>
      </c>
      <c r="G268" s="47" t="str">
        <f>Config!$B$14&amp;""</f>
        <v>PMB</v>
      </c>
      <c r="H268" s="47" t="str">
        <f>Config!$B$15&amp;""</f>
        <v/>
      </c>
      <c r="I268" s="47" t="str">
        <f>Config!$B$16&amp;""</f>
        <v/>
      </c>
      <c r="J268" s="47" t="str">
        <f>Config!$B$17&amp;""</f>
        <v/>
      </c>
      <c r="K268" s="47" t="str">
        <f>Config!$B$18&amp;""</f>
        <v/>
      </c>
      <c r="L268" s="47" t="str">
        <f>Config!$B$19&amp;""</f>
        <v/>
      </c>
      <c r="M268" s="47" t="str">
        <f>Config!$B$20&amp;""</f>
        <v/>
      </c>
      <c r="N268" s="47" t="str">
        <f>Config!$B$21&amp;""</f>
        <v/>
      </c>
      <c r="O268" s="47" t="str">
        <f>Config!$B$22&amp;""</f>
        <v/>
      </c>
      <c r="P268" s="47" t="str">
        <f>Config!$B$23&amp;""</f>
        <v/>
      </c>
      <c r="Q268" s="47" t="str">
        <f>Config!$B$24&amp;""</f>
        <v/>
      </c>
      <c r="R268" s="47" t="str">
        <f>Config!$B$25&amp;""</f>
        <v/>
      </c>
      <c r="S268" s="47" t="str">
        <f>Config!$B$26&amp;""</f>
        <v/>
      </c>
      <c r="T268" s="47" t="str">
        <f>Config!$B$27&amp;""</f>
        <v/>
      </c>
      <c r="U268" s="47" t="str">
        <f>Config!$B$28&amp;""</f>
        <v/>
      </c>
      <c r="V268" s="47" t="str">
        <f>Config!$B$29&amp;""</f>
        <v/>
      </c>
    </row>
    <row r="269">
      <c r="A269" s="48">
        <v>1</v>
      </c>
      <c r="B269" s="53">
        <f>$B$12</f>
        <v>46296</v>
      </c>
      <c r="C269" s="54" t="str">
        <f>IF(OR($B269="",$A269&gt;$B$9,C$268=""),"",IF(COUNTIFS(BD!$B$3:$B$5001,C$268,BD!$A$3:$A$5001,"&gt;="&amp;$C$7,BD!$A$3:$A$5001,"&lt;="&amp;$B269,BD!$T$3:$T$5001,"&lt;&gt;")=0,"",SUMIFS(BD!$T$3:$T$5001,BD!$B$3:$B$5001,C$268,BD!$A$3:$A$5001,_xlfn.MAXIFS(BD!$A$3:$A$5001,BD!$B$3:$B$5001,C$268,BD!$A$3:$A$5001,"&gt;="&amp;$C$7,BD!$A$3:$A$5001,"&lt;="&amp;$B269,BD!$T$3:$T$5001,"&lt;&gt;"))))</f>
        <v/>
      </c>
      <c r="D269" s="54" t="str">
        <f>IF(OR($B269="",$A269&gt;$B$9,D$268=""),"",IF(COUNTIFS(BD!$B$3:$B$5001,D$268,BD!$A$3:$A$5001,"&gt;="&amp;$C$7,BD!$A$3:$A$5001,"&lt;="&amp;$B269,BD!$T$3:$T$5001,"&lt;&gt;")=0,"",SUMIFS(BD!$T$3:$T$5001,BD!$B$3:$B$5001,D$268,BD!$A$3:$A$5001,_xlfn.MAXIFS(BD!$A$3:$A$5001,BD!$B$3:$B$5001,D$268,BD!$A$3:$A$5001,"&gt;="&amp;$C$7,BD!$A$3:$A$5001,"&lt;="&amp;$B269,BD!$T$3:$T$5001,"&lt;&gt;"))))</f>
        <v/>
      </c>
      <c r="E269" s="54" t="str">
        <f>IF(OR($B269="",$A269&gt;$B$9,E$268=""),"",IF(COUNTIFS(BD!$B$3:$B$5001,E$268,BD!$A$3:$A$5001,"&gt;="&amp;$C$7,BD!$A$3:$A$5001,"&lt;="&amp;$B269,BD!$T$3:$T$5001,"&lt;&gt;")=0,"",SUMIFS(BD!$T$3:$T$5001,BD!$B$3:$B$5001,E$268,BD!$A$3:$A$5001,_xlfn.MAXIFS(BD!$A$3:$A$5001,BD!$B$3:$B$5001,E$268,BD!$A$3:$A$5001,"&gt;="&amp;$C$7,BD!$A$3:$A$5001,"&lt;="&amp;$B269,BD!$T$3:$T$5001,"&lt;&gt;"))))</f>
        <v/>
      </c>
      <c r="F269" s="54" t="str">
        <f>IF(OR($B269="",$A269&gt;$B$9,F$268=""),"",IF(COUNTIFS(BD!$B$3:$B$5001,F$268,BD!$A$3:$A$5001,"&gt;="&amp;$C$7,BD!$A$3:$A$5001,"&lt;="&amp;$B269,BD!$T$3:$T$5001,"&lt;&gt;")=0,"",SUMIFS(BD!$T$3:$T$5001,BD!$B$3:$B$5001,F$268,BD!$A$3:$A$5001,_xlfn.MAXIFS(BD!$A$3:$A$5001,BD!$B$3:$B$5001,F$268,BD!$A$3:$A$5001,"&gt;="&amp;$C$7,BD!$A$3:$A$5001,"&lt;="&amp;$B269,BD!$T$3:$T$5001,"&lt;&gt;"))))</f>
        <v/>
      </c>
      <c r="G269" s="54" t="str">
        <f>IF(OR($B269="",$A269&gt;$B$9,G$268=""),"",IF(COUNTIFS(BD!$B$3:$B$5001,G$268,BD!$A$3:$A$5001,"&gt;="&amp;$C$7,BD!$A$3:$A$5001,"&lt;="&amp;$B269,BD!$T$3:$T$5001,"&lt;&gt;")=0,"",SUMIFS(BD!$T$3:$T$5001,BD!$B$3:$B$5001,G$268,BD!$A$3:$A$5001,_xlfn.MAXIFS(BD!$A$3:$A$5001,BD!$B$3:$B$5001,G$268,BD!$A$3:$A$5001,"&gt;="&amp;$C$7,BD!$A$3:$A$5001,"&lt;="&amp;$B269,BD!$T$3:$T$5001,"&lt;&gt;"))))</f>
        <v/>
      </c>
      <c r="H269" s="54" t="str">
        <f>IF(OR($B269="",$A269&gt;$B$9,H$268=""),"",IF(COUNTIFS(BD!$B$3:$B$5001,H$268,BD!$A$3:$A$5001,"&gt;="&amp;$C$7,BD!$A$3:$A$5001,"&lt;="&amp;$B269,BD!$T$3:$T$5001,"&lt;&gt;")=0,"",SUMIFS(BD!$T$3:$T$5001,BD!$B$3:$B$5001,H$268,BD!$A$3:$A$5001,_xlfn.MAXIFS(BD!$A$3:$A$5001,BD!$B$3:$B$5001,H$268,BD!$A$3:$A$5001,"&gt;="&amp;$C$7,BD!$A$3:$A$5001,"&lt;="&amp;$B269,BD!$T$3:$T$5001,"&lt;&gt;"))))</f>
        <v/>
      </c>
      <c r="I269" s="54" t="str">
        <f>IF(OR($B269="",$A269&gt;$B$9,I$268=""),"",IF(COUNTIFS(BD!$B$3:$B$5001,I$268,BD!$A$3:$A$5001,"&gt;="&amp;$C$7,BD!$A$3:$A$5001,"&lt;="&amp;$B269,BD!$T$3:$T$5001,"&lt;&gt;")=0,"",SUMIFS(BD!$T$3:$T$5001,BD!$B$3:$B$5001,I$268,BD!$A$3:$A$5001,_xlfn.MAXIFS(BD!$A$3:$A$5001,BD!$B$3:$B$5001,I$268,BD!$A$3:$A$5001,"&gt;="&amp;$C$7,BD!$A$3:$A$5001,"&lt;="&amp;$B269,BD!$T$3:$T$5001,"&lt;&gt;"))))</f>
        <v/>
      </c>
      <c r="J269" s="54" t="str">
        <f>IF(OR($B269="",$A269&gt;$B$9,J$268=""),"",IF(COUNTIFS(BD!$B$3:$B$5001,J$268,BD!$A$3:$A$5001,"&gt;="&amp;$C$7,BD!$A$3:$A$5001,"&lt;="&amp;$B269,BD!$T$3:$T$5001,"&lt;&gt;")=0,"",SUMIFS(BD!$T$3:$T$5001,BD!$B$3:$B$5001,J$268,BD!$A$3:$A$5001,_xlfn.MAXIFS(BD!$A$3:$A$5001,BD!$B$3:$B$5001,J$268,BD!$A$3:$A$5001,"&gt;="&amp;$C$7,BD!$A$3:$A$5001,"&lt;="&amp;$B269,BD!$T$3:$T$5001,"&lt;&gt;"))))</f>
        <v/>
      </c>
      <c r="K269" s="54" t="str">
        <f>IF(OR($B269="",$A269&gt;$B$9,K$268=""),"",IF(COUNTIFS(BD!$B$3:$B$5001,K$268,BD!$A$3:$A$5001,"&gt;="&amp;$C$7,BD!$A$3:$A$5001,"&lt;="&amp;$B269,BD!$T$3:$T$5001,"&lt;&gt;")=0,"",SUMIFS(BD!$T$3:$T$5001,BD!$B$3:$B$5001,K$268,BD!$A$3:$A$5001,_xlfn.MAXIFS(BD!$A$3:$A$5001,BD!$B$3:$B$5001,K$268,BD!$A$3:$A$5001,"&gt;="&amp;$C$7,BD!$A$3:$A$5001,"&lt;="&amp;$B269,BD!$T$3:$T$5001,"&lt;&gt;"))))</f>
        <v/>
      </c>
      <c r="L269" s="54" t="str">
        <f>IF(OR($B269="",$A269&gt;$B$9,L$268=""),"",IF(COUNTIFS(BD!$B$3:$B$5001,L$268,BD!$A$3:$A$5001,"&gt;="&amp;$C$7,BD!$A$3:$A$5001,"&lt;="&amp;$B269,BD!$T$3:$T$5001,"&lt;&gt;")=0,"",SUMIFS(BD!$T$3:$T$5001,BD!$B$3:$B$5001,L$268,BD!$A$3:$A$5001,_xlfn.MAXIFS(BD!$A$3:$A$5001,BD!$B$3:$B$5001,L$268,BD!$A$3:$A$5001,"&gt;="&amp;$C$7,BD!$A$3:$A$5001,"&lt;="&amp;$B269,BD!$T$3:$T$5001,"&lt;&gt;"))))</f>
        <v/>
      </c>
      <c r="M269" s="54" t="str">
        <f>IF(OR($B269="",$A269&gt;$B$9,M$268=""),"",IF(COUNTIFS(BD!$B$3:$B$5001,M$268,BD!$A$3:$A$5001,"&gt;="&amp;$C$7,BD!$A$3:$A$5001,"&lt;="&amp;$B269,BD!$T$3:$T$5001,"&lt;&gt;")=0,"",SUMIFS(BD!$T$3:$T$5001,BD!$B$3:$B$5001,M$268,BD!$A$3:$A$5001,_xlfn.MAXIFS(BD!$A$3:$A$5001,BD!$B$3:$B$5001,M$268,BD!$A$3:$A$5001,"&gt;="&amp;$C$7,BD!$A$3:$A$5001,"&lt;="&amp;$B269,BD!$T$3:$T$5001,"&lt;&gt;"))))</f>
        <v/>
      </c>
      <c r="N269" s="54" t="str">
        <f>IF(OR($B269="",$A269&gt;$B$9,N$268=""),"",IF(COUNTIFS(BD!$B$3:$B$5001,N$268,BD!$A$3:$A$5001,"&gt;="&amp;$C$7,BD!$A$3:$A$5001,"&lt;="&amp;$B269,BD!$T$3:$T$5001,"&lt;&gt;")=0,"",SUMIFS(BD!$T$3:$T$5001,BD!$B$3:$B$5001,N$268,BD!$A$3:$A$5001,_xlfn.MAXIFS(BD!$A$3:$A$5001,BD!$B$3:$B$5001,N$268,BD!$A$3:$A$5001,"&gt;="&amp;$C$7,BD!$A$3:$A$5001,"&lt;="&amp;$B269,BD!$T$3:$T$5001,"&lt;&gt;"))))</f>
        <v/>
      </c>
      <c r="O269" s="54" t="str">
        <f>IF(OR($B269="",$A269&gt;$B$9,O$268=""),"",IF(COUNTIFS(BD!$B$3:$B$5001,O$268,BD!$A$3:$A$5001,"&gt;="&amp;$C$7,BD!$A$3:$A$5001,"&lt;="&amp;$B269,BD!$T$3:$T$5001,"&lt;&gt;")=0,"",SUMIFS(BD!$T$3:$T$5001,BD!$B$3:$B$5001,O$268,BD!$A$3:$A$5001,_xlfn.MAXIFS(BD!$A$3:$A$5001,BD!$B$3:$B$5001,O$268,BD!$A$3:$A$5001,"&gt;="&amp;$C$7,BD!$A$3:$A$5001,"&lt;="&amp;$B269,BD!$T$3:$T$5001,"&lt;&gt;"))))</f>
        <v/>
      </c>
      <c r="P269" s="54" t="str">
        <f>IF(OR($B269="",$A269&gt;$B$9,P$268=""),"",IF(COUNTIFS(BD!$B$3:$B$5001,P$268,BD!$A$3:$A$5001,"&gt;="&amp;$C$7,BD!$A$3:$A$5001,"&lt;="&amp;$B269,BD!$T$3:$T$5001,"&lt;&gt;")=0,"",SUMIFS(BD!$T$3:$T$5001,BD!$B$3:$B$5001,P$268,BD!$A$3:$A$5001,_xlfn.MAXIFS(BD!$A$3:$A$5001,BD!$B$3:$B$5001,P$268,BD!$A$3:$A$5001,"&gt;="&amp;$C$7,BD!$A$3:$A$5001,"&lt;="&amp;$B269,BD!$T$3:$T$5001,"&lt;&gt;"))))</f>
        <v/>
      </c>
      <c r="Q269" s="54" t="str">
        <f>IF(OR($B269="",$A269&gt;$B$9,Q$268=""),"",IF(COUNTIFS(BD!$B$3:$B$5001,Q$268,BD!$A$3:$A$5001,"&gt;="&amp;$C$7,BD!$A$3:$A$5001,"&lt;="&amp;$B269,BD!$T$3:$T$5001,"&lt;&gt;")=0,"",SUMIFS(BD!$T$3:$T$5001,BD!$B$3:$B$5001,Q$268,BD!$A$3:$A$5001,_xlfn.MAXIFS(BD!$A$3:$A$5001,BD!$B$3:$B$5001,Q$268,BD!$A$3:$A$5001,"&gt;="&amp;$C$7,BD!$A$3:$A$5001,"&lt;="&amp;$B269,BD!$T$3:$T$5001,"&lt;&gt;"))))</f>
        <v/>
      </c>
      <c r="R269" s="54" t="str">
        <f>IF(OR($B269="",$A269&gt;$B$9,R$268=""),"",IF(COUNTIFS(BD!$B$3:$B$5001,R$268,BD!$A$3:$A$5001,"&gt;="&amp;$C$7,BD!$A$3:$A$5001,"&lt;="&amp;$B269,BD!$T$3:$T$5001,"&lt;&gt;")=0,"",SUMIFS(BD!$T$3:$T$5001,BD!$B$3:$B$5001,R$268,BD!$A$3:$A$5001,_xlfn.MAXIFS(BD!$A$3:$A$5001,BD!$B$3:$B$5001,R$268,BD!$A$3:$A$5001,"&gt;="&amp;$C$7,BD!$A$3:$A$5001,"&lt;="&amp;$B269,BD!$T$3:$T$5001,"&lt;&gt;"))))</f>
        <v/>
      </c>
      <c r="S269" s="54" t="str">
        <f>IF(OR($B269="",$A269&gt;$B$9,S$268=""),"",IF(COUNTIFS(BD!$B$3:$B$5001,S$268,BD!$A$3:$A$5001,"&gt;="&amp;$C$7,BD!$A$3:$A$5001,"&lt;="&amp;$B269,BD!$T$3:$T$5001,"&lt;&gt;")=0,"",SUMIFS(BD!$T$3:$T$5001,BD!$B$3:$B$5001,S$268,BD!$A$3:$A$5001,_xlfn.MAXIFS(BD!$A$3:$A$5001,BD!$B$3:$B$5001,S$268,BD!$A$3:$A$5001,"&gt;="&amp;$C$7,BD!$A$3:$A$5001,"&lt;="&amp;$B269,BD!$T$3:$T$5001,"&lt;&gt;"))))</f>
        <v/>
      </c>
      <c r="T269" s="54" t="str">
        <f>IF(OR($B269="",$A269&gt;$B$9,T$268=""),"",IF(COUNTIFS(BD!$B$3:$B$5001,T$268,BD!$A$3:$A$5001,"&gt;="&amp;$C$7,BD!$A$3:$A$5001,"&lt;="&amp;$B269,BD!$T$3:$T$5001,"&lt;&gt;")=0,"",SUMIFS(BD!$T$3:$T$5001,BD!$B$3:$B$5001,T$268,BD!$A$3:$A$5001,_xlfn.MAXIFS(BD!$A$3:$A$5001,BD!$B$3:$B$5001,T$268,BD!$A$3:$A$5001,"&gt;="&amp;$C$7,BD!$A$3:$A$5001,"&lt;="&amp;$B269,BD!$T$3:$T$5001,"&lt;&gt;"))))</f>
        <v/>
      </c>
      <c r="U269" s="54" t="str">
        <f>IF(OR($B269="",$A269&gt;$B$9,U$268=""),"",IF(COUNTIFS(BD!$B$3:$B$5001,U$268,BD!$A$3:$A$5001,"&gt;="&amp;$C$7,BD!$A$3:$A$5001,"&lt;="&amp;$B269,BD!$T$3:$T$5001,"&lt;&gt;")=0,"",SUMIFS(BD!$T$3:$T$5001,BD!$B$3:$B$5001,U$268,BD!$A$3:$A$5001,_xlfn.MAXIFS(BD!$A$3:$A$5001,BD!$B$3:$B$5001,U$268,BD!$A$3:$A$5001,"&gt;="&amp;$C$7,BD!$A$3:$A$5001,"&lt;="&amp;$B269,BD!$T$3:$T$5001,"&lt;&gt;"))))</f>
        <v/>
      </c>
      <c r="V269" s="54" t="str">
        <f>IF(OR($B269="",$A269&gt;$B$9,V$268=""),"",IF(COUNTIFS(BD!$B$3:$B$5001,V$268,BD!$A$3:$A$5001,"&gt;="&amp;$C$7,BD!$A$3:$A$5001,"&lt;="&amp;$B269,BD!$T$3:$T$5001,"&lt;&gt;")=0,"",SUMIFS(BD!$T$3:$T$5001,BD!$B$3:$B$5001,V$268,BD!$A$3:$A$5001,_xlfn.MAXIFS(BD!$A$3:$A$5001,BD!$B$3:$B$5001,V$268,BD!$A$3:$A$5001,"&gt;="&amp;$C$7,BD!$A$3:$A$5001,"&lt;="&amp;$B269,BD!$T$3:$T$5001,"&lt;&gt;"))))</f>
        <v/>
      </c>
    </row>
    <row r="270">
      <c r="A270" s="48">
        <v>2</v>
      </c>
      <c r="B270" s="53">
        <f>$B$13</f>
        <v>46297</v>
      </c>
      <c r="C270" s="54" t="str">
        <f>IF(OR($B270="",$A270&gt;$B$9,C$268=""),"",IF(COUNTIFS(BD!$B$3:$B$5001,C$268,BD!$A$3:$A$5001,"&gt;="&amp;$C$7,BD!$A$3:$A$5001,"&lt;="&amp;$B270,BD!$T$3:$T$5001,"&lt;&gt;")=0,"",SUMIFS(BD!$T$3:$T$5001,BD!$B$3:$B$5001,C$268,BD!$A$3:$A$5001,_xlfn.MAXIFS(BD!$A$3:$A$5001,BD!$B$3:$B$5001,C$268,BD!$A$3:$A$5001,"&gt;="&amp;$C$7,BD!$A$3:$A$5001,"&lt;="&amp;$B270,BD!$T$3:$T$5001,"&lt;&gt;"))))</f>
        <v/>
      </c>
      <c r="D270" s="54" t="str">
        <f>IF(OR($B270="",$A270&gt;$B$9,D$268=""),"",IF(COUNTIFS(BD!$B$3:$B$5001,D$268,BD!$A$3:$A$5001,"&gt;="&amp;$C$7,BD!$A$3:$A$5001,"&lt;="&amp;$B270,BD!$T$3:$T$5001,"&lt;&gt;")=0,"",SUMIFS(BD!$T$3:$T$5001,BD!$B$3:$B$5001,D$268,BD!$A$3:$A$5001,_xlfn.MAXIFS(BD!$A$3:$A$5001,BD!$B$3:$B$5001,D$268,BD!$A$3:$A$5001,"&gt;="&amp;$C$7,BD!$A$3:$A$5001,"&lt;="&amp;$B270,BD!$T$3:$T$5001,"&lt;&gt;"))))</f>
        <v/>
      </c>
      <c r="E270" s="54" t="str">
        <f>IF(OR($B270="",$A270&gt;$B$9,E$268=""),"",IF(COUNTIFS(BD!$B$3:$B$5001,E$268,BD!$A$3:$A$5001,"&gt;="&amp;$C$7,BD!$A$3:$A$5001,"&lt;="&amp;$B270,BD!$T$3:$T$5001,"&lt;&gt;")=0,"",SUMIFS(BD!$T$3:$T$5001,BD!$B$3:$B$5001,E$268,BD!$A$3:$A$5001,_xlfn.MAXIFS(BD!$A$3:$A$5001,BD!$B$3:$B$5001,E$268,BD!$A$3:$A$5001,"&gt;="&amp;$C$7,BD!$A$3:$A$5001,"&lt;="&amp;$B270,BD!$T$3:$T$5001,"&lt;&gt;"))))</f>
        <v/>
      </c>
      <c r="F270" s="54" t="str">
        <f>IF(OR($B270="",$A270&gt;$B$9,F$268=""),"",IF(COUNTIFS(BD!$B$3:$B$5001,F$268,BD!$A$3:$A$5001,"&gt;="&amp;$C$7,BD!$A$3:$A$5001,"&lt;="&amp;$B270,BD!$T$3:$T$5001,"&lt;&gt;")=0,"",SUMIFS(BD!$T$3:$T$5001,BD!$B$3:$B$5001,F$268,BD!$A$3:$A$5001,_xlfn.MAXIFS(BD!$A$3:$A$5001,BD!$B$3:$B$5001,F$268,BD!$A$3:$A$5001,"&gt;="&amp;$C$7,BD!$A$3:$A$5001,"&lt;="&amp;$B270,BD!$T$3:$T$5001,"&lt;&gt;"))))</f>
        <v/>
      </c>
      <c r="G270" s="54" t="str">
        <f>IF(OR($B270="",$A270&gt;$B$9,G$268=""),"",IF(COUNTIFS(BD!$B$3:$B$5001,G$268,BD!$A$3:$A$5001,"&gt;="&amp;$C$7,BD!$A$3:$A$5001,"&lt;="&amp;$B270,BD!$T$3:$T$5001,"&lt;&gt;")=0,"",SUMIFS(BD!$T$3:$T$5001,BD!$B$3:$B$5001,G$268,BD!$A$3:$A$5001,_xlfn.MAXIFS(BD!$A$3:$A$5001,BD!$B$3:$B$5001,G$268,BD!$A$3:$A$5001,"&gt;="&amp;$C$7,BD!$A$3:$A$5001,"&lt;="&amp;$B270,BD!$T$3:$T$5001,"&lt;&gt;"))))</f>
        <v/>
      </c>
      <c r="H270" s="54" t="str">
        <f>IF(OR($B270="",$A270&gt;$B$9,H$268=""),"",IF(COUNTIFS(BD!$B$3:$B$5001,H$268,BD!$A$3:$A$5001,"&gt;="&amp;$C$7,BD!$A$3:$A$5001,"&lt;="&amp;$B270,BD!$T$3:$T$5001,"&lt;&gt;")=0,"",SUMIFS(BD!$T$3:$T$5001,BD!$B$3:$B$5001,H$268,BD!$A$3:$A$5001,_xlfn.MAXIFS(BD!$A$3:$A$5001,BD!$B$3:$B$5001,H$268,BD!$A$3:$A$5001,"&gt;="&amp;$C$7,BD!$A$3:$A$5001,"&lt;="&amp;$B270,BD!$T$3:$T$5001,"&lt;&gt;"))))</f>
        <v/>
      </c>
      <c r="I270" s="54" t="str">
        <f>IF(OR($B270="",$A270&gt;$B$9,I$268=""),"",IF(COUNTIFS(BD!$B$3:$B$5001,I$268,BD!$A$3:$A$5001,"&gt;="&amp;$C$7,BD!$A$3:$A$5001,"&lt;="&amp;$B270,BD!$T$3:$T$5001,"&lt;&gt;")=0,"",SUMIFS(BD!$T$3:$T$5001,BD!$B$3:$B$5001,I$268,BD!$A$3:$A$5001,_xlfn.MAXIFS(BD!$A$3:$A$5001,BD!$B$3:$B$5001,I$268,BD!$A$3:$A$5001,"&gt;="&amp;$C$7,BD!$A$3:$A$5001,"&lt;="&amp;$B270,BD!$T$3:$T$5001,"&lt;&gt;"))))</f>
        <v/>
      </c>
      <c r="J270" s="54" t="str">
        <f>IF(OR($B270="",$A270&gt;$B$9,J$268=""),"",IF(COUNTIFS(BD!$B$3:$B$5001,J$268,BD!$A$3:$A$5001,"&gt;="&amp;$C$7,BD!$A$3:$A$5001,"&lt;="&amp;$B270,BD!$T$3:$T$5001,"&lt;&gt;")=0,"",SUMIFS(BD!$T$3:$T$5001,BD!$B$3:$B$5001,J$268,BD!$A$3:$A$5001,_xlfn.MAXIFS(BD!$A$3:$A$5001,BD!$B$3:$B$5001,J$268,BD!$A$3:$A$5001,"&gt;="&amp;$C$7,BD!$A$3:$A$5001,"&lt;="&amp;$B270,BD!$T$3:$T$5001,"&lt;&gt;"))))</f>
        <v/>
      </c>
      <c r="K270" s="54" t="str">
        <f>IF(OR($B270="",$A270&gt;$B$9,K$268=""),"",IF(COUNTIFS(BD!$B$3:$B$5001,K$268,BD!$A$3:$A$5001,"&gt;="&amp;$C$7,BD!$A$3:$A$5001,"&lt;="&amp;$B270,BD!$T$3:$T$5001,"&lt;&gt;")=0,"",SUMIFS(BD!$T$3:$T$5001,BD!$B$3:$B$5001,K$268,BD!$A$3:$A$5001,_xlfn.MAXIFS(BD!$A$3:$A$5001,BD!$B$3:$B$5001,K$268,BD!$A$3:$A$5001,"&gt;="&amp;$C$7,BD!$A$3:$A$5001,"&lt;="&amp;$B270,BD!$T$3:$T$5001,"&lt;&gt;"))))</f>
        <v/>
      </c>
      <c r="L270" s="54" t="str">
        <f>IF(OR($B270="",$A270&gt;$B$9,L$268=""),"",IF(COUNTIFS(BD!$B$3:$B$5001,L$268,BD!$A$3:$A$5001,"&gt;="&amp;$C$7,BD!$A$3:$A$5001,"&lt;="&amp;$B270,BD!$T$3:$T$5001,"&lt;&gt;")=0,"",SUMIFS(BD!$T$3:$T$5001,BD!$B$3:$B$5001,L$268,BD!$A$3:$A$5001,_xlfn.MAXIFS(BD!$A$3:$A$5001,BD!$B$3:$B$5001,L$268,BD!$A$3:$A$5001,"&gt;="&amp;$C$7,BD!$A$3:$A$5001,"&lt;="&amp;$B270,BD!$T$3:$T$5001,"&lt;&gt;"))))</f>
        <v/>
      </c>
      <c r="M270" s="54" t="str">
        <f>IF(OR($B270="",$A270&gt;$B$9,M$268=""),"",IF(COUNTIFS(BD!$B$3:$B$5001,M$268,BD!$A$3:$A$5001,"&gt;="&amp;$C$7,BD!$A$3:$A$5001,"&lt;="&amp;$B270,BD!$T$3:$T$5001,"&lt;&gt;")=0,"",SUMIFS(BD!$T$3:$T$5001,BD!$B$3:$B$5001,M$268,BD!$A$3:$A$5001,_xlfn.MAXIFS(BD!$A$3:$A$5001,BD!$B$3:$B$5001,M$268,BD!$A$3:$A$5001,"&gt;="&amp;$C$7,BD!$A$3:$A$5001,"&lt;="&amp;$B270,BD!$T$3:$T$5001,"&lt;&gt;"))))</f>
        <v/>
      </c>
      <c r="N270" s="54" t="str">
        <f>IF(OR($B270="",$A270&gt;$B$9,N$268=""),"",IF(COUNTIFS(BD!$B$3:$B$5001,N$268,BD!$A$3:$A$5001,"&gt;="&amp;$C$7,BD!$A$3:$A$5001,"&lt;="&amp;$B270,BD!$T$3:$T$5001,"&lt;&gt;")=0,"",SUMIFS(BD!$T$3:$T$5001,BD!$B$3:$B$5001,N$268,BD!$A$3:$A$5001,_xlfn.MAXIFS(BD!$A$3:$A$5001,BD!$B$3:$B$5001,N$268,BD!$A$3:$A$5001,"&gt;="&amp;$C$7,BD!$A$3:$A$5001,"&lt;="&amp;$B270,BD!$T$3:$T$5001,"&lt;&gt;"))))</f>
        <v/>
      </c>
      <c r="O270" s="54" t="str">
        <f>IF(OR($B270="",$A270&gt;$B$9,O$268=""),"",IF(COUNTIFS(BD!$B$3:$B$5001,O$268,BD!$A$3:$A$5001,"&gt;="&amp;$C$7,BD!$A$3:$A$5001,"&lt;="&amp;$B270,BD!$T$3:$T$5001,"&lt;&gt;")=0,"",SUMIFS(BD!$T$3:$T$5001,BD!$B$3:$B$5001,O$268,BD!$A$3:$A$5001,_xlfn.MAXIFS(BD!$A$3:$A$5001,BD!$B$3:$B$5001,O$268,BD!$A$3:$A$5001,"&gt;="&amp;$C$7,BD!$A$3:$A$5001,"&lt;="&amp;$B270,BD!$T$3:$T$5001,"&lt;&gt;"))))</f>
        <v/>
      </c>
      <c r="P270" s="54" t="str">
        <f>IF(OR($B270="",$A270&gt;$B$9,P$268=""),"",IF(COUNTIFS(BD!$B$3:$B$5001,P$268,BD!$A$3:$A$5001,"&gt;="&amp;$C$7,BD!$A$3:$A$5001,"&lt;="&amp;$B270,BD!$T$3:$T$5001,"&lt;&gt;")=0,"",SUMIFS(BD!$T$3:$T$5001,BD!$B$3:$B$5001,P$268,BD!$A$3:$A$5001,_xlfn.MAXIFS(BD!$A$3:$A$5001,BD!$B$3:$B$5001,P$268,BD!$A$3:$A$5001,"&gt;="&amp;$C$7,BD!$A$3:$A$5001,"&lt;="&amp;$B270,BD!$T$3:$T$5001,"&lt;&gt;"))))</f>
        <v/>
      </c>
      <c r="Q270" s="54" t="str">
        <f>IF(OR($B270="",$A270&gt;$B$9,Q$268=""),"",IF(COUNTIFS(BD!$B$3:$B$5001,Q$268,BD!$A$3:$A$5001,"&gt;="&amp;$C$7,BD!$A$3:$A$5001,"&lt;="&amp;$B270,BD!$T$3:$T$5001,"&lt;&gt;")=0,"",SUMIFS(BD!$T$3:$T$5001,BD!$B$3:$B$5001,Q$268,BD!$A$3:$A$5001,_xlfn.MAXIFS(BD!$A$3:$A$5001,BD!$B$3:$B$5001,Q$268,BD!$A$3:$A$5001,"&gt;="&amp;$C$7,BD!$A$3:$A$5001,"&lt;="&amp;$B270,BD!$T$3:$T$5001,"&lt;&gt;"))))</f>
        <v/>
      </c>
      <c r="R270" s="54" t="str">
        <f>IF(OR($B270="",$A270&gt;$B$9,R$268=""),"",IF(COUNTIFS(BD!$B$3:$B$5001,R$268,BD!$A$3:$A$5001,"&gt;="&amp;$C$7,BD!$A$3:$A$5001,"&lt;="&amp;$B270,BD!$T$3:$T$5001,"&lt;&gt;")=0,"",SUMIFS(BD!$T$3:$T$5001,BD!$B$3:$B$5001,R$268,BD!$A$3:$A$5001,_xlfn.MAXIFS(BD!$A$3:$A$5001,BD!$B$3:$B$5001,R$268,BD!$A$3:$A$5001,"&gt;="&amp;$C$7,BD!$A$3:$A$5001,"&lt;="&amp;$B270,BD!$T$3:$T$5001,"&lt;&gt;"))))</f>
        <v/>
      </c>
      <c r="S270" s="54" t="str">
        <f>IF(OR($B270="",$A270&gt;$B$9,S$268=""),"",IF(COUNTIFS(BD!$B$3:$B$5001,S$268,BD!$A$3:$A$5001,"&gt;="&amp;$C$7,BD!$A$3:$A$5001,"&lt;="&amp;$B270,BD!$T$3:$T$5001,"&lt;&gt;")=0,"",SUMIFS(BD!$T$3:$T$5001,BD!$B$3:$B$5001,S$268,BD!$A$3:$A$5001,_xlfn.MAXIFS(BD!$A$3:$A$5001,BD!$B$3:$B$5001,S$268,BD!$A$3:$A$5001,"&gt;="&amp;$C$7,BD!$A$3:$A$5001,"&lt;="&amp;$B270,BD!$T$3:$T$5001,"&lt;&gt;"))))</f>
        <v/>
      </c>
      <c r="T270" s="54" t="str">
        <f>IF(OR($B270="",$A270&gt;$B$9,T$268=""),"",IF(COUNTIFS(BD!$B$3:$B$5001,T$268,BD!$A$3:$A$5001,"&gt;="&amp;$C$7,BD!$A$3:$A$5001,"&lt;="&amp;$B270,BD!$T$3:$T$5001,"&lt;&gt;")=0,"",SUMIFS(BD!$T$3:$T$5001,BD!$B$3:$B$5001,T$268,BD!$A$3:$A$5001,_xlfn.MAXIFS(BD!$A$3:$A$5001,BD!$B$3:$B$5001,T$268,BD!$A$3:$A$5001,"&gt;="&amp;$C$7,BD!$A$3:$A$5001,"&lt;="&amp;$B270,BD!$T$3:$T$5001,"&lt;&gt;"))))</f>
        <v/>
      </c>
      <c r="U270" s="54" t="str">
        <f>IF(OR($B270="",$A270&gt;$B$9,U$268=""),"",IF(COUNTIFS(BD!$B$3:$B$5001,U$268,BD!$A$3:$A$5001,"&gt;="&amp;$C$7,BD!$A$3:$A$5001,"&lt;="&amp;$B270,BD!$T$3:$T$5001,"&lt;&gt;")=0,"",SUMIFS(BD!$T$3:$T$5001,BD!$B$3:$B$5001,U$268,BD!$A$3:$A$5001,_xlfn.MAXIFS(BD!$A$3:$A$5001,BD!$B$3:$B$5001,U$268,BD!$A$3:$A$5001,"&gt;="&amp;$C$7,BD!$A$3:$A$5001,"&lt;="&amp;$B270,BD!$T$3:$T$5001,"&lt;&gt;"))))</f>
        <v/>
      </c>
      <c r="V270" s="54" t="str">
        <f>IF(OR($B270="",$A270&gt;$B$9,V$268=""),"",IF(COUNTIFS(BD!$B$3:$B$5001,V$268,BD!$A$3:$A$5001,"&gt;="&amp;$C$7,BD!$A$3:$A$5001,"&lt;="&amp;$B270,BD!$T$3:$T$5001,"&lt;&gt;")=0,"",SUMIFS(BD!$T$3:$T$5001,BD!$B$3:$B$5001,V$268,BD!$A$3:$A$5001,_xlfn.MAXIFS(BD!$A$3:$A$5001,BD!$B$3:$B$5001,V$268,BD!$A$3:$A$5001,"&gt;="&amp;$C$7,BD!$A$3:$A$5001,"&lt;="&amp;$B270,BD!$T$3:$T$5001,"&lt;&gt;"))))</f>
        <v/>
      </c>
    </row>
    <row r="271">
      <c r="A271" s="48">
        <v>3</v>
      </c>
      <c r="B271" s="53">
        <f>$B$14</f>
        <v>46298</v>
      </c>
      <c r="C271" s="54" t="str">
        <f>IF(OR($B271="",$A271&gt;$B$9,C$268=""),"",IF(COUNTIFS(BD!$B$3:$B$5001,C$268,BD!$A$3:$A$5001,"&gt;="&amp;$C$7,BD!$A$3:$A$5001,"&lt;="&amp;$B271,BD!$T$3:$T$5001,"&lt;&gt;")=0,"",SUMIFS(BD!$T$3:$T$5001,BD!$B$3:$B$5001,C$268,BD!$A$3:$A$5001,_xlfn.MAXIFS(BD!$A$3:$A$5001,BD!$B$3:$B$5001,C$268,BD!$A$3:$A$5001,"&gt;="&amp;$C$7,BD!$A$3:$A$5001,"&lt;="&amp;$B271,BD!$T$3:$T$5001,"&lt;&gt;"))))</f>
        <v/>
      </c>
      <c r="D271" s="54" t="str">
        <f>IF(OR($B271="",$A271&gt;$B$9,D$268=""),"",IF(COUNTIFS(BD!$B$3:$B$5001,D$268,BD!$A$3:$A$5001,"&gt;="&amp;$C$7,BD!$A$3:$A$5001,"&lt;="&amp;$B271,BD!$T$3:$T$5001,"&lt;&gt;")=0,"",SUMIFS(BD!$T$3:$T$5001,BD!$B$3:$B$5001,D$268,BD!$A$3:$A$5001,_xlfn.MAXIFS(BD!$A$3:$A$5001,BD!$B$3:$B$5001,D$268,BD!$A$3:$A$5001,"&gt;="&amp;$C$7,BD!$A$3:$A$5001,"&lt;="&amp;$B271,BD!$T$3:$T$5001,"&lt;&gt;"))))</f>
        <v/>
      </c>
      <c r="E271" s="54" t="str">
        <f>IF(OR($B271="",$A271&gt;$B$9,E$268=""),"",IF(COUNTIFS(BD!$B$3:$B$5001,E$268,BD!$A$3:$A$5001,"&gt;="&amp;$C$7,BD!$A$3:$A$5001,"&lt;="&amp;$B271,BD!$T$3:$T$5001,"&lt;&gt;")=0,"",SUMIFS(BD!$T$3:$T$5001,BD!$B$3:$B$5001,E$268,BD!$A$3:$A$5001,_xlfn.MAXIFS(BD!$A$3:$A$5001,BD!$B$3:$B$5001,E$268,BD!$A$3:$A$5001,"&gt;="&amp;$C$7,BD!$A$3:$A$5001,"&lt;="&amp;$B271,BD!$T$3:$T$5001,"&lt;&gt;"))))</f>
        <v/>
      </c>
      <c r="F271" s="54" t="str">
        <f>IF(OR($B271="",$A271&gt;$B$9,F$268=""),"",IF(COUNTIFS(BD!$B$3:$B$5001,F$268,BD!$A$3:$A$5001,"&gt;="&amp;$C$7,BD!$A$3:$A$5001,"&lt;="&amp;$B271,BD!$T$3:$T$5001,"&lt;&gt;")=0,"",SUMIFS(BD!$T$3:$T$5001,BD!$B$3:$B$5001,F$268,BD!$A$3:$A$5001,_xlfn.MAXIFS(BD!$A$3:$A$5001,BD!$B$3:$B$5001,F$268,BD!$A$3:$A$5001,"&gt;="&amp;$C$7,BD!$A$3:$A$5001,"&lt;="&amp;$B271,BD!$T$3:$T$5001,"&lt;&gt;"))))</f>
        <v/>
      </c>
      <c r="G271" s="54" t="str">
        <f>IF(OR($B271="",$A271&gt;$B$9,G$268=""),"",IF(COUNTIFS(BD!$B$3:$B$5001,G$268,BD!$A$3:$A$5001,"&gt;="&amp;$C$7,BD!$A$3:$A$5001,"&lt;="&amp;$B271,BD!$T$3:$T$5001,"&lt;&gt;")=0,"",SUMIFS(BD!$T$3:$T$5001,BD!$B$3:$B$5001,G$268,BD!$A$3:$A$5001,_xlfn.MAXIFS(BD!$A$3:$A$5001,BD!$B$3:$B$5001,G$268,BD!$A$3:$A$5001,"&gt;="&amp;$C$7,BD!$A$3:$A$5001,"&lt;="&amp;$B271,BD!$T$3:$T$5001,"&lt;&gt;"))))</f>
        <v/>
      </c>
      <c r="H271" s="54" t="str">
        <f>IF(OR($B271="",$A271&gt;$B$9,H$268=""),"",IF(COUNTIFS(BD!$B$3:$B$5001,H$268,BD!$A$3:$A$5001,"&gt;="&amp;$C$7,BD!$A$3:$A$5001,"&lt;="&amp;$B271,BD!$T$3:$T$5001,"&lt;&gt;")=0,"",SUMIFS(BD!$T$3:$T$5001,BD!$B$3:$B$5001,H$268,BD!$A$3:$A$5001,_xlfn.MAXIFS(BD!$A$3:$A$5001,BD!$B$3:$B$5001,H$268,BD!$A$3:$A$5001,"&gt;="&amp;$C$7,BD!$A$3:$A$5001,"&lt;="&amp;$B271,BD!$T$3:$T$5001,"&lt;&gt;"))))</f>
        <v/>
      </c>
      <c r="I271" s="54" t="str">
        <f>IF(OR($B271="",$A271&gt;$B$9,I$268=""),"",IF(COUNTIFS(BD!$B$3:$B$5001,I$268,BD!$A$3:$A$5001,"&gt;="&amp;$C$7,BD!$A$3:$A$5001,"&lt;="&amp;$B271,BD!$T$3:$T$5001,"&lt;&gt;")=0,"",SUMIFS(BD!$T$3:$T$5001,BD!$B$3:$B$5001,I$268,BD!$A$3:$A$5001,_xlfn.MAXIFS(BD!$A$3:$A$5001,BD!$B$3:$B$5001,I$268,BD!$A$3:$A$5001,"&gt;="&amp;$C$7,BD!$A$3:$A$5001,"&lt;="&amp;$B271,BD!$T$3:$T$5001,"&lt;&gt;"))))</f>
        <v/>
      </c>
      <c r="J271" s="54" t="str">
        <f>IF(OR($B271="",$A271&gt;$B$9,J$268=""),"",IF(COUNTIFS(BD!$B$3:$B$5001,J$268,BD!$A$3:$A$5001,"&gt;="&amp;$C$7,BD!$A$3:$A$5001,"&lt;="&amp;$B271,BD!$T$3:$T$5001,"&lt;&gt;")=0,"",SUMIFS(BD!$T$3:$T$5001,BD!$B$3:$B$5001,J$268,BD!$A$3:$A$5001,_xlfn.MAXIFS(BD!$A$3:$A$5001,BD!$B$3:$B$5001,J$268,BD!$A$3:$A$5001,"&gt;="&amp;$C$7,BD!$A$3:$A$5001,"&lt;="&amp;$B271,BD!$T$3:$T$5001,"&lt;&gt;"))))</f>
        <v/>
      </c>
      <c r="K271" s="54" t="str">
        <f>IF(OR($B271="",$A271&gt;$B$9,K$268=""),"",IF(COUNTIFS(BD!$B$3:$B$5001,K$268,BD!$A$3:$A$5001,"&gt;="&amp;$C$7,BD!$A$3:$A$5001,"&lt;="&amp;$B271,BD!$T$3:$T$5001,"&lt;&gt;")=0,"",SUMIFS(BD!$T$3:$T$5001,BD!$B$3:$B$5001,K$268,BD!$A$3:$A$5001,_xlfn.MAXIFS(BD!$A$3:$A$5001,BD!$B$3:$B$5001,K$268,BD!$A$3:$A$5001,"&gt;="&amp;$C$7,BD!$A$3:$A$5001,"&lt;="&amp;$B271,BD!$T$3:$T$5001,"&lt;&gt;"))))</f>
        <v/>
      </c>
      <c r="L271" s="54" t="str">
        <f>IF(OR($B271="",$A271&gt;$B$9,L$268=""),"",IF(COUNTIFS(BD!$B$3:$B$5001,L$268,BD!$A$3:$A$5001,"&gt;="&amp;$C$7,BD!$A$3:$A$5001,"&lt;="&amp;$B271,BD!$T$3:$T$5001,"&lt;&gt;")=0,"",SUMIFS(BD!$T$3:$T$5001,BD!$B$3:$B$5001,L$268,BD!$A$3:$A$5001,_xlfn.MAXIFS(BD!$A$3:$A$5001,BD!$B$3:$B$5001,L$268,BD!$A$3:$A$5001,"&gt;="&amp;$C$7,BD!$A$3:$A$5001,"&lt;="&amp;$B271,BD!$T$3:$T$5001,"&lt;&gt;"))))</f>
        <v/>
      </c>
      <c r="M271" s="54" t="str">
        <f>IF(OR($B271="",$A271&gt;$B$9,M$268=""),"",IF(COUNTIFS(BD!$B$3:$B$5001,M$268,BD!$A$3:$A$5001,"&gt;="&amp;$C$7,BD!$A$3:$A$5001,"&lt;="&amp;$B271,BD!$T$3:$T$5001,"&lt;&gt;")=0,"",SUMIFS(BD!$T$3:$T$5001,BD!$B$3:$B$5001,M$268,BD!$A$3:$A$5001,_xlfn.MAXIFS(BD!$A$3:$A$5001,BD!$B$3:$B$5001,M$268,BD!$A$3:$A$5001,"&gt;="&amp;$C$7,BD!$A$3:$A$5001,"&lt;="&amp;$B271,BD!$T$3:$T$5001,"&lt;&gt;"))))</f>
        <v/>
      </c>
      <c r="N271" s="54" t="str">
        <f>IF(OR($B271="",$A271&gt;$B$9,N$268=""),"",IF(COUNTIFS(BD!$B$3:$B$5001,N$268,BD!$A$3:$A$5001,"&gt;="&amp;$C$7,BD!$A$3:$A$5001,"&lt;="&amp;$B271,BD!$T$3:$T$5001,"&lt;&gt;")=0,"",SUMIFS(BD!$T$3:$T$5001,BD!$B$3:$B$5001,N$268,BD!$A$3:$A$5001,_xlfn.MAXIFS(BD!$A$3:$A$5001,BD!$B$3:$B$5001,N$268,BD!$A$3:$A$5001,"&gt;="&amp;$C$7,BD!$A$3:$A$5001,"&lt;="&amp;$B271,BD!$T$3:$T$5001,"&lt;&gt;"))))</f>
        <v/>
      </c>
      <c r="O271" s="54" t="str">
        <f>IF(OR($B271="",$A271&gt;$B$9,O$268=""),"",IF(COUNTIFS(BD!$B$3:$B$5001,O$268,BD!$A$3:$A$5001,"&gt;="&amp;$C$7,BD!$A$3:$A$5001,"&lt;="&amp;$B271,BD!$T$3:$T$5001,"&lt;&gt;")=0,"",SUMIFS(BD!$T$3:$T$5001,BD!$B$3:$B$5001,O$268,BD!$A$3:$A$5001,_xlfn.MAXIFS(BD!$A$3:$A$5001,BD!$B$3:$B$5001,O$268,BD!$A$3:$A$5001,"&gt;="&amp;$C$7,BD!$A$3:$A$5001,"&lt;="&amp;$B271,BD!$T$3:$T$5001,"&lt;&gt;"))))</f>
        <v/>
      </c>
      <c r="P271" s="54" t="str">
        <f>IF(OR($B271="",$A271&gt;$B$9,P$268=""),"",IF(COUNTIFS(BD!$B$3:$B$5001,P$268,BD!$A$3:$A$5001,"&gt;="&amp;$C$7,BD!$A$3:$A$5001,"&lt;="&amp;$B271,BD!$T$3:$T$5001,"&lt;&gt;")=0,"",SUMIFS(BD!$T$3:$T$5001,BD!$B$3:$B$5001,P$268,BD!$A$3:$A$5001,_xlfn.MAXIFS(BD!$A$3:$A$5001,BD!$B$3:$B$5001,P$268,BD!$A$3:$A$5001,"&gt;="&amp;$C$7,BD!$A$3:$A$5001,"&lt;="&amp;$B271,BD!$T$3:$T$5001,"&lt;&gt;"))))</f>
        <v/>
      </c>
      <c r="Q271" s="54" t="str">
        <f>IF(OR($B271="",$A271&gt;$B$9,Q$268=""),"",IF(COUNTIFS(BD!$B$3:$B$5001,Q$268,BD!$A$3:$A$5001,"&gt;="&amp;$C$7,BD!$A$3:$A$5001,"&lt;="&amp;$B271,BD!$T$3:$T$5001,"&lt;&gt;")=0,"",SUMIFS(BD!$T$3:$T$5001,BD!$B$3:$B$5001,Q$268,BD!$A$3:$A$5001,_xlfn.MAXIFS(BD!$A$3:$A$5001,BD!$B$3:$B$5001,Q$268,BD!$A$3:$A$5001,"&gt;="&amp;$C$7,BD!$A$3:$A$5001,"&lt;="&amp;$B271,BD!$T$3:$T$5001,"&lt;&gt;"))))</f>
        <v/>
      </c>
      <c r="R271" s="54" t="str">
        <f>IF(OR($B271="",$A271&gt;$B$9,R$268=""),"",IF(COUNTIFS(BD!$B$3:$B$5001,R$268,BD!$A$3:$A$5001,"&gt;="&amp;$C$7,BD!$A$3:$A$5001,"&lt;="&amp;$B271,BD!$T$3:$T$5001,"&lt;&gt;")=0,"",SUMIFS(BD!$T$3:$T$5001,BD!$B$3:$B$5001,R$268,BD!$A$3:$A$5001,_xlfn.MAXIFS(BD!$A$3:$A$5001,BD!$B$3:$B$5001,R$268,BD!$A$3:$A$5001,"&gt;="&amp;$C$7,BD!$A$3:$A$5001,"&lt;="&amp;$B271,BD!$T$3:$T$5001,"&lt;&gt;"))))</f>
        <v/>
      </c>
      <c r="S271" s="54" t="str">
        <f>IF(OR($B271="",$A271&gt;$B$9,S$268=""),"",IF(COUNTIFS(BD!$B$3:$B$5001,S$268,BD!$A$3:$A$5001,"&gt;="&amp;$C$7,BD!$A$3:$A$5001,"&lt;="&amp;$B271,BD!$T$3:$T$5001,"&lt;&gt;")=0,"",SUMIFS(BD!$T$3:$T$5001,BD!$B$3:$B$5001,S$268,BD!$A$3:$A$5001,_xlfn.MAXIFS(BD!$A$3:$A$5001,BD!$B$3:$B$5001,S$268,BD!$A$3:$A$5001,"&gt;="&amp;$C$7,BD!$A$3:$A$5001,"&lt;="&amp;$B271,BD!$T$3:$T$5001,"&lt;&gt;"))))</f>
        <v/>
      </c>
      <c r="T271" s="54" t="str">
        <f>IF(OR($B271="",$A271&gt;$B$9,T$268=""),"",IF(COUNTIFS(BD!$B$3:$B$5001,T$268,BD!$A$3:$A$5001,"&gt;="&amp;$C$7,BD!$A$3:$A$5001,"&lt;="&amp;$B271,BD!$T$3:$T$5001,"&lt;&gt;")=0,"",SUMIFS(BD!$T$3:$T$5001,BD!$B$3:$B$5001,T$268,BD!$A$3:$A$5001,_xlfn.MAXIFS(BD!$A$3:$A$5001,BD!$B$3:$B$5001,T$268,BD!$A$3:$A$5001,"&gt;="&amp;$C$7,BD!$A$3:$A$5001,"&lt;="&amp;$B271,BD!$T$3:$T$5001,"&lt;&gt;"))))</f>
        <v/>
      </c>
      <c r="U271" s="54" t="str">
        <f>IF(OR($B271="",$A271&gt;$B$9,U$268=""),"",IF(COUNTIFS(BD!$B$3:$B$5001,U$268,BD!$A$3:$A$5001,"&gt;="&amp;$C$7,BD!$A$3:$A$5001,"&lt;="&amp;$B271,BD!$T$3:$T$5001,"&lt;&gt;")=0,"",SUMIFS(BD!$T$3:$T$5001,BD!$B$3:$B$5001,U$268,BD!$A$3:$A$5001,_xlfn.MAXIFS(BD!$A$3:$A$5001,BD!$B$3:$B$5001,U$268,BD!$A$3:$A$5001,"&gt;="&amp;$C$7,BD!$A$3:$A$5001,"&lt;="&amp;$B271,BD!$T$3:$T$5001,"&lt;&gt;"))))</f>
        <v/>
      </c>
      <c r="V271" s="54" t="str">
        <f>IF(OR($B271="",$A271&gt;$B$9,V$268=""),"",IF(COUNTIFS(BD!$B$3:$B$5001,V$268,BD!$A$3:$A$5001,"&gt;="&amp;$C$7,BD!$A$3:$A$5001,"&lt;="&amp;$B271,BD!$T$3:$T$5001,"&lt;&gt;")=0,"",SUMIFS(BD!$T$3:$T$5001,BD!$B$3:$B$5001,V$268,BD!$A$3:$A$5001,_xlfn.MAXIFS(BD!$A$3:$A$5001,BD!$B$3:$B$5001,V$268,BD!$A$3:$A$5001,"&gt;="&amp;$C$7,BD!$A$3:$A$5001,"&lt;="&amp;$B271,BD!$T$3:$T$5001,"&lt;&gt;"))))</f>
        <v/>
      </c>
    </row>
    <row r="272">
      <c r="A272" s="48">
        <v>4</v>
      </c>
      <c r="B272" s="53">
        <f>$B$15</f>
        <v>46299</v>
      </c>
      <c r="C272" s="54" t="str">
        <f>IF(OR($B272="",$A272&gt;$B$9,C$268=""),"",IF(COUNTIFS(BD!$B$3:$B$5001,C$268,BD!$A$3:$A$5001,"&gt;="&amp;$C$7,BD!$A$3:$A$5001,"&lt;="&amp;$B272,BD!$T$3:$T$5001,"&lt;&gt;")=0,"",SUMIFS(BD!$T$3:$T$5001,BD!$B$3:$B$5001,C$268,BD!$A$3:$A$5001,_xlfn.MAXIFS(BD!$A$3:$A$5001,BD!$B$3:$B$5001,C$268,BD!$A$3:$A$5001,"&gt;="&amp;$C$7,BD!$A$3:$A$5001,"&lt;="&amp;$B272,BD!$T$3:$T$5001,"&lt;&gt;"))))</f>
        <v/>
      </c>
      <c r="D272" s="54" t="str">
        <f>IF(OR($B272="",$A272&gt;$B$9,D$268=""),"",IF(COUNTIFS(BD!$B$3:$B$5001,D$268,BD!$A$3:$A$5001,"&gt;="&amp;$C$7,BD!$A$3:$A$5001,"&lt;="&amp;$B272,BD!$T$3:$T$5001,"&lt;&gt;")=0,"",SUMIFS(BD!$T$3:$T$5001,BD!$B$3:$B$5001,D$268,BD!$A$3:$A$5001,_xlfn.MAXIFS(BD!$A$3:$A$5001,BD!$B$3:$B$5001,D$268,BD!$A$3:$A$5001,"&gt;="&amp;$C$7,BD!$A$3:$A$5001,"&lt;="&amp;$B272,BD!$T$3:$T$5001,"&lt;&gt;"))))</f>
        <v/>
      </c>
      <c r="E272" s="54" t="str">
        <f>IF(OR($B272="",$A272&gt;$B$9,E$268=""),"",IF(COUNTIFS(BD!$B$3:$B$5001,E$268,BD!$A$3:$A$5001,"&gt;="&amp;$C$7,BD!$A$3:$A$5001,"&lt;="&amp;$B272,BD!$T$3:$T$5001,"&lt;&gt;")=0,"",SUMIFS(BD!$T$3:$T$5001,BD!$B$3:$B$5001,E$268,BD!$A$3:$A$5001,_xlfn.MAXIFS(BD!$A$3:$A$5001,BD!$B$3:$B$5001,E$268,BD!$A$3:$A$5001,"&gt;="&amp;$C$7,BD!$A$3:$A$5001,"&lt;="&amp;$B272,BD!$T$3:$T$5001,"&lt;&gt;"))))</f>
        <v/>
      </c>
      <c r="F272" s="54" t="str">
        <f>IF(OR($B272="",$A272&gt;$B$9,F$268=""),"",IF(COUNTIFS(BD!$B$3:$B$5001,F$268,BD!$A$3:$A$5001,"&gt;="&amp;$C$7,BD!$A$3:$A$5001,"&lt;="&amp;$B272,BD!$T$3:$T$5001,"&lt;&gt;")=0,"",SUMIFS(BD!$T$3:$T$5001,BD!$B$3:$B$5001,F$268,BD!$A$3:$A$5001,_xlfn.MAXIFS(BD!$A$3:$A$5001,BD!$B$3:$B$5001,F$268,BD!$A$3:$A$5001,"&gt;="&amp;$C$7,BD!$A$3:$A$5001,"&lt;="&amp;$B272,BD!$T$3:$T$5001,"&lt;&gt;"))))</f>
        <v/>
      </c>
      <c r="G272" s="54" t="str">
        <f>IF(OR($B272="",$A272&gt;$B$9,G$268=""),"",IF(COUNTIFS(BD!$B$3:$B$5001,G$268,BD!$A$3:$A$5001,"&gt;="&amp;$C$7,BD!$A$3:$A$5001,"&lt;="&amp;$B272,BD!$T$3:$T$5001,"&lt;&gt;")=0,"",SUMIFS(BD!$T$3:$T$5001,BD!$B$3:$B$5001,G$268,BD!$A$3:$A$5001,_xlfn.MAXIFS(BD!$A$3:$A$5001,BD!$B$3:$B$5001,G$268,BD!$A$3:$A$5001,"&gt;="&amp;$C$7,BD!$A$3:$A$5001,"&lt;="&amp;$B272,BD!$T$3:$T$5001,"&lt;&gt;"))))</f>
        <v/>
      </c>
      <c r="H272" s="54" t="str">
        <f>IF(OR($B272="",$A272&gt;$B$9,H$268=""),"",IF(COUNTIFS(BD!$B$3:$B$5001,H$268,BD!$A$3:$A$5001,"&gt;="&amp;$C$7,BD!$A$3:$A$5001,"&lt;="&amp;$B272,BD!$T$3:$T$5001,"&lt;&gt;")=0,"",SUMIFS(BD!$T$3:$T$5001,BD!$B$3:$B$5001,H$268,BD!$A$3:$A$5001,_xlfn.MAXIFS(BD!$A$3:$A$5001,BD!$B$3:$B$5001,H$268,BD!$A$3:$A$5001,"&gt;="&amp;$C$7,BD!$A$3:$A$5001,"&lt;="&amp;$B272,BD!$T$3:$T$5001,"&lt;&gt;"))))</f>
        <v/>
      </c>
      <c r="I272" s="54" t="str">
        <f>IF(OR($B272="",$A272&gt;$B$9,I$268=""),"",IF(COUNTIFS(BD!$B$3:$B$5001,I$268,BD!$A$3:$A$5001,"&gt;="&amp;$C$7,BD!$A$3:$A$5001,"&lt;="&amp;$B272,BD!$T$3:$T$5001,"&lt;&gt;")=0,"",SUMIFS(BD!$T$3:$T$5001,BD!$B$3:$B$5001,I$268,BD!$A$3:$A$5001,_xlfn.MAXIFS(BD!$A$3:$A$5001,BD!$B$3:$B$5001,I$268,BD!$A$3:$A$5001,"&gt;="&amp;$C$7,BD!$A$3:$A$5001,"&lt;="&amp;$B272,BD!$T$3:$T$5001,"&lt;&gt;"))))</f>
        <v/>
      </c>
      <c r="J272" s="54" t="str">
        <f>IF(OR($B272="",$A272&gt;$B$9,J$268=""),"",IF(COUNTIFS(BD!$B$3:$B$5001,J$268,BD!$A$3:$A$5001,"&gt;="&amp;$C$7,BD!$A$3:$A$5001,"&lt;="&amp;$B272,BD!$T$3:$T$5001,"&lt;&gt;")=0,"",SUMIFS(BD!$T$3:$T$5001,BD!$B$3:$B$5001,J$268,BD!$A$3:$A$5001,_xlfn.MAXIFS(BD!$A$3:$A$5001,BD!$B$3:$B$5001,J$268,BD!$A$3:$A$5001,"&gt;="&amp;$C$7,BD!$A$3:$A$5001,"&lt;="&amp;$B272,BD!$T$3:$T$5001,"&lt;&gt;"))))</f>
        <v/>
      </c>
      <c r="K272" s="54" t="str">
        <f>IF(OR($B272="",$A272&gt;$B$9,K$268=""),"",IF(COUNTIFS(BD!$B$3:$B$5001,K$268,BD!$A$3:$A$5001,"&gt;="&amp;$C$7,BD!$A$3:$A$5001,"&lt;="&amp;$B272,BD!$T$3:$T$5001,"&lt;&gt;")=0,"",SUMIFS(BD!$T$3:$T$5001,BD!$B$3:$B$5001,K$268,BD!$A$3:$A$5001,_xlfn.MAXIFS(BD!$A$3:$A$5001,BD!$B$3:$B$5001,K$268,BD!$A$3:$A$5001,"&gt;="&amp;$C$7,BD!$A$3:$A$5001,"&lt;="&amp;$B272,BD!$T$3:$T$5001,"&lt;&gt;"))))</f>
        <v/>
      </c>
      <c r="L272" s="54" t="str">
        <f>IF(OR($B272="",$A272&gt;$B$9,L$268=""),"",IF(COUNTIFS(BD!$B$3:$B$5001,L$268,BD!$A$3:$A$5001,"&gt;="&amp;$C$7,BD!$A$3:$A$5001,"&lt;="&amp;$B272,BD!$T$3:$T$5001,"&lt;&gt;")=0,"",SUMIFS(BD!$T$3:$T$5001,BD!$B$3:$B$5001,L$268,BD!$A$3:$A$5001,_xlfn.MAXIFS(BD!$A$3:$A$5001,BD!$B$3:$B$5001,L$268,BD!$A$3:$A$5001,"&gt;="&amp;$C$7,BD!$A$3:$A$5001,"&lt;="&amp;$B272,BD!$T$3:$T$5001,"&lt;&gt;"))))</f>
        <v/>
      </c>
      <c r="M272" s="54" t="str">
        <f>IF(OR($B272="",$A272&gt;$B$9,M$268=""),"",IF(COUNTIFS(BD!$B$3:$B$5001,M$268,BD!$A$3:$A$5001,"&gt;="&amp;$C$7,BD!$A$3:$A$5001,"&lt;="&amp;$B272,BD!$T$3:$T$5001,"&lt;&gt;")=0,"",SUMIFS(BD!$T$3:$T$5001,BD!$B$3:$B$5001,M$268,BD!$A$3:$A$5001,_xlfn.MAXIFS(BD!$A$3:$A$5001,BD!$B$3:$B$5001,M$268,BD!$A$3:$A$5001,"&gt;="&amp;$C$7,BD!$A$3:$A$5001,"&lt;="&amp;$B272,BD!$T$3:$T$5001,"&lt;&gt;"))))</f>
        <v/>
      </c>
      <c r="N272" s="54" t="str">
        <f>IF(OR($B272="",$A272&gt;$B$9,N$268=""),"",IF(COUNTIFS(BD!$B$3:$B$5001,N$268,BD!$A$3:$A$5001,"&gt;="&amp;$C$7,BD!$A$3:$A$5001,"&lt;="&amp;$B272,BD!$T$3:$T$5001,"&lt;&gt;")=0,"",SUMIFS(BD!$T$3:$T$5001,BD!$B$3:$B$5001,N$268,BD!$A$3:$A$5001,_xlfn.MAXIFS(BD!$A$3:$A$5001,BD!$B$3:$B$5001,N$268,BD!$A$3:$A$5001,"&gt;="&amp;$C$7,BD!$A$3:$A$5001,"&lt;="&amp;$B272,BD!$T$3:$T$5001,"&lt;&gt;"))))</f>
        <v/>
      </c>
      <c r="O272" s="54" t="str">
        <f>IF(OR($B272="",$A272&gt;$B$9,O$268=""),"",IF(COUNTIFS(BD!$B$3:$B$5001,O$268,BD!$A$3:$A$5001,"&gt;="&amp;$C$7,BD!$A$3:$A$5001,"&lt;="&amp;$B272,BD!$T$3:$T$5001,"&lt;&gt;")=0,"",SUMIFS(BD!$T$3:$T$5001,BD!$B$3:$B$5001,O$268,BD!$A$3:$A$5001,_xlfn.MAXIFS(BD!$A$3:$A$5001,BD!$B$3:$B$5001,O$268,BD!$A$3:$A$5001,"&gt;="&amp;$C$7,BD!$A$3:$A$5001,"&lt;="&amp;$B272,BD!$T$3:$T$5001,"&lt;&gt;"))))</f>
        <v/>
      </c>
      <c r="P272" s="54" t="str">
        <f>IF(OR($B272="",$A272&gt;$B$9,P$268=""),"",IF(COUNTIFS(BD!$B$3:$B$5001,P$268,BD!$A$3:$A$5001,"&gt;="&amp;$C$7,BD!$A$3:$A$5001,"&lt;="&amp;$B272,BD!$T$3:$T$5001,"&lt;&gt;")=0,"",SUMIFS(BD!$T$3:$T$5001,BD!$B$3:$B$5001,P$268,BD!$A$3:$A$5001,_xlfn.MAXIFS(BD!$A$3:$A$5001,BD!$B$3:$B$5001,P$268,BD!$A$3:$A$5001,"&gt;="&amp;$C$7,BD!$A$3:$A$5001,"&lt;="&amp;$B272,BD!$T$3:$T$5001,"&lt;&gt;"))))</f>
        <v/>
      </c>
      <c r="Q272" s="54" t="str">
        <f>IF(OR($B272="",$A272&gt;$B$9,Q$268=""),"",IF(COUNTIFS(BD!$B$3:$B$5001,Q$268,BD!$A$3:$A$5001,"&gt;="&amp;$C$7,BD!$A$3:$A$5001,"&lt;="&amp;$B272,BD!$T$3:$T$5001,"&lt;&gt;")=0,"",SUMIFS(BD!$T$3:$T$5001,BD!$B$3:$B$5001,Q$268,BD!$A$3:$A$5001,_xlfn.MAXIFS(BD!$A$3:$A$5001,BD!$B$3:$B$5001,Q$268,BD!$A$3:$A$5001,"&gt;="&amp;$C$7,BD!$A$3:$A$5001,"&lt;="&amp;$B272,BD!$T$3:$T$5001,"&lt;&gt;"))))</f>
        <v/>
      </c>
      <c r="R272" s="54" t="str">
        <f>IF(OR($B272="",$A272&gt;$B$9,R$268=""),"",IF(COUNTIFS(BD!$B$3:$B$5001,R$268,BD!$A$3:$A$5001,"&gt;="&amp;$C$7,BD!$A$3:$A$5001,"&lt;="&amp;$B272,BD!$T$3:$T$5001,"&lt;&gt;")=0,"",SUMIFS(BD!$T$3:$T$5001,BD!$B$3:$B$5001,R$268,BD!$A$3:$A$5001,_xlfn.MAXIFS(BD!$A$3:$A$5001,BD!$B$3:$B$5001,R$268,BD!$A$3:$A$5001,"&gt;="&amp;$C$7,BD!$A$3:$A$5001,"&lt;="&amp;$B272,BD!$T$3:$T$5001,"&lt;&gt;"))))</f>
        <v/>
      </c>
      <c r="S272" s="54" t="str">
        <f>IF(OR($B272="",$A272&gt;$B$9,S$268=""),"",IF(COUNTIFS(BD!$B$3:$B$5001,S$268,BD!$A$3:$A$5001,"&gt;="&amp;$C$7,BD!$A$3:$A$5001,"&lt;="&amp;$B272,BD!$T$3:$T$5001,"&lt;&gt;")=0,"",SUMIFS(BD!$T$3:$T$5001,BD!$B$3:$B$5001,S$268,BD!$A$3:$A$5001,_xlfn.MAXIFS(BD!$A$3:$A$5001,BD!$B$3:$B$5001,S$268,BD!$A$3:$A$5001,"&gt;="&amp;$C$7,BD!$A$3:$A$5001,"&lt;="&amp;$B272,BD!$T$3:$T$5001,"&lt;&gt;"))))</f>
        <v/>
      </c>
      <c r="T272" s="54" t="str">
        <f>IF(OR($B272="",$A272&gt;$B$9,T$268=""),"",IF(COUNTIFS(BD!$B$3:$B$5001,T$268,BD!$A$3:$A$5001,"&gt;="&amp;$C$7,BD!$A$3:$A$5001,"&lt;="&amp;$B272,BD!$T$3:$T$5001,"&lt;&gt;")=0,"",SUMIFS(BD!$T$3:$T$5001,BD!$B$3:$B$5001,T$268,BD!$A$3:$A$5001,_xlfn.MAXIFS(BD!$A$3:$A$5001,BD!$B$3:$B$5001,T$268,BD!$A$3:$A$5001,"&gt;="&amp;$C$7,BD!$A$3:$A$5001,"&lt;="&amp;$B272,BD!$T$3:$T$5001,"&lt;&gt;"))))</f>
        <v/>
      </c>
      <c r="U272" s="54" t="str">
        <f>IF(OR($B272="",$A272&gt;$B$9,U$268=""),"",IF(COUNTIFS(BD!$B$3:$B$5001,U$268,BD!$A$3:$A$5001,"&gt;="&amp;$C$7,BD!$A$3:$A$5001,"&lt;="&amp;$B272,BD!$T$3:$T$5001,"&lt;&gt;")=0,"",SUMIFS(BD!$T$3:$T$5001,BD!$B$3:$B$5001,U$268,BD!$A$3:$A$5001,_xlfn.MAXIFS(BD!$A$3:$A$5001,BD!$B$3:$B$5001,U$268,BD!$A$3:$A$5001,"&gt;="&amp;$C$7,BD!$A$3:$A$5001,"&lt;="&amp;$B272,BD!$T$3:$T$5001,"&lt;&gt;"))))</f>
        <v/>
      </c>
      <c r="V272" s="54" t="str">
        <f>IF(OR($B272="",$A272&gt;$B$9,V$268=""),"",IF(COUNTIFS(BD!$B$3:$B$5001,V$268,BD!$A$3:$A$5001,"&gt;="&amp;$C$7,BD!$A$3:$A$5001,"&lt;="&amp;$B272,BD!$T$3:$T$5001,"&lt;&gt;")=0,"",SUMIFS(BD!$T$3:$T$5001,BD!$B$3:$B$5001,V$268,BD!$A$3:$A$5001,_xlfn.MAXIFS(BD!$A$3:$A$5001,BD!$B$3:$B$5001,V$268,BD!$A$3:$A$5001,"&gt;="&amp;$C$7,BD!$A$3:$A$5001,"&lt;="&amp;$B272,BD!$T$3:$T$5001,"&lt;&gt;"))))</f>
        <v/>
      </c>
    </row>
    <row r="273">
      <c r="A273" s="48">
        <v>5</v>
      </c>
      <c r="B273" s="53">
        <f>$B$16</f>
        <v>46300</v>
      </c>
      <c r="C273" s="54" t="str">
        <f>IF(OR($B273="",$A273&gt;$B$9,C$268=""),"",IF(COUNTIFS(BD!$B$3:$B$5001,C$268,BD!$A$3:$A$5001,"&gt;="&amp;$C$7,BD!$A$3:$A$5001,"&lt;="&amp;$B273,BD!$T$3:$T$5001,"&lt;&gt;")=0,"",SUMIFS(BD!$T$3:$T$5001,BD!$B$3:$B$5001,C$268,BD!$A$3:$A$5001,_xlfn.MAXIFS(BD!$A$3:$A$5001,BD!$B$3:$B$5001,C$268,BD!$A$3:$A$5001,"&gt;="&amp;$C$7,BD!$A$3:$A$5001,"&lt;="&amp;$B273,BD!$T$3:$T$5001,"&lt;&gt;"))))</f>
        <v/>
      </c>
      <c r="D273" s="54" t="str">
        <f>IF(OR($B273="",$A273&gt;$B$9,D$268=""),"",IF(COUNTIFS(BD!$B$3:$B$5001,D$268,BD!$A$3:$A$5001,"&gt;="&amp;$C$7,BD!$A$3:$A$5001,"&lt;="&amp;$B273,BD!$T$3:$T$5001,"&lt;&gt;")=0,"",SUMIFS(BD!$T$3:$T$5001,BD!$B$3:$B$5001,D$268,BD!$A$3:$A$5001,_xlfn.MAXIFS(BD!$A$3:$A$5001,BD!$B$3:$B$5001,D$268,BD!$A$3:$A$5001,"&gt;="&amp;$C$7,BD!$A$3:$A$5001,"&lt;="&amp;$B273,BD!$T$3:$T$5001,"&lt;&gt;"))))</f>
        <v/>
      </c>
      <c r="E273" s="54" t="str">
        <f>IF(OR($B273="",$A273&gt;$B$9,E$268=""),"",IF(COUNTIFS(BD!$B$3:$B$5001,E$268,BD!$A$3:$A$5001,"&gt;="&amp;$C$7,BD!$A$3:$A$5001,"&lt;="&amp;$B273,BD!$T$3:$T$5001,"&lt;&gt;")=0,"",SUMIFS(BD!$T$3:$T$5001,BD!$B$3:$B$5001,E$268,BD!$A$3:$A$5001,_xlfn.MAXIFS(BD!$A$3:$A$5001,BD!$B$3:$B$5001,E$268,BD!$A$3:$A$5001,"&gt;="&amp;$C$7,BD!$A$3:$A$5001,"&lt;="&amp;$B273,BD!$T$3:$T$5001,"&lt;&gt;"))))</f>
        <v/>
      </c>
      <c r="F273" s="54" t="str">
        <f>IF(OR($B273="",$A273&gt;$B$9,F$268=""),"",IF(COUNTIFS(BD!$B$3:$B$5001,F$268,BD!$A$3:$A$5001,"&gt;="&amp;$C$7,BD!$A$3:$A$5001,"&lt;="&amp;$B273,BD!$T$3:$T$5001,"&lt;&gt;")=0,"",SUMIFS(BD!$T$3:$T$5001,BD!$B$3:$B$5001,F$268,BD!$A$3:$A$5001,_xlfn.MAXIFS(BD!$A$3:$A$5001,BD!$B$3:$B$5001,F$268,BD!$A$3:$A$5001,"&gt;="&amp;$C$7,BD!$A$3:$A$5001,"&lt;="&amp;$B273,BD!$T$3:$T$5001,"&lt;&gt;"))))</f>
        <v/>
      </c>
      <c r="G273" s="54" t="str">
        <f>IF(OR($B273="",$A273&gt;$B$9,G$268=""),"",IF(COUNTIFS(BD!$B$3:$B$5001,G$268,BD!$A$3:$A$5001,"&gt;="&amp;$C$7,BD!$A$3:$A$5001,"&lt;="&amp;$B273,BD!$T$3:$T$5001,"&lt;&gt;")=0,"",SUMIFS(BD!$T$3:$T$5001,BD!$B$3:$B$5001,G$268,BD!$A$3:$A$5001,_xlfn.MAXIFS(BD!$A$3:$A$5001,BD!$B$3:$B$5001,G$268,BD!$A$3:$A$5001,"&gt;="&amp;$C$7,BD!$A$3:$A$5001,"&lt;="&amp;$B273,BD!$T$3:$T$5001,"&lt;&gt;"))))</f>
        <v/>
      </c>
      <c r="H273" s="54" t="str">
        <f>IF(OR($B273="",$A273&gt;$B$9,H$268=""),"",IF(COUNTIFS(BD!$B$3:$B$5001,H$268,BD!$A$3:$A$5001,"&gt;="&amp;$C$7,BD!$A$3:$A$5001,"&lt;="&amp;$B273,BD!$T$3:$T$5001,"&lt;&gt;")=0,"",SUMIFS(BD!$T$3:$T$5001,BD!$B$3:$B$5001,H$268,BD!$A$3:$A$5001,_xlfn.MAXIFS(BD!$A$3:$A$5001,BD!$B$3:$B$5001,H$268,BD!$A$3:$A$5001,"&gt;="&amp;$C$7,BD!$A$3:$A$5001,"&lt;="&amp;$B273,BD!$T$3:$T$5001,"&lt;&gt;"))))</f>
        <v/>
      </c>
      <c r="I273" s="54" t="str">
        <f>IF(OR($B273="",$A273&gt;$B$9,I$268=""),"",IF(COUNTIFS(BD!$B$3:$B$5001,I$268,BD!$A$3:$A$5001,"&gt;="&amp;$C$7,BD!$A$3:$A$5001,"&lt;="&amp;$B273,BD!$T$3:$T$5001,"&lt;&gt;")=0,"",SUMIFS(BD!$T$3:$T$5001,BD!$B$3:$B$5001,I$268,BD!$A$3:$A$5001,_xlfn.MAXIFS(BD!$A$3:$A$5001,BD!$B$3:$B$5001,I$268,BD!$A$3:$A$5001,"&gt;="&amp;$C$7,BD!$A$3:$A$5001,"&lt;="&amp;$B273,BD!$T$3:$T$5001,"&lt;&gt;"))))</f>
        <v/>
      </c>
      <c r="J273" s="54" t="str">
        <f>IF(OR($B273="",$A273&gt;$B$9,J$268=""),"",IF(COUNTIFS(BD!$B$3:$B$5001,J$268,BD!$A$3:$A$5001,"&gt;="&amp;$C$7,BD!$A$3:$A$5001,"&lt;="&amp;$B273,BD!$T$3:$T$5001,"&lt;&gt;")=0,"",SUMIFS(BD!$T$3:$T$5001,BD!$B$3:$B$5001,J$268,BD!$A$3:$A$5001,_xlfn.MAXIFS(BD!$A$3:$A$5001,BD!$B$3:$B$5001,J$268,BD!$A$3:$A$5001,"&gt;="&amp;$C$7,BD!$A$3:$A$5001,"&lt;="&amp;$B273,BD!$T$3:$T$5001,"&lt;&gt;"))))</f>
        <v/>
      </c>
      <c r="K273" s="54" t="str">
        <f>IF(OR($B273="",$A273&gt;$B$9,K$268=""),"",IF(COUNTIFS(BD!$B$3:$B$5001,K$268,BD!$A$3:$A$5001,"&gt;="&amp;$C$7,BD!$A$3:$A$5001,"&lt;="&amp;$B273,BD!$T$3:$T$5001,"&lt;&gt;")=0,"",SUMIFS(BD!$T$3:$T$5001,BD!$B$3:$B$5001,K$268,BD!$A$3:$A$5001,_xlfn.MAXIFS(BD!$A$3:$A$5001,BD!$B$3:$B$5001,K$268,BD!$A$3:$A$5001,"&gt;="&amp;$C$7,BD!$A$3:$A$5001,"&lt;="&amp;$B273,BD!$T$3:$T$5001,"&lt;&gt;"))))</f>
        <v/>
      </c>
      <c r="L273" s="54" t="str">
        <f>IF(OR($B273="",$A273&gt;$B$9,L$268=""),"",IF(COUNTIFS(BD!$B$3:$B$5001,L$268,BD!$A$3:$A$5001,"&gt;="&amp;$C$7,BD!$A$3:$A$5001,"&lt;="&amp;$B273,BD!$T$3:$T$5001,"&lt;&gt;")=0,"",SUMIFS(BD!$T$3:$T$5001,BD!$B$3:$B$5001,L$268,BD!$A$3:$A$5001,_xlfn.MAXIFS(BD!$A$3:$A$5001,BD!$B$3:$B$5001,L$268,BD!$A$3:$A$5001,"&gt;="&amp;$C$7,BD!$A$3:$A$5001,"&lt;="&amp;$B273,BD!$T$3:$T$5001,"&lt;&gt;"))))</f>
        <v/>
      </c>
      <c r="M273" s="54" t="str">
        <f>IF(OR($B273="",$A273&gt;$B$9,M$268=""),"",IF(COUNTIFS(BD!$B$3:$B$5001,M$268,BD!$A$3:$A$5001,"&gt;="&amp;$C$7,BD!$A$3:$A$5001,"&lt;="&amp;$B273,BD!$T$3:$T$5001,"&lt;&gt;")=0,"",SUMIFS(BD!$T$3:$T$5001,BD!$B$3:$B$5001,M$268,BD!$A$3:$A$5001,_xlfn.MAXIFS(BD!$A$3:$A$5001,BD!$B$3:$B$5001,M$268,BD!$A$3:$A$5001,"&gt;="&amp;$C$7,BD!$A$3:$A$5001,"&lt;="&amp;$B273,BD!$T$3:$T$5001,"&lt;&gt;"))))</f>
        <v/>
      </c>
      <c r="N273" s="54" t="str">
        <f>IF(OR($B273="",$A273&gt;$B$9,N$268=""),"",IF(COUNTIFS(BD!$B$3:$B$5001,N$268,BD!$A$3:$A$5001,"&gt;="&amp;$C$7,BD!$A$3:$A$5001,"&lt;="&amp;$B273,BD!$T$3:$T$5001,"&lt;&gt;")=0,"",SUMIFS(BD!$T$3:$T$5001,BD!$B$3:$B$5001,N$268,BD!$A$3:$A$5001,_xlfn.MAXIFS(BD!$A$3:$A$5001,BD!$B$3:$B$5001,N$268,BD!$A$3:$A$5001,"&gt;="&amp;$C$7,BD!$A$3:$A$5001,"&lt;="&amp;$B273,BD!$T$3:$T$5001,"&lt;&gt;"))))</f>
        <v/>
      </c>
      <c r="O273" s="54" t="str">
        <f>IF(OR($B273="",$A273&gt;$B$9,O$268=""),"",IF(COUNTIFS(BD!$B$3:$B$5001,O$268,BD!$A$3:$A$5001,"&gt;="&amp;$C$7,BD!$A$3:$A$5001,"&lt;="&amp;$B273,BD!$T$3:$T$5001,"&lt;&gt;")=0,"",SUMIFS(BD!$T$3:$T$5001,BD!$B$3:$B$5001,O$268,BD!$A$3:$A$5001,_xlfn.MAXIFS(BD!$A$3:$A$5001,BD!$B$3:$B$5001,O$268,BD!$A$3:$A$5001,"&gt;="&amp;$C$7,BD!$A$3:$A$5001,"&lt;="&amp;$B273,BD!$T$3:$T$5001,"&lt;&gt;"))))</f>
        <v/>
      </c>
      <c r="P273" s="54" t="str">
        <f>IF(OR($B273="",$A273&gt;$B$9,P$268=""),"",IF(COUNTIFS(BD!$B$3:$B$5001,P$268,BD!$A$3:$A$5001,"&gt;="&amp;$C$7,BD!$A$3:$A$5001,"&lt;="&amp;$B273,BD!$T$3:$T$5001,"&lt;&gt;")=0,"",SUMIFS(BD!$T$3:$T$5001,BD!$B$3:$B$5001,P$268,BD!$A$3:$A$5001,_xlfn.MAXIFS(BD!$A$3:$A$5001,BD!$B$3:$B$5001,P$268,BD!$A$3:$A$5001,"&gt;="&amp;$C$7,BD!$A$3:$A$5001,"&lt;="&amp;$B273,BD!$T$3:$T$5001,"&lt;&gt;"))))</f>
        <v/>
      </c>
      <c r="Q273" s="54" t="str">
        <f>IF(OR($B273="",$A273&gt;$B$9,Q$268=""),"",IF(COUNTIFS(BD!$B$3:$B$5001,Q$268,BD!$A$3:$A$5001,"&gt;="&amp;$C$7,BD!$A$3:$A$5001,"&lt;="&amp;$B273,BD!$T$3:$T$5001,"&lt;&gt;")=0,"",SUMIFS(BD!$T$3:$T$5001,BD!$B$3:$B$5001,Q$268,BD!$A$3:$A$5001,_xlfn.MAXIFS(BD!$A$3:$A$5001,BD!$B$3:$B$5001,Q$268,BD!$A$3:$A$5001,"&gt;="&amp;$C$7,BD!$A$3:$A$5001,"&lt;="&amp;$B273,BD!$T$3:$T$5001,"&lt;&gt;"))))</f>
        <v/>
      </c>
      <c r="R273" s="54" t="str">
        <f>IF(OR($B273="",$A273&gt;$B$9,R$268=""),"",IF(COUNTIFS(BD!$B$3:$B$5001,R$268,BD!$A$3:$A$5001,"&gt;="&amp;$C$7,BD!$A$3:$A$5001,"&lt;="&amp;$B273,BD!$T$3:$T$5001,"&lt;&gt;")=0,"",SUMIFS(BD!$T$3:$T$5001,BD!$B$3:$B$5001,R$268,BD!$A$3:$A$5001,_xlfn.MAXIFS(BD!$A$3:$A$5001,BD!$B$3:$B$5001,R$268,BD!$A$3:$A$5001,"&gt;="&amp;$C$7,BD!$A$3:$A$5001,"&lt;="&amp;$B273,BD!$T$3:$T$5001,"&lt;&gt;"))))</f>
        <v/>
      </c>
      <c r="S273" s="54" t="str">
        <f>IF(OR($B273="",$A273&gt;$B$9,S$268=""),"",IF(COUNTIFS(BD!$B$3:$B$5001,S$268,BD!$A$3:$A$5001,"&gt;="&amp;$C$7,BD!$A$3:$A$5001,"&lt;="&amp;$B273,BD!$T$3:$T$5001,"&lt;&gt;")=0,"",SUMIFS(BD!$T$3:$T$5001,BD!$B$3:$B$5001,S$268,BD!$A$3:$A$5001,_xlfn.MAXIFS(BD!$A$3:$A$5001,BD!$B$3:$B$5001,S$268,BD!$A$3:$A$5001,"&gt;="&amp;$C$7,BD!$A$3:$A$5001,"&lt;="&amp;$B273,BD!$T$3:$T$5001,"&lt;&gt;"))))</f>
        <v/>
      </c>
      <c r="T273" s="54" t="str">
        <f>IF(OR($B273="",$A273&gt;$B$9,T$268=""),"",IF(COUNTIFS(BD!$B$3:$B$5001,T$268,BD!$A$3:$A$5001,"&gt;="&amp;$C$7,BD!$A$3:$A$5001,"&lt;="&amp;$B273,BD!$T$3:$T$5001,"&lt;&gt;")=0,"",SUMIFS(BD!$T$3:$T$5001,BD!$B$3:$B$5001,T$268,BD!$A$3:$A$5001,_xlfn.MAXIFS(BD!$A$3:$A$5001,BD!$B$3:$B$5001,T$268,BD!$A$3:$A$5001,"&gt;="&amp;$C$7,BD!$A$3:$A$5001,"&lt;="&amp;$B273,BD!$T$3:$T$5001,"&lt;&gt;"))))</f>
        <v/>
      </c>
      <c r="U273" s="54" t="str">
        <f>IF(OR($B273="",$A273&gt;$B$9,U$268=""),"",IF(COUNTIFS(BD!$B$3:$B$5001,U$268,BD!$A$3:$A$5001,"&gt;="&amp;$C$7,BD!$A$3:$A$5001,"&lt;="&amp;$B273,BD!$T$3:$T$5001,"&lt;&gt;")=0,"",SUMIFS(BD!$T$3:$T$5001,BD!$B$3:$B$5001,U$268,BD!$A$3:$A$5001,_xlfn.MAXIFS(BD!$A$3:$A$5001,BD!$B$3:$B$5001,U$268,BD!$A$3:$A$5001,"&gt;="&amp;$C$7,BD!$A$3:$A$5001,"&lt;="&amp;$B273,BD!$T$3:$T$5001,"&lt;&gt;"))))</f>
        <v/>
      </c>
      <c r="V273" s="54" t="str">
        <f>IF(OR($B273="",$A273&gt;$B$9,V$268=""),"",IF(COUNTIFS(BD!$B$3:$B$5001,V$268,BD!$A$3:$A$5001,"&gt;="&amp;$C$7,BD!$A$3:$A$5001,"&lt;="&amp;$B273,BD!$T$3:$T$5001,"&lt;&gt;")=0,"",SUMIFS(BD!$T$3:$T$5001,BD!$B$3:$B$5001,V$268,BD!$A$3:$A$5001,_xlfn.MAXIFS(BD!$A$3:$A$5001,BD!$B$3:$B$5001,V$268,BD!$A$3:$A$5001,"&gt;="&amp;$C$7,BD!$A$3:$A$5001,"&lt;="&amp;$B273,BD!$T$3:$T$5001,"&lt;&gt;"))))</f>
        <v/>
      </c>
    </row>
    <row r="274">
      <c r="A274" s="48">
        <v>6</v>
      </c>
      <c r="B274" s="53">
        <f>$B$17</f>
        <v>46301</v>
      </c>
      <c r="C274" s="54" t="str">
        <f>IF(OR($B274="",$A274&gt;$B$9,C$268=""),"",IF(COUNTIFS(BD!$B$3:$B$5001,C$268,BD!$A$3:$A$5001,"&gt;="&amp;$C$7,BD!$A$3:$A$5001,"&lt;="&amp;$B274,BD!$T$3:$T$5001,"&lt;&gt;")=0,"",SUMIFS(BD!$T$3:$T$5001,BD!$B$3:$B$5001,C$268,BD!$A$3:$A$5001,_xlfn.MAXIFS(BD!$A$3:$A$5001,BD!$B$3:$B$5001,C$268,BD!$A$3:$A$5001,"&gt;="&amp;$C$7,BD!$A$3:$A$5001,"&lt;="&amp;$B274,BD!$T$3:$T$5001,"&lt;&gt;"))))</f>
        <v/>
      </c>
      <c r="D274" s="54" t="str">
        <f>IF(OR($B274="",$A274&gt;$B$9,D$268=""),"",IF(COUNTIFS(BD!$B$3:$B$5001,D$268,BD!$A$3:$A$5001,"&gt;="&amp;$C$7,BD!$A$3:$A$5001,"&lt;="&amp;$B274,BD!$T$3:$T$5001,"&lt;&gt;")=0,"",SUMIFS(BD!$T$3:$T$5001,BD!$B$3:$B$5001,D$268,BD!$A$3:$A$5001,_xlfn.MAXIFS(BD!$A$3:$A$5001,BD!$B$3:$B$5001,D$268,BD!$A$3:$A$5001,"&gt;="&amp;$C$7,BD!$A$3:$A$5001,"&lt;="&amp;$B274,BD!$T$3:$T$5001,"&lt;&gt;"))))</f>
        <v/>
      </c>
      <c r="E274" s="54" t="str">
        <f>IF(OR($B274="",$A274&gt;$B$9,E$268=""),"",IF(COUNTIFS(BD!$B$3:$B$5001,E$268,BD!$A$3:$A$5001,"&gt;="&amp;$C$7,BD!$A$3:$A$5001,"&lt;="&amp;$B274,BD!$T$3:$T$5001,"&lt;&gt;")=0,"",SUMIFS(BD!$T$3:$T$5001,BD!$B$3:$B$5001,E$268,BD!$A$3:$A$5001,_xlfn.MAXIFS(BD!$A$3:$A$5001,BD!$B$3:$B$5001,E$268,BD!$A$3:$A$5001,"&gt;="&amp;$C$7,BD!$A$3:$A$5001,"&lt;="&amp;$B274,BD!$T$3:$T$5001,"&lt;&gt;"))))</f>
        <v/>
      </c>
      <c r="F274" s="54" t="str">
        <f>IF(OR($B274="",$A274&gt;$B$9,F$268=""),"",IF(COUNTIFS(BD!$B$3:$B$5001,F$268,BD!$A$3:$A$5001,"&gt;="&amp;$C$7,BD!$A$3:$A$5001,"&lt;="&amp;$B274,BD!$T$3:$T$5001,"&lt;&gt;")=0,"",SUMIFS(BD!$T$3:$T$5001,BD!$B$3:$B$5001,F$268,BD!$A$3:$A$5001,_xlfn.MAXIFS(BD!$A$3:$A$5001,BD!$B$3:$B$5001,F$268,BD!$A$3:$A$5001,"&gt;="&amp;$C$7,BD!$A$3:$A$5001,"&lt;="&amp;$B274,BD!$T$3:$T$5001,"&lt;&gt;"))))</f>
        <v/>
      </c>
      <c r="G274" s="54" t="str">
        <f>IF(OR($B274="",$A274&gt;$B$9,G$268=""),"",IF(COUNTIFS(BD!$B$3:$B$5001,G$268,BD!$A$3:$A$5001,"&gt;="&amp;$C$7,BD!$A$3:$A$5001,"&lt;="&amp;$B274,BD!$T$3:$T$5001,"&lt;&gt;")=0,"",SUMIFS(BD!$T$3:$T$5001,BD!$B$3:$B$5001,G$268,BD!$A$3:$A$5001,_xlfn.MAXIFS(BD!$A$3:$A$5001,BD!$B$3:$B$5001,G$268,BD!$A$3:$A$5001,"&gt;="&amp;$C$7,BD!$A$3:$A$5001,"&lt;="&amp;$B274,BD!$T$3:$T$5001,"&lt;&gt;"))))</f>
        <v/>
      </c>
      <c r="H274" s="54" t="str">
        <f>IF(OR($B274="",$A274&gt;$B$9,H$268=""),"",IF(COUNTIFS(BD!$B$3:$B$5001,H$268,BD!$A$3:$A$5001,"&gt;="&amp;$C$7,BD!$A$3:$A$5001,"&lt;="&amp;$B274,BD!$T$3:$T$5001,"&lt;&gt;")=0,"",SUMIFS(BD!$T$3:$T$5001,BD!$B$3:$B$5001,H$268,BD!$A$3:$A$5001,_xlfn.MAXIFS(BD!$A$3:$A$5001,BD!$B$3:$B$5001,H$268,BD!$A$3:$A$5001,"&gt;="&amp;$C$7,BD!$A$3:$A$5001,"&lt;="&amp;$B274,BD!$T$3:$T$5001,"&lt;&gt;"))))</f>
        <v/>
      </c>
      <c r="I274" s="54" t="str">
        <f>IF(OR($B274="",$A274&gt;$B$9,I$268=""),"",IF(COUNTIFS(BD!$B$3:$B$5001,I$268,BD!$A$3:$A$5001,"&gt;="&amp;$C$7,BD!$A$3:$A$5001,"&lt;="&amp;$B274,BD!$T$3:$T$5001,"&lt;&gt;")=0,"",SUMIFS(BD!$T$3:$T$5001,BD!$B$3:$B$5001,I$268,BD!$A$3:$A$5001,_xlfn.MAXIFS(BD!$A$3:$A$5001,BD!$B$3:$B$5001,I$268,BD!$A$3:$A$5001,"&gt;="&amp;$C$7,BD!$A$3:$A$5001,"&lt;="&amp;$B274,BD!$T$3:$T$5001,"&lt;&gt;"))))</f>
        <v/>
      </c>
      <c r="J274" s="54" t="str">
        <f>IF(OR($B274="",$A274&gt;$B$9,J$268=""),"",IF(COUNTIFS(BD!$B$3:$B$5001,J$268,BD!$A$3:$A$5001,"&gt;="&amp;$C$7,BD!$A$3:$A$5001,"&lt;="&amp;$B274,BD!$T$3:$T$5001,"&lt;&gt;")=0,"",SUMIFS(BD!$T$3:$T$5001,BD!$B$3:$B$5001,J$268,BD!$A$3:$A$5001,_xlfn.MAXIFS(BD!$A$3:$A$5001,BD!$B$3:$B$5001,J$268,BD!$A$3:$A$5001,"&gt;="&amp;$C$7,BD!$A$3:$A$5001,"&lt;="&amp;$B274,BD!$T$3:$T$5001,"&lt;&gt;"))))</f>
        <v/>
      </c>
      <c r="K274" s="54" t="str">
        <f>IF(OR($B274="",$A274&gt;$B$9,K$268=""),"",IF(COUNTIFS(BD!$B$3:$B$5001,K$268,BD!$A$3:$A$5001,"&gt;="&amp;$C$7,BD!$A$3:$A$5001,"&lt;="&amp;$B274,BD!$T$3:$T$5001,"&lt;&gt;")=0,"",SUMIFS(BD!$T$3:$T$5001,BD!$B$3:$B$5001,K$268,BD!$A$3:$A$5001,_xlfn.MAXIFS(BD!$A$3:$A$5001,BD!$B$3:$B$5001,K$268,BD!$A$3:$A$5001,"&gt;="&amp;$C$7,BD!$A$3:$A$5001,"&lt;="&amp;$B274,BD!$T$3:$T$5001,"&lt;&gt;"))))</f>
        <v/>
      </c>
      <c r="L274" s="54" t="str">
        <f>IF(OR($B274="",$A274&gt;$B$9,L$268=""),"",IF(COUNTIFS(BD!$B$3:$B$5001,L$268,BD!$A$3:$A$5001,"&gt;="&amp;$C$7,BD!$A$3:$A$5001,"&lt;="&amp;$B274,BD!$T$3:$T$5001,"&lt;&gt;")=0,"",SUMIFS(BD!$T$3:$T$5001,BD!$B$3:$B$5001,L$268,BD!$A$3:$A$5001,_xlfn.MAXIFS(BD!$A$3:$A$5001,BD!$B$3:$B$5001,L$268,BD!$A$3:$A$5001,"&gt;="&amp;$C$7,BD!$A$3:$A$5001,"&lt;="&amp;$B274,BD!$T$3:$T$5001,"&lt;&gt;"))))</f>
        <v/>
      </c>
      <c r="M274" s="54" t="str">
        <f>IF(OR($B274="",$A274&gt;$B$9,M$268=""),"",IF(COUNTIFS(BD!$B$3:$B$5001,M$268,BD!$A$3:$A$5001,"&gt;="&amp;$C$7,BD!$A$3:$A$5001,"&lt;="&amp;$B274,BD!$T$3:$T$5001,"&lt;&gt;")=0,"",SUMIFS(BD!$T$3:$T$5001,BD!$B$3:$B$5001,M$268,BD!$A$3:$A$5001,_xlfn.MAXIFS(BD!$A$3:$A$5001,BD!$B$3:$B$5001,M$268,BD!$A$3:$A$5001,"&gt;="&amp;$C$7,BD!$A$3:$A$5001,"&lt;="&amp;$B274,BD!$T$3:$T$5001,"&lt;&gt;"))))</f>
        <v/>
      </c>
      <c r="N274" s="54" t="str">
        <f>IF(OR($B274="",$A274&gt;$B$9,N$268=""),"",IF(COUNTIFS(BD!$B$3:$B$5001,N$268,BD!$A$3:$A$5001,"&gt;="&amp;$C$7,BD!$A$3:$A$5001,"&lt;="&amp;$B274,BD!$T$3:$T$5001,"&lt;&gt;")=0,"",SUMIFS(BD!$T$3:$T$5001,BD!$B$3:$B$5001,N$268,BD!$A$3:$A$5001,_xlfn.MAXIFS(BD!$A$3:$A$5001,BD!$B$3:$B$5001,N$268,BD!$A$3:$A$5001,"&gt;="&amp;$C$7,BD!$A$3:$A$5001,"&lt;="&amp;$B274,BD!$T$3:$T$5001,"&lt;&gt;"))))</f>
        <v/>
      </c>
      <c r="O274" s="54" t="str">
        <f>IF(OR($B274="",$A274&gt;$B$9,O$268=""),"",IF(COUNTIFS(BD!$B$3:$B$5001,O$268,BD!$A$3:$A$5001,"&gt;="&amp;$C$7,BD!$A$3:$A$5001,"&lt;="&amp;$B274,BD!$T$3:$T$5001,"&lt;&gt;")=0,"",SUMIFS(BD!$T$3:$T$5001,BD!$B$3:$B$5001,O$268,BD!$A$3:$A$5001,_xlfn.MAXIFS(BD!$A$3:$A$5001,BD!$B$3:$B$5001,O$268,BD!$A$3:$A$5001,"&gt;="&amp;$C$7,BD!$A$3:$A$5001,"&lt;="&amp;$B274,BD!$T$3:$T$5001,"&lt;&gt;"))))</f>
        <v/>
      </c>
      <c r="P274" s="54" t="str">
        <f>IF(OR($B274="",$A274&gt;$B$9,P$268=""),"",IF(COUNTIFS(BD!$B$3:$B$5001,P$268,BD!$A$3:$A$5001,"&gt;="&amp;$C$7,BD!$A$3:$A$5001,"&lt;="&amp;$B274,BD!$T$3:$T$5001,"&lt;&gt;")=0,"",SUMIFS(BD!$T$3:$T$5001,BD!$B$3:$B$5001,P$268,BD!$A$3:$A$5001,_xlfn.MAXIFS(BD!$A$3:$A$5001,BD!$B$3:$B$5001,P$268,BD!$A$3:$A$5001,"&gt;="&amp;$C$7,BD!$A$3:$A$5001,"&lt;="&amp;$B274,BD!$T$3:$T$5001,"&lt;&gt;"))))</f>
        <v/>
      </c>
      <c r="Q274" s="54" t="str">
        <f>IF(OR($B274="",$A274&gt;$B$9,Q$268=""),"",IF(COUNTIFS(BD!$B$3:$B$5001,Q$268,BD!$A$3:$A$5001,"&gt;="&amp;$C$7,BD!$A$3:$A$5001,"&lt;="&amp;$B274,BD!$T$3:$T$5001,"&lt;&gt;")=0,"",SUMIFS(BD!$T$3:$T$5001,BD!$B$3:$B$5001,Q$268,BD!$A$3:$A$5001,_xlfn.MAXIFS(BD!$A$3:$A$5001,BD!$B$3:$B$5001,Q$268,BD!$A$3:$A$5001,"&gt;="&amp;$C$7,BD!$A$3:$A$5001,"&lt;="&amp;$B274,BD!$T$3:$T$5001,"&lt;&gt;"))))</f>
        <v/>
      </c>
      <c r="R274" s="54" t="str">
        <f>IF(OR($B274="",$A274&gt;$B$9,R$268=""),"",IF(COUNTIFS(BD!$B$3:$B$5001,R$268,BD!$A$3:$A$5001,"&gt;="&amp;$C$7,BD!$A$3:$A$5001,"&lt;="&amp;$B274,BD!$T$3:$T$5001,"&lt;&gt;")=0,"",SUMIFS(BD!$T$3:$T$5001,BD!$B$3:$B$5001,R$268,BD!$A$3:$A$5001,_xlfn.MAXIFS(BD!$A$3:$A$5001,BD!$B$3:$B$5001,R$268,BD!$A$3:$A$5001,"&gt;="&amp;$C$7,BD!$A$3:$A$5001,"&lt;="&amp;$B274,BD!$T$3:$T$5001,"&lt;&gt;"))))</f>
        <v/>
      </c>
      <c r="S274" s="54" t="str">
        <f>IF(OR($B274="",$A274&gt;$B$9,S$268=""),"",IF(COUNTIFS(BD!$B$3:$B$5001,S$268,BD!$A$3:$A$5001,"&gt;="&amp;$C$7,BD!$A$3:$A$5001,"&lt;="&amp;$B274,BD!$T$3:$T$5001,"&lt;&gt;")=0,"",SUMIFS(BD!$T$3:$T$5001,BD!$B$3:$B$5001,S$268,BD!$A$3:$A$5001,_xlfn.MAXIFS(BD!$A$3:$A$5001,BD!$B$3:$B$5001,S$268,BD!$A$3:$A$5001,"&gt;="&amp;$C$7,BD!$A$3:$A$5001,"&lt;="&amp;$B274,BD!$T$3:$T$5001,"&lt;&gt;"))))</f>
        <v/>
      </c>
      <c r="T274" s="54" t="str">
        <f>IF(OR($B274="",$A274&gt;$B$9,T$268=""),"",IF(COUNTIFS(BD!$B$3:$B$5001,T$268,BD!$A$3:$A$5001,"&gt;="&amp;$C$7,BD!$A$3:$A$5001,"&lt;="&amp;$B274,BD!$T$3:$T$5001,"&lt;&gt;")=0,"",SUMIFS(BD!$T$3:$T$5001,BD!$B$3:$B$5001,T$268,BD!$A$3:$A$5001,_xlfn.MAXIFS(BD!$A$3:$A$5001,BD!$B$3:$B$5001,T$268,BD!$A$3:$A$5001,"&gt;="&amp;$C$7,BD!$A$3:$A$5001,"&lt;="&amp;$B274,BD!$T$3:$T$5001,"&lt;&gt;"))))</f>
        <v/>
      </c>
      <c r="U274" s="54" t="str">
        <f>IF(OR($B274="",$A274&gt;$B$9,U$268=""),"",IF(COUNTIFS(BD!$B$3:$B$5001,U$268,BD!$A$3:$A$5001,"&gt;="&amp;$C$7,BD!$A$3:$A$5001,"&lt;="&amp;$B274,BD!$T$3:$T$5001,"&lt;&gt;")=0,"",SUMIFS(BD!$T$3:$T$5001,BD!$B$3:$B$5001,U$268,BD!$A$3:$A$5001,_xlfn.MAXIFS(BD!$A$3:$A$5001,BD!$B$3:$B$5001,U$268,BD!$A$3:$A$5001,"&gt;="&amp;$C$7,BD!$A$3:$A$5001,"&lt;="&amp;$B274,BD!$T$3:$T$5001,"&lt;&gt;"))))</f>
        <v/>
      </c>
      <c r="V274" s="54" t="str">
        <f>IF(OR($B274="",$A274&gt;$B$9,V$268=""),"",IF(COUNTIFS(BD!$B$3:$B$5001,V$268,BD!$A$3:$A$5001,"&gt;="&amp;$C$7,BD!$A$3:$A$5001,"&lt;="&amp;$B274,BD!$T$3:$T$5001,"&lt;&gt;")=0,"",SUMIFS(BD!$T$3:$T$5001,BD!$B$3:$B$5001,V$268,BD!$A$3:$A$5001,_xlfn.MAXIFS(BD!$A$3:$A$5001,BD!$B$3:$B$5001,V$268,BD!$A$3:$A$5001,"&gt;="&amp;$C$7,BD!$A$3:$A$5001,"&lt;="&amp;$B274,BD!$T$3:$T$5001,"&lt;&gt;"))))</f>
        <v/>
      </c>
    </row>
    <row r="275">
      <c r="A275" s="48">
        <v>7</v>
      </c>
      <c r="B275" s="53">
        <f>$B$18</f>
        <v>46302</v>
      </c>
      <c r="C275" s="54" t="str">
        <f>IF(OR($B275="",$A275&gt;$B$9,C$268=""),"",IF(COUNTIFS(BD!$B$3:$B$5001,C$268,BD!$A$3:$A$5001,"&gt;="&amp;$C$7,BD!$A$3:$A$5001,"&lt;="&amp;$B275,BD!$T$3:$T$5001,"&lt;&gt;")=0,"",SUMIFS(BD!$T$3:$T$5001,BD!$B$3:$B$5001,C$268,BD!$A$3:$A$5001,_xlfn.MAXIFS(BD!$A$3:$A$5001,BD!$B$3:$B$5001,C$268,BD!$A$3:$A$5001,"&gt;="&amp;$C$7,BD!$A$3:$A$5001,"&lt;="&amp;$B275,BD!$T$3:$T$5001,"&lt;&gt;"))))</f>
        <v/>
      </c>
      <c r="D275" s="54" t="str">
        <f>IF(OR($B275="",$A275&gt;$B$9,D$268=""),"",IF(COUNTIFS(BD!$B$3:$B$5001,D$268,BD!$A$3:$A$5001,"&gt;="&amp;$C$7,BD!$A$3:$A$5001,"&lt;="&amp;$B275,BD!$T$3:$T$5001,"&lt;&gt;")=0,"",SUMIFS(BD!$T$3:$T$5001,BD!$B$3:$B$5001,D$268,BD!$A$3:$A$5001,_xlfn.MAXIFS(BD!$A$3:$A$5001,BD!$B$3:$B$5001,D$268,BD!$A$3:$A$5001,"&gt;="&amp;$C$7,BD!$A$3:$A$5001,"&lt;="&amp;$B275,BD!$T$3:$T$5001,"&lt;&gt;"))))</f>
        <v/>
      </c>
      <c r="E275" s="54" t="str">
        <f>IF(OR($B275="",$A275&gt;$B$9,E$268=""),"",IF(COUNTIFS(BD!$B$3:$B$5001,E$268,BD!$A$3:$A$5001,"&gt;="&amp;$C$7,BD!$A$3:$A$5001,"&lt;="&amp;$B275,BD!$T$3:$T$5001,"&lt;&gt;")=0,"",SUMIFS(BD!$T$3:$T$5001,BD!$B$3:$B$5001,E$268,BD!$A$3:$A$5001,_xlfn.MAXIFS(BD!$A$3:$A$5001,BD!$B$3:$B$5001,E$268,BD!$A$3:$A$5001,"&gt;="&amp;$C$7,BD!$A$3:$A$5001,"&lt;="&amp;$B275,BD!$T$3:$T$5001,"&lt;&gt;"))))</f>
        <v/>
      </c>
      <c r="F275" s="54" t="str">
        <f>IF(OR($B275="",$A275&gt;$B$9,F$268=""),"",IF(COUNTIFS(BD!$B$3:$B$5001,F$268,BD!$A$3:$A$5001,"&gt;="&amp;$C$7,BD!$A$3:$A$5001,"&lt;="&amp;$B275,BD!$T$3:$T$5001,"&lt;&gt;")=0,"",SUMIFS(BD!$T$3:$T$5001,BD!$B$3:$B$5001,F$268,BD!$A$3:$A$5001,_xlfn.MAXIFS(BD!$A$3:$A$5001,BD!$B$3:$B$5001,F$268,BD!$A$3:$A$5001,"&gt;="&amp;$C$7,BD!$A$3:$A$5001,"&lt;="&amp;$B275,BD!$T$3:$T$5001,"&lt;&gt;"))))</f>
        <v/>
      </c>
      <c r="G275" s="54" t="str">
        <f>IF(OR($B275="",$A275&gt;$B$9,G$268=""),"",IF(COUNTIFS(BD!$B$3:$B$5001,G$268,BD!$A$3:$A$5001,"&gt;="&amp;$C$7,BD!$A$3:$A$5001,"&lt;="&amp;$B275,BD!$T$3:$T$5001,"&lt;&gt;")=0,"",SUMIFS(BD!$T$3:$T$5001,BD!$B$3:$B$5001,G$268,BD!$A$3:$A$5001,_xlfn.MAXIFS(BD!$A$3:$A$5001,BD!$B$3:$B$5001,G$268,BD!$A$3:$A$5001,"&gt;="&amp;$C$7,BD!$A$3:$A$5001,"&lt;="&amp;$B275,BD!$T$3:$T$5001,"&lt;&gt;"))))</f>
        <v/>
      </c>
      <c r="H275" s="54" t="str">
        <f>IF(OR($B275="",$A275&gt;$B$9,H$268=""),"",IF(COUNTIFS(BD!$B$3:$B$5001,H$268,BD!$A$3:$A$5001,"&gt;="&amp;$C$7,BD!$A$3:$A$5001,"&lt;="&amp;$B275,BD!$T$3:$T$5001,"&lt;&gt;")=0,"",SUMIFS(BD!$T$3:$T$5001,BD!$B$3:$B$5001,H$268,BD!$A$3:$A$5001,_xlfn.MAXIFS(BD!$A$3:$A$5001,BD!$B$3:$B$5001,H$268,BD!$A$3:$A$5001,"&gt;="&amp;$C$7,BD!$A$3:$A$5001,"&lt;="&amp;$B275,BD!$T$3:$T$5001,"&lt;&gt;"))))</f>
        <v/>
      </c>
      <c r="I275" s="54" t="str">
        <f>IF(OR($B275="",$A275&gt;$B$9,I$268=""),"",IF(COUNTIFS(BD!$B$3:$B$5001,I$268,BD!$A$3:$A$5001,"&gt;="&amp;$C$7,BD!$A$3:$A$5001,"&lt;="&amp;$B275,BD!$T$3:$T$5001,"&lt;&gt;")=0,"",SUMIFS(BD!$T$3:$T$5001,BD!$B$3:$B$5001,I$268,BD!$A$3:$A$5001,_xlfn.MAXIFS(BD!$A$3:$A$5001,BD!$B$3:$B$5001,I$268,BD!$A$3:$A$5001,"&gt;="&amp;$C$7,BD!$A$3:$A$5001,"&lt;="&amp;$B275,BD!$T$3:$T$5001,"&lt;&gt;"))))</f>
        <v/>
      </c>
      <c r="J275" s="54" t="str">
        <f>IF(OR($B275="",$A275&gt;$B$9,J$268=""),"",IF(COUNTIFS(BD!$B$3:$B$5001,J$268,BD!$A$3:$A$5001,"&gt;="&amp;$C$7,BD!$A$3:$A$5001,"&lt;="&amp;$B275,BD!$T$3:$T$5001,"&lt;&gt;")=0,"",SUMIFS(BD!$T$3:$T$5001,BD!$B$3:$B$5001,J$268,BD!$A$3:$A$5001,_xlfn.MAXIFS(BD!$A$3:$A$5001,BD!$B$3:$B$5001,J$268,BD!$A$3:$A$5001,"&gt;="&amp;$C$7,BD!$A$3:$A$5001,"&lt;="&amp;$B275,BD!$T$3:$T$5001,"&lt;&gt;"))))</f>
        <v/>
      </c>
      <c r="K275" s="54" t="str">
        <f>IF(OR($B275="",$A275&gt;$B$9,K$268=""),"",IF(COUNTIFS(BD!$B$3:$B$5001,K$268,BD!$A$3:$A$5001,"&gt;="&amp;$C$7,BD!$A$3:$A$5001,"&lt;="&amp;$B275,BD!$T$3:$T$5001,"&lt;&gt;")=0,"",SUMIFS(BD!$T$3:$T$5001,BD!$B$3:$B$5001,K$268,BD!$A$3:$A$5001,_xlfn.MAXIFS(BD!$A$3:$A$5001,BD!$B$3:$B$5001,K$268,BD!$A$3:$A$5001,"&gt;="&amp;$C$7,BD!$A$3:$A$5001,"&lt;="&amp;$B275,BD!$T$3:$T$5001,"&lt;&gt;"))))</f>
        <v/>
      </c>
      <c r="L275" s="54" t="str">
        <f>IF(OR($B275="",$A275&gt;$B$9,L$268=""),"",IF(COUNTIFS(BD!$B$3:$B$5001,L$268,BD!$A$3:$A$5001,"&gt;="&amp;$C$7,BD!$A$3:$A$5001,"&lt;="&amp;$B275,BD!$T$3:$T$5001,"&lt;&gt;")=0,"",SUMIFS(BD!$T$3:$T$5001,BD!$B$3:$B$5001,L$268,BD!$A$3:$A$5001,_xlfn.MAXIFS(BD!$A$3:$A$5001,BD!$B$3:$B$5001,L$268,BD!$A$3:$A$5001,"&gt;="&amp;$C$7,BD!$A$3:$A$5001,"&lt;="&amp;$B275,BD!$T$3:$T$5001,"&lt;&gt;"))))</f>
        <v/>
      </c>
      <c r="M275" s="54" t="str">
        <f>IF(OR($B275="",$A275&gt;$B$9,M$268=""),"",IF(COUNTIFS(BD!$B$3:$B$5001,M$268,BD!$A$3:$A$5001,"&gt;="&amp;$C$7,BD!$A$3:$A$5001,"&lt;="&amp;$B275,BD!$T$3:$T$5001,"&lt;&gt;")=0,"",SUMIFS(BD!$T$3:$T$5001,BD!$B$3:$B$5001,M$268,BD!$A$3:$A$5001,_xlfn.MAXIFS(BD!$A$3:$A$5001,BD!$B$3:$B$5001,M$268,BD!$A$3:$A$5001,"&gt;="&amp;$C$7,BD!$A$3:$A$5001,"&lt;="&amp;$B275,BD!$T$3:$T$5001,"&lt;&gt;"))))</f>
        <v/>
      </c>
      <c r="N275" s="54" t="str">
        <f>IF(OR($B275="",$A275&gt;$B$9,N$268=""),"",IF(COUNTIFS(BD!$B$3:$B$5001,N$268,BD!$A$3:$A$5001,"&gt;="&amp;$C$7,BD!$A$3:$A$5001,"&lt;="&amp;$B275,BD!$T$3:$T$5001,"&lt;&gt;")=0,"",SUMIFS(BD!$T$3:$T$5001,BD!$B$3:$B$5001,N$268,BD!$A$3:$A$5001,_xlfn.MAXIFS(BD!$A$3:$A$5001,BD!$B$3:$B$5001,N$268,BD!$A$3:$A$5001,"&gt;="&amp;$C$7,BD!$A$3:$A$5001,"&lt;="&amp;$B275,BD!$T$3:$T$5001,"&lt;&gt;"))))</f>
        <v/>
      </c>
      <c r="O275" s="54" t="str">
        <f>IF(OR($B275="",$A275&gt;$B$9,O$268=""),"",IF(COUNTIFS(BD!$B$3:$B$5001,O$268,BD!$A$3:$A$5001,"&gt;="&amp;$C$7,BD!$A$3:$A$5001,"&lt;="&amp;$B275,BD!$T$3:$T$5001,"&lt;&gt;")=0,"",SUMIFS(BD!$T$3:$T$5001,BD!$B$3:$B$5001,O$268,BD!$A$3:$A$5001,_xlfn.MAXIFS(BD!$A$3:$A$5001,BD!$B$3:$B$5001,O$268,BD!$A$3:$A$5001,"&gt;="&amp;$C$7,BD!$A$3:$A$5001,"&lt;="&amp;$B275,BD!$T$3:$T$5001,"&lt;&gt;"))))</f>
        <v/>
      </c>
      <c r="P275" s="54" t="str">
        <f>IF(OR($B275="",$A275&gt;$B$9,P$268=""),"",IF(COUNTIFS(BD!$B$3:$B$5001,P$268,BD!$A$3:$A$5001,"&gt;="&amp;$C$7,BD!$A$3:$A$5001,"&lt;="&amp;$B275,BD!$T$3:$T$5001,"&lt;&gt;")=0,"",SUMIFS(BD!$T$3:$T$5001,BD!$B$3:$B$5001,P$268,BD!$A$3:$A$5001,_xlfn.MAXIFS(BD!$A$3:$A$5001,BD!$B$3:$B$5001,P$268,BD!$A$3:$A$5001,"&gt;="&amp;$C$7,BD!$A$3:$A$5001,"&lt;="&amp;$B275,BD!$T$3:$T$5001,"&lt;&gt;"))))</f>
        <v/>
      </c>
      <c r="Q275" s="54" t="str">
        <f>IF(OR($B275="",$A275&gt;$B$9,Q$268=""),"",IF(COUNTIFS(BD!$B$3:$B$5001,Q$268,BD!$A$3:$A$5001,"&gt;="&amp;$C$7,BD!$A$3:$A$5001,"&lt;="&amp;$B275,BD!$T$3:$T$5001,"&lt;&gt;")=0,"",SUMIFS(BD!$T$3:$T$5001,BD!$B$3:$B$5001,Q$268,BD!$A$3:$A$5001,_xlfn.MAXIFS(BD!$A$3:$A$5001,BD!$B$3:$B$5001,Q$268,BD!$A$3:$A$5001,"&gt;="&amp;$C$7,BD!$A$3:$A$5001,"&lt;="&amp;$B275,BD!$T$3:$T$5001,"&lt;&gt;"))))</f>
        <v/>
      </c>
      <c r="R275" s="54" t="str">
        <f>IF(OR($B275="",$A275&gt;$B$9,R$268=""),"",IF(COUNTIFS(BD!$B$3:$B$5001,R$268,BD!$A$3:$A$5001,"&gt;="&amp;$C$7,BD!$A$3:$A$5001,"&lt;="&amp;$B275,BD!$T$3:$T$5001,"&lt;&gt;")=0,"",SUMIFS(BD!$T$3:$T$5001,BD!$B$3:$B$5001,R$268,BD!$A$3:$A$5001,_xlfn.MAXIFS(BD!$A$3:$A$5001,BD!$B$3:$B$5001,R$268,BD!$A$3:$A$5001,"&gt;="&amp;$C$7,BD!$A$3:$A$5001,"&lt;="&amp;$B275,BD!$T$3:$T$5001,"&lt;&gt;"))))</f>
        <v/>
      </c>
      <c r="S275" s="54" t="str">
        <f>IF(OR($B275="",$A275&gt;$B$9,S$268=""),"",IF(COUNTIFS(BD!$B$3:$B$5001,S$268,BD!$A$3:$A$5001,"&gt;="&amp;$C$7,BD!$A$3:$A$5001,"&lt;="&amp;$B275,BD!$T$3:$T$5001,"&lt;&gt;")=0,"",SUMIFS(BD!$T$3:$T$5001,BD!$B$3:$B$5001,S$268,BD!$A$3:$A$5001,_xlfn.MAXIFS(BD!$A$3:$A$5001,BD!$B$3:$B$5001,S$268,BD!$A$3:$A$5001,"&gt;="&amp;$C$7,BD!$A$3:$A$5001,"&lt;="&amp;$B275,BD!$T$3:$T$5001,"&lt;&gt;"))))</f>
        <v/>
      </c>
      <c r="T275" s="54" t="str">
        <f>IF(OR($B275="",$A275&gt;$B$9,T$268=""),"",IF(COUNTIFS(BD!$B$3:$B$5001,T$268,BD!$A$3:$A$5001,"&gt;="&amp;$C$7,BD!$A$3:$A$5001,"&lt;="&amp;$B275,BD!$T$3:$T$5001,"&lt;&gt;")=0,"",SUMIFS(BD!$T$3:$T$5001,BD!$B$3:$B$5001,T$268,BD!$A$3:$A$5001,_xlfn.MAXIFS(BD!$A$3:$A$5001,BD!$B$3:$B$5001,T$268,BD!$A$3:$A$5001,"&gt;="&amp;$C$7,BD!$A$3:$A$5001,"&lt;="&amp;$B275,BD!$T$3:$T$5001,"&lt;&gt;"))))</f>
        <v/>
      </c>
      <c r="U275" s="54" t="str">
        <f>IF(OR($B275="",$A275&gt;$B$9,U$268=""),"",IF(COUNTIFS(BD!$B$3:$B$5001,U$268,BD!$A$3:$A$5001,"&gt;="&amp;$C$7,BD!$A$3:$A$5001,"&lt;="&amp;$B275,BD!$T$3:$T$5001,"&lt;&gt;")=0,"",SUMIFS(BD!$T$3:$T$5001,BD!$B$3:$B$5001,U$268,BD!$A$3:$A$5001,_xlfn.MAXIFS(BD!$A$3:$A$5001,BD!$B$3:$B$5001,U$268,BD!$A$3:$A$5001,"&gt;="&amp;$C$7,BD!$A$3:$A$5001,"&lt;="&amp;$B275,BD!$T$3:$T$5001,"&lt;&gt;"))))</f>
        <v/>
      </c>
      <c r="V275" s="54" t="str">
        <f>IF(OR($B275="",$A275&gt;$B$9,V$268=""),"",IF(COUNTIFS(BD!$B$3:$B$5001,V$268,BD!$A$3:$A$5001,"&gt;="&amp;$C$7,BD!$A$3:$A$5001,"&lt;="&amp;$B275,BD!$T$3:$T$5001,"&lt;&gt;")=0,"",SUMIFS(BD!$T$3:$T$5001,BD!$B$3:$B$5001,V$268,BD!$A$3:$A$5001,_xlfn.MAXIFS(BD!$A$3:$A$5001,BD!$B$3:$B$5001,V$268,BD!$A$3:$A$5001,"&gt;="&amp;$C$7,BD!$A$3:$A$5001,"&lt;="&amp;$B275,BD!$T$3:$T$5001,"&lt;&gt;"))))</f>
        <v/>
      </c>
    </row>
    <row r="276">
      <c r="A276" s="48">
        <v>8</v>
      </c>
      <c r="B276" s="53">
        <f>$B$19</f>
        <v>46303</v>
      </c>
      <c r="C276" s="54" t="str">
        <f>IF(OR($B276="",$A276&gt;$B$9,C$268=""),"",IF(COUNTIFS(BD!$B$3:$B$5001,C$268,BD!$A$3:$A$5001,"&gt;="&amp;$C$7,BD!$A$3:$A$5001,"&lt;="&amp;$B276,BD!$T$3:$T$5001,"&lt;&gt;")=0,"",SUMIFS(BD!$T$3:$T$5001,BD!$B$3:$B$5001,C$268,BD!$A$3:$A$5001,_xlfn.MAXIFS(BD!$A$3:$A$5001,BD!$B$3:$B$5001,C$268,BD!$A$3:$A$5001,"&gt;="&amp;$C$7,BD!$A$3:$A$5001,"&lt;="&amp;$B276,BD!$T$3:$T$5001,"&lt;&gt;"))))</f>
        <v/>
      </c>
      <c r="D276" s="54" t="str">
        <f>IF(OR($B276="",$A276&gt;$B$9,D$268=""),"",IF(COUNTIFS(BD!$B$3:$B$5001,D$268,BD!$A$3:$A$5001,"&gt;="&amp;$C$7,BD!$A$3:$A$5001,"&lt;="&amp;$B276,BD!$T$3:$T$5001,"&lt;&gt;")=0,"",SUMIFS(BD!$T$3:$T$5001,BD!$B$3:$B$5001,D$268,BD!$A$3:$A$5001,_xlfn.MAXIFS(BD!$A$3:$A$5001,BD!$B$3:$B$5001,D$268,BD!$A$3:$A$5001,"&gt;="&amp;$C$7,BD!$A$3:$A$5001,"&lt;="&amp;$B276,BD!$T$3:$T$5001,"&lt;&gt;"))))</f>
        <v/>
      </c>
      <c r="E276" s="54" t="str">
        <f>IF(OR($B276="",$A276&gt;$B$9,E$268=""),"",IF(COUNTIFS(BD!$B$3:$B$5001,E$268,BD!$A$3:$A$5001,"&gt;="&amp;$C$7,BD!$A$3:$A$5001,"&lt;="&amp;$B276,BD!$T$3:$T$5001,"&lt;&gt;")=0,"",SUMIFS(BD!$T$3:$T$5001,BD!$B$3:$B$5001,E$268,BD!$A$3:$A$5001,_xlfn.MAXIFS(BD!$A$3:$A$5001,BD!$B$3:$B$5001,E$268,BD!$A$3:$A$5001,"&gt;="&amp;$C$7,BD!$A$3:$A$5001,"&lt;="&amp;$B276,BD!$T$3:$T$5001,"&lt;&gt;"))))</f>
        <v/>
      </c>
      <c r="F276" s="54" t="str">
        <f>IF(OR($B276="",$A276&gt;$B$9,F$268=""),"",IF(COUNTIFS(BD!$B$3:$B$5001,F$268,BD!$A$3:$A$5001,"&gt;="&amp;$C$7,BD!$A$3:$A$5001,"&lt;="&amp;$B276,BD!$T$3:$T$5001,"&lt;&gt;")=0,"",SUMIFS(BD!$T$3:$T$5001,BD!$B$3:$B$5001,F$268,BD!$A$3:$A$5001,_xlfn.MAXIFS(BD!$A$3:$A$5001,BD!$B$3:$B$5001,F$268,BD!$A$3:$A$5001,"&gt;="&amp;$C$7,BD!$A$3:$A$5001,"&lt;="&amp;$B276,BD!$T$3:$T$5001,"&lt;&gt;"))))</f>
        <v/>
      </c>
      <c r="G276" s="54" t="str">
        <f>IF(OR($B276="",$A276&gt;$B$9,G$268=""),"",IF(COUNTIFS(BD!$B$3:$B$5001,G$268,BD!$A$3:$A$5001,"&gt;="&amp;$C$7,BD!$A$3:$A$5001,"&lt;="&amp;$B276,BD!$T$3:$T$5001,"&lt;&gt;")=0,"",SUMIFS(BD!$T$3:$T$5001,BD!$B$3:$B$5001,G$268,BD!$A$3:$A$5001,_xlfn.MAXIFS(BD!$A$3:$A$5001,BD!$B$3:$B$5001,G$268,BD!$A$3:$A$5001,"&gt;="&amp;$C$7,BD!$A$3:$A$5001,"&lt;="&amp;$B276,BD!$T$3:$T$5001,"&lt;&gt;"))))</f>
        <v/>
      </c>
      <c r="H276" s="54" t="str">
        <f>IF(OR($B276="",$A276&gt;$B$9,H$268=""),"",IF(COUNTIFS(BD!$B$3:$B$5001,H$268,BD!$A$3:$A$5001,"&gt;="&amp;$C$7,BD!$A$3:$A$5001,"&lt;="&amp;$B276,BD!$T$3:$T$5001,"&lt;&gt;")=0,"",SUMIFS(BD!$T$3:$T$5001,BD!$B$3:$B$5001,H$268,BD!$A$3:$A$5001,_xlfn.MAXIFS(BD!$A$3:$A$5001,BD!$B$3:$B$5001,H$268,BD!$A$3:$A$5001,"&gt;="&amp;$C$7,BD!$A$3:$A$5001,"&lt;="&amp;$B276,BD!$T$3:$T$5001,"&lt;&gt;"))))</f>
        <v/>
      </c>
      <c r="I276" s="54" t="str">
        <f>IF(OR($B276="",$A276&gt;$B$9,I$268=""),"",IF(COUNTIFS(BD!$B$3:$B$5001,I$268,BD!$A$3:$A$5001,"&gt;="&amp;$C$7,BD!$A$3:$A$5001,"&lt;="&amp;$B276,BD!$T$3:$T$5001,"&lt;&gt;")=0,"",SUMIFS(BD!$T$3:$T$5001,BD!$B$3:$B$5001,I$268,BD!$A$3:$A$5001,_xlfn.MAXIFS(BD!$A$3:$A$5001,BD!$B$3:$B$5001,I$268,BD!$A$3:$A$5001,"&gt;="&amp;$C$7,BD!$A$3:$A$5001,"&lt;="&amp;$B276,BD!$T$3:$T$5001,"&lt;&gt;"))))</f>
        <v/>
      </c>
      <c r="J276" s="54" t="str">
        <f>IF(OR($B276="",$A276&gt;$B$9,J$268=""),"",IF(COUNTIFS(BD!$B$3:$B$5001,J$268,BD!$A$3:$A$5001,"&gt;="&amp;$C$7,BD!$A$3:$A$5001,"&lt;="&amp;$B276,BD!$T$3:$T$5001,"&lt;&gt;")=0,"",SUMIFS(BD!$T$3:$T$5001,BD!$B$3:$B$5001,J$268,BD!$A$3:$A$5001,_xlfn.MAXIFS(BD!$A$3:$A$5001,BD!$B$3:$B$5001,J$268,BD!$A$3:$A$5001,"&gt;="&amp;$C$7,BD!$A$3:$A$5001,"&lt;="&amp;$B276,BD!$T$3:$T$5001,"&lt;&gt;"))))</f>
        <v/>
      </c>
      <c r="K276" s="54" t="str">
        <f>IF(OR($B276="",$A276&gt;$B$9,K$268=""),"",IF(COUNTIFS(BD!$B$3:$B$5001,K$268,BD!$A$3:$A$5001,"&gt;="&amp;$C$7,BD!$A$3:$A$5001,"&lt;="&amp;$B276,BD!$T$3:$T$5001,"&lt;&gt;")=0,"",SUMIFS(BD!$T$3:$T$5001,BD!$B$3:$B$5001,K$268,BD!$A$3:$A$5001,_xlfn.MAXIFS(BD!$A$3:$A$5001,BD!$B$3:$B$5001,K$268,BD!$A$3:$A$5001,"&gt;="&amp;$C$7,BD!$A$3:$A$5001,"&lt;="&amp;$B276,BD!$T$3:$T$5001,"&lt;&gt;"))))</f>
        <v/>
      </c>
      <c r="L276" s="54" t="str">
        <f>IF(OR($B276="",$A276&gt;$B$9,L$268=""),"",IF(COUNTIFS(BD!$B$3:$B$5001,L$268,BD!$A$3:$A$5001,"&gt;="&amp;$C$7,BD!$A$3:$A$5001,"&lt;="&amp;$B276,BD!$T$3:$T$5001,"&lt;&gt;")=0,"",SUMIFS(BD!$T$3:$T$5001,BD!$B$3:$B$5001,L$268,BD!$A$3:$A$5001,_xlfn.MAXIFS(BD!$A$3:$A$5001,BD!$B$3:$B$5001,L$268,BD!$A$3:$A$5001,"&gt;="&amp;$C$7,BD!$A$3:$A$5001,"&lt;="&amp;$B276,BD!$T$3:$T$5001,"&lt;&gt;"))))</f>
        <v/>
      </c>
      <c r="M276" s="54" t="str">
        <f>IF(OR($B276="",$A276&gt;$B$9,M$268=""),"",IF(COUNTIFS(BD!$B$3:$B$5001,M$268,BD!$A$3:$A$5001,"&gt;="&amp;$C$7,BD!$A$3:$A$5001,"&lt;="&amp;$B276,BD!$T$3:$T$5001,"&lt;&gt;")=0,"",SUMIFS(BD!$T$3:$T$5001,BD!$B$3:$B$5001,M$268,BD!$A$3:$A$5001,_xlfn.MAXIFS(BD!$A$3:$A$5001,BD!$B$3:$B$5001,M$268,BD!$A$3:$A$5001,"&gt;="&amp;$C$7,BD!$A$3:$A$5001,"&lt;="&amp;$B276,BD!$T$3:$T$5001,"&lt;&gt;"))))</f>
        <v/>
      </c>
      <c r="N276" s="54" t="str">
        <f>IF(OR($B276="",$A276&gt;$B$9,N$268=""),"",IF(COUNTIFS(BD!$B$3:$B$5001,N$268,BD!$A$3:$A$5001,"&gt;="&amp;$C$7,BD!$A$3:$A$5001,"&lt;="&amp;$B276,BD!$T$3:$T$5001,"&lt;&gt;")=0,"",SUMIFS(BD!$T$3:$T$5001,BD!$B$3:$B$5001,N$268,BD!$A$3:$A$5001,_xlfn.MAXIFS(BD!$A$3:$A$5001,BD!$B$3:$B$5001,N$268,BD!$A$3:$A$5001,"&gt;="&amp;$C$7,BD!$A$3:$A$5001,"&lt;="&amp;$B276,BD!$T$3:$T$5001,"&lt;&gt;"))))</f>
        <v/>
      </c>
      <c r="O276" s="54" t="str">
        <f>IF(OR($B276="",$A276&gt;$B$9,O$268=""),"",IF(COUNTIFS(BD!$B$3:$B$5001,O$268,BD!$A$3:$A$5001,"&gt;="&amp;$C$7,BD!$A$3:$A$5001,"&lt;="&amp;$B276,BD!$T$3:$T$5001,"&lt;&gt;")=0,"",SUMIFS(BD!$T$3:$T$5001,BD!$B$3:$B$5001,O$268,BD!$A$3:$A$5001,_xlfn.MAXIFS(BD!$A$3:$A$5001,BD!$B$3:$B$5001,O$268,BD!$A$3:$A$5001,"&gt;="&amp;$C$7,BD!$A$3:$A$5001,"&lt;="&amp;$B276,BD!$T$3:$T$5001,"&lt;&gt;"))))</f>
        <v/>
      </c>
      <c r="P276" s="54" t="str">
        <f>IF(OR($B276="",$A276&gt;$B$9,P$268=""),"",IF(COUNTIFS(BD!$B$3:$B$5001,P$268,BD!$A$3:$A$5001,"&gt;="&amp;$C$7,BD!$A$3:$A$5001,"&lt;="&amp;$B276,BD!$T$3:$T$5001,"&lt;&gt;")=0,"",SUMIFS(BD!$T$3:$T$5001,BD!$B$3:$B$5001,P$268,BD!$A$3:$A$5001,_xlfn.MAXIFS(BD!$A$3:$A$5001,BD!$B$3:$B$5001,P$268,BD!$A$3:$A$5001,"&gt;="&amp;$C$7,BD!$A$3:$A$5001,"&lt;="&amp;$B276,BD!$T$3:$T$5001,"&lt;&gt;"))))</f>
        <v/>
      </c>
      <c r="Q276" s="54" t="str">
        <f>IF(OR($B276="",$A276&gt;$B$9,Q$268=""),"",IF(COUNTIFS(BD!$B$3:$B$5001,Q$268,BD!$A$3:$A$5001,"&gt;="&amp;$C$7,BD!$A$3:$A$5001,"&lt;="&amp;$B276,BD!$T$3:$T$5001,"&lt;&gt;")=0,"",SUMIFS(BD!$T$3:$T$5001,BD!$B$3:$B$5001,Q$268,BD!$A$3:$A$5001,_xlfn.MAXIFS(BD!$A$3:$A$5001,BD!$B$3:$B$5001,Q$268,BD!$A$3:$A$5001,"&gt;="&amp;$C$7,BD!$A$3:$A$5001,"&lt;="&amp;$B276,BD!$T$3:$T$5001,"&lt;&gt;"))))</f>
        <v/>
      </c>
      <c r="R276" s="54" t="str">
        <f>IF(OR($B276="",$A276&gt;$B$9,R$268=""),"",IF(COUNTIFS(BD!$B$3:$B$5001,R$268,BD!$A$3:$A$5001,"&gt;="&amp;$C$7,BD!$A$3:$A$5001,"&lt;="&amp;$B276,BD!$T$3:$T$5001,"&lt;&gt;")=0,"",SUMIFS(BD!$T$3:$T$5001,BD!$B$3:$B$5001,R$268,BD!$A$3:$A$5001,_xlfn.MAXIFS(BD!$A$3:$A$5001,BD!$B$3:$B$5001,R$268,BD!$A$3:$A$5001,"&gt;="&amp;$C$7,BD!$A$3:$A$5001,"&lt;="&amp;$B276,BD!$T$3:$T$5001,"&lt;&gt;"))))</f>
        <v/>
      </c>
      <c r="S276" s="54" t="str">
        <f>IF(OR($B276="",$A276&gt;$B$9,S$268=""),"",IF(COUNTIFS(BD!$B$3:$B$5001,S$268,BD!$A$3:$A$5001,"&gt;="&amp;$C$7,BD!$A$3:$A$5001,"&lt;="&amp;$B276,BD!$T$3:$T$5001,"&lt;&gt;")=0,"",SUMIFS(BD!$T$3:$T$5001,BD!$B$3:$B$5001,S$268,BD!$A$3:$A$5001,_xlfn.MAXIFS(BD!$A$3:$A$5001,BD!$B$3:$B$5001,S$268,BD!$A$3:$A$5001,"&gt;="&amp;$C$7,BD!$A$3:$A$5001,"&lt;="&amp;$B276,BD!$T$3:$T$5001,"&lt;&gt;"))))</f>
        <v/>
      </c>
      <c r="T276" s="54" t="str">
        <f>IF(OR($B276="",$A276&gt;$B$9,T$268=""),"",IF(COUNTIFS(BD!$B$3:$B$5001,T$268,BD!$A$3:$A$5001,"&gt;="&amp;$C$7,BD!$A$3:$A$5001,"&lt;="&amp;$B276,BD!$T$3:$T$5001,"&lt;&gt;")=0,"",SUMIFS(BD!$T$3:$T$5001,BD!$B$3:$B$5001,T$268,BD!$A$3:$A$5001,_xlfn.MAXIFS(BD!$A$3:$A$5001,BD!$B$3:$B$5001,T$268,BD!$A$3:$A$5001,"&gt;="&amp;$C$7,BD!$A$3:$A$5001,"&lt;="&amp;$B276,BD!$T$3:$T$5001,"&lt;&gt;"))))</f>
        <v/>
      </c>
      <c r="U276" s="54" t="str">
        <f>IF(OR($B276="",$A276&gt;$B$9,U$268=""),"",IF(COUNTIFS(BD!$B$3:$B$5001,U$268,BD!$A$3:$A$5001,"&gt;="&amp;$C$7,BD!$A$3:$A$5001,"&lt;="&amp;$B276,BD!$T$3:$T$5001,"&lt;&gt;")=0,"",SUMIFS(BD!$T$3:$T$5001,BD!$B$3:$B$5001,U$268,BD!$A$3:$A$5001,_xlfn.MAXIFS(BD!$A$3:$A$5001,BD!$B$3:$B$5001,U$268,BD!$A$3:$A$5001,"&gt;="&amp;$C$7,BD!$A$3:$A$5001,"&lt;="&amp;$B276,BD!$T$3:$T$5001,"&lt;&gt;"))))</f>
        <v/>
      </c>
      <c r="V276" s="54" t="str">
        <f>IF(OR($B276="",$A276&gt;$B$9,V$268=""),"",IF(COUNTIFS(BD!$B$3:$B$5001,V$268,BD!$A$3:$A$5001,"&gt;="&amp;$C$7,BD!$A$3:$A$5001,"&lt;="&amp;$B276,BD!$T$3:$T$5001,"&lt;&gt;")=0,"",SUMIFS(BD!$T$3:$T$5001,BD!$B$3:$B$5001,V$268,BD!$A$3:$A$5001,_xlfn.MAXIFS(BD!$A$3:$A$5001,BD!$B$3:$B$5001,V$268,BD!$A$3:$A$5001,"&gt;="&amp;$C$7,BD!$A$3:$A$5001,"&lt;="&amp;$B276,BD!$T$3:$T$5001,"&lt;&gt;"))))</f>
        <v/>
      </c>
    </row>
    <row r="277">
      <c r="A277" s="48">
        <v>9</v>
      </c>
      <c r="B277" s="53">
        <f>$B$20</f>
        <v>46304</v>
      </c>
      <c r="C277" s="54" t="str">
        <f>IF(OR($B277="",$A277&gt;$B$9,C$268=""),"",IF(COUNTIFS(BD!$B$3:$B$5001,C$268,BD!$A$3:$A$5001,"&gt;="&amp;$C$7,BD!$A$3:$A$5001,"&lt;="&amp;$B277,BD!$T$3:$T$5001,"&lt;&gt;")=0,"",SUMIFS(BD!$T$3:$T$5001,BD!$B$3:$B$5001,C$268,BD!$A$3:$A$5001,_xlfn.MAXIFS(BD!$A$3:$A$5001,BD!$B$3:$B$5001,C$268,BD!$A$3:$A$5001,"&gt;="&amp;$C$7,BD!$A$3:$A$5001,"&lt;="&amp;$B277,BD!$T$3:$T$5001,"&lt;&gt;"))))</f>
        <v/>
      </c>
      <c r="D277" s="54" t="str">
        <f>IF(OR($B277="",$A277&gt;$B$9,D$268=""),"",IF(COUNTIFS(BD!$B$3:$B$5001,D$268,BD!$A$3:$A$5001,"&gt;="&amp;$C$7,BD!$A$3:$A$5001,"&lt;="&amp;$B277,BD!$T$3:$T$5001,"&lt;&gt;")=0,"",SUMIFS(BD!$T$3:$T$5001,BD!$B$3:$B$5001,D$268,BD!$A$3:$A$5001,_xlfn.MAXIFS(BD!$A$3:$A$5001,BD!$B$3:$B$5001,D$268,BD!$A$3:$A$5001,"&gt;="&amp;$C$7,BD!$A$3:$A$5001,"&lt;="&amp;$B277,BD!$T$3:$T$5001,"&lt;&gt;"))))</f>
        <v/>
      </c>
      <c r="E277" s="54" t="str">
        <f>IF(OR($B277="",$A277&gt;$B$9,E$268=""),"",IF(COUNTIFS(BD!$B$3:$B$5001,E$268,BD!$A$3:$A$5001,"&gt;="&amp;$C$7,BD!$A$3:$A$5001,"&lt;="&amp;$B277,BD!$T$3:$T$5001,"&lt;&gt;")=0,"",SUMIFS(BD!$T$3:$T$5001,BD!$B$3:$B$5001,E$268,BD!$A$3:$A$5001,_xlfn.MAXIFS(BD!$A$3:$A$5001,BD!$B$3:$B$5001,E$268,BD!$A$3:$A$5001,"&gt;="&amp;$C$7,BD!$A$3:$A$5001,"&lt;="&amp;$B277,BD!$T$3:$T$5001,"&lt;&gt;"))))</f>
        <v/>
      </c>
      <c r="F277" s="54" t="str">
        <f>IF(OR($B277="",$A277&gt;$B$9,F$268=""),"",IF(COUNTIFS(BD!$B$3:$B$5001,F$268,BD!$A$3:$A$5001,"&gt;="&amp;$C$7,BD!$A$3:$A$5001,"&lt;="&amp;$B277,BD!$T$3:$T$5001,"&lt;&gt;")=0,"",SUMIFS(BD!$T$3:$T$5001,BD!$B$3:$B$5001,F$268,BD!$A$3:$A$5001,_xlfn.MAXIFS(BD!$A$3:$A$5001,BD!$B$3:$B$5001,F$268,BD!$A$3:$A$5001,"&gt;="&amp;$C$7,BD!$A$3:$A$5001,"&lt;="&amp;$B277,BD!$T$3:$T$5001,"&lt;&gt;"))))</f>
        <v/>
      </c>
      <c r="G277" s="54" t="str">
        <f>IF(OR($B277="",$A277&gt;$B$9,G$268=""),"",IF(COUNTIFS(BD!$B$3:$B$5001,G$268,BD!$A$3:$A$5001,"&gt;="&amp;$C$7,BD!$A$3:$A$5001,"&lt;="&amp;$B277,BD!$T$3:$T$5001,"&lt;&gt;")=0,"",SUMIFS(BD!$T$3:$T$5001,BD!$B$3:$B$5001,G$268,BD!$A$3:$A$5001,_xlfn.MAXIFS(BD!$A$3:$A$5001,BD!$B$3:$B$5001,G$268,BD!$A$3:$A$5001,"&gt;="&amp;$C$7,BD!$A$3:$A$5001,"&lt;="&amp;$B277,BD!$T$3:$T$5001,"&lt;&gt;"))))</f>
        <v/>
      </c>
      <c r="H277" s="54" t="str">
        <f>IF(OR($B277="",$A277&gt;$B$9,H$268=""),"",IF(COUNTIFS(BD!$B$3:$B$5001,H$268,BD!$A$3:$A$5001,"&gt;="&amp;$C$7,BD!$A$3:$A$5001,"&lt;="&amp;$B277,BD!$T$3:$T$5001,"&lt;&gt;")=0,"",SUMIFS(BD!$T$3:$T$5001,BD!$B$3:$B$5001,H$268,BD!$A$3:$A$5001,_xlfn.MAXIFS(BD!$A$3:$A$5001,BD!$B$3:$B$5001,H$268,BD!$A$3:$A$5001,"&gt;="&amp;$C$7,BD!$A$3:$A$5001,"&lt;="&amp;$B277,BD!$T$3:$T$5001,"&lt;&gt;"))))</f>
        <v/>
      </c>
      <c r="I277" s="54" t="str">
        <f>IF(OR($B277="",$A277&gt;$B$9,I$268=""),"",IF(COUNTIFS(BD!$B$3:$B$5001,I$268,BD!$A$3:$A$5001,"&gt;="&amp;$C$7,BD!$A$3:$A$5001,"&lt;="&amp;$B277,BD!$T$3:$T$5001,"&lt;&gt;")=0,"",SUMIFS(BD!$T$3:$T$5001,BD!$B$3:$B$5001,I$268,BD!$A$3:$A$5001,_xlfn.MAXIFS(BD!$A$3:$A$5001,BD!$B$3:$B$5001,I$268,BD!$A$3:$A$5001,"&gt;="&amp;$C$7,BD!$A$3:$A$5001,"&lt;="&amp;$B277,BD!$T$3:$T$5001,"&lt;&gt;"))))</f>
        <v/>
      </c>
      <c r="J277" s="54" t="str">
        <f>IF(OR($B277="",$A277&gt;$B$9,J$268=""),"",IF(COUNTIFS(BD!$B$3:$B$5001,J$268,BD!$A$3:$A$5001,"&gt;="&amp;$C$7,BD!$A$3:$A$5001,"&lt;="&amp;$B277,BD!$T$3:$T$5001,"&lt;&gt;")=0,"",SUMIFS(BD!$T$3:$T$5001,BD!$B$3:$B$5001,J$268,BD!$A$3:$A$5001,_xlfn.MAXIFS(BD!$A$3:$A$5001,BD!$B$3:$B$5001,J$268,BD!$A$3:$A$5001,"&gt;="&amp;$C$7,BD!$A$3:$A$5001,"&lt;="&amp;$B277,BD!$T$3:$T$5001,"&lt;&gt;"))))</f>
        <v/>
      </c>
      <c r="K277" s="54" t="str">
        <f>IF(OR($B277="",$A277&gt;$B$9,K$268=""),"",IF(COUNTIFS(BD!$B$3:$B$5001,K$268,BD!$A$3:$A$5001,"&gt;="&amp;$C$7,BD!$A$3:$A$5001,"&lt;="&amp;$B277,BD!$T$3:$T$5001,"&lt;&gt;")=0,"",SUMIFS(BD!$T$3:$T$5001,BD!$B$3:$B$5001,K$268,BD!$A$3:$A$5001,_xlfn.MAXIFS(BD!$A$3:$A$5001,BD!$B$3:$B$5001,K$268,BD!$A$3:$A$5001,"&gt;="&amp;$C$7,BD!$A$3:$A$5001,"&lt;="&amp;$B277,BD!$T$3:$T$5001,"&lt;&gt;"))))</f>
        <v/>
      </c>
      <c r="L277" s="54" t="str">
        <f>IF(OR($B277="",$A277&gt;$B$9,L$268=""),"",IF(COUNTIFS(BD!$B$3:$B$5001,L$268,BD!$A$3:$A$5001,"&gt;="&amp;$C$7,BD!$A$3:$A$5001,"&lt;="&amp;$B277,BD!$T$3:$T$5001,"&lt;&gt;")=0,"",SUMIFS(BD!$T$3:$T$5001,BD!$B$3:$B$5001,L$268,BD!$A$3:$A$5001,_xlfn.MAXIFS(BD!$A$3:$A$5001,BD!$B$3:$B$5001,L$268,BD!$A$3:$A$5001,"&gt;="&amp;$C$7,BD!$A$3:$A$5001,"&lt;="&amp;$B277,BD!$T$3:$T$5001,"&lt;&gt;"))))</f>
        <v/>
      </c>
      <c r="M277" s="54" t="str">
        <f>IF(OR($B277="",$A277&gt;$B$9,M$268=""),"",IF(COUNTIFS(BD!$B$3:$B$5001,M$268,BD!$A$3:$A$5001,"&gt;="&amp;$C$7,BD!$A$3:$A$5001,"&lt;="&amp;$B277,BD!$T$3:$T$5001,"&lt;&gt;")=0,"",SUMIFS(BD!$T$3:$T$5001,BD!$B$3:$B$5001,M$268,BD!$A$3:$A$5001,_xlfn.MAXIFS(BD!$A$3:$A$5001,BD!$B$3:$B$5001,M$268,BD!$A$3:$A$5001,"&gt;="&amp;$C$7,BD!$A$3:$A$5001,"&lt;="&amp;$B277,BD!$T$3:$T$5001,"&lt;&gt;"))))</f>
        <v/>
      </c>
      <c r="N277" s="54" t="str">
        <f>IF(OR($B277="",$A277&gt;$B$9,N$268=""),"",IF(COUNTIFS(BD!$B$3:$B$5001,N$268,BD!$A$3:$A$5001,"&gt;="&amp;$C$7,BD!$A$3:$A$5001,"&lt;="&amp;$B277,BD!$T$3:$T$5001,"&lt;&gt;")=0,"",SUMIFS(BD!$T$3:$T$5001,BD!$B$3:$B$5001,N$268,BD!$A$3:$A$5001,_xlfn.MAXIFS(BD!$A$3:$A$5001,BD!$B$3:$B$5001,N$268,BD!$A$3:$A$5001,"&gt;="&amp;$C$7,BD!$A$3:$A$5001,"&lt;="&amp;$B277,BD!$T$3:$T$5001,"&lt;&gt;"))))</f>
        <v/>
      </c>
      <c r="O277" s="54" t="str">
        <f>IF(OR($B277="",$A277&gt;$B$9,O$268=""),"",IF(COUNTIFS(BD!$B$3:$B$5001,O$268,BD!$A$3:$A$5001,"&gt;="&amp;$C$7,BD!$A$3:$A$5001,"&lt;="&amp;$B277,BD!$T$3:$T$5001,"&lt;&gt;")=0,"",SUMIFS(BD!$T$3:$T$5001,BD!$B$3:$B$5001,O$268,BD!$A$3:$A$5001,_xlfn.MAXIFS(BD!$A$3:$A$5001,BD!$B$3:$B$5001,O$268,BD!$A$3:$A$5001,"&gt;="&amp;$C$7,BD!$A$3:$A$5001,"&lt;="&amp;$B277,BD!$T$3:$T$5001,"&lt;&gt;"))))</f>
        <v/>
      </c>
      <c r="P277" s="54" t="str">
        <f>IF(OR($B277="",$A277&gt;$B$9,P$268=""),"",IF(COUNTIFS(BD!$B$3:$B$5001,P$268,BD!$A$3:$A$5001,"&gt;="&amp;$C$7,BD!$A$3:$A$5001,"&lt;="&amp;$B277,BD!$T$3:$T$5001,"&lt;&gt;")=0,"",SUMIFS(BD!$T$3:$T$5001,BD!$B$3:$B$5001,P$268,BD!$A$3:$A$5001,_xlfn.MAXIFS(BD!$A$3:$A$5001,BD!$B$3:$B$5001,P$268,BD!$A$3:$A$5001,"&gt;="&amp;$C$7,BD!$A$3:$A$5001,"&lt;="&amp;$B277,BD!$T$3:$T$5001,"&lt;&gt;"))))</f>
        <v/>
      </c>
      <c r="Q277" s="54" t="str">
        <f>IF(OR($B277="",$A277&gt;$B$9,Q$268=""),"",IF(COUNTIFS(BD!$B$3:$B$5001,Q$268,BD!$A$3:$A$5001,"&gt;="&amp;$C$7,BD!$A$3:$A$5001,"&lt;="&amp;$B277,BD!$T$3:$T$5001,"&lt;&gt;")=0,"",SUMIFS(BD!$T$3:$T$5001,BD!$B$3:$B$5001,Q$268,BD!$A$3:$A$5001,_xlfn.MAXIFS(BD!$A$3:$A$5001,BD!$B$3:$B$5001,Q$268,BD!$A$3:$A$5001,"&gt;="&amp;$C$7,BD!$A$3:$A$5001,"&lt;="&amp;$B277,BD!$T$3:$T$5001,"&lt;&gt;"))))</f>
        <v/>
      </c>
      <c r="R277" s="54" t="str">
        <f>IF(OR($B277="",$A277&gt;$B$9,R$268=""),"",IF(COUNTIFS(BD!$B$3:$B$5001,R$268,BD!$A$3:$A$5001,"&gt;="&amp;$C$7,BD!$A$3:$A$5001,"&lt;="&amp;$B277,BD!$T$3:$T$5001,"&lt;&gt;")=0,"",SUMIFS(BD!$T$3:$T$5001,BD!$B$3:$B$5001,R$268,BD!$A$3:$A$5001,_xlfn.MAXIFS(BD!$A$3:$A$5001,BD!$B$3:$B$5001,R$268,BD!$A$3:$A$5001,"&gt;="&amp;$C$7,BD!$A$3:$A$5001,"&lt;="&amp;$B277,BD!$T$3:$T$5001,"&lt;&gt;"))))</f>
        <v/>
      </c>
      <c r="S277" s="54" t="str">
        <f>IF(OR($B277="",$A277&gt;$B$9,S$268=""),"",IF(COUNTIFS(BD!$B$3:$B$5001,S$268,BD!$A$3:$A$5001,"&gt;="&amp;$C$7,BD!$A$3:$A$5001,"&lt;="&amp;$B277,BD!$T$3:$T$5001,"&lt;&gt;")=0,"",SUMIFS(BD!$T$3:$T$5001,BD!$B$3:$B$5001,S$268,BD!$A$3:$A$5001,_xlfn.MAXIFS(BD!$A$3:$A$5001,BD!$B$3:$B$5001,S$268,BD!$A$3:$A$5001,"&gt;="&amp;$C$7,BD!$A$3:$A$5001,"&lt;="&amp;$B277,BD!$T$3:$T$5001,"&lt;&gt;"))))</f>
        <v/>
      </c>
      <c r="T277" s="54" t="str">
        <f>IF(OR($B277="",$A277&gt;$B$9,T$268=""),"",IF(COUNTIFS(BD!$B$3:$B$5001,T$268,BD!$A$3:$A$5001,"&gt;="&amp;$C$7,BD!$A$3:$A$5001,"&lt;="&amp;$B277,BD!$T$3:$T$5001,"&lt;&gt;")=0,"",SUMIFS(BD!$T$3:$T$5001,BD!$B$3:$B$5001,T$268,BD!$A$3:$A$5001,_xlfn.MAXIFS(BD!$A$3:$A$5001,BD!$B$3:$B$5001,T$268,BD!$A$3:$A$5001,"&gt;="&amp;$C$7,BD!$A$3:$A$5001,"&lt;="&amp;$B277,BD!$T$3:$T$5001,"&lt;&gt;"))))</f>
        <v/>
      </c>
      <c r="U277" s="54" t="str">
        <f>IF(OR($B277="",$A277&gt;$B$9,U$268=""),"",IF(COUNTIFS(BD!$B$3:$B$5001,U$268,BD!$A$3:$A$5001,"&gt;="&amp;$C$7,BD!$A$3:$A$5001,"&lt;="&amp;$B277,BD!$T$3:$T$5001,"&lt;&gt;")=0,"",SUMIFS(BD!$T$3:$T$5001,BD!$B$3:$B$5001,U$268,BD!$A$3:$A$5001,_xlfn.MAXIFS(BD!$A$3:$A$5001,BD!$B$3:$B$5001,U$268,BD!$A$3:$A$5001,"&gt;="&amp;$C$7,BD!$A$3:$A$5001,"&lt;="&amp;$B277,BD!$T$3:$T$5001,"&lt;&gt;"))))</f>
        <v/>
      </c>
      <c r="V277" s="54" t="str">
        <f>IF(OR($B277="",$A277&gt;$B$9,V$268=""),"",IF(COUNTIFS(BD!$B$3:$B$5001,V$268,BD!$A$3:$A$5001,"&gt;="&amp;$C$7,BD!$A$3:$A$5001,"&lt;="&amp;$B277,BD!$T$3:$T$5001,"&lt;&gt;")=0,"",SUMIFS(BD!$T$3:$T$5001,BD!$B$3:$B$5001,V$268,BD!$A$3:$A$5001,_xlfn.MAXIFS(BD!$A$3:$A$5001,BD!$B$3:$B$5001,V$268,BD!$A$3:$A$5001,"&gt;="&amp;$C$7,BD!$A$3:$A$5001,"&lt;="&amp;$B277,BD!$T$3:$T$5001,"&lt;&gt;"))))</f>
        <v/>
      </c>
    </row>
    <row r="278">
      <c r="A278" s="48">
        <v>10</v>
      </c>
      <c r="B278" s="53">
        <f>$B$21</f>
        <v>46305</v>
      </c>
      <c r="C278" s="54" t="str">
        <f>IF(OR($B278="",$A278&gt;$B$9,C$268=""),"",IF(COUNTIFS(BD!$B$3:$B$5001,C$268,BD!$A$3:$A$5001,"&gt;="&amp;$C$7,BD!$A$3:$A$5001,"&lt;="&amp;$B278,BD!$T$3:$T$5001,"&lt;&gt;")=0,"",SUMIFS(BD!$T$3:$T$5001,BD!$B$3:$B$5001,C$268,BD!$A$3:$A$5001,_xlfn.MAXIFS(BD!$A$3:$A$5001,BD!$B$3:$B$5001,C$268,BD!$A$3:$A$5001,"&gt;="&amp;$C$7,BD!$A$3:$A$5001,"&lt;="&amp;$B278,BD!$T$3:$T$5001,"&lt;&gt;"))))</f>
        <v/>
      </c>
      <c r="D278" s="54" t="str">
        <f>IF(OR($B278="",$A278&gt;$B$9,D$268=""),"",IF(COUNTIFS(BD!$B$3:$B$5001,D$268,BD!$A$3:$A$5001,"&gt;="&amp;$C$7,BD!$A$3:$A$5001,"&lt;="&amp;$B278,BD!$T$3:$T$5001,"&lt;&gt;")=0,"",SUMIFS(BD!$T$3:$T$5001,BD!$B$3:$B$5001,D$268,BD!$A$3:$A$5001,_xlfn.MAXIFS(BD!$A$3:$A$5001,BD!$B$3:$B$5001,D$268,BD!$A$3:$A$5001,"&gt;="&amp;$C$7,BD!$A$3:$A$5001,"&lt;="&amp;$B278,BD!$T$3:$T$5001,"&lt;&gt;"))))</f>
        <v/>
      </c>
      <c r="E278" s="54" t="str">
        <f>IF(OR($B278="",$A278&gt;$B$9,E$268=""),"",IF(COUNTIFS(BD!$B$3:$B$5001,E$268,BD!$A$3:$A$5001,"&gt;="&amp;$C$7,BD!$A$3:$A$5001,"&lt;="&amp;$B278,BD!$T$3:$T$5001,"&lt;&gt;")=0,"",SUMIFS(BD!$T$3:$T$5001,BD!$B$3:$B$5001,E$268,BD!$A$3:$A$5001,_xlfn.MAXIFS(BD!$A$3:$A$5001,BD!$B$3:$B$5001,E$268,BD!$A$3:$A$5001,"&gt;="&amp;$C$7,BD!$A$3:$A$5001,"&lt;="&amp;$B278,BD!$T$3:$T$5001,"&lt;&gt;"))))</f>
        <v/>
      </c>
      <c r="F278" s="54" t="str">
        <f>IF(OR($B278="",$A278&gt;$B$9,F$268=""),"",IF(COUNTIFS(BD!$B$3:$B$5001,F$268,BD!$A$3:$A$5001,"&gt;="&amp;$C$7,BD!$A$3:$A$5001,"&lt;="&amp;$B278,BD!$T$3:$T$5001,"&lt;&gt;")=0,"",SUMIFS(BD!$T$3:$T$5001,BD!$B$3:$B$5001,F$268,BD!$A$3:$A$5001,_xlfn.MAXIFS(BD!$A$3:$A$5001,BD!$B$3:$B$5001,F$268,BD!$A$3:$A$5001,"&gt;="&amp;$C$7,BD!$A$3:$A$5001,"&lt;="&amp;$B278,BD!$T$3:$T$5001,"&lt;&gt;"))))</f>
        <v/>
      </c>
      <c r="G278" s="54" t="str">
        <f>IF(OR($B278="",$A278&gt;$B$9,G$268=""),"",IF(COUNTIFS(BD!$B$3:$B$5001,G$268,BD!$A$3:$A$5001,"&gt;="&amp;$C$7,BD!$A$3:$A$5001,"&lt;="&amp;$B278,BD!$T$3:$T$5001,"&lt;&gt;")=0,"",SUMIFS(BD!$T$3:$T$5001,BD!$B$3:$B$5001,G$268,BD!$A$3:$A$5001,_xlfn.MAXIFS(BD!$A$3:$A$5001,BD!$B$3:$B$5001,G$268,BD!$A$3:$A$5001,"&gt;="&amp;$C$7,BD!$A$3:$A$5001,"&lt;="&amp;$B278,BD!$T$3:$T$5001,"&lt;&gt;"))))</f>
        <v/>
      </c>
      <c r="H278" s="54" t="str">
        <f>IF(OR($B278="",$A278&gt;$B$9,H$268=""),"",IF(COUNTIFS(BD!$B$3:$B$5001,H$268,BD!$A$3:$A$5001,"&gt;="&amp;$C$7,BD!$A$3:$A$5001,"&lt;="&amp;$B278,BD!$T$3:$T$5001,"&lt;&gt;")=0,"",SUMIFS(BD!$T$3:$T$5001,BD!$B$3:$B$5001,H$268,BD!$A$3:$A$5001,_xlfn.MAXIFS(BD!$A$3:$A$5001,BD!$B$3:$B$5001,H$268,BD!$A$3:$A$5001,"&gt;="&amp;$C$7,BD!$A$3:$A$5001,"&lt;="&amp;$B278,BD!$T$3:$T$5001,"&lt;&gt;"))))</f>
        <v/>
      </c>
      <c r="I278" s="54" t="str">
        <f>IF(OR($B278="",$A278&gt;$B$9,I$268=""),"",IF(COUNTIFS(BD!$B$3:$B$5001,I$268,BD!$A$3:$A$5001,"&gt;="&amp;$C$7,BD!$A$3:$A$5001,"&lt;="&amp;$B278,BD!$T$3:$T$5001,"&lt;&gt;")=0,"",SUMIFS(BD!$T$3:$T$5001,BD!$B$3:$B$5001,I$268,BD!$A$3:$A$5001,_xlfn.MAXIFS(BD!$A$3:$A$5001,BD!$B$3:$B$5001,I$268,BD!$A$3:$A$5001,"&gt;="&amp;$C$7,BD!$A$3:$A$5001,"&lt;="&amp;$B278,BD!$T$3:$T$5001,"&lt;&gt;"))))</f>
        <v/>
      </c>
      <c r="J278" s="54" t="str">
        <f>IF(OR($B278="",$A278&gt;$B$9,J$268=""),"",IF(COUNTIFS(BD!$B$3:$B$5001,J$268,BD!$A$3:$A$5001,"&gt;="&amp;$C$7,BD!$A$3:$A$5001,"&lt;="&amp;$B278,BD!$T$3:$T$5001,"&lt;&gt;")=0,"",SUMIFS(BD!$T$3:$T$5001,BD!$B$3:$B$5001,J$268,BD!$A$3:$A$5001,_xlfn.MAXIFS(BD!$A$3:$A$5001,BD!$B$3:$B$5001,J$268,BD!$A$3:$A$5001,"&gt;="&amp;$C$7,BD!$A$3:$A$5001,"&lt;="&amp;$B278,BD!$T$3:$T$5001,"&lt;&gt;"))))</f>
        <v/>
      </c>
      <c r="K278" s="54" t="str">
        <f>IF(OR($B278="",$A278&gt;$B$9,K$268=""),"",IF(COUNTIFS(BD!$B$3:$B$5001,K$268,BD!$A$3:$A$5001,"&gt;="&amp;$C$7,BD!$A$3:$A$5001,"&lt;="&amp;$B278,BD!$T$3:$T$5001,"&lt;&gt;")=0,"",SUMIFS(BD!$T$3:$T$5001,BD!$B$3:$B$5001,K$268,BD!$A$3:$A$5001,_xlfn.MAXIFS(BD!$A$3:$A$5001,BD!$B$3:$B$5001,K$268,BD!$A$3:$A$5001,"&gt;="&amp;$C$7,BD!$A$3:$A$5001,"&lt;="&amp;$B278,BD!$T$3:$T$5001,"&lt;&gt;"))))</f>
        <v/>
      </c>
      <c r="L278" s="54" t="str">
        <f>IF(OR($B278="",$A278&gt;$B$9,L$268=""),"",IF(COUNTIFS(BD!$B$3:$B$5001,L$268,BD!$A$3:$A$5001,"&gt;="&amp;$C$7,BD!$A$3:$A$5001,"&lt;="&amp;$B278,BD!$T$3:$T$5001,"&lt;&gt;")=0,"",SUMIFS(BD!$T$3:$T$5001,BD!$B$3:$B$5001,L$268,BD!$A$3:$A$5001,_xlfn.MAXIFS(BD!$A$3:$A$5001,BD!$B$3:$B$5001,L$268,BD!$A$3:$A$5001,"&gt;="&amp;$C$7,BD!$A$3:$A$5001,"&lt;="&amp;$B278,BD!$T$3:$T$5001,"&lt;&gt;"))))</f>
        <v/>
      </c>
      <c r="M278" s="54" t="str">
        <f>IF(OR($B278="",$A278&gt;$B$9,M$268=""),"",IF(COUNTIFS(BD!$B$3:$B$5001,M$268,BD!$A$3:$A$5001,"&gt;="&amp;$C$7,BD!$A$3:$A$5001,"&lt;="&amp;$B278,BD!$T$3:$T$5001,"&lt;&gt;")=0,"",SUMIFS(BD!$T$3:$T$5001,BD!$B$3:$B$5001,M$268,BD!$A$3:$A$5001,_xlfn.MAXIFS(BD!$A$3:$A$5001,BD!$B$3:$B$5001,M$268,BD!$A$3:$A$5001,"&gt;="&amp;$C$7,BD!$A$3:$A$5001,"&lt;="&amp;$B278,BD!$T$3:$T$5001,"&lt;&gt;"))))</f>
        <v/>
      </c>
      <c r="N278" s="54" t="str">
        <f>IF(OR($B278="",$A278&gt;$B$9,N$268=""),"",IF(COUNTIFS(BD!$B$3:$B$5001,N$268,BD!$A$3:$A$5001,"&gt;="&amp;$C$7,BD!$A$3:$A$5001,"&lt;="&amp;$B278,BD!$T$3:$T$5001,"&lt;&gt;")=0,"",SUMIFS(BD!$T$3:$T$5001,BD!$B$3:$B$5001,N$268,BD!$A$3:$A$5001,_xlfn.MAXIFS(BD!$A$3:$A$5001,BD!$B$3:$B$5001,N$268,BD!$A$3:$A$5001,"&gt;="&amp;$C$7,BD!$A$3:$A$5001,"&lt;="&amp;$B278,BD!$T$3:$T$5001,"&lt;&gt;"))))</f>
        <v/>
      </c>
      <c r="O278" s="54" t="str">
        <f>IF(OR($B278="",$A278&gt;$B$9,O$268=""),"",IF(COUNTIFS(BD!$B$3:$B$5001,O$268,BD!$A$3:$A$5001,"&gt;="&amp;$C$7,BD!$A$3:$A$5001,"&lt;="&amp;$B278,BD!$T$3:$T$5001,"&lt;&gt;")=0,"",SUMIFS(BD!$T$3:$T$5001,BD!$B$3:$B$5001,O$268,BD!$A$3:$A$5001,_xlfn.MAXIFS(BD!$A$3:$A$5001,BD!$B$3:$B$5001,O$268,BD!$A$3:$A$5001,"&gt;="&amp;$C$7,BD!$A$3:$A$5001,"&lt;="&amp;$B278,BD!$T$3:$T$5001,"&lt;&gt;"))))</f>
        <v/>
      </c>
      <c r="P278" s="54" t="str">
        <f>IF(OR($B278="",$A278&gt;$B$9,P$268=""),"",IF(COUNTIFS(BD!$B$3:$B$5001,P$268,BD!$A$3:$A$5001,"&gt;="&amp;$C$7,BD!$A$3:$A$5001,"&lt;="&amp;$B278,BD!$T$3:$T$5001,"&lt;&gt;")=0,"",SUMIFS(BD!$T$3:$T$5001,BD!$B$3:$B$5001,P$268,BD!$A$3:$A$5001,_xlfn.MAXIFS(BD!$A$3:$A$5001,BD!$B$3:$B$5001,P$268,BD!$A$3:$A$5001,"&gt;="&amp;$C$7,BD!$A$3:$A$5001,"&lt;="&amp;$B278,BD!$T$3:$T$5001,"&lt;&gt;"))))</f>
        <v/>
      </c>
      <c r="Q278" s="54" t="str">
        <f>IF(OR($B278="",$A278&gt;$B$9,Q$268=""),"",IF(COUNTIFS(BD!$B$3:$B$5001,Q$268,BD!$A$3:$A$5001,"&gt;="&amp;$C$7,BD!$A$3:$A$5001,"&lt;="&amp;$B278,BD!$T$3:$T$5001,"&lt;&gt;")=0,"",SUMIFS(BD!$T$3:$T$5001,BD!$B$3:$B$5001,Q$268,BD!$A$3:$A$5001,_xlfn.MAXIFS(BD!$A$3:$A$5001,BD!$B$3:$B$5001,Q$268,BD!$A$3:$A$5001,"&gt;="&amp;$C$7,BD!$A$3:$A$5001,"&lt;="&amp;$B278,BD!$T$3:$T$5001,"&lt;&gt;"))))</f>
        <v/>
      </c>
      <c r="R278" s="54" t="str">
        <f>IF(OR($B278="",$A278&gt;$B$9,R$268=""),"",IF(COUNTIFS(BD!$B$3:$B$5001,R$268,BD!$A$3:$A$5001,"&gt;="&amp;$C$7,BD!$A$3:$A$5001,"&lt;="&amp;$B278,BD!$T$3:$T$5001,"&lt;&gt;")=0,"",SUMIFS(BD!$T$3:$T$5001,BD!$B$3:$B$5001,R$268,BD!$A$3:$A$5001,_xlfn.MAXIFS(BD!$A$3:$A$5001,BD!$B$3:$B$5001,R$268,BD!$A$3:$A$5001,"&gt;="&amp;$C$7,BD!$A$3:$A$5001,"&lt;="&amp;$B278,BD!$T$3:$T$5001,"&lt;&gt;"))))</f>
        <v/>
      </c>
      <c r="S278" s="54" t="str">
        <f>IF(OR($B278="",$A278&gt;$B$9,S$268=""),"",IF(COUNTIFS(BD!$B$3:$B$5001,S$268,BD!$A$3:$A$5001,"&gt;="&amp;$C$7,BD!$A$3:$A$5001,"&lt;="&amp;$B278,BD!$T$3:$T$5001,"&lt;&gt;")=0,"",SUMIFS(BD!$T$3:$T$5001,BD!$B$3:$B$5001,S$268,BD!$A$3:$A$5001,_xlfn.MAXIFS(BD!$A$3:$A$5001,BD!$B$3:$B$5001,S$268,BD!$A$3:$A$5001,"&gt;="&amp;$C$7,BD!$A$3:$A$5001,"&lt;="&amp;$B278,BD!$T$3:$T$5001,"&lt;&gt;"))))</f>
        <v/>
      </c>
      <c r="T278" s="54" t="str">
        <f>IF(OR($B278="",$A278&gt;$B$9,T$268=""),"",IF(COUNTIFS(BD!$B$3:$B$5001,T$268,BD!$A$3:$A$5001,"&gt;="&amp;$C$7,BD!$A$3:$A$5001,"&lt;="&amp;$B278,BD!$T$3:$T$5001,"&lt;&gt;")=0,"",SUMIFS(BD!$T$3:$T$5001,BD!$B$3:$B$5001,T$268,BD!$A$3:$A$5001,_xlfn.MAXIFS(BD!$A$3:$A$5001,BD!$B$3:$B$5001,T$268,BD!$A$3:$A$5001,"&gt;="&amp;$C$7,BD!$A$3:$A$5001,"&lt;="&amp;$B278,BD!$T$3:$T$5001,"&lt;&gt;"))))</f>
        <v/>
      </c>
      <c r="U278" s="54" t="str">
        <f>IF(OR($B278="",$A278&gt;$B$9,U$268=""),"",IF(COUNTIFS(BD!$B$3:$B$5001,U$268,BD!$A$3:$A$5001,"&gt;="&amp;$C$7,BD!$A$3:$A$5001,"&lt;="&amp;$B278,BD!$T$3:$T$5001,"&lt;&gt;")=0,"",SUMIFS(BD!$T$3:$T$5001,BD!$B$3:$B$5001,U$268,BD!$A$3:$A$5001,_xlfn.MAXIFS(BD!$A$3:$A$5001,BD!$B$3:$B$5001,U$268,BD!$A$3:$A$5001,"&gt;="&amp;$C$7,BD!$A$3:$A$5001,"&lt;="&amp;$B278,BD!$T$3:$T$5001,"&lt;&gt;"))))</f>
        <v/>
      </c>
      <c r="V278" s="54" t="str">
        <f>IF(OR($B278="",$A278&gt;$B$9,V$268=""),"",IF(COUNTIFS(BD!$B$3:$B$5001,V$268,BD!$A$3:$A$5001,"&gt;="&amp;$C$7,BD!$A$3:$A$5001,"&lt;="&amp;$B278,BD!$T$3:$T$5001,"&lt;&gt;")=0,"",SUMIFS(BD!$T$3:$T$5001,BD!$B$3:$B$5001,V$268,BD!$A$3:$A$5001,_xlfn.MAXIFS(BD!$A$3:$A$5001,BD!$B$3:$B$5001,V$268,BD!$A$3:$A$5001,"&gt;="&amp;$C$7,BD!$A$3:$A$5001,"&lt;="&amp;$B278,BD!$T$3:$T$5001,"&lt;&gt;"))))</f>
        <v/>
      </c>
    </row>
    <row r="279">
      <c r="A279" s="48">
        <v>11</v>
      </c>
      <c r="B279" s="53">
        <f>$B$22</f>
        <v>46306</v>
      </c>
      <c r="C279" s="54" t="str">
        <f>IF(OR($B279="",$A279&gt;$B$9,C$268=""),"",IF(COUNTIFS(BD!$B$3:$B$5001,C$268,BD!$A$3:$A$5001,"&gt;="&amp;$C$7,BD!$A$3:$A$5001,"&lt;="&amp;$B279,BD!$T$3:$T$5001,"&lt;&gt;")=0,"",SUMIFS(BD!$T$3:$T$5001,BD!$B$3:$B$5001,C$268,BD!$A$3:$A$5001,_xlfn.MAXIFS(BD!$A$3:$A$5001,BD!$B$3:$B$5001,C$268,BD!$A$3:$A$5001,"&gt;="&amp;$C$7,BD!$A$3:$A$5001,"&lt;="&amp;$B279,BD!$T$3:$T$5001,"&lt;&gt;"))))</f>
        <v/>
      </c>
      <c r="D279" s="54" t="str">
        <f>IF(OR($B279="",$A279&gt;$B$9,D$268=""),"",IF(COUNTIFS(BD!$B$3:$B$5001,D$268,BD!$A$3:$A$5001,"&gt;="&amp;$C$7,BD!$A$3:$A$5001,"&lt;="&amp;$B279,BD!$T$3:$T$5001,"&lt;&gt;")=0,"",SUMIFS(BD!$T$3:$T$5001,BD!$B$3:$B$5001,D$268,BD!$A$3:$A$5001,_xlfn.MAXIFS(BD!$A$3:$A$5001,BD!$B$3:$B$5001,D$268,BD!$A$3:$A$5001,"&gt;="&amp;$C$7,BD!$A$3:$A$5001,"&lt;="&amp;$B279,BD!$T$3:$T$5001,"&lt;&gt;"))))</f>
        <v/>
      </c>
      <c r="E279" s="54" t="str">
        <f>IF(OR($B279="",$A279&gt;$B$9,E$268=""),"",IF(COUNTIFS(BD!$B$3:$B$5001,E$268,BD!$A$3:$A$5001,"&gt;="&amp;$C$7,BD!$A$3:$A$5001,"&lt;="&amp;$B279,BD!$T$3:$T$5001,"&lt;&gt;")=0,"",SUMIFS(BD!$T$3:$T$5001,BD!$B$3:$B$5001,E$268,BD!$A$3:$A$5001,_xlfn.MAXIFS(BD!$A$3:$A$5001,BD!$B$3:$B$5001,E$268,BD!$A$3:$A$5001,"&gt;="&amp;$C$7,BD!$A$3:$A$5001,"&lt;="&amp;$B279,BD!$T$3:$T$5001,"&lt;&gt;"))))</f>
        <v/>
      </c>
      <c r="F279" s="54" t="str">
        <f>IF(OR($B279="",$A279&gt;$B$9,F$268=""),"",IF(COUNTIFS(BD!$B$3:$B$5001,F$268,BD!$A$3:$A$5001,"&gt;="&amp;$C$7,BD!$A$3:$A$5001,"&lt;="&amp;$B279,BD!$T$3:$T$5001,"&lt;&gt;")=0,"",SUMIFS(BD!$T$3:$T$5001,BD!$B$3:$B$5001,F$268,BD!$A$3:$A$5001,_xlfn.MAXIFS(BD!$A$3:$A$5001,BD!$B$3:$B$5001,F$268,BD!$A$3:$A$5001,"&gt;="&amp;$C$7,BD!$A$3:$A$5001,"&lt;="&amp;$B279,BD!$T$3:$T$5001,"&lt;&gt;"))))</f>
        <v/>
      </c>
      <c r="G279" s="54" t="str">
        <f>IF(OR($B279="",$A279&gt;$B$9,G$268=""),"",IF(COUNTIFS(BD!$B$3:$B$5001,G$268,BD!$A$3:$A$5001,"&gt;="&amp;$C$7,BD!$A$3:$A$5001,"&lt;="&amp;$B279,BD!$T$3:$T$5001,"&lt;&gt;")=0,"",SUMIFS(BD!$T$3:$T$5001,BD!$B$3:$B$5001,G$268,BD!$A$3:$A$5001,_xlfn.MAXIFS(BD!$A$3:$A$5001,BD!$B$3:$B$5001,G$268,BD!$A$3:$A$5001,"&gt;="&amp;$C$7,BD!$A$3:$A$5001,"&lt;="&amp;$B279,BD!$T$3:$T$5001,"&lt;&gt;"))))</f>
        <v/>
      </c>
      <c r="H279" s="54" t="str">
        <f>IF(OR($B279="",$A279&gt;$B$9,H$268=""),"",IF(COUNTIFS(BD!$B$3:$B$5001,H$268,BD!$A$3:$A$5001,"&gt;="&amp;$C$7,BD!$A$3:$A$5001,"&lt;="&amp;$B279,BD!$T$3:$T$5001,"&lt;&gt;")=0,"",SUMIFS(BD!$T$3:$T$5001,BD!$B$3:$B$5001,H$268,BD!$A$3:$A$5001,_xlfn.MAXIFS(BD!$A$3:$A$5001,BD!$B$3:$B$5001,H$268,BD!$A$3:$A$5001,"&gt;="&amp;$C$7,BD!$A$3:$A$5001,"&lt;="&amp;$B279,BD!$T$3:$T$5001,"&lt;&gt;"))))</f>
        <v/>
      </c>
      <c r="I279" s="54" t="str">
        <f>IF(OR($B279="",$A279&gt;$B$9,I$268=""),"",IF(COUNTIFS(BD!$B$3:$B$5001,I$268,BD!$A$3:$A$5001,"&gt;="&amp;$C$7,BD!$A$3:$A$5001,"&lt;="&amp;$B279,BD!$T$3:$T$5001,"&lt;&gt;")=0,"",SUMIFS(BD!$T$3:$T$5001,BD!$B$3:$B$5001,I$268,BD!$A$3:$A$5001,_xlfn.MAXIFS(BD!$A$3:$A$5001,BD!$B$3:$B$5001,I$268,BD!$A$3:$A$5001,"&gt;="&amp;$C$7,BD!$A$3:$A$5001,"&lt;="&amp;$B279,BD!$T$3:$T$5001,"&lt;&gt;"))))</f>
        <v/>
      </c>
      <c r="J279" s="54" t="str">
        <f>IF(OR($B279="",$A279&gt;$B$9,J$268=""),"",IF(COUNTIFS(BD!$B$3:$B$5001,J$268,BD!$A$3:$A$5001,"&gt;="&amp;$C$7,BD!$A$3:$A$5001,"&lt;="&amp;$B279,BD!$T$3:$T$5001,"&lt;&gt;")=0,"",SUMIFS(BD!$T$3:$T$5001,BD!$B$3:$B$5001,J$268,BD!$A$3:$A$5001,_xlfn.MAXIFS(BD!$A$3:$A$5001,BD!$B$3:$B$5001,J$268,BD!$A$3:$A$5001,"&gt;="&amp;$C$7,BD!$A$3:$A$5001,"&lt;="&amp;$B279,BD!$T$3:$T$5001,"&lt;&gt;"))))</f>
        <v/>
      </c>
      <c r="K279" s="54" t="str">
        <f>IF(OR($B279="",$A279&gt;$B$9,K$268=""),"",IF(COUNTIFS(BD!$B$3:$B$5001,K$268,BD!$A$3:$A$5001,"&gt;="&amp;$C$7,BD!$A$3:$A$5001,"&lt;="&amp;$B279,BD!$T$3:$T$5001,"&lt;&gt;")=0,"",SUMIFS(BD!$T$3:$T$5001,BD!$B$3:$B$5001,K$268,BD!$A$3:$A$5001,_xlfn.MAXIFS(BD!$A$3:$A$5001,BD!$B$3:$B$5001,K$268,BD!$A$3:$A$5001,"&gt;="&amp;$C$7,BD!$A$3:$A$5001,"&lt;="&amp;$B279,BD!$T$3:$T$5001,"&lt;&gt;"))))</f>
        <v/>
      </c>
      <c r="L279" s="54" t="str">
        <f>IF(OR($B279="",$A279&gt;$B$9,L$268=""),"",IF(COUNTIFS(BD!$B$3:$B$5001,L$268,BD!$A$3:$A$5001,"&gt;="&amp;$C$7,BD!$A$3:$A$5001,"&lt;="&amp;$B279,BD!$T$3:$T$5001,"&lt;&gt;")=0,"",SUMIFS(BD!$T$3:$T$5001,BD!$B$3:$B$5001,L$268,BD!$A$3:$A$5001,_xlfn.MAXIFS(BD!$A$3:$A$5001,BD!$B$3:$B$5001,L$268,BD!$A$3:$A$5001,"&gt;="&amp;$C$7,BD!$A$3:$A$5001,"&lt;="&amp;$B279,BD!$T$3:$T$5001,"&lt;&gt;"))))</f>
        <v/>
      </c>
      <c r="M279" s="54" t="str">
        <f>IF(OR($B279="",$A279&gt;$B$9,M$268=""),"",IF(COUNTIFS(BD!$B$3:$B$5001,M$268,BD!$A$3:$A$5001,"&gt;="&amp;$C$7,BD!$A$3:$A$5001,"&lt;="&amp;$B279,BD!$T$3:$T$5001,"&lt;&gt;")=0,"",SUMIFS(BD!$T$3:$T$5001,BD!$B$3:$B$5001,M$268,BD!$A$3:$A$5001,_xlfn.MAXIFS(BD!$A$3:$A$5001,BD!$B$3:$B$5001,M$268,BD!$A$3:$A$5001,"&gt;="&amp;$C$7,BD!$A$3:$A$5001,"&lt;="&amp;$B279,BD!$T$3:$T$5001,"&lt;&gt;"))))</f>
        <v/>
      </c>
      <c r="N279" s="54" t="str">
        <f>IF(OR($B279="",$A279&gt;$B$9,N$268=""),"",IF(COUNTIFS(BD!$B$3:$B$5001,N$268,BD!$A$3:$A$5001,"&gt;="&amp;$C$7,BD!$A$3:$A$5001,"&lt;="&amp;$B279,BD!$T$3:$T$5001,"&lt;&gt;")=0,"",SUMIFS(BD!$T$3:$T$5001,BD!$B$3:$B$5001,N$268,BD!$A$3:$A$5001,_xlfn.MAXIFS(BD!$A$3:$A$5001,BD!$B$3:$B$5001,N$268,BD!$A$3:$A$5001,"&gt;="&amp;$C$7,BD!$A$3:$A$5001,"&lt;="&amp;$B279,BD!$T$3:$T$5001,"&lt;&gt;"))))</f>
        <v/>
      </c>
      <c r="O279" s="54" t="str">
        <f>IF(OR($B279="",$A279&gt;$B$9,O$268=""),"",IF(COUNTIFS(BD!$B$3:$B$5001,O$268,BD!$A$3:$A$5001,"&gt;="&amp;$C$7,BD!$A$3:$A$5001,"&lt;="&amp;$B279,BD!$T$3:$T$5001,"&lt;&gt;")=0,"",SUMIFS(BD!$T$3:$T$5001,BD!$B$3:$B$5001,O$268,BD!$A$3:$A$5001,_xlfn.MAXIFS(BD!$A$3:$A$5001,BD!$B$3:$B$5001,O$268,BD!$A$3:$A$5001,"&gt;="&amp;$C$7,BD!$A$3:$A$5001,"&lt;="&amp;$B279,BD!$T$3:$T$5001,"&lt;&gt;"))))</f>
        <v/>
      </c>
      <c r="P279" s="54" t="str">
        <f>IF(OR($B279="",$A279&gt;$B$9,P$268=""),"",IF(COUNTIFS(BD!$B$3:$B$5001,P$268,BD!$A$3:$A$5001,"&gt;="&amp;$C$7,BD!$A$3:$A$5001,"&lt;="&amp;$B279,BD!$T$3:$T$5001,"&lt;&gt;")=0,"",SUMIFS(BD!$T$3:$T$5001,BD!$B$3:$B$5001,P$268,BD!$A$3:$A$5001,_xlfn.MAXIFS(BD!$A$3:$A$5001,BD!$B$3:$B$5001,P$268,BD!$A$3:$A$5001,"&gt;="&amp;$C$7,BD!$A$3:$A$5001,"&lt;="&amp;$B279,BD!$T$3:$T$5001,"&lt;&gt;"))))</f>
        <v/>
      </c>
      <c r="Q279" s="54" t="str">
        <f>IF(OR($B279="",$A279&gt;$B$9,Q$268=""),"",IF(COUNTIFS(BD!$B$3:$B$5001,Q$268,BD!$A$3:$A$5001,"&gt;="&amp;$C$7,BD!$A$3:$A$5001,"&lt;="&amp;$B279,BD!$T$3:$T$5001,"&lt;&gt;")=0,"",SUMIFS(BD!$T$3:$T$5001,BD!$B$3:$B$5001,Q$268,BD!$A$3:$A$5001,_xlfn.MAXIFS(BD!$A$3:$A$5001,BD!$B$3:$B$5001,Q$268,BD!$A$3:$A$5001,"&gt;="&amp;$C$7,BD!$A$3:$A$5001,"&lt;="&amp;$B279,BD!$T$3:$T$5001,"&lt;&gt;"))))</f>
        <v/>
      </c>
      <c r="R279" s="54" t="str">
        <f>IF(OR($B279="",$A279&gt;$B$9,R$268=""),"",IF(COUNTIFS(BD!$B$3:$B$5001,R$268,BD!$A$3:$A$5001,"&gt;="&amp;$C$7,BD!$A$3:$A$5001,"&lt;="&amp;$B279,BD!$T$3:$T$5001,"&lt;&gt;")=0,"",SUMIFS(BD!$T$3:$T$5001,BD!$B$3:$B$5001,R$268,BD!$A$3:$A$5001,_xlfn.MAXIFS(BD!$A$3:$A$5001,BD!$B$3:$B$5001,R$268,BD!$A$3:$A$5001,"&gt;="&amp;$C$7,BD!$A$3:$A$5001,"&lt;="&amp;$B279,BD!$T$3:$T$5001,"&lt;&gt;"))))</f>
        <v/>
      </c>
      <c r="S279" s="54" t="str">
        <f>IF(OR($B279="",$A279&gt;$B$9,S$268=""),"",IF(COUNTIFS(BD!$B$3:$B$5001,S$268,BD!$A$3:$A$5001,"&gt;="&amp;$C$7,BD!$A$3:$A$5001,"&lt;="&amp;$B279,BD!$T$3:$T$5001,"&lt;&gt;")=0,"",SUMIFS(BD!$T$3:$T$5001,BD!$B$3:$B$5001,S$268,BD!$A$3:$A$5001,_xlfn.MAXIFS(BD!$A$3:$A$5001,BD!$B$3:$B$5001,S$268,BD!$A$3:$A$5001,"&gt;="&amp;$C$7,BD!$A$3:$A$5001,"&lt;="&amp;$B279,BD!$T$3:$T$5001,"&lt;&gt;"))))</f>
        <v/>
      </c>
      <c r="T279" s="54" t="str">
        <f>IF(OR($B279="",$A279&gt;$B$9,T$268=""),"",IF(COUNTIFS(BD!$B$3:$B$5001,T$268,BD!$A$3:$A$5001,"&gt;="&amp;$C$7,BD!$A$3:$A$5001,"&lt;="&amp;$B279,BD!$T$3:$T$5001,"&lt;&gt;")=0,"",SUMIFS(BD!$T$3:$T$5001,BD!$B$3:$B$5001,T$268,BD!$A$3:$A$5001,_xlfn.MAXIFS(BD!$A$3:$A$5001,BD!$B$3:$B$5001,T$268,BD!$A$3:$A$5001,"&gt;="&amp;$C$7,BD!$A$3:$A$5001,"&lt;="&amp;$B279,BD!$T$3:$T$5001,"&lt;&gt;"))))</f>
        <v/>
      </c>
      <c r="U279" s="54" t="str">
        <f>IF(OR($B279="",$A279&gt;$B$9,U$268=""),"",IF(COUNTIFS(BD!$B$3:$B$5001,U$268,BD!$A$3:$A$5001,"&gt;="&amp;$C$7,BD!$A$3:$A$5001,"&lt;="&amp;$B279,BD!$T$3:$T$5001,"&lt;&gt;")=0,"",SUMIFS(BD!$T$3:$T$5001,BD!$B$3:$B$5001,U$268,BD!$A$3:$A$5001,_xlfn.MAXIFS(BD!$A$3:$A$5001,BD!$B$3:$B$5001,U$268,BD!$A$3:$A$5001,"&gt;="&amp;$C$7,BD!$A$3:$A$5001,"&lt;="&amp;$B279,BD!$T$3:$T$5001,"&lt;&gt;"))))</f>
        <v/>
      </c>
      <c r="V279" s="54" t="str">
        <f>IF(OR($B279="",$A279&gt;$B$9,V$268=""),"",IF(COUNTIFS(BD!$B$3:$B$5001,V$268,BD!$A$3:$A$5001,"&gt;="&amp;$C$7,BD!$A$3:$A$5001,"&lt;="&amp;$B279,BD!$T$3:$T$5001,"&lt;&gt;")=0,"",SUMIFS(BD!$T$3:$T$5001,BD!$B$3:$B$5001,V$268,BD!$A$3:$A$5001,_xlfn.MAXIFS(BD!$A$3:$A$5001,BD!$B$3:$B$5001,V$268,BD!$A$3:$A$5001,"&gt;="&amp;$C$7,BD!$A$3:$A$5001,"&lt;="&amp;$B279,BD!$T$3:$T$5001,"&lt;&gt;"))))</f>
        <v/>
      </c>
    </row>
    <row r="280">
      <c r="A280" s="48">
        <v>12</v>
      </c>
      <c r="B280" s="53">
        <f>$B$23</f>
        <v>46307</v>
      </c>
      <c r="C280" s="54" t="str">
        <f>IF(OR($B280="",$A280&gt;$B$9,C$268=""),"",IF(COUNTIFS(BD!$B$3:$B$5001,C$268,BD!$A$3:$A$5001,"&gt;="&amp;$C$7,BD!$A$3:$A$5001,"&lt;="&amp;$B280,BD!$T$3:$T$5001,"&lt;&gt;")=0,"",SUMIFS(BD!$T$3:$T$5001,BD!$B$3:$B$5001,C$268,BD!$A$3:$A$5001,_xlfn.MAXIFS(BD!$A$3:$A$5001,BD!$B$3:$B$5001,C$268,BD!$A$3:$A$5001,"&gt;="&amp;$C$7,BD!$A$3:$A$5001,"&lt;="&amp;$B280,BD!$T$3:$T$5001,"&lt;&gt;"))))</f>
        <v/>
      </c>
      <c r="D280" s="54" t="str">
        <f>IF(OR($B280="",$A280&gt;$B$9,D$268=""),"",IF(COUNTIFS(BD!$B$3:$B$5001,D$268,BD!$A$3:$A$5001,"&gt;="&amp;$C$7,BD!$A$3:$A$5001,"&lt;="&amp;$B280,BD!$T$3:$T$5001,"&lt;&gt;")=0,"",SUMIFS(BD!$T$3:$T$5001,BD!$B$3:$B$5001,D$268,BD!$A$3:$A$5001,_xlfn.MAXIFS(BD!$A$3:$A$5001,BD!$B$3:$B$5001,D$268,BD!$A$3:$A$5001,"&gt;="&amp;$C$7,BD!$A$3:$A$5001,"&lt;="&amp;$B280,BD!$T$3:$T$5001,"&lt;&gt;"))))</f>
        <v/>
      </c>
      <c r="E280" s="54" t="str">
        <f>IF(OR($B280="",$A280&gt;$B$9,E$268=""),"",IF(COUNTIFS(BD!$B$3:$B$5001,E$268,BD!$A$3:$A$5001,"&gt;="&amp;$C$7,BD!$A$3:$A$5001,"&lt;="&amp;$B280,BD!$T$3:$T$5001,"&lt;&gt;")=0,"",SUMIFS(BD!$T$3:$T$5001,BD!$B$3:$B$5001,E$268,BD!$A$3:$A$5001,_xlfn.MAXIFS(BD!$A$3:$A$5001,BD!$B$3:$B$5001,E$268,BD!$A$3:$A$5001,"&gt;="&amp;$C$7,BD!$A$3:$A$5001,"&lt;="&amp;$B280,BD!$T$3:$T$5001,"&lt;&gt;"))))</f>
        <v/>
      </c>
      <c r="F280" s="54" t="str">
        <f>IF(OR($B280="",$A280&gt;$B$9,F$268=""),"",IF(COUNTIFS(BD!$B$3:$B$5001,F$268,BD!$A$3:$A$5001,"&gt;="&amp;$C$7,BD!$A$3:$A$5001,"&lt;="&amp;$B280,BD!$T$3:$T$5001,"&lt;&gt;")=0,"",SUMIFS(BD!$T$3:$T$5001,BD!$B$3:$B$5001,F$268,BD!$A$3:$A$5001,_xlfn.MAXIFS(BD!$A$3:$A$5001,BD!$B$3:$B$5001,F$268,BD!$A$3:$A$5001,"&gt;="&amp;$C$7,BD!$A$3:$A$5001,"&lt;="&amp;$B280,BD!$T$3:$T$5001,"&lt;&gt;"))))</f>
        <v/>
      </c>
      <c r="G280" s="54" t="str">
        <f>IF(OR($B280="",$A280&gt;$B$9,G$268=""),"",IF(COUNTIFS(BD!$B$3:$B$5001,G$268,BD!$A$3:$A$5001,"&gt;="&amp;$C$7,BD!$A$3:$A$5001,"&lt;="&amp;$B280,BD!$T$3:$T$5001,"&lt;&gt;")=0,"",SUMIFS(BD!$T$3:$T$5001,BD!$B$3:$B$5001,G$268,BD!$A$3:$A$5001,_xlfn.MAXIFS(BD!$A$3:$A$5001,BD!$B$3:$B$5001,G$268,BD!$A$3:$A$5001,"&gt;="&amp;$C$7,BD!$A$3:$A$5001,"&lt;="&amp;$B280,BD!$T$3:$T$5001,"&lt;&gt;"))))</f>
        <v/>
      </c>
      <c r="H280" s="54" t="str">
        <f>IF(OR($B280="",$A280&gt;$B$9,H$268=""),"",IF(COUNTIFS(BD!$B$3:$B$5001,H$268,BD!$A$3:$A$5001,"&gt;="&amp;$C$7,BD!$A$3:$A$5001,"&lt;="&amp;$B280,BD!$T$3:$T$5001,"&lt;&gt;")=0,"",SUMIFS(BD!$T$3:$T$5001,BD!$B$3:$B$5001,H$268,BD!$A$3:$A$5001,_xlfn.MAXIFS(BD!$A$3:$A$5001,BD!$B$3:$B$5001,H$268,BD!$A$3:$A$5001,"&gt;="&amp;$C$7,BD!$A$3:$A$5001,"&lt;="&amp;$B280,BD!$T$3:$T$5001,"&lt;&gt;"))))</f>
        <v/>
      </c>
      <c r="I280" s="54" t="str">
        <f>IF(OR($B280="",$A280&gt;$B$9,I$268=""),"",IF(COUNTIFS(BD!$B$3:$B$5001,I$268,BD!$A$3:$A$5001,"&gt;="&amp;$C$7,BD!$A$3:$A$5001,"&lt;="&amp;$B280,BD!$T$3:$T$5001,"&lt;&gt;")=0,"",SUMIFS(BD!$T$3:$T$5001,BD!$B$3:$B$5001,I$268,BD!$A$3:$A$5001,_xlfn.MAXIFS(BD!$A$3:$A$5001,BD!$B$3:$B$5001,I$268,BD!$A$3:$A$5001,"&gt;="&amp;$C$7,BD!$A$3:$A$5001,"&lt;="&amp;$B280,BD!$T$3:$T$5001,"&lt;&gt;"))))</f>
        <v/>
      </c>
      <c r="J280" s="54" t="str">
        <f>IF(OR($B280="",$A280&gt;$B$9,J$268=""),"",IF(COUNTIFS(BD!$B$3:$B$5001,J$268,BD!$A$3:$A$5001,"&gt;="&amp;$C$7,BD!$A$3:$A$5001,"&lt;="&amp;$B280,BD!$T$3:$T$5001,"&lt;&gt;")=0,"",SUMIFS(BD!$T$3:$T$5001,BD!$B$3:$B$5001,J$268,BD!$A$3:$A$5001,_xlfn.MAXIFS(BD!$A$3:$A$5001,BD!$B$3:$B$5001,J$268,BD!$A$3:$A$5001,"&gt;="&amp;$C$7,BD!$A$3:$A$5001,"&lt;="&amp;$B280,BD!$T$3:$T$5001,"&lt;&gt;"))))</f>
        <v/>
      </c>
      <c r="K280" s="54" t="str">
        <f>IF(OR($B280="",$A280&gt;$B$9,K$268=""),"",IF(COUNTIFS(BD!$B$3:$B$5001,K$268,BD!$A$3:$A$5001,"&gt;="&amp;$C$7,BD!$A$3:$A$5001,"&lt;="&amp;$B280,BD!$T$3:$T$5001,"&lt;&gt;")=0,"",SUMIFS(BD!$T$3:$T$5001,BD!$B$3:$B$5001,K$268,BD!$A$3:$A$5001,_xlfn.MAXIFS(BD!$A$3:$A$5001,BD!$B$3:$B$5001,K$268,BD!$A$3:$A$5001,"&gt;="&amp;$C$7,BD!$A$3:$A$5001,"&lt;="&amp;$B280,BD!$T$3:$T$5001,"&lt;&gt;"))))</f>
        <v/>
      </c>
      <c r="L280" s="54" t="str">
        <f>IF(OR($B280="",$A280&gt;$B$9,L$268=""),"",IF(COUNTIFS(BD!$B$3:$B$5001,L$268,BD!$A$3:$A$5001,"&gt;="&amp;$C$7,BD!$A$3:$A$5001,"&lt;="&amp;$B280,BD!$T$3:$T$5001,"&lt;&gt;")=0,"",SUMIFS(BD!$T$3:$T$5001,BD!$B$3:$B$5001,L$268,BD!$A$3:$A$5001,_xlfn.MAXIFS(BD!$A$3:$A$5001,BD!$B$3:$B$5001,L$268,BD!$A$3:$A$5001,"&gt;="&amp;$C$7,BD!$A$3:$A$5001,"&lt;="&amp;$B280,BD!$T$3:$T$5001,"&lt;&gt;"))))</f>
        <v/>
      </c>
      <c r="M280" s="54" t="str">
        <f>IF(OR($B280="",$A280&gt;$B$9,M$268=""),"",IF(COUNTIFS(BD!$B$3:$B$5001,M$268,BD!$A$3:$A$5001,"&gt;="&amp;$C$7,BD!$A$3:$A$5001,"&lt;="&amp;$B280,BD!$T$3:$T$5001,"&lt;&gt;")=0,"",SUMIFS(BD!$T$3:$T$5001,BD!$B$3:$B$5001,M$268,BD!$A$3:$A$5001,_xlfn.MAXIFS(BD!$A$3:$A$5001,BD!$B$3:$B$5001,M$268,BD!$A$3:$A$5001,"&gt;="&amp;$C$7,BD!$A$3:$A$5001,"&lt;="&amp;$B280,BD!$T$3:$T$5001,"&lt;&gt;"))))</f>
        <v/>
      </c>
      <c r="N280" s="54" t="str">
        <f>IF(OR($B280="",$A280&gt;$B$9,N$268=""),"",IF(COUNTIFS(BD!$B$3:$B$5001,N$268,BD!$A$3:$A$5001,"&gt;="&amp;$C$7,BD!$A$3:$A$5001,"&lt;="&amp;$B280,BD!$T$3:$T$5001,"&lt;&gt;")=0,"",SUMIFS(BD!$T$3:$T$5001,BD!$B$3:$B$5001,N$268,BD!$A$3:$A$5001,_xlfn.MAXIFS(BD!$A$3:$A$5001,BD!$B$3:$B$5001,N$268,BD!$A$3:$A$5001,"&gt;="&amp;$C$7,BD!$A$3:$A$5001,"&lt;="&amp;$B280,BD!$T$3:$T$5001,"&lt;&gt;"))))</f>
        <v/>
      </c>
      <c r="O280" s="54" t="str">
        <f>IF(OR($B280="",$A280&gt;$B$9,O$268=""),"",IF(COUNTIFS(BD!$B$3:$B$5001,O$268,BD!$A$3:$A$5001,"&gt;="&amp;$C$7,BD!$A$3:$A$5001,"&lt;="&amp;$B280,BD!$T$3:$T$5001,"&lt;&gt;")=0,"",SUMIFS(BD!$T$3:$T$5001,BD!$B$3:$B$5001,O$268,BD!$A$3:$A$5001,_xlfn.MAXIFS(BD!$A$3:$A$5001,BD!$B$3:$B$5001,O$268,BD!$A$3:$A$5001,"&gt;="&amp;$C$7,BD!$A$3:$A$5001,"&lt;="&amp;$B280,BD!$T$3:$T$5001,"&lt;&gt;"))))</f>
        <v/>
      </c>
      <c r="P280" s="54" t="str">
        <f>IF(OR($B280="",$A280&gt;$B$9,P$268=""),"",IF(COUNTIFS(BD!$B$3:$B$5001,P$268,BD!$A$3:$A$5001,"&gt;="&amp;$C$7,BD!$A$3:$A$5001,"&lt;="&amp;$B280,BD!$T$3:$T$5001,"&lt;&gt;")=0,"",SUMIFS(BD!$T$3:$T$5001,BD!$B$3:$B$5001,P$268,BD!$A$3:$A$5001,_xlfn.MAXIFS(BD!$A$3:$A$5001,BD!$B$3:$B$5001,P$268,BD!$A$3:$A$5001,"&gt;="&amp;$C$7,BD!$A$3:$A$5001,"&lt;="&amp;$B280,BD!$T$3:$T$5001,"&lt;&gt;"))))</f>
        <v/>
      </c>
      <c r="Q280" s="54" t="str">
        <f>IF(OR($B280="",$A280&gt;$B$9,Q$268=""),"",IF(COUNTIFS(BD!$B$3:$B$5001,Q$268,BD!$A$3:$A$5001,"&gt;="&amp;$C$7,BD!$A$3:$A$5001,"&lt;="&amp;$B280,BD!$T$3:$T$5001,"&lt;&gt;")=0,"",SUMIFS(BD!$T$3:$T$5001,BD!$B$3:$B$5001,Q$268,BD!$A$3:$A$5001,_xlfn.MAXIFS(BD!$A$3:$A$5001,BD!$B$3:$B$5001,Q$268,BD!$A$3:$A$5001,"&gt;="&amp;$C$7,BD!$A$3:$A$5001,"&lt;="&amp;$B280,BD!$T$3:$T$5001,"&lt;&gt;"))))</f>
        <v/>
      </c>
      <c r="R280" s="54" t="str">
        <f>IF(OR($B280="",$A280&gt;$B$9,R$268=""),"",IF(COUNTIFS(BD!$B$3:$B$5001,R$268,BD!$A$3:$A$5001,"&gt;="&amp;$C$7,BD!$A$3:$A$5001,"&lt;="&amp;$B280,BD!$T$3:$T$5001,"&lt;&gt;")=0,"",SUMIFS(BD!$T$3:$T$5001,BD!$B$3:$B$5001,R$268,BD!$A$3:$A$5001,_xlfn.MAXIFS(BD!$A$3:$A$5001,BD!$B$3:$B$5001,R$268,BD!$A$3:$A$5001,"&gt;="&amp;$C$7,BD!$A$3:$A$5001,"&lt;="&amp;$B280,BD!$T$3:$T$5001,"&lt;&gt;"))))</f>
        <v/>
      </c>
      <c r="S280" s="54" t="str">
        <f>IF(OR($B280="",$A280&gt;$B$9,S$268=""),"",IF(COUNTIFS(BD!$B$3:$B$5001,S$268,BD!$A$3:$A$5001,"&gt;="&amp;$C$7,BD!$A$3:$A$5001,"&lt;="&amp;$B280,BD!$T$3:$T$5001,"&lt;&gt;")=0,"",SUMIFS(BD!$T$3:$T$5001,BD!$B$3:$B$5001,S$268,BD!$A$3:$A$5001,_xlfn.MAXIFS(BD!$A$3:$A$5001,BD!$B$3:$B$5001,S$268,BD!$A$3:$A$5001,"&gt;="&amp;$C$7,BD!$A$3:$A$5001,"&lt;="&amp;$B280,BD!$T$3:$T$5001,"&lt;&gt;"))))</f>
        <v/>
      </c>
      <c r="T280" s="54" t="str">
        <f>IF(OR($B280="",$A280&gt;$B$9,T$268=""),"",IF(COUNTIFS(BD!$B$3:$B$5001,T$268,BD!$A$3:$A$5001,"&gt;="&amp;$C$7,BD!$A$3:$A$5001,"&lt;="&amp;$B280,BD!$T$3:$T$5001,"&lt;&gt;")=0,"",SUMIFS(BD!$T$3:$T$5001,BD!$B$3:$B$5001,T$268,BD!$A$3:$A$5001,_xlfn.MAXIFS(BD!$A$3:$A$5001,BD!$B$3:$B$5001,T$268,BD!$A$3:$A$5001,"&gt;="&amp;$C$7,BD!$A$3:$A$5001,"&lt;="&amp;$B280,BD!$T$3:$T$5001,"&lt;&gt;"))))</f>
        <v/>
      </c>
      <c r="U280" s="54" t="str">
        <f>IF(OR($B280="",$A280&gt;$B$9,U$268=""),"",IF(COUNTIFS(BD!$B$3:$B$5001,U$268,BD!$A$3:$A$5001,"&gt;="&amp;$C$7,BD!$A$3:$A$5001,"&lt;="&amp;$B280,BD!$T$3:$T$5001,"&lt;&gt;")=0,"",SUMIFS(BD!$T$3:$T$5001,BD!$B$3:$B$5001,U$268,BD!$A$3:$A$5001,_xlfn.MAXIFS(BD!$A$3:$A$5001,BD!$B$3:$B$5001,U$268,BD!$A$3:$A$5001,"&gt;="&amp;$C$7,BD!$A$3:$A$5001,"&lt;="&amp;$B280,BD!$T$3:$T$5001,"&lt;&gt;"))))</f>
        <v/>
      </c>
      <c r="V280" s="54" t="str">
        <f>IF(OR($B280="",$A280&gt;$B$9,V$268=""),"",IF(COUNTIFS(BD!$B$3:$B$5001,V$268,BD!$A$3:$A$5001,"&gt;="&amp;$C$7,BD!$A$3:$A$5001,"&lt;="&amp;$B280,BD!$T$3:$T$5001,"&lt;&gt;")=0,"",SUMIFS(BD!$T$3:$T$5001,BD!$B$3:$B$5001,V$268,BD!$A$3:$A$5001,_xlfn.MAXIFS(BD!$A$3:$A$5001,BD!$B$3:$B$5001,V$268,BD!$A$3:$A$5001,"&gt;="&amp;$C$7,BD!$A$3:$A$5001,"&lt;="&amp;$B280,BD!$T$3:$T$5001,"&lt;&gt;"))))</f>
        <v/>
      </c>
    </row>
    <row r="281">
      <c r="A281" s="48">
        <v>13</v>
      </c>
      <c r="B281" s="53">
        <f>$B$24</f>
        <v>46308</v>
      </c>
      <c r="C281" s="54" t="str">
        <f>IF(OR($B281="",$A281&gt;$B$9,C$268=""),"",IF(COUNTIFS(BD!$B$3:$B$5001,C$268,BD!$A$3:$A$5001,"&gt;="&amp;$C$7,BD!$A$3:$A$5001,"&lt;="&amp;$B281,BD!$T$3:$T$5001,"&lt;&gt;")=0,"",SUMIFS(BD!$T$3:$T$5001,BD!$B$3:$B$5001,C$268,BD!$A$3:$A$5001,_xlfn.MAXIFS(BD!$A$3:$A$5001,BD!$B$3:$B$5001,C$268,BD!$A$3:$A$5001,"&gt;="&amp;$C$7,BD!$A$3:$A$5001,"&lt;="&amp;$B281,BD!$T$3:$T$5001,"&lt;&gt;"))))</f>
        <v/>
      </c>
      <c r="D281" s="54" t="str">
        <f>IF(OR($B281="",$A281&gt;$B$9,D$268=""),"",IF(COUNTIFS(BD!$B$3:$B$5001,D$268,BD!$A$3:$A$5001,"&gt;="&amp;$C$7,BD!$A$3:$A$5001,"&lt;="&amp;$B281,BD!$T$3:$T$5001,"&lt;&gt;")=0,"",SUMIFS(BD!$T$3:$T$5001,BD!$B$3:$B$5001,D$268,BD!$A$3:$A$5001,_xlfn.MAXIFS(BD!$A$3:$A$5001,BD!$B$3:$B$5001,D$268,BD!$A$3:$A$5001,"&gt;="&amp;$C$7,BD!$A$3:$A$5001,"&lt;="&amp;$B281,BD!$T$3:$T$5001,"&lt;&gt;"))))</f>
        <v/>
      </c>
      <c r="E281" s="54" t="str">
        <f>IF(OR($B281="",$A281&gt;$B$9,E$268=""),"",IF(COUNTIFS(BD!$B$3:$B$5001,E$268,BD!$A$3:$A$5001,"&gt;="&amp;$C$7,BD!$A$3:$A$5001,"&lt;="&amp;$B281,BD!$T$3:$T$5001,"&lt;&gt;")=0,"",SUMIFS(BD!$T$3:$T$5001,BD!$B$3:$B$5001,E$268,BD!$A$3:$A$5001,_xlfn.MAXIFS(BD!$A$3:$A$5001,BD!$B$3:$B$5001,E$268,BD!$A$3:$A$5001,"&gt;="&amp;$C$7,BD!$A$3:$A$5001,"&lt;="&amp;$B281,BD!$T$3:$T$5001,"&lt;&gt;"))))</f>
        <v/>
      </c>
      <c r="F281" s="54" t="str">
        <f>IF(OR($B281="",$A281&gt;$B$9,F$268=""),"",IF(COUNTIFS(BD!$B$3:$B$5001,F$268,BD!$A$3:$A$5001,"&gt;="&amp;$C$7,BD!$A$3:$A$5001,"&lt;="&amp;$B281,BD!$T$3:$T$5001,"&lt;&gt;")=0,"",SUMIFS(BD!$T$3:$T$5001,BD!$B$3:$B$5001,F$268,BD!$A$3:$A$5001,_xlfn.MAXIFS(BD!$A$3:$A$5001,BD!$B$3:$B$5001,F$268,BD!$A$3:$A$5001,"&gt;="&amp;$C$7,BD!$A$3:$A$5001,"&lt;="&amp;$B281,BD!$T$3:$T$5001,"&lt;&gt;"))))</f>
        <v/>
      </c>
      <c r="G281" s="54" t="str">
        <f>IF(OR($B281="",$A281&gt;$B$9,G$268=""),"",IF(COUNTIFS(BD!$B$3:$B$5001,G$268,BD!$A$3:$A$5001,"&gt;="&amp;$C$7,BD!$A$3:$A$5001,"&lt;="&amp;$B281,BD!$T$3:$T$5001,"&lt;&gt;")=0,"",SUMIFS(BD!$T$3:$T$5001,BD!$B$3:$B$5001,G$268,BD!$A$3:$A$5001,_xlfn.MAXIFS(BD!$A$3:$A$5001,BD!$B$3:$B$5001,G$268,BD!$A$3:$A$5001,"&gt;="&amp;$C$7,BD!$A$3:$A$5001,"&lt;="&amp;$B281,BD!$T$3:$T$5001,"&lt;&gt;"))))</f>
        <v/>
      </c>
      <c r="H281" s="54" t="str">
        <f>IF(OR($B281="",$A281&gt;$B$9,H$268=""),"",IF(COUNTIFS(BD!$B$3:$B$5001,H$268,BD!$A$3:$A$5001,"&gt;="&amp;$C$7,BD!$A$3:$A$5001,"&lt;="&amp;$B281,BD!$T$3:$T$5001,"&lt;&gt;")=0,"",SUMIFS(BD!$T$3:$T$5001,BD!$B$3:$B$5001,H$268,BD!$A$3:$A$5001,_xlfn.MAXIFS(BD!$A$3:$A$5001,BD!$B$3:$B$5001,H$268,BD!$A$3:$A$5001,"&gt;="&amp;$C$7,BD!$A$3:$A$5001,"&lt;="&amp;$B281,BD!$T$3:$T$5001,"&lt;&gt;"))))</f>
        <v/>
      </c>
      <c r="I281" s="54" t="str">
        <f>IF(OR($B281="",$A281&gt;$B$9,I$268=""),"",IF(COUNTIFS(BD!$B$3:$B$5001,I$268,BD!$A$3:$A$5001,"&gt;="&amp;$C$7,BD!$A$3:$A$5001,"&lt;="&amp;$B281,BD!$T$3:$T$5001,"&lt;&gt;")=0,"",SUMIFS(BD!$T$3:$T$5001,BD!$B$3:$B$5001,I$268,BD!$A$3:$A$5001,_xlfn.MAXIFS(BD!$A$3:$A$5001,BD!$B$3:$B$5001,I$268,BD!$A$3:$A$5001,"&gt;="&amp;$C$7,BD!$A$3:$A$5001,"&lt;="&amp;$B281,BD!$T$3:$T$5001,"&lt;&gt;"))))</f>
        <v/>
      </c>
      <c r="J281" s="54" t="str">
        <f>IF(OR($B281="",$A281&gt;$B$9,J$268=""),"",IF(COUNTIFS(BD!$B$3:$B$5001,J$268,BD!$A$3:$A$5001,"&gt;="&amp;$C$7,BD!$A$3:$A$5001,"&lt;="&amp;$B281,BD!$T$3:$T$5001,"&lt;&gt;")=0,"",SUMIFS(BD!$T$3:$T$5001,BD!$B$3:$B$5001,J$268,BD!$A$3:$A$5001,_xlfn.MAXIFS(BD!$A$3:$A$5001,BD!$B$3:$B$5001,J$268,BD!$A$3:$A$5001,"&gt;="&amp;$C$7,BD!$A$3:$A$5001,"&lt;="&amp;$B281,BD!$T$3:$T$5001,"&lt;&gt;"))))</f>
        <v/>
      </c>
      <c r="K281" s="54" t="str">
        <f>IF(OR($B281="",$A281&gt;$B$9,K$268=""),"",IF(COUNTIFS(BD!$B$3:$B$5001,K$268,BD!$A$3:$A$5001,"&gt;="&amp;$C$7,BD!$A$3:$A$5001,"&lt;="&amp;$B281,BD!$T$3:$T$5001,"&lt;&gt;")=0,"",SUMIFS(BD!$T$3:$T$5001,BD!$B$3:$B$5001,K$268,BD!$A$3:$A$5001,_xlfn.MAXIFS(BD!$A$3:$A$5001,BD!$B$3:$B$5001,K$268,BD!$A$3:$A$5001,"&gt;="&amp;$C$7,BD!$A$3:$A$5001,"&lt;="&amp;$B281,BD!$T$3:$T$5001,"&lt;&gt;"))))</f>
        <v/>
      </c>
      <c r="L281" s="54" t="str">
        <f>IF(OR($B281="",$A281&gt;$B$9,L$268=""),"",IF(COUNTIFS(BD!$B$3:$B$5001,L$268,BD!$A$3:$A$5001,"&gt;="&amp;$C$7,BD!$A$3:$A$5001,"&lt;="&amp;$B281,BD!$T$3:$T$5001,"&lt;&gt;")=0,"",SUMIFS(BD!$T$3:$T$5001,BD!$B$3:$B$5001,L$268,BD!$A$3:$A$5001,_xlfn.MAXIFS(BD!$A$3:$A$5001,BD!$B$3:$B$5001,L$268,BD!$A$3:$A$5001,"&gt;="&amp;$C$7,BD!$A$3:$A$5001,"&lt;="&amp;$B281,BD!$T$3:$T$5001,"&lt;&gt;"))))</f>
        <v/>
      </c>
      <c r="M281" s="54" t="str">
        <f>IF(OR($B281="",$A281&gt;$B$9,M$268=""),"",IF(COUNTIFS(BD!$B$3:$B$5001,M$268,BD!$A$3:$A$5001,"&gt;="&amp;$C$7,BD!$A$3:$A$5001,"&lt;="&amp;$B281,BD!$T$3:$T$5001,"&lt;&gt;")=0,"",SUMIFS(BD!$T$3:$T$5001,BD!$B$3:$B$5001,M$268,BD!$A$3:$A$5001,_xlfn.MAXIFS(BD!$A$3:$A$5001,BD!$B$3:$B$5001,M$268,BD!$A$3:$A$5001,"&gt;="&amp;$C$7,BD!$A$3:$A$5001,"&lt;="&amp;$B281,BD!$T$3:$T$5001,"&lt;&gt;"))))</f>
        <v/>
      </c>
      <c r="N281" s="54" t="str">
        <f>IF(OR($B281="",$A281&gt;$B$9,N$268=""),"",IF(COUNTIFS(BD!$B$3:$B$5001,N$268,BD!$A$3:$A$5001,"&gt;="&amp;$C$7,BD!$A$3:$A$5001,"&lt;="&amp;$B281,BD!$T$3:$T$5001,"&lt;&gt;")=0,"",SUMIFS(BD!$T$3:$T$5001,BD!$B$3:$B$5001,N$268,BD!$A$3:$A$5001,_xlfn.MAXIFS(BD!$A$3:$A$5001,BD!$B$3:$B$5001,N$268,BD!$A$3:$A$5001,"&gt;="&amp;$C$7,BD!$A$3:$A$5001,"&lt;="&amp;$B281,BD!$T$3:$T$5001,"&lt;&gt;"))))</f>
        <v/>
      </c>
      <c r="O281" s="54" t="str">
        <f>IF(OR($B281="",$A281&gt;$B$9,O$268=""),"",IF(COUNTIFS(BD!$B$3:$B$5001,O$268,BD!$A$3:$A$5001,"&gt;="&amp;$C$7,BD!$A$3:$A$5001,"&lt;="&amp;$B281,BD!$T$3:$T$5001,"&lt;&gt;")=0,"",SUMIFS(BD!$T$3:$T$5001,BD!$B$3:$B$5001,O$268,BD!$A$3:$A$5001,_xlfn.MAXIFS(BD!$A$3:$A$5001,BD!$B$3:$B$5001,O$268,BD!$A$3:$A$5001,"&gt;="&amp;$C$7,BD!$A$3:$A$5001,"&lt;="&amp;$B281,BD!$T$3:$T$5001,"&lt;&gt;"))))</f>
        <v/>
      </c>
      <c r="P281" s="54" t="str">
        <f>IF(OR($B281="",$A281&gt;$B$9,P$268=""),"",IF(COUNTIFS(BD!$B$3:$B$5001,P$268,BD!$A$3:$A$5001,"&gt;="&amp;$C$7,BD!$A$3:$A$5001,"&lt;="&amp;$B281,BD!$T$3:$T$5001,"&lt;&gt;")=0,"",SUMIFS(BD!$T$3:$T$5001,BD!$B$3:$B$5001,P$268,BD!$A$3:$A$5001,_xlfn.MAXIFS(BD!$A$3:$A$5001,BD!$B$3:$B$5001,P$268,BD!$A$3:$A$5001,"&gt;="&amp;$C$7,BD!$A$3:$A$5001,"&lt;="&amp;$B281,BD!$T$3:$T$5001,"&lt;&gt;"))))</f>
        <v/>
      </c>
      <c r="Q281" s="54" t="str">
        <f>IF(OR($B281="",$A281&gt;$B$9,Q$268=""),"",IF(COUNTIFS(BD!$B$3:$B$5001,Q$268,BD!$A$3:$A$5001,"&gt;="&amp;$C$7,BD!$A$3:$A$5001,"&lt;="&amp;$B281,BD!$T$3:$T$5001,"&lt;&gt;")=0,"",SUMIFS(BD!$T$3:$T$5001,BD!$B$3:$B$5001,Q$268,BD!$A$3:$A$5001,_xlfn.MAXIFS(BD!$A$3:$A$5001,BD!$B$3:$B$5001,Q$268,BD!$A$3:$A$5001,"&gt;="&amp;$C$7,BD!$A$3:$A$5001,"&lt;="&amp;$B281,BD!$T$3:$T$5001,"&lt;&gt;"))))</f>
        <v/>
      </c>
      <c r="R281" s="54" t="str">
        <f>IF(OR($B281="",$A281&gt;$B$9,R$268=""),"",IF(COUNTIFS(BD!$B$3:$B$5001,R$268,BD!$A$3:$A$5001,"&gt;="&amp;$C$7,BD!$A$3:$A$5001,"&lt;="&amp;$B281,BD!$T$3:$T$5001,"&lt;&gt;")=0,"",SUMIFS(BD!$T$3:$T$5001,BD!$B$3:$B$5001,R$268,BD!$A$3:$A$5001,_xlfn.MAXIFS(BD!$A$3:$A$5001,BD!$B$3:$B$5001,R$268,BD!$A$3:$A$5001,"&gt;="&amp;$C$7,BD!$A$3:$A$5001,"&lt;="&amp;$B281,BD!$T$3:$T$5001,"&lt;&gt;"))))</f>
        <v/>
      </c>
      <c r="S281" s="54" t="str">
        <f>IF(OR($B281="",$A281&gt;$B$9,S$268=""),"",IF(COUNTIFS(BD!$B$3:$B$5001,S$268,BD!$A$3:$A$5001,"&gt;="&amp;$C$7,BD!$A$3:$A$5001,"&lt;="&amp;$B281,BD!$T$3:$T$5001,"&lt;&gt;")=0,"",SUMIFS(BD!$T$3:$T$5001,BD!$B$3:$B$5001,S$268,BD!$A$3:$A$5001,_xlfn.MAXIFS(BD!$A$3:$A$5001,BD!$B$3:$B$5001,S$268,BD!$A$3:$A$5001,"&gt;="&amp;$C$7,BD!$A$3:$A$5001,"&lt;="&amp;$B281,BD!$T$3:$T$5001,"&lt;&gt;"))))</f>
        <v/>
      </c>
      <c r="T281" s="54" t="str">
        <f>IF(OR($B281="",$A281&gt;$B$9,T$268=""),"",IF(COUNTIFS(BD!$B$3:$B$5001,T$268,BD!$A$3:$A$5001,"&gt;="&amp;$C$7,BD!$A$3:$A$5001,"&lt;="&amp;$B281,BD!$T$3:$T$5001,"&lt;&gt;")=0,"",SUMIFS(BD!$T$3:$T$5001,BD!$B$3:$B$5001,T$268,BD!$A$3:$A$5001,_xlfn.MAXIFS(BD!$A$3:$A$5001,BD!$B$3:$B$5001,T$268,BD!$A$3:$A$5001,"&gt;="&amp;$C$7,BD!$A$3:$A$5001,"&lt;="&amp;$B281,BD!$T$3:$T$5001,"&lt;&gt;"))))</f>
        <v/>
      </c>
      <c r="U281" s="54" t="str">
        <f>IF(OR($B281="",$A281&gt;$B$9,U$268=""),"",IF(COUNTIFS(BD!$B$3:$B$5001,U$268,BD!$A$3:$A$5001,"&gt;="&amp;$C$7,BD!$A$3:$A$5001,"&lt;="&amp;$B281,BD!$T$3:$T$5001,"&lt;&gt;")=0,"",SUMIFS(BD!$T$3:$T$5001,BD!$B$3:$B$5001,U$268,BD!$A$3:$A$5001,_xlfn.MAXIFS(BD!$A$3:$A$5001,BD!$B$3:$B$5001,U$268,BD!$A$3:$A$5001,"&gt;="&amp;$C$7,BD!$A$3:$A$5001,"&lt;="&amp;$B281,BD!$T$3:$T$5001,"&lt;&gt;"))))</f>
        <v/>
      </c>
      <c r="V281" s="54" t="str">
        <f>IF(OR($B281="",$A281&gt;$B$9,V$268=""),"",IF(COUNTIFS(BD!$B$3:$B$5001,V$268,BD!$A$3:$A$5001,"&gt;="&amp;$C$7,BD!$A$3:$A$5001,"&lt;="&amp;$B281,BD!$T$3:$T$5001,"&lt;&gt;")=0,"",SUMIFS(BD!$T$3:$T$5001,BD!$B$3:$B$5001,V$268,BD!$A$3:$A$5001,_xlfn.MAXIFS(BD!$A$3:$A$5001,BD!$B$3:$B$5001,V$268,BD!$A$3:$A$5001,"&gt;="&amp;$C$7,BD!$A$3:$A$5001,"&lt;="&amp;$B281,BD!$T$3:$T$5001,"&lt;&gt;"))))</f>
        <v/>
      </c>
    </row>
    <row r="282">
      <c r="A282" s="48">
        <v>14</v>
      </c>
      <c r="B282" s="53">
        <f>$B$25</f>
        <v>46309</v>
      </c>
      <c r="C282" s="54" t="str">
        <f>IF(OR($B282="",$A282&gt;$B$9,C$268=""),"",IF(COUNTIFS(BD!$B$3:$B$5001,C$268,BD!$A$3:$A$5001,"&gt;="&amp;$C$7,BD!$A$3:$A$5001,"&lt;="&amp;$B282,BD!$T$3:$T$5001,"&lt;&gt;")=0,"",SUMIFS(BD!$T$3:$T$5001,BD!$B$3:$B$5001,C$268,BD!$A$3:$A$5001,_xlfn.MAXIFS(BD!$A$3:$A$5001,BD!$B$3:$B$5001,C$268,BD!$A$3:$A$5001,"&gt;="&amp;$C$7,BD!$A$3:$A$5001,"&lt;="&amp;$B282,BD!$T$3:$T$5001,"&lt;&gt;"))))</f>
        <v/>
      </c>
      <c r="D282" s="54" t="str">
        <f>IF(OR($B282="",$A282&gt;$B$9,D$268=""),"",IF(COUNTIFS(BD!$B$3:$B$5001,D$268,BD!$A$3:$A$5001,"&gt;="&amp;$C$7,BD!$A$3:$A$5001,"&lt;="&amp;$B282,BD!$T$3:$T$5001,"&lt;&gt;")=0,"",SUMIFS(BD!$T$3:$T$5001,BD!$B$3:$B$5001,D$268,BD!$A$3:$A$5001,_xlfn.MAXIFS(BD!$A$3:$A$5001,BD!$B$3:$B$5001,D$268,BD!$A$3:$A$5001,"&gt;="&amp;$C$7,BD!$A$3:$A$5001,"&lt;="&amp;$B282,BD!$T$3:$T$5001,"&lt;&gt;"))))</f>
        <v/>
      </c>
      <c r="E282" s="54" t="str">
        <f>IF(OR($B282="",$A282&gt;$B$9,E$268=""),"",IF(COUNTIFS(BD!$B$3:$B$5001,E$268,BD!$A$3:$A$5001,"&gt;="&amp;$C$7,BD!$A$3:$A$5001,"&lt;="&amp;$B282,BD!$T$3:$T$5001,"&lt;&gt;")=0,"",SUMIFS(BD!$T$3:$T$5001,BD!$B$3:$B$5001,E$268,BD!$A$3:$A$5001,_xlfn.MAXIFS(BD!$A$3:$A$5001,BD!$B$3:$B$5001,E$268,BD!$A$3:$A$5001,"&gt;="&amp;$C$7,BD!$A$3:$A$5001,"&lt;="&amp;$B282,BD!$T$3:$T$5001,"&lt;&gt;"))))</f>
        <v/>
      </c>
      <c r="F282" s="54" t="str">
        <f>IF(OR($B282="",$A282&gt;$B$9,F$268=""),"",IF(COUNTIFS(BD!$B$3:$B$5001,F$268,BD!$A$3:$A$5001,"&gt;="&amp;$C$7,BD!$A$3:$A$5001,"&lt;="&amp;$B282,BD!$T$3:$T$5001,"&lt;&gt;")=0,"",SUMIFS(BD!$T$3:$T$5001,BD!$B$3:$B$5001,F$268,BD!$A$3:$A$5001,_xlfn.MAXIFS(BD!$A$3:$A$5001,BD!$B$3:$B$5001,F$268,BD!$A$3:$A$5001,"&gt;="&amp;$C$7,BD!$A$3:$A$5001,"&lt;="&amp;$B282,BD!$T$3:$T$5001,"&lt;&gt;"))))</f>
        <v/>
      </c>
      <c r="G282" s="54" t="str">
        <f>IF(OR($B282="",$A282&gt;$B$9,G$268=""),"",IF(COUNTIFS(BD!$B$3:$B$5001,G$268,BD!$A$3:$A$5001,"&gt;="&amp;$C$7,BD!$A$3:$A$5001,"&lt;="&amp;$B282,BD!$T$3:$T$5001,"&lt;&gt;")=0,"",SUMIFS(BD!$T$3:$T$5001,BD!$B$3:$B$5001,G$268,BD!$A$3:$A$5001,_xlfn.MAXIFS(BD!$A$3:$A$5001,BD!$B$3:$B$5001,G$268,BD!$A$3:$A$5001,"&gt;="&amp;$C$7,BD!$A$3:$A$5001,"&lt;="&amp;$B282,BD!$T$3:$T$5001,"&lt;&gt;"))))</f>
        <v/>
      </c>
      <c r="H282" s="54" t="str">
        <f>IF(OR($B282="",$A282&gt;$B$9,H$268=""),"",IF(COUNTIFS(BD!$B$3:$B$5001,H$268,BD!$A$3:$A$5001,"&gt;="&amp;$C$7,BD!$A$3:$A$5001,"&lt;="&amp;$B282,BD!$T$3:$T$5001,"&lt;&gt;")=0,"",SUMIFS(BD!$T$3:$T$5001,BD!$B$3:$B$5001,H$268,BD!$A$3:$A$5001,_xlfn.MAXIFS(BD!$A$3:$A$5001,BD!$B$3:$B$5001,H$268,BD!$A$3:$A$5001,"&gt;="&amp;$C$7,BD!$A$3:$A$5001,"&lt;="&amp;$B282,BD!$T$3:$T$5001,"&lt;&gt;"))))</f>
        <v/>
      </c>
      <c r="I282" s="54" t="str">
        <f>IF(OR($B282="",$A282&gt;$B$9,I$268=""),"",IF(COUNTIFS(BD!$B$3:$B$5001,I$268,BD!$A$3:$A$5001,"&gt;="&amp;$C$7,BD!$A$3:$A$5001,"&lt;="&amp;$B282,BD!$T$3:$T$5001,"&lt;&gt;")=0,"",SUMIFS(BD!$T$3:$T$5001,BD!$B$3:$B$5001,I$268,BD!$A$3:$A$5001,_xlfn.MAXIFS(BD!$A$3:$A$5001,BD!$B$3:$B$5001,I$268,BD!$A$3:$A$5001,"&gt;="&amp;$C$7,BD!$A$3:$A$5001,"&lt;="&amp;$B282,BD!$T$3:$T$5001,"&lt;&gt;"))))</f>
        <v/>
      </c>
      <c r="J282" s="54" t="str">
        <f>IF(OR($B282="",$A282&gt;$B$9,J$268=""),"",IF(COUNTIFS(BD!$B$3:$B$5001,J$268,BD!$A$3:$A$5001,"&gt;="&amp;$C$7,BD!$A$3:$A$5001,"&lt;="&amp;$B282,BD!$T$3:$T$5001,"&lt;&gt;")=0,"",SUMIFS(BD!$T$3:$T$5001,BD!$B$3:$B$5001,J$268,BD!$A$3:$A$5001,_xlfn.MAXIFS(BD!$A$3:$A$5001,BD!$B$3:$B$5001,J$268,BD!$A$3:$A$5001,"&gt;="&amp;$C$7,BD!$A$3:$A$5001,"&lt;="&amp;$B282,BD!$T$3:$T$5001,"&lt;&gt;"))))</f>
        <v/>
      </c>
      <c r="K282" s="54" t="str">
        <f>IF(OR($B282="",$A282&gt;$B$9,K$268=""),"",IF(COUNTIFS(BD!$B$3:$B$5001,K$268,BD!$A$3:$A$5001,"&gt;="&amp;$C$7,BD!$A$3:$A$5001,"&lt;="&amp;$B282,BD!$T$3:$T$5001,"&lt;&gt;")=0,"",SUMIFS(BD!$T$3:$T$5001,BD!$B$3:$B$5001,K$268,BD!$A$3:$A$5001,_xlfn.MAXIFS(BD!$A$3:$A$5001,BD!$B$3:$B$5001,K$268,BD!$A$3:$A$5001,"&gt;="&amp;$C$7,BD!$A$3:$A$5001,"&lt;="&amp;$B282,BD!$T$3:$T$5001,"&lt;&gt;"))))</f>
        <v/>
      </c>
      <c r="L282" s="54" t="str">
        <f>IF(OR($B282="",$A282&gt;$B$9,L$268=""),"",IF(COUNTIFS(BD!$B$3:$B$5001,L$268,BD!$A$3:$A$5001,"&gt;="&amp;$C$7,BD!$A$3:$A$5001,"&lt;="&amp;$B282,BD!$T$3:$T$5001,"&lt;&gt;")=0,"",SUMIFS(BD!$T$3:$T$5001,BD!$B$3:$B$5001,L$268,BD!$A$3:$A$5001,_xlfn.MAXIFS(BD!$A$3:$A$5001,BD!$B$3:$B$5001,L$268,BD!$A$3:$A$5001,"&gt;="&amp;$C$7,BD!$A$3:$A$5001,"&lt;="&amp;$B282,BD!$T$3:$T$5001,"&lt;&gt;"))))</f>
        <v/>
      </c>
      <c r="M282" s="54" t="str">
        <f>IF(OR($B282="",$A282&gt;$B$9,M$268=""),"",IF(COUNTIFS(BD!$B$3:$B$5001,M$268,BD!$A$3:$A$5001,"&gt;="&amp;$C$7,BD!$A$3:$A$5001,"&lt;="&amp;$B282,BD!$T$3:$T$5001,"&lt;&gt;")=0,"",SUMIFS(BD!$T$3:$T$5001,BD!$B$3:$B$5001,M$268,BD!$A$3:$A$5001,_xlfn.MAXIFS(BD!$A$3:$A$5001,BD!$B$3:$B$5001,M$268,BD!$A$3:$A$5001,"&gt;="&amp;$C$7,BD!$A$3:$A$5001,"&lt;="&amp;$B282,BD!$T$3:$T$5001,"&lt;&gt;"))))</f>
        <v/>
      </c>
      <c r="N282" s="54" t="str">
        <f>IF(OR($B282="",$A282&gt;$B$9,N$268=""),"",IF(COUNTIFS(BD!$B$3:$B$5001,N$268,BD!$A$3:$A$5001,"&gt;="&amp;$C$7,BD!$A$3:$A$5001,"&lt;="&amp;$B282,BD!$T$3:$T$5001,"&lt;&gt;")=0,"",SUMIFS(BD!$T$3:$T$5001,BD!$B$3:$B$5001,N$268,BD!$A$3:$A$5001,_xlfn.MAXIFS(BD!$A$3:$A$5001,BD!$B$3:$B$5001,N$268,BD!$A$3:$A$5001,"&gt;="&amp;$C$7,BD!$A$3:$A$5001,"&lt;="&amp;$B282,BD!$T$3:$T$5001,"&lt;&gt;"))))</f>
        <v/>
      </c>
      <c r="O282" s="54" t="str">
        <f>IF(OR($B282="",$A282&gt;$B$9,O$268=""),"",IF(COUNTIFS(BD!$B$3:$B$5001,O$268,BD!$A$3:$A$5001,"&gt;="&amp;$C$7,BD!$A$3:$A$5001,"&lt;="&amp;$B282,BD!$T$3:$T$5001,"&lt;&gt;")=0,"",SUMIFS(BD!$T$3:$T$5001,BD!$B$3:$B$5001,O$268,BD!$A$3:$A$5001,_xlfn.MAXIFS(BD!$A$3:$A$5001,BD!$B$3:$B$5001,O$268,BD!$A$3:$A$5001,"&gt;="&amp;$C$7,BD!$A$3:$A$5001,"&lt;="&amp;$B282,BD!$T$3:$T$5001,"&lt;&gt;"))))</f>
        <v/>
      </c>
      <c r="P282" s="54" t="str">
        <f>IF(OR($B282="",$A282&gt;$B$9,P$268=""),"",IF(COUNTIFS(BD!$B$3:$B$5001,P$268,BD!$A$3:$A$5001,"&gt;="&amp;$C$7,BD!$A$3:$A$5001,"&lt;="&amp;$B282,BD!$T$3:$T$5001,"&lt;&gt;")=0,"",SUMIFS(BD!$T$3:$T$5001,BD!$B$3:$B$5001,P$268,BD!$A$3:$A$5001,_xlfn.MAXIFS(BD!$A$3:$A$5001,BD!$B$3:$B$5001,P$268,BD!$A$3:$A$5001,"&gt;="&amp;$C$7,BD!$A$3:$A$5001,"&lt;="&amp;$B282,BD!$T$3:$T$5001,"&lt;&gt;"))))</f>
        <v/>
      </c>
      <c r="Q282" s="54" t="str">
        <f>IF(OR($B282="",$A282&gt;$B$9,Q$268=""),"",IF(COUNTIFS(BD!$B$3:$B$5001,Q$268,BD!$A$3:$A$5001,"&gt;="&amp;$C$7,BD!$A$3:$A$5001,"&lt;="&amp;$B282,BD!$T$3:$T$5001,"&lt;&gt;")=0,"",SUMIFS(BD!$T$3:$T$5001,BD!$B$3:$B$5001,Q$268,BD!$A$3:$A$5001,_xlfn.MAXIFS(BD!$A$3:$A$5001,BD!$B$3:$B$5001,Q$268,BD!$A$3:$A$5001,"&gt;="&amp;$C$7,BD!$A$3:$A$5001,"&lt;="&amp;$B282,BD!$T$3:$T$5001,"&lt;&gt;"))))</f>
        <v/>
      </c>
      <c r="R282" s="54" t="str">
        <f>IF(OR($B282="",$A282&gt;$B$9,R$268=""),"",IF(COUNTIFS(BD!$B$3:$B$5001,R$268,BD!$A$3:$A$5001,"&gt;="&amp;$C$7,BD!$A$3:$A$5001,"&lt;="&amp;$B282,BD!$T$3:$T$5001,"&lt;&gt;")=0,"",SUMIFS(BD!$T$3:$T$5001,BD!$B$3:$B$5001,R$268,BD!$A$3:$A$5001,_xlfn.MAXIFS(BD!$A$3:$A$5001,BD!$B$3:$B$5001,R$268,BD!$A$3:$A$5001,"&gt;="&amp;$C$7,BD!$A$3:$A$5001,"&lt;="&amp;$B282,BD!$T$3:$T$5001,"&lt;&gt;"))))</f>
        <v/>
      </c>
      <c r="S282" s="54" t="str">
        <f>IF(OR($B282="",$A282&gt;$B$9,S$268=""),"",IF(COUNTIFS(BD!$B$3:$B$5001,S$268,BD!$A$3:$A$5001,"&gt;="&amp;$C$7,BD!$A$3:$A$5001,"&lt;="&amp;$B282,BD!$T$3:$T$5001,"&lt;&gt;")=0,"",SUMIFS(BD!$T$3:$T$5001,BD!$B$3:$B$5001,S$268,BD!$A$3:$A$5001,_xlfn.MAXIFS(BD!$A$3:$A$5001,BD!$B$3:$B$5001,S$268,BD!$A$3:$A$5001,"&gt;="&amp;$C$7,BD!$A$3:$A$5001,"&lt;="&amp;$B282,BD!$T$3:$T$5001,"&lt;&gt;"))))</f>
        <v/>
      </c>
      <c r="T282" s="54" t="str">
        <f>IF(OR($B282="",$A282&gt;$B$9,T$268=""),"",IF(COUNTIFS(BD!$B$3:$B$5001,T$268,BD!$A$3:$A$5001,"&gt;="&amp;$C$7,BD!$A$3:$A$5001,"&lt;="&amp;$B282,BD!$T$3:$T$5001,"&lt;&gt;")=0,"",SUMIFS(BD!$T$3:$T$5001,BD!$B$3:$B$5001,T$268,BD!$A$3:$A$5001,_xlfn.MAXIFS(BD!$A$3:$A$5001,BD!$B$3:$B$5001,T$268,BD!$A$3:$A$5001,"&gt;="&amp;$C$7,BD!$A$3:$A$5001,"&lt;="&amp;$B282,BD!$T$3:$T$5001,"&lt;&gt;"))))</f>
        <v/>
      </c>
      <c r="U282" s="54" t="str">
        <f>IF(OR($B282="",$A282&gt;$B$9,U$268=""),"",IF(COUNTIFS(BD!$B$3:$B$5001,U$268,BD!$A$3:$A$5001,"&gt;="&amp;$C$7,BD!$A$3:$A$5001,"&lt;="&amp;$B282,BD!$T$3:$T$5001,"&lt;&gt;")=0,"",SUMIFS(BD!$T$3:$T$5001,BD!$B$3:$B$5001,U$268,BD!$A$3:$A$5001,_xlfn.MAXIFS(BD!$A$3:$A$5001,BD!$B$3:$B$5001,U$268,BD!$A$3:$A$5001,"&gt;="&amp;$C$7,BD!$A$3:$A$5001,"&lt;="&amp;$B282,BD!$T$3:$T$5001,"&lt;&gt;"))))</f>
        <v/>
      </c>
      <c r="V282" s="54" t="str">
        <f>IF(OR($B282="",$A282&gt;$B$9,V$268=""),"",IF(COUNTIFS(BD!$B$3:$B$5001,V$268,BD!$A$3:$A$5001,"&gt;="&amp;$C$7,BD!$A$3:$A$5001,"&lt;="&amp;$B282,BD!$T$3:$T$5001,"&lt;&gt;")=0,"",SUMIFS(BD!$T$3:$T$5001,BD!$B$3:$B$5001,V$268,BD!$A$3:$A$5001,_xlfn.MAXIFS(BD!$A$3:$A$5001,BD!$B$3:$B$5001,V$268,BD!$A$3:$A$5001,"&gt;="&amp;$C$7,BD!$A$3:$A$5001,"&lt;="&amp;$B282,BD!$T$3:$T$5001,"&lt;&gt;"))))</f>
        <v/>
      </c>
    </row>
    <row r="283">
      <c r="A283" s="48">
        <v>15</v>
      </c>
      <c r="B283" s="53">
        <f>$B$26</f>
        <v>46310</v>
      </c>
      <c r="C283" s="54" t="str">
        <f>IF(OR($B283="",$A283&gt;$B$9,C$268=""),"",IF(COUNTIFS(BD!$B$3:$B$5001,C$268,BD!$A$3:$A$5001,"&gt;="&amp;$C$7,BD!$A$3:$A$5001,"&lt;="&amp;$B283,BD!$T$3:$T$5001,"&lt;&gt;")=0,"",SUMIFS(BD!$T$3:$T$5001,BD!$B$3:$B$5001,C$268,BD!$A$3:$A$5001,_xlfn.MAXIFS(BD!$A$3:$A$5001,BD!$B$3:$B$5001,C$268,BD!$A$3:$A$5001,"&gt;="&amp;$C$7,BD!$A$3:$A$5001,"&lt;="&amp;$B283,BD!$T$3:$T$5001,"&lt;&gt;"))))</f>
        <v/>
      </c>
      <c r="D283" s="54" t="str">
        <f>IF(OR($B283="",$A283&gt;$B$9,D$268=""),"",IF(COUNTIFS(BD!$B$3:$B$5001,D$268,BD!$A$3:$A$5001,"&gt;="&amp;$C$7,BD!$A$3:$A$5001,"&lt;="&amp;$B283,BD!$T$3:$T$5001,"&lt;&gt;")=0,"",SUMIFS(BD!$T$3:$T$5001,BD!$B$3:$B$5001,D$268,BD!$A$3:$A$5001,_xlfn.MAXIFS(BD!$A$3:$A$5001,BD!$B$3:$B$5001,D$268,BD!$A$3:$A$5001,"&gt;="&amp;$C$7,BD!$A$3:$A$5001,"&lt;="&amp;$B283,BD!$T$3:$T$5001,"&lt;&gt;"))))</f>
        <v/>
      </c>
      <c r="E283" s="54" t="str">
        <f>IF(OR($B283="",$A283&gt;$B$9,E$268=""),"",IF(COUNTIFS(BD!$B$3:$B$5001,E$268,BD!$A$3:$A$5001,"&gt;="&amp;$C$7,BD!$A$3:$A$5001,"&lt;="&amp;$B283,BD!$T$3:$T$5001,"&lt;&gt;")=0,"",SUMIFS(BD!$T$3:$T$5001,BD!$B$3:$B$5001,E$268,BD!$A$3:$A$5001,_xlfn.MAXIFS(BD!$A$3:$A$5001,BD!$B$3:$B$5001,E$268,BD!$A$3:$A$5001,"&gt;="&amp;$C$7,BD!$A$3:$A$5001,"&lt;="&amp;$B283,BD!$T$3:$T$5001,"&lt;&gt;"))))</f>
        <v/>
      </c>
      <c r="F283" s="54" t="str">
        <f>IF(OR($B283="",$A283&gt;$B$9,F$268=""),"",IF(COUNTIFS(BD!$B$3:$B$5001,F$268,BD!$A$3:$A$5001,"&gt;="&amp;$C$7,BD!$A$3:$A$5001,"&lt;="&amp;$B283,BD!$T$3:$T$5001,"&lt;&gt;")=0,"",SUMIFS(BD!$T$3:$T$5001,BD!$B$3:$B$5001,F$268,BD!$A$3:$A$5001,_xlfn.MAXIFS(BD!$A$3:$A$5001,BD!$B$3:$B$5001,F$268,BD!$A$3:$A$5001,"&gt;="&amp;$C$7,BD!$A$3:$A$5001,"&lt;="&amp;$B283,BD!$T$3:$T$5001,"&lt;&gt;"))))</f>
        <v/>
      </c>
      <c r="G283" s="54" t="str">
        <f>IF(OR($B283="",$A283&gt;$B$9,G$268=""),"",IF(COUNTIFS(BD!$B$3:$B$5001,G$268,BD!$A$3:$A$5001,"&gt;="&amp;$C$7,BD!$A$3:$A$5001,"&lt;="&amp;$B283,BD!$T$3:$T$5001,"&lt;&gt;")=0,"",SUMIFS(BD!$T$3:$T$5001,BD!$B$3:$B$5001,G$268,BD!$A$3:$A$5001,_xlfn.MAXIFS(BD!$A$3:$A$5001,BD!$B$3:$B$5001,G$268,BD!$A$3:$A$5001,"&gt;="&amp;$C$7,BD!$A$3:$A$5001,"&lt;="&amp;$B283,BD!$T$3:$T$5001,"&lt;&gt;"))))</f>
        <v/>
      </c>
      <c r="H283" s="54" t="str">
        <f>IF(OR($B283="",$A283&gt;$B$9,H$268=""),"",IF(COUNTIFS(BD!$B$3:$B$5001,H$268,BD!$A$3:$A$5001,"&gt;="&amp;$C$7,BD!$A$3:$A$5001,"&lt;="&amp;$B283,BD!$T$3:$T$5001,"&lt;&gt;")=0,"",SUMIFS(BD!$T$3:$T$5001,BD!$B$3:$B$5001,H$268,BD!$A$3:$A$5001,_xlfn.MAXIFS(BD!$A$3:$A$5001,BD!$B$3:$B$5001,H$268,BD!$A$3:$A$5001,"&gt;="&amp;$C$7,BD!$A$3:$A$5001,"&lt;="&amp;$B283,BD!$T$3:$T$5001,"&lt;&gt;"))))</f>
        <v/>
      </c>
      <c r="I283" s="54" t="str">
        <f>IF(OR($B283="",$A283&gt;$B$9,I$268=""),"",IF(COUNTIFS(BD!$B$3:$B$5001,I$268,BD!$A$3:$A$5001,"&gt;="&amp;$C$7,BD!$A$3:$A$5001,"&lt;="&amp;$B283,BD!$T$3:$T$5001,"&lt;&gt;")=0,"",SUMIFS(BD!$T$3:$T$5001,BD!$B$3:$B$5001,I$268,BD!$A$3:$A$5001,_xlfn.MAXIFS(BD!$A$3:$A$5001,BD!$B$3:$B$5001,I$268,BD!$A$3:$A$5001,"&gt;="&amp;$C$7,BD!$A$3:$A$5001,"&lt;="&amp;$B283,BD!$T$3:$T$5001,"&lt;&gt;"))))</f>
        <v/>
      </c>
      <c r="J283" s="54" t="str">
        <f>IF(OR($B283="",$A283&gt;$B$9,J$268=""),"",IF(COUNTIFS(BD!$B$3:$B$5001,J$268,BD!$A$3:$A$5001,"&gt;="&amp;$C$7,BD!$A$3:$A$5001,"&lt;="&amp;$B283,BD!$T$3:$T$5001,"&lt;&gt;")=0,"",SUMIFS(BD!$T$3:$T$5001,BD!$B$3:$B$5001,J$268,BD!$A$3:$A$5001,_xlfn.MAXIFS(BD!$A$3:$A$5001,BD!$B$3:$B$5001,J$268,BD!$A$3:$A$5001,"&gt;="&amp;$C$7,BD!$A$3:$A$5001,"&lt;="&amp;$B283,BD!$T$3:$T$5001,"&lt;&gt;"))))</f>
        <v/>
      </c>
      <c r="K283" s="54" t="str">
        <f>IF(OR($B283="",$A283&gt;$B$9,K$268=""),"",IF(COUNTIFS(BD!$B$3:$B$5001,K$268,BD!$A$3:$A$5001,"&gt;="&amp;$C$7,BD!$A$3:$A$5001,"&lt;="&amp;$B283,BD!$T$3:$T$5001,"&lt;&gt;")=0,"",SUMIFS(BD!$T$3:$T$5001,BD!$B$3:$B$5001,K$268,BD!$A$3:$A$5001,_xlfn.MAXIFS(BD!$A$3:$A$5001,BD!$B$3:$B$5001,K$268,BD!$A$3:$A$5001,"&gt;="&amp;$C$7,BD!$A$3:$A$5001,"&lt;="&amp;$B283,BD!$T$3:$T$5001,"&lt;&gt;"))))</f>
        <v/>
      </c>
      <c r="L283" s="54" t="str">
        <f>IF(OR($B283="",$A283&gt;$B$9,L$268=""),"",IF(COUNTIFS(BD!$B$3:$B$5001,L$268,BD!$A$3:$A$5001,"&gt;="&amp;$C$7,BD!$A$3:$A$5001,"&lt;="&amp;$B283,BD!$T$3:$T$5001,"&lt;&gt;")=0,"",SUMIFS(BD!$T$3:$T$5001,BD!$B$3:$B$5001,L$268,BD!$A$3:$A$5001,_xlfn.MAXIFS(BD!$A$3:$A$5001,BD!$B$3:$B$5001,L$268,BD!$A$3:$A$5001,"&gt;="&amp;$C$7,BD!$A$3:$A$5001,"&lt;="&amp;$B283,BD!$T$3:$T$5001,"&lt;&gt;"))))</f>
        <v/>
      </c>
      <c r="M283" s="54" t="str">
        <f>IF(OR($B283="",$A283&gt;$B$9,M$268=""),"",IF(COUNTIFS(BD!$B$3:$B$5001,M$268,BD!$A$3:$A$5001,"&gt;="&amp;$C$7,BD!$A$3:$A$5001,"&lt;="&amp;$B283,BD!$T$3:$T$5001,"&lt;&gt;")=0,"",SUMIFS(BD!$T$3:$T$5001,BD!$B$3:$B$5001,M$268,BD!$A$3:$A$5001,_xlfn.MAXIFS(BD!$A$3:$A$5001,BD!$B$3:$B$5001,M$268,BD!$A$3:$A$5001,"&gt;="&amp;$C$7,BD!$A$3:$A$5001,"&lt;="&amp;$B283,BD!$T$3:$T$5001,"&lt;&gt;"))))</f>
        <v/>
      </c>
      <c r="N283" s="54" t="str">
        <f>IF(OR($B283="",$A283&gt;$B$9,N$268=""),"",IF(COUNTIFS(BD!$B$3:$B$5001,N$268,BD!$A$3:$A$5001,"&gt;="&amp;$C$7,BD!$A$3:$A$5001,"&lt;="&amp;$B283,BD!$T$3:$T$5001,"&lt;&gt;")=0,"",SUMIFS(BD!$T$3:$T$5001,BD!$B$3:$B$5001,N$268,BD!$A$3:$A$5001,_xlfn.MAXIFS(BD!$A$3:$A$5001,BD!$B$3:$B$5001,N$268,BD!$A$3:$A$5001,"&gt;="&amp;$C$7,BD!$A$3:$A$5001,"&lt;="&amp;$B283,BD!$T$3:$T$5001,"&lt;&gt;"))))</f>
        <v/>
      </c>
      <c r="O283" s="54" t="str">
        <f>IF(OR($B283="",$A283&gt;$B$9,O$268=""),"",IF(COUNTIFS(BD!$B$3:$B$5001,O$268,BD!$A$3:$A$5001,"&gt;="&amp;$C$7,BD!$A$3:$A$5001,"&lt;="&amp;$B283,BD!$T$3:$T$5001,"&lt;&gt;")=0,"",SUMIFS(BD!$T$3:$T$5001,BD!$B$3:$B$5001,O$268,BD!$A$3:$A$5001,_xlfn.MAXIFS(BD!$A$3:$A$5001,BD!$B$3:$B$5001,O$268,BD!$A$3:$A$5001,"&gt;="&amp;$C$7,BD!$A$3:$A$5001,"&lt;="&amp;$B283,BD!$T$3:$T$5001,"&lt;&gt;"))))</f>
        <v/>
      </c>
      <c r="P283" s="54" t="str">
        <f>IF(OR($B283="",$A283&gt;$B$9,P$268=""),"",IF(COUNTIFS(BD!$B$3:$B$5001,P$268,BD!$A$3:$A$5001,"&gt;="&amp;$C$7,BD!$A$3:$A$5001,"&lt;="&amp;$B283,BD!$T$3:$T$5001,"&lt;&gt;")=0,"",SUMIFS(BD!$T$3:$T$5001,BD!$B$3:$B$5001,P$268,BD!$A$3:$A$5001,_xlfn.MAXIFS(BD!$A$3:$A$5001,BD!$B$3:$B$5001,P$268,BD!$A$3:$A$5001,"&gt;="&amp;$C$7,BD!$A$3:$A$5001,"&lt;="&amp;$B283,BD!$T$3:$T$5001,"&lt;&gt;"))))</f>
        <v/>
      </c>
      <c r="Q283" s="54" t="str">
        <f>IF(OR($B283="",$A283&gt;$B$9,Q$268=""),"",IF(COUNTIFS(BD!$B$3:$B$5001,Q$268,BD!$A$3:$A$5001,"&gt;="&amp;$C$7,BD!$A$3:$A$5001,"&lt;="&amp;$B283,BD!$T$3:$T$5001,"&lt;&gt;")=0,"",SUMIFS(BD!$T$3:$T$5001,BD!$B$3:$B$5001,Q$268,BD!$A$3:$A$5001,_xlfn.MAXIFS(BD!$A$3:$A$5001,BD!$B$3:$B$5001,Q$268,BD!$A$3:$A$5001,"&gt;="&amp;$C$7,BD!$A$3:$A$5001,"&lt;="&amp;$B283,BD!$T$3:$T$5001,"&lt;&gt;"))))</f>
        <v/>
      </c>
      <c r="R283" s="54" t="str">
        <f>IF(OR($B283="",$A283&gt;$B$9,R$268=""),"",IF(COUNTIFS(BD!$B$3:$B$5001,R$268,BD!$A$3:$A$5001,"&gt;="&amp;$C$7,BD!$A$3:$A$5001,"&lt;="&amp;$B283,BD!$T$3:$T$5001,"&lt;&gt;")=0,"",SUMIFS(BD!$T$3:$T$5001,BD!$B$3:$B$5001,R$268,BD!$A$3:$A$5001,_xlfn.MAXIFS(BD!$A$3:$A$5001,BD!$B$3:$B$5001,R$268,BD!$A$3:$A$5001,"&gt;="&amp;$C$7,BD!$A$3:$A$5001,"&lt;="&amp;$B283,BD!$T$3:$T$5001,"&lt;&gt;"))))</f>
        <v/>
      </c>
      <c r="S283" s="54" t="str">
        <f>IF(OR($B283="",$A283&gt;$B$9,S$268=""),"",IF(COUNTIFS(BD!$B$3:$B$5001,S$268,BD!$A$3:$A$5001,"&gt;="&amp;$C$7,BD!$A$3:$A$5001,"&lt;="&amp;$B283,BD!$T$3:$T$5001,"&lt;&gt;")=0,"",SUMIFS(BD!$T$3:$T$5001,BD!$B$3:$B$5001,S$268,BD!$A$3:$A$5001,_xlfn.MAXIFS(BD!$A$3:$A$5001,BD!$B$3:$B$5001,S$268,BD!$A$3:$A$5001,"&gt;="&amp;$C$7,BD!$A$3:$A$5001,"&lt;="&amp;$B283,BD!$T$3:$T$5001,"&lt;&gt;"))))</f>
        <v/>
      </c>
      <c r="T283" s="54" t="str">
        <f>IF(OR($B283="",$A283&gt;$B$9,T$268=""),"",IF(COUNTIFS(BD!$B$3:$B$5001,T$268,BD!$A$3:$A$5001,"&gt;="&amp;$C$7,BD!$A$3:$A$5001,"&lt;="&amp;$B283,BD!$T$3:$T$5001,"&lt;&gt;")=0,"",SUMIFS(BD!$T$3:$T$5001,BD!$B$3:$B$5001,T$268,BD!$A$3:$A$5001,_xlfn.MAXIFS(BD!$A$3:$A$5001,BD!$B$3:$B$5001,T$268,BD!$A$3:$A$5001,"&gt;="&amp;$C$7,BD!$A$3:$A$5001,"&lt;="&amp;$B283,BD!$T$3:$T$5001,"&lt;&gt;"))))</f>
        <v/>
      </c>
      <c r="U283" s="54" t="str">
        <f>IF(OR($B283="",$A283&gt;$B$9,U$268=""),"",IF(COUNTIFS(BD!$B$3:$B$5001,U$268,BD!$A$3:$A$5001,"&gt;="&amp;$C$7,BD!$A$3:$A$5001,"&lt;="&amp;$B283,BD!$T$3:$T$5001,"&lt;&gt;")=0,"",SUMIFS(BD!$T$3:$T$5001,BD!$B$3:$B$5001,U$268,BD!$A$3:$A$5001,_xlfn.MAXIFS(BD!$A$3:$A$5001,BD!$B$3:$B$5001,U$268,BD!$A$3:$A$5001,"&gt;="&amp;$C$7,BD!$A$3:$A$5001,"&lt;="&amp;$B283,BD!$T$3:$T$5001,"&lt;&gt;"))))</f>
        <v/>
      </c>
      <c r="V283" s="54" t="str">
        <f>IF(OR($B283="",$A283&gt;$B$9,V$268=""),"",IF(COUNTIFS(BD!$B$3:$B$5001,V$268,BD!$A$3:$A$5001,"&gt;="&amp;$C$7,BD!$A$3:$A$5001,"&lt;="&amp;$B283,BD!$T$3:$T$5001,"&lt;&gt;")=0,"",SUMIFS(BD!$T$3:$T$5001,BD!$B$3:$B$5001,V$268,BD!$A$3:$A$5001,_xlfn.MAXIFS(BD!$A$3:$A$5001,BD!$B$3:$B$5001,V$268,BD!$A$3:$A$5001,"&gt;="&amp;$C$7,BD!$A$3:$A$5001,"&lt;="&amp;$B283,BD!$T$3:$T$5001,"&lt;&gt;"))))</f>
        <v/>
      </c>
    </row>
    <row r="284">
      <c r="A284" s="48">
        <v>16</v>
      </c>
      <c r="B284" s="53">
        <f>$B$27</f>
        <v>46311</v>
      </c>
      <c r="C284" s="54" t="str">
        <f>IF(OR($B284="",$A284&gt;$B$9,C$268=""),"",IF(COUNTIFS(BD!$B$3:$B$5001,C$268,BD!$A$3:$A$5001,"&gt;="&amp;$C$7,BD!$A$3:$A$5001,"&lt;="&amp;$B284,BD!$T$3:$T$5001,"&lt;&gt;")=0,"",SUMIFS(BD!$T$3:$T$5001,BD!$B$3:$B$5001,C$268,BD!$A$3:$A$5001,_xlfn.MAXIFS(BD!$A$3:$A$5001,BD!$B$3:$B$5001,C$268,BD!$A$3:$A$5001,"&gt;="&amp;$C$7,BD!$A$3:$A$5001,"&lt;="&amp;$B284,BD!$T$3:$T$5001,"&lt;&gt;"))))</f>
        <v/>
      </c>
      <c r="D284" s="54" t="str">
        <f>IF(OR($B284="",$A284&gt;$B$9,D$268=""),"",IF(COUNTIFS(BD!$B$3:$B$5001,D$268,BD!$A$3:$A$5001,"&gt;="&amp;$C$7,BD!$A$3:$A$5001,"&lt;="&amp;$B284,BD!$T$3:$T$5001,"&lt;&gt;")=0,"",SUMIFS(BD!$T$3:$T$5001,BD!$B$3:$B$5001,D$268,BD!$A$3:$A$5001,_xlfn.MAXIFS(BD!$A$3:$A$5001,BD!$B$3:$B$5001,D$268,BD!$A$3:$A$5001,"&gt;="&amp;$C$7,BD!$A$3:$A$5001,"&lt;="&amp;$B284,BD!$T$3:$T$5001,"&lt;&gt;"))))</f>
        <v/>
      </c>
      <c r="E284" s="54" t="str">
        <f>IF(OR($B284="",$A284&gt;$B$9,E$268=""),"",IF(COUNTIFS(BD!$B$3:$B$5001,E$268,BD!$A$3:$A$5001,"&gt;="&amp;$C$7,BD!$A$3:$A$5001,"&lt;="&amp;$B284,BD!$T$3:$T$5001,"&lt;&gt;")=0,"",SUMIFS(BD!$T$3:$T$5001,BD!$B$3:$B$5001,E$268,BD!$A$3:$A$5001,_xlfn.MAXIFS(BD!$A$3:$A$5001,BD!$B$3:$B$5001,E$268,BD!$A$3:$A$5001,"&gt;="&amp;$C$7,BD!$A$3:$A$5001,"&lt;="&amp;$B284,BD!$T$3:$T$5001,"&lt;&gt;"))))</f>
        <v/>
      </c>
      <c r="F284" s="54" t="str">
        <f>IF(OR($B284="",$A284&gt;$B$9,F$268=""),"",IF(COUNTIFS(BD!$B$3:$B$5001,F$268,BD!$A$3:$A$5001,"&gt;="&amp;$C$7,BD!$A$3:$A$5001,"&lt;="&amp;$B284,BD!$T$3:$T$5001,"&lt;&gt;")=0,"",SUMIFS(BD!$T$3:$T$5001,BD!$B$3:$B$5001,F$268,BD!$A$3:$A$5001,_xlfn.MAXIFS(BD!$A$3:$A$5001,BD!$B$3:$B$5001,F$268,BD!$A$3:$A$5001,"&gt;="&amp;$C$7,BD!$A$3:$A$5001,"&lt;="&amp;$B284,BD!$T$3:$T$5001,"&lt;&gt;"))))</f>
        <v/>
      </c>
      <c r="G284" s="54" t="str">
        <f>IF(OR($B284="",$A284&gt;$B$9,G$268=""),"",IF(COUNTIFS(BD!$B$3:$B$5001,G$268,BD!$A$3:$A$5001,"&gt;="&amp;$C$7,BD!$A$3:$A$5001,"&lt;="&amp;$B284,BD!$T$3:$T$5001,"&lt;&gt;")=0,"",SUMIFS(BD!$T$3:$T$5001,BD!$B$3:$B$5001,G$268,BD!$A$3:$A$5001,_xlfn.MAXIFS(BD!$A$3:$A$5001,BD!$B$3:$B$5001,G$268,BD!$A$3:$A$5001,"&gt;="&amp;$C$7,BD!$A$3:$A$5001,"&lt;="&amp;$B284,BD!$T$3:$T$5001,"&lt;&gt;"))))</f>
        <v/>
      </c>
      <c r="H284" s="54" t="str">
        <f>IF(OR($B284="",$A284&gt;$B$9,H$268=""),"",IF(COUNTIFS(BD!$B$3:$B$5001,H$268,BD!$A$3:$A$5001,"&gt;="&amp;$C$7,BD!$A$3:$A$5001,"&lt;="&amp;$B284,BD!$T$3:$T$5001,"&lt;&gt;")=0,"",SUMIFS(BD!$T$3:$T$5001,BD!$B$3:$B$5001,H$268,BD!$A$3:$A$5001,_xlfn.MAXIFS(BD!$A$3:$A$5001,BD!$B$3:$B$5001,H$268,BD!$A$3:$A$5001,"&gt;="&amp;$C$7,BD!$A$3:$A$5001,"&lt;="&amp;$B284,BD!$T$3:$T$5001,"&lt;&gt;"))))</f>
        <v/>
      </c>
      <c r="I284" s="54" t="str">
        <f>IF(OR($B284="",$A284&gt;$B$9,I$268=""),"",IF(COUNTIFS(BD!$B$3:$B$5001,I$268,BD!$A$3:$A$5001,"&gt;="&amp;$C$7,BD!$A$3:$A$5001,"&lt;="&amp;$B284,BD!$T$3:$T$5001,"&lt;&gt;")=0,"",SUMIFS(BD!$T$3:$T$5001,BD!$B$3:$B$5001,I$268,BD!$A$3:$A$5001,_xlfn.MAXIFS(BD!$A$3:$A$5001,BD!$B$3:$B$5001,I$268,BD!$A$3:$A$5001,"&gt;="&amp;$C$7,BD!$A$3:$A$5001,"&lt;="&amp;$B284,BD!$T$3:$T$5001,"&lt;&gt;"))))</f>
        <v/>
      </c>
      <c r="J284" s="54" t="str">
        <f>IF(OR($B284="",$A284&gt;$B$9,J$268=""),"",IF(COUNTIFS(BD!$B$3:$B$5001,J$268,BD!$A$3:$A$5001,"&gt;="&amp;$C$7,BD!$A$3:$A$5001,"&lt;="&amp;$B284,BD!$T$3:$T$5001,"&lt;&gt;")=0,"",SUMIFS(BD!$T$3:$T$5001,BD!$B$3:$B$5001,J$268,BD!$A$3:$A$5001,_xlfn.MAXIFS(BD!$A$3:$A$5001,BD!$B$3:$B$5001,J$268,BD!$A$3:$A$5001,"&gt;="&amp;$C$7,BD!$A$3:$A$5001,"&lt;="&amp;$B284,BD!$T$3:$T$5001,"&lt;&gt;"))))</f>
        <v/>
      </c>
      <c r="K284" s="54" t="str">
        <f>IF(OR($B284="",$A284&gt;$B$9,K$268=""),"",IF(COUNTIFS(BD!$B$3:$B$5001,K$268,BD!$A$3:$A$5001,"&gt;="&amp;$C$7,BD!$A$3:$A$5001,"&lt;="&amp;$B284,BD!$T$3:$T$5001,"&lt;&gt;")=0,"",SUMIFS(BD!$T$3:$T$5001,BD!$B$3:$B$5001,K$268,BD!$A$3:$A$5001,_xlfn.MAXIFS(BD!$A$3:$A$5001,BD!$B$3:$B$5001,K$268,BD!$A$3:$A$5001,"&gt;="&amp;$C$7,BD!$A$3:$A$5001,"&lt;="&amp;$B284,BD!$T$3:$T$5001,"&lt;&gt;"))))</f>
        <v/>
      </c>
      <c r="L284" s="54" t="str">
        <f>IF(OR($B284="",$A284&gt;$B$9,L$268=""),"",IF(COUNTIFS(BD!$B$3:$B$5001,L$268,BD!$A$3:$A$5001,"&gt;="&amp;$C$7,BD!$A$3:$A$5001,"&lt;="&amp;$B284,BD!$T$3:$T$5001,"&lt;&gt;")=0,"",SUMIFS(BD!$T$3:$T$5001,BD!$B$3:$B$5001,L$268,BD!$A$3:$A$5001,_xlfn.MAXIFS(BD!$A$3:$A$5001,BD!$B$3:$B$5001,L$268,BD!$A$3:$A$5001,"&gt;="&amp;$C$7,BD!$A$3:$A$5001,"&lt;="&amp;$B284,BD!$T$3:$T$5001,"&lt;&gt;"))))</f>
        <v/>
      </c>
      <c r="M284" s="54" t="str">
        <f>IF(OR($B284="",$A284&gt;$B$9,M$268=""),"",IF(COUNTIFS(BD!$B$3:$B$5001,M$268,BD!$A$3:$A$5001,"&gt;="&amp;$C$7,BD!$A$3:$A$5001,"&lt;="&amp;$B284,BD!$T$3:$T$5001,"&lt;&gt;")=0,"",SUMIFS(BD!$T$3:$T$5001,BD!$B$3:$B$5001,M$268,BD!$A$3:$A$5001,_xlfn.MAXIFS(BD!$A$3:$A$5001,BD!$B$3:$B$5001,M$268,BD!$A$3:$A$5001,"&gt;="&amp;$C$7,BD!$A$3:$A$5001,"&lt;="&amp;$B284,BD!$T$3:$T$5001,"&lt;&gt;"))))</f>
        <v/>
      </c>
      <c r="N284" s="54" t="str">
        <f>IF(OR($B284="",$A284&gt;$B$9,N$268=""),"",IF(COUNTIFS(BD!$B$3:$B$5001,N$268,BD!$A$3:$A$5001,"&gt;="&amp;$C$7,BD!$A$3:$A$5001,"&lt;="&amp;$B284,BD!$T$3:$T$5001,"&lt;&gt;")=0,"",SUMIFS(BD!$T$3:$T$5001,BD!$B$3:$B$5001,N$268,BD!$A$3:$A$5001,_xlfn.MAXIFS(BD!$A$3:$A$5001,BD!$B$3:$B$5001,N$268,BD!$A$3:$A$5001,"&gt;="&amp;$C$7,BD!$A$3:$A$5001,"&lt;="&amp;$B284,BD!$T$3:$T$5001,"&lt;&gt;"))))</f>
        <v/>
      </c>
      <c r="O284" s="54" t="str">
        <f>IF(OR($B284="",$A284&gt;$B$9,O$268=""),"",IF(COUNTIFS(BD!$B$3:$B$5001,O$268,BD!$A$3:$A$5001,"&gt;="&amp;$C$7,BD!$A$3:$A$5001,"&lt;="&amp;$B284,BD!$T$3:$T$5001,"&lt;&gt;")=0,"",SUMIFS(BD!$T$3:$T$5001,BD!$B$3:$B$5001,O$268,BD!$A$3:$A$5001,_xlfn.MAXIFS(BD!$A$3:$A$5001,BD!$B$3:$B$5001,O$268,BD!$A$3:$A$5001,"&gt;="&amp;$C$7,BD!$A$3:$A$5001,"&lt;="&amp;$B284,BD!$T$3:$T$5001,"&lt;&gt;"))))</f>
        <v/>
      </c>
      <c r="P284" s="54" t="str">
        <f>IF(OR($B284="",$A284&gt;$B$9,P$268=""),"",IF(COUNTIFS(BD!$B$3:$B$5001,P$268,BD!$A$3:$A$5001,"&gt;="&amp;$C$7,BD!$A$3:$A$5001,"&lt;="&amp;$B284,BD!$T$3:$T$5001,"&lt;&gt;")=0,"",SUMIFS(BD!$T$3:$T$5001,BD!$B$3:$B$5001,P$268,BD!$A$3:$A$5001,_xlfn.MAXIFS(BD!$A$3:$A$5001,BD!$B$3:$B$5001,P$268,BD!$A$3:$A$5001,"&gt;="&amp;$C$7,BD!$A$3:$A$5001,"&lt;="&amp;$B284,BD!$T$3:$T$5001,"&lt;&gt;"))))</f>
        <v/>
      </c>
      <c r="Q284" s="54" t="str">
        <f>IF(OR($B284="",$A284&gt;$B$9,Q$268=""),"",IF(COUNTIFS(BD!$B$3:$B$5001,Q$268,BD!$A$3:$A$5001,"&gt;="&amp;$C$7,BD!$A$3:$A$5001,"&lt;="&amp;$B284,BD!$T$3:$T$5001,"&lt;&gt;")=0,"",SUMIFS(BD!$T$3:$T$5001,BD!$B$3:$B$5001,Q$268,BD!$A$3:$A$5001,_xlfn.MAXIFS(BD!$A$3:$A$5001,BD!$B$3:$B$5001,Q$268,BD!$A$3:$A$5001,"&gt;="&amp;$C$7,BD!$A$3:$A$5001,"&lt;="&amp;$B284,BD!$T$3:$T$5001,"&lt;&gt;"))))</f>
        <v/>
      </c>
      <c r="R284" s="54" t="str">
        <f>IF(OR($B284="",$A284&gt;$B$9,R$268=""),"",IF(COUNTIFS(BD!$B$3:$B$5001,R$268,BD!$A$3:$A$5001,"&gt;="&amp;$C$7,BD!$A$3:$A$5001,"&lt;="&amp;$B284,BD!$T$3:$T$5001,"&lt;&gt;")=0,"",SUMIFS(BD!$T$3:$T$5001,BD!$B$3:$B$5001,R$268,BD!$A$3:$A$5001,_xlfn.MAXIFS(BD!$A$3:$A$5001,BD!$B$3:$B$5001,R$268,BD!$A$3:$A$5001,"&gt;="&amp;$C$7,BD!$A$3:$A$5001,"&lt;="&amp;$B284,BD!$T$3:$T$5001,"&lt;&gt;"))))</f>
        <v/>
      </c>
      <c r="S284" s="54" t="str">
        <f>IF(OR($B284="",$A284&gt;$B$9,S$268=""),"",IF(COUNTIFS(BD!$B$3:$B$5001,S$268,BD!$A$3:$A$5001,"&gt;="&amp;$C$7,BD!$A$3:$A$5001,"&lt;="&amp;$B284,BD!$T$3:$T$5001,"&lt;&gt;")=0,"",SUMIFS(BD!$T$3:$T$5001,BD!$B$3:$B$5001,S$268,BD!$A$3:$A$5001,_xlfn.MAXIFS(BD!$A$3:$A$5001,BD!$B$3:$B$5001,S$268,BD!$A$3:$A$5001,"&gt;="&amp;$C$7,BD!$A$3:$A$5001,"&lt;="&amp;$B284,BD!$T$3:$T$5001,"&lt;&gt;"))))</f>
        <v/>
      </c>
      <c r="T284" s="54" t="str">
        <f>IF(OR($B284="",$A284&gt;$B$9,T$268=""),"",IF(COUNTIFS(BD!$B$3:$B$5001,T$268,BD!$A$3:$A$5001,"&gt;="&amp;$C$7,BD!$A$3:$A$5001,"&lt;="&amp;$B284,BD!$T$3:$T$5001,"&lt;&gt;")=0,"",SUMIFS(BD!$T$3:$T$5001,BD!$B$3:$B$5001,T$268,BD!$A$3:$A$5001,_xlfn.MAXIFS(BD!$A$3:$A$5001,BD!$B$3:$B$5001,T$268,BD!$A$3:$A$5001,"&gt;="&amp;$C$7,BD!$A$3:$A$5001,"&lt;="&amp;$B284,BD!$T$3:$T$5001,"&lt;&gt;"))))</f>
        <v/>
      </c>
      <c r="U284" s="54" t="str">
        <f>IF(OR($B284="",$A284&gt;$B$9,U$268=""),"",IF(COUNTIFS(BD!$B$3:$B$5001,U$268,BD!$A$3:$A$5001,"&gt;="&amp;$C$7,BD!$A$3:$A$5001,"&lt;="&amp;$B284,BD!$T$3:$T$5001,"&lt;&gt;")=0,"",SUMIFS(BD!$T$3:$T$5001,BD!$B$3:$B$5001,U$268,BD!$A$3:$A$5001,_xlfn.MAXIFS(BD!$A$3:$A$5001,BD!$B$3:$B$5001,U$268,BD!$A$3:$A$5001,"&gt;="&amp;$C$7,BD!$A$3:$A$5001,"&lt;="&amp;$B284,BD!$T$3:$T$5001,"&lt;&gt;"))))</f>
        <v/>
      </c>
      <c r="V284" s="54" t="str">
        <f>IF(OR($B284="",$A284&gt;$B$9,V$268=""),"",IF(COUNTIFS(BD!$B$3:$B$5001,V$268,BD!$A$3:$A$5001,"&gt;="&amp;$C$7,BD!$A$3:$A$5001,"&lt;="&amp;$B284,BD!$T$3:$T$5001,"&lt;&gt;")=0,"",SUMIFS(BD!$T$3:$T$5001,BD!$B$3:$B$5001,V$268,BD!$A$3:$A$5001,_xlfn.MAXIFS(BD!$A$3:$A$5001,BD!$B$3:$B$5001,V$268,BD!$A$3:$A$5001,"&gt;="&amp;$C$7,BD!$A$3:$A$5001,"&lt;="&amp;$B284,BD!$T$3:$T$5001,"&lt;&gt;"))))</f>
        <v/>
      </c>
    </row>
    <row r="285">
      <c r="A285" s="48">
        <v>17</v>
      </c>
      <c r="B285" s="53">
        <f>$B$28</f>
        <v>46312</v>
      </c>
      <c r="C285" s="54" t="str">
        <f>IF(OR($B285="",$A285&gt;$B$9,C$268=""),"",IF(COUNTIFS(BD!$B$3:$B$5001,C$268,BD!$A$3:$A$5001,"&gt;="&amp;$C$7,BD!$A$3:$A$5001,"&lt;="&amp;$B285,BD!$T$3:$T$5001,"&lt;&gt;")=0,"",SUMIFS(BD!$T$3:$T$5001,BD!$B$3:$B$5001,C$268,BD!$A$3:$A$5001,_xlfn.MAXIFS(BD!$A$3:$A$5001,BD!$B$3:$B$5001,C$268,BD!$A$3:$A$5001,"&gt;="&amp;$C$7,BD!$A$3:$A$5001,"&lt;="&amp;$B285,BD!$T$3:$T$5001,"&lt;&gt;"))))</f>
        <v/>
      </c>
      <c r="D285" s="54" t="str">
        <f>IF(OR($B285="",$A285&gt;$B$9,D$268=""),"",IF(COUNTIFS(BD!$B$3:$B$5001,D$268,BD!$A$3:$A$5001,"&gt;="&amp;$C$7,BD!$A$3:$A$5001,"&lt;="&amp;$B285,BD!$T$3:$T$5001,"&lt;&gt;")=0,"",SUMIFS(BD!$T$3:$T$5001,BD!$B$3:$B$5001,D$268,BD!$A$3:$A$5001,_xlfn.MAXIFS(BD!$A$3:$A$5001,BD!$B$3:$B$5001,D$268,BD!$A$3:$A$5001,"&gt;="&amp;$C$7,BD!$A$3:$A$5001,"&lt;="&amp;$B285,BD!$T$3:$T$5001,"&lt;&gt;"))))</f>
        <v/>
      </c>
      <c r="E285" s="54" t="str">
        <f>IF(OR($B285="",$A285&gt;$B$9,E$268=""),"",IF(COUNTIFS(BD!$B$3:$B$5001,E$268,BD!$A$3:$A$5001,"&gt;="&amp;$C$7,BD!$A$3:$A$5001,"&lt;="&amp;$B285,BD!$T$3:$T$5001,"&lt;&gt;")=0,"",SUMIFS(BD!$T$3:$T$5001,BD!$B$3:$B$5001,E$268,BD!$A$3:$A$5001,_xlfn.MAXIFS(BD!$A$3:$A$5001,BD!$B$3:$B$5001,E$268,BD!$A$3:$A$5001,"&gt;="&amp;$C$7,BD!$A$3:$A$5001,"&lt;="&amp;$B285,BD!$T$3:$T$5001,"&lt;&gt;"))))</f>
        <v/>
      </c>
      <c r="F285" s="54" t="str">
        <f>IF(OR($B285="",$A285&gt;$B$9,F$268=""),"",IF(COUNTIFS(BD!$B$3:$B$5001,F$268,BD!$A$3:$A$5001,"&gt;="&amp;$C$7,BD!$A$3:$A$5001,"&lt;="&amp;$B285,BD!$T$3:$T$5001,"&lt;&gt;")=0,"",SUMIFS(BD!$T$3:$T$5001,BD!$B$3:$B$5001,F$268,BD!$A$3:$A$5001,_xlfn.MAXIFS(BD!$A$3:$A$5001,BD!$B$3:$B$5001,F$268,BD!$A$3:$A$5001,"&gt;="&amp;$C$7,BD!$A$3:$A$5001,"&lt;="&amp;$B285,BD!$T$3:$T$5001,"&lt;&gt;"))))</f>
        <v/>
      </c>
      <c r="G285" s="54" t="str">
        <f>IF(OR($B285="",$A285&gt;$B$9,G$268=""),"",IF(COUNTIFS(BD!$B$3:$B$5001,G$268,BD!$A$3:$A$5001,"&gt;="&amp;$C$7,BD!$A$3:$A$5001,"&lt;="&amp;$B285,BD!$T$3:$T$5001,"&lt;&gt;")=0,"",SUMIFS(BD!$T$3:$T$5001,BD!$B$3:$B$5001,G$268,BD!$A$3:$A$5001,_xlfn.MAXIFS(BD!$A$3:$A$5001,BD!$B$3:$B$5001,G$268,BD!$A$3:$A$5001,"&gt;="&amp;$C$7,BD!$A$3:$A$5001,"&lt;="&amp;$B285,BD!$T$3:$T$5001,"&lt;&gt;"))))</f>
        <v/>
      </c>
      <c r="H285" s="54" t="str">
        <f>IF(OR($B285="",$A285&gt;$B$9,H$268=""),"",IF(COUNTIFS(BD!$B$3:$B$5001,H$268,BD!$A$3:$A$5001,"&gt;="&amp;$C$7,BD!$A$3:$A$5001,"&lt;="&amp;$B285,BD!$T$3:$T$5001,"&lt;&gt;")=0,"",SUMIFS(BD!$T$3:$T$5001,BD!$B$3:$B$5001,H$268,BD!$A$3:$A$5001,_xlfn.MAXIFS(BD!$A$3:$A$5001,BD!$B$3:$B$5001,H$268,BD!$A$3:$A$5001,"&gt;="&amp;$C$7,BD!$A$3:$A$5001,"&lt;="&amp;$B285,BD!$T$3:$T$5001,"&lt;&gt;"))))</f>
        <v/>
      </c>
      <c r="I285" s="54" t="str">
        <f>IF(OR($B285="",$A285&gt;$B$9,I$268=""),"",IF(COUNTIFS(BD!$B$3:$B$5001,I$268,BD!$A$3:$A$5001,"&gt;="&amp;$C$7,BD!$A$3:$A$5001,"&lt;="&amp;$B285,BD!$T$3:$T$5001,"&lt;&gt;")=0,"",SUMIFS(BD!$T$3:$T$5001,BD!$B$3:$B$5001,I$268,BD!$A$3:$A$5001,_xlfn.MAXIFS(BD!$A$3:$A$5001,BD!$B$3:$B$5001,I$268,BD!$A$3:$A$5001,"&gt;="&amp;$C$7,BD!$A$3:$A$5001,"&lt;="&amp;$B285,BD!$T$3:$T$5001,"&lt;&gt;"))))</f>
        <v/>
      </c>
      <c r="J285" s="54" t="str">
        <f>IF(OR($B285="",$A285&gt;$B$9,J$268=""),"",IF(COUNTIFS(BD!$B$3:$B$5001,J$268,BD!$A$3:$A$5001,"&gt;="&amp;$C$7,BD!$A$3:$A$5001,"&lt;="&amp;$B285,BD!$T$3:$T$5001,"&lt;&gt;")=0,"",SUMIFS(BD!$T$3:$T$5001,BD!$B$3:$B$5001,J$268,BD!$A$3:$A$5001,_xlfn.MAXIFS(BD!$A$3:$A$5001,BD!$B$3:$B$5001,J$268,BD!$A$3:$A$5001,"&gt;="&amp;$C$7,BD!$A$3:$A$5001,"&lt;="&amp;$B285,BD!$T$3:$T$5001,"&lt;&gt;"))))</f>
        <v/>
      </c>
      <c r="K285" s="54" t="str">
        <f>IF(OR($B285="",$A285&gt;$B$9,K$268=""),"",IF(COUNTIFS(BD!$B$3:$B$5001,K$268,BD!$A$3:$A$5001,"&gt;="&amp;$C$7,BD!$A$3:$A$5001,"&lt;="&amp;$B285,BD!$T$3:$T$5001,"&lt;&gt;")=0,"",SUMIFS(BD!$T$3:$T$5001,BD!$B$3:$B$5001,K$268,BD!$A$3:$A$5001,_xlfn.MAXIFS(BD!$A$3:$A$5001,BD!$B$3:$B$5001,K$268,BD!$A$3:$A$5001,"&gt;="&amp;$C$7,BD!$A$3:$A$5001,"&lt;="&amp;$B285,BD!$T$3:$T$5001,"&lt;&gt;"))))</f>
        <v/>
      </c>
      <c r="L285" s="54" t="str">
        <f>IF(OR($B285="",$A285&gt;$B$9,L$268=""),"",IF(COUNTIFS(BD!$B$3:$B$5001,L$268,BD!$A$3:$A$5001,"&gt;="&amp;$C$7,BD!$A$3:$A$5001,"&lt;="&amp;$B285,BD!$T$3:$T$5001,"&lt;&gt;")=0,"",SUMIFS(BD!$T$3:$T$5001,BD!$B$3:$B$5001,L$268,BD!$A$3:$A$5001,_xlfn.MAXIFS(BD!$A$3:$A$5001,BD!$B$3:$B$5001,L$268,BD!$A$3:$A$5001,"&gt;="&amp;$C$7,BD!$A$3:$A$5001,"&lt;="&amp;$B285,BD!$T$3:$T$5001,"&lt;&gt;"))))</f>
        <v/>
      </c>
      <c r="M285" s="54" t="str">
        <f>IF(OR($B285="",$A285&gt;$B$9,M$268=""),"",IF(COUNTIFS(BD!$B$3:$B$5001,M$268,BD!$A$3:$A$5001,"&gt;="&amp;$C$7,BD!$A$3:$A$5001,"&lt;="&amp;$B285,BD!$T$3:$T$5001,"&lt;&gt;")=0,"",SUMIFS(BD!$T$3:$T$5001,BD!$B$3:$B$5001,M$268,BD!$A$3:$A$5001,_xlfn.MAXIFS(BD!$A$3:$A$5001,BD!$B$3:$B$5001,M$268,BD!$A$3:$A$5001,"&gt;="&amp;$C$7,BD!$A$3:$A$5001,"&lt;="&amp;$B285,BD!$T$3:$T$5001,"&lt;&gt;"))))</f>
        <v/>
      </c>
      <c r="N285" s="54" t="str">
        <f>IF(OR($B285="",$A285&gt;$B$9,N$268=""),"",IF(COUNTIFS(BD!$B$3:$B$5001,N$268,BD!$A$3:$A$5001,"&gt;="&amp;$C$7,BD!$A$3:$A$5001,"&lt;="&amp;$B285,BD!$T$3:$T$5001,"&lt;&gt;")=0,"",SUMIFS(BD!$T$3:$T$5001,BD!$B$3:$B$5001,N$268,BD!$A$3:$A$5001,_xlfn.MAXIFS(BD!$A$3:$A$5001,BD!$B$3:$B$5001,N$268,BD!$A$3:$A$5001,"&gt;="&amp;$C$7,BD!$A$3:$A$5001,"&lt;="&amp;$B285,BD!$T$3:$T$5001,"&lt;&gt;"))))</f>
        <v/>
      </c>
      <c r="O285" s="54" t="str">
        <f>IF(OR($B285="",$A285&gt;$B$9,O$268=""),"",IF(COUNTIFS(BD!$B$3:$B$5001,O$268,BD!$A$3:$A$5001,"&gt;="&amp;$C$7,BD!$A$3:$A$5001,"&lt;="&amp;$B285,BD!$T$3:$T$5001,"&lt;&gt;")=0,"",SUMIFS(BD!$T$3:$T$5001,BD!$B$3:$B$5001,O$268,BD!$A$3:$A$5001,_xlfn.MAXIFS(BD!$A$3:$A$5001,BD!$B$3:$B$5001,O$268,BD!$A$3:$A$5001,"&gt;="&amp;$C$7,BD!$A$3:$A$5001,"&lt;="&amp;$B285,BD!$T$3:$T$5001,"&lt;&gt;"))))</f>
        <v/>
      </c>
      <c r="P285" s="54" t="str">
        <f>IF(OR($B285="",$A285&gt;$B$9,P$268=""),"",IF(COUNTIFS(BD!$B$3:$B$5001,P$268,BD!$A$3:$A$5001,"&gt;="&amp;$C$7,BD!$A$3:$A$5001,"&lt;="&amp;$B285,BD!$T$3:$T$5001,"&lt;&gt;")=0,"",SUMIFS(BD!$T$3:$T$5001,BD!$B$3:$B$5001,P$268,BD!$A$3:$A$5001,_xlfn.MAXIFS(BD!$A$3:$A$5001,BD!$B$3:$B$5001,P$268,BD!$A$3:$A$5001,"&gt;="&amp;$C$7,BD!$A$3:$A$5001,"&lt;="&amp;$B285,BD!$T$3:$T$5001,"&lt;&gt;"))))</f>
        <v/>
      </c>
      <c r="Q285" s="54" t="str">
        <f>IF(OR($B285="",$A285&gt;$B$9,Q$268=""),"",IF(COUNTIFS(BD!$B$3:$B$5001,Q$268,BD!$A$3:$A$5001,"&gt;="&amp;$C$7,BD!$A$3:$A$5001,"&lt;="&amp;$B285,BD!$T$3:$T$5001,"&lt;&gt;")=0,"",SUMIFS(BD!$T$3:$T$5001,BD!$B$3:$B$5001,Q$268,BD!$A$3:$A$5001,_xlfn.MAXIFS(BD!$A$3:$A$5001,BD!$B$3:$B$5001,Q$268,BD!$A$3:$A$5001,"&gt;="&amp;$C$7,BD!$A$3:$A$5001,"&lt;="&amp;$B285,BD!$T$3:$T$5001,"&lt;&gt;"))))</f>
        <v/>
      </c>
      <c r="R285" s="54" t="str">
        <f>IF(OR($B285="",$A285&gt;$B$9,R$268=""),"",IF(COUNTIFS(BD!$B$3:$B$5001,R$268,BD!$A$3:$A$5001,"&gt;="&amp;$C$7,BD!$A$3:$A$5001,"&lt;="&amp;$B285,BD!$T$3:$T$5001,"&lt;&gt;")=0,"",SUMIFS(BD!$T$3:$T$5001,BD!$B$3:$B$5001,R$268,BD!$A$3:$A$5001,_xlfn.MAXIFS(BD!$A$3:$A$5001,BD!$B$3:$B$5001,R$268,BD!$A$3:$A$5001,"&gt;="&amp;$C$7,BD!$A$3:$A$5001,"&lt;="&amp;$B285,BD!$T$3:$T$5001,"&lt;&gt;"))))</f>
        <v/>
      </c>
      <c r="S285" s="54" t="str">
        <f>IF(OR($B285="",$A285&gt;$B$9,S$268=""),"",IF(COUNTIFS(BD!$B$3:$B$5001,S$268,BD!$A$3:$A$5001,"&gt;="&amp;$C$7,BD!$A$3:$A$5001,"&lt;="&amp;$B285,BD!$T$3:$T$5001,"&lt;&gt;")=0,"",SUMIFS(BD!$T$3:$T$5001,BD!$B$3:$B$5001,S$268,BD!$A$3:$A$5001,_xlfn.MAXIFS(BD!$A$3:$A$5001,BD!$B$3:$B$5001,S$268,BD!$A$3:$A$5001,"&gt;="&amp;$C$7,BD!$A$3:$A$5001,"&lt;="&amp;$B285,BD!$T$3:$T$5001,"&lt;&gt;"))))</f>
        <v/>
      </c>
      <c r="T285" s="54" t="str">
        <f>IF(OR($B285="",$A285&gt;$B$9,T$268=""),"",IF(COUNTIFS(BD!$B$3:$B$5001,T$268,BD!$A$3:$A$5001,"&gt;="&amp;$C$7,BD!$A$3:$A$5001,"&lt;="&amp;$B285,BD!$T$3:$T$5001,"&lt;&gt;")=0,"",SUMIFS(BD!$T$3:$T$5001,BD!$B$3:$B$5001,T$268,BD!$A$3:$A$5001,_xlfn.MAXIFS(BD!$A$3:$A$5001,BD!$B$3:$B$5001,T$268,BD!$A$3:$A$5001,"&gt;="&amp;$C$7,BD!$A$3:$A$5001,"&lt;="&amp;$B285,BD!$T$3:$T$5001,"&lt;&gt;"))))</f>
        <v/>
      </c>
      <c r="U285" s="54" t="str">
        <f>IF(OR($B285="",$A285&gt;$B$9,U$268=""),"",IF(COUNTIFS(BD!$B$3:$B$5001,U$268,BD!$A$3:$A$5001,"&gt;="&amp;$C$7,BD!$A$3:$A$5001,"&lt;="&amp;$B285,BD!$T$3:$T$5001,"&lt;&gt;")=0,"",SUMIFS(BD!$T$3:$T$5001,BD!$B$3:$B$5001,U$268,BD!$A$3:$A$5001,_xlfn.MAXIFS(BD!$A$3:$A$5001,BD!$B$3:$B$5001,U$268,BD!$A$3:$A$5001,"&gt;="&amp;$C$7,BD!$A$3:$A$5001,"&lt;="&amp;$B285,BD!$T$3:$T$5001,"&lt;&gt;"))))</f>
        <v/>
      </c>
      <c r="V285" s="54" t="str">
        <f>IF(OR($B285="",$A285&gt;$B$9,V$268=""),"",IF(COUNTIFS(BD!$B$3:$B$5001,V$268,BD!$A$3:$A$5001,"&gt;="&amp;$C$7,BD!$A$3:$A$5001,"&lt;="&amp;$B285,BD!$T$3:$T$5001,"&lt;&gt;")=0,"",SUMIFS(BD!$T$3:$T$5001,BD!$B$3:$B$5001,V$268,BD!$A$3:$A$5001,_xlfn.MAXIFS(BD!$A$3:$A$5001,BD!$B$3:$B$5001,V$268,BD!$A$3:$A$5001,"&gt;="&amp;$C$7,BD!$A$3:$A$5001,"&lt;="&amp;$B285,BD!$T$3:$T$5001,"&lt;&gt;"))))</f>
        <v/>
      </c>
    </row>
    <row r="286">
      <c r="A286" s="48">
        <v>18</v>
      </c>
      <c r="B286" s="53">
        <f>$B$29</f>
        <v>46313</v>
      </c>
      <c r="C286" s="54" t="str">
        <f>IF(OR($B286="",$A286&gt;$B$9,C$268=""),"",IF(COUNTIFS(BD!$B$3:$B$5001,C$268,BD!$A$3:$A$5001,"&gt;="&amp;$C$7,BD!$A$3:$A$5001,"&lt;="&amp;$B286,BD!$T$3:$T$5001,"&lt;&gt;")=0,"",SUMIFS(BD!$T$3:$T$5001,BD!$B$3:$B$5001,C$268,BD!$A$3:$A$5001,_xlfn.MAXIFS(BD!$A$3:$A$5001,BD!$B$3:$B$5001,C$268,BD!$A$3:$A$5001,"&gt;="&amp;$C$7,BD!$A$3:$A$5001,"&lt;="&amp;$B286,BD!$T$3:$T$5001,"&lt;&gt;"))))</f>
        <v/>
      </c>
      <c r="D286" s="54" t="str">
        <f>IF(OR($B286="",$A286&gt;$B$9,D$268=""),"",IF(COUNTIFS(BD!$B$3:$B$5001,D$268,BD!$A$3:$A$5001,"&gt;="&amp;$C$7,BD!$A$3:$A$5001,"&lt;="&amp;$B286,BD!$T$3:$T$5001,"&lt;&gt;")=0,"",SUMIFS(BD!$T$3:$T$5001,BD!$B$3:$B$5001,D$268,BD!$A$3:$A$5001,_xlfn.MAXIFS(BD!$A$3:$A$5001,BD!$B$3:$B$5001,D$268,BD!$A$3:$A$5001,"&gt;="&amp;$C$7,BD!$A$3:$A$5001,"&lt;="&amp;$B286,BD!$T$3:$T$5001,"&lt;&gt;"))))</f>
        <v/>
      </c>
      <c r="E286" s="54" t="str">
        <f>IF(OR($B286="",$A286&gt;$B$9,E$268=""),"",IF(COUNTIFS(BD!$B$3:$B$5001,E$268,BD!$A$3:$A$5001,"&gt;="&amp;$C$7,BD!$A$3:$A$5001,"&lt;="&amp;$B286,BD!$T$3:$T$5001,"&lt;&gt;")=0,"",SUMIFS(BD!$T$3:$T$5001,BD!$B$3:$B$5001,E$268,BD!$A$3:$A$5001,_xlfn.MAXIFS(BD!$A$3:$A$5001,BD!$B$3:$B$5001,E$268,BD!$A$3:$A$5001,"&gt;="&amp;$C$7,BD!$A$3:$A$5001,"&lt;="&amp;$B286,BD!$T$3:$T$5001,"&lt;&gt;"))))</f>
        <v/>
      </c>
      <c r="F286" s="54" t="str">
        <f>IF(OR($B286="",$A286&gt;$B$9,F$268=""),"",IF(COUNTIFS(BD!$B$3:$B$5001,F$268,BD!$A$3:$A$5001,"&gt;="&amp;$C$7,BD!$A$3:$A$5001,"&lt;="&amp;$B286,BD!$T$3:$T$5001,"&lt;&gt;")=0,"",SUMIFS(BD!$T$3:$T$5001,BD!$B$3:$B$5001,F$268,BD!$A$3:$A$5001,_xlfn.MAXIFS(BD!$A$3:$A$5001,BD!$B$3:$B$5001,F$268,BD!$A$3:$A$5001,"&gt;="&amp;$C$7,BD!$A$3:$A$5001,"&lt;="&amp;$B286,BD!$T$3:$T$5001,"&lt;&gt;"))))</f>
        <v/>
      </c>
      <c r="G286" s="54" t="str">
        <f>IF(OR($B286="",$A286&gt;$B$9,G$268=""),"",IF(COUNTIFS(BD!$B$3:$B$5001,G$268,BD!$A$3:$A$5001,"&gt;="&amp;$C$7,BD!$A$3:$A$5001,"&lt;="&amp;$B286,BD!$T$3:$T$5001,"&lt;&gt;")=0,"",SUMIFS(BD!$T$3:$T$5001,BD!$B$3:$B$5001,G$268,BD!$A$3:$A$5001,_xlfn.MAXIFS(BD!$A$3:$A$5001,BD!$B$3:$B$5001,G$268,BD!$A$3:$A$5001,"&gt;="&amp;$C$7,BD!$A$3:$A$5001,"&lt;="&amp;$B286,BD!$T$3:$T$5001,"&lt;&gt;"))))</f>
        <v/>
      </c>
      <c r="H286" s="54" t="str">
        <f>IF(OR($B286="",$A286&gt;$B$9,H$268=""),"",IF(COUNTIFS(BD!$B$3:$B$5001,H$268,BD!$A$3:$A$5001,"&gt;="&amp;$C$7,BD!$A$3:$A$5001,"&lt;="&amp;$B286,BD!$T$3:$T$5001,"&lt;&gt;")=0,"",SUMIFS(BD!$T$3:$T$5001,BD!$B$3:$B$5001,H$268,BD!$A$3:$A$5001,_xlfn.MAXIFS(BD!$A$3:$A$5001,BD!$B$3:$B$5001,H$268,BD!$A$3:$A$5001,"&gt;="&amp;$C$7,BD!$A$3:$A$5001,"&lt;="&amp;$B286,BD!$T$3:$T$5001,"&lt;&gt;"))))</f>
        <v/>
      </c>
      <c r="I286" s="54" t="str">
        <f>IF(OR($B286="",$A286&gt;$B$9,I$268=""),"",IF(COUNTIFS(BD!$B$3:$B$5001,I$268,BD!$A$3:$A$5001,"&gt;="&amp;$C$7,BD!$A$3:$A$5001,"&lt;="&amp;$B286,BD!$T$3:$T$5001,"&lt;&gt;")=0,"",SUMIFS(BD!$T$3:$T$5001,BD!$B$3:$B$5001,I$268,BD!$A$3:$A$5001,_xlfn.MAXIFS(BD!$A$3:$A$5001,BD!$B$3:$B$5001,I$268,BD!$A$3:$A$5001,"&gt;="&amp;$C$7,BD!$A$3:$A$5001,"&lt;="&amp;$B286,BD!$T$3:$T$5001,"&lt;&gt;"))))</f>
        <v/>
      </c>
      <c r="J286" s="54" t="str">
        <f>IF(OR($B286="",$A286&gt;$B$9,J$268=""),"",IF(COUNTIFS(BD!$B$3:$B$5001,J$268,BD!$A$3:$A$5001,"&gt;="&amp;$C$7,BD!$A$3:$A$5001,"&lt;="&amp;$B286,BD!$T$3:$T$5001,"&lt;&gt;")=0,"",SUMIFS(BD!$T$3:$T$5001,BD!$B$3:$B$5001,J$268,BD!$A$3:$A$5001,_xlfn.MAXIFS(BD!$A$3:$A$5001,BD!$B$3:$B$5001,J$268,BD!$A$3:$A$5001,"&gt;="&amp;$C$7,BD!$A$3:$A$5001,"&lt;="&amp;$B286,BD!$T$3:$T$5001,"&lt;&gt;"))))</f>
        <v/>
      </c>
      <c r="K286" s="54" t="str">
        <f>IF(OR($B286="",$A286&gt;$B$9,K$268=""),"",IF(COUNTIFS(BD!$B$3:$B$5001,K$268,BD!$A$3:$A$5001,"&gt;="&amp;$C$7,BD!$A$3:$A$5001,"&lt;="&amp;$B286,BD!$T$3:$T$5001,"&lt;&gt;")=0,"",SUMIFS(BD!$T$3:$T$5001,BD!$B$3:$B$5001,K$268,BD!$A$3:$A$5001,_xlfn.MAXIFS(BD!$A$3:$A$5001,BD!$B$3:$B$5001,K$268,BD!$A$3:$A$5001,"&gt;="&amp;$C$7,BD!$A$3:$A$5001,"&lt;="&amp;$B286,BD!$T$3:$T$5001,"&lt;&gt;"))))</f>
        <v/>
      </c>
      <c r="L286" s="54" t="str">
        <f>IF(OR($B286="",$A286&gt;$B$9,L$268=""),"",IF(COUNTIFS(BD!$B$3:$B$5001,L$268,BD!$A$3:$A$5001,"&gt;="&amp;$C$7,BD!$A$3:$A$5001,"&lt;="&amp;$B286,BD!$T$3:$T$5001,"&lt;&gt;")=0,"",SUMIFS(BD!$T$3:$T$5001,BD!$B$3:$B$5001,L$268,BD!$A$3:$A$5001,_xlfn.MAXIFS(BD!$A$3:$A$5001,BD!$B$3:$B$5001,L$268,BD!$A$3:$A$5001,"&gt;="&amp;$C$7,BD!$A$3:$A$5001,"&lt;="&amp;$B286,BD!$T$3:$T$5001,"&lt;&gt;"))))</f>
        <v/>
      </c>
      <c r="M286" s="54" t="str">
        <f>IF(OR($B286="",$A286&gt;$B$9,M$268=""),"",IF(COUNTIFS(BD!$B$3:$B$5001,M$268,BD!$A$3:$A$5001,"&gt;="&amp;$C$7,BD!$A$3:$A$5001,"&lt;="&amp;$B286,BD!$T$3:$T$5001,"&lt;&gt;")=0,"",SUMIFS(BD!$T$3:$T$5001,BD!$B$3:$B$5001,M$268,BD!$A$3:$A$5001,_xlfn.MAXIFS(BD!$A$3:$A$5001,BD!$B$3:$B$5001,M$268,BD!$A$3:$A$5001,"&gt;="&amp;$C$7,BD!$A$3:$A$5001,"&lt;="&amp;$B286,BD!$T$3:$T$5001,"&lt;&gt;"))))</f>
        <v/>
      </c>
      <c r="N286" s="54" t="str">
        <f>IF(OR($B286="",$A286&gt;$B$9,N$268=""),"",IF(COUNTIFS(BD!$B$3:$B$5001,N$268,BD!$A$3:$A$5001,"&gt;="&amp;$C$7,BD!$A$3:$A$5001,"&lt;="&amp;$B286,BD!$T$3:$T$5001,"&lt;&gt;")=0,"",SUMIFS(BD!$T$3:$T$5001,BD!$B$3:$B$5001,N$268,BD!$A$3:$A$5001,_xlfn.MAXIFS(BD!$A$3:$A$5001,BD!$B$3:$B$5001,N$268,BD!$A$3:$A$5001,"&gt;="&amp;$C$7,BD!$A$3:$A$5001,"&lt;="&amp;$B286,BD!$T$3:$T$5001,"&lt;&gt;"))))</f>
        <v/>
      </c>
      <c r="O286" s="54" t="str">
        <f>IF(OR($B286="",$A286&gt;$B$9,O$268=""),"",IF(COUNTIFS(BD!$B$3:$B$5001,O$268,BD!$A$3:$A$5001,"&gt;="&amp;$C$7,BD!$A$3:$A$5001,"&lt;="&amp;$B286,BD!$T$3:$T$5001,"&lt;&gt;")=0,"",SUMIFS(BD!$T$3:$T$5001,BD!$B$3:$B$5001,O$268,BD!$A$3:$A$5001,_xlfn.MAXIFS(BD!$A$3:$A$5001,BD!$B$3:$B$5001,O$268,BD!$A$3:$A$5001,"&gt;="&amp;$C$7,BD!$A$3:$A$5001,"&lt;="&amp;$B286,BD!$T$3:$T$5001,"&lt;&gt;"))))</f>
        <v/>
      </c>
      <c r="P286" s="54" t="str">
        <f>IF(OR($B286="",$A286&gt;$B$9,P$268=""),"",IF(COUNTIFS(BD!$B$3:$B$5001,P$268,BD!$A$3:$A$5001,"&gt;="&amp;$C$7,BD!$A$3:$A$5001,"&lt;="&amp;$B286,BD!$T$3:$T$5001,"&lt;&gt;")=0,"",SUMIFS(BD!$T$3:$T$5001,BD!$B$3:$B$5001,P$268,BD!$A$3:$A$5001,_xlfn.MAXIFS(BD!$A$3:$A$5001,BD!$B$3:$B$5001,P$268,BD!$A$3:$A$5001,"&gt;="&amp;$C$7,BD!$A$3:$A$5001,"&lt;="&amp;$B286,BD!$T$3:$T$5001,"&lt;&gt;"))))</f>
        <v/>
      </c>
      <c r="Q286" s="54" t="str">
        <f>IF(OR($B286="",$A286&gt;$B$9,Q$268=""),"",IF(COUNTIFS(BD!$B$3:$B$5001,Q$268,BD!$A$3:$A$5001,"&gt;="&amp;$C$7,BD!$A$3:$A$5001,"&lt;="&amp;$B286,BD!$T$3:$T$5001,"&lt;&gt;")=0,"",SUMIFS(BD!$T$3:$T$5001,BD!$B$3:$B$5001,Q$268,BD!$A$3:$A$5001,_xlfn.MAXIFS(BD!$A$3:$A$5001,BD!$B$3:$B$5001,Q$268,BD!$A$3:$A$5001,"&gt;="&amp;$C$7,BD!$A$3:$A$5001,"&lt;="&amp;$B286,BD!$T$3:$T$5001,"&lt;&gt;"))))</f>
        <v/>
      </c>
      <c r="R286" s="54" t="str">
        <f>IF(OR($B286="",$A286&gt;$B$9,R$268=""),"",IF(COUNTIFS(BD!$B$3:$B$5001,R$268,BD!$A$3:$A$5001,"&gt;="&amp;$C$7,BD!$A$3:$A$5001,"&lt;="&amp;$B286,BD!$T$3:$T$5001,"&lt;&gt;")=0,"",SUMIFS(BD!$T$3:$T$5001,BD!$B$3:$B$5001,R$268,BD!$A$3:$A$5001,_xlfn.MAXIFS(BD!$A$3:$A$5001,BD!$B$3:$B$5001,R$268,BD!$A$3:$A$5001,"&gt;="&amp;$C$7,BD!$A$3:$A$5001,"&lt;="&amp;$B286,BD!$T$3:$T$5001,"&lt;&gt;"))))</f>
        <v/>
      </c>
      <c r="S286" s="54" t="str">
        <f>IF(OR($B286="",$A286&gt;$B$9,S$268=""),"",IF(COUNTIFS(BD!$B$3:$B$5001,S$268,BD!$A$3:$A$5001,"&gt;="&amp;$C$7,BD!$A$3:$A$5001,"&lt;="&amp;$B286,BD!$T$3:$T$5001,"&lt;&gt;")=0,"",SUMIFS(BD!$T$3:$T$5001,BD!$B$3:$B$5001,S$268,BD!$A$3:$A$5001,_xlfn.MAXIFS(BD!$A$3:$A$5001,BD!$B$3:$B$5001,S$268,BD!$A$3:$A$5001,"&gt;="&amp;$C$7,BD!$A$3:$A$5001,"&lt;="&amp;$B286,BD!$T$3:$T$5001,"&lt;&gt;"))))</f>
        <v/>
      </c>
      <c r="T286" s="54" t="str">
        <f>IF(OR($B286="",$A286&gt;$B$9,T$268=""),"",IF(COUNTIFS(BD!$B$3:$B$5001,T$268,BD!$A$3:$A$5001,"&gt;="&amp;$C$7,BD!$A$3:$A$5001,"&lt;="&amp;$B286,BD!$T$3:$T$5001,"&lt;&gt;")=0,"",SUMIFS(BD!$T$3:$T$5001,BD!$B$3:$B$5001,T$268,BD!$A$3:$A$5001,_xlfn.MAXIFS(BD!$A$3:$A$5001,BD!$B$3:$B$5001,T$268,BD!$A$3:$A$5001,"&gt;="&amp;$C$7,BD!$A$3:$A$5001,"&lt;="&amp;$B286,BD!$T$3:$T$5001,"&lt;&gt;"))))</f>
        <v/>
      </c>
      <c r="U286" s="54" t="str">
        <f>IF(OR($B286="",$A286&gt;$B$9,U$268=""),"",IF(COUNTIFS(BD!$B$3:$B$5001,U$268,BD!$A$3:$A$5001,"&gt;="&amp;$C$7,BD!$A$3:$A$5001,"&lt;="&amp;$B286,BD!$T$3:$T$5001,"&lt;&gt;")=0,"",SUMIFS(BD!$T$3:$T$5001,BD!$B$3:$B$5001,U$268,BD!$A$3:$A$5001,_xlfn.MAXIFS(BD!$A$3:$A$5001,BD!$B$3:$B$5001,U$268,BD!$A$3:$A$5001,"&gt;="&amp;$C$7,BD!$A$3:$A$5001,"&lt;="&amp;$B286,BD!$T$3:$T$5001,"&lt;&gt;"))))</f>
        <v/>
      </c>
      <c r="V286" s="54" t="str">
        <f>IF(OR($B286="",$A286&gt;$B$9,V$268=""),"",IF(COUNTIFS(BD!$B$3:$B$5001,V$268,BD!$A$3:$A$5001,"&gt;="&amp;$C$7,BD!$A$3:$A$5001,"&lt;="&amp;$B286,BD!$T$3:$T$5001,"&lt;&gt;")=0,"",SUMIFS(BD!$T$3:$T$5001,BD!$B$3:$B$5001,V$268,BD!$A$3:$A$5001,_xlfn.MAXIFS(BD!$A$3:$A$5001,BD!$B$3:$B$5001,V$268,BD!$A$3:$A$5001,"&gt;="&amp;$C$7,BD!$A$3:$A$5001,"&lt;="&amp;$B286,BD!$T$3:$T$5001,"&lt;&gt;"))))</f>
        <v/>
      </c>
    </row>
    <row r="287">
      <c r="A287" s="48">
        <v>19</v>
      </c>
      <c r="B287" s="53">
        <f>$B$30</f>
        <v>46314</v>
      </c>
      <c r="C287" s="54" t="str">
        <f>IF(OR($B287="",$A287&gt;$B$9,C$268=""),"",IF(COUNTIFS(BD!$B$3:$B$5001,C$268,BD!$A$3:$A$5001,"&gt;="&amp;$C$7,BD!$A$3:$A$5001,"&lt;="&amp;$B287,BD!$T$3:$T$5001,"&lt;&gt;")=0,"",SUMIFS(BD!$T$3:$T$5001,BD!$B$3:$B$5001,C$268,BD!$A$3:$A$5001,_xlfn.MAXIFS(BD!$A$3:$A$5001,BD!$B$3:$B$5001,C$268,BD!$A$3:$A$5001,"&gt;="&amp;$C$7,BD!$A$3:$A$5001,"&lt;="&amp;$B287,BD!$T$3:$T$5001,"&lt;&gt;"))))</f>
        <v/>
      </c>
      <c r="D287" s="54" t="str">
        <f>IF(OR($B287="",$A287&gt;$B$9,D$268=""),"",IF(COUNTIFS(BD!$B$3:$B$5001,D$268,BD!$A$3:$A$5001,"&gt;="&amp;$C$7,BD!$A$3:$A$5001,"&lt;="&amp;$B287,BD!$T$3:$T$5001,"&lt;&gt;")=0,"",SUMIFS(BD!$T$3:$T$5001,BD!$B$3:$B$5001,D$268,BD!$A$3:$A$5001,_xlfn.MAXIFS(BD!$A$3:$A$5001,BD!$B$3:$B$5001,D$268,BD!$A$3:$A$5001,"&gt;="&amp;$C$7,BD!$A$3:$A$5001,"&lt;="&amp;$B287,BD!$T$3:$T$5001,"&lt;&gt;"))))</f>
        <v/>
      </c>
      <c r="E287" s="54" t="str">
        <f>IF(OR($B287="",$A287&gt;$B$9,E$268=""),"",IF(COUNTIFS(BD!$B$3:$B$5001,E$268,BD!$A$3:$A$5001,"&gt;="&amp;$C$7,BD!$A$3:$A$5001,"&lt;="&amp;$B287,BD!$T$3:$T$5001,"&lt;&gt;")=0,"",SUMIFS(BD!$T$3:$T$5001,BD!$B$3:$B$5001,E$268,BD!$A$3:$A$5001,_xlfn.MAXIFS(BD!$A$3:$A$5001,BD!$B$3:$B$5001,E$268,BD!$A$3:$A$5001,"&gt;="&amp;$C$7,BD!$A$3:$A$5001,"&lt;="&amp;$B287,BD!$T$3:$T$5001,"&lt;&gt;"))))</f>
        <v/>
      </c>
      <c r="F287" s="54" t="str">
        <f>IF(OR($B287="",$A287&gt;$B$9,F$268=""),"",IF(COUNTIFS(BD!$B$3:$B$5001,F$268,BD!$A$3:$A$5001,"&gt;="&amp;$C$7,BD!$A$3:$A$5001,"&lt;="&amp;$B287,BD!$T$3:$T$5001,"&lt;&gt;")=0,"",SUMIFS(BD!$T$3:$T$5001,BD!$B$3:$B$5001,F$268,BD!$A$3:$A$5001,_xlfn.MAXIFS(BD!$A$3:$A$5001,BD!$B$3:$B$5001,F$268,BD!$A$3:$A$5001,"&gt;="&amp;$C$7,BD!$A$3:$A$5001,"&lt;="&amp;$B287,BD!$T$3:$T$5001,"&lt;&gt;"))))</f>
        <v/>
      </c>
      <c r="G287" s="54" t="str">
        <f>IF(OR($B287="",$A287&gt;$B$9,G$268=""),"",IF(COUNTIFS(BD!$B$3:$B$5001,G$268,BD!$A$3:$A$5001,"&gt;="&amp;$C$7,BD!$A$3:$A$5001,"&lt;="&amp;$B287,BD!$T$3:$T$5001,"&lt;&gt;")=0,"",SUMIFS(BD!$T$3:$T$5001,BD!$B$3:$B$5001,G$268,BD!$A$3:$A$5001,_xlfn.MAXIFS(BD!$A$3:$A$5001,BD!$B$3:$B$5001,G$268,BD!$A$3:$A$5001,"&gt;="&amp;$C$7,BD!$A$3:$A$5001,"&lt;="&amp;$B287,BD!$T$3:$T$5001,"&lt;&gt;"))))</f>
        <v/>
      </c>
      <c r="H287" s="54" t="str">
        <f>IF(OR($B287="",$A287&gt;$B$9,H$268=""),"",IF(COUNTIFS(BD!$B$3:$B$5001,H$268,BD!$A$3:$A$5001,"&gt;="&amp;$C$7,BD!$A$3:$A$5001,"&lt;="&amp;$B287,BD!$T$3:$T$5001,"&lt;&gt;")=0,"",SUMIFS(BD!$T$3:$T$5001,BD!$B$3:$B$5001,H$268,BD!$A$3:$A$5001,_xlfn.MAXIFS(BD!$A$3:$A$5001,BD!$B$3:$B$5001,H$268,BD!$A$3:$A$5001,"&gt;="&amp;$C$7,BD!$A$3:$A$5001,"&lt;="&amp;$B287,BD!$T$3:$T$5001,"&lt;&gt;"))))</f>
        <v/>
      </c>
      <c r="I287" s="54" t="str">
        <f>IF(OR($B287="",$A287&gt;$B$9,I$268=""),"",IF(COUNTIFS(BD!$B$3:$B$5001,I$268,BD!$A$3:$A$5001,"&gt;="&amp;$C$7,BD!$A$3:$A$5001,"&lt;="&amp;$B287,BD!$T$3:$T$5001,"&lt;&gt;")=0,"",SUMIFS(BD!$T$3:$T$5001,BD!$B$3:$B$5001,I$268,BD!$A$3:$A$5001,_xlfn.MAXIFS(BD!$A$3:$A$5001,BD!$B$3:$B$5001,I$268,BD!$A$3:$A$5001,"&gt;="&amp;$C$7,BD!$A$3:$A$5001,"&lt;="&amp;$B287,BD!$T$3:$T$5001,"&lt;&gt;"))))</f>
        <v/>
      </c>
      <c r="J287" s="54" t="str">
        <f>IF(OR($B287="",$A287&gt;$B$9,J$268=""),"",IF(COUNTIFS(BD!$B$3:$B$5001,J$268,BD!$A$3:$A$5001,"&gt;="&amp;$C$7,BD!$A$3:$A$5001,"&lt;="&amp;$B287,BD!$T$3:$T$5001,"&lt;&gt;")=0,"",SUMIFS(BD!$T$3:$T$5001,BD!$B$3:$B$5001,J$268,BD!$A$3:$A$5001,_xlfn.MAXIFS(BD!$A$3:$A$5001,BD!$B$3:$B$5001,J$268,BD!$A$3:$A$5001,"&gt;="&amp;$C$7,BD!$A$3:$A$5001,"&lt;="&amp;$B287,BD!$T$3:$T$5001,"&lt;&gt;"))))</f>
        <v/>
      </c>
      <c r="K287" s="54" t="str">
        <f>IF(OR($B287="",$A287&gt;$B$9,K$268=""),"",IF(COUNTIFS(BD!$B$3:$B$5001,K$268,BD!$A$3:$A$5001,"&gt;="&amp;$C$7,BD!$A$3:$A$5001,"&lt;="&amp;$B287,BD!$T$3:$T$5001,"&lt;&gt;")=0,"",SUMIFS(BD!$T$3:$T$5001,BD!$B$3:$B$5001,K$268,BD!$A$3:$A$5001,_xlfn.MAXIFS(BD!$A$3:$A$5001,BD!$B$3:$B$5001,K$268,BD!$A$3:$A$5001,"&gt;="&amp;$C$7,BD!$A$3:$A$5001,"&lt;="&amp;$B287,BD!$T$3:$T$5001,"&lt;&gt;"))))</f>
        <v/>
      </c>
      <c r="L287" s="54" t="str">
        <f>IF(OR($B287="",$A287&gt;$B$9,L$268=""),"",IF(COUNTIFS(BD!$B$3:$B$5001,L$268,BD!$A$3:$A$5001,"&gt;="&amp;$C$7,BD!$A$3:$A$5001,"&lt;="&amp;$B287,BD!$T$3:$T$5001,"&lt;&gt;")=0,"",SUMIFS(BD!$T$3:$T$5001,BD!$B$3:$B$5001,L$268,BD!$A$3:$A$5001,_xlfn.MAXIFS(BD!$A$3:$A$5001,BD!$B$3:$B$5001,L$268,BD!$A$3:$A$5001,"&gt;="&amp;$C$7,BD!$A$3:$A$5001,"&lt;="&amp;$B287,BD!$T$3:$T$5001,"&lt;&gt;"))))</f>
        <v/>
      </c>
      <c r="M287" s="54" t="str">
        <f>IF(OR($B287="",$A287&gt;$B$9,M$268=""),"",IF(COUNTIFS(BD!$B$3:$B$5001,M$268,BD!$A$3:$A$5001,"&gt;="&amp;$C$7,BD!$A$3:$A$5001,"&lt;="&amp;$B287,BD!$T$3:$T$5001,"&lt;&gt;")=0,"",SUMIFS(BD!$T$3:$T$5001,BD!$B$3:$B$5001,M$268,BD!$A$3:$A$5001,_xlfn.MAXIFS(BD!$A$3:$A$5001,BD!$B$3:$B$5001,M$268,BD!$A$3:$A$5001,"&gt;="&amp;$C$7,BD!$A$3:$A$5001,"&lt;="&amp;$B287,BD!$T$3:$T$5001,"&lt;&gt;"))))</f>
        <v/>
      </c>
      <c r="N287" s="54" t="str">
        <f>IF(OR($B287="",$A287&gt;$B$9,N$268=""),"",IF(COUNTIFS(BD!$B$3:$B$5001,N$268,BD!$A$3:$A$5001,"&gt;="&amp;$C$7,BD!$A$3:$A$5001,"&lt;="&amp;$B287,BD!$T$3:$T$5001,"&lt;&gt;")=0,"",SUMIFS(BD!$T$3:$T$5001,BD!$B$3:$B$5001,N$268,BD!$A$3:$A$5001,_xlfn.MAXIFS(BD!$A$3:$A$5001,BD!$B$3:$B$5001,N$268,BD!$A$3:$A$5001,"&gt;="&amp;$C$7,BD!$A$3:$A$5001,"&lt;="&amp;$B287,BD!$T$3:$T$5001,"&lt;&gt;"))))</f>
        <v/>
      </c>
      <c r="O287" s="54" t="str">
        <f>IF(OR($B287="",$A287&gt;$B$9,O$268=""),"",IF(COUNTIFS(BD!$B$3:$B$5001,O$268,BD!$A$3:$A$5001,"&gt;="&amp;$C$7,BD!$A$3:$A$5001,"&lt;="&amp;$B287,BD!$T$3:$T$5001,"&lt;&gt;")=0,"",SUMIFS(BD!$T$3:$T$5001,BD!$B$3:$B$5001,O$268,BD!$A$3:$A$5001,_xlfn.MAXIFS(BD!$A$3:$A$5001,BD!$B$3:$B$5001,O$268,BD!$A$3:$A$5001,"&gt;="&amp;$C$7,BD!$A$3:$A$5001,"&lt;="&amp;$B287,BD!$T$3:$T$5001,"&lt;&gt;"))))</f>
        <v/>
      </c>
      <c r="P287" s="54" t="str">
        <f>IF(OR($B287="",$A287&gt;$B$9,P$268=""),"",IF(COUNTIFS(BD!$B$3:$B$5001,P$268,BD!$A$3:$A$5001,"&gt;="&amp;$C$7,BD!$A$3:$A$5001,"&lt;="&amp;$B287,BD!$T$3:$T$5001,"&lt;&gt;")=0,"",SUMIFS(BD!$T$3:$T$5001,BD!$B$3:$B$5001,P$268,BD!$A$3:$A$5001,_xlfn.MAXIFS(BD!$A$3:$A$5001,BD!$B$3:$B$5001,P$268,BD!$A$3:$A$5001,"&gt;="&amp;$C$7,BD!$A$3:$A$5001,"&lt;="&amp;$B287,BD!$T$3:$T$5001,"&lt;&gt;"))))</f>
        <v/>
      </c>
      <c r="Q287" s="54" t="str">
        <f>IF(OR($B287="",$A287&gt;$B$9,Q$268=""),"",IF(COUNTIFS(BD!$B$3:$B$5001,Q$268,BD!$A$3:$A$5001,"&gt;="&amp;$C$7,BD!$A$3:$A$5001,"&lt;="&amp;$B287,BD!$T$3:$T$5001,"&lt;&gt;")=0,"",SUMIFS(BD!$T$3:$T$5001,BD!$B$3:$B$5001,Q$268,BD!$A$3:$A$5001,_xlfn.MAXIFS(BD!$A$3:$A$5001,BD!$B$3:$B$5001,Q$268,BD!$A$3:$A$5001,"&gt;="&amp;$C$7,BD!$A$3:$A$5001,"&lt;="&amp;$B287,BD!$T$3:$T$5001,"&lt;&gt;"))))</f>
        <v/>
      </c>
      <c r="R287" s="54" t="str">
        <f>IF(OR($B287="",$A287&gt;$B$9,R$268=""),"",IF(COUNTIFS(BD!$B$3:$B$5001,R$268,BD!$A$3:$A$5001,"&gt;="&amp;$C$7,BD!$A$3:$A$5001,"&lt;="&amp;$B287,BD!$T$3:$T$5001,"&lt;&gt;")=0,"",SUMIFS(BD!$T$3:$T$5001,BD!$B$3:$B$5001,R$268,BD!$A$3:$A$5001,_xlfn.MAXIFS(BD!$A$3:$A$5001,BD!$B$3:$B$5001,R$268,BD!$A$3:$A$5001,"&gt;="&amp;$C$7,BD!$A$3:$A$5001,"&lt;="&amp;$B287,BD!$T$3:$T$5001,"&lt;&gt;"))))</f>
        <v/>
      </c>
      <c r="S287" s="54" t="str">
        <f>IF(OR($B287="",$A287&gt;$B$9,S$268=""),"",IF(COUNTIFS(BD!$B$3:$B$5001,S$268,BD!$A$3:$A$5001,"&gt;="&amp;$C$7,BD!$A$3:$A$5001,"&lt;="&amp;$B287,BD!$T$3:$T$5001,"&lt;&gt;")=0,"",SUMIFS(BD!$T$3:$T$5001,BD!$B$3:$B$5001,S$268,BD!$A$3:$A$5001,_xlfn.MAXIFS(BD!$A$3:$A$5001,BD!$B$3:$B$5001,S$268,BD!$A$3:$A$5001,"&gt;="&amp;$C$7,BD!$A$3:$A$5001,"&lt;="&amp;$B287,BD!$T$3:$T$5001,"&lt;&gt;"))))</f>
        <v/>
      </c>
      <c r="T287" s="54" t="str">
        <f>IF(OR($B287="",$A287&gt;$B$9,T$268=""),"",IF(COUNTIFS(BD!$B$3:$B$5001,T$268,BD!$A$3:$A$5001,"&gt;="&amp;$C$7,BD!$A$3:$A$5001,"&lt;="&amp;$B287,BD!$T$3:$T$5001,"&lt;&gt;")=0,"",SUMIFS(BD!$T$3:$T$5001,BD!$B$3:$B$5001,T$268,BD!$A$3:$A$5001,_xlfn.MAXIFS(BD!$A$3:$A$5001,BD!$B$3:$B$5001,T$268,BD!$A$3:$A$5001,"&gt;="&amp;$C$7,BD!$A$3:$A$5001,"&lt;="&amp;$B287,BD!$T$3:$T$5001,"&lt;&gt;"))))</f>
        <v/>
      </c>
      <c r="U287" s="54" t="str">
        <f>IF(OR($B287="",$A287&gt;$B$9,U$268=""),"",IF(COUNTIFS(BD!$B$3:$B$5001,U$268,BD!$A$3:$A$5001,"&gt;="&amp;$C$7,BD!$A$3:$A$5001,"&lt;="&amp;$B287,BD!$T$3:$T$5001,"&lt;&gt;")=0,"",SUMIFS(BD!$T$3:$T$5001,BD!$B$3:$B$5001,U$268,BD!$A$3:$A$5001,_xlfn.MAXIFS(BD!$A$3:$A$5001,BD!$B$3:$B$5001,U$268,BD!$A$3:$A$5001,"&gt;="&amp;$C$7,BD!$A$3:$A$5001,"&lt;="&amp;$B287,BD!$T$3:$T$5001,"&lt;&gt;"))))</f>
        <v/>
      </c>
      <c r="V287" s="54" t="str">
        <f>IF(OR($B287="",$A287&gt;$B$9,V$268=""),"",IF(COUNTIFS(BD!$B$3:$B$5001,V$268,BD!$A$3:$A$5001,"&gt;="&amp;$C$7,BD!$A$3:$A$5001,"&lt;="&amp;$B287,BD!$T$3:$T$5001,"&lt;&gt;")=0,"",SUMIFS(BD!$T$3:$T$5001,BD!$B$3:$B$5001,V$268,BD!$A$3:$A$5001,_xlfn.MAXIFS(BD!$A$3:$A$5001,BD!$B$3:$B$5001,V$268,BD!$A$3:$A$5001,"&gt;="&amp;$C$7,BD!$A$3:$A$5001,"&lt;="&amp;$B287,BD!$T$3:$T$5001,"&lt;&gt;"))))</f>
        <v/>
      </c>
    </row>
    <row r="288">
      <c r="A288" s="48">
        <v>20</v>
      </c>
      <c r="B288" s="53">
        <f>$B$31</f>
        <v>46315</v>
      </c>
      <c r="C288" s="54" t="str">
        <f>IF(OR($B288="",$A288&gt;$B$9,C$268=""),"",IF(COUNTIFS(BD!$B$3:$B$5001,C$268,BD!$A$3:$A$5001,"&gt;="&amp;$C$7,BD!$A$3:$A$5001,"&lt;="&amp;$B288,BD!$T$3:$T$5001,"&lt;&gt;")=0,"",SUMIFS(BD!$T$3:$T$5001,BD!$B$3:$B$5001,C$268,BD!$A$3:$A$5001,_xlfn.MAXIFS(BD!$A$3:$A$5001,BD!$B$3:$B$5001,C$268,BD!$A$3:$A$5001,"&gt;="&amp;$C$7,BD!$A$3:$A$5001,"&lt;="&amp;$B288,BD!$T$3:$T$5001,"&lt;&gt;"))))</f>
        <v/>
      </c>
      <c r="D288" s="54" t="str">
        <f>IF(OR($B288="",$A288&gt;$B$9,D$268=""),"",IF(COUNTIFS(BD!$B$3:$B$5001,D$268,BD!$A$3:$A$5001,"&gt;="&amp;$C$7,BD!$A$3:$A$5001,"&lt;="&amp;$B288,BD!$T$3:$T$5001,"&lt;&gt;")=0,"",SUMIFS(BD!$T$3:$T$5001,BD!$B$3:$B$5001,D$268,BD!$A$3:$A$5001,_xlfn.MAXIFS(BD!$A$3:$A$5001,BD!$B$3:$B$5001,D$268,BD!$A$3:$A$5001,"&gt;="&amp;$C$7,BD!$A$3:$A$5001,"&lt;="&amp;$B288,BD!$T$3:$T$5001,"&lt;&gt;"))))</f>
        <v/>
      </c>
      <c r="E288" s="54" t="str">
        <f>IF(OR($B288="",$A288&gt;$B$9,E$268=""),"",IF(COUNTIFS(BD!$B$3:$B$5001,E$268,BD!$A$3:$A$5001,"&gt;="&amp;$C$7,BD!$A$3:$A$5001,"&lt;="&amp;$B288,BD!$T$3:$T$5001,"&lt;&gt;")=0,"",SUMIFS(BD!$T$3:$T$5001,BD!$B$3:$B$5001,E$268,BD!$A$3:$A$5001,_xlfn.MAXIFS(BD!$A$3:$A$5001,BD!$B$3:$B$5001,E$268,BD!$A$3:$A$5001,"&gt;="&amp;$C$7,BD!$A$3:$A$5001,"&lt;="&amp;$B288,BD!$T$3:$T$5001,"&lt;&gt;"))))</f>
        <v/>
      </c>
      <c r="F288" s="54" t="str">
        <f>IF(OR($B288="",$A288&gt;$B$9,F$268=""),"",IF(COUNTIFS(BD!$B$3:$B$5001,F$268,BD!$A$3:$A$5001,"&gt;="&amp;$C$7,BD!$A$3:$A$5001,"&lt;="&amp;$B288,BD!$T$3:$T$5001,"&lt;&gt;")=0,"",SUMIFS(BD!$T$3:$T$5001,BD!$B$3:$B$5001,F$268,BD!$A$3:$A$5001,_xlfn.MAXIFS(BD!$A$3:$A$5001,BD!$B$3:$B$5001,F$268,BD!$A$3:$A$5001,"&gt;="&amp;$C$7,BD!$A$3:$A$5001,"&lt;="&amp;$B288,BD!$T$3:$T$5001,"&lt;&gt;"))))</f>
        <v/>
      </c>
      <c r="G288" s="54" t="str">
        <f>IF(OR($B288="",$A288&gt;$B$9,G$268=""),"",IF(COUNTIFS(BD!$B$3:$B$5001,G$268,BD!$A$3:$A$5001,"&gt;="&amp;$C$7,BD!$A$3:$A$5001,"&lt;="&amp;$B288,BD!$T$3:$T$5001,"&lt;&gt;")=0,"",SUMIFS(BD!$T$3:$T$5001,BD!$B$3:$B$5001,G$268,BD!$A$3:$A$5001,_xlfn.MAXIFS(BD!$A$3:$A$5001,BD!$B$3:$B$5001,G$268,BD!$A$3:$A$5001,"&gt;="&amp;$C$7,BD!$A$3:$A$5001,"&lt;="&amp;$B288,BD!$T$3:$T$5001,"&lt;&gt;"))))</f>
        <v/>
      </c>
      <c r="H288" s="54" t="str">
        <f>IF(OR($B288="",$A288&gt;$B$9,H$268=""),"",IF(COUNTIFS(BD!$B$3:$B$5001,H$268,BD!$A$3:$A$5001,"&gt;="&amp;$C$7,BD!$A$3:$A$5001,"&lt;="&amp;$B288,BD!$T$3:$T$5001,"&lt;&gt;")=0,"",SUMIFS(BD!$T$3:$T$5001,BD!$B$3:$B$5001,H$268,BD!$A$3:$A$5001,_xlfn.MAXIFS(BD!$A$3:$A$5001,BD!$B$3:$B$5001,H$268,BD!$A$3:$A$5001,"&gt;="&amp;$C$7,BD!$A$3:$A$5001,"&lt;="&amp;$B288,BD!$T$3:$T$5001,"&lt;&gt;"))))</f>
        <v/>
      </c>
      <c r="I288" s="54" t="str">
        <f>IF(OR($B288="",$A288&gt;$B$9,I$268=""),"",IF(COUNTIFS(BD!$B$3:$B$5001,I$268,BD!$A$3:$A$5001,"&gt;="&amp;$C$7,BD!$A$3:$A$5001,"&lt;="&amp;$B288,BD!$T$3:$T$5001,"&lt;&gt;")=0,"",SUMIFS(BD!$T$3:$T$5001,BD!$B$3:$B$5001,I$268,BD!$A$3:$A$5001,_xlfn.MAXIFS(BD!$A$3:$A$5001,BD!$B$3:$B$5001,I$268,BD!$A$3:$A$5001,"&gt;="&amp;$C$7,BD!$A$3:$A$5001,"&lt;="&amp;$B288,BD!$T$3:$T$5001,"&lt;&gt;"))))</f>
        <v/>
      </c>
      <c r="J288" s="54" t="str">
        <f>IF(OR($B288="",$A288&gt;$B$9,J$268=""),"",IF(COUNTIFS(BD!$B$3:$B$5001,J$268,BD!$A$3:$A$5001,"&gt;="&amp;$C$7,BD!$A$3:$A$5001,"&lt;="&amp;$B288,BD!$T$3:$T$5001,"&lt;&gt;")=0,"",SUMIFS(BD!$T$3:$T$5001,BD!$B$3:$B$5001,J$268,BD!$A$3:$A$5001,_xlfn.MAXIFS(BD!$A$3:$A$5001,BD!$B$3:$B$5001,J$268,BD!$A$3:$A$5001,"&gt;="&amp;$C$7,BD!$A$3:$A$5001,"&lt;="&amp;$B288,BD!$T$3:$T$5001,"&lt;&gt;"))))</f>
        <v/>
      </c>
      <c r="K288" s="54" t="str">
        <f>IF(OR($B288="",$A288&gt;$B$9,K$268=""),"",IF(COUNTIFS(BD!$B$3:$B$5001,K$268,BD!$A$3:$A$5001,"&gt;="&amp;$C$7,BD!$A$3:$A$5001,"&lt;="&amp;$B288,BD!$T$3:$T$5001,"&lt;&gt;")=0,"",SUMIFS(BD!$T$3:$T$5001,BD!$B$3:$B$5001,K$268,BD!$A$3:$A$5001,_xlfn.MAXIFS(BD!$A$3:$A$5001,BD!$B$3:$B$5001,K$268,BD!$A$3:$A$5001,"&gt;="&amp;$C$7,BD!$A$3:$A$5001,"&lt;="&amp;$B288,BD!$T$3:$T$5001,"&lt;&gt;"))))</f>
        <v/>
      </c>
      <c r="L288" s="54" t="str">
        <f>IF(OR($B288="",$A288&gt;$B$9,L$268=""),"",IF(COUNTIFS(BD!$B$3:$B$5001,L$268,BD!$A$3:$A$5001,"&gt;="&amp;$C$7,BD!$A$3:$A$5001,"&lt;="&amp;$B288,BD!$T$3:$T$5001,"&lt;&gt;")=0,"",SUMIFS(BD!$T$3:$T$5001,BD!$B$3:$B$5001,L$268,BD!$A$3:$A$5001,_xlfn.MAXIFS(BD!$A$3:$A$5001,BD!$B$3:$B$5001,L$268,BD!$A$3:$A$5001,"&gt;="&amp;$C$7,BD!$A$3:$A$5001,"&lt;="&amp;$B288,BD!$T$3:$T$5001,"&lt;&gt;"))))</f>
        <v/>
      </c>
      <c r="M288" s="54" t="str">
        <f>IF(OR($B288="",$A288&gt;$B$9,M$268=""),"",IF(COUNTIFS(BD!$B$3:$B$5001,M$268,BD!$A$3:$A$5001,"&gt;="&amp;$C$7,BD!$A$3:$A$5001,"&lt;="&amp;$B288,BD!$T$3:$T$5001,"&lt;&gt;")=0,"",SUMIFS(BD!$T$3:$T$5001,BD!$B$3:$B$5001,M$268,BD!$A$3:$A$5001,_xlfn.MAXIFS(BD!$A$3:$A$5001,BD!$B$3:$B$5001,M$268,BD!$A$3:$A$5001,"&gt;="&amp;$C$7,BD!$A$3:$A$5001,"&lt;="&amp;$B288,BD!$T$3:$T$5001,"&lt;&gt;"))))</f>
        <v/>
      </c>
      <c r="N288" s="54" t="str">
        <f>IF(OR($B288="",$A288&gt;$B$9,N$268=""),"",IF(COUNTIFS(BD!$B$3:$B$5001,N$268,BD!$A$3:$A$5001,"&gt;="&amp;$C$7,BD!$A$3:$A$5001,"&lt;="&amp;$B288,BD!$T$3:$T$5001,"&lt;&gt;")=0,"",SUMIFS(BD!$T$3:$T$5001,BD!$B$3:$B$5001,N$268,BD!$A$3:$A$5001,_xlfn.MAXIFS(BD!$A$3:$A$5001,BD!$B$3:$B$5001,N$268,BD!$A$3:$A$5001,"&gt;="&amp;$C$7,BD!$A$3:$A$5001,"&lt;="&amp;$B288,BD!$T$3:$T$5001,"&lt;&gt;"))))</f>
        <v/>
      </c>
      <c r="O288" s="54" t="str">
        <f>IF(OR($B288="",$A288&gt;$B$9,O$268=""),"",IF(COUNTIFS(BD!$B$3:$B$5001,O$268,BD!$A$3:$A$5001,"&gt;="&amp;$C$7,BD!$A$3:$A$5001,"&lt;="&amp;$B288,BD!$T$3:$T$5001,"&lt;&gt;")=0,"",SUMIFS(BD!$T$3:$T$5001,BD!$B$3:$B$5001,O$268,BD!$A$3:$A$5001,_xlfn.MAXIFS(BD!$A$3:$A$5001,BD!$B$3:$B$5001,O$268,BD!$A$3:$A$5001,"&gt;="&amp;$C$7,BD!$A$3:$A$5001,"&lt;="&amp;$B288,BD!$T$3:$T$5001,"&lt;&gt;"))))</f>
        <v/>
      </c>
      <c r="P288" s="54" t="str">
        <f>IF(OR($B288="",$A288&gt;$B$9,P$268=""),"",IF(COUNTIFS(BD!$B$3:$B$5001,P$268,BD!$A$3:$A$5001,"&gt;="&amp;$C$7,BD!$A$3:$A$5001,"&lt;="&amp;$B288,BD!$T$3:$T$5001,"&lt;&gt;")=0,"",SUMIFS(BD!$T$3:$T$5001,BD!$B$3:$B$5001,P$268,BD!$A$3:$A$5001,_xlfn.MAXIFS(BD!$A$3:$A$5001,BD!$B$3:$B$5001,P$268,BD!$A$3:$A$5001,"&gt;="&amp;$C$7,BD!$A$3:$A$5001,"&lt;="&amp;$B288,BD!$T$3:$T$5001,"&lt;&gt;"))))</f>
        <v/>
      </c>
      <c r="Q288" s="54" t="str">
        <f>IF(OR($B288="",$A288&gt;$B$9,Q$268=""),"",IF(COUNTIFS(BD!$B$3:$B$5001,Q$268,BD!$A$3:$A$5001,"&gt;="&amp;$C$7,BD!$A$3:$A$5001,"&lt;="&amp;$B288,BD!$T$3:$T$5001,"&lt;&gt;")=0,"",SUMIFS(BD!$T$3:$T$5001,BD!$B$3:$B$5001,Q$268,BD!$A$3:$A$5001,_xlfn.MAXIFS(BD!$A$3:$A$5001,BD!$B$3:$B$5001,Q$268,BD!$A$3:$A$5001,"&gt;="&amp;$C$7,BD!$A$3:$A$5001,"&lt;="&amp;$B288,BD!$T$3:$T$5001,"&lt;&gt;"))))</f>
        <v/>
      </c>
      <c r="R288" s="54" t="str">
        <f>IF(OR($B288="",$A288&gt;$B$9,R$268=""),"",IF(COUNTIFS(BD!$B$3:$B$5001,R$268,BD!$A$3:$A$5001,"&gt;="&amp;$C$7,BD!$A$3:$A$5001,"&lt;="&amp;$B288,BD!$T$3:$T$5001,"&lt;&gt;")=0,"",SUMIFS(BD!$T$3:$T$5001,BD!$B$3:$B$5001,R$268,BD!$A$3:$A$5001,_xlfn.MAXIFS(BD!$A$3:$A$5001,BD!$B$3:$B$5001,R$268,BD!$A$3:$A$5001,"&gt;="&amp;$C$7,BD!$A$3:$A$5001,"&lt;="&amp;$B288,BD!$T$3:$T$5001,"&lt;&gt;"))))</f>
        <v/>
      </c>
      <c r="S288" s="54" t="str">
        <f>IF(OR($B288="",$A288&gt;$B$9,S$268=""),"",IF(COUNTIFS(BD!$B$3:$B$5001,S$268,BD!$A$3:$A$5001,"&gt;="&amp;$C$7,BD!$A$3:$A$5001,"&lt;="&amp;$B288,BD!$T$3:$T$5001,"&lt;&gt;")=0,"",SUMIFS(BD!$T$3:$T$5001,BD!$B$3:$B$5001,S$268,BD!$A$3:$A$5001,_xlfn.MAXIFS(BD!$A$3:$A$5001,BD!$B$3:$B$5001,S$268,BD!$A$3:$A$5001,"&gt;="&amp;$C$7,BD!$A$3:$A$5001,"&lt;="&amp;$B288,BD!$T$3:$T$5001,"&lt;&gt;"))))</f>
        <v/>
      </c>
      <c r="T288" s="54" t="str">
        <f>IF(OR($B288="",$A288&gt;$B$9,T$268=""),"",IF(COUNTIFS(BD!$B$3:$B$5001,T$268,BD!$A$3:$A$5001,"&gt;="&amp;$C$7,BD!$A$3:$A$5001,"&lt;="&amp;$B288,BD!$T$3:$T$5001,"&lt;&gt;")=0,"",SUMIFS(BD!$T$3:$T$5001,BD!$B$3:$B$5001,T$268,BD!$A$3:$A$5001,_xlfn.MAXIFS(BD!$A$3:$A$5001,BD!$B$3:$B$5001,T$268,BD!$A$3:$A$5001,"&gt;="&amp;$C$7,BD!$A$3:$A$5001,"&lt;="&amp;$B288,BD!$T$3:$T$5001,"&lt;&gt;"))))</f>
        <v/>
      </c>
      <c r="U288" s="54" t="str">
        <f>IF(OR($B288="",$A288&gt;$B$9,U$268=""),"",IF(COUNTIFS(BD!$B$3:$B$5001,U$268,BD!$A$3:$A$5001,"&gt;="&amp;$C$7,BD!$A$3:$A$5001,"&lt;="&amp;$B288,BD!$T$3:$T$5001,"&lt;&gt;")=0,"",SUMIFS(BD!$T$3:$T$5001,BD!$B$3:$B$5001,U$268,BD!$A$3:$A$5001,_xlfn.MAXIFS(BD!$A$3:$A$5001,BD!$B$3:$B$5001,U$268,BD!$A$3:$A$5001,"&gt;="&amp;$C$7,BD!$A$3:$A$5001,"&lt;="&amp;$B288,BD!$T$3:$T$5001,"&lt;&gt;"))))</f>
        <v/>
      </c>
      <c r="V288" s="54" t="str">
        <f>IF(OR($B288="",$A288&gt;$B$9,V$268=""),"",IF(COUNTIFS(BD!$B$3:$B$5001,V$268,BD!$A$3:$A$5001,"&gt;="&amp;$C$7,BD!$A$3:$A$5001,"&lt;="&amp;$B288,BD!$T$3:$T$5001,"&lt;&gt;")=0,"",SUMIFS(BD!$T$3:$T$5001,BD!$B$3:$B$5001,V$268,BD!$A$3:$A$5001,_xlfn.MAXIFS(BD!$A$3:$A$5001,BD!$B$3:$B$5001,V$268,BD!$A$3:$A$5001,"&gt;="&amp;$C$7,BD!$A$3:$A$5001,"&lt;="&amp;$B288,BD!$T$3:$T$5001,"&lt;&gt;"))))</f>
        <v/>
      </c>
    </row>
    <row r="289">
      <c r="A289" s="48">
        <v>21</v>
      </c>
      <c r="B289" s="53">
        <f>$B$32</f>
        <v>46316</v>
      </c>
      <c r="C289" s="54" t="str">
        <f>IF(OR($B289="",$A289&gt;$B$9,C$268=""),"",IF(COUNTIFS(BD!$B$3:$B$5001,C$268,BD!$A$3:$A$5001,"&gt;="&amp;$C$7,BD!$A$3:$A$5001,"&lt;="&amp;$B289,BD!$T$3:$T$5001,"&lt;&gt;")=0,"",SUMIFS(BD!$T$3:$T$5001,BD!$B$3:$B$5001,C$268,BD!$A$3:$A$5001,_xlfn.MAXIFS(BD!$A$3:$A$5001,BD!$B$3:$B$5001,C$268,BD!$A$3:$A$5001,"&gt;="&amp;$C$7,BD!$A$3:$A$5001,"&lt;="&amp;$B289,BD!$T$3:$T$5001,"&lt;&gt;"))))</f>
        <v/>
      </c>
      <c r="D289" s="54" t="str">
        <f>IF(OR($B289="",$A289&gt;$B$9,D$268=""),"",IF(COUNTIFS(BD!$B$3:$B$5001,D$268,BD!$A$3:$A$5001,"&gt;="&amp;$C$7,BD!$A$3:$A$5001,"&lt;="&amp;$B289,BD!$T$3:$T$5001,"&lt;&gt;")=0,"",SUMIFS(BD!$T$3:$T$5001,BD!$B$3:$B$5001,D$268,BD!$A$3:$A$5001,_xlfn.MAXIFS(BD!$A$3:$A$5001,BD!$B$3:$B$5001,D$268,BD!$A$3:$A$5001,"&gt;="&amp;$C$7,BD!$A$3:$A$5001,"&lt;="&amp;$B289,BD!$T$3:$T$5001,"&lt;&gt;"))))</f>
        <v/>
      </c>
      <c r="E289" s="54" t="str">
        <f>IF(OR($B289="",$A289&gt;$B$9,E$268=""),"",IF(COUNTIFS(BD!$B$3:$B$5001,E$268,BD!$A$3:$A$5001,"&gt;="&amp;$C$7,BD!$A$3:$A$5001,"&lt;="&amp;$B289,BD!$T$3:$T$5001,"&lt;&gt;")=0,"",SUMIFS(BD!$T$3:$T$5001,BD!$B$3:$B$5001,E$268,BD!$A$3:$A$5001,_xlfn.MAXIFS(BD!$A$3:$A$5001,BD!$B$3:$B$5001,E$268,BD!$A$3:$A$5001,"&gt;="&amp;$C$7,BD!$A$3:$A$5001,"&lt;="&amp;$B289,BD!$T$3:$T$5001,"&lt;&gt;"))))</f>
        <v/>
      </c>
      <c r="F289" s="54" t="str">
        <f>IF(OR($B289="",$A289&gt;$B$9,F$268=""),"",IF(COUNTIFS(BD!$B$3:$B$5001,F$268,BD!$A$3:$A$5001,"&gt;="&amp;$C$7,BD!$A$3:$A$5001,"&lt;="&amp;$B289,BD!$T$3:$T$5001,"&lt;&gt;")=0,"",SUMIFS(BD!$T$3:$T$5001,BD!$B$3:$B$5001,F$268,BD!$A$3:$A$5001,_xlfn.MAXIFS(BD!$A$3:$A$5001,BD!$B$3:$B$5001,F$268,BD!$A$3:$A$5001,"&gt;="&amp;$C$7,BD!$A$3:$A$5001,"&lt;="&amp;$B289,BD!$T$3:$T$5001,"&lt;&gt;"))))</f>
        <v/>
      </c>
      <c r="G289" s="54" t="str">
        <f>IF(OR($B289="",$A289&gt;$B$9,G$268=""),"",IF(COUNTIFS(BD!$B$3:$B$5001,G$268,BD!$A$3:$A$5001,"&gt;="&amp;$C$7,BD!$A$3:$A$5001,"&lt;="&amp;$B289,BD!$T$3:$T$5001,"&lt;&gt;")=0,"",SUMIFS(BD!$T$3:$T$5001,BD!$B$3:$B$5001,G$268,BD!$A$3:$A$5001,_xlfn.MAXIFS(BD!$A$3:$A$5001,BD!$B$3:$B$5001,G$268,BD!$A$3:$A$5001,"&gt;="&amp;$C$7,BD!$A$3:$A$5001,"&lt;="&amp;$B289,BD!$T$3:$T$5001,"&lt;&gt;"))))</f>
        <v/>
      </c>
      <c r="H289" s="54" t="str">
        <f>IF(OR($B289="",$A289&gt;$B$9,H$268=""),"",IF(COUNTIFS(BD!$B$3:$B$5001,H$268,BD!$A$3:$A$5001,"&gt;="&amp;$C$7,BD!$A$3:$A$5001,"&lt;="&amp;$B289,BD!$T$3:$T$5001,"&lt;&gt;")=0,"",SUMIFS(BD!$T$3:$T$5001,BD!$B$3:$B$5001,H$268,BD!$A$3:$A$5001,_xlfn.MAXIFS(BD!$A$3:$A$5001,BD!$B$3:$B$5001,H$268,BD!$A$3:$A$5001,"&gt;="&amp;$C$7,BD!$A$3:$A$5001,"&lt;="&amp;$B289,BD!$T$3:$T$5001,"&lt;&gt;"))))</f>
        <v/>
      </c>
      <c r="I289" s="54" t="str">
        <f>IF(OR($B289="",$A289&gt;$B$9,I$268=""),"",IF(COUNTIFS(BD!$B$3:$B$5001,I$268,BD!$A$3:$A$5001,"&gt;="&amp;$C$7,BD!$A$3:$A$5001,"&lt;="&amp;$B289,BD!$T$3:$T$5001,"&lt;&gt;")=0,"",SUMIFS(BD!$T$3:$T$5001,BD!$B$3:$B$5001,I$268,BD!$A$3:$A$5001,_xlfn.MAXIFS(BD!$A$3:$A$5001,BD!$B$3:$B$5001,I$268,BD!$A$3:$A$5001,"&gt;="&amp;$C$7,BD!$A$3:$A$5001,"&lt;="&amp;$B289,BD!$T$3:$T$5001,"&lt;&gt;"))))</f>
        <v/>
      </c>
      <c r="J289" s="54" t="str">
        <f>IF(OR($B289="",$A289&gt;$B$9,J$268=""),"",IF(COUNTIFS(BD!$B$3:$B$5001,J$268,BD!$A$3:$A$5001,"&gt;="&amp;$C$7,BD!$A$3:$A$5001,"&lt;="&amp;$B289,BD!$T$3:$T$5001,"&lt;&gt;")=0,"",SUMIFS(BD!$T$3:$T$5001,BD!$B$3:$B$5001,J$268,BD!$A$3:$A$5001,_xlfn.MAXIFS(BD!$A$3:$A$5001,BD!$B$3:$B$5001,J$268,BD!$A$3:$A$5001,"&gt;="&amp;$C$7,BD!$A$3:$A$5001,"&lt;="&amp;$B289,BD!$T$3:$T$5001,"&lt;&gt;"))))</f>
        <v/>
      </c>
      <c r="K289" s="54" t="str">
        <f>IF(OR($B289="",$A289&gt;$B$9,K$268=""),"",IF(COUNTIFS(BD!$B$3:$B$5001,K$268,BD!$A$3:$A$5001,"&gt;="&amp;$C$7,BD!$A$3:$A$5001,"&lt;="&amp;$B289,BD!$T$3:$T$5001,"&lt;&gt;")=0,"",SUMIFS(BD!$T$3:$T$5001,BD!$B$3:$B$5001,K$268,BD!$A$3:$A$5001,_xlfn.MAXIFS(BD!$A$3:$A$5001,BD!$B$3:$B$5001,K$268,BD!$A$3:$A$5001,"&gt;="&amp;$C$7,BD!$A$3:$A$5001,"&lt;="&amp;$B289,BD!$T$3:$T$5001,"&lt;&gt;"))))</f>
        <v/>
      </c>
      <c r="L289" s="54" t="str">
        <f>IF(OR($B289="",$A289&gt;$B$9,L$268=""),"",IF(COUNTIFS(BD!$B$3:$B$5001,L$268,BD!$A$3:$A$5001,"&gt;="&amp;$C$7,BD!$A$3:$A$5001,"&lt;="&amp;$B289,BD!$T$3:$T$5001,"&lt;&gt;")=0,"",SUMIFS(BD!$T$3:$T$5001,BD!$B$3:$B$5001,L$268,BD!$A$3:$A$5001,_xlfn.MAXIFS(BD!$A$3:$A$5001,BD!$B$3:$B$5001,L$268,BD!$A$3:$A$5001,"&gt;="&amp;$C$7,BD!$A$3:$A$5001,"&lt;="&amp;$B289,BD!$T$3:$T$5001,"&lt;&gt;"))))</f>
        <v/>
      </c>
      <c r="M289" s="54" t="str">
        <f>IF(OR($B289="",$A289&gt;$B$9,M$268=""),"",IF(COUNTIFS(BD!$B$3:$B$5001,M$268,BD!$A$3:$A$5001,"&gt;="&amp;$C$7,BD!$A$3:$A$5001,"&lt;="&amp;$B289,BD!$T$3:$T$5001,"&lt;&gt;")=0,"",SUMIFS(BD!$T$3:$T$5001,BD!$B$3:$B$5001,M$268,BD!$A$3:$A$5001,_xlfn.MAXIFS(BD!$A$3:$A$5001,BD!$B$3:$B$5001,M$268,BD!$A$3:$A$5001,"&gt;="&amp;$C$7,BD!$A$3:$A$5001,"&lt;="&amp;$B289,BD!$T$3:$T$5001,"&lt;&gt;"))))</f>
        <v/>
      </c>
      <c r="N289" s="54" t="str">
        <f>IF(OR($B289="",$A289&gt;$B$9,N$268=""),"",IF(COUNTIFS(BD!$B$3:$B$5001,N$268,BD!$A$3:$A$5001,"&gt;="&amp;$C$7,BD!$A$3:$A$5001,"&lt;="&amp;$B289,BD!$T$3:$T$5001,"&lt;&gt;")=0,"",SUMIFS(BD!$T$3:$T$5001,BD!$B$3:$B$5001,N$268,BD!$A$3:$A$5001,_xlfn.MAXIFS(BD!$A$3:$A$5001,BD!$B$3:$B$5001,N$268,BD!$A$3:$A$5001,"&gt;="&amp;$C$7,BD!$A$3:$A$5001,"&lt;="&amp;$B289,BD!$T$3:$T$5001,"&lt;&gt;"))))</f>
        <v/>
      </c>
      <c r="O289" s="54" t="str">
        <f>IF(OR($B289="",$A289&gt;$B$9,O$268=""),"",IF(COUNTIFS(BD!$B$3:$B$5001,O$268,BD!$A$3:$A$5001,"&gt;="&amp;$C$7,BD!$A$3:$A$5001,"&lt;="&amp;$B289,BD!$T$3:$T$5001,"&lt;&gt;")=0,"",SUMIFS(BD!$T$3:$T$5001,BD!$B$3:$B$5001,O$268,BD!$A$3:$A$5001,_xlfn.MAXIFS(BD!$A$3:$A$5001,BD!$B$3:$B$5001,O$268,BD!$A$3:$A$5001,"&gt;="&amp;$C$7,BD!$A$3:$A$5001,"&lt;="&amp;$B289,BD!$T$3:$T$5001,"&lt;&gt;"))))</f>
        <v/>
      </c>
      <c r="P289" s="54" t="str">
        <f>IF(OR($B289="",$A289&gt;$B$9,P$268=""),"",IF(COUNTIFS(BD!$B$3:$B$5001,P$268,BD!$A$3:$A$5001,"&gt;="&amp;$C$7,BD!$A$3:$A$5001,"&lt;="&amp;$B289,BD!$T$3:$T$5001,"&lt;&gt;")=0,"",SUMIFS(BD!$T$3:$T$5001,BD!$B$3:$B$5001,P$268,BD!$A$3:$A$5001,_xlfn.MAXIFS(BD!$A$3:$A$5001,BD!$B$3:$B$5001,P$268,BD!$A$3:$A$5001,"&gt;="&amp;$C$7,BD!$A$3:$A$5001,"&lt;="&amp;$B289,BD!$T$3:$T$5001,"&lt;&gt;"))))</f>
        <v/>
      </c>
      <c r="Q289" s="54" t="str">
        <f>IF(OR($B289="",$A289&gt;$B$9,Q$268=""),"",IF(COUNTIFS(BD!$B$3:$B$5001,Q$268,BD!$A$3:$A$5001,"&gt;="&amp;$C$7,BD!$A$3:$A$5001,"&lt;="&amp;$B289,BD!$T$3:$T$5001,"&lt;&gt;")=0,"",SUMIFS(BD!$T$3:$T$5001,BD!$B$3:$B$5001,Q$268,BD!$A$3:$A$5001,_xlfn.MAXIFS(BD!$A$3:$A$5001,BD!$B$3:$B$5001,Q$268,BD!$A$3:$A$5001,"&gt;="&amp;$C$7,BD!$A$3:$A$5001,"&lt;="&amp;$B289,BD!$T$3:$T$5001,"&lt;&gt;"))))</f>
        <v/>
      </c>
      <c r="R289" s="54" t="str">
        <f>IF(OR($B289="",$A289&gt;$B$9,R$268=""),"",IF(COUNTIFS(BD!$B$3:$B$5001,R$268,BD!$A$3:$A$5001,"&gt;="&amp;$C$7,BD!$A$3:$A$5001,"&lt;="&amp;$B289,BD!$T$3:$T$5001,"&lt;&gt;")=0,"",SUMIFS(BD!$T$3:$T$5001,BD!$B$3:$B$5001,R$268,BD!$A$3:$A$5001,_xlfn.MAXIFS(BD!$A$3:$A$5001,BD!$B$3:$B$5001,R$268,BD!$A$3:$A$5001,"&gt;="&amp;$C$7,BD!$A$3:$A$5001,"&lt;="&amp;$B289,BD!$T$3:$T$5001,"&lt;&gt;"))))</f>
        <v/>
      </c>
      <c r="S289" s="54" t="str">
        <f>IF(OR($B289="",$A289&gt;$B$9,S$268=""),"",IF(COUNTIFS(BD!$B$3:$B$5001,S$268,BD!$A$3:$A$5001,"&gt;="&amp;$C$7,BD!$A$3:$A$5001,"&lt;="&amp;$B289,BD!$T$3:$T$5001,"&lt;&gt;")=0,"",SUMIFS(BD!$T$3:$T$5001,BD!$B$3:$B$5001,S$268,BD!$A$3:$A$5001,_xlfn.MAXIFS(BD!$A$3:$A$5001,BD!$B$3:$B$5001,S$268,BD!$A$3:$A$5001,"&gt;="&amp;$C$7,BD!$A$3:$A$5001,"&lt;="&amp;$B289,BD!$T$3:$T$5001,"&lt;&gt;"))))</f>
        <v/>
      </c>
      <c r="T289" s="54" t="str">
        <f>IF(OR($B289="",$A289&gt;$B$9,T$268=""),"",IF(COUNTIFS(BD!$B$3:$B$5001,T$268,BD!$A$3:$A$5001,"&gt;="&amp;$C$7,BD!$A$3:$A$5001,"&lt;="&amp;$B289,BD!$T$3:$T$5001,"&lt;&gt;")=0,"",SUMIFS(BD!$T$3:$T$5001,BD!$B$3:$B$5001,T$268,BD!$A$3:$A$5001,_xlfn.MAXIFS(BD!$A$3:$A$5001,BD!$B$3:$B$5001,T$268,BD!$A$3:$A$5001,"&gt;="&amp;$C$7,BD!$A$3:$A$5001,"&lt;="&amp;$B289,BD!$T$3:$T$5001,"&lt;&gt;"))))</f>
        <v/>
      </c>
      <c r="U289" s="54" t="str">
        <f>IF(OR($B289="",$A289&gt;$B$9,U$268=""),"",IF(COUNTIFS(BD!$B$3:$B$5001,U$268,BD!$A$3:$A$5001,"&gt;="&amp;$C$7,BD!$A$3:$A$5001,"&lt;="&amp;$B289,BD!$T$3:$T$5001,"&lt;&gt;")=0,"",SUMIFS(BD!$T$3:$T$5001,BD!$B$3:$B$5001,U$268,BD!$A$3:$A$5001,_xlfn.MAXIFS(BD!$A$3:$A$5001,BD!$B$3:$B$5001,U$268,BD!$A$3:$A$5001,"&gt;="&amp;$C$7,BD!$A$3:$A$5001,"&lt;="&amp;$B289,BD!$T$3:$T$5001,"&lt;&gt;"))))</f>
        <v/>
      </c>
      <c r="V289" s="54" t="str">
        <f>IF(OR($B289="",$A289&gt;$B$9,V$268=""),"",IF(COUNTIFS(BD!$B$3:$B$5001,V$268,BD!$A$3:$A$5001,"&gt;="&amp;$C$7,BD!$A$3:$A$5001,"&lt;="&amp;$B289,BD!$T$3:$T$5001,"&lt;&gt;")=0,"",SUMIFS(BD!$T$3:$T$5001,BD!$B$3:$B$5001,V$268,BD!$A$3:$A$5001,_xlfn.MAXIFS(BD!$A$3:$A$5001,BD!$B$3:$B$5001,V$268,BD!$A$3:$A$5001,"&gt;="&amp;$C$7,BD!$A$3:$A$5001,"&lt;="&amp;$B289,BD!$T$3:$T$5001,"&lt;&gt;"))))</f>
        <v/>
      </c>
    </row>
    <row r="290">
      <c r="A290" s="48">
        <v>22</v>
      </c>
      <c r="B290" s="53">
        <f>$B$33</f>
        <v>46317</v>
      </c>
      <c r="C290" s="54" t="str">
        <f>IF(OR($B290="",$A290&gt;$B$9,C$268=""),"",IF(COUNTIFS(BD!$B$3:$B$5001,C$268,BD!$A$3:$A$5001,"&gt;="&amp;$C$7,BD!$A$3:$A$5001,"&lt;="&amp;$B290,BD!$T$3:$T$5001,"&lt;&gt;")=0,"",SUMIFS(BD!$T$3:$T$5001,BD!$B$3:$B$5001,C$268,BD!$A$3:$A$5001,_xlfn.MAXIFS(BD!$A$3:$A$5001,BD!$B$3:$B$5001,C$268,BD!$A$3:$A$5001,"&gt;="&amp;$C$7,BD!$A$3:$A$5001,"&lt;="&amp;$B290,BD!$T$3:$T$5001,"&lt;&gt;"))))</f>
        <v/>
      </c>
      <c r="D290" s="54" t="str">
        <f>IF(OR($B290="",$A290&gt;$B$9,D$268=""),"",IF(COUNTIFS(BD!$B$3:$B$5001,D$268,BD!$A$3:$A$5001,"&gt;="&amp;$C$7,BD!$A$3:$A$5001,"&lt;="&amp;$B290,BD!$T$3:$T$5001,"&lt;&gt;")=0,"",SUMIFS(BD!$T$3:$T$5001,BD!$B$3:$B$5001,D$268,BD!$A$3:$A$5001,_xlfn.MAXIFS(BD!$A$3:$A$5001,BD!$B$3:$B$5001,D$268,BD!$A$3:$A$5001,"&gt;="&amp;$C$7,BD!$A$3:$A$5001,"&lt;="&amp;$B290,BD!$T$3:$T$5001,"&lt;&gt;"))))</f>
        <v/>
      </c>
      <c r="E290" s="54" t="str">
        <f>IF(OR($B290="",$A290&gt;$B$9,E$268=""),"",IF(COUNTIFS(BD!$B$3:$B$5001,E$268,BD!$A$3:$A$5001,"&gt;="&amp;$C$7,BD!$A$3:$A$5001,"&lt;="&amp;$B290,BD!$T$3:$T$5001,"&lt;&gt;")=0,"",SUMIFS(BD!$T$3:$T$5001,BD!$B$3:$B$5001,E$268,BD!$A$3:$A$5001,_xlfn.MAXIFS(BD!$A$3:$A$5001,BD!$B$3:$B$5001,E$268,BD!$A$3:$A$5001,"&gt;="&amp;$C$7,BD!$A$3:$A$5001,"&lt;="&amp;$B290,BD!$T$3:$T$5001,"&lt;&gt;"))))</f>
        <v/>
      </c>
      <c r="F290" s="54" t="str">
        <f>IF(OR($B290="",$A290&gt;$B$9,F$268=""),"",IF(COUNTIFS(BD!$B$3:$B$5001,F$268,BD!$A$3:$A$5001,"&gt;="&amp;$C$7,BD!$A$3:$A$5001,"&lt;="&amp;$B290,BD!$T$3:$T$5001,"&lt;&gt;")=0,"",SUMIFS(BD!$T$3:$T$5001,BD!$B$3:$B$5001,F$268,BD!$A$3:$A$5001,_xlfn.MAXIFS(BD!$A$3:$A$5001,BD!$B$3:$B$5001,F$268,BD!$A$3:$A$5001,"&gt;="&amp;$C$7,BD!$A$3:$A$5001,"&lt;="&amp;$B290,BD!$T$3:$T$5001,"&lt;&gt;"))))</f>
        <v/>
      </c>
      <c r="G290" s="54" t="str">
        <f>IF(OR($B290="",$A290&gt;$B$9,G$268=""),"",IF(COUNTIFS(BD!$B$3:$B$5001,G$268,BD!$A$3:$A$5001,"&gt;="&amp;$C$7,BD!$A$3:$A$5001,"&lt;="&amp;$B290,BD!$T$3:$T$5001,"&lt;&gt;")=0,"",SUMIFS(BD!$T$3:$T$5001,BD!$B$3:$B$5001,G$268,BD!$A$3:$A$5001,_xlfn.MAXIFS(BD!$A$3:$A$5001,BD!$B$3:$B$5001,G$268,BD!$A$3:$A$5001,"&gt;="&amp;$C$7,BD!$A$3:$A$5001,"&lt;="&amp;$B290,BD!$T$3:$T$5001,"&lt;&gt;"))))</f>
        <v/>
      </c>
      <c r="H290" s="54" t="str">
        <f>IF(OR($B290="",$A290&gt;$B$9,H$268=""),"",IF(COUNTIFS(BD!$B$3:$B$5001,H$268,BD!$A$3:$A$5001,"&gt;="&amp;$C$7,BD!$A$3:$A$5001,"&lt;="&amp;$B290,BD!$T$3:$T$5001,"&lt;&gt;")=0,"",SUMIFS(BD!$T$3:$T$5001,BD!$B$3:$B$5001,H$268,BD!$A$3:$A$5001,_xlfn.MAXIFS(BD!$A$3:$A$5001,BD!$B$3:$B$5001,H$268,BD!$A$3:$A$5001,"&gt;="&amp;$C$7,BD!$A$3:$A$5001,"&lt;="&amp;$B290,BD!$T$3:$T$5001,"&lt;&gt;"))))</f>
        <v/>
      </c>
      <c r="I290" s="54" t="str">
        <f>IF(OR($B290="",$A290&gt;$B$9,I$268=""),"",IF(COUNTIFS(BD!$B$3:$B$5001,I$268,BD!$A$3:$A$5001,"&gt;="&amp;$C$7,BD!$A$3:$A$5001,"&lt;="&amp;$B290,BD!$T$3:$T$5001,"&lt;&gt;")=0,"",SUMIFS(BD!$T$3:$T$5001,BD!$B$3:$B$5001,I$268,BD!$A$3:$A$5001,_xlfn.MAXIFS(BD!$A$3:$A$5001,BD!$B$3:$B$5001,I$268,BD!$A$3:$A$5001,"&gt;="&amp;$C$7,BD!$A$3:$A$5001,"&lt;="&amp;$B290,BD!$T$3:$T$5001,"&lt;&gt;"))))</f>
        <v/>
      </c>
      <c r="J290" s="54" t="str">
        <f>IF(OR($B290="",$A290&gt;$B$9,J$268=""),"",IF(COUNTIFS(BD!$B$3:$B$5001,J$268,BD!$A$3:$A$5001,"&gt;="&amp;$C$7,BD!$A$3:$A$5001,"&lt;="&amp;$B290,BD!$T$3:$T$5001,"&lt;&gt;")=0,"",SUMIFS(BD!$T$3:$T$5001,BD!$B$3:$B$5001,J$268,BD!$A$3:$A$5001,_xlfn.MAXIFS(BD!$A$3:$A$5001,BD!$B$3:$B$5001,J$268,BD!$A$3:$A$5001,"&gt;="&amp;$C$7,BD!$A$3:$A$5001,"&lt;="&amp;$B290,BD!$T$3:$T$5001,"&lt;&gt;"))))</f>
        <v/>
      </c>
      <c r="K290" s="54" t="str">
        <f>IF(OR($B290="",$A290&gt;$B$9,K$268=""),"",IF(COUNTIFS(BD!$B$3:$B$5001,K$268,BD!$A$3:$A$5001,"&gt;="&amp;$C$7,BD!$A$3:$A$5001,"&lt;="&amp;$B290,BD!$T$3:$T$5001,"&lt;&gt;")=0,"",SUMIFS(BD!$T$3:$T$5001,BD!$B$3:$B$5001,K$268,BD!$A$3:$A$5001,_xlfn.MAXIFS(BD!$A$3:$A$5001,BD!$B$3:$B$5001,K$268,BD!$A$3:$A$5001,"&gt;="&amp;$C$7,BD!$A$3:$A$5001,"&lt;="&amp;$B290,BD!$T$3:$T$5001,"&lt;&gt;"))))</f>
        <v/>
      </c>
      <c r="L290" s="54" t="str">
        <f>IF(OR($B290="",$A290&gt;$B$9,L$268=""),"",IF(COUNTIFS(BD!$B$3:$B$5001,L$268,BD!$A$3:$A$5001,"&gt;="&amp;$C$7,BD!$A$3:$A$5001,"&lt;="&amp;$B290,BD!$T$3:$T$5001,"&lt;&gt;")=0,"",SUMIFS(BD!$T$3:$T$5001,BD!$B$3:$B$5001,L$268,BD!$A$3:$A$5001,_xlfn.MAXIFS(BD!$A$3:$A$5001,BD!$B$3:$B$5001,L$268,BD!$A$3:$A$5001,"&gt;="&amp;$C$7,BD!$A$3:$A$5001,"&lt;="&amp;$B290,BD!$T$3:$T$5001,"&lt;&gt;"))))</f>
        <v/>
      </c>
      <c r="M290" s="54" t="str">
        <f>IF(OR($B290="",$A290&gt;$B$9,M$268=""),"",IF(COUNTIFS(BD!$B$3:$B$5001,M$268,BD!$A$3:$A$5001,"&gt;="&amp;$C$7,BD!$A$3:$A$5001,"&lt;="&amp;$B290,BD!$T$3:$T$5001,"&lt;&gt;")=0,"",SUMIFS(BD!$T$3:$T$5001,BD!$B$3:$B$5001,M$268,BD!$A$3:$A$5001,_xlfn.MAXIFS(BD!$A$3:$A$5001,BD!$B$3:$B$5001,M$268,BD!$A$3:$A$5001,"&gt;="&amp;$C$7,BD!$A$3:$A$5001,"&lt;="&amp;$B290,BD!$T$3:$T$5001,"&lt;&gt;"))))</f>
        <v/>
      </c>
      <c r="N290" s="54" t="str">
        <f>IF(OR($B290="",$A290&gt;$B$9,N$268=""),"",IF(COUNTIFS(BD!$B$3:$B$5001,N$268,BD!$A$3:$A$5001,"&gt;="&amp;$C$7,BD!$A$3:$A$5001,"&lt;="&amp;$B290,BD!$T$3:$T$5001,"&lt;&gt;")=0,"",SUMIFS(BD!$T$3:$T$5001,BD!$B$3:$B$5001,N$268,BD!$A$3:$A$5001,_xlfn.MAXIFS(BD!$A$3:$A$5001,BD!$B$3:$B$5001,N$268,BD!$A$3:$A$5001,"&gt;="&amp;$C$7,BD!$A$3:$A$5001,"&lt;="&amp;$B290,BD!$T$3:$T$5001,"&lt;&gt;"))))</f>
        <v/>
      </c>
      <c r="O290" s="54" t="str">
        <f>IF(OR($B290="",$A290&gt;$B$9,O$268=""),"",IF(COUNTIFS(BD!$B$3:$B$5001,O$268,BD!$A$3:$A$5001,"&gt;="&amp;$C$7,BD!$A$3:$A$5001,"&lt;="&amp;$B290,BD!$T$3:$T$5001,"&lt;&gt;")=0,"",SUMIFS(BD!$T$3:$T$5001,BD!$B$3:$B$5001,O$268,BD!$A$3:$A$5001,_xlfn.MAXIFS(BD!$A$3:$A$5001,BD!$B$3:$B$5001,O$268,BD!$A$3:$A$5001,"&gt;="&amp;$C$7,BD!$A$3:$A$5001,"&lt;="&amp;$B290,BD!$T$3:$T$5001,"&lt;&gt;"))))</f>
        <v/>
      </c>
      <c r="P290" s="54" t="str">
        <f>IF(OR($B290="",$A290&gt;$B$9,P$268=""),"",IF(COUNTIFS(BD!$B$3:$B$5001,P$268,BD!$A$3:$A$5001,"&gt;="&amp;$C$7,BD!$A$3:$A$5001,"&lt;="&amp;$B290,BD!$T$3:$T$5001,"&lt;&gt;")=0,"",SUMIFS(BD!$T$3:$T$5001,BD!$B$3:$B$5001,P$268,BD!$A$3:$A$5001,_xlfn.MAXIFS(BD!$A$3:$A$5001,BD!$B$3:$B$5001,P$268,BD!$A$3:$A$5001,"&gt;="&amp;$C$7,BD!$A$3:$A$5001,"&lt;="&amp;$B290,BD!$T$3:$T$5001,"&lt;&gt;"))))</f>
        <v/>
      </c>
      <c r="Q290" s="54" t="str">
        <f>IF(OR($B290="",$A290&gt;$B$9,Q$268=""),"",IF(COUNTIFS(BD!$B$3:$B$5001,Q$268,BD!$A$3:$A$5001,"&gt;="&amp;$C$7,BD!$A$3:$A$5001,"&lt;="&amp;$B290,BD!$T$3:$T$5001,"&lt;&gt;")=0,"",SUMIFS(BD!$T$3:$T$5001,BD!$B$3:$B$5001,Q$268,BD!$A$3:$A$5001,_xlfn.MAXIFS(BD!$A$3:$A$5001,BD!$B$3:$B$5001,Q$268,BD!$A$3:$A$5001,"&gt;="&amp;$C$7,BD!$A$3:$A$5001,"&lt;="&amp;$B290,BD!$T$3:$T$5001,"&lt;&gt;"))))</f>
        <v/>
      </c>
      <c r="R290" s="54" t="str">
        <f>IF(OR($B290="",$A290&gt;$B$9,R$268=""),"",IF(COUNTIFS(BD!$B$3:$B$5001,R$268,BD!$A$3:$A$5001,"&gt;="&amp;$C$7,BD!$A$3:$A$5001,"&lt;="&amp;$B290,BD!$T$3:$T$5001,"&lt;&gt;")=0,"",SUMIFS(BD!$T$3:$T$5001,BD!$B$3:$B$5001,R$268,BD!$A$3:$A$5001,_xlfn.MAXIFS(BD!$A$3:$A$5001,BD!$B$3:$B$5001,R$268,BD!$A$3:$A$5001,"&gt;="&amp;$C$7,BD!$A$3:$A$5001,"&lt;="&amp;$B290,BD!$T$3:$T$5001,"&lt;&gt;"))))</f>
        <v/>
      </c>
      <c r="S290" s="54" t="str">
        <f>IF(OR($B290="",$A290&gt;$B$9,S$268=""),"",IF(COUNTIFS(BD!$B$3:$B$5001,S$268,BD!$A$3:$A$5001,"&gt;="&amp;$C$7,BD!$A$3:$A$5001,"&lt;="&amp;$B290,BD!$T$3:$T$5001,"&lt;&gt;")=0,"",SUMIFS(BD!$T$3:$T$5001,BD!$B$3:$B$5001,S$268,BD!$A$3:$A$5001,_xlfn.MAXIFS(BD!$A$3:$A$5001,BD!$B$3:$B$5001,S$268,BD!$A$3:$A$5001,"&gt;="&amp;$C$7,BD!$A$3:$A$5001,"&lt;="&amp;$B290,BD!$T$3:$T$5001,"&lt;&gt;"))))</f>
        <v/>
      </c>
      <c r="T290" s="54" t="str">
        <f>IF(OR($B290="",$A290&gt;$B$9,T$268=""),"",IF(COUNTIFS(BD!$B$3:$B$5001,T$268,BD!$A$3:$A$5001,"&gt;="&amp;$C$7,BD!$A$3:$A$5001,"&lt;="&amp;$B290,BD!$T$3:$T$5001,"&lt;&gt;")=0,"",SUMIFS(BD!$T$3:$T$5001,BD!$B$3:$B$5001,T$268,BD!$A$3:$A$5001,_xlfn.MAXIFS(BD!$A$3:$A$5001,BD!$B$3:$B$5001,T$268,BD!$A$3:$A$5001,"&gt;="&amp;$C$7,BD!$A$3:$A$5001,"&lt;="&amp;$B290,BD!$T$3:$T$5001,"&lt;&gt;"))))</f>
        <v/>
      </c>
      <c r="U290" s="54" t="str">
        <f>IF(OR($B290="",$A290&gt;$B$9,U$268=""),"",IF(COUNTIFS(BD!$B$3:$B$5001,U$268,BD!$A$3:$A$5001,"&gt;="&amp;$C$7,BD!$A$3:$A$5001,"&lt;="&amp;$B290,BD!$T$3:$T$5001,"&lt;&gt;")=0,"",SUMIFS(BD!$T$3:$T$5001,BD!$B$3:$B$5001,U$268,BD!$A$3:$A$5001,_xlfn.MAXIFS(BD!$A$3:$A$5001,BD!$B$3:$B$5001,U$268,BD!$A$3:$A$5001,"&gt;="&amp;$C$7,BD!$A$3:$A$5001,"&lt;="&amp;$B290,BD!$T$3:$T$5001,"&lt;&gt;"))))</f>
        <v/>
      </c>
      <c r="V290" s="54" t="str">
        <f>IF(OR($B290="",$A290&gt;$B$9,V$268=""),"",IF(COUNTIFS(BD!$B$3:$B$5001,V$268,BD!$A$3:$A$5001,"&gt;="&amp;$C$7,BD!$A$3:$A$5001,"&lt;="&amp;$B290,BD!$T$3:$T$5001,"&lt;&gt;")=0,"",SUMIFS(BD!$T$3:$T$5001,BD!$B$3:$B$5001,V$268,BD!$A$3:$A$5001,_xlfn.MAXIFS(BD!$A$3:$A$5001,BD!$B$3:$B$5001,V$268,BD!$A$3:$A$5001,"&gt;="&amp;$C$7,BD!$A$3:$A$5001,"&lt;="&amp;$B290,BD!$T$3:$T$5001,"&lt;&gt;"))))</f>
        <v/>
      </c>
    </row>
    <row r="291">
      <c r="A291" s="48">
        <v>23</v>
      </c>
      <c r="B291" s="53">
        <f>$B$34</f>
        <v>46318</v>
      </c>
      <c r="C291" s="54" t="str">
        <f>IF(OR($B291="",$A291&gt;$B$9,C$268=""),"",IF(COUNTIFS(BD!$B$3:$B$5001,C$268,BD!$A$3:$A$5001,"&gt;="&amp;$C$7,BD!$A$3:$A$5001,"&lt;="&amp;$B291,BD!$T$3:$T$5001,"&lt;&gt;")=0,"",SUMIFS(BD!$T$3:$T$5001,BD!$B$3:$B$5001,C$268,BD!$A$3:$A$5001,_xlfn.MAXIFS(BD!$A$3:$A$5001,BD!$B$3:$B$5001,C$268,BD!$A$3:$A$5001,"&gt;="&amp;$C$7,BD!$A$3:$A$5001,"&lt;="&amp;$B291,BD!$T$3:$T$5001,"&lt;&gt;"))))</f>
        <v/>
      </c>
      <c r="D291" s="54" t="str">
        <f>IF(OR($B291="",$A291&gt;$B$9,D$268=""),"",IF(COUNTIFS(BD!$B$3:$B$5001,D$268,BD!$A$3:$A$5001,"&gt;="&amp;$C$7,BD!$A$3:$A$5001,"&lt;="&amp;$B291,BD!$T$3:$T$5001,"&lt;&gt;")=0,"",SUMIFS(BD!$T$3:$T$5001,BD!$B$3:$B$5001,D$268,BD!$A$3:$A$5001,_xlfn.MAXIFS(BD!$A$3:$A$5001,BD!$B$3:$B$5001,D$268,BD!$A$3:$A$5001,"&gt;="&amp;$C$7,BD!$A$3:$A$5001,"&lt;="&amp;$B291,BD!$T$3:$T$5001,"&lt;&gt;"))))</f>
        <v/>
      </c>
      <c r="E291" s="54" t="str">
        <f>IF(OR($B291="",$A291&gt;$B$9,E$268=""),"",IF(COUNTIFS(BD!$B$3:$B$5001,E$268,BD!$A$3:$A$5001,"&gt;="&amp;$C$7,BD!$A$3:$A$5001,"&lt;="&amp;$B291,BD!$T$3:$T$5001,"&lt;&gt;")=0,"",SUMIFS(BD!$T$3:$T$5001,BD!$B$3:$B$5001,E$268,BD!$A$3:$A$5001,_xlfn.MAXIFS(BD!$A$3:$A$5001,BD!$B$3:$B$5001,E$268,BD!$A$3:$A$5001,"&gt;="&amp;$C$7,BD!$A$3:$A$5001,"&lt;="&amp;$B291,BD!$T$3:$T$5001,"&lt;&gt;"))))</f>
        <v/>
      </c>
      <c r="F291" s="54" t="str">
        <f>IF(OR($B291="",$A291&gt;$B$9,F$268=""),"",IF(COUNTIFS(BD!$B$3:$B$5001,F$268,BD!$A$3:$A$5001,"&gt;="&amp;$C$7,BD!$A$3:$A$5001,"&lt;="&amp;$B291,BD!$T$3:$T$5001,"&lt;&gt;")=0,"",SUMIFS(BD!$T$3:$T$5001,BD!$B$3:$B$5001,F$268,BD!$A$3:$A$5001,_xlfn.MAXIFS(BD!$A$3:$A$5001,BD!$B$3:$B$5001,F$268,BD!$A$3:$A$5001,"&gt;="&amp;$C$7,BD!$A$3:$A$5001,"&lt;="&amp;$B291,BD!$T$3:$T$5001,"&lt;&gt;"))))</f>
        <v/>
      </c>
      <c r="G291" s="54" t="str">
        <f>IF(OR($B291="",$A291&gt;$B$9,G$268=""),"",IF(COUNTIFS(BD!$B$3:$B$5001,G$268,BD!$A$3:$A$5001,"&gt;="&amp;$C$7,BD!$A$3:$A$5001,"&lt;="&amp;$B291,BD!$T$3:$T$5001,"&lt;&gt;")=0,"",SUMIFS(BD!$T$3:$T$5001,BD!$B$3:$B$5001,G$268,BD!$A$3:$A$5001,_xlfn.MAXIFS(BD!$A$3:$A$5001,BD!$B$3:$B$5001,G$268,BD!$A$3:$A$5001,"&gt;="&amp;$C$7,BD!$A$3:$A$5001,"&lt;="&amp;$B291,BD!$T$3:$T$5001,"&lt;&gt;"))))</f>
        <v/>
      </c>
      <c r="H291" s="54" t="str">
        <f>IF(OR($B291="",$A291&gt;$B$9,H$268=""),"",IF(COUNTIFS(BD!$B$3:$B$5001,H$268,BD!$A$3:$A$5001,"&gt;="&amp;$C$7,BD!$A$3:$A$5001,"&lt;="&amp;$B291,BD!$T$3:$T$5001,"&lt;&gt;")=0,"",SUMIFS(BD!$T$3:$T$5001,BD!$B$3:$B$5001,H$268,BD!$A$3:$A$5001,_xlfn.MAXIFS(BD!$A$3:$A$5001,BD!$B$3:$B$5001,H$268,BD!$A$3:$A$5001,"&gt;="&amp;$C$7,BD!$A$3:$A$5001,"&lt;="&amp;$B291,BD!$T$3:$T$5001,"&lt;&gt;"))))</f>
        <v/>
      </c>
      <c r="I291" s="54" t="str">
        <f>IF(OR($B291="",$A291&gt;$B$9,I$268=""),"",IF(COUNTIFS(BD!$B$3:$B$5001,I$268,BD!$A$3:$A$5001,"&gt;="&amp;$C$7,BD!$A$3:$A$5001,"&lt;="&amp;$B291,BD!$T$3:$T$5001,"&lt;&gt;")=0,"",SUMIFS(BD!$T$3:$T$5001,BD!$B$3:$B$5001,I$268,BD!$A$3:$A$5001,_xlfn.MAXIFS(BD!$A$3:$A$5001,BD!$B$3:$B$5001,I$268,BD!$A$3:$A$5001,"&gt;="&amp;$C$7,BD!$A$3:$A$5001,"&lt;="&amp;$B291,BD!$T$3:$T$5001,"&lt;&gt;"))))</f>
        <v/>
      </c>
      <c r="J291" s="54" t="str">
        <f>IF(OR($B291="",$A291&gt;$B$9,J$268=""),"",IF(COUNTIFS(BD!$B$3:$B$5001,J$268,BD!$A$3:$A$5001,"&gt;="&amp;$C$7,BD!$A$3:$A$5001,"&lt;="&amp;$B291,BD!$T$3:$T$5001,"&lt;&gt;")=0,"",SUMIFS(BD!$T$3:$T$5001,BD!$B$3:$B$5001,J$268,BD!$A$3:$A$5001,_xlfn.MAXIFS(BD!$A$3:$A$5001,BD!$B$3:$B$5001,J$268,BD!$A$3:$A$5001,"&gt;="&amp;$C$7,BD!$A$3:$A$5001,"&lt;="&amp;$B291,BD!$T$3:$T$5001,"&lt;&gt;"))))</f>
        <v/>
      </c>
      <c r="K291" s="54" t="str">
        <f>IF(OR($B291="",$A291&gt;$B$9,K$268=""),"",IF(COUNTIFS(BD!$B$3:$B$5001,K$268,BD!$A$3:$A$5001,"&gt;="&amp;$C$7,BD!$A$3:$A$5001,"&lt;="&amp;$B291,BD!$T$3:$T$5001,"&lt;&gt;")=0,"",SUMIFS(BD!$T$3:$T$5001,BD!$B$3:$B$5001,K$268,BD!$A$3:$A$5001,_xlfn.MAXIFS(BD!$A$3:$A$5001,BD!$B$3:$B$5001,K$268,BD!$A$3:$A$5001,"&gt;="&amp;$C$7,BD!$A$3:$A$5001,"&lt;="&amp;$B291,BD!$T$3:$T$5001,"&lt;&gt;"))))</f>
        <v/>
      </c>
      <c r="L291" s="54" t="str">
        <f>IF(OR($B291="",$A291&gt;$B$9,L$268=""),"",IF(COUNTIFS(BD!$B$3:$B$5001,L$268,BD!$A$3:$A$5001,"&gt;="&amp;$C$7,BD!$A$3:$A$5001,"&lt;="&amp;$B291,BD!$T$3:$T$5001,"&lt;&gt;")=0,"",SUMIFS(BD!$T$3:$T$5001,BD!$B$3:$B$5001,L$268,BD!$A$3:$A$5001,_xlfn.MAXIFS(BD!$A$3:$A$5001,BD!$B$3:$B$5001,L$268,BD!$A$3:$A$5001,"&gt;="&amp;$C$7,BD!$A$3:$A$5001,"&lt;="&amp;$B291,BD!$T$3:$T$5001,"&lt;&gt;"))))</f>
        <v/>
      </c>
      <c r="M291" s="54" t="str">
        <f>IF(OR($B291="",$A291&gt;$B$9,M$268=""),"",IF(COUNTIFS(BD!$B$3:$B$5001,M$268,BD!$A$3:$A$5001,"&gt;="&amp;$C$7,BD!$A$3:$A$5001,"&lt;="&amp;$B291,BD!$T$3:$T$5001,"&lt;&gt;")=0,"",SUMIFS(BD!$T$3:$T$5001,BD!$B$3:$B$5001,M$268,BD!$A$3:$A$5001,_xlfn.MAXIFS(BD!$A$3:$A$5001,BD!$B$3:$B$5001,M$268,BD!$A$3:$A$5001,"&gt;="&amp;$C$7,BD!$A$3:$A$5001,"&lt;="&amp;$B291,BD!$T$3:$T$5001,"&lt;&gt;"))))</f>
        <v/>
      </c>
      <c r="N291" s="54" t="str">
        <f>IF(OR($B291="",$A291&gt;$B$9,N$268=""),"",IF(COUNTIFS(BD!$B$3:$B$5001,N$268,BD!$A$3:$A$5001,"&gt;="&amp;$C$7,BD!$A$3:$A$5001,"&lt;="&amp;$B291,BD!$T$3:$T$5001,"&lt;&gt;")=0,"",SUMIFS(BD!$T$3:$T$5001,BD!$B$3:$B$5001,N$268,BD!$A$3:$A$5001,_xlfn.MAXIFS(BD!$A$3:$A$5001,BD!$B$3:$B$5001,N$268,BD!$A$3:$A$5001,"&gt;="&amp;$C$7,BD!$A$3:$A$5001,"&lt;="&amp;$B291,BD!$T$3:$T$5001,"&lt;&gt;"))))</f>
        <v/>
      </c>
      <c r="O291" s="54" t="str">
        <f>IF(OR($B291="",$A291&gt;$B$9,O$268=""),"",IF(COUNTIFS(BD!$B$3:$B$5001,O$268,BD!$A$3:$A$5001,"&gt;="&amp;$C$7,BD!$A$3:$A$5001,"&lt;="&amp;$B291,BD!$T$3:$T$5001,"&lt;&gt;")=0,"",SUMIFS(BD!$T$3:$T$5001,BD!$B$3:$B$5001,O$268,BD!$A$3:$A$5001,_xlfn.MAXIFS(BD!$A$3:$A$5001,BD!$B$3:$B$5001,O$268,BD!$A$3:$A$5001,"&gt;="&amp;$C$7,BD!$A$3:$A$5001,"&lt;="&amp;$B291,BD!$T$3:$T$5001,"&lt;&gt;"))))</f>
        <v/>
      </c>
      <c r="P291" s="54" t="str">
        <f>IF(OR($B291="",$A291&gt;$B$9,P$268=""),"",IF(COUNTIFS(BD!$B$3:$B$5001,P$268,BD!$A$3:$A$5001,"&gt;="&amp;$C$7,BD!$A$3:$A$5001,"&lt;="&amp;$B291,BD!$T$3:$T$5001,"&lt;&gt;")=0,"",SUMIFS(BD!$T$3:$T$5001,BD!$B$3:$B$5001,P$268,BD!$A$3:$A$5001,_xlfn.MAXIFS(BD!$A$3:$A$5001,BD!$B$3:$B$5001,P$268,BD!$A$3:$A$5001,"&gt;="&amp;$C$7,BD!$A$3:$A$5001,"&lt;="&amp;$B291,BD!$T$3:$T$5001,"&lt;&gt;"))))</f>
        <v/>
      </c>
      <c r="Q291" s="54" t="str">
        <f>IF(OR($B291="",$A291&gt;$B$9,Q$268=""),"",IF(COUNTIFS(BD!$B$3:$B$5001,Q$268,BD!$A$3:$A$5001,"&gt;="&amp;$C$7,BD!$A$3:$A$5001,"&lt;="&amp;$B291,BD!$T$3:$T$5001,"&lt;&gt;")=0,"",SUMIFS(BD!$T$3:$T$5001,BD!$B$3:$B$5001,Q$268,BD!$A$3:$A$5001,_xlfn.MAXIFS(BD!$A$3:$A$5001,BD!$B$3:$B$5001,Q$268,BD!$A$3:$A$5001,"&gt;="&amp;$C$7,BD!$A$3:$A$5001,"&lt;="&amp;$B291,BD!$T$3:$T$5001,"&lt;&gt;"))))</f>
        <v/>
      </c>
      <c r="R291" s="54" t="str">
        <f>IF(OR($B291="",$A291&gt;$B$9,R$268=""),"",IF(COUNTIFS(BD!$B$3:$B$5001,R$268,BD!$A$3:$A$5001,"&gt;="&amp;$C$7,BD!$A$3:$A$5001,"&lt;="&amp;$B291,BD!$T$3:$T$5001,"&lt;&gt;")=0,"",SUMIFS(BD!$T$3:$T$5001,BD!$B$3:$B$5001,R$268,BD!$A$3:$A$5001,_xlfn.MAXIFS(BD!$A$3:$A$5001,BD!$B$3:$B$5001,R$268,BD!$A$3:$A$5001,"&gt;="&amp;$C$7,BD!$A$3:$A$5001,"&lt;="&amp;$B291,BD!$T$3:$T$5001,"&lt;&gt;"))))</f>
        <v/>
      </c>
      <c r="S291" s="54" t="str">
        <f>IF(OR($B291="",$A291&gt;$B$9,S$268=""),"",IF(COUNTIFS(BD!$B$3:$B$5001,S$268,BD!$A$3:$A$5001,"&gt;="&amp;$C$7,BD!$A$3:$A$5001,"&lt;="&amp;$B291,BD!$T$3:$T$5001,"&lt;&gt;")=0,"",SUMIFS(BD!$T$3:$T$5001,BD!$B$3:$B$5001,S$268,BD!$A$3:$A$5001,_xlfn.MAXIFS(BD!$A$3:$A$5001,BD!$B$3:$B$5001,S$268,BD!$A$3:$A$5001,"&gt;="&amp;$C$7,BD!$A$3:$A$5001,"&lt;="&amp;$B291,BD!$T$3:$T$5001,"&lt;&gt;"))))</f>
        <v/>
      </c>
      <c r="T291" s="54" t="str">
        <f>IF(OR($B291="",$A291&gt;$B$9,T$268=""),"",IF(COUNTIFS(BD!$B$3:$B$5001,T$268,BD!$A$3:$A$5001,"&gt;="&amp;$C$7,BD!$A$3:$A$5001,"&lt;="&amp;$B291,BD!$T$3:$T$5001,"&lt;&gt;")=0,"",SUMIFS(BD!$T$3:$T$5001,BD!$B$3:$B$5001,T$268,BD!$A$3:$A$5001,_xlfn.MAXIFS(BD!$A$3:$A$5001,BD!$B$3:$B$5001,T$268,BD!$A$3:$A$5001,"&gt;="&amp;$C$7,BD!$A$3:$A$5001,"&lt;="&amp;$B291,BD!$T$3:$T$5001,"&lt;&gt;"))))</f>
        <v/>
      </c>
      <c r="U291" s="54" t="str">
        <f>IF(OR($B291="",$A291&gt;$B$9,U$268=""),"",IF(COUNTIFS(BD!$B$3:$B$5001,U$268,BD!$A$3:$A$5001,"&gt;="&amp;$C$7,BD!$A$3:$A$5001,"&lt;="&amp;$B291,BD!$T$3:$T$5001,"&lt;&gt;")=0,"",SUMIFS(BD!$T$3:$T$5001,BD!$B$3:$B$5001,U$268,BD!$A$3:$A$5001,_xlfn.MAXIFS(BD!$A$3:$A$5001,BD!$B$3:$B$5001,U$268,BD!$A$3:$A$5001,"&gt;="&amp;$C$7,BD!$A$3:$A$5001,"&lt;="&amp;$B291,BD!$T$3:$T$5001,"&lt;&gt;"))))</f>
        <v/>
      </c>
      <c r="V291" s="54" t="str">
        <f>IF(OR($B291="",$A291&gt;$B$9,V$268=""),"",IF(COUNTIFS(BD!$B$3:$B$5001,V$268,BD!$A$3:$A$5001,"&gt;="&amp;$C$7,BD!$A$3:$A$5001,"&lt;="&amp;$B291,BD!$T$3:$T$5001,"&lt;&gt;")=0,"",SUMIFS(BD!$T$3:$T$5001,BD!$B$3:$B$5001,V$268,BD!$A$3:$A$5001,_xlfn.MAXIFS(BD!$A$3:$A$5001,BD!$B$3:$B$5001,V$268,BD!$A$3:$A$5001,"&gt;="&amp;$C$7,BD!$A$3:$A$5001,"&lt;="&amp;$B291,BD!$T$3:$T$5001,"&lt;&gt;"))))</f>
        <v/>
      </c>
    </row>
    <row r="292">
      <c r="A292" s="48">
        <v>24</v>
      </c>
      <c r="B292" s="53">
        <f>$B$35</f>
        <v>46319</v>
      </c>
      <c r="C292" s="54" t="str">
        <f>IF(OR($B292="",$A292&gt;$B$9,C$268=""),"",IF(COUNTIFS(BD!$B$3:$B$5001,C$268,BD!$A$3:$A$5001,"&gt;="&amp;$C$7,BD!$A$3:$A$5001,"&lt;="&amp;$B292,BD!$T$3:$T$5001,"&lt;&gt;")=0,"",SUMIFS(BD!$T$3:$T$5001,BD!$B$3:$B$5001,C$268,BD!$A$3:$A$5001,_xlfn.MAXIFS(BD!$A$3:$A$5001,BD!$B$3:$B$5001,C$268,BD!$A$3:$A$5001,"&gt;="&amp;$C$7,BD!$A$3:$A$5001,"&lt;="&amp;$B292,BD!$T$3:$T$5001,"&lt;&gt;"))))</f>
        <v/>
      </c>
      <c r="D292" s="54" t="str">
        <f>IF(OR($B292="",$A292&gt;$B$9,D$268=""),"",IF(COUNTIFS(BD!$B$3:$B$5001,D$268,BD!$A$3:$A$5001,"&gt;="&amp;$C$7,BD!$A$3:$A$5001,"&lt;="&amp;$B292,BD!$T$3:$T$5001,"&lt;&gt;")=0,"",SUMIFS(BD!$T$3:$T$5001,BD!$B$3:$B$5001,D$268,BD!$A$3:$A$5001,_xlfn.MAXIFS(BD!$A$3:$A$5001,BD!$B$3:$B$5001,D$268,BD!$A$3:$A$5001,"&gt;="&amp;$C$7,BD!$A$3:$A$5001,"&lt;="&amp;$B292,BD!$T$3:$T$5001,"&lt;&gt;"))))</f>
        <v/>
      </c>
      <c r="E292" s="54" t="str">
        <f>IF(OR($B292="",$A292&gt;$B$9,E$268=""),"",IF(COUNTIFS(BD!$B$3:$B$5001,E$268,BD!$A$3:$A$5001,"&gt;="&amp;$C$7,BD!$A$3:$A$5001,"&lt;="&amp;$B292,BD!$T$3:$T$5001,"&lt;&gt;")=0,"",SUMIFS(BD!$T$3:$T$5001,BD!$B$3:$B$5001,E$268,BD!$A$3:$A$5001,_xlfn.MAXIFS(BD!$A$3:$A$5001,BD!$B$3:$B$5001,E$268,BD!$A$3:$A$5001,"&gt;="&amp;$C$7,BD!$A$3:$A$5001,"&lt;="&amp;$B292,BD!$T$3:$T$5001,"&lt;&gt;"))))</f>
        <v/>
      </c>
      <c r="F292" s="54" t="str">
        <f>IF(OR($B292="",$A292&gt;$B$9,F$268=""),"",IF(COUNTIFS(BD!$B$3:$B$5001,F$268,BD!$A$3:$A$5001,"&gt;="&amp;$C$7,BD!$A$3:$A$5001,"&lt;="&amp;$B292,BD!$T$3:$T$5001,"&lt;&gt;")=0,"",SUMIFS(BD!$T$3:$T$5001,BD!$B$3:$B$5001,F$268,BD!$A$3:$A$5001,_xlfn.MAXIFS(BD!$A$3:$A$5001,BD!$B$3:$B$5001,F$268,BD!$A$3:$A$5001,"&gt;="&amp;$C$7,BD!$A$3:$A$5001,"&lt;="&amp;$B292,BD!$T$3:$T$5001,"&lt;&gt;"))))</f>
        <v/>
      </c>
      <c r="G292" s="54" t="str">
        <f>IF(OR($B292="",$A292&gt;$B$9,G$268=""),"",IF(COUNTIFS(BD!$B$3:$B$5001,G$268,BD!$A$3:$A$5001,"&gt;="&amp;$C$7,BD!$A$3:$A$5001,"&lt;="&amp;$B292,BD!$T$3:$T$5001,"&lt;&gt;")=0,"",SUMIFS(BD!$T$3:$T$5001,BD!$B$3:$B$5001,G$268,BD!$A$3:$A$5001,_xlfn.MAXIFS(BD!$A$3:$A$5001,BD!$B$3:$B$5001,G$268,BD!$A$3:$A$5001,"&gt;="&amp;$C$7,BD!$A$3:$A$5001,"&lt;="&amp;$B292,BD!$T$3:$T$5001,"&lt;&gt;"))))</f>
        <v/>
      </c>
      <c r="H292" s="54" t="str">
        <f>IF(OR($B292="",$A292&gt;$B$9,H$268=""),"",IF(COUNTIFS(BD!$B$3:$B$5001,H$268,BD!$A$3:$A$5001,"&gt;="&amp;$C$7,BD!$A$3:$A$5001,"&lt;="&amp;$B292,BD!$T$3:$T$5001,"&lt;&gt;")=0,"",SUMIFS(BD!$T$3:$T$5001,BD!$B$3:$B$5001,H$268,BD!$A$3:$A$5001,_xlfn.MAXIFS(BD!$A$3:$A$5001,BD!$B$3:$B$5001,H$268,BD!$A$3:$A$5001,"&gt;="&amp;$C$7,BD!$A$3:$A$5001,"&lt;="&amp;$B292,BD!$T$3:$T$5001,"&lt;&gt;"))))</f>
        <v/>
      </c>
      <c r="I292" s="54" t="str">
        <f>IF(OR($B292="",$A292&gt;$B$9,I$268=""),"",IF(COUNTIFS(BD!$B$3:$B$5001,I$268,BD!$A$3:$A$5001,"&gt;="&amp;$C$7,BD!$A$3:$A$5001,"&lt;="&amp;$B292,BD!$T$3:$T$5001,"&lt;&gt;")=0,"",SUMIFS(BD!$T$3:$T$5001,BD!$B$3:$B$5001,I$268,BD!$A$3:$A$5001,_xlfn.MAXIFS(BD!$A$3:$A$5001,BD!$B$3:$B$5001,I$268,BD!$A$3:$A$5001,"&gt;="&amp;$C$7,BD!$A$3:$A$5001,"&lt;="&amp;$B292,BD!$T$3:$T$5001,"&lt;&gt;"))))</f>
        <v/>
      </c>
      <c r="J292" s="54" t="str">
        <f>IF(OR($B292="",$A292&gt;$B$9,J$268=""),"",IF(COUNTIFS(BD!$B$3:$B$5001,J$268,BD!$A$3:$A$5001,"&gt;="&amp;$C$7,BD!$A$3:$A$5001,"&lt;="&amp;$B292,BD!$T$3:$T$5001,"&lt;&gt;")=0,"",SUMIFS(BD!$T$3:$T$5001,BD!$B$3:$B$5001,J$268,BD!$A$3:$A$5001,_xlfn.MAXIFS(BD!$A$3:$A$5001,BD!$B$3:$B$5001,J$268,BD!$A$3:$A$5001,"&gt;="&amp;$C$7,BD!$A$3:$A$5001,"&lt;="&amp;$B292,BD!$T$3:$T$5001,"&lt;&gt;"))))</f>
        <v/>
      </c>
      <c r="K292" s="54" t="str">
        <f>IF(OR($B292="",$A292&gt;$B$9,K$268=""),"",IF(COUNTIFS(BD!$B$3:$B$5001,K$268,BD!$A$3:$A$5001,"&gt;="&amp;$C$7,BD!$A$3:$A$5001,"&lt;="&amp;$B292,BD!$T$3:$T$5001,"&lt;&gt;")=0,"",SUMIFS(BD!$T$3:$T$5001,BD!$B$3:$B$5001,K$268,BD!$A$3:$A$5001,_xlfn.MAXIFS(BD!$A$3:$A$5001,BD!$B$3:$B$5001,K$268,BD!$A$3:$A$5001,"&gt;="&amp;$C$7,BD!$A$3:$A$5001,"&lt;="&amp;$B292,BD!$T$3:$T$5001,"&lt;&gt;"))))</f>
        <v/>
      </c>
      <c r="L292" s="54" t="str">
        <f>IF(OR($B292="",$A292&gt;$B$9,L$268=""),"",IF(COUNTIFS(BD!$B$3:$B$5001,L$268,BD!$A$3:$A$5001,"&gt;="&amp;$C$7,BD!$A$3:$A$5001,"&lt;="&amp;$B292,BD!$T$3:$T$5001,"&lt;&gt;")=0,"",SUMIFS(BD!$T$3:$T$5001,BD!$B$3:$B$5001,L$268,BD!$A$3:$A$5001,_xlfn.MAXIFS(BD!$A$3:$A$5001,BD!$B$3:$B$5001,L$268,BD!$A$3:$A$5001,"&gt;="&amp;$C$7,BD!$A$3:$A$5001,"&lt;="&amp;$B292,BD!$T$3:$T$5001,"&lt;&gt;"))))</f>
        <v/>
      </c>
      <c r="M292" s="54" t="str">
        <f>IF(OR($B292="",$A292&gt;$B$9,M$268=""),"",IF(COUNTIFS(BD!$B$3:$B$5001,M$268,BD!$A$3:$A$5001,"&gt;="&amp;$C$7,BD!$A$3:$A$5001,"&lt;="&amp;$B292,BD!$T$3:$T$5001,"&lt;&gt;")=0,"",SUMIFS(BD!$T$3:$T$5001,BD!$B$3:$B$5001,M$268,BD!$A$3:$A$5001,_xlfn.MAXIFS(BD!$A$3:$A$5001,BD!$B$3:$B$5001,M$268,BD!$A$3:$A$5001,"&gt;="&amp;$C$7,BD!$A$3:$A$5001,"&lt;="&amp;$B292,BD!$T$3:$T$5001,"&lt;&gt;"))))</f>
        <v/>
      </c>
      <c r="N292" s="54" t="str">
        <f>IF(OR($B292="",$A292&gt;$B$9,N$268=""),"",IF(COUNTIFS(BD!$B$3:$B$5001,N$268,BD!$A$3:$A$5001,"&gt;="&amp;$C$7,BD!$A$3:$A$5001,"&lt;="&amp;$B292,BD!$T$3:$T$5001,"&lt;&gt;")=0,"",SUMIFS(BD!$T$3:$T$5001,BD!$B$3:$B$5001,N$268,BD!$A$3:$A$5001,_xlfn.MAXIFS(BD!$A$3:$A$5001,BD!$B$3:$B$5001,N$268,BD!$A$3:$A$5001,"&gt;="&amp;$C$7,BD!$A$3:$A$5001,"&lt;="&amp;$B292,BD!$T$3:$T$5001,"&lt;&gt;"))))</f>
        <v/>
      </c>
      <c r="O292" s="54" t="str">
        <f>IF(OR($B292="",$A292&gt;$B$9,O$268=""),"",IF(COUNTIFS(BD!$B$3:$B$5001,O$268,BD!$A$3:$A$5001,"&gt;="&amp;$C$7,BD!$A$3:$A$5001,"&lt;="&amp;$B292,BD!$T$3:$T$5001,"&lt;&gt;")=0,"",SUMIFS(BD!$T$3:$T$5001,BD!$B$3:$B$5001,O$268,BD!$A$3:$A$5001,_xlfn.MAXIFS(BD!$A$3:$A$5001,BD!$B$3:$B$5001,O$268,BD!$A$3:$A$5001,"&gt;="&amp;$C$7,BD!$A$3:$A$5001,"&lt;="&amp;$B292,BD!$T$3:$T$5001,"&lt;&gt;"))))</f>
        <v/>
      </c>
      <c r="P292" s="54" t="str">
        <f>IF(OR($B292="",$A292&gt;$B$9,P$268=""),"",IF(COUNTIFS(BD!$B$3:$B$5001,P$268,BD!$A$3:$A$5001,"&gt;="&amp;$C$7,BD!$A$3:$A$5001,"&lt;="&amp;$B292,BD!$T$3:$T$5001,"&lt;&gt;")=0,"",SUMIFS(BD!$T$3:$T$5001,BD!$B$3:$B$5001,P$268,BD!$A$3:$A$5001,_xlfn.MAXIFS(BD!$A$3:$A$5001,BD!$B$3:$B$5001,P$268,BD!$A$3:$A$5001,"&gt;="&amp;$C$7,BD!$A$3:$A$5001,"&lt;="&amp;$B292,BD!$T$3:$T$5001,"&lt;&gt;"))))</f>
        <v/>
      </c>
      <c r="Q292" s="54" t="str">
        <f>IF(OR($B292="",$A292&gt;$B$9,Q$268=""),"",IF(COUNTIFS(BD!$B$3:$B$5001,Q$268,BD!$A$3:$A$5001,"&gt;="&amp;$C$7,BD!$A$3:$A$5001,"&lt;="&amp;$B292,BD!$T$3:$T$5001,"&lt;&gt;")=0,"",SUMIFS(BD!$T$3:$T$5001,BD!$B$3:$B$5001,Q$268,BD!$A$3:$A$5001,_xlfn.MAXIFS(BD!$A$3:$A$5001,BD!$B$3:$B$5001,Q$268,BD!$A$3:$A$5001,"&gt;="&amp;$C$7,BD!$A$3:$A$5001,"&lt;="&amp;$B292,BD!$T$3:$T$5001,"&lt;&gt;"))))</f>
        <v/>
      </c>
      <c r="R292" s="54" t="str">
        <f>IF(OR($B292="",$A292&gt;$B$9,R$268=""),"",IF(COUNTIFS(BD!$B$3:$B$5001,R$268,BD!$A$3:$A$5001,"&gt;="&amp;$C$7,BD!$A$3:$A$5001,"&lt;="&amp;$B292,BD!$T$3:$T$5001,"&lt;&gt;")=0,"",SUMIFS(BD!$T$3:$T$5001,BD!$B$3:$B$5001,R$268,BD!$A$3:$A$5001,_xlfn.MAXIFS(BD!$A$3:$A$5001,BD!$B$3:$B$5001,R$268,BD!$A$3:$A$5001,"&gt;="&amp;$C$7,BD!$A$3:$A$5001,"&lt;="&amp;$B292,BD!$T$3:$T$5001,"&lt;&gt;"))))</f>
        <v/>
      </c>
      <c r="S292" s="54" t="str">
        <f>IF(OR($B292="",$A292&gt;$B$9,S$268=""),"",IF(COUNTIFS(BD!$B$3:$B$5001,S$268,BD!$A$3:$A$5001,"&gt;="&amp;$C$7,BD!$A$3:$A$5001,"&lt;="&amp;$B292,BD!$T$3:$T$5001,"&lt;&gt;")=0,"",SUMIFS(BD!$T$3:$T$5001,BD!$B$3:$B$5001,S$268,BD!$A$3:$A$5001,_xlfn.MAXIFS(BD!$A$3:$A$5001,BD!$B$3:$B$5001,S$268,BD!$A$3:$A$5001,"&gt;="&amp;$C$7,BD!$A$3:$A$5001,"&lt;="&amp;$B292,BD!$T$3:$T$5001,"&lt;&gt;"))))</f>
        <v/>
      </c>
      <c r="T292" s="54" t="str">
        <f>IF(OR($B292="",$A292&gt;$B$9,T$268=""),"",IF(COUNTIFS(BD!$B$3:$B$5001,T$268,BD!$A$3:$A$5001,"&gt;="&amp;$C$7,BD!$A$3:$A$5001,"&lt;="&amp;$B292,BD!$T$3:$T$5001,"&lt;&gt;")=0,"",SUMIFS(BD!$T$3:$T$5001,BD!$B$3:$B$5001,T$268,BD!$A$3:$A$5001,_xlfn.MAXIFS(BD!$A$3:$A$5001,BD!$B$3:$B$5001,T$268,BD!$A$3:$A$5001,"&gt;="&amp;$C$7,BD!$A$3:$A$5001,"&lt;="&amp;$B292,BD!$T$3:$T$5001,"&lt;&gt;"))))</f>
        <v/>
      </c>
      <c r="U292" s="54" t="str">
        <f>IF(OR($B292="",$A292&gt;$B$9,U$268=""),"",IF(COUNTIFS(BD!$B$3:$B$5001,U$268,BD!$A$3:$A$5001,"&gt;="&amp;$C$7,BD!$A$3:$A$5001,"&lt;="&amp;$B292,BD!$T$3:$T$5001,"&lt;&gt;")=0,"",SUMIFS(BD!$T$3:$T$5001,BD!$B$3:$B$5001,U$268,BD!$A$3:$A$5001,_xlfn.MAXIFS(BD!$A$3:$A$5001,BD!$B$3:$B$5001,U$268,BD!$A$3:$A$5001,"&gt;="&amp;$C$7,BD!$A$3:$A$5001,"&lt;="&amp;$B292,BD!$T$3:$T$5001,"&lt;&gt;"))))</f>
        <v/>
      </c>
      <c r="V292" s="54" t="str">
        <f>IF(OR($B292="",$A292&gt;$B$9,V$268=""),"",IF(COUNTIFS(BD!$B$3:$B$5001,V$268,BD!$A$3:$A$5001,"&gt;="&amp;$C$7,BD!$A$3:$A$5001,"&lt;="&amp;$B292,BD!$T$3:$T$5001,"&lt;&gt;")=0,"",SUMIFS(BD!$T$3:$T$5001,BD!$B$3:$B$5001,V$268,BD!$A$3:$A$5001,_xlfn.MAXIFS(BD!$A$3:$A$5001,BD!$B$3:$B$5001,V$268,BD!$A$3:$A$5001,"&gt;="&amp;$C$7,BD!$A$3:$A$5001,"&lt;="&amp;$B292,BD!$T$3:$T$5001,"&lt;&gt;"))))</f>
        <v/>
      </c>
    </row>
    <row r="293">
      <c r="A293" s="48">
        <v>25</v>
      </c>
      <c r="B293" s="53">
        <f>$B$36</f>
        <v>46320</v>
      </c>
      <c r="C293" s="54" t="str">
        <f>IF(OR($B293="",$A293&gt;$B$9,C$268=""),"",IF(COUNTIFS(BD!$B$3:$B$5001,C$268,BD!$A$3:$A$5001,"&gt;="&amp;$C$7,BD!$A$3:$A$5001,"&lt;="&amp;$B293,BD!$T$3:$T$5001,"&lt;&gt;")=0,"",SUMIFS(BD!$T$3:$T$5001,BD!$B$3:$B$5001,C$268,BD!$A$3:$A$5001,_xlfn.MAXIFS(BD!$A$3:$A$5001,BD!$B$3:$B$5001,C$268,BD!$A$3:$A$5001,"&gt;="&amp;$C$7,BD!$A$3:$A$5001,"&lt;="&amp;$B293,BD!$T$3:$T$5001,"&lt;&gt;"))))</f>
        <v/>
      </c>
      <c r="D293" s="54" t="str">
        <f>IF(OR($B293="",$A293&gt;$B$9,D$268=""),"",IF(COUNTIFS(BD!$B$3:$B$5001,D$268,BD!$A$3:$A$5001,"&gt;="&amp;$C$7,BD!$A$3:$A$5001,"&lt;="&amp;$B293,BD!$T$3:$T$5001,"&lt;&gt;")=0,"",SUMIFS(BD!$T$3:$T$5001,BD!$B$3:$B$5001,D$268,BD!$A$3:$A$5001,_xlfn.MAXIFS(BD!$A$3:$A$5001,BD!$B$3:$B$5001,D$268,BD!$A$3:$A$5001,"&gt;="&amp;$C$7,BD!$A$3:$A$5001,"&lt;="&amp;$B293,BD!$T$3:$T$5001,"&lt;&gt;"))))</f>
        <v/>
      </c>
      <c r="E293" s="54" t="str">
        <f>IF(OR($B293="",$A293&gt;$B$9,E$268=""),"",IF(COUNTIFS(BD!$B$3:$B$5001,E$268,BD!$A$3:$A$5001,"&gt;="&amp;$C$7,BD!$A$3:$A$5001,"&lt;="&amp;$B293,BD!$T$3:$T$5001,"&lt;&gt;")=0,"",SUMIFS(BD!$T$3:$T$5001,BD!$B$3:$B$5001,E$268,BD!$A$3:$A$5001,_xlfn.MAXIFS(BD!$A$3:$A$5001,BD!$B$3:$B$5001,E$268,BD!$A$3:$A$5001,"&gt;="&amp;$C$7,BD!$A$3:$A$5001,"&lt;="&amp;$B293,BD!$T$3:$T$5001,"&lt;&gt;"))))</f>
        <v/>
      </c>
      <c r="F293" s="54" t="str">
        <f>IF(OR($B293="",$A293&gt;$B$9,F$268=""),"",IF(COUNTIFS(BD!$B$3:$B$5001,F$268,BD!$A$3:$A$5001,"&gt;="&amp;$C$7,BD!$A$3:$A$5001,"&lt;="&amp;$B293,BD!$T$3:$T$5001,"&lt;&gt;")=0,"",SUMIFS(BD!$T$3:$T$5001,BD!$B$3:$B$5001,F$268,BD!$A$3:$A$5001,_xlfn.MAXIFS(BD!$A$3:$A$5001,BD!$B$3:$B$5001,F$268,BD!$A$3:$A$5001,"&gt;="&amp;$C$7,BD!$A$3:$A$5001,"&lt;="&amp;$B293,BD!$T$3:$T$5001,"&lt;&gt;"))))</f>
        <v/>
      </c>
      <c r="G293" s="54" t="str">
        <f>IF(OR($B293="",$A293&gt;$B$9,G$268=""),"",IF(COUNTIFS(BD!$B$3:$B$5001,G$268,BD!$A$3:$A$5001,"&gt;="&amp;$C$7,BD!$A$3:$A$5001,"&lt;="&amp;$B293,BD!$T$3:$T$5001,"&lt;&gt;")=0,"",SUMIFS(BD!$T$3:$T$5001,BD!$B$3:$B$5001,G$268,BD!$A$3:$A$5001,_xlfn.MAXIFS(BD!$A$3:$A$5001,BD!$B$3:$B$5001,G$268,BD!$A$3:$A$5001,"&gt;="&amp;$C$7,BD!$A$3:$A$5001,"&lt;="&amp;$B293,BD!$T$3:$T$5001,"&lt;&gt;"))))</f>
        <v/>
      </c>
      <c r="H293" s="54" t="str">
        <f>IF(OR($B293="",$A293&gt;$B$9,H$268=""),"",IF(COUNTIFS(BD!$B$3:$B$5001,H$268,BD!$A$3:$A$5001,"&gt;="&amp;$C$7,BD!$A$3:$A$5001,"&lt;="&amp;$B293,BD!$T$3:$T$5001,"&lt;&gt;")=0,"",SUMIFS(BD!$T$3:$T$5001,BD!$B$3:$B$5001,H$268,BD!$A$3:$A$5001,_xlfn.MAXIFS(BD!$A$3:$A$5001,BD!$B$3:$B$5001,H$268,BD!$A$3:$A$5001,"&gt;="&amp;$C$7,BD!$A$3:$A$5001,"&lt;="&amp;$B293,BD!$T$3:$T$5001,"&lt;&gt;"))))</f>
        <v/>
      </c>
      <c r="I293" s="54" t="str">
        <f>IF(OR($B293="",$A293&gt;$B$9,I$268=""),"",IF(COUNTIFS(BD!$B$3:$B$5001,I$268,BD!$A$3:$A$5001,"&gt;="&amp;$C$7,BD!$A$3:$A$5001,"&lt;="&amp;$B293,BD!$T$3:$T$5001,"&lt;&gt;")=0,"",SUMIFS(BD!$T$3:$T$5001,BD!$B$3:$B$5001,I$268,BD!$A$3:$A$5001,_xlfn.MAXIFS(BD!$A$3:$A$5001,BD!$B$3:$B$5001,I$268,BD!$A$3:$A$5001,"&gt;="&amp;$C$7,BD!$A$3:$A$5001,"&lt;="&amp;$B293,BD!$T$3:$T$5001,"&lt;&gt;"))))</f>
        <v/>
      </c>
      <c r="J293" s="54" t="str">
        <f>IF(OR($B293="",$A293&gt;$B$9,J$268=""),"",IF(COUNTIFS(BD!$B$3:$B$5001,J$268,BD!$A$3:$A$5001,"&gt;="&amp;$C$7,BD!$A$3:$A$5001,"&lt;="&amp;$B293,BD!$T$3:$T$5001,"&lt;&gt;")=0,"",SUMIFS(BD!$T$3:$T$5001,BD!$B$3:$B$5001,J$268,BD!$A$3:$A$5001,_xlfn.MAXIFS(BD!$A$3:$A$5001,BD!$B$3:$B$5001,J$268,BD!$A$3:$A$5001,"&gt;="&amp;$C$7,BD!$A$3:$A$5001,"&lt;="&amp;$B293,BD!$T$3:$T$5001,"&lt;&gt;"))))</f>
        <v/>
      </c>
      <c r="K293" s="54" t="str">
        <f>IF(OR($B293="",$A293&gt;$B$9,K$268=""),"",IF(COUNTIFS(BD!$B$3:$B$5001,K$268,BD!$A$3:$A$5001,"&gt;="&amp;$C$7,BD!$A$3:$A$5001,"&lt;="&amp;$B293,BD!$T$3:$T$5001,"&lt;&gt;")=0,"",SUMIFS(BD!$T$3:$T$5001,BD!$B$3:$B$5001,K$268,BD!$A$3:$A$5001,_xlfn.MAXIFS(BD!$A$3:$A$5001,BD!$B$3:$B$5001,K$268,BD!$A$3:$A$5001,"&gt;="&amp;$C$7,BD!$A$3:$A$5001,"&lt;="&amp;$B293,BD!$T$3:$T$5001,"&lt;&gt;"))))</f>
        <v/>
      </c>
      <c r="L293" s="54" t="str">
        <f>IF(OR($B293="",$A293&gt;$B$9,L$268=""),"",IF(COUNTIFS(BD!$B$3:$B$5001,L$268,BD!$A$3:$A$5001,"&gt;="&amp;$C$7,BD!$A$3:$A$5001,"&lt;="&amp;$B293,BD!$T$3:$T$5001,"&lt;&gt;")=0,"",SUMIFS(BD!$T$3:$T$5001,BD!$B$3:$B$5001,L$268,BD!$A$3:$A$5001,_xlfn.MAXIFS(BD!$A$3:$A$5001,BD!$B$3:$B$5001,L$268,BD!$A$3:$A$5001,"&gt;="&amp;$C$7,BD!$A$3:$A$5001,"&lt;="&amp;$B293,BD!$T$3:$T$5001,"&lt;&gt;"))))</f>
        <v/>
      </c>
      <c r="M293" s="54" t="str">
        <f>IF(OR($B293="",$A293&gt;$B$9,M$268=""),"",IF(COUNTIFS(BD!$B$3:$B$5001,M$268,BD!$A$3:$A$5001,"&gt;="&amp;$C$7,BD!$A$3:$A$5001,"&lt;="&amp;$B293,BD!$T$3:$T$5001,"&lt;&gt;")=0,"",SUMIFS(BD!$T$3:$T$5001,BD!$B$3:$B$5001,M$268,BD!$A$3:$A$5001,_xlfn.MAXIFS(BD!$A$3:$A$5001,BD!$B$3:$B$5001,M$268,BD!$A$3:$A$5001,"&gt;="&amp;$C$7,BD!$A$3:$A$5001,"&lt;="&amp;$B293,BD!$T$3:$T$5001,"&lt;&gt;"))))</f>
        <v/>
      </c>
      <c r="N293" s="54" t="str">
        <f>IF(OR($B293="",$A293&gt;$B$9,N$268=""),"",IF(COUNTIFS(BD!$B$3:$B$5001,N$268,BD!$A$3:$A$5001,"&gt;="&amp;$C$7,BD!$A$3:$A$5001,"&lt;="&amp;$B293,BD!$T$3:$T$5001,"&lt;&gt;")=0,"",SUMIFS(BD!$T$3:$T$5001,BD!$B$3:$B$5001,N$268,BD!$A$3:$A$5001,_xlfn.MAXIFS(BD!$A$3:$A$5001,BD!$B$3:$B$5001,N$268,BD!$A$3:$A$5001,"&gt;="&amp;$C$7,BD!$A$3:$A$5001,"&lt;="&amp;$B293,BD!$T$3:$T$5001,"&lt;&gt;"))))</f>
        <v/>
      </c>
      <c r="O293" s="54" t="str">
        <f>IF(OR($B293="",$A293&gt;$B$9,O$268=""),"",IF(COUNTIFS(BD!$B$3:$B$5001,O$268,BD!$A$3:$A$5001,"&gt;="&amp;$C$7,BD!$A$3:$A$5001,"&lt;="&amp;$B293,BD!$T$3:$T$5001,"&lt;&gt;")=0,"",SUMIFS(BD!$T$3:$T$5001,BD!$B$3:$B$5001,O$268,BD!$A$3:$A$5001,_xlfn.MAXIFS(BD!$A$3:$A$5001,BD!$B$3:$B$5001,O$268,BD!$A$3:$A$5001,"&gt;="&amp;$C$7,BD!$A$3:$A$5001,"&lt;="&amp;$B293,BD!$T$3:$T$5001,"&lt;&gt;"))))</f>
        <v/>
      </c>
      <c r="P293" s="54" t="str">
        <f>IF(OR($B293="",$A293&gt;$B$9,P$268=""),"",IF(COUNTIFS(BD!$B$3:$B$5001,P$268,BD!$A$3:$A$5001,"&gt;="&amp;$C$7,BD!$A$3:$A$5001,"&lt;="&amp;$B293,BD!$T$3:$T$5001,"&lt;&gt;")=0,"",SUMIFS(BD!$T$3:$T$5001,BD!$B$3:$B$5001,P$268,BD!$A$3:$A$5001,_xlfn.MAXIFS(BD!$A$3:$A$5001,BD!$B$3:$B$5001,P$268,BD!$A$3:$A$5001,"&gt;="&amp;$C$7,BD!$A$3:$A$5001,"&lt;="&amp;$B293,BD!$T$3:$T$5001,"&lt;&gt;"))))</f>
        <v/>
      </c>
      <c r="Q293" s="54" t="str">
        <f>IF(OR($B293="",$A293&gt;$B$9,Q$268=""),"",IF(COUNTIFS(BD!$B$3:$B$5001,Q$268,BD!$A$3:$A$5001,"&gt;="&amp;$C$7,BD!$A$3:$A$5001,"&lt;="&amp;$B293,BD!$T$3:$T$5001,"&lt;&gt;")=0,"",SUMIFS(BD!$T$3:$T$5001,BD!$B$3:$B$5001,Q$268,BD!$A$3:$A$5001,_xlfn.MAXIFS(BD!$A$3:$A$5001,BD!$B$3:$B$5001,Q$268,BD!$A$3:$A$5001,"&gt;="&amp;$C$7,BD!$A$3:$A$5001,"&lt;="&amp;$B293,BD!$T$3:$T$5001,"&lt;&gt;"))))</f>
        <v/>
      </c>
      <c r="R293" s="54" t="str">
        <f>IF(OR($B293="",$A293&gt;$B$9,R$268=""),"",IF(COUNTIFS(BD!$B$3:$B$5001,R$268,BD!$A$3:$A$5001,"&gt;="&amp;$C$7,BD!$A$3:$A$5001,"&lt;="&amp;$B293,BD!$T$3:$T$5001,"&lt;&gt;")=0,"",SUMIFS(BD!$T$3:$T$5001,BD!$B$3:$B$5001,R$268,BD!$A$3:$A$5001,_xlfn.MAXIFS(BD!$A$3:$A$5001,BD!$B$3:$B$5001,R$268,BD!$A$3:$A$5001,"&gt;="&amp;$C$7,BD!$A$3:$A$5001,"&lt;="&amp;$B293,BD!$T$3:$T$5001,"&lt;&gt;"))))</f>
        <v/>
      </c>
      <c r="S293" s="54" t="str">
        <f>IF(OR($B293="",$A293&gt;$B$9,S$268=""),"",IF(COUNTIFS(BD!$B$3:$B$5001,S$268,BD!$A$3:$A$5001,"&gt;="&amp;$C$7,BD!$A$3:$A$5001,"&lt;="&amp;$B293,BD!$T$3:$T$5001,"&lt;&gt;")=0,"",SUMIFS(BD!$T$3:$T$5001,BD!$B$3:$B$5001,S$268,BD!$A$3:$A$5001,_xlfn.MAXIFS(BD!$A$3:$A$5001,BD!$B$3:$B$5001,S$268,BD!$A$3:$A$5001,"&gt;="&amp;$C$7,BD!$A$3:$A$5001,"&lt;="&amp;$B293,BD!$T$3:$T$5001,"&lt;&gt;"))))</f>
        <v/>
      </c>
      <c r="T293" s="54" t="str">
        <f>IF(OR($B293="",$A293&gt;$B$9,T$268=""),"",IF(COUNTIFS(BD!$B$3:$B$5001,T$268,BD!$A$3:$A$5001,"&gt;="&amp;$C$7,BD!$A$3:$A$5001,"&lt;="&amp;$B293,BD!$T$3:$T$5001,"&lt;&gt;")=0,"",SUMIFS(BD!$T$3:$T$5001,BD!$B$3:$B$5001,T$268,BD!$A$3:$A$5001,_xlfn.MAXIFS(BD!$A$3:$A$5001,BD!$B$3:$B$5001,T$268,BD!$A$3:$A$5001,"&gt;="&amp;$C$7,BD!$A$3:$A$5001,"&lt;="&amp;$B293,BD!$T$3:$T$5001,"&lt;&gt;"))))</f>
        <v/>
      </c>
      <c r="U293" s="54" t="str">
        <f>IF(OR($B293="",$A293&gt;$B$9,U$268=""),"",IF(COUNTIFS(BD!$B$3:$B$5001,U$268,BD!$A$3:$A$5001,"&gt;="&amp;$C$7,BD!$A$3:$A$5001,"&lt;="&amp;$B293,BD!$T$3:$T$5001,"&lt;&gt;")=0,"",SUMIFS(BD!$T$3:$T$5001,BD!$B$3:$B$5001,U$268,BD!$A$3:$A$5001,_xlfn.MAXIFS(BD!$A$3:$A$5001,BD!$B$3:$B$5001,U$268,BD!$A$3:$A$5001,"&gt;="&amp;$C$7,BD!$A$3:$A$5001,"&lt;="&amp;$B293,BD!$T$3:$T$5001,"&lt;&gt;"))))</f>
        <v/>
      </c>
      <c r="V293" s="54" t="str">
        <f>IF(OR($B293="",$A293&gt;$B$9,V$268=""),"",IF(COUNTIFS(BD!$B$3:$B$5001,V$268,BD!$A$3:$A$5001,"&gt;="&amp;$C$7,BD!$A$3:$A$5001,"&lt;="&amp;$B293,BD!$T$3:$T$5001,"&lt;&gt;")=0,"",SUMIFS(BD!$T$3:$T$5001,BD!$B$3:$B$5001,V$268,BD!$A$3:$A$5001,_xlfn.MAXIFS(BD!$A$3:$A$5001,BD!$B$3:$B$5001,V$268,BD!$A$3:$A$5001,"&gt;="&amp;$C$7,BD!$A$3:$A$5001,"&lt;="&amp;$B293,BD!$T$3:$T$5001,"&lt;&gt;"))))</f>
        <v/>
      </c>
    </row>
    <row r="294">
      <c r="A294" s="48">
        <v>26</v>
      </c>
      <c r="B294" s="53">
        <f>$B$37</f>
        <v>46321</v>
      </c>
      <c r="C294" s="54" t="str">
        <f>IF(OR($B294="",$A294&gt;$B$9,C$268=""),"",IF(COUNTIFS(BD!$B$3:$B$5001,C$268,BD!$A$3:$A$5001,"&gt;="&amp;$C$7,BD!$A$3:$A$5001,"&lt;="&amp;$B294,BD!$T$3:$T$5001,"&lt;&gt;")=0,"",SUMIFS(BD!$T$3:$T$5001,BD!$B$3:$B$5001,C$268,BD!$A$3:$A$5001,_xlfn.MAXIFS(BD!$A$3:$A$5001,BD!$B$3:$B$5001,C$268,BD!$A$3:$A$5001,"&gt;="&amp;$C$7,BD!$A$3:$A$5001,"&lt;="&amp;$B294,BD!$T$3:$T$5001,"&lt;&gt;"))))</f>
        <v/>
      </c>
      <c r="D294" s="54" t="str">
        <f>IF(OR($B294="",$A294&gt;$B$9,D$268=""),"",IF(COUNTIFS(BD!$B$3:$B$5001,D$268,BD!$A$3:$A$5001,"&gt;="&amp;$C$7,BD!$A$3:$A$5001,"&lt;="&amp;$B294,BD!$T$3:$T$5001,"&lt;&gt;")=0,"",SUMIFS(BD!$T$3:$T$5001,BD!$B$3:$B$5001,D$268,BD!$A$3:$A$5001,_xlfn.MAXIFS(BD!$A$3:$A$5001,BD!$B$3:$B$5001,D$268,BD!$A$3:$A$5001,"&gt;="&amp;$C$7,BD!$A$3:$A$5001,"&lt;="&amp;$B294,BD!$T$3:$T$5001,"&lt;&gt;"))))</f>
        <v/>
      </c>
      <c r="E294" s="54" t="str">
        <f>IF(OR($B294="",$A294&gt;$B$9,E$268=""),"",IF(COUNTIFS(BD!$B$3:$B$5001,E$268,BD!$A$3:$A$5001,"&gt;="&amp;$C$7,BD!$A$3:$A$5001,"&lt;="&amp;$B294,BD!$T$3:$T$5001,"&lt;&gt;")=0,"",SUMIFS(BD!$T$3:$T$5001,BD!$B$3:$B$5001,E$268,BD!$A$3:$A$5001,_xlfn.MAXIFS(BD!$A$3:$A$5001,BD!$B$3:$B$5001,E$268,BD!$A$3:$A$5001,"&gt;="&amp;$C$7,BD!$A$3:$A$5001,"&lt;="&amp;$B294,BD!$T$3:$T$5001,"&lt;&gt;"))))</f>
        <v/>
      </c>
      <c r="F294" s="54" t="str">
        <f>IF(OR($B294="",$A294&gt;$B$9,F$268=""),"",IF(COUNTIFS(BD!$B$3:$B$5001,F$268,BD!$A$3:$A$5001,"&gt;="&amp;$C$7,BD!$A$3:$A$5001,"&lt;="&amp;$B294,BD!$T$3:$T$5001,"&lt;&gt;")=0,"",SUMIFS(BD!$T$3:$T$5001,BD!$B$3:$B$5001,F$268,BD!$A$3:$A$5001,_xlfn.MAXIFS(BD!$A$3:$A$5001,BD!$B$3:$B$5001,F$268,BD!$A$3:$A$5001,"&gt;="&amp;$C$7,BD!$A$3:$A$5001,"&lt;="&amp;$B294,BD!$T$3:$T$5001,"&lt;&gt;"))))</f>
        <v/>
      </c>
      <c r="G294" s="54" t="str">
        <f>IF(OR($B294="",$A294&gt;$B$9,G$268=""),"",IF(COUNTIFS(BD!$B$3:$B$5001,G$268,BD!$A$3:$A$5001,"&gt;="&amp;$C$7,BD!$A$3:$A$5001,"&lt;="&amp;$B294,BD!$T$3:$T$5001,"&lt;&gt;")=0,"",SUMIFS(BD!$T$3:$T$5001,BD!$B$3:$B$5001,G$268,BD!$A$3:$A$5001,_xlfn.MAXIFS(BD!$A$3:$A$5001,BD!$B$3:$B$5001,G$268,BD!$A$3:$A$5001,"&gt;="&amp;$C$7,BD!$A$3:$A$5001,"&lt;="&amp;$B294,BD!$T$3:$T$5001,"&lt;&gt;"))))</f>
        <v/>
      </c>
      <c r="H294" s="54" t="str">
        <f>IF(OR($B294="",$A294&gt;$B$9,H$268=""),"",IF(COUNTIFS(BD!$B$3:$B$5001,H$268,BD!$A$3:$A$5001,"&gt;="&amp;$C$7,BD!$A$3:$A$5001,"&lt;="&amp;$B294,BD!$T$3:$T$5001,"&lt;&gt;")=0,"",SUMIFS(BD!$T$3:$T$5001,BD!$B$3:$B$5001,H$268,BD!$A$3:$A$5001,_xlfn.MAXIFS(BD!$A$3:$A$5001,BD!$B$3:$B$5001,H$268,BD!$A$3:$A$5001,"&gt;="&amp;$C$7,BD!$A$3:$A$5001,"&lt;="&amp;$B294,BD!$T$3:$T$5001,"&lt;&gt;"))))</f>
        <v/>
      </c>
      <c r="I294" s="54" t="str">
        <f>IF(OR($B294="",$A294&gt;$B$9,I$268=""),"",IF(COUNTIFS(BD!$B$3:$B$5001,I$268,BD!$A$3:$A$5001,"&gt;="&amp;$C$7,BD!$A$3:$A$5001,"&lt;="&amp;$B294,BD!$T$3:$T$5001,"&lt;&gt;")=0,"",SUMIFS(BD!$T$3:$T$5001,BD!$B$3:$B$5001,I$268,BD!$A$3:$A$5001,_xlfn.MAXIFS(BD!$A$3:$A$5001,BD!$B$3:$B$5001,I$268,BD!$A$3:$A$5001,"&gt;="&amp;$C$7,BD!$A$3:$A$5001,"&lt;="&amp;$B294,BD!$T$3:$T$5001,"&lt;&gt;"))))</f>
        <v/>
      </c>
      <c r="J294" s="54" t="str">
        <f>IF(OR($B294="",$A294&gt;$B$9,J$268=""),"",IF(COUNTIFS(BD!$B$3:$B$5001,J$268,BD!$A$3:$A$5001,"&gt;="&amp;$C$7,BD!$A$3:$A$5001,"&lt;="&amp;$B294,BD!$T$3:$T$5001,"&lt;&gt;")=0,"",SUMIFS(BD!$T$3:$T$5001,BD!$B$3:$B$5001,J$268,BD!$A$3:$A$5001,_xlfn.MAXIFS(BD!$A$3:$A$5001,BD!$B$3:$B$5001,J$268,BD!$A$3:$A$5001,"&gt;="&amp;$C$7,BD!$A$3:$A$5001,"&lt;="&amp;$B294,BD!$T$3:$T$5001,"&lt;&gt;"))))</f>
        <v/>
      </c>
      <c r="K294" s="54" t="str">
        <f>IF(OR($B294="",$A294&gt;$B$9,K$268=""),"",IF(COUNTIFS(BD!$B$3:$B$5001,K$268,BD!$A$3:$A$5001,"&gt;="&amp;$C$7,BD!$A$3:$A$5001,"&lt;="&amp;$B294,BD!$T$3:$T$5001,"&lt;&gt;")=0,"",SUMIFS(BD!$T$3:$T$5001,BD!$B$3:$B$5001,K$268,BD!$A$3:$A$5001,_xlfn.MAXIFS(BD!$A$3:$A$5001,BD!$B$3:$B$5001,K$268,BD!$A$3:$A$5001,"&gt;="&amp;$C$7,BD!$A$3:$A$5001,"&lt;="&amp;$B294,BD!$T$3:$T$5001,"&lt;&gt;"))))</f>
        <v/>
      </c>
      <c r="L294" s="54" t="str">
        <f>IF(OR($B294="",$A294&gt;$B$9,L$268=""),"",IF(COUNTIFS(BD!$B$3:$B$5001,L$268,BD!$A$3:$A$5001,"&gt;="&amp;$C$7,BD!$A$3:$A$5001,"&lt;="&amp;$B294,BD!$T$3:$T$5001,"&lt;&gt;")=0,"",SUMIFS(BD!$T$3:$T$5001,BD!$B$3:$B$5001,L$268,BD!$A$3:$A$5001,_xlfn.MAXIFS(BD!$A$3:$A$5001,BD!$B$3:$B$5001,L$268,BD!$A$3:$A$5001,"&gt;="&amp;$C$7,BD!$A$3:$A$5001,"&lt;="&amp;$B294,BD!$T$3:$T$5001,"&lt;&gt;"))))</f>
        <v/>
      </c>
      <c r="M294" s="54" t="str">
        <f>IF(OR($B294="",$A294&gt;$B$9,M$268=""),"",IF(COUNTIFS(BD!$B$3:$B$5001,M$268,BD!$A$3:$A$5001,"&gt;="&amp;$C$7,BD!$A$3:$A$5001,"&lt;="&amp;$B294,BD!$T$3:$T$5001,"&lt;&gt;")=0,"",SUMIFS(BD!$T$3:$T$5001,BD!$B$3:$B$5001,M$268,BD!$A$3:$A$5001,_xlfn.MAXIFS(BD!$A$3:$A$5001,BD!$B$3:$B$5001,M$268,BD!$A$3:$A$5001,"&gt;="&amp;$C$7,BD!$A$3:$A$5001,"&lt;="&amp;$B294,BD!$T$3:$T$5001,"&lt;&gt;"))))</f>
        <v/>
      </c>
      <c r="N294" s="54" t="str">
        <f>IF(OR($B294="",$A294&gt;$B$9,N$268=""),"",IF(COUNTIFS(BD!$B$3:$B$5001,N$268,BD!$A$3:$A$5001,"&gt;="&amp;$C$7,BD!$A$3:$A$5001,"&lt;="&amp;$B294,BD!$T$3:$T$5001,"&lt;&gt;")=0,"",SUMIFS(BD!$T$3:$T$5001,BD!$B$3:$B$5001,N$268,BD!$A$3:$A$5001,_xlfn.MAXIFS(BD!$A$3:$A$5001,BD!$B$3:$B$5001,N$268,BD!$A$3:$A$5001,"&gt;="&amp;$C$7,BD!$A$3:$A$5001,"&lt;="&amp;$B294,BD!$T$3:$T$5001,"&lt;&gt;"))))</f>
        <v/>
      </c>
      <c r="O294" s="54" t="str">
        <f>IF(OR($B294="",$A294&gt;$B$9,O$268=""),"",IF(COUNTIFS(BD!$B$3:$B$5001,O$268,BD!$A$3:$A$5001,"&gt;="&amp;$C$7,BD!$A$3:$A$5001,"&lt;="&amp;$B294,BD!$T$3:$T$5001,"&lt;&gt;")=0,"",SUMIFS(BD!$T$3:$T$5001,BD!$B$3:$B$5001,O$268,BD!$A$3:$A$5001,_xlfn.MAXIFS(BD!$A$3:$A$5001,BD!$B$3:$B$5001,O$268,BD!$A$3:$A$5001,"&gt;="&amp;$C$7,BD!$A$3:$A$5001,"&lt;="&amp;$B294,BD!$T$3:$T$5001,"&lt;&gt;"))))</f>
        <v/>
      </c>
      <c r="P294" s="54" t="str">
        <f>IF(OR($B294="",$A294&gt;$B$9,P$268=""),"",IF(COUNTIFS(BD!$B$3:$B$5001,P$268,BD!$A$3:$A$5001,"&gt;="&amp;$C$7,BD!$A$3:$A$5001,"&lt;="&amp;$B294,BD!$T$3:$T$5001,"&lt;&gt;")=0,"",SUMIFS(BD!$T$3:$T$5001,BD!$B$3:$B$5001,P$268,BD!$A$3:$A$5001,_xlfn.MAXIFS(BD!$A$3:$A$5001,BD!$B$3:$B$5001,P$268,BD!$A$3:$A$5001,"&gt;="&amp;$C$7,BD!$A$3:$A$5001,"&lt;="&amp;$B294,BD!$T$3:$T$5001,"&lt;&gt;"))))</f>
        <v/>
      </c>
      <c r="Q294" s="54" t="str">
        <f>IF(OR($B294="",$A294&gt;$B$9,Q$268=""),"",IF(COUNTIFS(BD!$B$3:$B$5001,Q$268,BD!$A$3:$A$5001,"&gt;="&amp;$C$7,BD!$A$3:$A$5001,"&lt;="&amp;$B294,BD!$T$3:$T$5001,"&lt;&gt;")=0,"",SUMIFS(BD!$T$3:$T$5001,BD!$B$3:$B$5001,Q$268,BD!$A$3:$A$5001,_xlfn.MAXIFS(BD!$A$3:$A$5001,BD!$B$3:$B$5001,Q$268,BD!$A$3:$A$5001,"&gt;="&amp;$C$7,BD!$A$3:$A$5001,"&lt;="&amp;$B294,BD!$T$3:$T$5001,"&lt;&gt;"))))</f>
        <v/>
      </c>
      <c r="R294" s="54" t="str">
        <f>IF(OR($B294="",$A294&gt;$B$9,R$268=""),"",IF(COUNTIFS(BD!$B$3:$B$5001,R$268,BD!$A$3:$A$5001,"&gt;="&amp;$C$7,BD!$A$3:$A$5001,"&lt;="&amp;$B294,BD!$T$3:$T$5001,"&lt;&gt;")=0,"",SUMIFS(BD!$T$3:$T$5001,BD!$B$3:$B$5001,R$268,BD!$A$3:$A$5001,_xlfn.MAXIFS(BD!$A$3:$A$5001,BD!$B$3:$B$5001,R$268,BD!$A$3:$A$5001,"&gt;="&amp;$C$7,BD!$A$3:$A$5001,"&lt;="&amp;$B294,BD!$T$3:$T$5001,"&lt;&gt;"))))</f>
        <v/>
      </c>
      <c r="S294" s="54" t="str">
        <f>IF(OR($B294="",$A294&gt;$B$9,S$268=""),"",IF(COUNTIFS(BD!$B$3:$B$5001,S$268,BD!$A$3:$A$5001,"&gt;="&amp;$C$7,BD!$A$3:$A$5001,"&lt;="&amp;$B294,BD!$T$3:$T$5001,"&lt;&gt;")=0,"",SUMIFS(BD!$T$3:$T$5001,BD!$B$3:$B$5001,S$268,BD!$A$3:$A$5001,_xlfn.MAXIFS(BD!$A$3:$A$5001,BD!$B$3:$B$5001,S$268,BD!$A$3:$A$5001,"&gt;="&amp;$C$7,BD!$A$3:$A$5001,"&lt;="&amp;$B294,BD!$T$3:$T$5001,"&lt;&gt;"))))</f>
        <v/>
      </c>
      <c r="T294" s="54" t="str">
        <f>IF(OR($B294="",$A294&gt;$B$9,T$268=""),"",IF(COUNTIFS(BD!$B$3:$B$5001,T$268,BD!$A$3:$A$5001,"&gt;="&amp;$C$7,BD!$A$3:$A$5001,"&lt;="&amp;$B294,BD!$T$3:$T$5001,"&lt;&gt;")=0,"",SUMIFS(BD!$T$3:$T$5001,BD!$B$3:$B$5001,T$268,BD!$A$3:$A$5001,_xlfn.MAXIFS(BD!$A$3:$A$5001,BD!$B$3:$B$5001,T$268,BD!$A$3:$A$5001,"&gt;="&amp;$C$7,BD!$A$3:$A$5001,"&lt;="&amp;$B294,BD!$T$3:$T$5001,"&lt;&gt;"))))</f>
        <v/>
      </c>
      <c r="U294" s="54" t="str">
        <f>IF(OR($B294="",$A294&gt;$B$9,U$268=""),"",IF(COUNTIFS(BD!$B$3:$B$5001,U$268,BD!$A$3:$A$5001,"&gt;="&amp;$C$7,BD!$A$3:$A$5001,"&lt;="&amp;$B294,BD!$T$3:$T$5001,"&lt;&gt;")=0,"",SUMIFS(BD!$T$3:$T$5001,BD!$B$3:$B$5001,U$268,BD!$A$3:$A$5001,_xlfn.MAXIFS(BD!$A$3:$A$5001,BD!$B$3:$B$5001,U$268,BD!$A$3:$A$5001,"&gt;="&amp;$C$7,BD!$A$3:$A$5001,"&lt;="&amp;$B294,BD!$T$3:$T$5001,"&lt;&gt;"))))</f>
        <v/>
      </c>
      <c r="V294" s="54" t="str">
        <f>IF(OR($B294="",$A294&gt;$B$9,V$268=""),"",IF(COUNTIFS(BD!$B$3:$B$5001,V$268,BD!$A$3:$A$5001,"&gt;="&amp;$C$7,BD!$A$3:$A$5001,"&lt;="&amp;$B294,BD!$T$3:$T$5001,"&lt;&gt;")=0,"",SUMIFS(BD!$T$3:$T$5001,BD!$B$3:$B$5001,V$268,BD!$A$3:$A$5001,_xlfn.MAXIFS(BD!$A$3:$A$5001,BD!$B$3:$B$5001,V$268,BD!$A$3:$A$5001,"&gt;="&amp;$C$7,BD!$A$3:$A$5001,"&lt;="&amp;$B294,BD!$T$3:$T$5001,"&lt;&gt;"))))</f>
        <v/>
      </c>
    </row>
    <row r="295">
      <c r="A295" s="48">
        <v>27</v>
      </c>
      <c r="B295" s="53">
        <f>$B$38</f>
        <v>46322</v>
      </c>
      <c r="C295" s="54" t="str">
        <f>IF(OR($B295="",$A295&gt;$B$9,C$268=""),"",IF(COUNTIFS(BD!$B$3:$B$5001,C$268,BD!$A$3:$A$5001,"&gt;="&amp;$C$7,BD!$A$3:$A$5001,"&lt;="&amp;$B295,BD!$T$3:$T$5001,"&lt;&gt;")=0,"",SUMIFS(BD!$T$3:$T$5001,BD!$B$3:$B$5001,C$268,BD!$A$3:$A$5001,_xlfn.MAXIFS(BD!$A$3:$A$5001,BD!$B$3:$B$5001,C$268,BD!$A$3:$A$5001,"&gt;="&amp;$C$7,BD!$A$3:$A$5001,"&lt;="&amp;$B295,BD!$T$3:$T$5001,"&lt;&gt;"))))</f>
        <v/>
      </c>
      <c r="D295" s="54" t="str">
        <f>IF(OR($B295="",$A295&gt;$B$9,D$268=""),"",IF(COUNTIFS(BD!$B$3:$B$5001,D$268,BD!$A$3:$A$5001,"&gt;="&amp;$C$7,BD!$A$3:$A$5001,"&lt;="&amp;$B295,BD!$T$3:$T$5001,"&lt;&gt;")=0,"",SUMIFS(BD!$T$3:$T$5001,BD!$B$3:$B$5001,D$268,BD!$A$3:$A$5001,_xlfn.MAXIFS(BD!$A$3:$A$5001,BD!$B$3:$B$5001,D$268,BD!$A$3:$A$5001,"&gt;="&amp;$C$7,BD!$A$3:$A$5001,"&lt;="&amp;$B295,BD!$T$3:$T$5001,"&lt;&gt;"))))</f>
        <v/>
      </c>
      <c r="E295" s="54" t="str">
        <f>IF(OR($B295="",$A295&gt;$B$9,E$268=""),"",IF(COUNTIFS(BD!$B$3:$B$5001,E$268,BD!$A$3:$A$5001,"&gt;="&amp;$C$7,BD!$A$3:$A$5001,"&lt;="&amp;$B295,BD!$T$3:$T$5001,"&lt;&gt;")=0,"",SUMIFS(BD!$T$3:$T$5001,BD!$B$3:$B$5001,E$268,BD!$A$3:$A$5001,_xlfn.MAXIFS(BD!$A$3:$A$5001,BD!$B$3:$B$5001,E$268,BD!$A$3:$A$5001,"&gt;="&amp;$C$7,BD!$A$3:$A$5001,"&lt;="&amp;$B295,BD!$T$3:$T$5001,"&lt;&gt;"))))</f>
        <v/>
      </c>
      <c r="F295" s="54" t="str">
        <f>IF(OR($B295="",$A295&gt;$B$9,F$268=""),"",IF(COUNTIFS(BD!$B$3:$B$5001,F$268,BD!$A$3:$A$5001,"&gt;="&amp;$C$7,BD!$A$3:$A$5001,"&lt;="&amp;$B295,BD!$T$3:$T$5001,"&lt;&gt;")=0,"",SUMIFS(BD!$T$3:$T$5001,BD!$B$3:$B$5001,F$268,BD!$A$3:$A$5001,_xlfn.MAXIFS(BD!$A$3:$A$5001,BD!$B$3:$B$5001,F$268,BD!$A$3:$A$5001,"&gt;="&amp;$C$7,BD!$A$3:$A$5001,"&lt;="&amp;$B295,BD!$T$3:$T$5001,"&lt;&gt;"))))</f>
        <v/>
      </c>
      <c r="G295" s="54" t="str">
        <f>IF(OR($B295="",$A295&gt;$B$9,G$268=""),"",IF(COUNTIFS(BD!$B$3:$B$5001,G$268,BD!$A$3:$A$5001,"&gt;="&amp;$C$7,BD!$A$3:$A$5001,"&lt;="&amp;$B295,BD!$T$3:$T$5001,"&lt;&gt;")=0,"",SUMIFS(BD!$T$3:$T$5001,BD!$B$3:$B$5001,G$268,BD!$A$3:$A$5001,_xlfn.MAXIFS(BD!$A$3:$A$5001,BD!$B$3:$B$5001,G$268,BD!$A$3:$A$5001,"&gt;="&amp;$C$7,BD!$A$3:$A$5001,"&lt;="&amp;$B295,BD!$T$3:$T$5001,"&lt;&gt;"))))</f>
        <v/>
      </c>
      <c r="H295" s="54" t="str">
        <f>IF(OR($B295="",$A295&gt;$B$9,H$268=""),"",IF(COUNTIFS(BD!$B$3:$B$5001,H$268,BD!$A$3:$A$5001,"&gt;="&amp;$C$7,BD!$A$3:$A$5001,"&lt;="&amp;$B295,BD!$T$3:$T$5001,"&lt;&gt;")=0,"",SUMIFS(BD!$T$3:$T$5001,BD!$B$3:$B$5001,H$268,BD!$A$3:$A$5001,_xlfn.MAXIFS(BD!$A$3:$A$5001,BD!$B$3:$B$5001,H$268,BD!$A$3:$A$5001,"&gt;="&amp;$C$7,BD!$A$3:$A$5001,"&lt;="&amp;$B295,BD!$T$3:$T$5001,"&lt;&gt;"))))</f>
        <v/>
      </c>
      <c r="I295" s="54" t="str">
        <f>IF(OR($B295="",$A295&gt;$B$9,I$268=""),"",IF(COUNTIFS(BD!$B$3:$B$5001,I$268,BD!$A$3:$A$5001,"&gt;="&amp;$C$7,BD!$A$3:$A$5001,"&lt;="&amp;$B295,BD!$T$3:$T$5001,"&lt;&gt;")=0,"",SUMIFS(BD!$T$3:$T$5001,BD!$B$3:$B$5001,I$268,BD!$A$3:$A$5001,_xlfn.MAXIFS(BD!$A$3:$A$5001,BD!$B$3:$B$5001,I$268,BD!$A$3:$A$5001,"&gt;="&amp;$C$7,BD!$A$3:$A$5001,"&lt;="&amp;$B295,BD!$T$3:$T$5001,"&lt;&gt;"))))</f>
        <v/>
      </c>
      <c r="J295" s="54" t="str">
        <f>IF(OR($B295="",$A295&gt;$B$9,J$268=""),"",IF(COUNTIFS(BD!$B$3:$B$5001,J$268,BD!$A$3:$A$5001,"&gt;="&amp;$C$7,BD!$A$3:$A$5001,"&lt;="&amp;$B295,BD!$T$3:$T$5001,"&lt;&gt;")=0,"",SUMIFS(BD!$T$3:$T$5001,BD!$B$3:$B$5001,J$268,BD!$A$3:$A$5001,_xlfn.MAXIFS(BD!$A$3:$A$5001,BD!$B$3:$B$5001,J$268,BD!$A$3:$A$5001,"&gt;="&amp;$C$7,BD!$A$3:$A$5001,"&lt;="&amp;$B295,BD!$T$3:$T$5001,"&lt;&gt;"))))</f>
        <v/>
      </c>
      <c r="K295" s="54" t="str">
        <f>IF(OR($B295="",$A295&gt;$B$9,K$268=""),"",IF(COUNTIFS(BD!$B$3:$B$5001,K$268,BD!$A$3:$A$5001,"&gt;="&amp;$C$7,BD!$A$3:$A$5001,"&lt;="&amp;$B295,BD!$T$3:$T$5001,"&lt;&gt;")=0,"",SUMIFS(BD!$T$3:$T$5001,BD!$B$3:$B$5001,K$268,BD!$A$3:$A$5001,_xlfn.MAXIFS(BD!$A$3:$A$5001,BD!$B$3:$B$5001,K$268,BD!$A$3:$A$5001,"&gt;="&amp;$C$7,BD!$A$3:$A$5001,"&lt;="&amp;$B295,BD!$T$3:$T$5001,"&lt;&gt;"))))</f>
        <v/>
      </c>
      <c r="L295" s="54" t="str">
        <f>IF(OR($B295="",$A295&gt;$B$9,L$268=""),"",IF(COUNTIFS(BD!$B$3:$B$5001,L$268,BD!$A$3:$A$5001,"&gt;="&amp;$C$7,BD!$A$3:$A$5001,"&lt;="&amp;$B295,BD!$T$3:$T$5001,"&lt;&gt;")=0,"",SUMIFS(BD!$T$3:$T$5001,BD!$B$3:$B$5001,L$268,BD!$A$3:$A$5001,_xlfn.MAXIFS(BD!$A$3:$A$5001,BD!$B$3:$B$5001,L$268,BD!$A$3:$A$5001,"&gt;="&amp;$C$7,BD!$A$3:$A$5001,"&lt;="&amp;$B295,BD!$T$3:$T$5001,"&lt;&gt;"))))</f>
        <v/>
      </c>
      <c r="M295" s="54" t="str">
        <f>IF(OR($B295="",$A295&gt;$B$9,M$268=""),"",IF(COUNTIFS(BD!$B$3:$B$5001,M$268,BD!$A$3:$A$5001,"&gt;="&amp;$C$7,BD!$A$3:$A$5001,"&lt;="&amp;$B295,BD!$T$3:$T$5001,"&lt;&gt;")=0,"",SUMIFS(BD!$T$3:$T$5001,BD!$B$3:$B$5001,M$268,BD!$A$3:$A$5001,_xlfn.MAXIFS(BD!$A$3:$A$5001,BD!$B$3:$B$5001,M$268,BD!$A$3:$A$5001,"&gt;="&amp;$C$7,BD!$A$3:$A$5001,"&lt;="&amp;$B295,BD!$T$3:$T$5001,"&lt;&gt;"))))</f>
        <v/>
      </c>
      <c r="N295" s="54" t="str">
        <f>IF(OR($B295="",$A295&gt;$B$9,N$268=""),"",IF(COUNTIFS(BD!$B$3:$B$5001,N$268,BD!$A$3:$A$5001,"&gt;="&amp;$C$7,BD!$A$3:$A$5001,"&lt;="&amp;$B295,BD!$T$3:$T$5001,"&lt;&gt;")=0,"",SUMIFS(BD!$T$3:$T$5001,BD!$B$3:$B$5001,N$268,BD!$A$3:$A$5001,_xlfn.MAXIFS(BD!$A$3:$A$5001,BD!$B$3:$B$5001,N$268,BD!$A$3:$A$5001,"&gt;="&amp;$C$7,BD!$A$3:$A$5001,"&lt;="&amp;$B295,BD!$T$3:$T$5001,"&lt;&gt;"))))</f>
        <v/>
      </c>
      <c r="O295" s="54" t="str">
        <f>IF(OR($B295="",$A295&gt;$B$9,O$268=""),"",IF(COUNTIFS(BD!$B$3:$B$5001,O$268,BD!$A$3:$A$5001,"&gt;="&amp;$C$7,BD!$A$3:$A$5001,"&lt;="&amp;$B295,BD!$T$3:$T$5001,"&lt;&gt;")=0,"",SUMIFS(BD!$T$3:$T$5001,BD!$B$3:$B$5001,O$268,BD!$A$3:$A$5001,_xlfn.MAXIFS(BD!$A$3:$A$5001,BD!$B$3:$B$5001,O$268,BD!$A$3:$A$5001,"&gt;="&amp;$C$7,BD!$A$3:$A$5001,"&lt;="&amp;$B295,BD!$T$3:$T$5001,"&lt;&gt;"))))</f>
        <v/>
      </c>
      <c r="P295" s="54" t="str">
        <f>IF(OR($B295="",$A295&gt;$B$9,P$268=""),"",IF(COUNTIFS(BD!$B$3:$B$5001,P$268,BD!$A$3:$A$5001,"&gt;="&amp;$C$7,BD!$A$3:$A$5001,"&lt;="&amp;$B295,BD!$T$3:$T$5001,"&lt;&gt;")=0,"",SUMIFS(BD!$T$3:$T$5001,BD!$B$3:$B$5001,P$268,BD!$A$3:$A$5001,_xlfn.MAXIFS(BD!$A$3:$A$5001,BD!$B$3:$B$5001,P$268,BD!$A$3:$A$5001,"&gt;="&amp;$C$7,BD!$A$3:$A$5001,"&lt;="&amp;$B295,BD!$T$3:$T$5001,"&lt;&gt;"))))</f>
        <v/>
      </c>
      <c r="Q295" s="54" t="str">
        <f>IF(OR($B295="",$A295&gt;$B$9,Q$268=""),"",IF(COUNTIFS(BD!$B$3:$B$5001,Q$268,BD!$A$3:$A$5001,"&gt;="&amp;$C$7,BD!$A$3:$A$5001,"&lt;="&amp;$B295,BD!$T$3:$T$5001,"&lt;&gt;")=0,"",SUMIFS(BD!$T$3:$T$5001,BD!$B$3:$B$5001,Q$268,BD!$A$3:$A$5001,_xlfn.MAXIFS(BD!$A$3:$A$5001,BD!$B$3:$B$5001,Q$268,BD!$A$3:$A$5001,"&gt;="&amp;$C$7,BD!$A$3:$A$5001,"&lt;="&amp;$B295,BD!$T$3:$T$5001,"&lt;&gt;"))))</f>
        <v/>
      </c>
      <c r="R295" s="54" t="str">
        <f>IF(OR($B295="",$A295&gt;$B$9,R$268=""),"",IF(COUNTIFS(BD!$B$3:$B$5001,R$268,BD!$A$3:$A$5001,"&gt;="&amp;$C$7,BD!$A$3:$A$5001,"&lt;="&amp;$B295,BD!$T$3:$T$5001,"&lt;&gt;")=0,"",SUMIFS(BD!$T$3:$T$5001,BD!$B$3:$B$5001,R$268,BD!$A$3:$A$5001,_xlfn.MAXIFS(BD!$A$3:$A$5001,BD!$B$3:$B$5001,R$268,BD!$A$3:$A$5001,"&gt;="&amp;$C$7,BD!$A$3:$A$5001,"&lt;="&amp;$B295,BD!$T$3:$T$5001,"&lt;&gt;"))))</f>
        <v/>
      </c>
      <c r="S295" s="54" t="str">
        <f>IF(OR($B295="",$A295&gt;$B$9,S$268=""),"",IF(COUNTIFS(BD!$B$3:$B$5001,S$268,BD!$A$3:$A$5001,"&gt;="&amp;$C$7,BD!$A$3:$A$5001,"&lt;="&amp;$B295,BD!$T$3:$T$5001,"&lt;&gt;")=0,"",SUMIFS(BD!$T$3:$T$5001,BD!$B$3:$B$5001,S$268,BD!$A$3:$A$5001,_xlfn.MAXIFS(BD!$A$3:$A$5001,BD!$B$3:$B$5001,S$268,BD!$A$3:$A$5001,"&gt;="&amp;$C$7,BD!$A$3:$A$5001,"&lt;="&amp;$B295,BD!$T$3:$T$5001,"&lt;&gt;"))))</f>
        <v/>
      </c>
      <c r="T295" s="54" t="str">
        <f>IF(OR($B295="",$A295&gt;$B$9,T$268=""),"",IF(COUNTIFS(BD!$B$3:$B$5001,T$268,BD!$A$3:$A$5001,"&gt;="&amp;$C$7,BD!$A$3:$A$5001,"&lt;="&amp;$B295,BD!$T$3:$T$5001,"&lt;&gt;")=0,"",SUMIFS(BD!$T$3:$T$5001,BD!$B$3:$B$5001,T$268,BD!$A$3:$A$5001,_xlfn.MAXIFS(BD!$A$3:$A$5001,BD!$B$3:$B$5001,T$268,BD!$A$3:$A$5001,"&gt;="&amp;$C$7,BD!$A$3:$A$5001,"&lt;="&amp;$B295,BD!$T$3:$T$5001,"&lt;&gt;"))))</f>
        <v/>
      </c>
      <c r="U295" s="54" t="str">
        <f>IF(OR($B295="",$A295&gt;$B$9,U$268=""),"",IF(COUNTIFS(BD!$B$3:$B$5001,U$268,BD!$A$3:$A$5001,"&gt;="&amp;$C$7,BD!$A$3:$A$5001,"&lt;="&amp;$B295,BD!$T$3:$T$5001,"&lt;&gt;")=0,"",SUMIFS(BD!$T$3:$T$5001,BD!$B$3:$B$5001,U$268,BD!$A$3:$A$5001,_xlfn.MAXIFS(BD!$A$3:$A$5001,BD!$B$3:$B$5001,U$268,BD!$A$3:$A$5001,"&gt;="&amp;$C$7,BD!$A$3:$A$5001,"&lt;="&amp;$B295,BD!$T$3:$T$5001,"&lt;&gt;"))))</f>
        <v/>
      </c>
      <c r="V295" s="54" t="str">
        <f>IF(OR($B295="",$A295&gt;$B$9,V$268=""),"",IF(COUNTIFS(BD!$B$3:$B$5001,V$268,BD!$A$3:$A$5001,"&gt;="&amp;$C$7,BD!$A$3:$A$5001,"&lt;="&amp;$B295,BD!$T$3:$T$5001,"&lt;&gt;")=0,"",SUMIFS(BD!$T$3:$T$5001,BD!$B$3:$B$5001,V$268,BD!$A$3:$A$5001,_xlfn.MAXIFS(BD!$A$3:$A$5001,BD!$B$3:$B$5001,V$268,BD!$A$3:$A$5001,"&gt;="&amp;$C$7,BD!$A$3:$A$5001,"&lt;="&amp;$B295,BD!$T$3:$T$5001,"&lt;&gt;"))))</f>
        <v/>
      </c>
    </row>
    <row r="296">
      <c r="A296" s="48">
        <v>28</v>
      </c>
      <c r="B296" s="53">
        <f>$B$39</f>
        <v>46323</v>
      </c>
      <c r="C296" s="54" t="str">
        <f>IF(OR($B296="",$A296&gt;$B$9,C$268=""),"",IF(COUNTIFS(BD!$B$3:$B$5001,C$268,BD!$A$3:$A$5001,"&gt;="&amp;$C$7,BD!$A$3:$A$5001,"&lt;="&amp;$B296,BD!$T$3:$T$5001,"&lt;&gt;")=0,"",SUMIFS(BD!$T$3:$T$5001,BD!$B$3:$B$5001,C$268,BD!$A$3:$A$5001,_xlfn.MAXIFS(BD!$A$3:$A$5001,BD!$B$3:$B$5001,C$268,BD!$A$3:$A$5001,"&gt;="&amp;$C$7,BD!$A$3:$A$5001,"&lt;="&amp;$B296,BD!$T$3:$T$5001,"&lt;&gt;"))))</f>
        <v/>
      </c>
      <c r="D296" s="54" t="str">
        <f>IF(OR($B296="",$A296&gt;$B$9,D$268=""),"",IF(COUNTIFS(BD!$B$3:$B$5001,D$268,BD!$A$3:$A$5001,"&gt;="&amp;$C$7,BD!$A$3:$A$5001,"&lt;="&amp;$B296,BD!$T$3:$T$5001,"&lt;&gt;")=0,"",SUMIFS(BD!$T$3:$T$5001,BD!$B$3:$B$5001,D$268,BD!$A$3:$A$5001,_xlfn.MAXIFS(BD!$A$3:$A$5001,BD!$B$3:$B$5001,D$268,BD!$A$3:$A$5001,"&gt;="&amp;$C$7,BD!$A$3:$A$5001,"&lt;="&amp;$B296,BD!$T$3:$T$5001,"&lt;&gt;"))))</f>
        <v/>
      </c>
      <c r="E296" s="54" t="str">
        <f>IF(OR($B296="",$A296&gt;$B$9,E$268=""),"",IF(COUNTIFS(BD!$B$3:$B$5001,E$268,BD!$A$3:$A$5001,"&gt;="&amp;$C$7,BD!$A$3:$A$5001,"&lt;="&amp;$B296,BD!$T$3:$T$5001,"&lt;&gt;")=0,"",SUMIFS(BD!$T$3:$T$5001,BD!$B$3:$B$5001,E$268,BD!$A$3:$A$5001,_xlfn.MAXIFS(BD!$A$3:$A$5001,BD!$B$3:$B$5001,E$268,BD!$A$3:$A$5001,"&gt;="&amp;$C$7,BD!$A$3:$A$5001,"&lt;="&amp;$B296,BD!$T$3:$T$5001,"&lt;&gt;"))))</f>
        <v/>
      </c>
      <c r="F296" s="54" t="str">
        <f>IF(OR($B296="",$A296&gt;$B$9,F$268=""),"",IF(COUNTIFS(BD!$B$3:$B$5001,F$268,BD!$A$3:$A$5001,"&gt;="&amp;$C$7,BD!$A$3:$A$5001,"&lt;="&amp;$B296,BD!$T$3:$T$5001,"&lt;&gt;")=0,"",SUMIFS(BD!$T$3:$T$5001,BD!$B$3:$B$5001,F$268,BD!$A$3:$A$5001,_xlfn.MAXIFS(BD!$A$3:$A$5001,BD!$B$3:$B$5001,F$268,BD!$A$3:$A$5001,"&gt;="&amp;$C$7,BD!$A$3:$A$5001,"&lt;="&amp;$B296,BD!$T$3:$T$5001,"&lt;&gt;"))))</f>
        <v/>
      </c>
      <c r="G296" s="54" t="str">
        <f>IF(OR($B296="",$A296&gt;$B$9,G$268=""),"",IF(COUNTIFS(BD!$B$3:$B$5001,G$268,BD!$A$3:$A$5001,"&gt;="&amp;$C$7,BD!$A$3:$A$5001,"&lt;="&amp;$B296,BD!$T$3:$T$5001,"&lt;&gt;")=0,"",SUMIFS(BD!$T$3:$T$5001,BD!$B$3:$B$5001,G$268,BD!$A$3:$A$5001,_xlfn.MAXIFS(BD!$A$3:$A$5001,BD!$B$3:$B$5001,G$268,BD!$A$3:$A$5001,"&gt;="&amp;$C$7,BD!$A$3:$A$5001,"&lt;="&amp;$B296,BD!$T$3:$T$5001,"&lt;&gt;"))))</f>
        <v/>
      </c>
      <c r="H296" s="54" t="str">
        <f>IF(OR($B296="",$A296&gt;$B$9,H$268=""),"",IF(COUNTIFS(BD!$B$3:$B$5001,H$268,BD!$A$3:$A$5001,"&gt;="&amp;$C$7,BD!$A$3:$A$5001,"&lt;="&amp;$B296,BD!$T$3:$T$5001,"&lt;&gt;")=0,"",SUMIFS(BD!$T$3:$T$5001,BD!$B$3:$B$5001,H$268,BD!$A$3:$A$5001,_xlfn.MAXIFS(BD!$A$3:$A$5001,BD!$B$3:$B$5001,H$268,BD!$A$3:$A$5001,"&gt;="&amp;$C$7,BD!$A$3:$A$5001,"&lt;="&amp;$B296,BD!$T$3:$T$5001,"&lt;&gt;"))))</f>
        <v/>
      </c>
      <c r="I296" s="54" t="str">
        <f>IF(OR($B296="",$A296&gt;$B$9,I$268=""),"",IF(COUNTIFS(BD!$B$3:$B$5001,I$268,BD!$A$3:$A$5001,"&gt;="&amp;$C$7,BD!$A$3:$A$5001,"&lt;="&amp;$B296,BD!$T$3:$T$5001,"&lt;&gt;")=0,"",SUMIFS(BD!$T$3:$T$5001,BD!$B$3:$B$5001,I$268,BD!$A$3:$A$5001,_xlfn.MAXIFS(BD!$A$3:$A$5001,BD!$B$3:$B$5001,I$268,BD!$A$3:$A$5001,"&gt;="&amp;$C$7,BD!$A$3:$A$5001,"&lt;="&amp;$B296,BD!$T$3:$T$5001,"&lt;&gt;"))))</f>
        <v/>
      </c>
      <c r="J296" s="54" t="str">
        <f>IF(OR($B296="",$A296&gt;$B$9,J$268=""),"",IF(COUNTIFS(BD!$B$3:$B$5001,J$268,BD!$A$3:$A$5001,"&gt;="&amp;$C$7,BD!$A$3:$A$5001,"&lt;="&amp;$B296,BD!$T$3:$T$5001,"&lt;&gt;")=0,"",SUMIFS(BD!$T$3:$T$5001,BD!$B$3:$B$5001,J$268,BD!$A$3:$A$5001,_xlfn.MAXIFS(BD!$A$3:$A$5001,BD!$B$3:$B$5001,J$268,BD!$A$3:$A$5001,"&gt;="&amp;$C$7,BD!$A$3:$A$5001,"&lt;="&amp;$B296,BD!$T$3:$T$5001,"&lt;&gt;"))))</f>
        <v/>
      </c>
      <c r="K296" s="54" t="str">
        <f>IF(OR($B296="",$A296&gt;$B$9,K$268=""),"",IF(COUNTIFS(BD!$B$3:$B$5001,K$268,BD!$A$3:$A$5001,"&gt;="&amp;$C$7,BD!$A$3:$A$5001,"&lt;="&amp;$B296,BD!$T$3:$T$5001,"&lt;&gt;")=0,"",SUMIFS(BD!$T$3:$T$5001,BD!$B$3:$B$5001,K$268,BD!$A$3:$A$5001,_xlfn.MAXIFS(BD!$A$3:$A$5001,BD!$B$3:$B$5001,K$268,BD!$A$3:$A$5001,"&gt;="&amp;$C$7,BD!$A$3:$A$5001,"&lt;="&amp;$B296,BD!$T$3:$T$5001,"&lt;&gt;"))))</f>
        <v/>
      </c>
      <c r="L296" s="54" t="str">
        <f>IF(OR($B296="",$A296&gt;$B$9,L$268=""),"",IF(COUNTIFS(BD!$B$3:$B$5001,L$268,BD!$A$3:$A$5001,"&gt;="&amp;$C$7,BD!$A$3:$A$5001,"&lt;="&amp;$B296,BD!$T$3:$T$5001,"&lt;&gt;")=0,"",SUMIFS(BD!$T$3:$T$5001,BD!$B$3:$B$5001,L$268,BD!$A$3:$A$5001,_xlfn.MAXIFS(BD!$A$3:$A$5001,BD!$B$3:$B$5001,L$268,BD!$A$3:$A$5001,"&gt;="&amp;$C$7,BD!$A$3:$A$5001,"&lt;="&amp;$B296,BD!$T$3:$T$5001,"&lt;&gt;"))))</f>
        <v/>
      </c>
      <c r="M296" s="54" t="str">
        <f>IF(OR($B296="",$A296&gt;$B$9,M$268=""),"",IF(COUNTIFS(BD!$B$3:$B$5001,M$268,BD!$A$3:$A$5001,"&gt;="&amp;$C$7,BD!$A$3:$A$5001,"&lt;="&amp;$B296,BD!$T$3:$T$5001,"&lt;&gt;")=0,"",SUMIFS(BD!$T$3:$T$5001,BD!$B$3:$B$5001,M$268,BD!$A$3:$A$5001,_xlfn.MAXIFS(BD!$A$3:$A$5001,BD!$B$3:$B$5001,M$268,BD!$A$3:$A$5001,"&gt;="&amp;$C$7,BD!$A$3:$A$5001,"&lt;="&amp;$B296,BD!$T$3:$T$5001,"&lt;&gt;"))))</f>
        <v/>
      </c>
      <c r="N296" s="54" t="str">
        <f>IF(OR($B296="",$A296&gt;$B$9,N$268=""),"",IF(COUNTIFS(BD!$B$3:$B$5001,N$268,BD!$A$3:$A$5001,"&gt;="&amp;$C$7,BD!$A$3:$A$5001,"&lt;="&amp;$B296,BD!$T$3:$T$5001,"&lt;&gt;")=0,"",SUMIFS(BD!$T$3:$T$5001,BD!$B$3:$B$5001,N$268,BD!$A$3:$A$5001,_xlfn.MAXIFS(BD!$A$3:$A$5001,BD!$B$3:$B$5001,N$268,BD!$A$3:$A$5001,"&gt;="&amp;$C$7,BD!$A$3:$A$5001,"&lt;="&amp;$B296,BD!$T$3:$T$5001,"&lt;&gt;"))))</f>
        <v/>
      </c>
      <c r="O296" s="54" t="str">
        <f>IF(OR($B296="",$A296&gt;$B$9,O$268=""),"",IF(COUNTIFS(BD!$B$3:$B$5001,O$268,BD!$A$3:$A$5001,"&gt;="&amp;$C$7,BD!$A$3:$A$5001,"&lt;="&amp;$B296,BD!$T$3:$T$5001,"&lt;&gt;")=0,"",SUMIFS(BD!$T$3:$T$5001,BD!$B$3:$B$5001,O$268,BD!$A$3:$A$5001,_xlfn.MAXIFS(BD!$A$3:$A$5001,BD!$B$3:$B$5001,O$268,BD!$A$3:$A$5001,"&gt;="&amp;$C$7,BD!$A$3:$A$5001,"&lt;="&amp;$B296,BD!$T$3:$T$5001,"&lt;&gt;"))))</f>
        <v/>
      </c>
      <c r="P296" s="54" t="str">
        <f>IF(OR($B296="",$A296&gt;$B$9,P$268=""),"",IF(COUNTIFS(BD!$B$3:$B$5001,P$268,BD!$A$3:$A$5001,"&gt;="&amp;$C$7,BD!$A$3:$A$5001,"&lt;="&amp;$B296,BD!$T$3:$T$5001,"&lt;&gt;")=0,"",SUMIFS(BD!$T$3:$T$5001,BD!$B$3:$B$5001,P$268,BD!$A$3:$A$5001,_xlfn.MAXIFS(BD!$A$3:$A$5001,BD!$B$3:$B$5001,P$268,BD!$A$3:$A$5001,"&gt;="&amp;$C$7,BD!$A$3:$A$5001,"&lt;="&amp;$B296,BD!$T$3:$T$5001,"&lt;&gt;"))))</f>
        <v/>
      </c>
      <c r="Q296" s="54" t="str">
        <f>IF(OR($B296="",$A296&gt;$B$9,Q$268=""),"",IF(COUNTIFS(BD!$B$3:$B$5001,Q$268,BD!$A$3:$A$5001,"&gt;="&amp;$C$7,BD!$A$3:$A$5001,"&lt;="&amp;$B296,BD!$T$3:$T$5001,"&lt;&gt;")=0,"",SUMIFS(BD!$T$3:$T$5001,BD!$B$3:$B$5001,Q$268,BD!$A$3:$A$5001,_xlfn.MAXIFS(BD!$A$3:$A$5001,BD!$B$3:$B$5001,Q$268,BD!$A$3:$A$5001,"&gt;="&amp;$C$7,BD!$A$3:$A$5001,"&lt;="&amp;$B296,BD!$T$3:$T$5001,"&lt;&gt;"))))</f>
        <v/>
      </c>
      <c r="R296" s="54" t="str">
        <f>IF(OR($B296="",$A296&gt;$B$9,R$268=""),"",IF(COUNTIFS(BD!$B$3:$B$5001,R$268,BD!$A$3:$A$5001,"&gt;="&amp;$C$7,BD!$A$3:$A$5001,"&lt;="&amp;$B296,BD!$T$3:$T$5001,"&lt;&gt;")=0,"",SUMIFS(BD!$T$3:$T$5001,BD!$B$3:$B$5001,R$268,BD!$A$3:$A$5001,_xlfn.MAXIFS(BD!$A$3:$A$5001,BD!$B$3:$B$5001,R$268,BD!$A$3:$A$5001,"&gt;="&amp;$C$7,BD!$A$3:$A$5001,"&lt;="&amp;$B296,BD!$T$3:$T$5001,"&lt;&gt;"))))</f>
        <v/>
      </c>
      <c r="S296" s="54" t="str">
        <f>IF(OR($B296="",$A296&gt;$B$9,S$268=""),"",IF(COUNTIFS(BD!$B$3:$B$5001,S$268,BD!$A$3:$A$5001,"&gt;="&amp;$C$7,BD!$A$3:$A$5001,"&lt;="&amp;$B296,BD!$T$3:$T$5001,"&lt;&gt;")=0,"",SUMIFS(BD!$T$3:$T$5001,BD!$B$3:$B$5001,S$268,BD!$A$3:$A$5001,_xlfn.MAXIFS(BD!$A$3:$A$5001,BD!$B$3:$B$5001,S$268,BD!$A$3:$A$5001,"&gt;="&amp;$C$7,BD!$A$3:$A$5001,"&lt;="&amp;$B296,BD!$T$3:$T$5001,"&lt;&gt;"))))</f>
        <v/>
      </c>
      <c r="T296" s="54" t="str">
        <f>IF(OR($B296="",$A296&gt;$B$9,T$268=""),"",IF(COUNTIFS(BD!$B$3:$B$5001,T$268,BD!$A$3:$A$5001,"&gt;="&amp;$C$7,BD!$A$3:$A$5001,"&lt;="&amp;$B296,BD!$T$3:$T$5001,"&lt;&gt;")=0,"",SUMIFS(BD!$T$3:$T$5001,BD!$B$3:$B$5001,T$268,BD!$A$3:$A$5001,_xlfn.MAXIFS(BD!$A$3:$A$5001,BD!$B$3:$B$5001,T$268,BD!$A$3:$A$5001,"&gt;="&amp;$C$7,BD!$A$3:$A$5001,"&lt;="&amp;$B296,BD!$T$3:$T$5001,"&lt;&gt;"))))</f>
        <v/>
      </c>
      <c r="U296" s="54" t="str">
        <f>IF(OR($B296="",$A296&gt;$B$9,U$268=""),"",IF(COUNTIFS(BD!$B$3:$B$5001,U$268,BD!$A$3:$A$5001,"&gt;="&amp;$C$7,BD!$A$3:$A$5001,"&lt;="&amp;$B296,BD!$T$3:$T$5001,"&lt;&gt;")=0,"",SUMIFS(BD!$T$3:$T$5001,BD!$B$3:$B$5001,U$268,BD!$A$3:$A$5001,_xlfn.MAXIFS(BD!$A$3:$A$5001,BD!$B$3:$B$5001,U$268,BD!$A$3:$A$5001,"&gt;="&amp;$C$7,BD!$A$3:$A$5001,"&lt;="&amp;$B296,BD!$T$3:$T$5001,"&lt;&gt;"))))</f>
        <v/>
      </c>
      <c r="V296" s="54" t="str">
        <f>IF(OR($B296="",$A296&gt;$B$9,V$268=""),"",IF(COUNTIFS(BD!$B$3:$B$5001,V$268,BD!$A$3:$A$5001,"&gt;="&amp;$C$7,BD!$A$3:$A$5001,"&lt;="&amp;$B296,BD!$T$3:$T$5001,"&lt;&gt;")=0,"",SUMIFS(BD!$T$3:$T$5001,BD!$B$3:$B$5001,V$268,BD!$A$3:$A$5001,_xlfn.MAXIFS(BD!$A$3:$A$5001,BD!$B$3:$B$5001,V$268,BD!$A$3:$A$5001,"&gt;="&amp;$C$7,BD!$A$3:$A$5001,"&lt;="&amp;$B296,BD!$T$3:$T$5001,"&lt;&gt;"))))</f>
        <v/>
      </c>
    </row>
    <row r="297">
      <c r="A297" s="48">
        <v>29</v>
      </c>
      <c r="B297" s="53">
        <f>$B$40</f>
        <v>46324</v>
      </c>
      <c r="C297" s="54" t="str">
        <f>IF(OR($B297="",$A297&gt;$B$9,C$268=""),"",IF(COUNTIFS(BD!$B$3:$B$5001,C$268,BD!$A$3:$A$5001,"&gt;="&amp;$C$7,BD!$A$3:$A$5001,"&lt;="&amp;$B297,BD!$T$3:$T$5001,"&lt;&gt;")=0,"",SUMIFS(BD!$T$3:$T$5001,BD!$B$3:$B$5001,C$268,BD!$A$3:$A$5001,_xlfn.MAXIFS(BD!$A$3:$A$5001,BD!$B$3:$B$5001,C$268,BD!$A$3:$A$5001,"&gt;="&amp;$C$7,BD!$A$3:$A$5001,"&lt;="&amp;$B297,BD!$T$3:$T$5001,"&lt;&gt;"))))</f>
        <v/>
      </c>
      <c r="D297" s="54" t="str">
        <f>IF(OR($B297="",$A297&gt;$B$9,D$268=""),"",IF(COUNTIFS(BD!$B$3:$B$5001,D$268,BD!$A$3:$A$5001,"&gt;="&amp;$C$7,BD!$A$3:$A$5001,"&lt;="&amp;$B297,BD!$T$3:$T$5001,"&lt;&gt;")=0,"",SUMIFS(BD!$T$3:$T$5001,BD!$B$3:$B$5001,D$268,BD!$A$3:$A$5001,_xlfn.MAXIFS(BD!$A$3:$A$5001,BD!$B$3:$B$5001,D$268,BD!$A$3:$A$5001,"&gt;="&amp;$C$7,BD!$A$3:$A$5001,"&lt;="&amp;$B297,BD!$T$3:$T$5001,"&lt;&gt;"))))</f>
        <v/>
      </c>
      <c r="E297" s="54" t="str">
        <f>IF(OR($B297="",$A297&gt;$B$9,E$268=""),"",IF(COUNTIFS(BD!$B$3:$B$5001,E$268,BD!$A$3:$A$5001,"&gt;="&amp;$C$7,BD!$A$3:$A$5001,"&lt;="&amp;$B297,BD!$T$3:$T$5001,"&lt;&gt;")=0,"",SUMIFS(BD!$T$3:$T$5001,BD!$B$3:$B$5001,E$268,BD!$A$3:$A$5001,_xlfn.MAXIFS(BD!$A$3:$A$5001,BD!$B$3:$B$5001,E$268,BD!$A$3:$A$5001,"&gt;="&amp;$C$7,BD!$A$3:$A$5001,"&lt;="&amp;$B297,BD!$T$3:$T$5001,"&lt;&gt;"))))</f>
        <v/>
      </c>
      <c r="F297" s="54" t="str">
        <f>IF(OR($B297="",$A297&gt;$B$9,F$268=""),"",IF(COUNTIFS(BD!$B$3:$B$5001,F$268,BD!$A$3:$A$5001,"&gt;="&amp;$C$7,BD!$A$3:$A$5001,"&lt;="&amp;$B297,BD!$T$3:$T$5001,"&lt;&gt;")=0,"",SUMIFS(BD!$T$3:$T$5001,BD!$B$3:$B$5001,F$268,BD!$A$3:$A$5001,_xlfn.MAXIFS(BD!$A$3:$A$5001,BD!$B$3:$B$5001,F$268,BD!$A$3:$A$5001,"&gt;="&amp;$C$7,BD!$A$3:$A$5001,"&lt;="&amp;$B297,BD!$T$3:$T$5001,"&lt;&gt;"))))</f>
        <v/>
      </c>
      <c r="G297" s="54" t="str">
        <f>IF(OR($B297="",$A297&gt;$B$9,G$268=""),"",IF(COUNTIFS(BD!$B$3:$B$5001,G$268,BD!$A$3:$A$5001,"&gt;="&amp;$C$7,BD!$A$3:$A$5001,"&lt;="&amp;$B297,BD!$T$3:$T$5001,"&lt;&gt;")=0,"",SUMIFS(BD!$T$3:$T$5001,BD!$B$3:$B$5001,G$268,BD!$A$3:$A$5001,_xlfn.MAXIFS(BD!$A$3:$A$5001,BD!$B$3:$B$5001,G$268,BD!$A$3:$A$5001,"&gt;="&amp;$C$7,BD!$A$3:$A$5001,"&lt;="&amp;$B297,BD!$T$3:$T$5001,"&lt;&gt;"))))</f>
        <v/>
      </c>
      <c r="H297" s="54" t="str">
        <f>IF(OR($B297="",$A297&gt;$B$9,H$268=""),"",IF(COUNTIFS(BD!$B$3:$B$5001,H$268,BD!$A$3:$A$5001,"&gt;="&amp;$C$7,BD!$A$3:$A$5001,"&lt;="&amp;$B297,BD!$T$3:$T$5001,"&lt;&gt;")=0,"",SUMIFS(BD!$T$3:$T$5001,BD!$B$3:$B$5001,H$268,BD!$A$3:$A$5001,_xlfn.MAXIFS(BD!$A$3:$A$5001,BD!$B$3:$B$5001,H$268,BD!$A$3:$A$5001,"&gt;="&amp;$C$7,BD!$A$3:$A$5001,"&lt;="&amp;$B297,BD!$T$3:$T$5001,"&lt;&gt;"))))</f>
        <v/>
      </c>
      <c r="I297" s="54" t="str">
        <f>IF(OR($B297="",$A297&gt;$B$9,I$268=""),"",IF(COUNTIFS(BD!$B$3:$B$5001,I$268,BD!$A$3:$A$5001,"&gt;="&amp;$C$7,BD!$A$3:$A$5001,"&lt;="&amp;$B297,BD!$T$3:$T$5001,"&lt;&gt;")=0,"",SUMIFS(BD!$T$3:$T$5001,BD!$B$3:$B$5001,I$268,BD!$A$3:$A$5001,_xlfn.MAXIFS(BD!$A$3:$A$5001,BD!$B$3:$B$5001,I$268,BD!$A$3:$A$5001,"&gt;="&amp;$C$7,BD!$A$3:$A$5001,"&lt;="&amp;$B297,BD!$T$3:$T$5001,"&lt;&gt;"))))</f>
        <v/>
      </c>
      <c r="J297" s="54" t="str">
        <f>IF(OR($B297="",$A297&gt;$B$9,J$268=""),"",IF(COUNTIFS(BD!$B$3:$B$5001,J$268,BD!$A$3:$A$5001,"&gt;="&amp;$C$7,BD!$A$3:$A$5001,"&lt;="&amp;$B297,BD!$T$3:$T$5001,"&lt;&gt;")=0,"",SUMIFS(BD!$T$3:$T$5001,BD!$B$3:$B$5001,J$268,BD!$A$3:$A$5001,_xlfn.MAXIFS(BD!$A$3:$A$5001,BD!$B$3:$B$5001,J$268,BD!$A$3:$A$5001,"&gt;="&amp;$C$7,BD!$A$3:$A$5001,"&lt;="&amp;$B297,BD!$T$3:$T$5001,"&lt;&gt;"))))</f>
        <v/>
      </c>
      <c r="K297" s="54" t="str">
        <f>IF(OR($B297="",$A297&gt;$B$9,K$268=""),"",IF(COUNTIFS(BD!$B$3:$B$5001,K$268,BD!$A$3:$A$5001,"&gt;="&amp;$C$7,BD!$A$3:$A$5001,"&lt;="&amp;$B297,BD!$T$3:$T$5001,"&lt;&gt;")=0,"",SUMIFS(BD!$T$3:$T$5001,BD!$B$3:$B$5001,K$268,BD!$A$3:$A$5001,_xlfn.MAXIFS(BD!$A$3:$A$5001,BD!$B$3:$B$5001,K$268,BD!$A$3:$A$5001,"&gt;="&amp;$C$7,BD!$A$3:$A$5001,"&lt;="&amp;$B297,BD!$T$3:$T$5001,"&lt;&gt;"))))</f>
        <v/>
      </c>
      <c r="L297" s="54" t="str">
        <f>IF(OR($B297="",$A297&gt;$B$9,L$268=""),"",IF(COUNTIFS(BD!$B$3:$B$5001,L$268,BD!$A$3:$A$5001,"&gt;="&amp;$C$7,BD!$A$3:$A$5001,"&lt;="&amp;$B297,BD!$T$3:$T$5001,"&lt;&gt;")=0,"",SUMIFS(BD!$T$3:$T$5001,BD!$B$3:$B$5001,L$268,BD!$A$3:$A$5001,_xlfn.MAXIFS(BD!$A$3:$A$5001,BD!$B$3:$B$5001,L$268,BD!$A$3:$A$5001,"&gt;="&amp;$C$7,BD!$A$3:$A$5001,"&lt;="&amp;$B297,BD!$T$3:$T$5001,"&lt;&gt;"))))</f>
        <v/>
      </c>
      <c r="M297" s="54" t="str">
        <f>IF(OR($B297="",$A297&gt;$B$9,M$268=""),"",IF(COUNTIFS(BD!$B$3:$B$5001,M$268,BD!$A$3:$A$5001,"&gt;="&amp;$C$7,BD!$A$3:$A$5001,"&lt;="&amp;$B297,BD!$T$3:$T$5001,"&lt;&gt;")=0,"",SUMIFS(BD!$T$3:$T$5001,BD!$B$3:$B$5001,M$268,BD!$A$3:$A$5001,_xlfn.MAXIFS(BD!$A$3:$A$5001,BD!$B$3:$B$5001,M$268,BD!$A$3:$A$5001,"&gt;="&amp;$C$7,BD!$A$3:$A$5001,"&lt;="&amp;$B297,BD!$T$3:$T$5001,"&lt;&gt;"))))</f>
        <v/>
      </c>
      <c r="N297" s="54" t="str">
        <f>IF(OR($B297="",$A297&gt;$B$9,N$268=""),"",IF(COUNTIFS(BD!$B$3:$B$5001,N$268,BD!$A$3:$A$5001,"&gt;="&amp;$C$7,BD!$A$3:$A$5001,"&lt;="&amp;$B297,BD!$T$3:$T$5001,"&lt;&gt;")=0,"",SUMIFS(BD!$T$3:$T$5001,BD!$B$3:$B$5001,N$268,BD!$A$3:$A$5001,_xlfn.MAXIFS(BD!$A$3:$A$5001,BD!$B$3:$B$5001,N$268,BD!$A$3:$A$5001,"&gt;="&amp;$C$7,BD!$A$3:$A$5001,"&lt;="&amp;$B297,BD!$T$3:$T$5001,"&lt;&gt;"))))</f>
        <v/>
      </c>
      <c r="O297" s="54" t="str">
        <f>IF(OR($B297="",$A297&gt;$B$9,O$268=""),"",IF(COUNTIFS(BD!$B$3:$B$5001,O$268,BD!$A$3:$A$5001,"&gt;="&amp;$C$7,BD!$A$3:$A$5001,"&lt;="&amp;$B297,BD!$T$3:$T$5001,"&lt;&gt;")=0,"",SUMIFS(BD!$T$3:$T$5001,BD!$B$3:$B$5001,O$268,BD!$A$3:$A$5001,_xlfn.MAXIFS(BD!$A$3:$A$5001,BD!$B$3:$B$5001,O$268,BD!$A$3:$A$5001,"&gt;="&amp;$C$7,BD!$A$3:$A$5001,"&lt;="&amp;$B297,BD!$T$3:$T$5001,"&lt;&gt;"))))</f>
        <v/>
      </c>
      <c r="P297" s="54" t="str">
        <f>IF(OR($B297="",$A297&gt;$B$9,P$268=""),"",IF(COUNTIFS(BD!$B$3:$B$5001,P$268,BD!$A$3:$A$5001,"&gt;="&amp;$C$7,BD!$A$3:$A$5001,"&lt;="&amp;$B297,BD!$T$3:$T$5001,"&lt;&gt;")=0,"",SUMIFS(BD!$T$3:$T$5001,BD!$B$3:$B$5001,P$268,BD!$A$3:$A$5001,_xlfn.MAXIFS(BD!$A$3:$A$5001,BD!$B$3:$B$5001,P$268,BD!$A$3:$A$5001,"&gt;="&amp;$C$7,BD!$A$3:$A$5001,"&lt;="&amp;$B297,BD!$T$3:$T$5001,"&lt;&gt;"))))</f>
        <v/>
      </c>
      <c r="Q297" s="54" t="str">
        <f>IF(OR($B297="",$A297&gt;$B$9,Q$268=""),"",IF(COUNTIFS(BD!$B$3:$B$5001,Q$268,BD!$A$3:$A$5001,"&gt;="&amp;$C$7,BD!$A$3:$A$5001,"&lt;="&amp;$B297,BD!$T$3:$T$5001,"&lt;&gt;")=0,"",SUMIFS(BD!$T$3:$T$5001,BD!$B$3:$B$5001,Q$268,BD!$A$3:$A$5001,_xlfn.MAXIFS(BD!$A$3:$A$5001,BD!$B$3:$B$5001,Q$268,BD!$A$3:$A$5001,"&gt;="&amp;$C$7,BD!$A$3:$A$5001,"&lt;="&amp;$B297,BD!$T$3:$T$5001,"&lt;&gt;"))))</f>
        <v/>
      </c>
      <c r="R297" s="54" t="str">
        <f>IF(OR($B297="",$A297&gt;$B$9,R$268=""),"",IF(COUNTIFS(BD!$B$3:$B$5001,R$268,BD!$A$3:$A$5001,"&gt;="&amp;$C$7,BD!$A$3:$A$5001,"&lt;="&amp;$B297,BD!$T$3:$T$5001,"&lt;&gt;")=0,"",SUMIFS(BD!$T$3:$T$5001,BD!$B$3:$B$5001,R$268,BD!$A$3:$A$5001,_xlfn.MAXIFS(BD!$A$3:$A$5001,BD!$B$3:$B$5001,R$268,BD!$A$3:$A$5001,"&gt;="&amp;$C$7,BD!$A$3:$A$5001,"&lt;="&amp;$B297,BD!$T$3:$T$5001,"&lt;&gt;"))))</f>
        <v/>
      </c>
      <c r="S297" s="54" t="str">
        <f>IF(OR($B297="",$A297&gt;$B$9,S$268=""),"",IF(COUNTIFS(BD!$B$3:$B$5001,S$268,BD!$A$3:$A$5001,"&gt;="&amp;$C$7,BD!$A$3:$A$5001,"&lt;="&amp;$B297,BD!$T$3:$T$5001,"&lt;&gt;")=0,"",SUMIFS(BD!$T$3:$T$5001,BD!$B$3:$B$5001,S$268,BD!$A$3:$A$5001,_xlfn.MAXIFS(BD!$A$3:$A$5001,BD!$B$3:$B$5001,S$268,BD!$A$3:$A$5001,"&gt;="&amp;$C$7,BD!$A$3:$A$5001,"&lt;="&amp;$B297,BD!$T$3:$T$5001,"&lt;&gt;"))))</f>
        <v/>
      </c>
      <c r="T297" s="54" t="str">
        <f>IF(OR($B297="",$A297&gt;$B$9,T$268=""),"",IF(COUNTIFS(BD!$B$3:$B$5001,T$268,BD!$A$3:$A$5001,"&gt;="&amp;$C$7,BD!$A$3:$A$5001,"&lt;="&amp;$B297,BD!$T$3:$T$5001,"&lt;&gt;")=0,"",SUMIFS(BD!$T$3:$T$5001,BD!$B$3:$B$5001,T$268,BD!$A$3:$A$5001,_xlfn.MAXIFS(BD!$A$3:$A$5001,BD!$B$3:$B$5001,T$268,BD!$A$3:$A$5001,"&gt;="&amp;$C$7,BD!$A$3:$A$5001,"&lt;="&amp;$B297,BD!$T$3:$T$5001,"&lt;&gt;"))))</f>
        <v/>
      </c>
      <c r="U297" s="54" t="str">
        <f>IF(OR($B297="",$A297&gt;$B$9,U$268=""),"",IF(COUNTIFS(BD!$B$3:$B$5001,U$268,BD!$A$3:$A$5001,"&gt;="&amp;$C$7,BD!$A$3:$A$5001,"&lt;="&amp;$B297,BD!$T$3:$T$5001,"&lt;&gt;")=0,"",SUMIFS(BD!$T$3:$T$5001,BD!$B$3:$B$5001,U$268,BD!$A$3:$A$5001,_xlfn.MAXIFS(BD!$A$3:$A$5001,BD!$B$3:$B$5001,U$268,BD!$A$3:$A$5001,"&gt;="&amp;$C$7,BD!$A$3:$A$5001,"&lt;="&amp;$B297,BD!$T$3:$T$5001,"&lt;&gt;"))))</f>
        <v/>
      </c>
      <c r="V297" s="54" t="str">
        <f>IF(OR($B297="",$A297&gt;$B$9,V$268=""),"",IF(COUNTIFS(BD!$B$3:$B$5001,V$268,BD!$A$3:$A$5001,"&gt;="&amp;$C$7,BD!$A$3:$A$5001,"&lt;="&amp;$B297,BD!$T$3:$T$5001,"&lt;&gt;")=0,"",SUMIFS(BD!$T$3:$T$5001,BD!$B$3:$B$5001,V$268,BD!$A$3:$A$5001,_xlfn.MAXIFS(BD!$A$3:$A$5001,BD!$B$3:$B$5001,V$268,BD!$A$3:$A$5001,"&gt;="&amp;$C$7,BD!$A$3:$A$5001,"&lt;="&amp;$B297,BD!$T$3:$T$5001,"&lt;&gt;"))))</f>
        <v/>
      </c>
    </row>
    <row r="298">
      <c r="A298" s="48">
        <v>30</v>
      </c>
      <c r="B298" s="53">
        <f>$B$41</f>
        <v>46325</v>
      </c>
      <c r="C298" s="54" t="str">
        <f>IF(OR($B298="",$A298&gt;$B$9,C$268=""),"",IF(COUNTIFS(BD!$B$3:$B$5001,C$268,BD!$A$3:$A$5001,"&gt;="&amp;$C$7,BD!$A$3:$A$5001,"&lt;="&amp;$B298,BD!$T$3:$T$5001,"&lt;&gt;")=0,"",SUMIFS(BD!$T$3:$T$5001,BD!$B$3:$B$5001,C$268,BD!$A$3:$A$5001,_xlfn.MAXIFS(BD!$A$3:$A$5001,BD!$B$3:$B$5001,C$268,BD!$A$3:$A$5001,"&gt;="&amp;$C$7,BD!$A$3:$A$5001,"&lt;="&amp;$B298,BD!$T$3:$T$5001,"&lt;&gt;"))))</f>
        <v/>
      </c>
      <c r="D298" s="54" t="str">
        <f>IF(OR($B298="",$A298&gt;$B$9,D$268=""),"",IF(COUNTIFS(BD!$B$3:$B$5001,D$268,BD!$A$3:$A$5001,"&gt;="&amp;$C$7,BD!$A$3:$A$5001,"&lt;="&amp;$B298,BD!$T$3:$T$5001,"&lt;&gt;")=0,"",SUMIFS(BD!$T$3:$T$5001,BD!$B$3:$B$5001,D$268,BD!$A$3:$A$5001,_xlfn.MAXIFS(BD!$A$3:$A$5001,BD!$B$3:$B$5001,D$268,BD!$A$3:$A$5001,"&gt;="&amp;$C$7,BD!$A$3:$A$5001,"&lt;="&amp;$B298,BD!$T$3:$T$5001,"&lt;&gt;"))))</f>
        <v/>
      </c>
      <c r="E298" s="54" t="str">
        <f>IF(OR($B298="",$A298&gt;$B$9,E$268=""),"",IF(COUNTIFS(BD!$B$3:$B$5001,E$268,BD!$A$3:$A$5001,"&gt;="&amp;$C$7,BD!$A$3:$A$5001,"&lt;="&amp;$B298,BD!$T$3:$T$5001,"&lt;&gt;")=0,"",SUMIFS(BD!$T$3:$T$5001,BD!$B$3:$B$5001,E$268,BD!$A$3:$A$5001,_xlfn.MAXIFS(BD!$A$3:$A$5001,BD!$B$3:$B$5001,E$268,BD!$A$3:$A$5001,"&gt;="&amp;$C$7,BD!$A$3:$A$5001,"&lt;="&amp;$B298,BD!$T$3:$T$5001,"&lt;&gt;"))))</f>
        <v/>
      </c>
      <c r="F298" s="54" t="str">
        <f>IF(OR($B298="",$A298&gt;$B$9,F$268=""),"",IF(COUNTIFS(BD!$B$3:$B$5001,F$268,BD!$A$3:$A$5001,"&gt;="&amp;$C$7,BD!$A$3:$A$5001,"&lt;="&amp;$B298,BD!$T$3:$T$5001,"&lt;&gt;")=0,"",SUMIFS(BD!$T$3:$T$5001,BD!$B$3:$B$5001,F$268,BD!$A$3:$A$5001,_xlfn.MAXIFS(BD!$A$3:$A$5001,BD!$B$3:$B$5001,F$268,BD!$A$3:$A$5001,"&gt;="&amp;$C$7,BD!$A$3:$A$5001,"&lt;="&amp;$B298,BD!$T$3:$T$5001,"&lt;&gt;"))))</f>
        <v/>
      </c>
      <c r="G298" s="54" t="str">
        <f>IF(OR($B298="",$A298&gt;$B$9,G$268=""),"",IF(COUNTIFS(BD!$B$3:$B$5001,G$268,BD!$A$3:$A$5001,"&gt;="&amp;$C$7,BD!$A$3:$A$5001,"&lt;="&amp;$B298,BD!$T$3:$T$5001,"&lt;&gt;")=0,"",SUMIFS(BD!$T$3:$T$5001,BD!$B$3:$B$5001,G$268,BD!$A$3:$A$5001,_xlfn.MAXIFS(BD!$A$3:$A$5001,BD!$B$3:$B$5001,G$268,BD!$A$3:$A$5001,"&gt;="&amp;$C$7,BD!$A$3:$A$5001,"&lt;="&amp;$B298,BD!$T$3:$T$5001,"&lt;&gt;"))))</f>
        <v/>
      </c>
      <c r="H298" s="54" t="str">
        <f>IF(OR($B298="",$A298&gt;$B$9,H$268=""),"",IF(COUNTIFS(BD!$B$3:$B$5001,H$268,BD!$A$3:$A$5001,"&gt;="&amp;$C$7,BD!$A$3:$A$5001,"&lt;="&amp;$B298,BD!$T$3:$T$5001,"&lt;&gt;")=0,"",SUMIFS(BD!$T$3:$T$5001,BD!$B$3:$B$5001,H$268,BD!$A$3:$A$5001,_xlfn.MAXIFS(BD!$A$3:$A$5001,BD!$B$3:$B$5001,H$268,BD!$A$3:$A$5001,"&gt;="&amp;$C$7,BD!$A$3:$A$5001,"&lt;="&amp;$B298,BD!$T$3:$T$5001,"&lt;&gt;"))))</f>
        <v/>
      </c>
      <c r="I298" s="54" t="str">
        <f>IF(OR($B298="",$A298&gt;$B$9,I$268=""),"",IF(COUNTIFS(BD!$B$3:$B$5001,I$268,BD!$A$3:$A$5001,"&gt;="&amp;$C$7,BD!$A$3:$A$5001,"&lt;="&amp;$B298,BD!$T$3:$T$5001,"&lt;&gt;")=0,"",SUMIFS(BD!$T$3:$T$5001,BD!$B$3:$B$5001,I$268,BD!$A$3:$A$5001,_xlfn.MAXIFS(BD!$A$3:$A$5001,BD!$B$3:$B$5001,I$268,BD!$A$3:$A$5001,"&gt;="&amp;$C$7,BD!$A$3:$A$5001,"&lt;="&amp;$B298,BD!$T$3:$T$5001,"&lt;&gt;"))))</f>
        <v/>
      </c>
      <c r="J298" s="54" t="str">
        <f>IF(OR($B298="",$A298&gt;$B$9,J$268=""),"",IF(COUNTIFS(BD!$B$3:$B$5001,J$268,BD!$A$3:$A$5001,"&gt;="&amp;$C$7,BD!$A$3:$A$5001,"&lt;="&amp;$B298,BD!$T$3:$T$5001,"&lt;&gt;")=0,"",SUMIFS(BD!$T$3:$T$5001,BD!$B$3:$B$5001,J$268,BD!$A$3:$A$5001,_xlfn.MAXIFS(BD!$A$3:$A$5001,BD!$B$3:$B$5001,J$268,BD!$A$3:$A$5001,"&gt;="&amp;$C$7,BD!$A$3:$A$5001,"&lt;="&amp;$B298,BD!$T$3:$T$5001,"&lt;&gt;"))))</f>
        <v/>
      </c>
      <c r="K298" s="54" t="str">
        <f>IF(OR($B298="",$A298&gt;$B$9,K$268=""),"",IF(COUNTIFS(BD!$B$3:$B$5001,K$268,BD!$A$3:$A$5001,"&gt;="&amp;$C$7,BD!$A$3:$A$5001,"&lt;="&amp;$B298,BD!$T$3:$T$5001,"&lt;&gt;")=0,"",SUMIFS(BD!$T$3:$T$5001,BD!$B$3:$B$5001,K$268,BD!$A$3:$A$5001,_xlfn.MAXIFS(BD!$A$3:$A$5001,BD!$B$3:$B$5001,K$268,BD!$A$3:$A$5001,"&gt;="&amp;$C$7,BD!$A$3:$A$5001,"&lt;="&amp;$B298,BD!$T$3:$T$5001,"&lt;&gt;"))))</f>
        <v/>
      </c>
      <c r="L298" s="54" t="str">
        <f>IF(OR($B298="",$A298&gt;$B$9,L$268=""),"",IF(COUNTIFS(BD!$B$3:$B$5001,L$268,BD!$A$3:$A$5001,"&gt;="&amp;$C$7,BD!$A$3:$A$5001,"&lt;="&amp;$B298,BD!$T$3:$T$5001,"&lt;&gt;")=0,"",SUMIFS(BD!$T$3:$T$5001,BD!$B$3:$B$5001,L$268,BD!$A$3:$A$5001,_xlfn.MAXIFS(BD!$A$3:$A$5001,BD!$B$3:$B$5001,L$268,BD!$A$3:$A$5001,"&gt;="&amp;$C$7,BD!$A$3:$A$5001,"&lt;="&amp;$B298,BD!$T$3:$T$5001,"&lt;&gt;"))))</f>
        <v/>
      </c>
      <c r="M298" s="54" t="str">
        <f>IF(OR($B298="",$A298&gt;$B$9,M$268=""),"",IF(COUNTIFS(BD!$B$3:$B$5001,M$268,BD!$A$3:$A$5001,"&gt;="&amp;$C$7,BD!$A$3:$A$5001,"&lt;="&amp;$B298,BD!$T$3:$T$5001,"&lt;&gt;")=0,"",SUMIFS(BD!$T$3:$T$5001,BD!$B$3:$B$5001,M$268,BD!$A$3:$A$5001,_xlfn.MAXIFS(BD!$A$3:$A$5001,BD!$B$3:$B$5001,M$268,BD!$A$3:$A$5001,"&gt;="&amp;$C$7,BD!$A$3:$A$5001,"&lt;="&amp;$B298,BD!$T$3:$T$5001,"&lt;&gt;"))))</f>
        <v/>
      </c>
      <c r="N298" s="54" t="str">
        <f>IF(OR($B298="",$A298&gt;$B$9,N$268=""),"",IF(COUNTIFS(BD!$B$3:$B$5001,N$268,BD!$A$3:$A$5001,"&gt;="&amp;$C$7,BD!$A$3:$A$5001,"&lt;="&amp;$B298,BD!$T$3:$T$5001,"&lt;&gt;")=0,"",SUMIFS(BD!$T$3:$T$5001,BD!$B$3:$B$5001,N$268,BD!$A$3:$A$5001,_xlfn.MAXIFS(BD!$A$3:$A$5001,BD!$B$3:$B$5001,N$268,BD!$A$3:$A$5001,"&gt;="&amp;$C$7,BD!$A$3:$A$5001,"&lt;="&amp;$B298,BD!$T$3:$T$5001,"&lt;&gt;"))))</f>
        <v/>
      </c>
      <c r="O298" s="54" t="str">
        <f>IF(OR($B298="",$A298&gt;$B$9,O$268=""),"",IF(COUNTIFS(BD!$B$3:$B$5001,O$268,BD!$A$3:$A$5001,"&gt;="&amp;$C$7,BD!$A$3:$A$5001,"&lt;="&amp;$B298,BD!$T$3:$T$5001,"&lt;&gt;")=0,"",SUMIFS(BD!$T$3:$T$5001,BD!$B$3:$B$5001,O$268,BD!$A$3:$A$5001,_xlfn.MAXIFS(BD!$A$3:$A$5001,BD!$B$3:$B$5001,O$268,BD!$A$3:$A$5001,"&gt;="&amp;$C$7,BD!$A$3:$A$5001,"&lt;="&amp;$B298,BD!$T$3:$T$5001,"&lt;&gt;"))))</f>
        <v/>
      </c>
      <c r="P298" s="54" t="str">
        <f>IF(OR($B298="",$A298&gt;$B$9,P$268=""),"",IF(COUNTIFS(BD!$B$3:$B$5001,P$268,BD!$A$3:$A$5001,"&gt;="&amp;$C$7,BD!$A$3:$A$5001,"&lt;="&amp;$B298,BD!$T$3:$T$5001,"&lt;&gt;")=0,"",SUMIFS(BD!$T$3:$T$5001,BD!$B$3:$B$5001,P$268,BD!$A$3:$A$5001,_xlfn.MAXIFS(BD!$A$3:$A$5001,BD!$B$3:$B$5001,P$268,BD!$A$3:$A$5001,"&gt;="&amp;$C$7,BD!$A$3:$A$5001,"&lt;="&amp;$B298,BD!$T$3:$T$5001,"&lt;&gt;"))))</f>
        <v/>
      </c>
      <c r="Q298" s="54" t="str">
        <f>IF(OR($B298="",$A298&gt;$B$9,Q$268=""),"",IF(COUNTIFS(BD!$B$3:$B$5001,Q$268,BD!$A$3:$A$5001,"&gt;="&amp;$C$7,BD!$A$3:$A$5001,"&lt;="&amp;$B298,BD!$T$3:$T$5001,"&lt;&gt;")=0,"",SUMIFS(BD!$T$3:$T$5001,BD!$B$3:$B$5001,Q$268,BD!$A$3:$A$5001,_xlfn.MAXIFS(BD!$A$3:$A$5001,BD!$B$3:$B$5001,Q$268,BD!$A$3:$A$5001,"&gt;="&amp;$C$7,BD!$A$3:$A$5001,"&lt;="&amp;$B298,BD!$T$3:$T$5001,"&lt;&gt;"))))</f>
        <v/>
      </c>
      <c r="R298" s="54" t="str">
        <f>IF(OR($B298="",$A298&gt;$B$9,R$268=""),"",IF(COUNTIFS(BD!$B$3:$B$5001,R$268,BD!$A$3:$A$5001,"&gt;="&amp;$C$7,BD!$A$3:$A$5001,"&lt;="&amp;$B298,BD!$T$3:$T$5001,"&lt;&gt;")=0,"",SUMIFS(BD!$T$3:$T$5001,BD!$B$3:$B$5001,R$268,BD!$A$3:$A$5001,_xlfn.MAXIFS(BD!$A$3:$A$5001,BD!$B$3:$B$5001,R$268,BD!$A$3:$A$5001,"&gt;="&amp;$C$7,BD!$A$3:$A$5001,"&lt;="&amp;$B298,BD!$T$3:$T$5001,"&lt;&gt;"))))</f>
        <v/>
      </c>
      <c r="S298" s="54" t="str">
        <f>IF(OR($B298="",$A298&gt;$B$9,S$268=""),"",IF(COUNTIFS(BD!$B$3:$B$5001,S$268,BD!$A$3:$A$5001,"&gt;="&amp;$C$7,BD!$A$3:$A$5001,"&lt;="&amp;$B298,BD!$T$3:$T$5001,"&lt;&gt;")=0,"",SUMIFS(BD!$T$3:$T$5001,BD!$B$3:$B$5001,S$268,BD!$A$3:$A$5001,_xlfn.MAXIFS(BD!$A$3:$A$5001,BD!$B$3:$B$5001,S$268,BD!$A$3:$A$5001,"&gt;="&amp;$C$7,BD!$A$3:$A$5001,"&lt;="&amp;$B298,BD!$T$3:$T$5001,"&lt;&gt;"))))</f>
        <v/>
      </c>
      <c r="T298" s="54" t="str">
        <f>IF(OR($B298="",$A298&gt;$B$9,T$268=""),"",IF(COUNTIFS(BD!$B$3:$B$5001,T$268,BD!$A$3:$A$5001,"&gt;="&amp;$C$7,BD!$A$3:$A$5001,"&lt;="&amp;$B298,BD!$T$3:$T$5001,"&lt;&gt;")=0,"",SUMIFS(BD!$T$3:$T$5001,BD!$B$3:$B$5001,T$268,BD!$A$3:$A$5001,_xlfn.MAXIFS(BD!$A$3:$A$5001,BD!$B$3:$B$5001,T$268,BD!$A$3:$A$5001,"&gt;="&amp;$C$7,BD!$A$3:$A$5001,"&lt;="&amp;$B298,BD!$T$3:$T$5001,"&lt;&gt;"))))</f>
        <v/>
      </c>
      <c r="U298" s="54" t="str">
        <f>IF(OR($B298="",$A298&gt;$B$9,U$268=""),"",IF(COUNTIFS(BD!$B$3:$B$5001,U$268,BD!$A$3:$A$5001,"&gt;="&amp;$C$7,BD!$A$3:$A$5001,"&lt;="&amp;$B298,BD!$T$3:$T$5001,"&lt;&gt;")=0,"",SUMIFS(BD!$T$3:$T$5001,BD!$B$3:$B$5001,U$268,BD!$A$3:$A$5001,_xlfn.MAXIFS(BD!$A$3:$A$5001,BD!$B$3:$B$5001,U$268,BD!$A$3:$A$5001,"&gt;="&amp;$C$7,BD!$A$3:$A$5001,"&lt;="&amp;$B298,BD!$T$3:$T$5001,"&lt;&gt;"))))</f>
        <v/>
      </c>
      <c r="V298" s="54" t="str">
        <f>IF(OR($B298="",$A298&gt;$B$9,V$268=""),"",IF(COUNTIFS(BD!$B$3:$B$5001,V$268,BD!$A$3:$A$5001,"&gt;="&amp;$C$7,BD!$A$3:$A$5001,"&lt;="&amp;$B298,BD!$T$3:$T$5001,"&lt;&gt;")=0,"",SUMIFS(BD!$T$3:$T$5001,BD!$B$3:$B$5001,V$268,BD!$A$3:$A$5001,_xlfn.MAXIFS(BD!$A$3:$A$5001,BD!$B$3:$B$5001,V$268,BD!$A$3:$A$5001,"&gt;="&amp;$C$7,BD!$A$3:$A$5001,"&lt;="&amp;$B298,BD!$T$3:$T$5001,"&lt;&gt;"))))</f>
        <v/>
      </c>
    </row>
    <row r="299">
      <c r="A299" s="48">
        <v>31</v>
      </c>
      <c r="B299" s="53">
        <f>$B$42</f>
        <v>46326</v>
      </c>
      <c r="C299" s="54" t="str">
        <f>IF(OR($B299="",$A299&gt;$B$9,C$268=""),"",IF(COUNTIFS(BD!$B$3:$B$5001,C$268,BD!$A$3:$A$5001,"&gt;="&amp;$C$7,BD!$A$3:$A$5001,"&lt;="&amp;$B299,BD!$T$3:$T$5001,"&lt;&gt;")=0,"",SUMIFS(BD!$T$3:$T$5001,BD!$B$3:$B$5001,C$268,BD!$A$3:$A$5001,_xlfn.MAXIFS(BD!$A$3:$A$5001,BD!$B$3:$B$5001,C$268,BD!$A$3:$A$5001,"&gt;="&amp;$C$7,BD!$A$3:$A$5001,"&lt;="&amp;$B299,BD!$T$3:$T$5001,"&lt;&gt;"))))</f>
        <v/>
      </c>
      <c r="D299" s="54" t="str">
        <f>IF(OR($B299="",$A299&gt;$B$9,D$268=""),"",IF(COUNTIFS(BD!$B$3:$B$5001,D$268,BD!$A$3:$A$5001,"&gt;="&amp;$C$7,BD!$A$3:$A$5001,"&lt;="&amp;$B299,BD!$T$3:$T$5001,"&lt;&gt;")=0,"",SUMIFS(BD!$T$3:$T$5001,BD!$B$3:$B$5001,D$268,BD!$A$3:$A$5001,_xlfn.MAXIFS(BD!$A$3:$A$5001,BD!$B$3:$B$5001,D$268,BD!$A$3:$A$5001,"&gt;="&amp;$C$7,BD!$A$3:$A$5001,"&lt;="&amp;$B299,BD!$T$3:$T$5001,"&lt;&gt;"))))</f>
        <v/>
      </c>
      <c r="E299" s="54" t="str">
        <f>IF(OR($B299="",$A299&gt;$B$9,E$268=""),"",IF(COUNTIFS(BD!$B$3:$B$5001,E$268,BD!$A$3:$A$5001,"&gt;="&amp;$C$7,BD!$A$3:$A$5001,"&lt;="&amp;$B299,BD!$T$3:$T$5001,"&lt;&gt;")=0,"",SUMIFS(BD!$T$3:$T$5001,BD!$B$3:$B$5001,E$268,BD!$A$3:$A$5001,_xlfn.MAXIFS(BD!$A$3:$A$5001,BD!$B$3:$B$5001,E$268,BD!$A$3:$A$5001,"&gt;="&amp;$C$7,BD!$A$3:$A$5001,"&lt;="&amp;$B299,BD!$T$3:$T$5001,"&lt;&gt;"))))</f>
        <v/>
      </c>
      <c r="F299" s="54" t="str">
        <f>IF(OR($B299="",$A299&gt;$B$9,F$268=""),"",IF(COUNTIFS(BD!$B$3:$B$5001,F$268,BD!$A$3:$A$5001,"&gt;="&amp;$C$7,BD!$A$3:$A$5001,"&lt;="&amp;$B299,BD!$T$3:$T$5001,"&lt;&gt;")=0,"",SUMIFS(BD!$T$3:$T$5001,BD!$B$3:$B$5001,F$268,BD!$A$3:$A$5001,_xlfn.MAXIFS(BD!$A$3:$A$5001,BD!$B$3:$B$5001,F$268,BD!$A$3:$A$5001,"&gt;="&amp;$C$7,BD!$A$3:$A$5001,"&lt;="&amp;$B299,BD!$T$3:$T$5001,"&lt;&gt;"))))</f>
        <v/>
      </c>
      <c r="G299" s="54" t="str">
        <f>IF(OR($B299="",$A299&gt;$B$9,G$268=""),"",IF(COUNTIFS(BD!$B$3:$B$5001,G$268,BD!$A$3:$A$5001,"&gt;="&amp;$C$7,BD!$A$3:$A$5001,"&lt;="&amp;$B299,BD!$T$3:$T$5001,"&lt;&gt;")=0,"",SUMIFS(BD!$T$3:$T$5001,BD!$B$3:$B$5001,G$268,BD!$A$3:$A$5001,_xlfn.MAXIFS(BD!$A$3:$A$5001,BD!$B$3:$B$5001,G$268,BD!$A$3:$A$5001,"&gt;="&amp;$C$7,BD!$A$3:$A$5001,"&lt;="&amp;$B299,BD!$T$3:$T$5001,"&lt;&gt;"))))</f>
        <v/>
      </c>
      <c r="H299" s="54" t="str">
        <f>IF(OR($B299="",$A299&gt;$B$9,H$268=""),"",IF(COUNTIFS(BD!$B$3:$B$5001,H$268,BD!$A$3:$A$5001,"&gt;="&amp;$C$7,BD!$A$3:$A$5001,"&lt;="&amp;$B299,BD!$T$3:$T$5001,"&lt;&gt;")=0,"",SUMIFS(BD!$T$3:$T$5001,BD!$B$3:$B$5001,H$268,BD!$A$3:$A$5001,_xlfn.MAXIFS(BD!$A$3:$A$5001,BD!$B$3:$B$5001,H$268,BD!$A$3:$A$5001,"&gt;="&amp;$C$7,BD!$A$3:$A$5001,"&lt;="&amp;$B299,BD!$T$3:$T$5001,"&lt;&gt;"))))</f>
        <v/>
      </c>
      <c r="I299" s="54" t="str">
        <f>IF(OR($B299="",$A299&gt;$B$9,I$268=""),"",IF(COUNTIFS(BD!$B$3:$B$5001,I$268,BD!$A$3:$A$5001,"&gt;="&amp;$C$7,BD!$A$3:$A$5001,"&lt;="&amp;$B299,BD!$T$3:$T$5001,"&lt;&gt;")=0,"",SUMIFS(BD!$T$3:$T$5001,BD!$B$3:$B$5001,I$268,BD!$A$3:$A$5001,_xlfn.MAXIFS(BD!$A$3:$A$5001,BD!$B$3:$B$5001,I$268,BD!$A$3:$A$5001,"&gt;="&amp;$C$7,BD!$A$3:$A$5001,"&lt;="&amp;$B299,BD!$T$3:$T$5001,"&lt;&gt;"))))</f>
        <v/>
      </c>
      <c r="J299" s="54" t="str">
        <f>IF(OR($B299="",$A299&gt;$B$9,J$268=""),"",IF(COUNTIFS(BD!$B$3:$B$5001,J$268,BD!$A$3:$A$5001,"&gt;="&amp;$C$7,BD!$A$3:$A$5001,"&lt;="&amp;$B299,BD!$T$3:$T$5001,"&lt;&gt;")=0,"",SUMIFS(BD!$T$3:$T$5001,BD!$B$3:$B$5001,J$268,BD!$A$3:$A$5001,_xlfn.MAXIFS(BD!$A$3:$A$5001,BD!$B$3:$B$5001,J$268,BD!$A$3:$A$5001,"&gt;="&amp;$C$7,BD!$A$3:$A$5001,"&lt;="&amp;$B299,BD!$T$3:$T$5001,"&lt;&gt;"))))</f>
        <v/>
      </c>
      <c r="K299" s="54" t="str">
        <f>IF(OR($B299="",$A299&gt;$B$9,K$268=""),"",IF(COUNTIFS(BD!$B$3:$B$5001,K$268,BD!$A$3:$A$5001,"&gt;="&amp;$C$7,BD!$A$3:$A$5001,"&lt;="&amp;$B299,BD!$T$3:$T$5001,"&lt;&gt;")=0,"",SUMIFS(BD!$T$3:$T$5001,BD!$B$3:$B$5001,K$268,BD!$A$3:$A$5001,_xlfn.MAXIFS(BD!$A$3:$A$5001,BD!$B$3:$B$5001,K$268,BD!$A$3:$A$5001,"&gt;="&amp;$C$7,BD!$A$3:$A$5001,"&lt;="&amp;$B299,BD!$T$3:$T$5001,"&lt;&gt;"))))</f>
        <v/>
      </c>
      <c r="L299" s="54" t="str">
        <f>IF(OR($B299="",$A299&gt;$B$9,L$268=""),"",IF(COUNTIFS(BD!$B$3:$B$5001,L$268,BD!$A$3:$A$5001,"&gt;="&amp;$C$7,BD!$A$3:$A$5001,"&lt;="&amp;$B299,BD!$T$3:$T$5001,"&lt;&gt;")=0,"",SUMIFS(BD!$T$3:$T$5001,BD!$B$3:$B$5001,L$268,BD!$A$3:$A$5001,_xlfn.MAXIFS(BD!$A$3:$A$5001,BD!$B$3:$B$5001,L$268,BD!$A$3:$A$5001,"&gt;="&amp;$C$7,BD!$A$3:$A$5001,"&lt;="&amp;$B299,BD!$T$3:$T$5001,"&lt;&gt;"))))</f>
        <v/>
      </c>
      <c r="M299" s="54" t="str">
        <f>IF(OR($B299="",$A299&gt;$B$9,M$268=""),"",IF(COUNTIFS(BD!$B$3:$B$5001,M$268,BD!$A$3:$A$5001,"&gt;="&amp;$C$7,BD!$A$3:$A$5001,"&lt;="&amp;$B299,BD!$T$3:$T$5001,"&lt;&gt;")=0,"",SUMIFS(BD!$T$3:$T$5001,BD!$B$3:$B$5001,M$268,BD!$A$3:$A$5001,_xlfn.MAXIFS(BD!$A$3:$A$5001,BD!$B$3:$B$5001,M$268,BD!$A$3:$A$5001,"&gt;="&amp;$C$7,BD!$A$3:$A$5001,"&lt;="&amp;$B299,BD!$T$3:$T$5001,"&lt;&gt;"))))</f>
        <v/>
      </c>
      <c r="N299" s="54" t="str">
        <f>IF(OR($B299="",$A299&gt;$B$9,N$268=""),"",IF(COUNTIFS(BD!$B$3:$B$5001,N$268,BD!$A$3:$A$5001,"&gt;="&amp;$C$7,BD!$A$3:$A$5001,"&lt;="&amp;$B299,BD!$T$3:$T$5001,"&lt;&gt;")=0,"",SUMIFS(BD!$T$3:$T$5001,BD!$B$3:$B$5001,N$268,BD!$A$3:$A$5001,_xlfn.MAXIFS(BD!$A$3:$A$5001,BD!$B$3:$B$5001,N$268,BD!$A$3:$A$5001,"&gt;="&amp;$C$7,BD!$A$3:$A$5001,"&lt;="&amp;$B299,BD!$T$3:$T$5001,"&lt;&gt;"))))</f>
        <v/>
      </c>
      <c r="O299" s="54" t="str">
        <f>IF(OR($B299="",$A299&gt;$B$9,O$268=""),"",IF(COUNTIFS(BD!$B$3:$B$5001,O$268,BD!$A$3:$A$5001,"&gt;="&amp;$C$7,BD!$A$3:$A$5001,"&lt;="&amp;$B299,BD!$T$3:$T$5001,"&lt;&gt;")=0,"",SUMIFS(BD!$T$3:$T$5001,BD!$B$3:$B$5001,O$268,BD!$A$3:$A$5001,_xlfn.MAXIFS(BD!$A$3:$A$5001,BD!$B$3:$B$5001,O$268,BD!$A$3:$A$5001,"&gt;="&amp;$C$7,BD!$A$3:$A$5001,"&lt;="&amp;$B299,BD!$T$3:$T$5001,"&lt;&gt;"))))</f>
        <v/>
      </c>
      <c r="P299" s="54" t="str">
        <f>IF(OR($B299="",$A299&gt;$B$9,P$268=""),"",IF(COUNTIFS(BD!$B$3:$B$5001,P$268,BD!$A$3:$A$5001,"&gt;="&amp;$C$7,BD!$A$3:$A$5001,"&lt;="&amp;$B299,BD!$T$3:$T$5001,"&lt;&gt;")=0,"",SUMIFS(BD!$T$3:$T$5001,BD!$B$3:$B$5001,P$268,BD!$A$3:$A$5001,_xlfn.MAXIFS(BD!$A$3:$A$5001,BD!$B$3:$B$5001,P$268,BD!$A$3:$A$5001,"&gt;="&amp;$C$7,BD!$A$3:$A$5001,"&lt;="&amp;$B299,BD!$T$3:$T$5001,"&lt;&gt;"))))</f>
        <v/>
      </c>
      <c r="Q299" s="54" t="str">
        <f>IF(OR($B299="",$A299&gt;$B$9,Q$268=""),"",IF(COUNTIFS(BD!$B$3:$B$5001,Q$268,BD!$A$3:$A$5001,"&gt;="&amp;$C$7,BD!$A$3:$A$5001,"&lt;="&amp;$B299,BD!$T$3:$T$5001,"&lt;&gt;")=0,"",SUMIFS(BD!$T$3:$T$5001,BD!$B$3:$B$5001,Q$268,BD!$A$3:$A$5001,_xlfn.MAXIFS(BD!$A$3:$A$5001,BD!$B$3:$B$5001,Q$268,BD!$A$3:$A$5001,"&gt;="&amp;$C$7,BD!$A$3:$A$5001,"&lt;="&amp;$B299,BD!$T$3:$T$5001,"&lt;&gt;"))))</f>
        <v/>
      </c>
      <c r="R299" s="54" t="str">
        <f>IF(OR($B299="",$A299&gt;$B$9,R$268=""),"",IF(COUNTIFS(BD!$B$3:$B$5001,R$268,BD!$A$3:$A$5001,"&gt;="&amp;$C$7,BD!$A$3:$A$5001,"&lt;="&amp;$B299,BD!$T$3:$T$5001,"&lt;&gt;")=0,"",SUMIFS(BD!$T$3:$T$5001,BD!$B$3:$B$5001,R$268,BD!$A$3:$A$5001,_xlfn.MAXIFS(BD!$A$3:$A$5001,BD!$B$3:$B$5001,R$268,BD!$A$3:$A$5001,"&gt;="&amp;$C$7,BD!$A$3:$A$5001,"&lt;="&amp;$B299,BD!$T$3:$T$5001,"&lt;&gt;"))))</f>
        <v/>
      </c>
      <c r="S299" s="54" t="str">
        <f>IF(OR($B299="",$A299&gt;$B$9,S$268=""),"",IF(COUNTIFS(BD!$B$3:$B$5001,S$268,BD!$A$3:$A$5001,"&gt;="&amp;$C$7,BD!$A$3:$A$5001,"&lt;="&amp;$B299,BD!$T$3:$T$5001,"&lt;&gt;")=0,"",SUMIFS(BD!$T$3:$T$5001,BD!$B$3:$B$5001,S$268,BD!$A$3:$A$5001,_xlfn.MAXIFS(BD!$A$3:$A$5001,BD!$B$3:$B$5001,S$268,BD!$A$3:$A$5001,"&gt;="&amp;$C$7,BD!$A$3:$A$5001,"&lt;="&amp;$B299,BD!$T$3:$T$5001,"&lt;&gt;"))))</f>
        <v/>
      </c>
      <c r="T299" s="54" t="str">
        <f>IF(OR($B299="",$A299&gt;$B$9,T$268=""),"",IF(COUNTIFS(BD!$B$3:$B$5001,T$268,BD!$A$3:$A$5001,"&gt;="&amp;$C$7,BD!$A$3:$A$5001,"&lt;="&amp;$B299,BD!$T$3:$T$5001,"&lt;&gt;")=0,"",SUMIFS(BD!$T$3:$T$5001,BD!$B$3:$B$5001,T$268,BD!$A$3:$A$5001,_xlfn.MAXIFS(BD!$A$3:$A$5001,BD!$B$3:$B$5001,T$268,BD!$A$3:$A$5001,"&gt;="&amp;$C$7,BD!$A$3:$A$5001,"&lt;="&amp;$B299,BD!$T$3:$T$5001,"&lt;&gt;"))))</f>
        <v/>
      </c>
      <c r="U299" s="54" t="str">
        <f>IF(OR($B299="",$A299&gt;$B$9,U$268=""),"",IF(COUNTIFS(BD!$B$3:$B$5001,U$268,BD!$A$3:$A$5001,"&gt;="&amp;$C$7,BD!$A$3:$A$5001,"&lt;="&amp;$B299,BD!$T$3:$T$5001,"&lt;&gt;")=0,"",SUMIFS(BD!$T$3:$T$5001,BD!$B$3:$B$5001,U$268,BD!$A$3:$A$5001,_xlfn.MAXIFS(BD!$A$3:$A$5001,BD!$B$3:$B$5001,U$268,BD!$A$3:$A$5001,"&gt;="&amp;$C$7,BD!$A$3:$A$5001,"&lt;="&amp;$B299,BD!$T$3:$T$5001,"&lt;&gt;"))))</f>
        <v/>
      </c>
      <c r="V299" s="54" t="str">
        <f>IF(OR($B299="",$A299&gt;$B$9,V$268=""),"",IF(COUNTIFS(BD!$B$3:$B$5001,V$268,BD!$A$3:$A$5001,"&gt;="&amp;$C$7,BD!$A$3:$A$5001,"&lt;="&amp;$B299,BD!$T$3:$T$5001,"&lt;&gt;")=0,"",SUMIFS(BD!$T$3:$T$5001,BD!$B$3:$B$5001,V$268,BD!$A$3:$A$5001,_xlfn.MAXIFS(BD!$A$3:$A$5001,BD!$B$3:$B$5001,V$268,BD!$A$3:$A$5001,"&gt;="&amp;$C$7,BD!$A$3:$A$5001,"&lt;="&amp;$B299,BD!$T$3:$T$5001,"&lt;&gt;"))))</f>
        <v/>
      </c>
    </row>
    <row r="300">
      <c r="A300" s="55" t="inlineStr">
        <is>
          <t xml:space="preserve">Mês anterior (último)</t>
        </is>
      </c>
      <c r="C300" s="56" t="str">
        <f>IF(C$268="","",IF(COUNTIFS(BD!$B$3:$B$5001,C$268,BD!$A$3:$A$5001,"&gt;="&amp;$C$8,BD!$A$3:$A$5001,"&lt;="&amp;$D$8,BD!$T$3:$T$5001,"&lt;&gt;")=0,"",SUMIFS(BD!$T$3:$T$5001,BD!$B$3:$B$5001,C$268,BD!$A$3:$A$5001,_xlfn.MAXIFS(BD!$A$3:$A$5001,BD!$B$3:$B$5001,C$268,BD!$A$3:$A$5001,"&gt;="&amp;$C$8,BD!$A$3:$A$5001,"&lt;="&amp;$D$8,BD!$T$3:$T$5001,"&lt;&gt;"))))</f>
        <v/>
      </c>
      <c r="D300" s="56" t="str">
        <f>IF(D$268="","",IF(COUNTIFS(BD!$B$3:$B$5001,D$268,BD!$A$3:$A$5001,"&gt;="&amp;$C$8,BD!$A$3:$A$5001,"&lt;="&amp;$D$8,BD!$T$3:$T$5001,"&lt;&gt;")=0,"",SUMIFS(BD!$T$3:$T$5001,BD!$B$3:$B$5001,D$268,BD!$A$3:$A$5001,_xlfn.MAXIFS(BD!$A$3:$A$5001,BD!$B$3:$B$5001,D$268,BD!$A$3:$A$5001,"&gt;="&amp;$C$8,BD!$A$3:$A$5001,"&lt;="&amp;$D$8,BD!$T$3:$T$5001,"&lt;&gt;"))))</f>
        <v/>
      </c>
      <c r="E300" s="56" t="str">
        <f>IF(E$268="","",IF(COUNTIFS(BD!$B$3:$B$5001,E$268,BD!$A$3:$A$5001,"&gt;="&amp;$C$8,BD!$A$3:$A$5001,"&lt;="&amp;$D$8,BD!$T$3:$T$5001,"&lt;&gt;")=0,"",SUMIFS(BD!$T$3:$T$5001,BD!$B$3:$B$5001,E$268,BD!$A$3:$A$5001,_xlfn.MAXIFS(BD!$A$3:$A$5001,BD!$B$3:$B$5001,E$268,BD!$A$3:$A$5001,"&gt;="&amp;$C$8,BD!$A$3:$A$5001,"&lt;="&amp;$D$8,BD!$T$3:$T$5001,"&lt;&gt;"))))</f>
        <v/>
      </c>
      <c r="F300" s="56" t="str">
        <f>IF(F$268="","",IF(COUNTIFS(BD!$B$3:$B$5001,F$268,BD!$A$3:$A$5001,"&gt;="&amp;$C$8,BD!$A$3:$A$5001,"&lt;="&amp;$D$8,BD!$T$3:$T$5001,"&lt;&gt;")=0,"",SUMIFS(BD!$T$3:$T$5001,BD!$B$3:$B$5001,F$268,BD!$A$3:$A$5001,_xlfn.MAXIFS(BD!$A$3:$A$5001,BD!$B$3:$B$5001,F$268,BD!$A$3:$A$5001,"&gt;="&amp;$C$8,BD!$A$3:$A$5001,"&lt;="&amp;$D$8,BD!$T$3:$T$5001,"&lt;&gt;"))))</f>
        <v/>
      </c>
      <c r="G300" s="56" t="str">
        <f>IF(G$268="","",IF(COUNTIFS(BD!$B$3:$B$5001,G$268,BD!$A$3:$A$5001,"&gt;="&amp;$C$8,BD!$A$3:$A$5001,"&lt;="&amp;$D$8,BD!$T$3:$T$5001,"&lt;&gt;")=0,"",SUMIFS(BD!$T$3:$T$5001,BD!$B$3:$B$5001,G$268,BD!$A$3:$A$5001,_xlfn.MAXIFS(BD!$A$3:$A$5001,BD!$B$3:$B$5001,G$268,BD!$A$3:$A$5001,"&gt;="&amp;$C$8,BD!$A$3:$A$5001,"&lt;="&amp;$D$8,BD!$T$3:$T$5001,"&lt;&gt;"))))</f>
        <v/>
      </c>
      <c r="H300" s="56" t="str">
        <f>IF(H$268="","",IF(COUNTIFS(BD!$B$3:$B$5001,H$268,BD!$A$3:$A$5001,"&gt;="&amp;$C$8,BD!$A$3:$A$5001,"&lt;="&amp;$D$8,BD!$T$3:$T$5001,"&lt;&gt;")=0,"",SUMIFS(BD!$T$3:$T$5001,BD!$B$3:$B$5001,H$268,BD!$A$3:$A$5001,_xlfn.MAXIFS(BD!$A$3:$A$5001,BD!$B$3:$B$5001,H$268,BD!$A$3:$A$5001,"&gt;="&amp;$C$8,BD!$A$3:$A$5001,"&lt;="&amp;$D$8,BD!$T$3:$T$5001,"&lt;&gt;"))))</f>
        <v/>
      </c>
      <c r="I300" s="56" t="str">
        <f>IF(I$268="","",IF(COUNTIFS(BD!$B$3:$B$5001,I$268,BD!$A$3:$A$5001,"&gt;="&amp;$C$8,BD!$A$3:$A$5001,"&lt;="&amp;$D$8,BD!$T$3:$T$5001,"&lt;&gt;")=0,"",SUMIFS(BD!$T$3:$T$5001,BD!$B$3:$B$5001,I$268,BD!$A$3:$A$5001,_xlfn.MAXIFS(BD!$A$3:$A$5001,BD!$B$3:$B$5001,I$268,BD!$A$3:$A$5001,"&gt;="&amp;$C$8,BD!$A$3:$A$5001,"&lt;="&amp;$D$8,BD!$T$3:$T$5001,"&lt;&gt;"))))</f>
        <v/>
      </c>
      <c r="J300" s="56" t="str">
        <f>IF(J$268="","",IF(COUNTIFS(BD!$B$3:$B$5001,J$268,BD!$A$3:$A$5001,"&gt;="&amp;$C$8,BD!$A$3:$A$5001,"&lt;="&amp;$D$8,BD!$T$3:$T$5001,"&lt;&gt;")=0,"",SUMIFS(BD!$T$3:$T$5001,BD!$B$3:$B$5001,J$268,BD!$A$3:$A$5001,_xlfn.MAXIFS(BD!$A$3:$A$5001,BD!$B$3:$B$5001,J$268,BD!$A$3:$A$5001,"&gt;="&amp;$C$8,BD!$A$3:$A$5001,"&lt;="&amp;$D$8,BD!$T$3:$T$5001,"&lt;&gt;"))))</f>
        <v/>
      </c>
      <c r="K300" s="56" t="str">
        <f>IF(K$268="","",IF(COUNTIFS(BD!$B$3:$B$5001,K$268,BD!$A$3:$A$5001,"&gt;="&amp;$C$8,BD!$A$3:$A$5001,"&lt;="&amp;$D$8,BD!$T$3:$T$5001,"&lt;&gt;")=0,"",SUMIFS(BD!$T$3:$T$5001,BD!$B$3:$B$5001,K$268,BD!$A$3:$A$5001,_xlfn.MAXIFS(BD!$A$3:$A$5001,BD!$B$3:$B$5001,K$268,BD!$A$3:$A$5001,"&gt;="&amp;$C$8,BD!$A$3:$A$5001,"&lt;="&amp;$D$8,BD!$T$3:$T$5001,"&lt;&gt;"))))</f>
        <v/>
      </c>
      <c r="L300" s="56" t="str">
        <f>IF(L$268="","",IF(COUNTIFS(BD!$B$3:$B$5001,L$268,BD!$A$3:$A$5001,"&gt;="&amp;$C$8,BD!$A$3:$A$5001,"&lt;="&amp;$D$8,BD!$T$3:$T$5001,"&lt;&gt;")=0,"",SUMIFS(BD!$T$3:$T$5001,BD!$B$3:$B$5001,L$268,BD!$A$3:$A$5001,_xlfn.MAXIFS(BD!$A$3:$A$5001,BD!$B$3:$B$5001,L$268,BD!$A$3:$A$5001,"&gt;="&amp;$C$8,BD!$A$3:$A$5001,"&lt;="&amp;$D$8,BD!$T$3:$T$5001,"&lt;&gt;"))))</f>
        <v/>
      </c>
      <c r="M300" s="56" t="str">
        <f>IF(M$268="","",IF(COUNTIFS(BD!$B$3:$B$5001,M$268,BD!$A$3:$A$5001,"&gt;="&amp;$C$8,BD!$A$3:$A$5001,"&lt;="&amp;$D$8,BD!$T$3:$T$5001,"&lt;&gt;")=0,"",SUMIFS(BD!$T$3:$T$5001,BD!$B$3:$B$5001,M$268,BD!$A$3:$A$5001,_xlfn.MAXIFS(BD!$A$3:$A$5001,BD!$B$3:$B$5001,M$268,BD!$A$3:$A$5001,"&gt;="&amp;$C$8,BD!$A$3:$A$5001,"&lt;="&amp;$D$8,BD!$T$3:$T$5001,"&lt;&gt;"))))</f>
        <v/>
      </c>
      <c r="N300" s="56" t="str">
        <f>IF(N$268="","",IF(COUNTIFS(BD!$B$3:$B$5001,N$268,BD!$A$3:$A$5001,"&gt;="&amp;$C$8,BD!$A$3:$A$5001,"&lt;="&amp;$D$8,BD!$T$3:$T$5001,"&lt;&gt;")=0,"",SUMIFS(BD!$T$3:$T$5001,BD!$B$3:$B$5001,N$268,BD!$A$3:$A$5001,_xlfn.MAXIFS(BD!$A$3:$A$5001,BD!$B$3:$B$5001,N$268,BD!$A$3:$A$5001,"&gt;="&amp;$C$8,BD!$A$3:$A$5001,"&lt;="&amp;$D$8,BD!$T$3:$T$5001,"&lt;&gt;"))))</f>
        <v/>
      </c>
      <c r="O300" s="56" t="str">
        <f>IF(O$268="","",IF(COUNTIFS(BD!$B$3:$B$5001,O$268,BD!$A$3:$A$5001,"&gt;="&amp;$C$8,BD!$A$3:$A$5001,"&lt;="&amp;$D$8,BD!$T$3:$T$5001,"&lt;&gt;")=0,"",SUMIFS(BD!$T$3:$T$5001,BD!$B$3:$B$5001,O$268,BD!$A$3:$A$5001,_xlfn.MAXIFS(BD!$A$3:$A$5001,BD!$B$3:$B$5001,O$268,BD!$A$3:$A$5001,"&gt;="&amp;$C$8,BD!$A$3:$A$5001,"&lt;="&amp;$D$8,BD!$T$3:$T$5001,"&lt;&gt;"))))</f>
        <v/>
      </c>
      <c r="P300" s="56" t="str">
        <f>IF(P$268="","",IF(COUNTIFS(BD!$B$3:$B$5001,P$268,BD!$A$3:$A$5001,"&gt;="&amp;$C$8,BD!$A$3:$A$5001,"&lt;="&amp;$D$8,BD!$T$3:$T$5001,"&lt;&gt;")=0,"",SUMIFS(BD!$T$3:$T$5001,BD!$B$3:$B$5001,P$268,BD!$A$3:$A$5001,_xlfn.MAXIFS(BD!$A$3:$A$5001,BD!$B$3:$B$5001,P$268,BD!$A$3:$A$5001,"&gt;="&amp;$C$8,BD!$A$3:$A$5001,"&lt;="&amp;$D$8,BD!$T$3:$T$5001,"&lt;&gt;"))))</f>
        <v/>
      </c>
      <c r="Q300" s="56" t="str">
        <f>IF(Q$268="","",IF(COUNTIFS(BD!$B$3:$B$5001,Q$268,BD!$A$3:$A$5001,"&gt;="&amp;$C$8,BD!$A$3:$A$5001,"&lt;="&amp;$D$8,BD!$T$3:$T$5001,"&lt;&gt;")=0,"",SUMIFS(BD!$T$3:$T$5001,BD!$B$3:$B$5001,Q$268,BD!$A$3:$A$5001,_xlfn.MAXIFS(BD!$A$3:$A$5001,BD!$B$3:$B$5001,Q$268,BD!$A$3:$A$5001,"&gt;="&amp;$C$8,BD!$A$3:$A$5001,"&lt;="&amp;$D$8,BD!$T$3:$T$5001,"&lt;&gt;"))))</f>
        <v/>
      </c>
      <c r="R300" s="56" t="str">
        <f>IF(R$268="","",IF(COUNTIFS(BD!$B$3:$B$5001,R$268,BD!$A$3:$A$5001,"&gt;="&amp;$C$8,BD!$A$3:$A$5001,"&lt;="&amp;$D$8,BD!$T$3:$T$5001,"&lt;&gt;")=0,"",SUMIFS(BD!$T$3:$T$5001,BD!$B$3:$B$5001,R$268,BD!$A$3:$A$5001,_xlfn.MAXIFS(BD!$A$3:$A$5001,BD!$B$3:$B$5001,R$268,BD!$A$3:$A$5001,"&gt;="&amp;$C$8,BD!$A$3:$A$5001,"&lt;="&amp;$D$8,BD!$T$3:$T$5001,"&lt;&gt;"))))</f>
        <v/>
      </c>
      <c r="S300" s="56" t="str">
        <f>IF(S$268="","",IF(COUNTIFS(BD!$B$3:$B$5001,S$268,BD!$A$3:$A$5001,"&gt;="&amp;$C$8,BD!$A$3:$A$5001,"&lt;="&amp;$D$8,BD!$T$3:$T$5001,"&lt;&gt;")=0,"",SUMIFS(BD!$T$3:$T$5001,BD!$B$3:$B$5001,S$268,BD!$A$3:$A$5001,_xlfn.MAXIFS(BD!$A$3:$A$5001,BD!$B$3:$B$5001,S$268,BD!$A$3:$A$5001,"&gt;="&amp;$C$8,BD!$A$3:$A$5001,"&lt;="&amp;$D$8,BD!$T$3:$T$5001,"&lt;&gt;"))))</f>
        <v/>
      </c>
      <c r="T300" s="56" t="str">
        <f>IF(T$268="","",IF(COUNTIFS(BD!$B$3:$B$5001,T$268,BD!$A$3:$A$5001,"&gt;="&amp;$C$8,BD!$A$3:$A$5001,"&lt;="&amp;$D$8,BD!$T$3:$T$5001,"&lt;&gt;")=0,"",SUMIFS(BD!$T$3:$T$5001,BD!$B$3:$B$5001,T$268,BD!$A$3:$A$5001,_xlfn.MAXIFS(BD!$A$3:$A$5001,BD!$B$3:$B$5001,T$268,BD!$A$3:$A$5001,"&gt;="&amp;$C$8,BD!$A$3:$A$5001,"&lt;="&amp;$D$8,BD!$T$3:$T$5001,"&lt;&gt;"))))</f>
        <v/>
      </c>
      <c r="U300" s="56" t="str">
        <f>IF(U$268="","",IF(COUNTIFS(BD!$B$3:$B$5001,U$268,BD!$A$3:$A$5001,"&gt;="&amp;$C$8,BD!$A$3:$A$5001,"&lt;="&amp;$D$8,BD!$T$3:$T$5001,"&lt;&gt;")=0,"",SUMIFS(BD!$T$3:$T$5001,BD!$B$3:$B$5001,U$268,BD!$A$3:$A$5001,_xlfn.MAXIFS(BD!$A$3:$A$5001,BD!$B$3:$B$5001,U$268,BD!$A$3:$A$5001,"&gt;="&amp;$C$8,BD!$A$3:$A$5001,"&lt;="&amp;$D$8,BD!$T$3:$T$5001,"&lt;&gt;"))))</f>
        <v/>
      </c>
      <c r="V300" s="56" t="str">
        <f>IF(V$268="","",IF(COUNTIFS(BD!$B$3:$B$5001,V$268,BD!$A$3:$A$5001,"&gt;="&amp;$C$8,BD!$A$3:$A$5001,"&lt;="&amp;$D$8,BD!$T$3:$T$5001,"&lt;&gt;")=0,"",SUMIFS(BD!$T$3:$T$5001,BD!$B$3:$B$5001,V$268,BD!$A$3:$A$5001,_xlfn.MAXIFS(BD!$A$3:$A$5001,BD!$B$3:$B$5001,V$268,BD!$A$3:$A$5001,"&gt;="&amp;$C$8,BD!$A$3:$A$5001,"&lt;="&amp;$D$8,BD!$T$3:$T$5001,"&lt;&gt;"))))</f>
        <v/>
      </c>
    </row>
    <row r="301">
      <c r="A301" s="55" t="inlineStr">
        <is>
          <t xml:space="preserve">Depósito</t>
        </is>
      </c>
      <c r="C301" s="48" t="str">
        <f>IF(Config!$C$10="","JSL",Config!$C$10)</f>
        <v>JSL</v>
      </c>
      <c r="D301" s="48" t="str">
        <f>IF(Config!$C$11="","JSL",Config!$C$11)</f>
        <v>JSL</v>
      </c>
      <c r="E301" s="48" t="str">
        <f>IF(Config!$C$12="","JSL",Config!$C$12)</f>
        <v>JSL</v>
      </c>
      <c r="F301" s="48" t="str">
        <f>IF(Config!$C$13="","JSL",Config!$C$13)</f>
        <v>JSL</v>
      </c>
      <c r="G301" s="48" t="str">
        <f>IF(Config!$C$14="","JSL",Config!$C$14)</f>
        <v>JSL</v>
      </c>
      <c r="H301" s="48" t="str">
        <f>IF(Config!$C$15="","JSL",Config!$C$15)</f>
        <v>JSL</v>
      </c>
      <c r="I301" s="48" t="str">
        <f>IF(Config!$C$16="","JSL",Config!$C$16)</f>
        <v>JSL</v>
      </c>
      <c r="J301" s="48" t="str">
        <f>IF(Config!$C$17="","JSL",Config!$C$17)</f>
        <v>JSL</v>
      </c>
      <c r="K301" s="48" t="str">
        <f>IF(Config!$C$18="","JSL",Config!$C$18)</f>
        <v>JSL</v>
      </c>
      <c r="L301" s="48" t="str">
        <f>IF(Config!$C$19="","JSL",Config!$C$19)</f>
        <v>JSL</v>
      </c>
      <c r="M301" s="48" t="str">
        <f>IF(Config!$C$20="","JSL",Config!$C$20)</f>
        <v>JSL</v>
      </c>
      <c r="N301" s="48" t="str">
        <f>IF(Config!$C$21="","JSL",Config!$C$21)</f>
        <v>JSL</v>
      </c>
      <c r="O301" s="48" t="str">
        <f>IF(Config!$C$22="","JSL",Config!$C$22)</f>
        <v>JSL</v>
      </c>
      <c r="P301" s="48" t="str">
        <f>IF(Config!$C$23="","JSL",Config!$C$23)</f>
        <v>JSL</v>
      </c>
      <c r="Q301" s="48" t="str">
        <f>IF(Config!$C$24="","JSL",Config!$C$24)</f>
        <v>JSL</v>
      </c>
      <c r="R301" s="48" t="str">
        <f>IF(Config!$C$25="","JSL",Config!$C$25)</f>
        <v>JSL</v>
      </c>
      <c r="S301" s="48" t="str">
        <f>IF(Config!$C$26="","JSL",Config!$C$26)</f>
        <v>JSL</v>
      </c>
      <c r="T301" s="48" t="str">
        <f>IF(Config!$C$27="","JSL",Config!$C$27)</f>
        <v>JSL</v>
      </c>
      <c r="U301" s="48" t="str">
        <f>IF(Config!$C$28="","JSL",Config!$C$28)</f>
        <v>JSL</v>
      </c>
      <c r="V301" s="48" t="str">
        <f>IF(Config!$C$29="","JSL",Config!$C$29)</f>
        <v>JSL</v>
      </c>
    </row>
    <row r="305">
      <c r="A305" s="52" t="inlineStr">
        <is>
          <t xml:space="preserve">PERÍODO DO DASHBOARD — último valor de cada cliente no período (backlog, posições, efetivo)</t>
        </is>
      </c>
    </row>
    <row r="306" ht="30" customHeight="1">
      <c r="A306" s="47" t="inlineStr">
        <is>
          <t xml:space="preserve">Cliente</t>
        </is>
      </c>
      <c r="B306" s="47" t="inlineStr">
        <is>
          <t xml:space="preserve">Depósito</t>
        </is>
      </c>
      <c r="C306" s="47" t="inlineStr">
        <is>
          <t xml:space="preserve">Backlog Intralog · período</t>
        </is>
      </c>
      <c r="D306" s="47" t="inlineStr">
        <is>
          <t xml:space="preserve">Backlog Intralog · anterior</t>
        </is>
      </c>
      <c r="E306" s="47" t="inlineStr">
        <is>
          <t xml:space="preserve">Backlog Cliente · período</t>
        </is>
      </c>
      <c r="F306" s="47" t="inlineStr">
        <is>
          <t xml:space="preserve">Backlog Cliente · anterior</t>
        </is>
      </c>
      <c r="G306" s="47" t="inlineStr">
        <is>
          <t xml:space="preserve">Posições Ocupadas · período</t>
        </is>
      </c>
      <c r="H306" s="47" t="inlineStr">
        <is>
          <t xml:space="preserve">Posições Ocupadas · anterior</t>
        </is>
      </c>
      <c r="I306" s="47" t="inlineStr">
        <is>
          <t xml:space="preserve">Posições Disponíveis · período</t>
        </is>
      </c>
      <c r="J306" s="47" t="inlineStr">
        <is>
          <t xml:space="preserve">Posições Disponíveis · anterior</t>
        </is>
      </c>
      <c r="K306" s="47" t="inlineStr">
        <is>
          <t xml:space="preserve">Efetivo Op. · período</t>
        </is>
      </c>
      <c r="L306" s="47" t="inlineStr">
        <is>
          <t xml:space="preserve">Efetivo Op. · anterior</t>
        </is>
      </c>
    </row>
    <row r="307">
      <c r="A307" s="76" t="str">
        <f>Config!$B$10&amp;""</f>
        <v>Barry Callebaut</v>
      </c>
      <c r="B307" s="48" t="str">
        <f>IF(Config!$C$10="","JSL",Config!$C$10)</f>
        <v>JSL</v>
      </c>
      <c r="C307" s="54" t="str">
        <f>IF($A307="","",IF(COUNTIFS(BD!$B$3:$B$5001,$A307,BD!$A$3:$A$5001,"&gt;="&amp;$F$7,BD!$A$3:$A$5001,"&lt;="&amp;$G$7,BD!$P$3:$P$5001,"&lt;&gt;")=0,"",SUMIFS(BD!$P$3:$P$5001,BD!$B$3:$B$5001,$A307,BD!$A$3:$A$5001,_xlfn.MAXIFS(BD!$A$3:$A$5001,BD!$B$3:$B$5001,$A307,BD!$A$3:$A$5001,"&gt;="&amp;$F$7,BD!$A$3:$A$5001,"&lt;="&amp;$G$7,BD!$P$3:$P$5001,"&lt;&gt;"))))</f>
        <v/>
      </c>
      <c r="D307" s="54" t="str">
        <f>IF($A307="","",IF(COUNTIFS(BD!$B$3:$B$5001,$A307,BD!$A$3:$A$5001,"&gt;="&amp;$F$8,BD!$A$3:$A$5001,"&lt;="&amp;$G$8,BD!$P$3:$P$5001,"&lt;&gt;")=0,"",SUMIFS(BD!$P$3:$P$5001,BD!$B$3:$B$5001,$A307,BD!$A$3:$A$5001,_xlfn.MAXIFS(BD!$A$3:$A$5001,BD!$B$3:$B$5001,$A307,BD!$A$3:$A$5001,"&gt;="&amp;$F$8,BD!$A$3:$A$5001,"&lt;="&amp;$G$8,BD!$P$3:$P$5001,"&lt;&gt;"))))</f>
        <v/>
      </c>
      <c r="E307" s="54" t="str">
        <f>IF($A307="","",IF(COUNTIFS(BD!$B$3:$B$5001,$A307,BD!$A$3:$A$5001,"&gt;="&amp;$F$7,BD!$A$3:$A$5001,"&lt;="&amp;$G$7,BD!$Q$3:$Q$5001,"&lt;&gt;")=0,"",SUMIFS(BD!$Q$3:$Q$5001,BD!$B$3:$B$5001,$A307,BD!$A$3:$A$5001,_xlfn.MAXIFS(BD!$A$3:$A$5001,BD!$B$3:$B$5001,$A307,BD!$A$3:$A$5001,"&gt;="&amp;$F$7,BD!$A$3:$A$5001,"&lt;="&amp;$G$7,BD!$Q$3:$Q$5001,"&lt;&gt;"))))</f>
        <v/>
      </c>
      <c r="F307" s="54" t="str">
        <f>IF($A307="","",IF(COUNTIFS(BD!$B$3:$B$5001,$A307,BD!$A$3:$A$5001,"&gt;="&amp;$F$8,BD!$A$3:$A$5001,"&lt;="&amp;$G$8,BD!$Q$3:$Q$5001,"&lt;&gt;")=0,"",SUMIFS(BD!$Q$3:$Q$5001,BD!$B$3:$B$5001,$A307,BD!$A$3:$A$5001,_xlfn.MAXIFS(BD!$A$3:$A$5001,BD!$B$3:$B$5001,$A307,BD!$A$3:$A$5001,"&gt;="&amp;$F$8,BD!$A$3:$A$5001,"&lt;="&amp;$G$8,BD!$Q$3:$Q$5001,"&lt;&gt;"))))</f>
        <v/>
      </c>
      <c r="G307" s="54" t="str">
        <f>IF($A307="","",IF(COUNTIFS(BD!$B$3:$B$5001,$A307,BD!$A$3:$A$5001,"&gt;="&amp;$F$7,BD!$A$3:$A$5001,"&lt;="&amp;$G$7,BD!$S$3:$S$5001,"&lt;&gt;")=0,"",SUMIFS(BD!$S$3:$S$5001,BD!$B$3:$B$5001,$A307,BD!$A$3:$A$5001,_xlfn.MAXIFS(BD!$A$3:$A$5001,BD!$B$3:$B$5001,$A307,BD!$A$3:$A$5001,"&gt;="&amp;$F$7,BD!$A$3:$A$5001,"&lt;="&amp;$G$7,BD!$S$3:$S$5001,"&lt;&gt;"))))</f>
        <v/>
      </c>
      <c r="H307" s="54" t="str">
        <f>IF($A307="","",IF(COUNTIFS(BD!$B$3:$B$5001,$A307,BD!$A$3:$A$5001,"&gt;="&amp;$F$8,BD!$A$3:$A$5001,"&lt;="&amp;$G$8,BD!$S$3:$S$5001,"&lt;&gt;")=0,"",SUMIFS(BD!$S$3:$S$5001,BD!$B$3:$B$5001,$A307,BD!$A$3:$A$5001,_xlfn.MAXIFS(BD!$A$3:$A$5001,BD!$B$3:$B$5001,$A307,BD!$A$3:$A$5001,"&gt;="&amp;$F$8,BD!$A$3:$A$5001,"&lt;="&amp;$G$8,BD!$S$3:$S$5001,"&lt;&gt;"))))</f>
        <v/>
      </c>
      <c r="I307" s="54" t="str">
        <f>IF($A307="","",IF(COUNTIFS(BD!$B$3:$B$5001,$A307,BD!$A$3:$A$5001,"&gt;="&amp;$F$7,BD!$A$3:$A$5001,"&lt;="&amp;$G$7,BD!$R$3:$R$5001,"&lt;&gt;")=0,"",SUMIFS(BD!$R$3:$R$5001,BD!$B$3:$B$5001,$A307,BD!$A$3:$A$5001,_xlfn.MAXIFS(BD!$A$3:$A$5001,BD!$B$3:$B$5001,$A307,BD!$A$3:$A$5001,"&gt;="&amp;$F$7,BD!$A$3:$A$5001,"&lt;="&amp;$G$7,BD!$R$3:$R$5001,"&lt;&gt;"))))</f>
        <v/>
      </c>
      <c r="J307" s="54" t="str">
        <f>IF($A307="","",IF(COUNTIFS(BD!$B$3:$B$5001,$A307,BD!$A$3:$A$5001,"&gt;="&amp;$F$8,BD!$A$3:$A$5001,"&lt;="&amp;$G$8,BD!$R$3:$R$5001,"&lt;&gt;")=0,"",SUMIFS(BD!$R$3:$R$5001,BD!$B$3:$B$5001,$A307,BD!$A$3:$A$5001,_xlfn.MAXIFS(BD!$A$3:$A$5001,BD!$B$3:$B$5001,$A307,BD!$A$3:$A$5001,"&gt;="&amp;$F$8,BD!$A$3:$A$5001,"&lt;="&amp;$G$8,BD!$R$3:$R$5001,"&lt;&gt;"))))</f>
        <v/>
      </c>
      <c r="K307" s="54" t="str">
        <f>IF($A307="","",IF(COUNTIFS(BD!$B$3:$B$5001,$A307,BD!$A$3:$A$5001,"&gt;="&amp;$F$7,BD!$A$3:$A$5001,"&lt;="&amp;$G$7,BD!$T$3:$T$5001,"&lt;&gt;")=0,"",SUMIFS(BD!$T$3:$T$5001,BD!$B$3:$B$5001,$A307,BD!$A$3:$A$5001,_xlfn.MAXIFS(BD!$A$3:$A$5001,BD!$B$3:$B$5001,$A307,BD!$A$3:$A$5001,"&gt;="&amp;$F$7,BD!$A$3:$A$5001,"&lt;="&amp;$G$7,BD!$T$3:$T$5001,"&lt;&gt;"))))</f>
        <v/>
      </c>
      <c r="L307" s="54" t="str">
        <f>IF($A307="","",IF(COUNTIFS(BD!$B$3:$B$5001,$A307,BD!$A$3:$A$5001,"&gt;="&amp;$F$8,BD!$A$3:$A$5001,"&lt;="&amp;$G$8,BD!$T$3:$T$5001,"&lt;&gt;")=0,"",SUMIFS(BD!$T$3:$T$5001,BD!$B$3:$B$5001,$A307,BD!$A$3:$A$5001,_xlfn.MAXIFS(BD!$A$3:$A$5001,BD!$B$3:$B$5001,$A307,BD!$A$3:$A$5001,"&gt;="&amp;$F$8,BD!$A$3:$A$5001,"&lt;="&amp;$G$8,BD!$T$3:$T$5001,"&lt;&gt;"))))</f>
        <v/>
      </c>
    </row>
    <row r="308">
      <c r="A308" s="76" t="str">
        <f>Config!$B$11&amp;""</f>
        <v>GM</v>
      </c>
      <c r="B308" s="48" t="str">
        <f>IF(Config!$C$11="","JSL",Config!$C$11)</f>
        <v>JSL</v>
      </c>
      <c r="C308" s="54" t="str">
        <f>IF($A308="","",IF(COUNTIFS(BD!$B$3:$B$5001,$A308,BD!$A$3:$A$5001,"&gt;="&amp;$F$7,BD!$A$3:$A$5001,"&lt;="&amp;$G$7,BD!$P$3:$P$5001,"&lt;&gt;")=0,"",SUMIFS(BD!$P$3:$P$5001,BD!$B$3:$B$5001,$A308,BD!$A$3:$A$5001,_xlfn.MAXIFS(BD!$A$3:$A$5001,BD!$B$3:$B$5001,$A308,BD!$A$3:$A$5001,"&gt;="&amp;$F$7,BD!$A$3:$A$5001,"&lt;="&amp;$G$7,BD!$P$3:$P$5001,"&lt;&gt;"))))</f>
        <v/>
      </c>
      <c r="D308" s="54" t="str">
        <f>IF($A308="","",IF(COUNTIFS(BD!$B$3:$B$5001,$A308,BD!$A$3:$A$5001,"&gt;="&amp;$F$8,BD!$A$3:$A$5001,"&lt;="&amp;$G$8,BD!$P$3:$P$5001,"&lt;&gt;")=0,"",SUMIFS(BD!$P$3:$P$5001,BD!$B$3:$B$5001,$A308,BD!$A$3:$A$5001,_xlfn.MAXIFS(BD!$A$3:$A$5001,BD!$B$3:$B$5001,$A308,BD!$A$3:$A$5001,"&gt;="&amp;$F$8,BD!$A$3:$A$5001,"&lt;="&amp;$G$8,BD!$P$3:$P$5001,"&lt;&gt;"))))</f>
        <v/>
      </c>
      <c r="E308" s="54" t="str">
        <f>IF($A308="","",IF(COUNTIFS(BD!$B$3:$B$5001,$A308,BD!$A$3:$A$5001,"&gt;="&amp;$F$7,BD!$A$3:$A$5001,"&lt;="&amp;$G$7,BD!$Q$3:$Q$5001,"&lt;&gt;")=0,"",SUMIFS(BD!$Q$3:$Q$5001,BD!$B$3:$B$5001,$A308,BD!$A$3:$A$5001,_xlfn.MAXIFS(BD!$A$3:$A$5001,BD!$B$3:$B$5001,$A308,BD!$A$3:$A$5001,"&gt;="&amp;$F$7,BD!$A$3:$A$5001,"&lt;="&amp;$G$7,BD!$Q$3:$Q$5001,"&lt;&gt;"))))</f>
        <v/>
      </c>
      <c r="F308" s="54" t="str">
        <f>IF($A308="","",IF(COUNTIFS(BD!$B$3:$B$5001,$A308,BD!$A$3:$A$5001,"&gt;="&amp;$F$8,BD!$A$3:$A$5001,"&lt;="&amp;$G$8,BD!$Q$3:$Q$5001,"&lt;&gt;")=0,"",SUMIFS(BD!$Q$3:$Q$5001,BD!$B$3:$B$5001,$A308,BD!$A$3:$A$5001,_xlfn.MAXIFS(BD!$A$3:$A$5001,BD!$B$3:$B$5001,$A308,BD!$A$3:$A$5001,"&gt;="&amp;$F$8,BD!$A$3:$A$5001,"&lt;="&amp;$G$8,BD!$Q$3:$Q$5001,"&lt;&gt;"))))</f>
        <v/>
      </c>
      <c r="G308" s="54" t="str">
        <f>IF($A308="","",IF(COUNTIFS(BD!$B$3:$B$5001,$A308,BD!$A$3:$A$5001,"&gt;="&amp;$F$7,BD!$A$3:$A$5001,"&lt;="&amp;$G$7,BD!$S$3:$S$5001,"&lt;&gt;")=0,"",SUMIFS(BD!$S$3:$S$5001,BD!$B$3:$B$5001,$A308,BD!$A$3:$A$5001,_xlfn.MAXIFS(BD!$A$3:$A$5001,BD!$B$3:$B$5001,$A308,BD!$A$3:$A$5001,"&gt;="&amp;$F$7,BD!$A$3:$A$5001,"&lt;="&amp;$G$7,BD!$S$3:$S$5001,"&lt;&gt;"))))</f>
        <v/>
      </c>
      <c r="H308" s="54" t="str">
        <f>IF($A308="","",IF(COUNTIFS(BD!$B$3:$B$5001,$A308,BD!$A$3:$A$5001,"&gt;="&amp;$F$8,BD!$A$3:$A$5001,"&lt;="&amp;$G$8,BD!$S$3:$S$5001,"&lt;&gt;")=0,"",SUMIFS(BD!$S$3:$S$5001,BD!$B$3:$B$5001,$A308,BD!$A$3:$A$5001,_xlfn.MAXIFS(BD!$A$3:$A$5001,BD!$B$3:$B$5001,$A308,BD!$A$3:$A$5001,"&gt;="&amp;$F$8,BD!$A$3:$A$5001,"&lt;="&amp;$G$8,BD!$S$3:$S$5001,"&lt;&gt;"))))</f>
        <v/>
      </c>
      <c r="I308" s="54" t="str">
        <f>IF($A308="","",IF(COUNTIFS(BD!$B$3:$B$5001,$A308,BD!$A$3:$A$5001,"&gt;="&amp;$F$7,BD!$A$3:$A$5001,"&lt;="&amp;$G$7,BD!$R$3:$R$5001,"&lt;&gt;")=0,"",SUMIFS(BD!$R$3:$R$5001,BD!$B$3:$B$5001,$A308,BD!$A$3:$A$5001,_xlfn.MAXIFS(BD!$A$3:$A$5001,BD!$B$3:$B$5001,$A308,BD!$A$3:$A$5001,"&gt;="&amp;$F$7,BD!$A$3:$A$5001,"&lt;="&amp;$G$7,BD!$R$3:$R$5001,"&lt;&gt;"))))</f>
        <v/>
      </c>
      <c r="J308" s="54" t="str">
        <f>IF($A308="","",IF(COUNTIFS(BD!$B$3:$B$5001,$A308,BD!$A$3:$A$5001,"&gt;="&amp;$F$8,BD!$A$3:$A$5001,"&lt;="&amp;$G$8,BD!$R$3:$R$5001,"&lt;&gt;")=0,"",SUMIFS(BD!$R$3:$R$5001,BD!$B$3:$B$5001,$A308,BD!$A$3:$A$5001,_xlfn.MAXIFS(BD!$A$3:$A$5001,BD!$B$3:$B$5001,$A308,BD!$A$3:$A$5001,"&gt;="&amp;$F$8,BD!$A$3:$A$5001,"&lt;="&amp;$G$8,BD!$R$3:$R$5001,"&lt;&gt;"))))</f>
        <v/>
      </c>
      <c r="K308" s="54" t="str">
        <f>IF($A308="","",IF(COUNTIFS(BD!$B$3:$B$5001,$A308,BD!$A$3:$A$5001,"&gt;="&amp;$F$7,BD!$A$3:$A$5001,"&lt;="&amp;$G$7,BD!$T$3:$T$5001,"&lt;&gt;")=0,"",SUMIFS(BD!$T$3:$T$5001,BD!$B$3:$B$5001,$A308,BD!$A$3:$A$5001,_xlfn.MAXIFS(BD!$A$3:$A$5001,BD!$B$3:$B$5001,$A308,BD!$A$3:$A$5001,"&gt;="&amp;$F$7,BD!$A$3:$A$5001,"&lt;="&amp;$G$7,BD!$T$3:$T$5001,"&lt;&gt;"))))</f>
        <v/>
      </c>
      <c r="L308" s="54" t="str">
        <f>IF($A308="","",IF(COUNTIFS(BD!$B$3:$B$5001,$A308,BD!$A$3:$A$5001,"&gt;="&amp;$F$8,BD!$A$3:$A$5001,"&lt;="&amp;$G$8,BD!$T$3:$T$5001,"&lt;&gt;")=0,"",SUMIFS(BD!$T$3:$T$5001,BD!$B$3:$B$5001,$A308,BD!$A$3:$A$5001,_xlfn.MAXIFS(BD!$A$3:$A$5001,BD!$B$3:$B$5001,$A308,BD!$A$3:$A$5001,"&gt;="&amp;$F$8,BD!$A$3:$A$5001,"&lt;="&amp;$G$8,BD!$T$3:$T$5001,"&lt;&gt;"))))</f>
        <v/>
      </c>
    </row>
    <row r="309">
      <c r="A309" s="76" t="str">
        <f>Config!$B$12&amp;""</f>
        <v>Mondelez</v>
      </c>
      <c r="B309" s="48" t="str">
        <f>IF(Config!$C$12="","JSL",Config!$C$12)</f>
        <v>JSL</v>
      </c>
      <c r="C309" s="54" t="str">
        <f>IF($A309="","",IF(COUNTIFS(BD!$B$3:$B$5001,$A309,BD!$A$3:$A$5001,"&gt;="&amp;$F$7,BD!$A$3:$A$5001,"&lt;="&amp;$G$7,BD!$P$3:$P$5001,"&lt;&gt;")=0,"",SUMIFS(BD!$P$3:$P$5001,BD!$B$3:$B$5001,$A309,BD!$A$3:$A$5001,_xlfn.MAXIFS(BD!$A$3:$A$5001,BD!$B$3:$B$5001,$A309,BD!$A$3:$A$5001,"&gt;="&amp;$F$7,BD!$A$3:$A$5001,"&lt;="&amp;$G$7,BD!$P$3:$P$5001,"&lt;&gt;"))))</f>
        <v/>
      </c>
      <c r="D309" s="54" t="str">
        <f>IF($A309="","",IF(COUNTIFS(BD!$B$3:$B$5001,$A309,BD!$A$3:$A$5001,"&gt;="&amp;$F$8,BD!$A$3:$A$5001,"&lt;="&amp;$G$8,BD!$P$3:$P$5001,"&lt;&gt;")=0,"",SUMIFS(BD!$P$3:$P$5001,BD!$B$3:$B$5001,$A309,BD!$A$3:$A$5001,_xlfn.MAXIFS(BD!$A$3:$A$5001,BD!$B$3:$B$5001,$A309,BD!$A$3:$A$5001,"&gt;="&amp;$F$8,BD!$A$3:$A$5001,"&lt;="&amp;$G$8,BD!$P$3:$P$5001,"&lt;&gt;"))))</f>
        <v/>
      </c>
      <c r="E309" s="54" t="str">
        <f>IF($A309="","",IF(COUNTIFS(BD!$B$3:$B$5001,$A309,BD!$A$3:$A$5001,"&gt;="&amp;$F$7,BD!$A$3:$A$5001,"&lt;="&amp;$G$7,BD!$Q$3:$Q$5001,"&lt;&gt;")=0,"",SUMIFS(BD!$Q$3:$Q$5001,BD!$B$3:$B$5001,$A309,BD!$A$3:$A$5001,_xlfn.MAXIFS(BD!$A$3:$A$5001,BD!$B$3:$B$5001,$A309,BD!$A$3:$A$5001,"&gt;="&amp;$F$7,BD!$A$3:$A$5001,"&lt;="&amp;$G$7,BD!$Q$3:$Q$5001,"&lt;&gt;"))))</f>
        <v/>
      </c>
      <c r="F309" s="54" t="str">
        <f>IF($A309="","",IF(COUNTIFS(BD!$B$3:$B$5001,$A309,BD!$A$3:$A$5001,"&gt;="&amp;$F$8,BD!$A$3:$A$5001,"&lt;="&amp;$G$8,BD!$Q$3:$Q$5001,"&lt;&gt;")=0,"",SUMIFS(BD!$Q$3:$Q$5001,BD!$B$3:$B$5001,$A309,BD!$A$3:$A$5001,_xlfn.MAXIFS(BD!$A$3:$A$5001,BD!$B$3:$B$5001,$A309,BD!$A$3:$A$5001,"&gt;="&amp;$F$8,BD!$A$3:$A$5001,"&lt;="&amp;$G$8,BD!$Q$3:$Q$5001,"&lt;&gt;"))))</f>
        <v/>
      </c>
      <c r="G309" s="54" t="str">
        <f>IF($A309="","",IF(COUNTIFS(BD!$B$3:$B$5001,$A309,BD!$A$3:$A$5001,"&gt;="&amp;$F$7,BD!$A$3:$A$5001,"&lt;="&amp;$G$7,BD!$S$3:$S$5001,"&lt;&gt;")=0,"",SUMIFS(BD!$S$3:$S$5001,BD!$B$3:$B$5001,$A309,BD!$A$3:$A$5001,_xlfn.MAXIFS(BD!$A$3:$A$5001,BD!$B$3:$B$5001,$A309,BD!$A$3:$A$5001,"&gt;="&amp;$F$7,BD!$A$3:$A$5001,"&lt;="&amp;$G$7,BD!$S$3:$S$5001,"&lt;&gt;"))))</f>
        <v/>
      </c>
      <c r="H309" s="54" t="str">
        <f>IF($A309="","",IF(COUNTIFS(BD!$B$3:$B$5001,$A309,BD!$A$3:$A$5001,"&gt;="&amp;$F$8,BD!$A$3:$A$5001,"&lt;="&amp;$G$8,BD!$S$3:$S$5001,"&lt;&gt;")=0,"",SUMIFS(BD!$S$3:$S$5001,BD!$B$3:$B$5001,$A309,BD!$A$3:$A$5001,_xlfn.MAXIFS(BD!$A$3:$A$5001,BD!$B$3:$B$5001,$A309,BD!$A$3:$A$5001,"&gt;="&amp;$F$8,BD!$A$3:$A$5001,"&lt;="&amp;$G$8,BD!$S$3:$S$5001,"&lt;&gt;"))))</f>
        <v/>
      </c>
      <c r="I309" s="54" t="str">
        <f>IF($A309="","",IF(COUNTIFS(BD!$B$3:$B$5001,$A309,BD!$A$3:$A$5001,"&gt;="&amp;$F$7,BD!$A$3:$A$5001,"&lt;="&amp;$G$7,BD!$R$3:$R$5001,"&lt;&gt;")=0,"",SUMIFS(BD!$R$3:$R$5001,BD!$B$3:$B$5001,$A309,BD!$A$3:$A$5001,_xlfn.MAXIFS(BD!$A$3:$A$5001,BD!$B$3:$B$5001,$A309,BD!$A$3:$A$5001,"&gt;="&amp;$F$7,BD!$A$3:$A$5001,"&lt;="&amp;$G$7,BD!$R$3:$R$5001,"&lt;&gt;"))))</f>
        <v/>
      </c>
      <c r="J309" s="54" t="str">
        <f>IF($A309="","",IF(COUNTIFS(BD!$B$3:$B$5001,$A309,BD!$A$3:$A$5001,"&gt;="&amp;$F$8,BD!$A$3:$A$5001,"&lt;="&amp;$G$8,BD!$R$3:$R$5001,"&lt;&gt;")=0,"",SUMIFS(BD!$R$3:$R$5001,BD!$B$3:$B$5001,$A309,BD!$A$3:$A$5001,_xlfn.MAXIFS(BD!$A$3:$A$5001,BD!$B$3:$B$5001,$A309,BD!$A$3:$A$5001,"&gt;="&amp;$F$8,BD!$A$3:$A$5001,"&lt;="&amp;$G$8,BD!$R$3:$R$5001,"&lt;&gt;"))))</f>
        <v/>
      </c>
      <c r="K309" s="54" t="str">
        <f>IF($A309="","",IF(COUNTIFS(BD!$B$3:$B$5001,$A309,BD!$A$3:$A$5001,"&gt;="&amp;$F$7,BD!$A$3:$A$5001,"&lt;="&amp;$G$7,BD!$T$3:$T$5001,"&lt;&gt;")=0,"",SUMIFS(BD!$T$3:$T$5001,BD!$B$3:$B$5001,$A309,BD!$A$3:$A$5001,_xlfn.MAXIFS(BD!$A$3:$A$5001,BD!$B$3:$B$5001,$A309,BD!$A$3:$A$5001,"&gt;="&amp;$F$7,BD!$A$3:$A$5001,"&lt;="&amp;$G$7,BD!$T$3:$T$5001,"&lt;&gt;"))))</f>
        <v/>
      </c>
      <c r="L309" s="54" t="str">
        <f>IF($A309="","",IF(COUNTIFS(BD!$B$3:$B$5001,$A309,BD!$A$3:$A$5001,"&gt;="&amp;$F$8,BD!$A$3:$A$5001,"&lt;="&amp;$G$8,BD!$T$3:$T$5001,"&lt;&gt;")=0,"",SUMIFS(BD!$T$3:$T$5001,BD!$B$3:$B$5001,$A309,BD!$A$3:$A$5001,_xlfn.MAXIFS(BD!$A$3:$A$5001,BD!$B$3:$B$5001,$A309,BD!$A$3:$A$5001,"&gt;="&amp;$F$8,BD!$A$3:$A$5001,"&lt;="&amp;$G$8,BD!$T$3:$T$5001,"&lt;&gt;"))))</f>
        <v/>
      </c>
    </row>
    <row r="310">
      <c r="A310" s="76" t="str">
        <f>Config!$B$13&amp;""</f>
        <v>Nestlé</v>
      </c>
      <c r="B310" s="48" t="str">
        <f>IF(Config!$C$13="","JSL",Config!$C$13)</f>
        <v>JSL</v>
      </c>
      <c r="C310" s="54" t="str">
        <f>IF($A310="","",IF(COUNTIFS(BD!$B$3:$B$5001,$A310,BD!$A$3:$A$5001,"&gt;="&amp;$F$7,BD!$A$3:$A$5001,"&lt;="&amp;$G$7,BD!$P$3:$P$5001,"&lt;&gt;")=0,"",SUMIFS(BD!$P$3:$P$5001,BD!$B$3:$B$5001,$A310,BD!$A$3:$A$5001,_xlfn.MAXIFS(BD!$A$3:$A$5001,BD!$B$3:$B$5001,$A310,BD!$A$3:$A$5001,"&gt;="&amp;$F$7,BD!$A$3:$A$5001,"&lt;="&amp;$G$7,BD!$P$3:$P$5001,"&lt;&gt;"))))</f>
        <v/>
      </c>
      <c r="D310" s="54" t="str">
        <f>IF($A310="","",IF(COUNTIFS(BD!$B$3:$B$5001,$A310,BD!$A$3:$A$5001,"&gt;="&amp;$F$8,BD!$A$3:$A$5001,"&lt;="&amp;$G$8,BD!$P$3:$P$5001,"&lt;&gt;")=0,"",SUMIFS(BD!$P$3:$P$5001,BD!$B$3:$B$5001,$A310,BD!$A$3:$A$5001,_xlfn.MAXIFS(BD!$A$3:$A$5001,BD!$B$3:$B$5001,$A310,BD!$A$3:$A$5001,"&gt;="&amp;$F$8,BD!$A$3:$A$5001,"&lt;="&amp;$G$8,BD!$P$3:$P$5001,"&lt;&gt;"))))</f>
        <v/>
      </c>
      <c r="E310" s="54" t="str">
        <f>IF($A310="","",IF(COUNTIFS(BD!$B$3:$B$5001,$A310,BD!$A$3:$A$5001,"&gt;="&amp;$F$7,BD!$A$3:$A$5001,"&lt;="&amp;$G$7,BD!$Q$3:$Q$5001,"&lt;&gt;")=0,"",SUMIFS(BD!$Q$3:$Q$5001,BD!$B$3:$B$5001,$A310,BD!$A$3:$A$5001,_xlfn.MAXIFS(BD!$A$3:$A$5001,BD!$B$3:$B$5001,$A310,BD!$A$3:$A$5001,"&gt;="&amp;$F$7,BD!$A$3:$A$5001,"&lt;="&amp;$G$7,BD!$Q$3:$Q$5001,"&lt;&gt;"))))</f>
        <v/>
      </c>
      <c r="F310" s="54" t="str">
        <f>IF($A310="","",IF(COUNTIFS(BD!$B$3:$B$5001,$A310,BD!$A$3:$A$5001,"&gt;="&amp;$F$8,BD!$A$3:$A$5001,"&lt;="&amp;$G$8,BD!$Q$3:$Q$5001,"&lt;&gt;")=0,"",SUMIFS(BD!$Q$3:$Q$5001,BD!$B$3:$B$5001,$A310,BD!$A$3:$A$5001,_xlfn.MAXIFS(BD!$A$3:$A$5001,BD!$B$3:$B$5001,$A310,BD!$A$3:$A$5001,"&gt;="&amp;$F$8,BD!$A$3:$A$5001,"&lt;="&amp;$G$8,BD!$Q$3:$Q$5001,"&lt;&gt;"))))</f>
        <v/>
      </c>
      <c r="G310" s="54" t="str">
        <f>IF($A310="","",IF(COUNTIFS(BD!$B$3:$B$5001,$A310,BD!$A$3:$A$5001,"&gt;="&amp;$F$7,BD!$A$3:$A$5001,"&lt;="&amp;$G$7,BD!$S$3:$S$5001,"&lt;&gt;")=0,"",SUMIFS(BD!$S$3:$S$5001,BD!$B$3:$B$5001,$A310,BD!$A$3:$A$5001,_xlfn.MAXIFS(BD!$A$3:$A$5001,BD!$B$3:$B$5001,$A310,BD!$A$3:$A$5001,"&gt;="&amp;$F$7,BD!$A$3:$A$5001,"&lt;="&amp;$G$7,BD!$S$3:$S$5001,"&lt;&gt;"))))</f>
        <v/>
      </c>
      <c r="H310" s="54" t="str">
        <f>IF($A310="","",IF(COUNTIFS(BD!$B$3:$B$5001,$A310,BD!$A$3:$A$5001,"&gt;="&amp;$F$8,BD!$A$3:$A$5001,"&lt;="&amp;$G$8,BD!$S$3:$S$5001,"&lt;&gt;")=0,"",SUMIFS(BD!$S$3:$S$5001,BD!$B$3:$B$5001,$A310,BD!$A$3:$A$5001,_xlfn.MAXIFS(BD!$A$3:$A$5001,BD!$B$3:$B$5001,$A310,BD!$A$3:$A$5001,"&gt;="&amp;$F$8,BD!$A$3:$A$5001,"&lt;="&amp;$G$8,BD!$S$3:$S$5001,"&lt;&gt;"))))</f>
        <v/>
      </c>
      <c r="I310" s="54" t="str">
        <f>IF($A310="","",IF(COUNTIFS(BD!$B$3:$B$5001,$A310,BD!$A$3:$A$5001,"&gt;="&amp;$F$7,BD!$A$3:$A$5001,"&lt;="&amp;$G$7,BD!$R$3:$R$5001,"&lt;&gt;")=0,"",SUMIFS(BD!$R$3:$R$5001,BD!$B$3:$B$5001,$A310,BD!$A$3:$A$5001,_xlfn.MAXIFS(BD!$A$3:$A$5001,BD!$B$3:$B$5001,$A310,BD!$A$3:$A$5001,"&gt;="&amp;$F$7,BD!$A$3:$A$5001,"&lt;="&amp;$G$7,BD!$R$3:$R$5001,"&lt;&gt;"))))</f>
        <v/>
      </c>
      <c r="J310" s="54" t="str">
        <f>IF($A310="","",IF(COUNTIFS(BD!$B$3:$B$5001,$A310,BD!$A$3:$A$5001,"&gt;="&amp;$F$8,BD!$A$3:$A$5001,"&lt;="&amp;$G$8,BD!$R$3:$R$5001,"&lt;&gt;")=0,"",SUMIFS(BD!$R$3:$R$5001,BD!$B$3:$B$5001,$A310,BD!$A$3:$A$5001,_xlfn.MAXIFS(BD!$A$3:$A$5001,BD!$B$3:$B$5001,$A310,BD!$A$3:$A$5001,"&gt;="&amp;$F$8,BD!$A$3:$A$5001,"&lt;="&amp;$G$8,BD!$R$3:$R$5001,"&lt;&gt;"))))</f>
        <v/>
      </c>
      <c r="K310" s="54" t="str">
        <f>IF($A310="","",IF(COUNTIFS(BD!$B$3:$B$5001,$A310,BD!$A$3:$A$5001,"&gt;="&amp;$F$7,BD!$A$3:$A$5001,"&lt;="&amp;$G$7,BD!$T$3:$T$5001,"&lt;&gt;")=0,"",SUMIFS(BD!$T$3:$T$5001,BD!$B$3:$B$5001,$A310,BD!$A$3:$A$5001,_xlfn.MAXIFS(BD!$A$3:$A$5001,BD!$B$3:$B$5001,$A310,BD!$A$3:$A$5001,"&gt;="&amp;$F$7,BD!$A$3:$A$5001,"&lt;="&amp;$G$7,BD!$T$3:$T$5001,"&lt;&gt;"))))</f>
        <v/>
      </c>
      <c r="L310" s="54" t="str">
        <f>IF($A310="","",IF(COUNTIFS(BD!$B$3:$B$5001,$A310,BD!$A$3:$A$5001,"&gt;="&amp;$F$8,BD!$A$3:$A$5001,"&lt;="&amp;$G$8,BD!$T$3:$T$5001,"&lt;&gt;")=0,"",SUMIFS(BD!$T$3:$T$5001,BD!$B$3:$B$5001,$A310,BD!$A$3:$A$5001,_xlfn.MAXIFS(BD!$A$3:$A$5001,BD!$B$3:$B$5001,$A310,BD!$A$3:$A$5001,"&gt;="&amp;$F$8,BD!$A$3:$A$5001,"&lt;="&amp;$G$8,BD!$T$3:$T$5001,"&lt;&gt;"))))</f>
        <v/>
      </c>
    </row>
    <row r="311">
      <c r="A311" s="76" t="str">
        <f>Config!$B$14&amp;""</f>
        <v>PMB</v>
      </c>
      <c r="B311" s="48" t="str">
        <f>IF(Config!$C$14="","JSL",Config!$C$14)</f>
        <v>JSL</v>
      </c>
      <c r="C311" s="54" t="str">
        <f>IF($A311="","",IF(COUNTIFS(BD!$B$3:$B$5001,$A311,BD!$A$3:$A$5001,"&gt;="&amp;$F$7,BD!$A$3:$A$5001,"&lt;="&amp;$G$7,BD!$P$3:$P$5001,"&lt;&gt;")=0,"",SUMIFS(BD!$P$3:$P$5001,BD!$B$3:$B$5001,$A311,BD!$A$3:$A$5001,_xlfn.MAXIFS(BD!$A$3:$A$5001,BD!$B$3:$B$5001,$A311,BD!$A$3:$A$5001,"&gt;="&amp;$F$7,BD!$A$3:$A$5001,"&lt;="&amp;$G$7,BD!$P$3:$P$5001,"&lt;&gt;"))))</f>
        <v/>
      </c>
      <c r="D311" s="54" t="str">
        <f>IF($A311="","",IF(COUNTIFS(BD!$B$3:$B$5001,$A311,BD!$A$3:$A$5001,"&gt;="&amp;$F$8,BD!$A$3:$A$5001,"&lt;="&amp;$G$8,BD!$P$3:$P$5001,"&lt;&gt;")=0,"",SUMIFS(BD!$P$3:$P$5001,BD!$B$3:$B$5001,$A311,BD!$A$3:$A$5001,_xlfn.MAXIFS(BD!$A$3:$A$5001,BD!$B$3:$B$5001,$A311,BD!$A$3:$A$5001,"&gt;="&amp;$F$8,BD!$A$3:$A$5001,"&lt;="&amp;$G$8,BD!$P$3:$P$5001,"&lt;&gt;"))))</f>
        <v/>
      </c>
      <c r="E311" s="54" t="str">
        <f>IF($A311="","",IF(COUNTIFS(BD!$B$3:$B$5001,$A311,BD!$A$3:$A$5001,"&gt;="&amp;$F$7,BD!$A$3:$A$5001,"&lt;="&amp;$G$7,BD!$Q$3:$Q$5001,"&lt;&gt;")=0,"",SUMIFS(BD!$Q$3:$Q$5001,BD!$B$3:$B$5001,$A311,BD!$A$3:$A$5001,_xlfn.MAXIFS(BD!$A$3:$A$5001,BD!$B$3:$B$5001,$A311,BD!$A$3:$A$5001,"&gt;="&amp;$F$7,BD!$A$3:$A$5001,"&lt;="&amp;$G$7,BD!$Q$3:$Q$5001,"&lt;&gt;"))))</f>
        <v/>
      </c>
      <c r="F311" s="54" t="str">
        <f>IF($A311="","",IF(COUNTIFS(BD!$B$3:$B$5001,$A311,BD!$A$3:$A$5001,"&gt;="&amp;$F$8,BD!$A$3:$A$5001,"&lt;="&amp;$G$8,BD!$Q$3:$Q$5001,"&lt;&gt;")=0,"",SUMIFS(BD!$Q$3:$Q$5001,BD!$B$3:$B$5001,$A311,BD!$A$3:$A$5001,_xlfn.MAXIFS(BD!$A$3:$A$5001,BD!$B$3:$B$5001,$A311,BD!$A$3:$A$5001,"&gt;="&amp;$F$8,BD!$A$3:$A$5001,"&lt;="&amp;$G$8,BD!$Q$3:$Q$5001,"&lt;&gt;"))))</f>
        <v/>
      </c>
      <c r="G311" s="54" t="str">
        <f>IF($A311="","",IF(COUNTIFS(BD!$B$3:$B$5001,$A311,BD!$A$3:$A$5001,"&gt;="&amp;$F$7,BD!$A$3:$A$5001,"&lt;="&amp;$G$7,BD!$S$3:$S$5001,"&lt;&gt;")=0,"",SUMIFS(BD!$S$3:$S$5001,BD!$B$3:$B$5001,$A311,BD!$A$3:$A$5001,_xlfn.MAXIFS(BD!$A$3:$A$5001,BD!$B$3:$B$5001,$A311,BD!$A$3:$A$5001,"&gt;="&amp;$F$7,BD!$A$3:$A$5001,"&lt;="&amp;$G$7,BD!$S$3:$S$5001,"&lt;&gt;"))))</f>
        <v/>
      </c>
      <c r="H311" s="54" t="str">
        <f>IF($A311="","",IF(COUNTIFS(BD!$B$3:$B$5001,$A311,BD!$A$3:$A$5001,"&gt;="&amp;$F$8,BD!$A$3:$A$5001,"&lt;="&amp;$G$8,BD!$S$3:$S$5001,"&lt;&gt;")=0,"",SUMIFS(BD!$S$3:$S$5001,BD!$B$3:$B$5001,$A311,BD!$A$3:$A$5001,_xlfn.MAXIFS(BD!$A$3:$A$5001,BD!$B$3:$B$5001,$A311,BD!$A$3:$A$5001,"&gt;="&amp;$F$8,BD!$A$3:$A$5001,"&lt;="&amp;$G$8,BD!$S$3:$S$5001,"&lt;&gt;"))))</f>
        <v/>
      </c>
      <c r="I311" s="54" t="str">
        <f>IF($A311="","",IF(COUNTIFS(BD!$B$3:$B$5001,$A311,BD!$A$3:$A$5001,"&gt;="&amp;$F$7,BD!$A$3:$A$5001,"&lt;="&amp;$G$7,BD!$R$3:$R$5001,"&lt;&gt;")=0,"",SUMIFS(BD!$R$3:$R$5001,BD!$B$3:$B$5001,$A311,BD!$A$3:$A$5001,_xlfn.MAXIFS(BD!$A$3:$A$5001,BD!$B$3:$B$5001,$A311,BD!$A$3:$A$5001,"&gt;="&amp;$F$7,BD!$A$3:$A$5001,"&lt;="&amp;$G$7,BD!$R$3:$R$5001,"&lt;&gt;"))))</f>
        <v/>
      </c>
      <c r="J311" s="54" t="str">
        <f>IF($A311="","",IF(COUNTIFS(BD!$B$3:$B$5001,$A311,BD!$A$3:$A$5001,"&gt;="&amp;$F$8,BD!$A$3:$A$5001,"&lt;="&amp;$G$8,BD!$R$3:$R$5001,"&lt;&gt;")=0,"",SUMIFS(BD!$R$3:$R$5001,BD!$B$3:$B$5001,$A311,BD!$A$3:$A$5001,_xlfn.MAXIFS(BD!$A$3:$A$5001,BD!$B$3:$B$5001,$A311,BD!$A$3:$A$5001,"&gt;="&amp;$F$8,BD!$A$3:$A$5001,"&lt;="&amp;$G$8,BD!$R$3:$R$5001,"&lt;&gt;"))))</f>
        <v/>
      </c>
      <c r="K311" s="54" t="str">
        <f>IF($A311="","",IF(COUNTIFS(BD!$B$3:$B$5001,$A311,BD!$A$3:$A$5001,"&gt;="&amp;$F$7,BD!$A$3:$A$5001,"&lt;="&amp;$G$7,BD!$T$3:$T$5001,"&lt;&gt;")=0,"",SUMIFS(BD!$T$3:$T$5001,BD!$B$3:$B$5001,$A311,BD!$A$3:$A$5001,_xlfn.MAXIFS(BD!$A$3:$A$5001,BD!$B$3:$B$5001,$A311,BD!$A$3:$A$5001,"&gt;="&amp;$F$7,BD!$A$3:$A$5001,"&lt;="&amp;$G$7,BD!$T$3:$T$5001,"&lt;&gt;"))))</f>
        <v/>
      </c>
      <c r="L311" s="54" t="str">
        <f>IF($A311="","",IF(COUNTIFS(BD!$B$3:$B$5001,$A311,BD!$A$3:$A$5001,"&gt;="&amp;$F$8,BD!$A$3:$A$5001,"&lt;="&amp;$G$8,BD!$T$3:$T$5001,"&lt;&gt;")=0,"",SUMIFS(BD!$T$3:$T$5001,BD!$B$3:$B$5001,$A311,BD!$A$3:$A$5001,_xlfn.MAXIFS(BD!$A$3:$A$5001,BD!$B$3:$B$5001,$A311,BD!$A$3:$A$5001,"&gt;="&amp;$F$8,BD!$A$3:$A$5001,"&lt;="&amp;$G$8,BD!$T$3:$T$5001,"&lt;&gt;"))))</f>
        <v/>
      </c>
    </row>
    <row r="312">
      <c r="A312" s="76" t="str">
        <f>Config!$B$15&amp;""</f>
        <v/>
      </c>
      <c r="B312" s="48" t="str">
        <f>IF(Config!$C$15="","JSL",Config!$C$15)</f>
        <v>JSL</v>
      </c>
      <c r="C312" s="54" t="str">
        <f>IF($A312="","",IF(COUNTIFS(BD!$B$3:$B$5001,$A312,BD!$A$3:$A$5001,"&gt;="&amp;$F$7,BD!$A$3:$A$5001,"&lt;="&amp;$G$7,BD!$P$3:$P$5001,"&lt;&gt;")=0,"",SUMIFS(BD!$P$3:$P$5001,BD!$B$3:$B$5001,$A312,BD!$A$3:$A$5001,_xlfn.MAXIFS(BD!$A$3:$A$5001,BD!$B$3:$B$5001,$A312,BD!$A$3:$A$5001,"&gt;="&amp;$F$7,BD!$A$3:$A$5001,"&lt;="&amp;$G$7,BD!$P$3:$P$5001,"&lt;&gt;"))))</f>
        <v/>
      </c>
      <c r="D312" s="54" t="str">
        <f>IF($A312="","",IF(COUNTIFS(BD!$B$3:$B$5001,$A312,BD!$A$3:$A$5001,"&gt;="&amp;$F$8,BD!$A$3:$A$5001,"&lt;="&amp;$G$8,BD!$P$3:$P$5001,"&lt;&gt;")=0,"",SUMIFS(BD!$P$3:$P$5001,BD!$B$3:$B$5001,$A312,BD!$A$3:$A$5001,_xlfn.MAXIFS(BD!$A$3:$A$5001,BD!$B$3:$B$5001,$A312,BD!$A$3:$A$5001,"&gt;="&amp;$F$8,BD!$A$3:$A$5001,"&lt;="&amp;$G$8,BD!$P$3:$P$5001,"&lt;&gt;"))))</f>
        <v/>
      </c>
      <c r="E312" s="54" t="str">
        <f>IF($A312="","",IF(COUNTIFS(BD!$B$3:$B$5001,$A312,BD!$A$3:$A$5001,"&gt;="&amp;$F$7,BD!$A$3:$A$5001,"&lt;="&amp;$G$7,BD!$Q$3:$Q$5001,"&lt;&gt;")=0,"",SUMIFS(BD!$Q$3:$Q$5001,BD!$B$3:$B$5001,$A312,BD!$A$3:$A$5001,_xlfn.MAXIFS(BD!$A$3:$A$5001,BD!$B$3:$B$5001,$A312,BD!$A$3:$A$5001,"&gt;="&amp;$F$7,BD!$A$3:$A$5001,"&lt;="&amp;$G$7,BD!$Q$3:$Q$5001,"&lt;&gt;"))))</f>
        <v/>
      </c>
      <c r="F312" s="54" t="str">
        <f>IF($A312="","",IF(COUNTIFS(BD!$B$3:$B$5001,$A312,BD!$A$3:$A$5001,"&gt;="&amp;$F$8,BD!$A$3:$A$5001,"&lt;="&amp;$G$8,BD!$Q$3:$Q$5001,"&lt;&gt;")=0,"",SUMIFS(BD!$Q$3:$Q$5001,BD!$B$3:$B$5001,$A312,BD!$A$3:$A$5001,_xlfn.MAXIFS(BD!$A$3:$A$5001,BD!$B$3:$B$5001,$A312,BD!$A$3:$A$5001,"&gt;="&amp;$F$8,BD!$A$3:$A$5001,"&lt;="&amp;$G$8,BD!$Q$3:$Q$5001,"&lt;&gt;"))))</f>
        <v/>
      </c>
      <c r="G312" s="54" t="str">
        <f>IF($A312="","",IF(COUNTIFS(BD!$B$3:$B$5001,$A312,BD!$A$3:$A$5001,"&gt;="&amp;$F$7,BD!$A$3:$A$5001,"&lt;="&amp;$G$7,BD!$S$3:$S$5001,"&lt;&gt;")=0,"",SUMIFS(BD!$S$3:$S$5001,BD!$B$3:$B$5001,$A312,BD!$A$3:$A$5001,_xlfn.MAXIFS(BD!$A$3:$A$5001,BD!$B$3:$B$5001,$A312,BD!$A$3:$A$5001,"&gt;="&amp;$F$7,BD!$A$3:$A$5001,"&lt;="&amp;$G$7,BD!$S$3:$S$5001,"&lt;&gt;"))))</f>
        <v/>
      </c>
      <c r="H312" s="54" t="str">
        <f>IF($A312="","",IF(COUNTIFS(BD!$B$3:$B$5001,$A312,BD!$A$3:$A$5001,"&gt;="&amp;$F$8,BD!$A$3:$A$5001,"&lt;="&amp;$G$8,BD!$S$3:$S$5001,"&lt;&gt;")=0,"",SUMIFS(BD!$S$3:$S$5001,BD!$B$3:$B$5001,$A312,BD!$A$3:$A$5001,_xlfn.MAXIFS(BD!$A$3:$A$5001,BD!$B$3:$B$5001,$A312,BD!$A$3:$A$5001,"&gt;="&amp;$F$8,BD!$A$3:$A$5001,"&lt;="&amp;$G$8,BD!$S$3:$S$5001,"&lt;&gt;"))))</f>
        <v/>
      </c>
      <c r="I312" s="54" t="str">
        <f>IF($A312="","",IF(COUNTIFS(BD!$B$3:$B$5001,$A312,BD!$A$3:$A$5001,"&gt;="&amp;$F$7,BD!$A$3:$A$5001,"&lt;="&amp;$G$7,BD!$R$3:$R$5001,"&lt;&gt;")=0,"",SUMIFS(BD!$R$3:$R$5001,BD!$B$3:$B$5001,$A312,BD!$A$3:$A$5001,_xlfn.MAXIFS(BD!$A$3:$A$5001,BD!$B$3:$B$5001,$A312,BD!$A$3:$A$5001,"&gt;="&amp;$F$7,BD!$A$3:$A$5001,"&lt;="&amp;$G$7,BD!$R$3:$R$5001,"&lt;&gt;"))))</f>
        <v/>
      </c>
      <c r="J312" s="54" t="str">
        <f>IF($A312="","",IF(COUNTIFS(BD!$B$3:$B$5001,$A312,BD!$A$3:$A$5001,"&gt;="&amp;$F$8,BD!$A$3:$A$5001,"&lt;="&amp;$G$8,BD!$R$3:$R$5001,"&lt;&gt;")=0,"",SUMIFS(BD!$R$3:$R$5001,BD!$B$3:$B$5001,$A312,BD!$A$3:$A$5001,_xlfn.MAXIFS(BD!$A$3:$A$5001,BD!$B$3:$B$5001,$A312,BD!$A$3:$A$5001,"&gt;="&amp;$F$8,BD!$A$3:$A$5001,"&lt;="&amp;$G$8,BD!$R$3:$R$5001,"&lt;&gt;"))))</f>
        <v/>
      </c>
      <c r="K312" s="54" t="str">
        <f>IF($A312="","",IF(COUNTIFS(BD!$B$3:$B$5001,$A312,BD!$A$3:$A$5001,"&gt;="&amp;$F$7,BD!$A$3:$A$5001,"&lt;="&amp;$G$7,BD!$T$3:$T$5001,"&lt;&gt;")=0,"",SUMIFS(BD!$T$3:$T$5001,BD!$B$3:$B$5001,$A312,BD!$A$3:$A$5001,_xlfn.MAXIFS(BD!$A$3:$A$5001,BD!$B$3:$B$5001,$A312,BD!$A$3:$A$5001,"&gt;="&amp;$F$7,BD!$A$3:$A$5001,"&lt;="&amp;$G$7,BD!$T$3:$T$5001,"&lt;&gt;"))))</f>
        <v/>
      </c>
      <c r="L312" s="54" t="str">
        <f>IF($A312="","",IF(COUNTIFS(BD!$B$3:$B$5001,$A312,BD!$A$3:$A$5001,"&gt;="&amp;$F$8,BD!$A$3:$A$5001,"&lt;="&amp;$G$8,BD!$T$3:$T$5001,"&lt;&gt;")=0,"",SUMIFS(BD!$T$3:$T$5001,BD!$B$3:$B$5001,$A312,BD!$A$3:$A$5001,_xlfn.MAXIFS(BD!$A$3:$A$5001,BD!$B$3:$B$5001,$A312,BD!$A$3:$A$5001,"&gt;="&amp;$F$8,BD!$A$3:$A$5001,"&lt;="&amp;$G$8,BD!$T$3:$T$5001,"&lt;&gt;"))))</f>
        <v/>
      </c>
    </row>
    <row r="313">
      <c r="A313" s="76" t="str">
        <f>Config!$B$16&amp;""</f>
        <v/>
      </c>
      <c r="B313" s="48" t="str">
        <f>IF(Config!$C$16="","JSL",Config!$C$16)</f>
        <v>JSL</v>
      </c>
      <c r="C313" s="54" t="str">
        <f>IF($A313="","",IF(COUNTIFS(BD!$B$3:$B$5001,$A313,BD!$A$3:$A$5001,"&gt;="&amp;$F$7,BD!$A$3:$A$5001,"&lt;="&amp;$G$7,BD!$P$3:$P$5001,"&lt;&gt;")=0,"",SUMIFS(BD!$P$3:$P$5001,BD!$B$3:$B$5001,$A313,BD!$A$3:$A$5001,_xlfn.MAXIFS(BD!$A$3:$A$5001,BD!$B$3:$B$5001,$A313,BD!$A$3:$A$5001,"&gt;="&amp;$F$7,BD!$A$3:$A$5001,"&lt;="&amp;$G$7,BD!$P$3:$P$5001,"&lt;&gt;"))))</f>
        <v/>
      </c>
      <c r="D313" s="54" t="str">
        <f>IF($A313="","",IF(COUNTIFS(BD!$B$3:$B$5001,$A313,BD!$A$3:$A$5001,"&gt;="&amp;$F$8,BD!$A$3:$A$5001,"&lt;="&amp;$G$8,BD!$P$3:$P$5001,"&lt;&gt;")=0,"",SUMIFS(BD!$P$3:$P$5001,BD!$B$3:$B$5001,$A313,BD!$A$3:$A$5001,_xlfn.MAXIFS(BD!$A$3:$A$5001,BD!$B$3:$B$5001,$A313,BD!$A$3:$A$5001,"&gt;="&amp;$F$8,BD!$A$3:$A$5001,"&lt;="&amp;$G$8,BD!$P$3:$P$5001,"&lt;&gt;"))))</f>
        <v/>
      </c>
      <c r="E313" s="54" t="str">
        <f>IF($A313="","",IF(COUNTIFS(BD!$B$3:$B$5001,$A313,BD!$A$3:$A$5001,"&gt;="&amp;$F$7,BD!$A$3:$A$5001,"&lt;="&amp;$G$7,BD!$Q$3:$Q$5001,"&lt;&gt;")=0,"",SUMIFS(BD!$Q$3:$Q$5001,BD!$B$3:$B$5001,$A313,BD!$A$3:$A$5001,_xlfn.MAXIFS(BD!$A$3:$A$5001,BD!$B$3:$B$5001,$A313,BD!$A$3:$A$5001,"&gt;="&amp;$F$7,BD!$A$3:$A$5001,"&lt;="&amp;$G$7,BD!$Q$3:$Q$5001,"&lt;&gt;"))))</f>
        <v/>
      </c>
      <c r="F313" s="54" t="str">
        <f>IF($A313="","",IF(COUNTIFS(BD!$B$3:$B$5001,$A313,BD!$A$3:$A$5001,"&gt;="&amp;$F$8,BD!$A$3:$A$5001,"&lt;="&amp;$G$8,BD!$Q$3:$Q$5001,"&lt;&gt;")=0,"",SUMIFS(BD!$Q$3:$Q$5001,BD!$B$3:$B$5001,$A313,BD!$A$3:$A$5001,_xlfn.MAXIFS(BD!$A$3:$A$5001,BD!$B$3:$B$5001,$A313,BD!$A$3:$A$5001,"&gt;="&amp;$F$8,BD!$A$3:$A$5001,"&lt;="&amp;$G$8,BD!$Q$3:$Q$5001,"&lt;&gt;"))))</f>
        <v/>
      </c>
      <c r="G313" s="54" t="str">
        <f>IF($A313="","",IF(COUNTIFS(BD!$B$3:$B$5001,$A313,BD!$A$3:$A$5001,"&gt;="&amp;$F$7,BD!$A$3:$A$5001,"&lt;="&amp;$G$7,BD!$S$3:$S$5001,"&lt;&gt;")=0,"",SUMIFS(BD!$S$3:$S$5001,BD!$B$3:$B$5001,$A313,BD!$A$3:$A$5001,_xlfn.MAXIFS(BD!$A$3:$A$5001,BD!$B$3:$B$5001,$A313,BD!$A$3:$A$5001,"&gt;="&amp;$F$7,BD!$A$3:$A$5001,"&lt;="&amp;$G$7,BD!$S$3:$S$5001,"&lt;&gt;"))))</f>
        <v/>
      </c>
      <c r="H313" s="54" t="str">
        <f>IF($A313="","",IF(COUNTIFS(BD!$B$3:$B$5001,$A313,BD!$A$3:$A$5001,"&gt;="&amp;$F$8,BD!$A$3:$A$5001,"&lt;="&amp;$G$8,BD!$S$3:$S$5001,"&lt;&gt;")=0,"",SUMIFS(BD!$S$3:$S$5001,BD!$B$3:$B$5001,$A313,BD!$A$3:$A$5001,_xlfn.MAXIFS(BD!$A$3:$A$5001,BD!$B$3:$B$5001,$A313,BD!$A$3:$A$5001,"&gt;="&amp;$F$8,BD!$A$3:$A$5001,"&lt;="&amp;$G$8,BD!$S$3:$S$5001,"&lt;&gt;"))))</f>
        <v/>
      </c>
      <c r="I313" s="54" t="str">
        <f>IF($A313="","",IF(COUNTIFS(BD!$B$3:$B$5001,$A313,BD!$A$3:$A$5001,"&gt;="&amp;$F$7,BD!$A$3:$A$5001,"&lt;="&amp;$G$7,BD!$R$3:$R$5001,"&lt;&gt;")=0,"",SUMIFS(BD!$R$3:$R$5001,BD!$B$3:$B$5001,$A313,BD!$A$3:$A$5001,_xlfn.MAXIFS(BD!$A$3:$A$5001,BD!$B$3:$B$5001,$A313,BD!$A$3:$A$5001,"&gt;="&amp;$F$7,BD!$A$3:$A$5001,"&lt;="&amp;$G$7,BD!$R$3:$R$5001,"&lt;&gt;"))))</f>
        <v/>
      </c>
      <c r="J313" s="54" t="str">
        <f>IF($A313="","",IF(COUNTIFS(BD!$B$3:$B$5001,$A313,BD!$A$3:$A$5001,"&gt;="&amp;$F$8,BD!$A$3:$A$5001,"&lt;="&amp;$G$8,BD!$R$3:$R$5001,"&lt;&gt;")=0,"",SUMIFS(BD!$R$3:$R$5001,BD!$B$3:$B$5001,$A313,BD!$A$3:$A$5001,_xlfn.MAXIFS(BD!$A$3:$A$5001,BD!$B$3:$B$5001,$A313,BD!$A$3:$A$5001,"&gt;="&amp;$F$8,BD!$A$3:$A$5001,"&lt;="&amp;$G$8,BD!$R$3:$R$5001,"&lt;&gt;"))))</f>
        <v/>
      </c>
      <c r="K313" s="54" t="str">
        <f>IF($A313="","",IF(COUNTIFS(BD!$B$3:$B$5001,$A313,BD!$A$3:$A$5001,"&gt;="&amp;$F$7,BD!$A$3:$A$5001,"&lt;="&amp;$G$7,BD!$T$3:$T$5001,"&lt;&gt;")=0,"",SUMIFS(BD!$T$3:$T$5001,BD!$B$3:$B$5001,$A313,BD!$A$3:$A$5001,_xlfn.MAXIFS(BD!$A$3:$A$5001,BD!$B$3:$B$5001,$A313,BD!$A$3:$A$5001,"&gt;="&amp;$F$7,BD!$A$3:$A$5001,"&lt;="&amp;$G$7,BD!$T$3:$T$5001,"&lt;&gt;"))))</f>
        <v/>
      </c>
      <c r="L313" s="54" t="str">
        <f>IF($A313="","",IF(COUNTIFS(BD!$B$3:$B$5001,$A313,BD!$A$3:$A$5001,"&gt;="&amp;$F$8,BD!$A$3:$A$5001,"&lt;="&amp;$G$8,BD!$T$3:$T$5001,"&lt;&gt;")=0,"",SUMIFS(BD!$T$3:$T$5001,BD!$B$3:$B$5001,$A313,BD!$A$3:$A$5001,_xlfn.MAXIFS(BD!$A$3:$A$5001,BD!$B$3:$B$5001,$A313,BD!$A$3:$A$5001,"&gt;="&amp;$F$8,BD!$A$3:$A$5001,"&lt;="&amp;$G$8,BD!$T$3:$T$5001,"&lt;&gt;"))))</f>
        <v/>
      </c>
    </row>
    <row r="314">
      <c r="A314" s="76" t="str">
        <f>Config!$B$17&amp;""</f>
        <v/>
      </c>
      <c r="B314" s="48" t="str">
        <f>IF(Config!$C$17="","JSL",Config!$C$17)</f>
        <v>JSL</v>
      </c>
      <c r="C314" s="54" t="str">
        <f>IF($A314="","",IF(COUNTIFS(BD!$B$3:$B$5001,$A314,BD!$A$3:$A$5001,"&gt;="&amp;$F$7,BD!$A$3:$A$5001,"&lt;="&amp;$G$7,BD!$P$3:$P$5001,"&lt;&gt;")=0,"",SUMIFS(BD!$P$3:$P$5001,BD!$B$3:$B$5001,$A314,BD!$A$3:$A$5001,_xlfn.MAXIFS(BD!$A$3:$A$5001,BD!$B$3:$B$5001,$A314,BD!$A$3:$A$5001,"&gt;="&amp;$F$7,BD!$A$3:$A$5001,"&lt;="&amp;$G$7,BD!$P$3:$P$5001,"&lt;&gt;"))))</f>
        <v/>
      </c>
      <c r="D314" s="54" t="str">
        <f>IF($A314="","",IF(COUNTIFS(BD!$B$3:$B$5001,$A314,BD!$A$3:$A$5001,"&gt;="&amp;$F$8,BD!$A$3:$A$5001,"&lt;="&amp;$G$8,BD!$P$3:$P$5001,"&lt;&gt;")=0,"",SUMIFS(BD!$P$3:$P$5001,BD!$B$3:$B$5001,$A314,BD!$A$3:$A$5001,_xlfn.MAXIFS(BD!$A$3:$A$5001,BD!$B$3:$B$5001,$A314,BD!$A$3:$A$5001,"&gt;="&amp;$F$8,BD!$A$3:$A$5001,"&lt;="&amp;$G$8,BD!$P$3:$P$5001,"&lt;&gt;"))))</f>
        <v/>
      </c>
      <c r="E314" s="54" t="str">
        <f>IF($A314="","",IF(COUNTIFS(BD!$B$3:$B$5001,$A314,BD!$A$3:$A$5001,"&gt;="&amp;$F$7,BD!$A$3:$A$5001,"&lt;="&amp;$G$7,BD!$Q$3:$Q$5001,"&lt;&gt;")=0,"",SUMIFS(BD!$Q$3:$Q$5001,BD!$B$3:$B$5001,$A314,BD!$A$3:$A$5001,_xlfn.MAXIFS(BD!$A$3:$A$5001,BD!$B$3:$B$5001,$A314,BD!$A$3:$A$5001,"&gt;="&amp;$F$7,BD!$A$3:$A$5001,"&lt;="&amp;$G$7,BD!$Q$3:$Q$5001,"&lt;&gt;"))))</f>
        <v/>
      </c>
      <c r="F314" s="54" t="str">
        <f>IF($A314="","",IF(COUNTIFS(BD!$B$3:$B$5001,$A314,BD!$A$3:$A$5001,"&gt;="&amp;$F$8,BD!$A$3:$A$5001,"&lt;="&amp;$G$8,BD!$Q$3:$Q$5001,"&lt;&gt;")=0,"",SUMIFS(BD!$Q$3:$Q$5001,BD!$B$3:$B$5001,$A314,BD!$A$3:$A$5001,_xlfn.MAXIFS(BD!$A$3:$A$5001,BD!$B$3:$B$5001,$A314,BD!$A$3:$A$5001,"&gt;="&amp;$F$8,BD!$A$3:$A$5001,"&lt;="&amp;$G$8,BD!$Q$3:$Q$5001,"&lt;&gt;"))))</f>
        <v/>
      </c>
      <c r="G314" s="54" t="str">
        <f>IF($A314="","",IF(COUNTIFS(BD!$B$3:$B$5001,$A314,BD!$A$3:$A$5001,"&gt;="&amp;$F$7,BD!$A$3:$A$5001,"&lt;="&amp;$G$7,BD!$S$3:$S$5001,"&lt;&gt;")=0,"",SUMIFS(BD!$S$3:$S$5001,BD!$B$3:$B$5001,$A314,BD!$A$3:$A$5001,_xlfn.MAXIFS(BD!$A$3:$A$5001,BD!$B$3:$B$5001,$A314,BD!$A$3:$A$5001,"&gt;="&amp;$F$7,BD!$A$3:$A$5001,"&lt;="&amp;$G$7,BD!$S$3:$S$5001,"&lt;&gt;"))))</f>
        <v/>
      </c>
      <c r="H314" s="54" t="str">
        <f>IF($A314="","",IF(COUNTIFS(BD!$B$3:$B$5001,$A314,BD!$A$3:$A$5001,"&gt;="&amp;$F$8,BD!$A$3:$A$5001,"&lt;="&amp;$G$8,BD!$S$3:$S$5001,"&lt;&gt;")=0,"",SUMIFS(BD!$S$3:$S$5001,BD!$B$3:$B$5001,$A314,BD!$A$3:$A$5001,_xlfn.MAXIFS(BD!$A$3:$A$5001,BD!$B$3:$B$5001,$A314,BD!$A$3:$A$5001,"&gt;="&amp;$F$8,BD!$A$3:$A$5001,"&lt;="&amp;$G$8,BD!$S$3:$S$5001,"&lt;&gt;"))))</f>
        <v/>
      </c>
      <c r="I314" s="54" t="str">
        <f>IF($A314="","",IF(COUNTIFS(BD!$B$3:$B$5001,$A314,BD!$A$3:$A$5001,"&gt;="&amp;$F$7,BD!$A$3:$A$5001,"&lt;="&amp;$G$7,BD!$R$3:$R$5001,"&lt;&gt;")=0,"",SUMIFS(BD!$R$3:$R$5001,BD!$B$3:$B$5001,$A314,BD!$A$3:$A$5001,_xlfn.MAXIFS(BD!$A$3:$A$5001,BD!$B$3:$B$5001,$A314,BD!$A$3:$A$5001,"&gt;="&amp;$F$7,BD!$A$3:$A$5001,"&lt;="&amp;$G$7,BD!$R$3:$R$5001,"&lt;&gt;"))))</f>
        <v/>
      </c>
      <c r="J314" s="54" t="str">
        <f>IF($A314="","",IF(COUNTIFS(BD!$B$3:$B$5001,$A314,BD!$A$3:$A$5001,"&gt;="&amp;$F$8,BD!$A$3:$A$5001,"&lt;="&amp;$G$8,BD!$R$3:$R$5001,"&lt;&gt;")=0,"",SUMIFS(BD!$R$3:$R$5001,BD!$B$3:$B$5001,$A314,BD!$A$3:$A$5001,_xlfn.MAXIFS(BD!$A$3:$A$5001,BD!$B$3:$B$5001,$A314,BD!$A$3:$A$5001,"&gt;="&amp;$F$8,BD!$A$3:$A$5001,"&lt;="&amp;$G$8,BD!$R$3:$R$5001,"&lt;&gt;"))))</f>
        <v/>
      </c>
      <c r="K314" s="54" t="str">
        <f>IF($A314="","",IF(COUNTIFS(BD!$B$3:$B$5001,$A314,BD!$A$3:$A$5001,"&gt;="&amp;$F$7,BD!$A$3:$A$5001,"&lt;="&amp;$G$7,BD!$T$3:$T$5001,"&lt;&gt;")=0,"",SUMIFS(BD!$T$3:$T$5001,BD!$B$3:$B$5001,$A314,BD!$A$3:$A$5001,_xlfn.MAXIFS(BD!$A$3:$A$5001,BD!$B$3:$B$5001,$A314,BD!$A$3:$A$5001,"&gt;="&amp;$F$7,BD!$A$3:$A$5001,"&lt;="&amp;$G$7,BD!$T$3:$T$5001,"&lt;&gt;"))))</f>
        <v/>
      </c>
      <c r="L314" s="54" t="str">
        <f>IF($A314="","",IF(COUNTIFS(BD!$B$3:$B$5001,$A314,BD!$A$3:$A$5001,"&gt;="&amp;$F$8,BD!$A$3:$A$5001,"&lt;="&amp;$G$8,BD!$T$3:$T$5001,"&lt;&gt;")=0,"",SUMIFS(BD!$T$3:$T$5001,BD!$B$3:$B$5001,$A314,BD!$A$3:$A$5001,_xlfn.MAXIFS(BD!$A$3:$A$5001,BD!$B$3:$B$5001,$A314,BD!$A$3:$A$5001,"&gt;="&amp;$F$8,BD!$A$3:$A$5001,"&lt;="&amp;$G$8,BD!$T$3:$T$5001,"&lt;&gt;"))))</f>
        <v/>
      </c>
    </row>
    <row r="315">
      <c r="A315" s="76" t="str">
        <f>Config!$B$18&amp;""</f>
        <v/>
      </c>
      <c r="B315" s="48" t="str">
        <f>IF(Config!$C$18="","JSL",Config!$C$18)</f>
        <v>JSL</v>
      </c>
      <c r="C315" s="54" t="str">
        <f>IF($A315="","",IF(COUNTIFS(BD!$B$3:$B$5001,$A315,BD!$A$3:$A$5001,"&gt;="&amp;$F$7,BD!$A$3:$A$5001,"&lt;="&amp;$G$7,BD!$P$3:$P$5001,"&lt;&gt;")=0,"",SUMIFS(BD!$P$3:$P$5001,BD!$B$3:$B$5001,$A315,BD!$A$3:$A$5001,_xlfn.MAXIFS(BD!$A$3:$A$5001,BD!$B$3:$B$5001,$A315,BD!$A$3:$A$5001,"&gt;="&amp;$F$7,BD!$A$3:$A$5001,"&lt;="&amp;$G$7,BD!$P$3:$P$5001,"&lt;&gt;"))))</f>
        <v/>
      </c>
      <c r="D315" s="54" t="str">
        <f>IF($A315="","",IF(COUNTIFS(BD!$B$3:$B$5001,$A315,BD!$A$3:$A$5001,"&gt;="&amp;$F$8,BD!$A$3:$A$5001,"&lt;="&amp;$G$8,BD!$P$3:$P$5001,"&lt;&gt;")=0,"",SUMIFS(BD!$P$3:$P$5001,BD!$B$3:$B$5001,$A315,BD!$A$3:$A$5001,_xlfn.MAXIFS(BD!$A$3:$A$5001,BD!$B$3:$B$5001,$A315,BD!$A$3:$A$5001,"&gt;="&amp;$F$8,BD!$A$3:$A$5001,"&lt;="&amp;$G$8,BD!$P$3:$P$5001,"&lt;&gt;"))))</f>
        <v/>
      </c>
      <c r="E315" s="54" t="str">
        <f>IF($A315="","",IF(COUNTIFS(BD!$B$3:$B$5001,$A315,BD!$A$3:$A$5001,"&gt;="&amp;$F$7,BD!$A$3:$A$5001,"&lt;="&amp;$G$7,BD!$Q$3:$Q$5001,"&lt;&gt;")=0,"",SUMIFS(BD!$Q$3:$Q$5001,BD!$B$3:$B$5001,$A315,BD!$A$3:$A$5001,_xlfn.MAXIFS(BD!$A$3:$A$5001,BD!$B$3:$B$5001,$A315,BD!$A$3:$A$5001,"&gt;="&amp;$F$7,BD!$A$3:$A$5001,"&lt;="&amp;$G$7,BD!$Q$3:$Q$5001,"&lt;&gt;"))))</f>
        <v/>
      </c>
      <c r="F315" s="54" t="str">
        <f>IF($A315="","",IF(COUNTIFS(BD!$B$3:$B$5001,$A315,BD!$A$3:$A$5001,"&gt;="&amp;$F$8,BD!$A$3:$A$5001,"&lt;="&amp;$G$8,BD!$Q$3:$Q$5001,"&lt;&gt;")=0,"",SUMIFS(BD!$Q$3:$Q$5001,BD!$B$3:$B$5001,$A315,BD!$A$3:$A$5001,_xlfn.MAXIFS(BD!$A$3:$A$5001,BD!$B$3:$B$5001,$A315,BD!$A$3:$A$5001,"&gt;="&amp;$F$8,BD!$A$3:$A$5001,"&lt;="&amp;$G$8,BD!$Q$3:$Q$5001,"&lt;&gt;"))))</f>
        <v/>
      </c>
      <c r="G315" s="54" t="str">
        <f>IF($A315="","",IF(COUNTIFS(BD!$B$3:$B$5001,$A315,BD!$A$3:$A$5001,"&gt;="&amp;$F$7,BD!$A$3:$A$5001,"&lt;="&amp;$G$7,BD!$S$3:$S$5001,"&lt;&gt;")=0,"",SUMIFS(BD!$S$3:$S$5001,BD!$B$3:$B$5001,$A315,BD!$A$3:$A$5001,_xlfn.MAXIFS(BD!$A$3:$A$5001,BD!$B$3:$B$5001,$A315,BD!$A$3:$A$5001,"&gt;="&amp;$F$7,BD!$A$3:$A$5001,"&lt;="&amp;$G$7,BD!$S$3:$S$5001,"&lt;&gt;"))))</f>
        <v/>
      </c>
      <c r="H315" s="54" t="str">
        <f>IF($A315="","",IF(COUNTIFS(BD!$B$3:$B$5001,$A315,BD!$A$3:$A$5001,"&gt;="&amp;$F$8,BD!$A$3:$A$5001,"&lt;="&amp;$G$8,BD!$S$3:$S$5001,"&lt;&gt;")=0,"",SUMIFS(BD!$S$3:$S$5001,BD!$B$3:$B$5001,$A315,BD!$A$3:$A$5001,_xlfn.MAXIFS(BD!$A$3:$A$5001,BD!$B$3:$B$5001,$A315,BD!$A$3:$A$5001,"&gt;="&amp;$F$8,BD!$A$3:$A$5001,"&lt;="&amp;$G$8,BD!$S$3:$S$5001,"&lt;&gt;"))))</f>
        <v/>
      </c>
      <c r="I315" s="54" t="str">
        <f>IF($A315="","",IF(COUNTIFS(BD!$B$3:$B$5001,$A315,BD!$A$3:$A$5001,"&gt;="&amp;$F$7,BD!$A$3:$A$5001,"&lt;="&amp;$G$7,BD!$R$3:$R$5001,"&lt;&gt;")=0,"",SUMIFS(BD!$R$3:$R$5001,BD!$B$3:$B$5001,$A315,BD!$A$3:$A$5001,_xlfn.MAXIFS(BD!$A$3:$A$5001,BD!$B$3:$B$5001,$A315,BD!$A$3:$A$5001,"&gt;="&amp;$F$7,BD!$A$3:$A$5001,"&lt;="&amp;$G$7,BD!$R$3:$R$5001,"&lt;&gt;"))))</f>
        <v/>
      </c>
      <c r="J315" s="54" t="str">
        <f>IF($A315="","",IF(COUNTIFS(BD!$B$3:$B$5001,$A315,BD!$A$3:$A$5001,"&gt;="&amp;$F$8,BD!$A$3:$A$5001,"&lt;="&amp;$G$8,BD!$R$3:$R$5001,"&lt;&gt;")=0,"",SUMIFS(BD!$R$3:$R$5001,BD!$B$3:$B$5001,$A315,BD!$A$3:$A$5001,_xlfn.MAXIFS(BD!$A$3:$A$5001,BD!$B$3:$B$5001,$A315,BD!$A$3:$A$5001,"&gt;="&amp;$F$8,BD!$A$3:$A$5001,"&lt;="&amp;$G$8,BD!$R$3:$R$5001,"&lt;&gt;"))))</f>
        <v/>
      </c>
      <c r="K315" s="54" t="str">
        <f>IF($A315="","",IF(COUNTIFS(BD!$B$3:$B$5001,$A315,BD!$A$3:$A$5001,"&gt;="&amp;$F$7,BD!$A$3:$A$5001,"&lt;="&amp;$G$7,BD!$T$3:$T$5001,"&lt;&gt;")=0,"",SUMIFS(BD!$T$3:$T$5001,BD!$B$3:$B$5001,$A315,BD!$A$3:$A$5001,_xlfn.MAXIFS(BD!$A$3:$A$5001,BD!$B$3:$B$5001,$A315,BD!$A$3:$A$5001,"&gt;="&amp;$F$7,BD!$A$3:$A$5001,"&lt;="&amp;$G$7,BD!$T$3:$T$5001,"&lt;&gt;"))))</f>
        <v/>
      </c>
      <c r="L315" s="54" t="str">
        <f>IF($A315="","",IF(COUNTIFS(BD!$B$3:$B$5001,$A315,BD!$A$3:$A$5001,"&gt;="&amp;$F$8,BD!$A$3:$A$5001,"&lt;="&amp;$G$8,BD!$T$3:$T$5001,"&lt;&gt;")=0,"",SUMIFS(BD!$T$3:$T$5001,BD!$B$3:$B$5001,$A315,BD!$A$3:$A$5001,_xlfn.MAXIFS(BD!$A$3:$A$5001,BD!$B$3:$B$5001,$A315,BD!$A$3:$A$5001,"&gt;="&amp;$F$8,BD!$A$3:$A$5001,"&lt;="&amp;$G$8,BD!$T$3:$T$5001,"&lt;&gt;"))))</f>
        <v/>
      </c>
    </row>
    <row r="316">
      <c r="A316" s="76" t="str">
        <f>Config!$B$19&amp;""</f>
        <v/>
      </c>
      <c r="B316" s="48" t="str">
        <f>IF(Config!$C$19="","JSL",Config!$C$19)</f>
        <v>JSL</v>
      </c>
      <c r="C316" s="54" t="str">
        <f>IF($A316="","",IF(COUNTIFS(BD!$B$3:$B$5001,$A316,BD!$A$3:$A$5001,"&gt;="&amp;$F$7,BD!$A$3:$A$5001,"&lt;="&amp;$G$7,BD!$P$3:$P$5001,"&lt;&gt;")=0,"",SUMIFS(BD!$P$3:$P$5001,BD!$B$3:$B$5001,$A316,BD!$A$3:$A$5001,_xlfn.MAXIFS(BD!$A$3:$A$5001,BD!$B$3:$B$5001,$A316,BD!$A$3:$A$5001,"&gt;="&amp;$F$7,BD!$A$3:$A$5001,"&lt;="&amp;$G$7,BD!$P$3:$P$5001,"&lt;&gt;"))))</f>
        <v/>
      </c>
      <c r="D316" s="54" t="str">
        <f>IF($A316="","",IF(COUNTIFS(BD!$B$3:$B$5001,$A316,BD!$A$3:$A$5001,"&gt;="&amp;$F$8,BD!$A$3:$A$5001,"&lt;="&amp;$G$8,BD!$P$3:$P$5001,"&lt;&gt;")=0,"",SUMIFS(BD!$P$3:$P$5001,BD!$B$3:$B$5001,$A316,BD!$A$3:$A$5001,_xlfn.MAXIFS(BD!$A$3:$A$5001,BD!$B$3:$B$5001,$A316,BD!$A$3:$A$5001,"&gt;="&amp;$F$8,BD!$A$3:$A$5001,"&lt;="&amp;$G$8,BD!$P$3:$P$5001,"&lt;&gt;"))))</f>
        <v/>
      </c>
      <c r="E316" s="54" t="str">
        <f>IF($A316="","",IF(COUNTIFS(BD!$B$3:$B$5001,$A316,BD!$A$3:$A$5001,"&gt;="&amp;$F$7,BD!$A$3:$A$5001,"&lt;="&amp;$G$7,BD!$Q$3:$Q$5001,"&lt;&gt;")=0,"",SUMIFS(BD!$Q$3:$Q$5001,BD!$B$3:$B$5001,$A316,BD!$A$3:$A$5001,_xlfn.MAXIFS(BD!$A$3:$A$5001,BD!$B$3:$B$5001,$A316,BD!$A$3:$A$5001,"&gt;="&amp;$F$7,BD!$A$3:$A$5001,"&lt;="&amp;$G$7,BD!$Q$3:$Q$5001,"&lt;&gt;"))))</f>
        <v/>
      </c>
      <c r="F316" s="54" t="str">
        <f>IF($A316="","",IF(COUNTIFS(BD!$B$3:$B$5001,$A316,BD!$A$3:$A$5001,"&gt;="&amp;$F$8,BD!$A$3:$A$5001,"&lt;="&amp;$G$8,BD!$Q$3:$Q$5001,"&lt;&gt;")=0,"",SUMIFS(BD!$Q$3:$Q$5001,BD!$B$3:$B$5001,$A316,BD!$A$3:$A$5001,_xlfn.MAXIFS(BD!$A$3:$A$5001,BD!$B$3:$B$5001,$A316,BD!$A$3:$A$5001,"&gt;="&amp;$F$8,BD!$A$3:$A$5001,"&lt;="&amp;$G$8,BD!$Q$3:$Q$5001,"&lt;&gt;"))))</f>
        <v/>
      </c>
      <c r="G316" s="54" t="str">
        <f>IF($A316="","",IF(COUNTIFS(BD!$B$3:$B$5001,$A316,BD!$A$3:$A$5001,"&gt;="&amp;$F$7,BD!$A$3:$A$5001,"&lt;="&amp;$G$7,BD!$S$3:$S$5001,"&lt;&gt;")=0,"",SUMIFS(BD!$S$3:$S$5001,BD!$B$3:$B$5001,$A316,BD!$A$3:$A$5001,_xlfn.MAXIFS(BD!$A$3:$A$5001,BD!$B$3:$B$5001,$A316,BD!$A$3:$A$5001,"&gt;="&amp;$F$7,BD!$A$3:$A$5001,"&lt;="&amp;$G$7,BD!$S$3:$S$5001,"&lt;&gt;"))))</f>
        <v/>
      </c>
      <c r="H316" s="54" t="str">
        <f>IF($A316="","",IF(COUNTIFS(BD!$B$3:$B$5001,$A316,BD!$A$3:$A$5001,"&gt;="&amp;$F$8,BD!$A$3:$A$5001,"&lt;="&amp;$G$8,BD!$S$3:$S$5001,"&lt;&gt;")=0,"",SUMIFS(BD!$S$3:$S$5001,BD!$B$3:$B$5001,$A316,BD!$A$3:$A$5001,_xlfn.MAXIFS(BD!$A$3:$A$5001,BD!$B$3:$B$5001,$A316,BD!$A$3:$A$5001,"&gt;="&amp;$F$8,BD!$A$3:$A$5001,"&lt;="&amp;$G$8,BD!$S$3:$S$5001,"&lt;&gt;"))))</f>
        <v/>
      </c>
      <c r="I316" s="54" t="str">
        <f>IF($A316="","",IF(COUNTIFS(BD!$B$3:$B$5001,$A316,BD!$A$3:$A$5001,"&gt;="&amp;$F$7,BD!$A$3:$A$5001,"&lt;="&amp;$G$7,BD!$R$3:$R$5001,"&lt;&gt;")=0,"",SUMIFS(BD!$R$3:$R$5001,BD!$B$3:$B$5001,$A316,BD!$A$3:$A$5001,_xlfn.MAXIFS(BD!$A$3:$A$5001,BD!$B$3:$B$5001,$A316,BD!$A$3:$A$5001,"&gt;="&amp;$F$7,BD!$A$3:$A$5001,"&lt;="&amp;$G$7,BD!$R$3:$R$5001,"&lt;&gt;"))))</f>
        <v/>
      </c>
      <c r="J316" s="54" t="str">
        <f>IF($A316="","",IF(COUNTIFS(BD!$B$3:$B$5001,$A316,BD!$A$3:$A$5001,"&gt;="&amp;$F$8,BD!$A$3:$A$5001,"&lt;="&amp;$G$8,BD!$R$3:$R$5001,"&lt;&gt;")=0,"",SUMIFS(BD!$R$3:$R$5001,BD!$B$3:$B$5001,$A316,BD!$A$3:$A$5001,_xlfn.MAXIFS(BD!$A$3:$A$5001,BD!$B$3:$B$5001,$A316,BD!$A$3:$A$5001,"&gt;="&amp;$F$8,BD!$A$3:$A$5001,"&lt;="&amp;$G$8,BD!$R$3:$R$5001,"&lt;&gt;"))))</f>
        <v/>
      </c>
      <c r="K316" s="54" t="str">
        <f>IF($A316="","",IF(COUNTIFS(BD!$B$3:$B$5001,$A316,BD!$A$3:$A$5001,"&gt;="&amp;$F$7,BD!$A$3:$A$5001,"&lt;="&amp;$G$7,BD!$T$3:$T$5001,"&lt;&gt;")=0,"",SUMIFS(BD!$T$3:$T$5001,BD!$B$3:$B$5001,$A316,BD!$A$3:$A$5001,_xlfn.MAXIFS(BD!$A$3:$A$5001,BD!$B$3:$B$5001,$A316,BD!$A$3:$A$5001,"&gt;="&amp;$F$7,BD!$A$3:$A$5001,"&lt;="&amp;$G$7,BD!$T$3:$T$5001,"&lt;&gt;"))))</f>
        <v/>
      </c>
      <c r="L316" s="54" t="str">
        <f>IF($A316="","",IF(COUNTIFS(BD!$B$3:$B$5001,$A316,BD!$A$3:$A$5001,"&gt;="&amp;$F$8,BD!$A$3:$A$5001,"&lt;="&amp;$G$8,BD!$T$3:$T$5001,"&lt;&gt;")=0,"",SUMIFS(BD!$T$3:$T$5001,BD!$B$3:$B$5001,$A316,BD!$A$3:$A$5001,_xlfn.MAXIFS(BD!$A$3:$A$5001,BD!$B$3:$B$5001,$A316,BD!$A$3:$A$5001,"&gt;="&amp;$F$8,BD!$A$3:$A$5001,"&lt;="&amp;$G$8,BD!$T$3:$T$5001,"&lt;&gt;"))))</f>
        <v/>
      </c>
    </row>
    <row r="317">
      <c r="A317" s="76" t="str">
        <f>Config!$B$20&amp;""</f>
        <v/>
      </c>
      <c r="B317" s="48" t="str">
        <f>IF(Config!$C$20="","JSL",Config!$C$20)</f>
        <v>JSL</v>
      </c>
      <c r="C317" s="54" t="str">
        <f>IF($A317="","",IF(COUNTIFS(BD!$B$3:$B$5001,$A317,BD!$A$3:$A$5001,"&gt;="&amp;$F$7,BD!$A$3:$A$5001,"&lt;="&amp;$G$7,BD!$P$3:$P$5001,"&lt;&gt;")=0,"",SUMIFS(BD!$P$3:$P$5001,BD!$B$3:$B$5001,$A317,BD!$A$3:$A$5001,_xlfn.MAXIFS(BD!$A$3:$A$5001,BD!$B$3:$B$5001,$A317,BD!$A$3:$A$5001,"&gt;="&amp;$F$7,BD!$A$3:$A$5001,"&lt;="&amp;$G$7,BD!$P$3:$P$5001,"&lt;&gt;"))))</f>
        <v/>
      </c>
      <c r="D317" s="54" t="str">
        <f>IF($A317="","",IF(COUNTIFS(BD!$B$3:$B$5001,$A317,BD!$A$3:$A$5001,"&gt;="&amp;$F$8,BD!$A$3:$A$5001,"&lt;="&amp;$G$8,BD!$P$3:$P$5001,"&lt;&gt;")=0,"",SUMIFS(BD!$P$3:$P$5001,BD!$B$3:$B$5001,$A317,BD!$A$3:$A$5001,_xlfn.MAXIFS(BD!$A$3:$A$5001,BD!$B$3:$B$5001,$A317,BD!$A$3:$A$5001,"&gt;="&amp;$F$8,BD!$A$3:$A$5001,"&lt;="&amp;$G$8,BD!$P$3:$P$5001,"&lt;&gt;"))))</f>
        <v/>
      </c>
      <c r="E317" s="54" t="str">
        <f>IF($A317="","",IF(COUNTIFS(BD!$B$3:$B$5001,$A317,BD!$A$3:$A$5001,"&gt;="&amp;$F$7,BD!$A$3:$A$5001,"&lt;="&amp;$G$7,BD!$Q$3:$Q$5001,"&lt;&gt;")=0,"",SUMIFS(BD!$Q$3:$Q$5001,BD!$B$3:$B$5001,$A317,BD!$A$3:$A$5001,_xlfn.MAXIFS(BD!$A$3:$A$5001,BD!$B$3:$B$5001,$A317,BD!$A$3:$A$5001,"&gt;="&amp;$F$7,BD!$A$3:$A$5001,"&lt;="&amp;$G$7,BD!$Q$3:$Q$5001,"&lt;&gt;"))))</f>
        <v/>
      </c>
      <c r="F317" s="54" t="str">
        <f>IF($A317="","",IF(COUNTIFS(BD!$B$3:$B$5001,$A317,BD!$A$3:$A$5001,"&gt;="&amp;$F$8,BD!$A$3:$A$5001,"&lt;="&amp;$G$8,BD!$Q$3:$Q$5001,"&lt;&gt;")=0,"",SUMIFS(BD!$Q$3:$Q$5001,BD!$B$3:$B$5001,$A317,BD!$A$3:$A$5001,_xlfn.MAXIFS(BD!$A$3:$A$5001,BD!$B$3:$B$5001,$A317,BD!$A$3:$A$5001,"&gt;="&amp;$F$8,BD!$A$3:$A$5001,"&lt;="&amp;$G$8,BD!$Q$3:$Q$5001,"&lt;&gt;"))))</f>
        <v/>
      </c>
      <c r="G317" s="54" t="str">
        <f>IF($A317="","",IF(COUNTIFS(BD!$B$3:$B$5001,$A317,BD!$A$3:$A$5001,"&gt;="&amp;$F$7,BD!$A$3:$A$5001,"&lt;="&amp;$G$7,BD!$S$3:$S$5001,"&lt;&gt;")=0,"",SUMIFS(BD!$S$3:$S$5001,BD!$B$3:$B$5001,$A317,BD!$A$3:$A$5001,_xlfn.MAXIFS(BD!$A$3:$A$5001,BD!$B$3:$B$5001,$A317,BD!$A$3:$A$5001,"&gt;="&amp;$F$7,BD!$A$3:$A$5001,"&lt;="&amp;$G$7,BD!$S$3:$S$5001,"&lt;&gt;"))))</f>
        <v/>
      </c>
      <c r="H317" s="54" t="str">
        <f>IF($A317="","",IF(COUNTIFS(BD!$B$3:$B$5001,$A317,BD!$A$3:$A$5001,"&gt;="&amp;$F$8,BD!$A$3:$A$5001,"&lt;="&amp;$G$8,BD!$S$3:$S$5001,"&lt;&gt;")=0,"",SUMIFS(BD!$S$3:$S$5001,BD!$B$3:$B$5001,$A317,BD!$A$3:$A$5001,_xlfn.MAXIFS(BD!$A$3:$A$5001,BD!$B$3:$B$5001,$A317,BD!$A$3:$A$5001,"&gt;="&amp;$F$8,BD!$A$3:$A$5001,"&lt;="&amp;$G$8,BD!$S$3:$S$5001,"&lt;&gt;"))))</f>
        <v/>
      </c>
      <c r="I317" s="54" t="str">
        <f>IF($A317="","",IF(COUNTIFS(BD!$B$3:$B$5001,$A317,BD!$A$3:$A$5001,"&gt;="&amp;$F$7,BD!$A$3:$A$5001,"&lt;="&amp;$G$7,BD!$R$3:$R$5001,"&lt;&gt;")=0,"",SUMIFS(BD!$R$3:$R$5001,BD!$B$3:$B$5001,$A317,BD!$A$3:$A$5001,_xlfn.MAXIFS(BD!$A$3:$A$5001,BD!$B$3:$B$5001,$A317,BD!$A$3:$A$5001,"&gt;="&amp;$F$7,BD!$A$3:$A$5001,"&lt;="&amp;$G$7,BD!$R$3:$R$5001,"&lt;&gt;"))))</f>
        <v/>
      </c>
      <c r="J317" s="54" t="str">
        <f>IF($A317="","",IF(COUNTIFS(BD!$B$3:$B$5001,$A317,BD!$A$3:$A$5001,"&gt;="&amp;$F$8,BD!$A$3:$A$5001,"&lt;="&amp;$G$8,BD!$R$3:$R$5001,"&lt;&gt;")=0,"",SUMIFS(BD!$R$3:$R$5001,BD!$B$3:$B$5001,$A317,BD!$A$3:$A$5001,_xlfn.MAXIFS(BD!$A$3:$A$5001,BD!$B$3:$B$5001,$A317,BD!$A$3:$A$5001,"&gt;="&amp;$F$8,BD!$A$3:$A$5001,"&lt;="&amp;$G$8,BD!$R$3:$R$5001,"&lt;&gt;"))))</f>
        <v/>
      </c>
      <c r="K317" s="54" t="str">
        <f>IF($A317="","",IF(COUNTIFS(BD!$B$3:$B$5001,$A317,BD!$A$3:$A$5001,"&gt;="&amp;$F$7,BD!$A$3:$A$5001,"&lt;="&amp;$G$7,BD!$T$3:$T$5001,"&lt;&gt;")=0,"",SUMIFS(BD!$T$3:$T$5001,BD!$B$3:$B$5001,$A317,BD!$A$3:$A$5001,_xlfn.MAXIFS(BD!$A$3:$A$5001,BD!$B$3:$B$5001,$A317,BD!$A$3:$A$5001,"&gt;="&amp;$F$7,BD!$A$3:$A$5001,"&lt;="&amp;$G$7,BD!$T$3:$T$5001,"&lt;&gt;"))))</f>
        <v/>
      </c>
      <c r="L317" s="54" t="str">
        <f>IF($A317="","",IF(COUNTIFS(BD!$B$3:$B$5001,$A317,BD!$A$3:$A$5001,"&gt;="&amp;$F$8,BD!$A$3:$A$5001,"&lt;="&amp;$G$8,BD!$T$3:$T$5001,"&lt;&gt;")=0,"",SUMIFS(BD!$T$3:$T$5001,BD!$B$3:$B$5001,$A317,BD!$A$3:$A$5001,_xlfn.MAXIFS(BD!$A$3:$A$5001,BD!$B$3:$B$5001,$A317,BD!$A$3:$A$5001,"&gt;="&amp;$F$8,BD!$A$3:$A$5001,"&lt;="&amp;$G$8,BD!$T$3:$T$5001,"&lt;&gt;"))))</f>
        <v/>
      </c>
    </row>
    <row r="318">
      <c r="A318" s="76" t="str">
        <f>Config!$B$21&amp;""</f>
        <v/>
      </c>
      <c r="B318" s="48" t="str">
        <f>IF(Config!$C$21="","JSL",Config!$C$21)</f>
        <v>JSL</v>
      </c>
      <c r="C318" s="54" t="str">
        <f>IF($A318="","",IF(COUNTIFS(BD!$B$3:$B$5001,$A318,BD!$A$3:$A$5001,"&gt;="&amp;$F$7,BD!$A$3:$A$5001,"&lt;="&amp;$G$7,BD!$P$3:$P$5001,"&lt;&gt;")=0,"",SUMIFS(BD!$P$3:$P$5001,BD!$B$3:$B$5001,$A318,BD!$A$3:$A$5001,_xlfn.MAXIFS(BD!$A$3:$A$5001,BD!$B$3:$B$5001,$A318,BD!$A$3:$A$5001,"&gt;="&amp;$F$7,BD!$A$3:$A$5001,"&lt;="&amp;$G$7,BD!$P$3:$P$5001,"&lt;&gt;"))))</f>
        <v/>
      </c>
      <c r="D318" s="54" t="str">
        <f>IF($A318="","",IF(COUNTIFS(BD!$B$3:$B$5001,$A318,BD!$A$3:$A$5001,"&gt;="&amp;$F$8,BD!$A$3:$A$5001,"&lt;="&amp;$G$8,BD!$P$3:$P$5001,"&lt;&gt;")=0,"",SUMIFS(BD!$P$3:$P$5001,BD!$B$3:$B$5001,$A318,BD!$A$3:$A$5001,_xlfn.MAXIFS(BD!$A$3:$A$5001,BD!$B$3:$B$5001,$A318,BD!$A$3:$A$5001,"&gt;="&amp;$F$8,BD!$A$3:$A$5001,"&lt;="&amp;$G$8,BD!$P$3:$P$5001,"&lt;&gt;"))))</f>
        <v/>
      </c>
      <c r="E318" s="54" t="str">
        <f>IF($A318="","",IF(COUNTIFS(BD!$B$3:$B$5001,$A318,BD!$A$3:$A$5001,"&gt;="&amp;$F$7,BD!$A$3:$A$5001,"&lt;="&amp;$G$7,BD!$Q$3:$Q$5001,"&lt;&gt;")=0,"",SUMIFS(BD!$Q$3:$Q$5001,BD!$B$3:$B$5001,$A318,BD!$A$3:$A$5001,_xlfn.MAXIFS(BD!$A$3:$A$5001,BD!$B$3:$B$5001,$A318,BD!$A$3:$A$5001,"&gt;="&amp;$F$7,BD!$A$3:$A$5001,"&lt;="&amp;$G$7,BD!$Q$3:$Q$5001,"&lt;&gt;"))))</f>
        <v/>
      </c>
      <c r="F318" s="54" t="str">
        <f>IF($A318="","",IF(COUNTIFS(BD!$B$3:$B$5001,$A318,BD!$A$3:$A$5001,"&gt;="&amp;$F$8,BD!$A$3:$A$5001,"&lt;="&amp;$G$8,BD!$Q$3:$Q$5001,"&lt;&gt;")=0,"",SUMIFS(BD!$Q$3:$Q$5001,BD!$B$3:$B$5001,$A318,BD!$A$3:$A$5001,_xlfn.MAXIFS(BD!$A$3:$A$5001,BD!$B$3:$B$5001,$A318,BD!$A$3:$A$5001,"&gt;="&amp;$F$8,BD!$A$3:$A$5001,"&lt;="&amp;$G$8,BD!$Q$3:$Q$5001,"&lt;&gt;"))))</f>
        <v/>
      </c>
      <c r="G318" s="54" t="str">
        <f>IF($A318="","",IF(COUNTIFS(BD!$B$3:$B$5001,$A318,BD!$A$3:$A$5001,"&gt;="&amp;$F$7,BD!$A$3:$A$5001,"&lt;="&amp;$G$7,BD!$S$3:$S$5001,"&lt;&gt;")=0,"",SUMIFS(BD!$S$3:$S$5001,BD!$B$3:$B$5001,$A318,BD!$A$3:$A$5001,_xlfn.MAXIFS(BD!$A$3:$A$5001,BD!$B$3:$B$5001,$A318,BD!$A$3:$A$5001,"&gt;="&amp;$F$7,BD!$A$3:$A$5001,"&lt;="&amp;$G$7,BD!$S$3:$S$5001,"&lt;&gt;"))))</f>
        <v/>
      </c>
      <c r="H318" s="54" t="str">
        <f>IF($A318="","",IF(COUNTIFS(BD!$B$3:$B$5001,$A318,BD!$A$3:$A$5001,"&gt;="&amp;$F$8,BD!$A$3:$A$5001,"&lt;="&amp;$G$8,BD!$S$3:$S$5001,"&lt;&gt;")=0,"",SUMIFS(BD!$S$3:$S$5001,BD!$B$3:$B$5001,$A318,BD!$A$3:$A$5001,_xlfn.MAXIFS(BD!$A$3:$A$5001,BD!$B$3:$B$5001,$A318,BD!$A$3:$A$5001,"&gt;="&amp;$F$8,BD!$A$3:$A$5001,"&lt;="&amp;$G$8,BD!$S$3:$S$5001,"&lt;&gt;"))))</f>
        <v/>
      </c>
      <c r="I318" s="54" t="str">
        <f>IF($A318="","",IF(COUNTIFS(BD!$B$3:$B$5001,$A318,BD!$A$3:$A$5001,"&gt;="&amp;$F$7,BD!$A$3:$A$5001,"&lt;="&amp;$G$7,BD!$R$3:$R$5001,"&lt;&gt;")=0,"",SUMIFS(BD!$R$3:$R$5001,BD!$B$3:$B$5001,$A318,BD!$A$3:$A$5001,_xlfn.MAXIFS(BD!$A$3:$A$5001,BD!$B$3:$B$5001,$A318,BD!$A$3:$A$5001,"&gt;="&amp;$F$7,BD!$A$3:$A$5001,"&lt;="&amp;$G$7,BD!$R$3:$R$5001,"&lt;&gt;"))))</f>
        <v/>
      </c>
      <c r="J318" s="54" t="str">
        <f>IF($A318="","",IF(COUNTIFS(BD!$B$3:$B$5001,$A318,BD!$A$3:$A$5001,"&gt;="&amp;$F$8,BD!$A$3:$A$5001,"&lt;="&amp;$G$8,BD!$R$3:$R$5001,"&lt;&gt;")=0,"",SUMIFS(BD!$R$3:$R$5001,BD!$B$3:$B$5001,$A318,BD!$A$3:$A$5001,_xlfn.MAXIFS(BD!$A$3:$A$5001,BD!$B$3:$B$5001,$A318,BD!$A$3:$A$5001,"&gt;="&amp;$F$8,BD!$A$3:$A$5001,"&lt;="&amp;$G$8,BD!$R$3:$R$5001,"&lt;&gt;"))))</f>
        <v/>
      </c>
      <c r="K318" s="54" t="str">
        <f>IF($A318="","",IF(COUNTIFS(BD!$B$3:$B$5001,$A318,BD!$A$3:$A$5001,"&gt;="&amp;$F$7,BD!$A$3:$A$5001,"&lt;="&amp;$G$7,BD!$T$3:$T$5001,"&lt;&gt;")=0,"",SUMIFS(BD!$T$3:$T$5001,BD!$B$3:$B$5001,$A318,BD!$A$3:$A$5001,_xlfn.MAXIFS(BD!$A$3:$A$5001,BD!$B$3:$B$5001,$A318,BD!$A$3:$A$5001,"&gt;="&amp;$F$7,BD!$A$3:$A$5001,"&lt;="&amp;$G$7,BD!$T$3:$T$5001,"&lt;&gt;"))))</f>
        <v/>
      </c>
      <c r="L318" s="54" t="str">
        <f>IF($A318="","",IF(COUNTIFS(BD!$B$3:$B$5001,$A318,BD!$A$3:$A$5001,"&gt;="&amp;$F$8,BD!$A$3:$A$5001,"&lt;="&amp;$G$8,BD!$T$3:$T$5001,"&lt;&gt;")=0,"",SUMIFS(BD!$T$3:$T$5001,BD!$B$3:$B$5001,$A318,BD!$A$3:$A$5001,_xlfn.MAXIFS(BD!$A$3:$A$5001,BD!$B$3:$B$5001,$A318,BD!$A$3:$A$5001,"&gt;="&amp;$F$8,BD!$A$3:$A$5001,"&lt;="&amp;$G$8,BD!$T$3:$T$5001,"&lt;&gt;"))))</f>
        <v/>
      </c>
    </row>
    <row r="319">
      <c r="A319" s="76" t="str">
        <f>Config!$B$22&amp;""</f>
        <v/>
      </c>
      <c r="B319" s="48" t="str">
        <f>IF(Config!$C$22="","JSL",Config!$C$22)</f>
        <v>JSL</v>
      </c>
      <c r="C319" s="54" t="str">
        <f>IF($A319="","",IF(COUNTIFS(BD!$B$3:$B$5001,$A319,BD!$A$3:$A$5001,"&gt;="&amp;$F$7,BD!$A$3:$A$5001,"&lt;="&amp;$G$7,BD!$P$3:$P$5001,"&lt;&gt;")=0,"",SUMIFS(BD!$P$3:$P$5001,BD!$B$3:$B$5001,$A319,BD!$A$3:$A$5001,_xlfn.MAXIFS(BD!$A$3:$A$5001,BD!$B$3:$B$5001,$A319,BD!$A$3:$A$5001,"&gt;="&amp;$F$7,BD!$A$3:$A$5001,"&lt;="&amp;$G$7,BD!$P$3:$P$5001,"&lt;&gt;"))))</f>
        <v/>
      </c>
      <c r="D319" s="54" t="str">
        <f>IF($A319="","",IF(COUNTIFS(BD!$B$3:$B$5001,$A319,BD!$A$3:$A$5001,"&gt;="&amp;$F$8,BD!$A$3:$A$5001,"&lt;="&amp;$G$8,BD!$P$3:$P$5001,"&lt;&gt;")=0,"",SUMIFS(BD!$P$3:$P$5001,BD!$B$3:$B$5001,$A319,BD!$A$3:$A$5001,_xlfn.MAXIFS(BD!$A$3:$A$5001,BD!$B$3:$B$5001,$A319,BD!$A$3:$A$5001,"&gt;="&amp;$F$8,BD!$A$3:$A$5001,"&lt;="&amp;$G$8,BD!$P$3:$P$5001,"&lt;&gt;"))))</f>
        <v/>
      </c>
      <c r="E319" s="54" t="str">
        <f>IF($A319="","",IF(COUNTIFS(BD!$B$3:$B$5001,$A319,BD!$A$3:$A$5001,"&gt;="&amp;$F$7,BD!$A$3:$A$5001,"&lt;="&amp;$G$7,BD!$Q$3:$Q$5001,"&lt;&gt;")=0,"",SUMIFS(BD!$Q$3:$Q$5001,BD!$B$3:$B$5001,$A319,BD!$A$3:$A$5001,_xlfn.MAXIFS(BD!$A$3:$A$5001,BD!$B$3:$B$5001,$A319,BD!$A$3:$A$5001,"&gt;="&amp;$F$7,BD!$A$3:$A$5001,"&lt;="&amp;$G$7,BD!$Q$3:$Q$5001,"&lt;&gt;"))))</f>
        <v/>
      </c>
      <c r="F319" s="54" t="str">
        <f>IF($A319="","",IF(COUNTIFS(BD!$B$3:$B$5001,$A319,BD!$A$3:$A$5001,"&gt;="&amp;$F$8,BD!$A$3:$A$5001,"&lt;="&amp;$G$8,BD!$Q$3:$Q$5001,"&lt;&gt;")=0,"",SUMIFS(BD!$Q$3:$Q$5001,BD!$B$3:$B$5001,$A319,BD!$A$3:$A$5001,_xlfn.MAXIFS(BD!$A$3:$A$5001,BD!$B$3:$B$5001,$A319,BD!$A$3:$A$5001,"&gt;="&amp;$F$8,BD!$A$3:$A$5001,"&lt;="&amp;$G$8,BD!$Q$3:$Q$5001,"&lt;&gt;"))))</f>
        <v/>
      </c>
      <c r="G319" s="54" t="str">
        <f>IF($A319="","",IF(COUNTIFS(BD!$B$3:$B$5001,$A319,BD!$A$3:$A$5001,"&gt;="&amp;$F$7,BD!$A$3:$A$5001,"&lt;="&amp;$G$7,BD!$S$3:$S$5001,"&lt;&gt;")=0,"",SUMIFS(BD!$S$3:$S$5001,BD!$B$3:$B$5001,$A319,BD!$A$3:$A$5001,_xlfn.MAXIFS(BD!$A$3:$A$5001,BD!$B$3:$B$5001,$A319,BD!$A$3:$A$5001,"&gt;="&amp;$F$7,BD!$A$3:$A$5001,"&lt;="&amp;$G$7,BD!$S$3:$S$5001,"&lt;&gt;"))))</f>
        <v/>
      </c>
      <c r="H319" s="54" t="str">
        <f>IF($A319="","",IF(COUNTIFS(BD!$B$3:$B$5001,$A319,BD!$A$3:$A$5001,"&gt;="&amp;$F$8,BD!$A$3:$A$5001,"&lt;="&amp;$G$8,BD!$S$3:$S$5001,"&lt;&gt;")=0,"",SUMIFS(BD!$S$3:$S$5001,BD!$B$3:$B$5001,$A319,BD!$A$3:$A$5001,_xlfn.MAXIFS(BD!$A$3:$A$5001,BD!$B$3:$B$5001,$A319,BD!$A$3:$A$5001,"&gt;="&amp;$F$8,BD!$A$3:$A$5001,"&lt;="&amp;$G$8,BD!$S$3:$S$5001,"&lt;&gt;"))))</f>
        <v/>
      </c>
      <c r="I319" s="54" t="str">
        <f>IF($A319="","",IF(COUNTIFS(BD!$B$3:$B$5001,$A319,BD!$A$3:$A$5001,"&gt;="&amp;$F$7,BD!$A$3:$A$5001,"&lt;="&amp;$G$7,BD!$R$3:$R$5001,"&lt;&gt;")=0,"",SUMIFS(BD!$R$3:$R$5001,BD!$B$3:$B$5001,$A319,BD!$A$3:$A$5001,_xlfn.MAXIFS(BD!$A$3:$A$5001,BD!$B$3:$B$5001,$A319,BD!$A$3:$A$5001,"&gt;="&amp;$F$7,BD!$A$3:$A$5001,"&lt;="&amp;$G$7,BD!$R$3:$R$5001,"&lt;&gt;"))))</f>
        <v/>
      </c>
      <c r="J319" s="54" t="str">
        <f>IF($A319="","",IF(COUNTIFS(BD!$B$3:$B$5001,$A319,BD!$A$3:$A$5001,"&gt;="&amp;$F$8,BD!$A$3:$A$5001,"&lt;="&amp;$G$8,BD!$R$3:$R$5001,"&lt;&gt;")=0,"",SUMIFS(BD!$R$3:$R$5001,BD!$B$3:$B$5001,$A319,BD!$A$3:$A$5001,_xlfn.MAXIFS(BD!$A$3:$A$5001,BD!$B$3:$B$5001,$A319,BD!$A$3:$A$5001,"&gt;="&amp;$F$8,BD!$A$3:$A$5001,"&lt;="&amp;$G$8,BD!$R$3:$R$5001,"&lt;&gt;"))))</f>
        <v/>
      </c>
      <c r="K319" s="54" t="str">
        <f>IF($A319="","",IF(COUNTIFS(BD!$B$3:$B$5001,$A319,BD!$A$3:$A$5001,"&gt;="&amp;$F$7,BD!$A$3:$A$5001,"&lt;="&amp;$G$7,BD!$T$3:$T$5001,"&lt;&gt;")=0,"",SUMIFS(BD!$T$3:$T$5001,BD!$B$3:$B$5001,$A319,BD!$A$3:$A$5001,_xlfn.MAXIFS(BD!$A$3:$A$5001,BD!$B$3:$B$5001,$A319,BD!$A$3:$A$5001,"&gt;="&amp;$F$7,BD!$A$3:$A$5001,"&lt;="&amp;$G$7,BD!$T$3:$T$5001,"&lt;&gt;"))))</f>
        <v/>
      </c>
      <c r="L319" s="54" t="str">
        <f>IF($A319="","",IF(COUNTIFS(BD!$B$3:$B$5001,$A319,BD!$A$3:$A$5001,"&gt;="&amp;$F$8,BD!$A$3:$A$5001,"&lt;="&amp;$G$8,BD!$T$3:$T$5001,"&lt;&gt;")=0,"",SUMIFS(BD!$T$3:$T$5001,BD!$B$3:$B$5001,$A319,BD!$A$3:$A$5001,_xlfn.MAXIFS(BD!$A$3:$A$5001,BD!$B$3:$B$5001,$A319,BD!$A$3:$A$5001,"&gt;="&amp;$F$8,BD!$A$3:$A$5001,"&lt;="&amp;$G$8,BD!$T$3:$T$5001,"&lt;&gt;"))))</f>
        <v/>
      </c>
    </row>
    <row r="320">
      <c r="A320" s="76" t="str">
        <f>Config!$B$23&amp;""</f>
        <v/>
      </c>
      <c r="B320" s="48" t="str">
        <f>IF(Config!$C$23="","JSL",Config!$C$23)</f>
        <v>JSL</v>
      </c>
      <c r="C320" s="54" t="str">
        <f>IF($A320="","",IF(COUNTIFS(BD!$B$3:$B$5001,$A320,BD!$A$3:$A$5001,"&gt;="&amp;$F$7,BD!$A$3:$A$5001,"&lt;="&amp;$G$7,BD!$P$3:$P$5001,"&lt;&gt;")=0,"",SUMIFS(BD!$P$3:$P$5001,BD!$B$3:$B$5001,$A320,BD!$A$3:$A$5001,_xlfn.MAXIFS(BD!$A$3:$A$5001,BD!$B$3:$B$5001,$A320,BD!$A$3:$A$5001,"&gt;="&amp;$F$7,BD!$A$3:$A$5001,"&lt;="&amp;$G$7,BD!$P$3:$P$5001,"&lt;&gt;"))))</f>
        <v/>
      </c>
      <c r="D320" s="54" t="str">
        <f>IF($A320="","",IF(COUNTIFS(BD!$B$3:$B$5001,$A320,BD!$A$3:$A$5001,"&gt;="&amp;$F$8,BD!$A$3:$A$5001,"&lt;="&amp;$G$8,BD!$P$3:$P$5001,"&lt;&gt;")=0,"",SUMIFS(BD!$P$3:$P$5001,BD!$B$3:$B$5001,$A320,BD!$A$3:$A$5001,_xlfn.MAXIFS(BD!$A$3:$A$5001,BD!$B$3:$B$5001,$A320,BD!$A$3:$A$5001,"&gt;="&amp;$F$8,BD!$A$3:$A$5001,"&lt;="&amp;$G$8,BD!$P$3:$P$5001,"&lt;&gt;"))))</f>
        <v/>
      </c>
      <c r="E320" s="54" t="str">
        <f>IF($A320="","",IF(COUNTIFS(BD!$B$3:$B$5001,$A320,BD!$A$3:$A$5001,"&gt;="&amp;$F$7,BD!$A$3:$A$5001,"&lt;="&amp;$G$7,BD!$Q$3:$Q$5001,"&lt;&gt;")=0,"",SUMIFS(BD!$Q$3:$Q$5001,BD!$B$3:$B$5001,$A320,BD!$A$3:$A$5001,_xlfn.MAXIFS(BD!$A$3:$A$5001,BD!$B$3:$B$5001,$A320,BD!$A$3:$A$5001,"&gt;="&amp;$F$7,BD!$A$3:$A$5001,"&lt;="&amp;$G$7,BD!$Q$3:$Q$5001,"&lt;&gt;"))))</f>
        <v/>
      </c>
      <c r="F320" s="54" t="str">
        <f>IF($A320="","",IF(COUNTIFS(BD!$B$3:$B$5001,$A320,BD!$A$3:$A$5001,"&gt;="&amp;$F$8,BD!$A$3:$A$5001,"&lt;="&amp;$G$8,BD!$Q$3:$Q$5001,"&lt;&gt;")=0,"",SUMIFS(BD!$Q$3:$Q$5001,BD!$B$3:$B$5001,$A320,BD!$A$3:$A$5001,_xlfn.MAXIFS(BD!$A$3:$A$5001,BD!$B$3:$B$5001,$A320,BD!$A$3:$A$5001,"&gt;="&amp;$F$8,BD!$A$3:$A$5001,"&lt;="&amp;$G$8,BD!$Q$3:$Q$5001,"&lt;&gt;"))))</f>
        <v/>
      </c>
      <c r="G320" s="54" t="str">
        <f>IF($A320="","",IF(COUNTIFS(BD!$B$3:$B$5001,$A320,BD!$A$3:$A$5001,"&gt;="&amp;$F$7,BD!$A$3:$A$5001,"&lt;="&amp;$G$7,BD!$S$3:$S$5001,"&lt;&gt;")=0,"",SUMIFS(BD!$S$3:$S$5001,BD!$B$3:$B$5001,$A320,BD!$A$3:$A$5001,_xlfn.MAXIFS(BD!$A$3:$A$5001,BD!$B$3:$B$5001,$A320,BD!$A$3:$A$5001,"&gt;="&amp;$F$7,BD!$A$3:$A$5001,"&lt;="&amp;$G$7,BD!$S$3:$S$5001,"&lt;&gt;"))))</f>
        <v/>
      </c>
      <c r="H320" s="54" t="str">
        <f>IF($A320="","",IF(COUNTIFS(BD!$B$3:$B$5001,$A320,BD!$A$3:$A$5001,"&gt;="&amp;$F$8,BD!$A$3:$A$5001,"&lt;="&amp;$G$8,BD!$S$3:$S$5001,"&lt;&gt;")=0,"",SUMIFS(BD!$S$3:$S$5001,BD!$B$3:$B$5001,$A320,BD!$A$3:$A$5001,_xlfn.MAXIFS(BD!$A$3:$A$5001,BD!$B$3:$B$5001,$A320,BD!$A$3:$A$5001,"&gt;="&amp;$F$8,BD!$A$3:$A$5001,"&lt;="&amp;$G$8,BD!$S$3:$S$5001,"&lt;&gt;"))))</f>
        <v/>
      </c>
      <c r="I320" s="54" t="str">
        <f>IF($A320="","",IF(COUNTIFS(BD!$B$3:$B$5001,$A320,BD!$A$3:$A$5001,"&gt;="&amp;$F$7,BD!$A$3:$A$5001,"&lt;="&amp;$G$7,BD!$R$3:$R$5001,"&lt;&gt;")=0,"",SUMIFS(BD!$R$3:$R$5001,BD!$B$3:$B$5001,$A320,BD!$A$3:$A$5001,_xlfn.MAXIFS(BD!$A$3:$A$5001,BD!$B$3:$B$5001,$A320,BD!$A$3:$A$5001,"&gt;="&amp;$F$7,BD!$A$3:$A$5001,"&lt;="&amp;$G$7,BD!$R$3:$R$5001,"&lt;&gt;"))))</f>
        <v/>
      </c>
      <c r="J320" s="54" t="str">
        <f>IF($A320="","",IF(COUNTIFS(BD!$B$3:$B$5001,$A320,BD!$A$3:$A$5001,"&gt;="&amp;$F$8,BD!$A$3:$A$5001,"&lt;="&amp;$G$8,BD!$R$3:$R$5001,"&lt;&gt;")=0,"",SUMIFS(BD!$R$3:$R$5001,BD!$B$3:$B$5001,$A320,BD!$A$3:$A$5001,_xlfn.MAXIFS(BD!$A$3:$A$5001,BD!$B$3:$B$5001,$A320,BD!$A$3:$A$5001,"&gt;="&amp;$F$8,BD!$A$3:$A$5001,"&lt;="&amp;$G$8,BD!$R$3:$R$5001,"&lt;&gt;"))))</f>
        <v/>
      </c>
      <c r="K320" s="54" t="str">
        <f>IF($A320="","",IF(COUNTIFS(BD!$B$3:$B$5001,$A320,BD!$A$3:$A$5001,"&gt;="&amp;$F$7,BD!$A$3:$A$5001,"&lt;="&amp;$G$7,BD!$T$3:$T$5001,"&lt;&gt;")=0,"",SUMIFS(BD!$T$3:$T$5001,BD!$B$3:$B$5001,$A320,BD!$A$3:$A$5001,_xlfn.MAXIFS(BD!$A$3:$A$5001,BD!$B$3:$B$5001,$A320,BD!$A$3:$A$5001,"&gt;="&amp;$F$7,BD!$A$3:$A$5001,"&lt;="&amp;$G$7,BD!$T$3:$T$5001,"&lt;&gt;"))))</f>
        <v/>
      </c>
      <c r="L320" s="54" t="str">
        <f>IF($A320="","",IF(COUNTIFS(BD!$B$3:$B$5001,$A320,BD!$A$3:$A$5001,"&gt;="&amp;$F$8,BD!$A$3:$A$5001,"&lt;="&amp;$G$8,BD!$T$3:$T$5001,"&lt;&gt;")=0,"",SUMIFS(BD!$T$3:$T$5001,BD!$B$3:$B$5001,$A320,BD!$A$3:$A$5001,_xlfn.MAXIFS(BD!$A$3:$A$5001,BD!$B$3:$B$5001,$A320,BD!$A$3:$A$5001,"&gt;="&amp;$F$8,BD!$A$3:$A$5001,"&lt;="&amp;$G$8,BD!$T$3:$T$5001,"&lt;&gt;"))))</f>
        <v/>
      </c>
    </row>
    <row r="321">
      <c r="A321" s="76" t="str">
        <f>Config!$B$24&amp;""</f>
        <v/>
      </c>
      <c r="B321" s="48" t="str">
        <f>IF(Config!$C$24="","JSL",Config!$C$24)</f>
        <v>JSL</v>
      </c>
      <c r="C321" s="54" t="str">
        <f>IF($A321="","",IF(COUNTIFS(BD!$B$3:$B$5001,$A321,BD!$A$3:$A$5001,"&gt;="&amp;$F$7,BD!$A$3:$A$5001,"&lt;="&amp;$G$7,BD!$P$3:$P$5001,"&lt;&gt;")=0,"",SUMIFS(BD!$P$3:$P$5001,BD!$B$3:$B$5001,$A321,BD!$A$3:$A$5001,_xlfn.MAXIFS(BD!$A$3:$A$5001,BD!$B$3:$B$5001,$A321,BD!$A$3:$A$5001,"&gt;="&amp;$F$7,BD!$A$3:$A$5001,"&lt;="&amp;$G$7,BD!$P$3:$P$5001,"&lt;&gt;"))))</f>
        <v/>
      </c>
      <c r="D321" s="54" t="str">
        <f>IF($A321="","",IF(COUNTIFS(BD!$B$3:$B$5001,$A321,BD!$A$3:$A$5001,"&gt;="&amp;$F$8,BD!$A$3:$A$5001,"&lt;="&amp;$G$8,BD!$P$3:$P$5001,"&lt;&gt;")=0,"",SUMIFS(BD!$P$3:$P$5001,BD!$B$3:$B$5001,$A321,BD!$A$3:$A$5001,_xlfn.MAXIFS(BD!$A$3:$A$5001,BD!$B$3:$B$5001,$A321,BD!$A$3:$A$5001,"&gt;="&amp;$F$8,BD!$A$3:$A$5001,"&lt;="&amp;$G$8,BD!$P$3:$P$5001,"&lt;&gt;"))))</f>
        <v/>
      </c>
      <c r="E321" s="54" t="str">
        <f>IF($A321="","",IF(COUNTIFS(BD!$B$3:$B$5001,$A321,BD!$A$3:$A$5001,"&gt;="&amp;$F$7,BD!$A$3:$A$5001,"&lt;="&amp;$G$7,BD!$Q$3:$Q$5001,"&lt;&gt;")=0,"",SUMIFS(BD!$Q$3:$Q$5001,BD!$B$3:$B$5001,$A321,BD!$A$3:$A$5001,_xlfn.MAXIFS(BD!$A$3:$A$5001,BD!$B$3:$B$5001,$A321,BD!$A$3:$A$5001,"&gt;="&amp;$F$7,BD!$A$3:$A$5001,"&lt;="&amp;$G$7,BD!$Q$3:$Q$5001,"&lt;&gt;"))))</f>
        <v/>
      </c>
      <c r="F321" s="54" t="str">
        <f>IF($A321="","",IF(COUNTIFS(BD!$B$3:$B$5001,$A321,BD!$A$3:$A$5001,"&gt;="&amp;$F$8,BD!$A$3:$A$5001,"&lt;="&amp;$G$8,BD!$Q$3:$Q$5001,"&lt;&gt;")=0,"",SUMIFS(BD!$Q$3:$Q$5001,BD!$B$3:$B$5001,$A321,BD!$A$3:$A$5001,_xlfn.MAXIFS(BD!$A$3:$A$5001,BD!$B$3:$B$5001,$A321,BD!$A$3:$A$5001,"&gt;="&amp;$F$8,BD!$A$3:$A$5001,"&lt;="&amp;$G$8,BD!$Q$3:$Q$5001,"&lt;&gt;"))))</f>
        <v/>
      </c>
      <c r="G321" s="54" t="str">
        <f>IF($A321="","",IF(COUNTIFS(BD!$B$3:$B$5001,$A321,BD!$A$3:$A$5001,"&gt;="&amp;$F$7,BD!$A$3:$A$5001,"&lt;="&amp;$G$7,BD!$S$3:$S$5001,"&lt;&gt;")=0,"",SUMIFS(BD!$S$3:$S$5001,BD!$B$3:$B$5001,$A321,BD!$A$3:$A$5001,_xlfn.MAXIFS(BD!$A$3:$A$5001,BD!$B$3:$B$5001,$A321,BD!$A$3:$A$5001,"&gt;="&amp;$F$7,BD!$A$3:$A$5001,"&lt;="&amp;$G$7,BD!$S$3:$S$5001,"&lt;&gt;"))))</f>
        <v/>
      </c>
      <c r="H321" s="54" t="str">
        <f>IF($A321="","",IF(COUNTIFS(BD!$B$3:$B$5001,$A321,BD!$A$3:$A$5001,"&gt;="&amp;$F$8,BD!$A$3:$A$5001,"&lt;="&amp;$G$8,BD!$S$3:$S$5001,"&lt;&gt;")=0,"",SUMIFS(BD!$S$3:$S$5001,BD!$B$3:$B$5001,$A321,BD!$A$3:$A$5001,_xlfn.MAXIFS(BD!$A$3:$A$5001,BD!$B$3:$B$5001,$A321,BD!$A$3:$A$5001,"&gt;="&amp;$F$8,BD!$A$3:$A$5001,"&lt;="&amp;$G$8,BD!$S$3:$S$5001,"&lt;&gt;"))))</f>
        <v/>
      </c>
      <c r="I321" s="54" t="str">
        <f>IF($A321="","",IF(COUNTIFS(BD!$B$3:$B$5001,$A321,BD!$A$3:$A$5001,"&gt;="&amp;$F$7,BD!$A$3:$A$5001,"&lt;="&amp;$G$7,BD!$R$3:$R$5001,"&lt;&gt;")=0,"",SUMIFS(BD!$R$3:$R$5001,BD!$B$3:$B$5001,$A321,BD!$A$3:$A$5001,_xlfn.MAXIFS(BD!$A$3:$A$5001,BD!$B$3:$B$5001,$A321,BD!$A$3:$A$5001,"&gt;="&amp;$F$7,BD!$A$3:$A$5001,"&lt;="&amp;$G$7,BD!$R$3:$R$5001,"&lt;&gt;"))))</f>
        <v/>
      </c>
      <c r="J321" s="54" t="str">
        <f>IF($A321="","",IF(COUNTIFS(BD!$B$3:$B$5001,$A321,BD!$A$3:$A$5001,"&gt;="&amp;$F$8,BD!$A$3:$A$5001,"&lt;="&amp;$G$8,BD!$R$3:$R$5001,"&lt;&gt;")=0,"",SUMIFS(BD!$R$3:$R$5001,BD!$B$3:$B$5001,$A321,BD!$A$3:$A$5001,_xlfn.MAXIFS(BD!$A$3:$A$5001,BD!$B$3:$B$5001,$A321,BD!$A$3:$A$5001,"&gt;="&amp;$F$8,BD!$A$3:$A$5001,"&lt;="&amp;$G$8,BD!$R$3:$R$5001,"&lt;&gt;"))))</f>
        <v/>
      </c>
      <c r="K321" s="54" t="str">
        <f>IF($A321="","",IF(COUNTIFS(BD!$B$3:$B$5001,$A321,BD!$A$3:$A$5001,"&gt;="&amp;$F$7,BD!$A$3:$A$5001,"&lt;="&amp;$G$7,BD!$T$3:$T$5001,"&lt;&gt;")=0,"",SUMIFS(BD!$T$3:$T$5001,BD!$B$3:$B$5001,$A321,BD!$A$3:$A$5001,_xlfn.MAXIFS(BD!$A$3:$A$5001,BD!$B$3:$B$5001,$A321,BD!$A$3:$A$5001,"&gt;="&amp;$F$7,BD!$A$3:$A$5001,"&lt;="&amp;$G$7,BD!$T$3:$T$5001,"&lt;&gt;"))))</f>
        <v/>
      </c>
      <c r="L321" s="54" t="str">
        <f>IF($A321="","",IF(COUNTIFS(BD!$B$3:$B$5001,$A321,BD!$A$3:$A$5001,"&gt;="&amp;$F$8,BD!$A$3:$A$5001,"&lt;="&amp;$G$8,BD!$T$3:$T$5001,"&lt;&gt;")=0,"",SUMIFS(BD!$T$3:$T$5001,BD!$B$3:$B$5001,$A321,BD!$A$3:$A$5001,_xlfn.MAXIFS(BD!$A$3:$A$5001,BD!$B$3:$B$5001,$A321,BD!$A$3:$A$5001,"&gt;="&amp;$F$8,BD!$A$3:$A$5001,"&lt;="&amp;$G$8,BD!$T$3:$T$5001,"&lt;&gt;"))))</f>
        <v/>
      </c>
    </row>
    <row r="322">
      <c r="A322" s="76" t="str">
        <f>Config!$B$25&amp;""</f>
        <v/>
      </c>
      <c r="B322" s="48" t="str">
        <f>IF(Config!$C$25="","JSL",Config!$C$25)</f>
        <v>JSL</v>
      </c>
      <c r="C322" s="54" t="str">
        <f>IF($A322="","",IF(COUNTIFS(BD!$B$3:$B$5001,$A322,BD!$A$3:$A$5001,"&gt;="&amp;$F$7,BD!$A$3:$A$5001,"&lt;="&amp;$G$7,BD!$P$3:$P$5001,"&lt;&gt;")=0,"",SUMIFS(BD!$P$3:$P$5001,BD!$B$3:$B$5001,$A322,BD!$A$3:$A$5001,_xlfn.MAXIFS(BD!$A$3:$A$5001,BD!$B$3:$B$5001,$A322,BD!$A$3:$A$5001,"&gt;="&amp;$F$7,BD!$A$3:$A$5001,"&lt;="&amp;$G$7,BD!$P$3:$P$5001,"&lt;&gt;"))))</f>
        <v/>
      </c>
      <c r="D322" s="54" t="str">
        <f>IF($A322="","",IF(COUNTIFS(BD!$B$3:$B$5001,$A322,BD!$A$3:$A$5001,"&gt;="&amp;$F$8,BD!$A$3:$A$5001,"&lt;="&amp;$G$8,BD!$P$3:$P$5001,"&lt;&gt;")=0,"",SUMIFS(BD!$P$3:$P$5001,BD!$B$3:$B$5001,$A322,BD!$A$3:$A$5001,_xlfn.MAXIFS(BD!$A$3:$A$5001,BD!$B$3:$B$5001,$A322,BD!$A$3:$A$5001,"&gt;="&amp;$F$8,BD!$A$3:$A$5001,"&lt;="&amp;$G$8,BD!$P$3:$P$5001,"&lt;&gt;"))))</f>
        <v/>
      </c>
      <c r="E322" s="54" t="str">
        <f>IF($A322="","",IF(COUNTIFS(BD!$B$3:$B$5001,$A322,BD!$A$3:$A$5001,"&gt;="&amp;$F$7,BD!$A$3:$A$5001,"&lt;="&amp;$G$7,BD!$Q$3:$Q$5001,"&lt;&gt;")=0,"",SUMIFS(BD!$Q$3:$Q$5001,BD!$B$3:$B$5001,$A322,BD!$A$3:$A$5001,_xlfn.MAXIFS(BD!$A$3:$A$5001,BD!$B$3:$B$5001,$A322,BD!$A$3:$A$5001,"&gt;="&amp;$F$7,BD!$A$3:$A$5001,"&lt;="&amp;$G$7,BD!$Q$3:$Q$5001,"&lt;&gt;"))))</f>
        <v/>
      </c>
      <c r="F322" s="54" t="str">
        <f>IF($A322="","",IF(COUNTIFS(BD!$B$3:$B$5001,$A322,BD!$A$3:$A$5001,"&gt;="&amp;$F$8,BD!$A$3:$A$5001,"&lt;="&amp;$G$8,BD!$Q$3:$Q$5001,"&lt;&gt;")=0,"",SUMIFS(BD!$Q$3:$Q$5001,BD!$B$3:$B$5001,$A322,BD!$A$3:$A$5001,_xlfn.MAXIFS(BD!$A$3:$A$5001,BD!$B$3:$B$5001,$A322,BD!$A$3:$A$5001,"&gt;="&amp;$F$8,BD!$A$3:$A$5001,"&lt;="&amp;$G$8,BD!$Q$3:$Q$5001,"&lt;&gt;"))))</f>
        <v/>
      </c>
      <c r="G322" s="54" t="str">
        <f>IF($A322="","",IF(COUNTIFS(BD!$B$3:$B$5001,$A322,BD!$A$3:$A$5001,"&gt;="&amp;$F$7,BD!$A$3:$A$5001,"&lt;="&amp;$G$7,BD!$S$3:$S$5001,"&lt;&gt;")=0,"",SUMIFS(BD!$S$3:$S$5001,BD!$B$3:$B$5001,$A322,BD!$A$3:$A$5001,_xlfn.MAXIFS(BD!$A$3:$A$5001,BD!$B$3:$B$5001,$A322,BD!$A$3:$A$5001,"&gt;="&amp;$F$7,BD!$A$3:$A$5001,"&lt;="&amp;$G$7,BD!$S$3:$S$5001,"&lt;&gt;"))))</f>
        <v/>
      </c>
      <c r="H322" s="54" t="str">
        <f>IF($A322="","",IF(COUNTIFS(BD!$B$3:$B$5001,$A322,BD!$A$3:$A$5001,"&gt;="&amp;$F$8,BD!$A$3:$A$5001,"&lt;="&amp;$G$8,BD!$S$3:$S$5001,"&lt;&gt;")=0,"",SUMIFS(BD!$S$3:$S$5001,BD!$B$3:$B$5001,$A322,BD!$A$3:$A$5001,_xlfn.MAXIFS(BD!$A$3:$A$5001,BD!$B$3:$B$5001,$A322,BD!$A$3:$A$5001,"&gt;="&amp;$F$8,BD!$A$3:$A$5001,"&lt;="&amp;$G$8,BD!$S$3:$S$5001,"&lt;&gt;"))))</f>
        <v/>
      </c>
      <c r="I322" s="54" t="str">
        <f>IF($A322="","",IF(COUNTIFS(BD!$B$3:$B$5001,$A322,BD!$A$3:$A$5001,"&gt;="&amp;$F$7,BD!$A$3:$A$5001,"&lt;="&amp;$G$7,BD!$R$3:$R$5001,"&lt;&gt;")=0,"",SUMIFS(BD!$R$3:$R$5001,BD!$B$3:$B$5001,$A322,BD!$A$3:$A$5001,_xlfn.MAXIFS(BD!$A$3:$A$5001,BD!$B$3:$B$5001,$A322,BD!$A$3:$A$5001,"&gt;="&amp;$F$7,BD!$A$3:$A$5001,"&lt;="&amp;$G$7,BD!$R$3:$R$5001,"&lt;&gt;"))))</f>
        <v/>
      </c>
      <c r="J322" s="54" t="str">
        <f>IF($A322="","",IF(COUNTIFS(BD!$B$3:$B$5001,$A322,BD!$A$3:$A$5001,"&gt;="&amp;$F$8,BD!$A$3:$A$5001,"&lt;="&amp;$G$8,BD!$R$3:$R$5001,"&lt;&gt;")=0,"",SUMIFS(BD!$R$3:$R$5001,BD!$B$3:$B$5001,$A322,BD!$A$3:$A$5001,_xlfn.MAXIFS(BD!$A$3:$A$5001,BD!$B$3:$B$5001,$A322,BD!$A$3:$A$5001,"&gt;="&amp;$F$8,BD!$A$3:$A$5001,"&lt;="&amp;$G$8,BD!$R$3:$R$5001,"&lt;&gt;"))))</f>
        <v/>
      </c>
      <c r="K322" s="54" t="str">
        <f>IF($A322="","",IF(COUNTIFS(BD!$B$3:$B$5001,$A322,BD!$A$3:$A$5001,"&gt;="&amp;$F$7,BD!$A$3:$A$5001,"&lt;="&amp;$G$7,BD!$T$3:$T$5001,"&lt;&gt;")=0,"",SUMIFS(BD!$T$3:$T$5001,BD!$B$3:$B$5001,$A322,BD!$A$3:$A$5001,_xlfn.MAXIFS(BD!$A$3:$A$5001,BD!$B$3:$B$5001,$A322,BD!$A$3:$A$5001,"&gt;="&amp;$F$7,BD!$A$3:$A$5001,"&lt;="&amp;$G$7,BD!$T$3:$T$5001,"&lt;&gt;"))))</f>
        <v/>
      </c>
      <c r="L322" s="54" t="str">
        <f>IF($A322="","",IF(COUNTIFS(BD!$B$3:$B$5001,$A322,BD!$A$3:$A$5001,"&gt;="&amp;$F$8,BD!$A$3:$A$5001,"&lt;="&amp;$G$8,BD!$T$3:$T$5001,"&lt;&gt;")=0,"",SUMIFS(BD!$T$3:$T$5001,BD!$B$3:$B$5001,$A322,BD!$A$3:$A$5001,_xlfn.MAXIFS(BD!$A$3:$A$5001,BD!$B$3:$B$5001,$A322,BD!$A$3:$A$5001,"&gt;="&amp;$F$8,BD!$A$3:$A$5001,"&lt;="&amp;$G$8,BD!$T$3:$T$5001,"&lt;&gt;"))))</f>
        <v/>
      </c>
    </row>
    <row r="323">
      <c r="A323" s="76" t="str">
        <f>Config!$B$26&amp;""</f>
        <v/>
      </c>
      <c r="B323" s="48" t="str">
        <f>IF(Config!$C$26="","JSL",Config!$C$26)</f>
        <v>JSL</v>
      </c>
      <c r="C323" s="54" t="str">
        <f>IF($A323="","",IF(COUNTIFS(BD!$B$3:$B$5001,$A323,BD!$A$3:$A$5001,"&gt;="&amp;$F$7,BD!$A$3:$A$5001,"&lt;="&amp;$G$7,BD!$P$3:$P$5001,"&lt;&gt;")=0,"",SUMIFS(BD!$P$3:$P$5001,BD!$B$3:$B$5001,$A323,BD!$A$3:$A$5001,_xlfn.MAXIFS(BD!$A$3:$A$5001,BD!$B$3:$B$5001,$A323,BD!$A$3:$A$5001,"&gt;="&amp;$F$7,BD!$A$3:$A$5001,"&lt;="&amp;$G$7,BD!$P$3:$P$5001,"&lt;&gt;"))))</f>
        <v/>
      </c>
      <c r="D323" s="54" t="str">
        <f>IF($A323="","",IF(COUNTIFS(BD!$B$3:$B$5001,$A323,BD!$A$3:$A$5001,"&gt;="&amp;$F$8,BD!$A$3:$A$5001,"&lt;="&amp;$G$8,BD!$P$3:$P$5001,"&lt;&gt;")=0,"",SUMIFS(BD!$P$3:$P$5001,BD!$B$3:$B$5001,$A323,BD!$A$3:$A$5001,_xlfn.MAXIFS(BD!$A$3:$A$5001,BD!$B$3:$B$5001,$A323,BD!$A$3:$A$5001,"&gt;="&amp;$F$8,BD!$A$3:$A$5001,"&lt;="&amp;$G$8,BD!$P$3:$P$5001,"&lt;&gt;"))))</f>
        <v/>
      </c>
      <c r="E323" s="54" t="str">
        <f>IF($A323="","",IF(COUNTIFS(BD!$B$3:$B$5001,$A323,BD!$A$3:$A$5001,"&gt;="&amp;$F$7,BD!$A$3:$A$5001,"&lt;="&amp;$G$7,BD!$Q$3:$Q$5001,"&lt;&gt;")=0,"",SUMIFS(BD!$Q$3:$Q$5001,BD!$B$3:$B$5001,$A323,BD!$A$3:$A$5001,_xlfn.MAXIFS(BD!$A$3:$A$5001,BD!$B$3:$B$5001,$A323,BD!$A$3:$A$5001,"&gt;="&amp;$F$7,BD!$A$3:$A$5001,"&lt;="&amp;$G$7,BD!$Q$3:$Q$5001,"&lt;&gt;"))))</f>
        <v/>
      </c>
      <c r="F323" s="54" t="str">
        <f>IF($A323="","",IF(COUNTIFS(BD!$B$3:$B$5001,$A323,BD!$A$3:$A$5001,"&gt;="&amp;$F$8,BD!$A$3:$A$5001,"&lt;="&amp;$G$8,BD!$Q$3:$Q$5001,"&lt;&gt;")=0,"",SUMIFS(BD!$Q$3:$Q$5001,BD!$B$3:$B$5001,$A323,BD!$A$3:$A$5001,_xlfn.MAXIFS(BD!$A$3:$A$5001,BD!$B$3:$B$5001,$A323,BD!$A$3:$A$5001,"&gt;="&amp;$F$8,BD!$A$3:$A$5001,"&lt;="&amp;$G$8,BD!$Q$3:$Q$5001,"&lt;&gt;"))))</f>
        <v/>
      </c>
      <c r="G323" s="54" t="str">
        <f>IF($A323="","",IF(COUNTIFS(BD!$B$3:$B$5001,$A323,BD!$A$3:$A$5001,"&gt;="&amp;$F$7,BD!$A$3:$A$5001,"&lt;="&amp;$G$7,BD!$S$3:$S$5001,"&lt;&gt;")=0,"",SUMIFS(BD!$S$3:$S$5001,BD!$B$3:$B$5001,$A323,BD!$A$3:$A$5001,_xlfn.MAXIFS(BD!$A$3:$A$5001,BD!$B$3:$B$5001,$A323,BD!$A$3:$A$5001,"&gt;="&amp;$F$7,BD!$A$3:$A$5001,"&lt;="&amp;$G$7,BD!$S$3:$S$5001,"&lt;&gt;"))))</f>
        <v/>
      </c>
      <c r="H323" s="54" t="str">
        <f>IF($A323="","",IF(COUNTIFS(BD!$B$3:$B$5001,$A323,BD!$A$3:$A$5001,"&gt;="&amp;$F$8,BD!$A$3:$A$5001,"&lt;="&amp;$G$8,BD!$S$3:$S$5001,"&lt;&gt;")=0,"",SUMIFS(BD!$S$3:$S$5001,BD!$B$3:$B$5001,$A323,BD!$A$3:$A$5001,_xlfn.MAXIFS(BD!$A$3:$A$5001,BD!$B$3:$B$5001,$A323,BD!$A$3:$A$5001,"&gt;="&amp;$F$8,BD!$A$3:$A$5001,"&lt;="&amp;$G$8,BD!$S$3:$S$5001,"&lt;&gt;"))))</f>
        <v/>
      </c>
      <c r="I323" s="54" t="str">
        <f>IF($A323="","",IF(COUNTIFS(BD!$B$3:$B$5001,$A323,BD!$A$3:$A$5001,"&gt;="&amp;$F$7,BD!$A$3:$A$5001,"&lt;="&amp;$G$7,BD!$R$3:$R$5001,"&lt;&gt;")=0,"",SUMIFS(BD!$R$3:$R$5001,BD!$B$3:$B$5001,$A323,BD!$A$3:$A$5001,_xlfn.MAXIFS(BD!$A$3:$A$5001,BD!$B$3:$B$5001,$A323,BD!$A$3:$A$5001,"&gt;="&amp;$F$7,BD!$A$3:$A$5001,"&lt;="&amp;$G$7,BD!$R$3:$R$5001,"&lt;&gt;"))))</f>
        <v/>
      </c>
      <c r="J323" s="54" t="str">
        <f>IF($A323="","",IF(COUNTIFS(BD!$B$3:$B$5001,$A323,BD!$A$3:$A$5001,"&gt;="&amp;$F$8,BD!$A$3:$A$5001,"&lt;="&amp;$G$8,BD!$R$3:$R$5001,"&lt;&gt;")=0,"",SUMIFS(BD!$R$3:$R$5001,BD!$B$3:$B$5001,$A323,BD!$A$3:$A$5001,_xlfn.MAXIFS(BD!$A$3:$A$5001,BD!$B$3:$B$5001,$A323,BD!$A$3:$A$5001,"&gt;="&amp;$F$8,BD!$A$3:$A$5001,"&lt;="&amp;$G$8,BD!$R$3:$R$5001,"&lt;&gt;"))))</f>
        <v/>
      </c>
      <c r="K323" s="54" t="str">
        <f>IF($A323="","",IF(COUNTIFS(BD!$B$3:$B$5001,$A323,BD!$A$3:$A$5001,"&gt;="&amp;$F$7,BD!$A$3:$A$5001,"&lt;="&amp;$G$7,BD!$T$3:$T$5001,"&lt;&gt;")=0,"",SUMIFS(BD!$T$3:$T$5001,BD!$B$3:$B$5001,$A323,BD!$A$3:$A$5001,_xlfn.MAXIFS(BD!$A$3:$A$5001,BD!$B$3:$B$5001,$A323,BD!$A$3:$A$5001,"&gt;="&amp;$F$7,BD!$A$3:$A$5001,"&lt;="&amp;$G$7,BD!$T$3:$T$5001,"&lt;&gt;"))))</f>
        <v/>
      </c>
      <c r="L323" s="54" t="str">
        <f>IF($A323="","",IF(COUNTIFS(BD!$B$3:$B$5001,$A323,BD!$A$3:$A$5001,"&gt;="&amp;$F$8,BD!$A$3:$A$5001,"&lt;="&amp;$G$8,BD!$T$3:$T$5001,"&lt;&gt;")=0,"",SUMIFS(BD!$T$3:$T$5001,BD!$B$3:$B$5001,$A323,BD!$A$3:$A$5001,_xlfn.MAXIFS(BD!$A$3:$A$5001,BD!$B$3:$B$5001,$A323,BD!$A$3:$A$5001,"&gt;="&amp;$F$8,BD!$A$3:$A$5001,"&lt;="&amp;$G$8,BD!$T$3:$T$5001,"&lt;&gt;"))))</f>
        <v/>
      </c>
    </row>
    <row r="324">
      <c r="A324" s="76" t="str">
        <f>Config!$B$27&amp;""</f>
        <v/>
      </c>
      <c r="B324" s="48" t="str">
        <f>IF(Config!$C$27="","JSL",Config!$C$27)</f>
        <v>JSL</v>
      </c>
      <c r="C324" s="54" t="str">
        <f>IF($A324="","",IF(COUNTIFS(BD!$B$3:$B$5001,$A324,BD!$A$3:$A$5001,"&gt;="&amp;$F$7,BD!$A$3:$A$5001,"&lt;="&amp;$G$7,BD!$P$3:$P$5001,"&lt;&gt;")=0,"",SUMIFS(BD!$P$3:$P$5001,BD!$B$3:$B$5001,$A324,BD!$A$3:$A$5001,_xlfn.MAXIFS(BD!$A$3:$A$5001,BD!$B$3:$B$5001,$A324,BD!$A$3:$A$5001,"&gt;="&amp;$F$7,BD!$A$3:$A$5001,"&lt;="&amp;$G$7,BD!$P$3:$P$5001,"&lt;&gt;"))))</f>
        <v/>
      </c>
      <c r="D324" s="54" t="str">
        <f>IF($A324="","",IF(COUNTIFS(BD!$B$3:$B$5001,$A324,BD!$A$3:$A$5001,"&gt;="&amp;$F$8,BD!$A$3:$A$5001,"&lt;="&amp;$G$8,BD!$P$3:$P$5001,"&lt;&gt;")=0,"",SUMIFS(BD!$P$3:$P$5001,BD!$B$3:$B$5001,$A324,BD!$A$3:$A$5001,_xlfn.MAXIFS(BD!$A$3:$A$5001,BD!$B$3:$B$5001,$A324,BD!$A$3:$A$5001,"&gt;="&amp;$F$8,BD!$A$3:$A$5001,"&lt;="&amp;$G$8,BD!$P$3:$P$5001,"&lt;&gt;"))))</f>
        <v/>
      </c>
      <c r="E324" s="54" t="str">
        <f>IF($A324="","",IF(COUNTIFS(BD!$B$3:$B$5001,$A324,BD!$A$3:$A$5001,"&gt;="&amp;$F$7,BD!$A$3:$A$5001,"&lt;="&amp;$G$7,BD!$Q$3:$Q$5001,"&lt;&gt;")=0,"",SUMIFS(BD!$Q$3:$Q$5001,BD!$B$3:$B$5001,$A324,BD!$A$3:$A$5001,_xlfn.MAXIFS(BD!$A$3:$A$5001,BD!$B$3:$B$5001,$A324,BD!$A$3:$A$5001,"&gt;="&amp;$F$7,BD!$A$3:$A$5001,"&lt;="&amp;$G$7,BD!$Q$3:$Q$5001,"&lt;&gt;"))))</f>
        <v/>
      </c>
      <c r="F324" s="54" t="str">
        <f>IF($A324="","",IF(COUNTIFS(BD!$B$3:$B$5001,$A324,BD!$A$3:$A$5001,"&gt;="&amp;$F$8,BD!$A$3:$A$5001,"&lt;="&amp;$G$8,BD!$Q$3:$Q$5001,"&lt;&gt;")=0,"",SUMIFS(BD!$Q$3:$Q$5001,BD!$B$3:$B$5001,$A324,BD!$A$3:$A$5001,_xlfn.MAXIFS(BD!$A$3:$A$5001,BD!$B$3:$B$5001,$A324,BD!$A$3:$A$5001,"&gt;="&amp;$F$8,BD!$A$3:$A$5001,"&lt;="&amp;$G$8,BD!$Q$3:$Q$5001,"&lt;&gt;"))))</f>
        <v/>
      </c>
      <c r="G324" s="54" t="str">
        <f>IF($A324="","",IF(COUNTIFS(BD!$B$3:$B$5001,$A324,BD!$A$3:$A$5001,"&gt;="&amp;$F$7,BD!$A$3:$A$5001,"&lt;="&amp;$G$7,BD!$S$3:$S$5001,"&lt;&gt;")=0,"",SUMIFS(BD!$S$3:$S$5001,BD!$B$3:$B$5001,$A324,BD!$A$3:$A$5001,_xlfn.MAXIFS(BD!$A$3:$A$5001,BD!$B$3:$B$5001,$A324,BD!$A$3:$A$5001,"&gt;="&amp;$F$7,BD!$A$3:$A$5001,"&lt;="&amp;$G$7,BD!$S$3:$S$5001,"&lt;&gt;"))))</f>
        <v/>
      </c>
      <c r="H324" s="54" t="str">
        <f>IF($A324="","",IF(COUNTIFS(BD!$B$3:$B$5001,$A324,BD!$A$3:$A$5001,"&gt;="&amp;$F$8,BD!$A$3:$A$5001,"&lt;="&amp;$G$8,BD!$S$3:$S$5001,"&lt;&gt;")=0,"",SUMIFS(BD!$S$3:$S$5001,BD!$B$3:$B$5001,$A324,BD!$A$3:$A$5001,_xlfn.MAXIFS(BD!$A$3:$A$5001,BD!$B$3:$B$5001,$A324,BD!$A$3:$A$5001,"&gt;="&amp;$F$8,BD!$A$3:$A$5001,"&lt;="&amp;$G$8,BD!$S$3:$S$5001,"&lt;&gt;"))))</f>
        <v/>
      </c>
      <c r="I324" s="54" t="str">
        <f>IF($A324="","",IF(COUNTIFS(BD!$B$3:$B$5001,$A324,BD!$A$3:$A$5001,"&gt;="&amp;$F$7,BD!$A$3:$A$5001,"&lt;="&amp;$G$7,BD!$R$3:$R$5001,"&lt;&gt;")=0,"",SUMIFS(BD!$R$3:$R$5001,BD!$B$3:$B$5001,$A324,BD!$A$3:$A$5001,_xlfn.MAXIFS(BD!$A$3:$A$5001,BD!$B$3:$B$5001,$A324,BD!$A$3:$A$5001,"&gt;="&amp;$F$7,BD!$A$3:$A$5001,"&lt;="&amp;$G$7,BD!$R$3:$R$5001,"&lt;&gt;"))))</f>
        <v/>
      </c>
      <c r="J324" s="54" t="str">
        <f>IF($A324="","",IF(COUNTIFS(BD!$B$3:$B$5001,$A324,BD!$A$3:$A$5001,"&gt;="&amp;$F$8,BD!$A$3:$A$5001,"&lt;="&amp;$G$8,BD!$R$3:$R$5001,"&lt;&gt;")=0,"",SUMIFS(BD!$R$3:$R$5001,BD!$B$3:$B$5001,$A324,BD!$A$3:$A$5001,_xlfn.MAXIFS(BD!$A$3:$A$5001,BD!$B$3:$B$5001,$A324,BD!$A$3:$A$5001,"&gt;="&amp;$F$8,BD!$A$3:$A$5001,"&lt;="&amp;$G$8,BD!$R$3:$R$5001,"&lt;&gt;"))))</f>
        <v/>
      </c>
      <c r="K324" s="54" t="str">
        <f>IF($A324="","",IF(COUNTIFS(BD!$B$3:$B$5001,$A324,BD!$A$3:$A$5001,"&gt;="&amp;$F$7,BD!$A$3:$A$5001,"&lt;="&amp;$G$7,BD!$T$3:$T$5001,"&lt;&gt;")=0,"",SUMIFS(BD!$T$3:$T$5001,BD!$B$3:$B$5001,$A324,BD!$A$3:$A$5001,_xlfn.MAXIFS(BD!$A$3:$A$5001,BD!$B$3:$B$5001,$A324,BD!$A$3:$A$5001,"&gt;="&amp;$F$7,BD!$A$3:$A$5001,"&lt;="&amp;$G$7,BD!$T$3:$T$5001,"&lt;&gt;"))))</f>
        <v/>
      </c>
      <c r="L324" s="54" t="str">
        <f>IF($A324="","",IF(COUNTIFS(BD!$B$3:$B$5001,$A324,BD!$A$3:$A$5001,"&gt;="&amp;$F$8,BD!$A$3:$A$5001,"&lt;="&amp;$G$8,BD!$T$3:$T$5001,"&lt;&gt;")=0,"",SUMIFS(BD!$T$3:$T$5001,BD!$B$3:$B$5001,$A324,BD!$A$3:$A$5001,_xlfn.MAXIFS(BD!$A$3:$A$5001,BD!$B$3:$B$5001,$A324,BD!$A$3:$A$5001,"&gt;="&amp;$F$8,BD!$A$3:$A$5001,"&lt;="&amp;$G$8,BD!$T$3:$T$5001,"&lt;&gt;"))))</f>
        <v/>
      </c>
    </row>
    <row r="325">
      <c r="A325" s="76" t="str">
        <f>Config!$B$28&amp;""</f>
        <v/>
      </c>
      <c r="B325" s="48" t="str">
        <f>IF(Config!$C$28="","JSL",Config!$C$28)</f>
        <v>JSL</v>
      </c>
      <c r="C325" s="54" t="str">
        <f>IF($A325="","",IF(COUNTIFS(BD!$B$3:$B$5001,$A325,BD!$A$3:$A$5001,"&gt;="&amp;$F$7,BD!$A$3:$A$5001,"&lt;="&amp;$G$7,BD!$P$3:$P$5001,"&lt;&gt;")=0,"",SUMIFS(BD!$P$3:$P$5001,BD!$B$3:$B$5001,$A325,BD!$A$3:$A$5001,_xlfn.MAXIFS(BD!$A$3:$A$5001,BD!$B$3:$B$5001,$A325,BD!$A$3:$A$5001,"&gt;="&amp;$F$7,BD!$A$3:$A$5001,"&lt;="&amp;$G$7,BD!$P$3:$P$5001,"&lt;&gt;"))))</f>
        <v/>
      </c>
      <c r="D325" s="54" t="str">
        <f>IF($A325="","",IF(COUNTIFS(BD!$B$3:$B$5001,$A325,BD!$A$3:$A$5001,"&gt;="&amp;$F$8,BD!$A$3:$A$5001,"&lt;="&amp;$G$8,BD!$P$3:$P$5001,"&lt;&gt;")=0,"",SUMIFS(BD!$P$3:$P$5001,BD!$B$3:$B$5001,$A325,BD!$A$3:$A$5001,_xlfn.MAXIFS(BD!$A$3:$A$5001,BD!$B$3:$B$5001,$A325,BD!$A$3:$A$5001,"&gt;="&amp;$F$8,BD!$A$3:$A$5001,"&lt;="&amp;$G$8,BD!$P$3:$P$5001,"&lt;&gt;"))))</f>
        <v/>
      </c>
      <c r="E325" s="54" t="str">
        <f>IF($A325="","",IF(COUNTIFS(BD!$B$3:$B$5001,$A325,BD!$A$3:$A$5001,"&gt;="&amp;$F$7,BD!$A$3:$A$5001,"&lt;="&amp;$G$7,BD!$Q$3:$Q$5001,"&lt;&gt;")=0,"",SUMIFS(BD!$Q$3:$Q$5001,BD!$B$3:$B$5001,$A325,BD!$A$3:$A$5001,_xlfn.MAXIFS(BD!$A$3:$A$5001,BD!$B$3:$B$5001,$A325,BD!$A$3:$A$5001,"&gt;="&amp;$F$7,BD!$A$3:$A$5001,"&lt;="&amp;$G$7,BD!$Q$3:$Q$5001,"&lt;&gt;"))))</f>
        <v/>
      </c>
      <c r="F325" s="54" t="str">
        <f>IF($A325="","",IF(COUNTIFS(BD!$B$3:$B$5001,$A325,BD!$A$3:$A$5001,"&gt;="&amp;$F$8,BD!$A$3:$A$5001,"&lt;="&amp;$G$8,BD!$Q$3:$Q$5001,"&lt;&gt;")=0,"",SUMIFS(BD!$Q$3:$Q$5001,BD!$B$3:$B$5001,$A325,BD!$A$3:$A$5001,_xlfn.MAXIFS(BD!$A$3:$A$5001,BD!$B$3:$B$5001,$A325,BD!$A$3:$A$5001,"&gt;="&amp;$F$8,BD!$A$3:$A$5001,"&lt;="&amp;$G$8,BD!$Q$3:$Q$5001,"&lt;&gt;"))))</f>
        <v/>
      </c>
      <c r="G325" s="54" t="str">
        <f>IF($A325="","",IF(COUNTIFS(BD!$B$3:$B$5001,$A325,BD!$A$3:$A$5001,"&gt;="&amp;$F$7,BD!$A$3:$A$5001,"&lt;="&amp;$G$7,BD!$S$3:$S$5001,"&lt;&gt;")=0,"",SUMIFS(BD!$S$3:$S$5001,BD!$B$3:$B$5001,$A325,BD!$A$3:$A$5001,_xlfn.MAXIFS(BD!$A$3:$A$5001,BD!$B$3:$B$5001,$A325,BD!$A$3:$A$5001,"&gt;="&amp;$F$7,BD!$A$3:$A$5001,"&lt;="&amp;$G$7,BD!$S$3:$S$5001,"&lt;&gt;"))))</f>
        <v/>
      </c>
      <c r="H325" s="54" t="str">
        <f>IF($A325="","",IF(COUNTIFS(BD!$B$3:$B$5001,$A325,BD!$A$3:$A$5001,"&gt;="&amp;$F$8,BD!$A$3:$A$5001,"&lt;="&amp;$G$8,BD!$S$3:$S$5001,"&lt;&gt;")=0,"",SUMIFS(BD!$S$3:$S$5001,BD!$B$3:$B$5001,$A325,BD!$A$3:$A$5001,_xlfn.MAXIFS(BD!$A$3:$A$5001,BD!$B$3:$B$5001,$A325,BD!$A$3:$A$5001,"&gt;="&amp;$F$8,BD!$A$3:$A$5001,"&lt;="&amp;$G$8,BD!$S$3:$S$5001,"&lt;&gt;"))))</f>
        <v/>
      </c>
      <c r="I325" s="54" t="str">
        <f>IF($A325="","",IF(COUNTIFS(BD!$B$3:$B$5001,$A325,BD!$A$3:$A$5001,"&gt;="&amp;$F$7,BD!$A$3:$A$5001,"&lt;="&amp;$G$7,BD!$R$3:$R$5001,"&lt;&gt;")=0,"",SUMIFS(BD!$R$3:$R$5001,BD!$B$3:$B$5001,$A325,BD!$A$3:$A$5001,_xlfn.MAXIFS(BD!$A$3:$A$5001,BD!$B$3:$B$5001,$A325,BD!$A$3:$A$5001,"&gt;="&amp;$F$7,BD!$A$3:$A$5001,"&lt;="&amp;$G$7,BD!$R$3:$R$5001,"&lt;&gt;"))))</f>
        <v/>
      </c>
      <c r="J325" s="54" t="str">
        <f>IF($A325="","",IF(COUNTIFS(BD!$B$3:$B$5001,$A325,BD!$A$3:$A$5001,"&gt;="&amp;$F$8,BD!$A$3:$A$5001,"&lt;="&amp;$G$8,BD!$R$3:$R$5001,"&lt;&gt;")=0,"",SUMIFS(BD!$R$3:$R$5001,BD!$B$3:$B$5001,$A325,BD!$A$3:$A$5001,_xlfn.MAXIFS(BD!$A$3:$A$5001,BD!$B$3:$B$5001,$A325,BD!$A$3:$A$5001,"&gt;="&amp;$F$8,BD!$A$3:$A$5001,"&lt;="&amp;$G$8,BD!$R$3:$R$5001,"&lt;&gt;"))))</f>
        <v/>
      </c>
      <c r="K325" s="54" t="str">
        <f>IF($A325="","",IF(COUNTIFS(BD!$B$3:$B$5001,$A325,BD!$A$3:$A$5001,"&gt;="&amp;$F$7,BD!$A$3:$A$5001,"&lt;="&amp;$G$7,BD!$T$3:$T$5001,"&lt;&gt;")=0,"",SUMIFS(BD!$T$3:$T$5001,BD!$B$3:$B$5001,$A325,BD!$A$3:$A$5001,_xlfn.MAXIFS(BD!$A$3:$A$5001,BD!$B$3:$B$5001,$A325,BD!$A$3:$A$5001,"&gt;="&amp;$F$7,BD!$A$3:$A$5001,"&lt;="&amp;$G$7,BD!$T$3:$T$5001,"&lt;&gt;"))))</f>
        <v/>
      </c>
      <c r="L325" s="54" t="str">
        <f>IF($A325="","",IF(COUNTIFS(BD!$B$3:$B$5001,$A325,BD!$A$3:$A$5001,"&gt;="&amp;$F$8,BD!$A$3:$A$5001,"&lt;="&amp;$G$8,BD!$T$3:$T$5001,"&lt;&gt;")=0,"",SUMIFS(BD!$T$3:$T$5001,BD!$B$3:$B$5001,$A325,BD!$A$3:$A$5001,_xlfn.MAXIFS(BD!$A$3:$A$5001,BD!$B$3:$B$5001,$A325,BD!$A$3:$A$5001,"&gt;="&amp;$F$8,BD!$A$3:$A$5001,"&lt;="&amp;$G$8,BD!$T$3:$T$5001,"&lt;&gt;"))))</f>
        <v/>
      </c>
    </row>
    <row r="326">
      <c r="A326" s="76" t="str">
        <f>Config!$B$29&amp;""</f>
        <v/>
      </c>
      <c r="B326" s="48" t="str">
        <f>IF(Config!$C$29="","JSL",Config!$C$29)</f>
        <v>JSL</v>
      </c>
      <c r="C326" s="54" t="str">
        <f>IF($A326="","",IF(COUNTIFS(BD!$B$3:$B$5001,$A326,BD!$A$3:$A$5001,"&gt;="&amp;$F$7,BD!$A$3:$A$5001,"&lt;="&amp;$G$7,BD!$P$3:$P$5001,"&lt;&gt;")=0,"",SUMIFS(BD!$P$3:$P$5001,BD!$B$3:$B$5001,$A326,BD!$A$3:$A$5001,_xlfn.MAXIFS(BD!$A$3:$A$5001,BD!$B$3:$B$5001,$A326,BD!$A$3:$A$5001,"&gt;="&amp;$F$7,BD!$A$3:$A$5001,"&lt;="&amp;$G$7,BD!$P$3:$P$5001,"&lt;&gt;"))))</f>
        <v/>
      </c>
      <c r="D326" s="54" t="str">
        <f>IF($A326="","",IF(COUNTIFS(BD!$B$3:$B$5001,$A326,BD!$A$3:$A$5001,"&gt;="&amp;$F$8,BD!$A$3:$A$5001,"&lt;="&amp;$G$8,BD!$P$3:$P$5001,"&lt;&gt;")=0,"",SUMIFS(BD!$P$3:$P$5001,BD!$B$3:$B$5001,$A326,BD!$A$3:$A$5001,_xlfn.MAXIFS(BD!$A$3:$A$5001,BD!$B$3:$B$5001,$A326,BD!$A$3:$A$5001,"&gt;="&amp;$F$8,BD!$A$3:$A$5001,"&lt;="&amp;$G$8,BD!$P$3:$P$5001,"&lt;&gt;"))))</f>
        <v/>
      </c>
      <c r="E326" s="54" t="str">
        <f>IF($A326="","",IF(COUNTIFS(BD!$B$3:$B$5001,$A326,BD!$A$3:$A$5001,"&gt;="&amp;$F$7,BD!$A$3:$A$5001,"&lt;="&amp;$G$7,BD!$Q$3:$Q$5001,"&lt;&gt;")=0,"",SUMIFS(BD!$Q$3:$Q$5001,BD!$B$3:$B$5001,$A326,BD!$A$3:$A$5001,_xlfn.MAXIFS(BD!$A$3:$A$5001,BD!$B$3:$B$5001,$A326,BD!$A$3:$A$5001,"&gt;="&amp;$F$7,BD!$A$3:$A$5001,"&lt;="&amp;$G$7,BD!$Q$3:$Q$5001,"&lt;&gt;"))))</f>
        <v/>
      </c>
      <c r="F326" s="54" t="str">
        <f>IF($A326="","",IF(COUNTIFS(BD!$B$3:$B$5001,$A326,BD!$A$3:$A$5001,"&gt;="&amp;$F$8,BD!$A$3:$A$5001,"&lt;="&amp;$G$8,BD!$Q$3:$Q$5001,"&lt;&gt;")=0,"",SUMIFS(BD!$Q$3:$Q$5001,BD!$B$3:$B$5001,$A326,BD!$A$3:$A$5001,_xlfn.MAXIFS(BD!$A$3:$A$5001,BD!$B$3:$B$5001,$A326,BD!$A$3:$A$5001,"&gt;="&amp;$F$8,BD!$A$3:$A$5001,"&lt;="&amp;$G$8,BD!$Q$3:$Q$5001,"&lt;&gt;"))))</f>
        <v/>
      </c>
      <c r="G326" s="54" t="str">
        <f>IF($A326="","",IF(COUNTIFS(BD!$B$3:$B$5001,$A326,BD!$A$3:$A$5001,"&gt;="&amp;$F$7,BD!$A$3:$A$5001,"&lt;="&amp;$G$7,BD!$S$3:$S$5001,"&lt;&gt;")=0,"",SUMIFS(BD!$S$3:$S$5001,BD!$B$3:$B$5001,$A326,BD!$A$3:$A$5001,_xlfn.MAXIFS(BD!$A$3:$A$5001,BD!$B$3:$B$5001,$A326,BD!$A$3:$A$5001,"&gt;="&amp;$F$7,BD!$A$3:$A$5001,"&lt;="&amp;$G$7,BD!$S$3:$S$5001,"&lt;&gt;"))))</f>
        <v/>
      </c>
      <c r="H326" s="54" t="str">
        <f>IF($A326="","",IF(COUNTIFS(BD!$B$3:$B$5001,$A326,BD!$A$3:$A$5001,"&gt;="&amp;$F$8,BD!$A$3:$A$5001,"&lt;="&amp;$G$8,BD!$S$3:$S$5001,"&lt;&gt;")=0,"",SUMIFS(BD!$S$3:$S$5001,BD!$B$3:$B$5001,$A326,BD!$A$3:$A$5001,_xlfn.MAXIFS(BD!$A$3:$A$5001,BD!$B$3:$B$5001,$A326,BD!$A$3:$A$5001,"&gt;="&amp;$F$8,BD!$A$3:$A$5001,"&lt;="&amp;$G$8,BD!$S$3:$S$5001,"&lt;&gt;"))))</f>
        <v/>
      </c>
      <c r="I326" s="54" t="str">
        <f>IF($A326="","",IF(COUNTIFS(BD!$B$3:$B$5001,$A326,BD!$A$3:$A$5001,"&gt;="&amp;$F$7,BD!$A$3:$A$5001,"&lt;="&amp;$G$7,BD!$R$3:$R$5001,"&lt;&gt;")=0,"",SUMIFS(BD!$R$3:$R$5001,BD!$B$3:$B$5001,$A326,BD!$A$3:$A$5001,_xlfn.MAXIFS(BD!$A$3:$A$5001,BD!$B$3:$B$5001,$A326,BD!$A$3:$A$5001,"&gt;="&amp;$F$7,BD!$A$3:$A$5001,"&lt;="&amp;$G$7,BD!$R$3:$R$5001,"&lt;&gt;"))))</f>
        <v/>
      </c>
      <c r="J326" s="54" t="str">
        <f>IF($A326="","",IF(COUNTIFS(BD!$B$3:$B$5001,$A326,BD!$A$3:$A$5001,"&gt;="&amp;$F$8,BD!$A$3:$A$5001,"&lt;="&amp;$G$8,BD!$R$3:$R$5001,"&lt;&gt;")=0,"",SUMIFS(BD!$R$3:$R$5001,BD!$B$3:$B$5001,$A326,BD!$A$3:$A$5001,_xlfn.MAXIFS(BD!$A$3:$A$5001,BD!$B$3:$B$5001,$A326,BD!$A$3:$A$5001,"&gt;="&amp;$F$8,BD!$A$3:$A$5001,"&lt;="&amp;$G$8,BD!$R$3:$R$5001,"&lt;&gt;"))))</f>
        <v/>
      </c>
      <c r="K326" s="54" t="str">
        <f>IF($A326="","",IF(COUNTIFS(BD!$B$3:$B$5001,$A326,BD!$A$3:$A$5001,"&gt;="&amp;$F$7,BD!$A$3:$A$5001,"&lt;="&amp;$G$7,BD!$T$3:$T$5001,"&lt;&gt;")=0,"",SUMIFS(BD!$T$3:$T$5001,BD!$B$3:$B$5001,$A326,BD!$A$3:$A$5001,_xlfn.MAXIFS(BD!$A$3:$A$5001,BD!$B$3:$B$5001,$A326,BD!$A$3:$A$5001,"&gt;="&amp;$F$7,BD!$A$3:$A$5001,"&lt;="&amp;$G$7,BD!$T$3:$T$5001,"&lt;&gt;"))))</f>
        <v/>
      </c>
      <c r="L326" s="54" t="str">
        <f>IF($A326="","",IF(COUNTIFS(BD!$B$3:$B$5001,$A326,BD!$A$3:$A$5001,"&gt;="&amp;$F$8,BD!$A$3:$A$5001,"&lt;="&amp;$G$8,BD!$T$3:$T$5001,"&lt;&gt;")=0,"",SUMIFS(BD!$T$3:$T$5001,BD!$B$3:$B$5001,$A326,BD!$A$3:$A$5001,_xlfn.MAXIFS(BD!$A$3:$A$5001,BD!$B$3:$B$5001,$A326,BD!$A$3:$A$5001,"&gt;="&amp;$F$8,BD!$A$3:$A$5001,"&lt;="&amp;$G$8,BD!$T$3:$T$5001,"&lt;&gt;"))))</f>
        <v/>
      </c>
    </row>
    <row r="328">
      <c r="A328" s="52" t="inlineStr">
        <is>
          <t xml:space="preserve">INDICADORES DO PERÍODO (cards do Dashboard)</t>
        </is>
      </c>
    </row>
    <row r="329">
      <c r="A329" s="47" t="inlineStr">
        <is>
          <t xml:space="preserve">Indicador</t>
        </is>
      </c>
      <c r="B329" s="47" t="inlineStr">
        <is>
          <t xml:space="preserve">Período</t>
        </is>
      </c>
      <c r="C329" s="47" t="inlineStr">
        <is>
          <t xml:space="preserve">Período anterior</t>
        </is>
      </c>
      <c r="D329" s="47" t="inlineStr">
        <is>
          <t xml:space="preserve">Variação</t>
        </is>
      </c>
    </row>
    <row r="330">
      <c r="A330" s="40" t="inlineStr">
        <is>
          <t xml:space="preserve">IN · Veículos Recebidos</t>
        </is>
      </c>
      <c r="B330" s="42">
        <f>IF($B$2="Todos",SUMIFS(BD!$C$3:$C$5001,BD!$A$3:$A$5001,"&gt;="&amp;$F$7,BD!$A$3:$A$5001,"&lt;="&amp;$G$7),SUMIFS(BD!$C$3:$C$5001,BD!$A$3:$A$5001,"&gt;="&amp;$F$7,BD!$A$3:$A$5001,"&lt;="&amp;$G$7,BD!$B$3:$B$5001,$D$2))</f>
        <v>0</v>
      </c>
      <c r="C330" s="42">
        <f>IF($B$2="Todos",SUMIFS(BD!$C$3:$C$5001,BD!$A$3:$A$5001,"&gt;="&amp;$F$8,BD!$A$3:$A$5001,"&lt;="&amp;$G$8),SUMIFS(BD!$C$3:$C$5001,BD!$A$3:$A$5001,"&gt;="&amp;$F$8,BD!$A$3:$A$5001,"&lt;="&amp;$G$8,BD!$B$3:$B$5001,$D$2))</f>
        <v>0</v>
      </c>
      <c r="D330" s="60" t="str">
        <f>IF(AND(ISNUMBER(B330),ISNUMBER(C330)),IF(C330&lt;&gt;0,B330/C330-1,""),"")</f>
        <v/>
      </c>
    </row>
    <row r="331">
      <c r="A331" s="40" t="inlineStr">
        <is>
          <t xml:space="preserve">IN · Pallets Movimentados</t>
        </is>
      </c>
      <c r="B331" s="42">
        <f>IF($B$2="Todos",SUMIFS(BD!$D$3:$D$5001,BD!$A$3:$A$5001,"&gt;="&amp;$F$7,BD!$A$3:$A$5001,"&lt;="&amp;$G$7),SUMIFS(BD!$D$3:$D$5001,BD!$A$3:$A$5001,"&gt;="&amp;$F$7,BD!$A$3:$A$5001,"&lt;="&amp;$G$7,BD!$B$3:$B$5001,$D$2))</f>
        <v>0</v>
      </c>
      <c r="C331" s="42">
        <f>IF($B$2="Todos",SUMIFS(BD!$D$3:$D$5001,BD!$A$3:$A$5001,"&gt;="&amp;$F$8,BD!$A$3:$A$5001,"&lt;="&amp;$G$8),SUMIFS(BD!$D$3:$D$5001,BD!$A$3:$A$5001,"&gt;="&amp;$F$8,BD!$A$3:$A$5001,"&lt;="&amp;$G$8,BD!$B$3:$B$5001,$D$2))</f>
        <v>0</v>
      </c>
      <c r="D331" s="60" t="str">
        <f>IF(AND(ISNUMBER(B331),ISNUMBER(C331)),IF(C331&lt;&gt;0,B331/C331-1,""),"")</f>
        <v/>
      </c>
    </row>
    <row r="332">
      <c r="A332" s="40" t="inlineStr">
        <is>
          <t xml:space="preserve">IN · Toneladas Movimentadas</t>
        </is>
      </c>
      <c r="B332" s="72">
        <f>IF($B$2="Todos",SUMIFS(BD!$E$3:$E$5001,BD!$A$3:$A$5001,"&gt;="&amp;$F$7,BD!$A$3:$A$5001,"&lt;="&amp;$G$7),SUMIFS(BD!$E$3:$E$5001,BD!$A$3:$A$5001,"&gt;="&amp;$F$7,BD!$A$3:$A$5001,"&lt;="&amp;$G$7,BD!$B$3:$B$5001,$D$2))</f>
        <v>0</v>
      </c>
      <c r="C332" s="72">
        <f>IF($B$2="Todos",SUMIFS(BD!$E$3:$E$5001,BD!$A$3:$A$5001,"&gt;="&amp;$F$8,BD!$A$3:$A$5001,"&lt;="&amp;$G$8),SUMIFS(BD!$E$3:$E$5001,BD!$A$3:$A$5001,"&gt;="&amp;$F$8,BD!$A$3:$A$5001,"&lt;="&amp;$G$8,BD!$B$3:$B$5001,$D$2))</f>
        <v>0</v>
      </c>
      <c r="D332" s="60" t="str">
        <f>IF(AND(ISNUMBER(B332),ISNUMBER(C332)),IF(C332&lt;&gt;0,B332/C332-1,""),"")</f>
        <v/>
      </c>
    </row>
    <row r="333">
      <c r="A333" s="40" t="inlineStr">
        <is>
          <t xml:space="preserve">OUT · Veículos Expedidos</t>
        </is>
      </c>
      <c r="B333" s="42">
        <f>IF($B$2="Todos",SUMIFS(BD!$H$3:$H$5001,BD!$A$3:$A$5001,"&gt;="&amp;$F$7,BD!$A$3:$A$5001,"&lt;="&amp;$G$7),SUMIFS(BD!$H$3:$H$5001,BD!$A$3:$A$5001,"&gt;="&amp;$F$7,BD!$A$3:$A$5001,"&lt;="&amp;$G$7,BD!$B$3:$B$5001,$D$2))</f>
        <v>0</v>
      </c>
      <c r="C333" s="42">
        <f>IF($B$2="Todos",SUMIFS(BD!$H$3:$H$5001,BD!$A$3:$A$5001,"&gt;="&amp;$F$8,BD!$A$3:$A$5001,"&lt;="&amp;$G$8),SUMIFS(BD!$H$3:$H$5001,BD!$A$3:$A$5001,"&gt;="&amp;$F$8,BD!$A$3:$A$5001,"&lt;="&amp;$G$8,BD!$B$3:$B$5001,$D$2))</f>
        <v>0</v>
      </c>
      <c r="D333" s="60" t="str">
        <f>IF(AND(ISNUMBER(B333),ISNUMBER(C333)),IF(C333&lt;&gt;0,B333/C333-1,""),"")</f>
        <v/>
      </c>
    </row>
    <row r="334">
      <c r="A334" s="40" t="inlineStr">
        <is>
          <t xml:space="preserve">OUT · Pallets Movimentados</t>
        </is>
      </c>
      <c r="B334" s="42">
        <f>IF($B$2="Todos",SUMIFS(BD!$I$3:$I$5001,BD!$A$3:$A$5001,"&gt;="&amp;$F$7,BD!$A$3:$A$5001,"&lt;="&amp;$G$7),SUMIFS(BD!$I$3:$I$5001,BD!$A$3:$A$5001,"&gt;="&amp;$F$7,BD!$A$3:$A$5001,"&lt;="&amp;$G$7,BD!$B$3:$B$5001,$D$2))</f>
        <v>0</v>
      </c>
      <c r="C334" s="42">
        <f>IF($B$2="Todos",SUMIFS(BD!$I$3:$I$5001,BD!$A$3:$A$5001,"&gt;="&amp;$F$8,BD!$A$3:$A$5001,"&lt;="&amp;$G$8),SUMIFS(BD!$I$3:$I$5001,BD!$A$3:$A$5001,"&gt;="&amp;$F$8,BD!$A$3:$A$5001,"&lt;="&amp;$G$8,BD!$B$3:$B$5001,$D$2))</f>
        <v>0</v>
      </c>
      <c r="D334" s="60" t="str">
        <f>IF(AND(ISNUMBER(B334),ISNUMBER(C334)),IF(C334&lt;&gt;0,B334/C334-1,""),"")</f>
        <v/>
      </c>
    </row>
    <row r="335">
      <c r="A335" s="40" t="inlineStr">
        <is>
          <t xml:space="preserve">OUT · Toneladas Movimentadas</t>
        </is>
      </c>
      <c r="B335" s="72">
        <f>IF($B$2="Todos",SUMIFS(BD!$J$3:$J$5001,BD!$A$3:$A$5001,"&gt;="&amp;$F$7,BD!$A$3:$A$5001,"&lt;="&amp;$G$7),SUMIFS(BD!$J$3:$J$5001,BD!$A$3:$A$5001,"&gt;="&amp;$F$7,BD!$A$3:$A$5001,"&lt;="&amp;$G$7,BD!$B$3:$B$5001,$D$2))</f>
        <v>0</v>
      </c>
      <c r="C335" s="72">
        <f>IF($B$2="Todos",SUMIFS(BD!$J$3:$J$5001,BD!$A$3:$A$5001,"&gt;="&amp;$F$8,BD!$A$3:$A$5001,"&lt;="&amp;$G$8),SUMIFS(BD!$J$3:$J$5001,BD!$A$3:$A$5001,"&gt;="&amp;$F$8,BD!$A$3:$A$5001,"&lt;="&amp;$G$8,BD!$B$3:$B$5001,$D$2))</f>
        <v>0</v>
      </c>
      <c r="D335" s="60" t="str">
        <f>IF(AND(ISNUMBER(B335),ISNUMBER(C335)),IF(C335&lt;&gt;0,B335/C335-1,""),"")</f>
        <v/>
      </c>
    </row>
    <row r="336">
      <c r="A336" s="40" t="inlineStr">
        <is>
          <t xml:space="preserve">NC · Incidentes</t>
        </is>
      </c>
      <c r="B336" s="42">
        <f>IF($B$2="Todos",SUMIFS(BD!$N$3:$N$5001,BD!$A$3:$A$5001,"&gt;="&amp;$F$7,BD!$A$3:$A$5001,"&lt;="&amp;$G$7),SUMIFS(BD!$N$3:$N$5001,BD!$A$3:$A$5001,"&gt;="&amp;$F$7,BD!$A$3:$A$5001,"&lt;="&amp;$G$7,BD!$B$3:$B$5001,$D$2))</f>
        <v>0</v>
      </c>
      <c r="C336" s="42">
        <f>IF($B$2="Todos",SUMIFS(BD!$N$3:$N$5001,BD!$A$3:$A$5001,"&gt;="&amp;$F$8,BD!$A$3:$A$5001,"&lt;="&amp;$G$8),SUMIFS(BD!$N$3:$N$5001,BD!$A$3:$A$5001,"&gt;="&amp;$F$8,BD!$A$3:$A$5001,"&lt;="&amp;$G$8,BD!$B$3:$B$5001,$D$2))</f>
        <v>0</v>
      </c>
      <c r="D336" s="60" t="str">
        <f>IF(AND(ISNUMBER(B336),ISNUMBER(C336)),IF(C336&lt;&gt;0,B336/C336-1,""),"")</f>
        <v/>
      </c>
    </row>
    <row r="337">
      <c r="A337" s="40" t="inlineStr">
        <is>
          <t xml:space="preserve">NC · No show</t>
        </is>
      </c>
      <c r="B337" s="42">
        <f>IF($B$2="Todos",SUMIFS(BD!$O$3:$O$5001,BD!$A$3:$A$5001,"&gt;="&amp;$F$7,BD!$A$3:$A$5001,"&lt;="&amp;$G$7),SUMIFS(BD!$O$3:$O$5001,BD!$A$3:$A$5001,"&gt;="&amp;$F$7,BD!$A$3:$A$5001,"&lt;="&amp;$G$7,BD!$B$3:$B$5001,$D$2))</f>
        <v>0</v>
      </c>
      <c r="C337" s="42">
        <f>IF($B$2="Todos",SUMIFS(BD!$O$3:$O$5001,BD!$A$3:$A$5001,"&gt;="&amp;$F$8,BD!$A$3:$A$5001,"&lt;="&amp;$G$8),SUMIFS(BD!$O$3:$O$5001,BD!$A$3:$A$5001,"&gt;="&amp;$F$8,BD!$A$3:$A$5001,"&lt;="&amp;$G$8,BD!$B$3:$B$5001,$D$2))</f>
        <v>0</v>
      </c>
      <c r="D337" s="60" t="str">
        <f>IF(AND(ISNUMBER(B337),ISNUMBER(C337)),IF(C337&lt;&gt;0,B337/C337-1,""),"")</f>
        <v/>
      </c>
    </row>
    <row r="338">
      <c r="A338" s="40" t="inlineStr">
        <is>
          <t xml:space="preserve">NC · Backlog Intralog</t>
        </is>
      </c>
      <c r="B338" s="42" t="str">
        <f>IF($B$2="Todos",IF(COUNT($C$307:$C$326)=0,"",SUM($C$307:$C$326)),IFERROR(INDEX($C$307:$C$326,MATCH($D$2,$A$307:$A$326,0)),""))</f>
        <v/>
      </c>
      <c r="C338" s="42" t="str">
        <f>IF($B$2="Todos",IF(COUNT($D$307:$D$326)=0,"",SUM($D$307:$D$326)),IFERROR(INDEX($D$307:$D$326,MATCH($D$2,$A$307:$A$326,0)),""))</f>
        <v/>
      </c>
      <c r="D338" s="60" t="str">
        <f>IF(AND(ISNUMBER(B338),ISNUMBER(C338)),IF(C338&lt;&gt;0,B338/C338-1,""),"")</f>
        <v/>
      </c>
    </row>
    <row r="339">
      <c r="A339" s="40" t="inlineStr">
        <is>
          <t xml:space="preserve">NC · Backlog Cliente</t>
        </is>
      </c>
      <c r="B339" s="42" t="str">
        <f>IF($B$2="Todos",IF(COUNT($E$307:$E$326)=0,"",SUM($E$307:$E$326)),IFERROR(INDEX($E$307:$E$326,MATCH($D$2,$A$307:$A$326,0)),""))</f>
        <v/>
      </c>
      <c r="C339" s="42" t="str">
        <f>IF($B$2="Todos",IF(COUNT($F$307:$F$326)=0,"",SUM($F$307:$F$326)),IFERROR(INDEX($F$307:$F$326,MATCH($D$2,$A$307:$A$326,0)),""))</f>
        <v/>
      </c>
      <c r="D339" s="60" t="str">
        <f>IF(AND(ISNUMBER(B339),ISNUMBER(C339)),IF(C339&lt;&gt;0,B339/C339-1,""),"")</f>
        <v/>
      </c>
    </row>
    <row r="340">
      <c r="A340" s="40" t="inlineStr">
        <is>
          <t xml:space="preserve">OCUPAÇÃO (P.P) · Posições Ocupadas</t>
        </is>
      </c>
      <c r="B340" s="42" t="str">
        <f>IF($B$2="Todos",IF(COUNT($G$307:$G$326)=0,"",SUM($G$307:$G$326)),IFERROR(INDEX($G$307:$G$326,MATCH($D$2,$A$307:$A$326,0)),""))</f>
        <v/>
      </c>
      <c r="C340" s="42" t="str">
        <f>IF($B$2="Todos",IF(COUNT($H$307:$H$326)=0,"",SUM($H$307:$H$326)),IFERROR(INDEX($H$307:$H$326,MATCH($D$2,$A$307:$A$326,0)),""))</f>
        <v/>
      </c>
      <c r="D340" s="60" t="str">
        <f>IF(AND(ISNUMBER(B340),ISNUMBER(C340)),IF(C340&lt;&gt;0,B340/C340-1,""),"")</f>
        <v/>
      </c>
    </row>
    <row r="341">
      <c r="A341" s="40" t="inlineStr">
        <is>
          <t xml:space="preserve">OCUPAÇÃO (P.P) · Posições Disponíveis</t>
        </is>
      </c>
      <c r="B341" s="42" t="str">
        <f>IF(B340="","",IF($B$2="Todos",IF($B$4&gt;0,$B$4,IF($B$2="Todos",IF(COUNT($I$307:$I$326)=0,"",SUM($I$307:$I$326)),IFERROR(INDEX($I$307:$I$326,MATCH($D$2,$A$307:$A$326,0)),""))),IF($B$2="Todos",IF(COUNT($I$307:$I$326)=0,"",SUM($I$307:$I$326)),IFERROR(INDEX($I$307:$I$326,MATCH($D$2,$A$307:$A$326,0)),""))))</f>
        <v/>
      </c>
      <c r="C341" s="42" t="str">
        <f>IF(C340="","",IF($B$2="Todos",IF($B$4&gt;0,$B$4,IF($B$2="Todos",IF(COUNT($J$307:$J$326)=0,"",SUM($J$307:$J$326)),IFERROR(INDEX($J$307:$J$326,MATCH($D$2,$A$307:$A$326,0)),""))),IF($B$2="Todos",IF(COUNT($J$307:$J$326)=0,"",SUM($J$307:$J$326)),IFERROR(INDEX($J$307:$J$326,MATCH($D$2,$A$307:$A$326,0)),""))))</f>
        <v/>
      </c>
      <c r="D341" s="60" t="str">
        <f>IF(AND(ISNUMBER(B341),ISNUMBER(C341)),IF(C341&lt;&gt;0,B341/C341-1,""),"")</f>
        <v/>
      </c>
    </row>
    <row r="342">
      <c r="A342" s="40" t="inlineStr">
        <is>
          <t xml:space="preserve">OCUPAÇÃO (P.P) · Taxa de Ocupação</t>
        </is>
      </c>
      <c r="B342" s="60" t="str">
        <f>IF(AND(ISNUMBER(B340),ISNUMBER(B341)),IF(B341&gt;0,B340/B341,""),"")</f>
        <v/>
      </c>
      <c r="C342" s="60" t="str">
        <f>IF(AND(ISNUMBER(C340),ISNUMBER(C341)),IF(C341&gt;0,C340/C341,""),"")</f>
        <v/>
      </c>
      <c r="D342" s="60" t="str">
        <f>IF(AND(ISNUMBER(B342),ISNUMBER(C342)),IF(C342&lt;&gt;0,B342/C342-1,""),"")</f>
        <v/>
      </c>
    </row>
    <row r="343">
      <c r="A343" s="40" t="inlineStr">
        <is>
          <t xml:space="preserve">OCUPAÇÃO (P.P) · Ociosidade</t>
        </is>
      </c>
      <c r="B343" s="60" t="str">
        <f>IF(ISNUMBER(B342),1-B342,"")</f>
        <v/>
      </c>
      <c r="C343" s="60" t="str">
        <f>IF(ISNUMBER(C342),1-C342,"")</f>
        <v/>
      </c>
      <c r="D343" s="60" t="str">
        <f>IF(AND(ISNUMBER(B343),ISNUMBER(C343)),IF(C343&lt;&gt;0,B343/C343-1,""),"")</f>
        <v/>
      </c>
    </row>
    <row r="344">
      <c r="A344" s="40" t="inlineStr">
        <is>
          <t xml:space="preserve">GENTE · Efetivo Op.</t>
        </is>
      </c>
      <c r="B344" s="42" t="str">
        <f>IF($B$2="Todos",IF(COUNT($K$307:$K$326)=0,"",SUM($K$307:$K$326)),IFERROR(INDEX($K$307:$K$326,MATCH($D$2,$A$307:$A$326,0)),""))</f>
        <v/>
      </c>
      <c r="C344" s="42" t="str">
        <f>IF($B$2="Todos",IF(COUNT($L$307:$L$326)=0,"",SUM($L$307:$L$326)),IFERROR(INDEX($L$307:$L$326,MATCH($D$2,$A$307:$A$326,0)),""))</f>
        <v/>
      </c>
      <c r="D344" s="60" t="str">
        <f>IF(AND(ISNUMBER(B344),ISNUMBER(C344)),IF(C344&lt;&gt;0,B344/C344-1,""),"")</f>
        <v/>
      </c>
    </row>
    <row r="345">
      <c r="A345" s="40" t="inlineStr">
        <is>
          <t xml:space="preserve">GENTE · Homem-dia (soma do efetivo diário)</t>
        </is>
      </c>
      <c r="B345" s="42">
        <f>IF($B$2="Todos",SUMIFS(BD!$T$3:$T$5001,BD!$A$3:$A$5001,"&gt;="&amp;$F$7,BD!$A$3:$A$5001,"&lt;="&amp;$G$7),SUMIFS(BD!$T$3:$T$5001,BD!$A$3:$A$5001,"&gt;="&amp;$F$7,BD!$A$3:$A$5001,"&lt;="&amp;$G$7,BD!$B$3:$B$5001,$D$2))</f>
        <v>0</v>
      </c>
      <c r="C345" s="42">
        <f>IF($B$2="Todos",SUMIFS(BD!$T$3:$T$5001,BD!$A$3:$A$5001,"&gt;="&amp;$F$8,BD!$A$3:$A$5001,"&lt;="&amp;$G$8),SUMIFS(BD!$T$3:$T$5001,BD!$A$3:$A$5001,"&gt;="&amp;$F$8,BD!$A$3:$A$5001,"&lt;="&amp;$G$8,BD!$B$3:$B$5001,$D$2))</f>
        <v>0</v>
      </c>
      <c r="D345" s="60" t="str">
        <f>IF(AND(ISNUMBER(B345),ISNUMBER(C345)),IF(C345&lt;&gt;0,B345/C345-1,""),"")</f>
        <v/>
      </c>
    </row>
    <row r="346">
      <c r="A346" s="40" t="inlineStr">
        <is>
          <t xml:space="preserve">GENTE · Falta</t>
        </is>
      </c>
      <c r="B346" s="42">
        <f>IF($B$2="Todos",SUMIFS(BD!$U$3:$U$5001,BD!$A$3:$A$5001,"&gt;="&amp;$F$7,BD!$A$3:$A$5001,"&lt;="&amp;$G$7),SUMIFS(BD!$U$3:$U$5001,BD!$A$3:$A$5001,"&gt;="&amp;$F$7,BD!$A$3:$A$5001,"&lt;="&amp;$G$7,BD!$B$3:$B$5001,$D$2))</f>
        <v>0</v>
      </c>
      <c r="C346" s="42">
        <f>IF($B$2="Todos",SUMIFS(BD!$U$3:$U$5001,BD!$A$3:$A$5001,"&gt;="&amp;$F$8,BD!$A$3:$A$5001,"&lt;="&amp;$G$8),SUMIFS(BD!$U$3:$U$5001,BD!$A$3:$A$5001,"&gt;="&amp;$F$8,BD!$A$3:$A$5001,"&lt;="&amp;$G$8,BD!$B$3:$B$5001,$D$2))</f>
        <v>0</v>
      </c>
      <c r="D346" s="60" t="str">
        <f>IF(AND(ISNUMBER(B346),ISNUMBER(C346)),IF(C346&lt;&gt;0,B346/C346-1,""),"")</f>
        <v/>
      </c>
    </row>
    <row r="347">
      <c r="A347" s="40" t="inlineStr">
        <is>
          <t xml:space="preserve">GENTE · Absenteísmo (H/H)</t>
        </is>
      </c>
      <c r="B347" s="42">
        <f>IF($B$2="Todos",SUMIFS(BD!$V$3:$V$5001,BD!$A$3:$A$5001,"&gt;="&amp;$F$7,BD!$A$3:$A$5001,"&lt;="&amp;$G$7),SUMIFS(BD!$V$3:$V$5001,BD!$A$3:$A$5001,"&gt;="&amp;$F$7,BD!$A$3:$A$5001,"&lt;="&amp;$G$7,BD!$B$3:$B$5001,$D$2))</f>
        <v>0</v>
      </c>
      <c r="C347" s="42">
        <f>IF($B$2="Todos",SUMIFS(BD!$V$3:$V$5001,BD!$A$3:$A$5001,"&gt;="&amp;$F$8,BD!$A$3:$A$5001,"&lt;="&amp;$G$8),SUMIFS(BD!$V$3:$V$5001,BD!$A$3:$A$5001,"&gt;="&amp;$F$8,BD!$A$3:$A$5001,"&lt;="&amp;$G$8,BD!$B$3:$B$5001,$D$2))</f>
        <v>0</v>
      </c>
      <c r="D347" s="60" t="str">
        <f>IF(AND(ISNUMBER(B347),ISNUMBER(C347)),IF(C347&lt;&gt;0,B347/C347-1,""),"")</f>
        <v/>
      </c>
    </row>
    <row r="348">
      <c r="A348" s="40" t="inlineStr">
        <is>
          <t xml:space="preserve">GENTE · Absenteísmo (H/H) = faltas ÷ homem-dia</t>
        </is>
      </c>
      <c r="B348" s="60" t="str">
        <f>IF(N(B345)&gt;0,N(B346)/B345,"")</f>
        <v/>
      </c>
      <c r="C348" s="60" t="str">
        <f>IF(N(C345)&gt;0,N(C346)/C345,"")</f>
        <v/>
      </c>
      <c r="D348" s="60" t="str">
        <f>IF(AND(ISNUMBER(B348),ISNUMBER(C348)),IF(C348&lt;&gt;0,B348/C348-1,""),"")</f>
        <v/>
      </c>
    </row>
    <row r="349">
      <c r="A349" s="40" t="inlineStr">
        <is>
          <t xml:space="preserve">GENTE · Folga</t>
        </is>
      </c>
      <c r="B349" s="42">
        <f>IF($B$2="Todos",SUMIFS(BD!$W$3:$W$5001,BD!$A$3:$A$5001,"&gt;="&amp;$F$7,BD!$A$3:$A$5001,"&lt;="&amp;$G$7),SUMIFS(BD!$W$3:$W$5001,BD!$A$3:$A$5001,"&gt;="&amp;$F$7,BD!$A$3:$A$5001,"&lt;="&amp;$G$7,BD!$B$3:$B$5001,$D$2))</f>
        <v>0</v>
      </c>
      <c r="C349" s="42">
        <f>IF($B$2="Todos",SUMIFS(BD!$W$3:$W$5001,BD!$A$3:$A$5001,"&gt;="&amp;$F$8,BD!$A$3:$A$5001,"&lt;="&amp;$G$8),SUMIFS(BD!$W$3:$W$5001,BD!$A$3:$A$5001,"&gt;="&amp;$F$8,BD!$A$3:$A$5001,"&lt;="&amp;$G$8,BD!$B$3:$B$5001,$D$2))</f>
        <v>0</v>
      </c>
      <c r="D349" s="60" t="str">
        <f>IF(AND(ISNUMBER(B349),ISNUMBER(C349)),IF(C349&lt;&gt;0,B349/C349-1,""),"")</f>
        <v/>
      </c>
    </row>
    <row r="350">
      <c r="A350" s="40" t="inlineStr">
        <is>
          <t xml:space="preserve">GENTE · Férias</t>
        </is>
      </c>
      <c r="B350" s="42">
        <f>IF($B$2="Todos",SUMIFS(BD!$X$3:$X$5001,BD!$A$3:$A$5001,"&gt;="&amp;$F$7,BD!$A$3:$A$5001,"&lt;="&amp;$G$7),SUMIFS(BD!$X$3:$X$5001,BD!$A$3:$A$5001,"&gt;="&amp;$F$7,BD!$A$3:$A$5001,"&lt;="&amp;$G$7,BD!$B$3:$B$5001,$D$2))</f>
        <v>0</v>
      </c>
      <c r="C350" s="42">
        <f>IF($B$2="Todos",SUMIFS(BD!$X$3:$X$5001,BD!$A$3:$A$5001,"&gt;="&amp;$F$8,BD!$A$3:$A$5001,"&lt;="&amp;$G$8),SUMIFS(BD!$X$3:$X$5001,BD!$A$3:$A$5001,"&gt;="&amp;$F$8,BD!$A$3:$A$5001,"&lt;="&amp;$G$8,BD!$B$3:$B$5001,$D$2))</f>
        <v>0</v>
      </c>
      <c r="D350" s="60" t="str">
        <f>IF(AND(ISNUMBER(B350),ISNUMBER(C350)),IF(C350&lt;&gt;0,B350/C350-1,""),"")</f>
        <v/>
      </c>
    </row>
    <row r="351">
      <c r="A351" s="40" t="inlineStr">
        <is>
          <t xml:space="preserve">GENTE · Desligamento</t>
        </is>
      </c>
      <c r="B351" s="42">
        <f>IF($B$2="Todos",SUMIFS(BD!$Y$3:$Y$5001,BD!$A$3:$A$5001,"&gt;="&amp;$F$7,BD!$A$3:$A$5001,"&lt;="&amp;$G$7),SUMIFS(BD!$Y$3:$Y$5001,BD!$A$3:$A$5001,"&gt;="&amp;$F$7,BD!$A$3:$A$5001,"&lt;="&amp;$G$7,BD!$B$3:$B$5001,$D$2))</f>
        <v>0</v>
      </c>
      <c r="C351" s="42">
        <f>IF($B$2="Todos",SUMIFS(BD!$Y$3:$Y$5001,BD!$A$3:$A$5001,"&gt;="&amp;$F$8,BD!$A$3:$A$5001,"&lt;="&amp;$G$8),SUMIFS(BD!$Y$3:$Y$5001,BD!$A$3:$A$5001,"&gt;="&amp;$F$8,BD!$A$3:$A$5001,"&lt;="&amp;$G$8,BD!$B$3:$B$5001,$D$2))</f>
        <v>0</v>
      </c>
      <c r="D351" s="60" t="str">
        <f>IF(AND(ISNUMBER(B351),ISNUMBER(C351)),IF(C351&lt;&gt;0,B351/C351-1,""),"")</f>
        <v/>
      </c>
    </row>
    <row r="352">
      <c r="A352" s="40" t="inlineStr">
        <is>
          <t xml:space="preserve">GENTE · Turnover = desligamentos ÷ efetivo</t>
        </is>
      </c>
      <c r="B352" s="60" t="str">
        <f>IF(N(B344)&gt;0,N(B351)/B344,"")</f>
        <v/>
      </c>
      <c r="C352" s="60" t="str">
        <f>IF(N(C344)&gt;0,N(C351)/C344,"")</f>
        <v/>
      </c>
      <c r="D352" s="60" t="str">
        <f>IF(AND(ISNUMBER(B352),ISNUMBER(C352)),IF(C352&lt;&gt;0,B352/C352-1,""),"")</f>
        <v/>
      </c>
    </row>
    <row r="353">
      <c r="A353" s="40" t="inlineStr">
        <is>
          <t xml:space="preserve">GENTE · Desvios Comportamentais</t>
        </is>
      </c>
      <c r="B353" s="42">
        <f>IF($B$2="Todos",SUMIFS(BD!$Z$3:$Z$5001,BD!$A$3:$A$5001,"&gt;="&amp;$F$7,BD!$A$3:$A$5001,"&lt;="&amp;$G$7),SUMIFS(BD!$Z$3:$Z$5001,BD!$A$3:$A$5001,"&gt;="&amp;$F$7,BD!$A$3:$A$5001,"&lt;="&amp;$G$7,BD!$B$3:$B$5001,$D$2))</f>
        <v>0</v>
      </c>
      <c r="C353" s="42">
        <f>IF($B$2="Todos",SUMIFS(BD!$Z$3:$Z$5001,BD!$A$3:$A$5001,"&gt;="&amp;$F$8,BD!$A$3:$A$5001,"&lt;="&amp;$G$8),SUMIFS(BD!$Z$3:$Z$5001,BD!$A$3:$A$5001,"&gt;="&amp;$F$8,BD!$A$3:$A$5001,"&lt;="&amp;$G$8,BD!$B$3:$B$5001,$D$2))</f>
        <v>0</v>
      </c>
      <c r="D353" s="60" t="str">
        <f>IF(AND(ISNUMBER(B353),ISNUMBER(C353)),IF(C353&lt;&gt;0,B353/C353-1,""),"")</f>
        <v/>
      </c>
    </row>
    <row r="354">
      <c r="A354" s="40" t="inlineStr">
        <is>
          <t xml:space="preserve">GENTE · Acidentes CAF</t>
        </is>
      </c>
      <c r="B354" s="42">
        <f>IF($B$2="Todos",SUMIFS(BD!$AA$3:$AA$5001,BD!$A$3:$A$5001,"&gt;="&amp;$F$7,BD!$A$3:$A$5001,"&lt;="&amp;$G$7),SUMIFS(BD!$AA$3:$AA$5001,BD!$A$3:$A$5001,"&gt;="&amp;$F$7,BD!$A$3:$A$5001,"&lt;="&amp;$G$7,BD!$B$3:$B$5001,$D$2))</f>
        <v>0</v>
      </c>
      <c r="C354" s="42">
        <f>IF($B$2="Todos",SUMIFS(BD!$AA$3:$AA$5001,BD!$A$3:$A$5001,"&gt;="&amp;$F$8,BD!$A$3:$A$5001,"&lt;="&amp;$G$8),SUMIFS(BD!$AA$3:$AA$5001,BD!$A$3:$A$5001,"&gt;="&amp;$F$8,BD!$A$3:$A$5001,"&lt;="&amp;$G$8,BD!$B$3:$B$5001,$D$2))</f>
        <v>0</v>
      </c>
      <c r="D354" s="60" t="str">
        <f>IF(AND(ISNUMBER(B354),ISNUMBER(C354)),IF(C354&lt;&gt;0,B354/C354-1,""),"")</f>
        <v/>
      </c>
    </row>
    <row r="355">
      <c r="A355" s="40" t="inlineStr">
        <is>
          <t xml:space="preserve">GENTE · Acidentes SAF</t>
        </is>
      </c>
      <c r="B355" s="42">
        <f>IF($B$2="Todos",SUMIFS(BD!$AB$3:$AB$5001,BD!$A$3:$A$5001,"&gt;="&amp;$F$7,BD!$A$3:$A$5001,"&lt;="&amp;$G$7),SUMIFS(BD!$AB$3:$AB$5001,BD!$A$3:$A$5001,"&gt;="&amp;$F$7,BD!$A$3:$A$5001,"&lt;="&amp;$G$7,BD!$B$3:$B$5001,$D$2))</f>
        <v>0</v>
      </c>
      <c r="C355" s="42">
        <f>IF($B$2="Todos",SUMIFS(BD!$AB$3:$AB$5001,BD!$A$3:$A$5001,"&gt;="&amp;$F$8,BD!$A$3:$A$5001,"&lt;="&amp;$G$8),SUMIFS(BD!$AB$3:$AB$5001,BD!$A$3:$A$5001,"&gt;="&amp;$F$8,BD!$A$3:$A$5001,"&lt;="&amp;$G$8,BD!$B$3:$B$5001,$D$2))</f>
        <v>0</v>
      </c>
      <c r="D355" s="60" t="str">
        <f>IF(AND(ISNUMBER(B355),ISNUMBER(C355)),IF(C355&lt;&gt;0,B355/C355-1,""),"")</f>
        <v/>
      </c>
    </row>
    <row r="356">
      <c r="A356" s="40" t="inlineStr">
        <is>
          <t xml:space="preserve">IN · Caixas Recebidas</t>
        </is>
      </c>
      <c r="B356" s="42">
        <f>IF($B$2="Todos",SUMIFS(BD!$F$3:$F$5001,BD!$A$3:$A$5001,"&gt;="&amp;$F$7,BD!$A$3:$A$5001,"&lt;="&amp;$G$7),SUMIFS(BD!$F$3:$F$5001,BD!$A$3:$A$5001,"&gt;="&amp;$F$7,BD!$A$3:$A$5001,"&lt;="&amp;$G$7,BD!$B$3:$B$5001,$D$2))</f>
        <v>0</v>
      </c>
      <c r="C356" s="42">
        <f>IF($B$2="Todos",SUMIFS(BD!$F$3:$F$5001,BD!$A$3:$A$5001,"&gt;="&amp;$F$8,BD!$A$3:$A$5001,"&lt;="&amp;$G$8),SUMIFS(BD!$F$3:$F$5001,BD!$A$3:$A$5001,"&gt;="&amp;$F$8,BD!$A$3:$A$5001,"&lt;="&amp;$G$8,BD!$B$3:$B$5001,$D$2))</f>
        <v>0</v>
      </c>
      <c r="D356" s="60" t="str">
        <f>IF(AND(ISNUMBER(B356),ISNUMBER(C356)),IF(C356&lt;&gt;0,B356/C356-1,""),"")</f>
        <v/>
      </c>
    </row>
    <row r="357">
      <c r="A357" s="40" t="inlineStr">
        <is>
          <t xml:space="preserve">IN · Bags Recebidos</t>
        </is>
      </c>
      <c r="B357" s="42">
        <f>IF($B$2="Todos",SUMIFS(BD!$G$3:$G$5001,BD!$A$3:$A$5001,"&gt;="&amp;$F$7,BD!$A$3:$A$5001,"&lt;="&amp;$G$7),SUMIFS(BD!$G$3:$G$5001,BD!$A$3:$A$5001,"&gt;="&amp;$F$7,BD!$A$3:$A$5001,"&lt;="&amp;$G$7,BD!$B$3:$B$5001,$D$2))</f>
        <v>0</v>
      </c>
      <c r="C357" s="42">
        <f>IF($B$2="Todos",SUMIFS(BD!$G$3:$G$5001,BD!$A$3:$A$5001,"&gt;="&amp;$F$8,BD!$A$3:$A$5001,"&lt;="&amp;$G$8),SUMIFS(BD!$G$3:$G$5001,BD!$A$3:$A$5001,"&gt;="&amp;$F$8,BD!$A$3:$A$5001,"&lt;="&amp;$G$8,BD!$B$3:$B$5001,$D$2))</f>
        <v>0</v>
      </c>
      <c r="D357" s="60" t="str">
        <f>IF(AND(ISNUMBER(B357),ISNUMBER(C357)),IF(C357&lt;&gt;0,B357/C357-1,""),"")</f>
        <v/>
      </c>
    </row>
    <row r="358">
      <c r="A358" s="40" t="inlineStr">
        <is>
          <t xml:space="preserve">OUT · Pedidos Faturados</t>
        </is>
      </c>
      <c r="B358" s="42">
        <f>IF($B$2="Todos",SUMIFS(BD!$L$3:$L$5001,BD!$A$3:$A$5001,"&gt;="&amp;$F$7,BD!$A$3:$A$5001,"&lt;="&amp;$G$7),SUMIFS(BD!$L$3:$L$5001,BD!$A$3:$A$5001,"&gt;="&amp;$F$7,BD!$A$3:$A$5001,"&lt;="&amp;$G$7,BD!$B$3:$B$5001,$D$2))</f>
        <v>0</v>
      </c>
      <c r="C358" s="42">
        <f>IF($B$2="Todos",SUMIFS(BD!$L$3:$L$5001,BD!$A$3:$A$5001,"&gt;="&amp;$F$8,BD!$A$3:$A$5001,"&lt;="&amp;$G$8),SUMIFS(BD!$L$3:$L$5001,BD!$A$3:$A$5001,"&gt;="&amp;$F$8,BD!$A$3:$A$5001,"&lt;="&amp;$G$8,BD!$B$3:$B$5001,$D$2))</f>
        <v>0</v>
      </c>
      <c r="D358" s="60" t="str">
        <f>IF(AND(ISNUMBER(B358),ISNUMBER(C358)),IF(C358&lt;&gt;0,B358/C358-1,""),"")</f>
        <v/>
      </c>
    </row>
    <row r="359">
      <c r="A359" s="40" t="inlineStr">
        <is>
          <t xml:space="preserve">OUT · Caixas Expedidas</t>
        </is>
      </c>
      <c r="B359" s="42">
        <f>IF($B$2="Todos",SUMIFS(BD!$K$3:$K$5001,BD!$A$3:$A$5001,"&gt;="&amp;$F$7,BD!$A$3:$A$5001,"&lt;="&amp;$G$7),SUMIFS(BD!$K$3:$K$5001,BD!$A$3:$A$5001,"&gt;="&amp;$F$7,BD!$A$3:$A$5001,"&lt;="&amp;$G$7,BD!$B$3:$B$5001,$D$2))</f>
        <v>0</v>
      </c>
      <c r="C359" s="42">
        <f>IF($B$2="Todos",SUMIFS(BD!$K$3:$K$5001,BD!$A$3:$A$5001,"&gt;="&amp;$F$8,BD!$A$3:$A$5001,"&lt;="&amp;$G$8),SUMIFS(BD!$K$3:$K$5001,BD!$A$3:$A$5001,"&gt;="&amp;$F$8,BD!$A$3:$A$5001,"&lt;="&amp;$G$8,BD!$B$3:$B$5001,$D$2))</f>
        <v>0</v>
      </c>
      <c r="D359" s="60" t="str">
        <f>IF(AND(ISNUMBER(B359),ISNUMBER(C359)),IF(C359&lt;&gt;0,B359/C359-1,""),"")</f>
        <v/>
      </c>
    </row>
    <row r="360">
      <c r="A360" s="40" t="inlineStr">
        <is>
          <t xml:space="preserve">OUT · Bags Expedidos</t>
        </is>
      </c>
      <c r="B360" s="42">
        <f>IF($B$2="Todos",SUMIFS(BD!$M$3:$M$5001,BD!$A$3:$A$5001,"&gt;="&amp;$F$7,BD!$A$3:$A$5001,"&lt;="&amp;$G$7),SUMIFS(BD!$M$3:$M$5001,BD!$A$3:$A$5001,"&gt;="&amp;$F$7,BD!$A$3:$A$5001,"&lt;="&amp;$G$7,BD!$B$3:$B$5001,$D$2))</f>
        <v>0</v>
      </c>
      <c r="C360" s="42">
        <f>IF($B$2="Todos",SUMIFS(BD!$M$3:$M$5001,BD!$A$3:$A$5001,"&gt;="&amp;$F$8,BD!$A$3:$A$5001,"&lt;="&amp;$G$8),SUMIFS(BD!$M$3:$M$5001,BD!$A$3:$A$5001,"&gt;="&amp;$F$8,BD!$A$3:$A$5001,"&lt;="&amp;$G$8,BD!$B$3:$B$5001,$D$2))</f>
        <v>0</v>
      </c>
      <c r="D360" s="60" t="str">
        <f>IF(AND(ISNUMBER(B360),ISNUMBER(C360)),IF(C360&lt;&gt;0,B360/C360-1,""),"")</f>
        <v/>
      </c>
    </row>
    <row r="363">
      <c r="A363" s="55" t="inlineStr">
        <is>
          <t xml:space="preserve">Textos das linhas de apoio dos cards (Dashboard)</t>
        </is>
      </c>
    </row>
    <row r="364">
      <c r="A364" s="48" t="inlineStr">
        <is>
          <t xml:space="preserve">inA</t>
        </is>
      </c>
      <c r="B364" s="76" t="str">
        <f>IF(N(VALUE($B$366))=0,"",IF(ISNUMBER(IF(N(VALUE($E$366))=0,INDEX($B$330:$B$360,VALUE($B$366)),IF(AND(ISNUMBER(INDEX($B$330:$B$360,VALUE($B$366))),N(INDEX($B$330:$B$360,N(VALUE($E$366))))&gt;0),INDEX($B$330:$B$360,VALUE($B$366))/INDEX($B$330:$B$360,N(VALUE($E$366))),""))),FIXED(IF(N(VALUE($E$366))=0,INDEX($B$330:$B$360,VALUE($B$366)),IF(AND(ISNUMBER(INDEX($B$330:$B$360,VALUE($B$366))),N(INDEX($B$330:$B$360,N(VALUE($E$366))))&gt;0),INDEX($B$330:$B$360,VALUE($B$366))/INDEX($B$330:$B$360,N(VALUE($E$366))),"")),VALUE($D$366)),"—")&amp;" "&amp;$C$366)&amp;IF(AND(N(VALUE($B$366))&gt;0,N(VALUE($F$366))&gt;0),"  ·  ","")&amp;IF(N(VALUE($F$366))=0,"",IF(ISNUMBER(IF(N(VALUE($I$366))=0,INDEX($B$330:$B$360,VALUE($F$366)),IF(AND(ISNUMBER(INDEX($B$330:$B$360,VALUE($F$366))),N(INDEX($B$330:$B$360,N(VALUE($I$366))))&gt;0),INDEX($B$330:$B$360,VALUE($F$366))/INDEX($B$330:$B$360,N(VALUE($I$366))),""))),FIXED(IF(N(VALUE($I$366))=0,INDEX($B$330:$B$360,VALUE($F$366)),IF(AND(ISNUMBER(INDEX($B$330:$B$360,VALUE($F$366))),N(INDEX($B$330:$B$360,N(VALUE($I$366))))&gt;0),INDEX($B$330:$B$360,VALUE($F$366))/INDEX($B$330:$B$360,N(VALUE($I$366))),"")),VALUE($H$366)),"—")&amp;" "&amp;$G$366)</f>
        <v>0 pallets movimentados</v>
      </c>
      <c r="C364" s="48" t="inlineStr">
        <is>
          <t xml:space="preserve">inB</t>
        </is>
      </c>
      <c r="D364" s="76" t="str">
        <f>IF(N(VALUE($J$366))=0,"",IF(ISNUMBER(IF(N(VALUE($M$366))=0,INDEX($B$330:$B$360,VALUE($J$366)),IF(AND(ISNUMBER(INDEX($B$330:$B$360,VALUE($J$366))),N(INDEX($B$330:$B$360,N(VALUE($M$366))))&gt;0),INDEX($B$330:$B$360,VALUE($J$366))/INDEX($B$330:$B$360,N(VALUE($M$366))),""))),FIXED(IF(N(VALUE($M$366))=0,INDEX($B$330:$B$360,VALUE($J$366)),IF(AND(ISNUMBER(INDEX($B$330:$B$360,VALUE($J$366))),N(INDEX($B$330:$B$360,N(VALUE($M$366))))&gt;0),INDEX($B$330:$B$360,VALUE($J$366))/INDEX($B$330:$B$360,N(VALUE($M$366))),"")),VALUE($L$366)),"—")&amp;" "&amp;$K$366)&amp;IF(AND(N(VALUE($J$366))&gt;0,N(VALUE($N$366))&gt;0),"  ·  ","")&amp;IF(N(VALUE($N$366))=0,"",IF(ISNUMBER(IF(N(VALUE($Q$366))=0,INDEX($B$330:$B$360,VALUE($N$366)),IF(AND(ISNUMBER(INDEX($B$330:$B$360,VALUE($N$366))),N(INDEX($B$330:$B$360,N(VALUE($Q$366))))&gt;0),INDEX($B$330:$B$360,VALUE($N$366))/INDEX($B$330:$B$360,N(VALUE($Q$366))),""))),FIXED(IF(N(VALUE($Q$366))=0,INDEX($B$330:$B$360,VALUE($N$366)),IF(AND(ISNUMBER(INDEX($B$330:$B$360,VALUE($N$366))),N(INDEX($B$330:$B$360,N(VALUE($Q$366))))&gt;0),INDEX($B$330:$B$360,VALUE($N$366))/INDEX($B$330:$B$360,N(VALUE($Q$366))),"")),VALUE($P$366)),"—")&amp;" "&amp;$O$366)</f>
        <v>0,0 t movimentadas</v>
      </c>
      <c r="E364" s="48" t="inlineStr">
        <is>
          <t xml:space="preserve">outA</t>
        </is>
      </c>
      <c r="F364" s="76" t="str">
        <f>IF(N(VALUE($R$366))=0,"",IF(ISNUMBER(IF(N(VALUE($U$366))=0,INDEX($B$330:$B$360,VALUE($R$366)),IF(AND(ISNUMBER(INDEX($B$330:$B$360,VALUE($R$366))),N(INDEX($B$330:$B$360,N(VALUE($U$366))))&gt;0),INDEX($B$330:$B$360,VALUE($R$366))/INDEX($B$330:$B$360,N(VALUE($U$366))),""))),FIXED(IF(N(VALUE($U$366))=0,INDEX($B$330:$B$360,VALUE($R$366)),IF(AND(ISNUMBER(INDEX($B$330:$B$360,VALUE($R$366))),N(INDEX($B$330:$B$360,N(VALUE($U$366))))&gt;0),INDEX($B$330:$B$360,VALUE($R$366))/INDEX($B$330:$B$360,N(VALUE($U$366))),"")),VALUE($T$366)),"—")&amp;" "&amp;$S$366)&amp;IF(AND(N(VALUE($R$366))&gt;0,N(VALUE($V$366))&gt;0),"  ·  ","")&amp;IF(N(VALUE($V$366))=0,"",IF(ISNUMBER(IF(N(VALUE($Y$366))=0,INDEX($B$330:$B$360,VALUE($V$366)),IF(AND(ISNUMBER(INDEX($B$330:$B$360,VALUE($V$366))),N(INDEX($B$330:$B$360,N(VALUE($Y$366))))&gt;0),INDEX($B$330:$B$360,VALUE($V$366))/INDEX($B$330:$B$360,N(VALUE($Y$366))),""))),FIXED(IF(N(VALUE($Y$366))=0,INDEX($B$330:$B$360,VALUE($V$366)),IF(AND(ISNUMBER(INDEX($B$330:$B$360,VALUE($V$366))),N(INDEX($B$330:$B$360,N(VALUE($Y$366))))&gt;0),INDEX($B$330:$B$360,VALUE($V$366))/INDEX($B$330:$B$360,N(VALUE($Y$366))),"")),VALUE($X$366)),"—")&amp;" "&amp;$W$366)</f>
        <v>0 pallets movimentados</v>
      </c>
      <c r="G364" s="48" t="inlineStr">
        <is>
          <t xml:space="preserve">outB</t>
        </is>
      </c>
      <c r="H364" s="76" t="str">
        <f>IF(N(VALUE($Z$366))=0,"",IF(ISNUMBER(IF(N(VALUE($AC$366))=0,INDEX($B$330:$B$360,VALUE($Z$366)),IF(AND(ISNUMBER(INDEX($B$330:$B$360,VALUE($Z$366))),N(INDEX($B$330:$B$360,N(VALUE($AC$366))))&gt;0),INDEX($B$330:$B$360,VALUE($Z$366))/INDEX($B$330:$B$360,N(VALUE($AC$366))),""))),FIXED(IF(N(VALUE($AC$366))=0,INDEX($B$330:$B$360,VALUE($Z$366)),IF(AND(ISNUMBER(INDEX($B$330:$B$360,VALUE($Z$366))),N(INDEX($B$330:$B$360,N(VALUE($AC$366))))&gt;0),INDEX($B$330:$B$360,VALUE($Z$366))/INDEX($B$330:$B$360,N(VALUE($AC$366))),"")),VALUE($AB$366)),"—")&amp;" "&amp;$AA$366)&amp;IF(AND(N(VALUE($Z$366))&gt;0,N(VALUE($AD$366))&gt;0),"  ·  ","")&amp;IF(N(VALUE($AD$366))=0,"",IF(ISNUMBER(IF(N(VALUE($AG$366))=0,INDEX($B$330:$B$360,VALUE($AD$366)),IF(AND(ISNUMBER(INDEX($B$330:$B$360,VALUE($AD$366))),N(INDEX($B$330:$B$360,N(VALUE($AG$366))))&gt;0),INDEX($B$330:$B$360,VALUE($AD$366))/INDEX($B$330:$B$360,N(VALUE($AG$366))),""))),FIXED(IF(N(VALUE($AG$366))=0,INDEX($B$330:$B$360,VALUE($AD$366)),IF(AND(ISNUMBER(INDEX($B$330:$B$360,VALUE($AD$366))),N(INDEX($B$330:$B$360,N(VALUE($AG$366))))&gt;0),INDEX($B$330:$B$360,VALUE($AD$366))/INDEX($B$330:$B$360,N(VALUE($AG$366))),"")),VALUE($AF$366)),"—")&amp;" "&amp;$AE$366)</f>
        <v>0,0 t movimentadas</v>
      </c>
    </row>
    <row r="365">
      <c r="A365" s="52" t="inlineStr">
        <is>
          <t xml:space="preserve">PERFIL DO CLIENTE FILTRADO — lido da aba Config (linha da Config · por item: linha no período, rótulo, casas, linha do divisor · gráficos: colunas da série)</t>
        </is>
      </c>
    </row>
    <row r="366">
      <c r="A366" s="106">
        <f>IFERROR(MATCH($B$2,Config!$B$9:$B$29,0),1)</f>
        <v>1</v>
      </c>
      <c r="B366" s="107">
        <f>IFERROR(VLOOKUP(INDEX(Config!$G$9:$G$29,$A$366),Config!$AF$9:$AL$26,4,0),0)</f>
        <v>2</v>
      </c>
      <c r="C366" s="107" t="str">
        <f>IFERROR(VLOOKUP(INDEX(Config!$G$9:$G$29,$A$366),Config!$AF$9:$AL$26,2,0)&amp;"","")</f>
        <v>pallets movimentados</v>
      </c>
      <c r="D366" s="107">
        <f>IFERROR(VLOOKUP(INDEX(Config!$G$9:$G$29,$A$366),Config!$AF$9:$AL$26,3,0),0)</f>
        <v>0</v>
      </c>
      <c r="E366" s="107">
        <f>IFERROR(VLOOKUP(INDEX(Config!$G$9:$G$29,$A$366),Config!$AF$9:$AL$26,6,0),0)</f>
        <v>0</v>
      </c>
      <c r="F366" s="107">
        <v>0</v>
      </c>
      <c r="G366" s="107"/>
      <c r="H366" s="107">
        <v>0</v>
      </c>
      <c r="I366" s="107">
        <v>0</v>
      </c>
      <c r="J366" s="107">
        <f>IFERROR(VLOOKUP(INDEX(Config!$H$9:$H$29,$A$366),Config!$AF$9:$AL$26,4,0),0)</f>
        <v>3</v>
      </c>
      <c r="K366" s="107" t="str">
        <f>IFERROR(VLOOKUP(INDEX(Config!$H$9:$H$29,$A$366),Config!$AF$9:$AL$26,2,0)&amp;"","")</f>
        <v>t movimentadas</v>
      </c>
      <c r="L366" s="107">
        <f>IFERROR(VLOOKUP(INDEX(Config!$H$9:$H$29,$A$366),Config!$AF$9:$AL$26,3,0),0)</f>
        <v>1</v>
      </c>
      <c r="M366" s="107">
        <f>IFERROR(VLOOKUP(INDEX(Config!$H$9:$H$29,$A$366),Config!$AF$9:$AL$26,6,0),0)</f>
        <v>0</v>
      </c>
      <c r="N366" s="107">
        <f>IFERROR(VLOOKUP(INDEX(Config!$I$9:$I$29,$A$366),Config!$AF$9:$AL$26,4,0),0)</f>
        <v>0</v>
      </c>
      <c r="O366" s="107" t="str">
        <f>IFERROR(VLOOKUP(INDEX(Config!$I$9:$I$29,$A$366),Config!$AF$9:$AL$26,2,0)&amp;"","")</f>
        <v/>
      </c>
      <c r="P366" s="107">
        <f>IFERROR(VLOOKUP(INDEX(Config!$I$9:$I$29,$A$366),Config!$AF$9:$AL$26,3,0),0)</f>
        <v>0</v>
      </c>
      <c r="Q366" s="107">
        <f>IFERROR(VLOOKUP(INDEX(Config!$I$9:$I$29,$A$366),Config!$AF$9:$AL$26,6,0),0)</f>
        <v>0</v>
      </c>
      <c r="R366" s="107">
        <f>IFERROR(VLOOKUP(INDEX(Config!$K$9:$K$29,$A$366),Config!$AF$9:$AL$26,4,0),0)</f>
        <v>5</v>
      </c>
      <c r="S366" s="107" t="str">
        <f>IFERROR(VLOOKUP(INDEX(Config!$K$9:$K$29,$A$366),Config!$AF$9:$AL$26,2,0)&amp;"","")</f>
        <v>pallets movimentados</v>
      </c>
      <c r="T366" s="107">
        <f>IFERROR(VLOOKUP(INDEX(Config!$K$9:$K$29,$A$366),Config!$AF$9:$AL$26,3,0),0)</f>
        <v>0</v>
      </c>
      <c r="U366" s="107">
        <f>IFERROR(VLOOKUP(INDEX(Config!$K$9:$K$29,$A$366),Config!$AF$9:$AL$26,6,0),0)</f>
        <v>0</v>
      </c>
      <c r="V366" s="107">
        <v>0</v>
      </c>
      <c r="W366" s="107"/>
      <c r="X366" s="107">
        <v>0</v>
      </c>
      <c r="Y366" s="107">
        <v>0</v>
      </c>
      <c r="Z366" s="107">
        <f>IFERROR(VLOOKUP(INDEX(Config!$L$9:$L$29,$A$366),Config!$AF$9:$AL$26,4,0),0)</f>
        <v>6</v>
      </c>
      <c r="AA366" s="107" t="str">
        <f>IFERROR(VLOOKUP(INDEX(Config!$L$9:$L$29,$A$366),Config!$AF$9:$AL$26,2,0)&amp;"","")</f>
        <v>t movimentadas</v>
      </c>
      <c r="AB366" s="107">
        <f>IFERROR(VLOOKUP(INDEX(Config!$L$9:$L$29,$A$366),Config!$AF$9:$AL$26,3,0),0)</f>
        <v>1</v>
      </c>
      <c r="AC366" s="107">
        <f>IFERROR(VLOOKUP(INDEX(Config!$L$9:$L$29,$A$366),Config!$AF$9:$AL$26,6,0),0)</f>
        <v>0</v>
      </c>
      <c r="AD366" s="107">
        <f>IFERROR(VLOOKUP(INDEX(Config!$M$9:$M$29,$A$366),Config!$AF$9:$AL$26,4,0),0)</f>
        <v>0</v>
      </c>
      <c r="AE366" s="107" t="str">
        <f>IFERROR(VLOOKUP(INDEX(Config!$M$9:$M$29,$A$366),Config!$AF$9:$AL$26,2,0)&amp;"","")</f>
        <v/>
      </c>
      <c r="AF366" s="107">
        <f>IFERROR(VLOOKUP(INDEX(Config!$M$9:$M$29,$A$366),Config!$AF$9:$AL$26,3,0),0)</f>
        <v>0</v>
      </c>
      <c r="AG366" s="107">
        <f>IFERROR(VLOOKUP(INDEX(Config!$M$9:$M$29,$A$366),Config!$AF$9:$AL$26,6,0),0)</f>
        <v>0</v>
      </c>
      <c r="AH366" s="107">
        <f>IFERROR(VLOOKUP(INDEX(Config!$O$9:$O$29,$A$366),Config!$AF$9:$AL$26,5,0),0)</f>
        <v>2</v>
      </c>
      <c r="AI366" s="107">
        <f>IFERROR(VLOOKUP(INDEX(Config!$P$9:$P$29,$A$366),Config!$AF$9:$AL$26,5,0),0)</f>
        <v>7</v>
      </c>
      <c r="AJ366" s="107">
        <f>IFERROR(VLOOKUP(INDEX(Config!$O$9:$O$29,$A$366),Config!$AF$9:$AL$26,7,0),0)</f>
        <v>0</v>
      </c>
      <c r="AK366" s="107">
        <f>IFERROR(VLOOKUP(INDEX(Config!$P$9:$P$29,$A$366),Config!$AF$9:$AL$26,7,0),0)</f>
        <v>0</v>
      </c>
      <c r="AL366" s="107" t="str">
        <f>INDEX(Config!$Q$9:$Q$29,$A$366)&amp;""</f>
        <v>MOVIMENTAÇÃO PALETES/DIA</v>
      </c>
      <c r="AM366" s="107" t="str">
        <f>INDEX(Config!$R$9:$R$29,$A$366)&amp;""</f>
        <v>ACUMULADO SEMANAL PALETES</v>
      </c>
      <c r="AN366" s="107" t="str">
        <f>IF(INDEX(Config!$O$9:$O$29,$A$366)&amp;""="","IN",INDEX(Config!$O$9:$O$29,$A$366)&amp;"")</f>
        <v>Pallets Movimentados IN</v>
      </c>
      <c r="AO366" s="107" t="str">
        <f>IF(INDEX(Config!$P$9:$P$29,$A$366)&amp;""="","OUT",INDEX(Config!$P$9:$P$29,$A$366)&amp;"")</f>
        <v>Pallets Movimentados OUT</v>
      </c>
      <c r="AP366" s="107">
        <f>IFERROR(VLOOKUP(INDEX(Config!$S$9:$S$29,$A$366),Config!$AF$9:$AL$26,5,0),0)</f>
        <v>3</v>
      </c>
      <c r="AQ366" s="107">
        <f>IFERROR(VLOOKUP(INDEX(Config!$T$9:$T$29,$A$366),Config!$AF$9:$AL$26,5,0),0)</f>
        <v>8</v>
      </c>
      <c r="AR366" s="107">
        <f>IFERROR(VLOOKUP(INDEX(Config!$S$9:$S$29,$A$366),Config!$AF$9:$AL$26,7,0),0)</f>
        <v>0</v>
      </c>
      <c r="AS366" s="107">
        <f>IFERROR(VLOOKUP(INDEX(Config!$T$9:$T$29,$A$366),Config!$AF$9:$AL$26,7,0),0)</f>
        <v>0</v>
      </c>
      <c r="AT366" s="107" t="str">
        <f>INDEX(Config!$U$9:$U$29,$A$366)&amp;""</f>
        <v>MOVIMENTAÇÃO TONS/DIA</v>
      </c>
      <c r="AU366" s="107" t="str">
        <f>INDEX(Config!$V$9:$V$29,$A$366)&amp;""</f>
        <v>ACUMULADO SEMANAL TONS</v>
      </c>
      <c r="AV366" s="107" t="str">
        <f>IF(INDEX(Config!$S$9:$S$29,$A$366)&amp;""="","IN",INDEX(Config!$S$9:$S$29,$A$366)&amp;"")</f>
        <v>Toneladas Movimentadas IN</v>
      </c>
      <c r="AW366" s="107" t="str">
        <f>IF(INDEX(Config!$T$9:$T$29,$A$366)&amp;""="","OUT",INDEX(Config!$T$9:$T$29,$A$366)&amp;"")</f>
        <v>Toneladas Movimentadas OUT</v>
      </c>
      <c r="AX366" s="107" t="str">
        <f>INDEX(Config!$F$9:$F$29,$A$366)&amp;""</f>
        <v>Sim</v>
      </c>
      <c r="AY366" s="107" t="str">
        <f>INDEX(Config!$J$9:$J$29,$A$366)&amp;""</f>
        <v>Sim</v>
      </c>
      <c r="AZ366" s="107" t="str">
        <f>IF(INDEX(Config!$N$9:$N$29,$A$366)&amp;""="Não se aplica","Não se aplica",IF(OR(INDEX(Config!$D$9:$D$29,$A$366)&amp;""="Spot",INDEX(Config!$D$9:$D$29,$A$366)&amp;""="Cross"),"Só ocupadas",INDEX(Config!$N$9:$N$29,$A$366)&amp;""))</f>
        <v>Completo</v>
      </c>
      <c r="BA366" s="107" t="str">
        <f>IF(OR($B$2="Todos",$C$2=2),Config!$D$71,Config!$D$70)&amp;""</f>
        <v>ARMAZÉM</v>
      </c>
      <c r="BB366" s="107" t="str">
        <f>IF(OR($B$2="Todos",$C$2=2),Config!$D$90,Config!$D$89)&amp;""</f>
        <v>Capacidade do armazém (p.p)</v>
      </c>
      <c r="BC366" s="107" t="str">
        <f>INDEX(Config!$D$9:$D$29,$A$366)&amp;""</f>
        <v/>
      </c>
    </row>
  </sheetData>
  <sheetProtection password="CC30" sheet="1" objects="1" scenarios="1"/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Z5001"/>
  <sheetViews>
    <sheetView showGridLines="0" zoomScale="100" zoomScaleNormal="100" workbookViewId="0">
      <pane xSplit="2" ySplit="2" topLeftCell="C3" activePane="bottomRight" state="frozen"/>
      <selection pane="bottomRight" activeCell="C3" sqref="C3"/>
    </sheetView>
  </sheetViews>
  <sheetFormatPr defaultRowHeight="15"/>
  <cols>
    <col min="1" max="1" width="11" style="535" customWidth="1"/>
    <col min="2" max="2" width="18" style="536" customWidth="1"/>
    <col min="3" max="3" width="11.55" style="537" customWidth="1"/>
    <col min="4" max="4" width="12.65" style="537" customWidth="1"/>
    <col min="5" max="5" width="13" style="538" customWidth="1"/>
    <col min="6" max="6" width="10.450000000000001" style="537" customWidth="1"/>
    <col min="7" max="7" width="10" style="537" customWidth="1"/>
    <col min="8" max="8" width="12.100000000000001" style="537" customWidth="1"/>
    <col min="9" max="9" width="13" style="537" customWidth="1"/>
    <col min="10" max="10" width="13" style="538" customWidth="1"/>
    <col min="11" max="11" width="11" style="537" customWidth="1"/>
    <col min="12" max="12" width="11.55" style="537" customWidth="1"/>
    <col min="13" max="13" width="10" style="537" customWidth="1"/>
    <col min="14" max="14" width="10" style="537" customWidth="1"/>
    <col min="15" max="15" width="10" style="537" customWidth="1"/>
    <col min="16" max="16" width="10.450000000000001" style="537" customWidth="1"/>
    <col min="17" max="17" width="10" style="537" customWidth="1"/>
    <col min="18" max="18" width="11" style="537" customWidth="1"/>
    <col min="19" max="19" width="10" style="537" customWidth="1"/>
    <col min="20" max="20" width="10" style="537" customWidth="1"/>
    <col min="21" max="21" width="10" style="537" customWidth="1"/>
    <col min="22" max="22" width="10" style="538" customWidth="1"/>
    <col min="23" max="23" width="10" style="537" customWidth="1"/>
    <col min="24" max="24" width="10" style="537" customWidth="1"/>
    <col min="25" max="25" width="10" style="537" customWidth="1"/>
    <col min="26" max="26" width="12.65" style="537" customWidth="1"/>
    <col min="27" max="27" width="10" style="537" customWidth="1"/>
    <col min="28" max="28" width="10" style="537" customWidth="1"/>
    <col min="29" max="29" width="11" customWidth="1"/>
    <col min="30" max="30" width="3" customWidth="1"/>
    <col min="31" max="31" width="70" customWidth="1"/>
    <col min="32" max="32" width="11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2" customWidth="1"/>
    <col min="49" max="49" width="12" customWidth="1"/>
    <col min="50" max="50" width="12" customWidth="1"/>
    <col min="51" max="51" width="12" customWidth="1"/>
    <col min="52" max="52" width="12" customWidth="1"/>
  </cols>
  <sheetData>
    <row r="1" ht="20" customHeight="1">
      <c r="A1" s="1" t="inlineStr">
        <is>
          <t xml:space="preserve">REGISTRO</t>
        </is>
      </c>
      <c r="B1" s="2"/>
      <c r="C1" s="3" t="inlineStr">
        <is>
          <t xml:space="preserve">IN · RECEBIMENTO</t>
        </is>
      </c>
      <c r="D1" s="4"/>
      <c r="E1" s="4"/>
      <c r="F1" s="4"/>
      <c r="G1" s="5"/>
      <c r="H1" s="6" t="inlineStr">
        <is>
          <t xml:space="preserve">OUT · EXPEDIÇÃO</t>
        </is>
      </c>
      <c r="I1" s="7"/>
      <c r="J1" s="7"/>
      <c r="K1" s="7"/>
      <c r="L1" s="7"/>
      <c r="M1" s="8"/>
      <c r="N1" s="9" t="inlineStr">
        <is>
          <t xml:space="preserve">NC · NÃO CONFORMIDADES</t>
        </is>
      </c>
      <c r="O1" s="10"/>
      <c r="P1" s="10"/>
      <c r="Q1" s="11"/>
      <c r="R1" s="3" t="inlineStr">
        <is>
          <t xml:space="preserve">OCUPAÇÃO (P.P)</t>
        </is>
      </c>
      <c r="S1" s="5"/>
      <c r="T1" s="12" t="inlineStr">
        <is>
          <t xml:space="preserve">GENTE</t>
        </is>
      </c>
      <c r="U1" s="13"/>
      <c r="V1" s="13"/>
      <c r="W1" s="13"/>
      <c r="X1" s="13"/>
      <c r="Y1" s="13"/>
      <c r="Z1" s="13"/>
      <c r="AA1" s="13"/>
      <c r="AB1" s="14"/>
      <c r="AC1" s="15" t="inlineStr">
        <is>
          <t xml:space="preserve">CONTRATO (CONFIG)</t>
        </is>
      </c>
    </row>
    <row r="2" ht="42" customHeight="1">
      <c r="A2" s="16" t="inlineStr">
        <is>
          <t xml:space="preserve">Data</t>
        </is>
      </c>
      <c r="B2" s="16" t="inlineStr">
        <is>
          <t xml:space="preserve">Cliente</t>
        </is>
      </c>
      <c r="C2" s="16" t="inlineStr">
        <is>
          <t xml:space="preserve">IN Veículos Recebidos</t>
        </is>
      </c>
      <c r="D2" s="16" t="inlineStr">
        <is>
          <t xml:space="preserve">IN Pallets Movimentados</t>
        </is>
      </c>
      <c r="E2" s="16" t="inlineStr">
        <is>
          <t xml:space="preserve">IN Toneladas Movimentadas</t>
        </is>
      </c>
      <c r="F2" s="16" t="inlineStr">
        <is>
          <t xml:space="preserve">IN Caixas Recebidas</t>
        </is>
      </c>
      <c r="G2" s="16" t="inlineStr">
        <is>
          <t xml:space="preserve">IN Bags Recebidos</t>
        </is>
      </c>
      <c r="H2" s="16" t="inlineStr">
        <is>
          <t xml:space="preserve">OUT Veículos Expedidos</t>
        </is>
      </c>
      <c r="I2" s="16" t="inlineStr">
        <is>
          <t xml:space="preserve">OUT Pallets Movimentados</t>
        </is>
      </c>
      <c r="J2" s="16" t="inlineStr">
        <is>
          <t xml:space="preserve">OUT Toneladas Movimentadas</t>
        </is>
      </c>
      <c r="K2" s="16" t="inlineStr">
        <is>
          <t xml:space="preserve">OUT Caixas Expedidas</t>
        </is>
      </c>
      <c r="L2" s="16" t="inlineStr">
        <is>
          <t xml:space="preserve">OUT Pedidos Faturados</t>
        </is>
      </c>
      <c r="M2" s="16" t="inlineStr">
        <is>
          <t xml:space="preserve">OUT Bags Expedidos</t>
        </is>
      </c>
      <c r="N2" s="16" t="inlineStr">
        <is>
          <t xml:space="preserve">NC Incidentes</t>
        </is>
      </c>
      <c r="O2" s="16" t="inlineStr">
        <is>
          <t xml:space="preserve">NC No show</t>
        </is>
      </c>
      <c r="P2" s="16" t="inlineStr">
        <is>
          <t xml:space="preserve">NC Backlog Intralog</t>
        </is>
      </c>
      <c r="Q2" s="16" t="inlineStr">
        <is>
          <t xml:space="preserve">NC Backlog Cliente</t>
        </is>
      </c>
      <c r="R2" s="16" t="inlineStr">
        <is>
          <t xml:space="preserve">Posições Disponíveis</t>
        </is>
      </c>
      <c r="S2" s="16" t="inlineStr">
        <is>
          <t xml:space="preserve">Posições Ocupadas</t>
        </is>
      </c>
      <c r="T2" s="16" t="inlineStr">
        <is>
          <t xml:space="preserve">Efetivo Op.</t>
        </is>
      </c>
      <c r="U2" s="16" t="inlineStr">
        <is>
          <t xml:space="preserve">Falta</t>
        </is>
      </c>
      <c r="V2" s="16" t="inlineStr">
        <is>
          <t xml:space="preserve">Absenteísmo (H/H)</t>
        </is>
      </c>
      <c r="W2" s="16" t="inlineStr">
        <is>
          <t xml:space="preserve">Folga</t>
        </is>
      </c>
      <c r="X2" s="16" t="inlineStr">
        <is>
          <t xml:space="preserve">Férias</t>
        </is>
      </c>
      <c r="Y2" s="16" t="inlineStr">
        <is>
          <t xml:space="preserve">Desligamento</t>
        </is>
      </c>
      <c r="Z2" s="16" t="inlineStr">
        <is>
          <t xml:space="preserve">Desvios Comportamentais</t>
        </is>
      </c>
      <c r="AA2" s="16" t="inlineStr">
        <is>
          <t xml:space="preserve">Acidentes CAF</t>
        </is>
      </c>
      <c r="AB2" s="16" t="inlineStr">
        <is>
          <t xml:space="preserve">Acidentes SAF</t>
        </is>
      </c>
      <c r="AC2" s="16" t="inlineStr">
        <is>
          <t xml:space="preserve">Modalidade</t>
        </is>
      </c>
      <c r="AE2" s="17" t="inlineStr">
        <is>
          <t xml:space="preserve">COMO PREENCHER A BD</t>
        </is>
      </c>
    </row>
    <row r="3">
      <c r="R3" s="20" t="str">
        <f>IF($B3="","",IFERROR(IF(INDEX(Config!$D$9:$D$29,MATCH($B3,Config!$B$9:$B$29,0))="Contrato",IF(INDEX(Config!$E$9:$E$29,MATCH($B3,Config!$B$9:$B$29,0))="","",INDEX(Config!$E$9:$E$29,MATCH($B3,Config!$B$9:$B$29,0))),""),""))</f>
        <v/>
      </c>
      <c r="AC3" s="19" t="str">
        <f>IF($B3="","",IFERROR(INDEX(Config!$D$9:$D$29,MATCH($B3,Config!$B$9:$B$29,0))&amp;"",""))</f>
        <v/>
      </c>
      <c r="AE3" s="18" t="inlineStr">
        <is>
          <t xml:space="preserve">• Uma linha por dia e por cliente.</t>
        </is>
      </c>
    </row>
    <row r="4">
      <c r="R4" s="20" t="str">
        <f>IF($B4="","",IFERROR(IF(INDEX(Config!$D$9:$D$29,MATCH($B4,Config!$B$9:$B$29,0))="Contrato",IF(INDEX(Config!$E$9:$E$29,MATCH($B4,Config!$B$9:$B$29,0))="","",INDEX(Config!$E$9:$E$29,MATCH($B4,Config!$B$9:$B$29,0))),""),""))</f>
        <v/>
      </c>
      <c r="AC4" s="19" t="str">
        <f>IF($B4="","",IFERROR(INDEX(Config!$D$9:$D$29,MATCH($B4,Config!$B$9:$B$29,0))&amp;"",""))</f>
        <v/>
      </c>
      <c r="AE4" s="18" t="inlineStr">
        <is>
          <t xml:space="preserve">• Digite na primeira linha vazia da tabela (ela já vai até a linha 5001, com formato, listas e validações).</t>
        </is>
      </c>
    </row>
    <row r="5">
      <c r="R5" s="20" t="str">
        <f>IF($B5="","",IFERROR(IF(INDEX(Config!$D$9:$D$29,MATCH($B5,Config!$B$9:$B$29,0))="Contrato",IF(INDEX(Config!$E$9:$E$29,MATCH($B5,Config!$B$9:$B$29,0))="","",INDEX(Config!$E$9:$E$29,MATCH($B5,Config!$B$9:$B$29,0))),""),""))</f>
        <v/>
      </c>
      <c r="AC5" s="19" t="str">
        <f>IF($B5="","",IFERROR(INDEX(Config!$D$9:$D$29,MATCH($B5,Config!$B$9:$B$29,0))&amp;"",""))</f>
        <v/>
      </c>
      <c r="AE5" s="18" t="inlineStr">
        <is>
          <t xml:space="preserve">• Títulos e colunas cinza são travados (aba protegida). Filtro e classificação continuam livres.</t>
        </is>
      </c>
    </row>
    <row r="6">
      <c r="R6" s="20" t="str">
        <f>IF($B6="","",IFERROR(IF(INDEX(Config!$D$9:$D$29,MATCH($B6,Config!$B$9:$B$29,0))="Contrato",IF(INDEX(Config!$E$9:$E$29,MATCH($B6,Config!$B$9:$B$29,0))="","",INDEX(Config!$E$9:$E$29,MATCH($B6,Config!$B$9:$B$29,0))),""),""))</f>
        <v/>
      </c>
      <c r="AC6" s="19" t="str">
        <f>IF($B6="","",IFERROR(INDEX(Config!$D$9:$D$29,MATCH($B6,Config!$B$9:$B$29,0))&amp;"",""))</f>
        <v/>
      </c>
      <c r="AE6" s="18" t="inlineStr">
        <is>
          <t xml:space="preserve">• Data: dd/mm/aaaa.   Cliente: escolha na lista (setinha da célula).</t>
        </is>
      </c>
    </row>
    <row r="7">
      <c r="R7" s="20" t="str">
        <f>IF($B7="","",IFERROR(IF(INDEX(Config!$D$9:$D$29,MATCH($B7,Config!$B$9:$B$29,0))="Contrato",IF(INDEX(Config!$E$9:$E$29,MATCH($B7,Config!$B$9:$B$29,0))="","",INDEX(Config!$E$9:$E$29,MATCH($B7,Config!$B$9:$B$29,0))),""),""))</f>
        <v/>
      </c>
      <c r="AC7" s="19" t="str">
        <f>IF($B7="","",IFERROR(INDEX(Config!$D$9:$D$29,MATCH($B7,Config!$B$9:$B$29,0))&amp;"",""))</f>
        <v/>
      </c>
      <c r="AE7" s="18" t="inlineStr">
        <is>
          <t xml:space="preserve">• Modalidade e Posições Disponíveis (cinza) são automáticas: vêm da aba Config (MODALIDADE e POSIÇÕES CONTRATADAS do cliente).</t>
        </is>
      </c>
    </row>
    <row r="8">
      <c r="R8" s="20" t="str">
        <f>IF($B8="","",IFERROR(IF(INDEX(Config!$D$9:$D$29,MATCH($B8,Config!$B$9:$B$29,0))="Contrato",IF(INDEX(Config!$E$9:$E$29,MATCH($B8,Config!$B$9:$B$29,0))="","",INDEX(Config!$E$9:$E$29,MATCH($B8,Config!$B$9:$B$29,0))),""),""))</f>
        <v/>
      </c>
      <c r="AC8" s="19" t="str">
        <f>IF($B8="","",IFERROR(INDEX(Config!$D$9:$D$29,MATCH($B8,Config!$B$9:$B$29,0))&amp;"",""))</f>
        <v/>
      </c>
      <c r="AE8" s="18" t="inlineStr">
        <is>
          <t xml:space="preserve">• Números: só 0 ou maior. Toneladas aceitam casas decimais.</t>
        </is>
      </c>
    </row>
    <row r="9">
      <c r="R9" s="20" t="str">
        <f>IF($B9="","",IFERROR(IF(INDEX(Config!$D$9:$D$29,MATCH($B9,Config!$B$9:$B$29,0))="Contrato",IF(INDEX(Config!$E$9:$E$29,MATCH($B9,Config!$B$9:$B$29,0))="","",INDEX(Config!$E$9:$E$29,MATCH($B9,Config!$B$9:$B$29,0))),""),""))</f>
        <v/>
      </c>
      <c r="AC9" s="19" t="str">
        <f>IF($B9="","",IFERROR(INDEX(Config!$D$9:$D$29,MATCH($B9,Config!$B$9:$B$29,0))&amp;"",""))</f>
        <v/>
      </c>
      <c r="AE9" s="18" t="inlineStr">
        <is>
          <t xml:space="preserve">• Deixe em branco o que não foi medido (não digite 0 se não houve registro).</t>
        </is>
      </c>
    </row>
    <row r="10">
      <c r="R10" s="20" t="str">
        <f>IF($B10="","",IFERROR(IF(INDEX(Config!$D$9:$D$29,MATCH($B10,Config!$B$9:$B$29,0))="Contrato",IF(INDEX(Config!$E$9:$E$29,MATCH($B10,Config!$B$9:$B$29,0))="","",INDEX(Config!$E$9:$E$29,MATCH($B10,Config!$B$9:$B$29,0))),""),""))</f>
        <v/>
      </c>
      <c r="AC10" s="19" t="str">
        <f>IF($B10="","",IFERROR(INDEX(Config!$D$9:$D$29,MATCH($B10,Config!$B$9:$B$29,0))&amp;"",""))</f>
        <v/>
      </c>
      <c r="AE10" s="17" t="inlineStr">
        <is>
          <t xml:space="preserve">SOMA NO MÊS</t>
        </is>
      </c>
    </row>
    <row r="11">
      <c r="R11" s="20" t="str">
        <f>IF($B11="","",IFERROR(IF(INDEX(Config!$D$9:$D$29,MATCH($B11,Config!$B$9:$B$29,0))="Contrato",IF(INDEX(Config!$E$9:$E$29,MATCH($B11,Config!$B$9:$B$29,0))="","",INDEX(Config!$E$9:$E$29,MATCH($B11,Config!$B$9:$B$29,0))),""),""))</f>
        <v/>
      </c>
      <c r="AC11" s="19" t="str">
        <f>IF($B11="","",IFERROR(INDEX(Config!$D$9:$D$29,MATCH($B11,Config!$B$9:$B$29,0))&amp;"",""))</f>
        <v/>
      </c>
      <c r="AE11" s="18" t="inlineStr">
        <is>
          <t xml:space="preserve">• Veículos, pallets, toneladas, caixas, pedidos faturados, bags, incidentes, no show, falta, folga, férias e desligamento: valor do dia.</t>
        </is>
      </c>
    </row>
    <row r="12">
      <c r="R12" s="20" t="str">
        <f>IF($B12="","",IFERROR(IF(INDEX(Config!$D$9:$D$29,MATCH($B12,Config!$B$9:$B$29,0))="Contrato",IF(INDEX(Config!$E$9:$E$29,MATCH($B12,Config!$B$9:$B$29,0))="","",INDEX(Config!$E$9:$E$29,MATCH($B12,Config!$B$9:$B$29,0))),""),""))</f>
        <v/>
      </c>
      <c r="AC12" s="19" t="str">
        <f>IF($B12="","",IFERROR(INDEX(Config!$D$9:$D$29,MATCH($B12,Config!$B$9:$B$29,0))&amp;"",""))</f>
        <v/>
      </c>
      <c r="AE12" s="17" t="inlineStr">
        <is>
          <t xml:space="preserve">ÚLTIMO VALOR DO MÊS</t>
        </is>
      </c>
    </row>
    <row r="13">
      <c r="R13" s="20" t="str">
        <f>IF($B13="","",IFERROR(IF(INDEX(Config!$D$9:$D$29,MATCH($B13,Config!$B$9:$B$29,0))="Contrato",IF(INDEX(Config!$E$9:$E$29,MATCH($B13,Config!$B$9:$B$29,0))="","",INDEX(Config!$E$9:$E$29,MATCH($B13,Config!$B$9:$B$29,0))),""),""))</f>
        <v/>
      </c>
      <c r="AC13" s="19" t="str">
        <f>IF($B13="","",IFERROR(INDEX(Config!$D$9:$D$29,MATCH($B13,Config!$B$9:$B$29,0))&amp;"",""))</f>
        <v/>
      </c>
      <c r="AE13" s="18" t="inlineStr">
        <is>
          <t xml:space="preserve">• Backlog, posições ocupadas e efetivo: posição do dia (os painéis usam o último lançado).</t>
        </is>
      </c>
    </row>
    <row r="14">
      <c r="R14" s="20" t="str">
        <f>IF($B14="","",IFERROR(IF(INDEX(Config!$D$9:$D$29,MATCH($B14,Config!$B$9:$B$29,0))="Contrato",IF(INDEX(Config!$E$9:$E$29,MATCH($B14,Config!$B$9:$B$29,0))="","",INDEX(Config!$E$9:$E$29,MATCH($B14,Config!$B$9:$B$29,0))),""),""))</f>
        <v/>
      </c>
      <c r="AC14" s="19" t="str">
        <f>IF($B14="","",IFERROR(INDEX(Config!$D$9:$D$29,MATCH($B14,Config!$B$9:$B$29,0))&amp;"",""))</f>
        <v/>
      </c>
      <c r="AE14" s="17" t="inlineStr">
        <is>
          <t xml:space="preserve">ALERTAS</t>
        </is>
      </c>
    </row>
    <row r="15">
      <c r="R15" s="20" t="str">
        <f>IF($B15="","",IFERROR(IF(INDEX(Config!$D$9:$D$29,MATCH($B15,Config!$B$9:$B$29,0))="Contrato",IF(INDEX(Config!$E$9:$E$29,MATCH($B15,Config!$B$9:$B$29,0))="","",INDEX(Config!$E$9:$E$29,MATCH($B15,Config!$B$9:$B$29,0))),""),""))</f>
        <v/>
      </c>
      <c r="AC15" s="19" t="str">
        <f>IF($B15="","",IFERROR(INDEX(Config!$D$9:$D$29,MATCH($B15,Config!$B$9:$B$29,0))&amp;"",""))</f>
        <v/>
      </c>
      <c r="AE15" s="18" t="inlineStr">
        <is>
          <t xml:space="preserve">• Vermelho: mesma data e cliente lançados duas vezes.</t>
        </is>
      </c>
    </row>
    <row r="16">
      <c r="R16" s="20" t="str">
        <f>IF($B16="","",IFERROR(IF(INDEX(Config!$D$9:$D$29,MATCH($B16,Config!$B$9:$B$29,0))="Contrato",IF(INDEX(Config!$E$9:$E$29,MATCH($B16,Config!$B$9:$B$29,0))="","",INDEX(Config!$E$9:$E$29,MATCH($B16,Config!$B$9:$B$29,0))),""),""))</f>
        <v/>
      </c>
      <c r="AC16" s="19" t="str">
        <f>IF($B16="","",IFERROR(INDEX(Config!$D$9:$D$29,MATCH($B16,Config!$B$9:$B$29,0))&amp;"",""))</f>
        <v/>
      </c>
      <c r="AE16" s="18" t="inlineStr">
        <is>
          <t xml:space="preserve">• Amarelo: linha incompleta (data sem cliente ou o contrário).</t>
        </is>
      </c>
    </row>
    <row r="17">
      <c r="R17" s="20" t="str">
        <f>IF($B17="","",IFERROR(IF(INDEX(Config!$D$9:$D$29,MATCH($B17,Config!$B$9:$B$29,0))="Contrato",IF(INDEX(Config!$E$9:$E$29,MATCH($B17,Config!$B$9:$B$29,0))="","",INDEX(Config!$E$9:$E$29,MATCH($B17,Config!$B$9:$B$29,0))),""),""))</f>
        <v/>
      </c>
      <c r="AC17" s="19" t="str">
        <f>IF($B17="","",IFERROR(INDEX(Config!$D$9:$D$29,MATCH($B17,Config!$B$9:$B$29,0))&amp;"",""))</f>
        <v/>
      </c>
      <c r="AE17" s="18" t="inlineStr">
        <is>
          <t xml:space="preserve">• Verde em Posições Ocupadas: cliente excede o contratado (boa notícia: faturar excedente).</t>
        </is>
      </c>
    </row>
    <row r="18">
      <c r="R18" s="20" t="str">
        <f>IF($B18="","",IFERROR(IF(INDEX(Config!$D$9:$D$29,MATCH($B18,Config!$B$9:$B$29,0))="Contrato",IF(INDEX(Config!$E$9:$E$29,MATCH($B18,Config!$B$9:$B$29,0))="","",INDEX(Config!$E$9:$E$29,MATCH($B18,Config!$B$9:$B$29,0))),""),""))</f>
        <v/>
      </c>
      <c r="AC18" s="19" t="str">
        <f>IF($B18="","",IFERROR(INDEX(Config!$D$9:$D$29,MATCH($B18,Config!$B$9:$B$29,0))&amp;"",""))</f>
        <v/>
      </c>
      <c r="AE18" s="18" t="inlineStr">
        <is>
          <t xml:space="preserve">• Desvios comportamentais e acidentes (CAF = com afastamento · SAF = sem afastamento): quantidade do dia.</t>
        </is>
      </c>
    </row>
    <row r="19">
      <c r="R19" s="20" t="str">
        <f>IF($B19="","",IFERROR(IF(INDEX(Config!$D$9:$D$29,MATCH($B19,Config!$B$9:$B$29,0))="Contrato",IF(INDEX(Config!$E$9:$E$29,MATCH($B19,Config!$B$9:$B$29,0))="","",INDEX(Config!$E$9:$E$29,MATCH($B19,Config!$B$9:$B$29,0))),""),""))</f>
        <v/>
      </c>
      <c r="AC19" s="19" t="str">
        <f>IF($B19="","",IFERROR(INDEX(Config!$D$9:$D$29,MATCH($B19,Config!$B$9:$B$29,0))&amp;"",""))</f>
        <v/>
      </c>
      <c r="AE19" s="18" t="inlineStr">
        <is>
          <t xml:space="preserve">• Dashboard, Monitoramento e Consol Mensal leem esta aba automaticamente, inclusive as METAS abaixo.</t>
        </is>
      </c>
    </row>
    <row r="20">
      <c r="R20" s="20" t="str">
        <f>IF($B20="","",IFERROR(IF(INDEX(Config!$D$9:$D$29,MATCH($B20,Config!$B$9:$B$29,0))="Contrato",IF(INDEX(Config!$E$9:$E$29,MATCH($B20,Config!$B$9:$B$29,0))="","",INDEX(Config!$E$9:$E$29,MATCH($B20,Config!$B$9:$B$29,0))),""),""))</f>
        <v/>
      </c>
      <c r="AC20" s="19" t="str">
        <f>IF($B20="","",IFERROR(INDEX(Config!$D$9:$D$29,MATCH($B20,Config!$B$9:$B$29,0))&amp;"",""))</f>
        <v/>
      </c>
    </row>
    <row r="21" ht="22" customHeight="1">
      <c r="R21" s="20" t="str">
        <f>IF($B21="","",IFERROR(IF(INDEX(Config!$D$9:$D$29,MATCH($B21,Config!$B$9:$B$29,0))="Contrato",IF(INDEX(Config!$E$9:$E$29,MATCH($B21,Config!$B$9:$B$29,0))="","",INDEX(Config!$E$9:$E$29,MATCH($B21,Config!$B$9:$B$29,0))),""),""))</f>
        <v/>
      </c>
      <c r="AC21" s="19" t="str">
        <f>IF($B21="","",IFERROR(INDEX(Config!$D$9:$D$29,MATCH($B21,Config!$B$9:$B$29,0))&amp;"",""))</f>
        <v/>
      </c>
      <c r="AE21" s="21" t="inlineStr">
        <is>
          <t xml:space="preserve">METAS DO MÊS — preencha as células amarelas (vazio = sem meta · taxa de ocupação em %).</t>
        </is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</row>
    <row r="22" ht="30" customHeight="1">
      <c r="R22" s="20" t="str">
        <f>IF($B22="","",IFERROR(IF(INDEX(Config!$D$9:$D$29,MATCH($B22,Config!$B$9:$B$29,0))="Contrato",IF(INDEX(Config!$E$9:$E$29,MATCH($B22,Config!$B$9:$B$29,0))="","",INDEX(Config!$E$9:$E$29,MATCH($B22,Config!$B$9:$B$29,0))),""),""))</f>
        <v/>
      </c>
      <c r="AC22" s="19" t="str">
        <f>IF($B22="","",IFERROR(INDEX(Config!$D$9:$D$29,MATCH($B22,Config!$B$9:$B$29,0))&amp;"",""))</f>
        <v/>
      </c>
      <c r="AE22" s="22" t="inlineStr">
        <is>
          <t xml:space="preserve">Indicador</t>
        </is>
      </c>
      <c r="AF22" s="23" t="inlineStr">
        <is>
          <t xml:space="preserve">Todos</t>
        </is>
      </c>
      <c r="AG22" s="23" t="inlineStr">
        <is>
          <t xml:space="preserve">Barry Callebaut</t>
        </is>
      </c>
      <c r="AH22" s="23" t="inlineStr">
        <is>
          <t xml:space="preserve">GM</t>
        </is>
      </c>
      <c r="AI22" s="23" t="inlineStr">
        <is>
          <t xml:space="preserve">Mondelez</t>
        </is>
      </c>
      <c r="AJ22" s="23" t="inlineStr">
        <is>
          <t xml:space="preserve">Nestlé</t>
        </is>
      </c>
      <c r="AK22" s="23" t="inlineStr">
        <is>
          <t xml:space="preserve">PMB</t>
        </is>
      </c>
      <c r="AL22" s="23" t="inlineStr">
        <is>
          <t xml:space="preserve">Vaga 6</t>
        </is>
      </c>
      <c r="AM22" s="23" t="inlineStr">
        <is>
          <t xml:space="preserve">Vaga 7</t>
        </is>
      </c>
      <c r="AN22" s="23" t="inlineStr">
        <is>
          <t xml:space="preserve">Vaga 8</t>
        </is>
      </c>
      <c r="AO22" s="23" t="inlineStr">
        <is>
          <t xml:space="preserve">Vaga 9</t>
        </is>
      </c>
      <c r="AP22" s="23" t="inlineStr">
        <is>
          <t xml:space="preserve">Vaga 10</t>
        </is>
      </c>
      <c r="AQ22" s="23" t="inlineStr">
        <is>
          <t xml:space="preserve">Vaga 11</t>
        </is>
      </c>
      <c r="AR22" s="23" t="inlineStr">
        <is>
          <t xml:space="preserve">Vaga 12</t>
        </is>
      </c>
      <c r="AS22" s="23" t="inlineStr">
        <is>
          <t xml:space="preserve">Vaga 13</t>
        </is>
      </c>
      <c r="AT22" s="23" t="inlineStr">
        <is>
          <t xml:space="preserve">Vaga 14</t>
        </is>
      </c>
      <c r="AU22" s="23" t="inlineStr">
        <is>
          <t xml:space="preserve">Vaga 15</t>
        </is>
      </c>
      <c r="AV22" s="23" t="inlineStr">
        <is>
          <t xml:space="preserve">Vaga 16</t>
        </is>
      </c>
      <c r="AW22" s="23" t="inlineStr">
        <is>
          <t xml:space="preserve">Vaga 17</t>
        </is>
      </c>
      <c r="AX22" s="23" t="inlineStr">
        <is>
          <t xml:space="preserve">Vaga 18</t>
        </is>
      </c>
      <c r="AY22" s="23" t="inlineStr">
        <is>
          <t xml:space="preserve">Vaga 19</t>
        </is>
      </c>
      <c r="AZ22" s="24" t="inlineStr">
        <is>
          <t xml:space="preserve">Vaga 20</t>
        </is>
      </c>
    </row>
    <row r="23">
      <c r="R23" s="20" t="str">
        <f>IF($B23="","",IFERROR(IF(INDEX(Config!$D$9:$D$29,MATCH($B23,Config!$B$9:$B$29,0))="Contrato",IF(INDEX(Config!$E$9:$E$29,MATCH($B23,Config!$B$9:$B$29,0))="","",INDEX(Config!$E$9:$E$29,MATCH($B23,Config!$B$9:$B$29,0))),""),""))</f>
        <v/>
      </c>
      <c r="AC23" s="19" t="str">
        <f>IF($B23="","",IFERROR(INDEX(Config!$D$9:$D$29,MATCH($B23,Config!$B$9:$B$29,0))&amp;"",""))</f>
        <v/>
      </c>
      <c r="AE23" s="25" t="inlineStr">
        <is>
          <t xml:space="preserve">IN · Veículos Recebidos</t>
        </is>
      </c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7"/>
    </row>
    <row r="24">
      <c r="R24" s="20" t="str">
        <f>IF($B24="","",IFERROR(IF(INDEX(Config!$D$9:$D$29,MATCH($B24,Config!$B$9:$B$29,0))="Contrato",IF(INDEX(Config!$E$9:$E$29,MATCH($B24,Config!$B$9:$B$29,0))="","",INDEX(Config!$E$9:$E$29,MATCH($B24,Config!$B$9:$B$29,0))),""),""))</f>
        <v/>
      </c>
      <c r="AC24" s="19" t="str">
        <f>IF($B24="","",IFERROR(INDEX(Config!$D$9:$D$29,MATCH($B24,Config!$B$9:$B$29,0))&amp;"",""))</f>
        <v/>
      </c>
      <c r="AE24" s="25" t="inlineStr">
        <is>
          <t xml:space="preserve">IN · Pallets Movimentados</t>
        </is>
      </c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7"/>
    </row>
    <row r="25">
      <c r="R25" s="20" t="str">
        <f>IF($B25="","",IFERROR(IF(INDEX(Config!$D$9:$D$29,MATCH($B25,Config!$B$9:$B$29,0))="Contrato",IF(INDEX(Config!$E$9:$E$29,MATCH($B25,Config!$B$9:$B$29,0))="","",INDEX(Config!$E$9:$E$29,MATCH($B25,Config!$B$9:$B$29,0))),""),""))</f>
        <v/>
      </c>
      <c r="AC25" s="19" t="str">
        <f>IF($B25="","",IFERROR(INDEX(Config!$D$9:$D$29,MATCH($B25,Config!$B$9:$B$29,0))&amp;"",""))</f>
        <v/>
      </c>
      <c r="AE25" s="25" t="inlineStr">
        <is>
          <t xml:space="preserve">IN · Toneladas Movimentadas</t>
        </is>
      </c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7"/>
    </row>
    <row r="26">
      <c r="R26" s="20" t="str">
        <f>IF($B26="","",IFERROR(IF(INDEX(Config!$D$9:$D$29,MATCH($B26,Config!$B$9:$B$29,0))="Contrato",IF(INDEX(Config!$E$9:$E$29,MATCH($B26,Config!$B$9:$B$29,0))="","",INDEX(Config!$E$9:$E$29,MATCH($B26,Config!$B$9:$B$29,0))),""),""))</f>
        <v/>
      </c>
      <c r="AC26" s="19" t="str">
        <f>IF($B26="","",IFERROR(INDEX(Config!$D$9:$D$29,MATCH($B26,Config!$B$9:$B$29,0))&amp;"",""))</f>
        <v/>
      </c>
      <c r="AE26" s="25" t="inlineStr">
        <is>
          <t xml:space="preserve">IN · Caixas Recebidas</t>
        </is>
      </c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7"/>
    </row>
    <row r="27">
      <c r="R27" s="20" t="str">
        <f>IF($B27="","",IFERROR(IF(INDEX(Config!$D$9:$D$29,MATCH($B27,Config!$B$9:$B$29,0))="Contrato",IF(INDEX(Config!$E$9:$E$29,MATCH($B27,Config!$B$9:$B$29,0))="","",INDEX(Config!$E$9:$E$29,MATCH($B27,Config!$B$9:$B$29,0))),""),""))</f>
        <v/>
      </c>
      <c r="AC27" s="19" t="str">
        <f>IF($B27="","",IFERROR(INDEX(Config!$D$9:$D$29,MATCH($B27,Config!$B$9:$B$29,0))&amp;"",""))</f>
        <v/>
      </c>
      <c r="AE27" s="25" t="inlineStr">
        <is>
          <t xml:space="preserve">IN · Bags Recebidos</t>
        </is>
      </c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7"/>
    </row>
    <row r="28">
      <c r="R28" s="20" t="str">
        <f>IF($B28="","",IFERROR(IF(INDEX(Config!$D$9:$D$29,MATCH($B28,Config!$B$9:$B$29,0))="Contrato",IF(INDEX(Config!$E$9:$E$29,MATCH($B28,Config!$B$9:$B$29,0))="","",INDEX(Config!$E$9:$E$29,MATCH($B28,Config!$B$9:$B$29,0))),""),""))</f>
        <v/>
      </c>
      <c r="AC28" s="19" t="str">
        <f>IF($B28="","",IFERROR(INDEX(Config!$D$9:$D$29,MATCH($B28,Config!$B$9:$B$29,0))&amp;"",""))</f>
        <v/>
      </c>
      <c r="AE28" s="28" t="inlineStr">
        <is>
          <t xml:space="preserve">OUT · Veículos Expedidos</t>
        </is>
      </c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7"/>
    </row>
    <row r="29">
      <c r="R29" s="20" t="str">
        <f>IF($B29="","",IFERROR(IF(INDEX(Config!$D$9:$D$29,MATCH($B29,Config!$B$9:$B$29,0))="Contrato",IF(INDEX(Config!$E$9:$E$29,MATCH($B29,Config!$B$9:$B$29,0))="","",INDEX(Config!$E$9:$E$29,MATCH($B29,Config!$B$9:$B$29,0))),""),""))</f>
        <v/>
      </c>
      <c r="AC29" s="19" t="str">
        <f>IF($B29="","",IFERROR(INDEX(Config!$D$9:$D$29,MATCH($B29,Config!$B$9:$B$29,0))&amp;"",""))</f>
        <v/>
      </c>
      <c r="AE29" s="28" t="inlineStr">
        <is>
          <t xml:space="preserve">OUT · Pallets Movimentados</t>
        </is>
      </c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7"/>
    </row>
    <row r="30">
      <c r="R30" s="20" t="str">
        <f>IF($B30="","",IFERROR(IF(INDEX(Config!$D$9:$D$29,MATCH($B30,Config!$B$9:$B$29,0))="Contrato",IF(INDEX(Config!$E$9:$E$29,MATCH($B30,Config!$B$9:$B$29,0))="","",INDEX(Config!$E$9:$E$29,MATCH($B30,Config!$B$9:$B$29,0))),""),""))</f>
        <v/>
      </c>
      <c r="AC30" s="19" t="str">
        <f>IF($B30="","",IFERROR(INDEX(Config!$D$9:$D$29,MATCH($B30,Config!$B$9:$B$29,0))&amp;"",""))</f>
        <v/>
      </c>
      <c r="AE30" s="28" t="inlineStr">
        <is>
          <t xml:space="preserve">OUT · Toneladas Movimentadas</t>
        </is>
      </c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7"/>
    </row>
    <row r="31">
      <c r="R31" s="20" t="str">
        <f>IF($B31="","",IFERROR(IF(INDEX(Config!$D$9:$D$29,MATCH($B31,Config!$B$9:$B$29,0))="Contrato",IF(INDEX(Config!$E$9:$E$29,MATCH($B31,Config!$B$9:$B$29,0))="","",INDEX(Config!$E$9:$E$29,MATCH($B31,Config!$B$9:$B$29,0))),""),""))</f>
        <v/>
      </c>
      <c r="AC31" s="19" t="str">
        <f>IF($B31="","",IFERROR(INDEX(Config!$D$9:$D$29,MATCH($B31,Config!$B$9:$B$29,0))&amp;"",""))</f>
        <v/>
      </c>
      <c r="AE31" s="28" t="inlineStr">
        <is>
          <t xml:space="preserve">OUT · Caixas Expedidas</t>
        </is>
      </c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7"/>
    </row>
    <row r="32">
      <c r="R32" s="20" t="str">
        <f>IF($B32="","",IFERROR(IF(INDEX(Config!$D$9:$D$29,MATCH($B32,Config!$B$9:$B$29,0))="Contrato",IF(INDEX(Config!$E$9:$E$29,MATCH($B32,Config!$B$9:$B$29,0))="","",INDEX(Config!$E$9:$E$29,MATCH($B32,Config!$B$9:$B$29,0))),""),""))</f>
        <v/>
      </c>
      <c r="AC32" s="19" t="str">
        <f>IF($B32="","",IFERROR(INDEX(Config!$D$9:$D$29,MATCH($B32,Config!$B$9:$B$29,0))&amp;"",""))</f>
        <v/>
      </c>
      <c r="AE32" s="28" t="inlineStr">
        <is>
          <t xml:space="preserve">OUT · Pedidos Faturados</t>
        </is>
      </c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7"/>
    </row>
    <row r="33">
      <c r="R33" s="20" t="str">
        <f>IF($B33="","",IFERROR(IF(INDEX(Config!$D$9:$D$29,MATCH($B33,Config!$B$9:$B$29,0))="Contrato",IF(INDEX(Config!$E$9:$E$29,MATCH($B33,Config!$B$9:$B$29,0))="","",INDEX(Config!$E$9:$E$29,MATCH($B33,Config!$B$9:$B$29,0))),""),""))</f>
        <v/>
      </c>
      <c r="AC33" s="19" t="str">
        <f>IF($B33="","",IFERROR(INDEX(Config!$D$9:$D$29,MATCH($B33,Config!$B$9:$B$29,0))&amp;"",""))</f>
        <v/>
      </c>
      <c r="AE33" s="28" t="inlineStr">
        <is>
          <t xml:space="preserve">OUT · Bags Expedidos</t>
        </is>
      </c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7"/>
    </row>
    <row r="34">
      <c r="R34" s="20" t="str">
        <f>IF($B34="","",IFERROR(IF(INDEX(Config!$D$9:$D$29,MATCH($B34,Config!$B$9:$B$29,0))="Contrato",IF(INDEX(Config!$E$9:$E$29,MATCH($B34,Config!$B$9:$B$29,0))="","",INDEX(Config!$E$9:$E$29,MATCH($B34,Config!$B$9:$B$29,0))),""),""))</f>
        <v/>
      </c>
      <c r="AC34" s="19" t="str">
        <f>IF($B34="","",IFERROR(INDEX(Config!$D$9:$D$29,MATCH($B34,Config!$B$9:$B$29,0))&amp;"",""))</f>
        <v/>
      </c>
      <c r="AE34" s="29" t="inlineStr">
        <is>
          <t xml:space="preserve">NC · Incidentes</t>
        </is>
      </c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7"/>
    </row>
    <row r="35">
      <c r="R35" s="20" t="str">
        <f>IF($B35="","",IFERROR(IF(INDEX(Config!$D$9:$D$29,MATCH($B35,Config!$B$9:$B$29,0))="Contrato",IF(INDEX(Config!$E$9:$E$29,MATCH($B35,Config!$B$9:$B$29,0))="","",INDEX(Config!$E$9:$E$29,MATCH($B35,Config!$B$9:$B$29,0))),""),""))</f>
        <v/>
      </c>
      <c r="AC35" s="19" t="str">
        <f>IF($B35="","",IFERROR(INDEX(Config!$D$9:$D$29,MATCH($B35,Config!$B$9:$B$29,0))&amp;"",""))</f>
        <v/>
      </c>
      <c r="AE35" s="29" t="inlineStr">
        <is>
          <t xml:space="preserve">NC · No show</t>
        </is>
      </c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7"/>
    </row>
    <row r="36">
      <c r="R36" s="20" t="str">
        <f>IF($B36="","",IFERROR(IF(INDEX(Config!$D$9:$D$29,MATCH($B36,Config!$B$9:$B$29,0))="Contrato",IF(INDEX(Config!$E$9:$E$29,MATCH($B36,Config!$B$9:$B$29,0))="","",INDEX(Config!$E$9:$E$29,MATCH($B36,Config!$B$9:$B$29,0))),""),""))</f>
        <v/>
      </c>
      <c r="AC36" s="19" t="str">
        <f>IF($B36="","",IFERROR(INDEX(Config!$D$9:$D$29,MATCH($B36,Config!$B$9:$B$29,0))&amp;"",""))</f>
        <v/>
      </c>
      <c r="AE36" s="29" t="inlineStr">
        <is>
          <t xml:space="preserve">NC · Backlog Intralog</t>
        </is>
      </c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7"/>
    </row>
    <row r="37">
      <c r="R37" s="20" t="str">
        <f>IF($B37="","",IFERROR(IF(INDEX(Config!$D$9:$D$29,MATCH($B37,Config!$B$9:$B$29,0))="Contrato",IF(INDEX(Config!$E$9:$E$29,MATCH($B37,Config!$B$9:$B$29,0))="","",INDEX(Config!$E$9:$E$29,MATCH($B37,Config!$B$9:$B$29,0))),""),""))</f>
        <v/>
      </c>
      <c r="AC37" s="19" t="str">
        <f>IF($B37="","",IFERROR(INDEX(Config!$D$9:$D$29,MATCH($B37,Config!$B$9:$B$29,0))&amp;"",""))</f>
        <v/>
      </c>
      <c r="AE37" s="29" t="inlineStr">
        <is>
          <t xml:space="preserve">NC · Backlog Cliente</t>
        </is>
      </c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7"/>
    </row>
    <row r="38">
      <c r="R38" s="20" t="str">
        <f>IF($B38="","",IFERROR(IF(INDEX(Config!$D$9:$D$29,MATCH($B38,Config!$B$9:$B$29,0))="Contrato",IF(INDEX(Config!$E$9:$E$29,MATCH($B38,Config!$B$9:$B$29,0))="","",INDEX(Config!$E$9:$E$29,MATCH($B38,Config!$B$9:$B$29,0))),""),""))</f>
        <v/>
      </c>
      <c r="AC38" s="19" t="str">
        <f>IF($B38="","",IFERROR(INDEX(Config!$D$9:$D$29,MATCH($B38,Config!$B$9:$B$29,0))&amp;"",""))</f>
        <v/>
      </c>
      <c r="AE38" s="25" t="inlineStr">
        <is>
          <t xml:space="preserve">OCUPAÇÃO (P.P) · Posições Disponíveis</t>
        </is>
      </c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7"/>
    </row>
    <row r="39">
      <c r="R39" s="20" t="str">
        <f>IF($B39="","",IFERROR(IF(INDEX(Config!$D$9:$D$29,MATCH($B39,Config!$B$9:$B$29,0))="Contrato",IF(INDEX(Config!$E$9:$E$29,MATCH($B39,Config!$B$9:$B$29,0))="","",INDEX(Config!$E$9:$E$29,MATCH($B39,Config!$B$9:$B$29,0))),""),""))</f>
        <v/>
      </c>
      <c r="AC39" s="19" t="str">
        <f>IF($B39="","",IFERROR(INDEX(Config!$D$9:$D$29,MATCH($B39,Config!$B$9:$B$29,0))&amp;"",""))</f>
        <v/>
      </c>
      <c r="AE39" s="25" t="inlineStr">
        <is>
          <t xml:space="preserve">OCUPAÇÃO (P.P) · Posições Ocupadas</t>
        </is>
      </c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7"/>
    </row>
    <row r="40">
      <c r="R40" s="20" t="str">
        <f>IF($B40="","",IFERROR(IF(INDEX(Config!$D$9:$D$29,MATCH($B40,Config!$B$9:$B$29,0))="Contrato",IF(INDEX(Config!$E$9:$E$29,MATCH($B40,Config!$B$9:$B$29,0))="","",INDEX(Config!$E$9:$E$29,MATCH($B40,Config!$B$9:$B$29,0))),""),""))</f>
        <v/>
      </c>
      <c r="AC40" s="19" t="str">
        <f>IF($B40="","",IFERROR(INDEX(Config!$D$9:$D$29,MATCH($B40,Config!$B$9:$B$29,0))&amp;"",""))</f>
        <v/>
      </c>
      <c r="AE40" s="25" t="inlineStr">
        <is>
          <t xml:space="preserve">OCUPAÇÃO (P.P) · Taxa de Ocupação</t>
        </is>
      </c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1"/>
    </row>
    <row r="41">
      <c r="R41" s="20" t="str">
        <f>IF($B41="","",IFERROR(IF(INDEX(Config!$D$9:$D$29,MATCH($B41,Config!$B$9:$B$29,0))="Contrato",IF(INDEX(Config!$E$9:$E$29,MATCH($B41,Config!$B$9:$B$29,0))="","",INDEX(Config!$E$9:$E$29,MATCH($B41,Config!$B$9:$B$29,0))),""),""))</f>
        <v/>
      </c>
      <c r="AC41" s="19" t="str">
        <f>IF($B41="","",IFERROR(INDEX(Config!$D$9:$D$29,MATCH($B41,Config!$B$9:$B$29,0))&amp;"",""))</f>
        <v/>
      </c>
      <c r="AE41" s="32" t="inlineStr">
        <is>
          <t xml:space="preserve">GENTE · Efetivo Op.</t>
        </is>
      </c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7"/>
    </row>
    <row r="42">
      <c r="R42" s="20" t="str">
        <f>IF($B42="","",IFERROR(IF(INDEX(Config!$D$9:$D$29,MATCH($B42,Config!$B$9:$B$29,0))="Contrato",IF(INDEX(Config!$E$9:$E$29,MATCH($B42,Config!$B$9:$B$29,0))="","",INDEX(Config!$E$9:$E$29,MATCH($B42,Config!$B$9:$B$29,0))),""),""))</f>
        <v/>
      </c>
      <c r="AC42" s="19" t="str">
        <f>IF($B42="","",IFERROR(INDEX(Config!$D$9:$D$29,MATCH($B42,Config!$B$9:$B$29,0))&amp;"",""))</f>
        <v/>
      </c>
      <c r="AE42" s="32" t="inlineStr">
        <is>
          <t xml:space="preserve">GENTE · Falta</t>
        </is>
      </c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7"/>
    </row>
    <row r="43">
      <c r="R43" s="20" t="str">
        <f>IF($B43="","",IFERROR(IF(INDEX(Config!$D$9:$D$29,MATCH($B43,Config!$B$9:$B$29,0))="Contrato",IF(INDEX(Config!$E$9:$E$29,MATCH($B43,Config!$B$9:$B$29,0))="","",INDEX(Config!$E$9:$E$29,MATCH($B43,Config!$B$9:$B$29,0))),""),""))</f>
        <v/>
      </c>
      <c r="AC43" s="19" t="str">
        <f>IF($B43="","",IFERROR(INDEX(Config!$D$9:$D$29,MATCH($B43,Config!$B$9:$B$29,0))&amp;"",""))</f>
        <v/>
      </c>
      <c r="AE43" s="32" t="inlineStr">
        <is>
          <t xml:space="preserve">GENTE · Absenteísmo (H/H)</t>
        </is>
      </c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7"/>
    </row>
    <row r="44">
      <c r="R44" s="20" t="str">
        <f>IF($B44="","",IFERROR(IF(INDEX(Config!$D$9:$D$29,MATCH($B44,Config!$B$9:$B$29,0))="Contrato",IF(INDEX(Config!$E$9:$E$29,MATCH($B44,Config!$B$9:$B$29,0))="","",INDEX(Config!$E$9:$E$29,MATCH($B44,Config!$B$9:$B$29,0))),""),""))</f>
        <v/>
      </c>
      <c r="AC44" s="19" t="str">
        <f>IF($B44="","",IFERROR(INDEX(Config!$D$9:$D$29,MATCH($B44,Config!$B$9:$B$29,0))&amp;"",""))</f>
        <v/>
      </c>
      <c r="AE44" s="32" t="inlineStr">
        <is>
          <t xml:space="preserve">GENTE · Folga</t>
        </is>
      </c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7"/>
    </row>
    <row r="45">
      <c r="R45" s="20" t="str">
        <f>IF($B45="","",IFERROR(IF(INDEX(Config!$D$9:$D$29,MATCH($B45,Config!$B$9:$B$29,0))="Contrato",IF(INDEX(Config!$E$9:$E$29,MATCH($B45,Config!$B$9:$B$29,0))="","",INDEX(Config!$E$9:$E$29,MATCH($B45,Config!$B$9:$B$29,0))),""),""))</f>
        <v/>
      </c>
      <c r="AC45" s="19" t="str">
        <f>IF($B45="","",IFERROR(INDEX(Config!$D$9:$D$29,MATCH($B45,Config!$B$9:$B$29,0))&amp;"",""))</f>
        <v/>
      </c>
      <c r="AE45" s="32" t="inlineStr">
        <is>
          <t xml:space="preserve">GENTE · Férias</t>
        </is>
      </c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7"/>
    </row>
    <row r="46">
      <c r="R46" s="20" t="str">
        <f>IF($B46="","",IFERROR(IF(INDEX(Config!$D$9:$D$29,MATCH($B46,Config!$B$9:$B$29,0))="Contrato",IF(INDEX(Config!$E$9:$E$29,MATCH($B46,Config!$B$9:$B$29,0))="","",INDEX(Config!$E$9:$E$29,MATCH($B46,Config!$B$9:$B$29,0))),""),""))</f>
        <v/>
      </c>
      <c r="AC46" s="19" t="str">
        <f>IF($B46="","",IFERROR(INDEX(Config!$D$9:$D$29,MATCH($B46,Config!$B$9:$B$29,0))&amp;"",""))</f>
        <v/>
      </c>
      <c r="AE46" s="32" t="inlineStr">
        <is>
          <t xml:space="preserve">GENTE · Desligamento</t>
        </is>
      </c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7"/>
    </row>
    <row r="47">
      <c r="R47" s="20" t="str">
        <f>IF($B47="","",IFERROR(IF(INDEX(Config!$D$9:$D$29,MATCH($B47,Config!$B$9:$B$29,0))="Contrato",IF(INDEX(Config!$E$9:$E$29,MATCH($B47,Config!$B$9:$B$29,0))="","",INDEX(Config!$E$9:$E$29,MATCH($B47,Config!$B$9:$B$29,0))),""),""))</f>
        <v/>
      </c>
      <c r="AC47" s="19" t="str">
        <f>IF($B47="","",IFERROR(INDEX(Config!$D$9:$D$29,MATCH($B47,Config!$B$9:$B$29,0))&amp;"",""))</f>
        <v/>
      </c>
      <c r="AE47" s="32" t="inlineStr">
        <is>
          <t xml:space="preserve">GENTE · Desvios Comportamentais</t>
        </is>
      </c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7"/>
    </row>
    <row r="48">
      <c r="R48" s="20" t="str">
        <f>IF($B48="","",IFERROR(IF(INDEX(Config!$D$9:$D$29,MATCH($B48,Config!$B$9:$B$29,0))="Contrato",IF(INDEX(Config!$E$9:$E$29,MATCH($B48,Config!$B$9:$B$29,0))="","",INDEX(Config!$E$9:$E$29,MATCH($B48,Config!$B$9:$B$29,0))),""),""))</f>
        <v/>
      </c>
      <c r="AC48" s="19" t="str">
        <f>IF($B48="","",IFERROR(INDEX(Config!$D$9:$D$29,MATCH($B48,Config!$B$9:$B$29,0))&amp;"",""))</f>
        <v/>
      </c>
      <c r="AE48" s="32" t="inlineStr">
        <is>
          <t xml:space="preserve">GENTE · Acidentes CAF</t>
        </is>
      </c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7"/>
    </row>
    <row r="49">
      <c r="R49" s="20" t="str">
        <f>IF($B49="","",IFERROR(IF(INDEX(Config!$D$9:$D$29,MATCH($B49,Config!$B$9:$B$29,0))="Contrato",IF(INDEX(Config!$E$9:$E$29,MATCH($B49,Config!$B$9:$B$29,0))="","",INDEX(Config!$E$9:$E$29,MATCH($B49,Config!$B$9:$B$29,0))),""),""))</f>
        <v/>
      </c>
      <c r="AC49" s="19" t="str">
        <f>IF($B49="","",IFERROR(INDEX(Config!$D$9:$D$29,MATCH($B49,Config!$B$9:$B$29,0))&amp;"",""))</f>
        <v/>
      </c>
      <c r="AE49" s="33" t="inlineStr">
        <is>
          <t xml:space="preserve">GENTE · Acidentes SAF</t>
        </is>
      </c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5"/>
    </row>
    <row r="50">
      <c r="R50" s="20" t="str">
        <f>IF($B50="","",IFERROR(IF(INDEX(Config!$D$9:$D$29,MATCH($B50,Config!$B$9:$B$29,0))="Contrato",IF(INDEX(Config!$E$9:$E$29,MATCH($B50,Config!$B$9:$B$29,0))="","",INDEX(Config!$E$9:$E$29,MATCH($B50,Config!$B$9:$B$29,0))),""),""))</f>
        <v/>
      </c>
      <c r="AC50" s="19" t="str">
        <f>IF($B50="","",IFERROR(INDEX(Config!$D$9:$D$29,MATCH($B50,Config!$B$9:$B$29,0))&amp;"",""))</f>
        <v/>
      </c>
      <c r="AE50" s="36" t="inlineStr">
        <is>
          <t xml:space="preserve">Cliente novo: desproteja a aba BD (senha), renomeie o cabeçalho "Vaga N" com o nome do cliente (igual ao da Config), proteja de novo e preencha as metas.</t>
        </is>
      </c>
    </row>
    <row r="51">
      <c r="R51" s="20" t="str">
        <f>IF($B51="","",IFERROR(IF(INDEX(Config!$D$9:$D$29,MATCH($B51,Config!$B$9:$B$29,0))="Contrato",IF(INDEX(Config!$E$9:$E$29,MATCH($B51,Config!$B$9:$B$29,0))="","",INDEX(Config!$E$9:$E$29,MATCH($B51,Config!$B$9:$B$29,0))),""),""))</f>
        <v/>
      </c>
      <c r="AC51" s="19" t="str">
        <f>IF($B51="","",IFERROR(INDEX(Config!$D$9:$D$29,MATCH($B51,Config!$B$9:$B$29,0))&amp;"",""))</f>
        <v/>
      </c>
    </row>
    <row r="52">
      <c r="R52" s="20" t="str">
        <f>IF($B52="","",IFERROR(IF(INDEX(Config!$D$9:$D$29,MATCH($B52,Config!$B$9:$B$29,0))="Contrato",IF(INDEX(Config!$E$9:$E$29,MATCH($B52,Config!$B$9:$B$29,0))="","",INDEX(Config!$E$9:$E$29,MATCH($B52,Config!$B$9:$B$29,0))),""),""))</f>
        <v/>
      </c>
      <c r="AC52" s="19" t="str">
        <f>IF($B52="","",IFERROR(INDEX(Config!$D$9:$D$29,MATCH($B52,Config!$B$9:$B$29,0))&amp;"",""))</f>
        <v/>
      </c>
    </row>
    <row r="53">
      <c r="R53" s="20" t="str">
        <f>IF($B53="","",IFERROR(IF(INDEX(Config!$D$9:$D$29,MATCH($B53,Config!$B$9:$B$29,0))="Contrato",IF(INDEX(Config!$E$9:$E$29,MATCH($B53,Config!$B$9:$B$29,0))="","",INDEX(Config!$E$9:$E$29,MATCH($B53,Config!$B$9:$B$29,0))),""),""))</f>
        <v/>
      </c>
      <c r="AC53" s="19" t="str">
        <f>IF($B53="","",IFERROR(INDEX(Config!$D$9:$D$29,MATCH($B53,Config!$B$9:$B$29,0))&amp;"",""))</f>
        <v/>
      </c>
    </row>
    <row r="54">
      <c r="R54" s="20" t="str">
        <f>IF($B54="","",IFERROR(IF(INDEX(Config!$D$9:$D$29,MATCH($B54,Config!$B$9:$B$29,0))="Contrato",IF(INDEX(Config!$E$9:$E$29,MATCH($B54,Config!$B$9:$B$29,0))="","",INDEX(Config!$E$9:$E$29,MATCH($B54,Config!$B$9:$B$29,0))),""),""))</f>
        <v/>
      </c>
      <c r="AC54" s="19" t="str">
        <f>IF($B54="","",IFERROR(INDEX(Config!$D$9:$D$29,MATCH($B54,Config!$B$9:$B$29,0))&amp;"",""))</f>
        <v/>
      </c>
    </row>
    <row r="55">
      <c r="R55" s="20" t="str">
        <f>IF($B55="","",IFERROR(IF(INDEX(Config!$D$9:$D$29,MATCH($B55,Config!$B$9:$B$29,0))="Contrato",IF(INDEX(Config!$E$9:$E$29,MATCH($B55,Config!$B$9:$B$29,0))="","",INDEX(Config!$E$9:$E$29,MATCH($B55,Config!$B$9:$B$29,0))),""),""))</f>
        <v/>
      </c>
      <c r="AC55" s="19" t="str">
        <f>IF($B55="","",IFERROR(INDEX(Config!$D$9:$D$29,MATCH($B55,Config!$B$9:$B$29,0))&amp;"",""))</f>
        <v/>
      </c>
    </row>
    <row r="56">
      <c r="R56" s="20" t="str">
        <f>IF($B56="","",IFERROR(IF(INDEX(Config!$D$9:$D$29,MATCH($B56,Config!$B$9:$B$29,0))="Contrato",IF(INDEX(Config!$E$9:$E$29,MATCH($B56,Config!$B$9:$B$29,0))="","",INDEX(Config!$E$9:$E$29,MATCH($B56,Config!$B$9:$B$29,0))),""),""))</f>
        <v/>
      </c>
      <c r="AC56" s="19" t="str">
        <f>IF($B56="","",IFERROR(INDEX(Config!$D$9:$D$29,MATCH($B56,Config!$B$9:$B$29,0))&amp;"",""))</f>
        <v/>
      </c>
    </row>
    <row r="57">
      <c r="R57" s="20" t="str">
        <f>IF($B57="","",IFERROR(IF(INDEX(Config!$D$9:$D$29,MATCH($B57,Config!$B$9:$B$29,0))="Contrato",IF(INDEX(Config!$E$9:$E$29,MATCH($B57,Config!$B$9:$B$29,0))="","",INDEX(Config!$E$9:$E$29,MATCH($B57,Config!$B$9:$B$29,0))),""),""))</f>
        <v/>
      </c>
      <c r="AC57" s="19" t="str">
        <f>IF($B57="","",IFERROR(INDEX(Config!$D$9:$D$29,MATCH($B57,Config!$B$9:$B$29,0))&amp;"",""))</f>
        <v/>
      </c>
    </row>
    <row r="58">
      <c r="R58" s="20" t="str">
        <f>IF($B58="","",IFERROR(IF(INDEX(Config!$D$9:$D$29,MATCH($B58,Config!$B$9:$B$29,0))="Contrato",IF(INDEX(Config!$E$9:$E$29,MATCH($B58,Config!$B$9:$B$29,0))="","",INDEX(Config!$E$9:$E$29,MATCH($B58,Config!$B$9:$B$29,0))),""),""))</f>
        <v/>
      </c>
      <c r="AC58" s="19" t="str">
        <f>IF($B58="","",IFERROR(INDEX(Config!$D$9:$D$29,MATCH($B58,Config!$B$9:$B$29,0))&amp;"",""))</f>
        <v/>
      </c>
    </row>
    <row r="59">
      <c r="R59" s="20" t="str">
        <f>IF($B59="","",IFERROR(IF(INDEX(Config!$D$9:$D$29,MATCH($B59,Config!$B$9:$B$29,0))="Contrato",IF(INDEX(Config!$E$9:$E$29,MATCH($B59,Config!$B$9:$B$29,0))="","",INDEX(Config!$E$9:$E$29,MATCH($B59,Config!$B$9:$B$29,0))),""),""))</f>
        <v/>
      </c>
      <c r="AC59" s="19" t="str">
        <f>IF($B59="","",IFERROR(INDEX(Config!$D$9:$D$29,MATCH($B59,Config!$B$9:$B$29,0))&amp;"",""))</f>
        <v/>
      </c>
    </row>
    <row r="60">
      <c r="R60" s="20" t="str">
        <f>IF($B60="","",IFERROR(IF(INDEX(Config!$D$9:$D$29,MATCH($B60,Config!$B$9:$B$29,0))="Contrato",IF(INDEX(Config!$E$9:$E$29,MATCH($B60,Config!$B$9:$B$29,0))="","",INDEX(Config!$E$9:$E$29,MATCH($B60,Config!$B$9:$B$29,0))),""),""))</f>
        <v/>
      </c>
      <c r="AC60" s="19" t="str">
        <f>IF($B60="","",IFERROR(INDEX(Config!$D$9:$D$29,MATCH($B60,Config!$B$9:$B$29,0))&amp;"",""))</f>
        <v/>
      </c>
    </row>
    <row r="61">
      <c r="R61" s="20" t="str">
        <f>IF($B61="","",IFERROR(IF(INDEX(Config!$D$9:$D$29,MATCH($B61,Config!$B$9:$B$29,0))="Contrato",IF(INDEX(Config!$E$9:$E$29,MATCH($B61,Config!$B$9:$B$29,0))="","",INDEX(Config!$E$9:$E$29,MATCH($B61,Config!$B$9:$B$29,0))),""),""))</f>
        <v/>
      </c>
      <c r="AC61" s="19" t="str">
        <f>IF($B61="","",IFERROR(INDEX(Config!$D$9:$D$29,MATCH($B61,Config!$B$9:$B$29,0))&amp;"",""))</f>
        <v/>
      </c>
    </row>
    <row r="62">
      <c r="R62" s="20" t="str">
        <f>IF($B62="","",IFERROR(IF(INDEX(Config!$D$9:$D$29,MATCH($B62,Config!$B$9:$B$29,0))="Contrato",IF(INDEX(Config!$E$9:$E$29,MATCH($B62,Config!$B$9:$B$29,0))="","",INDEX(Config!$E$9:$E$29,MATCH($B62,Config!$B$9:$B$29,0))),""),""))</f>
        <v/>
      </c>
      <c r="AC62" s="19" t="str">
        <f>IF($B62="","",IFERROR(INDEX(Config!$D$9:$D$29,MATCH($B62,Config!$B$9:$B$29,0))&amp;"",""))</f>
        <v/>
      </c>
    </row>
    <row r="63">
      <c r="R63" s="20" t="str">
        <f>IF($B63="","",IFERROR(IF(INDEX(Config!$D$9:$D$29,MATCH($B63,Config!$B$9:$B$29,0))="Contrato",IF(INDEX(Config!$E$9:$E$29,MATCH($B63,Config!$B$9:$B$29,0))="","",INDEX(Config!$E$9:$E$29,MATCH($B63,Config!$B$9:$B$29,0))),""),""))</f>
        <v/>
      </c>
      <c r="AC63" s="19" t="str">
        <f>IF($B63="","",IFERROR(INDEX(Config!$D$9:$D$29,MATCH($B63,Config!$B$9:$B$29,0))&amp;"",""))</f>
        <v/>
      </c>
    </row>
    <row r="64">
      <c r="R64" s="20" t="str">
        <f>IF($B64="","",IFERROR(IF(INDEX(Config!$D$9:$D$29,MATCH($B64,Config!$B$9:$B$29,0))="Contrato",IF(INDEX(Config!$E$9:$E$29,MATCH($B64,Config!$B$9:$B$29,0))="","",INDEX(Config!$E$9:$E$29,MATCH($B64,Config!$B$9:$B$29,0))),""),""))</f>
        <v/>
      </c>
      <c r="AC64" s="19" t="str">
        <f>IF($B64="","",IFERROR(INDEX(Config!$D$9:$D$29,MATCH($B64,Config!$B$9:$B$29,0))&amp;"",""))</f>
        <v/>
      </c>
    </row>
    <row r="65">
      <c r="R65" s="20" t="str">
        <f>IF($B65="","",IFERROR(IF(INDEX(Config!$D$9:$D$29,MATCH($B65,Config!$B$9:$B$29,0))="Contrato",IF(INDEX(Config!$E$9:$E$29,MATCH($B65,Config!$B$9:$B$29,0))="","",INDEX(Config!$E$9:$E$29,MATCH($B65,Config!$B$9:$B$29,0))),""),""))</f>
        <v/>
      </c>
      <c r="AC65" s="19" t="str">
        <f>IF($B65="","",IFERROR(INDEX(Config!$D$9:$D$29,MATCH($B65,Config!$B$9:$B$29,0))&amp;"",""))</f>
        <v/>
      </c>
    </row>
    <row r="66">
      <c r="R66" s="20" t="str">
        <f>IF($B66="","",IFERROR(IF(INDEX(Config!$D$9:$D$29,MATCH($B66,Config!$B$9:$B$29,0))="Contrato",IF(INDEX(Config!$E$9:$E$29,MATCH($B66,Config!$B$9:$B$29,0))="","",INDEX(Config!$E$9:$E$29,MATCH($B66,Config!$B$9:$B$29,0))),""),""))</f>
        <v/>
      </c>
      <c r="AC66" s="19" t="str">
        <f>IF($B66="","",IFERROR(INDEX(Config!$D$9:$D$29,MATCH($B66,Config!$B$9:$B$29,0))&amp;"",""))</f>
        <v/>
      </c>
    </row>
    <row r="67">
      <c r="R67" s="20" t="str">
        <f>IF($B67="","",IFERROR(IF(INDEX(Config!$D$9:$D$29,MATCH($B67,Config!$B$9:$B$29,0))="Contrato",IF(INDEX(Config!$E$9:$E$29,MATCH($B67,Config!$B$9:$B$29,0))="","",INDEX(Config!$E$9:$E$29,MATCH($B67,Config!$B$9:$B$29,0))),""),""))</f>
        <v/>
      </c>
      <c r="AC67" s="19" t="str">
        <f>IF($B67="","",IFERROR(INDEX(Config!$D$9:$D$29,MATCH($B67,Config!$B$9:$B$29,0))&amp;"",""))</f>
        <v/>
      </c>
    </row>
    <row r="68">
      <c r="R68" s="20" t="str">
        <f>IF($B68="","",IFERROR(IF(INDEX(Config!$D$9:$D$29,MATCH($B68,Config!$B$9:$B$29,0))="Contrato",IF(INDEX(Config!$E$9:$E$29,MATCH($B68,Config!$B$9:$B$29,0))="","",INDEX(Config!$E$9:$E$29,MATCH($B68,Config!$B$9:$B$29,0))),""),""))</f>
        <v/>
      </c>
      <c r="AC68" s="19" t="str">
        <f>IF($B68="","",IFERROR(INDEX(Config!$D$9:$D$29,MATCH($B68,Config!$B$9:$B$29,0))&amp;"",""))</f>
        <v/>
      </c>
    </row>
    <row r="69">
      <c r="R69" s="20" t="str">
        <f>IF($B69="","",IFERROR(IF(INDEX(Config!$D$9:$D$29,MATCH($B69,Config!$B$9:$B$29,0))="Contrato",IF(INDEX(Config!$E$9:$E$29,MATCH($B69,Config!$B$9:$B$29,0))="","",INDEX(Config!$E$9:$E$29,MATCH($B69,Config!$B$9:$B$29,0))),""),""))</f>
        <v/>
      </c>
      <c r="AC69" s="19" t="str">
        <f>IF($B69="","",IFERROR(INDEX(Config!$D$9:$D$29,MATCH($B69,Config!$B$9:$B$29,0))&amp;"",""))</f>
        <v/>
      </c>
    </row>
    <row r="70">
      <c r="R70" s="20" t="str">
        <f>IF($B70="","",IFERROR(IF(INDEX(Config!$D$9:$D$29,MATCH($B70,Config!$B$9:$B$29,0))="Contrato",IF(INDEX(Config!$E$9:$E$29,MATCH($B70,Config!$B$9:$B$29,0))="","",INDEX(Config!$E$9:$E$29,MATCH($B70,Config!$B$9:$B$29,0))),""),""))</f>
        <v/>
      </c>
      <c r="AC70" s="19" t="str">
        <f>IF($B70="","",IFERROR(INDEX(Config!$D$9:$D$29,MATCH($B70,Config!$B$9:$B$29,0))&amp;"",""))</f>
        <v/>
      </c>
    </row>
    <row r="71">
      <c r="R71" s="20" t="str">
        <f>IF($B71="","",IFERROR(IF(INDEX(Config!$D$9:$D$29,MATCH($B71,Config!$B$9:$B$29,0))="Contrato",IF(INDEX(Config!$E$9:$E$29,MATCH($B71,Config!$B$9:$B$29,0))="","",INDEX(Config!$E$9:$E$29,MATCH($B71,Config!$B$9:$B$29,0))),""),""))</f>
        <v/>
      </c>
      <c r="AC71" s="19" t="str">
        <f>IF($B71="","",IFERROR(INDEX(Config!$D$9:$D$29,MATCH($B71,Config!$B$9:$B$29,0))&amp;"",""))</f>
        <v/>
      </c>
    </row>
    <row r="72">
      <c r="R72" s="20" t="str">
        <f>IF($B72="","",IFERROR(IF(INDEX(Config!$D$9:$D$29,MATCH($B72,Config!$B$9:$B$29,0))="Contrato",IF(INDEX(Config!$E$9:$E$29,MATCH($B72,Config!$B$9:$B$29,0))="","",INDEX(Config!$E$9:$E$29,MATCH($B72,Config!$B$9:$B$29,0))),""),""))</f>
        <v/>
      </c>
      <c r="AC72" s="19" t="str">
        <f>IF($B72="","",IFERROR(INDEX(Config!$D$9:$D$29,MATCH($B72,Config!$B$9:$B$29,0))&amp;"",""))</f>
        <v/>
      </c>
    </row>
    <row r="73">
      <c r="R73" s="20" t="str">
        <f>IF($B73="","",IFERROR(IF(INDEX(Config!$D$9:$D$29,MATCH($B73,Config!$B$9:$B$29,0))="Contrato",IF(INDEX(Config!$E$9:$E$29,MATCH($B73,Config!$B$9:$B$29,0))="","",INDEX(Config!$E$9:$E$29,MATCH($B73,Config!$B$9:$B$29,0))),""),""))</f>
        <v/>
      </c>
      <c r="AC73" s="19" t="str">
        <f>IF($B73="","",IFERROR(INDEX(Config!$D$9:$D$29,MATCH($B73,Config!$B$9:$B$29,0))&amp;"",""))</f>
        <v/>
      </c>
    </row>
    <row r="74">
      <c r="R74" s="20" t="str">
        <f>IF($B74="","",IFERROR(IF(INDEX(Config!$D$9:$D$29,MATCH($B74,Config!$B$9:$B$29,0))="Contrato",IF(INDEX(Config!$E$9:$E$29,MATCH($B74,Config!$B$9:$B$29,0))="","",INDEX(Config!$E$9:$E$29,MATCH($B74,Config!$B$9:$B$29,0))),""),""))</f>
        <v/>
      </c>
      <c r="AC74" s="19" t="str">
        <f>IF($B74="","",IFERROR(INDEX(Config!$D$9:$D$29,MATCH($B74,Config!$B$9:$B$29,0))&amp;"",""))</f>
        <v/>
      </c>
    </row>
    <row r="75">
      <c r="R75" s="20" t="str">
        <f>IF($B75="","",IFERROR(IF(INDEX(Config!$D$9:$D$29,MATCH($B75,Config!$B$9:$B$29,0))="Contrato",IF(INDEX(Config!$E$9:$E$29,MATCH($B75,Config!$B$9:$B$29,0))="","",INDEX(Config!$E$9:$E$29,MATCH($B75,Config!$B$9:$B$29,0))),""),""))</f>
        <v/>
      </c>
      <c r="AC75" s="19" t="str">
        <f>IF($B75="","",IFERROR(INDEX(Config!$D$9:$D$29,MATCH($B75,Config!$B$9:$B$29,0))&amp;"",""))</f>
        <v/>
      </c>
    </row>
    <row r="76">
      <c r="R76" s="20" t="str">
        <f>IF($B76="","",IFERROR(IF(INDEX(Config!$D$9:$D$29,MATCH($B76,Config!$B$9:$B$29,0))="Contrato",IF(INDEX(Config!$E$9:$E$29,MATCH($B76,Config!$B$9:$B$29,0))="","",INDEX(Config!$E$9:$E$29,MATCH($B76,Config!$B$9:$B$29,0))),""),""))</f>
        <v/>
      </c>
      <c r="AC76" s="19" t="str">
        <f>IF($B76="","",IFERROR(INDEX(Config!$D$9:$D$29,MATCH($B76,Config!$B$9:$B$29,0))&amp;"",""))</f>
        <v/>
      </c>
    </row>
    <row r="77">
      <c r="R77" s="20" t="str">
        <f>IF($B77="","",IFERROR(IF(INDEX(Config!$D$9:$D$29,MATCH($B77,Config!$B$9:$B$29,0))="Contrato",IF(INDEX(Config!$E$9:$E$29,MATCH($B77,Config!$B$9:$B$29,0))="","",INDEX(Config!$E$9:$E$29,MATCH($B77,Config!$B$9:$B$29,0))),""),""))</f>
        <v/>
      </c>
      <c r="AC77" s="19" t="str">
        <f>IF($B77="","",IFERROR(INDEX(Config!$D$9:$D$29,MATCH($B77,Config!$B$9:$B$29,0))&amp;"",""))</f>
        <v/>
      </c>
    </row>
    <row r="78">
      <c r="R78" s="20" t="str">
        <f>IF($B78="","",IFERROR(IF(INDEX(Config!$D$9:$D$29,MATCH($B78,Config!$B$9:$B$29,0))="Contrato",IF(INDEX(Config!$E$9:$E$29,MATCH($B78,Config!$B$9:$B$29,0))="","",INDEX(Config!$E$9:$E$29,MATCH($B78,Config!$B$9:$B$29,0))),""),""))</f>
        <v/>
      </c>
      <c r="AC78" s="19" t="str">
        <f>IF($B78="","",IFERROR(INDEX(Config!$D$9:$D$29,MATCH($B78,Config!$B$9:$B$29,0))&amp;"",""))</f>
        <v/>
      </c>
    </row>
    <row r="79">
      <c r="R79" s="20" t="str">
        <f>IF($B79="","",IFERROR(IF(INDEX(Config!$D$9:$D$29,MATCH($B79,Config!$B$9:$B$29,0))="Contrato",IF(INDEX(Config!$E$9:$E$29,MATCH($B79,Config!$B$9:$B$29,0))="","",INDEX(Config!$E$9:$E$29,MATCH($B79,Config!$B$9:$B$29,0))),""),""))</f>
        <v/>
      </c>
      <c r="AC79" s="19" t="str">
        <f>IF($B79="","",IFERROR(INDEX(Config!$D$9:$D$29,MATCH($B79,Config!$B$9:$B$29,0))&amp;"",""))</f>
        <v/>
      </c>
    </row>
    <row r="80">
      <c r="R80" s="20" t="str">
        <f>IF($B80="","",IFERROR(IF(INDEX(Config!$D$9:$D$29,MATCH($B80,Config!$B$9:$B$29,0))="Contrato",IF(INDEX(Config!$E$9:$E$29,MATCH($B80,Config!$B$9:$B$29,0))="","",INDEX(Config!$E$9:$E$29,MATCH($B80,Config!$B$9:$B$29,0))),""),""))</f>
        <v/>
      </c>
      <c r="AC80" s="19" t="str">
        <f>IF($B80="","",IFERROR(INDEX(Config!$D$9:$D$29,MATCH($B80,Config!$B$9:$B$29,0))&amp;"",""))</f>
        <v/>
      </c>
    </row>
    <row r="81">
      <c r="R81" s="20" t="str">
        <f>IF($B81="","",IFERROR(IF(INDEX(Config!$D$9:$D$29,MATCH($B81,Config!$B$9:$B$29,0))="Contrato",IF(INDEX(Config!$E$9:$E$29,MATCH($B81,Config!$B$9:$B$29,0))="","",INDEX(Config!$E$9:$E$29,MATCH($B81,Config!$B$9:$B$29,0))),""),""))</f>
        <v/>
      </c>
      <c r="AC81" s="19" t="str">
        <f>IF($B81="","",IFERROR(INDEX(Config!$D$9:$D$29,MATCH($B81,Config!$B$9:$B$29,0))&amp;"",""))</f>
        <v/>
      </c>
    </row>
    <row r="82">
      <c r="R82" s="20" t="str">
        <f>IF($B82="","",IFERROR(IF(INDEX(Config!$D$9:$D$29,MATCH($B82,Config!$B$9:$B$29,0))="Contrato",IF(INDEX(Config!$E$9:$E$29,MATCH($B82,Config!$B$9:$B$29,0))="","",INDEX(Config!$E$9:$E$29,MATCH($B82,Config!$B$9:$B$29,0))),""),""))</f>
        <v/>
      </c>
      <c r="AC82" s="19" t="str">
        <f>IF($B82="","",IFERROR(INDEX(Config!$D$9:$D$29,MATCH($B82,Config!$B$9:$B$29,0))&amp;"",""))</f>
        <v/>
      </c>
    </row>
    <row r="83">
      <c r="R83" s="20" t="str">
        <f>IF($B83="","",IFERROR(IF(INDEX(Config!$D$9:$D$29,MATCH($B83,Config!$B$9:$B$29,0))="Contrato",IF(INDEX(Config!$E$9:$E$29,MATCH($B83,Config!$B$9:$B$29,0))="","",INDEX(Config!$E$9:$E$29,MATCH($B83,Config!$B$9:$B$29,0))),""),""))</f>
        <v/>
      </c>
      <c r="AC83" s="19" t="str">
        <f>IF($B83="","",IFERROR(INDEX(Config!$D$9:$D$29,MATCH($B83,Config!$B$9:$B$29,0))&amp;"",""))</f>
        <v/>
      </c>
    </row>
    <row r="84">
      <c r="R84" s="20" t="str">
        <f>IF($B84="","",IFERROR(IF(INDEX(Config!$D$9:$D$29,MATCH($B84,Config!$B$9:$B$29,0))="Contrato",IF(INDEX(Config!$E$9:$E$29,MATCH($B84,Config!$B$9:$B$29,0))="","",INDEX(Config!$E$9:$E$29,MATCH($B84,Config!$B$9:$B$29,0))),""),""))</f>
        <v/>
      </c>
      <c r="AC84" s="19" t="str">
        <f>IF($B84="","",IFERROR(INDEX(Config!$D$9:$D$29,MATCH($B84,Config!$B$9:$B$29,0))&amp;"",""))</f>
        <v/>
      </c>
    </row>
    <row r="85">
      <c r="R85" s="20" t="str">
        <f>IF($B85="","",IFERROR(IF(INDEX(Config!$D$9:$D$29,MATCH($B85,Config!$B$9:$B$29,0))="Contrato",IF(INDEX(Config!$E$9:$E$29,MATCH($B85,Config!$B$9:$B$29,0))="","",INDEX(Config!$E$9:$E$29,MATCH($B85,Config!$B$9:$B$29,0))),""),""))</f>
        <v/>
      </c>
      <c r="AC85" s="19" t="str">
        <f>IF($B85="","",IFERROR(INDEX(Config!$D$9:$D$29,MATCH($B85,Config!$B$9:$B$29,0))&amp;"",""))</f>
        <v/>
      </c>
    </row>
    <row r="86">
      <c r="R86" s="20" t="str">
        <f>IF($B86="","",IFERROR(IF(INDEX(Config!$D$9:$D$29,MATCH($B86,Config!$B$9:$B$29,0))="Contrato",IF(INDEX(Config!$E$9:$E$29,MATCH($B86,Config!$B$9:$B$29,0))="","",INDEX(Config!$E$9:$E$29,MATCH($B86,Config!$B$9:$B$29,0))),""),""))</f>
        <v/>
      </c>
      <c r="AC86" s="19" t="str">
        <f>IF($B86="","",IFERROR(INDEX(Config!$D$9:$D$29,MATCH($B86,Config!$B$9:$B$29,0))&amp;"",""))</f>
        <v/>
      </c>
    </row>
    <row r="87">
      <c r="R87" s="20" t="str">
        <f>IF($B87="","",IFERROR(IF(INDEX(Config!$D$9:$D$29,MATCH($B87,Config!$B$9:$B$29,0))="Contrato",IF(INDEX(Config!$E$9:$E$29,MATCH($B87,Config!$B$9:$B$29,0))="","",INDEX(Config!$E$9:$E$29,MATCH($B87,Config!$B$9:$B$29,0))),""),""))</f>
        <v/>
      </c>
      <c r="AC87" s="19" t="str">
        <f>IF($B87="","",IFERROR(INDEX(Config!$D$9:$D$29,MATCH($B87,Config!$B$9:$B$29,0))&amp;"",""))</f>
        <v/>
      </c>
    </row>
    <row r="88">
      <c r="R88" s="20" t="str">
        <f>IF($B88="","",IFERROR(IF(INDEX(Config!$D$9:$D$29,MATCH($B88,Config!$B$9:$B$29,0))="Contrato",IF(INDEX(Config!$E$9:$E$29,MATCH($B88,Config!$B$9:$B$29,0))="","",INDEX(Config!$E$9:$E$29,MATCH($B88,Config!$B$9:$B$29,0))),""),""))</f>
        <v/>
      </c>
      <c r="AC88" s="19" t="str">
        <f>IF($B88="","",IFERROR(INDEX(Config!$D$9:$D$29,MATCH($B88,Config!$B$9:$B$29,0))&amp;"",""))</f>
        <v/>
      </c>
    </row>
    <row r="89">
      <c r="R89" s="20" t="str">
        <f>IF($B89="","",IFERROR(IF(INDEX(Config!$D$9:$D$29,MATCH($B89,Config!$B$9:$B$29,0))="Contrato",IF(INDEX(Config!$E$9:$E$29,MATCH($B89,Config!$B$9:$B$29,0))="","",INDEX(Config!$E$9:$E$29,MATCH($B89,Config!$B$9:$B$29,0))),""),""))</f>
        <v/>
      </c>
      <c r="AC89" s="19" t="str">
        <f>IF($B89="","",IFERROR(INDEX(Config!$D$9:$D$29,MATCH($B89,Config!$B$9:$B$29,0))&amp;"",""))</f>
        <v/>
      </c>
    </row>
    <row r="90">
      <c r="R90" s="20" t="str">
        <f>IF($B90="","",IFERROR(IF(INDEX(Config!$D$9:$D$29,MATCH($B90,Config!$B$9:$B$29,0))="Contrato",IF(INDEX(Config!$E$9:$E$29,MATCH($B90,Config!$B$9:$B$29,0))="","",INDEX(Config!$E$9:$E$29,MATCH($B90,Config!$B$9:$B$29,0))),""),""))</f>
        <v/>
      </c>
      <c r="AC90" s="19" t="str">
        <f>IF($B90="","",IFERROR(INDEX(Config!$D$9:$D$29,MATCH($B90,Config!$B$9:$B$29,0))&amp;"",""))</f>
        <v/>
      </c>
    </row>
    <row r="91">
      <c r="R91" s="20" t="str">
        <f>IF($B91="","",IFERROR(IF(INDEX(Config!$D$9:$D$29,MATCH($B91,Config!$B$9:$B$29,0))="Contrato",IF(INDEX(Config!$E$9:$E$29,MATCH($B91,Config!$B$9:$B$29,0))="","",INDEX(Config!$E$9:$E$29,MATCH($B91,Config!$B$9:$B$29,0))),""),""))</f>
        <v/>
      </c>
      <c r="AC91" s="19" t="str">
        <f>IF($B91="","",IFERROR(INDEX(Config!$D$9:$D$29,MATCH($B91,Config!$B$9:$B$29,0))&amp;"",""))</f>
        <v/>
      </c>
    </row>
    <row r="92">
      <c r="R92" s="20" t="str">
        <f>IF($B92="","",IFERROR(IF(INDEX(Config!$D$9:$D$29,MATCH($B92,Config!$B$9:$B$29,0))="Contrato",IF(INDEX(Config!$E$9:$E$29,MATCH($B92,Config!$B$9:$B$29,0))="","",INDEX(Config!$E$9:$E$29,MATCH($B92,Config!$B$9:$B$29,0))),""),""))</f>
        <v/>
      </c>
      <c r="AC92" s="19" t="str">
        <f>IF($B92="","",IFERROR(INDEX(Config!$D$9:$D$29,MATCH($B92,Config!$B$9:$B$29,0))&amp;"",""))</f>
        <v/>
      </c>
    </row>
    <row r="93">
      <c r="R93" s="20" t="str">
        <f>IF($B93="","",IFERROR(IF(INDEX(Config!$D$9:$D$29,MATCH($B93,Config!$B$9:$B$29,0))="Contrato",IF(INDEX(Config!$E$9:$E$29,MATCH($B93,Config!$B$9:$B$29,0))="","",INDEX(Config!$E$9:$E$29,MATCH($B93,Config!$B$9:$B$29,0))),""),""))</f>
        <v/>
      </c>
      <c r="AC93" s="19" t="str">
        <f>IF($B93="","",IFERROR(INDEX(Config!$D$9:$D$29,MATCH($B93,Config!$B$9:$B$29,0))&amp;"",""))</f>
        <v/>
      </c>
    </row>
    <row r="94">
      <c r="R94" s="20" t="str">
        <f>IF($B94="","",IFERROR(IF(INDEX(Config!$D$9:$D$29,MATCH($B94,Config!$B$9:$B$29,0))="Contrato",IF(INDEX(Config!$E$9:$E$29,MATCH($B94,Config!$B$9:$B$29,0))="","",INDEX(Config!$E$9:$E$29,MATCH($B94,Config!$B$9:$B$29,0))),""),""))</f>
        <v/>
      </c>
      <c r="AC94" s="19" t="str">
        <f>IF($B94="","",IFERROR(INDEX(Config!$D$9:$D$29,MATCH($B94,Config!$B$9:$B$29,0))&amp;"",""))</f>
        <v/>
      </c>
    </row>
    <row r="95">
      <c r="R95" s="20" t="str">
        <f>IF($B95="","",IFERROR(IF(INDEX(Config!$D$9:$D$29,MATCH($B95,Config!$B$9:$B$29,0))="Contrato",IF(INDEX(Config!$E$9:$E$29,MATCH($B95,Config!$B$9:$B$29,0))="","",INDEX(Config!$E$9:$E$29,MATCH($B95,Config!$B$9:$B$29,0))),""),""))</f>
        <v/>
      </c>
      <c r="AC95" s="19" t="str">
        <f>IF($B95="","",IFERROR(INDEX(Config!$D$9:$D$29,MATCH($B95,Config!$B$9:$B$29,0))&amp;"",""))</f>
        <v/>
      </c>
    </row>
    <row r="96">
      <c r="R96" s="20" t="str">
        <f>IF($B96="","",IFERROR(IF(INDEX(Config!$D$9:$D$29,MATCH($B96,Config!$B$9:$B$29,0))="Contrato",IF(INDEX(Config!$E$9:$E$29,MATCH($B96,Config!$B$9:$B$29,0))="","",INDEX(Config!$E$9:$E$29,MATCH($B96,Config!$B$9:$B$29,0))),""),""))</f>
        <v/>
      </c>
      <c r="AC96" s="19" t="str">
        <f>IF($B96="","",IFERROR(INDEX(Config!$D$9:$D$29,MATCH($B96,Config!$B$9:$B$29,0))&amp;"",""))</f>
        <v/>
      </c>
    </row>
    <row r="97">
      <c r="R97" s="20" t="str">
        <f>IF($B97="","",IFERROR(IF(INDEX(Config!$D$9:$D$29,MATCH($B97,Config!$B$9:$B$29,0))="Contrato",IF(INDEX(Config!$E$9:$E$29,MATCH($B97,Config!$B$9:$B$29,0))="","",INDEX(Config!$E$9:$E$29,MATCH($B97,Config!$B$9:$B$29,0))),""),""))</f>
        <v/>
      </c>
      <c r="AC97" s="19" t="str">
        <f>IF($B97="","",IFERROR(INDEX(Config!$D$9:$D$29,MATCH($B97,Config!$B$9:$B$29,0))&amp;"",""))</f>
        <v/>
      </c>
    </row>
    <row r="98">
      <c r="R98" s="20" t="str">
        <f>IF($B98="","",IFERROR(IF(INDEX(Config!$D$9:$D$29,MATCH($B98,Config!$B$9:$B$29,0))="Contrato",IF(INDEX(Config!$E$9:$E$29,MATCH($B98,Config!$B$9:$B$29,0))="","",INDEX(Config!$E$9:$E$29,MATCH($B98,Config!$B$9:$B$29,0))),""),""))</f>
        <v/>
      </c>
      <c r="AC98" s="19" t="str">
        <f>IF($B98="","",IFERROR(INDEX(Config!$D$9:$D$29,MATCH($B98,Config!$B$9:$B$29,0))&amp;"",""))</f>
        <v/>
      </c>
    </row>
    <row r="99">
      <c r="R99" s="20" t="str">
        <f>IF($B99="","",IFERROR(IF(INDEX(Config!$D$9:$D$29,MATCH($B99,Config!$B$9:$B$29,0))="Contrato",IF(INDEX(Config!$E$9:$E$29,MATCH($B99,Config!$B$9:$B$29,0))="","",INDEX(Config!$E$9:$E$29,MATCH($B99,Config!$B$9:$B$29,0))),""),""))</f>
        <v/>
      </c>
      <c r="AC99" s="19" t="str">
        <f>IF($B99="","",IFERROR(INDEX(Config!$D$9:$D$29,MATCH($B99,Config!$B$9:$B$29,0))&amp;"",""))</f>
        <v/>
      </c>
    </row>
    <row r="100">
      <c r="R100" s="20" t="str">
        <f>IF($B100="","",IFERROR(IF(INDEX(Config!$D$9:$D$29,MATCH($B100,Config!$B$9:$B$29,0))="Contrato",IF(INDEX(Config!$E$9:$E$29,MATCH($B100,Config!$B$9:$B$29,0))="","",INDEX(Config!$E$9:$E$29,MATCH($B100,Config!$B$9:$B$29,0))),""),""))</f>
        <v/>
      </c>
      <c r="AC100" s="19" t="str">
        <f>IF($B100="","",IFERROR(INDEX(Config!$D$9:$D$29,MATCH($B100,Config!$B$9:$B$29,0))&amp;"",""))</f>
        <v/>
      </c>
    </row>
    <row r="101">
      <c r="R101" s="20" t="str">
        <f>IF($B101="","",IFERROR(IF(INDEX(Config!$D$9:$D$29,MATCH($B101,Config!$B$9:$B$29,0))="Contrato",IF(INDEX(Config!$E$9:$E$29,MATCH($B101,Config!$B$9:$B$29,0))="","",INDEX(Config!$E$9:$E$29,MATCH($B101,Config!$B$9:$B$29,0))),""),""))</f>
        <v/>
      </c>
      <c r="AC101" s="19" t="str">
        <f>IF($B101="","",IFERROR(INDEX(Config!$D$9:$D$29,MATCH($B101,Config!$B$9:$B$29,0))&amp;"",""))</f>
        <v/>
      </c>
    </row>
    <row r="102">
      <c r="R102" s="20" t="str">
        <f>IF($B102="","",IFERROR(IF(INDEX(Config!$D$9:$D$29,MATCH($B102,Config!$B$9:$B$29,0))="Contrato",IF(INDEX(Config!$E$9:$E$29,MATCH($B102,Config!$B$9:$B$29,0))="","",INDEX(Config!$E$9:$E$29,MATCH($B102,Config!$B$9:$B$29,0))),""),""))</f>
        <v/>
      </c>
      <c r="AC102" s="19" t="str">
        <f>IF($B102="","",IFERROR(INDEX(Config!$D$9:$D$29,MATCH($B102,Config!$B$9:$B$29,0))&amp;"",""))</f>
        <v/>
      </c>
    </row>
    <row r="103">
      <c r="R103" s="20" t="str">
        <f>IF($B103="","",IFERROR(IF(INDEX(Config!$D$9:$D$29,MATCH($B103,Config!$B$9:$B$29,0))="Contrato",IF(INDEX(Config!$E$9:$E$29,MATCH($B103,Config!$B$9:$B$29,0))="","",INDEX(Config!$E$9:$E$29,MATCH($B103,Config!$B$9:$B$29,0))),""),""))</f>
        <v/>
      </c>
      <c r="AC103" s="19" t="str">
        <f>IF($B103="","",IFERROR(INDEX(Config!$D$9:$D$29,MATCH($B103,Config!$B$9:$B$29,0))&amp;"",""))</f>
        <v/>
      </c>
    </row>
    <row r="104">
      <c r="R104" s="20" t="str">
        <f>IF($B104="","",IFERROR(IF(INDEX(Config!$D$9:$D$29,MATCH($B104,Config!$B$9:$B$29,0))="Contrato",IF(INDEX(Config!$E$9:$E$29,MATCH($B104,Config!$B$9:$B$29,0))="","",INDEX(Config!$E$9:$E$29,MATCH($B104,Config!$B$9:$B$29,0))),""),""))</f>
        <v/>
      </c>
      <c r="AC104" s="19" t="str">
        <f>IF($B104="","",IFERROR(INDEX(Config!$D$9:$D$29,MATCH($B104,Config!$B$9:$B$29,0))&amp;"",""))</f>
        <v/>
      </c>
    </row>
    <row r="105">
      <c r="R105" s="20" t="str">
        <f>IF($B105="","",IFERROR(IF(INDEX(Config!$D$9:$D$29,MATCH($B105,Config!$B$9:$B$29,0))="Contrato",IF(INDEX(Config!$E$9:$E$29,MATCH($B105,Config!$B$9:$B$29,0))="","",INDEX(Config!$E$9:$E$29,MATCH($B105,Config!$B$9:$B$29,0))),""),""))</f>
        <v/>
      </c>
      <c r="AC105" s="19" t="str">
        <f>IF($B105="","",IFERROR(INDEX(Config!$D$9:$D$29,MATCH($B105,Config!$B$9:$B$29,0))&amp;"",""))</f>
        <v/>
      </c>
    </row>
    <row r="106">
      <c r="R106" s="20" t="str">
        <f>IF($B106="","",IFERROR(IF(INDEX(Config!$D$9:$D$29,MATCH($B106,Config!$B$9:$B$29,0))="Contrato",IF(INDEX(Config!$E$9:$E$29,MATCH($B106,Config!$B$9:$B$29,0))="","",INDEX(Config!$E$9:$E$29,MATCH($B106,Config!$B$9:$B$29,0))),""),""))</f>
        <v/>
      </c>
      <c r="AC106" s="19" t="str">
        <f>IF($B106="","",IFERROR(INDEX(Config!$D$9:$D$29,MATCH($B106,Config!$B$9:$B$29,0))&amp;"",""))</f>
        <v/>
      </c>
    </row>
    <row r="107">
      <c r="R107" s="20" t="str">
        <f>IF($B107="","",IFERROR(IF(INDEX(Config!$D$9:$D$29,MATCH($B107,Config!$B$9:$B$29,0))="Contrato",IF(INDEX(Config!$E$9:$E$29,MATCH($B107,Config!$B$9:$B$29,0))="","",INDEX(Config!$E$9:$E$29,MATCH($B107,Config!$B$9:$B$29,0))),""),""))</f>
        <v/>
      </c>
      <c r="AC107" s="19" t="str">
        <f>IF($B107="","",IFERROR(INDEX(Config!$D$9:$D$29,MATCH($B107,Config!$B$9:$B$29,0))&amp;"",""))</f>
        <v/>
      </c>
    </row>
    <row r="108">
      <c r="R108" s="20" t="str">
        <f>IF($B108="","",IFERROR(IF(INDEX(Config!$D$9:$D$29,MATCH($B108,Config!$B$9:$B$29,0))="Contrato",IF(INDEX(Config!$E$9:$E$29,MATCH($B108,Config!$B$9:$B$29,0))="","",INDEX(Config!$E$9:$E$29,MATCH($B108,Config!$B$9:$B$29,0))),""),""))</f>
        <v/>
      </c>
      <c r="AC108" s="19" t="str">
        <f>IF($B108="","",IFERROR(INDEX(Config!$D$9:$D$29,MATCH($B108,Config!$B$9:$B$29,0))&amp;"",""))</f>
        <v/>
      </c>
    </row>
    <row r="109">
      <c r="R109" s="20" t="str">
        <f>IF($B109="","",IFERROR(IF(INDEX(Config!$D$9:$D$29,MATCH($B109,Config!$B$9:$B$29,0))="Contrato",IF(INDEX(Config!$E$9:$E$29,MATCH($B109,Config!$B$9:$B$29,0))="","",INDEX(Config!$E$9:$E$29,MATCH($B109,Config!$B$9:$B$29,0))),""),""))</f>
        <v/>
      </c>
      <c r="AC109" s="19" t="str">
        <f>IF($B109="","",IFERROR(INDEX(Config!$D$9:$D$29,MATCH($B109,Config!$B$9:$B$29,0))&amp;"",""))</f>
        <v/>
      </c>
    </row>
    <row r="110">
      <c r="R110" s="20" t="str">
        <f>IF($B110="","",IFERROR(IF(INDEX(Config!$D$9:$D$29,MATCH($B110,Config!$B$9:$B$29,0))="Contrato",IF(INDEX(Config!$E$9:$E$29,MATCH($B110,Config!$B$9:$B$29,0))="","",INDEX(Config!$E$9:$E$29,MATCH($B110,Config!$B$9:$B$29,0))),""),""))</f>
        <v/>
      </c>
      <c r="AC110" s="19" t="str">
        <f>IF($B110="","",IFERROR(INDEX(Config!$D$9:$D$29,MATCH($B110,Config!$B$9:$B$29,0))&amp;"",""))</f>
        <v/>
      </c>
    </row>
    <row r="111">
      <c r="R111" s="20" t="str">
        <f>IF($B111="","",IFERROR(IF(INDEX(Config!$D$9:$D$29,MATCH($B111,Config!$B$9:$B$29,0))="Contrato",IF(INDEX(Config!$E$9:$E$29,MATCH($B111,Config!$B$9:$B$29,0))="","",INDEX(Config!$E$9:$E$29,MATCH($B111,Config!$B$9:$B$29,0))),""),""))</f>
        <v/>
      </c>
      <c r="AC111" s="19" t="str">
        <f>IF($B111="","",IFERROR(INDEX(Config!$D$9:$D$29,MATCH($B111,Config!$B$9:$B$29,0))&amp;"",""))</f>
        <v/>
      </c>
    </row>
    <row r="112">
      <c r="R112" s="20" t="str">
        <f>IF($B112="","",IFERROR(IF(INDEX(Config!$D$9:$D$29,MATCH($B112,Config!$B$9:$B$29,0))="Contrato",IF(INDEX(Config!$E$9:$E$29,MATCH($B112,Config!$B$9:$B$29,0))="","",INDEX(Config!$E$9:$E$29,MATCH($B112,Config!$B$9:$B$29,0))),""),""))</f>
        <v/>
      </c>
      <c r="AC112" s="19" t="str">
        <f>IF($B112="","",IFERROR(INDEX(Config!$D$9:$D$29,MATCH($B112,Config!$B$9:$B$29,0))&amp;"",""))</f>
        <v/>
      </c>
    </row>
    <row r="113">
      <c r="R113" s="20" t="str">
        <f>IF($B113="","",IFERROR(IF(INDEX(Config!$D$9:$D$29,MATCH($B113,Config!$B$9:$B$29,0))="Contrato",IF(INDEX(Config!$E$9:$E$29,MATCH($B113,Config!$B$9:$B$29,0))="","",INDEX(Config!$E$9:$E$29,MATCH($B113,Config!$B$9:$B$29,0))),""),""))</f>
        <v/>
      </c>
      <c r="AC113" s="19" t="str">
        <f>IF($B113="","",IFERROR(INDEX(Config!$D$9:$D$29,MATCH($B113,Config!$B$9:$B$29,0))&amp;"",""))</f>
        <v/>
      </c>
    </row>
    <row r="114">
      <c r="R114" s="20" t="str">
        <f>IF($B114="","",IFERROR(IF(INDEX(Config!$D$9:$D$29,MATCH($B114,Config!$B$9:$B$29,0))="Contrato",IF(INDEX(Config!$E$9:$E$29,MATCH($B114,Config!$B$9:$B$29,0))="","",INDEX(Config!$E$9:$E$29,MATCH($B114,Config!$B$9:$B$29,0))),""),""))</f>
        <v/>
      </c>
      <c r="AC114" s="19" t="str">
        <f>IF($B114="","",IFERROR(INDEX(Config!$D$9:$D$29,MATCH($B114,Config!$B$9:$B$29,0))&amp;"",""))</f>
        <v/>
      </c>
    </row>
    <row r="115">
      <c r="R115" s="20" t="str">
        <f>IF($B115="","",IFERROR(IF(INDEX(Config!$D$9:$D$29,MATCH($B115,Config!$B$9:$B$29,0))="Contrato",IF(INDEX(Config!$E$9:$E$29,MATCH($B115,Config!$B$9:$B$29,0))="","",INDEX(Config!$E$9:$E$29,MATCH($B115,Config!$B$9:$B$29,0))),""),""))</f>
        <v/>
      </c>
      <c r="AC115" s="19" t="str">
        <f>IF($B115="","",IFERROR(INDEX(Config!$D$9:$D$29,MATCH($B115,Config!$B$9:$B$29,0))&amp;"",""))</f>
        <v/>
      </c>
    </row>
    <row r="116">
      <c r="R116" s="20" t="str">
        <f>IF($B116="","",IFERROR(IF(INDEX(Config!$D$9:$D$29,MATCH($B116,Config!$B$9:$B$29,0))="Contrato",IF(INDEX(Config!$E$9:$E$29,MATCH($B116,Config!$B$9:$B$29,0))="","",INDEX(Config!$E$9:$E$29,MATCH($B116,Config!$B$9:$B$29,0))),""),""))</f>
        <v/>
      </c>
      <c r="AC116" s="19" t="str">
        <f>IF($B116="","",IFERROR(INDEX(Config!$D$9:$D$29,MATCH($B116,Config!$B$9:$B$29,0))&amp;"",""))</f>
        <v/>
      </c>
    </row>
    <row r="117">
      <c r="R117" s="20" t="str">
        <f>IF($B117="","",IFERROR(IF(INDEX(Config!$D$9:$D$29,MATCH($B117,Config!$B$9:$B$29,0))="Contrato",IF(INDEX(Config!$E$9:$E$29,MATCH($B117,Config!$B$9:$B$29,0))="","",INDEX(Config!$E$9:$E$29,MATCH($B117,Config!$B$9:$B$29,0))),""),""))</f>
        <v/>
      </c>
      <c r="AC117" s="19" t="str">
        <f>IF($B117="","",IFERROR(INDEX(Config!$D$9:$D$29,MATCH($B117,Config!$B$9:$B$29,0))&amp;"",""))</f>
        <v/>
      </c>
    </row>
    <row r="118">
      <c r="R118" s="20" t="str">
        <f>IF($B118="","",IFERROR(IF(INDEX(Config!$D$9:$D$29,MATCH($B118,Config!$B$9:$B$29,0))="Contrato",IF(INDEX(Config!$E$9:$E$29,MATCH($B118,Config!$B$9:$B$29,0))="","",INDEX(Config!$E$9:$E$29,MATCH($B118,Config!$B$9:$B$29,0))),""),""))</f>
        <v/>
      </c>
      <c r="AC118" s="19" t="str">
        <f>IF($B118="","",IFERROR(INDEX(Config!$D$9:$D$29,MATCH($B118,Config!$B$9:$B$29,0))&amp;"",""))</f>
        <v/>
      </c>
    </row>
    <row r="119">
      <c r="R119" s="20" t="str">
        <f>IF($B119="","",IFERROR(IF(INDEX(Config!$D$9:$D$29,MATCH($B119,Config!$B$9:$B$29,0))="Contrato",IF(INDEX(Config!$E$9:$E$29,MATCH($B119,Config!$B$9:$B$29,0))="","",INDEX(Config!$E$9:$E$29,MATCH($B119,Config!$B$9:$B$29,0))),""),""))</f>
        <v/>
      </c>
      <c r="AC119" s="19" t="str">
        <f>IF($B119="","",IFERROR(INDEX(Config!$D$9:$D$29,MATCH($B119,Config!$B$9:$B$29,0))&amp;"",""))</f>
        <v/>
      </c>
    </row>
    <row r="120">
      <c r="R120" s="20" t="str">
        <f>IF($B120="","",IFERROR(IF(INDEX(Config!$D$9:$D$29,MATCH($B120,Config!$B$9:$B$29,0))="Contrato",IF(INDEX(Config!$E$9:$E$29,MATCH($B120,Config!$B$9:$B$29,0))="","",INDEX(Config!$E$9:$E$29,MATCH($B120,Config!$B$9:$B$29,0))),""),""))</f>
        <v/>
      </c>
      <c r="AC120" s="19" t="str">
        <f>IF($B120="","",IFERROR(INDEX(Config!$D$9:$D$29,MATCH($B120,Config!$B$9:$B$29,0))&amp;"",""))</f>
        <v/>
      </c>
    </row>
    <row r="121">
      <c r="R121" s="20" t="str">
        <f>IF($B121="","",IFERROR(IF(INDEX(Config!$D$9:$D$29,MATCH($B121,Config!$B$9:$B$29,0))="Contrato",IF(INDEX(Config!$E$9:$E$29,MATCH($B121,Config!$B$9:$B$29,0))="","",INDEX(Config!$E$9:$E$29,MATCH($B121,Config!$B$9:$B$29,0))),""),""))</f>
        <v/>
      </c>
      <c r="AC121" s="19" t="str">
        <f>IF($B121="","",IFERROR(INDEX(Config!$D$9:$D$29,MATCH($B121,Config!$B$9:$B$29,0))&amp;"",""))</f>
        <v/>
      </c>
    </row>
    <row r="122">
      <c r="R122" s="20" t="str">
        <f>IF($B122="","",IFERROR(IF(INDEX(Config!$D$9:$D$29,MATCH($B122,Config!$B$9:$B$29,0))="Contrato",IF(INDEX(Config!$E$9:$E$29,MATCH($B122,Config!$B$9:$B$29,0))="","",INDEX(Config!$E$9:$E$29,MATCH($B122,Config!$B$9:$B$29,0))),""),""))</f>
        <v/>
      </c>
      <c r="AC122" s="19" t="str">
        <f>IF($B122="","",IFERROR(INDEX(Config!$D$9:$D$29,MATCH($B122,Config!$B$9:$B$29,0))&amp;"",""))</f>
        <v/>
      </c>
    </row>
    <row r="123">
      <c r="R123" s="20" t="str">
        <f>IF($B123="","",IFERROR(IF(INDEX(Config!$D$9:$D$29,MATCH($B123,Config!$B$9:$B$29,0))="Contrato",IF(INDEX(Config!$E$9:$E$29,MATCH($B123,Config!$B$9:$B$29,0))="","",INDEX(Config!$E$9:$E$29,MATCH($B123,Config!$B$9:$B$29,0))),""),""))</f>
        <v/>
      </c>
      <c r="AC123" s="19" t="str">
        <f>IF($B123="","",IFERROR(INDEX(Config!$D$9:$D$29,MATCH($B123,Config!$B$9:$B$29,0))&amp;"",""))</f>
        <v/>
      </c>
    </row>
    <row r="124">
      <c r="R124" s="20" t="str">
        <f>IF($B124="","",IFERROR(IF(INDEX(Config!$D$9:$D$29,MATCH($B124,Config!$B$9:$B$29,0))="Contrato",IF(INDEX(Config!$E$9:$E$29,MATCH($B124,Config!$B$9:$B$29,0))="","",INDEX(Config!$E$9:$E$29,MATCH($B124,Config!$B$9:$B$29,0))),""),""))</f>
        <v/>
      </c>
      <c r="AC124" s="19" t="str">
        <f>IF($B124="","",IFERROR(INDEX(Config!$D$9:$D$29,MATCH($B124,Config!$B$9:$B$29,0))&amp;"",""))</f>
        <v/>
      </c>
    </row>
    <row r="125">
      <c r="R125" s="20" t="str">
        <f>IF($B125="","",IFERROR(IF(INDEX(Config!$D$9:$D$29,MATCH($B125,Config!$B$9:$B$29,0))="Contrato",IF(INDEX(Config!$E$9:$E$29,MATCH($B125,Config!$B$9:$B$29,0))="","",INDEX(Config!$E$9:$E$29,MATCH($B125,Config!$B$9:$B$29,0))),""),""))</f>
        <v/>
      </c>
      <c r="AC125" s="19" t="str">
        <f>IF($B125="","",IFERROR(INDEX(Config!$D$9:$D$29,MATCH($B125,Config!$B$9:$B$29,0))&amp;"",""))</f>
        <v/>
      </c>
    </row>
    <row r="126">
      <c r="R126" s="20" t="str">
        <f>IF($B126="","",IFERROR(IF(INDEX(Config!$D$9:$D$29,MATCH($B126,Config!$B$9:$B$29,0))="Contrato",IF(INDEX(Config!$E$9:$E$29,MATCH($B126,Config!$B$9:$B$29,0))="","",INDEX(Config!$E$9:$E$29,MATCH($B126,Config!$B$9:$B$29,0))),""),""))</f>
        <v/>
      </c>
      <c r="AC126" s="19" t="str">
        <f>IF($B126="","",IFERROR(INDEX(Config!$D$9:$D$29,MATCH($B126,Config!$B$9:$B$29,0))&amp;"",""))</f>
        <v/>
      </c>
    </row>
    <row r="127">
      <c r="R127" s="20" t="str">
        <f>IF($B127="","",IFERROR(IF(INDEX(Config!$D$9:$D$29,MATCH($B127,Config!$B$9:$B$29,0))="Contrato",IF(INDEX(Config!$E$9:$E$29,MATCH($B127,Config!$B$9:$B$29,0))="","",INDEX(Config!$E$9:$E$29,MATCH($B127,Config!$B$9:$B$29,0))),""),""))</f>
        <v/>
      </c>
      <c r="AC127" s="19" t="str">
        <f>IF($B127="","",IFERROR(INDEX(Config!$D$9:$D$29,MATCH($B127,Config!$B$9:$B$29,0))&amp;"",""))</f>
        <v/>
      </c>
    </row>
    <row r="128">
      <c r="R128" s="20" t="str">
        <f>IF($B128="","",IFERROR(IF(INDEX(Config!$D$9:$D$29,MATCH($B128,Config!$B$9:$B$29,0))="Contrato",IF(INDEX(Config!$E$9:$E$29,MATCH($B128,Config!$B$9:$B$29,0))="","",INDEX(Config!$E$9:$E$29,MATCH($B128,Config!$B$9:$B$29,0))),""),""))</f>
        <v/>
      </c>
      <c r="AC128" s="19" t="str">
        <f>IF($B128="","",IFERROR(INDEX(Config!$D$9:$D$29,MATCH($B128,Config!$B$9:$B$29,0))&amp;"",""))</f>
        <v/>
      </c>
    </row>
    <row r="129">
      <c r="R129" s="20" t="str">
        <f>IF($B129="","",IFERROR(IF(INDEX(Config!$D$9:$D$29,MATCH($B129,Config!$B$9:$B$29,0))="Contrato",IF(INDEX(Config!$E$9:$E$29,MATCH($B129,Config!$B$9:$B$29,0))="","",INDEX(Config!$E$9:$E$29,MATCH($B129,Config!$B$9:$B$29,0))),""),""))</f>
        <v/>
      </c>
      <c r="AC129" s="19" t="str">
        <f>IF($B129="","",IFERROR(INDEX(Config!$D$9:$D$29,MATCH($B129,Config!$B$9:$B$29,0))&amp;"",""))</f>
        <v/>
      </c>
    </row>
    <row r="130">
      <c r="R130" s="20" t="str">
        <f>IF($B130="","",IFERROR(IF(INDEX(Config!$D$9:$D$29,MATCH($B130,Config!$B$9:$B$29,0))="Contrato",IF(INDEX(Config!$E$9:$E$29,MATCH($B130,Config!$B$9:$B$29,0))="","",INDEX(Config!$E$9:$E$29,MATCH($B130,Config!$B$9:$B$29,0))),""),""))</f>
        <v/>
      </c>
      <c r="AC130" s="19" t="str">
        <f>IF($B130="","",IFERROR(INDEX(Config!$D$9:$D$29,MATCH($B130,Config!$B$9:$B$29,0))&amp;"",""))</f>
        <v/>
      </c>
    </row>
    <row r="131">
      <c r="R131" s="20" t="str">
        <f>IF($B131="","",IFERROR(IF(INDEX(Config!$D$9:$D$29,MATCH($B131,Config!$B$9:$B$29,0))="Contrato",IF(INDEX(Config!$E$9:$E$29,MATCH($B131,Config!$B$9:$B$29,0))="","",INDEX(Config!$E$9:$E$29,MATCH($B131,Config!$B$9:$B$29,0))),""),""))</f>
        <v/>
      </c>
      <c r="AC131" s="19" t="str">
        <f>IF($B131="","",IFERROR(INDEX(Config!$D$9:$D$29,MATCH($B131,Config!$B$9:$B$29,0))&amp;"",""))</f>
        <v/>
      </c>
    </row>
    <row r="132">
      <c r="R132" s="20" t="str">
        <f>IF($B132="","",IFERROR(IF(INDEX(Config!$D$9:$D$29,MATCH($B132,Config!$B$9:$B$29,0))="Contrato",IF(INDEX(Config!$E$9:$E$29,MATCH($B132,Config!$B$9:$B$29,0))="","",INDEX(Config!$E$9:$E$29,MATCH($B132,Config!$B$9:$B$29,0))),""),""))</f>
        <v/>
      </c>
      <c r="AC132" s="19" t="str">
        <f>IF($B132="","",IFERROR(INDEX(Config!$D$9:$D$29,MATCH($B132,Config!$B$9:$B$29,0))&amp;"",""))</f>
        <v/>
      </c>
    </row>
    <row r="133">
      <c r="R133" s="20" t="str">
        <f>IF($B133="","",IFERROR(IF(INDEX(Config!$D$9:$D$29,MATCH($B133,Config!$B$9:$B$29,0))="Contrato",IF(INDEX(Config!$E$9:$E$29,MATCH($B133,Config!$B$9:$B$29,0))="","",INDEX(Config!$E$9:$E$29,MATCH($B133,Config!$B$9:$B$29,0))),""),""))</f>
        <v/>
      </c>
      <c r="AC133" s="19" t="str">
        <f>IF($B133="","",IFERROR(INDEX(Config!$D$9:$D$29,MATCH($B133,Config!$B$9:$B$29,0))&amp;"",""))</f>
        <v/>
      </c>
    </row>
    <row r="134">
      <c r="R134" s="20" t="str">
        <f>IF($B134="","",IFERROR(IF(INDEX(Config!$D$9:$D$29,MATCH($B134,Config!$B$9:$B$29,0))="Contrato",IF(INDEX(Config!$E$9:$E$29,MATCH($B134,Config!$B$9:$B$29,0))="","",INDEX(Config!$E$9:$E$29,MATCH($B134,Config!$B$9:$B$29,0))),""),""))</f>
        <v/>
      </c>
      <c r="AC134" s="19" t="str">
        <f>IF($B134="","",IFERROR(INDEX(Config!$D$9:$D$29,MATCH($B134,Config!$B$9:$B$29,0))&amp;"",""))</f>
        <v/>
      </c>
    </row>
    <row r="135">
      <c r="R135" s="20" t="str">
        <f>IF($B135="","",IFERROR(IF(INDEX(Config!$D$9:$D$29,MATCH($B135,Config!$B$9:$B$29,0))="Contrato",IF(INDEX(Config!$E$9:$E$29,MATCH($B135,Config!$B$9:$B$29,0))="","",INDEX(Config!$E$9:$E$29,MATCH($B135,Config!$B$9:$B$29,0))),""),""))</f>
        <v/>
      </c>
      <c r="AC135" s="19" t="str">
        <f>IF($B135="","",IFERROR(INDEX(Config!$D$9:$D$29,MATCH($B135,Config!$B$9:$B$29,0))&amp;"",""))</f>
        <v/>
      </c>
    </row>
    <row r="136">
      <c r="R136" s="20" t="str">
        <f>IF($B136="","",IFERROR(IF(INDEX(Config!$D$9:$D$29,MATCH($B136,Config!$B$9:$B$29,0))="Contrato",IF(INDEX(Config!$E$9:$E$29,MATCH($B136,Config!$B$9:$B$29,0))="","",INDEX(Config!$E$9:$E$29,MATCH($B136,Config!$B$9:$B$29,0))),""),""))</f>
        <v/>
      </c>
      <c r="AC136" s="19" t="str">
        <f>IF($B136="","",IFERROR(INDEX(Config!$D$9:$D$29,MATCH($B136,Config!$B$9:$B$29,0))&amp;"",""))</f>
        <v/>
      </c>
    </row>
    <row r="137">
      <c r="R137" s="20" t="str">
        <f>IF($B137="","",IFERROR(IF(INDEX(Config!$D$9:$D$29,MATCH($B137,Config!$B$9:$B$29,0))="Contrato",IF(INDEX(Config!$E$9:$E$29,MATCH($B137,Config!$B$9:$B$29,0))="","",INDEX(Config!$E$9:$E$29,MATCH($B137,Config!$B$9:$B$29,0))),""),""))</f>
        <v/>
      </c>
      <c r="AC137" s="19" t="str">
        <f>IF($B137="","",IFERROR(INDEX(Config!$D$9:$D$29,MATCH($B137,Config!$B$9:$B$29,0))&amp;"",""))</f>
        <v/>
      </c>
    </row>
    <row r="138">
      <c r="R138" s="20" t="str">
        <f>IF($B138="","",IFERROR(IF(INDEX(Config!$D$9:$D$29,MATCH($B138,Config!$B$9:$B$29,0))="Contrato",IF(INDEX(Config!$E$9:$E$29,MATCH($B138,Config!$B$9:$B$29,0))="","",INDEX(Config!$E$9:$E$29,MATCH($B138,Config!$B$9:$B$29,0))),""),""))</f>
        <v/>
      </c>
      <c r="AC138" s="19" t="str">
        <f>IF($B138="","",IFERROR(INDEX(Config!$D$9:$D$29,MATCH($B138,Config!$B$9:$B$29,0))&amp;"",""))</f>
        <v/>
      </c>
    </row>
    <row r="139">
      <c r="R139" s="20" t="str">
        <f>IF($B139="","",IFERROR(IF(INDEX(Config!$D$9:$D$29,MATCH($B139,Config!$B$9:$B$29,0))="Contrato",IF(INDEX(Config!$E$9:$E$29,MATCH($B139,Config!$B$9:$B$29,0))="","",INDEX(Config!$E$9:$E$29,MATCH($B139,Config!$B$9:$B$29,0))),""),""))</f>
        <v/>
      </c>
      <c r="AC139" s="19" t="str">
        <f>IF($B139="","",IFERROR(INDEX(Config!$D$9:$D$29,MATCH($B139,Config!$B$9:$B$29,0))&amp;"",""))</f>
        <v/>
      </c>
    </row>
    <row r="140">
      <c r="R140" s="20" t="str">
        <f>IF($B140="","",IFERROR(IF(INDEX(Config!$D$9:$D$29,MATCH($B140,Config!$B$9:$B$29,0))="Contrato",IF(INDEX(Config!$E$9:$E$29,MATCH($B140,Config!$B$9:$B$29,0))="","",INDEX(Config!$E$9:$E$29,MATCH($B140,Config!$B$9:$B$29,0))),""),""))</f>
        <v/>
      </c>
      <c r="AC140" s="19" t="str">
        <f>IF($B140="","",IFERROR(INDEX(Config!$D$9:$D$29,MATCH($B140,Config!$B$9:$B$29,0))&amp;"",""))</f>
        <v/>
      </c>
    </row>
    <row r="141">
      <c r="R141" s="20" t="str">
        <f>IF($B141="","",IFERROR(IF(INDEX(Config!$D$9:$D$29,MATCH($B141,Config!$B$9:$B$29,0))="Contrato",IF(INDEX(Config!$E$9:$E$29,MATCH($B141,Config!$B$9:$B$29,0))="","",INDEX(Config!$E$9:$E$29,MATCH($B141,Config!$B$9:$B$29,0))),""),""))</f>
        <v/>
      </c>
      <c r="AC141" s="19" t="str">
        <f>IF($B141="","",IFERROR(INDEX(Config!$D$9:$D$29,MATCH($B141,Config!$B$9:$B$29,0))&amp;"",""))</f>
        <v/>
      </c>
    </row>
    <row r="142">
      <c r="R142" s="20" t="str">
        <f>IF($B142="","",IFERROR(IF(INDEX(Config!$D$9:$D$29,MATCH($B142,Config!$B$9:$B$29,0))="Contrato",IF(INDEX(Config!$E$9:$E$29,MATCH($B142,Config!$B$9:$B$29,0))="","",INDEX(Config!$E$9:$E$29,MATCH($B142,Config!$B$9:$B$29,0))),""),""))</f>
        <v/>
      </c>
      <c r="AC142" s="19" t="str">
        <f>IF($B142="","",IFERROR(INDEX(Config!$D$9:$D$29,MATCH($B142,Config!$B$9:$B$29,0))&amp;"",""))</f>
        <v/>
      </c>
    </row>
    <row r="143">
      <c r="R143" s="20" t="str">
        <f>IF($B143="","",IFERROR(IF(INDEX(Config!$D$9:$D$29,MATCH($B143,Config!$B$9:$B$29,0))="Contrato",IF(INDEX(Config!$E$9:$E$29,MATCH($B143,Config!$B$9:$B$29,0))="","",INDEX(Config!$E$9:$E$29,MATCH($B143,Config!$B$9:$B$29,0))),""),""))</f>
        <v/>
      </c>
      <c r="AC143" s="19" t="str">
        <f>IF($B143="","",IFERROR(INDEX(Config!$D$9:$D$29,MATCH($B143,Config!$B$9:$B$29,0))&amp;"",""))</f>
        <v/>
      </c>
    </row>
    <row r="144">
      <c r="R144" s="20" t="str">
        <f>IF($B144="","",IFERROR(IF(INDEX(Config!$D$9:$D$29,MATCH($B144,Config!$B$9:$B$29,0))="Contrato",IF(INDEX(Config!$E$9:$E$29,MATCH($B144,Config!$B$9:$B$29,0))="","",INDEX(Config!$E$9:$E$29,MATCH($B144,Config!$B$9:$B$29,0))),""),""))</f>
        <v/>
      </c>
      <c r="AC144" s="19" t="str">
        <f>IF($B144="","",IFERROR(INDEX(Config!$D$9:$D$29,MATCH($B144,Config!$B$9:$B$29,0))&amp;"",""))</f>
        <v/>
      </c>
    </row>
    <row r="145">
      <c r="R145" s="20" t="str">
        <f>IF($B145="","",IFERROR(IF(INDEX(Config!$D$9:$D$29,MATCH($B145,Config!$B$9:$B$29,0))="Contrato",IF(INDEX(Config!$E$9:$E$29,MATCH($B145,Config!$B$9:$B$29,0))="","",INDEX(Config!$E$9:$E$29,MATCH($B145,Config!$B$9:$B$29,0))),""),""))</f>
        <v/>
      </c>
      <c r="AC145" s="19" t="str">
        <f>IF($B145="","",IFERROR(INDEX(Config!$D$9:$D$29,MATCH($B145,Config!$B$9:$B$29,0))&amp;"",""))</f>
        <v/>
      </c>
    </row>
    <row r="146">
      <c r="R146" s="20" t="str">
        <f>IF($B146="","",IFERROR(IF(INDEX(Config!$D$9:$D$29,MATCH($B146,Config!$B$9:$B$29,0))="Contrato",IF(INDEX(Config!$E$9:$E$29,MATCH($B146,Config!$B$9:$B$29,0))="","",INDEX(Config!$E$9:$E$29,MATCH($B146,Config!$B$9:$B$29,0))),""),""))</f>
        <v/>
      </c>
      <c r="AC146" s="19" t="str">
        <f>IF($B146="","",IFERROR(INDEX(Config!$D$9:$D$29,MATCH($B146,Config!$B$9:$B$29,0))&amp;"",""))</f>
        <v/>
      </c>
    </row>
    <row r="147">
      <c r="R147" s="20" t="str">
        <f>IF($B147="","",IFERROR(IF(INDEX(Config!$D$9:$D$29,MATCH($B147,Config!$B$9:$B$29,0))="Contrato",IF(INDEX(Config!$E$9:$E$29,MATCH($B147,Config!$B$9:$B$29,0))="","",INDEX(Config!$E$9:$E$29,MATCH($B147,Config!$B$9:$B$29,0))),""),""))</f>
        <v/>
      </c>
      <c r="AC147" s="19" t="str">
        <f>IF($B147="","",IFERROR(INDEX(Config!$D$9:$D$29,MATCH($B147,Config!$B$9:$B$29,0))&amp;"",""))</f>
        <v/>
      </c>
    </row>
    <row r="148">
      <c r="R148" s="20" t="str">
        <f>IF($B148="","",IFERROR(IF(INDEX(Config!$D$9:$D$29,MATCH($B148,Config!$B$9:$B$29,0))="Contrato",IF(INDEX(Config!$E$9:$E$29,MATCH($B148,Config!$B$9:$B$29,0))="","",INDEX(Config!$E$9:$E$29,MATCH($B148,Config!$B$9:$B$29,0))),""),""))</f>
        <v/>
      </c>
      <c r="AC148" s="19" t="str">
        <f>IF($B148="","",IFERROR(INDEX(Config!$D$9:$D$29,MATCH($B148,Config!$B$9:$B$29,0))&amp;"",""))</f>
        <v/>
      </c>
    </row>
    <row r="149">
      <c r="R149" s="20" t="str">
        <f>IF($B149="","",IFERROR(IF(INDEX(Config!$D$9:$D$29,MATCH($B149,Config!$B$9:$B$29,0))="Contrato",IF(INDEX(Config!$E$9:$E$29,MATCH($B149,Config!$B$9:$B$29,0))="","",INDEX(Config!$E$9:$E$29,MATCH($B149,Config!$B$9:$B$29,0))),""),""))</f>
        <v/>
      </c>
      <c r="AC149" s="19" t="str">
        <f>IF($B149="","",IFERROR(INDEX(Config!$D$9:$D$29,MATCH($B149,Config!$B$9:$B$29,0))&amp;"",""))</f>
        <v/>
      </c>
    </row>
    <row r="150">
      <c r="R150" s="20" t="str">
        <f>IF($B150="","",IFERROR(IF(INDEX(Config!$D$9:$D$29,MATCH($B150,Config!$B$9:$B$29,0))="Contrato",IF(INDEX(Config!$E$9:$E$29,MATCH($B150,Config!$B$9:$B$29,0))="","",INDEX(Config!$E$9:$E$29,MATCH($B150,Config!$B$9:$B$29,0))),""),""))</f>
        <v/>
      </c>
      <c r="AC150" s="19" t="str">
        <f>IF($B150="","",IFERROR(INDEX(Config!$D$9:$D$29,MATCH($B150,Config!$B$9:$B$29,0))&amp;"",""))</f>
        <v/>
      </c>
    </row>
    <row r="151">
      <c r="R151" s="20" t="str">
        <f>IF($B151="","",IFERROR(IF(INDEX(Config!$D$9:$D$29,MATCH($B151,Config!$B$9:$B$29,0))="Contrato",IF(INDEX(Config!$E$9:$E$29,MATCH($B151,Config!$B$9:$B$29,0))="","",INDEX(Config!$E$9:$E$29,MATCH($B151,Config!$B$9:$B$29,0))),""),""))</f>
        <v/>
      </c>
      <c r="AC151" s="19" t="str">
        <f>IF($B151="","",IFERROR(INDEX(Config!$D$9:$D$29,MATCH($B151,Config!$B$9:$B$29,0))&amp;"",""))</f>
        <v/>
      </c>
    </row>
    <row r="152">
      <c r="R152" s="20" t="str">
        <f>IF($B152="","",IFERROR(IF(INDEX(Config!$D$9:$D$29,MATCH($B152,Config!$B$9:$B$29,0))="Contrato",IF(INDEX(Config!$E$9:$E$29,MATCH($B152,Config!$B$9:$B$29,0))="","",INDEX(Config!$E$9:$E$29,MATCH($B152,Config!$B$9:$B$29,0))),""),""))</f>
        <v/>
      </c>
      <c r="AC152" s="19" t="str">
        <f>IF($B152="","",IFERROR(INDEX(Config!$D$9:$D$29,MATCH($B152,Config!$B$9:$B$29,0))&amp;"",""))</f>
        <v/>
      </c>
    </row>
    <row r="153">
      <c r="R153" s="20" t="str">
        <f>IF($B153="","",IFERROR(IF(INDEX(Config!$D$9:$D$29,MATCH($B153,Config!$B$9:$B$29,0))="Contrato",IF(INDEX(Config!$E$9:$E$29,MATCH($B153,Config!$B$9:$B$29,0))="","",INDEX(Config!$E$9:$E$29,MATCH($B153,Config!$B$9:$B$29,0))),""),""))</f>
        <v/>
      </c>
      <c r="AC153" s="19" t="str">
        <f>IF($B153="","",IFERROR(INDEX(Config!$D$9:$D$29,MATCH($B153,Config!$B$9:$B$29,0))&amp;"",""))</f>
        <v/>
      </c>
    </row>
    <row r="154">
      <c r="R154" s="20" t="str">
        <f>IF($B154="","",IFERROR(IF(INDEX(Config!$D$9:$D$29,MATCH($B154,Config!$B$9:$B$29,0))="Contrato",IF(INDEX(Config!$E$9:$E$29,MATCH($B154,Config!$B$9:$B$29,0))="","",INDEX(Config!$E$9:$E$29,MATCH($B154,Config!$B$9:$B$29,0))),""),""))</f>
        <v/>
      </c>
      <c r="AC154" s="19" t="str">
        <f>IF($B154="","",IFERROR(INDEX(Config!$D$9:$D$29,MATCH($B154,Config!$B$9:$B$29,0))&amp;"",""))</f>
        <v/>
      </c>
    </row>
    <row r="155">
      <c r="R155" s="20" t="str">
        <f>IF($B155="","",IFERROR(IF(INDEX(Config!$D$9:$D$29,MATCH($B155,Config!$B$9:$B$29,0))="Contrato",IF(INDEX(Config!$E$9:$E$29,MATCH($B155,Config!$B$9:$B$29,0))="","",INDEX(Config!$E$9:$E$29,MATCH($B155,Config!$B$9:$B$29,0))),""),""))</f>
        <v/>
      </c>
      <c r="AC155" s="19" t="str">
        <f>IF($B155="","",IFERROR(INDEX(Config!$D$9:$D$29,MATCH($B155,Config!$B$9:$B$29,0))&amp;"",""))</f>
        <v/>
      </c>
    </row>
    <row r="156">
      <c r="R156" s="20" t="str">
        <f>IF($B156="","",IFERROR(IF(INDEX(Config!$D$9:$D$29,MATCH($B156,Config!$B$9:$B$29,0))="Contrato",IF(INDEX(Config!$E$9:$E$29,MATCH($B156,Config!$B$9:$B$29,0))="","",INDEX(Config!$E$9:$E$29,MATCH($B156,Config!$B$9:$B$29,0))),""),""))</f>
        <v/>
      </c>
      <c r="AC156" s="19" t="str">
        <f>IF($B156="","",IFERROR(INDEX(Config!$D$9:$D$29,MATCH($B156,Config!$B$9:$B$29,0))&amp;"",""))</f>
        <v/>
      </c>
    </row>
    <row r="157">
      <c r="R157" s="20" t="str">
        <f>IF($B157="","",IFERROR(IF(INDEX(Config!$D$9:$D$29,MATCH($B157,Config!$B$9:$B$29,0))="Contrato",IF(INDEX(Config!$E$9:$E$29,MATCH($B157,Config!$B$9:$B$29,0))="","",INDEX(Config!$E$9:$E$29,MATCH($B157,Config!$B$9:$B$29,0))),""),""))</f>
        <v/>
      </c>
      <c r="AC157" s="19" t="str">
        <f>IF($B157="","",IFERROR(INDEX(Config!$D$9:$D$29,MATCH($B157,Config!$B$9:$B$29,0))&amp;"",""))</f>
        <v/>
      </c>
    </row>
    <row r="158">
      <c r="R158" s="20" t="str">
        <f>IF($B158="","",IFERROR(IF(INDEX(Config!$D$9:$D$29,MATCH($B158,Config!$B$9:$B$29,0))="Contrato",IF(INDEX(Config!$E$9:$E$29,MATCH($B158,Config!$B$9:$B$29,0))="","",INDEX(Config!$E$9:$E$29,MATCH($B158,Config!$B$9:$B$29,0))),""),""))</f>
        <v/>
      </c>
      <c r="AC158" s="19" t="str">
        <f>IF($B158="","",IFERROR(INDEX(Config!$D$9:$D$29,MATCH($B158,Config!$B$9:$B$29,0))&amp;"",""))</f>
        <v/>
      </c>
    </row>
    <row r="159">
      <c r="R159" s="20" t="str">
        <f>IF($B159="","",IFERROR(IF(INDEX(Config!$D$9:$D$29,MATCH($B159,Config!$B$9:$B$29,0))="Contrato",IF(INDEX(Config!$E$9:$E$29,MATCH($B159,Config!$B$9:$B$29,0))="","",INDEX(Config!$E$9:$E$29,MATCH($B159,Config!$B$9:$B$29,0))),""),""))</f>
        <v/>
      </c>
      <c r="AC159" s="19" t="str">
        <f>IF($B159="","",IFERROR(INDEX(Config!$D$9:$D$29,MATCH($B159,Config!$B$9:$B$29,0))&amp;"",""))</f>
        <v/>
      </c>
    </row>
    <row r="160">
      <c r="R160" s="20" t="str">
        <f>IF($B160="","",IFERROR(IF(INDEX(Config!$D$9:$D$29,MATCH($B160,Config!$B$9:$B$29,0))="Contrato",IF(INDEX(Config!$E$9:$E$29,MATCH($B160,Config!$B$9:$B$29,0))="","",INDEX(Config!$E$9:$E$29,MATCH($B160,Config!$B$9:$B$29,0))),""),""))</f>
        <v/>
      </c>
      <c r="AC160" s="19" t="str">
        <f>IF($B160="","",IFERROR(INDEX(Config!$D$9:$D$29,MATCH($B160,Config!$B$9:$B$29,0))&amp;"",""))</f>
        <v/>
      </c>
    </row>
    <row r="161">
      <c r="R161" s="20" t="str">
        <f>IF($B161="","",IFERROR(IF(INDEX(Config!$D$9:$D$29,MATCH($B161,Config!$B$9:$B$29,0))="Contrato",IF(INDEX(Config!$E$9:$E$29,MATCH($B161,Config!$B$9:$B$29,0))="","",INDEX(Config!$E$9:$E$29,MATCH($B161,Config!$B$9:$B$29,0))),""),""))</f>
        <v/>
      </c>
      <c r="AC161" s="19" t="str">
        <f>IF($B161="","",IFERROR(INDEX(Config!$D$9:$D$29,MATCH($B161,Config!$B$9:$B$29,0))&amp;"",""))</f>
        <v/>
      </c>
    </row>
    <row r="162">
      <c r="R162" s="20" t="str">
        <f>IF($B162="","",IFERROR(IF(INDEX(Config!$D$9:$D$29,MATCH($B162,Config!$B$9:$B$29,0))="Contrato",IF(INDEX(Config!$E$9:$E$29,MATCH($B162,Config!$B$9:$B$29,0))="","",INDEX(Config!$E$9:$E$29,MATCH($B162,Config!$B$9:$B$29,0))),""),""))</f>
        <v/>
      </c>
      <c r="AC162" s="19" t="str">
        <f>IF($B162="","",IFERROR(INDEX(Config!$D$9:$D$29,MATCH($B162,Config!$B$9:$B$29,0))&amp;"",""))</f>
        <v/>
      </c>
    </row>
    <row r="163">
      <c r="R163" s="20" t="str">
        <f>IF($B163="","",IFERROR(IF(INDEX(Config!$D$9:$D$29,MATCH($B163,Config!$B$9:$B$29,0))="Contrato",IF(INDEX(Config!$E$9:$E$29,MATCH($B163,Config!$B$9:$B$29,0))="","",INDEX(Config!$E$9:$E$29,MATCH($B163,Config!$B$9:$B$29,0))),""),""))</f>
        <v/>
      </c>
      <c r="AC163" s="19" t="str">
        <f>IF($B163="","",IFERROR(INDEX(Config!$D$9:$D$29,MATCH($B163,Config!$B$9:$B$29,0))&amp;"",""))</f>
        <v/>
      </c>
    </row>
    <row r="164">
      <c r="R164" s="20" t="str">
        <f>IF($B164="","",IFERROR(IF(INDEX(Config!$D$9:$D$29,MATCH($B164,Config!$B$9:$B$29,0))="Contrato",IF(INDEX(Config!$E$9:$E$29,MATCH($B164,Config!$B$9:$B$29,0))="","",INDEX(Config!$E$9:$E$29,MATCH($B164,Config!$B$9:$B$29,0))),""),""))</f>
        <v/>
      </c>
      <c r="AC164" s="19" t="str">
        <f>IF($B164="","",IFERROR(INDEX(Config!$D$9:$D$29,MATCH($B164,Config!$B$9:$B$29,0))&amp;"",""))</f>
        <v/>
      </c>
    </row>
    <row r="165">
      <c r="R165" s="20" t="str">
        <f>IF($B165="","",IFERROR(IF(INDEX(Config!$D$9:$D$29,MATCH($B165,Config!$B$9:$B$29,0))="Contrato",IF(INDEX(Config!$E$9:$E$29,MATCH($B165,Config!$B$9:$B$29,0))="","",INDEX(Config!$E$9:$E$29,MATCH($B165,Config!$B$9:$B$29,0))),""),""))</f>
        <v/>
      </c>
      <c r="AC165" s="19" t="str">
        <f>IF($B165="","",IFERROR(INDEX(Config!$D$9:$D$29,MATCH($B165,Config!$B$9:$B$29,0))&amp;"",""))</f>
        <v/>
      </c>
    </row>
    <row r="166">
      <c r="R166" s="20" t="str">
        <f>IF($B166="","",IFERROR(IF(INDEX(Config!$D$9:$D$29,MATCH($B166,Config!$B$9:$B$29,0))="Contrato",IF(INDEX(Config!$E$9:$E$29,MATCH($B166,Config!$B$9:$B$29,0))="","",INDEX(Config!$E$9:$E$29,MATCH($B166,Config!$B$9:$B$29,0))),""),""))</f>
        <v/>
      </c>
      <c r="AC166" s="19" t="str">
        <f>IF($B166="","",IFERROR(INDEX(Config!$D$9:$D$29,MATCH($B166,Config!$B$9:$B$29,0))&amp;"",""))</f>
        <v/>
      </c>
    </row>
    <row r="167">
      <c r="R167" s="20" t="str">
        <f>IF($B167="","",IFERROR(IF(INDEX(Config!$D$9:$D$29,MATCH($B167,Config!$B$9:$B$29,0))="Contrato",IF(INDEX(Config!$E$9:$E$29,MATCH($B167,Config!$B$9:$B$29,0))="","",INDEX(Config!$E$9:$E$29,MATCH($B167,Config!$B$9:$B$29,0))),""),""))</f>
        <v/>
      </c>
      <c r="AC167" s="19" t="str">
        <f>IF($B167="","",IFERROR(INDEX(Config!$D$9:$D$29,MATCH($B167,Config!$B$9:$B$29,0))&amp;"",""))</f>
        <v/>
      </c>
    </row>
    <row r="168">
      <c r="R168" s="20" t="str">
        <f>IF($B168="","",IFERROR(IF(INDEX(Config!$D$9:$D$29,MATCH($B168,Config!$B$9:$B$29,0))="Contrato",IF(INDEX(Config!$E$9:$E$29,MATCH($B168,Config!$B$9:$B$29,0))="","",INDEX(Config!$E$9:$E$29,MATCH($B168,Config!$B$9:$B$29,0))),""),""))</f>
        <v/>
      </c>
      <c r="AC168" s="19" t="str">
        <f>IF($B168="","",IFERROR(INDEX(Config!$D$9:$D$29,MATCH($B168,Config!$B$9:$B$29,0))&amp;"",""))</f>
        <v/>
      </c>
    </row>
    <row r="169">
      <c r="R169" s="20" t="str">
        <f>IF($B169="","",IFERROR(IF(INDEX(Config!$D$9:$D$29,MATCH($B169,Config!$B$9:$B$29,0))="Contrato",IF(INDEX(Config!$E$9:$E$29,MATCH($B169,Config!$B$9:$B$29,0))="","",INDEX(Config!$E$9:$E$29,MATCH($B169,Config!$B$9:$B$29,0))),""),""))</f>
        <v/>
      </c>
      <c r="AC169" s="19" t="str">
        <f>IF($B169="","",IFERROR(INDEX(Config!$D$9:$D$29,MATCH($B169,Config!$B$9:$B$29,0))&amp;"",""))</f>
        <v/>
      </c>
    </row>
    <row r="170">
      <c r="R170" s="20" t="str">
        <f>IF($B170="","",IFERROR(IF(INDEX(Config!$D$9:$D$29,MATCH($B170,Config!$B$9:$B$29,0))="Contrato",IF(INDEX(Config!$E$9:$E$29,MATCH($B170,Config!$B$9:$B$29,0))="","",INDEX(Config!$E$9:$E$29,MATCH($B170,Config!$B$9:$B$29,0))),""),""))</f>
        <v/>
      </c>
      <c r="AC170" s="19" t="str">
        <f>IF($B170="","",IFERROR(INDEX(Config!$D$9:$D$29,MATCH($B170,Config!$B$9:$B$29,0))&amp;"",""))</f>
        <v/>
      </c>
    </row>
    <row r="171">
      <c r="R171" s="20" t="str">
        <f>IF($B171="","",IFERROR(IF(INDEX(Config!$D$9:$D$29,MATCH($B171,Config!$B$9:$B$29,0))="Contrato",IF(INDEX(Config!$E$9:$E$29,MATCH($B171,Config!$B$9:$B$29,0))="","",INDEX(Config!$E$9:$E$29,MATCH($B171,Config!$B$9:$B$29,0))),""),""))</f>
        <v/>
      </c>
      <c r="AC171" s="19" t="str">
        <f>IF($B171="","",IFERROR(INDEX(Config!$D$9:$D$29,MATCH($B171,Config!$B$9:$B$29,0))&amp;"",""))</f>
        <v/>
      </c>
    </row>
    <row r="172">
      <c r="R172" s="20" t="str">
        <f>IF($B172="","",IFERROR(IF(INDEX(Config!$D$9:$D$29,MATCH($B172,Config!$B$9:$B$29,0))="Contrato",IF(INDEX(Config!$E$9:$E$29,MATCH($B172,Config!$B$9:$B$29,0))="","",INDEX(Config!$E$9:$E$29,MATCH($B172,Config!$B$9:$B$29,0))),""),""))</f>
        <v/>
      </c>
      <c r="AC172" s="19" t="str">
        <f>IF($B172="","",IFERROR(INDEX(Config!$D$9:$D$29,MATCH($B172,Config!$B$9:$B$29,0))&amp;"",""))</f>
        <v/>
      </c>
    </row>
    <row r="173">
      <c r="R173" s="20" t="str">
        <f>IF($B173="","",IFERROR(IF(INDEX(Config!$D$9:$D$29,MATCH($B173,Config!$B$9:$B$29,0))="Contrato",IF(INDEX(Config!$E$9:$E$29,MATCH($B173,Config!$B$9:$B$29,0))="","",INDEX(Config!$E$9:$E$29,MATCH($B173,Config!$B$9:$B$29,0))),""),""))</f>
        <v/>
      </c>
      <c r="AC173" s="19" t="str">
        <f>IF($B173="","",IFERROR(INDEX(Config!$D$9:$D$29,MATCH($B173,Config!$B$9:$B$29,0))&amp;"",""))</f>
        <v/>
      </c>
    </row>
    <row r="174">
      <c r="R174" s="20" t="str">
        <f>IF($B174="","",IFERROR(IF(INDEX(Config!$D$9:$D$29,MATCH($B174,Config!$B$9:$B$29,0))="Contrato",IF(INDEX(Config!$E$9:$E$29,MATCH($B174,Config!$B$9:$B$29,0))="","",INDEX(Config!$E$9:$E$29,MATCH($B174,Config!$B$9:$B$29,0))),""),""))</f>
        <v/>
      </c>
      <c r="AC174" s="19" t="str">
        <f>IF($B174="","",IFERROR(INDEX(Config!$D$9:$D$29,MATCH($B174,Config!$B$9:$B$29,0))&amp;"",""))</f>
        <v/>
      </c>
    </row>
    <row r="175">
      <c r="R175" s="20" t="str">
        <f>IF($B175="","",IFERROR(IF(INDEX(Config!$D$9:$D$29,MATCH($B175,Config!$B$9:$B$29,0))="Contrato",IF(INDEX(Config!$E$9:$E$29,MATCH($B175,Config!$B$9:$B$29,0))="","",INDEX(Config!$E$9:$E$29,MATCH($B175,Config!$B$9:$B$29,0))),""),""))</f>
        <v/>
      </c>
      <c r="AC175" s="19" t="str">
        <f>IF($B175="","",IFERROR(INDEX(Config!$D$9:$D$29,MATCH($B175,Config!$B$9:$B$29,0))&amp;"",""))</f>
        <v/>
      </c>
    </row>
    <row r="176">
      <c r="R176" s="20" t="str">
        <f>IF($B176="","",IFERROR(IF(INDEX(Config!$D$9:$D$29,MATCH($B176,Config!$B$9:$B$29,0))="Contrato",IF(INDEX(Config!$E$9:$E$29,MATCH($B176,Config!$B$9:$B$29,0))="","",INDEX(Config!$E$9:$E$29,MATCH($B176,Config!$B$9:$B$29,0))),""),""))</f>
        <v/>
      </c>
      <c r="AC176" s="19" t="str">
        <f>IF($B176="","",IFERROR(INDEX(Config!$D$9:$D$29,MATCH($B176,Config!$B$9:$B$29,0))&amp;"",""))</f>
        <v/>
      </c>
    </row>
    <row r="177">
      <c r="R177" s="20" t="str">
        <f>IF($B177="","",IFERROR(IF(INDEX(Config!$D$9:$D$29,MATCH($B177,Config!$B$9:$B$29,0))="Contrato",IF(INDEX(Config!$E$9:$E$29,MATCH($B177,Config!$B$9:$B$29,0))="","",INDEX(Config!$E$9:$E$29,MATCH($B177,Config!$B$9:$B$29,0))),""),""))</f>
        <v/>
      </c>
      <c r="AC177" s="19" t="str">
        <f>IF($B177="","",IFERROR(INDEX(Config!$D$9:$D$29,MATCH($B177,Config!$B$9:$B$29,0))&amp;"",""))</f>
        <v/>
      </c>
    </row>
    <row r="178">
      <c r="R178" s="20" t="str">
        <f>IF($B178="","",IFERROR(IF(INDEX(Config!$D$9:$D$29,MATCH($B178,Config!$B$9:$B$29,0))="Contrato",IF(INDEX(Config!$E$9:$E$29,MATCH($B178,Config!$B$9:$B$29,0))="","",INDEX(Config!$E$9:$E$29,MATCH($B178,Config!$B$9:$B$29,0))),""),""))</f>
        <v/>
      </c>
      <c r="AC178" s="19" t="str">
        <f>IF($B178="","",IFERROR(INDEX(Config!$D$9:$D$29,MATCH($B178,Config!$B$9:$B$29,0))&amp;"",""))</f>
        <v/>
      </c>
    </row>
    <row r="179">
      <c r="R179" s="20" t="str">
        <f>IF($B179="","",IFERROR(IF(INDEX(Config!$D$9:$D$29,MATCH($B179,Config!$B$9:$B$29,0))="Contrato",IF(INDEX(Config!$E$9:$E$29,MATCH($B179,Config!$B$9:$B$29,0))="","",INDEX(Config!$E$9:$E$29,MATCH($B179,Config!$B$9:$B$29,0))),""),""))</f>
        <v/>
      </c>
      <c r="AC179" s="19" t="str">
        <f>IF($B179="","",IFERROR(INDEX(Config!$D$9:$D$29,MATCH($B179,Config!$B$9:$B$29,0))&amp;"",""))</f>
        <v/>
      </c>
    </row>
    <row r="180">
      <c r="R180" s="20" t="str">
        <f>IF($B180="","",IFERROR(IF(INDEX(Config!$D$9:$D$29,MATCH($B180,Config!$B$9:$B$29,0))="Contrato",IF(INDEX(Config!$E$9:$E$29,MATCH($B180,Config!$B$9:$B$29,0))="","",INDEX(Config!$E$9:$E$29,MATCH($B180,Config!$B$9:$B$29,0))),""),""))</f>
        <v/>
      </c>
      <c r="AC180" s="19" t="str">
        <f>IF($B180="","",IFERROR(INDEX(Config!$D$9:$D$29,MATCH($B180,Config!$B$9:$B$29,0))&amp;"",""))</f>
        <v/>
      </c>
    </row>
    <row r="181">
      <c r="R181" s="20" t="str">
        <f>IF($B181="","",IFERROR(IF(INDEX(Config!$D$9:$D$29,MATCH($B181,Config!$B$9:$B$29,0))="Contrato",IF(INDEX(Config!$E$9:$E$29,MATCH($B181,Config!$B$9:$B$29,0))="","",INDEX(Config!$E$9:$E$29,MATCH($B181,Config!$B$9:$B$29,0))),""),""))</f>
        <v/>
      </c>
      <c r="AC181" s="19" t="str">
        <f>IF($B181="","",IFERROR(INDEX(Config!$D$9:$D$29,MATCH($B181,Config!$B$9:$B$29,0))&amp;"",""))</f>
        <v/>
      </c>
    </row>
    <row r="182">
      <c r="R182" s="20" t="str">
        <f>IF($B182="","",IFERROR(IF(INDEX(Config!$D$9:$D$29,MATCH($B182,Config!$B$9:$B$29,0))="Contrato",IF(INDEX(Config!$E$9:$E$29,MATCH($B182,Config!$B$9:$B$29,0))="","",INDEX(Config!$E$9:$E$29,MATCH($B182,Config!$B$9:$B$29,0))),""),""))</f>
        <v/>
      </c>
      <c r="AC182" s="19" t="str">
        <f>IF($B182="","",IFERROR(INDEX(Config!$D$9:$D$29,MATCH($B182,Config!$B$9:$B$29,0))&amp;"",""))</f>
        <v/>
      </c>
    </row>
    <row r="183">
      <c r="R183" s="20" t="str">
        <f>IF($B183="","",IFERROR(IF(INDEX(Config!$D$9:$D$29,MATCH($B183,Config!$B$9:$B$29,0))="Contrato",IF(INDEX(Config!$E$9:$E$29,MATCH($B183,Config!$B$9:$B$29,0))="","",INDEX(Config!$E$9:$E$29,MATCH($B183,Config!$B$9:$B$29,0))),""),""))</f>
        <v/>
      </c>
      <c r="AC183" s="19" t="str">
        <f>IF($B183="","",IFERROR(INDEX(Config!$D$9:$D$29,MATCH($B183,Config!$B$9:$B$29,0))&amp;"",""))</f>
        <v/>
      </c>
    </row>
    <row r="184">
      <c r="R184" s="20" t="str">
        <f>IF($B184="","",IFERROR(IF(INDEX(Config!$D$9:$D$29,MATCH($B184,Config!$B$9:$B$29,0))="Contrato",IF(INDEX(Config!$E$9:$E$29,MATCH($B184,Config!$B$9:$B$29,0))="","",INDEX(Config!$E$9:$E$29,MATCH($B184,Config!$B$9:$B$29,0))),""),""))</f>
        <v/>
      </c>
      <c r="AC184" s="19" t="str">
        <f>IF($B184="","",IFERROR(INDEX(Config!$D$9:$D$29,MATCH($B184,Config!$B$9:$B$29,0))&amp;"",""))</f>
        <v/>
      </c>
    </row>
    <row r="185">
      <c r="R185" s="20" t="str">
        <f>IF($B185="","",IFERROR(IF(INDEX(Config!$D$9:$D$29,MATCH($B185,Config!$B$9:$B$29,0))="Contrato",IF(INDEX(Config!$E$9:$E$29,MATCH($B185,Config!$B$9:$B$29,0))="","",INDEX(Config!$E$9:$E$29,MATCH($B185,Config!$B$9:$B$29,0))),""),""))</f>
        <v/>
      </c>
      <c r="AC185" s="19" t="str">
        <f>IF($B185="","",IFERROR(INDEX(Config!$D$9:$D$29,MATCH($B185,Config!$B$9:$B$29,0))&amp;"",""))</f>
        <v/>
      </c>
    </row>
    <row r="186">
      <c r="R186" s="20" t="str">
        <f>IF($B186="","",IFERROR(IF(INDEX(Config!$D$9:$D$29,MATCH($B186,Config!$B$9:$B$29,0))="Contrato",IF(INDEX(Config!$E$9:$E$29,MATCH($B186,Config!$B$9:$B$29,0))="","",INDEX(Config!$E$9:$E$29,MATCH($B186,Config!$B$9:$B$29,0))),""),""))</f>
        <v/>
      </c>
      <c r="AC186" s="19" t="str">
        <f>IF($B186="","",IFERROR(INDEX(Config!$D$9:$D$29,MATCH($B186,Config!$B$9:$B$29,0))&amp;"",""))</f>
        <v/>
      </c>
    </row>
    <row r="187">
      <c r="R187" s="20" t="str">
        <f>IF($B187="","",IFERROR(IF(INDEX(Config!$D$9:$D$29,MATCH($B187,Config!$B$9:$B$29,0))="Contrato",IF(INDEX(Config!$E$9:$E$29,MATCH($B187,Config!$B$9:$B$29,0))="","",INDEX(Config!$E$9:$E$29,MATCH($B187,Config!$B$9:$B$29,0))),""),""))</f>
        <v/>
      </c>
      <c r="AC187" s="19" t="str">
        <f>IF($B187="","",IFERROR(INDEX(Config!$D$9:$D$29,MATCH($B187,Config!$B$9:$B$29,0))&amp;"",""))</f>
        <v/>
      </c>
    </row>
    <row r="188">
      <c r="R188" s="20" t="str">
        <f>IF($B188="","",IFERROR(IF(INDEX(Config!$D$9:$D$29,MATCH($B188,Config!$B$9:$B$29,0))="Contrato",IF(INDEX(Config!$E$9:$E$29,MATCH($B188,Config!$B$9:$B$29,0))="","",INDEX(Config!$E$9:$E$29,MATCH($B188,Config!$B$9:$B$29,0))),""),""))</f>
        <v/>
      </c>
      <c r="AC188" s="19" t="str">
        <f>IF($B188="","",IFERROR(INDEX(Config!$D$9:$D$29,MATCH($B188,Config!$B$9:$B$29,0))&amp;"",""))</f>
        <v/>
      </c>
    </row>
    <row r="189">
      <c r="R189" s="20" t="str">
        <f>IF($B189="","",IFERROR(IF(INDEX(Config!$D$9:$D$29,MATCH($B189,Config!$B$9:$B$29,0))="Contrato",IF(INDEX(Config!$E$9:$E$29,MATCH($B189,Config!$B$9:$B$29,0))="","",INDEX(Config!$E$9:$E$29,MATCH($B189,Config!$B$9:$B$29,0))),""),""))</f>
        <v/>
      </c>
      <c r="AC189" s="19" t="str">
        <f>IF($B189="","",IFERROR(INDEX(Config!$D$9:$D$29,MATCH($B189,Config!$B$9:$B$29,0))&amp;"",""))</f>
        <v/>
      </c>
    </row>
    <row r="190">
      <c r="R190" s="20" t="str">
        <f>IF($B190="","",IFERROR(IF(INDEX(Config!$D$9:$D$29,MATCH($B190,Config!$B$9:$B$29,0))="Contrato",IF(INDEX(Config!$E$9:$E$29,MATCH($B190,Config!$B$9:$B$29,0))="","",INDEX(Config!$E$9:$E$29,MATCH($B190,Config!$B$9:$B$29,0))),""),""))</f>
        <v/>
      </c>
      <c r="AC190" s="19" t="str">
        <f>IF($B190="","",IFERROR(INDEX(Config!$D$9:$D$29,MATCH($B190,Config!$B$9:$B$29,0))&amp;"",""))</f>
        <v/>
      </c>
    </row>
    <row r="191">
      <c r="R191" s="20" t="str">
        <f>IF($B191="","",IFERROR(IF(INDEX(Config!$D$9:$D$29,MATCH($B191,Config!$B$9:$B$29,0))="Contrato",IF(INDEX(Config!$E$9:$E$29,MATCH($B191,Config!$B$9:$B$29,0))="","",INDEX(Config!$E$9:$E$29,MATCH($B191,Config!$B$9:$B$29,0))),""),""))</f>
        <v/>
      </c>
      <c r="AC191" s="19" t="str">
        <f>IF($B191="","",IFERROR(INDEX(Config!$D$9:$D$29,MATCH($B191,Config!$B$9:$B$29,0))&amp;"",""))</f>
        <v/>
      </c>
    </row>
    <row r="192">
      <c r="R192" s="20" t="str">
        <f>IF($B192="","",IFERROR(IF(INDEX(Config!$D$9:$D$29,MATCH($B192,Config!$B$9:$B$29,0))="Contrato",IF(INDEX(Config!$E$9:$E$29,MATCH($B192,Config!$B$9:$B$29,0))="","",INDEX(Config!$E$9:$E$29,MATCH($B192,Config!$B$9:$B$29,0))),""),""))</f>
        <v/>
      </c>
      <c r="AC192" s="19" t="str">
        <f>IF($B192="","",IFERROR(INDEX(Config!$D$9:$D$29,MATCH($B192,Config!$B$9:$B$29,0))&amp;"",""))</f>
        <v/>
      </c>
    </row>
    <row r="193">
      <c r="R193" s="20" t="str">
        <f>IF($B193="","",IFERROR(IF(INDEX(Config!$D$9:$D$29,MATCH($B193,Config!$B$9:$B$29,0))="Contrato",IF(INDEX(Config!$E$9:$E$29,MATCH($B193,Config!$B$9:$B$29,0))="","",INDEX(Config!$E$9:$E$29,MATCH($B193,Config!$B$9:$B$29,0))),""),""))</f>
        <v/>
      </c>
      <c r="AC193" s="19" t="str">
        <f>IF($B193="","",IFERROR(INDEX(Config!$D$9:$D$29,MATCH($B193,Config!$B$9:$B$29,0))&amp;"",""))</f>
        <v/>
      </c>
    </row>
    <row r="194">
      <c r="R194" s="20" t="str">
        <f>IF($B194="","",IFERROR(IF(INDEX(Config!$D$9:$D$29,MATCH($B194,Config!$B$9:$B$29,0))="Contrato",IF(INDEX(Config!$E$9:$E$29,MATCH($B194,Config!$B$9:$B$29,0))="","",INDEX(Config!$E$9:$E$29,MATCH($B194,Config!$B$9:$B$29,0))),""),""))</f>
        <v/>
      </c>
      <c r="AC194" s="19" t="str">
        <f>IF($B194="","",IFERROR(INDEX(Config!$D$9:$D$29,MATCH($B194,Config!$B$9:$B$29,0))&amp;"",""))</f>
        <v/>
      </c>
    </row>
    <row r="195">
      <c r="R195" s="20" t="str">
        <f>IF($B195="","",IFERROR(IF(INDEX(Config!$D$9:$D$29,MATCH($B195,Config!$B$9:$B$29,0))="Contrato",IF(INDEX(Config!$E$9:$E$29,MATCH($B195,Config!$B$9:$B$29,0))="","",INDEX(Config!$E$9:$E$29,MATCH($B195,Config!$B$9:$B$29,0))),""),""))</f>
        <v/>
      </c>
      <c r="AC195" s="19" t="str">
        <f>IF($B195="","",IFERROR(INDEX(Config!$D$9:$D$29,MATCH($B195,Config!$B$9:$B$29,0))&amp;"",""))</f>
        <v/>
      </c>
    </row>
    <row r="196">
      <c r="R196" s="20" t="str">
        <f>IF($B196="","",IFERROR(IF(INDEX(Config!$D$9:$D$29,MATCH($B196,Config!$B$9:$B$29,0))="Contrato",IF(INDEX(Config!$E$9:$E$29,MATCH($B196,Config!$B$9:$B$29,0))="","",INDEX(Config!$E$9:$E$29,MATCH($B196,Config!$B$9:$B$29,0))),""),""))</f>
        <v/>
      </c>
      <c r="AC196" s="19" t="str">
        <f>IF($B196="","",IFERROR(INDEX(Config!$D$9:$D$29,MATCH($B196,Config!$B$9:$B$29,0))&amp;"",""))</f>
        <v/>
      </c>
    </row>
    <row r="197">
      <c r="R197" s="20" t="str">
        <f>IF($B197="","",IFERROR(IF(INDEX(Config!$D$9:$D$29,MATCH($B197,Config!$B$9:$B$29,0))="Contrato",IF(INDEX(Config!$E$9:$E$29,MATCH($B197,Config!$B$9:$B$29,0))="","",INDEX(Config!$E$9:$E$29,MATCH($B197,Config!$B$9:$B$29,0))),""),""))</f>
        <v/>
      </c>
      <c r="AC197" s="19" t="str">
        <f>IF($B197="","",IFERROR(INDEX(Config!$D$9:$D$29,MATCH($B197,Config!$B$9:$B$29,0))&amp;"",""))</f>
        <v/>
      </c>
    </row>
    <row r="198">
      <c r="R198" s="20" t="str">
        <f>IF($B198="","",IFERROR(IF(INDEX(Config!$D$9:$D$29,MATCH($B198,Config!$B$9:$B$29,0))="Contrato",IF(INDEX(Config!$E$9:$E$29,MATCH($B198,Config!$B$9:$B$29,0))="","",INDEX(Config!$E$9:$E$29,MATCH($B198,Config!$B$9:$B$29,0))),""),""))</f>
        <v/>
      </c>
      <c r="AC198" s="19" t="str">
        <f>IF($B198="","",IFERROR(INDEX(Config!$D$9:$D$29,MATCH($B198,Config!$B$9:$B$29,0))&amp;"",""))</f>
        <v/>
      </c>
    </row>
    <row r="199">
      <c r="R199" s="20" t="str">
        <f>IF($B199="","",IFERROR(IF(INDEX(Config!$D$9:$D$29,MATCH($B199,Config!$B$9:$B$29,0))="Contrato",IF(INDEX(Config!$E$9:$E$29,MATCH($B199,Config!$B$9:$B$29,0))="","",INDEX(Config!$E$9:$E$29,MATCH($B199,Config!$B$9:$B$29,0))),""),""))</f>
        <v/>
      </c>
      <c r="AC199" s="19" t="str">
        <f>IF($B199="","",IFERROR(INDEX(Config!$D$9:$D$29,MATCH($B199,Config!$B$9:$B$29,0))&amp;"",""))</f>
        <v/>
      </c>
    </row>
    <row r="200">
      <c r="R200" s="20" t="str">
        <f>IF($B200="","",IFERROR(IF(INDEX(Config!$D$9:$D$29,MATCH($B200,Config!$B$9:$B$29,0))="Contrato",IF(INDEX(Config!$E$9:$E$29,MATCH($B200,Config!$B$9:$B$29,0))="","",INDEX(Config!$E$9:$E$29,MATCH($B200,Config!$B$9:$B$29,0))),""),""))</f>
        <v/>
      </c>
      <c r="AC200" s="19" t="str">
        <f>IF($B200="","",IFERROR(INDEX(Config!$D$9:$D$29,MATCH($B200,Config!$B$9:$B$29,0))&amp;"",""))</f>
        <v/>
      </c>
    </row>
    <row r="201">
      <c r="R201" s="20" t="str">
        <f>IF($B201="","",IFERROR(IF(INDEX(Config!$D$9:$D$29,MATCH($B201,Config!$B$9:$B$29,0))="Contrato",IF(INDEX(Config!$E$9:$E$29,MATCH($B201,Config!$B$9:$B$29,0))="","",INDEX(Config!$E$9:$E$29,MATCH($B201,Config!$B$9:$B$29,0))),""),""))</f>
        <v/>
      </c>
      <c r="AC201" s="19" t="str">
        <f>IF($B201="","",IFERROR(INDEX(Config!$D$9:$D$29,MATCH($B201,Config!$B$9:$B$29,0))&amp;"",""))</f>
        <v/>
      </c>
    </row>
    <row r="202">
      <c r="R202" s="20" t="str">
        <f>IF($B202="","",IFERROR(IF(INDEX(Config!$D$9:$D$29,MATCH($B202,Config!$B$9:$B$29,0))="Contrato",IF(INDEX(Config!$E$9:$E$29,MATCH($B202,Config!$B$9:$B$29,0))="","",INDEX(Config!$E$9:$E$29,MATCH($B202,Config!$B$9:$B$29,0))),""),""))</f>
        <v/>
      </c>
      <c r="AC202" s="19" t="str">
        <f>IF($B202="","",IFERROR(INDEX(Config!$D$9:$D$29,MATCH($B202,Config!$B$9:$B$29,0))&amp;"",""))</f>
        <v/>
      </c>
    </row>
    <row r="203">
      <c r="R203" s="20" t="str">
        <f>IF($B203="","",IFERROR(IF(INDEX(Config!$D$9:$D$29,MATCH($B203,Config!$B$9:$B$29,0))="Contrato",IF(INDEX(Config!$E$9:$E$29,MATCH($B203,Config!$B$9:$B$29,0))="","",INDEX(Config!$E$9:$E$29,MATCH($B203,Config!$B$9:$B$29,0))),""),""))</f>
        <v/>
      </c>
      <c r="AC203" s="19" t="str">
        <f>IF($B203="","",IFERROR(INDEX(Config!$D$9:$D$29,MATCH($B203,Config!$B$9:$B$29,0))&amp;"",""))</f>
        <v/>
      </c>
    </row>
    <row r="204">
      <c r="R204" s="20" t="str">
        <f>IF($B204="","",IFERROR(IF(INDEX(Config!$D$9:$D$29,MATCH($B204,Config!$B$9:$B$29,0))="Contrato",IF(INDEX(Config!$E$9:$E$29,MATCH($B204,Config!$B$9:$B$29,0))="","",INDEX(Config!$E$9:$E$29,MATCH($B204,Config!$B$9:$B$29,0))),""),""))</f>
        <v/>
      </c>
      <c r="AC204" s="19" t="str">
        <f>IF($B204="","",IFERROR(INDEX(Config!$D$9:$D$29,MATCH($B204,Config!$B$9:$B$29,0))&amp;"",""))</f>
        <v/>
      </c>
    </row>
    <row r="205">
      <c r="R205" s="20" t="str">
        <f>IF($B205="","",IFERROR(IF(INDEX(Config!$D$9:$D$29,MATCH($B205,Config!$B$9:$B$29,0))="Contrato",IF(INDEX(Config!$E$9:$E$29,MATCH($B205,Config!$B$9:$B$29,0))="","",INDEX(Config!$E$9:$E$29,MATCH($B205,Config!$B$9:$B$29,0))),""),""))</f>
        <v/>
      </c>
      <c r="AC205" s="19" t="str">
        <f>IF($B205="","",IFERROR(INDEX(Config!$D$9:$D$29,MATCH($B205,Config!$B$9:$B$29,0))&amp;"",""))</f>
        <v/>
      </c>
    </row>
    <row r="206">
      <c r="R206" s="20" t="str">
        <f>IF($B206="","",IFERROR(IF(INDEX(Config!$D$9:$D$29,MATCH($B206,Config!$B$9:$B$29,0))="Contrato",IF(INDEX(Config!$E$9:$E$29,MATCH($B206,Config!$B$9:$B$29,0))="","",INDEX(Config!$E$9:$E$29,MATCH($B206,Config!$B$9:$B$29,0))),""),""))</f>
        <v/>
      </c>
      <c r="AC206" s="19" t="str">
        <f>IF($B206="","",IFERROR(INDEX(Config!$D$9:$D$29,MATCH($B206,Config!$B$9:$B$29,0))&amp;"",""))</f>
        <v/>
      </c>
    </row>
    <row r="207">
      <c r="R207" s="20" t="str">
        <f>IF($B207="","",IFERROR(IF(INDEX(Config!$D$9:$D$29,MATCH($B207,Config!$B$9:$B$29,0))="Contrato",IF(INDEX(Config!$E$9:$E$29,MATCH($B207,Config!$B$9:$B$29,0))="","",INDEX(Config!$E$9:$E$29,MATCH($B207,Config!$B$9:$B$29,0))),""),""))</f>
        <v/>
      </c>
      <c r="AC207" s="19" t="str">
        <f>IF($B207="","",IFERROR(INDEX(Config!$D$9:$D$29,MATCH($B207,Config!$B$9:$B$29,0))&amp;"",""))</f>
        <v/>
      </c>
    </row>
    <row r="208">
      <c r="R208" s="20" t="str">
        <f>IF($B208="","",IFERROR(IF(INDEX(Config!$D$9:$D$29,MATCH($B208,Config!$B$9:$B$29,0))="Contrato",IF(INDEX(Config!$E$9:$E$29,MATCH($B208,Config!$B$9:$B$29,0))="","",INDEX(Config!$E$9:$E$29,MATCH($B208,Config!$B$9:$B$29,0))),""),""))</f>
        <v/>
      </c>
      <c r="AC208" s="19" t="str">
        <f>IF($B208="","",IFERROR(INDEX(Config!$D$9:$D$29,MATCH($B208,Config!$B$9:$B$29,0))&amp;"",""))</f>
        <v/>
      </c>
    </row>
    <row r="209">
      <c r="R209" s="20" t="str">
        <f>IF($B209="","",IFERROR(IF(INDEX(Config!$D$9:$D$29,MATCH($B209,Config!$B$9:$B$29,0))="Contrato",IF(INDEX(Config!$E$9:$E$29,MATCH($B209,Config!$B$9:$B$29,0))="","",INDEX(Config!$E$9:$E$29,MATCH($B209,Config!$B$9:$B$29,0))),""),""))</f>
        <v/>
      </c>
      <c r="AC209" s="19" t="str">
        <f>IF($B209="","",IFERROR(INDEX(Config!$D$9:$D$29,MATCH($B209,Config!$B$9:$B$29,0))&amp;"",""))</f>
        <v/>
      </c>
    </row>
    <row r="210">
      <c r="R210" s="20" t="str">
        <f>IF($B210="","",IFERROR(IF(INDEX(Config!$D$9:$D$29,MATCH($B210,Config!$B$9:$B$29,0))="Contrato",IF(INDEX(Config!$E$9:$E$29,MATCH($B210,Config!$B$9:$B$29,0))="","",INDEX(Config!$E$9:$E$29,MATCH($B210,Config!$B$9:$B$29,0))),""),""))</f>
        <v/>
      </c>
      <c r="AC210" s="19" t="str">
        <f>IF($B210="","",IFERROR(INDEX(Config!$D$9:$D$29,MATCH($B210,Config!$B$9:$B$29,0))&amp;"",""))</f>
        <v/>
      </c>
    </row>
    <row r="211">
      <c r="R211" s="20" t="str">
        <f>IF($B211="","",IFERROR(IF(INDEX(Config!$D$9:$D$29,MATCH($B211,Config!$B$9:$B$29,0))="Contrato",IF(INDEX(Config!$E$9:$E$29,MATCH($B211,Config!$B$9:$B$29,0))="","",INDEX(Config!$E$9:$E$29,MATCH($B211,Config!$B$9:$B$29,0))),""),""))</f>
        <v/>
      </c>
      <c r="AC211" s="19" t="str">
        <f>IF($B211="","",IFERROR(INDEX(Config!$D$9:$D$29,MATCH($B211,Config!$B$9:$B$29,0))&amp;"",""))</f>
        <v/>
      </c>
    </row>
    <row r="212">
      <c r="R212" s="20" t="str">
        <f>IF($B212="","",IFERROR(IF(INDEX(Config!$D$9:$D$29,MATCH($B212,Config!$B$9:$B$29,0))="Contrato",IF(INDEX(Config!$E$9:$E$29,MATCH($B212,Config!$B$9:$B$29,0))="","",INDEX(Config!$E$9:$E$29,MATCH($B212,Config!$B$9:$B$29,0))),""),""))</f>
        <v/>
      </c>
      <c r="AC212" s="19" t="str">
        <f>IF($B212="","",IFERROR(INDEX(Config!$D$9:$D$29,MATCH($B212,Config!$B$9:$B$29,0))&amp;"",""))</f>
        <v/>
      </c>
    </row>
    <row r="213">
      <c r="R213" s="20" t="str">
        <f>IF($B213="","",IFERROR(IF(INDEX(Config!$D$9:$D$29,MATCH($B213,Config!$B$9:$B$29,0))="Contrato",IF(INDEX(Config!$E$9:$E$29,MATCH($B213,Config!$B$9:$B$29,0))="","",INDEX(Config!$E$9:$E$29,MATCH($B213,Config!$B$9:$B$29,0))),""),""))</f>
        <v/>
      </c>
      <c r="AC213" s="19" t="str">
        <f>IF($B213="","",IFERROR(INDEX(Config!$D$9:$D$29,MATCH($B213,Config!$B$9:$B$29,0))&amp;"",""))</f>
        <v/>
      </c>
    </row>
    <row r="214">
      <c r="R214" s="20" t="str">
        <f>IF($B214="","",IFERROR(IF(INDEX(Config!$D$9:$D$29,MATCH($B214,Config!$B$9:$B$29,0))="Contrato",IF(INDEX(Config!$E$9:$E$29,MATCH($B214,Config!$B$9:$B$29,0))="","",INDEX(Config!$E$9:$E$29,MATCH($B214,Config!$B$9:$B$29,0))),""),""))</f>
        <v/>
      </c>
      <c r="AC214" s="19" t="str">
        <f>IF($B214="","",IFERROR(INDEX(Config!$D$9:$D$29,MATCH($B214,Config!$B$9:$B$29,0))&amp;"",""))</f>
        <v/>
      </c>
    </row>
    <row r="215">
      <c r="R215" s="20" t="str">
        <f>IF($B215="","",IFERROR(IF(INDEX(Config!$D$9:$D$29,MATCH($B215,Config!$B$9:$B$29,0))="Contrato",IF(INDEX(Config!$E$9:$E$29,MATCH($B215,Config!$B$9:$B$29,0))="","",INDEX(Config!$E$9:$E$29,MATCH($B215,Config!$B$9:$B$29,0))),""),""))</f>
        <v/>
      </c>
      <c r="AC215" s="19" t="str">
        <f>IF($B215="","",IFERROR(INDEX(Config!$D$9:$D$29,MATCH($B215,Config!$B$9:$B$29,0))&amp;"",""))</f>
        <v/>
      </c>
    </row>
    <row r="216">
      <c r="R216" s="20" t="str">
        <f>IF($B216="","",IFERROR(IF(INDEX(Config!$D$9:$D$29,MATCH($B216,Config!$B$9:$B$29,0))="Contrato",IF(INDEX(Config!$E$9:$E$29,MATCH($B216,Config!$B$9:$B$29,0))="","",INDEX(Config!$E$9:$E$29,MATCH($B216,Config!$B$9:$B$29,0))),""),""))</f>
        <v/>
      </c>
      <c r="AC216" s="19" t="str">
        <f>IF($B216="","",IFERROR(INDEX(Config!$D$9:$D$29,MATCH($B216,Config!$B$9:$B$29,0))&amp;"",""))</f>
        <v/>
      </c>
    </row>
    <row r="217">
      <c r="R217" s="20" t="str">
        <f>IF($B217="","",IFERROR(IF(INDEX(Config!$D$9:$D$29,MATCH($B217,Config!$B$9:$B$29,0))="Contrato",IF(INDEX(Config!$E$9:$E$29,MATCH($B217,Config!$B$9:$B$29,0))="","",INDEX(Config!$E$9:$E$29,MATCH($B217,Config!$B$9:$B$29,0))),""),""))</f>
        <v/>
      </c>
      <c r="AC217" s="19" t="str">
        <f>IF($B217="","",IFERROR(INDEX(Config!$D$9:$D$29,MATCH($B217,Config!$B$9:$B$29,0))&amp;"",""))</f>
        <v/>
      </c>
    </row>
    <row r="218">
      <c r="R218" s="20" t="str">
        <f>IF($B218="","",IFERROR(IF(INDEX(Config!$D$9:$D$29,MATCH($B218,Config!$B$9:$B$29,0))="Contrato",IF(INDEX(Config!$E$9:$E$29,MATCH($B218,Config!$B$9:$B$29,0))="","",INDEX(Config!$E$9:$E$29,MATCH($B218,Config!$B$9:$B$29,0))),""),""))</f>
        <v/>
      </c>
      <c r="AC218" s="19" t="str">
        <f>IF($B218="","",IFERROR(INDEX(Config!$D$9:$D$29,MATCH($B218,Config!$B$9:$B$29,0))&amp;"",""))</f>
        <v/>
      </c>
    </row>
    <row r="219">
      <c r="R219" s="20" t="str">
        <f>IF($B219="","",IFERROR(IF(INDEX(Config!$D$9:$D$29,MATCH($B219,Config!$B$9:$B$29,0))="Contrato",IF(INDEX(Config!$E$9:$E$29,MATCH($B219,Config!$B$9:$B$29,0))="","",INDEX(Config!$E$9:$E$29,MATCH($B219,Config!$B$9:$B$29,0))),""),""))</f>
        <v/>
      </c>
      <c r="AC219" s="19" t="str">
        <f>IF($B219="","",IFERROR(INDEX(Config!$D$9:$D$29,MATCH($B219,Config!$B$9:$B$29,0))&amp;"",""))</f>
        <v/>
      </c>
    </row>
    <row r="220">
      <c r="R220" s="20" t="str">
        <f>IF($B220="","",IFERROR(IF(INDEX(Config!$D$9:$D$29,MATCH($B220,Config!$B$9:$B$29,0))="Contrato",IF(INDEX(Config!$E$9:$E$29,MATCH($B220,Config!$B$9:$B$29,0))="","",INDEX(Config!$E$9:$E$29,MATCH($B220,Config!$B$9:$B$29,0))),""),""))</f>
        <v/>
      </c>
      <c r="AC220" s="19" t="str">
        <f>IF($B220="","",IFERROR(INDEX(Config!$D$9:$D$29,MATCH($B220,Config!$B$9:$B$29,0))&amp;"",""))</f>
        <v/>
      </c>
    </row>
    <row r="221">
      <c r="R221" s="20" t="str">
        <f>IF($B221="","",IFERROR(IF(INDEX(Config!$D$9:$D$29,MATCH($B221,Config!$B$9:$B$29,0))="Contrato",IF(INDEX(Config!$E$9:$E$29,MATCH($B221,Config!$B$9:$B$29,0))="","",INDEX(Config!$E$9:$E$29,MATCH($B221,Config!$B$9:$B$29,0))),""),""))</f>
        <v/>
      </c>
      <c r="AC221" s="19" t="str">
        <f>IF($B221="","",IFERROR(INDEX(Config!$D$9:$D$29,MATCH($B221,Config!$B$9:$B$29,0))&amp;"",""))</f>
        <v/>
      </c>
    </row>
    <row r="222">
      <c r="R222" s="20" t="str">
        <f>IF($B222="","",IFERROR(IF(INDEX(Config!$D$9:$D$29,MATCH($B222,Config!$B$9:$B$29,0))="Contrato",IF(INDEX(Config!$E$9:$E$29,MATCH($B222,Config!$B$9:$B$29,0))="","",INDEX(Config!$E$9:$E$29,MATCH($B222,Config!$B$9:$B$29,0))),""),""))</f>
        <v/>
      </c>
      <c r="AC222" s="19" t="str">
        <f>IF($B222="","",IFERROR(INDEX(Config!$D$9:$D$29,MATCH($B222,Config!$B$9:$B$29,0))&amp;"",""))</f>
        <v/>
      </c>
    </row>
    <row r="223">
      <c r="R223" s="20" t="str">
        <f>IF($B223="","",IFERROR(IF(INDEX(Config!$D$9:$D$29,MATCH($B223,Config!$B$9:$B$29,0))="Contrato",IF(INDEX(Config!$E$9:$E$29,MATCH($B223,Config!$B$9:$B$29,0))="","",INDEX(Config!$E$9:$E$29,MATCH($B223,Config!$B$9:$B$29,0))),""),""))</f>
        <v/>
      </c>
      <c r="AC223" s="19" t="str">
        <f>IF($B223="","",IFERROR(INDEX(Config!$D$9:$D$29,MATCH($B223,Config!$B$9:$B$29,0))&amp;"",""))</f>
        <v/>
      </c>
    </row>
    <row r="224">
      <c r="R224" s="20" t="str">
        <f>IF($B224="","",IFERROR(IF(INDEX(Config!$D$9:$D$29,MATCH($B224,Config!$B$9:$B$29,0))="Contrato",IF(INDEX(Config!$E$9:$E$29,MATCH($B224,Config!$B$9:$B$29,0))="","",INDEX(Config!$E$9:$E$29,MATCH($B224,Config!$B$9:$B$29,0))),""),""))</f>
        <v/>
      </c>
      <c r="AC224" s="19" t="str">
        <f>IF($B224="","",IFERROR(INDEX(Config!$D$9:$D$29,MATCH($B224,Config!$B$9:$B$29,0))&amp;"",""))</f>
        <v/>
      </c>
    </row>
    <row r="225">
      <c r="R225" s="20" t="str">
        <f>IF($B225="","",IFERROR(IF(INDEX(Config!$D$9:$D$29,MATCH($B225,Config!$B$9:$B$29,0))="Contrato",IF(INDEX(Config!$E$9:$E$29,MATCH($B225,Config!$B$9:$B$29,0))="","",INDEX(Config!$E$9:$E$29,MATCH($B225,Config!$B$9:$B$29,0))),""),""))</f>
        <v/>
      </c>
      <c r="AC225" s="19" t="str">
        <f>IF($B225="","",IFERROR(INDEX(Config!$D$9:$D$29,MATCH($B225,Config!$B$9:$B$29,0))&amp;"",""))</f>
        <v/>
      </c>
    </row>
    <row r="226">
      <c r="R226" s="20" t="str">
        <f>IF($B226="","",IFERROR(IF(INDEX(Config!$D$9:$D$29,MATCH($B226,Config!$B$9:$B$29,0))="Contrato",IF(INDEX(Config!$E$9:$E$29,MATCH($B226,Config!$B$9:$B$29,0))="","",INDEX(Config!$E$9:$E$29,MATCH($B226,Config!$B$9:$B$29,0))),""),""))</f>
        <v/>
      </c>
      <c r="AC226" s="19" t="str">
        <f>IF($B226="","",IFERROR(INDEX(Config!$D$9:$D$29,MATCH($B226,Config!$B$9:$B$29,0))&amp;"",""))</f>
        <v/>
      </c>
    </row>
    <row r="227">
      <c r="R227" s="20" t="str">
        <f>IF($B227="","",IFERROR(IF(INDEX(Config!$D$9:$D$29,MATCH($B227,Config!$B$9:$B$29,0))="Contrato",IF(INDEX(Config!$E$9:$E$29,MATCH($B227,Config!$B$9:$B$29,0))="","",INDEX(Config!$E$9:$E$29,MATCH($B227,Config!$B$9:$B$29,0))),""),""))</f>
        <v/>
      </c>
      <c r="AC227" s="19" t="str">
        <f>IF($B227="","",IFERROR(INDEX(Config!$D$9:$D$29,MATCH($B227,Config!$B$9:$B$29,0))&amp;"",""))</f>
        <v/>
      </c>
    </row>
    <row r="228">
      <c r="R228" s="20" t="str">
        <f>IF($B228="","",IFERROR(IF(INDEX(Config!$D$9:$D$29,MATCH($B228,Config!$B$9:$B$29,0))="Contrato",IF(INDEX(Config!$E$9:$E$29,MATCH($B228,Config!$B$9:$B$29,0))="","",INDEX(Config!$E$9:$E$29,MATCH($B228,Config!$B$9:$B$29,0))),""),""))</f>
        <v/>
      </c>
      <c r="AC228" s="19" t="str">
        <f>IF($B228="","",IFERROR(INDEX(Config!$D$9:$D$29,MATCH($B228,Config!$B$9:$B$29,0))&amp;"",""))</f>
        <v/>
      </c>
    </row>
    <row r="229">
      <c r="R229" s="20" t="str">
        <f>IF($B229="","",IFERROR(IF(INDEX(Config!$D$9:$D$29,MATCH($B229,Config!$B$9:$B$29,0))="Contrato",IF(INDEX(Config!$E$9:$E$29,MATCH($B229,Config!$B$9:$B$29,0))="","",INDEX(Config!$E$9:$E$29,MATCH($B229,Config!$B$9:$B$29,0))),""),""))</f>
        <v/>
      </c>
      <c r="AC229" s="19" t="str">
        <f>IF($B229="","",IFERROR(INDEX(Config!$D$9:$D$29,MATCH($B229,Config!$B$9:$B$29,0))&amp;"",""))</f>
        <v/>
      </c>
    </row>
    <row r="230">
      <c r="R230" s="20" t="str">
        <f>IF($B230="","",IFERROR(IF(INDEX(Config!$D$9:$D$29,MATCH($B230,Config!$B$9:$B$29,0))="Contrato",IF(INDEX(Config!$E$9:$E$29,MATCH($B230,Config!$B$9:$B$29,0))="","",INDEX(Config!$E$9:$E$29,MATCH($B230,Config!$B$9:$B$29,0))),""),""))</f>
        <v/>
      </c>
      <c r="AC230" s="19" t="str">
        <f>IF($B230="","",IFERROR(INDEX(Config!$D$9:$D$29,MATCH($B230,Config!$B$9:$B$29,0))&amp;"",""))</f>
        <v/>
      </c>
    </row>
    <row r="231">
      <c r="R231" s="20" t="str">
        <f>IF($B231="","",IFERROR(IF(INDEX(Config!$D$9:$D$29,MATCH($B231,Config!$B$9:$B$29,0))="Contrato",IF(INDEX(Config!$E$9:$E$29,MATCH($B231,Config!$B$9:$B$29,0))="","",INDEX(Config!$E$9:$E$29,MATCH($B231,Config!$B$9:$B$29,0))),""),""))</f>
        <v/>
      </c>
      <c r="AC231" s="19" t="str">
        <f>IF($B231="","",IFERROR(INDEX(Config!$D$9:$D$29,MATCH($B231,Config!$B$9:$B$29,0))&amp;"",""))</f>
        <v/>
      </c>
    </row>
    <row r="232">
      <c r="R232" s="20" t="str">
        <f>IF($B232="","",IFERROR(IF(INDEX(Config!$D$9:$D$29,MATCH($B232,Config!$B$9:$B$29,0))="Contrato",IF(INDEX(Config!$E$9:$E$29,MATCH($B232,Config!$B$9:$B$29,0))="","",INDEX(Config!$E$9:$E$29,MATCH($B232,Config!$B$9:$B$29,0))),""),""))</f>
        <v/>
      </c>
      <c r="AC232" s="19" t="str">
        <f>IF($B232="","",IFERROR(INDEX(Config!$D$9:$D$29,MATCH($B232,Config!$B$9:$B$29,0))&amp;"",""))</f>
        <v/>
      </c>
    </row>
    <row r="233">
      <c r="R233" s="20" t="str">
        <f>IF($B233="","",IFERROR(IF(INDEX(Config!$D$9:$D$29,MATCH($B233,Config!$B$9:$B$29,0))="Contrato",IF(INDEX(Config!$E$9:$E$29,MATCH($B233,Config!$B$9:$B$29,0))="","",INDEX(Config!$E$9:$E$29,MATCH($B233,Config!$B$9:$B$29,0))),""),""))</f>
        <v/>
      </c>
      <c r="AC233" s="19" t="str">
        <f>IF($B233="","",IFERROR(INDEX(Config!$D$9:$D$29,MATCH($B233,Config!$B$9:$B$29,0))&amp;"",""))</f>
        <v/>
      </c>
    </row>
    <row r="234">
      <c r="R234" s="20" t="str">
        <f>IF($B234="","",IFERROR(IF(INDEX(Config!$D$9:$D$29,MATCH($B234,Config!$B$9:$B$29,0))="Contrato",IF(INDEX(Config!$E$9:$E$29,MATCH($B234,Config!$B$9:$B$29,0))="","",INDEX(Config!$E$9:$E$29,MATCH($B234,Config!$B$9:$B$29,0))),""),""))</f>
        <v/>
      </c>
      <c r="AC234" s="19" t="str">
        <f>IF($B234="","",IFERROR(INDEX(Config!$D$9:$D$29,MATCH($B234,Config!$B$9:$B$29,0))&amp;"",""))</f>
        <v/>
      </c>
    </row>
    <row r="235">
      <c r="R235" s="20" t="str">
        <f>IF($B235="","",IFERROR(IF(INDEX(Config!$D$9:$D$29,MATCH($B235,Config!$B$9:$B$29,0))="Contrato",IF(INDEX(Config!$E$9:$E$29,MATCH($B235,Config!$B$9:$B$29,0))="","",INDEX(Config!$E$9:$E$29,MATCH($B235,Config!$B$9:$B$29,0))),""),""))</f>
        <v/>
      </c>
      <c r="AC235" s="19" t="str">
        <f>IF($B235="","",IFERROR(INDEX(Config!$D$9:$D$29,MATCH($B235,Config!$B$9:$B$29,0))&amp;"",""))</f>
        <v/>
      </c>
    </row>
    <row r="236">
      <c r="R236" s="20" t="str">
        <f>IF($B236="","",IFERROR(IF(INDEX(Config!$D$9:$D$29,MATCH($B236,Config!$B$9:$B$29,0))="Contrato",IF(INDEX(Config!$E$9:$E$29,MATCH($B236,Config!$B$9:$B$29,0))="","",INDEX(Config!$E$9:$E$29,MATCH($B236,Config!$B$9:$B$29,0))),""),""))</f>
        <v/>
      </c>
      <c r="AC236" s="19" t="str">
        <f>IF($B236="","",IFERROR(INDEX(Config!$D$9:$D$29,MATCH($B236,Config!$B$9:$B$29,0))&amp;"",""))</f>
        <v/>
      </c>
    </row>
    <row r="237">
      <c r="R237" s="20" t="str">
        <f>IF($B237="","",IFERROR(IF(INDEX(Config!$D$9:$D$29,MATCH($B237,Config!$B$9:$B$29,0))="Contrato",IF(INDEX(Config!$E$9:$E$29,MATCH($B237,Config!$B$9:$B$29,0))="","",INDEX(Config!$E$9:$E$29,MATCH($B237,Config!$B$9:$B$29,0))),""),""))</f>
        <v/>
      </c>
      <c r="AC237" s="19" t="str">
        <f>IF($B237="","",IFERROR(INDEX(Config!$D$9:$D$29,MATCH($B237,Config!$B$9:$B$29,0))&amp;"",""))</f>
        <v/>
      </c>
    </row>
    <row r="238">
      <c r="R238" s="20" t="str">
        <f>IF($B238="","",IFERROR(IF(INDEX(Config!$D$9:$D$29,MATCH($B238,Config!$B$9:$B$29,0))="Contrato",IF(INDEX(Config!$E$9:$E$29,MATCH($B238,Config!$B$9:$B$29,0))="","",INDEX(Config!$E$9:$E$29,MATCH($B238,Config!$B$9:$B$29,0))),""),""))</f>
        <v/>
      </c>
      <c r="AC238" s="19" t="str">
        <f>IF($B238="","",IFERROR(INDEX(Config!$D$9:$D$29,MATCH($B238,Config!$B$9:$B$29,0))&amp;"",""))</f>
        <v/>
      </c>
    </row>
    <row r="239">
      <c r="R239" s="20" t="str">
        <f>IF($B239="","",IFERROR(IF(INDEX(Config!$D$9:$D$29,MATCH($B239,Config!$B$9:$B$29,0))="Contrato",IF(INDEX(Config!$E$9:$E$29,MATCH($B239,Config!$B$9:$B$29,0))="","",INDEX(Config!$E$9:$E$29,MATCH($B239,Config!$B$9:$B$29,0))),""),""))</f>
        <v/>
      </c>
      <c r="AC239" s="19" t="str">
        <f>IF($B239="","",IFERROR(INDEX(Config!$D$9:$D$29,MATCH($B239,Config!$B$9:$B$29,0))&amp;"",""))</f>
        <v/>
      </c>
    </row>
    <row r="240">
      <c r="R240" s="20" t="str">
        <f>IF($B240="","",IFERROR(IF(INDEX(Config!$D$9:$D$29,MATCH($B240,Config!$B$9:$B$29,0))="Contrato",IF(INDEX(Config!$E$9:$E$29,MATCH($B240,Config!$B$9:$B$29,0))="","",INDEX(Config!$E$9:$E$29,MATCH($B240,Config!$B$9:$B$29,0))),""),""))</f>
        <v/>
      </c>
      <c r="AC240" s="19" t="str">
        <f>IF($B240="","",IFERROR(INDEX(Config!$D$9:$D$29,MATCH($B240,Config!$B$9:$B$29,0))&amp;"",""))</f>
        <v/>
      </c>
    </row>
    <row r="241">
      <c r="R241" s="20" t="str">
        <f>IF($B241="","",IFERROR(IF(INDEX(Config!$D$9:$D$29,MATCH($B241,Config!$B$9:$B$29,0))="Contrato",IF(INDEX(Config!$E$9:$E$29,MATCH($B241,Config!$B$9:$B$29,0))="","",INDEX(Config!$E$9:$E$29,MATCH($B241,Config!$B$9:$B$29,0))),""),""))</f>
        <v/>
      </c>
      <c r="AC241" s="19" t="str">
        <f>IF($B241="","",IFERROR(INDEX(Config!$D$9:$D$29,MATCH($B241,Config!$B$9:$B$29,0))&amp;"",""))</f>
        <v/>
      </c>
    </row>
    <row r="242">
      <c r="R242" s="20" t="str">
        <f>IF($B242="","",IFERROR(IF(INDEX(Config!$D$9:$D$29,MATCH($B242,Config!$B$9:$B$29,0))="Contrato",IF(INDEX(Config!$E$9:$E$29,MATCH($B242,Config!$B$9:$B$29,0))="","",INDEX(Config!$E$9:$E$29,MATCH($B242,Config!$B$9:$B$29,0))),""),""))</f>
        <v/>
      </c>
      <c r="AC242" s="19" t="str">
        <f>IF($B242="","",IFERROR(INDEX(Config!$D$9:$D$29,MATCH($B242,Config!$B$9:$B$29,0))&amp;"",""))</f>
        <v/>
      </c>
    </row>
    <row r="243">
      <c r="R243" s="20" t="str">
        <f>IF($B243="","",IFERROR(IF(INDEX(Config!$D$9:$D$29,MATCH($B243,Config!$B$9:$B$29,0))="Contrato",IF(INDEX(Config!$E$9:$E$29,MATCH($B243,Config!$B$9:$B$29,0))="","",INDEX(Config!$E$9:$E$29,MATCH($B243,Config!$B$9:$B$29,0))),""),""))</f>
        <v/>
      </c>
      <c r="AC243" s="19" t="str">
        <f>IF($B243="","",IFERROR(INDEX(Config!$D$9:$D$29,MATCH($B243,Config!$B$9:$B$29,0))&amp;"",""))</f>
        <v/>
      </c>
    </row>
    <row r="244">
      <c r="R244" s="20" t="str">
        <f>IF($B244="","",IFERROR(IF(INDEX(Config!$D$9:$D$29,MATCH($B244,Config!$B$9:$B$29,0))="Contrato",IF(INDEX(Config!$E$9:$E$29,MATCH($B244,Config!$B$9:$B$29,0))="","",INDEX(Config!$E$9:$E$29,MATCH($B244,Config!$B$9:$B$29,0))),""),""))</f>
        <v/>
      </c>
      <c r="AC244" s="19" t="str">
        <f>IF($B244="","",IFERROR(INDEX(Config!$D$9:$D$29,MATCH($B244,Config!$B$9:$B$29,0))&amp;"",""))</f>
        <v/>
      </c>
    </row>
    <row r="245">
      <c r="R245" s="20" t="str">
        <f>IF($B245="","",IFERROR(IF(INDEX(Config!$D$9:$D$29,MATCH($B245,Config!$B$9:$B$29,0))="Contrato",IF(INDEX(Config!$E$9:$E$29,MATCH($B245,Config!$B$9:$B$29,0))="","",INDEX(Config!$E$9:$E$29,MATCH($B245,Config!$B$9:$B$29,0))),""),""))</f>
        <v/>
      </c>
      <c r="AC245" s="19" t="str">
        <f>IF($B245="","",IFERROR(INDEX(Config!$D$9:$D$29,MATCH($B245,Config!$B$9:$B$29,0))&amp;"",""))</f>
        <v/>
      </c>
    </row>
    <row r="246">
      <c r="R246" s="20" t="str">
        <f>IF($B246="","",IFERROR(IF(INDEX(Config!$D$9:$D$29,MATCH($B246,Config!$B$9:$B$29,0))="Contrato",IF(INDEX(Config!$E$9:$E$29,MATCH($B246,Config!$B$9:$B$29,0))="","",INDEX(Config!$E$9:$E$29,MATCH($B246,Config!$B$9:$B$29,0))),""),""))</f>
        <v/>
      </c>
      <c r="AC246" s="19" t="str">
        <f>IF($B246="","",IFERROR(INDEX(Config!$D$9:$D$29,MATCH($B246,Config!$B$9:$B$29,0))&amp;"",""))</f>
        <v/>
      </c>
    </row>
    <row r="247">
      <c r="R247" s="20" t="str">
        <f>IF($B247="","",IFERROR(IF(INDEX(Config!$D$9:$D$29,MATCH($B247,Config!$B$9:$B$29,0))="Contrato",IF(INDEX(Config!$E$9:$E$29,MATCH($B247,Config!$B$9:$B$29,0))="","",INDEX(Config!$E$9:$E$29,MATCH($B247,Config!$B$9:$B$29,0))),""),""))</f>
        <v/>
      </c>
      <c r="AC247" s="19" t="str">
        <f>IF($B247="","",IFERROR(INDEX(Config!$D$9:$D$29,MATCH($B247,Config!$B$9:$B$29,0))&amp;"",""))</f>
        <v/>
      </c>
    </row>
    <row r="248">
      <c r="R248" s="20" t="str">
        <f>IF($B248="","",IFERROR(IF(INDEX(Config!$D$9:$D$29,MATCH($B248,Config!$B$9:$B$29,0))="Contrato",IF(INDEX(Config!$E$9:$E$29,MATCH($B248,Config!$B$9:$B$29,0))="","",INDEX(Config!$E$9:$E$29,MATCH($B248,Config!$B$9:$B$29,0))),""),""))</f>
        <v/>
      </c>
      <c r="AC248" s="19" t="str">
        <f>IF($B248="","",IFERROR(INDEX(Config!$D$9:$D$29,MATCH($B248,Config!$B$9:$B$29,0))&amp;"",""))</f>
        <v/>
      </c>
    </row>
    <row r="249">
      <c r="R249" s="20" t="str">
        <f>IF($B249="","",IFERROR(IF(INDEX(Config!$D$9:$D$29,MATCH($B249,Config!$B$9:$B$29,0))="Contrato",IF(INDEX(Config!$E$9:$E$29,MATCH($B249,Config!$B$9:$B$29,0))="","",INDEX(Config!$E$9:$E$29,MATCH($B249,Config!$B$9:$B$29,0))),""),""))</f>
        <v/>
      </c>
      <c r="AC249" s="19" t="str">
        <f>IF($B249="","",IFERROR(INDEX(Config!$D$9:$D$29,MATCH($B249,Config!$B$9:$B$29,0))&amp;"",""))</f>
        <v/>
      </c>
    </row>
    <row r="250">
      <c r="R250" s="20" t="str">
        <f>IF($B250="","",IFERROR(IF(INDEX(Config!$D$9:$D$29,MATCH($B250,Config!$B$9:$B$29,0))="Contrato",IF(INDEX(Config!$E$9:$E$29,MATCH($B250,Config!$B$9:$B$29,0))="","",INDEX(Config!$E$9:$E$29,MATCH($B250,Config!$B$9:$B$29,0))),""),""))</f>
        <v/>
      </c>
      <c r="AC250" s="19" t="str">
        <f>IF($B250="","",IFERROR(INDEX(Config!$D$9:$D$29,MATCH($B250,Config!$B$9:$B$29,0))&amp;"",""))</f>
        <v/>
      </c>
    </row>
    <row r="251">
      <c r="R251" s="20" t="str">
        <f>IF($B251="","",IFERROR(IF(INDEX(Config!$D$9:$D$29,MATCH($B251,Config!$B$9:$B$29,0))="Contrato",IF(INDEX(Config!$E$9:$E$29,MATCH($B251,Config!$B$9:$B$29,0))="","",INDEX(Config!$E$9:$E$29,MATCH($B251,Config!$B$9:$B$29,0))),""),""))</f>
        <v/>
      </c>
      <c r="AC251" s="19" t="str">
        <f>IF($B251="","",IFERROR(INDEX(Config!$D$9:$D$29,MATCH($B251,Config!$B$9:$B$29,0))&amp;"",""))</f>
        <v/>
      </c>
    </row>
    <row r="252">
      <c r="R252" s="20" t="str">
        <f>IF($B252="","",IFERROR(IF(INDEX(Config!$D$9:$D$29,MATCH($B252,Config!$B$9:$B$29,0))="Contrato",IF(INDEX(Config!$E$9:$E$29,MATCH($B252,Config!$B$9:$B$29,0))="","",INDEX(Config!$E$9:$E$29,MATCH($B252,Config!$B$9:$B$29,0))),""),""))</f>
        <v/>
      </c>
      <c r="AC252" s="19" t="str">
        <f>IF($B252="","",IFERROR(INDEX(Config!$D$9:$D$29,MATCH($B252,Config!$B$9:$B$29,0))&amp;"",""))</f>
        <v/>
      </c>
    </row>
    <row r="253">
      <c r="R253" s="20" t="str">
        <f>IF($B253="","",IFERROR(IF(INDEX(Config!$D$9:$D$29,MATCH($B253,Config!$B$9:$B$29,0))="Contrato",IF(INDEX(Config!$E$9:$E$29,MATCH($B253,Config!$B$9:$B$29,0))="","",INDEX(Config!$E$9:$E$29,MATCH($B253,Config!$B$9:$B$29,0))),""),""))</f>
        <v/>
      </c>
      <c r="AC253" s="19" t="str">
        <f>IF($B253="","",IFERROR(INDEX(Config!$D$9:$D$29,MATCH($B253,Config!$B$9:$B$29,0))&amp;"",""))</f>
        <v/>
      </c>
    </row>
    <row r="254">
      <c r="R254" s="20" t="str">
        <f>IF($B254="","",IFERROR(IF(INDEX(Config!$D$9:$D$29,MATCH($B254,Config!$B$9:$B$29,0))="Contrato",IF(INDEX(Config!$E$9:$E$29,MATCH($B254,Config!$B$9:$B$29,0))="","",INDEX(Config!$E$9:$E$29,MATCH($B254,Config!$B$9:$B$29,0))),""),""))</f>
        <v/>
      </c>
      <c r="AC254" s="19" t="str">
        <f>IF($B254="","",IFERROR(INDEX(Config!$D$9:$D$29,MATCH($B254,Config!$B$9:$B$29,0))&amp;"",""))</f>
        <v/>
      </c>
    </row>
    <row r="255">
      <c r="R255" s="20" t="str">
        <f>IF($B255="","",IFERROR(IF(INDEX(Config!$D$9:$D$29,MATCH($B255,Config!$B$9:$B$29,0))="Contrato",IF(INDEX(Config!$E$9:$E$29,MATCH($B255,Config!$B$9:$B$29,0))="","",INDEX(Config!$E$9:$E$29,MATCH($B255,Config!$B$9:$B$29,0))),""),""))</f>
        <v/>
      </c>
      <c r="AC255" s="19" t="str">
        <f>IF($B255="","",IFERROR(INDEX(Config!$D$9:$D$29,MATCH($B255,Config!$B$9:$B$29,0))&amp;"",""))</f>
        <v/>
      </c>
    </row>
    <row r="256">
      <c r="R256" s="20" t="str">
        <f>IF($B256="","",IFERROR(IF(INDEX(Config!$D$9:$D$29,MATCH($B256,Config!$B$9:$B$29,0))="Contrato",IF(INDEX(Config!$E$9:$E$29,MATCH($B256,Config!$B$9:$B$29,0))="","",INDEX(Config!$E$9:$E$29,MATCH($B256,Config!$B$9:$B$29,0))),""),""))</f>
        <v/>
      </c>
      <c r="AC256" s="19" t="str">
        <f>IF($B256="","",IFERROR(INDEX(Config!$D$9:$D$29,MATCH($B256,Config!$B$9:$B$29,0))&amp;"",""))</f>
        <v/>
      </c>
    </row>
    <row r="257">
      <c r="R257" s="20" t="str">
        <f>IF($B257="","",IFERROR(IF(INDEX(Config!$D$9:$D$29,MATCH($B257,Config!$B$9:$B$29,0))="Contrato",IF(INDEX(Config!$E$9:$E$29,MATCH($B257,Config!$B$9:$B$29,0))="","",INDEX(Config!$E$9:$E$29,MATCH($B257,Config!$B$9:$B$29,0))),""),""))</f>
        <v/>
      </c>
      <c r="AC257" s="19" t="str">
        <f>IF($B257="","",IFERROR(INDEX(Config!$D$9:$D$29,MATCH($B257,Config!$B$9:$B$29,0))&amp;"",""))</f>
        <v/>
      </c>
    </row>
    <row r="258">
      <c r="R258" s="20" t="str">
        <f>IF($B258="","",IFERROR(IF(INDEX(Config!$D$9:$D$29,MATCH($B258,Config!$B$9:$B$29,0))="Contrato",IF(INDEX(Config!$E$9:$E$29,MATCH($B258,Config!$B$9:$B$29,0))="","",INDEX(Config!$E$9:$E$29,MATCH($B258,Config!$B$9:$B$29,0))),""),""))</f>
        <v/>
      </c>
      <c r="AC258" s="19" t="str">
        <f>IF($B258="","",IFERROR(INDEX(Config!$D$9:$D$29,MATCH($B258,Config!$B$9:$B$29,0))&amp;"",""))</f>
        <v/>
      </c>
    </row>
    <row r="259">
      <c r="R259" s="20" t="str">
        <f>IF($B259="","",IFERROR(IF(INDEX(Config!$D$9:$D$29,MATCH($B259,Config!$B$9:$B$29,0))="Contrato",IF(INDEX(Config!$E$9:$E$29,MATCH($B259,Config!$B$9:$B$29,0))="","",INDEX(Config!$E$9:$E$29,MATCH($B259,Config!$B$9:$B$29,0))),""),""))</f>
        <v/>
      </c>
      <c r="AC259" s="19" t="str">
        <f>IF($B259="","",IFERROR(INDEX(Config!$D$9:$D$29,MATCH($B259,Config!$B$9:$B$29,0))&amp;"",""))</f>
        <v/>
      </c>
    </row>
    <row r="260">
      <c r="R260" s="20" t="str">
        <f>IF($B260="","",IFERROR(IF(INDEX(Config!$D$9:$D$29,MATCH($B260,Config!$B$9:$B$29,0))="Contrato",IF(INDEX(Config!$E$9:$E$29,MATCH($B260,Config!$B$9:$B$29,0))="","",INDEX(Config!$E$9:$E$29,MATCH($B260,Config!$B$9:$B$29,0))),""),""))</f>
        <v/>
      </c>
      <c r="AC260" s="19" t="str">
        <f>IF($B260="","",IFERROR(INDEX(Config!$D$9:$D$29,MATCH($B260,Config!$B$9:$B$29,0))&amp;"",""))</f>
        <v/>
      </c>
    </row>
    <row r="261">
      <c r="R261" s="20" t="str">
        <f>IF($B261="","",IFERROR(IF(INDEX(Config!$D$9:$D$29,MATCH($B261,Config!$B$9:$B$29,0))="Contrato",IF(INDEX(Config!$E$9:$E$29,MATCH($B261,Config!$B$9:$B$29,0))="","",INDEX(Config!$E$9:$E$29,MATCH($B261,Config!$B$9:$B$29,0))),""),""))</f>
        <v/>
      </c>
      <c r="AC261" s="19" t="str">
        <f>IF($B261="","",IFERROR(INDEX(Config!$D$9:$D$29,MATCH($B261,Config!$B$9:$B$29,0))&amp;"",""))</f>
        <v/>
      </c>
    </row>
    <row r="262">
      <c r="R262" s="20" t="str">
        <f>IF($B262="","",IFERROR(IF(INDEX(Config!$D$9:$D$29,MATCH($B262,Config!$B$9:$B$29,0))="Contrato",IF(INDEX(Config!$E$9:$E$29,MATCH($B262,Config!$B$9:$B$29,0))="","",INDEX(Config!$E$9:$E$29,MATCH($B262,Config!$B$9:$B$29,0))),""),""))</f>
        <v/>
      </c>
      <c r="AC262" s="19" t="str">
        <f>IF($B262="","",IFERROR(INDEX(Config!$D$9:$D$29,MATCH($B262,Config!$B$9:$B$29,0))&amp;"",""))</f>
        <v/>
      </c>
    </row>
    <row r="263">
      <c r="R263" s="20" t="str">
        <f>IF($B263="","",IFERROR(IF(INDEX(Config!$D$9:$D$29,MATCH($B263,Config!$B$9:$B$29,0))="Contrato",IF(INDEX(Config!$E$9:$E$29,MATCH($B263,Config!$B$9:$B$29,0))="","",INDEX(Config!$E$9:$E$29,MATCH($B263,Config!$B$9:$B$29,0))),""),""))</f>
        <v/>
      </c>
      <c r="AC263" s="19" t="str">
        <f>IF($B263="","",IFERROR(INDEX(Config!$D$9:$D$29,MATCH($B263,Config!$B$9:$B$29,0))&amp;"",""))</f>
        <v/>
      </c>
    </row>
    <row r="264">
      <c r="R264" s="20" t="str">
        <f>IF($B264="","",IFERROR(IF(INDEX(Config!$D$9:$D$29,MATCH($B264,Config!$B$9:$B$29,0))="Contrato",IF(INDEX(Config!$E$9:$E$29,MATCH($B264,Config!$B$9:$B$29,0))="","",INDEX(Config!$E$9:$E$29,MATCH($B264,Config!$B$9:$B$29,0))),""),""))</f>
        <v/>
      </c>
      <c r="AC264" s="19" t="str">
        <f>IF($B264="","",IFERROR(INDEX(Config!$D$9:$D$29,MATCH($B264,Config!$B$9:$B$29,0))&amp;"",""))</f>
        <v/>
      </c>
    </row>
    <row r="265">
      <c r="R265" s="20" t="str">
        <f>IF($B265="","",IFERROR(IF(INDEX(Config!$D$9:$D$29,MATCH($B265,Config!$B$9:$B$29,0))="Contrato",IF(INDEX(Config!$E$9:$E$29,MATCH($B265,Config!$B$9:$B$29,0))="","",INDEX(Config!$E$9:$E$29,MATCH($B265,Config!$B$9:$B$29,0))),""),""))</f>
        <v/>
      </c>
      <c r="AC265" s="19" t="str">
        <f>IF($B265="","",IFERROR(INDEX(Config!$D$9:$D$29,MATCH($B265,Config!$B$9:$B$29,0))&amp;"",""))</f>
        <v/>
      </c>
    </row>
    <row r="266">
      <c r="R266" s="20" t="str">
        <f>IF($B266="","",IFERROR(IF(INDEX(Config!$D$9:$D$29,MATCH($B266,Config!$B$9:$B$29,0))="Contrato",IF(INDEX(Config!$E$9:$E$29,MATCH($B266,Config!$B$9:$B$29,0))="","",INDEX(Config!$E$9:$E$29,MATCH($B266,Config!$B$9:$B$29,0))),""),""))</f>
        <v/>
      </c>
      <c r="AC266" s="19" t="str">
        <f>IF($B266="","",IFERROR(INDEX(Config!$D$9:$D$29,MATCH($B266,Config!$B$9:$B$29,0))&amp;"",""))</f>
        <v/>
      </c>
    </row>
    <row r="267">
      <c r="R267" s="20" t="str">
        <f>IF($B267="","",IFERROR(IF(INDEX(Config!$D$9:$D$29,MATCH($B267,Config!$B$9:$B$29,0))="Contrato",IF(INDEX(Config!$E$9:$E$29,MATCH($B267,Config!$B$9:$B$29,0))="","",INDEX(Config!$E$9:$E$29,MATCH($B267,Config!$B$9:$B$29,0))),""),""))</f>
        <v/>
      </c>
      <c r="AC267" s="19" t="str">
        <f>IF($B267="","",IFERROR(INDEX(Config!$D$9:$D$29,MATCH($B267,Config!$B$9:$B$29,0))&amp;"",""))</f>
        <v/>
      </c>
    </row>
    <row r="268">
      <c r="R268" s="20" t="str">
        <f>IF($B268="","",IFERROR(IF(INDEX(Config!$D$9:$D$29,MATCH($B268,Config!$B$9:$B$29,0))="Contrato",IF(INDEX(Config!$E$9:$E$29,MATCH($B268,Config!$B$9:$B$29,0))="","",INDEX(Config!$E$9:$E$29,MATCH($B268,Config!$B$9:$B$29,0))),""),""))</f>
        <v/>
      </c>
      <c r="AC268" s="19" t="str">
        <f>IF($B268="","",IFERROR(INDEX(Config!$D$9:$D$29,MATCH($B268,Config!$B$9:$B$29,0))&amp;"",""))</f>
        <v/>
      </c>
    </row>
    <row r="269">
      <c r="R269" s="20" t="str">
        <f>IF($B269="","",IFERROR(IF(INDEX(Config!$D$9:$D$29,MATCH($B269,Config!$B$9:$B$29,0))="Contrato",IF(INDEX(Config!$E$9:$E$29,MATCH($B269,Config!$B$9:$B$29,0))="","",INDEX(Config!$E$9:$E$29,MATCH($B269,Config!$B$9:$B$29,0))),""),""))</f>
        <v/>
      </c>
      <c r="AC269" s="19" t="str">
        <f>IF($B269="","",IFERROR(INDEX(Config!$D$9:$D$29,MATCH($B269,Config!$B$9:$B$29,0))&amp;"",""))</f>
        <v/>
      </c>
    </row>
    <row r="270">
      <c r="R270" s="20" t="str">
        <f>IF($B270="","",IFERROR(IF(INDEX(Config!$D$9:$D$29,MATCH($B270,Config!$B$9:$B$29,0))="Contrato",IF(INDEX(Config!$E$9:$E$29,MATCH($B270,Config!$B$9:$B$29,0))="","",INDEX(Config!$E$9:$E$29,MATCH($B270,Config!$B$9:$B$29,0))),""),""))</f>
        <v/>
      </c>
      <c r="AC270" s="19" t="str">
        <f>IF($B270="","",IFERROR(INDEX(Config!$D$9:$D$29,MATCH($B270,Config!$B$9:$B$29,0))&amp;"",""))</f>
        <v/>
      </c>
    </row>
    <row r="271">
      <c r="R271" s="20" t="str">
        <f>IF($B271="","",IFERROR(IF(INDEX(Config!$D$9:$D$29,MATCH($B271,Config!$B$9:$B$29,0))="Contrato",IF(INDEX(Config!$E$9:$E$29,MATCH($B271,Config!$B$9:$B$29,0))="","",INDEX(Config!$E$9:$E$29,MATCH($B271,Config!$B$9:$B$29,0))),""),""))</f>
        <v/>
      </c>
      <c r="AC271" s="19" t="str">
        <f>IF($B271="","",IFERROR(INDEX(Config!$D$9:$D$29,MATCH($B271,Config!$B$9:$B$29,0))&amp;"",""))</f>
        <v/>
      </c>
    </row>
    <row r="272">
      <c r="R272" s="20" t="str">
        <f>IF($B272="","",IFERROR(IF(INDEX(Config!$D$9:$D$29,MATCH($B272,Config!$B$9:$B$29,0))="Contrato",IF(INDEX(Config!$E$9:$E$29,MATCH($B272,Config!$B$9:$B$29,0))="","",INDEX(Config!$E$9:$E$29,MATCH($B272,Config!$B$9:$B$29,0))),""),""))</f>
        <v/>
      </c>
      <c r="AC272" s="19" t="str">
        <f>IF($B272="","",IFERROR(INDEX(Config!$D$9:$D$29,MATCH($B272,Config!$B$9:$B$29,0))&amp;"",""))</f>
        <v/>
      </c>
    </row>
    <row r="273">
      <c r="R273" s="20" t="str">
        <f>IF($B273="","",IFERROR(IF(INDEX(Config!$D$9:$D$29,MATCH($B273,Config!$B$9:$B$29,0))="Contrato",IF(INDEX(Config!$E$9:$E$29,MATCH($B273,Config!$B$9:$B$29,0))="","",INDEX(Config!$E$9:$E$29,MATCH($B273,Config!$B$9:$B$29,0))),""),""))</f>
        <v/>
      </c>
      <c r="AC273" s="19" t="str">
        <f>IF($B273="","",IFERROR(INDEX(Config!$D$9:$D$29,MATCH($B273,Config!$B$9:$B$29,0))&amp;"",""))</f>
        <v/>
      </c>
    </row>
    <row r="274">
      <c r="R274" s="20" t="str">
        <f>IF($B274="","",IFERROR(IF(INDEX(Config!$D$9:$D$29,MATCH($B274,Config!$B$9:$B$29,0))="Contrato",IF(INDEX(Config!$E$9:$E$29,MATCH($B274,Config!$B$9:$B$29,0))="","",INDEX(Config!$E$9:$E$29,MATCH($B274,Config!$B$9:$B$29,0))),""),""))</f>
        <v/>
      </c>
      <c r="AC274" s="19" t="str">
        <f>IF($B274="","",IFERROR(INDEX(Config!$D$9:$D$29,MATCH($B274,Config!$B$9:$B$29,0))&amp;"",""))</f>
        <v/>
      </c>
    </row>
    <row r="275">
      <c r="R275" s="20" t="str">
        <f>IF($B275="","",IFERROR(IF(INDEX(Config!$D$9:$D$29,MATCH($B275,Config!$B$9:$B$29,0))="Contrato",IF(INDEX(Config!$E$9:$E$29,MATCH($B275,Config!$B$9:$B$29,0))="","",INDEX(Config!$E$9:$E$29,MATCH($B275,Config!$B$9:$B$29,0))),""),""))</f>
        <v/>
      </c>
      <c r="AC275" s="19" t="str">
        <f>IF($B275="","",IFERROR(INDEX(Config!$D$9:$D$29,MATCH($B275,Config!$B$9:$B$29,0))&amp;"",""))</f>
        <v/>
      </c>
    </row>
    <row r="276">
      <c r="R276" s="20" t="str">
        <f>IF($B276="","",IFERROR(IF(INDEX(Config!$D$9:$D$29,MATCH($B276,Config!$B$9:$B$29,0))="Contrato",IF(INDEX(Config!$E$9:$E$29,MATCH($B276,Config!$B$9:$B$29,0))="","",INDEX(Config!$E$9:$E$29,MATCH($B276,Config!$B$9:$B$29,0))),""),""))</f>
        <v/>
      </c>
      <c r="AC276" s="19" t="str">
        <f>IF($B276="","",IFERROR(INDEX(Config!$D$9:$D$29,MATCH($B276,Config!$B$9:$B$29,0))&amp;"",""))</f>
        <v/>
      </c>
    </row>
    <row r="277">
      <c r="R277" s="20" t="str">
        <f>IF($B277="","",IFERROR(IF(INDEX(Config!$D$9:$D$29,MATCH($B277,Config!$B$9:$B$29,0))="Contrato",IF(INDEX(Config!$E$9:$E$29,MATCH($B277,Config!$B$9:$B$29,0))="","",INDEX(Config!$E$9:$E$29,MATCH($B277,Config!$B$9:$B$29,0))),""),""))</f>
        <v/>
      </c>
      <c r="AC277" s="19" t="str">
        <f>IF($B277="","",IFERROR(INDEX(Config!$D$9:$D$29,MATCH($B277,Config!$B$9:$B$29,0))&amp;"",""))</f>
        <v/>
      </c>
    </row>
    <row r="278">
      <c r="R278" s="20" t="str">
        <f>IF($B278="","",IFERROR(IF(INDEX(Config!$D$9:$D$29,MATCH($B278,Config!$B$9:$B$29,0))="Contrato",IF(INDEX(Config!$E$9:$E$29,MATCH($B278,Config!$B$9:$B$29,0))="","",INDEX(Config!$E$9:$E$29,MATCH($B278,Config!$B$9:$B$29,0))),""),""))</f>
        <v/>
      </c>
      <c r="AC278" s="19" t="str">
        <f>IF($B278="","",IFERROR(INDEX(Config!$D$9:$D$29,MATCH($B278,Config!$B$9:$B$29,0))&amp;"",""))</f>
        <v/>
      </c>
    </row>
    <row r="279">
      <c r="R279" s="20" t="str">
        <f>IF($B279="","",IFERROR(IF(INDEX(Config!$D$9:$D$29,MATCH($B279,Config!$B$9:$B$29,0))="Contrato",IF(INDEX(Config!$E$9:$E$29,MATCH($B279,Config!$B$9:$B$29,0))="","",INDEX(Config!$E$9:$E$29,MATCH($B279,Config!$B$9:$B$29,0))),""),""))</f>
        <v/>
      </c>
      <c r="AC279" s="19" t="str">
        <f>IF($B279="","",IFERROR(INDEX(Config!$D$9:$D$29,MATCH($B279,Config!$B$9:$B$29,0))&amp;"",""))</f>
        <v/>
      </c>
    </row>
    <row r="280">
      <c r="R280" s="20" t="str">
        <f>IF($B280="","",IFERROR(IF(INDEX(Config!$D$9:$D$29,MATCH($B280,Config!$B$9:$B$29,0))="Contrato",IF(INDEX(Config!$E$9:$E$29,MATCH($B280,Config!$B$9:$B$29,0))="","",INDEX(Config!$E$9:$E$29,MATCH($B280,Config!$B$9:$B$29,0))),""),""))</f>
        <v/>
      </c>
      <c r="AC280" s="19" t="str">
        <f>IF($B280="","",IFERROR(INDEX(Config!$D$9:$D$29,MATCH($B280,Config!$B$9:$B$29,0))&amp;"",""))</f>
        <v/>
      </c>
    </row>
    <row r="281">
      <c r="R281" s="20" t="str">
        <f>IF($B281="","",IFERROR(IF(INDEX(Config!$D$9:$D$29,MATCH($B281,Config!$B$9:$B$29,0))="Contrato",IF(INDEX(Config!$E$9:$E$29,MATCH($B281,Config!$B$9:$B$29,0))="","",INDEX(Config!$E$9:$E$29,MATCH($B281,Config!$B$9:$B$29,0))),""),""))</f>
        <v/>
      </c>
      <c r="AC281" s="19" t="str">
        <f>IF($B281="","",IFERROR(INDEX(Config!$D$9:$D$29,MATCH($B281,Config!$B$9:$B$29,0))&amp;"",""))</f>
        <v/>
      </c>
    </row>
    <row r="282">
      <c r="R282" s="20" t="str">
        <f>IF($B282="","",IFERROR(IF(INDEX(Config!$D$9:$D$29,MATCH($B282,Config!$B$9:$B$29,0))="Contrato",IF(INDEX(Config!$E$9:$E$29,MATCH($B282,Config!$B$9:$B$29,0))="","",INDEX(Config!$E$9:$E$29,MATCH($B282,Config!$B$9:$B$29,0))),""),""))</f>
        <v/>
      </c>
      <c r="AC282" s="19" t="str">
        <f>IF($B282="","",IFERROR(INDEX(Config!$D$9:$D$29,MATCH($B282,Config!$B$9:$B$29,0))&amp;"",""))</f>
        <v/>
      </c>
    </row>
    <row r="283">
      <c r="R283" s="20" t="str">
        <f>IF($B283="","",IFERROR(IF(INDEX(Config!$D$9:$D$29,MATCH($B283,Config!$B$9:$B$29,0))="Contrato",IF(INDEX(Config!$E$9:$E$29,MATCH($B283,Config!$B$9:$B$29,0))="","",INDEX(Config!$E$9:$E$29,MATCH($B283,Config!$B$9:$B$29,0))),""),""))</f>
        <v/>
      </c>
      <c r="AC283" s="19" t="str">
        <f>IF($B283="","",IFERROR(INDEX(Config!$D$9:$D$29,MATCH($B283,Config!$B$9:$B$29,0))&amp;"",""))</f>
        <v/>
      </c>
    </row>
    <row r="284">
      <c r="R284" s="20" t="str">
        <f>IF($B284="","",IFERROR(IF(INDEX(Config!$D$9:$D$29,MATCH($B284,Config!$B$9:$B$29,0))="Contrato",IF(INDEX(Config!$E$9:$E$29,MATCH($B284,Config!$B$9:$B$29,0))="","",INDEX(Config!$E$9:$E$29,MATCH($B284,Config!$B$9:$B$29,0))),""),""))</f>
        <v/>
      </c>
      <c r="AC284" s="19" t="str">
        <f>IF($B284="","",IFERROR(INDEX(Config!$D$9:$D$29,MATCH($B284,Config!$B$9:$B$29,0))&amp;"",""))</f>
        <v/>
      </c>
    </row>
    <row r="285">
      <c r="R285" s="20" t="str">
        <f>IF($B285="","",IFERROR(IF(INDEX(Config!$D$9:$D$29,MATCH($B285,Config!$B$9:$B$29,0))="Contrato",IF(INDEX(Config!$E$9:$E$29,MATCH($B285,Config!$B$9:$B$29,0))="","",INDEX(Config!$E$9:$E$29,MATCH($B285,Config!$B$9:$B$29,0))),""),""))</f>
        <v/>
      </c>
      <c r="AC285" s="19" t="str">
        <f>IF($B285="","",IFERROR(INDEX(Config!$D$9:$D$29,MATCH($B285,Config!$B$9:$B$29,0))&amp;"",""))</f>
        <v/>
      </c>
    </row>
    <row r="286">
      <c r="R286" s="20" t="str">
        <f>IF($B286="","",IFERROR(IF(INDEX(Config!$D$9:$D$29,MATCH($B286,Config!$B$9:$B$29,0))="Contrato",IF(INDEX(Config!$E$9:$E$29,MATCH($B286,Config!$B$9:$B$29,0))="","",INDEX(Config!$E$9:$E$29,MATCH($B286,Config!$B$9:$B$29,0))),""),""))</f>
        <v/>
      </c>
      <c r="AC286" s="19" t="str">
        <f>IF($B286="","",IFERROR(INDEX(Config!$D$9:$D$29,MATCH($B286,Config!$B$9:$B$29,0))&amp;"",""))</f>
        <v/>
      </c>
    </row>
    <row r="287">
      <c r="R287" s="20" t="str">
        <f>IF($B287="","",IFERROR(IF(INDEX(Config!$D$9:$D$29,MATCH($B287,Config!$B$9:$B$29,0))="Contrato",IF(INDEX(Config!$E$9:$E$29,MATCH($B287,Config!$B$9:$B$29,0))="","",INDEX(Config!$E$9:$E$29,MATCH($B287,Config!$B$9:$B$29,0))),""),""))</f>
        <v/>
      </c>
      <c r="AC287" s="19" t="str">
        <f>IF($B287="","",IFERROR(INDEX(Config!$D$9:$D$29,MATCH($B287,Config!$B$9:$B$29,0))&amp;"",""))</f>
        <v/>
      </c>
    </row>
    <row r="288">
      <c r="R288" s="20" t="str">
        <f>IF($B288="","",IFERROR(IF(INDEX(Config!$D$9:$D$29,MATCH($B288,Config!$B$9:$B$29,0))="Contrato",IF(INDEX(Config!$E$9:$E$29,MATCH($B288,Config!$B$9:$B$29,0))="","",INDEX(Config!$E$9:$E$29,MATCH($B288,Config!$B$9:$B$29,0))),""),""))</f>
        <v/>
      </c>
      <c r="AC288" s="19" t="str">
        <f>IF($B288="","",IFERROR(INDEX(Config!$D$9:$D$29,MATCH($B288,Config!$B$9:$B$29,0))&amp;"",""))</f>
        <v/>
      </c>
    </row>
    <row r="289">
      <c r="R289" s="20" t="str">
        <f>IF($B289="","",IFERROR(IF(INDEX(Config!$D$9:$D$29,MATCH($B289,Config!$B$9:$B$29,0))="Contrato",IF(INDEX(Config!$E$9:$E$29,MATCH($B289,Config!$B$9:$B$29,0))="","",INDEX(Config!$E$9:$E$29,MATCH($B289,Config!$B$9:$B$29,0))),""),""))</f>
        <v/>
      </c>
      <c r="AC289" s="19" t="str">
        <f>IF($B289="","",IFERROR(INDEX(Config!$D$9:$D$29,MATCH($B289,Config!$B$9:$B$29,0))&amp;"",""))</f>
        <v/>
      </c>
    </row>
    <row r="290">
      <c r="R290" s="20" t="str">
        <f>IF($B290="","",IFERROR(IF(INDEX(Config!$D$9:$D$29,MATCH($B290,Config!$B$9:$B$29,0))="Contrato",IF(INDEX(Config!$E$9:$E$29,MATCH($B290,Config!$B$9:$B$29,0))="","",INDEX(Config!$E$9:$E$29,MATCH($B290,Config!$B$9:$B$29,0))),""),""))</f>
        <v/>
      </c>
      <c r="AC290" s="19" t="str">
        <f>IF($B290="","",IFERROR(INDEX(Config!$D$9:$D$29,MATCH($B290,Config!$B$9:$B$29,0))&amp;"",""))</f>
        <v/>
      </c>
    </row>
    <row r="291">
      <c r="R291" s="20" t="str">
        <f>IF($B291="","",IFERROR(IF(INDEX(Config!$D$9:$D$29,MATCH($B291,Config!$B$9:$B$29,0))="Contrato",IF(INDEX(Config!$E$9:$E$29,MATCH($B291,Config!$B$9:$B$29,0))="","",INDEX(Config!$E$9:$E$29,MATCH($B291,Config!$B$9:$B$29,0))),""),""))</f>
        <v/>
      </c>
      <c r="AC291" s="19" t="str">
        <f>IF($B291="","",IFERROR(INDEX(Config!$D$9:$D$29,MATCH($B291,Config!$B$9:$B$29,0))&amp;"",""))</f>
        <v/>
      </c>
    </row>
    <row r="292">
      <c r="R292" s="20" t="str">
        <f>IF($B292="","",IFERROR(IF(INDEX(Config!$D$9:$D$29,MATCH($B292,Config!$B$9:$B$29,0))="Contrato",IF(INDEX(Config!$E$9:$E$29,MATCH($B292,Config!$B$9:$B$29,0))="","",INDEX(Config!$E$9:$E$29,MATCH($B292,Config!$B$9:$B$29,0))),""),""))</f>
        <v/>
      </c>
      <c r="AC292" s="19" t="str">
        <f>IF($B292="","",IFERROR(INDEX(Config!$D$9:$D$29,MATCH($B292,Config!$B$9:$B$29,0))&amp;"",""))</f>
        <v/>
      </c>
    </row>
    <row r="293">
      <c r="R293" s="20" t="str">
        <f>IF($B293="","",IFERROR(IF(INDEX(Config!$D$9:$D$29,MATCH($B293,Config!$B$9:$B$29,0))="Contrato",IF(INDEX(Config!$E$9:$E$29,MATCH($B293,Config!$B$9:$B$29,0))="","",INDEX(Config!$E$9:$E$29,MATCH($B293,Config!$B$9:$B$29,0))),""),""))</f>
        <v/>
      </c>
      <c r="AC293" s="19" t="str">
        <f>IF($B293="","",IFERROR(INDEX(Config!$D$9:$D$29,MATCH($B293,Config!$B$9:$B$29,0))&amp;"",""))</f>
        <v/>
      </c>
    </row>
    <row r="294">
      <c r="R294" s="20" t="str">
        <f>IF($B294="","",IFERROR(IF(INDEX(Config!$D$9:$D$29,MATCH($B294,Config!$B$9:$B$29,0))="Contrato",IF(INDEX(Config!$E$9:$E$29,MATCH($B294,Config!$B$9:$B$29,0))="","",INDEX(Config!$E$9:$E$29,MATCH($B294,Config!$B$9:$B$29,0))),""),""))</f>
        <v/>
      </c>
      <c r="AC294" s="19" t="str">
        <f>IF($B294="","",IFERROR(INDEX(Config!$D$9:$D$29,MATCH($B294,Config!$B$9:$B$29,0))&amp;"",""))</f>
        <v/>
      </c>
    </row>
    <row r="295">
      <c r="R295" s="20" t="str">
        <f>IF($B295="","",IFERROR(IF(INDEX(Config!$D$9:$D$29,MATCH($B295,Config!$B$9:$B$29,0))="Contrato",IF(INDEX(Config!$E$9:$E$29,MATCH($B295,Config!$B$9:$B$29,0))="","",INDEX(Config!$E$9:$E$29,MATCH($B295,Config!$B$9:$B$29,0))),""),""))</f>
        <v/>
      </c>
      <c r="AC295" s="19" t="str">
        <f>IF($B295="","",IFERROR(INDEX(Config!$D$9:$D$29,MATCH($B295,Config!$B$9:$B$29,0))&amp;"",""))</f>
        <v/>
      </c>
    </row>
    <row r="296">
      <c r="R296" s="20" t="str">
        <f>IF($B296="","",IFERROR(IF(INDEX(Config!$D$9:$D$29,MATCH($B296,Config!$B$9:$B$29,0))="Contrato",IF(INDEX(Config!$E$9:$E$29,MATCH($B296,Config!$B$9:$B$29,0))="","",INDEX(Config!$E$9:$E$29,MATCH($B296,Config!$B$9:$B$29,0))),""),""))</f>
        <v/>
      </c>
      <c r="AC296" s="19" t="str">
        <f>IF($B296="","",IFERROR(INDEX(Config!$D$9:$D$29,MATCH($B296,Config!$B$9:$B$29,0))&amp;"",""))</f>
        <v/>
      </c>
    </row>
    <row r="297">
      <c r="R297" s="20" t="str">
        <f>IF($B297="","",IFERROR(IF(INDEX(Config!$D$9:$D$29,MATCH($B297,Config!$B$9:$B$29,0))="Contrato",IF(INDEX(Config!$E$9:$E$29,MATCH($B297,Config!$B$9:$B$29,0))="","",INDEX(Config!$E$9:$E$29,MATCH($B297,Config!$B$9:$B$29,0))),""),""))</f>
        <v/>
      </c>
      <c r="AC297" s="19" t="str">
        <f>IF($B297="","",IFERROR(INDEX(Config!$D$9:$D$29,MATCH($B297,Config!$B$9:$B$29,0))&amp;"",""))</f>
        <v/>
      </c>
    </row>
    <row r="298">
      <c r="R298" s="20" t="str">
        <f>IF($B298="","",IFERROR(IF(INDEX(Config!$D$9:$D$29,MATCH($B298,Config!$B$9:$B$29,0))="Contrato",IF(INDEX(Config!$E$9:$E$29,MATCH($B298,Config!$B$9:$B$29,0))="","",INDEX(Config!$E$9:$E$29,MATCH($B298,Config!$B$9:$B$29,0))),""),""))</f>
        <v/>
      </c>
      <c r="AC298" s="19" t="str">
        <f>IF($B298="","",IFERROR(INDEX(Config!$D$9:$D$29,MATCH($B298,Config!$B$9:$B$29,0))&amp;"",""))</f>
        <v/>
      </c>
    </row>
    <row r="299">
      <c r="R299" s="20" t="str">
        <f>IF($B299="","",IFERROR(IF(INDEX(Config!$D$9:$D$29,MATCH($B299,Config!$B$9:$B$29,0))="Contrato",IF(INDEX(Config!$E$9:$E$29,MATCH($B299,Config!$B$9:$B$29,0))="","",INDEX(Config!$E$9:$E$29,MATCH($B299,Config!$B$9:$B$29,0))),""),""))</f>
        <v/>
      </c>
      <c r="AC299" s="19" t="str">
        <f>IF($B299="","",IFERROR(INDEX(Config!$D$9:$D$29,MATCH($B299,Config!$B$9:$B$29,0))&amp;"",""))</f>
        <v/>
      </c>
    </row>
    <row r="300">
      <c r="R300" s="20" t="str">
        <f>IF($B300="","",IFERROR(IF(INDEX(Config!$D$9:$D$29,MATCH($B300,Config!$B$9:$B$29,0))="Contrato",IF(INDEX(Config!$E$9:$E$29,MATCH($B300,Config!$B$9:$B$29,0))="","",INDEX(Config!$E$9:$E$29,MATCH($B300,Config!$B$9:$B$29,0))),""),""))</f>
        <v/>
      </c>
      <c r="AC300" s="19" t="str">
        <f>IF($B300="","",IFERROR(INDEX(Config!$D$9:$D$29,MATCH($B300,Config!$B$9:$B$29,0))&amp;"",""))</f>
        <v/>
      </c>
    </row>
    <row r="301">
      <c r="R301" s="20" t="str">
        <f>IF($B301="","",IFERROR(IF(INDEX(Config!$D$9:$D$29,MATCH($B301,Config!$B$9:$B$29,0))="Contrato",IF(INDEX(Config!$E$9:$E$29,MATCH($B301,Config!$B$9:$B$29,0))="","",INDEX(Config!$E$9:$E$29,MATCH($B301,Config!$B$9:$B$29,0))),""),""))</f>
        <v/>
      </c>
      <c r="AC301" s="19" t="str">
        <f>IF($B301="","",IFERROR(INDEX(Config!$D$9:$D$29,MATCH($B301,Config!$B$9:$B$29,0))&amp;"",""))</f>
        <v/>
      </c>
    </row>
    <row r="302">
      <c r="R302" s="20" t="str">
        <f>IF($B302="","",IFERROR(IF(INDEX(Config!$D$9:$D$29,MATCH($B302,Config!$B$9:$B$29,0))="Contrato",IF(INDEX(Config!$E$9:$E$29,MATCH($B302,Config!$B$9:$B$29,0))="","",INDEX(Config!$E$9:$E$29,MATCH($B302,Config!$B$9:$B$29,0))),""),""))</f>
        <v/>
      </c>
      <c r="AC302" s="19" t="str">
        <f>IF($B302="","",IFERROR(INDEX(Config!$D$9:$D$29,MATCH($B302,Config!$B$9:$B$29,0))&amp;"",""))</f>
        <v/>
      </c>
    </row>
    <row r="303">
      <c r="R303" s="20" t="str">
        <f>IF($B303="","",IFERROR(IF(INDEX(Config!$D$9:$D$29,MATCH($B303,Config!$B$9:$B$29,0))="Contrato",IF(INDEX(Config!$E$9:$E$29,MATCH($B303,Config!$B$9:$B$29,0))="","",INDEX(Config!$E$9:$E$29,MATCH($B303,Config!$B$9:$B$29,0))),""),""))</f>
        <v/>
      </c>
      <c r="AC303" s="19" t="str">
        <f>IF($B303="","",IFERROR(INDEX(Config!$D$9:$D$29,MATCH($B303,Config!$B$9:$B$29,0))&amp;"",""))</f>
        <v/>
      </c>
    </row>
    <row r="304">
      <c r="R304" s="20" t="str">
        <f>IF($B304="","",IFERROR(IF(INDEX(Config!$D$9:$D$29,MATCH($B304,Config!$B$9:$B$29,0))="Contrato",IF(INDEX(Config!$E$9:$E$29,MATCH($B304,Config!$B$9:$B$29,0))="","",INDEX(Config!$E$9:$E$29,MATCH($B304,Config!$B$9:$B$29,0))),""),""))</f>
        <v/>
      </c>
      <c r="AC304" s="19" t="str">
        <f>IF($B304="","",IFERROR(INDEX(Config!$D$9:$D$29,MATCH($B304,Config!$B$9:$B$29,0))&amp;"",""))</f>
        <v/>
      </c>
    </row>
    <row r="305">
      <c r="R305" s="20" t="str">
        <f>IF($B305="","",IFERROR(IF(INDEX(Config!$D$9:$D$29,MATCH($B305,Config!$B$9:$B$29,0))="Contrato",IF(INDEX(Config!$E$9:$E$29,MATCH($B305,Config!$B$9:$B$29,0))="","",INDEX(Config!$E$9:$E$29,MATCH($B305,Config!$B$9:$B$29,0))),""),""))</f>
        <v/>
      </c>
      <c r="AC305" s="19" t="str">
        <f>IF($B305="","",IFERROR(INDEX(Config!$D$9:$D$29,MATCH($B305,Config!$B$9:$B$29,0))&amp;"",""))</f>
        <v/>
      </c>
    </row>
    <row r="306">
      <c r="R306" s="20" t="str">
        <f>IF($B306="","",IFERROR(IF(INDEX(Config!$D$9:$D$29,MATCH($B306,Config!$B$9:$B$29,0))="Contrato",IF(INDEX(Config!$E$9:$E$29,MATCH($B306,Config!$B$9:$B$29,0))="","",INDEX(Config!$E$9:$E$29,MATCH($B306,Config!$B$9:$B$29,0))),""),""))</f>
        <v/>
      </c>
      <c r="AC306" s="19" t="str">
        <f>IF($B306="","",IFERROR(INDEX(Config!$D$9:$D$29,MATCH($B306,Config!$B$9:$B$29,0))&amp;"",""))</f>
        <v/>
      </c>
    </row>
    <row r="307">
      <c r="R307" s="20" t="str">
        <f>IF($B307="","",IFERROR(IF(INDEX(Config!$D$9:$D$29,MATCH($B307,Config!$B$9:$B$29,0))="Contrato",IF(INDEX(Config!$E$9:$E$29,MATCH($B307,Config!$B$9:$B$29,0))="","",INDEX(Config!$E$9:$E$29,MATCH($B307,Config!$B$9:$B$29,0))),""),""))</f>
        <v/>
      </c>
      <c r="AC307" s="19" t="str">
        <f>IF($B307="","",IFERROR(INDEX(Config!$D$9:$D$29,MATCH($B307,Config!$B$9:$B$29,0))&amp;"",""))</f>
        <v/>
      </c>
    </row>
    <row r="308">
      <c r="R308" s="20" t="str">
        <f>IF($B308="","",IFERROR(IF(INDEX(Config!$D$9:$D$29,MATCH($B308,Config!$B$9:$B$29,0))="Contrato",IF(INDEX(Config!$E$9:$E$29,MATCH($B308,Config!$B$9:$B$29,0))="","",INDEX(Config!$E$9:$E$29,MATCH($B308,Config!$B$9:$B$29,0))),""),""))</f>
        <v/>
      </c>
      <c r="AC308" s="19" t="str">
        <f>IF($B308="","",IFERROR(INDEX(Config!$D$9:$D$29,MATCH($B308,Config!$B$9:$B$29,0))&amp;"",""))</f>
        <v/>
      </c>
    </row>
    <row r="309">
      <c r="R309" s="20" t="str">
        <f>IF($B309="","",IFERROR(IF(INDEX(Config!$D$9:$D$29,MATCH($B309,Config!$B$9:$B$29,0))="Contrato",IF(INDEX(Config!$E$9:$E$29,MATCH($B309,Config!$B$9:$B$29,0))="","",INDEX(Config!$E$9:$E$29,MATCH($B309,Config!$B$9:$B$29,0))),""),""))</f>
        <v/>
      </c>
      <c r="AC309" s="19" t="str">
        <f>IF($B309="","",IFERROR(INDEX(Config!$D$9:$D$29,MATCH($B309,Config!$B$9:$B$29,0))&amp;"",""))</f>
        <v/>
      </c>
    </row>
    <row r="310">
      <c r="R310" s="20" t="str">
        <f>IF($B310="","",IFERROR(IF(INDEX(Config!$D$9:$D$29,MATCH($B310,Config!$B$9:$B$29,0))="Contrato",IF(INDEX(Config!$E$9:$E$29,MATCH($B310,Config!$B$9:$B$29,0))="","",INDEX(Config!$E$9:$E$29,MATCH($B310,Config!$B$9:$B$29,0))),""),""))</f>
        <v/>
      </c>
      <c r="AC310" s="19" t="str">
        <f>IF($B310="","",IFERROR(INDEX(Config!$D$9:$D$29,MATCH($B310,Config!$B$9:$B$29,0))&amp;"",""))</f>
        <v/>
      </c>
    </row>
    <row r="311">
      <c r="R311" s="20" t="str">
        <f>IF($B311="","",IFERROR(IF(INDEX(Config!$D$9:$D$29,MATCH($B311,Config!$B$9:$B$29,0))="Contrato",IF(INDEX(Config!$E$9:$E$29,MATCH($B311,Config!$B$9:$B$29,0))="","",INDEX(Config!$E$9:$E$29,MATCH($B311,Config!$B$9:$B$29,0))),""),""))</f>
        <v/>
      </c>
      <c r="AC311" s="19" t="str">
        <f>IF($B311="","",IFERROR(INDEX(Config!$D$9:$D$29,MATCH($B311,Config!$B$9:$B$29,0))&amp;"",""))</f>
        <v/>
      </c>
    </row>
    <row r="312">
      <c r="R312" s="20" t="str">
        <f>IF($B312="","",IFERROR(IF(INDEX(Config!$D$9:$D$29,MATCH($B312,Config!$B$9:$B$29,0))="Contrato",IF(INDEX(Config!$E$9:$E$29,MATCH($B312,Config!$B$9:$B$29,0))="","",INDEX(Config!$E$9:$E$29,MATCH($B312,Config!$B$9:$B$29,0))),""),""))</f>
        <v/>
      </c>
      <c r="AC312" s="19" t="str">
        <f>IF($B312="","",IFERROR(INDEX(Config!$D$9:$D$29,MATCH($B312,Config!$B$9:$B$29,0))&amp;"",""))</f>
        <v/>
      </c>
    </row>
    <row r="313">
      <c r="R313" s="20" t="str">
        <f>IF($B313="","",IFERROR(IF(INDEX(Config!$D$9:$D$29,MATCH($B313,Config!$B$9:$B$29,0))="Contrato",IF(INDEX(Config!$E$9:$E$29,MATCH($B313,Config!$B$9:$B$29,0))="","",INDEX(Config!$E$9:$E$29,MATCH($B313,Config!$B$9:$B$29,0))),""),""))</f>
        <v/>
      </c>
      <c r="AC313" s="19" t="str">
        <f>IF($B313="","",IFERROR(INDEX(Config!$D$9:$D$29,MATCH($B313,Config!$B$9:$B$29,0))&amp;"",""))</f>
        <v/>
      </c>
    </row>
    <row r="314">
      <c r="R314" s="20" t="str">
        <f>IF($B314="","",IFERROR(IF(INDEX(Config!$D$9:$D$29,MATCH($B314,Config!$B$9:$B$29,0))="Contrato",IF(INDEX(Config!$E$9:$E$29,MATCH($B314,Config!$B$9:$B$29,0))="","",INDEX(Config!$E$9:$E$29,MATCH($B314,Config!$B$9:$B$29,0))),""),""))</f>
        <v/>
      </c>
      <c r="AC314" s="19" t="str">
        <f>IF($B314="","",IFERROR(INDEX(Config!$D$9:$D$29,MATCH($B314,Config!$B$9:$B$29,0))&amp;"",""))</f>
        <v/>
      </c>
    </row>
    <row r="315">
      <c r="R315" s="20" t="str">
        <f>IF($B315="","",IFERROR(IF(INDEX(Config!$D$9:$D$29,MATCH($B315,Config!$B$9:$B$29,0))="Contrato",IF(INDEX(Config!$E$9:$E$29,MATCH($B315,Config!$B$9:$B$29,0))="","",INDEX(Config!$E$9:$E$29,MATCH($B315,Config!$B$9:$B$29,0))),""),""))</f>
        <v/>
      </c>
      <c r="AC315" s="19" t="str">
        <f>IF($B315="","",IFERROR(INDEX(Config!$D$9:$D$29,MATCH($B315,Config!$B$9:$B$29,0))&amp;"",""))</f>
        <v/>
      </c>
    </row>
    <row r="316">
      <c r="R316" s="20" t="str">
        <f>IF($B316="","",IFERROR(IF(INDEX(Config!$D$9:$D$29,MATCH($B316,Config!$B$9:$B$29,0))="Contrato",IF(INDEX(Config!$E$9:$E$29,MATCH($B316,Config!$B$9:$B$29,0))="","",INDEX(Config!$E$9:$E$29,MATCH($B316,Config!$B$9:$B$29,0))),""),""))</f>
        <v/>
      </c>
      <c r="AC316" s="19" t="str">
        <f>IF($B316="","",IFERROR(INDEX(Config!$D$9:$D$29,MATCH($B316,Config!$B$9:$B$29,0))&amp;"",""))</f>
        <v/>
      </c>
    </row>
    <row r="317">
      <c r="R317" s="20" t="str">
        <f>IF($B317="","",IFERROR(IF(INDEX(Config!$D$9:$D$29,MATCH($B317,Config!$B$9:$B$29,0))="Contrato",IF(INDEX(Config!$E$9:$E$29,MATCH($B317,Config!$B$9:$B$29,0))="","",INDEX(Config!$E$9:$E$29,MATCH($B317,Config!$B$9:$B$29,0))),""),""))</f>
        <v/>
      </c>
      <c r="AC317" s="19" t="str">
        <f>IF($B317="","",IFERROR(INDEX(Config!$D$9:$D$29,MATCH($B317,Config!$B$9:$B$29,0))&amp;"",""))</f>
        <v/>
      </c>
    </row>
    <row r="318">
      <c r="R318" s="20" t="str">
        <f>IF($B318="","",IFERROR(IF(INDEX(Config!$D$9:$D$29,MATCH($B318,Config!$B$9:$B$29,0))="Contrato",IF(INDEX(Config!$E$9:$E$29,MATCH($B318,Config!$B$9:$B$29,0))="","",INDEX(Config!$E$9:$E$29,MATCH($B318,Config!$B$9:$B$29,0))),""),""))</f>
        <v/>
      </c>
      <c r="AC318" s="19" t="str">
        <f>IF($B318="","",IFERROR(INDEX(Config!$D$9:$D$29,MATCH($B318,Config!$B$9:$B$29,0))&amp;"",""))</f>
        <v/>
      </c>
    </row>
    <row r="319">
      <c r="R319" s="20" t="str">
        <f>IF($B319="","",IFERROR(IF(INDEX(Config!$D$9:$D$29,MATCH($B319,Config!$B$9:$B$29,0))="Contrato",IF(INDEX(Config!$E$9:$E$29,MATCH($B319,Config!$B$9:$B$29,0))="","",INDEX(Config!$E$9:$E$29,MATCH($B319,Config!$B$9:$B$29,0))),""),""))</f>
        <v/>
      </c>
      <c r="AC319" s="19" t="str">
        <f>IF($B319="","",IFERROR(INDEX(Config!$D$9:$D$29,MATCH($B319,Config!$B$9:$B$29,0))&amp;"",""))</f>
        <v/>
      </c>
    </row>
    <row r="320">
      <c r="R320" s="20" t="str">
        <f>IF($B320="","",IFERROR(IF(INDEX(Config!$D$9:$D$29,MATCH($B320,Config!$B$9:$B$29,0))="Contrato",IF(INDEX(Config!$E$9:$E$29,MATCH($B320,Config!$B$9:$B$29,0))="","",INDEX(Config!$E$9:$E$29,MATCH($B320,Config!$B$9:$B$29,0))),""),""))</f>
        <v/>
      </c>
      <c r="AC320" s="19" t="str">
        <f>IF($B320="","",IFERROR(INDEX(Config!$D$9:$D$29,MATCH($B320,Config!$B$9:$B$29,0))&amp;"",""))</f>
        <v/>
      </c>
    </row>
    <row r="321">
      <c r="R321" s="20" t="str">
        <f>IF($B321="","",IFERROR(IF(INDEX(Config!$D$9:$D$29,MATCH($B321,Config!$B$9:$B$29,0))="Contrato",IF(INDEX(Config!$E$9:$E$29,MATCH($B321,Config!$B$9:$B$29,0))="","",INDEX(Config!$E$9:$E$29,MATCH($B321,Config!$B$9:$B$29,0))),""),""))</f>
        <v/>
      </c>
      <c r="AC321" s="19" t="str">
        <f>IF($B321="","",IFERROR(INDEX(Config!$D$9:$D$29,MATCH($B321,Config!$B$9:$B$29,0))&amp;"",""))</f>
        <v/>
      </c>
    </row>
    <row r="322">
      <c r="R322" s="20" t="str">
        <f>IF($B322="","",IFERROR(IF(INDEX(Config!$D$9:$D$29,MATCH($B322,Config!$B$9:$B$29,0))="Contrato",IF(INDEX(Config!$E$9:$E$29,MATCH($B322,Config!$B$9:$B$29,0))="","",INDEX(Config!$E$9:$E$29,MATCH($B322,Config!$B$9:$B$29,0))),""),""))</f>
        <v/>
      </c>
      <c r="AC322" s="19" t="str">
        <f>IF($B322="","",IFERROR(INDEX(Config!$D$9:$D$29,MATCH($B322,Config!$B$9:$B$29,0))&amp;"",""))</f>
        <v/>
      </c>
    </row>
    <row r="323">
      <c r="R323" s="20" t="str">
        <f>IF($B323="","",IFERROR(IF(INDEX(Config!$D$9:$D$29,MATCH($B323,Config!$B$9:$B$29,0))="Contrato",IF(INDEX(Config!$E$9:$E$29,MATCH($B323,Config!$B$9:$B$29,0))="","",INDEX(Config!$E$9:$E$29,MATCH($B323,Config!$B$9:$B$29,0))),""),""))</f>
        <v/>
      </c>
      <c r="AC323" s="19" t="str">
        <f>IF($B323="","",IFERROR(INDEX(Config!$D$9:$D$29,MATCH($B323,Config!$B$9:$B$29,0))&amp;"",""))</f>
        <v/>
      </c>
    </row>
    <row r="324">
      <c r="R324" s="20" t="str">
        <f>IF($B324="","",IFERROR(IF(INDEX(Config!$D$9:$D$29,MATCH($B324,Config!$B$9:$B$29,0))="Contrato",IF(INDEX(Config!$E$9:$E$29,MATCH($B324,Config!$B$9:$B$29,0))="","",INDEX(Config!$E$9:$E$29,MATCH($B324,Config!$B$9:$B$29,0))),""),""))</f>
        <v/>
      </c>
      <c r="AC324" s="19" t="str">
        <f>IF($B324="","",IFERROR(INDEX(Config!$D$9:$D$29,MATCH($B324,Config!$B$9:$B$29,0))&amp;"",""))</f>
        <v/>
      </c>
    </row>
    <row r="325">
      <c r="R325" s="20" t="str">
        <f>IF($B325="","",IFERROR(IF(INDEX(Config!$D$9:$D$29,MATCH($B325,Config!$B$9:$B$29,0))="Contrato",IF(INDEX(Config!$E$9:$E$29,MATCH($B325,Config!$B$9:$B$29,0))="","",INDEX(Config!$E$9:$E$29,MATCH($B325,Config!$B$9:$B$29,0))),""),""))</f>
        <v/>
      </c>
      <c r="AC325" s="19" t="str">
        <f>IF($B325="","",IFERROR(INDEX(Config!$D$9:$D$29,MATCH($B325,Config!$B$9:$B$29,0))&amp;"",""))</f>
        <v/>
      </c>
    </row>
    <row r="326">
      <c r="R326" s="20" t="str">
        <f>IF($B326="","",IFERROR(IF(INDEX(Config!$D$9:$D$29,MATCH($B326,Config!$B$9:$B$29,0))="Contrato",IF(INDEX(Config!$E$9:$E$29,MATCH($B326,Config!$B$9:$B$29,0))="","",INDEX(Config!$E$9:$E$29,MATCH($B326,Config!$B$9:$B$29,0))),""),""))</f>
        <v/>
      </c>
      <c r="AC326" s="19" t="str">
        <f>IF($B326="","",IFERROR(INDEX(Config!$D$9:$D$29,MATCH($B326,Config!$B$9:$B$29,0))&amp;"",""))</f>
        <v/>
      </c>
    </row>
    <row r="327">
      <c r="R327" s="20" t="str">
        <f>IF($B327="","",IFERROR(IF(INDEX(Config!$D$9:$D$29,MATCH($B327,Config!$B$9:$B$29,0))="Contrato",IF(INDEX(Config!$E$9:$E$29,MATCH($B327,Config!$B$9:$B$29,0))="","",INDEX(Config!$E$9:$E$29,MATCH($B327,Config!$B$9:$B$29,0))),""),""))</f>
        <v/>
      </c>
      <c r="AC327" s="19" t="str">
        <f>IF($B327="","",IFERROR(INDEX(Config!$D$9:$D$29,MATCH($B327,Config!$B$9:$B$29,0))&amp;"",""))</f>
        <v/>
      </c>
    </row>
    <row r="328">
      <c r="R328" s="20" t="str">
        <f>IF($B328="","",IFERROR(IF(INDEX(Config!$D$9:$D$29,MATCH($B328,Config!$B$9:$B$29,0))="Contrato",IF(INDEX(Config!$E$9:$E$29,MATCH($B328,Config!$B$9:$B$29,0))="","",INDEX(Config!$E$9:$E$29,MATCH($B328,Config!$B$9:$B$29,0))),""),""))</f>
        <v/>
      </c>
      <c r="AC328" s="19" t="str">
        <f>IF($B328="","",IFERROR(INDEX(Config!$D$9:$D$29,MATCH($B328,Config!$B$9:$B$29,0))&amp;"",""))</f>
        <v/>
      </c>
    </row>
    <row r="329">
      <c r="R329" s="20" t="str">
        <f>IF($B329="","",IFERROR(IF(INDEX(Config!$D$9:$D$29,MATCH($B329,Config!$B$9:$B$29,0))="Contrato",IF(INDEX(Config!$E$9:$E$29,MATCH($B329,Config!$B$9:$B$29,0))="","",INDEX(Config!$E$9:$E$29,MATCH($B329,Config!$B$9:$B$29,0))),""),""))</f>
        <v/>
      </c>
      <c r="AC329" s="19" t="str">
        <f>IF($B329="","",IFERROR(INDEX(Config!$D$9:$D$29,MATCH($B329,Config!$B$9:$B$29,0))&amp;"",""))</f>
        <v/>
      </c>
    </row>
    <row r="330">
      <c r="R330" s="20" t="str">
        <f>IF($B330="","",IFERROR(IF(INDEX(Config!$D$9:$D$29,MATCH($B330,Config!$B$9:$B$29,0))="Contrato",IF(INDEX(Config!$E$9:$E$29,MATCH($B330,Config!$B$9:$B$29,0))="","",INDEX(Config!$E$9:$E$29,MATCH($B330,Config!$B$9:$B$29,0))),""),""))</f>
        <v/>
      </c>
      <c r="AC330" s="19" t="str">
        <f>IF($B330="","",IFERROR(INDEX(Config!$D$9:$D$29,MATCH($B330,Config!$B$9:$B$29,0))&amp;"",""))</f>
        <v/>
      </c>
    </row>
    <row r="331">
      <c r="R331" s="20" t="str">
        <f>IF($B331="","",IFERROR(IF(INDEX(Config!$D$9:$D$29,MATCH($B331,Config!$B$9:$B$29,0))="Contrato",IF(INDEX(Config!$E$9:$E$29,MATCH($B331,Config!$B$9:$B$29,0))="","",INDEX(Config!$E$9:$E$29,MATCH($B331,Config!$B$9:$B$29,0))),""),""))</f>
        <v/>
      </c>
      <c r="AC331" s="19" t="str">
        <f>IF($B331="","",IFERROR(INDEX(Config!$D$9:$D$29,MATCH($B331,Config!$B$9:$B$29,0))&amp;"",""))</f>
        <v/>
      </c>
    </row>
    <row r="332">
      <c r="R332" s="20" t="str">
        <f>IF($B332="","",IFERROR(IF(INDEX(Config!$D$9:$D$29,MATCH($B332,Config!$B$9:$B$29,0))="Contrato",IF(INDEX(Config!$E$9:$E$29,MATCH($B332,Config!$B$9:$B$29,0))="","",INDEX(Config!$E$9:$E$29,MATCH($B332,Config!$B$9:$B$29,0))),""),""))</f>
        <v/>
      </c>
      <c r="AC332" s="19" t="str">
        <f>IF($B332="","",IFERROR(INDEX(Config!$D$9:$D$29,MATCH($B332,Config!$B$9:$B$29,0))&amp;"",""))</f>
        <v/>
      </c>
    </row>
    <row r="333">
      <c r="R333" s="20" t="str">
        <f>IF($B333="","",IFERROR(IF(INDEX(Config!$D$9:$D$29,MATCH($B333,Config!$B$9:$B$29,0))="Contrato",IF(INDEX(Config!$E$9:$E$29,MATCH($B333,Config!$B$9:$B$29,0))="","",INDEX(Config!$E$9:$E$29,MATCH($B333,Config!$B$9:$B$29,0))),""),""))</f>
        <v/>
      </c>
      <c r="AC333" s="19" t="str">
        <f>IF($B333="","",IFERROR(INDEX(Config!$D$9:$D$29,MATCH($B333,Config!$B$9:$B$29,0))&amp;"",""))</f>
        <v/>
      </c>
    </row>
    <row r="334">
      <c r="R334" s="20" t="str">
        <f>IF($B334="","",IFERROR(IF(INDEX(Config!$D$9:$D$29,MATCH($B334,Config!$B$9:$B$29,0))="Contrato",IF(INDEX(Config!$E$9:$E$29,MATCH($B334,Config!$B$9:$B$29,0))="","",INDEX(Config!$E$9:$E$29,MATCH($B334,Config!$B$9:$B$29,0))),""),""))</f>
        <v/>
      </c>
      <c r="AC334" s="19" t="str">
        <f>IF($B334="","",IFERROR(INDEX(Config!$D$9:$D$29,MATCH($B334,Config!$B$9:$B$29,0))&amp;"",""))</f>
        <v/>
      </c>
    </row>
    <row r="335">
      <c r="R335" s="20" t="str">
        <f>IF($B335="","",IFERROR(IF(INDEX(Config!$D$9:$D$29,MATCH($B335,Config!$B$9:$B$29,0))="Contrato",IF(INDEX(Config!$E$9:$E$29,MATCH($B335,Config!$B$9:$B$29,0))="","",INDEX(Config!$E$9:$E$29,MATCH($B335,Config!$B$9:$B$29,0))),""),""))</f>
        <v/>
      </c>
      <c r="AC335" s="19" t="str">
        <f>IF($B335="","",IFERROR(INDEX(Config!$D$9:$D$29,MATCH($B335,Config!$B$9:$B$29,0))&amp;"",""))</f>
        <v/>
      </c>
    </row>
    <row r="336">
      <c r="R336" s="20" t="str">
        <f>IF($B336="","",IFERROR(IF(INDEX(Config!$D$9:$D$29,MATCH($B336,Config!$B$9:$B$29,0))="Contrato",IF(INDEX(Config!$E$9:$E$29,MATCH($B336,Config!$B$9:$B$29,0))="","",INDEX(Config!$E$9:$E$29,MATCH($B336,Config!$B$9:$B$29,0))),""),""))</f>
        <v/>
      </c>
      <c r="AC336" s="19" t="str">
        <f>IF($B336="","",IFERROR(INDEX(Config!$D$9:$D$29,MATCH($B336,Config!$B$9:$B$29,0))&amp;"",""))</f>
        <v/>
      </c>
    </row>
    <row r="337">
      <c r="R337" s="20" t="str">
        <f>IF($B337="","",IFERROR(IF(INDEX(Config!$D$9:$D$29,MATCH($B337,Config!$B$9:$B$29,0))="Contrato",IF(INDEX(Config!$E$9:$E$29,MATCH($B337,Config!$B$9:$B$29,0))="","",INDEX(Config!$E$9:$E$29,MATCH($B337,Config!$B$9:$B$29,0))),""),""))</f>
        <v/>
      </c>
      <c r="AC337" s="19" t="str">
        <f>IF($B337="","",IFERROR(INDEX(Config!$D$9:$D$29,MATCH($B337,Config!$B$9:$B$29,0))&amp;"",""))</f>
        <v/>
      </c>
    </row>
    <row r="338">
      <c r="R338" s="20" t="str">
        <f>IF($B338="","",IFERROR(IF(INDEX(Config!$D$9:$D$29,MATCH($B338,Config!$B$9:$B$29,0))="Contrato",IF(INDEX(Config!$E$9:$E$29,MATCH($B338,Config!$B$9:$B$29,0))="","",INDEX(Config!$E$9:$E$29,MATCH($B338,Config!$B$9:$B$29,0))),""),""))</f>
        <v/>
      </c>
      <c r="AC338" s="19" t="str">
        <f>IF($B338="","",IFERROR(INDEX(Config!$D$9:$D$29,MATCH($B338,Config!$B$9:$B$29,0))&amp;"",""))</f>
        <v/>
      </c>
    </row>
    <row r="339">
      <c r="R339" s="20" t="str">
        <f>IF($B339="","",IFERROR(IF(INDEX(Config!$D$9:$D$29,MATCH($B339,Config!$B$9:$B$29,0))="Contrato",IF(INDEX(Config!$E$9:$E$29,MATCH($B339,Config!$B$9:$B$29,0))="","",INDEX(Config!$E$9:$E$29,MATCH($B339,Config!$B$9:$B$29,0))),""),""))</f>
        <v/>
      </c>
      <c r="AC339" s="19" t="str">
        <f>IF($B339="","",IFERROR(INDEX(Config!$D$9:$D$29,MATCH($B339,Config!$B$9:$B$29,0))&amp;"",""))</f>
        <v/>
      </c>
    </row>
    <row r="340">
      <c r="R340" s="20" t="str">
        <f>IF($B340="","",IFERROR(IF(INDEX(Config!$D$9:$D$29,MATCH($B340,Config!$B$9:$B$29,0))="Contrato",IF(INDEX(Config!$E$9:$E$29,MATCH($B340,Config!$B$9:$B$29,0))="","",INDEX(Config!$E$9:$E$29,MATCH($B340,Config!$B$9:$B$29,0))),""),""))</f>
        <v/>
      </c>
      <c r="AC340" s="19" t="str">
        <f>IF($B340="","",IFERROR(INDEX(Config!$D$9:$D$29,MATCH($B340,Config!$B$9:$B$29,0))&amp;"",""))</f>
        <v/>
      </c>
    </row>
    <row r="341">
      <c r="R341" s="20" t="str">
        <f>IF($B341="","",IFERROR(IF(INDEX(Config!$D$9:$D$29,MATCH($B341,Config!$B$9:$B$29,0))="Contrato",IF(INDEX(Config!$E$9:$E$29,MATCH($B341,Config!$B$9:$B$29,0))="","",INDEX(Config!$E$9:$E$29,MATCH($B341,Config!$B$9:$B$29,0))),""),""))</f>
        <v/>
      </c>
      <c r="AC341" s="19" t="str">
        <f>IF($B341="","",IFERROR(INDEX(Config!$D$9:$D$29,MATCH($B341,Config!$B$9:$B$29,0))&amp;"",""))</f>
        <v/>
      </c>
    </row>
    <row r="342">
      <c r="R342" s="20" t="str">
        <f>IF($B342="","",IFERROR(IF(INDEX(Config!$D$9:$D$29,MATCH($B342,Config!$B$9:$B$29,0))="Contrato",IF(INDEX(Config!$E$9:$E$29,MATCH($B342,Config!$B$9:$B$29,0))="","",INDEX(Config!$E$9:$E$29,MATCH($B342,Config!$B$9:$B$29,0))),""),""))</f>
        <v/>
      </c>
      <c r="AC342" s="19" t="str">
        <f>IF($B342="","",IFERROR(INDEX(Config!$D$9:$D$29,MATCH($B342,Config!$B$9:$B$29,0))&amp;"",""))</f>
        <v/>
      </c>
    </row>
    <row r="343">
      <c r="R343" s="20" t="str">
        <f>IF($B343="","",IFERROR(IF(INDEX(Config!$D$9:$D$29,MATCH($B343,Config!$B$9:$B$29,0))="Contrato",IF(INDEX(Config!$E$9:$E$29,MATCH($B343,Config!$B$9:$B$29,0))="","",INDEX(Config!$E$9:$E$29,MATCH($B343,Config!$B$9:$B$29,0))),""),""))</f>
        <v/>
      </c>
      <c r="AC343" s="19" t="str">
        <f>IF($B343="","",IFERROR(INDEX(Config!$D$9:$D$29,MATCH($B343,Config!$B$9:$B$29,0))&amp;"",""))</f>
        <v/>
      </c>
    </row>
    <row r="344">
      <c r="R344" s="20" t="str">
        <f>IF($B344="","",IFERROR(IF(INDEX(Config!$D$9:$D$29,MATCH($B344,Config!$B$9:$B$29,0))="Contrato",IF(INDEX(Config!$E$9:$E$29,MATCH($B344,Config!$B$9:$B$29,0))="","",INDEX(Config!$E$9:$E$29,MATCH($B344,Config!$B$9:$B$29,0))),""),""))</f>
        <v/>
      </c>
      <c r="AC344" s="19" t="str">
        <f>IF($B344="","",IFERROR(INDEX(Config!$D$9:$D$29,MATCH($B344,Config!$B$9:$B$29,0))&amp;"",""))</f>
        <v/>
      </c>
    </row>
    <row r="345">
      <c r="R345" s="20" t="str">
        <f>IF($B345="","",IFERROR(IF(INDEX(Config!$D$9:$D$29,MATCH($B345,Config!$B$9:$B$29,0))="Contrato",IF(INDEX(Config!$E$9:$E$29,MATCH($B345,Config!$B$9:$B$29,0))="","",INDEX(Config!$E$9:$E$29,MATCH($B345,Config!$B$9:$B$29,0))),""),""))</f>
        <v/>
      </c>
      <c r="AC345" s="19" t="str">
        <f>IF($B345="","",IFERROR(INDEX(Config!$D$9:$D$29,MATCH($B345,Config!$B$9:$B$29,0))&amp;"",""))</f>
        <v/>
      </c>
    </row>
    <row r="346">
      <c r="R346" s="20" t="str">
        <f>IF($B346="","",IFERROR(IF(INDEX(Config!$D$9:$D$29,MATCH($B346,Config!$B$9:$B$29,0))="Contrato",IF(INDEX(Config!$E$9:$E$29,MATCH($B346,Config!$B$9:$B$29,0))="","",INDEX(Config!$E$9:$E$29,MATCH($B346,Config!$B$9:$B$29,0))),""),""))</f>
        <v/>
      </c>
      <c r="AC346" s="19" t="str">
        <f>IF($B346="","",IFERROR(INDEX(Config!$D$9:$D$29,MATCH($B346,Config!$B$9:$B$29,0))&amp;"",""))</f>
        <v/>
      </c>
    </row>
    <row r="347">
      <c r="R347" s="20" t="str">
        <f>IF($B347="","",IFERROR(IF(INDEX(Config!$D$9:$D$29,MATCH($B347,Config!$B$9:$B$29,0))="Contrato",IF(INDEX(Config!$E$9:$E$29,MATCH($B347,Config!$B$9:$B$29,0))="","",INDEX(Config!$E$9:$E$29,MATCH($B347,Config!$B$9:$B$29,0))),""),""))</f>
        <v/>
      </c>
      <c r="AC347" s="19" t="str">
        <f>IF($B347="","",IFERROR(INDEX(Config!$D$9:$D$29,MATCH($B347,Config!$B$9:$B$29,0))&amp;"",""))</f>
        <v/>
      </c>
    </row>
    <row r="348">
      <c r="R348" s="20" t="str">
        <f>IF($B348="","",IFERROR(IF(INDEX(Config!$D$9:$D$29,MATCH($B348,Config!$B$9:$B$29,0))="Contrato",IF(INDEX(Config!$E$9:$E$29,MATCH($B348,Config!$B$9:$B$29,0))="","",INDEX(Config!$E$9:$E$29,MATCH($B348,Config!$B$9:$B$29,0))),""),""))</f>
        <v/>
      </c>
      <c r="AC348" s="19" t="str">
        <f>IF($B348="","",IFERROR(INDEX(Config!$D$9:$D$29,MATCH($B348,Config!$B$9:$B$29,0))&amp;"",""))</f>
        <v/>
      </c>
    </row>
    <row r="349">
      <c r="R349" s="20" t="str">
        <f>IF($B349="","",IFERROR(IF(INDEX(Config!$D$9:$D$29,MATCH($B349,Config!$B$9:$B$29,0))="Contrato",IF(INDEX(Config!$E$9:$E$29,MATCH($B349,Config!$B$9:$B$29,0))="","",INDEX(Config!$E$9:$E$29,MATCH($B349,Config!$B$9:$B$29,0))),""),""))</f>
        <v/>
      </c>
      <c r="AC349" s="19" t="str">
        <f>IF($B349="","",IFERROR(INDEX(Config!$D$9:$D$29,MATCH($B349,Config!$B$9:$B$29,0))&amp;"",""))</f>
        <v/>
      </c>
    </row>
    <row r="350">
      <c r="R350" s="20" t="str">
        <f>IF($B350="","",IFERROR(IF(INDEX(Config!$D$9:$D$29,MATCH($B350,Config!$B$9:$B$29,0))="Contrato",IF(INDEX(Config!$E$9:$E$29,MATCH($B350,Config!$B$9:$B$29,0))="","",INDEX(Config!$E$9:$E$29,MATCH($B350,Config!$B$9:$B$29,0))),""),""))</f>
        <v/>
      </c>
      <c r="AC350" s="19" t="str">
        <f>IF($B350="","",IFERROR(INDEX(Config!$D$9:$D$29,MATCH($B350,Config!$B$9:$B$29,0))&amp;"",""))</f>
        <v/>
      </c>
    </row>
    <row r="351">
      <c r="R351" s="20" t="str">
        <f>IF($B351="","",IFERROR(IF(INDEX(Config!$D$9:$D$29,MATCH($B351,Config!$B$9:$B$29,0))="Contrato",IF(INDEX(Config!$E$9:$E$29,MATCH($B351,Config!$B$9:$B$29,0))="","",INDEX(Config!$E$9:$E$29,MATCH($B351,Config!$B$9:$B$29,0))),""),""))</f>
        <v/>
      </c>
      <c r="AC351" s="19" t="str">
        <f>IF($B351="","",IFERROR(INDEX(Config!$D$9:$D$29,MATCH($B351,Config!$B$9:$B$29,0))&amp;"",""))</f>
        <v/>
      </c>
    </row>
    <row r="352">
      <c r="R352" s="20" t="str">
        <f>IF($B352="","",IFERROR(IF(INDEX(Config!$D$9:$D$29,MATCH($B352,Config!$B$9:$B$29,0))="Contrato",IF(INDEX(Config!$E$9:$E$29,MATCH($B352,Config!$B$9:$B$29,0))="","",INDEX(Config!$E$9:$E$29,MATCH($B352,Config!$B$9:$B$29,0))),""),""))</f>
        <v/>
      </c>
      <c r="AC352" s="19" t="str">
        <f>IF($B352="","",IFERROR(INDEX(Config!$D$9:$D$29,MATCH($B352,Config!$B$9:$B$29,0))&amp;"",""))</f>
        <v/>
      </c>
    </row>
    <row r="353">
      <c r="R353" s="20" t="str">
        <f>IF($B353="","",IFERROR(IF(INDEX(Config!$D$9:$D$29,MATCH($B353,Config!$B$9:$B$29,0))="Contrato",IF(INDEX(Config!$E$9:$E$29,MATCH($B353,Config!$B$9:$B$29,0))="","",INDEX(Config!$E$9:$E$29,MATCH($B353,Config!$B$9:$B$29,0))),""),""))</f>
        <v/>
      </c>
      <c r="AC353" s="19" t="str">
        <f>IF($B353="","",IFERROR(INDEX(Config!$D$9:$D$29,MATCH($B353,Config!$B$9:$B$29,0))&amp;"",""))</f>
        <v/>
      </c>
    </row>
    <row r="354">
      <c r="R354" s="20" t="str">
        <f>IF($B354="","",IFERROR(IF(INDEX(Config!$D$9:$D$29,MATCH($B354,Config!$B$9:$B$29,0))="Contrato",IF(INDEX(Config!$E$9:$E$29,MATCH($B354,Config!$B$9:$B$29,0))="","",INDEX(Config!$E$9:$E$29,MATCH($B354,Config!$B$9:$B$29,0))),""),""))</f>
        <v/>
      </c>
      <c r="AC354" s="19" t="str">
        <f>IF($B354="","",IFERROR(INDEX(Config!$D$9:$D$29,MATCH($B354,Config!$B$9:$B$29,0))&amp;"",""))</f>
        <v/>
      </c>
    </row>
    <row r="355">
      <c r="R355" s="20" t="str">
        <f>IF($B355="","",IFERROR(IF(INDEX(Config!$D$9:$D$29,MATCH($B355,Config!$B$9:$B$29,0))="Contrato",IF(INDEX(Config!$E$9:$E$29,MATCH($B355,Config!$B$9:$B$29,0))="","",INDEX(Config!$E$9:$E$29,MATCH($B355,Config!$B$9:$B$29,0))),""),""))</f>
        <v/>
      </c>
      <c r="AC355" s="19" t="str">
        <f>IF($B355="","",IFERROR(INDEX(Config!$D$9:$D$29,MATCH($B355,Config!$B$9:$B$29,0))&amp;"",""))</f>
        <v/>
      </c>
    </row>
    <row r="356">
      <c r="R356" s="20" t="str">
        <f>IF($B356="","",IFERROR(IF(INDEX(Config!$D$9:$D$29,MATCH($B356,Config!$B$9:$B$29,0))="Contrato",IF(INDEX(Config!$E$9:$E$29,MATCH($B356,Config!$B$9:$B$29,0))="","",INDEX(Config!$E$9:$E$29,MATCH($B356,Config!$B$9:$B$29,0))),""),""))</f>
        <v/>
      </c>
      <c r="AC356" s="19" t="str">
        <f>IF($B356="","",IFERROR(INDEX(Config!$D$9:$D$29,MATCH($B356,Config!$B$9:$B$29,0))&amp;"",""))</f>
        <v/>
      </c>
    </row>
    <row r="357">
      <c r="R357" s="20" t="str">
        <f>IF($B357="","",IFERROR(IF(INDEX(Config!$D$9:$D$29,MATCH($B357,Config!$B$9:$B$29,0))="Contrato",IF(INDEX(Config!$E$9:$E$29,MATCH($B357,Config!$B$9:$B$29,0))="","",INDEX(Config!$E$9:$E$29,MATCH($B357,Config!$B$9:$B$29,0))),""),""))</f>
        <v/>
      </c>
      <c r="AC357" s="19" t="str">
        <f>IF($B357="","",IFERROR(INDEX(Config!$D$9:$D$29,MATCH($B357,Config!$B$9:$B$29,0))&amp;"",""))</f>
        <v/>
      </c>
    </row>
    <row r="358">
      <c r="R358" s="20" t="str">
        <f>IF($B358="","",IFERROR(IF(INDEX(Config!$D$9:$D$29,MATCH($B358,Config!$B$9:$B$29,0))="Contrato",IF(INDEX(Config!$E$9:$E$29,MATCH($B358,Config!$B$9:$B$29,0))="","",INDEX(Config!$E$9:$E$29,MATCH($B358,Config!$B$9:$B$29,0))),""),""))</f>
        <v/>
      </c>
      <c r="AC358" s="19" t="str">
        <f>IF($B358="","",IFERROR(INDEX(Config!$D$9:$D$29,MATCH($B358,Config!$B$9:$B$29,0))&amp;"",""))</f>
        <v/>
      </c>
    </row>
    <row r="359">
      <c r="R359" s="20" t="str">
        <f>IF($B359="","",IFERROR(IF(INDEX(Config!$D$9:$D$29,MATCH($B359,Config!$B$9:$B$29,0))="Contrato",IF(INDEX(Config!$E$9:$E$29,MATCH($B359,Config!$B$9:$B$29,0))="","",INDEX(Config!$E$9:$E$29,MATCH($B359,Config!$B$9:$B$29,0))),""),""))</f>
        <v/>
      </c>
      <c r="AC359" s="19" t="str">
        <f>IF($B359="","",IFERROR(INDEX(Config!$D$9:$D$29,MATCH($B359,Config!$B$9:$B$29,0))&amp;"",""))</f>
        <v/>
      </c>
    </row>
    <row r="360">
      <c r="R360" s="20" t="str">
        <f>IF($B360="","",IFERROR(IF(INDEX(Config!$D$9:$D$29,MATCH($B360,Config!$B$9:$B$29,0))="Contrato",IF(INDEX(Config!$E$9:$E$29,MATCH($B360,Config!$B$9:$B$29,0))="","",INDEX(Config!$E$9:$E$29,MATCH($B360,Config!$B$9:$B$29,0))),""),""))</f>
        <v/>
      </c>
      <c r="AC360" s="19" t="str">
        <f>IF($B360="","",IFERROR(INDEX(Config!$D$9:$D$29,MATCH($B360,Config!$B$9:$B$29,0))&amp;"",""))</f>
        <v/>
      </c>
    </row>
    <row r="361">
      <c r="R361" s="20" t="str">
        <f>IF($B361="","",IFERROR(IF(INDEX(Config!$D$9:$D$29,MATCH($B361,Config!$B$9:$B$29,0))="Contrato",IF(INDEX(Config!$E$9:$E$29,MATCH($B361,Config!$B$9:$B$29,0))="","",INDEX(Config!$E$9:$E$29,MATCH($B361,Config!$B$9:$B$29,0))),""),""))</f>
        <v/>
      </c>
      <c r="AC361" s="19" t="str">
        <f>IF($B361="","",IFERROR(INDEX(Config!$D$9:$D$29,MATCH($B361,Config!$B$9:$B$29,0))&amp;"",""))</f>
        <v/>
      </c>
    </row>
    <row r="362">
      <c r="R362" s="20" t="str">
        <f>IF($B362="","",IFERROR(IF(INDEX(Config!$D$9:$D$29,MATCH($B362,Config!$B$9:$B$29,0))="Contrato",IF(INDEX(Config!$E$9:$E$29,MATCH($B362,Config!$B$9:$B$29,0))="","",INDEX(Config!$E$9:$E$29,MATCH($B362,Config!$B$9:$B$29,0))),""),""))</f>
        <v/>
      </c>
      <c r="AC362" s="19" t="str">
        <f>IF($B362="","",IFERROR(INDEX(Config!$D$9:$D$29,MATCH($B362,Config!$B$9:$B$29,0))&amp;"",""))</f>
        <v/>
      </c>
    </row>
    <row r="363">
      <c r="R363" s="20" t="str">
        <f>IF($B363="","",IFERROR(IF(INDEX(Config!$D$9:$D$29,MATCH($B363,Config!$B$9:$B$29,0))="Contrato",IF(INDEX(Config!$E$9:$E$29,MATCH($B363,Config!$B$9:$B$29,0))="","",INDEX(Config!$E$9:$E$29,MATCH($B363,Config!$B$9:$B$29,0))),""),""))</f>
        <v/>
      </c>
      <c r="AC363" s="19" t="str">
        <f>IF($B363="","",IFERROR(INDEX(Config!$D$9:$D$29,MATCH($B363,Config!$B$9:$B$29,0))&amp;"",""))</f>
        <v/>
      </c>
    </row>
    <row r="364">
      <c r="R364" s="20" t="str">
        <f>IF($B364="","",IFERROR(IF(INDEX(Config!$D$9:$D$29,MATCH($B364,Config!$B$9:$B$29,0))="Contrato",IF(INDEX(Config!$E$9:$E$29,MATCH($B364,Config!$B$9:$B$29,0))="","",INDEX(Config!$E$9:$E$29,MATCH($B364,Config!$B$9:$B$29,0))),""),""))</f>
        <v/>
      </c>
      <c r="AC364" s="19" t="str">
        <f>IF($B364="","",IFERROR(INDEX(Config!$D$9:$D$29,MATCH($B364,Config!$B$9:$B$29,0))&amp;"",""))</f>
        <v/>
      </c>
    </row>
    <row r="365">
      <c r="R365" s="20" t="str">
        <f>IF($B365="","",IFERROR(IF(INDEX(Config!$D$9:$D$29,MATCH($B365,Config!$B$9:$B$29,0))="Contrato",IF(INDEX(Config!$E$9:$E$29,MATCH($B365,Config!$B$9:$B$29,0))="","",INDEX(Config!$E$9:$E$29,MATCH($B365,Config!$B$9:$B$29,0))),""),""))</f>
        <v/>
      </c>
      <c r="AC365" s="19" t="str">
        <f>IF($B365="","",IFERROR(INDEX(Config!$D$9:$D$29,MATCH($B365,Config!$B$9:$B$29,0))&amp;"",""))</f>
        <v/>
      </c>
    </row>
    <row r="366">
      <c r="R366" s="20" t="str">
        <f>IF($B366="","",IFERROR(IF(INDEX(Config!$D$9:$D$29,MATCH($B366,Config!$B$9:$B$29,0))="Contrato",IF(INDEX(Config!$E$9:$E$29,MATCH($B366,Config!$B$9:$B$29,0))="","",INDEX(Config!$E$9:$E$29,MATCH($B366,Config!$B$9:$B$29,0))),""),""))</f>
        <v/>
      </c>
      <c r="AC366" s="19" t="str">
        <f>IF($B366="","",IFERROR(INDEX(Config!$D$9:$D$29,MATCH($B366,Config!$B$9:$B$29,0))&amp;"",""))</f>
        <v/>
      </c>
    </row>
    <row r="367">
      <c r="R367" s="20" t="str">
        <f>IF($B367="","",IFERROR(IF(INDEX(Config!$D$9:$D$29,MATCH($B367,Config!$B$9:$B$29,0))="Contrato",IF(INDEX(Config!$E$9:$E$29,MATCH($B367,Config!$B$9:$B$29,0))="","",INDEX(Config!$E$9:$E$29,MATCH($B367,Config!$B$9:$B$29,0))),""),""))</f>
        <v/>
      </c>
      <c r="AC367" s="19" t="str">
        <f>IF($B367="","",IFERROR(INDEX(Config!$D$9:$D$29,MATCH($B367,Config!$B$9:$B$29,0))&amp;"",""))</f>
        <v/>
      </c>
    </row>
    <row r="368">
      <c r="R368" s="20" t="str">
        <f>IF($B368="","",IFERROR(IF(INDEX(Config!$D$9:$D$29,MATCH($B368,Config!$B$9:$B$29,0))="Contrato",IF(INDEX(Config!$E$9:$E$29,MATCH($B368,Config!$B$9:$B$29,0))="","",INDEX(Config!$E$9:$E$29,MATCH($B368,Config!$B$9:$B$29,0))),""),""))</f>
        <v/>
      </c>
      <c r="AC368" s="19" t="str">
        <f>IF($B368="","",IFERROR(INDEX(Config!$D$9:$D$29,MATCH($B368,Config!$B$9:$B$29,0))&amp;"",""))</f>
        <v/>
      </c>
    </row>
    <row r="369">
      <c r="R369" s="20" t="str">
        <f>IF($B369="","",IFERROR(IF(INDEX(Config!$D$9:$D$29,MATCH($B369,Config!$B$9:$B$29,0))="Contrato",IF(INDEX(Config!$E$9:$E$29,MATCH($B369,Config!$B$9:$B$29,0))="","",INDEX(Config!$E$9:$E$29,MATCH($B369,Config!$B$9:$B$29,0))),""),""))</f>
        <v/>
      </c>
      <c r="AC369" s="19" t="str">
        <f>IF($B369="","",IFERROR(INDEX(Config!$D$9:$D$29,MATCH($B369,Config!$B$9:$B$29,0))&amp;"",""))</f>
        <v/>
      </c>
    </row>
    <row r="370">
      <c r="R370" s="20" t="str">
        <f>IF($B370="","",IFERROR(IF(INDEX(Config!$D$9:$D$29,MATCH($B370,Config!$B$9:$B$29,0))="Contrato",IF(INDEX(Config!$E$9:$E$29,MATCH($B370,Config!$B$9:$B$29,0))="","",INDEX(Config!$E$9:$E$29,MATCH($B370,Config!$B$9:$B$29,0))),""),""))</f>
        <v/>
      </c>
      <c r="AC370" s="19" t="str">
        <f>IF($B370="","",IFERROR(INDEX(Config!$D$9:$D$29,MATCH($B370,Config!$B$9:$B$29,0))&amp;"",""))</f>
        <v/>
      </c>
    </row>
    <row r="371">
      <c r="R371" s="20" t="str">
        <f>IF($B371="","",IFERROR(IF(INDEX(Config!$D$9:$D$29,MATCH($B371,Config!$B$9:$B$29,0))="Contrato",IF(INDEX(Config!$E$9:$E$29,MATCH($B371,Config!$B$9:$B$29,0))="","",INDEX(Config!$E$9:$E$29,MATCH($B371,Config!$B$9:$B$29,0))),""),""))</f>
        <v/>
      </c>
      <c r="AC371" s="19" t="str">
        <f>IF($B371="","",IFERROR(INDEX(Config!$D$9:$D$29,MATCH($B371,Config!$B$9:$B$29,0))&amp;"",""))</f>
        <v/>
      </c>
    </row>
    <row r="372">
      <c r="R372" s="20" t="str">
        <f>IF($B372="","",IFERROR(IF(INDEX(Config!$D$9:$D$29,MATCH($B372,Config!$B$9:$B$29,0))="Contrato",IF(INDEX(Config!$E$9:$E$29,MATCH($B372,Config!$B$9:$B$29,0))="","",INDEX(Config!$E$9:$E$29,MATCH($B372,Config!$B$9:$B$29,0))),""),""))</f>
        <v/>
      </c>
      <c r="AC372" s="19" t="str">
        <f>IF($B372="","",IFERROR(INDEX(Config!$D$9:$D$29,MATCH($B372,Config!$B$9:$B$29,0))&amp;"",""))</f>
        <v/>
      </c>
    </row>
    <row r="373">
      <c r="R373" s="20" t="str">
        <f>IF($B373="","",IFERROR(IF(INDEX(Config!$D$9:$D$29,MATCH($B373,Config!$B$9:$B$29,0))="Contrato",IF(INDEX(Config!$E$9:$E$29,MATCH($B373,Config!$B$9:$B$29,0))="","",INDEX(Config!$E$9:$E$29,MATCH($B373,Config!$B$9:$B$29,0))),""),""))</f>
        <v/>
      </c>
      <c r="AC373" s="19" t="str">
        <f>IF($B373="","",IFERROR(INDEX(Config!$D$9:$D$29,MATCH($B373,Config!$B$9:$B$29,0))&amp;"",""))</f>
        <v/>
      </c>
    </row>
    <row r="374">
      <c r="R374" s="20" t="str">
        <f>IF($B374="","",IFERROR(IF(INDEX(Config!$D$9:$D$29,MATCH($B374,Config!$B$9:$B$29,0))="Contrato",IF(INDEX(Config!$E$9:$E$29,MATCH($B374,Config!$B$9:$B$29,0))="","",INDEX(Config!$E$9:$E$29,MATCH($B374,Config!$B$9:$B$29,0))),""),""))</f>
        <v/>
      </c>
      <c r="AC374" s="19" t="str">
        <f>IF($B374="","",IFERROR(INDEX(Config!$D$9:$D$29,MATCH($B374,Config!$B$9:$B$29,0))&amp;"",""))</f>
        <v/>
      </c>
    </row>
    <row r="375">
      <c r="R375" s="20" t="str">
        <f>IF($B375="","",IFERROR(IF(INDEX(Config!$D$9:$D$29,MATCH($B375,Config!$B$9:$B$29,0))="Contrato",IF(INDEX(Config!$E$9:$E$29,MATCH($B375,Config!$B$9:$B$29,0))="","",INDEX(Config!$E$9:$E$29,MATCH($B375,Config!$B$9:$B$29,0))),""),""))</f>
        <v/>
      </c>
      <c r="AC375" s="19" t="str">
        <f>IF($B375="","",IFERROR(INDEX(Config!$D$9:$D$29,MATCH($B375,Config!$B$9:$B$29,0))&amp;"",""))</f>
        <v/>
      </c>
    </row>
    <row r="376">
      <c r="R376" s="20" t="str">
        <f>IF($B376="","",IFERROR(IF(INDEX(Config!$D$9:$D$29,MATCH($B376,Config!$B$9:$B$29,0))="Contrato",IF(INDEX(Config!$E$9:$E$29,MATCH($B376,Config!$B$9:$B$29,0))="","",INDEX(Config!$E$9:$E$29,MATCH($B376,Config!$B$9:$B$29,0))),""),""))</f>
        <v/>
      </c>
      <c r="AC376" s="19" t="str">
        <f>IF($B376="","",IFERROR(INDEX(Config!$D$9:$D$29,MATCH($B376,Config!$B$9:$B$29,0))&amp;"",""))</f>
        <v/>
      </c>
    </row>
    <row r="377">
      <c r="R377" s="20" t="str">
        <f>IF($B377="","",IFERROR(IF(INDEX(Config!$D$9:$D$29,MATCH($B377,Config!$B$9:$B$29,0))="Contrato",IF(INDEX(Config!$E$9:$E$29,MATCH($B377,Config!$B$9:$B$29,0))="","",INDEX(Config!$E$9:$E$29,MATCH($B377,Config!$B$9:$B$29,0))),""),""))</f>
        <v/>
      </c>
      <c r="AC377" s="19" t="str">
        <f>IF($B377="","",IFERROR(INDEX(Config!$D$9:$D$29,MATCH($B377,Config!$B$9:$B$29,0))&amp;"",""))</f>
        <v/>
      </c>
    </row>
    <row r="378">
      <c r="R378" s="20" t="str">
        <f>IF($B378="","",IFERROR(IF(INDEX(Config!$D$9:$D$29,MATCH($B378,Config!$B$9:$B$29,0))="Contrato",IF(INDEX(Config!$E$9:$E$29,MATCH($B378,Config!$B$9:$B$29,0))="","",INDEX(Config!$E$9:$E$29,MATCH($B378,Config!$B$9:$B$29,0))),""),""))</f>
        <v/>
      </c>
      <c r="AC378" s="19" t="str">
        <f>IF($B378="","",IFERROR(INDEX(Config!$D$9:$D$29,MATCH($B378,Config!$B$9:$B$29,0))&amp;"",""))</f>
        <v/>
      </c>
    </row>
    <row r="379">
      <c r="R379" s="20" t="str">
        <f>IF($B379="","",IFERROR(IF(INDEX(Config!$D$9:$D$29,MATCH($B379,Config!$B$9:$B$29,0))="Contrato",IF(INDEX(Config!$E$9:$E$29,MATCH($B379,Config!$B$9:$B$29,0))="","",INDEX(Config!$E$9:$E$29,MATCH($B379,Config!$B$9:$B$29,0))),""),""))</f>
        <v/>
      </c>
      <c r="AC379" s="19" t="str">
        <f>IF($B379="","",IFERROR(INDEX(Config!$D$9:$D$29,MATCH($B379,Config!$B$9:$B$29,0))&amp;"",""))</f>
        <v/>
      </c>
    </row>
    <row r="380">
      <c r="R380" s="20" t="str">
        <f>IF($B380="","",IFERROR(IF(INDEX(Config!$D$9:$D$29,MATCH($B380,Config!$B$9:$B$29,0))="Contrato",IF(INDEX(Config!$E$9:$E$29,MATCH($B380,Config!$B$9:$B$29,0))="","",INDEX(Config!$E$9:$E$29,MATCH($B380,Config!$B$9:$B$29,0))),""),""))</f>
        <v/>
      </c>
      <c r="AC380" s="19" t="str">
        <f>IF($B380="","",IFERROR(INDEX(Config!$D$9:$D$29,MATCH($B380,Config!$B$9:$B$29,0))&amp;"",""))</f>
        <v/>
      </c>
    </row>
    <row r="381">
      <c r="R381" s="20" t="str">
        <f>IF($B381="","",IFERROR(IF(INDEX(Config!$D$9:$D$29,MATCH($B381,Config!$B$9:$B$29,0))="Contrato",IF(INDEX(Config!$E$9:$E$29,MATCH($B381,Config!$B$9:$B$29,0))="","",INDEX(Config!$E$9:$E$29,MATCH($B381,Config!$B$9:$B$29,0))),""),""))</f>
        <v/>
      </c>
      <c r="AC381" s="19" t="str">
        <f>IF($B381="","",IFERROR(INDEX(Config!$D$9:$D$29,MATCH($B381,Config!$B$9:$B$29,0))&amp;"",""))</f>
        <v/>
      </c>
    </row>
    <row r="382">
      <c r="R382" s="20" t="str">
        <f>IF($B382="","",IFERROR(IF(INDEX(Config!$D$9:$D$29,MATCH($B382,Config!$B$9:$B$29,0))="Contrato",IF(INDEX(Config!$E$9:$E$29,MATCH($B382,Config!$B$9:$B$29,0))="","",INDEX(Config!$E$9:$E$29,MATCH($B382,Config!$B$9:$B$29,0))),""),""))</f>
        <v/>
      </c>
      <c r="AC382" s="19" t="str">
        <f>IF($B382="","",IFERROR(INDEX(Config!$D$9:$D$29,MATCH($B382,Config!$B$9:$B$29,0))&amp;"",""))</f>
        <v/>
      </c>
    </row>
    <row r="383">
      <c r="R383" s="20" t="str">
        <f>IF($B383="","",IFERROR(IF(INDEX(Config!$D$9:$D$29,MATCH($B383,Config!$B$9:$B$29,0))="Contrato",IF(INDEX(Config!$E$9:$E$29,MATCH($B383,Config!$B$9:$B$29,0))="","",INDEX(Config!$E$9:$E$29,MATCH($B383,Config!$B$9:$B$29,0))),""),""))</f>
        <v/>
      </c>
      <c r="AC383" s="19" t="str">
        <f>IF($B383="","",IFERROR(INDEX(Config!$D$9:$D$29,MATCH($B383,Config!$B$9:$B$29,0))&amp;"",""))</f>
        <v/>
      </c>
    </row>
    <row r="384">
      <c r="R384" s="20" t="str">
        <f>IF($B384="","",IFERROR(IF(INDEX(Config!$D$9:$D$29,MATCH($B384,Config!$B$9:$B$29,0))="Contrato",IF(INDEX(Config!$E$9:$E$29,MATCH($B384,Config!$B$9:$B$29,0))="","",INDEX(Config!$E$9:$E$29,MATCH($B384,Config!$B$9:$B$29,0))),""),""))</f>
        <v/>
      </c>
      <c r="AC384" s="19" t="str">
        <f>IF($B384="","",IFERROR(INDEX(Config!$D$9:$D$29,MATCH($B384,Config!$B$9:$B$29,0))&amp;"",""))</f>
        <v/>
      </c>
    </row>
    <row r="385">
      <c r="R385" s="20" t="str">
        <f>IF($B385="","",IFERROR(IF(INDEX(Config!$D$9:$D$29,MATCH($B385,Config!$B$9:$B$29,0))="Contrato",IF(INDEX(Config!$E$9:$E$29,MATCH($B385,Config!$B$9:$B$29,0))="","",INDEX(Config!$E$9:$E$29,MATCH($B385,Config!$B$9:$B$29,0))),""),""))</f>
        <v/>
      </c>
      <c r="AC385" s="19" t="str">
        <f>IF($B385="","",IFERROR(INDEX(Config!$D$9:$D$29,MATCH($B385,Config!$B$9:$B$29,0))&amp;"",""))</f>
        <v/>
      </c>
    </row>
    <row r="386">
      <c r="R386" s="20" t="str">
        <f>IF($B386="","",IFERROR(IF(INDEX(Config!$D$9:$D$29,MATCH($B386,Config!$B$9:$B$29,0))="Contrato",IF(INDEX(Config!$E$9:$E$29,MATCH($B386,Config!$B$9:$B$29,0))="","",INDEX(Config!$E$9:$E$29,MATCH($B386,Config!$B$9:$B$29,0))),""),""))</f>
        <v/>
      </c>
      <c r="AC386" s="19" t="str">
        <f>IF($B386="","",IFERROR(INDEX(Config!$D$9:$D$29,MATCH($B386,Config!$B$9:$B$29,0))&amp;"",""))</f>
        <v/>
      </c>
    </row>
    <row r="387">
      <c r="R387" s="20" t="str">
        <f>IF($B387="","",IFERROR(IF(INDEX(Config!$D$9:$D$29,MATCH($B387,Config!$B$9:$B$29,0))="Contrato",IF(INDEX(Config!$E$9:$E$29,MATCH($B387,Config!$B$9:$B$29,0))="","",INDEX(Config!$E$9:$E$29,MATCH($B387,Config!$B$9:$B$29,0))),""),""))</f>
        <v/>
      </c>
      <c r="AC387" s="19" t="str">
        <f>IF($B387="","",IFERROR(INDEX(Config!$D$9:$D$29,MATCH($B387,Config!$B$9:$B$29,0))&amp;"",""))</f>
        <v/>
      </c>
    </row>
    <row r="388">
      <c r="R388" s="20" t="str">
        <f>IF($B388="","",IFERROR(IF(INDEX(Config!$D$9:$D$29,MATCH($B388,Config!$B$9:$B$29,0))="Contrato",IF(INDEX(Config!$E$9:$E$29,MATCH($B388,Config!$B$9:$B$29,0))="","",INDEX(Config!$E$9:$E$29,MATCH($B388,Config!$B$9:$B$29,0))),""),""))</f>
        <v/>
      </c>
      <c r="AC388" s="19" t="str">
        <f>IF($B388="","",IFERROR(INDEX(Config!$D$9:$D$29,MATCH($B388,Config!$B$9:$B$29,0))&amp;"",""))</f>
        <v/>
      </c>
    </row>
    <row r="389">
      <c r="R389" s="20" t="str">
        <f>IF($B389="","",IFERROR(IF(INDEX(Config!$D$9:$D$29,MATCH($B389,Config!$B$9:$B$29,0))="Contrato",IF(INDEX(Config!$E$9:$E$29,MATCH($B389,Config!$B$9:$B$29,0))="","",INDEX(Config!$E$9:$E$29,MATCH($B389,Config!$B$9:$B$29,0))),""),""))</f>
        <v/>
      </c>
      <c r="AC389" s="19" t="str">
        <f>IF($B389="","",IFERROR(INDEX(Config!$D$9:$D$29,MATCH($B389,Config!$B$9:$B$29,0))&amp;"",""))</f>
        <v/>
      </c>
    </row>
    <row r="390">
      <c r="R390" s="20" t="str">
        <f>IF($B390="","",IFERROR(IF(INDEX(Config!$D$9:$D$29,MATCH($B390,Config!$B$9:$B$29,0))="Contrato",IF(INDEX(Config!$E$9:$E$29,MATCH($B390,Config!$B$9:$B$29,0))="","",INDEX(Config!$E$9:$E$29,MATCH($B390,Config!$B$9:$B$29,0))),""),""))</f>
        <v/>
      </c>
      <c r="AC390" s="19" t="str">
        <f>IF($B390="","",IFERROR(INDEX(Config!$D$9:$D$29,MATCH($B390,Config!$B$9:$B$29,0))&amp;"",""))</f>
        <v/>
      </c>
    </row>
    <row r="391">
      <c r="R391" s="20" t="str">
        <f>IF($B391="","",IFERROR(IF(INDEX(Config!$D$9:$D$29,MATCH($B391,Config!$B$9:$B$29,0))="Contrato",IF(INDEX(Config!$E$9:$E$29,MATCH($B391,Config!$B$9:$B$29,0))="","",INDEX(Config!$E$9:$E$29,MATCH($B391,Config!$B$9:$B$29,0))),""),""))</f>
        <v/>
      </c>
      <c r="AC391" s="19" t="str">
        <f>IF($B391="","",IFERROR(INDEX(Config!$D$9:$D$29,MATCH($B391,Config!$B$9:$B$29,0))&amp;"",""))</f>
        <v/>
      </c>
    </row>
    <row r="392">
      <c r="R392" s="20" t="str">
        <f>IF($B392="","",IFERROR(IF(INDEX(Config!$D$9:$D$29,MATCH($B392,Config!$B$9:$B$29,0))="Contrato",IF(INDEX(Config!$E$9:$E$29,MATCH($B392,Config!$B$9:$B$29,0))="","",INDEX(Config!$E$9:$E$29,MATCH($B392,Config!$B$9:$B$29,0))),""),""))</f>
        <v/>
      </c>
      <c r="AC392" s="19" t="str">
        <f>IF($B392="","",IFERROR(INDEX(Config!$D$9:$D$29,MATCH($B392,Config!$B$9:$B$29,0))&amp;"",""))</f>
        <v/>
      </c>
    </row>
    <row r="393">
      <c r="R393" s="20" t="str">
        <f>IF($B393="","",IFERROR(IF(INDEX(Config!$D$9:$D$29,MATCH($B393,Config!$B$9:$B$29,0))="Contrato",IF(INDEX(Config!$E$9:$E$29,MATCH($B393,Config!$B$9:$B$29,0))="","",INDEX(Config!$E$9:$E$29,MATCH($B393,Config!$B$9:$B$29,0))),""),""))</f>
        <v/>
      </c>
      <c r="AC393" s="19" t="str">
        <f>IF($B393="","",IFERROR(INDEX(Config!$D$9:$D$29,MATCH($B393,Config!$B$9:$B$29,0))&amp;"",""))</f>
        <v/>
      </c>
    </row>
    <row r="394">
      <c r="R394" s="20" t="str">
        <f>IF($B394="","",IFERROR(IF(INDEX(Config!$D$9:$D$29,MATCH($B394,Config!$B$9:$B$29,0))="Contrato",IF(INDEX(Config!$E$9:$E$29,MATCH($B394,Config!$B$9:$B$29,0))="","",INDEX(Config!$E$9:$E$29,MATCH($B394,Config!$B$9:$B$29,0))),""),""))</f>
        <v/>
      </c>
      <c r="AC394" s="19" t="str">
        <f>IF($B394="","",IFERROR(INDEX(Config!$D$9:$D$29,MATCH($B394,Config!$B$9:$B$29,0))&amp;"",""))</f>
        <v/>
      </c>
    </row>
    <row r="395">
      <c r="R395" s="20" t="str">
        <f>IF($B395="","",IFERROR(IF(INDEX(Config!$D$9:$D$29,MATCH($B395,Config!$B$9:$B$29,0))="Contrato",IF(INDEX(Config!$E$9:$E$29,MATCH($B395,Config!$B$9:$B$29,0))="","",INDEX(Config!$E$9:$E$29,MATCH($B395,Config!$B$9:$B$29,0))),""),""))</f>
        <v/>
      </c>
      <c r="AC395" s="19" t="str">
        <f>IF($B395="","",IFERROR(INDEX(Config!$D$9:$D$29,MATCH($B395,Config!$B$9:$B$29,0))&amp;"",""))</f>
        <v/>
      </c>
    </row>
    <row r="396">
      <c r="R396" s="20" t="str">
        <f>IF($B396="","",IFERROR(IF(INDEX(Config!$D$9:$D$29,MATCH($B396,Config!$B$9:$B$29,0))="Contrato",IF(INDEX(Config!$E$9:$E$29,MATCH($B396,Config!$B$9:$B$29,0))="","",INDEX(Config!$E$9:$E$29,MATCH($B396,Config!$B$9:$B$29,0))),""),""))</f>
        <v/>
      </c>
      <c r="AC396" s="19" t="str">
        <f>IF($B396="","",IFERROR(INDEX(Config!$D$9:$D$29,MATCH($B396,Config!$B$9:$B$29,0))&amp;"",""))</f>
        <v/>
      </c>
    </row>
    <row r="397">
      <c r="R397" s="20" t="str">
        <f>IF($B397="","",IFERROR(IF(INDEX(Config!$D$9:$D$29,MATCH($B397,Config!$B$9:$B$29,0))="Contrato",IF(INDEX(Config!$E$9:$E$29,MATCH($B397,Config!$B$9:$B$29,0))="","",INDEX(Config!$E$9:$E$29,MATCH($B397,Config!$B$9:$B$29,0))),""),""))</f>
        <v/>
      </c>
      <c r="AC397" s="19" t="str">
        <f>IF($B397="","",IFERROR(INDEX(Config!$D$9:$D$29,MATCH($B397,Config!$B$9:$B$29,0))&amp;"",""))</f>
        <v/>
      </c>
    </row>
    <row r="398">
      <c r="R398" s="20" t="str">
        <f>IF($B398="","",IFERROR(IF(INDEX(Config!$D$9:$D$29,MATCH($B398,Config!$B$9:$B$29,0))="Contrato",IF(INDEX(Config!$E$9:$E$29,MATCH($B398,Config!$B$9:$B$29,0))="","",INDEX(Config!$E$9:$E$29,MATCH($B398,Config!$B$9:$B$29,0))),""),""))</f>
        <v/>
      </c>
      <c r="AC398" s="19" t="str">
        <f>IF($B398="","",IFERROR(INDEX(Config!$D$9:$D$29,MATCH($B398,Config!$B$9:$B$29,0))&amp;"",""))</f>
        <v/>
      </c>
    </row>
    <row r="399">
      <c r="R399" s="20" t="str">
        <f>IF($B399="","",IFERROR(IF(INDEX(Config!$D$9:$D$29,MATCH($B399,Config!$B$9:$B$29,0))="Contrato",IF(INDEX(Config!$E$9:$E$29,MATCH($B399,Config!$B$9:$B$29,0))="","",INDEX(Config!$E$9:$E$29,MATCH($B399,Config!$B$9:$B$29,0))),""),""))</f>
        <v/>
      </c>
      <c r="AC399" s="19" t="str">
        <f>IF($B399="","",IFERROR(INDEX(Config!$D$9:$D$29,MATCH($B399,Config!$B$9:$B$29,0))&amp;"",""))</f>
        <v/>
      </c>
    </row>
    <row r="400">
      <c r="R400" s="20" t="str">
        <f>IF($B400="","",IFERROR(IF(INDEX(Config!$D$9:$D$29,MATCH($B400,Config!$B$9:$B$29,0))="Contrato",IF(INDEX(Config!$E$9:$E$29,MATCH($B400,Config!$B$9:$B$29,0))="","",INDEX(Config!$E$9:$E$29,MATCH($B400,Config!$B$9:$B$29,0))),""),""))</f>
        <v/>
      </c>
      <c r="AC400" s="19" t="str">
        <f>IF($B400="","",IFERROR(INDEX(Config!$D$9:$D$29,MATCH($B400,Config!$B$9:$B$29,0))&amp;"",""))</f>
        <v/>
      </c>
    </row>
    <row r="401">
      <c r="R401" s="20" t="str">
        <f>IF($B401="","",IFERROR(IF(INDEX(Config!$D$9:$D$29,MATCH($B401,Config!$B$9:$B$29,0))="Contrato",IF(INDEX(Config!$E$9:$E$29,MATCH($B401,Config!$B$9:$B$29,0))="","",INDEX(Config!$E$9:$E$29,MATCH($B401,Config!$B$9:$B$29,0))),""),""))</f>
        <v/>
      </c>
      <c r="AC401" s="19" t="str">
        <f>IF($B401="","",IFERROR(INDEX(Config!$D$9:$D$29,MATCH($B401,Config!$B$9:$B$29,0))&amp;"",""))</f>
        <v/>
      </c>
    </row>
    <row r="402">
      <c r="R402" s="20" t="str">
        <f>IF($B402="","",IFERROR(IF(INDEX(Config!$D$9:$D$29,MATCH($B402,Config!$B$9:$B$29,0))="Contrato",IF(INDEX(Config!$E$9:$E$29,MATCH($B402,Config!$B$9:$B$29,0))="","",INDEX(Config!$E$9:$E$29,MATCH($B402,Config!$B$9:$B$29,0))),""),""))</f>
        <v/>
      </c>
      <c r="AC402" s="19" t="str">
        <f>IF($B402="","",IFERROR(INDEX(Config!$D$9:$D$29,MATCH($B402,Config!$B$9:$B$29,0))&amp;"",""))</f>
        <v/>
      </c>
    </row>
    <row r="403">
      <c r="R403" s="20" t="str">
        <f>IF($B403="","",IFERROR(IF(INDEX(Config!$D$9:$D$29,MATCH($B403,Config!$B$9:$B$29,0))="Contrato",IF(INDEX(Config!$E$9:$E$29,MATCH($B403,Config!$B$9:$B$29,0))="","",INDEX(Config!$E$9:$E$29,MATCH($B403,Config!$B$9:$B$29,0))),""),""))</f>
        <v/>
      </c>
      <c r="AC403" s="19" t="str">
        <f>IF($B403="","",IFERROR(INDEX(Config!$D$9:$D$29,MATCH($B403,Config!$B$9:$B$29,0))&amp;"",""))</f>
        <v/>
      </c>
    </row>
    <row r="404">
      <c r="R404" s="20" t="str">
        <f>IF($B404="","",IFERROR(IF(INDEX(Config!$D$9:$D$29,MATCH($B404,Config!$B$9:$B$29,0))="Contrato",IF(INDEX(Config!$E$9:$E$29,MATCH($B404,Config!$B$9:$B$29,0))="","",INDEX(Config!$E$9:$E$29,MATCH($B404,Config!$B$9:$B$29,0))),""),""))</f>
        <v/>
      </c>
      <c r="AC404" s="19" t="str">
        <f>IF($B404="","",IFERROR(INDEX(Config!$D$9:$D$29,MATCH($B404,Config!$B$9:$B$29,0))&amp;"",""))</f>
        <v/>
      </c>
    </row>
    <row r="405">
      <c r="R405" s="20" t="str">
        <f>IF($B405="","",IFERROR(IF(INDEX(Config!$D$9:$D$29,MATCH($B405,Config!$B$9:$B$29,0))="Contrato",IF(INDEX(Config!$E$9:$E$29,MATCH($B405,Config!$B$9:$B$29,0))="","",INDEX(Config!$E$9:$E$29,MATCH($B405,Config!$B$9:$B$29,0))),""),""))</f>
        <v/>
      </c>
      <c r="AC405" s="19" t="str">
        <f>IF($B405="","",IFERROR(INDEX(Config!$D$9:$D$29,MATCH($B405,Config!$B$9:$B$29,0))&amp;"",""))</f>
        <v/>
      </c>
    </row>
    <row r="406">
      <c r="R406" s="20" t="str">
        <f>IF($B406="","",IFERROR(IF(INDEX(Config!$D$9:$D$29,MATCH($B406,Config!$B$9:$B$29,0))="Contrato",IF(INDEX(Config!$E$9:$E$29,MATCH($B406,Config!$B$9:$B$29,0))="","",INDEX(Config!$E$9:$E$29,MATCH($B406,Config!$B$9:$B$29,0))),""),""))</f>
        <v/>
      </c>
      <c r="AC406" s="19" t="str">
        <f>IF($B406="","",IFERROR(INDEX(Config!$D$9:$D$29,MATCH($B406,Config!$B$9:$B$29,0))&amp;"",""))</f>
        <v/>
      </c>
    </row>
    <row r="407">
      <c r="R407" s="20" t="str">
        <f>IF($B407="","",IFERROR(IF(INDEX(Config!$D$9:$D$29,MATCH($B407,Config!$B$9:$B$29,0))="Contrato",IF(INDEX(Config!$E$9:$E$29,MATCH($B407,Config!$B$9:$B$29,0))="","",INDEX(Config!$E$9:$E$29,MATCH($B407,Config!$B$9:$B$29,0))),""),""))</f>
        <v/>
      </c>
      <c r="AC407" s="19" t="str">
        <f>IF($B407="","",IFERROR(INDEX(Config!$D$9:$D$29,MATCH($B407,Config!$B$9:$B$29,0))&amp;"",""))</f>
        <v/>
      </c>
    </row>
    <row r="408">
      <c r="R408" s="20" t="str">
        <f>IF($B408="","",IFERROR(IF(INDEX(Config!$D$9:$D$29,MATCH($B408,Config!$B$9:$B$29,0))="Contrato",IF(INDEX(Config!$E$9:$E$29,MATCH($B408,Config!$B$9:$B$29,0))="","",INDEX(Config!$E$9:$E$29,MATCH($B408,Config!$B$9:$B$29,0))),""),""))</f>
        <v/>
      </c>
      <c r="AC408" s="19" t="str">
        <f>IF($B408="","",IFERROR(INDEX(Config!$D$9:$D$29,MATCH($B408,Config!$B$9:$B$29,0))&amp;"",""))</f>
        <v/>
      </c>
    </row>
    <row r="409">
      <c r="R409" s="20" t="str">
        <f>IF($B409="","",IFERROR(IF(INDEX(Config!$D$9:$D$29,MATCH($B409,Config!$B$9:$B$29,0))="Contrato",IF(INDEX(Config!$E$9:$E$29,MATCH($B409,Config!$B$9:$B$29,0))="","",INDEX(Config!$E$9:$E$29,MATCH($B409,Config!$B$9:$B$29,0))),""),""))</f>
        <v/>
      </c>
      <c r="AC409" s="19" t="str">
        <f>IF($B409="","",IFERROR(INDEX(Config!$D$9:$D$29,MATCH($B409,Config!$B$9:$B$29,0))&amp;"",""))</f>
        <v/>
      </c>
    </row>
    <row r="410">
      <c r="R410" s="20" t="str">
        <f>IF($B410="","",IFERROR(IF(INDEX(Config!$D$9:$D$29,MATCH($B410,Config!$B$9:$B$29,0))="Contrato",IF(INDEX(Config!$E$9:$E$29,MATCH($B410,Config!$B$9:$B$29,0))="","",INDEX(Config!$E$9:$E$29,MATCH($B410,Config!$B$9:$B$29,0))),""),""))</f>
        <v/>
      </c>
      <c r="AC410" s="19" t="str">
        <f>IF($B410="","",IFERROR(INDEX(Config!$D$9:$D$29,MATCH($B410,Config!$B$9:$B$29,0))&amp;"",""))</f>
        <v/>
      </c>
    </row>
    <row r="411">
      <c r="R411" s="20" t="str">
        <f>IF($B411="","",IFERROR(IF(INDEX(Config!$D$9:$D$29,MATCH($B411,Config!$B$9:$B$29,0))="Contrato",IF(INDEX(Config!$E$9:$E$29,MATCH($B411,Config!$B$9:$B$29,0))="","",INDEX(Config!$E$9:$E$29,MATCH($B411,Config!$B$9:$B$29,0))),""),""))</f>
        <v/>
      </c>
      <c r="AC411" s="19" t="str">
        <f>IF($B411="","",IFERROR(INDEX(Config!$D$9:$D$29,MATCH($B411,Config!$B$9:$B$29,0))&amp;"",""))</f>
        <v/>
      </c>
    </row>
    <row r="412">
      <c r="R412" s="20" t="str">
        <f>IF($B412="","",IFERROR(IF(INDEX(Config!$D$9:$D$29,MATCH($B412,Config!$B$9:$B$29,0))="Contrato",IF(INDEX(Config!$E$9:$E$29,MATCH($B412,Config!$B$9:$B$29,0))="","",INDEX(Config!$E$9:$E$29,MATCH($B412,Config!$B$9:$B$29,0))),""),""))</f>
        <v/>
      </c>
      <c r="AC412" s="19" t="str">
        <f>IF($B412="","",IFERROR(INDEX(Config!$D$9:$D$29,MATCH($B412,Config!$B$9:$B$29,0))&amp;"",""))</f>
        <v/>
      </c>
    </row>
    <row r="413">
      <c r="R413" s="20" t="str">
        <f>IF($B413="","",IFERROR(IF(INDEX(Config!$D$9:$D$29,MATCH($B413,Config!$B$9:$B$29,0))="Contrato",IF(INDEX(Config!$E$9:$E$29,MATCH($B413,Config!$B$9:$B$29,0))="","",INDEX(Config!$E$9:$E$29,MATCH($B413,Config!$B$9:$B$29,0))),""),""))</f>
        <v/>
      </c>
      <c r="AC413" s="19" t="str">
        <f>IF($B413="","",IFERROR(INDEX(Config!$D$9:$D$29,MATCH($B413,Config!$B$9:$B$29,0))&amp;"",""))</f>
        <v/>
      </c>
    </row>
    <row r="414">
      <c r="R414" s="20" t="str">
        <f>IF($B414="","",IFERROR(IF(INDEX(Config!$D$9:$D$29,MATCH($B414,Config!$B$9:$B$29,0))="Contrato",IF(INDEX(Config!$E$9:$E$29,MATCH($B414,Config!$B$9:$B$29,0))="","",INDEX(Config!$E$9:$E$29,MATCH($B414,Config!$B$9:$B$29,0))),""),""))</f>
        <v/>
      </c>
      <c r="AC414" s="19" t="str">
        <f>IF($B414="","",IFERROR(INDEX(Config!$D$9:$D$29,MATCH($B414,Config!$B$9:$B$29,0))&amp;"",""))</f>
        <v/>
      </c>
    </row>
    <row r="415">
      <c r="R415" s="20" t="str">
        <f>IF($B415="","",IFERROR(IF(INDEX(Config!$D$9:$D$29,MATCH($B415,Config!$B$9:$B$29,0))="Contrato",IF(INDEX(Config!$E$9:$E$29,MATCH($B415,Config!$B$9:$B$29,0))="","",INDEX(Config!$E$9:$E$29,MATCH($B415,Config!$B$9:$B$29,0))),""),""))</f>
        <v/>
      </c>
      <c r="AC415" s="19" t="str">
        <f>IF($B415="","",IFERROR(INDEX(Config!$D$9:$D$29,MATCH($B415,Config!$B$9:$B$29,0))&amp;"",""))</f>
        <v/>
      </c>
    </row>
    <row r="416">
      <c r="R416" s="20" t="str">
        <f>IF($B416="","",IFERROR(IF(INDEX(Config!$D$9:$D$29,MATCH($B416,Config!$B$9:$B$29,0))="Contrato",IF(INDEX(Config!$E$9:$E$29,MATCH($B416,Config!$B$9:$B$29,0))="","",INDEX(Config!$E$9:$E$29,MATCH($B416,Config!$B$9:$B$29,0))),""),""))</f>
        <v/>
      </c>
      <c r="AC416" s="19" t="str">
        <f>IF($B416="","",IFERROR(INDEX(Config!$D$9:$D$29,MATCH($B416,Config!$B$9:$B$29,0))&amp;"",""))</f>
        <v/>
      </c>
    </row>
    <row r="417">
      <c r="R417" s="20" t="str">
        <f>IF($B417="","",IFERROR(IF(INDEX(Config!$D$9:$D$29,MATCH($B417,Config!$B$9:$B$29,0))="Contrato",IF(INDEX(Config!$E$9:$E$29,MATCH($B417,Config!$B$9:$B$29,0))="","",INDEX(Config!$E$9:$E$29,MATCH($B417,Config!$B$9:$B$29,0))),""),""))</f>
        <v/>
      </c>
      <c r="AC417" s="19" t="str">
        <f>IF($B417="","",IFERROR(INDEX(Config!$D$9:$D$29,MATCH($B417,Config!$B$9:$B$29,0))&amp;"",""))</f>
        <v/>
      </c>
    </row>
    <row r="418">
      <c r="R418" s="20" t="str">
        <f>IF($B418="","",IFERROR(IF(INDEX(Config!$D$9:$D$29,MATCH($B418,Config!$B$9:$B$29,0))="Contrato",IF(INDEX(Config!$E$9:$E$29,MATCH($B418,Config!$B$9:$B$29,0))="","",INDEX(Config!$E$9:$E$29,MATCH($B418,Config!$B$9:$B$29,0))),""),""))</f>
        <v/>
      </c>
      <c r="AC418" s="19" t="str">
        <f>IF($B418="","",IFERROR(INDEX(Config!$D$9:$D$29,MATCH($B418,Config!$B$9:$B$29,0))&amp;"",""))</f>
        <v/>
      </c>
    </row>
    <row r="419">
      <c r="R419" s="20" t="str">
        <f>IF($B419="","",IFERROR(IF(INDEX(Config!$D$9:$D$29,MATCH($B419,Config!$B$9:$B$29,0))="Contrato",IF(INDEX(Config!$E$9:$E$29,MATCH($B419,Config!$B$9:$B$29,0))="","",INDEX(Config!$E$9:$E$29,MATCH($B419,Config!$B$9:$B$29,0))),""),""))</f>
        <v/>
      </c>
      <c r="AC419" s="19" t="str">
        <f>IF($B419="","",IFERROR(INDEX(Config!$D$9:$D$29,MATCH($B419,Config!$B$9:$B$29,0))&amp;"",""))</f>
        <v/>
      </c>
    </row>
    <row r="420">
      <c r="R420" s="20" t="str">
        <f>IF($B420="","",IFERROR(IF(INDEX(Config!$D$9:$D$29,MATCH($B420,Config!$B$9:$B$29,0))="Contrato",IF(INDEX(Config!$E$9:$E$29,MATCH($B420,Config!$B$9:$B$29,0))="","",INDEX(Config!$E$9:$E$29,MATCH($B420,Config!$B$9:$B$29,0))),""),""))</f>
        <v/>
      </c>
      <c r="AC420" s="19" t="str">
        <f>IF($B420="","",IFERROR(INDEX(Config!$D$9:$D$29,MATCH($B420,Config!$B$9:$B$29,0))&amp;"",""))</f>
        <v/>
      </c>
    </row>
    <row r="421">
      <c r="R421" s="20" t="str">
        <f>IF($B421="","",IFERROR(IF(INDEX(Config!$D$9:$D$29,MATCH($B421,Config!$B$9:$B$29,0))="Contrato",IF(INDEX(Config!$E$9:$E$29,MATCH($B421,Config!$B$9:$B$29,0))="","",INDEX(Config!$E$9:$E$29,MATCH($B421,Config!$B$9:$B$29,0))),""),""))</f>
        <v/>
      </c>
      <c r="AC421" s="19" t="str">
        <f>IF($B421="","",IFERROR(INDEX(Config!$D$9:$D$29,MATCH($B421,Config!$B$9:$B$29,0))&amp;"",""))</f>
        <v/>
      </c>
    </row>
    <row r="422">
      <c r="R422" s="20" t="str">
        <f>IF($B422="","",IFERROR(IF(INDEX(Config!$D$9:$D$29,MATCH($B422,Config!$B$9:$B$29,0))="Contrato",IF(INDEX(Config!$E$9:$E$29,MATCH($B422,Config!$B$9:$B$29,0))="","",INDEX(Config!$E$9:$E$29,MATCH($B422,Config!$B$9:$B$29,0))),""),""))</f>
        <v/>
      </c>
      <c r="AC422" s="19" t="str">
        <f>IF($B422="","",IFERROR(INDEX(Config!$D$9:$D$29,MATCH($B422,Config!$B$9:$B$29,0))&amp;"",""))</f>
        <v/>
      </c>
    </row>
    <row r="423">
      <c r="R423" s="20" t="str">
        <f>IF($B423="","",IFERROR(IF(INDEX(Config!$D$9:$D$29,MATCH($B423,Config!$B$9:$B$29,0))="Contrato",IF(INDEX(Config!$E$9:$E$29,MATCH($B423,Config!$B$9:$B$29,0))="","",INDEX(Config!$E$9:$E$29,MATCH($B423,Config!$B$9:$B$29,0))),""),""))</f>
        <v/>
      </c>
      <c r="AC423" s="19" t="str">
        <f>IF($B423="","",IFERROR(INDEX(Config!$D$9:$D$29,MATCH($B423,Config!$B$9:$B$29,0))&amp;"",""))</f>
        <v/>
      </c>
    </row>
    <row r="424">
      <c r="R424" s="20" t="str">
        <f>IF($B424="","",IFERROR(IF(INDEX(Config!$D$9:$D$29,MATCH($B424,Config!$B$9:$B$29,0))="Contrato",IF(INDEX(Config!$E$9:$E$29,MATCH($B424,Config!$B$9:$B$29,0))="","",INDEX(Config!$E$9:$E$29,MATCH($B424,Config!$B$9:$B$29,0))),""),""))</f>
        <v/>
      </c>
      <c r="AC424" s="19" t="str">
        <f>IF($B424="","",IFERROR(INDEX(Config!$D$9:$D$29,MATCH($B424,Config!$B$9:$B$29,0))&amp;"",""))</f>
        <v/>
      </c>
    </row>
    <row r="425">
      <c r="R425" s="20" t="str">
        <f>IF($B425="","",IFERROR(IF(INDEX(Config!$D$9:$D$29,MATCH($B425,Config!$B$9:$B$29,0))="Contrato",IF(INDEX(Config!$E$9:$E$29,MATCH($B425,Config!$B$9:$B$29,0))="","",INDEX(Config!$E$9:$E$29,MATCH($B425,Config!$B$9:$B$29,0))),""),""))</f>
        <v/>
      </c>
      <c r="AC425" s="19" t="str">
        <f>IF($B425="","",IFERROR(INDEX(Config!$D$9:$D$29,MATCH($B425,Config!$B$9:$B$29,0))&amp;"",""))</f>
        <v/>
      </c>
    </row>
    <row r="426">
      <c r="R426" s="20" t="str">
        <f>IF($B426="","",IFERROR(IF(INDEX(Config!$D$9:$D$29,MATCH($B426,Config!$B$9:$B$29,0))="Contrato",IF(INDEX(Config!$E$9:$E$29,MATCH($B426,Config!$B$9:$B$29,0))="","",INDEX(Config!$E$9:$E$29,MATCH($B426,Config!$B$9:$B$29,0))),""),""))</f>
        <v/>
      </c>
      <c r="AC426" s="19" t="str">
        <f>IF($B426="","",IFERROR(INDEX(Config!$D$9:$D$29,MATCH($B426,Config!$B$9:$B$29,0))&amp;"",""))</f>
        <v/>
      </c>
    </row>
    <row r="427">
      <c r="R427" s="20" t="str">
        <f>IF($B427="","",IFERROR(IF(INDEX(Config!$D$9:$D$29,MATCH($B427,Config!$B$9:$B$29,0))="Contrato",IF(INDEX(Config!$E$9:$E$29,MATCH($B427,Config!$B$9:$B$29,0))="","",INDEX(Config!$E$9:$E$29,MATCH($B427,Config!$B$9:$B$29,0))),""),""))</f>
        <v/>
      </c>
      <c r="AC427" s="19" t="str">
        <f>IF($B427="","",IFERROR(INDEX(Config!$D$9:$D$29,MATCH($B427,Config!$B$9:$B$29,0))&amp;"",""))</f>
        <v/>
      </c>
    </row>
    <row r="428">
      <c r="R428" s="20" t="str">
        <f>IF($B428="","",IFERROR(IF(INDEX(Config!$D$9:$D$29,MATCH($B428,Config!$B$9:$B$29,0))="Contrato",IF(INDEX(Config!$E$9:$E$29,MATCH($B428,Config!$B$9:$B$29,0))="","",INDEX(Config!$E$9:$E$29,MATCH($B428,Config!$B$9:$B$29,0))),""),""))</f>
        <v/>
      </c>
      <c r="AC428" s="19" t="str">
        <f>IF($B428="","",IFERROR(INDEX(Config!$D$9:$D$29,MATCH($B428,Config!$B$9:$B$29,0))&amp;"",""))</f>
        <v/>
      </c>
    </row>
    <row r="429">
      <c r="R429" s="20" t="str">
        <f>IF($B429="","",IFERROR(IF(INDEX(Config!$D$9:$D$29,MATCH($B429,Config!$B$9:$B$29,0))="Contrato",IF(INDEX(Config!$E$9:$E$29,MATCH($B429,Config!$B$9:$B$29,0))="","",INDEX(Config!$E$9:$E$29,MATCH($B429,Config!$B$9:$B$29,0))),""),""))</f>
        <v/>
      </c>
      <c r="AC429" s="19" t="str">
        <f>IF($B429="","",IFERROR(INDEX(Config!$D$9:$D$29,MATCH($B429,Config!$B$9:$B$29,0))&amp;"",""))</f>
        <v/>
      </c>
    </row>
    <row r="430">
      <c r="R430" s="20" t="str">
        <f>IF($B430="","",IFERROR(IF(INDEX(Config!$D$9:$D$29,MATCH($B430,Config!$B$9:$B$29,0))="Contrato",IF(INDEX(Config!$E$9:$E$29,MATCH($B430,Config!$B$9:$B$29,0))="","",INDEX(Config!$E$9:$E$29,MATCH($B430,Config!$B$9:$B$29,0))),""),""))</f>
        <v/>
      </c>
      <c r="AC430" s="19" t="str">
        <f>IF($B430="","",IFERROR(INDEX(Config!$D$9:$D$29,MATCH($B430,Config!$B$9:$B$29,0))&amp;"",""))</f>
        <v/>
      </c>
    </row>
    <row r="431">
      <c r="R431" s="20" t="str">
        <f>IF($B431="","",IFERROR(IF(INDEX(Config!$D$9:$D$29,MATCH($B431,Config!$B$9:$B$29,0))="Contrato",IF(INDEX(Config!$E$9:$E$29,MATCH($B431,Config!$B$9:$B$29,0))="","",INDEX(Config!$E$9:$E$29,MATCH($B431,Config!$B$9:$B$29,0))),""),""))</f>
        <v/>
      </c>
      <c r="AC431" s="19" t="str">
        <f>IF($B431="","",IFERROR(INDEX(Config!$D$9:$D$29,MATCH($B431,Config!$B$9:$B$29,0))&amp;"",""))</f>
        <v/>
      </c>
    </row>
    <row r="432">
      <c r="R432" s="20" t="str">
        <f>IF($B432="","",IFERROR(IF(INDEX(Config!$D$9:$D$29,MATCH($B432,Config!$B$9:$B$29,0))="Contrato",IF(INDEX(Config!$E$9:$E$29,MATCH($B432,Config!$B$9:$B$29,0))="","",INDEX(Config!$E$9:$E$29,MATCH($B432,Config!$B$9:$B$29,0))),""),""))</f>
        <v/>
      </c>
      <c r="AC432" s="19" t="str">
        <f>IF($B432="","",IFERROR(INDEX(Config!$D$9:$D$29,MATCH($B432,Config!$B$9:$B$29,0))&amp;"",""))</f>
        <v/>
      </c>
    </row>
    <row r="433">
      <c r="R433" s="20" t="str">
        <f>IF($B433="","",IFERROR(IF(INDEX(Config!$D$9:$D$29,MATCH($B433,Config!$B$9:$B$29,0))="Contrato",IF(INDEX(Config!$E$9:$E$29,MATCH($B433,Config!$B$9:$B$29,0))="","",INDEX(Config!$E$9:$E$29,MATCH($B433,Config!$B$9:$B$29,0))),""),""))</f>
        <v/>
      </c>
      <c r="AC433" s="19" t="str">
        <f>IF($B433="","",IFERROR(INDEX(Config!$D$9:$D$29,MATCH($B433,Config!$B$9:$B$29,0))&amp;"",""))</f>
        <v/>
      </c>
    </row>
    <row r="434">
      <c r="R434" s="20" t="str">
        <f>IF($B434="","",IFERROR(IF(INDEX(Config!$D$9:$D$29,MATCH($B434,Config!$B$9:$B$29,0))="Contrato",IF(INDEX(Config!$E$9:$E$29,MATCH($B434,Config!$B$9:$B$29,0))="","",INDEX(Config!$E$9:$E$29,MATCH($B434,Config!$B$9:$B$29,0))),""),""))</f>
        <v/>
      </c>
      <c r="AC434" s="19" t="str">
        <f>IF($B434="","",IFERROR(INDEX(Config!$D$9:$D$29,MATCH($B434,Config!$B$9:$B$29,0))&amp;"",""))</f>
        <v/>
      </c>
    </row>
    <row r="435">
      <c r="R435" s="20" t="str">
        <f>IF($B435="","",IFERROR(IF(INDEX(Config!$D$9:$D$29,MATCH($B435,Config!$B$9:$B$29,0))="Contrato",IF(INDEX(Config!$E$9:$E$29,MATCH($B435,Config!$B$9:$B$29,0))="","",INDEX(Config!$E$9:$E$29,MATCH($B435,Config!$B$9:$B$29,0))),""),""))</f>
        <v/>
      </c>
      <c r="AC435" s="19" t="str">
        <f>IF($B435="","",IFERROR(INDEX(Config!$D$9:$D$29,MATCH($B435,Config!$B$9:$B$29,0))&amp;"",""))</f>
        <v/>
      </c>
    </row>
    <row r="436">
      <c r="R436" s="20" t="str">
        <f>IF($B436="","",IFERROR(IF(INDEX(Config!$D$9:$D$29,MATCH($B436,Config!$B$9:$B$29,0))="Contrato",IF(INDEX(Config!$E$9:$E$29,MATCH($B436,Config!$B$9:$B$29,0))="","",INDEX(Config!$E$9:$E$29,MATCH($B436,Config!$B$9:$B$29,0))),""),""))</f>
        <v/>
      </c>
      <c r="AC436" s="19" t="str">
        <f>IF($B436="","",IFERROR(INDEX(Config!$D$9:$D$29,MATCH($B436,Config!$B$9:$B$29,0))&amp;"",""))</f>
        <v/>
      </c>
    </row>
    <row r="437">
      <c r="R437" s="20" t="str">
        <f>IF($B437="","",IFERROR(IF(INDEX(Config!$D$9:$D$29,MATCH($B437,Config!$B$9:$B$29,0))="Contrato",IF(INDEX(Config!$E$9:$E$29,MATCH($B437,Config!$B$9:$B$29,0))="","",INDEX(Config!$E$9:$E$29,MATCH($B437,Config!$B$9:$B$29,0))),""),""))</f>
        <v/>
      </c>
      <c r="AC437" s="19" t="str">
        <f>IF($B437="","",IFERROR(INDEX(Config!$D$9:$D$29,MATCH($B437,Config!$B$9:$B$29,0))&amp;"",""))</f>
        <v/>
      </c>
    </row>
    <row r="438">
      <c r="R438" s="20" t="str">
        <f>IF($B438="","",IFERROR(IF(INDEX(Config!$D$9:$D$29,MATCH($B438,Config!$B$9:$B$29,0))="Contrato",IF(INDEX(Config!$E$9:$E$29,MATCH($B438,Config!$B$9:$B$29,0))="","",INDEX(Config!$E$9:$E$29,MATCH($B438,Config!$B$9:$B$29,0))),""),""))</f>
        <v/>
      </c>
      <c r="AC438" s="19" t="str">
        <f>IF($B438="","",IFERROR(INDEX(Config!$D$9:$D$29,MATCH($B438,Config!$B$9:$B$29,0))&amp;"",""))</f>
        <v/>
      </c>
    </row>
    <row r="439">
      <c r="R439" s="20" t="str">
        <f>IF($B439="","",IFERROR(IF(INDEX(Config!$D$9:$D$29,MATCH($B439,Config!$B$9:$B$29,0))="Contrato",IF(INDEX(Config!$E$9:$E$29,MATCH($B439,Config!$B$9:$B$29,0))="","",INDEX(Config!$E$9:$E$29,MATCH($B439,Config!$B$9:$B$29,0))),""),""))</f>
        <v/>
      </c>
      <c r="AC439" s="19" t="str">
        <f>IF($B439="","",IFERROR(INDEX(Config!$D$9:$D$29,MATCH($B439,Config!$B$9:$B$29,0))&amp;"",""))</f>
        <v/>
      </c>
    </row>
    <row r="440">
      <c r="R440" s="20" t="str">
        <f>IF($B440="","",IFERROR(IF(INDEX(Config!$D$9:$D$29,MATCH($B440,Config!$B$9:$B$29,0))="Contrato",IF(INDEX(Config!$E$9:$E$29,MATCH($B440,Config!$B$9:$B$29,0))="","",INDEX(Config!$E$9:$E$29,MATCH($B440,Config!$B$9:$B$29,0))),""),""))</f>
        <v/>
      </c>
      <c r="AC440" s="19" t="str">
        <f>IF($B440="","",IFERROR(INDEX(Config!$D$9:$D$29,MATCH($B440,Config!$B$9:$B$29,0))&amp;"",""))</f>
        <v/>
      </c>
    </row>
    <row r="441">
      <c r="R441" s="20" t="str">
        <f>IF($B441="","",IFERROR(IF(INDEX(Config!$D$9:$D$29,MATCH($B441,Config!$B$9:$B$29,0))="Contrato",IF(INDEX(Config!$E$9:$E$29,MATCH($B441,Config!$B$9:$B$29,0))="","",INDEX(Config!$E$9:$E$29,MATCH($B441,Config!$B$9:$B$29,0))),""),""))</f>
        <v/>
      </c>
      <c r="AC441" s="19" t="str">
        <f>IF($B441="","",IFERROR(INDEX(Config!$D$9:$D$29,MATCH($B441,Config!$B$9:$B$29,0))&amp;"",""))</f>
        <v/>
      </c>
    </row>
    <row r="442">
      <c r="R442" s="20" t="str">
        <f>IF($B442="","",IFERROR(IF(INDEX(Config!$D$9:$D$29,MATCH($B442,Config!$B$9:$B$29,0))="Contrato",IF(INDEX(Config!$E$9:$E$29,MATCH($B442,Config!$B$9:$B$29,0))="","",INDEX(Config!$E$9:$E$29,MATCH($B442,Config!$B$9:$B$29,0))),""),""))</f>
        <v/>
      </c>
      <c r="AC442" s="19" t="str">
        <f>IF($B442="","",IFERROR(INDEX(Config!$D$9:$D$29,MATCH($B442,Config!$B$9:$B$29,0))&amp;"",""))</f>
        <v/>
      </c>
    </row>
    <row r="443">
      <c r="R443" s="20" t="str">
        <f>IF($B443="","",IFERROR(IF(INDEX(Config!$D$9:$D$29,MATCH($B443,Config!$B$9:$B$29,0))="Contrato",IF(INDEX(Config!$E$9:$E$29,MATCH($B443,Config!$B$9:$B$29,0))="","",INDEX(Config!$E$9:$E$29,MATCH($B443,Config!$B$9:$B$29,0))),""),""))</f>
        <v/>
      </c>
      <c r="AC443" s="19" t="str">
        <f>IF($B443="","",IFERROR(INDEX(Config!$D$9:$D$29,MATCH($B443,Config!$B$9:$B$29,0))&amp;"",""))</f>
        <v/>
      </c>
    </row>
    <row r="444">
      <c r="R444" s="20" t="str">
        <f>IF($B444="","",IFERROR(IF(INDEX(Config!$D$9:$D$29,MATCH($B444,Config!$B$9:$B$29,0))="Contrato",IF(INDEX(Config!$E$9:$E$29,MATCH($B444,Config!$B$9:$B$29,0))="","",INDEX(Config!$E$9:$E$29,MATCH($B444,Config!$B$9:$B$29,0))),""),""))</f>
        <v/>
      </c>
      <c r="AC444" s="19" t="str">
        <f>IF($B444="","",IFERROR(INDEX(Config!$D$9:$D$29,MATCH($B444,Config!$B$9:$B$29,0))&amp;"",""))</f>
        <v/>
      </c>
    </row>
    <row r="445">
      <c r="R445" s="20" t="str">
        <f>IF($B445="","",IFERROR(IF(INDEX(Config!$D$9:$D$29,MATCH($B445,Config!$B$9:$B$29,0))="Contrato",IF(INDEX(Config!$E$9:$E$29,MATCH($B445,Config!$B$9:$B$29,0))="","",INDEX(Config!$E$9:$E$29,MATCH($B445,Config!$B$9:$B$29,0))),""),""))</f>
        <v/>
      </c>
      <c r="AC445" s="19" t="str">
        <f>IF($B445="","",IFERROR(INDEX(Config!$D$9:$D$29,MATCH($B445,Config!$B$9:$B$29,0))&amp;"",""))</f>
        <v/>
      </c>
    </row>
    <row r="446">
      <c r="R446" s="20" t="str">
        <f>IF($B446="","",IFERROR(IF(INDEX(Config!$D$9:$D$29,MATCH($B446,Config!$B$9:$B$29,0))="Contrato",IF(INDEX(Config!$E$9:$E$29,MATCH($B446,Config!$B$9:$B$29,0))="","",INDEX(Config!$E$9:$E$29,MATCH($B446,Config!$B$9:$B$29,0))),""),""))</f>
        <v/>
      </c>
      <c r="AC446" s="19" t="str">
        <f>IF($B446="","",IFERROR(INDEX(Config!$D$9:$D$29,MATCH($B446,Config!$B$9:$B$29,0))&amp;"",""))</f>
        <v/>
      </c>
    </row>
    <row r="447">
      <c r="R447" s="20" t="str">
        <f>IF($B447="","",IFERROR(IF(INDEX(Config!$D$9:$D$29,MATCH($B447,Config!$B$9:$B$29,0))="Contrato",IF(INDEX(Config!$E$9:$E$29,MATCH($B447,Config!$B$9:$B$29,0))="","",INDEX(Config!$E$9:$E$29,MATCH($B447,Config!$B$9:$B$29,0))),""),""))</f>
        <v/>
      </c>
      <c r="AC447" s="19" t="str">
        <f>IF($B447="","",IFERROR(INDEX(Config!$D$9:$D$29,MATCH($B447,Config!$B$9:$B$29,0))&amp;"",""))</f>
        <v/>
      </c>
    </row>
    <row r="448">
      <c r="R448" s="20" t="str">
        <f>IF($B448="","",IFERROR(IF(INDEX(Config!$D$9:$D$29,MATCH($B448,Config!$B$9:$B$29,0))="Contrato",IF(INDEX(Config!$E$9:$E$29,MATCH($B448,Config!$B$9:$B$29,0))="","",INDEX(Config!$E$9:$E$29,MATCH($B448,Config!$B$9:$B$29,0))),""),""))</f>
        <v/>
      </c>
      <c r="AC448" s="19" t="str">
        <f>IF($B448="","",IFERROR(INDEX(Config!$D$9:$D$29,MATCH($B448,Config!$B$9:$B$29,0))&amp;"",""))</f>
        <v/>
      </c>
    </row>
    <row r="449">
      <c r="R449" s="20" t="str">
        <f>IF($B449="","",IFERROR(IF(INDEX(Config!$D$9:$D$29,MATCH($B449,Config!$B$9:$B$29,0))="Contrato",IF(INDEX(Config!$E$9:$E$29,MATCH($B449,Config!$B$9:$B$29,0))="","",INDEX(Config!$E$9:$E$29,MATCH($B449,Config!$B$9:$B$29,0))),""),""))</f>
        <v/>
      </c>
      <c r="AC449" s="19" t="str">
        <f>IF($B449="","",IFERROR(INDEX(Config!$D$9:$D$29,MATCH($B449,Config!$B$9:$B$29,0))&amp;"",""))</f>
        <v/>
      </c>
    </row>
    <row r="450">
      <c r="R450" s="20" t="str">
        <f>IF($B450="","",IFERROR(IF(INDEX(Config!$D$9:$D$29,MATCH($B450,Config!$B$9:$B$29,0))="Contrato",IF(INDEX(Config!$E$9:$E$29,MATCH($B450,Config!$B$9:$B$29,0))="","",INDEX(Config!$E$9:$E$29,MATCH($B450,Config!$B$9:$B$29,0))),""),""))</f>
        <v/>
      </c>
      <c r="AC450" s="19" t="str">
        <f>IF($B450="","",IFERROR(INDEX(Config!$D$9:$D$29,MATCH($B450,Config!$B$9:$B$29,0))&amp;"",""))</f>
        <v/>
      </c>
    </row>
    <row r="451">
      <c r="R451" s="20" t="str">
        <f>IF($B451="","",IFERROR(IF(INDEX(Config!$D$9:$D$29,MATCH($B451,Config!$B$9:$B$29,0))="Contrato",IF(INDEX(Config!$E$9:$E$29,MATCH($B451,Config!$B$9:$B$29,0))="","",INDEX(Config!$E$9:$E$29,MATCH($B451,Config!$B$9:$B$29,0))),""),""))</f>
        <v/>
      </c>
      <c r="AC451" s="19" t="str">
        <f>IF($B451="","",IFERROR(INDEX(Config!$D$9:$D$29,MATCH($B451,Config!$B$9:$B$29,0))&amp;"",""))</f>
        <v/>
      </c>
    </row>
    <row r="452">
      <c r="R452" s="20" t="str">
        <f>IF($B452="","",IFERROR(IF(INDEX(Config!$D$9:$D$29,MATCH($B452,Config!$B$9:$B$29,0))="Contrato",IF(INDEX(Config!$E$9:$E$29,MATCH($B452,Config!$B$9:$B$29,0))="","",INDEX(Config!$E$9:$E$29,MATCH($B452,Config!$B$9:$B$29,0))),""),""))</f>
        <v/>
      </c>
      <c r="AC452" s="19" t="str">
        <f>IF($B452="","",IFERROR(INDEX(Config!$D$9:$D$29,MATCH($B452,Config!$B$9:$B$29,0))&amp;"",""))</f>
        <v/>
      </c>
    </row>
    <row r="453">
      <c r="R453" s="20" t="str">
        <f>IF($B453="","",IFERROR(IF(INDEX(Config!$D$9:$D$29,MATCH($B453,Config!$B$9:$B$29,0))="Contrato",IF(INDEX(Config!$E$9:$E$29,MATCH($B453,Config!$B$9:$B$29,0))="","",INDEX(Config!$E$9:$E$29,MATCH($B453,Config!$B$9:$B$29,0))),""),""))</f>
        <v/>
      </c>
      <c r="AC453" s="19" t="str">
        <f>IF($B453="","",IFERROR(INDEX(Config!$D$9:$D$29,MATCH($B453,Config!$B$9:$B$29,0))&amp;"",""))</f>
        <v/>
      </c>
    </row>
    <row r="454">
      <c r="R454" s="20" t="str">
        <f>IF($B454="","",IFERROR(IF(INDEX(Config!$D$9:$D$29,MATCH($B454,Config!$B$9:$B$29,0))="Contrato",IF(INDEX(Config!$E$9:$E$29,MATCH($B454,Config!$B$9:$B$29,0))="","",INDEX(Config!$E$9:$E$29,MATCH($B454,Config!$B$9:$B$29,0))),""),""))</f>
        <v/>
      </c>
      <c r="AC454" s="19" t="str">
        <f>IF($B454="","",IFERROR(INDEX(Config!$D$9:$D$29,MATCH($B454,Config!$B$9:$B$29,0))&amp;"",""))</f>
        <v/>
      </c>
    </row>
    <row r="455">
      <c r="R455" s="20" t="str">
        <f>IF($B455="","",IFERROR(IF(INDEX(Config!$D$9:$D$29,MATCH($B455,Config!$B$9:$B$29,0))="Contrato",IF(INDEX(Config!$E$9:$E$29,MATCH($B455,Config!$B$9:$B$29,0))="","",INDEX(Config!$E$9:$E$29,MATCH($B455,Config!$B$9:$B$29,0))),""),""))</f>
        <v/>
      </c>
      <c r="AC455" s="19" t="str">
        <f>IF($B455="","",IFERROR(INDEX(Config!$D$9:$D$29,MATCH($B455,Config!$B$9:$B$29,0))&amp;"",""))</f>
        <v/>
      </c>
    </row>
    <row r="456">
      <c r="R456" s="20" t="str">
        <f>IF($B456="","",IFERROR(IF(INDEX(Config!$D$9:$D$29,MATCH($B456,Config!$B$9:$B$29,0))="Contrato",IF(INDEX(Config!$E$9:$E$29,MATCH($B456,Config!$B$9:$B$29,0))="","",INDEX(Config!$E$9:$E$29,MATCH($B456,Config!$B$9:$B$29,0))),""),""))</f>
        <v/>
      </c>
      <c r="AC456" s="19" t="str">
        <f>IF($B456="","",IFERROR(INDEX(Config!$D$9:$D$29,MATCH($B456,Config!$B$9:$B$29,0))&amp;"",""))</f>
        <v/>
      </c>
    </row>
    <row r="457">
      <c r="R457" s="20" t="str">
        <f>IF($B457="","",IFERROR(IF(INDEX(Config!$D$9:$D$29,MATCH($B457,Config!$B$9:$B$29,0))="Contrato",IF(INDEX(Config!$E$9:$E$29,MATCH($B457,Config!$B$9:$B$29,0))="","",INDEX(Config!$E$9:$E$29,MATCH($B457,Config!$B$9:$B$29,0))),""),""))</f>
        <v/>
      </c>
      <c r="AC457" s="19" t="str">
        <f>IF($B457="","",IFERROR(INDEX(Config!$D$9:$D$29,MATCH($B457,Config!$B$9:$B$29,0))&amp;"",""))</f>
        <v/>
      </c>
    </row>
    <row r="458">
      <c r="R458" s="20" t="str">
        <f>IF($B458="","",IFERROR(IF(INDEX(Config!$D$9:$D$29,MATCH($B458,Config!$B$9:$B$29,0))="Contrato",IF(INDEX(Config!$E$9:$E$29,MATCH($B458,Config!$B$9:$B$29,0))="","",INDEX(Config!$E$9:$E$29,MATCH($B458,Config!$B$9:$B$29,0))),""),""))</f>
        <v/>
      </c>
      <c r="AC458" s="19" t="str">
        <f>IF($B458="","",IFERROR(INDEX(Config!$D$9:$D$29,MATCH($B458,Config!$B$9:$B$29,0))&amp;"",""))</f>
        <v/>
      </c>
    </row>
    <row r="459">
      <c r="R459" s="20" t="str">
        <f>IF($B459="","",IFERROR(IF(INDEX(Config!$D$9:$D$29,MATCH($B459,Config!$B$9:$B$29,0))="Contrato",IF(INDEX(Config!$E$9:$E$29,MATCH($B459,Config!$B$9:$B$29,0))="","",INDEX(Config!$E$9:$E$29,MATCH($B459,Config!$B$9:$B$29,0))),""),""))</f>
        <v/>
      </c>
      <c r="AC459" s="19" t="str">
        <f>IF($B459="","",IFERROR(INDEX(Config!$D$9:$D$29,MATCH($B459,Config!$B$9:$B$29,0))&amp;"",""))</f>
        <v/>
      </c>
    </row>
    <row r="460">
      <c r="R460" s="20" t="str">
        <f>IF($B460="","",IFERROR(IF(INDEX(Config!$D$9:$D$29,MATCH($B460,Config!$B$9:$B$29,0))="Contrato",IF(INDEX(Config!$E$9:$E$29,MATCH($B460,Config!$B$9:$B$29,0))="","",INDEX(Config!$E$9:$E$29,MATCH($B460,Config!$B$9:$B$29,0))),""),""))</f>
        <v/>
      </c>
      <c r="AC460" s="19" t="str">
        <f>IF($B460="","",IFERROR(INDEX(Config!$D$9:$D$29,MATCH($B460,Config!$B$9:$B$29,0))&amp;"",""))</f>
        <v/>
      </c>
    </row>
    <row r="461">
      <c r="R461" s="20" t="str">
        <f>IF($B461="","",IFERROR(IF(INDEX(Config!$D$9:$D$29,MATCH($B461,Config!$B$9:$B$29,0))="Contrato",IF(INDEX(Config!$E$9:$E$29,MATCH($B461,Config!$B$9:$B$29,0))="","",INDEX(Config!$E$9:$E$29,MATCH($B461,Config!$B$9:$B$29,0))),""),""))</f>
        <v/>
      </c>
      <c r="AC461" s="19" t="str">
        <f>IF($B461="","",IFERROR(INDEX(Config!$D$9:$D$29,MATCH($B461,Config!$B$9:$B$29,0))&amp;"",""))</f>
        <v/>
      </c>
    </row>
    <row r="462">
      <c r="R462" s="20" t="str">
        <f>IF($B462="","",IFERROR(IF(INDEX(Config!$D$9:$D$29,MATCH($B462,Config!$B$9:$B$29,0))="Contrato",IF(INDEX(Config!$E$9:$E$29,MATCH($B462,Config!$B$9:$B$29,0))="","",INDEX(Config!$E$9:$E$29,MATCH($B462,Config!$B$9:$B$29,0))),""),""))</f>
        <v/>
      </c>
      <c r="AC462" s="19" t="str">
        <f>IF($B462="","",IFERROR(INDEX(Config!$D$9:$D$29,MATCH($B462,Config!$B$9:$B$29,0))&amp;"",""))</f>
        <v/>
      </c>
    </row>
    <row r="463">
      <c r="R463" s="20" t="str">
        <f>IF($B463="","",IFERROR(IF(INDEX(Config!$D$9:$D$29,MATCH($B463,Config!$B$9:$B$29,0))="Contrato",IF(INDEX(Config!$E$9:$E$29,MATCH($B463,Config!$B$9:$B$29,0))="","",INDEX(Config!$E$9:$E$29,MATCH($B463,Config!$B$9:$B$29,0))),""),""))</f>
        <v/>
      </c>
      <c r="AC463" s="19" t="str">
        <f>IF($B463="","",IFERROR(INDEX(Config!$D$9:$D$29,MATCH($B463,Config!$B$9:$B$29,0))&amp;"",""))</f>
        <v/>
      </c>
    </row>
    <row r="464">
      <c r="R464" s="20" t="str">
        <f>IF($B464="","",IFERROR(IF(INDEX(Config!$D$9:$D$29,MATCH($B464,Config!$B$9:$B$29,0))="Contrato",IF(INDEX(Config!$E$9:$E$29,MATCH($B464,Config!$B$9:$B$29,0))="","",INDEX(Config!$E$9:$E$29,MATCH($B464,Config!$B$9:$B$29,0))),""),""))</f>
        <v/>
      </c>
      <c r="AC464" s="19" t="str">
        <f>IF($B464="","",IFERROR(INDEX(Config!$D$9:$D$29,MATCH($B464,Config!$B$9:$B$29,0))&amp;"",""))</f>
        <v/>
      </c>
    </row>
    <row r="465">
      <c r="R465" s="20" t="str">
        <f>IF($B465="","",IFERROR(IF(INDEX(Config!$D$9:$D$29,MATCH($B465,Config!$B$9:$B$29,0))="Contrato",IF(INDEX(Config!$E$9:$E$29,MATCH($B465,Config!$B$9:$B$29,0))="","",INDEX(Config!$E$9:$E$29,MATCH($B465,Config!$B$9:$B$29,0))),""),""))</f>
        <v/>
      </c>
      <c r="AC465" s="19" t="str">
        <f>IF($B465="","",IFERROR(INDEX(Config!$D$9:$D$29,MATCH($B465,Config!$B$9:$B$29,0))&amp;"",""))</f>
        <v/>
      </c>
    </row>
    <row r="466">
      <c r="R466" s="20" t="str">
        <f>IF($B466="","",IFERROR(IF(INDEX(Config!$D$9:$D$29,MATCH($B466,Config!$B$9:$B$29,0))="Contrato",IF(INDEX(Config!$E$9:$E$29,MATCH($B466,Config!$B$9:$B$29,0))="","",INDEX(Config!$E$9:$E$29,MATCH($B466,Config!$B$9:$B$29,0))),""),""))</f>
        <v/>
      </c>
      <c r="AC466" s="19" t="str">
        <f>IF($B466="","",IFERROR(INDEX(Config!$D$9:$D$29,MATCH($B466,Config!$B$9:$B$29,0))&amp;"",""))</f>
        <v/>
      </c>
    </row>
    <row r="467">
      <c r="R467" s="20" t="str">
        <f>IF($B467="","",IFERROR(IF(INDEX(Config!$D$9:$D$29,MATCH($B467,Config!$B$9:$B$29,0))="Contrato",IF(INDEX(Config!$E$9:$E$29,MATCH($B467,Config!$B$9:$B$29,0))="","",INDEX(Config!$E$9:$E$29,MATCH($B467,Config!$B$9:$B$29,0))),""),""))</f>
        <v/>
      </c>
      <c r="AC467" s="19" t="str">
        <f>IF($B467="","",IFERROR(INDEX(Config!$D$9:$D$29,MATCH($B467,Config!$B$9:$B$29,0))&amp;"",""))</f>
        <v/>
      </c>
    </row>
    <row r="468">
      <c r="R468" s="20" t="str">
        <f>IF($B468="","",IFERROR(IF(INDEX(Config!$D$9:$D$29,MATCH($B468,Config!$B$9:$B$29,0))="Contrato",IF(INDEX(Config!$E$9:$E$29,MATCH($B468,Config!$B$9:$B$29,0))="","",INDEX(Config!$E$9:$E$29,MATCH($B468,Config!$B$9:$B$29,0))),""),""))</f>
        <v/>
      </c>
      <c r="AC468" s="19" t="str">
        <f>IF($B468="","",IFERROR(INDEX(Config!$D$9:$D$29,MATCH($B468,Config!$B$9:$B$29,0))&amp;"",""))</f>
        <v/>
      </c>
    </row>
    <row r="469">
      <c r="R469" s="20" t="str">
        <f>IF($B469="","",IFERROR(IF(INDEX(Config!$D$9:$D$29,MATCH($B469,Config!$B$9:$B$29,0))="Contrato",IF(INDEX(Config!$E$9:$E$29,MATCH($B469,Config!$B$9:$B$29,0))="","",INDEX(Config!$E$9:$E$29,MATCH($B469,Config!$B$9:$B$29,0))),""),""))</f>
        <v/>
      </c>
      <c r="AC469" s="19" t="str">
        <f>IF($B469="","",IFERROR(INDEX(Config!$D$9:$D$29,MATCH($B469,Config!$B$9:$B$29,0))&amp;"",""))</f>
        <v/>
      </c>
    </row>
    <row r="470">
      <c r="R470" s="20" t="str">
        <f>IF($B470="","",IFERROR(IF(INDEX(Config!$D$9:$D$29,MATCH($B470,Config!$B$9:$B$29,0))="Contrato",IF(INDEX(Config!$E$9:$E$29,MATCH($B470,Config!$B$9:$B$29,0))="","",INDEX(Config!$E$9:$E$29,MATCH($B470,Config!$B$9:$B$29,0))),""),""))</f>
        <v/>
      </c>
      <c r="AC470" s="19" t="str">
        <f>IF($B470="","",IFERROR(INDEX(Config!$D$9:$D$29,MATCH($B470,Config!$B$9:$B$29,0))&amp;"",""))</f>
        <v/>
      </c>
    </row>
    <row r="471">
      <c r="R471" s="20" t="str">
        <f>IF($B471="","",IFERROR(IF(INDEX(Config!$D$9:$D$29,MATCH($B471,Config!$B$9:$B$29,0))="Contrato",IF(INDEX(Config!$E$9:$E$29,MATCH($B471,Config!$B$9:$B$29,0))="","",INDEX(Config!$E$9:$E$29,MATCH($B471,Config!$B$9:$B$29,0))),""),""))</f>
        <v/>
      </c>
      <c r="AC471" s="19" t="str">
        <f>IF($B471="","",IFERROR(INDEX(Config!$D$9:$D$29,MATCH($B471,Config!$B$9:$B$29,0))&amp;"",""))</f>
        <v/>
      </c>
    </row>
    <row r="472">
      <c r="R472" s="20" t="str">
        <f>IF($B472="","",IFERROR(IF(INDEX(Config!$D$9:$D$29,MATCH($B472,Config!$B$9:$B$29,0))="Contrato",IF(INDEX(Config!$E$9:$E$29,MATCH($B472,Config!$B$9:$B$29,0))="","",INDEX(Config!$E$9:$E$29,MATCH($B472,Config!$B$9:$B$29,0))),""),""))</f>
        <v/>
      </c>
      <c r="AC472" s="19" t="str">
        <f>IF($B472="","",IFERROR(INDEX(Config!$D$9:$D$29,MATCH($B472,Config!$B$9:$B$29,0))&amp;"",""))</f>
        <v/>
      </c>
    </row>
    <row r="473">
      <c r="R473" s="20" t="str">
        <f>IF($B473="","",IFERROR(IF(INDEX(Config!$D$9:$D$29,MATCH($B473,Config!$B$9:$B$29,0))="Contrato",IF(INDEX(Config!$E$9:$E$29,MATCH($B473,Config!$B$9:$B$29,0))="","",INDEX(Config!$E$9:$E$29,MATCH($B473,Config!$B$9:$B$29,0))),""),""))</f>
        <v/>
      </c>
      <c r="AC473" s="19" t="str">
        <f>IF($B473="","",IFERROR(INDEX(Config!$D$9:$D$29,MATCH($B473,Config!$B$9:$B$29,0))&amp;"",""))</f>
        <v/>
      </c>
    </row>
    <row r="474">
      <c r="R474" s="20" t="str">
        <f>IF($B474="","",IFERROR(IF(INDEX(Config!$D$9:$D$29,MATCH($B474,Config!$B$9:$B$29,0))="Contrato",IF(INDEX(Config!$E$9:$E$29,MATCH($B474,Config!$B$9:$B$29,0))="","",INDEX(Config!$E$9:$E$29,MATCH($B474,Config!$B$9:$B$29,0))),""),""))</f>
        <v/>
      </c>
      <c r="AC474" s="19" t="str">
        <f>IF($B474="","",IFERROR(INDEX(Config!$D$9:$D$29,MATCH($B474,Config!$B$9:$B$29,0))&amp;"",""))</f>
        <v/>
      </c>
    </row>
    <row r="475">
      <c r="R475" s="20" t="str">
        <f>IF($B475="","",IFERROR(IF(INDEX(Config!$D$9:$D$29,MATCH($B475,Config!$B$9:$B$29,0))="Contrato",IF(INDEX(Config!$E$9:$E$29,MATCH($B475,Config!$B$9:$B$29,0))="","",INDEX(Config!$E$9:$E$29,MATCH($B475,Config!$B$9:$B$29,0))),""),""))</f>
        <v/>
      </c>
      <c r="AC475" s="19" t="str">
        <f>IF($B475="","",IFERROR(INDEX(Config!$D$9:$D$29,MATCH($B475,Config!$B$9:$B$29,0))&amp;"",""))</f>
        <v/>
      </c>
    </row>
    <row r="476">
      <c r="R476" s="20" t="str">
        <f>IF($B476="","",IFERROR(IF(INDEX(Config!$D$9:$D$29,MATCH($B476,Config!$B$9:$B$29,0))="Contrato",IF(INDEX(Config!$E$9:$E$29,MATCH($B476,Config!$B$9:$B$29,0))="","",INDEX(Config!$E$9:$E$29,MATCH($B476,Config!$B$9:$B$29,0))),""),""))</f>
        <v/>
      </c>
      <c r="AC476" s="19" t="str">
        <f>IF($B476="","",IFERROR(INDEX(Config!$D$9:$D$29,MATCH($B476,Config!$B$9:$B$29,0))&amp;"",""))</f>
        <v/>
      </c>
    </row>
    <row r="477">
      <c r="R477" s="20" t="str">
        <f>IF($B477="","",IFERROR(IF(INDEX(Config!$D$9:$D$29,MATCH($B477,Config!$B$9:$B$29,0))="Contrato",IF(INDEX(Config!$E$9:$E$29,MATCH($B477,Config!$B$9:$B$29,0))="","",INDEX(Config!$E$9:$E$29,MATCH($B477,Config!$B$9:$B$29,0))),""),""))</f>
        <v/>
      </c>
      <c r="AC477" s="19" t="str">
        <f>IF($B477="","",IFERROR(INDEX(Config!$D$9:$D$29,MATCH($B477,Config!$B$9:$B$29,0))&amp;"",""))</f>
        <v/>
      </c>
    </row>
    <row r="478">
      <c r="R478" s="20" t="str">
        <f>IF($B478="","",IFERROR(IF(INDEX(Config!$D$9:$D$29,MATCH($B478,Config!$B$9:$B$29,0))="Contrato",IF(INDEX(Config!$E$9:$E$29,MATCH($B478,Config!$B$9:$B$29,0))="","",INDEX(Config!$E$9:$E$29,MATCH($B478,Config!$B$9:$B$29,0))),""),""))</f>
        <v/>
      </c>
      <c r="AC478" s="19" t="str">
        <f>IF($B478="","",IFERROR(INDEX(Config!$D$9:$D$29,MATCH($B478,Config!$B$9:$B$29,0))&amp;"",""))</f>
        <v/>
      </c>
    </row>
    <row r="479">
      <c r="R479" s="20" t="str">
        <f>IF($B479="","",IFERROR(IF(INDEX(Config!$D$9:$D$29,MATCH($B479,Config!$B$9:$B$29,0))="Contrato",IF(INDEX(Config!$E$9:$E$29,MATCH($B479,Config!$B$9:$B$29,0))="","",INDEX(Config!$E$9:$E$29,MATCH($B479,Config!$B$9:$B$29,0))),""),""))</f>
        <v/>
      </c>
      <c r="AC479" s="19" t="str">
        <f>IF($B479="","",IFERROR(INDEX(Config!$D$9:$D$29,MATCH($B479,Config!$B$9:$B$29,0))&amp;"",""))</f>
        <v/>
      </c>
    </row>
    <row r="480">
      <c r="R480" s="20" t="str">
        <f>IF($B480="","",IFERROR(IF(INDEX(Config!$D$9:$D$29,MATCH($B480,Config!$B$9:$B$29,0))="Contrato",IF(INDEX(Config!$E$9:$E$29,MATCH($B480,Config!$B$9:$B$29,0))="","",INDEX(Config!$E$9:$E$29,MATCH($B480,Config!$B$9:$B$29,0))),""),""))</f>
        <v/>
      </c>
      <c r="AC480" s="19" t="str">
        <f>IF($B480="","",IFERROR(INDEX(Config!$D$9:$D$29,MATCH($B480,Config!$B$9:$B$29,0))&amp;"",""))</f>
        <v/>
      </c>
    </row>
    <row r="481">
      <c r="R481" s="20" t="str">
        <f>IF($B481="","",IFERROR(IF(INDEX(Config!$D$9:$D$29,MATCH($B481,Config!$B$9:$B$29,0))="Contrato",IF(INDEX(Config!$E$9:$E$29,MATCH($B481,Config!$B$9:$B$29,0))="","",INDEX(Config!$E$9:$E$29,MATCH($B481,Config!$B$9:$B$29,0))),""),""))</f>
        <v/>
      </c>
      <c r="AC481" s="19" t="str">
        <f>IF($B481="","",IFERROR(INDEX(Config!$D$9:$D$29,MATCH($B481,Config!$B$9:$B$29,0))&amp;"",""))</f>
        <v/>
      </c>
    </row>
    <row r="482">
      <c r="R482" s="20" t="str">
        <f>IF($B482="","",IFERROR(IF(INDEX(Config!$D$9:$D$29,MATCH($B482,Config!$B$9:$B$29,0))="Contrato",IF(INDEX(Config!$E$9:$E$29,MATCH($B482,Config!$B$9:$B$29,0))="","",INDEX(Config!$E$9:$E$29,MATCH($B482,Config!$B$9:$B$29,0))),""),""))</f>
        <v/>
      </c>
      <c r="AC482" s="19" t="str">
        <f>IF($B482="","",IFERROR(INDEX(Config!$D$9:$D$29,MATCH($B482,Config!$B$9:$B$29,0))&amp;"",""))</f>
        <v/>
      </c>
    </row>
    <row r="483">
      <c r="R483" s="20" t="str">
        <f>IF($B483="","",IFERROR(IF(INDEX(Config!$D$9:$D$29,MATCH($B483,Config!$B$9:$B$29,0))="Contrato",IF(INDEX(Config!$E$9:$E$29,MATCH($B483,Config!$B$9:$B$29,0))="","",INDEX(Config!$E$9:$E$29,MATCH($B483,Config!$B$9:$B$29,0))),""),""))</f>
        <v/>
      </c>
      <c r="AC483" s="19" t="str">
        <f>IF($B483="","",IFERROR(INDEX(Config!$D$9:$D$29,MATCH($B483,Config!$B$9:$B$29,0))&amp;"",""))</f>
        <v/>
      </c>
    </row>
    <row r="484">
      <c r="R484" s="20" t="str">
        <f>IF($B484="","",IFERROR(IF(INDEX(Config!$D$9:$D$29,MATCH($B484,Config!$B$9:$B$29,0))="Contrato",IF(INDEX(Config!$E$9:$E$29,MATCH($B484,Config!$B$9:$B$29,0))="","",INDEX(Config!$E$9:$E$29,MATCH($B484,Config!$B$9:$B$29,0))),""),""))</f>
        <v/>
      </c>
      <c r="AC484" s="19" t="str">
        <f>IF($B484="","",IFERROR(INDEX(Config!$D$9:$D$29,MATCH($B484,Config!$B$9:$B$29,0))&amp;"",""))</f>
        <v/>
      </c>
    </row>
    <row r="485">
      <c r="R485" s="20" t="str">
        <f>IF($B485="","",IFERROR(IF(INDEX(Config!$D$9:$D$29,MATCH($B485,Config!$B$9:$B$29,0))="Contrato",IF(INDEX(Config!$E$9:$E$29,MATCH($B485,Config!$B$9:$B$29,0))="","",INDEX(Config!$E$9:$E$29,MATCH($B485,Config!$B$9:$B$29,0))),""),""))</f>
        <v/>
      </c>
      <c r="AC485" s="19" t="str">
        <f>IF($B485="","",IFERROR(INDEX(Config!$D$9:$D$29,MATCH($B485,Config!$B$9:$B$29,0))&amp;"",""))</f>
        <v/>
      </c>
    </row>
    <row r="486">
      <c r="R486" s="20" t="str">
        <f>IF($B486="","",IFERROR(IF(INDEX(Config!$D$9:$D$29,MATCH($B486,Config!$B$9:$B$29,0))="Contrato",IF(INDEX(Config!$E$9:$E$29,MATCH($B486,Config!$B$9:$B$29,0))="","",INDEX(Config!$E$9:$E$29,MATCH($B486,Config!$B$9:$B$29,0))),""),""))</f>
        <v/>
      </c>
      <c r="AC486" s="19" t="str">
        <f>IF($B486="","",IFERROR(INDEX(Config!$D$9:$D$29,MATCH($B486,Config!$B$9:$B$29,0))&amp;"",""))</f>
        <v/>
      </c>
    </row>
    <row r="487">
      <c r="R487" s="20" t="str">
        <f>IF($B487="","",IFERROR(IF(INDEX(Config!$D$9:$D$29,MATCH($B487,Config!$B$9:$B$29,0))="Contrato",IF(INDEX(Config!$E$9:$E$29,MATCH($B487,Config!$B$9:$B$29,0))="","",INDEX(Config!$E$9:$E$29,MATCH($B487,Config!$B$9:$B$29,0))),""),""))</f>
        <v/>
      </c>
      <c r="AC487" s="19" t="str">
        <f>IF($B487="","",IFERROR(INDEX(Config!$D$9:$D$29,MATCH($B487,Config!$B$9:$B$29,0))&amp;"",""))</f>
        <v/>
      </c>
    </row>
    <row r="488">
      <c r="R488" s="20" t="str">
        <f>IF($B488="","",IFERROR(IF(INDEX(Config!$D$9:$D$29,MATCH($B488,Config!$B$9:$B$29,0))="Contrato",IF(INDEX(Config!$E$9:$E$29,MATCH($B488,Config!$B$9:$B$29,0))="","",INDEX(Config!$E$9:$E$29,MATCH($B488,Config!$B$9:$B$29,0))),""),""))</f>
        <v/>
      </c>
      <c r="AC488" s="19" t="str">
        <f>IF($B488="","",IFERROR(INDEX(Config!$D$9:$D$29,MATCH($B488,Config!$B$9:$B$29,0))&amp;"",""))</f>
        <v/>
      </c>
    </row>
    <row r="489">
      <c r="R489" s="20" t="str">
        <f>IF($B489="","",IFERROR(IF(INDEX(Config!$D$9:$D$29,MATCH($B489,Config!$B$9:$B$29,0))="Contrato",IF(INDEX(Config!$E$9:$E$29,MATCH($B489,Config!$B$9:$B$29,0))="","",INDEX(Config!$E$9:$E$29,MATCH($B489,Config!$B$9:$B$29,0))),""),""))</f>
        <v/>
      </c>
      <c r="AC489" s="19" t="str">
        <f>IF($B489="","",IFERROR(INDEX(Config!$D$9:$D$29,MATCH($B489,Config!$B$9:$B$29,0))&amp;"",""))</f>
        <v/>
      </c>
    </row>
    <row r="490">
      <c r="R490" s="20" t="str">
        <f>IF($B490="","",IFERROR(IF(INDEX(Config!$D$9:$D$29,MATCH($B490,Config!$B$9:$B$29,0))="Contrato",IF(INDEX(Config!$E$9:$E$29,MATCH($B490,Config!$B$9:$B$29,0))="","",INDEX(Config!$E$9:$E$29,MATCH($B490,Config!$B$9:$B$29,0))),""),""))</f>
        <v/>
      </c>
      <c r="AC490" s="19" t="str">
        <f>IF($B490="","",IFERROR(INDEX(Config!$D$9:$D$29,MATCH($B490,Config!$B$9:$B$29,0))&amp;"",""))</f>
        <v/>
      </c>
    </row>
    <row r="491">
      <c r="R491" s="20" t="str">
        <f>IF($B491="","",IFERROR(IF(INDEX(Config!$D$9:$D$29,MATCH($B491,Config!$B$9:$B$29,0))="Contrato",IF(INDEX(Config!$E$9:$E$29,MATCH($B491,Config!$B$9:$B$29,0))="","",INDEX(Config!$E$9:$E$29,MATCH($B491,Config!$B$9:$B$29,0))),""),""))</f>
        <v/>
      </c>
      <c r="AC491" s="19" t="str">
        <f>IF($B491="","",IFERROR(INDEX(Config!$D$9:$D$29,MATCH($B491,Config!$B$9:$B$29,0))&amp;"",""))</f>
        <v/>
      </c>
    </row>
    <row r="492">
      <c r="R492" s="20" t="str">
        <f>IF($B492="","",IFERROR(IF(INDEX(Config!$D$9:$D$29,MATCH($B492,Config!$B$9:$B$29,0))="Contrato",IF(INDEX(Config!$E$9:$E$29,MATCH($B492,Config!$B$9:$B$29,0))="","",INDEX(Config!$E$9:$E$29,MATCH($B492,Config!$B$9:$B$29,0))),""),""))</f>
        <v/>
      </c>
      <c r="AC492" s="19" t="str">
        <f>IF($B492="","",IFERROR(INDEX(Config!$D$9:$D$29,MATCH($B492,Config!$B$9:$B$29,0))&amp;"",""))</f>
        <v/>
      </c>
    </row>
    <row r="493">
      <c r="R493" s="20" t="str">
        <f>IF($B493="","",IFERROR(IF(INDEX(Config!$D$9:$D$29,MATCH($B493,Config!$B$9:$B$29,0))="Contrato",IF(INDEX(Config!$E$9:$E$29,MATCH($B493,Config!$B$9:$B$29,0))="","",INDEX(Config!$E$9:$E$29,MATCH($B493,Config!$B$9:$B$29,0))),""),""))</f>
        <v/>
      </c>
      <c r="AC493" s="19" t="str">
        <f>IF($B493="","",IFERROR(INDEX(Config!$D$9:$D$29,MATCH($B493,Config!$B$9:$B$29,0))&amp;"",""))</f>
        <v/>
      </c>
    </row>
    <row r="494">
      <c r="R494" s="20" t="str">
        <f>IF($B494="","",IFERROR(IF(INDEX(Config!$D$9:$D$29,MATCH($B494,Config!$B$9:$B$29,0))="Contrato",IF(INDEX(Config!$E$9:$E$29,MATCH($B494,Config!$B$9:$B$29,0))="","",INDEX(Config!$E$9:$E$29,MATCH($B494,Config!$B$9:$B$29,0))),""),""))</f>
        <v/>
      </c>
      <c r="AC494" s="19" t="str">
        <f>IF($B494="","",IFERROR(INDEX(Config!$D$9:$D$29,MATCH($B494,Config!$B$9:$B$29,0))&amp;"",""))</f>
        <v/>
      </c>
    </row>
    <row r="495">
      <c r="R495" s="20" t="str">
        <f>IF($B495="","",IFERROR(IF(INDEX(Config!$D$9:$D$29,MATCH($B495,Config!$B$9:$B$29,0))="Contrato",IF(INDEX(Config!$E$9:$E$29,MATCH($B495,Config!$B$9:$B$29,0))="","",INDEX(Config!$E$9:$E$29,MATCH($B495,Config!$B$9:$B$29,0))),""),""))</f>
        <v/>
      </c>
      <c r="AC495" s="19" t="str">
        <f>IF($B495="","",IFERROR(INDEX(Config!$D$9:$D$29,MATCH($B495,Config!$B$9:$B$29,0))&amp;"",""))</f>
        <v/>
      </c>
    </row>
    <row r="496">
      <c r="R496" s="20" t="str">
        <f>IF($B496="","",IFERROR(IF(INDEX(Config!$D$9:$D$29,MATCH($B496,Config!$B$9:$B$29,0))="Contrato",IF(INDEX(Config!$E$9:$E$29,MATCH($B496,Config!$B$9:$B$29,0))="","",INDEX(Config!$E$9:$E$29,MATCH($B496,Config!$B$9:$B$29,0))),""),""))</f>
        <v/>
      </c>
      <c r="AC496" s="19" t="str">
        <f>IF($B496="","",IFERROR(INDEX(Config!$D$9:$D$29,MATCH($B496,Config!$B$9:$B$29,0))&amp;"",""))</f>
        <v/>
      </c>
    </row>
    <row r="497">
      <c r="R497" s="20" t="str">
        <f>IF($B497="","",IFERROR(IF(INDEX(Config!$D$9:$D$29,MATCH($B497,Config!$B$9:$B$29,0))="Contrato",IF(INDEX(Config!$E$9:$E$29,MATCH($B497,Config!$B$9:$B$29,0))="","",INDEX(Config!$E$9:$E$29,MATCH($B497,Config!$B$9:$B$29,0))),""),""))</f>
        <v/>
      </c>
      <c r="AC497" s="19" t="str">
        <f>IF($B497="","",IFERROR(INDEX(Config!$D$9:$D$29,MATCH($B497,Config!$B$9:$B$29,0))&amp;"",""))</f>
        <v/>
      </c>
    </row>
    <row r="498">
      <c r="R498" s="20" t="str">
        <f>IF($B498="","",IFERROR(IF(INDEX(Config!$D$9:$D$29,MATCH($B498,Config!$B$9:$B$29,0))="Contrato",IF(INDEX(Config!$E$9:$E$29,MATCH($B498,Config!$B$9:$B$29,0))="","",INDEX(Config!$E$9:$E$29,MATCH($B498,Config!$B$9:$B$29,0))),""),""))</f>
        <v/>
      </c>
      <c r="AC498" s="19" t="str">
        <f>IF($B498="","",IFERROR(INDEX(Config!$D$9:$D$29,MATCH($B498,Config!$B$9:$B$29,0))&amp;"",""))</f>
        <v/>
      </c>
    </row>
    <row r="499">
      <c r="R499" s="20" t="str">
        <f>IF($B499="","",IFERROR(IF(INDEX(Config!$D$9:$D$29,MATCH($B499,Config!$B$9:$B$29,0))="Contrato",IF(INDEX(Config!$E$9:$E$29,MATCH($B499,Config!$B$9:$B$29,0))="","",INDEX(Config!$E$9:$E$29,MATCH($B499,Config!$B$9:$B$29,0))),""),""))</f>
        <v/>
      </c>
      <c r="AC499" s="19" t="str">
        <f>IF($B499="","",IFERROR(INDEX(Config!$D$9:$D$29,MATCH($B499,Config!$B$9:$B$29,0))&amp;"",""))</f>
        <v/>
      </c>
    </row>
    <row r="500">
      <c r="R500" s="20" t="str">
        <f>IF($B500="","",IFERROR(IF(INDEX(Config!$D$9:$D$29,MATCH($B500,Config!$B$9:$B$29,0))="Contrato",IF(INDEX(Config!$E$9:$E$29,MATCH($B500,Config!$B$9:$B$29,0))="","",INDEX(Config!$E$9:$E$29,MATCH($B500,Config!$B$9:$B$29,0))),""),""))</f>
        <v/>
      </c>
      <c r="AC500" s="19" t="str">
        <f>IF($B500="","",IFERROR(INDEX(Config!$D$9:$D$29,MATCH($B500,Config!$B$9:$B$29,0))&amp;"",""))</f>
        <v/>
      </c>
    </row>
    <row r="501">
      <c r="R501" s="20" t="str">
        <f>IF($B501="","",IFERROR(IF(INDEX(Config!$D$9:$D$29,MATCH($B501,Config!$B$9:$B$29,0))="Contrato",IF(INDEX(Config!$E$9:$E$29,MATCH($B501,Config!$B$9:$B$29,0))="","",INDEX(Config!$E$9:$E$29,MATCH($B501,Config!$B$9:$B$29,0))),""),""))</f>
        <v/>
      </c>
      <c r="AC501" s="19" t="str">
        <f>IF($B501="","",IFERROR(INDEX(Config!$D$9:$D$29,MATCH($B501,Config!$B$9:$B$29,0))&amp;"",""))</f>
        <v/>
      </c>
    </row>
    <row r="502">
      <c r="R502" s="20" t="str">
        <f>IF($B502="","",IFERROR(IF(INDEX(Config!$D$9:$D$29,MATCH($B502,Config!$B$9:$B$29,0))="Contrato",IF(INDEX(Config!$E$9:$E$29,MATCH($B502,Config!$B$9:$B$29,0))="","",INDEX(Config!$E$9:$E$29,MATCH($B502,Config!$B$9:$B$29,0))),""),""))</f>
        <v/>
      </c>
      <c r="AC502" s="19" t="str">
        <f>IF($B502="","",IFERROR(INDEX(Config!$D$9:$D$29,MATCH($B502,Config!$B$9:$B$29,0))&amp;"",""))</f>
        <v/>
      </c>
    </row>
    <row r="503">
      <c r="R503" s="20" t="str">
        <f>IF($B503="","",IFERROR(IF(INDEX(Config!$D$9:$D$29,MATCH($B503,Config!$B$9:$B$29,0))="Contrato",IF(INDEX(Config!$E$9:$E$29,MATCH($B503,Config!$B$9:$B$29,0))="","",INDEX(Config!$E$9:$E$29,MATCH($B503,Config!$B$9:$B$29,0))),""),""))</f>
        <v/>
      </c>
      <c r="AC503" s="19" t="str">
        <f>IF($B503="","",IFERROR(INDEX(Config!$D$9:$D$29,MATCH($B503,Config!$B$9:$B$29,0))&amp;"",""))</f>
        <v/>
      </c>
    </row>
    <row r="504">
      <c r="R504" s="20" t="str">
        <f>IF($B504="","",IFERROR(IF(INDEX(Config!$D$9:$D$29,MATCH($B504,Config!$B$9:$B$29,0))="Contrato",IF(INDEX(Config!$E$9:$E$29,MATCH($B504,Config!$B$9:$B$29,0))="","",INDEX(Config!$E$9:$E$29,MATCH($B504,Config!$B$9:$B$29,0))),""),""))</f>
        <v/>
      </c>
      <c r="AC504" s="19" t="str">
        <f>IF($B504="","",IFERROR(INDEX(Config!$D$9:$D$29,MATCH($B504,Config!$B$9:$B$29,0))&amp;"",""))</f>
        <v/>
      </c>
    </row>
    <row r="505">
      <c r="R505" s="20" t="str">
        <f>IF($B505="","",IFERROR(IF(INDEX(Config!$D$9:$D$29,MATCH($B505,Config!$B$9:$B$29,0))="Contrato",IF(INDEX(Config!$E$9:$E$29,MATCH($B505,Config!$B$9:$B$29,0))="","",INDEX(Config!$E$9:$E$29,MATCH($B505,Config!$B$9:$B$29,0))),""),""))</f>
        <v/>
      </c>
      <c r="AC505" s="19" t="str">
        <f>IF($B505="","",IFERROR(INDEX(Config!$D$9:$D$29,MATCH($B505,Config!$B$9:$B$29,0))&amp;"",""))</f>
        <v/>
      </c>
    </row>
    <row r="506">
      <c r="R506" s="20" t="str">
        <f>IF($B506="","",IFERROR(IF(INDEX(Config!$D$9:$D$29,MATCH($B506,Config!$B$9:$B$29,0))="Contrato",IF(INDEX(Config!$E$9:$E$29,MATCH($B506,Config!$B$9:$B$29,0))="","",INDEX(Config!$E$9:$E$29,MATCH($B506,Config!$B$9:$B$29,0))),""),""))</f>
        <v/>
      </c>
      <c r="AC506" s="19" t="str">
        <f>IF($B506="","",IFERROR(INDEX(Config!$D$9:$D$29,MATCH($B506,Config!$B$9:$B$29,0))&amp;"",""))</f>
        <v/>
      </c>
    </row>
    <row r="507">
      <c r="R507" s="20" t="str">
        <f>IF($B507="","",IFERROR(IF(INDEX(Config!$D$9:$D$29,MATCH($B507,Config!$B$9:$B$29,0))="Contrato",IF(INDEX(Config!$E$9:$E$29,MATCH($B507,Config!$B$9:$B$29,0))="","",INDEX(Config!$E$9:$E$29,MATCH($B507,Config!$B$9:$B$29,0))),""),""))</f>
        <v/>
      </c>
      <c r="AC507" s="19" t="str">
        <f>IF($B507="","",IFERROR(INDEX(Config!$D$9:$D$29,MATCH($B507,Config!$B$9:$B$29,0))&amp;"",""))</f>
        <v/>
      </c>
    </row>
    <row r="508">
      <c r="R508" s="20" t="str">
        <f>IF($B508="","",IFERROR(IF(INDEX(Config!$D$9:$D$29,MATCH($B508,Config!$B$9:$B$29,0))="Contrato",IF(INDEX(Config!$E$9:$E$29,MATCH($B508,Config!$B$9:$B$29,0))="","",INDEX(Config!$E$9:$E$29,MATCH($B508,Config!$B$9:$B$29,0))),""),""))</f>
        <v/>
      </c>
      <c r="AC508" s="19" t="str">
        <f>IF($B508="","",IFERROR(INDEX(Config!$D$9:$D$29,MATCH($B508,Config!$B$9:$B$29,0))&amp;"",""))</f>
        <v/>
      </c>
    </row>
    <row r="509">
      <c r="R509" s="20" t="str">
        <f>IF($B509="","",IFERROR(IF(INDEX(Config!$D$9:$D$29,MATCH($B509,Config!$B$9:$B$29,0))="Contrato",IF(INDEX(Config!$E$9:$E$29,MATCH($B509,Config!$B$9:$B$29,0))="","",INDEX(Config!$E$9:$E$29,MATCH($B509,Config!$B$9:$B$29,0))),""),""))</f>
        <v/>
      </c>
      <c r="AC509" s="19" t="str">
        <f>IF($B509="","",IFERROR(INDEX(Config!$D$9:$D$29,MATCH($B509,Config!$B$9:$B$29,0))&amp;"",""))</f>
        <v/>
      </c>
    </row>
    <row r="510">
      <c r="R510" s="20" t="str">
        <f>IF($B510="","",IFERROR(IF(INDEX(Config!$D$9:$D$29,MATCH($B510,Config!$B$9:$B$29,0))="Contrato",IF(INDEX(Config!$E$9:$E$29,MATCH($B510,Config!$B$9:$B$29,0))="","",INDEX(Config!$E$9:$E$29,MATCH($B510,Config!$B$9:$B$29,0))),""),""))</f>
        <v/>
      </c>
      <c r="AC510" s="19" t="str">
        <f>IF($B510="","",IFERROR(INDEX(Config!$D$9:$D$29,MATCH($B510,Config!$B$9:$B$29,0))&amp;"",""))</f>
        <v/>
      </c>
    </row>
    <row r="511">
      <c r="R511" s="20" t="str">
        <f>IF($B511="","",IFERROR(IF(INDEX(Config!$D$9:$D$29,MATCH($B511,Config!$B$9:$B$29,0))="Contrato",IF(INDEX(Config!$E$9:$E$29,MATCH($B511,Config!$B$9:$B$29,0))="","",INDEX(Config!$E$9:$E$29,MATCH($B511,Config!$B$9:$B$29,0))),""),""))</f>
        <v/>
      </c>
      <c r="AC511" s="19" t="str">
        <f>IF($B511="","",IFERROR(INDEX(Config!$D$9:$D$29,MATCH($B511,Config!$B$9:$B$29,0))&amp;"",""))</f>
        <v/>
      </c>
    </row>
    <row r="512">
      <c r="R512" s="20" t="str">
        <f>IF($B512="","",IFERROR(IF(INDEX(Config!$D$9:$D$29,MATCH($B512,Config!$B$9:$B$29,0))="Contrato",IF(INDEX(Config!$E$9:$E$29,MATCH($B512,Config!$B$9:$B$29,0))="","",INDEX(Config!$E$9:$E$29,MATCH($B512,Config!$B$9:$B$29,0))),""),""))</f>
        <v/>
      </c>
      <c r="AC512" s="19" t="str">
        <f>IF($B512="","",IFERROR(INDEX(Config!$D$9:$D$29,MATCH($B512,Config!$B$9:$B$29,0))&amp;"",""))</f>
        <v/>
      </c>
    </row>
    <row r="513">
      <c r="R513" s="20" t="str">
        <f>IF($B513="","",IFERROR(IF(INDEX(Config!$D$9:$D$29,MATCH($B513,Config!$B$9:$B$29,0))="Contrato",IF(INDEX(Config!$E$9:$E$29,MATCH($B513,Config!$B$9:$B$29,0))="","",INDEX(Config!$E$9:$E$29,MATCH($B513,Config!$B$9:$B$29,0))),""),""))</f>
        <v/>
      </c>
      <c r="AC513" s="19" t="str">
        <f>IF($B513="","",IFERROR(INDEX(Config!$D$9:$D$29,MATCH($B513,Config!$B$9:$B$29,0))&amp;"",""))</f>
        <v/>
      </c>
    </row>
    <row r="514">
      <c r="R514" s="20" t="str">
        <f>IF($B514="","",IFERROR(IF(INDEX(Config!$D$9:$D$29,MATCH($B514,Config!$B$9:$B$29,0))="Contrato",IF(INDEX(Config!$E$9:$E$29,MATCH($B514,Config!$B$9:$B$29,0))="","",INDEX(Config!$E$9:$E$29,MATCH($B514,Config!$B$9:$B$29,0))),""),""))</f>
        <v/>
      </c>
      <c r="AC514" s="19" t="str">
        <f>IF($B514="","",IFERROR(INDEX(Config!$D$9:$D$29,MATCH($B514,Config!$B$9:$B$29,0))&amp;"",""))</f>
        <v/>
      </c>
    </row>
    <row r="515">
      <c r="R515" s="20" t="str">
        <f>IF($B515="","",IFERROR(IF(INDEX(Config!$D$9:$D$29,MATCH($B515,Config!$B$9:$B$29,0))="Contrato",IF(INDEX(Config!$E$9:$E$29,MATCH($B515,Config!$B$9:$B$29,0))="","",INDEX(Config!$E$9:$E$29,MATCH($B515,Config!$B$9:$B$29,0))),""),""))</f>
        <v/>
      </c>
      <c r="AC515" s="19" t="str">
        <f>IF($B515="","",IFERROR(INDEX(Config!$D$9:$D$29,MATCH($B515,Config!$B$9:$B$29,0))&amp;"",""))</f>
        <v/>
      </c>
    </row>
    <row r="516">
      <c r="R516" s="20" t="str">
        <f>IF($B516="","",IFERROR(IF(INDEX(Config!$D$9:$D$29,MATCH($B516,Config!$B$9:$B$29,0))="Contrato",IF(INDEX(Config!$E$9:$E$29,MATCH($B516,Config!$B$9:$B$29,0))="","",INDEX(Config!$E$9:$E$29,MATCH($B516,Config!$B$9:$B$29,0))),""),""))</f>
        <v/>
      </c>
      <c r="AC516" s="19" t="str">
        <f>IF($B516="","",IFERROR(INDEX(Config!$D$9:$D$29,MATCH($B516,Config!$B$9:$B$29,0))&amp;"",""))</f>
        <v/>
      </c>
    </row>
    <row r="517">
      <c r="R517" s="20" t="str">
        <f>IF($B517="","",IFERROR(IF(INDEX(Config!$D$9:$D$29,MATCH($B517,Config!$B$9:$B$29,0))="Contrato",IF(INDEX(Config!$E$9:$E$29,MATCH($B517,Config!$B$9:$B$29,0))="","",INDEX(Config!$E$9:$E$29,MATCH($B517,Config!$B$9:$B$29,0))),""),""))</f>
        <v/>
      </c>
      <c r="AC517" s="19" t="str">
        <f>IF($B517="","",IFERROR(INDEX(Config!$D$9:$D$29,MATCH($B517,Config!$B$9:$B$29,0))&amp;"",""))</f>
        <v/>
      </c>
    </row>
    <row r="518">
      <c r="R518" s="20" t="str">
        <f>IF($B518="","",IFERROR(IF(INDEX(Config!$D$9:$D$29,MATCH($B518,Config!$B$9:$B$29,0))="Contrato",IF(INDEX(Config!$E$9:$E$29,MATCH($B518,Config!$B$9:$B$29,0))="","",INDEX(Config!$E$9:$E$29,MATCH($B518,Config!$B$9:$B$29,0))),""),""))</f>
        <v/>
      </c>
      <c r="AC518" s="19" t="str">
        <f>IF($B518="","",IFERROR(INDEX(Config!$D$9:$D$29,MATCH($B518,Config!$B$9:$B$29,0))&amp;"",""))</f>
        <v/>
      </c>
    </row>
    <row r="519">
      <c r="R519" s="20" t="str">
        <f>IF($B519="","",IFERROR(IF(INDEX(Config!$D$9:$D$29,MATCH($B519,Config!$B$9:$B$29,0))="Contrato",IF(INDEX(Config!$E$9:$E$29,MATCH($B519,Config!$B$9:$B$29,0))="","",INDEX(Config!$E$9:$E$29,MATCH($B519,Config!$B$9:$B$29,0))),""),""))</f>
        <v/>
      </c>
      <c r="AC519" s="19" t="str">
        <f>IF($B519="","",IFERROR(INDEX(Config!$D$9:$D$29,MATCH($B519,Config!$B$9:$B$29,0))&amp;"",""))</f>
        <v/>
      </c>
    </row>
    <row r="520">
      <c r="R520" s="20" t="str">
        <f>IF($B520="","",IFERROR(IF(INDEX(Config!$D$9:$D$29,MATCH($B520,Config!$B$9:$B$29,0))="Contrato",IF(INDEX(Config!$E$9:$E$29,MATCH($B520,Config!$B$9:$B$29,0))="","",INDEX(Config!$E$9:$E$29,MATCH($B520,Config!$B$9:$B$29,0))),""),""))</f>
        <v/>
      </c>
      <c r="AC520" s="19" t="str">
        <f>IF($B520="","",IFERROR(INDEX(Config!$D$9:$D$29,MATCH($B520,Config!$B$9:$B$29,0))&amp;"",""))</f>
        <v/>
      </c>
    </row>
    <row r="521">
      <c r="R521" s="20" t="str">
        <f>IF($B521="","",IFERROR(IF(INDEX(Config!$D$9:$D$29,MATCH($B521,Config!$B$9:$B$29,0))="Contrato",IF(INDEX(Config!$E$9:$E$29,MATCH($B521,Config!$B$9:$B$29,0))="","",INDEX(Config!$E$9:$E$29,MATCH($B521,Config!$B$9:$B$29,0))),""),""))</f>
        <v/>
      </c>
      <c r="AC521" s="19" t="str">
        <f>IF($B521="","",IFERROR(INDEX(Config!$D$9:$D$29,MATCH($B521,Config!$B$9:$B$29,0))&amp;"",""))</f>
        <v/>
      </c>
    </row>
    <row r="522">
      <c r="R522" s="20" t="str">
        <f>IF($B522="","",IFERROR(IF(INDEX(Config!$D$9:$D$29,MATCH($B522,Config!$B$9:$B$29,0))="Contrato",IF(INDEX(Config!$E$9:$E$29,MATCH($B522,Config!$B$9:$B$29,0))="","",INDEX(Config!$E$9:$E$29,MATCH($B522,Config!$B$9:$B$29,0))),""),""))</f>
        <v/>
      </c>
      <c r="AC522" s="19" t="str">
        <f>IF($B522="","",IFERROR(INDEX(Config!$D$9:$D$29,MATCH($B522,Config!$B$9:$B$29,0))&amp;"",""))</f>
        <v/>
      </c>
    </row>
    <row r="523">
      <c r="R523" s="20" t="str">
        <f>IF($B523="","",IFERROR(IF(INDEX(Config!$D$9:$D$29,MATCH($B523,Config!$B$9:$B$29,0))="Contrato",IF(INDEX(Config!$E$9:$E$29,MATCH($B523,Config!$B$9:$B$29,0))="","",INDEX(Config!$E$9:$E$29,MATCH($B523,Config!$B$9:$B$29,0))),""),""))</f>
        <v/>
      </c>
      <c r="AC523" s="19" t="str">
        <f>IF($B523="","",IFERROR(INDEX(Config!$D$9:$D$29,MATCH($B523,Config!$B$9:$B$29,0))&amp;"",""))</f>
        <v/>
      </c>
    </row>
    <row r="524">
      <c r="R524" s="20" t="str">
        <f>IF($B524="","",IFERROR(IF(INDEX(Config!$D$9:$D$29,MATCH($B524,Config!$B$9:$B$29,0))="Contrato",IF(INDEX(Config!$E$9:$E$29,MATCH($B524,Config!$B$9:$B$29,0))="","",INDEX(Config!$E$9:$E$29,MATCH($B524,Config!$B$9:$B$29,0))),""),""))</f>
        <v/>
      </c>
      <c r="AC524" s="19" t="str">
        <f>IF($B524="","",IFERROR(INDEX(Config!$D$9:$D$29,MATCH($B524,Config!$B$9:$B$29,0))&amp;"",""))</f>
        <v/>
      </c>
    </row>
    <row r="525">
      <c r="R525" s="20" t="str">
        <f>IF($B525="","",IFERROR(IF(INDEX(Config!$D$9:$D$29,MATCH($B525,Config!$B$9:$B$29,0))="Contrato",IF(INDEX(Config!$E$9:$E$29,MATCH($B525,Config!$B$9:$B$29,0))="","",INDEX(Config!$E$9:$E$29,MATCH($B525,Config!$B$9:$B$29,0))),""),""))</f>
        <v/>
      </c>
      <c r="AC525" s="19" t="str">
        <f>IF($B525="","",IFERROR(INDEX(Config!$D$9:$D$29,MATCH($B525,Config!$B$9:$B$29,0))&amp;"",""))</f>
        <v/>
      </c>
    </row>
    <row r="526">
      <c r="R526" s="20" t="str">
        <f>IF($B526="","",IFERROR(IF(INDEX(Config!$D$9:$D$29,MATCH($B526,Config!$B$9:$B$29,0))="Contrato",IF(INDEX(Config!$E$9:$E$29,MATCH($B526,Config!$B$9:$B$29,0))="","",INDEX(Config!$E$9:$E$29,MATCH($B526,Config!$B$9:$B$29,0))),""),""))</f>
        <v/>
      </c>
      <c r="AC526" s="19" t="str">
        <f>IF($B526="","",IFERROR(INDEX(Config!$D$9:$D$29,MATCH($B526,Config!$B$9:$B$29,0))&amp;"",""))</f>
        <v/>
      </c>
    </row>
    <row r="527">
      <c r="R527" s="20" t="str">
        <f>IF($B527="","",IFERROR(IF(INDEX(Config!$D$9:$D$29,MATCH($B527,Config!$B$9:$B$29,0))="Contrato",IF(INDEX(Config!$E$9:$E$29,MATCH($B527,Config!$B$9:$B$29,0))="","",INDEX(Config!$E$9:$E$29,MATCH($B527,Config!$B$9:$B$29,0))),""),""))</f>
        <v/>
      </c>
      <c r="AC527" s="19" t="str">
        <f>IF($B527="","",IFERROR(INDEX(Config!$D$9:$D$29,MATCH($B527,Config!$B$9:$B$29,0))&amp;"",""))</f>
        <v/>
      </c>
    </row>
    <row r="528">
      <c r="R528" s="20" t="str">
        <f>IF($B528="","",IFERROR(IF(INDEX(Config!$D$9:$D$29,MATCH($B528,Config!$B$9:$B$29,0))="Contrato",IF(INDEX(Config!$E$9:$E$29,MATCH($B528,Config!$B$9:$B$29,0))="","",INDEX(Config!$E$9:$E$29,MATCH($B528,Config!$B$9:$B$29,0))),""),""))</f>
        <v/>
      </c>
      <c r="AC528" s="19" t="str">
        <f>IF($B528="","",IFERROR(INDEX(Config!$D$9:$D$29,MATCH($B528,Config!$B$9:$B$29,0))&amp;"",""))</f>
        <v/>
      </c>
    </row>
    <row r="529">
      <c r="R529" s="20" t="str">
        <f>IF($B529="","",IFERROR(IF(INDEX(Config!$D$9:$D$29,MATCH($B529,Config!$B$9:$B$29,0))="Contrato",IF(INDEX(Config!$E$9:$E$29,MATCH($B529,Config!$B$9:$B$29,0))="","",INDEX(Config!$E$9:$E$29,MATCH($B529,Config!$B$9:$B$29,0))),""),""))</f>
        <v/>
      </c>
      <c r="AC529" s="19" t="str">
        <f>IF($B529="","",IFERROR(INDEX(Config!$D$9:$D$29,MATCH($B529,Config!$B$9:$B$29,0))&amp;"",""))</f>
        <v/>
      </c>
    </row>
    <row r="530">
      <c r="R530" s="20" t="str">
        <f>IF($B530="","",IFERROR(IF(INDEX(Config!$D$9:$D$29,MATCH($B530,Config!$B$9:$B$29,0))="Contrato",IF(INDEX(Config!$E$9:$E$29,MATCH($B530,Config!$B$9:$B$29,0))="","",INDEX(Config!$E$9:$E$29,MATCH($B530,Config!$B$9:$B$29,0))),""),""))</f>
        <v/>
      </c>
      <c r="AC530" s="19" t="str">
        <f>IF($B530="","",IFERROR(INDEX(Config!$D$9:$D$29,MATCH($B530,Config!$B$9:$B$29,0))&amp;"",""))</f>
        <v/>
      </c>
    </row>
    <row r="531">
      <c r="R531" s="20" t="str">
        <f>IF($B531="","",IFERROR(IF(INDEX(Config!$D$9:$D$29,MATCH($B531,Config!$B$9:$B$29,0))="Contrato",IF(INDEX(Config!$E$9:$E$29,MATCH($B531,Config!$B$9:$B$29,0))="","",INDEX(Config!$E$9:$E$29,MATCH($B531,Config!$B$9:$B$29,0))),""),""))</f>
        <v/>
      </c>
      <c r="AC531" s="19" t="str">
        <f>IF($B531="","",IFERROR(INDEX(Config!$D$9:$D$29,MATCH($B531,Config!$B$9:$B$29,0))&amp;"",""))</f>
        <v/>
      </c>
    </row>
    <row r="532">
      <c r="R532" s="20" t="str">
        <f>IF($B532="","",IFERROR(IF(INDEX(Config!$D$9:$D$29,MATCH($B532,Config!$B$9:$B$29,0))="Contrato",IF(INDEX(Config!$E$9:$E$29,MATCH($B532,Config!$B$9:$B$29,0))="","",INDEX(Config!$E$9:$E$29,MATCH($B532,Config!$B$9:$B$29,0))),""),""))</f>
        <v/>
      </c>
      <c r="AC532" s="19" t="str">
        <f>IF($B532="","",IFERROR(INDEX(Config!$D$9:$D$29,MATCH($B532,Config!$B$9:$B$29,0))&amp;"",""))</f>
        <v/>
      </c>
    </row>
    <row r="533">
      <c r="R533" s="20" t="str">
        <f>IF($B533="","",IFERROR(IF(INDEX(Config!$D$9:$D$29,MATCH($B533,Config!$B$9:$B$29,0))="Contrato",IF(INDEX(Config!$E$9:$E$29,MATCH($B533,Config!$B$9:$B$29,0))="","",INDEX(Config!$E$9:$E$29,MATCH($B533,Config!$B$9:$B$29,0))),""),""))</f>
        <v/>
      </c>
      <c r="AC533" s="19" t="str">
        <f>IF($B533="","",IFERROR(INDEX(Config!$D$9:$D$29,MATCH($B533,Config!$B$9:$B$29,0))&amp;"",""))</f>
        <v/>
      </c>
    </row>
    <row r="534">
      <c r="R534" s="20" t="str">
        <f>IF($B534="","",IFERROR(IF(INDEX(Config!$D$9:$D$29,MATCH($B534,Config!$B$9:$B$29,0))="Contrato",IF(INDEX(Config!$E$9:$E$29,MATCH($B534,Config!$B$9:$B$29,0))="","",INDEX(Config!$E$9:$E$29,MATCH($B534,Config!$B$9:$B$29,0))),""),""))</f>
        <v/>
      </c>
      <c r="AC534" s="19" t="str">
        <f>IF($B534="","",IFERROR(INDEX(Config!$D$9:$D$29,MATCH($B534,Config!$B$9:$B$29,0))&amp;"",""))</f>
        <v/>
      </c>
    </row>
    <row r="535">
      <c r="R535" s="20" t="str">
        <f>IF($B535="","",IFERROR(IF(INDEX(Config!$D$9:$D$29,MATCH($B535,Config!$B$9:$B$29,0))="Contrato",IF(INDEX(Config!$E$9:$E$29,MATCH($B535,Config!$B$9:$B$29,0))="","",INDEX(Config!$E$9:$E$29,MATCH($B535,Config!$B$9:$B$29,0))),""),""))</f>
        <v/>
      </c>
      <c r="AC535" s="19" t="str">
        <f>IF($B535="","",IFERROR(INDEX(Config!$D$9:$D$29,MATCH($B535,Config!$B$9:$B$29,0))&amp;"",""))</f>
        <v/>
      </c>
    </row>
    <row r="536">
      <c r="R536" s="20" t="str">
        <f>IF($B536="","",IFERROR(IF(INDEX(Config!$D$9:$D$29,MATCH($B536,Config!$B$9:$B$29,0))="Contrato",IF(INDEX(Config!$E$9:$E$29,MATCH($B536,Config!$B$9:$B$29,0))="","",INDEX(Config!$E$9:$E$29,MATCH($B536,Config!$B$9:$B$29,0))),""),""))</f>
        <v/>
      </c>
      <c r="AC536" s="19" t="str">
        <f>IF($B536="","",IFERROR(INDEX(Config!$D$9:$D$29,MATCH($B536,Config!$B$9:$B$29,0))&amp;"",""))</f>
        <v/>
      </c>
    </row>
    <row r="537">
      <c r="R537" s="20" t="str">
        <f>IF($B537="","",IFERROR(IF(INDEX(Config!$D$9:$D$29,MATCH($B537,Config!$B$9:$B$29,0))="Contrato",IF(INDEX(Config!$E$9:$E$29,MATCH($B537,Config!$B$9:$B$29,0))="","",INDEX(Config!$E$9:$E$29,MATCH($B537,Config!$B$9:$B$29,0))),""),""))</f>
        <v/>
      </c>
      <c r="AC537" s="19" t="str">
        <f>IF($B537="","",IFERROR(INDEX(Config!$D$9:$D$29,MATCH($B537,Config!$B$9:$B$29,0))&amp;"",""))</f>
        <v/>
      </c>
    </row>
    <row r="538">
      <c r="R538" s="20" t="str">
        <f>IF($B538="","",IFERROR(IF(INDEX(Config!$D$9:$D$29,MATCH($B538,Config!$B$9:$B$29,0))="Contrato",IF(INDEX(Config!$E$9:$E$29,MATCH($B538,Config!$B$9:$B$29,0))="","",INDEX(Config!$E$9:$E$29,MATCH($B538,Config!$B$9:$B$29,0))),""),""))</f>
        <v/>
      </c>
      <c r="AC538" s="19" t="str">
        <f>IF($B538="","",IFERROR(INDEX(Config!$D$9:$D$29,MATCH($B538,Config!$B$9:$B$29,0))&amp;"",""))</f>
        <v/>
      </c>
    </row>
    <row r="539">
      <c r="R539" s="20" t="str">
        <f>IF($B539="","",IFERROR(IF(INDEX(Config!$D$9:$D$29,MATCH($B539,Config!$B$9:$B$29,0))="Contrato",IF(INDEX(Config!$E$9:$E$29,MATCH($B539,Config!$B$9:$B$29,0))="","",INDEX(Config!$E$9:$E$29,MATCH($B539,Config!$B$9:$B$29,0))),""),""))</f>
        <v/>
      </c>
      <c r="AC539" s="19" t="str">
        <f>IF($B539="","",IFERROR(INDEX(Config!$D$9:$D$29,MATCH($B539,Config!$B$9:$B$29,0))&amp;"",""))</f>
        <v/>
      </c>
    </row>
    <row r="540">
      <c r="R540" s="20" t="str">
        <f>IF($B540="","",IFERROR(IF(INDEX(Config!$D$9:$D$29,MATCH($B540,Config!$B$9:$B$29,0))="Contrato",IF(INDEX(Config!$E$9:$E$29,MATCH($B540,Config!$B$9:$B$29,0))="","",INDEX(Config!$E$9:$E$29,MATCH($B540,Config!$B$9:$B$29,0))),""),""))</f>
        <v/>
      </c>
      <c r="AC540" s="19" t="str">
        <f>IF($B540="","",IFERROR(INDEX(Config!$D$9:$D$29,MATCH($B540,Config!$B$9:$B$29,0))&amp;"",""))</f>
        <v/>
      </c>
    </row>
    <row r="541">
      <c r="R541" s="20" t="str">
        <f>IF($B541="","",IFERROR(IF(INDEX(Config!$D$9:$D$29,MATCH($B541,Config!$B$9:$B$29,0))="Contrato",IF(INDEX(Config!$E$9:$E$29,MATCH($B541,Config!$B$9:$B$29,0))="","",INDEX(Config!$E$9:$E$29,MATCH($B541,Config!$B$9:$B$29,0))),""),""))</f>
        <v/>
      </c>
      <c r="AC541" s="19" t="str">
        <f>IF($B541="","",IFERROR(INDEX(Config!$D$9:$D$29,MATCH($B541,Config!$B$9:$B$29,0))&amp;"",""))</f>
        <v/>
      </c>
    </row>
    <row r="542">
      <c r="R542" s="20" t="str">
        <f>IF($B542="","",IFERROR(IF(INDEX(Config!$D$9:$D$29,MATCH($B542,Config!$B$9:$B$29,0))="Contrato",IF(INDEX(Config!$E$9:$E$29,MATCH($B542,Config!$B$9:$B$29,0))="","",INDEX(Config!$E$9:$E$29,MATCH($B542,Config!$B$9:$B$29,0))),""),""))</f>
        <v/>
      </c>
      <c r="AC542" s="19" t="str">
        <f>IF($B542="","",IFERROR(INDEX(Config!$D$9:$D$29,MATCH($B542,Config!$B$9:$B$29,0))&amp;"",""))</f>
        <v/>
      </c>
    </row>
    <row r="543">
      <c r="R543" s="20" t="str">
        <f>IF($B543="","",IFERROR(IF(INDEX(Config!$D$9:$D$29,MATCH($B543,Config!$B$9:$B$29,0))="Contrato",IF(INDEX(Config!$E$9:$E$29,MATCH($B543,Config!$B$9:$B$29,0))="","",INDEX(Config!$E$9:$E$29,MATCH($B543,Config!$B$9:$B$29,0))),""),""))</f>
        <v/>
      </c>
      <c r="AC543" s="19" t="str">
        <f>IF($B543="","",IFERROR(INDEX(Config!$D$9:$D$29,MATCH($B543,Config!$B$9:$B$29,0))&amp;"",""))</f>
        <v/>
      </c>
    </row>
    <row r="544">
      <c r="R544" s="20" t="str">
        <f>IF($B544="","",IFERROR(IF(INDEX(Config!$D$9:$D$29,MATCH($B544,Config!$B$9:$B$29,0))="Contrato",IF(INDEX(Config!$E$9:$E$29,MATCH($B544,Config!$B$9:$B$29,0))="","",INDEX(Config!$E$9:$E$29,MATCH($B544,Config!$B$9:$B$29,0))),""),""))</f>
        <v/>
      </c>
      <c r="AC544" s="19" t="str">
        <f>IF($B544="","",IFERROR(INDEX(Config!$D$9:$D$29,MATCH($B544,Config!$B$9:$B$29,0))&amp;"",""))</f>
        <v/>
      </c>
    </row>
    <row r="545">
      <c r="R545" s="20" t="str">
        <f>IF($B545="","",IFERROR(IF(INDEX(Config!$D$9:$D$29,MATCH($B545,Config!$B$9:$B$29,0))="Contrato",IF(INDEX(Config!$E$9:$E$29,MATCH($B545,Config!$B$9:$B$29,0))="","",INDEX(Config!$E$9:$E$29,MATCH($B545,Config!$B$9:$B$29,0))),""),""))</f>
        <v/>
      </c>
      <c r="AC545" s="19" t="str">
        <f>IF($B545="","",IFERROR(INDEX(Config!$D$9:$D$29,MATCH($B545,Config!$B$9:$B$29,0))&amp;"",""))</f>
        <v/>
      </c>
    </row>
    <row r="546">
      <c r="R546" s="20" t="str">
        <f>IF($B546="","",IFERROR(IF(INDEX(Config!$D$9:$D$29,MATCH($B546,Config!$B$9:$B$29,0))="Contrato",IF(INDEX(Config!$E$9:$E$29,MATCH($B546,Config!$B$9:$B$29,0))="","",INDEX(Config!$E$9:$E$29,MATCH($B546,Config!$B$9:$B$29,0))),""),""))</f>
        <v/>
      </c>
      <c r="AC546" s="19" t="str">
        <f>IF($B546="","",IFERROR(INDEX(Config!$D$9:$D$29,MATCH($B546,Config!$B$9:$B$29,0))&amp;"",""))</f>
        <v/>
      </c>
    </row>
    <row r="547">
      <c r="R547" s="20" t="str">
        <f>IF($B547="","",IFERROR(IF(INDEX(Config!$D$9:$D$29,MATCH($B547,Config!$B$9:$B$29,0))="Contrato",IF(INDEX(Config!$E$9:$E$29,MATCH($B547,Config!$B$9:$B$29,0))="","",INDEX(Config!$E$9:$E$29,MATCH($B547,Config!$B$9:$B$29,0))),""),""))</f>
        <v/>
      </c>
      <c r="AC547" s="19" t="str">
        <f>IF($B547="","",IFERROR(INDEX(Config!$D$9:$D$29,MATCH($B547,Config!$B$9:$B$29,0))&amp;"",""))</f>
        <v/>
      </c>
    </row>
    <row r="548">
      <c r="R548" s="20" t="str">
        <f>IF($B548="","",IFERROR(IF(INDEX(Config!$D$9:$D$29,MATCH($B548,Config!$B$9:$B$29,0))="Contrato",IF(INDEX(Config!$E$9:$E$29,MATCH($B548,Config!$B$9:$B$29,0))="","",INDEX(Config!$E$9:$E$29,MATCH($B548,Config!$B$9:$B$29,0))),""),""))</f>
        <v/>
      </c>
      <c r="AC548" s="19" t="str">
        <f>IF($B548="","",IFERROR(INDEX(Config!$D$9:$D$29,MATCH($B548,Config!$B$9:$B$29,0))&amp;"",""))</f>
        <v/>
      </c>
    </row>
    <row r="549">
      <c r="R549" s="20" t="str">
        <f>IF($B549="","",IFERROR(IF(INDEX(Config!$D$9:$D$29,MATCH($B549,Config!$B$9:$B$29,0))="Contrato",IF(INDEX(Config!$E$9:$E$29,MATCH($B549,Config!$B$9:$B$29,0))="","",INDEX(Config!$E$9:$E$29,MATCH($B549,Config!$B$9:$B$29,0))),""),""))</f>
        <v/>
      </c>
      <c r="AC549" s="19" t="str">
        <f>IF($B549="","",IFERROR(INDEX(Config!$D$9:$D$29,MATCH($B549,Config!$B$9:$B$29,0))&amp;"",""))</f>
        <v/>
      </c>
    </row>
    <row r="550">
      <c r="R550" s="20" t="str">
        <f>IF($B550="","",IFERROR(IF(INDEX(Config!$D$9:$D$29,MATCH($B550,Config!$B$9:$B$29,0))="Contrato",IF(INDEX(Config!$E$9:$E$29,MATCH($B550,Config!$B$9:$B$29,0))="","",INDEX(Config!$E$9:$E$29,MATCH($B550,Config!$B$9:$B$29,0))),""),""))</f>
        <v/>
      </c>
      <c r="AC550" s="19" t="str">
        <f>IF($B550="","",IFERROR(INDEX(Config!$D$9:$D$29,MATCH($B550,Config!$B$9:$B$29,0))&amp;"",""))</f>
        <v/>
      </c>
    </row>
    <row r="551">
      <c r="R551" s="20" t="str">
        <f>IF($B551="","",IFERROR(IF(INDEX(Config!$D$9:$D$29,MATCH($B551,Config!$B$9:$B$29,0))="Contrato",IF(INDEX(Config!$E$9:$E$29,MATCH($B551,Config!$B$9:$B$29,0))="","",INDEX(Config!$E$9:$E$29,MATCH($B551,Config!$B$9:$B$29,0))),""),""))</f>
        <v/>
      </c>
      <c r="AC551" s="19" t="str">
        <f>IF($B551="","",IFERROR(INDEX(Config!$D$9:$D$29,MATCH($B551,Config!$B$9:$B$29,0))&amp;"",""))</f>
        <v/>
      </c>
    </row>
    <row r="552">
      <c r="R552" s="20" t="str">
        <f>IF($B552="","",IFERROR(IF(INDEX(Config!$D$9:$D$29,MATCH($B552,Config!$B$9:$B$29,0))="Contrato",IF(INDEX(Config!$E$9:$E$29,MATCH($B552,Config!$B$9:$B$29,0))="","",INDEX(Config!$E$9:$E$29,MATCH($B552,Config!$B$9:$B$29,0))),""),""))</f>
        <v/>
      </c>
      <c r="AC552" s="19" t="str">
        <f>IF($B552="","",IFERROR(INDEX(Config!$D$9:$D$29,MATCH($B552,Config!$B$9:$B$29,0))&amp;"",""))</f>
        <v/>
      </c>
    </row>
    <row r="553">
      <c r="R553" s="20" t="str">
        <f>IF($B553="","",IFERROR(IF(INDEX(Config!$D$9:$D$29,MATCH($B553,Config!$B$9:$B$29,0))="Contrato",IF(INDEX(Config!$E$9:$E$29,MATCH($B553,Config!$B$9:$B$29,0))="","",INDEX(Config!$E$9:$E$29,MATCH($B553,Config!$B$9:$B$29,0))),""),""))</f>
        <v/>
      </c>
      <c r="AC553" s="19" t="str">
        <f>IF($B553="","",IFERROR(INDEX(Config!$D$9:$D$29,MATCH($B553,Config!$B$9:$B$29,0))&amp;"",""))</f>
        <v/>
      </c>
    </row>
    <row r="554">
      <c r="R554" s="20" t="str">
        <f>IF($B554="","",IFERROR(IF(INDEX(Config!$D$9:$D$29,MATCH($B554,Config!$B$9:$B$29,0))="Contrato",IF(INDEX(Config!$E$9:$E$29,MATCH($B554,Config!$B$9:$B$29,0))="","",INDEX(Config!$E$9:$E$29,MATCH($B554,Config!$B$9:$B$29,0))),""),""))</f>
        <v/>
      </c>
      <c r="AC554" s="19" t="str">
        <f>IF($B554="","",IFERROR(INDEX(Config!$D$9:$D$29,MATCH($B554,Config!$B$9:$B$29,0))&amp;"",""))</f>
        <v/>
      </c>
    </row>
    <row r="555">
      <c r="R555" s="20" t="str">
        <f>IF($B555="","",IFERROR(IF(INDEX(Config!$D$9:$D$29,MATCH($B555,Config!$B$9:$B$29,0))="Contrato",IF(INDEX(Config!$E$9:$E$29,MATCH($B555,Config!$B$9:$B$29,0))="","",INDEX(Config!$E$9:$E$29,MATCH($B555,Config!$B$9:$B$29,0))),""),""))</f>
        <v/>
      </c>
      <c r="AC555" s="19" t="str">
        <f>IF($B555="","",IFERROR(INDEX(Config!$D$9:$D$29,MATCH($B555,Config!$B$9:$B$29,0))&amp;"",""))</f>
        <v/>
      </c>
    </row>
    <row r="556">
      <c r="R556" s="20" t="str">
        <f>IF($B556="","",IFERROR(IF(INDEX(Config!$D$9:$D$29,MATCH($B556,Config!$B$9:$B$29,0))="Contrato",IF(INDEX(Config!$E$9:$E$29,MATCH($B556,Config!$B$9:$B$29,0))="","",INDEX(Config!$E$9:$E$29,MATCH($B556,Config!$B$9:$B$29,0))),""),""))</f>
        <v/>
      </c>
      <c r="AC556" s="19" t="str">
        <f>IF($B556="","",IFERROR(INDEX(Config!$D$9:$D$29,MATCH($B556,Config!$B$9:$B$29,0))&amp;"",""))</f>
        <v/>
      </c>
    </row>
    <row r="557">
      <c r="R557" s="20" t="str">
        <f>IF($B557="","",IFERROR(IF(INDEX(Config!$D$9:$D$29,MATCH($B557,Config!$B$9:$B$29,0))="Contrato",IF(INDEX(Config!$E$9:$E$29,MATCH($B557,Config!$B$9:$B$29,0))="","",INDEX(Config!$E$9:$E$29,MATCH($B557,Config!$B$9:$B$29,0))),""),""))</f>
        <v/>
      </c>
      <c r="AC557" s="19" t="str">
        <f>IF($B557="","",IFERROR(INDEX(Config!$D$9:$D$29,MATCH($B557,Config!$B$9:$B$29,0))&amp;"",""))</f>
        <v/>
      </c>
    </row>
    <row r="558">
      <c r="R558" s="20" t="str">
        <f>IF($B558="","",IFERROR(IF(INDEX(Config!$D$9:$D$29,MATCH($B558,Config!$B$9:$B$29,0))="Contrato",IF(INDEX(Config!$E$9:$E$29,MATCH($B558,Config!$B$9:$B$29,0))="","",INDEX(Config!$E$9:$E$29,MATCH($B558,Config!$B$9:$B$29,0))),""),""))</f>
        <v/>
      </c>
      <c r="AC558" s="19" t="str">
        <f>IF($B558="","",IFERROR(INDEX(Config!$D$9:$D$29,MATCH($B558,Config!$B$9:$B$29,0))&amp;"",""))</f>
        <v/>
      </c>
    </row>
    <row r="559">
      <c r="R559" s="20" t="str">
        <f>IF($B559="","",IFERROR(IF(INDEX(Config!$D$9:$D$29,MATCH($B559,Config!$B$9:$B$29,0))="Contrato",IF(INDEX(Config!$E$9:$E$29,MATCH($B559,Config!$B$9:$B$29,0))="","",INDEX(Config!$E$9:$E$29,MATCH($B559,Config!$B$9:$B$29,0))),""),""))</f>
        <v/>
      </c>
      <c r="AC559" s="19" t="str">
        <f>IF($B559="","",IFERROR(INDEX(Config!$D$9:$D$29,MATCH($B559,Config!$B$9:$B$29,0))&amp;"",""))</f>
        <v/>
      </c>
    </row>
    <row r="560">
      <c r="R560" s="20" t="str">
        <f>IF($B560="","",IFERROR(IF(INDEX(Config!$D$9:$D$29,MATCH($B560,Config!$B$9:$B$29,0))="Contrato",IF(INDEX(Config!$E$9:$E$29,MATCH($B560,Config!$B$9:$B$29,0))="","",INDEX(Config!$E$9:$E$29,MATCH($B560,Config!$B$9:$B$29,0))),""),""))</f>
        <v/>
      </c>
      <c r="AC560" s="19" t="str">
        <f>IF($B560="","",IFERROR(INDEX(Config!$D$9:$D$29,MATCH($B560,Config!$B$9:$B$29,0))&amp;"",""))</f>
        <v/>
      </c>
    </row>
    <row r="561">
      <c r="R561" s="20" t="str">
        <f>IF($B561="","",IFERROR(IF(INDEX(Config!$D$9:$D$29,MATCH($B561,Config!$B$9:$B$29,0))="Contrato",IF(INDEX(Config!$E$9:$E$29,MATCH($B561,Config!$B$9:$B$29,0))="","",INDEX(Config!$E$9:$E$29,MATCH($B561,Config!$B$9:$B$29,0))),""),""))</f>
        <v/>
      </c>
      <c r="AC561" s="19" t="str">
        <f>IF($B561="","",IFERROR(INDEX(Config!$D$9:$D$29,MATCH($B561,Config!$B$9:$B$29,0))&amp;"",""))</f>
        <v/>
      </c>
    </row>
    <row r="562">
      <c r="R562" s="20" t="str">
        <f>IF($B562="","",IFERROR(IF(INDEX(Config!$D$9:$D$29,MATCH($B562,Config!$B$9:$B$29,0))="Contrato",IF(INDEX(Config!$E$9:$E$29,MATCH($B562,Config!$B$9:$B$29,0))="","",INDEX(Config!$E$9:$E$29,MATCH($B562,Config!$B$9:$B$29,0))),""),""))</f>
        <v/>
      </c>
      <c r="AC562" s="19" t="str">
        <f>IF($B562="","",IFERROR(INDEX(Config!$D$9:$D$29,MATCH($B562,Config!$B$9:$B$29,0))&amp;"",""))</f>
        <v/>
      </c>
    </row>
    <row r="563">
      <c r="R563" s="20" t="str">
        <f>IF($B563="","",IFERROR(IF(INDEX(Config!$D$9:$D$29,MATCH($B563,Config!$B$9:$B$29,0))="Contrato",IF(INDEX(Config!$E$9:$E$29,MATCH($B563,Config!$B$9:$B$29,0))="","",INDEX(Config!$E$9:$E$29,MATCH($B563,Config!$B$9:$B$29,0))),""),""))</f>
        <v/>
      </c>
      <c r="AC563" s="19" t="str">
        <f>IF($B563="","",IFERROR(INDEX(Config!$D$9:$D$29,MATCH($B563,Config!$B$9:$B$29,0))&amp;"",""))</f>
        <v/>
      </c>
    </row>
    <row r="564">
      <c r="R564" s="20" t="str">
        <f>IF($B564="","",IFERROR(IF(INDEX(Config!$D$9:$D$29,MATCH($B564,Config!$B$9:$B$29,0))="Contrato",IF(INDEX(Config!$E$9:$E$29,MATCH($B564,Config!$B$9:$B$29,0))="","",INDEX(Config!$E$9:$E$29,MATCH($B564,Config!$B$9:$B$29,0))),""),""))</f>
        <v/>
      </c>
      <c r="AC564" s="19" t="str">
        <f>IF($B564="","",IFERROR(INDEX(Config!$D$9:$D$29,MATCH($B564,Config!$B$9:$B$29,0))&amp;"",""))</f>
        <v/>
      </c>
    </row>
    <row r="565">
      <c r="R565" s="20" t="str">
        <f>IF($B565="","",IFERROR(IF(INDEX(Config!$D$9:$D$29,MATCH($B565,Config!$B$9:$B$29,0))="Contrato",IF(INDEX(Config!$E$9:$E$29,MATCH($B565,Config!$B$9:$B$29,0))="","",INDEX(Config!$E$9:$E$29,MATCH($B565,Config!$B$9:$B$29,0))),""),""))</f>
        <v/>
      </c>
      <c r="AC565" s="19" t="str">
        <f>IF($B565="","",IFERROR(INDEX(Config!$D$9:$D$29,MATCH($B565,Config!$B$9:$B$29,0))&amp;"",""))</f>
        <v/>
      </c>
    </row>
    <row r="566">
      <c r="R566" s="20" t="str">
        <f>IF($B566="","",IFERROR(IF(INDEX(Config!$D$9:$D$29,MATCH($B566,Config!$B$9:$B$29,0))="Contrato",IF(INDEX(Config!$E$9:$E$29,MATCH($B566,Config!$B$9:$B$29,0))="","",INDEX(Config!$E$9:$E$29,MATCH($B566,Config!$B$9:$B$29,0))),""),""))</f>
        <v/>
      </c>
      <c r="AC566" s="19" t="str">
        <f>IF($B566="","",IFERROR(INDEX(Config!$D$9:$D$29,MATCH($B566,Config!$B$9:$B$29,0))&amp;"",""))</f>
        <v/>
      </c>
    </row>
    <row r="567">
      <c r="R567" s="20" t="str">
        <f>IF($B567="","",IFERROR(IF(INDEX(Config!$D$9:$D$29,MATCH($B567,Config!$B$9:$B$29,0))="Contrato",IF(INDEX(Config!$E$9:$E$29,MATCH($B567,Config!$B$9:$B$29,0))="","",INDEX(Config!$E$9:$E$29,MATCH($B567,Config!$B$9:$B$29,0))),""),""))</f>
        <v/>
      </c>
      <c r="AC567" s="19" t="str">
        <f>IF($B567="","",IFERROR(INDEX(Config!$D$9:$D$29,MATCH($B567,Config!$B$9:$B$29,0))&amp;"",""))</f>
        <v/>
      </c>
    </row>
    <row r="568">
      <c r="R568" s="20" t="str">
        <f>IF($B568="","",IFERROR(IF(INDEX(Config!$D$9:$D$29,MATCH($B568,Config!$B$9:$B$29,0))="Contrato",IF(INDEX(Config!$E$9:$E$29,MATCH($B568,Config!$B$9:$B$29,0))="","",INDEX(Config!$E$9:$E$29,MATCH($B568,Config!$B$9:$B$29,0))),""),""))</f>
        <v/>
      </c>
      <c r="AC568" s="19" t="str">
        <f>IF($B568="","",IFERROR(INDEX(Config!$D$9:$D$29,MATCH($B568,Config!$B$9:$B$29,0))&amp;"",""))</f>
        <v/>
      </c>
    </row>
    <row r="569">
      <c r="R569" s="20" t="str">
        <f>IF($B569="","",IFERROR(IF(INDEX(Config!$D$9:$D$29,MATCH($B569,Config!$B$9:$B$29,0))="Contrato",IF(INDEX(Config!$E$9:$E$29,MATCH($B569,Config!$B$9:$B$29,0))="","",INDEX(Config!$E$9:$E$29,MATCH($B569,Config!$B$9:$B$29,0))),""),""))</f>
        <v/>
      </c>
      <c r="AC569" s="19" t="str">
        <f>IF($B569="","",IFERROR(INDEX(Config!$D$9:$D$29,MATCH($B569,Config!$B$9:$B$29,0))&amp;"",""))</f>
        <v/>
      </c>
    </row>
    <row r="570">
      <c r="R570" s="20" t="str">
        <f>IF($B570="","",IFERROR(IF(INDEX(Config!$D$9:$D$29,MATCH($B570,Config!$B$9:$B$29,0))="Contrato",IF(INDEX(Config!$E$9:$E$29,MATCH($B570,Config!$B$9:$B$29,0))="","",INDEX(Config!$E$9:$E$29,MATCH($B570,Config!$B$9:$B$29,0))),""),""))</f>
        <v/>
      </c>
      <c r="AC570" s="19" t="str">
        <f>IF($B570="","",IFERROR(INDEX(Config!$D$9:$D$29,MATCH($B570,Config!$B$9:$B$29,0))&amp;"",""))</f>
        <v/>
      </c>
    </row>
    <row r="571">
      <c r="R571" s="20" t="str">
        <f>IF($B571="","",IFERROR(IF(INDEX(Config!$D$9:$D$29,MATCH($B571,Config!$B$9:$B$29,0))="Contrato",IF(INDEX(Config!$E$9:$E$29,MATCH($B571,Config!$B$9:$B$29,0))="","",INDEX(Config!$E$9:$E$29,MATCH($B571,Config!$B$9:$B$29,0))),""),""))</f>
        <v/>
      </c>
      <c r="AC571" s="19" t="str">
        <f>IF($B571="","",IFERROR(INDEX(Config!$D$9:$D$29,MATCH($B571,Config!$B$9:$B$29,0))&amp;"",""))</f>
        <v/>
      </c>
    </row>
    <row r="572">
      <c r="R572" s="20" t="str">
        <f>IF($B572="","",IFERROR(IF(INDEX(Config!$D$9:$D$29,MATCH($B572,Config!$B$9:$B$29,0))="Contrato",IF(INDEX(Config!$E$9:$E$29,MATCH($B572,Config!$B$9:$B$29,0))="","",INDEX(Config!$E$9:$E$29,MATCH($B572,Config!$B$9:$B$29,0))),""),""))</f>
        <v/>
      </c>
      <c r="AC572" s="19" t="str">
        <f>IF($B572="","",IFERROR(INDEX(Config!$D$9:$D$29,MATCH($B572,Config!$B$9:$B$29,0))&amp;"",""))</f>
        <v/>
      </c>
    </row>
    <row r="573">
      <c r="R573" s="20" t="str">
        <f>IF($B573="","",IFERROR(IF(INDEX(Config!$D$9:$D$29,MATCH($B573,Config!$B$9:$B$29,0))="Contrato",IF(INDEX(Config!$E$9:$E$29,MATCH($B573,Config!$B$9:$B$29,0))="","",INDEX(Config!$E$9:$E$29,MATCH($B573,Config!$B$9:$B$29,0))),""),""))</f>
        <v/>
      </c>
      <c r="AC573" s="19" t="str">
        <f>IF($B573="","",IFERROR(INDEX(Config!$D$9:$D$29,MATCH($B573,Config!$B$9:$B$29,0))&amp;"",""))</f>
        <v/>
      </c>
    </row>
    <row r="574">
      <c r="R574" s="20" t="str">
        <f>IF($B574="","",IFERROR(IF(INDEX(Config!$D$9:$D$29,MATCH($B574,Config!$B$9:$B$29,0))="Contrato",IF(INDEX(Config!$E$9:$E$29,MATCH($B574,Config!$B$9:$B$29,0))="","",INDEX(Config!$E$9:$E$29,MATCH($B574,Config!$B$9:$B$29,0))),""),""))</f>
        <v/>
      </c>
      <c r="AC574" s="19" t="str">
        <f>IF($B574="","",IFERROR(INDEX(Config!$D$9:$D$29,MATCH($B574,Config!$B$9:$B$29,0))&amp;"",""))</f>
        <v/>
      </c>
    </row>
    <row r="575">
      <c r="R575" s="20" t="str">
        <f>IF($B575="","",IFERROR(IF(INDEX(Config!$D$9:$D$29,MATCH($B575,Config!$B$9:$B$29,0))="Contrato",IF(INDEX(Config!$E$9:$E$29,MATCH($B575,Config!$B$9:$B$29,0))="","",INDEX(Config!$E$9:$E$29,MATCH($B575,Config!$B$9:$B$29,0))),""),""))</f>
        <v/>
      </c>
      <c r="AC575" s="19" t="str">
        <f>IF($B575="","",IFERROR(INDEX(Config!$D$9:$D$29,MATCH($B575,Config!$B$9:$B$29,0))&amp;"",""))</f>
        <v/>
      </c>
    </row>
    <row r="576">
      <c r="R576" s="20" t="str">
        <f>IF($B576="","",IFERROR(IF(INDEX(Config!$D$9:$D$29,MATCH($B576,Config!$B$9:$B$29,0))="Contrato",IF(INDEX(Config!$E$9:$E$29,MATCH($B576,Config!$B$9:$B$29,0))="","",INDEX(Config!$E$9:$E$29,MATCH($B576,Config!$B$9:$B$29,0))),""),""))</f>
        <v/>
      </c>
      <c r="AC576" s="19" t="str">
        <f>IF($B576="","",IFERROR(INDEX(Config!$D$9:$D$29,MATCH($B576,Config!$B$9:$B$29,0))&amp;"",""))</f>
        <v/>
      </c>
    </row>
    <row r="577">
      <c r="R577" s="20" t="str">
        <f>IF($B577="","",IFERROR(IF(INDEX(Config!$D$9:$D$29,MATCH($B577,Config!$B$9:$B$29,0))="Contrato",IF(INDEX(Config!$E$9:$E$29,MATCH($B577,Config!$B$9:$B$29,0))="","",INDEX(Config!$E$9:$E$29,MATCH($B577,Config!$B$9:$B$29,0))),""),""))</f>
        <v/>
      </c>
      <c r="AC577" s="19" t="str">
        <f>IF($B577="","",IFERROR(INDEX(Config!$D$9:$D$29,MATCH($B577,Config!$B$9:$B$29,0))&amp;"",""))</f>
        <v/>
      </c>
    </row>
    <row r="578">
      <c r="R578" s="20" t="str">
        <f>IF($B578="","",IFERROR(IF(INDEX(Config!$D$9:$D$29,MATCH($B578,Config!$B$9:$B$29,0))="Contrato",IF(INDEX(Config!$E$9:$E$29,MATCH($B578,Config!$B$9:$B$29,0))="","",INDEX(Config!$E$9:$E$29,MATCH($B578,Config!$B$9:$B$29,0))),""),""))</f>
        <v/>
      </c>
      <c r="AC578" s="19" t="str">
        <f>IF($B578="","",IFERROR(INDEX(Config!$D$9:$D$29,MATCH($B578,Config!$B$9:$B$29,0))&amp;"",""))</f>
        <v/>
      </c>
    </row>
    <row r="579">
      <c r="R579" s="20" t="str">
        <f>IF($B579="","",IFERROR(IF(INDEX(Config!$D$9:$D$29,MATCH($B579,Config!$B$9:$B$29,0))="Contrato",IF(INDEX(Config!$E$9:$E$29,MATCH($B579,Config!$B$9:$B$29,0))="","",INDEX(Config!$E$9:$E$29,MATCH($B579,Config!$B$9:$B$29,0))),""),""))</f>
        <v/>
      </c>
      <c r="AC579" s="19" t="str">
        <f>IF($B579="","",IFERROR(INDEX(Config!$D$9:$D$29,MATCH($B579,Config!$B$9:$B$29,0))&amp;"",""))</f>
        <v/>
      </c>
    </row>
    <row r="580">
      <c r="R580" s="20" t="str">
        <f>IF($B580="","",IFERROR(IF(INDEX(Config!$D$9:$D$29,MATCH($B580,Config!$B$9:$B$29,0))="Contrato",IF(INDEX(Config!$E$9:$E$29,MATCH($B580,Config!$B$9:$B$29,0))="","",INDEX(Config!$E$9:$E$29,MATCH($B580,Config!$B$9:$B$29,0))),""),""))</f>
        <v/>
      </c>
      <c r="AC580" s="19" t="str">
        <f>IF($B580="","",IFERROR(INDEX(Config!$D$9:$D$29,MATCH($B580,Config!$B$9:$B$29,0))&amp;"",""))</f>
        <v/>
      </c>
    </row>
    <row r="581">
      <c r="R581" s="20" t="str">
        <f>IF($B581="","",IFERROR(IF(INDEX(Config!$D$9:$D$29,MATCH($B581,Config!$B$9:$B$29,0))="Contrato",IF(INDEX(Config!$E$9:$E$29,MATCH($B581,Config!$B$9:$B$29,0))="","",INDEX(Config!$E$9:$E$29,MATCH($B581,Config!$B$9:$B$29,0))),""),""))</f>
        <v/>
      </c>
      <c r="AC581" s="19" t="str">
        <f>IF($B581="","",IFERROR(INDEX(Config!$D$9:$D$29,MATCH($B581,Config!$B$9:$B$29,0))&amp;"",""))</f>
        <v/>
      </c>
    </row>
    <row r="582">
      <c r="R582" s="20" t="str">
        <f>IF($B582="","",IFERROR(IF(INDEX(Config!$D$9:$D$29,MATCH($B582,Config!$B$9:$B$29,0))="Contrato",IF(INDEX(Config!$E$9:$E$29,MATCH($B582,Config!$B$9:$B$29,0))="","",INDEX(Config!$E$9:$E$29,MATCH($B582,Config!$B$9:$B$29,0))),""),""))</f>
        <v/>
      </c>
      <c r="AC582" s="19" t="str">
        <f>IF($B582="","",IFERROR(INDEX(Config!$D$9:$D$29,MATCH($B582,Config!$B$9:$B$29,0))&amp;"",""))</f>
        <v/>
      </c>
    </row>
    <row r="583">
      <c r="R583" s="20" t="str">
        <f>IF($B583="","",IFERROR(IF(INDEX(Config!$D$9:$D$29,MATCH($B583,Config!$B$9:$B$29,0))="Contrato",IF(INDEX(Config!$E$9:$E$29,MATCH($B583,Config!$B$9:$B$29,0))="","",INDEX(Config!$E$9:$E$29,MATCH($B583,Config!$B$9:$B$29,0))),""),""))</f>
        <v/>
      </c>
      <c r="AC583" s="19" t="str">
        <f>IF($B583="","",IFERROR(INDEX(Config!$D$9:$D$29,MATCH($B583,Config!$B$9:$B$29,0))&amp;"",""))</f>
        <v/>
      </c>
    </row>
    <row r="584">
      <c r="R584" s="20" t="str">
        <f>IF($B584="","",IFERROR(IF(INDEX(Config!$D$9:$D$29,MATCH($B584,Config!$B$9:$B$29,0))="Contrato",IF(INDEX(Config!$E$9:$E$29,MATCH($B584,Config!$B$9:$B$29,0))="","",INDEX(Config!$E$9:$E$29,MATCH($B584,Config!$B$9:$B$29,0))),""),""))</f>
        <v/>
      </c>
      <c r="AC584" s="19" t="str">
        <f>IF($B584="","",IFERROR(INDEX(Config!$D$9:$D$29,MATCH($B584,Config!$B$9:$B$29,0))&amp;"",""))</f>
        <v/>
      </c>
    </row>
    <row r="585">
      <c r="R585" s="20" t="str">
        <f>IF($B585="","",IFERROR(IF(INDEX(Config!$D$9:$D$29,MATCH($B585,Config!$B$9:$B$29,0))="Contrato",IF(INDEX(Config!$E$9:$E$29,MATCH($B585,Config!$B$9:$B$29,0))="","",INDEX(Config!$E$9:$E$29,MATCH($B585,Config!$B$9:$B$29,0))),""),""))</f>
        <v/>
      </c>
      <c r="AC585" s="19" t="str">
        <f>IF($B585="","",IFERROR(INDEX(Config!$D$9:$D$29,MATCH($B585,Config!$B$9:$B$29,0))&amp;"",""))</f>
        <v/>
      </c>
    </row>
    <row r="586">
      <c r="R586" s="20" t="str">
        <f>IF($B586="","",IFERROR(IF(INDEX(Config!$D$9:$D$29,MATCH($B586,Config!$B$9:$B$29,0))="Contrato",IF(INDEX(Config!$E$9:$E$29,MATCH($B586,Config!$B$9:$B$29,0))="","",INDEX(Config!$E$9:$E$29,MATCH($B586,Config!$B$9:$B$29,0))),""),""))</f>
        <v/>
      </c>
      <c r="AC586" s="19" t="str">
        <f>IF($B586="","",IFERROR(INDEX(Config!$D$9:$D$29,MATCH($B586,Config!$B$9:$B$29,0))&amp;"",""))</f>
        <v/>
      </c>
    </row>
    <row r="587">
      <c r="R587" s="20" t="str">
        <f>IF($B587="","",IFERROR(IF(INDEX(Config!$D$9:$D$29,MATCH($B587,Config!$B$9:$B$29,0))="Contrato",IF(INDEX(Config!$E$9:$E$29,MATCH($B587,Config!$B$9:$B$29,0))="","",INDEX(Config!$E$9:$E$29,MATCH($B587,Config!$B$9:$B$29,0))),""),""))</f>
        <v/>
      </c>
      <c r="AC587" s="19" t="str">
        <f>IF($B587="","",IFERROR(INDEX(Config!$D$9:$D$29,MATCH($B587,Config!$B$9:$B$29,0))&amp;"",""))</f>
        <v/>
      </c>
    </row>
    <row r="588">
      <c r="R588" s="20" t="str">
        <f>IF($B588="","",IFERROR(IF(INDEX(Config!$D$9:$D$29,MATCH($B588,Config!$B$9:$B$29,0))="Contrato",IF(INDEX(Config!$E$9:$E$29,MATCH($B588,Config!$B$9:$B$29,0))="","",INDEX(Config!$E$9:$E$29,MATCH($B588,Config!$B$9:$B$29,0))),""),""))</f>
        <v/>
      </c>
      <c r="AC588" s="19" t="str">
        <f>IF($B588="","",IFERROR(INDEX(Config!$D$9:$D$29,MATCH($B588,Config!$B$9:$B$29,0))&amp;"",""))</f>
        <v/>
      </c>
    </row>
    <row r="589">
      <c r="R589" s="20" t="str">
        <f>IF($B589="","",IFERROR(IF(INDEX(Config!$D$9:$D$29,MATCH($B589,Config!$B$9:$B$29,0))="Contrato",IF(INDEX(Config!$E$9:$E$29,MATCH($B589,Config!$B$9:$B$29,0))="","",INDEX(Config!$E$9:$E$29,MATCH($B589,Config!$B$9:$B$29,0))),""),""))</f>
        <v/>
      </c>
      <c r="AC589" s="19" t="str">
        <f>IF($B589="","",IFERROR(INDEX(Config!$D$9:$D$29,MATCH($B589,Config!$B$9:$B$29,0))&amp;"",""))</f>
        <v/>
      </c>
    </row>
    <row r="590">
      <c r="R590" s="20" t="str">
        <f>IF($B590="","",IFERROR(IF(INDEX(Config!$D$9:$D$29,MATCH($B590,Config!$B$9:$B$29,0))="Contrato",IF(INDEX(Config!$E$9:$E$29,MATCH($B590,Config!$B$9:$B$29,0))="","",INDEX(Config!$E$9:$E$29,MATCH($B590,Config!$B$9:$B$29,0))),""),""))</f>
        <v/>
      </c>
      <c r="AC590" s="19" t="str">
        <f>IF($B590="","",IFERROR(INDEX(Config!$D$9:$D$29,MATCH($B590,Config!$B$9:$B$29,0))&amp;"",""))</f>
        <v/>
      </c>
    </row>
    <row r="591">
      <c r="R591" s="20" t="str">
        <f>IF($B591="","",IFERROR(IF(INDEX(Config!$D$9:$D$29,MATCH($B591,Config!$B$9:$B$29,0))="Contrato",IF(INDEX(Config!$E$9:$E$29,MATCH($B591,Config!$B$9:$B$29,0))="","",INDEX(Config!$E$9:$E$29,MATCH($B591,Config!$B$9:$B$29,0))),""),""))</f>
        <v/>
      </c>
      <c r="AC591" s="19" t="str">
        <f>IF($B591="","",IFERROR(INDEX(Config!$D$9:$D$29,MATCH($B591,Config!$B$9:$B$29,0))&amp;"",""))</f>
        <v/>
      </c>
    </row>
    <row r="592">
      <c r="R592" s="20" t="str">
        <f>IF($B592="","",IFERROR(IF(INDEX(Config!$D$9:$D$29,MATCH($B592,Config!$B$9:$B$29,0))="Contrato",IF(INDEX(Config!$E$9:$E$29,MATCH($B592,Config!$B$9:$B$29,0))="","",INDEX(Config!$E$9:$E$29,MATCH($B592,Config!$B$9:$B$29,0))),""),""))</f>
        <v/>
      </c>
      <c r="AC592" s="19" t="str">
        <f>IF($B592="","",IFERROR(INDEX(Config!$D$9:$D$29,MATCH($B592,Config!$B$9:$B$29,0))&amp;"",""))</f>
        <v/>
      </c>
    </row>
    <row r="593">
      <c r="R593" s="20" t="str">
        <f>IF($B593="","",IFERROR(IF(INDEX(Config!$D$9:$D$29,MATCH($B593,Config!$B$9:$B$29,0))="Contrato",IF(INDEX(Config!$E$9:$E$29,MATCH($B593,Config!$B$9:$B$29,0))="","",INDEX(Config!$E$9:$E$29,MATCH($B593,Config!$B$9:$B$29,0))),""),""))</f>
        <v/>
      </c>
      <c r="AC593" s="19" t="str">
        <f>IF($B593="","",IFERROR(INDEX(Config!$D$9:$D$29,MATCH($B593,Config!$B$9:$B$29,0))&amp;"",""))</f>
        <v/>
      </c>
    </row>
    <row r="594">
      <c r="R594" s="20" t="str">
        <f>IF($B594="","",IFERROR(IF(INDEX(Config!$D$9:$D$29,MATCH($B594,Config!$B$9:$B$29,0))="Contrato",IF(INDEX(Config!$E$9:$E$29,MATCH($B594,Config!$B$9:$B$29,0))="","",INDEX(Config!$E$9:$E$29,MATCH($B594,Config!$B$9:$B$29,0))),""),""))</f>
        <v/>
      </c>
      <c r="AC594" s="19" t="str">
        <f>IF($B594="","",IFERROR(INDEX(Config!$D$9:$D$29,MATCH($B594,Config!$B$9:$B$29,0))&amp;"",""))</f>
        <v/>
      </c>
    </row>
    <row r="595">
      <c r="R595" s="20" t="str">
        <f>IF($B595="","",IFERROR(IF(INDEX(Config!$D$9:$D$29,MATCH($B595,Config!$B$9:$B$29,0))="Contrato",IF(INDEX(Config!$E$9:$E$29,MATCH($B595,Config!$B$9:$B$29,0))="","",INDEX(Config!$E$9:$E$29,MATCH($B595,Config!$B$9:$B$29,0))),""),""))</f>
        <v/>
      </c>
      <c r="AC595" s="19" t="str">
        <f>IF($B595="","",IFERROR(INDEX(Config!$D$9:$D$29,MATCH($B595,Config!$B$9:$B$29,0))&amp;"",""))</f>
        <v/>
      </c>
    </row>
    <row r="596">
      <c r="R596" s="20" t="str">
        <f>IF($B596="","",IFERROR(IF(INDEX(Config!$D$9:$D$29,MATCH($B596,Config!$B$9:$B$29,0))="Contrato",IF(INDEX(Config!$E$9:$E$29,MATCH($B596,Config!$B$9:$B$29,0))="","",INDEX(Config!$E$9:$E$29,MATCH($B596,Config!$B$9:$B$29,0))),""),""))</f>
        <v/>
      </c>
      <c r="AC596" s="19" t="str">
        <f>IF($B596="","",IFERROR(INDEX(Config!$D$9:$D$29,MATCH($B596,Config!$B$9:$B$29,0))&amp;"",""))</f>
        <v/>
      </c>
    </row>
    <row r="597">
      <c r="R597" s="20" t="str">
        <f>IF($B597="","",IFERROR(IF(INDEX(Config!$D$9:$D$29,MATCH($B597,Config!$B$9:$B$29,0))="Contrato",IF(INDEX(Config!$E$9:$E$29,MATCH($B597,Config!$B$9:$B$29,0))="","",INDEX(Config!$E$9:$E$29,MATCH($B597,Config!$B$9:$B$29,0))),""),""))</f>
        <v/>
      </c>
      <c r="AC597" s="19" t="str">
        <f>IF($B597="","",IFERROR(INDEX(Config!$D$9:$D$29,MATCH($B597,Config!$B$9:$B$29,0))&amp;"",""))</f>
        <v/>
      </c>
    </row>
    <row r="598">
      <c r="R598" s="20" t="str">
        <f>IF($B598="","",IFERROR(IF(INDEX(Config!$D$9:$D$29,MATCH($B598,Config!$B$9:$B$29,0))="Contrato",IF(INDEX(Config!$E$9:$E$29,MATCH($B598,Config!$B$9:$B$29,0))="","",INDEX(Config!$E$9:$E$29,MATCH($B598,Config!$B$9:$B$29,0))),""),""))</f>
        <v/>
      </c>
      <c r="AC598" s="19" t="str">
        <f>IF($B598="","",IFERROR(INDEX(Config!$D$9:$D$29,MATCH($B598,Config!$B$9:$B$29,0))&amp;"",""))</f>
        <v/>
      </c>
    </row>
    <row r="599">
      <c r="R599" s="20" t="str">
        <f>IF($B599="","",IFERROR(IF(INDEX(Config!$D$9:$D$29,MATCH($B599,Config!$B$9:$B$29,0))="Contrato",IF(INDEX(Config!$E$9:$E$29,MATCH($B599,Config!$B$9:$B$29,0))="","",INDEX(Config!$E$9:$E$29,MATCH($B599,Config!$B$9:$B$29,0))),""),""))</f>
        <v/>
      </c>
      <c r="AC599" s="19" t="str">
        <f>IF($B599="","",IFERROR(INDEX(Config!$D$9:$D$29,MATCH($B599,Config!$B$9:$B$29,0))&amp;"",""))</f>
        <v/>
      </c>
    </row>
    <row r="600">
      <c r="R600" s="20" t="str">
        <f>IF($B600="","",IFERROR(IF(INDEX(Config!$D$9:$D$29,MATCH($B600,Config!$B$9:$B$29,0))="Contrato",IF(INDEX(Config!$E$9:$E$29,MATCH($B600,Config!$B$9:$B$29,0))="","",INDEX(Config!$E$9:$E$29,MATCH($B600,Config!$B$9:$B$29,0))),""),""))</f>
        <v/>
      </c>
      <c r="AC600" s="19" t="str">
        <f>IF($B600="","",IFERROR(INDEX(Config!$D$9:$D$29,MATCH($B600,Config!$B$9:$B$29,0))&amp;"",""))</f>
        <v/>
      </c>
    </row>
    <row r="601">
      <c r="R601" s="20" t="str">
        <f>IF($B601="","",IFERROR(IF(INDEX(Config!$D$9:$D$29,MATCH($B601,Config!$B$9:$B$29,0))="Contrato",IF(INDEX(Config!$E$9:$E$29,MATCH($B601,Config!$B$9:$B$29,0))="","",INDEX(Config!$E$9:$E$29,MATCH($B601,Config!$B$9:$B$29,0))),""),""))</f>
        <v/>
      </c>
      <c r="AC601" s="19" t="str">
        <f>IF($B601="","",IFERROR(INDEX(Config!$D$9:$D$29,MATCH($B601,Config!$B$9:$B$29,0))&amp;"",""))</f>
        <v/>
      </c>
    </row>
    <row r="602">
      <c r="R602" s="20" t="str">
        <f>IF($B602="","",IFERROR(IF(INDEX(Config!$D$9:$D$29,MATCH($B602,Config!$B$9:$B$29,0))="Contrato",IF(INDEX(Config!$E$9:$E$29,MATCH($B602,Config!$B$9:$B$29,0))="","",INDEX(Config!$E$9:$E$29,MATCH($B602,Config!$B$9:$B$29,0))),""),""))</f>
        <v/>
      </c>
      <c r="AC602" s="19" t="str">
        <f>IF($B602="","",IFERROR(INDEX(Config!$D$9:$D$29,MATCH($B602,Config!$B$9:$B$29,0))&amp;"",""))</f>
        <v/>
      </c>
    </row>
    <row r="603">
      <c r="R603" s="20" t="str">
        <f>IF($B603="","",IFERROR(IF(INDEX(Config!$D$9:$D$29,MATCH($B603,Config!$B$9:$B$29,0))="Contrato",IF(INDEX(Config!$E$9:$E$29,MATCH($B603,Config!$B$9:$B$29,0))="","",INDEX(Config!$E$9:$E$29,MATCH($B603,Config!$B$9:$B$29,0))),""),""))</f>
        <v/>
      </c>
      <c r="AC603" s="19" t="str">
        <f>IF($B603="","",IFERROR(INDEX(Config!$D$9:$D$29,MATCH($B603,Config!$B$9:$B$29,0))&amp;"",""))</f>
        <v/>
      </c>
    </row>
    <row r="604">
      <c r="R604" s="20" t="str">
        <f>IF($B604="","",IFERROR(IF(INDEX(Config!$D$9:$D$29,MATCH($B604,Config!$B$9:$B$29,0))="Contrato",IF(INDEX(Config!$E$9:$E$29,MATCH($B604,Config!$B$9:$B$29,0))="","",INDEX(Config!$E$9:$E$29,MATCH($B604,Config!$B$9:$B$29,0))),""),""))</f>
        <v/>
      </c>
      <c r="AC604" s="19" t="str">
        <f>IF($B604="","",IFERROR(INDEX(Config!$D$9:$D$29,MATCH($B604,Config!$B$9:$B$29,0))&amp;"",""))</f>
        <v/>
      </c>
    </row>
    <row r="605">
      <c r="R605" s="20" t="str">
        <f>IF($B605="","",IFERROR(IF(INDEX(Config!$D$9:$D$29,MATCH($B605,Config!$B$9:$B$29,0))="Contrato",IF(INDEX(Config!$E$9:$E$29,MATCH($B605,Config!$B$9:$B$29,0))="","",INDEX(Config!$E$9:$E$29,MATCH($B605,Config!$B$9:$B$29,0))),""),""))</f>
        <v/>
      </c>
      <c r="AC605" s="19" t="str">
        <f>IF($B605="","",IFERROR(INDEX(Config!$D$9:$D$29,MATCH($B605,Config!$B$9:$B$29,0))&amp;"",""))</f>
        <v/>
      </c>
    </row>
    <row r="606">
      <c r="R606" s="20" t="str">
        <f>IF($B606="","",IFERROR(IF(INDEX(Config!$D$9:$D$29,MATCH($B606,Config!$B$9:$B$29,0))="Contrato",IF(INDEX(Config!$E$9:$E$29,MATCH($B606,Config!$B$9:$B$29,0))="","",INDEX(Config!$E$9:$E$29,MATCH($B606,Config!$B$9:$B$29,0))),""),""))</f>
        <v/>
      </c>
      <c r="AC606" s="19" t="str">
        <f>IF($B606="","",IFERROR(INDEX(Config!$D$9:$D$29,MATCH($B606,Config!$B$9:$B$29,0))&amp;"",""))</f>
        <v/>
      </c>
    </row>
    <row r="607">
      <c r="R607" s="20" t="str">
        <f>IF($B607="","",IFERROR(IF(INDEX(Config!$D$9:$D$29,MATCH($B607,Config!$B$9:$B$29,0))="Contrato",IF(INDEX(Config!$E$9:$E$29,MATCH($B607,Config!$B$9:$B$29,0))="","",INDEX(Config!$E$9:$E$29,MATCH($B607,Config!$B$9:$B$29,0))),""),""))</f>
        <v/>
      </c>
      <c r="AC607" s="19" t="str">
        <f>IF($B607="","",IFERROR(INDEX(Config!$D$9:$D$29,MATCH($B607,Config!$B$9:$B$29,0))&amp;"",""))</f>
        <v/>
      </c>
    </row>
    <row r="608">
      <c r="R608" s="20" t="str">
        <f>IF($B608="","",IFERROR(IF(INDEX(Config!$D$9:$D$29,MATCH($B608,Config!$B$9:$B$29,0))="Contrato",IF(INDEX(Config!$E$9:$E$29,MATCH($B608,Config!$B$9:$B$29,0))="","",INDEX(Config!$E$9:$E$29,MATCH($B608,Config!$B$9:$B$29,0))),""),""))</f>
        <v/>
      </c>
      <c r="AC608" s="19" t="str">
        <f>IF($B608="","",IFERROR(INDEX(Config!$D$9:$D$29,MATCH($B608,Config!$B$9:$B$29,0))&amp;"",""))</f>
        <v/>
      </c>
    </row>
    <row r="609">
      <c r="R609" s="20" t="str">
        <f>IF($B609="","",IFERROR(IF(INDEX(Config!$D$9:$D$29,MATCH($B609,Config!$B$9:$B$29,0))="Contrato",IF(INDEX(Config!$E$9:$E$29,MATCH($B609,Config!$B$9:$B$29,0))="","",INDEX(Config!$E$9:$E$29,MATCH($B609,Config!$B$9:$B$29,0))),""),""))</f>
        <v/>
      </c>
      <c r="AC609" s="19" t="str">
        <f>IF($B609="","",IFERROR(INDEX(Config!$D$9:$D$29,MATCH($B609,Config!$B$9:$B$29,0))&amp;"",""))</f>
        <v/>
      </c>
    </row>
    <row r="610">
      <c r="R610" s="20" t="str">
        <f>IF($B610="","",IFERROR(IF(INDEX(Config!$D$9:$D$29,MATCH($B610,Config!$B$9:$B$29,0))="Contrato",IF(INDEX(Config!$E$9:$E$29,MATCH($B610,Config!$B$9:$B$29,0))="","",INDEX(Config!$E$9:$E$29,MATCH($B610,Config!$B$9:$B$29,0))),""),""))</f>
        <v/>
      </c>
      <c r="AC610" s="19" t="str">
        <f>IF($B610="","",IFERROR(INDEX(Config!$D$9:$D$29,MATCH($B610,Config!$B$9:$B$29,0))&amp;"",""))</f>
        <v/>
      </c>
    </row>
    <row r="611">
      <c r="R611" s="20" t="str">
        <f>IF($B611="","",IFERROR(IF(INDEX(Config!$D$9:$D$29,MATCH($B611,Config!$B$9:$B$29,0))="Contrato",IF(INDEX(Config!$E$9:$E$29,MATCH($B611,Config!$B$9:$B$29,0))="","",INDEX(Config!$E$9:$E$29,MATCH($B611,Config!$B$9:$B$29,0))),""),""))</f>
        <v/>
      </c>
      <c r="AC611" s="19" t="str">
        <f>IF($B611="","",IFERROR(INDEX(Config!$D$9:$D$29,MATCH($B611,Config!$B$9:$B$29,0))&amp;"",""))</f>
        <v/>
      </c>
    </row>
    <row r="612">
      <c r="R612" s="20" t="str">
        <f>IF($B612="","",IFERROR(IF(INDEX(Config!$D$9:$D$29,MATCH($B612,Config!$B$9:$B$29,0))="Contrato",IF(INDEX(Config!$E$9:$E$29,MATCH($B612,Config!$B$9:$B$29,0))="","",INDEX(Config!$E$9:$E$29,MATCH($B612,Config!$B$9:$B$29,0))),""),""))</f>
        <v/>
      </c>
      <c r="AC612" s="19" t="str">
        <f>IF($B612="","",IFERROR(INDEX(Config!$D$9:$D$29,MATCH($B612,Config!$B$9:$B$29,0))&amp;"",""))</f>
        <v/>
      </c>
    </row>
    <row r="613">
      <c r="R613" s="20" t="str">
        <f>IF($B613="","",IFERROR(IF(INDEX(Config!$D$9:$D$29,MATCH($B613,Config!$B$9:$B$29,0))="Contrato",IF(INDEX(Config!$E$9:$E$29,MATCH($B613,Config!$B$9:$B$29,0))="","",INDEX(Config!$E$9:$E$29,MATCH($B613,Config!$B$9:$B$29,0))),""),""))</f>
        <v/>
      </c>
      <c r="AC613" s="19" t="str">
        <f>IF($B613="","",IFERROR(INDEX(Config!$D$9:$D$29,MATCH($B613,Config!$B$9:$B$29,0))&amp;"",""))</f>
        <v/>
      </c>
    </row>
    <row r="614">
      <c r="R614" s="20" t="str">
        <f>IF($B614="","",IFERROR(IF(INDEX(Config!$D$9:$D$29,MATCH($B614,Config!$B$9:$B$29,0))="Contrato",IF(INDEX(Config!$E$9:$E$29,MATCH($B614,Config!$B$9:$B$29,0))="","",INDEX(Config!$E$9:$E$29,MATCH($B614,Config!$B$9:$B$29,0))),""),""))</f>
        <v/>
      </c>
      <c r="AC614" s="19" t="str">
        <f>IF($B614="","",IFERROR(INDEX(Config!$D$9:$D$29,MATCH($B614,Config!$B$9:$B$29,0))&amp;"",""))</f>
        <v/>
      </c>
    </row>
    <row r="615">
      <c r="R615" s="20" t="str">
        <f>IF($B615="","",IFERROR(IF(INDEX(Config!$D$9:$D$29,MATCH($B615,Config!$B$9:$B$29,0))="Contrato",IF(INDEX(Config!$E$9:$E$29,MATCH($B615,Config!$B$9:$B$29,0))="","",INDEX(Config!$E$9:$E$29,MATCH($B615,Config!$B$9:$B$29,0))),""),""))</f>
        <v/>
      </c>
      <c r="AC615" s="19" t="str">
        <f>IF($B615="","",IFERROR(INDEX(Config!$D$9:$D$29,MATCH($B615,Config!$B$9:$B$29,0))&amp;"",""))</f>
        <v/>
      </c>
    </row>
    <row r="616">
      <c r="R616" s="20" t="str">
        <f>IF($B616="","",IFERROR(IF(INDEX(Config!$D$9:$D$29,MATCH($B616,Config!$B$9:$B$29,0))="Contrato",IF(INDEX(Config!$E$9:$E$29,MATCH($B616,Config!$B$9:$B$29,0))="","",INDEX(Config!$E$9:$E$29,MATCH($B616,Config!$B$9:$B$29,0))),""),""))</f>
        <v/>
      </c>
      <c r="AC616" s="19" t="str">
        <f>IF($B616="","",IFERROR(INDEX(Config!$D$9:$D$29,MATCH($B616,Config!$B$9:$B$29,0))&amp;"",""))</f>
        <v/>
      </c>
    </row>
    <row r="617">
      <c r="R617" s="20" t="str">
        <f>IF($B617="","",IFERROR(IF(INDEX(Config!$D$9:$D$29,MATCH($B617,Config!$B$9:$B$29,0))="Contrato",IF(INDEX(Config!$E$9:$E$29,MATCH($B617,Config!$B$9:$B$29,0))="","",INDEX(Config!$E$9:$E$29,MATCH($B617,Config!$B$9:$B$29,0))),""),""))</f>
        <v/>
      </c>
      <c r="AC617" s="19" t="str">
        <f>IF($B617="","",IFERROR(INDEX(Config!$D$9:$D$29,MATCH($B617,Config!$B$9:$B$29,0))&amp;"",""))</f>
        <v/>
      </c>
    </row>
    <row r="618">
      <c r="R618" s="20" t="str">
        <f>IF($B618="","",IFERROR(IF(INDEX(Config!$D$9:$D$29,MATCH($B618,Config!$B$9:$B$29,0))="Contrato",IF(INDEX(Config!$E$9:$E$29,MATCH($B618,Config!$B$9:$B$29,0))="","",INDEX(Config!$E$9:$E$29,MATCH($B618,Config!$B$9:$B$29,0))),""),""))</f>
        <v/>
      </c>
      <c r="AC618" s="19" t="str">
        <f>IF($B618="","",IFERROR(INDEX(Config!$D$9:$D$29,MATCH($B618,Config!$B$9:$B$29,0))&amp;"",""))</f>
        <v/>
      </c>
    </row>
    <row r="619">
      <c r="R619" s="20" t="str">
        <f>IF($B619="","",IFERROR(IF(INDEX(Config!$D$9:$D$29,MATCH($B619,Config!$B$9:$B$29,0))="Contrato",IF(INDEX(Config!$E$9:$E$29,MATCH($B619,Config!$B$9:$B$29,0))="","",INDEX(Config!$E$9:$E$29,MATCH($B619,Config!$B$9:$B$29,0))),""),""))</f>
        <v/>
      </c>
      <c r="AC619" s="19" t="str">
        <f>IF($B619="","",IFERROR(INDEX(Config!$D$9:$D$29,MATCH($B619,Config!$B$9:$B$29,0))&amp;"",""))</f>
        <v/>
      </c>
    </row>
    <row r="620">
      <c r="R620" s="20" t="str">
        <f>IF($B620="","",IFERROR(IF(INDEX(Config!$D$9:$D$29,MATCH($B620,Config!$B$9:$B$29,0))="Contrato",IF(INDEX(Config!$E$9:$E$29,MATCH($B620,Config!$B$9:$B$29,0))="","",INDEX(Config!$E$9:$E$29,MATCH($B620,Config!$B$9:$B$29,0))),""),""))</f>
        <v/>
      </c>
      <c r="AC620" s="19" t="str">
        <f>IF($B620="","",IFERROR(INDEX(Config!$D$9:$D$29,MATCH($B620,Config!$B$9:$B$29,0))&amp;"",""))</f>
        <v/>
      </c>
    </row>
    <row r="621">
      <c r="R621" s="20" t="str">
        <f>IF($B621="","",IFERROR(IF(INDEX(Config!$D$9:$D$29,MATCH($B621,Config!$B$9:$B$29,0))="Contrato",IF(INDEX(Config!$E$9:$E$29,MATCH($B621,Config!$B$9:$B$29,0))="","",INDEX(Config!$E$9:$E$29,MATCH($B621,Config!$B$9:$B$29,0))),""),""))</f>
        <v/>
      </c>
      <c r="AC621" s="19" t="str">
        <f>IF($B621="","",IFERROR(INDEX(Config!$D$9:$D$29,MATCH($B621,Config!$B$9:$B$29,0))&amp;"",""))</f>
        <v/>
      </c>
    </row>
    <row r="622">
      <c r="R622" s="20" t="str">
        <f>IF($B622="","",IFERROR(IF(INDEX(Config!$D$9:$D$29,MATCH($B622,Config!$B$9:$B$29,0))="Contrato",IF(INDEX(Config!$E$9:$E$29,MATCH($B622,Config!$B$9:$B$29,0))="","",INDEX(Config!$E$9:$E$29,MATCH($B622,Config!$B$9:$B$29,0))),""),""))</f>
        <v/>
      </c>
      <c r="AC622" s="19" t="str">
        <f>IF($B622="","",IFERROR(INDEX(Config!$D$9:$D$29,MATCH($B622,Config!$B$9:$B$29,0))&amp;"",""))</f>
        <v/>
      </c>
    </row>
    <row r="623">
      <c r="R623" s="20" t="str">
        <f>IF($B623="","",IFERROR(IF(INDEX(Config!$D$9:$D$29,MATCH($B623,Config!$B$9:$B$29,0))="Contrato",IF(INDEX(Config!$E$9:$E$29,MATCH($B623,Config!$B$9:$B$29,0))="","",INDEX(Config!$E$9:$E$29,MATCH($B623,Config!$B$9:$B$29,0))),""),""))</f>
        <v/>
      </c>
      <c r="AC623" s="19" t="str">
        <f>IF($B623="","",IFERROR(INDEX(Config!$D$9:$D$29,MATCH($B623,Config!$B$9:$B$29,0))&amp;"",""))</f>
        <v/>
      </c>
    </row>
    <row r="624">
      <c r="R624" s="20" t="str">
        <f>IF($B624="","",IFERROR(IF(INDEX(Config!$D$9:$D$29,MATCH($B624,Config!$B$9:$B$29,0))="Contrato",IF(INDEX(Config!$E$9:$E$29,MATCH($B624,Config!$B$9:$B$29,0))="","",INDEX(Config!$E$9:$E$29,MATCH($B624,Config!$B$9:$B$29,0))),""),""))</f>
        <v/>
      </c>
      <c r="AC624" s="19" t="str">
        <f>IF($B624="","",IFERROR(INDEX(Config!$D$9:$D$29,MATCH($B624,Config!$B$9:$B$29,0))&amp;"",""))</f>
        <v/>
      </c>
    </row>
    <row r="625">
      <c r="R625" s="20" t="str">
        <f>IF($B625="","",IFERROR(IF(INDEX(Config!$D$9:$D$29,MATCH($B625,Config!$B$9:$B$29,0))="Contrato",IF(INDEX(Config!$E$9:$E$29,MATCH($B625,Config!$B$9:$B$29,0))="","",INDEX(Config!$E$9:$E$29,MATCH($B625,Config!$B$9:$B$29,0))),""),""))</f>
        <v/>
      </c>
      <c r="AC625" s="19" t="str">
        <f>IF($B625="","",IFERROR(INDEX(Config!$D$9:$D$29,MATCH($B625,Config!$B$9:$B$29,0))&amp;"",""))</f>
        <v/>
      </c>
    </row>
    <row r="626">
      <c r="R626" s="20" t="str">
        <f>IF($B626="","",IFERROR(IF(INDEX(Config!$D$9:$D$29,MATCH($B626,Config!$B$9:$B$29,0))="Contrato",IF(INDEX(Config!$E$9:$E$29,MATCH($B626,Config!$B$9:$B$29,0))="","",INDEX(Config!$E$9:$E$29,MATCH($B626,Config!$B$9:$B$29,0))),""),""))</f>
        <v/>
      </c>
      <c r="AC626" s="19" t="str">
        <f>IF($B626="","",IFERROR(INDEX(Config!$D$9:$D$29,MATCH($B626,Config!$B$9:$B$29,0))&amp;"",""))</f>
        <v/>
      </c>
    </row>
    <row r="627">
      <c r="R627" s="20" t="str">
        <f>IF($B627="","",IFERROR(IF(INDEX(Config!$D$9:$D$29,MATCH($B627,Config!$B$9:$B$29,0))="Contrato",IF(INDEX(Config!$E$9:$E$29,MATCH($B627,Config!$B$9:$B$29,0))="","",INDEX(Config!$E$9:$E$29,MATCH($B627,Config!$B$9:$B$29,0))),""),""))</f>
        <v/>
      </c>
      <c r="AC627" s="19" t="str">
        <f>IF($B627="","",IFERROR(INDEX(Config!$D$9:$D$29,MATCH($B627,Config!$B$9:$B$29,0))&amp;"",""))</f>
        <v/>
      </c>
    </row>
    <row r="628">
      <c r="R628" s="20" t="str">
        <f>IF($B628="","",IFERROR(IF(INDEX(Config!$D$9:$D$29,MATCH($B628,Config!$B$9:$B$29,0))="Contrato",IF(INDEX(Config!$E$9:$E$29,MATCH($B628,Config!$B$9:$B$29,0))="","",INDEX(Config!$E$9:$E$29,MATCH($B628,Config!$B$9:$B$29,0))),""),""))</f>
        <v/>
      </c>
      <c r="AC628" s="19" t="str">
        <f>IF($B628="","",IFERROR(INDEX(Config!$D$9:$D$29,MATCH($B628,Config!$B$9:$B$29,0))&amp;"",""))</f>
        <v/>
      </c>
    </row>
    <row r="629">
      <c r="R629" s="20" t="str">
        <f>IF($B629="","",IFERROR(IF(INDEX(Config!$D$9:$D$29,MATCH($B629,Config!$B$9:$B$29,0))="Contrato",IF(INDEX(Config!$E$9:$E$29,MATCH($B629,Config!$B$9:$B$29,0))="","",INDEX(Config!$E$9:$E$29,MATCH($B629,Config!$B$9:$B$29,0))),""),""))</f>
        <v/>
      </c>
      <c r="AC629" s="19" t="str">
        <f>IF($B629="","",IFERROR(INDEX(Config!$D$9:$D$29,MATCH($B629,Config!$B$9:$B$29,0))&amp;"",""))</f>
        <v/>
      </c>
    </row>
    <row r="630">
      <c r="R630" s="20" t="str">
        <f>IF($B630="","",IFERROR(IF(INDEX(Config!$D$9:$D$29,MATCH($B630,Config!$B$9:$B$29,0))="Contrato",IF(INDEX(Config!$E$9:$E$29,MATCH($B630,Config!$B$9:$B$29,0))="","",INDEX(Config!$E$9:$E$29,MATCH($B630,Config!$B$9:$B$29,0))),""),""))</f>
        <v/>
      </c>
      <c r="AC630" s="19" t="str">
        <f>IF($B630="","",IFERROR(INDEX(Config!$D$9:$D$29,MATCH($B630,Config!$B$9:$B$29,0))&amp;"",""))</f>
        <v/>
      </c>
    </row>
    <row r="631">
      <c r="R631" s="20" t="str">
        <f>IF($B631="","",IFERROR(IF(INDEX(Config!$D$9:$D$29,MATCH($B631,Config!$B$9:$B$29,0))="Contrato",IF(INDEX(Config!$E$9:$E$29,MATCH($B631,Config!$B$9:$B$29,0))="","",INDEX(Config!$E$9:$E$29,MATCH($B631,Config!$B$9:$B$29,0))),""),""))</f>
        <v/>
      </c>
      <c r="AC631" s="19" t="str">
        <f>IF($B631="","",IFERROR(INDEX(Config!$D$9:$D$29,MATCH($B631,Config!$B$9:$B$29,0))&amp;"",""))</f>
        <v/>
      </c>
    </row>
    <row r="632">
      <c r="R632" s="20" t="str">
        <f>IF($B632="","",IFERROR(IF(INDEX(Config!$D$9:$D$29,MATCH($B632,Config!$B$9:$B$29,0))="Contrato",IF(INDEX(Config!$E$9:$E$29,MATCH($B632,Config!$B$9:$B$29,0))="","",INDEX(Config!$E$9:$E$29,MATCH($B632,Config!$B$9:$B$29,0))),""),""))</f>
        <v/>
      </c>
      <c r="AC632" s="19" t="str">
        <f>IF($B632="","",IFERROR(INDEX(Config!$D$9:$D$29,MATCH($B632,Config!$B$9:$B$29,0))&amp;"",""))</f>
        <v/>
      </c>
    </row>
    <row r="633">
      <c r="R633" s="20" t="str">
        <f>IF($B633="","",IFERROR(IF(INDEX(Config!$D$9:$D$29,MATCH($B633,Config!$B$9:$B$29,0))="Contrato",IF(INDEX(Config!$E$9:$E$29,MATCH($B633,Config!$B$9:$B$29,0))="","",INDEX(Config!$E$9:$E$29,MATCH($B633,Config!$B$9:$B$29,0))),""),""))</f>
        <v/>
      </c>
      <c r="AC633" s="19" t="str">
        <f>IF($B633="","",IFERROR(INDEX(Config!$D$9:$D$29,MATCH($B633,Config!$B$9:$B$29,0))&amp;"",""))</f>
        <v/>
      </c>
    </row>
    <row r="634">
      <c r="R634" s="20" t="str">
        <f>IF($B634="","",IFERROR(IF(INDEX(Config!$D$9:$D$29,MATCH($B634,Config!$B$9:$B$29,0))="Contrato",IF(INDEX(Config!$E$9:$E$29,MATCH($B634,Config!$B$9:$B$29,0))="","",INDEX(Config!$E$9:$E$29,MATCH($B634,Config!$B$9:$B$29,0))),""),""))</f>
        <v/>
      </c>
      <c r="AC634" s="19" t="str">
        <f>IF($B634="","",IFERROR(INDEX(Config!$D$9:$D$29,MATCH($B634,Config!$B$9:$B$29,0))&amp;"",""))</f>
        <v/>
      </c>
    </row>
    <row r="635">
      <c r="R635" s="20" t="str">
        <f>IF($B635="","",IFERROR(IF(INDEX(Config!$D$9:$D$29,MATCH($B635,Config!$B$9:$B$29,0))="Contrato",IF(INDEX(Config!$E$9:$E$29,MATCH($B635,Config!$B$9:$B$29,0))="","",INDEX(Config!$E$9:$E$29,MATCH($B635,Config!$B$9:$B$29,0))),""),""))</f>
        <v/>
      </c>
      <c r="AC635" s="19" t="str">
        <f>IF($B635="","",IFERROR(INDEX(Config!$D$9:$D$29,MATCH($B635,Config!$B$9:$B$29,0))&amp;"",""))</f>
        <v/>
      </c>
    </row>
    <row r="636">
      <c r="R636" s="20" t="str">
        <f>IF($B636="","",IFERROR(IF(INDEX(Config!$D$9:$D$29,MATCH($B636,Config!$B$9:$B$29,0))="Contrato",IF(INDEX(Config!$E$9:$E$29,MATCH($B636,Config!$B$9:$B$29,0))="","",INDEX(Config!$E$9:$E$29,MATCH($B636,Config!$B$9:$B$29,0))),""),""))</f>
        <v/>
      </c>
      <c r="AC636" s="19" t="str">
        <f>IF($B636="","",IFERROR(INDEX(Config!$D$9:$D$29,MATCH($B636,Config!$B$9:$B$29,0))&amp;"",""))</f>
        <v/>
      </c>
    </row>
    <row r="637">
      <c r="R637" s="20" t="str">
        <f>IF($B637="","",IFERROR(IF(INDEX(Config!$D$9:$D$29,MATCH($B637,Config!$B$9:$B$29,0))="Contrato",IF(INDEX(Config!$E$9:$E$29,MATCH($B637,Config!$B$9:$B$29,0))="","",INDEX(Config!$E$9:$E$29,MATCH($B637,Config!$B$9:$B$29,0))),""),""))</f>
        <v/>
      </c>
      <c r="AC637" s="19" t="str">
        <f>IF($B637="","",IFERROR(INDEX(Config!$D$9:$D$29,MATCH($B637,Config!$B$9:$B$29,0))&amp;"",""))</f>
        <v/>
      </c>
    </row>
    <row r="638">
      <c r="R638" s="20" t="str">
        <f>IF($B638="","",IFERROR(IF(INDEX(Config!$D$9:$D$29,MATCH($B638,Config!$B$9:$B$29,0))="Contrato",IF(INDEX(Config!$E$9:$E$29,MATCH($B638,Config!$B$9:$B$29,0))="","",INDEX(Config!$E$9:$E$29,MATCH($B638,Config!$B$9:$B$29,0))),""),""))</f>
        <v/>
      </c>
      <c r="AC638" s="19" t="str">
        <f>IF($B638="","",IFERROR(INDEX(Config!$D$9:$D$29,MATCH($B638,Config!$B$9:$B$29,0))&amp;"",""))</f>
        <v/>
      </c>
    </row>
    <row r="639">
      <c r="R639" s="20" t="str">
        <f>IF($B639="","",IFERROR(IF(INDEX(Config!$D$9:$D$29,MATCH($B639,Config!$B$9:$B$29,0))="Contrato",IF(INDEX(Config!$E$9:$E$29,MATCH($B639,Config!$B$9:$B$29,0))="","",INDEX(Config!$E$9:$E$29,MATCH($B639,Config!$B$9:$B$29,0))),""),""))</f>
        <v/>
      </c>
      <c r="AC639" s="19" t="str">
        <f>IF($B639="","",IFERROR(INDEX(Config!$D$9:$D$29,MATCH($B639,Config!$B$9:$B$29,0))&amp;"",""))</f>
        <v/>
      </c>
    </row>
    <row r="640">
      <c r="R640" s="20" t="str">
        <f>IF($B640="","",IFERROR(IF(INDEX(Config!$D$9:$D$29,MATCH($B640,Config!$B$9:$B$29,0))="Contrato",IF(INDEX(Config!$E$9:$E$29,MATCH($B640,Config!$B$9:$B$29,0))="","",INDEX(Config!$E$9:$E$29,MATCH($B640,Config!$B$9:$B$29,0))),""),""))</f>
        <v/>
      </c>
      <c r="AC640" s="19" t="str">
        <f>IF($B640="","",IFERROR(INDEX(Config!$D$9:$D$29,MATCH($B640,Config!$B$9:$B$29,0))&amp;"",""))</f>
        <v/>
      </c>
    </row>
    <row r="641">
      <c r="R641" s="20" t="str">
        <f>IF($B641="","",IFERROR(IF(INDEX(Config!$D$9:$D$29,MATCH($B641,Config!$B$9:$B$29,0))="Contrato",IF(INDEX(Config!$E$9:$E$29,MATCH($B641,Config!$B$9:$B$29,0))="","",INDEX(Config!$E$9:$E$29,MATCH($B641,Config!$B$9:$B$29,0))),""),""))</f>
        <v/>
      </c>
      <c r="AC641" s="19" t="str">
        <f>IF($B641="","",IFERROR(INDEX(Config!$D$9:$D$29,MATCH($B641,Config!$B$9:$B$29,0))&amp;"",""))</f>
        <v/>
      </c>
    </row>
    <row r="642">
      <c r="R642" s="20" t="str">
        <f>IF($B642="","",IFERROR(IF(INDEX(Config!$D$9:$D$29,MATCH($B642,Config!$B$9:$B$29,0))="Contrato",IF(INDEX(Config!$E$9:$E$29,MATCH($B642,Config!$B$9:$B$29,0))="","",INDEX(Config!$E$9:$E$29,MATCH($B642,Config!$B$9:$B$29,0))),""),""))</f>
        <v/>
      </c>
      <c r="AC642" s="19" t="str">
        <f>IF($B642="","",IFERROR(INDEX(Config!$D$9:$D$29,MATCH($B642,Config!$B$9:$B$29,0))&amp;"",""))</f>
        <v/>
      </c>
    </row>
    <row r="643">
      <c r="R643" s="20" t="str">
        <f>IF($B643="","",IFERROR(IF(INDEX(Config!$D$9:$D$29,MATCH($B643,Config!$B$9:$B$29,0))="Contrato",IF(INDEX(Config!$E$9:$E$29,MATCH($B643,Config!$B$9:$B$29,0))="","",INDEX(Config!$E$9:$E$29,MATCH($B643,Config!$B$9:$B$29,0))),""),""))</f>
        <v/>
      </c>
      <c r="AC643" s="19" t="str">
        <f>IF($B643="","",IFERROR(INDEX(Config!$D$9:$D$29,MATCH($B643,Config!$B$9:$B$29,0))&amp;"",""))</f>
        <v/>
      </c>
    </row>
    <row r="644">
      <c r="R644" s="20" t="str">
        <f>IF($B644="","",IFERROR(IF(INDEX(Config!$D$9:$D$29,MATCH($B644,Config!$B$9:$B$29,0))="Contrato",IF(INDEX(Config!$E$9:$E$29,MATCH($B644,Config!$B$9:$B$29,0))="","",INDEX(Config!$E$9:$E$29,MATCH($B644,Config!$B$9:$B$29,0))),""),""))</f>
        <v/>
      </c>
      <c r="AC644" s="19" t="str">
        <f>IF($B644="","",IFERROR(INDEX(Config!$D$9:$D$29,MATCH($B644,Config!$B$9:$B$29,0))&amp;"",""))</f>
        <v/>
      </c>
    </row>
    <row r="645">
      <c r="R645" s="20" t="str">
        <f>IF($B645="","",IFERROR(IF(INDEX(Config!$D$9:$D$29,MATCH($B645,Config!$B$9:$B$29,0))="Contrato",IF(INDEX(Config!$E$9:$E$29,MATCH($B645,Config!$B$9:$B$29,0))="","",INDEX(Config!$E$9:$E$29,MATCH($B645,Config!$B$9:$B$29,0))),""),""))</f>
        <v/>
      </c>
      <c r="AC645" s="19" t="str">
        <f>IF($B645="","",IFERROR(INDEX(Config!$D$9:$D$29,MATCH($B645,Config!$B$9:$B$29,0))&amp;"",""))</f>
        <v/>
      </c>
    </row>
    <row r="646">
      <c r="R646" s="20" t="str">
        <f>IF($B646="","",IFERROR(IF(INDEX(Config!$D$9:$D$29,MATCH($B646,Config!$B$9:$B$29,0))="Contrato",IF(INDEX(Config!$E$9:$E$29,MATCH($B646,Config!$B$9:$B$29,0))="","",INDEX(Config!$E$9:$E$29,MATCH($B646,Config!$B$9:$B$29,0))),""),""))</f>
        <v/>
      </c>
      <c r="AC646" s="19" t="str">
        <f>IF($B646="","",IFERROR(INDEX(Config!$D$9:$D$29,MATCH($B646,Config!$B$9:$B$29,0))&amp;"",""))</f>
        <v/>
      </c>
    </row>
    <row r="647">
      <c r="R647" s="20" t="str">
        <f>IF($B647="","",IFERROR(IF(INDEX(Config!$D$9:$D$29,MATCH($B647,Config!$B$9:$B$29,0))="Contrato",IF(INDEX(Config!$E$9:$E$29,MATCH($B647,Config!$B$9:$B$29,0))="","",INDEX(Config!$E$9:$E$29,MATCH($B647,Config!$B$9:$B$29,0))),""),""))</f>
        <v/>
      </c>
      <c r="AC647" s="19" t="str">
        <f>IF($B647="","",IFERROR(INDEX(Config!$D$9:$D$29,MATCH($B647,Config!$B$9:$B$29,0))&amp;"",""))</f>
        <v/>
      </c>
    </row>
    <row r="648">
      <c r="R648" s="20" t="str">
        <f>IF($B648="","",IFERROR(IF(INDEX(Config!$D$9:$D$29,MATCH($B648,Config!$B$9:$B$29,0))="Contrato",IF(INDEX(Config!$E$9:$E$29,MATCH($B648,Config!$B$9:$B$29,0))="","",INDEX(Config!$E$9:$E$29,MATCH($B648,Config!$B$9:$B$29,0))),""),""))</f>
        <v/>
      </c>
      <c r="AC648" s="19" t="str">
        <f>IF($B648="","",IFERROR(INDEX(Config!$D$9:$D$29,MATCH($B648,Config!$B$9:$B$29,0))&amp;"",""))</f>
        <v/>
      </c>
    </row>
    <row r="649">
      <c r="R649" s="20" t="str">
        <f>IF($B649="","",IFERROR(IF(INDEX(Config!$D$9:$D$29,MATCH($B649,Config!$B$9:$B$29,0))="Contrato",IF(INDEX(Config!$E$9:$E$29,MATCH($B649,Config!$B$9:$B$29,0))="","",INDEX(Config!$E$9:$E$29,MATCH($B649,Config!$B$9:$B$29,0))),""),""))</f>
        <v/>
      </c>
      <c r="AC649" s="19" t="str">
        <f>IF($B649="","",IFERROR(INDEX(Config!$D$9:$D$29,MATCH($B649,Config!$B$9:$B$29,0))&amp;"",""))</f>
        <v/>
      </c>
    </row>
    <row r="650">
      <c r="R650" s="20" t="str">
        <f>IF($B650="","",IFERROR(IF(INDEX(Config!$D$9:$D$29,MATCH($B650,Config!$B$9:$B$29,0))="Contrato",IF(INDEX(Config!$E$9:$E$29,MATCH($B650,Config!$B$9:$B$29,0))="","",INDEX(Config!$E$9:$E$29,MATCH($B650,Config!$B$9:$B$29,0))),""),""))</f>
        <v/>
      </c>
      <c r="AC650" s="19" t="str">
        <f>IF($B650="","",IFERROR(INDEX(Config!$D$9:$D$29,MATCH($B650,Config!$B$9:$B$29,0))&amp;"",""))</f>
        <v/>
      </c>
    </row>
    <row r="651">
      <c r="R651" s="20" t="str">
        <f>IF($B651="","",IFERROR(IF(INDEX(Config!$D$9:$D$29,MATCH($B651,Config!$B$9:$B$29,0))="Contrato",IF(INDEX(Config!$E$9:$E$29,MATCH($B651,Config!$B$9:$B$29,0))="","",INDEX(Config!$E$9:$E$29,MATCH($B651,Config!$B$9:$B$29,0))),""),""))</f>
        <v/>
      </c>
      <c r="AC651" s="19" t="str">
        <f>IF($B651="","",IFERROR(INDEX(Config!$D$9:$D$29,MATCH($B651,Config!$B$9:$B$29,0))&amp;"",""))</f>
        <v/>
      </c>
    </row>
    <row r="652">
      <c r="R652" s="20" t="str">
        <f>IF($B652="","",IFERROR(IF(INDEX(Config!$D$9:$D$29,MATCH($B652,Config!$B$9:$B$29,0))="Contrato",IF(INDEX(Config!$E$9:$E$29,MATCH($B652,Config!$B$9:$B$29,0))="","",INDEX(Config!$E$9:$E$29,MATCH($B652,Config!$B$9:$B$29,0))),""),""))</f>
        <v/>
      </c>
      <c r="AC652" s="19" t="str">
        <f>IF($B652="","",IFERROR(INDEX(Config!$D$9:$D$29,MATCH($B652,Config!$B$9:$B$29,0))&amp;"",""))</f>
        <v/>
      </c>
    </row>
    <row r="653">
      <c r="R653" s="20" t="str">
        <f>IF($B653="","",IFERROR(IF(INDEX(Config!$D$9:$D$29,MATCH($B653,Config!$B$9:$B$29,0))="Contrato",IF(INDEX(Config!$E$9:$E$29,MATCH($B653,Config!$B$9:$B$29,0))="","",INDEX(Config!$E$9:$E$29,MATCH($B653,Config!$B$9:$B$29,0))),""),""))</f>
        <v/>
      </c>
      <c r="AC653" s="19" t="str">
        <f>IF($B653="","",IFERROR(INDEX(Config!$D$9:$D$29,MATCH($B653,Config!$B$9:$B$29,0))&amp;"",""))</f>
        <v/>
      </c>
    </row>
    <row r="654">
      <c r="R654" s="20" t="str">
        <f>IF($B654="","",IFERROR(IF(INDEX(Config!$D$9:$D$29,MATCH($B654,Config!$B$9:$B$29,0))="Contrato",IF(INDEX(Config!$E$9:$E$29,MATCH($B654,Config!$B$9:$B$29,0))="","",INDEX(Config!$E$9:$E$29,MATCH($B654,Config!$B$9:$B$29,0))),""),""))</f>
        <v/>
      </c>
      <c r="AC654" s="19" t="str">
        <f>IF($B654="","",IFERROR(INDEX(Config!$D$9:$D$29,MATCH($B654,Config!$B$9:$B$29,0))&amp;"",""))</f>
        <v/>
      </c>
    </row>
    <row r="655">
      <c r="R655" s="20" t="str">
        <f>IF($B655="","",IFERROR(IF(INDEX(Config!$D$9:$D$29,MATCH($B655,Config!$B$9:$B$29,0))="Contrato",IF(INDEX(Config!$E$9:$E$29,MATCH($B655,Config!$B$9:$B$29,0))="","",INDEX(Config!$E$9:$E$29,MATCH($B655,Config!$B$9:$B$29,0))),""),""))</f>
        <v/>
      </c>
      <c r="AC655" s="19" t="str">
        <f>IF($B655="","",IFERROR(INDEX(Config!$D$9:$D$29,MATCH($B655,Config!$B$9:$B$29,0))&amp;"",""))</f>
        <v/>
      </c>
    </row>
    <row r="656">
      <c r="R656" s="20" t="str">
        <f>IF($B656="","",IFERROR(IF(INDEX(Config!$D$9:$D$29,MATCH($B656,Config!$B$9:$B$29,0))="Contrato",IF(INDEX(Config!$E$9:$E$29,MATCH($B656,Config!$B$9:$B$29,0))="","",INDEX(Config!$E$9:$E$29,MATCH($B656,Config!$B$9:$B$29,0))),""),""))</f>
        <v/>
      </c>
      <c r="AC656" s="19" t="str">
        <f>IF($B656="","",IFERROR(INDEX(Config!$D$9:$D$29,MATCH($B656,Config!$B$9:$B$29,0))&amp;"",""))</f>
        <v/>
      </c>
    </row>
    <row r="657">
      <c r="R657" s="20" t="str">
        <f>IF($B657="","",IFERROR(IF(INDEX(Config!$D$9:$D$29,MATCH($B657,Config!$B$9:$B$29,0))="Contrato",IF(INDEX(Config!$E$9:$E$29,MATCH($B657,Config!$B$9:$B$29,0))="","",INDEX(Config!$E$9:$E$29,MATCH($B657,Config!$B$9:$B$29,0))),""),""))</f>
        <v/>
      </c>
      <c r="AC657" s="19" t="str">
        <f>IF($B657="","",IFERROR(INDEX(Config!$D$9:$D$29,MATCH($B657,Config!$B$9:$B$29,0))&amp;"",""))</f>
        <v/>
      </c>
    </row>
    <row r="658">
      <c r="R658" s="20" t="str">
        <f>IF($B658="","",IFERROR(IF(INDEX(Config!$D$9:$D$29,MATCH($B658,Config!$B$9:$B$29,0))="Contrato",IF(INDEX(Config!$E$9:$E$29,MATCH($B658,Config!$B$9:$B$29,0))="","",INDEX(Config!$E$9:$E$29,MATCH($B658,Config!$B$9:$B$29,0))),""),""))</f>
        <v/>
      </c>
      <c r="AC658" s="19" t="str">
        <f>IF($B658="","",IFERROR(INDEX(Config!$D$9:$D$29,MATCH($B658,Config!$B$9:$B$29,0))&amp;"",""))</f>
        <v/>
      </c>
    </row>
    <row r="659">
      <c r="R659" s="20" t="str">
        <f>IF($B659="","",IFERROR(IF(INDEX(Config!$D$9:$D$29,MATCH($B659,Config!$B$9:$B$29,0))="Contrato",IF(INDEX(Config!$E$9:$E$29,MATCH($B659,Config!$B$9:$B$29,0))="","",INDEX(Config!$E$9:$E$29,MATCH($B659,Config!$B$9:$B$29,0))),""),""))</f>
        <v/>
      </c>
      <c r="AC659" s="19" t="str">
        <f>IF($B659="","",IFERROR(INDEX(Config!$D$9:$D$29,MATCH($B659,Config!$B$9:$B$29,0))&amp;"",""))</f>
        <v/>
      </c>
    </row>
    <row r="660">
      <c r="R660" s="20" t="str">
        <f>IF($B660="","",IFERROR(IF(INDEX(Config!$D$9:$D$29,MATCH($B660,Config!$B$9:$B$29,0))="Contrato",IF(INDEX(Config!$E$9:$E$29,MATCH($B660,Config!$B$9:$B$29,0))="","",INDEX(Config!$E$9:$E$29,MATCH($B660,Config!$B$9:$B$29,0))),""),""))</f>
        <v/>
      </c>
      <c r="AC660" s="19" t="str">
        <f>IF($B660="","",IFERROR(INDEX(Config!$D$9:$D$29,MATCH($B660,Config!$B$9:$B$29,0))&amp;"",""))</f>
        <v/>
      </c>
    </row>
    <row r="661">
      <c r="R661" s="20" t="str">
        <f>IF($B661="","",IFERROR(IF(INDEX(Config!$D$9:$D$29,MATCH($B661,Config!$B$9:$B$29,0))="Contrato",IF(INDEX(Config!$E$9:$E$29,MATCH($B661,Config!$B$9:$B$29,0))="","",INDEX(Config!$E$9:$E$29,MATCH($B661,Config!$B$9:$B$29,0))),""),""))</f>
        <v/>
      </c>
      <c r="AC661" s="19" t="str">
        <f>IF($B661="","",IFERROR(INDEX(Config!$D$9:$D$29,MATCH($B661,Config!$B$9:$B$29,0))&amp;"",""))</f>
        <v/>
      </c>
    </row>
    <row r="662">
      <c r="R662" s="20" t="str">
        <f>IF($B662="","",IFERROR(IF(INDEX(Config!$D$9:$D$29,MATCH($B662,Config!$B$9:$B$29,0))="Contrato",IF(INDEX(Config!$E$9:$E$29,MATCH($B662,Config!$B$9:$B$29,0))="","",INDEX(Config!$E$9:$E$29,MATCH($B662,Config!$B$9:$B$29,0))),""),""))</f>
        <v/>
      </c>
      <c r="AC662" s="19" t="str">
        <f>IF($B662="","",IFERROR(INDEX(Config!$D$9:$D$29,MATCH($B662,Config!$B$9:$B$29,0))&amp;"",""))</f>
        <v/>
      </c>
    </row>
    <row r="663">
      <c r="R663" s="20" t="str">
        <f>IF($B663="","",IFERROR(IF(INDEX(Config!$D$9:$D$29,MATCH($B663,Config!$B$9:$B$29,0))="Contrato",IF(INDEX(Config!$E$9:$E$29,MATCH($B663,Config!$B$9:$B$29,0))="","",INDEX(Config!$E$9:$E$29,MATCH($B663,Config!$B$9:$B$29,0))),""),""))</f>
        <v/>
      </c>
      <c r="AC663" s="19" t="str">
        <f>IF($B663="","",IFERROR(INDEX(Config!$D$9:$D$29,MATCH($B663,Config!$B$9:$B$29,0))&amp;"",""))</f>
        <v/>
      </c>
    </row>
    <row r="664">
      <c r="R664" s="20" t="str">
        <f>IF($B664="","",IFERROR(IF(INDEX(Config!$D$9:$D$29,MATCH($B664,Config!$B$9:$B$29,0))="Contrato",IF(INDEX(Config!$E$9:$E$29,MATCH($B664,Config!$B$9:$B$29,0))="","",INDEX(Config!$E$9:$E$29,MATCH($B664,Config!$B$9:$B$29,0))),""),""))</f>
        <v/>
      </c>
      <c r="AC664" s="19" t="str">
        <f>IF($B664="","",IFERROR(INDEX(Config!$D$9:$D$29,MATCH($B664,Config!$B$9:$B$29,0))&amp;"",""))</f>
        <v/>
      </c>
    </row>
    <row r="665">
      <c r="R665" s="20" t="str">
        <f>IF($B665="","",IFERROR(IF(INDEX(Config!$D$9:$D$29,MATCH($B665,Config!$B$9:$B$29,0))="Contrato",IF(INDEX(Config!$E$9:$E$29,MATCH($B665,Config!$B$9:$B$29,0))="","",INDEX(Config!$E$9:$E$29,MATCH($B665,Config!$B$9:$B$29,0))),""),""))</f>
        <v/>
      </c>
      <c r="AC665" s="19" t="str">
        <f>IF($B665="","",IFERROR(INDEX(Config!$D$9:$D$29,MATCH($B665,Config!$B$9:$B$29,0))&amp;"",""))</f>
        <v/>
      </c>
    </row>
    <row r="666">
      <c r="R666" s="20" t="str">
        <f>IF($B666="","",IFERROR(IF(INDEX(Config!$D$9:$D$29,MATCH($B666,Config!$B$9:$B$29,0))="Contrato",IF(INDEX(Config!$E$9:$E$29,MATCH($B666,Config!$B$9:$B$29,0))="","",INDEX(Config!$E$9:$E$29,MATCH($B666,Config!$B$9:$B$29,0))),""),""))</f>
        <v/>
      </c>
      <c r="AC666" s="19" t="str">
        <f>IF($B666="","",IFERROR(INDEX(Config!$D$9:$D$29,MATCH($B666,Config!$B$9:$B$29,0))&amp;"",""))</f>
        <v/>
      </c>
    </row>
    <row r="667">
      <c r="R667" s="20" t="str">
        <f>IF($B667="","",IFERROR(IF(INDEX(Config!$D$9:$D$29,MATCH($B667,Config!$B$9:$B$29,0))="Contrato",IF(INDEX(Config!$E$9:$E$29,MATCH($B667,Config!$B$9:$B$29,0))="","",INDEX(Config!$E$9:$E$29,MATCH($B667,Config!$B$9:$B$29,0))),""),""))</f>
        <v/>
      </c>
      <c r="AC667" s="19" t="str">
        <f>IF($B667="","",IFERROR(INDEX(Config!$D$9:$D$29,MATCH($B667,Config!$B$9:$B$29,0))&amp;"",""))</f>
        <v/>
      </c>
    </row>
    <row r="668">
      <c r="R668" s="20" t="str">
        <f>IF($B668="","",IFERROR(IF(INDEX(Config!$D$9:$D$29,MATCH($B668,Config!$B$9:$B$29,0))="Contrato",IF(INDEX(Config!$E$9:$E$29,MATCH($B668,Config!$B$9:$B$29,0))="","",INDEX(Config!$E$9:$E$29,MATCH($B668,Config!$B$9:$B$29,0))),""),""))</f>
        <v/>
      </c>
      <c r="AC668" s="19" t="str">
        <f>IF($B668="","",IFERROR(INDEX(Config!$D$9:$D$29,MATCH($B668,Config!$B$9:$B$29,0))&amp;"",""))</f>
        <v/>
      </c>
    </row>
    <row r="669">
      <c r="R669" s="20" t="str">
        <f>IF($B669="","",IFERROR(IF(INDEX(Config!$D$9:$D$29,MATCH($B669,Config!$B$9:$B$29,0))="Contrato",IF(INDEX(Config!$E$9:$E$29,MATCH($B669,Config!$B$9:$B$29,0))="","",INDEX(Config!$E$9:$E$29,MATCH($B669,Config!$B$9:$B$29,0))),""),""))</f>
        <v/>
      </c>
      <c r="AC669" s="19" t="str">
        <f>IF($B669="","",IFERROR(INDEX(Config!$D$9:$D$29,MATCH($B669,Config!$B$9:$B$29,0))&amp;"",""))</f>
        <v/>
      </c>
    </row>
    <row r="670">
      <c r="R670" s="20" t="str">
        <f>IF($B670="","",IFERROR(IF(INDEX(Config!$D$9:$D$29,MATCH($B670,Config!$B$9:$B$29,0))="Contrato",IF(INDEX(Config!$E$9:$E$29,MATCH($B670,Config!$B$9:$B$29,0))="","",INDEX(Config!$E$9:$E$29,MATCH($B670,Config!$B$9:$B$29,0))),""),""))</f>
        <v/>
      </c>
      <c r="AC670" s="19" t="str">
        <f>IF($B670="","",IFERROR(INDEX(Config!$D$9:$D$29,MATCH($B670,Config!$B$9:$B$29,0))&amp;"",""))</f>
        <v/>
      </c>
    </row>
    <row r="671">
      <c r="R671" s="20" t="str">
        <f>IF($B671="","",IFERROR(IF(INDEX(Config!$D$9:$D$29,MATCH($B671,Config!$B$9:$B$29,0))="Contrato",IF(INDEX(Config!$E$9:$E$29,MATCH($B671,Config!$B$9:$B$29,0))="","",INDEX(Config!$E$9:$E$29,MATCH($B671,Config!$B$9:$B$29,0))),""),""))</f>
        <v/>
      </c>
      <c r="AC671" s="19" t="str">
        <f>IF($B671="","",IFERROR(INDEX(Config!$D$9:$D$29,MATCH($B671,Config!$B$9:$B$29,0))&amp;"",""))</f>
        <v/>
      </c>
    </row>
    <row r="672">
      <c r="R672" s="20" t="str">
        <f>IF($B672="","",IFERROR(IF(INDEX(Config!$D$9:$D$29,MATCH($B672,Config!$B$9:$B$29,0))="Contrato",IF(INDEX(Config!$E$9:$E$29,MATCH($B672,Config!$B$9:$B$29,0))="","",INDEX(Config!$E$9:$E$29,MATCH($B672,Config!$B$9:$B$29,0))),""),""))</f>
        <v/>
      </c>
      <c r="AC672" s="19" t="str">
        <f>IF($B672="","",IFERROR(INDEX(Config!$D$9:$D$29,MATCH($B672,Config!$B$9:$B$29,0))&amp;"",""))</f>
        <v/>
      </c>
    </row>
    <row r="673">
      <c r="R673" s="20" t="str">
        <f>IF($B673="","",IFERROR(IF(INDEX(Config!$D$9:$D$29,MATCH($B673,Config!$B$9:$B$29,0))="Contrato",IF(INDEX(Config!$E$9:$E$29,MATCH($B673,Config!$B$9:$B$29,0))="","",INDEX(Config!$E$9:$E$29,MATCH($B673,Config!$B$9:$B$29,0))),""),""))</f>
        <v/>
      </c>
      <c r="AC673" s="19" t="str">
        <f>IF($B673="","",IFERROR(INDEX(Config!$D$9:$D$29,MATCH($B673,Config!$B$9:$B$29,0))&amp;"",""))</f>
        <v/>
      </c>
    </row>
    <row r="674">
      <c r="R674" s="20" t="str">
        <f>IF($B674="","",IFERROR(IF(INDEX(Config!$D$9:$D$29,MATCH($B674,Config!$B$9:$B$29,0))="Contrato",IF(INDEX(Config!$E$9:$E$29,MATCH($B674,Config!$B$9:$B$29,0))="","",INDEX(Config!$E$9:$E$29,MATCH($B674,Config!$B$9:$B$29,0))),""),""))</f>
        <v/>
      </c>
      <c r="AC674" s="19" t="str">
        <f>IF($B674="","",IFERROR(INDEX(Config!$D$9:$D$29,MATCH($B674,Config!$B$9:$B$29,0))&amp;"",""))</f>
        <v/>
      </c>
    </row>
    <row r="675">
      <c r="R675" s="20" t="str">
        <f>IF($B675="","",IFERROR(IF(INDEX(Config!$D$9:$D$29,MATCH($B675,Config!$B$9:$B$29,0))="Contrato",IF(INDEX(Config!$E$9:$E$29,MATCH($B675,Config!$B$9:$B$29,0))="","",INDEX(Config!$E$9:$E$29,MATCH($B675,Config!$B$9:$B$29,0))),""),""))</f>
        <v/>
      </c>
      <c r="AC675" s="19" t="str">
        <f>IF($B675="","",IFERROR(INDEX(Config!$D$9:$D$29,MATCH($B675,Config!$B$9:$B$29,0))&amp;"",""))</f>
        <v/>
      </c>
    </row>
    <row r="676">
      <c r="R676" s="20" t="str">
        <f>IF($B676="","",IFERROR(IF(INDEX(Config!$D$9:$D$29,MATCH($B676,Config!$B$9:$B$29,0))="Contrato",IF(INDEX(Config!$E$9:$E$29,MATCH($B676,Config!$B$9:$B$29,0))="","",INDEX(Config!$E$9:$E$29,MATCH($B676,Config!$B$9:$B$29,0))),""),""))</f>
        <v/>
      </c>
      <c r="AC676" s="19" t="str">
        <f>IF($B676="","",IFERROR(INDEX(Config!$D$9:$D$29,MATCH($B676,Config!$B$9:$B$29,0))&amp;"",""))</f>
        <v/>
      </c>
    </row>
    <row r="677">
      <c r="R677" s="20" t="str">
        <f>IF($B677="","",IFERROR(IF(INDEX(Config!$D$9:$D$29,MATCH($B677,Config!$B$9:$B$29,0))="Contrato",IF(INDEX(Config!$E$9:$E$29,MATCH($B677,Config!$B$9:$B$29,0))="","",INDEX(Config!$E$9:$E$29,MATCH($B677,Config!$B$9:$B$29,0))),""),""))</f>
        <v/>
      </c>
      <c r="AC677" s="19" t="str">
        <f>IF($B677="","",IFERROR(INDEX(Config!$D$9:$D$29,MATCH($B677,Config!$B$9:$B$29,0))&amp;"",""))</f>
        <v/>
      </c>
    </row>
    <row r="678">
      <c r="R678" s="20" t="str">
        <f>IF($B678="","",IFERROR(IF(INDEX(Config!$D$9:$D$29,MATCH($B678,Config!$B$9:$B$29,0))="Contrato",IF(INDEX(Config!$E$9:$E$29,MATCH($B678,Config!$B$9:$B$29,0))="","",INDEX(Config!$E$9:$E$29,MATCH($B678,Config!$B$9:$B$29,0))),""),""))</f>
        <v/>
      </c>
      <c r="AC678" s="19" t="str">
        <f>IF($B678="","",IFERROR(INDEX(Config!$D$9:$D$29,MATCH($B678,Config!$B$9:$B$29,0))&amp;"",""))</f>
        <v/>
      </c>
    </row>
    <row r="679">
      <c r="R679" s="20" t="str">
        <f>IF($B679="","",IFERROR(IF(INDEX(Config!$D$9:$D$29,MATCH($B679,Config!$B$9:$B$29,0))="Contrato",IF(INDEX(Config!$E$9:$E$29,MATCH($B679,Config!$B$9:$B$29,0))="","",INDEX(Config!$E$9:$E$29,MATCH($B679,Config!$B$9:$B$29,0))),""),""))</f>
        <v/>
      </c>
      <c r="AC679" s="19" t="str">
        <f>IF($B679="","",IFERROR(INDEX(Config!$D$9:$D$29,MATCH($B679,Config!$B$9:$B$29,0))&amp;"",""))</f>
        <v/>
      </c>
    </row>
    <row r="680">
      <c r="R680" s="20" t="str">
        <f>IF($B680="","",IFERROR(IF(INDEX(Config!$D$9:$D$29,MATCH($B680,Config!$B$9:$B$29,0))="Contrato",IF(INDEX(Config!$E$9:$E$29,MATCH($B680,Config!$B$9:$B$29,0))="","",INDEX(Config!$E$9:$E$29,MATCH($B680,Config!$B$9:$B$29,0))),""),""))</f>
        <v/>
      </c>
      <c r="AC680" s="19" t="str">
        <f>IF($B680="","",IFERROR(INDEX(Config!$D$9:$D$29,MATCH($B680,Config!$B$9:$B$29,0))&amp;"",""))</f>
        <v/>
      </c>
    </row>
    <row r="681">
      <c r="R681" s="20" t="str">
        <f>IF($B681="","",IFERROR(IF(INDEX(Config!$D$9:$D$29,MATCH($B681,Config!$B$9:$B$29,0))="Contrato",IF(INDEX(Config!$E$9:$E$29,MATCH($B681,Config!$B$9:$B$29,0))="","",INDEX(Config!$E$9:$E$29,MATCH($B681,Config!$B$9:$B$29,0))),""),""))</f>
        <v/>
      </c>
      <c r="AC681" s="19" t="str">
        <f>IF($B681="","",IFERROR(INDEX(Config!$D$9:$D$29,MATCH($B681,Config!$B$9:$B$29,0))&amp;"",""))</f>
        <v/>
      </c>
    </row>
    <row r="682">
      <c r="R682" s="20" t="str">
        <f>IF($B682="","",IFERROR(IF(INDEX(Config!$D$9:$D$29,MATCH($B682,Config!$B$9:$B$29,0))="Contrato",IF(INDEX(Config!$E$9:$E$29,MATCH($B682,Config!$B$9:$B$29,0))="","",INDEX(Config!$E$9:$E$29,MATCH($B682,Config!$B$9:$B$29,0))),""),""))</f>
        <v/>
      </c>
      <c r="AC682" s="19" t="str">
        <f>IF($B682="","",IFERROR(INDEX(Config!$D$9:$D$29,MATCH($B682,Config!$B$9:$B$29,0))&amp;"",""))</f>
        <v/>
      </c>
    </row>
    <row r="683">
      <c r="R683" s="20" t="str">
        <f>IF($B683="","",IFERROR(IF(INDEX(Config!$D$9:$D$29,MATCH($B683,Config!$B$9:$B$29,0))="Contrato",IF(INDEX(Config!$E$9:$E$29,MATCH($B683,Config!$B$9:$B$29,0))="","",INDEX(Config!$E$9:$E$29,MATCH($B683,Config!$B$9:$B$29,0))),""),""))</f>
        <v/>
      </c>
      <c r="AC683" s="19" t="str">
        <f>IF($B683="","",IFERROR(INDEX(Config!$D$9:$D$29,MATCH($B683,Config!$B$9:$B$29,0))&amp;"",""))</f>
        <v/>
      </c>
    </row>
    <row r="684">
      <c r="R684" s="20" t="str">
        <f>IF($B684="","",IFERROR(IF(INDEX(Config!$D$9:$D$29,MATCH($B684,Config!$B$9:$B$29,0))="Contrato",IF(INDEX(Config!$E$9:$E$29,MATCH($B684,Config!$B$9:$B$29,0))="","",INDEX(Config!$E$9:$E$29,MATCH($B684,Config!$B$9:$B$29,0))),""),""))</f>
        <v/>
      </c>
      <c r="AC684" s="19" t="str">
        <f>IF($B684="","",IFERROR(INDEX(Config!$D$9:$D$29,MATCH($B684,Config!$B$9:$B$29,0))&amp;"",""))</f>
        <v/>
      </c>
    </row>
    <row r="685">
      <c r="R685" s="20" t="str">
        <f>IF($B685="","",IFERROR(IF(INDEX(Config!$D$9:$D$29,MATCH($B685,Config!$B$9:$B$29,0))="Contrato",IF(INDEX(Config!$E$9:$E$29,MATCH($B685,Config!$B$9:$B$29,0))="","",INDEX(Config!$E$9:$E$29,MATCH($B685,Config!$B$9:$B$29,0))),""),""))</f>
        <v/>
      </c>
      <c r="AC685" s="19" t="str">
        <f>IF($B685="","",IFERROR(INDEX(Config!$D$9:$D$29,MATCH($B685,Config!$B$9:$B$29,0))&amp;"",""))</f>
        <v/>
      </c>
    </row>
    <row r="686">
      <c r="R686" s="20" t="str">
        <f>IF($B686="","",IFERROR(IF(INDEX(Config!$D$9:$D$29,MATCH($B686,Config!$B$9:$B$29,0))="Contrato",IF(INDEX(Config!$E$9:$E$29,MATCH($B686,Config!$B$9:$B$29,0))="","",INDEX(Config!$E$9:$E$29,MATCH($B686,Config!$B$9:$B$29,0))),""),""))</f>
        <v/>
      </c>
      <c r="AC686" s="19" t="str">
        <f>IF($B686="","",IFERROR(INDEX(Config!$D$9:$D$29,MATCH($B686,Config!$B$9:$B$29,0))&amp;"",""))</f>
        <v/>
      </c>
    </row>
    <row r="687">
      <c r="R687" s="20" t="str">
        <f>IF($B687="","",IFERROR(IF(INDEX(Config!$D$9:$D$29,MATCH($B687,Config!$B$9:$B$29,0))="Contrato",IF(INDEX(Config!$E$9:$E$29,MATCH($B687,Config!$B$9:$B$29,0))="","",INDEX(Config!$E$9:$E$29,MATCH($B687,Config!$B$9:$B$29,0))),""),""))</f>
        <v/>
      </c>
      <c r="AC687" s="19" t="str">
        <f>IF($B687="","",IFERROR(INDEX(Config!$D$9:$D$29,MATCH($B687,Config!$B$9:$B$29,0))&amp;"",""))</f>
        <v/>
      </c>
    </row>
    <row r="688">
      <c r="R688" s="20" t="str">
        <f>IF($B688="","",IFERROR(IF(INDEX(Config!$D$9:$D$29,MATCH($B688,Config!$B$9:$B$29,0))="Contrato",IF(INDEX(Config!$E$9:$E$29,MATCH($B688,Config!$B$9:$B$29,0))="","",INDEX(Config!$E$9:$E$29,MATCH($B688,Config!$B$9:$B$29,0))),""),""))</f>
        <v/>
      </c>
      <c r="AC688" s="19" t="str">
        <f>IF($B688="","",IFERROR(INDEX(Config!$D$9:$D$29,MATCH($B688,Config!$B$9:$B$29,0))&amp;"",""))</f>
        <v/>
      </c>
    </row>
    <row r="689">
      <c r="R689" s="20" t="str">
        <f>IF($B689="","",IFERROR(IF(INDEX(Config!$D$9:$D$29,MATCH($B689,Config!$B$9:$B$29,0))="Contrato",IF(INDEX(Config!$E$9:$E$29,MATCH($B689,Config!$B$9:$B$29,0))="","",INDEX(Config!$E$9:$E$29,MATCH($B689,Config!$B$9:$B$29,0))),""),""))</f>
        <v/>
      </c>
      <c r="AC689" s="19" t="str">
        <f>IF($B689="","",IFERROR(INDEX(Config!$D$9:$D$29,MATCH($B689,Config!$B$9:$B$29,0))&amp;"",""))</f>
        <v/>
      </c>
    </row>
    <row r="690">
      <c r="R690" s="20" t="str">
        <f>IF($B690="","",IFERROR(IF(INDEX(Config!$D$9:$D$29,MATCH($B690,Config!$B$9:$B$29,0))="Contrato",IF(INDEX(Config!$E$9:$E$29,MATCH($B690,Config!$B$9:$B$29,0))="","",INDEX(Config!$E$9:$E$29,MATCH($B690,Config!$B$9:$B$29,0))),""),""))</f>
        <v/>
      </c>
      <c r="AC690" s="19" t="str">
        <f>IF($B690="","",IFERROR(INDEX(Config!$D$9:$D$29,MATCH($B690,Config!$B$9:$B$29,0))&amp;"",""))</f>
        <v/>
      </c>
    </row>
    <row r="691">
      <c r="R691" s="20" t="str">
        <f>IF($B691="","",IFERROR(IF(INDEX(Config!$D$9:$D$29,MATCH($B691,Config!$B$9:$B$29,0))="Contrato",IF(INDEX(Config!$E$9:$E$29,MATCH($B691,Config!$B$9:$B$29,0))="","",INDEX(Config!$E$9:$E$29,MATCH($B691,Config!$B$9:$B$29,0))),""),""))</f>
        <v/>
      </c>
      <c r="AC691" s="19" t="str">
        <f>IF($B691="","",IFERROR(INDEX(Config!$D$9:$D$29,MATCH($B691,Config!$B$9:$B$29,0))&amp;"",""))</f>
        <v/>
      </c>
    </row>
    <row r="692">
      <c r="R692" s="20" t="str">
        <f>IF($B692="","",IFERROR(IF(INDEX(Config!$D$9:$D$29,MATCH($B692,Config!$B$9:$B$29,0))="Contrato",IF(INDEX(Config!$E$9:$E$29,MATCH($B692,Config!$B$9:$B$29,0))="","",INDEX(Config!$E$9:$E$29,MATCH($B692,Config!$B$9:$B$29,0))),""),""))</f>
        <v/>
      </c>
      <c r="AC692" s="19" t="str">
        <f>IF($B692="","",IFERROR(INDEX(Config!$D$9:$D$29,MATCH($B692,Config!$B$9:$B$29,0))&amp;"",""))</f>
        <v/>
      </c>
    </row>
    <row r="693">
      <c r="R693" s="20" t="str">
        <f>IF($B693="","",IFERROR(IF(INDEX(Config!$D$9:$D$29,MATCH($B693,Config!$B$9:$B$29,0))="Contrato",IF(INDEX(Config!$E$9:$E$29,MATCH($B693,Config!$B$9:$B$29,0))="","",INDEX(Config!$E$9:$E$29,MATCH($B693,Config!$B$9:$B$29,0))),""),""))</f>
        <v/>
      </c>
      <c r="AC693" s="19" t="str">
        <f>IF($B693="","",IFERROR(INDEX(Config!$D$9:$D$29,MATCH($B693,Config!$B$9:$B$29,0))&amp;"",""))</f>
        <v/>
      </c>
    </row>
    <row r="694">
      <c r="R694" s="20" t="str">
        <f>IF($B694="","",IFERROR(IF(INDEX(Config!$D$9:$D$29,MATCH($B694,Config!$B$9:$B$29,0))="Contrato",IF(INDEX(Config!$E$9:$E$29,MATCH($B694,Config!$B$9:$B$29,0))="","",INDEX(Config!$E$9:$E$29,MATCH($B694,Config!$B$9:$B$29,0))),""),""))</f>
        <v/>
      </c>
      <c r="AC694" s="19" t="str">
        <f>IF($B694="","",IFERROR(INDEX(Config!$D$9:$D$29,MATCH($B694,Config!$B$9:$B$29,0))&amp;"",""))</f>
        <v/>
      </c>
    </row>
    <row r="695">
      <c r="R695" s="20" t="str">
        <f>IF($B695="","",IFERROR(IF(INDEX(Config!$D$9:$D$29,MATCH($B695,Config!$B$9:$B$29,0))="Contrato",IF(INDEX(Config!$E$9:$E$29,MATCH($B695,Config!$B$9:$B$29,0))="","",INDEX(Config!$E$9:$E$29,MATCH($B695,Config!$B$9:$B$29,0))),""),""))</f>
        <v/>
      </c>
      <c r="AC695" s="19" t="str">
        <f>IF($B695="","",IFERROR(INDEX(Config!$D$9:$D$29,MATCH($B695,Config!$B$9:$B$29,0))&amp;"",""))</f>
        <v/>
      </c>
    </row>
    <row r="696">
      <c r="R696" s="20" t="str">
        <f>IF($B696="","",IFERROR(IF(INDEX(Config!$D$9:$D$29,MATCH($B696,Config!$B$9:$B$29,0))="Contrato",IF(INDEX(Config!$E$9:$E$29,MATCH($B696,Config!$B$9:$B$29,0))="","",INDEX(Config!$E$9:$E$29,MATCH($B696,Config!$B$9:$B$29,0))),""),""))</f>
        <v/>
      </c>
      <c r="AC696" s="19" t="str">
        <f>IF($B696="","",IFERROR(INDEX(Config!$D$9:$D$29,MATCH($B696,Config!$B$9:$B$29,0))&amp;"",""))</f>
        <v/>
      </c>
    </row>
    <row r="697">
      <c r="R697" s="20" t="str">
        <f>IF($B697="","",IFERROR(IF(INDEX(Config!$D$9:$D$29,MATCH($B697,Config!$B$9:$B$29,0))="Contrato",IF(INDEX(Config!$E$9:$E$29,MATCH($B697,Config!$B$9:$B$29,0))="","",INDEX(Config!$E$9:$E$29,MATCH($B697,Config!$B$9:$B$29,0))),""),""))</f>
        <v/>
      </c>
      <c r="AC697" s="19" t="str">
        <f>IF($B697="","",IFERROR(INDEX(Config!$D$9:$D$29,MATCH($B697,Config!$B$9:$B$29,0))&amp;"",""))</f>
        <v/>
      </c>
    </row>
    <row r="698">
      <c r="R698" s="20" t="str">
        <f>IF($B698="","",IFERROR(IF(INDEX(Config!$D$9:$D$29,MATCH($B698,Config!$B$9:$B$29,0))="Contrato",IF(INDEX(Config!$E$9:$E$29,MATCH($B698,Config!$B$9:$B$29,0))="","",INDEX(Config!$E$9:$E$29,MATCH($B698,Config!$B$9:$B$29,0))),""),""))</f>
        <v/>
      </c>
      <c r="AC698" s="19" t="str">
        <f>IF($B698="","",IFERROR(INDEX(Config!$D$9:$D$29,MATCH($B698,Config!$B$9:$B$29,0))&amp;"",""))</f>
        <v/>
      </c>
    </row>
    <row r="699">
      <c r="R699" s="20" t="str">
        <f>IF($B699="","",IFERROR(IF(INDEX(Config!$D$9:$D$29,MATCH($B699,Config!$B$9:$B$29,0))="Contrato",IF(INDEX(Config!$E$9:$E$29,MATCH($B699,Config!$B$9:$B$29,0))="","",INDEX(Config!$E$9:$E$29,MATCH($B699,Config!$B$9:$B$29,0))),""),""))</f>
        <v/>
      </c>
      <c r="AC699" s="19" t="str">
        <f>IF($B699="","",IFERROR(INDEX(Config!$D$9:$D$29,MATCH($B699,Config!$B$9:$B$29,0))&amp;"",""))</f>
        <v/>
      </c>
    </row>
    <row r="700">
      <c r="R700" s="20" t="str">
        <f>IF($B700="","",IFERROR(IF(INDEX(Config!$D$9:$D$29,MATCH($B700,Config!$B$9:$B$29,0))="Contrato",IF(INDEX(Config!$E$9:$E$29,MATCH($B700,Config!$B$9:$B$29,0))="","",INDEX(Config!$E$9:$E$29,MATCH($B700,Config!$B$9:$B$29,0))),""),""))</f>
        <v/>
      </c>
      <c r="AC700" s="19" t="str">
        <f>IF($B700="","",IFERROR(INDEX(Config!$D$9:$D$29,MATCH($B700,Config!$B$9:$B$29,0))&amp;"",""))</f>
        <v/>
      </c>
    </row>
    <row r="701">
      <c r="R701" s="20" t="str">
        <f>IF($B701="","",IFERROR(IF(INDEX(Config!$D$9:$D$29,MATCH($B701,Config!$B$9:$B$29,0))="Contrato",IF(INDEX(Config!$E$9:$E$29,MATCH($B701,Config!$B$9:$B$29,0))="","",INDEX(Config!$E$9:$E$29,MATCH($B701,Config!$B$9:$B$29,0))),""),""))</f>
        <v/>
      </c>
      <c r="AC701" s="19" t="str">
        <f>IF($B701="","",IFERROR(INDEX(Config!$D$9:$D$29,MATCH($B701,Config!$B$9:$B$29,0))&amp;"",""))</f>
        <v/>
      </c>
    </row>
    <row r="702">
      <c r="R702" s="20" t="str">
        <f>IF($B702="","",IFERROR(IF(INDEX(Config!$D$9:$D$29,MATCH($B702,Config!$B$9:$B$29,0))="Contrato",IF(INDEX(Config!$E$9:$E$29,MATCH($B702,Config!$B$9:$B$29,0))="","",INDEX(Config!$E$9:$E$29,MATCH($B702,Config!$B$9:$B$29,0))),""),""))</f>
        <v/>
      </c>
      <c r="AC702" s="19" t="str">
        <f>IF($B702="","",IFERROR(INDEX(Config!$D$9:$D$29,MATCH($B702,Config!$B$9:$B$29,0))&amp;"",""))</f>
        <v/>
      </c>
    </row>
    <row r="703">
      <c r="R703" s="20" t="str">
        <f>IF($B703="","",IFERROR(IF(INDEX(Config!$D$9:$D$29,MATCH($B703,Config!$B$9:$B$29,0))="Contrato",IF(INDEX(Config!$E$9:$E$29,MATCH($B703,Config!$B$9:$B$29,0))="","",INDEX(Config!$E$9:$E$29,MATCH($B703,Config!$B$9:$B$29,0))),""),""))</f>
        <v/>
      </c>
      <c r="AC703" s="19" t="str">
        <f>IF($B703="","",IFERROR(INDEX(Config!$D$9:$D$29,MATCH($B703,Config!$B$9:$B$29,0))&amp;"",""))</f>
        <v/>
      </c>
    </row>
    <row r="704">
      <c r="R704" s="20" t="str">
        <f>IF($B704="","",IFERROR(IF(INDEX(Config!$D$9:$D$29,MATCH($B704,Config!$B$9:$B$29,0))="Contrato",IF(INDEX(Config!$E$9:$E$29,MATCH($B704,Config!$B$9:$B$29,0))="","",INDEX(Config!$E$9:$E$29,MATCH($B704,Config!$B$9:$B$29,0))),""),""))</f>
        <v/>
      </c>
      <c r="AC704" s="19" t="str">
        <f>IF($B704="","",IFERROR(INDEX(Config!$D$9:$D$29,MATCH($B704,Config!$B$9:$B$29,0))&amp;"",""))</f>
        <v/>
      </c>
    </row>
    <row r="705">
      <c r="R705" s="20" t="str">
        <f>IF($B705="","",IFERROR(IF(INDEX(Config!$D$9:$D$29,MATCH($B705,Config!$B$9:$B$29,0))="Contrato",IF(INDEX(Config!$E$9:$E$29,MATCH($B705,Config!$B$9:$B$29,0))="","",INDEX(Config!$E$9:$E$29,MATCH($B705,Config!$B$9:$B$29,0))),""),""))</f>
        <v/>
      </c>
      <c r="AC705" s="19" t="str">
        <f>IF($B705="","",IFERROR(INDEX(Config!$D$9:$D$29,MATCH($B705,Config!$B$9:$B$29,0))&amp;"",""))</f>
        <v/>
      </c>
    </row>
    <row r="706">
      <c r="R706" s="20" t="str">
        <f>IF($B706="","",IFERROR(IF(INDEX(Config!$D$9:$D$29,MATCH($B706,Config!$B$9:$B$29,0))="Contrato",IF(INDEX(Config!$E$9:$E$29,MATCH($B706,Config!$B$9:$B$29,0))="","",INDEX(Config!$E$9:$E$29,MATCH($B706,Config!$B$9:$B$29,0))),""),""))</f>
        <v/>
      </c>
      <c r="AC706" s="19" t="str">
        <f>IF($B706="","",IFERROR(INDEX(Config!$D$9:$D$29,MATCH($B706,Config!$B$9:$B$29,0))&amp;"",""))</f>
        <v/>
      </c>
    </row>
    <row r="707">
      <c r="R707" s="20" t="str">
        <f>IF($B707="","",IFERROR(IF(INDEX(Config!$D$9:$D$29,MATCH($B707,Config!$B$9:$B$29,0))="Contrato",IF(INDEX(Config!$E$9:$E$29,MATCH($B707,Config!$B$9:$B$29,0))="","",INDEX(Config!$E$9:$E$29,MATCH($B707,Config!$B$9:$B$29,0))),""),""))</f>
        <v/>
      </c>
      <c r="AC707" s="19" t="str">
        <f>IF($B707="","",IFERROR(INDEX(Config!$D$9:$D$29,MATCH($B707,Config!$B$9:$B$29,0))&amp;"",""))</f>
        <v/>
      </c>
    </row>
    <row r="708">
      <c r="R708" s="20" t="str">
        <f>IF($B708="","",IFERROR(IF(INDEX(Config!$D$9:$D$29,MATCH($B708,Config!$B$9:$B$29,0))="Contrato",IF(INDEX(Config!$E$9:$E$29,MATCH($B708,Config!$B$9:$B$29,0))="","",INDEX(Config!$E$9:$E$29,MATCH($B708,Config!$B$9:$B$29,0))),""),""))</f>
        <v/>
      </c>
      <c r="AC708" s="19" t="str">
        <f>IF($B708="","",IFERROR(INDEX(Config!$D$9:$D$29,MATCH($B708,Config!$B$9:$B$29,0))&amp;"",""))</f>
        <v/>
      </c>
    </row>
    <row r="709">
      <c r="R709" s="20" t="str">
        <f>IF($B709="","",IFERROR(IF(INDEX(Config!$D$9:$D$29,MATCH($B709,Config!$B$9:$B$29,0))="Contrato",IF(INDEX(Config!$E$9:$E$29,MATCH($B709,Config!$B$9:$B$29,0))="","",INDEX(Config!$E$9:$E$29,MATCH($B709,Config!$B$9:$B$29,0))),""),""))</f>
        <v/>
      </c>
      <c r="AC709" s="19" t="str">
        <f>IF($B709="","",IFERROR(INDEX(Config!$D$9:$D$29,MATCH($B709,Config!$B$9:$B$29,0))&amp;"",""))</f>
        <v/>
      </c>
    </row>
    <row r="710">
      <c r="R710" s="20" t="str">
        <f>IF($B710="","",IFERROR(IF(INDEX(Config!$D$9:$D$29,MATCH($B710,Config!$B$9:$B$29,0))="Contrato",IF(INDEX(Config!$E$9:$E$29,MATCH($B710,Config!$B$9:$B$29,0))="","",INDEX(Config!$E$9:$E$29,MATCH($B710,Config!$B$9:$B$29,0))),""),""))</f>
        <v/>
      </c>
      <c r="AC710" s="19" t="str">
        <f>IF($B710="","",IFERROR(INDEX(Config!$D$9:$D$29,MATCH($B710,Config!$B$9:$B$29,0))&amp;"",""))</f>
        <v/>
      </c>
    </row>
    <row r="711">
      <c r="R711" s="20" t="str">
        <f>IF($B711="","",IFERROR(IF(INDEX(Config!$D$9:$D$29,MATCH($B711,Config!$B$9:$B$29,0))="Contrato",IF(INDEX(Config!$E$9:$E$29,MATCH($B711,Config!$B$9:$B$29,0))="","",INDEX(Config!$E$9:$E$29,MATCH($B711,Config!$B$9:$B$29,0))),""),""))</f>
        <v/>
      </c>
      <c r="AC711" s="19" t="str">
        <f>IF($B711="","",IFERROR(INDEX(Config!$D$9:$D$29,MATCH($B711,Config!$B$9:$B$29,0))&amp;"",""))</f>
        <v/>
      </c>
    </row>
    <row r="712">
      <c r="R712" s="20" t="str">
        <f>IF($B712="","",IFERROR(IF(INDEX(Config!$D$9:$D$29,MATCH($B712,Config!$B$9:$B$29,0))="Contrato",IF(INDEX(Config!$E$9:$E$29,MATCH($B712,Config!$B$9:$B$29,0))="","",INDEX(Config!$E$9:$E$29,MATCH($B712,Config!$B$9:$B$29,0))),""),""))</f>
        <v/>
      </c>
      <c r="AC712" s="19" t="str">
        <f>IF($B712="","",IFERROR(INDEX(Config!$D$9:$D$29,MATCH($B712,Config!$B$9:$B$29,0))&amp;"",""))</f>
        <v/>
      </c>
    </row>
    <row r="713">
      <c r="R713" s="20" t="str">
        <f>IF($B713="","",IFERROR(IF(INDEX(Config!$D$9:$D$29,MATCH($B713,Config!$B$9:$B$29,0))="Contrato",IF(INDEX(Config!$E$9:$E$29,MATCH($B713,Config!$B$9:$B$29,0))="","",INDEX(Config!$E$9:$E$29,MATCH($B713,Config!$B$9:$B$29,0))),""),""))</f>
        <v/>
      </c>
      <c r="AC713" s="19" t="str">
        <f>IF($B713="","",IFERROR(INDEX(Config!$D$9:$D$29,MATCH($B713,Config!$B$9:$B$29,0))&amp;"",""))</f>
        <v/>
      </c>
    </row>
    <row r="714">
      <c r="R714" s="20" t="str">
        <f>IF($B714="","",IFERROR(IF(INDEX(Config!$D$9:$D$29,MATCH($B714,Config!$B$9:$B$29,0))="Contrato",IF(INDEX(Config!$E$9:$E$29,MATCH($B714,Config!$B$9:$B$29,0))="","",INDEX(Config!$E$9:$E$29,MATCH($B714,Config!$B$9:$B$29,0))),""),""))</f>
        <v/>
      </c>
      <c r="AC714" s="19" t="str">
        <f>IF($B714="","",IFERROR(INDEX(Config!$D$9:$D$29,MATCH($B714,Config!$B$9:$B$29,0))&amp;"",""))</f>
        <v/>
      </c>
    </row>
    <row r="715">
      <c r="R715" s="20" t="str">
        <f>IF($B715="","",IFERROR(IF(INDEX(Config!$D$9:$D$29,MATCH($B715,Config!$B$9:$B$29,0))="Contrato",IF(INDEX(Config!$E$9:$E$29,MATCH($B715,Config!$B$9:$B$29,0))="","",INDEX(Config!$E$9:$E$29,MATCH($B715,Config!$B$9:$B$29,0))),""),""))</f>
        <v/>
      </c>
      <c r="AC715" s="19" t="str">
        <f>IF($B715="","",IFERROR(INDEX(Config!$D$9:$D$29,MATCH($B715,Config!$B$9:$B$29,0))&amp;"",""))</f>
        <v/>
      </c>
    </row>
    <row r="716">
      <c r="R716" s="20" t="str">
        <f>IF($B716="","",IFERROR(IF(INDEX(Config!$D$9:$D$29,MATCH($B716,Config!$B$9:$B$29,0))="Contrato",IF(INDEX(Config!$E$9:$E$29,MATCH($B716,Config!$B$9:$B$29,0))="","",INDEX(Config!$E$9:$E$29,MATCH($B716,Config!$B$9:$B$29,0))),""),""))</f>
        <v/>
      </c>
      <c r="AC716" s="19" t="str">
        <f>IF($B716="","",IFERROR(INDEX(Config!$D$9:$D$29,MATCH($B716,Config!$B$9:$B$29,0))&amp;"",""))</f>
        <v/>
      </c>
    </row>
    <row r="717">
      <c r="R717" s="20" t="str">
        <f>IF($B717="","",IFERROR(IF(INDEX(Config!$D$9:$D$29,MATCH($B717,Config!$B$9:$B$29,0))="Contrato",IF(INDEX(Config!$E$9:$E$29,MATCH($B717,Config!$B$9:$B$29,0))="","",INDEX(Config!$E$9:$E$29,MATCH($B717,Config!$B$9:$B$29,0))),""),""))</f>
        <v/>
      </c>
      <c r="AC717" s="19" t="str">
        <f>IF($B717="","",IFERROR(INDEX(Config!$D$9:$D$29,MATCH($B717,Config!$B$9:$B$29,0))&amp;"",""))</f>
        <v/>
      </c>
    </row>
    <row r="718">
      <c r="R718" s="20" t="str">
        <f>IF($B718="","",IFERROR(IF(INDEX(Config!$D$9:$D$29,MATCH($B718,Config!$B$9:$B$29,0))="Contrato",IF(INDEX(Config!$E$9:$E$29,MATCH($B718,Config!$B$9:$B$29,0))="","",INDEX(Config!$E$9:$E$29,MATCH($B718,Config!$B$9:$B$29,0))),""),""))</f>
        <v/>
      </c>
      <c r="AC718" s="19" t="str">
        <f>IF($B718="","",IFERROR(INDEX(Config!$D$9:$D$29,MATCH($B718,Config!$B$9:$B$29,0))&amp;"",""))</f>
        <v/>
      </c>
    </row>
    <row r="719">
      <c r="R719" s="20" t="str">
        <f>IF($B719="","",IFERROR(IF(INDEX(Config!$D$9:$D$29,MATCH($B719,Config!$B$9:$B$29,0))="Contrato",IF(INDEX(Config!$E$9:$E$29,MATCH($B719,Config!$B$9:$B$29,0))="","",INDEX(Config!$E$9:$E$29,MATCH($B719,Config!$B$9:$B$29,0))),""),""))</f>
        <v/>
      </c>
      <c r="AC719" s="19" t="str">
        <f>IF($B719="","",IFERROR(INDEX(Config!$D$9:$D$29,MATCH($B719,Config!$B$9:$B$29,0))&amp;"",""))</f>
        <v/>
      </c>
    </row>
    <row r="720">
      <c r="R720" s="20" t="str">
        <f>IF($B720="","",IFERROR(IF(INDEX(Config!$D$9:$D$29,MATCH($B720,Config!$B$9:$B$29,0))="Contrato",IF(INDEX(Config!$E$9:$E$29,MATCH($B720,Config!$B$9:$B$29,0))="","",INDEX(Config!$E$9:$E$29,MATCH($B720,Config!$B$9:$B$29,0))),""),""))</f>
        <v/>
      </c>
      <c r="AC720" s="19" t="str">
        <f>IF($B720="","",IFERROR(INDEX(Config!$D$9:$D$29,MATCH($B720,Config!$B$9:$B$29,0))&amp;"",""))</f>
        <v/>
      </c>
    </row>
    <row r="721">
      <c r="R721" s="20" t="str">
        <f>IF($B721="","",IFERROR(IF(INDEX(Config!$D$9:$D$29,MATCH($B721,Config!$B$9:$B$29,0))="Contrato",IF(INDEX(Config!$E$9:$E$29,MATCH($B721,Config!$B$9:$B$29,0))="","",INDEX(Config!$E$9:$E$29,MATCH($B721,Config!$B$9:$B$29,0))),""),""))</f>
        <v/>
      </c>
      <c r="AC721" s="19" t="str">
        <f>IF($B721="","",IFERROR(INDEX(Config!$D$9:$D$29,MATCH($B721,Config!$B$9:$B$29,0))&amp;"",""))</f>
        <v/>
      </c>
    </row>
    <row r="722">
      <c r="R722" s="20" t="str">
        <f>IF($B722="","",IFERROR(IF(INDEX(Config!$D$9:$D$29,MATCH($B722,Config!$B$9:$B$29,0))="Contrato",IF(INDEX(Config!$E$9:$E$29,MATCH($B722,Config!$B$9:$B$29,0))="","",INDEX(Config!$E$9:$E$29,MATCH($B722,Config!$B$9:$B$29,0))),""),""))</f>
        <v/>
      </c>
      <c r="AC722" s="19" t="str">
        <f>IF($B722="","",IFERROR(INDEX(Config!$D$9:$D$29,MATCH($B722,Config!$B$9:$B$29,0))&amp;"",""))</f>
        <v/>
      </c>
    </row>
    <row r="723">
      <c r="R723" s="20" t="str">
        <f>IF($B723="","",IFERROR(IF(INDEX(Config!$D$9:$D$29,MATCH($B723,Config!$B$9:$B$29,0))="Contrato",IF(INDEX(Config!$E$9:$E$29,MATCH($B723,Config!$B$9:$B$29,0))="","",INDEX(Config!$E$9:$E$29,MATCH($B723,Config!$B$9:$B$29,0))),""),""))</f>
        <v/>
      </c>
      <c r="AC723" s="19" t="str">
        <f>IF($B723="","",IFERROR(INDEX(Config!$D$9:$D$29,MATCH($B723,Config!$B$9:$B$29,0))&amp;"",""))</f>
        <v/>
      </c>
    </row>
    <row r="724">
      <c r="R724" s="20" t="str">
        <f>IF($B724="","",IFERROR(IF(INDEX(Config!$D$9:$D$29,MATCH($B724,Config!$B$9:$B$29,0))="Contrato",IF(INDEX(Config!$E$9:$E$29,MATCH($B724,Config!$B$9:$B$29,0))="","",INDEX(Config!$E$9:$E$29,MATCH($B724,Config!$B$9:$B$29,0))),""),""))</f>
        <v/>
      </c>
      <c r="AC724" s="19" t="str">
        <f>IF($B724="","",IFERROR(INDEX(Config!$D$9:$D$29,MATCH($B724,Config!$B$9:$B$29,0))&amp;"",""))</f>
        <v/>
      </c>
    </row>
    <row r="725">
      <c r="R725" s="20" t="str">
        <f>IF($B725="","",IFERROR(IF(INDEX(Config!$D$9:$D$29,MATCH($B725,Config!$B$9:$B$29,0))="Contrato",IF(INDEX(Config!$E$9:$E$29,MATCH($B725,Config!$B$9:$B$29,0))="","",INDEX(Config!$E$9:$E$29,MATCH($B725,Config!$B$9:$B$29,0))),""),""))</f>
        <v/>
      </c>
      <c r="AC725" s="19" t="str">
        <f>IF($B725="","",IFERROR(INDEX(Config!$D$9:$D$29,MATCH($B725,Config!$B$9:$B$29,0))&amp;"",""))</f>
        <v/>
      </c>
    </row>
    <row r="726">
      <c r="R726" s="20" t="str">
        <f>IF($B726="","",IFERROR(IF(INDEX(Config!$D$9:$D$29,MATCH($B726,Config!$B$9:$B$29,0))="Contrato",IF(INDEX(Config!$E$9:$E$29,MATCH($B726,Config!$B$9:$B$29,0))="","",INDEX(Config!$E$9:$E$29,MATCH($B726,Config!$B$9:$B$29,0))),""),""))</f>
        <v/>
      </c>
      <c r="AC726" s="19" t="str">
        <f>IF($B726="","",IFERROR(INDEX(Config!$D$9:$D$29,MATCH($B726,Config!$B$9:$B$29,0))&amp;"",""))</f>
        <v/>
      </c>
    </row>
    <row r="727">
      <c r="R727" s="20" t="str">
        <f>IF($B727="","",IFERROR(IF(INDEX(Config!$D$9:$D$29,MATCH($B727,Config!$B$9:$B$29,0))="Contrato",IF(INDEX(Config!$E$9:$E$29,MATCH($B727,Config!$B$9:$B$29,0))="","",INDEX(Config!$E$9:$E$29,MATCH($B727,Config!$B$9:$B$29,0))),""),""))</f>
        <v/>
      </c>
      <c r="AC727" s="19" t="str">
        <f>IF($B727="","",IFERROR(INDEX(Config!$D$9:$D$29,MATCH($B727,Config!$B$9:$B$29,0))&amp;"",""))</f>
        <v/>
      </c>
    </row>
    <row r="728">
      <c r="R728" s="20" t="str">
        <f>IF($B728="","",IFERROR(IF(INDEX(Config!$D$9:$D$29,MATCH($B728,Config!$B$9:$B$29,0))="Contrato",IF(INDEX(Config!$E$9:$E$29,MATCH($B728,Config!$B$9:$B$29,0))="","",INDEX(Config!$E$9:$E$29,MATCH($B728,Config!$B$9:$B$29,0))),""),""))</f>
        <v/>
      </c>
      <c r="AC728" s="19" t="str">
        <f>IF($B728="","",IFERROR(INDEX(Config!$D$9:$D$29,MATCH($B728,Config!$B$9:$B$29,0))&amp;"",""))</f>
        <v/>
      </c>
    </row>
    <row r="729">
      <c r="R729" s="20" t="str">
        <f>IF($B729="","",IFERROR(IF(INDEX(Config!$D$9:$D$29,MATCH($B729,Config!$B$9:$B$29,0))="Contrato",IF(INDEX(Config!$E$9:$E$29,MATCH($B729,Config!$B$9:$B$29,0))="","",INDEX(Config!$E$9:$E$29,MATCH($B729,Config!$B$9:$B$29,0))),""),""))</f>
        <v/>
      </c>
      <c r="AC729" s="19" t="str">
        <f>IF($B729="","",IFERROR(INDEX(Config!$D$9:$D$29,MATCH($B729,Config!$B$9:$B$29,0))&amp;"",""))</f>
        <v/>
      </c>
    </row>
    <row r="730">
      <c r="R730" s="20" t="str">
        <f>IF($B730="","",IFERROR(IF(INDEX(Config!$D$9:$D$29,MATCH($B730,Config!$B$9:$B$29,0))="Contrato",IF(INDEX(Config!$E$9:$E$29,MATCH($B730,Config!$B$9:$B$29,0))="","",INDEX(Config!$E$9:$E$29,MATCH($B730,Config!$B$9:$B$29,0))),""),""))</f>
        <v/>
      </c>
      <c r="AC730" s="19" t="str">
        <f>IF($B730="","",IFERROR(INDEX(Config!$D$9:$D$29,MATCH($B730,Config!$B$9:$B$29,0))&amp;"",""))</f>
        <v/>
      </c>
    </row>
    <row r="731">
      <c r="R731" s="20" t="str">
        <f>IF($B731="","",IFERROR(IF(INDEX(Config!$D$9:$D$29,MATCH($B731,Config!$B$9:$B$29,0))="Contrato",IF(INDEX(Config!$E$9:$E$29,MATCH($B731,Config!$B$9:$B$29,0))="","",INDEX(Config!$E$9:$E$29,MATCH($B731,Config!$B$9:$B$29,0))),""),""))</f>
        <v/>
      </c>
      <c r="AC731" s="19" t="str">
        <f>IF($B731="","",IFERROR(INDEX(Config!$D$9:$D$29,MATCH($B731,Config!$B$9:$B$29,0))&amp;"",""))</f>
        <v/>
      </c>
    </row>
    <row r="732">
      <c r="R732" s="20" t="str">
        <f>IF($B732="","",IFERROR(IF(INDEX(Config!$D$9:$D$29,MATCH($B732,Config!$B$9:$B$29,0))="Contrato",IF(INDEX(Config!$E$9:$E$29,MATCH($B732,Config!$B$9:$B$29,0))="","",INDEX(Config!$E$9:$E$29,MATCH($B732,Config!$B$9:$B$29,0))),""),""))</f>
        <v/>
      </c>
      <c r="AC732" s="19" t="str">
        <f>IF($B732="","",IFERROR(INDEX(Config!$D$9:$D$29,MATCH($B732,Config!$B$9:$B$29,0))&amp;"",""))</f>
        <v/>
      </c>
    </row>
    <row r="733">
      <c r="R733" s="20" t="str">
        <f>IF($B733="","",IFERROR(IF(INDEX(Config!$D$9:$D$29,MATCH($B733,Config!$B$9:$B$29,0))="Contrato",IF(INDEX(Config!$E$9:$E$29,MATCH($B733,Config!$B$9:$B$29,0))="","",INDEX(Config!$E$9:$E$29,MATCH($B733,Config!$B$9:$B$29,0))),""),""))</f>
        <v/>
      </c>
      <c r="AC733" s="19" t="str">
        <f>IF($B733="","",IFERROR(INDEX(Config!$D$9:$D$29,MATCH($B733,Config!$B$9:$B$29,0))&amp;"",""))</f>
        <v/>
      </c>
    </row>
    <row r="734">
      <c r="R734" s="20" t="str">
        <f>IF($B734="","",IFERROR(IF(INDEX(Config!$D$9:$D$29,MATCH($B734,Config!$B$9:$B$29,0))="Contrato",IF(INDEX(Config!$E$9:$E$29,MATCH($B734,Config!$B$9:$B$29,0))="","",INDEX(Config!$E$9:$E$29,MATCH($B734,Config!$B$9:$B$29,0))),""),""))</f>
        <v/>
      </c>
      <c r="AC734" s="19" t="str">
        <f>IF($B734="","",IFERROR(INDEX(Config!$D$9:$D$29,MATCH($B734,Config!$B$9:$B$29,0))&amp;"",""))</f>
        <v/>
      </c>
    </row>
    <row r="735">
      <c r="R735" s="20" t="str">
        <f>IF($B735="","",IFERROR(IF(INDEX(Config!$D$9:$D$29,MATCH($B735,Config!$B$9:$B$29,0))="Contrato",IF(INDEX(Config!$E$9:$E$29,MATCH($B735,Config!$B$9:$B$29,0))="","",INDEX(Config!$E$9:$E$29,MATCH($B735,Config!$B$9:$B$29,0))),""),""))</f>
        <v/>
      </c>
      <c r="AC735" s="19" t="str">
        <f>IF($B735="","",IFERROR(INDEX(Config!$D$9:$D$29,MATCH($B735,Config!$B$9:$B$29,0))&amp;"",""))</f>
        <v/>
      </c>
    </row>
    <row r="736">
      <c r="R736" s="20" t="str">
        <f>IF($B736="","",IFERROR(IF(INDEX(Config!$D$9:$D$29,MATCH($B736,Config!$B$9:$B$29,0))="Contrato",IF(INDEX(Config!$E$9:$E$29,MATCH($B736,Config!$B$9:$B$29,0))="","",INDEX(Config!$E$9:$E$29,MATCH($B736,Config!$B$9:$B$29,0))),""),""))</f>
        <v/>
      </c>
      <c r="AC736" s="19" t="str">
        <f>IF($B736="","",IFERROR(INDEX(Config!$D$9:$D$29,MATCH($B736,Config!$B$9:$B$29,0))&amp;"",""))</f>
        <v/>
      </c>
    </row>
    <row r="737">
      <c r="R737" s="20" t="str">
        <f>IF($B737="","",IFERROR(IF(INDEX(Config!$D$9:$D$29,MATCH($B737,Config!$B$9:$B$29,0))="Contrato",IF(INDEX(Config!$E$9:$E$29,MATCH($B737,Config!$B$9:$B$29,0))="","",INDEX(Config!$E$9:$E$29,MATCH($B737,Config!$B$9:$B$29,0))),""),""))</f>
        <v/>
      </c>
      <c r="AC737" s="19" t="str">
        <f>IF($B737="","",IFERROR(INDEX(Config!$D$9:$D$29,MATCH($B737,Config!$B$9:$B$29,0))&amp;"",""))</f>
        <v/>
      </c>
    </row>
    <row r="738">
      <c r="R738" s="20" t="str">
        <f>IF($B738="","",IFERROR(IF(INDEX(Config!$D$9:$D$29,MATCH($B738,Config!$B$9:$B$29,0))="Contrato",IF(INDEX(Config!$E$9:$E$29,MATCH($B738,Config!$B$9:$B$29,0))="","",INDEX(Config!$E$9:$E$29,MATCH($B738,Config!$B$9:$B$29,0))),""),""))</f>
        <v/>
      </c>
      <c r="AC738" s="19" t="str">
        <f>IF($B738="","",IFERROR(INDEX(Config!$D$9:$D$29,MATCH($B738,Config!$B$9:$B$29,0))&amp;"",""))</f>
        <v/>
      </c>
    </row>
    <row r="739">
      <c r="R739" s="20" t="str">
        <f>IF($B739="","",IFERROR(IF(INDEX(Config!$D$9:$D$29,MATCH($B739,Config!$B$9:$B$29,0))="Contrato",IF(INDEX(Config!$E$9:$E$29,MATCH($B739,Config!$B$9:$B$29,0))="","",INDEX(Config!$E$9:$E$29,MATCH($B739,Config!$B$9:$B$29,0))),""),""))</f>
        <v/>
      </c>
      <c r="AC739" s="19" t="str">
        <f>IF($B739="","",IFERROR(INDEX(Config!$D$9:$D$29,MATCH($B739,Config!$B$9:$B$29,0))&amp;"",""))</f>
        <v/>
      </c>
    </row>
    <row r="740">
      <c r="R740" s="20" t="str">
        <f>IF($B740="","",IFERROR(IF(INDEX(Config!$D$9:$D$29,MATCH($B740,Config!$B$9:$B$29,0))="Contrato",IF(INDEX(Config!$E$9:$E$29,MATCH($B740,Config!$B$9:$B$29,0))="","",INDEX(Config!$E$9:$E$29,MATCH($B740,Config!$B$9:$B$29,0))),""),""))</f>
        <v/>
      </c>
      <c r="AC740" s="19" t="str">
        <f>IF($B740="","",IFERROR(INDEX(Config!$D$9:$D$29,MATCH($B740,Config!$B$9:$B$29,0))&amp;"",""))</f>
        <v/>
      </c>
    </row>
    <row r="741">
      <c r="R741" s="20" t="str">
        <f>IF($B741="","",IFERROR(IF(INDEX(Config!$D$9:$D$29,MATCH($B741,Config!$B$9:$B$29,0))="Contrato",IF(INDEX(Config!$E$9:$E$29,MATCH($B741,Config!$B$9:$B$29,0))="","",INDEX(Config!$E$9:$E$29,MATCH($B741,Config!$B$9:$B$29,0))),""),""))</f>
        <v/>
      </c>
      <c r="AC741" s="19" t="str">
        <f>IF($B741="","",IFERROR(INDEX(Config!$D$9:$D$29,MATCH($B741,Config!$B$9:$B$29,0))&amp;"",""))</f>
        <v/>
      </c>
    </row>
    <row r="742">
      <c r="R742" s="20" t="str">
        <f>IF($B742="","",IFERROR(IF(INDEX(Config!$D$9:$D$29,MATCH($B742,Config!$B$9:$B$29,0))="Contrato",IF(INDEX(Config!$E$9:$E$29,MATCH($B742,Config!$B$9:$B$29,0))="","",INDEX(Config!$E$9:$E$29,MATCH($B742,Config!$B$9:$B$29,0))),""),""))</f>
        <v/>
      </c>
      <c r="AC742" s="19" t="str">
        <f>IF($B742="","",IFERROR(INDEX(Config!$D$9:$D$29,MATCH($B742,Config!$B$9:$B$29,0))&amp;"",""))</f>
        <v/>
      </c>
    </row>
    <row r="743">
      <c r="R743" s="20" t="str">
        <f>IF($B743="","",IFERROR(IF(INDEX(Config!$D$9:$D$29,MATCH($B743,Config!$B$9:$B$29,0))="Contrato",IF(INDEX(Config!$E$9:$E$29,MATCH($B743,Config!$B$9:$B$29,0))="","",INDEX(Config!$E$9:$E$29,MATCH($B743,Config!$B$9:$B$29,0))),""),""))</f>
        <v/>
      </c>
      <c r="AC743" s="19" t="str">
        <f>IF($B743="","",IFERROR(INDEX(Config!$D$9:$D$29,MATCH($B743,Config!$B$9:$B$29,0))&amp;"",""))</f>
        <v/>
      </c>
    </row>
    <row r="744">
      <c r="R744" s="20" t="str">
        <f>IF($B744="","",IFERROR(IF(INDEX(Config!$D$9:$D$29,MATCH($B744,Config!$B$9:$B$29,0))="Contrato",IF(INDEX(Config!$E$9:$E$29,MATCH($B744,Config!$B$9:$B$29,0))="","",INDEX(Config!$E$9:$E$29,MATCH($B744,Config!$B$9:$B$29,0))),""),""))</f>
        <v/>
      </c>
      <c r="AC744" s="19" t="str">
        <f>IF($B744="","",IFERROR(INDEX(Config!$D$9:$D$29,MATCH($B744,Config!$B$9:$B$29,0))&amp;"",""))</f>
        <v/>
      </c>
    </row>
    <row r="745">
      <c r="R745" s="20" t="str">
        <f>IF($B745="","",IFERROR(IF(INDEX(Config!$D$9:$D$29,MATCH($B745,Config!$B$9:$B$29,0))="Contrato",IF(INDEX(Config!$E$9:$E$29,MATCH($B745,Config!$B$9:$B$29,0))="","",INDEX(Config!$E$9:$E$29,MATCH($B745,Config!$B$9:$B$29,0))),""),""))</f>
        <v/>
      </c>
      <c r="AC745" s="19" t="str">
        <f>IF($B745="","",IFERROR(INDEX(Config!$D$9:$D$29,MATCH($B745,Config!$B$9:$B$29,0))&amp;"",""))</f>
        <v/>
      </c>
    </row>
    <row r="746">
      <c r="R746" s="20" t="str">
        <f>IF($B746="","",IFERROR(IF(INDEX(Config!$D$9:$D$29,MATCH($B746,Config!$B$9:$B$29,0))="Contrato",IF(INDEX(Config!$E$9:$E$29,MATCH($B746,Config!$B$9:$B$29,0))="","",INDEX(Config!$E$9:$E$29,MATCH($B746,Config!$B$9:$B$29,0))),""),""))</f>
        <v/>
      </c>
      <c r="AC746" s="19" t="str">
        <f>IF($B746="","",IFERROR(INDEX(Config!$D$9:$D$29,MATCH($B746,Config!$B$9:$B$29,0))&amp;"",""))</f>
        <v/>
      </c>
    </row>
    <row r="747">
      <c r="R747" s="20" t="str">
        <f>IF($B747="","",IFERROR(IF(INDEX(Config!$D$9:$D$29,MATCH($B747,Config!$B$9:$B$29,0))="Contrato",IF(INDEX(Config!$E$9:$E$29,MATCH($B747,Config!$B$9:$B$29,0))="","",INDEX(Config!$E$9:$E$29,MATCH($B747,Config!$B$9:$B$29,0))),""),""))</f>
        <v/>
      </c>
      <c r="AC747" s="19" t="str">
        <f>IF($B747="","",IFERROR(INDEX(Config!$D$9:$D$29,MATCH($B747,Config!$B$9:$B$29,0))&amp;"",""))</f>
        <v/>
      </c>
    </row>
    <row r="748">
      <c r="R748" s="20" t="str">
        <f>IF($B748="","",IFERROR(IF(INDEX(Config!$D$9:$D$29,MATCH($B748,Config!$B$9:$B$29,0))="Contrato",IF(INDEX(Config!$E$9:$E$29,MATCH($B748,Config!$B$9:$B$29,0))="","",INDEX(Config!$E$9:$E$29,MATCH($B748,Config!$B$9:$B$29,0))),""),""))</f>
        <v/>
      </c>
      <c r="AC748" s="19" t="str">
        <f>IF($B748="","",IFERROR(INDEX(Config!$D$9:$D$29,MATCH($B748,Config!$B$9:$B$29,0))&amp;"",""))</f>
        <v/>
      </c>
    </row>
    <row r="749">
      <c r="R749" s="20" t="str">
        <f>IF($B749="","",IFERROR(IF(INDEX(Config!$D$9:$D$29,MATCH($B749,Config!$B$9:$B$29,0))="Contrato",IF(INDEX(Config!$E$9:$E$29,MATCH($B749,Config!$B$9:$B$29,0))="","",INDEX(Config!$E$9:$E$29,MATCH($B749,Config!$B$9:$B$29,0))),""),""))</f>
        <v/>
      </c>
      <c r="AC749" s="19" t="str">
        <f>IF($B749="","",IFERROR(INDEX(Config!$D$9:$D$29,MATCH($B749,Config!$B$9:$B$29,0))&amp;"",""))</f>
        <v/>
      </c>
    </row>
    <row r="750">
      <c r="R750" s="20" t="str">
        <f>IF($B750="","",IFERROR(IF(INDEX(Config!$D$9:$D$29,MATCH($B750,Config!$B$9:$B$29,0))="Contrato",IF(INDEX(Config!$E$9:$E$29,MATCH($B750,Config!$B$9:$B$29,0))="","",INDEX(Config!$E$9:$E$29,MATCH($B750,Config!$B$9:$B$29,0))),""),""))</f>
        <v/>
      </c>
      <c r="AC750" s="19" t="str">
        <f>IF($B750="","",IFERROR(INDEX(Config!$D$9:$D$29,MATCH($B750,Config!$B$9:$B$29,0))&amp;"",""))</f>
        <v/>
      </c>
    </row>
    <row r="751">
      <c r="R751" s="20" t="str">
        <f>IF($B751="","",IFERROR(IF(INDEX(Config!$D$9:$D$29,MATCH($B751,Config!$B$9:$B$29,0))="Contrato",IF(INDEX(Config!$E$9:$E$29,MATCH($B751,Config!$B$9:$B$29,0))="","",INDEX(Config!$E$9:$E$29,MATCH($B751,Config!$B$9:$B$29,0))),""),""))</f>
        <v/>
      </c>
      <c r="AC751" s="19" t="str">
        <f>IF($B751="","",IFERROR(INDEX(Config!$D$9:$D$29,MATCH($B751,Config!$B$9:$B$29,0))&amp;"",""))</f>
        <v/>
      </c>
    </row>
    <row r="752">
      <c r="R752" s="20" t="str">
        <f>IF($B752="","",IFERROR(IF(INDEX(Config!$D$9:$D$29,MATCH($B752,Config!$B$9:$B$29,0))="Contrato",IF(INDEX(Config!$E$9:$E$29,MATCH($B752,Config!$B$9:$B$29,0))="","",INDEX(Config!$E$9:$E$29,MATCH($B752,Config!$B$9:$B$29,0))),""),""))</f>
        <v/>
      </c>
      <c r="AC752" s="19" t="str">
        <f>IF($B752="","",IFERROR(INDEX(Config!$D$9:$D$29,MATCH($B752,Config!$B$9:$B$29,0))&amp;"",""))</f>
        <v/>
      </c>
    </row>
    <row r="753">
      <c r="R753" s="20" t="str">
        <f>IF($B753="","",IFERROR(IF(INDEX(Config!$D$9:$D$29,MATCH($B753,Config!$B$9:$B$29,0))="Contrato",IF(INDEX(Config!$E$9:$E$29,MATCH($B753,Config!$B$9:$B$29,0))="","",INDEX(Config!$E$9:$E$29,MATCH($B753,Config!$B$9:$B$29,0))),""),""))</f>
        <v/>
      </c>
      <c r="AC753" s="19" t="str">
        <f>IF($B753="","",IFERROR(INDEX(Config!$D$9:$D$29,MATCH($B753,Config!$B$9:$B$29,0))&amp;"",""))</f>
        <v/>
      </c>
    </row>
    <row r="754">
      <c r="R754" s="20" t="str">
        <f>IF($B754="","",IFERROR(IF(INDEX(Config!$D$9:$D$29,MATCH($B754,Config!$B$9:$B$29,0))="Contrato",IF(INDEX(Config!$E$9:$E$29,MATCH($B754,Config!$B$9:$B$29,0))="","",INDEX(Config!$E$9:$E$29,MATCH($B754,Config!$B$9:$B$29,0))),""),""))</f>
        <v/>
      </c>
      <c r="AC754" s="19" t="str">
        <f>IF($B754="","",IFERROR(INDEX(Config!$D$9:$D$29,MATCH($B754,Config!$B$9:$B$29,0))&amp;"",""))</f>
        <v/>
      </c>
    </row>
    <row r="755">
      <c r="R755" s="20" t="str">
        <f>IF($B755="","",IFERROR(IF(INDEX(Config!$D$9:$D$29,MATCH($B755,Config!$B$9:$B$29,0))="Contrato",IF(INDEX(Config!$E$9:$E$29,MATCH($B755,Config!$B$9:$B$29,0))="","",INDEX(Config!$E$9:$E$29,MATCH($B755,Config!$B$9:$B$29,0))),""),""))</f>
        <v/>
      </c>
      <c r="AC755" s="19" t="str">
        <f>IF($B755="","",IFERROR(INDEX(Config!$D$9:$D$29,MATCH($B755,Config!$B$9:$B$29,0))&amp;"",""))</f>
        <v/>
      </c>
    </row>
    <row r="756">
      <c r="R756" s="20" t="str">
        <f>IF($B756="","",IFERROR(IF(INDEX(Config!$D$9:$D$29,MATCH($B756,Config!$B$9:$B$29,0))="Contrato",IF(INDEX(Config!$E$9:$E$29,MATCH($B756,Config!$B$9:$B$29,0))="","",INDEX(Config!$E$9:$E$29,MATCH($B756,Config!$B$9:$B$29,0))),""),""))</f>
        <v/>
      </c>
      <c r="AC756" s="19" t="str">
        <f>IF($B756="","",IFERROR(INDEX(Config!$D$9:$D$29,MATCH($B756,Config!$B$9:$B$29,0))&amp;"",""))</f>
        <v/>
      </c>
    </row>
    <row r="757">
      <c r="R757" s="20" t="str">
        <f>IF($B757="","",IFERROR(IF(INDEX(Config!$D$9:$D$29,MATCH($B757,Config!$B$9:$B$29,0))="Contrato",IF(INDEX(Config!$E$9:$E$29,MATCH($B757,Config!$B$9:$B$29,0))="","",INDEX(Config!$E$9:$E$29,MATCH($B757,Config!$B$9:$B$29,0))),""),""))</f>
        <v/>
      </c>
      <c r="AC757" s="19" t="str">
        <f>IF($B757="","",IFERROR(INDEX(Config!$D$9:$D$29,MATCH($B757,Config!$B$9:$B$29,0))&amp;"",""))</f>
        <v/>
      </c>
    </row>
    <row r="758">
      <c r="R758" s="20" t="str">
        <f>IF($B758="","",IFERROR(IF(INDEX(Config!$D$9:$D$29,MATCH($B758,Config!$B$9:$B$29,0))="Contrato",IF(INDEX(Config!$E$9:$E$29,MATCH($B758,Config!$B$9:$B$29,0))="","",INDEX(Config!$E$9:$E$29,MATCH($B758,Config!$B$9:$B$29,0))),""),""))</f>
        <v/>
      </c>
      <c r="AC758" s="19" t="str">
        <f>IF($B758="","",IFERROR(INDEX(Config!$D$9:$D$29,MATCH($B758,Config!$B$9:$B$29,0))&amp;"",""))</f>
        <v/>
      </c>
    </row>
    <row r="759">
      <c r="R759" s="20" t="str">
        <f>IF($B759="","",IFERROR(IF(INDEX(Config!$D$9:$D$29,MATCH($B759,Config!$B$9:$B$29,0))="Contrato",IF(INDEX(Config!$E$9:$E$29,MATCH($B759,Config!$B$9:$B$29,0))="","",INDEX(Config!$E$9:$E$29,MATCH($B759,Config!$B$9:$B$29,0))),""),""))</f>
        <v/>
      </c>
      <c r="AC759" s="19" t="str">
        <f>IF($B759="","",IFERROR(INDEX(Config!$D$9:$D$29,MATCH($B759,Config!$B$9:$B$29,0))&amp;"",""))</f>
        <v/>
      </c>
    </row>
    <row r="760">
      <c r="R760" s="20" t="str">
        <f>IF($B760="","",IFERROR(IF(INDEX(Config!$D$9:$D$29,MATCH($B760,Config!$B$9:$B$29,0))="Contrato",IF(INDEX(Config!$E$9:$E$29,MATCH($B760,Config!$B$9:$B$29,0))="","",INDEX(Config!$E$9:$E$29,MATCH($B760,Config!$B$9:$B$29,0))),""),""))</f>
        <v/>
      </c>
      <c r="AC760" s="19" t="str">
        <f>IF($B760="","",IFERROR(INDEX(Config!$D$9:$D$29,MATCH($B760,Config!$B$9:$B$29,0))&amp;"",""))</f>
        <v/>
      </c>
    </row>
    <row r="761">
      <c r="R761" s="20" t="str">
        <f>IF($B761="","",IFERROR(IF(INDEX(Config!$D$9:$D$29,MATCH($B761,Config!$B$9:$B$29,0))="Contrato",IF(INDEX(Config!$E$9:$E$29,MATCH($B761,Config!$B$9:$B$29,0))="","",INDEX(Config!$E$9:$E$29,MATCH($B761,Config!$B$9:$B$29,0))),""),""))</f>
        <v/>
      </c>
      <c r="AC761" s="19" t="str">
        <f>IF($B761="","",IFERROR(INDEX(Config!$D$9:$D$29,MATCH($B761,Config!$B$9:$B$29,0))&amp;"",""))</f>
        <v/>
      </c>
    </row>
    <row r="762">
      <c r="R762" s="20" t="str">
        <f>IF($B762="","",IFERROR(IF(INDEX(Config!$D$9:$D$29,MATCH($B762,Config!$B$9:$B$29,0))="Contrato",IF(INDEX(Config!$E$9:$E$29,MATCH($B762,Config!$B$9:$B$29,0))="","",INDEX(Config!$E$9:$E$29,MATCH($B762,Config!$B$9:$B$29,0))),""),""))</f>
        <v/>
      </c>
      <c r="AC762" s="19" t="str">
        <f>IF($B762="","",IFERROR(INDEX(Config!$D$9:$D$29,MATCH($B762,Config!$B$9:$B$29,0))&amp;"",""))</f>
        <v/>
      </c>
    </row>
    <row r="763">
      <c r="R763" s="20" t="str">
        <f>IF($B763="","",IFERROR(IF(INDEX(Config!$D$9:$D$29,MATCH($B763,Config!$B$9:$B$29,0))="Contrato",IF(INDEX(Config!$E$9:$E$29,MATCH($B763,Config!$B$9:$B$29,0))="","",INDEX(Config!$E$9:$E$29,MATCH($B763,Config!$B$9:$B$29,0))),""),""))</f>
        <v/>
      </c>
      <c r="AC763" s="19" t="str">
        <f>IF($B763="","",IFERROR(INDEX(Config!$D$9:$D$29,MATCH($B763,Config!$B$9:$B$29,0))&amp;"",""))</f>
        <v/>
      </c>
    </row>
    <row r="764">
      <c r="R764" s="20" t="str">
        <f>IF($B764="","",IFERROR(IF(INDEX(Config!$D$9:$D$29,MATCH($B764,Config!$B$9:$B$29,0))="Contrato",IF(INDEX(Config!$E$9:$E$29,MATCH($B764,Config!$B$9:$B$29,0))="","",INDEX(Config!$E$9:$E$29,MATCH($B764,Config!$B$9:$B$29,0))),""),""))</f>
        <v/>
      </c>
      <c r="AC764" s="19" t="str">
        <f>IF($B764="","",IFERROR(INDEX(Config!$D$9:$D$29,MATCH($B764,Config!$B$9:$B$29,0))&amp;"",""))</f>
        <v/>
      </c>
    </row>
    <row r="765">
      <c r="R765" s="20" t="str">
        <f>IF($B765="","",IFERROR(IF(INDEX(Config!$D$9:$D$29,MATCH($B765,Config!$B$9:$B$29,0))="Contrato",IF(INDEX(Config!$E$9:$E$29,MATCH($B765,Config!$B$9:$B$29,0))="","",INDEX(Config!$E$9:$E$29,MATCH($B765,Config!$B$9:$B$29,0))),""),""))</f>
        <v/>
      </c>
      <c r="AC765" s="19" t="str">
        <f>IF($B765="","",IFERROR(INDEX(Config!$D$9:$D$29,MATCH($B765,Config!$B$9:$B$29,0))&amp;"",""))</f>
        <v/>
      </c>
    </row>
    <row r="766">
      <c r="R766" s="20" t="str">
        <f>IF($B766="","",IFERROR(IF(INDEX(Config!$D$9:$D$29,MATCH($B766,Config!$B$9:$B$29,0))="Contrato",IF(INDEX(Config!$E$9:$E$29,MATCH($B766,Config!$B$9:$B$29,0))="","",INDEX(Config!$E$9:$E$29,MATCH($B766,Config!$B$9:$B$29,0))),""),""))</f>
        <v/>
      </c>
      <c r="AC766" s="19" t="str">
        <f>IF($B766="","",IFERROR(INDEX(Config!$D$9:$D$29,MATCH($B766,Config!$B$9:$B$29,0))&amp;"",""))</f>
        <v/>
      </c>
    </row>
    <row r="767">
      <c r="R767" s="20" t="str">
        <f>IF($B767="","",IFERROR(IF(INDEX(Config!$D$9:$D$29,MATCH($B767,Config!$B$9:$B$29,0))="Contrato",IF(INDEX(Config!$E$9:$E$29,MATCH($B767,Config!$B$9:$B$29,0))="","",INDEX(Config!$E$9:$E$29,MATCH($B767,Config!$B$9:$B$29,0))),""),""))</f>
        <v/>
      </c>
      <c r="AC767" s="19" t="str">
        <f>IF($B767="","",IFERROR(INDEX(Config!$D$9:$D$29,MATCH($B767,Config!$B$9:$B$29,0))&amp;"",""))</f>
        <v/>
      </c>
    </row>
    <row r="768">
      <c r="R768" s="20" t="str">
        <f>IF($B768="","",IFERROR(IF(INDEX(Config!$D$9:$D$29,MATCH($B768,Config!$B$9:$B$29,0))="Contrato",IF(INDEX(Config!$E$9:$E$29,MATCH($B768,Config!$B$9:$B$29,0))="","",INDEX(Config!$E$9:$E$29,MATCH($B768,Config!$B$9:$B$29,0))),""),""))</f>
        <v/>
      </c>
      <c r="AC768" s="19" t="str">
        <f>IF($B768="","",IFERROR(INDEX(Config!$D$9:$D$29,MATCH($B768,Config!$B$9:$B$29,0))&amp;"",""))</f>
        <v/>
      </c>
    </row>
    <row r="769">
      <c r="R769" s="20" t="str">
        <f>IF($B769="","",IFERROR(IF(INDEX(Config!$D$9:$D$29,MATCH($B769,Config!$B$9:$B$29,0))="Contrato",IF(INDEX(Config!$E$9:$E$29,MATCH($B769,Config!$B$9:$B$29,0))="","",INDEX(Config!$E$9:$E$29,MATCH($B769,Config!$B$9:$B$29,0))),""),""))</f>
        <v/>
      </c>
      <c r="AC769" s="19" t="str">
        <f>IF($B769="","",IFERROR(INDEX(Config!$D$9:$D$29,MATCH($B769,Config!$B$9:$B$29,0))&amp;"",""))</f>
        <v/>
      </c>
    </row>
    <row r="770">
      <c r="R770" s="20" t="str">
        <f>IF($B770="","",IFERROR(IF(INDEX(Config!$D$9:$D$29,MATCH($B770,Config!$B$9:$B$29,0))="Contrato",IF(INDEX(Config!$E$9:$E$29,MATCH($B770,Config!$B$9:$B$29,0))="","",INDEX(Config!$E$9:$E$29,MATCH($B770,Config!$B$9:$B$29,0))),""),""))</f>
        <v/>
      </c>
      <c r="AC770" s="19" t="str">
        <f>IF($B770="","",IFERROR(INDEX(Config!$D$9:$D$29,MATCH($B770,Config!$B$9:$B$29,0))&amp;"",""))</f>
        <v/>
      </c>
    </row>
    <row r="771">
      <c r="R771" s="20" t="str">
        <f>IF($B771="","",IFERROR(IF(INDEX(Config!$D$9:$D$29,MATCH($B771,Config!$B$9:$B$29,0))="Contrato",IF(INDEX(Config!$E$9:$E$29,MATCH($B771,Config!$B$9:$B$29,0))="","",INDEX(Config!$E$9:$E$29,MATCH($B771,Config!$B$9:$B$29,0))),""),""))</f>
        <v/>
      </c>
      <c r="AC771" s="19" t="str">
        <f>IF($B771="","",IFERROR(INDEX(Config!$D$9:$D$29,MATCH($B771,Config!$B$9:$B$29,0))&amp;"",""))</f>
        <v/>
      </c>
    </row>
    <row r="772">
      <c r="R772" s="20" t="str">
        <f>IF($B772="","",IFERROR(IF(INDEX(Config!$D$9:$D$29,MATCH($B772,Config!$B$9:$B$29,0))="Contrato",IF(INDEX(Config!$E$9:$E$29,MATCH($B772,Config!$B$9:$B$29,0))="","",INDEX(Config!$E$9:$E$29,MATCH($B772,Config!$B$9:$B$29,0))),""),""))</f>
        <v/>
      </c>
      <c r="AC772" s="19" t="str">
        <f>IF($B772="","",IFERROR(INDEX(Config!$D$9:$D$29,MATCH($B772,Config!$B$9:$B$29,0))&amp;"",""))</f>
        <v/>
      </c>
    </row>
    <row r="773">
      <c r="R773" s="20" t="str">
        <f>IF($B773="","",IFERROR(IF(INDEX(Config!$D$9:$D$29,MATCH($B773,Config!$B$9:$B$29,0))="Contrato",IF(INDEX(Config!$E$9:$E$29,MATCH($B773,Config!$B$9:$B$29,0))="","",INDEX(Config!$E$9:$E$29,MATCH($B773,Config!$B$9:$B$29,0))),""),""))</f>
        <v/>
      </c>
      <c r="AC773" s="19" t="str">
        <f>IF($B773="","",IFERROR(INDEX(Config!$D$9:$D$29,MATCH($B773,Config!$B$9:$B$29,0))&amp;"",""))</f>
        <v/>
      </c>
    </row>
    <row r="774">
      <c r="R774" s="20" t="str">
        <f>IF($B774="","",IFERROR(IF(INDEX(Config!$D$9:$D$29,MATCH($B774,Config!$B$9:$B$29,0))="Contrato",IF(INDEX(Config!$E$9:$E$29,MATCH($B774,Config!$B$9:$B$29,0))="","",INDEX(Config!$E$9:$E$29,MATCH($B774,Config!$B$9:$B$29,0))),""),""))</f>
        <v/>
      </c>
      <c r="AC774" s="19" t="str">
        <f>IF($B774="","",IFERROR(INDEX(Config!$D$9:$D$29,MATCH($B774,Config!$B$9:$B$29,0))&amp;"",""))</f>
        <v/>
      </c>
    </row>
    <row r="775">
      <c r="R775" s="20" t="str">
        <f>IF($B775="","",IFERROR(IF(INDEX(Config!$D$9:$D$29,MATCH($B775,Config!$B$9:$B$29,0))="Contrato",IF(INDEX(Config!$E$9:$E$29,MATCH($B775,Config!$B$9:$B$29,0))="","",INDEX(Config!$E$9:$E$29,MATCH($B775,Config!$B$9:$B$29,0))),""),""))</f>
        <v/>
      </c>
      <c r="AC775" s="19" t="str">
        <f>IF($B775="","",IFERROR(INDEX(Config!$D$9:$D$29,MATCH($B775,Config!$B$9:$B$29,0))&amp;"",""))</f>
        <v/>
      </c>
    </row>
    <row r="776">
      <c r="R776" s="20" t="str">
        <f>IF($B776="","",IFERROR(IF(INDEX(Config!$D$9:$D$29,MATCH($B776,Config!$B$9:$B$29,0))="Contrato",IF(INDEX(Config!$E$9:$E$29,MATCH($B776,Config!$B$9:$B$29,0))="","",INDEX(Config!$E$9:$E$29,MATCH($B776,Config!$B$9:$B$29,0))),""),""))</f>
        <v/>
      </c>
      <c r="AC776" s="19" t="str">
        <f>IF($B776="","",IFERROR(INDEX(Config!$D$9:$D$29,MATCH($B776,Config!$B$9:$B$29,0))&amp;"",""))</f>
        <v/>
      </c>
    </row>
    <row r="777">
      <c r="R777" s="20" t="str">
        <f>IF($B777="","",IFERROR(IF(INDEX(Config!$D$9:$D$29,MATCH($B777,Config!$B$9:$B$29,0))="Contrato",IF(INDEX(Config!$E$9:$E$29,MATCH($B777,Config!$B$9:$B$29,0))="","",INDEX(Config!$E$9:$E$29,MATCH($B777,Config!$B$9:$B$29,0))),""),""))</f>
        <v/>
      </c>
      <c r="AC777" s="19" t="str">
        <f>IF($B777="","",IFERROR(INDEX(Config!$D$9:$D$29,MATCH($B777,Config!$B$9:$B$29,0))&amp;"",""))</f>
        <v/>
      </c>
    </row>
    <row r="778">
      <c r="R778" s="20" t="str">
        <f>IF($B778="","",IFERROR(IF(INDEX(Config!$D$9:$D$29,MATCH($B778,Config!$B$9:$B$29,0))="Contrato",IF(INDEX(Config!$E$9:$E$29,MATCH($B778,Config!$B$9:$B$29,0))="","",INDEX(Config!$E$9:$E$29,MATCH($B778,Config!$B$9:$B$29,0))),""),""))</f>
        <v/>
      </c>
      <c r="AC778" s="19" t="str">
        <f>IF($B778="","",IFERROR(INDEX(Config!$D$9:$D$29,MATCH($B778,Config!$B$9:$B$29,0))&amp;"",""))</f>
        <v/>
      </c>
    </row>
    <row r="779">
      <c r="R779" s="20" t="str">
        <f>IF($B779="","",IFERROR(IF(INDEX(Config!$D$9:$D$29,MATCH($B779,Config!$B$9:$B$29,0))="Contrato",IF(INDEX(Config!$E$9:$E$29,MATCH($B779,Config!$B$9:$B$29,0))="","",INDEX(Config!$E$9:$E$29,MATCH($B779,Config!$B$9:$B$29,0))),""),""))</f>
        <v/>
      </c>
      <c r="AC779" s="19" t="str">
        <f>IF($B779="","",IFERROR(INDEX(Config!$D$9:$D$29,MATCH($B779,Config!$B$9:$B$29,0))&amp;"",""))</f>
        <v/>
      </c>
    </row>
    <row r="780">
      <c r="R780" s="20" t="str">
        <f>IF($B780="","",IFERROR(IF(INDEX(Config!$D$9:$D$29,MATCH($B780,Config!$B$9:$B$29,0))="Contrato",IF(INDEX(Config!$E$9:$E$29,MATCH($B780,Config!$B$9:$B$29,0))="","",INDEX(Config!$E$9:$E$29,MATCH($B780,Config!$B$9:$B$29,0))),""),""))</f>
        <v/>
      </c>
      <c r="AC780" s="19" t="str">
        <f>IF($B780="","",IFERROR(INDEX(Config!$D$9:$D$29,MATCH($B780,Config!$B$9:$B$29,0))&amp;"",""))</f>
        <v/>
      </c>
    </row>
    <row r="781">
      <c r="R781" s="20" t="str">
        <f>IF($B781="","",IFERROR(IF(INDEX(Config!$D$9:$D$29,MATCH($B781,Config!$B$9:$B$29,0))="Contrato",IF(INDEX(Config!$E$9:$E$29,MATCH($B781,Config!$B$9:$B$29,0))="","",INDEX(Config!$E$9:$E$29,MATCH($B781,Config!$B$9:$B$29,0))),""),""))</f>
        <v/>
      </c>
      <c r="AC781" s="19" t="str">
        <f>IF($B781="","",IFERROR(INDEX(Config!$D$9:$D$29,MATCH($B781,Config!$B$9:$B$29,0))&amp;"",""))</f>
        <v/>
      </c>
    </row>
    <row r="782">
      <c r="R782" s="20" t="str">
        <f>IF($B782="","",IFERROR(IF(INDEX(Config!$D$9:$D$29,MATCH($B782,Config!$B$9:$B$29,0))="Contrato",IF(INDEX(Config!$E$9:$E$29,MATCH($B782,Config!$B$9:$B$29,0))="","",INDEX(Config!$E$9:$E$29,MATCH($B782,Config!$B$9:$B$29,0))),""),""))</f>
        <v/>
      </c>
      <c r="AC782" s="19" t="str">
        <f>IF($B782="","",IFERROR(INDEX(Config!$D$9:$D$29,MATCH($B782,Config!$B$9:$B$29,0))&amp;"",""))</f>
        <v/>
      </c>
    </row>
    <row r="783">
      <c r="R783" s="20" t="str">
        <f>IF($B783="","",IFERROR(IF(INDEX(Config!$D$9:$D$29,MATCH($B783,Config!$B$9:$B$29,0))="Contrato",IF(INDEX(Config!$E$9:$E$29,MATCH($B783,Config!$B$9:$B$29,0))="","",INDEX(Config!$E$9:$E$29,MATCH($B783,Config!$B$9:$B$29,0))),""),""))</f>
        <v/>
      </c>
      <c r="AC783" s="19" t="str">
        <f>IF($B783="","",IFERROR(INDEX(Config!$D$9:$D$29,MATCH($B783,Config!$B$9:$B$29,0))&amp;"",""))</f>
        <v/>
      </c>
    </row>
    <row r="784">
      <c r="R784" s="20" t="str">
        <f>IF($B784="","",IFERROR(IF(INDEX(Config!$D$9:$D$29,MATCH($B784,Config!$B$9:$B$29,0))="Contrato",IF(INDEX(Config!$E$9:$E$29,MATCH($B784,Config!$B$9:$B$29,0))="","",INDEX(Config!$E$9:$E$29,MATCH($B784,Config!$B$9:$B$29,0))),""),""))</f>
        <v/>
      </c>
      <c r="AC784" s="19" t="str">
        <f>IF($B784="","",IFERROR(INDEX(Config!$D$9:$D$29,MATCH($B784,Config!$B$9:$B$29,0))&amp;"",""))</f>
        <v/>
      </c>
    </row>
    <row r="785">
      <c r="R785" s="20" t="str">
        <f>IF($B785="","",IFERROR(IF(INDEX(Config!$D$9:$D$29,MATCH($B785,Config!$B$9:$B$29,0))="Contrato",IF(INDEX(Config!$E$9:$E$29,MATCH($B785,Config!$B$9:$B$29,0))="","",INDEX(Config!$E$9:$E$29,MATCH($B785,Config!$B$9:$B$29,0))),""),""))</f>
        <v/>
      </c>
      <c r="AC785" s="19" t="str">
        <f>IF($B785="","",IFERROR(INDEX(Config!$D$9:$D$29,MATCH($B785,Config!$B$9:$B$29,0))&amp;"",""))</f>
        <v/>
      </c>
    </row>
    <row r="786">
      <c r="R786" s="20" t="str">
        <f>IF($B786="","",IFERROR(IF(INDEX(Config!$D$9:$D$29,MATCH($B786,Config!$B$9:$B$29,0))="Contrato",IF(INDEX(Config!$E$9:$E$29,MATCH($B786,Config!$B$9:$B$29,0))="","",INDEX(Config!$E$9:$E$29,MATCH($B786,Config!$B$9:$B$29,0))),""),""))</f>
        <v/>
      </c>
      <c r="AC786" s="19" t="str">
        <f>IF($B786="","",IFERROR(INDEX(Config!$D$9:$D$29,MATCH($B786,Config!$B$9:$B$29,0))&amp;"",""))</f>
        <v/>
      </c>
    </row>
    <row r="787">
      <c r="R787" s="20" t="str">
        <f>IF($B787="","",IFERROR(IF(INDEX(Config!$D$9:$D$29,MATCH($B787,Config!$B$9:$B$29,0))="Contrato",IF(INDEX(Config!$E$9:$E$29,MATCH($B787,Config!$B$9:$B$29,0))="","",INDEX(Config!$E$9:$E$29,MATCH($B787,Config!$B$9:$B$29,0))),""),""))</f>
        <v/>
      </c>
      <c r="AC787" s="19" t="str">
        <f>IF($B787="","",IFERROR(INDEX(Config!$D$9:$D$29,MATCH($B787,Config!$B$9:$B$29,0))&amp;"",""))</f>
        <v/>
      </c>
    </row>
    <row r="788">
      <c r="R788" s="20" t="str">
        <f>IF($B788="","",IFERROR(IF(INDEX(Config!$D$9:$D$29,MATCH($B788,Config!$B$9:$B$29,0))="Contrato",IF(INDEX(Config!$E$9:$E$29,MATCH($B788,Config!$B$9:$B$29,0))="","",INDEX(Config!$E$9:$E$29,MATCH($B788,Config!$B$9:$B$29,0))),""),""))</f>
        <v/>
      </c>
      <c r="AC788" s="19" t="str">
        <f>IF($B788="","",IFERROR(INDEX(Config!$D$9:$D$29,MATCH($B788,Config!$B$9:$B$29,0))&amp;"",""))</f>
        <v/>
      </c>
    </row>
    <row r="789">
      <c r="R789" s="20" t="str">
        <f>IF($B789="","",IFERROR(IF(INDEX(Config!$D$9:$D$29,MATCH($B789,Config!$B$9:$B$29,0))="Contrato",IF(INDEX(Config!$E$9:$E$29,MATCH($B789,Config!$B$9:$B$29,0))="","",INDEX(Config!$E$9:$E$29,MATCH($B789,Config!$B$9:$B$29,0))),""),""))</f>
        <v/>
      </c>
      <c r="AC789" s="19" t="str">
        <f>IF($B789="","",IFERROR(INDEX(Config!$D$9:$D$29,MATCH($B789,Config!$B$9:$B$29,0))&amp;"",""))</f>
        <v/>
      </c>
    </row>
    <row r="790">
      <c r="R790" s="20" t="str">
        <f>IF($B790="","",IFERROR(IF(INDEX(Config!$D$9:$D$29,MATCH($B790,Config!$B$9:$B$29,0))="Contrato",IF(INDEX(Config!$E$9:$E$29,MATCH($B790,Config!$B$9:$B$29,0))="","",INDEX(Config!$E$9:$E$29,MATCH($B790,Config!$B$9:$B$29,0))),""),""))</f>
        <v/>
      </c>
      <c r="AC790" s="19" t="str">
        <f>IF($B790="","",IFERROR(INDEX(Config!$D$9:$D$29,MATCH($B790,Config!$B$9:$B$29,0))&amp;"",""))</f>
        <v/>
      </c>
    </row>
    <row r="791">
      <c r="R791" s="20" t="str">
        <f>IF($B791="","",IFERROR(IF(INDEX(Config!$D$9:$D$29,MATCH($B791,Config!$B$9:$B$29,0))="Contrato",IF(INDEX(Config!$E$9:$E$29,MATCH($B791,Config!$B$9:$B$29,0))="","",INDEX(Config!$E$9:$E$29,MATCH($B791,Config!$B$9:$B$29,0))),""),""))</f>
        <v/>
      </c>
      <c r="AC791" s="19" t="str">
        <f>IF($B791="","",IFERROR(INDEX(Config!$D$9:$D$29,MATCH($B791,Config!$B$9:$B$29,0))&amp;"",""))</f>
        <v/>
      </c>
    </row>
    <row r="792">
      <c r="R792" s="20" t="str">
        <f>IF($B792="","",IFERROR(IF(INDEX(Config!$D$9:$D$29,MATCH($B792,Config!$B$9:$B$29,0))="Contrato",IF(INDEX(Config!$E$9:$E$29,MATCH($B792,Config!$B$9:$B$29,0))="","",INDEX(Config!$E$9:$E$29,MATCH($B792,Config!$B$9:$B$29,0))),""),""))</f>
        <v/>
      </c>
      <c r="AC792" s="19" t="str">
        <f>IF($B792="","",IFERROR(INDEX(Config!$D$9:$D$29,MATCH($B792,Config!$B$9:$B$29,0))&amp;"",""))</f>
        <v/>
      </c>
    </row>
    <row r="793">
      <c r="R793" s="20" t="str">
        <f>IF($B793="","",IFERROR(IF(INDEX(Config!$D$9:$D$29,MATCH($B793,Config!$B$9:$B$29,0))="Contrato",IF(INDEX(Config!$E$9:$E$29,MATCH($B793,Config!$B$9:$B$29,0))="","",INDEX(Config!$E$9:$E$29,MATCH($B793,Config!$B$9:$B$29,0))),""),""))</f>
        <v/>
      </c>
      <c r="AC793" s="19" t="str">
        <f>IF($B793="","",IFERROR(INDEX(Config!$D$9:$D$29,MATCH($B793,Config!$B$9:$B$29,0))&amp;"",""))</f>
        <v/>
      </c>
    </row>
    <row r="794">
      <c r="R794" s="20" t="str">
        <f>IF($B794="","",IFERROR(IF(INDEX(Config!$D$9:$D$29,MATCH($B794,Config!$B$9:$B$29,0))="Contrato",IF(INDEX(Config!$E$9:$E$29,MATCH($B794,Config!$B$9:$B$29,0))="","",INDEX(Config!$E$9:$E$29,MATCH($B794,Config!$B$9:$B$29,0))),""),""))</f>
        <v/>
      </c>
      <c r="AC794" s="19" t="str">
        <f>IF($B794="","",IFERROR(INDEX(Config!$D$9:$D$29,MATCH($B794,Config!$B$9:$B$29,0))&amp;"",""))</f>
        <v/>
      </c>
    </row>
    <row r="795">
      <c r="R795" s="20" t="str">
        <f>IF($B795="","",IFERROR(IF(INDEX(Config!$D$9:$D$29,MATCH($B795,Config!$B$9:$B$29,0))="Contrato",IF(INDEX(Config!$E$9:$E$29,MATCH($B795,Config!$B$9:$B$29,0))="","",INDEX(Config!$E$9:$E$29,MATCH($B795,Config!$B$9:$B$29,0))),""),""))</f>
        <v/>
      </c>
      <c r="AC795" s="19" t="str">
        <f>IF($B795="","",IFERROR(INDEX(Config!$D$9:$D$29,MATCH($B795,Config!$B$9:$B$29,0))&amp;"",""))</f>
        <v/>
      </c>
    </row>
    <row r="796">
      <c r="R796" s="20" t="str">
        <f>IF($B796="","",IFERROR(IF(INDEX(Config!$D$9:$D$29,MATCH($B796,Config!$B$9:$B$29,0))="Contrato",IF(INDEX(Config!$E$9:$E$29,MATCH($B796,Config!$B$9:$B$29,0))="","",INDEX(Config!$E$9:$E$29,MATCH($B796,Config!$B$9:$B$29,0))),""),""))</f>
        <v/>
      </c>
      <c r="AC796" s="19" t="str">
        <f>IF($B796="","",IFERROR(INDEX(Config!$D$9:$D$29,MATCH($B796,Config!$B$9:$B$29,0))&amp;"",""))</f>
        <v/>
      </c>
    </row>
    <row r="797">
      <c r="R797" s="20" t="str">
        <f>IF($B797="","",IFERROR(IF(INDEX(Config!$D$9:$D$29,MATCH($B797,Config!$B$9:$B$29,0))="Contrato",IF(INDEX(Config!$E$9:$E$29,MATCH($B797,Config!$B$9:$B$29,0))="","",INDEX(Config!$E$9:$E$29,MATCH($B797,Config!$B$9:$B$29,0))),""),""))</f>
        <v/>
      </c>
      <c r="AC797" s="19" t="str">
        <f>IF($B797="","",IFERROR(INDEX(Config!$D$9:$D$29,MATCH($B797,Config!$B$9:$B$29,0))&amp;"",""))</f>
        <v/>
      </c>
    </row>
    <row r="798">
      <c r="R798" s="20" t="str">
        <f>IF($B798="","",IFERROR(IF(INDEX(Config!$D$9:$D$29,MATCH($B798,Config!$B$9:$B$29,0))="Contrato",IF(INDEX(Config!$E$9:$E$29,MATCH($B798,Config!$B$9:$B$29,0))="","",INDEX(Config!$E$9:$E$29,MATCH($B798,Config!$B$9:$B$29,0))),""),""))</f>
        <v/>
      </c>
      <c r="AC798" s="19" t="str">
        <f>IF($B798="","",IFERROR(INDEX(Config!$D$9:$D$29,MATCH($B798,Config!$B$9:$B$29,0))&amp;"",""))</f>
        <v/>
      </c>
    </row>
    <row r="799">
      <c r="R799" s="20" t="str">
        <f>IF($B799="","",IFERROR(IF(INDEX(Config!$D$9:$D$29,MATCH($B799,Config!$B$9:$B$29,0))="Contrato",IF(INDEX(Config!$E$9:$E$29,MATCH($B799,Config!$B$9:$B$29,0))="","",INDEX(Config!$E$9:$E$29,MATCH($B799,Config!$B$9:$B$29,0))),""),""))</f>
        <v/>
      </c>
      <c r="AC799" s="19" t="str">
        <f>IF($B799="","",IFERROR(INDEX(Config!$D$9:$D$29,MATCH($B799,Config!$B$9:$B$29,0))&amp;"",""))</f>
        <v/>
      </c>
    </row>
    <row r="800">
      <c r="R800" s="20" t="str">
        <f>IF($B800="","",IFERROR(IF(INDEX(Config!$D$9:$D$29,MATCH($B800,Config!$B$9:$B$29,0))="Contrato",IF(INDEX(Config!$E$9:$E$29,MATCH($B800,Config!$B$9:$B$29,0))="","",INDEX(Config!$E$9:$E$29,MATCH($B800,Config!$B$9:$B$29,0))),""),""))</f>
        <v/>
      </c>
      <c r="AC800" s="19" t="str">
        <f>IF($B800="","",IFERROR(INDEX(Config!$D$9:$D$29,MATCH($B800,Config!$B$9:$B$29,0))&amp;"",""))</f>
        <v/>
      </c>
    </row>
    <row r="801">
      <c r="R801" s="20" t="str">
        <f>IF($B801="","",IFERROR(IF(INDEX(Config!$D$9:$D$29,MATCH($B801,Config!$B$9:$B$29,0))="Contrato",IF(INDEX(Config!$E$9:$E$29,MATCH($B801,Config!$B$9:$B$29,0))="","",INDEX(Config!$E$9:$E$29,MATCH($B801,Config!$B$9:$B$29,0))),""),""))</f>
        <v/>
      </c>
      <c r="AC801" s="19" t="str">
        <f>IF($B801="","",IFERROR(INDEX(Config!$D$9:$D$29,MATCH($B801,Config!$B$9:$B$29,0))&amp;"",""))</f>
        <v/>
      </c>
    </row>
    <row r="802">
      <c r="R802" s="20" t="str">
        <f>IF($B802="","",IFERROR(IF(INDEX(Config!$D$9:$D$29,MATCH($B802,Config!$B$9:$B$29,0))="Contrato",IF(INDEX(Config!$E$9:$E$29,MATCH($B802,Config!$B$9:$B$29,0))="","",INDEX(Config!$E$9:$E$29,MATCH($B802,Config!$B$9:$B$29,0))),""),""))</f>
        <v/>
      </c>
      <c r="AC802" s="19" t="str">
        <f>IF($B802="","",IFERROR(INDEX(Config!$D$9:$D$29,MATCH($B802,Config!$B$9:$B$29,0))&amp;"",""))</f>
        <v/>
      </c>
    </row>
    <row r="803">
      <c r="R803" s="20" t="str">
        <f>IF($B803="","",IFERROR(IF(INDEX(Config!$D$9:$D$29,MATCH($B803,Config!$B$9:$B$29,0))="Contrato",IF(INDEX(Config!$E$9:$E$29,MATCH($B803,Config!$B$9:$B$29,0))="","",INDEX(Config!$E$9:$E$29,MATCH($B803,Config!$B$9:$B$29,0))),""),""))</f>
        <v/>
      </c>
      <c r="AC803" s="19" t="str">
        <f>IF($B803="","",IFERROR(INDEX(Config!$D$9:$D$29,MATCH($B803,Config!$B$9:$B$29,0))&amp;"",""))</f>
        <v/>
      </c>
    </row>
    <row r="804">
      <c r="R804" s="20" t="str">
        <f>IF($B804="","",IFERROR(IF(INDEX(Config!$D$9:$D$29,MATCH($B804,Config!$B$9:$B$29,0))="Contrato",IF(INDEX(Config!$E$9:$E$29,MATCH($B804,Config!$B$9:$B$29,0))="","",INDEX(Config!$E$9:$E$29,MATCH($B804,Config!$B$9:$B$29,0))),""),""))</f>
        <v/>
      </c>
      <c r="AC804" s="19" t="str">
        <f>IF($B804="","",IFERROR(INDEX(Config!$D$9:$D$29,MATCH($B804,Config!$B$9:$B$29,0))&amp;"",""))</f>
        <v/>
      </c>
    </row>
    <row r="805">
      <c r="R805" s="20" t="str">
        <f>IF($B805="","",IFERROR(IF(INDEX(Config!$D$9:$D$29,MATCH($B805,Config!$B$9:$B$29,0))="Contrato",IF(INDEX(Config!$E$9:$E$29,MATCH($B805,Config!$B$9:$B$29,0))="","",INDEX(Config!$E$9:$E$29,MATCH($B805,Config!$B$9:$B$29,0))),""),""))</f>
        <v/>
      </c>
      <c r="AC805" s="19" t="str">
        <f>IF($B805="","",IFERROR(INDEX(Config!$D$9:$D$29,MATCH($B805,Config!$B$9:$B$29,0))&amp;"",""))</f>
        <v/>
      </c>
    </row>
    <row r="806">
      <c r="R806" s="20" t="str">
        <f>IF($B806="","",IFERROR(IF(INDEX(Config!$D$9:$D$29,MATCH($B806,Config!$B$9:$B$29,0))="Contrato",IF(INDEX(Config!$E$9:$E$29,MATCH($B806,Config!$B$9:$B$29,0))="","",INDEX(Config!$E$9:$E$29,MATCH($B806,Config!$B$9:$B$29,0))),""),""))</f>
        <v/>
      </c>
      <c r="AC806" s="19" t="str">
        <f>IF($B806="","",IFERROR(INDEX(Config!$D$9:$D$29,MATCH($B806,Config!$B$9:$B$29,0))&amp;"",""))</f>
        <v/>
      </c>
    </row>
    <row r="807">
      <c r="R807" s="20" t="str">
        <f>IF($B807="","",IFERROR(IF(INDEX(Config!$D$9:$D$29,MATCH($B807,Config!$B$9:$B$29,0))="Contrato",IF(INDEX(Config!$E$9:$E$29,MATCH($B807,Config!$B$9:$B$29,0))="","",INDEX(Config!$E$9:$E$29,MATCH($B807,Config!$B$9:$B$29,0))),""),""))</f>
        <v/>
      </c>
      <c r="AC807" s="19" t="str">
        <f>IF($B807="","",IFERROR(INDEX(Config!$D$9:$D$29,MATCH($B807,Config!$B$9:$B$29,0))&amp;"",""))</f>
        <v/>
      </c>
    </row>
    <row r="808">
      <c r="R808" s="20" t="str">
        <f>IF($B808="","",IFERROR(IF(INDEX(Config!$D$9:$D$29,MATCH($B808,Config!$B$9:$B$29,0))="Contrato",IF(INDEX(Config!$E$9:$E$29,MATCH($B808,Config!$B$9:$B$29,0))="","",INDEX(Config!$E$9:$E$29,MATCH($B808,Config!$B$9:$B$29,0))),""),""))</f>
        <v/>
      </c>
      <c r="AC808" s="19" t="str">
        <f>IF($B808="","",IFERROR(INDEX(Config!$D$9:$D$29,MATCH($B808,Config!$B$9:$B$29,0))&amp;"",""))</f>
        <v/>
      </c>
    </row>
    <row r="809">
      <c r="R809" s="20" t="str">
        <f>IF($B809="","",IFERROR(IF(INDEX(Config!$D$9:$D$29,MATCH($B809,Config!$B$9:$B$29,0))="Contrato",IF(INDEX(Config!$E$9:$E$29,MATCH($B809,Config!$B$9:$B$29,0))="","",INDEX(Config!$E$9:$E$29,MATCH($B809,Config!$B$9:$B$29,0))),""),""))</f>
        <v/>
      </c>
      <c r="AC809" s="19" t="str">
        <f>IF($B809="","",IFERROR(INDEX(Config!$D$9:$D$29,MATCH($B809,Config!$B$9:$B$29,0))&amp;"",""))</f>
        <v/>
      </c>
    </row>
    <row r="810">
      <c r="R810" s="20" t="str">
        <f>IF($B810="","",IFERROR(IF(INDEX(Config!$D$9:$D$29,MATCH($B810,Config!$B$9:$B$29,0))="Contrato",IF(INDEX(Config!$E$9:$E$29,MATCH($B810,Config!$B$9:$B$29,0))="","",INDEX(Config!$E$9:$E$29,MATCH($B810,Config!$B$9:$B$29,0))),""),""))</f>
        <v/>
      </c>
      <c r="AC810" s="19" t="str">
        <f>IF($B810="","",IFERROR(INDEX(Config!$D$9:$D$29,MATCH($B810,Config!$B$9:$B$29,0))&amp;"",""))</f>
        <v/>
      </c>
    </row>
    <row r="811">
      <c r="R811" s="20" t="str">
        <f>IF($B811="","",IFERROR(IF(INDEX(Config!$D$9:$D$29,MATCH($B811,Config!$B$9:$B$29,0))="Contrato",IF(INDEX(Config!$E$9:$E$29,MATCH($B811,Config!$B$9:$B$29,0))="","",INDEX(Config!$E$9:$E$29,MATCH($B811,Config!$B$9:$B$29,0))),""),""))</f>
        <v/>
      </c>
      <c r="AC811" s="19" t="str">
        <f>IF($B811="","",IFERROR(INDEX(Config!$D$9:$D$29,MATCH($B811,Config!$B$9:$B$29,0))&amp;"",""))</f>
        <v/>
      </c>
    </row>
    <row r="812">
      <c r="R812" s="20" t="str">
        <f>IF($B812="","",IFERROR(IF(INDEX(Config!$D$9:$D$29,MATCH($B812,Config!$B$9:$B$29,0))="Contrato",IF(INDEX(Config!$E$9:$E$29,MATCH($B812,Config!$B$9:$B$29,0))="","",INDEX(Config!$E$9:$E$29,MATCH($B812,Config!$B$9:$B$29,0))),""),""))</f>
        <v/>
      </c>
      <c r="AC812" s="19" t="str">
        <f>IF($B812="","",IFERROR(INDEX(Config!$D$9:$D$29,MATCH($B812,Config!$B$9:$B$29,0))&amp;"",""))</f>
        <v/>
      </c>
    </row>
    <row r="813">
      <c r="R813" s="20" t="str">
        <f>IF($B813="","",IFERROR(IF(INDEX(Config!$D$9:$D$29,MATCH($B813,Config!$B$9:$B$29,0))="Contrato",IF(INDEX(Config!$E$9:$E$29,MATCH($B813,Config!$B$9:$B$29,0))="","",INDEX(Config!$E$9:$E$29,MATCH($B813,Config!$B$9:$B$29,0))),""),""))</f>
        <v/>
      </c>
      <c r="AC813" s="19" t="str">
        <f>IF($B813="","",IFERROR(INDEX(Config!$D$9:$D$29,MATCH($B813,Config!$B$9:$B$29,0))&amp;"",""))</f>
        <v/>
      </c>
    </row>
    <row r="814">
      <c r="R814" s="20" t="str">
        <f>IF($B814="","",IFERROR(IF(INDEX(Config!$D$9:$D$29,MATCH($B814,Config!$B$9:$B$29,0))="Contrato",IF(INDEX(Config!$E$9:$E$29,MATCH($B814,Config!$B$9:$B$29,0))="","",INDEX(Config!$E$9:$E$29,MATCH($B814,Config!$B$9:$B$29,0))),""),""))</f>
        <v/>
      </c>
      <c r="AC814" s="19" t="str">
        <f>IF($B814="","",IFERROR(INDEX(Config!$D$9:$D$29,MATCH($B814,Config!$B$9:$B$29,0))&amp;"",""))</f>
        <v/>
      </c>
    </row>
    <row r="815">
      <c r="R815" s="20" t="str">
        <f>IF($B815="","",IFERROR(IF(INDEX(Config!$D$9:$D$29,MATCH($B815,Config!$B$9:$B$29,0))="Contrato",IF(INDEX(Config!$E$9:$E$29,MATCH($B815,Config!$B$9:$B$29,0))="","",INDEX(Config!$E$9:$E$29,MATCH($B815,Config!$B$9:$B$29,0))),""),""))</f>
        <v/>
      </c>
      <c r="AC815" s="19" t="str">
        <f>IF($B815="","",IFERROR(INDEX(Config!$D$9:$D$29,MATCH($B815,Config!$B$9:$B$29,0))&amp;"",""))</f>
        <v/>
      </c>
    </row>
    <row r="816">
      <c r="R816" s="20" t="str">
        <f>IF($B816="","",IFERROR(IF(INDEX(Config!$D$9:$D$29,MATCH($B816,Config!$B$9:$B$29,0))="Contrato",IF(INDEX(Config!$E$9:$E$29,MATCH($B816,Config!$B$9:$B$29,0))="","",INDEX(Config!$E$9:$E$29,MATCH($B816,Config!$B$9:$B$29,0))),""),""))</f>
        <v/>
      </c>
      <c r="AC816" s="19" t="str">
        <f>IF($B816="","",IFERROR(INDEX(Config!$D$9:$D$29,MATCH($B816,Config!$B$9:$B$29,0))&amp;"",""))</f>
        <v/>
      </c>
    </row>
    <row r="817">
      <c r="R817" s="20" t="str">
        <f>IF($B817="","",IFERROR(IF(INDEX(Config!$D$9:$D$29,MATCH($B817,Config!$B$9:$B$29,0))="Contrato",IF(INDEX(Config!$E$9:$E$29,MATCH($B817,Config!$B$9:$B$29,0))="","",INDEX(Config!$E$9:$E$29,MATCH($B817,Config!$B$9:$B$29,0))),""),""))</f>
        <v/>
      </c>
      <c r="AC817" s="19" t="str">
        <f>IF($B817="","",IFERROR(INDEX(Config!$D$9:$D$29,MATCH($B817,Config!$B$9:$B$29,0))&amp;"",""))</f>
        <v/>
      </c>
    </row>
    <row r="818">
      <c r="R818" s="20" t="str">
        <f>IF($B818="","",IFERROR(IF(INDEX(Config!$D$9:$D$29,MATCH($B818,Config!$B$9:$B$29,0))="Contrato",IF(INDEX(Config!$E$9:$E$29,MATCH($B818,Config!$B$9:$B$29,0))="","",INDEX(Config!$E$9:$E$29,MATCH($B818,Config!$B$9:$B$29,0))),""),""))</f>
        <v/>
      </c>
      <c r="AC818" s="19" t="str">
        <f>IF($B818="","",IFERROR(INDEX(Config!$D$9:$D$29,MATCH($B818,Config!$B$9:$B$29,0))&amp;"",""))</f>
        <v/>
      </c>
    </row>
    <row r="819">
      <c r="R819" s="20" t="str">
        <f>IF($B819="","",IFERROR(IF(INDEX(Config!$D$9:$D$29,MATCH($B819,Config!$B$9:$B$29,0))="Contrato",IF(INDEX(Config!$E$9:$E$29,MATCH($B819,Config!$B$9:$B$29,0))="","",INDEX(Config!$E$9:$E$29,MATCH($B819,Config!$B$9:$B$29,0))),""),""))</f>
        <v/>
      </c>
      <c r="AC819" s="19" t="str">
        <f>IF($B819="","",IFERROR(INDEX(Config!$D$9:$D$29,MATCH($B819,Config!$B$9:$B$29,0))&amp;"",""))</f>
        <v/>
      </c>
    </row>
    <row r="820">
      <c r="R820" s="20" t="str">
        <f>IF($B820="","",IFERROR(IF(INDEX(Config!$D$9:$D$29,MATCH($B820,Config!$B$9:$B$29,0))="Contrato",IF(INDEX(Config!$E$9:$E$29,MATCH($B820,Config!$B$9:$B$29,0))="","",INDEX(Config!$E$9:$E$29,MATCH($B820,Config!$B$9:$B$29,0))),""),""))</f>
        <v/>
      </c>
      <c r="AC820" s="19" t="str">
        <f>IF($B820="","",IFERROR(INDEX(Config!$D$9:$D$29,MATCH($B820,Config!$B$9:$B$29,0))&amp;"",""))</f>
        <v/>
      </c>
    </row>
    <row r="821">
      <c r="R821" s="20" t="str">
        <f>IF($B821="","",IFERROR(IF(INDEX(Config!$D$9:$D$29,MATCH($B821,Config!$B$9:$B$29,0))="Contrato",IF(INDEX(Config!$E$9:$E$29,MATCH($B821,Config!$B$9:$B$29,0))="","",INDEX(Config!$E$9:$E$29,MATCH($B821,Config!$B$9:$B$29,0))),""),""))</f>
        <v/>
      </c>
      <c r="AC821" s="19" t="str">
        <f>IF($B821="","",IFERROR(INDEX(Config!$D$9:$D$29,MATCH($B821,Config!$B$9:$B$29,0))&amp;"",""))</f>
        <v/>
      </c>
    </row>
    <row r="822">
      <c r="R822" s="20" t="str">
        <f>IF($B822="","",IFERROR(IF(INDEX(Config!$D$9:$D$29,MATCH($B822,Config!$B$9:$B$29,0))="Contrato",IF(INDEX(Config!$E$9:$E$29,MATCH($B822,Config!$B$9:$B$29,0))="","",INDEX(Config!$E$9:$E$29,MATCH($B822,Config!$B$9:$B$29,0))),""),""))</f>
        <v/>
      </c>
      <c r="AC822" s="19" t="str">
        <f>IF($B822="","",IFERROR(INDEX(Config!$D$9:$D$29,MATCH($B822,Config!$B$9:$B$29,0))&amp;"",""))</f>
        <v/>
      </c>
    </row>
    <row r="823">
      <c r="R823" s="20" t="str">
        <f>IF($B823="","",IFERROR(IF(INDEX(Config!$D$9:$D$29,MATCH($B823,Config!$B$9:$B$29,0))="Contrato",IF(INDEX(Config!$E$9:$E$29,MATCH($B823,Config!$B$9:$B$29,0))="","",INDEX(Config!$E$9:$E$29,MATCH($B823,Config!$B$9:$B$29,0))),""),""))</f>
        <v/>
      </c>
      <c r="AC823" s="19" t="str">
        <f>IF($B823="","",IFERROR(INDEX(Config!$D$9:$D$29,MATCH($B823,Config!$B$9:$B$29,0))&amp;"",""))</f>
        <v/>
      </c>
    </row>
    <row r="824">
      <c r="R824" s="20" t="str">
        <f>IF($B824="","",IFERROR(IF(INDEX(Config!$D$9:$D$29,MATCH($B824,Config!$B$9:$B$29,0))="Contrato",IF(INDEX(Config!$E$9:$E$29,MATCH($B824,Config!$B$9:$B$29,0))="","",INDEX(Config!$E$9:$E$29,MATCH($B824,Config!$B$9:$B$29,0))),""),""))</f>
        <v/>
      </c>
      <c r="AC824" s="19" t="str">
        <f>IF($B824="","",IFERROR(INDEX(Config!$D$9:$D$29,MATCH($B824,Config!$B$9:$B$29,0))&amp;"",""))</f>
        <v/>
      </c>
    </row>
    <row r="825">
      <c r="R825" s="20" t="str">
        <f>IF($B825="","",IFERROR(IF(INDEX(Config!$D$9:$D$29,MATCH($B825,Config!$B$9:$B$29,0))="Contrato",IF(INDEX(Config!$E$9:$E$29,MATCH($B825,Config!$B$9:$B$29,0))="","",INDEX(Config!$E$9:$E$29,MATCH($B825,Config!$B$9:$B$29,0))),""),""))</f>
        <v/>
      </c>
      <c r="AC825" s="19" t="str">
        <f>IF($B825="","",IFERROR(INDEX(Config!$D$9:$D$29,MATCH($B825,Config!$B$9:$B$29,0))&amp;"",""))</f>
        <v/>
      </c>
    </row>
    <row r="826">
      <c r="R826" s="20" t="str">
        <f>IF($B826="","",IFERROR(IF(INDEX(Config!$D$9:$D$29,MATCH($B826,Config!$B$9:$B$29,0))="Contrato",IF(INDEX(Config!$E$9:$E$29,MATCH($B826,Config!$B$9:$B$29,0))="","",INDEX(Config!$E$9:$E$29,MATCH($B826,Config!$B$9:$B$29,0))),""),""))</f>
        <v/>
      </c>
      <c r="AC826" s="19" t="str">
        <f>IF($B826="","",IFERROR(INDEX(Config!$D$9:$D$29,MATCH($B826,Config!$B$9:$B$29,0))&amp;"",""))</f>
        <v/>
      </c>
    </row>
    <row r="827">
      <c r="R827" s="20" t="str">
        <f>IF($B827="","",IFERROR(IF(INDEX(Config!$D$9:$D$29,MATCH($B827,Config!$B$9:$B$29,0))="Contrato",IF(INDEX(Config!$E$9:$E$29,MATCH($B827,Config!$B$9:$B$29,0))="","",INDEX(Config!$E$9:$E$29,MATCH($B827,Config!$B$9:$B$29,0))),""),""))</f>
        <v/>
      </c>
      <c r="AC827" s="19" t="str">
        <f>IF($B827="","",IFERROR(INDEX(Config!$D$9:$D$29,MATCH($B827,Config!$B$9:$B$29,0))&amp;"",""))</f>
        <v/>
      </c>
    </row>
    <row r="828">
      <c r="R828" s="20" t="str">
        <f>IF($B828="","",IFERROR(IF(INDEX(Config!$D$9:$D$29,MATCH($B828,Config!$B$9:$B$29,0))="Contrato",IF(INDEX(Config!$E$9:$E$29,MATCH($B828,Config!$B$9:$B$29,0))="","",INDEX(Config!$E$9:$E$29,MATCH($B828,Config!$B$9:$B$29,0))),""),""))</f>
        <v/>
      </c>
      <c r="AC828" s="19" t="str">
        <f>IF($B828="","",IFERROR(INDEX(Config!$D$9:$D$29,MATCH($B828,Config!$B$9:$B$29,0))&amp;"",""))</f>
        <v/>
      </c>
    </row>
    <row r="829">
      <c r="R829" s="20" t="str">
        <f>IF($B829="","",IFERROR(IF(INDEX(Config!$D$9:$D$29,MATCH($B829,Config!$B$9:$B$29,0))="Contrato",IF(INDEX(Config!$E$9:$E$29,MATCH($B829,Config!$B$9:$B$29,0))="","",INDEX(Config!$E$9:$E$29,MATCH($B829,Config!$B$9:$B$29,0))),""),""))</f>
        <v/>
      </c>
      <c r="AC829" s="19" t="str">
        <f>IF($B829="","",IFERROR(INDEX(Config!$D$9:$D$29,MATCH($B829,Config!$B$9:$B$29,0))&amp;"",""))</f>
        <v/>
      </c>
    </row>
    <row r="830">
      <c r="R830" s="20" t="str">
        <f>IF($B830="","",IFERROR(IF(INDEX(Config!$D$9:$D$29,MATCH($B830,Config!$B$9:$B$29,0))="Contrato",IF(INDEX(Config!$E$9:$E$29,MATCH($B830,Config!$B$9:$B$29,0))="","",INDEX(Config!$E$9:$E$29,MATCH($B830,Config!$B$9:$B$29,0))),""),""))</f>
        <v/>
      </c>
      <c r="AC830" s="19" t="str">
        <f>IF($B830="","",IFERROR(INDEX(Config!$D$9:$D$29,MATCH($B830,Config!$B$9:$B$29,0))&amp;"",""))</f>
        <v/>
      </c>
    </row>
    <row r="831">
      <c r="R831" s="20" t="str">
        <f>IF($B831="","",IFERROR(IF(INDEX(Config!$D$9:$D$29,MATCH($B831,Config!$B$9:$B$29,0))="Contrato",IF(INDEX(Config!$E$9:$E$29,MATCH($B831,Config!$B$9:$B$29,0))="","",INDEX(Config!$E$9:$E$29,MATCH($B831,Config!$B$9:$B$29,0))),""),""))</f>
        <v/>
      </c>
      <c r="AC831" s="19" t="str">
        <f>IF($B831="","",IFERROR(INDEX(Config!$D$9:$D$29,MATCH($B831,Config!$B$9:$B$29,0))&amp;"",""))</f>
        <v/>
      </c>
    </row>
    <row r="832">
      <c r="R832" s="20" t="str">
        <f>IF($B832="","",IFERROR(IF(INDEX(Config!$D$9:$D$29,MATCH($B832,Config!$B$9:$B$29,0))="Contrato",IF(INDEX(Config!$E$9:$E$29,MATCH($B832,Config!$B$9:$B$29,0))="","",INDEX(Config!$E$9:$E$29,MATCH($B832,Config!$B$9:$B$29,0))),""),""))</f>
        <v/>
      </c>
      <c r="AC832" s="19" t="str">
        <f>IF($B832="","",IFERROR(INDEX(Config!$D$9:$D$29,MATCH($B832,Config!$B$9:$B$29,0))&amp;"",""))</f>
        <v/>
      </c>
    </row>
    <row r="833">
      <c r="R833" s="20" t="str">
        <f>IF($B833="","",IFERROR(IF(INDEX(Config!$D$9:$D$29,MATCH($B833,Config!$B$9:$B$29,0))="Contrato",IF(INDEX(Config!$E$9:$E$29,MATCH($B833,Config!$B$9:$B$29,0))="","",INDEX(Config!$E$9:$E$29,MATCH($B833,Config!$B$9:$B$29,0))),""),""))</f>
        <v/>
      </c>
      <c r="AC833" s="19" t="str">
        <f>IF($B833="","",IFERROR(INDEX(Config!$D$9:$D$29,MATCH($B833,Config!$B$9:$B$29,0))&amp;"",""))</f>
        <v/>
      </c>
    </row>
    <row r="834">
      <c r="R834" s="20" t="str">
        <f>IF($B834="","",IFERROR(IF(INDEX(Config!$D$9:$D$29,MATCH($B834,Config!$B$9:$B$29,0))="Contrato",IF(INDEX(Config!$E$9:$E$29,MATCH($B834,Config!$B$9:$B$29,0))="","",INDEX(Config!$E$9:$E$29,MATCH($B834,Config!$B$9:$B$29,0))),""),""))</f>
        <v/>
      </c>
      <c r="AC834" s="19" t="str">
        <f>IF($B834="","",IFERROR(INDEX(Config!$D$9:$D$29,MATCH($B834,Config!$B$9:$B$29,0))&amp;"",""))</f>
        <v/>
      </c>
    </row>
    <row r="835">
      <c r="R835" s="20" t="str">
        <f>IF($B835="","",IFERROR(IF(INDEX(Config!$D$9:$D$29,MATCH($B835,Config!$B$9:$B$29,0))="Contrato",IF(INDEX(Config!$E$9:$E$29,MATCH($B835,Config!$B$9:$B$29,0))="","",INDEX(Config!$E$9:$E$29,MATCH($B835,Config!$B$9:$B$29,0))),""),""))</f>
        <v/>
      </c>
      <c r="AC835" s="19" t="str">
        <f>IF($B835="","",IFERROR(INDEX(Config!$D$9:$D$29,MATCH($B835,Config!$B$9:$B$29,0))&amp;"",""))</f>
        <v/>
      </c>
    </row>
    <row r="836">
      <c r="R836" s="20" t="str">
        <f>IF($B836="","",IFERROR(IF(INDEX(Config!$D$9:$D$29,MATCH($B836,Config!$B$9:$B$29,0))="Contrato",IF(INDEX(Config!$E$9:$E$29,MATCH($B836,Config!$B$9:$B$29,0))="","",INDEX(Config!$E$9:$E$29,MATCH($B836,Config!$B$9:$B$29,0))),""),""))</f>
        <v/>
      </c>
      <c r="AC836" s="19" t="str">
        <f>IF($B836="","",IFERROR(INDEX(Config!$D$9:$D$29,MATCH($B836,Config!$B$9:$B$29,0))&amp;"",""))</f>
        <v/>
      </c>
    </row>
    <row r="837">
      <c r="R837" s="20" t="str">
        <f>IF($B837="","",IFERROR(IF(INDEX(Config!$D$9:$D$29,MATCH($B837,Config!$B$9:$B$29,0))="Contrato",IF(INDEX(Config!$E$9:$E$29,MATCH($B837,Config!$B$9:$B$29,0))="","",INDEX(Config!$E$9:$E$29,MATCH($B837,Config!$B$9:$B$29,0))),""),""))</f>
        <v/>
      </c>
      <c r="AC837" s="19" t="str">
        <f>IF($B837="","",IFERROR(INDEX(Config!$D$9:$D$29,MATCH($B837,Config!$B$9:$B$29,0))&amp;"",""))</f>
        <v/>
      </c>
    </row>
    <row r="838">
      <c r="R838" s="20" t="str">
        <f>IF($B838="","",IFERROR(IF(INDEX(Config!$D$9:$D$29,MATCH($B838,Config!$B$9:$B$29,0))="Contrato",IF(INDEX(Config!$E$9:$E$29,MATCH($B838,Config!$B$9:$B$29,0))="","",INDEX(Config!$E$9:$E$29,MATCH($B838,Config!$B$9:$B$29,0))),""),""))</f>
        <v/>
      </c>
      <c r="AC838" s="19" t="str">
        <f>IF($B838="","",IFERROR(INDEX(Config!$D$9:$D$29,MATCH($B838,Config!$B$9:$B$29,0))&amp;"",""))</f>
        <v/>
      </c>
    </row>
    <row r="839">
      <c r="R839" s="20" t="str">
        <f>IF($B839="","",IFERROR(IF(INDEX(Config!$D$9:$D$29,MATCH($B839,Config!$B$9:$B$29,0))="Contrato",IF(INDEX(Config!$E$9:$E$29,MATCH($B839,Config!$B$9:$B$29,0))="","",INDEX(Config!$E$9:$E$29,MATCH($B839,Config!$B$9:$B$29,0))),""),""))</f>
        <v/>
      </c>
      <c r="AC839" s="19" t="str">
        <f>IF($B839="","",IFERROR(INDEX(Config!$D$9:$D$29,MATCH($B839,Config!$B$9:$B$29,0))&amp;"",""))</f>
        <v/>
      </c>
    </row>
    <row r="840">
      <c r="R840" s="20" t="str">
        <f>IF($B840="","",IFERROR(IF(INDEX(Config!$D$9:$D$29,MATCH($B840,Config!$B$9:$B$29,0))="Contrato",IF(INDEX(Config!$E$9:$E$29,MATCH($B840,Config!$B$9:$B$29,0))="","",INDEX(Config!$E$9:$E$29,MATCH($B840,Config!$B$9:$B$29,0))),""),""))</f>
        <v/>
      </c>
      <c r="AC840" s="19" t="str">
        <f>IF($B840="","",IFERROR(INDEX(Config!$D$9:$D$29,MATCH($B840,Config!$B$9:$B$29,0))&amp;"",""))</f>
        <v/>
      </c>
    </row>
    <row r="841">
      <c r="R841" s="20" t="str">
        <f>IF($B841="","",IFERROR(IF(INDEX(Config!$D$9:$D$29,MATCH($B841,Config!$B$9:$B$29,0))="Contrato",IF(INDEX(Config!$E$9:$E$29,MATCH($B841,Config!$B$9:$B$29,0))="","",INDEX(Config!$E$9:$E$29,MATCH($B841,Config!$B$9:$B$29,0))),""),""))</f>
        <v/>
      </c>
      <c r="AC841" s="19" t="str">
        <f>IF($B841="","",IFERROR(INDEX(Config!$D$9:$D$29,MATCH($B841,Config!$B$9:$B$29,0))&amp;"",""))</f>
        <v/>
      </c>
    </row>
    <row r="842">
      <c r="R842" s="20" t="str">
        <f>IF($B842="","",IFERROR(IF(INDEX(Config!$D$9:$D$29,MATCH($B842,Config!$B$9:$B$29,0))="Contrato",IF(INDEX(Config!$E$9:$E$29,MATCH($B842,Config!$B$9:$B$29,0))="","",INDEX(Config!$E$9:$E$29,MATCH($B842,Config!$B$9:$B$29,0))),""),""))</f>
        <v/>
      </c>
      <c r="AC842" s="19" t="str">
        <f>IF($B842="","",IFERROR(INDEX(Config!$D$9:$D$29,MATCH($B842,Config!$B$9:$B$29,0))&amp;"",""))</f>
        <v/>
      </c>
    </row>
    <row r="843">
      <c r="R843" s="20" t="str">
        <f>IF($B843="","",IFERROR(IF(INDEX(Config!$D$9:$D$29,MATCH($B843,Config!$B$9:$B$29,0))="Contrato",IF(INDEX(Config!$E$9:$E$29,MATCH($B843,Config!$B$9:$B$29,0))="","",INDEX(Config!$E$9:$E$29,MATCH($B843,Config!$B$9:$B$29,0))),""),""))</f>
        <v/>
      </c>
      <c r="AC843" s="19" t="str">
        <f>IF($B843="","",IFERROR(INDEX(Config!$D$9:$D$29,MATCH($B843,Config!$B$9:$B$29,0))&amp;"",""))</f>
        <v/>
      </c>
    </row>
    <row r="844">
      <c r="R844" s="20" t="str">
        <f>IF($B844="","",IFERROR(IF(INDEX(Config!$D$9:$D$29,MATCH($B844,Config!$B$9:$B$29,0))="Contrato",IF(INDEX(Config!$E$9:$E$29,MATCH($B844,Config!$B$9:$B$29,0))="","",INDEX(Config!$E$9:$E$29,MATCH($B844,Config!$B$9:$B$29,0))),""),""))</f>
        <v/>
      </c>
      <c r="AC844" s="19" t="str">
        <f>IF($B844="","",IFERROR(INDEX(Config!$D$9:$D$29,MATCH($B844,Config!$B$9:$B$29,0))&amp;"",""))</f>
        <v/>
      </c>
    </row>
    <row r="845">
      <c r="R845" s="20" t="str">
        <f>IF($B845="","",IFERROR(IF(INDEX(Config!$D$9:$D$29,MATCH($B845,Config!$B$9:$B$29,0))="Contrato",IF(INDEX(Config!$E$9:$E$29,MATCH($B845,Config!$B$9:$B$29,0))="","",INDEX(Config!$E$9:$E$29,MATCH($B845,Config!$B$9:$B$29,0))),""),""))</f>
        <v/>
      </c>
      <c r="AC845" s="19" t="str">
        <f>IF($B845="","",IFERROR(INDEX(Config!$D$9:$D$29,MATCH($B845,Config!$B$9:$B$29,0))&amp;"",""))</f>
        <v/>
      </c>
    </row>
    <row r="846">
      <c r="R846" s="20" t="str">
        <f>IF($B846="","",IFERROR(IF(INDEX(Config!$D$9:$D$29,MATCH($B846,Config!$B$9:$B$29,0))="Contrato",IF(INDEX(Config!$E$9:$E$29,MATCH($B846,Config!$B$9:$B$29,0))="","",INDEX(Config!$E$9:$E$29,MATCH($B846,Config!$B$9:$B$29,0))),""),""))</f>
        <v/>
      </c>
      <c r="AC846" s="19" t="str">
        <f>IF($B846="","",IFERROR(INDEX(Config!$D$9:$D$29,MATCH($B846,Config!$B$9:$B$29,0))&amp;"",""))</f>
        <v/>
      </c>
    </row>
    <row r="847">
      <c r="R847" s="20" t="str">
        <f>IF($B847="","",IFERROR(IF(INDEX(Config!$D$9:$D$29,MATCH($B847,Config!$B$9:$B$29,0))="Contrato",IF(INDEX(Config!$E$9:$E$29,MATCH($B847,Config!$B$9:$B$29,0))="","",INDEX(Config!$E$9:$E$29,MATCH($B847,Config!$B$9:$B$29,0))),""),""))</f>
        <v/>
      </c>
      <c r="AC847" s="19" t="str">
        <f>IF($B847="","",IFERROR(INDEX(Config!$D$9:$D$29,MATCH($B847,Config!$B$9:$B$29,0))&amp;"",""))</f>
        <v/>
      </c>
    </row>
    <row r="848">
      <c r="R848" s="20" t="str">
        <f>IF($B848="","",IFERROR(IF(INDEX(Config!$D$9:$D$29,MATCH($B848,Config!$B$9:$B$29,0))="Contrato",IF(INDEX(Config!$E$9:$E$29,MATCH($B848,Config!$B$9:$B$29,0))="","",INDEX(Config!$E$9:$E$29,MATCH($B848,Config!$B$9:$B$29,0))),""),""))</f>
        <v/>
      </c>
      <c r="AC848" s="19" t="str">
        <f>IF($B848="","",IFERROR(INDEX(Config!$D$9:$D$29,MATCH($B848,Config!$B$9:$B$29,0))&amp;"",""))</f>
        <v/>
      </c>
    </row>
    <row r="849">
      <c r="R849" s="20" t="str">
        <f>IF($B849="","",IFERROR(IF(INDEX(Config!$D$9:$D$29,MATCH($B849,Config!$B$9:$B$29,0))="Contrato",IF(INDEX(Config!$E$9:$E$29,MATCH($B849,Config!$B$9:$B$29,0))="","",INDEX(Config!$E$9:$E$29,MATCH($B849,Config!$B$9:$B$29,0))),""),""))</f>
        <v/>
      </c>
      <c r="AC849" s="19" t="str">
        <f>IF($B849="","",IFERROR(INDEX(Config!$D$9:$D$29,MATCH($B849,Config!$B$9:$B$29,0))&amp;"",""))</f>
        <v/>
      </c>
    </row>
    <row r="850">
      <c r="R850" s="20" t="str">
        <f>IF($B850="","",IFERROR(IF(INDEX(Config!$D$9:$D$29,MATCH($B850,Config!$B$9:$B$29,0))="Contrato",IF(INDEX(Config!$E$9:$E$29,MATCH($B850,Config!$B$9:$B$29,0))="","",INDEX(Config!$E$9:$E$29,MATCH($B850,Config!$B$9:$B$29,0))),""),""))</f>
        <v/>
      </c>
      <c r="AC850" s="19" t="str">
        <f>IF($B850="","",IFERROR(INDEX(Config!$D$9:$D$29,MATCH($B850,Config!$B$9:$B$29,0))&amp;"",""))</f>
        <v/>
      </c>
    </row>
    <row r="851">
      <c r="R851" s="20" t="str">
        <f>IF($B851="","",IFERROR(IF(INDEX(Config!$D$9:$D$29,MATCH($B851,Config!$B$9:$B$29,0))="Contrato",IF(INDEX(Config!$E$9:$E$29,MATCH($B851,Config!$B$9:$B$29,0))="","",INDEX(Config!$E$9:$E$29,MATCH($B851,Config!$B$9:$B$29,0))),""),""))</f>
        <v/>
      </c>
      <c r="AC851" s="19" t="str">
        <f>IF($B851="","",IFERROR(INDEX(Config!$D$9:$D$29,MATCH($B851,Config!$B$9:$B$29,0))&amp;"",""))</f>
        <v/>
      </c>
    </row>
    <row r="852">
      <c r="R852" s="20" t="str">
        <f>IF($B852="","",IFERROR(IF(INDEX(Config!$D$9:$D$29,MATCH($B852,Config!$B$9:$B$29,0))="Contrato",IF(INDEX(Config!$E$9:$E$29,MATCH($B852,Config!$B$9:$B$29,0))="","",INDEX(Config!$E$9:$E$29,MATCH($B852,Config!$B$9:$B$29,0))),""),""))</f>
        <v/>
      </c>
      <c r="AC852" s="19" t="str">
        <f>IF($B852="","",IFERROR(INDEX(Config!$D$9:$D$29,MATCH($B852,Config!$B$9:$B$29,0))&amp;"",""))</f>
        <v/>
      </c>
    </row>
    <row r="853">
      <c r="R853" s="20" t="str">
        <f>IF($B853="","",IFERROR(IF(INDEX(Config!$D$9:$D$29,MATCH($B853,Config!$B$9:$B$29,0))="Contrato",IF(INDEX(Config!$E$9:$E$29,MATCH($B853,Config!$B$9:$B$29,0))="","",INDEX(Config!$E$9:$E$29,MATCH($B853,Config!$B$9:$B$29,0))),""),""))</f>
        <v/>
      </c>
      <c r="AC853" s="19" t="str">
        <f>IF($B853="","",IFERROR(INDEX(Config!$D$9:$D$29,MATCH($B853,Config!$B$9:$B$29,0))&amp;"",""))</f>
        <v/>
      </c>
    </row>
    <row r="854">
      <c r="R854" s="20" t="str">
        <f>IF($B854="","",IFERROR(IF(INDEX(Config!$D$9:$D$29,MATCH($B854,Config!$B$9:$B$29,0))="Contrato",IF(INDEX(Config!$E$9:$E$29,MATCH($B854,Config!$B$9:$B$29,0))="","",INDEX(Config!$E$9:$E$29,MATCH($B854,Config!$B$9:$B$29,0))),""),""))</f>
        <v/>
      </c>
      <c r="AC854" s="19" t="str">
        <f>IF($B854="","",IFERROR(INDEX(Config!$D$9:$D$29,MATCH($B854,Config!$B$9:$B$29,0))&amp;"",""))</f>
        <v/>
      </c>
    </row>
    <row r="855">
      <c r="R855" s="20" t="str">
        <f>IF($B855="","",IFERROR(IF(INDEX(Config!$D$9:$D$29,MATCH($B855,Config!$B$9:$B$29,0))="Contrato",IF(INDEX(Config!$E$9:$E$29,MATCH($B855,Config!$B$9:$B$29,0))="","",INDEX(Config!$E$9:$E$29,MATCH($B855,Config!$B$9:$B$29,0))),""),""))</f>
        <v/>
      </c>
      <c r="AC855" s="19" t="str">
        <f>IF($B855="","",IFERROR(INDEX(Config!$D$9:$D$29,MATCH($B855,Config!$B$9:$B$29,0))&amp;"",""))</f>
        <v/>
      </c>
    </row>
    <row r="856">
      <c r="R856" s="20" t="str">
        <f>IF($B856="","",IFERROR(IF(INDEX(Config!$D$9:$D$29,MATCH($B856,Config!$B$9:$B$29,0))="Contrato",IF(INDEX(Config!$E$9:$E$29,MATCH($B856,Config!$B$9:$B$29,0))="","",INDEX(Config!$E$9:$E$29,MATCH($B856,Config!$B$9:$B$29,0))),""),""))</f>
        <v/>
      </c>
      <c r="AC856" s="19" t="str">
        <f>IF($B856="","",IFERROR(INDEX(Config!$D$9:$D$29,MATCH($B856,Config!$B$9:$B$29,0))&amp;"",""))</f>
        <v/>
      </c>
    </row>
    <row r="857">
      <c r="R857" s="20" t="str">
        <f>IF($B857="","",IFERROR(IF(INDEX(Config!$D$9:$D$29,MATCH($B857,Config!$B$9:$B$29,0))="Contrato",IF(INDEX(Config!$E$9:$E$29,MATCH($B857,Config!$B$9:$B$29,0))="","",INDEX(Config!$E$9:$E$29,MATCH($B857,Config!$B$9:$B$29,0))),""),""))</f>
        <v/>
      </c>
      <c r="AC857" s="19" t="str">
        <f>IF($B857="","",IFERROR(INDEX(Config!$D$9:$D$29,MATCH($B857,Config!$B$9:$B$29,0))&amp;"",""))</f>
        <v/>
      </c>
    </row>
    <row r="858">
      <c r="R858" s="20" t="str">
        <f>IF($B858="","",IFERROR(IF(INDEX(Config!$D$9:$D$29,MATCH($B858,Config!$B$9:$B$29,0))="Contrato",IF(INDEX(Config!$E$9:$E$29,MATCH($B858,Config!$B$9:$B$29,0))="","",INDEX(Config!$E$9:$E$29,MATCH($B858,Config!$B$9:$B$29,0))),""),""))</f>
        <v/>
      </c>
      <c r="AC858" s="19" t="str">
        <f>IF($B858="","",IFERROR(INDEX(Config!$D$9:$D$29,MATCH($B858,Config!$B$9:$B$29,0))&amp;"",""))</f>
        <v/>
      </c>
    </row>
    <row r="859">
      <c r="R859" s="20" t="str">
        <f>IF($B859="","",IFERROR(IF(INDEX(Config!$D$9:$D$29,MATCH($B859,Config!$B$9:$B$29,0))="Contrato",IF(INDEX(Config!$E$9:$E$29,MATCH($B859,Config!$B$9:$B$29,0))="","",INDEX(Config!$E$9:$E$29,MATCH($B859,Config!$B$9:$B$29,0))),""),""))</f>
        <v/>
      </c>
      <c r="AC859" s="19" t="str">
        <f>IF($B859="","",IFERROR(INDEX(Config!$D$9:$D$29,MATCH($B859,Config!$B$9:$B$29,0))&amp;"",""))</f>
        <v/>
      </c>
    </row>
    <row r="860">
      <c r="R860" s="20" t="str">
        <f>IF($B860="","",IFERROR(IF(INDEX(Config!$D$9:$D$29,MATCH($B860,Config!$B$9:$B$29,0))="Contrato",IF(INDEX(Config!$E$9:$E$29,MATCH($B860,Config!$B$9:$B$29,0))="","",INDEX(Config!$E$9:$E$29,MATCH($B860,Config!$B$9:$B$29,0))),""),""))</f>
        <v/>
      </c>
      <c r="AC860" s="19" t="str">
        <f>IF($B860="","",IFERROR(INDEX(Config!$D$9:$D$29,MATCH($B860,Config!$B$9:$B$29,0))&amp;"",""))</f>
        <v/>
      </c>
    </row>
    <row r="861">
      <c r="R861" s="20" t="str">
        <f>IF($B861="","",IFERROR(IF(INDEX(Config!$D$9:$D$29,MATCH($B861,Config!$B$9:$B$29,0))="Contrato",IF(INDEX(Config!$E$9:$E$29,MATCH($B861,Config!$B$9:$B$29,0))="","",INDEX(Config!$E$9:$E$29,MATCH($B861,Config!$B$9:$B$29,0))),""),""))</f>
        <v/>
      </c>
      <c r="AC861" s="19" t="str">
        <f>IF($B861="","",IFERROR(INDEX(Config!$D$9:$D$29,MATCH($B861,Config!$B$9:$B$29,0))&amp;"",""))</f>
        <v/>
      </c>
    </row>
    <row r="862">
      <c r="R862" s="20" t="str">
        <f>IF($B862="","",IFERROR(IF(INDEX(Config!$D$9:$D$29,MATCH($B862,Config!$B$9:$B$29,0))="Contrato",IF(INDEX(Config!$E$9:$E$29,MATCH($B862,Config!$B$9:$B$29,0))="","",INDEX(Config!$E$9:$E$29,MATCH($B862,Config!$B$9:$B$29,0))),""),""))</f>
        <v/>
      </c>
      <c r="AC862" s="19" t="str">
        <f>IF($B862="","",IFERROR(INDEX(Config!$D$9:$D$29,MATCH($B862,Config!$B$9:$B$29,0))&amp;"",""))</f>
        <v/>
      </c>
    </row>
    <row r="863">
      <c r="R863" s="20" t="str">
        <f>IF($B863="","",IFERROR(IF(INDEX(Config!$D$9:$D$29,MATCH($B863,Config!$B$9:$B$29,0))="Contrato",IF(INDEX(Config!$E$9:$E$29,MATCH($B863,Config!$B$9:$B$29,0))="","",INDEX(Config!$E$9:$E$29,MATCH($B863,Config!$B$9:$B$29,0))),""),""))</f>
        <v/>
      </c>
      <c r="AC863" s="19" t="str">
        <f>IF($B863="","",IFERROR(INDEX(Config!$D$9:$D$29,MATCH($B863,Config!$B$9:$B$29,0))&amp;"",""))</f>
        <v/>
      </c>
    </row>
    <row r="864">
      <c r="R864" s="20" t="str">
        <f>IF($B864="","",IFERROR(IF(INDEX(Config!$D$9:$D$29,MATCH($B864,Config!$B$9:$B$29,0))="Contrato",IF(INDEX(Config!$E$9:$E$29,MATCH($B864,Config!$B$9:$B$29,0))="","",INDEX(Config!$E$9:$E$29,MATCH($B864,Config!$B$9:$B$29,0))),""),""))</f>
        <v/>
      </c>
      <c r="AC864" s="19" t="str">
        <f>IF($B864="","",IFERROR(INDEX(Config!$D$9:$D$29,MATCH($B864,Config!$B$9:$B$29,0))&amp;"",""))</f>
        <v/>
      </c>
    </row>
    <row r="865">
      <c r="R865" s="20" t="str">
        <f>IF($B865="","",IFERROR(IF(INDEX(Config!$D$9:$D$29,MATCH($B865,Config!$B$9:$B$29,0))="Contrato",IF(INDEX(Config!$E$9:$E$29,MATCH($B865,Config!$B$9:$B$29,0))="","",INDEX(Config!$E$9:$E$29,MATCH($B865,Config!$B$9:$B$29,0))),""),""))</f>
        <v/>
      </c>
      <c r="AC865" s="19" t="str">
        <f>IF($B865="","",IFERROR(INDEX(Config!$D$9:$D$29,MATCH($B865,Config!$B$9:$B$29,0))&amp;"",""))</f>
        <v/>
      </c>
    </row>
    <row r="866">
      <c r="R866" s="20" t="str">
        <f>IF($B866="","",IFERROR(IF(INDEX(Config!$D$9:$D$29,MATCH($B866,Config!$B$9:$B$29,0))="Contrato",IF(INDEX(Config!$E$9:$E$29,MATCH($B866,Config!$B$9:$B$29,0))="","",INDEX(Config!$E$9:$E$29,MATCH($B866,Config!$B$9:$B$29,0))),""),""))</f>
        <v/>
      </c>
      <c r="AC866" s="19" t="str">
        <f>IF($B866="","",IFERROR(INDEX(Config!$D$9:$D$29,MATCH($B866,Config!$B$9:$B$29,0))&amp;"",""))</f>
        <v/>
      </c>
    </row>
    <row r="867">
      <c r="R867" s="20" t="str">
        <f>IF($B867="","",IFERROR(IF(INDEX(Config!$D$9:$D$29,MATCH($B867,Config!$B$9:$B$29,0))="Contrato",IF(INDEX(Config!$E$9:$E$29,MATCH($B867,Config!$B$9:$B$29,0))="","",INDEX(Config!$E$9:$E$29,MATCH($B867,Config!$B$9:$B$29,0))),""),""))</f>
        <v/>
      </c>
      <c r="AC867" s="19" t="str">
        <f>IF($B867="","",IFERROR(INDEX(Config!$D$9:$D$29,MATCH($B867,Config!$B$9:$B$29,0))&amp;"",""))</f>
        <v/>
      </c>
    </row>
    <row r="868">
      <c r="R868" s="20" t="str">
        <f>IF($B868="","",IFERROR(IF(INDEX(Config!$D$9:$D$29,MATCH($B868,Config!$B$9:$B$29,0))="Contrato",IF(INDEX(Config!$E$9:$E$29,MATCH($B868,Config!$B$9:$B$29,0))="","",INDEX(Config!$E$9:$E$29,MATCH($B868,Config!$B$9:$B$29,0))),""),""))</f>
        <v/>
      </c>
      <c r="AC868" s="19" t="str">
        <f>IF($B868="","",IFERROR(INDEX(Config!$D$9:$D$29,MATCH($B868,Config!$B$9:$B$29,0))&amp;"",""))</f>
        <v/>
      </c>
    </row>
    <row r="869">
      <c r="R869" s="20" t="str">
        <f>IF($B869="","",IFERROR(IF(INDEX(Config!$D$9:$D$29,MATCH($B869,Config!$B$9:$B$29,0))="Contrato",IF(INDEX(Config!$E$9:$E$29,MATCH($B869,Config!$B$9:$B$29,0))="","",INDEX(Config!$E$9:$E$29,MATCH($B869,Config!$B$9:$B$29,0))),""),""))</f>
        <v/>
      </c>
      <c r="AC869" s="19" t="str">
        <f>IF($B869="","",IFERROR(INDEX(Config!$D$9:$D$29,MATCH($B869,Config!$B$9:$B$29,0))&amp;"",""))</f>
        <v/>
      </c>
    </row>
    <row r="870">
      <c r="R870" s="20" t="str">
        <f>IF($B870="","",IFERROR(IF(INDEX(Config!$D$9:$D$29,MATCH($B870,Config!$B$9:$B$29,0))="Contrato",IF(INDEX(Config!$E$9:$E$29,MATCH($B870,Config!$B$9:$B$29,0))="","",INDEX(Config!$E$9:$E$29,MATCH($B870,Config!$B$9:$B$29,0))),""),""))</f>
        <v/>
      </c>
      <c r="AC870" s="19" t="str">
        <f>IF($B870="","",IFERROR(INDEX(Config!$D$9:$D$29,MATCH($B870,Config!$B$9:$B$29,0))&amp;"",""))</f>
        <v/>
      </c>
    </row>
    <row r="871">
      <c r="R871" s="20" t="str">
        <f>IF($B871="","",IFERROR(IF(INDEX(Config!$D$9:$D$29,MATCH($B871,Config!$B$9:$B$29,0))="Contrato",IF(INDEX(Config!$E$9:$E$29,MATCH($B871,Config!$B$9:$B$29,0))="","",INDEX(Config!$E$9:$E$29,MATCH($B871,Config!$B$9:$B$29,0))),""),""))</f>
        <v/>
      </c>
      <c r="AC871" s="19" t="str">
        <f>IF($B871="","",IFERROR(INDEX(Config!$D$9:$D$29,MATCH($B871,Config!$B$9:$B$29,0))&amp;"",""))</f>
        <v/>
      </c>
    </row>
    <row r="872">
      <c r="R872" s="20" t="str">
        <f>IF($B872="","",IFERROR(IF(INDEX(Config!$D$9:$D$29,MATCH($B872,Config!$B$9:$B$29,0))="Contrato",IF(INDEX(Config!$E$9:$E$29,MATCH($B872,Config!$B$9:$B$29,0))="","",INDEX(Config!$E$9:$E$29,MATCH($B872,Config!$B$9:$B$29,0))),""),""))</f>
        <v/>
      </c>
      <c r="AC872" s="19" t="str">
        <f>IF($B872="","",IFERROR(INDEX(Config!$D$9:$D$29,MATCH($B872,Config!$B$9:$B$29,0))&amp;"",""))</f>
        <v/>
      </c>
    </row>
    <row r="873">
      <c r="R873" s="20" t="str">
        <f>IF($B873="","",IFERROR(IF(INDEX(Config!$D$9:$D$29,MATCH($B873,Config!$B$9:$B$29,0))="Contrato",IF(INDEX(Config!$E$9:$E$29,MATCH($B873,Config!$B$9:$B$29,0))="","",INDEX(Config!$E$9:$E$29,MATCH($B873,Config!$B$9:$B$29,0))),""),""))</f>
        <v/>
      </c>
      <c r="AC873" s="19" t="str">
        <f>IF($B873="","",IFERROR(INDEX(Config!$D$9:$D$29,MATCH($B873,Config!$B$9:$B$29,0))&amp;"",""))</f>
        <v/>
      </c>
    </row>
    <row r="874">
      <c r="R874" s="20" t="str">
        <f>IF($B874="","",IFERROR(IF(INDEX(Config!$D$9:$D$29,MATCH($B874,Config!$B$9:$B$29,0))="Contrato",IF(INDEX(Config!$E$9:$E$29,MATCH($B874,Config!$B$9:$B$29,0))="","",INDEX(Config!$E$9:$E$29,MATCH($B874,Config!$B$9:$B$29,0))),""),""))</f>
        <v/>
      </c>
      <c r="AC874" s="19" t="str">
        <f>IF($B874="","",IFERROR(INDEX(Config!$D$9:$D$29,MATCH($B874,Config!$B$9:$B$29,0))&amp;"",""))</f>
        <v/>
      </c>
    </row>
    <row r="875">
      <c r="R875" s="20" t="str">
        <f>IF($B875="","",IFERROR(IF(INDEX(Config!$D$9:$D$29,MATCH($B875,Config!$B$9:$B$29,0))="Contrato",IF(INDEX(Config!$E$9:$E$29,MATCH($B875,Config!$B$9:$B$29,0))="","",INDEX(Config!$E$9:$E$29,MATCH($B875,Config!$B$9:$B$29,0))),""),""))</f>
        <v/>
      </c>
      <c r="AC875" s="19" t="str">
        <f>IF($B875="","",IFERROR(INDEX(Config!$D$9:$D$29,MATCH($B875,Config!$B$9:$B$29,0))&amp;"",""))</f>
        <v/>
      </c>
    </row>
    <row r="876">
      <c r="R876" s="20" t="str">
        <f>IF($B876="","",IFERROR(IF(INDEX(Config!$D$9:$D$29,MATCH($B876,Config!$B$9:$B$29,0))="Contrato",IF(INDEX(Config!$E$9:$E$29,MATCH($B876,Config!$B$9:$B$29,0))="","",INDEX(Config!$E$9:$E$29,MATCH($B876,Config!$B$9:$B$29,0))),""),""))</f>
        <v/>
      </c>
      <c r="AC876" s="19" t="str">
        <f>IF($B876="","",IFERROR(INDEX(Config!$D$9:$D$29,MATCH($B876,Config!$B$9:$B$29,0))&amp;"",""))</f>
        <v/>
      </c>
    </row>
    <row r="877">
      <c r="R877" s="20" t="str">
        <f>IF($B877="","",IFERROR(IF(INDEX(Config!$D$9:$D$29,MATCH($B877,Config!$B$9:$B$29,0))="Contrato",IF(INDEX(Config!$E$9:$E$29,MATCH($B877,Config!$B$9:$B$29,0))="","",INDEX(Config!$E$9:$E$29,MATCH($B877,Config!$B$9:$B$29,0))),""),""))</f>
        <v/>
      </c>
      <c r="AC877" s="19" t="str">
        <f>IF($B877="","",IFERROR(INDEX(Config!$D$9:$D$29,MATCH($B877,Config!$B$9:$B$29,0))&amp;"",""))</f>
        <v/>
      </c>
    </row>
    <row r="878">
      <c r="R878" s="20" t="str">
        <f>IF($B878="","",IFERROR(IF(INDEX(Config!$D$9:$D$29,MATCH($B878,Config!$B$9:$B$29,0))="Contrato",IF(INDEX(Config!$E$9:$E$29,MATCH($B878,Config!$B$9:$B$29,0))="","",INDEX(Config!$E$9:$E$29,MATCH($B878,Config!$B$9:$B$29,0))),""),""))</f>
        <v/>
      </c>
      <c r="AC878" s="19" t="str">
        <f>IF($B878="","",IFERROR(INDEX(Config!$D$9:$D$29,MATCH($B878,Config!$B$9:$B$29,0))&amp;"",""))</f>
        <v/>
      </c>
    </row>
    <row r="879">
      <c r="R879" s="20" t="str">
        <f>IF($B879="","",IFERROR(IF(INDEX(Config!$D$9:$D$29,MATCH($B879,Config!$B$9:$B$29,0))="Contrato",IF(INDEX(Config!$E$9:$E$29,MATCH($B879,Config!$B$9:$B$29,0))="","",INDEX(Config!$E$9:$E$29,MATCH($B879,Config!$B$9:$B$29,0))),""),""))</f>
        <v/>
      </c>
      <c r="AC879" s="19" t="str">
        <f>IF($B879="","",IFERROR(INDEX(Config!$D$9:$D$29,MATCH($B879,Config!$B$9:$B$29,0))&amp;"",""))</f>
        <v/>
      </c>
    </row>
    <row r="880">
      <c r="R880" s="20" t="str">
        <f>IF($B880="","",IFERROR(IF(INDEX(Config!$D$9:$D$29,MATCH($B880,Config!$B$9:$B$29,0))="Contrato",IF(INDEX(Config!$E$9:$E$29,MATCH($B880,Config!$B$9:$B$29,0))="","",INDEX(Config!$E$9:$E$29,MATCH($B880,Config!$B$9:$B$29,0))),""),""))</f>
        <v/>
      </c>
      <c r="AC880" s="19" t="str">
        <f>IF($B880="","",IFERROR(INDEX(Config!$D$9:$D$29,MATCH($B880,Config!$B$9:$B$29,0))&amp;"",""))</f>
        <v/>
      </c>
    </row>
    <row r="881">
      <c r="R881" s="20" t="str">
        <f>IF($B881="","",IFERROR(IF(INDEX(Config!$D$9:$D$29,MATCH($B881,Config!$B$9:$B$29,0))="Contrato",IF(INDEX(Config!$E$9:$E$29,MATCH($B881,Config!$B$9:$B$29,0))="","",INDEX(Config!$E$9:$E$29,MATCH($B881,Config!$B$9:$B$29,0))),""),""))</f>
        <v/>
      </c>
      <c r="AC881" s="19" t="str">
        <f>IF($B881="","",IFERROR(INDEX(Config!$D$9:$D$29,MATCH($B881,Config!$B$9:$B$29,0))&amp;"",""))</f>
        <v/>
      </c>
    </row>
    <row r="882">
      <c r="R882" s="20" t="str">
        <f>IF($B882="","",IFERROR(IF(INDEX(Config!$D$9:$D$29,MATCH($B882,Config!$B$9:$B$29,0))="Contrato",IF(INDEX(Config!$E$9:$E$29,MATCH($B882,Config!$B$9:$B$29,0))="","",INDEX(Config!$E$9:$E$29,MATCH($B882,Config!$B$9:$B$29,0))),""),""))</f>
        <v/>
      </c>
      <c r="AC882" s="19" t="str">
        <f>IF($B882="","",IFERROR(INDEX(Config!$D$9:$D$29,MATCH($B882,Config!$B$9:$B$29,0))&amp;"",""))</f>
        <v/>
      </c>
    </row>
    <row r="883">
      <c r="R883" s="20" t="str">
        <f>IF($B883="","",IFERROR(IF(INDEX(Config!$D$9:$D$29,MATCH($B883,Config!$B$9:$B$29,0))="Contrato",IF(INDEX(Config!$E$9:$E$29,MATCH($B883,Config!$B$9:$B$29,0))="","",INDEX(Config!$E$9:$E$29,MATCH($B883,Config!$B$9:$B$29,0))),""),""))</f>
        <v/>
      </c>
      <c r="AC883" s="19" t="str">
        <f>IF($B883="","",IFERROR(INDEX(Config!$D$9:$D$29,MATCH($B883,Config!$B$9:$B$29,0))&amp;"",""))</f>
        <v/>
      </c>
    </row>
    <row r="884">
      <c r="R884" s="20" t="str">
        <f>IF($B884="","",IFERROR(IF(INDEX(Config!$D$9:$D$29,MATCH($B884,Config!$B$9:$B$29,0))="Contrato",IF(INDEX(Config!$E$9:$E$29,MATCH($B884,Config!$B$9:$B$29,0))="","",INDEX(Config!$E$9:$E$29,MATCH($B884,Config!$B$9:$B$29,0))),""),""))</f>
        <v/>
      </c>
      <c r="AC884" s="19" t="str">
        <f>IF($B884="","",IFERROR(INDEX(Config!$D$9:$D$29,MATCH($B884,Config!$B$9:$B$29,0))&amp;"",""))</f>
        <v/>
      </c>
    </row>
    <row r="885">
      <c r="R885" s="20" t="str">
        <f>IF($B885="","",IFERROR(IF(INDEX(Config!$D$9:$D$29,MATCH($B885,Config!$B$9:$B$29,0))="Contrato",IF(INDEX(Config!$E$9:$E$29,MATCH($B885,Config!$B$9:$B$29,0))="","",INDEX(Config!$E$9:$E$29,MATCH($B885,Config!$B$9:$B$29,0))),""),""))</f>
        <v/>
      </c>
      <c r="AC885" s="19" t="str">
        <f>IF($B885="","",IFERROR(INDEX(Config!$D$9:$D$29,MATCH($B885,Config!$B$9:$B$29,0))&amp;"",""))</f>
        <v/>
      </c>
    </row>
    <row r="886">
      <c r="R886" s="20" t="str">
        <f>IF($B886="","",IFERROR(IF(INDEX(Config!$D$9:$D$29,MATCH($B886,Config!$B$9:$B$29,0))="Contrato",IF(INDEX(Config!$E$9:$E$29,MATCH($B886,Config!$B$9:$B$29,0))="","",INDEX(Config!$E$9:$E$29,MATCH($B886,Config!$B$9:$B$29,0))),""),""))</f>
        <v/>
      </c>
      <c r="AC886" s="19" t="str">
        <f>IF($B886="","",IFERROR(INDEX(Config!$D$9:$D$29,MATCH($B886,Config!$B$9:$B$29,0))&amp;"",""))</f>
        <v/>
      </c>
    </row>
    <row r="887">
      <c r="R887" s="20" t="str">
        <f>IF($B887="","",IFERROR(IF(INDEX(Config!$D$9:$D$29,MATCH($B887,Config!$B$9:$B$29,0))="Contrato",IF(INDEX(Config!$E$9:$E$29,MATCH($B887,Config!$B$9:$B$29,0))="","",INDEX(Config!$E$9:$E$29,MATCH($B887,Config!$B$9:$B$29,0))),""),""))</f>
        <v/>
      </c>
      <c r="AC887" s="19" t="str">
        <f>IF($B887="","",IFERROR(INDEX(Config!$D$9:$D$29,MATCH($B887,Config!$B$9:$B$29,0))&amp;"",""))</f>
        <v/>
      </c>
    </row>
    <row r="888">
      <c r="R888" s="20" t="str">
        <f>IF($B888="","",IFERROR(IF(INDEX(Config!$D$9:$D$29,MATCH($B888,Config!$B$9:$B$29,0))="Contrato",IF(INDEX(Config!$E$9:$E$29,MATCH($B888,Config!$B$9:$B$29,0))="","",INDEX(Config!$E$9:$E$29,MATCH($B888,Config!$B$9:$B$29,0))),""),""))</f>
        <v/>
      </c>
      <c r="AC888" s="19" t="str">
        <f>IF($B888="","",IFERROR(INDEX(Config!$D$9:$D$29,MATCH($B888,Config!$B$9:$B$29,0))&amp;"",""))</f>
        <v/>
      </c>
    </row>
    <row r="889">
      <c r="R889" s="20" t="str">
        <f>IF($B889="","",IFERROR(IF(INDEX(Config!$D$9:$D$29,MATCH($B889,Config!$B$9:$B$29,0))="Contrato",IF(INDEX(Config!$E$9:$E$29,MATCH($B889,Config!$B$9:$B$29,0))="","",INDEX(Config!$E$9:$E$29,MATCH($B889,Config!$B$9:$B$29,0))),""),""))</f>
        <v/>
      </c>
      <c r="AC889" s="19" t="str">
        <f>IF($B889="","",IFERROR(INDEX(Config!$D$9:$D$29,MATCH($B889,Config!$B$9:$B$29,0))&amp;"",""))</f>
        <v/>
      </c>
    </row>
    <row r="890">
      <c r="R890" s="20" t="str">
        <f>IF($B890="","",IFERROR(IF(INDEX(Config!$D$9:$D$29,MATCH($B890,Config!$B$9:$B$29,0))="Contrato",IF(INDEX(Config!$E$9:$E$29,MATCH($B890,Config!$B$9:$B$29,0))="","",INDEX(Config!$E$9:$E$29,MATCH($B890,Config!$B$9:$B$29,0))),""),""))</f>
        <v/>
      </c>
      <c r="AC890" s="19" t="str">
        <f>IF($B890="","",IFERROR(INDEX(Config!$D$9:$D$29,MATCH($B890,Config!$B$9:$B$29,0))&amp;"",""))</f>
        <v/>
      </c>
    </row>
    <row r="891">
      <c r="R891" s="20" t="str">
        <f>IF($B891="","",IFERROR(IF(INDEX(Config!$D$9:$D$29,MATCH($B891,Config!$B$9:$B$29,0))="Contrato",IF(INDEX(Config!$E$9:$E$29,MATCH($B891,Config!$B$9:$B$29,0))="","",INDEX(Config!$E$9:$E$29,MATCH($B891,Config!$B$9:$B$29,0))),""),""))</f>
        <v/>
      </c>
      <c r="AC891" s="19" t="str">
        <f>IF($B891="","",IFERROR(INDEX(Config!$D$9:$D$29,MATCH($B891,Config!$B$9:$B$29,0))&amp;"",""))</f>
        <v/>
      </c>
    </row>
    <row r="892">
      <c r="R892" s="20" t="str">
        <f>IF($B892="","",IFERROR(IF(INDEX(Config!$D$9:$D$29,MATCH($B892,Config!$B$9:$B$29,0))="Contrato",IF(INDEX(Config!$E$9:$E$29,MATCH($B892,Config!$B$9:$B$29,0))="","",INDEX(Config!$E$9:$E$29,MATCH($B892,Config!$B$9:$B$29,0))),""),""))</f>
        <v/>
      </c>
      <c r="AC892" s="19" t="str">
        <f>IF($B892="","",IFERROR(INDEX(Config!$D$9:$D$29,MATCH($B892,Config!$B$9:$B$29,0))&amp;"",""))</f>
        <v/>
      </c>
    </row>
    <row r="893">
      <c r="R893" s="20" t="str">
        <f>IF($B893="","",IFERROR(IF(INDEX(Config!$D$9:$D$29,MATCH($B893,Config!$B$9:$B$29,0))="Contrato",IF(INDEX(Config!$E$9:$E$29,MATCH($B893,Config!$B$9:$B$29,0))="","",INDEX(Config!$E$9:$E$29,MATCH($B893,Config!$B$9:$B$29,0))),""),""))</f>
        <v/>
      </c>
      <c r="AC893" s="19" t="str">
        <f>IF($B893="","",IFERROR(INDEX(Config!$D$9:$D$29,MATCH($B893,Config!$B$9:$B$29,0))&amp;"",""))</f>
        <v/>
      </c>
    </row>
    <row r="894">
      <c r="R894" s="20" t="str">
        <f>IF($B894="","",IFERROR(IF(INDEX(Config!$D$9:$D$29,MATCH($B894,Config!$B$9:$B$29,0))="Contrato",IF(INDEX(Config!$E$9:$E$29,MATCH($B894,Config!$B$9:$B$29,0))="","",INDEX(Config!$E$9:$E$29,MATCH($B894,Config!$B$9:$B$29,0))),""),""))</f>
        <v/>
      </c>
      <c r="AC894" s="19" t="str">
        <f>IF($B894="","",IFERROR(INDEX(Config!$D$9:$D$29,MATCH($B894,Config!$B$9:$B$29,0))&amp;"",""))</f>
        <v/>
      </c>
    </row>
    <row r="895">
      <c r="R895" s="20" t="str">
        <f>IF($B895="","",IFERROR(IF(INDEX(Config!$D$9:$D$29,MATCH($B895,Config!$B$9:$B$29,0))="Contrato",IF(INDEX(Config!$E$9:$E$29,MATCH($B895,Config!$B$9:$B$29,0))="","",INDEX(Config!$E$9:$E$29,MATCH($B895,Config!$B$9:$B$29,0))),""),""))</f>
        <v/>
      </c>
      <c r="AC895" s="19" t="str">
        <f>IF($B895="","",IFERROR(INDEX(Config!$D$9:$D$29,MATCH($B895,Config!$B$9:$B$29,0))&amp;"",""))</f>
        <v/>
      </c>
    </row>
    <row r="896">
      <c r="R896" s="20" t="str">
        <f>IF($B896="","",IFERROR(IF(INDEX(Config!$D$9:$D$29,MATCH($B896,Config!$B$9:$B$29,0))="Contrato",IF(INDEX(Config!$E$9:$E$29,MATCH($B896,Config!$B$9:$B$29,0))="","",INDEX(Config!$E$9:$E$29,MATCH($B896,Config!$B$9:$B$29,0))),""),""))</f>
        <v/>
      </c>
      <c r="AC896" s="19" t="str">
        <f>IF($B896="","",IFERROR(INDEX(Config!$D$9:$D$29,MATCH($B896,Config!$B$9:$B$29,0))&amp;"",""))</f>
        <v/>
      </c>
    </row>
    <row r="897">
      <c r="R897" s="20" t="str">
        <f>IF($B897="","",IFERROR(IF(INDEX(Config!$D$9:$D$29,MATCH($B897,Config!$B$9:$B$29,0))="Contrato",IF(INDEX(Config!$E$9:$E$29,MATCH($B897,Config!$B$9:$B$29,0))="","",INDEX(Config!$E$9:$E$29,MATCH($B897,Config!$B$9:$B$29,0))),""),""))</f>
        <v/>
      </c>
      <c r="AC897" s="19" t="str">
        <f>IF($B897="","",IFERROR(INDEX(Config!$D$9:$D$29,MATCH($B897,Config!$B$9:$B$29,0))&amp;"",""))</f>
        <v/>
      </c>
    </row>
    <row r="898">
      <c r="R898" s="20" t="str">
        <f>IF($B898="","",IFERROR(IF(INDEX(Config!$D$9:$D$29,MATCH($B898,Config!$B$9:$B$29,0))="Contrato",IF(INDEX(Config!$E$9:$E$29,MATCH($B898,Config!$B$9:$B$29,0))="","",INDEX(Config!$E$9:$E$29,MATCH($B898,Config!$B$9:$B$29,0))),""),""))</f>
        <v/>
      </c>
      <c r="AC898" s="19" t="str">
        <f>IF($B898="","",IFERROR(INDEX(Config!$D$9:$D$29,MATCH($B898,Config!$B$9:$B$29,0))&amp;"",""))</f>
        <v/>
      </c>
    </row>
    <row r="899">
      <c r="R899" s="20" t="str">
        <f>IF($B899="","",IFERROR(IF(INDEX(Config!$D$9:$D$29,MATCH($B899,Config!$B$9:$B$29,0))="Contrato",IF(INDEX(Config!$E$9:$E$29,MATCH($B899,Config!$B$9:$B$29,0))="","",INDEX(Config!$E$9:$E$29,MATCH($B899,Config!$B$9:$B$29,0))),""),""))</f>
        <v/>
      </c>
      <c r="AC899" s="19" t="str">
        <f>IF($B899="","",IFERROR(INDEX(Config!$D$9:$D$29,MATCH($B899,Config!$B$9:$B$29,0))&amp;"",""))</f>
        <v/>
      </c>
    </row>
    <row r="900">
      <c r="R900" s="20" t="str">
        <f>IF($B900="","",IFERROR(IF(INDEX(Config!$D$9:$D$29,MATCH($B900,Config!$B$9:$B$29,0))="Contrato",IF(INDEX(Config!$E$9:$E$29,MATCH($B900,Config!$B$9:$B$29,0))="","",INDEX(Config!$E$9:$E$29,MATCH($B900,Config!$B$9:$B$29,0))),""),""))</f>
        <v/>
      </c>
      <c r="AC900" s="19" t="str">
        <f>IF($B900="","",IFERROR(INDEX(Config!$D$9:$D$29,MATCH($B900,Config!$B$9:$B$29,0))&amp;"",""))</f>
        <v/>
      </c>
    </row>
    <row r="901">
      <c r="R901" s="20" t="str">
        <f>IF($B901="","",IFERROR(IF(INDEX(Config!$D$9:$D$29,MATCH($B901,Config!$B$9:$B$29,0))="Contrato",IF(INDEX(Config!$E$9:$E$29,MATCH($B901,Config!$B$9:$B$29,0))="","",INDEX(Config!$E$9:$E$29,MATCH($B901,Config!$B$9:$B$29,0))),""),""))</f>
        <v/>
      </c>
      <c r="AC901" s="19" t="str">
        <f>IF($B901="","",IFERROR(INDEX(Config!$D$9:$D$29,MATCH($B901,Config!$B$9:$B$29,0))&amp;"",""))</f>
        <v/>
      </c>
    </row>
    <row r="902">
      <c r="R902" s="20" t="str">
        <f>IF($B902="","",IFERROR(IF(INDEX(Config!$D$9:$D$29,MATCH($B902,Config!$B$9:$B$29,0))="Contrato",IF(INDEX(Config!$E$9:$E$29,MATCH($B902,Config!$B$9:$B$29,0))="","",INDEX(Config!$E$9:$E$29,MATCH($B902,Config!$B$9:$B$29,0))),""),""))</f>
        <v/>
      </c>
      <c r="AC902" s="19" t="str">
        <f>IF($B902="","",IFERROR(INDEX(Config!$D$9:$D$29,MATCH($B902,Config!$B$9:$B$29,0))&amp;"",""))</f>
        <v/>
      </c>
    </row>
    <row r="903">
      <c r="R903" s="20" t="str">
        <f>IF($B903="","",IFERROR(IF(INDEX(Config!$D$9:$D$29,MATCH($B903,Config!$B$9:$B$29,0))="Contrato",IF(INDEX(Config!$E$9:$E$29,MATCH($B903,Config!$B$9:$B$29,0))="","",INDEX(Config!$E$9:$E$29,MATCH($B903,Config!$B$9:$B$29,0))),""),""))</f>
        <v/>
      </c>
      <c r="AC903" s="19" t="str">
        <f>IF($B903="","",IFERROR(INDEX(Config!$D$9:$D$29,MATCH($B903,Config!$B$9:$B$29,0))&amp;"",""))</f>
        <v/>
      </c>
    </row>
    <row r="904">
      <c r="R904" s="20" t="str">
        <f>IF($B904="","",IFERROR(IF(INDEX(Config!$D$9:$D$29,MATCH($B904,Config!$B$9:$B$29,0))="Contrato",IF(INDEX(Config!$E$9:$E$29,MATCH($B904,Config!$B$9:$B$29,0))="","",INDEX(Config!$E$9:$E$29,MATCH($B904,Config!$B$9:$B$29,0))),""),""))</f>
        <v/>
      </c>
      <c r="AC904" s="19" t="str">
        <f>IF($B904="","",IFERROR(INDEX(Config!$D$9:$D$29,MATCH($B904,Config!$B$9:$B$29,0))&amp;"",""))</f>
        <v/>
      </c>
    </row>
    <row r="905">
      <c r="R905" s="20" t="str">
        <f>IF($B905="","",IFERROR(IF(INDEX(Config!$D$9:$D$29,MATCH($B905,Config!$B$9:$B$29,0))="Contrato",IF(INDEX(Config!$E$9:$E$29,MATCH($B905,Config!$B$9:$B$29,0))="","",INDEX(Config!$E$9:$E$29,MATCH($B905,Config!$B$9:$B$29,0))),""),""))</f>
        <v/>
      </c>
      <c r="AC905" s="19" t="str">
        <f>IF($B905="","",IFERROR(INDEX(Config!$D$9:$D$29,MATCH($B905,Config!$B$9:$B$29,0))&amp;"",""))</f>
        <v/>
      </c>
    </row>
    <row r="906">
      <c r="R906" s="20" t="str">
        <f>IF($B906="","",IFERROR(IF(INDEX(Config!$D$9:$D$29,MATCH($B906,Config!$B$9:$B$29,0))="Contrato",IF(INDEX(Config!$E$9:$E$29,MATCH($B906,Config!$B$9:$B$29,0))="","",INDEX(Config!$E$9:$E$29,MATCH($B906,Config!$B$9:$B$29,0))),""),""))</f>
        <v/>
      </c>
      <c r="AC906" s="19" t="str">
        <f>IF($B906="","",IFERROR(INDEX(Config!$D$9:$D$29,MATCH($B906,Config!$B$9:$B$29,0))&amp;"",""))</f>
        <v/>
      </c>
    </row>
    <row r="907">
      <c r="R907" s="20" t="str">
        <f>IF($B907="","",IFERROR(IF(INDEX(Config!$D$9:$D$29,MATCH($B907,Config!$B$9:$B$29,0))="Contrato",IF(INDEX(Config!$E$9:$E$29,MATCH($B907,Config!$B$9:$B$29,0))="","",INDEX(Config!$E$9:$E$29,MATCH($B907,Config!$B$9:$B$29,0))),""),""))</f>
        <v/>
      </c>
      <c r="AC907" s="19" t="str">
        <f>IF($B907="","",IFERROR(INDEX(Config!$D$9:$D$29,MATCH($B907,Config!$B$9:$B$29,0))&amp;"",""))</f>
        <v/>
      </c>
    </row>
    <row r="908">
      <c r="R908" s="20" t="str">
        <f>IF($B908="","",IFERROR(IF(INDEX(Config!$D$9:$D$29,MATCH($B908,Config!$B$9:$B$29,0))="Contrato",IF(INDEX(Config!$E$9:$E$29,MATCH($B908,Config!$B$9:$B$29,0))="","",INDEX(Config!$E$9:$E$29,MATCH($B908,Config!$B$9:$B$29,0))),""),""))</f>
        <v/>
      </c>
      <c r="AC908" s="19" t="str">
        <f>IF($B908="","",IFERROR(INDEX(Config!$D$9:$D$29,MATCH($B908,Config!$B$9:$B$29,0))&amp;"",""))</f>
        <v/>
      </c>
    </row>
    <row r="909">
      <c r="R909" s="20" t="str">
        <f>IF($B909="","",IFERROR(IF(INDEX(Config!$D$9:$D$29,MATCH($B909,Config!$B$9:$B$29,0))="Contrato",IF(INDEX(Config!$E$9:$E$29,MATCH($B909,Config!$B$9:$B$29,0))="","",INDEX(Config!$E$9:$E$29,MATCH($B909,Config!$B$9:$B$29,0))),""),""))</f>
        <v/>
      </c>
      <c r="AC909" s="19" t="str">
        <f>IF($B909="","",IFERROR(INDEX(Config!$D$9:$D$29,MATCH($B909,Config!$B$9:$B$29,0))&amp;"",""))</f>
        <v/>
      </c>
    </row>
    <row r="910">
      <c r="R910" s="20" t="str">
        <f>IF($B910="","",IFERROR(IF(INDEX(Config!$D$9:$D$29,MATCH($B910,Config!$B$9:$B$29,0))="Contrato",IF(INDEX(Config!$E$9:$E$29,MATCH($B910,Config!$B$9:$B$29,0))="","",INDEX(Config!$E$9:$E$29,MATCH($B910,Config!$B$9:$B$29,0))),""),""))</f>
        <v/>
      </c>
      <c r="AC910" s="19" t="str">
        <f>IF($B910="","",IFERROR(INDEX(Config!$D$9:$D$29,MATCH($B910,Config!$B$9:$B$29,0))&amp;"",""))</f>
        <v/>
      </c>
    </row>
    <row r="911">
      <c r="R911" s="20" t="str">
        <f>IF($B911="","",IFERROR(IF(INDEX(Config!$D$9:$D$29,MATCH($B911,Config!$B$9:$B$29,0))="Contrato",IF(INDEX(Config!$E$9:$E$29,MATCH($B911,Config!$B$9:$B$29,0))="","",INDEX(Config!$E$9:$E$29,MATCH($B911,Config!$B$9:$B$29,0))),""),""))</f>
        <v/>
      </c>
      <c r="AC911" s="19" t="str">
        <f>IF($B911="","",IFERROR(INDEX(Config!$D$9:$D$29,MATCH($B911,Config!$B$9:$B$29,0))&amp;"",""))</f>
        <v/>
      </c>
    </row>
    <row r="912">
      <c r="R912" s="20" t="str">
        <f>IF($B912="","",IFERROR(IF(INDEX(Config!$D$9:$D$29,MATCH($B912,Config!$B$9:$B$29,0))="Contrato",IF(INDEX(Config!$E$9:$E$29,MATCH($B912,Config!$B$9:$B$29,0))="","",INDEX(Config!$E$9:$E$29,MATCH($B912,Config!$B$9:$B$29,0))),""),""))</f>
        <v/>
      </c>
      <c r="AC912" s="19" t="str">
        <f>IF($B912="","",IFERROR(INDEX(Config!$D$9:$D$29,MATCH($B912,Config!$B$9:$B$29,0))&amp;"",""))</f>
        <v/>
      </c>
    </row>
    <row r="913">
      <c r="R913" s="20" t="str">
        <f>IF($B913="","",IFERROR(IF(INDEX(Config!$D$9:$D$29,MATCH($B913,Config!$B$9:$B$29,0))="Contrato",IF(INDEX(Config!$E$9:$E$29,MATCH($B913,Config!$B$9:$B$29,0))="","",INDEX(Config!$E$9:$E$29,MATCH($B913,Config!$B$9:$B$29,0))),""),""))</f>
        <v/>
      </c>
      <c r="AC913" s="19" t="str">
        <f>IF($B913="","",IFERROR(INDEX(Config!$D$9:$D$29,MATCH($B913,Config!$B$9:$B$29,0))&amp;"",""))</f>
        <v/>
      </c>
    </row>
    <row r="914">
      <c r="R914" s="20" t="str">
        <f>IF($B914="","",IFERROR(IF(INDEX(Config!$D$9:$D$29,MATCH($B914,Config!$B$9:$B$29,0))="Contrato",IF(INDEX(Config!$E$9:$E$29,MATCH($B914,Config!$B$9:$B$29,0))="","",INDEX(Config!$E$9:$E$29,MATCH($B914,Config!$B$9:$B$29,0))),""),""))</f>
        <v/>
      </c>
      <c r="AC914" s="19" t="str">
        <f>IF($B914="","",IFERROR(INDEX(Config!$D$9:$D$29,MATCH($B914,Config!$B$9:$B$29,0))&amp;"",""))</f>
        <v/>
      </c>
    </row>
    <row r="915">
      <c r="R915" s="20" t="str">
        <f>IF($B915="","",IFERROR(IF(INDEX(Config!$D$9:$D$29,MATCH($B915,Config!$B$9:$B$29,0))="Contrato",IF(INDEX(Config!$E$9:$E$29,MATCH($B915,Config!$B$9:$B$29,0))="","",INDEX(Config!$E$9:$E$29,MATCH($B915,Config!$B$9:$B$29,0))),""),""))</f>
        <v/>
      </c>
      <c r="AC915" s="19" t="str">
        <f>IF($B915="","",IFERROR(INDEX(Config!$D$9:$D$29,MATCH($B915,Config!$B$9:$B$29,0))&amp;"",""))</f>
        <v/>
      </c>
    </row>
    <row r="916">
      <c r="R916" s="20" t="str">
        <f>IF($B916="","",IFERROR(IF(INDEX(Config!$D$9:$D$29,MATCH($B916,Config!$B$9:$B$29,0))="Contrato",IF(INDEX(Config!$E$9:$E$29,MATCH($B916,Config!$B$9:$B$29,0))="","",INDEX(Config!$E$9:$E$29,MATCH($B916,Config!$B$9:$B$29,0))),""),""))</f>
        <v/>
      </c>
      <c r="AC916" s="19" t="str">
        <f>IF($B916="","",IFERROR(INDEX(Config!$D$9:$D$29,MATCH($B916,Config!$B$9:$B$29,0))&amp;"",""))</f>
        <v/>
      </c>
    </row>
    <row r="917">
      <c r="R917" s="20" t="str">
        <f>IF($B917="","",IFERROR(IF(INDEX(Config!$D$9:$D$29,MATCH($B917,Config!$B$9:$B$29,0))="Contrato",IF(INDEX(Config!$E$9:$E$29,MATCH($B917,Config!$B$9:$B$29,0))="","",INDEX(Config!$E$9:$E$29,MATCH($B917,Config!$B$9:$B$29,0))),""),""))</f>
        <v/>
      </c>
      <c r="AC917" s="19" t="str">
        <f>IF($B917="","",IFERROR(INDEX(Config!$D$9:$D$29,MATCH($B917,Config!$B$9:$B$29,0))&amp;"",""))</f>
        <v/>
      </c>
    </row>
    <row r="918">
      <c r="R918" s="20" t="str">
        <f>IF($B918="","",IFERROR(IF(INDEX(Config!$D$9:$D$29,MATCH($B918,Config!$B$9:$B$29,0))="Contrato",IF(INDEX(Config!$E$9:$E$29,MATCH($B918,Config!$B$9:$B$29,0))="","",INDEX(Config!$E$9:$E$29,MATCH($B918,Config!$B$9:$B$29,0))),""),""))</f>
        <v/>
      </c>
      <c r="AC918" s="19" t="str">
        <f>IF($B918="","",IFERROR(INDEX(Config!$D$9:$D$29,MATCH($B918,Config!$B$9:$B$29,0))&amp;"",""))</f>
        <v/>
      </c>
    </row>
    <row r="919">
      <c r="R919" s="20" t="str">
        <f>IF($B919="","",IFERROR(IF(INDEX(Config!$D$9:$D$29,MATCH($B919,Config!$B$9:$B$29,0))="Contrato",IF(INDEX(Config!$E$9:$E$29,MATCH($B919,Config!$B$9:$B$29,0))="","",INDEX(Config!$E$9:$E$29,MATCH($B919,Config!$B$9:$B$29,0))),""),""))</f>
        <v/>
      </c>
      <c r="AC919" s="19" t="str">
        <f>IF($B919="","",IFERROR(INDEX(Config!$D$9:$D$29,MATCH($B919,Config!$B$9:$B$29,0))&amp;"",""))</f>
        <v/>
      </c>
    </row>
    <row r="920">
      <c r="R920" s="20" t="str">
        <f>IF($B920="","",IFERROR(IF(INDEX(Config!$D$9:$D$29,MATCH($B920,Config!$B$9:$B$29,0))="Contrato",IF(INDEX(Config!$E$9:$E$29,MATCH($B920,Config!$B$9:$B$29,0))="","",INDEX(Config!$E$9:$E$29,MATCH($B920,Config!$B$9:$B$29,0))),""),""))</f>
        <v/>
      </c>
      <c r="AC920" s="19" t="str">
        <f>IF($B920="","",IFERROR(INDEX(Config!$D$9:$D$29,MATCH($B920,Config!$B$9:$B$29,0))&amp;"",""))</f>
        <v/>
      </c>
    </row>
    <row r="921">
      <c r="R921" s="20" t="str">
        <f>IF($B921="","",IFERROR(IF(INDEX(Config!$D$9:$D$29,MATCH($B921,Config!$B$9:$B$29,0))="Contrato",IF(INDEX(Config!$E$9:$E$29,MATCH($B921,Config!$B$9:$B$29,0))="","",INDEX(Config!$E$9:$E$29,MATCH($B921,Config!$B$9:$B$29,0))),""),""))</f>
        <v/>
      </c>
      <c r="AC921" s="19" t="str">
        <f>IF($B921="","",IFERROR(INDEX(Config!$D$9:$D$29,MATCH($B921,Config!$B$9:$B$29,0))&amp;"",""))</f>
        <v/>
      </c>
    </row>
    <row r="922">
      <c r="R922" s="20" t="str">
        <f>IF($B922="","",IFERROR(IF(INDEX(Config!$D$9:$D$29,MATCH($B922,Config!$B$9:$B$29,0))="Contrato",IF(INDEX(Config!$E$9:$E$29,MATCH($B922,Config!$B$9:$B$29,0))="","",INDEX(Config!$E$9:$E$29,MATCH($B922,Config!$B$9:$B$29,0))),""),""))</f>
        <v/>
      </c>
      <c r="AC922" s="19" t="str">
        <f>IF($B922="","",IFERROR(INDEX(Config!$D$9:$D$29,MATCH($B922,Config!$B$9:$B$29,0))&amp;"",""))</f>
        <v/>
      </c>
    </row>
    <row r="923">
      <c r="R923" s="20" t="str">
        <f>IF($B923="","",IFERROR(IF(INDEX(Config!$D$9:$D$29,MATCH($B923,Config!$B$9:$B$29,0))="Contrato",IF(INDEX(Config!$E$9:$E$29,MATCH($B923,Config!$B$9:$B$29,0))="","",INDEX(Config!$E$9:$E$29,MATCH($B923,Config!$B$9:$B$29,0))),""),""))</f>
        <v/>
      </c>
      <c r="AC923" s="19" t="str">
        <f>IF($B923="","",IFERROR(INDEX(Config!$D$9:$D$29,MATCH($B923,Config!$B$9:$B$29,0))&amp;"",""))</f>
        <v/>
      </c>
    </row>
    <row r="924">
      <c r="R924" s="20" t="str">
        <f>IF($B924="","",IFERROR(IF(INDEX(Config!$D$9:$D$29,MATCH($B924,Config!$B$9:$B$29,0))="Contrato",IF(INDEX(Config!$E$9:$E$29,MATCH($B924,Config!$B$9:$B$29,0))="","",INDEX(Config!$E$9:$E$29,MATCH($B924,Config!$B$9:$B$29,0))),""),""))</f>
        <v/>
      </c>
      <c r="AC924" s="19" t="str">
        <f>IF($B924="","",IFERROR(INDEX(Config!$D$9:$D$29,MATCH($B924,Config!$B$9:$B$29,0))&amp;"",""))</f>
        <v/>
      </c>
    </row>
    <row r="925">
      <c r="R925" s="20" t="str">
        <f>IF($B925="","",IFERROR(IF(INDEX(Config!$D$9:$D$29,MATCH($B925,Config!$B$9:$B$29,0))="Contrato",IF(INDEX(Config!$E$9:$E$29,MATCH($B925,Config!$B$9:$B$29,0))="","",INDEX(Config!$E$9:$E$29,MATCH($B925,Config!$B$9:$B$29,0))),""),""))</f>
        <v/>
      </c>
      <c r="AC925" s="19" t="str">
        <f>IF($B925="","",IFERROR(INDEX(Config!$D$9:$D$29,MATCH($B925,Config!$B$9:$B$29,0))&amp;"",""))</f>
        <v/>
      </c>
    </row>
    <row r="926">
      <c r="R926" s="20" t="str">
        <f>IF($B926="","",IFERROR(IF(INDEX(Config!$D$9:$D$29,MATCH($B926,Config!$B$9:$B$29,0))="Contrato",IF(INDEX(Config!$E$9:$E$29,MATCH($B926,Config!$B$9:$B$29,0))="","",INDEX(Config!$E$9:$E$29,MATCH($B926,Config!$B$9:$B$29,0))),""),""))</f>
        <v/>
      </c>
      <c r="AC926" s="19" t="str">
        <f>IF($B926="","",IFERROR(INDEX(Config!$D$9:$D$29,MATCH($B926,Config!$B$9:$B$29,0))&amp;"",""))</f>
        <v/>
      </c>
    </row>
    <row r="927">
      <c r="R927" s="20" t="str">
        <f>IF($B927="","",IFERROR(IF(INDEX(Config!$D$9:$D$29,MATCH($B927,Config!$B$9:$B$29,0))="Contrato",IF(INDEX(Config!$E$9:$E$29,MATCH($B927,Config!$B$9:$B$29,0))="","",INDEX(Config!$E$9:$E$29,MATCH($B927,Config!$B$9:$B$29,0))),""),""))</f>
        <v/>
      </c>
      <c r="AC927" s="19" t="str">
        <f>IF($B927="","",IFERROR(INDEX(Config!$D$9:$D$29,MATCH($B927,Config!$B$9:$B$29,0))&amp;"",""))</f>
        <v/>
      </c>
    </row>
    <row r="928">
      <c r="R928" s="20" t="str">
        <f>IF($B928="","",IFERROR(IF(INDEX(Config!$D$9:$D$29,MATCH($B928,Config!$B$9:$B$29,0))="Contrato",IF(INDEX(Config!$E$9:$E$29,MATCH($B928,Config!$B$9:$B$29,0))="","",INDEX(Config!$E$9:$E$29,MATCH($B928,Config!$B$9:$B$29,0))),""),""))</f>
        <v/>
      </c>
      <c r="AC928" s="19" t="str">
        <f>IF($B928="","",IFERROR(INDEX(Config!$D$9:$D$29,MATCH($B928,Config!$B$9:$B$29,0))&amp;"",""))</f>
        <v/>
      </c>
    </row>
    <row r="929">
      <c r="R929" s="20" t="str">
        <f>IF($B929="","",IFERROR(IF(INDEX(Config!$D$9:$D$29,MATCH($B929,Config!$B$9:$B$29,0))="Contrato",IF(INDEX(Config!$E$9:$E$29,MATCH($B929,Config!$B$9:$B$29,0))="","",INDEX(Config!$E$9:$E$29,MATCH($B929,Config!$B$9:$B$29,0))),""),""))</f>
        <v/>
      </c>
      <c r="AC929" s="19" t="str">
        <f>IF($B929="","",IFERROR(INDEX(Config!$D$9:$D$29,MATCH($B929,Config!$B$9:$B$29,0))&amp;"",""))</f>
        <v/>
      </c>
    </row>
    <row r="930">
      <c r="R930" s="20" t="str">
        <f>IF($B930="","",IFERROR(IF(INDEX(Config!$D$9:$D$29,MATCH($B930,Config!$B$9:$B$29,0))="Contrato",IF(INDEX(Config!$E$9:$E$29,MATCH($B930,Config!$B$9:$B$29,0))="","",INDEX(Config!$E$9:$E$29,MATCH($B930,Config!$B$9:$B$29,0))),""),""))</f>
        <v/>
      </c>
      <c r="AC930" s="19" t="str">
        <f>IF($B930="","",IFERROR(INDEX(Config!$D$9:$D$29,MATCH($B930,Config!$B$9:$B$29,0))&amp;"",""))</f>
        <v/>
      </c>
    </row>
    <row r="931">
      <c r="R931" s="20" t="str">
        <f>IF($B931="","",IFERROR(IF(INDEX(Config!$D$9:$D$29,MATCH($B931,Config!$B$9:$B$29,0))="Contrato",IF(INDEX(Config!$E$9:$E$29,MATCH($B931,Config!$B$9:$B$29,0))="","",INDEX(Config!$E$9:$E$29,MATCH($B931,Config!$B$9:$B$29,0))),""),""))</f>
        <v/>
      </c>
      <c r="AC931" s="19" t="str">
        <f>IF($B931="","",IFERROR(INDEX(Config!$D$9:$D$29,MATCH($B931,Config!$B$9:$B$29,0))&amp;"",""))</f>
        <v/>
      </c>
    </row>
    <row r="932">
      <c r="R932" s="20" t="str">
        <f>IF($B932="","",IFERROR(IF(INDEX(Config!$D$9:$D$29,MATCH($B932,Config!$B$9:$B$29,0))="Contrato",IF(INDEX(Config!$E$9:$E$29,MATCH($B932,Config!$B$9:$B$29,0))="","",INDEX(Config!$E$9:$E$29,MATCH($B932,Config!$B$9:$B$29,0))),""),""))</f>
        <v/>
      </c>
      <c r="AC932" s="19" t="str">
        <f>IF($B932="","",IFERROR(INDEX(Config!$D$9:$D$29,MATCH($B932,Config!$B$9:$B$29,0))&amp;"",""))</f>
        <v/>
      </c>
    </row>
    <row r="933">
      <c r="R933" s="20" t="str">
        <f>IF($B933="","",IFERROR(IF(INDEX(Config!$D$9:$D$29,MATCH($B933,Config!$B$9:$B$29,0))="Contrato",IF(INDEX(Config!$E$9:$E$29,MATCH($B933,Config!$B$9:$B$29,0))="","",INDEX(Config!$E$9:$E$29,MATCH($B933,Config!$B$9:$B$29,0))),""),""))</f>
        <v/>
      </c>
      <c r="AC933" s="19" t="str">
        <f>IF($B933="","",IFERROR(INDEX(Config!$D$9:$D$29,MATCH($B933,Config!$B$9:$B$29,0))&amp;"",""))</f>
        <v/>
      </c>
    </row>
    <row r="934">
      <c r="R934" s="20" t="str">
        <f>IF($B934="","",IFERROR(IF(INDEX(Config!$D$9:$D$29,MATCH($B934,Config!$B$9:$B$29,0))="Contrato",IF(INDEX(Config!$E$9:$E$29,MATCH($B934,Config!$B$9:$B$29,0))="","",INDEX(Config!$E$9:$E$29,MATCH($B934,Config!$B$9:$B$29,0))),""),""))</f>
        <v/>
      </c>
      <c r="AC934" s="19" t="str">
        <f>IF($B934="","",IFERROR(INDEX(Config!$D$9:$D$29,MATCH($B934,Config!$B$9:$B$29,0))&amp;"",""))</f>
        <v/>
      </c>
    </row>
    <row r="935">
      <c r="R935" s="20" t="str">
        <f>IF($B935="","",IFERROR(IF(INDEX(Config!$D$9:$D$29,MATCH($B935,Config!$B$9:$B$29,0))="Contrato",IF(INDEX(Config!$E$9:$E$29,MATCH($B935,Config!$B$9:$B$29,0))="","",INDEX(Config!$E$9:$E$29,MATCH($B935,Config!$B$9:$B$29,0))),""),""))</f>
        <v/>
      </c>
      <c r="AC935" s="19" t="str">
        <f>IF($B935="","",IFERROR(INDEX(Config!$D$9:$D$29,MATCH($B935,Config!$B$9:$B$29,0))&amp;"",""))</f>
        <v/>
      </c>
    </row>
    <row r="936">
      <c r="R936" s="20" t="str">
        <f>IF($B936="","",IFERROR(IF(INDEX(Config!$D$9:$D$29,MATCH($B936,Config!$B$9:$B$29,0))="Contrato",IF(INDEX(Config!$E$9:$E$29,MATCH($B936,Config!$B$9:$B$29,0))="","",INDEX(Config!$E$9:$E$29,MATCH($B936,Config!$B$9:$B$29,0))),""),""))</f>
        <v/>
      </c>
      <c r="AC936" s="19" t="str">
        <f>IF($B936="","",IFERROR(INDEX(Config!$D$9:$D$29,MATCH($B936,Config!$B$9:$B$29,0))&amp;"",""))</f>
        <v/>
      </c>
    </row>
    <row r="937">
      <c r="R937" s="20" t="str">
        <f>IF($B937="","",IFERROR(IF(INDEX(Config!$D$9:$D$29,MATCH($B937,Config!$B$9:$B$29,0))="Contrato",IF(INDEX(Config!$E$9:$E$29,MATCH($B937,Config!$B$9:$B$29,0))="","",INDEX(Config!$E$9:$E$29,MATCH($B937,Config!$B$9:$B$29,0))),""),""))</f>
        <v/>
      </c>
      <c r="AC937" s="19" t="str">
        <f>IF($B937="","",IFERROR(INDEX(Config!$D$9:$D$29,MATCH($B937,Config!$B$9:$B$29,0))&amp;"",""))</f>
        <v/>
      </c>
    </row>
    <row r="938">
      <c r="R938" s="20" t="str">
        <f>IF($B938="","",IFERROR(IF(INDEX(Config!$D$9:$D$29,MATCH($B938,Config!$B$9:$B$29,0))="Contrato",IF(INDEX(Config!$E$9:$E$29,MATCH($B938,Config!$B$9:$B$29,0))="","",INDEX(Config!$E$9:$E$29,MATCH($B938,Config!$B$9:$B$29,0))),""),""))</f>
        <v/>
      </c>
      <c r="AC938" s="19" t="str">
        <f>IF($B938="","",IFERROR(INDEX(Config!$D$9:$D$29,MATCH($B938,Config!$B$9:$B$29,0))&amp;"",""))</f>
        <v/>
      </c>
    </row>
    <row r="939">
      <c r="R939" s="20" t="str">
        <f>IF($B939="","",IFERROR(IF(INDEX(Config!$D$9:$D$29,MATCH($B939,Config!$B$9:$B$29,0))="Contrato",IF(INDEX(Config!$E$9:$E$29,MATCH($B939,Config!$B$9:$B$29,0))="","",INDEX(Config!$E$9:$E$29,MATCH($B939,Config!$B$9:$B$29,0))),""),""))</f>
        <v/>
      </c>
      <c r="AC939" s="19" t="str">
        <f>IF($B939="","",IFERROR(INDEX(Config!$D$9:$D$29,MATCH($B939,Config!$B$9:$B$29,0))&amp;"",""))</f>
        <v/>
      </c>
    </row>
    <row r="940">
      <c r="R940" s="20" t="str">
        <f>IF($B940="","",IFERROR(IF(INDEX(Config!$D$9:$D$29,MATCH($B940,Config!$B$9:$B$29,0))="Contrato",IF(INDEX(Config!$E$9:$E$29,MATCH($B940,Config!$B$9:$B$29,0))="","",INDEX(Config!$E$9:$E$29,MATCH($B940,Config!$B$9:$B$29,0))),""),""))</f>
        <v/>
      </c>
      <c r="AC940" s="19" t="str">
        <f>IF($B940="","",IFERROR(INDEX(Config!$D$9:$D$29,MATCH($B940,Config!$B$9:$B$29,0))&amp;"",""))</f>
        <v/>
      </c>
    </row>
    <row r="941">
      <c r="R941" s="20" t="str">
        <f>IF($B941="","",IFERROR(IF(INDEX(Config!$D$9:$D$29,MATCH($B941,Config!$B$9:$B$29,0))="Contrato",IF(INDEX(Config!$E$9:$E$29,MATCH($B941,Config!$B$9:$B$29,0))="","",INDEX(Config!$E$9:$E$29,MATCH($B941,Config!$B$9:$B$29,0))),""),""))</f>
        <v/>
      </c>
      <c r="AC941" s="19" t="str">
        <f>IF($B941="","",IFERROR(INDEX(Config!$D$9:$D$29,MATCH($B941,Config!$B$9:$B$29,0))&amp;"",""))</f>
        <v/>
      </c>
    </row>
    <row r="942">
      <c r="R942" s="20" t="str">
        <f>IF($B942="","",IFERROR(IF(INDEX(Config!$D$9:$D$29,MATCH($B942,Config!$B$9:$B$29,0))="Contrato",IF(INDEX(Config!$E$9:$E$29,MATCH($B942,Config!$B$9:$B$29,0))="","",INDEX(Config!$E$9:$E$29,MATCH($B942,Config!$B$9:$B$29,0))),""),""))</f>
        <v/>
      </c>
      <c r="AC942" s="19" t="str">
        <f>IF($B942="","",IFERROR(INDEX(Config!$D$9:$D$29,MATCH($B942,Config!$B$9:$B$29,0))&amp;"",""))</f>
        <v/>
      </c>
    </row>
    <row r="943">
      <c r="R943" s="20" t="str">
        <f>IF($B943="","",IFERROR(IF(INDEX(Config!$D$9:$D$29,MATCH($B943,Config!$B$9:$B$29,0))="Contrato",IF(INDEX(Config!$E$9:$E$29,MATCH($B943,Config!$B$9:$B$29,0))="","",INDEX(Config!$E$9:$E$29,MATCH($B943,Config!$B$9:$B$29,0))),""),""))</f>
        <v/>
      </c>
      <c r="AC943" s="19" t="str">
        <f>IF($B943="","",IFERROR(INDEX(Config!$D$9:$D$29,MATCH($B943,Config!$B$9:$B$29,0))&amp;"",""))</f>
        <v/>
      </c>
    </row>
    <row r="944">
      <c r="R944" s="20" t="str">
        <f>IF($B944="","",IFERROR(IF(INDEX(Config!$D$9:$D$29,MATCH($B944,Config!$B$9:$B$29,0))="Contrato",IF(INDEX(Config!$E$9:$E$29,MATCH($B944,Config!$B$9:$B$29,0))="","",INDEX(Config!$E$9:$E$29,MATCH($B944,Config!$B$9:$B$29,0))),""),""))</f>
        <v/>
      </c>
      <c r="AC944" s="19" t="str">
        <f>IF($B944="","",IFERROR(INDEX(Config!$D$9:$D$29,MATCH($B944,Config!$B$9:$B$29,0))&amp;"",""))</f>
        <v/>
      </c>
    </row>
    <row r="945">
      <c r="R945" s="20" t="str">
        <f>IF($B945="","",IFERROR(IF(INDEX(Config!$D$9:$D$29,MATCH($B945,Config!$B$9:$B$29,0))="Contrato",IF(INDEX(Config!$E$9:$E$29,MATCH($B945,Config!$B$9:$B$29,0))="","",INDEX(Config!$E$9:$E$29,MATCH($B945,Config!$B$9:$B$29,0))),""),""))</f>
        <v/>
      </c>
      <c r="AC945" s="19" t="str">
        <f>IF($B945="","",IFERROR(INDEX(Config!$D$9:$D$29,MATCH($B945,Config!$B$9:$B$29,0))&amp;"",""))</f>
        <v/>
      </c>
    </row>
    <row r="946">
      <c r="R946" s="20" t="str">
        <f>IF($B946="","",IFERROR(IF(INDEX(Config!$D$9:$D$29,MATCH($B946,Config!$B$9:$B$29,0))="Contrato",IF(INDEX(Config!$E$9:$E$29,MATCH($B946,Config!$B$9:$B$29,0))="","",INDEX(Config!$E$9:$E$29,MATCH($B946,Config!$B$9:$B$29,0))),""),""))</f>
        <v/>
      </c>
      <c r="AC946" s="19" t="str">
        <f>IF($B946="","",IFERROR(INDEX(Config!$D$9:$D$29,MATCH($B946,Config!$B$9:$B$29,0))&amp;"",""))</f>
        <v/>
      </c>
    </row>
    <row r="947">
      <c r="R947" s="20" t="str">
        <f>IF($B947="","",IFERROR(IF(INDEX(Config!$D$9:$D$29,MATCH($B947,Config!$B$9:$B$29,0))="Contrato",IF(INDEX(Config!$E$9:$E$29,MATCH($B947,Config!$B$9:$B$29,0))="","",INDEX(Config!$E$9:$E$29,MATCH($B947,Config!$B$9:$B$29,0))),""),""))</f>
        <v/>
      </c>
      <c r="AC947" s="19" t="str">
        <f>IF($B947="","",IFERROR(INDEX(Config!$D$9:$D$29,MATCH($B947,Config!$B$9:$B$29,0))&amp;"",""))</f>
        <v/>
      </c>
    </row>
    <row r="948">
      <c r="R948" s="20" t="str">
        <f>IF($B948="","",IFERROR(IF(INDEX(Config!$D$9:$D$29,MATCH($B948,Config!$B$9:$B$29,0))="Contrato",IF(INDEX(Config!$E$9:$E$29,MATCH($B948,Config!$B$9:$B$29,0))="","",INDEX(Config!$E$9:$E$29,MATCH($B948,Config!$B$9:$B$29,0))),""),""))</f>
        <v/>
      </c>
      <c r="AC948" s="19" t="str">
        <f>IF($B948="","",IFERROR(INDEX(Config!$D$9:$D$29,MATCH($B948,Config!$B$9:$B$29,0))&amp;"",""))</f>
        <v/>
      </c>
    </row>
    <row r="949">
      <c r="R949" s="20" t="str">
        <f>IF($B949="","",IFERROR(IF(INDEX(Config!$D$9:$D$29,MATCH($B949,Config!$B$9:$B$29,0))="Contrato",IF(INDEX(Config!$E$9:$E$29,MATCH($B949,Config!$B$9:$B$29,0))="","",INDEX(Config!$E$9:$E$29,MATCH($B949,Config!$B$9:$B$29,0))),""),""))</f>
        <v/>
      </c>
      <c r="AC949" s="19" t="str">
        <f>IF($B949="","",IFERROR(INDEX(Config!$D$9:$D$29,MATCH($B949,Config!$B$9:$B$29,0))&amp;"",""))</f>
        <v/>
      </c>
    </row>
    <row r="950">
      <c r="R950" s="20" t="str">
        <f>IF($B950="","",IFERROR(IF(INDEX(Config!$D$9:$D$29,MATCH($B950,Config!$B$9:$B$29,0))="Contrato",IF(INDEX(Config!$E$9:$E$29,MATCH($B950,Config!$B$9:$B$29,0))="","",INDEX(Config!$E$9:$E$29,MATCH($B950,Config!$B$9:$B$29,0))),""),""))</f>
        <v/>
      </c>
      <c r="AC950" s="19" t="str">
        <f>IF($B950="","",IFERROR(INDEX(Config!$D$9:$D$29,MATCH($B950,Config!$B$9:$B$29,0))&amp;"",""))</f>
        <v/>
      </c>
    </row>
    <row r="951">
      <c r="R951" s="20" t="str">
        <f>IF($B951="","",IFERROR(IF(INDEX(Config!$D$9:$D$29,MATCH($B951,Config!$B$9:$B$29,0))="Contrato",IF(INDEX(Config!$E$9:$E$29,MATCH($B951,Config!$B$9:$B$29,0))="","",INDEX(Config!$E$9:$E$29,MATCH($B951,Config!$B$9:$B$29,0))),""),""))</f>
        <v/>
      </c>
      <c r="AC951" s="19" t="str">
        <f>IF($B951="","",IFERROR(INDEX(Config!$D$9:$D$29,MATCH($B951,Config!$B$9:$B$29,0))&amp;"",""))</f>
        <v/>
      </c>
    </row>
    <row r="952">
      <c r="R952" s="20" t="str">
        <f>IF($B952="","",IFERROR(IF(INDEX(Config!$D$9:$D$29,MATCH($B952,Config!$B$9:$B$29,0))="Contrato",IF(INDEX(Config!$E$9:$E$29,MATCH($B952,Config!$B$9:$B$29,0))="","",INDEX(Config!$E$9:$E$29,MATCH($B952,Config!$B$9:$B$29,0))),""),""))</f>
        <v/>
      </c>
      <c r="AC952" s="19" t="str">
        <f>IF($B952="","",IFERROR(INDEX(Config!$D$9:$D$29,MATCH($B952,Config!$B$9:$B$29,0))&amp;"",""))</f>
        <v/>
      </c>
    </row>
    <row r="953">
      <c r="R953" s="20" t="str">
        <f>IF($B953="","",IFERROR(IF(INDEX(Config!$D$9:$D$29,MATCH($B953,Config!$B$9:$B$29,0))="Contrato",IF(INDEX(Config!$E$9:$E$29,MATCH($B953,Config!$B$9:$B$29,0))="","",INDEX(Config!$E$9:$E$29,MATCH($B953,Config!$B$9:$B$29,0))),""),""))</f>
        <v/>
      </c>
      <c r="AC953" s="19" t="str">
        <f>IF($B953="","",IFERROR(INDEX(Config!$D$9:$D$29,MATCH($B953,Config!$B$9:$B$29,0))&amp;"",""))</f>
        <v/>
      </c>
    </row>
    <row r="954">
      <c r="R954" s="20" t="str">
        <f>IF($B954="","",IFERROR(IF(INDEX(Config!$D$9:$D$29,MATCH($B954,Config!$B$9:$B$29,0))="Contrato",IF(INDEX(Config!$E$9:$E$29,MATCH($B954,Config!$B$9:$B$29,0))="","",INDEX(Config!$E$9:$E$29,MATCH($B954,Config!$B$9:$B$29,0))),""),""))</f>
        <v/>
      </c>
      <c r="AC954" s="19" t="str">
        <f>IF($B954="","",IFERROR(INDEX(Config!$D$9:$D$29,MATCH($B954,Config!$B$9:$B$29,0))&amp;"",""))</f>
        <v/>
      </c>
    </row>
    <row r="955">
      <c r="R955" s="20" t="str">
        <f>IF($B955="","",IFERROR(IF(INDEX(Config!$D$9:$D$29,MATCH($B955,Config!$B$9:$B$29,0))="Contrato",IF(INDEX(Config!$E$9:$E$29,MATCH($B955,Config!$B$9:$B$29,0))="","",INDEX(Config!$E$9:$E$29,MATCH($B955,Config!$B$9:$B$29,0))),""),""))</f>
        <v/>
      </c>
      <c r="AC955" s="19" t="str">
        <f>IF($B955="","",IFERROR(INDEX(Config!$D$9:$D$29,MATCH($B955,Config!$B$9:$B$29,0))&amp;"",""))</f>
        <v/>
      </c>
    </row>
    <row r="956">
      <c r="R956" s="20" t="str">
        <f>IF($B956="","",IFERROR(IF(INDEX(Config!$D$9:$D$29,MATCH($B956,Config!$B$9:$B$29,0))="Contrato",IF(INDEX(Config!$E$9:$E$29,MATCH($B956,Config!$B$9:$B$29,0))="","",INDEX(Config!$E$9:$E$29,MATCH($B956,Config!$B$9:$B$29,0))),""),""))</f>
        <v/>
      </c>
      <c r="AC956" s="19" t="str">
        <f>IF($B956="","",IFERROR(INDEX(Config!$D$9:$D$29,MATCH($B956,Config!$B$9:$B$29,0))&amp;"",""))</f>
        <v/>
      </c>
    </row>
    <row r="957">
      <c r="R957" s="20" t="str">
        <f>IF($B957="","",IFERROR(IF(INDEX(Config!$D$9:$D$29,MATCH($B957,Config!$B$9:$B$29,0))="Contrato",IF(INDEX(Config!$E$9:$E$29,MATCH($B957,Config!$B$9:$B$29,0))="","",INDEX(Config!$E$9:$E$29,MATCH($B957,Config!$B$9:$B$29,0))),""),""))</f>
        <v/>
      </c>
      <c r="AC957" s="19" t="str">
        <f>IF($B957="","",IFERROR(INDEX(Config!$D$9:$D$29,MATCH($B957,Config!$B$9:$B$29,0))&amp;"",""))</f>
        <v/>
      </c>
    </row>
    <row r="958">
      <c r="R958" s="20" t="str">
        <f>IF($B958="","",IFERROR(IF(INDEX(Config!$D$9:$D$29,MATCH($B958,Config!$B$9:$B$29,0))="Contrato",IF(INDEX(Config!$E$9:$E$29,MATCH($B958,Config!$B$9:$B$29,0))="","",INDEX(Config!$E$9:$E$29,MATCH($B958,Config!$B$9:$B$29,0))),""),""))</f>
        <v/>
      </c>
      <c r="AC958" s="19" t="str">
        <f>IF($B958="","",IFERROR(INDEX(Config!$D$9:$D$29,MATCH($B958,Config!$B$9:$B$29,0))&amp;"",""))</f>
        <v/>
      </c>
    </row>
    <row r="959">
      <c r="R959" s="20" t="str">
        <f>IF($B959="","",IFERROR(IF(INDEX(Config!$D$9:$D$29,MATCH($B959,Config!$B$9:$B$29,0))="Contrato",IF(INDEX(Config!$E$9:$E$29,MATCH($B959,Config!$B$9:$B$29,0))="","",INDEX(Config!$E$9:$E$29,MATCH($B959,Config!$B$9:$B$29,0))),""),""))</f>
        <v/>
      </c>
      <c r="AC959" s="19" t="str">
        <f>IF($B959="","",IFERROR(INDEX(Config!$D$9:$D$29,MATCH($B959,Config!$B$9:$B$29,0))&amp;"",""))</f>
        <v/>
      </c>
    </row>
    <row r="960">
      <c r="R960" s="20" t="str">
        <f>IF($B960="","",IFERROR(IF(INDEX(Config!$D$9:$D$29,MATCH($B960,Config!$B$9:$B$29,0))="Contrato",IF(INDEX(Config!$E$9:$E$29,MATCH($B960,Config!$B$9:$B$29,0))="","",INDEX(Config!$E$9:$E$29,MATCH($B960,Config!$B$9:$B$29,0))),""),""))</f>
        <v/>
      </c>
      <c r="AC960" s="19" t="str">
        <f>IF($B960="","",IFERROR(INDEX(Config!$D$9:$D$29,MATCH($B960,Config!$B$9:$B$29,0))&amp;"",""))</f>
        <v/>
      </c>
    </row>
    <row r="961">
      <c r="R961" s="20" t="str">
        <f>IF($B961="","",IFERROR(IF(INDEX(Config!$D$9:$D$29,MATCH($B961,Config!$B$9:$B$29,0))="Contrato",IF(INDEX(Config!$E$9:$E$29,MATCH($B961,Config!$B$9:$B$29,0))="","",INDEX(Config!$E$9:$E$29,MATCH($B961,Config!$B$9:$B$29,0))),""),""))</f>
        <v/>
      </c>
      <c r="AC961" s="19" t="str">
        <f>IF($B961="","",IFERROR(INDEX(Config!$D$9:$D$29,MATCH($B961,Config!$B$9:$B$29,0))&amp;"",""))</f>
        <v/>
      </c>
    </row>
    <row r="962">
      <c r="R962" s="20" t="str">
        <f>IF($B962="","",IFERROR(IF(INDEX(Config!$D$9:$D$29,MATCH($B962,Config!$B$9:$B$29,0))="Contrato",IF(INDEX(Config!$E$9:$E$29,MATCH($B962,Config!$B$9:$B$29,0))="","",INDEX(Config!$E$9:$E$29,MATCH($B962,Config!$B$9:$B$29,0))),""),""))</f>
        <v/>
      </c>
      <c r="AC962" s="19" t="str">
        <f>IF($B962="","",IFERROR(INDEX(Config!$D$9:$D$29,MATCH($B962,Config!$B$9:$B$29,0))&amp;"",""))</f>
        <v/>
      </c>
    </row>
    <row r="963">
      <c r="R963" s="20" t="str">
        <f>IF($B963="","",IFERROR(IF(INDEX(Config!$D$9:$D$29,MATCH($B963,Config!$B$9:$B$29,0))="Contrato",IF(INDEX(Config!$E$9:$E$29,MATCH($B963,Config!$B$9:$B$29,0))="","",INDEX(Config!$E$9:$E$29,MATCH($B963,Config!$B$9:$B$29,0))),""),""))</f>
        <v/>
      </c>
      <c r="AC963" s="19" t="str">
        <f>IF($B963="","",IFERROR(INDEX(Config!$D$9:$D$29,MATCH($B963,Config!$B$9:$B$29,0))&amp;"",""))</f>
        <v/>
      </c>
    </row>
    <row r="964">
      <c r="R964" s="20" t="str">
        <f>IF($B964="","",IFERROR(IF(INDEX(Config!$D$9:$D$29,MATCH($B964,Config!$B$9:$B$29,0))="Contrato",IF(INDEX(Config!$E$9:$E$29,MATCH($B964,Config!$B$9:$B$29,0))="","",INDEX(Config!$E$9:$E$29,MATCH($B964,Config!$B$9:$B$29,0))),""),""))</f>
        <v/>
      </c>
      <c r="AC964" s="19" t="str">
        <f>IF($B964="","",IFERROR(INDEX(Config!$D$9:$D$29,MATCH($B964,Config!$B$9:$B$29,0))&amp;"",""))</f>
        <v/>
      </c>
    </row>
    <row r="965">
      <c r="R965" s="20" t="str">
        <f>IF($B965="","",IFERROR(IF(INDEX(Config!$D$9:$D$29,MATCH($B965,Config!$B$9:$B$29,0))="Contrato",IF(INDEX(Config!$E$9:$E$29,MATCH($B965,Config!$B$9:$B$29,0))="","",INDEX(Config!$E$9:$E$29,MATCH($B965,Config!$B$9:$B$29,0))),""),""))</f>
        <v/>
      </c>
      <c r="AC965" s="19" t="str">
        <f>IF($B965="","",IFERROR(INDEX(Config!$D$9:$D$29,MATCH($B965,Config!$B$9:$B$29,0))&amp;"",""))</f>
        <v/>
      </c>
    </row>
    <row r="966">
      <c r="R966" s="20" t="str">
        <f>IF($B966="","",IFERROR(IF(INDEX(Config!$D$9:$D$29,MATCH($B966,Config!$B$9:$B$29,0))="Contrato",IF(INDEX(Config!$E$9:$E$29,MATCH($B966,Config!$B$9:$B$29,0))="","",INDEX(Config!$E$9:$E$29,MATCH($B966,Config!$B$9:$B$29,0))),""),""))</f>
        <v/>
      </c>
      <c r="AC966" s="19" t="str">
        <f>IF($B966="","",IFERROR(INDEX(Config!$D$9:$D$29,MATCH($B966,Config!$B$9:$B$29,0))&amp;"",""))</f>
        <v/>
      </c>
    </row>
    <row r="967">
      <c r="R967" s="20" t="str">
        <f>IF($B967="","",IFERROR(IF(INDEX(Config!$D$9:$D$29,MATCH($B967,Config!$B$9:$B$29,0))="Contrato",IF(INDEX(Config!$E$9:$E$29,MATCH($B967,Config!$B$9:$B$29,0))="","",INDEX(Config!$E$9:$E$29,MATCH($B967,Config!$B$9:$B$29,0))),""),""))</f>
        <v/>
      </c>
      <c r="AC967" s="19" t="str">
        <f>IF($B967="","",IFERROR(INDEX(Config!$D$9:$D$29,MATCH($B967,Config!$B$9:$B$29,0))&amp;"",""))</f>
        <v/>
      </c>
    </row>
    <row r="968">
      <c r="R968" s="20" t="str">
        <f>IF($B968="","",IFERROR(IF(INDEX(Config!$D$9:$D$29,MATCH($B968,Config!$B$9:$B$29,0))="Contrato",IF(INDEX(Config!$E$9:$E$29,MATCH($B968,Config!$B$9:$B$29,0))="","",INDEX(Config!$E$9:$E$29,MATCH($B968,Config!$B$9:$B$29,0))),""),""))</f>
        <v/>
      </c>
      <c r="AC968" s="19" t="str">
        <f>IF($B968="","",IFERROR(INDEX(Config!$D$9:$D$29,MATCH($B968,Config!$B$9:$B$29,0))&amp;"",""))</f>
        <v/>
      </c>
    </row>
    <row r="969">
      <c r="R969" s="20" t="str">
        <f>IF($B969="","",IFERROR(IF(INDEX(Config!$D$9:$D$29,MATCH($B969,Config!$B$9:$B$29,0))="Contrato",IF(INDEX(Config!$E$9:$E$29,MATCH($B969,Config!$B$9:$B$29,0))="","",INDEX(Config!$E$9:$E$29,MATCH($B969,Config!$B$9:$B$29,0))),""),""))</f>
        <v/>
      </c>
      <c r="AC969" s="19" t="str">
        <f>IF($B969="","",IFERROR(INDEX(Config!$D$9:$D$29,MATCH($B969,Config!$B$9:$B$29,0))&amp;"",""))</f>
        <v/>
      </c>
    </row>
    <row r="970">
      <c r="R970" s="20" t="str">
        <f>IF($B970="","",IFERROR(IF(INDEX(Config!$D$9:$D$29,MATCH($B970,Config!$B$9:$B$29,0))="Contrato",IF(INDEX(Config!$E$9:$E$29,MATCH($B970,Config!$B$9:$B$29,0))="","",INDEX(Config!$E$9:$E$29,MATCH($B970,Config!$B$9:$B$29,0))),""),""))</f>
        <v/>
      </c>
      <c r="AC970" s="19" t="str">
        <f>IF($B970="","",IFERROR(INDEX(Config!$D$9:$D$29,MATCH($B970,Config!$B$9:$B$29,0))&amp;"",""))</f>
        <v/>
      </c>
    </row>
    <row r="971">
      <c r="R971" s="20" t="str">
        <f>IF($B971="","",IFERROR(IF(INDEX(Config!$D$9:$D$29,MATCH($B971,Config!$B$9:$B$29,0))="Contrato",IF(INDEX(Config!$E$9:$E$29,MATCH($B971,Config!$B$9:$B$29,0))="","",INDEX(Config!$E$9:$E$29,MATCH($B971,Config!$B$9:$B$29,0))),""),""))</f>
        <v/>
      </c>
      <c r="AC971" s="19" t="str">
        <f>IF($B971="","",IFERROR(INDEX(Config!$D$9:$D$29,MATCH($B971,Config!$B$9:$B$29,0))&amp;"",""))</f>
        <v/>
      </c>
    </row>
    <row r="972">
      <c r="R972" s="20" t="str">
        <f>IF($B972="","",IFERROR(IF(INDEX(Config!$D$9:$D$29,MATCH($B972,Config!$B$9:$B$29,0))="Contrato",IF(INDEX(Config!$E$9:$E$29,MATCH($B972,Config!$B$9:$B$29,0))="","",INDEX(Config!$E$9:$E$29,MATCH($B972,Config!$B$9:$B$29,0))),""),""))</f>
        <v/>
      </c>
      <c r="AC972" s="19" t="str">
        <f>IF($B972="","",IFERROR(INDEX(Config!$D$9:$D$29,MATCH($B972,Config!$B$9:$B$29,0))&amp;"",""))</f>
        <v/>
      </c>
    </row>
    <row r="973">
      <c r="R973" s="20" t="str">
        <f>IF($B973="","",IFERROR(IF(INDEX(Config!$D$9:$D$29,MATCH($B973,Config!$B$9:$B$29,0))="Contrato",IF(INDEX(Config!$E$9:$E$29,MATCH($B973,Config!$B$9:$B$29,0))="","",INDEX(Config!$E$9:$E$29,MATCH($B973,Config!$B$9:$B$29,0))),""),""))</f>
        <v/>
      </c>
      <c r="AC973" s="19" t="str">
        <f>IF($B973="","",IFERROR(INDEX(Config!$D$9:$D$29,MATCH($B973,Config!$B$9:$B$29,0))&amp;"",""))</f>
        <v/>
      </c>
    </row>
    <row r="974">
      <c r="R974" s="20" t="str">
        <f>IF($B974="","",IFERROR(IF(INDEX(Config!$D$9:$D$29,MATCH($B974,Config!$B$9:$B$29,0))="Contrato",IF(INDEX(Config!$E$9:$E$29,MATCH($B974,Config!$B$9:$B$29,0))="","",INDEX(Config!$E$9:$E$29,MATCH($B974,Config!$B$9:$B$29,0))),""),""))</f>
        <v/>
      </c>
      <c r="AC974" s="19" t="str">
        <f>IF($B974="","",IFERROR(INDEX(Config!$D$9:$D$29,MATCH($B974,Config!$B$9:$B$29,0))&amp;"",""))</f>
        <v/>
      </c>
    </row>
    <row r="975">
      <c r="R975" s="20" t="str">
        <f>IF($B975="","",IFERROR(IF(INDEX(Config!$D$9:$D$29,MATCH($B975,Config!$B$9:$B$29,0))="Contrato",IF(INDEX(Config!$E$9:$E$29,MATCH($B975,Config!$B$9:$B$29,0))="","",INDEX(Config!$E$9:$E$29,MATCH($B975,Config!$B$9:$B$29,0))),""),""))</f>
        <v/>
      </c>
      <c r="AC975" s="19" t="str">
        <f>IF($B975="","",IFERROR(INDEX(Config!$D$9:$D$29,MATCH($B975,Config!$B$9:$B$29,0))&amp;"",""))</f>
        <v/>
      </c>
    </row>
    <row r="976">
      <c r="R976" s="20" t="str">
        <f>IF($B976="","",IFERROR(IF(INDEX(Config!$D$9:$D$29,MATCH($B976,Config!$B$9:$B$29,0))="Contrato",IF(INDEX(Config!$E$9:$E$29,MATCH($B976,Config!$B$9:$B$29,0))="","",INDEX(Config!$E$9:$E$29,MATCH($B976,Config!$B$9:$B$29,0))),""),""))</f>
        <v/>
      </c>
      <c r="AC976" s="19" t="str">
        <f>IF($B976="","",IFERROR(INDEX(Config!$D$9:$D$29,MATCH($B976,Config!$B$9:$B$29,0))&amp;"",""))</f>
        <v/>
      </c>
    </row>
    <row r="977">
      <c r="R977" s="20" t="str">
        <f>IF($B977="","",IFERROR(IF(INDEX(Config!$D$9:$D$29,MATCH($B977,Config!$B$9:$B$29,0))="Contrato",IF(INDEX(Config!$E$9:$E$29,MATCH($B977,Config!$B$9:$B$29,0))="","",INDEX(Config!$E$9:$E$29,MATCH($B977,Config!$B$9:$B$29,0))),""),""))</f>
        <v/>
      </c>
      <c r="AC977" s="19" t="str">
        <f>IF($B977="","",IFERROR(INDEX(Config!$D$9:$D$29,MATCH($B977,Config!$B$9:$B$29,0))&amp;"",""))</f>
        <v/>
      </c>
    </row>
    <row r="978">
      <c r="R978" s="20" t="str">
        <f>IF($B978="","",IFERROR(IF(INDEX(Config!$D$9:$D$29,MATCH($B978,Config!$B$9:$B$29,0))="Contrato",IF(INDEX(Config!$E$9:$E$29,MATCH($B978,Config!$B$9:$B$29,0))="","",INDEX(Config!$E$9:$E$29,MATCH($B978,Config!$B$9:$B$29,0))),""),""))</f>
        <v/>
      </c>
      <c r="AC978" s="19" t="str">
        <f>IF($B978="","",IFERROR(INDEX(Config!$D$9:$D$29,MATCH($B978,Config!$B$9:$B$29,0))&amp;"",""))</f>
        <v/>
      </c>
    </row>
    <row r="979">
      <c r="R979" s="20" t="str">
        <f>IF($B979="","",IFERROR(IF(INDEX(Config!$D$9:$D$29,MATCH($B979,Config!$B$9:$B$29,0))="Contrato",IF(INDEX(Config!$E$9:$E$29,MATCH($B979,Config!$B$9:$B$29,0))="","",INDEX(Config!$E$9:$E$29,MATCH($B979,Config!$B$9:$B$29,0))),""),""))</f>
        <v/>
      </c>
      <c r="AC979" s="19" t="str">
        <f>IF($B979="","",IFERROR(INDEX(Config!$D$9:$D$29,MATCH($B979,Config!$B$9:$B$29,0))&amp;"",""))</f>
        <v/>
      </c>
    </row>
    <row r="980">
      <c r="R980" s="20" t="str">
        <f>IF($B980="","",IFERROR(IF(INDEX(Config!$D$9:$D$29,MATCH($B980,Config!$B$9:$B$29,0))="Contrato",IF(INDEX(Config!$E$9:$E$29,MATCH($B980,Config!$B$9:$B$29,0))="","",INDEX(Config!$E$9:$E$29,MATCH($B980,Config!$B$9:$B$29,0))),""),""))</f>
        <v/>
      </c>
      <c r="AC980" s="19" t="str">
        <f>IF($B980="","",IFERROR(INDEX(Config!$D$9:$D$29,MATCH($B980,Config!$B$9:$B$29,0))&amp;"",""))</f>
        <v/>
      </c>
    </row>
    <row r="981">
      <c r="R981" s="20" t="str">
        <f>IF($B981="","",IFERROR(IF(INDEX(Config!$D$9:$D$29,MATCH($B981,Config!$B$9:$B$29,0))="Contrato",IF(INDEX(Config!$E$9:$E$29,MATCH($B981,Config!$B$9:$B$29,0))="","",INDEX(Config!$E$9:$E$29,MATCH($B981,Config!$B$9:$B$29,0))),""),""))</f>
        <v/>
      </c>
      <c r="AC981" s="19" t="str">
        <f>IF($B981="","",IFERROR(INDEX(Config!$D$9:$D$29,MATCH($B981,Config!$B$9:$B$29,0))&amp;"",""))</f>
        <v/>
      </c>
    </row>
    <row r="982">
      <c r="R982" s="20" t="str">
        <f>IF($B982="","",IFERROR(IF(INDEX(Config!$D$9:$D$29,MATCH($B982,Config!$B$9:$B$29,0))="Contrato",IF(INDEX(Config!$E$9:$E$29,MATCH($B982,Config!$B$9:$B$29,0))="","",INDEX(Config!$E$9:$E$29,MATCH($B982,Config!$B$9:$B$29,0))),""),""))</f>
        <v/>
      </c>
      <c r="AC982" s="19" t="str">
        <f>IF($B982="","",IFERROR(INDEX(Config!$D$9:$D$29,MATCH($B982,Config!$B$9:$B$29,0))&amp;"",""))</f>
        <v/>
      </c>
    </row>
    <row r="983">
      <c r="R983" s="20" t="str">
        <f>IF($B983="","",IFERROR(IF(INDEX(Config!$D$9:$D$29,MATCH($B983,Config!$B$9:$B$29,0))="Contrato",IF(INDEX(Config!$E$9:$E$29,MATCH($B983,Config!$B$9:$B$29,0))="","",INDEX(Config!$E$9:$E$29,MATCH($B983,Config!$B$9:$B$29,0))),""),""))</f>
        <v/>
      </c>
      <c r="AC983" s="19" t="str">
        <f>IF($B983="","",IFERROR(INDEX(Config!$D$9:$D$29,MATCH($B983,Config!$B$9:$B$29,0))&amp;"",""))</f>
        <v/>
      </c>
    </row>
    <row r="984">
      <c r="R984" s="20" t="str">
        <f>IF($B984="","",IFERROR(IF(INDEX(Config!$D$9:$D$29,MATCH($B984,Config!$B$9:$B$29,0))="Contrato",IF(INDEX(Config!$E$9:$E$29,MATCH($B984,Config!$B$9:$B$29,0))="","",INDEX(Config!$E$9:$E$29,MATCH($B984,Config!$B$9:$B$29,0))),""),""))</f>
        <v/>
      </c>
      <c r="AC984" s="19" t="str">
        <f>IF($B984="","",IFERROR(INDEX(Config!$D$9:$D$29,MATCH($B984,Config!$B$9:$B$29,0))&amp;"",""))</f>
        <v/>
      </c>
    </row>
    <row r="985">
      <c r="R985" s="20" t="str">
        <f>IF($B985="","",IFERROR(IF(INDEX(Config!$D$9:$D$29,MATCH($B985,Config!$B$9:$B$29,0))="Contrato",IF(INDEX(Config!$E$9:$E$29,MATCH($B985,Config!$B$9:$B$29,0))="","",INDEX(Config!$E$9:$E$29,MATCH($B985,Config!$B$9:$B$29,0))),""),""))</f>
        <v/>
      </c>
      <c r="AC985" s="19" t="str">
        <f>IF($B985="","",IFERROR(INDEX(Config!$D$9:$D$29,MATCH($B985,Config!$B$9:$B$29,0))&amp;"",""))</f>
        <v/>
      </c>
    </row>
    <row r="986">
      <c r="R986" s="20" t="str">
        <f>IF($B986="","",IFERROR(IF(INDEX(Config!$D$9:$D$29,MATCH($B986,Config!$B$9:$B$29,0))="Contrato",IF(INDEX(Config!$E$9:$E$29,MATCH($B986,Config!$B$9:$B$29,0))="","",INDEX(Config!$E$9:$E$29,MATCH($B986,Config!$B$9:$B$29,0))),""),""))</f>
        <v/>
      </c>
      <c r="AC986" s="19" t="str">
        <f>IF($B986="","",IFERROR(INDEX(Config!$D$9:$D$29,MATCH($B986,Config!$B$9:$B$29,0))&amp;"",""))</f>
        <v/>
      </c>
    </row>
    <row r="987">
      <c r="R987" s="20" t="str">
        <f>IF($B987="","",IFERROR(IF(INDEX(Config!$D$9:$D$29,MATCH($B987,Config!$B$9:$B$29,0))="Contrato",IF(INDEX(Config!$E$9:$E$29,MATCH($B987,Config!$B$9:$B$29,0))="","",INDEX(Config!$E$9:$E$29,MATCH($B987,Config!$B$9:$B$29,0))),""),""))</f>
        <v/>
      </c>
      <c r="AC987" s="19" t="str">
        <f>IF($B987="","",IFERROR(INDEX(Config!$D$9:$D$29,MATCH($B987,Config!$B$9:$B$29,0))&amp;"",""))</f>
        <v/>
      </c>
    </row>
    <row r="988">
      <c r="R988" s="20" t="str">
        <f>IF($B988="","",IFERROR(IF(INDEX(Config!$D$9:$D$29,MATCH($B988,Config!$B$9:$B$29,0))="Contrato",IF(INDEX(Config!$E$9:$E$29,MATCH($B988,Config!$B$9:$B$29,0))="","",INDEX(Config!$E$9:$E$29,MATCH($B988,Config!$B$9:$B$29,0))),""),""))</f>
        <v/>
      </c>
      <c r="AC988" s="19" t="str">
        <f>IF($B988="","",IFERROR(INDEX(Config!$D$9:$D$29,MATCH($B988,Config!$B$9:$B$29,0))&amp;"",""))</f>
        <v/>
      </c>
    </row>
    <row r="989">
      <c r="R989" s="20" t="str">
        <f>IF($B989="","",IFERROR(IF(INDEX(Config!$D$9:$D$29,MATCH($B989,Config!$B$9:$B$29,0))="Contrato",IF(INDEX(Config!$E$9:$E$29,MATCH($B989,Config!$B$9:$B$29,0))="","",INDEX(Config!$E$9:$E$29,MATCH($B989,Config!$B$9:$B$29,0))),""),""))</f>
        <v/>
      </c>
      <c r="AC989" s="19" t="str">
        <f>IF($B989="","",IFERROR(INDEX(Config!$D$9:$D$29,MATCH($B989,Config!$B$9:$B$29,0))&amp;"",""))</f>
        <v/>
      </c>
    </row>
    <row r="990">
      <c r="R990" s="20" t="str">
        <f>IF($B990="","",IFERROR(IF(INDEX(Config!$D$9:$D$29,MATCH($B990,Config!$B$9:$B$29,0))="Contrato",IF(INDEX(Config!$E$9:$E$29,MATCH($B990,Config!$B$9:$B$29,0))="","",INDEX(Config!$E$9:$E$29,MATCH($B990,Config!$B$9:$B$29,0))),""),""))</f>
        <v/>
      </c>
      <c r="AC990" s="19" t="str">
        <f>IF($B990="","",IFERROR(INDEX(Config!$D$9:$D$29,MATCH($B990,Config!$B$9:$B$29,0))&amp;"",""))</f>
        <v/>
      </c>
    </row>
    <row r="991">
      <c r="R991" s="20" t="str">
        <f>IF($B991="","",IFERROR(IF(INDEX(Config!$D$9:$D$29,MATCH($B991,Config!$B$9:$B$29,0))="Contrato",IF(INDEX(Config!$E$9:$E$29,MATCH($B991,Config!$B$9:$B$29,0))="","",INDEX(Config!$E$9:$E$29,MATCH($B991,Config!$B$9:$B$29,0))),""),""))</f>
        <v/>
      </c>
      <c r="AC991" s="19" t="str">
        <f>IF($B991="","",IFERROR(INDEX(Config!$D$9:$D$29,MATCH($B991,Config!$B$9:$B$29,0))&amp;"",""))</f>
        <v/>
      </c>
    </row>
    <row r="992">
      <c r="R992" s="20" t="str">
        <f>IF($B992="","",IFERROR(IF(INDEX(Config!$D$9:$D$29,MATCH($B992,Config!$B$9:$B$29,0))="Contrato",IF(INDEX(Config!$E$9:$E$29,MATCH($B992,Config!$B$9:$B$29,0))="","",INDEX(Config!$E$9:$E$29,MATCH($B992,Config!$B$9:$B$29,0))),""),""))</f>
        <v/>
      </c>
      <c r="AC992" s="19" t="str">
        <f>IF($B992="","",IFERROR(INDEX(Config!$D$9:$D$29,MATCH($B992,Config!$B$9:$B$29,0))&amp;"",""))</f>
        <v/>
      </c>
    </row>
    <row r="993">
      <c r="R993" s="20" t="str">
        <f>IF($B993="","",IFERROR(IF(INDEX(Config!$D$9:$D$29,MATCH($B993,Config!$B$9:$B$29,0))="Contrato",IF(INDEX(Config!$E$9:$E$29,MATCH($B993,Config!$B$9:$B$29,0))="","",INDEX(Config!$E$9:$E$29,MATCH($B993,Config!$B$9:$B$29,0))),""),""))</f>
        <v/>
      </c>
      <c r="AC993" s="19" t="str">
        <f>IF($B993="","",IFERROR(INDEX(Config!$D$9:$D$29,MATCH($B993,Config!$B$9:$B$29,0))&amp;"",""))</f>
        <v/>
      </c>
    </row>
    <row r="994">
      <c r="R994" s="20" t="str">
        <f>IF($B994="","",IFERROR(IF(INDEX(Config!$D$9:$D$29,MATCH($B994,Config!$B$9:$B$29,0))="Contrato",IF(INDEX(Config!$E$9:$E$29,MATCH($B994,Config!$B$9:$B$29,0))="","",INDEX(Config!$E$9:$E$29,MATCH($B994,Config!$B$9:$B$29,0))),""),""))</f>
        <v/>
      </c>
      <c r="AC994" s="19" t="str">
        <f>IF($B994="","",IFERROR(INDEX(Config!$D$9:$D$29,MATCH($B994,Config!$B$9:$B$29,0))&amp;"",""))</f>
        <v/>
      </c>
    </row>
    <row r="995">
      <c r="R995" s="20" t="str">
        <f>IF($B995="","",IFERROR(IF(INDEX(Config!$D$9:$D$29,MATCH($B995,Config!$B$9:$B$29,0))="Contrato",IF(INDEX(Config!$E$9:$E$29,MATCH($B995,Config!$B$9:$B$29,0))="","",INDEX(Config!$E$9:$E$29,MATCH($B995,Config!$B$9:$B$29,0))),""),""))</f>
        <v/>
      </c>
      <c r="AC995" s="19" t="str">
        <f>IF($B995="","",IFERROR(INDEX(Config!$D$9:$D$29,MATCH($B995,Config!$B$9:$B$29,0))&amp;"",""))</f>
        <v/>
      </c>
    </row>
    <row r="996">
      <c r="R996" s="20" t="str">
        <f>IF($B996="","",IFERROR(IF(INDEX(Config!$D$9:$D$29,MATCH($B996,Config!$B$9:$B$29,0))="Contrato",IF(INDEX(Config!$E$9:$E$29,MATCH($B996,Config!$B$9:$B$29,0))="","",INDEX(Config!$E$9:$E$29,MATCH($B996,Config!$B$9:$B$29,0))),""),""))</f>
        <v/>
      </c>
      <c r="AC996" s="19" t="str">
        <f>IF($B996="","",IFERROR(INDEX(Config!$D$9:$D$29,MATCH($B996,Config!$B$9:$B$29,0))&amp;"",""))</f>
        <v/>
      </c>
    </row>
    <row r="997">
      <c r="R997" s="20" t="str">
        <f>IF($B997="","",IFERROR(IF(INDEX(Config!$D$9:$D$29,MATCH($B997,Config!$B$9:$B$29,0))="Contrato",IF(INDEX(Config!$E$9:$E$29,MATCH($B997,Config!$B$9:$B$29,0))="","",INDEX(Config!$E$9:$E$29,MATCH($B997,Config!$B$9:$B$29,0))),""),""))</f>
        <v/>
      </c>
      <c r="AC997" s="19" t="str">
        <f>IF($B997="","",IFERROR(INDEX(Config!$D$9:$D$29,MATCH($B997,Config!$B$9:$B$29,0))&amp;"",""))</f>
        <v/>
      </c>
    </row>
    <row r="998">
      <c r="R998" s="20" t="str">
        <f>IF($B998="","",IFERROR(IF(INDEX(Config!$D$9:$D$29,MATCH($B998,Config!$B$9:$B$29,0))="Contrato",IF(INDEX(Config!$E$9:$E$29,MATCH($B998,Config!$B$9:$B$29,0))="","",INDEX(Config!$E$9:$E$29,MATCH($B998,Config!$B$9:$B$29,0))),""),""))</f>
        <v/>
      </c>
      <c r="AC998" s="19" t="str">
        <f>IF($B998="","",IFERROR(INDEX(Config!$D$9:$D$29,MATCH($B998,Config!$B$9:$B$29,0))&amp;"",""))</f>
        <v/>
      </c>
    </row>
    <row r="999">
      <c r="R999" s="20" t="str">
        <f>IF($B999="","",IFERROR(IF(INDEX(Config!$D$9:$D$29,MATCH($B999,Config!$B$9:$B$29,0))="Contrato",IF(INDEX(Config!$E$9:$E$29,MATCH($B999,Config!$B$9:$B$29,0))="","",INDEX(Config!$E$9:$E$29,MATCH($B999,Config!$B$9:$B$29,0))),""),""))</f>
        <v/>
      </c>
      <c r="AC999" s="19" t="str">
        <f>IF($B999="","",IFERROR(INDEX(Config!$D$9:$D$29,MATCH($B999,Config!$B$9:$B$29,0))&amp;"",""))</f>
        <v/>
      </c>
    </row>
    <row r="1000">
      <c r="R1000" s="20" t="str">
        <f>IF($B1000="","",IFERROR(IF(INDEX(Config!$D$9:$D$29,MATCH($B1000,Config!$B$9:$B$29,0))="Contrato",IF(INDEX(Config!$E$9:$E$29,MATCH($B1000,Config!$B$9:$B$29,0))="","",INDEX(Config!$E$9:$E$29,MATCH($B1000,Config!$B$9:$B$29,0))),""),""))</f>
        <v/>
      </c>
      <c r="AC1000" s="19" t="str">
        <f>IF($B1000="","",IFERROR(INDEX(Config!$D$9:$D$29,MATCH($B1000,Config!$B$9:$B$29,0))&amp;"",""))</f>
        <v/>
      </c>
    </row>
    <row r="1001">
      <c r="R1001" s="20" t="str">
        <f>IF($B1001="","",IFERROR(IF(INDEX(Config!$D$9:$D$29,MATCH($B1001,Config!$B$9:$B$29,0))="Contrato",IF(INDEX(Config!$E$9:$E$29,MATCH($B1001,Config!$B$9:$B$29,0))="","",INDEX(Config!$E$9:$E$29,MATCH($B1001,Config!$B$9:$B$29,0))),""),""))</f>
        <v/>
      </c>
      <c r="AC1001" s="19" t="str">
        <f>IF($B1001="","",IFERROR(INDEX(Config!$D$9:$D$29,MATCH($B1001,Config!$B$9:$B$29,0))&amp;"",""))</f>
        <v/>
      </c>
    </row>
    <row r="1002">
      <c r="R1002" s="20" t="str">
        <f>IF($B1002="","",IFERROR(IF(INDEX(Config!$D$9:$D$29,MATCH($B1002,Config!$B$9:$B$29,0))="Contrato",IF(INDEX(Config!$E$9:$E$29,MATCH($B1002,Config!$B$9:$B$29,0))="","",INDEX(Config!$E$9:$E$29,MATCH($B1002,Config!$B$9:$B$29,0))),""),""))</f>
        <v/>
      </c>
      <c r="AC1002" s="19" t="str">
        <f>IF($B1002="","",IFERROR(INDEX(Config!$D$9:$D$29,MATCH($B1002,Config!$B$9:$B$29,0))&amp;"",""))</f>
        <v/>
      </c>
    </row>
    <row r="1003">
      <c r="R1003" s="20" t="str">
        <f>IF($B1003="","",IFERROR(IF(INDEX(Config!$D$9:$D$29,MATCH($B1003,Config!$B$9:$B$29,0))="Contrato",IF(INDEX(Config!$E$9:$E$29,MATCH($B1003,Config!$B$9:$B$29,0))="","",INDEX(Config!$E$9:$E$29,MATCH($B1003,Config!$B$9:$B$29,0))),""),""))</f>
        <v/>
      </c>
      <c r="AC1003" s="19" t="str">
        <f>IF($B1003="","",IFERROR(INDEX(Config!$D$9:$D$29,MATCH($B1003,Config!$B$9:$B$29,0))&amp;"",""))</f>
        <v/>
      </c>
    </row>
    <row r="1004">
      <c r="R1004" s="20" t="str">
        <f>IF($B1004="","",IFERROR(IF(INDEX(Config!$D$9:$D$29,MATCH($B1004,Config!$B$9:$B$29,0))="Contrato",IF(INDEX(Config!$E$9:$E$29,MATCH($B1004,Config!$B$9:$B$29,0))="","",INDEX(Config!$E$9:$E$29,MATCH($B1004,Config!$B$9:$B$29,0))),""),""))</f>
        <v/>
      </c>
      <c r="AC1004" s="19" t="str">
        <f>IF($B1004="","",IFERROR(INDEX(Config!$D$9:$D$29,MATCH($B1004,Config!$B$9:$B$29,0))&amp;"",""))</f>
        <v/>
      </c>
    </row>
    <row r="1005">
      <c r="R1005" s="20" t="str">
        <f>IF($B1005="","",IFERROR(IF(INDEX(Config!$D$9:$D$29,MATCH($B1005,Config!$B$9:$B$29,0))="Contrato",IF(INDEX(Config!$E$9:$E$29,MATCH($B1005,Config!$B$9:$B$29,0))="","",INDEX(Config!$E$9:$E$29,MATCH($B1005,Config!$B$9:$B$29,0))),""),""))</f>
        <v/>
      </c>
      <c r="AC1005" s="19" t="str">
        <f>IF($B1005="","",IFERROR(INDEX(Config!$D$9:$D$29,MATCH($B1005,Config!$B$9:$B$29,0))&amp;"",""))</f>
        <v/>
      </c>
    </row>
    <row r="1006">
      <c r="R1006" s="20" t="str">
        <f>IF($B1006="","",IFERROR(IF(INDEX(Config!$D$9:$D$29,MATCH($B1006,Config!$B$9:$B$29,0))="Contrato",IF(INDEX(Config!$E$9:$E$29,MATCH($B1006,Config!$B$9:$B$29,0))="","",INDEX(Config!$E$9:$E$29,MATCH($B1006,Config!$B$9:$B$29,0))),""),""))</f>
        <v/>
      </c>
      <c r="AC1006" s="19" t="str">
        <f>IF($B1006="","",IFERROR(INDEX(Config!$D$9:$D$29,MATCH($B1006,Config!$B$9:$B$29,0))&amp;"",""))</f>
        <v/>
      </c>
    </row>
    <row r="1007">
      <c r="R1007" s="20" t="str">
        <f>IF($B1007="","",IFERROR(IF(INDEX(Config!$D$9:$D$29,MATCH($B1007,Config!$B$9:$B$29,0))="Contrato",IF(INDEX(Config!$E$9:$E$29,MATCH($B1007,Config!$B$9:$B$29,0))="","",INDEX(Config!$E$9:$E$29,MATCH($B1007,Config!$B$9:$B$29,0))),""),""))</f>
        <v/>
      </c>
      <c r="AC1007" s="19" t="str">
        <f>IF($B1007="","",IFERROR(INDEX(Config!$D$9:$D$29,MATCH($B1007,Config!$B$9:$B$29,0))&amp;"",""))</f>
        <v/>
      </c>
    </row>
    <row r="1008">
      <c r="R1008" s="20" t="str">
        <f>IF($B1008="","",IFERROR(IF(INDEX(Config!$D$9:$D$29,MATCH($B1008,Config!$B$9:$B$29,0))="Contrato",IF(INDEX(Config!$E$9:$E$29,MATCH($B1008,Config!$B$9:$B$29,0))="","",INDEX(Config!$E$9:$E$29,MATCH($B1008,Config!$B$9:$B$29,0))),""),""))</f>
        <v/>
      </c>
      <c r="AC1008" s="19" t="str">
        <f>IF($B1008="","",IFERROR(INDEX(Config!$D$9:$D$29,MATCH($B1008,Config!$B$9:$B$29,0))&amp;"",""))</f>
        <v/>
      </c>
    </row>
    <row r="1009">
      <c r="R1009" s="20" t="str">
        <f>IF($B1009="","",IFERROR(IF(INDEX(Config!$D$9:$D$29,MATCH($B1009,Config!$B$9:$B$29,0))="Contrato",IF(INDEX(Config!$E$9:$E$29,MATCH($B1009,Config!$B$9:$B$29,0))="","",INDEX(Config!$E$9:$E$29,MATCH($B1009,Config!$B$9:$B$29,0))),""),""))</f>
        <v/>
      </c>
      <c r="AC1009" s="19" t="str">
        <f>IF($B1009="","",IFERROR(INDEX(Config!$D$9:$D$29,MATCH($B1009,Config!$B$9:$B$29,0))&amp;"",""))</f>
        <v/>
      </c>
    </row>
    <row r="1010">
      <c r="R1010" s="20" t="str">
        <f>IF($B1010="","",IFERROR(IF(INDEX(Config!$D$9:$D$29,MATCH($B1010,Config!$B$9:$B$29,0))="Contrato",IF(INDEX(Config!$E$9:$E$29,MATCH($B1010,Config!$B$9:$B$29,0))="","",INDEX(Config!$E$9:$E$29,MATCH($B1010,Config!$B$9:$B$29,0))),""),""))</f>
        <v/>
      </c>
      <c r="AC1010" s="19" t="str">
        <f>IF($B1010="","",IFERROR(INDEX(Config!$D$9:$D$29,MATCH($B1010,Config!$B$9:$B$29,0))&amp;"",""))</f>
        <v/>
      </c>
    </row>
    <row r="1011">
      <c r="R1011" s="20" t="str">
        <f>IF($B1011="","",IFERROR(IF(INDEX(Config!$D$9:$D$29,MATCH($B1011,Config!$B$9:$B$29,0))="Contrato",IF(INDEX(Config!$E$9:$E$29,MATCH($B1011,Config!$B$9:$B$29,0))="","",INDEX(Config!$E$9:$E$29,MATCH($B1011,Config!$B$9:$B$29,0))),""),""))</f>
        <v/>
      </c>
      <c r="AC1011" s="19" t="str">
        <f>IF($B1011="","",IFERROR(INDEX(Config!$D$9:$D$29,MATCH($B1011,Config!$B$9:$B$29,0))&amp;"",""))</f>
        <v/>
      </c>
    </row>
    <row r="1012">
      <c r="R1012" s="20" t="str">
        <f>IF($B1012="","",IFERROR(IF(INDEX(Config!$D$9:$D$29,MATCH($B1012,Config!$B$9:$B$29,0))="Contrato",IF(INDEX(Config!$E$9:$E$29,MATCH($B1012,Config!$B$9:$B$29,0))="","",INDEX(Config!$E$9:$E$29,MATCH($B1012,Config!$B$9:$B$29,0))),""),""))</f>
        <v/>
      </c>
      <c r="AC1012" s="19" t="str">
        <f>IF($B1012="","",IFERROR(INDEX(Config!$D$9:$D$29,MATCH($B1012,Config!$B$9:$B$29,0))&amp;"",""))</f>
        <v/>
      </c>
    </row>
    <row r="1013">
      <c r="R1013" s="20" t="str">
        <f>IF($B1013="","",IFERROR(IF(INDEX(Config!$D$9:$D$29,MATCH($B1013,Config!$B$9:$B$29,0))="Contrato",IF(INDEX(Config!$E$9:$E$29,MATCH($B1013,Config!$B$9:$B$29,0))="","",INDEX(Config!$E$9:$E$29,MATCH($B1013,Config!$B$9:$B$29,0))),""),""))</f>
        <v/>
      </c>
      <c r="AC1013" s="19" t="str">
        <f>IF($B1013="","",IFERROR(INDEX(Config!$D$9:$D$29,MATCH($B1013,Config!$B$9:$B$29,0))&amp;"",""))</f>
        <v/>
      </c>
    </row>
    <row r="1014">
      <c r="R1014" s="20" t="str">
        <f>IF($B1014="","",IFERROR(IF(INDEX(Config!$D$9:$D$29,MATCH($B1014,Config!$B$9:$B$29,0))="Contrato",IF(INDEX(Config!$E$9:$E$29,MATCH($B1014,Config!$B$9:$B$29,0))="","",INDEX(Config!$E$9:$E$29,MATCH($B1014,Config!$B$9:$B$29,0))),""),""))</f>
        <v/>
      </c>
      <c r="AC1014" s="19" t="str">
        <f>IF($B1014="","",IFERROR(INDEX(Config!$D$9:$D$29,MATCH($B1014,Config!$B$9:$B$29,0))&amp;"",""))</f>
        <v/>
      </c>
    </row>
    <row r="1015">
      <c r="R1015" s="20" t="str">
        <f>IF($B1015="","",IFERROR(IF(INDEX(Config!$D$9:$D$29,MATCH($B1015,Config!$B$9:$B$29,0))="Contrato",IF(INDEX(Config!$E$9:$E$29,MATCH($B1015,Config!$B$9:$B$29,0))="","",INDEX(Config!$E$9:$E$29,MATCH($B1015,Config!$B$9:$B$29,0))),""),""))</f>
        <v/>
      </c>
      <c r="AC1015" s="19" t="str">
        <f>IF($B1015="","",IFERROR(INDEX(Config!$D$9:$D$29,MATCH($B1015,Config!$B$9:$B$29,0))&amp;"",""))</f>
        <v/>
      </c>
    </row>
    <row r="1016">
      <c r="R1016" s="20" t="str">
        <f>IF($B1016="","",IFERROR(IF(INDEX(Config!$D$9:$D$29,MATCH($B1016,Config!$B$9:$B$29,0))="Contrato",IF(INDEX(Config!$E$9:$E$29,MATCH($B1016,Config!$B$9:$B$29,0))="","",INDEX(Config!$E$9:$E$29,MATCH($B1016,Config!$B$9:$B$29,0))),""),""))</f>
        <v/>
      </c>
      <c r="AC1016" s="19" t="str">
        <f>IF($B1016="","",IFERROR(INDEX(Config!$D$9:$D$29,MATCH($B1016,Config!$B$9:$B$29,0))&amp;"",""))</f>
        <v/>
      </c>
    </row>
    <row r="1017">
      <c r="R1017" s="20" t="str">
        <f>IF($B1017="","",IFERROR(IF(INDEX(Config!$D$9:$D$29,MATCH($B1017,Config!$B$9:$B$29,0))="Contrato",IF(INDEX(Config!$E$9:$E$29,MATCH($B1017,Config!$B$9:$B$29,0))="","",INDEX(Config!$E$9:$E$29,MATCH($B1017,Config!$B$9:$B$29,0))),""),""))</f>
        <v/>
      </c>
      <c r="AC1017" s="19" t="str">
        <f>IF($B1017="","",IFERROR(INDEX(Config!$D$9:$D$29,MATCH($B1017,Config!$B$9:$B$29,0))&amp;"",""))</f>
        <v/>
      </c>
    </row>
    <row r="1018">
      <c r="R1018" s="20" t="str">
        <f>IF($B1018="","",IFERROR(IF(INDEX(Config!$D$9:$D$29,MATCH($B1018,Config!$B$9:$B$29,0))="Contrato",IF(INDEX(Config!$E$9:$E$29,MATCH($B1018,Config!$B$9:$B$29,0))="","",INDEX(Config!$E$9:$E$29,MATCH($B1018,Config!$B$9:$B$29,0))),""),""))</f>
        <v/>
      </c>
      <c r="AC1018" s="19" t="str">
        <f>IF($B1018="","",IFERROR(INDEX(Config!$D$9:$D$29,MATCH($B1018,Config!$B$9:$B$29,0))&amp;"",""))</f>
        <v/>
      </c>
    </row>
    <row r="1019">
      <c r="R1019" s="20" t="str">
        <f>IF($B1019="","",IFERROR(IF(INDEX(Config!$D$9:$D$29,MATCH($B1019,Config!$B$9:$B$29,0))="Contrato",IF(INDEX(Config!$E$9:$E$29,MATCH($B1019,Config!$B$9:$B$29,0))="","",INDEX(Config!$E$9:$E$29,MATCH($B1019,Config!$B$9:$B$29,0))),""),""))</f>
        <v/>
      </c>
      <c r="AC1019" s="19" t="str">
        <f>IF($B1019="","",IFERROR(INDEX(Config!$D$9:$D$29,MATCH($B1019,Config!$B$9:$B$29,0))&amp;"",""))</f>
        <v/>
      </c>
    </row>
    <row r="1020">
      <c r="R1020" s="20" t="str">
        <f>IF($B1020="","",IFERROR(IF(INDEX(Config!$D$9:$D$29,MATCH($B1020,Config!$B$9:$B$29,0))="Contrato",IF(INDEX(Config!$E$9:$E$29,MATCH($B1020,Config!$B$9:$B$29,0))="","",INDEX(Config!$E$9:$E$29,MATCH($B1020,Config!$B$9:$B$29,0))),""),""))</f>
        <v/>
      </c>
      <c r="AC1020" s="19" t="str">
        <f>IF($B1020="","",IFERROR(INDEX(Config!$D$9:$D$29,MATCH($B1020,Config!$B$9:$B$29,0))&amp;"",""))</f>
        <v/>
      </c>
    </row>
    <row r="1021">
      <c r="R1021" s="20" t="str">
        <f>IF($B1021="","",IFERROR(IF(INDEX(Config!$D$9:$D$29,MATCH($B1021,Config!$B$9:$B$29,0))="Contrato",IF(INDEX(Config!$E$9:$E$29,MATCH($B1021,Config!$B$9:$B$29,0))="","",INDEX(Config!$E$9:$E$29,MATCH($B1021,Config!$B$9:$B$29,0))),""),""))</f>
        <v/>
      </c>
      <c r="AC1021" s="19" t="str">
        <f>IF($B1021="","",IFERROR(INDEX(Config!$D$9:$D$29,MATCH($B1021,Config!$B$9:$B$29,0))&amp;"",""))</f>
        <v/>
      </c>
    </row>
    <row r="1022">
      <c r="R1022" s="20" t="str">
        <f>IF($B1022="","",IFERROR(IF(INDEX(Config!$D$9:$D$29,MATCH($B1022,Config!$B$9:$B$29,0))="Contrato",IF(INDEX(Config!$E$9:$E$29,MATCH($B1022,Config!$B$9:$B$29,0))="","",INDEX(Config!$E$9:$E$29,MATCH($B1022,Config!$B$9:$B$29,0))),""),""))</f>
        <v/>
      </c>
      <c r="AC1022" s="19" t="str">
        <f>IF($B1022="","",IFERROR(INDEX(Config!$D$9:$D$29,MATCH($B1022,Config!$B$9:$B$29,0))&amp;"",""))</f>
        <v/>
      </c>
    </row>
    <row r="1023">
      <c r="R1023" s="20" t="str">
        <f>IF($B1023="","",IFERROR(IF(INDEX(Config!$D$9:$D$29,MATCH($B1023,Config!$B$9:$B$29,0))="Contrato",IF(INDEX(Config!$E$9:$E$29,MATCH($B1023,Config!$B$9:$B$29,0))="","",INDEX(Config!$E$9:$E$29,MATCH($B1023,Config!$B$9:$B$29,0))),""),""))</f>
        <v/>
      </c>
      <c r="AC1023" s="19" t="str">
        <f>IF($B1023="","",IFERROR(INDEX(Config!$D$9:$D$29,MATCH($B1023,Config!$B$9:$B$29,0))&amp;"",""))</f>
        <v/>
      </c>
    </row>
    <row r="1024">
      <c r="R1024" s="20" t="str">
        <f>IF($B1024="","",IFERROR(IF(INDEX(Config!$D$9:$D$29,MATCH($B1024,Config!$B$9:$B$29,0))="Contrato",IF(INDEX(Config!$E$9:$E$29,MATCH($B1024,Config!$B$9:$B$29,0))="","",INDEX(Config!$E$9:$E$29,MATCH($B1024,Config!$B$9:$B$29,0))),""),""))</f>
        <v/>
      </c>
      <c r="AC1024" s="19" t="str">
        <f>IF($B1024="","",IFERROR(INDEX(Config!$D$9:$D$29,MATCH($B1024,Config!$B$9:$B$29,0))&amp;"",""))</f>
        <v/>
      </c>
    </row>
    <row r="1025">
      <c r="R1025" s="20" t="str">
        <f>IF($B1025="","",IFERROR(IF(INDEX(Config!$D$9:$D$29,MATCH($B1025,Config!$B$9:$B$29,0))="Contrato",IF(INDEX(Config!$E$9:$E$29,MATCH($B1025,Config!$B$9:$B$29,0))="","",INDEX(Config!$E$9:$E$29,MATCH($B1025,Config!$B$9:$B$29,0))),""),""))</f>
        <v/>
      </c>
      <c r="AC1025" s="19" t="str">
        <f>IF($B1025="","",IFERROR(INDEX(Config!$D$9:$D$29,MATCH($B1025,Config!$B$9:$B$29,0))&amp;"",""))</f>
        <v/>
      </c>
    </row>
    <row r="1026">
      <c r="R1026" s="20" t="str">
        <f>IF($B1026="","",IFERROR(IF(INDEX(Config!$D$9:$D$29,MATCH($B1026,Config!$B$9:$B$29,0))="Contrato",IF(INDEX(Config!$E$9:$E$29,MATCH($B1026,Config!$B$9:$B$29,0))="","",INDEX(Config!$E$9:$E$29,MATCH($B1026,Config!$B$9:$B$29,0))),""),""))</f>
        <v/>
      </c>
      <c r="AC1026" s="19" t="str">
        <f>IF($B1026="","",IFERROR(INDEX(Config!$D$9:$D$29,MATCH($B1026,Config!$B$9:$B$29,0))&amp;"",""))</f>
        <v/>
      </c>
    </row>
    <row r="1027">
      <c r="R1027" s="20" t="str">
        <f>IF($B1027="","",IFERROR(IF(INDEX(Config!$D$9:$D$29,MATCH($B1027,Config!$B$9:$B$29,0))="Contrato",IF(INDEX(Config!$E$9:$E$29,MATCH($B1027,Config!$B$9:$B$29,0))="","",INDEX(Config!$E$9:$E$29,MATCH($B1027,Config!$B$9:$B$29,0))),""),""))</f>
        <v/>
      </c>
      <c r="AC1027" s="19" t="str">
        <f>IF($B1027="","",IFERROR(INDEX(Config!$D$9:$D$29,MATCH($B1027,Config!$B$9:$B$29,0))&amp;"",""))</f>
        <v/>
      </c>
    </row>
    <row r="1028">
      <c r="R1028" s="20" t="str">
        <f>IF($B1028="","",IFERROR(IF(INDEX(Config!$D$9:$D$29,MATCH($B1028,Config!$B$9:$B$29,0))="Contrato",IF(INDEX(Config!$E$9:$E$29,MATCH($B1028,Config!$B$9:$B$29,0))="","",INDEX(Config!$E$9:$E$29,MATCH($B1028,Config!$B$9:$B$29,0))),""),""))</f>
        <v/>
      </c>
      <c r="AC1028" s="19" t="str">
        <f>IF($B1028="","",IFERROR(INDEX(Config!$D$9:$D$29,MATCH($B1028,Config!$B$9:$B$29,0))&amp;"",""))</f>
        <v/>
      </c>
    </row>
    <row r="1029">
      <c r="R1029" s="20" t="str">
        <f>IF($B1029="","",IFERROR(IF(INDEX(Config!$D$9:$D$29,MATCH($B1029,Config!$B$9:$B$29,0))="Contrato",IF(INDEX(Config!$E$9:$E$29,MATCH($B1029,Config!$B$9:$B$29,0))="","",INDEX(Config!$E$9:$E$29,MATCH($B1029,Config!$B$9:$B$29,0))),""),""))</f>
        <v/>
      </c>
      <c r="AC1029" s="19" t="str">
        <f>IF($B1029="","",IFERROR(INDEX(Config!$D$9:$D$29,MATCH($B1029,Config!$B$9:$B$29,0))&amp;"",""))</f>
        <v/>
      </c>
    </row>
    <row r="1030">
      <c r="R1030" s="20" t="str">
        <f>IF($B1030="","",IFERROR(IF(INDEX(Config!$D$9:$D$29,MATCH($B1030,Config!$B$9:$B$29,0))="Contrato",IF(INDEX(Config!$E$9:$E$29,MATCH($B1030,Config!$B$9:$B$29,0))="","",INDEX(Config!$E$9:$E$29,MATCH($B1030,Config!$B$9:$B$29,0))),""),""))</f>
        <v/>
      </c>
      <c r="AC1030" s="19" t="str">
        <f>IF($B1030="","",IFERROR(INDEX(Config!$D$9:$D$29,MATCH($B1030,Config!$B$9:$B$29,0))&amp;"",""))</f>
        <v/>
      </c>
    </row>
    <row r="1031">
      <c r="R1031" s="20" t="str">
        <f>IF($B1031="","",IFERROR(IF(INDEX(Config!$D$9:$D$29,MATCH($B1031,Config!$B$9:$B$29,0))="Contrato",IF(INDEX(Config!$E$9:$E$29,MATCH($B1031,Config!$B$9:$B$29,0))="","",INDEX(Config!$E$9:$E$29,MATCH($B1031,Config!$B$9:$B$29,0))),""),""))</f>
        <v/>
      </c>
      <c r="AC1031" s="19" t="str">
        <f>IF($B1031="","",IFERROR(INDEX(Config!$D$9:$D$29,MATCH($B1031,Config!$B$9:$B$29,0))&amp;"",""))</f>
        <v/>
      </c>
    </row>
    <row r="1032">
      <c r="R1032" s="20" t="str">
        <f>IF($B1032="","",IFERROR(IF(INDEX(Config!$D$9:$D$29,MATCH($B1032,Config!$B$9:$B$29,0))="Contrato",IF(INDEX(Config!$E$9:$E$29,MATCH($B1032,Config!$B$9:$B$29,0))="","",INDEX(Config!$E$9:$E$29,MATCH($B1032,Config!$B$9:$B$29,0))),""),""))</f>
        <v/>
      </c>
      <c r="AC1032" s="19" t="str">
        <f>IF($B1032="","",IFERROR(INDEX(Config!$D$9:$D$29,MATCH($B1032,Config!$B$9:$B$29,0))&amp;"",""))</f>
        <v/>
      </c>
    </row>
    <row r="1033">
      <c r="R1033" s="20" t="str">
        <f>IF($B1033="","",IFERROR(IF(INDEX(Config!$D$9:$D$29,MATCH($B1033,Config!$B$9:$B$29,0))="Contrato",IF(INDEX(Config!$E$9:$E$29,MATCH($B1033,Config!$B$9:$B$29,0))="","",INDEX(Config!$E$9:$E$29,MATCH($B1033,Config!$B$9:$B$29,0))),""),""))</f>
        <v/>
      </c>
      <c r="AC1033" s="19" t="str">
        <f>IF($B1033="","",IFERROR(INDEX(Config!$D$9:$D$29,MATCH($B1033,Config!$B$9:$B$29,0))&amp;"",""))</f>
        <v/>
      </c>
    </row>
    <row r="1034">
      <c r="R1034" s="20" t="str">
        <f>IF($B1034="","",IFERROR(IF(INDEX(Config!$D$9:$D$29,MATCH($B1034,Config!$B$9:$B$29,0))="Contrato",IF(INDEX(Config!$E$9:$E$29,MATCH($B1034,Config!$B$9:$B$29,0))="","",INDEX(Config!$E$9:$E$29,MATCH($B1034,Config!$B$9:$B$29,0))),""),""))</f>
        <v/>
      </c>
      <c r="AC1034" s="19" t="str">
        <f>IF($B1034="","",IFERROR(INDEX(Config!$D$9:$D$29,MATCH($B1034,Config!$B$9:$B$29,0))&amp;"",""))</f>
        <v/>
      </c>
    </row>
    <row r="1035">
      <c r="R1035" s="20" t="str">
        <f>IF($B1035="","",IFERROR(IF(INDEX(Config!$D$9:$D$29,MATCH($B1035,Config!$B$9:$B$29,0))="Contrato",IF(INDEX(Config!$E$9:$E$29,MATCH($B1035,Config!$B$9:$B$29,0))="","",INDEX(Config!$E$9:$E$29,MATCH($B1035,Config!$B$9:$B$29,0))),""),""))</f>
        <v/>
      </c>
      <c r="AC1035" s="19" t="str">
        <f>IF($B1035="","",IFERROR(INDEX(Config!$D$9:$D$29,MATCH($B1035,Config!$B$9:$B$29,0))&amp;"",""))</f>
        <v/>
      </c>
    </row>
    <row r="1036">
      <c r="R1036" s="20" t="str">
        <f>IF($B1036="","",IFERROR(IF(INDEX(Config!$D$9:$D$29,MATCH($B1036,Config!$B$9:$B$29,0))="Contrato",IF(INDEX(Config!$E$9:$E$29,MATCH($B1036,Config!$B$9:$B$29,0))="","",INDEX(Config!$E$9:$E$29,MATCH($B1036,Config!$B$9:$B$29,0))),""),""))</f>
        <v/>
      </c>
      <c r="AC1036" s="19" t="str">
        <f>IF($B1036="","",IFERROR(INDEX(Config!$D$9:$D$29,MATCH($B1036,Config!$B$9:$B$29,0))&amp;"",""))</f>
        <v/>
      </c>
    </row>
    <row r="1037">
      <c r="R1037" s="20" t="str">
        <f>IF($B1037="","",IFERROR(IF(INDEX(Config!$D$9:$D$29,MATCH($B1037,Config!$B$9:$B$29,0))="Contrato",IF(INDEX(Config!$E$9:$E$29,MATCH($B1037,Config!$B$9:$B$29,0))="","",INDEX(Config!$E$9:$E$29,MATCH($B1037,Config!$B$9:$B$29,0))),""),""))</f>
        <v/>
      </c>
      <c r="AC1037" s="19" t="str">
        <f>IF($B1037="","",IFERROR(INDEX(Config!$D$9:$D$29,MATCH($B1037,Config!$B$9:$B$29,0))&amp;"",""))</f>
        <v/>
      </c>
    </row>
    <row r="1038">
      <c r="R1038" s="20" t="str">
        <f>IF($B1038="","",IFERROR(IF(INDEX(Config!$D$9:$D$29,MATCH($B1038,Config!$B$9:$B$29,0))="Contrato",IF(INDEX(Config!$E$9:$E$29,MATCH($B1038,Config!$B$9:$B$29,0))="","",INDEX(Config!$E$9:$E$29,MATCH($B1038,Config!$B$9:$B$29,0))),""),""))</f>
        <v/>
      </c>
      <c r="AC1038" s="19" t="str">
        <f>IF($B1038="","",IFERROR(INDEX(Config!$D$9:$D$29,MATCH($B1038,Config!$B$9:$B$29,0))&amp;"",""))</f>
        <v/>
      </c>
    </row>
    <row r="1039">
      <c r="R1039" s="20" t="str">
        <f>IF($B1039="","",IFERROR(IF(INDEX(Config!$D$9:$D$29,MATCH($B1039,Config!$B$9:$B$29,0))="Contrato",IF(INDEX(Config!$E$9:$E$29,MATCH($B1039,Config!$B$9:$B$29,0))="","",INDEX(Config!$E$9:$E$29,MATCH($B1039,Config!$B$9:$B$29,0))),""),""))</f>
        <v/>
      </c>
      <c r="AC1039" s="19" t="str">
        <f>IF($B1039="","",IFERROR(INDEX(Config!$D$9:$D$29,MATCH($B1039,Config!$B$9:$B$29,0))&amp;"",""))</f>
        <v/>
      </c>
    </row>
    <row r="1040">
      <c r="R1040" s="20" t="str">
        <f>IF($B1040="","",IFERROR(IF(INDEX(Config!$D$9:$D$29,MATCH($B1040,Config!$B$9:$B$29,0))="Contrato",IF(INDEX(Config!$E$9:$E$29,MATCH($B1040,Config!$B$9:$B$29,0))="","",INDEX(Config!$E$9:$E$29,MATCH($B1040,Config!$B$9:$B$29,0))),""),""))</f>
        <v/>
      </c>
      <c r="AC1040" s="19" t="str">
        <f>IF($B1040="","",IFERROR(INDEX(Config!$D$9:$D$29,MATCH($B1040,Config!$B$9:$B$29,0))&amp;"",""))</f>
        <v/>
      </c>
    </row>
    <row r="1041">
      <c r="R1041" s="20" t="str">
        <f>IF($B1041="","",IFERROR(IF(INDEX(Config!$D$9:$D$29,MATCH($B1041,Config!$B$9:$B$29,0))="Contrato",IF(INDEX(Config!$E$9:$E$29,MATCH($B1041,Config!$B$9:$B$29,0))="","",INDEX(Config!$E$9:$E$29,MATCH($B1041,Config!$B$9:$B$29,0))),""),""))</f>
        <v/>
      </c>
      <c r="AC1041" s="19" t="str">
        <f>IF($B1041="","",IFERROR(INDEX(Config!$D$9:$D$29,MATCH($B1041,Config!$B$9:$B$29,0))&amp;"",""))</f>
        <v/>
      </c>
    </row>
    <row r="1042">
      <c r="R1042" s="20" t="str">
        <f>IF($B1042="","",IFERROR(IF(INDEX(Config!$D$9:$D$29,MATCH($B1042,Config!$B$9:$B$29,0))="Contrato",IF(INDEX(Config!$E$9:$E$29,MATCH($B1042,Config!$B$9:$B$29,0))="","",INDEX(Config!$E$9:$E$29,MATCH($B1042,Config!$B$9:$B$29,0))),""),""))</f>
        <v/>
      </c>
      <c r="AC1042" s="19" t="str">
        <f>IF($B1042="","",IFERROR(INDEX(Config!$D$9:$D$29,MATCH($B1042,Config!$B$9:$B$29,0))&amp;"",""))</f>
        <v/>
      </c>
    </row>
    <row r="1043">
      <c r="R1043" s="20" t="str">
        <f>IF($B1043="","",IFERROR(IF(INDEX(Config!$D$9:$D$29,MATCH($B1043,Config!$B$9:$B$29,0))="Contrato",IF(INDEX(Config!$E$9:$E$29,MATCH($B1043,Config!$B$9:$B$29,0))="","",INDEX(Config!$E$9:$E$29,MATCH($B1043,Config!$B$9:$B$29,0))),""),""))</f>
        <v/>
      </c>
      <c r="AC1043" s="19" t="str">
        <f>IF($B1043="","",IFERROR(INDEX(Config!$D$9:$D$29,MATCH($B1043,Config!$B$9:$B$29,0))&amp;"",""))</f>
        <v/>
      </c>
    </row>
    <row r="1044">
      <c r="R1044" s="20" t="str">
        <f>IF($B1044="","",IFERROR(IF(INDEX(Config!$D$9:$D$29,MATCH($B1044,Config!$B$9:$B$29,0))="Contrato",IF(INDEX(Config!$E$9:$E$29,MATCH($B1044,Config!$B$9:$B$29,0))="","",INDEX(Config!$E$9:$E$29,MATCH($B1044,Config!$B$9:$B$29,0))),""),""))</f>
        <v/>
      </c>
      <c r="AC1044" s="19" t="str">
        <f>IF($B1044="","",IFERROR(INDEX(Config!$D$9:$D$29,MATCH($B1044,Config!$B$9:$B$29,0))&amp;"",""))</f>
        <v/>
      </c>
    </row>
    <row r="1045">
      <c r="R1045" s="20" t="str">
        <f>IF($B1045="","",IFERROR(IF(INDEX(Config!$D$9:$D$29,MATCH($B1045,Config!$B$9:$B$29,0))="Contrato",IF(INDEX(Config!$E$9:$E$29,MATCH($B1045,Config!$B$9:$B$29,0))="","",INDEX(Config!$E$9:$E$29,MATCH($B1045,Config!$B$9:$B$29,0))),""),""))</f>
        <v/>
      </c>
      <c r="AC1045" s="19" t="str">
        <f>IF($B1045="","",IFERROR(INDEX(Config!$D$9:$D$29,MATCH($B1045,Config!$B$9:$B$29,0))&amp;"",""))</f>
        <v/>
      </c>
    </row>
    <row r="1046">
      <c r="R1046" s="20" t="str">
        <f>IF($B1046="","",IFERROR(IF(INDEX(Config!$D$9:$D$29,MATCH($B1046,Config!$B$9:$B$29,0))="Contrato",IF(INDEX(Config!$E$9:$E$29,MATCH($B1046,Config!$B$9:$B$29,0))="","",INDEX(Config!$E$9:$E$29,MATCH($B1046,Config!$B$9:$B$29,0))),""),""))</f>
        <v/>
      </c>
      <c r="AC1046" s="19" t="str">
        <f>IF($B1046="","",IFERROR(INDEX(Config!$D$9:$D$29,MATCH($B1046,Config!$B$9:$B$29,0))&amp;"",""))</f>
        <v/>
      </c>
    </row>
    <row r="1047">
      <c r="R1047" s="20" t="str">
        <f>IF($B1047="","",IFERROR(IF(INDEX(Config!$D$9:$D$29,MATCH($B1047,Config!$B$9:$B$29,0))="Contrato",IF(INDEX(Config!$E$9:$E$29,MATCH($B1047,Config!$B$9:$B$29,0))="","",INDEX(Config!$E$9:$E$29,MATCH($B1047,Config!$B$9:$B$29,0))),""),""))</f>
        <v/>
      </c>
      <c r="AC1047" s="19" t="str">
        <f>IF($B1047="","",IFERROR(INDEX(Config!$D$9:$D$29,MATCH($B1047,Config!$B$9:$B$29,0))&amp;"",""))</f>
        <v/>
      </c>
    </row>
    <row r="1048">
      <c r="R1048" s="20" t="str">
        <f>IF($B1048="","",IFERROR(IF(INDEX(Config!$D$9:$D$29,MATCH($B1048,Config!$B$9:$B$29,0))="Contrato",IF(INDEX(Config!$E$9:$E$29,MATCH($B1048,Config!$B$9:$B$29,0))="","",INDEX(Config!$E$9:$E$29,MATCH($B1048,Config!$B$9:$B$29,0))),""),""))</f>
        <v/>
      </c>
      <c r="AC1048" s="19" t="str">
        <f>IF($B1048="","",IFERROR(INDEX(Config!$D$9:$D$29,MATCH($B1048,Config!$B$9:$B$29,0))&amp;"",""))</f>
        <v/>
      </c>
    </row>
    <row r="1049">
      <c r="R1049" s="20" t="str">
        <f>IF($B1049="","",IFERROR(IF(INDEX(Config!$D$9:$D$29,MATCH($B1049,Config!$B$9:$B$29,0))="Contrato",IF(INDEX(Config!$E$9:$E$29,MATCH($B1049,Config!$B$9:$B$29,0))="","",INDEX(Config!$E$9:$E$29,MATCH($B1049,Config!$B$9:$B$29,0))),""),""))</f>
        <v/>
      </c>
      <c r="AC1049" s="19" t="str">
        <f>IF($B1049="","",IFERROR(INDEX(Config!$D$9:$D$29,MATCH($B1049,Config!$B$9:$B$29,0))&amp;"",""))</f>
        <v/>
      </c>
    </row>
    <row r="1050">
      <c r="R1050" s="20" t="str">
        <f>IF($B1050="","",IFERROR(IF(INDEX(Config!$D$9:$D$29,MATCH($B1050,Config!$B$9:$B$29,0))="Contrato",IF(INDEX(Config!$E$9:$E$29,MATCH($B1050,Config!$B$9:$B$29,0))="","",INDEX(Config!$E$9:$E$29,MATCH($B1050,Config!$B$9:$B$29,0))),""),""))</f>
        <v/>
      </c>
      <c r="AC1050" s="19" t="str">
        <f>IF($B1050="","",IFERROR(INDEX(Config!$D$9:$D$29,MATCH($B1050,Config!$B$9:$B$29,0))&amp;"",""))</f>
        <v/>
      </c>
    </row>
    <row r="1051">
      <c r="R1051" s="20" t="str">
        <f>IF($B1051="","",IFERROR(IF(INDEX(Config!$D$9:$D$29,MATCH($B1051,Config!$B$9:$B$29,0))="Contrato",IF(INDEX(Config!$E$9:$E$29,MATCH($B1051,Config!$B$9:$B$29,0))="","",INDEX(Config!$E$9:$E$29,MATCH($B1051,Config!$B$9:$B$29,0))),""),""))</f>
        <v/>
      </c>
      <c r="AC1051" s="19" t="str">
        <f>IF($B1051="","",IFERROR(INDEX(Config!$D$9:$D$29,MATCH($B1051,Config!$B$9:$B$29,0))&amp;"",""))</f>
        <v/>
      </c>
    </row>
    <row r="1052">
      <c r="R1052" s="20" t="str">
        <f>IF($B1052="","",IFERROR(IF(INDEX(Config!$D$9:$D$29,MATCH($B1052,Config!$B$9:$B$29,0))="Contrato",IF(INDEX(Config!$E$9:$E$29,MATCH($B1052,Config!$B$9:$B$29,0))="","",INDEX(Config!$E$9:$E$29,MATCH($B1052,Config!$B$9:$B$29,0))),""),""))</f>
        <v/>
      </c>
      <c r="AC1052" s="19" t="str">
        <f>IF($B1052="","",IFERROR(INDEX(Config!$D$9:$D$29,MATCH($B1052,Config!$B$9:$B$29,0))&amp;"",""))</f>
        <v/>
      </c>
    </row>
    <row r="1053">
      <c r="R1053" s="20" t="str">
        <f>IF($B1053="","",IFERROR(IF(INDEX(Config!$D$9:$D$29,MATCH($B1053,Config!$B$9:$B$29,0))="Contrato",IF(INDEX(Config!$E$9:$E$29,MATCH($B1053,Config!$B$9:$B$29,0))="","",INDEX(Config!$E$9:$E$29,MATCH($B1053,Config!$B$9:$B$29,0))),""),""))</f>
        <v/>
      </c>
      <c r="AC1053" s="19" t="str">
        <f>IF($B1053="","",IFERROR(INDEX(Config!$D$9:$D$29,MATCH($B1053,Config!$B$9:$B$29,0))&amp;"",""))</f>
        <v/>
      </c>
    </row>
    <row r="1054">
      <c r="R1054" s="20" t="str">
        <f>IF($B1054="","",IFERROR(IF(INDEX(Config!$D$9:$D$29,MATCH($B1054,Config!$B$9:$B$29,0))="Contrato",IF(INDEX(Config!$E$9:$E$29,MATCH($B1054,Config!$B$9:$B$29,0))="","",INDEX(Config!$E$9:$E$29,MATCH($B1054,Config!$B$9:$B$29,0))),""),""))</f>
        <v/>
      </c>
      <c r="AC1054" s="19" t="str">
        <f>IF($B1054="","",IFERROR(INDEX(Config!$D$9:$D$29,MATCH($B1054,Config!$B$9:$B$29,0))&amp;"",""))</f>
        <v/>
      </c>
    </row>
    <row r="1055">
      <c r="R1055" s="20" t="str">
        <f>IF($B1055="","",IFERROR(IF(INDEX(Config!$D$9:$D$29,MATCH($B1055,Config!$B$9:$B$29,0))="Contrato",IF(INDEX(Config!$E$9:$E$29,MATCH($B1055,Config!$B$9:$B$29,0))="","",INDEX(Config!$E$9:$E$29,MATCH($B1055,Config!$B$9:$B$29,0))),""),""))</f>
        <v/>
      </c>
      <c r="AC1055" s="19" t="str">
        <f>IF($B1055="","",IFERROR(INDEX(Config!$D$9:$D$29,MATCH($B1055,Config!$B$9:$B$29,0))&amp;"",""))</f>
        <v/>
      </c>
    </row>
    <row r="1056">
      <c r="R1056" s="20" t="str">
        <f>IF($B1056="","",IFERROR(IF(INDEX(Config!$D$9:$D$29,MATCH($B1056,Config!$B$9:$B$29,0))="Contrato",IF(INDEX(Config!$E$9:$E$29,MATCH($B1056,Config!$B$9:$B$29,0))="","",INDEX(Config!$E$9:$E$29,MATCH($B1056,Config!$B$9:$B$29,0))),""),""))</f>
        <v/>
      </c>
      <c r="AC1056" s="19" t="str">
        <f>IF($B1056="","",IFERROR(INDEX(Config!$D$9:$D$29,MATCH($B1056,Config!$B$9:$B$29,0))&amp;"",""))</f>
        <v/>
      </c>
    </row>
    <row r="1057">
      <c r="R1057" s="20" t="str">
        <f>IF($B1057="","",IFERROR(IF(INDEX(Config!$D$9:$D$29,MATCH($B1057,Config!$B$9:$B$29,0))="Contrato",IF(INDEX(Config!$E$9:$E$29,MATCH($B1057,Config!$B$9:$B$29,0))="","",INDEX(Config!$E$9:$E$29,MATCH($B1057,Config!$B$9:$B$29,0))),""),""))</f>
        <v/>
      </c>
      <c r="AC1057" s="19" t="str">
        <f>IF($B1057="","",IFERROR(INDEX(Config!$D$9:$D$29,MATCH($B1057,Config!$B$9:$B$29,0))&amp;"",""))</f>
        <v/>
      </c>
    </row>
    <row r="1058">
      <c r="R1058" s="20" t="str">
        <f>IF($B1058="","",IFERROR(IF(INDEX(Config!$D$9:$D$29,MATCH($B1058,Config!$B$9:$B$29,0))="Contrato",IF(INDEX(Config!$E$9:$E$29,MATCH($B1058,Config!$B$9:$B$29,0))="","",INDEX(Config!$E$9:$E$29,MATCH($B1058,Config!$B$9:$B$29,0))),""),""))</f>
        <v/>
      </c>
      <c r="AC1058" s="19" t="str">
        <f>IF($B1058="","",IFERROR(INDEX(Config!$D$9:$D$29,MATCH($B1058,Config!$B$9:$B$29,0))&amp;"",""))</f>
        <v/>
      </c>
    </row>
    <row r="1059">
      <c r="R1059" s="20" t="str">
        <f>IF($B1059="","",IFERROR(IF(INDEX(Config!$D$9:$D$29,MATCH($B1059,Config!$B$9:$B$29,0))="Contrato",IF(INDEX(Config!$E$9:$E$29,MATCH($B1059,Config!$B$9:$B$29,0))="","",INDEX(Config!$E$9:$E$29,MATCH($B1059,Config!$B$9:$B$29,0))),""),""))</f>
        <v/>
      </c>
      <c r="AC1059" s="19" t="str">
        <f>IF($B1059="","",IFERROR(INDEX(Config!$D$9:$D$29,MATCH($B1059,Config!$B$9:$B$29,0))&amp;"",""))</f>
        <v/>
      </c>
    </row>
    <row r="1060">
      <c r="R1060" s="20" t="str">
        <f>IF($B1060="","",IFERROR(IF(INDEX(Config!$D$9:$D$29,MATCH($B1060,Config!$B$9:$B$29,0))="Contrato",IF(INDEX(Config!$E$9:$E$29,MATCH($B1060,Config!$B$9:$B$29,0))="","",INDEX(Config!$E$9:$E$29,MATCH($B1060,Config!$B$9:$B$29,0))),""),""))</f>
        <v/>
      </c>
      <c r="AC1060" s="19" t="str">
        <f>IF($B1060="","",IFERROR(INDEX(Config!$D$9:$D$29,MATCH($B1060,Config!$B$9:$B$29,0))&amp;"",""))</f>
        <v/>
      </c>
    </row>
    <row r="1061">
      <c r="R1061" s="20" t="str">
        <f>IF($B1061="","",IFERROR(IF(INDEX(Config!$D$9:$D$29,MATCH($B1061,Config!$B$9:$B$29,0))="Contrato",IF(INDEX(Config!$E$9:$E$29,MATCH($B1061,Config!$B$9:$B$29,0))="","",INDEX(Config!$E$9:$E$29,MATCH($B1061,Config!$B$9:$B$29,0))),""),""))</f>
        <v/>
      </c>
      <c r="AC1061" s="19" t="str">
        <f>IF($B1061="","",IFERROR(INDEX(Config!$D$9:$D$29,MATCH($B1061,Config!$B$9:$B$29,0))&amp;"",""))</f>
        <v/>
      </c>
    </row>
    <row r="1062">
      <c r="R1062" s="20" t="str">
        <f>IF($B1062="","",IFERROR(IF(INDEX(Config!$D$9:$D$29,MATCH($B1062,Config!$B$9:$B$29,0))="Contrato",IF(INDEX(Config!$E$9:$E$29,MATCH($B1062,Config!$B$9:$B$29,0))="","",INDEX(Config!$E$9:$E$29,MATCH($B1062,Config!$B$9:$B$29,0))),""),""))</f>
        <v/>
      </c>
      <c r="AC1062" s="19" t="str">
        <f>IF($B1062="","",IFERROR(INDEX(Config!$D$9:$D$29,MATCH($B1062,Config!$B$9:$B$29,0))&amp;"",""))</f>
        <v/>
      </c>
    </row>
    <row r="1063">
      <c r="R1063" s="20" t="str">
        <f>IF($B1063="","",IFERROR(IF(INDEX(Config!$D$9:$D$29,MATCH($B1063,Config!$B$9:$B$29,0))="Contrato",IF(INDEX(Config!$E$9:$E$29,MATCH($B1063,Config!$B$9:$B$29,0))="","",INDEX(Config!$E$9:$E$29,MATCH($B1063,Config!$B$9:$B$29,0))),""),""))</f>
        <v/>
      </c>
      <c r="AC1063" s="19" t="str">
        <f>IF($B1063="","",IFERROR(INDEX(Config!$D$9:$D$29,MATCH($B1063,Config!$B$9:$B$29,0))&amp;"",""))</f>
        <v/>
      </c>
    </row>
    <row r="1064">
      <c r="R1064" s="20" t="str">
        <f>IF($B1064="","",IFERROR(IF(INDEX(Config!$D$9:$D$29,MATCH($B1064,Config!$B$9:$B$29,0))="Contrato",IF(INDEX(Config!$E$9:$E$29,MATCH($B1064,Config!$B$9:$B$29,0))="","",INDEX(Config!$E$9:$E$29,MATCH($B1064,Config!$B$9:$B$29,0))),""),""))</f>
        <v/>
      </c>
      <c r="AC1064" s="19" t="str">
        <f>IF($B1064="","",IFERROR(INDEX(Config!$D$9:$D$29,MATCH($B1064,Config!$B$9:$B$29,0))&amp;"",""))</f>
        <v/>
      </c>
    </row>
    <row r="1065">
      <c r="R1065" s="20" t="str">
        <f>IF($B1065="","",IFERROR(IF(INDEX(Config!$D$9:$D$29,MATCH($B1065,Config!$B$9:$B$29,0))="Contrato",IF(INDEX(Config!$E$9:$E$29,MATCH($B1065,Config!$B$9:$B$29,0))="","",INDEX(Config!$E$9:$E$29,MATCH($B1065,Config!$B$9:$B$29,0))),""),""))</f>
        <v/>
      </c>
      <c r="AC1065" s="19" t="str">
        <f>IF($B1065="","",IFERROR(INDEX(Config!$D$9:$D$29,MATCH($B1065,Config!$B$9:$B$29,0))&amp;"",""))</f>
        <v/>
      </c>
    </row>
    <row r="1066">
      <c r="R1066" s="20" t="str">
        <f>IF($B1066="","",IFERROR(IF(INDEX(Config!$D$9:$D$29,MATCH($B1066,Config!$B$9:$B$29,0))="Contrato",IF(INDEX(Config!$E$9:$E$29,MATCH($B1066,Config!$B$9:$B$29,0))="","",INDEX(Config!$E$9:$E$29,MATCH($B1066,Config!$B$9:$B$29,0))),""),""))</f>
        <v/>
      </c>
      <c r="AC1066" s="19" t="str">
        <f>IF($B1066="","",IFERROR(INDEX(Config!$D$9:$D$29,MATCH($B1066,Config!$B$9:$B$29,0))&amp;"",""))</f>
        <v/>
      </c>
    </row>
    <row r="1067">
      <c r="R1067" s="20" t="str">
        <f>IF($B1067="","",IFERROR(IF(INDEX(Config!$D$9:$D$29,MATCH($B1067,Config!$B$9:$B$29,0))="Contrato",IF(INDEX(Config!$E$9:$E$29,MATCH($B1067,Config!$B$9:$B$29,0))="","",INDEX(Config!$E$9:$E$29,MATCH($B1067,Config!$B$9:$B$29,0))),""),""))</f>
        <v/>
      </c>
      <c r="AC1067" s="19" t="str">
        <f>IF($B1067="","",IFERROR(INDEX(Config!$D$9:$D$29,MATCH($B1067,Config!$B$9:$B$29,0))&amp;"",""))</f>
        <v/>
      </c>
    </row>
    <row r="1068">
      <c r="R1068" s="20" t="str">
        <f>IF($B1068="","",IFERROR(IF(INDEX(Config!$D$9:$D$29,MATCH($B1068,Config!$B$9:$B$29,0))="Contrato",IF(INDEX(Config!$E$9:$E$29,MATCH($B1068,Config!$B$9:$B$29,0))="","",INDEX(Config!$E$9:$E$29,MATCH($B1068,Config!$B$9:$B$29,0))),""),""))</f>
        <v/>
      </c>
      <c r="AC1068" s="19" t="str">
        <f>IF($B1068="","",IFERROR(INDEX(Config!$D$9:$D$29,MATCH($B1068,Config!$B$9:$B$29,0))&amp;"",""))</f>
        <v/>
      </c>
    </row>
    <row r="1069">
      <c r="R1069" s="20" t="str">
        <f>IF($B1069="","",IFERROR(IF(INDEX(Config!$D$9:$D$29,MATCH($B1069,Config!$B$9:$B$29,0))="Contrato",IF(INDEX(Config!$E$9:$E$29,MATCH($B1069,Config!$B$9:$B$29,0))="","",INDEX(Config!$E$9:$E$29,MATCH($B1069,Config!$B$9:$B$29,0))),""),""))</f>
        <v/>
      </c>
      <c r="AC1069" s="19" t="str">
        <f>IF($B1069="","",IFERROR(INDEX(Config!$D$9:$D$29,MATCH($B1069,Config!$B$9:$B$29,0))&amp;"",""))</f>
        <v/>
      </c>
    </row>
    <row r="1070">
      <c r="R1070" s="20" t="str">
        <f>IF($B1070="","",IFERROR(IF(INDEX(Config!$D$9:$D$29,MATCH($B1070,Config!$B$9:$B$29,0))="Contrato",IF(INDEX(Config!$E$9:$E$29,MATCH($B1070,Config!$B$9:$B$29,0))="","",INDEX(Config!$E$9:$E$29,MATCH($B1070,Config!$B$9:$B$29,0))),""),""))</f>
        <v/>
      </c>
      <c r="AC1070" s="19" t="str">
        <f>IF($B1070="","",IFERROR(INDEX(Config!$D$9:$D$29,MATCH($B1070,Config!$B$9:$B$29,0))&amp;"",""))</f>
        <v/>
      </c>
    </row>
    <row r="1071">
      <c r="R1071" s="20" t="str">
        <f>IF($B1071="","",IFERROR(IF(INDEX(Config!$D$9:$D$29,MATCH($B1071,Config!$B$9:$B$29,0))="Contrato",IF(INDEX(Config!$E$9:$E$29,MATCH($B1071,Config!$B$9:$B$29,0))="","",INDEX(Config!$E$9:$E$29,MATCH($B1071,Config!$B$9:$B$29,0))),""),""))</f>
        <v/>
      </c>
      <c r="AC1071" s="19" t="str">
        <f>IF($B1071="","",IFERROR(INDEX(Config!$D$9:$D$29,MATCH($B1071,Config!$B$9:$B$29,0))&amp;"",""))</f>
        <v/>
      </c>
    </row>
    <row r="1072">
      <c r="R1072" s="20" t="str">
        <f>IF($B1072="","",IFERROR(IF(INDEX(Config!$D$9:$D$29,MATCH($B1072,Config!$B$9:$B$29,0))="Contrato",IF(INDEX(Config!$E$9:$E$29,MATCH($B1072,Config!$B$9:$B$29,0))="","",INDEX(Config!$E$9:$E$29,MATCH($B1072,Config!$B$9:$B$29,0))),""),""))</f>
        <v/>
      </c>
      <c r="AC1072" s="19" t="str">
        <f>IF($B1072="","",IFERROR(INDEX(Config!$D$9:$D$29,MATCH($B1072,Config!$B$9:$B$29,0))&amp;"",""))</f>
        <v/>
      </c>
    </row>
    <row r="1073">
      <c r="R1073" s="20" t="str">
        <f>IF($B1073="","",IFERROR(IF(INDEX(Config!$D$9:$D$29,MATCH($B1073,Config!$B$9:$B$29,0))="Contrato",IF(INDEX(Config!$E$9:$E$29,MATCH($B1073,Config!$B$9:$B$29,0))="","",INDEX(Config!$E$9:$E$29,MATCH($B1073,Config!$B$9:$B$29,0))),""),""))</f>
        <v/>
      </c>
      <c r="AC1073" s="19" t="str">
        <f>IF($B1073="","",IFERROR(INDEX(Config!$D$9:$D$29,MATCH($B1073,Config!$B$9:$B$29,0))&amp;"",""))</f>
        <v/>
      </c>
    </row>
    <row r="1074">
      <c r="R1074" s="20" t="str">
        <f>IF($B1074="","",IFERROR(IF(INDEX(Config!$D$9:$D$29,MATCH($B1074,Config!$B$9:$B$29,0))="Contrato",IF(INDEX(Config!$E$9:$E$29,MATCH($B1074,Config!$B$9:$B$29,0))="","",INDEX(Config!$E$9:$E$29,MATCH($B1074,Config!$B$9:$B$29,0))),""),""))</f>
        <v/>
      </c>
      <c r="AC1074" s="19" t="str">
        <f>IF($B1074="","",IFERROR(INDEX(Config!$D$9:$D$29,MATCH($B1074,Config!$B$9:$B$29,0))&amp;"",""))</f>
        <v/>
      </c>
    </row>
    <row r="1075">
      <c r="R1075" s="20" t="str">
        <f>IF($B1075="","",IFERROR(IF(INDEX(Config!$D$9:$D$29,MATCH($B1075,Config!$B$9:$B$29,0))="Contrato",IF(INDEX(Config!$E$9:$E$29,MATCH($B1075,Config!$B$9:$B$29,0))="","",INDEX(Config!$E$9:$E$29,MATCH($B1075,Config!$B$9:$B$29,0))),""),""))</f>
        <v/>
      </c>
      <c r="AC1075" s="19" t="str">
        <f>IF($B1075="","",IFERROR(INDEX(Config!$D$9:$D$29,MATCH($B1075,Config!$B$9:$B$29,0))&amp;"",""))</f>
        <v/>
      </c>
    </row>
    <row r="1076">
      <c r="R1076" s="20" t="str">
        <f>IF($B1076="","",IFERROR(IF(INDEX(Config!$D$9:$D$29,MATCH($B1076,Config!$B$9:$B$29,0))="Contrato",IF(INDEX(Config!$E$9:$E$29,MATCH($B1076,Config!$B$9:$B$29,0))="","",INDEX(Config!$E$9:$E$29,MATCH($B1076,Config!$B$9:$B$29,0))),""),""))</f>
        <v/>
      </c>
      <c r="AC1076" s="19" t="str">
        <f>IF($B1076="","",IFERROR(INDEX(Config!$D$9:$D$29,MATCH($B1076,Config!$B$9:$B$29,0))&amp;"",""))</f>
        <v/>
      </c>
    </row>
    <row r="1077">
      <c r="R1077" s="20" t="str">
        <f>IF($B1077="","",IFERROR(IF(INDEX(Config!$D$9:$D$29,MATCH($B1077,Config!$B$9:$B$29,0))="Contrato",IF(INDEX(Config!$E$9:$E$29,MATCH($B1077,Config!$B$9:$B$29,0))="","",INDEX(Config!$E$9:$E$29,MATCH($B1077,Config!$B$9:$B$29,0))),""),""))</f>
        <v/>
      </c>
      <c r="AC1077" s="19" t="str">
        <f>IF($B1077="","",IFERROR(INDEX(Config!$D$9:$D$29,MATCH($B1077,Config!$B$9:$B$29,0))&amp;"",""))</f>
        <v/>
      </c>
    </row>
    <row r="1078">
      <c r="R1078" s="20" t="str">
        <f>IF($B1078="","",IFERROR(IF(INDEX(Config!$D$9:$D$29,MATCH($B1078,Config!$B$9:$B$29,0))="Contrato",IF(INDEX(Config!$E$9:$E$29,MATCH($B1078,Config!$B$9:$B$29,0))="","",INDEX(Config!$E$9:$E$29,MATCH($B1078,Config!$B$9:$B$29,0))),""),""))</f>
        <v/>
      </c>
      <c r="AC1078" s="19" t="str">
        <f>IF($B1078="","",IFERROR(INDEX(Config!$D$9:$D$29,MATCH($B1078,Config!$B$9:$B$29,0))&amp;"",""))</f>
        <v/>
      </c>
    </row>
    <row r="1079">
      <c r="R1079" s="20" t="str">
        <f>IF($B1079="","",IFERROR(IF(INDEX(Config!$D$9:$D$29,MATCH($B1079,Config!$B$9:$B$29,0))="Contrato",IF(INDEX(Config!$E$9:$E$29,MATCH($B1079,Config!$B$9:$B$29,0))="","",INDEX(Config!$E$9:$E$29,MATCH($B1079,Config!$B$9:$B$29,0))),""),""))</f>
        <v/>
      </c>
      <c r="AC1079" s="19" t="str">
        <f>IF($B1079="","",IFERROR(INDEX(Config!$D$9:$D$29,MATCH($B1079,Config!$B$9:$B$29,0))&amp;"",""))</f>
        <v/>
      </c>
    </row>
    <row r="1080">
      <c r="R1080" s="20" t="str">
        <f>IF($B1080="","",IFERROR(IF(INDEX(Config!$D$9:$D$29,MATCH($B1080,Config!$B$9:$B$29,0))="Contrato",IF(INDEX(Config!$E$9:$E$29,MATCH($B1080,Config!$B$9:$B$29,0))="","",INDEX(Config!$E$9:$E$29,MATCH($B1080,Config!$B$9:$B$29,0))),""),""))</f>
        <v/>
      </c>
      <c r="AC1080" s="19" t="str">
        <f>IF($B1080="","",IFERROR(INDEX(Config!$D$9:$D$29,MATCH($B1080,Config!$B$9:$B$29,0))&amp;"",""))</f>
        <v/>
      </c>
    </row>
    <row r="1081">
      <c r="R1081" s="20" t="str">
        <f>IF($B1081="","",IFERROR(IF(INDEX(Config!$D$9:$D$29,MATCH($B1081,Config!$B$9:$B$29,0))="Contrato",IF(INDEX(Config!$E$9:$E$29,MATCH($B1081,Config!$B$9:$B$29,0))="","",INDEX(Config!$E$9:$E$29,MATCH($B1081,Config!$B$9:$B$29,0))),""),""))</f>
        <v/>
      </c>
      <c r="AC1081" s="19" t="str">
        <f>IF($B1081="","",IFERROR(INDEX(Config!$D$9:$D$29,MATCH($B1081,Config!$B$9:$B$29,0))&amp;"",""))</f>
        <v/>
      </c>
    </row>
    <row r="1082">
      <c r="R1082" s="20" t="str">
        <f>IF($B1082="","",IFERROR(IF(INDEX(Config!$D$9:$D$29,MATCH($B1082,Config!$B$9:$B$29,0))="Contrato",IF(INDEX(Config!$E$9:$E$29,MATCH($B1082,Config!$B$9:$B$29,0))="","",INDEX(Config!$E$9:$E$29,MATCH($B1082,Config!$B$9:$B$29,0))),""),""))</f>
        <v/>
      </c>
      <c r="AC1082" s="19" t="str">
        <f>IF($B1082="","",IFERROR(INDEX(Config!$D$9:$D$29,MATCH($B1082,Config!$B$9:$B$29,0))&amp;"",""))</f>
        <v/>
      </c>
    </row>
    <row r="1083">
      <c r="R1083" s="20" t="str">
        <f>IF($B1083="","",IFERROR(IF(INDEX(Config!$D$9:$D$29,MATCH($B1083,Config!$B$9:$B$29,0))="Contrato",IF(INDEX(Config!$E$9:$E$29,MATCH($B1083,Config!$B$9:$B$29,0))="","",INDEX(Config!$E$9:$E$29,MATCH($B1083,Config!$B$9:$B$29,0))),""),""))</f>
        <v/>
      </c>
      <c r="AC1083" s="19" t="str">
        <f>IF($B1083="","",IFERROR(INDEX(Config!$D$9:$D$29,MATCH($B1083,Config!$B$9:$B$29,0))&amp;"",""))</f>
        <v/>
      </c>
    </row>
    <row r="1084">
      <c r="R1084" s="20" t="str">
        <f>IF($B1084="","",IFERROR(IF(INDEX(Config!$D$9:$D$29,MATCH($B1084,Config!$B$9:$B$29,0))="Contrato",IF(INDEX(Config!$E$9:$E$29,MATCH($B1084,Config!$B$9:$B$29,0))="","",INDEX(Config!$E$9:$E$29,MATCH($B1084,Config!$B$9:$B$29,0))),""),""))</f>
        <v/>
      </c>
      <c r="AC1084" s="19" t="str">
        <f>IF($B1084="","",IFERROR(INDEX(Config!$D$9:$D$29,MATCH($B1084,Config!$B$9:$B$29,0))&amp;"",""))</f>
        <v/>
      </c>
    </row>
    <row r="1085">
      <c r="R1085" s="20" t="str">
        <f>IF($B1085="","",IFERROR(IF(INDEX(Config!$D$9:$D$29,MATCH($B1085,Config!$B$9:$B$29,0))="Contrato",IF(INDEX(Config!$E$9:$E$29,MATCH($B1085,Config!$B$9:$B$29,0))="","",INDEX(Config!$E$9:$E$29,MATCH($B1085,Config!$B$9:$B$29,0))),""),""))</f>
        <v/>
      </c>
      <c r="AC1085" s="19" t="str">
        <f>IF($B1085="","",IFERROR(INDEX(Config!$D$9:$D$29,MATCH($B1085,Config!$B$9:$B$29,0))&amp;"",""))</f>
        <v/>
      </c>
    </row>
    <row r="1086">
      <c r="R1086" s="20" t="str">
        <f>IF($B1086="","",IFERROR(IF(INDEX(Config!$D$9:$D$29,MATCH($B1086,Config!$B$9:$B$29,0))="Contrato",IF(INDEX(Config!$E$9:$E$29,MATCH($B1086,Config!$B$9:$B$29,0))="","",INDEX(Config!$E$9:$E$29,MATCH($B1086,Config!$B$9:$B$29,0))),""),""))</f>
        <v/>
      </c>
      <c r="AC1086" s="19" t="str">
        <f>IF($B1086="","",IFERROR(INDEX(Config!$D$9:$D$29,MATCH($B1086,Config!$B$9:$B$29,0))&amp;"",""))</f>
        <v/>
      </c>
    </row>
    <row r="1087">
      <c r="R1087" s="20" t="str">
        <f>IF($B1087="","",IFERROR(IF(INDEX(Config!$D$9:$D$29,MATCH($B1087,Config!$B$9:$B$29,0))="Contrato",IF(INDEX(Config!$E$9:$E$29,MATCH($B1087,Config!$B$9:$B$29,0))="","",INDEX(Config!$E$9:$E$29,MATCH($B1087,Config!$B$9:$B$29,0))),""),""))</f>
        <v/>
      </c>
      <c r="AC1087" s="19" t="str">
        <f>IF($B1087="","",IFERROR(INDEX(Config!$D$9:$D$29,MATCH($B1087,Config!$B$9:$B$29,0))&amp;"",""))</f>
        <v/>
      </c>
    </row>
    <row r="1088">
      <c r="R1088" s="20" t="str">
        <f>IF($B1088="","",IFERROR(IF(INDEX(Config!$D$9:$D$29,MATCH($B1088,Config!$B$9:$B$29,0))="Contrato",IF(INDEX(Config!$E$9:$E$29,MATCH($B1088,Config!$B$9:$B$29,0))="","",INDEX(Config!$E$9:$E$29,MATCH($B1088,Config!$B$9:$B$29,0))),""),""))</f>
        <v/>
      </c>
      <c r="AC1088" s="19" t="str">
        <f>IF($B1088="","",IFERROR(INDEX(Config!$D$9:$D$29,MATCH($B1088,Config!$B$9:$B$29,0))&amp;"",""))</f>
        <v/>
      </c>
    </row>
    <row r="1089">
      <c r="R1089" s="20" t="str">
        <f>IF($B1089="","",IFERROR(IF(INDEX(Config!$D$9:$D$29,MATCH($B1089,Config!$B$9:$B$29,0))="Contrato",IF(INDEX(Config!$E$9:$E$29,MATCH($B1089,Config!$B$9:$B$29,0))="","",INDEX(Config!$E$9:$E$29,MATCH($B1089,Config!$B$9:$B$29,0))),""),""))</f>
        <v/>
      </c>
      <c r="AC1089" s="19" t="str">
        <f>IF($B1089="","",IFERROR(INDEX(Config!$D$9:$D$29,MATCH($B1089,Config!$B$9:$B$29,0))&amp;"",""))</f>
        <v/>
      </c>
    </row>
    <row r="1090">
      <c r="R1090" s="20" t="str">
        <f>IF($B1090="","",IFERROR(IF(INDEX(Config!$D$9:$D$29,MATCH($B1090,Config!$B$9:$B$29,0))="Contrato",IF(INDEX(Config!$E$9:$E$29,MATCH($B1090,Config!$B$9:$B$29,0))="","",INDEX(Config!$E$9:$E$29,MATCH($B1090,Config!$B$9:$B$29,0))),""),""))</f>
        <v/>
      </c>
      <c r="AC1090" s="19" t="str">
        <f>IF($B1090="","",IFERROR(INDEX(Config!$D$9:$D$29,MATCH($B1090,Config!$B$9:$B$29,0))&amp;"",""))</f>
        <v/>
      </c>
    </row>
    <row r="1091">
      <c r="R1091" s="20" t="str">
        <f>IF($B1091="","",IFERROR(IF(INDEX(Config!$D$9:$D$29,MATCH($B1091,Config!$B$9:$B$29,0))="Contrato",IF(INDEX(Config!$E$9:$E$29,MATCH($B1091,Config!$B$9:$B$29,0))="","",INDEX(Config!$E$9:$E$29,MATCH($B1091,Config!$B$9:$B$29,0))),""),""))</f>
        <v/>
      </c>
      <c r="AC1091" s="19" t="str">
        <f>IF($B1091="","",IFERROR(INDEX(Config!$D$9:$D$29,MATCH($B1091,Config!$B$9:$B$29,0))&amp;"",""))</f>
        <v/>
      </c>
    </row>
    <row r="1092">
      <c r="R1092" s="20" t="str">
        <f>IF($B1092="","",IFERROR(IF(INDEX(Config!$D$9:$D$29,MATCH($B1092,Config!$B$9:$B$29,0))="Contrato",IF(INDEX(Config!$E$9:$E$29,MATCH($B1092,Config!$B$9:$B$29,0))="","",INDEX(Config!$E$9:$E$29,MATCH($B1092,Config!$B$9:$B$29,0))),""),""))</f>
        <v/>
      </c>
      <c r="AC1092" s="19" t="str">
        <f>IF($B1092="","",IFERROR(INDEX(Config!$D$9:$D$29,MATCH($B1092,Config!$B$9:$B$29,0))&amp;"",""))</f>
        <v/>
      </c>
    </row>
    <row r="1093">
      <c r="R1093" s="20" t="str">
        <f>IF($B1093="","",IFERROR(IF(INDEX(Config!$D$9:$D$29,MATCH($B1093,Config!$B$9:$B$29,0))="Contrato",IF(INDEX(Config!$E$9:$E$29,MATCH($B1093,Config!$B$9:$B$29,0))="","",INDEX(Config!$E$9:$E$29,MATCH($B1093,Config!$B$9:$B$29,0))),""),""))</f>
        <v/>
      </c>
      <c r="AC1093" s="19" t="str">
        <f>IF($B1093="","",IFERROR(INDEX(Config!$D$9:$D$29,MATCH($B1093,Config!$B$9:$B$29,0))&amp;"",""))</f>
        <v/>
      </c>
    </row>
    <row r="1094">
      <c r="R1094" s="20" t="str">
        <f>IF($B1094="","",IFERROR(IF(INDEX(Config!$D$9:$D$29,MATCH($B1094,Config!$B$9:$B$29,0))="Contrato",IF(INDEX(Config!$E$9:$E$29,MATCH($B1094,Config!$B$9:$B$29,0))="","",INDEX(Config!$E$9:$E$29,MATCH($B1094,Config!$B$9:$B$29,0))),""),""))</f>
        <v/>
      </c>
      <c r="AC1094" s="19" t="str">
        <f>IF($B1094="","",IFERROR(INDEX(Config!$D$9:$D$29,MATCH($B1094,Config!$B$9:$B$29,0))&amp;"",""))</f>
        <v/>
      </c>
    </row>
    <row r="1095">
      <c r="R1095" s="20" t="str">
        <f>IF($B1095="","",IFERROR(IF(INDEX(Config!$D$9:$D$29,MATCH($B1095,Config!$B$9:$B$29,0))="Contrato",IF(INDEX(Config!$E$9:$E$29,MATCH($B1095,Config!$B$9:$B$29,0))="","",INDEX(Config!$E$9:$E$29,MATCH($B1095,Config!$B$9:$B$29,0))),""),""))</f>
        <v/>
      </c>
      <c r="AC1095" s="19" t="str">
        <f>IF($B1095="","",IFERROR(INDEX(Config!$D$9:$D$29,MATCH($B1095,Config!$B$9:$B$29,0))&amp;"",""))</f>
        <v/>
      </c>
    </row>
    <row r="1096">
      <c r="R1096" s="20" t="str">
        <f>IF($B1096="","",IFERROR(IF(INDEX(Config!$D$9:$D$29,MATCH($B1096,Config!$B$9:$B$29,0))="Contrato",IF(INDEX(Config!$E$9:$E$29,MATCH($B1096,Config!$B$9:$B$29,0))="","",INDEX(Config!$E$9:$E$29,MATCH($B1096,Config!$B$9:$B$29,0))),""),""))</f>
        <v/>
      </c>
      <c r="AC1096" s="19" t="str">
        <f>IF($B1096="","",IFERROR(INDEX(Config!$D$9:$D$29,MATCH($B1096,Config!$B$9:$B$29,0))&amp;"",""))</f>
        <v/>
      </c>
    </row>
    <row r="1097">
      <c r="R1097" s="20" t="str">
        <f>IF($B1097="","",IFERROR(IF(INDEX(Config!$D$9:$D$29,MATCH($B1097,Config!$B$9:$B$29,0))="Contrato",IF(INDEX(Config!$E$9:$E$29,MATCH($B1097,Config!$B$9:$B$29,0))="","",INDEX(Config!$E$9:$E$29,MATCH($B1097,Config!$B$9:$B$29,0))),""),""))</f>
        <v/>
      </c>
      <c r="AC1097" s="19" t="str">
        <f>IF($B1097="","",IFERROR(INDEX(Config!$D$9:$D$29,MATCH($B1097,Config!$B$9:$B$29,0))&amp;"",""))</f>
        <v/>
      </c>
    </row>
    <row r="1098">
      <c r="R1098" s="20" t="str">
        <f>IF($B1098="","",IFERROR(IF(INDEX(Config!$D$9:$D$29,MATCH($B1098,Config!$B$9:$B$29,0))="Contrato",IF(INDEX(Config!$E$9:$E$29,MATCH($B1098,Config!$B$9:$B$29,0))="","",INDEX(Config!$E$9:$E$29,MATCH($B1098,Config!$B$9:$B$29,0))),""),""))</f>
        <v/>
      </c>
      <c r="AC1098" s="19" t="str">
        <f>IF($B1098="","",IFERROR(INDEX(Config!$D$9:$D$29,MATCH($B1098,Config!$B$9:$B$29,0))&amp;"",""))</f>
        <v/>
      </c>
    </row>
    <row r="1099">
      <c r="R1099" s="20" t="str">
        <f>IF($B1099="","",IFERROR(IF(INDEX(Config!$D$9:$D$29,MATCH($B1099,Config!$B$9:$B$29,0))="Contrato",IF(INDEX(Config!$E$9:$E$29,MATCH($B1099,Config!$B$9:$B$29,0))="","",INDEX(Config!$E$9:$E$29,MATCH($B1099,Config!$B$9:$B$29,0))),""),""))</f>
        <v/>
      </c>
      <c r="AC1099" s="19" t="str">
        <f>IF($B1099="","",IFERROR(INDEX(Config!$D$9:$D$29,MATCH($B1099,Config!$B$9:$B$29,0))&amp;"",""))</f>
        <v/>
      </c>
    </row>
    <row r="1100">
      <c r="R1100" s="20" t="str">
        <f>IF($B1100="","",IFERROR(IF(INDEX(Config!$D$9:$D$29,MATCH($B1100,Config!$B$9:$B$29,0))="Contrato",IF(INDEX(Config!$E$9:$E$29,MATCH($B1100,Config!$B$9:$B$29,0))="","",INDEX(Config!$E$9:$E$29,MATCH($B1100,Config!$B$9:$B$29,0))),""),""))</f>
        <v/>
      </c>
      <c r="AC1100" s="19" t="str">
        <f>IF($B1100="","",IFERROR(INDEX(Config!$D$9:$D$29,MATCH($B1100,Config!$B$9:$B$29,0))&amp;"",""))</f>
        <v/>
      </c>
    </row>
    <row r="1101">
      <c r="R1101" s="20" t="str">
        <f>IF($B1101="","",IFERROR(IF(INDEX(Config!$D$9:$D$29,MATCH($B1101,Config!$B$9:$B$29,0))="Contrato",IF(INDEX(Config!$E$9:$E$29,MATCH($B1101,Config!$B$9:$B$29,0))="","",INDEX(Config!$E$9:$E$29,MATCH($B1101,Config!$B$9:$B$29,0))),""),""))</f>
        <v/>
      </c>
      <c r="AC1101" s="19" t="str">
        <f>IF($B1101="","",IFERROR(INDEX(Config!$D$9:$D$29,MATCH($B1101,Config!$B$9:$B$29,0))&amp;"",""))</f>
        <v/>
      </c>
    </row>
    <row r="1102">
      <c r="R1102" s="20" t="str">
        <f>IF($B1102="","",IFERROR(IF(INDEX(Config!$D$9:$D$29,MATCH($B1102,Config!$B$9:$B$29,0))="Contrato",IF(INDEX(Config!$E$9:$E$29,MATCH($B1102,Config!$B$9:$B$29,0))="","",INDEX(Config!$E$9:$E$29,MATCH($B1102,Config!$B$9:$B$29,0))),""),""))</f>
        <v/>
      </c>
      <c r="AC1102" s="19" t="str">
        <f>IF($B1102="","",IFERROR(INDEX(Config!$D$9:$D$29,MATCH($B1102,Config!$B$9:$B$29,0))&amp;"",""))</f>
        <v/>
      </c>
    </row>
    <row r="1103">
      <c r="R1103" s="20" t="str">
        <f>IF($B1103="","",IFERROR(IF(INDEX(Config!$D$9:$D$29,MATCH($B1103,Config!$B$9:$B$29,0))="Contrato",IF(INDEX(Config!$E$9:$E$29,MATCH($B1103,Config!$B$9:$B$29,0))="","",INDEX(Config!$E$9:$E$29,MATCH($B1103,Config!$B$9:$B$29,0))),""),""))</f>
        <v/>
      </c>
      <c r="AC1103" s="19" t="str">
        <f>IF($B1103="","",IFERROR(INDEX(Config!$D$9:$D$29,MATCH($B1103,Config!$B$9:$B$29,0))&amp;"",""))</f>
        <v/>
      </c>
    </row>
    <row r="1104">
      <c r="R1104" s="20" t="str">
        <f>IF($B1104="","",IFERROR(IF(INDEX(Config!$D$9:$D$29,MATCH($B1104,Config!$B$9:$B$29,0))="Contrato",IF(INDEX(Config!$E$9:$E$29,MATCH($B1104,Config!$B$9:$B$29,0))="","",INDEX(Config!$E$9:$E$29,MATCH($B1104,Config!$B$9:$B$29,0))),""),""))</f>
        <v/>
      </c>
      <c r="AC1104" s="19" t="str">
        <f>IF($B1104="","",IFERROR(INDEX(Config!$D$9:$D$29,MATCH($B1104,Config!$B$9:$B$29,0))&amp;"",""))</f>
        <v/>
      </c>
    </row>
    <row r="1105">
      <c r="R1105" s="20" t="str">
        <f>IF($B1105="","",IFERROR(IF(INDEX(Config!$D$9:$D$29,MATCH($B1105,Config!$B$9:$B$29,0))="Contrato",IF(INDEX(Config!$E$9:$E$29,MATCH($B1105,Config!$B$9:$B$29,0))="","",INDEX(Config!$E$9:$E$29,MATCH($B1105,Config!$B$9:$B$29,0))),""),""))</f>
        <v/>
      </c>
      <c r="AC1105" s="19" t="str">
        <f>IF($B1105="","",IFERROR(INDEX(Config!$D$9:$D$29,MATCH($B1105,Config!$B$9:$B$29,0))&amp;"",""))</f>
        <v/>
      </c>
    </row>
    <row r="1106">
      <c r="R1106" s="20" t="str">
        <f>IF($B1106="","",IFERROR(IF(INDEX(Config!$D$9:$D$29,MATCH($B1106,Config!$B$9:$B$29,0))="Contrato",IF(INDEX(Config!$E$9:$E$29,MATCH($B1106,Config!$B$9:$B$29,0))="","",INDEX(Config!$E$9:$E$29,MATCH($B1106,Config!$B$9:$B$29,0))),""),""))</f>
        <v/>
      </c>
      <c r="AC1106" s="19" t="str">
        <f>IF($B1106="","",IFERROR(INDEX(Config!$D$9:$D$29,MATCH($B1106,Config!$B$9:$B$29,0))&amp;"",""))</f>
        <v/>
      </c>
    </row>
    <row r="1107">
      <c r="R1107" s="20" t="str">
        <f>IF($B1107="","",IFERROR(IF(INDEX(Config!$D$9:$D$29,MATCH($B1107,Config!$B$9:$B$29,0))="Contrato",IF(INDEX(Config!$E$9:$E$29,MATCH($B1107,Config!$B$9:$B$29,0))="","",INDEX(Config!$E$9:$E$29,MATCH($B1107,Config!$B$9:$B$29,0))),""),""))</f>
        <v/>
      </c>
      <c r="AC1107" s="19" t="str">
        <f>IF($B1107="","",IFERROR(INDEX(Config!$D$9:$D$29,MATCH($B1107,Config!$B$9:$B$29,0))&amp;"",""))</f>
        <v/>
      </c>
    </row>
    <row r="1108">
      <c r="R1108" s="20" t="str">
        <f>IF($B1108="","",IFERROR(IF(INDEX(Config!$D$9:$D$29,MATCH($B1108,Config!$B$9:$B$29,0))="Contrato",IF(INDEX(Config!$E$9:$E$29,MATCH($B1108,Config!$B$9:$B$29,0))="","",INDEX(Config!$E$9:$E$29,MATCH($B1108,Config!$B$9:$B$29,0))),""),""))</f>
        <v/>
      </c>
      <c r="AC1108" s="19" t="str">
        <f>IF($B1108="","",IFERROR(INDEX(Config!$D$9:$D$29,MATCH($B1108,Config!$B$9:$B$29,0))&amp;"",""))</f>
        <v/>
      </c>
    </row>
    <row r="1109">
      <c r="R1109" s="20" t="str">
        <f>IF($B1109="","",IFERROR(IF(INDEX(Config!$D$9:$D$29,MATCH($B1109,Config!$B$9:$B$29,0))="Contrato",IF(INDEX(Config!$E$9:$E$29,MATCH($B1109,Config!$B$9:$B$29,0))="","",INDEX(Config!$E$9:$E$29,MATCH($B1109,Config!$B$9:$B$29,0))),""),""))</f>
        <v/>
      </c>
      <c r="AC1109" s="19" t="str">
        <f>IF($B1109="","",IFERROR(INDEX(Config!$D$9:$D$29,MATCH($B1109,Config!$B$9:$B$29,0))&amp;"",""))</f>
        <v/>
      </c>
    </row>
    <row r="1110">
      <c r="R1110" s="20" t="str">
        <f>IF($B1110="","",IFERROR(IF(INDEX(Config!$D$9:$D$29,MATCH($B1110,Config!$B$9:$B$29,0))="Contrato",IF(INDEX(Config!$E$9:$E$29,MATCH($B1110,Config!$B$9:$B$29,0))="","",INDEX(Config!$E$9:$E$29,MATCH($B1110,Config!$B$9:$B$29,0))),""),""))</f>
        <v/>
      </c>
      <c r="AC1110" s="19" t="str">
        <f>IF($B1110="","",IFERROR(INDEX(Config!$D$9:$D$29,MATCH($B1110,Config!$B$9:$B$29,0))&amp;"",""))</f>
        <v/>
      </c>
    </row>
    <row r="1111">
      <c r="R1111" s="20" t="str">
        <f>IF($B1111="","",IFERROR(IF(INDEX(Config!$D$9:$D$29,MATCH($B1111,Config!$B$9:$B$29,0))="Contrato",IF(INDEX(Config!$E$9:$E$29,MATCH($B1111,Config!$B$9:$B$29,0))="","",INDEX(Config!$E$9:$E$29,MATCH($B1111,Config!$B$9:$B$29,0))),""),""))</f>
        <v/>
      </c>
      <c r="AC1111" s="19" t="str">
        <f>IF($B1111="","",IFERROR(INDEX(Config!$D$9:$D$29,MATCH($B1111,Config!$B$9:$B$29,0))&amp;"",""))</f>
        <v/>
      </c>
    </row>
    <row r="1112">
      <c r="R1112" s="20" t="str">
        <f>IF($B1112="","",IFERROR(IF(INDEX(Config!$D$9:$D$29,MATCH($B1112,Config!$B$9:$B$29,0))="Contrato",IF(INDEX(Config!$E$9:$E$29,MATCH($B1112,Config!$B$9:$B$29,0))="","",INDEX(Config!$E$9:$E$29,MATCH($B1112,Config!$B$9:$B$29,0))),""),""))</f>
        <v/>
      </c>
      <c r="AC1112" s="19" t="str">
        <f>IF($B1112="","",IFERROR(INDEX(Config!$D$9:$D$29,MATCH($B1112,Config!$B$9:$B$29,0))&amp;"",""))</f>
        <v/>
      </c>
    </row>
    <row r="1113">
      <c r="R1113" s="20" t="str">
        <f>IF($B1113="","",IFERROR(IF(INDEX(Config!$D$9:$D$29,MATCH($B1113,Config!$B$9:$B$29,0))="Contrato",IF(INDEX(Config!$E$9:$E$29,MATCH($B1113,Config!$B$9:$B$29,0))="","",INDEX(Config!$E$9:$E$29,MATCH($B1113,Config!$B$9:$B$29,0))),""),""))</f>
        <v/>
      </c>
      <c r="AC1113" s="19" t="str">
        <f>IF($B1113="","",IFERROR(INDEX(Config!$D$9:$D$29,MATCH($B1113,Config!$B$9:$B$29,0))&amp;"",""))</f>
        <v/>
      </c>
    </row>
    <row r="1114">
      <c r="R1114" s="20" t="str">
        <f>IF($B1114="","",IFERROR(IF(INDEX(Config!$D$9:$D$29,MATCH($B1114,Config!$B$9:$B$29,0))="Contrato",IF(INDEX(Config!$E$9:$E$29,MATCH($B1114,Config!$B$9:$B$29,0))="","",INDEX(Config!$E$9:$E$29,MATCH($B1114,Config!$B$9:$B$29,0))),""),""))</f>
        <v/>
      </c>
      <c r="AC1114" s="19" t="str">
        <f>IF($B1114="","",IFERROR(INDEX(Config!$D$9:$D$29,MATCH($B1114,Config!$B$9:$B$29,0))&amp;"",""))</f>
        <v/>
      </c>
    </row>
    <row r="1115">
      <c r="R1115" s="20" t="str">
        <f>IF($B1115="","",IFERROR(IF(INDEX(Config!$D$9:$D$29,MATCH($B1115,Config!$B$9:$B$29,0))="Contrato",IF(INDEX(Config!$E$9:$E$29,MATCH($B1115,Config!$B$9:$B$29,0))="","",INDEX(Config!$E$9:$E$29,MATCH($B1115,Config!$B$9:$B$29,0))),""),""))</f>
        <v/>
      </c>
      <c r="AC1115" s="19" t="str">
        <f>IF($B1115="","",IFERROR(INDEX(Config!$D$9:$D$29,MATCH($B1115,Config!$B$9:$B$29,0))&amp;"",""))</f>
        <v/>
      </c>
    </row>
    <row r="1116">
      <c r="R1116" s="20" t="str">
        <f>IF($B1116="","",IFERROR(IF(INDEX(Config!$D$9:$D$29,MATCH($B1116,Config!$B$9:$B$29,0))="Contrato",IF(INDEX(Config!$E$9:$E$29,MATCH($B1116,Config!$B$9:$B$29,0))="","",INDEX(Config!$E$9:$E$29,MATCH($B1116,Config!$B$9:$B$29,0))),""),""))</f>
        <v/>
      </c>
      <c r="AC1116" s="19" t="str">
        <f>IF($B1116="","",IFERROR(INDEX(Config!$D$9:$D$29,MATCH($B1116,Config!$B$9:$B$29,0))&amp;"",""))</f>
        <v/>
      </c>
    </row>
    <row r="1117">
      <c r="R1117" s="20" t="str">
        <f>IF($B1117="","",IFERROR(IF(INDEX(Config!$D$9:$D$29,MATCH($B1117,Config!$B$9:$B$29,0))="Contrato",IF(INDEX(Config!$E$9:$E$29,MATCH($B1117,Config!$B$9:$B$29,0))="","",INDEX(Config!$E$9:$E$29,MATCH($B1117,Config!$B$9:$B$29,0))),""),""))</f>
        <v/>
      </c>
      <c r="AC1117" s="19" t="str">
        <f>IF($B1117="","",IFERROR(INDEX(Config!$D$9:$D$29,MATCH($B1117,Config!$B$9:$B$29,0))&amp;"",""))</f>
        <v/>
      </c>
    </row>
    <row r="1118">
      <c r="R1118" s="20" t="str">
        <f>IF($B1118="","",IFERROR(IF(INDEX(Config!$D$9:$D$29,MATCH($B1118,Config!$B$9:$B$29,0))="Contrato",IF(INDEX(Config!$E$9:$E$29,MATCH($B1118,Config!$B$9:$B$29,0))="","",INDEX(Config!$E$9:$E$29,MATCH($B1118,Config!$B$9:$B$29,0))),""),""))</f>
        <v/>
      </c>
      <c r="AC1118" s="19" t="str">
        <f>IF($B1118="","",IFERROR(INDEX(Config!$D$9:$D$29,MATCH($B1118,Config!$B$9:$B$29,0))&amp;"",""))</f>
        <v/>
      </c>
    </row>
    <row r="1119">
      <c r="R1119" s="20" t="str">
        <f>IF($B1119="","",IFERROR(IF(INDEX(Config!$D$9:$D$29,MATCH($B1119,Config!$B$9:$B$29,0))="Contrato",IF(INDEX(Config!$E$9:$E$29,MATCH($B1119,Config!$B$9:$B$29,0))="","",INDEX(Config!$E$9:$E$29,MATCH($B1119,Config!$B$9:$B$29,0))),""),""))</f>
        <v/>
      </c>
      <c r="AC1119" s="19" t="str">
        <f>IF($B1119="","",IFERROR(INDEX(Config!$D$9:$D$29,MATCH($B1119,Config!$B$9:$B$29,0))&amp;"",""))</f>
        <v/>
      </c>
    </row>
    <row r="1120">
      <c r="R1120" s="20" t="str">
        <f>IF($B1120="","",IFERROR(IF(INDEX(Config!$D$9:$D$29,MATCH($B1120,Config!$B$9:$B$29,0))="Contrato",IF(INDEX(Config!$E$9:$E$29,MATCH($B1120,Config!$B$9:$B$29,0))="","",INDEX(Config!$E$9:$E$29,MATCH($B1120,Config!$B$9:$B$29,0))),""),""))</f>
        <v/>
      </c>
      <c r="AC1120" s="19" t="str">
        <f>IF($B1120="","",IFERROR(INDEX(Config!$D$9:$D$29,MATCH($B1120,Config!$B$9:$B$29,0))&amp;"",""))</f>
        <v/>
      </c>
    </row>
    <row r="1121">
      <c r="R1121" s="20" t="str">
        <f>IF($B1121="","",IFERROR(IF(INDEX(Config!$D$9:$D$29,MATCH($B1121,Config!$B$9:$B$29,0))="Contrato",IF(INDEX(Config!$E$9:$E$29,MATCH($B1121,Config!$B$9:$B$29,0))="","",INDEX(Config!$E$9:$E$29,MATCH($B1121,Config!$B$9:$B$29,0))),""),""))</f>
        <v/>
      </c>
      <c r="AC1121" s="19" t="str">
        <f>IF($B1121="","",IFERROR(INDEX(Config!$D$9:$D$29,MATCH($B1121,Config!$B$9:$B$29,0))&amp;"",""))</f>
        <v/>
      </c>
    </row>
    <row r="1122">
      <c r="R1122" s="20" t="str">
        <f>IF($B1122="","",IFERROR(IF(INDEX(Config!$D$9:$D$29,MATCH($B1122,Config!$B$9:$B$29,0))="Contrato",IF(INDEX(Config!$E$9:$E$29,MATCH($B1122,Config!$B$9:$B$29,0))="","",INDEX(Config!$E$9:$E$29,MATCH($B1122,Config!$B$9:$B$29,0))),""),""))</f>
        <v/>
      </c>
      <c r="AC1122" s="19" t="str">
        <f>IF($B1122="","",IFERROR(INDEX(Config!$D$9:$D$29,MATCH($B1122,Config!$B$9:$B$29,0))&amp;"",""))</f>
        <v/>
      </c>
    </row>
    <row r="1123">
      <c r="R1123" s="20" t="str">
        <f>IF($B1123="","",IFERROR(IF(INDEX(Config!$D$9:$D$29,MATCH($B1123,Config!$B$9:$B$29,0))="Contrato",IF(INDEX(Config!$E$9:$E$29,MATCH($B1123,Config!$B$9:$B$29,0))="","",INDEX(Config!$E$9:$E$29,MATCH($B1123,Config!$B$9:$B$29,0))),""),""))</f>
        <v/>
      </c>
      <c r="AC1123" s="19" t="str">
        <f>IF($B1123="","",IFERROR(INDEX(Config!$D$9:$D$29,MATCH($B1123,Config!$B$9:$B$29,0))&amp;"",""))</f>
        <v/>
      </c>
    </row>
    <row r="1124">
      <c r="R1124" s="20" t="str">
        <f>IF($B1124="","",IFERROR(IF(INDEX(Config!$D$9:$D$29,MATCH($B1124,Config!$B$9:$B$29,0))="Contrato",IF(INDEX(Config!$E$9:$E$29,MATCH($B1124,Config!$B$9:$B$29,0))="","",INDEX(Config!$E$9:$E$29,MATCH($B1124,Config!$B$9:$B$29,0))),""),""))</f>
        <v/>
      </c>
      <c r="AC1124" s="19" t="str">
        <f>IF($B1124="","",IFERROR(INDEX(Config!$D$9:$D$29,MATCH($B1124,Config!$B$9:$B$29,0))&amp;"",""))</f>
        <v/>
      </c>
    </row>
    <row r="1125">
      <c r="R1125" s="20" t="str">
        <f>IF($B1125="","",IFERROR(IF(INDEX(Config!$D$9:$D$29,MATCH($B1125,Config!$B$9:$B$29,0))="Contrato",IF(INDEX(Config!$E$9:$E$29,MATCH($B1125,Config!$B$9:$B$29,0))="","",INDEX(Config!$E$9:$E$29,MATCH($B1125,Config!$B$9:$B$29,0))),""),""))</f>
        <v/>
      </c>
      <c r="AC1125" s="19" t="str">
        <f>IF($B1125="","",IFERROR(INDEX(Config!$D$9:$D$29,MATCH($B1125,Config!$B$9:$B$29,0))&amp;"",""))</f>
        <v/>
      </c>
    </row>
    <row r="1126">
      <c r="R1126" s="20" t="str">
        <f>IF($B1126="","",IFERROR(IF(INDEX(Config!$D$9:$D$29,MATCH($B1126,Config!$B$9:$B$29,0))="Contrato",IF(INDEX(Config!$E$9:$E$29,MATCH($B1126,Config!$B$9:$B$29,0))="","",INDEX(Config!$E$9:$E$29,MATCH($B1126,Config!$B$9:$B$29,0))),""),""))</f>
        <v/>
      </c>
      <c r="AC1126" s="19" t="str">
        <f>IF($B1126="","",IFERROR(INDEX(Config!$D$9:$D$29,MATCH($B1126,Config!$B$9:$B$29,0))&amp;"",""))</f>
        <v/>
      </c>
    </row>
    <row r="1127">
      <c r="R1127" s="20" t="str">
        <f>IF($B1127="","",IFERROR(IF(INDEX(Config!$D$9:$D$29,MATCH($B1127,Config!$B$9:$B$29,0))="Contrato",IF(INDEX(Config!$E$9:$E$29,MATCH($B1127,Config!$B$9:$B$29,0))="","",INDEX(Config!$E$9:$E$29,MATCH($B1127,Config!$B$9:$B$29,0))),""),""))</f>
        <v/>
      </c>
      <c r="AC1127" s="19" t="str">
        <f>IF($B1127="","",IFERROR(INDEX(Config!$D$9:$D$29,MATCH($B1127,Config!$B$9:$B$29,0))&amp;"",""))</f>
        <v/>
      </c>
    </row>
    <row r="1128">
      <c r="R1128" s="20" t="str">
        <f>IF($B1128="","",IFERROR(IF(INDEX(Config!$D$9:$D$29,MATCH($B1128,Config!$B$9:$B$29,0))="Contrato",IF(INDEX(Config!$E$9:$E$29,MATCH($B1128,Config!$B$9:$B$29,0))="","",INDEX(Config!$E$9:$E$29,MATCH($B1128,Config!$B$9:$B$29,0))),""),""))</f>
        <v/>
      </c>
      <c r="AC1128" s="19" t="str">
        <f>IF($B1128="","",IFERROR(INDEX(Config!$D$9:$D$29,MATCH($B1128,Config!$B$9:$B$29,0))&amp;"",""))</f>
        <v/>
      </c>
    </row>
    <row r="1129">
      <c r="R1129" s="20" t="str">
        <f>IF($B1129="","",IFERROR(IF(INDEX(Config!$D$9:$D$29,MATCH($B1129,Config!$B$9:$B$29,0))="Contrato",IF(INDEX(Config!$E$9:$E$29,MATCH($B1129,Config!$B$9:$B$29,0))="","",INDEX(Config!$E$9:$E$29,MATCH($B1129,Config!$B$9:$B$29,0))),""),""))</f>
        <v/>
      </c>
      <c r="AC1129" s="19" t="str">
        <f>IF($B1129="","",IFERROR(INDEX(Config!$D$9:$D$29,MATCH($B1129,Config!$B$9:$B$29,0))&amp;"",""))</f>
        <v/>
      </c>
    </row>
    <row r="1130">
      <c r="R1130" s="20" t="str">
        <f>IF($B1130="","",IFERROR(IF(INDEX(Config!$D$9:$D$29,MATCH($B1130,Config!$B$9:$B$29,0))="Contrato",IF(INDEX(Config!$E$9:$E$29,MATCH($B1130,Config!$B$9:$B$29,0))="","",INDEX(Config!$E$9:$E$29,MATCH($B1130,Config!$B$9:$B$29,0))),""),""))</f>
        <v/>
      </c>
      <c r="AC1130" s="19" t="str">
        <f>IF($B1130="","",IFERROR(INDEX(Config!$D$9:$D$29,MATCH($B1130,Config!$B$9:$B$29,0))&amp;"",""))</f>
        <v/>
      </c>
    </row>
    <row r="1131">
      <c r="R1131" s="20" t="str">
        <f>IF($B1131="","",IFERROR(IF(INDEX(Config!$D$9:$D$29,MATCH($B1131,Config!$B$9:$B$29,0))="Contrato",IF(INDEX(Config!$E$9:$E$29,MATCH($B1131,Config!$B$9:$B$29,0))="","",INDEX(Config!$E$9:$E$29,MATCH($B1131,Config!$B$9:$B$29,0))),""),""))</f>
        <v/>
      </c>
      <c r="AC1131" s="19" t="str">
        <f>IF($B1131="","",IFERROR(INDEX(Config!$D$9:$D$29,MATCH($B1131,Config!$B$9:$B$29,0))&amp;"",""))</f>
        <v/>
      </c>
    </row>
    <row r="1132">
      <c r="R1132" s="20" t="str">
        <f>IF($B1132="","",IFERROR(IF(INDEX(Config!$D$9:$D$29,MATCH($B1132,Config!$B$9:$B$29,0))="Contrato",IF(INDEX(Config!$E$9:$E$29,MATCH($B1132,Config!$B$9:$B$29,0))="","",INDEX(Config!$E$9:$E$29,MATCH($B1132,Config!$B$9:$B$29,0))),""),""))</f>
        <v/>
      </c>
      <c r="AC1132" s="19" t="str">
        <f>IF($B1132="","",IFERROR(INDEX(Config!$D$9:$D$29,MATCH($B1132,Config!$B$9:$B$29,0))&amp;"",""))</f>
        <v/>
      </c>
    </row>
    <row r="1133">
      <c r="R1133" s="20" t="str">
        <f>IF($B1133="","",IFERROR(IF(INDEX(Config!$D$9:$D$29,MATCH($B1133,Config!$B$9:$B$29,0))="Contrato",IF(INDEX(Config!$E$9:$E$29,MATCH($B1133,Config!$B$9:$B$29,0))="","",INDEX(Config!$E$9:$E$29,MATCH($B1133,Config!$B$9:$B$29,0))),""),""))</f>
        <v/>
      </c>
      <c r="AC1133" s="19" t="str">
        <f>IF($B1133="","",IFERROR(INDEX(Config!$D$9:$D$29,MATCH($B1133,Config!$B$9:$B$29,0))&amp;"",""))</f>
        <v/>
      </c>
    </row>
    <row r="1134">
      <c r="R1134" s="20" t="str">
        <f>IF($B1134="","",IFERROR(IF(INDEX(Config!$D$9:$D$29,MATCH($B1134,Config!$B$9:$B$29,0))="Contrato",IF(INDEX(Config!$E$9:$E$29,MATCH($B1134,Config!$B$9:$B$29,0))="","",INDEX(Config!$E$9:$E$29,MATCH($B1134,Config!$B$9:$B$29,0))),""),""))</f>
        <v/>
      </c>
      <c r="AC1134" s="19" t="str">
        <f>IF($B1134="","",IFERROR(INDEX(Config!$D$9:$D$29,MATCH($B1134,Config!$B$9:$B$29,0))&amp;"",""))</f>
        <v/>
      </c>
    </row>
    <row r="1135">
      <c r="R1135" s="20" t="str">
        <f>IF($B1135="","",IFERROR(IF(INDEX(Config!$D$9:$D$29,MATCH($B1135,Config!$B$9:$B$29,0))="Contrato",IF(INDEX(Config!$E$9:$E$29,MATCH($B1135,Config!$B$9:$B$29,0))="","",INDEX(Config!$E$9:$E$29,MATCH($B1135,Config!$B$9:$B$29,0))),""),""))</f>
        <v/>
      </c>
      <c r="AC1135" s="19" t="str">
        <f>IF($B1135="","",IFERROR(INDEX(Config!$D$9:$D$29,MATCH($B1135,Config!$B$9:$B$29,0))&amp;"",""))</f>
        <v/>
      </c>
    </row>
    <row r="1136">
      <c r="R1136" s="20" t="str">
        <f>IF($B1136="","",IFERROR(IF(INDEX(Config!$D$9:$D$29,MATCH($B1136,Config!$B$9:$B$29,0))="Contrato",IF(INDEX(Config!$E$9:$E$29,MATCH($B1136,Config!$B$9:$B$29,0))="","",INDEX(Config!$E$9:$E$29,MATCH($B1136,Config!$B$9:$B$29,0))),""),""))</f>
        <v/>
      </c>
      <c r="AC1136" s="19" t="str">
        <f>IF($B1136="","",IFERROR(INDEX(Config!$D$9:$D$29,MATCH($B1136,Config!$B$9:$B$29,0))&amp;"",""))</f>
        <v/>
      </c>
    </row>
    <row r="1137">
      <c r="R1137" s="20" t="str">
        <f>IF($B1137="","",IFERROR(IF(INDEX(Config!$D$9:$D$29,MATCH($B1137,Config!$B$9:$B$29,0))="Contrato",IF(INDEX(Config!$E$9:$E$29,MATCH($B1137,Config!$B$9:$B$29,0))="","",INDEX(Config!$E$9:$E$29,MATCH($B1137,Config!$B$9:$B$29,0))),""),""))</f>
        <v/>
      </c>
      <c r="AC1137" s="19" t="str">
        <f>IF($B1137="","",IFERROR(INDEX(Config!$D$9:$D$29,MATCH($B1137,Config!$B$9:$B$29,0))&amp;"",""))</f>
        <v/>
      </c>
    </row>
    <row r="1138">
      <c r="R1138" s="20" t="str">
        <f>IF($B1138="","",IFERROR(IF(INDEX(Config!$D$9:$D$29,MATCH($B1138,Config!$B$9:$B$29,0))="Contrato",IF(INDEX(Config!$E$9:$E$29,MATCH($B1138,Config!$B$9:$B$29,0))="","",INDEX(Config!$E$9:$E$29,MATCH($B1138,Config!$B$9:$B$29,0))),""),""))</f>
        <v/>
      </c>
      <c r="AC1138" s="19" t="str">
        <f>IF($B1138="","",IFERROR(INDEX(Config!$D$9:$D$29,MATCH($B1138,Config!$B$9:$B$29,0))&amp;"",""))</f>
        <v/>
      </c>
    </row>
    <row r="1139">
      <c r="R1139" s="20" t="str">
        <f>IF($B1139="","",IFERROR(IF(INDEX(Config!$D$9:$D$29,MATCH($B1139,Config!$B$9:$B$29,0))="Contrato",IF(INDEX(Config!$E$9:$E$29,MATCH($B1139,Config!$B$9:$B$29,0))="","",INDEX(Config!$E$9:$E$29,MATCH($B1139,Config!$B$9:$B$29,0))),""),""))</f>
        <v/>
      </c>
      <c r="AC1139" s="19" t="str">
        <f>IF($B1139="","",IFERROR(INDEX(Config!$D$9:$D$29,MATCH($B1139,Config!$B$9:$B$29,0))&amp;"",""))</f>
        <v/>
      </c>
    </row>
    <row r="1140">
      <c r="R1140" s="20" t="str">
        <f>IF($B1140="","",IFERROR(IF(INDEX(Config!$D$9:$D$29,MATCH($B1140,Config!$B$9:$B$29,0))="Contrato",IF(INDEX(Config!$E$9:$E$29,MATCH($B1140,Config!$B$9:$B$29,0))="","",INDEX(Config!$E$9:$E$29,MATCH($B1140,Config!$B$9:$B$29,0))),""),""))</f>
        <v/>
      </c>
      <c r="AC1140" s="19" t="str">
        <f>IF($B1140="","",IFERROR(INDEX(Config!$D$9:$D$29,MATCH($B1140,Config!$B$9:$B$29,0))&amp;"",""))</f>
        <v/>
      </c>
    </row>
    <row r="1141">
      <c r="R1141" s="20" t="str">
        <f>IF($B1141="","",IFERROR(IF(INDEX(Config!$D$9:$D$29,MATCH($B1141,Config!$B$9:$B$29,0))="Contrato",IF(INDEX(Config!$E$9:$E$29,MATCH($B1141,Config!$B$9:$B$29,0))="","",INDEX(Config!$E$9:$E$29,MATCH($B1141,Config!$B$9:$B$29,0))),""),""))</f>
        <v/>
      </c>
      <c r="AC1141" s="19" t="str">
        <f>IF($B1141="","",IFERROR(INDEX(Config!$D$9:$D$29,MATCH($B1141,Config!$B$9:$B$29,0))&amp;"",""))</f>
        <v/>
      </c>
    </row>
    <row r="1142">
      <c r="R1142" s="20" t="str">
        <f>IF($B1142="","",IFERROR(IF(INDEX(Config!$D$9:$D$29,MATCH($B1142,Config!$B$9:$B$29,0))="Contrato",IF(INDEX(Config!$E$9:$E$29,MATCH($B1142,Config!$B$9:$B$29,0))="","",INDEX(Config!$E$9:$E$29,MATCH($B1142,Config!$B$9:$B$29,0))),""),""))</f>
        <v/>
      </c>
      <c r="AC1142" s="19" t="str">
        <f>IF($B1142="","",IFERROR(INDEX(Config!$D$9:$D$29,MATCH($B1142,Config!$B$9:$B$29,0))&amp;"",""))</f>
        <v/>
      </c>
    </row>
    <row r="1143">
      <c r="R1143" s="20" t="str">
        <f>IF($B1143="","",IFERROR(IF(INDEX(Config!$D$9:$D$29,MATCH($B1143,Config!$B$9:$B$29,0))="Contrato",IF(INDEX(Config!$E$9:$E$29,MATCH($B1143,Config!$B$9:$B$29,0))="","",INDEX(Config!$E$9:$E$29,MATCH($B1143,Config!$B$9:$B$29,0))),""),""))</f>
        <v/>
      </c>
      <c r="AC1143" s="19" t="str">
        <f>IF($B1143="","",IFERROR(INDEX(Config!$D$9:$D$29,MATCH($B1143,Config!$B$9:$B$29,0))&amp;"",""))</f>
        <v/>
      </c>
    </row>
    <row r="1144">
      <c r="R1144" s="20" t="str">
        <f>IF($B1144="","",IFERROR(IF(INDEX(Config!$D$9:$D$29,MATCH($B1144,Config!$B$9:$B$29,0))="Contrato",IF(INDEX(Config!$E$9:$E$29,MATCH($B1144,Config!$B$9:$B$29,0))="","",INDEX(Config!$E$9:$E$29,MATCH($B1144,Config!$B$9:$B$29,0))),""),""))</f>
        <v/>
      </c>
      <c r="AC1144" s="19" t="str">
        <f>IF($B1144="","",IFERROR(INDEX(Config!$D$9:$D$29,MATCH($B1144,Config!$B$9:$B$29,0))&amp;"",""))</f>
        <v/>
      </c>
    </row>
    <row r="1145">
      <c r="R1145" s="20" t="str">
        <f>IF($B1145="","",IFERROR(IF(INDEX(Config!$D$9:$D$29,MATCH($B1145,Config!$B$9:$B$29,0))="Contrato",IF(INDEX(Config!$E$9:$E$29,MATCH($B1145,Config!$B$9:$B$29,0))="","",INDEX(Config!$E$9:$E$29,MATCH($B1145,Config!$B$9:$B$29,0))),""),""))</f>
        <v/>
      </c>
      <c r="AC1145" s="19" t="str">
        <f>IF($B1145="","",IFERROR(INDEX(Config!$D$9:$D$29,MATCH($B1145,Config!$B$9:$B$29,0))&amp;"",""))</f>
        <v/>
      </c>
    </row>
    <row r="1146">
      <c r="R1146" s="20" t="str">
        <f>IF($B1146="","",IFERROR(IF(INDEX(Config!$D$9:$D$29,MATCH($B1146,Config!$B$9:$B$29,0))="Contrato",IF(INDEX(Config!$E$9:$E$29,MATCH($B1146,Config!$B$9:$B$29,0))="","",INDEX(Config!$E$9:$E$29,MATCH($B1146,Config!$B$9:$B$29,0))),""),""))</f>
        <v/>
      </c>
      <c r="AC1146" s="19" t="str">
        <f>IF($B1146="","",IFERROR(INDEX(Config!$D$9:$D$29,MATCH($B1146,Config!$B$9:$B$29,0))&amp;"",""))</f>
        <v/>
      </c>
    </row>
    <row r="1147">
      <c r="R1147" s="20" t="str">
        <f>IF($B1147="","",IFERROR(IF(INDEX(Config!$D$9:$D$29,MATCH($B1147,Config!$B$9:$B$29,0))="Contrato",IF(INDEX(Config!$E$9:$E$29,MATCH($B1147,Config!$B$9:$B$29,0))="","",INDEX(Config!$E$9:$E$29,MATCH($B1147,Config!$B$9:$B$29,0))),""),""))</f>
        <v/>
      </c>
      <c r="AC1147" s="19" t="str">
        <f>IF($B1147="","",IFERROR(INDEX(Config!$D$9:$D$29,MATCH($B1147,Config!$B$9:$B$29,0))&amp;"",""))</f>
        <v/>
      </c>
    </row>
    <row r="1148">
      <c r="R1148" s="20" t="str">
        <f>IF($B1148="","",IFERROR(IF(INDEX(Config!$D$9:$D$29,MATCH($B1148,Config!$B$9:$B$29,0))="Contrato",IF(INDEX(Config!$E$9:$E$29,MATCH($B1148,Config!$B$9:$B$29,0))="","",INDEX(Config!$E$9:$E$29,MATCH($B1148,Config!$B$9:$B$29,0))),""),""))</f>
        <v/>
      </c>
      <c r="AC1148" s="19" t="str">
        <f>IF($B1148="","",IFERROR(INDEX(Config!$D$9:$D$29,MATCH($B1148,Config!$B$9:$B$29,0))&amp;"",""))</f>
        <v/>
      </c>
    </row>
    <row r="1149">
      <c r="R1149" s="20" t="str">
        <f>IF($B1149="","",IFERROR(IF(INDEX(Config!$D$9:$D$29,MATCH($B1149,Config!$B$9:$B$29,0))="Contrato",IF(INDEX(Config!$E$9:$E$29,MATCH($B1149,Config!$B$9:$B$29,0))="","",INDEX(Config!$E$9:$E$29,MATCH($B1149,Config!$B$9:$B$29,0))),""),""))</f>
        <v/>
      </c>
      <c r="AC1149" s="19" t="str">
        <f>IF($B1149="","",IFERROR(INDEX(Config!$D$9:$D$29,MATCH($B1149,Config!$B$9:$B$29,0))&amp;"",""))</f>
        <v/>
      </c>
    </row>
    <row r="1150">
      <c r="R1150" s="20" t="str">
        <f>IF($B1150="","",IFERROR(IF(INDEX(Config!$D$9:$D$29,MATCH($B1150,Config!$B$9:$B$29,0))="Contrato",IF(INDEX(Config!$E$9:$E$29,MATCH($B1150,Config!$B$9:$B$29,0))="","",INDEX(Config!$E$9:$E$29,MATCH($B1150,Config!$B$9:$B$29,0))),""),""))</f>
        <v/>
      </c>
      <c r="AC1150" s="19" t="str">
        <f>IF($B1150="","",IFERROR(INDEX(Config!$D$9:$D$29,MATCH($B1150,Config!$B$9:$B$29,0))&amp;"",""))</f>
        <v/>
      </c>
    </row>
    <row r="1151">
      <c r="R1151" s="20" t="str">
        <f>IF($B1151="","",IFERROR(IF(INDEX(Config!$D$9:$D$29,MATCH($B1151,Config!$B$9:$B$29,0))="Contrato",IF(INDEX(Config!$E$9:$E$29,MATCH($B1151,Config!$B$9:$B$29,0))="","",INDEX(Config!$E$9:$E$29,MATCH($B1151,Config!$B$9:$B$29,0))),""),""))</f>
        <v/>
      </c>
      <c r="AC1151" s="19" t="str">
        <f>IF($B1151="","",IFERROR(INDEX(Config!$D$9:$D$29,MATCH($B1151,Config!$B$9:$B$29,0))&amp;"",""))</f>
        <v/>
      </c>
    </row>
    <row r="1152">
      <c r="R1152" s="20" t="str">
        <f>IF($B1152="","",IFERROR(IF(INDEX(Config!$D$9:$D$29,MATCH($B1152,Config!$B$9:$B$29,0))="Contrato",IF(INDEX(Config!$E$9:$E$29,MATCH($B1152,Config!$B$9:$B$29,0))="","",INDEX(Config!$E$9:$E$29,MATCH($B1152,Config!$B$9:$B$29,0))),""),""))</f>
        <v/>
      </c>
      <c r="AC1152" s="19" t="str">
        <f>IF($B1152="","",IFERROR(INDEX(Config!$D$9:$D$29,MATCH($B1152,Config!$B$9:$B$29,0))&amp;"",""))</f>
        <v/>
      </c>
    </row>
    <row r="1153">
      <c r="R1153" s="20" t="str">
        <f>IF($B1153="","",IFERROR(IF(INDEX(Config!$D$9:$D$29,MATCH($B1153,Config!$B$9:$B$29,0))="Contrato",IF(INDEX(Config!$E$9:$E$29,MATCH($B1153,Config!$B$9:$B$29,0))="","",INDEX(Config!$E$9:$E$29,MATCH($B1153,Config!$B$9:$B$29,0))),""),""))</f>
        <v/>
      </c>
      <c r="AC1153" s="19" t="str">
        <f>IF($B1153="","",IFERROR(INDEX(Config!$D$9:$D$29,MATCH($B1153,Config!$B$9:$B$29,0))&amp;"",""))</f>
        <v/>
      </c>
    </row>
    <row r="1154">
      <c r="R1154" s="20" t="str">
        <f>IF($B1154="","",IFERROR(IF(INDEX(Config!$D$9:$D$29,MATCH($B1154,Config!$B$9:$B$29,0))="Contrato",IF(INDEX(Config!$E$9:$E$29,MATCH($B1154,Config!$B$9:$B$29,0))="","",INDEX(Config!$E$9:$E$29,MATCH($B1154,Config!$B$9:$B$29,0))),""),""))</f>
        <v/>
      </c>
      <c r="AC1154" s="19" t="str">
        <f>IF($B1154="","",IFERROR(INDEX(Config!$D$9:$D$29,MATCH($B1154,Config!$B$9:$B$29,0))&amp;"",""))</f>
        <v/>
      </c>
    </row>
    <row r="1155">
      <c r="R1155" s="20" t="str">
        <f>IF($B1155="","",IFERROR(IF(INDEX(Config!$D$9:$D$29,MATCH($B1155,Config!$B$9:$B$29,0))="Contrato",IF(INDEX(Config!$E$9:$E$29,MATCH($B1155,Config!$B$9:$B$29,0))="","",INDEX(Config!$E$9:$E$29,MATCH($B1155,Config!$B$9:$B$29,0))),""),""))</f>
        <v/>
      </c>
      <c r="AC1155" s="19" t="str">
        <f>IF($B1155="","",IFERROR(INDEX(Config!$D$9:$D$29,MATCH($B1155,Config!$B$9:$B$29,0))&amp;"",""))</f>
        <v/>
      </c>
    </row>
    <row r="1156">
      <c r="R1156" s="20" t="str">
        <f>IF($B1156="","",IFERROR(IF(INDEX(Config!$D$9:$D$29,MATCH($B1156,Config!$B$9:$B$29,0))="Contrato",IF(INDEX(Config!$E$9:$E$29,MATCH($B1156,Config!$B$9:$B$29,0))="","",INDEX(Config!$E$9:$E$29,MATCH($B1156,Config!$B$9:$B$29,0))),""),""))</f>
        <v/>
      </c>
      <c r="AC1156" s="19" t="str">
        <f>IF($B1156="","",IFERROR(INDEX(Config!$D$9:$D$29,MATCH($B1156,Config!$B$9:$B$29,0))&amp;"",""))</f>
        <v/>
      </c>
    </row>
    <row r="1157">
      <c r="R1157" s="20" t="str">
        <f>IF($B1157="","",IFERROR(IF(INDEX(Config!$D$9:$D$29,MATCH($B1157,Config!$B$9:$B$29,0))="Contrato",IF(INDEX(Config!$E$9:$E$29,MATCH($B1157,Config!$B$9:$B$29,0))="","",INDEX(Config!$E$9:$E$29,MATCH($B1157,Config!$B$9:$B$29,0))),""),""))</f>
        <v/>
      </c>
      <c r="AC1157" s="19" t="str">
        <f>IF($B1157="","",IFERROR(INDEX(Config!$D$9:$D$29,MATCH($B1157,Config!$B$9:$B$29,0))&amp;"",""))</f>
        <v/>
      </c>
    </row>
    <row r="1158">
      <c r="R1158" s="20" t="str">
        <f>IF($B1158="","",IFERROR(IF(INDEX(Config!$D$9:$D$29,MATCH($B1158,Config!$B$9:$B$29,0))="Contrato",IF(INDEX(Config!$E$9:$E$29,MATCH($B1158,Config!$B$9:$B$29,0))="","",INDEX(Config!$E$9:$E$29,MATCH($B1158,Config!$B$9:$B$29,0))),""),""))</f>
        <v/>
      </c>
      <c r="AC1158" s="19" t="str">
        <f>IF($B1158="","",IFERROR(INDEX(Config!$D$9:$D$29,MATCH($B1158,Config!$B$9:$B$29,0))&amp;"",""))</f>
        <v/>
      </c>
    </row>
    <row r="1159">
      <c r="R1159" s="20" t="str">
        <f>IF($B1159="","",IFERROR(IF(INDEX(Config!$D$9:$D$29,MATCH($B1159,Config!$B$9:$B$29,0))="Contrato",IF(INDEX(Config!$E$9:$E$29,MATCH($B1159,Config!$B$9:$B$29,0))="","",INDEX(Config!$E$9:$E$29,MATCH($B1159,Config!$B$9:$B$29,0))),""),""))</f>
        <v/>
      </c>
      <c r="AC1159" s="19" t="str">
        <f>IF($B1159="","",IFERROR(INDEX(Config!$D$9:$D$29,MATCH($B1159,Config!$B$9:$B$29,0))&amp;"",""))</f>
        <v/>
      </c>
    </row>
    <row r="1160">
      <c r="R1160" s="20" t="str">
        <f>IF($B1160="","",IFERROR(IF(INDEX(Config!$D$9:$D$29,MATCH($B1160,Config!$B$9:$B$29,0))="Contrato",IF(INDEX(Config!$E$9:$E$29,MATCH($B1160,Config!$B$9:$B$29,0))="","",INDEX(Config!$E$9:$E$29,MATCH($B1160,Config!$B$9:$B$29,0))),""),""))</f>
        <v/>
      </c>
      <c r="AC1160" s="19" t="str">
        <f>IF($B1160="","",IFERROR(INDEX(Config!$D$9:$D$29,MATCH($B1160,Config!$B$9:$B$29,0))&amp;"",""))</f>
        <v/>
      </c>
    </row>
    <row r="1161">
      <c r="R1161" s="20" t="str">
        <f>IF($B1161="","",IFERROR(IF(INDEX(Config!$D$9:$D$29,MATCH($B1161,Config!$B$9:$B$29,0))="Contrato",IF(INDEX(Config!$E$9:$E$29,MATCH($B1161,Config!$B$9:$B$29,0))="","",INDEX(Config!$E$9:$E$29,MATCH($B1161,Config!$B$9:$B$29,0))),""),""))</f>
        <v/>
      </c>
      <c r="AC1161" s="19" t="str">
        <f>IF($B1161="","",IFERROR(INDEX(Config!$D$9:$D$29,MATCH($B1161,Config!$B$9:$B$29,0))&amp;"",""))</f>
        <v/>
      </c>
    </row>
    <row r="1162">
      <c r="R1162" s="20" t="str">
        <f>IF($B1162="","",IFERROR(IF(INDEX(Config!$D$9:$D$29,MATCH($B1162,Config!$B$9:$B$29,0))="Contrato",IF(INDEX(Config!$E$9:$E$29,MATCH($B1162,Config!$B$9:$B$29,0))="","",INDEX(Config!$E$9:$E$29,MATCH($B1162,Config!$B$9:$B$29,0))),""),""))</f>
        <v/>
      </c>
      <c r="AC1162" s="19" t="str">
        <f>IF($B1162="","",IFERROR(INDEX(Config!$D$9:$D$29,MATCH($B1162,Config!$B$9:$B$29,0))&amp;"",""))</f>
        <v/>
      </c>
    </row>
    <row r="1163">
      <c r="R1163" s="20" t="str">
        <f>IF($B1163="","",IFERROR(IF(INDEX(Config!$D$9:$D$29,MATCH($B1163,Config!$B$9:$B$29,0))="Contrato",IF(INDEX(Config!$E$9:$E$29,MATCH($B1163,Config!$B$9:$B$29,0))="","",INDEX(Config!$E$9:$E$29,MATCH($B1163,Config!$B$9:$B$29,0))),""),""))</f>
        <v/>
      </c>
      <c r="AC1163" s="19" t="str">
        <f>IF($B1163="","",IFERROR(INDEX(Config!$D$9:$D$29,MATCH($B1163,Config!$B$9:$B$29,0))&amp;"",""))</f>
        <v/>
      </c>
    </row>
    <row r="1164">
      <c r="R1164" s="20" t="str">
        <f>IF($B1164="","",IFERROR(IF(INDEX(Config!$D$9:$D$29,MATCH($B1164,Config!$B$9:$B$29,0))="Contrato",IF(INDEX(Config!$E$9:$E$29,MATCH($B1164,Config!$B$9:$B$29,0))="","",INDEX(Config!$E$9:$E$29,MATCH($B1164,Config!$B$9:$B$29,0))),""),""))</f>
        <v/>
      </c>
      <c r="AC1164" s="19" t="str">
        <f>IF($B1164="","",IFERROR(INDEX(Config!$D$9:$D$29,MATCH($B1164,Config!$B$9:$B$29,0))&amp;"",""))</f>
        <v/>
      </c>
    </row>
    <row r="1165">
      <c r="R1165" s="20" t="str">
        <f>IF($B1165="","",IFERROR(IF(INDEX(Config!$D$9:$D$29,MATCH($B1165,Config!$B$9:$B$29,0))="Contrato",IF(INDEX(Config!$E$9:$E$29,MATCH($B1165,Config!$B$9:$B$29,0))="","",INDEX(Config!$E$9:$E$29,MATCH($B1165,Config!$B$9:$B$29,0))),""),""))</f>
        <v/>
      </c>
      <c r="AC1165" s="19" t="str">
        <f>IF($B1165="","",IFERROR(INDEX(Config!$D$9:$D$29,MATCH($B1165,Config!$B$9:$B$29,0))&amp;"",""))</f>
        <v/>
      </c>
    </row>
    <row r="1166">
      <c r="R1166" s="20" t="str">
        <f>IF($B1166="","",IFERROR(IF(INDEX(Config!$D$9:$D$29,MATCH($B1166,Config!$B$9:$B$29,0))="Contrato",IF(INDEX(Config!$E$9:$E$29,MATCH($B1166,Config!$B$9:$B$29,0))="","",INDEX(Config!$E$9:$E$29,MATCH($B1166,Config!$B$9:$B$29,0))),""),""))</f>
        <v/>
      </c>
      <c r="AC1166" s="19" t="str">
        <f>IF($B1166="","",IFERROR(INDEX(Config!$D$9:$D$29,MATCH($B1166,Config!$B$9:$B$29,0))&amp;"",""))</f>
        <v/>
      </c>
    </row>
    <row r="1167">
      <c r="R1167" s="20" t="str">
        <f>IF($B1167="","",IFERROR(IF(INDEX(Config!$D$9:$D$29,MATCH($B1167,Config!$B$9:$B$29,0))="Contrato",IF(INDEX(Config!$E$9:$E$29,MATCH($B1167,Config!$B$9:$B$29,0))="","",INDEX(Config!$E$9:$E$29,MATCH($B1167,Config!$B$9:$B$29,0))),""),""))</f>
        <v/>
      </c>
      <c r="AC1167" s="19" t="str">
        <f>IF($B1167="","",IFERROR(INDEX(Config!$D$9:$D$29,MATCH($B1167,Config!$B$9:$B$29,0))&amp;"",""))</f>
        <v/>
      </c>
    </row>
    <row r="1168">
      <c r="R1168" s="20" t="str">
        <f>IF($B1168="","",IFERROR(IF(INDEX(Config!$D$9:$D$29,MATCH($B1168,Config!$B$9:$B$29,0))="Contrato",IF(INDEX(Config!$E$9:$E$29,MATCH($B1168,Config!$B$9:$B$29,0))="","",INDEX(Config!$E$9:$E$29,MATCH($B1168,Config!$B$9:$B$29,0))),""),""))</f>
        <v/>
      </c>
      <c r="AC1168" s="19" t="str">
        <f>IF($B1168="","",IFERROR(INDEX(Config!$D$9:$D$29,MATCH($B1168,Config!$B$9:$B$29,0))&amp;"",""))</f>
        <v/>
      </c>
    </row>
    <row r="1169">
      <c r="R1169" s="20" t="str">
        <f>IF($B1169="","",IFERROR(IF(INDEX(Config!$D$9:$D$29,MATCH($B1169,Config!$B$9:$B$29,0))="Contrato",IF(INDEX(Config!$E$9:$E$29,MATCH($B1169,Config!$B$9:$B$29,0))="","",INDEX(Config!$E$9:$E$29,MATCH($B1169,Config!$B$9:$B$29,0))),""),""))</f>
        <v/>
      </c>
      <c r="AC1169" s="19" t="str">
        <f>IF($B1169="","",IFERROR(INDEX(Config!$D$9:$D$29,MATCH($B1169,Config!$B$9:$B$29,0))&amp;"",""))</f>
        <v/>
      </c>
    </row>
    <row r="1170">
      <c r="R1170" s="20" t="str">
        <f>IF($B1170="","",IFERROR(IF(INDEX(Config!$D$9:$D$29,MATCH($B1170,Config!$B$9:$B$29,0))="Contrato",IF(INDEX(Config!$E$9:$E$29,MATCH($B1170,Config!$B$9:$B$29,0))="","",INDEX(Config!$E$9:$E$29,MATCH($B1170,Config!$B$9:$B$29,0))),""),""))</f>
        <v/>
      </c>
      <c r="AC1170" s="19" t="str">
        <f>IF($B1170="","",IFERROR(INDEX(Config!$D$9:$D$29,MATCH($B1170,Config!$B$9:$B$29,0))&amp;"",""))</f>
        <v/>
      </c>
    </row>
    <row r="1171">
      <c r="R1171" s="20" t="str">
        <f>IF($B1171="","",IFERROR(IF(INDEX(Config!$D$9:$D$29,MATCH($B1171,Config!$B$9:$B$29,0))="Contrato",IF(INDEX(Config!$E$9:$E$29,MATCH($B1171,Config!$B$9:$B$29,0))="","",INDEX(Config!$E$9:$E$29,MATCH($B1171,Config!$B$9:$B$29,0))),""),""))</f>
        <v/>
      </c>
      <c r="AC1171" s="19" t="str">
        <f>IF($B1171="","",IFERROR(INDEX(Config!$D$9:$D$29,MATCH($B1171,Config!$B$9:$B$29,0))&amp;"",""))</f>
        <v/>
      </c>
    </row>
    <row r="1172">
      <c r="R1172" s="20" t="str">
        <f>IF($B1172="","",IFERROR(IF(INDEX(Config!$D$9:$D$29,MATCH($B1172,Config!$B$9:$B$29,0))="Contrato",IF(INDEX(Config!$E$9:$E$29,MATCH($B1172,Config!$B$9:$B$29,0))="","",INDEX(Config!$E$9:$E$29,MATCH($B1172,Config!$B$9:$B$29,0))),""),""))</f>
        <v/>
      </c>
      <c r="AC1172" s="19" t="str">
        <f>IF($B1172="","",IFERROR(INDEX(Config!$D$9:$D$29,MATCH($B1172,Config!$B$9:$B$29,0))&amp;"",""))</f>
        <v/>
      </c>
    </row>
    <row r="1173">
      <c r="R1173" s="20" t="str">
        <f>IF($B1173="","",IFERROR(IF(INDEX(Config!$D$9:$D$29,MATCH($B1173,Config!$B$9:$B$29,0))="Contrato",IF(INDEX(Config!$E$9:$E$29,MATCH($B1173,Config!$B$9:$B$29,0))="","",INDEX(Config!$E$9:$E$29,MATCH($B1173,Config!$B$9:$B$29,0))),""),""))</f>
        <v/>
      </c>
      <c r="AC1173" s="19" t="str">
        <f>IF($B1173="","",IFERROR(INDEX(Config!$D$9:$D$29,MATCH($B1173,Config!$B$9:$B$29,0))&amp;"",""))</f>
        <v/>
      </c>
    </row>
    <row r="1174">
      <c r="R1174" s="20" t="str">
        <f>IF($B1174="","",IFERROR(IF(INDEX(Config!$D$9:$D$29,MATCH($B1174,Config!$B$9:$B$29,0))="Contrato",IF(INDEX(Config!$E$9:$E$29,MATCH($B1174,Config!$B$9:$B$29,0))="","",INDEX(Config!$E$9:$E$29,MATCH($B1174,Config!$B$9:$B$29,0))),""),""))</f>
        <v/>
      </c>
      <c r="AC1174" s="19" t="str">
        <f>IF($B1174="","",IFERROR(INDEX(Config!$D$9:$D$29,MATCH($B1174,Config!$B$9:$B$29,0))&amp;"",""))</f>
        <v/>
      </c>
    </row>
    <row r="1175">
      <c r="R1175" s="20" t="str">
        <f>IF($B1175="","",IFERROR(IF(INDEX(Config!$D$9:$D$29,MATCH($B1175,Config!$B$9:$B$29,0))="Contrato",IF(INDEX(Config!$E$9:$E$29,MATCH($B1175,Config!$B$9:$B$29,0))="","",INDEX(Config!$E$9:$E$29,MATCH($B1175,Config!$B$9:$B$29,0))),""),""))</f>
        <v/>
      </c>
      <c r="AC1175" s="19" t="str">
        <f>IF($B1175="","",IFERROR(INDEX(Config!$D$9:$D$29,MATCH($B1175,Config!$B$9:$B$29,0))&amp;"",""))</f>
        <v/>
      </c>
    </row>
    <row r="1176">
      <c r="R1176" s="20" t="str">
        <f>IF($B1176="","",IFERROR(IF(INDEX(Config!$D$9:$D$29,MATCH($B1176,Config!$B$9:$B$29,0))="Contrato",IF(INDEX(Config!$E$9:$E$29,MATCH($B1176,Config!$B$9:$B$29,0))="","",INDEX(Config!$E$9:$E$29,MATCH($B1176,Config!$B$9:$B$29,0))),""),""))</f>
        <v/>
      </c>
      <c r="AC1176" s="19" t="str">
        <f>IF($B1176="","",IFERROR(INDEX(Config!$D$9:$D$29,MATCH($B1176,Config!$B$9:$B$29,0))&amp;"",""))</f>
        <v/>
      </c>
    </row>
    <row r="1177">
      <c r="R1177" s="20" t="str">
        <f>IF($B1177="","",IFERROR(IF(INDEX(Config!$D$9:$D$29,MATCH($B1177,Config!$B$9:$B$29,0))="Contrato",IF(INDEX(Config!$E$9:$E$29,MATCH($B1177,Config!$B$9:$B$29,0))="","",INDEX(Config!$E$9:$E$29,MATCH($B1177,Config!$B$9:$B$29,0))),""),""))</f>
        <v/>
      </c>
      <c r="AC1177" s="19" t="str">
        <f>IF($B1177="","",IFERROR(INDEX(Config!$D$9:$D$29,MATCH($B1177,Config!$B$9:$B$29,0))&amp;"",""))</f>
        <v/>
      </c>
    </row>
    <row r="1178">
      <c r="R1178" s="20" t="str">
        <f>IF($B1178="","",IFERROR(IF(INDEX(Config!$D$9:$D$29,MATCH($B1178,Config!$B$9:$B$29,0))="Contrato",IF(INDEX(Config!$E$9:$E$29,MATCH($B1178,Config!$B$9:$B$29,0))="","",INDEX(Config!$E$9:$E$29,MATCH($B1178,Config!$B$9:$B$29,0))),""),""))</f>
        <v/>
      </c>
      <c r="AC1178" s="19" t="str">
        <f>IF($B1178="","",IFERROR(INDEX(Config!$D$9:$D$29,MATCH($B1178,Config!$B$9:$B$29,0))&amp;"",""))</f>
        <v/>
      </c>
    </row>
    <row r="1179">
      <c r="R1179" s="20" t="str">
        <f>IF($B1179="","",IFERROR(IF(INDEX(Config!$D$9:$D$29,MATCH($B1179,Config!$B$9:$B$29,0))="Contrato",IF(INDEX(Config!$E$9:$E$29,MATCH($B1179,Config!$B$9:$B$29,0))="","",INDEX(Config!$E$9:$E$29,MATCH($B1179,Config!$B$9:$B$29,0))),""),""))</f>
        <v/>
      </c>
      <c r="AC1179" s="19" t="str">
        <f>IF($B1179="","",IFERROR(INDEX(Config!$D$9:$D$29,MATCH($B1179,Config!$B$9:$B$29,0))&amp;"",""))</f>
        <v/>
      </c>
    </row>
    <row r="1180">
      <c r="R1180" s="20" t="str">
        <f>IF($B1180="","",IFERROR(IF(INDEX(Config!$D$9:$D$29,MATCH($B1180,Config!$B$9:$B$29,0))="Contrato",IF(INDEX(Config!$E$9:$E$29,MATCH($B1180,Config!$B$9:$B$29,0))="","",INDEX(Config!$E$9:$E$29,MATCH($B1180,Config!$B$9:$B$29,0))),""),""))</f>
        <v/>
      </c>
      <c r="AC1180" s="19" t="str">
        <f>IF($B1180="","",IFERROR(INDEX(Config!$D$9:$D$29,MATCH($B1180,Config!$B$9:$B$29,0))&amp;"",""))</f>
        <v/>
      </c>
    </row>
    <row r="1181">
      <c r="R1181" s="20" t="str">
        <f>IF($B1181="","",IFERROR(IF(INDEX(Config!$D$9:$D$29,MATCH($B1181,Config!$B$9:$B$29,0))="Contrato",IF(INDEX(Config!$E$9:$E$29,MATCH($B1181,Config!$B$9:$B$29,0))="","",INDEX(Config!$E$9:$E$29,MATCH($B1181,Config!$B$9:$B$29,0))),""),""))</f>
        <v/>
      </c>
      <c r="AC1181" s="19" t="str">
        <f>IF($B1181="","",IFERROR(INDEX(Config!$D$9:$D$29,MATCH($B1181,Config!$B$9:$B$29,0))&amp;"",""))</f>
        <v/>
      </c>
    </row>
    <row r="1182">
      <c r="R1182" s="20" t="str">
        <f>IF($B1182="","",IFERROR(IF(INDEX(Config!$D$9:$D$29,MATCH($B1182,Config!$B$9:$B$29,0))="Contrato",IF(INDEX(Config!$E$9:$E$29,MATCH($B1182,Config!$B$9:$B$29,0))="","",INDEX(Config!$E$9:$E$29,MATCH($B1182,Config!$B$9:$B$29,0))),""),""))</f>
        <v/>
      </c>
      <c r="AC1182" s="19" t="str">
        <f>IF($B1182="","",IFERROR(INDEX(Config!$D$9:$D$29,MATCH($B1182,Config!$B$9:$B$29,0))&amp;"",""))</f>
        <v/>
      </c>
    </row>
    <row r="1183">
      <c r="R1183" s="20" t="str">
        <f>IF($B1183="","",IFERROR(IF(INDEX(Config!$D$9:$D$29,MATCH($B1183,Config!$B$9:$B$29,0))="Contrato",IF(INDEX(Config!$E$9:$E$29,MATCH($B1183,Config!$B$9:$B$29,0))="","",INDEX(Config!$E$9:$E$29,MATCH($B1183,Config!$B$9:$B$29,0))),""),""))</f>
        <v/>
      </c>
      <c r="AC1183" s="19" t="str">
        <f>IF($B1183="","",IFERROR(INDEX(Config!$D$9:$D$29,MATCH($B1183,Config!$B$9:$B$29,0))&amp;"",""))</f>
        <v/>
      </c>
    </row>
    <row r="1184">
      <c r="R1184" s="20" t="str">
        <f>IF($B1184="","",IFERROR(IF(INDEX(Config!$D$9:$D$29,MATCH($B1184,Config!$B$9:$B$29,0))="Contrato",IF(INDEX(Config!$E$9:$E$29,MATCH($B1184,Config!$B$9:$B$29,0))="","",INDEX(Config!$E$9:$E$29,MATCH($B1184,Config!$B$9:$B$29,0))),""),""))</f>
        <v/>
      </c>
      <c r="AC1184" s="19" t="str">
        <f>IF($B1184="","",IFERROR(INDEX(Config!$D$9:$D$29,MATCH($B1184,Config!$B$9:$B$29,0))&amp;"",""))</f>
        <v/>
      </c>
    </row>
    <row r="1185">
      <c r="R1185" s="20" t="str">
        <f>IF($B1185="","",IFERROR(IF(INDEX(Config!$D$9:$D$29,MATCH($B1185,Config!$B$9:$B$29,0))="Contrato",IF(INDEX(Config!$E$9:$E$29,MATCH($B1185,Config!$B$9:$B$29,0))="","",INDEX(Config!$E$9:$E$29,MATCH($B1185,Config!$B$9:$B$29,0))),""),""))</f>
        <v/>
      </c>
      <c r="AC1185" s="19" t="str">
        <f>IF($B1185="","",IFERROR(INDEX(Config!$D$9:$D$29,MATCH($B1185,Config!$B$9:$B$29,0))&amp;"",""))</f>
        <v/>
      </c>
    </row>
    <row r="1186">
      <c r="R1186" s="20" t="str">
        <f>IF($B1186="","",IFERROR(IF(INDEX(Config!$D$9:$D$29,MATCH($B1186,Config!$B$9:$B$29,0))="Contrato",IF(INDEX(Config!$E$9:$E$29,MATCH($B1186,Config!$B$9:$B$29,0))="","",INDEX(Config!$E$9:$E$29,MATCH($B1186,Config!$B$9:$B$29,0))),""),""))</f>
        <v/>
      </c>
      <c r="AC1186" s="19" t="str">
        <f>IF($B1186="","",IFERROR(INDEX(Config!$D$9:$D$29,MATCH($B1186,Config!$B$9:$B$29,0))&amp;"",""))</f>
        <v/>
      </c>
    </row>
    <row r="1187">
      <c r="R1187" s="20" t="str">
        <f>IF($B1187="","",IFERROR(IF(INDEX(Config!$D$9:$D$29,MATCH($B1187,Config!$B$9:$B$29,0))="Contrato",IF(INDEX(Config!$E$9:$E$29,MATCH($B1187,Config!$B$9:$B$29,0))="","",INDEX(Config!$E$9:$E$29,MATCH($B1187,Config!$B$9:$B$29,0))),""),""))</f>
        <v/>
      </c>
      <c r="AC1187" s="19" t="str">
        <f>IF($B1187="","",IFERROR(INDEX(Config!$D$9:$D$29,MATCH($B1187,Config!$B$9:$B$29,0))&amp;"",""))</f>
        <v/>
      </c>
    </row>
    <row r="1188">
      <c r="R1188" s="20" t="str">
        <f>IF($B1188="","",IFERROR(IF(INDEX(Config!$D$9:$D$29,MATCH($B1188,Config!$B$9:$B$29,0))="Contrato",IF(INDEX(Config!$E$9:$E$29,MATCH($B1188,Config!$B$9:$B$29,0))="","",INDEX(Config!$E$9:$E$29,MATCH($B1188,Config!$B$9:$B$29,0))),""),""))</f>
        <v/>
      </c>
      <c r="AC1188" s="19" t="str">
        <f>IF($B1188="","",IFERROR(INDEX(Config!$D$9:$D$29,MATCH($B1188,Config!$B$9:$B$29,0))&amp;"",""))</f>
        <v/>
      </c>
    </row>
    <row r="1189">
      <c r="R1189" s="20" t="str">
        <f>IF($B1189="","",IFERROR(IF(INDEX(Config!$D$9:$D$29,MATCH($B1189,Config!$B$9:$B$29,0))="Contrato",IF(INDEX(Config!$E$9:$E$29,MATCH($B1189,Config!$B$9:$B$29,0))="","",INDEX(Config!$E$9:$E$29,MATCH($B1189,Config!$B$9:$B$29,0))),""),""))</f>
        <v/>
      </c>
      <c r="AC1189" s="19" t="str">
        <f>IF($B1189="","",IFERROR(INDEX(Config!$D$9:$D$29,MATCH($B1189,Config!$B$9:$B$29,0))&amp;"",""))</f>
        <v/>
      </c>
    </row>
    <row r="1190">
      <c r="R1190" s="20" t="str">
        <f>IF($B1190="","",IFERROR(IF(INDEX(Config!$D$9:$D$29,MATCH($B1190,Config!$B$9:$B$29,0))="Contrato",IF(INDEX(Config!$E$9:$E$29,MATCH($B1190,Config!$B$9:$B$29,0))="","",INDEX(Config!$E$9:$E$29,MATCH($B1190,Config!$B$9:$B$29,0))),""),""))</f>
        <v/>
      </c>
      <c r="AC1190" s="19" t="str">
        <f>IF($B1190="","",IFERROR(INDEX(Config!$D$9:$D$29,MATCH($B1190,Config!$B$9:$B$29,0))&amp;"",""))</f>
        <v/>
      </c>
    </row>
    <row r="1191">
      <c r="R1191" s="20" t="str">
        <f>IF($B1191="","",IFERROR(IF(INDEX(Config!$D$9:$D$29,MATCH($B1191,Config!$B$9:$B$29,0))="Contrato",IF(INDEX(Config!$E$9:$E$29,MATCH($B1191,Config!$B$9:$B$29,0))="","",INDEX(Config!$E$9:$E$29,MATCH($B1191,Config!$B$9:$B$29,0))),""),""))</f>
        <v/>
      </c>
      <c r="AC1191" s="19" t="str">
        <f>IF($B1191="","",IFERROR(INDEX(Config!$D$9:$D$29,MATCH($B1191,Config!$B$9:$B$29,0))&amp;"",""))</f>
        <v/>
      </c>
    </row>
    <row r="1192">
      <c r="R1192" s="20" t="str">
        <f>IF($B1192="","",IFERROR(IF(INDEX(Config!$D$9:$D$29,MATCH($B1192,Config!$B$9:$B$29,0))="Contrato",IF(INDEX(Config!$E$9:$E$29,MATCH($B1192,Config!$B$9:$B$29,0))="","",INDEX(Config!$E$9:$E$29,MATCH($B1192,Config!$B$9:$B$29,0))),""),""))</f>
        <v/>
      </c>
      <c r="AC1192" s="19" t="str">
        <f>IF($B1192="","",IFERROR(INDEX(Config!$D$9:$D$29,MATCH($B1192,Config!$B$9:$B$29,0))&amp;"",""))</f>
        <v/>
      </c>
    </row>
    <row r="1193">
      <c r="R1193" s="20" t="str">
        <f>IF($B1193="","",IFERROR(IF(INDEX(Config!$D$9:$D$29,MATCH($B1193,Config!$B$9:$B$29,0))="Contrato",IF(INDEX(Config!$E$9:$E$29,MATCH($B1193,Config!$B$9:$B$29,0))="","",INDEX(Config!$E$9:$E$29,MATCH($B1193,Config!$B$9:$B$29,0))),""),""))</f>
        <v/>
      </c>
      <c r="AC1193" s="19" t="str">
        <f>IF($B1193="","",IFERROR(INDEX(Config!$D$9:$D$29,MATCH($B1193,Config!$B$9:$B$29,0))&amp;"",""))</f>
        <v/>
      </c>
    </row>
    <row r="1194">
      <c r="R1194" s="20" t="str">
        <f>IF($B1194="","",IFERROR(IF(INDEX(Config!$D$9:$D$29,MATCH($B1194,Config!$B$9:$B$29,0))="Contrato",IF(INDEX(Config!$E$9:$E$29,MATCH($B1194,Config!$B$9:$B$29,0))="","",INDEX(Config!$E$9:$E$29,MATCH($B1194,Config!$B$9:$B$29,0))),""),""))</f>
        <v/>
      </c>
      <c r="AC1194" s="19" t="str">
        <f>IF($B1194="","",IFERROR(INDEX(Config!$D$9:$D$29,MATCH($B1194,Config!$B$9:$B$29,0))&amp;"",""))</f>
        <v/>
      </c>
    </row>
    <row r="1195">
      <c r="R1195" s="20" t="str">
        <f>IF($B1195="","",IFERROR(IF(INDEX(Config!$D$9:$D$29,MATCH($B1195,Config!$B$9:$B$29,0))="Contrato",IF(INDEX(Config!$E$9:$E$29,MATCH($B1195,Config!$B$9:$B$29,0))="","",INDEX(Config!$E$9:$E$29,MATCH($B1195,Config!$B$9:$B$29,0))),""),""))</f>
        <v/>
      </c>
      <c r="AC1195" s="19" t="str">
        <f>IF($B1195="","",IFERROR(INDEX(Config!$D$9:$D$29,MATCH($B1195,Config!$B$9:$B$29,0))&amp;"",""))</f>
        <v/>
      </c>
    </row>
    <row r="1196">
      <c r="R1196" s="20" t="str">
        <f>IF($B1196="","",IFERROR(IF(INDEX(Config!$D$9:$D$29,MATCH($B1196,Config!$B$9:$B$29,0))="Contrato",IF(INDEX(Config!$E$9:$E$29,MATCH($B1196,Config!$B$9:$B$29,0))="","",INDEX(Config!$E$9:$E$29,MATCH($B1196,Config!$B$9:$B$29,0))),""),""))</f>
        <v/>
      </c>
      <c r="AC1196" s="19" t="str">
        <f>IF($B1196="","",IFERROR(INDEX(Config!$D$9:$D$29,MATCH($B1196,Config!$B$9:$B$29,0))&amp;"",""))</f>
        <v/>
      </c>
    </row>
    <row r="1197">
      <c r="R1197" s="20" t="str">
        <f>IF($B1197="","",IFERROR(IF(INDEX(Config!$D$9:$D$29,MATCH($B1197,Config!$B$9:$B$29,0))="Contrato",IF(INDEX(Config!$E$9:$E$29,MATCH($B1197,Config!$B$9:$B$29,0))="","",INDEX(Config!$E$9:$E$29,MATCH($B1197,Config!$B$9:$B$29,0))),""),""))</f>
        <v/>
      </c>
      <c r="AC1197" s="19" t="str">
        <f>IF($B1197="","",IFERROR(INDEX(Config!$D$9:$D$29,MATCH($B1197,Config!$B$9:$B$29,0))&amp;"",""))</f>
        <v/>
      </c>
    </row>
    <row r="1198">
      <c r="R1198" s="20" t="str">
        <f>IF($B1198="","",IFERROR(IF(INDEX(Config!$D$9:$D$29,MATCH($B1198,Config!$B$9:$B$29,0))="Contrato",IF(INDEX(Config!$E$9:$E$29,MATCH($B1198,Config!$B$9:$B$29,0))="","",INDEX(Config!$E$9:$E$29,MATCH($B1198,Config!$B$9:$B$29,0))),""),""))</f>
        <v/>
      </c>
      <c r="AC1198" s="19" t="str">
        <f>IF($B1198="","",IFERROR(INDEX(Config!$D$9:$D$29,MATCH($B1198,Config!$B$9:$B$29,0))&amp;"",""))</f>
        <v/>
      </c>
    </row>
    <row r="1199">
      <c r="R1199" s="20" t="str">
        <f>IF($B1199="","",IFERROR(IF(INDEX(Config!$D$9:$D$29,MATCH($B1199,Config!$B$9:$B$29,0))="Contrato",IF(INDEX(Config!$E$9:$E$29,MATCH($B1199,Config!$B$9:$B$29,0))="","",INDEX(Config!$E$9:$E$29,MATCH($B1199,Config!$B$9:$B$29,0))),""),""))</f>
        <v/>
      </c>
      <c r="AC1199" s="19" t="str">
        <f>IF($B1199="","",IFERROR(INDEX(Config!$D$9:$D$29,MATCH($B1199,Config!$B$9:$B$29,0))&amp;"",""))</f>
        <v/>
      </c>
    </row>
    <row r="1200">
      <c r="R1200" s="20" t="str">
        <f>IF($B1200="","",IFERROR(IF(INDEX(Config!$D$9:$D$29,MATCH($B1200,Config!$B$9:$B$29,0))="Contrato",IF(INDEX(Config!$E$9:$E$29,MATCH($B1200,Config!$B$9:$B$29,0))="","",INDEX(Config!$E$9:$E$29,MATCH($B1200,Config!$B$9:$B$29,0))),""),""))</f>
        <v/>
      </c>
      <c r="AC1200" s="19" t="str">
        <f>IF($B1200="","",IFERROR(INDEX(Config!$D$9:$D$29,MATCH($B1200,Config!$B$9:$B$29,0))&amp;"",""))</f>
        <v/>
      </c>
    </row>
    <row r="1201">
      <c r="R1201" s="20" t="str">
        <f>IF($B1201="","",IFERROR(IF(INDEX(Config!$D$9:$D$29,MATCH($B1201,Config!$B$9:$B$29,0))="Contrato",IF(INDEX(Config!$E$9:$E$29,MATCH($B1201,Config!$B$9:$B$29,0))="","",INDEX(Config!$E$9:$E$29,MATCH($B1201,Config!$B$9:$B$29,0))),""),""))</f>
        <v/>
      </c>
      <c r="AC1201" s="19" t="str">
        <f>IF($B1201="","",IFERROR(INDEX(Config!$D$9:$D$29,MATCH($B1201,Config!$B$9:$B$29,0))&amp;"",""))</f>
        <v/>
      </c>
    </row>
    <row r="1202">
      <c r="R1202" s="20" t="str">
        <f>IF($B1202="","",IFERROR(IF(INDEX(Config!$D$9:$D$29,MATCH($B1202,Config!$B$9:$B$29,0))="Contrato",IF(INDEX(Config!$E$9:$E$29,MATCH($B1202,Config!$B$9:$B$29,0))="","",INDEX(Config!$E$9:$E$29,MATCH($B1202,Config!$B$9:$B$29,0))),""),""))</f>
        <v/>
      </c>
      <c r="AC1202" s="19" t="str">
        <f>IF($B1202="","",IFERROR(INDEX(Config!$D$9:$D$29,MATCH($B1202,Config!$B$9:$B$29,0))&amp;"",""))</f>
        <v/>
      </c>
    </row>
    <row r="1203">
      <c r="R1203" s="20" t="str">
        <f>IF($B1203="","",IFERROR(IF(INDEX(Config!$D$9:$D$29,MATCH($B1203,Config!$B$9:$B$29,0))="Contrato",IF(INDEX(Config!$E$9:$E$29,MATCH($B1203,Config!$B$9:$B$29,0))="","",INDEX(Config!$E$9:$E$29,MATCH($B1203,Config!$B$9:$B$29,0))),""),""))</f>
        <v/>
      </c>
      <c r="AC1203" s="19" t="str">
        <f>IF($B1203="","",IFERROR(INDEX(Config!$D$9:$D$29,MATCH($B1203,Config!$B$9:$B$29,0))&amp;"",""))</f>
        <v/>
      </c>
    </row>
    <row r="1204">
      <c r="R1204" s="20" t="str">
        <f>IF($B1204="","",IFERROR(IF(INDEX(Config!$D$9:$D$29,MATCH($B1204,Config!$B$9:$B$29,0))="Contrato",IF(INDEX(Config!$E$9:$E$29,MATCH($B1204,Config!$B$9:$B$29,0))="","",INDEX(Config!$E$9:$E$29,MATCH($B1204,Config!$B$9:$B$29,0))),""),""))</f>
        <v/>
      </c>
      <c r="AC1204" s="19" t="str">
        <f>IF($B1204="","",IFERROR(INDEX(Config!$D$9:$D$29,MATCH($B1204,Config!$B$9:$B$29,0))&amp;"",""))</f>
        <v/>
      </c>
    </row>
    <row r="1205">
      <c r="R1205" s="20" t="str">
        <f>IF($B1205="","",IFERROR(IF(INDEX(Config!$D$9:$D$29,MATCH($B1205,Config!$B$9:$B$29,0))="Contrato",IF(INDEX(Config!$E$9:$E$29,MATCH($B1205,Config!$B$9:$B$29,0))="","",INDEX(Config!$E$9:$E$29,MATCH($B1205,Config!$B$9:$B$29,0))),""),""))</f>
        <v/>
      </c>
      <c r="AC1205" s="19" t="str">
        <f>IF($B1205="","",IFERROR(INDEX(Config!$D$9:$D$29,MATCH($B1205,Config!$B$9:$B$29,0))&amp;"",""))</f>
        <v/>
      </c>
    </row>
    <row r="1206">
      <c r="R1206" s="20" t="str">
        <f>IF($B1206="","",IFERROR(IF(INDEX(Config!$D$9:$D$29,MATCH($B1206,Config!$B$9:$B$29,0))="Contrato",IF(INDEX(Config!$E$9:$E$29,MATCH($B1206,Config!$B$9:$B$29,0))="","",INDEX(Config!$E$9:$E$29,MATCH($B1206,Config!$B$9:$B$29,0))),""),""))</f>
        <v/>
      </c>
      <c r="AC1206" s="19" t="str">
        <f>IF($B1206="","",IFERROR(INDEX(Config!$D$9:$D$29,MATCH($B1206,Config!$B$9:$B$29,0))&amp;"",""))</f>
        <v/>
      </c>
    </row>
    <row r="1207">
      <c r="R1207" s="20" t="str">
        <f>IF($B1207="","",IFERROR(IF(INDEX(Config!$D$9:$D$29,MATCH($B1207,Config!$B$9:$B$29,0))="Contrato",IF(INDEX(Config!$E$9:$E$29,MATCH($B1207,Config!$B$9:$B$29,0))="","",INDEX(Config!$E$9:$E$29,MATCH($B1207,Config!$B$9:$B$29,0))),""),""))</f>
        <v/>
      </c>
      <c r="AC1207" s="19" t="str">
        <f>IF($B1207="","",IFERROR(INDEX(Config!$D$9:$D$29,MATCH($B1207,Config!$B$9:$B$29,0))&amp;"",""))</f>
        <v/>
      </c>
    </row>
    <row r="1208">
      <c r="R1208" s="20" t="str">
        <f>IF($B1208="","",IFERROR(IF(INDEX(Config!$D$9:$D$29,MATCH($B1208,Config!$B$9:$B$29,0))="Contrato",IF(INDEX(Config!$E$9:$E$29,MATCH($B1208,Config!$B$9:$B$29,0))="","",INDEX(Config!$E$9:$E$29,MATCH($B1208,Config!$B$9:$B$29,0))),""),""))</f>
        <v/>
      </c>
      <c r="AC1208" s="19" t="str">
        <f>IF($B1208="","",IFERROR(INDEX(Config!$D$9:$D$29,MATCH($B1208,Config!$B$9:$B$29,0))&amp;"",""))</f>
        <v/>
      </c>
    </row>
    <row r="1209">
      <c r="R1209" s="20" t="str">
        <f>IF($B1209="","",IFERROR(IF(INDEX(Config!$D$9:$D$29,MATCH($B1209,Config!$B$9:$B$29,0))="Contrato",IF(INDEX(Config!$E$9:$E$29,MATCH($B1209,Config!$B$9:$B$29,0))="","",INDEX(Config!$E$9:$E$29,MATCH($B1209,Config!$B$9:$B$29,0))),""),""))</f>
        <v/>
      </c>
      <c r="AC1209" s="19" t="str">
        <f>IF($B1209="","",IFERROR(INDEX(Config!$D$9:$D$29,MATCH($B1209,Config!$B$9:$B$29,0))&amp;"",""))</f>
        <v/>
      </c>
    </row>
    <row r="1210">
      <c r="R1210" s="20" t="str">
        <f>IF($B1210="","",IFERROR(IF(INDEX(Config!$D$9:$D$29,MATCH($B1210,Config!$B$9:$B$29,0))="Contrato",IF(INDEX(Config!$E$9:$E$29,MATCH($B1210,Config!$B$9:$B$29,0))="","",INDEX(Config!$E$9:$E$29,MATCH($B1210,Config!$B$9:$B$29,0))),""),""))</f>
        <v/>
      </c>
      <c r="AC1210" s="19" t="str">
        <f>IF($B1210="","",IFERROR(INDEX(Config!$D$9:$D$29,MATCH($B1210,Config!$B$9:$B$29,0))&amp;"",""))</f>
        <v/>
      </c>
    </row>
    <row r="1211">
      <c r="R1211" s="20" t="str">
        <f>IF($B1211="","",IFERROR(IF(INDEX(Config!$D$9:$D$29,MATCH($B1211,Config!$B$9:$B$29,0))="Contrato",IF(INDEX(Config!$E$9:$E$29,MATCH($B1211,Config!$B$9:$B$29,0))="","",INDEX(Config!$E$9:$E$29,MATCH($B1211,Config!$B$9:$B$29,0))),""),""))</f>
        <v/>
      </c>
      <c r="AC1211" s="19" t="str">
        <f>IF($B1211="","",IFERROR(INDEX(Config!$D$9:$D$29,MATCH($B1211,Config!$B$9:$B$29,0))&amp;"",""))</f>
        <v/>
      </c>
    </row>
    <row r="1212">
      <c r="R1212" s="20" t="str">
        <f>IF($B1212="","",IFERROR(IF(INDEX(Config!$D$9:$D$29,MATCH($B1212,Config!$B$9:$B$29,0))="Contrato",IF(INDEX(Config!$E$9:$E$29,MATCH($B1212,Config!$B$9:$B$29,0))="","",INDEX(Config!$E$9:$E$29,MATCH($B1212,Config!$B$9:$B$29,0))),""),""))</f>
        <v/>
      </c>
      <c r="AC1212" s="19" t="str">
        <f>IF($B1212="","",IFERROR(INDEX(Config!$D$9:$D$29,MATCH($B1212,Config!$B$9:$B$29,0))&amp;"",""))</f>
        <v/>
      </c>
    </row>
    <row r="1213">
      <c r="R1213" s="20" t="str">
        <f>IF($B1213="","",IFERROR(IF(INDEX(Config!$D$9:$D$29,MATCH($B1213,Config!$B$9:$B$29,0))="Contrato",IF(INDEX(Config!$E$9:$E$29,MATCH($B1213,Config!$B$9:$B$29,0))="","",INDEX(Config!$E$9:$E$29,MATCH($B1213,Config!$B$9:$B$29,0))),""),""))</f>
        <v/>
      </c>
      <c r="AC1213" s="19" t="str">
        <f>IF($B1213="","",IFERROR(INDEX(Config!$D$9:$D$29,MATCH($B1213,Config!$B$9:$B$29,0))&amp;"",""))</f>
        <v/>
      </c>
    </row>
    <row r="1214">
      <c r="R1214" s="20" t="str">
        <f>IF($B1214="","",IFERROR(IF(INDEX(Config!$D$9:$D$29,MATCH($B1214,Config!$B$9:$B$29,0))="Contrato",IF(INDEX(Config!$E$9:$E$29,MATCH($B1214,Config!$B$9:$B$29,0))="","",INDEX(Config!$E$9:$E$29,MATCH($B1214,Config!$B$9:$B$29,0))),""),""))</f>
        <v/>
      </c>
      <c r="AC1214" s="19" t="str">
        <f>IF($B1214="","",IFERROR(INDEX(Config!$D$9:$D$29,MATCH($B1214,Config!$B$9:$B$29,0))&amp;"",""))</f>
        <v/>
      </c>
    </row>
    <row r="1215">
      <c r="R1215" s="20" t="str">
        <f>IF($B1215="","",IFERROR(IF(INDEX(Config!$D$9:$D$29,MATCH($B1215,Config!$B$9:$B$29,0))="Contrato",IF(INDEX(Config!$E$9:$E$29,MATCH($B1215,Config!$B$9:$B$29,0))="","",INDEX(Config!$E$9:$E$29,MATCH($B1215,Config!$B$9:$B$29,0))),""),""))</f>
        <v/>
      </c>
      <c r="AC1215" s="19" t="str">
        <f>IF($B1215="","",IFERROR(INDEX(Config!$D$9:$D$29,MATCH($B1215,Config!$B$9:$B$29,0))&amp;"",""))</f>
        <v/>
      </c>
    </row>
    <row r="1216">
      <c r="R1216" s="20" t="str">
        <f>IF($B1216="","",IFERROR(IF(INDEX(Config!$D$9:$D$29,MATCH($B1216,Config!$B$9:$B$29,0))="Contrato",IF(INDEX(Config!$E$9:$E$29,MATCH($B1216,Config!$B$9:$B$29,0))="","",INDEX(Config!$E$9:$E$29,MATCH($B1216,Config!$B$9:$B$29,0))),""),""))</f>
        <v/>
      </c>
      <c r="AC1216" s="19" t="str">
        <f>IF($B1216="","",IFERROR(INDEX(Config!$D$9:$D$29,MATCH($B1216,Config!$B$9:$B$29,0))&amp;"",""))</f>
        <v/>
      </c>
    </row>
    <row r="1217">
      <c r="R1217" s="20" t="str">
        <f>IF($B1217="","",IFERROR(IF(INDEX(Config!$D$9:$D$29,MATCH($B1217,Config!$B$9:$B$29,0))="Contrato",IF(INDEX(Config!$E$9:$E$29,MATCH($B1217,Config!$B$9:$B$29,0))="","",INDEX(Config!$E$9:$E$29,MATCH($B1217,Config!$B$9:$B$29,0))),""),""))</f>
        <v/>
      </c>
      <c r="AC1217" s="19" t="str">
        <f>IF($B1217="","",IFERROR(INDEX(Config!$D$9:$D$29,MATCH($B1217,Config!$B$9:$B$29,0))&amp;"",""))</f>
        <v/>
      </c>
    </row>
    <row r="1218">
      <c r="R1218" s="20" t="str">
        <f>IF($B1218="","",IFERROR(IF(INDEX(Config!$D$9:$D$29,MATCH($B1218,Config!$B$9:$B$29,0))="Contrato",IF(INDEX(Config!$E$9:$E$29,MATCH($B1218,Config!$B$9:$B$29,0))="","",INDEX(Config!$E$9:$E$29,MATCH($B1218,Config!$B$9:$B$29,0))),""),""))</f>
        <v/>
      </c>
      <c r="AC1218" s="19" t="str">
        <f>IF($B1218="","",IFERROR(INDEX(Config!$D$9:$D$29,MATCH($B1218,Config!$B$9:$B$29,0))&amp;"",""))</f>
        <v/>
      </c>
    </row>
    <row r="1219">
      <c r="R1219" s="20" t="str">
        <f>IF($B1219="","",IFERROR(IF(INDEX(Config!$D$9:$D$29,MATCH($B1219,Config!$B$9:$B$29,0))="Contrato",IF(INDEX(Config!$E$9:$E$29,MATCH($B1219,Config!$B$9:$B$29,0))="","",INDEX(Config!$E$9:$E$29,MATCH($B1219,Config!$B$9:$B$29,0))),""),""))</f>
        <v/>
      </c>
      <c r="AC1219" s="19" t="str">
        <f>IF($B1219="","",IFERROR(INDEX(Config!$D$9:$D$29,MATCH($B1219,Config!$B$9:$B$29,0))&amp;"",""))</f>
        <v/>
      </c>
    </row>
    <row r="1220">
      <c r="R1220" s="20" t="str">
        <f>IF($B1220="","",IFERROR(IF(INDEX(Config!$D$9:$D$29,MATCH($B1220,Config!$B$9:$B$29,0))="Contrato",IF(INDEX(Config!$E$9:$E$29,MATCH($B1220,Config!$B$9:$B$29,0))="","",INDEX(Config!$E$9:$E$29,MATCH($B1220,Config!$B$9:$B$29,0))),""),""))</f>
        <v/>
      </c>
      <c r="AC1220" s="19" t="str">
        <f>IF($B1220="","",IFERROR(INDEX(Config!$D$9:$D$29,MATCH($B1220,Config!$B$9:$B$29,0))&amp;"",""))</f>
        <v/>
      </c>
    </row>
    <row r="1221">
      <c r="R1221" s="20" t="str">
        <f>IF($B1221="","",IFERROR(IF(INDEX(Config!$D$9:$D$29,MATCH($B1221,Config!$B$9:$B$29,0))="Contrato",IF(INDEX(Config!$E$9:$E$29,MATCH($B1221,Config!$B$9:$B$29,0))="","",INDEX(Config!$E$9:$E$29,MATCH($B1221,Config!$B$9:$B$29,0))),""),""))</f>
        <v/>
      </c>
      <c r="AC1221" s="19" t="str">
        <f>IF($B1221="","",IFERROR(INDEX(Config!$D$9:$D$29,MATCH($B1221,Config!$B$9:$B$29,0))&amp;"",""))</f>
        <v/>
      </c>
    </row>
    <row r="1222">
      <c r="R1222" s="20" t="str">
        <f>IF($B1222="","",IFERROR(IF(INDEX(Config!$D$9:$D$29,MATCH($B1222,Config!$B$9:$B$29,0))="Contrato",IF(INDEX(Config!$E$9:$E$29,MATCH($B1222,Config!$B$9:$B$29,0))="","",INDEX(Config!$E$9:$E$29,MATCH($B1222,Config!$B$9:$B$29,0))),""),""))</f>
        <v/>
      </c>
      <c r="AC1222" s="19" t="str">
        <f>IF($B1222="","",IFERROR(INDEX(Config!$D$9:$D$29,MATCH($B1222,Config!$B$9:$B$29,0))&amp;"",""))</f>
        <v/>
      </c>
    </row>
    <row r="1223">
      <c r="R1223" s="20" t="str">
        <f>IF($B1223="","",IFERROR(IF(INDEX(Config!$D$9:$D$29,MATCH($B1223,Config!$B$9:$B$29,0))="Contrato",IF(INDEX(Config!$E$9:$E$29,MATCH($B1223,Config!$B$9:$B$29,0))="","",INDEX(Config!$E$9:$E$29,MATCH($B1223,Config!$B$9:$B$29,0))),""),""))</f>
        <v/>
      </c>
      <c r="AC1223" s="19" t="str">
        <f>IF($B1223="","",IFERROR(INDEX(Config!$D$9:$D$29,MATCH($B1223,Config!$B$9:$B$29,0))&amp;"",""))</f>
        <v/>
      </c>
    </row>
    <row r="1224">
      <c r="R1224" s="20" t="str">
        <f>IF($B1224="","",IFERROR(IF(INDEX(Config!$D$9:$D$29,MATCH($B1224,Config!$B$9:$B$29,0))="Contrato",IF(INDEX(Config!$E$9:$E$29,MATCH($B1224,Config!$B$9:$B$29,0))="","",INDEX(Config!$E$9:$E$29,MATCH($B1224,Config!$B$9:$B$29,0))),""),""))</f>
        <v/>
      </c>
      <c r="AC1224" s="19" t="str">
        <f>IF($B1224="","",IFERROR(INDEX(Config!$D$9:$D$29,MATCH($B1224,Config!$B$9:$B$29,0))&amp;"",""))</f>
        <v/>
      </c>
    </row>
    <row r="1225">
      <c r="R1225" s="20" t="str">
        <f>IF($B1225="","",IFERROR(IF(INDEX(Config!$D$9:$D$29,MATCH($B1225,Config!$B$9:$B$29,0))="Contrato",IF(INDEX(Config!$E$9:$E$29,MATCH($B1225,Config!$B$9:$B$29,0))="","",INDEX(Config!$E$9:$E$29,MATCH($B1225,Config!$B$9:$B$29,0))),""),""))</f>
        <v/>
      </c>
      <c r="AC1225" s="19" t="str">
        <f>IF($B1225="","",IFERROR(INDEX(Config!$D$9:$D$29,MATCH($B1225,Config!$B$9:$B$29,0))&amp;"",""))</f>
        <v/>
      </c>
    </row>
    <row r="1226">
      <c r="R1226" s="20" t="str">
        <f>IF($B1226="","",IFERROR(IF(INDEX(Config!$D$9:$D$29,MATCH($B1226,Config!$B$9:$B$29,0))="Contrato",IF(INDEX(Config!$E$9:$E$29,MATCH($B1226,Config!$B$9:$B$29,0))="","",INDEX(Config!$E$9:$E$29,MATCH($B1226,Config!$B$9:$B$29,0))),""),""))</f>
        <v/>
      </c>
      <c r="AC1226" s="19" t="str">
        <f>IF($B1226="","",IFERROR(INDEX(Config!$D$9:$D$29,MATCH($B1226,Config!$B$9:$B$29,0))&amp;"",""))</f>
        <v/>
      </c>
    </row>
    <row r="1227">
      <c r="R1227" s="20" t="str">
        <f>IF($B1227="","",IFERROR(IF(INDEX(Config!$D$9:$D$29,MATCH($B1227,Config!$B$9:$B$29,0))="Contrato",IF(INDEX(Config!$E$9:$E$29,MATCH($B1227,Config!$B$9:$B$29,0))="","",INDEX(Config!$E$9:$E$29,MATCH($B1227,Config!$B$9:$B$29,0))),""),""))</f>
        <v/>
      </c>
      <c r="AC1227" s="19" t="str">
        <f>IF($B1227="","",IFERROR(INDEX(Config!$D$9:$D$29,MATCH($B1227,Config!$B$9:$B$29,0))&amp;"",""))</f>
        <v/>
      </c>
    </row>
    <row r="1228">
      <c r="R1228" s="20" t="str">
        <f>IF($B1228="","",IFERROR(IF(INDEX(Config!$D$9:$D$29,MATCH($B1228,Config!$B$9:$B$29,0))="Contrato",IF(INDEX(Config!$E$9:$E$29,MATCH($B1228,Config!$B$9:$B$29,0))="","",INDEX(Config!$E$9:$E$29,MATCH($B1228,Config!$B$9:$B$29,0))),""),""))</f>
        <v/>
      </c>
      <c r="AC1228" s="19" t="str">
        <f>IF($B1228="","",IFERROR(INDEX(Config!$D$9:$D$29,MATCH($B1228,Config!$B$9:$B$29,0))&amp;"",""))</f>
        <v/>
      </c>
    </row>
    <row r="1229">
      <c r="R1229" s="20" t="str">
        <f>IF($B1229="","",IFERROR(IF(INDEX(Config!$D$9:$D$29,MATCH($B1229,Config!$B$9:$B$29,0))="Contrato",IF(INDEX(Config!$E$9:$E$29,MATCH($B1229,Config!$B$9:$B$29,0))="","",INDEX(Config!$E$9:$E$29,MATCH($B1229,Config!$B$9:$B$29,0))),""),""))</f>
        <v/>
      </c>
      <c r="AC1229" s="19" t="str">
        <f>IF($B1229="","",IFERROR(INDEX(Config!$D$9:$D$29,MATCH($B1229,Config!$B$9:$B$29,0))&amp;"",""))</f>
        <v/>
      </c>
    </row>
    <row r="1230">
      <c r="R1230" s="20" t="str">
        <f>IF($B1230="","",IFERROR(IF(INDEX(Config!$D$9:$D$29,MATCH($B1230,Config!$B$9:$B$29,0))="Contrato",IF(INDEX(Config!$E$9:$E$29,MATCH($B1230,Config!$B$9:$B$29,0))="","",INDEX(Config!$E$9:$E$29,MATCH($B1230,Config!$B$9:$B$29,0))),""),""))</f>
        <v/>
      </c>
      <c r="AC1230" s="19" t="str">
        <f>IF($B1230="","",IFERROR(INDEX(Config!$D$9:$D$29,MATCH($B1230,Config!$B$9:$B$29,0))&amp;"",""))</f>
        <v/>
      </c>
    </row>
    <row r="1231">
      <c r="R1231" s="20" t="str">
        <f>IF($B1231="","",IFERROR(IF(INDEX(Config!$D$9:$D$29,MATCH($B1231,Config!$B$9:$B$29,0))="Contrato",IF(INDEX(Config!$E$9:$E$29,MATCH($B1231,Config!$B$9:$B$29,0))="","",INDEX(Config!$E$9:$E$29,MATCH($B1231,Config!$B$9:$B$29,0))),""),""))</f>
        <v/>
      </c>
      <c r="AC1231" s="19" t="str">
        <f>IF($B1231="","",IFERROR(INDEX(Config!$D$9:$D$29,MATCH($B1231,Config!$B$9:$B$29,0))&amp;"",""))</f>
        <v/>
      </c>
    </row>
    <row r="1232">
      <c r="R1232" s="20" t="str">
        <f>IF($B1232="","",IFERROR(IF(INDEX(Config!$D$9:$D$29,MATCH($B1232,Config!$B$9:$B$29,0))="Contrato",IF(INDEX(Config!$E$9:$E$29,MATCH($B1232,Config!$B$9:$B$29,0))="","",INDEX(Config!$E$9:$E$29,MATCH($B1232,Config!$B$9:$B$29,0))),""),""))</f>
        <v/>
      </c>
      <c r="AC1232" s="19" t="str">
        <f>IF($B1232="","",IFERROR(INDEX(Config!$D$9:$D$29,MATCH($B1232,Config!$B$9:$B$29,0))&amp;"",""))</f>
        <v/>
      </c>
    </row>
    <row r="1233">
      <c r="R1233" s="20" t="str">
        <f>IF($B1233="","",IFERROR(IF(INDEX(Config!$D$9:$D$29,MATCH($B1233,Config!$B$9:$B$29,0))="Contrato",IF(INDEX(Config!$E$9:$E$29,MATCH($B1233,Config!$B$9:$B$29,0))="","",INDEX(Config!$E$9:$E$29,MATCH($B1233,Config!$B$9:$B$29,0))),""),""))</f>
        <v/>
      </c>
      <c r="AC1233" s="19" t="str">
        <f>IF($B1233="","",IFERROR(INDEX(Config!$D$9:$D$29,MATCH($B1233,Config!$B$9:$B$29,0))&amp;"",""))</f>
        <v/>
      </c>
    </row>
    <row r="1234">
      <c r="R1234" s="20" t="str">
        <f>IF($B1234="","",IFERROR(IF(INDEX(Config!$D$9:$D$29,MATCH($B1234,Config!$B$9:$B$29,0))="Contrato",IF(INDEX(Config!$E$9:$E$29,MATCH($B1234,Config!$B$9:$B$29,0))="","",INDEX(Config!$E$9:$E$29,MATCH($B1234,Config!$B$9:$B$29,0))),""),""))</f>
        <v/>
      </c>
      <c r="AC1234" s="19" t="str">
        <f>IF($B1234="","",IFERROR(INDEX(Config!$D$9:$D$29,MATCH($B1234,Config!$B$9:$B$29,0))&amp;"",""))</f>
        <v/>
      </c>
    </row>
    <row r="1235">
      <c r="R1235" s="20" t="str">
        <f>IF($B1235="","",IFERROR(IF(INDEX(Config!$D$9:$D$29,MATCH($B1235,Config!$B$9:$B$29,0))="Contrato",IF(INDEX(Config!$E$9:$E$29,MATCH($B1235,Config!$B$9:$B$29,0))="","",INDEX(Config!$E$9:$E$29,MATCH($B1235,Config!$B$9:$B$29,0))),""),""))</f>
        <v/>
      </c>
      <c r="AC1235" s="19" t="str">
        <f>IF($B1235="","",IFERROR(INDEX(Config!$D$9:$D$29,MATCH($B1235,Config!$B$9:$B$29,0))&amp;"",""))</f>
        <v/>
      </c>
    </row>
    <row r="1236">
      <c r="R1236" s="20" t="str">
        <f>IF($B1236="","",IFERROR(IF(INDEX(Config!$D$9:$D$29,MATCH($B1236,Config!$B$9:$B$29,0))="Contrato",IF(INDEX(Config!$E$9:$E$29,MATCH($B1236,Config!$B$9:$B$29,0))="","",INDEX(Config!$E$9:$E$29,MATCH($B1236,Config!$B$9:$B$29,0))),""),""))</f>
        <v/>
      </c>
      <c r="AC1236" s="19" t="str">
        <f>IF($B1236="","",IFERROR(INDEX(Config!$D$9:$D$29,MATCH($B1236,Config!$B$9:$B$29,0))&amp;"",""))</f>
        <v/>
      </c>
    </row>
    <row r="1237">
      <c r="R1237" s="20" t="str">
        <f>IF($B1237="","",IFERROR(IF(INDEX(Config!$D$9:$D$29,MATCH($B1237,Config!$B$9:$B$29,0))="Contrato",IF(INDEX(Config!$E$9:$E$29,MATCH($B1237,Config!$B$9:$B$29,0))="","",INDEX(Config!$E$9:$E$29,MATCH($B1237,Config!$B$9:$B$29,0))),""),""))</f>
        <v/>
      </c>
      <c r="AC1237" s="19" t="str">
        <f>IF($B1237="","",IFERROR(INDEX(Config!$D$9:$D$29,MATCH($B1237,Config!$B$9:$B$29,0))&amp;"",""))</f>
        <v/>
      </c>
    </row>
    <row r="1238">
      <c r="R1238" s="20" t="str">
        <f>IF($B1238="","",IFERROR(IF(INDEX(Config!$D$9:$D$29,MATCH($B1238,Config!$B$9:$B$29,0))="Contrato",IF(INDEX(Config!$E$9:$E$29,MATCH($B1238,Config!$B$9:$B$29,0))="","",INDEX(Config!$E$9:$E$29,MATCH($B1238,Config!$B$9:$B$29,0))),""),""))</f>
        <v/>
      </c>
      <c r="AC1238" s="19" t="str">
        <f>IF($B1238="","",IFERROR(INDEX(Config!$D$9:$D$29,MATCH($B1238,Config!$B$9:$B$29,0))&amp;"",""))</f>
        <v/>
      </c>
    </row>
    <row r="1239">
      <c r="R1239" s="20" t="str">
        <f>IF($B1239="","",IFERROR(IF(INDEX(Config!$D$9:$D$29,MATCH($B1239,Config!$B$9:$B$29,0))="Contrato",IF(INDEX(Config!$E$9:$E$29,MATCH($B1239,Config!$B$9:$B$29,0))="","",INDEX(Config!$E$9:$E$29,MATCH($B1239,Config!$B$9:$B$29,0))),""),""))</f>
        <v/>
      </c>
      <c r="AC1239" s="19" t="str">
        <f>IF($B1239="","",IFERROR(INDEX(Config!$D$9:$D$29,MATCH($B1239,Config!$B$9:$B$29,0))&amp;"",""))</f>
        <v/>
      </c>
    </row>
    <row r="1240">
      <c r="R1240" s="20" t="str">
        <f>IF($B1240="","",IFERROR(IF(INDEX(Config!$D$9:$D$29,MATCH($B1240,Config!$B$9:$B$29,0))="Contrato",IF(INDEX(Config!$E$9:$E$29,MATCH($B1240,Config!$B$9:$B$29,0))="","",INDEX(Config!$E$9:$E$29,MATCH($B1240,Config!$B$9:$B$29,0))),""),""))</f>
        <v/>
      </c>
      <c r="AC1240" s="19" t="str">
        <f>IF($B1240="","",IFERROR(INDEX(Config!$D$9:$D$29,MATCH($B1240,Config!$B$9:$B$29,0))&amp;"",""))</f>
        <v/>
      </c>
    </row>
    <row r="1241">
      <c r="R1241" s="20" t="str">
        <f>IF($B1241="","",IFERROR(IF(INDEX(Config!$D$9:$D$29,MATCH($B1241,Config!$B$9:$B$29,0))="Contrato",IF(INDEX(Config!$E$9:$E$29,MATCH($B1241,Config!$B$9:$B$29,0))="","",INDEX(Config!$E$9:$E$29,MATCH($B1241,Config!$B$9:$B$29,0))),""),""))</f>
        <v/>
      </c>
      <c r="AC1241" s="19" t="str">
        <f>IF($B1241="","",IFERROR(INDEX(Config!$D$9:$D$29,MATCH($B1241,Config!$B$9:$B$29,0))&amp;"",""))</f>
        <v/>
      </c>
    </row>
    <row r="1242">
      <c r="R1242" s="20" t="str">
        <f>IF($B1242="","",IFERROR(IF(INDEX(Config!$D$9:$D$29,MATCH($B1242,Config!$B$9:$B$29,0))="Contrato",IF(INDEX(Config!$E$9:$E$29,MATCH($B1242,Config!$B$9:$B$29,0))="","",INDEX(Config!$E$9:$E$29,MATCH($B1242,Config!$B$9:$B$29,0))),""),""))</f>
        <v/>
      </c>
      <c r="AC1242" s="19" t="str">
        <f>IF($B1242="","",IFERROR(INDEX(Config!$D$9:$D$29,MATCH($B1242,Config!$B$9:$B$29,0))&amp;"",""))</f>
        <v/>
      </c>
    </row>
    <row r="1243">
      <c r="R1243" s="20" t="str">
        <f>IF($B1243="","",IFERROR(IF(INDEX(Config!$D$9:$D$29,MATCH($B1243,Config!$B$9:$B$29,0))="Contrato",IF(INDEX(Config!$E$9:$E$29,MATCH($B1243,Config!$B$9:$B$29,0))="","",INDEX(Config!$E$9:$E$29,MATCH($B1243,Config!$B$9:$B$29,0))),""),""))</f>
        <v/>
      </c>
      <c r="AC1243" s="19" t="str">
        <f>IF($B1243="","",IFERROR(INDEX(Config!$D$9:$D$29,MATCH($B1243,Config!$B$9:$B$29,0))&amp;"",""))</f>
        <v/>
      </c>
    </row>
    <row r="1244">
      <c r="R1244" s="20" t="str">
        <f>IF($B1244="","",IFERROR(IF(INDEX(Config!$D$9:$D$29,MATCH($B1244,Config!$B$9:$B$29,0))="Contrato",IF(INDEX(Config!$E$9:$E$29,MATCH($B1244,Config!$B$9:$B$29,0))="","",INDEX(Config!$E$9:$E$29,MATCH($B1244,Config!$B$9:$B$29,0))),""),""))</f>
        <v/>
      </c>
      <c r="AC1244" s="19" t="str">
        <f>IF($B1244="","",IFERROR(INDEX(Config!$D$9:$D$29,MATCH($B1244,Config!$B$9:$B$29,0))&amp;"",""))</f>
        <v/>
      </c>
    </row>
    <row r="1245">
      <c r="R1245" s="20" t="str">
        <f>IF($B1245="","",IFERROR(IF(INDEX(Config!$D$9:$D$29,MATCH($B1245,Config!$B$9:$B$29,0))="Contrato",IF(INDEX(Config!$E$9:$E$29,MATCH($B1245,Config!$B$9:$B$29,0))="","",INDEX(Config!$E$9:$E$29,MATCH($B1245,Config!$B$9:$B$29,0))),""),""))</f>
        <v/>
      </c>
      <c r="AC1245" s="19" t="str">
        <f>IF($B1245="","",IFERROR(INDEX(Config!$D$9:$D$29,MATCH($B1245,Config!$B$9:$B$29,0))&amp;"",""))</f>
        <v/>
      </c>
    </row>
    <row r="1246">
      <c r="R1246" s="20" t="str">
        <f>IF($B1246="","",IFERROR(IF(INDEX(Config!$D$9:$D$29,MATCH($B1246,Config!$B$9:$B$29,0))="Contrato",IF(INDEX(Config!$E$9:$E$29,MATCH($B1246,Config!$B$9:$B$29,0))="","",INDEX(Config!$E$9:$E$29,MATCH($B1246,Config!$B$9:$B$29,0))),""),""))</f>
        <v/>
      </c>
      <c r="AC1246" s="19" t="str">
        <f>IF($B1246="","",IFERROR(INDEX(Config!$D$9:$D$29,MATCH($B1246,Config!$B$9:$B$29,0))&amp;"",""))</f>
        <v/>
      </c>
    </row>
    <row r="1247">
      <c r="R1247" s="20" t="str">
        <f>IF($B1247="","",IFERROR(IF(INDEX(Config!$D$9:$D$29,MATCH($B1247,Config!$B$9:$B$29,0))="Contrato",IF(INDEX(Config!$E$9:$E$29,MATCH($B1247,Config!$B$9:$B$29,0))="","",INDEX(Config!$E$9:$E$29,MATCH($B1247,Config!$B$9:$B$29,0))),""),""))</f>
        <v/>
      </c>
      <c r="AC1247" s="19" t="str">
        <f>IF($B1247="","",IFERROR(INDEX(Config!$D$9:$D$29,MATCH($B1247,Config!$B$9:$B$29,0))&amp;"",""))</f>
        <v/>
      </c>
    </row>
    <row r="1248">
      <c r="R1248" s="20" t="str">
        <f>IF($B1248="","",IFERROR(IF(INDEX(Config!$D$9:$D$29,MATCH($B1248,Config!$B$9:$B$29,0))="Contrato",IF(INDEX(Config!$E$9:$E$29,MATCH($B1248,Config!$B$9:$B$29,0))="","",INDEX(Config!$E$9:$E$29,MATCH($B1248,Config!$B$9:$B$29,0))),""),""))</f>
        <v/>
      </c>
      <c r="AC1248" s="19" t="str">
        <f>IF($B1248="","",IFERROR(INDEX(Config!$D$9:$D$29,MATCH($B1248,Config!$B$9:$B$29,0))&amp;"",""))</f>
        <v/>
      </c>
    </row>
    <row r="1249">
      <c r="R1249" s="20" t="str">
        <f>IF($B1249="","",IFERROR(IF(INDEX(Config!$D$9:$D$29,MATCH($B1249,Config!$B$9:$B$29,0))="Contrato",IF(INDEX(Config!$E$9:$E$29,MATCH($B1249,Config!$B$9:$B$29,0))="","",INDEX(Config!$E$9:$E$29,MATCH($B1249,Config!$B$9:$B$29,0))),""),""))</f>
        <v/>
      </c>
      <c r="AC1249" s="19" t="str">
        <f>IF($B1249="","",IFERROR(INDEX(Config!$D$9:$D$29,MATCH($B1249,Config!$B$9:$B$29,0))&amp;"",""))</f>
        <v/>
      </c>
    </row>
    <row r="1250">
      <c r="R1250" s="20" t="str">
        <f>IF($B1250="","",IFERROR(IF(INDEX(Config!$D$9:$D$29,MATCH($B1250,Config!$B$9:$B$29,0))="Contrato",IF(INDEX(Config!$E$9:$E$29,MATCH($B1250,Config!$B$9:$B$29,0))="","",INDEX(Config!$E$9:$E$29,MATCH($B1250,Config!$B$9:$B$29,0))),""),""))</f>
        <v/>
      </c>
      <c r="AC1250" s="19" t="str">
        <f>IF($B1250="","",IFERROR(INDEX(Config!$D$9:$D$29,MATCH($B1250,Config!$B$9:$B$29,0))&amp;"",""))</f>
        <v/>
      </c>
    </row>
    <row r="1251">
      <c r="R1251" s="20" t="str">
        <f>IF($B1251="","",IFERROR(IF(INDEX(Config!$D$9:$D$29,MATCH($B1251,Config!$B$9:$B$29,0))="Contrato",IF(INDEX(Config!$E$9:$E$29,MATCH($B1251,Config!$B$9:$B$29,0))="","",INDEX(Config!$E$9:$E$29,MATCH($B1251,Config!$B$9:$B$29,0))),""),""))</f>
        <v/>
      </c>
      <c r="AC1251" s="19" t="str">
        <f>IF($B1251="","",IFERROR(INDEX(Config!$D$9:$D$29,MATCH($B1251,Config!$B$9:$B$29,0))&amp;"",""))</f>
        <v/>
      </c>
    </row>
    <row r="1252">
      <c r="R1252" s="20" t="str">
        <f>IF($B1252="","",IFERROR(IF(INDEX(Config!$D$9:$D$29,MATCH($B1252,Config!$B$9:$B$29,0))="Contrato",IF(INDEX(Config!$E$9:$E$29,MATCH($B1252,Config!$B$9:$B$29,0))="","",INDEX(Config!$E$9:$E$29,MATCH($B1252,Config!$B$9:$B$29,0))),""),""))</f>
        <v/>
      </c>
      <c r="AC1252" s="19" t="str">
        <f>IF($B1252="","",IFERROR(INDEX(Config!$D$9:$D$29,MATCH($B1252,Config!$B$9:$B$29,0))&amp;"",""))</f>
        <v/>
      </c>
    </row>
    <row r="1253">
      <c r="R1253" s="20" t="str">
        <f>IF($B1253="","",IFERROR(IF(INDEX(Config!$D$9:$D$29,MATCH($B1253,Config!$B$9:$B$29,0))="Contrato",IF(INDEX(Config!$E$9:$E$29,MATCH($B1253,Config!$B$9:$B$29,0))="","",INDEX(Config!$E$9:$E$29,MATCH($B1253,Config!$B$9:$B$29,0))),""),""))</f>
        <v/>
      </c>
      <c r="AC1253" s="19" t="str">
        <f>IF($B1253="","",IFERROR(INDEX(Config!$D$9:$D$29,MATCH($B1253,Config!$B$9:$B$29,0))&amp;"",""))</f>
        <v/>
      </c>
    </row>
    <row r="1254">
      <c r="R1254" s="20" t="str">
        <f>IF($B1254="","",IFERROR(IF(INDEX(Config!$D$9:$D$29,MATCH($B1254,Config!$B$9:$B$29,0))="Contrato",IF(INDEX(Config!$E$9:$E$29,MATCH($B1254,Config!$B$9:$B$29,0))="","",INDEX(Config!$E$9:$E$29,MATCH($B1254,Config!$B$9:$B$29,0))),""),""))</f>
        <v/>
      </c>
      <c r="AC1254" s="19" t="str">
        <f>IF($B1254="","",IFERROR(INDEX(Config!$D$9:$D$29,MATCH($B1254,Config!$B$9:$B$29,0))&amp;"",""))</f>
        <v/>
      </c>
    </row>
    <row r="1255">
      <c r="R1255" s="20" t="str">
        <f>IF($B1255="","",IFERROR(IF(INDEX(Config!$D$9:$D$29,MATCH($B1255,Config!$B$9:$B$29,0))="Contrato",IF(INDEX(Config!$E$9:$E$29,MATCH($B1255,Config!$B$9:$B$29,0))="","",INDEX(Config!$E$9:$E$29,MATCH($B1255,Config!$B$9:$B$29,0))),""),""))</f>
        <v/>
      </c>
      <c r="AC1255" s="19" t="str">
        <f>IF($B1255="","",IFERROR(INDEX(Config!$D$9:$D$29,MATCH($B1255,Config!$B$9:$B$29,0))&amp;"",""))</f>
        <v/>
      </c>
    </row>
    <row r="1256">
      <c r="R1256" s="20" t="str">
        <f>IF($B1256="","",IFERROR(IF(INDEX(Config!$D$9:$D$29,MATCH($B1256,Config!$B$9:$B$29,0))="Contrato",IF(INDEX(Config!$E$9:$E$29,MATCH($B1256,Config!$B$9:$B$29,0))="","",INDEX(Config!$E$9:$E$29,MATCH($B1256,Config!$B$9:$B$29,0))),""),""))</f>
        <v/>
      </c>
      <c r="AC1256" s="19" t="str">
        <f>IF($B1256="","",IFERROR(INDEX(Config!$D$9:$D$29,MATCH($B1256,Config!$B$9:$B$29,0))&amp;"",""))</f>
        <v/>
      </c>
    </row>
    <row r="1257">
      <c r="R1257" s="20" t="str">
        <f>IF($B1257="","",IFERROR(IF(INDEX(Config!$D$9:$D$29,MATCH($B1257,Config!$B$9:$B$29,0))="Contrato",IF(INDEX(Config!$E$9:$E$29,MATCH($B1257,Config!$B$9:$B$29,0))="","",INDEX(Config!$E$9:$E$29,MATCH($B1257,Config!$B$9:$B$29,0))),""),""))</f>
        <v/>
      </c>
      <c r="AC1257" s="19" t="str">
        <f>IF($B1257="","",IFERROR(INDEX(Config!$D$9:$D$29,MATCH($B1257,Config!$B$9:$B$29,0))&amp;"",""))</f>
        <v/>
      </c>
    </row>
    <row r="1258">
      <c r="R1258" s="20" t="str">
        <f>IF($B1258="","",IFERROR(IF(INDEX(Config!$D$9:$D$29,MATCH($B1258,Config!$B$9:$B$29,0))="Contrato",IF(INDEX(Config!$E$9:$E$29,MATCH($B1258,Config!$B$9:$B$29,0))="","",INDEX(Config!$E$9:$E$29,MATCH($B1258,Config!$B$9:$B$29,0))),""),""))</f>
        <v/>
      </c>
      <c r="AC1258" s="19" t="str">
        <f>IF($B1258="","",IFERROR(INDEX(Config!$D$9:$D$29,MATCH($B1258,Config!$B$9:$B$29,0))&amp;"",""))</f>
        <v/>
      </c>
    </row>
    <row r="1259">
      <c r="R1259" s="20" t="str">
        <f>IF($B1259="","",IFERROR(IF(INDEX(Config!$D$9:$D$29,MATCH($B1259,Config!$B$9:$B$29,0))="Contrato",IF(INDEX(Config!$E$9:$E$29,MATCH($B1259,Config!$B$9:$B$29,0))="","",INDEX(Config!$E$9:$E$29,MATCH($B1259,Config!$B$9:$B$29,0))),""),""))</f>
        <v/>
      </c>
      <c r="AC1259" s="19" t="str">
        <f>IF($B1259="","",IFERROR(INDEX(Config!$D$9:$D$29,MATCH($B1259,Config!$B$9:$B$29,0))&amp;"",""))</f>
        <v/>
      </c>
    </row>
    <row r="1260">
      <c r="R1260" s="20" t="str">
        <f>IF($B1260="","",IFERROR(IF(INDEX(Config!$D$9:$D$29,MATCH($B1260,Config!$B$9:$B$29,0))="Contrato",IF(INDEX(Config!$E$9:$E$29,MATCH($B1260,Config!$B$9:$B$29,0))="","",INDEX(Config!$E$9:$E$29,MATCH($B1260,Config!$B$9:$B$29,0))),""),""))</f>
        <v/>
      </c>
      <c r="AC1260" s="19" t="str">
        <f>IF($B1260="","",IFERROR(INDEX(Config!$D$9:$D$29,MATCH($B1260,Config!$B$9:$B$29,0))&amp;"",""))</f>
        <v/>
      </c>
    </row>
    <row r="1261">
      <c r="R1261" s="20" t="str">
        <f>IF($B1261="","",IFERROR(IF(INDEX(Config!$D$9:$D$29,MATCH($B1261,Config!$B$9:$B$29,0))="Contrato",IF(INDEX(Config!$E$9:$E$29,MATCH($B1261,Config!$B$9:$B$29,0))="","",INDEX(Config!$E$9:$E$29,MATCH($B1261,Config!$B$9:$B$29,0))),""),""))</f>
        <v/>
      </c>
      <c r="AC1261" s="19" t="str">
        <f>IF($B1261="","",IFERROR(INDEX(Config!$D$9:$D$29,MATCH($B1261,Config!$B$9:$B$29,0))&amp;"",""))</f>
        <v/>
      </c>
    </row>
    <row r="1262">
      <c r="R1262" s="20" t="str">
        <f>IF($B1262="","",IFERROR(IF(INDEX(Config!$D$9:$D$29,MATCH($B1262,Config!$B$9:$B$29,0))="Contrato",IF(INDEX(Config!$E$9:$E$29,MATCH($B1262,Config!$B$9:$B$29,0))="","",INDEX(Config!$E$9:$E$29,MATCH($B1262,Config!$B$9:$B$29,0))),""),""))</f>
        <v/>
      </c>
      <c r="AC1262" s="19" t="str">
        <f>IF($B1262="","",IFERROR(INDEX(Config!$D$9:$D$29,MATCH($B1262,Config!$B$9:$B$29,0))&amp;"",""))</f>
        <v/>
      </c>
    </row>
    <row r="1263">
      <c r="R1263" s="20" t="str">
        <f>IF($B1263="","",IFERROR(IF(INDEX(Config!$D$9:$D$29,MATCH($B1263,Config!$B$9:$B$29,0))="Contrato",IF(INDEX(Config!$E$9:$E$29,MATCH($B1263,Config!$B$9:$B$29,0))="","",INDEX(Config!$E$9:$E$29,MATCH($B1263,Config!$B$9:$B$29,0))),""),""))</f>
        <v/>
      </c>
      <c r="AC1263" s="19" t="str">
        <f>IF($B1263="","",IFERROR(INDEX(Config!$D$9:$D$29,MATCH($B1263,Config!$B$9:$B$29,0))&amp;"",""))</f>
        <v/>
      </c>
    </row>
    <row r="1264">
      <c r="R1264" s="20" t="str">
        <f>IF($B1264="","",IFERROR(IF(INDEX(Config!$D$9:$D$29,MATCH($B1264,Config!$B$9:$B$29,0))="Contrato",IF(INDEX(Config!$E$9:$E$29,MATCH($B1264,Config!$B$9:$B$29,0))="","",INDEX(Config!$E$9:$E$29,MATCH($B1264,Config!$B$9:$B$29,0))),""),""))</f>
        <v/>
      </c>
      <c r="AC1264" s="19" t="str">
        <f>IF($B1264="","",IFERROR(INDEX(Config!$D$9:$D$29,MATCH($B1264,Config!$B$9:$B$29,0))&amp;"",""))</f>
        <v/>
      </c>
    </row>
    <row r="1265">
      <c r="R1265" s="20" t="str">
        <f>IF($B1265="","",IFERROR(IF(INDEX(Config!$D$9:$D$29,MATCH($B1265,Config!$B$9:$B$29,0))="Contrato",IF(INDEX(Config!$E$9:$E$29,MATCH($B1265,Config!$B$9:$B$29,0))="","",INDEX(Config!$E$9:$E$29,MATCH($B1265,Config!$B$9:$B$29,0))),""),""))</f>
        <v/>
      </c>
      <c r="AC1265" s="19" t="str">
        <f>IF($B1265="","",IFERROR(INDEX(Config!$D$9:$D$29,MATCH($B1265,Config!$B$9:$B$29,0))&amp;"",""))</f>
        <v/>
      </c>
    </row>
    <row r="1266">
      <c r="R1266" s="20" t="str">
        <f>IF($B1266="","",IFERROR(IF(INDEX(Config!$D$9:$D$29,MATCH($B1266,Config!$B$9:$B$29,0))="Contrato",IF(INDEX(Config!$E$9:$E$29,MATCH($B1266,Config!$B$9:$B$29,0))="","",INDEX(Config!$E$9:$E$29,MATCH($B1266,Config!$B$9:$B$29,0))),""),""))</f>
        <v/>
      </c>
      <c r="AC1266" s="19" t="str">
        <f>IF($B1266="","",IFERROR(INDEX(Config!$D$9:$D$29,MATCH($B1266,Config!$B$9:$B$29,0))&amp;"",""))</f>
        <v/>
      </c>
    </row>
    <row r="1267">
      <c r="R1267" s="20" t="str">
        <f>IF($B1267="","",IFERROR(IF(INDEX(Config!$D$9:$D$29,MATCH($B1267,Config!$B$9:$B$29,0))="Contrato",IF(INDEX(Config!$E$9:$E$29,MATCH($B1267,Config!$B$9:$B$29,0))="","",INDEX(Config!$E$9:$E$29,MATCH($B1267,Config!$B$9:$B$29,0))),""),""))</f>
        <v/>
      </c>
      <c r="AC1267" s="19" t="str">
        <f>IF($B1267="","",IFERROR(INDEX(Config!$D$9:$D$29,MATCH($B1267,Config!$B$9:$B$29,0))&amp;"",""))</f>
        <v/>
      </c>
    </row>
    <row r="1268">
      <c r="R1268" s="20" t="str">
        <f>IF($B1268="","",IFERROR(IF(INDEX(Config!$D$9:$D$29,MATCH($B1268,Config!$B$9:$B$29,0))="Contrato",IF(INDEX(Config!$E$9:$E$29,MATCH($B1268,Config!$B$9:$B$29,0))="","",INDEX(Config!$E$9:$E$29,MATCH($B1268,Config!$B$9:$B$29,0))),""),""))</f>
        <v/>
      </c>
      <c r="AC1268" s="19" t="str">
        <f>IF($B1268="","",IFERROR(INDEX(Config!$D$9:$D$29,MATCH($B1268,Config!$B$9:$B$29,0))&amp;"",""))</f>
        <v/>
      </c>
    </row>
    <row r="1269">
      <c r="R1269" s="20" t="str">
        <f>IF($B1269="","",IFERROR(IF(INDEX(Config!$D$9:$D$29,MATCH($B1269,Config!$B$9:$B$29,0))="Contrato",IF(INDEX(Config!$E$9:$E$29,MATCH($B1269,Config!$B$9:$B$29,0))="","",INDEX(Config!$E$9:$E$29,MATCH($B1269,Config!$B$9:$B$29,0))),""),""))</f>
        <v/>
      </c>
      <c r="AC1269" s="19" t="str">
        <f>IF($B1269="","",IFERROR(INDEX(Config!$D$9:$D$29,MATCH($B1269,Config!$B$9:$B$29,0))&amp;"",""))</f>
        <v/>
      </c>
    </row>
    <row r="1270">
      <c r="R1270" s="20" t="str">
        <f>IF($B1270="","",IFERROR(IF(INDEX(Config!$D$9:$D$29,MATCH($B1270,Config!$B$9:$B$29,0))="Contrato",IF(INDEX(Config!$E$9:$E$29,MATCH($B1270,Config!$B$9:$B$29,0))="","",INDEX(Config!$E$9:$E$29,MATCH($B1270,Config!$B$9:$B$29,0))),""),""))</f>
        <v/>
      </c>
      <c r="AC1270" s="19" t="str">
        <f>IF($B1270="","",IFERROR(INDEX(Config!$D$9:$D$29,MATCH($B1270,Config!$B$9:$B$29,0))&amp;"",""))</f>
        <v/>
      </c>
    </row>
    <row r="1271">
      <c r="R1271" s="20" t="str">
        <f>IF($B1271="","",IFERROR(IF(INDEX(Config!$D$9:$D$29,MATCH($B1271,Config!$B$9:$B$29,0))="Contrato",IF(INDEX(Config!$E$9:$E$29,MATCH($B1271,Config!$B$9:$B$29,0))="","",INDEX(Config!$E$9:$E$29,MATCH($B1271,Config!$B$9:$B$29,0))),""),""))</f>
        <v/>
      </c>
      <c r="AC1271" s="19" t="str">
        <f>IF($B1271="","",IFERROR(INDEX(Config!$D$9:$D$29,MATCH($B1271,Config!$B$9:$B$29,0))&amp;"",""))</f>
        <v/>
      </c>
    </row>
    <row r="1272">
      <c r="R1272" s="20" t="str">
        <f>IF($B1272="","",IFERROR(IF(INDEX(Config!$D$9:$D$29,MATCH($B1272,Config!$B$9:$B$29,0))="Contrato",IF(INDEX(Config!$E$9:$E$29,MATCH($B1272,Config!$B$9:$B$29,0))="","",INDEX(Config!$E$9:$E$29,MATCH($B1272,Config!$B$9:$B$29,0))),""),""))</f>
        <v/>
      </c>
      <c r="AC1272" s="19" t="str">
        <f>IF($B1272="","",IFERROR(INDEX(Config!$D$9:$D$29,MATCH($B1272,Config!$B$9:$B$29,0))&amp;"",""))</f>
        <v/>
      </c>
    </row>
    <row r="1273">
      <c r="R1273" s="20" t="str">
        <f>IF($B1273="","",IFERROR(IF(INDEX(Config!$D$9:$D$29,MATCH($B1273,Config!$B$9:$B$29,0))="Contrato",IF(INDEX(Config!$E$9:$E$29,MATCH($B1273,Config!$B$9:$B$29,0))="","",INDEX(Config!$E$9:$E$29,MATCH($B1273,Config!$B$9:$B$29,0))),""),""))</f>
        <v/>
      </c>
      <c r="AC1273" s="19" t="str">
        <f>IF($B1273="","",IFERROR(INDEX(Config!$D$9:$D$29,MATCH($B1273,Config!$B$9:$B$29,0))&amp;"",""))</f>
        <v/>
      </c>
    </row>
    <row r="1274">
      <c r="R1274" s="20" t="str">
        <f>IF($B1274="","",IFERROR(IF(INDEX(Config!$D$9:$D$29,MATCH($B1274,Config!$B$9:$B$29,0))="Contrato",IF(INDEX(Config!$E$9:$E$29,MATCH($B1274,Config!$B$9:$B$29,0))="","",INDEX(Config!$E$9:$E$29,MATCH($B1274,Config!$B$9:$B$29,0))),""),""))</f>
        <v/>
      </c>
      <c r="AC1274" s="19" t="str">
        <f>IF($B1274="","",IFERROR(INDEX(Config!$D$9:$D$29,MATCH($B1274,Config!$B$9:$B$29,0))&amp;"",""))</f>
        <v/>
      </c>
    </row>
    <row r="1275">
      <c r="R1275" s="20" t="str">
        <f>IF($B1275="","",IFERROR(IF(INDEX(Config!$D$9:$D$29,MATCH($B1275,Config!$B$9:$B$29,0))="Contrato",IF(INDEX(Config!$E$9:$E$29,MATCH($B1275,Config!$B$9:$B$29,0))="","",INDEX(Config!$E$9:$E$29,MATCH($B1275,Config!$B$9:$B$29,0))),""),""))</f>
        <v/>
      </c>
      <c r="AC1275" s="19" t="str">
        <f>IF($B1275="","",IFERROR(INDEX(Config!$D$9:$D$29,MATCH($B1275,Config!$B$9:$B$29,0))&amp;"",""))</f>
        <v/>
      </c>
    </row>
    <row r="1276">
      <c r="R1276" s="20" t="str">
        <f>IF($B1276="","",IFERROR(IF(INDEX(Config!$D$9:$D$29,MATCH($B1276,Config!$B$9:$B$29,0))="Contrato",IF(INDEX(Config!$E$9:$E$29,MATCH($B1276,Config!$B$9:$B$29,0))="","",INDEX(Config!$E$9:$E$29,MATCH($B1276,Config!$B$9:$B$29,0))),""),""))</f>
        <v/>
      </c>
      <c r="AC1276" s="19" t="str">
        <f>IF($B1276="","",IFERROR(INDEX(Config!$D$9:$D$29,MATCH($B1276,Config!$B$9:$B$29,0))&amp;"",""))</f>
        <v/>
      </c>
    </row>
    <row r="1277">
      <c r="R1277" s="20" t="str">
        <f>IF($B1277="","",IFERROR(IF(INDEX(Config!$D$9:$D$29,MATCH($B1277,Config!$B$9:$B$29,0))="Contrato",IF(INDEX(Config!$E$9:$E$29,MATCH($B1277,Config!$B$9:$B$29,0))="","",INDEX(Config!$E$9:$E$29,MATCH($B1277,Config!$B$9:$B$29,0))),""),""))</f>
        <v/>
      </c>
      <c r="AC1277" s="19" t="str">
        <f>IF($B1277="","",IFERROR(INDEX(Config!$D$9:$D$29,MATCH($B1277,Config!$B$9:$B$29,0))&amp;"",""))</f>
        <v/>
      </c>
    </row>
    <row r="1278">
      <c r="R1278" s="20" t="str">
        <f>IF($B1278="","",IFERROR(IF(INDEX(Config!$D$9:$D$29,MATCH($B1278,Config!$B$9:$B$29,0))="Contrato",IF(INDEX(Config!$E$9:$E$29,MATCH($B1278,Config!$B$9:$B$29,0))="","",INDEX(Config!$E$9:$E$29,MATCH($B1278,Config!$B$9:$B$29,0))),""),""))</f>
        <v/>
      </c>
      <c r="AC1278" s="19" t="str">
        <f>IF($B1278="","",IFERROR(INDEX(Config!$D$9:$D$29,MATCH($B1278,Config!$B$9:$B$29,0))&amp;"",""))</f>
        <v/>
      </c>
    </row>
    <row r="1279">
      <c r="R1279" s="20" t="str">
        <f>IF($B1279="","",IFERROR(IF(INDEX(Config!$D$9:$D$29,MATCH($B1279,Config!$B$9:$B$29,0))="Contrato",IF(INDEX(Config!$E$9:$E$29,MATCH($B1279,Config!$B$9:$B$29,0))="","",INDEX(Config!$E$9:$E$29,MATCH($B1279,Config!$B$9:$B$29,0))),""),""))</f>
        <v/>
      </c>
      <c r="AC1279" s="19" t="str">
        <f>IF($B1279="","",IFERROR(INDEX(Config!$D$9:$D$29,MATCH($B1279,Config!$B$9:$B$29,0))&amp;"",""))</f>
        <v/>
      </c>
    </row>
    <row r="1280">
      <c r="R1280" s="20" t="str">
        <f>IF($B1280="","",IFERROR(IF(INDEX(Config!$D$9:$D$29,MATCH($B1280,Config!$B$9:$B$29,0))="Contrato",IF(INDEX(Config!$E$9:$E$29,MATCH($B1280,Config!$B$9:$B$29,0))="","",INDEX(Config!$E$9:$E$29,MATCH($B1280,Config!$B$9:$B$29,0))),""),""))</f>
        <v/>
      </c>
      <c r="AC1280" s="19" t="str">
        <f>IF($B1280="","",IFERROR(INDEX(Config!$D$9:$D$29,MATCH($B1280,Config!$B$9:$B$29,0))&amp;"",""))</f>
        <v/>
      </c>
    </row>
    <row r="1281">
      <c r="R1281" s="20" t="str">
        <f>IF($B1281="","",IFERROR(IF(INDEX(Config!$D$9:$D$29,MATCH($B1281,Config!$B$9:$B$29,0))="Contrato",IF(INDEX(Config!$E$9:$E$29,MATCH($B1281,Config!$B$9:$B$29,0))="","",INDEX(Config!$E$9:$E$29,MATCH($B1281,Config!$B$9:$B$29,0))),""),""))</f>
        <v/>
      </c>
      <c r="AC1281" s="19" t="str">
        <f>IF($B1281="","",IFERROR(INDEX(Config!$D$9:$D$29,MATCH($B1281,Config!$B$9:$B$29,0))&amp;"",""))</f>
        <v/>
      </c>
    </row>
    <row r="1282">
      <c r="R1282" s="20" t="str">
        <f>IF($B1282="","",IFERROR(IF(INDEX(Config!$D$9:$D$29,MATCH($B1282,Config!$B$9:$B$29,0))="Contrato",IF(INDEX(Config!$E$9:$E$29,MATCH($B1282,Config!$B$9:$B$29,0))="","",INDEX(Config!$E$9:$E$29,MATCH($B1282,Config!$B$9:$B$29,0))),""),""))</f>
        <v/>
      </c>
      <c r="AC1282" s="19" t="str">
        <f>IF($B1282="","",IFERROR(INDEX(Config!$D$9:$D$29,MATCH($B1282,Config!$B$9:$B$29,0))&amp;"",""))</f>
        <v/>
      </c>
    </row>
    <row r="1283">
      <c r="R1283" s="20" t="str">
        <f>IF($B1283="","",IFERROR(IF(INDEX(Config!$D$9:$D$29,MATCH($B1283,Config!$B$9:$B$29,0))="Contrato",IF(INDEX(Config!$E$9:$E$29,MATCH($B1283,Config!$B$9:$B$29,0))="","",INDEX(Config!$E$9:$E$29,MATCH($B1283,Config!$B$9:$B$29,0))),""),""))</f>
        <v/>
      </c>
      <c r="AC1283" s="19" t="str">
        <f>IF($B1283="","",IFERROR(INDEX(Config!$D$9:$D$29,MATCH($B1283,Config!$B$9:$B$29,0))&amp;"",""))</f>
        <v/>
      </c>
    </row>
    <row r="1284">
      <c r="R1284" s="20" t="str">
        <f>IF($B1284="","",IFERROR(IF(INDEX(Config!$D$9:$D$29,MATCH($B1284,Config!$B$9:$B$29,0))="Contrato",IF(INDEX(Config!$E$9:$E$29,MATCH($B1284,Config!$B$9:$B$29,0))="","",INDEX(Config!$E$9:$E$29,MATCH($B1284,Config!$B$9:$B$29,0))),""),""))</f>
        <v/>
      </c>
      <c r="AC1284" s="19" t="str">
        <f>IF($B1284="","",IFERROR(INDEX(Config!$D$9:$D$29,MATCH($B1284,Config!$B$9:$B$29,0))&amp;"",""))</f>
        <v/>
      </c>
    </row>
    <row r="1285">
      <c r="R1285" s="20" t="str">
        <f>IF($B1285="","",IFERROR(IF(INDEX(Config!$D$9:$D$29,MATCH($B1285,Config!$B$9:$B$29,0))="Contrato",IF(INDEX(Config!$E$9:$E$29,MATCH($B1285,Config!$B$9:$B$29,0))="","",INDEX(Config!$E$9:$E$29,MATCH($B1285,Config!$B$9:$B$29,0))),""),""))</f>
        <v/>
      </c>
      <c r="AC1285" s="19" t="str">
        <f>IF($B1285="","",IFERROR(INDEX(Config!$D$9:$D$29,MATCH($B1285,Config!$B$9:$B$29,0))&amp;"",""))</f>
        <v/>
      </c>
    </row>
    <row r="1286">
      <c r="R1286" s="20" t="str">
        <f>IF($B1286="","",IFERROR(IF(INDEX(Config!$D$9:$D$29,MATCH($B1286,Config!$B$9:$B$29,0))="Contrato",IF(INDEX(Config!$E$9:$E$29,MATCH($B1286,Config!$B$9:$B$29,0))="","",INDEX(Config!$E$9:$E$29,MATCH($B1286,Config!$B$9:$B$29,0))),""),""))</f>
        <v/>
      </c>
      <c r="AC1286" s="19" t="str">
        <f>IF($B1286="","",IFERROR(INDEX(Config!$D$9:$D$29,MATCH($B1286,Config!$B$9:$B$29,0))&amp;"",""))</f>
        <v/>
      </c>
    </row>
    <row r="1287">
      <c r="R1287" s="20" t="str">
        <f>IF($B1287="","",IFERROR(IF(INDEX(Config!$D$9:$D$29,MATCH($B1287,Config!$B$9:$B$29,0))="Contrato",IF(INDEX(Config!$E$9:$E$29,MATCH($B1287,Config!$B$9:$B$29,0))="","",INDEX(Config!$E$9:$E$29,MATCH($B1287,Config!$B$9:$B$29,0))),""),""))</f>
        <v/>
      </c>
      <c r="AC1287" s="19" t="str">
        <f>IF($B1287="","",IFERROR(INDEX(Config!$D$9:$D$29,MATCH($B1287,Config!$B$9:$B$29,0))&amp;"",""))</f>
        <v/>
      </c>
    </row>
    <row r="1288">
      <c r="R1288" s="20" t="str">
        <f>IF($B1288="","",IFERROR(IF(INDEX(Config!$D$9:$D$29,MATCH($B1288,Config!$B$9:$B$29,0))="Contrato",IF(INDEX(Config!$E$9:$E$29,MATCH($B1288,Config!$B$9:$B$29,0))="","",INDEX(Config!$E$9:$E$29,MATCH($B1288,Config!$B$9:$B$29,0))),""),""))</f>
        <v/>
      </c>
      <c r="AC1288" s="19" t="str">
        <f>IF($B1288="","",IFERROR(INDEX(Config!$D$9:$D$29,MATCH($B1288,Config!$B$9:$B$29,0))&amp;"",""))</f>
        <v/>
      </c>
    </row>
    <row r="1289">
      <c r="R1289" s="20" t="str">
        <f>IF($B1289="","",IFERROR(IF(INDEX(Config!$D$9:$D$29,MATCH($B1289,Config!$B$9:$B$29,0))="Contrato",IF(INDEX(Config!$E$9:$E$29,MATCH($B1289,Config!$B$9:$B$29,0))="","",INDEX(Config!$E$9:$E$29,MATCH($B1289,Config!$B$9:$B$29,0))),""),""))</f>
        <v/>
      </c>
      <c r="AC1289" s="19" t="str">
        <f>IF($B1289="","",IFERROR(INDEX(Config!$D$9:$D$29,MATCH($B1289,Config!$B$9:$B$29,0))&amp;"",""))</f>
        <v/>
      </c>
    </row>
    <row r="1290">
      <c r="R1290" s="20" t="str">
        <f>IF($B1290="","",IFERROR(IF(INDEX(Config!$D$9:$D$29,MATCH($B1290,Config!$B$9:$B$29,0))="Contrato",IF(INDEX(Config!$E$9:$E$29,MATCH($B1290,Config!$B$9:$B$29,0))="","",INDEX(Config!$E$9:$E$29,MATCH($B1290,Config!$B$9:$B$29,0))),""),""))</f>
        <v/>
      </c>
      <c r="AC1290" s="19" t="str">
        <f>IF($B1290="","",IFERROR(INDEX(Config!$D$9:$D$29,MATCH($B1290,Config!$B$9:$B$29,0))&amp;"",""))</f>
        <v/>
      </c>
    </row>
    <row r="1291">
      <c r="R1291" s="20" t="str">
        <f>IF($B1291="","",IFERROR(IF(INDEX(Config!$D$9:$D$29,MATCH($B1291,Config!$B$9:$B$29,0))="Contrato",IF(INDEX(Config!$E$9:$E$29,MATCH($B1291,Config!$B$9:$B$29,0))="","",INDEX(Config!$E$9:$E$29,MATCH($B1291,Config!$B$9:$B$29,0))),""),""))</f>
        <v/>
      </c>
      <c r="AC1291" s="19" t="str">
        <f>IF($B1291="","",IFERROR(INDEX(Config!$D$9:$D$29,MATCH($B1291,Config!$B$9:$B$29,0))&amp;"",""))</f>
        <v/>
      </c>
    </row>
    <row r="1292">
      <c r="R1292" s="20" t="str">
        <f>IF($B1292="","",IFERROR(IF(INDEX(Config!$D$9:$D$29,MATCH($B1292,Config!$B$9:$B$29,0))="Contrato",IF(INDEX(Config!$E$9:$E$29,MATCH($B1292,Config!$B$9:$B$29,0))="","",INDEX(Config!$E$9:$E$29,MATCH($B1292,Config!$B$9:$B$29,0))),""),""))</f>
        <v/>
      </c>
      <c r="AC1292" s="19" t="str">
        <f>IF($B1292="","",IFERROR(INDEX(Config!$D$9:$D$29,MATCH($B1292,Config!$B$9:$B$29,0))&amp;"",""))</f>
        <v/>
      </c>
    </row>
    <row r="1293">
      <c r="R1293" s="20" t="str">
        <f>IF($B1293="","",IFERROR(IF(INDEX(Config!$D$9:$D$29,MATCH($B1293,Config!$B$9:$B$29,0))="Contrato",IF(INDEX(Config!$E$9:$E$29,MATCH($B1293,Config!$B$9:$B$29,0))="","",INDEX(Config!$E$9:$E$29,MATCH($B1293,Config!$B$9:$B$29,0))),""),""))</f>
        <v/>
      </c>
      <c r="AC1293" s="19" t="str">
        <f>IF($B1293="","",IFERROR(INDEX(Config!$D$9:$D$29,MATCH($B1293,Config!$B$9:$B$29,0))&amp;"",""))</f>
        <v/>
      </c>
    </row>
    <row r="1294">
      <c r="R1294" s="20" t="str">
        <f>IF($B1294="","",IFERROR(IF(INDEX(Config!$D$9:$D$29,MATCH($B1294,Config!$B$9:$B$29,0))="Contrato",IF(INDEX(Config!$E$9:$E$29,MATCH($B1294,Config!$B$9:$B$29,0))="","",INDEX(Config!$E$9:$E$29,MATCH($B1294,Config!$B$9:$B$29,0))),""),""))</f>
        <v/>
      </c>
      <c r="AC1294" s="19" t="str">
        <f>IF($B1294="","",IFERROR(INDEX(Config!$D$9:$D$29,MATCH($B1294,Config!$B$9:$B$29,0))&amp;"",""))</f>
        <v/>
      </c>
    </row>
    <row r="1295">
      <c r="R1295" s="20" t="str">
        <f>IF($B1295="","",IFERROR(IF(INDEX(Config!$D$9:$D$29,MATCH($B1295,Config!$B$9:$B$29,0))="Contrato",IF(INDEX(Config!$E$9:$E$29,MATCH($B1295,Config!$B$9:$B$29,0))="","",INDEX(Config!$E$9:$E$29,MATCH($B1295,Config!$B$9:$B$29,0))),""),""))</f>
        <v/>
      </c>
      <c r="AC1295" s="19" t="str">
        <f>IF($B1295="","",IFERROR(INDEX(Config!$D$9:$D$29,MATCH($B1295,Config!$B$9:$B$29,0))&amp;"",""))</f>
        <v/>
      </c>
    </row>
    <row r="1296">
      <c r="R1296" s="20" t="str">
        <f>IF($B1296="","",IFERROR(IF(INDEX(Config!$D$9:$D$29,MATCH($B1296,Config!$B$9:$B$29,0))="Contrato",IF(INDEX(Config!$E$9:$E$29,MATCH($B1296,Config!$B$9:$B$29,0))="","",INDEX(Config!$E$9:$E$29,MATCH($B1296,Config!$B$9:$B$29,0))),""),""))</f>
        <v/>
      </c>
      <c r="AC1296" s="19" t="str">
        <f>IF($B1296="","",IFERROR(INDEX(Config!$D$9:$D$29,MATCH($B1296,Config!$B$9:$B$29,0))&amp;"",""))</f>
        <v/>
      </c>
    </row>
    <row r="1297">
      <c r="R1297" s="20" t="str">
        <f>IF($B1297="","",IFERROR(IF(INDEX(Config!$D$9:$D$29,MATCH($B1297,Config!$B$9:$B$29,0))="Contrato",IF(INDEX(Config!$E$9:$E$29,MATCH($B1297,Config!$B$9:$B$29,0))="","",INDEX(Config!$E$9:$E$29,MATCH($B1297,Config!$B$9:$B$29,0))),""),""))</f>
        <v/>
      </c>
      <c r="AC1297" s="19" t="str">
        <f>IF($B1297="","",IFERROR(INDEX(Config!$D$9:$D$29,MATCH($B1297,Config!$B$9:$B$29,0))&amp;"",""))</f>
        <v/>
      </c>
    </row>
    <row r="1298">
      <c r="R1298" s="20" t="str">
        <f>IF($B1298="","",IFERROR(IF(INDEX(Config!$D$9:$D$29,MATCH($B1298,Config!$B$9:$B$29,0))="Contrato",IF(INDEX(Config!$E$9:$E$29,MATCH($B1298,Config!$B$9:$B$29,0))="","",INDEX(Config!$E$9:$E$29,MATCH($B1298,Config!$B$9:$B$29,0))),""),""))</f>
        <v/>
      </c>
      <c r="AC1298" s="19" t="str">
        <f>IF($B1298="","",IFERROR(INDEX(Config!$D$9:$D$29,MATCH($B1298,Config!$B$9:$B$29,0))&amp;"",""))</f>
        <v/>
      </c>
    </row>
    <row r="1299">
      <c r="R1299" s="20" t="str">
        <f>IF($B1299="","",IFERROR(IF(INDEX(Config!$D$9:$D$29,MATCH($B1299,Config!$B$9:$B$29,0))="Contrato",IF(INDEX(Config!$E$9:$E$29,MATCH($B1299,Config!$B$9:$B$29,0))="","",INDEX(Config!$E$9:$E$29,MATCH($B1299,Config!$B$9:$B$29,0))),""),""))</f>
        <v/>
      </c>
      <c r="AC1299" s="19" t="str">
        <f>IF($B1299="","",IFERROR(INDEX(Config!$D$9:$D$29,MATCH($B1299,Config!$B$9:$B$29,0))&amp;"",""))</f>
        <v/>
      </c>
    </row>
    <row r="1300">
      <c r="R1300" s="20" t="str">
        <f>IF($B1300="","",IFERROR(IF(INDEX(Config!$D$9:$D$29,MATCH($B1300,Config!$B$9:$B$29,0))="Contrato",IF(INDEX(Config!$E$9:$E$29,MATCH($B1300,Config!$B$9:$B$29,0))="","",INDEX(Config!$E$9:$E$29,MATCH($B1300,Config!$B$9:$B$29,0))),""),""))</f>
        <v/>
      </c>
      <c r="AC1300" s="19" t="str">
        <f>IF($B1300="","",IFERROR(INDEX(Config!$D$9:$D$29,MATCH($B1300,Config!$B$9:$B$29,0))&amp;"",""))</f>
        <v/>
      </c>
    </row>
    <row r="1301">
      <c r="R1301" s="20" t="str">
        <f>IF($B1301="","",IFERROR(IF(INDEX(Config!$D$9:$D$29,MATCH($B1301,Config!$B$9:$B$29,0))="Contrato",IF(INDEX(Config!$E$9:$E$29,MATCH($B1301,Config!$B$9:$B$29,0))="","",INDEX(Config!$E$9:$E$29,MATCH($B1301,Config!$B$9:$B$29,0))),""),""))</f>
        <v/>
      </c>
      <c r="AC1301" s="19" t="str">
        <f>IF($B1301="","",IFERROR(INDEX(Config!$D$9:$D$29,MATCH($B1301,Config!$B$9:$B$29,0))&amp;"",""))</f>
        <v/>
      </c>
    </row>
    <row r="1302">
      <c r="R1302" s="20" t="str">
        <f>IF($B1302="","",IFERROR(IF(INDEX(Config!$D$9:$D$29,MATCH($B1302,Config!$B$9:$B$29,0))="Contrato",IF(INDEX(Config!$E$9:$E$29,MATCH($B1302,Config!$B$9:$B$29,0))="","",INDEX(Config!$E$9:$E$29,MATCH($B1302,Config!$B$9:$B$29,0))),""),""))</f>
        <v/>
      </c>
      <c r="AC1302" s="19" t="str">
        <f>IF($B1302="","",IFERROR(INDEX(Config!$D$9:$D$29,MATCH($B1302,Config!$B$9:$B$29,0))&amp;"",""))</f>
        <v/>
      </c>
    </row>
    <row r="1303">
      <c r="R1303" s="20" t="str">
        <f>IF($B1303="","",IFERROR(IF(INDEX(Config!$D$9:$D$29,MATCH($B1303,Config!$B$9:$B$29,0))="Contrato",IF(INDEX(Config!$E$9:$E$29,MATCH($B1303,Config!$B$9:$B$29,0))="","",INDEX(Config!$E$9:$E$29,MATCH($B1303,Config!$B$9:$B$29,0))),""),""))</f>
        <v/>
      </c>
      <c r="AC1303" s="19" t="str">
        <f>IF($B1303="","",IFERROR(INDEX(Config!$D$9:$D$29,MATCH($B1303,Config!$B$9:$B$29,0))&amp;"",""))</f>
        <v/>
      </c>
    </row>
    <row r="1304">
      <c r="R1304" s="20" t="str">
        <f>IF($B1304="","",IFERROR(IF(INDEX(Config!$D$9:$D$29,MATCH($B1304,Config!$B$9:$B$29,0))="Contrato",IF(INDEX(Config!$E$9:$E$29,MATCH($B1304,Config!$B$9:$B$29,0))="","",INDEX(Config!$E$9:$E$29,MATCH($B1304,Config!$B$9:$B$29,0))),""),""))</f>
        <v/>
      </c>
      <c r="AC1304" s="19" t="str">
        <f>IF($B1304="","",IFERROR(INDEX(Config!$D$9:$D$29,MATCH($B1304,Config!$B$9:$B$29,0))&amp;"",""))</f>
        <v/>
      </c>
    </row>
    <row r="1305">
      <c r="R1305" s="20" t="str">
        <f>IF($B1305="","",IFERROR(IF(INDEX(Config!$D$9:$D$29,MATCH($B1305,Config!$B$9:$B$29,0))="Contrato",IF(INDEX(Config!$E$9:$E$29,MATCH($B1305,Config!$B$9:$B$29,0))="","",INDEX(Config!$E$9:$E$29,MATCH($B1305,Config!$B$9:$B$29,0))),""),""))</f>
        <v/>
      </c>
      <c r="AC1305" s="19" t="str">
        <f>IF($B1305="","",IFERROR(INDEX(Config!$D$9:$D$29,MATCH($B1305,Config!$B$9:$B$29,0))&amp;"",""))</f>
        <v/>
      </c>
    </row>
    <row r="1306">
      <c r="R1306" s="20" t="str">
        <f>IF($B1306="","",IFERROR(IF(INDEX(Config!$D$9:$D$29,MATCH($B1306,Config!$B$9:$B$29,0))="Contrato",IF(INDEX(Config!$E$9:$E$29,MATCH($B1306,Config!$B$9:$B$29,0))="","",INDEX(Config!$E$9:$E$29,MATCH($B1306,Config!$B$9:$B$29,0))),""),""))</f>
        <v/>
      </c>
      <c r="AC1306" s="19" t="str">
        <f>IF($B1306="","",IFERROR(INDEX(Config!$D$9:$D$29,MATCH($B1306,Config!$B$9:$B$29,0))&amp;"",""))</f>
        <v/>
      </c>
    </row>
    <row r="1307">
      <c r="R1307" s="20" t="str">
        <f>IF($B1307="","",IFERROR(IF(INDEX(Config!$D$9:$D$29,MATCH($B1307,Config!$B$9:$B$29,0))="Contrato",IF(INDEX(Config!$E$9:$E$29,MATCH($B1307,Config!$B$9:$B$29,0))="","",INDEX(Config!$E$9:$E$29,MATCH($B1307,Config!$B$9:$B$29,0))),""),""))</f>
        <v/>
      </c>
      <c r="AC1307" s="19" t="str">
        <f>IF($B1307="","",IFERROR(INDEX(Config!$D$9:$D$29,MATCH($B1307,Config!$B$9:$B$29,0))&amp;"",""))</f>
        <v/>
      </c>
    </row>
    <row r="1308">
      <c r="R1308" s="20" t="str">
        <f>IF($B1308="","",IFERROR(IF(INDEX(Config!$D$9:$D$29,MATCH($B1308,Config!$B$9:$B$29,0))="Contrato",IF(INDEX(Config!$E$9:$E$29,MATCH($B1308,Config!$B$9:$B$29,0))="","",INDEX(Config!$E$9:$E$29,MATCH($B1308,Config!$B$9:$B$29,0))),""),""))</f>
        <v/>
      </c>
      <c r="AC1308" s="19" t="str">
        <f>IF($B1308="","",IFERROR(INDEX(Config!$D$9:$D$29,MATCH($B1308,Config!$B$9:$B$29,0))&amp;"",""))</f>
        <v/>
      </c>
    </row>
    <row r="1309">
      <c r="R1309" s="20" t="str">
        <f>IF($B1309="","",IFERROR(IF(INDEX(Config!$D$9:$D$29,MATCH($B1309,Config!$B$9:$B$29,0))="Contrato",IF(INDEX(Config!$E$9:$E$29,MATCH($B1309,Config!$B$9:$B$29,0))="","",INDEX(Config!$E$9:$E$29,MATCH($B1309,Config!$B$9:$B$29,0))),""),""))</f>
        <v/>
      </c>
      <c r="AC1309" s="19" t="str">
        <f>IF($B1309="","",IFERROR(INDEX(Config!$D$9:$D$29,MATCH($B1309,Config!$B$9:$B$29,0))&amp;"",""))</f>
        <v/>
      </c>
    </row>
    <row r="1310">
      <c r="R1310" s="20" t="str">
        <f>IF($B1310="","",IFERROR(IF(INDEX(Config!$D$9:$D$29,MATCH($B1310,Config!$B$9:$B$29,0))="Contrato",IF(INDEX(Config!$E$9:$E$29,MATCH($B1310,Config!$B$9:$B$29,0))="","",INDEX(Config!$E$9:$E$29,MATCH($B1310,Config!$B$9:$B$29,0))),""),""))</f>
        <v/>
      </c>
      <c r="AC1310" s="19" t="str">
        <f>IF($B1310="","",IFERROR(INDEX(Config!$D$9:$D$29,MATCH($B1310,Config!$B$9:$B$29,0))&amp;"",""))</f>
        <v/>
      </c>
    </row>
    <row r="1311">
      <c r="R1311" s="20" t="str">
        <f>IF($B1311="","",IFERROR(IF(INDEX(Config!$D$9:$D$29,MATCH($B1311,Config!$B$9:$B$29,0))="Contrato",IF(INDEX(Config!$E$9:$E$29,MATCH($B1311,Config!$B$9:$B$29,0))="","",INDEX(Config!$E$9:$E$29,MATCH($B1311,Config!$B$9:$B$29,0))),""),""))</f>
        <v/>
      </c>
      <c r="AC1311" s="19" t="str">
        <f>IF($B1311="","",IFERROR(INDEX(Config!$D$9:$D$29,MATCH($B1311,Config!$B$9:$B$29,0))&amp;"",""))</f>
        <v/>
      </c>
    </row>
    <row r="1312">
      <c r="R1312" s="20" t="str">
        <f>IF($B1312="","",IFERROR(IF(INDEX(Config!$D$9:$D$29,MATCH($B1312,Config!$B$9:$B$29,0))="Contrato",IF(INDEX(Config!$E$9:$E$29,MATCH($B1312,Config!$B$9:$B$29,0))="","",INDEX(Config!$E$9:$E$29,MATCH($B1312,Config!$B$9:$B$29,0))),""),""))</f>
        <v/>
      </c>
      <c r="AC1312" s="19" t="str">
        <f>IF($B1312="","",IFERROR(INDEX(Config!$D$9:$D$29,MATCH($B1312,Config!$B$9:$B$29,0))&amp;"",""))</f>
        <v/>
      </c>
    </row>
    <row r="1313">
      <c r="R1313" s="20" t="str">
        <f>IF($B1313="","",IFERROR(IF(INDEX(Config!$D$9:$D$29,MATCH($B1313,Config!$B$9:$B$29,0))="Contrato",IF(INDEX(Config!$E$9:$E$29,MATCH($B1313,Config!$B$9:$B$29,0))="","",INDEX(Config!$E$9:$E$29,MATCH($B1313,Config!$B$9:$B$29,0))),""),""))</f>
        <v/>
      </c>
      <c r="AC1313" s="19" t="str">
        <f>IF($B1313="","",IFERROR(INDEX(Config!$D$9:$D$29,MATCH($B1313,Config!$B$9:$B$29,0))&amp;"",""))</f>
        <v/>
      </c>
    </row>
    <row r="1314">
      <c r="R1314" s="20" t="str">
        <f>IF($B1314="","",IFERROR(IF(INDEX(Config!$D$9:$D$29,MATCH($B1314,Config!$B$9:$B$29,0))="Contrato",IF(INDEX(Config!$E$9:$E$29,MATCH($B1314,Config!$B$9:$B$29,0))="","",INDEX(Config!$E$9:$E$29,MATCH($B1314,Config!$B$9:$B$29,0))),""),""))</f>
        <v/>
      </c>
      <c r="AC1314" s="19" t="str">
        <f>IF($B1314="","",IFERROR(INDEX(Config!$D$9:$D$29,MATCH($B1314,Config!$B$9:$B$29,0))&amp;"",""))</f>
        <v/>
      </c>
    </row>
    <row r="1315">
      <c r="R1315" s="20" t="str">
        <f>IF($B1315="","",IFERROR(IF(INDEX(Config!$D$9:$D$29,MATCH($B1315,Config!$B$9:$B$29,0))="Contrato",IF(INDEX(Config!$E$9:$E$29,MATCH($B1315,Config!$B$9:$B$29,0))="","",INDEX(Config!$E$9:$E$29,MATCH($B1315,Config!$B$9:$B$29,0))),""),""))</f>
        <v/>
      </c>
      <c r="AC1315" s="19" t="str">
        <f>IF($B1315="","",IFERROR(INDEX(Config!$D$9:$D$29,MATCH($B1315,Config!$B$9:$B$29,0))&amp;"",""))</f>
        <v/>
      </c>
    </row>
    <row r="1316">
      <c r="R1316" s="20" t="str">
        <f>IF($B1316="","",IFERROR(IF(INDEX(Config!$D$9:$D$29,MATCH($B1316,Config!$B$9:$B$29,0))="Contrato",IF(INDEX(Config!$E$9:$E$29,MATCH($B1316,Config!$B$9:$B$29,0))="","",INDEX(Config!$E$9:$E$29,MATCH($B1316,Config!$B$9:$B$29,0))),""),""))</f>
        <v/>
      </c>
      <c r="AC1316" s="19" t="str">
        <f>IF($B1316="","",IFERROR(INDEX(Config!$D$9:$D$29,MATCH($B1316,Config!$B$9:$B$29,0))&amp;"",""))</f>
        <v/>
      </c>
    </row>
    <row r="1317">
      <c r="R1317" s="20" t="str">
        <f>IF($B1317="","",IFERROR(IF(INDEX(Config!$D$9:$D$29,MATCH($B1317,Config!$B$9:$B$29,0))="Contrato",IF(INDEX(Config!$E$9:$E$29,MATCH($B1317,Config!$B$9:$B$29,0))="","",INDEX(Config!$E$9:$E$29,MATCH($B1317,Config!$B$9:$B$29,0))),""),""))</f>
        <v/>
      </c>
      <c r="AC1317" s="19" t="str">
        <f>IF($B1317="","",IFERROR(INDEX(Config!$D$9:$D$29,MATCH($B1317,Config!$B$9:$B$29,0))&amp;"",""))</f>
        <v/>
      </c>
    </row>
    <row r="1318">
      <c r="R1318" s="20" t="str">
        <f>IF($B1318="","",IFERROR(IF(INDEX(Config!$D$9:$D$29,MATCH($B1318,Config!$B$9:$B$29,0))="Contrato",IF(INDEX(Config!$E$9:$E$29,MATCH($B1318,Config!$B$9:$B$29,0))="","",INDEX(Config!$E$9:$E$29,MATCH($B1318,Config!$B$9:$B$29,0))),""),""))</f>
        <v/>
      </c>
      <c r="AC1318" s="19" t="str">
        <f>IF($B1318="","",IFERROR(INDEX(Config!$D$9:$D$29,MATCH($B1318,Config!$B$9:$B$29,0))&amp;"",""))</f>
        <v/>
      </c>
    </row>
    <row r="1319">
      <c r="R1319" s="20" t="str">
        <f>IF($B1319="","",IFERROR(IF(INDEX(Config!$D$9:$D$29,MATCH($B1319,Config!$B$9:$B$29,0))="Contrato",IF(INDEX(Config!$E$9:$E$29,MATCH($B1319,Config!$B$9:$B$29,0))="","",INDEX(Config!$E$9:$E$29,MATCH($B1319,Config!$B$9:$B$29,0))),""),""))</f>
        <v/>
      </c>
      <c r="AC1319" s="19" t="str">
        <f>IF($B1319="","",IFERROR(INDEX(Config!$D$9:$D$29,MATCH($B1319,Config!$B$9:$B$29,0))&amp;"",""))</f>
        <v/>
      </c>
    </row>
    <row r="1320">
      <c r="R1320" s="20" t="str">
        <f>IF($B1320="","",IFERROR(IF(INDEX(Config!$D$9:$D$29,MATCH($B1320,Config!$B$9:$B$29,0))="Contrato",IF(INDEX(Config!$E$9:$E$29,MATCH($B1320,Config!$B$9:$B$29,0))="","",INDEX(Config!$E$9:$E$29,MATCH($B1320,Config!$B$9:$B$29,0))),""),""))</f>
        <v/>
      </c>
      <c r="AC1320" s="19" t="str">
        <f>IF($B1320="","",IFERROR(INDEX(Config!$D$9:$D$29,MATCH($B1320,Config!$B$9:$B$29,0))&amp;"",""))</f>
        <v/>
      </c>
    </row>
    <row r="1321">
      <c r="R1321" s="20" t="str">
        <f>IF($B1321="","",IFERROR(IF(INDEX(Config!$D$9:$D$29,MATCH($B1321,Config!$B$9:$B$29,0))="Contrato",IF(INDEX(Config!$E$9:$E$29,MATCH($B1321,Config!$B$9:$B$29,0))="","",INDEX(Config!$E$9:$E$29,MATCH($B1321,Config!$B$9:$B$29,0))),""),""))</f>
        <v/>
      </c>
      <c r="AC1321" s="19" t="str">
        <f>IF($B1321="","",IFERROR(INDEX(Config!$D$9:$D$29,MATCH($B1321,Config!$B$9:$B$29,0))&amp;"",""))</f>
        <v/>
      </c>
    </row>
    <row r="1322">
      <c r="R1322" s="20" t="str">
        <f>IF($B1322="","",IFERROR(IF(INDEX(Config!$D$9:$D$29,MATCH($B1322,Config!$B$9:$B$29,0))="Contrato",IF(INDEX(Config!$E$9:$E$29,MATCH($B1322,Config!$B$9:$B$29,0))="","",INDEX(Config!$E$9:$E$29,MATCH($B1322,Config!$B$9:$B$29,0))),""),""))</f>
        <v/>
      </c>
      <c r="AC1322" s="19" t="str">
        <f>IF($B1322="","",IFERROR(INDEX(Config!$D$9:$D$29,MATCH($B1322,Config!$B$9:$B$29,0))&amp;"",""))</f>
        <v/>
      </c>
    </row>
    <row r="1323">
      <c r="R1323" s="20" t="str">
        <f>IF($B1323="","",IFERROR(IF(INDEX(Config!$D$9:$D$29,MATCH($B1323,Config!$B$9:$B$29,0))="Contrato",IF(INDEX(Config!$E$9:$E$29,MATCH($B1323,Config!$B$9:$B$29,0))="","",INDEX(Config!$E$9:$E$29,MATCH($B1323,Config!$B$9:$B$29,0))),""),""))</f>
        <v/>
      </c>
      <c r="AC1323" s="19" t="str">
        <f>IF($B1323="","",IFERROR(INDEX(Config!$D$9:$D$29,MATCH($B1323,Config!$B$9:$B$29,0))&amp;"",""))</f>
        <v/>
      </c>
    </row>
    <row r="1324">
      <c r="R1324" s="20" t="str">
        <f>IF($B1324="","",IFERROR(IF(INDEX(Config!$D$9:$D$29,MATCH($B1324,Config!$B$9:$B$29,0))="Contrato",IF(INDEX(Config!$E$9:$E$29,MATCH($B1324,Config!$B$9:$B$29,0))="","",INDEX(Config!$E$9:$E$29,MATCH($B1324,Config!$B$9:$B$29,0))),""),""))</f>
        <v/>
      </c>
      <c r="AC1324" s="19" t="str">
        <f>IF($B1324="","",IFERROR(INDEX(Config!$D$9:$D$29,MATCH($B1324,Config!$B$9:$B$29,0))&amp;"",""))</f>
        <v/>
      </c>
    </row>
    <row r="1325">
      <c r="R1325" s="20" t="str">
        <f>IF($B1325="","",IFERROR(IF(INDEX(Config!$D$9:$D$29,MATCH($B1325,Config!$B$9:$B$29,0))="Contrato",IF(INDEX(Config!$E$9:$E$29,MATCH($B1325,Config!$B$9:$B$29,0))="","",INDEX(Config!$E$9:$E$29,MATCH($B1325,Config!$B$9:$B$29,0))),""),""))</f>
        <v/>
      </c>
      <c r="AC1325" s="19" t="str">
        <f>IF($B1325="","",IFERROR(INDEX(Config!$D$9:$D$29,MATCH($B1325,Config!$B$9:$B$29,0))&amp;"",""))</f>
        <v/>
      </c>
    </row>
    <row r="1326">
      <c r="R1326" s="20" t="str">
        <f>IF($B1326="","",IFERROR(IF(INDEX(Config!$D$9:$D$29,MATCH($B1326,Config!$B$9:$B$29,0))="Contrato",IF(INDEX(Config!$E$9:$E$29,MATCH($B1326,Config!$B$9:$B$29,0))="","",INDEX(Config!$E$9:$E$29,MATCH($B1326,Config!$B$9:$B$29,0))),""),""))</f>
        <v/>
      </c>
      <c r="AC1326" s="19" t="str">
        <f>IF($B1326="","",IFERROR(INDEX(Config!$D$9:$D$29,MATCH($B1326,Config!$B$9:$B$29,0))&amp;"",""))</f>
        <v/>
      </c>
    </row>
    <row r="1327">
      <c r="R1327" s="20" t="str">
        <f>IF($B1327="","",IFERROR(IF(INDEX(Config!$D$9:$D$29,MATCH($B1327,Config!$B$9:$B$29,0))="Contrato",IF(INDEX(Config!$E$9:$E$29,MATCH($B1327,Config!$B$9:$B$29,0))="","",INDEX(Config!$E$9:$E$29,MATCH($B1327,Config!$B$9:$B$29,0))),""),""))</f>
        <v/>
      </c>
      <c r="AC1327" s="19" t="str">
        <f>IF($B1327="","",IFERROR(INDEX(Config!$D$9:$D$29,MATCH($B1327,Config!$B$9:$B$29,0))&amp;"",""))</f>
        <v/>
      </c>
    </row>
    <row r="1328">
      <c r="R1328" s="20" t="str">
        <f>IF($B1328="","",IFERROR(IF(INDEX(Config!$D$9:$D$29,MATCH($B1328,Config!$B$9:$B$29,0))="Contrato",IF(INDEX(Config!$E$9:$E$29,MATCH($B1328,Config!$B$9:$B$29,0))="","",INDEX(Config!$E$9:$E$29,MATCH($B1328,Config!$B$9:$B$29,0))),""),""))</f>
        <v/>
      </c>
      <c r="AC1328" s="19" t="str">
        <f>IF($B1328="","",IFERROR(INDEX(Config!$D$9:$D$29,MATCH($B1328,Config!$B$9:$B$29,0))&amp;"",""))</f>
        <v/>
      </c>
    </row>
    <row r="1329">
      <c r="R1329" s="20" t="str">
        <f>IF($B1329="","",IFERROR(IF(INDEX(Config!$D$9:$D$29,MATCH($B1329,Config!$B$9:$B$29,0))="Contrato",IF(INDEX(Config!$E$9:$E$29,MATCH($B1329,Config!$B$9:$B$29,0))="","",INDEX(Config!$E$9:$E$29,MATCH($B1329,Config!$B$9:$B$29,0))),""),""))</f>
        <v/>
      </c>
      <c r="AC1329" s="19" t="str">
        <f>IF($B1329="","",IFERROR(INDEX(Config!$D$9:$D$29,MATCH($B1329,Config!$B$9:$B$29,0))&amp;"",""))</f>
        <v/>
      </c>
    </row>
    <row r="1330">
      <c r="R1330" s="20" t="str">
        <f>IF($B1330="","",IFERROR(IF(INDEX(Config!$D$9:$D$29,MATCH($B1330,Config!$B$9:$B$29,0))="Contrato",IF(INDEX(Config!$E$9:$E$29,MATCH($B1330,Config!$B$9:$B$29,0))="","",INDEX(Config!$E$9:$E$29,MATCH($B1330,Config!$B$9:$B$29,0))),""),""))</f>
        <v/>
      </c>
      <c r="AC1330" s="19" t="str">
        <f>IF($B1330="","",IFERROR(INDEX(Config!$D$9:$D$29,MATCH($B1330,Config!$B$9:$B$29,0))&amp;"",""))</f>
        <v/>
      </c>
    </row>
    <row r="1331">
      <c r="R1331" s="20" t="str">
        <f>IF($B1331="","",IFERROR(IF(INDEX(Config!$D$9:$D$29,MATCH($B1331,Config!$B$9:$B$29,0))="Contrato",IF(INDEX(Config!$E$9:$E$29,MATCH($B1331,Config!$B$9:$B$29,0))="","",INDEX(Config!$E$9:$E$29,MATCH($B1331,Config!$B$9:$B$29,0))),""),""))</f>
        <v/>
      </c>
      <c r="AC1331" s="19" t="str">
        <f>IF($B1331="","",IFERROR(INDEX(Config!$D$9:$D$29,MATCH($B1331,Config!$B$9:$B$29,0))&amp;"",""))</f>
        <v/>
      </c>
    </row>
    <row r="1332">
      <c r="R1332" s="20" t="str">
        <f>IF($B1332="","",IFERROR(IF(INDEX(Config!$D$9:$D$29,MATCH($B1332,Config!$B$9:$B$29,0))="Contrato",IF(INDEX(Config!$E$9:$E$29,MATCH($B1332,Config!$B$9:$B$29,0))="","",INDEX(Config!$E$9:$E$29,MATCH($B1332,Config!$B$9:$B$29,0))),""),""))</f>
        <v/>
      </c>
      <c r="AC1332" s="19" t="str">
        <f>IF($B1332="","",IFERROR(INDEX(Config!$D$9:$D$29,MATCH($B1332,Config!$B$9:$B$29,0))&amp;"",""))</f>
        <v/>
      </c>
    </row>
    <row r="1333">
      <c r="R1333" s="20" t="str">
        <f>IF($B1333="","",IFERROR(IF(INDEX(Config!$D$9:$D$29,MATCH($B1333,Config!$B$9:$B$29,0))="Contrato",IF(INDEX(Config!$E$9:$E$29,MATCH($B1333,Config!$B$9:$B$29,0))="","",INDEX(Config!$E$9:$E$29,MATCH($B1333,Config!$B$9:$B$29,0))),""),""))</f>
        <v/>
      </c>
      <c r="AC1333" s="19" t="str">
        <f>IF($B1333="","",IFERROR(INDEX(Config!$D$9:$D$29,MATCH($B1333,Config!$B$9:$B$29,0))&amp;"",""))</f>
        <v/>
      </c>
    </row>
    <row r="1334">
      <c r="R1334" s="20" t="str">
        <f>IF($B1334="","",IFERROR(IF(INDEX(Config!$D$9:$D$29,MATCH($B1334,Config!$B$9:$B$29,0))="Contrato",IF(INDEX(Config!$E$9:$E$29,MATCH($B1334,Config!$B$9:$B$29,0))="","",INDEX(Config!$E$9:$E$29,MATCH($B1334,Config!$B$9:$B$29,0))),""),""))</f>
        <v/>
      </c>
      <c r="AC1334" s="19" t="str">
        <f>IF($B1334="","",IFERROR(INDEX(Config!$D$9:$D$29,MATCH($B1334,Config!$B$9:$B$29,0))&amp;"",""))</f>
        <v/>
      </c>
    </row>
    <row r="1335">
      <c r="R1335" s="20" t="str">
        <f>IF($B1335="","",IFERROR(IF(INDEX(Config!$D$9:$D$29,MATCH($B1335,Config!$B$9:$B$29,0))="Contrato",IF(INDEX(Config!$E$9:$E$29,MATCH($B1335,Config!$B$9:$B$29,0))="","",INDEX(Config!$E$9:$E$29,MATCH($B1335,Config!$B$9:$B$29,0))),""),""))</f>
        <v/>
      </c>
      <c r="AC1335" s="19" t="str">
        <f>IF($B1335="","",IFERROR(INDEX(Config!$D$9:$D$29,MATCH($B1335,Config!$B$9:$B$29,0))&amp;"",""))</f>
        <v/>
      </c>
    </row>
    <row r="1336">
      <c r="R1336" s="20" t="str">
        <f>IF($B1336="","",IFERROR(IF(INDEX(Config!$D$9:$D$29,MATCH($B1336,Config!$B$9:$B$29,0))="Contrato",IF(INDEX(Config!$E$9:$E$29,MATCH($B1336,Config!$B$9:$B$29,0))="","",INDEX(Config!$E$9:$E$29,MATCH($B1336,Config!$B$9:$B$29,0))),""),""))</f>
        <v/>
      </c>
      <c r="AC1336" s="19" t="str">
        <f>IF($B1336="","",IFERROR(INDEX(Config!$D$9:$D$29,MATCH($B1336,Config!$B$9:$B$29,0))&amp;"",""))</f>
        <v/>
      </c>
    </row>
    <row r="1337">
      <c r="R1337" s="20" t="str">
        <f>IF($B1337="","",IFERROR(IF(INDEX(Config!$D$9:$D$29,MATCH($B1337,Config!$B$9:$B$29,0))="Contrato",IF(INDEX(Config!$E$9:$E$29,MATCH($B1337,Config!$B$9:$B$29,0))="","",INDEX(Config!$E$9:$E$29,MATCH($B1337,Config!$B$9:$B$29,0))),""),""))</f>
        <v/>
      </c>
      <c r="AC1337" s="19" t="str">
        <f>IF($B1337="","",IFERROR(INDEX(Config!$D$9:$D$29,MATCH($B1337,Config!$B$9:$B$29,0))&amp;"",""))</f>
        <v/>
      </c>
    </row>
    <row r="1338">
      <c r="R1338" s="20" t="str">
        <f>IF($B1338="","",IFERROR(IF(INDEX(Config!$D$9:$D$29,MATCH($B1338,Config!$B$9:$B$29,0))="Contrato",IF(INDEX(Config!$E$9:$E$29,MATCH($B1338,Config!$B$9:$B$29,0))="","",INDEX(Config!$E$9:$E$29,MATCH($B1338,Config!$B$9:$B$29,0))),""),""))</f>
        <v/>
      </c>
      <c r="AC1338" s="19" t="str">
        <f>IF($B1338="","",IFERROR(INDEX(Config!$D$9:$D$29,MATCH($B1338,Config!$B$9:$B$29,0))&amp;"",""))</f>
        <v/>
      </c>
    </row>
    <row r="1339">
      <c r="R1339" s="20" t="str">
        <f>IF($B1339="","",IFERROR(IF(INDEX(Config!$D$9:$D$29,MATCH($B1339,Config!$B$9:$B$29,0))="Contrato",IF(INDEX(Config!$E$9:$E$29,MATCH($B1339,Config!$B$9:$B$29,0))="","",INDEX(Config!$E$9:$E$29,MATCH($B1339,Config!$B$9:$B$29,0))),""),""))</f>
        <v/>
      </c>
      <c r="AC1339" s="19" t="str">
        <f>IF($B1339="","",IFERROR(INDEX(Config!$D$9:$D$29,MATCH($B1339,Config!$B$9:$B$29,0))&amp;"",""))</f>
        <v/>
      </c>
    </row>
    <row r="1340">
      <c r="R1340" s="20" t="str">
        <f>IF($B1340="","",IFERROR(IF(INDEX(Config!$D$9:$D$29,MATCH($B1340,Config!$B$9:$B$29,0))="Contrato",IF(INDEX(Config!$E$9:$E$29,MATCH($B1340,Config!$B$9:$B$29,0))="","",INDEX(Config!$E$9:$E$29,MATCH($B1340,Config!$B$9:$B$29,0))),""),""))</f>
        <v/>
      </c>
      <c r="AC1340" s="19" t="str">
        <f>IF($B1340="","",IFERROR(INDEX(Config!$D$9:$D$29,MATCH($B1340,Config!$B$9:$B$29,0))&amp;"",""))</f>
        <v/>
      </c>
    </row>
    <row r="1341">
      <c r="R1341" s="20" t="str">
        <f>IF($B1341="","",IFERROR(IF(INDEX(Config!$D$9:$D$29,MATCH($B1341,Config!$B$9:$B$29,0))="Contrato",IF(INDEX(Config!$E$9:$E$29,MATCH($B1341,Config!$B$9:$B$29,0))="","",INDEX(Config!$E$9:$E$29,MATCH($B1341,Config!$B$9:$B$29,0))),""),""))</f>
        <v/>
      </c>
      <c r="AC1341" s="19" t="str">
        <f>IF($B1341="","",IFERROR(INDEX(Config!$D$9:$D$29,MATCH($B1341,Config!$B$9:$B$29,0))&amp;"",""))</f>
        <v/>
      </c>
    </row>
    <row r="1342">
      <c r="R1342" s="20" t="str">
        <f>IF($B1342="","",IFERROR(IF(INDEX(Config!$D$9:$D$29,MATCH($B1342,Config!$B$9:$B$29,0))="Contrato",IF(INDEX(Config!$E$9:$E$29,MATCH($B1342,Config!$B$9:$B$29,0))="","",INDEX(Config!$E$9:$E$29,MATCH($B1342,Config!$B$9:$B$29,0))),""),""))</f>
        <v/>
      </c>
      <c r="AC1342" s="19" t="str">
        <f>IF($B1342="","",IFERROR(INDEX(Config!$D$9:$D$29,MATCH($B1342,Config!$B$9:$B$29,0))&amp;"",""))</f>
        <v/>
      </c>
    </row>
    <row r="1343">
      <c r="R1343" s="20" t="str">
        <f>IF($B1343="","",IFERROR(IF(INDEX(Config!$D$9:$D$29,MATCH($B1343,Config!$B$9:$B$29,0))="Contrato",IF(INDEX(Config!$E$9:$E$29,MATCH($B1343,Config!$B$9:$B$29,0))="","",INDEX(Config!$E$9:$E$29,MATCH($B1343,Config!$B$9:$B$29,0))),""),""))</f>
        <v/>
      </c>
      <c r="AC1343" s="19" t="str">
        <f>IF($B1343="","",IFERROR(INDEX(Config!$D$9:$D$29,MATCH($B1343,Config!$B$9:$B$29,0))&amp;"",""))</f>
        <v/>
      </c>
    </row>
    <row r="1344">
      <c r="R1344" s="20" t="str">
        <f>IF($B1344="","",IFERROR(IF(INDEX(Config!$D$9:$D$29,MATCH($B1344,Config!$B$9:$B$29,0))="Contrato",IF(INDEX(Config!$E$9:$E$29,MATCH($B1344,Config!$B$9:$B$29,0))="","",INDEX(Config!$E$9:$E$29,MATCH($B1344,Config!$B$9:$B$29,0))),""),""))</f>
        <v/>
      </c>
      <c r="AC1344" s="19" t="str">
        <f>IF($B1344="","",IFERROR(INDEX(Config!$D$9:$D$29,MATCH($B1344,Config!$B$9:$B$29,0))&amp;"",""))</f>
        <v/>
      </c>
    </row>
    <row r="1345">
      <c r="R1345" s="20" t="str">
        <f>IF($B1345="","",IFERROR(IF(INDEX(Config!$D$9:$D$29,MATCH($B1345,Config!$B$9:$B$29,0))="Contrato",IF(INDEX(Config!$E$9:$E$29,MATCH($B1345,Config!$B$9:$B$29,0))="","",INDEX(Config!$E$9:$E$29,MATCH($B1345,Config!$B$9:$B$29,0))),""),""))</f>
        <v/>
      </c>
      <c r="AC1345" s="19" t="str">
        <f>IF($B1345="","",IFERROR(INDEX(Config!$D$9:$D$29,MATCH($B1345,Config!$B$9:$B$29,0))&amp;"",""))</f>
        <v/>
      </c>
    </row>
    <row r="1346">
      <c r="R1346" s="20" t="str">
        <f>IF($B1346="","",IFERROR(IF(INDEX(Config!$D$9:$D$29,MATCH($B1346,Config!$B$9:$B$29,0))="Contrato",IF(INDEX(Config!$E$9:$E$29,MATCH($B1346,Config!$B$9:$B$29,0))="","",INDEX(Config!$E$9:$E$29,MATCH($B1346,Config!$B$9:$B$29,0))),""),""))</f>
        <v/>
      </c>
      <c r="AC1346" s="19" t="str">
        <f>IF($B1346="","",IFERROR(INDEX(Config!$D$9:$D$29,MATCH($B1346,Config!$B$9:$B$29,0))&amp;"",""))</f>
        <v/>
      </c>
    </row>
    <row r="1347">
      <c r="R1347" s="20" t="str">
        <f>IF($B1347="","",IFERROR(IF(INDEX(Config!$D$9:$D$29,MATCH($B1347,Config!$B$9:$B$29,0))="Contrato",IF(INDEX(Config!$E$9:$E$29,MATCH($B1347,Config!$B$9:$B$29,0))="","",INDEX(Config!$E$9:$E$29,MATCH($B1347,Config!$B$9:$B$29,0))),""),""))</f>
        <v/>
      </c>
      <c r="AC1347" s="19" t="str">
        <f>IF($B1347="","",IFERROR(INDEX(Config!$D$9:$D$29,MATCH($B1347,Config!$B$9:$B$29,0))&amp;"",""))</f>
        <v/>
      </c>
    </row>
    <row r="1348">
      <c r="R1348" s="20" t="str">
        <f>IF($B1348="","",IFERROR(IF(INDEX(Config!$D$9:$D$29,MATCH($B1348,Config!$B$9:$B$29,0))="Contrato",IF(INDEX(Config!$E$9:$E$29,MATCH($B1348,Config!$B$9:$B$29,0))="","",INDEX(Config!$E$9:$E$29,MATCH($B1348,Config!$B$9:$B$29,0))),""),""))</f>
        <v/>
      </c>
      <c r="AC1348" s="19" t="str">
        <f>IF($B1348="","",IFERROR(INDEX(Config!$D$9:$D$29,MATCH($B1348,Config!$B$9:$B$29,0))&amp;"",""))</f>
        <v/>
      </c>
    </row>
    <row r="1349">
      <c r="R1349" s="20" t="str">
        <f>IF($B1349="","",IFERROR(IF(INDEX(Config!$D$9:$D$29,MATCH($B1349,Config!$B$9:$B$29,0))="Contrato",IF(INDEX(Config!$E$9:$E$29,MATCH($B1349,Config!$B$9:$B$29,0))="","",INDEX(Config!$E$9:$E$29,MATCH($B1349,Config!$B$9:$B$29,0))),""),""))</f>
        <v/>
      </c>
      <c r="AC1349" s="19" t="str">
        <f>IF($B1349="","",IFERROR(INDEX(Config!$D$9:$D$29,MATCH($B1349,Config!$B$9:$B$29,0))&amp;"",""))</f>
        <v/>
      </c>
    </row>
    <row r="1350">
      <c r="R1350" s="20" t="str">
        <f>IF($B1350="","",IFERROR(IF(INDEX(Config!$D$9:$D$29,MATCH($B1350,Config!$B$9:$B$29,0))="Contrato",IF(INDEX(Config!$E$9:$E$29,MATCH($B1350,Config!$B$9:$B$29,0))="","",INDEX(Config!$E$9:$E$29,MATCH($B1350,Config!$B$9:$B$29,0))),""),""))</f>
        <v/>
      </c>
      <c r="AC1350" s="19" t="str">
        <f>IF($B1350="","",IFERROR(INDEX(Config!$D$9:$D$29,MATCH($B1350,Config!$B$9:$B$29,0))&amp;"",""))</f>
        <v/>
      </c>
    </row>
    <row r="1351">
      <c r="R1351" s="20" t="str">
        <f>IF($B1351="","",IFERROR(IF(INDEX(Config!$D$9:$D$29,MATCH($B1351,Config!$B$9:$B$29,0))="Contrato",IF(INDEX(Config!$E$9:$E$29,MATCH($B1351,Config!$B$9:$B$29,0))="","",INDEX(Config!$E$9:$E$29,MATCH($B1351,Config!$B$9:$B$29,0))),""),""))</f>
        <v/>
      </c>
      <c r="AC1351" s="19" t="str">
        <f>IF($B1351="","",IFERROR(INDEX(Config!$D$9:$D$29,MATCH($B1351,Config!$B$9:$B$29,0))&amp;"",""))</f>
        <v/>
      </c>
    </row>
    <row r="1352">
      <c r="R1352" s="20" t="str">
        <f>IF($B1352="","",IFERROR(IF(INDEX(Config!$D$9:$D$29,MATCH($B1352,Config!$B$9:$B$29,0))="Contrato",IF(INDEX(Config!$E$9:$E$29,MATCH($B1352,Config!$B$9:$B$29,0))="","",INDEX(Config!$E$9:$E$29,MATCH($B1352,Config!$B$9:$B$29,0))),""),""))</f>
        <v/>
      </c>
      <c r="AC1352" s="19" t="str">
        <f>IF($B1352="","",IFERROR(INDEX(Config!$D$9:$D$29,MATCH($B1352,Config!$B$9:$B$29,0))&amp;"",""))</f>
        <v/>
      </c>
    </row>
    <row r="1353">
      <c r="R1353" s="20" t="str">
        <f>IF($B1353="","",IFERROR(IF(INDEX(Config!$D$9:$D$29,MATCH($B1353,Config!$B$9:$B$29,0))="Contrato",IF(INDEX(Config!$E$9:$E$29,MATCH($B1353,Config!$B$9:$B$29,0))="","",INDEX(Config!$E$9:$E$29,MATCH($B1353,Config!$B$9:$B$29,0))),""),""))</f>
        <v/>
      </c>
      <c r="AC1353" s="19" t="str">
        <f>IF($B1353="","",IFERROR(INDEX(Config!$D$9:$D$29,MATCH($B1353,Config!$B$9:$B$29,0))&amp;"",""))</f>
        <v/>
      </c>
    </row>
    <row r="1354">
      <c r="R1354" s="20" t="str">
        <f>IF($B1354="","",IFERROR(IF(INDEX(Config!$D$9:$D$29,MATCH($B1354,Config!$B$9:$B$29,0))="Contrato",IF(INDEX(Config!$E$9:$E$29,MATCH($B1354,Config!$B$9:$B$29,0))="","",INDEX(Config!$E$9:$E$29,MATCH($B1354,Config!$B$9:$B$29,0))),""),""))</f>
        <v/>
      </c>
      <c r="AC1354" s="19" t="str">
        <f>IF($B1354="","",IFERROR(INDEX(Config!$D$9:$D$29,MATCH($B1354,Config!$B$9:$B$29,0))&amp;"",""))</f>
        <v/>
      </c>
    </row>
    <row r="1355">
      <c r="R1355" s="20" t="str">
        <f>IF($B1355="","",IFERROR(IF(INDEX(Config!$D$9:$D$29,MATCH($B1355,Config!$B$9:$B$29,0))="Contrato",IF(INDEX(Config!$E$9:$E$29,MATCH($B1355,Config!$B$9:$B$29,0))="","",INDEX(Config!$E$9:$E$29,MATCH($B1355,Config!$B$9:$B$29,0))),""),""))</f>
        <v/>
      </c>
      <c r="AC1355" s="19" t="str">
        <f>IF($B1355="","",IFERROR(INDEX(Config!$D$9:$D$29,MATCH($B1355,Config!$B$9:$B$29,0))&amp;"",""))</f>
        <v/>
      </c>
    </row>
    <row r="1356">
      <c r="R1356" s="20" t="str">
        <f>IF($B1356="","",IFERROR(IF(INDEX(Config!$D$9:$D$29,MATCH($B1356,Config!$B$9:$B$29,0))="Contrato",IF(INDEX(Config!$E$9:$E$29,MATCH($B1356,Config!$B$9:$B$29,0))="","",INDEX(Config!$E$9:$E$29,MATCH($B1356,Config!$B$9:$B$29,0))),""),""))</f>
        <v/>
      </c>
      <c r="AC1356" s="19" t="str">
        <f>IF($B1356="","",IFERROR(INDEX(Config!$D$9:$D$29,MATCH($B1356,Config!$B$9:$B$29,0))&amp;"",""))</f>
        <v/>
      </c>
    </row>
    <row r="1357">
      <c r="R1357" s="20" t="str">
        <f>IF($B1357="","",IFERROR(IF(INDEX(Config!$D$9:$D$29,MATCH($B1357,Config!$B$9:$B$29,0))="Contrato",IF(INDEX(Config!$E$9:$E$29,MATCH($B1357,Config!$B$9:$B$29,0))="","",INDEX(Config!$E$9:$E$29,MATCH($B1357,Config!$B$9:$B$29,0))),""),""))</f>
        <v/>
      </c>
      <c r="AC1357" s="19" t="str">
        <f>IF($B1357="","",IFERROR(INDEX(Config!$D$9:$D$29,MATCH($B1357,Config!$B$9:$B$29,0))&amp;"",""))</f>
        <v/>
      </c>
    </row>
    <row r="1358">
      <c r="R1358" s="20" t="str">
        <f>IF($B1358="","",IFERROR(IF(INDEX(Config!$D$9:$D$29,MATCH($B1358,Config!$B$9:$B$29,0))="Contrato",IF(INDEX(Config!$E$9:$E$29,MATCH($B1358,Config!$B$9:$B$29,0))="","",INDEX(Config!$E$9:$E$29,MATCH($B1358,Config!$B$9:$B$29,0))),""),""))</f>
        <v/>
      </c>
      <c r="AC1358" s="19" t="str">
        <f>IF($B1358="","",IFERROR(INDEX(Config!$D$9:$D$29,MATCH($B1358,Config!$B$9:$B$29,0))&amp;"",""))</f>
        <v/>
      </c>
    </row>
    <row r="1359">
      <c r="R1359" s="20" t="str">
        <f>IF($B1359="","",IFERROR(IF(INDEX(Config!$D$9:$D$29,MATCH($B1359,Config!$B$9:$B$29,0))="Contrato",IF(INDEX(Config!$E$9:$E$29,MATCH($B1359,Config!$B$9:$B$29,0))="","",INDEX(Config!$E$9:$E$29,MATCH($B1359,Config!$B$9:$B$29,0))),""),""))</f>
        <v/>
      </c>
      <c r="AC1359" s="19" t="str">
        <f>IF($B1359="","",IFERROR(INDEX(Config!$D$9:$D$29,MATCH($B1359,Config!$B$9:$B$29,0))&amp;"",""))</f>
        <v/>
      </c>
    </row>
    <row r="1360">
      <c r="R1360" s="20" t="str">
        <f>IF($B1360="","",IFERROR(IF(INDEX(Config!$D$9:$D$29,MATCH($B1360,Config!$B$9:$B$29,0))="Contrato",IF(INDEX(Config!$E$9:$E$29,MATCH($B1360,Config!$B$9:$B$29,0))="","",INDEX(Config!$E$9:$E$29,MATCH($B1360,Config!$B$9:$B$29,0))),""),""))</f>
        <v/>
      </c>
      <c r="AC1360" s="19" t="str">
        <f>IF($B1360="","",IFERROR(INDEX(Config!$D$9:$D$29,MATCH($B1360,Config!$B$9:$B$29,0))&amp;"",""))</f>
        <v/>
      </c>
    </row>
    <row r="1361">
      <c r="R1361" s="20" t="str">
        <f>IF($B1361="","",IFERROR(IF(INDEX(Config!$D$9:$D$29,MATCH($B1361,Config!$B$9:$B$29,0))="Contrato",IF(INDEX(Config!$E$9:$E$29,MATCH($B1361,Config!$B$9:$B$29,0))="","",INDEX(Config!$E$9:$E$29,MATCH($B1361,Config!$B$9:$B$29,0))),""),""))</f>
        <v/>
      </c>
      <c r="AC1361" s="19" t="str">
        <f>IF($B1361="","",IFERROR(INDEX(Config!$D$9:$D$29,MATCH($B1361,Config!$B$9:$B$29,0))&amp;"",""))</f>
        <v/>
      </c>
    </row>
    <row r="1362">
      <c r="R1362" s="20" t="str">
        <f>IF($B1362="","",IFERROR(IF(INDEX(Config!$D$9:$D$29,MATCH($B1362,Config!$B$9:$B$29,0))="Contrato",IF(INDEX(Config!$E$9:$E$29,MATCH($B1362,Config!$B$9:$B$29,0))="","",INDEX(Config!$E$9:$E$29,MATCH($B1362,Config!$B$9:$B$29,0))),""),""))</f>
        <v/>
      </c>
      <c r="AC1362" s="19" t="str">
        <f>IF($B1362="","",IFERROR(INDEX(Config!$D$9:$D$29,MATCH($B1362,Config!$B$9:$B$29,0))&amp;"",""))</f>
        <v/>
      </c>
    </row>
    <row r="1363">
      <c r="R1363" s="20" t="str">
        <f>IF($B1363="","",IFERROR(IF(INDEX(Config!$D$9:$D$29,MATCH($B1363,Config!$B$9:$B$29,0))="Contrato",IF(INDEX(Config!$E$9:$E$29,MATCH($B1363,Config!$B$9:$B$29,0))="","",INDEX(Config!$E$9:$E$29,MATCH($B1363,Config!$B$9:$B$29,0))),""),""))</f>
        <v/>
      </c>
      <c r="AC1363" s="19" t="str">
        <f>IF($B1363="","",IFERROR(INDEX(Config!$D$9:$D$29,MATCH($B1363,Config!$B$9:$B$29,0))&amp;"",""))</f>
        <v/>
      </c>
    </row>
    <row r="1364">
      <c r="R1364" s="20" t="str">
        <f>IF($B1364="","",IFERROR(IF(INDEX(Config!$D$9:$D$29,MATCH($B1364,Config!$B$9:$B$29,0))="Contrato",IF(INDEX(Config!$E$9:$E$29,MATCH($B1364,Config!$B$9:$B$29,0))="","",INDEX(Config!$E$9:$E$29,MATCH($B1364,Config!$B$9:$B$29,0))),""),""))</f>
        <v/>
      </c>
      <c r="AC1364" s="19" t="str">
        <f>IF($B1364="","",IFERROR(INDEX(Config!$D$9:$D$29,MATCH($B1364,Config!$B$9:$B$29,0))&amp;"",""))</f>
        <v/>
      </c>
    </row>
    <row r="1365">
      <c r="R1365" s="20" t="str">
        <f>IF($B1365="","",IFERROR(IF(INDEX(Config!$D$9:$D$29,MATCH($B1365,Config!$B$9:$B$29,0))="Contrato",IF(INDEX(Config!$E$9:$E$29,MATCH($B1365,Config!$B$9:$B$29,0))="","",INDEX(Config!$E$9:$E$29,MATCH($B1365,Config!$B$9:$B$29,0))),""),""))</f>
        <v/>
      </c>
      <c r="AC1365" s="19" t="str">
        <f>IF($B1365="","",IFERROR(INDEX(Config!$D$9:$D$29,MATCH($B1365,Config!$B$9:$B$29,0))&amp;"",""))</f>
        <v/>
      </c>
    </row>
    <row r="1366">
      <c r="R1366" s="20" t="str">
        <f>IF($B1366="","",IFERROR(IF(INDEX(Config!$D$9:$D$29,MATCH($B1366,Config!$B$9:$B$29,0))="Contrato",IF(INDEX(Config!$E$9:$E$29,MATCH($B1366,Config!$B$9:$B$29,0))="","",INDEX(Config!$E$9:$E$29,MATCH($B1366,Config!$B$9:$B$29,0))),""),""))</f>
        <v/>
      </c>
      <c r="AC1366" s="19" t="str">
        <f>IF($B1366="","",IFERROR(INDEX(Config!$D$9:$D$29,MATCH($B1366,Config!$B$9:$B$29,0))&amp;"",""))</f>
        <v/>
      </c>
    </row>
    <row r="1367">
      <c r="R1367" s="20" t="str">
        <f>IF($B1367="","",IFERROR(IF(INDEX(Config!$D$9:$D$29,MATCH($B1367,Config!$B$9:$B$29,0))="Contrato",IF(INDEX(Config!$E$9:$E$29,MATCH($B1367,Config!$B$9:$B$29,0))="","",INDEX(Config!$E$9:$E$29,MATCH($B1367,Config!$B$9:$B$29,0))),""),""))</f>
        <v/>
      </c>
      <c r="AC1367" s="19" t="str">
        <f>IF($B1367="","",IFERROR(INDEX(Config!$D$9:$D$29,MATCH($B1367,Config!$B$9:$B$29,0))&amp;"",""))</f>
        <v/>
      </c>
    </row>
    <row r="1368">
      <c r="R1368" s="20" t="str">
        <f>IF($B1368="","",IFERROR(IF(INDEX(Config!$D$9:$D$29,MATCH($B1368,Config!$B$9:$B$29,0))="Contrato",IF(INDEX(Config!$E$9:$E$29,MATCH($B1368,Config!$B$9:$B$29,0))="","",INDEX(Config!$E$9:$E$29,MATCH($B1368,Config!$B$9:$B$29,0))),""),""))</f>
        <v/>
      </c>
      <c r="AC1368" s="19" t="str">
        <f>IF($B1368="","",IFERROR(INDEX(Config!$D$9:$D$29,MATCH($B1368,Config!$B$9:$B$29,0))&amp;"",""))</f>
        <v/>
      </c>
    </row>
    <row r="1369">
      <c r="R1369" s="20" t="str">
        <f>IF($B1369="","",IFERROR(IF(INDEX(Config!$D$9:$D$29,MATCH($B1369,Config!$B$9:$B$29,0))="Contrato",IF(INDEX(Config!$E$9:$E$29,MATCH($B1369,Config!$B$9:$B$29,0))="","",INDEX(Config!$E$9:$E$29,MATCH($B1369,Config!$B$9:$B$29,0))),""),""))</f>
        <v/>
      </c>
      <c r="AC1369" s="19" t="str">
        <f>IF($B1369="","",IFERROR(INDEX(Config!$D$9:$D$29,MATCH($B1369,Config!$B$9:$B$29,0))&amp;"",""))</f>
        <v/>
      </c>
    </row>
    <row r="1370">
      <c r="R1370" s="20" t="str">
        <f>IF($B1370="","",IFERROR(IF(INDEX(Config!$D$9:$D$29,MATCH($B1370,Config!$B$9:$B$29,0))="Contrato",IF(INDEX(Config!$E$9:$E$29,MATCH($B1370,Config!$B$9:$B$29,0))="","",INDEX(Config!$E$9:$E$29,MATCH($B1370,Config!$B$9:$B$29,0))),""),""))</f>
        <v/>
      </c>
      <c r="AC1370" s="19" t="str">
        <f>IF($B1370="","",IFERROR(INDEX(Config!$D$9:$D$29,MATCH($B1370,Config!$B$9:$B$29,0))&amp;"",""))</f>
        <v/>
      </c>
    </row>
    <row r="1371">
      <c r="R1371" s="20" t="str">
        <f>IF($B1371="","",IFERROR(IF(INDEX(Config!$D$9:$D$29,MATCH($B1371,Config!$B$9:$B$29,0))="Contrato",IF(INDEX(Config!$E$9:$E$29,MATCH($B1371,Config!$B$9:$B$29,0))="","",INDEX(Config!$E$9:$E$29,MATCH($B1371,Config!$B$9:$B$29,0))),""),""))</f>
        <v/>
      </c>
      <c r="AC1371" s="19" t="str">
        <f>IF($B1371="","",IFERROR(INDEX(Config!$D$9:$D$29,MATCH($B1371,Config!$B$9:$B$29,0))&amp;"",""))</f>
        <v/>
      </c>
    </row>
    <row r="1372">
      <c r="R1372" s="20" t="str">
        <f>IF($B1372="","",IFERROR(IF(INDEX(Config!$D$9:$D$29,MATCH($B1372,Config!$B$9:$B$29,0))="Contrato",IF(INDEX(Config!$E$9:$E$29,MATCH($B1372,Config!$B$9:$B$29,0))="","",INDEX(Config!$E$9:$E$29,MATCH($B1372,Config!$B$9:$B$29,0))),""),""))</f>
        <v/>
      </c>
      <c r="AC1372" s="19" t="str">
        <f>IF($B1372="","",IFERROR(INDEX(Config!$D$9:$D$29,MATCH($B1372,Config!$B$9:$B$29,0))&amp;"",""))</f>
        <v/>
      </c>
    </row>
    <row r="1373">
      <c r="R1373" s="20" t="str">
        <f>IF($B1373="","",IFERROR(IF(INDEX(Config!$D$9:$D$29,MATCH($B1373,Config!$B$9:$B$29,0))="Contrato",IF(INDEX(Config!$E$9:$E$29,MATCH($B1373,Config!$B$9:$B$29,0))="","",INDEX(Config!$E$9:$E$29,MATCH($B1373,Config!$B$9:$B$29,0))),""),""))</f>
        <v/>
      </c>
      <c r="AC1373" s="19" t="str">
        <f>IF($B1373="","",IFERROR(INDEX(Config!$D$9:$D$29,MATCH($B1373,Config!$B$9:$B$29,0))&amp;"",""))</f>
        <v/>
      </c>
    </row>
    <row r="1374">
      <c r="R1374" s="20" t="str">
        <f>IF($B1374="","",IFERROR(IF(INDEX(Config!$D$9:$D$29,MATCH($B1374,Config!$B$9:$B$29,0))="Contrato",IF(INDEX(Config!$E$9:$E$29,MATCH($B1374,Config!$B$9:$B$29,0))="","",INDEX(Config!$E$9:$E$29,MATCH($B1374,Config!$B$9:$B$29,0))),""),""))</f>
        <v/>
      </c>
      <c r="AC1374" s="19" t="str">
        <f>IF($B1374="","",IFERROR(INDEX(Config!$D$9:$D$29,MATCH($B1374,Config!$B$9:$B$29,0))&amp;"",""))</f>
        <v/>
      </c>
    </row>
    <row r="1375">
      <c r="R1375" s="20" t="str">
        <f>IF($B1375="","",IFERROR(IF(INDEX(Config!$D$9:$D$29,MATCH($B1375,Config!$B$9:$B$29,0))="Contrato",IF(INDEX(Config!$E$9:$E$29,MATCH($B1375,Config!$B$9:$B$29,0))="","",INDEX(Config!$E$9:$E$29,MATCH($B1375,Config!$B$9:$B$29,0))),""),""))</f>
        <v/>
      </c>
      <c r="AC1375" s="19" t="str">
        <f>IF($B1375="","",IFERROR(INDEX(Config!$D$9:$D$29,MATCH($B1375,Config!$B$9:$B$29,0))&amp;"",""))</f>
        <v/>
      </c>
    </row>
    <row r="1376">
      <c r="R1376" s="20" t="str">
        <f>IF($B1376="","",IFERROR(IF(INDEX(Config!$D$9:$D$29,MATCH($B1376,Config!$B$9:$B$29,0))="Contrato",IF(INDEX(Config!$E$9:$E$29,MATCH($B1376,Config!$B$9:$B$29,0))="","",INDEX(Config!$E$9:$E$29,MATCH($B1376,Config!$B$9:$B$29,0))),""),""))</f>
        <v/>
      </c>
      <c r="AC1376" s="19" t="str">
        <f>IF($B1376="","",IFERROR(INDEX(Config!$D$9:$D$29,MATCH($B1376,Config!$B$9:$B$29,0))&amp;"",""))</f>
        <v/>
      </c>
    </row>
    <row r="1377">
      <c r="R1377" s="20" t="str">
        <f>IF($B1377="","",IFERROR(IF(INDEX(Config!$D$9:$D$29,MATCH($B1377,Config!$B$9:$B$29,0))="Contrato",IF(INDEX(Config!$E$9:$E$29,MATCH($B1377,Config!$B$9:$B$29,0))="","",INDEX(Config!$E$9:$E$29,MATCH($B1377,Config!$B$9:$B$29,0))),""),""))</f>
        <v/>
      </c>
      <c r="AC1377" s="19" t="str">
        <f>IF($B1377="","",IFERROR(INDEX(Config!$D$9:$D$29,MATCH($B1377,Config!$B$9:$B$29,0))&amp;"",""))</f>
        <v/>
      </c>
    </row>
    <row r="1378">
      <c r="R1378" s="20" t="str">
        <f>IF($B1378="","",IFERROR(IF(INDEX(Config!$D$9:$D$29,MATCH($B1378,Config!$B$9:$B$29,0))="Contrato",IF(INDEX(Config!$E$9:$E$29,MATCH($B1378,Config!$B$9:$B$29,0))="","",INDEX(Config!$E$9:$E$29,MATCH($B1378,Config!$B$9:$B$29,0))),""),""))</f>
        <v/>
      </c>
      <c r="AC1378" s="19" t="str">
        <f>IF($B1378="","",IFERROR(INDEX(Config!$D$9:$D$29,MATCH($B1378,Config!$B$9:$B$29,0))&amp;"",""))</f>
        <v/>
      </c>
    </row>
    <row r="1379">
      <c r="R1379" s="20" t="str">
        <f>IF($B1379="","",IFERROR(IF(INDEX(Config!$D$9:$D$29,MATCH($B1379,Config!$B$9:$B$29,0))="Contrato",IF(INDEX(Config!$E$9:$E$29,MATCH($B1379,Config!$B$9:$B$29,0))="","",INDEX(Config!$E$9:$E$29,MATCH($B1379,Config!$B$9:$B$29,0))),""),""))</f>
        <v/>
      </c>
      <c r="AC1379" s="19" t="str">
        <f>IF($B1379="","",IFERROR(INDEX(Config!$D$9:$D$29,MATCH($B1379,Config!$B$9:$B$29,0))&amp;"",""))</f>
        <v/>
      </c>
    </row>
    <row r="1380">
      <c r="R1380" s="20" t="str">
        <f>IF($B1380="","",IFERROR(IF(INDEX(Config!$D$9:$D$29,MATCH($B1380,Config!$B$9:$B$29,0))="Contrato",IF(INDEX(Config!$E$9:$E$29,MATCH($B1380,Config!$B$9:$B$29,0))="","",INDEX(Config!$E$9:$E$29,MATCH($B1380,Config!$B$9:$B$29,0))),""),""))</f>
        <v/>
      </c>
      <c r="AC1380" s="19" t="str">
        <f>IF($B1380="","",IFERROR(INDEX(Config!$D$9:$D$29,MATCH($B1380,Config!$B$9:$B$29,0))&amp;"",""))</f>
        <v/>
      </c>
    </row>
    <row r="1381">
      <c r="R1381" s="20" t="str">
        <f>IF($B1381="","",IFERROR(IF(INDEX(Config!$D$9:$D$29,MATCH($B1381,Config!$B$9:$B$29,0))="Contrato",IF(INDEX(Config!$E$9:$E$29,MATCH($B1381,Config!$B$9:$B$29,0))="","",INDEX(Config!$E$9:$E$29,MATCH($B1381,Config!$B$9:$B$29,0))),""),""))</f>
        <v/>
      </c>
      <c r="AC1381" s="19" t="str">
        <f>IF($B1381="","",IFERROR(INDEX(Config!$D$9:$D$29,MATCH($B1381,Config!$B$9:$B$29,0))&amp;"",""))</f>
        <v/>
      </c>
    </row>
    <row r="1382">
      <c r="R1382" s="20" t="str">
        <f>IF($B1382="","",IFERROR(IF(INDEX(Config!$D$9:$D$29,MATCH($B1382,Config!$B$9:$B$29,0))="Contrato",IF(INDEX(Config!$E$9:$E$29,MATCH($B1382,Config!$B$9:$B$29,0))="","",INDEX(Config!$E$9:$E$29,MATCH($B1382,Config!$B$9:$B$29,0))),""),""))</f>
        <v/>
      </c>
      <c r="AC1382" s="19" t="str">
        <f>IF($B1382="","",IFERROR(INDEX(Config!$D$9:$D$29,MATCH($B1382,Config!$B$9:$B$29,0))&amp;"",""))</f>
        <v/>
      </c>
    </row>
    <row r="1383">
      <c r="R1383" s="20" t="str">
        <f>IF($B1383="","",IFERROR(IF(INDEX(Config!$D$9:$D$29,MATCH($B1383,Config!$B$9:$B$29,0))="Contrato",IF(INDEX(Config!$E$9:$E$29,MATCH($B1383,Config!$B$9:$B$29,0))="","",INDEX(Config!$E$9:$E$29,MATCH($B1383,Config!$B$9:$B$29,0))),""),""))</f>
        <v/>
      </c>
      <c r="AC1383" s="19" t="str">
        <f>IF($B1383="","",IFERROR(INDEX(Config!$D$9:$D$29,MATCH($B1383,Config!$B$9:$B$29,0))&amp;"",""))</f>
        <v/>
      </c>
    </row>
    <row r="1384">
      <c r="R1384" s="20" t="str">
        <f>IF($B1384="","",IFERROR(IF(INDEX(Config!$D$9:$D$29,MATCH($B1384,Config!$B$9:$B$29,0))="Contrato",IF(INDEX(Config!$E$9:$E$29,MATCH($B1384,Config!$B$9:$B$29,0))="","",INDEX(Config!$E$9:$E$29,MATCH($B1384,Config!$B$9:$B$29,0))),""),""))</f>
        <v/>
      </c>
      <c r="AC1384" s="19" t="str">
        <f>IF($B1384="","",IFERROR(INDEX(Config!$D$9:$D$29,MATCH($B1384,Config!$B$9:$B$29,0))&amp;"",""))</f>
        <v/>
      </c>
    </row>
    <row r="1385">
      <c r="R1385" s="20" t="str">
        <f>IF($B1385="","",IFERROR(IF(INDEX(Config!$D$9:$D$29,MATCH($B1385,Config!$B$9:$B$29,0))="Contrato",IF(INDEX(Config!$E$9:$E$29,MATCH($B1385,Config!$B$9:$B$29,0))="","",INDEX(Config!$E$9:$E$29,MATCH($B1385,Config!$B$9:$B$29,0))),""),""))</f>
        <v/>
      </c>
      <c r="AC1385" s="19" t="str">
        <f>IF($B1385="","",IFERROR(INDEX(Config!$D$9:$D$29,MATCH($B1385,Config!$B$9:$B$29,0))&amp;"",""))</f>
        <v/>
      </c>
    </row>
    <row r="1386">
      <c r="R1386" s="20" t="str">
        <f>IF($B1386="","",IFERROR(IF(INDEX(Config!$D$9:$D$29,MATCH($B1386,Config!$B$9:$B$29,0))="Contrato",IF(INDEX(Config!$E$9:$E$29,MATCH($B1386,Config!$B$9:$B$29,0))="","",INDEX(Config!$E$9:$E$29,MATCH($B1386,Config!$B$9:$B$29,0))),""),""))</f>
        <v/>
      </c>
      <c r="AC1386" s="19" t="str">
        <f>IF($B1386="","",IFERROR(INDEX(Config!$D$9:$D$29,MATCH($B1386,Config!$B$9:$B$29,0))&amp;"",""))</f>
        <v/>
      </c>
    </row>
    <row r="1387">
      <c r="R1387" s="20" t="str">
        <f>IF($B1387="","",IFERROR(IF(INDEX(Config!$D$9:$D$29,MATCH($B1387,Config!$B$9:$B$29,0))="Contrato",IF(INDEX(Config!$E$9:$E$29,MATCH($B1387,Config!$B$9:$B$29,0))="","",INDEX(Config!$E$9:$E$29,MATCH($B1387,Config!$B$9:$B$29,0))),""),""))</f>
        <v/>
      </c>
      <c r="AC1387" s="19" t="str">
        <f>IF($B1387="","",IFERROR(INDEX(Config!$D$9:$D$29,MATCH($B1387,Config!$B$9:$B$29,0))&amp;"",""))</f>
        <v/>
      </c>
    </row>
    <row r="1388">
      <c r="R1388" s="20" t="str">
        <f>IF($B1388="","",IFERROR(IF(INDEX(Config!$D$9:$D$29,MATCH($B1388,Config!$B$9:$B$29,0))="Contrato",IF(INDEX(Config!$E$9:$E$29,MATCH($B1388,Config!$B$9:$B$29,0))="","",INDEX(Config!$E$9:$E$29,MATCH($B1388,Config!$B$9:$B$29,0))),""),""))</f>
        <v/>
      </c>
      <c r="AC1388" s="19" t="str">
        <f>IF($B1388="","",IFERROR(INDEX(Config!$D$9:$D$29,MATCH($B1388,Config!$B$9:$B$29,0))&amp;"",""))</f>
        <v/>
      </c>
    </row>
    <row r="1389">
      <c r="R1389" s="20" t="str">
        <f>IF($B1389="","",IFERROR(IF(INDEX(Config!$D$9:$D$29,MATCH($B1389,Config!$B$9:$B$29,0))="Contrato",IF(INDEX(Config!$E$9:$E$29,MATCH($B1389,Config!$B$9:$B$29,0))="","",INDEX(Config!$E$9:$E$29,MATCH($B1389,Config!$B$9:$B$29,0))),""),""))</f>
        <v/>
      </c>
      <c r="AC1389" s="19" t="str">
        <f>IF($B1389="","",IFERROR(INDEX(Config!$D$9:$D$29,MATCH($B1389,Config!$B$9:$B$29,0))&amp;"",""))</f>
        <v/>
      </c>
    </row>
    <row r="1390">
      <c r="R1390" s="20" t="str">
        <f>IF($B1390="","",IFERROR(IF(INDEX(Config!$D$9:$D$29,MATCH($B1390,Config!$B$9:$B$29,0))="Contrato",IF(INDEX(Config!$E$9:$E$29,MATCH($B1390,Config!$B$9:$B$29,0))="","",INDEX(Config!$E$9:$E$29,MATCH($B1390,Config!$B$9:$B$29,0))),""),""))</f>
        <v/>
      </c>
      <c r="AC1390" s="19" t="str">
        <f>IF($B1390="","",IFERROR(INDEX(Config!$D$9:$D$29,MATCH($B1390,Config!$B$9:$B$29,0))&amp;"",""))</f>
        <v/>
      </c>
    </row>
    <row r="1391">
      <c r="R1391" s="20" t="str">
        <f>IF($B1391="","",IFERROR(IF(INDEX(Config!$D$9:$D$29,MATCH($B1391,Config!$B$9:$B$29,0))="Contrato",IF(INDEX(Config!$E$9:$E$29,MATCH($B1391,Config!$B$9:$B$29,0))="","",INDEX(Config!$E$9:$E$29,MATCH($B1391,Config!$B$9:$B$29,0))),""),""))</f>
        <v/>
      </c>
      <c r="AC1391" s="19" t="str">
        <f>IF($B1391="","",IFERROR(INDEX(Config!$D$9:$D$29,MATCH($B1391,Config!$B$9:$B$29,0))&amp;"",""))</f>
        <v/>
      </c>
    </row>
    <row r="1392">
      <c r="R1392" s="20" t="str">
        <f>IF($B1392="","",IFERROR(IF(INDEX(Config!$D$9:$D$29,MATCH($B1392,Config!$B$9:$B$29,0))="Contrato",IF(INDEX(Config!$E$9:$E$29,MATCH($B1392,Config!$B$9:$B$29,0))="","",INDEX(Config!$E$9:$E$29,MATCH($B1392,Config!$B$9:$B$29,0))),""),""))</f>
        <v/>
      </c>
      <c r="AC1392" s="19" t="str">
        <f>IF($B1392="","",IFERROR(INDEX(Config!$D$9:$D$29,MATCH($B1392,Config!$B$9:$B$29,0))&amp;"",""))</f>
        <v/>
      </c>
    </row>
    <row r="1393">
      <c r="R1393" s="20" t="str">
        <f>IF($B1393="","",IFERROR(IF(INDEX(Config!$D$9:$D$29,MATCH($B1393,Config!$B$9:$B$29,0))="Contrato",IF(INDEX(Config!$E$9:$E$29,MATCH($B1393,Config!$B$9:$B$29,0))="","",INDEX(Config!$E$9:$E$29,MATCH($B1393,Config!$B$9:$B$29,0))),""),""))</f>
        <v/>
      </c>
      <c r="AC1393" s="19" t="str">
        <f>IF($B1393="","",IFERROR(INDEX(Config!$D$9:$D$29,MATCH($B1393,Config!$B$9:$B$29,0))&amp;"",""))</f>
        <v/>
      </c>
    </row>
    <row r="1394">
      <c r="R1394" s="20" t="str">
        <f>IF($B1394="","",IFERROR(IF(INDEX(Config!$D$9:$D$29,MATCH($B1394,Config!$B$9:$B$29,0))="Contrato",IF(INDEX(Config!$E$9:$E$29,MATCH($B1394,Config!$B$9:$B$29,0))="","",INDEX(Config!$E$9:$E$29,MATCH($B1394,Config!$B$9:$B$29,0))),""),""))</f>
        <v/>
      </c>
      <c r="AC1394" s="19" t="str">
        <f>IF($B1394="","",IFERROR(INDEX(Config!$D$9:$D$29,MATCH($B1394,Config!$B$9:$B$29,0))&amp;"",""))</f>
        <v/>
      </c>
    </row>
    <row r="1395">
      <c r="R1395" s="20" t="str">
        <f>IF($B1395="","",IFERROR(IF(INDEX(Config!$D$9:$D$29,MATCH($B1395,Config!$B$9:$B$29,0))="Contrato",IF(INDEX(Config!$E$9:$E$29,MATCH($B1395,Config!$B$9:$B$29,0))="","",INDEX(Config!$E$9:$E$29,MATCH($B1395,Config!$B$9:$B$29,0))),""),""))</f>
        <v/>
      </c>
      <c r="AC1395" s="19" t="str">
        <f>IF($B1395="","",IFERROR(INDEX(Config!$D$9:$D$29,MATCH($B1395,Config!$B$9:$B$29,0))&amp;"",""))</f>
        <v/>
      </c>
    </row>
    <row r="1396">
      <c r="R1396" s="20" t="str">
        <f>IF($B1396="","",IFERROR(IF(INDEX(Config!$D$9:$D$29,MATCH($B1396,Config!$B$9:$B$29,0))="Contrato",IF(INDEX(Config!$E$9:$E$29,MATCH($B1396,Config!$B$9:$B$29,0))="","",INDEX(Config!$E$9:$E$29,MATCH($B1396,Config!$B$9:$B$29,0))),""),""))</f>
        <v/>
      </c>
      <c r="AC1396" s="19" t="str">
        <f>IF($B1396="","",IFERROR(INDEX(Config!$D$9:$D$29,MATCH($B1396,Config!$B$9:$B$29,0))&amp;"",""))</f>
        <v/>
      </c>
    </row>
    <row r="1397">
      <c r="R1397" s="20" t="str">
        <f>IF($B1397="","",IFERROR(IF(INDEX(Config!$D$9:$D$29,MATCH($B1397,Config!$B$9:$B$29,0))="Contrato",IF(INDEX(Config!$E$9:$E$29,MATCH($B1397,Config!$B$9:$B$29,0))="","",INDEX(Config!$E$9:$E$29,MATCH($B1397,Config!$B$9:$B$29,0))),""),""))</f>
        <v/>
      </c>
      <c r="AC1397" s="19" t="str">
        <f>IF($B1397="","",IFERROR(INDEX(Config!$D$9:$D$29,MATCH($B1397,Config!$B$9:$B$29,0))&amp;"",""))</f>
        <v/>
      </c>
    </row>
    <row r="1398">
      <c r="R1398" s="20" t="str">
        <f>IF($B1398="","",IFERROR(IF(INDEX(Config!$D$9:$D$29,MATCH($B1398,Config!$B$9:$B$29,0))="Contrato",IF(INDEX(Config!$E$9:$E$29,MATCH($B1398,Config!$B$9:$B$29,0))="","",INDEX(Config!$E$9:$E$29,MATCH($B1398,Config!$B$9:$B$29,0))),""),""))</f>
        <v/>
      </c>
      <c r="AC1398" s="19" t="str">
        <f>IF($B1398="","",IFERROR(INDEX(Config!$D$9:$D$29,MATCH($B1398,Config!$B$9:$B$29,0))&amp;"",""))</f>
        <v/>
      </c>
    </row>
    <row r="1399">
      <c r="R1399" s="20" t="str">
        <f>IF($B1399="","",IFERROR(IF(INDEX(Config!$D$9:$D$29,MATCH($B1399,Config!$B$9:$B$29,0))="Contrato",IF(INDEX(Config!$E$9:$E$29,MATCH($B1399,Config!$B$9:$B$29,0))="","",INDEX(Config!$E$9:$E$29,MATCH($B1399,Config!$B$9:$B$29,0))),""),""))</f>
        <v/>
      </c>
      <c r="AC1399" s="19" t="str">
        <f>IF($B1399="","",IFERROR(INDEX(Config!$D$9:$D$29,MATCH($B1399,Config!$B$9:$B$29,0))&amp;"",""))</f>
        <v/>
      </c>
    </row>
    <row r="1400">
      <c r="R1400" s="20" t="str">
        <f>IF($B1400="","",IFERROR(IF(INDEX(Config!$D$9:$D$29,MATCH($B1400,Config!$B$9:$B$29,0))="Contrato",IF(INDEX(Config!$E$9:$E$29,MATCH($B1400,Config!$B$9:$B$29,0))="","",INDEX(Config!$E$9:$E$29,MATCH($B1400,Config!$B$9:$B$29,0))),""),""))</f>
        <v/>
      </c>
      <c r="AC1400" s="19" t="str">
        <f>IF($B1400="","",IFERROR(INDEX(Config!$D$9:$D$29,MATCH($B1400,Config!$B$9:$B$29,0))&amp;"",""))</f>
        <v/>
      </c>
    </row>
    <row r="1401">
      <c r="R1401" s="20" t="str">
        <f>IF($B1401="","",IFERROR(IF(INDEX(Config!$D$9:$D$29,MATCH($B1401,Config!$B$9:$B$29,0))="Contrato",IF(INDEX(Config!$E$9:$E$29,MATCH($B1401,Config!$B$9:$B$29,0))="","",INDEX(Config!$E$9:$E$29,MATCH($B1401,Config!$B$9:$B$29,0))),""),""))</f>
        <v/>
      </c>
      <c r="AC1401" s="19" t="str">
        <f>IF($B1401="","",IFERROR(INDEX(Config!$D$9:$D$29,MATCH($B1401,Config!$B$9:$B$29,0))&amp;"",""))</f>
        <v/>
      </c>
    </row>
    <row r="1402">
      <c r="R1402" s="20" t="str">
        <f>IF($B1402="","",IFERROR(IF(INDEX(Config!$D$9:$D$29,MATCH($B1402,Config!$B$9:$B$29,0))="Contrato",IF(INDEX(Config!$E$9:$E$29,MATCH($B1402,Config!$B$9:$B$29,0))="","",INDEX(Config!$E$9:$E$29,MATCH($B1402,Config!$B$9:$B$29,0))),""),""))</f>
        <v/>
      </c>
      <c r="AC1402" s="19" t="str">
        <f>IF($B1402="","",IFERROR(INDEX(Config!$D$9:$D$29,MATCH($B1402,Config!$B$9:$B$29,0))&amp;"",""))</f>
        <v/>
      </c>
    </row>
    <row r="1403">
      <c r="R1403" s="20" t="str">
        <f>IF($B1403="","",IFERROR(IF(INDEX(Config!$D$9:$D$29,MATCH($B1403,Config!$B$9:$B$29,0))="Contrato",IF(INDEX(Config!$E$9:$E$29,MATCH($B1403,Config!$B$9:$B$29,0))="","",INDEX(Config!$E$9:$E$29,MATCH($B1403,Config!$B$9:$B$29,0))),""),""))</f>
        <v/>
      </c>
      <c r="AC1403" s="19" t="str">
        <f>IF($B1403="","",IFERROR(INDEX(Config!$D$9:$D$29,MATCH($B1403,Config!$B$9:$B$29,0))&amp;"",""))</f>
        <v/>
      </c>
    </row>
    <row r="1404">
      <c r="R1404" s="20" t="str">
        <f>IF($B1404="","",IFERROR(IF(INDEX(Config!$D$9:$D$29,MATCH($B1404,Config!$B$9:$B$29,0))="Contrato",IF(INDEX(Config!$E$9:$E$29,MATCH($B1404,Config!$B$9:$B$29,0))="","",INDEX(Config!$E$9:$E$29,MATCH($B1404,Config!$B$9:$B$29,0))),""),""))</f>
        <v/>
      </c>
      <c r="AC1404" s="19" t="str">
        <f>IF($B1404="","",IFERROR(INDEX(Config!$D$9:$D$29,MATCH($B1404,Config!$B$9:$B$29,0))&amp;"",""))</f>
        <v/>
      </c>
    </row>
    <row r="1405">
      <c r="R1405" s="20" t="str">
        <f>IF($B1405="","",IFERROR(IF(INDEX(Config!$D$9:$D$29,MATCH($B1405,Config!$B$9:$B$29,0))="Contrato",IF(INDEX(Config!$E$9:$E$29,MATCH($B1405,Config!$B$9:$B$29,0))="","",INDEX(Config!$E$9:$E$29,MATCH($B1405,Config!$B$9:$B$29,0))),""),""))</f>
        <v/>
      </c>
      <c r="AC1405" s="19" t="str">
        <f>IF($B1405="","",IFERROR(INDEX(Config!$D$9:$D$29,MATCH($B1405,Config!$B$9:$B$29,0))&amp;"",""))</f>
        <v/>
      </c>
    </row>
    <row r="1406">
      <c r="R1406" s="20" t="str">
        <f>IF($B1406="","",IFERROR(IF(INDEX(Config!$D$9:$D$29,MATCH($B1406,Config!$B$9:$B$29,0))="Contrato",IF(INDEX(Config!$E$9:$E$29,MATCH($B1406,Config!$B$9:$B$29,0))="","",INDEX(Config!$E$9:$E$29,MATCH($B1406,Config!$B$9:$B$29,0))),""),""))</f>
        <v/>
      </c>
      <c r="AC1406" s="19" t="str">
        <f>IF($B1406="","",IFERROR(INDEX(Config!$D$9:$D$29,MATCH($B1406,Config!$B$9:$B$29,0))&amp;"",""))</f>
        <v/>
      </c>
    </row>
    <row r="1407">
      <c r="R1407" s="20" t="str">
        <f>IF($B1407="","",IFERROR(IF(INDEX(Config!$D$9:$D$29,MATCH($B1407,Config!$B$9:$B$29,0))="Contrato",IF(INDEX(Config!$E$9:$E$29,MATCH($B1407,Config!$B$9:$B$29,0))="","",INDEX(Config!$E$9:$E$29,MATCH($B1407,Config!$B$9:$B$29,0))),""),""))</f>
        <v/>
      </c>
      <c r="AC1407" s="19" t="str">
        <f>IF($B1407="","",IFERROR(INDEX(Config!$D$9:$D$29,MATCH($B1407,Config!$B$9:$B$29,0))&amp;"",""))</f>
        <v/>
      </c>
    </row>
    <row r="1408">
      <c r="R1408" s="20" t="str">
        <f>IF($B1408="","",IFERROR(IF(INDEX(Config!$D$9:$D$29,MATCH($B1408,Config!$B$9:$B$29,0))="Contrato",IF(INDEX(Config!$E$9:$E$29,MATCH($B1408,Config!$B$9:$B$29,0))="","",INDEX(Config!$E$9:$E$29,MATCH($B1408,Config!$B$9:$B$29,0))),""),""))</f>
        <v/>
      </c>
      <c r="AC1408" s="19" t="str">
        <f>IF($B1408="","",IFERROR(INDEX(Config!$D$9:$D$29,MATCH($B1408,Config!$B$9:$B$29,0))&amp;"",""))</f>
        <v/>
      </c>
    </row>
    <row r="1409">
      <c r="R1409" s="20" t="str">
        <f>IF($B1409="","",IFERROR(IF(INDEX(Config!$D$9:$D$29,MATCH($B1409,Config!$B$9:$B$29,0))="Contrato",IF(INDEX(Config!$E$9:$E$29,MATCH($B1409,Config!$B$9:$B$29,0))="","",INDEX(Config!$E$9:$E$29,MATCH($B1409,Config!$B$9:$B$29,0))),""),""))</f>
        <v/>
      </c>
      <c r="AC1409" s="19" t="str">
        <f>IF($B1409="","",IFERROR(INDEX(Config!$D$9:$D$29,MATCH($B1409,Config!$B$9:$B$29,0))&amp;"",""))</f>
        <v/>
      </c>
    </row>
    <row r="1410">
      <c r="R1410" s="20" t="str">
        <f>IF($B1410="","",IFERROR(IF(INDEX(Config!$D$9:$D$29,MATCH($B1410,Config!$B$9:$B$29,0))="Contrato",IF(INDEX(Config!$E$9:$E$29,MATCH($B1410,Config!$B$9:$B$29,0))="","",INDEX(Config!$E$9:$E$29,MATCH($B1410,Config!$B$9:$B$29,0))),""),""))</f>
        <v/>
      </c>
      <c r="AC1410" s="19" t="str">
        <f>IF($B1410="","",IFERROR(INDEX(Config!$D$9:$D$29,MATCH($B1410,Config!$B$9:$B$29,0))&amp;"",""))</f>
        <v/>
      </c>
    </row>
    <row r="1411">
      <c r="R1411" s="20" t="str">
        <f>IF($B1411="","",IFERROR(IF(INDEX(Config!$D$9:$D$29,MATCH($B1411,Config!$B$9:$B$29,0))="Contrato",IF(INDEX(Config!$E$9:$E$29,MATCH($B1411,Config!$B$9:$B$29,0))="","",INDEX(Config!$E$9:$E$29,MATCH($B1411,Config!$B$9:$B$29,0))),""),""))</f>
        <v/>
      </c>
      <c r="AC1411" s="19" t="str">
        <f>IF($B1411="","",IFERROR(INDEX(Config!$D$9:$D$29,MATCH($B1411,Config!$B$9:$B$29,0))&amp;"",""))</f>
        <v/>
      </c>
    </row>
    <row r="1412">
      <c r="R1412" s="20" t="str">
        <f>IF($B1412="","",IFERROR(IF(INDEX(Config!$D$9:$D$29,MATCH($B1412,Config!$B$9:$B$29,0))="Contrato",IF(INDEX(Config!$E$9:$E$29,MATCH($B1412,Config!$B$9:$B$29,0))="","",INDEX(Config!$E$9:$E$29,MATCH($B1412,Config!$B$9:$B$29,0))),""),""))</f>
        <v/>
      </c>
      <c r="AC1412" s="19" t="str">
        <f>IF($B1412="","",IFERROR(INDEX(Config!$D$9:$D$29,MATCH($B1412,Config!$B$9:$B$29,0))&amp;"",""))</f>
        <v/>
      </c>
    </row>
    <row r="1413">
      <c r="R1413" s="20" t="str">
        <f>IF($B1413="","",IFERROR(IF(INDEX(Config!$D$9:$D$29,MATCH($B1413,Config!$B$9:$B$29,0))="Contrato",IF(INDEX(Config!$E$9:$E$29,MATCH($B1413,Config!$B$9:$B$29,0))="","",INDEX(Config!$E$9:$E$29,MATCH($B1413,Config!$B$9:$B$29,0))),""),""))</f>
        <v/>
      </c>
      <c r="AC1413" s="19" t="str">
        <f>IF($B1413="","",IFERROR(INDEX(Config!$D$9:$D$29,MATCH($B1413,Config!$B$9:$B$29,0))&amp;"",""))</f>
        <v/>
      </c>
    </row>
    <row r="1414">
      <c r="R1414" s="20" t="str">
        <f>IF($B1414="","",IFERROR(IF(INDEX(Config!$D$9:$D$29,MATCH($B1414,Config!$B$9:$B$29,0))="Contrato",IF(INDEX(Config!$E$9:$E$29,MATCH($B1414,Config!$B$9:$B$29,0))="","",INDEX(Config!$E$9:$E$29,MATCH($B1414,Config!$B$9:$B$29,0))),""),""))</f>
        <v/>
      </c>
      <c r="AC1414" s="19" t="str">
        <f>IF($B1414="","",IFERROR(INDEX(Config!$D$9:$D$29,MATCH($B1414,Config!$B$9:$B$29,0))&amp;"",""))</f>
        <v/>
      </c>
    </row>
    <row r="1415">
      <c r="R1415" s="20" t="str">
        <f>IF($B1415="","",IFERROR(IF(INDEX(Config!$D$9:$D$29,MATCH($B1415,Config!$B$9:$B$29,0))="Contrato",IF(INDEX(Config!$E$9:$E$29,MATCH($B1415,Config!$B$9:$B$29,0))="","",INDEX(Config!$E$9:$E$29,MATCH($B1415,Config!$B$9:$B$29,0))),""),""))</f>
        <v/>
      </c>
      <c r="AC1415" s="19" t="str">
        <f>IF($B1415="","",IFERROR(INDEX(Config!$D$9:$D$29,MATCH($B1415,Config!$B$9:$B$29,0))&amp;"",""))</f>
        <v/>
      </c>
    </row>
    <row r="1416">
      <c r="R1416" s="20" t="str">
        <f>IF($B1416="","",IFERROR(IF(INDEX(Config!$D$9:$D$29,MATCH($B1416,Config!$B$9:$B$29,0))="Contrato",IF(INDEX(Config!$E$9:$E$29,MATCH($B1416,Config!$B$9:$B$29,0))="","",INDEX(Config!$E$9:$E$29,MATCH($B1416,Config!$B$9:$B$29,0))),""),""))</f>
        <v/>
      </c>
      <c r="AC1416" s="19" t="str">
        <f>IF($B1416="","",IFERROR(INDEX(Config!$D$9:$D$29,MATCH($B1416,Config!$B$9:$B$29,0))&amp;"",""))</f>
        <v/>
      </c>
    </row>
    <row r="1417">
      <c r="R1417" s="20" t="str">
        <f>IF($B1417="","",IFERROR(IF(INDEX(Config!$D$9:$D$29,MATCH($B1417,Config!$B$9:$B$29,0))="Contrato",IF(INDEX(Config!$E$9:$E$29,MATCH($B1417,Config!$B$9:$B$29,0))="","",INDEX(Config!$E$9:$E$29,MATCH($B1417,Config!$B$9:$B$29,0))),""),""))</f>
        <v/>
      </c>
      <c r="AC1417" s="19" t="str">
        <f>IF($B1417="","",IFERROR(INDEX(Config!$D$9:$D$29,MATCH($B1417,Config!$B$9:$B$29,0))&amp;"",""))</f>
        <v/>
      </c>
    </row>
    <row r="1418">
      <c r="R1418" s="20" t="str">
        <f>IF($B1418="","",IFERROR(IF(INDEX(Config!$D$9:$D$29,MATCH($B1418,Config!$B$9:$B$29,0))="Contrato",IF(INDEX(Config!$E$9:$E$29,MATCH($B1418,Config!$B$9:$B$29,0))="","",INDEX(Config!$E$9:$E$29,MATCH($B1418,Config!$B$9:$B$29,0))),""),""))</f>
        <v/>
      </c>
      <c r="AC1418" s="19" t="str">
        <f>IF($B1418="","",IFERROR(INDEX(Config!$D$9:$D$29,MATCH($B1418,Config!$B$9:$B$29,0))&amp;"",""))</f>
        <v/>
      </c>
    </row>
    <row r="1419">
      <c r="R1419" s="20" t="str">
        <f>IF($B1419="","",IFERROR(IF(INDEX(Config!$D$9:$D$29,MATCH($B1419,Config!$B$9:$B$29,0))="Contrato",IF(INDEX(Config!$E$9:$E$29,MATCH($B1419,Config!$B$9:$B$29,0))="","",INDEX(Config!$E$9:$E$29,MATCH($B1419,Config!$B$9:$B$29,0))),""),""))</f>
        <v/>
      </c>
      <c r="AC1419" s="19" t="str">
        <f>IF($B1419="","",IFERROR(INDEX(Config!$D$9:$D$29,MATCH($B1419,Config!$B$9:$B$29,0))&amp;"",""))</f>
        <v/>
      </c>
    </row>
    <row r="1420">
      <c r="R1420" s="20" t="str">
        <f>IF($B1420="","",IFERROR(IF(INDEX(Config!$D$9:$D$29,MATCH($B1420,Config!$B$9:$B$29,0))="Contrato",IF(INDEX(Config!$E$9:$E$29,MATCH($B1420,Config!$B$9:$B$29,0))="","",INDEX(Config!$E$9:$E$29,MATCH($B1420,Config!$B$9:$B$29,0))),""),""))</f>
        <v/>
      </c>
      <c r="AC1420" s="19" t="str">
        <f>IF($B1420="","",IFERROR(INDEX(Config!$D$9:$D$29,MATCH($B1420,Config!$B$9:$B$29,0))&amp;"",""))</f>
        <v/>
      </c>
    </row>
    <row r="1421">
      <c r="R1421" s="20" t="str">
        <f>IF($B1421="","",IFERROR(IF(INDEX(Config!$D$9:$D$29,MATCH($B1421,Config!$B$9:$B$29,0))="Contrato",IF(INDEX(Config!$E$9:$E$29,MATCH($B1421,Config!$B$9:$B$29,0))="","",INDEX(Config!$E$9:$E$29,MATCH($B1421,Config!$B$9:$B$29,0))),""),""))</f>
        <v/>
      </c>
      <c r="AC1421" s="19" t="str">
        <f>IF($B1421="","",IFERROR(INDEX(Config!$D$9:$D$29,MATCH($B1421,Config!$B$9:$B$29,0))&amp;"",""))</f>
        <v/>
      </c>
    </row>
    <row r="1422">
      <c r="R1422" s="20" t="str">
        <f>IF($B1422="","",IFERROR(IF(INDEX(Config!$D$9:$D$29,MATCH($B1422,Config!$B$9:$B$29,0))="Contrato",IF(INDEX(Config!$E$9:$E$29,MATCH($B1422,Config!$B$9:$B$29,0))="","",INDEX(Config!$E$9:$E$29,MATCH($B1422,Config!$B$9:$B$29,0))),""),""))</f>
        <v/>
      </c>
      <c r="AC1422" s="19" t="str">
        <f>IF($B1422="","",IFERROR(INDEX(Config!$D$9:$D$29,MATCH($B1422,Config!$B$9:$B$29,0))&amp;"",""))</f>
        <v/>
      </c>
    </row>
    <row r="1423">
      <c r="R1423" s="20" t="str">
        <f>IF($B1423="","",IFERROR(IF(INDEX(Config!$D$9:$D$29,MATCH($B1423,Config!$B$9:$B$29,0))="Contrato",IF(INDEX(Config!$E$9:$E$29,MATCH($B1423,Config!$B$9:$B$29,0))="","",INDEX(Config!$E$9:$E$29,MATCH($B1423,Config!$B$9:$B$29,0))),""),""))</f>
        <v/>
      </c>
      <c r="AC1423" s="19" t="str">
        <f>IF($B1423="","",IFERROR(INDEX(Config!$D$9:$D$29,MATCH($B1423,Config!$B$9:$B$29,0))&amp;"",""))</f>
        <v/>
      </c>
    </row>
    <row r="1424">
      <c r="R1424" s="20" t="str">
        <f>IF($B1424="","",IFERROR(IF(INDEX(Config!$D$9:$D$29,MATCH($B1424,Config!$B$9:$B$29,0))="Contrato",IF(INDEX(Config!$E$9:$E$29,MATCH($B1424,Config!$B$9:$B$29,0))="","",INDEX(Config!$E$9:$E$29,MATCH($B1424,Config!$B$9:$B$29,0))),""),""))</f>
        <v/>
      </c>
      <c r="AC1424" s="19" t="str">
        <f>IF($B1424="","",IFERROR(INDEX(Config!$D$9:$D$29,MATCH($B1424,Config!$B$9:$B$29,0))&amp;"",""))</f>
        <v/>
      </c>
    </row>
    <row r="1425">
      <c r="R1425" s="20" t="str">
        <f>IF($B1425="","",IFERROR(IF(INDEX(Config!$D$9:$D$29,MATCH($B1425,Config!$B$9:$B$29,0))="Contrato",IF(INDEX(Config!$E$9:$E$29,MATCH($B1425,Config!$B$9:$B$29,0))="","",INDEX(Config!$E$9:$E$29,MATCH($B1425,Config!$B$9:$B$29,0))),""),""))</f>
        <v/>
      </c>
      <c r="AC1425" s="19" t="str">
        <f>IF($B1425="","",IFERROR(INDEX(Config!$D$9:$D$29,MATCH($B1425,Config!$B$9:$B$29,0))&amp;"",""))</f>
        <v/>
      </c>
    </row>
    <row r="1426">
      <c r="R1426" s="20" t="str">
        <f>IF($B1426="","",IFERROR(IF(INDEX(Config!$D$9:$D$29,MATCH($B1426,Config!$B$9:$B$29,0))="Contrato",IF(INDEX(Config!$E$9:$E$29,MATCH($B1426,Config!$B$9:$B$29,0))="","",INDEX(Config!$E$9:$E$29,MATCH($B1426,Config!$B$9:$B$29,0))),""),""))</f>
        <v/>
      </c>
      <c r="AC1426" s="19" t="str">
        <f>IF($B1426="","",IFERROR(INDEX(Config!$D$9:$D$29,MATCH($B1426,Config!$B$9:$B$29,0))&amp;"",""))</f>
        <v/>
      </c>
    </row>
    <row r="1427">
      <c r="R1427" s="20" t="str">
        <f>IF($B1427="","",IFERROR(IF(INDEX(Config!$D$9:$D$29,MATCH($B1427,Config!$B$9:$B$29,0))="Contrato",IF(INDEX(Config!$E$9:$E$29,MATCH($B1427,Config!$B$9:$B$29,0))="","",INDEX(Config!$E$9:$E$29,MATCH($B1427,Config!$B$9:$B$29,0))),""),""))</f>
        <v/>
      </c>
      <c r="AC1427" s="19" t="str">
        <f>IF($B1427="","",IFERROR(INDEX(Config!$D$9:$D$29,MATCH($B1427,Config!$B$9:$B$29,0))&amp;"",""))</f>
        <v/>
      </c>
    </row>
    <row r="1428">
      <c r="R1428" s="20" t="str">
        <f>IF($B1428="","",IFERROR(IF(INDEX(Config!$D$9:$D$29,MATCH($B1428,Config!$B$9:$B$29,0))="Contrato",IF(INDEX(Config!$E$9:$E$29,MATCH($B1428,Config!$B$9:$B$29,0))="","",INDEX(Config!$E$9:$E$29,MATCH($B1428,Config!$B$9:$B$29,0))),""),""))</f>
        <v/>
      </c>
      <c r="AC1428" s="19" t="str">
        <f>IF($B1428="","",IFERROR(INDEX(Config!$D$9:$D$29,MATCH($B1428,Config!$B$9:$B$29,0))&amp;"",""))</f>
        <v/>
      </c>
    </row>
    <row r="1429">
      <c r="R1429" s="20" t="str">
        <f>IF($B1429="","",IFERROR(IF(INDEX(Config!$D$9:$D$29,MATCH($B1429,Config!$B$9:$B$29,0))="Contrato",IF(INDEX(Config!$E$9:$E$29,MATCH($B1429,Config!$B$9:$B$29,0))="","",INDEX(Config!$E$9:$E$29,MATCH($B1429,Config!$B$9:$B$29,0))),""),""))</f>
        <v/>
      </c>
      <c r="AC1429" s="19" t="str">
        <f>IF($B1429="","",IFERROR(INDEX(Config!$D$9:$D$29,MATCH($B1429,Config!$B$9:$B$29,0))&amp;"",""))</f>
        <v/>
      </c>
    </row>
    <row r="1430">
      <c r="R1430" s="20" t="str">
        <f>IF($B1430="","",IFERROR(IF(INDEX(Config!$D$9:$D$29,MATCH($B1430,Config!$B$9:$B$29,0))="Contrato",IF(INDEX(Config!$E$9:$E$29,MATCH($B1430,Config!$B$9:$B$29,0))="","",INDEX(Config!$E$9:$E$29,MATCH($B1430,Config!$B$9:$B$29,0))),""),""))</f>
        <v/>
      </c>
      <c r="AC1430" s="19" t="str">
        <f>IF($B1430="","",IFERROR(INDEX(Config!$D$9:$D$29,MATCH($B1430,Config!$B$9:$B$29,0))&amp;"",""))</f>
        <v/>
      </c>
    </row>
    <row r="1431">
      <c r="R1431" s="20" t="str">
        <f>IF($B1431="","",IFERROR(IF(INDEX(Config!$D$9:$D$29,MATCH($B1431,Config!$B$9:$B$29,0))="Contrato",IF(INDEX(Config!$E$9:$E$29,MATCH($B1431,Config!$B$9:$B$29,0))="","",INDEX(Config!$E$9:$E$29,MATCH($B1431,Config!$B$9:$B$29,0))),""),""))</f>
        <v/>
      </c>
      <c r="AC1431" s="19" t="str">
        <f>IF($B1431="","",IFERROR(INDEX(Config!$D$9:$D$29,MATCH($B1431,Config!$B$9:$B$29,0))&amp;"",""))</f>
        <v/>
      </c>
    </row>
    <row r="1432">
      <c r="R1432" s="20" t="str">
        <f>IF($B1432="","",IFERROR(IF(INDEX(Config!$D$9:$D$29,MATCH($B1432,Config!$B$9:$B$29,0))="Contrato",IF(INDEX(Config!$E$9:$E$29,MATCH($B1432,Config!$B$9:$B$29,0))="","",INDEX(Config!$E$9:$E$29,MATCH($B1432,Config!$B$9:$B$29,0))),""),""))</f>
        <v/>
      </c>
      <c r="AC1432" s="19" t="str">
        <f>IF($B1432="","",IFERROR(INDEX(Config!$D$9:$D$29,MATCH($B1432,Config!$B$9:$B$29,0))&amp;"",""))</f>
        <v/>
      </c>
    </row>
    <row r="1433">
      <c r="R1433" s="20" t="str">
        <f>IF($B1433="","",IFERROR(IF(INDEX(Config!$D$9:$D$29,MATCH($B1433,Config!$B$9:$B$29,0))="Contrato",IF(INDEX(Config!$E$9:$E$29,MATCH($B1433,Config!$B$9:$B$29,0))="","",INDEX(Config!$E$9:$E$29,MATCH($B1433,Config!$B$9:$B$29,0))),""),""))</f>
        <v/>
      </c>
      <c r="AC1433" s="19" t="str">
        <f>IF($B1433="","",IFERROR(INDEX(Config!$D$9:$D$29,MATCH($B1433,Config!$B$9:$B$29,0))&amp;"",""))</f>
        <v/>
      </c>
    </row>
    <row r="1434">
      <c r="R1434" s="20" t="str">
        <f>IF($B1434="","",IFERROR(IF(INDEX(Config!$D$9:$D$29,MATCH($B1434,Config!$B$9:$B$29,0))="Contrato",IF(INDEX(Config!$E$9:$E$29,MATCH($B1434,Config!$B$9:$B$29,0))="","",INDEX(Config!$E$9:$E$29,MATCH($B1434,Config!$B$9:$B$29,0))),""),""))</f>
        <v/>
      </c>
      <c r="AC1434" s="19" t="str">
        <f>IF($B1434="","",IFERROR(INDEX(Config!$D$9:$D$29,MATCH($B1434,Config!$B$9:$B$29,0))&amp;"",""))</f>
        <v/>
      </c>
    </row>
    <row r="1435">
      <c r="R1435" s="20" t="str">
        <f>IF($B1435="","",IFERROR(IF(INDEX(Config!$D$9:$D$29,MATCH($B1435,Config!$B$9:$B$29,0))="Contrato",IF(INDEX(Config!$E$9:$E$29,MATCH($B1435,Config!$B$9:$B$29,0))="","",INDEX(Config!$E$9:$E$29,MATCH($B1435,Config!$B$9:$B$29,0))),""),""))</f>
        <v/>
      </c>
      <c r="AC1435" s="19" t="str">
        <f>IF($B1435="","",IFERROR(INDEX(Config!$D$9:$D$29,MATCH($B1435,Config!$B$9:$B$29,0))&amp;"",""))</f>
        <v/>
      </c>
    </row>
    <row r="1436">
      <c r="R1436" s="20" t="str">
        <f>IF($B1436="","",IFERROR(IF(INDEX(Config!$D$9:$D$29,MATCH($B1436,Config!$B$9:$B$29,0))="Contrato",IF(INDEX(Config!$E$9:$E$29,MATCH($B1436,Config!$B$9:$B$29,0))="","",INDEX(Config!$E$9:$E$29,MATCH($B1436,Config!$B$9:$B$29,0))),""),""))</f>
        <v/>
      </c>
      <c r="AC1436" s="19" t="str">
        <f>IF($B1436="","",IFERROR(INDEX(Config!$D$9:$D$29,MATCH($B1436,Config!$B$9:$B$29,0))&amp;"",""))</f>
        <v/>
      </c>
    </row>
    <row r="1437">
      <c r="R1437" s="20" t="str">
        <f>IF($B1437="","",IFERROR(IF(INDEX(Config!$D$9:$D$29,MATCH($B1437,Config!$B$9:$B$29,0))="Contrato",IF(INDEX(Config!$E$9:$E$29,MATCH($B1437,Config!$B$9:$B$29,0))="","",INDEX(Config!$E$9:$E$29,MATCH($B1437,Config!$B$9:$B$29,0))),""),""))</f>
        <v/>
      </c>
      <c r="AC1437" s="19" t="str">
        <f>IF($B1437="","",IFERROR(INDEX(Config!$D$9:$D$29,MATCH($B1437,Config!$B$9:$B$29,0))&amp;"",""))</f>
        <v/>
      </c>
    </row>
    <row r="1438">
      <c r="R1438" s="20" t="str">
        <f>IF($B1438="","",IFERROR(IF(INDEX(Config!$D$9:$D$29,MATCH($B1438,Config!$B$9:$B$29,0))="Contrato",IF(INDEX(Config!$E$9:$E$29,MATCH($B1438,Config!$B$9:$B$29,0))="","",INDEX(Config!$E$9:$E$29,MATCH($B1438,Config!$B$9:$B$29,0))),""),""))</f>
        <v/>
      </c>
      <c r="AC1438" s="19" t="str">
        <f>IF($B1438="","",IFERROR(INDEX(Config!$D$9:$D$29,MATCH($B1438,Config!$B$9:$B$29,0))&amp;"",""))</f>
        <v/>
      </c>
    </row>
    <row r="1439">
      <c r="R1439" s="20" t="str">
        <f>IF($B1439="","",IFERROR(IF(INDEX(Config!$D$9:$D$29,MATCH($B1439,Config!$B$9:$B$29,0))="Contrato",IF(INDEX(Config!$E$9:$E$29,MATCH($B1439,Config!$B$9:$B$29,0))="","",INDEX(Config!$E$9:$E$29,MATCH($B1439,Config!$B$9:$B$29,0))),""),""))</f>
        <v/>
      </c>
      <c r="AC1439" s="19" t="str">
        <f>IF($B1439="","",IFERROR(INDEX(Config!$D$9:$D$29,MATCH($B1439,Config!$B$9:$B$29,0))&amp;"",""))</f>
        <v/>
      </c>
    </row>
    <row r="1440">
      <c r="R1440" s="20" t="str">
        <f>IF($B1440="","",IFERROR(IF(INDEX(Config!$D$9:$D$29,MATCH($B1440,Config!$B$9:$B$29,0))="Contrato",IF(INDEX(Config!$E$9:$E$29,MATCH($B1440,Config!$B$9:$B$29,0))="","",INDEX(Config!$E$9:$E$29,MATCH($B1440,Config!$B$9:$B$29,0))),""),""))</f>
        <v/>
      </c>
      <c r="AC1440" s="19" t="str">
        <f>IF($B1440="","",IFERROR(INDEX(Config!$D$9:$D$29,MATCH($B1440,Config!$B$9:$B$29,0))&amp;"",""))</f>
        <v/>
      </c>
    </row>
    <row r="1441">
      <c r="R1441" s="20" t="str">
        <f>IF($B1441="","",IFERROR(IF(INDEX(Config!$D$9:$D$29,MATCH($B1441,Config!$B$9:$B$29,0))="Contrato",IF(INDEX(Config!$E$9:$E$29,MATCH($B1441,Config!$B$9:$B$29,0))="","",INDEX(Config!$E$9:$E$29,MATCH($B1441,Config!$B$9:$B$29,0))),""),""))</f>
        <v/>
      </c>
      <c r="AC1441" s="19" t="str">
        <f>IF($B1441="","",IFERROR(INDEX(Config!$D$9:$D$29,MATCH($B1441,Config!$B$9:$B$29,0))&amp;"",""))</f>
        <v/>
      </c>
    </row>
    <row r="1442">
      <c r="R1442" s="20" t="str">
        <f>IF($B1442="","",IFERROR(IF(INDEX(Config!$D$9:$D$29,MATCH($B1442,Config!$B$9:$B$29,0))="Contrato",IF(INDEX(Config!$E$9:$E$29,MATCH($B1442,Config!$B$9:$B$29,0))="","",INDEX(Config!$E$9:$E$29,MATCH($B1442,Config!$B$9:$B$29,0))),""),""))</f>
        <v/>
      </c>
      <c r="AC1442" s="19" t="str">
        <f>IF($B1442="","",IFERROR(INDEX(Config!$D$9:$D$29,MATCH($B1442,Config!$B$9:$B$29,0))&amp;"",""))</f>
        <v/>
      </c>
    </row>
    <row r="1443">
      <c r="R1443" s="20" t="str">
        <f>IF($B1443="","",IFERROR(IF(INDEX(Config!$D$9:$D$29,MATCH($B1443,Config!$B$9:$B$29,0))="Contrato",IF(INDEX(Config!$E$9:$E$29,MATCH($B1443,Config!$B$9:$B$29,0))="","",INDEX(Config!$E$9:$E$29,MATCH($B1443,Config!$B$9:$B$29,0))),""),""))</f>
        <v/>
      </c>
      <c r="AC1443" s="19" t="str">
        <f>IF($B1443="","",IFERROR(INDEX(Config!$D$9:$D$29,MATCH($B1443,Config!$B$9:$B$29,0))&amp;"",""))</f>
        <v/>
      </c>
    </row>
    <row r="1444">
      <c r="R1444" s="20" t="str">
        <f>IF($B1444="","",IFERROR(IF(INDEX(Config!$D$9:$D$29,MATCH($B1444,Config!$B$9:$B$29,0))="Contrato",IF(INDEX(Config!$E$9:$E$29,MATCH($B1444,Config!$B$9:$B$29,0))="","",INDEX(Config!$E$9:$E$29,MATCH($B1444,Config!$B$9:$B$29,0))),""),""))</f>
        <v/>
      </c>
      <c r="AC1444" s="19" t="str">
        <f>IF($B1444="","",IFERROR(INDEX(Config!$D$9:$D$29,MATCH($B1444,Config!$B$9:$B$29,0))&amp;"",""))</f>
        <v/>
      </c>
    </row>
    <row r="1445">
      <c r="R1445" s="20" t="str">
        <f>IF($B1445="","",IFERROR(IF(INDEX(Config!$D$9:$D$29,MATCH($B1445,Config!$B$9:$B$29,0))="Contrato",IF(INDEX(Config!$E$9:$E$29,MATCH($B1445,Config!$B$9:$B$29,0))="","",INDEX(Config!$E$9:$E$29,MATCH($B1445,Config!$B$9:$B$29,0))),""),""))</f>
        <v/>
      </c>
      <c r="AC1445" s="19" t="str">
        <f>IF($B1445="","",IFERROR(INDEX(Config!$D$9:$D$29,MATCH($B1445,Config!$B$9:$B$29,0))&amp;"",""))</f>
        <v/>
      </c>
    </row>
    <row r="1446">
      <c r="R1446" s="20" t="str">
        <f>IF($B1446="","",IFERROR(IF(INDEX(Config!$D$9:$D$29,MATCH($B1446,Config!$B$9:$B$29,0))="Contrato",IF(INDEX(Config!$E$9:$E$29,MATCH($B1446,Config!$B$9:$B$29,0))="","",INDEX(Config!$E$9:$E$29,MATCH($B1446,Config!$B$9:$B$29,0))),""),""))</f>
        <v/>
      </c>
      <c r="AC1446" s="19" t="str">
        <f>IF($B1446="","",IFERROR(INDEX(Config!$D$9:$D$29,MATCH($B1446,Config!$B$9:$B$29,0))&amp;"",""))</f>
        <v/>
      </c>
    </row>
    <row r="1447">
      <c r="R1447" s="20" t="str">
        <f>IF($B1447="","",IFERROR(IF(INDEX(Config!$D$9:$D$29,MATCH($B1447,Config!$B$9:$B$29,0))="Contrato",IF(INDEX(Config!$E$9:$E$29,MATCH($B1447,Config!$B$9:$B$29,0))="","",INDEX(Config!$E$9:$E$29,MATCH($B1447,Config!$B$9:$B$29,0))),""),""))</f>
        <v/>
      </c>
      <c r="AC1447" s="19" t="str">
        <f>IF($B1447="","",IFERROR(INDEX(Config!$D$9:$D$29,MATCH($B1447,Config!$B$9:$B$29,0))&amp;"",""))</f>
        <v/>
      </c>
    </row>
    <row r="1448">
      <c r="R1448" s="20" t="str">
        <f>IF($B1448="","",IFERROR(IF(INDEX(Config!$D$9:$D$29,MATCH($B1448,Config!$B$9:$B$29,0))="Contrato",IF(INDEX(Config!$E$9:$E$29,MATCH($B1448,Config!$B$9:$B$29,0))="","",INDEX(Config!$E$9:$E$29,MATCH($B1448,Config!$B$9:$B$29,0))),""),""))</f>
        <v/>
      </c>
      <c r="AC1448" s="19" t="str">
        <f>IF($B1448="","",IFERROR(INDEX(Config!$D$9:$D$29,MATCH($B1448,Config!$B$9:$B$29,0))&amp;"",""))</f>
        <v/>
      </c>
    </row>
    <row r="1449">
      <c r="R1449" s="20" t="str">
        <f>IF($B1449="","",IFERROR(IF(INDEX(Config!$D$9:$D$29,MATCH($B1449,Config!$B$9:$B$29,0))="Contrato",IF(INDEX(Config!$E$9:$E$29,MATCH($B1449,Config!$B$9:$B$29,0))="","",INDEX(Config!$E$9:$E$29,MATCH($B1449,Config!$B$9:$B$29,0))),""),""))</f>
        <v/>
      </c>
      <c r="AC1449" s="19" t="str">
        <f>IF($B1449="","",IFERROR(INDEX(Config!$D$9:$D$29,MATCH($B1449,Config!$B$9:$B$29,0))&amp;"",""))</f>
        <v/>
      </c>
    </row>
    <row r="1450">
      <c r="R1450" s="20" t="str">
        <f>IF($B1450="","",IFERROR(IF(INDEX(Config!$D$9:$D$29,MATCH($B1450,Config!$B$9:$B$29,0))="Contrato",IF(INDEX(Config!$E$9:$E$29,MATCH($B1450,Config!$B$9:$B$29,0))="","",INDEX(Config!$E$9:$E$29,MATCH($B1450,Config!$B$9:$B$29,0))),""),""))</f>
        <v/>
      </c>
      <c r="AC1450" s="19" t="str">
        <f>IF($B1450="","",IFERROR(INDEX(Config!$D$9:$D$29,MATCH($B1450,Config!$B$9:$B$29,0))&amp;"",""))</f>
        <v/>
      </c>
    </row>
    <row r="1451">
      <c r="R1451" s="20" t="str">
        <f>IF($B1451="","",IFERROR(IF(INDEX(Config!$D$9:$D$29,MATCH($B1451,Config!$B$9:$B$29,0))="Contrato",IF(INDEX(Config!$E$9:$E$29,MATCH($B1451,Config!$B$9:$B$29,0))="","",INDEX(Config!$E$9:$E$29,MATCH($B1451,Config!$B$9:$B$29,0))),""),""))</f>
        <v/>
      </c>
      <c r="AC1451" s="19" t="str">
        <f>IF($B1451="","",IFERROR(INDEX(Config!$D$9:$D$29,MATCH($B1451,Config!$B$9:$B$29,0))&amp;"",""))</f>
        <v/>
      </c>
    </row>
    <row r="1452">
      <c r="R1452" s="20" t="str">
        <f>IF($B1452="","",IFERROR(IF(INDEX(Config!$D$9:$D$29,MATCH($B1452,Config!$B$9:$B$29,0))="Contrato",IF(INDEX(Config!$E$9:$E$29,MATCH($B1452,Config!$B$9:$B$29,0))="","",INDEX(Config!$E$9:$E$29,MATCH($B1452,Config!$B$9:$B$29,0))),""),""))</f>
        <v/>
      </c>
      <c r="AC1452" s="19" t="str">
        <f>IF($B1452="","",IFERROR(INDEX(Config!$D$9:$D$29,MATCH($B1452,Config!$B$9:$B$29,0))&amp;"",""))</f>
        <v/>
      </c>
    </row>
    <row r="1453">
      <c r="R1453" s="20" t="str">
        <f>IF($B1453="","",IFERROR(IF(INDEX(Config!$D$9:$D$29,MATCH($B1453,Config!$B$9:$B$29,0))="Contrato",IF(INDEX(Config!$E$9:$E$29,MATCH($B1453,Config!$B$9:$B$29,0))="","",INDEX(Config!$E$9:$E$29,MATCH($B1453,Config!$B$9:$B$29,0))),""),""))</f>
        <v/>
      </c>
      <c r="AC1453" s="19" t="str">
        <f>IF($B1453="","",IFERROR(INDEX(Config!$D$9:$D$29,MATCH($B1453,Config!$B$9:$B$29,0))&amp;"",""))</f>
        <v/>
      </c>
    </row>
    <row r="1454">
      <c r="R1454" s="20" t="str">
        <f>IF($B1454="","",IFERROR(IF(INDEX(Config!$D$9:$D$29,MATCH($B1454,Config!$B$9:$B$29,0))="Contrato",IF(INDEX(Config!$E$9:$E$29,MATCH($B1454,Config!$B$9:$B$29,0))="","",INDEX(Config!$E$9:$E$29,MATCH($B1454,Config!$B$9:$B$29,0))),""),""))</f>
        <v/>
      </c>
      <c r="AC1454" s="19" t="str">
        <f>IF($B1454="","",IFERROR(INDEX(Config!$D$9:$D$29,MATCH($B1454,Config!$B$9:$B$29,0))&amp;"",""))</f>
        <v/>
      </c>
    </row>
    <row r="1455">
      <c r="R1455" s="20" t="str">
        <f>IF($B1455="","",IFERROR(IF(INDEX(Config!$D$9:$D$29,MATCH($B1455,Config!$B$9:$B$29,0))="Contrato",IF(INDEX(Config!$E$9:$E$29,MATCH($B1455,Config!$B$9:$B$29,0))="","",INDEX(Config!$E$9:$E$29,MATCH($B1455,Config!$B$9:$B$29,0))),""),""))</f>
        <v/>
      </c>
      <c r="AC1455" s="19" t="str">
        <f>IF($B1455="","",IFERROR(INDEX(Config!$D$9:$D$29,MATCH($B1455,Config!$B$9:$B$29,0))&amp;"",""))</f>
        <v/>
      </c>
    </row>
    <row r="1456">
      <c r="R1456" s="20" t="str">
        <f>IF($B1456="","",IFERROR(IF(INDEX(Config!$D$9:$D$29,MATCH($B1456,Config!$B$9:$B$29,0))="Contrato",IF(INDEX(Config!$E$9:$E$29,MATCH($B1456,Config!$B$9:$B$29,0))="","",INDEX(Config!$E$9:$E$29,MATCH($B1456,Config!$B$9:$B$29,0))),""),""))</f>
        <v/>
      </c>
      <c r="AC1456" s="19" t="str">
        <f>IF($B1456="","",IFERROR(INDEX(Config!$D$9:$D$29,MATCH($B1456,Config!$B$9:$B$29,0))&amp;"",""))</f>
        <v/>
      </c>
    </row>
    <row r="1457">
      <c r="R1457" s="20" t="str">
        <f>IF($B1457="","",IFERROR(IF(INDEX(Config!$D$9:$D$29,MATCH($B1457,Config!$B$9:$B$29,0))="Contrato",IF(INDEX(Config!$E$9:$E$29,MATCH($B1457,Config!$B$9:$B$29,0))="","",INDEX(Config!$E$9:$E$29,MATCH($B1457,Config!$B$9:$B$29,0))),""),""))</f>
        <v/>
      </c>
      <c r="AC1457" s="19" t="str">
        <f>IF($B1457="","",IFERROR(INDEX(Config!$D$9:$D$29,MATCH($B1457,Config!$B$9:$B$29,0))&amp;"",""))</f>
        <v/>
      </c>
    </row>
    <row r="1458">
      <c r="R1458" s="20" t="str">
        <f>IF($B1458="","",IFERROR(IF(INDEX(Config!$D$9:$D$29,MATCH($B1458,Config!$B$9:$B$29,0))="Contrato",IF(INDEX(Config!$E$9:$E$29,MATCH($B1458,Config!$B$9:$B$29,0))="","",INDEX(Config!$E$9:$E$29,MATCH($B1458,Config!$B$9:$B$29,0))),""),""))</f>
        <v/>
      </c>
      <c r="AC1458" s="19" t="str">
        <f>IF($B1458="","",IFERROR(INDEX(Config!$D$9:$D$29,MATCH($B1458,Config!$B$9:$B$29,0))&amp;"",""))</f>
        <v/>
      </c>
    </row>
    <row r="1459">
      <c r="R1459" s="20" t="str">
        <f>IF($B1459="","",IFERROR(IF(INDEX(Config!$D$9:$D$29,MATCH($B1459,Config!$B$9:$B$29,0))="Contrato",IF(INDEX(Config!$E$9:$E$29,MATCH($B1459,Config!$B$9:$B$29,0))="","",INDEX(Config!$E$9:$E$29,MATCH($B1459,Config!$B$9:$B$29,0))),""),""))</f>
        <v/>
      </c>
      <c r="AC1459" s="19" t="str">
        <f>IF($B1459="","",IFERROR(INDEX(Config!$D$9:$D$29,MATCH($B1459,Config!$B$9:$B$29,0))&amp;"",""))</f>
        <v/>
      </c>
    </row>
    <row r="1460">
      <c r="R1460" s="20" t="str">
        <f>IF($B1460="","",IFERROR(IF(INDEX(Config!$D$9:$D$29,MATCH($B1460,Config!$B$9:$B$29,0))="Contrato",IF(INDEX(Config!$E$9:$E$29,MATCH($B1460,Config!$B$9:$B$29,0))="","",INDEX(Config!$E$9:$E$29,MATCH($B1460,Config!$B$9:$B$29,0))),""),""))</f>
        <v/>
      </c>
      <c r="AC1460" s="19" t="str">
        <f>IF($B1460="","",IFERROR(INDEX(Config!$D$9:$D$29,MATCH($B1460,Config!$B$9:$B$29,0))&amp;"",""))</f>
        <v/>
      </c>
    </row>
    <row r="1461">
      <c r="R1461" s="20" t="str">
        <f>IF($B1461="","",IFERROR(IF(INDEX(Config!$D$9:$D$29,MATCH($B1461,Config!$B$9:$B$29,0))="Contrato",IF(INDEX(Config!$E$9:$E$29,MATCH($B1461,Config!$B$9:$B$29,0))="","",INDEX(Config!$E$9:$E$29,MATCH($B1461,Config!$B$9:$B$29,0))),""),""))</f>
        <v/>
      </c>
      <c r="AC1461" s="19" t="str">
        <f>IF($B1461="","",IFERROR(INDEX(Config!$D$9:$D$29,MATCH($B1461,Config!$B$9:$B$29,0))&amp;"",""))</f>
        <v/>
      </c>
    </row>
    <row r="1462">
      <c r="R1462" s="20" t="str">
        <f>IF($B1462="","",IFERROR(IF(INDEX(Config!$D$9:$D$29,MATCH($B1462,Config!$B$9:$B$29,0))="Contrato",IF(INDEX(Config!$E$9:$E$29,MATCH($B1462,Config!$B$9:$B$29,0))="","",INDEX(Config!$E$9:$E$29,MATCH($B1462,Config!$B$9:$B$29,0))),""),""))</f>
        <v/>
      </c>
      <c r="AC1462" s="19" t="str">
        <f>IF($B1462="","",IFERROR(INDEX(Config!$D$9:$D$29,MATCH($B1462,Config!$B$9:$B$29,0))&amp;"",""))</f>
        <v/>
      </c>
    </row>
    <row r="1463">
      <c r="R1463" s="20" t="str">
        <f>IF($B1463="","",IFERROR(IF(INDEX(Config!$D$9:$D$29,MATCH($B1463,Config!$B$9:$B$29,0))="Contrato",IF(INDEX(Config!$E$9:$E$29,MATCH($B1463,Config!$B$9:$B$29,0))="","",INDEX(Config!$E$9:$E$29,MATCH($B1463,Config!$B$9:$B$29,0))),""),""))</f>
        <v/>
      </c>
      <c r="AC1463" s="19" t="str">
        <f>IF($B1463="","",IFERROR(INDEX(Config!$D$9:$D$29,MATCH($B1463,Config!$B$9:$B$29,0))&amp;"",""))</f>
        <v/>
      </c>
    </row>
    <row r="1464">
      <c r="R1464" s="20" t="str">
        <f>IF($B1464="","",IFERROR(IF(INDEX(Config!$D$9:$D$29,MATCH($B1464,Config!$B$9:$B$29,0))="Contrato",IF(INDEX(Config!$E$9:$E$29,MATCH($B1464,Config!$B$9:$B$29,0))="","",INDEX(Config!$E$9:$E$29,MATCH($B1464,Config!$B$9:$B$29,0))),""),""))</f>
        <v/>
      </c>
      <c r="AC1464" s="19" t="str">
        <f>IF($B1464="","",IFERROR(INDEX(Config!$D$9:$D$29,MATCH($B1464,Config!$B$9:$B$29,0))&amp;"",""))</f>
        <v/>
      </c>
    </row>
    <row r="1465">
      <c r="R1465" s="20" t="str">
        <f>IF($B1465="","",IFERROR(IF(INDEX(Config!$D$9:$D$29,MATCH($B1465,Config!$B$9:$B$29,0))="Contrato",IF(INDEX(Config!$E$9:$E$29,MATCH($B1465,Config!$B$9:$B$29,0))="","",INDEX(Config!$E$9:$E$29,MATCH($B1465,Config!$B$9:$B$29,0))),""),""))</f>
        <v/>
      </c>
      <c r="AC1465" s="19" t="str">
        <f>IF($B1465="","",IFERROR(INDEX(Config!$D$9:$D$29,MATCH($B1465,Config!$B$9:$B$29,0))&amp;"",""))</f>
        <v/>
      </c>
    </row>
    <row r="1466">
      <c r="R1466" s="20" t="str">
        <f>IF($B1466="","",IFERROR(IF(INDEX(Config!$D$9:$D$29,MATCH($B1466,Config!$B$9:$B$29,0))="Contrato",IF(INDEX(Config!$E$9:$E$29,MATCH($B1466,Config!$B$9:$B$29,0))="","",INDEX(Config!$E$9:$E$29,MATCH($B1466,Config!$B$9:$B$29,0))),""),""))</f>
        <v/>
      </c>
      <c r="AC1466" s="19" t="str">
        <f>IF($B1466="","",IFERROR(INDEX(Config!$D$9:$D$29,MATCH($B1466,Config!$B$9:$B$29,0))&amp;"",""))</f>
        <v/>
      </c>
    </row>
    <row r="1467">
      <c r="R1467" s="20" t="str">
        <f>IF($B1467="","",IFERROR(IF(INDEX(Config!$D$9:$D$29,MATCH($B1467,Config!$B$9:$B$29,0))="Contrato",IF(INDEX(Config!$E$9:$E$29,MATCH($B1467,Config!$B$9:$B$29,0))="","",INDEX(Config!$E$9:$E$29,MATCH($B1467,Config!$B$9:$B$29,0))),""),""))</f>
        <v/>
      </c>
      <c r="AC1467" s="19" t="str">
        <f>IF($B1467="","",IFERROR(INDEX(Config!$D$9:$D$29,MATCH($B1467,Config!$B$9:$B$29,0))&amp;"",""))</f>
        <v/>
      </c>
    </row>
    <row r="1468">
      <c r="R1468" s="20" t="str">
        <f>IF($B1468="","",IFERROR(IF(INDEX(Config!$D$9:$D$29,MATCH($B1468,Config!$B$9:$B$29,0))="Contrato",IF(INDEX(Config!$E$9:$E$29,MATCH($B1468,Config!$B$9:$B$29,0))="","",INDEX(Config!$E$9:$E$29,MATCH($B1468,Config!$B$9:$B$29,0))),""),""))</f>
        <v/>
      </c>
      <c r="AC1468" s="19" t="str">
        <f>IF($B1468="","",IFERROR(INDEX(Config!$D$9:$D$29,MATCH($B1468,Config!$B$9:$B$29,0))&amp;"",""))</f>
        <v/>
      </c>
    </row>
    <row r="1469">
      <c r="R1469" s="20" t="str">
        <f>IF($B1469="","",IFERROR(IF(INDEX(Config!$D$9:$D$29,MATCH($B1469,Config!$B$9:$B$29,0))="Contrato",IF(INDEX(Config!$E$9:$E$29,MATCH($B1469,Config!$B$9:$B$29,0))="","",INDEX(Config!$E$9:$E$29,MATCH($B1469,Config!$B$9:$B$29,0))),""),""))</f>
        <v/>
      </c>
      <c r="AC1469" s="19" t="str">
        <f>IF($B1469="","",IFERROR(INDEX(Config!$D$9:$D$29,MATCH($B1469,Config!$B$9:$B$29,0))&amp;"",""))</f>
        <v/>
      </c>
    </row>
    <row r="1470">
      <c r="R1470" s="20" t="str">
        <f>IF($B1470="","",IFERROR(IF(INDEX(Config!$D$9:$D$29,MATCH($B1470,Config!$B$9:$B$29,0))="Contrato",IF(INDEX(Config!$E$9:$E$29,MATCH($B1470,Config!$B$9:$B$29,0))="","",INDEX(Config!$E$9:$E$29,MATCH($B1470,Config!$B$9:$B$29,0))),""),""))</f>
        <v/>
      </c>
      <c r="AC1470" s="19" t="str">
        <f>IF($B1470="","",IFERROR(INDEX(Config!$D$9:$D$29,MATCH($B1470,Config!$B$9:$B$29,0))&amp;"",""))</f>
        <v/>
      </c>
    </row>
    <row r="1471">
      <c r="R1471" s="20" t="str">
        <f>IF($B1471="","",IFERROR(IF(INDEX(Config!$D$9:$D$29,MATCH($B1471,Config!$B$9:$B$29,0))="Contrato",IF(INDEX(Config!$E$9:$E$29,MATCH($B1471,Config!$B$9:$B$29,0))="","",INDEX(Config!$E$9:$E$29,MATCH($B1471,Config!$B$9:$B$29,0))),""),""))</f>
        <v/>
      </c>
      <c r="AC1471" s="19" t="str">
        <f>IF($B1471="","",IFERROR(INDEX(Config!$D$9:$D$29,MATCH($B1471,Config!$B$9:$B$29,0))&amp;"",""))</f>
        <v/>
      </c>
    </row>
    <row r="1472">
      <c r="R1472" s="20" t="str">
        <f>IF($B1472="","",IFERROR(IF(INDEX(Config!$D$9:$D$29,MATCH($B1472,Config!$B$9:$B$29,0))="Contrato",IF(INDEX(Config!$E$9:$E$29,MATCH($B1472,Config!$B$9:$B$29,0))="","",INDEX(Config!$E$9:$E$29,MATCH($B1472,Config!$B$9:$B$29,0))),""),""))</f>
        <v/>
      </c>
      <c r="AC1472" s="19" t="str">
        <f>IF($B1472="","",IFERROR(INDEX(Config!$D$9:$D$29,MATCH($B1472,Config!$B$9:$B$29,0))&amp;"",""))</f>
        <v/>
      </c>
    </row>
    <row r="1473">
      <c r="R1473" s="20" t="str">
        <f>IF($B1473="","",IFERROR(IF(INDEX(Config!$D$9:$D$29,MATCH($B1473,Config!$B$9:$B$29,0))="Contrato",IF(INDEX(Config!$E$9:$E$29,MATCH($B1473,Config!$B$9:$B$29,0))="","",INDEX(Config!$E$9:$E$29,MATCH($B1473,Config!$B$9:$B$29,0))),""),""))</f>
        <v/>
      </c>
      <c r="AC1473" s="19" t="str">
        <f>IF($B1473="","",IFERROR(INDEX(Config!$D$9:$D$29,MATCH($B1473,Config!$B$9:$B$29,0))&amp;"",""))</f>
        <v/>
      </c>
    </row>
    <row r="1474">
      <c r="R1474" s="20" t="str">
        <f>IF($B1474="","",IFERROR(IF(INDEX(Config!$D$9:$D$29,MATCH($B1474,Config!$B$9:$B$29,0))="Contrato",IF(INDEX(Config!$E$9:$E$29,MATCH($B1474,Config!$B$9:$B$29,0))="","",INDEX(Config!$E$9:$E$29,MATCH($B1474,Config!$B$9:$B$29,0))),""),""))</f>
        <v/>
      </c>
      <c r="AC1474" s="19" t="str">
        <f>IF($B1474="","",IFERROR(INDEX(Config!$D$9:$D$29,MATCH($B1474,Config!$B$9:$B$29,0))&amp;"",""))</f>
        <v/>
      </c>
    </row>
    <row r="1475">
      <c r="R1475" s="20" t="str">
        <f>IF($B1475="","",IFERROR(IF(INDEX(Config!$D$9:$D$29,MATCH($B1475,Config!$B$9:$B$29,0))="Contrato",IF(INDEX(Config!$E$9:$E$29,MATCH($B1475,Config!$B$9:$B$29,0))="","",INDEX(Config!$E$9:$E$29,MATCH($B1475,Config!$B$9:$B$29,0))),""),""))</f>
        <v/>
      </c>
      <c r="AC1475" s="19" t="str">
        <f>IF($B1475="","",IFERROR(INDEX(Config!$D$9:$D$29,MATCH($B1475,Config!$B$9:$B$29,0))&amp;"",""))</f>
        <v/>
      </c>
    </row>
    <row r="1476">
      <c r="R1476" s="20" t="str">
        <f>IF($B1476="","",IFERROR(IF(INDEX(Config!$D$9:$D$29,MATCH($B1476,Config!$B$9:$B$29,0))="Contrato",IF(INDEX(Config!$E$9:$E$29,MATCH($B1476,Config!$B$9:$B$29,0))="","",INDEX(Config!$E$9:$E$29,MATCH($B1476,Config!$B$9:$B$29,0))),""),""))</f>
        <v/>
      </c>
      <c r="AC1476" s="19" t="str">
        <f>IF($B1476="","",IFERROR(INDEX(Config!$D$9:$D$29,MATCH($B1476,Config!$B$9:$B$29,0))&amp;"",""))</f>
        <v/>
      </c>
    </row>
    <row r="1477">
      <c r="R1477" s="20" t="str">
        <f>IF($B1477="","",IFERROR(IF(INDEX(Config!$D$9:$D$29,MATCH($B1477,Config!$B$9:$B$29,0))="Contrato",IF(INDEX(Config!$E$9:$E$29,MATCH($B1477,Config!$B$9:$B$29,0))="","",INDEX(Config!$E$9:$E$29,MATCH($B1477,Config!$B$9:$B$29,0))),""),""))</f>
        <v/>
      </c>
      <c r="AC1477" s="19" t="str">
        <f>IF($B1477="","",IFERROR(INDEX(Config!$D$9:$D$29,MATCH($B1477,Config!$B$9:$B$29,0))&amp;"",""))</f>
        <v/>
      </c>
    </row>
    <row r="1478">
      <c r="R1478" s="20" t="str">
        <f>IF($B1478="","",IFERROR(IF(INDEX(Config!$D$9:$D$29,MATCH($B1478,Config!$B$9:$B$29,0))="Contrato",IF(INDEX(Config!$E$9:$E$29,MATCH($B1478,Config!$B$9:$B$29,0))="","",INDEX(Config!$E$9:$E$29,MATCH($B1478,Config!$B$9:$B$29,0))),""),""))</f>
        <v/>
      </c>
      <c r="AC1478" s="19" t="str">
        <f>IF($B1478="","",IFERROR(INDEX(Config!$D$9:$D$29,MATCH($B1478,Config!$B$9:$B$29,0))&amp;"",""))</f>
        <v/>
      </c>
    </row>
    <row r="1479">
      <c r="R1479" s="20" t="str">
        <f>IF($B1479="","",IFERROR(IF(INDEX(Config!$D$9:$D$29,MATCH($B1479,Config!$B$9:$B$29,0))="Contrato",IF(INDEX(Config!$E$9:$E$29,MATCH($B1479,Config!$B$9:$B$29,0))="","",INDEX(Config!$E$9:$E$29,MATCH($B1479,Config!$B$9:$B$29,0))),""),""))</f>
        <v/>
      </c>
      <c r="AC1479" s="19" t="str">
        <f>IF($B1479="","",IFERROR(INDEX(Config!$D$9:$D$29,MATCH($B1479,Config!$B$9:$B$29,0))&amp;"",""))</f>
        <v/>
      </c>
    </row>
    <row r="1480">
      <c r="R1480" s="20" t="str">
        <f>IF($B1480="","",IFERROR(IF(INDEX(Config!$D$9:$D$29,MATCH($B1480,Config!$B$9:$B$29,0))="Contrato",IF(INDEX(Config!$E$9:$E$29,MATCH($B1480,Config!$B$9:$B$29,0))="","",INDEX(Config!$E$9:$E$29,MATCH($B1480,Config!$B$9:$B$29,0))),""),""))</f>
        <v/>
      </c>
      <c r="AC1480" s="19" t="str">
        <f>IF($B1480="","",IFERROR(INDEX(Config!$D$9:$D$29,MATCH($B1480,Config!$B$9:$B$29,0))&amp;"",""))</f>
        <v/>
      </c>
    </row>
    <row r="1481">
      <c r="R1481" s="20" t="str">
        <f>IF($B1481="","",IFERROR(IF(INDEX(Config!$D$9:$D$29,MATCH($B1481,Config!$B$9:$B$29,0))="Contrato",IF(INDEX(Config!$E$9:$E$29,MATCH($B1481,Config!$B$9:$B$29,0))="","",INDEX(Config!$E$9:$E$29,MATCH($B1481,Config!$B$9:$B$29,0))),""),""))</f>
        <v/>
      </c>
      <c r="AC1481" s="19" t="str">
        <f>IF($B1481="","",IFERROR(INDEX(Config!$D$9:$D$29,MATCH($B1481,Config!$B$9:$B$29,0))&amp;"",""))</f>
        <v/>
      </c>
    </row>
    <row r="1482">
      <c r="R1482" s="20" t="str">
        <f>IF($B1482="","",IFERROR(IF(INDEX(Config!$D$9:$D$29,MATCH($B1482,Config!$B$9:$B$29,0))="Contrato",IF(INDEX(Config!$E$9:$E$29,MATCH($B1482,Config!$B$9:$B$29,0))="","",INDEX(Config!$E$9:$E$29,MATCH($B1482,Config!$B$9:$B$29,0))),""),""))</f>
        <v/>
      </c>
      <c r="AC1482" s="19" t="str">
        <f>IF($B1482="","",IFERROR(INDEX(Config!$D$9:$D$29,MATCH($B1482,Config!$B$9:$B$29,0))&amp;"",""))</f>
        <v/>
      </c>
    </row>
    <row r="1483">
      <c r="R1483" s="20" t="str">
        <f>IF($B1483="","",IFERROR(IF(INDEX(Config!$D$9:$D$29,MATCH($B1483,Config!$B$9:$B$29,0))="Contrato",IF(INDEX(Config!$E$9:$E$29,MATCH($B1483,Config!$B$9:$B$29,0))="","",INDEX(Config!$E$9:$E$29,MATCH($B1483,Config!$B$9:$B$29,0))),""),""))</f>
        <v/>
      </c>
      <c r="AC1483" s="19" t="str">
        <f>IF($B1483="","",IFERROR(INDEX(Config!$D$9:$D$29,MATCH($B1483,Config!$B$9:$B$29,0))&amp;"",""))</f>
        <v/>
      </c>
    </row>
    <row r="1484">
      <c r="R1484" s="20" t="str">
        <f>IF($B1484="","",IFERROR(IF(INDEX(Config!$D$9:$D$29,MATCH($B1484,Config!$B$9:$B$29,0))="Contrato",IF(INDEX(Config!$E$9:$E$29,MATCH($B1484,Config!$B$9:$B$29,0))="","",INDEX(Config!$E$9:$E$29,MATCH($B1484,Config!$B$9:$B$29,0))),""),""))</f>
        <v/>
      </c>
      <c r="AC1484" s="19" t="str">
        <f>IF($B1484="","",IFERROR(INDEX(Config!$D$9:$D$29,MATCH($B1484,Config!$B$9:$B$29,0))&amp;"",""))</f>
        <v/>
      </c>
    </row>
    <row r="1485">
      <c r="R1485" s="20" t="str">
        <f>IF($B1485="","",IFERROR(IF(INDEX(Config!$D$9:$D$29,MATCH($B1485,Config!$B$9:$B$29,0))="Contrato",IF(INDEX(Config!$E$9:$E$29,MATCH($B1485,Config!$B$9:$B$29,0))="","",INDEX(Config!$E$9:$E$29,MATCH($B1485,Config!$B$9:$B$29,0))),""),""))</f>
        <v/>
      </c>
      <c r="AC1485" s="19" t="str">
        <f>IF($B1485="","",IFERROR(INDEX(Config!$D$9:$D$29,MATCH($B1485,Config!$B$9:$B$29,0))&amp;"",""))</f>
        <v/>
      </c>
    </row>
    <row r="1486">
      <c r="R1486" s="20" t="str">
        <f>IF($B1486="","",IFERROR(IF(INDEX(Config!$D$9:$D$29,MATCH($B1486,Config!$B$9:$B$29,0))="Contrato",IF(INDEX(Config!$E$9:$E$29,MATCH($B1486,Config!$B$9:$B$29,0))="","",INDEX(Config!$E$9:$E$29,MATCH($B1486,Config!$B$9:$B$29,0))),""),""))</f>
        <v/>
      </c>
      <c r="AC1486" s="19" t="str">
        <f>IF($B1486="","",IFERROR(INDEX(Config!$D$9:$D$29,MATCH($B1486,Config!$B$9:$B$29,0))&amp;"",""))</f>
        <v/>
      </c>
    </row>
    <row r="1487">
      <c r="R1487" s="20" t="str">
        <f>IF($B1487="","",IFERROR(IF(INDEX(Config!$D$9:$D$29,MATCH($B1487,Config!$B$9:$B$29,0))="Contrato",IF(INDEX(Config!$E$9:$E$29,MATCH($B1487,Config!$B$9:$B$29,0))="","",INDEX(Config!$E$9:$E$29,MATCH($B1487,Config!$B$9:$B$29,0))),""),""))</f>
        <v/>
      </c>
      <c r="AC1487" s="19" t="str">
        <f>IF($B1487="","",IFERROR(INDEX(Config!$D$9:$D$29,MATCH($B1487,Config!$B$9:$B$29,0))&amp;"",""))</f>
        <v/>
      </c>
    </row>
    <row r="1488">
      <c r="R1488" s="20" t="str">
        <f>IF($B1488="","",IFERROR(IF(INDEX(Config!$D$9:$D$29,MATCH($B1488,Config!$B$9:$B$29,0))="Contrato",IF(INDEX(Config!$E$9:$E$29,MATCH($B1488,Config!$B$9:$B$29,0))="","",INDEX(Config!$E$9:$E$29,MATCH($B1488,Config!$B$9:$B$29,0))),""),""))</f>
        <v/>
      </c>
      <c r="AC1488" s="19" t="str">
        <f>IF($B1488="","",IFERROR(INDEX(Config!$D$9:$D$29,MATCH($B1488,Config!$B$9:$B$29,0))&amp;"",""))</f>
        <v/>
      </c>
    </row>
    <row r="1489">
      <c r="R1489" s="20" t="str">
        <f>IF($B1489="","",IFERROR(IF(INDEX(Config!$D$9:$D$29,MATCH($B1489,Config!$B$9:$B$29,0))="Contrato",IF(INDEX(Config!$E$9:$E$29,MATCH($B1489,Config!$B$9:$B$29,0))="","",INDEX(Config!$E$9:$E$29,MATCH($B1489,Config!$B$9:$B$29,0))),""),""))</f>
        <v/>
      </c>
      <c r="AC1489" s="19" t="str">
        <f>IF($B1489="","",IFERROR(INDEX(Config!$D$9:$D$29,MATCH($B1489,Config!$B$9:$B$29,0))&amp;"",""))</f>
        <v/>
      </c>
    </row>
    <row r="1490">
      <c r="R1490" s="20" t="str">
        <f>IF($B1490="","",IFERROR(IF(INDEX(Config!$D$9:$D$29,MATCH($B1490,Config!$B$9:$B$29,0))="Contrato",IF(INDEX(Config!$E$9:$E$29,MATCH($B1490,Config!$B$9:$B$29,0))="","",INDEX(Config!$E$9:$E$29,MATCH($B1490,Config!$B$9:$B$29,0))),""),""))</f>
        <v/>
      </c>
      <c r="AC1490" s="19" t="str">
        <f>IF($B1490="","",IFERROR(INDEX(Config!$D$9:$D$29,MATCH($B1490,Config!$B$9:$B$29,0))&amp;"",""))</f>
        <v/>
      </c>
    </row>
    <row r="1491">
      <c r="R1491" s="20" t="str">
        <f>IF($B1491="","",IFERROR(IF(INDEX(Config!$D$9:$D$29,MATCH($B1491,Config!$B$9:$B$29,0))="Contrato",IF(INDEX(Config!$E$9:$E$29,MATCH($B1491,Config!$B$9:$B$29,0))="","",INDEX(Config!$E$9:$E$29,MATCH($B1491,Config!$B$9:$B$29,0))),""),""))</f>
        <v/>
      </c>
      <c r="AC1491" s="19" t="str">
        <f>IF($B1491="","",IFERROR(INDEX(Config!$D$9:$D$29,MATCH($B1491,Config!$B$9:$B$29,0))&amp;"",""))</f>
        <v/>
      </c>
    </row>
    <row r="1492">
      <c r="R1492" s="20" t="str">
        <f>IF($B1492="","",IFERROR(IF(INDEX(Config!$D$9:$D$29,MATCH($B1492,Config!$B$9:$B$29,0))="Contrato",IF(INDEX(Config!$E$9:$E$29,MATCH($B1492,Config!$B$9:$B$29,0))="","",INDEX(Config!$E$9:$E$29,MATCH($B1492,Config!$B$9:$B$29,0))),""),""))</f>
        <v/>
      </c>
      <c r="AC1492" s="19" t="str">
        <f>IF($B1492="","",IFERROR(INDEX(Config!$D$9:$D$29,MATCH($B1492,Config!$B$9:$B$29,0))&amp;"",""))</f>
        <v/>
      </c>
    </row>
    <row r="1493">
      <c r="R1493" s="20" t="str">
        <f>IF($B1493="","",IFERROR(IF(INDEX(Config!$D$9:$D$29,MATCH($B1493,Config!$B$9:$B$29,0))="Contrato",IF(INDEX(Config!$E$9:$E$29,MATCH($B1493,Config!$B$9:$B$29,0))="","",INDEX(Config!$E$9:$E$29,MATCH($B1493,Config!$B$9:$B$29,0))),""),""))</f>
        <v/>
      </c>
      <c r="AC1493" s="19" t="str">
        <f>IF($B1493="","",IFERROR(INDEX(Config!$D$9:$D$29,MATCH($B1493,Config!$B$9:$B$29,0))&amp;"",""))</f>
        <v/>
      </c>
    </row>
    <row r="1494">
      <c r="R1494" s="20" t="str">
        <f>IF($B1494="","",IFERROR(IF(INDEX(Config!$D$9:$D$29,MATCH($B1494,Config!$B$9:$B$29,0))="Contrato",IF(INDEX(Config!$E$9:$E$29,MATCH($B1494,Config!$B$9:$B$29,0))="","",INDEX(Config!$E$9:$E$29,MATCH($B1494,Config!$B$9:$B$29,0))),""),""))</f>
        <v/>
      </c>
      <c r="AC1494" s="19" t="str">
        <f>IF($B1494="","",IFERROR(INDEX(Config!$D$9:$D$29,MATCH($B1494,Config!$B$9:$B$29,0))&amp;"",""))</f>
        <v/>
      </c>
    </row>
    <row r="1495">
      <c r="R1495" s="20" t="str">
        <f>IF($B1495="","",IFERROR(IF(INDEX(Config!$D$9:$D$29,MATCH($B1495,Config!$B$9:$B$29,0))="Contrato",IF(INDEX(Config!$E$9:$E$29,MATCH($B1495,Config!$B$9:$B$29,0))="","",INDEX(Config!$E$9:$E$29,MATCH($B1495,Config!$B$9:$B$29,0))),""),""))</f>
        <v/>
      </c>
      <c r="AC1495" s="19" t="str">
        <f>IF($B1495="","",IFERROR(INDEX(Config!$D$9:$D$29,MATCH($B1495,Config!$B$9:$B$29,0))&amp;"",""))</f>
        <v/>
      </c>
    </row>
    <row r="1496">
      <c r="R1496" s="20" t="str">
        <f>IF($B1496="","",IFERROR(IF(INDEX(Config!$D$9:$D$29,MATCH($B1496,Config!$B$9:$B$29,0))="Contrato",IF(INDEX(Config!$E$9:$E$29,MATCH($B1496,Config!$B$9:$B$29,0))="","",INDEX(Config!$E$9:$E$29,MATCH($B1496,Config!$B$9:$B$29,0))),""),""))</f>
        <v/>
      </c>
      <c r="AC1496" s="19" t="str">
        <f>IF($B1496="","",IFERROR(INDEX(Config!$D$9:$D$29,MATCH($B1496,Config!$B$9:$B$29,0))&amp;"",""))</f>
        <v/>
      </c>
    </row>
    <row r="1497">
      <c r="R1497" s="20" t="str">
        <f>IF($B1497="","",IFERROR(IF(INDEX(Config!$D$9:$D$29,MATCH($B1497,Config!$B$9:$B$29,0))="Contrato",IF(INDEX(Config!$E$9:$E$29,MATCH($B1497,Config!$B$9:$B$29,0))="","",INDEX(Config!$E$9:$E$29,MATCH($B1497,Config!$B$9:$B$29,0))),""),""))</f>
        <v/>
      </c>
      <c r="AC1497" s="19" t="str">
        <f>IF($B1497="","",IFERROR(INDEX(Config!$D$9:$D$29,MATCH($B1497,Config!$B$9:$B$29,0))&amp;"",""))</f>
        <v/>
      </c>
    </row>
    <row r="1498">
      <c r="R1498" s="20" t="str">
        <f>IF($B1498="","",IFERROR(IF(INDEX(Config!$D$9:$D$29,MATCH($B1498,Config!$B$9:$B$29,0))="Contrato",IF(INDEX(Config!$E$9:$E$29,MATCH($B1498,Config!$B$9:$B$29,0))="","",INDEX(Config!$E$9:$E$29,MATCH($B1498,Config!$B$9:$B$29,0))),""),""))</f>
        <v/>
      </c>
      <c r="AC1498" s="19" t="str">
        <f>IF($B1498="","",IFERROR(INDEX(Config!$D$9:$D$29,MATCH($B1498,Config!$B$9:$B$29,0))&amp;"",""))</f>
        <v/>
      </c>
    </row>
    <row r="1499">
      <c r="R1499" s="20" t="str">
        <f>IF($B1499="","",IFERROR(IF(INDEX(Config!$D$9:$D$29,MATCH($B1499,Config!$B$9:$B$29,0))="Contrato",IF(INDEX(Config!$E$9:$E$29,MATCH($B1499,Config!$B$9:$B$29,0))="","",INDEX(Config!$E$9:$E$29,MATCH($B1499,Config!$B$9:$B$29,0))),""),""))</f>
        <v/>
      </c>
      <c r="AC1499" s="19" t="str">
        <f>IF($B1499="","",IFERROR(INDEX(Config!$D$9:$D$29,MATCH($B1499,Config!$B$9:$B$29,0))&amp;"",""))</f>
        <v/>
      </c>
    </row>
    <row r="1500">
      <c r="R1500" s="20" t="str">
        <f>IF($B1500="","",IFERROR(IF(INDEX(Config!$D$9:$D$29,MATCH($B1500,Config!$B$9:$B$29,0))="Contrato",IF(INDEX(Config!$E$9:$E$29,MATCH($B1500,Config!$B$9:$B$29,0))="","",INDEX(Config!$E$9:$E$29,MATCH($B1500,Config!$B$9:$B$29,0))),""),""))</f>
        <v/>
      </c>
      <c r="AC1500" s="19" t="str">
        <f>IF($B1500="","",IFERROR(INDEX(Config!$D$9:$D$29,MATCH($B1500,Config!$B$9:$B$29,0))&amp;"",""))</f>
        <v/>
      </c>
    </row>
    <row r="1501">
      <c r="R1501" s="20" t="str">
        <f>IF($B1501="","",IFERROR(IF(INDEX(Config!$D$9:$D$29,MATCH($B1501,Config!$B$9:$B$29,0))="Contrato",IF(INDEX(Config!$E$9:$E$29,MATCH($B1501,Config!$B$9:$B$29,0))="","",INDEX(Config!$E$9:$E$29,MATCH($B1501,Config!$B$9:$B$29,0))),""),""))</f>
        <v/>
      </c>
      <c r="AC1501" s="19" t="str">
        <f>IF($B1501="","",IFERROR(INDEX(Config!$D$9:$D$29,MATCH($B1501,Config!$B$9:$B$29,0))&amp;"",""))</f>
        <v/>
      </c>
    </row>
    <row r="1502">
      <c r="R1502" s="20" t="str">
        <f>IF($B1502="","",IFERROR(IF(INDEX(Config!$D$9:$D$29,MATCH($B1502,Config!$B$9:$B$29,0))="Contrato",IF(INDEX(Config!$E$9:$E$29,MATCH($B1502,Config!$B$9:$B$29,0))="","",INDEX(Config!$E$9:$E$29,MATCH($B1502,Config!$B$9:$B$29,0))),""),""))</f>
        <v/>
      </c>
      <c r="AC1502" s="19" t="str">
        <f>IF($B1502="","",IFERROR(INDEX(Config!$D$9:$D$29,MATCH($B1502,Config!$B$9:$B$29,0))&amp;"",""))</f>
        <v/>
      </c>
    </row>
    <row r="1503">
      <c r="R1503" s="20" t="str">
        <f>IF($B1503="","",IFERROR(IF(INDEX(Config!$D$9:$D$29,MATCH($B1503,Config!$B$9:$B$29,0))="Contrato",IF(INDEX(Config!$E$9:$E$29,MATCH($B1503,Config!$B$9:$B$29,0))="","",INDEX(Config!$E$9:$E$29,MATCH($B1503,Config!$B$9:$B$29,0))),""),""))</f>
        <v/>
      </c>
      <c r="AC1503" s="19" t="str">
        <f>IF($B1503="","",IFERROR(INDEX(Config!$D$9:$D$29,MATCH($B1503,Config!$B$9:$B$29,0))&amp;"",""))</f>
        <v/>
      </c>
    </row>
    <row r="1504">
      <c r="R1504" s="20" t="str">
        <f>IF($B1504="","",IFERROR(IF(INDEX(Config!$D$9:$D$29,MATCH($B1504,Config!$B$9:$B$29,0))="Contrato",IF(INDEX(Config!$E$9:$E$29,MATCH($B1504,Config!$B$9:$B$29,0))="","",INDEX(Config!$E$9:$E$29,MATCH($B1504,Config!$B$9:$B$29,0))),""),""))</f>
        <v/>
      </c>
      <c r="AC1504" s="19" t="str">
        <f>IF($B1504="","",IFERROR(INDEX(Config!$D$9:$D$29,MATCH($B1504,Config!$B$9:$B$29,0))&amp;"",""))</f>
        <v/>
      </c>
    </row>
    <row r="1505">
      <c r="R1505" s="20" t="str">
        <f>IF($B1505="","",IFERROR(IF(INDEX(Config!$D$9:$D$29,MATCH($B1505,Config!$B$9:$B$29,0))="Contrato",IF(INDEX(Config!$E$9:$E$29,MATCH($B1505,Config!$B$9:$B$29,0))="","",INDEX(Config!$E$9:$E$29,MATCH($B1505,Config!$B$9:$B$29,0))),""),""))</f>
        <v/>
      </c>
      <c r="AC1505" s="19" t="str">
        <f>IF($B1505="","",IFERROR(INDEX(Config!$D$9:$D$29,MATCH($B1505,Config!$B$9:$B$29,0))&amp;"",""))</f>
        <v/>
      </c>
    </row>
    <row r="1506">
      <c r="R1506" s="20" t="str">
        <f>IF($B1506="","",IFERROR(IF(INDEX(Config!$D$9:$D$29,MATCH($B1506,Config!$B$9:$B$29,0))="Contrato",IF(INDEX(Config!$E$9:$E$29,MATCH($B1506,Config!$B$9:$B$29,0))="","",INDEX(Config!$E$9:$E$29,MATCH($B1506,Config!$B$9:$B$29,0))),""),""))</f>
        <v/>
      </c>
      <c r="AC1506" s="19" t="str">
        <f>IF($B1506="","",IFERROR(INDEX(Config!$D$9:$D$29,MATCH($B1506,Config!$B$9:$B$29,0))&amp;"",""))</f>
        <v/>
      </c>
    </row>
    <row r="1507">
      <c r="R1507" s="20" t="str">
        <f>IF($B1507="","",IFERROR(IF(INDEX(Config!$D$9:$D$29,MATCH($B1507,Config!$B$9:$B$29,0))="Contrato",IF(INDEX(Config!$E$9:$E$29,MATCH($B1507,Config!$B$9:$B$29,0))="","",INDEX(Config!$E$9:$E$29,MATCH($B1507,Config!$B$9:$B$29,0))),""),""))</f>
        <v/>
      </c>
      <c r="AC1507" s="19" t="str">
        <f>IF($B1507="","",IFERROR(INDEX(Config!$D$9:$D$29,MATCH($B1507,Config!$B$9:$B$29,0))&amp;"",""))</f>
        <v/>
      </c>
    </row>
    <row r="1508">
      <c r="R1508" s="20" t="str">
        <f>IF($B1508="","",IFERROR(IF(INDEX(Config!$D$9:$D$29,MATCH($B1508,Config!$B$9:$B$29,0))="Contrato",IF(INDEX(Config!$E$9:$E$29,MATCH($B1508,Config!$B$9:$B$29,0))="","",INDEX(Config!$E$9:$E$29,MATCH($B1508,Config!$B$9:$B$29,0))),""),""))</f>
        <v/>
      </c>
      <c r="AC1508" s="19" t="str">
        <f>IF($B1508="","",IFERROR(INDEX(Config!$D$9:$D$29,MATCH($B1508,Config!$B$9:$B$29,0))&amp;"",""))</f>
        <v/>
      </c>
    </row>
    <row r="1509">
      <c r="R1509" s="20" t="str">
        <f>IF($B1509="","",IFERROR(IF(INDEX(Config!$D$9:$D$29,MATCH($B1509,Config!$B$9:$B$29,0))="Contrato",IF(INDEX(Config!$E$9:$E$29,MATCH($B1509,Config!$B$9:$B$29,0))="","",INDEX(Config!$E$9:$E$29,MATCH($B1509,Config!$B$9:$B$29,0))),""),""))</f>
        <v/>
      </c>
      <c r="AC1509" s="19" t="str">
        <f>IF($B1509="","",IFERROR(INDEX(Config!$D$9:$D$29,MATCH($B1509,Config!$B$9:$B$29,0))&amp;"",""))</f>
        <v/>
      </c>
    </row>
    <row r="1510">
      <c r="R1510" s="20" t="str">
        <f>IF($B1510="","",IFERROR(IF(INDEX(Config!$D$9:$D$29,MATCH($B1510,Config!$B$9:$B$29,0))="Contrato",IF(INDEX(Config!$E$9:$E$29,MATCH($B1510,Config!$B$9:$B$29,0))="","",INDEX(Config!$E$9:$E$29,MATCH($B1510,Config!$B$9:$B$29,0))),""),""))</f>
        <v/>
      </c>
      <c r="AC1510" s="19" t="str">
        <f>IF($B1510="","",IFERROR(INDEX(Config!$D$9:$D$29,MATCH($B1510,Config!$B$9:$B$29,0))&amp;"",""))</f>
        <v/>
      </c>
    </row>
    <row r="1511">
      <c r="R1511" s="20" t="str">
        <f>IF($B1511="","",IFERROR(IF(INDEX(Config!$D$9:$D$29,MATCH($B1511,Config!$B$9:$B$29,0))="Contrato",IF(INDEX(Config!$E$9:$E$29,MATCH($B1511,Config!$B$9:$B$29,0))="","",INDEX(Config!$E$9:$E$29,MATCH($B1511,Config!$B$9:$B$29,0))),""),""))</f>
        <v/>
      </c>
      <c r="AC1511" s="19" t="str">
        <f>IF($B1511="","",IFERROR(INDEX(Config!$D$9:$D$29,MATCH($B1511,Config!$B$9:$B$29,0))&amp;"",""))</f>
        <v/>
      </c>
    </row>
    <row r="1512">
      <c r="R1512" s="20" t="str">
        <f>IF($B1512="","",IFERROR(IF(INDEX(Config!$D$9:$D$29,MATCH($B1512,Config!$B$9:$B$29,0))="Contrato",IF(INDEX(Config!$E$9:$E$29,MATCH($B1512,Config!$B$9:$B$29,0))="","",INDEX(Config!$E$9:$E$29,MATCH($B1512,Config!$B$9:$B$29,0))),""),""))</f>
        <v/>
      </c>
      <c r="AC1512" s="19" t="str">
        <f>IF($B1512="","",IFERROR(INDEX(Config!$D$9:$D$29,MATCH($B1512,Config!$B$9:$B$29,0))&amp;"",""))</f>
        <v/>
      </c>
    </row>
    <row r="1513">
      <c r="R1513" s="20" t="str">
        <f>IF($B1513="","",IFERROR(IF(INDEX(Config!$D$9:$D$29,MATCH($B1513,Config!$B$9:$B$29,0))="Contrato",IF(INDEX(Config!$E$9:$E$29,MATCH($B1513,Config!$B$9:$B$29,0))="","",INDEX(Config!$E$9:$E$29,MATCH($B1513,Config!$B$9:$B$29,0))),""),""))</f>
        <v/>
      </c>
      <c r="AC1513" s="19" t="str">
        <f>IF($B1513="","",IFERROR(INDEX(Config!$D$9:$D$29,MATCH($B1513,Config!$B$9:$B$29,0))&amp;"",""))</f>
        <v/>
      </c>
    </row>
    <row r="1514">
      <c r="R1514" s="20" t="str">
        <f>IF($B1514="","",IFERROR(IF(INDEX(Config!$D$9:$D$29,MATCH($B1514,Config!$B$9:$B$29,0))="Contrato",IF(INDEX(Config!$E$9:$E$29,MATCH($B1514,Config!$B$9:$B$29,0))="","",INDEX(Config!$E$9:$E$29,MATCH($B1514,Config!$B$9:$B$29,0))),""),""))</f>
        <v/>
      </c>
      <c r="AC1514" s="19" t="str">
        <f>IF($B1514="","",IFERROR(INDEX(Config!$D$9:$D$29,MATCH($B1514,Config!$B$9:$B$29,0))&amp;"",""))</f>
        <v/>
      </c>
    </row>
    <row r="1515">
      <c r="R1515" s="20" t="str">
        <f>IF($B1515="","",IFERROR(IF(INDEX(Config!$D$9:$D$29,MATCH($B1515,Config!$B$9:$B$29,0))="Contrato",IF(INDEX(Config!$E$9:$E$29,MATCH($B1515,Config!$B$9:$B$29,0))="","",INDEX(Config!$E$9:$E$29,MATCH($B1515,Config!$B$9:$B$29,0))),""),""))</f>
        <v/>
      </c>
      <c r="AC1515" s="19" t="str">
        <f>IF($B1515="","",IFERROR(INDEX(Config!$D$9:$D$29,MATCH($B1515,Config!$B$9:$B$29,0))&amp;"",""))</f>
        <v/>
      </c>
    </row>
    <row r="1516">
      <c r="R1516" s="20" t="str">
        <f>IF($B1516="","",IFERROR(IF(INDEX(Config!$D$9:$D$29,MATCH($B1516,Config!$B$9:$B$29,0))="Contrato",IF(INDEX(Config!$E$9:$E$29,MATCH($B1516,Config!$B$9:$B$29,0))="","",INDEX(Config!$E$9:$E$29,MATCH($B1516,Config!$B$9:$B$29,0))),""),""))</f>
        <v/>
      </c>
      <c r="AC1516" s="19" t="str">
        <f>IF($B1516="","",IFERROR(INDEX(Config!$D$9:$D$29,MATCH($B1516,Config!$B$9:$B$29,0))&amp;"",""))</f>
        <v/>
      </c>
    </row>
    <row r="1517">
      <c r="R1517" s="20" t="str">
        <f>IF($B1517="","",IFERROR(IF(INDEX(Config!$D$9:$D$29,MATCH($B1517,Config!$B$9:$B$29,0))="Contrato",IF(INDEX(Config!$E$9:$E$29,MATCH($B1517,Config!$B$9:$B$29,0))="","",INDEX(Config!$E$9:$E$29,MATCH($B1517,Config!$B$9:$B$29,0))),""),""))</f>
        <v/>
      </c>
      <c r="AC1517" s="19" t="str">
        <f>IF($B1517="","",IFERROR(INDEX(Config!$D$9:$D$29,MATCH($B1517,Config!$B$9:$B$29,0))&amp;"",""))</f>
        <v/>
      </c>
    </row>
    <row r="1518">
      <c r="R1518" s="20" t="str">
        <f>IF($B1518="","",IFERROR(IF(INDEX(Config!$D$9:$D$29,MATCH($B1518,Config!$B$9:$B$29,0))="Contrato",IF(INDEX(Config!$E$9:$E$29,MATCH($B1518,Config!$B$9:$B$29,0))="","",INDEX(Config!$E$9:$E$29,MATCH($B1518,Config!$B$9:$B$29,0))),""),""))</f>
        <v/>
      </c>
      <c r="AC1518" s="19" t="str">
        <f>IF($B1518="","",IFERROR(INDEX(Config!$D$9:$D$29,MATCH($B1518,Config!$B$9:$B$29,0))&amp;"",""))</f>
        <v/>
      </c>
    </row>
    <row r="1519">
      <c r="R1519" s="20" t="str">
        <f>IF($B1519="","",IFERROR(IF(INDEX(Config!$D$9:$D$29,MATCH($B1519,Config!$B$9:$B$29,0))="Contrato",IF(INDEX(Config!$E$9:$E$29,MATCH($B1519,Config!$B$9:$B$29,0))="","",INDEX(Config!$E$9:$E$29,MATCH($B1519,Config!$B$9:$B$29,0))),""),""))</f>
        <v/>
      </c>
      <c r="AC1519" s="19" t="str">
        <f>IF($B1519="","",IFERROR(INDEX(Config!$D$9:$D$29,MATCH($B1519,Config!$B$9:$B$29,0))&amp;"",""))</f>
        <v/>
      </c>
    </row>
    <row r="1520">
      <c r="R1520" s="20" t="str">
        <f>IF($B1520="","",IFERROR(IF(INDEX(Config!$D$9:$D$29,MATCH($B1520,Config!$B$9:$B$29,0))="Contrato",IF(INDEX(Config!$E$9:$E$29,MATCH($B1520,Config!$B$9:$B$29,0))="","",INDEX(Config!$E$9:$E$29,MATCH($B1520,Config!$B$9:$B$29,0))),""),""))</f>
        <v/>
      </c>
      <c r="AC1520" s="19" t="str">
        <f>IF($B1520="","",IFERROR(INDEX(Config!$D$9:$D$29,MATCH($B1520,Config!$B$9:$B$29,0))&amp;"",""))</f>
        <v/>
      </c>
    </row>
    <row r="1521">
      <c r="R1521" s="20" t="str">
        <f>IF($B1521="","",IFERROR(IF(INDEX(Config!$D$9:$D$29,MATCH($B1521,Config!$B$9:$B$29,0))="Contrato",IF(INDEX(Config!$E$9:$E$29,MATCH($B1521,Config!$B$9:$B$29,0))="","",INDEX(Config!$E$9:$E$29,MATCH($B1521,Config!$B$9:$B$29,0))),""),""))</f>
        <v/>
      </c>
      <c r="AC1521" s="19" t="str">
        <f>IF($B1521="","",IFERROR(INDEX(Config!$D$9:$D$29,MATCH($B1521,Config!$B$9:$B$29,0))&amp;"",""))</f>
        <v/>
      </c>
    </row>
    <row r="1522">
      <c r="R1522" s="20" t="str">
        <f>IF($B1522="","",IFERROR(IF(INDEX(Config!$D$9:$D$29,MATCH($B1522,Config!$B$9:$B$29,0))="Contrato",IF(INDEX(Config!$E$9:$E$29,MATCH($B1522,Config!$B$9:$B$29,0))="","",INDEX(Config!$E$9:$E$29,MATCH($B1522,Config!$B$9:$B$29,0))),""),""))</f>
        <v/>
      </c>
      <c r="AC1522" s="19" t="str">
        <f>IF($B1522="","",IFERROR(INDEX(Config!$D$9:$D$29,MATCH($B1522,Config!$B$9:$B$29,0))&amp;"",""))</f>
        <v/>
      </c>
    </row>
    <row r="1523">
      <c r="R1523" s="20" t="str">
        <f>IF($B1523="","",IFERROR(IF(INDEX(Config!$D$9:$D$29,MATCH($B1523,Config!$B$9:$B$29,0))="Contrato",IF(INDEX(Config!$E$9:$E$29,MATCH($B1523,Config!$B$9:$B$29,0))="","",INDEX(Config!$E$9:$E$29,MATCH($B1523,Config!$B$9:$B$29,0))),""),""))</f>
        <v/>
      </c>
      <c r="AC1523" s="19" t="str">
        <f>IF($B1523="","",IFERROR(INDEX(Config!$D$9:$D$29,MATCH($B1523,Config!$B$9:$B$29,0))&amp;"",""))</f>
        <v/>
      </c>
    </row>
    <row r="1524">
      <c r="R1524" s="20" t="str">
        <f>IF($B1524="","",IFERROR(IF(INDEX(Config!$D$9:$D$29,MATCH($B1524,Config!$B$9:$B$29,0))="Contrato",IF(INDEX(Config!$E$9:$E$29,MATCH($B1524,Config!$B$9:$B$29,0))="","",INDEX(Config!$E$9:$E$29,MATCH($B1524,Config!$B$9:$B$29,0))),""),""))</f>
        <v/>
      </c>
      <c r="AC1524" s="19" t="str">
        <f>IF($B1524="","",IFERROR(INDEX(Config!$D$9:$D$29,MATCH($B1524,Config!$B$9:$B$29,0))&amp;"",""))</f>
        <v/>
      </c>
    </row>
    <row r="1525">
      <c r="R1525" s="20" t="str">
        <f>IF($B1525="","",IFERROR(IF(INDEX(Config!$D$9:$D$29,MATCH($B1525,Config!$B$9:$B$29,0))="Contrato",IF(INDEX(Config!$E$9:$E$29,MATCH($B1525,Config!$B$9:$B$29,0))="","",INDEX(Config!$E$9:$E$29,MATCH($B1525,Config!$B$9:$B$29,0))),""),""))</f>
        <v/>
      </c>
      <c r="AC1525" s="19" t="str">
        <f>IF($B1525="","",IFERROR(INDEX(Config!$D$9:$D$29,MATCH($B1525,Config!$B$9:$B$29,0))&amp;"",""))</f>
        <v/>
      </c>
    </row>
    <row r="1526">
      <c r="R1526" s="20" t="str">
        <f>IF($B1526="","",IFERROR(IF(INDEX(Config!$D$9:$D$29,MATCH($B1526,Config!$B$9:$B$29,0))="Contrato",IF(INDEX(Config!$E$9:$E$29,MATCH($B1526,Config!$B$9:$B$29,0))="","",INDEX(Config!$E$9:$E$29,MATCH($B1526,Config!$B$9:$B$29,0))),""),""))</f>
        <v/>
      </c>
      <c r="AC1526" s="19" t="str">
        <f>IF($B1526="","",IFERROR(INDEX(Config!$D$9:$D$29,MATCH($B1526,Config!$B$9:$B$29,0))&amp;"",""))</f>
        <v/>
      </c>
    </row>
    <row r="1527">
      <c r="R1527" s="20" t="str">
        <f>IF($B1527="","",IFERROR(IF(INDEX(Config!$D$9:$D$29,MATCH($B1527,Config!$B$9:$B$29,0))="Contrato",IF(INDEX(Config!$E$9:$E$29,MATCH($B1527,Config!$B$9:$B$29,0))="","",INDEX(Config!$E$9:$E$29,MATCH($B1527,Config!$B$9:$B$29,0))),""),""))</f>
        <v/>
      </c>
      <c r="AC1527" s="19" t="str">
        <f>IF($B1527="","",IFERROR(INDEX(Config!$D$9:$D$29,MATCH($B1527,Config!$B$9:$B$29,0))&amp;"",""))</f>
        <v/>
      </c>
    </row>
    <row r="1528">
      <c r="R1528" s="20" t="str">
        <f>IF($B1528="","",IFERROR(IF(INDEX(Config!$D$9:$D$29,MATCH($B1528,Config!$B$9:$B$29,0))="Contrato",IF(INDEX(Config!$E$9:$E$29,MATCH($B1528,Config!$B$9:$B$29,0))="","",INDEX(Config!$E$9:$E$29,MATCH($B1528,Config!$B$9:$B$29,0))),""),""))</f>
        <v/>
      </c>
      <c r="AC1528" s="19" t="str">
        <f>IF($B1528="","",IFERROR(INDEX(Config!$D$9:$D$29,MATCH($B1528,Config!$B$9:$B$29,0))&amp;"",""))</f>
        <v/>
      </c>
    </row>
    <row r="1529">
      <c r="R1529" s="20" t="str">
        <f>IF($B1529="","",IFERROR(IF(INDEX(Config!$D$9:$D$29,MATCH($B1529,Config!$B$9:$B$29,0))="Contrato",IF(INDEX(Config!$E$9:$E$29,MATCH($B1529,Config!$B$9:$B$29,0))="","",INDEX(Config!$E$9:$E$29,MATCH($B1529,Config!$B$9:$B$29,0))),""),""))</f>
        <v/>
      </c>
      <c r="AC1529" s="19" t="str">
        <f>IF($B1529="","",IFERROR(INDEX(Config!$D$9:$D$29,MATCH($B1529,Config!$B$9:$B$29,0))&amp;"",""))</f>
        <v/>
      </c>
    </row>
    <row r="1530">
      <c r="R1530" s="20" t="str">
        <f>IF($B1530="","",IFERROR(IF(INDEX(Config!$D$9:$D$29,MATCH($B1530,Config!$B$9:$B$29,0))="Contrato",IF(INDEX(Config!$E$9:$E$29,MATCH($B1530,Config!$B$9:$B$29,0))="","",INDEX(Config!$E$9:$E$29,MATCH($B1530,Config!$B$9:$B$29,0))),""),""))</f>
        <v/>
      </c>
      <c r="AC1530" s="19" t="str">
        <f>IF($B1530="","",IFERROR(INDEX(Config!$D$9:$D$29,MATCH($B1530,Config!$B$9:$B$29,0))&amp;"",""))</f>
        <v/>
      </c>
    </row>
    <row r="1531">
      <c r="R1531" s="20" t="str">
        <f>IF($B1531="","",IFERROR(IF(INDEX(Config!$D$9:$D$29,MATCH($B1531,Config!$B$9:$B$29,0))="Contrato",IF(INDEX(Config!$E$9:$E$29,MATCH($B1531,Config!$B$9:$B$29,0))="","",INDEX(Config!$E$9:$E$29,MATCH($B1531,Config!$B$9:$B$29,0))),""),""))</f>
        <v/>
      </c>
      <c r="AC1531" s="19" t="str">
        <f>IF($B1531="","",IFERROR(INDEX(Config!$D$9:$D$29,MATCH($B1531,Config!$B$9:$B$29,0))&amp;"",""))</f>
        <v/>
      </c>
    </row>
    <row r="1532">
      <c r="R1532" s="20" t="str">
        <f>IF($B1532="","",IFERROR(IF(INDEX(Config!$D$9:$D$29,MATCH($B1532,Config!$B$9:$B$29,0))="Contrato",IF(INDEX(Config!$E$9:$E$29,MATCH($B1532,Config!$B$9:$B$29,0))="","",INDEX(Config!$E$9:$E$29,MATCH($B1532,Config!$B$9:$B$29,0))),""),""))</f>
        <v/>
      </c>
      <c r="AC1532" s="19" t="str">
        <f>IF($B1532="","",IFERROR(INDEX(Config!$D$9:$D$29,MATCH($B1532,Config!$B$9:$B$29,0))&amp;"",""))</f>
        <v/>
      </c>
    </row>
    <row r="1533">
      <c r="R1533" s="20" t="str">
        <f>IF($B1533="","",IFERROR(IF(INDEX(Config!$D$9:$D$29,MATCH($B1533,Config!$B$9:$B$29,0))="Contrato",IF(INDEX(Config!$E$9:$E$29,MATCH($B1533,Config!$B$9:$B$29,0))="","",INDEX(Config!$E$9:$E$29,MATCH($B1533,Config!$B$9:$B$29,0))),""),""))</f>
        <v/>
      </c>
      <c r="AC1533" s="19" t="str">
        <f>IF($B1533="","",IFERROR(INDEX(Config!$D$9:$D$29,MATCH($B1533,Config!$B$9:$B$29,0))&amp;"",""))</f>
        <v/>
      </c>
    </row>
    <row r="1534">
      <c r="R1534" s="20" t="str">
        <f>IF($B1534="","",IFERROR(IF(INDEX(Config!$D$9:$D$29,MATCH($B1534,Config!$B$9:$B$29,0))="Contrato",IF(INDEX(Config!$E$9:$E$29,MATCH($B1534,Config!$B$9:$B$29,0))="","",INDEX(Config!$E$9:$E$29,MATCH($B1534,Config!$B$9:$B$29,0))),""),""))</f>
        <v/>
      </c>
      <c r="AC1534" s="19" t="str">
        <f>IF($B1534="","",IFERROR(INDEX(Config!$D$9:$D$29,MATCH($B1534,Config!$B$9:$B$29,0))&amp;"",""))</f>
        <v/>
      </c>
    </row>
    <row r="1535">
      <c r="R1535" s="20" t="str">
        <f>IF($B1535="","",IFERROR(IF(INDEX(Config!$D$9:$D$29,MATCH($B1535,Config!$B$9:$B$29,0))="Contrato",IF(INDEX(Config!$E$9:$E$29,MATCH($B1535,Config!$B$9:$B$29,0))="","",INDEX(Config!$E$9:$E$29,MATCH($B1535,Config!$B$9:$B$29,0))),""),""))</f>
        <v/>
      </c>
      <c r="AC1535" s="19" t="str">
        <f>IF($B1535="","",IFERROR(INDEX(Config!$D$9:$D$29,MATCH($B1535,Config!$B$9:$B$29,0))&amp;"",""))</f>
        <v/>
      </c>
    </row>
    <row r="1536">
      <c r="R1536" s="20" t="str">
        <f>IF($B1536="","",IFERROR(IF(INDEX(Config!$D$9:$D$29,MATCH($B1536,Config!$B$9:$B$29,0))="Contrato",IF(INDEX(Config!$E$9:$E$29,MATCH($B1536,Config!$B$9:$B$29,0))="","",INDEX(Config!$E$9:$E$29,MATCH($B1536,Config!$B$9:$B$29,0))),""),""))</f>
        <v/>
      </c>
      <c r="AC1536" s="19" t="str">
        <f>IF($B1536="","",IFERROR(INDEX(Config!$D$9:$D$29,MATCH($B1536,Config!$B$9:$B$29,0))&amp;"",""))</f>
        <v/>
      </c>
    </row>
    <row r="1537">
      <c r="R1537" s="20" t="str">
        <f>IF($B1537="","",IFERROR(IF(INDEX(Config!$D$9:$D$29,MATCH($B1537,Config!$B$9:$B$29,0))="Contrato",IF(INDEX(Config!$E$9:$E$29,MATCH($B1537,Config!$B$9:$B$29,0))="","",INDEX(Config!$E$9:$E$29,MATCH($B1537,Config!$B$9:$B$29,0))),""),""))</f>
        <v/>
      </c>
      <c r="AC1537" s="19" t="str">
        <f>IF($B1537="","",IFERROR(INDEX(Config!$D$9:$D$29,MATCH($B1537,Config!$B$9:$B$29,0))&amp;"",""))</f>
        <v/>
      </c>
    </row>
    <row r="1538">
      <c r="R1538" s="20" t="str">
        <f>IF($B1538="","",IFERROR(IF(INDEX(Config!$D$9:$D$29,MATCH($B1538,Config!$B$9:$B$29,0))="Contrato",IF(INDEX(Config!$E$9:$E$29,MATCH($B1538,Config!$B$9:$B$29,0))="","",INDEX(Config!$E$9:$E$29,MATCH($B1538,Config!$B$9:$B$29,0))),""),""))</f>
        <v/>
      </c>
      <c r="AC1538" s="19" t="str">
        <f>IF($B1538="","",IFERROR(INDEX(Config!$D$9:$D$29,MATCH($B1538,Config!$B$9:$B$29,0))&amp;"",""))</f>
        <v/>
      </c>
    </row>
    <row r="1539">
      <c r="R1539" s="20" t="str">
        <f>IF($B1539="","",IFERROR(IF(INDEX(Config!$D$9:$D$29,MATCH($B1539,Config!$B$9:$B$29,0))="Contrato",IF(INDEX(Config!$E$9:$E$29,MATCH($B1539,Config!$B$9:$B$29,0))="","",INDEX(Config!$E$9:$E$29,MATCH($B1539,Config!$B$9:$B$29,0))),""),""))</f>
        <v/>
      </c>
      <c r="AC1539" s="19" t="str">
        <f>IF($B1539="","",IFERROR(INDEX(Config!$D$9:$D$29,MATCH($B1539,Config!$B$9:$B$29,0))&amp;"",""))</f>
        <v/>
      </c>
    </row>
    <row r="1540">
      <c r="R1540" s="20" t="str">
        <f>IF($B1540="","",IFERROR(IF(INDEX(Config!$D$9:$D$29,MATCH($B1540,Config!$B$9:$B$29,0))="Contrato",IF(INDEX(Config!$E$9:$E$29,MATCH($B1540,Config!$B$9:$B$29,0))="","",INDEX(Config!$E$9:$E$29,MATCH($B1540,Config!$B$9:$B$29,0))),""),""))</f>
        <v/>
      </c>
      <c r="AC1540" s="19" t="str">
        <f>IF($B1540="","",IFERROR(INDEX(Config!$D$9:$D$29,MATCH($B1540,Config!$B$9:$B$29,0))&amp;"",""))</f>
        <v/>
      </c>
    </row>
    <row r="1541">
      <c r="R1541" s="20" t="str">
        <f>IF($B1541="","",IFERROR(IF(INDEX(Config!$D$9:$D$29,MATCH($B1541,Config!$B$9:$B$29,0))="Contrato",IF(INDEX(Config!$E$9:$E$29,MATCH($B1541,Config!$B$9:$B$29,0))="","",INDEX(Config!$E$9:$E$29,MATCH($B1541,Config!$B$9:$B$29,0))),""),""))</f>
        <v/>
      </c>
      <c r="AC1541" s="19" t="str">
        <f>IF($B1541="","",IFERROR(INDEX(Config!$D$9:$D$29,MATCH($B1541,Config!$B$9:$B$29,0))&amp;"",""))</f>
        <v/>
      </c>
    </row>
    <row r="1542">
      <c r="R1542" s="20" t="str">
        <f>IF($B1542="","",IFERROR(IF(INDEX(Config!$D$9:$D$29,MATCH($B1542,Config!$B$9:$B$29,0))="Contrato",IF(INDEX(Config!$E$9:$E$29,MATCH($B1542,Config!$B$9:$B$29,0))="","",INDEX(Config!$E$9:$E$29,MATCH($B1542,Config!$B$9:$B$29,0))),""),""))</f>
        <v/>
      </c>
      <c r="AC1542" s="19" t="str">
        <f>IF($B1542="","",IFERROR(INDEX(Config!$D$9:$D$29,MATCH($B1542,Config!$B$9:$B$29,0))&amp;"",""))</f>
        <v/>
      </c>
    </row>
    <row r="1543">
      <c r="R1543" s="20" t="str">
        <f>IF($B1543="","",IFERROR(IF(INDEX(Config!$D$9:$D$29,MATCH($B1543,Config!$B$9:$B$29,0))="Contrato",IF(INDEX(Config!$E$9:$E$29,MATCH($B1543,Config!$B$9:$B$29,0))="","",INDEX(Config!$E$9:$E$29,MATCH($B1543,Config!$B$9:$B$29,0))),""),""))</f>
        <v/>
      </c>
      <c r="AC1543" s="19" t="str">
        <f>IF($B1543="","",IFERROR(INDEX(Config!$D$9:$D$29,MATCH($B1543,Config!$B$9:$B$29,0))&amp;"",""))</f>
        <v/>
      </c>
    </row>
    <row r="1544">
      <c r="R1544" s="20" t="str">
        <f>IF($B1544="","",IFERROR(IF(INDEX(Config!$D$9:$D$29,MATCH($B1544,Config!$B$9:$B$29,0))="Contrato",IF(INDEX(Config!$E$9:$E$29,MATCH($B1544,Config!$B$9:$B$29,0))="","",INDEX(Config!$E$9:$E$29,MATCH($B1544,Config!$B$9:$B$29,0))),""),""))</f>
        <v/>
      </c>
      <c r="AC1544" s="19" t="str">
        <f>IF($B1544="","",IFERROR(INDEX(Config!$D$9:$D$29,MATCH($B1544,Config!$B$9:$B$29,0))&amp;"",""))</f>
        <v/>
      </c>
    </row>
    <row r="1545">
      <c r="R1545" s="20" t="str">
        <f>IF($B1545="","",IFERROR(IF(INDEX(Config!$D$9:$D$29,MATCH($B1545,Config!$B$9:$B$29,0))="Contrato",IF(INDEX(Config!$E$9:$E$29,MATCH($B1545,Config!$B$9:$B$29,0))="","",INDEX(Config!$E$9:$E$29,MATCH($B1545,Config!$B$9:$B$29,0))),""),""))</f>
        <v/>
      </c>
      <c r="AC1545" s="19" t="str">
        <f>IF($B1545="","",IFERROR(INDEX(Config!$D$9:$D$29,MATCH($B1545,Config!$B$9:$B$29,0))&amp;"",""))</f>
        <v/>
      </c>
    </row>
    <row r="1546">
      <c r="R1546" s="20" t="str">
        <f>IF($B1546="","",IFERROR(IF(INDEX(Config!$D$9:$D$29,MATCH($B1546,Config!$B$9:$B$29,0))="Contrato",IF(INDEX(Config!$E$9:$E$29,MATCH($B1546,Config!$B$9:$B$29,0))="","",INDEX(Config!$E$9:$E$29,MATCH($B1546,Config!$B$9:$B$29,0))),""),""))</f>
        <v/>
      </c>
      <c r="AC1546" s="19" t="str">
        <f>IF($B1546="","",IFERROR(INDEX(Config!$D$9:$D$29,MATCH($B1546,Config!$B$9:$B$29,0))&amp;"",""))</f>
        <v/>
      </c>
    </row>
    <row r="1547">
      <c r="R1547" s="20" t="str">
        <f>IF($B1547="","",IFERROR(IF(INDEX(Config!$D$9:$D$29,MATCH($B1547,Config!$B$9:$B$29,0))="Contrato",IF(INDEX(Config!$E$9:$E$29,MATCH($B1547,Config!$B$9:$B$29,0))="","",INDEX(Config!$E$9:$E$29,MATCH($B1547,Config!$B$9:$B$29,0))),""),""))</f>
        <v/>
      </c>
      <c r="AC1547" s="19" t="str">
        <f>IF($B1547="","",IFERROR(INDEX(Config!$D$9:$D$29,MATCH($B1547,Config!$B$9:$B$29,0))&amp;"",""))</f>
        <v/>
      </c>
    </row>
    <row r="1548">
      <c r="R1548" s="20" t="str">
        <f>IF($B1548="","",IFERROR(IF(INDEX(Config!$D$9:$D$29,MATCH($B1548,Config!$B$9:$B$29,0))="Contrato",IF(INDEX(Config!$E$9:$E$29,MATCH($B1548,Config!$B$9:$B$29,0))="","",INDEX(Config!$E$9:$E$29,MATCH($B1548,Config!$B$9:$B$29,0))),""),""))</f>
        <v/>
      </c>
      <c r="AC1548" s="19" t="str">
        <f>IF($B1548="","",IFERROR(INDEX(Config!$D$9:$D$29,MATCH($B1548,Config!$B$9:$B$29,0))&amp;"",""))</f>
        <v/>
      </c>
    </row>
    <row r="1549">
      <c r="R1549" s="20" t="str">
        <f>IF($B1549="","",IFERROR(IF(INDEX(Config!$D$9:$D$29,MATCH($B1549,Config!$B$9:$B$29,0))="Contrato",IF(INDEX(Config!$E$9:$E$29,MATCH($B1549,Config!$B$9:$B$29,0))="","",INDEX(Config!$E$9:$E$29,MATCH($B1549,Config!$B$9:$B$29,0))),""),""))</f>
        <v/>
      </c>
      <c r="AC1549" s="19" t="str">
        <f>IF($B1549="","",IFERROR(INDEX(Config!$D$9:$D$29,MATCH($B1549,Config!$B$9:$B$29,0))&amp;"",""))</f>
        <v/>
      </c>
    </row>
    <row r="1550">
      <c r="R1550" s="20" t="str">
        <f>IF($B1550="","",IFERROR(IF(INDEX(Config!$D$9:$D$29,MATCH($B1550,Config!$B$9:$B$29,0))="Contrato",IF(INDEX(Config!$E$9:$E$29,MATCH($B1550,Config!$B$9:$B$29,0))="","",INDEX(Config!$E$9:$E$29,MATCH($B1550,Config!$B$9:$B$29,0))),""),""))</f>
        <v/>
      </c>
      <c r="AC1550" s="19" t="str">
        <f>IF($B1550="","",IFERROR(INDEX(Config!$D$9:$D$29,MATCH($B1550,Config!$B$9:$B$29,0))&amp;"",""))</f>
        <v/>
      </c>
    </row>
    <row r="1551">
      <c r="R1551" s="20" t="str">
        <f>IF($B1551="","",IFERROR(IF(INDEX(Config!$D$9:$D$29,MATCH($B1551,Config!$B$9:$B$29,0))="Contrato",IF(INDEX(Config!$E$9:$E$29,MATCH($B1551,Config!$B$9:$B$29,0))="","",INDEX(Config!$E$9:$E$29,MATCH($B1551,Config!$B$9:$B$29,0))),""),""))</f>
        <v/>
      </c>
      <c r="AC1551" s="19" t="str">
        <f>IF($B1551="","",IFERROR(INDEX(Config!$D$9:$D$29,MATCH($B1551,Config!$B$9:$B$29,0))&amp;"",""))</f>
        <v/>
      </c>
    </row>
    <row r="1552">
      <c r="R1552" s="20" t="str">
        <f>IF($B1552="","",IFERROR(IF(INDEX(Config!$D$9:$D$29,MATCH($B1552,Config!$B$9:$B$29,0))="Contrato",IF(INDEX(Config!$E$9:$E$29,MATCH($B1552,Config!$B$9:$B$29,0))="","",INDEX(Config!$E$9:$E$29,MATCH($B1552,Config!$B$9:$B$29,0))),""),""))</f>
        <v/>
      </c>
      <c r="AC1552" s="19" t="str">
        <f>IF($B1552="","",IFERROR(INDEX(Config!$D$9:$D$29,MATCH($B1552,Config!$B$9:$B$29,0))&amp;"",""))</f>
        <v/>
      </c>
    </row>
    <row r="1553">
      <c r="R1553" s="20" t="str">
        <f>IF($B1553="","",IFERROR(IF(INDEX(Config!$D$9:$D$29,MATCH($B1553,Config!$B$9:$B$29,0))="Contrato",IF(INDEX(Config!$E$9:$E$29,MATCH($B1553,Config!$B$9:$B$29,0))="","",INDEX(Config!$E$9:$E$29,MATCH($B1553,Config!$B$9:$B$29,0))),""),""))</f>
        <v/>
      </c>
      <c r="AC1553" s="19" t="str">
        <f>IF($B1553="","",IFERROR(INDEX(Config!$D$9:$D$29,MATCH($B1553,Config!$B$9:$B$29,0))&amp;"",""))</f>
        <v/>
      </c>
    </row>
    <row r="1554">
      <c r="R1554" s="20" t="str">
        <f>IF($B1554="","",IFERROR(IF(INDEX(Config!$D$9:$D$29,MATCH($B1554,Config!$B$9:$B$29,0))="Contrato",IF(INDEX(Config!$E$9:$E$29,MATCH($B1554,Config!$B$9:$B$29,0))="","",INDEX(Config!$E$9:$E$29,MATCH($B1554,Config!$B$9:$B$29,0))),""),""))</f>
        <v/>
      </c>
      <c r="AC1554" s="19" t="str">
        <f>IF($B1554="","",IFERROR(INDEX(Config!$D$9:$D$29,MATCH($B1554,Config!$B$9:$B$29,0))&amp;"",""))</f>
        <v/>
      </c>
    </row>
    <row r="1555">
      <c r="R1555" s="20" t="str">
        <f>IF($B1555="","",IFERROR(IF(INDEX(Config!$D$9:$D$29,MATCH($B1555,Config!$B$9:$B$29,0))="Contrato",IF(INDEX(Config!$E$9:$E$29,MATCH($B1555,Config!$B$9:$B$29,0))="","",INDEX(Config!$E$9:$E$29,MATCH($B1555,Config!$B$9:$B$29,0))),""),""))</f>
        <v/>
      </c>
      <c r="AC1555" s="19" t="str">
        <f>IF($B1555="","",IFERROR(INDEX(Config!$D$9:$D$29,MATCH($B1555,Config!$B$9:$B$29,0))&amp;"",""))</f>
        <v/>
      </c>
    </row>
    <row r="1556">
      <c r="R1556" s="20" t="str">
        <f>IF($B1556="","",IFERROR(IF(INDEX(Config!$D$9:$D$29,MATCH($B1556,Config!$B$9:$B$29,0))="Contrato",IF(INDEX(Config!$E$9:$E$29,MATCH($B1556,Config!$B$9:$B$29,0))="","",INDEX(Config!$E$9:$E$29,MATCH($B1556,Config!$B$9:$B$29,0))),""),""))</f>
        <v/>
      </c>
      <c r="AC1556" s="19" t="str">
        <f>IF($B1556="","",IFERROR(INDEX(Config!$D$9:$D$29,MATCH($B1556,Config!$B$9:$B$29,0))&amp;"",""))</f>
        <v/>
      </c>
    </row>
    <row r="1557">
      <c r="R1557" s="20" t="str">
        <f>IF($B1557="","",IFERROR(IF(INDEX(Config!$D$9:$D$29,MATCH($B1557,Config!$B$9:$B$29,0))="Contrato",IF(INDEX(Config!$E$9:$E$29,MATCH($B1557,Config!$B$9:$B$29,0))="","",INDEX(Config!$E$9:$E$29,MATCH($B1557,Config!$B$9:$B$29,0))),""),""))</f>
        <v/>
      </c>
      <c r="AC1557" s="19" t="str">
        <f>IF($B1557="","",IFERROR(INDEX(Config!$D$9:$D$29,MATCH($B1557,Config!$B$9:$B$29,0))&amp;"",""))</f>
        <v/>
      </c>
    </row>
    <row r="1558">
      <c r="R1558" s="20" t="str">
        <f>IF($B1558="","",IFERROR(IF(INDEX(Config!$D$9:$D$29,MATCH($B1558,Config!$B$9:$B$29,0))="Contrato",IF(INDEX(Config!$E$9:$E$29,MATCH($B1558,Config!$B$9:$B$29,0))="","",INDEX(Config!$E$9:$E$29,MATCH($B1558,Config!$B$9:$B$29,0))),""),""))</f>
        <v/>
      </c>
      <c r="AC1558" s="19" t="str">
        <f>IF($B1558="","",IFERROR(INDEX(Config!$D$9:$D$29,MATCH($B1558,Config!$B$9:$B$29,0))&amp;"",""))</f>
        <v/>
      </c>
    </row>
    <row r="1559">
      <c r="R1559" s="20" t="str">
        <f>IF($B1559="","",IFERROR(IF(INDEX(Config!$D$9:$D$29,MATCH($B1559,Config!$B$9:$B$29,0))="Contrato",IF(INDEX(Config!$E$9:$E$29,MATCH($B1559,Config!$B$9:$B$29,0))="","",INDEX(Config!$E$9:$E$29,MATCH($B1559,Config!$B$9:$B$29,0))),""),""))</f>
        <v/>
      </c>
      <c r="AC1559" s="19" t="str">
        <f>IF($B1559="","",IFERROR(INDEX(Config!$D$9:$D$29,MATCH($B1559,Config!$B$9:$B$29,0))&amp;"",""))</f>
        <v/>
      </c>
    </row>
    <row r="1560">
      <c r="R1560" s="20" t="str">
        <f>IF($B1560="","",IFERROR(IF(INDEX(Config!$D$9:$D$29,MATCH($B1560,Config!$B$9:$B$29,0))="Contrato",IF(INDEX(Config!$E$9:$E$29,MATCH($B1560,Config!$B$9:$B$29,0))="","",INDEX(Config!$E$9:$E$29,MATCH($B1560,Config!$B$9:$B$29,0))),""),""))</f>
        <v/>
      </c>
      <c r="AC1560" s="19" t="str">
        <f>IF($B1560="","",IFERROR(INDEX(Config!$D$9:$D$29,MATCH($B1560,Config!$B$9:$B$29,0))&amp;"",""))</f>
        <v/>
      </c>
    </row>
    <row r="1561">
      <c r="R1561" s="20" t="str">
        <f>IF($B1561="","",IFERROR(IF(INDEX(Config!$D$9:$D$29,MATCH($B1561,Config!$B$9:$B$29,0))="Contrato",IF(INDEX(Config!$E$9:$E$29,MATCH($B1561,Config!$B$9:$B$29,0))="","",INDEX(Config!$E$9:$E$29,MATCH($B1561,Config!$B$9:$B$29,0))),""),""))</f>
        <v/>
      </c>
      <c r="AC1561" s="19" t="str">
        <f>IF($B1561="","",IFERROR(INDEX(Config!$D$9:$D$29,MATCH($B1561,Config!$B$9:$B$29,0))&amp;"",""))</f>
        <v/>
      </c>
    </row>
    <row r="1562">
      <c r="R1562" s="20" t="str">
        <f>IF($B1562="","",IFERROR(IF(INDEX(Config!$D$9:$D$29,MATCH($B1562,Config!$B$9:$B$29,0))="Contrato",IF(INDEX(Config!$E$9:$E$29,MATCH($B1562,Config!$B$9:$B$29,0))="","",INDEX(Config!$E$9:$E$29,MATCH($B1562,Config!$B$9:$B$29,0))),""),""))</f>
        <v/>
      </c>
      <c r="AC1562" s="19" t="str">
        <f>IF($B1562="","",IFERROR(INDEX(Config!$D$9:$D$29,MATCH($B1562,Config!$B$9:$B$29,0))&amp;"",""))</f>
        <v/>
      </c>
    </row>
    <row r="1563">
      <c r="R1563" s="20" t="str">
        <f>IF($B1563="","",IFERROR(IF(INDEX(Config!$D$9:$D$29,MATCH($B1563,Config!$B$9:$B$29,0))="Contrato",IF(INDEX(Config!$E$9:$E$29,MATCH($B1563,Config!$B$9:$B$29,0))="","",INDEX(Config!$E$9:$E$29,MATCH($B1563,Config!$B$9:$B$29,0))),""),""))</f>
        <v/>
      </c>
      <c r="AC1563" s="19" t="str">
        <f>IF($B1563="","",IFERROR(INDEX(Config!$D$9:$D$29,MATCH($B1563,Config!$B$9:$B$29,0))&amp;"",""))</f>
        <v/>
      </c>
    </row>
    <row r="1564">
      <c r="R1564" s="20" t="str">
        <f>IF($B1564="","",IFERROR(IF(INDEX(Config!$D$9:$D$29,MATCH($B1564,Config!$B$9:$B$29,0))="Contrato",IF(INDEX(Config!$E$9:$E$29,MATCH($B1564,Config!$B$9:$B$29,0))="","",INDEX(Config!$E$9:$E$29,MATCH($B1564,Config!$B$9:$B$29,0))),""),""))</f>
        <v/>
      </c>
      <c r="AC1564" s="19" t="str">
        <f>IF($B1564="","",IFERROR(INDEX(Config!$D$9:$D$29,MATCH($B1564,Config!$B$9:$B$29,0))&amp;"",""))</f>
        <v/>
      </c>
    </row>
    <row r="1565">
      <c r="R1565" s="20" t="str">
        <f>IF($B1565="","",IFERROR(IF(INDEX(Config!$D$9:$D$29,MATCH($B1565,Config!$B$9:$B$29,0))="Contrato",IF(INDEX(Config!$E$9:$E$29,MATCH($B1565,Config!$B$9:$B$29,0))="","",INDEX(Config!$E$9:$E$29,MATCH($B1565,Config!$B$9:$B$29,0))),""),""))</f>
        <v/>
      </c>
      <c r="AC1565" s="19" t="str">
        <f>IF($B1565="","",IFERROR(INDEX(Config!$D$9:$D$29,MATCH($B1565,Config!$B$9:$B$29,0))&amp;"",""))</f>
        <v/>
      </c>
    </row>
    <row r="1566">
      <c r="R1566" s="20" t="str">
        <f>IF($B1566="","",IFERROR(IF(INDEX(Config!$D$9:$D$29,MATCH($B1566,Config!$B$9:$B$29,0))="Contrato",IF(INDEX(Config!$E$9:$E$29,MATCH($B1566,Config!$B$9:$B$29,0))="","",INDEX(Config!$E$9:$E$29,MATCH($B1566,Config!$B$9:$B$29,0))),""),""))</f>
        <v/>
      </c>
      <c r="AC1566" s="19" t="str">
        <f>IF($B1566="","",IFERROR(INDEX(Config!$D$9:$D$29,MATCH($B1566,Config!$B$9:$B$29,0))&amp;"",""))</f>
        <v/>
      </c>
    </row>
    <row r="1567">
      <c r="R1567" s="20" t="str">
        <f>IF($B1567="","",IFERROR(IF(INDEX(Config!$D$9:$D$29,MATCH($B1567,Config!$B$9:$B$29,0))="Contrato",IF(INDEX(Config!$E$9:$E$29,MATCH($B1567,Config!$B$9:$B$29,0))="","",INDEX(Config!$E$9:$E$29,MATCH($B1567,Config!$B$9:$B$29,0))),""),""))</f>
        <v/>
      </c>
      <c r="AC1567" s="19" t="str">
        <f>IF($B1567="","",IFERROR(INDEX(Config!$D$9:$D$29,MATCH($B1567,Config!$B$9:$B$29,0))&amp;"",""))</f>
        <v/>
      </c>
    </row>
    <row r="1568">
      <c r="R1568" s="20" t="str">
        <f>IF($B1568="","",IFERROR(IF(INDEX(Config!$D$9:$D$29,MATCH($B1568,Config!$B$9:$B$29,0))="Contrato",IF(INDEX(Config!$E$9:$E$29,MATCH($B1568,Config!$B$9:$B$29,0))="","",INDEX(Config!$E$9:$E$29,MATCH($B1568,Config!$B$9:$B$29,0))),""),""))</f>
        <v/>
      </c>
      <c r="AC1568" s="19" t="str">
        <f>IF($B1568="","",IFERROR(INDEX(Config!$D$9:$D$29,MATCH($B1568,Config!$B$9:$B$29,0))&amp;"",""))</f>
        <v/>
      </c>
    </row>
    <row r="1569">
      <c r="R1569" s="20" t="str">
        <f>IF($B1569="","",IFERROR(IF(INDEX(Config!$D$9:$D$29,MATCH($B1569,Config!$B$9:$B$29,0))="Contrato",IF(INDEX(Config!$E$9:$E$29,MATCH($B1569,Config!$B$9:$B$29,0))="","",INDEX(Config!$E$9:$E$29,MATCH($B1569,Config!$B$9:$B$29,0))),""),""))</f>
        <v/>
      </c>
      <c r="AC1569" s="19" t="str">
        <f>IF($B1569="","",IFERROR(INDEX(Config!$D$9:$D$29,MATCH($B1569,Config!$B$9:$B$29,0))&amp;"",""))</f>
        <v/>
      </c>
    </row>
    <row r="1570">
      <c r="R1570" s="20" t="str">
        <f>IF($B1570="","",IFERROR(IF(INDEX(Config!$D$9:$D$29,MATCH($B1570,Config!$B$9:$B$29,0))="Contrato",IF(INDEX(Config!$E$9:$E$29,MATCH($B1570,Config!$B$9:$B$29,0))="","",INDEX(Config!$E$9:$E$29,MATCH($B1570,Config!$B$9:$B$29,0))),""),""))</f>
        <v/>
      </c>
      <c r="AC1570" s="19" t="str">
        <f>IF($B1570="","",IFERROR(INDEX(Config!$D$9:$D$29,MATCH($B1570,Config!$B$9:$B$29,0))&amp;"",""))</f>
        <v/>
      </c>
    </row>
    <row r="1571">
      <c r="R1571" s="20" t="str">
        <f>IF($B1571="","",IFERROR(IF(INDEX(Config!$D$9:$D$29,MATCH($B1571,Config!$B$9:$B$29,0))="Contrato",IF(INDEX(Config!$E$9:$E$29,MATCH($B1571,Config!$B$9:$B$29,0))="","",INDEX(Config!$E$9:$E$29,MATCH($B1571,Config!$B$9:$B$29,0))),""),""))</f>
        <v/>
      </c>
      <c r="AC1571" s="19" t="str">
        <f>IF($B1571="","",IFERROR(INDEX(Config!$D$9:$D$29,MATCH($B1571,Config!$B$9:$B$29,0))&amp;"",""))</f>
        <v/>
      </c>
    </row>
    <row r="1572">
      <c r="R1572" s="20" t="str">
        <f>IF($B1572="","",IFERROR(IF(INDEX(Config!$D$9:$D$29,MATCH($B1572,Config!$B$9:$B$29,0))="Contrato",IF(INDEX(Config!$E$9:$E$29,MATCH($B1572,Config!$B$9:$B$29,0))="","",INDEX(Config!$E$9:$E$29,MATCH($B1572,Config!$B$9:$B$29,0))),""),""))</f>
        <v/>
      </c>
      <c r="AC1572" s="19" t="str">
        <f>IF($B1572="","",IFERROR(INDEX(Config!$D$9:$D$29,MATCH($B1572,Config!$B$9:$B$29,0))&amp;"",""))</f>
        <v/>
      </c>
    </row>
    <row r="1573">
      <c r="R1573" s="20" t="str">
        <f>IF($B1573="","",IFERROR(IF(INDEX(Config!$D$9:$D$29,MATCH($B1573,Config!$B$9:$B$29,0))="Contrato",IF(INDEX(Config!$E$9:$E$29,MATCH($B1573,Config!$B$9:$B$29,0))="","",INDEX(Config!$E$9:$E$29,MATCH($B1573,Config!$B$9:$B$29,0))),""),""))</f>
        <v/>
      </c>
      <c r="AC1573" s="19" t="str">
        <f>IF($B1573="","",IFERROR(INDEX(Config!$D$9:$D$29,MATCH($B1573,Config!$B$9:$B$29,0))&amp;"",""))</f>
        <v/>
      </c>
    </row>
    <row r="1574">
      <c r="R1574" s="20" t="str">
        <f>IF($B1574="","",IFERROR(IF(INDEX(Config!$D$9:$D$29,MATCH($B1574,Config!$B$9:$B$29,0))="Contrato",IF(INDEX(Config!$E$9:$E$29,MATCH($B1574,Config!$B$9:$B$29,0))="","",INDEX(Config!$E$9:$E$29,MATCH($B1574,Config!$B$9:$B$29,0))),""),""))</f>
        <v/>
      </c>
      <c r="AC1574" s="19" t="str">
        <f>IF($B1574="","",IFERROR(INDEX(Config!$D$9:$D$29,MATCH($B1574,Config!$B$9:$B$29,0))&amp;"",""))</f>
        <v/>
      </c>
    </row>
    <row r="1575">
      <c r="R1575" s="20" t="str">
        <f>IF($B1575="","",IFERROR(IF(INDEX(Config!$D$9:$D$29,MATCH($B1575,Config!$B$9:$B$29,0))="Contrato",IF(INDEX(Config!$E$9:$E$29,MATCH($B1575,Config!$B$9:$B$29,0))="","",INDEX(Config!$E$9:$E$29,MATCH($B1575,Config!$B$9:$B$29,0))),""),""))</f>
        <v/>
      </c>
      <c r="AC1575" s="19" t="str">
        <f>IF($B1575="","",IFERROR(INDEX(Config!$D$9:$D$29,MATCH($B1575,Config!$B$9:$B$29,0))&amp;"",""))</f>
        <v/>
      </c>
    </row>
    <row r="1576">
      <c r="R1576" s="20" t="str">
        <f>IF($B1576="","",IFERROR(IF(INDEX(Config!$D$9:$D$29,MATCH($B1576,Config!$B$9:$B$29,0))="Contrato",IF(INDEX(Config!$E$9:$E$29,MATCH($B1576,Config!$B$9:$B$29,0))="","",INDEX(Config!$E$9:$E$29,MATCH($B1576,Config!$B$9:$B$29,0))),""),""))</f>
        <v/>
      </c>
      <c r="AC1576" s="19" t="str">
        <f>IF($B1576="","",IFERROR(INDEX(Config!$D$9:$D$29,MATCH($B1576,Config!$B$9:$B$29,0))&amp;"",""))</f>
        <v/>
      </c>
    </row>
    <row r="1577">
      <c r="R1577" s="20" t="str">
        <f>IF($B1577="","",IFERROR(IF(INDEX(Config!$D$9:$D$29,MATCH($B1577,Config!$B$9:$B$29,0))="Contrato",IF(INDEX(Config!$E$9:$E$29,MATCH($B1577,Config!$B$9:$B$29,0))="","",INDEX(Config!$E$9:$E$29,MATCH($B1577,Config!$B$9:$B$29,0))),""),""))</f>
        <v/>
      </c>
      <c r="AC1577" s="19" t="str">
        <f>IF($B1577="","",IFERROR(INDEX(Config!$D$9:$D$29,MATCH($B1577,Config!$B$9:$B$29,0))&amp;"",""))</f>
        <v/>
      </c>
    </row>
    <row r="1578">
      <c r="R1578" s="20" t="str">
        <f>IF($B1578="","",IFERROR(IF(INDEX(Config!$D$9:$D$29,MATCH($B1578,Config!$B$9:$B$29,0))="Contrato",IF(INDEX(Config!$E$9:$E$29,MATCH($B1578,Config!$B$9:$B$29,0))="","",INDEX(Config!$E$9:$E$29,MATCH($B1578,Config!$B$9:$B$29,0))),""),""))</f>
        <v/>
      </c>
      <c r="AC1578" s="19" t="str">
        <f>IF($B1578="","",IFERROR(INDEX(Config!$D$9:$D$29,MATCH($B1578,Config!$B$9:$B$29,0))&amp;"",""))</f>
        <v/>
      </c>
    </row>
    <row r="1579">
      <c r="R1579" s="20" t="str">
        <f>IF($B1579="","",IFERROR(IF(INDEX(Config!$D$9:$D$29,MATCH($B1579,Config!$B$9:$B$29,0))="Contrato",IF(INDEX(Config!$E$9:$E$29,MATCH($B1579,Config!$B$9:$B$29,0))="","",INDEX(Config!$E$9:$E$29,MATCH($B1579,Config!$B$9:$B$29,0))),""),""))</f>
        <v/>
      </c>
      <c r="AC1579" s="19" t="str">
        <f>IF($B1579="","",IFERROR(INDEX(Config!$D$9:$D$29,MATCH($B1579,Config!$B$9:$B$29,0))&amp;"",""))</f>
        <v/>
      </c>
    </row>
    <row r="1580">
      <c r="R1580" s="20" t="str">
        <f>IF($B1580="","",IFERROR(IF(INDEX(Config!$D$9:$D$29,MATCH($B1580,Config!$B$9:$B$29,0))="Contrato",IF(INDEX(Config!$E$9:$E$29,MATCH($B1580,Config!$B$9:$B$29,0))="","",INDEX(Config!$E$9:$E$29,MATCH($B1580,Config!$B$9:$B$29,0))),""),""))</f>
        <v/>
      </c>
      <c r="AC1580" s="19" t="str">
        <f>IF($B1580="","",IFERROR(INDEX(Config!$D$9:$D$29,MATCH($B1580,Config!$B$9:$B$29,0))&amp;"",""))</f>
        <v/>
      </c>
    </row>
    <row r="1581">
      <c r="R1581" s="20" t="str">
        <f>IF($B1581="","",IFERROR(IF(INDEX(Config!$D$9:$D$29,MATCH($B1581,Config!$B$9:$B$29,0))="Contrato",IF(INDEX(Config!$E$9:$E$29,MATCH($B1581,Config!$B$9:$B$29,0))="","",INDEX(Config!$E$9:$E$29,MATCH($B1581,Config!$B$9:$B$29,0))),""),""))</f>
        <v/>
      </c>
      <c r="AC1581" s="19" t="str">
        <f>IF($B1581="","",IFERROR(INDEX(Config!$D$9:$D$29,MATCH($B1581,Config!$B$9:$B$29,0))&amp;"",""))</f>
        <v/>
      </c>
    </row>
    <row r="1582">
      <c r="R1582" s="20" t="str">
        <f>IF($B1582="","",IFERROR(IF(INDEX(Config!$D$9:$D$29,MATCH($B1582,Config!$B$9:$B$29,0))="Contrato",IF(INDEX(Config!$E$9:$E$29,MATCH($B1582,Config!$B$9:$B$29,0))="","",INDEX(Config!$E$9:$E$29,MATCH($B1582,Config!$B$9:$B$29,0))),""),""))</f>
        <v/>
      </c>
      <c r="AC1582" s="19" t="str">
        <f>IF($B1582="","",IFERROR(INDEX(Config!$D$9:$D$29,MATCH($B1582,Config!$B$9:$B$29,0))&amp;"",""))</f>
        <v/>
      </c>
    </row>
    <row r="1583">
      <c r="R1583" s="20" t="str">
        <f>IF($B1583="","",IFERROR(IF(INDEX(Config!$D$9:$D$29,MATCH($B1583,Config!$B$9:$B$29,0))="Contrato",IF(INDEX(Config!$E$9:$E$29,MATCH($B1583,Config!$B$9:$B$29,0))="","",INDEX(Config!$E$9:$E$29,MATCH($B1583,Config!$B$9:$B$29,0))),""),""))</f>
        <v/>
      </c>
      <c r="AC1583" s="19" t="str">
        <f>IF($B1583="","",IFERROR(INDEX(Config!$D$9:$D$29,MATCH($B1583,Config!$B$9:$B$29,0))&amp;"",""))</f>
        <v/>
      </c>
    </row>
    <row r="1584">
      <c r="R1584" s="20" t="str">
        <f>IF($B1584="","",IFERROR(IF(INDEX(Config!$D$9:$D$29,MATCH($B1584,Config!$B$9:$B$29,0))="Contrato",IF(INDEX(Config!$E$9:$E$29,MATCH($B1584,Config!$B$9:$B$29,0))="","",INDEX(Config!$E$9:$E$29,MATCH($B1584,Config!$B$9:$B$29,0))),""),""))</f>
        <v/>
      </c>
      <c r="AC1584" s="19" t="str">
        <f>IF($B1584="","",IFERROR(INDEX(Config!$D$9:$D$29,MATCH($B1584,Config!$B$9:$B$29,0))&amp;"",""))</f>
        <v/>
      </c>
    </row>
    <row r="1585">
      <c r="R1585" s="20" t="str">
        <f>IF($B1585="","",IFERROR(IF(INDEX(Config!$D$9:$D$29,MATCH($B1585,Config!$B$9:$B$29,0))="Contrato",IF(INDEX(Config!$E$9:$E$29,MATCH($B1585,Config!$B$9:$B$29,0))="","",INDEX(Config!$E$9:$E$29,MATCH($B1585,Config!$B$9:$B$29,0))),""),""))</f>
        <v/>
      </c>
      <c r="AC1585" s="19" t="str">
        <f>IF($B1585="","",IFERROR(INDEX(Config!$D$9:$D$29,MATCH($B1585,Config!$B$9:$B$29,0))&amp;"",""))</f>
        <v/>
      </c>
    </row>
    <row r="1586">
      <c r="R1586" s="20" t="str">
        <f>IF($B1586="","",IFERROR(IF(INDEX(Config!$D$9:$D$29,MATCH($B1586,Config!$B$9:$B$29,0))="Contrato",IF(INDEX(Config!$E$9:$E$29,MATCH($B1586,Config!$B$9:$B$29,0))="","",INDEX(Config!$E$9:$E$29,MATCH($B1586,Config!$B$9:$B$29,0))),""),""))</f>
        <v/>
      </c>
      <c r="AC1586" s="19" t="str">
        <f>IF($B1586="","",IFERROR(INDEX(Config!$D$9:$D$29,MATCH($B1586,Config!$B$9:$B$29,0))&amp;"",""))</f>
        <v/>
      </c>
    </row>
    <row r="1587">
      <c r="R1587" s="20" t="str">
        <f>IF($B1587="","",IFERROR(IF(INDEX(Config!$D$9:$D$29,MATCH($B1587,Config!$B$9:$B$29,0))="Contrato",IF(INDEX(Config!$E$9:$E$29,MATCH($B1587,Config!$B$9:$B$29,0))="","",INDEX(Config!$E$9:$E$29,MATCH($B1587,Config!$B$9:$B$29,0))),""),""))</f>
        <v/>
      </c>
      <c r="AC1587" s="19" t="str">
        <f>IF($B1587="","",IFERROR(INDEX(Config!$D$9:$D$29,MATCH($B1587,Config!$B$9:$B$29,0))&amp;"",""))</f>
        <v/>
      </c>
    </row>
    <row r="1588">
      <c r="R1588" s="20" t="str">
        <f>IF($B1588="","",IFERROR(IF(INDEX(Config!$D$9:$D$29,MATCH($B1588,Config!$B$9:$B$29,0))="Contrato",IF(INDEX(Config!$E$9:$E$29,MATCH($B1588,Config!$B$9:$B$29,0))="","",INDEX(Config!$E$9:$E$29,MATCH($B1588,Config!$B$9:$B$29,0))),""),""))</f>
        <v/>
      </c>
      <c r="AC1588" s="19" t="str">
        <f>IF($B1588="","",IFERROR(INDEX(Config!$D$9:$D$29,MATCH($B1588,Config!$B$9:$B$29,0))&amp;"",""))</f>
        <v/>
      </c>
    </row>
    <row r="1589">
      <c r="R1589" s="20" t="str">
        <f>IF($B1589="","",IFERROR(IF(INDEX(Config!$D$9:$D$29,MATCH($B1589,Config!$B$9:$B$29,0))="Contrato",IF(INDEX(Config!$E$9:$E$29,MATCH($B1589,Config!$B$9:$B$29,0))="","",INDEX(Config!$E$9:$E$29,MATCH($B1589,Config!$B$9:$B$29,0))),""),""))</f>
        <v/>
      </c>
      <c r="AC1589" s="19" t="str">
        <f>IF($B1589="","",IFERROR(INDEX(Config!$D$9:$D$29,MATCH($B1589,Config!$B$9:$B$29,0))&amp;"",""))</f>
        <v/>
      </c>
    </row>
    <row r="1590">
      <c r="R1590" s="20" t="str">
        <f>IF($B1590="","",IFERROR(IF(INDEX(Config!$D$9:$D$29,MATCH($B1590,Config!$B$9:$B$29,0))="Contrato",IF(INDEX(Config!$E$9:$E$29,MATCH($B1590,Config!$B$9:$B$29,0))="","",INDEX(Config!$E$9:$E$29,MATCH($B1590,Config!$B$9:$B$29,0))),""),""))</f>
        <v/>
      </c>
      <c r="AC1590" s="19" t="str">
        <f>IF($B1590="","",IFERROR(INDEX(Config!$D$9:$D$29,MATCH($B1590,Config!$B$9:$B$29,0))&amp;"",""))</f>
        <v/>
      </c>
    </row>
    <row r="1591">
      <c r="R1591" s="20" t="str">
        <f>IF($B1591="","",IFERROR(IF(INDEX(Config!$D$9:$D$29,MATCH($B1591,Config!$B$9:$B$29,0))="Contrato",IF(INDEX(Config!$E$9:$E$29,MATCH($B1591,Config!$B$9:$B$29,0))="","",INDEX(Config!$E$9:$E$29,MATCH($B1591,Config!$B$9:$B$29,0))),""),""))</f>
        <v/>
      </c>
      <c r="AC1591" s="19" t="str">
        <f>IF($B1591="","",IFERROR(INDEX(Config!$D$9:$D$29,MATCH($B1591,Config!$B$9:$B$29,0))&amp;"",""))</f>
        <v/>
      </c>
    </row>
    <row r="1592">
      <c r="R1592" s="20" t="str">
        <f>IF($B1592="","",IFERROR(IF(INDEX(Config!$D$9:$D$29,MATCH($B1592,Config!$B$9:$B$29,0))="Contrato",IF(INDEX(Config!$E$9:$E$29,MATCH($B1592,Config!$B$9:$B$29,0))="","",INDEX(Config!$E$9:$E$29,MATCH($B1592,Config!$B$9:$B$29,0))),""),""))</f>
        <v/>
      </c>
      <c r="AC1592" s="19" t="str">
        <f>IF($B1592="","",IFERROR(INDEX(Config!$D$9:$D$29,MATCH($B1592,Config!$B$9:$B$29,0))&amp;"",""))</f>
        <v/>
      </c>
    </row>
    <row r="1593">
      <c r="R1593" s="20" t="str">
        <f>IF($B1593="","",IFERROR(IF(INDEX(Config!$D$9:$D$29,MATCH($B1593,Config!$B$9:$B$29,0))="Contrato",IF(INDEX(Config!$E$9:$E$29,MATCH($B1593,Config!$B$9:$B$29,0))="","",INDEX(Config!$E$9:$E$29,MATCH($B1593,Config!$B$9:$B$29,0))),""),""))</f>
        <v/>
      </c>
      <c r="AC1593" s="19" t="str">
        <f>IF($B1593="","",IFERROR(INDEX(Config!$D$9:$D$29,MATCH($B1593,Config!$B$9:$B$29,0))&amp;"",""))</f>
        <v/>
      </c>
    </row>
    <row r="1594">
      <c r="R1594" s="20" t="str">
        <f>IF($B1594="","",IFERROR(IF(INDEX(Config!$D$9:$D$29,MATCH($B1594,Config!$B$9:$B$29,0))="Contrato",IF(INDEX(Config!$E$9:$E$29,MATCH($B1594,Config!$B$9:$B$29,0))="","",INDEX(Config!$E$9:$E$29,MATCH($B1594,Config!$B$9:$B$29,0))),""),""))</f>
        <v/>
      </c>
      <c r="AC1594" s="19" t="str">
        <f>IF($B1594="","",IFERROR(INDEX(Config!$D$9:$D$29,MATCH($B1594,Config!$B$9:$B$29,0))&amp;"",""))</f>
        <v/>
      </c>
    </row>
    <row r="1595">
      <c r="R1595" s="20" t="str">
        <f>IF($B1595="","",IFERROR(IF(INDEX(Config!$D$9:$D$29,MATCH($B1595,Config!$B$9:$B$29,0))="Contrato",IF(INDEX(Config!$E$9:$E$29,MATCH($B1595,Config!$B$9:$B$29,0))="","",INDEX(Config!$E$9:$E$29,MATCH($B1595,Config!$B$9:$B$29,0))),""),""))</f>
        <v/>
      </c>
      <c r="AC1595" s="19" t="str">
        <f>IF($B1595="","",IFERROR(INDEX(Config!$D$9:$D$29,MATCH($B1595,Config!$B$9:$B$29,0))&amp;"",""))</f>
        <v/>
      </c>
    </row>
    <row r="1596">
      <c r="R1596" s="20" t="str">
        <f>IF($B1596="","",IFERROR(IF(INDEX(Config!$D$9:$D$29,MATCH($B1596,Config!$B$9:$B$29,0))="Contrato",IF(INDEX(Config!$E$9:$E$29,MATCH($B1596,Config!$B$9:$B$29,0))="","",INDEX(Config!$E$9:$E$29,MATCH($B1596,Config!$B$9:$B$29,0))),""),""))</f>
        <v/>
      </c>
      <c r="AC1596" s="19" t="str">
        <f>IF($B1596="","",IFERROR(INDEX(Config!$D$9:$D$29,MATCH($B1596,Config!$B$9:$B$29,0))&amp;"",""))</f>
        <v/>
      </c>
    </row>
    <row r="1597">
      <c r="R1597" s="20" t="str">
        <f>IF($B1597="","",IFERROR(IF(INDEX(Config!$D$9:$D$29,MATCH($B1597,Config!$B$9:$B$29,0))="Contrato",IF(INDEX(Config!$E$9:$E$29,MATCH($B1597,Config!$B$9:$B$29,0))="","",INDEX(Config!$E$9:$E$29,MATCH($B1597,Config!$B$9:$B$29,0))),""),""))</f>
        <v/>
      </c>
      <c r="AC1597" s="19" t="str">
        <f>IF($B1597="","",IFERROR(INDEX(Config!$D$9:$D$29,MATCH($B1597,Config!$B$9:$B$29,0))&amp;"",""))</f>
        <v/>
      </c>
    </row>
    <row r="1598">
      <c r="R1598" s="20" t="str">
        <f>IF($B1598="","",IFERROR(IF(INDEX(Config!$D$9:$D$29,MATCH($B1598,Config!$B$9:$B$29,0))="Contrato",IF(INDEX(Config!$E$9:$E$29,MATCH($B1598,Config!$B$9:$B$29,0))="","",INDEX(Config!$E$9:$E$29,MATCH($B1598,Config!$B$9:$B$29,0))),""),""))</f>
        <v/>
      </c>
      <c r="AC1598" s="19" t="str">
        <f>IF($B1598="","",IFERROR(INDEX(Config!$D$9:$D$29,MATCH($B1598,Config!$B$9:$B$29,0))&amp;"",""))</f>
        <v/>
      </c>
    </row>
    <row r="1599">
      <c r="R1599" s="20" t="str">
        <f>IF($B1599="","",IFERROR(IF(INDEX(Config!$D$9:$D$29,MATCH($B1599,Config!$B$9:$B$29,0))="Contrato",IF(INDEX(Config!$E$9:$E$29,MATCH($B1599,Config!$B$9:$B$29,0))="","",INDEX(Config!$E$9:$E$29,MATCH($B1599,Config!$B$9:$B$29,0))),""),""))</f>
        <v/>
      </c>
      <c r="AC1599" s="19" t="str">
        <f>IF($B1599="","",IFERROR(INDEX(Config!$D$9:$D$29,MATCH($B1599,Config!$B$9:$B$29,0))&amp;"",""))</f>
        <v/>
      </c>
    </row>
    <row r="1600">
      <c r="R1600" s="20" t="str">
        <f>IF($B1600="","",IFERROR(IF(INDEX(Config!$D$9:$D$29,MATCH($B1600,Config!$B$9:$B$29,0))="Contrato",IF(INDEX(Config!$E$9:$E$29,MATCH($B1600,Config!$B$9:$B$29,0))="","",INDEX(Config!$E$9:$E$29,MATCH($B1600,Config!$B$9:$B$29,0))),""),""))</f>
        <v/>
      </c>
      <c r="AC1600" s="19" t="str">
        <f>IF($B1600="","",IFERROR(INDEX(Config!$D$9:$D$29,MATCH($B1600,Config!$B$9:$B$29,0))&amp;"",""))</f>
        <v/>
      </c>
    </row>
    <row r="1601">
      <c r="R1601" s="20" t="str">
        <f>IF($B1601="","",IFERROR(IF(INDEX(Config!$D$9:$D$29,MATCH($B1601,Config!$B$9:$B$29,0))="Contrato",IF(INDEX(Config!$E$9:$E$29,MATCH($B1601,Config!$B$9:$B$29,0))="","",INDEX(Config!$E$9:$E$29,MATCH($B1601,Config!$B$9:$B$29,0))),""),""))</f>
        <v/>
      </c>
      <c r="AC1601" s="19" t="str">
        <f>IF($B1601="","",IFERROR(INDEX(Config!$D$9:$D$29,MATCH($B1601,Config!$B$9:$B$29,0))&amp;"",""))</f>
        <v/>
      </c>
    </row>
    <row r="1602">
      <c r="R1602" s="20" t="str">
        <f>IF($B1602="","",IFERROR(IF(INDEX(Config!$D$9:$D$29,MATCH($B1602,Config!$B$9:$B$29,0))="Contrato",IF(INDEX(Config!$E$9:$E$29,MATCH($B1602,Config!$B$9:$B$29,0))="","",INDEX(Config!$E$9:$E$29,MATCH($B1602,Config!$B$9:$B$29,0))),""),""))</f>
        <v/>
      </c>
      <c r="AC1602" s="19" t="str">
        <f>IF($B1602="","",IFERROR(INDEX(Config!$D$9:$D$29,MATCH($B1602,Config!$B$9:$B$29,0))&amp;"",""))</f>
        <v/>
      </c>
    </row>
    <row r="1603">
      <c r="R1603" s="20" t="str">
        <f>IF($B1603="","",IFERROR(IF(INDEX(Config!$D$9:$D$29,MATCH($B1603,Config!$B$9:$B$29,0))="Contrato",IF(INDEX(Config!$E$9:$E$29,MATCH($B1603,Config!$B$9:$B$29,0))="","",INDEX(Config!$E$9:$E$29,MATCH($B1603,Config!$B$9:$B$29,0))),""),""))</f>
        <v/>
      </c>
      <c r="AC1603" s="19" t="str">
        <f>IF($B1603="","",IFERROR(INDEX(Config!$D$9:$D$29,MATCH($B1603,Config!$B$9:$B$29,0))&amp;"",""))</f>
        <v/>
      </c>
    </row>
    <row r="1604">
      <c r="R1604" s="20" t="str">
        <f>IF($B1604="","",IFERROR(IF(INDEX(Config!$D$9:$D$29,MATCH($B1604,Config!$B$9:$B$29,0))="Contrato",IF(INDEX(Config!$E$9:$E$29,MATCH($B1604,Config!$B$9:$B$29,0))="","",INDEX(Config!$E$9:$E$29,MATCH($B1604,Config!$B$9:$B$29,0))),""),""))</f>
        <v/>
      </c>
      <c r="AC1604" s="19" t="str">
        <f>IF($B1604="","",IFERROR(INDEX(Config!$D$9:$D$29,MATCH($B1604,Config!$B$9:$B$29,0))&amp;"",""))</f>
        <v/>
      </c>
    </row>
    <row r="1605">
      <c r="R1605" s="20" t="str">
        <f>IF($B1605="","",IFERROR(IF(INDEX(Config!$D$9:$D$29,MATCH($B1605,Config!$B$9:$B$29,0))="Contrato",IF(INDEX(Config!$E$9:$E$29,MATCH($B1605,Config!$B$9:$B$29,0))="","",INDEX(Config!$E$9:$E$29,MATCH($B1605,Config!$B$9:$B$29,0))),""),""))</f>
        <v/>
      </c>
      <c r="AC1605" s="19" t="str">
        <f>IF($B1605="","",IFERROR(INDEX(Config!$D$9:$D$29,MATCH($B1605,Config!$B$9:$B$29,0))&amp;"",""))</f>
        <v/>
      </c>
    </row>
    <row r="1606">
      <c r="R1606" s="20" t="str">
        <f>IF($B1606="","",IFERROR(IF(INDEX(Config!$D$9:$D$29,MATCH($B1606,Config!$B$9:$B$29,0))="Contrato",IF(INDEX(Config!$E$9:$E$29,MATCH($B1606,Config!$B$9:$B$29,0))="","",INDEX(Config!$E$9:$E$29,MATCH($B1606,Config!$B$9:$B$29,0))),""),""))</f>
        <v/>
      </c>
      <c r="AC1606" s="19" t="str">
        <f>IF($B1606="","",IFERROR(INDEX(Config!$D$9:$D$29,MATCH($B1606,Config!$B$9:$B$29,0))&amp;"",""))</f>
        <v/>
      </c>
    </row>
    <row r="1607">
      <c r="R1607" s="20" t="str">
        <f>IF($B1607="","",IFERROR(IF(INDEX(Config!$D$9:$D$29,MATCH($B1607,Config!$B$9:$B$29,0))="Contrato",IF(INDEX(Config!$E$9:$E$29,MATCH($B1607,Config!$B$9:$B$29,0))="","",INDEX(Config!$E$9:$E$29,MATCH($B1607,Config!$B$9:$B$29,0))),""),""))</f>
        <v/>
      </c>
      <c r="AC1607" s="19" t="str">
        <f>IF($B1607="","",IFERROR(INDEX(Config!$D$9:$D$29,MATCH($B1607,Config!$B$9:$B$29,0))&amp;"",""))</f>
        <v/>
      </c>
    </row>
    <row r="1608">
      <c r="R1608" s="20" t="str">
        <f>IF($B1608="","",IFERROR(IF(INDEX(Config!$D$9:$D$29,MATCH($B1608,Config!$B$9:$B$29,0))="Contrato",IF(INDEX(Config!$E$9:$E$29,MATCH($B1608,Config!$B$9:$B$29,0))="","",INDEX(Config!$E$9:$E$29,MATCH($B1608,Config!$B$9:$B$29,0))),""),""))</f>
        <v/>
      </c>
      <c r="AC1608" s="19" t="str">
        <f>IF($B1608="","",IFERROR(INDEX(Config!$D$9:$D$29,MATCH($B1608,Config!$B$9:$B$29,0))&amp;"",""))</f>
        <v/>
      </c>
    </row>
    <row r="1609">
      <c r="R1609" s="20" t="str">
        <f>IF($B1609="","",IFERROR(IF(INDEX(Config!$D$9:$D$29,MATCH($B1609,Config!$B$9:$B$29,0))="Contrato",IF(INDEX(Config!$E$9:$E$29,MATCH($B1609,Config!$B$9:$B$29,0))="","",INDEX(Config!$E$9:$E$29,MATCH($B1609,Config!$B$9:$B$29,0))),""),""))</f>
        <v/>
      </c>
      <c r="AC1609" s="19" t="str">
        <f>IF($B1609="","",IFERROR(INDEX(Config!$D$9:$D$29,MATCH($B1609,Config!$B$9:$B$29,0))&amp;"",""))</f>
        <v/>
      </c>
    </row>
    <row r="1610">
      <c r="R1610" s="20" t="str">
        <f>IF($B1610="","",IFERROR(IF(INDEX(Config!$D$9:$D$29,MATCH($B1610,Config!$B$9:$B$29,0))="Contrato",IF(INDEX(Config!$E$9:$E$29,MATCH($B1610,Config!$B$9:$B$29,0))="","",INDEX(Config!$E$9:$E$29,MATCH($B1610,Config!$B$9:$B$29,0))),""),""))</f>
        <v/>
      </c>
      <c r="AC1610" s="19" t="str">
        <f>IF($B1610="","",IFERROR(INDEX(Config!$D$9:$D$29,MATCH($B1610,Config!$B$9:$B$29,0))&amp;"",""))</f>
        <v/>
      </c>
    </row>
    <row r="1611">
      <c r="R1611" s="20" t="str">
        <f>IF($B1611="","",IFERROR(IF(INDEX(Config!$D$9:$D$29,MATCH($B1611,Config!$B$9:$B$29,0))="Contrato",IF(INDEX(Config!$E$9:$E$29,MATCH($B1611,Config!$B$9:$B$29,0))="","",INDEX(Config!$E$9:$E$29,MATCH($B1611,Config!$B$9:$B$29,0))),""),""))</f>
        <v/>
      </c>
      <c r="AC1611" s="19" t="str">
        <f>IF($B1611="","",IFERROR(INDEX(Config!$D$9:$D$29,MATCH($B1611,Config!$B$9:$B$29,0))&amp;"",""))</f>
        <v/>
      </c>
    </row>
    <row r="1612">
      <c r="R1612" s="20" t="str">
        <f>IF($B1612="","",IFERROR(IF(INDEX(Config!$D$9:$D$29,MATCH($B1612,Config!$B$9:$B$29,0))="Contrato",IF(INDEX(Config!$E$9:$E$29,MATCH($B1612,Config!$B$9:$B$29,0))="","",INDEX(Config!$E$9:$E$29,MATCH($B1612,Config!$B$9:$B$29,0))),""),""))</f>
        <v/>
      </c>
      <c r="AC1612" s="19" t="str">
        <f>IF($B1612="","",IFERROR(INDEX(Config!$D$9:$D$29,MATCH($B1612,Config!$B$9:$B$29,0))&amp;"",""))</f>
        <v/>
      </c>
    </row>
    <row r="1613">
      <c r="R1613" s="20" t="str">
        <f>IF($B1613="","",IFERROR(IF(INDEX(Config!$D$9:$D$29,MATCH($B1613,Config!$B$9:$B$29,0))="Contrato",IF(INDEX(Config!$E$9:$E$29,MATCH($B1613,Config!$B$9:$B$29,0))="","",INDEX(Config!$E$9:$E$29,MATCH($B1613,Config!$B$9:$B$29,0))),""),""))</f>
        <v/>
      </c>
      <c r="AC1613" s="19" t="str">
        <f>IF($B1613="","",IFERROR(INDEX(Config!$D$9:$D$29,MATCH($B1613,Config!$B$9:$B$29,0))&amp;"",""))</f>
        <v/>
      </c>
    </row>
    <row r="1614">
      <c r="R1614" s="20" t="str">
        <f>IF($B1614="","",IFERROR(IF(INDEX(Config!$D$9:$D$29,MATCH($B1614,Config!$B$9:$B$29,0))="Contrato",IF(INDEX(Config!$E$9:$E$29,MATCH($B1614,Config!$B$9:$B$29,0))="","",INDEX(Config!$E$9:$E$29,MATCH($B1614,Config!$B$9:$B$29,0))),""),""))</f>
        <v/>
      </c>
      <c r="AC1614" s="19" t="str">
        <f>IF($B1614="","",IFERROR(INDEX(Config!$D$9:$D$29,MATCH($B1614,Config!$B$9:$B$29,0))&amp;"",""))</f>
        <v/>
      </c>
    </row>
    <row r="1615">
      <c r="R1615" s="20" t="str">
        <f>IF($B1615="","",IFERROR(IF(INDEX(Config!$D$9:$D$29,MATCH($B1615,Config!$B$9:$B$29,0))="Contrato",IF(INDEX(Config!$E$9:$E$29,MATCH($B1615,Config!$B$9:$B$29,0))="","",INDEX(Config!$E$9:$E$29,MATCH($B1615,Config!$B$9:$B$29,0))),""),""))</f>
        <v/>
      </c>
      <c r="AC1615" s="19" t="str">
        <f>IF($B1615="","",IFERROR(INDEX(Config!$D$9:$D$29,MATCH($B1615,Config!$B$9:$B$29,0))&amp;"",""))</f>
        <v/>
      </c>
    </row>
    <row r="1616">
      <c r="R1616" s="20" t="str">
        <f>IF($B1616="","",IFERROR(IF(INDEX(Config!$D$9:$D$29,MATCH($B1616,Config!$B$9:$B$29,0))="Contrato",IF(INDEX(Config!$E$9:$E$29,MATCH($B1616,Config!$B$9:$B$29,0))="","",INDEX(Config!$E$9:$E$29,MATCH($B1616,Config!$B$9:$B$29,0))),""),""))</f>
        <v/>
      </c>
      <c r="AC1616" s="19" t="str">
        <f>IF($B1616="","",IFERROR(INDEX(Config!$D$9:$D$29,MATCH($B1616,Config!$B$9:$B$29,0))&amp;"",""))</f>
        <v/>
      </c>
    </row>
    <row r="1617">
      <c r="R1617" s="20" t="str">
        <f>IF($B1617="","",IFERROR(IF(INDEX(Config!$D$9:$D$29,MATCH($B1617,Config!$B$9:$B$29,0))="Contrato",IF(INDEX(Config!$E$9:$E$29,MATCH($B1617,Config!$B$9:$B$29,0))="","",INDEX(Config!$E$9:$E$29,MATCH($B1617,Config!$B$9:$B$29,0))),""),""))</f>
        <v/>
      </c>
      <c r="AC1617" s="19" t="str">
        <f>IF($B1617="","",IFERROR(INDEX(Config!$D$9:$D$29,MATCH($B1617,Config!$B$9:$B$29,0))&amp;"",""))</f>
        <v/>
      </c>
    </row>
    <row r="1618">
      <c r="R1618" s="20" t="str">
        <f>IF($B1618="","",IFERROR(IF(INDEX(Config!$D$9:$D$29,MATCH($B1618,Config!$B$9:$B$29,0))="Contrato",IF(INDEX(Config!$E$9:$E$29,MATCH($B1618,Config!$B$9:$B$29,0))="","",INDEX(Config!$E$9:$E$29,MATCH($B1618,Config!$B$9:$B$29,0))),""),""))</f>
        <v/>
      </c>
      <c r="AC1618" s="19" t="str">
        <f>IF($B1618="","",IFERROR(INDEX(Config!$D$9:$D$29,MATCH($B1618,Config!$B$9:$B$29,0))&amp;"",""))</f>
        <v/>
      </c>
    </row>
    <row r="1619">
      <c r="R1619" s="20" t="str">
        <f>IF($B1619="","",IFERROR(IF(INDEX(Config!$D$9:$D$29,MATCH($B1619,Config!$B$9:$B$29,0))="Contrato",IF(INDEX(Config!$E$9:$E$29,MATCH($B1619,Config!$B$9:$B$29,0))="","",INDEX(Config!$E$9:$E$29,MATCH($B1619,Config!$B$9:$B$29,0))),""),""))</f>
        <v/>
      </c>
      <c r="AC1619" s="19" t="str">
        <f>IF($B1619="","",IFERROR(INDEX(Config!$D$9:$D$29,MATCH($B1619,Config!$B$9:$B$29,0))&amp;"",""))</f>
        <v/>
      </c>
    </row>
    <row r="1620">
      <c r="R1620" s="20" t="str">
        <f>IF($B1620="","",IFERROR(IF(INDEX(Config!$D$9:$D$29,MATCH($B1620,Config!$B$9:$B$29,0))="Contrato",IF(INDEX(Config!$E$9:$E$29,MATCH($B1620,Config!$B$9:$B$29,0))="","",INDEX(Config!$E$9:$E$29,MATCH($B1620,Config!$B$9:$B$29,0))),""),""))</f>
        <v/>
      </c>
      <c r="AC1620" s="19" t="str">
        <f>IF($B1620="","",IFERROR(INDEX(Config!$D$9:$D$29,MATCH($B1620,Config!$B$9:$B$29,0))&amp;"",""))</f>
        <v/>
      </c>
    </row>
    <row r="1621">
      <c r="R1621" s="20" t="str">
        <f>IF($B1621="","",IFERROR(IF(INDEX(Config!$D$9:$D$29,MATCH($B1621,Config!$B$9:$B$29,0))="Contrato",IF(INDEX(Config!$E$9:$E$29,MATCH($B1621,Config!$B$9:$B$29,0))="","",INDEX(Config!$E$9:$E$29,MATCH($B1621,Config!$B$9:$B$29,0))),""),""))</f>
        <v/>
      </c>
      <c r="AC1621" s="19" t="str">
        <f>IF($B1621="","",IFERROR(INDEX(Config!$D$9:$D$29,MATCH($B1621,Config!$B$9:$B$29,0))&amp;"",""))</f>
        <v/>
      </c>
    </row>
    <row r="1622">
      <c r="R1622" s="20" t="str">
        <f>IF($B1622="","",IFERROR(IF(INDEX(Config!$D$9:$D$29,MATCH($B1622,Config!$B$9:$B$29,0))="Contrato",IF(INDEX(Config!$E$9:$E$29,MATCH($B1622,Config!$B$9:$B$29,0))="","",INDEX(Config!$E$9:$E$29,MATCH($B1622,Config!$B$9:$B$29,0))),""),""))</f>
        <v/>
      </c>
      <c r="AC1622" s="19" t="str">
        <f>IF($B1622="","",IFERROR(INDEX(Config!$D$9:$D$29,MATCH($B1622,Config!$B$9:$B$29,0))&amp;"",""))</f>
        <v/>
      </c>
    </row>
    <row r="1623">
      <c r="R1623" s="20" t="str">
        <f>IF($B1623="","",IFERROR(IF(INDEX(Config!$D$9:$D$29,MATCH($B1623,Config!$B$9:$B$29,0))="Contrato",IF(INDEX(Config!$E$9:$E$29,MATCH($B1623,Config!$B$9:$B$29,0))="","",INDEX(Config!$E$9:$E$29,MATCH($B1623,Config!$B$9:$B$29,0))),""),""))</f>
        <v/>
      </c>
      <c r="AC1623" s="19" t="str">
        <f>IF($B1623="","",IFERROR(INDEX(Config!$D$9:$D$29,MATCH($B1623,Config!$B$9:$B$29,0))&amp;"",""))</f>
        <v/>
      </c>
    </row>
    <row r="1624">
      <c r="R1624" s="20" t="str">
        <f>IF($B1624="","",IFERROR(IF(INDEX(Config!$D$9:$D$29,MATCH($B1624,Config!$B$9:$B$29,0))="Contrato",IF(INDEX(Config!$E$9:$E$29,MATCH($B1624,Config!$B$9:$B$29,0))="","",INDEX(Config!$E$9:$E$29,MATCH($B1624,Config!$B$9:$B$29,0))),""),""))</f>
        <v/>
      </c>
      <c r="AC1624" s="19" t="str">
        <f>IF($B1624="","",IFERROR(INDEX(Config!$D$9:$D$29,MATCH($B1624,Config!$B$9:$B$29,0))&amp;"",""))</f>
        <v/>
      </c>
    </row>
    <row r="1625">
      <c r="R1625" s="20" t="str">
        <f>IF($B1625="","",IFERROR(IF(INDEX(Config!$D$9:$D$29,MATCH($B1625,Config!$B$9:$B$29,0))="Contrato",IF(INDEX(Config!$E$9:$E$29,MATCH($B1625,Config!$B$9:$B$29,0))="","",INDEX(Config!$E$9:$E$29,MATCH($B1625,Config!$B$9:$B$29,0))),""),""))</f>
        <v/>
      </c>
      <c r="AC1625" s="19" t="str">
        <f>IF($B1625="","",IFERROR(INDEX(Config!$D$9:$D$29,MATCH($B1625,Config!$B$9:$B$29,0))&amp;"",""))</f>
        <v/>
      </c>
    </row>
    <row r="1626">
      <c r="R1626" s="20" t="str">
        <f>IF($B1626="","",IFERROR(IF(INDEX(Config!$D$9:$D$29,MATCH($B1626,Config!$B$9:$B$29,0))="Contrato",IF(INDEX(Config!$E$9:$E$29,MATCH($B1626,Config!$B$9:$B$29,0))="","",INDEX(Config!$E$9:$E$29,MATCH($B1626,Config!$B$9:$B$29,0))),""),""))</f>
        <v/>
      </c>
      <c r="AC1626" s="19" t="str">
        <f>IF($B1626="","",IFERROR(INDEX(Config!$D$9:$D$29,MATCH($B1626,Config!$B$9:$B$29,0))&amp;"",""))</f>
        <v/>
      </c>
    </row>
    <row r="1627">
      <c r="R1627" s="20" t="str">
        <f>IF($B1627="","",IFERROR(IF(INDEX(Config!$D$9:$D$29,MATCH($B1627,Config!$B$9:$B$29,0))="Contrato",IF(INDEX(Config!$E$9:$E$29,MATCH($B1627,Config!$B$9:$B$29,0))="","",INDEX(Config!$E$9:$E$29,MATCH($B1627,Config!$B$9:$B$29,0))),""),""))</f>
        <v/>
      </c>
      <c r="AC1627" s="19" t="str">
        <f>IF($B1627="","",IFERROR(INDEX(Config!$D$9:$D$29,MATCH($B1627,Config!$B$9:$B$29,0))&amp;"",""))</f>
        <v/>
      </c>
    </row>
    <row r="1628">
      <c r="R1628" s="20" t="str">
        <f>IF($B1628="","",IFERROR(IF(INDEX(Config!$D$9:$D$29,MATCH($B1628,Config!$B$9:$B$29,0))="Contrato",IF(INDEX(Config!$E$9:$E$29,MATCH($B1628,Config!$B$9:$B$29,0))="","",INDEX(Config!$E$9:$E$29,MATCH($B1628,Config!$B$9:$B$29,0))),""),""))</f>
        <v/>
      </c>
      <c r="AC1628" s="19" t="str">
        <f>IF($B1628="","",IFERROR(INDEX(Config!$D$9:$D$29,MATCH($B1628,Config!$B$9:$B$29,0))&amp;"",""))</f>
        <v/>
      </c>
    </row>
    <row r="1629">
      <c r="R1629" s="20" t="str">
        <f>IF($B1629="","",IFERROR(IF(INDEX(Config!$D$9:$D$29,MATCH($B1629,Config!$B$9:$B$29,0))="Contrato",IF(INDEX(Config!$E$9:$E$29,MATCH($B1629,Config!$B$9:$B$29,0))="","",INDEX(Config!$E$9:$E$29,MATCH($B1629,Config!$B$9:$B$29,0))),""),""))</f>
        <v/>
      </c>
      <c r="AC1629" s="19" t="str">
        <f>IF($B1629="","",IFERROR(INDEX(Config!$D$9:$D$29,MATCH($B1629,Config!$B$9:$B$29,0))&amp;"",""))</f>
        <v/>
      </c>
    </row>
    <row r="1630">
      <c r="R1630" s="20" t="str">
        <f>IF($B1630="","",IFERROR(IF(INDEX(Config!$D$9:$D$29,MATCH($B1630,Config!$B$9:$B$29,0))="Contrato",IF(INDEX(Config!$E$9:$E$29,MATCH($B1630,Config!$B$9:$B$29,0))="","",INDEX(Config!$E$9:$E$29,MATCH($B1630,Config!$B$9:$B$29,0))),""),""))</f>
        <v/>
      </c>
      <c r="AC1630" s="19" t="str">
        <f>IF($B1630="","",IFERROR(INDEX(Config!$D$9:$D$29,MATCH($B1630,Config!$B$9:$B$29,0))&amp;"",""))</f>
        <v/>
      </c>
    </row>
    <row r="1631">
      <c r="R1631" s="20" t="str">
        <f>IF($B1631="","",IFERROR(IF(INDEX(Config!$D$9:$D$29,MATCH($B1631,Config!$B$9:$B$29,0))="Contrato",IF(INDEX(Config!$E$9:$E$29,MATCH($B1631,Config!$B$9:$B$29,0))="","",INDEX(Config!$E$9:$E$29,MATCH($B1631,Config!$B$9:$B$29,0))),""),""))</f>
        <v/>
      </c>
      <c r="AC1631" s="19" t="str">
        <f>IF($B1631="","",IFERROR(INDEX(Config!$D$9:$D$29,MATCH($B1631,Config!$B$9:$B$29,0))&amp;"",""))</f>
        <v/>
      </c>
    </row>
    <row r="1632">
      <c r="R1632" s="20" t="str">
        <f>IF($B1632="","",IFERROR(IF(INDEX(Config!$D$9:$D$29,MATCH($B1632,Config!$B$9:$B$29,0))="Contrato",IF(INDEX(Config!$E$9:$E$29,MATCH($B1632,Config!$B$9:$B$29,0))="","",INDEX(Config!$E$9:$E$29,MATCH($B1632,Config!$B$9:$B$29,0))),""),""))</f>
        <v/>
      </c>
      <c r="AC1632" s="19" t="str">
        <f>IF($B1632="","",IFERROR(INDEX(Config!$D$9:$D$29,MATCH($B1632,Config!$B$9:$B$29,0))&amp;"",""))</f>
        <v/>
      </c>
    </row>
    <row r="1633">
      <c r="R1633" s="20" t="str">
        <f>IF($B1633="","",IFERROR(IF(INDEX(Config!$D$9:$D$29,MATCH($B1633,Config!$B$9:$B$29,0))="Contrato",IF(INDEX(Config!$E$9:$E$29,MATCH($B1633,Config!$B$9:$B$29,0))="","",INDEX(Config!$E$9:$E$29,MATCH($B1633,Config!$B$9:$B$29,0))),""),""))</f>
        <v/>
      </c>
      <c r="AC1633" s="19" t="str">
        <f>IF($B1633="","",IFERROR(INDEX(Config!$D$9:$D$29,MATCH($B1633,Config!$B$9:$B$29,0))&amp;"",""))</f>
        <v/>
      </c>
    </row>
    <row r="1634">
      <c r="R1634" s="20" t="str">
        <f>IF($B1634="","",IFERROR(IF(INDEX(Config!$D$9:$D$29,MATCH($B1634,Config!$B$9:$B$29,0))="Contrato",IF(INDEX(Config!$E$9:$E$29,MATCH($B1634,Config!$B$9:$B$29,0))="","",INDEX(Config!$E$9:$E$29,MATCH($B1634,Config!$B$9:$B$29,0))),""),""))</f>
        <v/>
      </c>
      <c r="AC1634" s="19" t="str">
        <f>IF($B1634="","",IFERROR(INDEX(Config!$D$9:$D$29,MATCH($B1634,Config!$B$9:$B$29,0))&amp;"",""))</f>
        <v/>
      </c>
    </row>
    <row r="1635">
      <c r="R1635" s="20" t="str">
        <f>IF($B1635="","",IFERROR(IF(INDEX(Config!$D$9:$D$29,MATCH($B1635,Config!$B$9:$B$29,0))="Contrato",IF(INDEX(Config!$E$9:$E$29,MATCH($B1635,Config!$B$9:$B$29,0))="","",INDEX(Config!$E$9:$E$29,MATCH($B1635,Config!$B$9:$B$29,0))),""),""))</f>
        <v/>
      </c>
      <c r="AC1635" s="19" t="str">
        <f>IF($B1635="","",IFERROR(INDEX(Config!$D$9:$D$29,MATCH($B1635,Config!$B$9:$B$29,0))&amp;"",""))</f>
        <v/>
      </c>
    </row>
    <row r="1636">
      <c r="R1636" s="20" t="str">
        <f>IF($B1636="","",IFERROR(IF(INDEX(Config!$D$9:$D$29,MATCH($B1636,Config!$B$9:$B$29,0))="Contrato",IF(INDEX(Config!$E$9:$E$29,MATCH($B1636,Config!$B$9:$B$29,0))="","",INDEX(Config!$E$9:$E$29,MATCH($B1636,Config!$B$9:$B$29,0))),""),""))</f>
        <v/>
      </c>
      <c r="AC1636" s="19" t="str">
        <f>IF($B1636="","",IFERROR(INDEX(Config!$D$9:$D$29,MATCH($B1636,Config!$B$9:$B$29,0))&amp;"",""))</f>
        <v/>
      </c>
    </row>
    <row r="1637">
      <c r="R1637" s="20" t="str">
        <f>IF($B1637="","",IFERROR(IF(INDEX(Config!$D$9:$D$29,MATCH($B1637,Config!$B$9:$B$29,0))="Contrato",IF(INDEX(Config!$E$9:$E$29,MATCH($B1637,Config!$B$9:$B$29,0))="","",INDEX(Config!$E$9:$E$29,MATCH($B1637,Config!$B$9:$B$29,0))),""),""))</f>
        <v/>
      </c>
      <c r="AC1637" s="19" t="str">
        <f>IF($B1637="","",IFERROR(INDEX(Config!$D$9:$D$29,MATCH($B1637,Config!$B$9:$B$29,0))&amp;"",""))</f>
        <v/>
      </c>
    </row>
    <row r="1638">
      <c r="R1638" s="20" t="str">
        <f>IF($B1638="","",IFERROR(IF(INDEX(Config!$D$9:$D$29,MATCH($B1638,Config!$B$9:$B$29,0))="Contrato",IF(INDEX(Config!$E$9:$E$29,MATCH($B1638,Config!$B$9:$B$29,0))="","",INDEX(Config!$E$9:$E$29,MATCH($B1638,Config!$B$9:$B$29,0))),""),""))</f>
        <v/>
      </c>
      <c r="AC1638" s="19" t="str">
        <f>IF($B1638="","",IFERROR(INDEX(Config!$D$9:$D$29,MATCH($B1638,Config!$B$9:$B$29,0))&amp;"",""))</f>
        <v/>
      </c>
    </row>
    <row r="1639">
      <c r="R1639" s="20" t="str">
        <f>IF($B1639="","",IFERROR(IF(INDEX(Config!$D$9:$D$29,MATCH($B1639,Config!$B$9:$B$29,0))="Contrato",IF(INDEX(Config!$E$9:$E$29,MATCH($B1639,Config!$B$9:$B$29,0))="","",INDEX(Config!$E$9:$E$29,MATCH($B1639,Config!$B$9:$B$29,0))),""),""))</f>
        <v/>
      </c>
      <c r="AC1639" s="19" t="str">
        <f>IF($B1639="","",IFERROR(INDEX(Config!$D$9:$D$29,MATCH($B1639,Config!$B$9:$B$29,0))&amp;"",""))</f>
        <v/>
      </c>
    </row>
    <row r="1640">
      <c r="R1640" s="20" t="str">
        <f>IF($B1640="","",IFERROR(IF(INDEX(Config!$D$9:$D$29,MATCH($B1640,Config!$B$9:$B$29,0))="Contrato",IF(INDEX(Config!$E$9:$E$29,MATCH($B1640,Config!$B$9:$B$29,0))="","",INDEX(Config!$E$9:$E$29,MATCH($B1640,Config!$B$9:$B$29,0))),""),""))</f>
        <v/>
      </c>
      <c r="AC1640" s="19" t="str">
        <f>IF($B1640="","",IFERROR(INDEX(Config!$D$9:$D$29,MATCH($B1640,Config!$B$9:$B$29,0))&amp;"",""))</f>
        <v/>
      </c>
    </row>
    <row r="1641">
      <c r="R1641" s="20" t="str">
        <f>IF($B1641="","",IFERROR(IF(INDEX(Config!$D$9:$D$29,MATCH($B1641,Config!$B$9:$B$29,0))="Contrato",IF(INDEX(Config!$E$9:$E$29,MATCH($B1641,Config!$B$9:$B$29,0))="","",INDEX(Config!$E$9:$E$29,MATCH($B1641,Config!$B$9:$B$29,0))),""),""))</f>
        <v/>
      </c>
      <c r="AC1641" s="19" t="str">
        <f>IF($B1641="","",IFERROR(INDEX(Config!$D$9:$D$29,MATCH($B1641,Config!$B$9:$B$29,0))&amp;"",""))</f>
        <v/>
      </c>
    </row>
    <row r="1642">
      <c r="R1642" s="20" t="str">
        <f>IF($B1642="","",IFERROR(IF(INDEX(Config!$D$9:$D$29,MATCH($B1642,Config!$B$9:$B$29,0))="Contrato",IF(INDEX(Config!$E$9:$E$29,MATCH($B1642,Config!$B$9:$B$29,0))="","",INDEX(Config!$E$9:$E$29,MATCH($B1642,Config!$B$9:$B$29,0))),""),""))</f>
        <v/>
      </c>
      <c r="AC1642" s="19" t="str">
        <f>IF($B1642="","",IFERROR(INDEX(Config!$D$9:$D$29,MATCH($B1642,Config!$B$9:$B$29,0))&amp;"",""))</f>
        <v/>
      </c>
    </row>
    <row r="1643">
      <c r="R1643" s="20" t="str">
        <f>IF($B1643="","",IFERROR(IF(INDEX(Config!$D$9:$D$29,MATCH($B1643,Config!$B$9:$B$29,0))="Contrato",IF(INDEX(Config!$E$9:$E$29,MATCH($B1643,Config!$B$9:$B$29,0))="","",INDEX(Config!$E$9:$E$29,MATCH($B1643,Config!$B$9:$B$29,0))),""),""))</f>
        <v/>
      </c>
      <c r="AC1643" s="19" t="str">
        <f>IF($B1643="","",IFERROR(INDEX(Config!$D$9:$D$29,MATCH($B1643,Config!$B$9:$B$29,0))&amp;"",""))</f>
        <v/>
      </c>
    </row>
    <row r="1644">
      <c r="R1644" s="20" t="str">
        <f>IF($B1644="","",IFERROR(IF(INDEX(Config!$D$9:$D$29,MATCH($B1644,Config!$B$9:$B$29,0))="Contrato",IF(INDEX(Config!$E$9:$E$29,MATCH($B1644,Config!$B$9:$B$29,0))="","",INDEX(Config!$E$9:$E$29,MATCH($B1644,Config!$B$9:$B$29,0))),""),""))</f>
        <v/>
      </c>
      <c r="AC1644" s="19" t="str">
        <f>IF($B1644="","",IFERROR(INDEX(Config!$D$9:$D$29,MATCH($B1644,Config!$B$9:$B$29,0))&amp;"",""))</f>
        <v/>
      </c>
    </row>
    <row r="1645">
      <c r="R1645" s="20" t="str">
        <f>IF($B1645="","",IFERROR(IF(INDEX(Config!$D$9:$D$29,MATCH($B1645,Config!$B$9:$B$29,0))="Contrato",IF(INDEX(Config!$E$9:$E$29,MATCH($B1645,Config!$B$9:$B$29,0))="","",INDEX(Config!$E$9:$E$29,MATCH($B1645,Config!$B$9:$B$29,0))),""),""))</f>
        <v/>
      </c>
      <c r="AC1645" s="19" t="str">
        <f>IF($B1645="","",IFERROR(INDEX(Config!$D$9:$D$29,MATCH($B1645,Config!$B$9:$B$29,0))&amp;"",""))</f>
        <v/>
      </c>
    </row>
    <row r="1646">
      <c r="R1646" s="20" t="str">
        <f>IF($B1646="","",IFERROR(IF(INDEX(Config!$D$9:$D$29,MATCH($B1646,Config!$B$9:$B$29,0))="Contrato",IF(INDEX(Config!$E$9:$E$29,MATCH($B1646,Config!$B$9:$B$29,0))="","",INDEX(Config!$E$9:$E$29,MATCH($B1646,Config!$B$9:$B$29,0))),""),""))</f>
        <v/>
      </c>
      <c r="AC1646" s="19" t="str">
        <f>IF($B1646="","",IFERROR(INDEX(Config!$D$9:$D$29,MATCH($B1646,Config!$B$9:$B$29,0))&amp;"",""))</f>
        <v/>
      </c>
    </row>
    <row r="1647">
      <c r="R1647" s="20" t="str">
        <f>IF($B1647="","",IFERROR(IF(INDEX(Config!$D$9:$D$29,MATCH($B1647,Config!$B$9:$B$29,0))="Contrato",IF(INDEX(Config!$E$9:$E$29,MATCH($B1647,Config!$B$9:$B$29,0))="","",INDEX(Config!$E$9:$E$29,MATCH($B1647,Config!$B$9:$B$29,0))),""),""))</f>
        <v/>
      </c>
      <c r="AC1647" s="19" t="str">
        <f>IF($B1647="","",IFERROR(INDEX(Config!$D$9:$D$29,MATCH($B1647,Config!$B$9:$B$29,0))&amp;"",""))</f>
        <v/>
      </c>
    </row>
    <row r="1648">
      <c r="R1648" s="20" t="str">
        <f>IF($B1648="","",IFERROR(IF(INDEX(Config!$D$9:$D$29,MATCH($B1648,Config!$B$9:$B$29,0))="Contrato",IF(INDEX(Config!$E$9:$E$29,MATCH($B1648,Config!$B$9:$B$29,0))="","",INDEX(Config!$E$9:$E$29,MATCH($B1648,Config!$B$9:$B$29,0))),""),""))</f>
        <v/>
      </c>
      <c r="AC1648" s="19" t="str">
        <f>IF($B1648="","",IFERROR(INDEX(Config!$D$9:$D$29,MATCH($B1648,Config!$B$9:$B$29,0))&amp;"",""))</f>
        <v/>
      </c>
    </row>
    <row r="1649">
      <c r="R1649" s="20" t="str">
        <f>IF($B1649="","",IFERROR(IF(INDEX(Config!$D$9:$D$29,MATCH($B1649,Config!$B$9:$B$29,0))="Contrato",IF(INDEX(Config!$E$9:$E$29,MATCH($B1649,Config!$B$9:$B$29,0))="","",INDEX(Config!$E$9:$E$29,MATCH($B1649,Config!$B$9:$B$29,0))),""),""))</f>
        <v/>
      </c>
      <c r="AC1649" s="19" t="str">
        <f>IF($B1649="","",IFERROR(INDEX(Config!$D$9:$D$29,MATCH($B1649,Config!$B$9:$B$29,0))&amp;"",""))</f>
        <v/>
      </c>
    </row>
    <row r="1650">
      <c r="R1650" s="20" t="str">
        <f>IF($B1650="","",IFERROR(IF(INDEX(Config!$D$9:$D$29,MATCH($B1650,Config!$B$9:$B$29,0))="Contrato",IF(INDEX(Config!$E$9:$E$29,MATCH($B1650,Config!$B$9:$B$29,0))="","",INDEX(Config!$E$9:$E$29,MATCH($B1650,Config!$B$9:$B$29,0))),""),""))</f>
        <v/>
      </c>
      <c r="AC1650" s="19" t="str">
        <f>IF($B1650="","",IFERROR(INDEX(Config!$D$9:$D$29,MATCH($B1650,Config!$B$9:$B$29,0))&amp;"",""))</f>
        <v/>
      </c>
    </row>
    <row r="1651">
      <c r="R1651" s="20" t="str">
        <f>IF($B1651="","",IFERROR(IF(INDEX(Config!$D$9:$D$29,MATCH($B1651,Config!$B$9:$B$29,0))="Contrato",IF(INDEX(Config!$E$9:$E$29,MATCH($B1651,Config!$B$9:$B$29,0))="","",INDEX(Config!$E$9:$E$29,MATCH($B1651,Config!$B$9:$B$29,0))),""),""))</f>
        <v/>
      </c>
      <c r="AC1651" s="19" t="str">
        <f>IF($B1651="","",IFERROR(INDEX(Config!$D$9:$D$29,MATCH($B1651,Config!$B$9:$B$29,0))&amp;"",""))</f>
        <v/>
      </c>
    </row>
    <row r="1652">
      <c r="R1652" s="20" t="str">
        <f>IF($B1652="","",IFERROR(IF(INDEX(Config!$D$9:$D$29,MATCH($B1652,Config!$B$9:$B$29,0))="Contrato",IF(INDEX(Config!$E$9:$E$29,MATCH($B1652,Config!$B$9:$B$29,0))="","",INDEX(Config!$E$9:$E$29,MATCH($B1652,Config!$B$9:$B$29,0))),""),""))</f>
        <v/>
      </c>
      <c r="AC1652" s="19" t="str">
        <f>IF($B1652="","",IFERROR(INDEX(Config!$D$9:$D$29,MATCH($B1652,Config!$B$9:$B$29,0))&amp;"",""))</f>
        <v/>
      </c>
    </row>
    <row r="1653">
      <c r="R1653" s="20" t="str">
        <f>IF($B1653="","",IFERROR(IF(INDEX(Config!$D$9:$D$29,MATCH($B1653,Config!$B$9:$B$29,0))="Contrato",IF(INDEX(Config!$E$9:$E$29,MATCH($B1653,Config!$B$9:$B$29,0))="","",INDEX(Config!$E$9:$E$29,MATCH($B1653,Config!$B$9:$B$29,0))),""),""))</f>
        <v/>
      </c>
      <c r="AC1653" s="19" t="str">
        <f>IF($B1653="","",IFERROR(INDEX(Config!$D$9:$D$29,MATCH($B1653,Config!$B$9:$B$29,0))&amp;"",""))</f>
        <v/>
      </c>
    </row>
    <row r="1654">
      <c r="R1654" s="20" t="str">
        <f>IF($B1654="","",IFERROR(IF(INDEX(Config!$D$9:$D$29,MATCH($B1654,Config!$B$9:$B$29,0))="Contrato",IF(INDEX(Config!$E$9:$E$29,MATCH($B1654,Config!$B$9:$B$29,0))="","",INDEX(Config!$E$9:$E$29,MATCH($B1654,Config!$B$9:$B$29,0))),""),""))</f>
        <v/>
      </c>
      <c r="AC1654" s="19" t="str">
        <f>IF($B1654="","",IFERROR(INDEX(Config!$D$9:$D$29,MATCH($B1654,Config!$B$9:$B$29,0))&amp;"",""))</f>
        <v/>
      </c>
    </row>
    <row r="1655">
      <c r="R1655" s="20" t="str">
        <f>IF($B1655="","",IFERROR(IF(INDEX(Config!$D$9:$D$29,MATCH($B1655,Config!$B$9:$B$29,0))="Contrato",IF(INDEX(Config!$E$9:$E$29,MATCH($B1655,Config!$B$9:$B$29,0))="","",INDEX(Config!$E$9:$E$29,MATCH($B1655,Config!$B$9:$B$29,0))),""),""))</f>
        <v/>
      </c>
      <c r="AC1655" s="19" t="str">
        <f>IF($B1655="","",IFERROR(INDEX(Config!$D$9:$D$29,MATCH($B1655,Config!$B$9:$B$29,0))&amp;"",""))</f>
        <v/>
      </c>
    </row>
    <row r="1656">
      <c r="R1656" s="20" t="str">
        <f>IF($B1656="","",IFERROR(IF(INDEX(Config!$D$9:$D$29,MATCH($B1656,Config!$B$9:$B$29,0))="Contrato",IF(INDEX(Config!$E$9:$E$29,MATCH($B1656,Config!$B$9:$B$29,0))="","",INDEX(Config!$E$9:$E$29,MATCH($B1656,Config!$B$9:$B$29,0))),""),""))</f>
        <v/>
      </c>
      <c r="AC1656" s="19" t="str">
        <f>IF($B1656="","",IFERROR(INDEX(Config!$D$9:$D$29,MATCH($B1656,Config!$B$9:$B$29,0))&amp;"",""))</f>
        <v/>
      </c>
    </row>
    <row r="1657">
      <c r="R1657" s="20" t="str">
        <f>IF($B1657="","",IFERROR(IF(INDEX(Config!$D$9:$D$29,MATCH($B1657,Config!$B$9:$B$29,0))="Contrato",IF(INDEX(Config!$E$9:$E$29,MATCH($B1657,Config!$B$9:$B$29,0))="","",INDEX(Config!$E$9:$E$29,MATCH($B1657,Config!$B$9:$B$29,0))),""),""))</f>
        <v/>
      </c>
      <c r="AC1657" s="19" t="str">
        <f>IF($B1657="","",IFERROR(INDEX(Config!$D$9:$D$29,MATCH($B1657,Config!$B$9:$B$29,0))&amp;"",""))</f>
        <v/>
      </c>
    </row>
    <row r="1658">
      <c r="R1658" s="20" t="str">
        <f>IF($B1658="","",IFERROR(IF(INDEX(Config!$D$9:$D$29,MATCH($B1658,Config!$B$9:$B$29,0))="Contrato",IF(INDEX(Config!$E$9:$E$29,MATCH($B1658,Config!$B$9:$B$29,0))="","",INDEX(Config!$E$9:$E$29,MATCH($B1658,Config!$B$9:$B$29,0))),""),""))</f>
        <v/>
      </c>
      <c r="AC1658" s="19" t="str">
        <f>IF($B1658="","",IFERROR(INDEX(Config!$D$9:$D$29,MATCH($B1658,Config!$B$9:$B$29,0))&amp;"",""))</f>
        <v/>
      </c>
    </row>
    <row r="1659">
      <c r="R1659" s="20" t="str">
        <f>IF($B1659="","",IFERROR(IF(INDEX(Config!$D$9:$D$29,MATCH($B1659,Config!$B$9:$B$29,0))="Contrato",IF(INDEX(Config!$E$9:$E$29,MATCH($B1659,Config!$B$9:$B$29,0))="","",INDEX(Config!$E$9:$E$29,MATCH($B1659,Config!$B$9:$B$29,0))),""),""))</f>
        <v/>
      </c>
      <c r="AC1659" s="19" t="str">
        <f>IF($B1659="","",IFERROR(INDEX(Config!$D$9:$D$29,MATCH($B1659,Config!$B$9:$B$29,0))&amp;"",""))</f>
        <v/>
      </c>
    </row>
    <row r="1660">
      <c r="R1660" s="20" t="str">
        <f>IF($B1660="","",IFERROR(IF(INDEX(Config!$D$9:$D$29,MATCH($B1660,Config!$B$9:$B$29,0))="Contrato",IF(INDEX(Config!$E$9:$E$29,MATCH($B1660,Config!$B$9:$B$29,0))="","",INDEX(Config!$E$9:$E$29,MATCH($B1660,Config!$B$9:$B$29,0))),""),""))</f>
        <v/>
      </c>
      <c r="AC1660" s="19" t="str">
        <f>IF($B1660="","",IFERROR(INDEX(Config!$D$9:$D$29,MATCH($B1660,Config!$B$9:$B$29,0))&amp;"",""))</f>
        <v/>
      </c>
    </row>
    <row r="1661">
      <c r="R1661" s="20" t="str">
        <f>IF($B1661="","",IFERROR(IF(INDEX(Config!$D$9:$D$29,MATCH($B1661,Config!$B$9:$B$29,0))="Contrato",IF(INDEX(Config!$E$9:$E$29,MATCH($B1661,Config!$B$9:$B$29,0))="","",INDEX(Config!$E$9:$E$29,MATCH($B1661,Config!$B$9:$B$29,0))),""),""))</f>
        <v/>
      </c>
      <c r="AC1661" s="19" t="str">
        <f>IF($B1661="","",IFERROR(INDEX(Config!$D$9:$D$29,MATCH($B1661,Config!$B$9:$B$29,0))&amp;"",""))</f>
        <v/>
      </c>
    </row>
    <row r="1662">
      <c r="R1662" s="20" t="str">
        <f>IF($B1662="","",IFERROR(IF(INDEX(Config!$D$9:$D$29,MATCH($B1662,Config!$B$9:$B$29,0))="Contrato",IF(INDEX(Config!$E$9:$E$29,MATCH($B1662,Config!$B$9:$B$29,0))="","",INDEX(Config!$E$9:$E$29,MATCH($B1662,Config!$B$9:$B$29,0))),""),""))</f>
        <v/>
      </c>
      <c r="AC1662" s="19" t="str">
        <f>IF($B1662="","",IFERROR(INDEX(Config!$D$9:$D$29,MATCH($B1662,Config!$B$9:$B$29,0))&amp;"",""))</f>
        <v/>
      </c>
    </row>
    <row r="1663">
      <c r="R1663" s="20" t="str">
        <f>IF($B1663="","",IFERROR(IF(INDEX(Config!$D$9:$D$29,MATCH($B1663,Config!$B$9:$B$29,0))="Contrato",IF(INDEX(Config!$E$9:$E$29,MATCH($B1663,Config!$B$9:$B$29,0))="","",INDEX(Config!$E$9:$E$29,MATCH($B1663,Config!$B$9:$B$29,0))),""),""))</f>
        <v/>
      </c>
      <c r="AC1663" s="19" t="str">
        <f>IF($B1663="","",IFERROR(INDEX(Config!$D$9:$D$29,MATCH($B1663,Config!$B$9:$B$29,0))&amp;"",""))</f>
        <v/>
      </c>
    </row>
    <row r="1664">
      <c r="R1664" s="20" t="str">
        <f>IF($B1664="","",IFERROR(IF(INDEX(Config!$D$9:$D$29,MATCH($B1664,Config!$B$9:$B$29,0))="Contrato",IF(INDEX(Config!$E$9:$E$29,MATCH($B1664,Config!$B$9:$B$29,0))="","",INDEX(Config!$E$9:$E$29,MATCH($B1664,Config!$B$9:$B$29,0))),""),""))</f>
        <v/>
      </c>
      <c r="AC1664" s="19" t="str">
        <f>IF($B1664="","",IFERROR(INDEX(Config!$D$9:$D$29,MATCH($B1664,Config!$B$9:$B$29,0))&amp;"",""))</f>
        <v/>
      </c>
    </row>
    <row r="1665">
      <c r="R1665" s="20" t="str">
        <f>IF($B1665="","",IFERROR(IF(INDEX(Config!$D$9:$D$29,MATCH($B1665,Config!$B$9:$B$29,0))="Contrato",IF(INDEX(Config!$E$9:$E$29,MATCH($B1665,Config!$B$9:$B$29,0))="","",INDEX(Config!$E$9:$E$29,MATCH($B1665,Config!$B$9:$B$29,0))),""),""))</f>
        <v/>
      </c>
      <c r="AC1665" s="19" t="str">
        <f>IF($B1665="","",IFERROR(INDEX(Config!$D$9:$D$29,MATCH($B1665,Config!$B$9:$B$29,0))&amp;"",""))</f>
        <v/>
      </c>
    </row>
    <row r="1666">
      <c r="R1666" s="20" t="str">
        <f>IF($B1666="","",IFERROR(IF(INDEX(Config!$D$9:$D$29,MATCH($B1666,Config!$B$9:$B$29,0))="Contrato",IF(INDEX(Config!$E$9:$E$29,MATCH($B1666,Config!$B$9:$B$29,0))="","",INDEX(Config!$E$9:$E$29,MATCH($B1666,Config!$B$9:$B$29,0))),""),""))</f>
        <v/>
      </c>
      <c r="AC1666" s="19" t="str">
        <f>IF($B1666="","",IFERROR(INDEX(Config!$D$9:$D$29,MATCH($B1666,Config!$B$9:$B$29,0))&amp;"",""))</f>
        <v/>
      </c>
    </row>
    <row r="1667">
      <c r="R1667" s="20" t="str">
        <f>IF($B1667="","",IFERROR(IF(INDEX(Config!$D$9:$D$29,MATCH($B1667,Config!$B$9:$B$29,0))="Contrato",IF(INDEX(Config!$E$9:$E$29,MATCH($B1667,Config!$B$9:$B$29,0))="","",INDEX(Config!$E$9:$E$29,MATCH($B1667,Config!$B$9:$B$29,0))),""),""))</f>
        <v/>
      </c>
      <c r="AC1667" s="19" t="str">
        <f>IF($B1667="","",IFERROR(INDEX(Config!$D$9:$D$29,MATCH($B1667,Config!$B$9:$B$29,0))&amp;"",""))</f>
        <v/>
      </c>
    </row>
    <row r="1668">
      <c r="R1668" s="20" t="str">
        <f>IF($B1668="","",IFERROR(IF(INDEX(Config!$D$9:$D$29,MATCH($B1668,Config!$B$9:$B$29,0))="Contrato",IF(INDEX(Config!$E$9:$E$29,MATCH($B1668,Config!$B$9:$B$29,0))="","",INDEX(Config!$E$9:$E$29,MATCH($B1668,Config!$B$9:$B$29,0))),""),""))</f>
        <v/>
      </c>
      <c r="AC1668" s="19" t="str">
        <f>IF($B1668="","",IFERROR(INDEX(Config!$D$9:$D$29,MATCH($B1668,Config!$B$9:$B$29,0))&amp;"",""))</f>
        <v/>
      </c>
    </row>
    <row r="1669">
      <c r="R1669" s="20" t="str">
        <f>IF($B1669="","",IFERROR(IF(INDEX(Config!$D$9:$D$29,MATCH($B1669,Config!$B$9:$B$29,0))="Contrato",IF(INDEX(Config!$E$9:$E$29,MATCH($B1669,Config!$B$9:$B$29,0))="","",INDEX(Config!$E$9:$E$29,MATCH($B1669,Config!$B$9:$B$29,0))),""),""))</f>
        <v/>
      </c>
      <c r="AC1669" s="19" t="str">
        <f>IF($B1669="","",IFERROR(INDEX(Config!$D$9:$D$29,MATCH($B1669,Config!$B$9:$B$29,0))&amp;"",""))</f>
        <v/>
      </c>
    </row>
    <row r="1670">
      <c r="R1670" s="20" t="str">
        <f>IF($B1670="","",IFERROR(IF(INDEX(Config!$D$9:$D$29,MATCH($B1670,Config!$B$9:$B$29,0))="Contrato",IF(INDEX(Config!$E$9:$E$29,MATCH($B1670,Config!$B$9:$B$29,0))="","",INDEX(Config!$E$9:$E$29,MATCH($B1670,Config!$B$9:$B$29,0))),""),""))</f>
        <v/>
      </c>
      <c r="AC1670" s="19" t="str">
        <f>IF($B1670="","",IFERROR(INDEX(Config!$D$9:$D$29,MATCH($B1670,Config!$B$9:$B$29,0))&amp;"",""))</f>
        <v/>
      </c>
    </row>
    <row r="1671">
      <c r="R1671" s="20" t="str">
        <f>IF($B1671="","",IFERROR(IF(INDEX(Config!$D$9:$D$29,MATCH($B1671,Config!$B$9:$B$29,0))="Contrato",IF(INDEX(Config!$E$9:$E$29,MATCH($B1671,Config!$B$9:$B$29,0))="","",INDEX(Config!$E$9:$E$29,MATCH($B1671,Config!$B$9:$B$29,0))),""),""))</f>
        <v/>
      </c>
      <c r="AC1671" s="19" t="str">
        <f>IF($B1671="","",IFERROR(INDEX(Config!$D$9:$D$29,MATCH($B1671,Config!$B$9:$B$29,0))&amp;"",""))</f>
        <v/>
      </c>
    </row>
    <row r="1672">
      <c r="R1672" s="20" t="str">
        <f>IF($B1672="","",IFERROR(IF(INDEX(Config!$D$9:$D$29,MATCH($B1672,Config!$B$9:$B$29,0))="Contrato",IF(INDEX(Config!$E$9:$E$29,MATCH($B1672,Config!$B$9:$B$29,0))="","",INDEX(Config!$E$9:$E$29,MATCH($B1672,Config!$B$9:$B$29,0))),""),""))</f>
        <v/>
      </c>
      <c r="AC1672" s="19" t="str">
        <f>IF($B1672="","",IFERROR(INDEX(Config!$D$9:$D$29,MATCH($B1672,Config!$B$9:$B$29,0))&amp;"",""))</f>
        <v/>
      </c>
    </row>
    <row r="1673">
      <c r="R1673" s="20" t="str">
        <f>IF($B1673="","",IFERROR(IF(INDEX(Config!$D$9:$D$29,MATCH($B1673,Config!$B$9:$B$29,0))="Contrato",IF(INDEX(Config!$E$9:$E$29,MATCH($B1673,Config!$B$9:$B$29,0))="","",INDEX(Config!$E$9:$E$29,MATCH($B1673,Config!$B$9:$B$29,0))),""),""))</f>
        <v/>
      </c>
      <c r="AC1673" s="19" t="str">
        <f>IF($B1673="","",IFERROR(INDEX(Config!$D$9:$D$29,MATCH($B1673,Config!$B$9:$B$29,0))&amp;"",""))</f>
        <v/>
      </c>
    </row>
    <row r="1674">
      <c r="R1674" s="20" t="str">
        <f>IF($B1674="","",IFERROR(IF(INDEX(Config!$D$9:$D$29,MATCH($B1674,Config!$B$9:$B$29,0))="Contrato",IF(INDEX(Config!$E$9:$E$29,MATCH($B1674,Config!$B$9:$B$29,0))="","",INDEX(Config!$E$9:$E$29,MATCH($B1674,Config!$B$9:$B$29,0))),""),""))</f>
        <v/>
      </c>
      <c r="AC1674" s="19" t="str">
        <f>IF($B1674="","",IFERROR(INDEX(Config!$D$9:$D$29,MATCH($B1674,Config!$B$9:$B$29,0))&amp;"",""))</f>
        <v/>
      </c>
    </row>
    <row r="1675">
      <c r="R1675" s="20" t="str">
        <f>IF($B1675="","",IFERROR(IF(INDEX(Config!$D$9:$D$29,MATCH($B1675,Config!$B$9:$B$29,0))="Contrato",IF(INDEX(Config!$E$9:$E$29,MATCH($B1675,Config!$B$9:$B$29,0))="","",INDEX(Config!$E$9:$E$29,MATCH($B1675,Config!$B$9:$B$29,0))),""),""))</f>
        <v/>
      </c>
      <c r="AC1675" s="19" t="str">
        <f>IF($B1675="","",IFERROR(INDEX(Config!$D$9:$D$29,MATCH($B1675,Config!$B$9:$B$29,0))&amp;"",""))</f>
        <v/>
      </c>
    </row>
    <row r="1676">
      <c r="R1676" s="20" t="str">
        <f>IF($B1676="","",IFERROR(IF(INDEX(Config!$D$9:$D$29,MATCH($B1676,Config!$B$9:$B$29,0))="Contrato",IF(INDEX(Config!$E$9:$E$29,MATCH($B1676,Config!$B$9:$B$29,0))="","",INDEX(Config!$E$9:$E$29,MATCH($B1676,Config!$B$9:$B$29,0))),""),""))</f>
        <v/>
      </c>
      <c r="AC1676" s="19" t="str">
        <f>IF($B1676="","",IFERROR(INDEX(Config!$D$9:$D$29,MATCH($B1676,Config!$B$9:$B$29,0))&amp;"",""))</f>
        <v/>
      </c>
    </row>
    <row r="1677">
      <c r="R1677" s="20" t="str">
        <f>IF($B1677="","",IFERROR(IF(INDEX(Config!$D$9:$D$29,MATCH($B1677,Config!$B$9:$B$29,0))="Contrato",IF(INDEX(Config!$E$9:$E$29,MATCH($B1677,Config!$B$9:$B$29,0))="","",INDEX(Config!$E$9:$E$29,MATCH($B1677,Config!$B$9:$B$29,0))),""),""))</f>
        <v/>
      </c>
      <c r="AC1677" s="19" t="str">
        <f>IF($B1677="","",IFERROR(INDEX(Config!$D$9:$D$29,MATCH($B1677,Config!$B$9:$B$29,0))&amp;"",""))</f>
        <v/>
      </c>
    </row>
    <row r="1678">
      <c r="R1678" s="20" t="str">
        <f>IF($B1678="","",IFERROR(IF(INDEX(Config!$D$9:$D$29,MATCH($B1678,Config!$B$9:$B$29,0))="Contrato",IF(INDEX(Config!$E$9:$E$29,MATCH($B1678,Config!$B$9:$B$29,0))="","",INDEX(Config!$E$9:$E$29,MATCH($B1678,Config!$B$9:$B$29,0))),""),""))</f>
        <v/>
      </c>
      <c r="AC1678" s="19" t="str">
        <f>IF($B1678="","",IFERROR(INDEX(Config!$D$9:$D$29,MATCH($B1678,Config!$B$9:$B$29,0))&amp;"",""))</f>
        <v/>
      </c>
    </row>
    <row r="1679">
      <c r="R1679" s="20" t="str">
        <f>IF($B1679="","",IFERROR(IF(INDEX(Config!$D$9:$D$29,MATCH($B1679,Config!$B$9:$B$29,0))="Contrato",IF(INDEX(Config!$E$9:$E$29,MATCH($B1679,Config!$B$9:$B$29,0))="","",INDEX(Config!$E$9:$E$29,MATCH($B1679,Config!$B$9:$B$29,0))),""),""))</f>
        <v/>
      </c>
      <c r="AC1679" s="19" t="str">
        <f>IF($B1679="","",IFERROR(INDEX(Config!$D$9:$D$29,MATCH($B1679,Config!$B$9:$B$29,0))&amp;"",""))</f>
        <v/>
      </c>
    </row>
    <row r="1680">
      <c r="R1680" s="20" t="str">
        <f>IF($B1680="","",IFERROR(IF(INDEX(Config!$D$9:$D$29,MATCH($B1680,Config!$B$9:$B$29,0))="Contrato",IF(INDEX(Config!$E$9:$E$29,MATCH($B1680,Config!$B$9:$B$29,0))="","",INDEX(Config!$E$9:$E$29,MATCH($B1680,Config!$B$9:$B$29,0))),""),""))</f>
        <v/>
      </c>
      <c r="AC1680" s="19" t="str">
        <f>IF($B1680="","",IFERROR(INDEX(Config!$D$9:$D$29,MATCH($B1680,Config!$B$9:$B$29,0))&amp;"",""))</f>
        <v/>
      </c>
    </row>
    <row r="1681">
      <c r="R1681" s="20" t="str">
        <f>IF($B1681="","",IFERROR(IF(INDEX(Config!$D$9:$D$29,MATCH($B1681,Config!$B$9:$B$29,0))="Contrato",IF(INDEX(Config!$E$9:$E$29,MATCH($B1681,Config!$B$9:$B$29,0))="","",INDEX(Config!$E$9:$E$29,MATCH($B1681,Config!$B$9:$B$29,0))),""),""))</f>
        <v/>
      </c>
      <c r="AC1681" s="19" t="str">
        <f>IF($B1681="","",IFERROR(INDEX(Config!$D$9:$D$29,MATCH($B1681,Config!$B$9:$B$29,0))&amp;"",""))</f>
        <v/>
      </c>
    </row>
    <row r="1682">
      <c r="R1682" s="20" t="str">
        <f>IF($B1682="","",IFERROR(IF(INDEX(Config!$D$9:$D$29,MATCH($B1682,Config!$B$9:$B$29,0))="Contrato",IF(INDEX(Config!$E$9:$E$29,MATCH($B1682,Config!$B$9:$B$29,0))="","",INDEX(Config!$E$9:$E$29,MATCH($B1682,Config!$B$9:$B$29,0))),""),""))</f>
        <v/>
      </c>
      <c r="AC1682" s="19" t="str">
        <f>IF($B1682="","",IFERROR(INDEX(Config!$D$9:$D$29,MATCH($B1682,Config!$B$9:$B$29,0))&amp;"",""))</f>
        <v/>
      </c>
    </row>
    <row r="1683">
      <c r="R1683" s="20" t="str">
        <f>IF($B1683="","",IFERROR(IF(INDEX(Config!$D$9:$D$29,MATCH($B1683,Config!$B$9:$B$29,0))="Contrato",IF(INDEX(Config!$E$9:$E$29,MATCH($B1683,Config!$B$9:$B$29,0))="","",INDEX(Config!$E$9:$E$29,MATCH($B1683,Config!$B$9:$B$29,0))),""),""))</f>
        <v/>
      </c>
      <c r="AC1683" s="19" t="str">
        <f>IF($B1683="","",IFERROR(INDEX(Config!$D$9:$D$29,MATCH($B1683,Config!$B$9:$B$29,0))&amp;"",""))</f>
        <v/>
      </c>
    </row>
    <row r="1684">
      <c r="R1684" s="20" t="str">
        <f>IF($B1684="","",IFERROR(IF(INDEX(Config!$D$9:$D$29,MATCH($B1684,Config!$B$9:$B$29,0))="Contrato",IF(INDEX(Config!$E$9:$E$29,MATCH($B1684,Config!$B$9:$B$29,0))="","",INDEX(Config!$E$9:$E$29,MATCH($B1684,Config!$B$9:$B$29,0))),""),""))</f>
        <v/>
      </c>
      <c r="AC1684" s="19" t="str">
        <f>IF($B1684="","",IFERROR(INDEX(Config!$D$9:$D$29,MATCH($B1684,Config!$B$9:$B$29,0))&amp;"",""))</f>
        <v/>
      </c>
    </row>
    <row r="1685">
      <c r="R1685" s="20" t="str">
        <f>IF($B1685="","",IFERROR(IF(INDEX(Config!$D$9:$D$29,MATCH($B1685,Config!$B$9:$B$29,0))="Contrato",IF(INDEX(Config!$E$9:$E$29,MATCH($B1685,Config!$B$9:$B$29,0))="","",INDEX(Config!$E$9:$E$29,MATCH($B1685,Config!$B$9:$B$29,0))),""),""))</f>
        <v/>
      </c>
      <c r="AC1685" s="19" t="str">
        <f>IF($B1685="","",IFERROR(INDEX(Config!$D$9:$D$29,MATCH($B1685,Config!$B$9:$B$29,0))&amp;"",""))</f>
        <v/>
      </c>
    </row>
    <row r="1686">
      <c r="R1686" s="20" t="str">
        <f>IF($B1686="","",IFERROR(IF(INDEX(Config!$D$9:$D$29,MATCH($B1686,Config!$B$9:$B$29,0))="Contrato",IF(INDEX(Config!$E$9:$E$29,MATCH($B1686,Config!$B$9:$B$29,0))="","",INDEX(Config!$E$9:$E$29,MATCH($B1686,Config!$B$9:$B$29,0))),""),""))</f>
        <v/>
      </c>
      <c r="AC1686" s="19" t="str">
        <f>IF($B1686="","",IFERROR(INDEX(Config!$D$9:$D$29,MATCH($B1686,Config!$B$9:$B$29,0))&amp;"",""))</f>
        <v/>
      </c>
    </row>
    <row r="1687">
      <c r="R1687" s="20" t="str">
        <f>IF($B1687="","",IFERROR(IF(INDEX(Config!$D$9:$D$29,MATCH($B1687,Config!$B$9:$B$29,0))="Contrato",IF(INDEX(Config!$E$9:$E$29,MATCH($B1687,Config!$B$9:$B$29,0))="","",INDEX(Config!$E$9:$E$29,MATCH($B1687,Config!$B$9:$B$29,0))),""),""))</f>
        <v/>
      </c>
      <c r="AC1687" s="19" t="str">
        <f>IF($B1687="","",IFERROR(INDEX(Config!$D$9:$D$29,MATCH($B1687,Config!$B$9:$B$29,0))&amp;"",""))</f>
        <v/>
      </c>
    </row>
    <row r="1688">
      <c r="R1688" s="20" t="str">
        <f>IF($B1688="","",IFERROR(IF(INDEX(Config!$D$9:$D$29,MATCH($B1688,Config!$B$9:$B$29,0))="Contrato",IF(INDEX(Config!$E$9:$E$29,MATCH($B1688,Config!$B$9:$B$29,0))="","",INDEX(Config!$E$9:$E$29,MATCH($B1688,Config!$B$9:$B$29,0))),""),""))</f>
        <v/>
      </c>
      <c r="AC1688" s="19" t="str">
        <f>IF($B1688="","",IFERROR(INDEX(Config!$D$9:$D$29,MATCH($B1688,Config!$B$9:$B$29,0))&amp;"",""))</f>
        <v/>
      </c>
    </row>
    <row r="1689">
      <c r="R1689" s="20" t="str">
        <f>IF($B1689="","",IFERROR(IF(INDEX(Config!$D$9:$D$29,MATCH($B1689,Config!$B$9:$B$29,0))="Contrato",IF(INDEX(Config!$E$9:$E$29,MATCH($B1689,Config!$B$9:$B$29,0))="","",INDEX(Config!$E$9:$E$29,MATCH($B1689,Config!$B$9:$B$29,0))),""),""))</f>
        <v/>
      </c>
      <c r="AC1689" s="19" t="str">
        <f>IF($B1689="","",IFERROR(INDEX(Config!$D$9:$D$29,MATCH($B1689,Config!$B$9:$B$29,0))&amp;"",""))</f>
        <v/>
      </c>
    </row>
    <row r="1690">
      <c r="R1690" s="20" t="str">
        <f>IF($B1690="","",IFERROR(IF(INDEX(Config!$D$9:$D$29,MATCH($B1690,Config!$B$9:$B$29,0))="Contrato",IF(INDEX(Config!$E$9:$E$29,MATCH($B1690,Config!$B$9:$B$29,0))="","",INDEX(Config!$E$9:$E$29,MATCH($B1690,Config!$B$9:$B$29,0))),""),""))</f>
        <v/>
      </c>
      <c r="AC1690" s="19" t="str">
        <f>IF($B1690="","",IFERROR(INDEX(Config!$D$9:$D$29,MATCH($B1690,Config!$B$9:$B$29,0))&amp;"",""))</f>
        <v/>
      </c>
    </row>
    <row r="1691">
      <c r="R1691" s="20" t="str">
        <f>IF($B1691="","",IFERROR(IF(INDEX(Config!$D$9:$D$29,MATCH($B1691,Config!$B$9:$B$29,0))="Contrato",IF(INDEX(Config!$E$9:$E$29,MATCH($B1691,Config!$B$9:$B$29,0))="","",INDEX(Config!$E$9:$E$29,MATCH($B1691,Config!$B$9:$B$29,0))),""),""))</f>
        <v/>
      </c>
      <c r="AC1691" s="19" t="str">
        <f>IF($B1691="","",IFERROR(INDEX(Config!$D$9:$D$29,MATCH($B1691,Config!$B$9:$B$29,0))&amp;"",""))</f>
        <v/>
      </c>
    </row>
    <row r="1692">
      <c r="R1692" s="20" t="str">
        <f>IF($B1692="","",IFERROR(IF(INDEX(Config!$D$9:$D$29,MATCH($B1692,Config!$B$9:$B$29,0))="Contrato",IF(INDEX(Config!$E$9:$E$29,MATCH($B1692,Config!$B$9:$B$29,0))="","",INDEX(Config!$E$9:$E$29,MATCH($B1692,Config!$B$9:$B$29,0))),""),""))</f>
        <v/>
      </c>
      <c r="AC1692" s="19" t="str">
        <f>IF($B1692="","",IFERROR(INDEX(Config!$D$9:$D$29,MATCH($B1692,Config!$B$9:$B$29,0))&amp;"",""))</f>
        <v/>
      </c>
    </row>
    <row r="1693">
      <c r="R1693" s="20" t="str">
        <f>IF($B1693="","",IFERROR(IF(INDEX(Config!$D$9:$D$29,MATCH($B1693,Config!$B$9:$B$29,0))="Contrato",IF(INDEX(Config!$E$9:$E$29,MATCH($B1693,Config!$B$9:$B$29,0))="","",INDEX(Config!$E$9:$E$29,MATCH($B1693,Config!$B$9:$B$29,0))),""),""))</f>
        <v/>
      </c>
      <c r="AC1693" s="19" t="str">
        <f>IF($B1693="","",IFERROR(INDEX(Config!$D$9:$D$29,MATCH($B1693,Config!$B$9:$B$29,0))&amp;"",""))</f>
        <v/>
      </c>
    </row>
    <row r="1694">
      <c r="R1694" s="20" t="str">
        <f>IF($B1694="","",IFERROR(IF(INDEX(Config!$D$9:$D$29,MATCH($B1694,Config!$B$9:$B$29,0))="Contrato",IF(INDEX(Config!$E$9:$E$29,MATCH($B1694,Config!$B$9:$B$29,0))="","",INDEX(Config!$E$9:$E$29,MATCH($B1694,Config!$B$9:$B$29,0))),""),""))</f>
        <v/>
      </c>
      <c r="AC1694" s="19" t="str">
        <f>IF($B1694="","",IFERROR(INDEX(Config!$D$9:$D$29,MATCH($B1694,Config!$B$9:$B$29,0))&amp;"",""))</f>
        <v/>
      </c>
    </row>
    <row r="1695">
      <c r="R1695" s="20" t="str">
        <f>IF($B1695="","",IFERROR(IF(INDEX(Config!$D$9:$D$29,MATCH($B1695,Config!$B$9:$B$29,0))="Contrato",IF(INDEX(Config!$E$9:$E$29,MATCH($B1695,Config!$B$9:$B$29,0))="","",INDEX(Config!$E$9:$E$29,MATCH($B1695,Config!$B$9:$B$29,0))),""),""))</f>
        <v/>
      </c>
      <c r="AC1695" s="19" t="str">
        <f>IF($B1695="","",IFERROR(INDEX(Config!$D$9:$D$29,MATCH($B1695,Config!$B$9:$B$29,0))&amp;"",""))</f>
        <v/>
      </c>
    </row>
    <row r="1696">
      <c r="R1696" s="20" t="str">
        <f>IF($B1696="","",IFERROR(IF(INDEX(Config!$D$9:$D$29,MATCH($B1696,Config!$B$9:$B$29,0))="Contrato",IF(INDEX(Config!$E$9:$E$29,MATCH($B1696,Config!$B$9:$B$29,0))="","",INDEX(Config!$E$9:$E$29,MATCH($B1696,Config!$B$9:$B$29,0))),""),""))</f>
        <v/>
      </c>
      <c r="AC1696" s="19" t="str">
        <f>IF($B1696="","",IFERROR(INDEX(Config!$D$9:$D$29,MATCH($B1696,Config!$B$9:$B$29,0))&amp;"",""))</f>
        <v/>
      </c>
    </row>
    <row r="1697">
      <c r="R1697" s="20" t="str">
        <f>IF($B1697="","",IFERROR(IF(INDEX(Config!$D$9:$D$29,MATCH($B1697,Config!$B$9:$B$29,0))="Contrato",IF(INDEX(Config!$E$9:$E$29,MATCH($B1697,Config!$B$9:$B$29,0))="","",INDEX(Config!$E$9:$E$29,MATCH($B1697,Config!$B$9:$B$29,0))),""),""))</f>
        <v/>
      </c>
      <c r="AC1697" s="19" t="str">
        <f>IF($B1697="","",IFERROR(INDEX(Config!$D$9:$D$29,MATCH($B1697,Config!$B$9:$B$29,0))&amp;"",""))</f>
        <v/>
      </c>
    </row>
    <row r="1698">
      <c r="R1698" s="20" t="str">
        <f>IF($B1698="","",IFERROR(IF(INDEX(Config!$D$9:$D$29,MATCH($B1698,Config!$B$9:$B$29,0))="Contrato",IF(INDEX(Config!$E$9:$E$29,MATCH($B1698,Config!$B$9:$B$29,0))="","",INDEX(Config!$E$9:$E$29,MATCH($B1698,Config!$B$9:$B$29,0))),""),""))</f>
        <v/>
      </c>
      <c r="AC1698" s="19" t="str">
        <f>IF($B1698="","",IFERROR(INDEX(Config!$D$9:$D$29,MATCH($B1698,Config!$B$9:$B$29,0))&amp;"",""))</f>
        <v/>
      </c>
    </row>
    <row r="1699">
      <c r="R1699" s="20" t="str">
        <f>IF($B1699="","",IFERROR(IF(INDEX(Config!$D$9:$D$29,MATCH($B1699,Config!$B$9:$B$29,0))="Contrato",IF(INDEX(Config!$E$9:$E$29,MATCH($B1699,Config!$B$9:$B$29,0))="","",INDEX(Config!$E$9:$E$29,MATCH($B1699,Config!$B$9:$B$29,0))),""),""))</f>
        <v/>
      </c>
      <c r="AC1699" s="19" t="str">
        <f>IF($B1699="","",IFERROR(INDEX(Config!$D$9:$D$29,MATCH($B1699,Config!$B$9:$B$29,0))&amp;"",""))</f>
        <v/>
      </c>
    </row>
    <row r="1700">
      <c r="R1700" s="20" t="str">
        <f>IF($B1700="","",IFERROR(IF(INDEX(Config!$D$9:$D$29,MATCH($B1700,Config!$B$9:$B$29,0))="Contrato",IF(INDEX(Config!$E$9:$E$29,MATCH($B1700,Config!$B$9:$B$29,0))="","",INDEX(Config!$E$9:$E$29,MATCH($B1700,Config!$B$9:$B$29,0))),""),""))</f>
        <v/>
      </c>
      <c r="AC1700" s="19" t="str">
        <f>IF($B1700="","",IFERROR(INDEX(Config!$D$9:$D$29,MATCH($B1700,Config!$B$9:$B$29,0))&amp;"",""))</f>
        <v/>
      </c>
    </row>
    <row r="1701">
      <c r="R1701" s="20" t="str">
        <f>IF($B1701="","",IFERROR(IF(INDEX(Config!$D$9:$D$29,MATCH($B1701,Config!$B$9:$B$29,0))="Contrato",IF(INDEX(Config!$E$9:$E$29,MATCH($B1701,Config!$B$9:$B$29,0))="","",INDEX(Config!$E$9:$E$29,MATCH($B1701,Config!$B$9:$B$29,0))),""),""))</f>
        <v/>
      </c>
      <c r="AC1701" s="19" t="str">
        <f>IF($B1701="","",IFERROR(INDEX(Config!$D$9:$D$29,MATCH($B1701,Config!$B$9:$B$29,0))&amp;"",""))</f>
        <v/>
      </c>
    </row>
    <row r="1702">
      <c r="R1702" s="20" t="str">
        <f>IF($B1702="","",IFERROR(IF(INDEX(Config!$D$9:$D$29,MATCH($B1702,Config!$B$9:$B$29,0))="Contrato",IF(INDEX(Config!$E$9:$E$29,MATCH($B1702,Config!$B$9:$B$29,0))="","",INDEX(Config!$E$9:$E$29,MATCH($B1702,Config!$B$9:$B$29,0))),""),""))</f>
        <v/>
      </c>
      <c r="AC1702" s="19" t="str">
        <f>IF($B1702="","",IFERROR(INDEX(Config!$D$9:$D$29,MATCH($B1702,Config!$B$9:$B$29,0))&amp;"",""))</f>
        <v/>
      </c>
    </row>
    <row r="1703">
      <c r="R1703" s="20" t="str">
        <f>IF($B1703="","",IFERROR(IF(INDEX(Config!$D$9:$D$29,MATCH($B1703,Config!$B$9:$B$29,0))="Contrato",IF(INDEX(Config!$E$9:$E$29,MATCH($B1703,Config!$B$9:$B$29,0))="","",INDEX(Config!$E$9:$E$29,MATCH($B1703,Config!$B$9:$B$29,0))),""),""))</f>
        <v/>
      </c>
      <c r="AC1703" s="19" t="str">
        <f>IF($B1703="","",IFERROR(INDEX(Config!$D$9:$D$29,MATCH($B1703,Config!$B$9:$B$29,0))&amp;"",""))</f>
        <v/>
      </c>
    </row>
    <row r="1704">
      <c r="R1704" s="20" t="str">
        <f>IF($B1704="","",IFERROR(IF(INDEX(Config!$D$9:$D$29,MATCH($B1704,Config!$B$9:$B$29,0))="Contrato",IF(INDEX(Config!$E$9:$E$29,MATCH($B1704,Config!$B$9:$B$29,0))="","",INDEX(Config!$E$9:$E$29,MATCH($B1704,Config!$B$9:$B$29,0))),""),""))</f>
        <v/>
      </c>
      <c r="AC1704" s="19" t="str">
        <f>IF($B1704="","",IFERROR(INDEX(Config!$D$9:$D$29,MATCH($B1704,Config!$B$9:$B$29,0))&amp;"",""))</f>
        <v/>
      </c>
    </row>
    <row r="1705">
      <c r="R1705" s="20" t="str">
        <f>IF($B1705="","",IFERROR(IF(INDEX(Config!$D$9:$D$29,MATCH($B1705,Config!$B$9:$B$29,0))="Contrato",IF(INDEX(Config!$E$9:$E$29,MATCH($B1705,Config!$B$9:$B$29,0))="","",INDEX(Config!$E$9:$E$29,MATCH($B1705,Config!$B$9:$B$29,0))),""),""))</f>
        <v/>
      </c>
      <c r="AC1705" s="19" t="str">
        <f>IF($B1705="","",IFERROR(INDEX(Config!$D$9:$D$29,MATCH($B1705,Config!$B$9:$B$29,0))&amp;"",""))</f>
        <v/>
      </c>
    </row>
    <row r="1706">
      <c r="R1706" s="20" t="str">
        <f>IF($B1706="","",IFERROR(IF(INDEX(Config!$D$9:$D$29,MATCH($B1706,Config!$B$9:$B$29,0))="Contrato",IF(INDEX(Config!$E$9:$E$29,MATCH($B1706,Config!$B$9:$B$29,0))="","",INDEX(Config!$E$9:$E$29,MATCH($B1706,Config!$B$9:$B$29,0))),""),""))</f>
        <v/>
      </c>
      <c r="AC1706" s="19" t="str">
        <f>IF($B1706="","",IFERROR(INDEX(Config!$D$9:$D$29,MATCH($B1706,Config!$B$9:$B$29,0))&amp;"",""))</f>
        <v/>
      </c>
    </row>
    <row r="1707">
      <c r="R1707" s="20" t="str">
        <f>IF($B1707="","",IFERROR(IF(INDEX(Config!$D$9:$D$29,MATCH($B1707,Config!$B$9:$B$29,0))="Contrato",IF(INDEX(Config!$E$9:$E$29,MATCH($B1707,Config!$B$9:$B$29,0))="","",INDEX(Config!$E$9:$E$29,MATCH($B1707,Config!$B$9:$B$29,0))),""),""))</f>
        <v/>
      </c>
      <c r="AC1707" s="19" t="str">
        <f>IF($B1707="","",IFERROR(INDEX(Config!$D$9:$D$29,MATCH($B1707,Config!$B$9:$B$29,0))&amp;"",""))</f>
        <v/>
      </c>
    </row>
    <row r="1708">
      <c r="R1708" s="20" t="str">
        <f>IF($B1708="","",IFERROR(IF(INDEX(Config!$D$9:$D$29,MATCH($B1708,Config!$B$9:$B$29,0))="Contrato",IF(INDEX(Config!$E$9:$E$29,MATCH($B1708,Config!$B$9:$B$29,0))="","",INDEX(Config!$E$9:$E$29,MATCH($B1708,Config!$B$9:$B$29,0))),""),""))</f>
        <v/>
      </c>
      <c r="AC1708" s="19" t="str">
        <f>IF($B1708="","",IFERROR(INDEX(Config!$D$9:$D$29,MATCH($B1708,Config!$B$9:$B$29,0))&amp;"",""))</f>
        <v/>
      </c>
    </row>
    <row r="1709">
      <c r="R1709" s="20" t="str">
        <f>IF($B1709="","",IFERROR(IF(INDEX(Config!$D$9:$D$29,MATCH($B1709,Config!$B$9:$B$29,0))="Contrato",IF(INDEX(Config!$E$9:$E$29,MATCH($B1709,Config!$B$9:$B$29,0))="","",INDEX(Config!$E$9:$E$29,MATCH($B1709,Config!$B$9:$B$29,0))),""),""))</f>
        <v/>
      </c>
      <c r="AC1709" s="19" t="str">
        <f>IF($B1709="","",IFERROR(INDEX(Config!$D$9:$D$29,MATCH($B1709,Config!$B$9:$B$29,0))&amp;"",""))</f>
        <v/>
      </c>
    </row>
    <row r="1710">
      <c r="R1710" s="20" t="str">
        <f>IF($B1710="","",IFERROR(IF(INDEX(Config!$D$9:$D$29,MATCH($B1710,Config!$B$9:$B$29,0))="Contrato",IF(INDEX(Config!$E$9:$E$29,MATCH($B1710,Config!$B$9:$B$29,0))="","",INDEX(Config!$E$9:$E$29,MATCH($B1710,Config!$B$9:$B$29,0))),""),""))</f>
        <v/>
      </c>
      <c r="AC1710" s="19" t="str">
        <f>IF($B1710="","",IFERROR(INDEX(Config!$D$9:$D$29,MATCH($B1710,Config!$B$9:$B$29,0))&amp;"",""))</f>
        <v/>
      </c>
    </row>
    <row r="1711">
      <c r="R1711" s="20" t="str">
        <f>IF($B1711="","",IFERROR(IF(INDEX(Config!$D$9:$D$29,MATCH($B1711,Config!$B$9:$B$29,0))="Contrato",IF(INDEX(Config!$E$9:$E$29,MATCH($B1711,Config!$B$9:$B$29,0))="","",INDEX(Config!$E$9:$E$29,MATCH($B1711,Config!$B$9:$B$29,0))),""),""))</f>
        <v/>
      </c>
      <c r="AC1711" s="19" t="str">
        <f>IF($B1711="","",IFERROR(INDEX(Config!$D$9:$D$29,MATCH($B1711,Config!$B$9:$B$29,0))&amp;"",""))</f>
        <v/>
      </c>
    </row>
    <row r="1712">
      <c r="R1712" s="20" t="str">
        <f>IF($B1712="","",IFERROR(IF(INDEX(Config!$D$9:$D$29,MATCH($B1712,Config!$B$9:$B$29,0))="Contrato",IF(INDEX(Config!$E$9:$E$29,MATCH($B1712,Config!$B$9:$B$29,0))="","",INDEX(Config!$E$9:$E$29,MATCH($B1712,Config!$B$9:$B$29,0))),""),""))</f>
        <v/>
      </c>
      <c r="AC1712" s="19" t="str">
        <f>IF($B1712="","",IFERROR(INDEX(Config!$D$9:$D$29,MATCH($B1712,Config!$B$9:$B$29,0))&amp;"",""))</f>
        <v/>
      </c>
    </row>
    <row r="1713">
      <c r="R1713" s="20" t="str">
        <f>IF($B1713="","",IFERROR(IF(INDEX(Config!$D$9:$D$29,MATCH($B1713,Config!$B$9:$B$29,0))="Contrato",IF(INDEX(Config!$E$9:$E$29,MATCH($B1713,Config!$B$9:$B$29,0))="","",INDEX(Config!$E$9:$E$29,MATCH($B1713,Config!$B$9:$B$29,0))),""),""))</f>
        <v/>
      </c>
      <c r="AC1713" s="19" t="str">
        <f>IF($B1713="","",IFERROR(INDEX(Config!$D$9:$D$29,MATCH($B1713,Config!$B$9:$B$29,0))&amp;"",""))</f>
        <v/>
      </c>
    </row>
    <row r="1714">
      <c r="R1714" s="20" t="str">
        <f>IF($B1714="","",IFERROR(IF(INDEX(Config!$D$9:$D$29,MATCH($B1714,Config!$B$9:$B$29,0))="Contrato",IF(INDEX(Config!$E$9:$E$29,MATCH($B1714,Config!$B$9:$B$29,0))="","",INDEX(Config!$E$9:$E$29,MATCH($B1714,Config!$B$9:$B$29,0))),""),""))</f>
        <v/>
      </c>
      <c r="AC1714" s="19" t="str">
        <f>IF($B1714="","",IFERROR(INDEX(Config!$D$9:$D$29,MATCH($B1714,Config!$B$9:$B$29,0))&amp;"",""))</f>
        <v/>
      </c>
    </row>
    <row r="1715">
      <c r="R1715" s="20" t="str">
        <f>IF($B1715="","",IFERROR(IF(INDEX(Config!$D$9:$D$29,MATCH($B1715,Config!$B$9:$B$29,0))="Contrato",IF(INDEX(Config!$E$9:$E$29,MATCH($B1715,Config!$B$9:$B$29,0))="","",INDEX(Config!$E$9:$E$29,MATCH($B1715,Config!$B$9:$B$29,0))),""),""))</f>
        <v/>
      </c>
      <c r="AC1715" s="19" t="str">
        <f>IF($B1715="","",IFERROR(INDEX(Config!$D$9:$D$29,MATCH($B1715,Config!$B$9:$B$29,0))&amp;"",""))</f>
        <v/>
      </c>
    </row>
    <row r="1716">
      <c r="R1716" s="20" t="str">
        <f>IF($B1716="","",IFERROR(IF(INDEX(Config!$D$9:$D$29,MATCH($B1716,Config!$B$9:$B$29,0))="Contrato",IF(INDEX(Config!$E$9:$E$29,MATCH($B1716,Config!$B$9:$B$29,0))="","",INDEX(Config!$E$9:$E$29,MATCH($B1716,Config!$B$9:$B$29,0))),""),""))</f>
        <v/>
      </c>
      <c r="AC1716" s="19" t="str">
        <f>IF($B1716="","",IFERROR(INDEX(Config!$D$9:$D$29,MATCH($B1716,Config!$B$9:$B$29,0))&amp;"",""))</f>
        <v/>
      </c>
    </row>
    <row r="1717">
      <c r="R1717" s="20" t="str">
        <f>IF($B1717="","",IFERROR(IF(INDEX(Config!$D$9:$D$29,MATCH($B1717,Config!$B$9:$B$29,0))="Contrato",IF(INDEX(Config!$E$9:$E$29,MATCH($B1717,Config!$B$9:$B$29,0))="","",INDEX(Config!$E$9:$E$29,MATCH($B1717,Config!$B$9:$B$29,0))),""),""))</f>
        <v/>
      </c>
      <c r="AC1717" s="19" t="str">
        <f>IF($B1717="","",IFERROR(INDEX(Config!$D$9:$D$29,MATCH($B1717,Config!$B$9:$B$29,0))&amp;"",""))</f>
        <v/>
      </c>
    </row>
    <row r="1718">
      <c r="R1718" s="20" t="str">
        <f>IF($B1718="","",IFERROR(IF(INDEX(Config!$D$9:$D$29,MATCH($B1718,Config!$B$9:$B$29,0))="Contrato",IF(INDEX(Config!$E$9:$E$29,MATCH($B1718,Config!$B$9:$B$29,0))="","",INDEX(Config!$E$9:$E$29,MATCH($B1718,Config!$B$9:$B$29,0))),""),""))</f>
        <v/>
      </c>
      <c r="AC1718" s="19" t="str">
        <f>IF($B1718="","",IFERROR(INDEX(Config!$D$9:$D$29,MATCH($B1718,Config!$B$9:$B$29,0))&amp;"",""))</f>
        <v/>
      </c>
    </row>
    <row r="1719">
      <c r="R1719" s="20" t="str">
        <f>IF($B1719="","",IFERROR(IF(INDEX(Config!$D$9:$D$29,MATCH($B1719,Config!$B$9:$B$29,0))="Contrato",IF(INDEX(Config!$E$9:$E$29,MATCH($B1719,Config!$B$9:$B$29,0))="","",INDEX(Config!$E$9:$E$29,MATCH($B1719,Config!$B$9:$B$29,0))),""),""))</f>
        <v/>
      </c>
      <c r="AC1719" s="19" t="str">
        <f>IF($B1719="","",IFERROR(INDEX(Config!$D$9:$D$29,MATCH($B1719,Config!$B$9:$B$29,0))&amp;"",""))</f>
        <v/>
      </c>
    </row>
    <row r="1720">
      <c r="R1720" s="20" t="str">
        <f>IF($B1720="","",IFERROR(IF(INDEX(Config!$D$9:$D$29,MATCH($B1720,Config!$B$9:$B$29,0))="Contrato",IF(INDEX(Config!$E$9:$E$29,MATCH($B1720,Config!$B$9:$B$29,0))="","",INDEX(Config!$E$9:$E$29,MATCH($B1720,Config!$B$9:$B$29,0))),""),""))</f>
        <v/>
      </c>
      <c r="AC1720" s="19" t="str">
        <f>IF($B1720="","",IFERROR(INDEX(Config!$D$9:$D$29,MATCH($B1720,Config!$B$9:$B$29,0))&amp;"",""))</f>
        <v/>
      </c>
    </row>
    <row r="1721">
      <c r="R1721" s="20" t="str">
        <f>IF($B1721="","",IFERROR(IF(INDEX(Config!$D$9:$D$29,MATCH($B1721,Config!$B$9:$B$29,0))="Contrato",IF(INDEX(Config!$E$9:$E$29,MATCH($B1721,Config!$B$9:$B$29,0))="","",INDEX(Config!$E$9:$E$29,MATCH($B1721,Config!$B$9:$B$29,0))),""),""))</f>
        <v/>
      </c>
      <c r="AC1721" s="19" t="str">
        <f>IF($B1721="","",IFERROR(INDEX(Config!$D$9:$D$29,MATCH($B1721,Config!$B$9:$B$29,0))&amp;"",""))</f>
        <v/>
      </c>
    </row>
    <row r="1722">
      <c r="R1722" s="20" t="str">
        <f>IF($B1722="","",IFERROR(IF(INDEX(Config!$D$9:$D$29,MATCH($B1722,Config!$B$9:$B$29,0))="Contrato",IF(INDEX(Config!$E$9:$E$29,MATCH($B1722,Config!$B$9:$B$29,0))="","",INDEX(Config!$E$9:$E$29,MATCH($B1722,Config!$B$9:$B$29,0))),""),""))</f>
        <v/>
      </c>
      <c r="AC1722" s="19" t="str">
        <f>IF($B1722="","",IFERROR(INDEX(Config!$D$9:$D$29,MATCH($B1722,Config!$B$9:$B$29,0))&amp;"",""))</f>
        <v/>
      </c>
    </row>
    <row r="1723">
      <c r="R1723" s="20" t="str">
        <f>IF($B1723="","",IFERROR(IF(INDEX(Config!$D$9:$D$29,MATCH($B1723,Config!$B$9:$B$29,0))="Contrato",IF(INDEX(Config!$E$9:$E$29,MATCH($B1723,Config!$B$9:$B$29,0))="","",INDEX(Config!$E$9:$E$29,MATCH($B1723,Config!$B$9:$B$29,0))),""),""))</f>
        <v/>
      </c>
      <c r="AC1723" s="19" t="str">
        <f>IF($B1723="","",IFERROR(INDEX(Config!$D$9:$D$29,MATCH($B1723,Config!$B$9:$B$29,0))&amp;"",""))</f>
        <v/>
      </c>
    </row>
    <row r="1724">
      <c r="R1724" s="20" t="str">
        <f>IF($B1724="","",IFERROR(IF(INDEX(Config!$D$9:$D$29,MATCH($B1724,Config!$B$9:$B$29,0))="Contrato",IF(INDEX(Config!$E$9:$E$29,MATCH($B1724,Config!$B$9:$B$29,0))="","",INDEX(Config!$E$9:$E$29,MATCH($B1724,Config!$B$9:$B$29,0))),""),""))</f>
        <v/>
      </c>
      <c r="AC1724" s="19" t="str">
        <f>IF($B1724="","",IFERROR(INDEX(Config!$D$9:$D$29,MATCH($B1724,Config!$B$9:$B$29,0))&amp;"",""))</f>
        <v/>
      </c>
    </row>
    <row r="1725">
      <c r="R1725" s="20" t="str">
        <f>IF($B1725="","",IFERROR(IF(INDEX(Config!$D$9:$D$29,MATCH($B1725,Config!$B$9:$B$29,0))="Contrato",IF(INDEX(Config!$E$9:$E$29,MATCH($B1725,Config!$B$9:$B$29,0))="","",INDEX(Config!$E$9:$E$29,MATCH($B1725,Config!$B$9:$B$29,0))),""),""))</f>
        <v/>
      </c>
      <c r="AC1725" s="19" t="str">
        <f>IF($B1725="","",IFERROR(INDEX(Config!$D$9:$D$29,MATCH($B1725,Config!$B$9:$B$29,0))&amp;"",""))</f>
        <v/>
      </c>
    </row>
    <row r="1726">
      <c r="R1726" s="20" t="str">
        <f>IF($B1726="","",IFERROR(IF(INDEX(Config!$D$9:$D$29,MATCH($B1726,Config!$B$9:$B$29,0))="Contrato",IF(INDEX(Config!$E$9:$E$29,MATCH($B1726,Config!$B$9:$B$29,0))="","",INDEX(Config!$E$9:$E$29,MATCH($B1726,Config!$B$9:$B$29,0))),""),""))</f>
        <v/>
      </c>
      <c r="AC1726" s="19" t="str">
        <f>IF($B1726="","",IFERROR(INDEX(Config!$D$9:$D$29,MATCH($B1726,Config!$B$9:$B$29,0))&amp;"",""))</f>
        <v/>
      </c>
    </row>
    <row r="1727">
      <c r="R1727" s="20" t="str">
        <f>IF($B1727="","",IFERROR(IF(INDEX(Config!$D$9:$D$29,MATCH($B1727,Config!$B$9:$B$29,0))="Contrato",IF(INDEX(Config!$E$9:$E$29,MATCH($B1727,Config!$B$9:$B$29,0))="","",INDEX(Config!$E$9:$E$29,MATCH($B1727,Config!$B$9:$B$29,0))),""),""))</f>
        <v/>
      </c>
      <c r="AC1727" s="19" t="str">
        <f>IF($B1727="","",IFERROR(INDEX(Config!$D$9:$D$29,MATCH($B1727,Config!$B$9:$B$29,0))&amp;"",""))</f>
        <v/>
      </c>
    </row>
    <row r="1728">
      <c r="R1728" s="20" t="str">
        <f>IF($B1728="","",IFERROR(IF(INDEX(Config!$D$9:$D$29,MATCH($B1728,Config!$B$9:$B$29,0))="Contrato",IF(INDEX(Config!$E$9:$E$29,MATCH($B1728,Config!$B$9:$B$29,0))="","",INDEX(Config!$E$9:$E$29,MATCH($B1728,Config!$B$9:$B$29,0))),""),""))</f>
        <v/>
      </c>
      <c r="AC1728" s="19" t="str">
        <f>IF($B1728="","",IFERROR(INDEX(Config!$D$9:$D$29,MATCH($B1728,Config!$B$9:$B$29,0))&amp;"",""))</f>
        <v/>
      </c>
    </row>
    <row r="1729">
      <c r="R1729" s="20" t="str">
        <f>IF($B1729="","",IFERROR(IF(INDEX(Config!$D$9:$D$29,MATCH($B1729,Config!$B$9:$B$29,0))="Contrato",IF(INDEX(Config!$E$9:$E$29,MATCH($B1729,Config!$B$9:$B$29,0))="","",INDEX(Config!$E$9:$E$29,MATCH($B1729,Config!$B$9:$B$29,0))),""),""))</f>
        <v/>
      </c>
      <c r="AC1729" s="19" t="str">
        <f>IF($B1729="","",IFERROR(INDEX(Config!$D$9:$D$29,MATCH($B1729,Config!$B$9:$B$29,0))&amp;"",""))</f>
        <v/>
      </c>
    </row>
    <row r="1730">
      <c r="R1730" s="20" t="str">
        <f>IF($B1730="","",IFERROR(IF(INDEX(Config!$D$9:$D$29,MATCH($B1730,Config!$B$9:$B$29,0))="Contrato",IF(INDEX(Config!$E$9:$E$29,MATCH($B1730,Config!$B$9:$B$29,0))="","",INDEX(Config!$E$9:$E$29,MATCH($B1730,Config!$B$9:$B$29,0))),""),""))</f>
        <v/>
      </c>
      <c r="AC1730" s="19" t="str">
        <f>IF($B1730="","",IFERROR(INDEX(Config!$D$9:$D$29,MATCH($B1730,Config!$B$9:$B$29,0))&amp;"",""))</f>
        <v/>
      </c>
    </row>
    <row r="1731">
      <c r="R1731" s="20" t="str">
        <f>IF($B1731="","",IFERROR(IF(INDEX(Config!$D$9:$D$29,MATCH($B1731,Config!$B$9:$B$29,0))="Contrato",IF(INDEX(Config!$E$9:$E$29,MATCH($B1731,Config!$B$9:$B$29,0))="","",INDEX(Config!$E$9:$E$29,MATCH($B1731,Config!$B$9:$B$29,0))),""),""))</f>
        <v/>
      </c>
      <c r="AC1731" s="19" t="str">
        <f>IF($B1731="","",IFERROR(INDEX(Config!$D$9:$D$29,MATCH($B1731,Config!$B$9:$B$29,0))&amp;"",""))</f>
        <v/>
      </c>
    </row>
    <row r="1732">
      <c r="R1732" s="20" t="str">
        <f>IF($B1732="","",IFERROR(IF(INDEX(Config!$D$9:$D$29,MATCH($B1732,Config!$B$9:$B$29,0))="Contrato",IF(INDEX(Config!$E$9:$E$29,MATCH($B1732,Config!$B$9:$B$29,0))="","",INDEX(Config!$E$9:$E$29,MATCH($B1732,Config!$B$9:$B$29,0))),""),""))</f>
        <v/>
      </c>
      <c r="AC1732" s="19" t="str">
        <f>IF($B1732="","",IFERROR(INDEX(Config!$D$9:$D$29,MATCH($B1732,Config!$B$9:$B$29,0))&amp;"",""))</f>
        <v/>
      </c>
    </row>
    <row r="1733">
      <c r="R1733" s="20" t="str">
        <f>IF($B1733="","",IFERROR(IF(INDEX(Config!$D$9:$D$29,MATCH($B1733,Config!$B$9:$B$29,0))="Contrato",IF(INDEX(Config!$E$9:$E$29,MATCH($B1733,Config!$B$9:$B$29,0))="","",INDEX(Config!$E$9:$E$29,MATCH($B1733,Config!$B$9:$B$29,0))),""),""))</f>
        <v/>
      </c>
      <c r="AC1733" s="19" t="str">
        <f>IF($B1733="","",IFERROR(INDEX(Config!$D$9:$D$29,MATCH($B1733,Config!$B$9:$B$29,0))&amp;"",""))</f>
        <v/>
      </c>
    </row>
    <row r="1734">
      <c r="R1734" s="20" t="str">
        <f>IF($B1734="","",IFERROR(IF(INDEX(Config!$D$9:$D$29,MATCH($B1734,Config!$B$9:$B$29,0))="Contrato",IF(INDEX(Config!$E$9:$E$29,MATCH($B1734,Config!$B$9:$B$29,0))="","",INDEX(Config!$E$9:$E$29,MATCH($B1734,Config!$B$9:$B$29,0))),""),""))</f>
        <v/>
      </c>
      <c r="AC1734" s="19" t="str">
        <f>IF($B1734="","",IFERROR(INDEX(Config!$D$9:$D$29,MATCH($B1734,Config!$B$9:$B$29,0))&amp;"",""))</f>
        <v/>
      </c>
    </row>
    <row r="1735">
      <c r="R1735" s="20" t="str">
        <f>IF($B1735="","",IFERROR(IF(INDEX(Config!$D$9:$D$29,MATCH($B1735,Config!$B$9:$B$29,0))="Contrato",IF(INDEX(Config!$E$9:$E$29,MATCH($B1735,Config!$B$9:$B$29,0))="","",INDEX(Config!$E$9:$E$29,MATCH($B1735,Config!$B$9:$B$29,0))),""),""))</f>
        <v/>
      </c>
      <c r="AC1735" s="19" t="str">
        <f>IF($B1735="","",IFERROR(INDEX(Config!$D$9:$D$29,MATCH($B1735,Config!$B$9:$B$29,0))&amp;"",""))</f>
        <v/>
      </c>
    </row>
    <row r="1736">
      <c r="R1736" s="20" t="str">
        <f>IF($B1736="","",IFERROR(IF(INDEX(Config!$D$9:$D$29,MATCH($B1736,Config!$B$9:$B$29,0))="Contrato",IF(INDEX(Config!$E$9:$E$29,MATCH($B1736,Config!$B$9:$B$29,0))="","",INDEX(Config!$E$9:$E$29,MATCH($B1736,Config!$B$9:$B$29,0))),""),""))</f>
        <v/>
      </c>
      <c r="AC1736" s="19" t="str">
        <f>IF($B1736="","",IFERROR(INDEX(Config!$D$9:$D$29,MATCH($B1736,Config!$B$9:$B$29,0))&amp;"",""))</f>
        <v/>
      </c>
    </row>
    <row r="1737">
      <c r="R1737" s="20" t="str">
        <f>IF($B1737="","",IFERROR(IF(INDEX(Config!$D$9:$D$29,MATCH($B1737,Config!$B$9:$B$29,0))="Contrato",IF(INDEX(Config!$E$9:$E$29,MATCH($B1737,Config!$B$9:$B$29,0))="","",INDEX(Config!$E$9:$E$29,MATCH($B1737,Config!$B$9:$B$29,0))),""),""))</f>
        <v/>
      </c>
      <c r="AC1737" s="19" t="str">
        <f>IF($B1737="","",IFERROR(INDEX(Config!$D$9:$D$29,MATCH($B1737,Config!$B$9:$B$29,0))&amp;"",""))</f>
        <v/>
      </c>
    </row>
    <row r="1738">
      <c r="R1738" s="20" t="str">
        <f>IF($B1738="","",IFERROR(IF(INDEX(Config!$D$9:$D$29,MATCH($B1738,Config!$B$9:$B$29,0))="Contrato",IF(INDEX(Config!$E$9:$E$29,MATCH($B1738,Config!$B$9:$B$29,0))="","",INDEX(Config!$E$9:$E$29,MATCH($B1738,Config!$B$9:$B$29,0))),""),""))</f>
        <v/>
      </c>
      <c r="AC1738" s="19" t="str">
        <f>IF($B1738="","",IFERROR(INDEX(Config!$D$9:$D$29,MATCH($B1738,Config!$B$9:$B$29,0))&amp;"",""))</f>
        <v/>
      </c>
    </row>
    <row r="1739">
      <c r="R1739" s="20" t="str">
        <f>IF($B1739="","",IFERROR(IF(INDEX(Config!$D$9:$D$29,MATCH($B1739,Config!$B$9:$B$29,0))="Contrato",IF(INDEX(Config!$E$9:$E$29,MATCH($B1739,Config!$B$9:$B$29,0))="","",INDEX(Config!$E$9:$E$29,MATCH($B1739,Config!$B$9:$B$29,0))),""),""))</f>
        <v/>
      </c>
      <c r="AC1739" s="19" t="str">
        <f>IF($B1739="","",IFERROR(INDEX(Config!$D$9:$D$29,MATCH($B1739,Config!$B$9:$B$29,0))&amp;"",""))</f>
        <v/>
      </c>
    </row>
    <row r="1740">
      <c r="R1740" s="20" t="str">
        <f>IF($B1740="","",IFERROR(IF(INDEX(Config!$D$9:$D$29,MATCH($B1740,Config!$B$9:$B$29,0))="Contrato",IF(INDEX(Config!$E$9:$E$29,MATCH($B1740,Config!$B$9:$B$29,0))="","",INDEX(Config!$E$9:$E$29,MATCH($B1740,Config!$B$9:$B$29,0))),""),""))</f>
        <v/>
      </c>
      <c r="AC1740" s="19" t="str">
        <f>IF($B1740="","",IFERROR(INDEX(Config!$D$9:$D$29,MATCH($B1740,Config!$B$9:$B$29,0))&amp;"",""))</f>
        <v/>
      </c>
    </row>
    <row r="1741">
      <c r="R1741" s="20" t="str">
        <f>IF($B1741="","",IFERROR(IF(INDEX(Config!$D$9:$D$29,MATCH($B1741,Config!$B$9:$B$29,0))="Contrato",IF(INDEX(Config!$E$9:$E$29,MATCH($B1741,Config!$B$9:$B$29,0))="","",INDEX(Config!$E$9:$E$29,MATCH($B1741,Config!$B$9:$B$29,0))),""),""))</f>
        <v/>
      </c>
      <c r="AC1741" s="19" t="str">
        <f>IF($B1741="","",IFERROR(INDEX(Config!$D$9:$D$29,MATCH($B1741,Config!$B$9:$B$29,0))&amp;"",""))</f>
        <v/>
      </c>
    </row>
    <row r="1742">
      <c r="R1742" s="20" t="str">
        <f>IF($B1742="","",IFERROR(IF(INDEX(Config!$D$9:$D$29,MATCH($B1742,Config!$B$9:$B$29,0))="Contrato",IF(INDEX(Config!$E$9:$E$29,MATCH($B1742,Config!$B$9:$B$29,0))="","",INDEX(Config!$E$9:$E$29,MATCH($B1742,Config!$B$9:$B$29,0))),""),""))</f>
        <v/>
      </c>
      <c r="AC1742" s="19" t="str">
        <f>IF($B1742="","",IFERROR(INDEX(Config!$D$9:$D$29,MATCH($B1742,Config!$B$9:$B$29,0))&amp;"",""))</f>
        <v/>
      </c>
    </row>
    <row r="1743">
      <c r="R1743" s="20" t="str">
        <f>IF($B1743="","",IFERROR(IF(INDEX(Config!$D$9:$D$29,MATCH($B1743,Config!$B$9:$B$29,0))="Contrato",IF(INDEX(Config!$E$9:$E$29,MATCH($B1743,Config!$B$9:$B$29,0))="","",INDEX(Config!$E$9:$E$29,MATCH($B1743,Config!$B$9:$B$29,0))),""),""))</f>
        <v/>
      </c>
      <c r="AC1743" s="19" t="str">
        <f>IF($B1743="","",IFERROR(INDEX(Config!$D$9:$D$29,MATCH($B1743,Config!$B$9:$B$29,0))&amp;"",""))</f>
        <v/>
      </c>
    </row>
    <row r="1744">
      <c r="R1744" s="20" t="str">
        <f>IF($B1744="","",IFERROR(IF(INDEX(Config!$D$9:$D$29,MATCH($B1744,Config!$B$9:$B$29,0))="Contrato",IF(INDEX(Config!$E$9:$E$29,MATCH($B1744,Config!$B$9:$B$29,0))="","",INDEX(Config!$E$9:$E$29,MATCH($B1744,Config!$B$9:$B$29,0))),""),""))</f>
        <v/>
      </c>
      <c r="AC1744" s="19" t="str">
        <f>IF($B1744="","",IFERROR(INDEX(Config!$D$9:$D$29,MATCH($B1744,Config!$B$9:$B$29,0))&amp;"",""))</f>
        <v/>
      </c>
    </row>
    <row r="1745">
      <c r="R1745" s="20" t="str">
        <f>IF($B1745="","",IFERROR(IF(INDEX(Config!$D$9:$D$29,MATCH($B1745,Config!$B$9:$B$29,0))="Contrato",IF(INDEX(Config!$E$9:$E$29,MATCH($B1745,Config!$B$9:$B$29,0))="","",INDEX(Config!$E$9:$E$29,MATCH($B1745,Config!$B$9:$B$29,0))),""),""))</f>
        <v/>
      </c>
      <c r="AC1745" s="19" t="str">
        <f>IF($B1745="","",IFERROR(INDEX(Config!$D$9:$D$29,MATCH($B1745,Config!$B$9:$B$29,0))&amp;"",""))</f>
        <v/>
      </c>
    </row>
    <row r="1746">
      <c r="R1746" s="20" t="str">
        <f>IF($B1746="","",IFERROR(IF(INDEX(Config!$D$9:$D$29,MATCH($B1746,Config!$B$9:$B$29,0))="Contrato",IF(INDEX(Config!$E$9:$E$29,MATCH($B1746,Config!$B$9:$B$29,0))="","",INDEX(Config!$E$9:$E$29,MATCH($B1746,Config!$B$9:$B$29,0))),""),""))</f>
        <v/>
      </c>
      <c r="AC1746" s="19" t="str">
        <f>IF($B1746="","",IFERROR(INDEX(Config!$D$9:$D$29,MATCH($B1746,Config!$B$9:$B$29,0))&amp;"",""))</f>
        <v/>
      </c>
    </row>
    <row r="1747">
      <c r="R1747" s="20" t="str">
        <f>IF($B1747="","",IFERROR(IF(INDEX(Config!$D$9:$D$29,MATCH($B1747,Config!$B$9:$B$29,0))="Contrato",IF(INDEX(Config!$E$9:$E$29,MATCH($B1747,Config!$B$9:$B$29,0))="","",INDEX(Config!$E$9:$E$29,MATCH($B1747,Config!$B$9:$B$29,0))),""),""))</f>
        <v/>
      </c>
      <c r="AC1747" s="19" t="str">
        <f>IF($B1747="","",IFERROR(INDEX(Config!$D$9:$D$29,MATCH($B1747,Config!$B$9:$B$29,0))&amp;"",""))</f>
        <v/>
      </c>
    </row>
    <row r="1748">
      <c r="R1748" s="20" t="str">
        <f>IF($B1748="","",IFERROR(IF(INDEX(Config!$D$9:$D$29,MATCH($B1748,Config!$B$9:$B$29,0))="Contrato",IF(INDEX(Config!$E$9:$E$29,MATCH($B1748,Config!$B$9:$B$29,0))="","",INDEX(Config!$E$9:$E$29,MATCH($B1748,Config!$B$9:$B$29,0))),""),""))</f>
        <v/>
      </c>
      <c r="AC1748" s="19" t="str">
        <f>IF($B1748="","",IFERROR(INDEX(Config!$D$9:$D$29,MATCH($B1748,Config!$B$9:$B$29,0))&amp;"",""))</f>
        <v/>
      </c>
    </row>
    <row r="1749">
      <c r="R1749" s="20" t="str">
        <f>IF($B1749="","",IFERROR(IF(INDEX(Config!$D$9:$D$29,MATCH($B1749,Config!$B$9:$B$29,0))="Contrato",IF(INDEX(Config!$E$9:$E$29,MATCH($B1749,Config!$B$9:$B$29,0))="","",INDEX(Config!$E$9:$E$29,MATCH($B1749,Config!$B$9:$B$29,0))),""),""))</f>
        <v/>
      </c>
      <c r="AC1749" s="19" t="str">
        <f>IF($B1749="","",IFERROR(INDEX(Config!$D$9:$D$29,MATCH($B1749,Config!$B$9:$B$29,0))&amp;"",""))</f>
        <v/>
      </c>
    </row>
    <row r="1750">
      <c r="R1750" s="20" t="str">
        <f>IF($B1750="","",IFERROR(IF(INDEX(Config!$D$9:$D$29,MATCH($B1750,Config!$B$9:$B$29,0))="Contrato",IF(INDEX(Config!$E$9:$E$29,MATCH($B1750,Config!$B$9:$B$29,0))="","",INDEX(Config!$E$9:$E$29,MATCH($B1750,Config!$B$9:$B$29,0))),""),""))</f>
        <v/>
      </c>
      <c r="AC1750" s="19" t="str">
        <f>IF($B1750="","",IFERROR(INDEX(Config!$D$9:$D$29,MATCH($B1750,Config!$B$9:$B$29,0))&amp;"",""))</f>
        <v/>
      </c>
    </row>
    <row r="1751">
      <c r="R1751" s="20" t="str">
        <f>IF($B1751="","",IFERROR(IF(INDEX(Config!$D$9:$D$29,MATCH($B1751,Config!$B$9:$B$29,0))="Contrato",IF(INDEX(Config!$E$9:$E$29,MATCH($B1751,Config!$B$9:$B$29,0))="","",INDEX(Config!$E$9:$E$29,MATCH($B1751,Config!$B$9:$B$29,0))),""),""))</f>
        <v/>
      </c>
      <c r="AC1751" s="19" t="str">
        <f>IF($B1751="","",IFERROR(INDEX(Config!$D$9:$D$29,MATCH($B1751,Config!$B$9:$B$29,0))&amp;"",""))</f>
        <v/>
      </c>
    </row>
    <row r="1752">
      <c r="R1752" s="20" t="str">
        <f>IF($B1752="","",IFERROR(IF(INDEX(Config!$D$9:$D$29,MATCH($B1752,Config!$B$9:$B$29,0))="Contrato",IF(INDEX(Config!$E$9:$E$29,MATCH($B1752,Config!$B$9:$B$29,0))="","",INDEX(Config!$E$9:$E$29,MATCH($B1752,Config!$B$9:$B$29,0))),""),""))</f>
        <v/>
      </c>
      <c r="AC1752" s="19" t="str">
        <f>IF($B1752="","",IFERROR(INDEX(Config!$D$9:$D$29,MATCH($B1752,Config!$B$9:$B$29,0))&amp;"",""))</f>
        <v/>
      </c>
    </row>
    <row r="1753">
      <c r="R1753" s="20" t="str">
        <f>IF($B1753="","",IFERROR(IF(INDEX(Config!$D$9:$D$29,MATCH($B1753,Config!$B$9:$B$29,0))="Contrato",IF(INDEX(Config!$E$9:$E$29,MATCH($B1753,Config!$B$9:$B$29,0))="","",INDEX(Config!$E$9:$E$29,MATCH($B1753,Config!$B$9:$B$29,0))),""),""))</f>
        <v/>
      </c>
      <c r="AC1753" s="19" t="str">
        <f>IF($B1753="","",IFERROR(INDEX(Config!$D$9:$D$29,MATCH($B1753,Config!$B$9:$B$29,0))&amp;"",""))</f>
        <v/>
      </c>
    </row>
    <row r="1754">
      <c r="R1754" s="20" t="str">
        <f>IF($B1754="","",IFERROR(IF(INDEX(Config!$D$9:$D$29,MATCH($B1754,Config!$B$9:$B$29,0))="Contrato",IF(INDEX(Config!$E$9:$E$29,MATCH($B1754,Config!$B$9:$B$29,0))="","",INDEX(Config!$E$9:$E$29,MATCH($B1754,Config!$B$9:$B$29,0))),""),""))</f>
        <v/>
      </c>
      <c r="AC1754" s="19" t="str">
        <f>IF($B1754="","",IFERROR(INDEX(Config!$D$9:$D$29,MATCH($B1754,Config!$B$9:$B$29,0))&amp;"",""))</f>
        <v/>
      </c>
    </row>
    <row r="1755">
      <c r="R1755" s="20" t="str">
        <f>IF($B1755="","",IFERROR(IF(INDEX(Config!$D$9:$D$29,MATCH($B1755,Config!$B$9:$B$29,0))="Contrato",IF(INDEX(Config!$E$9:$E$29,MATCH($B1755,Config!$B$9:$B$29,0))="","",INDEX(Config!$E$9:$E$29,MATCH($B1755,Config!$B$9:$B$29,0))),""),""))</f>
        <v/>
      </c>
      <c r="AC1755" s="19" t="str">
        <f>IF($B1755="","",IFERROR(INDEX(Config!$D$9:$D$29,MATCH($B1755,Config!$B$9:$B$29,0))&amp;"",""))</f>
        <v/>
      </c>
    </row>
    <row r="1756">
      <c r="R1756" s="20" t="str">
        <f>IF($B1756="","",IFERROR(IF(INDEX(Config!$D$9:$D$29,MATCH($B1756,Config!$B$9:$B$29,0))="Contrato",IF(INDEX(Config!$E$9:$E$29,MATCH($B1756,Config!$B$9:$B$29,0))="","",INDEX(Config!$E$9:$E$29,MATCH($B1756,Config!$B$9:$B$29,0))),""),""))</f>
        <v/>
      </c>
      <c r="AC1756" s="19" t="str">
        <f>IF($B1756="","",IFERROR(INDEX(Config!$D$9:$D$29,MATCH($B1756,Config!$B$9:$B$29,0))&amp;"",""))</f>
        <v/>
      </c>
    </row>
    <row r="1757">
      <c r="R1757" s="20" t="str">
        <f>IF($B1757="","",IFERROR(IF(INDEX(Config!$D$9:$D$29,MATCH($B1757,Config!$B$9:$B$29,0))="Contrato",IF(INDEX(Config!$E$9:$E$29,MATCH($B1757,Config!$B$9:$B$29,0))="","",INDEX(Config!$E$9:$E$29,MATCH($B1757,Config!$B$9:$B$29,0))),""),""))</f>
        <v/>
      </c>
      <c r="AC1757" s="19" t="str">
        <f>IF($B1757="","",IFERROR(INDEX(Config!$D$9:$D$29,MATCH($B1757,Config!$B$9:$B$29,0))&amp;"",""))</f>
        <v/>
      </c>
    </row>
    <row r="1758">
      <c r="R1758" s="20" t="str">
        <f>IF($B1758="","",IFERROR(IF(INDEX(Config!$D$9:$D$29,MATCH($B1758,Config!$B$9:$B$29,0))="Contrato",IF(INDEX(Config!$E$9:$E$29,MATCH($B1758,Config!$B$9:$B$29,0))="","",INDEX(Config!$E$9:$E$29,MATCH($B1758,Config!$B$9:$B$29,0))),""),""))</f>
        <v/>
      </c>
      <c r="AC1758" s="19" t="str">
        <f>IF($B1758="","",IFERROR(INDEX(Config!$D$9:$D$29,MATCH($B1758,Config!$B$9:$B$29,0))&amp;"",""))</f>
        <v/>
      </c>
    </row>
    <row r="1759">
      <c r="R1759" s="20" t="str">
        <f>IF($B1759="","",IFERROR(IF(INDEX(Config!$D$9:$D$29,MATCH($B1759,Config!$B$9:$B$29,0))="Contrato",IF(INDEX(Config!$E$9:$E$29,MATCH($B1759,Config!$B$9:$B$29,0))="","",INDEX(Config!$E$9:$E$29,MATCH($B1759,Config!$B$9:$B$29,0))),""),""))</f>
        <v/>
      </c>
      <c r="AC1759" s="19" t="str">
        <f>IF($B1759="","",IFERROR(INDEX(Config!$D$9:$D$29,MATCH($B1759,Config!$B$9:$B$29,0))&amp;"",""))</f>
        <v/>
      </c>
    </row>
    <row r="1760">
      <c r="R1760" s="20" t="str">
        <f>IF($B1760="","",IFERROR(IF(INDEX(Config!$D$9:$D$29,MATCH($B1760,Config!$B$9:$B$29,0))="Contrato",IF(INDEX(Config!$E$9:$E$29,MATCH($B1760,Config!$B$9:$B$29,0))="","",INDEX(Config!$E$9:$E$29,MATCH($B1760,Config!$B$9:$B$29,0))),""),""))</f>
        <v/>
      </c>
      <c r="AC1760" s="19" t="str">
        <f>IF($B1760="","",IFERROR(INDEX(Config!$D$9:$D$29,MATCH($B1760,Config!$B$9:$B$29,0))&amp;"",""))</f>
        <v/>
      </c>
    </row>
    <row r="1761">
      <c r="R1761" s="20" t="str">
        <f>IF($B1761="","",IFERROR(IF(INDEX(Config!$D$9:$D$29,MATCH($B1761,Config!$B$9:$B$29,0))="Contrato",IF(INDEX(Config!$E$9:$E$29,MATCH($B1761,Config!$B$9:$B$29,0))="","",INDEX(Config!$E$9:$E$29,MATCH($B1761,Config!$B$9:$B$29,0))),""),""))</f>
        <v/>
      </c>
      <c r="AC1761" s="19" t="str">
        <f>IF($B1761="","",IFERROR(INDEX(Config!$D$9:$D$29,MATCH($B1761,Config!$B$9:$B$29,0))&amp;"",""))</f>
        <v/>
      </c>
    </row>
    <row r="1762">
      <c r="R1762" s="20" t="str">
        <f>IF($B1762="","",IFERROR(IF(INDEX(Config!$D$9:$D$29,MATCH($B1762,Config!$B$9:$B$29,0))="Contrato",IF(INDEX(Config!$E$9:$E$29,MATCH($B1762,Config!$B$9:$B$29,0))="","",INDEX(Config!$E$9:$E$29,MATCH($B1762,Config!$B$9:$B$29,0))),""),""))</f>
        <v/>
      </c>
      <c r="AC1762" s="19" t="str">
        <f>IF($B1762="","",IFERROR(INDEX(Config!$D$9:$D$29,MATCH($B1762,Config!$B$9:$B$29,0))&amp;"",""))</f>
        <v/>
      </c>
    </row>
    <row r="1763">
      <c r="R1763" s="20" t="str">
        <f>IF($B1763="","",IFERROR(IF(INDEX(Config!$D$9:$D$29,MATCH($B1763,Config!$B$9:$B$29,0))="Contrato",IF(INDEX(Config!$E$9:$E$29,MATCH($B1763,Config!$B$9:$B$29,0))="","",INDEX(Config!$E$9:$E$29,MATCH($B1763,Config!$B$9:$B$29,0))),""),""))</f>
        <v/>
      </c>
      <c r="AC1763" s="19" t="str">
        <f>IF($B1763="","",IFERROR(INDEX(Config!$D$9:$D$29,MATCH($B1763,Config!$B$9:$B$29,0))&amp;"",""))</f>
        <v/>
      </c>
    </row>
    <row r="1764">
      <c r="R1764" s="20" t="str">
        <f>IF($B1764="","",IFERROR(IF(INDEX(Config!$D$9:$D$29,MATCH($B1764,Config!$B$9:$B$29,0))="Contrato",IF(INDEX(Config!$E$9:$E$29,MATCH($B1764,Config!$B$9:$B$29,0))="","",INDEX(Config!$E$9:$E$29,MATCH($B1764,Config!$B$9:$B$29,0))),""),""))</f>
        <v/>
      </c>
      <c r="AC1764" s="19" t="str">
        <f>IF($B1764="","",IFERROR(INDEX(Config!$D$9:$D$29,MATCH($B1764,Config!$B$9:$B$29,0))&amp;"",""))</f>
        <v/>
      </c>
    </row>
    <row r="1765">
      <c r="R1765" s="20" t="str">
        <f>IF($B1765="","",IFERROR(IF(INDEX(Config!$D$9:$D$29,MATCH($B1765,Config!$B$9:$B$29,0))="Contrato",IF(INDEX(Config!$E$9:$E$29,MATCH($B1765,Config!$B$9:$B$29,0))="","",INDEX(Config!$E$9:$E$29,MATCH($B1765,Config!$B$9:$B$29,0))),""),""))</f>
        <v/>
      </c>
      <c r="AC1765" s="19" t="str">
        <f>IF($B1765="","",IFERROR(INDEX(Config!$D$9:$D$29,MATCH($B1765,Config!$B$9:$B$29,0))&amp;"",""))</f>
        <v/>
      </c>
    </row>
    <row r="1766">
      <c r="R1766" s="20" t="str">
        <f>IF($B1766="","",IFERROR(IF(INDEX(Config!$D$9:$D$29,MATCH($B1766,Config!$B$9:$B$29,0))="Contrato",IF(INDEX(Config!$E$9:$E$29,MATCH($B1766,Config!$B$9:$B$29,0))="","",INDEX(Config!$E$9:$E$29,MATCH($B1766,Config!$B$9:$B$29,0))),""),""))</f>
        <v/>
      </c>
      <c r="AC1766" s="19" t="str">
        <f>IF($B1766="","",IFERROR(INDEX(Config!$D$9:$D$29,MATCH($B1766,Config!$B$9:$B$29,0))&amp;"",""))</f>
        <v/>
      </c>
    </row>
    <row r="1767">
      <c r="R1767" s="20" t="str">
        <f>IF($B1767="","",IFERROR(IF(INDEX(Config!$D$9:$D$29,MATCH($B1767,Config!$B$9:$B$29,0))="Contrato",IF(INDEX(Config!$E$9:$E$29,MATCH($B1767,Config!$B$9:$B$29,0))="","",INDEX(Config!$E$9:$E$29,MATCH($B1767,Config!$B$9:$B$29,0))),""),""))</f>
        <v/>
      </c>
      <c r="AC1767" s="19" t="str">
        <f>IF($B1767="","",IFERROR(INDEX(Config!$D$9:$D$29,MATCH($B1767,Config!$B$9:$B$29,0))&amp;"",""))</f>
        <v/>
      </c>
    </row>
    <row r="1768">
      <c r="R1768" s="20" t="str">
        <f>IF($B1768="","",IFERROR(IF(INDEX(Config!$D$9:$D$29,MATCH($B1768,Config!$B$9:$B$29,0))="Contrato",IF(INDEX(Config!$E$9:$E$29,MATCH($B1768,Config!$B$9:$B$29,0))="","",INDEX(Config!$E$9:$E$29,MATCH($B1768,Config!$B$9:$B$29,0))),""),""))</f>
        <v/>
      </c>
      <c r="AC1768" s="19" t="str">
        <f>IF($B1768="","",IFERROR(INDEX(Config!$D$9:$D$29,MATCH($B1768,Config!$B$9:$B$29,0))&amp;"",""))</f>
        <v/>
      </c>
    </row>
    <row r="1769">
      <c r="R1769" s="20" t="str">
        <f>IF($B1769="","",IFERROR(IF(INDEX(Config!$D$9:$D$29,MATCH($B1769,Config!$B$9:$B$29,0))="Contrato",IF(INDEX(Config!$E$9:$E$29,MATCH($B1769,Config!$B$9:$B$29,0))="","",INDEX(Config!$E$9:$E$29,MATCH($B1769,Config!$B$9:$B$29,0))),""),""))</f>
        <v/>
      </c>
      <c r="AC1769" s="19" t="str">
        <f>IF($B1769="","",IFERROR(INDEX(Config!$D$9:$D$29,MATCH($B1769,Config!$B$9:$B$29,0))&amp;"",""))</f>
        <v/>
      </c>
    </row>
    <row r="1770">
      <c r="R1770" s="20" t="str">
        <f>IF($B1770="","",IFERROR(IF(INDEX(Config!$D$9:$D$29,MATCH($B1770,Config!$B$9:$B$29,0))="Contrato",IF(INDEX(Config!$E$9:$E$29,MATCH($B1770,Config!$B$9:$B$29,0))="","",INDEX(Config!$E$9:$E$29,MATCH($B1770,Config!$B$9:$B$29,0))),""),""))</f>
        <v/>
      </c>
      <c r="AC1770" s="19" t="str">
        <f>IF($B1770="","",IFERROR(INDEX(Config!$D$9:$D$29,MATCH($B1770,Config!$B$9:$B$29,0))&amp;"",""))</f>
        <v/>
      </c>
    </row>
    <row r="1771">
      <c r="R1771" s="20" t="str">
        <f>IF($B1771="","",IFERROR(IF(INDEX(Config!$D$9:$D$29,MATCH($B1771,Config!$B$9:$B$29,0))="Contrato",IF(INDEX(Config!$E$9:$E$29,MATCH($B1771,Config!$B$9:$B$29,0))="","",INDEX(Config!$E$9:$E$29,MATCH($B1771,Config!$B$9:$B$29,0))),""),""))</f>
        <v/>
      </c>
      <c r="AC1771" s="19" t="str">
        <f>IF($B1771="","",IFERROR(INDEX(Config!$D$9:$D$29,MATCH($B1771,Config!$B$9:$B$29,0))&amp;"",""))</f>
        <v/>
      </c>
    </row>
    <row r="1772">
      <c r="R1772" s="20" t="str">
        <f>IF($B1772="","",IFERROR(IF(INDEX(Config!$D$9:$D$29,MATCH($B1772,Config!$B$9:$B$29,0))="Contrato",IF(INDEX(Config!$E$9:$E$29,MATCH($B1772,Config!$B$9:$B$29,0))="","",INDEX(Config!$E$9:$E$29,MATCH($B1772,Config!$B$9:$B$29,0))),""),""))</f>
        <v/>
      </c>
      <c r="AC1772" s="19" t="str">
        <f>IF($B1772="","",IFERROR(INDEX(Config!$D$9:$D$29,MATCH($B1772,Config!$B$9:$B$29,0))&amp;"",""))</f>
        <v/>
      </c>
    </row>
    <row r="1773">
      <c r="R1773" s="20" t="str">
        <f>IF($B1773="","",IFERROR(IF(INDEX(Config!$D$9:$D$29,MATCH($B1773,Config!$B$9:$B$29,0))="Contrato",IF(INDEX(Config!$E$9:$E$29,MATCH($B1773,Config!$B$9:$B$29,0))="","",INDEX(Config!$E$9:$E$29,MATCH($B1773,Config!$B$9:$B$29,0))),""),""))</f>
        <v/>
      </c>
      <c r="AC1773" s="19" t="str">
        <f>IF($B1773="","",IFERROR(INDEX(Config!$D$9:$D$29,MATCH($B1773,Config!$B$9:$B$29,0))&amp;"",""))</f>
        <v/>
      </c>
    </row>
    <row r="1774">
      <c r="R1774" s="20" t="str">
        <f>IF($B1774="","",IFERROR(IF(INDEX(Config!$D$9:$D$29,MATCH($B1774,Config!$B$9:$B$29,0))="Contrato",IF(INDEX(Config!$E$9:$E$29,MATCH($B1774,Config!$B$9:$B$29,0))="","",INDEX(Config!$E$9:$E$29,MATCH($B1774,Config!$B$9:$B$29,0))),""),""))</f>
        <v/>
      </c>
      <c r="AC1774" s="19" t="str">
        <f>IF($B1774="","",IFERROR(INDEX(Config!$D$9:$D$29,MATCH($B1774,Config!$B$9:$B$29,0))&amp;"",""))</f>
        <v/>
      </c>
    </row>
    <row r="1775">
      <c r="R1775" s="20" t="str">
        <f>IF($B1775="","",IFERROR(IF(INDEX(Config!$D$9:$D$29,MATCH($B1775,Config!$B$9:$B$29,0))="Contrato",IF(INDEX(Config!$E$9:$E$29,MATCH($B1775,Config!$B$9:$B$29,0))="","",INDEX(Config!$E$9:$E$29,MATCH($B1775,Config!$B$9:$B$29,0))),""),""))</f>
        <v/>
      </c>
      <c r="AC1775" s="19" t="str">
        <f>IF($B1775="","",IFERROR(INDEX(Config!$D$9:$D$29,MATCH($B1775,Config!$B$9:$B$29,0))&amp;"",""))</f>
        <v/>
      </c>
    </row>
    <row r="1776">
      <c r="R1776" s="20" t="str">
        <f>IF($B1776="","",IFERROR(IF(INDEX(Config!$D$9:$D$29,MATCH($B1776,Config!$B$9:$B$29,0))="Contrato",IF(INDEX(Config!$E$9:$E$29,MATCH($B1776,Config!$B$9:$B$29,0))="","",INDEX(Config!$E$9:$E$29,MATCH($B1776,Config!$B$9:$B$29,0))),""),""))</f>
        <v/>
      </c>
      <c r="AC1776" s="19" t="str">
        <f>IF($B1776="","",IFERROR(INDEX(Config!$D$9:$D$29,MATCH($B1776,Config!$B$9:$B$29,0))&amp;"",""))</f>
        <v/>
      </c>
    </row>
    <row r="1777">
      <c r="R1777" s="20" t="str">
        <f>IF($B1777="","",IFERROR(IF(INDEX(Config!$D$9:$D$29,MATCH($B1777,Config!$B$9:$B$29,0))="Contrato",IF(INDEX(Config!$E$9:$E$29,MATCH($B1777,Config!$B$9:$B$29,0))="","",INDEX(Config!$E$9:$E$29,MATCH($B1777,Config!$B$9:$B$29,0))),""),""))</f>
        <v/>
      </c>
      <c r="AC1777" s="19" t="str">
        <f>IF($B1777="","",IFERROR(INDEX(Config!$D$9:$D$29,MATCH($B1777,Config!$B$9:$B$29,0))&amp;"",""))</f>
        <v/>
      </c>
    </row>
    <row r="1778">
      <c r="R1778" s="20" t="str">
        <f>IF($B1778="","",IFERROR(IF(INDEX(Config!$D$9:$D$29,MATCH($B1778,Config!$B$9:$B$29,0))="Contrato",IF(INDEX(Config!$E$9:$E$29,MATCH($B1778,Config!$B$9:$B$29,0))="","",INDEX(Config!$E$9:$E$29,MATCH($B1778,Config!$B$9:$B$29,0))),""),""))</f>
        <v/>
      </c>
      <c r="AC1778" s="19" t="str">
        <f>IF($B1778="","",IFERROR(INDEX(Config!$D$9:$D$29,MATCH($B1778,Config!$B$9:$B$29,0))&amp;"",""))</f>
        <v/>
      </c>
    </row>
    <row r="1779">
      <c r="R1779" s="20" t="str">
        <f>IF($B1779="","",IFERROR(IF(INDEX(Config!$D$9:$D$29,MATCH($B1779,Config!$B$9:$B$29,0))="Contrato",IF(INDEX(Config!$E$9:$E$29,MATCH($B1779,Config!$B$9:$B$29,0))="","",INDEX(Config!$E$9:$E$29,MATCH($B1779,Config!$B$9:$B$29,0))),""),""))</f>
        <v/>
      </c>
      <c r="AC1779" s="19" t="str">
        <f>IF($B1779="","",IFERROR(INDEX(Config!$D$9:$D$29,MATCH($B1779,Config!$B$9:$B$29,0))&amp;"",""))</f>
        <v/>
      </c>
    </row>
    <row r="1780">
      <c r="R1780" s="20" t="str">
        <f>IF($B1780="","",IFERROR(IF(INDEX(Config!$D$9:$D$29,MATCH($B1780,Config!$B$9:$B$29,0))="Contrato",IF(INDEX(Config!$E$9:$E$29,MATCH($B1780,Config!$B$9:$B$29,0))="","",INDEX(Config!$E$9:$E$29,MATCH($B1780,Config!$B$9:$B$29,0))),""),""))</f>
        <v/>
      </c>
      <c r="AC1780" s="19" t="str">
        <f>IF($B1780="","",IFERROR(INDEX(Config!$D$9:$D$29,MATCH($B1780,Config!$B$9:$B$29,0))&amp;"",""))</f>
        <v/>
      </c>
    </row>
    <row r="1781">
      <c r="R1781" s="20" t="str">
        <f>IF($B1781="","",IFERROR(IF(INDEX(Config!$D$9:$D$29,MATCH($B1781,Config!$B$9:$B$29,0))="Contrato",IF(INDEX(Config!$E$9:$E$29,MATCH($B1781,Config!$B$9:$B$29,0))="","",INDEX(Config!$E$9:$E$29,MATCH($B1781,Config!$B$9:$B$29,0))),""),""))</f>
        <v/>
      </c>
      <c r="AC1781" s="19" t="str">
        <f>IF($B1781="","",IFERROR(INDEX(Config!$D$9:$D$29,MATCH($B1781,Config!$B$9:$B$29,0))&amp;"",""))</f>
        <v/>
      </c>
    </row>
    <row r="1782">
      <c r="R1782" s="20" t="str">
        <f>IF($B1782="","",IFERROR(IF(INDEX(Config!$D$9:$D$29,MATCH($B1782,Config!$B$9:$B$29,0))="Contrato",IF(INDEX(Config!$E$9:$E$29,MATCH($B1782,Config!$B$9:$B$29,0))="","",INDEX(Config!$E$9:$E$29,MATCH($B1782,Config!$B$9:$B$29,0))),""),""))</f>
        <v/>
      </c>
      <c r="AC1782" s="19" t="str">
        <f>IF($B1782="","",IFERROR(INDEX(Config!$D$9:$D$29,MATCH($B1782,Config!$B$9:$B$29,0))&amp;"",""))</f>
        <v/>
      </c>
    </row>
    <row r="1783">
      <c r="R1783" s="20" t="str">
        <f>IF($B1783="","",IFERROR(IF(INDEX(Config!$D$9:$D$29,MATCH($B1783,Config!$B$9:$B$29,0))="Contrato",IF(INDEX(Config!$E$9:$E$29,MATCH($B1783,Config!$B$9:$B$29,0))="","",INDEX(Config!$E$9:$E$29,MATCH($B1783,Config!$B$9:$B$29,0))),""),""))</f>
        <v/>
      </c>
      <c r="AC1783" s="19" t="str">
        <f>IF($B1783="","",IFERROR(INDEX(Config!$D$9:$D$29,MATCH($B1783,Config!$B$9:$B$29,0))&amp;"",""))</f>
        <v/>
      </c>
    </row>
    <row r="1784">
      <c r="R1784" s="20" t="str">
        <f>IF($B1784="","",IFERROR(IF(INDEX(Config!$D$9:$D$29,MATCH($B1784,Config!$B$9:$B$29,0))="Contrato",IF(INDEX(Config!$E$9:$E$29,MATCH($B1784,Config!$B$9:$B$29,0))="","",INDEX(Config!$E$9:$E$29,MATCH($B1784,Config!$B$9:$B$29,0))),""),""))</f>
        <v/>
      </c>
      <c r="AC1784" s="19" t="str">
        <f>IF($B1784="","",IFERROR(INDEX(Config!$D$9:$D$29,MATCH($B1784,Config!$B$9:$B$29,0))&amp;"",""))</f>
        <v/>
      </c>
    </row>
    <row r="1785">
      <c r="R1785" s="20" t="str">
        <f>IF($B1785="","",IFERROR(IF(INDEX(Config!$D$9:$D$29,MATCH($B1785,Config!$B$9:$B$29,0))="Contrato",IF(INDEX(Config!$E$9:$E$29,MATCH($B1785,Config!$B$9:$B$29,0))="","",INDEX(Config!$E$9:$E$29,MATCH($B1785,Config!$B$9:$B$29,0))),""),""))</f>
        <v/>
      </c>
      <c r="AC1785" s="19" t="str">
        <f>IF($B1785="","",IFERROR(INDEX(Config!$D$9:$D$29,MATCH($B1785,Config!$B$9:$B$29,0))&amp;"",""))</f>
        <v/>
      </c>
    </row>
    <row r="1786">
      <c r="R1786" s="20" t="str">
        <f>IF($B1786="","",IFERROR(IF(INDEX(Config!$D$9:$D$29,MATCH($B1786,Config!$B$9:$B$29,0))="Contrato",IF(INDEX(Config!$E$9:$E$29,MATCH($B1786,Config!$B$9:$B$29,0))="","",INDEX(Config!$E$9:$E$29,MATCH($B1786,Config!$B$9:$B$29,0))),""),""))</f>
        <v/>
      </c>
      <c r="AC1786" s="19" t="str">
        <f>IF($B1786="","",IFERROR(INDEX(Config!$D$9:$D$29,MATCH($B1786,Config!$B$9:$B$29,0))&amp;"",""))</f>
        <v/>
      </c>
    </row>
    <row r="1787">
      <c r="R1787" s="20" t="str">
        <f>IF($B1787="","",IFERROR(IF(INDEX(Config!$D$9:$D$29,MATCH($B1787,Config!$B$9:$B$29,0))="Contrato",IF(INDEX(Config!$E$9:$E$29,MATCH($B1787,Config!$B$9:$B$29,0))="","",INDEX(Config!$E$9:$E$29,MATCH($B1787,Config!$B$9:$B$29,0))),""),""))</f>
        <v/>
      </c>
      <c r="AC1787" s="19" t="str">
        <f>IF($B1787="","",IFERROR(INDEX(Config!$D$9:$D$29,MATCH($B1787,Config!$B$9:$B$29,0))&amp;"",""))</f>
        <v/>
      </c>
    </row>
    <row r="1788">
      <c r="R1788" s="20" t="str">
        <f>IF($B1788="","",IFERROR(IF(INDEX(Config!$D$9:$D$29,MATCH($B1788,Config!$B$9:$B$29,0))="Contrato",IF(INDEX(Config!$E$9:$E$29,MATCH($B1788,Config!$B$9:$B$29,0))="","",INDEX(Config!$E$9:$E$29,MATCH($B1788,Config!$B$9:$B$29,0))),""),""))</f>
        <v/>
      </c>
      <c r="AC1788" s="19" t="str">
        <f>IF($B1788="","",IFERROR(INDEX(Config!$D$9:$D$29,MATCH($B1788,Config!$B$9:$B$29,0))&amp;"",""))</f>
        <v/>
      </c>
    </row>
    <row r="1789">
      <c r="R1789" s="20" t="str">
        <f>IF($B1789="","",IFERROR(IF(INDEX(Config!$D$9:$D$29,MATCH($B1789,Config!$B$9:$B$29,0))="Contrato",IF(INDEX(Config!$E$9:$E$29,MATCH($B1789,Config!$B$9:$B$29,0))="","",INDEX(Config!$E$9:$E$29,MATCH($B1789,Config!$B$9:$B$29,0))),""),""))</f>
        <v/>
      </c>
      <c r="AC1789" s="19" t="str">
        <f>IF($B1789="","",IFERROR(INDEX(Config!$D$9:$D$29,MATCH($B1789,Config!$B$9:$B$29,0))&amp;"",""))</f>
        <v/>
      </c>
    </row>
    <row r="1790">
      <c r="R1790" s="20" t="str">
        <f>IF($B1790="","",IFERROR(IF(INDEX(Config!$D$9:$D$29,MATCH($B1790,Config!$B$9:$B$29,0))="Contrato",IF(INDEX(Config!$E$9:$E$29,MATCH($B1790,Config!$B$9:$B$29,0))="","",INDEX(Config!$E$9:$E$29,MATCH($B1790,Config!$B$9:$B$29,0))),""),""))</f>
        <v/>
      </c>
      <c r="AC1790" s="19" t="str">
        <f>IF($B1790="","",IFERROR(INDEX(Config!$D$9:$D$29,MATCH($B1790,Config!$B$9:$B$29,0))&amp;"",""))</f>
        <v/>
      </c>
    </row>
    <row r="1791">
      <c r="R1791" s="20" t="str">
        <f>IF($B1791="","",IFERROR(IF(INDEX(Config!$D$9:$D$29,MATCH($B1791,Config!$B$9:$B$29,0))="Contrato",IF(INDEX(Config!$E$9:$E$29,MATCH($B1791,Config!$B$9:$B$29,0))="","",INDEX(Config!$E$9:$E$29,MATCH($B1791,Config!$B$9:$B$29,0))),""),""))</f>
        <v/>
      </c>
      <c r="AC1791" s="19" t="str">
        <f>IF($B1791="","",IFERROR(INDEX(Config!$D$9:$D$29,MATCH($B1791,Config!$B$9:$B$29,0))&amp;"",""))</f>
        <v/>
      </c>
    </row>
    <row r="1792">
      <c r="R1792" s="20" t="str">
        <f>IF($B1792="","",IFERROR(IF(INDEX(Config!$D$9:$D$29,MATCH($B1792,Config!$B$9:$B$29,0))="Contrato",IF(INDEX(Config!$E$9:$E$29,MATCH($B1792,Config!$B$9:$B$29,0))="","",INDEX(Config!$E$9:$E$29,MATCH($B1792,Config!$B$9:$B$29,0))),""),""))</f>
        <v/>
      </c>
      <c r="AC1792" s="19" t="str">
        <f>IF($B1792="","",IFERROR(INDEX(Config!$D$9:$D$29,MATCH($B1792,Config!$B$9:$B$29,0))&amp;"",""))</f>
        <v/>
      </c>
    </row>
    <row r="1793">
      <c r="R1793" s="20" t="str">
        <f>IF($B1793="","",IFERROR(IF(INDEX(Config!$D$9:$D$29,MATCH($B1793,Config!$B$9:$B$29,0))="Contrato",IF(INDEX(Config!$E$9:$E$29,MATCH($B1793,Config!$B$9:$B$29,0))="","",INDEX(Config!$E$9:$E$29,MATCH($B1793,Config!$B$9:$B$29,0))),""),""))</f>
        <v/>
      </c>
      <c r="AC1793" s="19" t="str">
        <f>IF($B1793="","",IFERROR(INDEX(Config!$D$9:$D$29,MATCH($B1793,Config!$B$9:$B$29,0))&amp;"",""))</f>
        <v/>
      </c>
    </row>
    <row r="1794">
      <c r="R1794" s="20" t="str">
        <f>IF($B1794="","",IFERROR(IF(INDEX(Config!$D$9:$D$29,MATCH($B1794,Config!$B$9:$B$29,0))="Contrato",IF(INDEX(Config!$E$9:$E$29,MATCH($B1794,Config!$B$9:$B$29,0))="","",INDEX(Config!$E$9:$E$29,MATCH($B1794,Config!$B$9:$B$29,0))),""),""))</f>
        <v/>
      </c>
      <c r="AC1794" s="19" t="str">
        <f>IF($B1794="","",IFERROR(INDEX(Config!$D$9:$D$29,MATCH($B1794,Config!$B$9:$B$29,0))&amp;"",""))</f>
        <v/>
      </c>
    </row>
    <row r="1795">
      <c r="R1795" s="20" t="str">
        <f>IF($B1795="","",IFERROR(IF(INDEX(Config!$D$9:$D$29,MATCH($B1795,Config!$B$9:$B$29,0))="Contrato",IF(INDEX(Config!$E$9:$E$29,MATCH($B1795,Config!$B$9:$B$29,0))="","",INDEX(Config!$E$9:$E$29,MATCH($B1795,Config!$B$9:$B$29,0))),""),""))</f>
        <v/>
      </c>
      <c r="AC1795" s="19" t="str">
        <f>IF($B1795="","",IFERROR(INDEX(Config!$D$9:$D$29,MATCH($B1795,Config!$B$9:$B$29,0))&amp;"",""))</f>
        <v/>
      </c>
    </row>
    <row r="1796">
      <c r="R1796" s="20" t="str">
        <f>IF($B1796="","",IFERROR(IF(INDEX(Config!$D$9:$D$29,MATCH($B1796,Config!$B$9:$B$29,0))="Contrato",IF(INDEX(Config!$E$9:$E$29,MATCH($B1796,Config!$B$9:$B$29,0))="","",INDEX(Config!$E$9:$E$29,MATCH($B1796,Config!$B$9:$B$29,0))),""),""))</f>
        <v/>
      </c>
      <c r="AC1796" s="19" t="str">
        <f>IF($B1796="","",IFERROR(INDEX(Config!$D$9:$D$29,MATCH($B1796,Config!$B$9:$B$29,0))&amp;"",""))</f>
        <v/>
      </c>
    </row>
    <row r="1797">
      <c r="R1797" s="20" t="str">
        <f>IF($B1797="","",IFERROR(IF(INDEX(Config!$D$9:$D$29,MATCH($B1797,Config!$B$9:$B$29,0))="Contrato",IF(INDEX(Config!$E$9:$E$29,MATCH($B1797,Config!$B$9:$B$29,0))="","",INDEX(Config!$E$9:$E$29,MATCH($B1797,Config!$B$9:$B$29,0))),""),""))</f>
        <v/>
      </c>
      <c r="AC1797" s="19" t="str">
        <f>IF($B1797="","",IFERROR(INDEX(Config!$D$9:$D$29,MATCH($B1797,Config!$B$9:$B$29,0))&amp;"",""))</f>
        <v/>
      </c>
    </row>
    <row r="1798">
      <c r="R1798" s="20" t="str">
        <f>IF($B1798="","",IFERROR(IF(INDEX(Config!$D$9:$D$29,MATCH($B1798,Config!$B$9:$B$29,0))="Contrato",IF(INDEX(Config!$E$9:$E$29,MATCH($B1798,Config!$B$9:$B$29,0))="","",INDEX(Config!$E$9:$E$29,MATCH($B1798,Config!$B$9:$B$29,0))),""),""))</f>
        <v/>
      </c>
      <c r="AC1798" s="19" t="str">
        <f>IF($B1798="","",IFERROR(INDEX(Config!$D$9:$D$29,MATCH($B1798,Config!$B$9:$B$29,0))&amp;"",""))</f>
        <v/>
      </c>
    </row>
    <row r="1799">
      <c r="R1799" s="20" t="str">
        <f>IF($B1799="","",IFERROR(IF(INDEX(Config!$D$9:$D$29,MATCH($B1799,Config!$B$9:$B$29,0))="Contrato",IF(INDEX(Config!$E$9:$E$29,MATCH($B1799,Config!$B$9:$B$29,0))="","",INDEX(Config!$E$9:$E$29,MATCH($B1799,Config!$B$9:$B$29,0))),""),""))</f>
        <v/>
      </c>
      <c r="AC1799" s="19" t="str">
        <f>IF($B1799="","",IFERROR(INDEX(Config!$D$9:$D$29,MATCH($B1799,Config!$B$9:$B$29,0))&amp;"",""))</f>
        <v/>
      </c>
    </row>
    <row r="1800">
      <c r="R1800" s="20" t="str">
        <f>IF($B1800="","",IFERROR(IF(INDEX(Config!$D$9:$D$29,MATCH($B1800,Config!$B$9:$B$29,0))="Contrato",IF(INDEX(Config!$E$9:$E$29,MATCH($B1800,Config!$B$9:$B$29,0))="","",INDEX(Config!$E$9:$E$29,MATCH($B1800,Config!$B$9:$B$29,0))),""),""))</f>
        <v/>
      </c>
      <c r="AC1800" s="19" t="str">
        <f>IF($B1800="","",IFERROR(INDEX(Config!$D$9:$D$29,MATCH($B1800,Config!$B$9:$B$29,0))&amp;"",""))</f>
        <v/>
      </c>
    </row>
    <row r="1801">
      <c r="R1801" s="20" t="str">
        <f>IF($B1801="","",IFERROR(IF(INDEX(Config!$D$9:$D$29,MATCH($B1801,Config!$B$9:$B$29,0))="Contrato",IF(INDEX(Config!$E$9:$E$29,MATCH($B1801,Config!$B$9:$B$29,0))="","",INDEX(Config!$E$9:$E$29,MATCH($B1801,Config!$B$9:$B$29,0))),""),""))</f>
        <v/>
      </c>
      <c r="AC1801" s="19" t="str">
        <f>IF($B1801="","",IFERROR(INDEX(Config!$D$9:$D$29,MATCH($B1801,Config!$B$9:$B$29,0))&amp;"",""))</f>
        <v/>
      </c>
    </row>
    <row r="1802">
      <c r="R1802" s="20" t="str">
        <f>IF($B1802="","",IFERROR(IF(INDEX(Config!$D$9:$D$29,MATCH($B1802,Config!$B$9:$B$29,0))="Contrato",IF(INDEX(Config!$E$9:$E$29,MATCH($B1802,Config!$B$9:$B$29,0))="","",INDEX(Config!$E$9:$E$29,MATCH($B1802,Config!$B$9:$B$29,0))),""),""))</f>
        <v/>
      </c>
      <c r="AC1802" s="19" t="str">
        <f>IF($B1802="","",IFERROR(INDEX(Config!$D$9:$D$29,MATCH($B1802,Config!$B$9:$B$29,0))&amp;"",""))</f>
        <v/>
      </c>
    </row>
    <row r="1803">
      <c r="R1803" s="20" t="str">
        <f>IF($B1803="","",IFERROR(IF(INDEX(Config!$D$9:$D$29,MATCH($B1803,Config!$B$9:$B$29,0))="Contrato",IF(INDEX(Config!$E$9:$E$29,MATCH($B1803,Config!$B$9:$B$29,0))="","",INDEX(Config!$E$9:$E$29,MATCH($B1803,Config!$B$9:$B$29,0))),""),""))</f>
        <v/>
      </c>
      <c r="AC1803" s="19" t="str">
        <f>IF($B1803="","",IFERROR(INDEX(Config!$D$9:$D$29,MATCH($B1803,Config!$B$9:$B$29,0))&amp;"",""))</f>
        <v/>
      </c>
    </row>
    <row r="1804">
      <c r="R1804" s="20" t="str">
        <f>IF($B1804="","",IFERROR(IF(INDEX(Config!$D$9:$D$29,MATCH($B1804,Config!$B$9:$B$29,0))="Contrato",IF(INDEX(Config!$E$9:$E$29,MATCH($B1804,Config!$B$9:$B$29,0))="","",INDEX(Config!$E$9:$E$29,MATCH($B1804,Config!$B$9:$B$29,0))),""),""))</f>
        <v/>
      </c>
      <c r="AC1804" s="19" t="str">
        <f>IF($B1804="","",IFERROR(INDEX(Config!$D$9:$D$29,MATCH($B1804,Config!$B$9:$B$29,0))&amp;"",""))</f>
        <v/>
      </c>
    </row>
    <row r="1805">
      <c r="R1805" s="20" t="str">
        <f>IF($B1805="","",IFERROR(IF(INDEX(Config!$D$9:$D$29,MATCH($B1805,Config!$B$9:$B$29,0))="Contrato",IF(INDEX(Config!$E$9:$E$29,MATCH($B1805,Config!$B$9:$B$29,0))="","",INDEX(Config!$E$9:$E$29,MATCH($B1805,Config!$B$9:$B$29,0))),""),""))</f>
        <v/>
      </c>
      <c r="AC1805" s="19" t="str">
        <f>IF($B1805="","",IFERROR(INDEX(Config!$D$9:$D$29,MATCH($B1805,Config!$B$9:$B$29,0))&amp;"",""))</f>
        <v/>
      </c>
    </row>
    <row r="1806">
      <c r="R1806" s="20" t="str">
        <f>IF($B1806="","",IFERROR(IF(INDEX(Config!$D$9:$D$29,MATCH($B1806,Config!$B$9:$B$29,0))="Contrato",IF(INDEX(Config!$E$9:$E$29,MATCH($B1806,Config!$B$9:$B$29,0))="","",INDEX(Config!$E$9:$E$29,MATCH($B1806,Config!$B$9:$B$29,0))),""),""))</f>
        <v/>
      </c>
      <c r="AC1806" s="19" t="str">
        <f>IF($B1806="","",IFERROR(INDEX(Config!$D$9:$D$29,MATCH($B1806,Config!$B$9:$B$29,0))&amp;"",""))</f>
        <v/>
      </c>
    </row>
    <row r="1807">
      <c r="R1807" s="20" t="str">
        <f>IF($B1807="","",IFERROR(IF(INDEX(Config!$D$9:$D$29,MATCH($B1807,Config!$B$9:$B$29,0))="Contrato",IF(INDEX(Config!$E$9:$E$29,MATCH($B1807,Config!$B$9:$B$29,0))="","",INDEX(Config!$E$9:$E$29,MATCH($B1807,Config!$B$9:$B$29,0))),""),""))</f>
        <v/>
      </c>
      <c r="AC1807" s="19" t="str">
        <f>IF($B1807="","",IFERROR(INDEX(Config!$D$9:$D$29,MATCH($B1807,Config!$B$9:$B$29,0))&amp;"",""))</f>
        <v/>
      </c>
    </row>
    <row r="1808">
      <c r="R1808" s="20" t="str">
        <f>IF($B1808="","",IFERROR(IF(INDEX(Config!$D$9:$D$29,MATCH($B1808,Config!$B$9:$B$29,0))="Contrato",IF(INDEX(Config!$E$9:$E$29,MATCH($B1808,Config!$B$9:$B$29,0))="","",INDEX(Config!$E$9:$E$29,MATCH($B1808,Config!$B$9:$B$29,0))),""),""))</f>
        <v/>
      </c>
      <c r="AC1808" s="19" t="str">
        <f>IF($B1808="","",IFERROR(INDEX(Config!$D$9:$D$29,MATCH($B1808,Config!$B$9:$B$29,0))&amp;"",""))</f>
        <v/>
      </c>
    </row>
    <row r="1809">
      <c r="R1809" s="20" t="str">
        <f>IF($B1809="","",IFERROR(IF(INDEX(Config!$D$9:$D$29,MATCH($B1809,Config!$B$9:$B$29,0))="Contrato",IF(INDEX(Config!$E$9:$E$29,MATCH($B1809,Config!$B$9:$B$29,0))="","",INDEX(Config!$E$9:$E$29,MATCH($B1809,Config!$B$9:$B$29,0))),""),""))</f>
        <v/>
      </c>
      <c r="AC1809" s="19" t="str">
        <f>IF($B1809="","",IFERROR(INDEX(Config!$D$9:$D$29,MATCH($B1809,Config!$B$9:$B$29,0))&amp;"",""))</f>
        <v/>
      </c>
    </row>
    <row r="1810">
      <c r="R1810" s="20" t="str">
        <f>IF($B1810="","",IFERROR(IF(INDEX(Config!$D$9:$D$29,MATCH($B1810,Config!$B$9:$B$29,0))="Contrato",IF(INDEX(Config!$E$9:$E$29,MATCH($B1810,Config!$B$9:$B$29,0))="","",INDEX(Config!$E$9:$E$29,MATCH($B1810,Config!$B$9:$B$29,0))),""),""))</f>
        <v/>
      </c>
      <c r="AC1810" s="19" t="str">
        <f>IF($B1810="","",IFERROR(INDEX(Config!$D$9:$D$29,MATCH($B1810,Config!$B$9:$B$29,0))&amp;"",""))</f>
        <v/>
      </c>
    </row>
    <row r="1811">
      <c r="R1811" s="20" t="str">
        <f>IF($B1811="","",IFERROR(IF(INDEX(Config!$D$9:$D$29,MATCH($B1811,Config!$B$9:$B$29,0))="Contrato",IF(INDEX(Config!$E$9:$E$29,MATCH($B1811,Config!$B$9:$B$29,0))="","",INDEX(Config!$E$9:$E$29,MATCH($B1811,Config!$B$9:$B$29,0))),""),""))</f>
        <v/>
      </c>
      <c r="AC1811" s="19" t="str">
        <f>IF($B1811="","",IFERROR(INDEX(Config!$D$9:$D$29,MATCH($B1811,Config!$B$9:$B$29,0))&amp;"",""))</f>
        <v/>
      </c>
    </row>
    <row r="1812">
      <c r="R1812" s="20" t="str">
        <f>IF($B1812="","",IFERROR(IF(INDEX(Config!$D$9:$D$29,MATCH($B1812,Config!$B$9:$B$29,0))="Contrato",IF(INDEX(Config!$E$9:$E$29,MATCH($B1812,Config!$B$9:$B$29,0))="","",INDEX(Config!$E$9:$E$29,MATCH($B1812,Config!$B$9:$B$29,0))),""),""))</f>
        <v/>
      </c>
      <c r="AC1812" s="19" t="str">
        <f>IF($B1812="","",IFERROR(INDEX(Config!$D$9:$D$29,MATCH($B1812,Config!$B$9:$B$29,0))&amp;"",""))</f>
        <v/>
      </c>
    </row>
    <row r="1813">
      <c r="R1813" s="20" t="str">
        <f>IF($B1813="","",IFERROR(IF(INDEX(Config!$D$9:$D$29,MATCH($B1813,Config!$B$9:$B$29,0))="Contrato",IF(INDEX(Config!$E$9:$E$29,MATCH($B1813,Config!$B$9:$B$29,0))="","",INDEX(Config!$E$9:$E$29,MATCH($B1813,Config!$B$9:$B$29,0))),""),""))</f>
        <v/>
      </c>
      <c r="AC1813" s="19" t="str">
        <f>IF($B1813="","",IFERROR(INDEX(Config!$D$9:$D$29,MATCH($B1813,Config!$B$9:$B$29,0))&amp;"",""))</f>
        <v/>
      </c>
    </row>
    <row r="1814">
      <c r="R1814" s="20" t="str">
        <f>IF($B1814="","",IFERROR(IF(INDEX(Config!$D$9:$D$29,MATCH($B1814,Config!$B$9:$B$29,0))="Contrato",IF(INDEX(Config!$E$9:$E$29,MATCH($B1814,Config!$B$9:$B$29,0))="","",INDEX(Config!$E$9:$E$29,MATCH($B1814,Config!$B$9:$B$29,0))),""),""))</f>
        <v/>
      </c>
      <c r="AC1814" s="19" t="str">
        <f>IF($B1814="","",IFERROR(INDEX(Config!$D$9:$D$29,MATCH($B1814,Config!$B$9:$B$29,0))&amp;"",""))</f>
        <v/>
      </c>
    </row>
    <row r="1815">
      <c r="R1815" s="20" t="str">
        <f>IF($B1815="","",IFERROR(IF(INDEX(Config!$D$9:$D$29,MATCH($B1815,Config!$B$9:$B$29,0))="Contrato",IF(INDEX(Config!$E$9:$E$29,MATCH($B1815,Config!$B$9:$B$29,0))="","",INDEX(Config!$E$9:$E$29,MATCH($B1815,Config!$B$9:$B$29,0))),""),""))</f>
        <v/>
      </c>
      <c r="AC1815" s="19" t="str">
        <f>IF($B1815="","",IFERROR(INDEX(Config!$D$9:$D$29,MATCH($B1815,Config!$B$9:$B$29,0))&amp;"",""))</f>
        <v/>
      </c>
    </row>
    <row r="1816">
      <c r="R1816" s="20" t="str">
        <f>IF($B1816="","",IFERROR(IF(INDEX(Config!$D$9:$D$29,MATCH($B1816,Config!$B$9:$B$29,0))="Contrato",IF(INDEX(Config!$E$9:$E$29,MATCH($B1816,Config!$B$9:$B$29,0))="","",INDEX(Config!$E$9:$E$29,MATCH($B1816,Config!$B$9:$B$29,0))),""),""))</f>
        <v/>
      </c>
      <c r="AC1816" s="19" t="str">
        <f>IF($B1816="","",IFERROR(INDEX(Config!$D$9:$D$29,MATCH($B1816,Config!$B$9:$B$29,0))&amp;"",""))</f>
        <v/>
      </c>
    </row>
    <row r="1817">
      <c r="R1817" s="20" t="str">
        <f>IF($B1817="","",IFERROR(IF(INDEX(Config!$D$9:$D$29,MATCH($B1817,Config!$B$9:$B$29,0))="Contrato",IF(INDEX(Config!$E$9:$E$29,MATCH($B1817,Config!$B$9:$B$29,0))="","",INDEX(Config!$E$9:$E$29,MATCH($B1817,Config!$B$9:$B$29,0))),""),""))</f>
        <v/>
      </c>
      <c r="AC1817" s="19" t="str">
        <f>IF($B1817="","",IFERROR(INDEX(Config!$D$9:$D$29,MATCH($B1817,Config!$B$9:$B$29,0))&amp;"",""))</f>
        <v/>
      </c>
    </row>
    <row r="1818">
      <c r="R1818" s="20" t="str">
        <f>IF($B1818="","",IFERROR(IF(INDEX(Config!$D$9:$D$29,MATCH($B1818,Config!$B$9:$B$29,0))="Contrato",IF(INDEX(Config!$E$9:$E$29,MATCH($B1818,Config!$B$9:$B$29,0))="","",INDEX(Config!$E$9:$E$29,MATCH($B1818,Config!$B$9:$B$29,0))),""),""))</f>
        <v/>
      </c>
      <c r="AC1818" s="19" t="str">
        <f>IF($B1818="","",IFERROR(INDEX(Config!$D$9:$D$29,MATCH($B1818,Config!$B$9:$B$29,0))&amp;"",""))</f>
        <v/>
      </c>
    </row>
    <row r="1819">
      <c r="R1819" s="20" t="str">
        <f>IF($B1819="","",IFERROR(IF(INDEX(Config!$D$9:$D$29,MATCH($B1819,Config!$B$9:$B$29,0))="Contrato",IF(INDEX(Config!$E$9:$E$29,MATCH($B1819,Config!$B$9:$B$29,0))="","",INDEX(Config!$E$9:$E$29,MATCH($B1819,Config!$B$9:$B$29,0))),""),""))</f>
        <v/>
      </c>
      <c r="AC1819" s="19" t="str">
        <f>IF($B1819="","",IFERROR(INDEX(Config!$D$9:$D$29,MATCH($B1819,Config!$B$9:$B$29,0))&amp;"",""))</f>
        <v/>
      </c>
    </row>
    <row r="1820">
      <c r="R1820" s="20" t="str">
        <f>IF($B1820="","",IFERROR(IF(INDEX(Config!$D$9:$D$29,MATCH($B1820,Config!$B$9:$B$29,0))="Contrato",IF(INDEX(Config!$E$9:$E$29,MATCH($B1820,Config!$B$9:$B$29,0))="","",INDEX(Config!$E$9:$E$29,MATCH($B1820,Config!$B$9:$B$29,0))),""),""))</f>
        <v/>
      </c>
      <c r="AC1820" s="19" t="str">
        <f>IF($B1820="","",IFERROR(INDEX(Config!$D$9:$D$29,MATCH($B1820,Config!$B$9:$B$29,0))&amp;"",""))</f>
        <v/>
      </c>
    </row>
    <row r="1821">
      <c r="R1821" s="20" t="str">
        <f>IF($B1821="","",IFERROR(IF(INDEX(Config!$D$9:$D$29,MATCH($B1821,Config!$B$9:$B$29,0))="Contrato",IF(INDEX(Config!$E$9:$E$29,MATCH($B1821,Config!$B$9:$B$29,0))="","",INDEX(Config!$E$9:$E$29,MATCH($B1821,Config!$B$9:$B$29,0))),""),""))</f>
        <v/>
      </c>
      <c r="AC1821" s="19" t="str">
        <f>IF($B1821="","",IFERROR(INDEX(Config!$D$9:$D$29,MATCH($B1821,Config!$B$9:$B$29,0))&amp;"",""))</f>
        <v/>
      </c>
    </row>
    <row r="1822">
      <c r="R1822" s="20" t="str">
        <f>IF($B1822="","",IFERROR(IF(INDEX(Config!$D$9:$D$29,MATCH($B1822,Config!$B$9:$B$29,0))="Contrato",IF(INDEX(Config!$E$9:$E$29,MATCH($B1822,Config!$B$9:$B$29,0))="","",INDEX(Config!$E$9:$E$29,MATCH($B1822,Config!$B$9:$B$29,0))),""),""))</f>
        <v/>
      </c>
      <c r="AC1822" s="19" t="str">
        <f>IF($B1822="","",IFERROR(INDEX(Config!$D$9:$D$29,MATCH($B1822,Config!$B$9:$B$29,0))&amp;"",""))</f>
        <v/>
      </c>
    </row>
    <row r="1823">
      <c r="R1823" s="20" t="str">
        <f>IF($B1823="","",IFERROR(IF(INDEX(Config!$D$9:$D$29,MATCH($B1823,Config!$B$9:$B$29,0))="Contrato",IF(INDEX(Config!$E$9:$E$29,MATCH($B1823,Config!$B$9:$B$29,0))="","",INDEX(Config!$E$9:$E$29,MATCH($B1823,Config!$B$9:$B$29,0))),""),""))</f>
        <v/>
      </c>
      <c r="AC1823" s="19" t="str">
        <f>IF($B1823="","",IFERROR(INDEX(Config!$D$9:$D$29,MATCH($B1823,Config!$B$9:$B$29,0))&amp;"",""))</f>
        <v/>
      </c>
    </row>
    <row r="1824">
      <c r="R1824" s="20" t="str">
        <f>IF($B1824="","",IFERROR(IF(INDEX(Config!$D$9:$D$29,MATCH($B1824,Config!$B$9:$B$29,0))="Contrato",IF(INDEX(Config!$E$9:$E$29,MATCH($B1824,Config!$B$9:$B$29,0))="","",INDEX(Config!$E$9:$E$29,MATCH($B1824,Config!$B$9:$B$29,0))),""),""))</f>
        <v/>
      </c>
      <c r="AC1824" s="19" t="str">
        <f>IF($B1824="","",IFERROR(INDEX(Config!$D$9:$D$29,MATCH($B1824,Config!$B$9:$B$29,0))&amp;"",""))</f>
        <v/>
      </c>
    </row>
    <row r="1825">
      <c r="R1825" s="20" t="str">
        <f>IF($B1825="","",IFERROR(IF(INDEX(Config!$D$9:$D$29,MATCH($B1825,Config!$B$9:$B$29,0))="Contrato",IF(INDEX(Config!$E$9:$E$29,MATCH($B1825,Config!$B$9:$B$29,0))="","",INDEX(Config!$E$9:$E$29,MATCH($B1825,Config!$B$9:$B$29,0))),""),""))</f>
        <v/>
      </c>
      <c r="AC1825" s="19" t="str">
        <f>IF($B1825="","",IFERROR(INDEX(Config!$D$9:$D$29,MATCH($B1825,Config!$B$9:$B$29,0))&amp;"",""))</f>
        <v/>
      </c>
    </row>
    <row r="1826">
      <c r="R1826" s="20" t="str">
        <f>IF($B1826="","",IFERROR(IF(INDEX(Config!$D$9:$D$29,MATCH($B1826,Config!$B$9:$B$29,0))="Contrato",IF(INDEX(Config!$E$9:$E$29,MATCH($B1826,Config!$B$9:$B$29,0))="","",INDEX(Config!$E$9:$E$29,MATCH($B1826,Config!$B$9:$B$29,0))),""),""))</f>
        <v/>
      </c>
      <c r="AC1826" s="19" t="str">
        <f>IF($B1826="","",IFERROR(INDEX(Config!$D$9:$D$29,MATCH($B1826,Config!$B$9:$B$29,0))&amp;"",""))</f>
        <v/>
      </c>
    </row>
    <row r="1827">
      <c r="R1827" s="20" t="str">
        <f>IF($B1827="","",IFERROR(IF(INDEX(Config!$D$9:$D$29,MATCH($B1827,Config!$B$9:$B$29,0))="Contrato",IF(INDEX(Config!$E$9:$E$29,MATCH($B1827,Config!$B$9:$B$29,0))="","",INDEX(Config!$E$9:$E$29,MATCH($B1827,Config!$B$9:$B$29,0))),""),""))</f>
        <v/>
      </c>
      <c r="AC1827" s="19" t="str">
        <f>IF($B1827="","",IFERROR(INDEX(Config!$D$9:$D$29,MATCH($B1827,Config!$B$9:$B$29,0))&amp;"",""))</f>
        <v/>
      </c>
    </row>
    <row r="1828">
      <c r="R1828" s="20" t="str">
        <f>IF($B1828="","",IFERROR(IF(INDEX(Config!$D$9:$D$29,MATCH($B1828,Config!$B$9:$B$29,0))="Contrato",IF(INDEX(Config!$E$9:$E$29,MATCH($B1828,Config!$B$9:$B$29,0))="","",INDEX(Config!$E$9:$E$29,MATCH($B1828,Config!$B$9:$B$29,0))),""),""))</f>
        <v/>
      </c>
      <c r="AC1828" s="19" t="str">
        <f>IF($B1828="","",IFERROR(INDEX(Config!$D$9:$D$29,MATCH($B1828,Config!$B$9:$B$29,0))&amp;"",""))</f>
        <v/>
      </c>
    </row>
    <row r="1829">
      <c r="R1829" s="20" t="str">
        <f>IF($B1829="","",IFERROR(IF(INDEX(Config!$D$9:$D$29,MATCH($B1829,Config!$B$9:$B$29,0))="Contrato",IF(INDEX(Config!$E$9:$E$29,MATCH($B1829,Config!$B$9:$B$29,0))="","",INDEX(Config!$E$9:$E$29,MATCH($B1829,Config!$B$9:$B$29,0))),""),""))</f>
        <v/>
      </c>
      <c r="AC1829" s="19" t="str">
        <f>IF($B1829="","",IFERROR(INDEX(Config!$D$9:$D$29,MATCH($B1829,Config!$B$9:$B$29,0))&amp;"",""))</f>
        <v/>
      </c>
    </row>
    <row r="1830">
      <c r="R1830" s="20" t="str">
        <f>IF($B1830="","",IFERROR(IF(INDEX(Config!$D$9:$D$29,MATCH($B1830,Config!$B$9:$B$29,0))="Contrato",IF(INDEX(Config!$E$9:$E$29,MATCH($B1830,Config!$B$9:$B$29,0))="","",INDEX(Config!$E$9:$E$29,MATCH($B1830,Config!$B$9:$B$29,0))),""),""))</f>
        <v/>
      </c>
      <c r="AC1830" s="19" t="str">
        <f>IF($B1830="","",IFERROR(INDEX(Config!$D$9:$D$29,MATCH($B1830,Config!$B$9:$B$29,0))&amp;"",""))</f>
        <v/>
      </c>
    </row>
    <row r="1831">
      <c r="R1831" s="20" t="str">
        <f>IF($B1831="","",IFERROR(IF(INDEX(Config!$D$9:$D$29,MATCH($B1831,Config!$B$9:$B$29,0))="Contrato",IF(INDEX(Config!$E$9:$E$29,MATCH($B1831,Config!$B$9:$B$29,0))="","",INDEX(Config!$E$9:$E$29,MATCH($B1831,Config!$B$9:$B$29,0))),""),""))</f>
        <v/>
      </c>
      <c r="AC1831" s="19" t="str">
        <f>IF($B1831="","",IFERROR(INDEX(Config!$D$9:$D$29,MATCH($B1831,Config!$B$9:$B$29,0))&amp;"",""))</f>
        <v/>
      </c>
    </row>
    <row r="1832">
      <c r="R1832" s="20" t="str">
        <f>IF($B1832="","",IFERROR(IF(INDEX(Config!$D$9:$D$29,MATCH($B1832,Config!$B$9:$B$29,0))="Contrato",IF(INDEX(Config!$E$9:$E$29,MATCH($B1832,Config!$B$9:$B$29,0))="","",INDEX(Config!$E$9:$E$29,MATCH($B1832,Config!$B$9:$B$29,0))),""),""))</f>
        <v/>
      </c>
      <c r="AC1832" s="19" t="str">
        <f>IF($B1832="","",IFERROR(INDEX(Config!$D$9:$D$29,MATCH($B1832,Config!$B$9:$B$29,0))&amp;"",""))</f>
        <v/>
      </c>
    </row>
    <row r="1833">
      <c r="R1833" s="20" t="str">
        <f>IF($B1833="","",IFERROR(IF(INDEX(Config!$D$9:$D$29,MATCH($B1833,Config!$B$9:$B$29,0))="Contrato",IF(INDEX(Config!$E$9:$E$29,MATCH($B1833,Config!$B$9:$B$29,0))="","",INDEX(Config!$E$9:$E$29,MATCH($B1833,Config!$B$9:$B$29,0))),""),""))</f>
        <v/>
      </c>
      <c r="AC1833" s="19" t="str">
        <f>IF($B1833="","",IFERROR(INDEX(Config!$D$9:$D$29,MATCH($B1833,Config!$B$9:$B$29,0))&amp;"",""))</f>
        <v/>
      </c>
    </row>
    <row r="1834">
      <c r="R1834" s="20" t="str">
        <f>IF($B1834="","",IFERROR(IF(INDEX(Config!$D$9:$D$29,MATCH($B1834,Config!$B$9:$B$29,0))="Contrato",IF(INDEX(Config!$E$9:$E$29,MATCH($B1834,Config!$B$9:$B$29,0))="","",INDEX(Config!$E$9:$E$29,MATCH($B1834,Config!$B$9:$B$29,0))),""),""))</f>
        <v/>
      </c>
      <c r="AC1834" s="19" t="str">
        <f>IF($B1834="","",IFERROR(INDEX(Config!$D$9:$D$29,MATCH($B1834,Config!$B$9:$B$29,0))&amp;"",""))</f>
        <v/>
      </c>
    </row>
    <row r="1835">
      <c r="R1835" s="20" t="str">
        <f>IF($B1835="","",IFERROR(IF(INDEX(Config!$D$9:$D$29,MATCH($B1835,Config!$B$9:$B$29,0))="Contrato",IF(INDEX(Config!$E$9:$E$29,MATCH($B1835,Config!$B$9:$B$29,0))="","",INDEX(Config!$E$9:$E$29,MATCH($B1835,Config!$B$9:$B$29,0))),""),""))</f>
        <v/>
      </c>
      <c r="AC1835" s="19" t="str">
        <f>IF($B1835="","",IFERROR(INDEX(Config!$D$9:$D$29,MATCH($B1835,Config!$B$9:$B$29,0))&amp;"",""))</f>
        <v/>
      </c>
    </row>
    <row r="1836">
      <c r="R1836" s="20" t="str">
        <f>IF($B1836="","",IFERROR(IF(INDEX(Config!$D$9:$D$29,MATCH($B1836,Config!$B$9:$B$29,0))="Contrato",IF(INDEX(Config!$E$9:$E$29,MATCH($B1836,Config!$B$9:$B$29,0))="","",INDEX(Config!$E$9:$E$29,MATCH($B1836,Config!$B$9:$B$29,0))),""),""))</f>
        <v/>
      </c>
      <c r="AC1836" s="19" t="str">
        <f>IF($B1836="","",IFERROR(INDEX(Config!$D$9:$D$29,MATCH($B1836,Config!$B$9:$B$29,0))&amp;"",""))</f>
        <v/>
      </c>
    </row>
    <row r="1837">
      <c r="R1837" s="20" t="str">
        <f>IF($B1837="","",IFERROR(IF(INDEX(Config!$D$9:$D$29,MATCH($B1837,Config!$B$9:$B$29,0))="Contrato",IF(INDEX(Config!$E$9:$E$29,MATCH($B1837,Config!$B$9:$B$29,0))="","",INDEX(Config!$E$9:$E$29,MATCH($B1837,Config!$B$9:$B$29,0))),""),""))</f>
        <v/>
      </c>
      <c r="AC1837" s="19" t="str">
        <f>IF($B1837="","",IFERROR(INDEX(Config!$D$9:$D$29,MATCH($B1837,Config!$B$9:$B$29,0))&amp;"",""))</f>
        <v/>
      </c>
    </row>
    <row r="1838">
      <c r="R1838" s="20" t="str">
        <f>IF($B1838="","",IFERROR(IF(INDEX(Config!$D$9:$D$29,MATCH($B1838,Config!$B$9:$B$29,0))="Contrato",IF(INDEX(Config!$E$9:$E$29,MATCH($B1838,Config!$B$9:$B$29,0))="","",INDEX(Config!$E$9:$E$29,MATCH($B1838,Config!$B$9:$B$29,0))),""),""))</f>
        <v/>
      </c>
      <c r="AC1838" s="19" t="str">
        <f>IF($B1838="","",IFERROR(INDEX(Config!$D$9:$D$29,MATCH($B1838,Config!$B$9:$B$29,0))&amp;"",""))</f>
        <v/>
      </c>
    </row>
    <row r="1839">
      <c r="R1839" s="20" t="str">
        <f>IF($B1839="","",IFERROR(IF(INDEX(Config!$D$9:$D$29,MATCH($B1839,Config!$B$9:$B$29,0))="Contrato",IF(INDEX(Config!$E$9:$E$29,MATCH($B1839,Config!$B$9:$B$29,0))="","",INDEX(Config!$E$9:$E$29,MATCH($B1839,Config!$B$9:$B$29,0))),""),""))</f>
        <v/>
      </c>
      <c r="AC1839" s="19" t="str">
        <f>IF($B1839="","",IFERROR(INDEX(Config!$D$9:$D$29,MATCH($B1839,Config!$B$9:$B$29,0))&amp;"",""))</f>
        <v/>
      </c>
    </row>
    <row r="1840">
      <c r="R1840" s="20" t="str">
        <f>IF($B1840="","",IFERROR(IF(INDEX(Config!$D$9:$D$29,MATCH($B1840,Config!$B$9:$B$29,0))="Contrato",IF(INDEX(Config!$E$9:$E$29,MATCH($B1840,Config!$B$9:$B$29,0))="","",INDEX(Config!$E$9:$E$29,MATCH($B1840,Config!$B$9:$B$29,0))),""),""))</f>
        <v/>
      </c>
      <c r="AC1840" s="19" t="str">
        <f>IF($B1840="","",IFERROR(INDEX(Config!$D$9:$D$29,MATCH($B1840,Config!$B$9:$B$29,0))&amp;"",""))</f>
        <v/>
      </c>
    </row>
    <row r="1841">
      <c r="R1841" s="20" t="str">
        <f>IF($B1841="","",IFERROR(IF(INDEX(Config!$D$9:$D$29,MATCH($B1841,Config!$B$9:$B$29,0))="Contrato",IF(INDEX(Config!$E$9:$E$29,MATCH($B1841,Config!$B$9:$B$29,0))="","",INDEX(Config!$E$9:$E$29,MATCH($B1841,Config!$B$9:$B$29,0))),""),""))</f>
        <v/>
      </c>
      <c r="AC1841" s="19" t="str">
        <f>IF($B1841="","",IFERROR(INDEX(Config!$D$9:$D$29,MATCH($B1841,Config!$B$9:$B$29,0))&amp;"",""))</f>
        <v/>
      </c>
    </row>
    <row r="1842">
      <c r="R1842" s="20" t="str">
        <f>IF($B1842="","",IFERROR(IF(INDEX(Config!$D$9:$D$29,MATCH($B1842,Config!$B$9:$B$29,0))="Contrato",IF(INDEX(Config!$E$9:$E$29,MATCH($B1842,Config!$B$9:$B$29,0))="","",INDEX(Config!$E$9:$E$29,MATCH($B1842,Config!$B$9:$B$29,0))),""),""))</f>
        <v/>
      </c>
      <c r="AC1842" s="19" t="str">
        <f>IF($B1842="","",IFERROR(INDEX(Config!$D$9:$D$29,MATCH($B1842,Config!$B$9:$B$29,0))&amp;"",""))</f>
        <v/>
      </c>
    </row>
    <row r="1843">
      <c r="R1843" s="20" t="str">
        <f>IF($B1843="","",IFERROR(IF(INDEX(Config!$D$9:$D$29,MATCH($B1843,Config!$B$9:$B$29,0))="Contrato",IF(INDEX(Config!$E$9:$E$29,MATCH($B1843,Config!$B$9:$B$29,0))="","",INDEX(Config!$E$9:$E$29,MATCH($B1843,Config!$B$9:$B$29,0))),""),""))</f>
        <v/>
      </c>
      <c r="AC1843" s="19" t="str">
        <f>IF($B1843="","",IFERROR(INDEX(Config!$D$9:$D$29,MATCH($B1843,Config!$B$9:$B$29,0))&amp;"",""))</f>
        <v/>
      </c>
    </row>
    <row r="1844">
      <c r="R1844" s="20" t="str">
        <f>IF($B1844="","",IFERROR(IF(INDEX(Config!$D$9:$D$29,MATCH($B1844,Config!$B$9:$B$29,0))="Contrato",IF(INDEX(Config!$E$9:$E$29,MATCH($B1844,Config!$B$9:$B$29,0))="","",INDEX(Config!$E$9:$E$29,MATCH($B1844,Config!$B$9:$B$29,0))),""),""))</f>
        <v/>
      </c>
      <c r="AC1844" s="19" t="str">
        <f>IF($B1844="","",IFERROR(INDEX(Config!$D$9:$D$29,MATCH($B1844,Config!$B$9:$B$29,0))&amp;"",""))</f>
        <v/>
      </c>
    </row>
    <row r="1845">
      <c r="R1845" s="20" t="str">
        <f>IF($B1845="","",IFERROR(IF(INDEX(Config!$D$9:$D$29,MATCH($B1845,Config!$B$9:$B$29,0))="Contrato",IF(INDEX(Config!$E$9:$E$29,MATCH($B1845,Config!$B$9:$B$29,0))="","",INDEX(Config!$E$9:$E$29,MATCH($B1845,Config!$B$9:$B$29,0))),""),""))</f>
        <v/>
      </c>
      <c r="AC1845" s="19" t="str">
        <f>IF($B1845="","",IFERROR(INDEX(Config!$D$9:$D$29,MATCH($B1845,Config!$B$9:$B$29,0))&amp;"",""))</f>
        <v/>
      </c>
    </row>
    <row r="1846">
      <c r="R1846" s="20" t="str">
        <f>IF($B1846="","",IFERROR(IF(INDEX(Config!$D$9:$D$29,MATCH($B1846,Config!$B$9:$B$29,0))="Contrato",IF(INDEX(Config!$E$9:$E$29,MATCH($B1846,Config!$B$9:$B$29,0))="","",INDEX(Config!$E$9:$E$29,MATCH($B1846,Config!$B$9:$B$29,0))),""),""))</f>
        <v/>
      </c>
      <c r="AC1846" s="19" t="str">
        <f>IF($B1846="","",IFERROR(INDEX(Config!$D$9:$D$29,MATCH($B1846,Config!$B$9:$B$29,0))&amp;"",""))</f>
        <v/>
      </c>
    </row>
    <row r="1847">
      <c r="R1847" s="20" t="str">
        <f>IF($B1847="","",IFERROR(IF(INDEX(Config!$D$9:$D$29,MATCH($B1847,Config!$B$9:$B$29,0))="Contrato",IF(INDEX(Config!$E$9:$E$29,MATCH($B1847,Config!$B$9:$B$29,0))="","",INDEX(Config!$E$9:$E$29,MATCH($B1847,Config!$B$9:$B$29,0))),""),""))</f>
        <v/>
      </c>
      <c r="AC1847" s="19" t="str">
        <f>IF($B1847="","",IFERROR(INDEX(Config!$D$9:$D$29,MATCH($B1847,Config!$B$9:$B$29,0))&amp;"",""))</f>
        <v/>
      </c>
    </row>
    <row r="1848">
      <c r="R1848" s="20" t="str">
        <f>IF($B1848="","",IFERROR(IF(INDEX(Config!$D$9:$D$29,MATCH($B1848,Config!$B$9:$B$29,0))="Contrato",IF(INDEX(Config!$E$9:$E$29,MATCH($B1848,Config!$B$9:$B$29,0))="","",INDEX(Config!$E$9:$E$29,MATCH($B1848,Config!$B$9:$B$29,0))),""),""))</f>
        <v/>
      </c>
      <c r="AC1848" s="19" t="str">
        <f>IF($B1848="","",IFERROR(INDEX(Config!$D$9:$D$29,MATCH($B1848,Config!$B$9:$B$29,0))&amp;"",""))</f>
        <v/>
      </c>
    </row>
    <row r="1849">
      <c r="R1849" s="20" t="str">
        <f>IF($B1849="","",IFERROR(IF(INDEX(Config!$D$9:$D$29,MATCH($B1849,Config!$B$9:$B$29,0))="Contrato",IF(INDEX(Config!$E$9:$E$29,MATCH($B1849,Config!$B$9:$B$29,0))="","",INDEX(Config!$E$9:$E$29,MATCH($B1849,Config!$B$9:$B$29,0))),""),""))</f>
        <v/>
      </c>
      <c r="AC1849" s="19" t="str">
        <f>IF($B1849="","",IFERROR(INDEX(Config!$D$9:$D$29,MATCH($B1849,Config!$B$9:$B$29,0))&amp;"",""))</f>
        <v/>
      </c>
    </row>
    <row r="1850">
      <c r="R1850" s="20" t="str">
        <f>IF($B1850="","",IFERROR(IF(INDEX(Config!$D$9:$D$29,MATCH($B1850,Config!$B$9:$B$29,0))="Contrato",IF(INDEX(Config!$E$9:$E$29,MATCH($B1850,Config!$B$9:$B$29,0))="","",INDEX(Config!$E$9:$E$29,MATCH($B1850,Config!$B$9:$B$29,0))),""),""))</f>
        <v/>
      </c>
      <c r="AC1850" s="19" t="str">
        <f>IF($B1850="","",IFERROR(INDEX(Config!$D$9:$D$29,MATCH($B1850,Config!$B$9:$B$29,0))&amp;"",""))</f>
        <v/>
      </c>
    </row>
    <row r="1851">
      <c r="R1851" s="20" t="str">
        <f>IF($B1851="","",IFERROR(IF(INDEX(Config!$D$9:$D$29,MATCH($B1851,Config!$B$9:$B$29,0))="Contrato",IF(INDEX(Config!$E$9:$E$29,MATCH($B1851,Config!$B$9:$B$29,0))="","",INDEX(Config!$E$9:$E$29,MATCH($B1851,Config!$B$9:$B$29,0))),""),""))</f>
        <v/>
      </c>
      <c r="AC1851" s="19" t="str">
        <f>IF($B1851="","",IFERROR(INDEX(Config!$D$9:$D$29,MATCH($B1851,Config!$B$9:$B$29,0))&amp;"",""))</f>
        <v/>
      </c>
    </row>
    <row r="1852">
      <c r="R1852" s="20" t="str">
        <f>IF($B1852="","",IFERROR(IF(INDEX(Config!$D$9:$D$29,MATCH($B1852,Config!$B$9:$B$29,0))="Contrato",IF(INDEX(Config!$E$9:$E$29,MATCH($B1852,Config!$B$9:$B$29,0))="","",INDEX(Config!$E$9:$E$29,MATCH($B1852,Config!$B$9:$B$29,0))),""),""))</f>
        <v/>
      </c>
      <c r="AC1852" s="19" t="str">
        <f>IF($B1852="","",IFERROR(INDEX(Config!$D$9:$D$29,MATCH($B1852,Config!$B$9:$B$29,0))&amp;"",""))</f>
        <v/>
      </c>
    </row>
    <row r="1853">
      <c r="R1853" s="20" t="str">
        <f>IF($B1853="","",IFERROR(IF(INDEX(Config!$D$9:$D$29,MATCH($B1853,Config!$B$9:$B$29,0))="Contrato",IF(INDEX(Config!$E$9:$E$29,MATCH($B1853,Config!$B$9:$B$29,0))="","",INDEX(Config!$E$9:$E$29,MATCH($B1853,Config!$B$9:$B$29,0))),""),""))</f>
        <v/>
      </c>
      <c r="AC1853" s="19" t="str">
        <f>IF($B1853="","",IFERROR(INDEX(Config!$D$9:$D$29,MATCH($B1853,Config!$B$9:$B$29,0))&amp;"",""))</f>
        <v/>
      </c>
    </row>
    <row r="1854">
      <c r="R1854" s="20" t="str">
        <f>IF($B1854="","",IFERROR(IF(INDEX(Config!$D$9:$D$29,MATCH($B1854,Config!$B$9:$B$29,0))="Contrato",IF(INDEX(Config!$E$9:$E$29,MATCH($B1854,Config!$B$9:$B$29,0))="","",INDEX(Config!$E$9:$E$29,MATCH($B1854,Config!$B$9:$B$29,0))),""),""))</f>
        <v/>
      </c>
      <c r="AC1854" s="19" t="str">
        <f>IF($B1854="","",IFERROR(INDEX(Config!$D$9:$D$29,MATCH($B1854,Config!$B$9:$B$29,0))&amp;"",""))</f>
        <v/>
      </c>
    </row>
    <row r="1855">
      <c r="R1855" s="20" t="str">
        <f>IF($B1855="","",IFERROR(IF(INDEX(Config!$D$9:$D$29,MATCH($B1855,Config!$B$9:$B$29,0))="Contrato",IF(INDEX(Config!$E$9:$E$29,MATCH($B1855,Config!$B$9:$B$29,0))="","",INDEX(Config!$E$9:$E$29,MATCH($B1855,Config!$B$9:$B$29,0))),""),""))</f>
        <v/>
      </c>
      <c r="AC1855" s="19" t="str">
        <f>IF($B1855="","",IFERROR(INDEX(Config!$D$9:$D$29,MATCH($B1855,Config!$B$9:$B$29,0))&amp;"",""))</f>
        <v/>
      </c>
    </row>
    <row r="1856">
      <c r="R1856" s="20" t="str">
        <f>IF($B1856="","",IFERROR(IF(INDEX(Config!$D$9:$D$29,MATCH($B1856,Config!$B$9:$B$29,0))="Contrato",IF(INDEX(Config!$E$9:$E$29,MATCH($B1856,Config!$B$9:$B$29,0))="","",INDEX(Config!$E$9:$E$29,MATCH($B1856,Config!$B$9:$B$29,0))),""),""))</f>
        <v/>
      </c>
      <c r="AC1856" s="19" t="str">
        <f>IF($B1856="","",IFERROR(INDEX(Config!$D$9:$D$29,MATCH($B1856,Config!$B$9:$B$29,0))&amp;"",""))</f>
        <v/>
      </c>
    </row>
    <row r="1857">
      <c r="R1857" s="20" t="str">
        <f>IF($B1857="","",IFERROR(IF(INDEX(Config!$D$9:$D$29,MATCH($B1857,Config!$B$9:$B$29,0))="Contrato",IF(INDEX(Config!$E$9:$E$29,MATCH($B1857,Config!$B$9:$B$29,0))="","",INDEX(Config!$E$9:$E$29,MATCH($B1857,Config!$B$9:$B$29,0))),""),""))</f>
        <v/>
      </c>
      <c r="AC1857" s="19" t="str">
        <f>IF($B1857="","",IFERROR(INDEX(Config!$D$9:$D$29,MATCH($B1857,Config!$B$9:$B$29,0))&amp;"",""))</f>
        <v/>
      </c>
    </row>
    <row r="1858">
      <c r="R1858" s="20" t="str">
        <f>IF($B1858="","",IFERROR(IF(INDEX(Config!$D$9:$D$29,MATCH($B1858,Config!$B$9:$B$29,0))="Contrato",IF(INDEX(Config!$E$9:$E$29,MATCH($B1858,Config!$B$9:$B$29,0))="","",INDEX(Config!$E$9:$E$29,MATCH($B1858,Config!$B$9:$B$29,0))),""),""))</f>
        <v/>
      </c>
      <c r="AC1858" s="19" t="str">
        <f>IF($B1858="","",IFERROR(INDEX(Config!$D$9:$D$29,MATCH($B1858,Config!$B$9:$B$29,0))&amp;"",""))</f>
        <v/>
      </c>
    </row>
    <row r="1859">
      <c r="R1859" s="20" t="str">
        <f>IF($B1859="","",IFERROR(IF(INDEX(Config!$D$9:$D$29,MATCH($B1859,Config!$B$9:$B$29,0))="Contrato",IF(INDEX(Config!$E$9:$E$29,MATCH($B1859,Config!$B$9:$B$29,0))="","",INDEX(Config!$E$9:$E$29,MATCH($B1859,Config!$B$9:$B$29,0))),""),""))</f>
        <v/>
      </c>
      <c r="AC1859" s="19" t="str">
        <f>IF($B1859="","",IFERROR(INDEX(Config!$D$9:$D$29,MATCH($B1859,Config!$B$9:$B$29,0))&amp;"",""))</f>
        <v/>
      </c>
    </row>
    <row r="1860">
      <c r="R1860" s="20" t="str">
        <f>IF($B1860="","",IFERROR(IF(INDEX(Config!$D$9:$D$29,MATCH($B1860,Config!$B$9:$B$29,0))="Contrato",IF(INDEX(Config!$E$9:$E$29,MATCH($B1860,Config!$B$9:$B$29,0))="","",INDEX(Config!$E$9:$E$29,MATCH($B1860,Config!$B$9:$B$29,0))),""),""))</f>
        <v/>
      </c>
      <c r="AC1860" s="19" t="str">
        <f>IF($B1860="","",IFERROR(INDEX(Config!$D$9:$D$29,MATCH($B1860,Config!$B$9:$B$29,0))&amp;"",""))</f>
        <v/>
      </c>
    </row>
    <row r="1861">
      <c r="R1861" s="20" t="str">
        <f>IF($B1861="","",IFERROR(IF(INDEX(Config!$D$9:$D$29,MATCH($B1861,Config!$B$9:$B$29,0))="Contrato",IF(INDEX(Config!$E$9:$E$29,MATCH($B1861,Config!$B$9:$B$29,0))="","",INDEX(Config!$E$9:$E$29,MATCH($B1861,Config!$B$9:$B$29,0))),""),""))</f>
        <v/>
      </c>
      <c r="AC1861" s="19" t="str">
        <f>IF($B1861="","",IFERROR(INDEX(Config!$D$9:$D$29,MATCH($B1861,Config!$B$9:$B$29,0))&amp;"",""))</f>
        <v/>
      </c>
    </row>
    <row r="1862">
      <c r="R1862" s="20" t="str">
        <f>IF($B1862="","",IFERROR(IF(INDEX(Config!$D$9:$D$29,MATCH($B1862,Config!$B$9:$B$29,0))="Contrato",IF(INDEX(Config!$E$9:$E$29,MATCH($B1862,Config!$B$9:$B$29,0))="","",INDEX(Config!$E$9:$E$29,MATCH($B1862,Config!$B$9:$B$29,0))),""),""))</f>
        <v/>
      </c>
      <c r="AC1862" s="19" t="str">
        <f>IF($B1862="","",IFERROR(INDEX(Config!$D$9:$D$29,MATCH($B1862,Config!$B$9:$B$29,0))&amp;"",""))</f>
        <v/>
      </c>
    </row>
    <row r="1863">
      <c r="R1863" s="20" t="str">
        <f>IF($B1863="","",IFERROR(IF(INDEX(Config!$D$9:$D$29,MATCH($B1863,Config!$B$9:$B$29,0))="Contrato",IF(INDEX(Config!$E$9:$E$29,MATCH($B1863,Config!$B$9:$B$29,0))="","",INDEX(Config!$E$9:$E$29,MATCH($B1863,Config!$B$9:$B$29,0))),""),""))</f>
        <v/>
      </c>
      <c r="AC1863" s="19" t="str">
        <f>IF($B1863="","",IFERROR(INDEX(Config!$D$9:$D$29,MATCH($B1863,Config!$B$9:$B$29,0))&amp;"",""))</f>
        <v/>
      </c>
    </row>
    <row r="1864">
      <c r="R1864" s="20" t="str">
        <f>IF($B1864="","",IFERROR(IF(INDEX(Config!$D$9:$D$29,MATCH($B1864,Config!$B$9:$B$29,0))="Contrato",IF(INDEX(Config!$E$9:$E$29,MATCH($B1864,Config!$B$9:$B$29,0))="","",INDEX(Config!$E$9:$E$29,MATCH($B1864,Config!$B$9:$B$29,0))),""),""))</f>
        <v/>
      </c>
      <c r="AC1864" s="19" t="str">
        <f>IF($B1864="","",IFERROR(INDEX(Config!$D$9:$D$29,MATCH($B1864,Config!$B$9:$B$29,0))&amp;"",""))</f>
        <v/>
      </c>
    </row>
    <row r="1865">
      <c r="R1865" s="20" t="str">
        <f>IF($B1865="","",IFERROR(IF(INDEX(Config!$D$9:$D$29,MATCH($B1865,Config!$B$9:$B$29,0))="Contrato",IF(INDEX(Config!$E$9:$E$29,MATCH($B1865,Config!$B$9:$B$29,0))="","",INDEX(Config!$E$9:$E$29,MATCH($B1865,Config!$B$9:$B$29,0))),""),""))</f>
        <v/>
      </c>
      <c r="AC1865" s="19" t="str">
        <f>IF($B1865="","",IFERROR(INDEX(Config!$D$9:$D$29,MATCH($B1865,Config!$B$9:$B$29,0))&amp;"",""))</f>
        <v/>
      </c>
    </row>
    <row r="1866">
      <c r="R1866" s="20" t="str">
        <f>IF($B1866="","",IFERROR(IF(INDEX(Config!$D$9:$D$29,MATCH($B1866,Config!$B$9:$B$29,0))="Contrato",IF(INDEX(Config!$E$9:$E$29,MATCH($B1866,Config!$B$9:$B$29,0))="","",INDEX(Config!$E$9:$E$29,MATCH($B1866,Config!$B$9:$B$29,0))),""),""))</f>
        <v/>
      </c>
      <c r="AC1866" s="19" t="str">
        <f>IF($B1866="","",IFERROR(INDEX(Config!$D$9:$D$29,MATCH($B1866,Config!$B$9:$B$29,0))&amp;"",""))</f>
        <v/>
      </c>
    </row>
    <row r="1867">
      <c r="R1867" s="20" t="str">
        <f>IF($B1867="","",IFERROR(IF(INDEX(Config!$D$9:$D$29,MATCH($B1867,Config!$B$9:$B$29,0))="Contrato",IF(INDEX(Config!$E$9:$E$29,MATCH($B1867,Config!$B$9:$B$29,0))="","",INDEX(Config!$E$9:$E$29,MATCH($B1867,Config!$B$9:$B$29,0))),""),""))</f>
        <v/>
      </c>
      <c r="AC1867" s="19" t="str">
        <f>IF($B1867="","",IFERROR(INDEX(Config!$D$9:$D$29,MATCH($B1867,Config!$B$9:$B$29,0))&amp;"",""))</f>
        <v/>
      </c>
    </row>
    <row r="1868">
      <c r="R1868" s="20" t="str">
        <f>IF($B1868="","",IFERROR(IF(INDEX(Config!$D$9:$D$29,MATCH($B1868,Config!$B$9:$B$29,0))="Contrato",IF(INDEX(Config!$E$9:$E$29,MATCH($B1868,Config!$B$9:$B$29,0))="","",INDEX(Config!$E$9:$E$29,MATCH($B1868,Config!$B$9:$B$29,0))),""),""))</f>
        <v/>
      </c>
      <c r="AC1868" s="19" t="str">
        <f>IF($B1868="","",IFERROR(INDEX(Config!$D$9:$D$29,MATCH($B1868,Config!$B$9:$B$29,0))&amp;"",""))</f>
        <v/>
      </c>
    </row>
    <row r="1869">
      <c r="R1869" s="20" t="str">
        <f>IF($B1869="","",IFERROR(IF(INDEX(Config!$D$9:$D$29,MATCH($B1869,Config!$B$9:$B$29,0))="Contrato",IF(INDEX(Config!$E$9:$E$29,MATCH($B1869,Config!$B$9:$B$29,0))="","",INDEX(Config!$E$9:$E$29,MATCH($B1869,Config!$B$9:$B$29,0))),""),""))</f>
        <v/>
      </c>
      <c r="AC1869" s="19" t="str">
        <f>IF($B1869="","",IFERROR(INDEX(Config!$D$9:$D$29,MATCH($B1869,Config!$B$9:$B$29,0))&amp;"",""))</f>
        <v/>
      </c>
    </row>
    <row r="1870">
      <c r="R1870" s="20" t="str">
        <f>IF($B1870="","",IFERROR(IF(INDEX(Config!$D$9:$D$29,MATCH($B1870,Config!$B$9:$B$29,0))="Contrato",IF(INDEX(Config!$E$9:$E$29,MATCH($B1870,Config!$B$9:$B$29,0))="","",INDEX(Config!$E$9:$E$29,MATCH($B1870,Config!$B$9:$B$29,0))),""),""))</f>
        <v/>
      </c>
      <c r="AC1870" s="19" t="str">
        <f>IF($B1870="","",IFERROR(INDEX(Config!$D$9:$D$29,MATCH($B1870,Config!$B$9:$B$29,0))&amp;"",""))</f>
        <v/>
      </c>
    </row>
    <row r="1871">
      <c r="R1871" s="20" t="str">
        <f>IF($B1871="","",IFERROR(IF(INDEX(Config!$D$9:$D$29,MATCH($B1871,Config!$B$9:$B$29,0))="Contrato",IF(INDEX(Config!$E$9:$E$29,MATCH($B1871,Config!$B$9:$B$29,0))="","",INDEX(Config!$E$9:$E$29,MATCH($B1871,Config!$B$9:$B$29,0))),""),""))</f>
        <v/>
      </c>
      <c r="AC1871" s="19" t="str">
        <f>IF($B1871="","",IFERROR(INDEX(Config!$D$9:$D$29,MATCH($B1871,Config!$B$9:$B$29,0))&amp;"",""))</f>
        <v/>
      </c>
    </row>
    <row r="1872">
      <c r="R1872" s="20" t="str">
        <f>IF($B1872="","",IFERROR(IF(INDEX(Config!$D$9:$D$29,MATCH($B1872,Config!$B$9:$B$29,0))="Contrato",IF(INDEX(Config!$E$9:$E$29,MATCH($B1872,Config!$B$9:$B$29,0))="","",INDEX(Config!$E$9:$E$29,MATCH($B1872,Config!$B$9:$B$29,0))),""),""))</f>
        <v/>
      </c>
      <c r="AC1872" s="19" t="str">
        <f>IF($B1872="","",IFERROR(INDEX(Config!$D$9:$D$29,MATCH($B1872,Config!$B$9:$B$29,0))&amp;"",""))</f>
        <v/>
      </c>
    </row>
    <row r="1873">
      <c r="R1873" s="20" t="str">
        <f>IF($B1873="","",IFERROR(IF(INDEX(Config!$D$9:$D$29,MATCH($B1873,Config!$B$9:$B$29,0))="Contrato",IF(INDEX(Config!$E$9:$E$29,MATCH($B1873,Config!$B$9:$B$29,0))="","",INDEX(Config!$E$9:$E$29,MATCH($B1873,Config!$B$9:$B$29,0))),""),""))</f>
        <v/>
      </c>
      <c r="AC1873" s="19" t="str">
        <f>IF($B1873="","",IFERROR(INDEX(Config!$D$9:$D$29,MATCH($B1873,Config!$B$9:$B$29,0))&amp;"",""))</f>
        <v/>
      </c>
    </row>
    <row r="1874">
      <c r="R1874" s="20" t="str">
        <f>IF($B1874="","",IFERROR(IF(INDEX(Config!$D$9:$D$29,MATCH($B1874,Config!$B$9:$B$29,0))="Contrato",IF(INDEX(Config!$E$9:$E$29,MATCH($B1874,Config!$B$9:$B$29,0))="","",INDEX(Config!$E$9:$E$29,MATCH($B1874,Config!$B$9:$B$29,0))),""),""))</f>
        <v/>
      </c>
      <c r="AC1874" s="19" t="str">
        <f>IF($B1874="","",IFERROR(INDEX(Config!$D$9:$D$29,MATCH($B1874,Config!$B$9:$B$29,0))&amp;"",""))</f>
        <v/>
      </c>
    </row>
    <row r="1875">
      <c r="R1875" s="20" t="str">
        <f>IF($B1875="","",IFERROR(IF(INDEX(Config!$D$9:$D$29,MATCH($B1875,Config!$B$9:$B$29,0))="Contrato",IF(INDEX(Config!$E$9:$E$29,MATCH($B1875,Config!$B$9:$B$29,0))="","",INDEX(Config!$E$9:$E$29,MATCH($B1875,Config!$B$9:$B$29,0))),""),""))</f>
        <v/>
      </c>
      <c r="AC1875" s="19" t="str">
        <f>IF($B1875="","",IFERROR(INDEX(Config!$D$9:$D$29,MATCH($B1875,Config!$B$9:$B$29,0))&amp;"",""))</f>
        <v/>
      </c>
    </row>
    <row r="1876">
      <c r="R1876" s="20" t="str">
        <f>IF($B1876="","",IFERROR(IF(INDEX(Config!$D$9:$D$29,MATCH($B1876,Config!$B$9:$B$29,0))="Contrato",IF(INDEX(Config!$E$9:$E$29,MATCH($B1876,Config!$B$9:$B$29,0))="","",INDEX(Config!$E$9:$E$29,MATCH($B1876,Config!$B$9:$B$29,0))),""),""))</f>
        <v/>
      </c>
      <c r="AC1876" s="19" t="str">
        <f>IF($B1876="","",IFERROR(INDEX(Config!$D$9:$D$29,MATCH($B1876,Config!$B$9:$B$29,0))&amp;"",""))</f>
        <v/>
      </c>
    </row>
    <row r="1877">
      <c r="R1877" s="20" t="str">
        <f>IF($B1877="","",IFERROR(IF(INDEX(Config!$D$9:$D$29,MATCH($B1877,Config!$B$9:$B$29,0))="Contrato",IF(INDEX(Config!$E$9:$E$29,MATCH($B1877,Config!$B$9:$B$29,0))="","",INDEX(Config!$E$9:$E$29,MATCH($B1877,Config!$B$9:$B$29,0))),""),""))</f>
        <v/>
      </c>
      <c r="AC1877" s="19" t="str">
        <f>IF($B1877="","",IFERROR(INDEX(Config!$D$9:$D$29,MATCH($B1877,Config!$B$9:$B$29,0))&amp;"",""))</f>
        <v/>
      </c>
    </row>
    <row r="1878">
      <c r="R1878" s="20" t="str">
        <f>IF($B1878="","",IFERROR(IF(INDEX(Config!$D$9:$D$29,MATCH($B1878,Config!$B$9:$B$29,0))="Contrato",IF(INDEX(Config!$E$9:$E$29,MATCH($B1878,Config!$B$9:$B$29,0))="","",INDEX(Config!$E$9:$E$29,MATCH($B1878,Config!$B$9:$B$29,0))),""),""))</f>
        <v/>
      </c>
      <c r="AC1878" s="19" t="str">
        <f>IF($B1878="","",IFERROR(INDEX(Config!$D$9:$D$29,MATCH($B1878,Config!$B$9:$B$29,0))&amp;"",""))</f>
        <v/>
      </c>
    </row>
    <row r="1879">
      <c r="R1879" s="20" t="str">
        <f>IF($B1879="","",IFERROR(IF(INDEX(Config!$D$9:$D$29,MATCH($B1879,Config!$B$9:$B$29,0))="Contrato",IF(INDEX(Config!$E$9:$E$29,MATCH($B1879,Config!$B$9:$B$29,0))="","",INDEX(Config!$E$9:$E$29,MATCH($B1879,Config!$B$9:$B$29,0))),""),""))</f>
        <v/>
      </c>
      <c r="AC1879" s="19" t="str">
        <f>IF($B1879="","",IFERROR(INDEX(Config!$D$9:$D$29,MATCH($B1879,Config!$B$9:$B$29,0))&amp;"",""))</f>
        <v/>
      </c>
    </row>
    <row r="1880">
      <c r="R1880" s="20" t="str">
        <f>IF($B1880="","",IFERROR(IF(INDEX(Config!$D$9:$D$29,MATCH($B1880,Config!$B$9:$B$29,0))="Contrato",IF(INDEX(Config!$E$9:$E$29,MATCH($B1880,Config!$B$9:$B$29,0))="","",INDEX(Config!$E$9:$E$29,MATCH($B1880,Config!$B$9:$B$29,0))),""),""))</f>
        <v/>
      </c>
      <c r="AC1880" s="19" t="str">
        <f>IF($B1880="","",IFERROR(INDEX(Config!$D$9:$D$29,MATCH($B1880,Config!$B$9:$B$29,0))&amp;"",""))</f>
        <v/>
      </c>
    </row>
    <row r="1881">
      <c r="R1881" s="20" t="str">
        <f>IF($B1881="","",IFERROR(IF(INDEX(Config!$D$9:$D$29,MATCH($B1881,Config!$B$9:$B$29,0))="Contrato",IF(INDEX(Config!$E$9:$E$29,MATCH($B1881,Config!$B$9:$B$29,0))="","",INDEX(Config!$E$9:$E$29,MATCH($B1881,Config!$B$9:$B$29,0))),""),""))</f>
        <v/>
      </c>
      <c r="AC1881" s="19" t="str">
        <f>IF($B1881="","",IFERROR(INDEX(Config!$D$9:$D$29,MATCH($B1881,Config!$B$9:$B$29,0))&amp;"",""))</f>
        <v/>
      </c>
    </row>
    <row r="1882">
      <c r="R1882" s="20" t="str">
        <f>IF($B1882="","",IFERROR(IF(INDEX(Config!$D$9:$D$29,MATCH($B1882,Config!$B$9:$B$29,0))="Contrato",IF(INDEX(Config!$E$9:$E$29,MATCH($B1882,Config!$B$9:$B$29,0))="","",INDEX(Config!$E$9:$E$29,MATCH($B1882,Config!$B$9:$B$29,0))),""),""))</f>
        <v/>
      </c>
      <c r="AC1882" s="19" t="str">
        <f>IF($B1882="","",IFERROR(INDEX(Config!$D$9:$D$29,MATCH($B1882,Config!$B$9:$B$29,0))&amp;"",""))</f>
        <v/>
      </c>
    </row>
    <row r="1883">
      <c r="R1883" s="20" t="str">
        <f>IF($B1883="","",IFERROR(IF(INDEX(Config!$D$9:$D$29,MATCH($B1883,Config!$B$9:$B$29,0))="Contrato",IF(INDEX(Config!$E$9:$E$29,MATCH($B1883,Config!$B$9:$B$29,0))="","",INDEX(Config!$E$9:$E$29,MATCH($B1883,Config!$B$9:$B$29,0))),""),""))</f>
        <v/>
      </c>
      <c r="AC1883" s="19" t="str">
        <f>IF($B1883="","",IFERROR(INDEX(Config!$D$9:$D$29,MATCH($B1883,Config!$B$9:$B$29,0))&amp;"",""))</f>
        <v/>
      </c>
    </row>
    <row r="1884">
      <c r="R1884" s="20" t="str">
        <f>IF($B1884="","",IFERROR(IF(INDEX(Config!$D$9:$D$29,MATCH($B1884,Config!$B$9:$B$29,0))="Contrato",IF(INDEX(Config!$E$9:$E$29,MATCH($B1884,Config!$B$9:$B$29,0))="","",INDEX(Config!$E$9:$E$29,MATCH($B1884,Config!$B$9:$B$29,0))),""),""))</f>
        <v/>
      </c>
      <c r="AC1884" s="19" t="str">
        <f>IF($B1884="","",IFERROR(INDEX(Config!$D$9:$D$29,MATCH($B1884,Config!$B$9:$B$29,0))&amp;"",""))</f>
        <v/>
      </c>
    </row>
    <row r="1885">
      <c r="R1885" s="20" t="str">
        <f>IF($B1885="","",IFERROR(IF(INDEX(Config!$D$9:$D$29,MATCH($B1885,Config!$B$9:$B$29,0))="Contrato",IF(INDEX(Config!$E$9:$E$29,MATCH($B1885,Config!$B$9:$B$29,0))="","",INDEX(Config!$E$9:$E$29,MATCH($B1885,Config!$B$9:$B$29,0))),""),""))</f>
        <v/>
      </c>
      <c r="AC1885" s="19" t="str">
        <f>IF($B1885="","",IFERROR(INDEX(Config!$D$9:$D$29,MATCH($B1885,Config!$B$9:$B$29,0))&amp;"",""))</f>
        <v/>
      </c>
    </row>
    <row r="1886">
      <c r="R1886" s="20" t="str">
        <f>IF($B1886="","",IFERROR(IF(INDEX(Config!$D$9:$D$29,MATCH($B1886,Config!$B$9:$B$29,0))="Contrato",IF(INDEX(Config!$E$9:$E$29,MATCH($B1886,Config!$B$9:$B$29,0))="","",INDEX(Config!$E$9:$E$29,MATCH($B1886,Config!$B$9:$B$29,0))),""),""))</f>
        <v/>
      </c>
      <c r="AC1886" s="19" t="str">
        <f>IF($B1886="","",IFERROR(INDEX(Config!$D$9:$D$29,MATCH($B1886,Config!$B$9:$B$29,0))&amp;"",""))</f>
        <v/>
      </c>
    </row>
    <row r="1887">
      <c r="R1887" s="20" t="str">
        <f>IF($B1887="","",IFERROR(IF(INDEX(Config!$D$9:$D$29,MATCH($B1887,Config!$B$9:$B$29,0))="Contrato",IF(INDEX(Config!$E$9:$E$29,MATCH($B1887,Config!$B$9:$B$29,0))="","",INDEX(Config!$E$9:$E$29,MATCH($B1887,Config!$B$9:$B$29,0))),""),""))</f>
        <v/>
      </c>
      <c r="AC1887" s="19" t="str">
        <f>IF($B1887="","",IFERROR(INDEX(Config!$D$9:$D$29,MATCH($B1887,Config!$B$9:$B$29,0))&amp;"",""))</f>
        <v/>
      </c>
    </row>
    <row r="1888">
      <c r="R1888" s="20" t="str">
        <f>IF($B1888="","",IFERROR(IF(INDEX(Config!$D$9:$D$29,MATCH($B1888,Config!$B$9:$B$29,0))="Contrato",IF(INDEX(Config!$E$9:$E$29,MATCH($B1888,Config!$B$9:$B$29,0))="","",INDEX(Config!$E$9:$E$29,MATCH($B1888,Config!$B$9:$B$29,0))),""),""))</f>
        <v/>
      </c>
      <c r="AC1888" s="19" t="str">
        <f>IF($B1888="","",IFERROR(INDEX(Config!$D$9:$D$29,MATCH($B1888,Config!$B$9:$B$29,0))&amp;"",""))</f>
        <v/>
      </c>
    </row>
    <row r="1889">
      <c r="R1889" s="20" t="str">
        <f>IF($B1889="","",IFERROR(IF(INDEX(Config!$D$9:$D$29,MATCH($B1889,Config!$B$9:$B$29,0))="Contrato",IF(INDEX(Config!$E$9:$E$29,MATCH($B1889,Config!$B$9:$B$29,0))="","",INDEX(Config!$E$9:$E$29,MATCH($B1889,Config!$B$9:$B$29,0))),""),""))</f>
        <v/>
      </c>
      <c r="AC1889" s="19" t="str">
        <f>IF($B1889="","",IFERROR(INDEX(Config!$D$9:$D$29,MATCH($B1889,Config!$B$9:$B$29,0))&amp;"",""))</f>
        <v/>
      </c>
    </row>
    <row r="1890">
      <c r="R1890" s="20" t="str">
        <f>IF($B1890="","",IFERROR(IF(INDEX(Config!$D$9:$D$29,MATCH($B1890,Config!$B$9:$B$29,0))="Contrato",IF(INDEX(Config!$E$9:$E$29,MATCH($B1890,Config!$B$9:$B$29,0))="","",INDEX(Config!$E$9:$E$29,MATCH($B1890,Config!$B$9:$B$29,0))),""),""))</f>
        <v/>
      </c>
      <c r="AC1890" s="19" t="str">
        <f>IF($B1890="","",IFERROR(INDEX(Config!$D$9:$D$29,MATCH($B1890,Config!$B$9:$B$29,0))&amp;"",""))</f>
        <v/>
      </c>
    </row>
    <row r="1891">
      <c r="R1891" s="20" t="str">
        <f>IF($B1891="","",IFERROR(IF(INDEX(Config!$D$9:$D$29,MATCH($B1891,Config!$B$9:$B$29,0))="Contrato",IF(INDEX(Config!$E$9:$E$29,MATCH($B1891,Config!$B$9:$B$29,0))="","",INDEX(Config!$E$9:$E$29,MATCH($B1891,Config!$B$9:$B$29,0))),""),""))</f>
        <v/>
      </c>
      <c r="AC1891" s="19" t="str">
        <f>IF($B1891="","",IFERROR(INDEX(Config!$D$9:$D$29,MATCH($B1891,Config!$B$9:$B$29,0))&amp;"",""))</f>
        <v/>
      </c>
    </row>
    <row r="1892">
      <c r="R1892" s="20" t="str">
        <f>IF($B1892="","",IFERROR(IF(INDEX(Config!$D$9:$D$29,MATCH($B1892,Config!$B$9:$B$29,0))="Contrato",IF(INDEX(Config!$E$9:$E$29,MATCH($B1892,Config!$B$9:$B$29,0))="","",INDEX(Config!$E$9:$E$29,MATCH($B1892,Config!$B$9:$B$29,0))),""),""))</f>
        <v/>
      </c>
      <c r="AC1892" s="19" t="str">
        <f>IF($B1892="","",IFERROR(INDEX(Config!$D$9:$D$29,MATCH($B1892,Config!$B$9:$B$29,0))&amp;"",""))</f>
        <v/>
      </c>
    </row>
    <row r="1893">
      <c r="R1893" s="20" t="str">
        <f>IF($B1893="","",IFERROR(IF(INDEX(Config!$D$9:$D$29,MATCH($B1893,Config!$B$9:$B$29,0))="Contrato",IF(INDEX(Config!$E$9:$E$29,MATCH($B1893,Config!$B$9:$B$29,0))="","",INDEX(Config!$E$9:$E$29,MATCH($B1893,Config!$B$9:$B$29,0))),""),""))</f>
        <v/>
      </c>
      <c r="AC1893" s="19" t="str">
        <f>IF($B1893="","",IFERROR(INDEX(Config!$D$9:$D$29,MATCH($B1893,Config!$B$9:$B$29,0))&amp;"",""))</f>
        <v/>
      </c>
    </row>
    <row r="1894">
      <c r="R1894" s="20" t="str">
        <f>IF($B1894="","",IFERROR(IF(INDEX(Config!$D$9:$D$29,MATCH($B1894,Config!$B$9:$B$29,0))="Contrato",IF(INDEX(Config!$E$9:$E$29,MATCH($B1894,Config!$B$9:$B$29,0))="","",INDEX(Config!$E$9:$E$29,MATCH($B1894,Config!$B$9:$B$29,0))),""),""))</f>
        <v/>
      </c>
      <c r="AC1894" s="19" t="str">
        <f>IF($B1894="","",IFERROR(INDEX(Config!$D$9:$D$29,MATCH($B1894,Config!$B$9:$B$29,0))&amp;"",""))</f>
        <v/>
      </c>
    </row>
    <row r="1895">
      <c r="R1895" s="20" t="str">
        <f>IF($B1895="","",IFERROR(IF(INDEX(Config!$D$9:$D$29,MATCH($B1895,Config!$B$9:$B$29,0))="Contrato",IF(INDEX(Config!$E$9:$E$29,MATCH($B1895,Config!$B$9:$B$29,0))="","",INDEX(Config!$E$9:$E$29,MATCH($B1895,Config!$B$9:$B$29,0))),""),""))</f>
        <v/>
      </c>
      <c r="AC1895" s="19" t="str">
        <f>IF($B1895="","",IFERROR(INDEX(Config!$D$9:$D$29,MATCH($B1895,Config!$B$9:$B$29,0))&amp;"",""))</f>
        <v/>
      </c>
    </row>
    <row r="1896">
      <c r="R1896" s="20" t="str">
        <f>IF($B1896="","",IFERROR(IF(INDEX(Config!$D$9:$D$29,MATCH($B1896,Config!$B$9:$B$29,0))="Contrato",IF(INDEX(Config!$E$9:$E$29,MATCH($B1896,Config!$B$9:$B$29,0))="","",INDEX(Config!$E$9:$E$29,MATCH($B1896,Config!$B$9:$B$29,0))),""),""))</f>
        <v/>
      </c>
      <c r="AC1896" s="19" t="str">
        <f>IF($B1896="","",IFERROR(INDEX(Config!$D$9:$D$29,MATCH($B1896,Config!$B$9:$B$29,0))&amp;"",""))</f>
        <v/>
      </c>
    </row>
    <row r="1897">
      <c r="R1897" s="20" t="str">
        <f>IF($B1897="","",IFERROR(IF(INDEX(Config!$D$9:$D$29,MATCH($B1897,Config!$B$9:$B$29,0))="Contrato",IF(INDEX(Config!$E$9:$E$29,MATCH($B1897,Config!$B$9:$B$29,0))="","",INDEX(Config!$E$9:$E$29,MATCH($B1897,Config!$B$9:$B$29,0))),""),""))</f>
        <v/>
      </c>
      <c r="AC1897" s="19" t="str">
        <f>IF($B1897="","",IFERROR(INDEX(Config!$D$9:$D$29,MATCH($B1897,Config!$B$9:$B$29,0))&amp;"",""))</f>
        <v/>
      </c>
    </row>
    <row r="1898">
      <c r="R1898" s="20" t="str">
        <f>IF($B1898="","",IFERROR(IF(INDEX(Config!$D$9:$D$29,MATCH($B1898,Config!$B$9:$B$29,0))="Contrato",IF(INDEX(Config!$E$9:$E$29,MATCH($B1898,Config!$B$9:$B$29,0))="","",INDEX(Config!$E$9:$E$29,MATCH($B1898,Config!$B$9:$B$29,0))),""),""))</f>
        <v/>
      </c>
      <c r="AC1898" s="19" t="str">
        <f>IF($B1898="","",IFERROR(INDEX(Config!$D$9:$D$29,MATCH($B1898,Config!$B$9:$B$29,0))&amp;"",""))</f>
        <v/>
      </c>
    </row>
    <row r="1899">
      <c r="R1899" s="20" t="str">
        <f>IF($B1899="","",IFERROR(IF(INDEX(Config!$D$9:$D$29,MATCH($B1899,Config!$B$9:$B$29,0))="Contrato",IF(INDEX(Config!$E$9:$E$29,MATCH($B1899,Config!$B$9:$B$29,0))="","",INDEX(Config!$E$9:$E$29,MATCH($B1899,Config!$B$9:$B$29,0))),""),""))</f>
        <v/>
      </c>
      <c r="AC1899" s="19" t="str">
        <f>IF($B1899="","",IFERROR(INDEX(Config!$D$9:$D$29,MATCH($B1899,Config!$B$9:$B$29,0))&amp;"",""))</f>
        <v/>
      </c>
    </row>
    <row r="1900">
      <c r="R1900" s="20" t="str">
        <f>IF($B1900="","",IFERROR(IF(INDEX(Config!$D$9:$D$29,MATCH($B1900,Config!$B$9:$B$29,0))="Contrato",IF(INDEX(Config!$E$9:$E$29,MATCH($B1900,Config!$B$9:$B$29,0))="","",INDEX(Config!$E$9:$E$29,MATCH($B1900,Config!$B$9:$B$29,0))),""),""))</f>
        <v/>
      </c>
      <c r="AC1900" s="19" t="str">
        <f>IF($B1900="","",IFERROR(INDEX(Config!$D$9:$D$29,MATCH($B1900,Config!$B$9:$B$29,0))&amp;"",""))</f>
        <v/>
      </c>
    </row>
    <row r="1901">
      <c r="R1901" s="20" t="str">
        <f>IF($B1901="","",IFERROR(IF(INDEX(Config!$D$9:$D$29,MATCH($B1901,Config!$B$9:$B$29,0))="Contrato",IF(INDEX(Config!$E$9:$E$29,MATCH($B1901,Config!$B$9:$B$29,0))="","",INDEX(Config!$E$9:$E$29,MATCH($B1901,Config!$B$9:$B$29,0))),""),""))</f>
        <v/>
      </c>
      <c r="AC1901" s="19" t="str">
        <f>IF($B1901="","",IFERROR(INDEX(Config!$D$9:$D$29,MATCH($B1901,Config!$B$9:$B$29,0))&amp;"",""))</f>
        <v/>
      </c>
    </row>
    <row r="1902">
      <c r="R1902" s="20" t="str">
        <f>IF($B1902="","",IFERROR(IF(INDEX(Config!$D$9:$D$29,MATCH($B1902,Config!$B$9:$B$29,0))="Contrato",IF(INDEX(Config!$E$9:$E$29,MATCH($B1902,Config!$B$9:$B$29,0))="","",INDEX(Config!$E$9:$E$29,MATCH($B1902,Config!$B$9:$B$29,0))),""),""))</f>
        <v/>
      </c>
      <c r="AC1902" s="19" t="str">
        <f>IF($B1902="","",IFERROR(INDEX(Config!$D$9:$D$29,MATCH($B1902,Config!$B$9:$B$29,0))&amp;"",""))</f>
        <v/>
      </c>
    </row>
    <row r="1903">
      <c r="R1903" s="20" t="str">
        <f>IF($B1903="","",IFERROR(IF(INDEX(Config!$D$9:$D$29,MATCH($B1903,Config!$B$9:$B$29,0))="Contrato",IF(INDEX(Config!$E$9:$E$29,MATCH($B1903,Config!$B$9:$B$29,0))="","",INDEX(Config!$E$9:$E$29,MATCH($B1903,Config!$B$9:$B$29,0))),""),""))</f>
        <v/>
      </c>
      <c r="AC1903" s="19" t="str">
        <f>IF($B1903="","",IFERROR(INDEX(Config!$D$9:$D$29,MATCH($B1903,Config!$B$9:$B$29,0))&amp;"",""))</f>
        <v/>
      </c>
    </row>
    <row r="1904">
      <c r="R1904" s="20" t="str">
        <f>IF($B1904="","",IFERROR(IF(INDEX(Config!$D$9:$D$29,MATCH($B1904,Config!$B$9:$B$29,0))="Contrato",IF(INDEX(Config!$E$9:$E$29,MATCH($B1904,Config!$B$9:$B$29,0))="","",INDEX(Config!$E$9:$E$29,MATCH($B1904,Config!$B$9:$B$29,0))),""),""))</f>
        <v/>
      </c>
      <c r="AC1904" s="19" t="str">
        <f>IF($B1904="","",IFERROR(INDEX(Config!$D$9:$D$29,MATCH($B1904,Config!$B$9:$B$29,0))&amp;"",""))</f>
        <v/>
      </c>
    </row>
    <row r="1905">
      <c r="R1905" s="20" t="str">
        <f>IF($B1905="","",IFERROR(IF(INDEX(Config!$D$9:$D$29,MATCH($B1905,Config!$B$9:$B$29,0))="Contrato",IF(INDEX(Config!$E$9:$E$29,MATCH($B1905,Config!$B$9:$B$29,0))="","",INDEX(Config!$E$9:$E$29,MATCH($B1905,Config!$B$9:$B$29,0))),""),""))</f>
        <v/>
      </c>
      <c r="AC1905" s="19" t="str">
        <f>IF($B1905="","",IFERROR(INDEX(Config!$D$9:$D$29,MATCH($B1905,Config!$B$9:$B$29,0))&amp;"",""))</f>
        <v/>
      </c>
    </row>
    <row r="1906">
      <c r="R1906" s="20" t="str">
        <f>IF($B1906="","",IFERROR(IF(INDEX(Config!$D$9:$D$29,MATCH($B1906,Config!$B$9:$B$29,0))="Contrato",IF(INDEX(Config!$E$9:$E$29,MATCH($B1906,Config!$B$9:$B$29,0))="","",INDEX(Config!$E$9:$E$29,MATCH($B1906,Config!$B$9:$B$29,0))),""),""))</f>
        <v/>
      </c>
      <c r="AC1906" s="19" t="str">
        <f>IF($B1906="","",IFERROR(INDEX(Config!$D$9:$D$29,MATCH($B1906,Config!$B$9:$B$29,0))&amp;"",""))</f>
        <v/>
      </c>
    </row>
    <row r="1907">
      <c r="R1907" s="20" t="str">
        <f>IF($B1907="","",IFERROR(IF(INDEX(Config!$D$9:$D$29,MATCH($B1907,Config!$B$9:$B$29,0))="Contrato",IF(INDEX(Config!$E$9:$E$29,MATCH($B1907,Config!$B$9:$B$29,0))="","",INDEX(Config!$E$9:$E$29,MATCH($B1907,Config!$B$9:$B$29,0))),""),""))</f>
        <v/>
      </c>
      <c r="AC1907" s="19" t="str">
        <f>IF($B1907="","",IFERROR(INDEX(Config!$D$9:$D$29,MATCH($B1907,Config!$B$9:$B$29,0))&amp;"",""))</f>
        <v/>
      </c>
    </row>
    <row r="1908">
      <c r="R1908" s="20" t="str">
        <f>IF($B1908="","",IFERROR(IF(INDEX(Config!$D$9:$D$29,MATCH($B1908,Config!$B$9:$B$29,0))="Contrato",IF(INDEX(Config!$E$9:$E$29,MATCH($B1908,Config!$B$9:$B$29,0))="","",INDEX(Config!$E$9:$E$29,MATCH($B1908,Config!$B$9:$B$29,0))),""),""))</f>
        <v/>
      </c>
      <c r="AC1908" s="19" t="str">
        <f>IF($B1908="","",IFERROR(INDEX(Config!$D$9:$D$29,MATCH($B1908,Config!$B$9:$B$29,0))&amp;"",""))</f>
        <v/>
      </c>
    </row>
    <row r="1909">
      <c r="R1909" s="20" t="str">
        <f>IF($B1909="","",IFERROR(IF(INDEX(Config!$D$9:$D$29,MATCH($B1909,Config!$B$9:$B$29,0))="Contrato",IF(INDEX(Config!$E$9:$E$29,MATCH($B1909,Config!$B$9:$B$29,0))="","",INDEX(Config!$E$9:$E$29,MATCH($B1909,Config!$B$9:$B$29,0))),""),""))</f>
        <v/>
      </c>
      <c r="AC1909" s="19" t="str">
        <f>IF($B1909="","",IFERROR(INDEX(Config!$D$9:$D$29,MATCH($B1909,Config!$B$9:$B$29,0))&amp;"",""))</f>
        <v/>
      </c>
    </row>
    <row r="1910">
      <c r="R1910" s="20" t="str">
        <f>IF($B1910="","",IFERROR(IF(INDEX(Config!$D$9:$D$29,MATCH($B1910,Config!$B$9:$B$29,0))="Contrato",IF(INDEX(Config!$E$9:$E$29,MATCH($B1910,Config!$B$9:$B$29,0))="","",INDEX(Config!$E$9:$E$29,MATCH($B1910,Config!$B$9:$B$29,0))),""),""))</f>
        <v/>
      </c>
      <c r="AC1910" s="19" t="str">
        <f>IF($B1910="","",IFERROR(INDEX(Config!$D$9:$D$29,MATCH($B1910,Config!$B$9:$B$29,0))&amp;"",""))</f>
        <v/>
      </c>
    </row>
    <row r="1911">
      <c r="R1911" s="20" t="str">
        <f>IF($B1911="","",IFERROR(IF(INDEX(Config!$D$9:$D$29,MATCH($B1911,Config!$B$9:$B$29,0))="Contrato",IF(INDEX(Config!$E$9:$E$29,MATCH($B1911,Config!$B$9:$B$29,0))="","",INDEX(Config!$E$9:$E$29,MATCH($B1911,Config!$B$9:$B$29,0))),""),""))</f>
        <v/>
      </c>
      <c r="AC1911" s="19" t="str">
        <f>IF($B1911="","",IFERROR(INDEX(Config!$D$9:$D$29,MATCH($B1911,Config!$B$9:$B$29,0))&amp;"",""))</f>
        <v/>
      </c>
    </row>
    <row r="1912">
      <c r="R1912" s="20" t="str">
        <f>IF($B1912="","",IFERROR(IF(INDEX(Config!$D$9:$D$29,MATCH($B1912,Config!$B$9:$B$29,0))="Contrato",IF(INDEX(Config!$E$9:$E$29,MATCH($B1912,Config!$B$9:$B$29,0))="","",INDEX(Config!$E$9:$E$29,MATCH($B1912,Config!$B$9:$B$29,0))),""),""))</f>
        <v/>
      </c>
      <c r="AC1912" s="19" t="str">
        <f>IF($B1912="","",IFERROR(INDEX(Config!$D$9:$D$29,MATCH($B1912,Config!$B$9:$B$29,0))&amp;"",""))</f>
        <v/>
      </c>
    </row>
    <row r="1913">
      <c r="R1913" s="20" t="str">
        <f>IF($B1913="","",IFERROR(IF(INDEX(Config!$D$9:$D$29,MATCH($B1913,Config!$B$9:$B$29,0))="Contrato",IF(INDEX(Config!$E$9:$E$29,MATCH($B1913,Config!$B$9:$B$29,0))="","",INDEX(Config!$E$9:$E$29,MATCH($B1913,Config!$B$9:$B$29,0))),""),""))</f>
        <v/>
      </c>
      <c r="AC1913" s="19" t="str">
        <f>IF($B1913="","",IFERROR(INDEX(Config!$D$9:$D$29,MATCH($B1913,Config!$B$9:$B$29,0))&amp;"",""))</f>
        <v/>
      </c>
    </row>
    <row r="1914">
      <c r="R1914" s="20" t="str">
        <f>IF($B1914="","",IFERROR(IF(INDEX(Config!$D$9:$D$29,MATCH($B1914,Config!$B$9:$B$29,0))="Contrato",IF(INDEX(Config!$E$9:$E$29,MATCH($B1914,Config!$B$9:$B$29,0))="","",INDEX(Config!$E$9:$E$29,MATCH($B1914,Config!$B$9:$B$29,0))),""),""))</f>
        <v/>
      </c>
      <c r="AC1914" s="19" t="str">
        <f>IF($B1914="","",IFERROR(INDEX(Config!$D$9:$D$29,MATCH($B1914,Config!$B$9:$B$29,0))&amp;"",""))</f>
        <v/>
      </c>
    </row>
    <row r="1915">
      <c r="R1915" s="20" t="str">
        <f>IF($B1915="","",IFERROR(IF(INDEX(Config!$D$9:$D$29,MATCH($B1915,Config!$B$9:$B$29,0))="Contrato",IF(INDEX(Config!$E$9:$E$29,MATCH($B1915,Config!$B$9:$B$29,0))="","",INDEX(Config!$E$9:$E$29,MATCH($B1915,Config!$B$9:$B$29,0))),""),""))</f>
        <v/>
      </c>
      <c r="AC1915" s="19" t="str">
        <f>IF($B1915="","",IFERROR(INDEX(Config!$D$9:$D$29,MATCH($B1915,Config!$B$9:$B$29,0))&amp;"",""))</f>
        <v/>
      </c>
    </row>
    <row r="1916">
      <c r="R1916" s="20" t="str">
        <f>IF($B1916="","",IFERROR(IF(INDEX(Config!$D$9:$D$29,MATCH($B1916,Config!$B$9:$B$29,0))="Contrato",IF(INDEX(Config!$E$9:$E$29,MATCH($B1916,Config!$B$9:$B$29,0))="","",INDEX(Config!$E$9:$E$29,MATCH($B1916,Config!$B$9:$B$29,0))),""),""))</f>
        <v/>
      </c>
      <c r="AC1916" s="19" t="str">
        <f>IF($B1916="","",IFERROR(INDEX(Config!$D$9:$D$29,MATCH($B1916,Config!$B$9:$B$29,0))&amp;"",""))</f>
        <v/>
      </c>
    </row>
    <row r="1917">
      <c r="R1917" s="20" t="str">
        <f>IF($B1917="","",IFERROR(IF(INDEX(Config!$D$9:$D$29,MATCH($B1917,Config!$B$9:$B$29,0))="Contrato",IF(INDEX(Config!$E$9:$E$29,MATCH($B1917,Config!$B$9:$B$29,0))="","",INDEX(Config!$E$9:$E$29,MATCH($B1917,Config!$B$9:$B$29,0))),""),""))</f>
        <v/>
      </c>
      <c r="AC1917" s="19" t="str">
        <f>IF($B1917="","",IFERROR(INDEX(Config!$D$9:$D$29,MATCH($B1917,Config!$B$9:$B$29,0))&amp;"",""))</f>
        <v/>
      </c>
    </row>
    <row r="1918">
      <c r="R1918" s="20" t="str">
        <f>IF($B1918="","",IFERROR(IF(INDEX(Config!$D$9:$D$29,MATCH($B1918,Config!$B$9:$B$29,0))="Contrato",IF(INDEX(Config!$E$9:$E$29,MATCH($B1918,Config!$B$9:$B$29,0))="","",INDEX(Config!$E$9:$E$29,MATCH($B1918,Config!$B$9:$B$29,0))),""),""))</f>
        <v/>
      </c>
      <c r="AC1918" s="19" t="str">
        <f>IF($B1918="","",IFERROR(INDEX(Config!$D$9:$D$29,MATCH($B1918,Config!$B$9:$B$29,0))&amp;"",""))</f>
        <v/>
      </c>
    </row>
    <row r="1919">
      <c r="R1919" s="20" t="str">
        <f>IF($B1919="","",IFERROR(IF(INDEX(Config!$D$9:$D$29,MATCH($B1919,Config!$B$9:$B$29,0))="Contrato",IF(INDEX(Config!$E$9:$E$29,MATCH($B1919,Config!$B$9:$B$29,0))="","",INDEX(Config!$E$9:$E$29,MATCH($B1919,Config!$B$9:$B$29,0))),""),""))</f>
        <v/>
      </c>
      <c r="AC1919" s="19" t="str">
        <f>IF($B1919="","",IFERROR(INDEX(Config!$D$9:$D$29,MATCH($B1919,Config!$B$9:$B$29,0))&amp;"",""))</f>
        <v/>
      </c>
    </row>
    <row r="1920">
      <c r="R1920" s="20" t="str">
        <f>IF($B1920="","",IFERROR(IF(INDEX(Config!$D$9:$D$29,MATCH($B1920,Config!$B$9:$B$29,0))="Contrato",IF(INDEX(Config!$E$9:$E$29,MATCH($B1920,Config!$B$9:$B$29,0))="","",INDEX(Config!$E$9:$E$29,MATCH($B1920,Config!$B$9:$B$29,0))),""),""))</f>
        <v/>
      </c>
      <c r="AC1920" s="19" t="str">
        <f>IF($B1920="","",IFERROR(INDEX(Config!$D$9:$D$29,MATCH($B1920,Config!$B$9:$B$29,0))&amp;"",""))</f>
        <v/>
      </c>
    </row>
    <row r="1921">
      <c r="R1921" s="20" t="str">
        <f>IF($B1921="","",IFERROR(IF(INDEX(Config!$D$9:$D$29,MATCH($B1921,Config!$B$9:$B$29,0))="Contrato",IF(INDEX(Config!$E$9:$E$29,MATCH($B1921,Config!$B$9:$B$29,0))="","",INDEX(Config!$E$9:$E$29,MATCH($B1921,Config!$B$9:$B$29,0))),""),""))</f>
        <v/>
      </c>
      <c r="AC1921" s="19" t="str">
        <f>IF($B1921="","",IFERROR(INDEX(Config!$D$9:$D$29,MATCH($B1921,Config!$B$9:$B$29,0))&amp;"",""))</f>
        <v/>
      </c>
    </row>
    <row r="1922">
      <c r="R1922" s="20" t="str">
        <f>IF($B1922="","",IFERROR(IF(INDEX(Config!$D$9:$D$29,MATCH($B1922,Config!$B$9:$B$29,0))="Contrato",IF(INDEX(Config!$E$9:$E$29,MATCH($B1922,Config!$B$9:$B$29,0))="","",INDEX(Config!$E$9:$E$29,MATCH($B1922,Config!$B$9:$B$29,0))),""),""))</f>
        <v/>
      </c>
      <c r="AC1922" s="19" t="str">
        <f>IF($B1922="","",IFERROR(INDEX(Config!$D$9:$D$29,MATCH($B1922,Config!$B$9:$B$29,0))&amp;"",""))</f>
        <v/>
      </c>
    </row>
    <row r="1923">
      <c r="R1923" s="20" t="str">
        <f>IF($B1923="","",IFERROR(IF(INDEX(Config!$D$9:$D$29,MATCH($B1923,Config!$B$9:$B$29,0))="Contrato",IF(INDEX(Config!$E$9:$E$29,MATCH($B1923,Config!$B$9:$B$29,0))="","",INDEX(Config!$E$9:$E$29,MATCH($B1923,Config!$B$9:$B$29,0))),""),""))</f>
        <v/>
      </c>
      <c r="AC1923" s="19" t="str">
        <f>IF($B1923="","",IFERROR(INDEX(Config!$D$9:$D$29,MATCH($B1923,Config!$B$9:$B$29,0))&amp;"",""))</f>
        <v/>
      </c>
    </row>
    <row r="1924">
      <c r="R1924" s="20" t="str">
        <f>IF($B1924="","",IFERROR(IF(INDEX(Config!$D$9:$D$29,MATCH($B1924,Config!$B$9:$B$29,0))="Contrato",IF(INDEX(Config!$E$9:$E$29,MATCH($B1924,Config!$B$9:$B$29,0))="","",INDEX(Config!$E$9:$E$29,MATCH($B1924,Config!$B$9:$B$29,0))),""),""))</f>
        <v/>
      </c>
      <c r="AC1924" s="19" t="str">
        <f>IF($B1924="","",IFERROR(INDEX(Config!$D$9:$D$29,MATCH($B1924,Config!$B$9:$B$29,0))&amp;"",""))</f>
        <v/>
      </c>
    </row>
    <row r="1925">
      <c r="R1925" s="20" t="str">
        <f>IF($B1925="","",IFERROR(IF(INDEX(Config!$D$9:$D$29,MATCH($B1925,Config!$B$9:$B$29,0))="Contrato",IF(INDEX(Config!$E$9:$E$29,MATCH($B1925,Config!$B$9:$B$29,0))="","",INDEX(Config!$E$9:$E$29,MATCH($B1925,Config!$B$9:$B$29,0))),""),""))</f>
        <v/>
      </c>
      <c r="AC1925" s="19" t="str">
        <f>IF($B1925="","",IFERROR(INDEX(Config!$D$9:$D$29,MATCH($B1925,Config!$B$9:$B$29,0))&amp;"",""))</f>
        <v/>
      </c>
    </row>
    <row r="1926">
      <c r="R1926" s="20" t="str">
        <f>IF($B1926="","",IFERROR(IF(INDEX(Config!$D$9:$D$29,MATCH($B1926,Config!$B$9:$B$29,0))="Contrato",IF(INDEX(Config!$E$9:$E$29,MATCH($B1926,Config!$B$9:$B$29,0))="","",INDEX(Config!$E$9:$E$29,MATCH($B1926,Config!$B$9:$B$29,0))),""),""))</f>
        <v/>
      </c>
      <c r="AC1926" s="19" t="str">
        <f>IF($B1926="","",IFERROR(INDEX(Config!$D$9:$D$29,MATCH($B1926,Config!$B$9:$B$29,0))&amp;"",""))</f>
        <v/>
      </c>
    </row>
    <row r="1927">
      <c r="R1927" s="20" t="str">
        <f>IF($B1927="","",IFERROR(IF(INDEX(Config!$D$9:$D$29,MATCH($B1927,Config!$B$9:$B$29,0))="Contrato",IF(INDEX(Config!$E$9:$E$29,MATCH($B1927,Config!$B$9:$B$29,0))="","",INDEX(Config!$E$9:$E$29,MATCH($B1927,Config!$B$9:$B$29,0))),""),""))</f>
        <v/>
      </c>
      <c r="AC1927" s="19" t="str">
        <f>IF($B1927="","",IFERROR(INDEX(Config!$D$9:$D$29,MATCH($B1927,Config!$B$9:$B$29,0))&amp;"",""))</f>
        <v/>
      </c>
    </row>
    <row r="1928">
      <c r="R1928" s="20" t="str">
        <f>IF($B1928="","",IFERROR(IF(INDEX(Config!$D$9:$D$29,MATCH($B1928,Config!$B$9:$B$29,0))="Contrato",IF(INDEX(Config!$E$9:$E$29,MATCH($B1928,Config!$B$9:$B$29,0))="","",INDEX(Config!$E$9:$E$29,MATCH($B1928,Config!$B$9:$B$29,0))),""),""))</f>
        <v/>
      </c>
      <c r="AC1928" s="19" t="str">
        <f>IF($B1928="","",IFERROR(INDEX(Config!$D$9:$D$29,MATCH($B1928,Config!$B$9:$B$29,0))&amp;"",""))</f>
        <v/>
      </c>
    </row>
    <row r="1929">
      <c r="R1929" s="20" t="str">
        <f>IF($B1929="","",IFERROR(IF(INDEX(Config!$D$9:$D$29,MATCH($B1929,Config!$B$9:$B$29,0))="Contrato",IF(INDEX(Config!$E$9:$E$29,MATCH($B1929,Config!$B$9:$B$29,0))="","",INDEX(Config!$E$9:$E$29,MATCH($B1929,Config!$B$9:$B$29,0))),""),""))</f>
        <v/>
      </c>
      <c r="AC1929" s="19" t="str">
        <f>IF($B1929="","",IFERROR(INDEX(Config!$D$9:$D$29,MATCH($B1929,Config!$B$9:$B$29,0))&amp;"",""))</f>
        <v/>
      </c>
    </row>
    <row r="1930">
      <c r="R1930" s="20" t="str">
        <f>IF($B1930="","",IFERROR(IF(INDEX(Config!$D$9:$D$29,MATCH($B1930,Config!$B$9:$B$29,0))="Contrato",IF(INDEX(Config!$E$9:$E$29,MATCH($B1930,Config!$B$9:$B$29,0))="","",INDEX(Config!$E$9:$E$29,MATCH($B1930,Config!$B$9:$B$29,0))),""),""))</f>
        <v/>
      </c>
      <c r="AC1930" s="19" t="str">
        <f>IF($B1930="","",IFERROR(INDEX(Config!$D$9:$D$29,MATCH($B1930,Config!$B$9:$B$29,0))&amp;"",""))</f>
        <v/>
      </c>
    </row>
    <row r="1931">
      <c r="R1931" s="20" t="str">
        <f>IF($B1931="","",IFERROR(IF(INDEX(Config!$D$9:$D$29,MATCH($B1931,Config!$B$9:$B$29,0))="Contrato",IF(INDEX(Config!$E$9:$E$29,MATCH($B1931,Config!$B$9:$B$29,0))="","",INDEX(Config!$E$9:$E$29,MATCH($B1931,Config!$B$9:$B$29,0))),""),""))</f>
        <v/>
      </c>
      <c r="AC1931" s="19" t="str">
        <f>IF($B1931="","",IFERROR(INDEX(Config!$D$9:$D$29,MATCH($B1931,Config!$B$9:$B$29,0))&amp;"",""))</f>
        <v/>
      </c>
    </row>
    <row r="1932">
      <c r="R1932" s="20" t="str">
        <f>IF($B1932="","",IFERROR(IF(INDEX(Config!$D$9:$D$29,MATCH($B1932,Config!$B$9:$B$29,0))="Contrato",IF(INDEX(Config!$E$9:$E$29,MATCH($B1932,Config!$B$9:$B$29,0))="","",INDEX(Config!$E$9:$E$29,MATCH($B1932,Config!$B$9:$B$29,0))),""),""))</f>
        <v/>
      </c>
      <c r="AC1932" s="19" t="str">
        <f>IF($B1932="","",IFERROR(INDEX(Config!$D$9:$D$29,MATCH($B1932,Config!$B$9:$B$29,0))&amp;"",""))</f>
        <v/>
      </c>
    </row>
    <row r="1933">
      <c r="R1933" s="20" t="str">
        <f>IF($B1933="","",IFERROR(IF(INDEX(Config!$D$9:$D$29,MATCH($B1933,Config!$B$9:$B$29,0))="Contrato",IF(INDEX(Config!$E$9:$E$29,MATCH($B1933,Config!$B$9:$B$29,0))="","",INDEX(Config!$E$9:$E$29,MATCH($B1933,Config!$B$9:$B$29,0))),""),""))</f>
        <v/>
      </c>
      <c r="AC1933" s="19" t="str">
        <f>IF($B1933="","",IFERROR(INDEX(Config!$D$9:$D$29,MATCH($B1933,Config!$B$9:$B$29,0))&amp;"",""))</f>
        <v/>
      </c>
    </row>
    <row r="1934">
      <c r="R1934" s="20" t="str">
        <f>IF($B1934="","",IFERROR(IF(INDEX(Config!$D$9:$D$29,MATCH($B1934,Config!$B$9:$B$29,0))="Contrato",IF(INDEX(Config!$E$9:$E$29,MATCH($B1934,Config!$B$9:$B$29,0))="","",INDEX(Config!$E$9:$E$29,MATCH($B1934,Config!$B$9:$B$29,0))),""),""))</f>
        <v/>
      </c>
      <c r="AC1934" s="19" t="str">
        <f>IF($B1934="","",IFERROR(INDEX(Config!$D$9:$D$29,MATCH($B1934,Config!$B$9:$B$29,0))&amp;"",""))</f>
        <v/>
      </c>
    </row>
    <row r="1935">
      <c r="R1935" s="20" t="str">
        <f>IF($B1935="","",IFERROR(IF(INDEX(Config!$D$9:$D$29,MATCH($B1935,Config!$B$9:$B$29,0))="Contrato",IF(INDEX(Config!$E$9:$E$29,MATCH($B1935,Config!$B$9:$B$29,0))="","",INDEX(Config!$E$9:$E$29,MATCH($B1935,Config!$B$9:$B$29,0))),""),""))</f>
        <v/>
      </c>
      <c r="AC1935" s="19" t="str">
        <f>IF($B1935="","",IFERROR(INDEX(Config!$D$9:$D$29,MATCH($B1935,Config!$B$9:$B$29,0))&amp;"",""))</f>
        <v/>
      </c>
    </row>
    <row r="1936">
      <c r="R1936" s="20" t="str">
        <f>IF($B1936="","",IFERROR(IF(INDEX(Config!$D$9:$D$29,MATCH($B1936,Config!$B$9:$B$29,0))="Contrato",IF(INDEX(Config!$E$9:$E$29,MATCH($B1936,Config!$B$9:$B$29,0))="","",INDEX(Config!$E$9:$E$29,MATCH($B1936,Config!$B$9:$B$29,0))),""),""))</f>
        <v/>
      </c>
      <c r="AC1936" s="19" t="str">
        <f>IF($B1936="","",IFERROR(INDEX(Config!$D$9:$D$29,MATCH($B1936,Config!$B$9:$B$29,0))&amp;"",""))</f>
        <v/>
      </c>
    </row>
    <row r="1937">
      <c r="R1937" s="20" t="str">
        <f>IF($B1937="","",IFERROR(IF(INDEX(Config!$D$9:$D$29,MATCH($B1937,Config!$B$9:$B$29,0))="Contrato",IF(INDEX(Config!$E$9:$E$29,MATCH($B1937,Config!$B$9:$B$29,0))="","",INDEX(Config!$E$9:$E$29,MATCH($B1937,Config!$B$9:$B$29,0))),""),""))</f>
        <v/>
      </c>
      <c r="AC1937" s="19" t="str">
        <f>IF($B1937="","",IFERROR(INDEX(Config!$D$9:$D$29,MATCH($B1937,Config!$B$9:$B$29,0))&amp;"",""))</f>
        <v/>
      </c>
    </row>
    <row r="1938">
      <c r="R1938" s="20" t="str">
        <f>IF($B1938="","",IFERROR(IF(INDEX(Config!$D$9:$D$29,MATCH($B1938,Config!$B$9:$B$29,0))="Contrato",IF(INDEX(Config!$E$9:$E$29,MATCH($B1938,Config!$B$9:$B$29,0))="","",INDEX(Config!$E$9:$E$29,MATCH($B1938,Config!$B$9:$B$29,0))),""),""))</f>
        <v/>
      </c>
      <c r="AC1938" s="19" t="str">
        <f>IF($B1938="","",IFERROR(INDEX(Config!$D$9:$D$29,MATCH($B1938,Config!$B$9:$B$29,0))&amp;"",""))</f>
        <v/>
      </c>
    </row>
    <row r="1939">
      <c r="R1939" s="20" t="str">
        <f>IF($B1939="","",IFERROR(IF(INDEX(Config!$D$9:$D$29,MATCH($B1939,Config!$B$9:$B$29,0))="Contrato",IF(INDEX(Config!$E$9:$E$29,MATCH($B1939,Config!$B$9:$B$29,0))="","",INDEX(Config!$E$9:$E$29,MATCH($B1939,Config!$B$9:$B$29,0))),""),""))</f>
        <v/>
      </c>
      <c r="AC1939" s="19" t="str">
        <f>IF($B1939="","",IFERROR(INDEX(Config!$D$9:$D$29,MATCH($B1939,Config!$B$9:$B$29,0))&amp;"",""))</f>
        <v/>
      </c>
    </row>
    <row r="1940">
      <c r="R1940" s="20" t="str">
        <f>IF($B1940="","",IFERROR(IF(INDEX(Config!$D$9:$D$29,MATCH($B1940,Config!$B$9:$B$29,0))="Contrato",IF(INDEX(Config!$E$9:$E$29,MATCH($B1940,Config!$B$9:$B$29,0))="","",INDEX(Config!$E$9:$E$29,MATCH($B1940,Config!$B$9:$B$29,0))),""),""))</f>
        <v/>
      </c>
      <c r="AC1940" s="19" t="str">
        <f>IF($B1940="","",IFERROR(INDEX(Config!$D$9:$D$29,MATCH($B1940,Config!$B$9:$B$29,0))&amp;"",""))</f>
        <v/>
      </c>
    </row>
    <row r="1941">
      <c r="R1941" s="20" t="str">
        <f>IF($B1941="","",IFERROR(IF(INDEX(Config!$D$9:$D$29,MATCH($B1941,Config!$B$9:$B$29,0))="Contrato",IF(INDEX(Config!$E$9:$E$29,MATCH($B1941,Config!$B$9:$B$29,0))="","",INDEX(Config!$E$9:$E$29,MATCH($B1941,Config!$B$9:$B$29,0))),""),""))</f>
        <v/>
      </c>
      <c r="AC1941" s="19" t="str">
        <f>IF($B1941="","",IFERROR(INDEX(Config!$D$9:$D$29,MATCH($B1941,Config!$B$9:$B$29,0))&amp;"",""))</f>
        <v/>
      </c>
    </row>
    <row r="1942">
      <c r="R1942" s="20" t="str">
        <f>IF($B1942="","",IFERROR(IF(INDEX(Config!$D$9:$D$29,MATCH($B1942,Config!$B$9:$B$29,0))="Contrato",IF(INDEX(Config!$E$9:$E$29,MATCH($B1942,Config!$B$9:$B$29,0))="","",INDEX(Config!$E$9:$E$29,MATCH($B1942,Config!$B$9:$B$29,0))),""),""))</f>
        <v/>
      </c>
      <c r="AC1942" s="19" t="str">
        <f>IF($B1942="","",IFERROR(INDEX(Config!$D$9:$D$29,MATCH($B1942,Config!$B$9:$B$29,0))&amp;"",""))</f>
        <v/>
      </c>
    </row>
    <row r="1943">
      <c r="R1943" s="20" t="str">
        <f>IF($B1943="","",IFERROR(IF(INDEX(Config!$D$9:$D$29,MATCH($B1943,Config!$B$9:$B$29,0))="Contrato",IF(INDEX(Config!$E$9:$E$29,MATCH($B1943,Config!$B$9:$B$29,0))="","",INDEX(Config!$E$9:$E$29,MATCH($B1943,Config!$B$9:$B$29,0))),""),""))</f>
        <v/>
      </c>
      <c r="AC1943" s="19" t="str">
        <f>IF($B1943="","",IFERROR(INDEX(Config!$D$9:$D$29,MATCH($B1943,Config!$B$9:$B$29,0))&amp;"",""))</f>
        <v/>
      </c>
    </row>
    <row r="1944">
      <c r="R1944" s="20" t="str">
        <f>IF($B1944="","",IFERROR(IF(INDEX(Config!$D$9:$D$29,MATCH($B1944,Config!$B$9:$B$29,0))="Contrato",IF(INDEX(Config!$E$9:$E$29,MATCH($B1944,Config!$B$9:$B$29,0))="","",INDEX(Config!$E$9:$E$29,MATCH($B1944,Config!$B$9:$B$29,0))),""),""))</f>
        <v/>
      </c>
      <c r="AC1944" s="19" t="str">
        <f>IF($B1944="","",IFERROR(INDEX(Config!$D$9:$D$29,MATCH($B1944,Config!$B$9:$B$29,0))&amp;"",""))</f>
        <v/>
      </c>
    </row>
    <row r="1945">
      <c r="R1945" s="20" t="str">
        <f>IF($B1945="","",IFERROR(IF(INDEX(Config!$D$9:$D$29,MATCH($B1945,Config!$B$9:$B$29,0))="Contrato",IF(INDEX(Config!$E$9:$E$29,MATCH($B1945,Config!$B$9:$B$29,0))="","",INDEX(Config!$E$9:$E$29,MATCH($B1945,Config!$B$9:$B$29,0))),""),""))</f>
        <v/>
      </c>
      <c r="AC1945" s="19" t="str">
        <f>IF($B1945="","",IFERROR(INDEX(Config!$D$9:$D$29,MATCH($B1945,Config!$B$9:$B$29,0))&amp;"",""))</f>
        <v/>
      </c>
    </row>
    <row r="1946">
      <c r="R1946" s="20" t="str">
        <f>IF($B1946="","",IFERROR(IF(INDEX(Config!$D$9:$D$29,MATCH($B1946,Config!$B$9:$B$29,0))="Contrato",IF(INDEX(Config!$E$9:$E$29,MATCH($B1946,Config!$B$9:$B$29,0))="","",INDEX(Config!$E$9:$E$29,MATCH($B1946,Config!$B$9:$B$29,0))),""),""))</f>
        <v/>
      </c>
      <c r="AC1946" s="19" t="str">
        <f>IF($B1946="","",IFERROR(INDEX(Config!$D$9:$D$29,MATCH($B1946,Config!$B$9:$B$29,0))&amp;"",""))</f>
        <v/>
      </c>
    </row>
    <row r="1947">
      <c r="R1947" s="20" t="str">
        <f>IF($B1947="","",IFERROR(IF(INDEX(Config!$D$9:$D$29,MATCH($B1947,Config!$B$9:$B$29,0))="Contrato",IF(INDEX(Config!$E$9:$E$29,MATCH($B1947,Config!$B$9:$B$29,0))="","",INDEX(Config!$E$9:$E$29,MATCH($B1947,Config!$B$9:$B$29,0))),""),""))</f>
        <v/>
      </c>
      <c r="AC1947" s="19" t="str">
        <f>IF($B1947="","",IFERROR(INDEX(Config!$D$9:$D$29,MATCH($B1947,Config!$B$9:$B$29,0))&amp;"",""))</f>
        <v/>
      </c>
    </row>
    <row r="1948">
      <c r="R1948" s="20" t="str">
        <f>IF($B1948="","",IFERROR(IF(INDEX(Config!$D$9:$D$29,MATCH($B1948,Config!$B$9:$B$29,0))="Contrato",IF(INDEX(Config!$E$9:$E$29,MATCH($B1948,Config!$B$9:$B$29,0))="","",INDEX(Config!$E$9:$E$29,MATCH($B1948,Config!$B$9:$B$29,0))),""),""))</f>
        <v/>
      </c>
      <c r="AC1948" s="19" t="str">
        <f>IF($B1948="","",IFERROR(INDEX(Config!$D$9:$D$29,MATCH($B1948,Config!$B$9:$B$29,0))&amp;"",""))</f>
        <v/>
      </c>
    </row>
    <row r="1949">
      <c r="R1949" s="20" t="str">
        <f>IF($B1949="","",IFERROR(IF(INDEX(Config!$D$9:$D$29,MATCH($B1949,Config!$B$9:$B$29,0))="Contrato",IF(INDEX(Config!$E$9:$E$29,MATCH($B1949,Config!$B$9:$B$29,0))="","",INDEX(Config!$E$9:$E$29,MATCH($B1949,Config!$B$9:$B$29,0))),""),""))</f>
        <v/>
      </c>
      <c r="AC1949" s="19" t="str">
        <f>IF($B1949="","",IFERROR(INDEX(Config!$D$9:$D$29,MATCH($B1949,Config!$B$9:$B$29,0))&amp;"",""))</f>
        <v/>
      </c>
    </row>
    <row r="1950">
      <c r="R1950" s="20" t="str">
        <f>IF($B1950="","",IFERROR(IF(INDEX(Config!$D$9:$D$29,MATCH($B1950,Config!$B$9:$B$29,0))="Contrato",IF(INDEX(Config!$E$9:$E$29,MATCH($B1950,Config!$B$9:$B$29,0))="","",INDEX(Config!$E$9:$E$29,MATCH($B1950,Config!$B$9:$B$29,0))),""),""))</f>
        <v/>
      </c>
      <c r="AC1950" s="19" t="str">
        <f>IF($B1950="","",IFERROR(INDEX(Config!$D$9:$D$29,MATCH($B1950,Config!$B$9:$B$29,0))&amp;"",""))</f>
        <v/>
      </c>
    </row>
    <row r="1951">
      <c r="R1951" s="20" t="str">
        <f>IF($B1951="","",IFERROR(IF(INDEX(Config!$D$9:$D$29,MATCH($B1951,Config!$B$9:$B$29,0))="Contrato",IF(INDEX(Config!$E$9:$E$29,MATCH($B1951,Config!$B$9:$B$29,0))="","",INDEX(Config!$E$9:$E$29,MATCH($B1951,Config!$B$9:$B$29,0))),""),""))</f>
        <v/>
      </c>
      <c r="AC1951" s="19" t="str">
        <f>IF($B1951="","",IFERROR(INDEX(Config!$D$9:$D$29,MATCH($B1951,Config!$B$9:$B$29,0))&amp;"",""))</f>
        <v/>
      </c>
    </row>
    <row r="1952">
      <c r="R1952" s="20" t="str">
        <f>IF($B1952="","",IFERROR(IF(INDEX(Config!$D$9:$D$29,MATCH($B1952,Config!$B$9:$B$29,0))="Contrato",IF(INDEX(Config!$E$9:$E$29,MATCH($B1952,Config!$B$9:$B$29,0))="","",INDEX(Config!$E$9:$E$29,MATCH($B1952,Config!$B$9:$B$29,0))),""),""))</f>
        <v/>
      </c>
      <c r="AC1952" s="19" t="str">
        <f>IF($B1952="","",IFERROR(INDEX(Config!$D$9:$D$29,MATCH($B1952,Config!$B$9:$B$29,0))&amp;"",""))</f>
        <v/>
      </c>
    </row>
    <row r="1953">
      <c r="R1953" s="20" t="str">
        <f>IF($B1953="","",IFERROR(IF(INDEX(Config!$D$9:$D$29,MATCH($B1953,Config!$B$9:$B$29,0))="Contrato",IF(INDEX(Config!$E$9:$E$29,MATCH($B1953,Config!$B$9:$B$29,0))="","",INDEX(Config!$E$9:$E$29,MATCH($B1953,Config!$B$9:$B$29,0))),""),""))</f>
        <v/>
      </c>
      <c r="AC1953" s="19" t="str">
        <f>IF($B1953="","",IFERROR(INDEX(Config!$D$9:$D$29,MATCH($B1953,Config!$B$9:$B$29,0))&amp;"",""))</f>
        <v/>
      </c>
    </row>
    <row r="1954">
      <c r="R1954" s="20" t="str">
        <f>IF($B1954="","",IFERROR(IF(INDEX(Config!$D$9:$D$29,MATCH($B1954,Config!$B$9:$B$29,0))="Contrato",IF(INDEX(Config!$E$9:$E$29,MATCH($B1954,Config!$B$9:$B$29,0))="","",INDEX(Config!$E$9:$E$29,MATCH($B1954,Config!$B$9:$B$29,0))),""),""))</f>
        <v/>
      </c>
      <c r="AC1954" s="19" t="str">
        <f>IF($B1954="","",IFERROR(INDEX(Config!$D$9:$D$29,MATCH($B1954,Config!$B$9:$B$29,0))&amp;"",""))</f>
        <v/>
      </c>
    </row>
    <row r="1955">
      <c r="R1955" s="20" t="str">
        <f>IF($B1955="","",IFERROR(IF(INDEX(Config!$D$9:$D$29,MATCH($B1955,Config!$B$9:$B$29,0))="Contrato",IF(INDEX(Config!$E$9:$E$29,MATCH($B1955,Config!$B$9:$B$29,0))="","",INDEX(Config!$E$9:$E$29,MATCH($B1955,Config!$B$9:$B$29,0))),""),""))</f>
        <v/>
      </c>
      <c r="AC1955" s="19" t="str">
        <f>IF($B1955="","",IFERROR(INDEX(Config!$D$9:$D$29,MATCH($B1955,Config!$B$9:$B$29,0))&amp;"",""))</f>
        <v/>
      </c>
    </row>
    <row r="1956">
      <c r="R1956" s="20" t="str">
        <f>IF($B1956="","",IFERROR(IF(INDEX(Config!$D$9:$D$29,MATCH($B1956,Config!$B$9:$B$29,0))="Contrato",IF(INDEX(Config!$E$9:$E$29,MATCH($B1956,Config!$B$9:$B$29,0))="","",INDEX(Config!$E$9:$E$29,MATCH($B1956,Config!$B$9:$B$29,0))),""),""))</f>
        <v/>
      </c>
      <c r="AC1956" s="19" t="str">
        <f>IF($B1956="","",IFERROR(INDEX(Config!$D$9:$D$29,MATCH($B1956,Config!$B$9:$B$29,0))&amp;"",""))</f>
        <v/>
      </c>
    </row>
    <row r="1957">
      <c r="R1957" s="20" t="str">
        <f>IF($B1957="","",IFERROR(IF(INDEX(Config!$D$9:$D$29,MATCH($B1957,Config!$B$9:$B$29,0))="Contrato",IF(INDEX(Config!$E$9:$E$29,MATCH($B1957,Config!$B$9:$B$29,0))="","",INDEX(Config!$E$9:$E$29,MATCH($B1957,Config!$B$9:$B$29,0))),""),""))</f>
        <v/>
      </c>
      <c r="AC1957" s="19" t="str">
        <f>IF($B1957="","",IFERROR(INDEX(Config!$D$9:$D$29,MATCH($B1957,Config!$B$9:$B$29,0))&amp;"",""))</f>
        <v/>
      </c>
    </row>
    <row r="1958">
      <c r="R1958" s="20" t="str">
        <f>IF($B1958="","",IFERROR(IF(INDEX(Config!$D$9:$D$29,MATCH($B1958,Config!$B$9:$B$29,0))="Contrato",IF(INDEX(Config!$E$9:$E$29,MATCH($B1958,Config!$B$9:$B$29,0))="","",INDEX(Config!$E$9:$E$29,MATCH($B1958,Config!$B$9:$B$29,0))),""),""))</f>
        <v/>
      </c>
      <c r="AC1958" s="19" t="str">
        <f>IF($B1958="","",IFERROR(INDEX(Config!$D$9:$D$29,MATCH($B1958,Config!$B$9:$B$29,0))&amp;"",""))</f>
        <v/>
      </c>
    </row>
    <row r="1959">
      <c r="R1959" s="20" t="str">
        <f>IF($B1959="","",IFERROR(IF(INDEX(Config!$D$9:$D$29,MATCH($B1959,Config!$B$9:$B$29,0))="Contrato",IF(INDEX(Config!$E$9:$E$29,MATCH($B1959,Config!$B$9:$B$29,0))="","",INDEX(Config!$E$9:$E$29,MATCH($B1959,Config!$B$9:$B$29,0))),""),""))</f>
        <v/>
      </c>
      <c r="AC1959" s="19" t="str">
        <f>IF($B1959="","",IFERROR(INDEX(Config!$D$9:$D$29,MATCH($B1959,Config!$B$9:$B$29,0))&amp;"",""))</f>
        <v/>
      </c>
    </row>
    <row r="1960">
      <c r="R1960" s="20" t="str">
        <f>IF($B1960="","",IFERROR(IF(INDEX(Config!$D$9:$D$29,MATCH($B1960,Config!$B$9:$B$29,0))="Contrato",IF(INDEX(Config!$E$9:$E$29,MATCH($B1960,Config!$B$9:$B$29,0))="","",INDEX(Config!$E$9:$E$29,MATCH($B1960,Config!$B$9:$B$29,0))),""),""))</f>
        <v/>
      </c>
      <c r="AC1960" s="19" t="str">
        <f>IF($B1960="","",IFERROR(INDEX(Config!$D$9:$D$29,MATCH($B1960,Config!$B$9:$B$29,0))&amp;"",""))</f>
        <v/>
      </c>
    </row>
    <row r="1961">
      <c r="R1961" s="20" t="str">
        <f>IF($B1961="","",IFERROR(IF(INDEX(Config!$D$9:$D$29,MATCH($B1961,Config!$B$9:$B$29,0))="Contrato",IF(INDEX(Config!$E$9:$E$29,MATCH($B1961,Config!$B$9:$B$29,0))="","",INDEX(Config!$E$9:$E$29,MATCH($B1961,Config!$B$9:$B$29,0))),""),""))</f>
        <v/>
      </c>
      <c r="AC1961" s="19" t="str">
        <f>IF($B1961="","",IFERROR(INDEX(Config!$D$9:$D$29,MATCH($B1961,Config!$B$9:$B$29,0))&amp;"",""))</f>
        <v/>
      </c>
    </row>
    <row r="1962">
      <c r="R1962" s="20" t="str">
        <f>IF($B1962="","",IFERROR(IF(INDEX(Config!$D$9:$D$29,MATCH($B1962,Config!$B$9:$B$29,0))="Contrato",IF(INDEX(Config!$E$9:$E$29,MATCH($B1962,Config!$B$9:$B$29,0))="","",INDEX(Config!$E$9:$E$29,MATCH($B1962,Config!$B$9:$B$29,0))),""),""))</f>
        <v/>
      </c>
      <c r="AC1962" s="19" t="str">
        <f>IF($B1962="","",IFERROR(INDEX(Config!$D$9:$D$29,MATCH($B1962,Config!$B$9:$B$29,0))&amp;"",""))</f>
        <v/>
      </c>
    </row>
    <row r="1963">
      <c r="R1963" s="20" t="str">
        <f>IF($B1963="","",IFERROR(IF(INDEX(Config!$D$9:$D$29,MATCH($B1963,Config!$B$9:$B$29,0))="Contrato",IF(INDEX(Config!$E$9:$E$29,MATCH($B1963,Config!$B$9:$B$29,0))="","",INDEX(Config!$E$9:$E$29,MATCH($B1963,Config!$B$9:$B$29,0))),""),""))</f>
        <v/>
      </c>
      <c r="AC1963" s="19" t="str">
        <f>IF($B1963="","",IFERROR(INDEX(Config!$D$9:$D$29,MATCH($B1963,Config!$B$9:$B$29,0))&amp;"",""))</f>
        <v/>
      </c>
    </row>
    <row r="1964">
      <c r="R1964" s="20" t="str">
        <f>IF($B1964="","",IFERROR(IF(INDEX(Config!$D$9:$D$29,MATCH($B1964,Config!$B$9:$B$29,0))="Contrato",IF(INDEX(Config!$E$9:$E$29,MATCH($B1964,Config!$B$9:$B$29,0))="","",INDEX(Config!$E$9:$E$29,MATCH($B1964,Config!$B$9:$B$29,0))),""),""))</f>
        <v/>
      </c>
      <c r="AC1964" s="19" t="str">
        <f>IF($B1964="","",IFERROR(INDEX(Config!$D$9:$D$29,MATCH($B1964,Config!$B$9:$B$29,0))&amp;"",""))</f>
        <v/>
      </c>
    </row>
    <row r="1965">
      <c r="R1965" s="20" t="str">
        <f>IF($B1965="","",IFERROR(IF(INDEX(Config!$D$9:$D$29,MATCH($B1965,Config!$B$9:$B$29,0))="Contrato",IF(INDEX(Config!$E$9:$E$29,MATCH($B1965,Config!$B$9:$B$29,0))="","",INDEX(Config!$E$9:$E$29,MATCH($B1965,Config!$B$9:$B$29,0))),""),""))</f>
        <v/>
      </c>
      <c r="AC1965" s="19" t="str">
        <f>IF($B1965="","",IFERROR(INDEX(Config!$D$9:$D$29,MATCH($B1965,Config!$B$9:$B$29,0))&amp;"",""))</f>
        <v/>
      </c>
    </row>
    <row r="1966">
      <c r="R1966" s="20" t="str">
        <f>IF($B1966="","",IFERROR(IF(INDEX(Config!$D$9:$D$29,MATCH($B1966,Config!$B$9:$B$29,0))="Contrato",IF(INDEX(Config!$E$9:$E$29,MATCH($B1966,Config!$B$9:$B$29,0))="","",INDEX(Config!$E$9:$E$29,MATCH($B1966,Config!$B$9:$B$29,0))),""),""))</f>
        <v/>
      </c>
      <c r="AC1966" s="19" t="str">
        <f>IF($B1966="","",IFERROR(INDEX(Config!$D$9:$D$29,MATCH($B1966,Config!$B$9:$B$29,0))&amp;"",""))</f>
        <v/>
      </c>
    </row>
    <row r="1967">
      <c r="R1967" s="20" t="str">
        <f>IF($B1967="","",IFERROR(IF(INDEX(Config!$D$9:$D$29,MATCH($B1967,Config!$B$9:$B$29,0))="Contrato",IF(INDEX(Config!$E$9:$E$29,MATCH($B1967,Config!$B$9:$B$29,0))="","",INDEX(Config!$E$9:$E$29,MATCH($B1967,Config!$B$9:$B$29,0))),""),""))</f>
        <v/>
      </c>
      <c r="AC1967" s="19" t="str">
        <f>IF($B1967="","",IFERROR(INDEX(Config!$D$9:$D$29,MATCH($B1967,Config!$B$9:$B$29,0))&amp;"",""))</f>
        <v/>
      </c>
    </row>
    <row r="1968">
      <c r="R1968" s="20" t="str">
        <f>IF($B1968="","",IFERROR(IF(INDEX(Config!$D$9:$D$29,MATCH($B1968,Config!$B$9:$B$29,0))="Contrato",IF(INDEX(Config!$E$9:$E$29,MATCH($B1968,Config!$B$9:$B$29,0))="","",INDEX(Config!$E$9:$E$29,MATCH($B1968,Config!$B$9:$B$29,0))),""),""))</f>
        <v/>
      </c>
      <c r="AC1968" s="19" t="str">
        <f>IF($B1968="","",IFERROR(INDEX(Config!$D$9:$D$29,MATCH($B1968,Config!$B$9:$B$29,0))&amp;"",""))</f>
        <v/>
      </c>
    </row>
    <row r="1969">
      <c r="R1969" s="20" t="str">
        <f>IF($B1969="","",IFERROR(IF(INDEX(Config!$D$9:$D$29,MATCH($B1969,Config!$B$9:$B$29,0))="Contrato",IF(INDEX(Config!$E$9:$E$29,MATCH($B1969,Config!$B$9:$B$29,0))="","",INDEX(Config!$E$9:$E$29,MATCH($B1969,Config!$B$9:$B$29,0))),""),""))</f>
        <v/>
      </c>
      <c r="AC1969" s="19" t="str">
        <f>IF($B1969="","",IFERROR(INDEX(Config!$D$9:$D$29,MATCH($B1969,Config!$B$9:$B$29,0))&amp;"",""))</f>
        <v/>
      </c>
    </row>
    <row r="1970">
      <c r="R1970" s="20" t="str">
        <f>IF($B1970="","",IFERROR(IF(INDEX(Config!$D$9:$D$29,MATCH($B1970,Config!$B$9:$B$29,0))="Contrato",IF(INDEX(Config!$E$9:$E$29,MATCH($B1970,Config!$B$9:$B$29,0))="","",INDEX(Config!$E$9:$E$29,MATCH($B1970,Config!$B$9:$B$29,0))),""),""))</f>
        <v/>
      </c>
      <c r="AC1970" s="19" t="str">
        <f>IF($B1970="","",IFERROR(INDEX(Config!$D$9:$D$29,MATCH($B1970,Config!$B$9:$B$29,0))&amp;"",""))</f>
        <v/>
      </c>
    </row>
    <row r="1971">
      <c r="R1971" s="20" t="str">
        <f>IF($B1971="","",IFERROR(IF(INDEX(Config!$D$9:$D$29,MATCH($B1971,Config!$B$9:$B$29,0))="Contrato",IF(INDEX(Config!$E$9:$E$29,MATCH($B1971,Config!$B$9:$B$29,0))="","",INDEX(Config!$E$9:$E$29,MATCH($B1971,Config!$B$9:$B$29,0))),""),""))</f>
        <v/>
      </c>
      <c r="AC1971" s="19" t="str">
        <f>IF($B1971="","",IFERROR(INDEX(Config!$D$9:$D$29,MATCH($B1971,Config!$B$9:$B$29,0))&amp;"",""))</f>
        <v/>
      </c>
    </row>
    <row r="1972">
      <c r="R1972" s="20" t="str">
        <f>IF($B1972="","",IFERROR(IF(INDEX(Config!$D$9:$D$29,MATCH($B1972,Config!$B$9:$B$29,0))="Contrato",IF(INDEX(Config!$E$9:$E$29,MATCH($B1972,Config!$B$9:$B$29,0))="","",INDEX(Config!$E$9:$E$29,MATCH($B1972,Config!$B$9:$B$29,0))),""),""))</f>
        <v/>
      </c>
      <c r="AC1972" s="19" t="str">
        <f>IF($B1972="","",IFERROR(INDEX(Config!$D$9:$D$29,MATCH($B1972,Config!$B$9:$B$29,0))&amp;"",""))</f>
        <v/>
      </c>
    </row>
    <row r="1973">
      <c r="R1973" s="20" t="str">
        <f>IF($B1973="","",IFERROR(IF(INDEX(Config!$D$9:$D$29,MATCH($B1973,Config!$B$9:$B$29,0))="Contrato",IF(INDEX(Config!$E$9:$E$29,MATCH($B1973,Config!$B$9:$B$29,0))="","",INDEX(Config!$E$9:$E$29,MATCH($B1973,Config!$B$9:$B$29,0))),""),""))</f>
        <v/>
      </c>
      <c r="AC1973" s="19" t="str">
        <f>IF($B1973="","",IFERROR(INDEX(Config!$D$9:$D$29,MATCH($B1973,Config!$B$9:$B$29,0))&amp;"",""))</f>
        <v/>
      </c>
    </row>
    <row r="1974">
      <c r="R1974" s="20" t="str">
        <f>IF($B1974="","",IFERROR(IF(INDEX(Config!$D$9:$D$29,MATCH($B1974,Config!$B$9:$B$29,0))="Contrato",IF(INDEX(Config!$E$9:$E$29,MATCH($B1974,Config!$B$9:$B$29,0))="","",INDEX(Config!$E$9:$E$29,MATCH($B1974,Config!$B$9:$B$29,0))),""),""))</f>
        <v/>
      </c>
      <c r="AC1974" s="19" t="str">
        <f>IF($B1974="","",IFERROR(INDEX(Config!$D$9:$D$29,MATCH($B1974,Config!$B$9:$B$29,0))&amp;"",""))</f>
        <v/>
      </c>
    </row>
    <row r="1975">
      <c r="R1975" s="20" t="str">
        <f>IF($B1975="","",IFERROR(IF(INDEX(Config!$D$9:$D$29,MATCH($B1975,Config!$B$9:$B$29,0))="Contrato",IF(INDEX(Config!$E$9:$E$29,MATCH($B1975,Config!$B$9:$B$29,0))="","",INDEX(Config!$E$9:$E$29,MATCH($B1975,Config!$B$9:$B$29,0))),""),""))</f>
        <v/>
      </c>
      <c r="AC1975" s="19" t="str">
        <f>IF($B1975="","",IFERROR(INDEX(Config!$D$9:$D$29,MATCH($B1975,Config!$B$9:$B$29,0))&amp;"",""))</f>
        <v/>
      </c>
    </row>
    <row r="1976">
      <c r="R1976" s="20" t="str">
        <f>IF($B1976="","",IFERROR(IF(INDEX(Config!$D$9:$D$29,MATCH($B1976,Config!$B$9:$B$29,0))="Contrato",IF(INDEX(Config!$E$9:$E$29,MATCH($B1976,Config!$B$9:$B$29,0))="","",INDEX(Config!$E$9:$E$29,MATCH($B1976,Config!$B$9:$B$29,0))),""),""))</f>
        <v/>
      </c>
      <c r="AC1976" s="19" t="str">
        <f>IF($B1976="","",IFERROR(INDEX(Config!$D$9:$D$29,MATCH($B1976,Config!$B$9:$B$29,0))&amp;"",""))</f>
        <v/>
      </c>
    </row>
    <row r="1977">
      <c r="R1977" s="20" t="str">
        <f>IF($B1977="","",IFERROR(IF(INDEX(Config!$D$9:$D$29,MATCH($B1977,Config!$B$9:$B$29,0))="Contrato",IF(INDEX(Config!$E$9:$E$29,MATCH($B1977,Config!$B$9:$B$29,0))="","",INDEX(Config!$E$9:$E$29,MATCH($B1977,Config!$B$9:$B$29,0))),""),""))</f>
        <v/>
      </c>
      <c r="AC1977" s="19" t="str">
        <f>IF($B1977="","",IFERROR(INDEX(Config!$D$9:$D$29,MATCH($B1977,Config!$B$9:$B$29,0))&amp;"",""))</f>
        <v/>
      </c>
    </row>
    <row r="1978">
      <c r="R1978" s="20" t="str">
        <f>IF($B1978="","",IFERROR(IF(INDEX(Config!$D$9:$D$29,MATCH($B1978,Config!$B$9:$B$29,0))="Contrato",IF(INDEX(Config!$E$9:$E$29,MATCH($B1978,Config!$B$9:$B$29,0))="","",INDEX(Config!$E$9:$E$29,MATCH($B1978,Config!$B$9:$B$29,0))),""),""))</f>
        <v/>
      </c>
      <c r="AC1978" s="19" t="str">
        <f>IF($B1978="","",IFERROR(INDEX(Config!$D$9:$D$29,MATCH($B1978,Config!$B$9:$B$29,0))&amp;"",""))</f>
        <v/>
      </c>
    </row>
    <row r="1979">
      <c r="R1979" s="20" t="str">
        <f>IF($B1979="","",IFERROR(IF(INDEX(Config!$D$9:$D$29,MATCH($B1979,Config!$B$9:$B$29,0))="Contrato",IF(INDEX(Config!$E$9:$E$29,MATCH($B1979,Config!$B$9:$B$29,0))="","",INDEX(Config!$E$9:$E$29,MATCH($B1979,Config!$B$9:$B$29,0))),""),""))</f>
        <v/>
      </c>
      <c r="AC1979" s="19" t="str">
        <f>IF($B1979="","",IFERROR(INDEX(Config!$D$9:$D$29,MATCH($B1979,Config!$B$9:$B$29,0))&amp;"",""))</f>
        <v/>
      </c>
    </row>
    <row r="1980">
      <c r="R1980" s="20" t="str">
        <f>IF($B1980="","",IFERROR(IF(INDEX(Config!$D$9:$D$29,MATCH($B1980,Config!$B$9:$B$29,0))="Contrato",IF(INDEX(Config!$E$9:$E$29,MATCH($B1980,Config!$B$9:$B$29,0))="","",INDEX(Config!$E$9:$E$29,MATCH($B1980,Config!$B$9:$B$29,0))),""),""))</f>
        <v/>
      </c>
      <c r="AC1980" s="19" t="str">
        <f>IF($B1980="","",IFERROR(INDEX(Config!$D$9:$D$29,MATCH($B1980,Config!$B$9:$B$29,0))&amp;"",""))</f>
        <v/>
      </c>
    </row>
    <row r="1981">
      <c r="R1981" s="20" t="str">
        <f>IF($B1981="","",IFERROR(IF(INDEX(Config!$D$9:$D$29,MATCH($B1981,Config!$B$9:$B$29,0))="Contrato",IF(INDEX(Config!$E$9:$E$29,MATCH($B1981,Config!$B$9:$B$29,0))="","",INDEX(Config!$E$9:$E$29,MATCH($B1981,Config!$B$9:$B$29,0))),""),""))</f>
        <v/>
      </c>
      <c r="AC1981" s="19" t="str">
        <f>IF($B1981="","",IFERROR(INDEX(Config!$D$9:$D$29,MATCH($B1981,Config!$B$9:$B$29,0))&amp;"",""))</f>
        <v/>
      </c>
    </row>
    <row r="1982">
      <c r="R1982" s="20" t="str">
        <f>IF($B1982="","",IFERROR(IF(INDEX(Config!$D$9:$D$29,MATCH($B1982,Config!$B$9:$B$29,0))="Contrato",IF(INDEX(Config!$E$9:$E$29,MATCH($B1982,Config!$B$9:$B$29,0))="","",INDEX(Config!$E$9:$E$29,MATCH($B1982,Config!$B$9:$B$29,0))),""),""))</f>
        <v/>
      </c>
      <c r="AC1982" s="19" t="str">
        <f>IF($B1982="","",IFERROR(INDEX(Config!$D$9:$D$29,MATCH($B1982,Config!$B$9:$B$29,0))&amp;"",""))</f>
        <v/>
      </c>
    </row>
    <row r="1983">
      <c r="R1983" s="20" t="str">
        <f>IF($B1983="","",IFERROR(IF(INDEX(Config!$D$9:$D$29,MATCH($B1983,Config!$B$9:$B$29,0))="Contrato",IF(INDEX(Config!$E$9:$E$29,MATCH($B1983,Config!$B$9:$B$29,0))="","",INDEX(Config!$E$9:$E$29,MATCH($B1983,Config!$B$9:$B$29,0))),""),""))</f>
        <v/>
      </c>
      <c r="AC1983" s="19" t="str">
        <f>IF($B1983="","",IFERROR(INDEX(Config!$D$9:$D$29,MATCH($B1983,Config!$B$9:$B$29,0))&amp;"",""))</f>
        <v/>
      </c>
    </row>
    <row r="1984">
      <c r="R1984" s="20" t="str">
        <f>IF($B1984="","",IFERROR(IF(INDEX(Config!$D$9:$D$29,MATCH($B1984,Config!$B$9:$B$29,0))="Contrato",IF(INDEX(Config!$E$9:$E$29,MATCH($B1984,Config!$B$9:$B$29,0))="","",INDEX(Config!$E$9:$E$29,MATCH($B1984,Config!$B$9:$B$29,0))),""),""))</f>
        <v/>
      </c>
      <c r="AC1984" s="19" t="str">
        <f>IF($B1984="","",IFERROR(INDEX(Config!$D$9:$D$29,MATCH($B1984,Config!$B$9:$B$29,0))&amp;"",""))</f>
        <v/>
      </c>
    </row>
    <row r="1985">
      <c r="R1985" s="20" t="str">
        <f>IF($B1985="","",IFERROR(IF(INDEX(Config!$D$9:$D$29,MATCH($B1985,Config!$B$9:$B$29,0))="Contrato",IF(INDEX(Config!$E$9:$E$29,MATCH($B1985,Config!$B$9:$B$29,0))="","",INDEX(Config!$E$9:$E$29,MATCH($B1985,Config!$B$9:$B$29,0))),""),""))</f>
        <v/>
      </c>
      <c r="AC1985" s="19" t="str">
        <f>IF($B1985="","",IFERROR(INDEX(Config!$D$9:$D$29,MATCH($B1985,Config!$B$9:$B$29,0))&amp;"",""))</f>
        <v/>
      </c>
    </row>
    <row r="1986">
      <c r="R1986" s="20" t="str">
        <f>IF($B1986="","",IFERROR(IF(INDEX(Config!$D$9:$D$29,MATCH($B1986,Config!$B$9:$B$29,0))="Contrato",IF(INDEX(Config!$E$9:$E$29,MATCH($B1986,Config!$B$9:$B$29,0))="","",INDEX(Config!$E$9:$E$29,MATCH($B1986,Config!$B$9:$B$29,0))),""),""))</f>
        <v/>
      </c>
      <c r="AC1986" s="19" t="str">
        <f>IF($B1986="","",IFERROR(INDEX(Config!$D$9:$D$29,MATCH($B1986,Config!$B$9:$B$29,0))&amp;"",""))</f>
        <v/>
      </c>
    </row>
    <row r="1987">
      <c r="R1987" s="20" t="str">
        <f>IF($B1987="","",IFERROR(IF(INDEX(Config!$D$9:$D$29,MATCH($B1987,Config!$B$9:$B$29,0))="Contrato",IF(INDEX(Config!$E$9:$E$29,MATCH($B1987,Config!$B$9:$B$29,0))="","",INDEX(Config!$E$9:$E$29,MATCH($B1987,Config!$B$9:$B$29,0))),""),""))</f>
        <v/>
      </c>
      <c r="AC1987" s="19" t="str">
        <f>IF($B1987="","",IFERROR(INDEX(Config!$D$9:$D$29,MATCH($B1987,Config!$B$9:$B$29,0))&amp;"",""))</f>
        <v/>
      </c>
    </row>
    <row r="1988">
      <c r="R1988" s="20" t="str">
        <f>IF($B1988="","",IFERROR(IF(INDEX(Config!$D$9:$D$29,MATCH($B1988,Config!$B$9:$B$29,0))="Contrato",IF(INDEX(Config!$E$9:$E$29,MATCH($B1988,Config!$B$9:$B$29,0))="","",INDEX(Config!$E$9:$E$29,MATCH($B1988,Config!$B$9:$B$29,0))),""),""))</f>
        <v/>
      </c>
      <c r="AC1988" s="19" t="str">
        <f>IF($B1988="","",IFERROR(INDEX(Config!$D$9:$D$29,MATCH($B1988,Config!$B$9:$B$29,0))&amp;"",""))</f>
        <v/>
      </c>
    </row>
    <row r="1989">
      <c r="R1989" s="20" t="str">
        <f>IF($B1989="","",IFERROR(IF(INDEX(Config!$D$9:$D$29,MATCH($B1989,Config!$B$9:$B$29,0))="Contrato",IF(INDEX(Config!$E$9:$E$29,MATCH($B1989,Config!$B$9:$B$29,0))="","",INDEX(Config!$E$9:$E$29,MATCH($B1989,Config!$B$9:$B$29,0))),""),""))</f>
        <v/>
      </c>
      <c r="AC1989" s="19" t="str">
        <f>IF($B1989="","",IFERROR(INDEX(Config!$D$9:$D$29,MATCH($B1989,Config!$B$9:$B$29,0))&amp;"",""))</f>
        <v/>
      </c>
    </row>
    <row r="1990">
      <c r="R1990" s="20" t="str">
        <f>IF($B1990="","",IFERROR(IF(INDEX(Config!$D$9:$D$29,MATCH($B1990,Config!$B$9:$B$29,0))="Contrato",IF(INDEX(Config!$E$9:$E$29,MATCH($B1990,Config!$B$9:$B$29,0))="","",INDEX(Config!$E$9:$E$29,MATCH($B1990,Config!$B$9:$B$29,0))),""),""))</f>
        <v/>
      </c>
      <c r="AC1990" s="19" t="str">
        <f>IF($B1990="","",IFERROR(INDEX(Config!$D$9:$D$29,MATCH($B1990,Config!$B$9:$B$29,0))&amp;"",""))</f>
        <v/>
      </c>
    </row>
    <row r="1991">
      <c r="R1991" s="20" t="str">
        <f>IF($B1991="","",IFERROR(IF(INDEX(Config!$D$9:$D$29,MATCH($B1991,Config!$B$9:$B$29,0))="Contrato",IF(INDEX(Config!$E$9:$E$29,MATCH($B1991,Config!$B$9:$B$29,0))="","",INDEX(Config!$E$9:$E$29,MATCH($B1991,Config!$B$9:$B$29,0))),""),""))</f>
        <v/>
      </c>
      <c r="AC1991" s="19" t="str">
        <f>IF($B1991="","",IFERROR(INDEX(Config!$D$9:$D$29,MATCH($B1991,Config!$B$9:$B$29,0))&amp;"",""))</f>
        <v/>
      </c>
    </row>
    <row r="1992">
      <c r="R1992" s="20" t="str">
        <f>IF($B1992="","",IFERROR(IF(INDEX(Config!$D$9:$D$29,MATCH($B1992,Config!$B$9:$B$29,0))="Contrato",IF(INDEX(Config!$E$9:$E$29,MATCH($B1992,Config!$B$9:$B$29,0))="","",INDEX(Config!$E$9:$E$29,MATCH($B1992,Config!$B$9:$B$29,0))),""),""))</f>
        <v/>
      </c>
      <c r="AC1992" s="19" t="str">
        <f>IF($B1992="","",IFERROR(INDEX(Config!$D$9:$D$29,MATCH($B1992,Config!$B$9:$B$29,0))&amp;"",""))</f>
        <v/>
      </c>
    </row>
    <row r="1993">
      <c r="R1993" s="20" t="str">
        <f>IF($B1993="","",IFERROR(IF(INDEX(Config!$D$9:$D$29,MATCH($B1993,Config!$B$9:$B$29,0))="Contrato",IF(INDEX(Config!$E$9:$E$29,MATCH($B1993,Config!$B$9:$B$29,0))="","",INDEX(Config!$E$9:$E$29,MATCH($B1993,Config!$B$9:$B$29,0))),""),""))</f>
        <v/>
      </c>
      <c r="AC1993" s="19" t="str">
        <f>IF($B1993="","",IFERROR(INDEX(Config!$D$9:$D$29,MATCH($B1993,Config!$B$9:$B$29,0))&amp;"",""))</f>
        <v/>
      </c>
    </row>
    <row r="1994">
      <c r="R1994" s="20" t="str">
        <f>IF($B1994="","",IFERROR(IF(INDEX(Config!$D$9:$D$29,MATCH($B1994,Config!$B$9:$B$29,0))="Contrato",IF(INDEX(Config!$E$9:$E$29,MATCH($B1994,Config!$B$9:$B$29,0))="","",INDEX(Config!$E$9:$E$29,MATCH($B1994,Config!$B$9:$B$29,0))),""),""))</f>
        <v/>
      </c>
      <c r="AC1994" s="19" t="str">
        <f>IF($B1994="","",IFERROR(INDEX(Config!$D$9:$D$29,MATCH($B1994,Config!$B$9:$B$29,0))&amp;"",""))</f>
        <v/>
      </c>
    </row>
    <row r="1995">
      <c r="R1995" s="20" t="str">
        <f>IF($B1995="","",IFERROR(IF(INDEX(Config!$D$9:$D$29,MATCH($B1995,Config!$B$9:$B$29,0))="Contrato",IF(INDEX(Config!$E$9:$E$29,MATCH($B1995,Config!$B$9:$B$29,0))="","",INDEX(Config!$E$9:$E$29,MATCH($B1995,Config!$B$9:$B$29,0))),""),""))</f>
        <v/>
      </c>
      <c r="AC1995" s="19" t="str">
        <f>IF($B1995="","",IFERROR(INDEX(Config!$D$9:$D$29,MATCH($B1995,Config!$B$9:$B$29,0))&amp;"",""))</f>
        <v/>
      </c>
    </row>
    <row r="1996">
      <c r="R1996" s="20" t="str">
        <f>IF($B1996="","",IFERROR(IF(INDEX(Config!$D$9:$D$29,MATCH($B1996,Config!$B$9:$B$29,0))="Contrato",IF(INDEX(Config!$E$9:$E$29,MATCH($B1996,Config!$B$9:$B$29,0))="","",INDEX(Config!$E$9:$E$29,MATCH($B1996,Config!$B$9:$B$29,0))),""),""))</f>
        <v/>
      </c>
      <c r="AC1996" s="19" t="str">
        <f>IF($B1996="","",IFERROR(INDEX(Config!$D$9:$D$29,MATCH($B1996,Config!$B$9:$B$29,0))&amp;"",""))</f>
        <v/>
      </c>
    </row>
    <row r="1997">
      <c r="R1997" s="20" t="str">
        <f>IF($B1997="","",IFERROR(IF(INDEX(Config!$D$9:$D$29,MATCH($B1997,Config!$B$9:$B$29,0))="Contrato",IF(INDEX(Config!$E$9:$E$29,MATCH($B1997,Config!$B$9:$B$29,0))="","",INDEX(Config!$E$9:$E$29,MATCH($B1997,Config!$B$9:$B$29,0))),""),""))</f>
        <v/>
      </c>
      <c r="AC1997" s="19" t="str">
        <f>IF($B1997="","",IFERROR(INDEX(Config!$D$9:$D$29,MATCH($B1997,Config!$B$9:$B$29,0))&amp;"",""))</f>
        <v/>
      </c>
    </row>
    <row r="1998">
      <c r="R1998" s="20" t="str">
        <f>IF($B1998="","",IFERROR(IF(INDEX(Config!$D$9:$D$29,MATCH($B1998,Config!$B$9:$B$29,0))="Contrato",IF(INDEX(Config!$E$9:$E$29,MATCH($B1998,Config!$B$9:$B$29,0))="","",INDEX(Config!$E$9:$E$29,MATCH($B1998,Config!$B$9:$B$29,0))),""),""))</f>
        <v/>
      </c>
      <c r="AC1998" s="19" t="str">
        <f>IF($B1998="","",IFERROR(INDEX(Config!$D$9:$D$29,MATCH($B1998,Config!$B$9:$B$29,0))&amp;"",""))</f>
        <v/>
      </c>
    </row>
    <row r="1999">
      <c r="R1999" s="20" t="str">
        <f>IF($B1999="","",IFERROR(IF(INDEX(Config!$D$9:$D$29,MATCH($B1999,Config!$B$9:$B$29,0))="Contrato",IF(INDEX(Config!$E$9:$E$29,MATCH($B1999,Config!$B$9:$B$29,0))="","",INDEX(Config!$E$9:$E$29,MATCH($B1999,Config!$B$9:$B$29,0))),""),""))</f>
        <v/>
      </c>
      <c r="AC1999" s="19" t="str">
        <f>IF($B1999="","",IFERROR(INDEX(Config!$D$9:$D$29,MATCH($B1999,Config!$B$9:$B$29,0))&amp;"",""))</f>
        <v/>
      </c>
    </row>
    <row r="2000">
      <c r="R2000" s="20" t="str">
        <f>IF($B2000="","",IFERROR(IF(INDEX(Config!$D$9:$D$29,MATCH($B2000,Config!$B$9:$B$29,0))="Contrato",IF(INDEX(Config!$E$9:$E$29,MATCH($B2000,Config!$B$9:$B$29,0))="","",INDEX(Config!$E$9:$E$29,MATCH($B2000,Config!$B$9:$B$29,0))),""),""))</f>
        <v/>
      </c>
      <c r="AC2000" s="19" t="str">
        <f>IF($B2000="","",IFERROR(INDEX(Config!$D$9:$D$29,MATCH($B2000,Config!$B$9:$B$29,0))&amp;"",""))</f>
        <v/>
      </c>
    </row>
    <row r="2001">
      <c r="R2001" s="20" t="str">
        <f>IF($B2001="","",IFERROR(IF(INDEX(Config!$D$9:$D$29,MATCH($B2001,Config!$B$9:$B$29,0))="Contrato",IF(INDEX(Config!$E$9:$E$29,MATCH($B2001,Config!$B$9:$B$29,0))="","",INDEX(Config!$E$9:$E$29,MATCH($B2001,Config!$B$9:$B$29,0))),""),""))</f>
        <v/>
      </c>
      <c r="AC2001" s="19" t="str">
        <f>IF($B2001="","",IFERROR(INDEX(Config!$D$9:$D$29,MATCH($B2001,Config!$B$9:$B$29,0))&amp;"",""))</f>
        <v/>
      </c>
    </row>
    <row r="2002">
      <c r="R2002" s="20" t="str">
        <f>IF($B2002="","",IFERROR(IF(INDEX(Config!$D$9:$D$29,MATCH($B2002,Config!$B$9:$B$29,0))="Contrato",IF(INDEX(Config!$E$9:$E$29,MATCH($B2002,Config!$B$9:$B$29,0))="","",INDEX(Config!$E$9:$E$29,MATCH($B2002,Config!$B$9:$B$29,0))),""),""))</f>
        <v/>
      </c>
      <c r="AC2002" s="19" t="str">
        <f>IF($B2002="","",IFERROR(INDEX(Config!$D$9:$D$29,MATCH($B2002,Config!$B$9:$B$29,0))&amp;"",""))</f>
        <v/>
      </c>
    </row>
    <row r="2003">
      <c r="R2003" s="20" t="str">
        <f>IF($B2003="","",IFERROR(IF(INDEX(Config!$D$9:$D$29,MATCH($B2003,Config!$B$9:$B$29,0))="Contrato",IF(INDEX(Config!$E$9:$E$29,MATCH($B2003,Config!$B$9:$B$29,0))="","",INDEX(Config!$E$9:$E$29,MATCH($B2003,Config!$B$9:$B$29,0))),""),""))</f>
        <v/>
      </c>
      <c r="AC2003" s="19" t="str">
        <f>IF($B2003="","",IFERROR(INDEX(Config!$D$9:$D$29,MATCH($B2003,Config!$B$9:$B$29,0))&amp;"",""))</f>
        <v/>
      </c>
    </row>
    <row r="2004">
      <c r="R2004" s="20" t="str">
        <f>IF($B2004="","",IFERROR(IF(INDEX(Config!$D$9:$D$29,MATCH($B2004,Config!$B$9:$B$29,0))="Contrato",IF(INDEX(Config!$E$9:$E$29,MATCH($B2004,Config!$B$9:$B$29,0))="","",INDEX(Config!$E$9:$E$29,MATCH($B2004,Config!$B$9:$B$29,0))),""),""))</f>
        <v/>
      </c>
      <c r="AC2004" s="19" t="str">
        <f>IF($B2004="","",IFERROR(INDEX(Config!$D$9:$D$29,MATCH($B2004,Config!$B$9:$B$29,0))&amp;"",""))</f>
        <v/>
      </c>
    </row>
    <row r="2005">
      <c r="R2005" s="20" t="str">
        <f>IF($B2005="","",IFERROR(IF(INDEX(Config!$D$9:$D$29,MATCH($B2005,Config!$B$9:$B$29,0))="Contrato",IF(INDEX(Config!$E$9:$E$29,MATCH($B2005,Config!$B$9:$B$29,0))="","",INDEX(Config!$E$9:$E$29,MATCH($B2005,Config!$B$9:$B$29,0))),""),""))</f>
        <v/>
      </c>
      <c r="AC2005" s="19" t="str">
        <f>IF($B2005="","",IFERROR(INDEX(Config!$D$9:$D$29,MATCH($B2005,Config!$B$9:$B$29,0))&amp;"",""))</f>
        <v/>
      </c>
    </row>
    <row r="2006">
      <c r="R2006" s="20" t="str">
        <f>IF($B2006="","",IFERROR(IF(INDEX(Config!$D$9:$D$29,MATCH($B2006,Config!$B$9:$B$29,0))="Contrato",IF(INDEX(Config!$E$9:$E$29,MATCH($B2006,Config!$B$9:$B$29,0))="","",INDEX(Config!$E$9:$E$29,MATCH($B2006,Config!$B$9:$B$29,0))),""),""))</f>
        <v/>
      </c>
      <c r="AC2006" s="19" t="str">
        <f>IF($B2006="","",IFERROR(INDEX(Config!$D$9:$D$29,MATCH($B2006,Config!$B$9:$B$29,0))&amp;"",""))</f>
        <v/>
      </c>
    </row>
    <row r="2007">
      <c r="R2007" s="20" t="str">
        <f>IF($B2007="","",IFERROR(IF(INDEX(Config!$D$9:$D$29,MATCH($B2007,Config!$B$9:$B$29,0))="Contrato",IF(INDEX(Config!$E$9:$E$29,MATCH($B2007,Config!$B$9:$B$29,0))="","",INDEX(Config!$E$9:$E$29,MATCH($B2007,Config!$B$9:$B$29,0))),""),""))</f>
        <v/>
      </c>
      <c r="AC2007" s="19" t="str">
        <f>IF($B2007="","",IFERROR(INDEX(Config!$D$9:$D$29,MATCH($B2007,Config!$B$9:$B$29,0))&amp;"",""))</f>
        <v/>
      </c>
    </row>
    <row r="2008">
      <c r="R2008" s="20" t="str">
        <f>IF($B2008="","",IFERROR(IF(INDEX(Config!$D$9:$D$29,MATCH($B2008,Config!$B$9:$B$29,0))="Contrato",IF(INDEX(Config!$E$9:$E$29,MATCH($B2008,Config!$B$9:$B$29,0))="","",INDEX(Config!$E$9:$E$29,MATCH($B2008,Config!$B$9:$B$29,0))),""),""))</f>
        <v/>
      </c>
      <c r="AC2008" s="19" t="str">
        <f>IF($B2008="","",IFERROR(INDEX(Config!$D$9:$D$29,MATCH($B2008,Config!$B$9:$B$29,0))&amp;"",""))</f>
        <v/>
      </c>
    </row>
    <row r="2009">
      <c r="R2009" s="20" t="str">
        <f>IF($B2009="","",IFERROR(IF(INDEX(Config!$D$9:$D$29,MATCH($B2009,Config!$B$9:$B$29,0))="Contrato",IF(INDEX(Config!$E$9:$E$29,MATCH($B2009,Config!$B$9:$B$29,0))="","",INDEX(Config!$E$9:$E$29,MATCH($B2009,Config!$B$9:$B$29,0))),""),""))</f>
        <v/>
      </c>
      <c r="AC2009" s="19" t="str">
        <f>IF($B2009="","",IFERROR(INDEX(Config!$D$9:$D$29,MATCH($B2009,Config!$B$9:$B$29,0))&amp;"",""))</f>
        <v/>
      </c>
    </row>
    <row r="2010">
      <c r="R2010" s="20" t="str">
        <f>IF($B2010="","",IFERROR(IF(INDEX(Config!$D$9:$D$29,MATCH($B2010,Config!$B$9:$B$29,0))="Contrato",IF(INDEX(Config!$E$9:$E$29,MATCH($B2010,Config!$B$9:$B$29,0))="","",INDEX(Config!$E$9:$E$29,MATCH($B2010,Config!$B$9:$B$29,0))),""),""))</f>
        <v/>
      </c>
      <c r="AC2010" s="19" t="str">
        <f>IF($B2010="","",IFERROR(INDEX(Config!$D$9:$D$29,MATCH($B2010,Config!$B$9:$B$29,0))&amp;"",""))</f>
        <v/>
      </c>
    </row>
    <row r="2011">
      <c r="R2011" s="20" t="str">
        <f>IF($B2011="","",IFERROR(IF(INDEX(Config!$D$9:$D$29,MATCH($B2011,Config!$B$9:$B$29,0))="Contrato",IF(INDEX(Config!$E$9:$E$29,MATCH($B2011,Config!$B$9:$B$29,0))="","",INDEX(Config!$E$9:$E$29,MATCH($B2011,Config!$B$9:$B$29,0))),""),""))</f>
        <v/>
      </c>
      <c r="AC2011" s="19" t="str">
        <f>IF($B2011="","",IFERROR(INDEX(Config!$D$9:$D$29,MATCH($B2011,Config!$B$9:$B$29,0))&amp;"",""))</f>
        <v/>
      </c>
    </row>
    <row r="2012">
      <c r="R2012" s="20" t="str">
        <f>IF($B2012="","",IFERROR(IF(INDEX(Config!$D$9:$D$29,MATCH($B2012,Config!$B$9:$B$29,0))="Contrato",IF(INDEX(Config!$E$9:$E$29,MATCH($B2012,Config!$B$9:$B$29,0))="","",INDEX(Config!$E$9:$E$29,MATCH($B2012,Config!$B$9:$B$29,0))),""),""))</f>
        <v/>
      </c>
      <c r="AC2012" s="19" t="str">
        <f>IF($B2012="","",IFERROR(INDEX(Config!$D$9:$D$29,MATCH($B2012,Config!$B$9:$B$29,0))&amp;"",""))</f>
        <v/>
      </c>
    </row>
    <row r="2013">
      <c r="R2013" s="20" t="str">
        <f>IF($B2013="","",IFERROR(IF(INDEX(Config!$D$9:$D$29,MATCH($B2013,Config!$B$9:$B$29,0))="Contrato",IF(INDEX(Config!$E$9:$E$29,MATCH($B2013,Config!$B$9:$B$29,0))="","",INDEX(Config!$E$9:$E$29,MATCH($B2013,Config!$B$9:$B$29,0))),""),""))</f>
        <v/>
      </c>
      <c r="AC2013" s="19" t="str">
        <f>IF($B2013="","",IFERROR(INDEX(Config!$D$9:$D$29,MATCH($B2013,Config!$B$9:$B$29,0))&amp;"",""))</f>
        <v/>
      </c>
    </row>
    <row r="2014">
      <c r="R2014" s="20" t="str">
        <f>IF($B2014="","",IFERROR(IF(INDEX(Config!$D$9:$D$29,MATCH($B2014,Config!$B$9:$B$29,0))="Contrato",IF(INDEX(Config!$E$9:$E$29,MATCH($B2014,Config!$B$9:$B$29,0))="","",INDEX(Config!$E$9:$E$29,MATCH($B2014,Config!$B$9:$B$29,0))),""),""))</f>
        <v/>
      </c>
      <c r="AC2014" s="19" t="str">
        <f>IF($B2014="","",IFERROR(INDEX(Config!$D$9:$D$29,MATCH($B2014,Config!$B$9:$B$29,0))&amp;"",""))</f>
        <v/>
      </c>
    </row>
    <row r="2015">
      <c r="R2015" s="20" t="str">
        <f>IF($B2015="","",IFERROR(IF(INDEX(Config!$D$9:$D$29,MATCH($B2015,Config!$B$9:$B$29,0))="Contrato",IF(INDEX(Config!$E$9:$E$29,MATCH($B2015,Config!$B$9:$B$29,0))="","",INDEX(Config!$E$9:$E$29,MATCH($B2015,Config!$B$9:$B$29,0))),""),""))</f>
        <v/>
      </c>
      <c r="AC2015" s="19" t="str">
        <f>IF($B2015="","",IFERROR(INDEX(Config!$D$9:$D$29,MATCH($B2015,Config!$B$9:$B$29,0))&amp;"",""))</f>
        <v/>
      </c>
    </row>
    <row r="2016">
      <c r="R2016" s="20" t="str">
        <f>IF($B2016="","",IFERROR(IF(INDEX(Config!$D$9:$D$29,MATCH($B2016,Config!$B$9:$B$29,0))="Contrato",IF(INDEX(Config!$E$9:$E$29,MATCH($B2016,Config!$B$9:$B$29,0))="","",INDEX(Config!$E$9:$E$29,MATCH($B2016,Config!$B$9:$B$29,0))),""),""))</f>
        <v/>
      </c>
      <c r="AC2016" s="19" t="str">
        <f>IF($B2016="","",IFERROR(INDEX(Config!$D$9:$D$29,MATCH($B2016,Config!$B$9:$B$29,0))&amp;"",""))</f>
        <v/>
      </c>
    </row>
    <row r="2017">
      <c r="R2017" s="20" t="str">
        <f>IF($B2017="","",IFERROR(IF(INDEX(Config!$D$9:$D$29,MATCH($B2017,Config!$B$9:$B$29,0))="Contrato",IF(INDEX(Config!$E$9:$E$29,MATCH($B2017,Config!$B$9:$B$29,0))="","",INDEX(Config!$E$9:$E$29,MATCH($B2017,Config!$B$9:$B$29,0))),""),""))</f>
        <v/>
      </c>
      <c r="AC2017" s="19" t="str">
        <f>IF($B2017="","",IFERROR(INDEX(Config!$D$9:$D$29,MATCH($B2017,Config!$B$9:$B$29,0))&amp;"",""))</f>
        <v/>
      </c>
    </row>
    <row r="2018">
      <c r="R2018" s="20" t="str">
        <f>IF($B2018="","",IFERROR(IF(INDEX(Config!$D$9:$D$29,MATCH($B2018,Config!$B$9:$B$29,0))="Contrato",IF(INDEX(Config!$E$9:$E$29,MATCH($B2018,Config!$B$9:$B$29,0))="","",INDEX(Config!$E$9:$E$29,MATCH($B2018,Config!$B$9:$B$29,0))),""),""))</f>
        <v/>
      </c>
      <c r="AC2018" s="19" t="str">
        <f>IF($B2018="","",IFERROR(INDEX(Config!$D$9:$D$29,MATCH($B2018,Config!$B$9:$B$29,0))&amp;"",""))</f>
        <v/>
      </c>
    </row>
    <row r="2019">
      <c r="R2019" s="20" t="str">
        <f>IF($B2019="","",IFERROR(IF(INDEX(Config!$D$9:$D$29,MATCH($B2019,Config!$B$9:$B$29,0))="Contrato",IF(INDEX(Config!$E$9:$E$29,MATCH($B2019,Config!$B$9:$B$29,0))="","",INDEX(Config!$E$9:$E$29,MATCH($B2019,Config!$B$9:$B$29,0))),""),""))</f>
        <v/>
      </c>
      <c r="AC2019" s="19" t="str">
        <f>IF($B2019="","",IFERROR(INDEX(Config!$D$9:$D$29,MATCH($B2019,Config!$B$9:$B$29,0))&amp;"",""))</f>
        <v/>
      </c>
    </row>
    <row r="2020">
      <c r="R2020" s="20" t="str">
        <f>IF($B2020="","",IFERROR(IF(INDEX(Config!$D$9:$D$29,MATCH($B2020,Config!$B$9:$B$29,0))="Contrato",IF(INDEX(Config!$E$9:$E$29,MATCH($B2020,Config!$B$9:$B$29,0))="","",INDEX(Config!$E$9:$E$29,MATCH($B2020,Config!$B$9:$B$29,0))),""),""))</f>
        <v/>
      </c>
      <c r="AC2020" s="19" t="str">
        <f>IF($B2020="","",IFERROR(INDEX(Config!$D$9:$D$29,MATCH($B2020,Config!$B$9:$B$29,0))&amp;"",""))</f>
        <v/>
      </c>
    </row>
    <row r="2021">
      <c r="R2021" s="20" t="str">
        <f>IF($B2021="","",IFERROR(IF(INDEX(Config!$D$9:$D$29,MATCH($B2021,Config!$B$9:$B$29,0))="Contrato",IF(INDEX(Config!$E$9:$E$29,MATCH($B2021,Config!$B$9:$B$29,0))="","",INDEX(Config!$E$9:$E$29,MATCH($B2021,Config!$B$9:$B$29,0))),""),""))</f>
        <v/>
      </c>
      <c r="AC2021" s="19" t="str">
        <f>IF($B2021="","",IFERROR(INDEX(Config!$D$9:$D$29,MATCH($B2021,Config!$B$9:$B$29,0))&amp;"",""))</f>
        <v/>
      </c>
    </row>
    <row r="2022">
      <c r="R2022" s="20" t="str">
        <f>IF($B2022="","",IFERROR(IF(INDEX(Config!$D$9:$D$29,MATCH($B2022,Config!$B$9:$B$29,0))="Contrato",IF(INDEX(Config!$E$9:$E$29,MATCH($B2022,Config!$B$9:$B$29,0))="","",INDEX(Config!$E$9:$E$29,MATCH($B2022,Config!$B$9:$B$29,0))),""),""))</f>
        <v/>
      </c>
      <c r="AC2022" s="19" t="str">
        <f>IF($B2022="","",IFERROR(INDEX(Config!$D$9:$D$29,MATCH($B2022,Config!$B$9:$B$29,0))&amp;"",""))</f>
        <v/>
      </c>
    </row>
    <row r="2023">
      <c r="R2023" s="20" t="str">
        <f>IF($B2023="","",IFERROR(IF(INDEX(Config!$D$9:$D$29,MATCH($B2023,Config!$B$9:$B$29,0))="Contrato",IF(INDEX(Config!$E$9:$E$29,MATCH($B2023,Config!$B$9:$B$29,0))="","",INDEX(Config!$E$9:$E$29,MATCH($B2023,Config!$B$9:$B$29,0))),""),""))</f>
        <v/>
      </c>
      <c r="AC2023" s="19" t="str">
        <f>IF($B2023="","",IFERROR(INDEX(Config!$D$9:$D$29,MATCH($B2023,Config!$B$9:$B$29,0))&amp;"",""))</f>
        <v/>
      </c>
    </row>
    <row r="2024">
      <c r="R2024" s="20" t="str">
        <f>IF($B2024="","",IFERROR(IF(INDEX(Config!$D$9:$D$29,MATCH($B2024,Config!$B$9:$B$29,0))="Contrato",IF(INDEX(Config!$E$9:$E$29,MATCH($B2024,Config!$B$9:$B$29,0))="","",INDEX(Config!$E$9:$E$29,MATCH($B2024,Config!$B$9:$B$29,0))),""),""))</f>
        <v/>
      </c>
      <c r="AC2024" s="19" t="str">
        <f>IF($B2024="","",IFERROR(INDEX(Config!$D$9:$D$29,MATCH($B2024,Config!$B$9:$B$29,0))&amp;"",""))</f>
        <v/>
      </c>
    </row>
    <row r="2025">
      <c r="R2025" s="20" t="str">
        <f>IF($B2025="","",IFERROR(IF(INDEX(Config!$D$9:$D$29,MATCH($B2025,Config!$B$9:$B$29,0))="Contrato",IF(INDEX(Config!$E$9:$E$29,MATCH($B2025,Config!$B$9:$B$29,0))="","",INDEX(Config!$E$9:$E$29,MATCH($B2025,Config!$B$9:$B$29,0))),""),""))</f>
        <v/>
      </c>
      <c r="AC2025" s="19" t="str">
        <f>IF($B2025="","",IFERROR(INDEX(Config!$D$9:$D$29,MATCH($B2025,Config!$B$9:$B$29,0))&amp;"",""))</f>
        <v/>
      </c>
    </row>
    <row r="2026">
      <c r="R2026" s="20" t="str">
        <f>IF($B2026="","",IFERROR(IF(INDEX(Config!$D$9:$D$29,MATCH($B2026,Config!$B$9:$B$29,0))="Contrato",IF(INDEX(Config!$E$9:$E$29,MATCH($B2026,Config!$B$9:$B$29,0))="","",INDEX(Config!$E$9:$E$29,MATCH($B2026,Config!$B$9:$B$29,0))),""),""))</f>
        <v/>
      </c>
      <c r="AC2026" s="19" t="str">
        <f>IF($B2026="","",IFERROR(INDEX(Config!$D$9:$D$29,MATCH($B2026,Config!$B$9:$B$29,0))&amp;"",""))</f>
        <v/>
      </c>
    </row>
    <row r="2027">
      <c r="R2027" s="20" t="str">
        <f>IF($B2027="","",IFERROR(IF(INDEX(Config!$D$9:$D$29,MATCH($B2027,Config!$B$9:$B$29,0))="Contrato",IF(INDEX(Config!$E$9:$E$29,MATCH($B2027,Config!$B$9:$B$29,0))="","",INDEX(Config!$E$9:$E$29,MATCH($B2027,Config!$B$9:$B$29,0))),""),""))</f>
        <v/>
      </c>
      <c r="AC2027" s="19" t="str">
        <f>IF($B2027="","",IFERROR(INDEX(Config!$D$9:$D$29,MATCH($B2027,Config!$B$9:$B$29,0))&amp;"",""))</f>
        <v/>
      </c>
    </row>
    <row r="2028">
      <c r="R2028" s="20" t="str">
        <f>IF($B2028="","",IFERROR(IF(INDEX(Config!$D$9:$D$29,MATCH($B2028,Config!$B$9:$B$29,0))="Contrato",IF(INDEX(Config!$E$9:$E$29,MATCH($B2028,Config!$B$9:$B$29,0))="","",INDEX(Config!$E$9:$E$29,MATCH($B2028,Config!$B$9:$B$29,0))),""),""))</f>
        <v/>
      </c>
      <c r="AC2028" s="19" t="str">
        <f>IF($B2028="","",IFERROR(INDEX(Config!$D$9:$D$29,MATCH($B2028,Config!$B$9:$B$29,0))&amp;"",""))</f>
        <v/>
      </c>
    </row>
    <row r="2029">
      <c r="R2029" s="20" t="str">
        <f>IF($B2029="","",IFERROR(IF(INDEX(Config!$D$9:$D$29,MATCH($B2029,Config!$B$9:$B$29,0))="Contrato",IF(INDEX(Config!$E$9:$E$29,MATCH($B2029,Config!$B$9:$B$29,0))="","",INDEX(Config!$E$9:$E$29,MATCH($B2029,Config!$B$9:$B$29,0))),""),""))</f>
        <v/>
      </c>
      <c r="AC2029" s="19" t="str">
        <f>IF($B2029="","",IFERROR(INDEX(Config!$D$9:$D$29,MATCH($B2029,Config!$B$9:$B$29,0))&amp;"",""))</f>
        <v/>
      </c>
    </row>
    <row r="2030">
      <c r="R2030" s="20" t="str">
        <f>IF($B2030="","",IFERROR(IF(INDEX(Config!$D$9:$D$29,MATCH($B2030,Config!$B$9:$B$29,0))="Contrato",IF(INDEX(Config!$E$9:$E$29,MATCH($B2030,Config!$B$9:$B$29,0))="","",INDEX(Config!$E$9:$E$29,MATCH($B2030,Config!$B$9:$B$29,0))),""),""))</f>
        <v/>
      </c>
      <c r="AC2030" s="19" t="str">
        <f>IF($B2030="","",IFERROR(INDEX(Config!$D$9:$D$29,MATCH($B2030,Config!$B$9:$B$29,0))&amp;"",""))</f>
        <v/>
      </c>
    </row>
    <row r="2031">
      <c r="R2031" s="20" t="str">
        <f>IF($B2031="","",IFERROR(IF(INDEX(Config!$D$9:$D$29,MATCH($B2031,Config!$B$9:$B$29,0))="Contrato",IF(INDEX(Config!$E$9:$E$29,MATCH($B2031,Config!$B$9:$B$29,0))="","",INDEX(Config!$E$9:$E$29,MATCH($B2031,Config!$B$9:$B$29,0))),""),""))</f>
        <v/>
      </c>
      <c r="AC2031" s="19" t="str">
        <f>IF($B2031="","",IFERROR(INDEX(Config!$D$9:$D$29,MATCH($B2031,Config!$B$9:$B$29,0))&amp;"",""))</f>
        <v/>
      </c>
    </row>
    <row r="2032">
      <c r="R2032" s="20" t="str">
        <f>IF($B2032="","",IFERROR(IF(INDEX(Config!$D$9:$D$29,MATCH($B2032,Config!$B$9:$B$29,0))="Contrato",IF(INDEX(Config!$E$9:$E$29,MATCH($B2032,Config!$B$9:$B$29,0))="","",INDEX(Config!$E$9:$E$29,MATCH($B2032,Config!$B$9:$B$29,0))),""),""))</f>
        <v/>
      </c>
      <c r="AC2032" s="19" t="str">
        <f>IF($B2032="","",IFERROR(INDEX(Config!$D$9:$D$29,MATCH($B2032,Config!$B$9:$B$29,0))&amp;"",""))</f>
        <v/>
      </c>
    </row>
    <row r="2033">
      <c r="R2033" s="20" t="str">
        <f>IF($B2033="","",IFERROR(IF(INDEX(Config!$D$9:$D$29,MATCH($B2033,Config!$B$9:$B$29,0))="Contrato",IF(INDEX(Config!$E$9:$E$29,MATCH($B2033,Config!$B$9:$B$29,0))="","",INDEX(Config!$E$9:$E$29,MATCH($B2033,Config!$B$9:$B$29,0))),""),""))</f>
        <v/>
      </c>
      <c r="AC2033" s="19" t="str">
        <f>IF($B2033="","",IFERROR(INDEX(Config!$D$9:$D$29,MATCH($B2033,Config!$B$9:$B$29,0))&amp;"",""))</f>
        <v/>
      </c>
    </row>
    <row r="2034">
      <c r="R2034" s="20" t="str">
        <f>IF($B2034="","",IFERROR(IF(INDEX(Config!$D$9:$D$29,MATCH($B2034,Config!$B$9:$B$29,0))="Contrato",IF(INDEX(Config!$E$9:$E$29,MATCH($B2034,Config!$B$9:$B$29,0))="","",INDEX(Config!$E$9:$E$29,MATCH($B2034,Config!$B$9:$B$29,0))),""),""))</f>
        <v/>
      </c>
      <c r="AC2034" s="19" t="str">
        <f>IF($B2034="","",IFERROR(INDEX(Config!$D$9:$D$29,MATCH($B2034,Config!$B$9:$B$29,0))&amp;"",""))</f>
        <v/>
      </c>
    </row>
    <row r="2035">
      <c r="R2035" s="20" t="str">
        <f>IF($B2035="","",IFERROR(IF(INDEX(Config!$D$9:$D$29,MATCH($B2035,Config!$B$9:$B$29,0))="Contrato",IF(INDEX(Config!$E$9:$E$29,MATCH($B2035,Config!$B$9:$B$29,0))="","",INDEX(Config!$E$9:$E$29,MATCH($B2035,Config!$B$9:$B$29,0))),""),""))</f>
        <v/>
      </c>
      <c r="AC2035" s="19" t="str">
        <f>IF($B2035="","",IFERROR(INDEX(Config!$D$9:$D$29,MATCH($B2035,Config!$B$9:$B$29,0))&amp;"",""))</f>
        <v/>
      </c>
    </row>
    <row r="2036">
      <c r="R2036" s="20" t="str">
        <f>IF($B2036="","",IFERROR(IF(INDEX(Config!$D$9:$D$29,MATCH($B2036,Config!$B$9:$B$29,0))="Contrato",IF(INDEX(Config!$E$9:$E$29,MATCH($B2036,Config!$B$9:$B$29,0))="","",INDEX(Config!$E$9:$E$29,MATCH($B2036,Config!$B$9:$B$29,0))),""),""))</f>
        <v/>
      </c>
      <c r="AC2036" s="19" t="str">
        <f>IF($B2036="","",IFERROR(INDEX(Config!$D$9:$D$29,MATCH($B2036,Config!$B$9:$B$29,0))&amp;"",""))</f>
        <v/>
      </c>
    </row>
    <row r="2037">
      <c r="R2037" s="20" t="str">
        <f>IF($B2037="","",IFERROR(IF(INDEX(Config!$D$9:$D$29,MATCH($B2037,Config!$B$9:$B$29,0))="Contrato",IF(INDEX(Config!$E$9:$E$29,MATCH($B2037,Config!$B$9:$B$29,0))="","",INDEX(Config!$E$9:$E$29,MATCH($B2037,Config!$B$9:$B$29,0))),""),""))</f>
        <v/>
      </c>
      <c r="AC2037" s="19" t="str">
        <f>IF($B2037="","",IFERROR(INDEX(Config!$D$9:$D$29,MATCH($B2037,Config!$B$9:$B$29,0))&amp;"",""))</f>
        <v/>
      </c>
    </row>
    <row r="2038">
      <c r="R2038" s="20" t="str">
        <f>IF($B2038="","",IFERROR(IF(INDEX(Config!$D$9:$D$29,MATCH($B2038,Config!$B$9:$B$29,0))="Contrato",IF(INDEX(Config!$E$9:$E$29,MATCH($B2038,Config!$B$9:$B$29,0))="","",INDEX(Config!$E$9:$E$29,MATCH($B2038,Config!$B$9:$B$29,0))),""),""))</f>
        <v/>
      </c>
      <c r="AC2038" s="19" t="str">
        <f>IF($B2038="","",IFERROR(INDEX(Config!$D$9:$D$29,MATCH($B2038,Config!$B$9:$B$29,0))&amp;"",""))</f>
        <v/>
      </c>
    </row>
    <row r="2039">
      <c r="R2039" s="20" t="str">
        <f>IF($B2039="","",IFERROR(IF(INDEX(Config!$D$9:$D$29,MATCH($B2039,Config!$B$9:$B$29,0))="Contrato",IF(INDEX(Config!$E$9:$E$29,MATCH($B2039,Config!$B$9:$B$29,0))="","",INDEX(Config!$E$9:$E$29,MATCH($B2039,Config!$B$9:$B$29,0))),""),""))</f>
        <v/>
      </c>
      <c r="AC2039" s="19" t="str">
        <f>IF($B2039="","",IFERROR(INDEX(Config!$D$9:$D$29,MATCH($B2039,Config!$B$9:$B$29,0))&amp;"",""))</f>
        <v/>
      </c>
    </row>
    <row r="2040">
      <c r="R2040" s="20" t="str">
        <f>IF($B2040="","",IFERROR(IF(INDEX(Config!$D$9:$D$29,MATCH($B2040,Config!$B$9:$B$29,0))="Contrato",IF(INDEX(Config!$E$9:$E$29,MATCH($B2040,Config!$B$9:$B$29,0))="","",INDEX(Config!$E$9:$E$29,MATCH($B2040,Config!$B$9:$B$29,0))),""),""))</f>
        <v/>
      </c>
      <c r="AC2040" s="19" t="str">
        <f>IF($B2040="","",IFERROR(INDEX(Config!$D$9:$D$29,MATCH($B2040,Config!$B$9:$B$29,0))&amp;"",""))</f>
        <v/>
      </c>
    </row>
    <row r="2041">
      <c r="R2041" s="20" t="str">
        <f>IF($B2041="","",IFERROR(IF(INDEX(Config!$D$9:$D$29,MATCH($B2041,Config!$B$9:$B$29,0))="Contrato",IF(INDEX(Config!$E$9:$E$29,MATCH($B2041,Config!$B$9:$B$29,0))="","",INDEX(Config!$E$9:$E$29,MATCH($B2041,Config!$B$9:$B$29,0))),""),""))</f>
        <v/>
      </c>
      <c r="AC2041" s="19" t="str">
        <f>IF($B2041="","",IFERROR(INDEX(Config!$D$9:$D$29,MATCH($B2041,Config!$B$9:$B$29,0))&amp;"",""))</f>
        <v/>
      </c>
    </row>
    <row r="2042">
      <c r="R2042" s="20" t="str">
        <f>IF($B2042="","",IFERROR(IF(INDEX(Config!$D$9:$D$29,MATCH($B2042,Config!$B$9:$B$29,0))="Contrato",IF(INDEX(Config!$E$9:$E$29,MATCH($B2042,Config!$B$9:$B$29,0))="","",INDEX(Config!$E$9:$E$29,MATCH($B2042,Config!$B$9:$B$29,0))),""),""))</f>
        <v/>
      </c>
      <c r="AC2042" s="19" t="str">
        <f>IF($B2042="","",IFERROR(INDEX(Config!$D$9:$D$29,MATCH($B2042,Config!$B$9:$B$29,0))&amp;"",""))</f>
        <v/>
      </c>
    </row>
    <row r="2043">
      <c r="R2043" s="20" t="str">
        <f>IF($B2043="","",IFERROR(IF(INDEX(Config!$D$9:$D$29,MATCH($B2043,Config!$B$9:$B$29,0))="Contrato",IF(INDEX(Config!$E$9:$E$29,MATCH($B2043,Config!$B$9:$B$29,0))="","",INDEX(Config!$E$9:$E$29,MATCH($B2043,Config!$B$9:$B$29,0))),""),""))</f>
        <v/>
      </c>
      <c r="AC2043" s="19" t="str">
        <f>IF($B2043="","",IFERROR(INDEX(Config!$D$9:$D$29,MATCH($B2043,Config!$B$9:$B$29,0))&amp;"",""))</f>
        <v/>
      </c>
    </row>
    <row r="2044">
      <c r="R2044" s="20" t="str">
        <f>IF($B2044="","",IFERROR(IF(INDEX(Config!$D$9:$D$29,MATCH($B2044,Config!$B$9:$B$29,0))="Contrato",IF(INDEX(Config!$E$9:$E$29,MATCH($B2044,Config!$B$9:$B$29,0))="","",INDEX(Config!$E$9:$E$29,MATCH($B2044,Config!$B$9:$B$29,0))),""),""))</f>
        <v/>
      </c>
      <c r="AC2044" s="19" t="str">
        <f>IF($B2044="","",IFERROR(INDEX(Config!$D$9:$D$29,MATCH($B2044,Config!$B$9:$B$29,0))&amp;"",""))</f>
        <v/>
      </c>
    </row>
    <row r="2045">
      <c r="R2045" s="20" t="str">
        <f>IF($B2045="","",IFERROR(IF(INDEX(Config!$D$9:$D$29,MATCH($B2045,Config!$B$9:$B$29,0))="Contrato",IF(INDEX(Config!$E$9:$E$29,MATCH($B2045,Config!$B$9:$B$29,0))="","",INDEX(Config!$E$9:$E$29,MATCH($B2045,Config!$B$9:$B$29,0))),""),""))</f>
        <v/>
      </c>
      <c r="AC2045" s="19" t="str">
        <f>IF($B2045="","",IFERROR(INDEX(Config!$D$9:$D$29,MATCH($B2045,Config!$B$9:$B$29,0))&amp;"",""))</f>
        <v/>
      </c>
    </row>
    <row r="2046">
      <c r="R2046" s="20" t="str">
        <f>IF($B2046="","",IFERROR(IF(INDEX(Config!$D$9:$D$29,MATCH($B2046,Config!$B$9:$B$29,0))="Contrato",IF(INDEX(Config!$E$9:$E$29,MATCH($B2046,Config!$B$9:$B$29,0))="","",INDEX(Config!$E$9:$E$29,MATCH($B2046,Config!$B$9:$B$29,0))),""),""))</f>
        <v/>
      </c>
      <c r="AC2046" s="19" t="str">
        <f>IF($B2046="","",IFERROR(INDEX(Config!$D$9:$D$29,MATCH($B2046,Config!$B$9:$B$29,0))&amp;"",""))</f>
        <v/>
      </c>
    </row>
    <row r="2047">
      <c r="R2047" s="20" t="str">
        <f>IF($B2047="","",IFERROR(IF(INDEX(Config!$D$9:$D$29,MATCH($B2047,Config!$B$9:$B$29,0))="Contrato",IF(INDEX(Config!$E$9:$E$29,MATCH($B2047,Config!$B$9:$B$29,0))="","",INDEX(Config!$E$9:$E$29,MATCH($B2047,Config!$B$9:$B$29,0))),""),""))</f>
        <v/>
      </c>
      <c r="AC2047" s="19" t="str">
        <f>IF($B2047="","",IFERROR(INDEX(Config!$D$9:$D$29,MATCH($B2047,Config!$B$9:$B$29,0))&amp;"",""))</f>
        <v/>
      </c>
    </row>
    <row r="2048">
      <c r="R2048" s="20" t="str">
        <f>IF($B2048="","",IFERROR(IF(INDEX(Config!$D$9:$D$29,MATCH($B2048,Config!$B$9:$B$29,0))="Contrato",IF(INDEX(Config!$E$9:$E$29,MATCH($B2048,Config!$B$9:$B$29,0))="","",INDEX(Config!$E$9:$E$29,MATCH($B2048,Config!$B$9:$B$29,0))),""),""))</f>
        <v/>
      </c>
      <c r="AC2048" s="19" t="str">
        <f>IF($B2048="","",IFERROR(INDEX(Config!$D$9:$D$29,MATCH($B2048,Config!$B$9:$B$29,0))&amp;"",""))</f>
        <v/>
      </c>
    </row>
    <row r="2049">
      <c r="R2049" s="20" t="str">
        <f>IF($B2049="","",IFERROR(IF(INDEX(Config!$D$9:$D$29,MATCH($B2049,Config!$B$9:$B$29,0))="Contrato",IF(INDEX(Config!$E$9:$E$29,MATCH($B2049,Config!$B$9:$B$29,0))="","",INDEX(Config!$E$9:$E$29,MATCH($B2049,Config!$B$9:$B$29,0))),""),""))</f>
        <v/>
      </c>
      <c r="AC2049" s="19" t="str">
        <f>IF($B2049="","",IFERROR(INDEX(Config!$D$9:$D$29,MATCH($B2049,Config!$B$9:$B$29,0))&amp;"",""))</f>
        <v/>
      </c>
    </row>
    <row r="2050">
      <c r="R2050" s="20" t="str">
        <f>IF($B2050="","",IFERROR(IF(INDEX(Config!$D$9:$D$29,MATCH($B2050,Config!$B$9:$B$29,0))="Contrato",IF(INDEX(Config!$E$9:$E$29,MATCH($B2050,Config!$B$9:$B$29,0))="","",INDEX(Config!$E$9:$E$29,MATCH($B2050,Config!$B$9:$B$29,0))),""),""))</f>
        <v/>
      </c>
      <c r="AC2050" s="19" t="str">
        <f>IF($B2050="","",IFERROR(INDEX(Config!$D$9:$D$29,MATCH($B2050,Config!$B$9:$B$29,0))&amp;"",""))</f>
        <v/>
      </c>
    </row>
    <row r="2051">
      <c r="R2051" s="20" t="str">
        <f>IF($B2051="","",IFERROR(IF(INDEX(Config!$D$9:$D$29,MATCH($B2051,Config!$B$9:$B$29,0))="Contrato",IF(INDEX(Config!$E$9:$E$29,MATCH($B2051,Config!$B$9:$B$29,0))="","",INDEX(Config!$E$9:$E$29,MATCH($B2051,Config!$B$9:$B$29,0))),""),""))</f>
        <v/>
      </c>
      <c r="AC2051" s="19" t="str">
        <f>IF($B2051="","",IFERROR(INDEX(Config!$D$9:$D$29,MATCH($B2051,Config!$B$9:$B$29,0))&amp;"",""))</f>
        <v/>
      </c>
    </row>
    <row r="2052">
      <c r="R2052" s="20" t="str">
        <f>IF($B2052="","",IFERROR(IF(INDEX(Config!$D$9:$D$29,MATCH($B2052,Config!$B$9:$B$29,0))="Contrato",IF(INDEX(Config!$E$9:$E$29,MATCH($B2052,Config!$B$9:$B$29,0))="","",INDEX(Config!$E$9:$E$29,MATCH($B2052,Config!$B$9:$B$29,0))),""),""))</f>
        <v/>
      </c>
      <c r="AC2052" s="19" t="str">
        <f>IF($B2052="","",IFERROR(INDEX(Config!$D$9:$D$29,MATCH($B2052,Config!$B$9:$B$29,0))&amp;"",""))</f>
        <v/>
      </c>
    </row>
    <row r="2053">
      <c r="R2053" s="20" t="str">
        <f>IF($B2053="","",IFERROR(IF(INDEX(Config!$D$9:$D$29,MATCH($B2053,Config!$B$9:$B$29,0))="Contrato",IF(INDEX(Config!$E$9:$E$29,MATCH($B2053,Config!$B$9:$B$29,0))="","",INDEX(Config!$E$9:$E$29,MATCH($B2053,Config!$B$9:$B$29,0))),""),""))</f>
        <v/>
      </c>
      <c r="AC2053" s="19" t="str">
        <f>IF($B2053="","",IFERROR(INDEX(Config!$D$9:$D$29,MATCH($B2053,Config!$B$9:$B$29,0))&amp;"",""))</f>
        <v/>
      </c>
    </row>
    <row r="2054">
      <c r="R2054" s="20" t="str">
        <f>IF($B2054="","",IFERROR(IF(INDEX(Config!$D$9:$D$29,MATCH($B2054,Config!$B$9:$B$29,0))="Contrato",IF(INDEX(Config!$E$9:$E$29,MATCH($B2054,Config!$B$9:$B$29,0))="","",INDEX(Config!$E$9:$E$29,MATCH($B2054,Config!$B$9:$B$29,0))),""),""))</f>
        <v/>
      </c>
      <c r="AC2054" s="19" t="str">
        <f>IF($B2054="","",IFERROR(INDEX(Config!$D$9:$D$29,MATCH($B2054,Config!$B$9:$B$29,0))&amp;"",""))</f>
        <v/>
      </c>
    </row>
    <row r="2055">
      <c r="R2055" s="20" t="str">
        <f>IF($B2055="","",IFERROR(IF(INDEX(Config!$D$9:$D$29,MATCH($B2055,Config!$B$9:$B$29,0))="Contrato",IF(INDEX(Config!$E$9:$E$29,MATCH($B2055,Config!$B$9:$B$29,0))="","",INDEX(Config!$E$9:$E$29,MATCH($B2055,Config!$B$9:$B$29,0))),""),""))</f>
        <v/>
      </c>
      <c r="AC2055" s="19" t="str">
        <f>IF($B2055="","",IFERROR(INDEX(Config!$D$9:$D$29,MATCH($B2055,Config!$B$9:$B$29,0))&amp;"",""))</f>
        <v/>
      </c>
    </row>
    <row r="2056">
      <c r="R2056" s="20" t="str">
        <f>IF($B2056="","",IFERROR(IF(INDEX(Config!$D$9:$D$29,MATCH($B2056,Config!$B$9:$B$29,0))="Contrato",IF(INDEX(Config!$E$9:$E$29,MATCH($B2056,Config!$B$9:$B$29,0))="","",INDEX(Config!$E$9:$E$29,MATCH($B2056,Config!$B$9:$B$29,0))),""),""))</f>
        <v/>
      </c>
      <c r="AC2056" s="19" t="str">
        <f>IF($B2056="","",IFERROR(INDEX(Config!$D$9:$D$29,MATCH($B2056,Config!$B$9:$B$29,0))&amp;"",""))</f>
        <v/>
      </c>
    </row>
    <row r="2057">
      <c r="R2057" s="20" t="str">
        <f>IF($B2057="","",IFERROR(IF(INDEX(Config!$D$9:$D$29,MATCH($B2057,Config!$B$9:$B$29,0))="Contrato",IF(INDEX(Config!$E$9:$E$29,MATCH($B2057,Config!$B$9:$B$29,0))="","",INDEX(Config!$E$9:$E$29,MATCH($B2057,Config!$B$9:$B$29,0))),""),""))</f>
        <v/>
      </c>
      <c r="AC2057" s="19" t="str">
        <f>IF($B2057="","",IFERROR(INDEX(Config!$D$9:$D$29,MATCH($B2057,Config!$B$9:$B$29,0))&amp;"",""))</f>
        <v/>
      </c>
    </row>
    <row r="2058">
      <c r="R2058" s="20" t="str">
        <f>IF($B2058="","",IFERROR(IF(INDEX(Config!$D$9:$D$29,MATCH($B2058,Config!$B$9:$B$29,0))="Contrato",IF(INDEX(Config!$E$9:$E$29,MATCH($B2058,Config!$B$9:$B$29,0))="","",INDEX(Config!$E$9:$E$29,MATCH($B2058,Config!$B$9:$B$29,0))),""),""))</f>
        <v/>
      </c>
      <c r="AC2058" s="19" t="str">
        <f>IF($B2058="","",IFERROR(INDEX(Config!$D$9:$D$29,MATCH($B2058,Config!$B$9:$B$29,0))&amp;"",""))</f>
        <v/>
      </c>
    </row>
    <row r="2059">
      <c r="R2059" s="20" t="str">
        <f>IF($B2059="","",IFERROR(IF(INDEX(Config!$D$9:$D$29,MATCH($B2059,Config!$B$9:$B$29,0))="Contrato",IF(INDEX(Config!$E$9:$E$29,MATCH($B2059,Config!$B$9:$B$29,0))="","",INDEX(Config!$E$9:$E$29,MATCH($B2059,Config!$B$9:$B$29,0))),""),""))</f>
        <v/>
      </c>
      <c r="AC2059" s="19" t="str">
        <f>IF($B2059="","",IFERROR(INDEX(Config!$D$9:$D$29,MATCH($B2059,Config!$B$9:$B$29,0))&amp;"",""))</f>
        <v/>
      </c>
    </row>
    <row r="2060">
      <c r="R2060" s="20" t="str">
        <f>IF($B2060="","",IFERROR(IF(INDEX(Config!$D$9:$D$29,MATCH($B2060,Config!$B$9:$B$29,0))="Contrato",IF(INDEX(Config!$E$9:$E$29,MATCH($B2060,Config!$B$9:$B$29,0))="","",INDEX(Config!$E$9:$E$29,MATCH($B2060,Config!$B$9:$B$29,0))),""),""))</f>
        <v/>
      </c>
      <c r="AC2060" s="19" t="str">
        <f>IF($B2060="","",IFERROR(INDEX(Config!$D$9:$D$29,MATCH($B2060,Config!$B$9:$B$29,0))&amp;"",""))</f>
        <v/>
      </c>
    </row>
    <row r="2061">
      <c r="R2061" s="20" t="str">
        <f>IF($B2061="","",IFERROR(IF(INDEX(Config!$D$9:$D$29,MATCH($B2061,Config!$B$9:$B$29,0))="Contrato",IF(INDEX(Config!$E$9:$E$29,MATCH($B2061,Config!$B$9:$B$29,0))="","",INDEX(Config!$E$9:$E$29,MATCH($B2061,Config!$B$9:$B$29,0))),""),""))</f>
        <v/>
      </c>
      <c r="AC2061" s="19" t="str">
        <f>IF($B2061="","",IFERROR(INDEX(Config!$D$9:$D$29,MATCH($B2061,Config!$B$9:$B$29,0))&amp;"",""))</f>
        <v/>
      </c>
    </row>
    <row r="2062">
      <c r="R2062" s="20" t="str">
        <f>IF($B2062="","",IFERROR(IF(INDEX(Config!$D$9:$D$29,MATCH($B2062,Config!$B$9:$B$29,0))="Contrato",IF(INDEX(Config!$E$9:$E$29,MATCH($B2062,Config!$B$9:$B$29,0))="","",INDEX(Config!$E$9:$E$29,MATCH($B2062,Config!$B$9:$B$29,0))),""),""))</f>
        <v/>
      </c>
      <c r="AC2062" s="19" t="str">
        <f>IF($B2062="","",IFERROR(INDEX(Config!$D$9:$D$29,MATCH($B2062,Config!$B$9:$B$29,0))&amp;"",""))</f>
        <v/>
      </c>
    </row>
    <row r="2063">
      <c r="R2063" s="20" t="str">
        <f>IF($B2063="","",IFERROR(IF(INDEX(Config!$D$9:$D$29,MATCH($B2063,Config!$B$9:$B$29,0))="Contrato",IF(INDEX(Config!$E$9:$E$29,MATCH($B2063,Config!$B$9:$B$29,0))="","",INDEX(Config!$E$9:$E$29,MATCH($B2063,Config!$B$9:$B$29,0))),""),""))</f>
        <v/>
      </c>
      <c r="AC2063" s="19" t="str">
        <f>IF($B2063="","",IFERROR(INDEX(Config!$D$9:$D$29,MATCH($B2063,Config!$B$9:$B$29,0))&amp;"",""))</f>
        <v/>
      </c>
    </row>
    <row r="2064">
      <c r="R2064" s="20" t="str">
        <f>IF($B2064="","",IFERROR(IF(INDEX(Config!$D$9:$D$29,MATCH($B2064,Config!$B$9:$B$29,0))="Contrato",IF(INDEX(Config!$E$9:$E$29,MATCH($B2064,Config!$B$9:$B$29,0))="","",INDEX(Config!$E$9:$E$29,MATCH($B2064,Config!$B$9:$B$29,0))),""),""))</f>
        <v/>
      </c>
      <c r="AC2064" s="19" t="str">
        <f>IF($B2064="","",IFERROR(INDEX(Config!$D$9:$D$29,MATCH($B2064,Config!$B$9:$B$29,0))&amp;"",""))</f>
        <v/>
      </c>
    </row>
    <row r="2065">
      <c r="R2065" s="20" t="str">
        <f>IF($B2065="","",IFERROR(IF(INDEX(Config!$D$9:$D$29,MATCH($B2065,Config!$B$9:$B$29,0))="Contrato",IF(INDEX(Config!$E$9:$E$29,MATCH($B2065,Config!$B$9:$B$29,0))="","",INDEX(Config!$E$9:$E$29,MATCH($B2065,Config!$B$9:$B$29,0))),""),""))</f>
        <v/>
      </c>
      <c r="AC2065" s="19" t="str">
        <f>IF($B2065="","",IFERROR(INDEX(Config!$D$9:$D$29,MATCH($B2065,Config!$B$9:$B$29,0))&amp;"",""))</f>
        <v/>
      </c>
    </row>
    <row r="2066">
      <c r="R2066" s="20" t="str">
        <f>IF($B2066="","",IFERROR(IF(INDEX(Config!$D$9:$D$29,MATCH($B2066,Config!$B$9:$B$29,0))="Contrato",IF(INDEX(Config!$E$9:$E$29,MATCH($B2066,Config!$B$9:$B$29,0))="","",INDEX(Config!$E$9:$E$29,MATCH($B2066,Config!$B$9:$B$29,0))),""),""))</f>
        <v/>
      </c>
      <c r="AC2066" s="19" t="str">
        <f>IF($B2066="","",IFERROR(INDEX(Config!$D$9:$D$29,MATCH($B2066,Config!$B$9:$B$29,0))&amp;"",""))</f>
        <v/>
      </c>
    </row>
    <row r="2067">
      <c r="R2067" s="20" t="str">
        <f>IF($B2067="","",IFERROR(IF(INDEX(Config!$D$9:$D$29,MATCH($B2067,Config!$B$9:$B$29,0))="Contrato",IF(INDEX(Config!$E$9:$E$29,MATCH($B2067,Config!$B$9:$B$29,0))="","",INDEX(Config!$E$9:$E$29,MATCH($B2067,Config!$B$9:$B$29,0))),""),""))</f>
        <v/>
      </c>
      <c r="AC2067" s="19" t="str">
        <f>IF($B2067="","",IFERROR(INDEX(Config!$D$9:$D$29,MATCH($B2067,Config!$B$9:$B$29,0))&amp;"",""))</f>
        <v/>
      </c>
    </row>
    <row r="2068">
      <c r="R2068" s="20" t="str">
        <f>IF($B2068="","",IFERROR(IF(INDEX(Config!$D$9:$D$29,MATCH($B2068,Config!$B$9:$B$29,0))="Contrato",IF(INDEX(Config!$E$9:$E$29,MATCH($B2068,Config!$B$9:$B$29,0))="","",INDEX(Config!$E$9:$E$29,MATCH($B2068,Config!$B$9:$B$29,0))),""),""))</f>
        <v/>
      </c>
      <c r="AC2068" s="19" t="str">
        <f>IF($B2068="","",IFERROR(INDEX(Config!$D$9:$D$29,MATCH($B2068,Config!$B$9:$B$29,0))&amp;"",""))</f>
        <v/>
      </c>
    </row>
    <row r="2069">
      <c r="R2069" s="20" t="str">
        <f>IF($B2069="","",IFERROR(IF(INDEX(Config!$D$9:$D$29,MATCH($B2069,Config!$B$9:$B$29,0))="Contrato",IF(INDEX(Config!$E$9:$E$29,MATCH($B2069,Config!$B$9:$B$29,0))="","",INDEX(Config!$E$9:$E$29,MATCH($B2069,Config!$B$9:$B$29,0))),""),""))</f>
        <v/>
      </c>
      <c r="AC2069" s="19" t="str">
        <f>IF($B2069="","",IFERROR(INDEX(Config!$D$9:$D$29,MATCH($B2069,Config!$B$9:$B$29,0))&amp;"",""))</f>
        <v/>
      </c>
    </row>
    <row r="2070">
      <c r="R2070" s="20" t="str">
        <f>IF($B2070="","",IFERROR(IF(INDEX(Config!$D$9:$D$29,MATCH($B2070,Config!$B$9:$B$29,0))="Contrato",IF(INDEX(Config!$E$9:$E$29,MATCH($B2070,Config!$B$9:$B$29,0))="","",INDEX(Config!$E$9:$E$29,MATCH($B2070,Config!$B$9:$B$29,0))),""),""))</f>
        <v/>
      </c>
      <c r="AC2070" s="19" t="str">
        <f>IF($B2070="","",IFERROR(INDEX(Config!$D$9:$D$29,MATCH($B2070,Config!$B$9:$B$29,0))&amp;"",""))</f>
        <v/>
      </c>
    </row>
    <row r="2071">
      <c r="R2071" s="20" t="str">
        <f>IF($B2071="","",IFERROR(IF(INDEX(Config!$D$9:$D$29,MATCH($B2071,Config!$B$9:$B$29,0))="Contrato",IF(INDEX(Config!$E$9:$E$29,MATCH($B2071,Config!$B$9:$B$29,0))="","",INDEX(Config!$E$9:$E$29,MATCH($B2071,Config!$B$9:$B$29,0))),""),""))</f>
        <v/>
      </c>
      <c r="AC2071" s="19" t="str">
        <f>IF($B2071="","",IFERROR(INDEX(Config!$D$9:$D$29,MATCH($B2071,Config!$B$9:$B$29,0))&amp;"",""))</f>
        <v/>
      </c>
    </row>
    <row r="2072">
      <c r="R2072" s="20" t="str">
        <f>IF($B2072="","",IFERROR(IF(INDEX(Config!$D$9:$D$29,MATCH($B2072,Config!$B$9:$B$29,0))="Contrato",IF(INDEX(Config!$E$9:$E$29,MATCH($B2072,Config!$B$9:$B$29,0))="","",INDEX(Config!$E$9:$E$29,MATCH($B2072,Config!$B$9:$B$29,0))),""),""))</f>
        <v/>
      </c>
      <c r="AC2072" s="19" t="str">
        <f>IF($B2072="","",IFERROR(INDEX(Config!$D$9:$D$29,MATCH($B2072,Config!$B$9:$B$29,0))&amp;"",""))</f>
        <v/>
      </c>
    </row>
    <row r="2073">
      <c r="R2073" s="20" t="str">
        <f>IF($B2073="","",IFERROR(IF(INDEX(Config!$D$9:$D$29,MATCH($B2073,Config!$B$9:$B$29,0))="Contrato",IF(INDEX(Config!$E$9:$E$29,MATCH($B2073,Config!$B$9:$B$29,0))="","",INDEX(Config!$E$9:$E$29,MATCH($B2073,Config!$B$9:$B$29,0))),""),""))</f>
        <v/>
      </c>
      <c r="AC2073" s="19" t="str">
        <f>IF($B2073="","",IFERROR(INDEX(Config!$D$9:$D$29,MATCH($B2073,Config!$B$9:$B$29,0))&amp;"",""))</f>
        <v/>
      </c>
    </row>
    <row r="2074">
      <c r="R2074" s="20" t="str">
        <f>IF($B2074="","",IFERROR(IF(INDEX(Config!$D$9:$D$29,MATCH($B2074,Config!$B$9:$B$29,0))="Contrato",IF(INDEX(Config!$E$9:$E$29,MATCH($B2074,Config!$B$9:$B$29,0))="","",INDEX(Config!$E$9:$E$29,MATCH($B2074,Config!$B$9:$B$29,0))),""),""))</f>
        <v/>
      </c>
      <c r="AC2074" s="19" t="str">
        <f>IF($B2074="","",IFERROR(INDEX(Config!$D$9:$D$29,MATCH($B2074,Config!$B$9:$B$29,0))&amp;"",""))</f>
        <v/>
      </c>
    </row>
    <row r="2075">
      <c r="R2075" s="20" t="str">
        <f>IF($B2075="","",IFERROR(IF(INDEX(Config!$D$9:$D$29,MATCH($B2075,Config!$B$9:$B$29,0))="Contrato",IF(INDEX(Config!$E$9:$E$29,MATCH($B2075,Config!$B$9:$B$29,0))="","",INDEX(Config!$E$9:$E$29,MATCH($B2075,Config!$B$9:$B$29,0))),""),""))</f>
        <v/>
      </c>
      <c r="AC2075" s="19" t="str">
        <f>IF($B2075="","",IFERROR(INDEX(Config!$D$9:$D$29,MATCH($B2075,Config!$B$9:$B$29,0))&amp;"",""))</f>
        <v/>
      </c>
    </row>
    <row r="2076">
      <c r="R2076" s="20" t="str">
        <f>IF($B2076="","",IFERROR(IF(INDEX(Config!$D$9:$D$29,MATCH($B2076,Config!$B$9:$B$29,0))="Contrato",IF(INDEX(Config!$E$9:$E$29,MATCH($B2076,Config!$B$9:$B$29,0))="","",INDEX(Config!$E$9:$E$29,MATCH($B2076,Config!$B$9:$B$29,0))),""),""))</f>
        <v/>
      </c>
      <c r="AC2076" s="19" t="str">
        <f>IF($B2076="","",IFERROR(INDEX(Config!$D$9:$D$29,MATCH($B2076,Config!$B$9:$B$29,0))&amp;"",""))</f>
        <v/>
      </c>
    </row>
    <row r="2077">
      <c r="R2077" s="20" t="str">
        <f>IF($B2077="","",IFERROR(IF(INDEX(Config!$D$9:$D$29,MATCH($B2077,Config!$B$9:$B$29,0))="Contrato",IF(INDEX(Config!$E$9:$E$29,MATCH($B2077,Config!$B$9:$B$29,0))="","",INDEX(Config!$E$9:$E$29,MATCH($B2077,Config!$B$9:$B$29,0))),""),""))</f>
        <v/>
      </c>
      <c r="AC2077" s="19" t="str">
        <f>IF($B2077="","",IFERROR(INDEX(Config!$D$9:$D$29,MATCH($B2077,Config!$B$9:$B$29,0))&amp;"",""))</f>
        <v/>
      </c>
    </row>
    <row r="2078">
      <c r="R2078" s="20" t="str">
        <f>IF($B2078="","",IFERROR(IF(INDEX(Config!$D$9:$D$29,MATCH($B2078,Config!$B$9:$B$29,0))="Contrato",IF(INDEX(Config!$E$9:$E$29,MATCH($B2078,Config!$B$9:$B$29,0))="","",INDEX(Config!$E$9:$E$29,MATCH($B2078,Config!$B$9:$B$29,0))),""),""))</f>
        <v/>
      </c>
      <c r="AC2078" s="19" t="str">
        <f>IF($B2078="","",IFERROR(INDEX(Config!$D$9:$D$29,MATCH($B2078,Config!$B$9:$B$29,0))&amp;"",""))</f>
        <v/>
      </c>
    </row>
    <row r="2079">
      <c r="R2079" s="20" t="str">
        <f>IF($B2079="","",IFERROR(IF(INDEX(Config!$D$9:$D$29,MATCH($B2079,Config!$B$9:$B$29,0))="Contrato",IF(INDEX(Config!$E$9:$E$29,MATCH($B2079,Config!$B$9:$B$29,0))="","",INDEX(Config!$E$9:$E$29,MATCH($B2079,Config!$B$9:$B$29,0))),""),""))</f>
        <v/>
      </c>
      <c r="AC2079" s="19" t="str">
        <f>IF($B2079="","",IFERROR(INDEX(Config!$D$9:$D$29,MATCH($B2079,Config!$B$9:$B$29,0))&amp;"",""))</f>
        <v/>
      </c>
    </row>
    <row r="2080">
      <c r="R2080" s="20" t="str">
        <f>IF($B2080="","",IFERROR(IF(INDEX(Config!$D$9:$D$29,MATCH($B2080,Config!$B$9:$B$29,0))="Contrato",IF(INDEX(Config!$E$9:$E$29,MATCH($B2080,Config!$B$9:$B$29,0))="","",INDEX(Config!$E$9:$E$29,MATCH($B2080,Config!$B$9:$B$29,0))),""),""))</f>
        <v/>
      </c>
      <c r="AC2080" s="19" t="str">
        <f>IF($B2080="","",IFERROR(INDEX(Config!$D$9:$D$29,MATCH($B2080,Config!$B$9:$B$29,0))&amp;"",""))</f>
        <v/>
      </c>
    </row>
    <row r="2081">
      <c r="R2081" s="20" t="str">
        <f>IF($B2081="","",IFERROR(IF(INDEX(Config!$D$9:$D$29,MATCH($B2081,Config!$B$9:$B$29,0))="Contrato",IF(INDEX(Config!$E$9:$E$29,MATCH($B2081,Config!$B$9:$B$29,0))="","",INDEX(Config!$E$9:$E$29,MATCH($B2081,Config!$B$9:$B$29,0))),""),""))</f>
        <v/>
      </c>
      <c r="AC2081" s="19" t="str">
        <f>IF($B2081="","",IFERROR(INDEX(Config!$D$9:$D$29,MATCH($B2081,Config!$B$9:$B$29,0))&amp;"",""))</f>
        <v/>
      </c>
    </row>
    <row r="2082">
      <c r="R2082" s="20" t="str">
        <f>IF($B2082="","",IFERROR(IF(INDEX(Config!$D$9:$D$29,MATCH($B2082,Config!$B$9:$B$29,0))="Contrato",IF(INDEX(Config!$E$9:$E$29,MATCH($B2082,Config!$B$9:$B$29,0))="","",INDEX(Config!$E$9:$E$29,MATCH($B2082,Config!$B$9:$B$29,0))),""),""))</f>
        <v/>
      </c>
      <c r="AC2082" s="19" t="str">
        <f>IF($B2082="","",IFERROR(INDEX(Config!$D$9:$D$29,MATCH($B2082,Config!$B$9:$B$29,0))&amp;"",""))</f>
        <v/>
      </c>
    </row>
    <row r="2083">
      <c r="R2083" s="20" t="str">
        <f>IF($B2083="","",IFERROR(IF(INDEX(Config!$D$9:$D$29,MATCH($B2083,Config!$B$9:$B$29,0))="Contrato",IF(INDEX(Config!$E$9:$E$29,MATCH($B2083,Config!$B$9:$B$29,0))="","",INDEX(Config!$E$9:$E$29,MATCH($B2083,Config!$B$9:$B$29,0))),""),""))</f>
        <v/>
      </c>
      <c r="AC2083" s="19" t="str">
        <f>IF($B2083="","",IFERROR(INDEX(Config!$D$9:$D$29,MATCH($B2083,Config!$B$9:$B$29,0))&amp;"",""))</f>
        <v/>
      </c>
    </row>
    <row r="2084">
      <c r="R2084" s="20" t="str">
        <f>IF($B2084="","",IFERROR(IF(INDEX(Config!$D$9:$D$29,MATCH($B2084,Config!$B$9:$B$29,0))="Contrato",IF(INDEX(Config!$E$9:$E$29,MATCH($B2084,Config!$B$9:$B$29,0))="","",INDEX(Config!$E$9:$E$29,MATCH($B2084,Config!$B$9:$B$29,0))),""),""))</f>
        <v/>
      </c>
      <c r="AC2084" s="19" t="str">
        <f>IF($B2084="","",IFERROR(INDEX(Config!$D$9:$D$29,MATCH($B2084,Config!$B$9:$B$29,0))&amp;"",""))</f>
        <v/>
      </c>
    </row>
    <row r="2085">
      <c r="R2085" s="20" t="str">
        <f>IF($B2085="","",IFERROR(IF(INDEX(Config!$D$9:$D$29,MATCH($B2085,Config!$B$9:$B$29,0))="Contrato",IF(INDEX(Config!$E$9:$E$29,MATCH($B2085,Config!$B$9:$B$29,0))="","",INDEX(Config!$E$9:$E$29,MATCH($B2085,Config!$B$9:$B$29,0))),""),""))</f>
        <v/>
      </c>
      <c r="AC2085" s="19" t="str">
        <f>IF($B2085="","",IFERROR(INDEX(Config!$D$9:$D$29,MATCH($B2085,Config!$B$9:$B$29,0))&amp;"",""))</f>
        <v/>
      </c>
    </row>
    <row r="2086">
      <c r="R2086" s="20" t="str">
        <f>IF($B2086="","",IFERROR(IF(INDEX(Config!$D$9:$D$29,MATCH($B2086,Config!$B$9:$B$29,0))="Contrato",IF(INDEX(Config!$E$9:$E$29,MATCH($B2086,Config!$B$9:$B$29,0))="","",INDEX(Config!$E$9:$E$29,MATCH($B2086,Config!$B$9:$B$29,0))),""),""))</f>
        <v/>
      </c>
      <c r="AC2086" s="19" t="str">
        <f>IF($B2086="","",IFERROR(INDEX(Config!$D$9:$D$29,MATCH($B2086,Config!$B$9:$B$29,0))&amp;"",""))</f>
        <v/>
      </c>
    </row>
    <row r="2087">
      <c r="R2087" s="20" t="str">
        <f>IF($B2087="","",IFERROR(IF(INDEX(Config!$D$9:$D$29,MATCH($B2087,Config!$B$9:$B$29,0))="Contrato",IF(INDEX(Config!$E$9:$E$29,MATCH($B2087,Config!$B$9:$B$29,0))="","",INDEX(Config!$E$9:$E$29,MATCH($B2087,Config!$B$9:$B$29,0))),""),""))</f>
        <v/>
      </c>
      <c r="AC2087" s="19" t="str">
        <f>IF($B2087="","",IFERROR(INDEX(Config!$D$9:$D$29,MATCH($B2087,Config!$B$9:$B$29,0))&amp;"",""))</f>
        <v/>
      </c>
    </row>
    <row r="2088">
      <c r="R2088" s="20" t="str">
        <f>IF($B2088="","",IFERROR(IF(INDEX(Config!$D$9:$D$29,MATCH($B2088,Config!$B$9:$B$29,0))="Contrato",IF(INDEX(Config!$E$9:$E$29,MATCH($B2088,Config!$B$9:$B$29,0))="","",INDEX(Config!$E$9:$E$29,MATCH($B2088,Config!$B$9:$B$29,0))),""),""))</f>
        <v/>
      </c>
      <c r="AC2088" s="19" t="str">
        <f>IF($B2088="","",IFERROR(INDEX(Config!$D$9:$D$29,MATCH($B2088,Config!$B$9:$B$29,0))&amp;"",""))</f>
        <v/>
      </c>
    </row>
    <row r="2089">
      <c r="R2089" s="20" t="str">
        <f>IF($B2089="","",IFERROR(IF(INDEX(Config!$D$9:$D$29,MATCH($B2089,Config!$B$9:$B$29,0))="Contrato",IF(INDEX(Config!$E$9:$E$29,MATCH($B2089,Config!$B$9:$B$29,0))="","",INDEX(Config!$E$9:$E$29,MATCH($B2089,Config!$B$9:$B$29,0))),""),""))</f>
        <v/>
      </c>
      <c r="AC2089" s="19" t="str">
        <f>IF($B2089="","",IFERROR(INDEX(Config!$D$9:$D$29,MATCH($B2089,Config!$B$9:$B$29,0))&amp;"",""))</f>
        <v/>
      </c>
    </row>
    <row r="2090">
      <c r="R2090" s="20" t="str">
        <f>IF($B2090="","",IFERROR(IF(INDEX(Config!$D$9:$D$29,MATCH($B2090,Config!$B$9:$B$29,0))="Contrato",IF(INDEX(Config!$E$9:$E$29,MATCH($B2090,Config!$B$9:$B$29,0))="","",INDEX(Config!$E$9:$E$29,MATCH($B2090,Config!$B$9:$B$29,0))),""),""))</f>
        <v/>
      </c>
      <c r="AC2090" s="19" t="str">
        <f>IF($B2090="","",IFERROR(INDEX(Config!$D$9:$D$29,MATCH($B2090,Config!$B$9:$B$29,0))&amp;"",""))</f>
        <v/>
      </c>
    </row>
    <row r="2091">
      <c r="R2091" s="20" t="str">
        <f>IF($B2091="","",IFERROR(IF(INDEX(Config!$D$9:$D$29,MATCH($B2091,Config!$B$9:$B$29,0))="Contrato",IF(INDEX(Config!$E$9:$E$29,MATCH($B2091,Config!$B$9:$B$29,0))="","",INDEX(Config!$E$9:$E$29,MATCH($B2091,Config!$B$9:$B$29,0))),""),""))</f>
        <v/>
      </c>
      <c r="AC2091" s="19" t="str">
        <f>IF($B2091="","",IFERROR(INDEX(Config!$D$9:$D$29,MATCH($B2091,Config!$B$9:$B$29,0))&amp;"",""))</f>
        <v/>
      </c>
    </row>
    <row r="2092">
      <c r="R2092" s="20" t="str">
        <f>IF($B2092="","",IFERROR(IF(INDEX(Config!$D$9:$D$29,MATCH($B2092,Config!$B$9:$B$29,0))="Contrato",IF(INDEX(Config!$E$9:$E$29,MATCH($B2092,Config!$B$9:$B$29,0))="","",INDEX(Config!$E$9:$E$29,MATCH($B2092,Config!$B$9:$B$29,0))),""),""))</f>
        <v/>
      </c>
      <c r="AC2092" s="19" t="str">
        <f>IF($B2092="","",IFERROR(INDEX(Config!$D$9:$D$29,MATCH($B2092,Config!$B$9:$B$29,0))&amp;"",""))</f>
        <v/>
      </c>
    </row>
    <row r="2093">
      <c r="R2093" s="20" t="str">
        <f>IF($B2093="","",IFERROR(IF(INDEX(Config!$D$9:$D$29,MATCH($B2093,Config!$B$9:$B$29,0))="Contrato",IF(INDEX(Config!$E$9:$E$29,MATCH($B2093,Config!$B$9:$B$29,0))="","",INDEX(Config!$E$9:$E$29,MATCH($B2093,Config!$B$9:$B$29,0))),""),""))</f>
        <v/>
      </c>
      <c r="AC2093" s="19" t="str">
        <f>IF($B2093="","",IFERROR(INDEX(Config!$D$9:$D$29,MATCH($B2093,Config!$B$9:$B$29,0))&amp;"",""))</f>
        <v/>
      </c>
    </row>
    <row r="2094">
      <c r="R2094" s="20" t="str">
        <f>IF($B2094="","",IFERROR(IF(INDEX(Config!$D$9:$D$29,MATCH($B2094,Config!$B$9:$B$29,0))="Contrato",IF(INDEX(Config!$E$9:$E$29,MATCH($B2094,Config!$B$9:$B$29,0))="","",INDEX(Config!$E$9:$E$29,MATCH($B2094,Config!$B$9:$B$29,0))),""),""))</f>
        <v/>
      </c>
      <c r="AC2094" s="19" t="str">
        <f>IF($B2094="","",IFERROR(INDEX(Config!$D$9:$D$29,MATCH($B2094,Config!$B$9:$B$29,0))&amp;"",""))</f>
        <v/>
      </c>
    </row>
    <row r="2095">
      <c r="R2095" s="20" t="str">
        <f>IF($B2095="","",IFERROR(IF(INDEX(Config!$D$9:$D$29,MATCH($B2095,Config!$B$9:$B$29,0))="Contrato",IF(INDEX(Config!$E$9:$E$29,MATCH($B2095,Config!$B$9:$B$29,0))="","",INDEX(Config!$E$9:$E$29,MATCH($B2095,Config!$B$9:$B$29,0))),""),""))</f>
        <v/>
      </c>
      <c r="AC2095" s="19" t="str">
        <f>IF($B2095="","",IFERROR(INDEX(Config!$D$9:$D$29,MATCH($B2095,Config!$B$9:$B$29,0))&amp;"",""))</f>
        <v/>
      </c>
    </row>
    <row r="2096">
      <c r="R2096" s="20" t="str">
        <f>IF($B2096="","",IFERROR(IF(INDEX(Config!$D$9:$D$29,MATCH($B2096,Config!$B$9:$B$29,0))="Contrato",IF(INDEX(Config!$E$9:$E$29,MATCH($B2096,Config!$B$9:$B$29,0))="","",INDEX(Config!$E$9:$E$29,MATCH($B2096,Config!$B$9:$B$29,0))),""),""))</f>
        <v/>
      </c>
      <c r="AC2096" s="19" t="str">
        <f>IF($B2096="","",IFERROR(INDEX(Config!$D$9:$D$29,MATCH($B2096,Config!$B$9:$B$29,0))&amp;"",""))</f>
        <v/>
      </c>
    </row>
    <row r="2097">
      <c r="R2097" s="20" t="str">
        <f>IF($B2097="","",IFERROR(IF(INDEX(Config!$D$9:$D$29,MATCH($B2097,Config!$B$9:$B$29,0))="Contrato",IF(INDEX(Config!$E$9:$E$29,MATCH($B2097,Config!$B$9:$B$29,0))="","",INDEX(Config!$E$9:$E$29,MATCH($B2097,Config!$B$9:$B$29,0))),""),""))</f>
        <v/>
      </c>
      <c r="AC2097" s="19" t="str">
        <f>IF($B2097="","",IFERROR(INDEX(Config!$D$9:$D$29,MATCH($B2097,Config!$B$9:$B$29,0))&amp;"",""))</f>
        <v/>
      </c>
    </row>
    <row r="2098">
      <c r="R2098" s="20" t="str">
        <f>IF($B2098="","",IFERROR(IF(INDEX(Config!$D$9:$D$29,MATCH($B2098,Config!$B$9:$B$29,0))="Contrato",IF(INDEX(Config!$E$9:$E$29,MATCH($B2098,Config!$B$9:$B$29,0))="","",INDEX(Config!$E$9:$E$29,MATCH($B2098,Config!$B$9:$B$29,0))),""),""))</f>
        <v/>
      </c>
      <c r="AC2098" s="19" t="str">
        <f>IF($B2098="","",IFERROR(INDEX(Config!$D$9:$D$29,MATCH($B2098,Config!$B$9:$B$29,0))&amp;"",""))</f>
        <v/>
      </c>
    </row>
    <row r="2099">
      <c r="R2099" s="20" t="str">
        <f>IF($B2099="","",IFERROR(IF(INDEX(Config!$D$9:$D$29,MATCH($B2099,Config!$B$9:$B$29,0))="Contrato",IF(INDEX(Config!$E$9:$E$29,MATCH($B2099,Config!$B$9:$B$29,0))="","",INDEX(Config!$E$9:$E$29,MATCH($B2099,Config!$B$9:$B$29,0))),""),""))</f>
        <v/>
      </c>
      <c r="AC2099" s="19" t="str">
        <f>IF($B2099="","",IFERROR(INDEX(Config!$D$9:$D$29,MATCH($B2099,Config!$B$9:$B$29,0))&amp;"",""))</f>
        <v/>
      </c>
    </row>
    <row r="2100">
      <c r="R2100" s="20" t="str">
        <f>IF($B2100="","",IFERROR(IF(INDEX(Config!$D$9:$D$29,MATCH($B2100,Config!$B$9:$B$29,0))="Contrato",IF(INDEX(Config!$E$9:$E$29,MATCH($B2100,Config!$B$9:$B$29,0))="","",INDEX(Config!$E$9:$E$29,MATCH($B2100,Config!$B$9:$B$29,0))),""),""))</f>
        <v/>
      </c>
      <c r="AC2100" s="19" t="str">
        <f>IF($B2100="","",IFERROR(INDEX(Config!$D$9:$D$29,MATCH($B2100,Config!$B$9:$B$29,0))&amp;"",""))</f>
        <v/>
      </c>
    </row>
    <row r="2101">
      <c r="R2101" s="20" t="str">
        <f>IF($B2101="","",IFERROR(IF(INDEX(Config!$D$9:$D$29,MATCH($B2101,Config!$B$9:$B$29,0))="Contrato",IF(INDEX(Config!$E$9:$E$29,MATCH($B2101,Config!$B$9:$B$29,0))="","",INDEX(Config!$E$9:$E$29,MATCH($B2101,Config!$B$9:$B$29,0))),""),""))</f>
        <v/>
      </c>
      <c r="AC2101" s="19" t="str">
        <f>IF($B2101="","",IFERROR(INDEX(Config!$D$9:$D$29,MATCH($B2101,Config!$B$9:$B$29,0))&amp;"",""))</f>
        <v/>
      </c>
    </row>
    <row r="2102">
      <c r="R2102" s="20" t="str">
        <f>IF($B2102="","",IFERROR(IF(INDEX(Config!$D$9:$D$29,MATCH($B2102,Config!$B$9:$B$29,0))="Contrato",IF(INDEX(Config!$E$9:$E$29,MATCH($B2102,Config!$B$9:$B$29,0))="","",INDEX(Config!$E$9:$E$29,MATCH($B2102,Config!$B$9:$B$29,0))),""),""))</f>
        <v/>
      </c>
      <c r="AC2102" s="19" t="str">
        <f>IF($B2102="","",IFERROR(INDEX(Config!$D$9:$D$29,MATCH($B2102,Config!$B$9:$B$29,0))&amp;"",""))</f>
        <v/>
      </c>
    </row>
    <row r="2103">
      <c r="R2103" s="20" t="str">
        <f>IF($B2103="","",IFERROR(IF(INDEX(Config!$D$9:$D$29,MATCH($B2103,Config!$B$9:$B$29,0))="Contrato",IF(INDEX(Config!$E$9:$E$29,MATCH($B2103,Config!$B$9:$B$29,0))="","",INDEX(Config!$E$9:$E$29,MATCH($B2103,Config!$B$9:$B$29,0))),""),""))</f>
        <v/>
      </c>
      <c r="AC2103" s="19" t="str">
        <f>IF($B2103="","",IFERROR(INDEX(Config!$D$9:$D$29,MATCH($B2103,Config!$B$9:$B$29,0))&amp;"",""))</f>
        <v/>
      </c>
    </row>
    <row r="2104">
      <c r="R2104" s="20" t="str">
        <f>IF($B2104="","",IFERROR(IF(INDEX(Config!$D$9:$D$29,MATCH($B2104,Config!$B$9:$B$29,0))="Contrato",IF(INDEX(Config!$E$9:$E$29,MATCH($B2104,Config!$B$9:$B$29,0))="","",INDEX(Config!$E$9:$E$29,MATCH($B2104,Config!$B$9:$B$29,0))),""),""))</f>
        <v/>
      </c>
      <c r="AC2104" s="19" t="str">
        <f>IF($B2104="","",IFERROR(INDEX(Config!$D$9:$D$29,MATCH($B2104,Config!$B$9:$B$29,0))&amp;"",""))</f>
        <v/>
      </c>
    </row>
    <row r="2105">
      <c r="R2105" s="20" t="str">
        <f>IF($B2105="","",IFERROR(IF(INDEX(Config!$D$9:$D$29,MATCH($B2105,Config!$B$9:$B$29,0))="Contrato",IF(INDEX(Config!$E$9:$E$29,MATCH($B2105,Config!$B$9:$B$29,0))="","",INDEX(Config!$E$9:$E$29,MATCH($B2105,Config!$B$9:$B$29,0))),""),""))</f>
        <v/>
      </c>
      <c r="AC2105" s="19" t="str">
        <f>IF($B2105="","",IFERROR(INDEX(Config!$D$9:$D$29,MATCH($B2105,Config!$B$9:$B$29,0))&amp;"",""))</f>
        <v/>
      </c>
    </row>
    <row r="2106">
      <c r="R2106" s="20" t="str">
        <f>IF($B2106="","",IFERROR(IF(INDEX(Config!$D$9:$D$29,MATCH($B2106,Config!$B$9:$B$29,0))="Contrato",IF(INDEX(Config!$E$9:$E$29,MATCH($B2106,Config!$B$9:$B$29,0))="","",INDEX(Config!$E$9:$E$29,MATCH($B2106,Config!$B$9:$B$29,0))),""),""))</f>
        <v/>
      </c>
      <c r="AC2106" s="19" t="str">
        <f>IF($B2106="","",IFERROR(INDEX(Config!$D$9:$D$29,MATCH($B2106,Config!$B$9:$B$29,0))&amp;"",""))</f>
        <v/>
      </c>
    </row>
    <row r="2107">
      <c r="R2107" s="20" t="str">
        <f>IF($B2107="","",IFERROR(IF(INDEX(Config!$D$9:$D$29,MATCH($B2107,Config!$B$9:$B$29,0))="Contrato",IF(INDEX(Config!$E$9:$E$29,MATCH($B2107,Config!$B$9:$B$29,0))="","",INDEX(Config!$E$9:$E$29,MATCH($B2107,Config!$B$9:$B$29,0))),""),""))</f>
        <v/>
      </c>
      <c r="AC2107" s="19" t="str">
        <f>IF($B2107="","",IFERROR(INDEX(Config!$D$9:$D$29,MATCH($B2107,Config!$B$9:$B$29,0))&amp;"",""))</f>
        <v/>
      </c>
    </row>
    <row r="2108">
      <c r="R2108" s="20" t="str">
        <f>IF($B2108="","",IFERROR(IF(INDEX(Config!$D$9:$D$29,MATCH($B2108,Config!$B$9:$B$29,0))="Contrato",IF(INDEX(Config!$E$9:$E$29,MATCH($B2108,Config!$B$9:$B$29,0))="","",INDEX(Config!$E$9:$E$29,MATCH($B2108,Config!$B$9:$B$29,0))),""),""))</f>
        <v/>
      </c>
      <c r="AC2108" s="19" t="str">
        <f>IF($B2108="","",IFERROR(INDEX(Config!$D$9:$D$29,MATCH($B2108,Config!$B$9:$B$29,0))&amp;"",""))</f>
        <v/>
      </c>
    </row>
    <row r="2109">
      <c r="R2109" s="20" t="str">
        <f>IF($B2109="","",IFERROR(IF(INDEX(Config!$D$9:$D$29,MATCH($B2109,Config!$B$9:$B$29,0))="Contrato",IF(INDEX(Config!$E$9:$E$29,MATCH($B2109,Config!$B$9:$B$29,0))="","",INDEX(Config!$E$9:$E$29,MATCH($B2109,Config!$B$9:$B$29,0))),""),""))</f>
        <v/>
      </c>
      <c r="AC2109" s="19" t="str">
        <f>IF($B2109="","",IFERROR(INDEX(Config!$D$9:$D$29,MATCH($B2109,Config!$B$9:$B$29,0))&amp;"",""))</f>
        <v/>
      </c>
    </row>
    <row r="2110">
      <c r="R2110" s="20" t="str">
        <f>IF($B2110="","",IFERROR(IF(INDEX(Config!$D$9:$D$29,MATCH($B2110,Config!$B$9:$B$29,0))="Contrato",IF(INDEX(Config!$E$9:$E$29,MATCH($B2110,Config!$B$9:$B$29,0))="","",INDEX(Config!$E$9:$E$29,MATCH($B2110,Config!$B$9:$B$29,0))),""),""))</f>
        <v/>
      </c>
      <c r="AC2110" s="19" t="str">
        <f>IF($B2110="","",IFERROR(INDEX(Config!$D$9:$D$29,MATCH($B2110,Config!$B$9:$B$29,0))&amp;"",""))</f>
        <v/>
      </c>
    </row>
    <row r="2111">
      <c r="R2111" s="20" t="str">
        <f>IF($B2111="","",IFERROR(IF(INDEX(Config!$D$9:$D$29,MATCH($B2111,Config!$B$9:$B$29,0))="Contrato",IF(INDEX(Config!$E$9:$E$29,MATCH($B2111,Config!$B$9:$B$29,0))="","",INDEX(Config!$E$9:$E$29,MATCH($B2111,Config!$B$9:$B$29,0))),""),""))</f>
        <v/>
      </c>
      <c r="AC2111" s="19" t="str">
        <f>IF($B2111="","",IFERROR(INDEX(Config!$D$9:$D$29,MATCH($B2111,Config!$B$9:$B$29,0))&amp;"",""))</f>
        <v/>
      </c>
    </row>
    <row r="2112">
      <c r="R2112" s="20" t="str">
        <f>IF($B2112="","",IFERROR(IF(INDEX(Config!$D$9:$D$29,MATCH($B2112,Config!$B$9:$B$29,0))="Contrato",IF(INDEX(Config!$E$9:$E$29,MATCH($B2112,Config!$B$9:$B$29,0))="","",INDEX(Config!$E$9:$E$29,MATCH($B2112,Config!$B$9:$B$29,0))),""),""))</f>
        <v/>
      </c>
      <c r="AC2112" s="19" t="str">
        <f>IF($B2112="","",IFERROR(INDEX(Config!$D$9:$D$29,MATCH($B2112,Config!$B$9:$B$29,0))&amp;"",""))</f>
        <v/>
      </c>
    </row>
    <row r="2113">
      <c r="R2113" s="20" t="str">
        <f>IF($B2113="","",IFERROR(IF(INDEX(Config!$D$9:$D$29,MATCH($B2113,Config!$B$9:$B$29,0))="Contrato",IF(INDEX(Config!$E$9:$E$29,MATCH($B2113,Config!$B$9:$B$29,0))="","",INDEX(Config!$E$9:$E$29,MATCH($B2113,Config!$B$9:$B$29,0))),""),""))</f>
        <v/>
      </c>
      <c r="AC2113" s="19" t="str">
        <f>IF($B2113="","",IFERROR(INDEX(Config!$D$9:$D$29,MATCH($B2113,Config!$B$9:$B$29,0))&amp;"",""))</f>
        <v/>
      </c>
    </row>
    <row r="2114">
      <c r="R2114" s="20" t="str">
        <f>IF($B2114="","",IFERROR(IF(INDEX(Config!$D$9:$D$29,MATCH($B2114,Config!$B$9:$B$29,0))="Contrato",IF(INDEX(Config!$E$9:$E$29,MATCH($B2114,Config!$B$9:$B$29,0))="","",INDEX(Config!$E$9:$E$29,MATCH($B2114,Config!$B$9:$B$29,0))),""),""))</f>
        <v/>
      </c>
      <c r="AC2114" s="19" t="str">
        <f>IF($B2114="","",IFERROR(INDEX(Config!$D$9:$D$29,MATCH($B2114,Config!$B$9:$B$29,0))&amp;"",""))</f>
        <v/>
      </c>
    </row>
    <row r="2115">
      <c r="R2115" s="20" t="str">
        <f>IF($B2115="","",IFERROR(IF(INDEX(Config!$D$9:$D$29,MATCH($B2115,Config!$B$9:$B$29,0))="Contrato",IF(INDEX(Config!$E$9:$E$29,MATCH($B2115,Config!$B$9:$B$29,0))="","",INDEX(Config!$E$9:$E$29,MATCH($B2115,Config!$B$9:$B$29,0))),""),""))</f>
        <v/>
      </c>
      <c r="AC2115" s="19" t="str">
        <f>IF($B2115="","",IFERROR(INDEX(Config!$D$9:$D$29,MATCH($B2115,Config!$B$9:$B$29,0))&amp;"",""))</f>
        <v/>
      </c>
    </row>
    <row r="2116">
      <c r="R2116" s="20" t="str">
        <f>IF($B2116="","",IFERROR(IF(INDEX(Config!$D$9:$D$29,MATCH($B2116,Config!$B$9:$B$29,0))="Contrato",IF(INDEX(Config!$E$9:$E$29,MATCH($B2116,Config!$B$9:$B$29,0))="","",INDEX(Config!$E$9:$E$29,MATCH($B2116,Config!$B$9:$B$29,0))),""),""))</f>
        <v/>
      </c>
      <c r="AC2116" s="19" t="str">
        <f>IF($B2116="","",IFERROR(INDEX(Config!$D$9:$D$29,MATCH($B2116,Config!$B$9:$B$29,0))&amp;"",""))</f>
        <v/>
      </c>
    </row>
    <row r="2117">
      <c r="R2117" s="20" t="str">
        <f>IF($B2117="","",IFERROR(IF(INDEX(Config!$D$9:$D$29,MATCH($B2117,Config!$B$9:$B$29,0))="Contrato",IF(INDEX(Config!$E$9:$E$29,MATCH($B2117,Config!$B$9:$B$29,0))="","",INDEX(Config!$E$9:$E$29,MATCH($B2117,Config!$B$9:$B$29,0))),""),""))</f>
        <v/>
      </c>
      <c r="AC2117" s="19" t="str">
        <f>IF($B2117="","",IFERROR(INDEX(Config!$D$9:$D$29,MATCH($B2117,Config!$B$9:$B$29,0))&amp;"",""))</f>
        <v/>
      </c>
    </row>
    <row r="2118">
      <c r="R2118" s="20" t="str">
        <f>IF($B2118="","",IFERROR(IF(INDEX(Config!$D$9:$D$29,MATCH($B2118,Config!$B$9:$B$29,0))="Contrato",IF(INDEX(Config!$E$9:$E$29,MATCH($B2118,Config!$B$9:$B$29,0))="","",INDEX(Config!$E$9:$E$29,MATCH($B2118,Config!$B$9:$B$29,0))),""),""))</f>
        <v/>
      </c>
      <c r="AC2118" s="19" t="str">
        <f>IF($B2118="","",IFERROR(INDEX(Config!$D$9:$D$29,MATCH($B2118,Config!$B$9:$B$29,0))&amp;"",""))</f>
        <v/>
      </c>
    </row>
    <row r="2119">
      <c r="R2119" s="20" t="str">
        <f>IF($B2119="","",IFERROR(IF(INDEX(Config!$D$9:$D$29,MATCH($B2119,Config!$B$9:$B$29,0))="Contrato",IF(INDEX(Config!$E$9:$E$29,MATCH($B2119,Config!$B$9:$B$29,0))="","",INDEX(Config!$E$9:$E$29,MATCH($B2119,Config!$B$9:$B$29,0))),""),""))</f>
        <v/>
      </c>
      <c r="AC2119" s="19" t="str">
        <f>IF($B2119="","",IFERROR(INDEX(Config!$D$9:$D$29,MATCH($B2119,Config!$B$9:$B$29,0))&amp;"",""))</f>
        <v/>
      </c>
    </row>
    <row r="2120">
      <c r="R2120" s="20" t="str">
        <f>IF($B2120="","",IFERROR(IF(INDEX(Config!$D$9:$D$29,MATCH($B2120,Config!$B$9:$B$29,0))="Contrato",IF(INDEX(Config!$E$9:$E$29,MATCH($B2120,Config!$B$9:$B$29,0))="","",INDEX(Config!$E$9:$E$29,MATCH($B2120,Config!$B$9:$B$29,0))),""),""))</f>
        <v/>
      </c>
      <c r="AC2120" s="19" t="str">
        <f>IF($B2120="","",IFERROR(INDEX(Config!$D$9:$D$29,MATCH($B2120,Config!$B$9:$B$29,0))&amp;"",""))</f>
        <v/>
      </c>
    </row>
    <row r="2121">
      <c r="R2121" s="20" t="str">
        <f>IF($B2121="","",IFERROR(IF(INDEX(Config!$D$9:$D$29,MATCH($B2121,Config!$B$9:$B$29,0))="Contrato",IF(INDEX(Config!$E$9:$E$29,MATCH($B2121,Config!$B$9:$B$29,0))="","",INDEX(Config!$E$9:$E$29,MATCH($B2121,Config!$B$9:$B$29,0))),""),""))</f>
        <v/>
      </c>
      <c r="AC2121" s="19" t="str">
        <f>IF($B2121="","",IFERROR(INDEX(Config!$D$9:$D$29,MATCH($B2121,Config!$B$9:$B$29,0))&amp;"",""))</f>
        <v/>
      </c>
    </row>
    <row r="2122">
      <c r="R2122" s="20" t="str">
        <f>IF($B2122="","",IFERROR(IF(INDEX(Config!$D$9:$D$29,MATCH($B2122,Config!$B$9:$B$29,0))="Contrato",IF(INDEX(Config!$E$9:$E$29,MATCH($B2122,Config!$B$9:$B$29,0))="","",INDEX(Config!$E$9:$E$29,MATCH($B2122,Config!$B$9:$B$29,0))),""),""))</f>
        <v/>
      </c>
      <c r="AC2122" s="19" t="str">
        <f>IF($B2122="","",IFERROR(INDEX(Config!$D$9:$D$29,MATCH($B2122,Config!$B$9:$B$29,0))&amp;"",""))</f>
        <v/>
      </c>
    </row>
    <row r="2123">
      <c r="R2123" s="20" t="str">
        <f>IF($B2123="","",IFERROR(IF(INDEX(Config!$D$9:$D$29,MATCH($B2123,Config!$B$9:$B$29,0))="Contrato",IF(INDEX(Config!$E$9:$E$29,MATCH($B2123,Config!$B$9:$B$29,0))="","",INDEX(Config!$E$9:$E$29,MATCH($B2123,Config!$B$9:$B$29,0))),""),""))</f>
        <v/>
      </c>
      <c r="AC2123" s="19" t="str">
        <f>IF($B2123="","",IFERROR(INDEX(Config!$D$9:$D$29,MATCH($B2123,Config!$B$9:$B$29,0))&amp;"",""))</f>
        <v/>
      </c>
    </row>
    <row r="2124">
      <c r="R2124" s="20" t="str">
        <f>IF($B2124="","",IFERROR(IF(INDEX(Config!$D$9:$D$29,MATCH($B2124,Config!$B$9:$B$29,0))="Contrato",IF(INDEX(Config!$E$9:$E$29,MATCH($B2124,Config!$B$9:$B$29,0))="","",INDEX(Config!$E$9:$E$29,MATCH($B2124,Config!$B$9:$B$29,0))),""),""))</f>
        <v/>
      </c>
      <c r="AC2124" s="19" t="str">
        <f>IF($B2124="","",IFERROR(INDEX(Config!$D$9:$D$29,MATCH($B2124,Config!$B$9:$B$29,0))&amp;"",""))</f>
        <v/>
      </c>
    </row>
    <row r="2125">
      <c r="R2125" s="20" t="str">
        <f>IF($B2125="","",IFERROR(IF(INDEX(Config!$D$9:$D$29,MATCH($B2125,Config!$B$9:$B$29,0))="Contrato",IF(INDEX(Config!$E$9:$E$29,MATCH($B2125,Config!$B$9:$B$29,0))="","",INDEX(Config!$E$9:$E$29,MATCH($B2125,Config!$B$9:$B$29,0))),""),""))</f>
        <v/>
      </c>
      <c r="AC2125" s="19" t="str">
        <f>IF($B2125="","",IFERROR(INDEX(Config!$D$9:$D$29,MATCH($B2125,Config!$B$9:$B$29,0))&amp;"",""))</f>
        <v/>
      </c>
    </row>
    <row r="2126">
      <c r="R2126" s="20" t="str">
        <f>IF($B2126="","",IFERROR(IF(INDEX(Config!$D$9:$D$29,MATCH($B2126,Config!$B$9:$B$29,0))="Contrato",IF(INDEX(Config!$E$9:$E$29,MATCH($B2126,Config!$B$9:$B$29,0))="","",INDEX(Config!$E$9:$E$29,MATCH($B2126,Config!$B$9:$B$29,0))),""),""))</f>
        <v/>
      </c>
      <c r="AC2126" s="19" t="str">
        <f>IF($B2126="","",IFERROR(INDEX(Config!$D$9:$D$29,MATCH($B2126,Config!$B$9:$B$29,0))&amp;"",""))</f>
        <v/>
      </c>
    </row>
    <row r="2127">
      <c r="R2127" s="20" t="str">
        <f>IF($B2127="","",IFERROR(IF(INDEX(Config!$D$9:$D$29,MATCH($B2127,Config!$B$9:$B$29,0))="Contrato",IF(INDEX(Config!$E$9:$E$29,MATCH($B2127,Config!$B$9:$B$29,0))="","",INDEX(Config!$E$9:$E$29,MATCH($B2127,Config!$B$9:$B$29,0))),""),""))</f>
        <v/>
      </c>
      <c r="AC2127" s="19" t="str">
        <f>IF($B2127="","",IFERROR(INDEX(Config!$D$9:$D$29,MATCH($B2127,Config!$B$9:$B$29,0))&amp;"",""))</f>
        <v/>
      </c>
    </row>
    <row r="2128">
      <c r="R2128" s="20" t="str">
        <f>IF($B2128="","",IFERROR(IF(INDEX(Config!$D$9:$D$29,MATCH($B2128,Config!$B$9:$B$29,0))="Contrato",IF(INDEX(Config!$E$9:$E$29,MATCH($B2128,Config!$B$9:$B$29,0))="","",INDEX(Config!$E$9:$E$29,MATCH($B2128,Config!$B$9:$B$29,0))),""),""))</f>
        <v/>
      </c>
      <c r="AC2128" s="19" t="str">
        <f>IF($B2128="","",IFERROR(INDEX(Config!$D$9:$D$29,MATCH($B2128,Config!$B$9:$B$29,0))&amp;"",""))</f>
        <v/>
      </c>
    </row>
    <row r="2129">
      <c r="R2129" s="20" t="str">
        <f>IF($B2129="","",IFERROR(IF(INDEX(Config!$D$9:$D$29,MATCH($B2129,Config!$B$9:$B$29,0))="Contrato",IF(INDEX(Config!$E$9:$E$29,MATCH($B2129,Config!$B$9:$B$29,0))="","",INDEX(Config!$E$9:$E$29,MATCH($B2129,Config!$B$9:$B$29,0))),""),""))</f>
        <v/>
      </c>
      <c r="AC2129" s="19" t="str">
        <f>IF($B2129="","",IFERROR(INDEX(Config!$D$9:$D$29,MATCH($B2129,Config!$B$9:$B$29,0))&amp;"",""))</f>
        <v/>
      </c>
    </row>
    <row r="2130">
      <c r="R2130" s="20" t="str">
        <f>IF($B2130="","",IFERROR(IF(INDEX(Config!$D$9:$D$29,MATCH($B2130,Config!$B$9:$B$29,0))="Contrato",IF(INDEX(Config!$E$9:$E$29,MATCH($B2130,Config!$B$9:$B$29,0))="","",INDEX(Config!$E$9:$E$29,MATCH($B2130,Config!$B$9:$B$29,0))),""),""))</f>
        <v/>
      </c>
      <c r="AC2130" s="19" t="str">
        <f>IF($B2130="","",IFERROR(INDEX(Config!$D$9:$D$29,MATCH($B2130,Config!$B$9:$B$29,0))&amp;"",""))</f>
        <v/>
      </c>
    </row>
    <row r="2131">
      <c r="R2131" s="20" t="str">
        <f>IF($B2131="","",IFERROR(IF(INDEX(Config!$D$9:$D$29,MATCH($B2131,Config!$B$9:$B$29,0))="Contrato",IF(INDEX(Config!$E$9:$E$29,MATCH($B2131,Config!$B$9:$B$29,0))="","",INDEX(Config!$E$9:$E$29,MATCH($B2131,Config!$B$9:$B$29,0))),""),""))</f>
        <v/>
      </c>
      <c r="AC2131" s="19" t="str">
        <f>IF($B2131="","",IFERROR(INDEX(Config!$D$9:$D$29,MATCH($B2131,Config!$B$9:$B$29,0))&amp;"",""))</f>
        <v/>
      </c>
    </row>
    <row r="2132">
      <c r="R2132" s="20" t="str">
        <f>IF($B2132="","",IFERROR(IF(INDEX(Config!$D$9:$D$29,MATCH($B2132,Config!$B$9:$B$29,0))="Contrato",IF(INDEX(Config!$E$9:$E$29,MATCH($B2132,Config!$B$9:$B$29,0))="","",INDEX(Config!$E$9:$E$29,MATCH($B2132,Config!$B$9:$B$29,0))),""),""))</f>
        <v/>
      </c>
      <c r="AC2132" s="19" t="str">
        <f>IF($B2132="","",IFERROR(INDEX(Config!$D$9:$D$29,MATCH($B2132,Config!$B$9:$B$29,0))&amp;"",""))</f>
        <v/>
      </c>
    </row>
    <row r="2133">
      <c r="R2133" s="20" t="str">
        <f>IF($B2133="","",IFERROR(IF(INDEX(Config!$D$9:$D$29,MATCH($B2133,Config!$B$9:$B$29,0))="Contrato",IF(INDEX(Config!$E$9:$E$29,MATCH($B2133,Config!$B$9:$B$29,0))="","",INDEX(Config!$E$9:$E$29,MATCH($B2133,Config!$B$9:$B$29,0))),""),""))</f>
        <v/>
      </c>
      <c r="AC2133" s="19" t="str">
        <f>IF($B2133="","",IFERROR(INDEX(Config!$D$9:$D$29,MATCH($B2133,Config!$B$9:$B$29,0))&amp;"",""))</f>
        <v/>
      </c>
    </row>
    <row r="2134">
      <c r="R2134" s="20" t="str">
        <f>IF($B2134="","",IFERROR(IF(INDEX(Config!$D$9:$D$29,MATCH($B2134,Config!$B$9:$B$29,0))="Contrato",IF(INDEX(Config!$E$9:$E$29,MATCH($B2134,Config!$B$9:$B$29,0))="","",INDEX(Config!$E$9:$E$29,MATCH($B2134,Config!$B$9:$B$29,0))),""),""))</f>
        <v/>
      </c>
      <c r="AC2134" s="19" t="str">
        <f>IF($B2134="","",IFERROR(INDEX(Config!$D$9:$D$29,MATCH($B2134,Config!$B$9:$B$29,0))&amp;"",""))</f>
        <v/>
      </c>
    </row>
    <row r="2135">
      <c r="R2135" s="20" t="str">
        <f>IF($B2135="","",IFERROR(IF(INDEX(Config!$D$9:$D$29,MATCH($B2135,Config!$B$9:$B$29,0))="Contrato",IF(INDEX(Config!$E$9:$E$29,MATCH($B2135,Config!$B$9:$B$29,0))="","",INDEX(Config!$E$9:$E$29,MATCH($B2135,Config!$B$9:$B$29,0))),""),""))</f>
        <v/>
      </c>
      <c r="AC2135" s="19" t="str">
        <f>IF($B2135="","",IFERROR(INDEX(Config!$D$9:$D$29,MATCH($B2135,Config!$B$9:$B$29,0))&amp;"",""))</f>
        <v/>
      </c>
    </row>
    <row r="2136">
      <c r="R2136" s="20" t="str">
        <f>IF($B2136="","",IFERROR(IF(INDEX(Config!$D$9:$D$29,MATCH($B2136,Config!$B$9:$B$29,0))="Contrato",IF(INDEX(Config!$E$9:$E$29,MATCH($B2136,Config!$B$9:$B$29,0))="","",INDEX(Config!$E$9:$E$29,MATCH($B2136,Config!$B$9:$B$29,0))),""),""))</f>
        <v/>
      </c>
      <c r="AC2136" s="19" t="str">
        <f>IF($B2136="","",IFERROR(INDEX(Config!$D$9:$D$29,MATCH($B2136,Config!$B$9:$B$29,0))&amp;"",""))</f>
        <v/>
      </c>
    </row>
    <row r="2137">
      <c r="R2137" s="20" t="str">
        <f>IF($B2137="","",IFERROR(IF(INDEX(Config!$D$9:$D$29,MATCH($B2137,Config!$B$9:$B$29,0))="Contrato",IF(INDEX(Config!$E$9:$E$29,MATCH($B2137,Config!$B$9:$B$29,0))="","",INDEX(Config!$E$9:$E$29,MATCH($B2137,Config!$B$9:$B$29,0))),""),""))</f>
        <v/>
      </c>
      <c r="AC2137" s="19" t="str">
        <f>IF($B2137="","",IFERROR(INDEX(Config!$D$9:$D$29,MATCH($B2137,Config!$B$9:$B$29,0))&amp;"",""))</f>
        <v/>
      </c>
    </row>
    <row r="2138">
      <c r="R2138" s="20" t="str">
        <f>IF($B2138="","",IFERROR(IF(INDEX(Config!$D$9:$D$29,MATCH($B2138,Config!$B$9:$B$29,0))="Contrato",IF(INDEX(Config!$E$9:$E$29,MATCH($B2138,Config!$B$9:$B$29,0))="","",INDEX(Config!$E$9:$E$29,MATCH($B2138,Config!$B$9:$B$29,0))),""),""))</f>
        <v/>
      </c>
      <c r="AC2138" s="19" t="str">
        <f>IF($B2138="","",IFERROR(INDEX(Config!$D$9:$D$29,MATCH($B2138,Config!$B$9:$B$29,0))&amp;"",""))</f>
        <v/>
      </c>
    </row>
    <row r="2139">
      <c r="R2139" s="20" t="str">
        <f>IF($B2139="","",IFERROR(IF(INDEX(Config!$D$9:$D$29,MATCH($B2139,Config!$B$9:$B$29,0))="Contrato",IF(INDEX(Config!$E$9:$E$29,MATCH($B2139,Config!$B$9:$B$29,0))="","",INDEX(Config!$E$9:$E$29,MATCH($B2139,Config!$B$9:$B$29,0))),""),""))</f>
        <v/>
      </c>
      <c r="AC2139" s="19" t="str">
        <f>IF($B2139="","",IFERROR(INDEX(Config!$D$9:$D$29,MATCH($B2139,Config!$B$9:$B$29,0))&amp;"",""))</f>
        <v/>
      </c>
    </row>
    <row r="2140">
      <c r="R2140" s="20" t="str">
        <f>IF($B2140="","",IFERROR(IF(INDEX(Config!$D$9:$D$29,MATCH($B2140,Config!$B$9:$B$29,0))="Contrato",IF(INDEX(Config!$E$9:$E$29,MATCH($B2140,Config!$B$9:$B$29,0))="","",INDEX(Config!$E$9:$E$29,MATCH($B2140,Config!$B$9:$B$29,0))),""),""))</f>
        <v/>
      </c>
      <c r="AC2140" s="19" t="str">
        <f>IF($B2140="","",IFERROR(INDEX(Config!$D$9:$D$29,MATCH($B2140,Config!$B$9:$B$29,0))&amp;"",""))</f>
        <v/>
      </c>
    </row>
    <row r="2141">
      <c r="R2141" s="20" t="str">
        <f>IF($B2141="","",IFERROR(IF(INDEX(Config!$D$9:$D$29,MATCH($B2141,Config!$B$9:$B$29,0))="Contrato",IF(INDEX(Config!$E$9:$E$29,MATCH($B2141,Config!$B$9:$B$29,0))="","",INDEX(Config!$E$9:$E$29,MATCH($B2141,Config!$B$9:$B$29,0))),""),""))</f>
        <v/>
      </c>
      <c r="AC2141" s="19" t="str">
        <f>IF($B2141="","",IFERROR(INDEX(Config!$D$9:$D$29,MATCH($B2141,Config!$B$9:$B$29,0))&amp;"",""))</f>
        <v/>
      </c>
    </row>
    <row r="2142">
      <c r="R2142" s="20" t="str">
        <f>IF($B2142="","",IFERROR(IF(INDEX(Config!$D$9:$D$29,MATCH($B2142,Config!$B$9:$B$29,0))="Contrato",IF(INDEX(Config!$E$9:$E$29,MATCH($B2142,Config!$B$9:$B$29,0))="","",INDEX(Config!$E$9:$E$29,MATCH($B2142,Config!$B$9:$B$29,0))),""),""))</f>
        <v/>
      </c>
      <c r="AC2142" s="19" t="str">
        <f>IF($B2142="","",IFERROR(INDEX(Config!$D$9:$D$29,MATCH($B2142,Config!$B$9:$B$29,0))&amp;"",""))</f>
        <v/>
      </c>
    </row>
    <row r="2143">
      <c r="R2143" s="20" t="str">
        <f>IF($B2143="","",IFERROR(IF(INDEX(Config!$D$9:$D$29,MATCH($B2143,Config!$B$9:$B$29,0))="Contrato",IF(INDEX(Config!$E$9:$E$29,MATCH($B2143,Config!$B$9:$B$29,0))="","",INDEX(Config!$E$9:$E$29,MATCH($B2143,Config!$B$9:$B$29,0))),""),""))</f>
        <v/>
      </c>
      <c r="AC2143" s="19" t="str">
        <f>IF($B2143="","",IFERROR(INDEX(Config!$D$9:$D$29,MATCH($B2143,Config!$B$9:$B$29,0))&amp;"",""))</f>
        <v/>
      </c>
    </row>
    <row r="2144">
      <c r="R2144" s="20" t="str">
        <f>IF($B2144="","",IFERROR(IF(INDEX(Config!$D$9:$D$29,MATCH($B2144,Config!$B$9:$B$29,0))="Contrato",IF(INDEX(Config!$E$9:$E$29,MATCH($B2144,Config!$B$9:$B$29,0))="","",INDEX(Config!$E$9:$E$29,MATCH($B2144,Config!$B$9:$B$29,0))),""),""))</f>
        <v/>
      </c>
      <c r="AC2144" s="19" t="str">
        <f>IF($B2144="","",IFERROR(INDEX(Config!$D$9:$D$29,MATCH($B2144,Config!$B$9:$B$29,0))&amp;"",""))</f>
        <v/>
      </c>
    </row>
    <row r="2145">
      <c r="R2145" s="20" t="str">
        <f>IF($B2145="","",IFERROR(IF(INDEX(Config!$D$9:$D$29,MATCH($B2145,Config!$B$9:$B$29,0))="Contrato",IF(INDEX(Config!$E$9:$E$29,MATCH($B2145,Config!$B$9:$B$29,0))="","",INDEX(Config!$E$9:$E$29,MATCH($B2145,Config!$B$9:$B$29,0))),""),""))</f>
        <v/>
      </c>
      <c r="AC2145" s="19" t="str">
        <f>IF($B2145="","",IFERROR(INDEX(Config!$D$9:$D$29,MATCH($B2145,Config!$B$9:$B$29,0))&amp;"",""))</f>
        <v/>
      </c>
    </row>
    <row r="2146">
      <c r="R2146" s="20" t="str">
        <f>IF($B2146="","",IFERROR(IF(INDEX(Config!$D$9:$D$29,MATCH($B2146,Config!$B$9:$B$29,0))="Contrato",IF(INDEX(Config!$E$9:$E$29,MATCH($B2146,Config!$B$9:$B$29,0))="","",INDEX(Config!$E$9:$E$29,MATCH($B2146,Config!$B$9:$B$29,0))),""),""))</f>
        <v/>
      </c>
      <c r="AC2146" s="19" t="str">
        <f>IF($B2146="","",IFERROR(INDEX(Config!$D$9:$D$29,MATCH($B2146,Config!$B$9:$B$29,0))&amp;"",""))</f>
        <v/>
      </c>
    </row>
    <row r="2147">
      <c r="R2147" s="20" t="str">
        <f>IF($B2147="","",IFERROR(IF(INDEX(Config!$D$9:$D$29,MATCH($B2147,Config!$B$9:$B$29,0))="Contrato",IF(INDEX(Config!$E$9:$E$29,MATCH($B2147,Config!$B$9:$B$29,0))="","",INDEX(Config!$E$9:$E$29,MATCH($B2147,Config!$B$9:$B$29,0))),""),""))</f>
        <v/>
      </c>
      <c r="AC2147" s="19" t="str">
        <f>IF($B2147="","",IFERROR(INDEX(Config!$D$9:$D$29,MATCH($B2147,Config!$B$9:$B$29,0))&amp;"",""))</f>
        <v/>
      </c>
    </row>
    <row r="2148">
      <c r="R2148" s="20" t="str">
        <f>IF($B2148="","",IFERROR(IF(INDEX(Config!$D$9:$D$29,MATCH($B2148,Config!$B$9:$B$29,0))="Contrato",IF(INDEX(Config!$E$9:$E$29,MATCH($B2148,Config!$B$9:$B$29,0))="","",INDEX(Config!$E$9:$E$29,MATCH($B2148,Config!$B$9:$B$29,0))),""),""))</f>
        <v/>
      </c>
      <c r="AC2148" s="19" t="str">
        <f>IF($B2148="","",IFERROR(INDEX(Config!$D$9:$D$29,MATCH($B2148,Config!$B$9:$B$29,0))&amp;"",""))</f>
        <v/>
      </c>
    </row>
    <row r="2149">
      <c r="R2149" s="20" t="str">
        <f>IF($B2149="","",IFERROR(IF(INDEX(Config!$D$9:$D$29,MATCH($B2149,Config!$B$9:$B$29,0))="Contrato",IF(INDEX(Config!$E$9:$E$29,MATCH($B2149,Config!$B$9:$B$29,0))="","",INDEX(Config!$E$9:$E$29,MATCH($B2149,Config!$B$9:$B$29,0))),""),""))</f>
        <v/>
      </c>
      <c r="AC2149" s="19" t="str">
        <f>IF($B2149="","",IFERROR(INDEX(Config!$D$9:$D$29,MATCH($B2149,Config!$B$9:$B$29,0))&amp;"",""))</f>
        <v/>
      </c>
    </row>
    <row r="2150">
      <c r="R2150" s="20" t="str">
        <f>IF($B2150="","",IFERROR(IF(INDEX(Config!$D$9:$D$29,MATCH($B2150,Config!$B$9:$B$29,0))="Contrato",IF(INDEX(Config!$E$9:$E$29,MATCH($B2150,Config!$B$9:$B$29,0))="","",INDEX(Config!$E$9:$E$29,MATCH($B2150,Config!$B$9:$B$29,0))),""),""))</f>
        <v/>
      </c>
      <c r="AC2150" s="19" t="str">
        <f>IF($B2150="","",IFERROR(INDEX(Config!$D$9:$D$29,MATCH($B2150,Config!$B$9:$B$29,0))&amp;"",""))</f>
        <v/>
      </c>
    </row>
    <row r="2151">
      <c r="R2151" s="20" t="str">
        <f>IF($B2151="","",IFERROR(IF(INDEX(Config!$D$9:$D$29,MATCH($B2151,Config!$B$9:$B$29,0))="Contrato",IF(INDEX(Config!$E$9:$E$29,MATCH($B2151,Config!$B$9:$B$29,0))="","",INDEX(Config!$E$9:$E$29,MATCH($B2151,Config!$B$9:$B$29,0))),""),""))</f>
        <v/>
      </c>
      <c r="AC2151" s="19" t="str">
        <f>IF($B2151="","",IFERROR(INDEX(Config!$D$9:$D$29,MATCH($B2151,Config!$B$9:$B$29,0))&amp;"",""))</f>
        <v/>
      </c>
    </row>
    <row r="2152">
      <c r="R2152" s="20" t="str">
        <f>IF($B2152="","",IFERROR(IF(INDEX(Config!$D$9:$D$29,MATCH($B2152,Config!$B$9:$B$29,0))="Contrato",IF(INDEX(Config!$E$9:$E$29,MATCH($B2152,Config!$B$9:$B$29,0))="","",INDEX(Config!$E$9:$E$29,MATCH($B2152,Config!$B$9:$B$29,0))),""),""))</f>
        <v/>
      </c>
      <c r="AC2152" s="19" t="str">
        <f>IF($B2152="","",IFERROR(INDEX(Config!$D$9:$D$29,MATCH($B2152,Config!$B$9:$B$29,0))&amp;"",""))</f>
        <v/>
      </c>
    </row>
    <row r="2153">
      <c r="R2153" s="20" t="str">
        <f>IF($B2153="","",IFERROR(IF(INDEX(Config!$D$9:$D$29,MATCH($B2153,Config!$B$9:$B$29,0))="Contrato",IF(INDEX(Config!$E$9:$E$29,MATCH($B2153,Config!$B$9:$B$29,0))="","",INDEX(Config!$E$9:$E$29,MATCH($B2153,Config!$B$9:$B$29,0))),""),""))</f>
        <v/>
      </c>
      <c r="AC2153" s="19" t="str">
        <f>IF($B2153="","",IFERROR(INDEX(Config!$D$9:$D$29,MATCH($B2153,Config!$B$9:$B$29,0))&amp;"",""))</f>
        <v/>
      </c>
    </row>
    <row r="2154">
      <c r="R2154" s="20" t="str">
        <f>IF($B2154="","",IFERROR(IF(INDEX(Config!$D$9:$D$29,MATCH($B2154,Config!$B$9:$B$29,0))="Contrato",IF(INDEX(Config!$E$9:$E$29,MATCH($B2154,Config!$B$9:$B$29,0))="","",INDEX(Config!$E$9:$E$29,MATCH($B2154,Config!$B$9:$B$29,0))),""),""))</f>
        <v/>
      </c>
      <c r="AC2154" s="19" t="str">
        <f>IF($B2154="","",IFERROR(INDEX(Config!$D$9:$D$29,MATCH($B2154,Config!$B$9:$B$29,0))&amp;"",""))</f>
        <v/>
      </c>
    </row>
    <row r="2155">
      <c r="R2155" s="20" t="str">
        <f>IF($B2155="","",IFERROR(IF(INDEX(Config!$D$9:$D$29,MATCH($B2155,Config!$B$9:$B$29,0))="Contrato",IF(INDEX(Config!$E$9:$E$29,MATCH($B2155,Config!$B$9:$B$29,0))="","",INDEX(Config!$E$9:$E$29,MATCH($B2155,Config!$B$9:$B$29,0))),""),""))</f>
        <v/>
      </c>
      <c r="AC2155" s="19" t="str">
        <f>IF($B2155="","",IFERROR(INDEX(Config!$D$9:$D$29,MATCH($B2155,Config!$B$9:$B$29,0))&amp;"",""))</f>
        <v/>
      </c>
    </row>
    <row r="2156">
      <c r="R2156" s="20" t="str">
        <f>IF($B2156="","",IFERROR(IF(INDEX(Config!$D$9:$D$29,MATCH($B2156,Config!$B$9:$B$29,0))="Contrato",IF(INDEX(Config!$E$9:$E$29,MATCH($B2156,Config!$B$9:$B$29,0))="","",INDEX(Config!$E$9:$E$29,MATCH($B2156,Config!$B$9:$B$29,0))),""),""))</f>
        <v/>
      </c>
      <c r="AC2156" s="19" t="str">
        <f>IF($B2156="","",IFERROR(INDEX(Config!$D$9:$D$29,MATCH($B2156,Config!$B$9:$B$29,0))&amp;"",""))</f>
        <v/>
      </c>
    </row>
    <row r="2157">
      <c r="R2157" s="20" t="str">
        <f>IF($B2157="","",IFERROR(IF(INDEX(Config!$D$9:$D$29,MATCH($B2157,Config!$B$9:$B$29,0))="Contrato",IF(INDEX(Config!$E$9:$E$29,MATCH($B2157,Config!$B$9:$B$29,0))="","",INDEX(Config!$E$9:$E$29,MATCH($B2157,Config!$B$9:$B$29,0))),""),""))</f>
        <v/>
      </c>
      <c r="AC2157" s="19" t="str">
        <f>IF($B2157="","",IFERROR(INDEX(Config!$D$9:$D$29,MATCH($B2157,Config!$B$9:$B$29,0))&amp;"",""))</f>
        <v/>
      </c>
    </row>
    <row r="2158">
      <c r="R2158" s="20" t="str">
        <f>IF($B2158="","",IFERROR(IF(INDEX(Config!$D$9:$D$29,MATCH($B2158,Config!$B$9:$B$29,0))="Contrato",IF(INDEX(Config!$E$9:$E$29,MATCH($B2158,Config!$B$9:$B$29,0))="","",INDEX(Config!$E$9:$E$29,MATCH($B2158,Config!$B$9:$B$29,0))),""),""))</f>
        <v/>
      </c>
      <c r="AC2158" s="19" t="str">
        <f>IF($B2158="","",IFERROR(INDEX(Config!$D$9:$D$29,MATCH($B2158,Config!$B$9:$B$29,0))&amp;"",""))</f>
        <v/>
      </c>
    </row>
    <row r="2159">
      <c r="R2159" s="20" t="str">
        <f>IF($B2159="","",IFERROR(IF(INDEX(Config!$D$9:$D$29,MATCH($B2159,Config!$B$9:$B$29,0))="Contrato",IF(INDEX(Config!$E$9:$E$29,MATCH($B2159,Config!$B$9:$B$29,0))="","",INDEX(Config!$E$9:$E$29,MATCH($B2159,Config!$B$9:$B$29,0))),""),""))</f>
        <v/>
      </c>
      <c r="AC2159" s="19" t="str">
        <f>IF($B2159="","",IFERROR(INDEX(Config!$D$9:$D$29,MATCH($B2159,Config!$B$9:$B$29,0))&amp;"",""))</f>
        <v/>
      </c>
    </row>
    <row r="2160">
      <c r="R2160" s="20" t="str">
        <f>IF($B2160="","",IFERROR(IF(INDEX(Config!$D$9:$D$29,MATCH($B2160,Config!$B$9:$B$29,0))="Contrato",IF(INDEX(Config!$E$9:$E$29,MATCH($B2160,Config!$B$9:$B$29,0))="","",INDEX(Config!$E$9:$E$29,MATCH($B2160,Config!$B$9:$B$29,0))),""),""))</f>
        <v/>
      </c>
      <c r="AC2160" s="19" t="str">
        <f>IF($B2160="","",IFERROR(INDEX(Config!$D$9:$D$29,MATCH($B2160,Config!$B$9:$B$29,0))&amp;"",""))</f>
        <v/>
      </c>
    </row>
    <row r="2161">
      <c r="R2161" s="20" t="str">
        <f>IF($B2161="","",IFERROR(IF(INDEX(Config!$D$9:$D$29,MATCH($B2161,Config!$B$9:$B$29,0))="Contrato",IF(INDEX(Config!$E$9:$E$29,MATCH($B2161,Config!$B$9:$B$29,0))="","",INDEX(Config!$E$9:$E$29,MATCH($B2161,Config!$B$9:$B$29,0))),""),""))</f>
        <v/>
      </c>
      <c r="AC2161" s="19" t="str">
        <f>IF($B2161="","",IFERROR(INDEX(Config!$D$9:$D$29,MATCH($B2161,Config!$B$9:$B$29,0))&amp;"",""))</f>
        <v/>
      </c>
    </row>
    <row r="2162">
      <c r="R2162" s="20" t="str">
        <f>IF($B2162="","",IFERROR(IF(INDEX(Config!$D$9:$D$29,MATCH($B2162,Config!$B$9:$B$29,0))="Contrato",IF(INDEX(Config!$E$9:$E$29,MATCH($B2162,Config!$B$9:$B$29,0))="","",INDEX(Config!$E$9:$E$29,MATCH($B2162,Config!$B$9:$B$29,0))),""),""))</f>
        <v/>
      </c>
      <c r="AC2162" s="19" t="str">
        <f>IF($B2162="","",IFERROR(INDEX(Config!$D$9:$D$29,MATCH($B2162,Config!$B$9:$B$29,0))&amp;"",""))</f>
        <v/>
      </c>
    </row>
    <row r="2163">
      <c r="R2163" s="20" t="str">
        <f>IF($B2163="","",IFERROR(IF(INDEX(Config!$D$9:$D$29,MATCH($B2163,Config!$B$9:$B$29,0))="Contrato",IF(INDEX(Config!$E$9:$E$29,MATCH($B2163,Config!$B$9:$B$29,0))="","",INDEX(Config!$E$9:$E$29,MATCH($B2163,Config!$B$9:$B$29,0))),""),""))</f>
        <v/>
      </c>
      <c r="AC2163" s="19" t="str">
        <f>IF($B2163="","",IFERROR(INDEX(Config!$D$9:$D$29,MATCH($B2163,Config!$B$9:$B$29,0))&amp;"",""))</f>
        <v/>
      </c>
    </row>
    <row r="2164">
      <c r="R2164" s="20" t="str">
        <f>IF($B2164="","",IFERROR(IF(INDEX(Config!$D$9:$D$29,MATCH($B2164,Config!$B$9:$B$29,0))="Contrato",IF(INDEX(Config!$E$9:$E$29,MATCH($B2164,Config!$B$9:$B$29,0))="","",INDEX(Config!$E$9:$E$29,MATCH($B2164,Config!$B$9:$B$29,0))),""),""))</f>
        <v/>
      </c>
      <c r="AC2164" s="19" t="str">
        <f>IF($B2164="","",IFERROR(INDEX(Config!$D$9:$D$29,MATCH($B2164,Config!$B$9:$B$29,0))&amp;"",""))</f>
        <v/>
      </c>
    </row>
    <row r="2165">
      <c r="R2165" s="20" t="str">
        <f>IF($B2165="","",IFERROR(IF(INDEX(Config!$D$9:$D$29,MATCH($B2165,Config!$B$9:$B$29,0))="Contrato",IF(INDEX(Config!$E$9:$E$29,MATCH($B2165,Config!$B$9:$B$29,0))="","",INDEX(Config!$E$9:$E$29,MATCH($B2165,Config!$B$9:$B$29,0))),""),""))</f>
        <v/>
      </c>
      <c r="AC2165" s="19" t="str">
        <f>IF($B2165="","",IFERROR(INDEX(Config!$D$9:$D$29,MATCH($B2165,Config!$B$9:$B$29,0))&amp;"",""))</f>
        <v/>
      </c>
    </row>
    <row r="2166">
      <c r="R2166" s="20" t="str">
        <f>IF($B2166="","",IFERROR(IF(INDEX(Config!$D$9:$D$29,MATCH($B2166,Config!$B$9:$B$29,0))="Contrato",IF(INDEX(Config!$E$9:$E$29,MATCH($B2166,Config!$B$9:$B$29,0))="","",INDEX(Config!$E$9:$E$29,MATCH($B2166,Config!$B$9:$B$29,0))),""),""))</f>
        <v/>
      </c>
      <c r="AC2166" s="19" t="str">
        <f>IF($B2166="","",IFERROR(INDEX(Config!$D$9:$D$29,MATCH($B2166,Config!$B$9:$B$29,0))&amp;"",""))</f>
        <v/>
      </c>
    </row>
    <row r="2167">
      <c r="R2167" s="20" t="str">
        <f>IF($B2167="","",IFERROR(IF(INDEX(Config!$D$9:$D$29,MATCH($B2167,Config!$B$9:$B$29,0))="Contrato",IF(INDEX(Config!$E$9:$E$29,MATCH($B2167,Config!$B$9:$B$29,0))="","",INDEX(Config!$E$9:$E$29,MATCH($B2167,Config!$B$9:$B$29,0))),""),""))</f>
        <v/>
      </c>
      <c r="AC2167" s="19" t="str">
        <f>IF($B2167="","",IFERROR(INDEX(Config!$D$9:$D$29,MATCH($B2167,Config!$B$9:$B$29,0))&amp;"",""))</f>
        <v/>
      </c>
    </row>
    <row r="2168">
      <c r="R2168" s="20" t="str">
        <f>IF($B2168="","",IFERROR(IF(INDEX(Config!$D$9:$D$29,MATCH($B2168,Config!$B$9:$B$29,0))="Contrato",IF(INDEX(Config!$E$9:$E$29,MATCH($B2168,Config!$B$9:$B$29,0))="","",INDEX(Config!$E$9:$E$29,MATCH($B2168,Config!$B$9:$B$29,0))),""),""))</f>
        <v/>
      </c>
      <c r="AC2168" s="19" t="str">
        <f>IF($B2168="","",IFERROR(INDEX(Config!$D$9:$D$29,MATCH($B2168,Config!$B$9:$B$29,0))&amp;"",""))</f>
        <v/>
      </c>
    </row>
    <row r="2169">
      <c r="R2169" s="20" t="str">
        <f>IF($B2169="","",IFERROR(IF(INDEX(Config!$D$9:$D$29,MATCH($B2169,Config!$B$9:$B$29,0))="Contrato",IF(INDEX(Config!$E$9:$E$29,MATCH($B2169,Config!$B$9:$B$29,0))="","",INDEX(Config!$E$9:$E$29,MATCH($B2169,Config!$B$9:$B$29,0))),""),""))</f>
        <v/>
      </c>
      <c r="AC2169" s="19" t="str">
        <f>IF($B2169="","",IFERROR(INDEX(Config!$D$9:$D$29,MATCH($B2169,Config!$B$9:$B$29,0))&amp;"",""))</f>
        <v/>
      </c>
    </row>
    <row r="2170">
      <c r="R2170" s="20" t="str">
        <f>IF($B2170="","",IFERROR(IF(INDEX(Config!$D$9:$D$29,MATCH($B2170,Config!$B$9:$B$29,0))="Contrato",IF(INDEX(Config!$E$9:$E$29,MATCH($B2170,Config!$B$9:$B$29,0))="","",INDEX(Config!$E$9:$E$29,MATCH($B2170,Config!$B$9:$B$29,0))),""),""))</f>
        <v/>
      </c>
      <c r="AC2170" s="19" t="str">
        <f>IF($B2170="","",IFERROR(INDEX(Config!$D$9:$D$29,MATCH($B2170,Config!$B$9:$B$29,0))&amp;"",""))</f>
        <v/>
      </c>
    </row>
    <row r="2171">
      <c r="R2171" s="20" t="str">
        <f>IF($B2171="","",IFERROR(IF(INDEX(Config!$D$9:$D$29,MATCH($B2171,Config!$B$9:$B$29,0))="Contrato",IF(INDEX(Config!$E$9:$E$29,MATCH($B2171,Config!$B$9:$B$29,0))="","",INDEX(Config!$E$9:$E$29,MATCH($B2171,Config!$B$9:$B$29,0))),""),""))</f>
        <v/>
      </c>
      <c r="AC2171" s="19" t="str">
        <f>IF($B2171="","",IFERROR(INDEX(Config!$D$9:$D$29,MATCH($B2171,Config!$B$9:$B$29,0))&amp;"",""))</f>
        <v/>
      </c>
    </row>
    <row r="2172">
      <c r="R2172" s="20" t="str">
        <f>IF($B2172="","",IFERROR(IF(INDEX(Config!$D$9:$D$29,MATCH($B2172,Config!$B$9:$B$29,0))="Contrato",IF(INDEX(Config!$E$9:$E$29,MATCH($B2172,Config!$B$9:$B$29,0))="","",INDEX(Config!$E$9:$E$29,MATCH($B2172,Config!$B$9:$B$29,0))),""),""))</f>
        <v/>
      </c>
      <c r="AC2172" s="19" t="str">
        <f>IF($B2172="","",IFERROR(INDEX(Config!$D$9:$D$29,MATCH($B2172,Config!$B$9:$B$29,0))&amp;"",""))</f>
        <v/>
      </c>
    </row>
    <row r="2173">
      <c r="R2173" s="20" t="str">
        <f>IF($B2173="","",IFERROR(IF(INDEX(Config!$D$9:$D$29,MATCH($B2173,Config!$B$9:$B$29,0))="Contrato",IF(INDEX(Config!$E$9:$E$29,MATCH($B2173,Config!$B$9:$B$29,0))="","",INDEX(Config!$E$9:$E$29,MATCH($B2173,Config!$B$9:$B$29,0))),""),""))</f>
        <v/>
      </c>
      <c r="AC2173" s="19" t="str">
        <f>IF($B2173="","",IFERROR(INDEX(Config!$D$9:$D$29,MATCH($B2173,Config!$B$9:$B$29,0))&amp;"",""))</f>
        <v/>
      </c>
    </row>
    <row r="2174">
      <c r="R2174" s="20" t="str">
        <f>IF($B2174="","",IFERROR(IF(INDEX(Config!$D$9:$D$29,MATCH($B2174,Config!$B$9:$B$29,0))="Contrato",IF(INDEX(Config!$E$9:$E$29,MATCH($B2174,Config!$B$9:$B$29,0))="","",INDEX(Config!$E$9:$E$29,MATCH($B2174,Config!$B$9:$B$29,0))),""),""))</f>
        <v/>
      </c>
      <c r="AC2174" s="19" t="str">
        <f>IF($B2174="","",IFERROR(INDEX(Config!$D$9:$D$29,MATCH($B2174,Config!$B$9:$B$29,0))&amp;"",""))</f>
        <v/>
      </c>
    </row>
    <row r="2175">
      <c r="R2175" s="20" t="str">
        <f>IF($B2175="","",IFERROR(IF(INDEX(Config!$D$9:$D$29,MATCH($B2175,Config!$B$9:$B$29,0))="Contrato",IF(INDEX(Config!$E$9:$E$29,MATCH($B2175,Config!$B$9:$B$29,0))="","",INDEX(Config!$E$9:$E$29,MATCH($B2175,Config!$B$9:$B$29,0))),""),""))</f>
        <v/>
      </c>
      <c r="AC2175" s="19" t="str">
        <f>IF($B2175="","",IFERROR(INDEX(Config!$D$9:$D$29,MATCH($B2175,Config!$B$9:$B$29,0))&amp;"",""))</f>
        <v/>
      </c>
    </row>
    <row r="2176">
      <c r="R2176" s="20" t="str">
        <f>IF($B2176="","",IFERROR(IF(INDEX(Config!$D$9:$D$29,MATCH($B2176,Config!$B$9:$B$29,0))="Contrato",IF(INDEX(Config!$E$9:$E$29,MATCH($B2176,Config!$B$9:$B$29,0))="","",INDEX(Config!$E$9:$E$29,MATCH($B2176,Config!$B$9:$B$29,0))),""),""))</f>
        <v/>
      </c>
      <c r="AC2176" s="19" t="str">
        <f>IF($B2176="","",IFERROR(INDEX(Config!$D$9:$D$29,MATCH($B2176,Config!$B$9:$B$29,0))&amp;"",""))</f>
        <v/>
      </c>
    </row>
    <row r="2177">
      <c r="R2177" s="20" t="str">
        <f>IF($B2177="","",IFERROR(IF(INDEX(Config!$D$9:$D$29,MATCH($B2177,Config!$B$9:$B$29,0))="Contrato",IF(INDEX(Config!$E$9:$E$29,MATCH($B2177,Config!$B$9:$B$29,0))="","",INDEX(Config!$E$9:$E$29,MATCH($B2177,Config!$B$9:$B$29,0))),""),""))</f>
        <v/>
      </c>
      <c r="AC2177" s="19" t="str">
        <f>IF($B2177="","",IFERROR(INDEX(Config!$D$9:$D$29,MATCH($B2177,Config!$B$9:$B$29,0))&amp;"",""))</f>
        <v/>
      </c>
    </row>
    <row r="2178">
      <c r="R2178" s="20" t="str">
        <f>IF($B2178="","",IFERROR(IF(INDEX(Config!$D$9:$D$29,MATCH($B2178,Config!$B$9:$B$29,0))="Contrato",IF(INDEX(Config!$E$9:$E$29,MATCH($B2178,Config!$B$9:$B$29,0))="","",INDEX(Config!$E$9:$E$29,MATCH($B2178,Config!$B$9:$B$29,0))),""),""))</f>
        <v/>
      </c>
      <c r="AC2178" s="19" t="str">
        <f>IF($B2178="","",IFERROR(INDEX(Config!$D$9:$D$29,MATCH($B2178,Config!$B$9:$B$29,0))&amp;"",""))</f>
        <v/>
      </c>
    </row>
    <row r="2179">
      <c r="R2179" s="20" t="str">
        <f>IF($B2179="","",IFERROR(IF(INDEX(Config!$D$9:$D$29,MATCH($B2179,Config!$B$9:$B$29,0))="Contrato",IF(INDEX(Config!$E$9:$E$29,MATCH($B2179,Config!$B$9:$B$29,0))="","",INDEX(Config!$E$9:$E$29,MATCH($B2179,Config!$B$9:$B$29,0))),""),""))</f>
        <v/>
      </c>
      <c r="AC2179" s="19" t="str">
        <f>IF($B2179="","",IFERROR(INDEX(Config!$D$9:$D$29,MATCH($B2179,Config!$B$9:$B$29,0))&amp;"",""))</f>
        <v/>
      </c>
    </row>
    <row r="2180">
      <c r="R2180" s="20" t="str">
        <f>IF($B2180="","",IFERROR(IF(INDEX(Config!$D$9:$D$29,MATCH($B2180,Config!$B$9:$B$29,0))="Contrato",IF(INDEX(Config!$E$9:$E$29,MATCH($B2180,Config!$B$9:$B$29,0))="","",INDEX(Config!$E$9:$E$29,MATCH($B2180,Config!$B$9:$B$29,0))),""),""))</f>
        <v/>
      </c>
      <c r="AC2180" s="19" t="str">
        <f>IF($B2180="","",IFERROR(INDEX(Config!$D$9:$D$29,MATCH($B2180,Config!$B$9:$B$29,0))&amp;"",""))</f>
        <v/>
      </c>
    </row>
    <row r="2181">
      <c r="R2181" s="20" t="str">
        <f>IF($B2181="","",IFERROR(IF(INDEX(Config!$D$9:$D$29,MATCH($B2181,Config!$B$9:$B$29,0))="Contrato",IF(INDEX(Config!$E$9:$E$29,MATCH($B2181,Config!$B$9:$B$29,0))="","",INDEX(Config!$E$9:$E$29,MATCH($B2181,Config!$B$9:$B$29,0))),""),""))</f>
        <v/>
      </c>
      <c r="AC2181" s="19" t="str">
        <f>IF($B2181="","",IFERROR(INDEX(Config!$D$9:$D$29,MATCH($B2181,Config!$B$9:$B$29,0))&amp;"",""))</f>
        <v/>
      </c>
    </row>
    <row r="2182">
      <c r="R2182" s="20" t="str">
        <f>IF($B2182="","",IFERROR(IF(INDEX(Config!$D$9:$D$29,MATCH($B2182,Config!$B$9:$B$29,0))="Contrato",IF(INDEX(Config!$E$9:$E$29,MATCH($B2182,Config!$B$9:$B$29,0))="","",INDEX(Config!$E$9:$E$29,MATCH($B2182,Config!$B$9:$B$29,0))),""),""))</f>
        <v/>
      </c>
      <c r="AC2182" s="19" t="str">
        <f>IF($B2182="","",IFERROR(INDEX(Config!$D$9:$D$29,MATCH($B2182,Config!$B$9:$B$29,0))&amp;"",""))</f>
        <v/>
      </c>
    </row>
    <row r="2183">
      <c r="R2183" s="20" t="str">
        <f>IF($B2183="","",IFERROR(IF(INDEX(Config!$D$9:$D$29,MATCH($B2183,Config!$B$9:$B$29,0))="Contrato",IF(INDEX(Config!$E$9:$E$29,MATCH($B2183,Config!$B$9:$B$29,0))="","",INDEX(Config!$E$9:$E$29,MATCH($B2183,Config!$B$9:$B$29,0))),""),""))</f>
        <v/>
      </c>
      <c r="AC2183" s="19" t="str">
        <f>IF($B2183="","",IFERROR(INDEX(Config!$D$9:$D$29,MATCH($B2183,Config!$B$9:$B$29,0))&amp;"",""))</f>
        <v/>
      </c>
    </row>
    <row r="2184">
      <c r="R2184" s="20" t="str">
        <f>IF($B2184="","",IFERROR(IF(INDEX(Config!$D$9:$D$29,MATCH($B2184,Config!$B$9:$B$29,0))="Contrato",IF(INDEX(Config!$E$9:$E$29,MATCH($B2184,Config!$B$9:$B$29,0))="","",INDEX(Config!$E$9:$E$29,MATCH($B2184,Config!$B$9:$B$29,0))),""),""))</f>
        <v/>
      </c>
      <c r="AC2184" s="19" t="str">
        <f>IF($B2184="","",IFERROR(INDEX(Config!$D$9:$D$29,MATCH($B2184,Config!$B$9:$B$29,0))&amp;"",""))</f>
        <v/>
      </c>
    </row>
    <row r="2185">
      <c r="R2185" s="20" t="str">
        <f>IF($B2185="","",IFERROR(IF(INDEX(Config!$D$9:$D$29,MATCH($B2185,Config!$B$9:$B$29,0))="Contrato",IF(INDEX(Config!$E$9:$E$29,MATCH($B2185,Config!$B$9:$B$29,0))="","",INDEX(Config!$E$9:$E$29,MATCH($B2185,Config!$B$9:$B$29,0))),""),""))</f>
        <v/>
      </c>
      <c r="AC2185" s="19" t="str">
        <f>IF($B2185="","",IFERROR(INDEX(Config!$D$9:$D$29,MATCH($B2185,Config!$B$9:$B$29,0))&amp;"",""))</f>
        <v/>
      </c>
    </row>
    <row r="2186">
      <c r="R2186" s="20" t="str">
        <f>IF($B2186="","",IFERROR(IF(INDEX(Config!$D$9:$D$29,MATCH($B2186,Config!$B$9:$B$29,0))="Contrato",IF(INDEX(Config!$E$9:$E$29,MATCH($B2186,Config!$B$9:$B$29,0))="","",INDEX(Config!$E$9:$E$29,MATCH($B2186,Config!$B$9:$B$29,0))),""),""))</f>
        <v/>
      </c>
      <c r="AC2186" s="19" t="str">
        <f>IF($B2186="","",IFERROR(INDEX(Config!$D$9:$D$29,MATCH($B2186,Config!$B$9:$B$29,0))&amp;"",""))</f>
        <v/>
      </c>
    </row>
    <row r="2187">
      <c r="R2187" s="20" t="str">
        <f>IF($B2187="","",IFERROR(IF(INDEX(Config!$D$9:$D$29,MATCH($B2187,Config!$B$9:$B$29,0))="Contrato",IF(INDEX(Config!$E$9:$E$29,MATCH($B2187,Config!$B$9:$B$29,0))="","",INDEX(Config!$E$9:$E$29,MATCH($B2187,Config!$B$9:$B$29,0))),""),""))</f>
        <v/>
      </c>
      <c r="AC2187" s="19" t="str">
        <f>IF($B2187="","",IFERROR(INDEX(Config!$D$9:$D$29,MATCH($B2187,Config!$B$9:$B$29,0))&amp;"",""))</f>
        <v/>
      </c>
    </row>
    <row r="2188">
      <c r="R2188" s="20" t="str">
        <f>IF($B2188="","",IFERROR(IF(INDEX(Config!$D$9:$D$29,MATCH($B2188,Config!$B$9:$B$29,0))="Contrato",IF(INDEX(Config!$E$9:$E$29,MATCH($B2188,Config!$B$9:$B$29,0))="","",INDEX(Config!$E$9:$E$29,MATCH($B2188,Config!$B$9:$B$29,0))),""),""))</f>
        <v/>
      </c>
      <c r="AC2188" s="19" t="str">
        <f>IF($B2188="","",IFERROR(INDEX(Config!$D$9:$D$29,MATCH($B2188,Config!$B$9:$B$29,0))&amp;"",""))</f>
        <v/>
      </c>
    </row>
    <row r="2189">
      <c r="R2189" s="20" t="str">
        <f>IF($B2189="","",IFERROR(IF(INDEX(Config!$D$9:$D$29,MATCH($B2189,Config!$B$9:$B$29,0))="Contrato",IF(INDEX(Config!$E$9:$E$29,MATCH($B2189,Config!$B$9:$B$29,0))="","",INDEX(Config!$E$9:$E$29,MATCH($B2189,Config!$B$9:$B$29,0))),""),""))</f>
        <v/>
      </c>
      <c r="AC2189" s="19" t="str">
        <f>IF($B2189="","",IFERROR(INDEX(Config!$D$9:$D$29,MATCH($B2189,Config!$B$9:$B$29,0))&amp;"",""))</f>
        <v/>
      </c>
    </row>
    <row r="2190">
      <c r="R2190" s="20" t="str">
        <f>IF($B2190="","",IFERROR(IF(INDEX(Config!$D$9:$D$29,MATCH($B2190,Config!$B$9:$B$29,0))="Contrato",IF(INDEX(Config!$E$9:$E$29,MATCH($B2190,Config!$B$9:$B$29,0))="","",INDEX(Config!$E$9:$E$29,MATCH($B2190,Config!$B$9:$B$29,0))),""),""))</f>
        <v/>
      </c>
      <c r="AC2190" s="19" t="str">
        <f>IF($B2190="","",IFERROR(INDEX(Config!$D$9:$D$29,MATCH($B2190,Config!$B$9:$B$29,0))&amp;"",""))</f>
        <v/>
      </c>
    </row>
    <row r="2191">
      <c r="R2191" s="20" t="str">
        <f>IF($B2191="","",IFERROR(IF(INDEX(Config!$D$9:$D$29,MATCH($B2191,Config!$B$9:$B$29,0))="Contrato",IF(INDEX(Config!$E$9:$E$29,MATCH($B2191,Config!$B$9:$B$29,0))="","",INDEX(Config!$E$9:$E$29,MATCH($B2191,Config!$B$9:$B$29,0))),""),""))</f>
        <v/>
      </c>
      <c r="AC2191" s="19" t="str">
        <f>IF($B2191="","",IFERROR(INDEX(Config!$D$9:$D$29,MATCH($B2191,Config!$B$9:$B$29,0))&amp;"",""))</f>
        <v/>
      </c>
    </row>
    <row r="2192">
      <c r="R2192" s="20" t="str">
        <f>IF($B2192="","",IFERROR(IF(INDEX(Config!$D$9:$D$29,MATCH($B2192,Config!$B$9:$B$29,0))="Contrato",IF(INDEX(Config!$E$9:$E$29,MATCH($B2192,Config!$B$9:$B$29,0))="","",INDEX(Config!$E$9:$E$29,MATCH($B2192,Config!$B$9:$B$29,0))),""),""))</f>
        <v/>
      </c>
      <c r="AC2192" s="19" t="str">
        <f>IF($B2192="","",IFERROR(INDEX(Config!$D$9:$D$29,MATCH($B2192,Config!$B$9:$B$29,0))&amp;"",""))</f>
        <v/>
      </c>
    </row>
    <row r="2193">
      <c r="R2193" s="20" t="str">
        <f>IF($B2193="","",IFERROR(IF(INDEX(Config!$D$9:$D$29,MATCH($B2193,Config!$B$9:$B$29,0))="Contrato",IF(INDEX(Config!$E$9:$E$29,MATCH($B2193,Config!$B$9:$B$29,0))="","",INDEX(Config!$E$9:$E$29,MATCH($B2193,Config!$B$9:$B$29,0))),""),""))</f>
        <v/>
      </c>
      <c r="AC2193" s="19" t="str">
        <f>IF($B2193="","",IFERROR(INDEX(Config!$D$9:$D$29,MATCH($B2193,Config!$B$9:$B$29,0))&amp;"",""))</f>
        <v/>
      </c>
    </row>
    <row r="2194">
      <c r="R2194" s="20" t="str">
        <f>IF($B2194="","",IFERROR(IF(INDEX(Config!$D$9:$D$29,MATCH($B2194,Config!$B$9:$B$29,0))="Contrato",IF(INDEX(Config!$E$9:$E$29,MATCH($B2194,Config!$B$9:$B$29,0))="","",INDEX(Config!$E$9:$E$29,MATCH($B2194,Config!$B$9:$B$29,0))),""),""))</f>
        <v/>
      </c>
      <c r="AC2194" s="19" t="str">
        <f>IF($B2194="","",IFERROR(INDEX(Config!$D$9:$D$29,MATCH($B2194,Config!$B$9:$B$29,0))&amp;"",""))</f>
        <v/>
      </c>
    </row>
    <row r="2195">
      <c r="R2195" s="20" t="str">
        <f>IF($B2195="","",IFERROR(IF(INDEX(Config!$D$9:$D$29,MATCH($B2195,Config!$B$9:$B$29,0))="Contrato",IF(INDEX(Config!$E$9:$E$29,MATCH($B2195,Config!$B$9:$B$29,0))="","",INDEX(Config!$E$9:$E$29,MATCH($B2195,Config!$B$9:$B$29,0))),""),""))</f>
        <v/>
      </c>
      <c r="AC2195" s="19" t="str">
        <f>IF($B2195="","",IFERROR(INDEX(Config!$D$9:$D$29,MATCH($B2195,Config!$B$9:$B$29,0))&amp;"",""))</f>
        <v/>
      </c>
    </row>
    <row r="2196">
      <c r="R2196" s="20" t="str">
        <f>IF($B2196="","",IFERROR(IF(INDEX(Config!$D$9:$D$29,MATCH($B2196,Config!$B$9:$B$29,0))="Contrato",IF(INDEX(Config!$E$9:$E$29,MATCH($B2196,Config!$B$9:$B$29,0))="","",INDEX(Config!$E$9:$E$29,MATCH($B2196,Config!$B$9:$B$29,0))),""),""))</f>
        <v/>
      </c>
      <c r="AC2196" s="19" t="str">
        <f>IF($B2196="","",IFERROR(INDEX(Config!$D$9:$D$29,MATCH($B2196,Config!$B$9:$B$29,0))&amp;"",""))</f>
        <v/>
      </c>
    </row>
    <row r="2197">
      <c r="R2197" s="20" t="str">
        <f>IF($B2197="","",IFERROR(IF(INDEX(Config!$D$9:$D$29,MATCH($B2197,Config!$B$9:$B$29,0))="Contrato",IF(INDEX(Config!$E$9:$E$29,MATCH($B2197,Config!$B$9:$B$29,0))="","",INDEX(Config!$E$9:$E$29,MATCH($B2197,Config!$B$9:$B$29,0))),""),""))</f>
        <v/>
      </c>
      <c r="AC2197" s="19" t="str">
        <f>IF($B2197="","",IFERROR(INDEX(Config!$D$9:$D$29,MATCH($B2197,Config!$B$9:$B$29,0))&amp;"",""))</f>
        <v/>
      </c>
    </row>
    <row r="2198">
      <c r="R2198" s="20" t="str">
        <f>IF($B2198="","",IFERROR(IF(INDEX(Config!$D$9:$D$29,MATCH($B2198,Config!$B$9:$B$29,0))="Contrato",IF(INDEX(Config!$E$9:$E$29,MATCH($B2198,Config!$B$9:$B$29,0))="","",INDEX(Config!$E$9:$E$29,MATCH($B2198,Config!$B$9:$B$29,0))),""),""))</f>
        <v/>
      </c>
      <c r="AC2198" s="19" t="str">
        <f>IF($B2198="","",IFERROR(INDEX(Config!$D$9:$D$29,MATCH($B2198,Config!$B$9:$B$29,0))&amp;"",""))</f>
        <v/>
      </c>
    </row>
    <row r="2199">
      <c r="R2199" s="20" t="str">
        <f>IF($B2199="","",IFERROR(IF(INDEX(Config!$D$9:$D$29,MATCH($B2199,Config!$B$9:$B$29,0))="Contrato",IF(INDEX(Config!$E$9:$E$29,MATCH($B2199,Config!$B$9:$B$29,0))="","",INDEX(Config!$E$9:$E$29,MATCH($B2199,Config!$B$9:$B$29,0))),""),""))</f>
        <v/>
      </c>
      <c r="AC2199" s="19" t="str">
        <f>IF($B2199="","",IFERROR(INDEX(Config!$D$9:$D$29,MATCH($B2199,Config!$B$9:$B$29,0))&amp;"",""))</f>
        <v/>
      </c>
    </row>
    <row r="2200">
      <c r="R2200" s="20" t="str">
        <f>IF($B2200="","",IFERROR(IF(INDEX(Config!$D$9:$D$29,MATCH($B2200,Config!$B$9:$B$29,0))="Contrato",IF(INDEX(Config!$E$9:$E$29,MATCH($B2200,Config!$B$9:$B$29,0))="","",INDEX(Config!$E$9:$E$29,MATCH($B2200,Config!$B$9:$B$29,0))),""),""))</f>
        <v/>
      </c>
      <c r="AC2200" s="19" t="str">
        <f>IF($B2200="","",IFERROR(INDEX(Config!$D$9:$D$29,MATCH($B2200,Config!$B$9:$B$29,0))&amp;"",""))</f>
        <v/>
      </c>
    </row>
    <row r="2201">
      <c r="R2201" s="20" t="str">
        <f>IF($B2201="","",IFERROR(IF(INDEX(Config!$D$9:$D$29,MATCH($B2201,Config!$B$9:$B$29,0))="Contrato",IF(INDEX(Config!$E$9:$E$29,MATCH($B2201,Config!$B$9:$B$29,0))="","",INDEX(Config!$E$9:$E$29,MATCH($B2201,Config!$B$9:$B$29,0))),""),""))</f>
        <v/>
      </c>
      <c r="AC2201" s="19" t="str">
        <f>IF($B2201="","",IFERROR(INDEX(Config!$D$9:$D$29,MATCH($B2201,Config!$B$9:$B$29,0))&amp;"",""))</f>
        <v/>
      </c>
    </row>
    <row r="2202">
      <c r="R2202" s="20" t="str">
        <f>IF($B2202="","",IFERROR(IF(INDEX(Config!$D$9:$D$29,MATCH($B2202,Config!$B$9:$B$29,0))="Contrato",IF(INDEX(Config!$E$9:$E$29,MATCH($B2202,Config!$B$9:$B$29,0))="","",INDEX(Config!$E$9:$E$29,MATCH($B2202,Config!$B$9:$B$29,0))),""),""))</f>
        <v/>
      </c>
      <c r="AC2202" s="19" t="str">
        <f>IF($B2202="","",IFERROR(INDEX(Config!$D$9:$D$29,MATCH($B2202,Config!$B$9:$B$29,0))&amp;"",""))</f>
        <v/>
      </c>
    </row>
    <row r="2203">
      <c r="R2203" s="20" t="str">
        <f>IF($B2203="","",IFERROR(IF(INDEX(Config!$D$9:$D$29,MATCH($B2203,Config!$B$9:$B$29,0))="Contrato",IF(INDEX(Config!$E$9:$E$29,MATCH($B2203,Config!$B$9:$B$29,0))="","",INDEX(Config!$E$9:$E$29,MATCH($B2203,Config!$B$9:$B$29,0))),""),""))</f>
        <v/>
      </c>
      <c r="AC2203" s="19" t="str">
        <f>IF($B2203="","",IFERROR(INDEX(Config!$D$9:$D$29,MATCH($B2203,Config!$B$9:$B$29,0))&amp;"",""))</f>
        <v/>
      </c>
    </row>
    <row r="2204">
      <c r="R2204" s="20" t="str">
        <f>IF($B2204="","",IFERROR(IF(INDEX(Config!$D$9:$D$29,MATCH($B2204,Config!$B$9:$B$29,0))="Contrato",IF(INDEX(Config!$E$9:$E$29,MATCH($B2204,Config!$B$9:$B$29,0))="","",INDEX(Config!$E$9:$E$29,MATCH($B2204,Config!$B$9:$B$29,0))),""),""))</f>
        <v/>
      </c>
      <c r="AC2204" s="19" t="str">
        <f>IF($B2204="","",IFERROR(INDEX(Config!$D$9:$D$29,MATCH($B2204,Config!$B$9:$B$29,0))&amp;"",""))</f>
        <v/>
      </c>
    </row>
    <row r="2205">
      <c r="R2205" s="20" t="str">
        <f>IF($B2205="","",IFERROR(IF(INDEX(Config!$D$9:$D$29,MATCH($B2205,Config!$B$9:$B$29,0))="Contrato",IF(INDEX(Config!$E$9:$E$29,MATCH($B2205,Config!$B$9:$B$29,0))="","",INDEX(Config!$E$9:$E$29,MATCH($B2205,Config!$B$9:$B$29,0))),""),""))</f>
        <v/>
      </c>
      <c r="AC2205" s="19" t="str">
        <f>IF($B2205="","",IFERROR(INDEX(Config!$D$9:$D$29,MATCH($B2205,Config!$B$9:$B$29,0))&amp;"",""))</f>
        <v/>
      </c>
    </row>
    <row r="2206">
      <c r="R2206" s="20" t="str">
        <f>IF($B2206="","",IFERROR(IF(INDEX(Config!$D$9:$D$29,MATCH($B2206,Config!$B$9:$B$29,0))="Contrato",IF(INDEX(Config!$E$9:$E$29,MATCH($B2206,Config!$B$9:$B$29,0))="","",INDEX(Config!$E$9:$E$29,MATCH($B2206,Config!$B$9:$B$29,0))),""),""))</f>
        <v/>
      </c>
      <c r="AC2206" s="19" t="str">
        <f>IF($B2206="","",IFERROR(INDEX(Config!$D$9:$D$29,MATCH($B2206,Config!$B$9:$B$29,0))&amp;"",""))</f>
        <v/>
      </c>
    </row>
    <row r="2207">
      <c r="R2207" s="20" t="str">
        <f>IF($B2207="","",IFERROR(IF(INDEX(Config!$D$9:$D$29,MATCH($B2207,Config!$B$9:$B$29,0))="Contrato",IF(INDEX(Config!$E$9:$E$29,MATCH($B2207,Config!$B$9:$B$29,0))="","",INDEX(Config!$E$9:$E$29,MATCH($B2207,Config!$B$9:$B$29,0))),""),""))</f>
        <v/>
      </c>
      <c r="AC2207" s="19" t="str">
        <f>IF($B2207="","",IFERROR(INDEX(Config!$D$9:$D$29,MATCH($B2207,Config!$B$9:$B$29,0))&amp;"",""))</f>
        <v/>
      </c>
    </row>
    <row r="2208">
      <c r="R2208" s="20" t="str">
        <f>IF($B2208="","",IFERROR(IF(INDEX(Config!$D$9:$D$29,MATCH($B2208,Config!$B$9:$B$29,0))="Contrato",IF(INDEX(Config!$E$9:$E$29,MATCH($B2208,Config!$B$9:$B$29,0))="","",INDEX(Config!$E$9:$E$29,MATCH($B2208,Config!$B$9:$B$29,0))),""),""))</f>
        <v/>
      </c>
      <c r="AC2208" s="19" t="str">
        <f>IF($B2208="","",IFERROR(INDEX(Config!$D$9:$D$29,MATCH($B2208,Config!$B$9:$B$29,0))&amp;"",""))</f>
        <v/>
      </c>
    </row>
    <row r="2209">
      <c r="R2209" s="20" t="str">
        <f>IF($B2209="","",IFERROR(IF(INDEX(Config!$D$9:$D$29,MATCH($B2209,Config!$B$9:$B$29,0))="Contrato",IF(INDEX(Config!$E$9:$E$29,MATCH($B2209,Config!$B$9:$B$29,0))="","",INDEX(Config!$E$9:$E$29,MATCH($B2209,Config!$B$9:$B$29,0))),""),""))</f>
        <v/>
      </c>
      <c r="AC2209" s="19" t="str">
        <f>IF($B2209="","",IFERROR(INDEX(Config!$D$9:$D$29,MATCH($B2209,Config!$B$9:$B$29,0))&amp;"",""))</f>
        <v/>
      </c>
    </row>
    <row r="2210">
      <c r="R2210" s="20" t="str">
        <f>IF($B2210="","",IFERROR(IF(INDEX(Config!$D$9:$D$29,MATCH($B2210,Config!$B$9:$B$29,0))="Contrato",IF(INDEX(Config!$E$9:$E$29,MATCH($B2210,Config!$B$9:$B$29,0))="","",INDEX(Config!$E$9:$E$29,MATCH($B2210,Config!$B$9:$B$29,0))),""),""))</f>
        <v/>
      </c>
      <c r="AC2210" s="19" t="str">
        <f>IF($B2210="","",IFERROR(INDEX(Config!$D$9:$D$29,MATCH($B2210,Config!$B$9:$B$29,0))&amp;"",""))</f>
        <v/>
      </c>
    </row>
    <row r="2211">
      <c r="R2211" s="20" t="str">
        <f>IF($B2211="","",IFERROR(IF(INDEX(Config!$D$9:$D$29,MATCH($B2211,Config!$B$9:$B$29,0))="Contrato",IF(INDEX(Config!$E$9:$E$29,MATCH($B2211,Config!$B$9:$B$29,0))="","",INDEX(Config!$E$9:$E$29,MATCH($B2211,Config!$B$9:$B$29,0))),""),""))</f>
        <v/>
      </c>
      <c r="AC2211" s="19" t="str">
        <f>IF($B2211="","",IFERROR(INDEX(Config!$D$9:$D$29,MATCH($B2211,Config!$B$9:$B$29,0))&amp;"",""))</f>
        <v/>
      </c>
    </row>
    <row r="2212">
      <c r="R2212" s="20" t="str">
        <f>IF($B2212="","",IFERROR(IF(INDEX(Config!$D$9:$D$29,MATCH($B2212,Config!$B$9:$B$29,0))="Contrato",IF(INDEX(Config!$E$9:$E$29,MATCH($B2212,Config!$B$9:$B$29,0))="","",INDEX(Config!$E$9:$E$29,MATCH($B2212,Config!$B$9:$B$29,0))),""),""))</f>
        <v/>
      </c>
      <c r="AC2212" s="19" t="str">
        <f>IF($B2212="","",IFERROR(INDEX(Config!$D$9:$D$29,MATCH($B2212,Config!$B$9:$B$29,0))&amp;"",""))</f>
        <v/>
      </c>
    </row>
    <row r="2213">
      <c r="R2213" s="20" t="str">
        <f>IF($B2213="","",IFERROR(IF(INDEX(Config!$D$9:$D$29,MATCH($B2213,Config!$B$9:$B$29,0))="Contrato",IF(INDEX(Config!$E$9:$E$29,MATCH($B2213,Config!$B$9:$B$29,0))="","",INDEX(Config!$E$9:$E$29,MATCH($B2213,Config!$B$9:$B$29,0))),""),""))</f>
        <v/>
      </c>
      <c r="AC2213" s="19" t="str">
        <f>IF($B2213="","",IFERROR(INDEX(Config!$D$9:$D$29,MATCH($B2213,Config!$B$9:$B$29,0))&amp;"",""))</f>
        <v/>
      </c>
    </row>
    <row r="2214">
      <c r="R2214" s="20" t="str">
        <f>IF($B2214="","",IFERROR(IF(INDEX(Config!$D$9:$D$29,MATCH($B2214,Config!$B$9:$B$29,0))="Contrato",IF(INDEX(Config!$E$9:$E$29,MATCH($B2214,Config!$B$9:$B$29,0))="","",INDEX(Config!$E$9:$E$29,MATCH($B2214,Config!$B$9:$B$29,0))),""),""))</f>
        <v/>
      </c>
      <c r="AC2214" s="19" t="str">
        <f>IF($B2214="","",IFERROR(INDEX(Config!$D$9:$D$29,MATCH($B2214,Config!$B$9:$B$29,0))&amp;"",""))</f>
        <v/>
      </c>
    </row>
    <row r="2215">
      <c r="R2215" s="20" t="str">
        <f>IF($B2215="","",IFERROR(IF(INDEX(Config!$D$9:$D$29,MATCH($B2215,Config!$B$9:$B$29,0))="Contrato",IF(INDEX(Config!$E$9:$E$29,MATCH($B2215,Config!$B$9:$B$29,0))="","",INDEX(Config!$E$9:$E$29,MATCH($B2215,Config!$B$9:$B$29,0))),""),""))</f>
        <v/>
      </c>
      <c r="AC2215" s="19" t="str">
        <f>IF($B2215="","",IFERROR(INDEX(Config!$D$9:$D$29,MATCH($B2215,Config!$B$9:$B$29,0))&amp;"",""))</f>
        <v/>
      </c>
    </row>
    <row r="2216">
      <c r="R2216" s="20" t="str">
        <f>IF($B2216="","",IFERROR(IF(INDEX(Config!$D$9:$D$29,MATCH($B2216,Config!$B$9:$B$29,0))="Contrato",IF(INDEX(Config!$E$9:$E$29,MATCH($B2216,Config!$B$9:$B$29,0))="","",INDEX(Config!$E$9:$E$29,MATCH($B2216,Config!$B$9:$B$29,0))),""),""))</f>
        <v/>
      </c>
      <c r="AC2216" s="19" t="str">
        <f>IF($B2216="","",IFERROR(INDEX(Config!$D$9:$D$29,MATCH($B2216,Config!$B$9:$B$29,0))&amp;"",""))</f>
        <v/>
      </c>
    </row>
    <row r="2217">
      <c r="R2217" s="20" t="str">
        <f>IF($B2217="","",IFERROR(IF(INDEX(Config!$D$9:$D$29,MATCH($B2217,Config!$B$9:$B$29,0))="Contrato",IF(INDEX(Config!$E$9:$E$29,MATCH($B2217,Config!$B$9:$B$29,0))="","",INDEX(Config!$E$9:$E$29,MATCH($B2217,Config!$B$9:$B$29,0))),""),""))</f>
        <v/>
      </c>
      <c r="AC2217" s="19" t="str">
        <f>IF($B2217="","",IFERROR(INDEX(Config!$D$9:$D$29,MATCH($B2217,Config!$B$9:$B$29,0))&amp;"",""))</f>
        <v/>
      </c>
    </row>
    <row r="2218">
      <c r="R2218" s="20" t="str">
        <f>IF($B2218="","",IFERROR(IF(INDEX(Config!$D$9:$D$29,MATCH($B2218,Config!$B$9:$B$29,0))="Contrato",IF(INDEX(Config!$E$9:$E$29,MATCH($B2218,Config!$B$9:$B$29,0))="","",INDEX(Config!$E$9:$E$29,MATCH($B2218,Config!$B$9:$B$29,0))),""),""))</f>
        <v/>
      </c>
      <c r="AC2218" s="19" t="str">
        <f>IF($B2218="","",IFERROR(INDEX(Config!$D$9:$D$29,MATCH($B2218,Config!$B$9:$B$29,0))&amp;"",""))</f>
        <v/>
      </c>
    </row>
    <row r="2219">
      <c r="R2219" s="20" t="str">
        <f>IF($B2219="","",IFERROR(IF(INDEX(Config!$D$9:$D$29,MATCH($B2219,Config!$B$9:$B$29,0))="Contrato",IF(INDEX(Config!$E$9:$E$29,MATCH($B2219,Config!$B$9:$B$29,0))="","",INDEX(Config!$E$9:$E$29,MATCH($B2219,Config!$B$9:$B$29,0))),""),""))</f>
        <v/>
      </c>
      <c r="AC2219" s="19" t="str">
        <f>IF($B2219="","",IFERROR(INDEX(Config!$D$9:$D$29,MATCH($B2219,Config!$B$9:$B$29,0))&amp;"",""))</f>
        <v/>
      </c>
    </row>
    <row r="2220">
      <c r="R2220" s="20" t="str">
        <f>IF($B2220="","",IFERROR(IF(INDEX(Config!$D$9:$D$29,MATCH($B2220,Config!$B$9:$B$29,0))="Contrato",IF(INDEX(Config!$E$9:$E$29,MATCH($B2220,Config!$B$9:$B$29,0))="","",INDEX(Config!$E$9:$E$29,MATCH($B2220,Config!$B$9:$B$29,0))),""),""))</f>
        <v/>
      </c>
      <c r="AC2220" s="19" t="str">
        <f>IF($B2220="","",IFERROR(INDEX(Config!$D$9:$D$29,MATCH($B2220,Config!$B$9:$B$29,0))&amp;"",""))</f>
        <v/>
      </c>
    </row>
    <row r="2221">
      <c r="R2221" s="20" t="str">
        <f>IF($B2221="","",IFERROR(IF(INDEX(Config!$D$9:$D$29,MATCH($B2221,Config!$B$9:$B$29,0))="Contrato",IF(INDEX(Config!$E$9:$E$29,MATCH($B2221,Config!$B$9:$B$29,0))="","",INDEX(Config!$E$9:$E$29,MATCH($B2221,Config!$B$9:$B$29,0))),""),""))</f>
        <v/>
      </c>
      <c r="AC2221" s="19" t="str">
        <f>IF($B2221="","",IFERROR(INDEX(Config!$D$9:$D$29,MATCH($B2221,Config!$B$9:$B$29,0))&amp;"",""))</f>
        <v/>
      </c>
    </row>
    <row r="2222">
      <c r="R2222" s="20" t="str">
        <f>IF($B2222="","",IFERROR(IF(INDEX(Config!$D$9:$D$29,MATCH($B2222,Config!$B$9:$B$29,0))="Contrato",IF(INDEX(Config!$E$9:$E$29,MATCH($B2222,Config!$B$9:$B$29,0))="","",INDEX(Config!$E$9:$E$29,MATCH($B2222,Config!$B$9:$B$29,0))),""),""))</f>
        <v/>
      </c>
      <c r="AC2222" s="19" t="str">
        <f>IF($B2222="","",IFERROR(INDEX(Config!$D$9:$D$29,MATCH($B2222,Config!$B$9:$B$29,0))&amp;"",""))</f>
        <v/>
      </c>
    </row>
    <row r="2223">
      <c r="R2223" s="20" t="str">
        <f>IF($B2223="","",IFERROR(IF(INDEX(Config!$D$9:$D$29,MATCH($B2223,Config!$B$9:$B$29,0))="Contrato",IF(INDEX(Config!$E$9:$E$29,MATCH($B2223,Config!$B$9:$B$29,0))="","",INDEX(Config!$E$9:$E$29,MATCH($B2223,Config!$B$9:$B$29,0))),""),""))</f>
        <v/>
      </c>
      <c r="AC2223" s="19" t="str">
        <f>IF($B2223="","",IFERROR(INDEX(Config!$D$9:$D$29,MATCH($B2223,Config!$B$9:$B$29,0))&amp;"",""))</f>
        <v/>
      </c>
    </row>
    <row r="2224">
      <c r="R2224" s="20" t="str">
        <f>IF($B2224="","",IFERROR(IF(INDEX(Config!$D$9:$D$29,MATCH($B2224,Config!$B$9:$B$29,0))="Contrato",IF(INDEX(Config!$E$9:$E$29,MATCH($B2224,Config!$B$9:$B$29,0))="","",INDEX(Config!$E$9:$E$29,MATCH($B2224,Config!$B$9:$B$29,0))),""),""))</f>
        <v/>
      </c>
      <c r="AC2224" s="19" t="str">
        <f>IF($B2224="","",IFERROR(INDEX(Config!$D$9:$D$29,MATCH($B2224,Config!$B$9:$B$29,0))&amp;"",""))</f>
        <v/>
      </c>
    </row>
    <row r="2225">
      <c r="R2225" s="20" t="str">
        <f>IF($B2225="","",IFERROR(IF(INDEX(Config!$D$9:$D$29,MATCH($B2225,Config!$B$9:$B$29,0))="Contrato",IF(INDEX(Config!$E$9:$E$29,MATCH($B2225,Config!$B$9:$B$29,0))="","",INDEX(Config!$E$9:$E$29,MATCH($B2225,Config!$B$9:$B$29,0))),""),""))</f>
        <v/>
      </c>
      <c r="AC2225" s="19" t="str">
        <f>IF($B2225="","",IFERROR(INDEX(Config!$D$9:$D$29,MATCH($B2225,Config!$B$9:$B$29,0))&amp;"",""))</f>
        <v/>
      </c>
    </row>
    <row r="2226">
      <c r="R2226" s="20" t="str">
        <f>IF($B2226="","",IFERROR(IF(INDEX(Config!$D$9:$D$29,MATCH($B2226,Config!$B$9:$B$29,0))="Contrato",IF(INDEX(Config!$E$9:$E$29,MATCH($B2226,Config!$B$9:$B$29,0))="","",INDEX(Config!$E$9:$E$29,MATCH($B2226,Config!$B$9:$B$29,0))),""),""))</f>
        <v/>
      </c>
      <c r="AC2226" s="19" t="str">
        <f>IF($B2226="","",IFERROR(INDEX(Config!$D$9:$D$29,MATCH($B2226,Config!$B$9:$B$29,0))&amp;"",""))</f>
        <v/>
      </c>
    </row>
    <row r="2227">
      <c r="R2227" s="20" t="str">
        <f>IF($B2227="","",IFERROR(IF(INDEX(Config!$D$9:$D$29,MATCH($B2227,Config!$B$9:$B$29,0))="Contrato",IF(INDEX(Config!$E$9:$E$29,MATCH($B2227,Config!$B$9:$B$29,0))="","",INDEX(Config!$E$9:$E$29,MATCH($B2227,Config!$B$9:$B$29,0))),""),""))</f>
        <v/>
      </c>
      <c r="AC2227" s="19" t="str">
        <f>IF($B2227="","",IFERROR(INDEX(Config!$D$9:$D$29,MATCH($B2227,Config!$B$9:$B$29,0))&amp;"",""))</f>
        <v/>
      </c>
    </row>
    <row r="2228">
      <c r="R2228" s="20" t="str">
        <f>IF($B2228="","",IFERROR(IF(INDEX(Config!$D$9:$D$29,MATCH($B2228,Config!$B$9:$B$29,0))="Contrato",IF(INDEX(Config!$E$9:$E$29,MATCH($B2228,Config!$B$9:$B$29,0))="","",INDEX(Config!$E$9:$E$29,MATCH($B2228,Config!$B$9:$B$29,0))),""),""))</f>
        <v/>
      </c>
      <c r="AC2228" s="19" t="str">
        <f>IF($B2228="","",IFERROR(INDEX(Config!$D$9:$D$29,MATCH($B2228,Config!$B$9:$B$29,0))&amp;"",""))</f>
        <v/>
      </c>
    </row>
    <row r="2229">
      <c r="R2229" s="20" t="str">
        <f>IF($B2229="","",IFERROR(IF(INDEX(Config!$D$9:$D$29,MATCH($B2229,Config!$B$9:$B$29,0))="Contrato",IF(INDEX(Config!$E$9:$E$29,MATCH($B2229,Config!$B$9:$B$29,0))="","",INDEX(Config!$E$9:$E$29,MATCH($B2229,Config!$B$9:$B$29,0))),""),""))</f>
        <v/>
      </c>
      <c r="AC2229" s="19" t="str">
        <f>IF($B2229="","",IFERROR(INDEX(Config!$D$9:$D$29,MATCH($B2229,Config!$B$9:$B$29,0))&amp;"",""))</f>
        <v/>
      </c>
    </row>
    <row r="2230">
      <c r="R2230" s="20" t="str">
        <f>IF($B2230="","",IFERROR(IF(INDEX(Config!$D$9:$D$29,MATCH($B2230,Config!$B$9:$B$29,0))="Contrato",IF(INDEX(Config!$E$9:$E$29,MATCH($B2230,Config!$B$9:$B$29,0))="","",INDEX(Config!$E$9:$E$29,MATCH($B2230,Config!$B$9:$B$29,0))),""),""))</f>
        <v/>
      </c>
      <c r="AC2230" s="19" t="str">
        <f>IF($B2230="","",IFERROR(INDEX(Config!$D$9:$D$29,MATCH($B2230,Config!$B$9:$B$29,0))&amp;"",""))</f>
        <v/>
      </c>
    </row>
    <row r="2231">
      <c r="R2231" s="20" t="str">
        <f>IF($B2231="","",IFERROR(IF(INDEX(Config!$D$9:$D$29,MATCH($B2231,Config!$B$9:$B$29,0))="Contrato",IF(INDEX(Config!$E$9:$E$29,MATCH($B2231,Config!$B$9:$B$29,0))="","",INDEX(Config!$E$9:$E$29,MATCH($B2231,Config!$B$9:$B$29,0))),""),""))</f>
        <v/>
      </c>
      <c r="AC2231" s="19" t="str">
        <f>IF($B2231="","",IFERROR(INDEX(Config!$D$9:$D$29,MATCH($B2231,Config!$B$9:$B$29,0))&amp;"",""))</f>
        <v/>
      </c>
    </row>
    <row r="2232">
      <c r="R2232" s="20" t="str">
        <f>IF($B2232="","",IFERROR(IF(INDEX(Config!$D$9:$D$29,MATCH($B2232,Config!$B$9:$B$29,0))="Contrato",IF(INDEX(Config!$E$9:$E$29,MATCH($B2232,Config!$B$9:$B$29,0))="","",INDEX(Config!$E$9:$E$29,MATCH($B2232,Config!$B$9:$B$29,0))),""),""))</f>
        <v/>
      </c>
      <c r="AC2232" s="19" t="str">
        <f>IF($B2232="","",IFERROR(INDEX(Config!$D$9:$D$29,MATCH($B2232,Config!$B$9:$B$29,0))&amp;"",""))</f>
        <v/>
      </c>
    </row>
    <row r="2233">
      <c r="R2233" s="20" t="str">
        <f>IF($B2233="","",IFERROR(IF(INDEX(Config!$D$9:$D$29,MATCH($B2233,Config!$B$9:$B$29,0))="Contrato",IF(INDEX(Config!$E$9:$E$29,MATCH($B2233,Config!$B$9:$B$29,0))="","",INDEX(Config!$E$9:$E$29,MATCH($B2233,Config!$B$9:$B$29,0))),""),""))</f>
        <v/>
      </c>
      <c r="AC2233" s="19" t="str">
        <f>IF($B2233="","",IFERROR(INDEX(Config!$D$9:$D$29,MATCH($B2233,Config!$B$9:$B$29,0))&amp;"",""))</f>
        <v/>
      </c>
    </row>
    <row r="2234">
      <c r="R2234" s="20" t="str">
        <f>IF($B2234="","",IFERROR(IF(INDEX(Config!$D$9:$D$29,MATCH($B2234,Config!$B$9:$B$29,0))="Contrato",IF(INDEX(Config!$E$9:$E$29,MATCH($B2234,Config!$B$9:$B$29,0))="","",INDEX(Config!$E$9:$E$29,MATCH($B2234,Config!$B$9:$B$29,0))),""),""))</f>
        <v/>
      </c>
      <c r="AC2234" s="19" t="str">
        <f>IF($B2234="","",IFERROR(INDEX(Config!$D$9:$D$29,MATCH($B2234,Config!$B$9:$B$29,0))&amp;"",""))</f>
        <v/>
      </c>
    </row>
    <row r="2235">
      <c r="R2235" s="20" t="str">
        <f>IF($B2235="","",IFERROR(IF(INDEX(Config!$D$9:$D$29,MATCH($B2235,Config!$B$9:$B$29,0))="Contrato",IF(INDEX(Config!$E$9:$E$29,MATCH($B2235,Config!$B$9:$B$29,0))="","",INDEX(Config!$E$9:$E$29,MATCH($B2235,Config!$B$9:$B$29,0))),""),""))</f>
        <v/>
      </c>
      <c r="AC2235" s="19" t="str">
        <f>IF($B2235="","",IFERROR(INDEX(Config!$D$9:$D$29,MATCH($B2235,Config!$B$9:$B$29,0))&amp;"",""))</f>
        <v/>
      </c>
    </row>
    <row r="2236">
      <c r="R2236" s="20" t="str">
        <f>IF($B2236="","",IFERROR(IF(INDEX(Config!$D$9:$D$29,MATCH($B2236,Config!$B$9:$B$29,0))="Contrato",IF(INDEX(Config!$E$9:$E$29,MATCH($B2236,Config!$B$9:$B$29,0))="","",INDEX(Config!$E$9:$E$29,MATCH($B2236,Config!$B$9:$B$29,0))),""),""))</f>
        <v/>
      </c>
      <c r="AC2236" s="19" t="str">
        <f>IF($B2236="","",IFERROR(INDEX(Config!$D$9:$D$29,MATCH($B2236,Config!$B$9:$B$29,0))&amp;"",""))</f>
        <v/>
      </c>
    </row>
    <row r="2237">
      <c r="R2237" s="20" t="str">
        <f>IF($B2237="","",IFERROR(IF(INDEX(Config!$D$9:$D$29,MATCH($B2237,Config!$B$9:$B$29,0))="Contrato",IF(INDEX(Config!$E$9:$E$29,MATCH($B2237,Config!$B$9:$B$29,0))="","",INDEX(Config!$E$9:$E$29,MATCH($B2237,Config!$B$9:$B$29,0))),""),""))</f>
        <v/>
      </c>
      <c r="AC2237" s="19" t="str">
        <f>IF($B2237="","",IFERROR(INDEX(Config!$D$9:$D$29,MATCH($B2237,Config!$B$9:$B$29,0))&amp;"",""))</f>
        <v/>
      </c>
    </row>
    <row r="2238">
      <c r="R2238" s="20" t="str">
        <f>IF($B2238="","",IFERROR(IF(INDEX(Config!$D$9:$D$29,MATCH($B2238,Config!$B$9:$B$29,0))="Contrato",IF(INDEX(Config!$E$9:$E$29,MATCH($B2238,Config!$B$9:$B$29,0))="","",INDEX(Config!$E$9:$E$29,MATCH($B2238,Config!$B$9:$B$29,0))),""),""))</f>
        <v/>
      </c>
      <c r="AC2238" s="19" t="str">
        <f>IF($B2238="","",IFERROR(INDEX(Config!$D$9:$D$29,MATCH($B2238,Config!$B$9:$B$29,0))&amp;"",""))</f>
        <v/>
      </c>
    </row>
    <row r="2239">
      <c r="R2239" s="20" t="str">
        <f>IF($B2239="","",IFERROR(IF(INDEX(Config!$D$9:$D$29,MATCH($B2239,Config!$B$9:$B$29,0))="Contrato",IF(INDEX(Config!$E$9:$E$29,MATCH($B2239,Config!$B$9:$B$29,0))="","",INDEX(Config!$E$9:$E$29,MATCH($B2239,Config!$B$9:$B$29,0))),""),""))</f>
        <v/>
      </c>
      <c r="AC2239" s="19" t="str">
        <f>IF($B2239="","",IFERROR(INDEX(Config!$D$9:$D$29,MATCH($B2239,Config!$B$9:$B$29,0))&amp;"",""))</f>
        <v/>
      </c>
    </row>
    <row r="2240">
      <c r="R2240" s="20" t="str">
        <f>IF($B2240="","",IFERROR(IF(INDEX(Config!$D$9:$D$29,MATCH($B2240,Config!$B$9:$B$29,0))="Contrato",IF(INDEX(Config!$E$9:$E$29,MATCH($B2240,Config!$B$9:$B$29,0))="","",INDEX(Config!$E$9:$E$29,MATCH($B2240,Config!$B$9:$B$29,0))),""),""))</f>
        <v/>
      </c>
      <c r="AC2240" s="19" t="str">
        <f>IF($B2240="","",IFERROR(INDEX(Config!$D$9:$D$29,MATCH($B2240,Config!$B$9:$B$29,0))&amp;"",""))</f>
        <v/>
      </c>
    </row>
    <row r="2241">
      <c r="R2241" s="20" t="str">
        <f>IF($B2241="","",IFERROR(IF(INDEX(Config!$D$9:$D$29,MATCH($B2241,Config!$B$9:$B$29,0))="Contrato",IF(INDEX(Config!$E$9:$E$29,MATCH($B2241,Config!$B$9:$B$29,0))="","",INDEX(Config!$E$9:$E$29,MATCH($B2241,Config!$B$9:$B$29,0))),""),""))</f>
        <v/>
      </c>
      <c r="AC2241" s="19" t="str">
        <f>IF($B2241="","",IFERROR(INDEX(Config!$D$9:$D$29,MATCH($B2241,Config!$B$9:$B$29,0))&amp;"",""))</f>
        <v/>
      </c>
    </row>
    <row r="2242">
      <c r="R2242" s="20" t="str">
        <f>IF($B2242="","",IFERROR(IF(INDEX(Config!$D$9:$D$29,MATCH($B2242,Config!$B$9:$B$29,0))="Contrato",IF(INDEX(Config!$E$9:$E$29,MATCH($B2242,Config!$B$9:$B$29,0))="","",INDEX(Config!$E$9:$E$29,MATCH($B2242,Config!$B$9:$B$29,0))),""),""))</f>
        <v/>
      </c>
      <c r="AC2242" s="19" t="str">
        <f>IF($B2242="","",IFERROR(INDEX(Config!$D$9:$D$29,MATCH($B2242,Config!$B$9:$B$29,0))&amp;"",""))</f>
        <v/>
      </c>
    </row>
    <row r="2243">
      <c r="R2243" s="20" t="str">
        <f>IF($B2243="","",IFERROR(IF(INDEX(Config!$D$9:$D$29,MATCH($B2243,Config!$B$9:$B$29,0))="Contrato",IF(INDEX(Config!$E$9:$E$29,MATCH($B2243,Config!$B$9:$B$29,0))="","",INDEX(Config!$E$9:$E$29,MATCH($B2243,Config!$B$9:$B$29,0))),""),""))</f>
        <v/>
      </c>
      <c r="AC2243" s="19" t="str">
        <f>IF($B2243="","",IFERROR(INDEX(Config!$D$9:$D$29,MATCH($B2243,Config!$B$9:$B$29,0))&amp;"",""))</f>
        <v/>
      </c>
    </row>
    <row r="2244">
      <c r="R2244" s="20" t="str">
        <f>IF($B2244="","",IFERROR(IF(INDEX(Config!$D$9:$D$29,MATCH($B2244,Config!$B$9:$B$29,0))="Contrato",IF(INDEX(Config!$E$9:$E$29,MATCH($B2244,Config!$B$9:$B$29,0))="","",INDEX(Config!$E$9:$E$29,MATCH($B2244,Config!$B$9:$B$29,0))),""),""))</f>
        <v/>
      </c>
      <c r="AC2244" s="19" t="str">
        <f>IF($B2244="","",IFERROR(INDEX(Config!$D$9:$D$29,MATCH($B2244,Config!$B$9:$B$29,0))&amp;"",""))</f>
        <v/>
      </c>
    </row>
    <row r="2245">
      <c r="R2245" s="20" t="str">
        <f>IF($B2245="","",IFERROR(IF(INDEX(Config!$D$9:$D$29,MATCH($B2245,Config!$B$9:$B$29,0))="Contrato",IF(INDEX(Config!$E$9:$E$29,MATCH($B2245,Config!$B$9:$B$29,0))="","",INDEX(Config!$E$9:$E$29,MATCH($B2245,Config!$B$9:$B$29,0))),""),""))</f>
        <v/>
      </c>
      <c r="AC2245" s="19" t="str">
        <f>IF($B2245="","",IFERROR(INDEX(Config!$D$9:$D$29,MATCH($B2245,Config!$B$9:$B$29,0))&amp;"",""))</f>
        <v/>
      </c>
    </row>
    <row r="2246">
      <c r="R2246" s="20" t="str">
        <f>IF($B2246="","",IFERROR(IF(INDEX(Config!$D$9:$D$29,MATCH($B2246,Config!$B$9:$B$29,0))="Contrato",IF(INDEX(Config!$E$9:$E$29,MATCH($B2246,Config!$B$9:$B$29,0))="","",INDEX(Config!$E$9:$E$29,MATCH($B2246,Config!$B$9:$B$29,0))),""),""))</f>
        <v/>
      </c>
      <c r="AC2246" s="19" t="str">
        <f>IF($B2246="","",IFERROR(INDEX(Config!$D$9:$D$29,MATCH($B2246,Config!$B$9:$B$29,0))&amp;"",""))</f>
        <v/>
      </c>
    </row>
    <row r="2247">
      <c r="R2247" s="20" t="str">
        <f>IF($B2247="","",IFERROR(IF(INDEX(Config!$D$9:$D$29,MATCH($B2247,Config!$B$9:$B$29,0))="Contrato",IF(INDEX(Config!$E$9:$E$29,MATCH($B2247,Config!$B$9:$B$29,0))="","",INDEX(Config!$E$9:$E$29,MATCH($B2247,Config!$B$9:$B$29,0))),""),""))</f>
        <v/>
      </c>
      <c r="AC2247" s="19" t="str">
        <f>IF($B2247="","",IFERROR(INDEX(Config!$D$9:$D$29,MATCH($B2247,Config!$B$9:$B$29,0))&amp;"",""))</f>
        <v/>
      </c>
    </row>
    <row r="2248">
      <c r="R2248" s="20" t="str">
        <f>IF($B2248="","",IFERROR(IF(INDEX(Config!$D$9:$D$29,MATCH($B2248,Config!$B$9:$B$29,0))="Contrato",IF(INDEX(Config!$E$9:$E$29,MATCH($B2248,Config!$B$9:$B$29,0))="","",INDEX(Config!$E$9:$E$29,MATCH($B2248,Config!$B$9:$B$29,0))),""),""))</f>
        <v/>
      </c>
      <c r="AC2248" s="19" t="str">
        <f>IF($B2248="","",IFERROR(INDEX(Config!$D$9:$D$29,MATCH($B2248,Config!$B$9:$B$29,0))&amp;"",""))</f>
        <v/>
      </c>
    </row>
    <row r="2249">
      <c r="R2249" s="20" t="str">
        <f>IF($B2249="","",IFERROR(IF(INDEX(Config!$D$9:$D$29,MATCH($B2249,Config!$B$9:$B$29,0))="Contrato",IF(INDEX(Config!$E$9:$E$29,MATCH($B2249,Config!$B$9:$B$29,0))="","",INDEX(Config!$E$9:$E$29,MATCH($B2249,Config!$B$9:$B$29,0))),""),""))</f>
        <v/>
      </c>
      <c r="AC2249" s="19" t="str">
        <f>IF($B2249="","",IFERROR(INDEX(Config!$D$9:$D$29,MATCH($B2249,Config!$B$9:$B$29,0))&amp;"",""))</f>
        <v/>
      </c>
    </row>
    <row r="2250">
      <c r="R2250" s="20" t="str">
        <f>IF($B2250="","",IFERROR(IF(INDEX(Config!$D$9:$D$29,MATCH($B2250,Config!$B$9:$B$29,0))="Contrato",IF(INDEX(Config!$E$9:$E$29,MATCH($B2250,Config!$B$9:$B$29,0))="","",INDEX(Config!$E$9:$E$29,MATCH($B2250,Config!$B$9:$B$29,0))),""),""))</f>
        <v/>
      </c>
      <c r="AC2250" s="19" t="str">
        <f>IF($B2250="","",IFERROR(INDEX(Config!$D$9:$D$29,MATCH($B2250,Config!$B$9:$B$29,0))&amp;"",""))</f>
        <v/>
      </c>
    </row>
    <row r="2251">
      <c r="R2251" s="20" t="str">
        <f>IF($B2251="","",IFERROR(IF(INDEX(Config!$D$9:$D$29,MATCH($B2251,Config!$B$9:$B$29,0))="Contrato",IF(INDEX(Config!$E$9:$E$29,MATCH($B2251,Config!$B$9:$B$29,0))="","",INDEX(Config!$E$9:$E$29,MATCH($B2251,Config!$B$9:$B$29,0))),""),""))</f>
        <v/>
      </c>
      <c r="AC2251" s="19" t="str">
        <f>IF($B2251="","",IFERROR(INDEX(Config!$D$9:$D$29,MATCH($B2251,Config!$B$9:$B$29,0))&amp;"",""))</f>
        <v/>
      </c>
    </row>
    <row r="2252">
      <c r="R2252" s="20" t="str">
        <f>IF($B2252="","",IFERROR(IF(INDEX(Config!$D$9:$D$29,MATCH($B2252,Config!$B$9:$B$29,0))="Contrato",IF(INDEX(Config!$E$9:$E$29,MATCH($B2252,Config!$B$9:$B$29,0))="","",INDEX(Config!$E$9:$E$29,MATCH($B2252,Config!$B$9:$B$29,0))),""),""))</f>
        <v/>
      </c>
      <c r="AC2252" s="19" t="str">
        <f>IF($B2252="","",IFERROR(INDEX(Config!$D$9:$D$29,MATCH($B2252,Config!$B$9:$B$29,0))&amp;"",""))</f>
        <v/>
      </c>
    </row>
    <row r="2253">
      <c r="R2253" s="20" t="str">
        <f>IF($B2253="","",IFERROR(IF(INDEX(Config!$D$9:$D$29,MATCH($B2253,Config!$B$9:$B$29,0))="Contrato",IF(INDEX(Config!$E$9:$E$29,MATCH($B2253,Config!$B$9:$B$29,0))="","",INDEX(Config!$E$9:$E$29,MATCH($B2253,Config!$B$9:$B$29,0))),""),""))</f>
        <v/>
      </c>
      <c r="AC2253" s="19" t="str">
        <f>IF($B2253="","",IFERROR(INDEX(Config!$D$9:$D$29,MATCH($B2253,Config!$B$9:$B$29,0))&amp;"",""))</f>
        <v/>
      </c>
    </row>
    <row r="2254">
      <c r="R2254" s="20" t="str">
        <f>IF($B2254="","",IFERROR(IF(INDEX(Config!$D$9:$D$29,MATCH($B2254,Config!$B$9:$B$29,0))="Contrato",IF(INDEX(Config!$E$9:$E$29,MATCH($B2254,Config!$B$9:$B$29,0))="","",INDEX(Config!$E$9:$E$29,MATCH($B2254,Config!$B$9:$B$29,0))),""),""))</f>
        <v/>
      </c>
      <c r="AC2254" s="19" t="str">
        <f>IF($B2254="","",IFERROR(INDEX(Config!$D$9:$D$29,MATCH($B2254,Config!$B$9:$B$29,0))&amp;"",""))</f>
        <v/>
      </c>
    </row>
    <row r="2255">
      <c r="R2255" s="20" t="str">
        <f>IF($B2255="","",IFERROR(IF(INDEX(Config!$D$9:$D$29,MATCH($B2255,Config!$B$9:$B$29,0))="Contrato",IF(INDEX(Config!$E$9:$E$29,MATCH($B2255,Config!$B$9:$B$29,0))="","",INDEX(Config!$E$9:$E$29,MATCH($B2255,Config!$B$9:$B$29,0))),""),""))</f>
        <v/>
      </c>
      <c r="AC2255" s="19" t="str">
        <f>IF($B2255="","",IFERROR(INDEX(Config!$D$9:$D$29,MATCH($B2255,Config!$B$9:$B$29,0))&amp;"",""))</f>
        <v/>
      </c>
    </row>
    <row r="2256">
      <c r="R2256" s="20" t="str">
        <f>IF($B2256="","",IFERROR(IF(INDEX(Config!$D$9:$D$29,MATCH($B2256,Config!$B$9:$B$29,0))="Contrato",IF(INDEX(Config!$E$9:$E$29,MATCH($B2256,Config!$B$9:$B$29,0))="","",INDEX(Config!$E$9:$E$29,MATCH($B2256,Config!$B$9:$B$29,0))),""),""))</f>
        <v/>
      </c>
      <c r="AC2256" s="19" t="str">
        <f>IF($B2256="","",IFERROR(INDEX(Config!$D$9:$D$29,MATCH($B2256,Config!$B$9:$B$29,0))&amp;"",""))</f>
        <v/>
      </c>
    </row>
    <row r="2257">
      <c r="R2257" s="20" t="str">
        <f>IF($B2257="","",IFERROR(IF(INDEX(Config!$D$9:$D$29,MATCH($B2257,Config!$B$9:$B$29,0))="Contrato",IF(INDEX(Config!$E$9:$E$29,MATCH($B2257,Config!$B$9:$B$29,0))="","",INDEX(Config!$E$9:$E$29,MATCH($B2257,Config!$B$9:$B$29,0))),""),""))</f>
        <v/>
      </c>
      <c r="AC2257" s="19" t="str">
        <f>IF($B2257="","",IFERROR(INDEX(Config!$D$9:$D$29,MATCH($B2257,Config!$B$9:$B$29,0))&amp;"",""))</f>
        <v/>
      </c>
    </row>
    <row r="2258">
      <c r="R2258" s="20" t="str">
        <f>IF($B2258="","",IFERROR(IF(INDEX(Config!$D$9:$D$29,MATCH($B2258,Config!$B$9:$B$29,0))="Contrato",IF(INDEX(Config!$E$9:$E$29,MATCH($B2258,Config!$B$9:$B$29,0))="","",INDEX(Config!$E$9:$E$29,MATCH($B2258,Config!$B$9:$B$29,0))),""),""))</f>
        <v/>
      </c>
      <c r="AC2258" s="19" t="str">
        <f>IF($B2258="","",IFERROR(INDEX(Config!$D$9:$D$29,MATCH($B2258,Config!$B$9:$B$29,0))&amp;"",""))</f>
        <v/>
      </c>
    </row>
    <row r="2259">
      <c r="R2259" s="20" t="str">
        <f>IF($B2259="","",IFERROR(IF(INDEX(Config!$D$9:$D$29,MATCH($B2259,Config!$B$9:$B$29,0))="Contrato",IF(INDEX(Config!$E$9:$E$29,MATCH($B2259,Config!$B$9:$B$29,0))="","",INDEX(Config!$E$9:$E$29,MATCH($B2259,Config!$B$9:$B$29,0))),""),""))</f>
        <v/>
      </c>
      <c r="AC2259" s="19" t="str">
        <f>IF($B2259="","",IFERROR(INDEX(Config!$D$9:$D$29,MATCH($B2259,Config!$B$9:$B$29,0))&amp;"",""))</f>
        <v/>
      </c>
    </row>
    <row r="2260">
      <c r="R2260" s="20" t="str">
        <f>IF($B2260="","",IFERROR(IF(INDEX(Config!$D$9:$D$29,MATCH($B2260,Config!$B$9:$B$29,0))="Contrato",IF(INDEX(Config!$E$9:$E$29,MATCH($B2260,Config!$B$9:$B$29,0))="","",INDEX(Config!$E$9:$E$29,MATCH($B2260,Config!$B$9:$B$29,0))),""),""))</f>
        <v/>
      </c>
      <c r="AC2260" s="19" t="str">
        <f>IF($B2260="","",IFERROR(INDEX(Config!$D$9:$D$29,MATCH($B2260,Config!$B$9:$B$29,0))&amp;"",""))</f>
        <v/>
      </c>
    </row>
    <row r="2261">
      <c r="R2261" s="20" t="str">
        <f>IF($B2261="","",IFERROR(IF(INDEX(Config!$D$9:$D$29,MATCH($B2261,Config!$B$9:$B$29,0))="Contrato",IF(INDEX(Config!$E$9:$E$29,MATCH($B2261,Config!$B$9:$B$29,0))="","",INDEX(Config!$E$9:$E$29,MATCH($B2261,Config!$B$9:$B$29,0))),""),""))</f>
        <v/>
      </c>
      <c r="AC2261" s="19" t="str">
        <f>IF($B2261="","",IFERROR(INDEX(Config!$D$9:$D$29,MATCH($B2261,Config!$B$9:$B$29,0))&amp;"",""))</f>
        <v/>
      </c>
    </row>
    <row r="2262">
      <c r="R2262" s="20" t="str">
        <f>IF($B2262="","",IFERROR(IF(INDEX(Config!$D$9:$D$29,MATCH($B2262,Config!$B$9:$B$29,0))="Contrato",IF(INDEX(Config!$E$9:$E$29,MATCH($B2262,Config!$B$9:$B$29,0))="","",INDEX(Config!$E$9:$E$29,MATCH($B2262,Config!$B$9:$B$29,0))),""),""))</f>
        <v/>
      </c>
      <c r="AC2262" s="19" t="str">
        <f>IF($B2262="","",IFERROR(INDEX(Config!$D$9:$D$29,MATCH($B2262,Config!$B$9:$B$29,0))&amp;"",""))</f>
        <v/>
      </c>
    </row>
    <row r="2263">
      <c r="R2263" s="20" t="str">
        <f>IF($B2263="","",IFERROR(IF(INDEX(Config!$D$9:$D$29,MATCH($B2263,Config!$B$9:$B$29,0))="Contrato",IF(INDEX(Config!$E$9:$E$29,MATCH($B2263,Config!$B$9:$B$29,0))="","",INDEX(Config!$E$9:$E$29,MATCH($B2263,Config!$B$9:$B$29,0))),""),""))</f>
        <v/>
      </c>
      <c r="AC2263" s="19" t="str">
        <f>IF($B2263="","",IFERROR(INDEX(Config!$D$9:$D$29,MATCH($B2263,Config!$B$9:$B$29,0))&amp;"",""))</f>
        <v/>
      </c>
    </row>
    <row r="2264">
      <c r="R2264" s="20" t="str">
        <f>IF($B2264="","",IFERROR(IF(INDEX(Config!$D$9:$D$29,MATCH($B2264,Config!$B$9:$B$29,0))="Contrato",IF(INDEX(Config!$E$9:$E$29,MATCH($B2264,Config!$B$9:$B$29,0))="","",INDEX(Config!$E$9:$E$29,MATCH($B2264,Config!$B$9:$B$29,0))),""),""))</f>
        <v/>
      </c>
      <c r="AC2264" s="19" t="str">
        <f>IF($B2264="","",IFERROR(INDEX(Config!$D$9:$D$29,MATCH($B2264,Config!$B$9:$B$29,0))&amp;"",""))</f>
        <v/>
      </c>
    </row>
    <row r="2265">
      <c r="R2265" s="20" t="str">
        <f>IF($B2265="","",IFERROR(IF(INDEX(Config!$D$9:$D$29,MATCH($B2265,Config!$B$9:$B$29,0))="Contrato",IF(INDEX(Config!$E$9:$E$29,MATCH($B2265,Config!$B$9:$B$29,0))="","",INDEX(Config!$E$9:$E$29,MATCH($B2265,Config!$B$9:$B$29,0))),""),""))</f>
        <v/>
      </c>
      <c r="AC2265" s="19" t="str">
        <f>IF($B2265="","",IFERROR(INDEX(Config!$D$9:$D$29,MATCH($B2265,Config!$B$9:$B$29,0))&amp;"",""))</f>
        <v/>
      </c>
    </row>
    <row r="2266">
      <c r="R2266" s="20" t="str">
        <f>IF($B2266="","",IFERROR(IF(INDEX(Config!$D$9:$D$29,MATCH($B2266,Config!$B$9:$B$29,0))="Contrato",IF(INDEX(Config!$E$9:$E$29,MATCH($B2266,Config!$B$9:$B$29,0))="","",INDEX(Config!$E$9:$E$29,MATCH($B2266,Config!$B$9:$B$29,0))),""),""))</f>
        <v/>
      </c>
      <c r="AC2266" s="19" t="str">
        <f>IF($B2266="","",IFERROR(INDEX(Config!$D$9:$D$29,MATCH($B2266,Config!$B$9:$B$29,0))&amp;"",""))</f>
        <v/>
      </c>
    </row>
    <row r="2267">
      <c r="R2267" s="20" t="str">
        <f>IF($B2267="","",IFERROR(IF(INDEX(Config!$D$9:$D$29,MATCH($B2267,Config!$B$9:$B$29,0))="Contrato",IF(INDEX(Config!$E$9:$E$29,MATCH($B2267,Config!$B$9:$B$29,0))="","",INDEX(Config!$E$9:$E$29,MATCH($B2267,Config!$B$9:$B$29,0))),""),""))</f>
        <v/>
      </c>
      <c r="AC2267" s="19" t="str">
        <f>IF($B2267="","",IFERROR(INDEX(Config!$D$9:$D$29,MATCH($B2267,Config!$B$9:$B$29,0))&amp;"",""))</f>
        <v/>
      </c>
    </row>
    <row r="2268">
      <c r="R2268" s="20" t="str">
        <f>IF($B2268="","",IFERROR(IF(INDEX(Config!$D$9:$D$29,MATCH($B2268,Config!$B$9:$B$29,0))="Contrato",IF(INDEX(Config!$E$9:$E$29,MATCH($B2268,Config!$B$9:$B$29,0))="","",INDEX(Config!$E$9:$E$29,MATCH($B2268,Config!$B$9:$B$29,0))),""),""))</f>
        <v/>
      </c>
      <c r="AC2268" s="19" t="str">
        <f>IF($B2268="","",IFERROR(INDEX(Config!$D$9:$D$29,MATCH($B2268,Config!$B$9:$B$29,0))&amp;"",""))</f>
        <v/>
      </c>
    </row>
    <row r="2269">
      <c r="R2269" s="20" t="str">
        <f>IF($B2269="","",IFERROR(IF(INDEX(Config!$D$9:$D$29,MATCH($B2269,Config!$B$9:$B$29,0))="Contrato",IF(INDEX(Config!$E$9:$E$29,MATCH($B2269,Config!$B$9:$B$29,0))="","",INDEX(Config!$E$9:$E$29,MATCH($B2269,Config!$B$9:$B$29,0))),""),""))</f>
        <v/>
      </c>
      <c r="AC2269" s="19" t="str">
        <f>IF($B2269="","",IFERROR(INDEX(Config!$D$9:$D$29,MATCH($B2269,Config!$B$9:$B$29,0))&amp;"",""))</f>
        <v/>
      </c>
    </row>
    <row r="2270">
      <c r="R2270" s="20" t="str">
        <f>IF($B2270="","",IFERROR(IF(INDEX(Config!$D$9:$D$29,MATCH($B2270,Config!$B$9:$B$29,0))="Contrato",IF(INDEX(Config!$E$9:$E$29,MATCH($B2270,Config!$B$9:$B$29,0))="","",INDEX(Config!$E$9:$E$29,MATCH($B2270,Config!$B$9:$B$29,0))),""),""))</f>
        <v/>
      </c>
      <c r="AC2270" s="19" t="str">
        <f>IF($B2270="","",IFERROR(INDEX(Config!$D$9:$D$29,MATCH($B2270,Config!$B$9:$B$29,0))&amp;"",""))</f>
        <v/>
      </c>
    </row>
    <row r="2271">
      <c r="R2271" s="20" t="str">
        <f>IF($B2271="","",IFERROR(IF(INDEX(Config!$D$9:$D$29,MATCH($B2271,Config!$B$9:$B$29,0))="Contrato",IF(INDEX(Config!$E$9:$E$29,MATCH($B2271,Config!$B$9:$B$29,0))="","",INDEX(Config!$E$9:$E$29,MATCH($B2271,Config!$B$9:$B$29,0))),""),""))</f>
        <v/>
      </c>
      <c r="AC2271" s="19" t="str">
        <f>IF($B2271="","",IFERROR(INDEX(Config!$D$9:$D$29,MATCH($B2271,Config!$B$9:$B$29,0))&amp;"",""))</f>
        <v/>
      </c>
    </row>
    <row r="2272">
      <c r="R2272" s="20" t="str">
        <f>IF($B2272="","",IFERROR(IF(INDEX(Config!$D$9:$D$29,MATCH($B2272,Config!$B$9:$B$29,0))="Contrato",IF(INDEX(Config!$E$9:$E$29,MATCH($B2272,Config!$B$9:$B$29,0))="","",INDEX(Config!$E$9:$E$29,MATCH($B2272,Config!$B$9:$B$29,0))),""),""))</f>
        <v/>
      </c>
      <c r="AC2272" s="19" t="str">
        <f>IF($B2272="","",IFERROR(INDEX(Config!$D$9:$D$29,MATCH($B2272,Config!$B$9:$B$29,0))&amp;"",""))</f>
        <v/>
      </c>
    </row>
    <row r="2273">
      <c r="R2273" s="20" t="str">
        <f>IF($B2273="","",IFERROR(IF(INDEX(Config!$D$9:$D$29,MATCH($B2273,Config!$B$9:$B$29,0))="Contrato",IF(INDEX(Config!$E$9:$E$29,MATCH($B2273,Config!$B$9:$B$29,0))="","",INDEX(Config!$E$9:$E$29,MATCH($B2273,Config!$B$9:$B$29,0))),""),""))</f>
        <v/>
      </c>
      <c r="AC2273" s="19" t="str">
        <f>IF($B2273="","",IFERROR(INDEX(Config!$D$9:$D$29,MATCH($B2273,Config!$B$9:$B$29,0))&amp;"",""))</f>
        <v/>
      </c>
    </row>
    <row r="2274">
      <c r="R2274" s="20" t="str">
        <f>IF($B2274="","",IFERROR(IF(INDEX(Config!$D$9:$D$29,MATCH($B2274,Config!$B$9:$B$29,0))="Contrato",IF(INDEX(Config!$E$9:$E$29,MATCH($B2274,Config!$B$9:$B$29,0))="","",INDEX(Config!$E$9:$E$29,MATCH($B2274,Config!$B$9:$B$29,0))),""),""))</f>
        <v/>
      </c>
      <c r="AC2274" s="19" t="str">
        <f>IF($B2274="","",IFERROR(INDEX(Config!$D$9:$D$29,MATCH($B2274,Config!$B$9:$B$29,0))&amp;"",""))</f>
        <v/>
      </c>
    </row>
    <row r="2275">
      <c r="R2275" s="20" t="str">
        <f>IF($B2275="","",IFERROR(IF(INDEX(Config!$D$9:$D$29,MATCH($B2275,Config!$B$9:$B$29,0))="Contrato",IF(INDEX(Config!$E$9:$E$29,MATCH($B2275,Config!$B$9:$B$29,0))="","",INDEX(Config!$E$9:$E$29,MATCH($B2275,Config!$B$9:$B$29,0))),""),""))</f>
        <v/>
      </c>
      <c r="AC2275" s="19" t="str">
        <f>IF($B2275="","",IFERROR(INDEX(Config!$D$9:$D$29,MATCH($B2275,Config!$B$9:$B$29,0))&amp;"",""))</f>
        <v/>
      </c>
    </row>
    <row r="2276">
      <c r="R2276" s="20" t="str">
        <f>IF($B2276="","",IFERROR(IF(INDEX(Config!$D$9:$D$29,MATCH($B2276,Config!$B$9:$B$29,0))="Contrato",IF(INDEX(Config!$E$9:$E$29,MATCH($B2276,Config!$B$9:$B$29,0))="","",INDEX(Config!$E$9:$E$29,MATCH($B2276,Config!$B$9:$B$29,0))),""),""))</f>
        <v/>
      </c>
      <c r="AC2276" s="19" t="str">
        <f>IF($B2276="","",IFERROR(INDEX(Config!$D$9:$D$29,MATCH($B2276,Config!$B$9:$B$29,0))&amp;"",""))</f>
        <v/>
      </c>
    </row>
    <row r="2277">
      <c r="R2277" s="20" t="str">
        <f>IF($B2277="","",IFERROR(IF(INDEX(Config!$D$9:$D$29,MATCH($B2277,Config!$B$9:$B$29,0))="Contrato",IF(INDEX(Config!$E$9:$E$29,MATCH($B2277,Config!$B$9:$B$29,0))="","",INDEX(Config!$E$9:$E$29,MATCH($B2277,Config!$B$9:$B$29,0))),""),""))</f>
        <v/>
      </c>
      <c r="AC2277" s="19" t="str">
        <f>IF($B2277="","",IFERROR(INDEX(Config!$D$9:$D$29,MATCH($B2277,Config!$B$9:$B$29,0))&amp;"",""))</f>
        <v/>
      </c>
    </row>
    <row r="2278">
      <c r="R2278" s="20" t="str">
        <f>IF($B2278="","",IFERROR(IF(INDEX(Config!$D$9:$D$29,MATCH($B2278,Config!$B$9:$B$29,0))="Contrato",IF(INDEX(Config!$E$9:$E$29,MATCH($B2278,Config!$B$9:$B$29,0))="","",INDEX(Config!$E$9:$E$29,MATCH($B2278,Config!$B$9:$B$29,0))),""),""))</f>
        <v/>
      </c>
      <c r="AC2278" s="19" t="str">
        <f>IF($B2278="","",IFERROR(INDEX(Config!$D$9:$D$29,MATCH($B2278,Config!$B$9:$B$29,0))&amp;"",""))</f>
        <v/>
      </c>
    </row>
    <row r="2279">
      <c r="R2279" s="20" t="str">
        <f>IF($B2279="","",IFERROR(IF(INDEX(Config!$D$9:$D$29,MATCH($B2279,Config!$B$9:$B$29,0))="Contrato",IF(INDEX(Config!$E$9:$E$29,MATCH($B2279,Config!$B$9:$B$29,0))="","",INDEX(Config!$E$9:$E$29,MATCH($B2279,Config!$B$9:$B$29,0))),""),""))</f>
        <v/>
      </c>
      <c r="AC2279" s="19" t="str">
        <f>IF($B2279="","",IFERROR(INDEX(Config!$D$9:$D$29,MATCH($B2279,Config!$B$9:$B$29,0))&amp;"",""))</f>
        <v/>
      </c>
    </row>
    <row r="2280">
      <c r="R2280" s="20" t="str">
        <f>IF($B2280="","",IFERROR(IF(INDEX(Config!$D$9:$D$29,MATCH($B2280,Config!$B$9:$B$29,0))="Contrato",IF(INDEX(Config!$E$9:$E$29,MATCH($B2280,Config!$B$9:$B$29,0))="","",INDEX(Config!$E$9:$E$29,MATCH($B2280,Config!$B$9:$B$29,0))),""),""))</f>
        <v/>
      </c>
      <c r="AC2280" s="19" t="str">
        <f>IF($B2280="","",IFERROR(INDEX(Config!$D$9:$D$29,MATCH($B2280,Config!$B$9:$B$29,0))&amp;"",""))</f>
        <v/>
      </c>
    </row>
    <row r="2281">
      <c r="R2281" s="20" t="str">
        <f>IF($B2281="","",IFERROR(IF(INDEX(Config!$D$9:$D$29,MATCH($B2281,Config!$B$9:$B$29,0))="Contrato",IF(INDEX(Config!$E$9:$E$29,MATCH($B2281,Config!$B$9:$B$29,0))="","",INDEX(Config!$E$9:$E$29,MATCH($B2281,Config!$B$9:$B$29,0))),""),""))</f>
        <v/>
      </c>
      <c r="AC2281" s="19" t="str">
        <f>IF($B2281="","",IFERROR(INDEX(Config!$D$9:$D$29,MATCH($B2281,Config!$B$9:$B$29,0))&amp;"",""))</f>
        <v/>
      </c>
    </row>
    <row r="2282">
      <c r="R2282" s="20" t="str">
        <f>IF($B2282="","",IFERROR(IF(INDEX(Config!$D$9:$D$29,MATCH($B2282,Config!$B$9:$B$29,0))="Contrato",IF(INDEX(Config!$E$9:$E$29,MATCH($B2282,Config!$B$9:$B$29,0))="","",INDEX(Config!$E$9:$E$29,MATCH($B2282,Config!$B$9:$B$29,0))),""),""))</f>
        <v/>
      </c>
      <c r="AC2282" s="19" t="str">
        <f>IF($B2282="","",IFERROR(INDEX(Config!$D$9:$D$29,MATCH($B2282,Config!$B$9:$B$29,0))&amp;"",""))</f>
        <v/>
      </c>
    </row>
    <row r="2283">
      <c r="R2283" s="20" t="str">
        <f>IF($B2283="","",IFERROR(IF(INDEX(Config!$D$9:$D$29,MATCH($B2283,Config!$B$9:$B$29,0))="Contrato",IF(INDEX(Config!$E$9:$E$29,MATCH($B2283,Config!$B$9:$B$29,0))="","",INDEX(Config!$E$9:$E$29,MATCH($B2283,Config!$B$9:$B$29,0))),""),""))</f>
        <v/>
      </c>
      <c r="AC2283" s="19" t="str">
        <f>IF($B2283="","",IFERROR(INDEX(Config!$D$9:$D$29,MATCH($B2283,Config!$B$9:$B$29,0))&amp;"",""))</f>
        <v/>
      </c>
    </row>
    <row r="2284">
      <c r="R2284" s="20" t="str">
        <f>IF($B2284="","",IFERROR(IF(INDEX(Config!$D$9:$D$29,MATCH($B2284,Config!$B$9:$B$29,0))="Contrato",IF(INDEX(Config!$E$9:$E$29,MATCH($B2284,Config!$B$9:$B$29,0))="","",INDEX(Config!$E$9:$E$29,MATCH($B2284,Config!$B$9:$B$29,0))),""),""))</f>
        <v/>
      </c>
      <c r="AC2284" s="19" t="str">
        <f>IF($B2284="","",IFERROR(INDEX(Config!$D$9:$D$29,MATCH($B2284,Config!$B$9:$B$29,0))&amp;"",""))</f>
        <v/>
      </c>
    </row>
    <row r="2285">
      <c r="R2285" s="20" t="str">
        <f>IF($B2285="","",IFERROR(IF(INDEX(Config!$D$9:$D$29,MATCH($B2285,Config!$B$9:$B$29,0))="Contrato",IF(INDEX(Config!$E$9:$E$29,MATCH($B2285,Config!$B$9:$B$29,0))="","",INDEX(Config!$E$9:$E$29,MATCH($B2285,Config!$B$9:$B$29,0))),""),""))</f>
        <v/>
      </c>
      <c r="AC2285" s="19" t="str">
        <f>IF($B2285="","",IFERROR(INDEX(Config!$D$9:$D$29,MATCH($B2285,Config!$B$9:$B$29,0))&amp;"",""))</f>
        <v/>
      </c>
    </row>
    <row r="2286">
      <c r="R2286" s="20" t="str">
        <f>IF($B2286="","",IFERROR(IF(INDEX(Config!$D$9:$D$29,MATCH($B2286,Config!$B$9:$B$29,0))="Contrato",IF(INDEX(Config!$E$9:$E$29,MATCH($B2286,Config!$B$9:$B$29,0))="","",INDEX(Config!$E$9:$E$29,MATCH($B2286,Config!$B$9:$B$29,0))),""),""))</f>
        <v/>
      </c>
      <c r="AC2286" s="19" t="str">
        <f>IF($B2286="","",IFERROR(INDEX(Config!$D$9:$D$29,MATCH($B2286,Config!$B$9:$B$29,0))&amp;"",""))</f>
        <v/>
      </c>
    </row>
    <row r="2287">
      <c r="R2287" s="20" t="str">
        <f>IF($B2287="","",IFERROR(IF(INDEX(Config!$D$9:$D$29,MATCH($B2287,Config!$B$9:$B$29,0))="Contrato",IF(INDEX(Config!$E$9:$E$29,MATCH($B2287,Config!$B$9:$B$29,0))="","",INDEX(Config!$E$9:$E$29,MATCH($B2287,Config!$B$9:$B$29,0))),""),""))</f>
        <v/>
      </c>
      <c r="AC2287" s="19" t="str">
        <f>IF($B2287="","",IFERROR(INDEX(Config!$D$9:$D$29,MATCH($B2287,Config!$B$9:$B$29,0))&amp;"",""))</f>
        <v/>
      </c>
    </row>
    <row r="2288">
      <c r="R2288" s="20" t="str">
        <f>IF($B2288="","",IFERROR(IF(INDEX(Config!$D$9:$D$29,MATCH($B2288,Config!$B$9:$B$29,0))="Contrato",IF(INDEX(Config!$E$9:$E$29,MATCH($B2288,Config!$B$9:$B$29,0))="","",INDEX(Config!$E$9:$E$29,MATCH($B2288,Config!$B$9:$B$29,0))),""),""))</f>
        <v/>
      </c>
      <c r="AC2288" s="19" t="str">
        <f>IF($B2288="","",IFERROR(INDEX(Config!$D$9:$D$29,MATCH($B2288,Config!$B$9:$B$29,0))&amp;"",""))</f>
        <v/>
      </c>
    </row>
    <row r="2289">
      <c r="R2289" s="20" t="str">
        <f>IF($B2289="","",IFERROR(IF(INDEX(Config!$D$9:$D$29,MATCH($B2289,Config!$B$9:$B$29,0))="Contrato",IF(INDEX(Config!$E$9:$E$29,MATCH($B2289,Config!$B$9:$B$29,0))="","",INDEX(Config!$E$9:$E$29,MATCH($B2289,Config!$B$9:$B$29,0))),""),""))</f>
        <v/>
      </c>
      <c r="AC2289" s="19" t="str">
        <f>IF($B2289="","",IFERROR(INDEX(Config!$D$9:$D$29,MATCH($B2289,Config!$B$9:$B$29,0))&amp;"",""))</f>
        <v/>
      </c>
    </row>
    <row r="2290">
      <c r="R2290" s="20" t="str">
        <f>IF($B2290="","",IFERROR(IF(INDEX(Config!$D$9:$D$29,MATCH($B2290,Config!$B$9:$B$29,0))="Contrato",IF(INDEX(Config!$E$9:$E$29,MATCH($B2290,Config!$B$9:$B$29,0))="","",INDEX(Config!$E$9:$E$29,MATCH($B2290,Config!$B$9:$B$29,0))),""),""))</f>
        <v/>
      </c>
      <c r="AC2290" s="19" t="str">
        <f>IF($B2290="","",IFERROR(INDEX(Config!$D$9:$D$29,MATCH($B2290,Config!$B$9:$B$29,0))&amp;"",""))</f>
        <v/>
      </c>
    </row>
    <row r="2291">
      <c r="R2291" s="20" t="str">
        <f>IF($B2291="","",IFERROR(IF(INDEX(Config!$D$9:$D$29,MATCH($B2291,Config!$B$9:$B$29,0))="Contrato",IF(INDEX(Config!$E$9:$E$29,MATCH($B2291,Config!$B$9:$B$29,0))="","",INDEX(Config!$E$9:$E$29,MATCH($B2291,Config!$B$9:$B$29,0))),""),""))</f>
        <v/>
      </c>
      <c r="AC2291" s="19" t="str">
        <f>IF($B2291="","",IFERROR(INDEX(Config!$D$9:$D$29,MATCH($B2291,Config!$B$9:$B$29,0))&amp;"",""))</f>
        <v/>
      </c>
    </row>
    <row r="2292">
      <c r="R2292" s="20" t="str">
        <f>IF($B2292="","",IFERROR(IF(INDEX(Config!$D$9:$D$29,MATCH($B2292,Config!$B$9:$B$29,0))="Contrato",IF(INDEX(Config!$E$9:$E$29,MATCH($B2292,Config!$B$9:$B$29,0))="","",INDEX(Config!$E$9:$E$29,MATCH($B2292,Config!$B$9:$B$29,0))),""),""))</f>
        <v/>
      </c>
      <c r="AC2292" s="19" t="str">
        <f>IF($B2292="","",IFERROR(INDEX(Config!$D$9:$D$29,MATCH($B2292,Config!$B$9:$B$29,0))&amp;"",""))</f>
        <v/>
      </c>
    </row>
    <row r="2293">
      <c r="R2293" s="20" t="str">
        <f>IF($B2293="","",IFERROR(IF(INDEX(Config!$D$9:$D$29,MATCH($B2293,Config!$B$9:$B$29,0))="Contrato",IF(INDEX(Config!$E$9:$E$29,MATCH($B2293,Config!$B$9:$B$29,0))="","",INDEX(Config!$E$9:$E$29,MATCH($B2293,Config!$B$9:$B$29,0))),""),""))</f>
        <v/>
      </c>
      <c r="AC2293" s="19" t="str">
        <f>IF($B2293="","",IFERROR(INDEX(Config!$D$9:$D$29,MATCH($B2293,Config!$B$9:$B$29,0))&amp;"",""))</f>
        <v/>
      </c>
    </row>
    <row r="2294">
      <c r="R2294" s="20" t="str">
        <f>IF($B2294="","",IFERROR(IF(INDEX(Config!$D$9:$D$29,MATCH($B2294,Config!$B$9:$B$29,0))="Contrato",IF(INDEX(Config!$E$9:$E$29,MATCH($B2294,Config!$B$9:$B$29,0))="","",INDEX(Config!$E$9:$E$29,MATCH($B2294,Config!$B$9:$B$29,0))),""),""))</f>
        <v/>
      </c>
      <c r="AC2294" s="19" t="str">
        <f>IF($B2294="","",IFERROR(INDEX(Config!$D$9:$D$29,MATCH($B2294,Config!$B$9:$B$29,0))&amp;"",""))</f>
        <v/>
      </c>
    </row>
    <row r="2295">
      <c r="R2295" s="20" t="str">
        <f>IF($B2295="","",IFERROR(IF(INDEX(Config!$D$9:$D$29,MATCH($B2295,Config!$B$9:$B$29,0))="Contrato",IF(INDEX(Config!$E$9:$E$29,MATCH($B2295,Config!$B$9:$B$29,0))="","",INDEX(Config!$E$9:$E$29,MATCH($B2295,Config!$B$9:$B$29,0))),""),""))</f>
        <v/>
      </c>
      <c r="AC2295" s="19" t="str">
        <f>IF($B2295="","",IFERROR(INDEX(Config!$D$9:$D$29,MATCH($B2295,Config!$B$9:$B$29,0))&amp;"",""))</f>
        <v/>
      </c>
    </row>
    <row r="2296">
      <c r="R2296" s="20" t="str">
        <f>IF($B2296="","",IFERROR(IF(INDEX(Config!$D$9:$D$29,MATCH($B2296,Config!$B$9:$B$29,0))="Contrato",IF(INDEX(Config!$E$9:$E$29,MATCH($B2296,Config!$B$9:$B$29,0))="","",INDEX(Config!$E$9:$E$29,MATCH($B2296,Config!$B$9:$B$29,0))),""),""))</f>
        <v/>
      </c>
      <c r="AC2296" s="19" t="str">
        <f>IF($B2296="","",IFERROR(INDEX(Config!$D$9:$D$29,MATCH($B2296,Config!$B$9:$B$29,0))&amp;"",""))</f>
        <v/>
      </c>
    </row>
    <row r="2297">
      <c r="R2297" s="20" t="str">
        <f>IF($B2297="","",IFERROR(IF(INDEX(Config!$D$9:$D$29,MATCH($B2297,Config!$B$9:$B$29,0))="Contrato",IF(INDEX(Config!$E$9:$E$29,MATCH($B2297,Config!$B$9:$B$29,0))="","",INDEX(Config!$E$9:$E$29,MATCH($B2297,Config!$B$9:$B$29,0))),""),""))</f>
        <v/>
      </c>
      <c r="AC2297" s="19" t="str">
        <f>IF($B2297="","",IFERROR(INDEX(Config!$D$9:$D$29,MATCH($B2297,Config!$B$9:$B$29,0))&amp;"",""))</f>
        <v/>
      </c>
    </row>
    <row r="2298">
      <c r="R2298" s="20" t="str">
        <f>IF($B2298="","",IFERROR(IF(INDEX(Config!$D$9:$D$29,MATCH($B2298,Config!$B$9:$B$29,0))="Contrato",IF(INDEX(Config!$E$9:$E$29,MATCH($B2298,Config!$B$9:$B$29,0))="","",INDEX(Config!$E$9:$E$29,MATCH($B2298,Config!$B$9:$B$29,0))),""),""))</f>
        <v/>
      </c>
      <c r="AC2298" s="19" t="str">
        <f>IF($B2298="","",IFERROR(INDEX(Config!$D$9:$D$29,MATCH($B2298,Config!$B$9:$B$29,0))&amp;"",""))</f>
        <v/>
      </c>
    </row>
    <row r="2299">
      <c r="R2299" s="20" t="str">
        <f>IF($B2299="","",IFERROR(IF(INDEX(Config!$D$9:$D$29,MATCH($B2299,Config!$B$9:$B$29,0))="Contrato",IF(INDEX(Config!$E$9:$E$29,MATCH($B2299,Config!$B$9:$B$29,0))="","",INDEX(Config!$E$9:$E$29,MATCH($B2299,Config!$B$9:$B$29,0))),""),""))</f>
        <v/>
      </c>
      <c r="AC2299" s="19" t="str">
        <f>IF($B2299="","",IFERROR(INDEX(Config!$D$9:$D$29,MATCH($B2299,Config!$B$9:$B$29,0))&amp;"",""))</f>
        <v/>
      </c>
    </row>
    <row r="2300">
      <c r="R2300" s="20" t="str">
        <f>IF($B2300="","",IFERROR(IF(INDEX(Config!$D$9:$D$29,MATCH($B2300,Config!$B$9:$B$29,0))="Contrato",IF(INDEX(Config!$E$9:$E$29,MATCH($B2300,Config!$B$9:$B$29,0))="","",INDEX(Config!$E$9:$E$29,MATCH($B2300,Config!$B$9:$B$29,0))),""),""))</f>
        <v/>
      </c>
      <c r="AC2300" s="19" t="str">
        <f>IF($B2300="","",IFERROR(INDEX(Config!$D$9:$D$29,MATCH($B2300,Config!$B$9:$B$29,0))&amp;"",""))</f>
        <v/>
      </c>
    </row>
    <row r="2301">
      <c r="R2301" s="20" t="str">
        <f>IF($B2301="","",IFERROR(IF(INDEX(Config!$D$9:$D$29,MATCH($B2301,Config!$B$9:$B$29,0))="Contrato",IF(INDEX(Config!$E$9:$E$29,MATCH($B2301,Config!$B$9:$B$29,0))="","",INDEX(Config!$E$9:$E$29,MATCH($B2301,Config!$B$9:$B$29,0))),""),""))</f>
        <v/>
      </c>
      <c r="AC2301" s="19" t="str">
        <f>IF($B2301="","",IFERROR(INDEX(Config!$D$9:$D$29,MATCH($B2301,Config!$B$9:$B$29,0))&amp;"",""))</f>
        <v/>
      </c>
    </row>
    <row r="2302">
      <c r="R2302" s="20" t="str">
        <f>IF($B2302="","",IFERROR(IF(INDEX(Config!$D$9:$D$29,MATCH($B2302,Config!$B$9:$B$29,0))="Contrato",IF(INDEX(Config!$E$9:$E$29,MATCH($B2302,Config!$B$9:$B$29,0))="","",INDEX(Config!$E$9:$E$29,MATCH($B2302,Config!$B$9:$B$29,0))),""),""))</f>
        <v/>
      </c>
      <c r="AC2302" s="19" t="str">
        <f>IF($B2302="","",IFERROR(INDEX(Config!$D$9:$D$29,MATCH($B2302,Config!$B$9:$B$29,0))&amp;"",""))</f>
        <v/>
      </c>
    </row>
    <row r="2303">
      <c r="R2303" s="20" t="str">
        <f>IF($B2303="","",IFERROR(IF(INDEX(Config!$D$9:$D$29,MATCH($B2303,Config!$B$9:$B$29,0))="Contrato",IF(INDEX(Config!$E$9:$E$29,MATCH($B2303,Config!$B$9:$B$29,0))="","",INDEX(Config!$E$9:$E$29,MATCH($B2303,Config!$B$9:$B$29,0))),""),""))</f>
        <v/>
      </c>
      <c r="AC2303" s="19" t="str">
        <f>IF($B2303="","",IFERROR(INDEX(Config!$D$9:$D$29,MATCH($B2303,Config!$B$9:$B$29,0))&amp;"",""))</f>
        <v/>
      </c>
    </row>
    <row r="2304">
      <c r="R2304" s="20" t="str">
        <f>IF($B2304="","",IFERROR(IF(INDEX(Config!$D$9:$D$29,MATCH($B2304,Config!$B$9:$B$29,0))="Contrato",IF(INDEX(Config!$E$9:$E$29,MATCH($B2304,Config!$B$9:$B$29,0))="","",INDEX(Config!$E$9:$E$29,MATCH($B2304,Config!$B$9:$B$29,0))),""),""))</f>
        <v/>
      </c>
      <c r="AC2304" s="19" t="str">
        <f>IF($B2304="","",IFERROR(INDEX(Config!$D$9:$D$29,MATCH($B2304,Config!$B$9:$B$29,0))&amp;"",""))</f>
        <v/>
      </c>
    </row>
    <row r="2305">
      <c r="R2305" s="20" t="str">
        <f>IF($B2305="","",IFERROR(IF(INDEX(Config!$D$9:$D$29,MATCH($B2305,Config!$B$9:$B$29,0))="Contrato",IF(INDEX(Config!$E$9:$E$29,MATCH($B2305,Config!$B$9:$B$29,0))="","",INDEX(Config!$E$9:$E$29,MATCH($B2305,Config!$B$9:$B$29,0))),""),""))</f>
        <v/>
      </c>
      <c r="AC2305" s="19" t="str">
        <f>IF($B2305="","",IFERROR(INDEX(Config!$D$9:$D$29,MATCH($B2305,Config!$B$9:$B$29,0))&amp;"",""))</f>
        <v/>
      </c>
    </row>
    <row r="2306">
      <c r="R2306" s="20" t="str">
        <f>IF($B2306="","",IFERROR(IF(INDEX(Config!$D$9:$D$29,MATCH($B2306,Config!$B$9:$B$29,0))="Contrato",IF(INDEX(Config!$E$9:$E$29,MATCH($B2306,Config!$B$9:$B$29,0))="","",INDEX(Config!$E$9:$E$29,MATCH($B2306,Config!$B$9:$B$29,0))),""),""))</f>
        <v/>
      </c>
      <c r="AC2306" s="19" t="str">
        <f>IF($B2306="","",IFERROR(INDEX(Config!$D$9:$D$29,MATCH($B2306,Config!$B$9:$B$29,0))&amp;"",""))</f>
        <v/>
      </c>
    </row>
    <row r="2307">
      <c r="R2307" s="20" t="str">
        <f>IF($B2307="","",IFERROR(IF(INDEX(Config!$D$9:$D$29,MATCH($B2307,Config!$B$9:$B$29,0))="Contrato",IF(INDEX(Config!$E$9:$E$29,MATCH($B2307,Config!$B$9:$B$29,0))="","",INDEX(Config!$E$9:$E$29,MATCH($B2307,Config!$B$9:$B$29,0))),""),""))</f>
        <v/>
      </c>
      <c r="AC2307" s="19" t="str">
        <f>IF($B2307="","",IFERROR(INDEX(Config!$D$9:$D$29,MATCH($B2307,Config!$B$9:$B$29,0))&amp;"",""))</f>
        <v/>
      </c>
    </row>
    <row r="2308">
      <c r="R2308" s="20" t="str">
        <f>IF($B2308="","",IFERROR(IF(INDEX(Config!$D$9:$D$29,MATCH($B2308,Config!$B$9:$B$29,0))="Contrato",IF(INDEX(Config!$E$9:$E$29,MATCH($B2308,Config!$B$9:$B$29,0))="","",INDEX(Config!$E$9:$E$29,MATCH($B2308,Config!$B$9:$B$29,0))),""),""))</f>
        <v/>
      </c>
      <c r="AC2308" s="19" t="str">
        <f>IF($B2308="","",IFERROR(INDEX(Config!$D$9:$D$29,MATCH($B2308,Config!$B$9:$B$29,0))&amp;"",""))</f>
        <v/>
      </c>
    </row>
    <row r="2309">
      <c r="R2309" s="20" t="str">
        <f>IF($B2309="","",IFERROR(IF(INDEX(Config!$D$9:$D$29,MATCH($B2309,Config!$B$9:$B$29,0))="Contrato",IF(INDEX(Config!$E$9:$E$29,MATCH($B2309,Config!$B$9:$B$29,0))="","",INDEX(Config!$E$9:$E$29,MATCH($B2309,Config!$B$9:$B$29,0))),""),""))</f>
        <v/>
      </c>
      <c r="AC2309" s="19" t="str">
        <f>IF($B2309="","",IFERROR(INDEX(Config!$D$9:$D$29,MATCH($B2309,Config!$B$9:$B$29,0))&amp;"",""))</f>
        <v/>
      </c>
    </row>
    <row r="2310">
      <c r="R2310" s="20" t="str">
        <f>IF($B2310="","",IFERROR(IF(INDEX(Config!$D$9:$D$29,MATCH($B2310,Config!$B$9:$B$29,0))="Contrato",IF(INDEX(Config!$E$9:$E$29,MATCH($B2310,Config!$B$9:$B$29,0))="","",INDEX(Config!$E$9:$E$29,MATCH($B2310,Config!$B$9:$B$29,0))),""),""))</f>
        <v/>
      </c>
      <c r="AC2310" s="19" t="str">
        <f>IF($B2310="","",IFERROR(INDEX(Config!$D$9:$D$29,MATCH($B2310,Config!$B$9:$B$29,0))&amp;"",""))</f>
        <v/>
      </c>
    </row>
    <row r="2311">
      <c r="R2311" s="20" t="str">
        <f>IF($B2311="","",IFERROR(IF(INDEX(Config!$D$9:$D$29,MATCH($B2311,Config!$B$9:$B$29,0))="Contrato",IF(INDEX(Config!$E$9:$E$29,MATCH($B2311,Config!$B$9:$B$29,0))="","",INDEX(Config!$E$9:$E$29,MATCH($B2311,Config!$B$9:$B$29,0))),""),""))</f>
        <v/>
      </c>
      <c r="AC2311" s="19" t="str">
        <f>IF($B2311="","",IFERROR(INDEX(Config!$D$9:$D$29,MATCH($B2311,Config!$B$9:$B$29,0))&amp;"",""))</f>
        <v/>
      </c>
    </row>
    <row r="2312">
      <c r="R2312" s="20" t="str">
        <f>IF($B2312="","",IFERROR(IF(INDEX(Config!$D$9:$D$29,MATCH($B2312,Config!$B$9:$B$29,0))="Contrato",IF(INDEX(Config!$E$9:$E$29,MATCH($B2312,Config!$B$9:$B$29,0))="","",INDEX(Config!$E$9:$E$29,MATCH($B2312,Config!$B$9:$B$29,0))),""),""))</f>
        <v/>
      </c>
      <c r="AC2312" s="19" t="str">
        <f>IF($B2312="","",IFERROR(INDEX(Config!$D$9:$D$29,MATCH($B2312,Config!$B$9:$B$29,0))&amp;"",""))</f>
        <v/>
      </c>
    </row>
    <row r="2313">
      <c r="R2313" s="20" t="str">
        <f>IF($B2313="","",IFERROR(IF(INDEX(Config!$D$9:$D$29,MATCH($B2313,Config!$B$9:$B$29,0))="Contrato",IF(INDEX(Config!$E$9:$E$29,MATCH($B2313,Config!$B$9:$B$29,0))="","",INDEX(Config!$E$9:$E$29,MATCH($B2313,Config!$B$9:$B$29,0))),""),""))</f>
        <v/>
      </c>
      <c r="AC2313" s="19" t="str">
        <f>IF($B2313="","",IFERROR(INDEX(Config!$D$9:$D$29,MATCH($B2313,Config!$B$9:$B$29,0))&amp;"",""))</f>
        <v/>
      </c>
    </row>
    <row r="2314">
      <c r="R2314" s="20" t="str">
        <f>IF($B2314="","",IFERROR(IF(INDEX(Config!$D$9:$D$29,MATCH($B2314,Config!$B$9:$B$29,0))="Contrato",IF(INDEX(Config!$E$9:$E$29,MATCH($B2314,Config!$B$9:$B$29,0))="","",INDEX(Config!$E$9:$E$29,MATCH($B2314,Config!$B$9:$B$29,0))),""),""))</f>
        <v/>
      </c>
      <c r="AC2314" s="19" t="str">
        <f>IF($B2314="","",IFERROR(INDEX(Config!$D$9:$D$29,MATCH($B2314,Config!$B$9:$B$29,0))&amp;"",""))</f>
        <v/>
      </c>
    </row>
    <row r="2315">
      <c r="R2315" s="20" t="str">
        <f>IF($B2315="","",IFERROR(IF(INDEX(Config!$D$9:$D$29,MATCH($B2315,Config!$B$9:$B$29,0))="Contrato",IF(INDEX(Config!$E$9:$E$29,MATCH($B2315,Config!$B$9:$B$29,0))="","",INDEX(Config!$E$9:$E$29,MATCH($B2315,Config!$B$9:$B$29,0))),""),""))</f>
        <v/>
      </c>
      <c r="AC2315" s="19" t="str">
        <f>IF($B2315="","",IFERROR(INDEX(Config!$D$9:$D$29,MATCH($B2315,Config!$B$9:$B$29,0))&amp;"",""))</f>
        <v/>
      </c>
    </row>
    <row r="2316">
      <c r="R2316" s="20" t="str">
        <f>IF($B2316="","",IFERROR(IF(INDEX(Config!$D$9:$D$29,MATCH($B2316,Config!$B$9:$B$29,0))="Contrato",IF(INDEX(Config!$E$9:$E$29,MATCH($B2316,Config!$B$9:$B$29,0))="","",INDEX(Config!$E$9:$E$29,MATCH($B2316,Config!$B$9:$B$29,0))),""),""))</f>
        <v/>
      </c>
      <c r="AC2316" s="19" t="str">
        <f>IF($B2316="","",IFERROR(INDEX(Config!$D$9:$D$29,MATCH($B2316,Config!$B$9:$B$29,0))&amp;"",""))</f>
        <v/>
      </c>
    </row>
    <row r="2317">
      <c r="R2317" s="20" t="str">
        <f>IF($B2317="","",IFERROR(IF(INDEX(Config!$D$9:$D$29,MATCH($B2317,Config!$B$9:$B$29,0))="Contrato",IF(INDEX(Config!$E$9:$E$29,MATCH($B2317,Config!$B$9:$B$29,0))="","",INDEX(Config!$E$9:$E$29,MATCH($B2317,Config!$B$9:$B$29,0))),""),""))</f>
        <v/>
      </c>
      <c r="AC2317" s="19" t="str">
        <f>IF($B2317="","",IFERROR(INDEX(Config!$D$9:$D$29,MATCH($B2317,Config!$B$9:$B$29,0))&amp;"",""))</f>
        <v/>
      </c>
    </row>
    <row r="2318">
      <c r="R2318" s="20" t="str">
        <f>IF($B2318="","",IFERROR(IF(INDEX(Config!$D$9:$D$29,MATCH($B2318,Config!$B$9:$B$29,0))="Contrato",IF(INDEX(Config!$E$9:$E$29,MATCH($B2318,Config!$B$9:$B$29,0))="","",INDEX(Config!$E$9:$E$29,MATCH($B2318,Config!$B$9:$B$29,0))),""),""))</f>
        <v/>
      </c>
      <c r="AC2318" s="19" t="str">
        <f>IF($B2318="","",IFERROR(INDEX(Config!$D$9:$D$29,MATCH($B2318,Config!$B$9:$B$29,0))&amp;"",""))</f>
        <v/>
      </c>
    </row>
    <row r="2319">
      <c r="R2319" s="20" t="str">
        <f>IF($B2319="","",IFERROR(IF(INDEX(Config!$D$9:$D$29,MATCH($B2319,Config!$B$9:$B$29,0))="Contrato",IF(INDEX(Config!$E$9:$E$29,MATCH($B2319,Config!$B$9:$B$29,0))="","",INDEX(Config!$E$9:$E$29,MATCH($B2319,Config!$B$9:$B$29,0))),""),""))</f>
        <v/>
      </c>
      <c r="AC2319" s="19" t="str">
        <f>IF($B2319="","",IFERROR(INDEX(Config!$D$9:$D$29,MATCH($B2319,Config!$B$9:$B$29,0))&amp;"",""))</f>
        <v/>
      </c>
    </row>
    <row r="2320">
      <c r="R2320" s="20" t="str">
        <f>IF($B2320="","",IFERROR(IF(INDEX(Config!$D$9:$D$29,MATCH($B2320,Config!$B$9:$B$29,0))="Contrato",IF(INDEX(Config!$E$9:$E$29,MATCH($B2320,Config!$B$9:$B$29,0))="","",INDEX(Config!$E$9:$E$29,MATCH($B2320,Config!$B$9:$B$29,0))),""),""))</f>
        <v/>
      </c>
      <c r="AC2320" s="19" t="str">
        <f>IF($B2320="","",IFERROR(INDEX(Config!$D$9:$D$29,MATCH($B2320,Config!$B$9:$B$29,0))&amp;"",""))</f>
        <v/>
      </c>
    </row>
    <row r="2321">
      <c r="R2321" s="20" t="str">
        <f>IF($B2321="","",IFERROR(IF(INDEX(Config!$D$9:$D$29,MATCH($B2321,Config!$B$9:$B$29,0))="Contrato",IF(INDEX(Config!$E$9:$E$29,MATCH($B2321,Config!$B$9:$B$29,0))="","",INDEX(Config!$E$9:$E$29,MATCH($B2321,Config!$B$9:$B$29,0))),""),""))</f>
        <v/>
      </c>
      <c r="AC2321" s="19" t="str">
        <f>IF($B2321="","",IFERROR(INDEX(Config!$D$9:$D$29,MATCH($B2321,Config!$B$9:$B$29,0))&amp;"",""))</f>
        <v/>
      </c>
    </row>
    <row r="2322">
      <c r="R2322" s="20" t="str">
        <f>IF($B2322="","",IFERROR(IF(INDEX(Config!$D$9:$D$29,MATCH($B2322,Config!$B$9:$B$29,0))="Contrato",IF(INDEX(Config!$E$9:$E$29,MATCH($B2322,Config!$B$9:$B$29,0))="","",INDEX(Config!$E$9:$E$29,MATCH($B2322,Config!$B$9:$B$29,0))),""),""))</f>
        <v/>
      </c>
      <c r="AC2322" s="19" t="str">
        <f>IF($B2322="","",IFERROR(INDEX(Config!$D$9:$D$29,MATCH($B2322,Config!$B$9:$B$29,0))&amp;"",""))</f>
        <v/>
      </c>
    </row>
    <row r="2323">
      <c r="R2323" s="20" t="str">
        <f>IF($B2323="","",IFERROR(IF(INDEX(Config!$D$9:$D$29,MATCH($B2323,Config!$B$9:$B$29,0))="Contrato",IF(INDEX(Config!$E$9:$E$29,MATCH($B2323,Config!$B$9:$B$29,0))="","",INDEX(Config!$E$9:$E$29,MATCH($B2323,Config!$B$9:$B$29,0))),""),""))</f>
        <v/>
      </c>
      <c r="AC2323" s="19" t="str">
        <f>IF($B2323="","",IFERROR(INDEX(Config!$D$9:$D$29,MATCH($B2323,Config!$B$9:$B$29,0))&amp;"",""))</f>
        <v/>
      </c>
    </row>
    <row r="2324">
      <c r="R2324" s="20" t="str">
        <f>IF($B2324="","",IFERROR(IF(INDEX(Config!$D$9:$D$29,MATCH($B2324,Config!$B$9:$B$29,0))="Contrato",IF(INDEX(Config!$E$9:$E$29,MATCH($B2324,Config!$B$9:$B$29,0))="","",INDEX(Config!$E$9:$E$29,MATCH($B2324,Config!$B$9:$B$29,0))),""),""))</f>
        <v/>
      </c>
      <c r="AC2324" s="19" t="str">
        <f>IF($B2324="","",IFERROR(INDEX(Config!$D$9:$D$29,MATCH($B2324,Config!$B$9:$B$29,0))&amp;"",""))</f>
        <v/>
      </c>
    </row>
    <row r="2325">
      <c r="R2325" s="20" t="str">
        <f>IF($B2325="","",IFERROR(IF(INDEX(Config!$D$9:$D$29,MATCH($B2325,Config!$B$9:$B$29,0))="Contrato",IF(INDEX(Config!$E$9:$E$29,MATCH($B2325,Config!$B$9:$B$29,0))="","",INDEX(Config!$E$9:$E$29,MATCH($B2325,Config!$B$9:$B$29,0))),""),""))</f>
        <v/>
      </c>
      <c r="AC2325" s="19" t="str">
        <f>IF($B2325="","",IFERROR(INDEX(Config!$D$9:$D$29,MATCH($B2325,Config!$B$9:$B$29,0))&amp;"",""))</f>
        <v/>
      </c>
    </row>
    <row r="2326">
      <c r="R2326" s="20" t="str">
        <f>IF($B2326="","",IFERROR(IF(INDEX(Config!$D$9:$D$29,MATCH($B2326,Config!$B$9:$B$29,0))="Contrato",IF(INDEX(Config!$E$9:$E$29,MATCH($B2326,Config!$B$9:$B$29,0))="","",INDEX(Config!$E$9:$E$29,MATCH($B2326,Config!$B$9:$B$29,0))),""),""))</f>
        <v/>
      </c>
      <c r="AC2326" s="19" t="str">
        <f>IF($B2326="","",IFERROR(INDEX(Config!$D$9:$D$29,MATCH($B2326,Config!$B$9:$B$29,0))&amp;"",""))</f>
        <v/>
      </c>
    </row>
    <row r="2327">
      <c r="R2327" s="20" t="str">
        <f>IF($B2327="","",IFERROR(IF(INDEX(Config!$D$9:$D$29,MATCH($B2327,Config!$B$9:$B$29,0))="Contrato",IF(INDEX(Config!$E$9:$E$29,MATCH($B2327,Config!$B$9:$B$29,0))="","",INDEX(Config!$E$9:$E$29,MATCH($B2327,Config!$B$9:$B$29,0))),""),""))</f>
        <v/>
      </c>
      <c r="AC2327" s="19" t="str">
        <f>IF($B2327="","",IFERROR(INDEX(Config!$D$9:$D$29,MATCH($B2327,Config!$B$9:$B$29,0))&amp;"",""))</f>
        <v/>
      </c>
    </row>
    <row r="2328">
      <c r="R2328" s="20" t="str">
        <f>IF($B2328="","",IFERROR(IF(INDEX(Config!$D$9:$D$29,MATCH($B2328,Config!$B$9:$B$29,0))="Contrato",IF(INDEX(Config!$E$9:$E$29,MATCH($B2328,Config!$B$9:$B$29,0))="","",INDEX(Config!$E$9:$E$29,MATCH($B2328,Config!$B$9:$B$29,0))),""),""))</f>
        <v/>
      </c>
      <c r="AC2328" s="19" t="str">
        <f>IF($B2328="","",IFERROR(INDEX(Config!$D$9:$D$29,MATCH($B2328,Config!$B$9:$B$29,0))&amp;"",""))</f>
        <v/>
      </c>
    </row>
    <row r="2329">
      <c r="R2329" s="20" t="str">
        <f>IF($B2329="","",IFERROR(IF(INDEX(Config!$D$9:$D$29,MATCH($B2329,Config!$B$9:$B$29,0))="Contrato",IF(INDEX(Config!$E$9:$E$29,MATCH($B2329,Config!$B$9:$B$29,0))="","",INDEX(Config!$E$9:$E$29,MATCH($B2329,Config!$B$9:$B$29,0))),""),""))</f>
        <v/>
      </c>
      <c r="AC2329" s="19" t="str">
        <f>IF($B2329="","",IFERROR(INDEX(Config!$D$9:$D$29,MATCH($B2329,Config!$B$9:$B$29,0))&amp;"",""))</f>
        <v/>
      </c>
    </row>
    <row r="2330">
      <c r="R2330" s="20" t="str">
        <f>IF($B2330="","",IFERROR(IF(INDEX(Config!$D$9:$D$29,MATCH($B2330,Config!$B$9:$B$29,0))="Contrato",IF(INDEX(Config!$E$9:$E$29,MATCH($B2330,Config!$B$9:$B$29,0))="","",INDEX(Config!$E$9:$E$29,MATCH($B2330,Config!$B$9:$B$29,0))),""),""))</f>
        <v/>
      </c>
      <c r="AC2330" s="19" t="str">
        <f>IF($B2330="","",IFERROR(INDEX(Config!$D$9:$D$29,MATCH($B2330,Config!$B$9:$B$29,0))&amp;"",""))</f>
        <v/>
      </c>
    </row>
    <row r="2331">
      <c r="R2331" s="20" t="str">
        <f>IF($B2331="","",IFERROR(IF(INDEX(Config!$D$9:$D$29,MATCH($B2331,Config!$B$9:$B$29,0))="Contrato",IF(INDEX(Config!$E$9:$E$29,MATCH($B2331,Config!$B$9:$B$29,0))="","",INDEX(Config!$E$9:$E$29,MATCH($B2331,Config!$B$9:$B$29,0))),""),""))</f>
        <v/>
      </c>
      <c r="AC2331" s="19" t="str">
        <f>IF($B2331="","",IFERROR(INDEX(Config!$D$9:$D$29,MATCH($B2331,Config!$B$9:$B$29,0))&amp;"",""))</f>
        <v/>
      </c>
    </row>
    <row r="2332">
      <c r="R2332" s="20" t="str">
        <f>IF($B2332="","",IFERROR(IF(INDEX(Config!$D$9:$D$29,MATCH($B2332,Config!$B$9:$B$29,0))="Contrato",IF(INDEX(Config!$E$9:$E$29,MATCH($B2332,Config!$B$9:$B$29,0))="","",INDEX(Config!$E$9:$E$29,MATCH($B2332,Config!$B$9:$B$29,0))),""),""))</f>
        <v/>
      </c>
      <c r="AC2332" s="19" t="str">
        <f>IF($B2332="","",IFERROR(INDEX(Config!$D$9:$D$29,MATCH($B2332,Config!$B$9:$B$29,0))&amp;"",""))</f>
        <v/>
      </c>
    </row>
    <row r="2333">
      <c r="R2333" s="20" t="str">
        <f>IF($B2333="","",IFERROR(IF(INDEX(Config!$D$9:$D$29,MATCH($B2333,Config!$B$9:$B$29,0))="Contrato",IF(INDEX(Config!$E$9:$E$29,MATCH($B2333,Config!$B$9:$B$29,0))="","",INDEX(Config!$E$9:$E$29,MATCH($B2333,Config!$B$9:$B$29,0))),""),""))</f>
        <v/>
      </c>
      <c r="AC2333" s="19" t="str">
        <f>IF($B2333="","",IFERROR(INDEX(Config!$D$9:$D$29,MATCH($B2333,Config!$B$9:$B$29,0))&amp;"",""))</f>
        <v/>
      </c>
    </row>
    <row r="2334">
      <c r="R2334" s="20" t="str">
        <f>IF($B2334="","",IFERROR(IF(INDEX(Config!$D$9:$D$29,MATCH($B2334,Config!$B$9:$B$29,0))="Contrato",IF(INDEX(Config!$E$9:$E$29,MATCH($B2334,Config!$B$9:$B$29,0))="","",INDEX(Config!$E$9:$E$29,MATCH($B2334,Config!$B$9:$B$29,0))),""),""))</f>
        <v/>
      </c>
      <c r="AC2334" s="19" t="str">
        <f>IF($B2334="","",IFERROR(INDEX(Config!$D$9:$D$29,MATCH($B2334,Config!$B$9:$B$29,0))&amp;"",""))</f>
        <v/>
      </c>
    </row>
    <row r="2335">
      <c r="R2335" s="20" t="str">
        <f>IF($B2335="","",IFERROR(IF(INDEX(Config!$D$9:$D$29,MATCH($B2335,Config!$B$9:$B$29,0))="Contrato",IF(INDEX(Config!$E$9:$E$29,MATCH($B2335,Config!$B$9:$B$29,0))="","",INDEX(Config!$E$9:$E$29,MATCH($B2335,Config!$B$9:$B$29,0))),""),""))</f>
        <v/>
      </c>
      <c r="AC2335" s="19" t="str">
        <f>IF($B2335="","",IFERROR(INDEX(Config!$D$9:$D$29,MATCH($B2335,Config!$B$9:$B$29,0))&amp;"",""))</f>
        <v/>
      </c>
    </row>
    <row r="2336">
      <c r="R2336" s="20" t="str">
        <f>IF($B2336="","",IFERROR(IF(INDEX(Config!$D$9:$D$29,MATCH($B2336,Config!$B$9:$B$29,0))="Contrato",IF(INDEX(Config!$E$9:$E$29,MATCH($B2336,Config!$B$9:$B$29,0))="","",INDEX(Config!$E$9:$E$29,MATCH($B2336,Config!$B$9:$B$29,0))),""),""))</f>
        <v/>
      </c>
      <c r="AC2336" s="19" t="str">
        <f>IF($B2336="","",IFERROR(INDEX(Config!$D$9:$D$29,MATCH($B2336,Config!$B$9:$B$29,0))&amp;"",""))</f>
        <v/>
      </c>
    </row>
    <row r="2337">
      <c r="R2337" s="20" t="str">
        <f>IF($B2337="","",IFERROR(IF(INDEX(Config!$D$9:$D$29,MATCH($B2337,Config!$B$9:$B$29,0))="Contrato",IF(INDEX(Config!$E$9:$E$29,MATCH($B2337,Config!$B$9:$B$29,0))="","",INDEX(Config!$E$9:$E$29,MATCH($B2337,Config!$B$9:$B$29,0))),""),""))</f>
        <v/>
      </c>
      <c r="AC2337" s="19" t="str">
        <f>IF($B2337="","",IFERROR(INDEX(Config!$D$9:$D$29,MATCH($B2337,Config!$B$9:$B$29,0))&amp;"",""))</f>
        <v/>
      </c>
    </row>
    <row r="2338">
      <c r="R2338" s="20" t="str">
        <f>IF($B2338="","",IFERROR(IF(INDEX(Config!$D$9:$D$29,MATCH($B2338,Config!$B$9:$B$29,0))="Contrato",IF(INDEX(Config!$E$9:$E$29,MATCH($B2338,Config!$B$9:$B$29,0))="","",INDEX(Config!$E$9:$E$29,MATCH($B2338,Config!$B$9:$B$29,0))),""),""))</f>
        <v/>
      </c>
      <c r="AC2338" s="19" t="str">
        <f>IF($B2338="","",IFERROR(INDEX(Config!$D$9:$D$29,MATCH($B2338,Config!$B$9:$B$29,0))&amp;"",""))</f>
        <v/>
      </c>
    </row>
    <row r="2339">
      <c r="R2339" s="20" t="str">
        <f>IF($B2339="","",IFERROR(IF(INDEX(Config!$D$9:$D$29,MATCH($B2339,Config!$B$9:$B$29,0))="Contrato",IF(INDEX(Config!$E$9:$E$29,MATCH($B2339,Config!$B$9:$B$29,0))="","",INDEX(Config!$E$9:$E$29,MATCH($B2339,Config!$B$9:$B$29,0))),""),""))</f>
        <v/>
      </c>
      <c r="AC2339" s="19" t="str">
        <f>IF($B2339="","",IFERROR(INDEX(Config!$D$9:$D$29,MATCH($B2339,Config!$B$9:$B$29,0))&amp;"",""))</f>
        <v/>
      </c>
    </row>
    <row r="2340">
      <c r="R2340" s="20" t="str">
        <f>IF($B2340="","",IFERROR(IF(INDEX(Config!$D$9:$D$29,MATCH($B2340,Config!$B$9:$B$29,0))="Contrato",IF(INDEX(Config!$E$9:$E$29,MATCH($B2340,Config!$B$9:$B$29,0))="","",INDEX(Config!$E$9:$E$29,MATCH($B2340,Config!$B$9:$B$29,0))),""),""))</f>
        <v/>
      </c>
      <c r="AC2340" s="19" t="str">
        <f>IF($B2340="","",IFERROR(INDEX(Config!$D$9:$D$29,MATCH($B2340,Config!$B$9:$B$29,0))&amp;"",""))</f>
        <v/>
      </c>
    </row>
    <row r="2341">
      <c r="R2341" s="20" t="str">
        <f>IF($B2341="","",IFERROR(IF(INDEX(Config!$D$9:$D$29,MATCH($B2341,Config!$B$9:$B$29,0))="Contrato",IF(INDEX(Config!$E$9:$E$29,MATCH($B2341,Config!$B$9:$B$29,0))="","",INDEX(Config!$E$9:$E$29,MATCH($B2341,Config!$B$9:$B$29,0))),""),""))</f>
        <v/>
      </c>
      <c r="AC2341" s="19" t="str">
        <f>IF($B2341="","",IFERROR(INDEX(Config!$D$9:$D$29,MATCH($B2341,Config!$B$9:$B$29,0))&amp;"",""))</f>
        <v/>
      </c>
    </row>
    <row r="2342">
      <c r="R2342" s="20" t="str">
        <f>IF($B2342="","",IFERROR(IF(INDEX(Config!$D$9:$D$29,MATCH($B2342,Config!$B$9:$B$29,0))="Contrato",IF(INDEX(Config!$E$9:$E$29,MATCH($B2342,Config!$B$9:$B$29,0))="","",INDEX(Config!$E$9:$E$29,MATCH($B2342,Config!$B$9:$B$29,0))),""),""))</f>
        <v/>
      </c>
      <c r="AC2342" s="19" t="str">
        <f>IF($B2342="","",IFERROR(INDEX(Config!$D$9:$D$29,MATCH($B2342,Config!$B$9:$B$29,0))&amp;"",""))</f>
        <v/>
      </c>
    </row>
    <row r="2343">
      <c r="R2343" s="20" t="str">
        <f>IF($B2343="","",IFERROR(IF(INDEX(Config!$D$9:$D$29,MATCH($B2343,Config!$B$9:$B$29,0))="Contrato",IF(INDEX(Config!$E$9:$E$29,MATCH($B2343,Config!$B$9:$B$29,0))="","",INDEX(Config!$E$9:$E$29,MATCH($B2343,Config!$B$9:$B$29,0))),""),""))</f>
        <v/>
      </c>
      <c r="AC2343" s="19" t="str">
        <f>IF($B2343="","",IFERROR(INDEX(Config!$D$9:$D$29,MATCH($B2343,Config!$B$9:$B$29,0))&amp;"",""))</f>
        <v/>
      </c>
    </row>
    <row r="2344">
      <c r="R2344" s="20" t="str">
        <f>IF($B2344="","",IFERROR(IF(INDEX(Config!$D$9:$D$29,MATCH($B2344,Config!$B$9:$B$29,0))="Contrato",IF(INDEX(Config!$E$9:$E$29,MATCH($B2344,Config!$B$9:$B$29,0))="","",INDEX(Config!$E$9:$E$29,MATCH($B2344,Config!$B$9:$B$29,0))),""),""))</f>
        <v/>
      </c>
      <c r="AC2344" s="19" t="str">
        <f>IF($B2344="","",IFERROR(INDEX(Config!$D$9:$D$29,MATCH($B2344,Config!$B$9:$B$29,0))&amp;"",""))</f>
        <v/>
      </c>
    </row>
    <row r="2345">
      <c r="R2345" s="20" t="str">
        <f>IF($B2345="","",IFERROR(IF(INDEX(Config!$D$9:$D$29,MATCH($B2345,Config!$B$9:$B$29,0))="Contrato",IF(INDEX(Config!$E$9:$E$29,MATCH($B2345,Config!$B$9:$B$29,0))="","",INDEX(Config!$E$9:$E$29,MATCH($B2345,Config!$B$9:$B$29,0))),""),""))</f>
        <v/>
      </c>
      <c r="AC2345" s="19" t="str">
        <f>IF($B2345="","",IFERROR(INDEX(Config!$D$9:$D$29,MATCH($B2345,Config!$B$9:$B$29,0))&amp;"",""))</f>
        <v/>
      </c>
    </row>
    <row r="2346">
      <c r="R2346" s="20" t="str">
        <f>IF($B2346="","",IFERROR(IF(INDEX(Config!$D$9:$D$29,MATCH($B2346,Config!$B$9:$B$29,0))="Contrato",IF(INDEX(Config!$E$9:$E$29,MATCH($B2346,Config!$B$9:$B$29,0))="","",INDEX(Config!$E$9:$E$29,MATCH($B2346,Config!$B$9:$B$29,0))),""),""))</f>
        <v/>
      </c>
      <c r="AC2346" s="19" t="str">
        <f>IF($B2346="","",IFERROR(INDEX(Config!$D$9:$D$29,MATCH($B2346,Config!$B$9:$B$29,0))&amp;"",""))</f>
        <v/>
      </c>
    </row>
    <row r="2347">
      <c r="R2347" s="20" t="str">
        <f>IF($B2347="","",IFERROR(IF(INDEX(Config!$D$9:$D$29,MATCH($B2347,Config!$B$9:$B$29,0))="Contrato",IF(INDEX(Config!$E$9:$E$29,MATCH($B2347,Config!$B$9:$B$29,0))="","",INDEX(Config!$E$9:$E$29,MATCH($B2347,Config!$B$9:$B$29,0))),""),""))</f>
        <v/>
      </c>
      <c r="AC2347" s="19" t="str">
        <f>IF($B2347="","",IFERROR(INDEX(Config!$D$9:$D$29,MATCH($B2347,Config!$B$9:$B$29,0))&amp;"",""))</f>
        <v/>
      </c>
    </row>
    <row r="2348">
      <c r="R2348" s="20" t="str">
        <f>IF($B2348="","",IFERROR(IF(INDEX(Config!$D$9:$D$29,MATCH($B2348,Config!$B$9:$B$29,0))="Contrato",IF(INDEX(Config!$E$9:$E$29,MATCH($B2348,Config!$B$9:$B$29,0))="","",INDEX(Config!$E$9:$E$29,MATCH($B2348,Config!$B$9:$B$29,0))),""),""))</f>
        <v/>
      </c>
      <c r="AC2348" s="19" t="str">
        <f>IF($B2348="","",IFERROR(INDEX(Config!$D$9:$D$29,MATCH($B2348,Config!$B$9:$B$29,0))&amp;"",""))</f>
        <v/>
      </c>
    </row>
    <row r="2349">
      <c r="R2349" s="20" t="str">
        <f>IF($B2349="","",IFERROR(IF(INDEX(Config!$D$9:$D$29,MATCH($B2349,Config!$B$9:$B$29,0))="Contrato",IF(INDEX(Config!$E$9:$E$29,MATCH($B2349,Config!$B$9:$B$29,0))="","",INDEX(Config!$E$9:$E$29,MATCH($B2349,Config!$B$9:$B$29,0))),""),""))</f>
        <v/>
      </c>
      <c r="AC2349" s="19" t="str">
        <f>IF($B2349="","",IFERROR(INDEX(Config!$D$9:$D$29,MATCH($B2349,Config!$B$9:$B$29,0))&amp;"",""))</f>
        <v/>
      </c>
    </row>
    <row r="2350">
      <c r="R2350" s="20" t="str">
        <f>IF($B2350="","",IFERROR(IF(INDEX(Config!$D$9:$D$29,MATCH($B2350,Config!$B$9:$B$29,0))="Contrato",IF(INDEX(Config!$E$9:$E$29,MATCH($B2350,Config!$B$9:$B$29,0))="","",INDEX(Config!$E$9:$E$29,MATCH($B2350,Config!$B$9:$B$29,0))),""),""))</f>
        <v/>
      </c>
      <c r="AC2350" s="19" t="str">
        <f>IF($B2350="","",IFERROR(INDEX(Config!$D$9:$D$29,MATCH($B2350,Config!$B$9:$B$29,0))&amp;"",""))</f>
        <v/>
      </c>
    </row>
    <row r="2351">
      <c r="R2351" s="20" t="str">
        <f>IF($B2351="","",IFERROR(IF(INDEX(Config!$D$9:$D$29,MATCH($B2351,Config!$B$9:$B$29,0))="Contrato",IF(INDEX(Config!$E$9:$E$29,MATCH($B2351,Config!$B$9:$B$29,0))="","",INDEX(Config!$E$9:$E$29,MATCH($B2351,Config!$B$9:$B$29,0))),""),""))</f>
        <v/>
      </c>
      <c r="AC2351" s="19" t="str">
        <f>IF($B2351="","",IFERROR(INDEX(Config!$D$9:$D$29,MATCH($B2351,Config!$B$9:$B$29,0))&amp;"",""))</f>
        <v/>
      </c>
    </row>
    <row r="2352">
      <c r="R2352" s="20" t="str">
        <f>IF($B2352="","",IFERROR(IF(INDEX(Config!$D$9:$D$29,MATCH($B2352,Config!$B$9:$B$29,0))="Contrato",IF(INDEX(Config!$E$9:$E$29,MATCH($B2352,Config!$B$9:$B$29,0))="","",INDEX(Config!$E$9:$E$29,MATCH($B2352,Config!$B$9:$B$29,0))),""),""))</f>
        <v/>
      </c>
      <c r="AC2352" s="19" t="str">
        <f>IF($B2352="","",IFERROR(INDEX(Config!$D$9:$D$29,MATCH($B2352,Config!$B$9:$B$29,0))&amp;"",""))</f>
        <v/>
      </c>
    </row>
    <row r="2353">
      <c r="R2353" s="20" t="str">
        <f>IF($B2353="","",IFERROR(IF(INDEX(Config!$D$9:$D$29,MATCH($B2353,Config!$B$9:$B$29,0))="Contrato",IF(INDEX(Config!$E$9:$E$29,MATCH($B2353,Config!$B$9:$B$29,0))="","",INDEX(Config!$E$9:$E$29,MATCH($B2353,Config!$B$9:$B$29,0))),""),""))</f>
        <v/>
      </c>
      <c r="AC2353" s="19" t="str">
        <f>IF($B2353="","",IFERROR(INDEX(Config!$D$9:$D$29,MATCH($B2353,Config!$B$9:$B$29,0))&amp;"",""))</f>
        <v/>
      </c>
    </row>
    <row r="2354">
      <c r="R2354" s="20" t="str">
        <f>IF($B2354="","",IFERROR(IF(INDEX(Config!$D$9:$D$29,MATCH($B2354,Config!$B$9:$B$29,0))="Contrato",IF(INDEX(Config!$E$9:$E$29,MATCH($B2354,Config!$B$9:$B$29,0))="","",INDEX(Config!$E$9:$E$29,MATCH($B2354,Config!$B$9:$B$29,0))),""),""))</f>
        <v/>
      </c>
      <c r="AC2354" s="19" t="str">
        <f>IF($B2354="","",IFERROR(INDEX(Config!$D$9:$D$29,MATCH($B2354,Config!$B$9:$B$29,0))&amp;"",""))</f>
        <v/>
      </c>
    </row>
    <row r="2355">
      <c r="R2355" s="20" t="str">
        <f>IF($B2355="","",IFERROR(IF(INDEX(Config!$D$9:$D$29,MATCH($B2355,Config!$B$9:$B$29,0))="Contrato",IF(INDEX(Config!$E$9:$E$29,MATCH($B2355,Config!$B$9:$B$29,0))="","",INDEX(Config!$E$9:$E$29,MATCH($B2355,Config!$B$9:$B$29,0))),""),""))</f>
        <v/>
      </c>
      <c r="AC2355" s="19" t="str">
        <f>IF($B2355="","",IFERROR(INDEX(Config!$D$9:$D$29,MATCH($B2355,Config!$B$9:$B$29,0))&amp;"",""))</f>
        <v/>
      </c>
    </row>
    <row r="2356">
      <c r="R2356" s="20" t="str">
        <f>IF($B2356="","",IFERROR(IF(INDEX(Config!$D$9:$D$29,MATCH($B2356,Config!$B$9:$B$29,0))="Contrato",IF(INDEX(Config!$E$9:$E$29,MATCH($B2356,Config!$B$9:$B$29,0))="","",INDEX(Config!$E$9:$E$29,MATCH($B2356,Config!$B$9:$B$29,0))),""),""))</f>
        <v/>
      </c>
      <c r="AC2356" s="19" t="str">
        <f>IF($B2356="","",IFERROR(INDEX(Config!$D$9:$D$29,MATCH($B2356,Config!$B$9:$B$29,0))&amp;"",""))</f>
        <v/>
      </c>
    </row>
    <row r="2357">
      <c r="R2357" s="20" t="str">
        <f>IF($B2357="","",IFERROR(IF(INDEX(Config!$D$9:$D$29,MATCH($B2357,Config!$B$9:$B$29,0))="Contrato",IF(INDEX(Config!$E$9:$E$29,MATCH($B2357,Config!$B$9:$B$29,0))="","",INDEX(Config!$E$9:$E$29,MATCH($B2357,Config!$B$9:$B$29,0))),""),""))</f>
        <v/>
      </c>
      <c r="AC2357" s="19" t="str">
        <f>IF($B2357="","",IFERROR(INDEX(Config!$D$9:$D$29,MATCH($B2357,Config!$B$9:$B$29,0))&amp;"",""))</f>
        <v/>
      </c>
    </row>
    <row r="2358">
      <c r="R2358" s="20" t="str">
        <f>IF($B2358="","",IFERROR(IF(INDEX(Config!$D$9:$D$29,MATCH($B2358,Config!$B$9:$B$29,0))="Contrato",IF(INDEX(Config!$E$9:$E$29,MATCH($B2358,Config!$B$9:$B$29,0))="","",INDEX(Config!$E$9:$E$29,MATCH($B2358,Config!$B$9:$B$29,0))),""),""))</f>
        <v/>
      </c>
      <c r="AC2358" s="19" t="str">
        <f>IF($B2358="","",IFERROR(INDEX(Config!$D$9:$D$29,MATCH($B2358,Config!$B$9:$B$29,0))&amp;"",""))</f>
        <v/>
      </c>
    </row>
    <row r="2359">
      <c r="R2359" s="20" t="str">
        <f>IF($B2359="","",IFERROR(IF(INDEX(Config!$D$9:$D$29,MATCH($B2359,Config!$B$9:$B$29,0))="Contrato",IF(INDEX(Config!$E$9:$E$29,MATCH($B2359,Config!$B$9:$B$29,0))="","",INDEX(Config!$E$9:$E$29,MATCH($B2359,Config!$B$9:$B$29,0))),""),""))</f>
        <v/>
      </c>
      <c r="AC2359" s="19" t="str">
        <f>IF($B2359="","",IFERROR(INDEX(Config!$D$9:$D$29,MATCH($B2359,Config!$B$9:$B$29,0))&amp;"",""))</f>
        <v/>
      </c>
    </row>
    <row r="2360">
      <c r="R2360" s="20" t="str">
        <f>IF($B2360="","",IFERROR(IF(INDEX(Config!$D$9:$D$29,MATCH($B2360,Config!$B$9:$B$29,0))="Contrato",IF(INDEX(Config!$E$9:$E$29,MATCH($B2360,Config!$B$9:$B$29,0))="","",INDEX(Config!$E$9:$E$29,MATCH($B2360,Config!$B$9:$B$29,0))),""),""))</f>
        <v/>
      </c>
      <c r="AC2360" s="19" t="str">
        <f>IF($B2360="","",IFERROR(INDEX(Config!$D$9:$D$29,MATCH($B2360,Config!$B$9:$B$29,0))&amp;"",""))</f>
        <v/>
      </c>
    </row>
    <row r="2361">
      <c r="R2361" s="20" t="str">
        <f>IF($B2361="","",IFERROR(IF(INDEX(Config!$D$9:$D$29,MATCH($B2361,Config!$B$9:$B$29,0))="Contrato",IF(INDEX(Config!$E$9:$E$29,MATCH($B2361,Config!$B$9:$B$29,0))="","",INDEX(Config!$E$9:$E$29,MATCH($B2361,Config!$B$9:$B$29,0))),""),""))</f>
        <v/>
      </c>
      <c r="AC2361" s="19" t="str">
        <f>IF($B2361="","",IFERROR(INDEX(Config!$D$9:$D$29,MATCH($B2361,Config!$B$9:$B$29,0))&amp;"",""))</f>
        <v/>
      </c>
    </row>
    <row r="2362">
      <c r="R2362" s="20" t="str">
        <f>IF($B2362="","",IFERROR(IF(INDEX(Config!$D$9:$D$29,MATCH($B2362,Config!$B$9:$B$29,0))="Contrato",IF(INDEX(Config!$E$9:$E$29,MATCH($B2362,Config!$B$9:$B$29,0))="","",INDEX(Config!$E$9:$E$29,MATCH($B2362,Config!$B$9:$B$29,0))),""),""))</f>
        <v/>
      </c>
      <c r="AC2362" s="19" t="str">
        <f>IF($B2362="","",IFERROR(INDEX(Config!$D$9:$D$29,MATCH($B2362,Config!$B$9:$B$29,0))&amp;"",""))</f>
        <v/>
      </c>
    </row>
    <row r="2363">
      <c r="R2363" s="20" t="str">
        <f>IF($B2363="","",IFERROR(IF(INDEX(Config!$D$9:$D$29,MATCH($B2363,Config!$B$9:$B$29,0))="Contrato",IF(INDEX(Config!$E$9:$E$29,MATCH($B2363,Config!$B$9:$B$29,0))="","",INDEX(Config!$E$9:$E$29,MATCH($B2363,Config!$B$9:$B$29,0))),""),""))</f>
        <v/>
      </c>
      <c r="AC2363" s="19" t="str">
        <f>IF($B2363="","",IFERROR(INDEX(Config!$D$9:$D$29,MATCH($B2363,Config!$B$9:$B$29,0))&amp;"",""))</f>
        <v/>
      </c>
    </row>
    <row r="2364">
      <c r="R2364" s="20" t="str">
        <f>IF($B2364="","",IFERROR(IF(INDEX(Config!$D$9:$D$29,MATCH($B2364,Config!$B$9:$B$29,0))="Contrato",IF(INDEX(Config!$E$9:$E$29,MATCH($B2364,Config!$B$9:$B$29,0))="","",INDEX(Config!$E$9:$E$29,MATCH($B2364,Config!$B$9:$B$29,0))),""),""))</f>
        <v/>
      </c>
      <c r="AC2364" s="19" t="str">
        <f>IF($B2364="","",IFERROR(INDEX(Config!$D$9:$D$29,MATCH($B2364,Config!$B$9:$B$29,0))&amp;"",""))</f>
        <v/>
      </c>
    </row>
    <row r="2365">
      <c r="R2365" s="20" t="str">
        <f>IF($B2365="","",IFERROR(IF(INDEX(Config!$D$9:$D$29,MATCH($B2365,Config!$B$9:$B$29,0))="Contrato",IF(INDEX(Config!$E$9:$E$29,MATCH($B2365,Config!$B$9:$B$29,0))="","",INDEX(Config!$E$9:$E$29,MATCH($B2365,Config!$B$9:$B$29,0))),""),""))</f>
        <v/>
      </c>
      <c r="AC2365" s="19" t="str">
        <f>IF($B2365="","",IFERROR(INDEX(Config!$D$9:$D$29,MATCH($B2365,Config!$B$9:$B$29,0))&amp;"",""))</f>
        <v/>
      </c>
    </row>
    <row r="2366">
      <c r="R2366" s="20" t="str">
        <f>IF($B2366="","",IFERROR(IF(INDEX(Config!$D$9:$D$29,MATCH($B2366,Config!$B$9:$B$29,0))="Contrato",IF(INDEX(Config!$E$9:$E$29,MATCH($B2366,Config!$B$9:$B$29,0))="","",INDEX(Config!$E$9:$E$29,MATCH($B2366,Config!$B$9:$B$29,0))),""),""))</f>
        <v/>
      </c>
      <c r="AC2366" s="19" t="str">
        <f>IF($B2366="","",IFERROR(INDEX(Config!$D$9:$D$29,MATCH($B2366,Config!$B$9:$B$29,0))&amp;"",""))</f>
        <v/>
      </c>
    </row>
    <row r="2367">
      <c r="R2367" s="20" t="str">
        <f>IF($B2367="","",IFERROR(IF(INDEX(Config!$D$9:$D$29,MATCH($B2367,Config!$B$9:$B$29,0))="Contrato",IF(INDEX(Config!$E$9:$E$29,MATCH($B2367,Config!$B$9:$B$29,0))="","",INDEX(Config!$E$9:$E$29,MATCH($B2367,Config!$B$9:$B$29,0))),""),""))</f>
        <v/>
      </c>
      <c r="AC2367" s="19" t="str">
        <f>IF($B2367="","",IFERROR(INDEX(Config!$D$9:$D$29,MATCH($B2367,Config!$B$9:$B$29,0))&amp;"",""))</f>
        <v/>
      </c>
    </row>
    <row r="2368">
      <c r="R2368" s="20" t="str">
        <f>IF($B2368="","",IFERROR(IF(INDEX(Config!$D$9:$D$29,MATCH($B2368,Config!$B$9:$B$29,0))="Contrato",IF(INDEX(Config!$E$9:$E$29,MATCH($B2368,Config!$B$9:$B$29,0))="","",INDEX(Config!$E$9:$E$29,MATCH($B2368,Config!$B$9:$B$29,0))),""),""))</f>
        <v/>
      </c>
      <c r="AC2368" s="19" t="str">
        <f>IF($B2368="","",IFERROR(INDEX(Config!$D$9:$D$29,MATCH($B2368,Config!$B$9:$B$29,0))&amp;"",""))</f>
        <v/>
      </c>
    </row>
    <row r="2369">
      <c r="R2369" s="20" t="str">
        <f>IF($B2369="","",IFERROR(IF(INDEX(Config!$D$9:$D$29,MATCH($B2369,Config!$B$9:$B$29,0))="Contrato",IF(INDEX(Config!$E$9:$E$29,MATCH($B2369,Config!$B$9:$B$29,0))="","",INDEX(Config!$E$9:$E$29,MATCH($B2369,Config!$B$9:$B$29,0))),""),""))</f>
        <v/>
      </c>
      <c r="AC2369" s="19" t="str">
        <f>IF($B2369="","",IFERROR(INDEX(Config!$D$9:$D$29,MATCH($B2369,Config!$B$9:$B$29,0))&amp;"",""))</f>
        <v/>
      </c>
    </row>
    <row r="2370">
      <c r="R2370" s="20" t="str">
        <f>IF($B2370="","",IFERROR(IF(INDEX(Config!$D$9:$D$29,MATCH($B2370,Config!$B$9:$B$29,0))="Contrato",IF(INDEX(Config!$E$9:$E$29,MATCH($B2370,Config!$B$9:$B$29,0))="","",INDEX(Config!$E$9:$E$29,MATCH($B2370,Config!$B$9:$B$29,0))),""),""))</f>
        <v/>
      </c>
      <c r="AC2370" s="19" t="str">
        <f>IF($B2370="","",IFERROR(INDEX(Config!$D$9:$D$29,MATCH($B2370,Config!$B$9:$B$29,0))&amp;"",""))</f>
        <v/>
      </c>
    </row>
    <row r="2371">
      <c r="R2371" s="20" t="str">
        <f>IF($B2371="","",IFERROR(IF(INDEX(Config!$D$9:$D$29,MATCH($B2371,Config!$B$9:$B$29,0))="Contrato",IF(INDEX(Config!$E$9:$E$29,MATCH($B2371,Config!$B$9:$B$29,0))="","",INDEX(Config!$E$9:$E$29,MATCH($B2371,Config!$B$9:$B$29,0))),""),""))</f>
        <v/>
      </c>
      <c r="AC2371" s="19" t="str">
        <f>IF($B2371="","",IFERROR(INDEX(Config!$D$9:$D$29,MATCH($B2371,Config!$B$9:$B$29,0))&amp;"",""))</f>
        <v/>
      </c>
    </row>
    <row r="2372">
      <c r="R2372" s="20" t="str">
        <f>IF($B2372="","",IFERROR(IF(INDEX(Config!$D$9:$D$29,MATCH($B2372,Config!$B$9:$B$29,0))="Contrato",IF(INDEX(Config!$E$9:$E$29,MATCH($B2372,Config!$B$9:$B$29,0))="","",INDEX(Config!$E$9:$E$29,MATCH($B2372,Config!$B$9:$B$29,0))),""),""))</f>
        <v/>
      </c>
      <c r="AC2372" s="19" t="str">
        <f>IF($B2372="","",IFERROR(INDEX(Config!$D$9:$D$29,MATCH($B2372,Config!$B$9:$B$29,0))&amp;"",""))</f>
        <v/>
      </c>
    </row>
    <row r="2373">
      <c r="R2373" s="20" t="str">
        <f>IF($B2373="","",IFERROR(IF(INDEX(Config!$D$9:$D$29,MATCH($B2373,Config!$B$9:$B$29,0))="Contrato",IF(INDEX(Config!$E$9:$E$29,MATCH($B2373,Config!$B$9:$B$29,0))="","",INDEX(Config!$E$9:$E$29,MATCH($B2373,Config!$B$9:$B$29,0))),""),""))</f>
        <v/>
      </c>
      <c r="AC2373" s="19" t="str">
        <f>IF($B2373="","",IFERROR(INDEX(Config!$D$9:$D$29,MATCH($B2373,Config!$B$9:$B$29,0))&amp;"",""))</f>
        <v/>
      </c>
    </row>
    <row r="2374">
      <c r="R2374" s="20" t="str">
        <f>IF($B2374="","",IFERROR(IF(INDEX(Config!$D$9:$D$29,MATCH($B2374,Config!$B$9:$B$29,0))="Contrato",IF(INDEX(Config!$E$9:$E$29,MATCH($B2374,Config!$B$9:$B$29,0))="","",INDEX(Config!$E$9:$E$29,MATCH($B2374,Config!$B$9:$B$29,0))),""),""))</f>
        <v/>
      </c>
      <c r="AC2374" s="19" t="str">
        <f>IF($B2374="","",IFERROR(INDEX(Config!$D$9:$D$29,MATCH($B2374,Config!$B$9:$B$29,0))&amp;"",""))</f>
        <v/>
      </c>
    </row>
    <row r="2375">
      <c r="R2375" s="20" t="str">
        <f>IF($B2375="","",IFERROR(IF(INDEX(Config!$D$9:$D$29,MATCH($B2375,Config!$B$9:$B$29,0))="Contrato",IF(INDEX(Config!$E$9:$E$29,MATCH($B2375,Config!$B$9:$B$29,0))="","",INDEX(Config!$E$9:$E$29,MATCH($B2375,Config!$B$9:$B$29,0))),""),""))</f>
        <v/>
      </c>
      <c r="AC2375" s="19" t="str">
        <f>IF($B2375="","",IFERROR(INDEX(Config!$D$9:$D$29,MATCH($B2375,Config!$B$9:$B$29,0))&amp;"",""))</f>
        <v/>
      </c>
    </row>
    <row r="2376">
      <c r="R2376" s="20" t="str">
        <f>IF($B2376="","",IFERROR(IF(INDEX(Config!$D$9:$D$29,MATCH($B2376,Config!$B$9:$B$29,0))="Contrato",IF(INDEX(Config!$E$9:$E$29,MATCH($B2376,Config!$B$9:$B$29,0))="","",INDEX(Config!$E$9:$E$29,MATCH($B2376,Config!$B$9:$B$29,0))),""),""))</f>
        <v/>
      </c>
      <c r="AC2376" s="19" t="str">
        <f>IF($B2376="","",IFERROR(INDEX(Config!$D$9:$D$29,MATCH($B2376,Config!$B$9:$B$29,0))&amp;"",""))</f>
        <v/>
      </c>
    </row>
    <row r="2377">
      <c r="R2377" s="20" t="str">
        <f>IF($B2377="","",IFERROR(IF(INDEX(Config!$D$9:$D$29,MATCH($B2377,Config!$B$9:$B$29,0))="Contrato",IF(INDEX(Config!$E$9:$E$29,MATCH($B2377,Config!$B$9:$B$29,0))="","",INDEX(Config!$E$9:$E$29,MATCH($B2377,Config!$B$9:$B$29,0))),""),""))</f>
        <v/>
      </c>
      <c r="AC2377" s="19" t="str">
        <f>IF($B2377="","",IFERROR(INDEX(Config!$D$9:$D$29,MATCH($B2377,Config!$B$9:$B$29,0))&amp;"",""))</f>
        <v/>
      </c>
    </row>
    <row r="2378">
      <c r="R2378" s="20" t="str">
        <f>IF($B2378="","",IFERROR(IF(INDEX(Config!$D$9:$D$29,MATCH($B2378,Config!$B$9:$B$29,0))="Contrato",IF(INDEX(Config!$E$9:$E$29,MATCH($B2378,Config!$B$9:$B$29,0))="","",INDEX(Config!$E$9:$E$29,MATCH($B2378,Config!$B$9:$B$29,0))),""),""))</f>
        <v/>
      </c>
      <c r="AC2378" s="19" t="str">
        <f>IF($B2378="","",IFERROR(INDEX(Config!$D$9:$D$29,MATCH($B2378,Config!$B$9:$B$29,0))&amp;"",""))</f>
        <v/>
      </c>
    </row>
    <row r="2379">
      <c r="R2379" s="20" t="str">
        <f>IF($B2379="","",IFERROR(IF(INDEX(Config!$D$9:$D$29,MATCH($B2379,Config!$B$9:$B$29,0))="Contrato",IF(INDEX(Config!$E$9:$E$29,MATCH($B2379,Config!$B$9:$B$29,0))="","",INDEX(Config!$E$9:$E$29,MATCH($B2379,Config!$B$9:$B$29,0))),""),""))</f>
        <v/>
      </c>
      <c r="AC2379" s="19" t="str">
        <f>IF($B2379="","",IFERROR(INDEX(Config!$D$9:$D$29,MATCH($B2379,Config!$B$9:$B$29,0))&amp;"",""))</f>
        <v/>
      </c>
    </row>
    <row r="2380">
      <c r="R2380" s="20" t="str">
        <f>IF($B2380="","",IFERROR(IF(INDEX(Config!$D$9:$D$29,MATCH($B2380,Config!$B$9:$B$29,0))="Contrato",IF(INDEX(Config!$E$9:$E$29,MATCH($B2380,Config!$B$9:$B$29,0))="","",INDEX(Config!$E$9:$E$29,MATCH($B2380,Config!$B$9:$B$29,0))),""),""))</f>
        <v/>
      </c>
      <c r="AC2380" s="19" t="str">
        <f>IF($B2380="","",IFERROR(INDEX(Config!$D$9:$D$29,MATCH($B2380,Config!$B$9:$B$29,0))&amp;"",""))</f>
        <v/>
      </c>
    </row>
    <row r="2381">
      <c r="R2381" s="20" t="str">
        <f>IF($B2381="","",IFERROR(IF(INDEX(Config!$D$9:$D$29,MATCH($B2381,Config!$B$9:$B$29,0))="Contrato",IF(INDEX(Config!$E$9:$E$29,MATCH($B2381,Config!$B$9:$B$29,0))="","",INDEX(Config!$E$9:$E$29,MATCH($B2381,Config!$B$9:$B$29,0))),""),""))</f>
        <v/>
      </c>
      <c r="AC2381" s="19" t="str">
        <f>IF($B2381="","",IFERROR(INDEX(Config!$D$9:$D$29,MATCH($B2381,Config!$B$9:$B$29,0))&amp;"",""))</f>
        <v/>
      </c>
    </row>
    <row r="2382">
      <c r="R2382" s="20" t="str">
        <f>IF($B2382="","",IFERROR(IF(INDEX(Config!$D$9:$D$29,MATCH($B2382,Config!$B$9:$B$29,0))="Contrato",IF(INDEX(Config!$E$9:$E$29,MATCH($B2382,Config!$B$9:$B$29,0))="","",INDEX(Config!$E$9:$E$29,MATCH($B2382,Config!$B$9:$B$29,0))),""),""))</f>
        <v/>
      </c>
      <c r="AC2382" s="19" t="str">
        <f>IF($B2382="","",IFERROR(INDEX(Config!$D$9:$D$29,MATCH($B2382,Config!$B$9:$B$29,0))&amp;"",""))</f>
        <v/>
      </c>
    </row>
    <row r="2383">
      <c r="R2383" s="20" t="str">
        <f>IF($B2383="","",IFERROR(IF(INDEX(Config!$D$9:$D$29,MATCH($B2383,Config!$B$9:$B$29,0))="Contrato",IF(INDEX(Config!$E$9:$E$29,MATCH($B2383,Config!$B$9:$B$29,0))="","",INDEX(Config!$E$9:$E$29,MATCH($B2383,Config!$B$9:$B$29,0))),""),""))</f>
        <v/>
      </c>
      <c r="AC2383" s="19" t="str">
        <f>IF($B2383="","",IFERROR(INDEX(Config!$D$9:$D$29,MATCH($B2383,Config!$B$9:$B$29,0))&amp;"",""))</f>
        <v/>
      </c>
    </row>
    <row r="2384">
      <c r="R2384" s="20" t="str">
        <f>IF($B2384="","",IFERROR(IF(INDEX(Config!$D$9:$D$29,MATCH($B2384,Config!$B$9:$B$29,0))="Contrato",IF(INDEX(Config!$E$9:$E$29,MATCH($B2384,Config!$B$9:$B$29,0))="","",INDEX(Config!$E$9:$E$29,MATCH($B2384,Config!$B$9:$B$29,0))),""),""))</f>
        <v/>
      </c>
      <c r="AC2384" s="19" t="str">
        <f>IF($B2384="","",IFERROR(INDEX(Config!$D$9:$D$29,MATCH($B2384,Config!$B$9:$B$29,0))&amp;"",""))</f>
        <v/>
      </c>
    </row>
    <row r="2385">
      <c r="R2385" s="20" t="str">
        <f>IF($B2385="","",IFERROR(IF(INDEX(Config!$D$9:$D$29,MATCH($B2385,Config!$B$9:$B$29,0))="Contrato",IF(INDEX(Config!$E$9:$E$29,MATCH($B2385,Config!$B$9:$B$29,0))="","",INDEX(Config!$E$9:$E$29,MATCH($B2385,Config!$B$9:$B$29,0))),""),""))</f>
        <v/>
      </c>
      <c r="AC2385" s="19" t="str">
        <f>IF($B2385="","",IFERROR(INDEX(Config!$D$9:$D$29,MATCH($B2385,Config!$B$9:$B$29,0))&amp;"",""))</f>
        <v/>
      </c>
    </row>
    <row r="2386">
      <c r="R2386" s="20" t="str">
        <f>IF($B2386="","",IFERROR(IF(INDEX(Config!$D$9:$D$29,MATCH($B2386,Config!$B$9:$B$29,0))="Contrato",IF(INDEX(Config!$E$9:$E$29,MATCH($B2386,Config!$B$9:$B$29,0))="","",INDEX(Config!$E$9:$E$29,MATCH($B2386,Config!$B$9:$B$29,0))),""),""))</f>
        <v/>
      </c>
      <c r="AC2386" s="19" t="str">
        <f>IF($B2386="","",IFERROR(INDEX(Config!$D$9:$D$29,MATCH($B2386,Config!$B$9:$B$29,0))&amp;"",""))</f>
        <v/>
      </c>
    </row>
    <row r="2387">
      <c r="R2387" s="20" t="str">
        <f>IF($B2387="","",IFERROR(IF(INDEX(Config!$D$9:$D$29,MATCH($B2387,Config!$B$9:$B$29,0))="Contrato",IF(INDEX(Config!$E$9:$E$29,MATCH($B2387,Config!$B$9:$B$29,0))="","",INDEX(Config!$E$9:$E$29,MATCH($B2387,Config!$B$9:$B$29,0))),""),""))</f>
        <v/>
      </c>
      <c r="AC2387" s="19" t="str">
        <f>IF($B2387="","",IFERROR(INDEX(Config!$D$9:$D$29,MATCH($B2387,Config!$B$9:$B$29,0))&amp;"",""))</f>
        <v/>
      </c>
    </row>
    <row r="2388">
      <c r="R2388" s="20" t="str">
        <f>IF($B2388="","",IFERROR(IF(INDEX(Config!$D$9:$D$29,MATCH($B2388,Config!$B$9:$B$29,0))="Contrato",IF(INDEX(Config!$E$9:$E$29,MATCH($B2388,Config!$B$9:$B$29,0))="","",INDEX(Config!$E$9:$E$29,MATCH($B2388,Config!$B$9:$B$29,0))),""),""))</f>
        <v/>
      </c>
      <c r="AC2388" s="19" t="str">
        <f>IF($B2388="","",IFERROR(INDEX(Config!$D$9:$D$29,MATCH($B2388,Config!$B$9:$B$29,0))&amp;"",""))</f>
        <v/>
      </c>
    </row>
    <row r="2389">
      <c r="R2389" s="20" t="str">
        <f>IF($B2389="","",IFERROR(IF(INDEX(Config!$D$9:$D$29,MATCH($B2389,Config!$B$9:$B$29,0))="Contrato",IF(INDEX(Config!$E$9:$E$29,MATCH($B2389,Config!$B$9:$B$29,0))="","",INDEX(Config!$E$9:$E$29,MATCH($B2389,Config!$B$9:$B$29,0))),""),""))</f>
        <v/>
      </c>
      <c r="AC2389" s="19" t="str">
        <f>IF($B2389="","",IFERROR(INDEX(Config!$D$9:$D$29,MATCH($B2389,Config!$B$9:$B$29,0))&amp;"",""))</f>
        <v/>
      </c>
    </row>
    <row r="2390">
      <c r="R2390" s="20" t="str">
        <f>IF($B2390="","",IFERROR(IF(INDEX(Config!$D$9:$D$29,MATCH($B2390,Config!$B$9:$B$29,0))="Contrato",IF(INDEX(Config!$E$9:$E$29,MATCH($B2390,Config!$B$9:$B$29,0))="","",INDEX(Config!$E$9:$E$29,MATCH($B2390,Config!$B$9:$B$29,0))),""),""))</f>
        <v/>
      </c>
      <c r="AC2390" s="19" t="str">
        <f>IF($B2390="","",IFERROR(INDEX(Config!$D$9:$D$29,MATCH($B2390,Config!$B$9:$B$29,0))&amp;"",""))</f>
        <v/>
      </c>
    </row>
    <row r="2391">
      <c r="R2391" s="20" t="str">
        <f>IF($B2391="","",IFERROR(IF(INDEX(Config!$D$9:$D$29,MATCH($B2391,Config!$B$9:$B$29,0))="Contrato",IF(INDEX(Config!$E$9:$E$29,MATCH($B2391,Config!$B$9:$B$29,0))="","",INDEX(Config!$E$9:$E$29,MATCH($B2391,Config!$B$9:$B$29,0))),""),""))</f>
        <v/>
      </c>
      <c r="AC2391" s="19" t="str">
        <f>IF($B2391="","",IFERROR(INDEX(Config!$D$9:$D$29,MATCH($B2391,Config!$B$9:$B$29,0))&amp;"",""))</f>
        <v/>
      </c>
    </row>
    <row r="2392">
      <c r="R2392" s="20" t="str">
        <f>IF($B2392="","",IFERROR(IF(INDEX(Config!$D$9:$D$29,MATCH($B2392,Config!$B$9:$B$29,0))="Contrato",IF(INDEX(Config!$E$9:$E$29,MATCH($B2392,Config!$B$9:$B$29,0))="","",INDEX(Config!$E$9:$E$29,MATCH($B2392,Config!$B$9:$B$29,0))),""),""))</f>
        <v/>
      </c>
      <c r="AC2392" s="19" t="str">
        <f>IF($B2392="","",IFERROR(INDEX(Config!$D$9:$D$29,MATCH($B2392,Config!$B$9:$B$29,0))&amp;"",""))</f>
        <v/>
      </c>
    </row>
    <row r="2393">
      <c r="R2393" s="20" t="str">
        <f>IF($B2393="","",IFERROR(IF(INDEX(Config!$D$9:$D$29,MATCH($B2393,Config!$B$9:$B$29,0))="Contrato",IF(INDEX(Config!$E$9:$E$29,MATCH($B2393,Config!$B$9:$B$29,0))="","",INDEX(Config!$E$9:$E$29,MATCH($B2393,Config!$B$9:$B$29,0))),""),""))</f>
        <v/>
      </c>
      <c r="AC2393" s="19" t="str">
        <f>IF($B2393="","",IFERROR(INDEX(Config!$D$9:$D$29,MATCH($B2393,Config!$B$9:$B$29,0))&amp;"",""))</f>
        <v/>
      </c>
    </row>
    <row r="2394">
      <c r="R2394" s="20" t="str">
        <f>IF($B2394="","",IFERROR(IF(INDEX(Config!$D$9:$D$29,MATCH($B2394,Config!$B$9:$B$29,0))="Contrato",IF(INDEX(Config!$E$9:$E$29,MATCH($B2394,Config!$B$9:$B$29,0))="","",INDEX(Config!$E$9:$E$29,MATCH($B2394,Config!$B$9:$B$29,0))),""),""))</f>
        <v/>
      </c>
      <c r="AC2394" s="19" t="str">
        <f>IF($B2394="","",IFERROR(INDEX(Config!$D$9:$D$29,MATCH($B2394,Config!$B$9:$B$29,0))&amp;"",""))</f>
        <v/>
      </c>
    </row>
    <row r="2395">
      <c r="R2395" s="20" t="str">
        <f>IF($B2395="","",IFERROR(IF(INDEX(Config!$D$9:$D$29,MATCH($B2395,Config!$B$9:$B$29,0))="Contrato",IF(INDEX(Config!$E$9:$E$29,MATCH($B2395,Config!$B$9:$B$29,0))="","",INDEX(Config!$E$9:$E$29,MATCH($B2395,Config!$B$9:$B$29,0))),""),""))</f>
        <v/>
      </c>
      <c r="AC2395" s="19" t="str">
        <f>IF($B2395="","",IFERROR(INDEX(Config!$D$9:$D$29,MATCH($B2395,Config!$B$9:$B$29,0))&amp;"",""))</f>
        <v/>
      </c>
    </row>
    <row r="2396">
      <c r="R2396" s="20" t="str">
        <f>IF($B2396="","",IFERROR(IF(INDEX(Config!$D$9:$D$29,MATCH($B2396,Config!$B$9:$B$29,0))="Contrato",IF(INDEX(Config!$E$9:$E$29,MATCH($B2396,Config!$B$9:$B$29,0))="","",INDEX(Config!$E$9:$E$29,MATCH($B2396,Config!$B$9:$B$29,0))),""),""))</f>
        <v/>
      </c>
      <c r="AC2396" s="19" t="str">
        <f>IF($B2396="","",IFERROR(INDEX(Config!$D$9:$D$29,MATCH($B2396,Config!$B$9:$B$29,0))&amp;"",""))</f>
        <v/>
      </c>
    </row>
    <row r="2397">
      <c r="R2397" s="20" t="str">
        <f>IF($B2397="","",IFERROR(IF(INDEX(Config!$D$9:$D$29,MATCH($B2397,Config!$B$9:$B$29,0))="Contrato",IF(INDEX(Config!$E$9:$E$29,MATCH($B2397,Config!$B$9:$B$29,0))="","",INDEX(Config!$E$9:$E$29,MATCH($B2397,Config!$B$9:$B$29,0))),""),""))</f>
        <v/>
      </c>
      <c r="AC2397" s="19" t="str">
        <f>IF($B2397="","",IFERROR(INDEX(Config!$D$9:$D$29,MATCH($B2397,Config!$B$9:$B$29,0))&amp;"",""))</f>
        <v/>
      </c>
    </row>
    <row r="2398">
      <c r="R2398" s="20" t="str">
        <f>IF($B2398="","",IFERROR(IF(INDEX(Config!$D$9:$D$29,MATCH($B2398,Config!$B$9:$B$29,0))="Contrato",IF(INDEX(Config!$E$9:$E$29,MATCH($B2398,Config!$B$9:$B$29,0))="","",INDEX(Config!$E$9:$E$29,MATCH($B2398,Config!$B$9:$B$29,0))),""),""))</f>
        <v/>
      </c>
      <c r="AC2398" s="19" t="str">
        <f>IF($B2398="","",IFERROR(INDEX(Config!$D$9:$D$29,MATCH($B2398,Config!$B$9:$B$29,0))&amp;"",""))</f>
        <v/>
      </c>
    </row>
    <row r="2399">
      <c r="R2399" s="20" t="str">
        <f>IF($B2399="","",IFERROR(IF(INDEX(Config!$D$9:$D$29,MATCH($B2399,Config!$B$9:$B$29,0))="Contrato",IF(INDEX(Config!$E$9:$E$29,MATCH($B2399,Config!$B$9:$B$29,0))="","",INDEX(Config!$E$9:$E$29,MATCH($B2399,Config!$B$9:$B$29,0))),""),""))</f>
        <v/>
      </c>
      <c r="AC2399" s="19" t="str">
        <f>IF($B2399="","",IFERROR(INDEX(Config!$D$9:$D$29,MATCH($B2399,Config!$B$9:$B$29,0))&amp;"",""))</f>
        <v/>
      </c>
    </row>
    <row r="2400">
      <c r="R2400" s="20" t="str">
        <f>IF($B2400="","",IFERROR(IF(INDEX(Config!$D$9:$D$29,MATCH($B2400,Config!$B$9:$B$29,0))="Contrato",IF(INDEX(Config!$E$9:$E$29,MATCH($B2400,Config!$B$9:$B$29,0))="","",INDEX(Config!$E$9:$E$29,MATCH($B2400,Config!$B$9:$B$29,0))),""),""))</f>
        <v/>
      </c>
      <c r="AC2400" s="19" t="str">
        <f>IF($B2400="","",IFERROR(INDEX(Config!$D$9:$D$29,MATCH($B2400,Config!$B$9:$B$29,0))&amp;"",""))</f>
        <v/>
      </c>
    </row>
    <row r="2401">
      <c r="R2401" s="20" t="str">
        <f>IF($B2401="","",IFERROR(IF(INDEX(Config!$D$9:$D$29,MATCH($B2401,Config!$B$9:$B$29,0))="Contrato",IF(INDEX(Config!$E$9:$E$29,MATCH($B2401,Config!$B$9:$B$29,0))="","",INDEX(Config!$E$9:$E$29,MATCH($B2401,Config!$B$9:$B$29,0))),""),""))</f>
        <v/>
      </c>
      <c r="AC2401" s="19" t="str">
        <f>IF($B2401="","",IFERROR(INDEX(Config!$D$9:$D$29,MATCH($B2401,Config!$B$9:$B$29,0))&amp;"",""))</f>
        <v/>
      </c>
    </row>
    <row r="2402">
      <c r="R2402" s="20" t="str">
        <f>IF($B2402="","",IFERROR(IF(INDEX(Config!$D$9:$D$29,MATCH($B2402,Config!$B$9:$B$29,0))="Contrato",IF(INDEX(Config!$E$9:$E$29,MATCH($B2402,Config!$B$9:$B$29,0))="","",INDEX(Config!$E$9:$E$29,MATCH($B2402,Config!$B$9:$B$29,0))),""),""))</f>
        <v/>
      </c>
      <c r="AC2402" s="19" t="str">
        <f>IF($B2402="","",IFERROR(INDEX(Config!$D$9:$D$29,MATCH($B2402,Config!$B$9:$B$29,0))&amp;"",""))</f>
        <v/>
      </c>
    </row>
    <row r="2403">
      <c r="R2403" s="20" t="str">
        <f>IF($B2403="","",IFERROR(IF(INDEX(Config!$D$9:$D$29,MATCH($B2403,Config!$B$9:$B$29,0))="Contrato",IF(INDEX(Config!$E$9:$E$29,MATCH($B2403,Config!$B$9:$B$29,0))="","",INDEX(Config!$E$9:$E$29,MATCH($B2403,Config!$B$9:$B$29,0))),""),""))</f>
        <v/>
      </c>
      <c r="AC2403" s="19" t="str">
        <f>IF($B2403="","",IFERROR(INDEX(Config!$D$9:$D$29,MATCH($B2403,Config!$B$9:$B$29,0))&amp;"",""))</f>
        <v/>
      </c>
    </row>
    <row r="2404">
      <c r="R2404" s="20" t="str">
        <f>IF($B2404="","",IFERROR(IF(INDEX(Config!$D$9:$D$29,MATCH($B2404,Config!$B$9:$B$29,0))="Contrato",IF(INDEX(Config!$E$9:$E$29,MATCH($B2404,Config!$B$9:$B$29,0))="","",INDEX(Config!$E$9:$E$29,MATCH($B2404,Config!$B$9:$B$29,0))),""),""))</f>
        <v/>
      </c>
      <c r="AC2404" s="19" t="str">
        <f>IF($B2404="","",IFERROR(INDEX(Config!$D$9:$D$29,MATCH($B2404,Config!$B$9:$B$29,0))&amp;"",""))</f>
        <v/>
      </c>
    </row>
    <row r="2405">
      <c r="R2405" s="20" t="str">
        <f>IF($B2405="","",IFERROR(IF(INDEX(Config!$D$9:$D$29,MATCH($B2405,Config!$B$9:$B$29,0))="Contrato",IF(INDEX(Config!$E$9:$E$29,MATCH($B2405,Config!$B$9:$B$29,0))="","",INDEX(Config!$E$9:$E$29,MATCH($B2405,Config!$B$9:$B$29,0))),""),""))</f>
        <v/>
      </c>
      <c r="AC2405" s="19" t="str">
        <f>IF($B2405="","",IFERROR(INDEX(Config!$D$9:$D$29,MATCH($B2405,Config!$B$9:$B$29,0))&amp;"",""))</f>
        <v/>
      </c>
    </row>
    <row r="2406">
      <c r="R2406" s="20" t="str">
        <f>IF($B2406="","",IFERROR(IF(INDEX(Config!$D$9:$D$29,MATCH($B2406,Config!$B$9:$B$29,0))="Contrato",IF(INDEX(Config!$E$9:$E$29,MATCH($B2406,Config!$B$9:$B$29,0))="","",INDEX(Config!$E$9:$E$29,MATCH($B2406,Config!$B$9:$B$29,0))),""),""))</f>
        <v/>
      </c>
      <c r="AC2406" s="19" t="str">
        <f>IF($B2406="","",IFERROR(INDEX(Config!$D$9:$D$29,MATCH($B2406,Config!$B$9:$B$29,0))&amp;"",""))</f>
        <v/>
      </c>
    </row>
    <row r="2407">
      <c r="R2407" s="20" t="str">
        <f>IF($B2407="","",IFERROR(IF(INDEX(Config!$D$9:$D$29,MATCH($B2407,Config!$B$9:$B$29,0))="Contrato",IF(INDEX(Config!$E$9:$E$29,MATCH($B2407,Config!$B$9:$B$29,0))="","",INDEX(Config!$E$9:$E$29,MATCH($B2407,Config!$B$9:$B$29,0))),""),""))</f>
        <v/>
      </c>
      <c r="AC2407" s="19" t="str">
        <f>IF($B2407="","",IFERROR(INDEX(Config!$D$9:$D$29,MATCH($B2407,Config!$B$9:$B$29,0))&amp;"",""))</f>
        <v/>
      </c>
    </row>
    <row r="2408">
      <c r="R2408" s="20" t="str">
        <f>IF($B2408="","",IFERROR(IF(INDEX(Config!$D$9:$D$29,MATCH($B2408,Config!$B$9:$B$29,0))="Contrato",IF(INDEX(Config!$E$9:$E$29,MATCH($B2408,Config!$B$9:$B$29,0))="","",INDEX(Config!$E$9:$E$29,MATCH($B2408,Config!$B$9:$B$29,0))),""),""))</f>
        <v/>
      </c>
      <c r="AC2408" s="19" t="str">
        <f>IF($B2408="","",IFERROR(INDEX(Config!$D$9:$D$29,MATCH($B2408,Config!$B$9:$B$29,0))&amp;"",""))</f>
        <v/>
      </c>
    </row>
    <row r="2409">
      <c r="R2409" s="20" t="str">
        <f>IF($B2409="","",IFERROR(IF(INDEX(Config!$D$9:$D$29,MATCH($B2409,Config!$B$9:$B$29,0))="Contrato",IF(INDEX(Config!$E$9:$E$29,MATCH($B2409,Config!$B$9:$B$29,0))="","",INDEX(Config!$E$9:$E$29,MATCH($B2409,Config!$B$9:$B$29,0))),""),""))</f>
        <v/>
      </c>
      <c r="AC2409" s="19" t="str">
        <f>IF($B2409="","",IFERROR(INDEX(Config!$D$9:$D$29,MATCH($B2409,Config!$B$9:$B$29,0))&amp;"",""))</f>
        <v/>
      </c>
    </row>
    <row r="2410">
      <c r="R2410" s="20" t="str">
        <f>IF($B2410="","",IFERROR(IF(INDEX(Config!$D$9:$D$29,MATCH($B2410,Config!$B$9:$B$29,0))="Contrato",IF(INDEX(Config!$E$9:$E$29,MATCH($B2410,Config!$B$9:$B$29,0))="","",INDEX(Config!$E$9:$E$29,MATCH($B2410,Config!$B$9:$B$29,0))),""),""))</f>
        <v/>
      </c>
      <c r="AC2410" s="19" t="str">
        <f>IF($B2410="","",IFERROR(INDEX(Config!$D$9:$D$29,MATCH($B2410,Config!$B$9:$B$29,0))&amp;"",""))</f>
        <v/>
      </c>
    </row>
    <row r="2411">
      <c r="R2411" s="20" t="str">
        <f>IF($B2411="","",IFERROR(IF(INDEX(Config!$D$9:$D$29,MATCH($B2411,Config!$B$9:$B$29,0))="Contrato",IF(INDEX(Config!$E$9:$E$29,MATCH($B2411,Config!$B$9:$B$29,0))="","",INDEX(Config!$E$9:$E$29,MATCH($B2411,Config!$B$9:$B$29,0))),""),""))</f>
        <v/>
      </c>
      <c r="AC2411" s="19" t="str">
        <f>IF($B2411="","",IFERROR(INDEX(Config!$D$9:$D$29,MATCH($B2411,Config!$B$9:$B$29,0))&amp;"",""))</f>
        <v/>
      </c>
    </row>
    <row r="2412">
      <c r="R2412" s="20" t="str">
        <f>IF($B2412="","",IFERROR(IF(INDEX(Config!$D$9:$D$29,MATCH($B2412,Config!$B$9:$B$29,0))="Contrato",IF(INDEX(Config!$E$9:$E$29,MATCH($B2412,Config!$B$9:$B$29,0))="","",INDEX(Config!$E$9:$E$29,MATCH($B2412,Config!$B$9:$B$29,0))),""),""))</f>
        <v/>
      </c>
      <c r="AC2412" s="19" t="str">
        <f>IF($B2412="","",IFERROR(INDEX(Config!$D$9:$D$29,MATCH($B2412,Config!$B$9:$B$29,0))&amp;"",""))</f>
        <v/>
      </c>
    </row>
    <row r="2413">
      <c r="R2413" s="20" t="str">
        <f>IF($B2413="","",IFERROR(IF(INDEX(Config!$D$9:$D$29,MATCH($B2413,Config!$B$9:$B$29,0))="Contrato",IF(INDEX(Config!$E$9:$E$29,MATCH($B2413,Config!$B$9:$B$29,0))="","",INDEX(Config!$E$9:$E$29,MATCH($B2413,Config!$B$9:$B$29,0))),""),""))</f>
        <v/>
      </c>
      <c r="AC2413" s="19" t="str">
        <f>IF($B2413="","",IFERROR(INDEX(Config!$D$9:$D$29,MATCH($B2413,Config!$B$9:$B$29,0))&amp;"",""))</f>
        <v/>
      </c>
    </row>
    <row r="2414">
      <c r="R2414" s="20" t="str">
        <f>IF($B2414="","",IFERROR(IF(INDEX(Config!$D$9:$D$29,MATCH($B2414,Config!$B$9:$B$29,0))="Contrato",IF(INDEX(Config!$E$9:$E$29,MATCH($B2414,Config!$B$9:$B$29,0))="","",INDEX(Config!$E$9:$E$29,MATCH($B2414,Config!$B$9:$B$29,0))),""),""))</f>
        <v/>
      </c>
      <c r="AC2414" s="19" t="str">
        <f>IF($B2414="","",IFERROR(INDEX(Config!$D$9:$D$29,MATCH($B2414,Config!$B$9:$B$29,0))&amp;"",""))</f>
        <v/>
      </c>
    </row>
    <row r="2415">
      <c r="R2415" s="20" t="str">
        <f>IF($B2415="","",IFERROR(IF(INDEX(Config!$D$9:$D$29,MATCH($B2415,Config!$B$9:$B$29,0))="Contrato",IF(INDEX(Config!$E$9:$E$29,MATCH($B2415,Config!$B$9:$B$29,0))="","",INDEX(Config!$E$9:$E$29,MATCH($B2415,Config!$B$9:$B$29,0))),""),""))</f>
        <v/>
      </c>
      <c r="AC2415" s="19" t="str">
        <f>IF($B2415="","",IFERROR(INDEX(Config!$D$9:$D$29,MATCH($B2415,Config!$B$9:$B$29,0))&amp;"",""))</f>
        <v/>
      </c>
    </row>
    <row r="2416">
      <c r="R2416" s="20" t="str">
        <f>IF($B2416="","",IFERROR(IF(INDEX(Config!$D$9:$D$29,MATCH($B2416,Config!$B$9:$B$29,0))="Contrato",IF(INDEX(Config!$E$9:$E$29,MATCH($B2416,Config!$B$9:$B$29,0))="","",INDEX(Config!$E$9:$E$29,MATCH($B2416,Config!$B$9:$B$29,0))),""),""))</f>
        <v/>
      </c>
      <c r="AC2416" s="19" t="str">
        <f>IF($B2416="","",IFERROR(INDEX(Config!$D$9:$D$29,MATCH($B2416,Config!$B$9:$B$29,0))&amp;"",""))</f>
        <v/>
      </c>
    </row>
    <row r="2417">
      <c r="R2417" s="20" t="str">
        <f>IF($B2417="","",IFERROR(IF(INDEX(Config!$D$9:$D$29,MATCH($B2417,Config!$B$9:$B$29,0))="Contrato",IF(INDEX(Config!$E$9:$E$29,MATCH($B2417,Config!$B$9:$B$29,0))="","",INDEX(Config!$E$9:$E$29,MATCH($B2417,Config!$B$9:$B$29,0))),""),""))</f>
        <v/>
      </c>
      <c r="AC2417" s="19" t="str">
        <f>IF($B2417="","",IFERROR(INDEX(Config!$D$9:$D$29,MATCH($B2417,Config!$B$9:$B$29,0))&amp;"",""))</f>
        <v/>
      </c>
    </row>
    <row r="2418">
      <c r="R2418" s="20" t="str">
        <f>IF($B2418="","",IFERROR(IF(INDEX(Config!$D$9:$D$29,MATCH($B2418,Config!$B$9:$B$29,0))="Contrato",IF(INDEX(Config!$E$9:$E$29,MATCH($B2418,Config!$B$9:$B$29,0))="","",INDEX(Config!$E$9:$E$29,MATCH($B2418,Config!$B$9:$B$29,0))),""),""))</f>
        <v/>
      </c>
      <c r="AC2418" s="19" t="str">
        <f>IF($B2418="","",IFERROR(INDEX(Config!$D$9:$D$29,MATCH($B2418,Config!$B$9:$B$29,0))&amp;"",""))</f>
        <v/>
      </c>
    </row>
    <row r="2419">
      <c r="R2419" s="20" t="str">
        <f>IF($B2419="","",IFERROR(IF(INDEX(Config!$D$9:$D$29,MATCH($B2419,Config!$B$9:$B$29,0))="Contrato",IF(INDEX(Config!$E$9:$E$29,MATCH($B2419,Config!$B$9:$B$29,0))="","",INDEX(Config!$E$9:$E$29,MATCH($B2419,Config!$B$9:$B$29,0))),""),""))</f>
        <v/>
      </c>
      <c r="AC2419" s="19" t="str">
        <f>IF($B2419="","",IFERROR(INDEX(Config!$D$9:$D$29,MATCH($B2419,Config!$B$9:$B$29,0))&amp;"",""))</f>
        <v/>
      </c>
    </row>
    <row r="2420">
      <c r="R2420" s="20" t="str">
        <f>IF($B2420="","",IFERROR(IF(INDEX(Config!$D$9:$D$29,MATCH($B2420,Config!$B$9:$B$29,0))="Contrato",IF(INDEX(Config!$E$9:$E$29,MATCH($B2420,Config!$B$9:$B$29,0))="","",INDEX(Config!$E$9:$E$29,MATCH($B2420,Config!$B$9:$B$29,0))),""),""))</f>
        <v/>
      </c>
      <c r="AC2420" s="19" t="str">
        <f>IF($B2420="","",IFERROR(INDEX(Config!$D$9:$D$29,MATCH($B2420,Config!$B$9:$B$29,0))&amp;"",""))</f>
        <v/>
      </c>
    </row>
    <row r="2421">
      <c r="R2421" s="20" t="str">
        <f>IF($B2421="","",IFERROR(IF(INDEX(Config!$D$9:$D$29,MATCH($B2421,Config!$B$9:$B$29,0))="Contrato",IF(INDEX(Config!$E$9:$E$29,MATCH($B2421,Config!$B$9:$B$29,0))="","",INDEX(Config!$E$9:$E$29,MATCH($B2421,Config!$B$9:$B$29,0))),""),""))</f>
        <v/>
      </c>
      <c r="AC2421" s="19" t="str">
        <f>IF($B2421="","",IFERROR(INDEX(Config!$D$9:$D$29,MATCH($B2421,Config!$B$9:$B$29,0))&amp;"",""))</f>
        <v/>
      </c>
    </row>
    <row r="2422">
      <c r="R2422" s="20" t="str">
        <f>IF($B2422="","",IFERROR(IF(INDEX(Config!$D$9:$D$29,MATCH($B2422,Config!$B$9:$B$29,0))="Contrato",IF(INDEX(Config!$E$9:$E$29,MATCH($B2422,Config!$B$9:$B$29,0))="","",INDEX(Config!$E$9:$E$29,MATCH($B2422,Config!$B$9:$B$29,0))),""),""))</f>
        <v/>
      </c>
      <c r="AC2422" s="19" t="str">
        <f>IF($B2422="","",IFERROR(INDEX(Config!$D$9:$D$29,MATCH($B2422,Config!$B$9:$B$29,0))&amp;"",""))</f>
        <v/>
      </c>
    </row>
    <row r="2423">
      <c r="R2423" s="20" t="str">
        <f>IF($B2423="","",IFERROR(IF(INDEX(Config!$D$9:$D$29,MATCH($B2423,Config!$B$9:$B$29,0))="Contrato",IF(INDEX(Config!$E$9:$E$29,MATCH($B2423,Config!$B$9:$B$29,0))="","",INDEX(Config!$E$9:$E$29,MATCH($B2423,Config!$B$9:$B$29,0))),""),""))</f>
        <v/>
      </c>
      <c r="AC2423" s="19" t="str">
        <f>IF($B2423="","",IFERROR(INDEX(Config!$D$9:$D$29,MATCH($B2423,Config!$B$9:$B$29,0))&amp;"",""))</f>
        <v/>
      </c>
    </row>
    <row r="2424">
      <c r="R2424" s="20" t="str">
        <f>IF($B2424="","",IFERROR(IF(INDEX(Config!$D$9:$D$29,MATCH($B2424,Config!$B$9:$B$29,0))="Contrato",IF(INDEX(Config!$E$9:$E$29,MATCH($B2424,Config!$B$9:$B$29,0))="","",INDEX(Config!$E$9:$E$29,MATCH($B2424,Config!$B$9:$B$29,0))),""),""))</f>
        <v/>
      </c>
      <c r="AC2424" s="19" t="str">
        <f>IF($B2424="","",IFERROR(INDEX(Config!$D$9:$D$29,MATCH($B2424,Config!$B$9:$B$29,0))&amp;"",""))</f>
        <v/>
      </c>
    </row>
    <row r="2425">
      <c r="R2425" s="20" t="str">
        <f>IF($B2425="","",IFERROR(IF(INDEX(Config!$D$9:$D$29,MATCH($B2425,Config!$B$9:$B$29,0))="Contrato",IF(INDEX(Config!$E$9:$E$29,MATCH($B2425,Config!$B$9:$B$29,0))="","",INDEX(Config!$E$9:$E$29,MATCH($B2425,Config!$B$9:$B$29,0))),""),""))</f>
        <v/>
      </c>
      <c r="AC2425" s="19" t="str">
        <f>IF($B2425="","",IFERROR(INDEX(Config!$D$9:$D$29,MATCH($B2425,Config!$B$9:$B$29,0))&amp;"",""))</f>
        <v/>
      </c>
    </row>
    <row r="2426">
      <c r="R2426" s="20" t="str">
        <f>IF($B2426="","",IFERROR(IF(INDEX(Config!$D$9:$D$29,MATCH($B2426,Config!$B$9:$B$29,0))="Contrato",IF(INDEX(Config!$E$9:$E$29,MATCH($B2426,Config!$B$9:$B$29,0))="","",INDEX(Config!$E$9:$E$29,MATCH($B2426,Config!$B$9:$B$29,0))),""),""))</f>
        <v/>
      </c>
      <c r="AC2426" s="19" t="str">
        <f>IF($B2426="","",IFERROR(INDEX(Config!$D$9:$D$29,MATCH($B2426,Config!$B$9:$B$29,0))&amp;"",""))</f>
        <v/>
      </c>
    </row>
    <row r="2427">
      <c r="R2427" s="20" t="str">
        <f>IF($B2427="","",IFERROR(IF(INDEX(Config!$D$9:$D$29,MATCH($B2427,Config!$B$9:$B$29,0))="Contrato",IF(INDEX(Config!$E$9:$E$29,MATCH($B2427,Config!$B$9:$B$29,0))="","",INDEX(Config!$E$9:$E$29,MATCH($B2427,Config!$B$9:$B$29,0))),""),""))</f>
        <v/>
      </c>
      <c r="AC2427" s="19" t="str">
        <f>IF($B2427="","",IFERROR(INDEX(Config!$D$9:$D$29,MATCH($B2427,Config!$B$9:$B$29,0))&amp;"",""))</f>
        <v/>
      </c>
    </row>
    <row r="2428">
      <c r="R2428" s="20" t="str">
        <f>IF($B2428="","",IFERROR(IF(INDEX(Config!$D$9:$D$29,MATCH($B2428,Config!$B$9:$B$29,0))="Contrato",IF(INDEX(Config!$E$9:$E$29,MATCH($B2428,Config!$B$9:$B$29,0))="","",INDEX(Config!$E$9:$E$29,MATCH($B2428,Config!$B$9:$B$29,0))),""),""))</f>
        <v/>
      </c>
      <c r="AC2428" s="19" t="str">
        <f>IF($B2428="","",IFERROR(INDEX(Config!$D$9:$D$29,MATCH($B2428,Config!$B$9:$B$29,0))&amp;"",""))</f>
        <v/>
      </c>
    </row>
    <row r="2429">
      <c r="R2429" s="20" t="str">
        <f>IF($B2429="","",IFERROR(IF(INDEX(Config!$D$9:$D$29,MATCH($B2429,Config!$B$9:$B$29,0))="Contrato",IF(INDEX(Config!$E$9:$E$29,MATCH($B2429,Config!$B$9:$B$29,0))="","",INDEX(Config!$E$9:$E$29,MATCH($B2429,Config!$B$9:$B$29,0))),""),""))</f>
        <v/>
      </c>
      <c r="AC2429" s="19" t="str">
        <f>IF($B2429="","",IFERROR(INDEX(Config!$D$9:$D$29,MATCH($B2429,Config!$B$9:$B$29,0))&amp;"",""))</f>
        <v/>
      </c>
    </row>
    <row r="2430">
      <c r="R2430" s="20" t="str">
        <f>IF($B2430="","",IFERROR(IF(INDEX(Config!$D$9:$D$29,MATCH($B2430,Config!$B$9:$B$29,0))="Contrato",IF(INDEX(Config!$E$9:$E$29,MATCH($B2430,Config!$B$9:$B$29,0))="","",INDEX(Config!$E$9:$E$29,MATCH($B2430,Config!$B$9:$B$29,0))),""),""))</f>
        <v/>
      </c>
      <c r="AC2430" s="19" t="str">
        <f>IF($B2430="","",IFERROR(INDEX(Config!$D$9:$D$29,MATCH($B2430,Config!$B$9:$B$29,0))&amp;"",""))</f>
        <v/>
      </c>
    </row>
    <row r="2431">
      <c r="R2431" s="20" t="str">
        <f>IF($B2431="","",IFERROR(IF(INDEX(Config!$D$9:$D$29,MATCH($B2431,Config!$B$9:$B$29,0))="Contrato",IF(INDEX(Config!$E$9:$E$29,MATCH($B2431,Config!$B$9:$B$29,0))="","",INDEX(Config!$E$9:$E$29,MATCH($B2431,Config!$B$9:$B$29,0))),""),""))</f>
        <v/>
      </c>
      <c r="AC2431" s="19" t="str">
        <f>IF($B2431="","",IFERROR(INDEX(Config!$D$9:$D$29,MATCH($B2431,Config!$B$9:$B$29,0))&amp;"",""))</f>
        <v/>
      </c>
    </row>
    <row r="2432">
      <c r="R2432" s="20" t="str">
        <f>IF($B2432="","",IFERROR(IF(INDEX(Config!$D$9:$D$29,MATCH($B2432,Config!$B$9:$B$29,0))="Contrato",IF(INDEX(Config!$E$9:$E$29,MATCH($B2432,Config!$B$9:$B$29,0))="","",INDEX(Config!$E$9:$E$29,MATCH($B2432,Config!$B$9:$B$29,0))),""),""))</f>
        <v/>
      </c>
      <c r="AC2432" s="19" t="str">
        <f>IF($B2432="","",IFERROR(INDEX(Config!$D$9:$D$29,MATCH($B2432,Config!$B$9:$B$29,0))&amp;"",""))</f>
        <v/>
      </c>
    </row>
    <row r="2433">
      <c r="R2433" s="20" t="str">
        <f>IF($B2433="","",IFERROR(IF(INDEX(Config!$D$9:$D$29,MATCH($B2433,Config!$B$9:$B$29,0))="Contrato",IF(INDEX(Config!$E$9:$E$29,MATCH($B2433,Config!$B$9:$B$29,0))="","",INDEX(Config!$E$9:$E$29,MATCH($B2433,Config!$B$9:$B$29,0))),""),""))</f>
        <v/>
      </c>
      <c r="AC2433" s="19" t="str">
        <f>IF($B2433="","",IFERROR(INDEX(Config!$D$9:$D$29,MATCH($B2433,Config!$B$9:$B$29,0))&amp;"",""))</f>
        <v/>
      </c>
    </row>
    <row r="2434">
      <c r="R2434" s="20" t="str">
        <f>IF($B2434="","",IFERROR(IF(INDEX(Config!$D$9:$D$29,MATCH($B2434,Config!$B$9:$B$29,0))="Contrato",IF(INDEX(Config!$E$9:$E$29,MATCH($B2434,Config!$B$9:$B$29,0))="","",INDEX(Config!$E$9:$E$29,MATCH($B2434,Config!$B$9:$B$29,0))),""),""))</f>
        <v/>
      </c>
      <c r="AC2434" s="19" t="str">
        <f>IF($B2434="","",IFERROR(INDEX(Config!$D$9:$D$29,MATCH($B2434,Config!$B$9:$B$29,0))&amp;"",""))</f>
        <v/>
      </c>
    </row>
    <row r="2435">
      <c r="R2435" s="20" t="str">
        <f>IF($B2435="","",IFERROR(IF(INDEX(Config!$D$9:$D$29,MATCH($B2435,Config!$B$9:$B$29,0))="Contrato",IF(INDEX(Config!$E$9:$E$29,MATCH($B2435,Config!$B$9:$B$29,0))="","",INDEX(Config!$E$9:$E$29,MATCH($B2435,Config!$B$9:$B$29,0))),""),""))</f>
        <v/>
      </c>
      <c r="AC2435" s="19" t="str">
        <f>IF($B2435="","",IFERROR(INDEX(Config!$D$9:$D$29,MATCH($B2435,Config!$B$9:$B$29,0))&amp;"",""))</f>
        <v/>
      </c>
    </row>
    <row r="2436">
      <c r="R2436" s="20" t="str">
        <f>IF($B2436="","",IFERROR(IF(INDEX(Config!$D$9:$D$29,MATCH($B2436,Config!$B$9:$B$29,0))="Contrato",IF(INDEX(Config!$E$9:$E$29,MATCH($B2436,Config!$B$9:$B$29,0))="","",INDEX(Config!$E$9:$E$29,MATCH($B2436,Config!$B$9:$B$29,0))),""),""))</f>
        <v/>
      </c>
      <c r="AC2436" s="19" t="str">
        <f>IF($B2436="","",IFERROR(INDEX(Config!$D$9:$D$29,MATCH($B2436,Config!$B$9:$B$29,0))&amp;"",""))</f>
        <v/>
      </c>
    </row>
    <row r="2437">
      <c r="R2437" s="20" t="str">
        <f>IF($B2437="","",IFERROR(IF(INDEX(Config!$D$9:$D$29,MATCH($B2437,Config!$B$9:$B$29,0))="Contrato",IF(INDEX(Config!$E$9:$E$29,MATCH($B2437,Config!$B$9:$B$29,0))="","",INDEX(Config!$E$9:$E$29,MATCH($B2437,Config!$B$9:$B$29,0))),""),""))</f>
        <v/>
      </c>
      <c r="AC2437" s="19" t="str">
        <f>IF($B2437="","",IFERROR(INDEX(Config!$D$9:$D$29,MATCH($B2437,Config!$B$9:$B$29,0))&amp;"",""))</f>
        <v/>
      </c>
    </row>
    <row r="2438">
      <c r="R2438" s="20" t="str">
        <f>IF($B2438="","",IFERROR(IF(INDEX(Config!$D$9:$D$29,MATCH($B2438,Config!$B$9:$B$29,0))="Contrato",IF(INDEX(Config!$E$9:$E$29,MATCH($B2438,Config!$B$9:$B$29,0))="","",INDEX(Config!$E$9:$E$29,MATCH($B2438,Config!$B$9:$B$29,0))),""),""))</f>
        <v/>
      </c>
      <c r="AC2438" s="19" t="str">
        <f>IF($B2438="","",IFERROR(INDEX(Config!$D$9:$D$29,MATCH($B2438,Config!$B$9:$B$29,0))&amp;"",""))</f>
        <v/>
      </c>
    </row>
    <row r="2439">
      <c r="R2439" s="20" t="str">
        <f>IF($B2439="","",IFERROR(IF(INDEX(Config!$D$9:$D$29,MATCH($B2439,Config!$B$9:$B$29,0))="Contrato",IF(INDEX(Config!$E$9:$E$29,MATCH($B2439,Config!$B$9:$B$29,0))="","",INDEX(Config!$E$9:$E$29,MATCH($B2439,Config!$B$9:$B$29,0))),""),""))</f>
        <v/>
      </c>
      <c r="AC2439" s="19" t="str">
        <f>IF($B2439="","",IFERROR(INDEX(Config!$D$9:$D$29,MATCH($B2439,Config!$B$9:$B$29,0))&amp;"",""))</f>
        <v/>
      </c>
    </row>
    <row r="2440">
      <c r="R2440" s="20" t="str">
        <f>IF($B2440="","",IFERROR(IF(INDEX(Config!$D$9:$D$29,MATCH($B2440,Config!$B$9:$B$29,0))="Contrato",IF(INDEX(Config!$E$9:$E$29,MATCH($B2440,Config!$B$9:$B$29,0))="","",INDEX(Config!$E$9:$E$29,MATCH($B2440,Config!$B$9:$B$29,0))),""),""))</f>
        <v/>
      </c>
      <c r="AC2440" s="19" t="str">
        <f>IF($B2440="","",IFERROR(INDEX(Config!$D$9:$D$29,MATCH($B2440,Config!$B$9:$B$29,0))&amp;"",""))</f>
        <v/>
      </c>
    </row>
    <row r="2441">
      <c r="R2441" s="20" t="str">
        <f>IF($B2441="","",IFERROR(IF(INDEX(Config!$D$9:$D$29,MATCH($B2441,Config!$B$9:$B$29,0))="Contrato",IF(INDEX(Config!$E$9:$E$29,MATCH($B2441,Config!$B$9:$B$29,0))="","",INDEX(Config!$E$9:$E$29,MATCH($B2441,Config!$B$9:$B$29,0))),""),""))</f>
        <v/>
      </c>
      <c r="AC2441" s="19" t="str">
        <f>IF($B2441="","",IFERROR(INDEX(Config!$D$9:$D$29,MATCH($B2441,Config!$B$9:$B$29,0))&amp;"",""))</f>
        <v/>
      </c>
    </row>
    <row r="2442">
      <c r="R2442" s="20" t="str">
        <f>IF($B2442="","",IFERROR(IF(INDEX(Config!$D$9:$D$29,MATCH($B2442,Config!$B$9:$B$29,0))="Contrato",IF(INDEX(Config!$E$9:$E$29,MATCH($B2442,Config!$B$9:$B$29,0))="","",INDEX(Config!$E$9:$E$29,MATCH($B2442,Config!$B$9:$B$29,0))),""),""))</f>
        <v/>
      </c>
      <c r="AC2442" s="19" t="str">
        <f>IF($B2442="","",IFERROR(INDEX(Config!$D$9:$D$29,MATCH($B2442,Config!$B$9:$B$29,0))&amp;"",""))</f>
        <v/>
      </c>
    </row>
    <row r="2443">
      <c r="R2443" s="20" t="str">
        <f>IF($B2443="","",IFERROR(IF(INDEX(Config!$D$9:$D$29,MATCH($B2443,Config!$B$9:$B$29,0))="Contrato",IF(INDEX(Config!$E$9:$E$29,MATCH($B2443,Config!$B$9:$B$29,0))="","",INDEX(Config!$E$9:$E$29,MATCH($B2443,Config!$B$9:$B$29,0))),""),""))</f>
        <v/>
      </c>
      <c r="AC2443" s="19" t="str">
        <f>IF($B2443="","",IFERROR(INDEX(Config!$D$9:$D$29,MATCH($B2443,Config!$B$9:$B$29,0))&amp;"",""))</f>
        <v/>
      </c>
    </row>
    <row r="2444">
      <c r="R2444" s="20" t="str">
        <f>IF($B2444="","",IFERROR(IF(INDEX(Config!$D$9:$D$29,MATCH($B2444,Config!$B$9:$B$29,0))="Contrato",IF(INDEX(Config!$E$9:$E$29,MATCH($B2444,Config!$B$9:$B$29,0))="","",INDEX(Config!$E$9:$E$29,MATCH($B2444,Config!$B$9:$B$29,0))),""),""))</f>
        <v/>
      </c>
      <c r="AC2444" s="19" t="str">
        <f>IF($B2444="","",IFERROR(INDEX(Config!$D$9:$D$29,MATCH($B2444,Config!$B$9:$B$29,0))&amp;"",""))</f>
        <v/>
      </c>
    </row>
    <row r="2445">
      <c r="R2445" s="20" t="str">
        <f>IF($B2445="","",IFERROR(IF(INDEX(Config!$D$9:$D$29,MATCH($B2445,Config!$B$9:$B$29,0))="Contrato",IF(INDEX(Config!$E$9:$E$29,MATCH($B2445,Config!$B$9:$B$29,0))="","",INDEX(Config!$E$9:$E$29,MATCH($B2445,Config!$B$9:$B$29,0))),""),""))</f>
        <v/>
      </c>
      <c r="AC2445" s="19" t="str">
        <f>IF($B2445="","",IFERROR(INDEX(Config!$D$9:$D$29,MATCH($B2445,Config!$B$9:$B$29,0))&amp;"",""))</f>
        <v/>
      </c>
    </row>
    <row r="2446">
      <c r="R2446" s="20" t="str">
        <f>IF($B2446="","",IFERROR(IF(INDEX(Config!$D$9:$D$29,MATCH($B2446,Config!$B$9:$B$29,0))="Contrato",IF(INDEX(Config!$E$9:$E$29,MATCH($B2446,Config!$B$9:$B$29,0))="","",INDEX(Config!$E$9:$E$29,MATCH($B2446,Config!$B$9:$B$29,0))),""),""))</f>
        <v/>
      </c>
      <c r="AC2446" s="19" t="str">
        <f>IF($B2446="","",IFERROR(INDEX(Config!$D$9:$D$29,MATCH($B2446,Config!$B$9:$B$29,0))&amp;"",""))</f>
        <v/>
      </c>
    </row>
    <row r="2447">
      <c r="R2447" s="20" t="str">
        <f>IF($B2447="","",IFERROR(IF(INDEX(Config!$D$9:$D$29,MATCH($B2447,Config!$B$9:$B$29,0))="Contrato",IF(INDEX(Config!$E$9:$E$29,MATCH($B2447,Config!$B$9:$B$29,0))="","",INDEX(Config!$E$9:$E$29,MATCH($B2447,Config!$B$9:$B$29,0))),""),""))</f>
        <v/>
      </c>
      <c r="AC2447" s="19" t="str">
        <f>IF($B2447="","",IFERROR(INDEX(Config!$D$9:$D$29,MATCH($B2447,Config!$B$9:$B$29,0))&amp;"",""))</f>
        <v/>
      </c>
    </row>
    <row r="2448">
      <c r="R2448" s="20" t="str">
        <f>IF($B2448="","",IFERROR(IF(INDEX(Config!$D$9:$D$29,MATCH($B2448,Config!$B$9:$B$29,0))="Contrato",IF(INDEX(Config!$E$9:$E$29,MATCH($B2448,Config!$B$9:$B$29,0))="","",INDEX(Config!$E$9:$E$29,MATCH($B2448,Config!$B$9:$B$29,0))),""),""))</f>
        <v/>
      </c>
      <c r="AC2448" s="19" t="str">
        <f>IF($B2448="","",IFERROR(INDEX(Config!$D$9:$D$29,MATCH($B2448,Config!$B$9:$B$29,0))&amp;"",""))</f>
        <v/>
      </c>
    </row>
    <row r="2449">
      <c r="R2449" s="20" t="str">
        <f>IF($B2449="","",IFERROR(IF(INDEX(Config!$D$9:$D$29,MATCH($B2449,Config!$B$9:$B$29,0))="Contrato",IF(INDEX(Config!$E$9:$E$29,MATCH($B2449,Config!$B$9:$B$29,0))="","",INDEX(Config!$E$9:$E$29,MATCH($B2449,Config!$B$9:$B$29,0))),""),""))</f>
        <v/>
      </c>
      <c r="AC2449" s="19" t="str">
        <f>IF($B2449="","",IFERROR(INDEX(Config!$D$9:$D$29,MATCH($B2449,Config!$B$9:$B$29,0))&amp;"",""))</f>
        <v/>
      </c>
    </row>
    <row r="2450">
      <c r="R2450" s="20" t="str">
        <f>IF($B2450="","",IFERROR(IF(INDEX(Config!$D$9:$D$29,MATCH($B2450,Config!$B$9:$B$29,0))="Contrato",IF(INDEX(Config!$E$9:$E$29,MATCH($B2450,Config!$B$9:$B$29,0))="","",INDEX(Config!$E$9:$E$29,MATCH($B2450,Config!$B$9:$B$29,0))),""),""))</f>
        <v/>
      </c>
      <c r="AC2450" s="19" t="str">
        <f>IF($B2450="","",IFERROR(INDEX(Config!$D$9:$D$29,MATCH($B2450,Config!$B$9:$B$29,0))&amp;"",""))</f>
        <v/>
      </c>
    </row>
    <row r="2451">
      <c r="R2451" s="20" t="str">
        <f>IF($B2451="","",IFERROR(IF(INDEX(Config!$D$9:$D$29,MATCH($B2451,Config!$B$9:$B$29,0))="Contrato",IF(INDEX(Config!$E$9:$E$29,MATCH($B2451,Config!$B$9:$B$29,0))="","",INDEX(Config!$E$9:$E$29,MATCH($B2451,Config!$B$9:$B$29,0))),""),""))</f>
        <v/>
      </c>
      <c r="AC2451" s="19" t="str">
        <f>IF($B2451="","",IFERROR(INDEX(Config!$D$9:$D$29,MATCH($B2451,Config!$B$9:$B$29,0))&amp;"",""))</f>
        <v/>
      </c>
    </row>
    <row r="2452">
      <c r="R2452" s="20" t="str">
        <f>IF($B2452="","",IFERROR(IF(INDEX(Config!$D$9:$D$29,MATCH($B2452,Config!$B$9:$B$29,0))="Contrato",IF(INDEX(Config!$E$9:$E$29,MATCH($B2452,Config!$B$9:$B$29,0))="","",INDEX(Config!$E$9:$E$29,MATCH($B2452,Config!$B$9:$B$29,0))),""),""))</f>
        <v/>
      </c>
      <c r="AC2452" s="19" t="str">
        <f>IF($B2452="","",IFERROR(INDEX(Config!$D$9:$D$29,MATCH($B2452,Config!$B$9:$B$29,0))&amp;"",""))</f>
        <v/>
      </c>
    </row>
    <row r="2453">
      <c r="R2453" s="20" t="str">
        <f>IF($B2453="","",IFERROR(IF(INDEX(Config!$D$9:$D$29,MATCH($B2453,Config!$B$9:$B$29,0))="Contrato",IF(INDEX(Config!$E$9:$E$29,MATCH($B2453,Config!$B$9:$B$29,0))="","",INDEX(Config!$E$9:$E$29,MATCH($B2453,Config!$B$9:$B$29,0))),""),""))</f>
        <v/>
      </c>
      <c r="AC2453" s="19" t="str">
        <f>IF($B2453="","",IFERROR(INDEX(Config!$D$9:$D$29,MATCH($B2453,Config!$B$9:$B$29,0))&amp;"",""))</f>
        <v/>
      </c>
    </row>
    <row r="2454">
      <c r="R2454" s="20" t="str">
        <f>IF($B2454="","",IFERROR(IF(INDEX(Config!$D$9:$D$29,MATCH($B2454,Config!$B$9:$B$29,0))="Contrato",IF(INDEX(Config!$E$9:$E$29,MATCH($B2454,Config!$B$9:$B$29,0))="","",INDEX(Config!$E$9:$E$29,MATCH($B2454,Config!$B$9:$B$29,0))),""),""))</f>
        <v/>
      </c>
      <c r="AC2454" s="19" t="str">
        <f>IF($B2454="","",IFERROR(INDEX(Config!$D$9:$D$29,MATCH($B2454,Config!$B$9:$B$29,0))&amp;"",""))</f>
        <v/>
      </c>
    </row>
    <row r="2455">
      <c r="R2455" s="20" t="str">
        <f>IF($B2455="","",IFERROR(IF(INDEX(Config!$D$9:$D$29,MATCH($B2455,Config!$B$9:$B$29,0))="Contrato",IF(INDEX(Config!$E$9:$E$29,MATCH($B2455,Config!$B$9:$B$29,0))="","",INDEX(Config!$E$9:$E$29,MATCH($B2455,Config!$B$9:$B$29,0))),""),""))</f>
        <v/>
      </c>
      <c r="AC2455" s="19" t="str">
        <f>IF($B2455="","",IFERROR(INDEX(Config!$D$9:$D$29,MATCH($B2455,Config!$B$9:$B$29,0))&amp;"",""))</f>
        <v/>
      </c>
    </row>
    <row r="2456">
      <c r="R2456" s="20" t="str">
        <f>IF($B2456="","",IFERROR(IF(INDEX(Config!$D$9:$D$29,MATCH($B2456,Config!$B$9:$B$29,0))="Contrato",IF(INDEX(Config!$E$9:$E$29,MATCH($B2456,Config!$B$9:$B$29,0))="","",INDEX(Config!$E$9:$E$29,MATCH($B2456,Config!$B$9:$B$29,0))),""),""))</f>
        <v/>
      </c>
      <c r="AC2456" s="19" t="str">
        <f>IF($B2456="","",IFERROR(INDEX(Config!$D$9:$D$29,MATCH($B2456,Config!$B$9:$B$29,0))&amp;"",""))</f>
        <v/>
      </c>
    </row>
    <row r="2457">
      <c r="R2457" s="20" t="str">
        <f>IF($B2457="","",IFERROR(IF(INDEX(Config!$D$9:$D$29,MATCH($B2457,Config!$B$9:$B$29,0))="Contrato",IF(INDEX(Config!$E$9:$E$29,MATCH($B2457,Config!$B$9:$B$29,0))="","",INDEX(Config!$E$9:$E$29,MATCH($B2457,Config!$B$9:$B$29,0))),""),""))</f>
        <v/>
      </c>
      <c r="AC2457" s="19" t="str">
        <f>IF($B2457="","",IFERROR(INDEX(Config!$D$9:$D$29,MATCH($B2457,Config!$B$9:$B$29,0))&amp;"",""))</f>
        <v/>
      </c>
    </row>
    <row r="2458">
      <c r="R2458" s="20" t="str">
        <f>IF($B2458="","",IFERROR(IF(INDEX(Config!$D$9:$D$29,MATCH($B2458,Config!$B$9:$B$29,0))="Contrato",IF(INDEX(Config!$E$9:$E$29,MATCH($B2458,Config!$B$9:$B$29,0))="","",INDEX(Config!$E$9:$E$29,MATCH($B2458,Config!$B$9:$B$29,0))),""),""))</f>
        <v/>
      </c>
      <c r="AC2458" s="19" t="str">
        <f>IF($B2458="","",IFERROR(INDEX(Config!$D$9:$D$29,MATCH($B2458,Config!$B$9:$B$29,0))&amp;"",""))</f>
        <v/>
      </c>
    </row>
    <row r="2459">
      <c r="R2459" s="20" t="str">
        <f>IF($B2459="","",IFERROR(IF(INDEX(Config!$D$9:$D$29,MATCH($B2459,Config!$B$9:$B$29,0))="Contrato",IF(INDEX(Config!$E$9:$E$29,MATCH($B2459,Config!$B$9:$B$29,0))="","",INDEX(Config!$E$9:$E$29,MATCH($B2459,Config!$B$9:$B$29,0))),""),""))</f>
        <v/>
      </c>
      <c r="AC2459" s="19" t="str">
        <f>IF($B2459="","",IFERROR(INDEX(Config!$D$9:$D$29,MATCH($B2459,Config!$B$9:$B$29,0))&amp;"",""))</f>
        <v/>
      </c>
    </row>
    <row r="2460">
      <c r="R2460" s="20" t="str">
        <f>IF($B2460="","",IFERROR(IF(INDEX(Config!$D$9:$D$29,MATCH($B2460,Config!$B$9:$B$29,0))="Contrato",IF(INDEX(Config!$E$9:$E$29,MATCH($B2460,Config!$B$9:$B$29,0))="","",INDEX(Config!$E$9:$E$29,MATCH($B2460,Config!$B$9:$B$29,0))),""),""))</f>
        <v/>
      </c>
      <c r="AC2460" s="19" t="str">
        <f>IF($B2460="","",IFERROR(INDEX(Config!$D$9:$D$29,MATCH($B2460,Config!$B$9:$B$29,0))&amp;"",""))</f>
        <v/>
      </c>
    </row>
    <row r="2461">
      <c r="R2461" s="20" t="str">
        <f>IF($B2461="","",IFERROR(IF(INDEX(Config!$D$9:$D$29,MATCH($B2461,Config!$B$9:$B$29,0))="Contrato",IF(INDEX(Config!$E$9:$E$29,MATCH($B2461,Config!$B$9:$B$29,0))="","",INDEX(Config!$E$9:$E$29,MATCH($B2461,Config!$B$9:$B$29,0))),""),""))</f>
        <v/>
      </c>
      <c r="AC2461" s="19" t="str">
        <f>IF($B2461="","",IFERROR(INDEX(Config!$D$9:$D$29,MATCH($B2461,Config!$B$9:$B$29,0))&amp;"",""))</f>
        <v/>
      </c>
    </row>
    <row r="2462">
      <c r="R2462" s="20" t="str">
        <f>IF($B2462="","",IFERROR(IF(INDEX(Config!$D$9:$D$29,MATCH($B2462,Config!$B$9:$B$29,0))="Contrato",IF(INDEX(Config!$E$9:$E$29,MATCH($B2462,Config!$B$9:$B$29,0))="","",INDEX(Config!$E$9:$E$29,MATCH($B2462,Config!$B$9:$B$29,0))),""),""))</f>
        <v/>
      </c>
      <c r="AC2462" s="19" t="str">
        <f>IF($B2462="","",IFERROR(INDEX(Config!$D$9:$D$29,MATCH($B2462,Config!$B$9:$B$29,0))&amp;"",""))</f>
        <v/>
      </c>
    </row>
    <row r="2463">
      <c r="R2463" s="20" t="str">
        <f>IF($B2463="","",IFERROR(IF(INDEX(Config!$D$9:$D$29,MATCH($B2463,Config!$B$9:$B$29,0))="Contrato",IF(INDEX(Config!$E$9:$E$29,MATCH($B2463,Config!$B$9:$B$29,0))="","",INDEX(Config!$E$9:$E$29,MATCH($B2463,Config!$B$9:$B$29,0))),""),""))</f>
        <v/>
      </c>
      <c r="AC2463" s="19" t="str">
        <f>IF($B2463="","",IFERROR(INDEX(Config!$D$9:$D$29,MATCH($B2463,Config!$B$9:$B$29,0))&amp;"",""))</f>
        <v/>
      </c>
    </row>
    <row r="2464">
      <c r="R2464" s="20" t="str">
        <f>IF($B2464="","",IFERROR(IF(INDEX(Config!$D$9:$D$29,MATCH($B2464,Config!$B$9:$B$29,0))="Contrato",IF(INDEX(Config!$E$9:$E$29,MATCH($B2464,Config!$B$9:$B$29,0))="","",INDEX(Config!$E$9:$E$29,MATCH($B2464,Config!$B$9:$B$29,0))),""),""))</f>
        <v/>
      </c>
      <c r="AC2464" s="19" t="str">
        <f>IF($B2464="","",IFERROR(INDEX(Config!$D$9:$D$29,MATCH($B2464,Config!$B$9:$B$29,0))&amp;"",""))</f>
        <v/>
      </c>
    </row>
    <row r="2465">
      <c r="R2465" s="20" t="str">
        <f>IF($B2465="","",IFERROR(IF(INDEX(Config!$D$9:$D$29,MATCH($B2465,Config!$B$9:$B$29,0))="Contrato",IF(INDEX(Config!$E$9:$E$29,MATCH($B2465,Config!$B$9:$B$29,0))="","",INDEX(Config!$E$9:$E$29,MATCH($B2465,Config!$B$9:$B$29,0))),""),""))</f>
        <v/>
      </c>
      <c r="AC2465" s="19" t="str">
        <f>IF($B2465="","",IFERROR(INDEX(Config!$D$9:$D$29,MATCH($B2465,Config!$B$9:$B$29,0))&amp;"",""))</f>
        <v/>
      </c>
    </row>
    <row r="2466">
      <c r="R2466" s="20" t="str">
        <f>IF($B2466="","",IFERROR(IF(INDEX(Config!$D$9:$D$29,MATCH($B2466,Config!$B$9:$B$29,0))="Contrato",IF(INDEX(Config!$E$9:$E$29,MATCH($B2466,Config!$B$9:$B$29,0))="","",INDEX(Config!$E$9:$E$29,MATCH($B2466,Config!$B$9:$B$29,0))),""),""))</f>
        <v/>
      </c>
      <c r="AC2466" s="19" t="str">
        <f>IF($B2466="","",IFERROR(INDEX(Config!$D$9:$D$29,MATCH($B2466,Config!$B$9:$B$29,0))&amp;"",""))</f>
        <v/>
      </c>
    </row>
    <row r="2467">
      <c r="R2467" s="20" t="str">
        <f>IF($B2467="","",IFERROR(IF(INDEX(Config!$D$9:$D$29,MATCH($B2467,Config!$B$9:$B$29,0))="Contrato",IF(INDEX(Config!$E$9:$E$29,MATCH($B2467,Config!$B$9:$B$29,0))="","",INDEX(Config!$E$9:$E$29,MATCH($B2467,Config!$B$9:$B$29,0))),""),""))</f>
        <v/>
      </c>
      <c r="AC2467" s="19" t="str">
        <f>IF($B2467="","",IFERROR(INDEX(Config!$D$9:$D$29,MATCH($B2467,Config!$B$9:$B$29,0))&amp;"",""))</f>
        <v/>
      </c>
    </row>
    <row r="2468">
      <c r="R2468" s="20" t="str">
        <f>IF($B2468="","",IFERROR(IF(INDEX(Config!$D$9:$D$29,MATCH($B2468,Config!$B$9:$B$29,0))="Contrato",IF(INDEX(Config!$E$9:$E$29,MATCH($B2468,Config!$B$9:$B$29,0))="","",INDEX(Config!$E$9:$E$29,MATCH($B2468,Config!$B$9:$B$29,0))),""),""))</f>
        <v/>
      </c>
      <c r="AC2468" s="19" t="str">
        <f>IF($B2468="","",IFERROR(INDEX(Config!$D$9:$D$29,MATCH($B2468,Config!$B$9:$B$29,0))&amp;"",""))</f>
        <v/>
      </c>
    </row>
    <row r="2469">
      <c r="R2469" s="20" t="str">
        <f>IF($B2469="","",IFERROR(IF(INDEX(Config!$D$9:$D$29,MATCH($B2469,Config!$B$9:$B$29,0))="Contrato",IF(INDEX(Config!$E$9:$E$29,MATCH($B2469,Config!$B$9:$B$29,0))="","",INDEX(Config!$E$9:$E$29,MATCH($B2469,Config!$B$9:$B$29,0))),""),""))</f>
        <v/>
      </c>
      <c r="AC2469" s="19" t="str">
        <f>IF($B2469="","",IFERROR(INDEX(Config!$D$9:$D$29,MATCH($B2469,Config!$B$9:$B$29,0))&amp;"",""))</f>
        <v/>
      </c>
    </row>
    <row r="2470">
      <c r="R2470" s="20" t="str">
        <f>IF($B2470="","",IFERROR(IF(INDEX(Config!$D$9:$D$29,MATCH($B2470,Config!$B$9:$B$29,0))="Contrato",IF(INDEX(Config!$E$9:$E$29,MATCH($B2470,Config!$B$9:$B$29,0))="","",INDEX(Config!$E$9:$E$29,MATCH($B2470,Config!$B$9:$B$29,0))),""),""))</f>
        <v/>
      </c>
      <c r="AC2470" s="19" t="str">
        <f>IF($B2470="","",IFERROR(INDEX(Config!$D$9:$D$29,MATCH($B2470,Config!$B$9:$B$29,0))&amp;"",""))</f>
        <v/>
      </c>
    </row>
    <row r="2471">
      <c r="R2471" s="20" t="str">
        <f>IF($B2471="","",IFERROR(IF(INDEX(Config!$D$9:$D$29,MATCH($B2471,Config!$B$9:$B$29,0))="Contrato",IF(INDEX(Config!$E$9:$E$29,MATCH($B2471,Config!$B$9:$B$29,0))="","",INDEX(Config!$E$9:$E$29,MATCH($B2471,Config!$B$9:$B$29,0))),""),""))</f>
        <v/>
      </c>
      <c r="AC2471" s="19" t="str">
        <f>IF($B2471="","",IFERROR(INDEX(Config!$D$9:$D$29,MATCH($B2471,Config!$B$9:$B$29,0))&amp;"",""))</f>
        <v/>
      </c>
    </row>
    <row r="2472">
      <c r="R2472" s="20" t="str">
        <f>IF($B2472="","",IFERROR(IF(INDEX(Config!$D$9:$D$29,MATCH($B2472,Config!$B$9:$B$29,0))="Contrato",IF(INDEX(Config!$E$9:$E$29,MATCH($B2472,Config!$B$9:$B$29,0))="","",INDEX(Config!$E$9:$E$29,MATCH($B2472,Config!$B$9:$B$29,0))),""),""))</f>
        <v/>
      </c>
      <c r="AC2472" s="19" t="str">
        <f>IF($B2472="","",IFERROR(INDEX(Config!$D$9:$D$29,MATCH($B2472,Config!$B$9:$B$29,0))&amp;"",""))</f>
        <v/>
      </c>
    </row>
    <row r="2473">
      <c r="R2473" s="20" t="str">
        <f>IF($B2473="","",IFERROR(IF(INDEX(Config!$D$9:$D$29,MATCH($B2473,Config!$B$9:$B$29,0))="Contrato",IF(INDEX(Config!$E$9:$E$29,MATCH($B2473,Config!$B$9:$B$29,0))="","",INDEX(Config!$E$9:$E$29,MATCH($B2473,Config!$B$9:$B$29,0))),""),""))</f>
        <v/>
      </c>
      <c r="AC2473" s="19" t="str">
        <f>IF($B2473="","",IFERROR(INDEX(Config!$D$9:$D$29,MATCH($B2473,Config!$B$9:$B$29,0))&amp;"",""))</f>
        <v/>
      </c>
    </row>
    <row r="2474">
      <c r="R2474" s="20" t="str">
        <f>IF($B2474="","",IFERROR(IF(INDEX(Config!$D$9:$D$29,MATCH($B2474,Config!$B$9:$B$29,0))="Contrato",IF(INDEX(Config!$E$9:$E$29,MATCH($B2474,Config!$B$9:$B$29,0))="","",INDEX(Config!$E$9:$E$29,MATCH($B2474,Config!$B$9:$B$29,0))),""),""))</f>
        <v/>
      </c>
      <c r="AC2474" s="19" t="str">
        <f>IF($B2474="","",IFERROR(INDEX(Config!$D$9:$D$29,MATCH($B2474,Config!$B$9:$B$29,0))&amp;"",""))</f>
        <v/>
      </c>
    </row>
    <row r="2475">
      <c r="R2475" s="20" t="str">
        <f>IF($B2475="","",IFERROR(IF(INDEX(Config!$D$9:$D$29,MATCH($B2475,Config!$B$9:$B$29,0))="Contrato",IF(INDEX(Config!$E$9:$E$29,MATCH($B2475,Config!$B$9:$B$29,0))="","",INDEX(Config!$E$9:$E$29,MATCH($B2475,Config!$B$9:$B$29,0))),""),""))</f>
        <v/>
      </c>
      <c r="AC2475" s="19" t="str">
        <f>IF($B2475="","",IFERROR(INDEX(Config!$D$9:$D$29,MATCH($B2475,Config!$B$9:$B$29,0))&amp;"",""))</f>
        <v/>
      </c>
    </row>
    <row r="2476">
      <c r="R2476" s="20" t="str">
        <f>IF($B2476="","",IFERROR(IF(INDEX(Config!$D$9:$D$29,MATCH($B2476,Config!$B$9:$B$29,0))="Contrato",IF(INDEX(Config!$E$9:$E$29,MATCH($B2476,Config!$B$9:$B$29,0))="","",INDEX(Config!$E$9:$E$29,MATCH($B2476,Config!$B$9:$B$29,0))),""),""))</f>
        <v/>
      </c>
      <c r="AC2476" s="19" t="str">
        <f>IF($B2476="","",IFERROR(INDEX(Config!$D$9:$D$29,MATCH($B2476,Config!$B$9:$B$29,0))&amp;"",""))</f>
        <v/>
      </c>
    </row>
    <row r="2477">
      <c r="R2477" s="20" t="str">
        <f>IF($B2477="","",IFERROR(IF(INDEX(Config!$D$9:$D$29,MATCH($B2477,Config!$B$9:$B$29,0))="Contrato",IF(INDEX(Config!$E$9:$E$29,MATCH($B2477,Config!$B$9:$B$29,0))="","",INDEX(Config!$E$9:$E$29,MATCH($B2477,Config!$B$9:$B$29,0))),""),""))</f>
        <v/>
      </c>
      <c r="AC2477" s="19" t="str">
        <f>IF($B2477="","",IFERROR(INDEX(Config!$D$9:$D$29,MATCH($B2477,Config!$B$9:$B$29,0))&amp;"",""))</f>
        <v/>
      </c>
    </row>
    <row r="2478">
      <c r="R2478" s="20" t="str">
        <f>IF($B2478="","",IFERROR(IF(INDEX(Config!$D$9:$D$29,MATCH($B2478,Config!$B$9:$B$29,0))="Contrato",IF(INDEX(Config!$E$9:$E$29,MATCH($B2478,Config!$B$9:$B$29,0))="","",INDEX(Config!$E$9:$E$29,MATCH($B2478,Config!$B$9:$B$29,0))),""),""))</f>
        <v/>
      </c>
      <c r="AC2478" s="19" t="str">
        <f>IF($B2478="","",IFERROR(INDEX(Config!$D$9:$D$29,MATCH($B2478,Config!$B$9:$B$29,0))&amp;"",""))</f>
        <v/>
      </c>
    </row>
    <row r="2479">
      <c r="R2479" s="20" t="str">
        <f>IF($B2479="","",IFERROR(IF(INDEX(Config!$D$9:$D$29,MATCH($B2479,Config!$B$9:$B$29,0))="Contrato",IF(INDEX(Config!$E$9:$E$29,MATCH($B2479,Config!$B$9:$B$29,0))="","",INDEX(Config!$E$9:$E$29,MATCH($B2479,Config!$B$9:$B$29,0))),""),""))</f>
        <v/>
      </c>
      <c r="AC2479" s="19" t="str">
        <f>IF($B2479="","",IFERROR(INDEX(Config!$D$9:$D$29,MATCH($B2479,Config!$B$9:$B$29,0))&amp;"",""))</f>
        <v/>
      </c>
    </row>
    <row r="2480">
      <c r="R2480" s="20" t="str">
        <f>IF($B2480="","",IFERROR(IF(INDEX(Config!$D$9:$D$29,MATCH($B2480,Config!$B$9:$B$29,0))="Contrato",IF(INDEX(Config!$E$9:$E$29,MATCH($B2480,Config!$B$9:$B$29,0))="","",INDEX(Config!$E$9:$E$29,MATCH($B2480,Config!$B$9:$B$29,0))),""),""))</f>
        <v/>
      </c>
      <c r="AC2480" s="19" t="str">
        <f>IF($B2480="","",IFERROR(INDEX(Config!$D$9:$D$29,MATCH($B2480,Config!$B$9:$B$29,0))&amp;"",""))</f>
        <v/>
      </c>
    </row>
    <row r="2481">
      <c r="R2481" s="20" t="str">
        <f>IF($B2481="","",IFERROR(IF(INDEX(Config!$D$9:$D$29,MATCH($B2481,Config!$B$9:$B$29,0))="Contrato",IF(INDEX(Config!$E$9:$E$29,MATCH($B2481,Config!$B$9:$B$29,0))="","",INDEX(Config!$E$9:$E$29,MATCH($B2481,Config!$B$9:$B$29,0))),""),""))</f>
        <v/>
      </c>
      <c r="AC2481" s="19" t="str">
        <f>IF($B2481="","",IFERROR(INDEX(Config!$D$9:$D$29,MATCH($B2481,Config!$B$9:$B$29,0))&amp;"",""))</f>
        <v/>
      </c>
    </row>
    <row r="2482">
      <c r="R2482" s="20" t="str">
        <f>IF($B2482="","",IFERROR(IF(INDEX(Config!$D$9:$D$29,MATCH($B2482,Config!$B$9:$B$29,0))="Contrato",IF(INDEX(Config!$E$9:$E$29,MATCH($B2482,Config!$B$9:$B$29,0))="","",INDEX(Config!$E$9:$E$29,MATCH($B2482,Config!$B$9:$B$29,0))),""),""))</f>
        <v/>
      </c>
      <c r="AC2482" s="19" t="str">
        <f>IF($B2482="","",IFERROR(INDEX(Config!$D$9:$D$29,MATCH($B2482,Config!$B$9:$B$29,0))&amp;"",""))</f>
        <v/>
      </c>
    </row>
    <row r="2483">
      <c r="R2483" s="20" t="str">
        <f>IF($B2483="","",IFERROR(IF(INDEX(Config!$D$9:$D$29,MATCH($B2483,Config!$B$9:$B$29,0))="Contrato",IF(INDEX(Config!$E$9:$E$29,MATCH($B2483,Config!$B$9:$B$29,0))="","",INDEX(Config!$E$9:$E$29,MATCH($B2483,Config!$B$9:$B$29,0))),""),""))</f>
        <v/>
      </c>
      <c r="AC2483" s="19" t="str">
        <f>IF($B2483="","",IFERROR(INDEX(Config!$D$9:$D$29,MATCH($B2483,Config!$B$9:$B$29,0))&amp;"",""))</f>
        <v/>
      </c>
    </row>
    <row r="2484">
      <c r="R2484" s="20" t="str">
        <f>IF($B2484="","",IFERROR(IF(INDEX(Config!$D$9:$D$29,MATCH($B2484,Config!$B$9:$B$29,0))="Contrato",IF(INDEX(Config!$E$9:$E$29,MATCH($B2484,Config!$B$9:$B$29,0))="","",INDEX(Config!$E$9:$E$29,MATCH($B2484,Config!$B$9:$B$29,0))),""),""))</f>
        <v/>
      </c>
      <c r="AC2484" s="19" t="str">
        <f>IF($B2484="","",IFERROR(INDEX(Config!$D$9:$D$29,MATCH($B2484,Config!$B$9:$B$29,0))&amp;"",""))</f>
        <v/>
      </c>
    </row>
    <row r="2485">
      <c r="R2485" s="20" t="str">
        <f>IF($B2485="","",IFERROR(IF(INDEX(Config!$D$9:$D$29,MATCH($B2485,Config!$B$9:$B$29,0))="Contrato",IF(INDEX(Config!$E$9:$E$29,MATCH($B2485,Config!$B$9:$B$29,0))="","",INDEX(Config!$E$9:$E$29,MATCH($B2485,Config!$B$9:$B$29,0))),""),""))</f>
        <v/>
      </c>
      <c r="AC2485" s="19" t="str">
        <f>IF($B2485="","",IFERROR(INDEX(Config!$D$9:$D$29,MATCH($B2485,Config!$B$9:$B$29,0))&amp;"",""))</f>
        <v/>
      </c>
    </row>
    <row r="2486">
      <c r="R2486" s="20" t="str">
        <f>IF($B2486="","",IFERROR(IF(INDEX(Config!$D$9:$D$29,MATCH($B2486,Config!$B$9:$B$29,0))="Contrato",IF(INDEX(Config!$E$9:$E$29,MATCH($B2486,Config!$B$9:$B$29,0))="","",INDEX(Config!$E$9:$E$29,MATCH($B2486,Config!$B$9:$B$29,0))),""),""))</f>
        <v/>
      </c>
      <c r="AC2486" s="19" t="str">
        <f>IF($B2486="","",IFERROR(INDEX(Config!$D$9:$D$29,MATCH($B2486,Config!$B$9:$B$29,0))&amp;"",""))</f>
        <v/>
      </c>
    </row>
    <row r="2487">
      <c r="R2487" s="20" t="str">
        <f>IF($B2487="","",IFERROR(IF(INDEX(Config!$D$9:$D$29,MATCH($B2487,Config!$B$9:$B$29,0))="Contrato",IF(INDEX(Config!$E$9:$E$29,MATCH($B2487,Config!$B$9:$B$29,0))="","",INDEX(Config!$E$9:$E$29,MATCH($B2487,Config!$B$9:$B$29,0))),""),""))</f>
        <v/>
      </c>
      <c r="AC2487" s="19" t="str">
        <f>IF($B2487="","",IFERROR(INDEX(Config!$D$9:$D$29,MATCH($B2487,Config!$B$9:$B$29,0))&amp;"",""))</f>
        <v/>
      </c>
    </row>
    <row r="2488">
      <c r="R2488" s="20" t="str">
        <f>IF($B2488="","",IFERROR(IF(INDEX(Config!$D$9:$D$29,MATCH($B2488,Config!$B$9:$B$29,0))="Contrato",IF(INDEX(Config!$E$9:$E$29,MATCH($B2488,Config!$B$9:$B$29,0))="","",INDEX(Config!$E$9:$E$29,MATCH($B2488,Config!$B$9:$B$29,0))),""),""))</f>
        <v/>
      </c>
      <c r="AC2488" s="19" t="str">
        <f>IF($B2488="","",IFERROR(INDEX(Config!$D$9:$D$29,MATCH($B2488,Config!$B$9:$B$29,0))&amp;"",""))</f>
        <v/>
      </c>
    </row>
    <row r="2489">
      <c r="R2489" s="20" t="str">
        <f>IF($B2489="","",IFERROR(IF(INDEX(Config!$D$9:$D$29,MATCH($B2489,Config!$B$9:$B$29,0))="Contrato",IF(INDEX(Config!$E$9:$E$29,MATCH($B2489,Config!$B$9:$B$29,0))="","",INDEX(Config!$E$9:$E$29,MATCH($B2489,Config!$B$9:$B$29,0))),""),""))</f>
        <v/>
      </c>
      <c r="AC2489" s="19" t="str">
        <f>IF($B2489="","",IFERROR(INDEX(Config!$D$9:$D$29,MATCH($B2489,Config!$B$9:$B$29,0))&amp;"",""))</f>
        <v/>
      </c>
    </row>
    <row r="2490">
      <c r="R2490" s="20" t="str">
        <f>IF($B2490="","",IFERROR(IF(INDEX(Config!$D$9:$D$29,MATCH($B2490,Config!$B$9:$B$29,0))="Contrato",IF(INDEX(Config!$E$9:$E$29,MATCH($B2490,Config!$B$9:$B$29,0))="","",INDEX(Config!$E$9:$E$29,MATCH($B2490,Config!$B$9:$B$29,0))),""),""))</f>
        <v/>
      </c>
      <c r="AC2490" s="19" t="str">
        <f>IF($B2490="","",IFERROR(INDEX(Config!$D$9:$D$29,MATCH($B2490,Config!$B$9:$B$29,0))&amp;"",""))</f>
        <v/>
      </c>
    </row>
    <row r="2491">
      <c r="R2491" s="20" t="str">
        <f>IF($B2491="","",IFERROR(IF(INDEX(Config!$D$9:$D$29,MATCH($B2491,Config!$B$9:$B$29,0))="Contrato",IF(INDEX(Config!$E$9:$E$29,MATCH($B2491,Config!$B$9:$B$29,0))="","",INDEX(Config!$E$9:$E$29,MATCH($B2491,Config!$B$9:$B$29,0))),""),""))</f>
        <v/>
      </c>
      <c r="AC2491" s="19" t="str">
        <f>IF($B2491="","",IFERROR(INDEX(Config!$D$9:$D$29,MATCH($B2491,Config!$B$9:$B$29,0))&amp;"",""))</f>
        <v/>
      </c>
    </row>
    <row r="2492">
      <c r="R2492" s="20" t="str">
        <f>IF($B2492="","",IFERROR(IF(INDEX(Config!$D$9:$D$29,MATCH($B2492,Config!$B$9:$B$29,0))="Contrato",IF(INDEX(Config!$E$9:$E$29,MATCH($B2492,Config!$B$9:$B$29,0))="","",INDEX(Config!$E$9:$E$29,MATCH($B2492,Config!$B$9:$B$29,0))),""),""))</f>
        <v/>
      </c>
      <c r="AC2492" s="19" t="str">
        <f>IF($B2492="","",IFERROR(INDEX(Config!$D$9:$D$29,MATCH($B2492,Config!$B$9:$B$29,0))&amp;"",""))</f>
        <v/>
      </c>
    </row>
    <row r="2493">
      <c r="R2493" s="20" t="str">
        <f>IF($B2493="","",IFERROR(IF(INDEX(Config!$D$9:$D$29,MATCH($B2493,Config!$B$9:$B$29,0))="Contrato",IF(INDEX(Config!$E$9:$E$29,MATCH($B2493,Config!$B$9:$B$29,0))="","",INDEX(Config!$E$9:$E$29,MATCH($B2493,Config!$B$9:$B$29,0))),""),""))</f>
        <v/>
      </c>
      <c r="AC2493" s="19" t="str">
        <f>IF($B2493="","",IFERROR(INDEX(Config!$D$9:$D$29,MATCH($B2493,Config!$B$9:$B$29,0))&amp;"",""))</f>
        <v/>
      </c>
    </row>
    <row r="2494">
      <c r="R2494" s="20" t="str">
        <f>IF($B2494="","",IFERROR(IF(INDEX(Config!$D$9:$D$29,MATCH($B2494,Config!$B$9:$B$29,0))="Contrato",IF(INDEX(Config!$E$9:$E$29,MATCH($B2494,Config!$B$9:$B$29,0))="","",INDEX(Config!$E$9:$E$29,MATCH($B2494,Config!$B$9:$B$29,0))),""),""))</f>
        <v/>
      </c>
      <c r="AC2494" s="19" t="str">
        <f>IF($B2494="","",IFERROR(INDEX(Config!$D$9:$D$29,MATCH($B2494,Config!$B$9:$B$29,0))&amp;"",""))</f>
        <v/>
      </c>
    </row>
    <row r="2495">
      <c r="R2495" s="20" t="str">
        <f>IF($B2495="","",IFERROR(IF(INDEX(Config!$D$9:$D$29,MATCH($B2495,Config!$B$9:$B$29,0))="Contrato",IF(INDEX(Config!$E$9:$E$29,MATCH($B2495,Config!$B$9:$B$29,0))="","",INDEX(Config!$E$9:$E$29,MATCH($B2495,Config!$B$9:$B$29,0))),""),""))</f>
        <v/>
      </c>
      <c r="AC2495" s="19" t="str">
        <f>IF($B2495="","",IFERROR(INDEX(Config!$D$9:$D$29,MATCH($B2495,Config!$B$9:$B$29,0))&amp;"",""))</f>
        <v/>
      </c>
    </row>
    <row r="2496">
      <c r="R2496" s="20" t="str">
        <f>IF($B2496="","",IFERROR(IF(INDEX(Config!$D$9:$D$29,MATCH($B2496,Config!$B$9:$B$29,0))="Contrato",IF(INDEX(Config!$E$9:$E$29,MATCH($B2496,Config!$B$9:$B$29,0))="","",INDEX(Config!$E$9:$E$29,MATCH($B2496,Config!$B$9:$B$29,0))),""),""))</f>
        <v/>
      </c>
      <c r="AC2496" s="19" t="str">
        <f>IF($B2496="","",IFERROR(INDEX(Config!$D$9:$D$29,MATCH($B2496,Config!$B$9:$B$29,0))&amp;"",""))</f>
        <v/>
      </c>
    </row>
    <row r="2497">
      <c r="R2497" s="20" t="str">
        <f>IF($B2497="","",IFERROR(IF(INDEX(Config!$D$9:$D$29,MATCH($B2497,Config!$B$9:$B$29,0))="Contrato",IF(INDEX(Config!$E$9:$E$29,MATCH($B2497,Config!$B$9:$B$29,0))="","",INDEX(Config!$E$9:$E$29,MATCH($B2497,Config!$B$9:$B$29,0))),""),""))</f>
        <v/>
      </c>
      <c r="AC2497" s="19" t="str">
        <f>IF($B2497="","",IFERROR(INDEX(Config!$D$9:$D$29,MATCH($B2497,Config!$B$9:$B$29,0))&amp;"",""))</f>
        <v/>
      </c>
    </row>
    <row r="2498">
      <c r="R2498" s="20" t="str">
        <f>IF($B2498="","",IFERROR(IF(INDEX(Config!$D$9:$D$29,MATCH($B2498,Config!$B$9:$B$29,0))="Contrato",IF(INDEX(Config!$E$9:$E$29,MATCH($B2498,Config!$B$9:$B$29,0))="","",INDEX(Config!$E$9:$E$29,MATCH($B2498,Config!$B$9:$B$29,0))),""),""))</f>
        <v/>
      </c>
      <c r="AC2498" s="19" t="str">
        <f>IF($B2498="","",IFERROR(INDEX(Config!$D$9:$D$29,MATCH($B2498,Config!$B$9:$B$29,0))&amp;"",""))</f>
        <v/>
      </c>
    </row>
    <row r="2499">
      <c r="R2499" s="20" t="str">
        <f>IF($B2499="","",IFERROR(IF(INDEX(Config!$D$9:$D$29,MATCH($B2499,Config!$B$9:$B$29,0))="Contrato",IF(INDEX(Config!$E$9:$E$29,MATCH($B2499,Config!$B$9:$B$29,0))="","",INDEX(Config!$E$9:$E$29,MATCH($B2499,Config!$B$9:$B$29,0))),""),""))</f>
        <v/>
      </c>
      <c r="AC2499" s="19" t="str">
        <f>IF($B2499="","",IFERROR(INDEX(Config!$D$9:$D$29,MATCH($B2499,Config!$B$9:$B$29,0))&amp;"",""))</f>
        <v/>
      </c>
    </row>
    <row r="2500">
      <c r="R2500" s="20" t="str">
        <f>IF($B2500="","",IFERROR(IF(INDEX(Config!$D$9:$D$29,MATCH($B2500,Config!$B$9:$B$29,0))="Contrato",IF(INDEX(Config!$E$9:$E$29,MATCH($B2500,Config!$B$9:$B$29,0))="","",INDEX(Config!$E$9:$E$29,MATCH($B2500,Config!$B$9:$B$29,0))),""),""))</f>
        <v/>
      </c>
      <c r="AC2500" s="19" t="str">
        <f>IF($B2500="","",IFERROR(INDEX(Config!$D$9:$D$29,MATCH($B2500,Config!$B$9:$B$29,0))&amp;"",""))</f>
        <v/>
      </c>
    </row>
    <row r="2501">
      <c r="R2501" s="20" t="str">
        <f>IF($B2501="","",IFERROR(IF(INDEX(Config!$D$9:$D$29,MATCH($B2501,Config!$B$9:$B$29,0))="Contrato",IF(INDEX(Config!$E$9:$E$29,MATCH($B2501,Config!$B$9:$B$29,0))="","",INDEX(Config!$E$9:$E$29,MATCH($B2501,Config!$B$9:$B$29,0))),""),""))</f>
        <v/>
      </c>
      <c r="AC2501" s="19" t="str">
        <f>IF($B2501="","",IFERROR(INDEX(Config!$D$9:$D$29,MATCH($B2501,Config!$B$9:$B$29,0))&amp;"",""))</f>
        <v/>
      </c>
    </row>
    <row r="2502">
      <c r="R2502" s="20" t="str">
        <f>IF($B2502="","",IFERROR(IF(INDEX(Config!$D$9:$D$29,MATCH($B2502,Config!$B$9:$B$29,0))="Contrato",IF(INDEX(Config!$E$9:$E$29,MATCH($B2502,Config!$B$9:$B$29,0))="","",INDEX(Config!$E$9:$E$29,MATCH($B2502,Config!$B$9:$B$29,0))),""),""))</f>
        <v/>
      </c>
      <c r="AC2502" s="19" t="str">
        <f>IF($B2502="","",IFERROR(INDEX(Config!$D$9:$D$29,MATCH($B2502,Config!$B$9:$B$29,0))&amp;"",""))</f>
        <v/>
      </c>
    </row>
    <row r="2503">
      <c r="R2503" s="20" t="str">
        <f>IF($B2503="","",IFERROR(IF(INDEX(Config!$D$9:$D$29,MATCH($B2503,Config!$B$9:$B$29,0))="Contrato",IF(INDEX(Config!$E$9:$E$29,MATCH($B2503,Config!$B$9:$B$29,0))="","",INDEX(Config!$E$9:$E$29,MATCH($B2503,Config!$B$9:$B$29,0))),""),""))</f>
        <v/>
      </c>
      <c r="AC2503" s="19" t="str">
        <f>IF($B2503="","",IFERROR(INDEX(Config!$D$9:$D$29,MATCH($B2503,Config!$B$9:$B$29,0))&amp;"",""))</f>
        <v/>
      </c>
    </row>
    <row r="2504">
      <c r="R2504" s="20" t="str">
        <f>IF($B2504="","",IFERROR(IF(INDEX(Config!$D$9:$D$29,MATCH($B2504,Config!$B$9:$B$29,0))="Contrato",IF(INDEX(Config!$E$9:$E$29,MATCH($B2504,Config!$B$9:$B$29,0))="","",INDEX(Config!$E$9:$E$29,MATCH($B2504,Config!$B$9:$B$29,0))),""),""))</f>
        <v/>
      </c>
      <c r="AC2504" s="19" t="str">
        <f>IF($B2504="","",IFERROR(INDEX(Config!$D$9:$D$29,MATCH($B2504,Config!$B$9:$B$29,0))&amp;"",""))</f>
        <v/>
      </c>
    </row>
    <row r="2505">
      <c r="R2505" s="20" t="str">
        <f>IF($B2505="","",IFERROR(IF(INDEX(Config!$D$9:$D$29,MATCH($B2505,Config!$B$9:$B$29,0))="Contrato",IF(INDEX(Config!$E$9:$E$29,MATCH($B2505,Config!$B$9:$B$29,0))="","",INDEX(Config!$E$9:$E$29,MATCH($B2505,Config!$B$9:$B$29,0))),""),""))</f>
        <v/>
      </c>
      <c r="AC2505" s="19" t="str">
        <f>IF($B2505="","",IFERROR(INDEX(Config!$D$9:$D$29,MATCH($B2505,Config!$B$9:$B$29,0))&amp;"",""))</f>
        <v/>
      </c>
    </row>
    <row r="2506">
      <c r="R2506" s="20" t="str">
        <f>IF($B2506="","",IFERROR(IF(INDEX(Config!$D$9:$D$29,MATCH($B2506,Config!$B$9:$B$29,0))="Contrato",IF(INDEX(Config!$E$9:$E$29,MATCH($B2506,Config!$B$9:$B$29,0))="","",INDEX(Config!$E$9:$E$29,MATCH($B2506,Config!$B$9:$B$29,0))),""),""))</f>
        <v/>
      </c>
      <c r="AC2506" s="19" t="str">
        <f>IF($B2506="","",IFERROR(INDEX(Config!$D$9:$D$29,MATCH($B2506,Config!$B$9:$B$29,0))&amp;"",""))</f>
        <v/>
      </c>
    </row>
    <row r="2507">
      <c r="R2507" s="20" t="str">
        <f>IF($B2507="","",IFERROR(IF(INDEX(Config!$D$9:$D$29,MATCH($B2507,Config!$B$9:$B$29,0))="Contrato",IF(INDEX(Config!$E$9:$E$29,MATCH($B2507,Config!$B$9:$B$29,0))="","",INDEX(Config!$E$9:$E$29,MATCH($B2507,Config!$B$9:$B$29,0))),""),""))</f>
        <v/>
      </c>
      <c r="AC2507" s="19" t="str">
        <f>IF($B2507="","",IFERROR(INDEX(Config!$D$9:$D$29,MATCH($B2507,Config!$B$9:$B$29,0))&amp;"",""))</f>
        <v/>
      </c>
    </row>
    <row r="2508">
      <c r="R2508" s="20" t="str">
        <f>IF($B2508="","",IFERROR(IF(INDEX(Config!$D$9:$D$29,MATCH($B2508,Config!$B$9:$B$29,0))="Contrato",IF(INDEX(Config!$E$9:$E$29,MATCH($B2508,Config!$B$9:$B$29,0))="","",INDEX(Config!$E$9:$E$29,MATCH($B2508,Config!$B$9:$B$29,0))),""),""))</f>
        <v/>
      </c>
      <c r="AC2508" s="19" t="str">
        <f>IF($B2508="","",IFERROR(INDEX(Config!$D$9:$D$29,MATCH($B2508,Config!$B$9:$B$29,0))&amp;"",""))</f>
        <v/>
      </c>
    </row>
    <row r="2509">
      <c r="R2509" s="20" t="str">
        <f>IF($B2509="","",IFERROR(IF(INDEX(Config!$D$9:$D$29,MATCH($B2509,Config!$B$9:$B$29,0))="Contrato",IF(INDEX(Config!$E$9:$E$29,MATCH($B2509,Config!$B$9:$B$29,0))="","",INDEX(Config!$E$9:$E$29,MATCH($B2509,Config!$B$9:$B$29,0))),""),""))</f>
        <v/>
      </c>
      <c r="AC2509" s="19" t="str">
        <f>IF($B2509="","",IFERROR(INDEX(Config!$D$9:$D$29,MATCH($B2509,Config!$B$9:$B$29,0))&amp;"",""))</f>
        <v/>
      </c>
    </row>
    <row r="2510">
      <c r="R2510" s="20" t="str">
        <f>IF($B2510="","",IFERROR(IF(INDEX(Config!$D$9:$D$29,MATCH($B2510,Config!$B$9:$B$29,0))="Contrato",IF(INDEX(Config!$E$9:$E$29,MATCH($B2510,Config!$B$9:$B$29,0))="","",INDEX(Config!$E$9:$E$29,MATCH($B2510,Config!$B$9:$B$29,0))),""),""))</f>
        <v/>
      </c>
      <c r="AC2510" s="19" t="str">
        <f>IF($B2510="","",IFERROR(INDEX(Config!$D$9:$D$29,MATCH($B2510,Config!$B$9:$B$29,0))&amp;"",""))</f>
        <v/>
      </c>
    </row>
    <row r="2511">
      <c r="R2511" s="20" t="str">
        <f>IF($B2511="","",IFERROR(IF(INDEX(Config!$D$9:$D$29,MATCH($B2511,Config!$B$9:$B$29,0))="Contrato",IF(INDEX(Config!$E$9:$E$29,MATCH($B2511,Config!$B$9:$B$29,0))="","",INDEX(Config!$E$9:$E$29,MATCH($B2511,Config!$B$9:$B$29,0))),""),""))</f>
        <v/>
      </c>
      <c r="AC2511" s="19" t="str">
        <f>IF($B2511="","",IFERROR(INDEX(Config!$D$9:$D$29,MATCH($B2511,Config!$B$9:$B$29,0))&amp;"",""))</f>
        <v/>
      </c>
    </row>
    <row r="2512">
      <c r="R2512" s="20" t="str">
        <f>IF($B2512="","",IFERROR(IF(INDEX(Config!$D$9:$D$29,MATCH($B2512,Config!$B$9:$B$29,0))="Contrato",IF(INDEX(Config!$E$9:$E$29,MATCH($B2512,Config!$B$9:$B$29,0))="","",INDEX(Config!$E$9:$E$29,MATCH($B2512,Config!$B$9:$B$29,0))),""),""))</f>
        <v/>
      </c>
      <c r="AC2512" s="19" t="str">
        <f>IF($B2512="","",IFERROR(INDEX(Config!$D$9:$D$29,MATCH($B2512,Config!$B$9:$B$29,0))&amp;"",""))</f>
        <v/>
      </c>
    </row>
    <row r="2513">
      <c r="R2513" s="20" t="str">
        <f>IF($B2513="","",IFERROR(IF(INDEX(Config!$D$9:$D$29,MATCH($B2513,Config!$B$9:$B$29,0))="Contrato",IF(INDEX(Config!$E$9:$E$29,MATCH($B2513,Config!$B$9:$B$29,0))="","",INDEX(Config!$E$9:$E$29,MATCH($B2513,Config!$B$9:$B$29,0))),""),""))</f>
        <v/>
      </c>
      <c r="AC2513" s="19" t="str">
        <f>IF($B2513="","",IFERROR(INDEX(Config!$D$9:$D$29,MATCH($B2513,Config!$B$9:$B$29,0))&amp;"",""))</f>
        <v/>
      </c>
    </row>
    <row r="2514">
      <c r="R2514" s="20" t="str">
        <f>IF($B2514="","",IFERROR(IF(INDEX(Config!$D$9:$D$29,MATCH($B2514,Config!$B$9:$B$29,0))="Contrato",IF(INDEX(Config!$E$9:$E$29,MATCH($B2514,Config!$B$9:$B$29,0))="","",INDEX(Config!$E$9:$E$29,MATCH($B2514,Config!$B$9:$B$29,0))),""),""))</f>
        <v/>
      </c>
      <c r="AC2514" s="19" t="str">
        <f>IF($B2514="","",IFERROR(INDEX(Config!$D$9:$D$29,MATCH($B2514,Config!$B$9:$B$29,0))&amp;"",""))</f>
        <v/>
      </c>
    </row>
    <row r="2515">
      <c r="R2515" s="20" t="str">
        <f>IF($B2515="","",IFERROR(IF(INDEX(Config!$D$9:$D$29,MATCH($B2515,Config!$B$9:$B$29,0))="Contrato",IF(INDEX(Config!$E$9:$E$29,MATCH($B2515,Config!$B$9:$B$29,0))="","",INDEX(Config!$E$9:$E$29,MATCH($B2515,Config!$B$9:$B$29,0))),""),""))</f>
        <v/>
      </c>
      <c r="AC2515" s="19" t="str">
        <f>IF($B2515="","",IFERROR(INDEX(Config!$D$9:$D$29,MATCH($B2515,Config!$B$9:$B$29,0))&amp;"",""))</f>
        <v/>
      </c>
    </row>
    <row r="2516">
      <c r="R2516" s="20" t="str">
        <f>IF($B2516="","",IFERROR(IF(INDEX(Config!$D$9:$D$29,MATCH($B2516,Config!$B$9:$B$29,0))="Contrato",IF(INDEX(Config!$E$9:$E$29,MATCH($B2516,Config!$B$9:$B$29,0))="","",INDEX(Config!$E$9:$E$29,MATCH($B2516,Config!$B$9:$B$29,0))),""),""))</f>
        <v/>
      </c>
      <c r="AC2516" s="19" t="str">
        <f>IF($B2516="","",IFERROR(INDEX(Config!$D$9:$D$29,MATCH($B2516,Config!$B$9:$B$29,0))&amp;"",""))</f>
        <v/>
      </c>
    </row>
    <row r="2517">
      <c r="R2517" s="20" t="str">
        <f>IF($B2517="","",IFERROR(IF(INDEX(Config!$D$9:$D$29,MATCH($B2517,Config!$B$9:$B$29,0))="Contrato",IF(INDEX(Config!$E$9:$E$29,MATCH($B2517,Config!$B$9:$B$29,0))="","",INDEX(Config!$E$9:$E$29,MATCH($B2517,Config!$B$9:$B$29,0))),""),""))</f>
        <v/>
      </c>
      <c r="AC2517" s="19" t="str">
        <f>IF($B2517="","",IFERROR(INDEX(Config!$D$9:$D$29,MATCH($B2517,Config!$B$9:$B$29,0))&amp;"",""))</f>
        <v/>
      </c>
    </row>
    <row r="2518">
      <c r="R2518" s="20" t="str">
        <f>IF($B2518="","",IFERROR(IF(INDEX(Config!$D$9:$D$29,MATCH($B2518,Config!$B$9:$B$29,0))="Contrato",IF(INDEX(Config!$E$9:$E$29,MATCH($B2518,Config!$B$9:$B$29,0))="","",INDEX(Config!$E$9:$E$29,MATCH($B2518,Config!$B$9:$B$29,0))),""),""))</f>
        <v/>
      </c>
      <c r="AC2518" s="19" t="str">
        <f>IF($B2518="","",IFERROR(INDEX(Config!$D$9:$D$29,MATCH($B2518,Config!$B$9:$B$29,0))&amp;"",""))</f>
        <v/>
      </c>
    </row>
    <row r="2519">
      <c r="R2519" s="20" t="str">
        <f>IF($B2519="","",IFERROR(IF(INDEX(Config!$D$9:$D$29,MATCH($B2519,Config!$B$9:$B$29,0))="Contrato",IF(INDEX(Config!$E$9:$E$29,MATCH($B2519,Config!$B$9:$B$29,0))="","",INDEX(Config!$E$9:$E$29,MATCH($B2519,Config!$B$9:$B$29,0))),""),""))</f>
        <v/>
      </c>
      <c r="AC2519" s="19" t="str">
        <f>IF($B2519="","",IFERROR(INDEX(Config!$D$9:$D$29,MATCH($B2519,Config!$B$9:$B$29,0))&amp;"",""))</f>
        <v/>
      </c>
    </row>
    <row r="2520">
      <c r="R2520" s="20" t="str">
        <f>IF($B2520="","",IFERROR(IF(INDEX(Config!$D$9:$D$29,MATCH($B2520,Config!$B$9:$B$29,0))="Contrato",IF(INDEX(Config!$E$9:$E$29,MATCH($B2520,Config!$B$9:$B$29,0))="","",INDEX(Config!$E$9:$E$29,MATCH($B2520,Config!$B$9:$B$29,0))),""),""))</f>
        <v/>
      </c>
      <c r="AC2520" s="19" t="str">
        <f>IF($B2520="","",IFERROR(INDEX(Config!$D$9:$D$29,MATCH($B2520,Config!$B$9:$B$29,0))&amp;"",""))</f>
        <v/>
      </c>
    </row>
    <row r="2521">
      <c r="R2521" s="20" t="str">
        <f>IF($B2521="","",IFERROR(IF(INDEX(Config!$D$9:$D$29,MATCH($B2521,Config!$B$9:$B$29,0))="Contrato",IF(INDEX(Config!$E$9:$E$29,MATCH($B2521,Config!$B$9:$B$29,0))="","",INDEX(Config!$E$9:$E$29,MATCH($B2521,Config!$B$9:$B$29,0))),""),""))</f>
        <v/>
      </c>
      <c r="AC2521" s="19" t="str">
        <f>IF($B2521="","",IFERROR(INDEX(Config!$D$9:$D$29,MATCH($B2521,Config!$B$9:$B$29,0))&amp;"",""))</f>
        <v/>
      </c>
    </row>
    <row r="2522">
      <c r="R2522" s="20" t="str">
        <f>IF($B2522="","",IFERROR(IF(INDEX(Config!$D$9:$D$29,MATCH($B2522,Config!$B$9:$B$29,0))="Contrato",IF(INDEX(Config!$E$9:$E$29,MATCH($B2522,Config!$B$9:$B$29,0))="","",INDEX(Config!$E$9:$E$29,MATCH($B2522,Config!$B$9:$B$29,0))),""),""))</f>
        <v/>
      </c>
      <c r="AC2522" s="19" t="str">
        <f>IF($B2522="","",IFERROR(INDEX(Config!$D$9:$D$29,MATCH($B2522,Config!$B$9:$B$29,0))&amp;"",""))</f>
        <v/>
      </c>
    </row>
    <row r="2523">
      <c r="R2523" s="20" t="str">
        <f>IF($B2523="","",IFERROR(IF(INDEX(Config!$D$9:$D$29,MATCH($B2523,Config!$B$9:$B$29,0))="Contrato",IF(INDEX(Config!$E$9:$E$29,MATCH($B2523,Config!$B$9:$B$29,0))="","",INDEX(Config!$E$9:$E$29,MATCH($B2523,Config!$B$9:$B$29,0))),""),""))</f>
        <v/>
      </c>
      <c r="AC2523" s="19" t="str">
        <f>IF($B2523="","",IFERROR(INDEX(Config!$D$9:$D$29,MATCH($B2523,Config!$B$9:$B$29,0))&amp;"",""))</f>
        <v/>
      </c>
    </row>
    <row r="2524">
      <c r="R2524" s="20" t="str">
        <f>IF($B2524="","",IFERROR(IF(INDEX(Config!$D$9:$D$29,MATCH($B2524,Config!$B$9:$B$29,0))="Contrato",IF(INDEX(Config!$E$9:$E$29,MATCH($B2524,Config!$B$9:$B$29,0))="","",INDEX(Config!$E$9:$E$29,MATCH($B2524,Config!$B$9:$B$29,0))),""),""))</f>
        <v/>
      </c>
      <c r="AC2524" s="19" t="str">
        <f>IF($B2524="","",IFERROR(INDEX(Config!$D$9:$D$29,MATCH($B2524,Config!$B$9:$B$29,0))&amp;"",""))</f>
        <v/>
      </c>
    </row>
    <row r="2525">
      <c r="R2525" s="20" t="str">
        <f>IF($B2525="","",IFERROR(IF(INDEX(Config!$D$9:$D$29,MATCH($B2525,Config!$B$9:$B$29,0))="Contrato",IF(INDEX(Config!$E$9:$E$29,MATCH($B2525,Config!$B$9:$B$29,0))="","",INDEX(Config!$E$9:$E$29,MATCH($B2525,Config!$B$9:$B$29,0))),""),""))</f>
        <v/>
      </c>
      <c r="AC2525" s="19" t="str">
        <f>IF($B2525="","",IFERROR(INDEX(Config!$D$9:$D$29,MATCH($B2525,Config!$B$9:$B$29,0))&amp;"",""))</f>
        <v/>
      </c>
    </row>
    <row r="2526">
      <c r="R2526" s="20" t="str">
        <f>IF($B2526="","",IFERROR(IF(INDEX(Config!$D$9:$D$29,MATCH($B2526,Config!$B$9:$B$29,0))="Contrato",IF(INDEX(Config!$E$9:$E$29,MATCH($B2526,Config!$B$9:$B$29,0))="","",INDEX(Config!$E$9:$E$29,MATCH($B2526,Config!$B$9:$B$29,0))),""),""))</f>
        <v/>
      </c>
      <c r="AC2526" s="19" t="str">
        <f>IF($B2526="","",IFERROR(INDEX(Config!$D$9:$D$29,MATCH($B2526,Config!$B$9:$B$29,0))&amp;"",""))</f>
        <v/>
      </c>
    </row>
    <row r="2527">
      <c r="R2527" s="20" t="str">
        <f>IF($B2527="","",IFERROR(IF(INDEX(Config!$D$9:$D$29,MATCH($B2527,Config!$B$9:$B$29,0))="Contrato",IF(INDEX(Config!$E$9:$E$29,MATCH($B2527,Config!$B$9:$B$29,0))="","",INDEX(Config!$E$9:$E$29,MATCH($B2527,Config!$B$9:$B$29,0))),""),""))</f>
        <v/>
      </c>
      <c r="AC2527" s="19" t="str">
        <f>IF($B2527="","",IFERROR(INDEX(Config!$D$9:$D$29,MATCH($B2527,Config!$B$9:$B$29,0))&amp;"",""))</f>
        <v/>
      </c>
    </row>
    <row r="2528">
      <c r="R2528" s="20" t="str">
        <f>IF($B2528="","",IFERROR(IF(INDEX(Config!$D$9:$D$29,MATCH($B2528,Config!$B$9:$B$29,0))="Contrato",IF(INDEX(Config!$E$9:$E$29,MATCH($B2528,Config!$B$9:$B$29,0))="","",INDEX(Config!$E$9:$E$29,MATCH($B2528,Config!$B$9:$B$29,0))),""),""))</f>
        <v/>
      </c>
      <c r="AC2528" s="19" t="str">
        <f>IF($B2528="","",IFERROR(INDEX(Config!$D$9:$D$29,MATCH($B2528,Config!$B$9:$B$29,0))&amp;"",""))</f>
        <v/>
      </c>
    </row>
    <row r="2529">
      <c r="R2529" s="20" t="str">
        <f>IF($B2529="","",IFERROR(IF(INDEX(Config!$D$9:$D$29,MATCH($B2529,Config!$B$9:$B$29,0))="Contrato",IF(INDEX(Config!$E$9:$E$29,MATCH($B2529,Config!$B$9:$B$29,0))="","",INDEX(Config!$E$9:$E$29,MATCH($B2529,Config!$B$9:$B$29,0))),""),""))</f>
        <v/>
      </c>
      <c r="AC2529" s="19" t="str">
        <f>IF($B2529="","",IFERROR(INDEX(Config!$D$9:$D$29,MATCH($B2529,Config!$B$9:$B$29,0))&amp;"",""))</f>
        <v/>
      </c>
    </row>
    <row r="2530">
      <c r="R2530" s="20" t="str">
        <f>IF($B2530="","",IFERROR(IF(INDEX(Config!$D$9:$D$29,MATCH($B2530,Config!$B$9:$B$29,0))="Contrato",IF(INDEX(Config!$E$9:$E$29,MATCH($B2530,Config!$B$9:$B$29,0))="","",INDEX(Config!$E$9:$E$29,MATCH($B2530,Config!$B$9:$B$29,0))),""),""))</f>
        <v/>
      </c>
      <c r="AC2530" s="19" t="str">
        <f>IF($B2530="","",IFERROR(INDEX(Config!$D$9:$D$29,MATCH($B2530,Config!$B$9:$B$29,0))&amp;"",""))</f>
        <v/>
      </c>
    </row>
    <row r="2531">
      <c r="R2531" s="20" t="str">
        <f>IF($B2531="","",IFERROR(IF(INDEX(Config!$D$9:$D$29,MATCH($B2531,Config!$B$9:$B$29,0))="Contrato",IF(INDEX(Config!$E$9:$E$29,MATCH($B2531,Config!$B$9:$B$29,0))="","",INDEX(Config!$E$9:$E$29,MATCH($B2531,Config!$B$9:$B$29,0))),""),""))</f>
        <v/>
      </c>
      <c r="AC2531" s="19" t="str">
        <f>IF($B2531="","",IFERROR(INDEX(Config!$D$9:$D$29,MATCH($B2531,Config!$B$9:$B$29,0))&amp;"",""))</f>
        <v/>
      </c>
    </row>
    <row r="2532">
      <c r="R2532" s="20" t="str">
        <f>IF($B2532="","",IFERROR(IF(INDEX(Config!$D$9:$D$29,MATCH($B2532,Config!$B$9:$B$29,0))="Contrato",IF(INDEX(Config!$E$9:$E$29,MATCH($B2532,Config!$B$9:$B$29,0))="","",INDEX(Config!$E$9:$E$29,MATCH($B2532,Config!$B$9:$B$29,0))),""),""))</f>
        <v/>
      </c>
      <c r="AC2532" s="19" t="str">
        <f>IF($B2532="","",IFERROR(INDEX(Config!$D$9:$D$29,MATCH($B2532,Config!$B$9:$B$29,0))&amp;"",""))</f>
        <v/>
      </c>
    </row>
    <row r="2533">
      <c r="R2533" s="20" t="str">
        <f>IF($B2533="","",IFERROR(IF(INDEX(Config!$D$9:$D$29,MATCH($B2533,Config!$B$9:$B$29,0))="Contrato",IF(INDEX(Config!$E$9:$E$29,MATCH($B2533,Config!$B$9:$B$29,0))="","",INDEX(Config!$E$9:$E$29,MATCH($B2533,Config!$B$9:$B$29,0))),""),""))</f>
        <v/>
      </c>
      <c r="AC2533" s="19" t="str">
        <f>IF($B2533="","",IFERROR(INDEX(Config!$D$9:$D$29,MATCH($B2533,Config!$B$9:$B$29,0))&amp;"",""))</f>
        <v/>
      </c>
    </row>
    <row r="2534">
      <c r="R2534" s="20" t="str">
        <f>IF($B2534="","",IFERROR(IF(INDEX(Config!$D$9:$D$29,MATCH($B2534,Config!$B$9:$B$29,0))="Contrato",IF(INDEX(Config!$E$9:$E$29,MATCH($B2534,Config!$B$9:$B$29,0))="","",INDEX(Config!$E$9:$E$29,MATCH($B2534,Config!$B$9:$B$29,0))),""),""))</f>
        <v/>
      </c>
      <c r="AC2534" s="19" t="str">
        <f>IF($B2534="","",IFERROR(INDEX(Config!$D$9:$D$29,MATCH($B2534,Config!$B$9:$B$29,0))&amp;"",""))</f>
        <v/>
      </c>
    </row>
    <row r="2535">
      <c r="R2535" s="20" t="str">
        <f>IF($B2535="","",IFERROR(IF(INDEX(Config!$D$9:$D$29,MATCH($B2535,Config!$B$9:$B$29,0))="Contrato",IF(INDEX(Config!$E$9:$E$29,MATCH($B2535,Config!$B$9:$B$29,0))="","",INDEX(Config!$E$9:$E$29,MATCH($B2535,Config!$B$9:$B$29,0))),""),""))</f>
        <v/>
      </c>
      <c r="AC2535" s="19" t="str">
        <f>IF($B2535="","",IFERROR(INDEX(Config!$D$9:$D$29,MATCH($B2535,Config!$B$9:$B$29,0))&amp;"",""))</f>
        <v/>
      </c>
    </row>
    <row r="2536">
      <c r="R2536" s="20" t="str">
        <f>IF($B2536="","",IFERROR(IF(INDEX(Config!$D$9:$D$29,MATCH($B2536,Config!$B$9:$B$29,0))="Contrato",IF(INDEX(Config!$E$9:$E$29,MATCH($B2536,Config!$B$9:$B$29,0))="","",INDEX(Config!$E$9:$E$29,MATCH($B2536,Config!$B$9:$B$29,0))),""),""))</f>
        <v/>
      </c>
      <c r="AC2536" s="19" t="str">
        <f>IF($B2536="","",IFERROR(INDEX(Config!$D$9:$D$29,MATCH($B2536,Config!$B$9:$B$29,0))&amp;"",""))</f>
        <v/>
      </c>
    </row>
    <row r="2537">
      <c r="R2537" s="20" t="str">
        <f>IF($B2537="","",IFERROR(IF(INDEX(Config!$D$9:$D$29,MATCH($B2537,Config!$B$9:$B$29,0))="Contrato",IF(INDEX(Config!$E$9:$E$29,MATCH($B2537,Config!$B$9:$B$29,0))="","",INDEX(Config!$E$9:$E$29,MATCH($B2537,Config!$B$9:$B$29,0))),""),""))</f>
        <v/>
      </c>
      <c r="AC2537" s="19" t="str">
        <f>IF($B2537="","",IFERROR(INDEX(Config!$D$9:$D$29,MATCH($B2537,Config!$B$9:$B$29,0))&amp;"",""))</f>
        <v/>
      </c>
    </row>
    <row r="2538">
      <c r="R2538" s="20" t="str">
        <f>IF($B2538="","",IFERROR(IF(INDEX(Config!$D$9:$D$29,MATCH($B2538,Config!$B$9:$B$29,0))="Contrato",IF(INDEX(Config!$E$9:$E$29,MATCH($B2538,Config!$B$9:$B$29,0))="","",INDEX(Config!$E$9:$E$29,MATCH($B2538,Config!$B$9:$B$29,0))),""),""))</f>
        <v/>
      </c>
      <c r="AC2538" s="19" t="str">
        <f>IF($B2538="","",IFERROR(INDEX(Config!$D$9:$D$29,MATCH($B2538,Config!$B$9:$B$29,0))&amp;"",""))</f>
        <v/>
      </c>
    </row>
    <row r="2539">
      <c r="R2539" s="20" t="str">
        <f>IF($B2539="","",IFERROR(IF(INDEX(Config!$D$9:$D$29,MATCH($B2539,Config!$B$9:$B$29,0))="Contrato",IF(INDEX(Config!$E$9:$E$29,MATCH($B2539,Config!$B$9:$B$29,0))="","",INDEX(Config!$E$9:$E$29,MATCH($B2539,Config!$B$9:$B$29,0))),""),""))</f>
        <v/>
      </c>
      <c r="AC2539" s="19" t="str">
        <f>IF($B2539="","",IFERROR(INDEX(Config!$D$9:$D$29,MATCH($B2539,Config!$B$9:$B$29,0))&amp;"",""))</f>
        <v/>
      </c>
    </row>
    <row r="2540">
      <c r="R2540" s="20" t="str">
        <f>IF($B2540="","",IFERROR(IF(INDEX(Config!$D$9:$D$29,MATCH($B2540,Config!$B$9:$B$29,0))="Contrato",IF(INDEX(Config!$E$9:$E$29,MATCH($B2540,Config!$B$9:$B$29,0))="","",INDEX(Config!$E$9:$E$29,MATCH($B2540,Config!$B$9:$B$29,0))),""),""))</f>
        <v/>
      </c>
      <c r="AC2540" s="19" t="str">
        <f>IF($B2540="","",IFERROR(INDEX(Config!$D$9:$D$29,MATCH($B2540,Config!$B$9:$B$29,0))&amp;"",""))</f>
        <v/>
      </c>
    </row>
    <row r="2541">
      <c r="R2541" s="20" t="str">
        <f>IF($B2541="","",IFERROR(IF(INDEX(Config!$D$9:$D$29,MATCH($B2541,Config!$B$9:$B$29,0))="Contrato",IF(INDEX(Config!$E$9:$E$29,MATCH($B2541,Config!$B$9:$B$29,0))="","",INDEX(Config!$E$9:$E$29,MATCH($B2541,Config!$B$9:$B$29,0))),""),""))</f>
        <v/>
      </c>
      <c r="AC2541" s="19" t="str">
        <f>IF($B2541="","",IFERROR(INDEX(Config!$D$9:$D$29,MATCH($B2541,Config!$B$9:$B$29,0))&amp;"",""))</f>
        <v/>
      </c>
    </row>
    <row r="2542">
      <c r="R2542" s="20" t="str">
        <f>IF($B2542="","",IFERROR(IF(INDEX(Config!$D$9:$D$29,MATCH($B2542,Config!$B$9:$B$29,0))="Contrato",IF(INDEX(Config!$E$9:$E$29,MATCH($B2542,Config!$B$9:$B$29,0))="","",INDEX(Config!$E$9:$E$29,MATCH($B2542,Config!$B$9:$B$29,0))),""),""))</f>
        <v/>
      </c>
      <c r="AC2542" s="19" t="str">
        <f>IF($B2542="","",IFERROR(INDEX(Config!$D$9:$D$29,MATCH($B2542,Config!$B$9:$B$29,0))&amp;"",""))</f>
        <v/>
      </c>
    </row>
    <row r="2543">
      <c r="R2543" s="20" t="str">
        <f>IF($B2543="","",IFERROR(IF(INDEX(Config!$D$9:$D$29,MATCH($B2543,Config!$B$9:$B$29,0))="Contrato",IF(INDEX(Config!$E$9:$E$29,MATCH($B2543,Config!$B$9:$B$29,0))="","",INDEX(Config!$E$9:$E$29,MATCH($B2543,Config!$B$9:$B$29,0))),""),""))</f>
        <v/>
      </c>
      <c r="AC2543" s="19" t="str">
        <f>IF($B2543="","",IFERROR(INDEX(Config!$D$9:$D$29,MATCH($B2543,Config!$B$9:$B$29,0))&amp;"",""))</f>
        <v/>
      </c>
    </row>
    <row r="2544">
      <c r="R2544" s="20" t="str">
        <f>IF($B2544="","",IFERROR(IF(INDEX(Config!$D$9:$D$29,MATCH($B2544,Config!$B$9:$B$29,0))="Contrato",IF(INDEX(Config!$E$9:$E$29,MATCH($B2544,Config!$B$9:$B$29,0))="","",INDEX(Config!$E$9:$E$29,MATCH($B2544,Config!$B$9:$B$29,0))),""),""))</f>
        <v/>
      </c>
      <c r="AC2544" s="19" t="str">
        <f>IF($B2544="","",IFERROR(INDEX(Config!$D$9:$D$29,MATCH($B2544,Config!$B$9:$B$29,0))&amp;"",""))</f>
        <v/>
      </c>
    </row>
    <row r="2545">
      <c r="R2545" s="20" t="str">
        <f>IF($B2545="","",IFERROR(IF(INDEX(Config!$D$9:$D$29,MATCH($B2545,Config!$B$9:$B$29,0))="Contrato",IF(INDEX(Config!$E$9:$E$29,MATCH($B2545,Config!$B$9:$B$29,0))="","",INDEX(Config!$E$9:$E$29,MATCH($B2545,Config!$B$9:$B$29,0))),""),""))</f>
        <v/>
      </c>
      <c r="AC2545" s="19" t="str">
        <f>IF($B2545="","",IFERROR(INDEX(Config!$D$9:$D$29,MATCH($B2545,Config!$B$9:$B$29,0))&amp;"",""))</f>
        <v/>
      </c>
    </row>
    <row r="2546">
      <c r="R2546" s="20" t="str">
        <f>IF($B2546="","",IFERROR(IF(INDEX(Config!$D$9:$D$29,MATCH($B2546,Config!$B$9:$B$29,0))="Contrato",IF(INDEX(Config!$E$9:$E$29,MATCH($B2546,Config!$B$9:$B$29,0))="","",INDEX(Config!$E$9:$E$29,MATCH($B2546,Config!$B$9:$B$29,0))),""),""))</f>
        <v/>
      </c>
      <c r="AC2546" s="19" t="str">
        <f>IF($B2546="","",IFERROR(INDEX(Config!$D$9:$D$29,MATCH($B2546,Config!$B$9:$B$29,0))&amp;"",""))</f>
        <v/>
      </c>
    </row>
    <row r="2547">
      <c r="R2547" s="20" t="str">
        <f>IF($B2547="","",IFERROR(IF(INDEX(Config!$D$9:$D$29,MATCH($B2547,Config!$B$9:$B$29,0))="Contrato",IF(INDEX(Config!$E$9:$E$29,MATCH($B2547,Config!$B$9:$B$29,0))="","",INDEX(Config!$E$9:$E$29,MATCH($B2547,Config!$B$9:$B$29,0))),""),""))</f>
        <v/>
      </c>
      <c r="AC2547" s="19" t="str">
        <f>IF($B2547="","",IFERROR(INDEX(Config!$D$9:$D$29,MATCH($B2547,Config!$B$9:$B$29,0))&amp;"",""))</f>
        <v/>
      </c>
    </row>
    <row r="2548">
      <c r="R2548" s="20" t="str">
        <f>IF($B2548="","",IFERROR(IF(INDEX(Config!$D$9:$D$29,MATCH($B2548,Config!$B$9:$B$29,0))="Contrato",IF(INDEX(Config!$E$9:$E$29,MATCH($B2548,Config!$B$9:$B$29,0))="","",INDEX(Config!$E$9:$E$29,MATCH($B2548,Config!$B$9:$B$29,0))),""),""))</f>
        <v/>
      </c>
      <c r="AC2548" s="19" t="str">
        <f>IF($B2548="","",IFERROR(INDEX(Config!$D$9:$D$29,MATCH($B2548,Config!$B$9:$B$29,0))&amp;"",""))</f>
        <v/>
      </c>
    </row>
    <row r="2549">
      <c r="R2549" s="20" t="str">
        <f>IF($B2549="","",IFERROR(IF(INDEX(Config!$D$9:$D$29,MATCH($B2549,Config!$B$9:$B$29,0))="Contrato",IF(INDEX(Config!$E$9:$E$29,MATCH($B2549,Config!$B$9:$B$29,0))="","",INDEX(Config!$E$9:$E$29,MATCH($B2549,Config!$B$9:$B$29,0))),""),""))</f>
        <v/>
      </c>
      <c r="AC2549" s="19" t="str">
        <f>IF($B2549="","",IFERROR(INDEX(Config!$D$9:$D$29,MATCH($B2549,Config!$B$9:$B$29,0))&amp;"",""))</f>
        <v/>
      </c>
    </row>
    <row r="2550">
      <c r="R2550" s="20" t="str">
        <f>IF($B2550="","",IFERROR(IF(INDEX(Config!$D$9:$D$29,MATCH($B2550,Config!$B$9:$B$29,0))="Contrato",IF(INDEX(Config!$E$9:$E$29,MATCH($B2550,Config!$B$9:$B$29,0))="","",INDEX(Config!$E$9:$E$29,MATCH($B2550,Config!$B$9:$B$29,0))),""),""))</f>
        <v/>
      </c>
      <c r="AC2550" s="19" t="str">
        <f>IF($B2550="","",IFERROR(INDEX(Config!$D$9:$D$29,MATCH($B2550,Config!$B$9:$B$29,0))&amp;"",""))</f>
        <v/>
      </c>
    </row>
    <row r="2551">
      <c r="R2551" s="20" t="str">
        <f>IF($B2551="","",IFERROR(IF(INDEX(Config!$D$9:$D$29,MATCH($B2551,Config!$B$9:$B$29,0))="Contrato",IF(INDEX(Config!$E$9:$E$29,MATCH($B2551,Config!$B$9:$B$29,0))="","",INDEX(Config!$E$9:$E$29,MATCH($B2551,Config!$B$9:$B$29,0))),""),""))</f>
        <v/>
      </c>
      <c r="AC2551" s="19" t="str">
        <f>IF($B2551="","",IFERROR(INDEX(Config!$D$9:$D$29,MATCH($B2551,Config!$B$9:$B$29,0))&amp;"",""))</f>
        <v/>
      </c>
    </row>
    <row r="2552">
      <c r="R2552" s="20" t="str">
        <f>IF($B2552="","",IFERROR(IF(INDEX(Config!$D$9:$D$29,MATCH($B2552,Config!$B$9:$B$29,0))="Contrato",IF(INDEX(Config!$E$9:$E$29,MATCH($B2552,Config!$B$9:$B$29,0))="","",INDEX(Config!$E$9:$E$29,MATCH($B2552,Config!$B$9:$B$29,0))),""),""))</f>
        <v/>
      </c>
      <c r="AC2552" s="19" t="str">
        <f>IF($B2552="","",IFERROR(INDEX(Config!$D$9:$D$29,MATCH($B2552,Config!$B$9:$B$29,0))&amp;"",""))</f>
        <v/>
      </c>
    </row>
    <row r="2553">
      <c r="R2553" s="20" t="str">
        <f>IF($B2553="","",IFERROR(IF(INDEX(Config!$D$9:$D$29,MATCH($B2553,Config!$B$9:$B$29,0))="Contrato",IF(INDEX(Config!$E$9:$E$29,MATCH($B2553,Config!$B$9:$B$29,0))="","",INDEX(Config!$E$9:$E$29,MATCH($B2553,Config!$B$9:$B$29,0))),""),""))</f>
        <v/>
      </c>
      <c r="AC2553" s="19" t="str">
        <f>IF($B2553="","",IFERROR(INDEX(Config!$D$9:$D$29,MATCH($B2553,Config!$B$9:$B$29,0))&amp;"",""))</f>
        <v/>
      </c>
    </row>
    <row r="2554">
      <c r="R2554" s="20" t="str">
        <f>IF($B2554="","",IFERROR(IF(INDEX(Config!$D$9:$D$29,MATCH($B2554,Config!$B$9:$B$29,0))="Contrato",IF(INDEX(Config!$E$9:$E$29,MATCH($B2554,Config!$B$9:$B$29,0))="","",INDEX(Config!$E$9:$E$29,MATCH($B2554,Config!$B$9:$B$29,0))),""),""))</f>
        <v/>
      </c>
      <c r="AC2554" s="19" t="str">
        <f>IF($B2554="","",IFERROR(INDEX(Config!$D$9:$D$29,MATCH($B2554,Config!$B$9:$B$29,0))&amp;"",""))</f>
        <v/>
      </c>
    </row>
    <row r="2555">
      <c r="R2555" s="20" t="str">
        <f>IF($B2555="","",IFERROR(IF(INDEX(Config!$D$9:$D$29,MATCH($B2555,Config!$B$9:$B$29,0))="Contrato",IF(INDEX(Config!$E$9:$E$29,MATCH($B2555,Config!$B$9:$B$29,0))="","",INDEX(Config!$E$9:$E$29,MATCH($B2555,Config!$B$9:$B$29,0))),""),""))</f>
        <v/>
      </c>
      <c r="AC2555" s="19" t="str">
        <f>IF($B2555="","",IFERROR(INDEX(Config!$D$9:$D$29,MATCH($B2555,Config!$B$9:$B$29,0))&amp;"",""))</f>
        <v/>
      </c>
    </row>
    <row r="2556">
      <c r="R2556" s="20" t="str">
        <f>IF($B2556="","",IFERROR(IF(INDEX(Config!$D$9:$D$29,MATCH($B2556,Config!$B$9:$B$29,0))="Contrato",IF(INDEX(Config!$E$9:$E$29,MATCH($B2556,Config!$B$9:$B$29,0))="","",INDEX(Config!$E$9:$E$29,MATCH($B2556,Config!$B$9:$B$29,0))),""),""))</f>
        <v/>
      </c>
      <c r="AC2556" s="19" t="str">
        <f>IF($B2556="","",IFERROR(INDEX(Config!$D$9:$D$29,MATCH($B2556,Config!$B$9:$B$29,0))&amp;"",""))</f>
        <v/>
      </c>
    </row>
    <row r="2557">
      <c r="R2557" s="20" t="str">
        <f>IF($B2557="","",IFERROR(IF(INDEX(Config!$D$9:$D$29,MATCH($B2557,Config!$B$9:$B$29,0))="Contrato",IF(INDEX(Config!$E$9:$E$29,MATCH($B2557,Config!$B$9:$B$29,0))="","",INDEX(Config!$E$9:$E$29,MATCH($B2557,Config!$B$9:$B$29,0))),""),""))</f>
        <v/>
      </c>
      <c r="AC2557" s="19" t="str">
        <f>IF($B2557="","",IFERROR(INDEX(Config!$D$9:$D$29,MATCH($B2557,Config!$B$9:$B$29,0))&amp;"",""))</f>
        <v/>
      </c>
    </row>
    <row r="2558">
      <c r="R2558" s="20" t="str">
        <f>IF($B2558="","",IFERROR(IF(INDEX(Config!$D$9:$D$29,MATCH($B2558,Config!$B$9:$B$29,0))="Contrato",IF(INDEX(Config!$E$9:$E$29,MATCH($B2558,Config!$B$9:$B$29,0))="","",INDEX(Config!$E$9:$E$29,MATCH($B2558,Config!$B$9:$B$29,0))),""),""))</f>
        <v/>
      </c>
      <c r="AC2558" s="19" t="str">
        <f>IF($B2558="","",IFERROR(INDEX(Config!$D$9:$D$29,MATCH($B2558,Config!$B$9:$B$29,0))&amp;"",""))</f>
        <v/>
      </c>
    </row>
    <row r="2559">
      <c r="R2559" s="20" t="str">
        <f>IF($B2559="","",IFERROR(IF(INDEX(Config!$D$9:$D$29,MATCH($B2559,Config!$B$9:$B$29,0))="Contrato",IF(INDEX(Config!$E$9:$E$29,MATCH($B2559,Config!$B$9:$B$29,0))="","",INDEX(Config!$E$9:$E$29,MATCH($B2559,Config!$B$9:$B$29,0))),""),""))</f>
        <v/>
      </c>
      <c r="AC2559" s="19" t="str">
        <f>IF($B2559="","",IFERROR(INDEX(Config!$D$9:$D$29,MATCH($B2559,Config!$B$9:$B$29,0))&amp;"",""))</f>
        <v/>
      </c>
    </row>
    <row r="2560">
      <c r="R2560" s="20" t="str">
        <f>IF($B2560="","",IFERROR(IF(INDEX(Config!$D$9:$D$29,MATCH($B2560,Config!$B$9:$B$29,0))="Contrato",IF(INDEX(Config!$E$9:$E$29,MATCH($B2560,Config!$B$9:$B$29,0))="","",INDEX(Config!$E$9:$E$29,MATCH($B2560,Config!$B$9:$B$29,0))),""),""))</f>
        <v/>
      </c>
      <c r="AC2560" s="19" t="str">
        <f>IF($B2560="","",IFERROR(INDEX(Config!$D$9:$D$29,MATCH($B2560,Config!$B$9:$B$29,0))&amp;"",""))</f>
        <v/>
      </c>
    </row>
    <row r="2561">
      <c r="R2561" s="20" t="str">
        <f>IF($B2561="","",IFERROR(IF(INDEX(Config!$D$9:$D$29,MATCH($B2561,Config!$B$9:$B$29,0))="Contrato",IF(INDEX(Config!$E$9:$E$29,MATCH($B2561,Config!$B$9:$B$29,0))="","",INDEX(Config!$E$9:$E$29,MATCH($B2561,Config!$B$9:$B$29,0))),""),""))</f>
        <v/>
      </c>
      <c r="AC2561" s="19" t="str">
        <f>IF($B2561="","",IFERROR(INDEX(Config!$D$9:$D$29,MATCH($B2561,Config!$B$9:$B$29,0))&amp;"",""))</f>
        <v/>
      </c>
    </row>
    <row r="2562">
      <c r="R2562" s="20" t="str">
        <f>IF($B2562="","",IFERROR(IF(INDEX(Config!$D$9:$D$29,MATCH($B2562,Config!$B$9:$B$29,0))="Contrato",IF(INDEX(Config!$E$9:$E$29,MATCH($B2562,Config!$B$9:$B$29,0))="","",INDEX(Config!$E$9:$E$29,MATCH($B2562,Config!$B$9:$B$29,0))),""),""))</f>
        <v/>
      </c>
      <c r="AC2562" s="19" t="str">
        <f>IF($B2562="","",IFERROR(INDEX(Config!$D$9:$D$29,MATCH($B2562,Config!$B$9:$B$29,0))&amp;"",""))</f>
        <v/>
      </c>
    </row>
    <row r="2563">
      <c r="R2563" s="20" t="str">
        <f>IF($B2563="","",IFERROR(IF(INDEX(Config!$D$9:$D$29,MATCH($B2563,Config!$B$9:$B$29,0))="Contrato",IF(INDEX(Config!$E$9:$E$29,MATCH($B2563,Config!$B$9:$B$29,0))="","",INDEX(Config!$E$9:$E$29,MATCH($B2563,Config!$B$9:$B$29,0))),""),""))</f>
        <v/>
      </c>
      <c r="AC2563" s="19" t="str">
        <f>IF($B2563="","",IFERROR(INDEX(Config!$D$9:$D$29,MATCH($B2563,Config!$B$9:$B$29,0))&amp;"",""))</f>
        <v/>
      </c>
    </row>
    <row r="2564">
      <c r="R2564" s="20" t="str">
        <f>IF($B2564="","",IFERROR(IF(INDEX(Config!$D$9:$D$29,MATCH($B2564,Config!$B$9:$B$29,0))="Contrato",IF(INDEX(Config!$E$9:$E$29,MATCH($B2564,Config!$B$9:$B$29,0))="","",INDEX(Config!$E$9:$E$29,MATCH($B2564,Config!$B$9:$B$29,0))),""),""))</f>
        <v/>
      </c>
      <c r="AC2564" s="19" t="str">
        <f>IF($B2564="","",IFERROR(INDEX(Config!$D$9:$D$29,MATCH($B2564,Config!$B$9:$B$29,0))&amp;"",""))</f>
        <v/>
      </c>
    </row>
    <row r="2565">
      <c r="R2565" s="20" t="str">
        <f>IF($B2565="","",IFERROR(IF(INDEX(Config!$D$9:$D$29,MATCH($B2565,Config!$B$9:$B$29,0))="Contrato",IF(INDEX(Config!$E$9:$E$29,MATCH($B2565,Config!$B$9:$B$29,0))="","",INDEX(Config!$E$9:$E$29,MATCH($B2565,Config!$B$9:$B$29,0))),""),""))</f>
        <v/>
      </c>
      <c r="AC2565" s="19" t="str">
        <f>IF($B2565="","",IFERROR(INDEX(Config!$D$9:$D$29,MATCH($B2565,Config!$B$9:$B$29,0))&amp;"",""))</f>
        <v/>
      </c>
    </row>
    <row r="2566">
      <c r="R2566" s="20" t="str">
        <f>IF($B2566="","",IFERROR(IF(INDEX(Config!$D$9:$D$29,MATCH($B2566,Config!$B$9:$B$29,0))="Contrato",IF(INDEX(Config!$E$9:$E$29,MATCH($B2566,Config!$B$9:$B$29,0))="","",INDEX(Config!$E$9:$E$29,MATCH($B2566,Config!$B$9:$B$29,0))),""),""))</f>
        <v/>
      </c>
      <c r="AC2566" s="19" t="str">
        <f>IF($B2566="","",IFERROR(INDEX(Config!$D$9:$D$29,MATCH($B2566,Config!$B$9:$B$29,0))&amp;"",""))</f>
        <v/>
      </c>
    </row>
    <row r="2567">
      <c r="R2567" s="20" t="str">
        <f>IF($B2567="","",IFERROR(IF(INDEX(Config!$D$9:$D$29,MATCH($B2567,Config!$B$9:$B$29,0))="Contrato",IF(INDEX(Config!$E$9:$E$29,MATCH($B2567,Config!$B$9:$B$29,0))="","",INDEX(Config!$E$9:$E$29,MATCH($B2567,Config!$B$9:$B$29,0))),""),""))</f>
        <v/>
      </c>
      <c r="AC2567" s="19" t="str">
        <f>IF($B2567="","",IFERROR(INDEX(Config!$D$9:$D$29,MATCH($B2567,Config!$B$9:$B$29,0))&amp;"",""))</f>
        <v/>
      </c>
    </row>
    <row r="2568">
      <c r="R2568" s="20" t="str">
        <f>IF($B2568="","",IFERROR(IF(INDEX(Config!$D$9:$D$29,MATCH($B2568,Config!$B$9:$B$29,0))="Contrato",IF(INDEX(Config!$E$9:$E$29,MATCH($B2568,Config!$B$9:$B$29,0))="","",INDEX(Config!$E$9:$E$29,MATCH($B2568,Config!$B$9:$B$29,0))),""),""))</f>
        <v/>
      </c>
      <c r="AC2568" s="19" t="str">
        <f>IF($B2568="","",IFERROR(INDEX(Config!$D$9:$D$29,MATCH($B2568,Config!$B$9:$B$29,0))&amp;"",""))</f>
        <v/>
      </c>
    </row>
    <row r="2569">
      <c r="R2569" s="20" t="str">
        <f>IF($B2569="","",IFERROR(IF(INDEX(Config!$D$9:$D$29,MATCH($B2569,Config!$B$9:$B$29,0))="Contrato",IF(INDEX(Config!$E$9:$E$29,MATCH($B2569,Config!$B$9:$B$29,0))="","",INDEX(Config!$E$9:$E$29,MATCH($B2569,Config!$B$9:$B$29,0))),""),""))</f>
        <v/>
      </c>
      <c r="AC2569" s="19" t="str">
        <f>IF($B2569="","",IFERROR(INDEX(Config!$D$9:$D$29,MATCH($B2569,Config!$B$9:$B$29,0))&amp;"",""))</f>
        <v/>
      </c>
    </row>
    <row r="2570">
      <c r="R2570" s="20" t="str">
        <f>IF($B2570="","",IFERROR(IF(INDEX(Config!$D$9:$D$29,MATCH($B2570,Config!$B$9:$B$29,0))="Contrato",IF(INDEX(Config!$E$9:$E$29,MATCH($B2570,Config!$B$9:$B$29,0))="","",INDEX(Config!$E$9:$E$29,MATCH($B2570,Config!$B$9:$B$29,0))),""),""))</f>
        <v/>
      </c>
      <c r="AC2570" s="19" t="str">
        <f>IF($B2570="","",IFERROR(INDEX(Config!$D$9:$D$29,MATCH($B2570,Config!$B$9:$B$29,0))&amp;"",""))</f>
        <v/>
      </c>
    </row>
    <row r="2571">
      <c r="R2571" s="20" t="str">
        <f>IF($B2571="","",IFERROR(IF(INDEX(Config!$D$9:$D$29,MATCH($B2571,Config!$B$9:$B$29,0))="Contrato",IF(INDEX(Config!$E$9:$E$29,MATCH($B2571,Config!$B$9:$B$29,0))="","",INDEX(Config!$E$9:$E$29,MATCH($B2571,Config!$B$9:$B$29,0))),""),""))</f>
        <v/>
      </c>
      <c r="AC2571" s="19" t="str">
        <f>IF($B2571="","",IFERROR(INDEX(Config!$D$9:$D$29,MATCH($B2571,Config!$B$9:$B$29,0))&amp;"",""))</f>
        <v/>
      </c>
    </row>
    <row r="2572">
      <c r="R2572" s="20" t="str">
        <f>IF($B2572="","",IFERROR(IF(INDEX(Config!$D$9:$D$29,MATCH($B2572,Config!$B$9:$B$29,0))="Contrato",IF(INDEX(Config!$E$9:$E$29,MATCH($B2572,Config!$B$9:$B$29,0))="","",INDEX(Config!$E$9:$E$29,MATCH($B2572,Config!$B$9:$B$29,0))),""),""))</f>
        <v/>
      </c>
      <c r="AC2572" s="19" t="str">
        <f>IF($B2572="","",IFERROR(INDEX(Config!$D$9:$D$29,MATCH($B2572,Config!$B$9:$B$29,0))&amp;"",""))</f>
        <v/>
      </c>
    </row>
    <row r="2573">
      <c r="R2573" s="20" t="str">
        <f>IF($B2573="","",IFERROR(IF(INDEX(Config!$D$9:$D$29,MATCH($B2573,Config!$B$9:$B$29,0))="Contrato",IF(INDEX(Config!$E$9:$E$29,MATCH($B2573,Config!$B$9:$B$29,0))="","",INDEX(Config!$E$9:$E$29,MATCH($B2573,Config!$B$9:$B$29,0))),""),""))</f>
        <v/>
      </c>
      <c r="AC2573" s="19" t="str">
        <f>IF($B2573="","",IFERROR(INDEX(Config!$D$9:$D$29,MATCH($B2573,Config!$B$9:$B$29,0))&amp;"",""))</f>
        <v/>
      </c>
    </row>
    <row r="2574">
      <c r="R2574" s="20" t="str">
        <f>IF($B2574="","",IFERROR(IF(INDEX(Config!$D$9:$D$29,MATCH($B2574,Config!$B$9:$B$29,0))="Contrato",IF(INDEX(Config!$E$9:$E$29,MATCH($B2574,Config!$B$9:$B$29,0))="","",INDEX(Config!$E$9:$E$29,MATCH($B2574,Config!$B$9:$B$29,0))),""),""))</f>
        <v/>
      </c>
      <c r="AC2574" s="19" t="str">
        <f>IF($B2574="","",IFERROR(INDEX(Config!$D$9:$D$29,MATCH($B2574,Config!$B$9:$B$29,0))&amp;"",""))</f>
        <v/>
      </c>
    </row>
    <row r="2575">
      <c r="R2575" s="20" t="str">
        <f>IF($B2575="","",IFERROR(IF(INDEX(Config!$D$9:$D$29,MATCH($B2575,Config!$B$9:$B$29,0))="Contrato",IF(INDEX(Config!$E$9:$E$29,MATCH($B2575,Config!$B$9:$B$29,0))="","",INDEX(Config!$E$9:$E$29,MATCH($B2575,Config!$B$9:$B$29,0))),""),""))</f>
        <v/>
      </c>
      <c r="AC2575" s="19" t="str">
        <f>IF($B2575="","",IFERROR(INDEX(Config!$D$9:$D$29,MATCH($B2575,Config!$B$9:$B$29,0))&amp;"",""))</f>
        <v/>
      </c>
    </row>
    <row r="2576">
      <c r="R2576" s="20" t="str">
        <f>IF($B2576="","",IFERROR(IF(INDEX(Config!$D$9:$D$29,MATCH($B2576,Config!$B$9:$B$29,0))="Contrato",IF(INDEX(Config!$E$9:$E$29,MATCH($B2576,Config!$B$9:$B$29,0))="","",INDEX(Config!$E$9:$E$29,MATCH($B2576,Config!$B$9:$B$29,0))),""),""))</f>
        <v/>
      </c>
      <c r="AC2576" s="19" t="str">
        <f>IF($B2576="","",IFERROR(INDEX(Config!$D$9:$D$29,MATCH($B2576,Config!$B$9:$B$29,0))&amp;"",""))</f>
        <v/>
      </c>
    </row>
    <row r="2577">
      <c r="R2577" s="20" t="str">
        <f>IF($B2577="","",IFERROR(IF(INDEX(Config!$D$9:$D$29,MATCH($B2577,Config!$B$9:$B$29,0))="Contrato",IF(INDEX(Config!$E$9:$E$29,MATCH($B2577,Config!$B$9:$B$29,0))="","",INDEX(Config!$E$9:$E$29,MATCH($B2577,Config!$B$9:$B$29,0))),""),""))</f>
        <v/>
      </c>
      <c r="AC2577" s="19" t="str">
        <f>IF($B2577="","",IFERROR(INDEX(Config!$D$9:$D$29,MATCH($B2577,Config!$B$9:$B$29,0))&amp;"",""))</f>
        <v/>
      </c>
    </row>
    <row r="2578">
      <c r="R2578" s="20" t="str">
        <f>IF($B2578="","",IFERROR(IF(INDEX(Config!$D$9:$D$29,MATCH($B2578,Config!$B$9:$B$29,0))="Contrato",IF(INDEX(Config!$E$9:$E$29,MATCH($B2578,Config!$B$9:$B$29,0))="","",INDEX(Config!$E$9:$E$29,MATCH($B2578,Config!$B$9:$B$29,0))),""),""))</f>
        <v/>
      </c>
      <c r="AC2578" s="19" t="str">
        <f>IF($B2578="","",IFERROR(INDEX(Config!$D$9:$D$29,MATCH($B2578,Config!$B$9:$B$29,0))&amp;"",""))</f>
        <v/>
      </c>
    </row>
    <row r="2579">
      <c r="R2579" s="20" t="str">
        <f>IF($B2579="","",IFERROR(IF(INDEX(Config!$D$9:$D$29,MATCH($B2579,Config!$B$9:$B$29,0))="Contrato",IF(INDEX(Config!$E$9:$E$29,MATCH($B2579,Config!$B$9:$B$29,0))="","",INDEX(Config!$E$9:$E$29,MATCH($B2579,Config!$B$9:$B$29,0))),""),""))</f>
        <v/>
      </c>
      <c r="AC2579" s="19" t="str">
        <f>IF($B2579="","",IFERROR(INDEX(Config!$D$9:$D$29,MATCH($B2579,Config!$B$9:$B$29,0))&amp;"",""))</f>
        <v/>
      </c>
    </row>
    <row r="2580">
      <c r="R2580" s="20" t="str">
        <f>IF($B2580="","",IFERROR(IF(INDEX(Config!$D$9:$D$29,MATCH($B2580,Config!$B$9:$B$29,0))="Contrato",IF(INDEX(Config!$E$9:$E$29,MATCH($B2580,Config!$B$9:$B$29,0))="","",INDEX(Config!$E$9:$E$29,MATCH($B2580,Config!$B$9:$B$29,0))),""),""))</f>
        <v/>
      </c>
      <c r="AC2580" s="19" t="str">
        <f>IF($B2580="","",IFERROR(INDEX(Config!$D$9:$D$29,MATCH($B2580,Config!$B$9:$B$29,0))&amp;"",""))</f>
        <v/>
      </c>
    </row>
    <row r="2581">
      <c r="R2581" s="20" t="str">
        <f>IF($B2581="","",IFERROR(IF(INDEX(Config!$D$9:$D$29,MATCH($B2581,Config!$B$9:$B$29,0))="Contrato",IF(INDEX(Config!$E$9:$E$29,MATCH($B2581,Config!$B$9:$B$29,0))="","",INDEX(Config!$E$9:$E$29,MATCH($B2581,Config!$B$9:$B$29,0))),""),""))</f>
        <v/>
      </c>
      <c r="AC2581" s="19" t="str">
        <f>IF($B2581="","",IFERROR(INDEX(Config!$D$9:$D$29,MATCH($B2581,Config!$B$9:$B$29,0))&amp;"",""))</f>
        <v/>
      </c>
    </row>
    <row r="2582">
      <c r="R2582" s="20" t="str">
        <f>IF($B2582="","",IFERROR(IF(INDEX(Config!$D$9:$D$29,MATCH($B2582,Config!$B$9:$B$29,0))="Contrato",IF(INDEX(Config!$E$9:$E$29,MATCH($B2582,Config!$B$9:$B$29,0))="","",INDEX(Config!$E$9:$E$29,MATCH($B2582,Config!$B$9:$B$29,0))),""),""))</f>
        <v/>
      </c>
      <c r="AC2582" s="19" t="str">
        <f>IF($B2582="","",IFERROR(INDEX(Config!$D$9:$D$29,MATCH($B2582,Config!$B$9:$B$29,0))&amp;"",""))</f>
        <v/>
      </c>
    </row>
    <row r="2583">
      <c r="R2583" s="20" t="str">
        <f>IF($B2583="","",IFERROR(IF(INDEX(Config!$D$9:$D$29,MATCH($B2583,Config!$B$9:$B$29,0))="Contrato",IF(INDEX(Config!$E$9:$E$29,MATCH($B2583,Config!$B$9:$B$29,0))="","",INDEX(Config!$E$9:$E$29,MATCH($B2583,Config!$B$9:$B$29,0))),""),""))</f>
        <v/>
      </c>
      <c r="AC2583" s="19" t="str">
        <f>IF($B2583="","",IFERROR(INDEX(Config!$D$9:$D$29,MATCH($B2583,Config!$B$9:$B$29,0))&amp;"",""))</f>
        <v/>
      </c>
    </row>
    <row r="2584">
      <c r="R2584" s="20" t="str">
        <f>IF($B2584="","",IFERROR(IF(INDEX(Config!$D$9:$D$29,MATCH($B2584,Config!$B$9:$B$29,0))="Contrato",IF(INDEX(Config!$E$9:$E$29,MATCH($B2584,Config!$B$9:$B$29,0))="","",INDEX(Config!$E$9:$E$29,MATCH($B2584,Config!$B$9:$B$29,0))),""),""))</f>
        <v/>
      </c>
      <c r="AC2584" s="19" t="str">
        <f>IF($B2584="","",IFERROR(INDEX(Config!$D$9:$D$29,MATCH($B2584,Config!$B$9:$B$29,0))&amp;"",""))</f>
        <v/>
      </c>
    </row>
    <row r="2585">
      <c r="R2585" s="20" t="str">
        <f>IF($B2585="","",IFERROR(IF(INDEX(Config!$D$9:$D$29,MATCH($B2585,Config!$B$9:$B$29,0))="Contrato",IF(INDEX(Config!$E$9:$E$29,MATCH($B2585,Config!$B$9:$B$29,0))="","",INDEX(Config!$E$9:$E$29,MATCH($B2585,Config!$B$9:$B$29,0))),""),""))</f>
        <v/>
      </c>
      <c r="AC2585" s="19" t="str">
        <f>IF($B2585="","",IFERROR(INDEX(Config!$D$9:$D$29,MATCH($B2585,Config!$B$9:$B$29,0))&amp;"",""))</f>
        <v/>
      </c>
    </row>
    <row r="2586">
      <c r="R2586" s="20" t="str">
        <f>IF($B2586="","",IFERROR(IF(INDEX(Config!$D$9:$D$29,MATCH($B2586,Config!$B$9:$B$29,0))="Contrato",IF(INDEX(Config!$E$9:$E$29,MATCH($B2586,Config!$B$9:$B$29,0))="","",INDEX(Config!$E$9:$E$29,MATCH($B2586,Config!$B$9:$B$29,0))),""),""))</f>
        <v/>
      </c>
      <c r="AC2586" s="19" t="str">
        <f>IF($B2586="","",IFERROR(INDEX(Config!$D$9:$D$29,MATCH($B2586,Config!$B$9:$B$29,0))&amp;"",""))</f>
        <v/>
      </c>
    </row>
    <row r="2587">
      <c r="R2587" s="20" t="str">
        <f>IF($B2587="","",IFERROR(IF(INDEX(Config!$D$9:$D$29,MATCH($B2587,Config!$B$9:$B$29,0))="Contrato",IF(INDEX(Config!$E$9:$E$29,MATCH($B2587,Config!$B$9:$B$29,0))="","",INDEX(Config!$E$9:$E$29,MATCH($B2587,Config!$B$9:$B$29,0))),""),""))</f>
        <v/>
      </c>
      <c r="AC2587" s="19" t="str">
        <f>IF($B2587="","",IFERROR(INDEX(Config!$D$9:$D$29,MATCH($B2587,Config!$B$9:$B$29,0))&amp;"",""))</f>
        <v/>
      </c>
    </row>
    <row r="2588">
      <c r="R2588" s="20" t="str">
        <f>IF($B2588="","",IFERROR(IF(INDEX(Config!$D$9:$D$29,MATCH($B2588,Config!$B$9:$B$29,0))="Contrato",IF(INDEX(Config!$E$9:$E$29,MATCH($B2588,Config!$B$9:$B$29,0))="","",INDEX(Config!$E$9:$E$29,MATCH($B2588,Config!$B$9:$B$29,0))),""),""))</f>
        <v/>
      </c>
      <c r="AC2588" s="19" t="str">
        <f>IF($B2588="","",IFERROR(INDEX(Config!$D$9:$D$29,MATCH($B2588,Config!$B$9:$B$29,0))&amp;"",""))</f>
        <v/>
      </c>
    </row>
    <row r="2589">
      <c r="R2589" s="20" t="str">
        <f>IF($B2589="","",IFERROR(IF(INDEX(Config!$D$9:$D$29,MATCH($B2589,Config!$B$9:$B$29,0))="Contrato",IF(INDEX(Config!$E$9:$E$29,MATCH($B2589,Config!$B$9:$B$29,0))="","",INDEX(Config!$E$9:$E$29,MATCH($B2589,Config!$B$9:$B$29,0))),""),""))</f>
        <v/>
      </c>
      <c r="AC2589" s="19" t="str">
        <f>IF($B2589="","",IFERROR(INDEX(Config!$D$9:$D$29,MATCH($B2589,Config!$B$9:$B$29,0))&amp;"",""))</f>
        <v/>
      </c>
    </row>
    <row r="2590">
      <c r="R2590" s="20" t="str">
        <f>IF($B2590="","",IFERROR(IF(INDEX(Config!$D$9:$D$29,MATCH($B2590,Config!$B$9:$B$29,0))="Contrato",IF(INDEX(Config!$E$9:$E$29,MATCH($B2590,Config!$B$9:$B$29,0))="","",INDEX(Config!$E$9:$E$29,MATCH($B2590,Config!$B$9:$B$29,0))),""),""))</f>
        <v/>
      </c>
      <c r="AC2590" s="19" t="str">
        <f>IF($B2590="","",IFERROR(INDEX(Config!$D$9:$D$29,MATCH($B2590,Config!$B$9:$B$29,0))&amp;"",""))</f>
        <v/>
      </c>
    </row>
    <row r="2591">
      <c r="R2591" s="20" t="str">
        <f>IF($B2591="","",IFERROR(IF(INDEX(Config!$D$9:$D$29,MATCH($B2591,Config!$B$9:$B$29,0))="Contrato",IF(INDEX(Config!$E$9:$E$29,MATCH($B2591,Config!$B$9:$B$29,0))="","",INDEX(Config!$E$9:$E$29,MATCH($B2591,Config!$B$9:$B$29,0))),""),""))</f>
        <v/>
      </c>
      <c r="AC2591" s="19" t="str">
        <f>IF($B2591="","",IFERROR(INDEX(Config!$D$9:$D$29,MATCH($B2591,Config!$B$9:$B$29,0))&amp;"",""))</f>
        <v/>
      </c>
    </row>
    <row r="2592">
      <c r="R2592" s="20" t="str">
        <f>IF($B2592="","",IFERROR(IF(INDEX(Config!$D$9:$D$29,MATCH($B2592,Config!$B$9:$B$29,0))="Contrato",IF(INDEX(Config!$E$9:$E$29,MATCH($B2592,Config!$B$9:$B$29,0))="","",INDEX(Config!$E$9:$E$29,MATCH($B2592,Config!$B$9:$B$29,0))),""),""))</f>
        <v/>
      </c>
      <c r="AC2592" s="19" t="str">
        <f>IF($B2592="","",IFERROR(INDEX(Config!$D$9:$D$29,MATCH($B2592,Config!$B$9:$B$29,0))&amp;"",""))</f>
        <v/>
      </c>
    </row>
    <row r="2593">
      <c r="R2593" s="20" t="str">
        <f>IF($B2593="","",IFERROR(IF(INDEX(Config!$D$9:$D$29,MATCH($B2593,Config!$B$9:$B$29,0))="Contrato",IF(INDEX(Config!$E$9:$E$29,MATCH($B2593,Config!$B$9:$B$29,0))="","",INDEX(Config!$E$9:$E$29,MATCH($B2593,Config!$B$9:$B$29,0))),""),""))</f>
        <v/>
      </c>
      <c r="AC2593" s="19" t="str">
        <f>IF($B2593="","",IFERROR(INDEX(Config!$D$9:$D$29,MATCH($B2593,Config!$B$9:$B$29,0))&amp;"",""))</f>
        <v/>
      </c>
    </row>
    <row r="2594">
      <c r="R2594" s="20" t="str">
        <f>IF($B2594="","",IFERROR(IF(INDEX(Config!$D$9:$D$29,MATCH($B2594,Config!$B$9:$B$29,0))="Contrato",IF(INDEX(Config!$E$9:$E$29,MATCH($B2594,Config!$B$9:$B$29,0))="","",INDEX(Config!$E$9:$E$29,MATCH($B2594,Config!$B$9:$B$29,0))),""),""))</f>
        <v/>
      </c>
      <c r="AC2594" s="19" t="str">
        <f>IF($B2594="","",IFERROR(INDEX(Config!$D$9:$D$29,MATCH($B2594,Config!$B$9:$B$29,0))&amp;"",""))</f>
        <v/>
      </c>
    </row>
    <row r="2595">
      <c r="R2595" s="20" t="str">
        <f>IF($B2595="","",IFERROR(IF(INDEX(Config!$D$9:$D$29,MATCH($B2595,Config!$B$9:$B$29,0))="Contrato",IF(INDEX(Config!$E$9:$E$29,MATCH($B2595,Config!$B$9:$B$29,0))="","",INDEX(Config!$E$9:$E$29,MATCH($B2595,Config!$B$9:$B$29,0))),""),""))</f>
        <v/>
      </c>
      <c r="AC2595" s="19" t="str">
        <f>IF($B2595="","",IFERROR(INDEX(Config!$D$9:$D$29,MATCH($B2595,Config!$B$9:$B$29,0))&amp;"",""))</f>
        <v/>
      </c>
    </row>
    <row r="2596">
      <c r="R2596" s="20" t="str">
        <f>IF($B2596="","",IFERROR(IF(INDEX(Config!$D$9:$D$29,MATCH($B2596,Config!$B$9:$B$29,0))="Contrato",IF(INDEX(Config!$E$9:$E$29,MATCH($B2596,Config!$B$9:$B$29,0))="","",INDEX(Config!$E$9:$E$29,MATCH($B2596,Config!$B$9:$B$29,0))),""),""))</f>
        <v/>
      </c>
      <c r="AC2596" s="19" t="str">
        <f>IF($B2596="","",IFERROR(INDEX(Config!$D$9:$D$29,MATCH($B2596,Config!$B$9:$B$29,0))&amp;"",""))</f>
        <v/>
      </c>
    </row>
    <row r="2597">
      <c r="R2597" s="20" t="str">
        <f>IF($B2597="","",IFERROR(IF(INDEX(Config!$D$9:$D$29,MATCH($B2597,Config!$B$9:$B$29,0))="Contrato",IF(INDEX(Config!$E$9:$E$29,MATCH($B2597,Config!$B$9:$B$29,0))="","",INDEX(Config!$E$9:$E$29,MATCH($B2597,Config!$B$9:$B$29,0))),""),""))</f>
        <v/>
      </c>
      <c r="AC2597" s="19" t="str">
        <f>IF($B2597="","",IFERROR(INDEX(Config!$D$9:$D$29,MATCH($B2597,Config!$B$9:$B$29,0))&amp;"",""))</f>
        <v/>
      </c>
    </row>
    <row r="2598">
      <c r="R2598" s="20" t="str">
        <f>IF($B2598="","",IFERROR(IF(INDEX(Config!$D$9:$D$29,MATCH($B2598,Config!$B$9:$B$29,0))="Contrato",IF(INDEX(Config!$E$9:$E$29,MATCH($B2598,Config!$B$9:$B$29,0))="","",INDEX(Config!$E$9:$E$29,MATCH($B2598,Config!$B$9:$B$29,0))),""),""))</f>
        <v/>
      </c>
      <c r="AC2598" s="19" t="str">
        <f>IF($B2598="","",IFERROR(INDEX(Config!$D$9:$D$29,MATCH($B2598,Config!$B$9:$B$29,0))&amp;"",""))</f>
        <v/>
      </c>
    </row>
    <row r="2599">
      <c r="R2599" s="20" t="str">
        <f>IF($B2599="","",IFERROR(IF(INDEX(Config!$D$9:$D$29,MATCH($B2599,Config!$B$9:$B$29,0))="Contrato",IF(INDEX(Config!$E$9:$E$29,MATCH($B2599,Config!$B$9:$B$29,0))="","",INDEX(Config!$E$9:$E$29,MATCH($B2599,Config!$B$9:$B$29,0))),""),""))</f>
        <v/>
      </c>
      <c r="AC2599" s="19" t="str">
        <f>IF($B2599="","",IFERROR(INDEX(Config!$D$9:$D$29,MATCH($B2599,Config!$B$9:$B$29,0))&amp;"",""))</f>
        <v/>
      </c>
    </row>
    <row r="2600">
      <c r="R2600" s="20" t="str">
        <f>IF($B2600="","",IFERROR(IF(INDEX(Config!$D$9:$D$29,MATCH($B2600,Config!$B$9:$B$29,0))="Contrato",IF(INDEX(Config!$E$9:$E$29,MATCH($B2600,Config!$B$9:$B$29,0))="","",INDEX(Config!$E$9:$E$29,MATCH($B2600,Config!$B$9:$B$29,0))),""),""))</f>
        <v/>
      </c>
      <c r="AC2600" s="19" t="str">
        <f>IF($B2600="","",IFERROR(INDEX(Config!$D$9:$D$29,MATCH($B2600,Config!$B$9:$B$29,0))&amp;"",""))</f>
        <v/>
      </c>
    </row>
    <row r="2601">
      <c r="R2601" s="20" t="str">
        <f>IF($B2601="","",IFERROR(IF(INDEX(Config!$D$9:$D$29,MATCH($B2601,Config!$B$9:$B$29,0))="Contrato",IF(INDEX(Config!$E$9:$E$29,MATCH($B2601,Config!$B$9:$B$29,0))="","",INDEX(Config!$E$9:$E$29,MATCH($B2601,Config!$B$9:$B$29,0))),""),""))</f>
        <v/>
      </c>
      <c r="AC2601" s="19" t="str">
        <f>IF($B2601="","",IFERROR(INDEX(Config!$D$9:$D$29,MATCH($B2601,Config!$B$9:$B$29,0))&amp;"",""))</f>
        <v/>
      </c>
    </row>
    <row r="2602">
      <c r="R2602" s="20" t="str">
        <f>IF($B2602="","",IFERROR(IF(INDEX(Config!$D$9:$D$29,MATCH($B2602,Config!$B$9:$B$29,0))="Contrato",IF(INDEX(Config!$E$9:$E$29,MATCH($B2602,Config!$B$9:$B$29,0))="","",INDEX(Config!$E$9:$E$29,MATCH($B2602,Config!$B$9:$B$29,0))),""),""))</f>
        <v/>
      </c>
      <c r="AC2602" s="19" t="str">
        <f>IF($B2602="","",IFERROR(INDEX(Config!$D$9:$D$29,MATCH($B2602,Config!$B$9:$B$29,0))&amp;"",""))</f>
        <v/>
      </c>
    </row>
    <row r="2603">
      <c r="R2603" s="20" t="str">
        <f>IF($B2603="","",IFERROR(IF(INDEX(Config!$D$9:$D$29,MATCH($B2603,Config!$B$9:$B$29,0))="Contrato",IF(INDEX(Config!$E$9:$E$29,MATCH($B2603,Config!$B$9:$B$29,0))="","",INDEX(Config!$E$9:$E$29,MATCH($B2603,Config!$B$9:$B$29,0))),""),""))</f>
        <v/>
      </c>
      <c r="AC2603" s="19" t="str">
        <f>IF($B2603="","",IFERROR(INDEX(Config!$D$9:$D$29,MATCH($B2603,Config!$B$9:$B$29,0))&amp;"",""))</f>
        <v/>
      </c>
    </row>
    <row r="2604">
      <c r="R2604" s="20" t="str">
        <f>IF($B2604="","",IFERROR(IF(INDEX(Config!$D$9:$D$29,MATCH($B2604,Config!$B$9:$B$29,0))="Contrato",IF(INDEX(Config!$E$9:$E$29,MATCH($B2604,Config!$B$9:$B$29,0))="","",INDEX(Config!$E$9:$E$29,MATCH($B2604,Config!$B$9:$B$29,0))),""),""))</f>
        <v/>
      </c>
      <c r="AC2604" s="19" t="str">
        <f>IF($B2604="","",IFERROR(INDEX(Config!$D$9:$D$29,MATCH($B2604,Config!$B$9:$B$29,0))&amp;"",""))</f>
        <v/>
      </c>
    </row>
    <row r="2605">
      <c r="R2605" s="20" t="str">
        <f>IF($B2605="","",IFERROR(IF(INDEX(Config!$D$9:$D$29,MATCH($B2605,Config!$B$9:$B$29,0))="Contrato",IF(INDEX(Config!$E$9:$E$29,MATCH($B2605,Config!$B$9:$B$29,0))="","",INDEX(Config!$E$9:$E$29,MATCH($B2605,Config!$B$9:$B$29,0))),""),""))</f>
        <v/>
      </c>
      <c r="AC2605" s="19" t="str">
        <f>IF($B2605="","",IFERROR(INDEX(Config!$D$9:$D$29,MATCH($B2605,Config!$B$9:$B$29,0))&amp;"",""))</f>
        <v/>
      </c>
    </row>
    <row r="2606">
      <c r="R2606" s="20" t="str">
        <f>IF($B2606="","",IFERROR(IF(INDEX(Config!$D$9:$D$29,MATCH($B2606,Config!$B$9:$B$29,0))="Contrato",IF(INDEX(Config!$E$9:$E$29,MATCH($B2606,Config!$B$9:$B$29,0))="","",INDEX(Config!$E$9:$E$29,MATCH($B2606,Config!$B$9:$B$29,0))),""),""))</f>
        <v/>
      </c>
      <c r="AC2606" s="19" t="str">
        <f>IF($B2606="","",IFERROR(INDEX(Config!$D$9:$D$29,MATCH($B2606,Config!$B$9:$B$29,0))&amp;"",""))</f>
        <v/>
      </c>
    </row>
    <row r="2607">
      <c r="R2607" s="20" t="str">
        <f>IF($B2607="","",IFERROR(IF(INDEX(Config!$D$9:$D$29,MATCH($B2607,Config!$B$9:$B$29,0))="Contrato",IF(INDEX(Config!$E$9:$E$29,MATCH($B2607,Config!$B$9:$B$29,0))="","",INDEX(Config!$E$9:$E$29,MATCH($B2607,Config!$B$9:$B$29,0))),""),""))</f>
        <v/>
      </c>
      <c r="AC2607" s="19" t="str">
        <f>IF($B2607="","",IFERROR(INDEX(Config!$D$9:$D$29,MATCH($B2607,Config!$B$9:$B$29,0))&amp;"",""))</f>
        <v/>
      </c>
    </row>
    <row r="2608">
      <c r="R2608" s="20" t="str">
        <f>IF($B2608="","",IFERROR(IF(INDEX(Config!$D$9:$D$29,MATCH($B2608,Config!$B$9:$B$29,0))="Contrato",IF(INDEX(Config!$E$9:$E$29,MATCH($B2608,Config!$B$9:$B$29,0))="","",INDEX(Config!$E$9:$E$29,MATCH($B2608,Config!$B$9:$B$29,0))),""),""))</f>
        <v/>
      </c>
      <c r="AC2608" s="19" t="str">
        <f>IF($B2608="","",IFERROR(INDEX(Config!$D$9:$D$29,MATCH($B2608,Config!$B$9:$B$29,0))&amp;"",""))</f>
        <v/>
      </c>
    </row>
    <row r="2609">
      <c r="R2609" s="20" t="str">
        <f>IF($B2609="","",IFERROR(IF(INDEX(Config!$D$9:$D$29,MATCH($B2609,Config!$B$9:$B$29,0))="Contrato",IF(INDEX(Config!$E$9:$E$29,MATCH($B2609,Config!$B$9:$B$29,0))="","",INDEX(Config!$E$9:$E$29,MATCH($B2609,Config!$B$9:$B$29,0))),""),""))</f>
        <v/>
      </c>
      <c r="AC2609" s="19" t="str">
        <f>IF($B2609="","",IFERROR(INDEX(Config!$D$9:$D$29,MATCH($B2609,Config!$B$9:$B$29,0))&amp;"",""))</f>
        <v/>
      </c>
    </row>
    <row r="2610">
      <c r="R2610" s="20" t="str">
        <f>IF($B2610="","",IFERROR(IF(INDEX(Config!$D$9:$D$29,MATCH($B2610,Config!$B$9:$B$29,0))="Contrato",IF(INDEX(Config!$E$9:$E$29,MATCH($B2610,Config!$B$9:$B$29,0))="","",INDEX(Config!$E$9:$E$29,MATCH($B2610,Config!$B$9:$B$29,0))),""),""))</f>
        <v/>
      </c>
      <c r="AC2610" s="19" t="str">
        <f>IF($B2610="","",IFERROR(INDEX(Config!$D$9:$D$29,MATCH($B2610,Config!$B$9:$B$29,0))&amp;"",""))</f>
        <v/>
      </c>
    </row>
    <row r="2611">
      <c r="R2611" s="20" t="str">
        <f>IF($B2611="","",IFERROR(IF(INDEX(Config!$D$9:$D$29,MATCH($B2611,Config!$B$9:$B$29,0))="Contrato",IF(INDEX(Config!$E$9:$E$29,MATCH($B2611,Config!$B$9:$B$29,0))="","",INDEX(Config!$E$9:$E$29,MATCH($B2611,Config!$B$9:$B$29,0))),""),""))</f>
        <v/>
      </c>
      <c r="AC2611" s="19" t="str">
        <f>IF($B2611="","",IFERROR(INDEX(Config!$D$9:$D$29,MATCH($B2611,Config!$B$9:$B$29,0))&amp;"",""))</f>
        <v/>
      </c>
    </row>
    <row r="2612">
      <c r="R2612" s="20" t="str">
        <f>IF($B2612="","",IFERROR(IF(INDEX(Config!$D$9:$D$29,MATCH($B2612,Config!$B$9:$B$29,0))="Contrato",IF(INDEX(Config!$E$9:$E$29,MATCH($B2612,Config!$B$9:$B$29,0))="","",INDEX(Config!$E$9:$E$29,MATCH($B2612,Config!$B$9:$B$29,0))),""),""))</f>
        <v/>
      </c>
      <c r="AC2612" s="19" t="str">
        <f>IF($B2612="","",IFERROR(INDEX(Config!$D$9:$D$29,MATCH($B2612,Config!$B$9:$B$29,0))&amp;"",""))</f>
        <v/>
      </c>
    </row>
    <row r="2613">
      <c r="R2613" s="20" t="str">
        <f>IF($B2613="","",IFERROR(IF(INDEX(Config!$D$9:$D$29,MATCH($B2613,Config!$B$9:$B$29,0))="Contrato",IF(INDEX(Config!$E$9:$E$29,MATCH($B2613,Config!$B$9:$B$29,0))="","",INDEX(Config!$E$9:$E$29,MATCH($B2613,Config!$B$9:$B$29,0))),""),""))</f>
        <v/>
      </c>
      <c r="AC2613" s="19" t="str">
        <f>IF($B2613="","",IFERROR(INDEX(Config!$D$9:$D$29,MATCH($B2613,Config!$B$9:$B$29,0))&amp;"",""))</f>
        <v/>
      </c>
    </row>
    <row r="2614">
      <c r="R2614" s="20" t="str">
        <f>IF($B2614="","",IFERROR(IF(INDEX(Config!$D$9:$D$29,MATCH($B2614,Config!$B$9:$B$29,0))="Contrato",IF(INDEX(Config!$E$9:$E$29,MATCH($B2614,Config!$B$9:$B$29,0))="","",INDEX(Config!$E$9:$E$29,MATCH($B2614,Config!$B$9:$B$29,0))),""),""))</f>
        <v/>
      </c>
      <c r="AC2614" s="19" t="str">
        <f>IF($B2614="","",IFERROR(INDEX(Config!$D$9:$D$29,MATCH($B2614,Config!$B$9:$B$29,0))&amp;"",""))</f>
        <v/>
      </c>
    </row>
    <row r="2615">
      <c r="R2615" s="20" t="str">
        <f>IF($B2615="","",IFERROR(IF(INDEX(Config!$D$9:$D$29,MATCH($B2615,Config!$B$9:$B$29,0))="Contrato",IF(INDEX(Config!$E$9:$E$29,MATCH($B2615,Config!$B$9:$B$29,0))="","",INDEX(Config!$E$9:$E$29,MATCH($B2615,Config!$B$9:$B$29,0))),""),""))</f>
        <v/>
      </c>
      <c r="AC2615" s="19" t="str">
        <f>IF($B2615="","",IFERROR(INDEX(Config!$D$9:$D$29,MATCH($B2615,Config!$B$9:$B$29,0))&amp;"",""))</f>
        <v/>
      </c>
    </row>
    <row r="2616">
      <c r="R2616" s="20" t="str">
        <f>IF($B2616="","",IFERROR(IF(INDEX(Config!$D$9:$D$29,MATCH($B2616,Config!$B$9:$B$29,0))="Contrato",IF(INDEX(Config!$E$9:$E$29,MATCH($B2616,Config!$B$9:$B$29,0))="","",INDEX(Config!$E$9:$E$29,MATCH($B2616,Config!$B$9:$B$29,0))),""),""))</f>
        <v/>
      </c>
      <c r="AC2616" s="19" t="str">
        <f>IF($B2616="","",IFERROR(INDEX(Config!$D$9:$D$29,MATCH($B2616,Config!$B$9:$B$29,0))&amp;"",""))</f>
        <v/>
      </c>
    </row>
    <row r="2617">
      <c r="R2617" s="20" t="str">
        <f>IF($B2617="","",IFERROR(IF(INDEX(Config!$D$9:$D$29,MATCH($B2617,Config!$B$9:$B$29,0))="Contrato",IF(INDEX(Config!$E$9:$E$29,MATCH($B2617,Config!$B$9:$B$29,0))="","",INDEX(Config!$E$9:$E$29,MATCH($B2617,Config!$B$9:$B$29,0))),""),""))</f>
        <v/>
      </c>
      <c r="AC2617" s="19" t="str">
        <f>IF($B2617="","",IFERROR(INDEX(Config!$D$9:$D$29,MATCH($B2617,Config!$B$9:$B$29,0))&amp;"",""))</f>
        <v/>
      </c>
    </row>
    <row r="2618">
      <c r="R2618" s="20" t="str">
        <f>IF($B2618="","",IFERROR(IF(INDEX(Config!$D$9:$D$29,MATCH($B2618,Config!$B$9:$B$29,0))="Contrato",IF(INDEX(Config!$E$9:$E$29,MATCH($B2618,Config!$B$9:$B$29,0))="","",INDEX(Config!$E$9:$E$29,MATCH($B2618,Config!$B$9:$B$29,0))),""),""))</f>
        <v/>
      </c>
      <c r="AC2618" s="19" t="str">
        <f>IF($B2618="","",IFERROR(INDEX(Config!$D$9:$D$29,MATCH($B2618,Config!$B$9:$B$29,0))&amp;"",""))</f>
        <v/>
      </c>
    </row>
    <row r="2619">
      <c r="R2619" s="20" t="str">
        <f>IF($B2619="","",IFERROR(IF(INDEX(Config!$D$9:$D$29,MATCH($B2619,Config!$B$9:$B$29,0))="Contrato",IF(INDEX(Config!$E$9:$E$29,MATCH($B2619,Config!$B$9:$B$29,0))="","",INDEX(Config!$E$9:$E$29,MATCH($B2619,Config!$B$9:$B$29,0))),""),""))</f>
        <v/>
      </c>
      <c r="AC2619" s="19" t="str">
        <f>IF($B2619="","",IFERROR(INDEX(Config!$D$9:$D$29,MATCH($B2619,Config!$B$9:$B$29,0))&amp;"",""))</f>
        <v/>
      </c>
    </row>
    <row r="2620">
      <c r="R2620" s="20" t="str">
        <f>IF($B2620="","",IFERROR(IF(INDEX(Config!$D$9:$D$29,MATCH($B2620,Config!$B$9:$B$29,0))="Contrato",IF(INDEX(Config!$E$9:$E$29,MATCH($B2620,Config!$B$9:$B$29,0))="","",INDEX(Config!$E$9:$E$29,MATCH($B2620,Config!$B$9:$B$29,0))),""),""))</f>
        <v/>
      </c>
      <c r="AC2620" s="19" t="str">
        <f>IF($B2620="","",IFERROR(INDEX(Config!$D$9:$D$29,MATCH($B2620,Config!$B$9:$B$29,0))&amp;"",""))</f>
        <v/>
      </c>
    </row>
    <row r="2621">
      <c r="R2621" s="20" t="str">
        <f>IF($B2621="","",IFERROR(IF(INDEX(Config!$D$9:$D$29,MATCH($B2621,Config!$B$9:$B$29,0))="Contrato",IF(INDEX(Config!$E$9:$E$29,MATCH($B2621,Config!$B$9:$B$29,0))="","",INDEX(Config!$E$9:$E$29,MATCH($B2621,Config!$B$9:$B$29,0))),""),""))</f>
        <v/>
      </c>
      <c r="AC2621" s="19" t="str">
        <f>IF($B2621="","",IFERROR(INDEX(Config!$D$9:$D$29,MATCH($B2621,Config!$B$9:$B$29,0))&amp;"",""))</f>
        <v/>
      </c>
    </row>
    <row r="2622">
      <c r="R2622" s="20" t="str">
        <f>IF($B2622="","",IFERROR(IF(INDEX(Config!$D$9:$D$29,MATCH($B2622,Config!$B$9:$B$29,0))="Contrato",IF(INDEX(Config!$E$9:$E$29,MATCH($B2622,Config!$B$9:$B$29,0))="","",INDEX(Config!$E$9:$E$29,MATCH($B2622,Config!$B$9:$B$29,0))),""),""))</f>
        <v/>
      </c>
      <c r="AC2622" s="19" t="str">
        <f>IF($B2622="","",IFERROR(INDEX(Config!$D$9:$D$29,MATCH($B2622,Config!$B$9:$B$29,0))&amp;"",""))</f>
        <v/>
      </c>
    </row>
    <row r="2623">
      <c r="R2623" s="20" t="str">
        <f>IF($B2623="","",IFERROR(IF(INDEX(Config!$D$9:$D$29,MATCH($B2623,Config!$B$9:$B$29,0))="Contrato",IF(INDEX(Config!$E$9:$E$29,MATCH($B2623,Config!$B$9:$B$29,0))="","",INDEX(Config!$E$9:$E$29,MATCH($B2623,Config!$B$9:$B$29,0))),""),""))</f>
        <v/>
      </c>
      <c r="AC2623" s="19" t="str">
        <f>IF($B2623="","",IFERROR(INDEX(Config!$D$9:$D$29,MATCH($B2623,Config!$B$9:$B$29,0))&amp;"",""))</f>
        <v/>
      </c>
    </row>
    <row r="2624">
      <c r="R2624" s="20" t="str">
        <f>IF($B2624="","",IFERROR(IF(INDEX(Config!$D$9:$D$29,MATCH($B2624,Config!$B$9:$B$29,0))="Contrato",IF(INDEX(Config!$E$9:$E$29,MATCH($B2624,Config!$B$9:$B$29,0))="","",INDEX(Config!$E$9:$E$29,MATCH($B2624,Config!$B$9:$B$29,0))),""),""))</f>
        <v/>
      </c>
      <c r="AC2624" s="19" t="str">
        <f>IF($B2624="","",IFERROR(INDEX(Config!$D$9:$D$29,MATCH($B2624,Config!$B$9:$B$29,0))&amp;"",""))</f>
        <v/>
      </c>
    </row>
    <row r="2625">
      <c r="R2625" s="20" t="str">
        <f>IF($B2625="","",IFERROR(IF(INDEX(Config!$D$9:$D$29,MATCH($B2625,Config!$B$9:$B$29,0))="Contrato",IF(INDEX(Config!$E$9:$E$29,MATCH($B2625,Config!$B$9:$B$29,0))="","",INDEX(Config!$E$9:$E$29,MATCH($B2625,Config!$B$9:$B$29,0))),""),""))</f>
        <v/>
      </c>
      <c r="AC2625" s="19" t="str">
        <f>IF($B2625="","",IFERROR(INDEX(Config!$D$9:$D$29,MATCH($B2625,Config!$B$9:$B$29,0))&amp;"",""))</f>
        <v/>
      </c>
    </row>
    <row r="2626">
      <c r="R2626" s="20" t="str">
        <f>IF($B2626="","",IFERROR(IF(INDEX(Config!$D$9:$D$29,MATCH($B2626,Config!$B$9:$B$29,0))="Contrato",IF(INDEX(Config!$E$9:$E$29,MATCH($B2626,Config!$B$9:$B$29,0))="","",INDEX(Config!$E$9:$E$29,MATCH($B2626,Config!$B$9:$B$29,0))),""),""))</f>
        <v/>
      </c>
      <c r="AC2626" s="19" t="str">
        <f>IF($B2626="","",IFERROR(INDEX(Config!$D$9:$D$29,MATCH($B2626,Config!$B$9:$B$29,0))&amp;"",""))</f>
        <v/>
      </c>
    </row>
    <row r="2627">
      <c r="R2627" s="20" t="str">
        <f>IF($B2627="","",IFERROR(IF(INDEX(Config!$D$9:$D$29,MATCH($B2627,Config!$B$9:$B$29,0))="Contrato",IF(INDEX(Config!$E$9:$E$29,MATCH($B2627,Config!$B$9:$B$29,0))="","",INDEX(Config!$E$9:$E$29,MATCH($B2627,Config!$B$9:$B$29,0))),""),""))</f>
        <v/>
      </c>
      <c r="AC2627" s="19" t="str">
        <f>IF($B2627="","",IFERROR(INDEX(Config!$D$9:$D$29,MATCH($B2627,Config!$B$9:$B$29,0))&amp;"",""))</f>
        <v/>
      </c>
    </row>
    <row r="2628">
      <c r="R2628" s="20" t="str">
        <f>IF($B2628="","",IFERROR(IF(INDEX(Config!$D$9:$D$29,MATCH($B2628,Config!$B$9:$B$29,0))="Contrato",IF(INDEX(Config!$E$9:$E$29,MATCH($B2628,Config!$B$9:$B$29,0))="","",INDEX(Config!$E$9:$E$29,MATCH($B2628,Config!$B$9:$B$29,0))),""),""))</f>
        <v/>
      </c>
      <c r="AC2628" s="19" t="str">
        <f>IF($B2628="","",IFERROR(INDEX(Config!$D$9:$D$29,MATCH($B2628,Config!$B$9:$B$29,0))&amp;"",""))</f>
        <v/>
      </c>
    </row>
    <row r="2629">
      <c r="R2629" s="20" t="str">
        <f>IF($B2629="","",IFERROR(IF(INDEX(Config!$D$9:$D$29,MATCH($B2629,Config!$B$9:$B$29,0))="Contrato",IF(INDEX(Config!$E$9:$E$29,MATCH($B2629,Config!$B$9:$B$29,0))="","",INDEX(Config!$E$9:$E$29,MATCH($B2629,Config!$B$9:$B$29,0))),""),""))</f>
        <v/>
      </c>
      <c r="AC2629" s="19" t="str">
        <f>IF($B2629="","",IFERROR(INDEX(Config!$D$9:$D$29,MATCH($B2629,Config!$B$9:$B$29,0))&amp;"",""))</f>
        <v/>
      </c>
    </row>
    <row r="2630">
      <c r="R2630" s="20" t="str">
        <f>IF($B2630="","",IFERROR(IF(INDEX(Config!$D$9:$D$29,MATCH($B2630,Config!$B$9:$B$29,0))="Contrato",IF(INDEX(Config!$E$9:$E$29,MATCH($B2630,Config!$B$9:$B$29,0))="","",INDEX(Config!$E$9:$E$29,MATCH($B2630,Config!$B$9:$B$29,0))),""),""))</f>
        <v/>
      </c>
      <c r="AC2630" s="19" t="str">
        <f>IF($B2630="","",IFERROR(INDEX(Config!$D$9:$D$29,MATCH($B2630,Config!$B$9:$B$29,0))&amp;"",""))</f>
        <v/>
      </c>
    </row>
    <row r="2631">
      <c r="R2631" s="20" t="str">
        <f>IF($B2631="","",IFERROR(IF(INDEX(Config!$D$9:$D$29,MATCH($B2631,Config!$B$9:$B$29,0))="Contrato",IF(INDEX(Config!$E$9:$E$29,MATCH($B2631,Config!$B$9:$B$29,0))="","",INDEX(Config!$E$9:$E$29,MATCH($B2631,Config!$B$9:$B$29,0))),""),""))</f>
        <v/>
      </c>
      <c r="AC2631" s="19" t="str">
        <f>IF($B2631="","",IFERROR(INDEX(Config!$D$9:$D$29,MATCH($B2631,Config!$B$9:$B$29,0))&amp;"",""))</f>
        <v/>
      </c>
    </row>
    <row r="2632">
      <c r="R2632" s="20" t="str">
        <f>IF($B2632="","",IFERROR(IF(INDEX(Config!$D$9:$D$29,MATCH($B2632,Config!$B$9:$B$29,0))="Contrato",IF(INDEX(Config!$E$9:$E$29,MATCH($B2632,Config!$B$9:$B$29,0))="","",INDEX(Config!$E$9:$E$29,MATCH($B2632,Config!$B$9:$B$29,0))),""),""))</f>
        <v/>
      </c>
      <c r="AC2632" s="19" t="str">
        <f>IF($B2632="","",IFERROR(INDEX(Config!$D$9:$D$29,MATCH($B2632,Config!$B$9:$B$29,0))&amp;"",""))</f>
        <v/>
      </c>
    </row>
    <row r="2633">
      <c r="R2633" s="20" t="str">
        <f>IF($B2633="","",IFERROR(IF(INDEX(Config!$D$9:$D$29,MATCH($B2633,Config!$B$9:$B$29,0))="Contrato",IF(INDEX(Config!$E$9:$E$29,MATCH($B2633,Config!$B$9:$B$29,0))="","",INDEX(Config!$E$9:$E$29,MATCH($B2633,Config!$B$9:$B$29,0))),""),""))</f>
        <v/>
      </c>
      <c r="AC2633" s="19" t="str">
        <f>IF($B2633="","",IFERROR(INDEX(Config!$D$9:$D$29,MATCH($B2633,Config!$B$9:$B$29,0))&amp;"",""))</f>
        <v/>
      </c>
    </row>
    <row r="2634">
      <c r="R2634" s="20" t="str">
        <f>IF($B2634="","",IFERROR(IF(INDEX(Config!$D$9:$D$29,MATCH($B2634,Config!$B$9:$B$29,0))="Contrato",IF(INDEX(Config!$E$9:$E$29,MATCH($B2634,Config!$B$9:$B$29,0))="","",INDEX(Config!$E$9:$E$29,MATCH($B2634,Config!$B$9:$B$29,0))),""),""))</f>
        <v/>
      </c>
      <c r="AC2634" s="19" t="str">
        <f>IF($B2634="","",IFERROR(INDEX(Config!$D$9:$D$29,MATCH($B2634,Config!$B$9:$B$29,0))&amp;"",""))</f>
        <v/>
      </c>
    </row>
    <row r="2635">
      <c r="R2635" s="20" t="str">
        <f>IF($B2635="","",IFERROR(IF(INDEX(Config!$D$9:$D$29,MATCH($B2635,Config!$B$9:$B$29,0))="Contrato",IF(INDEX(Config!$E$9:$E$29,MATCH($B2635,Config!$B$9:$B$29,0))="","",INDEX(Config!$E$9:$E$29,MATCH($B2635,Config!$B$9:$B$29,0))),""),""))</f>
        <v/>
      </c>
      <c r="AC2635" s="19" t="str">
        <f>IF($B2635="","",IFERROR(INDEX(Config!$D$9:$D$29,MATCH($B2635,Config!$B$9:$B$29,0))&amp;"",""))</f>
        <v/>
      </c>
    </row>
    <row r="2636">
      <c r="R2636" s="20" t="str">
        <f>IF($B2636="","",IFERROR(IF(INDEX(Config!$D$9:$D$29,MATCH($B2636,Config!$B$9:$B$29,0))="Contrato",IF(INDEX(Config!$E$9:$E$29,MATCH($B2636,Config!$B$9:$B$29,0))="","",INDEX(Config!$E$9:$E$29,MATCH($B2636,Config!$B$9:$B$29,0))),""),""))</f>
        <v/>
      </c>
      <c r="AC2636" s="19" t="str">
        <f>IF($B2636="","",IFERROR(INDEX(Config!$D$9:$D$29,MATCH($B2636,Config!$B$9:$B$29,0))&amp;"",""))</f>
        <v/>
      </c>
    </row>
    <row r="2637">
      <c r="R2637" s="20" t="str">
        <f>IF($B2637="","",IFERROR(IF(INDEX(Config!$D$9:$D$29,MATCH($B2637,Config!$B$9:$B$29,0))="Contrato",IF(INDEX(Config!$E$9:$E$29,MATCH($B2637,Config!$B$9:$B$29,0))="","",INDEX(Config!$E$9:$E$29,MATCH($B2637,Config!$B$9:$B$29,0))),""),""))</f>
        <v/>
      </c>
      <c r="AC2637" s="19" t="str">
        <f>IF($B2637="","",IFERROR(INDEX(Config!$D$9:$D$29,MATCH($B2637,Config!$B$9:$B$29,0))&amp;"",""))</f>
        <v/>
      </c>
    </row>
    <row r="2638">
      <c r="R2638" s="20" t="str">
        <f>IF($B2638="","",IFERROR(IF(INDEX(Config!$D$9:$D$29,MATCH($B2638,Config!$B$9:$B$29,0))="Contrato",IF(INDEX(Config!$E$9:$E$29,MATCH($B2638,Config!$B$9:$B$29,0))="","",INDEX(Config!$E$9:$E$29,MATCH($B2638,Config!$B$9:$B$29,0))),""),""))</f>
        <v/>
      </c>
      <c r="AC2638" s="19" t="str">
        <f>IF($B2638="","",IFERROR(INDEX(Config!$D$9:$D$29,MATCH($B2638,Config!$B$9:$B$29,0))&amp;"",""))</f>
        <v/>
      </c>
    </row>
    <row r="2639">
      <c r="R2639" s="20" t="str">
        <f>IF($B2639="","",IFERROR(IF(INDEX(Config!$D$9:$D$29,MATCH($B2639,Config!$B$9:$B$29,0))="Contrato",IF(INDEX(Config!$E$9:$E$29,MATCH($B2639,Config!$B$9:$B$29,0))="","",INDEX(Config!$E$9:$E$29,MATCH($B2639,Config!$B$9:$B$29,0))),""),""))</f>
        <v/>
      </c>
      <c r="AC2639" s="19" t="str">
        <f>IF($B2639="","",IFERROR(INDEX(Config!$D$9:$D$29,MATCH($B2639,Config!$B$9:$B$29,0))&amp;"",""))</f>
        <v/>
      </c>
    </row>
    <row r="2640">
      <c r="R2640" s="20" t="str">
        <f>IF($B2640="","",IFERROR(IF(INDEX(Config!$D$9:$D$29,MATCH($B2640,Config!$B$9:$B$29,0))="Contrato",IF(INDEX(Config!$E$9:$E$29,MATCH($B2640,Config!$B$9:$B$29,0))="","",INDEX(Config!$E$9:$E$29,MATCH($B2640,Config!$B$9:$B$29,0))),""),""))</f>
        <v/>
      </c>
      <c r="AC2640" s="19" t="str">
        <f>IF($B2640="","",IFERROR(INDEX(Config!$D$9:$D$29,MATCH($B2640,Config!$B$9:$B$29,0))&amp;"",""))</f>
        <v/>
      </c>
    </row>
    <row r="2641">
      <c r="R2641" s="20" t="str">
        <f>IF($B2641="","",IFERROR(IF(INDEX(Config!$D$9:$D$29,MATCH($B2641,Config!$B$9:$B$29,0))="Contrato",IF(INDEX(Config!$E$9:$E$29,MATCH($B2641,Config!$B$9:$B$29,0))="","",INDEX(Config!$E$9:$E$29,MATCH($B2641,Config!$B$9:$B$29,0))),""),""))</f>
        <v/>
      </c>
      <c r="AC2641" s="19" t="str">
        <f>IF($B2641="","",IFERROR(INDEX(Config!$D$9:$D$29,MATCH($B2641,Config!$B$9:$B$29,0))&amp;"",""))</f>
        <v/>
      </c>
    </row>
    <row r="2642">
      <c r="R2642" s="20" t="str">
        <f>IF($B2642="","",IFERROR(IF(INDEX(Config!$D$9:$D$29,MATCH($B2642,Config!$B$9:$B$29,0))="Contrato",IF(INDEX(Config!$E$9:$E$29,MATCH($B2642,Config!$B$9:$B$29,0))="","",INDEX(Config!$E$9:$E$29,MATCH($B2642,Config!$B$9:$B$29,0))),""),""))</f>
        <v/>
      </c>
      <c r="AC2642" s="19" t="str">
        <f>IF($B2642="","",IFERROR(INDEX(Config!$D$9:$D$29,MATCH($B2642,Config!$B$9:$B$29,0))&amp;"",""))</f>
        <v/>
      </c>
    </row>
    <row r="2643">
      <c r="R2643" s="20" t="str">
        <f>IF($B2643="","",IFERROR(IF(INDEX(Config!$D$9:$D$29,MATCH($B2643,Config!$B$9:$B$29,0))="Contrato",IF(INDEX(Config!$E$9:$E$29,MATCH($B2643,Config!$B$9:$B$29,0))="","",INDEX(Config!$E$9:$E$29,MATCH($B2643,Config!$B$9:$B$29,0))),""),""))</f>
        <v/>
      </c>
      <c r="AC2643" s="19" t="str">
        <f>IF($B2643="","",IFERROR(INDEX(Config!$D$9:$D$29,MATCH($B2643,Config!$B$9:$B$29,0))&amp;"",""))</f>
        <v/>
      </c>
    </row>
    <row r="2644">
      <c r="R2644" s="20" t="str">
        <f>IF($B2644="","",IFERROR(IF(INDEX(Config!$D$9:$D$29,MATCH($B2644,Config!$B$9:$B$29,0))="Contrato",IF(INDEX(Config!$E$9:$E$29,MATCH($B2644,Config!$B$9:$B$29,0))="","",INDEX(Config!$E$9:$E$29,MATCH($B2644,Config!$B$9:$B$29,0))),""),""))</f>
        <v/>
      </c>
      <c r="AC2644" s="19" t="str">
        <f>IF($B2644="","",IFERROR(INDEX(Config!$D$9:$D$29,MATCH($B2644,Config!$B$9:$B$29,0))&amp;"",""))</f>
        <v/>
      </c>
    </row>
    <row r="2645">
      <c r="R2645" s="20" t="str">
        <f>IF($B2645="","",IFERROR(IF(INDEX(Config!$D$9:$D$29,MATCH($B2645,Config!$B$9:$B$29,0))="Contrato",IF(INDEX(Config!$E$9:$E$29,MATCH($B2645,Config!$B$9:$B$29,0))="","",INDEX(Config!$E$9:$E$29,MATCH($B2645,Config!$B$9:$B$29,0))),""),""))</f>
        <v/>
      </c>
      <c r="AC2645" s="19" t="str">
        <f>IF($B2645="","",IFERROR(INDEX(Config!$D$9:$D$29,MATCH($B2645,Config!$B$9:$B$29,0))&amp;"",""))</f>
        <v/>
      </c>
    </row>
    <row r="2646">
      <c r="R2646" s="20" t="str">
        <f>IF($B2646="","",IFERROR(IF(INDEX(Config!$D$9:$D$29,MATCH($B2646,Config!$B$9:$B$29,0))="Contrato",IF(INDEX(Config!$E$9:$E$29,MATCH($B2646,Config!$B$9:$B$29,0))="","",INDEX(Config!$E$9:$E$29,MATCH($B2646,Config!$B$9:$B$29,0))),""),""))</f>
        <v/>
      </c>
      <c r="AC2646" s="19" t="str">
        <f>IF($B2646="","",IFERROR(INDEX(Config!$D$9:$D$29,MATCH($B2646,Config!$B$9:$B$29,0))&amp;"",""))</f>
        <v/>
      </c>
    </row>
    <row r="2647">
      <c r="R2647" s="20" t="str">
        <f>IF($B2647="","",IFERROR(IF(INDEX(Config!$D$9:$D$29,MATCH($B2647,Config!$B$9:$B$29,0))="Contrato",IF(INDEX(Config!$E$9:$E$29,MATCH($B2647,Config!$B$9:$B$29,0))="","",INDEX(Config!$E$9:$E$29,MATCH($B2647,Config!$B$9:$B$29,0))),""),""))</f>
        <v/>
      </c>
      <c r="AC2647" s="19" t="str">
        <f>IF($B2647="","",IFERROR(INDEX(Config!$D$9:$D$29,MATCH($B2647,Config!$B$9:$B$29,0))&amp;"",""))</f>
        <v/>
      </c>
    </row>
    <row r="2648">
      <c r="R2648" s="20" t="str">
        <f>IF($B2648="","",IFERROR(IF(INDEX(Config!$D$9:$D$29,MATCH($B2648,Config!$B$9:$B$29,0))="Contrato",IF(INDEX(Config!$E$9:$E$29,MATCH($B2648,Config!$B$9:$B$29,0))="","",INDEX(Config!$E$9:$E$29,MATCH($B2648,Config!$B$9:$B$29,0))),""),""))</f>
        <v/>
      </c>
      <c r="AC2648" s="19" t="str">
        <f>IF($B2648="","",IFERROR(INDEX(Config!$D$9:$D$29,MATCH($B2648,Config!$B$9:$B$29,0))&amp;"",""))</f>
        <v/>
      </c>
    </row>
    <row r="2649">
      <c r="R2649" s="20" t="str">
        <f>IF($B2649="","",IFERROR(IF(INDEX(Config!$D$9:$D$29,MATCH($B2649,Config!$B$9:$B$29,0))="Contrato",IF(INDEX(Config!$E$9:$E$29,MATCH($B2649,Config!$B$9:$B$29,0))="","",INDEX(Config!$E$9:$E$29,MATCH($B2649,Config!$B$9:$B$29,0))),""),""))</f>
        <v/>
      </c>
      <c r="AC2649" s="19" t="str">
        <f>IF($B2649="","",IFERROR(INDEX(Config!$D$9:$D$29,MATCH($B2649,Config!$B$9:$B$29,0))&amp;"",""))</f>
        <v/>
      </c>
    </row>
    <row r="2650">
      <c r="R2650" s="20" t="str">
        <f>IF($B2650="","",IFERROR(IF(INDEX(Config!$D$9:$D$29,MATCH($B2650,Config!$B$9:$B$29,0))="Contrato",IF(INDEX(Config!$E$9:$E$29,MATCH($B2650,Config!$B$9:$B$29,0))="","",INDEX(Config!$E$9:$E$29,MATCH($B2650,Config!$B$9:$B$29,0))),""),""))</f>
        <v/>
      </c>
      <c r="AC2650" s="19" t="str">
        <f>IF($B2650="","",IFERROR(INDEX(Config!$D$9:$D$29,MATCH($B2650,Config!$B$9:$B$29,0))&amp;"",""))</f>
        <v/>
      </c>
    </row>
    <row r="2651">
      <c r="R2651" s="20" t="str">
        <f>IF($B2651="","",IFERROR(IF(INDEX(Config!$D$9:$D$29,MATCH($B2651,Config!$B$9:$B$29,0))="Contrato",IF(INDEX(Config!$E$9:$E$29,MATCH($B2651,Config!$B$9:$B$29,0))="","",INDEX(Config!$E$9:$E$29,MATCH($B2651,Config!$B$9:$B$29,0))),""),""))</f>
        <v/>
      </c>
      <c r="AC2651" s="19" t="str">
        <f>IF($B2651="","",IFERROR(INDEX(Config!$D$9:$D$29,MATCH($B2651,Config!$B$9:$B$29,0))&amp;"",""))</f>
        <v/>
      </c>
    </row>
    <row r="2652">
      <c r="R2652" s="20" t="str">
        <f>IF($B2652="","",IFERROR(IF(INDEX(Config!$D$9:$D$29,MATCH($B2652,Config!$B$9:$B$29,0))="Contrato",IF(INDEX(Config!$E$9:$E$29,MATCH($B2652,Config!$B$9:$B$29,0))="","",INDEX(Config!$E$9:$E$29,MATCH($B2652,Config!$B$9:$B$29,0))),""),""))</f>
        <v/>
      </c>
      <c r="AC2652" s="19" t="str">
        <f>IF($B2652="","",IFERROR(INDEX(Config!$D$9:$D$29,MATCH($B2652,Config!$B$9:$B$29,0))&amp;"",""))</f>
        <v/>
      </c>
    </row>
    <row r="2653">
      <c r="R2653" s="20" t="str">
        <f>IF($B2653="","",IFERROR(IF(INDEX(Config!$D$9:$D$29,MATCH($B2653,Config!$B$9:$B$29,0))="Contrato",IF(INDEX(Config!$E$9:$E$29,MATCH($B2653,Config!$B$9:$B$29,0))="","",INDEX(Config!$E$9:$E$29,MATCH($B2653,Config!$B$9:$B$29,0))),""),""))</f>
        <v/>
      </c>
      <c r="AC2653" s="19" t="str">
        <f>IF($B2653="","",IFERROR(INDEX(Config!$D$9:$D$29,MATCH($B2653,Config!$B$9:$B$29,0))&amp;"",""))</f>
        <v/>
      </c>
    </row>
    <row r="2654">
      <c r="R2654" s="20" t="str">
        <f>IF($B2654="","",IFERROR(IF(INDEX(Config!$D$9:$D$29,MATCH($B2654,Config!$B$9:$B$29,0))="Contrato",IF(INDEX(Config!$E$9:$E$29,MATCH($B2654,Config!$B$9:$B$29,0))="","",INDEX(Config!$E$9:$E$29,MATCH($B2654,Config!$B$9:$B$29,0))),""),""))</f>
        <v/>
      </c>
      <c r="AC2654" s="19" t="str">
        <f>IF($B2654="","",IFERROR(INDEX(Config!$D$9:$D$29,MATCH($B2654,Config!$B$9:$B$29,0))&amp;"",""))</f>
        <v/>
      </c>
    </row>
    <row r="2655">
      <c r="R2655" s="20" t="str">
        <f>IF($B2655="","",IFERROR(IF(INDEX(Config!$D$9:$D$29,MATCH($B2655,Config!$B$9:$B$29,0))="Contrato",IF(INDEX(Config!$E$9:$E$29,MATCH($B2655,Config!$B$9:$B$29,0))="","",INDEX(Config!$E$9:$E$29,MATCH($B2655,Config!$B$9:$B$29,0))),""),""))</f>
        <v/>
      </c>
      <c r="AC2655" s="19" t="str">
        <f>IF($B2655="","",IFERROR(INDEX(Config!$D$9:$D$29,MATCH($B2655,Config!$B$9:$B$29,0))&amp;"",""))</f>
        <v/>
      </c>
    </row>
    <row r="2656">
      <c r="R2656" s="20" t="str">
        <f>IF($B2656="","",IFERROR(IF(INDEX(Config!$D$9:$D$29,MATCH($B2656,Config!$B$9:$B$29,0))="Contrato",IF(INDEX(Config!$E$9:$E$29,MATCH($B2656,Config!$B$9:$B$29,0))="","",INDEX(Config!$E$9:$E$29,MATCH($B2656,Config!$B$9:$B$29,0))),""),""))</f>
        <v/>
      </c>
      <c r="AC2656" s="19" t="str">
        <f>IF($B2656="","",IFERROR(INDEX(Config!$D$9:$D$29,MATCH($B2656,Config!$B$9:$B$29,0))&amp;"",""))</f>
        <v/>
      </c>
    </row>
    <row r="2657">
      <c r="R2657" s="20" t="str">
        <f>IF($B2657="","",IFERROR(IF(INDEX(Config!$D$9:$D$29,MATCH($B2657,Config!$B$9:$B$29,0))="Contrato",IF(INDEX(Config!$E$9:$E$29,MATCH($B2657,Config!$B$9:$B$29,0))="","",INDEX(Config!$E$9:$E$29,MATCH($B2657,Config!$B$9:$B$29,0))),""),""))</f>
        <v/>
      </c>
      <c r="AC2657" s="19" t="str">
        <f>IF($B2657="","",IFERROR(INDEX(Config!$D$9:$D$29,MATCH($B2657,Config!$B$9:$B$29,0))&amp;"",""))</f>
        <v/>
      </c>
    </row>
    <row r="2658">
      <c r="R2658" s="20" t="str">
        <f>IF($B2658="","",IFERROR(IF(INDEX(Config!$D$9:$D$29,MATCH($B2658,Config!$B$9:$B$29,0))="Contrato",IF(INDEX(Config!$E$9:$E$29,MATCH($B2658,Config!$B$9:$B$29,0))="","",INDEX(Config!$E$9:$E$29,MATCH($B2658,Config!$B$9:$B$29,0))),""),""))</f>
        <v/>
      </c>
      <c r="AC2658" s="19" t="str">
        <f>IF($B2658="","",IFERROR(INDEX(Config!$D$9:$D$29,MATCH($B2658,Config!$B$9:$B$29,0))&amp;"",""))</f>
        <v/>
      </c>
    </row>
    <row r="2659">
      <c r="R2659" s="20" t="str">
        <f>IF($B2659="","",IFERROR(IF(INDEX(Config!$D$9:$D$29,MATCH($B2659,Config!$B$9:$B$29,0))="Contrato",IF(INDEX(Config!$E$9:$E$29,MATCH($B2659,Config!$B$9:$B$29,0))="","",INDEX(Config!$E$9:$E$29,MATCH($B2659,Config!$B$9:$B$29,0))),""),""))</f>
        <v/>
      </c>
      <c r="AC2659" s="19" t="str">
        <f>IF($B2659="","",IFERROR(INDEX(Config!$D$9:$D$29,MATCH($B2659,Config!$B$9:$B$29,0))&amp;"",""))</f>
        <v/>
      </c>
    </row>
    <row r="2660">
      <c r="R2660" s="20" t="str">
        <f>IF($B2660="","",IFERROR(IF(INDEX(Config!$D$9:$D$29,MATCH($B2660,Config!$B$9:$B$29,0))="Contrato",IF(INDEX(Config!$E$9:$E$29,MATCH($B2660,Config!$B$9:$B$29,0))="","",INDEX(Config!$E$9:$E$29,MATCH($B2660,Config!$B$9:$B$29,0))),""),""))</f>
        <v/>
      </c>
      <c r="AC2660" s="19" t="str">
        <f>IF($B2660="","",IFERROR(INDEX(Config!$D$9:$D$29,MATCH($B2660,Config!$B$9:$B$29,0))&amp;"",""))</f>
        <v/>
      </c>
    </row>
    <row r="2661">
      <c r="R2661" s="20" t="str">
        <f>IF($B2661="","",IFERROR(IF(INDEX(Config!$D$9:$D$29,MATCH($B2661,Config!$B$9:$B$29,0))="Contrato",IF(INDEX(Config!$E$9:$E$29,MATCH($B2661,Config!$B$9:$B$29,0))="","",INDEX(Config!$E$9:$E$29,MATCH($B2661,Config!$B$9:$B$29,0))),""),""))</f>
        <v/>
      </c>
      <c r="AC2661" s="19" t="str">
        <f>IF($B2661="","",IFERROR(INDEX(Config!$D$9:$D$29,MATCH($B2661,Config!$B$9:$B$29,0))&amp;"",""))</f>
        <v/>
      </c>
    </row>
    <row r="2662">
      <c r="R2662" s="20" t="str">
        <f>IF($B2662="","",IFERROR(IF(INDEX(Config!$D$9:$D$29,MATCH($B2662,Config!$B$9:$B$29,0))="Contrato",IF(INDEX(Config!$E$9:$E$29,MATCH($B2662,Config!$B$9:$B$29,0))="","",INDEX(Config!$E$9:$E$29,MATCH($B2662,Config!$B$9:$B$29,0))),""),""))</f>
        <v/>
      </c>
      <c r="AC2662" s="19" t="str">
        <f>IF($B2662="","",IFERROR(INDEX(Config!$D$9:$D$29,MATCH($B2662,Config!$B$9:$B$29,0))&amp;"",""))</f>
        <v/>
      </c>
    </row>
    <row r="2663">
      <c r="R2663" s="20" t="str">
        <f>IF($B2663="","",IFERROR(IF(INDEX(Config!$D$9:$D$29,MATCH($B2663,Config!$B$9:$B$29,0))="Contrato",IF(INDEX(Config!$E$9:$E$29,MATCH($B2663,Config!$B$9:$B$29,0))="","",INDEX(Config!$E$9:$E$29,MATCH($B2663,Config!$B$9:$B$29,0))),""),""))</f>
        <v/>
      </c>
      <c r="AC2663" s="19" t="str">
        <f>IF($B2663="","",IFERROR(INDEX(Config!$D$9:$D$29,MATCH($B2663,Config!$B$9:$B$29,0))&amp;"",""))</f>
        <v/>
      </c>
    </row>
    <row r="2664">
      <c r="R2664" s="20" t="str">
        <f>IF($B2664="","",IFERROR(IF(INDEX(Config!$D$9:$D$29,MATCH($B2664,Config!$B$9:$B$29,0))="Contrato",IF(INDEX(Config!$E$9:$E$29,MATCH($B2664,Config!$B$9:$B$29,0))="","",INDEX(Config!$E$9:$E$29,MATCH($B2664,Config!$B$9:$B$29,0))),""),""))</f>
        <v/>
      </c>
      <c r="AC2664" s="19" t="str">
        <f>IF($B2664="","",IFERROR(INDEX(Config!$D$9:$D$29,MATCH($B2664,Config!$B$9:$B$29,0))&amp;"",""))</f>
        <v/>
      </c>
    </row>
    <row r="2665">
      <c r="R2665" s="20" t="str">
        <f>IF($B2665="","",IFERROR(IF(INDEX(Config!$D$9:$D$29,MATCH($B2665,Config!$B$9:$B$29,0))="Contrato",IF(INDEX(Config!$E$9:$E$29,MATCH($B2665,Config!$B$9:$B$29,0))="","",INDEX(Config!$E$9:$E$29,MATCH($B2665,Config!$B$9:$B$29,0))),""),""))</f>
        <v/>
      </c>
      <c r="AC2665" s="19" t="str">
        <f>IF($B2665="","",IFERROR(INDEX(Config!$D$9:$D$29,MATCH($B2665,Config!$B$9:$B$29,0))&amp;"",""))</f>
        <v/>
      </c>
    </row>
    <row r="2666">
      <c r="R2666" s="20" t="str">
        <f>IF($B2666="","",IFERROR(IF(INDEX(Config!$D$9:$D$29,MATCH($B2666,Config!$B$9:$B$29,0))="Contrato",IF(INDEX(Config!$E$9:$E$29,MATCH($B2666,Config!$B$9:$B$29,0))="","",INDEX(Config!$E$9:$E$29,MATCH($B2666,Config!$B$9:$B$29,0))),""),""))</f>
        <v/>
      </c>
      <c r="AC2666" s="19" t="str">
        <f>IF($B2666="","",IFERROR(INDEX(Config!$D$9:$D$29,MATCH($B2666,Config!$B$9:$B$29,0))&amp;"",""))</f>
        <v/>
      </c>
    </row>
    <row r="2667">
      <c r="R2667" s="20" t="str">
        <f>IF($B2667="","",IFERROR(IF(INDEX(Config!$D$9:$D$29,MATCH($B2667,Config!$B$9:$B$29,0))="Contrato",IF(INDEX(Config!$E$9:$E$29,MATCH($B2667,Config!$B$9:$B$29,0))="","",INDEX(Config!$E$9:$E$29,MATCH($B2667,Config!$B$9:$B$29,0))),""),""))</f>
        <v/>
      </c>
      <c r="AC2667" s="19" t="str">
        <f>IF($B2667="","",IFERROR(INDEX(Config!$D$9:$D$29,MATCH($B2667,Config!$B$9:$B$29,0))&amp;"",""))</f>
        <v/>
      </c>
    </row>
    <row r="2668">
      <c r="R2668" s="20" t="str">
        <f>IF($B2668="","",IFERROR(IF(INDEX(Config!$D$9:$D$29,MATCH($B2668,Config!$B$9:$B$29,0))="Contrato",IF(INDEX(Config!$E$9:$E$29,MATCH($B2668,Config!$B$9:$B$29,0))="","",INDEX(Config!$E$9:$E$29,MATCH($B2668,Config!$B$9:$B$29,0))),""),""))</f>
        <v/>
      </c>
      <c r="AC2668" s="19" t="str">
        <f>IF($B2668="","",IFERROR(INDEX(Config!$D$9:$D$29,MATCH($B2668,Config!$B$9:$B$29,0))&amp;"",""))</f>
        <v/>
      </c>
    </row>
    <row r="2669">
      <c r="R2669" s="20" t="str">
        <f>IF($B2669="","",IFERROR(IF(INDEX(Config!$D$9:$D$29,MATCH($B2669,Config!$B$9:$B$29,0))="Contrato",IF(INDEX(Config!$E$9:$E$29,MATCH($B2669,Config!$B$9:$B$29,0))="","",INDEX(Config!$E$9:$E$29,MATCH($B2669,Config!$B$9:$B$29,0))),""),""))</f>
        <v/>
      </c>
      <c r="AC2669" s="19" t="str">
        <f>IF($B2669="","",IFERROR(INDEX(Config!$D$9:$D$29,MATCH($B2669,Config!$B$9:$B$29,0))&amp;"",""))</f>
        <v/>
      </c>
    </row>
    <row r="2670">
      <c r="R2670" s="20" t="str">
        <f>IF($B2670="","",IFERROR(IF(INDEX(Config!$D$9:$D$29,MATCH($B2670,Config!$B$9:$B$29,0))="Contrato",IF(INDEX(Config!$E$9:$E$29,MATCH($B2670,Config!$B$9:$B$29,0))="","",INDEX(Config!$E$9:$E$29,MATCH($B2670,Config!$B$9:$B$29,0))),""),""))</f>
        <v/>
      </c>
      <c r="AC2670" s="19" t="str">
        <f>IF($B2670="","",IFERROR(INDEX(Config!$D$9:$D$29,MATCH($B2670,Config!$B$9:$B$29,0))&amp;"",""))</f>
        <v/>
      </c>
    </row>
    <row r="2671">
      <c r="R2671" s="20" t="str">
        <f>IF($B2671="","",IFERROR(IF(INDEX(Config!$D$9:$D$29,MATCH($B2671,Config!$B$9:$B$29,0))="Contrato",IF(INDEX(Config!$E$9:$E$29,MATCH($B2671,Config!$B$9:$B$29,0))="","",INDEX(Config!$E$9:$E$29,MATCH($B2671,Config!$B$9:$B$29,0))),""),""))</f>
        <v/>
      </c>
      <c r="AC2671" s="19" t="str">
        <f>IF($B2671="","",IFERROR(INDEX(Config!$D$9:$D$29,MATCH($B2671,Config!$B$9:$B$29,0))&amp;"",""))</f>
        <v/>
      </c>
    </row>
    <row r="2672">
      <c r="R2672" s="20" t="str">
        <f>IF($B2672="","",IFERROR(IF(INDEX(Config!$D$9:$D$29,MATCH($B2672,Config!$B$9:$B$29,0))="Contrato",IF(INDEX(Config!$E$9:$E$29,MATCH($B2672,Config!$B$9:$B$29,0))="","",INDEX(Config!$E$9:$E$29,MATCH($B2672,Config!$B$9:$B$29,0))),""),""))</f>
        <v/>
      </c>
      <c r="AC2672" s="19" t="str">
        <f>IF($B2672="","",IFERROR(INDEX(Config!$D$9:$D$29,MATCH($B2672,Config!$B$9:$B$29,0))&amp;"",""))</f>
        <v/>
      </c>
    </row>
    <row r="2673">
      <c r="R2673" s="20" t="str">
        <f>IF($B2673="","",IFERROR(IF(INDEX(Config!$D$9:$D$29,MATCH($B2673,Config!$B$9:$B$29,0))="Contrato",IF(INDEX(Config!$E$9:$E$29,MATCH($B2673,Config!$B$9:$B$29,0))="","",INDEX(Config!$E$9:$E$29,MATCH($B2673,Config!$B$9:$B$29,0))),""),""))</f>
        <v/>
      </c>
      <c r="AC2673" s="19" t="str">
        <f>IF($B2673="","",IFERROR(INDEX(Config!$D$9:$D$29,MATCH($B2673,Config!$B$9:$B$29,0))&amp;"",""))</f>
        <v/>
      </c>
    </row>
    <row r="2674">
      <c r="R2674" s="20" t="str">
        <f>IF($B2674="","",IFERROR(IF(INDEX(Config!$D$9:$D$29,MATCH($B2674,Config!$B$9:$B$29,0))="Contrato",IF(INDEX(Config!$E$9:$E$29,MATCH($B2674,Config!$B$9:$B$29,0))="","",INDEX(Config!$E$9:$E$29,MATCH($B2674,Config!$B$9:$B$29,0))),""),""))</f>
        <v/>
      </c>
      <c r="AC2674" s="19" t="str">
        <f>IF($B2674="","",IFERROR(INDEX(Config!$D$9:$D$29,MATCH($B2674,Config!$B$9:$B$29,0))&amp;"",""))</f>
        <v/>
      </c>
    </row>
    <row r="2675">
      <c r="R2675" s="20" t="str">
        <f>IF($B2675="","",IFERROR(IF(INDEX(Config!$D$9:$D$29,MATCH($B2675,Config!$B$9:$B$29,0))="Contrato",IF(INDEX(Config!$E$9:$E$29,MATCH($B2675,Config!$B$9:$B$29,0))="","",INDEX(Config!$E$9:$E$29,MATCH($B2675,Config!$B$9:$B$29,0))),""),""))</f>
        <v/>
      </c>
      <c r="AC2675" s="19" t="str">
        <f>IF($B2675="","",IFERROR(INDEX(Config!$D$9:$D$29,MATCH($B2675,Config!$B$9:$B$29,0))&amp;"",""))</f>
        <v/>
      </c>
    </row>
    <row r="2676">
      <c r="R2676" s="20" t="str">
        <f>IF($B2676="","",IFERROR(IF(INDEX(Config!$D$9:$D$29,MATCH($B2676,Config!$B$9:$B$29,0))="Contrato",IF(INDEX(Config!$E$9:$E$29,MATCH($B2676,Config!$B$9:$B$29,0))="","",INDEX(Config!$E$9:$E$29,MATCH($B2676,Config!$B$9:$B$29,0))),""),""))</f>
        <v/>
      </c>
      <c r="AC2676" s="19" t="str">
        <f>IF($B2676="","",IFERROR(INDEX(Config!$D$9:$D$29,MATCH($B2676,Config!$B$9:$B$29,0))&amp;"",""))</f>
        <v/>
      </c>
    </row>
    <row r="2677">
      <c r="R2677" s="20" t="str">
        <f>IF($B2677="","",IFERROR(IF(INDEX(Config!$D$9:$D$29,MATCH($B2677,Config!$B$9:$B$29,0))="Contrato",IF(INDEX(Config!$E$9:$E$29,MATCH($B2677,Config!$B$9:$B$29,0))="","",INDEX(Config!$E$9:$E$29,MATCH($B2677,Config!$B$9:$B$29,0))),""),""))</f>
        <v/>
      </c>
      <c r="AC2677" s="19" t="str">
        <f>IF($B2677="","",IFERROR(INDEX(Config!$D$9:$D$29,MATCH($B2677,Config!$B$9:$B$29,0))&amp;"",""))</f>
        <v/>
      </c>
    </row>
    <row r="2678">
      <c r="R2678" s="20" t="str">
        <f>IF($B2678="","",IFERROR(IF(INDEX(Config!$D$9:$D$29,MATCH($B2678,Config!$B$9:$B$29,0))="Contrato",IF(INDEX(Config!$E$9:$E$29,MATCH($B2678,Config!$B$9:$B$29,0))="","",INDEX(Config!$E$9:$E$29,MATCH($B2678,Config!$B$9:$B$29,0))),""),""))</f>
        <v/>
      </c>
      <c r="AC2678" s="19" t="str">
        <f>IF($B2678="","",IFERROR(INDEX(Config!$D$9:$D$29,MATCH($B2678,Config!$B$9:$B$29,0))&amp;"",""))</f>
        <v/>
      </c>
    </row>
    <row r="2679">
      <c r="R2679" s="20" t="str">
        <f>IF($B2679="","",IFERROR(IF(INDEX(Config!$D$9:$D$29,MATCH($B2679,Config!$B$9:$B$29,0))="Contrato",IF(INDEX(Config!$E$9:$E$29,MATCH($B2679,Config!$B$9:$B$29,0))="","",INDEX(Config!$E$9:$E$29,MATCH($B2679,Config!$B$9:$B$29,0))),""),""))</f>
        <v/>
      </c>
      <c r="AC2679" s="19" t="str">
        <f>IF($B2679="","",IFERROR(INDEX(Config!$D$9:$D$29,MATCH($B2679,Config!$B$9:$B$29,0))&amp;"",""))</f>
        <v/>
      </c>
    </row>
    <row r="2680">
      <c r="R2680" s="20" t="str">
        <f>IF($B2680="","",IFERROR(IF(INDEX(Config!$D$9:$D$29,MATCH($B2680,Config!$B$9:$B$29,0))="Contrato",IF(INDEX(Config!$E$9:$E$29,MATCH($B2680,Config!$B$9:$B$29,0))="","",INDEX(Config!$E$9:$E$29,MATCH($B2680,Config!$B$9:$B$29,0))),""),""))</f>
        <v/>
      </c>
      <c r="AC2680" s="19" t="str">
        <f>IF($B2680="","",IFERROR(INDEX(Config!$D$9:$D$29,MATCH($B2680,Config!$B$9:$B$29,0))&amp;"",""))</f>
        <v/>
      </c>
    </row>
    <row r="2681">
      <c r="R2681" s="20" t="str">
        <f>IF($B2681="","",IFERROR(IF(INDEX(Config!$D$9:$D$29,MATCH($B2681,Config!$B$9:$B$29,0))="Contrato",IF(INDEX(Config!$E$9:$E$29,MATCH($B2681,Config!$B$9:$B$29,0))="","",INDEX(Config!$E$9:$E$29,MATCH($B2681,Config!$B$9:$B$29,0))),""),""))</f>
        <v/>
      </c>
      <c r="AC2681" s="19" t="str">
        <f>IF($B2681="","",IFERROR(INDEX(Config!$D$9:$D$29,MATCH($B2681,Config!$B$9:$B$29,0))&amp;"",""))</f>
        <v/>
      </c>
    </row>
    <row r="2682">
      <c r="R2682" s="20" t="str">
        <f>IF($B2682="","",IFERROR(IF(INDEX(Config!$D$9:$D$29,MATCH($B2682,Config!$B$9:$B$29,0))="Contrato",IF(INDEX(Config!$E$9:$E$29,MATCH($B2682,Config!$B$9:$B$29,0))="","",INDEX(Config!$E$9:$E$29,MATCH($B2682,Config!$B$9:$B$29,0))),""),""))</f>
        <v/>
      </c>
      <c r="AC2682" s="19" t="str">
        <f>IF($B2682="","",IFERROR(INDEX(Config!$D$9:$D$29,MATCH($B2682,Config!$B$9:$B$29,0))&amp;"",""))</f>
        <v/>
      </c>
    </row>
    <row r="2683">
      <c r="R2683" s="20" t="str">
        <f>IF($B2683="","",IFERROR(IF(INDEX(Config!$D$9:$D$29,MATCH($B2683,Config!$B$9:$B$29,0))="Contrato",IF(INDEX(Config!$E$9:$E$29,MATCH($B2683,Config!$B$9:$B$29,0))="","",INDEX(Config!$E$9:$E$29,MATCH($B2683,Config!$B$9:$B$29,0))),""),""))</f>
        <v/>
      </c>
      <c r="AC2683" s="19" t="str">
        <f>IF($B2683="","",IFERROR(INDEX(Config!$D$9:$D$29,MATCH($B2683,Config!$B$9:$B$29,0))&amp;"",""))</f>
        <v/>
      </c>
    </row>
    <row r="2684">
      <c r="R2684" s="20" t="str">
        <f>IF($B2684="","",IFERROR(IF(INDEX(Config!$D$9:$D$29,MATCH($B2684,Config!$B$9:$B$29,0))="Contrato",IF(INDEX(Config!$E$9:$E$29,MATCH($B2684,Config!$B$9:$B$29,0))="","",INDEX(Config!$E$9:$E$29,MATCH($B2684,Config!$B$9:$B$29,0))),""),""))</f>
        <v/>
      </c>
      <c r="AC2684" s="19" t="str">
        <f>IF($B2684="","",IFERROR(INDEX(Config!$D$9:$D$29,MATCH($B2684,Config!$B$9:$B$29,0))&amp;"",""))</f>
        <v/>
      </c>
    </row>
    <row r="2685">
      <c r="R2685" s="20" t="str">
        <f>IF($B2685="","",IFERROR(IF(INDEX(Config!$D$9:$D$29,MATCH($B2685,Config!$B$9:$B$29,0))="Contrato",IF(INDEX(Config!$E$9:$E$29,MATCH($B2685,Config!$B$9:$B$29,0))="","",INDEX(Config!$E$9:$E$29,MATCH($B2685,Config!$B$9:$B$29,0))),""),""))</f>
        <v/>
      </c>
      <c r="AC2685" s="19" t="str">
        <f>IF($B2685="","",IFERROR(INDEX(Config!$D$9:$D$29,MATCH($B2685,Config!$B$9:$B$29,0))&amp;"",""))</f>
        <v/>
      </c>
    </row>
    <row r="2686">
      <c r="R2686" s="20" t="str">
        <f>IF($B2686="","",IFERROR(IF(INDEX(Config!$D$9:$D$29,MATCH($B2686,Config!$B$9:$B$29,0))="Contrato",IF(INDEX(Config!$E$9:$E$29,MATCH($B2686,Config!$B$9:$B$29,0))="","",INDEX(Config!$E$9:$E$29,MATCH($B2686,Config!$B$9:$B$29,0))),""),""))</f>
        <v/>
      </c>
      <c r="AC2686" s="19" t="str">
        <f>IF($B2686="","",IFERROR(INDEX(Config!$D$9:$D$29,MATCH($B2686,Config!$B$9:$B$29,0))&amp;"",""))</f>
        <v/>
      </c>
    </row>
    <row r="2687">
      <c r="R2687" s="20" t="str">
        <f>IF($B2687="","",IFERROR(IF(INDEX(Config!$D$9:$D$29,MATCH($B2687,Config!$B$9:$B$29,0))="Contrato",IF(INDEX(Config!$E$9:$E$29,MATCH($B2687,Config!$B$9:$B$29,0))="","",INDEX(Config!$E$9:$E$29,MATCH($B2687,Config!$B$9:$B$29,0))),""),""))</f>
        <v/>
      </c>
      <c r="AC2687" s="19" t="str">
        <f>IF($B2687="","",IFERROR(INDEX(Config!$D$9:$D$29,MATCH($B2687,Config!$B$9:$B$29,0))&amp;"",""))</f>
        <v/>
      </c>
    </row>
    <row r="2688">
      <c r="R2688" s="20" t="str">
        <f>IF($B2688="","",IFERROR(IF(INDEX(Config!$D$9:$D$29,MATCH($B2688,Config!$B$9:$B$29,0))="Contrato",IF(INDEX(Config!$E$9:$E$29,MATCH($B2688,Config!$B$9:$B$29,0))="","",INDEX(Config!$E$9:$E$29,MATCH($B2688,Config!$B$9:$B$29,0))),""),""))</f>
        <v/>
      </c>
      <c r="AC2688" s="19" t="str">
        <f>IF($B2688="","",IFERROR(INDEX(Config!$D$9:$D$29,MATCH($B2688,Config!$B$9:$B$29,0))&amp;"",""))</f>
        <v/>
      </c>
    </row>
    <row r="2689">
      <c r="R2689" s="20" t="str">
        <f>IF($B2689="","",IFERROR(IF(INDEX(Config!$D$9:$D$29,MATCH($B2689,Config!$B$9:$B$29,0))="Contrato",IF(INDEX(Config!$E$9:$E$29,MATCH($B2689,Config!$B$9:$B$29,0))="","",INDEX(Config!$E$9:$E$29,MATCH($B2689,Config!$B$9:$B$29,0))),""),""))</f>
        <v/>
      </c>
      <c r="AC2689" s="19" t="str">
        <f>IF($B2689="","",IFERROR(INDEX(Config!$D$9:$D$29,MATCH($B2689,Config!$B$9:$B$29,0))&amp;"",""))</f>
        <v/>
      </c>
    </row>
    <row r="2690">
      <c r="R2690" s="20" t="str">
        <f>IF($B2690="","",IFERROR(IF(INDEX(Config!$D$9:$D$29,MATCH($B2690,Config!$B$9:$B$29,0))="Contrato",IF(INDEX(Config!$E$9:$E$29,MATCH($B2690,Config!$B$9:$B$29,0))="","",INDEX(Config!$E$9:$E$29,MATCH($B2690,Config!$B$9:$B$29,0))),""),""))</f>
        <v/>
      </c>
      <c r="AC2690" s="19" t="str">
        <f>IF($B2690="","",IFERROR(INDEX(Config!$D$9:$D$29,MATCH($B2690,Config!$B$9:$B$29,0))&amp;"",""))</f>
        <v/>
      </c>
    </row>
    <row r="2691">
      <c r="R2691" s="20" t="str">
        <f>IF($B2691="","",IFERROR(IF(INDEX(Config!$D$9:$D$29,MATCH($B2691,Config!$B$9:$B$29,0))="Contrato",IF(INDEX(Config!$E$9:$E$29,MATCH($B2691,Config!$B$9:$B$29,0))="","",INDEX(Config!$E$9:$E$29,MATCH($B2691,Config!$B$9:$B$29,0))),""),""))</f>
        <v/>
      </c>
      <c r="AC2691" s="19" t="str">
        <f>IF($B2691="","",IFERROR(INDEX(Config!$D$9:$D$29,MATCH($B2691,Config!$B$9:$B$29,0))&amp;"",""))</f>
        <v/>
      </c>
    </row>
    <row r="2692">
      <c r="R2692" s="20" t="str">
        <f>IF($B2692="","",IFERROR(IF(INDEX(Config!$D$9:$D$29,MATCH($B2692,Config!$B$9:$B$29,0))="Contrato",IF(INDEX(Config!$E$9:$E$29,MATCH($B2692,Config!$B$9:$B$29,0))="","",INDEX(Config!$E$9:$E$29,MATCH($B2692,Config!$B$9:$B$29,0))),""),""))</f>
        <v/>
      </c>
      <c r="AC2692" s="19" t="str">
        <f>IF($B2692="","",IFERROR(INDEX(Config!$D$9:$D$29,MATCH($B2692,Config!$B$9:$B$29,0))&amp;"",""))</f>
        <v/>
      </c>
    </row>
    <row r="2693">
      <c r="R2693" s="20" t="str">
        <f>IF($B2693="","",IFERROR(IF(INDEX(Config!$D$9:$D$29,MATCH($B2693,Config!$B$9:$B$29,0))="Contrato",IF(INDEX(Config!$E$9:$E$29,MATCH($B2693,Config!$B$9:$B$29,0))="","",INDEX(Config!$E$9:$E$29,MATCH($B2693,Config!$B$9:$B$29,0))),""),""))</f>
        <v/>
      </c>
      <c r="AC2693" s="19" t="str">
        <f>IF($B2693="","",IFERROR(INDEX(Config!$D$9:$D$29,MATCH($B2693,Config!$B$9:$B$29,0))&amp;"",""))</f>
        <v/>
      </c>
    </row>
    <row r="2694">
      <c r="R2694" s="20" t="str">
        <f>IF($B2694="","",IFERROR(IF(INDEX(Config!$D$9:$D$29,MATCH($B2694,Config!$B$9:$B$29,0))="Contrato",IF(INDEX(Config!$E$9:$E$29,MATCH($B2694,Config!$B$9:$B$29,0))="","",INDEX(Config!$E$9:$E$29,MATCH($B2694,Config!$B$9:$B$29,0))),""),""))</f>
        <v/>
      </c>
      <c r="AC2694" s="19" t="str">
        <f>IF($B2694="","",IFERROR(INDEX(Config!$D$9:$D$29,MATCH($B2694,Config!$B$9:$B$29,0))&amp;"",""))</f>
        <v/>
      </c>
    </row>
    <row r="2695">
      <c r="R2695" s="20" t="str">
        <f>IF($B2695="","",IFERROR(IF(INDEX(Config!$D$9:$D$29,MATCH($B2695,Config!$B$9:$B$29,0))="Contrato",IF(INDEX(Config!$E$9:$E$29,MATCH($B2695,Config!$B$9:$B$29,0))="","",INDEX(Config!$E$9:$E$29,MATCH($B2695,Config!$B$9:$B$29,0))),""),""))</f>
        <v/>
      </c>
      <c r="AC2695" s="19" t="str">
        <f>IF($B2695="","",IFERROR(INDEX(Config!$D$9:$D$29,MATCH($B2695,Config!$B$9:$B$29,0))&amp;"",""))</f>
        <v/>
      </c>
    </row>
    <row r="2696">
      <c r="R2696" s="20" t="str">
        <f>IF($B2696="","",IFERROR(IF(INDEX(Config!$D$9:$D$29,MATCH($B2696,Config!$B$9:$B$29,0))="Contrato",IF(INDEX(Config!$E$9:$E$29,MATCH($B2696,Config!$B$9:$B$29,0))="","",INDEX(Config!$E$9:$E$29,MATCH($B2696,Config!$B$9:$B$29,0))),""),""))</f>
        <v/>
      </c>
      <c r="AC2696" s="19" t="str">
        <f>IF($B2696="","",IFERROR(INDEX(Config!$D$9:$D$29,MATCH($B2696,Config!$B$9:$B$29,0))&amp;"",""))</f>
        <v/>
      </c>
    </row>
    <row r="2697">
      <c r="R2697" s="20" t="str">
        <f>IF($B2697="","",IFERROR(IF(INDEX(Config!$D$9:$D$29,MATCH($B2697,Config!$B$9:$B$29,0))="Contrato",IF(INDEX(Config!$E$9:$E$29,MATCH($B2697,Config!$B$9:$B$29,0))="","",INDEX(Config!$E$9:$E$29,MATCH($B2697,Config!$B$9:$B$29,0))),""),""))</f>
        <v/>
      </c>
      <c r="AC2697" s="19" t="str">
        <f>IF($B2697="","",IFERROR(INDEX(Config!$D$9:$D$29,MATCH($B2697,Config!$B$9:$B$29,0))&amp;"",""))</f>
        <v/>
      </c>
    </row>
    <row r="2698">
      <c r="R2698" s="20" t="str">
        <f>IF($B2698="","",IFERROR(IF(INDEX(Config!$D$9:$D$29,MATCH($B2698,Config!$B$9:$B$29,0))="Contrato",IF(INDEX(Config!$E$9:$E$29,MATCH($B2698,Config!$B$9:$B$29,0))="","",INDEX(Config!$E$9:$E$29,MATCH($B2698,Config!$B$9:$B$29,0))),""),""))</f>
        <v/>
      </c>
      <c r="AC2698" s="19" t="str">
        <f>IF($B2698="","",IFERROR(INDEX(Config!$D$9:$D$29,MATCH($B2698,Config!$B$9:$B$29,0))&amp;"",""))</f>
        <v/>
      </c>
    </row>
    <row r="2699">
      <c r="R2699" s="20" t="str">
        <f>IF($B2699="","",IFERROR(IF(INDEX(Config!$D$9:$D$29,MATCH($B2699,Config!$B$9:$B$29,0))="Contrato",IF(INDEX(Config!$E$9:$E$29,MATCH($B2699,Config!$B$9:$B$29,0))="","",INDEX(Config!$E$9:$E$29,MATCH($B2699,Config!$B$9:$B$29,0))),""),""))</f>
        <v/>
      </c>
      <c r="AC2699" s="19" t="str">
        <f>IF($B2699="","",IFERROR(INDEX(Config!$D$9:$D$29,MATCH($B2699,Config!$B$9:$B$29,0))&amp;"",""))</f>
        <v/>
      </c>
    </row>
    <row r="2700">
      <c r="R2700" s="20" t="str">
        <f>IF($B2700="","",IFERROR(IF(INDEX(Config!$D$9:$D$29,MATCH($B2700,Config!$B$9:$B$29,0))="Contrato",IF(INDEX(Config!$E$9:$E$29,MATCH($B2700,Config!$B$9:$B$29,0))="","",INDEX(Config!$E$9:$E$29,MATCH($B2700,Config!$B$9:$B$29,0))),""),""))</f>
        <v/>
      </c>
      <c r="AC2700" s="19" t="str">
        <f>IF($B2700="","",IFERROR(INDEX(Config!$D$9:$D$29,MATCH($B2700,Config!$B$9:$B$29,0))&amp;"",""))</f>
        <v/>
      </c>
    </row>
    <row r="2701">
      <c r="R2701" s="20" t="str">
        <f>IF($B2701="","",IFERROR(IF(INDEX(Config!$D$9:$D$29,MATCH($B2701,Config!$B$9:$B$29,0))="Contrato",IF(INDEX(Config!$E$9:$E$29,MATCH($B2701,Config!$B$9:$B$29,0))="","",INDEX(Config!$E$9:$E$29,MATCH($B2701,Config!$B$9:$B$29,0))),""),""))</f>
        <v/>
      </c>
      <c r="AC2701" s="19" t="str">
        <f>IF($B2701="","",IFERROR(INDEX(Config!$D$9:$D$29,MATCH($B2701,Config!$B$9:$B$29,0))&amp;"",""))</f>
        <v/>
      </c>
    </row>
    <row r="2702">
      <c r="R2702" s="20" t="str">
        <f>IF($B2702="","",IFERROR(IF(INDEX(Config!$D$9:$D$29,MATCH($B2702,Config!$B$9:$B$29,0))="Contrato",IF(INDEX(Config!$E$9:$E$29,MATCH($B2702,Config!$B$9:$B$29,0))="","",INDEX(Config!$E$9:$E$29,MATCH($B2702,Config!$B$9:$B$29,0))),""),""))</f>
        <v/>
      </c>
      <c r="AC2702" s="19" t="str">
        <f>IF($B2702="","",IFERROR(INDEX(Config!$D$9:$D$29,MATCH($B2702,Config!$B$9:$B$29,0))&amp;"",""))</f>
        <v/>
      </c>
    </row>
    <row r="2703">
      <c r="R2703" s="20" t="str">
        <f>IF($B2703="","",IFERROR(IF(INDEX(Config!$D$9:$D$29,MATCH($B2703,Config!$B$9:$B$29,0))="Contrato",IF(INDEX(Config!$E$9:$E$29,MATCH($B2703,Config!$B$9:$B$29,0))="","",INDEX(Config!$E$9:$E$29,MATCH($B2703,Config!$B$9:$B$29,0))),""),""))</f>
        <v/>
      </c>
      <c r="AC2703" s="19" t="str">
        <f>IF($B2703="","",IFERROR(INDEX(Config!$D$9:$D$29,MATCH($B2703,Config!$B$9:$B$29,0))&amp;"",""))</f>
        <v/>
      </c>
    </row>
    <row r="2704">
      <c r="R2704" s="20" t="str">
        <f>IF($B2704="","",IFERROR(IF(INDEX(Config!$D$9:$D$29,MATCH($B2704,Config!$B$9:$B$29,0))="Contrato",IF(INDEX(Config!$E$9:$E$29,MATCH($B2704,Config!$B$9:$B$29,0))="","",INDEX(Config!$E$9:$E$29,MATCH($B2704,Config!$B$9:$B$29,0))),""),""))</f>
        <v/>
      </c>
      <c r="AC2704" s="19" t="str">
        <f>IF($B2704="","",IFERROR(INDEX(Config!$D$9:$D$29,MATCH($B2704,Config!$B$9:$B$29,0))&amp;"",""))</f>
        <v/>
      </c>
    </row>
    <row r="2705">
      <c r="R2705" s="20" t="str">
        <f>IF($B2705="","",IFERROR(IF(INDEX(Config!$D$9:$D$29,MATCH($B2705,Config!$B$9:$B$29,0))="Contrato",IF(INDEX(Config!$E$9:$E$29,MATCH($B2705,Config!$B$9:$B$29,0))="","",INDEX(Config!$E$9:$E$29,MATCH($B2705,Config!$B$9:$B$29,0))),""),""))</f>
        <v/>
      </c>
      <c r="AC2705" s="19" t="str">
        <f>IF($B2705="","",IFERROR(INDEX(Config!$D$9:$D$29,MATCH($B2705,Config!$B$9:$B$29,0))&amp;"",""))</f>
        <v/>
      </c>
    </row>
    <row r="2706">
      <c r="R2706" s="20" t="str">
        <f>IF($B2706="","",IFERROR(IF(INDEX(Config!$D$9:$D$29,MATCH($B2706,Config!$B$9:$B$29,0))="Contrato",IF(INDEX(Config!$E$9:$E$29,MATCH($B2706,Config!$B$9:$B$29,0))="","",INDEX(Config!$E$9:$E$29,MATCH($B2706,Config!$B$9:$B$29,0))),""),""))</f>
        <v/>
      </c>
      <c r="AC2706" s="19" t="str">
        <f>IF($B2706="","",IFERROR(INDEX(Config!$D$9:$D$29,MATCH($B2706,Config!$B$9:$B$29,0))&amp;"",""))</f>
        <v/>
      </c>
    </row>
    <row r="2707">
      <c r="R2707" s="20" t="str">
        <f>IF($B2707="","",IFERROR(IF(INDEX(Config!$D$9:$D$29,MATCH($B2707,Config!$B$9:$B$29,0))="Contrato",IF(INDEX(Config!$E$9:$E$29,MATCH($B2707,Config!$B$9:$B$29,0))="","",INDEX(Config!$E$9:$E$29,MATCH($B2707,Config!$B$9:$B$29,0))),""),""))</f>
        <v/>
      </c>
      <c r="AC2707" s="19" t="str">
        <f>IF($B2707="","",IFERROR(INDEX(Config!$D$9:$D$29,MATCH($B2707,Config!$B$9:$B$29,0))&amp;"",""))</f>
        <v/>
      </c>
    </row>
    <row r="2708">
      <c r="R2708" s="20" t="str">
        <f>IF($B2708="","",IFERROR(IF(INDEX(Config!$D$9:$D$29,MATCH($B2708,Config!$B$9:$B$29,0))="Contrato",IF(INDEX(Config!$E$9:$E$29,MATCH($B2708,Config!$B$9:$B$29,0))="","",INDEX(Config!$E$9:$E$29,MATCH($B2708,Config!$B$9:$B$29,0))),""),""))</f>
        <v/>
      </c>
      <c r="AC2708" s="19" t="str">
        <f>IF($B2708="","",IFERROR(INDEX(Config!$D$9:$D$29,MATCH($B2708,Config!$B$9:$B$29,0))&amp;"",""))</f>
        <v/>
      </c>
    </row>
    <row r="2709">
      <c r="R2709" s="20" t="str">
        <f>IF($B2709="","",IFERROR(IF(INDEX(Config!$D$9:$D$29,MATCH($B2709,Config!$B$9:$B$29,0))="Contrato",IF(INDEX(Config!$E$9:$E$29,MATCH($B2709,Config!$B$9:$B$29,0))="","",INDEX(Config!$E$9:$E$29,MATCH($B2709,Config!$B$9:$B$29,0))),""),""))</f>
        <v/>
      </c>
      <c r="AC2709" s="19" t="str">
        <f>IF($B2709="","",IFERROR(INDEX(Config!$D$9:$D$29,MATCH($B2709,Config!$B$9:$B$29,0))&amp;"",""))</f>
        <v/>
      </c>
    </row>
    <row r="2710">
      <c r="R2710" s="20" t="str">
        <f>IF($B2710="","",IFERROR(IF(INDEX(Config!$D$9:$D$29,MATCH($B2710,Config!$B$9:$B$29,0))="Contrato",IF(INDEX(Config!$E$9:$E$29,MATCH($B2710,Config!$B$9:$B$29,0))="","",INDEX(Config!$E$9:$E$29,MATCH($B2710,Config!$B$9:$B$29,0))),""),""))</f>
        <v/>
      </c>
      <c r="AC2710" s="19" t="str">
        <f>IF($B2710="","",IFERROR(INDEX(Config!$D$9:$D$29,MATCH($B2710,Config!$B$9:$B$29,0))&amp;"",""))</f>
        <v/>
      </c>
    </row>
    <row r="2711">
      <c r="R2711" s="20" t="str">
        <f>IF($B2711="","",IFERROR(IF(INDEX(Config!$D$9:$D$29,MATCH($B2711,Config!$B$9:$B$29,0))="Contrato",IF(INDEX(Config!$E$9:$E$29,MATCH($B2711,Config!$B$9:$B$29,0))="","",INDEX(Config!$E$9:$E$29,MATCH($B2711,Config!$B$9:$B$29,0))),""),""))</f>
        <v/>
      </c>
      <c r="AC2711" s="19" t="str">
        <f>IF($B2711="","",IFERROR(INDEX(Config!$D$9:$D$29,MATCH($B2711,Config!$B$9:$B$29,0))&amp;"",""))</f>
        <v/>
      </c>
    </row>
    <row r="2712">
      <c r="R2712" s="20" t="str">
        <f>IF($B2712="","",IFERROR(IF(INDEX(Config!$D$9:$D$29,MATCH($B2712,Config!$B$9:$B$29,0))="Contrato",IF(INDEX(Config!$E$9:$E$29,MATCH($B2712,Config!$B$9:$B$29,0))="","",INDEX(Config!$E$9:$E$29,MATCH($B2712,Config!$B$9:$B$29,0))),""),""))</f>
        <v/>
      </c>
      <c r="AC2712" s="19" t="str">
        <f>IF($B2712="","",IFERROR(INDEX(Config!$D$9:$D$29,MATCH($B2712,Config!$B$9:$B$29,0))&amp;"",""))</f>
        <v/>
      </c>
    </row>
    <row r="2713">
      <c r="R2713" s="20" t="str">
        <f>IF($B2713="","",IFERROR(IF(INDEX(Config!$D$9:$D$29,MATCH($B2713,Config!$B$9:$B$29,0))="Contrato",IF(INDEX(Config!$E$9:$E$29,MATCH($B2713,Config!$B$9:$B$29,0))="","",INDEX(Config!$E$9:$E$29,MATCH($B2713,Config!$B$9:$B$29,0))),""),""))</f>
        <v/>
      </c>
      <c r="AC2713" s="19" t="str">
        <f>IF($B2713="","",IFERROR(INDEX(Config!$D$9:$D$29,MATCH($B2713,Config!$B$9:$B$29,0))&amp;"",""))</f>
        <v/>
      </c>
    </row>
    <row r="2714">
      <c r="R2714" s="20" t="str">
        <f>IF($B2714="","",IFERROR(IF(INDEX(Config!$D$9:$D$29,MATCH($B2714,Config!$B$9:$B$29,0))="Contrato",IF(INDEX(Config!$E$9:$E$29,MATCH($B2714,Config!$B$9:$B$29,0))="","",INDEX(Config!$E$9:$E$29,MATCH($B2714,Config!$B$9:$B$29,0))),""),""))</f>
        <v/>
      </c>
      <c r="AC2714" s="19" t="str">
        <f>IF($B2714="","",IFERROR(INDEX(Config!$D$9:$D$29,MATCH($B2714,Config!$B$9:$B$29,0))&amp;"",""))</f>
        <v/>
      </c>
    </row>
    <row r="2715">
      <c r="R2715" s="20" t="str">
        <f>IF($B2715="","",IFERROR(IF(INDEX(Config!$D$9:$D$29,MATCH($B2715,Config!$B$9:$B$29,0))="Contrato",IF(INDEX(Config!$E$9:$E$29,MATCH($B2715,Config!$B$9:$B$29,0))="","",INDEX(Config!$E$9:$E$29,MATCH($B2715,Config!$B$9:$B$29,0))),""),""))</f>
        <v/>
      </c>
      <c r="AC2715" s="19" t="str">
        <f>IF($B2715="","",IFERROR(INDEX(Config!$D$9:$D$29,MATCH($B2715,Config!$B$9:$B$29,0))&amp;"",""))</f>
        <v/>
      </c>
    </row>
    <row r="2716">
      <c r="R2716" s="20" t="str">
        <f>IF($B2716="","",IFERROR(IF(INDEX(Config!$D$9:$D$29,MATCH($B2716,Config!$B$9:$B$29,0))="Contrato",IF(INDEX(Config!$E$9:$E$29,MATCH($B2716,Config!$B$9:$B$29,0))="","",INDEX(Config!$E$9:$E$29,MATCH($B2716,Config!$B$9:$B$29,0))),""),""))</f>
        <v/>
      </c>
      <c r="AC2716" s="19" t="str">
        <f>IF($B2716="","",IFERROR(INDEX(Config!$D$9:$D$29,MATCH($B2716,Config!$B$9:$B$29,0))&amp;"",""))</f>
        <v/>
      </c>
    </row>
    <row r="2717">
      <c r="R2717" s="20" t="str">
        <f>IF($B2717="","",IFERROR(IF(INDEX(Config!$D$9:$D$29,MATCH($B2717,Config!$B$9:$B$29,0))="Contrato",IF(INDEX(Config!$E$9:$E$29,MATCH($B2717,Config!$B$9:$B$29,0))="","",INDEX(Config!$E$9:$E$29,MATCH($B2717,Config!$B$9:$B$29,0))),""),""))</f>
        <v/>
      </c>
      <c r="AC2717" s="19" t="str">
        <f>IF($B2717="","",IFERROR(INDEX(Config!$D$9:$D$29,MATCH($B2717,Config!$B$9:$B$29,0))&amp;"",""))</f>
        <v/>
      </c>
    </row>
    <row r="2718">
      <c r="R2718" s="20" t="str">
        <f>IF($B2718="","",IFERROR(IF(INDEX(Config!$D$9:$D$29,MATCH($B2718,Config!$B$9:$B$29,0))="Contrato",IF(INDEX(Config!$E$9:$E$29,MATCH($B2718,Config!$B$9:$B$29,0))="","",INDEX(Config!$E$9:$E$29,MATCH($B2718,Config!$B$9:$B$29,0))),""),""))</f>
        <v/>
      </c>
      <c r="AC2718" s="19" t="str">
        <f>IF($B2718="","",IFERROR(INDEX(Config!$D$9:$D$29,MATCH($B2718,Config!$B$9:$B$29,0))&amp;"",""))</f>
        <v/>
      </c>
    </row>
    <row r="2719">
      <c r="R2719" s="20" t="str">
        <f>IF($B2719="","",IFERROR(IF(INDEX(Config!$D$9:$D$29,MATCH($B2719,Config!$B$9:$B$29,0))="Contrato",IF(INDEX(Config!$E$9:$E$29,MATCH($B2719,Config!$B$9:$B$29,0))="","",INDEX(Config!$E$9:$E$29,MATCH($B2719,Config!$B$9:$B$29,0))),""),""))</f>
        <v/>
      </c>
      <c r="AC2719" s="19" t="str">
        <f>IF($B2719="","",IFERROR(INDEX(Config!$D$9:$D$29,MATCH($B2719,Config!$B$9:$B$29,0))&amp;"",""))</f>
        <v/>
      </c>
    </row>
    <row r="2720">
      <c r="R2720" s="20" t="str">
        <f>IF($B2720="","",IFERROR(IF(INDEX(Config!$D$9:$D$29,MATCH($B2720,Config!$B$9:$B$29,0))="Contrato",IF(INDEX(Config!$E$9:$E$29,MATCH($B2720,Config!$B$9:$B$29,0))="","",INDEX(Config!$E$9:$E$29,MATCH($B2720,Config!$B$9:$B$29,0))),""),""))</f>
        <v/>
      </c>
      <c r="AC2720" s="19" t="str">
        <f>IF($B2720="","",IFERROR(INDEX(Config!$D$9:$D$29,MATCH($B2720,Config!$B$9:$B$29,0))&amp;"",""))</f>
        <v/>
      </c>
    </row>
    <row r="2721">
      <c r="R2721" s="20" t="str">
        <f>IF($B2721="","",IFERROR(IF(INDEX(Config!$D$9:$D$29,MATCH($B2721,Config!$B$9:$B$29,0))="Contrato",IF(INDEX(Config!$E$9:$E$29,MATCH($B2721,Config!$B$9:$B$29,0))="","",INDEX(Config!$E$9:$E$29,MATCH($B2721,Config!$B$9:$B$29,0))),""),""))</f>
        <v/>
      </c>
      <c r="AC2721" s="19" t="str">
        <f>IF($B2721="","",IFERROR(INDEX(Config!$D$9:$D$29,MATCH($B2721,Config!$B$9:$B$29,0))&amp;"",""))</f>
        <v/>
      </c>
    </row>
    <row r="2722">
      <c r="R2722" s="20" t="str">
        <f>IF($B2722="","",IFERROR(IF(INDEX(Config!$D$9:$D$29,MATCH($B2722,Config!$B$9:$B$29,0))="Contrato",IF(INDEX(Config!$E$9:$E$29,MATCH($B2722,Config!$B$9:$B$29,0))="","",INDEX(Config!$E$9:$E$29,MATCH($B2722,Config!$B$9:$B$29,0))),""),""))</f>
        <v/>
      </c>
      <c r="AC2722" s="19" t="str">
        <f>IF($B2722="","",IFERROR(INDEX(Config!$D$9:$D$29,MATCH($B2722,Config!$B$9:$B$29,0))&amp;"",""))</f>
        <v/>
      </c>
    </row>
    <row r="2723">
      <c r="R2723" s="20" t="str">
        <f>IF($B2723="","",IFERROR(IF(INDEX(Config!$D$9:$D$29,MATCH($B2723,Config!$B$9:$B$29,0))="Contrato",IF(INDEX(Config!$E$9:$E$29,MATCH($B2723,Config!$B$9:$B$29,0))="","",INDEX(Config!$E$9:$E$29,MATCH($B2723,Config!$B$9:$B$29,0))),""),""))</f>
        <v/>
      </c>
      <c r="AC2723" s="19" t="str">
        <f>IF($B2723="","",IFERROR(INDEX(Config!$D$9:$D$29,MATCH($B2723,Config!$B$9:$B$29,0))&amp;"",""))</f>
        <v/>
      </c>
    </row>
    <row r="2724">
      <c r="R2724" s="20" t="str">
        <f>IF($B2724="","",IFERROR(IF(INDEX(Config!$D$9:$D$29,MATCH($B2724,Config!$B$9:$B$29,0))="Contrato",IF(INDEX(Config!$E$9:$E$29,MATCH($B2724,Config!$B$9:$B$29,0))="","",INDEX(Config!$E$9:$E$29,MATCH($B2724,Config!$B$9:$B$29,0))),""),""))</f>
        <v/>
      </c>
      <c r="AC2724" s="19" t="str">
        <f>IF($B2724="","",IFERROR(INDEX(Config!$D$9:$D$29,MATCH($B2724,Config!$B$9:$B$29,0))&amp;"",""))</f>
        <v/>
      </c>
    </row>
    <row r="2725">
      <c r="R2725" s="20" t="str">
        <f>IF($B2725="","",IFERROR(IF(INDEX(Config!$D$9:$D$29,MATCH($B2725,Config!$B$9:$B$29,0))="Contrato",IF(INDEX(Config!$E$9:$E$29,MATCH($B2725,Config!$B$9:$B$29,0))="","",INDEX(Config!$E$9:$E$29,MATCH($B2725,Config!$B$9:$B$29,0))),""),""))</f>
        <v/>
      </c>
      <c r="AC2725" s="19" t="str">
        <f>IF($B2725="","",IFERROR(INDEX(Config!$D$9:$D$29,MATCH($B2725,Config!$B$9:$B$29,0))&amp;"",""))</f>
        <v/>
      </c>
    </row>
    <row r="2726">
      <c r="R2726" s="20" t="str">
        <f>IF($B2726="","",IFERROR(IF(INDEX(Config!$D$9:$D$29,MATCH($B2726,Config!$B$9:$B$29,0))="Contrato",IF(INDEX(Config!$E$9:$E$29,MATCH($B2726,Config!$B$9:$B$29,0))="","",INDEX(Config!$E$9:$E$29,MATCH($B2726,Config!$B$9:$B$29,0))),""),""))</f>
        <v/>
      </c>
      <c r="AC2726" s="19" t="str">
        <f>IF($B2726="","",IFERROR(INDEX(Config!$D$9:$D$29,MATCH($B2726,Config!$B$9:$B$29,0))&amp;"",""))</f>
        <v/>
      </c>
    </row>
    <row r="2727">
      <c r="R2727" s="20" t="str">
        <f>IF($B2727="","",IFERROR(IF(INDEX(Config!$D$9:$D$29,MATCH($B2727,Config!$B$9:$B$29,0))="Contrato",IF(INDEX(Config!$E$9:$E$29,MATCH($B2727,Config!$B$9:$B$29,0))="","",INDEX(Config!$E$9:$E$29,MATCH($B2727,Config!$B$9:$B$29,0))),""),""))</f>
        <v/>
      </c>
      <c r="AC2727" s="19" t="str">
        <f>IF($B2727="","",IFERROR(INDEX(Config!$D$9:$D$29,MATCH($B2727,Config!$B$9:$B$29,0))&amp;"",""))</f>
        <v/>
      </c>
    </row>
    <row r="2728">
      <c r="R2728" s="20" t="str">
        <f>IF($B2728="","",IFERROR(IF(INDEX(Config!$D$9:$D$29,MATCH($B2728,Config!$B$9:$B$29,0))="Contrato",IF(INDEX(Config!$E$9:$E$29,MATCH($B2728,Config!$B$9:$B$29,0))="","",INDEX(Config!$E$9:$E$29,MATCH($B2728,Config!$B$9:$B$29,0))),""),""))</f>
        <v/>
      </c>
      <c r="AC2728" s="19" t="str">
        <f>IF($B2728="","",IFERROR(INDEX(Config!$D$9:$D$29,MATCH($B2728,Config!$B$9:$B$29,0))&amp;"",""))</f>
        <v/>
      </c>
    </row>
    <row r="2729">
      <c r="R2729" s="20" t="str">
        <f>IF($B2729="","",IFERROR(IF(INDEX(Config!$D$9:$D$29,MATCH($B2729,Config!$B$9:$B$29,0))="Contrato",IF(INDEX(Config!$E$9:$E$29,MATCH($B2729,Config!$B$9:$B$29,0))="","",INDEX(Config!$E$9:$E$29,MATCH($B2729,Config!$B$9:$B$29,0))),""),""))</f>
        <v/>
      </c>
      <c r="AC2729" s="19" t="str">
        <f>IF($B2729="","",IFERROR(INDEX(Config!$D$9:$D$29,MATCH($B2729,Config!$B$9:$B$29,0))&amp;"",""))</f>
        <v/>
      </c>
    </row>
    <row r="2730">
      <c r="R2730" s="20" t="str">
        <f>IF($B2730="","",IFERROR(IF(INDEX(Config!$D$9:$D$29,MATCH($B2730,Config!$B$9:$B$29,0))="Contrato",IF(INDEX(Config!$E$9:$E$29,MATCH($B2730,Config!$B$9:$B$29,0))="","",INDEX(Config!$E$9:$E$29,MATCH($B2730,Config!$B$9:$B$29,0))),""),""))</f>
        <v/>
      </c>
      <c r="AC2730" s="19" t="str">
        <f>IF($B2730="","",IFERROR(INDEX(Config!$D$9:$D$29,MATCH($B2730,Config!$B$9:$B$29,0))&amp;"",""))</f>
        <v/>
      </c>
    </row>
    <row r="2731">
      <c r="R2731" s="20" t="str">
        <f>IF($B2731="","",IFERROR(IF(INDEX(Config!$D$9:$D$29,MATCH($B2731,Config!$B$9:$B$29,0))="Contrato",IF(INDEX(Config!$E$9:$E$29,MATCH($B2731,Config!$B$9:$B$29,0))="","",INDEX(Config!$E$9:$E$29,MATCH($B2731,Config!$B$9:$B$29,0))),""),""))</f>
        <v/>
      </c>
      <c r="AC2731" s="19" t="str">
        <f>IF($B2731="","",IFERROR(INDEX(Config!$D$9:$D$29,MATCH($B2731,Config!$B$9:$B$29,0))&amp;"",""))</f>
        <v/>
      </c>
    </row>
    <row r="2732">
      <c r="R2732" s="20" t="str">
        <f>IF($B2732="","",IFERROR(IF(INDEX(Config!$D$9:$D$29,MATCH($B2732,Config!$B$9:$B$29,0))="Contrato",IF(INDEX(Config!$E$9:$E$29,MATCH($B2732,Config!$B$9:$B$29,0))="","",INDEX(Config!$E$9:$E$29,MATCH($B2732,Config!$B$9:$B$29,0))),""),""))</f>
        <v/>
      </c>
      <c r="AC2732" s="19" t="str">
        <f>IF($B2732="","",IFERROR(INDEX(Config!$D$9:$D$29,MATCH($B2732,Config!$B$9:$B$29,0))&amp;"",""))</f>
        <v/>
      </c>
    </row>
    <row r="2733">
      <c r="R2733" s="20" t="str">
        <f>IF($B2733="","",IFERROR(IF(INDEX(Config!$D$9:$D$29,MATCH($B2733,Config!$B$9:$B$29,0))="Contrato",IF(INDEX(Config!$E$9:$E$29,MATCH($B2733,Config!$B$9:$B$29,0))="","",INDEX(Config!$E$9:$E$29,MATCH($B2733,Config!$B$9:$B$29,0))),""),""))</f>
        <v/>
      </c>
      <c r="AC2733" s="19" t="str">
        <f>IF($B2733="","",IFERROR(INDEX(Config!$D$9:$D$29,MATCH($B2733,Config!$B$9:$B$29,0))&amp;"",""))</f>
        <v/>
      </c>
    </row>
    <row r="2734">
      <c r="R2734" s="20" t="str">
        <f>IF($B2734="","",IFERROR(IF(INDEX(Config!$D$9:$D$29,MATCH($B2734,Config!$B$9:$B$29,0))="Contrato",IF(INDEX(Config!$E$9:$E$29,MATCH($B2734,Config!$B$9:$B$29,0))="","",INDEX(Config!$E$9:$E$29,MATCH($B2734,Config!$B$9:$B$29,0))),""),""))</f>
        <v/>
      </c>
      <c r="AC2734" s="19" t="str">
        <f>IF($B2734="","",IFERROR(INDEX(Config!$D$9:$D$29,MATCH($B2734,Config!$B$9:$B$29,0))&amp;"",""))</f>
        <v/>
      </c>
    </row>
    <row r="2735">
      <c r="R2735" s="20" t="str">
        <f>IF($B2735="","",IFERROR(IF(INDEX(Config!$D$9:$D$29,MATCH($B2735,Config!$B$9:$B$29,0))="Contrato",IF(INDEX(Config!$E$9:$E$29,MATCH($B2735,Config!$B$9:$B$29,0))="","",INDEX(Config!$E$9:$E$29,MATCH($B2735,Config!$B$9:$B$29,0))),""),""))</f>
        <v/>
      </c>
      <c r="AC2735" s="19" t="str">
        <f>IF($B2735="","",IFERROR(INDEX(Config!$D$9:$D$29,MATCH($B2735,Config!$B$9:$B$29,0))&amp;"",""))</f>
        <v/>
      </c>
    </row>
    <row r="2736">
      <c r="R2736" s="20" t="str">
        <f>IF($B2736="","",IFERROR(IF(INDEX(Config!$D$9:$D$29,MATCH($B2736,Config!$B$9:$B$29,0))="Contrato",IF(INDEX(Config!$E$9:$E$29,MATCH($B2736,Config!$B$9:$B$29,0))="","",INDEX(Config!$E$9:$E$29,MATCH($B2736,Config!$B$9:$B$29,0))),""),""))</f>
        <v/>
      </c>
      <c r="AC2736" s="19" t="str">
        <f>IF($B2736="","",IFERROR(INDEX(Config!$D$9:$D$29,MATCH($B2736,Config!$B$9:$B$29,0))&amp;"",""))</f>
        <v/>
      </c>
    </row>
    <row r="2737">
      <c r="R2737" s="20" t="str">
        <f>IF($B2737="","",IFERROR(IF(INDEX(Config!$D$9:$D$29,MATCH($B2737,Config!$B$9:$B$29,0))="Contrato",IF(INDEX(Config!$E$9:$E$29,MATCH($B2737,Config!$B$9:$B$29,0))="","",INDEX(Config!$E$9:$E$29,MATCH($B2737,Config!$B$9:$B$29,0))),""),""))</f>
        <v/>
      </c>
      <c r="AC2737" s="19" t="str">
        <f>IF($B2737="","",IFERROR(INDEX(Config!$D$9:$D$29,MATCH($B2737,Config!$B$9:$B$29,0))&amp;"",""))</f>
        <v/>
      </c>
    </row>
    <row r="2738">
      <c r="R2738" s="20" t="str">
        <f>IF($B2738="","",IFERROR(IF(INDEX(Config!$D$9:$D$29,MATCH($B2738,Config!$B$9:$B$29,0))="Contrato",IF(INDEX(Config!$E$9:$E$29,MATCH($B2738,Config!$B$9:$B$29,0))="","",INDEX(Config!$E$9:$E$29,MATCH($B2738,Config!$B$9:$B$29,0))),""),""))</f>
        <v/>
      </c>
      <c r="AC2738" s="19" t="str">
        <f>IF($B2738="","",IFERROR(INDEX(Config!$D$9:$D$29,MATCH($B2738,Config!$B$9:$B$29,0))&amp;"",""))</f>
        <v/>
      </c>
    </row>
    <row r="2739">
      <c r="R2739" s="20" t="str">
        <f>IF($B2739="","",IFERROR(IF(INDEX(Config!$D$9:$D$29,MATCH($B2739,Config!$B$9:$B$29,0))="Contrato",IF(INDEX(Config!$E$9:$E$29,MATCH($B2739,Config!$B$9:$B$29,0))="","",INDEX(Config!$E$9:$E$29,MATCH($B2739,Config!$B$9:$B$29,0))),""),""))</f>
        <v/>
      </c>
      <c r="AC2739" s="19" t="str">
        <f>IF($B2739="","",IFERROR(INDEX(Config!$D$9:$D$29,MATCH($B2739,Config!$B$9:$B$29,0))&amp;"",""))</f>
        <v/>
      </c>
    </row>
    <row r="2740">
      <c r="R2740" s="20" t="str">
        <f>IF($B2740="","",IFERROR(IF(INDEX(Config!$D$9:$D$29,MATCH($B2740,Config!$B$9:$B$29,0))="Contrato",IF(INDEX(Config!$E$9:$E$29,MATCH($B2740,Config!$B$9:$B$29,0))="","",INDEX(Config!$E$9:$E$29,MATCH($B2740,Config!$B$9:$B$29,0))),""),""))</f>
        <v/>
      </c>
      <c r="AC2740" s="19" t="str">
        <f>IF($B2740="","",IFERROR(INDEX(Config!$D$9:$D$29,MATCH($B2740,Config!$B$9:$B$29,0))&amp;"",""))</f>
        <v/>
      </c>
    </row>
    <row r="2741">
      <c r="R2741" s="20" t="str">
        <f>IF($B2741="","",IFERROR(IF(INDEX(Config!$D$9:$D$29,MATCH($B2741,Config!$B$9:$B$29,0))="Contrato",IF(INDEX(Config!$E$9:$E$29,MATCH($B2741,Config!$B$9:$B$29,0))="","",INDEX(Config!$E$9:$E$29,MATCH($B2741,Config!$B$9:$B$29,0))),""),""))</f>
        <v/>
      </c>
      <c r="AC2741" s="19" t="str">
        <f>IF($B2741="","",IFERROR(INDEX(Config!$D$9:$D$29,MATCH($B2741,Config!$B$9:$B$29,0))&amp;"",""))</f>
        <v/>
      </c>
    </row>
    <row r="2742">
      <c r="R2742" s="20" t="str">
        <f>IF($B2742="","",IFERROR(IF(INDEX(Config!$D$9:$D$29,MATCH($B2742,Config!$B$9:$B$29,0))="Contrato",IF(INDEX(Config!$E$9:$E$29,MATCH($B2742,Config!$B$9:$B$29,0))="","",INDEX(Config!$E$9:$E$29,MATCH($B2742,Config!$B$9:$B$29,0))),""),""))</f>
        <v/>
      </c>
      <c r="AC2742" s="19" t="str">
        <f>IF($B2742="","",IFERROR(INDEX(Config!$D$9:$D$29,MATCH($B2742,Config!$B$9:$B$29,0))&amp;"",""))</f>
        <v/>
      </c>
    </row>
    <row r="2743">
      <c r="R2743" s="20" t="str">
        <f>IF($B2743="","",IFERROR(IF(INDEX(Config!$D$9:$D$29,MATCH($B2743,Config!$B$9:$B$29,0))="Contrato",IF(INDEX(Config!$E$9:$E$29,MATCH($B2743,Config!$B$9:$B$29,0))="","",INDEX(Config!$E$9:$E$29,MATCH($B2743,Config!$B$9:$B$29,0))),""),""))</f>
        <v/>
      </c>
      <c r="AC2743" s="19" t="str">
        <f>IF($B2743="","",IFERROR(INDEX(Config!$D$9:$D$29,MATCH($B2743,Config!$B$9:$B$29,0))&amp;"",""))</f>
        <v/>
      </c>
    </row>
    <row r="2744">
      <c r="R2744" s="20" t="str">
        <f>IF($B2744="","",IFERROR(IF(INDEX(Config!$D$9:$D$29,MATCH($B2744,Config!$B$9:$B$29,0))="Contrato",IF(INDEX(Config!$E$9:$E$29,MATCH($B2744,Config!$B$9:$B$29,0))="","",INDEX(Config!$E$9:$E$29,MATCH($B2744,Config!$B$9:$B$29,0))),""),""))</f>
        <v/>
      </c>
      <c r="AC2744" s="19" t="str">
        <f>IF($B2744="","",IFERROR(INDEX(Config!$D$9:$D$29,MATCH($B2744,Config!$B$9:$B$29,0))&amp;"",""))</f>
        <v/>
      </c>
    </row>
    <row r="2745">
      <c r="R2745" s="20" t="str">
        <f>IF($B2745="","",IFERROR(IF(INDEX(Config!$D$9:$D$29,MATCH($B2745,Config!$B$9:$B$29,0))="Contrato",IF(INDEX(Config!$E$9:$E$29,MATCH($B2745,Config!$B$9:$B$29,0))="","",INDEX(Config!$E$9:$E$29,MATCH($B2745,Config!$B$9:$B$29,0))),""),""))</f>
        <v/>
      </c>
      <c r="AC2745" s="19" t="str">
        <f>IF($B2745="","",IFERROR(INDEX(Config!$D$9:$D$29,MATCH($B2745,Config!$B$9:$B$29,0))&amp;"",""))</f>
        <v/>
      </c>
    </row>
    <row r="2746">
      <c r="R2746" s="20" t="str">
        <f>IF($B2746="","",IFERROR(IF(INDEX(Config!$D$9:$D$29,MATCH($B2746,Config!$B$9:$B$29,0))="Contrato",IF(INDEX(Config!$E$9:$E$29,MATCH($B2746,Config!$B$9:$B$29,0))="","",INDEX(Config!$E$9:$E$29,MATCH($B2746,Config!$B$9:$B$29,0))),""),""))</f>
        <v/>
      </c>
      <c r="AC2746" s="19" t="str">
        <f>IF($B2746="","",IFERROR(INDEX(Config!$D$9:$D$29,MATCH($B2746,Config!$B$9:$B$29,0))&amp;"",""))</f>
        <v/>
      </c>
    </row>
    <row r="2747">
      <c r="R2747" s="20" t="str">
        <f>IF($B2747="","",IFERROR(IF(INDEX(Config!$D$9:$D$29,MATCH($B2747,Config!$B$9:$B$29,0))="Contrato",IF(INDEX(Config!$E$9:$E$29,MATCH($B2747,Config!$B$9:$B$29,0))="","",INDEX(Config!$E$9:$E$29,MATCH($B2747,Config!$B$9:$B$29,0))),""),""))</f>
        <v/>
      </c>
      <c r="AC2747" s="19" t="str">
        <f>IF($B2747="","",IFERROR(INDEX(Config!$D$9:$D$29,MATCH($B2747,Config!$B$9:$B$29,0))&amp;"",""))</f>
        <v/>
      </c>
    </row>
    <row r="2748">
      <c r="R2748" s="20" t="str">
        <f>IF($B2748="","",IFERROR(IF(INDEX(Config!$D$9:$D$29,MATCH($B2748,Config!$B$9:$B$29,0))="Contrato",IF(INDEX(Config!$E$9:$E$29,MATCH($B2748,Config!$B$9:$B$29,0))="","",INDEX(Config!$E$9:$E$29,MATCH($B2748,Config!$B$9:$B$29,0))),""),""))</f>
        <v/>
      </c>
      <c r="AC2748" s="19" t="str">
        <f>IF($B2748="","",IFERROR(INDEX(Config!$D$9:$D$29,MATCH($B2748,Config!$B$9:$B$29,0))&amp;"",""))</f>
        <v/>
      </c>
    </row>
    <row r="2749">
      <c r="R2749" s="20" t="str">
        <f>IF($B2749="","",IFERROR(IF(INDEX(Config!$D$9:$D$29,MATCH($B2749,Config!$B$9:$B$29,0))="Contrato",IF(INDEX(Config!$E$9:$E$29,MATCH($B2749,Config!$B$9:$B$29,0))="","",INDEX(Config!$E$9:$E$29,MATCH($B2749,Config!$B$9:$B$29,0))),""),""))</f>
        <v/>
      </c>
      <c r="AC2749" s="19" t="str">
        <f>IF($B2749="","",IFERROR(INDEX(Config!$D$9:$D$29,MATCH($B2749,Config!$B$9:$B$29,0))&amp;"",""))</f>
        <v/>
      </c>
    </row>
    <row r="2750">
      <c r="R2750" s="20" t="str">
        <f>IF($B2750="","",IFERROR(IF(INDEX(Config!$D$9:$D$29,MATCH($B2750,Config!$B$9:$B$29,0))="Contrato",IF(INDEX(Config!$E$9:$E$29,MATCH($B2750,Config!$B$9:$B$29,0))="","",INDEX(Config!$E$9:$E$29,MATCH($B2750,Config!$B$9:$B$29,0))),""),""))</f>
        <v/>
      </c>
      <c r="AC2750" s="19" t="str">
        <f>IF($B2750="","",IFERROR(INDEX(Config!$D$9:$D$29,MATCH($B2750,Config!$B$9:$B$29,0))&amp;"",""))</f>
        <v/>
      </c>
    </row>
    <row r="2751">
      <c r="R2751" s="20" t="str">
        <f>IF($B2751="","",IFERROR(IF(INDEX(Config!$D$9:$D$29,MATCH($B2751,Config!$B$9:$B$29,0))="Contrato",IF(INDEX(Config!$E$9:$E$29,MATCH($B2751,Config!$B$9:$B$29,0))="","",INDEX(Config!$E$9:$E$29,MATCH($B2751,Config!$B$9:$B$29,0))),""),""))</f>
        <v/>
      </c>
      <c r="AC2751" s="19" t="str">
        <f>IF($B2751="","",IFERROR(INDEX(Config!$D$9:$D$29,MATCH($B2751,Config!$B$9:$B$29,0))&amp;"",""))</f>
        <v/>
      </c>
    </row>
    <row r="2752">
      <c r="R2752" s="20" t="str">
        <f>IF($B2752="","",IFERROR(IF(INDEX(Config!$D$9:$D$29,MATCH($B2752,Config!$B$9:$B$29,0))="Contrato",IF(INDEX(Config!$E$9:$E$29,MATCH($B2752,Config!$B$9:$B$29,0))="","",INDEX(Config!$E$9:$E$29,MATCH($B2752,Config!$B$9:$B$29,0))),""),""))</f>
        <v/>
      </c>
      <c r="AC2752" s="19" t="str">
        <f>IF($B2752="","",IFERROR(INDEX(Config!$D$9:$D$29,MATCH($B2752,Config!$B$9:$B$29,0))&amp;"",""))</f>
        <v/>
      </c>
    </row>
    <row r="2753">
      <c r="R2753" s="20" t="str">
        <f>IF($B2753="","",IFERROR(IF(INDEX(Config!$D$9:$D$29,MATCH($B2753,Config!$B$9:$B$29,0))="Contrato",IF(INDEX(Config!$E$9:$E$29,MATCH($B2753,Config!$B$9:$B$29,0))="","",INDEX(Config!$E$9:$E$29,MATCH($B2753,Config!$B$9:$B$29,0))),""),""))</f>
        <v/>
      </c>
      <c r="AC2753" s="19" t="str">
        <f>IF($B2753="","",IFERROR(INDEX(Config!$D$9:$D$29,MATCH($B2753,Config!$B$9:$B$29,0))&amp;"",""))</f>
        <v/>
      </c>
    </row>
    <row r="2754">
      <c r="R2754" s="20" t="str">
        <f>IF($B2754="","",IFERROR(IF(INDEX(Config!$D$9:$D$29,MATCH($B2754,Config!$B$9:$B$29,0))="Contrato",IF(INDEX(Config!$E$9:$E$29,MATCH($B2754,Config!$B$9:$B$29,0))="","",INDEX(Config!$E$9:$E$29,MATCH($B2754,Config!$B$9:$B$29,0))),""),""))</f>
        <v/>
      </c>
      <c r="AC2754" s="19" t="str">
        <f>IF($B2754="","",IFERROR(INDEX(Config!$D$9:$D$29,MATCH($B2754,Config!$B$9:$B$29,0))&amp;"",""))</f>
        <v/>
      </c>
    </row>
    <row r="2755">
      <c r="R2755" s="20" t="str">
        <f>IF($B2755="","",IFERROR(IF(INDEX(Config!$D$9:$D$29,MATCH($B2755,Config!$B$9:$B$29,0))="Contrato",IF(INDEX(Config!$E$9:$E$29,MATCH($B2755,Config!$B$9:$B$29,0))="","",INDEX(Config!$E$9:$E$29,MATCH($B2755,Config!$B$9:$B$29,0))),""),""))</f>
        <v/>
      </c>
      <c r="AC2755" s="19" t="str">
        <f>IF($B2755="","",IFERROR(INDEX(Config!$D$9:$D$29,MATCH($B2755,Config!$B$9:$B$29,0))&amp;"",""))</f>
        <v/>
      </c>
    </row>
    <row r="2756">
      <c r="R2756" s="20" t="str">
        <f>IF($B2756="","",IFERROR(IF(INDEX(Config!$D$9:$D$29,MATCH($B2756,Config!$B$9:$B$29,0))="Contrato",IF(INDEX(Config!$E$9:$E$29,MATCH($B2756,Config!$B$9:$B$29,0))="","",INDEX(Config!$E$9:$E$29,MATCH($B2756,Config!$B$9:$B$29,0))),""),""))</f>
        <v/>
      </c>
      <c r="AC2756" s="19" t="str">
        <f>IF($B2756="","",IFERROR(INDEX(Config!$D$9:$D$29,MATCH($B2756,Config!$B$9:$B$29,0))&amp;"",""))</f>
        <v/>
      </c>
    </row>
    <row r="2757">
      <c r="R2757" s="20" t="str">
        <f>IF($B2757="","",IFERROR(IF(INDEX(Config!$D$9:$D$29,MATCH($B2757,Config!$B$9:$B$29,0))="Contrato",IF(INDEX(Config!$E$9:$E$29,MATCH($B2757,Config!$B$9:$B$29,0))="","",INDEX(Config!$E$9:$E$29,MATCH($B2757,Config!$B$9:$B$29,0))),""),""))</f>
        <v/>
      </c>
      <c r="AC2757" s="19" t="str">
        <f>IF($B2757="","",IFERROR(INDEX(Config!$D$9:$D$29,MATCH($B2757,Config!$B$9:$B$29,0))&amp;"",""))</f>
        <v/>
      </c>
    </row>
    <row r="2758">
      <c r="R2758" s="20" t="str">
        <f>IF($B2758="","",IFERROR(IF(INDEX(Config!$D$9:$D$29,MATCH($B2758,Config!$B$9:$B$29,0))="Contrato",IF(INDEX(Config!$E$9:$E$29,MATCH($B2758,Config!$B$9:$B$29,0))="","",INDEX(Config!$E$9:$E$29,MATCH($B2758,Config!$B$9:$B$29,0))),""),""))</f>
        <v/>
      </c>
      <c r="AC2758" s="19" t="str">
        <f>IF($B2758="","",IFERROR(INDEX(Config!$D$9:$D$29,MATCH($B2758,Config!$B$9:$B$29,0))&amp;"",""))</f>
        <v/>
      </c>
    </row>
    <row r="2759">
      <c r="R2759" s="20" t="str">
        <f>IF($B2759="","",IFERROR(IF(INDEX(Config!$D$9:$D$29,MATCH($B2759,Config!$B$9:$B$29,0))="Contrato",IF(INDEX(Config!$E$9:$E$29,MATCH($B2759,Config!$B$9:$B$29,0))="","",INDEX(Config!$E$9:$E$29,MATCH($B2759,Config!$B$9:$B$29,0))),""),""))</f>
        <v/>
      </c>
      <c r="AC2759" s="19" t="str">
        <f>IF($B2759="","",IFERROR(INDEX(Config!$D$9:$D$29,MATCH($B2759,Config!$B$9:$B$29,0))&amp;"",""))</f>
        <v/>
      </c>
    </row>
    <row r="2760">
      <c r="R2760" s="20" t="str">
        <f>IF($B2760="","",IFERROR(IF(INDEX(Config!$D$9:$D$29,MATCH($B2760,Config!$B$9:$B$29,0))="Contrato",IF(INDEX(Config!$E$9:$E$29,MATCH($B2760,Config!$B$9:$B$29,0))="","",INDEX(Config!$E$9:$E$29,MATCH($B2760,Config!$B$9:$B$29,0))),""),""))</f>
        <v/>
      </c>
      <c r="AC2760" s="19" t="str">
        <f>IF($B2760="","",IFERROR(INDEX(Config!$D$9:$D$29,MATCH($B2760,Config!$B$9:$B$29,0))&amp;"",""))</f>
        <v/>
      </c>
    </row>
    <row r="2761">
      <c r="R2761" s="20" t="str">
        <f>IF($B2761="","",IFERROR(IF(INDEX(Config!$D$9:$D$29,MATCH($B2761,Config!$B$9:$B$29,0))="Contrato",IF(INDEX(Config!$E$9:$E$29,MATCH($B2761,Config!$B$9:$B$29,0))="","",INDEX(Config!$E$9:$E$29,MATCH($B2761,Config!$B$9:$B$29,0))),""),""))</f>
        <v/>
      </c>
      <c r="AC2761" s="19" t="str">
        <f>IF($B2761="","",IFERROR(INDEX(Config!$D$9:$D$29,MATCH($B2761,Config!$B$9:$B$29,0))&amp;"",""))</f>
        <v/>
      </c>
    </row>
    <row r="2762">
      <c r="R2762" s="20" t="str">
        <f>IF($B2762="","",IFERROR(IF(INDEX(Config!$D$9:$D$29,MATCH($B2762,Config!$B$9:$B$29,0))="Contrato",IF(INDEX(Config!$E$9:$E$29,MATCH($B2762,Config!$B$9:$B$29,0))="","",INDEX(Config!$E$9:$E$29,MATCH($B2762,Config!$B$9:$B$29,0))),""),""))</f>
        <v/>
      </c>
      <c r="AC2762" s="19" t="str">
        <f>IF($B2762="","",IFERROR(INDEX(Config!$D$9:$D$29,MATCH($B2762,Config!$B$9:$B$29,0))&amp;"",""))</f>
        <v/>
      </c>
    </row>
    <row r="2763">
      <c r="R2763" s="20" t="str">
        <f>IF($B2763="","",IFERROR(IF(INDEX(Config!$D$9:$D$29,MATCH($B2763,Config!$B$9:$B$29,0))="Contrato",IF(INDEX(Config!$E$9:$E$29,MATCH($B2763,Config!$B$9:$B$29,0))="","",INDEX(Config!$E$9:$E$29,MATCH($B2763,Config!$B$9:$B$29,0))),""),""))</f>
        <v/>
      </c>
      <c r="AC2763" s="19" t="str">
        <f>IF($B2763="","",IFERROR(INDEX(Config!$D$9:$D$29,MATCH($B2763,Config!$B$9:$B$29,0))&amp;"",""))</f>
        <v/>
      </c>
    </row>
    <row r="2764">
      <c r="R2764" s="20" t="str">
        <f>IF($B2764="","",IFERROR(IF(INDEX(Config!$D$9:$D$29,MATCH($B2764,Config!$B$9:$B$29,0))="Contrato",IF(INDEX(Config!$E$9:$E$29,MATCH($B2764,Config!$B$9:$B$29,0))="","",INDEX(Config!$E$9:$E$29,MATCH($B2764,Config!$B$9:$B$29,0))),""),""))</f>
        <v/>
      </c>
      <c r="AC2764" s="19" t="str">
        <f>IF($B2764="","",IFERROR(INDEX(Config!$D$9:$D$29,MATCH($B2764,Config!$B$9:$B$29,0))&amp;"",""))</f>
        <v/>
      </c>
    </row>
    <row r="2765">
      <c r="R2765" s="20" t="str">
        <f>IF($B2765="","",IFERROR(IF(INDEX(Config!$D$9:$D$29,MATCH($B2765,Config!$B$9:$B$29,0))="Contrato",IF(INDEX(Config!$E$9:$E$29,MATCH($B2765,Config!$B$9:$B$29,0))="","",INDEX(Config!$E$9:$E$29,MATCH($B2765,Config!$B$9:$B$29,0))),""),""))</f>
        <v/>
      </c>
      <c r="AC2765" s="19" t="str">
        <f>IF($B2765="","",IFERROR(INDEX(Config!$D$9:$D$29,MATCH($B2765,Config!$B$9:$B$29,0))&amp;"",""))</f>
        <v/>
      </c>
    </row>
    <row r="2766">
      <c r="R2766" s="20" t="str">
        <f>IF($B2766="","",IFERROR(IF(INDEX(Config!$D$9:$D$29,MATCH($B2766,Config!$B$9:$B$29,0))="Contrato",IF(INDEX(Config!$E$9:$E$29,MATCH($B2766,Config!$B$9:$B$29,0))="","",INDEX(Config!$E$9:$E$29,MATCH($B2766,Config!$B$9:$B$29,0))),""),""))</f>
        <v/>
      </c>
      <c r="AC2766" s="19" t="str">
        <f>IF($B2766="","",IFERROR(INDEX(Config!$D$9:$D$29,MATCH($B2766,Config!$B$9:$B$29,0))&amp;"",""))</f>
        <v/>
      </c>
    </row>
    <row r="2767">
      <c r="R2767" s="20" t="str">
        <f>IF($B2767="","",IFERROR(IF(INDEX(Config!$D$9:$D$29,MATCH($B2767,Config!$B$9:$B$29,0))="Contrato",IF(INDEX(Config!$E$9:$E$29,MATCH($B2767,Config!$B$9:$B$29,0))="","",INDEX(Config!$E$9:$E$29,MATCH($B2767,Config!$B$9:$B$29,0))),""),""))</f>
        <v/>
      </c>
      <c r="AC2767" s="19" t="str">
        <f>IF($B2767="","",IFERROR(INDEX(Config!$D$9:$D$29,MATCH($B2767,Config!$B$9:$B$29,0))&amp;"",""))</f>
        <v/>
      </c>
    </row>
    <row r="2768">
      <c r="R2768" s="20" t="str">
        <f>IF($B2768="","",IFERROR(IF(INDEX(Config!$D$9:$D$29,MATCH($B2768,Config!$B$9:$B$29,0))="Contrato",IF(INDEX(Config!$E$9:$E$29,MATCH($B2768,Config!$B$9:$B$29,0))="","",INDEX(Config!$E$9:$E$29,MATCH($B2768,Config!$B$9:$B$29,0))),""),""))</f>
        <v/>
      </c>
      <c r="AC2768" s="19" t="str">
        <f>IF($B2768="","",IFERROR(INDEX(Config!$D$9:$D$29,MATCH($B2768,Config!$B$9:$B$29,0))&amp;"",""))</f>
        <v/>
      </c>
    </row>
    <row r="2769">
      <c r="R2769" s="20" t="str">
        <f>IF($B2769="","",IFERROR(IF(INDEX(Config!$D$9:$D$29,MATCH($B2769,Config!$B$9:$B$29,0))="Contrato",IF(INDEX(Config!$E$9:$E$29,MATCH($B2769,Config!$B$9:$B$29,0))="","",INDEX(Config!$E$9:$E$29,MATCH($B2769,Config!$B$9:$B$29,0))),""),""))</f>
        <v/>
      </c>
      <c r="AC2769" s="19" t="str">
        <f>IF($B2769="","",IFERROR(INDEX(Config!$D$9:$D$29,MATCH($B2769,Config!$B$9:$B$29,0))&amp;"",""))</f>
        <v/>
      </c>
    </row>
    <row r="2770">
      <c r="R2770" s="20" t="str">
        <f>IF($B2770="","",IFERROR(IF(INDEX(Config!$D$9:$D$29,MATCH($B2770,Config!$B$9:$B$29,0))="Contrato",IF(INDEX(Config!$E$9:$E$29,MATCH($B2770,Config!$B$9:$B$29,0))="","",INDEX(Config!$E$9:$E$29,MATCH($B2770,Config!$B$9:$B$29,0))),""),""))</f>
        <v/>
      </c>
      <c r="AC2770" s="19" t="str">
        <f>IF($B2770="","",IFERROR(INDEX(Config!$D$9:$D$29,MATCH($B2770,Config!$B$9:$B$29,0))&amp;"",""))</f>
        <v/>
      </c>
    </row>
    <row r="2771">
      <c r="R2771" s="20" t="str">
        <f>IF($B2771="","",IFERROR(IF(INDEX(Config!$D$9:$D$29,MATCH($B2771,Config!$B$9:$B$29,0))="Contrato",IF(INDEX(Config!$E$9:$E$29,MATCH($B2771,Config!$B$9:$B$29,0))="","",INDEX(Config!$E$9:$E$29,MATCH($B2771,Config!$B$9:$B$29,0))),""),""))</f>
        <v/>
      </c>
      <c r="AC2771" s="19" t="str">
        <f>IF($B2771="","",IFERROR(INDEX(Config!$D$9:$D$29,MATCH($B2771,Config!$B$9:$B$29,0))&amp;"",""))</f>
        <v/>
      </c>
    </row>
    <row r="2772">
      <c r="R2772" s="20" t="str">
        <f>IF($B2772="","",IFERROR(IF(INDEX(Config!$D$9:$D$29,MATCH($B2772,Config!$B$9:$B$29,0))="Contrato",IF(INDEX(Config!$E$9:$E$29,MATCH($B2772,Config!$B$9:$B$29,0))="","",INDEX(Config!$E$9:$E$29,MATCH($B2772,Config!$B$9:$B$29,0))),""),""))</f>
        <v/>
      </c>
      <c r="AC2772" s="19" t="str">
        <f>IF($B2772="","",IFERROR(INDEX(Config!$D$9:$D$29,MATCH($B2772,Config!$B$9:$B$29,0))&amp;"",""))</f>
        <v/>
      </c>
    </row>
    <row r="2773">
      <c r="R2773" s="20" t="str">
        <f>IF($B2773="","",IFERROR(IF(INDEX(Config!$D$9:$D$29,MATCH($B2773,Config!$B$9:$B$29,0))="Contrato",IF(INDEX(Config!$E$9:$E$29,MATCH($B2773,Config!$B$9:$B$29,0))="","",INDEX(Config!$E$9:$E$29,MATCH($B2773,Config!$B$9:$B$29,0))),""),""))</f>
        <v/>
      </c>
      <c r="AC2773" s="19" t="str">
        <f>IF($B2773="","",IFERROR(INDEX(Config!$D$9:$D$29,MATCH($B2773,Config!$B$9:$B$29,0))&amp;"",""))</f>
        <v/>
      </c>
    </row>
    <row r="2774">
      <c r="R2774" s="20" t="str">
        <f>IF($B2774="","",IFERROR(IF(INDEX(Config!$D$9:$D$29,MATCH($B2774,Config!$B$9:$B$29,0))="Contrato",IF(INDEX(Config!$E$9:$E$29,MATCH($B2774,Config!$B$9:$B$29,0))="","",INDEX(Config!$E$9:$E$29,MATCH($B2774,Config!$B$9:$B$29,0))),""),""))</f>
        <v/>
      </c>
      <c r="AC2774" s="19" t="str">
        <f>IF($B2774="","",IFERROR(INDEX(Config!$D$9:$D$29,MATCH($B2774,Config!$B$9:$B$29,0))&amp;"",""))</f>
        <v/>
      </c>
    </row>
    <row r="2775">
      <c r="R2775" s="20" t="str">
        <f>IF($B2775="","",IFERROR(IF(INDEX(Config!$D$9:$D$29,MATCH($B2775,Config!$B$9:$B$29,0))="Contrato",IF(INDEX(Config!$E$9:$E$29,MATCH($B2775,Config!$B$9:$B$29,0))="","",INDEX(Config!$E$9:$E$29,MATCH($B2775,Config!$B$9:$B$29,0))),""),""))</f>
        <v/>
      </c>
      <c r="AC2775" s="19" t="str">
        <f>IF($B2775="","",IFERROR(INDEX(Config!$D$9:$D$29,MATCH($B2775,Config!$B$9:$B$29,0))&amp;"",""))</f>
        <v/>
      </c>
    </row>
    <row r="2776">
      <c r="R2776" s="20" t="str">
        <f>IF($B2776="","",IFERROR(IF(INDEX(Config!$D$9:$D$29,MATCH($B2776,Config!$B$9:$B$29,0))="Contrato",IF(INDEX(Config!$E$9:$E$29,MATCH($B2776,Config!$B$9:$B$29,0))="","",INDEX(Config!$E$9:$E$29,MATCH($B2776,Config!$B$9:$B$29,0))),""),""))</f>
        <v/>
      </c>
      <c r="AC2776" s="19" t="str">
        <f>IF($B2776="","",IFERROR(INDEX(Config!$D$9:$D$29,MATCH($B2776,Config!$B$9:$B$29,0))&amp;"",""))</f>
        <v/>
      </c>
    </row>
    <row r="2777">
      <c r="R2777" s="20" t="str">
        <f>IF($B2777="","",IFERROR(IF(INDEX(Config!$D$9:$D$29,MATCH($B2777,Config!$B$9:$B$29,0))="Contrato",IF(INDEX(Config!$E$9:$E$29,MATCH($B2777,Config!$B$9:$B$29,0))="","",INDEX(Config!$E$9:$E$29,MATCH($B2777,Config!$B$9:$B$29,0))),""),""))</f>
        <v/>
      </c>
      <c r="AC2777" s="19" t="str">
        <f>IF($B2777="","",IFERROR(INDEX(Config!$D$9:$D$29,MATCH($B2777,Config!$B$9:$B$29,0))&amp;"",""))</f>
        <v/>
      </c>
    </row>
    <row r="2778">
      <c r="R2778" s="20" t="str">
        <f>IF($B2778="","",IFERROR(IF(INDEX(Config!$D$9:$D$29,MATCH($B2778,Config!$B$9:$B$29,0))="Contrato",IF(INDEX(Config!$E$9:$E$29,MATCH($B2778,Config!$B$9:$B$29,0))="","",INDEX(Config!$E$9:$E$29,MATCH($B2778,Config!$B$9:$B$29,0))),""),""))</f>
        <v/>
      </c>
      <c r="AC2778" s="19" t="str">
        <f>IF($B2778="","",IFERROR(INDEX(Config!$D$9:$D$29,MATCH($B2778,Config!$B$9:$B$29,0))&amp;"",""))</f>
        <v/>
      </c>
    </row>
    <row r="2779">
      <c r="R2779" s="20" t="str">
        <f>IF($B2779="","",IFERROR(IF(INDEX(Config!$D$9:$D$29,MATCH($B2779,Config!$B$9:$B$29,0))="Contrato",IF(INDEX(Config!$E$9:$E$29,MATCH($B2779,Config!$B$9:$B$29,0))="","",INDEX(Config!$E$9:$E$29,MATCH($B2779,Config!$B$9:$B$29,0))),""),""))</f>
        <v/>
      </c>
      <c r="AC2779" s="19" t="str">
        <f>IF($B2779="","",IFERROR(INDEX(Config!$D$9:$D$29,MATCH($B2779,Config!$B$9:$B$29,0))&amp;"",""))</f>
        <v/>
      </c>
    </row>
    <row r="2780">
      <c r="R2780" s="20" t="str">
        <f>IF($B2780="","",IFERROR(IF(INDEX(Config!$D$9:$D$29,MATCH($B2780,Config!$B$9:$B$29,0))="Contrato",IF(INDEX(Config!$E$9:$E$29,MATCH($B2780,Config!$B$9:$B$29,0))="","",INDEX(Config!$E$9:$E$29,MATCH($B2780,Config!$B$9:$B$29,0))),""),""))</f>
        <v/>
      </c>
      <c r="AC2780" s="19" t="str">
        <f>IF($B2780="","",IFERROR(INDEX(Config!$D$9:$D$29,MATCH($B2780,Config!$B$9:$B$29,0))&amp;"",""))</f>
        <v/>
      </c>
    </row>
    <row r="2781">
      <c r="R2781" s="20" t="str">
        <f>IF($B2781="","",IFERROR(IF(INDEX(Config!$D$9:$D$29,MATCH($B2781,Config!$B$9:$B$29,0))="Contrato",IF(INDEX(Config!$E$9:$E$29,MATCH($B2781,Config!$B$9:$B$29,0))="","",INDEX(Config!$E$9:$E$29,MATCH($B2781,Config!$B$9:$B$29,0))),""),""))</f>
        <v/>
      </c>
      <c r="AC2781" s="19" t="str">
        <f>IF($B2781="","",IFERROR(INDEX(Config!$D$9:$D$29,MATCH($B2781,Config!$B$9:$B$29,0))&amp;"",""))</f>
        <v/>
      </c>
    </row>
    <row r="2782">
      <c r="R2782" s="20" t="str">
        <f>IF($B2782="","",IFERROR(IF(INDEX(Config!$D$9:$D$29,MATCH($B2782,Config!$B$9:$B$29,0))="Contrato",IF(INDEX(Config!$E$9:$E$29,MATCH($B2782,Config!$B$9:$B$29,0))="","",INDEX(Config!$E$9:$E$29,MATCH($B2782,Config!$B$9:$B$29,0))),""),""))</f>
        <v/>
      </c>
      <c r="AC2782" s="19" t="str">
        <f>IF($B2782="","",IFERROR(INDEX(Config!$D$9:$D$29,MATCH($B2782,Config!$B$9:$B$29,0))&amp;"",""))</f>
        <v/>
      </c>
    </row>
    <row r="2783">
      <c r="R2783" s="20" t="str">
        <f>IF($B2783="","",IFERROR(IF(INDEX(Config!$D$9:$D$29,MATCH($B2783,Config!$B$9:$B$29,0))="Contrato",IF(INDEX(Config!$E$9:$E$29,MATCH($B2783,Config!$B$9:$B$29,0))="","",INDEX(Config!$E$9:$E$29,MATCH($B2783,Config!$B$9:$B$29,0))),""),""))</f>
        <v/>
      </c>
      <c r="AC2783" s="19" t="str">
        <f>IF($B2783="","",IFERROR(INDEX(Config!$D$9:$D$29,MATCH($B2783,Config!$B$9:$B$29,0))&amp;"",""))</f>
        <v/>
      </c>
    </row>
    <row r="2784">
      <c r="R2784" s="20" t="str">
        <f>IF($B2784="","",IFERROR(IF(INDEX(Config!$D$9:$D$29,MATCH($B2784,Config!$B$9:$B$29,0))="Contrato",IF(INDEX(Config!$E$9:$E$29,MATCH($B2784,Config!$B$9:$B$29,0))="","",INDEX(Config!$E$9:$E$29,MATCH($B2784,Config!$B$9:$B$29,0))),""),""))</f>
        <v/>
      </c>
      <c r="AC2784" s="19" t="str">
        <f>IF($B2784="","",IFERROR(INDEX(Config!$D$9:$D$29,MATCH($B2784,Config!$B$9:$B$29,0))&amp;"",""))</f>
        <v/>
      </c>
    </row>
    <row r="2785">
      <c r="R2785" s="20" t="str">
        <f>IF($B2785="","",IFERROR(IF(INDEX(Config!$D$9:$D$29,MATCH($B2785,Config!$B$9:$B$29,0))="Contrato",IF(INDEX(Config!$E$9:$E$29,MATCH($B2785,Config!$B$9:$B$29,0))="","",INDEX(Config!$E$9:$E$29,MATCH($B2785,Config!$B$9:$B$29,0))),""),""))</f>
        <v/>
      </c>
      <c r="AC2785" s="19" t="str">
        <f>IF($B2785="","",IFERROR(INDEX(Config!$D$9:$D$29,MATCH($B2785,Config!$B$9:$B$29,0))&amp;"",""))</f>
        <v/>
      </c>
    </row>
    <row r="2786">
      <c r="R2786" s="20" t="str">
        <f>IF($B2786="","",IFERROR(IF(INDEX(Config!$D$9:$D$29,MATCH($B2786,Config!$B$9:$B$29,0))="Contrato",IF(INDEX(Config!$E$9:$E$29,MATCH($B2786,Config!$B$9:$B$29,0))="","",INDEX(Config!$E$9:$E$29,MATCH($B2786,Config!$B$9:$B$29,0))),""),""))</f>
        <v/>
      </c>
      <c r="AC2786" s="19" t="str">
        <f>IF($B2786="","",IFERROR(INDEX(Config!$D$9:$D$29,MATCH($B2786,Config!$B$9:$B$29,0))&amp;"",""))</f>
        <v/>
      </c>
    </row>
    <row r="2787">
      <c r="R2787" s="20" t="str">
        <f>IF($B2787="","",IFERROR(IF(INDEX(Config!$D$9:$D$29,MATCH($B2787,Config!$B$9:$B$29,0))="Contrato",IF(INDEX(Config!$E$9:$E$29,MATCH($B2787,Config!$B$9:$B$29,0))="","",INDEX(Config!$E$9:$E$29,MATCH($B2787,Config!$B$9:$B$29,0))),""),""))</f>
        <v/>
      </c>
      <c r="AC2787" s="19" t="str">
        <f>IF($B2787="","",IFERROR(INDEX(Config!$D$9:$D$29,MATCH($B2787,Config!$B$9:$B$29,0))&amp;"",""))</f>
        <v/>
      </c>
    </row>
    <row r="2788">
      <c r="R2788" s="20" t="str">
        <f>IF($B2788="","",IFERROR(IF(INDEX(Config!$D$9:$D$29,MATCH($B2788,Config!$B$9:$B$29,0))="Contrato",IF(INDEX(Config!$E$9:$E$29,MATCH($B2788,Config!$B$9:$B$29,0))="","",INDEX(Config!$E$9:$E$29,MATCH($B2788,Config!$B$9:$B$29,0))),""),""))</f>
        <v/>
      </c>
      <c r="AC2788" s="19" t="str">
        <f>IF($B2788="","",IFERROR(INDEX(Config!$D$9:$D$29,MATCH($B2788,Config!$B$9:$B$29,0))&amp;"",""))</f>
        <v/>
      </c>
    </row>
    <row r="2789">
      <c r="R2789" s="20" t="str">
        <f>IF($B2789="","",IFERROR(IF(INDEX(Config!$D$9:$D$29,MATCH($B2789,Config!$B$9:$B$29,0))="Contrato",IF(INDEX(Config!$E$9:$E$29,MATCH($B2789,Config!$B$9:$B$29,0))="","",INDEX(Config!$E$9:$E$29,MATCH($B2789,Config!$B$9:$B$29,0))),""),""))</f>
        <v/>
      </c>
      <c r="AC2789" s="19" t="str">
        <f>IF($B2789="","",IFERROR(INDEX(Config!$D$9:$D$29,MATCH($B2789,Config!$B$9:$B$29,0))&amp;"",""))</f>
        <v/>
      </c>
    </row>
    <row r="2790">
      <c r="R2790" s="20" t="str">
        <f>IF($B2790="","",IFERROR(IF(INDEX(Config!$D$9:$D$29,MATCH($B2790,Config!$B$9:$B$29,0))="Contrato",IF(INDEX(Config!$E$9:$E$29,MATCH($B2790,Config!$B$9:$B$29,0))="","",INDEX(Config!$E$9:$E$29,MATCH($B2790,Config!$B$9:$B$29,0))),""),""))</f>
        <v/>
      </c>
      <c r="AC2790" s="19" t="str">
        <f>IF($B2790="","",IFERROR(INDEX(Config!$D$9:$D$29,MATCH($B2790,Config!$B$9:$B$29,0))&amp;"",""))</f>
        <v/>
      </c>
    </row>
    <row r="2791">
      <c r="R2791" s="20" t="str">
        <f>IF($B2791="","",IFERROR(IF(INDEX(Config!$D$9:$D$29,MATCH($B2791,Config!$B$9:$B$29,0))="Contrato",IF(INDEX(Config!$E$9:$E$29,MATCH($B2791,Config!$B$9:$B$29,0))="","",INDEX(Config!$E$9:$E$29,MATCH($B2791,Config!$B$9:$B$29,0))),""),""))</f>
        <v/>
      </c>
      <c r="AC2791" s="19" t="str">
        <f>IF($B2791="","",IFERROR(INDEX(Config!$D$9:$D$29,MATCH($B2791,Config!$B$9:$B$29,0))&amp;"",""))</f>
        <v/>
      </c>
    </row>
    <row r="2792">
      <c r="R2792" s="20" t="str">
        <f>IF($B2792="","",IFERROR(IF(INDEX(Config!$D$9:$D$29,MATCH($B2792,Config!$B$9:$B$29,0))="Contrato",IF(INDEX(Config!$E$9:$E$29,MATCH($B2792,Config!$B$9:$B$29,0))="","",INDEX(Config!$E$9:$E$29,MATCH($B2792,Config!$B$9:$B$29,0))),""),""))</f>
        <v/>
      </c>
      <c r="AC2792" s="19" t="str">
        <f>IF($B2792="","",IFERROR(INDEX(Config!$D$9:$D$29,MATCH($B2792,Config!$B$9:$B$29,0))&amp;"",""))</f>
        <v/>
      </c>
    </row>
    <row r="2793">
      <c r="R2793" s="20" t="str">
        <f>IF($B2793="","",IFERROR(IF(INDEX(Config!$D$9:$D$29,MATCH($B2793,Config!$B$9:$B$29,0))="Contrato",IF(INDEX(Config!$E$9:$E$29,MATCH($B2793,Config!$B$9:$B$29,0))="","",INDEX(Config!$E$9:$E$29,MATCH($B2793,Config!$B$9:$B$29,0))),""),""))</f>
        <v/>
      </c>
      <c r="AC2793" s="19" t="str">
        <f>IF($B2793="","",IFERROR(INDEX(Config!$D$9:$D$29,MATCH($B2793,Config!$B$9:$B$29,0))&amp;"",""))</f>
        <v/>
      </c>
    </row>
    <row r="2794">
      <c r="R2794" s="20" t="str">
        <f>IF($B2794="","",IFERROR(IF(INDEX(Config!$D$9:$D$29,MATCH($B2794,Config!$B$9:$B$29,0))="Contrato",IF(INDEX(Config!$E$9:$E$29,MATCH($B2794,Config!$B$9:$B$29,0))="","",INDEX(Config!$E$9:$E$29,MATCH($B2794,Config!$B$9:$B$29,0))),""),""))</f>
        <v/>
      </c>
      <c r="AC2794" s="19" t="str">
        <f>IF($B2794="","",IFERROR(INDEX(Config!$D$9:$D$29,MATCH($B2794,Config!$B$9:$B$29,0))&amp;"",""))</f>
        <v/>
      </c>
    </row>
    <row r="2795">
      <c r="R2795" s="20" t="str">
        <f>IF($B2795="","",IFERROR(IF(INDEX(Config!$D$9:$D$29,MATCH($B2795,Config!$B$9:$B$29,0))="Contrato",IF(INDEX(Config!$E$9:$E$29,MATCH($B2795,Config!$B$9:$B$29,0))="","",INDEX(Config!$E$9:$E$29,MATCH($B2795,Config!$B$9:$B$29,0))),""),""))</f>
        <v/>
      </c>
      <c r="AC2795" s="19" t="str">
        <f>IF($B2795="","",IFERROR(INDEX(Config!$D$9:$D$29,MATCH($B2795,Config!$B$9:$B$29,0))&amp;"",""))</f>
        <v/>
      </c>
    </row>
    <row r="2796">
      <c r="R2796" s="20" t="str">
        <f>IF($B2796="","",IFERROR(IF(INDEX(Config!$D$9:$D$29,MATCH($B2796,Config!$B$9:$B$29,0))="Contrato",IF(INDEX(Config!$E$9:$E$29,MATCH($B2796,Config!$B$9:$B$29,0))="","",INDEX(Config!$E$9:$E$29,MATCH($B2796,Config!$B$9:$B$29,0))),""),""))</f>
        <v/>
      </c>
      <c r="AC2796" s="19" t="str">
        <f>IF($B2796="","",IFERROR(INDEX(Config!$D$9:$D$29,MATCH($B2796,Config!$B$9:$B$29,0))&amp;"",""))</f>
        <v/>
      </c>
    </row>
    <row r="2797">
      <c r="R2797" s="20" t="str">
        <f>IF($B2797="","",IFERROR(IF(INDEX(Config!$D$9:$D$29,MATCH($B2797,Config!$B$9:$B$29,0))="Contrato",IF(INDEX(Config!$E$9:$E$29,MATCH($B2797,Config!$B$9:$B$29,0))="","",INDEX(Config!$E$9:$E$29,MATCH($B2797,Config!$B$9:$B$29,0))),""),""))</f>
        <v/>
      </c>
      <c r="AC2797" s="19" t="str">
        <f>IF($B2797="","",IFERROR(INDEX(Config!$D$9:$D$29,MATCH($B2797,Config!$B$9:$B$29,0))&amp;"",""))</f>
        <v/>
      </c>
    </row>
    <row r="2798">
      <c r="R2798" s="20" t="str">
        <f>IF($B2798="","",IFERROR(IF(INDEX(Config!$D$9:$D$29,MATCH($B2798,Config!$B$9:$B$29,0))="Contrato",IF(INDEX(Config!$E$9:$E$29,MATCH($B2798,Config!$B$9:$B$29,0))="","",INDEX(Config!$E$9:$E$29,MATCH($B2798,Config!$B$9:$B$29,0))),""),""))</f>
        <v/>
      </c>
      <c r="AC2798" s="19" t="str">
        <f>IF($B2798="","",IFERROR(INDEX(Config!$D$9:$D$29,MATCH($B2798,Config!$B$9:$B$29,0))&amp;"",""))</f>
        <v/>
      </c>
    </row>
    <row r="2799">
      <c r="R2799" s="20" t="str">
        <f>IF($B2799="","",IFERROR(IF(INDEX(Config!$D$9:$D$29,MATCH($B2799,Config!$B$9:$B$29,0))="Contrato",IF(INDEX(Config!$E$9:$E$29,MATCH($B2799,Config!$B$9:$B$29,0))="","",INDEX(Config!$E$9:$E$29,MATCH($B2799,Config!$B$9:$B$29,0))),""),""))</f>
        <v/>
      </c>
      <c r="AC2799" s="19" t="str">
        <f>IF($B2799="","",IFERROR(INDEX(Config!$D$9:$D$29,MATCH($B2799,Config!$B$9:$B$29,0))&amp;"",""))</f>
        <v/>
      </c>
    </row>
    <row r="2800">
      <c r="R2800" s="20" t="str">
        <f>IF($B2800="","",IFERROR(IF(INDEX(Config!$D$9:$D$29,MATCH($B2800,Config!$B$9:$B$29,0))="Contrato",IF(INDEX(Config!$E$9:$E$29,MATCH($B2800,Config!$B$9:$B$29,0))="","",INDEX(Config!$E$9:$E$29,MATCH($B2800,Config!$B$9:$B$29,0))),""),""))</f>
        <v/>
      </c>
      <c r="AC2800" s="19" t="str">
        <f>IF($B2800="","",IFERROR(INDEX(Config!$D$9:$D$29,MATCH($B2800,Config!$B$9:$B$29,0))&amp;"",""))</f>
        <v/>
      </c>
    </row>
    <row r="2801">
      <c r="R2801" s="20" t="str">
        <f>IF($B2801="","",IFERROR(IF(INDEX(Config!$D$9:$D$29,MATCH($B2801,Config!$B$9:$B$29,0))="Contrato",IF(INDEX(Config!$E$9:$E$29,MATCH($B2801,Config!$B$9:$B$29,0))="","",INDEX(Config!$E$9:$E$29,MATCH($B2801,Config!$B$9:$B$29,0))),""),""))</f>
        <v/>
      </c>
      <c r="AC2801" s="19" t="str">
        <f>IF($B2801="","",IFERROR(INDEX(Config!$D$9:$D$29,MATCH($B2801,Config!$B$9:$B$29,0))&amp;"",""))</f>
        <v/>
      </c>
    </row>
    <row r="2802">
      <c r="R2802" s="20" t="str">
        <f>IF($B2802="","",IFERROR(IF(INDEX(Config!$D$9:$D$29,MATCH($B2802,Config!$B$9:$B$29,0))="Contrato",IF(INDEX(Config!$E$9:$E$29,MATCH($B2802,Config!$B$9:$B$29,0))="","",INDEX(Config!$E$9:$E$29,MATCH($B2802,Config!$B$9:$B$29,0))),""),""))</f>
        <v/>
      </c>
      <c r="AC2802" s="19" t="str">
        <f>IF($B2802="","",IFERROR(INDEX(Config!$D$9:$D$29,MATCH($B2802,Config!$B$9:$B$29,0))&amp;"",""))</f>
        <v/>
      </c>
    </row>
    <row r="2803">
      <c r="R2803" s="20" t="str">
        <f>IF($B2803="","",IFERROR(IF(INDEX(Config!$D$9:$D$29,MATCH($B2803,Config!$B$9:$B$29,0))="Contrato",IF(INDEX(Config!$E$9:$E$29,MATCH($B2803,Config!$B$9:$B$29,0))="","",INDEX(Config!$E$9:$E$29,MATCH($B2803,Config!$B$9:$B$29,0))),""),""))</f>
        <v/>
      </c>
      <c r="AC2803" s="19" t="str">
        <f>IF($B2803="","",IFERROR(INDEX(Config!$D$9:$D$29,MATCH($B2803,Config!$B$9:$B$29,0))&amp;"",""))</f>
        <v/>
      </c>
    </row>
    <row r="2804">
      <c r="R2804" s="20" t="str">
        <f>IF($B2804="","",IFERROR(IF(INDEX(Config!$D$9:$D$29,MATCH($B2804,Config!$B$9:$B$29,0))="Contrato",IF(INDEX(Config!$E$9:$E$29,MATCH($B2804,Config!$B$9:$B$29,0))="","",INDEX(Config!$E$9:$E$29,MATCH($B2804,Config!$B$9:$B$29,0))),""),""))</f>
        <v/>
      </c>
      <c r="AC2804" s="19" t="str">
        <f>IF($B2804="","",IFERROR(INDEX(Config!$D$9:$D$29,MATCH($B2804,Config!$B$9:$B$29,0))&amp;"",""))</f>
        <v/>
      </c>
    </row>
    <row r="2805">
      <c r="R2805" s="20" t="str">
        <f>IF($B2805="","",IFERROR(IF(INDEX(Config!$D$9:$D$29,MATCH($B2805,Config!$B$9:$B$29,0))="Contrato",IF(INDEX(Config!$E$9:$E$29,MATCH($B2805,Config!$B$9:$B$29,0))="","",INDEX(Config!$E$9:$E$29,MATCH($B2805,Config!$B$9:$B$29,0))),""),""))</f>
        <v/>
      </c>
      <c r="AC2805" s="19" t="str">
        <f>IF($B2805="","",IFERROR(INDEX(Config!$D$9:$D$29,MATCH($B2805,Config!$B$9:$B$29,0))&amp;"",""))</f>
        <v/>
      </c>
    </row>
    <row r="2806">
      <c r="R2806" s="20" t="str">
        <f>IF($B2806="","",IFERROR(IF(INDEX(Config!$D$9:$D$29,MATCH($B2806,Config!$B$9:$B$29,0))="Contrato",IF(INDEX(Config!$E$9:$E$29,MATCH($B2806,Config!$B$9:$B$29,0))="","",INDEX(Config!$E$9:$E$29,MATCH($B2806,Config!$B$9:$B$29,0))),""),""))</f>
        <v/>
      </c>
      <c r="AC2806" s="19" t="str">
        <f>IF($B2806="","",IFERROR(INDEX(Config!$D$9:$D$29,MATCH($B2806,Config!$B$9:$B$29,0))&amp;"",""))</f>
        <v/>
      </c>
    </row>
    <row r="2807">
      <c r="R2807" s="20" t="str">
        <f>IF($B2807="","",IFERROR(IF(INDEX(Config!$D$9:$D$29,MATCH($B2807,Config!$B$9:$B$29,0))="Contrato",IF(INDEX(Config!$E$9:$E$29,MATCH($B2807,Config!$B$9:$B$29,0))="","",INDEX(Config!$E$9:$E$29,MATCH($B2807,Config!$B$9:$B$29,0))),""),""))</f>
        <v/>
      </c>
      <c r="AC2807" s="19" t="str">
        <f>IF($B2807="","",IFERROR(INDEX(Config!$D$9:$D$29,MATCH($B2807,Config!$B$9:$B$29,0))&amp;"",""))</f>
        <v/>
      </c>
    </row>
    <row r="2808">
      <c r="R2808" s="20" t="str">
        <f>IF($B2808="","",IFERROR(IF(INDEX(Config!$D$9:$D$29,MATCH($B2808,Config!$B$9:$B$29,0))="Contrato",IF(INDEX(Config!$E$9:$E$29,MATCH($B2808,Config!$B$9:$B$29,0))="","",INDEX(Config!$E$9:$E$29,MATCH($B2808,Config!$B$9:$B$29,0))),""),""))</f>
        <v/>
      </c>
      <c r="AC2808" s="19" t="str">
        <f>IF($B2808="","",IFERROR(INDEX(Config!$D$9:$D$29,MATCH($B2808,Config!$B$9:$B$29,0))&amp;"",""))</f>
        <v/>
      </c>
    </row>
    <row r="2809">
      <c r="R2809" s="20" t="str">
        <f>IF($B2809="","",IFERROR(IF(INDEX(Config!$D$9:$D$29,MATCH($B2809,Config!$B$9:$B$29,0))="Contrato",IF(INDEX(Config!$E$9:$E$29,MATCH($B2809,Config!$B$9:$B$29,0))="","",INDEX(Config!$E$9:$E$29,MATCH($B2809,Config!$B$9:$B$29,0))),""),""))</f>
        <v/>
      </c>
      <c r="AC2809" s="19" t="str">
        <f>IF($B2809="","",IFERROR(INDEX(Config!$D$9:$D$29,MATCH($B2809,Config!$B$9:$B$29,0))&amp;"",""))</f>
        <v/>
      </c>
    </row>
    <row r="2810">
      <c r="R2810" s="20" t="str">
        <f>IF($B2810="","",IFERROR(IF(INDEX(Config!$D$9:$D$29,MATCH($B2810,Config!$B$9:$B$29,0))="Contrato",IF(INDEX(Config!$E$9:$E$29,MATCH($B2810,Config!$B$9:$B$29,0))="","",INDEX(Config!$E$9:$E$29,MATCH($B2810,Config!$B$9:$B$29,0))),""),""))</f>
        <v/>
      </c>
      <c r="AC2810" s="19" t="str">
        <f>IF($B2810="","",IFERROR(INDEX(Config!$D$9:$D$29,MATCH($B2810,Config!$B$9:$B$29,0))&amp;"",""))</f>
        <v/>
      </c>
    </row>
    <row r="2811">
      <c r="R2811" s="20" t="str">
        <f>IF($B2811="","",IFERROR(IF(INDEX(Config!$D$9:$D$29,MATCH($B2811,Config!$B$9:$B$29,0))="Contrato",IF(INDEX(Config!$E$9:$E$29,MATCH($B2811,Config!$B$9:$B$29,0))="","",INDEX(Config!$E$9:$E$29,MATCH($B2811,Config!$B$9:$B$29,0))),""),""))</f>
        <v/>
      </c>
      <c r="AC2811" s="19" t="str">
        <f>IF($B2811="","",IFERROR(INDEX(Config!$D$9:$D$29,MATCH($B2811,Config!$B$9:$B$29,0))&amp;"",""))</f>
        <v/>
      </c>
    </row>
    <row r="2812">
      <c r="R2812" s="20" t="str">
        <f>IF($B2812="","",IFERROR(IF(INDEX(Config!$D$9:$D$29,MATCH($B2812,Config!$B$9:$B$29,0))="Contrato",IF(INDEX(Config!$E$9:$E$29,MATCH($B2812,Config!$B$9:$B$29,0))="","",INDEX(Config!$E$9:$E$29,MATCH($B2812,Config!$B$9:$B$29,0))),""),""))</f>
        <v/>
      </c>
      <c r="AC2812" s="19" t="str">
        <f>IF($B2812="","",IFERROR(INDEX(Config!$D$9:$D$29,MATCH($B2812,Config!$B$9:$B$29,0))&amp;"",""))</f>
        <v/>
      </c>
    </row>
    <row r="2813">
      <c r="R2813" s="20" t="str">
        <f>IF($B2813="","",IFERROR(IF(INDEX(Config!$D$9:$D$29,MATCH($B2813,Config!$B$9:$B$29,0))="Contrato",IF(INDEX(Config!$E$9:$E$29,MATCH($B2813,Config!$B$9:$B$29,0))="","",INDEX(Config!$E$9:$E$29,MATCH($B2813,Config!$B$9:$B$29,0))),""),""))</f>
        <v/>
      </c>
      <c r="AC2813" s="19" t="str">
        <f>IF($B2813="","",IFERROR(INDEX(Config!$D$9:$D$29,MATCH($B2813,Config!$B$9:$B$29,0))&amp;"",""))</f>
        <v/>
      </c>
    </row>
    <row r="2814">
      <c r="R2814" s="20" t="str">
        <f>IF($B2814="","",IFERROR(IF(INDEX(Config!$D$9:$D$29,MATCH($B2814,Config!$B$9:$B$29,0))="Contrato",IF(INDEX(Config!$E$9:$E$29,MATCH($B2814,Config!$B$9:$B$29,0))="","",INDEX(Config!$E$9:$E$29,MATCH($B2814,Config!$B$9:$B$29,0))),""),""))</f>
        <v/>
      </c>
      <c r="AC2814" s="19" t="str">
        <f>IF($B2814="","",IFERROR(INDEX(Config!$D$9:$D$29,MATCH($B2814,Config!$B$9:$B$29,0))&amp;"",""))</f>
        <v/>
      </c>
    </row>
    <row r="2815">
      <c r="R2815" s="20" t="str">
        <f>IF($B2815="","",IFERROR(IF(INDEX(Config!$D$9:$D$29,MATCH($B2815,Config!$B$9:$B$29,0))="Contrato",IF(INDEX(Config!$E$9:$E$29,MATCH($B2815,Config!$B$9:$B$29,0))="","",INDEX(Config!$E$9:$E$29,MATCH($B2815,Config!$B$9:$B$29,0))),""),""))</f>
        <v/>
      </c>
      <c r="AC2815" s="19" t="str">
        <f>IF($B2815="","",IFERROR(INDEX(Config!$D$9:$D$29,MATCH($B2815,Config!$B$9:$B$29,0))&amp;"",""))</f>
        <v/>
      </c>
    </row>
    <row r="2816">
      <c r="R2816" s="20" t="str">
        <f>IF($B2816="","",IFERROR(IF(INDEX(Config!$D$9:$D$29,MATCH($B2816,Config!$B$9:$B$29,0))="Contrato",IF(INDEX(Config!$E$9:$E$29,MATCH($B2816,Config!$B$9:$B$29,0))="","",INDEX(Config!$E$9:$E$29,MATCH($B2816,Config!$B$9:$B$29,0))),""),""))</f>
        <v/>
      </c>
      <c r="AC2816" s="19" t="str">
        <f>IF($B2816="","",IFERROR(INDEX(Config!$D$9:$D$29,MATCH($B2816,Config!$B$9:$B$29,0))&amp;"",""))</f>
        <v/>
      </c>
    </row>
    <row r="2817">
      <c r="R2817" s="20" t="str">
        <f>IF($B2817="","",IFERROR(IF(INDEX(Config!$D$9:$D$29,MATCH($B2817,Config!$B$9:$B$29,0))="Contrato",IF(INDEX(Config!$E$9:$E$29,MATCH($B2817,Config!$B$9:$B$29,0))="","",INDEX(Config!$E$9:$E$29,MATCH($B2817,Config!$B$9:$B$29,0))),""),""))</f>
        <v/>
      </c>
      <c r="AC2817" s="19" t="str">
        <f>IF($B2817="","",IFERROR(INDEX(Config!$D$9:$D$29,MATCH($B2817,Config!$B$9:$B$29,0))&amp;"",""))</f>
        <v/>
      </c>
    </row>
    <row r="2818">
      <c r="R2818" s="20" t="str">
        <f>IF($B2818="","",IFERROR(IF(INDEX(Config!$D$9:$D$29,MATCH($B2818,Config!$B$9:$B$29,0))="Contrato",IF(INDEX(Config!$E$9:$E$29,MATCH($B2818,Config!$B$9:$B$29,0))="","",INDEX(Config!$E$9:$E$29,MATCH($B2818,Config!$B$9:$B$29,0))),""),""))</f>
        <v/>
      </c>
      <c r="AC2818" s="19" t="str">
        <f>IF($B2818="","",IFERROR(INDEX(Config!$D$9:$D$29,MATCH($B2818,Config!$B$9:$B$29,0))&amp;"",""))</f>
        <v/>
      </c>
    </row>
    <row r="2819">
      <c r="R2819" s="20" t="str">
        <f>IF($B2819="","",IFERROR(IF(INDEX(Config!$D$9:$D$29,MATCH($B2819,Config!$B$9:$B$29,0))="Contrato",IF(INDEX(Config!$E$9:$E$29,MATCH($B2819,Config!$B$9:$B$29,0))="","",INDEX(Config!$E$9:$E$29,MATCH($B2819,Config!$B$9:$B$29,0))),""),""))</f>
        <v/>
      </c>
      <c r="AC2819" s="19" t="str">
        <f>IF($B2819="","",IFERROR(INDEX(Config!$D$9:$D$29,MATCH($B2819,Config!$B$9:$B$29,0))&amp;"",""))</f>
        <v/>
      </c>
    </row>
    <row r="2820">
      <c r="R2820" s="20" t="str">
        <f>IF($B2820="","",IFERROR(IF(INDEX(Config!$D$9:$D$29,MATCH($B2820,Config!$B$9:$B$29,0))="Contrato",IF(INDEX(Config!$E$9:$E$29,MATCH($B2820,Config!$B$9:$B$29,0))="","",INDEX(Config!$E$9:$E$29,MATCH($B2820,Config!$B$9:$B$29,0))),""),""))</f>
        <v/>
      </c>
      <c r="AC2820" s="19" t="str">
        <f>IF($B2820="","",IFERROR(INDEX(Config!$D$9:$D$29,MATCH($B2820,Config!$B$9:$B$29,0))&amp;"",""))</f>
        <v/>
      </c>
    </row>
    <row r="2821">
      <c r="R2821" s="20" t="str">
        <f>IF($B2821="","",IFERROR(IF(INDEX(Config!$D$9:$D$29,MATCH($B2821,Config!$B$9:$B$29,0))="Contrato",IF(INDEX(Config!$E$9:$E$29,MATCH($B2821,Config!$B$9:$B$29,0))="","",INDEX(Config!$E$9:$E$29,MATCH($B2821,Config!$B$9:$B$29,0))),""),""))</f>
        <v/>
      </c>
      <c r="AC2821" s="19" t="str">
        <f>IF($B2821="","",IFERROR(INDEX(Config!$D$9:$D$29,MATCH($B2821,Config!$B$9:$B$29,0))&amp;"",""))</f>
        <v/>
      </c>
    </row>
    <row r="2822">
      <c r="R2822" s="20" t="str">
        <f>IF($B2822="","",IFERROR(IF(INDEX(Config!$D$9:$D$29,MATCH($B2822,Config!$B$9:$B$29,0))="Contrato",IF(INDEX(Config!$E$9:$E$29,MATCH($B2822,Config!$B$9:$B$29,0))="","",INDEX(Config!$E$9:$E$29,MATCH($B2822,Config!$B$9:$B$29,0))),""),""))</f>
        <v/>
      </c>
      <c r="AC2822" s="19" t="str">
        <f>IF($B2822="","",IFERROR(INDEX(Config!$D$9:$D$29,MATCH($B2822,Config!$B$9:$B$29,0))&amp;"",""))</f>
        <v/>
      </c>
    </row>
    <row r="2823">
      <c r="R2823" s="20" t="str">
        <f>IF($B2823="","",IFERROR(IF(INDEX(Config!$D$9:$D$29,MATCH($B2823,Config!$B$9:$B$29,0))="Contrato",IF(INDEX(Config!$E$9:$E$29,MATCH($B2823,Config!$B$9:$B$29,0))="","",INDEX(Config!$E$9:$E$29,MATCH($B2823,Config!$B$9:$B$29,0))),""),""))</f>
        <v/>
      </c>
      <c r="AC2823" s="19" t="str">
        <f>IF($B2823="","",IFERROR(INDEX(Config!$D$9:$D$29,MATCH($B2823,Config!$B$9:$B$29,0))&amp;"",""))</f>
        <v/>
      </c>
    </row>
    <row r="2824">
      <c r="R2824" s="20" t="str">
        <f>IF($B2824="","",IFERROR(IF(INDEX(Config!$D$9:$D$29,MATCH($B2824,Config!$B$9:$B$29,0))="Contrato",IF(INDEX(Config!$E$9:$E$29,MATCH($B2824,Config!$B$9:$B$29,0))="","",INDEX(Config!$E$9:$E$29,MATCH($B2824,Config!$B$9:$B$29,0))),""),""))</f>
        <v/>
      </c>
      <c r="AC2824" s="19" t="str">
        <f>IF($B2824="","",IFERROR(INDEX(Config!$D$9:$D$29,MATCH($B2824,Config!$B$9:$B$29,0))&amp;"",""))</f>
        <v/>
      </c>
    </row>
    <row r="2825">
      <c r="R2825" s="20" t="str">
        <f>IF($B2825="","",IFERROR(IF(INDEX(Config!$D$9:$D$29,MATCH($B2825,Config!$B$9:$B$29,0))="Contrato",IF(INDEX(Config!$E$9:$E$29,MATCH($B2825,Config!$B$9:$B$29,0))="","",INDEX(Config!$E$9:$E$29,MATCH($B2825,Config!$B$9:$B$29,0))),""),""))</f>
        <v/>
      </c>
      <c r="AC2825" s="19" t="str">
        <f>IF($B2825="","",IFERROR(INDEX(Config!$D$9:$D$29,MATCH($B2825,Config!$B$9:$B$29,0))&amp;"",""))</f>
        <v/>
      </c>
    </row>
    <row r="2826">
      <c r="R2826" s="20" t="str">
        <f>IF($B2826="","",IFERROR(IF(INDEX(Config!$D$9:$D$29,MATCH($B2826,Config!$B$9:$B$29,0))="Contrato",IF(INDEX(Config!$E$9:$E$29,MATCH($B2826,Config!$B$9:$B$29,0))="","",INDEX(Config!$E$9:$E$29,MATCH($B2826,Config!$B$9:$B$29,0))),""),""))</f>
        <v/>
      </c>
      <c r="AC2826" s="19" t="str">
        <f>IF($B2826="","",IFERROR(INDEX(Config!$D$9:$D$29,MATCH($B2826,Config!$B$9:$B$29,0))&amp;"",""))</f>
        <v/>
      </c>
    </row>
    <row r="2827">
      <c r="R2827" s="20" t="str">
        <f>IF($B2827="","",IFERROR(IF(INDEX(Config!$D$9:$D$29,MATCH($B2827,Config!$B$9:$B$29,0))="Contrato",IF(INDEX(Config!$E$9:$E$29,MATCH($B2827,Config!$B$9:$B$29,0))="","",INDEX(Config!$E$9:$E$29,MATCH($B2827,Config!$B$9:$B$29,0))),""),""))</f>
        <v/>
      </c>
      <c r="AC2827" s="19" t="str">
        <f>IF($B2827="","",IFERROR(INDEX(Config!$D$9:$D$29,MATCH($B2827,Config!$B$9:$B$29,0))&amp;"",""))</f>
        <v/>
      </c>
    </row>
    <row r="2828">
      <c r="R2828" s="20" t="str">
        <f>IF($B2828="","",IFERROR(IF(INDEX(Config!$D$9:$D$29,MATCH($B2828,Config!$B$9:$B$29,0))="Contrato",IF(INDEX(Config!$E$9:$E$29,MATCH($B2828,Config!$B$9:$B$29,0))="","",INDEX(Config!$E$9:$E$29,MATCH($B2828,Config!$B$9:$B$29,0))),""),""))</f>
        <v/>
      </c>
      <c r="AC2828" s="19" t="str">
        <f>IF($B2828="","",IFERROR(INDEX(Config!$D$9:$D$29,MATCH($B2828,Config!$B$9:$B$29,0))&amp;"",""))</f>
        <v/>
      </c>
    </row>
    <row r="2829">
      <c r="R2829" s="20" t="str">
        <f>IF($B2829="","",IFERROR(IF(INDEX(Config!$D$9:$D$29,MATCH($B2829,Config!$B$9:$B$29,0))="Contrato",IF(INDEX(Config!$E$9:$E$29,MATCH($B2829,Config!$B$9:$B$29,0))="","",INDEX(Config!$E$9:$E$29,MATCH($B2829,Config!$B$9:$B$29,0))),""),""))</f>
        <v/>
      </c>
      <c r="AC2829" s="19" t="str">
        <f>IF($B2829="","",IFERROR(INDEX(Config!$D$9:$D$29,MATCH($B2829,Config!$B$9:$B$29,0))&amp;"",""))</f>
        <v/>
      </c>
    </row>
    <row r="2830">
      <c r="R2830" s="20" t="str">
        <f>IF($B2830="","",IFERROR(IF(INDEX(Config!$D$9:$D$29,MATCH($B2830,Config!$B$9:$B$29,0))="Contrato",IF(INDEX(Config!$E$9:$E$29,MATCH($B2830,Config!$B$9:$B$29,0))="","",INDEX(Config!$E$9:$E$29,MATCH($B2830,Config!$B$9:$B$29,0))),""),""))</f>
        <v/>
      </c>
      <c r="AC2830" s="19" t="str">
        <f>IF($B2830="","",IFERROR(INDEX(Config!$D$9:$D$29,MATCH($B2830,Config!$B$9:$B$29,0))&amp;"",""))</f>
        <v/>
      </c>
    </row>
    <row r="2831">
      <c r="R2831" s="20" t="str">
        <f>IF($B2831="","",IFERROR(IF(INDEX(Config!$D$9:$D$29,MATCH($B2831,Config!$B$9:$B$29,0))="Contrato",IF(INDEX(Config!$E$9:$E$29,MATCH($B2831,Config!$B$9:$B$29,0))="","",INDEX(Config!$E$9:$E$29,MATCH($B2831,Config!$B$9:$B$29,0))),""),""))</f>
        <v/>
      </c>
      <c r="AC2831" s="19" t="str">
        <f>IF($B2831="","",IFERROR(INDEX(Config!$D$9:$D$29,MATCH($B2831,Config!$B$9:$B$29,0))&amp;"",""))</f>
        <v/>
      </c>
    </row>
    <row r="2832">
      <c r="R2832" s="20" t="str">
        <f>IF($B2832="","",IFERROR(IF(INDEX(Config!$D$9:$D$29,MATCH($B2832,Config!$B$9:$B$29,0))="Contrato",IF(INDEX(Config!$E$9:$E$29,MATCH($B2832,Config!$B$9:$B$29,0))="","",INDEX(Config!$E$9:$E$29,MATCH($B2832,Config!$B$9:$B$29,0))),""),""))</f>
        <v/>
      </c>
      <c r="AC2832" s="19" t="str">
        <f>IF($B2832="","",IFERROR(INDEX(Config!$D$9:$D$29,MATCH($B2832,Config!$B$9:$B$29,0))&amp;"",""))</f>
        <v/>
      </c>
    </row>
    <row r="2833">
      <c r="R2833" s="20" t="str">
        <f>IF($B2833="","",IFERROR(IF(INDEX(Config!$D$9:$D$29,MATCH($B2833,Config!$B$9:$B$29,0))="Contrato",IF(INDEX(Config!$E$9:$E$29,MATCH($B2833,Config!$B$9:$B$29,0))="","",INDEX(Config!$E$9:$E$29,MATCH($B2833,Config!$B$9:$B$29,0))),""),""))</f>
        <v/>
      </c>
      <c r="AC2833" s="19" t="str">
        <f>IF($B2833="","",IFERROR(INDEX(Config!$D$9:$D$29,MATCH($B2833,Config!$B$9:$B$29,0))&amp;"",""))</f>
        <v/>
      </c>
    </row>
    <row r="2834">
      <c r="R2834" s="20" t="str">
        <f>IF($B2834="","",IFERROR(IF(INDEX(Config!$D$9:$D$29,MATCH($B2834,Config!$B$9:$B$29,0))="Contrato",IF(INDEX(Config!$E$9:$E$29,MATCH($B2834,Config!$B$9:$B$29,0))="","",INDEX(Config!$E$9:$E$29,MATCH($B2834,Config!$B$9:$B$29,0))),""),""))</f>
        <v/>
      </c>
      <c r="AC2834" s="19" t="str">
        <f>IF($B2834="","",IFERROR(INDEX(Config!$D$9:$D$29,MATCH($B2834,Config!$B$9:$B$29,0))&amp;"",""))</f>
        <v/>
      </c>
    </row>
    <row r="2835">
      <c r="R2835" s="20" t="str">
        <f>IF($B2835="","",IFERROR(IF(INDEX(Config!$D$9:$D$29,MATCH($B2835,Config!$B$9:$B$29,0))="Contrato",IF(INDEX(Config!$E$9:$E$29,MATCH($B2835,Config!$B$9:$B$29,0))="","",INDEX(Config!$E$9:$E$29,MATCH($B2835,Config!$B$9:$B$29,0))),""),""))</f>
        <v/>
      </c>
      <c r="AC2835" s="19" t="str">
        <f>IF($B2835="","",IFERROR(INDEX(Config!$D$9:$D$29,MATCH($B2835,Config!$B$9:$B$29,0))&amp;"",""))</f>
        <v/>
      </c>
    </row>
    <row r="2836">
      <c r="R2836" s="20" t="str">
        <f>IF($B2836="","",IFERROR(IF(INDEX(Config!$D$9:$D$29,MATCH($B2836,Config!$B$9:$B$29,0))="Contrato",IF(INDEX(Config!$E$9:$E$29,MATCH($B2836,Config!$B$9:$B$29,0))="","",INDEX(Config!$E$9:$E$29,MATCH($B2836,Config!$B$9:$B$29,0))),""),""))</f>
        <v/>
      </c>
      <c r="AC2836" s="19" t="str">
        <f>IF($B2836="","",IFERROR(INDEX(Config!$D$9:$D$29,MATCH($B2836,Config!$B$9:$B$29,0))&amp;"",""))</f>
        <v/>
      </c>
    </row>
    <row r="2837">
      <c r="R2837" s="20" t="str">
        <f>IF($B2837="","",IFERROR(IF(INDEX(Config!$D$9:$D$29,MATCH($B2837,Config!$B$9:$B$29,0))="Contrato",IF(INDEX(Config!$E$9:$E$29,MATCH($B2837,Config!$B$9:$B$29,0))="","",INDEX(Config!$E$9:$E$29,MATCH($B2837,Config!$B$9:$B$29,0))),""),""))</f>
        <v/>
      </c>
      <c r="AC2837" s="19" t="str">
        <f>IF($B2837="","",IFERROR(INDEX(Config!$D$9:$D$29,MATCH($B2837,Config!$B$9:$B$29,0))&amp;"",""))</f>
        <v/>
      </c>
    </row>
    <row r="2838">
      <c r="R2838" s="20" t="str">
        <f>IF($B2838="","",IFERROR(IF(INDEX(Config!$D$9:$D$29,MATCH($B2838,Config!$B$9:$B$29,0))="Contrato",IF(INDEX(Config!$E$9:$E$29,MATCH($B2838,Config!$B$9:$B$29,0))="","",INDEX(Config!$E$9:$E$29,MATCH($B2838,Config!$B$9:$B$29,0))),""),""))</f>
        <v/>
      </c>
      <c r="AC2838" s="19" t="str">
        <f>IF($B2838="","",IFERROR(INDEX(Config!$D$9:$D$29,MATCH($B2838,Config!$B$9:$B$29,0))&amp;"",""))</f>
        <v/>
      </c>
    </row>
    <row r="2839">
      <c r="R2839" s="20" t="str">
        <f>IF($B2839="","",IFERROR(IF(INDEX(Config!$D$9:$D$29,MATCH($B2839,Config!$B$9:$B$29,0))="Contrato",IF(INDEX(Config!$E$9:$E$29,MATCH($B2839,Config!$B$9:$B$29,0))="","",INDEX(Config!$E$9:$E$29,MATCH($B2839,Config!$B$9:$B$29,0))),""),""))</f>
        <v/>
      </c>
      <c r="AC2839" s="19" t="str">
        <f>IF($B2839="","",IFERROR(INDEX(Config!$D$9:$D$29,MATCH($B2839,Config!$B$9:$B$29,0))&amp;"",""))</f>
        <v/>
      </c>
    </row>
    <row r="2840">
      <c r="R2840" s="20" t="str">
        <f>IF($B2840="","",IFERROR(IF(INDEX(Config!$D$9:$D$29,MATCH($B2840,Config!$B$9:$B$29,0))="Contrato",IF(INDEX(Config!$E$9:$E$29,MATCH($B2840,Config!$B$9:$B$29,0))="","",INDEX(Config!$E$9:$E$29,MATCH($B2840,Config!$B$9:$B$29,0))),""),""))</f>
        <v/>
      </c>
      <c r="AC2840" s="19" t="str">
        <f>IF($B2840="","",IFERROR(INDEX(Config!$D$9:$D$29,MATCH($B2840,Config!$B$9:$B$29,0))&amp;"",""))</f>
        <v/>
      </c>
    </row>
    <row r="2841">
      <c r="R2841" s="20" t="str">
        <f>IF($B2841="","",IFERROR(IF(INDEX(Config!$D$9:$D$29,MATCH($B2841,Config!$B$9:$B$29,0))="Contrato",IF(INDEX(Config!$E$9:$E$29,MATCH($B2841,Config!$B$9:$B$29,0))="","",INDEX(Config!$E$9:$E$29,MATCH($B2841,Config!$B$9:$B$29,0))),""),""))</f>
        <v/>
      </c>
      <c r="AC2841" s="19" t="str">
        <f>IF($B2841="","",IFERROR(INDEX(Config!$D$9:$D$29,MATCH($B2841,Config!$B$9:$B$29,0))&amp;"",""))</f>
        <v/>
      </c>
    </row>
    <row r="2842">
      <c r="R2842" s="20" t="str">
        <f>IF($B2842="","",IFERROR(IF(INDEX(Config!$D$9:$D$29,MATCH($B2842,Config!$B$9:$B$29,0))="Contrato",IF(INDEX(Config!$E$9:$E$29,MATCH($B2842,Config!$B$9:$B$29,0))="","",INDEX(Config!$E$9:$E$29,MATCH($B2842,Config!$B$9:$B$29,0))),""),""))</f>
        <v/>
      </c>
      <c r="AC2842" s="19" t="str">
        <f>IF($B2842="","",IFERROR(INDEX(Config!$D$9:$D$29,MATCH($B2842,Config!$B$9:$B$29,0))&amp;"",""))</f>
        <v/>
      </c>
    </row>
    <row r="2843">
      <c r="R2843" s="20" t="str">
        <f>IF($B2843="","",IFERROR(IF(INDEX(Config!$D$9:$D$29,MATCH($B2843,Config!$B$9:$B$29,0))="Contrato",IF(INDEX(Config!$E$9:$E$29,MATCH($B2843,Config!$B$9:$B$29,0))="","",INDEX(Config!$E$9:$E$29,MATCH($B2843,Config!$B$9:$B$29,0))),""),""))</f>
        <v/>
      </c>
      <c r="AC2843" s="19" t="str">
        <f>IF($B2843="","",IFERROR(INDEX(Config!$D$9:$D$29,MATCH($B2843,Config!$B$9:$B$29,0))&amp;"",""))</f>
        <v/>
      </c>
    </row>
    <row r="2844">
      <c r="R2844" s="20" t="str">
        <f>IF($B2844="","",IFERROR(IF(INDEX(Config!$D$9:$D$29,MATCH($B2844,Config!$B$9:$B$29,0))="Contrato",IF(INDEX(Config!$E$9:$E$29,MATCH($B2844,Config!$B$9:$B$29,0))="","",INDEX(Config!$E$9:$E$29,MATCH($B2844,Config!$B$9:$B$29,0))),""),""))</f>
        <v/>
      </c>
      <c r="AC2844" s="19" t="str">
        <f>IF($B2844="","",IFERROR(INDEX(Config!$D$9:$D$29,MATCH($B2844,Config!$B$9:$B$29,0))&amp;"",""))</f>
        <v/>
      </c>
    </row>
    <row r="2845">
      <c r="R2845" s="20" t="str">
        <f>IF($B2845="","",IFERROR(IF(INDEX(Config!$D$9:$D$29,MATCH($B2845,Config!$B$9:$B$29,0))="Contrato",IF(INDEX(Config!$E$9:$E$29,MATCH($B2845,Config!$B$9:$B$29,0))="","",INDEX(Config!$E$9:$E$29,MATCH($B2845,Config!$B$9:$B$29,0))),""),""))</f>
        <v/>
      </c>
      <c r="AC2845" s="19" t="str">
        <f>IF($B2845="","",IFERROR(INDEX(Config!$D$9:$D$29,MATCH($B2845,Config!$B$9:$B$29,0))&amp;"",""))</f>
        <v/>
      </c>
    </row>
    <row r="2846">
      <c r="R2846" s="20" t="str">
        <f>IF($B2846="","",IFERROR(IF(INDEX(Config!$D$9:$D$29,MATCH($B2846,Config!$B$9:$B$29,0))="Contrato",IF(INDEX(Config!$E$9:$E$29,MATCH($B2846,Config!$B$9:$B$29,0))="","",INDEX(Config!$E$9:$E$29,MATCH($B2846,Config!$B$9:$B$29,0))),""),""))</f>
        <v/>
      </c>
      <c r="AC2846" s="19" t="str">
        <f>IF($B2846="","",IFERROR(INDEX(Config!$D$9:$D$29,MATCH($B2846,Config!$B$9:$B$29,0))&amp;"",""))</f>
        <v/>
      </c>
    </row>
    <row r="2847">
      <c r="R2847" s="20" t="str">
        <f>IF($B2847="","",IFERROR(IF(INDEX(Config!$D$9:$D$29,MATCH($B2847,Config!$B$9:$B$29,0))="Contrato",IF(INDEX(Config!$E$9:$E$29,MATCH($B2847,Config!$B$9:$B$29,0))="","",INDEX(Config!$E$9:$E$29,MATCH($B2847,Config!$B$9:$B$29,0))),""),""))</f>
        <v/>
      </c>
      <c r="AC2847" s="19" t="str">
        <f>IF($B2847="","",IFERROR(INDEX(Config!$D$9:$D$29,MATCH($B2847,Config!$B$9:$B$29,0))&amp;"",""))</f>
        <v/>
      </c>
    </row>
    <row r="2848">
      <c r="R2848" s="20" t="str">
        <f>IF($B2848="","",IFERROR(IF(INDEX(Config!$D$9:$D$29,MATCH($B2848,Config!$B$9:$B$29,0))="Contrato",IF(INDEX(Config!$E$9:$E$29,MATCH($B2848,Config!$B$9:$B$29,0))="","",INDEX(Config!$E$9:$E$29,MATCH($B2848,Config!$B$9:$B$29,0))),""),""))</f>
        <v/>
      </c>
      <c r="AC2848" s="19" t="str">
        <f>IF($B2848="","",IFERROR(INDEX(Config!$D$9:$D$29,MATCH($B2848,Config!$B$9:$B$29,0))&amp;"",""))</f>
        <v/>
      </c>
    </row>
    <row r="2849">
      <c r="R2849" s="20" t="str">
        <f>IF($B2849="","",IFERROR(IF(INDEX(Config!$D$9:$D$29,MATCH($B2849,Config!$B$9:$B$29,0))="Contrato",IF(INDEX(Config!$E$9:$E$29,MATCH($B2849,Config!$B$9:$B$29,0))="","",INDEX(Config!$E$9:$E$29,MATCH($B2849,Config!$B$9:$B$29,0))),""),""))</f>
        <v/>
      </c>
      <c r="AC2849" s="19" t="str">
        <f>IF($B2849="","",IFERROR(INDEX(Config!$D$9:$D$29,MATCH($B2849,Config!$B$9:$B$29,0))&amp;"",""))</f>
        <v/>
      </c>
    </row>
    <row r="2850">
      <c r="R2850" s="20" t="str">
        <f>IF($B2850="","",IFERROR(IF(INDEX(Config!$D$9:$D$29,MATCH($B2850,Config!$B$9:$B$29,0))="Contrato",IF(INDEX(Config!$E$9:$E$29,MATCH($B2850,Config!$B$9:$B$29,0))="","",INDEX(Config!$E$9:$E$29,MATCH($B2850,Config!$B$9:$B$29,0))),""),""))</f>
        <v/>
      </c>
      <c r="AC2850" s="19" t="str">
        <f>IF($B2850="","",IFERROR(INDEX(Config!$D$9:$D$29,MATCH($B2850,Config!$B$9:$B$29,0))&amp;"",""))</f>
        <v/>
      </c>
    </row>
    <row r="2851">
      <c r="R2851" s="20" t="str">
        <f>IF($B2851="","",IFERROR(IF(INDEX(Config!$D$9:$D$29,MATCH($B2851,Config!$B$9:$B$29,0))="Contrato",IF(INDEX(Config!$E$9:$E$29,MATCH($B2851,Config!$B$9:$B$29,0))="","",INDEX(Config!$E$9:$E$29,MATCH($B2851,Config!$B$9:$B$29,0))),""),""))</f>
        <v/>
      </c>
      <c r="AC2851" s="19" t="str">
        <f>IF($B2851="","",IFERROR(INDEX(Config!$D$9:$D$29,MATCH($B2851,Config!$B$9:$B$29,0))&amp;"",""))</f>
        <v/>
      </c>
    </row>
    <row r="2852">
      <c r="R2852" s="20" t="str">
        <f>IF($B2852="","",IFERROR(IF(INDEX(Config!$D$9:$D$29,MATCH($B2852,Config!$B$9:$B$29,0))="Contrato",IF(INDEX(Config!$E$9:$E$29,MATCH($B2852,Config!$B$9:$B$29,0))="","",INDEX(Config!$E$9:$E$29,MATCH($B2852,Config!$B$9:$B$29,0))),""),""))</f>
        <v/>
      </c>
      <c r="AC2852" s="19" t="str">
        <f>IF($B2852="","",IFERROR(INDEX(Config!$D$9:$D$29,MATCH($B2852,Config!$B$9:$B$29,0))&amp;"",""))</f>
        <v/>
      </c>
    </row>
    <row r="2853">
      <c r="R2853" s="20" t="str">
        <f>IF($B2853="","",IFERROR(IF(INDEX(Config!$D$9:$D$29,MATCH($B2853,Config!$B$9:$B$29,0))="Contrato",IF(INDEX(Config!$E$9:$E$29,MATCH($B2853,Config!$B$9:$B$29,0))="","",INDEX(Config!$E$9:$E$29,MATCH($B2853,Config!$B$9:$B$29,0))),""),""))</f>
        <v/>
      </c>
      <c r="AC2853" s="19" t="str">
        <f>IF($B2853="","",IFERROR(INDEX(Config!$D$9:$D$29,MATCH($B2853,Config!$B$9:$B$29,0))&amp;"",""))</f>
        <v/>
      </c>
    </row>
    <row r="2854">
      <c r="R2854" s="20" t="str">
        <f>IF($B2854="","",IFERROR(IF(INDEX(Config!$D$9:$D$29,MATCH($B2854,Config!$B$9:$B$29,0))="Contrato",IF(INDEX(Config!$E$9:$E$29,MATCH($B2854,Config!$B$9:$B$29,0))="","",INDEX(Config!$E$9:$E$29,MATCH($B2854,Config!$B$9:$B$29,0))),""),""))</f>
        <v/>
      </c>
      <c r="AC2854" s="19" t="str">
        <f>IF($B2854="","",IFERROR(INDEX(Config!$D$9:$D$29,MATCH($B2854,Config!$B$9:$B$29,0))&amp;"",""))</f>
        <v/>
      </c>
    </row>
    <row r="2855">
      <c r="R2855" s="20" t="str">
        <f>IF($B2855="","",IFERROR(IF(INDEX(Config!$D$9:$D$29,MATCH($B2855,Config!$B$9:$B$29,0))="Contrato",IF(INDEX(Config!$E$9:$E$29,MATCH($B2855,Config!$B$9:$B$29,0))="","",INDEX(Config!$E$9:$E$29,MATCH($B2855,Config!$B$9:$B$29,0))),""),""))</f>
        <v/>
      </c>
      <c r="AC2855" s="19" t="str">
        <f>IF($B2855="","",IFERROR(INDEX(Config!$D$9:$D$29,MATCH($B2855,Config!$B$9:$B$29,0))&amp;"",""))</f>
        <v/>
      </c>
    </row>
    <row r="2856">
      <c r="R2856" s="20" t="str">
        <f>IF($B2856="","",IFERROR(IF(INDEX(Config!$D$9:$D$29,MATCH($B2856,Config!$B$9:$B$29,0))="Contrato",IF(INDEX(Config!$E$9:$E$29,MATCH($B2856,Config!$B$9:$B$29,0))="","",INDEX(Config!$E$9:$E$29,MATCH($B2856,Config!$B$9:$B$29,0))),""),""))</f>
        <v/>
      </c>
      <c r="AC2856" s="19" t="str">
        <f>IF($B2856="","",IFERROR(INDEX(Config!$D$9:$D$29,MATCH($B2856,Config!$B$9:$B$29,0))&amp;"",""))</f>
        <v/>
      </c>
    </row>
    <row r="2857">
      <c r="R2857" s="20" t="str">
        <f>IF($B2857="","",IFERROR(IF(INDEX(Config!$D$9:$D$29,MATCH($B2857,Config!$B$9:$B$29,0))="Contrato",IF(INDEX(Config!$E$9:$E$29,MATCH($B2857,Config!$B$9:$B$29,0))="","",INDEX(Config!$E$9:$E$29,MATCH($B2857,Config!$B$9:$B$29,0))),""),""))</f>
        <v/>
      </c>
      <c r="AC2857" s="19" t="str">
        <f>IF($B2857="","",IFERROR(INDEX(Config!$D$9:$D$29,MATCH($B2857,Config!$B$9:$B$29,0))&amp;"",""))</f>
        <v/>
      </c>
    </row>
    <row r="2858">
      <c r="R2858" s="20" t="str">
        <f>IF($B2858="","",IFERROR(IF(INDEX(Config!$D$9:$D$29,MATCH($B2858,Config!$B$9:$B$29,0))="Contrato",IF(INDEX(Config!$E$9:$E$29,MATCH($B2858,Config!$B$9:$B$29,0))="","",INDEX(Config!$E$9:$E$29,MATCH($B2858,Config!$B$9:$B$29,0))),""),""))</f>
        <v/>
      </c>
      <c r="AC2858" s="19" t="str">
        <f>IF($B2858="","",IFERROR(INDEX(Config!$D$9:$D$29,MATCH($B2858,Config!$B$9:$B$29,0))&amp;"",""))</f>
        <v/>
      </c>
    </row>
    <row r="2859">
      <c r="R2859" s="20" t="str">
        <f>IF($B2859="","",IFERROR(IF(INDEX(Config!$D$9:$D$29,MATCH($B2859,Config!$B$9:$B$29,0))="Contrato",IF(INDEX(Config!$E$9:$E$29,MATCH($B2859,Config!$B$9:$B$29,0))="","",INDEX(Config!$E$9:$E$29,MATCH($B2859,Config!$B$9:$B$29,0))),""),""))</f>
        <v/>
      </c>
      <c r="AC2859" s="19" t="str">
        <f>IF($B2859="","",IFERROR(INDEX(Config!$D$9:$D$29,MATCH($B2859,Config!$B$9:$B$29,0))&amp;"",""))</f>
        <v/>
      </c>
    </row>
    <row r="2860">
      <c r="R2860" s="20" t="str">
        <f>IF($B2860="","",IFERROR(IF(INDEX(Config!$D$9:$D$29,MATCH($B2860,Config!$B$9:$B$29,0))="Contrato",IF(INDEX(Config!$E$9:$E$29,MATCH($B2860,Config!$B$9:$B$29,0))="","",INDEX(Config!$E$9:$E$29,MATCH($B2860,Config!$B$9:$B$29,0))),""),""))</f>
        <v/>
      </c>
      <c r="AC2860" s="19" t="str">
        <f>IF($B2860="","",IFERROR(INDEX(Config!$D$9:$D$29,MATCH($B2860,Config!$B$9:$B$29,0))&amp;"",""))</f>
        <v/>
      </c>
    </row>
    <row r="2861">
      <c r="R2861" s="20" t="str">
        <f>IF($B2861="","",IFERROR(IF(INDEX(Config!$D$9:$D$29,MATCH($B2861,Config!$B$9:$B$29,0))="Contrato",IF(INDEX(Config!$E$9:$E$29,MATCH($B2861,Config!$B$9:$B$29,0))="","",INDEX(Config!$E$9:$E$29,MATCH($B2861,Config!$B$9:$B$29,0))),""),""))</f>
        <v/>
      </c>
      <c r="AC2861" s="19" t="str">
        <f>IF($B2861="","",IFERROR(INDEX(Config!$D$9:$D$29,MATCH($B2861,Config!$B$9:$B$29,0))&amp;"",""))</f>
        <v/>
      </c>
    </row>
    <row r="2862">
      <c r="R2862" s="20" t="str">
        <f>IF($B2862="","",IFERROR(IF(INDEX(Config!$D$9:$D$29,MATCH($B2862,Config!$B$9:$B$29,0))="Contrato",IF(INDEX(Config!$E$9:$E$29,MATCH($B2862,Config!$B$9:$B$29,0))="","",INDEX(Config!$E$9:$E$29,MATCH($B2862,Config!$B$9:$B$29,0))),""),""))</f>
        <v/>
      </c>
      <c r="AC2862" s="19" t="str">
        <f>IF($B2862="","",IFERROR(INDEX(Config!$D$9:$D$29,MATCH($B2862,Config!$B$9:$B$29,0))&amp;"",""))</f>
        <v/>
      </c>
    </row>
    <row r="2863">
      <c r="R2863" s="20" t="str">
        <f>IF($B2863="","",IFERROR(IF(INDEX(Config!$D$9:$D$29,MATCH($B2863,Config!$B$9:$B$29,0))="Contrato",IF(INDEX(Config!$E$9:$E$29,MATCH($B2863,Config!$B$9:$B$29,0))="","",INDEX(Config!$E$9:$E$29,MATCH($B2863,Config!$B$9:$B$29,0))),""),""))</f>
        <v/>
      </c>
      <c r="AC2863" s="19" t="str">
        <f>IF($B2863="","",IFERROR(INDEX(Config!$D$9:$D$29,MATCH($B2863,Config!$B$9:$B$29,0))&amp;"",""))</f>
        <v/>
      </c>
    </row>
    <row r="2864">
      <c r="R2864" s="20" t="str">
        <f>IF($B2864="","",IFERROR(IF(INDEX(Config!$D$9:$D$29,MATCH($B2864,Config!$B$9:$B$29,0))="Contrato",IF(INDEX(Config!$E$9:$E$29,MATCH($B2864,Config!$B$9:$B$29,0))="","",INDEX(Config!$E$9:$E$29,MATCH($B2864,Config!$B$9:$B$29,0))),""),""))</f>
        <v/>
      </c>
      <c r="AC2864" s="19" t="str">
        <f>IF($B2864="","",IFERROR(INDEX(Config!$D$9:$D$29,MATCH($B2864,Config!$B$9:$B$29,0))&amp;"",""))</f>
        <v/>
      </c>
    </row>
    <row r="2865">
      <c r="R2865" s="20" t="str">
        <f>IF($B2865="","",IFERROR(IF(INDEX(Config!$D$9:$D$29,MATCH($B2865,Config!$B$9:$B$29,0))="Contrato",IF(INDEX(Config!$E$9:$E$29,MATCH($B2865,Config!$B$9:$B$29,0))="","",INDEX(Config!$E$9:$E$29,MATCH($B2865,Config!$B$9:$B$29,0))),""),""))</f>
        <v/>
      </c>
      <c r="AC2865" s="19" t="str">
        <f>IF($B2865="","",IFERROR(INDEX(Config!$D$9:$D$29,MATCH($B2865,Config!$B$9:$B$29,0))&amp;"",""))</f>
        <v/>
      </c>
    </row>
    <row r="2866">
      <c r="R2866" s="20" t="str">
        <f>IF($B2866="","",IFERROR(IF(INDEX(Config!$D$9:$D$29,MATCH($B2866,Config!$B$9:$B$29,0))="Contrato",IF(INDEX(Config!$E$9:$E$29,MATCH($B2866,Config!$B$9:$B$29,0))="","",INDEX(Config!$E$9:$E$29,MATCH($B2866,Config!$B$9:$B$29,0))),""),""))</f>
        <v/>
      </c>
      <c r="AC2866" s="19" t="str">
        <f>IF($B2866="","",IFERROR(INDEX(Config!$D$9:$D$29,MATCH($B2866,Config!$B$9:$B$29,0))&amp;"",""))</f>
        <v/>
      </c>
    </row>
    <row r="2867">
      <c r="R2867" s="20" t="str">
        <f>IF($B2867="","",IFERROR(IF(INDEX(Config!$D$9:$D$29,MATCH($B2867,Config!$B$9:$B$29,0))="Contrato",IF(INDEX(Config!$E$9:$E$29,MATCH($B2867,Config!$B$9:$B$29,0))="","",INDEX(Config!$E$9:$E$29,MATCH($B2867,Config!$B$9:$B$29,0))),""),""))</f>
        <v/>
      </c>
      <c r="AC2867" s="19" t="str">
        <f>IF($B2867="","",IFERROR(INDEX(Config!$D$9:$D$29,MATCH($B2867,Config!$B$9:$B$29,0))&amp;"",""))</f>
        <v/>
      </c>
    </row>
    <row r="2868">
      <c r="R2868" s="20" t="str">
        <f>IF($B2868="","",IFERROR(IF(INDEX(Config!$D$9:$D$29,MATCH($B2868,Config!$B$9:$B$29,0))="Contrato",IF(INDEX(Config!$E$9:$E$29,MATCH($B2868,Config!$B$9:$B$29,0))="","",INDEX(Config!$E$9:$E$29,MATCH($B2868,Config!$B$9:$B$29,0))),""),""))</f>
        <v/>
      </c>
      <c r="AC2868" s="19" t="str">
        <f>IF($B2868="","",IFERROR(INDEX(Config!$D$9:$D$29,MATCH($B2868,Config!$B$9:$B$29,0))&amp;"",""))</f>
        <v/>
      </c>
    </row>
    <row r="2869">
      <c r="R2869" s="20" t="str">
        <f>IF($B2869="","",IFERROR(IF(INDEX(Config!$D$9:$D$29,MATCH($B2869,Config!$B$9:$B$29,0))="Contrato",IF(INDEX(Config!$E$9:$E$29,MATCH($B2869,Config!$B$9:$B$29,0))="","",INDEX(Config!$E$9:$E$29,MATCH($B2869,Config!$B$9:$B$29,0))),""),""))</f>
        <v/>
      </c>
      <c r="AC2869" s="19" t="str">
        <f>IF($B2869="","",IFERROR(INDEX(Config!$D$9:$D$29,MATCH($B2869,Config!$B$9:$B$29,0))&amp;"",""))</f>
        <v/>
      </c>
    </row>
    <row r="2870">
      <c r="R2870" s="20" t="str">
        <f>IF($B2870="","",IFERROR(IF(INDEX(Config!$D$9:$D$29,MATCH($B2870,Config!$B$9:$B$29,0))="Contrato",IF(INDEX(Config!$E$9:$E$29,MATCH($B2870,Config!$B$9:$B$29,0))="","",INDEX(Config!$E$9:$E$29,MATCH($B2870,Config!$B$9:$B$29,0))),""),""))</f>
        <v/>
      </c>
      <c r="AC2870" s="19" t="str">
        <f>IF($B2870="","",IFERROR(INDEX(Config!$D$9:$D$29,MATCH($B2870,Config!$B$9:$B$29,0))&amp;"",""))</f>
        <v/>
      </c>
    </row>
    <row r="2871">
      <c r="R2871" s="20" t="str">
        <f>IF($B2871="","",IFERROR(IF(INDEX(Config!$D$9:$D$29,MATCH($B2871,Config!$B$9:$B$29,0))="Contrato",IF(INDEX(Config!$E$9:$E$29,MATCH($B2871,Config!$B$9:$B$29,0))="","",INDEX(Config!$E$9:$E$29,MATCH($B2871,Config!$B$9:$B$29,0))),""),""))</f>
        <v/>
      </c>
      <c r="AC2871" s="19" t="str">
        <f>IF($B2871="","",IFERROR(INDEX(Config!$D$9:$D$29,MATCH($B2871,Config!$B$9:$B$29,0))&amp;"",""))</f>
        <v/>
      </c>
    </row>
    <row r="2872">
      <c r="R2872" s="20" t="str">
        <f>IF($B2872="","",IFERROR(IF(INDEX(Config!$D$9:$D$29,MATCH($B2872,Config!$B$9:$B$29,0))="Contrato",IF(INDEX(Config!$E$9:$E$29,MATCH($B2872,Config!$B$9:$B$29,0))="","",INDEX(Config!$E$9:$E$29,MATCH($B2872,Config!$B$9:$B$29,0))),""),""))</f>
        <v/>
      </c>
      <c r="AC2872" s="19" t="str">
        <f>IF($B2872="","",IFERROR(INDEX(Config!$D$9:$D$29,MATCH($B2872,Config!$B$9:$B$29,0))&amp;"",""))</f>
        <v/>
      </c>
    </row>
    <row r="2873">
      <c r="R2873" s="20" t="str">
        <f>IF($B2873="","",IFERROR(IF(INDEX(Config!$D$9:$D$29,MATCH($B2873,Config!$B$9:$B$29,0))="Contrato",IF(INDEX(Config!$E$9:$E$29,MATCH($B2873,Config!$B$9:$B$29,0))="","",INDEX(Config!$E$9:$E$29,MATCH($B2873,Config!$B$9:$B$29,0))),""),""))</f>
        <v/>
      </c>
      <c r="AC2873" s="19" t="str">
        <f>IF($B2873="","",IFERROR(INDEX(Config!$D$9:$D$29,MATCH($B2873,Config!$B$9:$B$29,0))&amp;"",""))</f>
        <v/>
      </c>
    </row>
    <row r="2874">
      <c r="R2874" s="20" t="str">
        <f>IF($B2874="","",IFERROR(IF(INDEX(Config!$D$9:$D$29,MATCH($B2874,Config!$B$9:$B$29,0))="Contrato",IF(INDEX(Config!$E$9:$E$29,MATCH($B2874,Config!$B$9:$B$29,0))="","",INDEX(Config!$E$9:$E$29,MATCH($B2874,Config!$B$9:$B$29,0))),""),""))</f>
        <v/>
      </c>
      <c r="AC2874" s="19" t="str">
        <f>IF($B2874="","",IFERROR(INDEX(Config!$D$9:$D$29,MATCH($B2874,Config!$B$9:$B$29,0))&amp;"",""))</f>
        <v/>
      </c>
    </row>
    <row r="2875">
      <c r="R2875" s="20" t="str">
        <f>IF($B2875="","",IFERROR(IF(INDEX(Config!$D$9:$D$29,MATCH($B2875,Config!$B$9:$B$29,0))="Contrato",IF(INDEX(Config!$E$9:$E$29,MATCH($B2875,Config!$B$9:$B$29,0))="","",INDEX(Config!$E$9:$E$29,MATCH($B2875,Config!$B$9:$B$29,0))),""),""))</f>
        <v/>
      </c>
      <c r="AC2875" s="19" t="str">
        <f>IF($B2875="","",IFERROR(INDEX(Config!$D$9:$D$29,MATCH($B2875,Config!$B$9:$B$29,0))&amp;"",""))</f>
        <v/>
      </c>
    </row>
    <row r="2876">
      <c r="R2876" s="20" t="str">
        <f>IF($B2876="","",IFERROR(IF(INDEX(Config!$D$9:$D$29,MATCH($B2876,Config!$B$9:$B$29,0))="Contrato",IF(INDEX(Config!$E$9:$E$29,MATCH($B2876,Config!$B$9:$B$29,0))="","",INDEX(Config!$E$9:$E$29,MATCH($B2876,Config!$B$9:$B$29,0))),""),""))</f>
        <v/>
      </c>
      <c r="AC2876" s="19" t="str">
        <f>IF($B2876="","",IFERROR(INDEX(Config!$D$9:$D$29,MATCH($B2876,Config!$B$9:$B$29,0))&amp;"",""))</f>
        <v/>
      </c>
    </row>
    <row r="2877">
      <c r="R2877" s="20" t="str">
        <f>IF($B2877="","",IFERROR(IF(INDEX(Config!$D$9:$D$29,MATCH($B2877,Config!$B$9:$B$29,0))="Contrato",IF(INDEX(Config!$E$9:$E$29,MATCH($B2877,Config!$B$9:$B$29,0))="","",INDEX(Config!$E$9:$E$29,MATCH($B2877,Config!$B$9:$B$29,0))),""),""))</f>
        <v/>
      </c>
      <c r="AC2877" s="19" t="str">
        <f>IF($B2877="","",IFERROR(INDEX(Config!$D$9:$D$29,MATCH($B2877,Config!$B$9:$B$29,0))&amp;"",""))</f>
        <v/>
      </c>
    </row>
    <row r="2878">
      <c r="R2878" s="20" t="str">
        <f>IF($B2878="","",IFERROR(IF(INDEX(Config!$D$9:$D$29,MATCH($B2878,Config!$B$9:$B$29,0))="Contrato",IF(INDEX(Config!$E$9:$E$29,MATCH($B2878,Config!$B$9:$B$29,0))="","",INDEX(Config!$E$9:$E$29,MATCH($B2878,Config!$B$9:$B$29,0))),""),""))</f>
        <v/>
      </c>
      <c r="AC2878" s="19" t="str">
        <f>IF($B2878="","",IFERROR(INDEX(Config!$D$9:$D$29,MATCH($B2878,Config!$B$9:$B$29,0))&amp;"",""))</f>
        <v/>
      </c>
    </row>
    <row r="2879">
      <c r="R2879" s="20" t="str">
        <f>IF($B2879="","",IFERROR(IF(INDEX(Config!$D$9:$D$29,MATCH($B2879,Config!$B$9:$B$29,0))="Contrato",IF(INDEX(Config!$E$9:$E$29,MATCH($B2879,Config!$B$9:$B$29,0))="","",INDEX(Config!$E$9:$E$29,MATCH($B2879,Config!$B$9:$B$29,0))),""),""))</f>
        <v/>
      </c>
      <c r="AC2879" s="19" t="str">
        <f>IF($B2879="","",IFERROR(INDEX(Config!$D$9:$D$29,MATCH($B2879,Config!$B$9:$B$29,0))&amp;"",""))</f>
        <v/>
      </c>
    </row>
    <row r="2880">
      <c r="R2880" s="20" t="str">
        <f>IF($B2880="","",IFERROR(IF(INDEX(Config!$D$9:$D$29,MATCH($B2880,Config!$B$9:$B$29,0))="Contrato",IF(INDEX(Config!$E$9:$E$29,MATCH($B2880,Config!$B$9:$B$29,0))="","",INDEX(Config!$E$9:$E$29,MATCH($B2880,Config!$B$9:$B$29,0))),""),""))</f>
        <v/>
      </c>
      <c r="AC2880" s="19" t="str">
        <f>IF($B2880="","",IFERROR(INDEX(Config!$D$9:$D$29,MATCH($B2880,Config!$B$9:$B$29,0))&amp;"",""))</f>
        <v/>
      </c>
    </row>
    <row r="2881">
      <c r="R2881" s="20" t="str">
        <f>IF($B2881="","",IFERROR(IF(INDEX(Config!$D$9:$D$29,MATCH($B2881,Config!$B$9:$B$29,0))="Contrato",IF(INDEX(Config!$E$9:$E$29,MATCH($B2881,Config!$B$9:$B$29,0))="","",INDEX(Config!$E$9:$E$29,MATCH($B2881,Config!$B$9:$B$29,0))),""),""))</f>
        <v/>
      </c>
      <c r="AC2881" s="19" t="str">
        <f>IF($B2881="","",IFERROR(INDEX(Config!$D$9:$D$29,MATCH($B2881,Config!$B$9:$B$29,0))&amp;"",""))</f>
        <v/>
      </c>
    </row>
    <row r="2882">
      <c r="R2882" s="20" t="str">
        <f>IF($B2882="","",IFERROR(IF(INDEX(Config!$D$9:$D$29,MATCH($B2882,Config!$B$9:$B$29,0))="Contrato",IF(INDEX(Config!$E$9:$E$29,MATCH($B2882,Config!$B$9:$B$29,0))="","",INDEX(Config!$E$9:$E$29,MATCH($B2882,Config!$B$9:$B$29,0))),""),""))</f>
        <v/>
      </c>
      <c r="AC2882" s="19" t="str">
        <f>IF($B2882="","",IFERROR(INDEX(Config!$D$9:$D$29,MATCH($B2882,Config!$B$9:$B$29,0))&amp;"",""))</f>
        <v/>
      </c>
    </row>
    <row r="2883">
      <c r="R2883" s="20" t="str">
        <f>IF($B2883="","",IFERROR(IF(INDEX(Config!$D$9:$D$29,MATCH($B2883,Config!$B$9:$B$29,0))="Contrato",IF(INDEX(Config!$E$9:$E$29,MATCH($B2883,Config!$B$9:$B$29,0))="","",INDEX(Config!$E$9:$E$29,MATCH($B2883,Config!$B$9:$B$29,0))),""),""))</f>
        <v/>
      </c>
      <c r="AC2883" s="19" t="str">
        <f>IF($B2883="","",IFERROR(INDEX(Config!$D$9:$D$29,MATCH($B2883,Config!$B$9:$B$29,0))&amp;"",""))</f>
        <v/>
      </c>
    </row>
    <row r="2884">
      <c r="R2884" s="20" t="str">
        <f>IF($B2884="","",IFERROR(IF(INDEX(Config!$D$9:$D$29,MATCH($B2884,Config!$B$9:$B$29,0))="Contrato",IF(INDEX(Config!$E$9:$E$29,MATCH($B2884,Config!$B$9:$B$29,0))="","",INDEX(Config!$E$9:$E$29,MATCH($B2884,Config!$B$9:$B$29,0))),""),""))</f>
        <v/>
      </c>
      <c r="AC2884" s="19" t="str">
        <f>IF($B2884="","",IFERROR(INDEX(Config!$D$9:$D$29,MATCH($B2884,Config!$B$9:$B$29,0))&amp;"",""))</f>
        <v/>
      </c>
    </row>
    <row r="2885">
      <c r="R2885" s="20" t="str">
        <f>IF($B2885="","",IFERROR(IF(INDEX(Config!$D$9:$D$29,MATCH($B2885,Config!$B$9:$B$29,0))="Contrato",IF(INDEX(Config!$E$9:$E$29,MATCH($B2885,Config!$B$9:$B$29,0))="","",INDEX(Config!$E$9:$E$29,MATCH($B2885,Config!$B$9:$B$29,0))),""),""))</f>
        <v/>
      </c>
      <c r="AC2885" s="19" t="str">
        <f>IF($B2885="","",IFERROR(INDEX(Config!$D$9:$D$29,MATCH($B2885,Config!$B$9:$B$29,0))&amp;"",""))</f>
        <v/>
      </c>
    </row>
    <row r="2886">
      <c r="R2886" s="20" t="str">
        <f>IF($B2886="","",IFERROR(IF(INDEX(Config!$D$9:$D$29,MATCH($B2886,Config!$B$9:$B$29,0))="Contrato",IF(INDEX(Config!$E$9:$E$29,MATCH($B2886,Config!$B$9:$B$29,0))="","",INDEX(Config!$E$9:$E$29,MATCH($B2886,Config!$B$9:$B$29,0))),""),""))</f>
        <v/>
      </c>
      <c r="AC2886" s="19" t="str">
        <f>IF($B2886="","",IFERROR(INDEX(Config!$D$9:$D$29,MATCH($B2886,Config!$B$9:$B$29,0))&amp;"",""))</f>
        <v/>
      </c>
    </row>
    <row r="2887">
      <c r="R2887" s="20" t="str">
        <f>IF($B2887="","",IFERROR(IF(INDEX(Config!$D$9:$D$29,MATCH($B2887,Config!$B$9:$B$29,0))="Contrato",IF(INDEX(Config!$E$9:$E$29,MATCH($B2887,Config!$B$9:$B$29,0))="","",INDEX(Config!$E$9:$E$29,MATCH($B2887,Config!$B$9:$B$29,0))),""),""))</f>
        <v/>
      </c>
      <c r="AC2887" s="19" t="str">
        <f>IF($B2887="","",IFERROR(INDEX(Config!$D$9:$D$29,MATCH($B2887,Config!$B$9:$B$29,0))&amp;"",""))</f>
        <v/>
      </c>
    </row>
    <row r="2888">
      <c r="R2888" s="20" t="str">
        <f>IF($B2888="","",IFERROR(IF(INDEX(Config!$D$9:$D$29,MATCH($B2888,Config!$B$9:$B$29,0))="Contrato",IF(INDEX(Config!$E$9:$E$29,MATCH($B2888,Config!$B$9:$B$29,0))="","",INDEX(Config!$E$9:$E$29,MATCH($B2888,Config!$B$9:$B$29,0))),""),""))</f>
        <v/>
      </c>
      <c r="AC2888" s="19" t="str">
        <f>IF($B2888="","",IFERROR(INDEX(Config!$D$9:$D$29,MATCH($B2888,Config!$B$9:$B$29,0))&amp;"",""))</f>
        <v/>
      </c>
    </row>
    <row r="2889">
      <c r="R2889" s="20" t="str">
        <f>IF($B2889="","",IFERROR(IF(INDEX(Config!$D$9:$D$29,MATCH($B2889,Config!$B$9:$B$29,0))="Contrato",IF(INDEX(Config!$E$9:$E$29,MATCH($B2889,Config!$B$9:$B$29,0))="","",INDEX(Config!$E$9:$E$29,MATCH($B2889,Config!$B$9:$B$29,0))),""),""))</f>
        <v/>
      </c>
      <c r="AC2889" s="19" t="str">
        <f>IF($B2889="","",IFERROR(INDEX(Config!$D$9:$D$29,MATCH($B2889,Config!$B$9:$B$29,0))&amp;"",""))</f>
        <v/>
      </c>
    </row>
    <row r="2890">
      <c r="R2890" s="20" t="str">
        <f>IF($B2890="","",IFERROR(IF(INDEX(Config!$D$9:$D$29,MATCH($B2890,Config!$B$9:$B$29,0))="Contrato",IF(INDEX(Config!$E$9:$E$29,MATCH($B2890,Config!$B$9:$B$29,0))="","",INDEX(Config!$E$9:$E$29,MATCH($B2890,Config!$B$9:$B$29,0))),""),""))</f>
        <v/>
      </c>
      <c r="AC2890" s="19" t="str">
        <f>IF($B2890="","",IFERROR(INDEX(Config!$D$9:$D$29,MATCH($B2890,Config!$B$9:$B$29,0))&amp;"",""))</f>
        <v/>
      </c>
    </row>
    <row r="2891">
      <c r="R2891" s="20" t="str">
        <f>IF($B2891="","",IFERROR(IF(INDEX(Config!$D$9:$D$29,MATCH($B2891,Config!$B$9:$B$29,0))="Contrato",IF(INDEX(Config!$E$9:$E$29,MATCH($B2891,Config!$B$9:$B$29,0))="","",INDEX(Config!$E$9:$E$29,MATCH($B2891,Config!$B$9:$B$29,0))),""),""))</f>
        <v/>
      </c>
      <c r="AC2891" s="19" t="str">
        <f>IF($B2891="","",IFERROR(INDEX(Config!$D$9:$D$29,MATCH($B2891,Config!$B$9:$B$29,0))&amp;"",""))</f>
        <v/>
      </c>
    </row>
    <row r="2892">
      <c r="R2892" s="20" t="str">
        <f>IF($B2892="","",IFERROR(IF(INDEX(Config!$D$9:$D$29,MATCH($B2892,Config!$B$9:$B$29,0))="Contrato",IF(INDEX(Config!$E$9:$E$29,MATCH($B2892,Config!$B$9:$B$29,0))="","",INDEX(Config!$E$9:$E$29,MATCH($B2892,Config!$B$9:$B$29,0))),""),""))</f>
        <v/>
      </c>
      <c r="AC2892" s="19" t="str">
        <f>IF($B2892="","",IFERROR(INDEX(Config!$D$9:$D$29,MATCH($B2892,Config!$B$9:$B$29,0))&amp;"",""))</f>
        <v/>
      </c>
    </row>
    <row r="2893">
      <c r="R2893" s="20" t="str">
        <f>IF($B2893="","",IFERROR(IF(INDEX(Config!$D$9:$D$29,MATCH($B2893,Config!$B$9:$B$29,0))="Contrato",IF(INDEX(Config!$E$9:$E$29,MATCH($B2893,Config!$B$9:$B$29,0))="","",INDEX(Config!$E$9:$E$29,MATCH($B2893,Config!$B$9:$B$29,0))),""),""))</f>
        <v/>
      </c>
      <c r="AC2893" s="19" t="str">
        <f>IF($B2893="","",IFERROR(INDEX(Config!$D$9:$D$29,MATCH($B2893,Config!$B$9:$B$29,0))&amp;"",""))</f>
        <v/>
      </c>
    </row>
    <row r="2894">
      <c r="R2894" s="20" t="str">
        <f>IF($B2894="","",IFERROR(IF(INDEX(Config!$D$9:$D$29,MATCH($B2894,Config!$B$9:$B$29,0))="Contrato",IF(INDEX(Config!$E$9:$E$29,MATCH($B2894,Config!$B$9:$B$29,0))="","",INDEX(Config!$E$9:$E$29,MATCH($B2894,Config!$B$9:$B$29,0))),""),""))</f>
        <v/>
      </c>
      <c r="AC2894" s="19" t="str">
        <f>IF($B2894="","",IFERROR(INDEX(Config!$D$9:$D$29,MATCH($B2894,Config!$B$9:$B$29,0))&amp;"",""))</f>
        <v/>
      </c>
    </row>
    <row r="2895">
      <c r="R2895" s="20" t="str">
        <f>IF($B2895="","",IFERROR(IF(INDEX(Config!$D$9:$D$29,MATCH($B2895,Config!$B$9:$B$29,0))="Contrato",IF(INDEX(Config!$E$9:$E$29,MATCH($B2895,Config!$B$9:$B$29,0))="","",INDEX(Config!$E$9:$E$29,MATCH($B2895,Config!$B$9:$B$29,0))),""),""))</f>
        <v/>
      </c>
      <c r="AC2895" s="19" t="str">
        <f>IF($B2895="","",IFERROR(INDEX(Config!$D$9:$D$29,MATCH($B2895,Config!$B$9:$B$29,0))&amp;"",""))</f>
        <v/>
      </c>
    </row>
    <row r="2896">
      <c r="R2896" s="20" t="str">
        <f>IF($B2896="","",IFERROR(IF(INDEX(Config!$D$9:$D$29,MATCH($B2896,Config!$B$9:$B$29,0))="Contrato",IF(INDEX(Config!$E$9:$E$29,MATCH($B2896,Config!$B$9:$B$29,0))="","",INDEX(Config!$E$9:$E$29,MATCH($B2896,Config!$B$9:$B$29,0))),""),""))</f>
        <v/>
      </c>
      <c r="AC2896" s="19" t="str">
        <f>IF($B2896="","",IFERROR(INDEX(Config!$D$9:$D$29,MATCH($B2896,Config!$B$9:$B$29,0))&amp;"",""))</f>
        <v/>
      </c>
    </row>
    <row r="2897">
      <c r="R2897" s="20" t="str">
        <f>IF($B2897="","",IFERROR(IF(INDEX(Config!$D$9:$D$29,MATCH($B2897,Config!$B$9:$B$29,0))="Contrato",IF(INDEX(Config!$E$9:$E$29,MATCH($B2897,Config!$B$9:$B$29,0))="","",INDEX(Config!$E$9:$E$29,MATCH($B2897,Config!$B$9:$B$29,0))),""),""))</f>
        <v/>
      </c>
      <c r="AC2897" s="19" t="str">
        <f>IF($B2897="","",IFERROR(INDEX(Config!$D$9:$D$29,MATCH($B2897,Config!$B$9:$B$29,0))&amp;"",""))</f>
        <v/>
      </c>
    </row>
    <row r="2898">
      <c r="R2898" s="20" t="str">
        <f>IF($B2898="","",IFERROR(IF(INDEX(Config!$D$9:$D$29,MATCH($B2898,Config!$B$9:$B$29,0))="Contrato",IF(INDEX(Config!$E$9:$E$29,MATCH($B2898,Config!$B$9:$B$29,0))="","",INDEX(Config!$E$9:$E$29,MATCH($B2898,Config!$B$9:$B$29,0))),""),""))</f>
        <v/>
      </c>
      <c r="AC2898" s="19" t="str">
        <f>IF($B2898="","",IFERROR(INDEX(Config!$D$9:$D$29,MATCH($B2898,Config!$B$9:$B$29,0))&amp;"",""))</f>
        <v/>
      </c>
    </row>
    <row r="2899">
      <c r="R2899" s="20" t="str">
        <f>IF($B2899="","",IFERROR(IF(INDEX(Config!$D$9:$D$29,MATCH($B2899,Config!$B$9:$B$29,0))="Contrato",IF(INDEX(Config!$E$9:$E$29,MATCH($B2899,Config!$B$9:$B$29,0))="","",INDEX(Config!$E$9:$E$29,MATCH($B2899,Config!$B$9:$B$29,0))),""),""))</f>
        <v/>
      </c>
      <c r="AC2899" s="19" t="str">
        <f>IF($B2899="","",IFERROR(INDEX(Config!$D$9:$D$29,MATCH($B2899,Config!$B$9:$B$29,0))&amp;"",""))</f>
        <v/>
      </c>
    </row>
    <row r="2900">
      <c r="R2900" s="20" t="str">
        <f>IF($B2900="","",IFERROR(IF(INDEX(Config!$D$9:$D$29,MATCH($B2900,Config!$B$9:$B$29,0))="Contrato",IF(INDEX(Config!$E$9:$E$29,MATCH($B2900,Config!$B$9:$B$29,0))="","",INDEX(Config!$E$9:$E$29,MATCH($B2900,Config!$B$9:$B$29,0))),""),""))</f>
        <v/>
      </c>
      <c r="AC2900" s="19" t="str">
        <f>IF($B2900="","",IFERROR(INDEX(Config!$D$9:$D$29,MATCH($B2900,Config!$B$9:$B$29,0))&amp;"",""))</f>
        <v/>
      </c>
    </row>
    <row r="2901">
      <c r="R2901" s="20" t="str">
        <f>IF($B2901="","",IFERROR(IF(INDEX(Config!$D$9:$D$29,MATCH($B2901,Config!$B$9:$B$29,0))="Contrato",IF(INDEX(Config!$E$9:$E$29,MATCH($B2901,Config!$B$9:$B$29,0))="","",INDEX(Config!$E$9:$E$29,MATCH($B2901,Config!$B$9:$B$29,0))),""),""))</f>
        <v/>
      </c>
      <c r="AC2901" s="19" t="str">
        <f>IF($B2901="","",IFERROR(INDEX(Config!$D$9:$D$29,MATCH($B2901,Config!$B$9:$B$29,0))&amp;"",""))</f>
        <v/>
      </c>
    </row>
    <row r="2902">
      <c r="R2902" s="20" t="str">
        <f>IF($B2902="","",IFERROR(IF(INDEX(Config!$D$9:$D$29,MATCH($B2902,Config!$B$9:$B$29,0))="Contrato",IF(INDEX(Config!$E$9:$E$29,MATCH($B2902,Config!$B$9:$B$29,0))="","",INDEX(Config!$E$9:$E$29,MATCH($B2902,Config!$B$9:$B$29,0))),""),""))</f>
        <v/>
      </c>
      <c r="AC2902" s="19" t="str">
        <f>IF($B2902="","",IFERROR(INDEX(Config!$D$9:$D$29,MATCH($B2902,Config!$B$9:$B$29,0))&amp;"",""))</f>
        <v/>
      </c>
    </row>
    <row r="2903">
      <c r="R2903" s="20" t="str">
        <f>IF($B2903="","",IFERROR(IF(INDEX(Config!$D$9:$D$29,MATCH($B2903,Config!$B$9:$B$29,0))="Contrato",IF(INDEX(Config!$E$9:$E$29,MATCH($B2903,Config!$B$9:$B$29,0))="","",INDEX(Config!$E$9:$E$29,MATCH($B2903,Config!$B$9:$B$29,0))),""),""))</f>
        <v/>
      </c>
      <c r="AC2903" s="19" t="str">
        <f>IF($B2903="","",IFERROR(INDEX(Config!$D$9:$D$29,MATCH($B2903,Config!$B$9:$B$29,0))&amp;"",""))</f>
        <v/>
      </c>
    </row>
    <row r="2904">
      <c r="R2904" s="20" t="str">
        <f>IF($B2904="","",IFERROR(IF(INDEX(Config!$D$9:$D$29,MATCH($B2904,Config!$B$9:$B$29,0))="Contrato",IF(INDEX(Config!$E$9:$E$29,MATCH($B2904,Config!$B$9:$B$29,0))="","",INDEX(Config!$E$9:$E$29,MATCH($B2904,Config!$B$9:$B$29,0))),""),""))</f>
        <v/>
      </c>
      <c r="AC2904" s="19" t="str">
        <f>IF($B2904="","",IFERROR(INDEX(Config!$D$9:$D$29,MATCH($B2904,Config!$B$9:$B$29,0))&amp;"",""))</f>
        <v/>
      </c>
    </row>
    <row r="2905">
      <c r="R2905" s="20" t="str">
        <f>IF($B2905="","",IFERROR(IF(INDEX(Config!$D$9:$D$29,MATCH($B2905,Config!$B$9:$B$29,0))="Contrato",IF(INDEX(Config!$E$9:$E$29,MATCH($B2905,Config!$B$9:$B$29,0))="","",INDEX(Config!$E$9:$E$29,MATCH($B2905,Config!$B$9:$B$29,0))),""),""))</f>
        <v/>
      </c>
      <c r="AC2905" s="19" t="str">
        <f>IF($B2905="","",IFERROR(INDEX(Config!$D$9:$D$29,MATCH($B2905,Config!$B$9:$B$29,0))&amp;"",""))</f>
        <v/>
      </c>
    </row>
    <row r="2906">
      <c r="R2906" s="20" t="str">
        <f>IF($B2906="","",IFERROR(IF(INDEX(Config!$D$9:$D$29,MATCH($B2906,Config!$B$9:$B$29,0))="Contrato",IF(INDEX(Config!$E$9:$E$29,MATCH($B2906,Config!$B$9:$B$29,0))="","",INDEX(Config!$E$9:$E$29,MATCH($B2906,Config!$B$9:$B$29,0))),""),""))</f>
        <v/>
      </c>
      <c r="AC2906" s="19" t="str">
        <f>IF($B2906="","",IFERROR(INDEX(Config!$D$9:$D$29,MATCH($B2906,Config!$B$9:$B$29,0))&amp;"",""))</f>
        <v/>
      </c>
    </row>
    <row r="2907">
      <c r="R2907" s="20" t="str">
        <f>IF($B2907="","",IFERROR(IF(INDEX(Config!$D$9:$D$29,MATCH($B2907,Config!$B$9:$B$29,0))="Contrato",IF(INDEX(Config!$E$9:$E$29,MATCH($B2907,Config!$B$9:$B$29,0))="","",INDEX(Config!$E$9:$E$29,MATCH($B2907,Config!$B$9:$B$29,0))),""),""))</f>
        <v/>
      </c>
      <c r="AC2907" s="19" t="str">
        <f>IF($B2907="","",IFERROR(INDEX(Config!$D$9:$D$29,MATCH($B2907,Config!$B$9:$B$29,0))&amp;"",""))</f>
        <v/>
      </c>
    </row>
    <row r="2908">
      <c r="R2908" s="20" t="str">
        <f>IF($B2908="","",IFERROR(IF(INDEX(Config!$D$9:$D$29,MATCH($B2908,Config!$B$9:$B$29,0))="Contrato",IF(INDEX(Config!$E$9:$E$29,MATCH($B2908,Config!$B$9:$B$29,0))="","",INDEX(Config!$E$9:$E$29,MATCH($B2908,Config!$B$9:$B$29,0))),""),""))</f>
        <v/>
      </c>
      <c r="AC2908" s="19" t="str">
        <f>IF($B2908="","",IFERROR(INDEX(Config!$D$9:$D$29,MATCH($B2908,Config!$B$9:$B$29,0))&amp;"",""))</f>
        <v/>
      </c>
    </row>
    <row r="2909">
      <c r="R2909" s="20" t="str">
        <f>IF($B2909="","",IFERROR(IF(INDEX(Config!$D$9:$D$29,MATCH($B2909,Config!$B$9:$B$29,0))="Contrato",IF(INDEX(Config!$E$9:$E$29,MATCH($B2909,Config!$B$9:$B$29,0))="","",INDEX(Config!$E$9:$E$29,MATCH($B2909,Config!$B$9:$B$29,0))),""),""))</f>
        <v/>
      </c>
      <c r="AC2909" s="19" t="str">
        <f>IF($B2909="","",IFERROR(INDEX(Config!$D$9:$D$29,MATCH($B2909,Config!$B$9:$B$29,0))&amp;"",""))</f>
        <v/>
      </c>
    </row>
    <row r="2910">
      <c r="R2910" s="20" t="str">
        <f>IF($B2910="","",IFERROR(IF(INDEX(Config!$D$9:$D$29,MATCH($B2910,Config!$B$9:$B$29,0))="Contrato",IF(INDEX(Config!$E$9:$E$29,MATCH($B2910,Config!$B$9:$B$29,0))="","",INDEX(Config!$E$9:$E$29,MATCH($B2910,Config!$B$9:$B$29,0))),""),""))</f>
        <v/>
      </c>
      <c r="AC2910" s="19" t="str">
        <f>IF($B2910="","",IFERROR(INDEX(Config!$D$9:$D$29,MATCH($B2910,Config!$B$9:$B$29,0))&amp;"",""))</f>
        <v/>
      </c>
    </row>
    <row r="2911">
      <c r="R2911" s="20" t="str">
        <f>IF($B2911="","",IFERROR(IF(INDEX(Config!$D$9:$D$29,MATCH($B2911,Config!$B$9:$B$29,0))="Contrato",IF(INDEX(Config!$E$9:$E$29,MATCH($B2911,Config!$B$9:$B$29,0))="","",INDEX(Config!$E$9:$E$29,MATCH($B2911,Config!$B$9:$B$29,0))),""),""))</f>
        <v/>
      </c>
      <c r="AC2911" s="19" t="str">
        <f>IF($B2911="","",IFERROR(INDEX(Config!$D$9:$D$29,MATCH($B2911,Config!$B$9:$B$29,0))&amp;"",""))</f>
        <v/>
      </c>
    </row>
    <row r="2912">
      <c r="R2912" s="20" t="str">
        <f>IF($B2912="","",IFERROR(IF(INDEX(Config!$D$9:$D$29,MATCH($B2912,Config!$B$9:$B$29,0))="Contrato",IF(INDEX(Config!$E$9:$E$29,MATCH($B2912,Config!$B$9:$B$29,0))="","",INDEX(Config!$E$9:$E$29,MATCH($B2912,Config!$B$9:$B$29,0))),""),""))</f>
        <v/>
      </c>
      <c r="AC2912" s="19" t="str">
        <f>IF($B2912="","",IFERROR(INDEX(Config!$D$9:$D$29,MATCH($B2912,Config!$B$9:$B$29,0))&amp;"",""))</f>
        <v/>
      </c>
    </row>
    <row r="2913">
      <c r="R2913" s="20" t="str">
        <f>IF($B2913="","",IFERROR(IF(INDEX(Config!$D$9:$D$29,MATCH($B2913,Config!$B$9:$B$29,0))="Contrato",IF(INDEX(Config!$E$9:$E$29,MATCH($B2913,Config!$B$9:$B$29,0))="","",INDEX(Config!$E$9:$E$29,MATCH($B2913,Config!$B$9:$B$29,0))),""),""))</f>
        <v/>
      </c>
      <c r="AC2913" s="19" t="str">
        <f>IF($B2913="","",IFERROR(INDEX(Config!$D$9:$D$29,MATCH($B2913,Config!$B$9:$B$29,0))&amp;"",""))</f>
        <v/>
      </c>
    </row>
    <row r="2914">
      <c r="R2914" s="20" t="str">
        <f>IF($B2914="","",IFERROR(IF(INDEX(Config!$D$9:$D$29,MATCH($B2914,Config!$B$9:$B$29,0))="Contrato",IF(INDEX(Config!$E$9:$E$29,MATCH($B2914,Config!$B$9:$B$29,0))="","",INDEX(Config!$E$9:$E$29,MATCH($B2914,Config!$B$9:$B$29,0))),""),""))</f>
        <v/>
      </c>
      <c r="AC2914" s="19" t="str">
        <f>IF($B2914="","",IFERROR(INDEX(Config!$D$9:$D$29,MATCH($B2914,Config!$B$9:$B$29,0))&amp;"",""))</f>
        <v/>
      </c>
    </row>
    <row r="2915">
      <c r="R2915" s="20" t="str">
        <f>IF($B2915="","",IFERROR(IF(INDEX(Config!$D$9:$D$29,MATCH($B2915,Config!$B$9:$B$29,0))="Contrato",IF(INDEX(Config!$E$9:$E$29,MATCH($B2915,Config!$B$9:$B$29,0))="","",INDEX(Config!$E$9:$E$29,MATCH($B2915,Config!$B$9:$B$29,0))),""),""))</f>
        <v/>
      </c>
      <c r="AC2915" s="19" t="str">
        <f>IF($B2915="","",IFERROR(INDEX(Config!$D$9:$D$29,MATCH($B2915,Config!$B$9:$B$29,0))&amp;"",""))</f>
        <v/>
      </c>
    </row>
    <row r="2916">
      <c r="R2916" s="20" t="str">
        <f>IF($B2916="","",IFERROR(IF(INDEX(Config!$D$9:$D$29,MATCH($B2916,Config!$B$9:$B$29,0))="Contrato",IF(INDEX(Config!$E$9:$E$29,MATCH($B2916,Config!$B$9:$B$29,0))="","",INDEX(Config!$E$9:$E$29,MATCH($B2916,Config!$B$9:$B$29,0))),""),""))</f>
        <v/>
      </c>
      <c r="AC2916" s="19" t="str">
        <f>IF($B2916="","",IFERROR(INDEX(Config!$D$9:$D$29,MATCH($B2916,Config!$B$9:$B$29,0))&amp;"",""))</f>
        <v/>
      </c>
    </row>
    <row r="2917">
      <c r="R2917" s="20" t="str">
        <f>IF($B2917="","",IFERROR(IF(INDEX(Config!$D$9:$D$29,MATCH($B2917,Config!$B$9:$B$29,0))="Contrato",IF(INDEX(Config!$E$9:$E$29,MATCH($B2917,Config!$B$9:$B$29,0))="","",INDEX(Config!$E$9:$E$29,MATCH($B2917,Config!$B$9:$B$29,0))),""),""))</f>
        <v/>
      </c>
      <c r="AC2917" s="19" t="str">
        <f>IF($B2917="","",IFERROR(INDEX(Config!$D$9:$D$29,MATCH($B2917,Config!$B$9:$B$29,0))&amp;"",""))</f>
        <v/>
      </c>
    </row>
    <row r="2918">
      <c r="R2918" s="20" t="str">
        <f>IF($B2918="","",IFERROR(IF(INDEX(Config!$D$9:$D$29,MATCH($B2918,Config!$B$9:$B$29,0))="Contrato",IF(INDEX(Config!$E$9:$E$29,MATCH($B2918,Config!$B$9:$B$29,0))="","",INDEX(Config!$E$9:$E$29,MATCH($B2918,Config!$B$9:$B$29,0))),""),""))</f>
        <v/>
      </c>
      <c r="AC2918" s="19" t="str">
        <f>IF($B2918="","",IFERROR(INDEX(Config!$D$9:$D$29,MATCH($B2918,Config!$B$9:$B$29,0))&amp;"",""))</f>
        <v/>
      </c>
    </row>
    <row r="2919">
      <c r="R2919" s="20" t="str">
        <f>IF($B2919="","",IFERROR(IF(INDEX(Config!$D$9:$D$29,MATCH($B2919,Config!$B$9:$B$29,0))="Contrato",IF(INDEX(Config!$E$9:$E$29,MATCH($B2919,Config!$B$9:$B$29,0))="","",INDEX(Config!$E$9:$E$29,MATCH($B2919,Config!$B$9:$B$29,0))),""),""))</f>
        <v/>
      </c>
      <c r="AC2919" s="19" t="str">
        <f>IF($B2919="","",IFERROR(INDEX(Config!$D$9:$D$29,MATCH($B2919,Config!$B$9:$B$29,0))&amp;"",""))</f>
        <v/>
      </c>
    </row>
    <row r="2920">
      <c r="R2920" s="20" t="str">
        <f>IF($B2920="","",IFERROR(IF(INDEX(Config!$D$9:$D$29,MATCH($B2920,Config!$B$9:$B$29,0))="Contrato",IF(INDEX(Config!$E$9:$E$29,MATCH($B2920,Config!$B$9:$B$29,0))="","",INDEX(Config!$E$9:$E$29,MATCH($B2920,Config!$B$9:$B$29,0))),""),""))</f>
        <v/>
      </c>
      <c r="AC2920" s="19" t="str">
        <f>IF($B2920="","",IFERROR(INDEX(Config!$D$9:$D$29,MATCH($B2920,Config!$B$9:$B$29,0))&amp;"",""))</f>
        <v/>
      </c>
    </row>
    <row r="2921">
      <c r="R2921" s="20" t="str">
        <f>IF($B2921="","",IFERROR(IF(INDEX(Config!$D$9:$D$29,MATCH($B2921,Config!$B$9:$B$29,0))="Contrato",IF(INDEX(Config!$E$9:$E$29,MATCH($B2921,Config!$B$9:$B$29,0))="","",INDEX(Config!$E$9:$E$29,MATCH($B2921,Config!$B$9:$B$29,0))),""),""))</f>
        <v/>
      </c>
      <c r="AC2921" s="19" t="str">
        <f>IF($B2921="","",IFERROR(INDEX(Config!$D$9:$D$29,MATCH($B2921,Config!$B$9:$B$29,0))&amp;"",""))</f>
        <v/>
      </c>
    </row>
    <row r="2922">
      <c r="R2922" s="20" t="str">
        <f>IF($B2922="","",IFERROR(IF(INDEX(Config!$D$9:$D$29,MATCH($B2922,Config!$B$9:$B$29,0))="Contrato",IF(INDEX(Config!$E$9:$E$29,MATCH($B2922,Config!$B$9:$B$29,0))="","",INDEX(Config!$E$9:$E$29,MATCH($B2922,Config!$B$9:$B$29,0))),""),""))</f>
        <v/>
      </c>
      <c r="AC2922" s="19" t="str">
        <f>IF($B2922="","",IFERROR(INDEX(Config!$D$9:$D$29,MATCH($B2922,Config!$B$9:$B$29,0))&amp;"",""))</f>
        <v/>
      </c>
    </row>
    <row r="2923">
      <c r="R2923" s="20" t="str">
        <f>IF($B2923="","",IFERROR(IF(INDEX(Config!$D$9:$D$29,MATCH($B2923,Config!$B$9:$B$29,0))="Contrato",IF(INDEX(Config!$E$9:$E$29,MATCH($B2923,Config!$B$9:$B$29,0))="","",INDEX(Config!$E$9:$E$29,MATCH($B2923,Config!$B$9:$B$29,0))),""),""))</f>
        <v/>
      </c>
      <c r="AC2923" s="19" t="str">
        <f>IF($B2923="","",IFERROR(INDEX(Config!$D$9:$D$29,MATCH($B2923,Config!$B$9:$B$29,0))&amp;"",""))</f>
        <v/>
      </c>
    </row>
    <row r="2924">
      <c r="R2924" s="20" t="str">
        <f>IF($B2924="","",IFERROR(IF(INDEX(Config!$D$9:$D$29,MATCH($B2924,Config!$B$9:$B$29,0))="Contrato",IF(INDEX(Config!$E$9:$E$29,MATCH($B2924,Config!$B$9:$B$29,0))="","",INDEX(Config!$E$9:$E$29,MATCH($B2924,Config!$B$9:$B$29,0))),""),""))</f>
        <v/>
      </c>
      <c r="AC2924" s="19" t="str">
        <f>IF($B2924="","",IFERROR(INDEX(Config!$D$9:$D$29,MATCH($B2924,Config!$B$9:$B$29,0))&amp;"",""))</f>
        <v/>
      </c>
    </row>
    <row r="2925">
      <c r="R2925" s="20" t="str">
        <f>IF($B2925="","",IFERROR(IF(INDEX(Config!$D$9:$D$29,MATCH($B2925,Config!$B$9:$B$29,0))="Contrato",IF(INDEX(Config!$E$9:$E$29,MATCH($B2925,Config!$B$9:$B$29,0))="","",INDEX(Config!$E$9:$E$29,MATCH($B2925,Config!$B$9:$B$29,0))),""),""))</f>
        <v/>
      </c>
      <c r="AC2925" s="19" t="str">
        <f>IF($B2925="","",IFERROR(INDEX(Config!$D$9:$D$29,MATCH($B2925,Config!$B$9:$B$29,0))&amp;"",""))</f>
        <v/>
      </c>
    </row>
    <row r="2926">
      <c r="R2926" s="20" t="str">
        <f>IF($B2926="","",IFERROR(IF(INDEX(Config!$D$9:$D$29,MATCH($B2926,Config!$B$9:$B$29,0))="Contrato",IF(INDEX(Config!$E$9:$E$29,MATCH($B2926,Config!$B$9:$B$29,0))="","",INDEX(Config!$E$9:$E$29,MATCH($B2926,Config!$B$9:$B$29,0))),""),""))</f>
        <v/>
      </c>
      <c r="AC2926" s="19" t="str">
        <f>IF($B2926="","",IFERROR(INDEX(Config!$D$9:$D$29,MATCH($B2926,Config!$B$9:$B$29,0))&amp;"",""))</f>
        <v/>
      </c>
    </row>
    <row r="2927">
      <c r="R2927" s="20" t="str">
        <f>IF($B2927="","",IFERROR(IF(INDEX(Config!$D$9:$D$29,MATCH($B2927,Config!$B$9:$B$29,0))="Contrato",IF(INDEX(Config!$E$9:$E$29,MATCH($B2927,Config!$B$9:$B$29,0))="","",INDEX(Config!$E$9:$E$29,MATCH($B2927,Config!$B$9:$B$29,0))),""),""))</f>
        <v/>
      </c>
      <c r="AC2927" s="19" t="str">
        <f>IF($B2927="","",IFERROR(INDEX(Config!$D$9:$D$29,MATCH($B2927,Config!$B$9:$B$29,0))&amp;"",""))</f>
        <v/>
      </c>
    </row>
    <row r="2928">
      <c r="R2928" s="20" t="str">
        <f>IF($B2928="","",IFERROR(IF(INDEX(Config!$D$9:$D$29,MATCH($B2928,Config!$B$9:$B$29,0))="Contrato",IF(INDEX(Config!$E$9:$E$29,MATCH($B2928,Config!$B$9:$B$29,0))="","",INDEX(Config!$E$9:$E$29,MATCH($B2928,Config!$B$9:$B$29,0))),""),""))</f>
        <v/>
      </c>
      <c r="AC2928" s="19" t="str">
        <f>IF($B2928="","",IFERROR(INDEX(Config!$D$9:$D$29,MATCH($B2928,Config!$B$9:$B$29,0))&amp;"",""))</f>
        <v/>
      </c>
    </row>
    <row r="2929">
      <c r="R2929" s="20" t="str">
        <f>IF($B2929="","",IFERROR(IF(INDEX(Config!$D$9:$D$29,MATCH($B2929,Config!$B$9:$B$29,0))="Contrato",IF(INDEX(Config!$E$9:$E$29,MATCH($B2929,Config!$B$9:$B$29,0))="","",INDEX(Config!$E$9:$E$29,MATCH($B2929,Config!$B$9:$B$29,0))),""),""))</f>
        <v/>
      </c>
      <c r="AC2929" s="19" t="str">
        <f>IF($B2929="","",IFERROR(INDEX(Config!$D$9:$D$29,MATCH($B2929,Config!$B$9:$B$29,0))&amp;"",""))</f>
        <v/>
      </c>
    </row>
    <row r="2930">
      <c r="R2930" s="20" t="str">
        <f>IF($B2930="","",IFERROR(IF(INDEX(Config!$D$9:$D$29,MATCH($B2930,Config!$B$9:$B$29,0))="Contrato",IF(INDEX(Config!$E$9:$E$29,MATCH($B2930,Config!$B$9:$B$29,0))="","",INDEX(Config!$E$9:$E$29,MATCH($B2930,Config!$B$9:$B$29,0))),""),""))</f>
        <v/>
      </c>
      <c r="AC2930" s="19" t="str">
        <f>IF($B2930="","",IFERROR(INDEX(Config!$D$9:$D$29,MATCH($B2930,Config!$B$9:$B$29,0))&amp;"",""))</f>
        <v/>
      </c>
    </row>
    <row r="2931">
      <c r="R2931" s="20" t="str">
        <f>IF($B2931="","",IFERROR(IF(INDEX(Config!$D$9:$D$29,MATCH($B2931,Config!$B$9:$B$29,0))="Contrato",IF(INDEX(Config!$E$9:$E$29,MATCH($B2931,Config!$B$9:$B$29,0))="","",INDEX(Config!$E$9:$E$29,MATCH($B2931,Config!$B$9:$B$29,0))),""),""))</f>
        <v/>
      </c>
      <c r="AC2931" s="19" t="str">
        <f>IF($B2931="","",IFERROR(INDEX(Config!$D$9:$D$29,MATCH($B2931,Config!$B$9:$B$29,0))&amp;"",""))</f>
        <v/>
      </c>
    </row>
    <row r="2932">
      <c r="R2932" s="20" t="str">
        <f>IF($B2932="","",IFERROR(IF(INDEX(Config!$D$9:$D$29,MATCH($B2932,Config!$B$9:$B$29,0))="Contrato",IF(INDEX(Config!$E$9:$E$29,MATCH($B2932,Config!$B$9:$B$29,0))="","",INDEX(Config!$E$9:$E$29,MATCH($B2932,Config!$B$9:$B$29,0))),""),""))</f>
        <v/>
      </c>
      <c r="AC2932" s="19" t="str">
        <f>IF($B2932="","",IFERROR(INDEX(Config!$D$9:$D$29,MATCH($B2932,Config!$B$9:$B$29,0))&amp;"",""))</f>
        <v/>
      </c>
    </row>
    <row r="2933">
      <c r="R2933" s="20" t="str">
        <f>IF($B2933="","",IFERROR(IF(INDEX(Config!$D$9:$D$29,MATCH($B2933,Config!$B$9:$B$29,0))="Contrato",IF(INDEX(Config!$E$9:$E$29,MATCH($B2933,Config!$B$9:$B$29,0))="","",INDEX(Config!$E$9:$E$29,MATCH($B2933,Config!$B$9:$B$29,0))),""),""))</f>
        <v/>
      </c>
      <c r="AC2933" s="19" t="str">
        <f>IF($B2933="","",IFERROR(INDEX(Config!$D$9:$D$29,MATCH($B2933,Config!$B$9:$B$29,0))&amp;"",""))</f>
        <v/>
      </c>
    </row>
    <row r="2934">
      <c r="R2934" s="20" t="str">
        <f>IF($B2934="","",IFERROR(IF(INDEX(Config!$D$9:$D$29,MATCH($B2934,Config!$B$9:$B$29,0))="Contrato",IF(INDEX(Config!$E$9:$E$29,MATCH($B2934,Config!$B$9:$B$29,0))="","",INDEX(Config!$E$9:$E$29,MATCH($B2934,Config!$B$9:$B$29,0))),""),""))</f>
        <v/>
      </c>
      <c r="AC2934" s="19" t="str">
        <f>IF($B2934="","",IFERROR(INDEX(Config!$D$9:$D$29,MATCH($B2934,Config!$B$9:$B$29,0))&amp;"",""))</f>
        <v/>
      </c>
    </row>
    <row r="2935">
      <c r="R2935" s="20" t="str">
        <f>IF($B2935="","",IFERROR(IF(INDEX(Config!$D$9:$D$29,MATCH($B2935,Config!$B$9:$B$29,0))="Contrato",IF(INDEX(Config!$E$9:$E$29,MATCH($B2935,Config!$B$9:$B$29,0))="","",INDEX(Config!$E$9:$E$29,MATCH($B2935,Config!$B$9:$B$29,0))),""),""))</f>
        <v/>
      </c>
      <c r="AC2935" s="19" t="str">
        <f>IF($B2935="","",IFERROR(INDEX(Config!$D$9:$D$29,MATCH($B2935,Config!$B$9:$B$29,0))&amp;"",""))</f>
        <v/>
      </c>
    </row>
    <row r="2936">
      <c r="R2936" s="20" t="str">
        <f>IF($B2936="","",IFERROR(IF(INDEX(Config!$D$9:$D$29,MATCH($B2936,Config!$B$9:$B$29,0))="Contrato",IF(INDEX(Config!$E$9:$E$29,MATCH($B2936,Config!$B$9:$B$29,0))="","",INDEX(Config!$E$9:$E$29,MATCH($B2936,Config!$B$9:$B$29,0))),""),""))</f>
        <v/>
      </c>
      <c r="AC2936" s="19" t="str">
        <f>IF($B2936="","",IFERROR(INDEX(Config!$D$9:$D$29,MATCH($B2936,Config!$B$9:$B$29,0))&amp;"",""))</f>
        <v/>
      </c>
    </row>
    <row r="2937">
      <c r="R2937" s="20" t="str">
        <f>IF($B2937="","",IFERROR(IF(INDEX(Config!$D$9:$D$29,MATCH($B2937,Config!$B$9:$B$29,0))="Contrato",IF(INDEX(Config!$E$9:$E$29,MATCH($B2937,Config!$B$9:$B$29,0))="","",INDEX(Config!$E$9:$E$29,MATCH($B2937,Config!$B$9:$B$29,0))),""),""))</f>
        <v/>
      </c>
      <c r="AC2937" s="19" t="str">
        <f>IF($B2937="","",IFERROR(INDEX(Config!$D$9:$D$29,MATCH($B2937,Config!$B$9:$B$29,0))&amp;"",""))</f>
        <v/>
      </c>
    </row>
    <row r="2938">
      <c r="R2938" s="20" t="str">
        <f>IF($B2938="","",IFERROR(IF(INDEX(Config!$D$9:$D$29,MATCH($B2938,Config!$B$9:$B$29,0))="Contrato",IF(INDEX(Config!$E$9:$E$29,MATCH($B2938,Config!$B$9:$B$29,0))="","",INDEX(Config!$E$9:$E$29,MATCH($B2938,Config!$B$9:$B$29,0))),""),""))</f>
        <v/>
      </c>
      <c r="AC2938" s="19" t="str">
        <f>IF($B2938="","",IFERROR(INDEX(Config!$D$9:$D$29,MATCH($B2938,Config!$B$9:$B$29,0))&amp;"",""))</f>
        <v/>
      </c>
    </row>
    <row r="2939">
      <c r="R2939" s="20" t="str">
        <f>IF($B2939="","",IFERROR(IF(INDEX(Config!$D$9:$D$29,MATCH($B2939,Config!$B$9:$B$29,0))="Contrato",IF(INDEX(Config!$E$9:$E$29,MATCH($B2939,Config!$B$9:$B$29,0))="","",INDEX(Config!$E$9:$E$29,MATCH($B2939,Config!$B$9:$B$29,0))),""),""))</f>
        <v/>
      </c>
      <c r="AC2939" s="19" t="str">
        <f>IF($B2939="","",IFERROR(INDEX(Config!$D$9:$D$29,MATCH($B2939,Config!$B$9:$B$29,0))&amp;"",""))</f>
        <v/>
      </c>
    </row>
    <row r="2940">
      <c r="R2940" s="20" t="str">
        <f>IF($B2940="","",IFERROR(IF(INDEX(Config!$D$9:$D$29,MATCH($B2940,Config!$B$9:$B$29,0))="Contrato",IF(INDEX(Config!$E$9:$E$29,MATCH($B2940,Config!$B$9:$B$29,0))="","",INDEX(Config!$E$9:$E$29,MATCH($B2940,Config!$B$9:$B$29,0))),""),""))</f>
        <v/>
      </c>
      <c r="AC2940" s="19" t="str">
        <f>IF($B2940="","",IFERROR(INDEX(Config!$D$9:$D$29,MATCH($B2940,Config!$B$9:$B$29,0))&amp;"",""))</f>
        <v/>
      </c>
    </row>
    <row r="2941">
      <c r="R2941" s="20" t="str">
        <f>IF($B2941="","",IFERROR(IF(INDEX(Config!$D$9:$D$29,MATCH($B2941,Config!$B$9:$B$29,0))="Contrato",IF(INDEX(Config!$E$9:$E$29,MATCH($B2941,Config!$B$9:$B$29,0))="","",INDEX(Config!$E$9:$E$29,MATCH($B2941,Config!$B$9:$B$29,0))),""),""))</f>
        <v/>
      </c>
      <c r="AC2941" s="19" t="str">
        <f>IF($B2941="","",IFERROR(INDEX(Config!$D$9:$D$29,MATCH($B2941,Config!$B$9:$B$29,0))&amp;"",""))</f>
        <v/>
      </c>
    </row>
    <row r="2942">
      <c r="R2942" s="20" t="str">
        <f>IF($B2942="","",IFERROR(IF(INDEX(Config!$D$9:$D$29,MATCH($B2942,Config!$B$9:$B$29,0))="Contrato",IF(INDEX(Config!$E$9:$E$29,MATCH($B2942,Config!$B$9:$B$29,0))="","",INDEX(Config!$E$9:$E$29,MATCH($B2942,Config!$B$9:$B$29,0))),""),""))</f>
        <v/>
      </c>
      <c r="AC2942" s="19" t="str">
        <f>IF($B2942="","",IFERROR(INDEX(Config!$D$9:$D$29,MATCH($B2942,Config!$B$9:$B$29,0))&amp;"",""))</f>
        <v/>
      </c>
    </row>
    <row r="2943">
      <c r="R2943" s="20" t="str">
        <f>IF($B2943="","",IFERROR(IF(INDEX(Config!$D$9:$D$29,MATCH($B2943,Config!$B$9:$B$29,0))="Contrato",IF(INDEX(Config!$E$9:$E$29,MATCH($B2943,Config!$B$9:$B$29,0))="","",INDEX(Config!$E$9:$E$29,MATCH($B2943,Config!$B$9:$B$29,0))),""),""))</f>
        <v/>
      </c>
      <c r="AC2943" s="19" t="str">
        <f>IF($B2943="","",IFERROR(INDEX(Config!$D$9:$D$29,MATCH($B2943,Config!$B$9:$B$29,0))&amp;"",""))</f>
        <v/>
      </c>
    </row>
    <row r="2944">
      <c r="R2944" s="20" t="str">
        <f>IF($B2944="","",IFERROR(IF(INDEX(Config!$D$9:$D$29,MATCH($B2944,Config!$B$9:$B$29,0))="Contrato",IF(INDEX(Config!$E$9:$E$29,MATCH($B2944,Config!$B$9:$B$29,0))="","",INDEX(Config!$E$9:$E$29,MATCH($B2944,Config!$B$9:$B$29,0))),""),""))</f>
        <v/>
      </c>
      <c r="AC2944" s="19" t="str">
        <f>IF($B2944="","",IFERROR(INDEX(Config!$D$9:$D$29,MATCH($B2944,Config!$B$9:$B$29,0))&amp;"",""))</f>
        <v/>
      </c>
    </row>
    <row r="2945">
      <c r="R2945" s="20" t="str">
        <f>IF($B2945="","",IFERROR(IF(INDEX(Config!$D$9:$D$29,MATCH($B2945,Config!$B$9:$B$29,0))="Contrato",IF(INDEX(Config!$E$9:$E$29,MATCH($B2945,Config!$B$9:$B$29,0))="","",INDEX(Config!$E$9:$E$29,MATCH($B2945,Config!$B$9:$B$29,0))),""),""))</f>
        <v/>
      </c>
      <c r="AC2945" s="19" t="str">
        <f>IF($B2945="","",IFERROR(INDEX(Config!$D$9:$D$29,MATCH($B2945,Config!$B$9:$B$29,0))&amp;"",""))</f>
        <v/>
      </c>
    </row>
    <row r="2946">
      <c r="R2946" s="20" t="str">
        <f>IF($B2946="","",IFERROR(IF(INDEX(Config!$D$9:$D$29,MATCH($B2946,Config!$B$9:$B$29,0))="Contrato",IF(INDEX(Config!$E$9:$E$29,MATCH($B2946,Config!$B$9:$B$29,0))="","",INDEX(Config!$E$9:$E$29,MATCH($B2946,Config!$B$9:$B$29,0))),""),""))</f>
        <v/>
      </c>
      <c r="AC2946" s="19" t="str">
        <f>IF($B2946="","",IFERROR(INDEX(Config!$D$9:$D$29,MATCH($B2946,Config!$B$9:$B$29,0))&amp;"",""))</f>
        <v/>
      </c>
    </row>
    <row r="2947">
      <c r="R2947" s="20" t="str">
        <f>IF($B2947="","",IFERROR(IF(INDEX(Config!$D$9:$D$29,MATCH($B2947,Config!$B$9:$B$29,0))="Contrato",IF(INDEX(Config!$E$9:$E$29,MATCH($B2947,Config!$B$9:$B$29,0))="","",INDEX(Config!$E$9:$E$29,MATCH($B2947,Config!$B$9:$B$29,0))),""),""))</f>
        <v/>
      </c>
      <c r="AC2947" s="19" t="str">
        <f>IF($B2947="","",IFERROR(INDEX(Config!$D$9:$D$29,MATCH($B2947,Config!$B$9:$B$29,0))&amp;"",""))</f>
        <v/>
      </c>
    </row>
    <row r="2948">
      <c r="R2948" s="20" t="str">
        <f>IF($B2948="","",IFERROR(IF(INDEX(Config!$D$9:$D$29,MATCH($B2948,Config!$B$9:$B$29,0))="Contrato",IF(INDEX(Config!$E$9:$E$29,MATCH($B2948,Config!$B$9:$B$29,0))="","",INDEX(Config!$E$9:$E$29,MATCH($B2948,Config!$B$9:$B$29,0))),""),""))</f>
        <v/>
      </c>
      <c r="AC2948" s="19" t="str">
        <f>IF($B2948="","",IFERROR(INDEX(Config!$D$9:$D$29,MATCH($B2948,Config!$B$9:$B$29,0))&amp;"",""))</f>
        <v/>
      </c>
    </row>
    <row r="2949">
      <c r="R2949" s="20" t="str">
        <f>IF($B2949="","",IFERROR(IF(INDEX(Config!$D$9:$D$29,MATCH($B2949,Config!$B$9:$B$29,0))="Contrato",IF(INDEX(Config!$E$9:$E$29,MATCH($B2949,Config!$B$9:$B$29,0))="","",INDEX(Config!$E$9:$E$29,MATCH($B2949,Config!$B$9:$B$29,0))),""),""))</f>
        <v/>
      </c>
      <c r="AC2949" s="19" t="str">
        <f>IF($B2949="","",IFERROR(INDEX(Config!$D$9:$D$29,MATCH($B2949,Config!$B$9:$B$29,0))&amp;"",""))</f>
        <v/>
      </c>
    </row>
    <row r="2950">
      <c r="R2950" s="20" t="str">
        <f>IF($B2950="","",IFERROR(IF(INDEX(Config!$D$9:$D$29,MATCH($B2950,Config!$B$9:$B$29,0))="Contrato",IF(INDEX(Config!$E$9:$E$29,MATCH($B2950,Config!$B$9:$B$29,0))="","",INDEX(Config!$E$9:$E$29,MATCH($B2950,Config!$B$9:$B$29,0))),""),""))</f>
        <v/>
      </c>
      <c r="AC2950" s="19" t="str">
        <f>IF($B2950="","",IFERROR(INDEX(Config!$D$9:$D$29,MATCH($B2950,Config!$B$9:$B$29,0))&amp;"",""))</f>
        <v/>
      </c>
    </row>
    <row r="2951">
      <c r="R2951" s="20" t="str">
        <f>IF($B2951="","",IFERROR(IF(INDEX(Config!$D$9:$D$29,MATCH($B2951,Config!$B$9:$B$29,0))="Contrato",IF(INDEX(Config!$E$9:$E$29,MATCH($B2951,Config!$B$9:$B$29,0))="","",INDEX(Config!$E$9:$E$29,MATCH($B2951,Config!$B$9:$B$29,0))),""),""))</f>
        <v/>
      </c>
      <c r="AC2951" s="19" t="str">
        <f>IF($B2951="","",IFERROR(INDEX(Config!$D$9:$D$29,MATCH($B2951,Config!$B$9:$B$29,0))&amp;"",""))</f>
        <v/>
      </c>
    </row>
    <row r="2952">
      <c r="R2952" s="20" t="str">
        <f>IF($B2952="","",IFERROR(IF(INDEX(Config!$D$9:$D$29,MATCH($B2952,Config!$B$9:$B$29,0))="Contrato",IF(INDEX(Config!$E$9:$E$29,MATCH($B2952,Config!$B$9:$B$29,0))="","",INDEX(Config!$E$9:$E$29,MATCH($B2952,Config!$B$9:$B$29,0))),""),""))</f>
        <v/>
      </c>
      <c r="AC2952" s="19" t="str">
        <f>IF($B2952="","",IFERROR(INDEX(Config!$D$9:$D$29,MATCH($B2952,Config!$B$9:$B$29,0))&amp;"",""))</f>
        <v/>
      </c>
    </row>
    <row r="2953">
      <c r="R2953" s="20" t="str">
        <f>IF($B2953="","",IFERROR(IF(INDEX(Config!$D$9:$D$29,MATCH($B2953,Config!$B$9:$B$29,0))="Contrato",IF(INDEX(Config!$E$9:$E$29,MATCH($B2953,Config!$B$9:$B$29,0))="","",INDEX(Config!$E$9:$E$29,MATCH($B2953,Config!$B$9:$B$29,0))),""),""))</f>
        <v/>
      </c>
      <c r="AC2953" s="19" t="str">
        <f>IF($B2953="","",IFERROR(INDEX(Config!$D$9:$D$29,MATCH($B2953,Config!$B$9:$B$29,0))&amp;"",""))</f>
        <v/>
      </c>
    </row>
    <row r="2954">
      <c r="R2954" s="20" t="str">
        <f>IF($B2954="","",IFERROR(IF(INDEX(Config!$D$9:$D$29,MATCH($B2954,Config!$B$9:$B$29,0))="Contrato",IF(INDEX(Config!$E$9:$E$29,MATCH($B2954,Config!$B$9:$B$29,0))="","",INDEX(Config!$E$9:$E$29,MATCH($B2954,Config!$B$9:$B$29,0))),""),""))</f>
        <v/>
      </c>
      <c r="AC2954" s="19" t="str">
        <f>IF($B2954="","",IFERROR(INDEX(Config!$D$9:$D$29,MATCH($B2954,Config!$B$9:$B$29,0))&amp;"",""))</f>
        <v/>
      </c>
    </row>
    <row r="2955">
      <c r="R2955" s="20" t="str">
        <f>IF($B2955="","",IFERROR(IF(INDEX(Config!$D$9:$D$29,MATCH($B2955,Config!$B$9:$B$29,0))="Contrato",IF(INDEX(Config!$E$9:$E$29,MATCH($B2955,Config!$B$9:$B$29,0))="","",INDEX(Config!$E$9:$E$29,MATCH($B2955,Config!$B$9:$B$29,0))),""),""))</f>
        <v/>
      </c>
      <c r="AC2955" s="19" t="str">
        <f>IF($B2955="","",IFERROR(INDEX(Config!$D$9:$D$29,MATCH($B2955,Config!$B$9:$B$29,0))&amp;"",""))</f>
        <v/>
      </c>
    </row>
    <row r="2956">
      <c r="R2956" s="20" t="str">
        <f>IF($B2956="","",IFERROR(IF(INDEX(Config!$D$9:$D$29,MATCH($B2956,Config!$B$9:$B$29,0))="Contrato",IF(INDEX(Config!$E$9:$E$29,MATCH($B2956,Config!$B$9:$B$29,0))="","",INDEX(Config!$E$9:$E$29,MATCH($B2956,Config!$B$9:$B$29,0))),""),""))</f>
        <v/>
      </c>
      <c r="AC2956" s="19" t="str">
        <f>IF($B2956="","",IFERROR(INDEX(Config!$D$9:$D$29,MATCH($B2956,Config!$B$9:$B$29,0))&amp;"",""))</f>
        <v/>
      </c>
    </row>
    <row r="2957">
      <c r="R2957" s="20" t="str">
        <f>IF($B2957="","",IFERROR(IF(INDEX(Config!$D$9:$D$29,MATCH($B2957,Config!$B$9:$B$29,0))="Contrato",IF(INDEX(Config!$E$9:$E$29,MATCH($B2957,Config!$B$9:$B$29,0))="","",INDEX(Config!$E$9:$E$29,MATCH($B2957,Config!$B$9:$B$29,0))),""),""))</f>
        <v/>
      </c>
      <c r="AC2957" s="19" t="str">
        <f>IF($B2957="","",IFERROR(INDEX(Config!$D$9:$D$29,MATCH($B2957,Config!$B$9:$B$29,0))&amp;"",""))</f>
        <v/>
      </c>
    </row>
    <row r="2958">
      <c r="R2958" s="20" t="str">
        <f>IF($B2958="","",IFERROR(IF(INDEX(Config!$D$9:$D$29,MATCH($B2958,Config!$B$9:$B$29,0))="Contrato",IF(INDEX(Config!$E$9:$E$29,MATCH($B2958,Config!$B$9:$B$29,0))="","",INDEX(Config!$E$9:$E$29,MATCH($B2958,Config!$B$9:$B$29,0))),""),""))</f>
        <v/>
      </c>
      <c r="AC2958" s="19" t="str">
        <f>IF($B2958="","",IFERROR(INDEX(Config!$D$9:$D$29,MATCH($B2958,Config!$B$9:$B$29,0))&amp;"",""))</f>
        <v/>
      </c>
    </row>
    <row r="2959">
      <c r="R2959" s="20" t="str">
        <f>IF($B2959="","",IFERROR(IF(INDEX(Config!$D$9:$D$29,MATCH($B2959,Config!$B$9:$B$29,0))="Contrato",IF(INDEX(Config!$E$9:$E$29,MATCH($B2959,Config!$B$9:$B$29,0))="","",INDEX(Config!$E$9:$E$29,MATCH($B2959,Config!$B$9:$B$29,0))),""),""))</f>
        <v/>
      </c>
      <c r="AC2959" s="19" t="str">
        <f>IF($B2959="","",IFERROR(INDEX(Config!$D$9:$D$29,MATCH($B2959,Config!$B$9:$B$29,0))&amp;"",""))</f>
        <v/>
      </c>
    </row>
    <row r="2960">
      <c r="R2960" s="20" t="str">
        <f>IF($B2960="","",IFERROR(IF(INDEX(Config!$D$9:$D$29,MATCH($B2960,Config!$B$9:$B$29,0))="Contrato",IF(INDEX(Config!$E$9:$E$29,MATCH($B2960,Config!$B$9:$B$29,0))="","",INDEX(Config!$E$9:$E$29,MATCH($B2960,Config!$B$9:$B$29,0))),""),""))</f>
        <v/>
      </c>
      <c r="AC2960" s="19" t="str">
        <f>IF($B2960="","",IFERROR(INDEX(Config!$D$9:$D$29,MATCH($B2960,Config!$B$9:$B$29,0))&amp;"",""))</f>
        <v/>
      </c>
    </row>
    <row r="2961">
      <c r="R2961" s="20" t="str">
        <f>IF($B2961="","",IFERROR(IF(INDEX(Config!$D$9:$D$29,MATCH($B2961,Config!$B$9:$B$29,0))="Contrato",IF(INDEX(Config!$E$9:$E$29,MATCH($B2961,Config!$B$9:$B$29,0))="","",INDEX(Config!$E$9:$E$29,MATCH($B2961,Config!$B$9:$B$29,0))),""),""))</f>
        <v/>
      </c>
      <c r="AC2961" s="19" t="str">
        <f>IF($B2961="","",IFERROR(INDEX(Config!$D$9:$D$29,MATCH($B2961,Config!$B$9:$B$29,0))&amp;"",""))</f>
        <v/>
      </c>
    </row>
    <row r="2962">
      <c r="R2962" s="20" t="str">
        <f>IF($B2962="","",IFERROR(IF(INDEX(Config!$D$9:$D$29,MATCH($B2962,Config!$B$9:$B$29,0))="Contrato",IF(INDEX(Config!$E$9:$E$29,MATCH($B2962,Config!$B$9:$B$29,0))="","",INDEX(Config!$E$9:$E$29,MATCH($B2962,Config!$B$9:$B$29,0))),""),""))</f>
        <v/>
      </c>
      <c r="AC2962" s="19" t="str">
        <f>IF($B2962="","",IFERROR(INDEX(Config!$D$9:$D$29,MATCH($B2962,Config!$B$9:$B$29,0))&amp;"",""))</f>
        <v/>
      </c>
    </row>
    <row r="2963">
      <c r="R2963" s="20" t="str">
        <f>IF($B2963="","",IFERROR(IF(INDEX(Config!$D$9:$D$29,MATCH($B2963,Config!$B$9:$B$29,0))="Contrato",IF(INDEX(Config!$E$9:$E$29,MATCH($B2963,Config!$B$9:$B$29,0))="","",INDEX(Config!$E$9:$E$29,MATCH($B2963,Config!$B$9:$B$29,0))),""),""))</f>
        <v/>
      </c>
      <c r="AC2963" s="19" t="str">
        <f>IF($B2963="","",IFERROR(INDEX(Config!$D$9:$D$29,MATCH($B2963,Config!$B$9:$B$29,0))&amp;"",""))</f>
        <v/>
      </c>
    </row>
    <row r="2964">
      <c r="R2964" s="20" t="str">
        <f>IF($B2964="","",IFERROR(IF(INDEX(Config!$D$9:$D$29,MATCH($B2964,Config!$B$9:$B$29,0))="Contrato",IF(INDEX(Config!$E$9:$E$29,MATCH($B2964,Config!$B$9:$B$29,0))="","",INDEX(Config!$E$9:$E$29,MATCH($B2964,Config!$B$9:$B$29,0))),""),""))</f>
        <v/>
      </c>
      <c r="AC2964" s="19" t="str">
        <f>IF($B2964="","",IFERROR(INDEX(Config!$D$9:$D$29,MATCH($B2964,Config!$B$9:$B$29,0))&amp;"",""))</f>
        <v/>
      </c>
    </row>
    <row r="2965">
      <c r="R2965" s="20" t="str">
        <f>IF($B2965="","",IFERROR(IF(INDEX(Config!$D$9:$D$29,MATCH($B2965,Config!$B$9:$B$29,0))="Contrato",IF(INDEX(Config!$E$9:$E$29,MATCH($B2965,Config!$B$9:$B$29,0))="","",INDEX(Config!$E$9:$E$29,MATCH($B2965,Config!$B$9:$B$29,0))),""),""))</f>
        <v/>
      </c>
      <c r="AC2965" s="19" t="str">
        <f>IF($B2965="","",IFERROR(INDEX(Config!$D$9:$D$29,MATCH($B2965,Config!$B$9:$B$29,0))&amp;"",""))</f>
        <v/>
      </c>
    </row>
    <row r="2966">
      <c r="R2966" s="20" t="str">
        <f>IF($B2966="","",IFERROR(IF(INDEX(Config!$D$9:$D$29,MATCH($B2966,Config!$B$9:$B$29,0))="Contrato",IF(INDEX(Config!$E$9:$E$29,MATCH($B2966,Config!$B$9:$B$29,0))="","",INDEX(Config!$E$9:$E$29,MATCH($B2966,Config!$B$9:$B$29,0))),""),""))</f>
        <v/>
      </c>
      <c r="AC2966" s="19" t="str">
        <f>IF($B2966="","",IFERROR(INDEX(Config!$D$9:$D$29,MATCH($B2966,Config!$B$9:$B$29,0))&amp;"",""))</f>
        <v/>
      </c>
    </row>
    <row r="2967">
      <c r="R2967" s="20" t="str">
        <f>IF($B2967="","",IFERROR(IF(INDEX(Config!$D$9:$D$29,MATCH($B2967,Config!$B$9:$B$29,0))="Contrato",IF(INDEX(Config!$E$9:$E$29,MATCH($B2967,Config!$B$9:$B$29,0))="","",INDEX(Config!$E$9:$E$29,MATCH($B2967,Config!$B$9:$B$29,0))),""),""))</f>
        <v/>
      </c>
      <c r="AC2967" s="19" t="str">
        <f>IF($B2967="","",IFERROR(INDEX(Config!$D$9:$D$29,MATCH($B2967,Config!$B$9:$B$29,0))&amp;"",""))</f>
        <v/>
      </c>
    </row>
    <row r="2968">
      <c r="R2968" s="20" t="str">
        <f>IF($B2968="","",IFERROR(IF(INDEX(Config!$D$9:$D$29,MATCH($B2968,Config!$B$9:$B$29,0))="Contrato",IF(INDEX(Config!$E$9:$E$29,MATCH($B2968,Config!$B$9:$B$29,0))="","",INDEX(Config!$E$9:$E$29,MATCH($B2968,Config!$B$9:$B$29,0))),""),""))</f>
        <v/>
      </c>
      <c r="AC2968" s="19" t="str">
        <f>IF($B2968="","",IFERROR(INDEX(Config!$D$9:$D$29,MATCH($B2968,Config!$B$9:$B$29,0))&amp;"",""))</f>
        <v/>
      </c>
    </row>
    <row r="2969">
      <c r="R2969" s="20" t="str">
        <f>IF($B2969="","",IFERROR(IF(INDEX(Config!$D$9:$D$29,MATCH($B2969,Config!$B$9:$B$29,0))="Contrato",IF(INDEX(Config!$E$9:$E$29,MATCH($B2969,Config!$B$9:$B$29,0))="","",INDEX(Config!$E$9:$E$29,MATCH($B2969,Config!$B$9:$B$29,0))),""),""))</f>
        <v/>
      </c>
      <c r="AC2969" s="19" t="str">
        <f>IF($B2969="","",IFERROR(INDEX(Config!$D$9:$D$29,MATCH($B2969,Config!$B$9:$B$29,0))&amp;"",""))</f>
        <v/>
      </c>
    </row>
    <row r="2970">
      <c r="R2970" s="20" t="str">
        <f>IF($B2970="","",IFERROR(IF(INDEX(Config!$D$9:$D$29,MATCH($B2970,Config!$B$9:$B$29,0))="Contrato",IF(INDEX(Config!$E$9:$E$29,MATCH($B2970,Config!$B$9:$B$29,0))="","",INDEX(Config!$E$9:$E$29,MATCH($B2970,Config!$B$9:$B$29,0))),""),""))</f>
        <v/>
      </c>
      <c r="AC2970" s="19" t="str">
        <f>IF($B2970="","",IFERROR(INDEX(Config!$D$9:$D$29,MATCH($B2970,Config!$B$9:$B$29,0))&amp;"",""))</f>
        <v/>
      </c>
    </row>
    <row r="2971">
      <c r="R2971" s="20" t="str">
        <f>IF($B2971="","",IFERROR(IF(INDEX(Config!$D$9:$D$29,MATCH($B2971,Config!$B$9:$B$29,0))="Contrato",IF(INDEX(Config!$E$9:$E$29,MATCH($B2971,Config!$B$9:$B$29,0))="","",INDEX(Config!$E$9:$E$29,MATCH($B2971,Config!$B$9:$B$29,0))),""),""))</f>
        <v/>
      </c>
      <c r="AC2971" s="19" t="str">
        <f>IF($B2971="","",IFERROR(INDEX(Config!$D$9:$D$29,MATCH($B2971,Config!$B$9:$B$29,0))&amp;"",""))</f>
        <v/>
      </c>
    </row>
    <row r="2972">
      <c r="R2972" s="20" t="str">
        <f>IF($B2972="","",IFERROR(IF(INDEX(Config!$D$9:$D$29,MATCH($B2972,Config!$B$9:$B$29,0))="Contrato",IF(INDEX(Config!$E$9:$E$29,MATCH($B2972,Config!$B$9:$B$29,0))="","",INDEX(Config!$E$9:$E$29,MATCH($B2972,Config!$B$9:$B$29,0))),""),""))</f>
        <v/>
      </c>
      <c r="AC2972" s="19" t="str">
        <f>IF($B2972="","",IFERROR(INDEX(Config!$D$9:$D$29,MATCH($B2972,Config!$B$9:$B$29,0))&amp;"",""))</f>
        <v/>
      </c>
    </row>
    <row r="2973">
      <c r="R2973" s="20" t="str">
        <f>IF($B2973="","",IFERROR(IF(INDEX(Config!$D$9:$D$29,MATCH($B2973,Config!$B$9:$B$29,0))="Contrato",IF(INDEX(Config!$E$9:$E$29,MATCH($B2973,Config!$B$9:$B$29,0))="","",INDEX(Config!$E$9:$E$29,MATCH($B2973,Config!$B$9:$B$29,0))),""),""))</f>
        <v/>
      </c>
      <c r="AC2973" s="19" t="str">
        <f>IF($B2973="","",IFERROR(INDEX(Config!$D$9:$D$29,MATCH($B2973,Config!$B$9:$B$29,0))&amp;"",""))</f>
        <v/>
      </c>
    </row>
    <row r="2974">
      <c r="R2974" s="20" t="str">
        <f>IF($B2974="","",IFERROR(IF(INDEX(Config!$D$9:$D$29,MATCH($B2974,Config!$B$9:$B$29,0))="Contrato",IF(INDEX(Config!$E$9:$E$29,MATCH($B2974,Config!$B$9:$B$29,0))="","",INDEX(Config!$E$9:$E$29,MATCH($B2974,Config!$B$9:$B$29,0))),""),""))</f>
        <v/>
      </c>
      <c r="AC2974" s="19" t="str">
        <f>IF($B2974="","",IFERROR(INDEX(Config!$D$9:$D$29,MATCH($B2974,Config!$B$9:$B$29,0))&amp;"",""))</f>
        <v/>
      </c>
    </row>
    <row r="2975">
      <c r="R2975" s="20" t="str">
        <f>IF($B2975="","",IFERROR(IF(INDEX(Config!$D$9:$D$29,MATCH($B2975,Config!$B$9:$B$29,0))="Contrato",IF(INDEX(Config!$E$9:$E$29,MATCH($B2975,Config!$B$9:$B$29,0))="","",INDEX(Config!$E$9:$E$29,MATCH($B2975,Config!$B$9:$B$29,0))),""),""))</f>
        <v/>
      </c>
      <c r="AC2975" s="19" t="str">
        <f>IF($B2975="","",IFERROR(INDEX(Config!$D$9:$D$29,MATCH($B2975,Config!$B$9:$B$29,0))&amp;"",""))</f>
        <v/>
      </c>
    </row>
    <row r="2976">
      <c r="R2976" s="20" t="str">
        <f>IF($B2976="","",IFERROR(IF(INDEX(Config!$D$9:$D$29,MATCH($B2976,Config!$B$9:$B$29,0))="Contrato",IF(INDEX(Config!$E$9:$E$29,MATCH($B2976,Config!$B$9:$B$29,0))="","",INDEX(Config!$E$9:$E$29,MATCH($B2976,Config!$B$9:$B$29,0))),""),""))</f>
        <v/>
      </c>
      <c r="AC2976" s="19" t="str">
        <f>IF($B2976="","",IFERROR(INDEX(Config!$D$9:$D$29,MATCH($B2976,Config!$B$9:$B$29,0))&amp;"",""))</f>
        <v/>
      </c>
    </row>
    <row r="2977">
      <c r="R2977" s="20" t="str">
        <f>IF($B2977="","",IFERROR(IF(INDEX(Config!$D$9:$D$29,MATCH($B2977,Config!$B$9:$B$29,0))="Contrato",IF(INDEX(Config!$E$9:$E$29,MATCH($B2977,Config!$B$9:$B$29,0))="","",INDEX(Config!$E$9:$E$29,MATCH($B2977,Config!$B$9:$B$29,0))),""),""))</f>
        <v/>
      </c>
      <c r="AC2977" s="19" t="str">
        <f>IF($B2977="","",IFERROR(INDEX(Config!$D$9:$D$29,MATCH($B2977,Config!$B$9:$B$29,0))&amp;"",""))</f>
        <v/>
      </c>
    </row>
    <row r="2978">
      <c r="R2978" s="20" t="str">
        <f>IF($B2978="","",IFERROR(IF(INDEX(Config!$D$9:$D$29,MATCH($B2978,Config!$B$9:$B$29,0))="Contrato",IF(INDEX(Config!$E$9:$E$29,MATCH($B2978,Config!$B$9:$B$29,0))="","",INDEX(Config!$E$9:$E$29,MATCH($B2978,Config!$B$9:$B$29,0))),""),""))</f>
        <v/>
      </c>
      <c r="AC2978" s="19" t="str">
        <f>IF($B2978="","",IFERROR(INDEX(Config!$D$9:$D$29,MATCH($B2978,Config!$B$9:$B$29,0))&amp;"",""))</f>
        <v/>
      </c>
    </row>
    <row r="2979">
      <c r="R2979" s="20" t="str">
        <f>IF($B2979="","",IFERROR(IF(INDEX(Config!$D$9:$D$29,MATCH($B2979,Config!$B$9:$B$29,0))="Contrato",IF(INDEX(Config!$E$9:$E$29,MATCH($B2979,Config!$B$9:$B$29,0))="","",INDEX(Config!$E$9:$E$29,MATCH($B2979,Config!$B$9:$B$29,0))),""),""))</f>
        <v/>
      </c>
      <c r="AC2979" s="19" t="str">
        <f>IF($B2979="","",IFERROR(INDEX(Config!$D$9:$D$29,MATCH($B2979,Config!$B$9:$B$29,0))&amp;"",""))</f>
        <v/>
      </c>
    </row>
    <row r="2980">
      <c r="R2980" s="20" t="str">
        <f>IF($B2980="","",IFERROR(IF(INDEX(Config!$D$9:$D$29,MATCH($B2980,Config!$B$9:$B$29,0))="Contrato",IF(INDEX(Config!$E$9:$E$29,MATCH($B2980,Config!$B$9:$B$29,0))="","",INDEX(Config!$E$9:$E$29,MATCH($B2980,Config!$B$9:$B$29,0))),""),""))</f>
        <v/>
      </c>
      <c r="AC2980" s="19" t="str">
        <f>IF($B2980="","",IFERROR(INDEX(Config!$D$9:$D$29,MATCH($B2980,Config!$B$9:$B$29,0))&amp;"",""))</f>
        <v/>
      </c>
    </row>
    <row r="2981">
      <c r="R2981" s="20" t="str">
        <f>IF($B2981="","",IFERROR(IF(INDEX(Config!$D$9:$D$29,MATCH($B2981,Config!$B$9:$B$29,0))="Contrato",IF(INDEX(Config!$E$9:$E$29,MATCH($B2981,Config!$B$9:$B$29,0))="","",INDEX(Config!$E$9:$E$29,MATCH($B2981,Config!$B$9:$B$29,0))),""),""))</f>
        <v/>
      </c>
      <c r="AC2981" s="19" t="str">
        <f>IF($B2981="","",IFERROR(INDEX(Config!$D$9:$D$29,MATCH($B2981,Config!$B$9:$B$29,0))&amp;"",""))</f>
        <v/>
      </c>
    </row>
    <row r="2982">
      <c r="R2982" s="20" t="str">
        <f>IF($B2982="","",IFERROR(IF(INDEX(Config!$D$9:$D$29,MATCH($B2982,Config!$B$9:$B$29,0))="Contrato",IF(INDEX(Config!$E$9:$E$29,MATCH($B2982,Config!$B$9:$B$29,0))="","",INDEX(Config!$E$9:$E$29,MATCH($B2982,Config!$B$9:$B$29,0))),""),""))</f>
        <v/>
      </c>
      <c r="AC2982" s="19" t="str">
        <f>IF($B2982="","",IFERROR(INDEX(Config!$D$9:$D$29,MATCH($B2982,Config!$B$9:$B$29,0))&amp;"",""))</f>
        <v/>
      </c>
    </row>
    <row r="2983">
      <c r="R2983" s="20" t="str">
        <f>IF($B2983="","",IFERROR(IF(INDEX(Config!$D$9:$D$29,MATCH($B2983,Config!$B$9:$B$29,0))="Contrato",IF(INDEX(Config!$E$9:$E$29,MATCH($B2983,Config!$B$9:$B$29,0))="","",INDEX(Config!$E$9:$E$29,MATCH($B2983,Config!$B$9:$B$29,0))),""),""))</f>
        <v/>
      </c>
      <c r="AC2983" s="19" t="str">
        <f>IF($B2983="","",IFERROR(INDEX(Config!$D$9:$D$29,MATCH($B2983,Config!$B$9:$B$29,0))&amp;"",""))</f>
        <v/>
      </c>
    </row>
    <row r="2984">
      <c r="R2984" s="20" t="str">
        <f>IF($B2984="","",IFERROR(IF(INDEX(Config!$D$9:$D$29,MATCH($B2984,Config!$B$9:$B$29,0))="Contrato",IF(INDEX(Config!$E$9:$E$29,MATCH($B2984,Config!$B$9:$B$29,0))="","",INDEX(Config!$E$9:$E$29,MATCH($B2984,Config!$B$9:$B$29,0))),""),""))</f>
        <v/>
      </c>
      <c r="AC2984" s="19" t="str">
        <f>IF($B2984="","",IFERROR(INDEX(Config!$D$9:$D$29,MATCH($B2984,Config!$B$9:$B$29,0))&amp;"",""))</f>
        <v/>
      </c>
    </row>
    <row r="2985">
      <c r="R2985" s="20" t="str">
        <f>IF($B2985="","",IFERROR(IF(INDEX(Config!$D$9:$D$29,MATCH($B2985,Config!$B$9:$B$29,0))="Contrato",IF(INDEX(Config!$E$9:$E$29,MATCH($B2985,Config!$B$9:$B$29,0))="","",INDEX(Config!$E$9:$E$29,MATCH($B2985,Config!$B$9:$B$29,0))),""),""))</f>
        <v/>
      </c>
      <c r="AC2985" s="19" t="str">
        <f>IF($B2985="","",IFERROR(INDEX(Config!$D$9:$D$29,MATCH($B2985,Config!$B$9:$B$29,0))&amp;"",""))</f>
        <v/>
      </c>
    </row>
    <row r="2986">
      <c r="R2986" s="20" t="str">
        <f>IF($B2986="","",IFERROR(IF(INDEX(Config!$D$9:$D$29,MATCH($B2986,Config!$B$9:$B$29,0))="Contrato",IF(INDEX(Config!$E$9:$E$29,MATCH($B2986,Config!$B$9:$B$29,0))="","",INDEX(Config!$E$9:$E$29,MATCH($B2986,Config!$B$9:$B$29,0))),""),""))</f>
        <v/>
      </c>
      <c r="AC2986" s="19" t="str">
        <f>IF($B2986="","",IFERROR(INDEX(Config!$D$9:$D$29,MATCH($B2986,Config!$B$9:$B$29,0))&amp;"",""))</f>
        <v/>
      </c>
    </row>
    <row r="2987">
      <c r="R2987" s="20" t="str">
        <f>IF($B2987="","",IFERROR(IF(INDEX(Config!$D$9:$D$29,MATCH($B2987,Config!$B$9:$B$29,0))="Contrato",IF(INDEX(Config!$E$9:$E$29,MATCH($B2987,Config!$B$9:$B$29,0))="","",INDEX(Config!$E$9:$E$29,MATCH($B2987,Config!$B$9:$B$29,0))),""),""))</f>
        <v/>
      </c>
      <c r="AC2987" s="19" t="str">
        <f>IF($B2987="","",IFERROR(INDEX(Config!$D$9:$D$29,MATCH($B2987,Config!$B$9:$B$29,0))&amp;"",""))</f>
        <v/>
      </c>
    </row>
    <row r="2988">
      <c r="R2988" s="20" t="str">
        <f>IF($B2988="","",IFERROR(IF(INDEX(Config!$D$9:$D$29,MATCH($B2988,Config!$B$9:$B$29,0))="Contrato",IF(INDEX(Config!$E$9:$E$29,MATCH($B2988,Config!$B$9:$B$29,0))="","",INDEX(Config!$E$9:$E$29,MATCH($B2988,Config!$B$9:$B$29,0))),""),""))</f>
        <v/>
      </c>
      <c r="AC2988" s="19" t="str">
        <f>IF($B2988="","",IFERROR(INDEX(Config!$D$9:$D$29,MATCH($B2988,Config!$B$9:$B$29,0))&amp;"",""))</f>
        <v/>
      </c>
    </row>
    <row r="2989">
      <c r="R2989" s="20" t="str">
        <f>IF($B2989="","",IFERROR(IF(INDEX(Config!$D$9:$D$29,MATCH($B2989,Config!$B$9:$B$29,0))="Contrato",IF(INDEX(Config!$E$9:$E$29,MATCH($B2989,Config!$B$9:$B$29,0))="","",INDEX(Config!$E$9:$E$29,MATCH($B2989,Config!$B$9:$B$29,0))),""),""))</f>
        <v/>
      </c>
      <c r="AC2989" s="19" t="str">
        <f>IF($B2989="","",IFERROR(INDEX(Config!$D$9:$D$29,MATCH($B2989,Config!$B$9:$B$29,0))&amp;"",""))</f>
        <v/>
      </c>
    </row>
    <row r="2990">
      <c r="R2990" s="20" t="str">
        <f>IF($B2990="","",IFERROR(IF(INDEX(Config!$D$9:$D$29,MATCH($B2990,Config!$B$9:$B$29,0))="Contrato",IF(INDEX(Config!$E$9:$E$29,MATCH($B2990,Config!$B$9:$B$29,0))="","",INDEX(Config!$E$9:$E$29,MATCH($B2990,Config!$B$9:$B$29,0))),""),""))</f>
        <v/>
      </c>
      <c r="AC2990" s="19" t="str">
        <f>IF($B2990="","",IFERROR(INDEX(Config!$D$9:$D$29,MATCH($B2990,Config!$B$9:$B$29,0))&amp;"",""))</f>
        <v/>
      </c>
    </row>
    <row r="2991">
      <c r="R2991" s="20" t="str">
        <f>IF($B2991="","",IFERROR(IF(INDEX(Config!$D$9:$D$29,MATCH($B2991,Config!$B$9:$B$29,0))="Contrato",IF(INDEX(Config!$E$9:$E$29,MATCH($B2991,Config!$B$9:$B$29,0))="","",INDEX(Config!$E$9:$E$29,MATCH($B2991,Config!$B$9:$B$29,0))),""),""))</f>
        <v/>
      </c>
      <c r="AC2991" s="19" t="str">
        <f>IF($B2991="","",IFERROR(INDEX(Config!$D$9:$D$29,MATCH($B2991,Config!$B$9:$B$29,0))&amp;"",""))</f>
        <v/>
      </c>
    </row>
    <row r="2992">
      <c r="R2992" s="20" t="str">
        <f>IF($B2992="","",IFERROR(IF(INDEX(Config!$D$9:$D$29,MATCH($B2992,Config!$B$9:$B$29,0))="Contrato",IF(INDEX(Config!$E$9:$E$29,MATCH($B2992,Config!$B$9:$B$29,0))="","",INDEX(Config!$E$9:$E$29,MATCH($B2992,Config!$B$9:$B$29,0))),""),""))</f>
        <v/>
      </c>
      <c r="AC2992" s="19" t="str">
        <f>IF($B2992="","",IFERROR(INDEX(Config!$D$9:$D$29,MATCH($B2992,Config!$B$9:$B$29,0))&amp;"",""))</f>
        <v/>
      </c>
    </row>
    <row r="2993">
      <c r="R2993" s="20" t="str">
        <f>IF($B2993="","",IFERROR(IF(INDEX(Config!$D$9:$D$29,MATCH($B2993,Config!$B$9:$B$29,0))="Contrato",IF(INDEX(Config!$E$9:$E$29,MATCH($B2993,Config!$B$9:$B$29,0))="","",INDEX(Config!$E$9:$E$29,MATCH($B2993,Config!$B$9:$B$29,0))),""),""))</f>
        <v/>
      </c>
      <c r="AC2993" s="19" t="str">
        <f>IF($B2993="","",IFERROR(INDEX(Config!$D$9:$D$29,MATCH($B2993,Config!$B$9:$B$29,0))&amp;"",""))</f>
        <v/>
      </c>
    </row>
    <row r="2994">
      <c r="R2994" s="20" t="str">
        <f>IF($B2994="","",IFERROR(IF(INDEX(Config!$D$9:$D$29,MATCH($B2994,Config!$B$9:$B$29,0))="Contrato",IF(INDEX(Config!$E$9:$E$29,MATCH($B2994,Config!$B$9:$B$29,0))="","",INDEX(Config!$E$9:$E$29,MATCH($B2994,Config!$B$9:$B$29,0))),""),""))</f>
        <v/>
      </c>
      <c r="AC2994" s="19" t="str">
        <f>IF($B2994="","",IFERROR(INDEX(Config!$D$9:$D$29,MATCH($B2994,Config!$B$9:$B$29,0))&amp;"",""))</f>
        <v/>
      </c>
    </row>
    <row r="2995">
      <c r="R2995" s="20" t="str">
        <f>IF($B2995="","",IFERROR(IF(INDEX(Config!$D$9:$D$29,MATCH($B2995,Config!$B$9:$B$29,0))="Contrato",IF(INDEX(Config!$E$9:$E$29,MATCH($B2995,Config!$B$9:$B$29,0))="","",INDEX(Config!$E$9:$E$29,MATCH($B2995,Config!$B$9:$B$29,0))),""),""))</f>
        <v/>
      </c>
      <c r="AC2995" s="19" t="str">
        <f>IF($B2995="","",IFERROR(INDEX(Config!$D$9:$D$29,MATCH($B2995,Config!$B$9:$B$29,0))&amp;"",""))</f>
        <v/>
      </c>
    </row>
    <row r="2996">
      <c r="R2996" s="20" t="str">
        <f>IF($B2996="","",IFERROR(IF(INDEX(Config!$D$9:$D$29,MATCH($B2996,Config!$B$9:$B$29,0))="Contrato",IF(INDEX(Config!$E$9:$E$29,MATCH($B2996,Config!$B$9:$B$29,0))="","",INDEX(Config!$E$9:$E$29,MATCH($B2996,Config!$B$9:$B$29,0))),""),""))</f>
        <v/>
      </c>
      <c r="AC2996" s="19" t="str">
        <f>IF($B2996="","",IFERROR(INDEX(Config!$D$9:$D$29,MATCH($B2996,Config!$B$9:$B$29,0))&amp;"",""))</f>
        <v/>
      </c>
    </row>
    <row r="2997">
      <c r="R2997" s="20" t="str">
        <f>IF($B2997="","",IFERROR(IF(INDEX(Config!$D$9:$D$29,MATCH($B2997,Config!$B$9:$B$29,0))="Contrato",IF(INDEX(Config!$E$9:$E$29,MATCH($B2997,Config!$B$9:$B$29,0))="","",INDEX(Config!$E$9:$E$29,MATCH($B2997,Config!$B$9:$B$29,0))),""),""))</f>
        <v/>
      </c>
      <c r="AC2997" s="19" t="str">
        <f>IF($B2997="","",IFERROR(INDEX(Config!$D$9:$D$29,MATCH($B2997,Config!$B$9:$B$29,0))&amp;"",""))</f>
        <v/>
      </c>
    </row>
    <row r="2998">
      <c r="R2998" s="20" t="str">
        <f>IF($B2998="","",IFERROR(IF(INDEX(Config!$D$9:$D$29,MATCH($B2998,Config!$B$9:$B$29,0))="Contrato",IF(INDEX(Config!$E$9:$E$29,MATCH($B2998,Config!$B$9:$B$29,0))="","",INDEX(Config!$E$9:$E$29,MATCH($B2998,Config!$B$9:$B$29,0))),""),""))</f>
        <v/>
      </c>
      <c r="AC2998" s="19" t="str">
        <f>IF($B2998="","",IFERROR(INDEX(Config!$D$9:$D$29,MATCH($B2998,Config!$B$9:$B$29,0))&amp;"",""))</f>
        <v/>
      </c>
    </row>
    <row r="2999">
      <c r="R2999" s="20" t="str">
        <f>IF($B2999="","",IFERROR(IF(INDEX(Config!$D$9:$D$29,MATCH($B2999,Config!$B$9:$B$29,0))="Contrato",IF(INDEX(Config!$E$9:$E$29,MATCH($B2999,Config!$B$9:$B$29,0))="","",INDEX(Config!$E$9:$E$29,MATCH($B2999,Config!$B$9:$B$29,0))),""),""))</f>
        <v/>
      </c>
      <c r="AC2999" s="19" t="str">
        <f>IF($B2999="","",IFERROR(INDEX(Config!$D$9:$D$29,MATCH($B2999,Config!$B$9:$B$29,0))&amp;"",""))</f>
        <v/>
      </c>
    </row>
    <row r="3000">
      <c r="R3000" s="20" t="str">
        <f>IF($B3000="","",IFERROR(IF(INDEX(Config!$D$9:$D$29,MATCH($B3000,Config!$B$9:$B$29,0))="Contrato",IF(INDEX(Config!$E$9:$E$29,MATCH($B3000,Config!$B$9:$B$29,0))="","",INDEX(Config!$E$9:$E$29,MATCH($B3000,Config!$B$9:$B$29,0))),""),""))</f>
        <v/>
      </c>
      <c r="AC3000" s="19" t="str">
        <f>IF($B3000="","",IFERROR(INDEX(Config!$D$9:$D$29,MATCH($B3000,Config!$B$9:$B$29,0))&amp;"",""))</f>
        <v/>
      </c>
    </row>
    <row r="3001">
      <c r="R3001" s="20" t="str">
        <f>IF($B3001="","",IFERROR(IF(INDEX(Config!$D$9:$D$29,MATCH($B3001,Config!$B$9:$B$29,0))="Contrato",IF(INDEX(Config!$E$9:$E$29,MATCH($B3001,Config!$B$9:$B$29,0))="","",INDEX(Config!$E$9:$E$29,MATCH($B3001,Config!$B$9:$B$29,0))),""),""))</f>
        <v/>
      </c>
      <c r="AC3001" s="19" t="str">
        <f>IF($B3001="","",IFERROR(INDEX(Config!$D$9:$D$29,MATCH($B3001,Config!$B$9:$B$29,0))&amp;"",""))</f>
        <v/>
      </c>
    </row>
    <row r="3002">
      <c r="R3002" s="20" t="str">
        <f>IF($B3002="","",IFERROR(IF(INDEX(Config!$D$9:$D$29,MATCH($B3002,Config!$B$9:$B$29,0))="Contrato",IF(INDEX(Config!$E$9:$E$29,MATCH($B3002,Config!$B$9:$B$29,0))="","",INDEX(Config!$E$9:$E$29,MATCH($B3002,Config!$B$9:$B$29,0))),""),""))</f>
        <v/>
      </c>
      <c r="AC3002" s="19" t="str">
        <f>IF($B3002="","",IFERROR(INDEX(Config!$D$9:$D$29,MATCH($B3002,Config!$B$9:$B$29,0))&amp;"",""))</f>
        <v/>
      </c>
    </row>
    <row r="3003">
      <c r="R3003" s="20" t="str">
        <f>IF($B3003="","",IFERROR(IF(INDEX(Config!$D$9:$D$29,MATCH($B3003,Config!$B$9:$B$29,0))="Contrato",IF(INDEX(Config!$E$9:$E$29,MATCH($B3003,Config!$B$9:$B$29,0))="","",INDEX(Config!$E$9:$E$29,MATCH($B3003,Config!$B$9:$B$29,0))),""),""))</f>
        <v/>
      </c>
      <c r="AC3003" s="19" t="str">
        <f>IF($B3003="","",IFERROR(INDEX(Config!$D$9:$D$29,MATCH($B3003,Config!$B$9:$B$29,0))&amp;"",""))</f>
        <v/>
      </c>
    </row>
    <row r="3004">
      <c r="R3004" s="20" t="str">
        <f>IF($B3004="","",IFERROR(IF(INDEX(Config!$D$9:$D$29,MATCH($B3004,Config!$B$9:$B$29,0))="Contrato",IF(INDEX(Config!$E$9:$E$29,MATCH($B3004,Config!$B$9:$B$29,0))="","",INDEX(Config!$E$9:$E$29,MATCH($B3004,Config!$B$9:$B$29,0))),""),""))</f>
        <v/>
      </c>
      <c r="AC3004" s="19" t="str">
        <f>IF($B3004="","",IFERROR(INDEX(Config!$D$9:$D$29,MATCH($B3004,Config!$B$9:$B$29,0))&amp;"",""))</f>
        <v/>
      </c>
    </row>
    <row r="3005">
      <c r="R3005" s="20" t="str">
        <f>IF($B3005="","",IFERROR(IF(INDEX(Config!$D$9:$D$29,MATCH($B3005,Config!$B$9:$B$29,0))="Contrato",IF(INDEX(Config!$E$9:$E$29,MATCH($B3005,Config!$B$9:$B$29,0))="","",INDEX(Config!$E$9:$E$29,MATCH($B3005,Config!$B$9:$B$29,0))),""),""))</f>
        <v/>
      </c>
      <c r="AC3005" s="19" t="str">
        <f>IF($B3005="","",IFERROR(INDEX(Config!$D$9:$D$29,MATCH($B3005,Config!$B$9:$B$29,0))&amp;"",""))</f>
        <v/>
      </c>
    </row>
    <row r="3006">
      <c r="R3006" s="20" t="str">
        <f>IF($B3006="","",IFERROR(IF(INDEX(Config!$D$9:$D$29,MATCH($B3006,Config!$B$9:$B$29,0))="Contrato",IF(INDEX(Config!$E$9:$E$29,MATCH($B3006,Config!$B$9:$B$29,0))="","",INDEX(Config!$E$9:$E$29,MATCH($B3006,Config!$B$9:$B$29,0))),""),""))</f>
        <v/>
      </c>
      <c r="AC3006" s="19" t="str">
        <f>IF($B3006="","",IFERROR(INDEX(Config!$D$9:$D$29,MATCH($B3006,Config!$B$9:$B$29,0))&amp;"",""))</f>
        <v/>
      </c>
    </row>
    <row r="3007">
      <c r="R3007" s="20" t="str">
        <f>IF($B3007="","",IFERROR(IF(INDEX(Config!$D$9:$D$29,MATCH($B3007,Config!$B$9:$B$29,0))="Contrato",IF(INDEX(Config!$E$9:$E$29,MATCH($B3007,Config!$B$9:$B$29,0))="","",INDEX(Config!$E$9:$E$29,MATCH($B3007,Config!$B$9:$B$29,0))),""),""))</f>
        <v/>
      </c>
      <c r="AC3007" s="19" t="str">
        <f>IF($B3007="","",IFERROR(INDEX(Config!$D$9:$D$29,MATCH($B3007,Config!$B$9:$B$29,0))&amp;"",""))</f>
        <v/>
      </c>
    </row>
    <row r="3008">
      <c r="R3008" s="20" t="str">
        <f>IF($B3008="","",IFERROR(IF(INDEX(Config!$D$9:$D$29,MATCH($B3008,Config!$B$9:$B$29,0))="Contrato",IF(INDEX(Config!$E$9:$E$29,MATCH($B3008,Config!$B$9:$B$29,0))="","",INDEX(Config!$E$9:$E$29,MATCH($B3008,Config!$B$9:$B$29,0))),""),""))</f>
        <v/>
      </c>
      <c r="AC3008" s="19" t="str">
        <f>IF($B3008="","",IFERROR(INDEX(Config!$D$9:$D$29,MATCH($B3008,Config!$B$9:$B$29,0))&amp;"",""))</f>
        <v/>
      </c>
    </row>
    <row r="3009">
      <c r="R3009" s="20" t="str">
        <f>IF($B3009="","",IFERROR(IF(INDEX(Config!$D$9:$D$29,MATCH($B3009,Config!$B$9:$B$29,0))="Contrato",IF(INDEX(Config!$E$9:$E$29,MATCH($B3009,Config!$B$9:$B$29,0))="","",INDEX(Config!$E$9:$E$29,MATCH($B3009,Config!$B$9:$B$29,0))),""),""))</f>
        <v/>
      </c>
      <c r="AC3009" s="19" t="str">
        <f>IF($B3009="","",IFERROR(INDEX(Config!$D$9:$D$29,MATCH($B3009,Config!$B$9:$B$29,0))&amp;"",""))</f>
        <v/>
      </c>
    </row>
    <row r="3010">
      <c r="R3010" s="20" t="str">
        <f>IF($B3010="","",IFERROR(IF(INDEX(Config!$D$9:$D$29,MATCH($B3010,Config!$B$9:$B$29,0))="Contrato",IF(INDEX(Config!$E$9:$E$29,MATCH($B3010,Config!$B$9:$B$29,0))="","",INDEX(Config!$E$9:$E$29,MATCH($B3010,Config!$B$9:$B$29,0))),""),""))</f>
        <v/>
      </c>
      <c r="AC3010" s="19" t="str">
        <f>IF($B3010="","",IFERROR(INDEX(Config!$D$9:$D$29,MATCH($B3010,Config!$B$9:$B$29,0))&amp;"",""))</f>
        <v/>
      </c>
    </row>
    <row r="3011">
      <c r="R3011" s="20" t="str">
        <f>IF($B3011="","",IFERROR(IF(INDEX(Config!$D$9:$D$29,MATCH($B3011,Config!$B$9:$B$29,0))="Contrato",IF(INDEX(Config!$E$9:$E$29,MATCH($B3011,Config!$B$9:$B$29,0))="","",INDEX(Config!$E$9:$E$29,MATCH($B3011,Config!$B$9:$B$29,0))),""),""))</f>
        <v/>
      </c>
      <c r="AC3011" s="19" t="str">
        <f>IF($B3011="","",IFERROR(INDEX(Config!$D$9:$D$29,MATCH($B3011,Config!$B$9:$B$29,0))&amp;"",""))</f>
        <v/>
      </c>
    </row>
    <row r="3012">
      <c r="R3012" s="20" t="str">
        <f>IF($B3012="","",IFERROR(IF(INDEX(Config!$D$9:$D$29,MATCH($B3012,Config!$B$9:$B$29,0))="Contrato",IF(INDEX(Config!$E$9:$E$29,MATCH($B3012,Config!$B$9:$B$29,0))="","",INDEX(Config!$E$9:$E$29,MATCH($B3012,Config!$B$9:$B$29,0))),""),""))</f>
        <v/>
      </c>
      <c r="AC3012" s="19" t="str">
        <f>IF($B3012="","",IFERROR(INDEX(Config!$D$9:$D$29,MATCH($B3012,Config!$B$9:$B$29,0))&amp;"",""))</f>
        <v/>
      </c>
    </row>
    <row r="3013">
      <c r="R3013" s="20" t="str">
        <f>IF($B3013="","",IFERROR(IF(INDEX(Config!$D$9:$D$29,MATCH($B3013,Config!$B$9:$B$29,0))="Contrato",IF(INDEX(Config!$E$9:$E$29,MATCH($B3013,Config!$B$9:$B$29,0))="","",INDEX(Config!$E$9:$E$29,MATCH($B3013,Config!$B$9:$B$29,0))),""),""))</f>
        <v/>
      </c>
      <c r="AC3013" s="19" t="str">
        <f>IF($B3013="","",IFERROR(INDEX(Config!$D$9:$D$29,MATCH($B3013,Config!$B$9:$B$29,0))&amp;"",""))</f>
        <v/>
      </c>
    </row>
    <row r="3014">
      <c r="R3014" s="20" t="str">
        <f>IF($B3014="","",IFERROR(IF(INDEX(Config!$D$9:$D$29,MATCH($B3014,Config!$B$9:$B$29,0))="Contrato",IF(INDEX(Config!$E$9:$E$29,MATCH($B3014,Config!$B$9:$B$29,0))="","",INDEX(Config!$E$9:$E$29,MATCH($B3014,Config!$B$9:$B$29,0))),""),""))</f>
        <v/>
      </c>
      <c r="AC3014" s="19" t="str">
        <f>IF($B3014="","",IFERROR(INDEX(Config!$D$9:$D$29,MATCH($B3014,Config!$B$9:$B$29,0))&amp;"",""))</f>
        <v/>
      </c>
    </row>
    <row r="3015">
      <c r="R3015" s="20" t="str">
        <f>IF($B3015="","",IFERROR(IF(INDEX(Config!$D$9:$D$29,MATCH($B3015,Config!$B$9:$B$29,0))="Contrato",IF(INDEX(Config!$E$9:$E$29,MATCH($B3015,Config!$B$9:$B$29,0))="","",INDEX(Config!$E$9:$E$29,MATCH($B3015,Config!$B$9:$B$29,0))),""),""))</f>
        <v/>
      </c>
      <c r="AC3015" s="19" t="str">
        <f>IF($B3015="","",IFERROR(INDEX(Config!$D$9:$D$29,MATCH($B3015,Config!$B$9:$B$29,0))&amp;"",""))</f>
        <v/>
      </c>
    </row>
    <row r="3016">
      <c r="R3016" s="20" t="str">
        <f>IF($B3016="","",IFERROR(IF(INDEX(Config!$D$9:$D$29,MATCH($B3016,Config!$B$9:$B$29,0))="Contrato",IF(INDEX(Config!$E$9:$E$29,MATCH($B3016,Config!$B$9:$B$29,0))="","",INDEX(Config!$E$9:$E$29,MATCH($B3016,Config!$B$9:$B$29,0))),""),""))</f>
        <v/>
      </c>
      <c r="AC3016" s="19" t="str">
        <f>IF($B3016="","",IFERROR(INDEX(Config!$D$9:$D$29,MATCH($B3016,Config!$B$9:$B$29,0))&amp;"",""))</f>
        <v/>
      </c>
    </row>
    <row r="3017">
      <c r="R3017" s="20" t="str">
        <f>IF($B3017="","",IFERROR(IF(INDEX(Config!$D$9:$D$29,MATCH($B3017,Config!$B$9:$B$29,0))="Contrato",IF(INDEX(Config!$E$9:$E$29,MATCH($B3017,Config!$B$9:$B$29,0))="","",INDEX(Config!$E$9:$E$29,MATCH($B3017,Config!$B$9:$B$29,0))),""),""))</f>
        <v/>
      </c>
      <c r="AC3017" s="19" t="str">
        <f>IF($B3017="","",IFERROR(INDEX(Config!$D$9:$D$29,MATCH($B3017,Config!$B$9:$B$29,0))&amp;"",""))</f>
        <v/>
      </c>
    </row>
    <row r="3018">
      <c r="R3018" s="20" t="str">
        <f>IF($B3018="","",IFERROR(IF(INDEX(Config!$D$9:$D$29,MATCH($B3018,Config!$B$9:$B$29,0))="Contrato",IF(INDEX(Config!$E$9:$E$29,MATCH($B3018,Config!$B$9:$B$29,0))="","",INDEX(Config!$E$9:$E$29,MATCH($B3018,Config!$B$9:$B$29,0))),""),""))</f>
        <v/>
      </c>
      <c r="AC3018" s="19" t="str">
        <f>IF($B3018="","",IFERROR(INDEX(Config!$D$9:$D$29,MATCH($B3018,Config!$B$9:$B$29,0))&amp;"",""))</f>
        <v/>
      </c>
    </row>
    <row r="3019">
      <c r="R3019" s="20" t="str">
        <f>IF($B3019="","",IFERROR(IF(INDEX(Config!$D$9:$D$29,MATCH($B3019,Config!$B$9:$B$29,0))="Contrato",IF(INDEX(Config!$E$9:$E$29,MATCH($B3019,Config!$B$9:$B$29,0))="","",INDEX(Config!$E$9:$E$29,MATCH($B3019,Config!$B$9:$B$29,0))),""),""))</f>
        <v/>
      </c>
      <c r="AC3019" s="19" t="str">
        <f>IF($B3019="","",IFERROR(INDEX(Config!$D$9:$D$29,MATCH($B3019,Config!$B$9:$B$29,0))&amp;"",""))</f>
        <v/>
      </c>
    </row>
    <row r="3020">
      <c r="R3020" s="20" t="str">
        <f>IF($B3020="","",IFERROR(IF(INDEX(Config!$D$9:$D$29,MATCH($B3020,Config!$B$9:$B$29,0))="Contrato",IF(INDEX(Config!$E$9:$E$29,MATCH($B3020,Config!$B$9:$B$29,0))="","",INDEX(Config!$E$9:$E$29,MATCH($B3020,Config!$B$9:$B$29,0))),""),""))</f>
        <v/>
      </c>
      <c r="AC3020" s="19" t="str">
        <f>IF($B3020="","",IFERROR(INDEX(Config!$D$9:$D$29,MATCH($B3020,Config!$B$9:$B$29,0))&amp;"",""))</f>
        <v/>
      </c>
    </row>
    <row r="3021">
      <c r="R3021" s="20" t="str">
        <f>IF($B3021="","",IFERROR(IF(INDEX(Config!$D$9:$D$29,MATCH($B3021,Config!$B$9:$B$29,0))="Contrato",IF(INDEX(Config!$E$9:$E$29,MATCH($B3021,Config!$B$9:$B$29,0))="","",INDEX(Config!$E$9:$E$29,MATCH($B3021,Config!$B$9:$B$29,0))),""),""))</f>
        <v/>
      </c>
      <c r="AC3021" s="19" t="str">
        <f>IF($B3021="","",IFERROR(INDEX(Config!$D$9:$D$29,MATCH($B3021,Config!$B$9:$B$29,0))&amp;"",""))</f>
        <v/>
      </c>
    </row>
    <row r="3022">
      <c r="R3022" s="20" t="str">
        <f>IF($B3022="","",IFERROR(IF(INDEX(Config!$D$9:$D$29,MATCH($B3022,Config!$B$9:$B$29,0))="Contrato",IF(INDEX(Config!$E$9:$E$29,MATCH($B3022,Config!$B$9:$B$29,0))="","",INDEX(Config!$E$9:$E$29,MATCH($B3022,Config!$B$9:$B$29,0))),""),""))</f>
        <v/>
      </c>
      <c r="AC3022" s="19" t="str">
        <f>IF($B3022="","",IFERROR(INDEX(Config!$D$9:$D$29,MATCH($B3022,Config!$B$9:$B$29,0))&amp;"",""))</f>
        <v/>
      </c>
    </row>
    <row r="3023">
      <c r="R3023" s="20" t="str">
        <f>IF($B3023="","",IFERROR(IF(INDEX(Config!$D$9:$D$29,MATCH($B3023,Config!$B$9:$B$29,0))="Contrato",IF(INDEX(Config!$E$9:$E$29,MATCH($B3023,Config!$B$9:$B$29,0))="","",INDEX(Config!$E$9:$E$29,MATCH($B3023,Config!$B$9:$B$29,0))),""),""))</f>
        <v/>
      </c>
      <c r="AC3023" s="19" t="str">
        <f>IF($B3023="","",IFERROR(INDEX(Config!$D$9:$D$29,MATCH($B3023,Config!$B$9:$B$29,0))&amp;"",""))</f>
        <v/>
      </c>
    </row>
    <row r="3024">
      <c r="R3024" s="20" t="str">
        <f>IF($B3024="","",IFERROR(IF(INDEX(Config!$D$9:$D$29,MATCH($B3024,Config!$B$9:$B$29,0))="Contrato",IF(INDEX(Config!$E$9:$E$29,MATCH($B3024,Config!$B$9:$B$29,0))="","",INDEX(Config!$E$9:$E$29,MATCH($B3024,Config!$B$9:$B$29,0))),""),""))</f>
        <v/>
      </c>
      <c r="AC3024" s="19" t="str">
        <f>IF($B3024="","",IFERROR(INDEX(Config!$D$9:$D$29,MATCH($B3024,Config!$B$9:$B$29,0))&amp;"",""))</f>
        <v/>
      </c>
    </row>
    <row r="3025">
      <c r="R3025" s="20" t="str">
        <f>IF($B3025="","",IFERROR(IF(INDEX(Config!$D$9:$D$29,MATCH($B3025,Config!$B$9:$B$29,0))="Contrato",IF(INDEX(Config!$E$9:$E$29,MATCH($B3025,Config!$B$9:$B$29,0))="","",INDEX(Config!$E$9:$E$29,MATCH($B3025,Config!$B$9:$B$29,0))),""),""))</f>
        <v/>
      </c>
      <c r="AC3025" s="19" t="str">
        <f>IF($B3025="","",IFERROR(INDEX(Config!$D$9:$D$29,MATCH($B3025,Config!$B$9:$B$29,0))&amp;"",""))</f>
        <v/>
      </c>
    </row>
    <row r="3026">
      <c r="R3026" s="20" t="str">
        <f>IF($B3026="","",IFERROR(IF(INDEX(Config!$D$9:$D$29,MATCH($B3026,Config!$B$9:$B$29,0))="Contrato",IF(INDEX(Config!$E$9:$E$29,MATCH($B3026,Config!$B$9:$B$29,0))="","",INDEX(Config!$E$9:$E$29,MATCH($B3026,Config!$B$9:$B$29,0))),""),""))</f>
        <v/>
      </c>
      <c r="AC3026" s="19" t="str">
        <f>IF($B3026="","",IFERROR(INDEX(Config!$D$9:$D$29,MATCH($B3026,Config!$B$9:$B$29,0))&amp;"",""))</f>
        <v/>
      </c>
    </row>
    <row r="3027">
      <c r="R3027" s="20" t="str">
        <f>IF($B3027="","",IFERROR(IF(INDEX(Config!$D$9:$D$29,MATCH($B3027,Config!$B$9:$B$29,0))="Contrato",IF(INDEX(Config!$E$9:$E$29,MATCH($B3027,Config!$B$9:$B$29,0))="","",INDEX(Config!$E$9:$E$29,MATCH($B3027,Config!$B$9:$B$29,0))),""),""))</f>
        <v/>
      </c>
      <c r="AC3027" s="19" t="str">
        <f>IF($B3027="","",IFERROR(INDEX(Config!$D$9:$D$29,MATCH($B3027,Config!$B$9:$B$29,0))&amp;"",""))</f>
        <v/>
      </c>
    </row>
    <row r="3028">
      <c r="R3028" s="20" t="str">
        <f>IF($B3028="","",IFERROR(IF(INDEX(Config!$D$9:$D$29,MATCH($B3028,Config!$B$9:$B$29,0))="Contrato",IF(INDEX(Config!$E$9:$E$29,MATCH($B3028,Config!$B$9:$B$29,0))="","",INDEX(Config!$E$9:$E$29,MATCH($B3028,Config!$B$9:$B$29,0))),""),""))</f>
        <v/>
      </c>
      <c r="AC3028" s="19" t="str">
        <f>IF($B3028="","",IFERROR(INDEX(Config!$D$9:$D$29,MATCH($B3028,Config!$B$9:$B$29,0))&amp;"",""))</f>
        <v/>
      </c>
    </row>
    <row r="3029">
      <c r="R3029" s="20" t="str">
        <f>IF($B3029="","",IFERROR(IF(INDEX(Config!$D$9:$D$29,MATCH($B3029,Config!$B$9:$B$29,0))="Contrato",IF(INDEX(Config!$E$9:$E$29,MATCH($B3029,Config!$B$9:$B$29,0))="","",INDEX(Config!$E$9:$E$29,MATCH($B3029,Config!$B$9:$B$29,0))),""),""))</f>
        <v/>
      </c>
      <c r="AC3029" s="19" t="str">
        <f>IF($B3029="","",IFERROR(INDEX(Config!$D$9:$D$29,MATCH($B3029,Config!$B$9:$B$29,0))&amp;"",""))</f>
        <v/>
      </c>
    </row>
    <row r="3030">
      <c r="R3030" s="20" t="str">
        <f>IF($B3030="","",IFERROR(IF(INDEX(Config!$D$9:$D$29,MATCH($B3030,Config!$B$9:$B$29,0))="Contrato",IF(INDEX(Config!$E$9:$E$29,MATCH($B3030,Config!$B$9:$B$29,0))="","",INDEX(Config!$E$9:$E$29,MATCH($B3030,Config!$B$9:$B$29,0))),""),""))</f>
        <v/>
      </c>
      <c r="AC3030" s="19" t="str">
        <f>IF($B3030="","",IFERROR(INDEX(Config!$D$9:$D$29,MATCH($B3030,Config!$B$9:$B$29,0))&amp;"",""))</f>
        <v/>
      </c>
    </row>
    <row r="3031">
      <c r="R3031" s="20" t="str">
        <f>IF($B3031="","",IFERROR(IF(INDEX(Config!$D$9:$D$29,MATCH($B3031,Config!$B$9:$B$29,0))="Contrato",IF(INDEX(Config!$E$9:$E$29,MATCH($B3031,Config!$B$9:$B$29,0))="","",INDEX(Config!$E$9:$E$29,MATCH($B3031,Config!$B$9:$B$29,0))),""),""))</f>
        <v/>
      </c>
      <c r="AC3031" s="19" t="str">
        <f>IF($B3031="","",IFERROR(INDEX(Config!$D$9:$D$29,MATCH($B3031,Config!$B$9:$B$29,0))&amp;"",""))</f>
        <v/>
      </c>
    </row>
    <row r="3032">
      <c r="R3032" s="20" t="str">
        <f>IF($B3032="","",IFERROR(IF(INDEX(Config!$D$9:$D$29,MATCH($B3032,Config!$B$9:$B$29,0))="Contrato",IF(INDEX(Config!$E$9:$E$29,MATCH($B3032,Config!$B$9:$B$29,0))="","",INDEX(Config!$E$9:$E$29,MATCH($B3032,Config!$B$9:$B$29,0))),""),""))</f>
        <v/>
      </c>
      <c r="AC3032" s="19" t="str">
        <f>IF($B3032="","",IFERROR(INDEX(Config!$D$9:$D$29,MATCH($B3032,Config!$B$9:$B$29,0))&amp;"",""))</f>
        <v/>
      </c>
    </row>
    <row r="3033">
      <c r="R3033" s="20" t="str">
        <f>IF($B3033="","",IFERROR(IF(INDEX(Config!$D$9:$D$29,MATCH($B3033,Config!$B$9:$B$29,0))="Contrato",IF(INDEX(Config!$E$9:$E$29,MATCH($B3033,Config!$B$9:$B$29,0))="","",INDEX(Config!$E$9:$E$29,MATCH($B3033,Config!$B$9:$B$29,0))),""),""))</f>
        <v/>
      </c>
      <c r="AC3033" s="19" t="str">
        <f>IF($B3033="","",IFERROR(INDEX(Config!$D$9:$D$29,MATCH($B3033,Config!$B$9:$B$29,0))&amp;"",""))</f>
        <v/>
      </c>
    </row>
    <row r="3034">
      <c r="R3034" s="20" t="str">
        <f>IF($B3034="","",IFERROR(IF(INDEX(Config!$D$9:$D$29,MATCH($B3034,Config!$B$9:$B$29,0))="Contrato",IF(INDEX(Config!$E$9:$E$29,MATCH($B3034,Config!$B$9:$B$29,0))="","",INDEX(Config!$E$9:$E$29,MATCH($B3034,Config!$B$9:$B$29,0))),""),""))</f>
        <v/>
      </c>
      <c r="AC3034" s="19" t="str">
        <f>IF($B3034="","",IFERROR(INDEX(Config!$D$9:$D$29,MATCH($B3034,Config!$B$9:$B$29,0))&amp;"",""))</f>
        <v/>
      </c>
    </row>
    <row r="3035">
      <c r="R3035" s="20" t="str">
        <f>IF($B3035="","",IFERROR(IF(INDEX(Config!$D$9:$D$29,MATCH($B3035,Config!$B$9:$B$29,0))="Contrato",IF(INDEX(Config!$E$9:$E$29,MATCH($B3035,Config!$B$9:$B$29,0))="","",INDEX(Config!$E$9:$E$29,MATCH($B3035,Config!$B$9:$B$29,0))),""),""))</f>
        <v/>
      </c>
      <c r="AC3035" s="19" t="str">
        <f>IF($B3035="","",IFERROR(INDEX(Config!$D$9:$D$29,MATCH($B3035,Config!$B$9:$B$29,0))&amp;"",""))</f>
        <v/>
      </c>
    </row>
    <row r="3036">
      <c r="R3036" s="20" t="str">
        <f>IF($B3036="","",IFERROR(IF(INDEX(Config!$D$9:$D$29,MATCH($B3036,Config!$B$9:$B$29,0))="Contrato",IF(INDEX(Config!$E$9:$E$29,MATCH($B3036,Config!$B$9:$B$29,0))="","",INDEX(Config!$E$9:$E$29,MATCH($B3036,Config!$B$9:$B$29,0))),""),""))</f>
        <v/>
      </c>
      <c r="AC3036" s="19" t="str">
        <f>IF($B3036="","",IFERROR(INDEX(Config!$D$9:$D$29,MATCH($B3036,Config!$B$9:$B$29,0))&amp;"",""))</f>
        <v/>
      </c>
    </row>
    <row r="3037">
      <c r="R3037" s="20" t="str">
        <f>IF($B3037="","",IFERROR(IF(INDEX(Config!$D$9:$D$29,MATCH($B3037,Config!$B$9:$B$29,0))="Contrato",IF(INDEX(Config!$E$9:$E$29,MATCH($B3037,Config!$B$9:$B$29,0))="","",INDEX(Config!$E$9:$E$29,MATCH($B3037,Config!$B$9:$B$29,0))),""),""))</f>
        <v/>
      </c>
      <c r="AC3037" s="19" t="str">
        <f>IF($B3037="","",IFERROR(INDEX(Config!$D$9:$D$29,MATCH($B3037,Config!$B$9:$B$29,0))&amp;"",""))</f>
        <v/>
      </c>
    </row>
    <row r="3038">
      <c r="R3038" s="20" t="str">
        <f>IF($B3038="","",IFERROR(IF(INDEX(Config!$D$9:$D$29,MATCH($B3038,Config!$B$9:$B$29,0))="Contrato",IF(INDEX(Config!$E$9:$E$29,MATCH($B3038,Config!$B$9:$B$29,0))="","",INDEX(Config!$E$9:$E$29,MATCH($B3038,Config!$B$9:$B$29,0))),""),""))</f>
        <v/>
      </c>
      <c r="AC3038" s="19" t="str">
        <f>IF($B3038="","",IFERROR(INDEX(Config!$D$9:$D$29,MATCH($B3038,Config!$B$9:$B$29,0))&amp;"",""))</f>
        <v/>
      </c>
    </row>
    <row r="3039">
      <c r="R3039" s="20" t="str">
        <f>IF($B3039="","",IFERROR(IF(INDEX(Config!$D$9:$D$29,MATCH($B3039,Config!$B$9:$B$29,0))="Contrato",IF(INDEX(Config!$E$9:$E$29,MATCH($B3039,Config!$B$9:$B$29,0))="","",INDEX(Config!$E$9:$E$29,MATCH($B3039,Config!$B$9:$B$29,0))),""),""))</f>
        <v/>
      </c>
      <c r="AC3039" s="19" t="str">
        <f>IF($B3039="","",IFERROR(INDEX(Config!$D$9:$D$29,MATCH($B3039,Config!$B$9:$B$29,0))&amp;"",""))</f>
        <v/>
      </c>
    </row>
    <row r="3040">
      <c r="R3040" s="20" t="str">
        <f>IF($B3040="","",IFERROR(IF(INDEX(Config!$D$9:$D$29,MATCH($B3040,Config!$B$9:$B$29,0))="Contrato",IF(INDEX(Config!$E$9:$E$29,MATCH($B3040,Config!$B$9:$B$29,0))="","",INDEX(Config!$E$9:$E$29,MATCH($B3040,Config!$B$9:$B$29,0))),""),""))</f>
        <v/>
      </c>
      <c r="AC3040" s="19" t="str">
        <f>IF($B3040="","",IFERROR(INDEX(Config!$D$9:$D$29,MATCH($B3040,Config!$B$9:$B$29,0))&amp;"",""))</f>
        <v/>
      </c>
    </row>
    <row r="3041">
      <c r="R3041" s="20" t="str">
        <f>IF($B3041="","",IFERROR(IF(INDEX(Config!$D$9:$D$29,MATCH($B3041,Config!$B$9:$B$29,0))="Contrato",IF(INDEX(Config!$E$9:$E$29,MATCH($B3041,Config!$B$9:$B$29,0))="","",INDEX(Config!$E$9:$E$29,MATCH($B3041,Config!$B$9:$B$29,0))),""),""))</f>
        <v/>
      </c>
      <c r="AC3041" s="19" t="str">
        <f>IF($B3041="","",IFERROR(INDEX(Config!$D$9:$D$29,MATCH($B3041,Config!$B$9:$B$29,0))&amp;"",""))</f>
        <v/>
      </c>
    </row>
    <row r="3042">
      <c r="R3042" s="20" t="str">
        <f>IF($B3042="","",IFERROR(IF(INDEX(Config!$D$9:$D$29,MATCH($B3042,Config!$B$9:$B$29,0))="Contrato",IF(INDEX(Config!$E$9:$E$29,MATCH($B3042,Config!$B$9:$B$29,0))="","",INDEX(Config!$E$9:$E$29,MATCH($B3042,Config!$B$9:$B$29,0))),""),""))</f>
        <v/>
      </c>
      <c r="AC3042" s="19" t="str">
        <f>IF($B3042="","",IFERROR(INDEX(Config!$D$9:$D$29,MATCH($B3042,Config!$B$9:$B$29,0))&amp;"",""))</f>
        <v/>
      </c>
    </row>
    <row r="3043">
      <c r="R3043" s="20" t="str">
        <f>IF($B3043="","",IFERROR(IF(INDEX(Config!$D$9:$D$29,MATCH($B3043,Config!$B$9:$B$29,0))="Contrato",IF(INDEX(Config!$E$9:$E$29,MATCH($B3043,Config!$B$9:$B$29,0))="","",INDEX(Config!$E$9:$E$29,MATCH($B3043,Config!$B$9:$B$29,0))),""),""))</f>
        <v/>
      </c>
      <c r="AC3043" s="19" t="str">
        <f>IF($B3043="","",IFERROR(INDEX(Config!$D$9:$D$29,MATCH($B3043,Config!$B$9:$B$29,0))&amp;"",""))</f>
        <v/>
      </c>
    </row>
    <row r="3044">
      <c r="R3044" s="20" t="str">
        <f>IF($B3044="","",IFERROR(IF(INDEX(Config!$D$9:$D$29,MATCH($B3044,Config!$B$9:$B$29,0))="Contrato",IF(INDEX(Config!$E$9:$E$29,MATCH($B3044,Config!$B$9:$B$29,0))="","",INDEX(Config!$E$9:$E$29,MATCH($B3044,Config!$B$9:$B$29,0))),""),""))</f>
        <v/>
      </c>
      <c r="AC3044" s="19" t="str">
        <f>IF($B3044="","",IFERROR(INDEX(Config!$D$9:$D$29,MATCH($B3044,Config!$B$9:$B$29,0))&amp;"",""))</f>
        <v/>
      </c>
    </row>
    <row r="3045">
      <c r="R3045" s="20" t="str">
        <f>IF($B3045="","",IFERROR(IF(INDEX(Config!$D$9:$D$29,MATCH($B3045,Config!$B$9:$B$29,0))="Contrato",IF(INDEX(Config!$E$9:$E$29,MATCH($B3045,Config!$B$9:$B$29,0))="","",INDEX(Config!$E$9:$E$29,MATCH($B3045,Config!$B$9:$B$29,0))),""),""))</f>
        <v/>
      </c>
      <c r="AC3045" s="19" t="str">
        <f>IF($B3045="","",IFERROR(INDEX(Config!$D$9:$D$29,MATCH($B3045,Config!$B$9:$B$29,0))&amp;"",""))</f>
        <v/>
      </c>
    </row>
    <row r="3046">
      <c r="R3046" s="20" t="str">
        <f>IF($B3046="","",IFERROR(IF(INDEX(Config!$D$9:$D$29,MATCH($B3046,Config!$B$9:$B$29,0))="Contrato",IF(INDEX(Config!$E$9:$E$29,MATCH($B3046,Config!$B$9:$B$29,0))="","",INDEX(Config!$E$9:$E$29,MATCH($B3046,Config!$B$9:$B$29,0))),""),""))</f>
        <v/>
      </c>
      <c r="AC3046" s="19" t="str">
        <f>IF($B3046="","",IFERROR(INDEX(Config!$D$9:$D$29,MATCH($B3046,Config!$B$9:$B$29,0))&amp;"",""))</f>
        <v/>
      </c>
    </row>
    <row r="3047">
      <c r="R3047" s="20" t="str">
        <f>IF($B3047="","",IFERROR(IF(INDEX(Config!$D$9:$D$29,MATCH($B3047,Config!$B$9:$B$29,0))="Contrato",IF(INDEX(Config!$E$9:$E$29,MATCH($B3047,Config!$B$9:$B$29,0))="","",INDEX(Config!$E$9:$E$29,MATCH($B3047,Config!$B$9:$B$29,0))),""),""))</f>
        <v/>
      </c>
      <c r="AC3047" s="19" t="str">
        <f>IF($B3047="","",IFERROR(INDEX(Config!$D$9:$D$29,MATCH($B3047,Config!$B$9:$B$29,0))&amp;"",""))</f>
        <v/>
      </c>
    </row>
    <row r="3048">
      <c r="R3048" s="20" t="str">
        <f>IF($B3048="","",IFERROR(IF(INDEX(Config!$D$9:$D$29,MATCH($B3048,Config!$B$9:$B$29,0))="Contrato",IF(INDEX(Config!$E$9:$E$29,MATCH($B3048,Config!$B$9:$B$29,0))="","",INDEX(Config!$E$9:$E$29,MATCH($B3048,Config!$B$9:$B$29,0))),""),""))</f>
        <v/>
      </c>
      <c r="AC3048" s="19" t="str">
        <f>IF($B3048="","",IFERROR(INDEX(Config!$D$9:$D$29,MATCH($B3048,Config!$B$9:$B$29,0))&amp;"",""))</f>
        <v/>
      </c>
    </row>
    <row r="3049">
      <c r="R3049" s="20" t="str">
        <f>IF($B3049="","",IFERROR(IF(INDEX(Config!$D$9:$D$29,MATCH($B3049,Config!$B$9:$B$29,0))="Contrato",IF(INDEX(Config!$E$9:$E$29,MATCH($B3049,Config!$B$9:$B$29,0))="","",INDEX(Config!$E$9:$E$29,MATCH($B3049,Config!$B$9:$B$29,0))),""),""))</f>
        <v/>
      </c>
      <c r="AC3049" s="19" t="str">
        <f>IF($B3049="","",IFERROR(INDEX(Config!$D$9:$D$29,MATCH($B3049,Config!$B$9:$B$29,0))&amp;"",""))</f>
        <v/>
      </c>
    </row>
    <row r="3050">
      <c r="R3050" s="20" t="str">
        <f>IF($B3050="","",IFERROR(IF(INDEX(Config!$D$9:$D$29,MATCH($B3050,Config!$B$9:$B$29,0))="Contrato",IF(INDEX(Config!$E$9:$E$29,MATCH($B3050,Config!$B$9:$B$29,0))="","",INDEX(Config!$E$9:$E$29,MATCH($B3050,Config!$B$9:$B$29,0))),""),""))</f>
        <v/>
      </c>
      <c r="AC3050" s="19" t="str">
        <f>IF($B3050="","",IFERROR(INDEX(Config!$D$9:$D$29,MATCH($B3050,Config!$B$9:$B$29,0))&amp;"",""))</f>
        <v/>
      </c>
    </row>
    <row r="3051">
      <c r="R3051" s="20" t="str">
        <f>IF($B3051="","",IFERROR(IF(INDEX(Config!$D$9:$D$29,MATCH($B3051,Config!$B$9:$B$29,0))="Contrato",IF(INDEX(Config!$E$9:$E$29,MATCH($B3051,Config!$B$9:$B$29,0))="","",INDEX(Config!$E$9:$E$29,MATCH($B3051,Config!$B$9:$B$29,0))),""),""))</f>
        <v/>
      </c>
      <c r="AC3051" s="19" t="str">
        <f>IF($B3051="","",IFERROR(INDEX(Config!$D$9:$D$29,MATCH($B3051,Config!$B$9:$B$29,0))&amp;"",""))</f>
        <v/>
      </c>
    </row>
    <row r="3052">
      <c r="R3052" s="20" t="str">
        <f>IF($B3052="","",IFERROR(IF(INDEX(Config!$D$9:$D$29,MATCH($B3052,Config!$B$9:$B$29,0))="Contrato",IF(INDEX(Config!$E$9:$E$29,MATCH($B3052,Config!$B$9:$B$29,0))="","",INDEX(Config!$E$9:$E$29,MATCH($B3052,Config!$B$9:$B$29,0))),""),""))</f>
        <v/>
      </c>
      <c r="AC3052" s="19" t="str">
        <f>IF($B3052="","",IFERROR(INDEX(Config!$D$9:$D$29,MATCH($B3052,Config!$B$9:$B$29,0))&amp;"",""))</f>
        <v/>
      </c>
    </row>
    <row r="3053">
      <c r="R3053" s="20" t="str">
        <f>IF($B3053="","",IFERROR(IF(INDEX(Config!$D$9:$D$29,MATCH($B3053,Config!$B$9:$B$29,0))="Contrato",IF(INDEX(Config!$E$9:$E$29,MATCH($B3053,Config!$B$9:$B$29,0))="","",INDEX(Config!$E$9:$E$29,MATCH($B3053,Config!$B$9:$B$29,0))),""),""))</f>
        <v/>
      </c>
      <c r="AC3053" s="19" t="str">
        <f>IF($B3053="","",IFERROR(INDEX(Config!$D$9:$D$29,MATCH($B3053,Config!$B$9:$B$29,0))&amp;"",""))</f>
        <v/>
      </c>
    </row>
    <row r="3054">
      <c r="R3054" s="20" t="str">
        <f>IF($B3054="","",IFERROR(IF(INDEX(Config!$D$9:$D$29,MATCH($B3054,Config!$B$9:$B$29,0))="Contrato",IF(INDEX(Config!$E$9:$E$29,MATCH($B3054,Config!$B$9:$B$29,0))="","",INDEX(Config!$E$9:$E$29,MATCH($B3054,Config!$B$9:$B$29,0))),""),""))</f>
        <v/>
      </c>
      <c r="AC3054" s="19" t="str">
        <f>IF($B3054="","",IFERROR(INDEX(Config!$D$9:$D$29,MATCH($B3054,Config!$B$9:$B$29,0))&amp;"",""))</f>
        <v/>
      </c>
    </row>
    <row r="3055">
      <c r="R3055" s="20" t="str">
        <f>IF($B3055="","",IFERROR(IF(INDEX(Config!$D$9:$D$29,MATCH($B3055,Config!$B$9:$B$29,0))="Contrato",IF(INDEX(Config!$E$9:$E$29,MATCH($B3055,Config!$B$9:$B$29,0))="","",INDEX(Config!$E$9:$E$29,MATCH($B3055,Config!$B$9:$B$29,0))),""),""))</f>
        <v/>
      </c>
      <c r="AC3055" s="19" t="str">
        <f>IF($B3055="","",IFERROR(INDEX(Config!$D$9:$D$29,MATCH($B3055,Config!$B$9:$B$29,0))&amp;"",""))</f>
        <v/>
      </c>
    </row>
    <row r="3056">
      <c r="R3056" s="20" t="str">
        <f>IF($B3056="","",IFERROR(IF(INDEX(Config!$D$9:$D$29,MATCH($B3056,Config!$B$9:$B$29,0))="Contrato",IF(INDEX(Config!$E$9:$E$29,MATCH($B3056,Config!$B$9:$B$29,0))="","",INDEX(Config!$E$9:$E$29,MATCH($B3056,Config!$B$9:$B$29,0))),""),""))</f>
        <v/>
      </c>
      <c r="AC3056" s="19" t="str">
        <f>IF($B3056="","",IFERROR(INDEX(Config!$D$9:$D$29,MATCH($B3056,Config!$B$9:$B$29,0))&amp;"",""))</f>
        <v/>
      </c>
    </row>
    <row r="3057">
      <c r="R3057" s="20" t="str">
        <f>IF($B3057="","",IFERROR(IF(INDEX(Config!$D$9:$D$29,MATCH($B3057,Config!$B$9:$B$29,0))="Contrato",IF(INDEX(Config!$E$9:$E$29,MATCH($B3057,Config!$B$9:$B$29,0))="","",INDEX(Config!$E$9:$E$29,MATCH($B3057,Config!$B$9:$B$29,0))),""),""))</f>
        <v/>
      </c>
      <c r="AC3057" s="19" t="str">
        <f>IF($B3057="","",IFERROR(INDEX(Config!$D$9:$D$29,MATCH($B3057,Config!$B$9:$B$29,0))&amp;"",""))</f>
        <v/>
      </c>
    </row>
    <row r="3058">
      <c r="R3058" s="20" t="str">
        <f>IF($B3058="","",IFERROR(IF(INDEX(Config!$D$9:$D$29,MATCH($B3058,Config!$B$9:$B$29,0))="Contrato",IF(INDEX(Config!$E$9:$E$29,MATCH($B3058,Config!$B$9:$B$29,0))="","",INDEX(Config!$E$9:$E$29,MATCH($B3058,Config!$B$9:$B$29,0))),""),""))</f>
        <v/>
      </c>
      <c r="AC3058" s="19" t="str">
        <f>IF($B3058="","",IFERROR(INDEX(Config!$D$9:$D$29,MATCH($B3058,Config!$B$9:$B$29,0))&amp;"",""))</f>
        <v/>
      </c>
    </row>
    <row r="3059">
      <c r="R3059" s="20" t="str">
        <f>IF($B3059="","",IFERROR(IF(INDEX(Config!$D$9:$D$29,MATCH($B3059,Config!$B$9:$B$29,0))="Contrato",IF(INDEX(Config!$E$9:$E$29,MATCH($B3059,Config!$B$9:$B$29,0))="","",INDEX(Config!$E$9:$E$29,MATCH($B3059,Config!$B$9:$B$29,0))),""),""))</f>
        <v/>
      </c>
      <c r="AC3059" s="19" t="str">
        <f>IF($B3059="","",IFERROR(INDEX(Config!$D$9:$D$29,MATCH($B3059,Config!$B$9:$B$29,0))&amp;"",""))</f>
        <v/>
      </c>
    </row>
    <row r="3060">
      <c r="R3060" s="20" t="str">
        <f>IF($B3060="","",IFERROR(IF(INDEX(Config!$D$9:$D$29,MATCH($B3060,Config!$B$9:$B$29,0))="Contrato",IF(INDEX(Config!$E$9:$E$29,MATCH($B3060,Config!$B$9:$B$29,0))="","",INDEX(Config!$E$9:$E$29,MATCH($B3060,Config!$B$9:$B$29,0))),""),""))</f>
        <v/>
      </c>
      <c r="AC3060" s="19" t="str">
        <f>IF($B3060="","",IFERROR(INDEX(Config!$D$9:$D$29,MATCH($B3060,Config!$B$9:$B$29,0))&amp;"",""))</f>
        <v/>
      </c>
    </row>
    <row r="3061">
      <c r="R3061" s="20" t="str">
        <f>IF($B3061="","",IFERROR(IF(INDEX(Config!$D$9:$D$29,MATCH($B3061,Config!$B$9:$B$29,0))="Contrato",IF(INDEX(Config!$E$9:$E$29,MATCH($B3061,Config!$B$9:$B$29,0))="","",INDEX(Config!$E$9:$E$29,MATCH($B3061,Config!$B$9:$B$29,0))),""),""))</f>
        <v/>
      </c>
      <c r="AC3061" s="19" t="str">
        <f>IF($B3061="","",IFERROR(INDEX(Config!$D$9:$D$29,MATCH($B3061,Config!$B$9:$B$29,0))&amp;"",""))</f>
        <v/>
      </c>
    </row>
    <row r="3062">
      <c r="R3062" s="20" t="str">
        <f>IF($B3062="","",IFERROR(IF(INDEX(Config!$D$9:$D$29,MATCH($B3062,Config!$B$9:$B$29,0))="Contrato",IF(INDEX(Config!$E$9:$E$29,MATCH($B3062,Config!$B$9:$B$29,0))="","",INDEX(Config!$E$9:$E$29,MATCH($B3062,Config!$B$9:$B$29,0))),""),""))</f>
        <v/>
      </c>
      <c r="AC3062" s="19" t="str">
        <f>IF($B3062="","",IFERROR(INDEX(Config!$D$9:$D$29,MATCH($B3062,Config!$B$9:$B$29,0))&amp;"",""))</f>
        <v/>
      </c>
    </row>
    <row r="3063">
      <c r="R3063" s="20" t="str">
        <f>IF($B3063="","",IFERROR(IF(INDEX(Config!$D$9:$D$29,MATCH($B3063,Config!$B$9:$B$29,0))="Contrato",IF(INDEX(Config!$E$9:$E$29,MATCH($B3063,Config!$B$9:$B$29,0))="","",INDEX(Config!$E$9:$E$29,MATCH($B3063,Config!$B$9:$B$29,0))),""),""))</f>
        <v/>
      </c>
      <c r="AC3063" s="19" t="str">
        <f>IF($B3063="","",IFERROR(INDEX(Config!$D$9:$D$29,MATCH($B3063,Config!$B$9:$B$29,0))&amp;"",""))</f>
        <v/>
      </c>
    </row>
    <row r="3064">
      <c r="R3064" s="20" t="str">
        <f>IF($B3064="","",IFERROR(IF(INDEX(Config!$D$9:$D$29,MATCH($B3064,Config!$B$9:$B$29,0))="Contrato",IF(INDEX(Config!$E$9:$E$29,MATCH($B3064,Config!$B$9:$B$29,0))="","",INDEX(Config!$E$9:$E$29,MATCH($B3064,Config!$B$9:$B$29,0))),""),""))</f>
        <v/>
      </c>
      <c r="AC3064" s="19" t="str">
        <f>IF($B3064="","",IFERROR(INDEX(Config!$D$9:$D$29,MATCH($B3064,Config!$B$9:$B$29,0))&amp;"",""))</f>
        <v/>
      </c>
    </row>
    <row r="3065">
      <c r="R3065" s="20" t="str">
        <f>IF($B3065="","",IFERROR(IF(INDEX(Config!$D$9:$D$29,MATCH($B3065,Config!$B$9:$B$29,0))="Contrato",IF(INDEX(Config!$E$9:$E$29,MATCH($B3065,Config!$B$9:$B$29,0))="","",INDEX(Config!$E$9:$E$29,MATCH($B3065,Config!$B$9:$B$29,0))),""),""))</f>
        <v/>
      </c>
      <c r="AC3065" s="19" t="str">
        <f>IF($B3065="","",IFERROR(INDEX(Config!$D$9:$D$29,MATCH($B3065,Config!$B$9:$B$29,0))&amp;"",""))</f>
        <v/>
      </c>
    </row>
    <row r="3066">
      <c r="R3066" s="20" t="str">
        <f>IF($B3066="","",IFERROR(IF(INDEX(Config!$D$9:$D$29,MATCH($B3066,Config!$B$9:$B$29,0))="Contrato",IF(INDEX(Config!$E$9:$E$29,MATCH($B3066,Config!$B$9:$B$29,0))="","",INDEX(Config!$E$9:$E$29,MATCH($B3066,Config!$B$9:$B$29,0))),""),""))</f>
        <v/>
      </c>
      <c r="AC3066" s="19" t="str">
        <f>IF($B3066="","",IFERROR(INDEX(Config!$D$9:$D$29,MATCH($B3066,Config!$B$9:$B$29,0))&amp;"",""))</f>
        <v/>
      </c>
    </row>
    <row r="3067">
      <c r="R3067" s="20" t="str">
        <f>IF($B3067="","",IFERROR(IF(INDEX(Config!$D$9:$D$29,MATCH($B3067,Config!$B$9:$B$29,0))="Contrato",IF(INDEX(Config!$E$9:$E$29,MATCH($B3067,Config!$B$9:$B$29,0))="","",INDEX(Config!$E$9:$E$29,MATCH($B3067,Config!$B$9:$B$29,0))),""),""))</f>
        <v/>
      </c>
      <c r="AC3067" s="19" t="str">
        <f>IF($B3067="","",IFERROR(INDEX(Config!$D$9:$D$29,MATCH($B3067,Config!$B$9:$B$29,0))&amp;"",""))</f>
        <v/>
      </c>
    </row>
    <row r="3068">
      <c r="R3068" s="20" t="str">
        <f>IF($B3068="","",IFERROR(IF(INDEX(Config!$D$9:$D$29,MATCH($B3068,Config!$B$9:$B$29,0))="Contrato",IF(INDEX(Config!$E$9:$E$29,MATCH($B3068,Config!$B$9:$B$29,0))="","",INDEX(Config!$E$9:$E$29,MATCH($B3068,Config!$B$9:$B$29,0))),""),""))</f>
        <v/>
      </c>
      <c r="AC3068" s="19" t="str">
        <f>IF($B3068="","",IFERROR(INDEX(Config!$D$9:$D$29,MATCH($B3068,Config!$B$9:$B$29,0))&amp;"",""))</f>
        <v/>
      </c>
    </row>
    <row r="3069">
      <c r="R3069" s="20" t="str">
        <f>IF($B3069="","",IFERROR(IF(INDEX(Config!$D$9:$D$29,MATCH($B3069,Config!$B$9:$B$29,0))="Contrato",IF(INDEX(Config!$E$9:$E$29,MATCH($B3069,Config!$B$9:$B$29,0))="","",INDEX(Config!$E$9:$E$29,MATCH($B3069,Config!$B$9:$B$29,0))),""),""))</f>
        <v/>
      </c>
      <c r="AC3069" s="19" t="str">
        <f>IF($B3069="","",IFERROR(INDEX(Config!$D$9:$D$29,MATCH($B3069,Config!$B$9:$B$29,0))&amp;"",""))</f>
        <v/>
      </c>
    </row>
    <row r="3070">
      <c r="R3070" s="20" t="str">
        <f>IF($B3070="","",IFERROR(IF(INDEX(Config!$D$9:$D$29,MATCH($B3070,Config!$B$9:$B$29,0))="Contrato",IF(INDEX(Config!$E$9:$E$29,MATCH($B3070,Config!$B$9:$B$29,0))="","",INDEX(Config!$E$9:$E$29,MATCH($B3070,Config!$B$9:$B$29,0))),""),""))</f>
        <v/>
      </c>
      <c r="AC3070" s="19" t="str">
        <f>IF($B3070="","",IFERROR(INDEX(Config!$D$9:$D$29,MATCH($B3070,Config!$B$9:$B$29,0))&amp;"",""))</f>
        <v/>
      </c>
    </row>
    <row r="3071">
      <c r="R3071" s="20" t="str">
        <f>IF($B3071="","",IFERROR(IF(INDEX(Config!$D$9:$D$29,MATCH($B3071,Config!$B$9:$B$29,0))="Contrato",IF(INDEX(Config!$E$9:$E$29,MATCH($B3071,Config!$B$9:$B$29,0))="","",INDEX(Config!$E$9:$E$29,MATCH($B3071,Config!$B$9:$B$29,0))),""),""))</f>
        <v/>
      </c>
      <c r="AC3071" s="19" t="str">
        <f>IF($B3071="","",IFERROR(INDEX(Config!$D$9:$D$29,MATCH($B3071,Config!$B$9:$B$29,0))&amp;"",""))</f>
        <v/>
      </c>
    </row>
    <row r="3072">
      <c r="R3072" s="20" t="str">
        <f>IF($B3072="","",IFERROR(IF(INDEX(Config!$D$9:$D$29,MATCH($B3072,Config!$B$9:$B$29,0))="Contrato",IF(INDEX(Config!$E$9:$E$29,MATCH($B3072,Config!$B$9:$B$29,0))="","",INDEX(Config!$E$9:$E$29,MATCH($B3072,Config!$B$9:$B$29,0))),""),""))</f>
        <v/>
      </c>
      <c r="AC3072" s="19" t="str">
        <f>IF($B3072="","",IFERROR(INDEX(Config!$D$9:$D$29,MATCH($B3072,Config!$B$9:$B$29,0))&amp;"",""))</f>
        <v/>
      </c>
    </row>
    <row r="3073">
      <c r="R3073" s="20" t="str">
        <f>IF($B3073="","",IFERROR(IF(INDEX(Config!$D$9:$D$29,MATCH($B3073,Config!$B$9:$B$29,0))="Contrato",IF(INDEX(Config!$E$9:$E$29,MATCH($B3073,Config!$B$9:$B$29,0))="","",INDEX(Config!$E$9:$E$29,MATCH($B3073,Config!$B$9:$B$29,0))),""),""))</f>
        <v/>
      </c>
      <c r="AC3073" s="19" t="str">
        <f>IF($B3073="","",IFERROR(INDEX(Config!$D$9:$D$29,MATCH($B3073,Config!$B$9:$B$29,0))&amp;"",""))</f>
        <v/>
      </c>
    </row>
    <row r="3074">
      <c r="R3074" s="20" t="str">
        <f>IF($B3074="","",IFERROR(IF(INDEX(Config!$D$9:$D$29,MATCH($B3074,Config!$B$9:$B$29,0))="Contrato",IF(INDEX(Config!$E$9:$E$29,MATCH($B3074,Config!$B$9:$B$29,0))="","",INDEX(Config!$E$9:$E$29,MATCH($B3074,Config!$B$9:$B$29,0))),""),""))</f>
        <v/>
      </c>
      <c r="AC3074" s="19" t="str">
        <f>IF($B3074="","",IFERROR(INDEX(Config!$D$9:$D$29,MATCH($B3074,Config!$B$9:$B$29,0))&amp;"",""))</f>
        <v/>
      </c>
    </row>
    <row r="3075">
      <c r="R3075" s="20" t="str">
        <f>IF($B3075="","",IFERROR(IF(INDEX(Config!$D$9:$D$29,MATCH($B3075,Config!$B$9:$B$29,0))="Contrato",IF(INDEX(Config!$E$9:$E$29,MATCH($B3075,Config!$B$9:$B$29,0))="","",INDEX(Config!$E$9:$E$29,MATCH($B3075,Config!$B$9:$B$29,0))),""),""))</f>
        <v/>
      </c>
      <c r="AC3075" s="19" t="str">
        <f>IF($B3075="","",IFERROR(INDEX(Config!$D$9:$D$29,MATCH($B3075,Config!$B$9:$B$29,0))&amp;"",""))</f>
        <v/>
      </c>
    </row>
    <row r="3076">
      <c r="R3076" s="20" t="str">
        <f>IF($B3076="","",IFERROR(IF(INDEX(Config!$D$9:$D$29,MATCH($B3076,Config!$B$9:$B$29,0))="Contrato",IF(INDEX(Config!$E$9:$E$29,MATCH($B3076,Config!$B$9:$B$29,0))="","",INDEX(Config!$E$9:$E$29,MATCH($B3076,Config!$B$9:$B$29,0))),""),""))</f>
        <v/>
      </c>
      <c r="AC3076" s="19" t="str">
        <f>IF($B3076="","",IFERROR(INDEX(Config!$D$9:$D$29,MATCH($B3076,Config!$B$9:$B$29,0))&amp;"",""))</f>
        <v/>
      </c>
    </row>
    <row r="3077">
      <c r="R3077" s="20" t="str">
        <f>IF($B3077="","",IFERROR(IF(INDEX(Config!$D$9:$D$29,MATCH($B3077,Config!$B$9:$B$29,0))="Contrato",IF(INDEX(Config!$E$9:$E$29,MATCH($B3077,Config!$B$9:$B$29,0))="","",INDEX(Config!$E$9:$E$29,MATCH($B3077,Config!$B$9:$B$29,0))),""),""))</f>
        <v/>
      </c>
      <c r="AC3077" s="19" t="str">
        <f>IF($B3077="","",IFERROR(INDEX(Config!$D$9:$D$29,MATCH($B3077,Config!$B$9:$B$29,0))&amp;"",""))</f>
        <v/>
      </c>
    </row>
    <row r="3078">
      <c r="R3078" s="20" t="str">
        <f>IF($B3078="","",IFERROR(IF(INDEX(Config!$D$9:$D$29,MATCH($B3078,Config!$B$9:$B$29,0))="Contrato",IF(INDEX(Config!$E$9:$E$29,MATCH($B3078,Config!$B$9:$B$29,0))="","",INDEX(Config!$E$9:$E$29,MATCH($B3078,Config!$B$9:$B$29,0))),""),""))</f>
        <v/>
      </c>
      <c r="AC3078" s="19" t="str">
        <f>IF($B3078="","",IFERROR(INDEX(Config!$D$9:$D$29,MATCH($B3078,Config!$B$9:$B$29,0))&amp;"",""))</f>
        <v/>
      </c>
    </row>
    <row r="3079">
      <c r="R3079" s="20" t="str">
        <f>IF($B3079="","",IFERROR(IF(INDEX(Config!$D$9:$D$29,MATCH($B3079,Config!$B$9:$B$29,0))="Contrato",IF(INDEX(Config!$E$9:$E$29,MATCH($B3079,Config!$B$9:$B$29,0))="","",INDEX(Config!$E$9:$E$29,MATCH($B3079,Config!$B$9:$B$29,0))),""),""))</f>
        <v/>
      </c>
      <c r="AC3079" s="19" t="str">
        <f>IF($B3079="","",IFERROR(INDEX(Config!$D$9:$D$29,MATCH($B3079,Config!$B$9:$B$29,0))&amp;"",""))</f>
        <v/>
      </c>
    </row>
    <row r="3080">
      <c r="R3080" s="20" t="str">
        <f>IF($B3080="","",IFERROR(IF(INDEX(Config!$D$9:$D$29,MATCH($B3080,Config!$B$9:$B$29,0))="Contrato",IF(INDEX(Config!$E$9:$E$29,MATCH($B3080,Config!$B$9:$B$29,0))="","",INDEX(Config!$E$9:$E$29,MATCH($B3080,Config!$B$9:$B$29,0))),""),""))</f>
        <v/>
      </c>
      <c r="AC3080" s="19" t="str">
        <f>IF($B3080="","",IFERROR(INDEX(Config!$D$9:$D$29,MATCH($B3080,Config!$B$9:$B$29,0))&amp;"",""))</f>
        <v/>
      </c>
    </row>
    <row r="3081">
      <c r="R3081" s="20" t="str">
        <f>IF($B3081="","",IFERROR(IF(INDEX(Config!$D$9:$D$29,MATCH($B3081,Config!$B$9:$B$29,0))="Contrato",IF(INDEX(Config!$E$9:$E$29,MATCH($B3081,Config!$B$9:$B$29,0))="","",INDEX(Config!$E$9:$E$29,MATCH($B3081,Config!$B$9:$B$29,0))),""),""))</f>
        <v/>
      </c>
      <c r="AC3081" s="19" t="str">
        <f>IF($B3081="","",IFERROR(INDEX(Config!$D$9:$D$29,MATCH($B3081,Config!$B$9:$B$29,0))&amp;"",""))</f>
        <v/>
      </c>
    </row>
    <row r="3082">
      <c r="R3082" s="20" t="str">
        <f>IF($B3082="","",IFERROR(IF(INDEX(Config!$D$9:$D$29,MATCH($B3082,Config!$B$9:$B$29,0))="Contrato",IF(INDEX(Config!$E$9:$E$29,MATCH($B3082,Config!$B$9:$B$29,0))="","",INDEX(Config!$E$9:$E$29,MATCH($B3082,Config!$B$9:$B$29,0))),""),""))</f>
        <v/>
      </c>
      <c r="AC3082" s="19" t="str">
        <f>IF($B3082="","",IFERROR(INDEX(Config!$D$9:$D$29,MATCH($B3082,Config!$B$9:$B$29,0))&amp;"",""))</f>
        <v/>
      </c>
    </row>
    <row r="3083">
      <c r="R3083" s="20" t="str">
        <f>IF($B3083="","",IFERROR(IF(INDEX(Config!$D$9:$D$29,MATCH($B3083,Config!$B$9:$B$29,0))="Contrato",IF(INDEX(Config!$E$9:$E$29,MATCH($B3083,Config!$B$9:$B$29,0))="","",INDEX(Config!$E$9:$E$29,MATCH($B3083,Config!$B$9:$B$29,0))),""),""))</f>
        <v/>
      </c>
      <c r="AC3083" s="19" t="str">
        <f>IF($B3083="","",IFERROR(INDEX(Config!$D$9:$D$29,MATCH($B3083,Config!$B$9:$B$29,0))&amp;"",""))</f>
        <v/>
      </c>
    </row>
    <row r="3084">
      <c r="R3084" s="20" t="str">
        <f>IF($B3084="","",IFERROR(IF(INDEX(Config!$D$9:$D$29,MATCH($B3084,Config!$B$9:$B$29,0))="Contrato",IF(INDEX(Config!$E$9:$E$29,MATCH($B3084,Config!$B$9:$B$29,0))="","",INDEX(Config!$E$9:$E$29,MATCH($B3084,Config!$B$9:$B$29,0))),""),""))</f>
        <v/>
      </c>
      <c r="AC3084" s="19" t="str">
        <f>IF($B3084="","",IFERROR(INDEX(Config!$D$9:$D$29,MATCH($B3084,Config!$B$9:$B$29,0))&amp;"",""))</f>
        <v/>
      </c>
    </row>
    <row r="3085">
      <c r="R3085" s="20" t="str">
        <f>IF($B3085="","",IFERROR(IF(INDEX(Config!$D$9:$D$29,MATCH($B3085,Config!$B$9:$B$29,0))="Contrato",IF(INDEX(Config!$E$9:$E$29,MATCH($B3085,Config!$B$9:$B$29,0))="","",INDEX(Config!$E$9:$E$29,MATCH($B3085,Config!$B$9:$B$29,0))),""),""))</f>
        <v/>
      </c>
      <c r="AC3085" s="19" t="str">
        <f>IF($B3085="","",IFERROR(INDEX(Config!$D$9:$D$29,MATCH($B3085,Config!$B$9:$B$29,0))&amp;"",""))</f>
        <v/>
      </c>
    </row>
    <row r="3086">
      <c r="R3086" s="20" t="str">
        <f>IF($B3086="","",IFERROR(IF(INDEX(Config!$D$9:$D$29,MATCH($B3086,Config!$B$9:$B$29,0))="Contrato",IF(INDEX(Config!$E$9:$E$29,MATCH($B3086,Config!$B$9:$B$29,0))="","",INDEX(Config!$E$9:$E$29,MATCH($B3086,Config!$B$9:$B$29,0))),""),""))</f>
        <v/>
      </c>
      <c r="AC3086" s="19" t="str">
        <f>IF($B3086="","",IFERROR(INDEX(Config!$D$9:$D$29,MATCH($B3086,Config!$B$9:$B$29,0))&amp;"",""))</f>
        <v/>
      </c>
    </row>
    <row r="3087">
      <c r="R3087" s="20" t="str">
        <f>IF($B3087="","",IFERROR(IF(INDEX(Config!$D$9:$D$29,MATCH($B3087,Config!$B$9:$B$29,0))="Contrato",IF(INDEX(Config!$E$9:$E$29,MATCH($B3087,Config!$B$9:$B$29,0))="","",INDEX(Config!$E$9:$E$29,MATCH($B3087,Config!$B$9:$B$29,0))),""),""))</f>
        <v/>
      </c>
      <c r="AC3087" s="19" t="str">
        <f>IF($B3087="","",IFERROR(INDEX(Config!$D$9:$D$29,MATCH($B3087,Config!$B$9:$B$29,0))&amp;"",""))</f>
        <v/>
      </c>
    </row>
    <row r="3088">
      <c r="R3088" s="20" t="str">
        <f>IF($B3088="","",IFERROR(IF(INDEX(Config!$D$9:$D$29,MATCH($B3088,Config!$B$9:$B$29,0))="Contrato",IF(INDEX(Config!$E$9:$E$29,MATCH($B3088,Config!$B$9:$B$29,0))="","",INDEX(Config!$E$9:$E$29,MATCH($B3088,Config!$B$9:$B$29,0))),""),""))</f>
        <v/>
      </c>
      <c r="AC3088" s="19" t="str">
        <f>IF($B3088="","",IFERROR(INDEX(Config!$D$9:$D$29,MATCH($B3088,Config!$B$9:$B$29,0))&amp;"",""))</f>
        <v/>
      </c>
    </row>
    <row r="3089">
      <c r="R3089" s="20" t="str">
        <f>IF($B3089="","",IFERROR(IF(INDEX(Config!$D$9:$D$29,MATCH($B3089,Config!$B$9:$B$29,0))="Contrato",IF(INDEX(Config!$E$9:$E$29,MATCH($B3089,Config!$B$9:$B$29,0))="","",INDEX(Config!$E$9:$E$29,MATCH($B3089,Config!$B$9:$B$29,0))),""),""))</f>
        <v/>
      </c>
      <c r="AC3089" s="19" t="str">
        <f>IF($B3089="","",IFERROR(INDEX(Config!$D$9:$D$29,MATCH($B3089,Config!$B$9:$B$29,0))&amp;"",""))</f>
        <v/>
      </c>
    </row>
    <row r="3090">
      <c r="R3090" s="20" t="str">
        <f>IF($B3090="","",IFERROR(IF(INDEX(Config!$D$9:$D$29,MATCH($B3090,Config!$B$9:$B$29,0))="Contrato",IF(INDEX(Config!$E$9:$E$29,MATCH($B3090,Config!$B$9:$B$29,0))="","",INDEX(Config!$E$9:$E$29,MATCH($B3090,Config!$B$9:$B$29,0))),""),""))</f>
        <v/>
      </c>
      <c r="AC3090" s="19" t="str">
        <f>IF($B3090="","",IFERROR(INDEX(Config!$D$9:$D$29,MATCH($B3090,Config!$B$9:$B$29,0))&amp;"",""))</f>
        <v/>
      </c>
    </row>
    <row r="3091">
      <c r="R3091" s="20" t="str">
        <f>IF($B3091="","",IFERROR(IF(INDEX(Config!$D$9:$D$29,MATCH($B3091,Config!$B$9:$B$29,0))="Contrato",IF(INDEX(Config!$E$9:$E$29,MATCH($B3091,Config!$B$9:$B$29,0))="","",INDEX(Config!$E$9:$E$29,MATCH($B3091,Config!$B$9:$B$29,0))),""),""))</f>
        <v/>
      </c>
      <c r="AC3091" s="19" t="str">
        <f>IF($B3091="","",IFERROR(INDEX(Config!$D$9:$D$29,MATCH($B3091,Config!$B$9:$B$29,0))&amp;"",""))</f>
        <v/>
      </c>
    </row>
    <row r="3092">
      <c r="R3092" s="20" t="str">
        <f>IF($B3092="","",IFERROR(IF(INDEX(Config!$D$9:$D$29,MATCH($B3092,Config!$B$9:$B$29,0))="Contrato",IF(INDEX(Config!$E$9:$E$29,MATCH($B3092,Config!$B$9:$B$29,0))="","",INDEX(Config!$E$9:$E$29,MATCH($B3092,Config!$B$9:$B$29,0))),""),""))</f>
        <v/>
      </c>
      <c r="AC3092" s="19" t="str">
        <f>IF($B3092="","",IFERROR(INDEX(Config!$D$9:$D$29,MATCH($B3092,Config!$B$9:$B$29,0))&amp;"",""))</f>
        <v/>
      </c>
    </row>
    <row r="3093">
      <c r="R3093" s="20" t="str">
        <f>IF($B3093="","",IFERROR(IF(INDEX(Config!$D$9:$D$29,MATCH($B3093,Config!$B$9:$B$29,0))="Contrato",IF(INDEX(Config!$E$9:$E$29,MATCH($B3093,Config!$B$9:$B$29,0))="","",INDEX(Config!$E$9:$E$29,MATCH($B3093,Config!$B$9:$B$29,0))),""),""))</f>
        <v/>
      </c>
      <c r="AC3093" s="19" t="str">
        <f>IF($B3093="","",IFERROR(INDEX(Config!$D$9:$D$29,MATCH($B3093,Config!$B$9:$B$29,0))&amp;"",""))</f>
        <v/>
      </c>
    </row>
    <row r="3094">
      <c r="R3094" s="20" t="str">
        <f>IF($B3094="","",IFERROR(IF(INDEX(Config!$D$9:$D$29,MATCH($B3094,Config!$B$9:$B$29,0))="Contrato",IF(INDEX(Config!$E$9:$E$29,MATCH($B3094,Config!$B$9:$B$29,0))="","",INDEX(Config!$E$9:$E$29,MATCH($B3094,Config!$B$9:$B$29,0))),""),""))</f>
        <v/>
      </c>
      <c r="AC3094" s="19" t="str">
        <f>IF($B3094="","",IFERROR(INDEX(Config!$D$9:$D$29,MATCH($B3094,Config!$B$9:$B$29,0))&amp;"",""))</f>
        <v/>
      </c>
    </row>
    <row r="3095">
      <c r="R3095" s="20" t="str">
        <f>IF($B3095="","",IFERROR(IF(INDEX(Config!$D$9:$D$29,MATCH($B3095,Config!$B$9:$B$29,0))="Contrato",IF(INDEX(Config!$E$9:$E$29,MATCH($B3095,Config!$B$9:$B$29,0))="","",INDEX(Config!$E$9:$E$29,MATCH($B3095,Config!$B$9:$B$29,0))),""),""))</f>
        <v/>
      </c>
      <c r="AC3095" s="19" t="str">
        <f>IF($B3095="","",IFERROR(INDEX(Config!$D$9:$D$29,MATCH($B3095,Config!$B$9:$B$29,0))&amp;"",""))</f>
        <v/>
      </c>
    </row>
    <row r="3096">
      <c r="R3096" s="20" t="str">
        <f>IF($B3096="","",IFERROR(IF(INDEX(Config!$D$9:$D$29,MATCH($B3096,Config!$B$9:$B$29,0))="Contrato",IF(INDEX(Config!$E$9:$E$29,MATCH($B3096,Config!$B$9:$B$29,0))="","",INDEX(Config!$E$9:$E$29,MATCH($B3096,Config!$B$9:$B$29,0))),""),""))</f>
        <v/>
      </c>
      <c r="AC3096" s="19" t="str">
        <f>IF($B3096="","",IFERROR(INDEX(Config!$D$9:$D$29,MATCH($B3096,Config!$B$9:$B$29,0))&amp;"",""))</f>
        <v/>
      </c>
    </row>
    <row r="3097">
      <c r="R3097" s="20" t="str">
        <f>IF($B3097="","",IFERROR(IF(INDEX(Config!$D$9:$D$29,MATCH($B3097,Config!$B$9:$B$29,0))="Contrato",IF(INDEX(Config!$E$9:$E$29,MATCH($B3097,Config!$B$9:$B$29,0))="","",INDEX(Config!$E$9:$E$29,MATCH($B3097,Config!$B$9:$B$29,0))),""),""))</f>
        <v/>
      </c>
      <c r="AC3097" s="19" t="str">
        <f>IF($B3097="","",IFERROR(INDEX(Config!$D$9:$D$29,MATCH($B3097,Config!$B$9:$B$29,0))&amp;"",""))</f>
        <v/>
      </c>
    </row>
    <row r="3098">
      <c r="R3098" s="20" t="str">
        <f>IF($B3098="","",IFERROR(IF(INDEX(Config!$D$9:$D$29,MATCH($B3098,Config!$B$9:$B$29,0))="Contrato",IF(INDEX(Config!$E$9:$E$29,MATCH($B3098,Config!$B$9:$B$29,0))="","",INDEX(Config!$E$9:$E$29,MATCH($B3098,Config!$B$9:$B$29,0))),""),""))</f>
        <v/>
      </c>
      <c r="AC3098" s="19" t="str">
        <f>IF($B3098="","",IFERROR(INDEX(Config!$D$9:$D$29,MATCH($B3098,Config!$B$9:$B$29,0))&amp;"",""))</f>
        <v/>
      </c>
    </row>
    <row r="3099">
      <c r="R3099" s="20" t="str">
        <f>IF($B3099="","",IFERROR(IF(INDEX(Config!$D$9:$D$29,MATCH($B3099,Config!$B$9:$B$29,0))="Contrato",IF(INDEX(Config!$E$9:$E$29,MATCH($B3099,Config!$B$9:$B$29,0))="","",INDEX(Config!$E$9:$E$29,MATCH($B3099,Config!$B$9:$B$29,0))),""),""))</f>
        <v/>
      </c>
      <c r="AC3099" s="19" t="str">
        <f>IF($B3099="","",IFERROR(INDEX(Config!$D$9:$D$29,MATCH($B3099,Config!$B$9:$B$29,0))&amp;"",""))</f>
        <v/>
      </c>
    </row>
    <row r="3100">
      <c r="R3100" s="20" t="str">
        <f>IF($B3100="","",IFERROR(IF(INDEX(Config!$D$9:$D$29,MATCH($B3100,Config!$B$9:$B$29,0))="Contrato",IF(INDEX(Config!$E$9:$E$29,MATCH($B3100,Config!$B$9:$B$29,0))="","",INDEX(Config!$E$9:$E$29,MATCH($B3100,Config!$B$9:$B$29,0))),""),""))</f>
        <v/>
      </c>
      <c r="AC3100" s="19" t="str">
        <f>IF($B3100="","",IFERROR(INDEX(Config!$D$9:$D$29,MATCH($B3100,Config!$B$9:$B$29,0))&amp;"",""))</f>
        <v/>
      </c>
    </row>
    <row r="3101">
      <c r="R3101" s="20" t="str">
        <f>IF($B3101="","",IFERROR(IF(INDEX(Config!$D$9:$D$29,MATCH($B3101,Config!$B$9:$B$29,0))="Contrato",IF(INDEX(Config!$E$9:$E$29,MATCH($B3101,Config!$B$9:$B$29,0))="","",INDEX(Config!$E$9:$E$29,MATCH($B3101,Config!$B$9:$B$29,0))),""),""))</f>
        <v/>
      </c>
      <c r="AC3101" s="19" t="str">
        <f>IF($B3101="","",IFERROR(INDEX(Config!$D$9:$D$29,MATCH($B3101,Config!$B$9:$B$29,0))&amp;"",""))</f>
        <v/>
      </c>
    </row>
    <row r="3102">
      <c r="R3102" s="20" t="str">
        <f>IF($B3102="","",IFERROR(IF(INDEX(Config!$D$9:$D$29,MATCH($B3102,Config!$B$9:$B$29,0))="Contrato",IF(INDEX(Config!$E$9:$E$29,MATCH($B3102,Config!$B$9:$B$29,0))="","",INDEX(Config!$E$9:$E$29,MATCH($B3102,Config!$B$9:$B$29,0))),""),""))</f>
        <v/>
      </c>
      <c r="AC3102" s="19" t="str">
        <f>IF($B3102="","",IFERROR(INDEX(Config!$D$9:$D$29,MATCH($B3102,Config!$B$9:$B$29,0))&amp;"",""))</f>
        <v/>
      </c>
    </row>
    <row r="3103">
      <c r="R3103" s="20" t="str">
        <f>IF($B3103="","",IFERROR(IF(INDEX(Config!$D$9:$D$29,MATCH($B3103,Config!$B$9:$B$29,0))="Contrato",IF(INDEX(Config!$E$9:$E$29,MATCH($B3103,Config!$B$9:$B$29,0))="","",INDEX(Config!$E$9:$E$29,MATCH($B3103,Config!$B$9:$B$29,0))),""),""))</f>
        <v/>
      </c>
      <c r="AC3103" s="19" t="str">
        <f>IF($B3103="","",IFERROR(INDEX(Config!$D$9:$D$29,MATCH($B3103,Config!$B$9:$B$29,0))&amp;"",""))</f>
        <v/>
      </c>
    </row>
    <row r="3104">
      <c r="R3104" s="20" t="str">
        <f>IF($B3104="","",IFERROR(IF(INDEX(Config!$D$9:$D$29,MATCH($B3104,Config!$B$9:$B$29,0))="Contrato",IF(INDEX(Config!$E$9:$E$29,MATCH($B3104,Config!$B$9:$B$29,0))="","",INDEX(Config!$E$9:$E$29,MATCH($B3104,Config!$B$9:$B$29,0))),""),""))</f>
        <v/>
      </c>
      <c r="AC3104" s="19" t="str">
        <f>IF($B3104="","",IFERROR(INDEX(Config!$D$9:$D$29,MATCH($B3104,Config!$B$9:$B$29,0))&amp;"",""))</f>
        <v/>
      </c>
    </row>
    <row r="3105">
      <c r="R3105" s="20" t="str">
        <f>IF($B3105="","",IFERROR(IF(INDEX(Config!$D$9:$D$29,MATCH($B3105,Config!$B$9:$B$29,0))="Contrato",IF(INDEX(Config!$E$9:$E$29,MATCH($B3105,Config!$B$9:$B$29,0))="","",INDEX(Config!$E$9:$E$29,MATCH($B3105,Config!$B$9:$B$29,0))),""),""))</f>
        <v/>
      </c>
      <c r="AC3105" s="19" t="str">
        <f>IF($B3105="","",IFERROR(INDEX(Config!$D$9:$D$29,MATCH($B3105,Config!$B$9:$B$29,0))&amp;"",""))</f>
        <v/>
      </c>
    </row>
    <row r="3106">
      <c r="R3106" s="20" t="str">
        <f>IF($B3106="","",IFERROR(IF(INDEX(Config!$D$9:$D$29,MATCH($B3106,Config!$B$9:$B$29,0))="Contrato",IF(INDEX(Config!$E$9:$E$29,MATCH($B3106,Config!$B$9:$B$29,0))="","",INDEX(Config!$E$9:$E$29,MATCH($B3106,Config!$B$9:$B$29,0))),""),""))</f>
        <v/>
      </c>
      <c r="AC3106" s="19" t="str">
        <f>IF($B3106="","",IFERROR(INDEX(Config!$D$9:$D$29,MATCH($B3106,Config!$B$9:$B$29,0))&amp;"",""))</f>
        <v/>
      </c>
    </row>
    <row r="3107">
      <c r="R3107" s="20" t="str">
        <f>IF($B3107="","",IFERROR(IF(INDEX(Config!$D$9:$D$29,MATCH($B3107,Config!$B$9:$B$29,0))="Contrato",IF(INDEX(Config!$E$9:$E$29,MATCH($B3107,Config!$B$9:$B$29,0))="","",INDEX(Config!$E$9:$E$29,MATCH($B3107,Config!$B$9:$B$29,0))),""),""))</f>
        <v/>
      </c>
      <c r="AC3107" s="19" t="str">
        <f>IF($B3107="","",IFERROR(INDEX(Config!$D$9:$D$29,MATCH($B3107,Config!$B$9:$B$29,0))&amp;"",""))</f>
        <v/>
      </c>
    </row>
    <row r="3108">
      <c r="R3108" s="20" t="str">
        <f>IF($B3108="","",IFERROR(IF(INDEX(Config!$D$9:$D$29,MATCH($B3108,Config!$B$9:$B$29,0))="Contrato",IF(INDEX(Config!$E$9:$E$29,MATCH($B3108,Config!$B$9:$B$29,0))="","",INDEX(Config!$E$9:$E$29,MATCH($B3108,Config!$B$9:$B$29,0))),""),""))</f>
        <v/>
      </c>
      <c r="AC3108" s="19" t="str">
        <f>IF($B3108="","",IFERROR(INDEX(Config!$D$9:$D$29,MATCH($B3108,Config!$B$9:$B$29,0))&amp;"",""))</f>
        <v/>
      </c>
    </row>
    <row r="3109">
      <c r="R3109" s="20" t="str">
        <f>IF($B3109="","",IFERROR(IF(INDEX(Config!$D$9:$D$29,MATCH($B3109,Config!$B$9:$B$29,0))="Contrato",IF(INDEX(Config!$E$9:$E$29,MATCH($B3109,Config!$B$9:$B$29,0))="","",INDEX(Config!$E$9:$E$29,MATCH($B3109,Config!$B$9:$B$29,0))),""),""))</f>
        <v/>
      </c>
      <c r="AC3109" s="19" t="str">
        <f>IF($B3109="","",IFERROR(INDEX(Config!$D$9:$D$29,MATCH($B3109,Config!$B$9:$B$29,0))&amp;"",""))</f>
        <v/>
      </c>
    </row>
    <row r="3110">
      <c r="R3110" s="20" t="str">
        <f>IF($B3110="","",IFERROR(IF(INDEX(Config!$D$9:$D$29,MATCH($B3110,Config!$B$9:$B$29,0))="Contrato",IF(INDEX(Config!$E$9:$E$29,MATCH($B3110,Config!$B$9:$B$29,0))="","",INDEX(Config!$E$9:$E$29,MATCH($B3110,Config!$B$9:$B$29,0))),""),""))</f>
        <v/>
      </c>
      <c r="AC3110" s="19" t="str">
        <f>IF($B3110="","",IFERROR(INDEX(Config!$D$9:$D$29,MATCH($B3110,Config!$B$9:$B$29,0))&amp;"",""))</f>
        <v/>
      </c>
    </row>
    <row r="3111">
      <c r="R3111" s="20" t="str">
        <f>IF($B3111="","",IFERROR(IF(INDEX(Config!$D$9:$D$29,MATCH($B3111,Config!$B$9:$B$29,0))="Contrato",IF(INDEX(Config!$E$9:$E$29,MATCH($B3111,Config!$B$9:$B$29,0))="","",INDEX(Config!$E$9:$E$29,MATCH($B3111,Config!$B$9:$B$29,0))),""),""))</f>
        <v/>
      </c>
      <c r="AC3111" s="19" t="str">
        <f>IF($B3111="","",IFERROR(INDEX(Config!$D$9:$D$29,MATCH($B3111,Config!$B$9:$B$29,0))&amp;"",""))</f>
        <v/>
      </c>
    </row>
    <row r="3112">
      <c r="R3112" s="20" t="str">
        <f>IF($B3112="","",IFERROR(IF(INDEX(Config!$D$9:$D$29,MATCH($B3112,Config!$B$9:$B$29,0))="Contrato",IF(INDEX(Config!$E$9:$E$29,MATCH($B3112,Config!$B$9:$B$29,0))="","",INDEX(Config!$E$9:$E$29,MATCH($B3112,Config!$B$9:$B$29,0))),""),""))</f>
        <v/>
      </c>
      <c r="AC3112" s="19" t="str">
        <f>IF($B3112="","",IFERROR(INDEX(Config!$D$9:$D$29,MATCH($B3112,Config!$B$9:$B$29,0))&amp;"",""))</f>
        <v/>
      </c>
    </row>
    <row r="3113">
      <c r="R3113" s="20" t="str">
        <f>IF($B3113="","",IFERROR(IF(INDEX(Config!$D$9:$D$29,MATCH($B3113,Config!$B$9:$B$29,0))="Contrato",IF(INDEX(Config!$E$9:$E$29,MATCH($B3113,Config!$B$9:$B$29,0))="","",INDEX(Config!$E$9:$E$29,MATCH($B3113,Config!$B$9:$B$29,0))),""),""))</f>
        <v/>
      </c>
      <c r="AC3113" s="19" t="str">
        <f>IF($B3113="","",IFERROR(INDEX(Config!$D$9:$D$29,MATCH($B3113,Config!$B$9:$B$29,0))&amp;"",""))</f>
        <v/>
      </c>
    </row>
    <row r="3114">
      <c r="R3114" s="20" t="str">
        <f>IF($B3114="","",IFERROR(IF(INDEX(Config!$D$9:$D$29,MATCH($B3114,Config!$B$9:$B$29,0))="Contrato",IF(INDEX(Config!$E$9:$E$29,MATCH($B3114,Config!$B$9:$B$29,0))="","",INDEX(Config!$E$9:$E$29,MATCH($B3114,Config!$B$9:$B$29,0))),""),""))</f>
        <v/>
      </c>
      <c r="AC3114" s="19" t="str">
        <f>IF($B3114="","",IFERROR(INDEX(Config!$D$9:$D$29,MATCH($B3114,Config!$B$9:$B$29,0))&amp;"",""))</f>
        <v/>
      </c>
    </row>
    <row r="3115">
      <c r="R3115" s="20" t="str">
        <f>IF($B3115="","",IFERROR(IF(INDEX(Config!$D$9:$D$29,MATCH($B3115,Config!$B$9:$B$29,0))="Contrato",IF(INDEX(Config!$E$9:$E$29,MATCH($B3115,Config!$B$9:$B$29,0))="","",INDEX(Config!$E$9:$E$29,MATCH($B3115,Config!$B$9:$B$29,0))),""),""))</f>
        <v/>
      </c>
      <c r="AC3115" s="19" t="str">
        <f>IF($B3115="","",IFERROR(INDEX(Config!$D$9:$D$29,MATCH($B3115,Config!$B$9:$B$29,0))&amp;"",""))</f>
        <v/>
      </c>
    </row>
    <row r="3116">
      <c r="R3116" s="20" t="str">
        <f>IF($B3116="","",IFERROR(IF(INDEX(Config!$D$9:$D$29,MATCH($B3116,Config!$B$9:$B$29,0))="Contrato",IF(INDEX(Config!$E$9:$E$29,MATCH($B3116,Config!$B$9:$B$29,0))="","",INDEX(Config!$E$9:$E$29,MATCH($B3116,Config!$B$9:$B$29,0))),""),""))</f>
        <v/>
      </c>
      <c r="AC3116" s="19" t="str">
        <f>IF($B3116="","",IFERROR(INDEX(Config!$D$9:$D$29,MATCH($B3116,Config!$B$9:$B$29,0))&amp;"",""))</f>
        <v/>
      </c>
    </row>
    <row r="3117">
      <c r="R3117" s="20" t="str">
        <f>IF($B3117="","",IFERROR(IF(INDEX(Config!$D$9:$D$29,MATCH($B3117,Config!$B$9:$B$29,0))="Contrato",IF(INDEX(Config!$E$9:$E$29,MATCH($B3117,Config!$B$9:$B$29,0))="","",INDEX(Config!$E$9:$E$29,MATCH($B3117,Config!$B$9:$B$29,0))),""),""))</f>
        <v/>
      </c>
      <c r="AC3117" s="19" t="str">
        <f>IF($B3117="","",IFERROR(INDEX(Config!$D$9:$D$29,MATCH($B3117,Config!$B$9:$B$29,0))&amp;"",""))</f>
        <v/>
      </c>
    </row>
    <row r="3118">
      <c r="R3118" s="20" t="str">
        <f>IF($B3118="","",IFERROR(IF(INDEX(Config!$D$9:$D$29,MATCH($B3118,Config!$B$9:$B$29,0))="Contrato",IF(INDEX(Config!$E$9:$E$29,MATCH($B3118,Config!$B$9:$B$29,0))="","",INDEX(Config!$E$9:$E$29,MATCH($B3118,Config!$B$9:$B$29,0))),""),""))</f>
        <v/>
      </c>
      <c r="AC3118" s="19" t="str">
        <f>IF($B3118="","",IFERROR(INDEX(Config!$D$9:$D$29,MATCH($B3118,Config!$B$9:$B$29,0))&amp;"",""))</f>
        <v/>
      </c>
    </row>
    <row r="3119">
      <c r="R3119" s="20" t="str">
        <f>IF($B3119="","",IFERROR(IF(INDEX(Config!$D$9:$D$29,MATCH($B3119,Config!$B$9:$B$29,0))="Contrato",IF(INDEX(Config!$E$9:$E$29,MATCH($B3119,Config!$B$9:$B$29,0))="","",INDEX(Config!$E$9:$E$29,MATCH($B3119,Config!$B$9:$B$29,0))),""),""))</f>
        <v/>
      </c>
      <c r="AC3119" s="19" t="str">
        <f>IF($B3119="","",IFERROR(INDEX(Config!$D$9:$D$29,MATCH($B3119,Config!$B$9:$B$29,0))&amp;"",""))</f>
        <v/>
      </c>
    </row>
    <row r="3120">
      <c r="R3120" s="20" t="str">
        <f>IF($B3120="","",IFERROR(IF(INDEX(Config!$D$9:$D$29,MATCH($B3120,Config!$B$9:$B$29,0))="Contrato",IF(INDEX(Config!$E$9:$E$29,MATCH($B3120,Config!$B$9:$B$29,0))="","",INDEX(Config!$E$9:$E$29,MATCH($B3120,Config!$B$9:$B$29,0))),""),""))</f>
        <v/>
      </c>
      <c r="AC3120" s="19" t="str">
        <f>IF($B3120="","",IFERROR(INDEX(Config!$D$9:$D$29,MATCH($B3120,Config!$B$9:$B$29,0))&amp;"",""))</f>
        <v/>
      </c>
    </row>
    <row r="3121">
      <c r="R3121" s="20" t="str">
        <f>IF($B3121="","",IFERROR(IF(INDEX(Config!$D$9:$D$29,MATCH($B3121,Config!$B$9:$B$29,0))="Contrato",IF(INDEX(Config!$E$9:$E$29,MATCH($B3121,Config!$B$9:$B$29,0))="","",INDEX(Config!$E$9:$E$29,MATCH($B3121,Config!$B$9:$B$29,0))),""),""))</f>
        <v/>
      </c>
      <c r="AC3121" s="19" t="str">
        <f>IF($B3121="","",IFERROR(INDEX(Config!$D$9:$D$29,MATCH($B3121,Config!$B$9:$B$29,0))&amp;"",""))</f>
        <v/>
      </c>
    </row>
    <row r="3122">
      <c r="R3122" s="20" t="str">
        <f>IF($B3122="","",IFERROR(IF(INDEX(Config!$D$9:$D$29,MATCH($B3122,Config!$B$9:$B$29,0))="Contrato",IF(INDEX(Config!$E$9:$E$29,MATCH($B3122,Config!$B$9:$B$29,0))="","",INDEX(Config!$E$9:$E$29,MATCH($B3122,Config!$B$9:$B$29,0))),""),""))</f>
        <v/>
      </c>
      <c r="AC3122" s="19" t="str">
        <f>IF($B3122="","",IFERROR(INDEX(Config!$D$9:$D$29,MATCH($B3122,Config!$B$9:$B$29,0))&amp;"",""))</f>
        <v/>
      </c>
    </row>
    <row r="3123">
      <c r="R3123" s="20" t="str">
        <f>IF($B3123="","",IFERROR(IF(INDEX(Config!$D$9:$D$29,MATCH($B3123,Config!$B$9:$B$29,0))="Contrato",IF(INDEX(Config!$E$9:$E$29,MATCH($B3123,Config!$B$9:$B$29,0))="","",INDEX(Config!$E$9:$E$29,MATCH($B3123,Config!$B$9:$B$29,0))),""),""))</f>
        <v/>
      </c>
      <c r="AC3123" s="19" t="str">
        <f>IF($B3123="","",IFERROR(INDEX(Config!$D$9:$D$29,MATCH($B3123,Config!$B$9:$B$29,0))&amp;"",""))</f>
        <v/>
      </c>
    </row>
    <row r="3124">
      <c r="R3124" s="20" t="str">
        <f>IF($B3124="","",IFERROR(IF(INDEX(Config!$D$9:$D$29,MATCH($B3124,Config!$B$9:$B$29,0))="Contrato",IF(INDEX(Config!$E$9:$E$29,MATCH($B3124,Config!$B$9:$B$29,0))="","",INDEX(Config!$E$9:$E$29,MATCH($B3124,Config!$B$9:$B$29,0))),""),""))</f>
        <v/>
      </c>
      <c r="AC3124" s="19" t="str">
        <f>IF($B3124="","",IFERROR(INDEX(Config!$D$9:$D$29,MATCH($B3124,Config!$B$9:$B$29,0))&amp;"",""))</f>
        <v/>
      </c>
    </row>
    <row r="3125">
      <c r="R3125" s="20" t="str">
        <f>IF($B3125="","",IFERROR(IF(INDEX(Config!$D$9:$D$29,MATCH($B3125,Config!$B$9:$B$29,0))="Contrato",IF(INDEX(Config!$E$9:$E$29,MATCH($B3125,Config!$B$9:$B$29,0))="","",INDEX(Config!$E$9:$E$29,MATCH($B3125,Config!$B$9:$B$29,0))),""),""))</f>
        <v/>
      </c>
      <c r="AC3125" s="19" t="str">
        <f>IF($B3125="","",IFERROR(INDEX(Config!$D$9:$D$29,MATCH($B3125,Config!$B$9:$B$29,0))&amp;"",""))</f>
        <v/>
      </c>
    </row>
    <row r="3126">
      <c r="R3126" s="20" t="str">
        <f>IF($B3126="","",IFERROR(IF(INDEX(Config!$D$9:$D$29,MATCH($B3126,Config!$B$9:$B$29,0))="Contrato",IF(INDEX(Config!$E$9:$E$29,MATCH($B3126,Config!$B$9:$B$29,0))="","",INDEX(Config!$E$9:$E$29,MATCH($B3126,Config!$B$9:$B$29,0))),""),""))</f>
        <v/>
      </c>
      <c r="AC3126" s="19" t="str">
        <f>IF($B3126="","",IFERROR(INDEX(Config!$D$9:$D$29,MATCH($B3126,Config!$B$9:$B$29,0))&amp;"",""))</f>
        <v/>
      </c>
    </row>
    <row r="3127">
      <c r="R3127" s="20" t="str">
        <f>IF($B3127="","",IFERROR(IF(INDEX(Config!$D$9:$D$29,MATCH($B3127,Config!$B$9:$B$29,0))="Contrato",IF(INDEX(Config!$E$9:$E$29,MATCH($B3127,Config!$B$9:$B$29,0))="","",INDEX(Config!$E$9:$E$29,MATCH($B3127,Config!$B$9:$B$29,0))),""),""))</f>
        <v/>
      </c>
      <c r="AC3127" s="19" t="str">
        <f>IF($B3127="","",IFERROR(INDEX(Config!$D$9:$D$29,MATCH($B3127,Config!$B$9:$B$29,0))&amp;"",""))</f>
        <v/>
      </c>
    </row>
    <row r="3128">
      <c r="R3128" s="20" t="str">
        <f>IF($B3128="","",IFERROR(IF(INDEX(Config!$D$9:$D$29,MATCH($B3128,Config!$B$9:$B$29,0))="Contrato",IF(INDEX(Config!$E$9:$E$29,MATCH($B3128,Config!$B$9:$B$29,0))="","",INDEX(Config!$E$9:$E$29,MATCH($B3128,Config!$B$9:$B$29,0))),""),""))</f>
        <v/>
      </c>
      <c r="AC3128" s="19" t="str">
        <f>IF($B3128="","",IFERROR(INDEX(Config!$D$9:$D$29,MATCH($B3128,Config!$B$9:$B$29,0))&amp;"",""))</f>
        <v/>
      </c>
    </row>
    <row r="3129">
      <c r="R3129" s="20" t="str">
        <f>IF($B3129="","",IFERROR(IF(INDEX(Config!$D$9:$D$29,MATCH($B3129,Config!$B$9:$B$29,0))="Contrato",IF(INDEX(Config!$E$9:$E$29,MATCH($B3129,Config!$B$9:$B$29,0))="","",INDEX(Config!$E$9:$E$29,MATCH($B3129,Config!$B$9:$B$29,0))),""),""))</f>
        <v/>
      </c>
      <c r="AC3129" s="19" t="str">
        <f>IF($B3129="","",IFERROR(INDEX(Config!$D$9:$D$29,MATCH($B3129,Config!$B$9:$B$29,0))&amp;"",""))</f>
        <v/>
      </c>
    </row>
    <row r="3130">
      <c r="R3130" s="20" t="str">
        <f>IF($B3130="","",IFERROR(IF(INDEX(Config!$D$9:$D$29,MATCH($B3130,Config!$B$9:$B$29,0))="Contrato",IF(INDEX(Config!$E$9:$E$29,MATCH($B3130,Config!$B$9:$B$29,0))="","",INDEX(Config!$E$9:$E$29,MATCH($B3130,Config!$B$9:$B$29,0))),""),""))</f>
        <v/>
      </c>
      <c r="AC3130" s="19" t="str">
        <f>IF($B3130="","",IFERROR(INDEX(Config!$D$9:$D$29,MATCH($B3130,Config!$B$9:$B$29,0))&amp;"",""))</f>
        <v/>
      </c>
    </row>
    <row r="3131">
      <c r="R3131" s="20" t="str">
        <f>IF($B3131="","",IFERROR(IF(INDEX(Config!$D$9:$D$29,MATCH($B3131,Config!$B$9:$B$29,0))="Contrato",IF(INDEX(Config!$E$9:$E$29,MATCH($B3131,Config!$B$9:$B$29,0))="","",INDEX(Config!$E$9:$E$29,MATCH($B3131,Config!$B$9:$B$29,0))),""),""))</f>
        <v/>
      </c>
      <c r="AC3131" s="19" t="str">
        <f>IF($B3131="","",IFERROR(INDEX(Config!$D$9:$D$29,MATCH($B3131,Config!$B$9:$B$29,0))&amp;"",""))</f>
        <v/>
      </c>
    </row>
    <row r="3132">
      <c r="R3132" s="20" t="str">
        <f>IF($B3132="","",IFERROR(IF(INDEX(Config!$D$9:$D$29,MATCH($B3132,Config!$B$9:$B$29,0))="Contrato",IF(INDEX(Config!$E$9:$E$29,MATCH($B3132,Config!$B$9:$B$29,0))="","",INDEX(Config!$E$9:$E$29,MATCH($B3132,Config!$B$9:$B$29,0))),""),""))</f>
        <v/>
      </c>
      <c r="AC3132" s="19" t="str">
        <f>IF($B3132="","",IFERROR(INDEX(Config!$D$9:$D$29,MATCH($B3132,Config!$B$9:$B$29,0))&amp;"",""))</f>
        <v/>
      </c>
    </row>
    <row r="3133">
      <c r="R3133" s="20" t="str">
        <f>IF($B3133="","",IFERROR(IF(INDEX(Config!$D$9:$D$29,MATCH($B3133,Config!$B$9:$B$29,0))="Contrato",IF(INDEX(Config!$E$9:$E$29,MATCH($B3133,Config!$B$9:$B$29,0))="","",INDEX(Config!$E$9:$E$29,MATCH($B3133,Config!$B$9:$B$29,0))),""),""))</f>
        <v/>
      </c>
      <c r="AC3133" s="19" t="str">
        <f>IF($B3133="","",IFERROR(INDEX(Config!$D$9:$D$29,MATCH($B3133,Config!$B$9:$B$29,0))&amp;"",""))</f>
        <v/>
      </c>
    </row>
    <row r="3134">
      <c r="R3134" s="20" t="str">
        <f>IF($B3134="","",IFERROR(IF(INDEX(Config!$D$9:$D$29,MATCH($B3134,Config!$B$9:$B$29,0))="Contrato",IF(INDEX(Config!$E$9:$E$29,MATCH($B3134,Config!$B$9:$B$29,0))="","",INDEX(Config!$E$9:$E$29,MATCH($B3134,Config!$B$9:$B$29,0))),""),""))</f>
        <v/>
      </c>
      <c r="AC3134" s="19" t="str">
        <f>IF($B3134="","",IFERROR(INDEX(Config!$D$9:$D$29,MATCH($B3134,Config!$B$9:$B$29,0))&amp;"",""))</f>
        <v/>
      </c>
    </row>
    <row r="3135">
      <c r="R3135" s="20" t="str">
        <f>IF($B3135="","",IFERROR(IF(INDEX(Config!$D$9:$D$29,MATCH($B3135,Config!$B$9:$B$29,0))="Contrato",IF(INDEX(Config!$E$9:$E$29,MATCH($B3135,Config!$B$9:$B$29,0))="","",INDEX(Config!$E$9:$E$29,MATCH($B3135,Config!$B$9:$B$29,0))),""),""))</f>
        <v/>
      </c>
      <c r="AC3135" s="19" t="str">
        <f>IF($B3135="","",IFERROR(INDEX(Config!$D$9:$D$29,MATCH($B3135,Config!$B$9:$B$29,0))&amp;"",""))</f>
        <v/>
      </c>
    </row>
    <row r="3136">
      <c r="R3136" s="20" t="str">
        <f>IF($B3136="","",IFERROR(IF(INDEX(Config!$D$9:$D$29,MATCH($B3136,Config!$B$9:$B$29,0))="Contrato",IF(INDEX(Config!$E$9:$E$29,MATCH($B3136,Config!$B$9:$B$29,0))="","",INDEX(Config!$E$9:$E$29,MATCH($B3136,Config!$B$9:$B$29,0))),""),""))</f>
        <v/>
      </c>
      <c r="AC3136" s="19" t="str">
        <f>IF($B3136="","",IFERROR(INDEX(Config!$D$9:$D$29,MATCH($B3136,Config!$B$9:$B$29,0))&amp;"",""))</f>
        <v/>
      </c>
    </row>
    <row r="3137">
      <c r="R3137" s="20" t="str">
        <f>IF($B3137="","",IFERROR(IF(INDEX(Config!$D$9:$D$29,MATCH($B3137,Config!$B$9:$B$29,0))="Contrato",IF(INDEX(Config!$E$9:$E$29,MATCH($B3137,Config!$B$9:$B$29,0))="","",INDEX(Config!$E$9:$E$29,MATCH($B3137,Config!$B$9:$B$29,0))),""),""))</f>
        <v/>
      </c>
      <c r="AC3137" s="19" t="str">
        <f>IF($B3137="","",IFERROR(INDEX(Config!$D$9:$D$29,MATCH($B3137,Config!$B$9:$B$29,0))&amp;"",""))</f>
        <v/>
      </c>
    </row>
    <row r="3138">
      <c r="R3138" s="20" t="str">
        <f>IF($B3138="","",IFERROR(IF(INDEX(Config!$D$9:$D$29,MATCH($B3138,Config!$B$9:$B$29,0))="Contrato",IF(INDEX(Config!$E$9:$E$29,MATCH($B3138,Config!$B$9:$B$29,0))="","",INDEX(Config!$E$9:$E$29,MATCH($B3138,Config!$B$9:$B$29,0))),""),""))</f>
        <v/>
      </c>
      <c r="AC3138" s="19" t="str">
        <f>IF($B3138="","",IFERROR(INDEX(Config!$D$9:$D$29,MATCH($B3138,Config!$B$9:$B$29,0))&amp;"",""))</f>
        <v/>
      </c>
    </row>
    <row r="3139">
      <c r="R3139" s="20" t="str">
        <f>IF($B3139="","",IFERROR(IF(INDEX(Config!$D$9:$D$29,MATCH($B3139,Config!$B$9:$B$29,0))="Contrato",IF(INDEX(Config!$E$9:$E$29,MATCH($B3139,Config!$B$9:$B$29,0))="","",INDEX(Config!$E$9:$E$29,MATCH($B3139,Config!$B$9:$B$29,0))),""),""))</f>
        <v/>
      </c>
      <c r="AC3139" s="19" t="str">
        <f>IF($B3139="","",IFERROR(INDEX(Config!$D$9:$D$29,MATCH($B3139,Config!$B$9:$B$29,0))&amp;"",""))</f>
        <v/>
      </c>
    </row>
    <row r="3140">
      <c r="R3140" s="20" t="str">
        <f>IF($B3140="","",IFERROR(IF(INDEX(Config!$D$9:$D$29,MATCH($B3140,Config!$B$9:$B$29,0))="Contrato",IF(INDEX(Config!$E$9:$E$29,MATCH($B3140,Config!$B$9:$B$29,0))="","",INDEX(Config!$E$9:$E$29,MATCH($B3140,Config!$B$9:$B$29,0))),""),""))</f>
        <v/>
      </c>
      <c r="AC3140" s="19" t="str">
        <f>IF($B3140="","",IFERROR(INDEX(Config!$D$9:$D$29,MATCH($B3140,Config!$B$9:$B$29,0))&amp;"",""))</f>
        <v/>
      </c>
    </row>
    <row r="3141">
      <c r="R3141" s="20" t="str">
        <f>IF($B3141="","",IFERROR(IF(INDEX(Config!$D$9:$D$29,MATCH($B3141,Config!$B$9:$B$29,0))="Contrato",IF(INDEX(Config!$E$9:$E$29,MATCH($B3141,Config!$B$9:$B$29,0))="","",INDEX(Config!$E$9:$E$29,MATCH($B3141,Config!$B$9:$B$29,0))),""),""))</f>
        <v/>
      </c>
      <c r="AC3141" s="19" t="str">
        <f>IF($B3141="","",IFERROR(INDEX(Config!$D$9:$D$29,MATCH($B3141,Config!$B$9:$B$29,0))&amp;"",""))</f>
        <v/>
      </c>
    </row>
    <row r="3142">
      <c r="R3142" s="20" t="str">
        <f>IF($B3142="","",IFERROR(IF(INDEX(Config!$D$9:$D$29,MATCH($B3142,Config!$B$9:$B$29,0))="Contrato",IF(INDEX(Config!$E$9:$E$29,MATCH($B3142,Config!$B$9:$B$29,0))="","",INDEX(Config!$E$9:$E$29,MATCH($B3142,Config!$B$9:$B$29,0))),""),""))</f>
        <v/>
      </c>
      <c r="AC3142" s="19" t="str">
        <f>IF($B3142="","",IFERROR(INDEX(Config!$D$9:$D$29,MATCH($B3142,Config!$B$9:$B$29,0))&amp;"",""))</f>
        <v/>
      </c>
    </row>
    <row r="3143">
      <c r="R3143" s="20" t="str">
        <f>IF($B3143="","",IFERROR(IF(INDEX(Config!$D$9:$D$29,MATCH($B3143,Config!$B$9:$B$29,0))="Contrato",IF(INDEX(Config!$E$9:$E$29,MATCH($B3143,Config!$B$9:$B$29,0))="","",INDEX(Config!$E$9:$E$29,MATCH($B3143,Config!$B$9:$B$29,0))),""),""))</f>
        <v/>
      </c>
      <c r="AC3143" s="19" t="str">
        <f>IF($B3143="","",IFERROR(INDEX(Config!$D$9:$D$29,MATCH($B3143,Config!$B$9:$B$29,0))&amp;"",""))</f>
        <v/>
      </c>
    </row>
    <row r="3144">
      <c r="R3144" s="20" t="str">
        <f>IF($B3144="","",IFERROR(IF(INDEX(Config!$D$9:$D$29,MATCH($B3144,Config!$B$9:$B$29,0))="Contrato",IF(INDEX(Config!$E$9:$E$29,MATCH($B3144,Config!$B$9:$B$29,0))="","",INDEX(Config!$E$9:$E$29,MATCH($B3144,Config!$B$9:$B$29,0))),""),""))</f>
        <v/>
      </c>
      <c r="AC3144" s="19" t="str">
        <f>IF($B3144="","",IFERROR(INDEX(Config!$D$9:$D$29,MATCH($B3144,Config!$B$9:$B$29,0))&amp;"",""))</f>
        <v/>
      </c>
    </row>
    <row r="3145">
      <c r="R3145" s="20" t="str">
        <f>IF($B3145="","",IFERROR(IF(INDEX(Config!$D$9:$D$29,MATCH($B3145,Config!$B$9:$B$29,0))="Contrato",IF(INDEX(Config!$E$9:$E$29,MATCH($B3145,Config!$B$9:$B$29,0))="","",INDEX(Config!$E$9:$E$29,MATCH($B3145,Config!$B$9:$B$29,0))),""),""))</f>
        <v/>
      </c>
      <c r="AC3145" s="19" t="str">
        <f>IF($B3145="","",IFERROR(INDEX(Config!$D$9:$D$29,MATCH($B3145,Config!$B$9:$B$29,0))&amp;"",""))</f>
        <v/>
      </c>
    </row>
    <row r="3146">
      <c r="R3146" s="20" t="str">
        <f>IF($B3146="","",IFERROR(IF(INDEX(Config!$D$9:$D$29,MATCH($B3146,Config!$B$9:$B$29,0))="Contrato",IF(INDEX(Config!$E$9:$E$29,MATCH($B3146,Config!$B$9:$B$29,0))="","",INDEX(Config!$E$9:$E$29,MATCH($B3146,Config!$B$9:$B$29,0))),""),""))</f>
        <v/>
      </c>
      <c r="AC3146" s="19" t="str">
        <f>IF($B3146="","",IFERROR(INDEX(Config!$D$9:$D$29,MATCH($B3146,Config!$B$9:$B$29,0))&amp;"",""))</f>
        <v/>
      </c>
    </row>
    <row r="3147">
      <c r="R3147" s="20" t="str">
        <f>IF($B3147="","",IFERROR(IF(INDEX(Config!$D$9:$D$29,MATCH($B3147,Config!$B$9:$B$29,0))="Contrato",IF(INDEX(Config!$E$9:$E$29,MATCH($B3147,Config!$B$9:$B$29,0))="","",INDEX(Config!$E$9:$E$29,MATCH($B3147,Config!$B$9:$B$29,0))),""),""))</f>
        <v/>
      </c>
      <c r="AC3147" s="19" t="str">
        <f>IF($B3147="","",IFERROR(INDEX(Config!$D$9:$D$29,MATCH($B3147,Config!$B$9:$B$29,0))&amp;"",""))</f>
        <v/>
      </c>
    </row>
    <row r="3148">
      <c r="R3148" s="20" t="str">
        <f>IF($B3148="","",IFERROR(IF(INDEX(Config!$D$9:$D$29,MATCH($B3148,Config!$B$9:$B$29,0))="Contrato",IF(INDEX(Config!$E$9:$E$29,MATCH($B3148,Config!$B$9:$B$29,0))="","",INDEX(Config!$E$9:$E$29,MATCH($B3148,Config!$B$9:$B$29,0))),""),""))</f>
        <v/>
      </c>
      <c r="AC3148" s="19" t="str">
        <f>IF($B3148="","",IFERROR(INDEX(Config!$D$9:$D$29,MATCH($B3148,Config!$B$9:$B$29,0))&amp;"",""))</f>
        <v/>
      </c>
    </row>
    <row r="3149">
      <c r="R3149" s="20" t="str">
        <f>IF($B3149="","",IFERROR(IF(INDEX(Config!$D$9:$D$29,MATCH($B3149,Config!$B$9:$B$29,0))="Contrato",IF(INDEX(Config!$E$9:$E$29,MATCH($B3149,Config!$B$9:$B$29,0))="","",INDEX(Config!$E$9:$E$29,MATCH($B3149,Config!$B$9:$B$29,0))),""),""))</f>
        <v/>
      </c>
      <c r="AC3149" s="19" t="str">
        <f>IF($B3149="","",IFERROR(INDEX(Config!$D$9:$D$29,MATCH($B3149,Config!$B$9:$B$29,0))&amp;"",""))</f>
        <v/>
      </c>
    </row>
    <row r="3150">
      <c r="R3150" s="20" t="str">
        <f>IF($B3150="","",IFERROR(IF(INDEX(Config!$D$9:$D$29,MATCH($B3150,Config!$B$9:$B$29,0))="Contrato",IF(INDEX(Config!$E$9:$E$29,MATCH($B3150,Config!$B$9:$B$29,0))="","",INDEX(Config!$E$9:$E$29,MATCH($B3150,Config!$B$9:$B$29,0))),""),""))</f>
        <v/>
      </c>
      <c r="AC3150" s="19" t="str">
        <f>IF($B3150="","",IFERROR(INDEX(Config!$D$9:$D$29,MATCH($B3150,Config!$B$9:$B$29,0))&amp;"",""))</f>
        <v/>
      </c>
    </row>
    <row r="3151">
      <c r="R3151" s="20" t="str">
        <f>IF($B3151="","",IFERROR(IF(INDEX(Config!$D$9:$D$29,MATCH($B3151,Config!$B$9:$B$29,0))="Contrato",IF(INDEX(Config!$E$9:$E$29,MATCH($B3151,Config!$B$9:$B$29,0))="","",INDEX(Config!$E$9:$E$29,MATCH($B3151,Config!$B$9:$B$29,0))),""),""))</f>
        <v/>
      </c>
      <c r="AC3151" s="19" t="str">
        <f>IF($B3151="","",IFERROR(INDEX(Config!$D$9:$D$29,MATCH($B3151,Config!$B$9:$B$29,0))&amp;"",""))</f>
        <v/>
      </c>
    </row>
    <row r="3152">
      <c r="R3152" s="20" t="str">
        <f>IF($B3152="","",IFERROR(IF(INDEX(Config!$D$9:$D$29,MATCH($B3152,Config!$B$9:$B$29,0))="Contrato",IF(INDEX(Config!$E$9:$E$29,MATCH($B3152,Config!$B$9:$B$29,0))="","",INDEX(Config!$E$9:$E$29,MATCH($B3152,Config!$B$9:$B$29,0))),""),""))</f>
        <v/>
      </c>
      <c r="AC3152" s="19" t="str">
        <f>IF($B3152="","",IFERROR(INDEX(Config!$D$9:$D$29,MATCH($B3152,Config!$B$9:$B$29,0))&amp;"",""))</f>
        <v/>
      </c>
    </row>
    <row r="3153">
      <c r="R3153" s="20" t="str">
        <f>IF($B3153="","",IFERROR(IF(INDEX(Config!$D$9:$D$29,MATCH($B3153,Config!$B$9:$B$29,0))="Contrato",IF(INDEX(Config!$E$9:$E$29,MATCH($B3153,Config!$B$9:$B$29,0))="","",INDEX(Config!$E$9:$E$29,MATCH($B3153,Config!$B$9:$B$29,0))),""),""))</f>
        <v/>
      </c>
      <c r="AC3153" s="19" t="str">
        <f>IF($B3153="","",IFERROR(INDEX(Config!$D$9:$D$29,MATCH($B3153,Config!$B$9:$B$29,0))&amp;"",""))</f>
        <v/>
      </c>
    </row>
    <row r="3154">
      <c r="R3154" s="20" t="str">
        <f>IF($B3154="","",IFERROR(IF(INDEX(Config!$D$9:$D$29,MATCH($B3154,Config!$B$9:$B$29,0))="Contrato",IF(INDEX(Config!$E$9:$E$29,MATCH($B3154,Config!$B$9:$B$29,0))="","",INDEX(Config!$E$9:$E$29,MATCH($B3154,Config!$B$9:$B$29,0))),""),""))</f>
        <v/>
      </c>
      <c r="AC3154" s="19" t="str">
        <f>IF($B3154="","",IFERROR(INDEX(Config!$D$9:$D$29,MATCH($B3154,Config!$B$9:$B$29,0))&amp;"",""))</f>
        <v/>
      </c>
    </row>
    <row r="3155">
      <c r="R3155" s="20" t="str">
        <f>IF($B3155="","",IFERROR(IF(INDEX(Config!$D$9:$D$29,MATCH($B3155,Config!$B$9:$B$29,0))="Contrato",IF(INDEX(Config!$E$9:$E$29,MATCH($B3155,Config!$B$9:$B$29,0))="","",INDEX(Config!$E$9:$E$29,MATCH($B3155,Config!$B$9:$B$29,0))),""),""))</f>
        <v/>
      </c>
      <c r="AC3155" s="19" t="str">
        <f>IF($B3155="","",IFERROR(INDEX(Config!$D$9:$D$29,MATCH($B3155,Config!$B$9:$B$29,0))&amp;"",""))</f>
        <v/>
      </c>
    </row>
    <row r="3156">
      <c r="R3156" s="20" t="str">
        <f>IF($B3156="","",IFERROR(IF(INDEX(Config!$D$9:$D$29,MATCH($B3156,Config!$B$9:$B$29,0))="Contrato",IF(INDEX(Config!$E$9:$E$29,MATCH($B3156,Config!$B$9:$B$29,0))="","",INDEX(Config!$E$9:$E$29,MATCH($B3156,Config!$B$9:$B$29,0))),""),""))</f>
        <v/>
      </c>
      <c r="AC3156" s="19" t="str">
        <f>IF($B3156="","",IFERROR(INDEX(Config!$D$9:$D$29,MATCH($B3156,Config!$B$9:$B$29,0))&amp;"",""))</f>
        <v/>
      </c>
    </row>
    <row r="3157">
      <c r="R3157" s="20" t="str">
        <f>IF($B3157="","",IFERROR(IF(INDEX(Config!$D$9:$D$29,MATCH($B3157,Config!$B$9:$B$29,0))="Contrato",IF(INDEX(Config!$E$9:$E$29,MATCH($B3157,Config!$B$9:$B$29,0))="","",INDEX(Config!$E$9:$E$29,MATCH($B3157,Config!$B$9:$B$29,0))),""),""))</f>
        <v/>
      </c>
      <c r="AC3157" s="19" t="str">
        <f>IF($B3157="","",IFERROR(INDEX(Config!$D$9:$D$29,MATCH($B3157,Config!$B$9:$B$29,0))&amp;"",""))</f>
        <v/>
      </c>
    </row>
    <row r="3158">
      <c r="R3158" s="20" t="str">
        <f>IF($B3158="","",IFERROR(IF(INDEX(Config!$D$9:$D$29,MATCH($B3158,Config!$B$9:$B$29,0))="Contrato",IF(INDEX(Config!$E$9:$E$29,MATCH($B3158,Config!$B$9:$B$29,0))="","",INDEX(Config!$E$9:$E$29,MATCH($B3158,Config!$B$9:$B$29,0))),""),""))</f>
        <v/>
      </c>
      <c r="AC3158" s="19" t="str">
        <f>IF($B3158="","",IFERROR(INDEX(Config!$D$9:$D$29,MATCH($B3158,Config!$B$9:$B$29,0))&amp;"",""))</f>
        <v/>
      </c>
    </row>
    <row r="3159">
      <c r="R3159" s="20" t="str">
        <f>IF($B3159="","",IFERROR(IF(INDEX(Config!$D$9:$D$29,MATCH($B3159,Config!$B$9:$B$29,0))="Contrato",IF(INDEX(Config!$E$9:$E$29,MATCH($B3159,Config!$B$9:$B$29,0))="","",INDEX(Config!$E$9:$E$29,MATCH($B3159,Config!$B$9:$B$29,0))),""),""))</f>
        <v/>
      </c>
      <c r="AC3159" s="19" t="str">
        <f>IF($B3159="","",IFERROR(INDEX(Config!$D$9:$D$29,MATCH($B3159,Config!$B$9:$B$29,0))&amp;"",""))</f>
        <v/>
      </c>
    </row>
    <row r="3160">
      <c r="R3160" s="20" t="str">
        <f>IF($B3160="","",IFERROR(IF(INDEX(Config!$D$9:$D$29,MATCH($B3160,Config!$B$9:$B$29,0))="Contrato",IF(INDEX(Config!$E$9:$E$29,MATCH($B3160,Config!$B$9:$B$29,0))="","",INDEX(Config!$E$9:$E$29,MATCH($B3160,Config!$B$9:$B$29,0))),""),""))</f>
        <v/>
      </c>
      <c r="AC3160" s="19" t="str">
        <f>IF($B3160="","",IFERROR(INDEX(Config!$D$9:$D$29,MATCH($B3160,Config!$B$9:$B$29,0))&amp;"",""))</f>
        <v/>
      </c>
    </row>
    <row r="3161">
      <c r="R3161" s="20" t="str">
        <f>IF($B3161="","",IFERROR(IF(INDEX(Config!$D$9:$D$29,MATCH($B3161,Config!$B$9:$B$29,0))="Contrato",IF(INDEX(Config!$E$9:$E$29,MATCH($B3161,Config!$B$9:$B$29,0))="","",INDEX(Config!$E$9:$E$29,MATCH($B3161,Config!$B$9:$B$29,0))),""),""))</f>
        <v/>
      </c>
      <c r="AC3161" s="19" t="str">
        <f>IF($B3161="","",IFERROR(INDEX(Config!$D$9:$D$29,MATCH($B3161,Config!$B$9:$B$29,0))&amp;"",""))</f>
        <v/>
      </c>
    </row>
    <row r="3162">
      <c r="R3162" s="20" t="str">
        <f>IF($B3162="","",IFERROR(IF(INDEX(Config!$D$9:$D$29,MATCH($B3162,Config!$B$9:$B$29,0))="Contrato",IF(INDEX(Config!$E$9:$E$29,MATCH($B3162,Config!$B$9:$B$29,0))="","",INDEX(Config!$E$9:$E$29,MATCH($B3162,Config!$B$9:$B$29,0))),""),""))</f>
        <v/>
      </c>
      <c r="AC3162" s="19" t="str">
        <f>IF($B3162="","",IFERROR(INDEX(Config!$D$9:$D$29,MATCH($B3162,Config!$B$9:$B$29,0))&amp;"",""))</f>
        <v/>
      </c>
    </row>
    <row r="3163">
      <c r="R3163" s="20" t="str">
        <f>IF($B3163="","",IFERROR(IF(INDEX(Config!$D$9:$D$29,MATCH($B3163,Config!$B$9:$B$29,0))="Contrato",IF(INDEX(Config!$E$9:$E$29,MATCH($B3163,Config!$B$9:$B$29,0))="","",INDEX(Config!$E$9:$E$29,MATCH($B3163,Config!$B$9:$B$29,0))),""),""))</f>
        <v/>
      </c>
      <c r="AC3163" s="19" t="str">
        <f>IF($B3163="","",IFERROR(INDEX(Config!$D$9:$D$29,MATCH($B3163,Config!$B$9:$B$29,0))&amp;"",""))</f>
        <v/>
      </c>
    </row>
    <row r="3164">
      <c r="R3164" s="20" t="str">
        <f>IF($B3164="","",IFERROR(IF(INDEX(Config!$D$9:$D$29,MATCH($B3164,Config!$B$9:$B$29,0))="Contrato",IF(INDEX(Config!$E$9:$E$29,MATCH($B3164,Config!$B$9:$B$29,0))="","",INDEX(Config!$E$9:$E$29,MATCH($B3164,Config!$B$9:$B$29,0))),""),""))</f>
        <v/>
      </c>
      <c r="AC3164" s="19" t="str">
        <f>IF($B3164="","",IFERROR(INDEX(Config!$D$9:$D$29,MATCH($B3164,Config!$B$9:$B$29,0))&amp;"",""))</f>
        <v/>
      </c>
    </row>
    <row r="3165">
      <c r="R3165" s="20" t="str">
        <f>IF($B3165="","",IFERROR(IF(INDEX(Config!$D$9:$D$29,MATCH($B3165,Config!$B$9:$B$29,0))="Contrato",IF(INDEX(Config!$E$9:$E$29,MATCH($B3165,Config!$B$9:$B$29,0))="","",INDEX(Config!$E$9:$E$29,MATCH($B3165,Config!$B$9:$B$29,0))),""),""))</f>
        <v/>
      </c>
      <c r="AC3165" s="19" t="str">
        <f>IF($B3165="","",IFERROR(INDEX(Config!$D$9:$D$29,MATCH($B3165,Config!$B$9:$B$29,0))&amp;"",""))</f>
        <v/>
      </c>
    </row>
    <row r="3166">
      <c r="R3166" s="20" t="str">
        <f>IF($B3166="","",IFERROR(IF(INDEX(Config!$D$9:$D$29,MATCH($B3166,Config!$B$9:$B$29,0))="Contrato",IF(INDEX(Config!$E$9:$E$29,MATCH($B3166,Config!$B$9:$B$29,0))="","",INDEX(Config!$E$9:$E$29,MATCH($B3166,Config!$B$9:$B$29,0))),""),""))</f>
        <v/>
      </c>
      <c r="AC3166" s="19" t="str">
        <f>IF($B3166="","",IFERROR(INDEX(Config!$D$9:$D$29,MATCH($B3166,Config!$B$9:$B$29,0))&amp;"",""))</f>
        <v/>
      </c>
    </row>
    <row r="3167">
      <c r="R3167" s="20" t="str">
        <f>IF($B3167="","",IFERROR(IF(INDEX(Config!$D$9:$D$29,MATCH($B3167,Config!$B$9:$B$29,0))="Contrato",IF(INDEX(Config!$E$9:$E$29,MATCH($B3167,Config!$B$9:$B$29,0))="","",INDEX(Config!$E$9:$E$29,MATCH($B3167,Config!$B$9:$B$29,0))),""),""))</f>
        <v/>
      </c>
      <c r="AC3167" s="19" t="str">
        <f>IF($B3167="","",IFERROR(INDEX(Config!$D$9:$D$29,MATCH($B3167,Config!$B$9:$B$29,0))&amp;"",""))</f>
        <v/>
      </c>
    </row>
    <row r="3168">
      <c r="R3168" s="20" t="str">
        <f>IF($B3168="","",IFERROR(IF(INDEX(Config!$D$9:$D$29,MATCH($B3168,Config!$B$9:$B$29,0))="Contrato",IF(INDEX(Config!$E$9:$E$29,MATCH($B3168,Config!$B$9:$B$29,0))="","",INDEX(Config!$E$9:$E$29,MATCH($B3168,Config!$B$9:$B$29,0))),""),""))</f>
        <v/>
      </c>
      <c r="AC3168" s="19" t="str">
        <f>IF($B3168="","",IFERROR(INDEX(Config!$D$9:$D$29,MATCH($B3168,Config!$B$9:$B$29,0))&amp;"",""))</f>
        <v/>
      </c>
    </row>
    <row r="3169">
      <c r="R3169" s="20" t="str">
        <f>IF($B3169="","",IFERROR(IF(INDEX(Config!$D$9:$D$29,MATCH($B3169,Config!$B$9:$B$29,0))="Contrato",IF(INDEX(Config!$E$9:$E$29,MATCH($B3169,Config!$B$9:$B$29,0))="","",INDEX(Config!$E$9:$E$29,MATCH($B3169,Config!$B$9:$B$29,0))),""),""))</f>
        <v/>
      </c>
      <c r="AC3169" s="19" t="str">
        <f>IF($B3169="","",IFERROR(INDEX(Config!$D$9:$D$29,MATCH($B3169,Config!$B$9:$B$29,0))&amp;"",""))</f>
        <v/>
      </c>
    </row>
    <row r="3170">
      <c r="R3170" s="20" t="str">
        <f>IF($B3170="","",IFERROR(IF(INDEX(Config!$D$9:$D$29,MATCH($B3170,Config!$B$9:$B$29,0))="Contrato",IF(INDEX(Config!$E$9:$E$29,MATCH($B3170,Config!$B$9:$B$29,0))="","",INDEX(Config!$E$9:$E$29,MATCH($B3170,Config!$B$9:$B$29,0))),""),""))</f>
        <v/>
      </c>
      <c r="AC3170" s="19" t="str">
        <f>IF($B3170="","",IFERROR(INDEX(Config!$D$9:$D$29,MATCH($B3170,Config!$B$9:$B$29,0))&amp;"",""))</f>
        <v/>
      </c>
    </row>
    <row r="3171">
      <c r="R3171" s="20" t="str">
        <f>IF($B3171="","",IFERROR(IF(INDEX(Config!$D$9:$D$29,MATCH($B3171,Config!$B$9:$B$29,0))="Contrato",IF(INDEX(Config!$E$9:$E$29,MATCH($B3171,Config!$B$9:$B$29,0))="","",INDEX(Config!$E$9:$E$29,MATCH($B3171,Config!$B$9:$B$29,0))),""),""))</f>
        <v/>
      </c>
      <c r="AC3171" s="19" t="str">
        <f>IF($B3171="","",IFERROR(INDEX(Config!$D$9:$D$29,MATCH($B3171,Config!$B$9:$B$29,0))&amp;"",""))</f>
        <v/>
      </c>
    </row>
    <row r="3172">
      <c r="R3172" s="20" t="str">
        <f>IF($B3172="","",IFERROR(IF(INDEX(Config!$D$9:$D$29,MATCH($B3172,Config!$B$9:$B$29,0))="Contrato",IF(INDEX(Config!$E$9:$E$29,MATCH($B3172,Config!$B$9:$B$29,0))="","",INDEX(Config!$E$9:$E$29,MATCH($B3172,Config!$B$9:$B$29,0))),""),""))</f>
        <v/>
      </c>
      <c r="AC3172" s="19" t="str">
        <f>IF($B3172="","",IFERROR(INDEX(Config!$D$9:$D$29,MATCH($B3172,Config!$B$9:$B$29,0))&amp;"",""))</f>
        <v/>
      </c>
    </row>
    <row r="3173">
      <c r="R3173" s="20" t="str">
        <f>IF($B3173="","",IFERROR(IF(INDEX(Config!$D$9:$D$29,MATCH($B3173,Config!$B$9:$B$29,0))="Contrato",IF(INDEX(Config!$E$9:$E$29,MATCH($B3173,Config!$B$9:$B$29,0))="","",INDEX(Config!$E$9:$E$29,MATCH($B3173,Config!$B$9:$B$29,0))),""),""))</f>
        <v/>
      </c>
      <c r="AC3173" s="19" t="str">
        <f>IF($B3173="","",IFERROR(INDEX(Config!$D$9:$D$29,MATCH($B3173,Config!$B$9:$B$29,0))&amp;"",""))</f>
        <v/>
      </c>
    </row>
    <row r="3174">
      <c r="R3174" s="20" t="str">
        <f>IF($B3174="","",IFERROR(IF(INDEX(Config!$D$9:$D$29,MATCH($B3174,Config!$B$9:$B$29,0))="Contrato",IF(INDEX(Config!$E$9:$E$29,MATCH($B3174,Config!$B$9:$B$29,0))="","",INDEX(Config!$E$9:$E$29,MATCH($B3174,Config!$B$9:$B$29,0))),""),""))</f>
        <v/>
      </c>
      <c r="AC3174" s="19" t="str">
        <f>IF($B3174="","",IFERROR(INDEX(Config!$D$9:$D$29,MATCH($B3174,Config!$B$9:$B$29,0))&amp;"",""))</f>
        <v/>
      </c>
    </row>
    <row r="3175">
      <c r="R3175" s="20" t="str">
        <f>IF($B3175="","",IFERROR(IF(INDEX(Config!$D$9:$D$29,MATCH($B3175,Config!$B$9:$B$29,0))="Contrato",IF(INDEX(Config!$E$9:$E$29,MATCH($B3175,Config!$B$9:$B$29,0))="","",INDEX(Config!$E$9:$E$29,MATCH($B3175,Config!$B$9:$B$29,0))),""),""))</f>
        <v/>
      </c>
      <c r="AC3175" s="19" t="str">
        <f>IF($B3175="","",IFERROR(INDEX(Config!$D$9:$D$29,MATCH($B3175,Config!$B$9:$B$29,0))&amp;"",""))</f>
        <v/>
      </c>
    </row>
    <row r="3176">
      <c r="R3176" s="20" t="str">
        <f>IF($B3176="","",IFERROR(IF(INDEX(Config!$D$9:$D$29,MATCH($B3176,Config!$B$9:$B$29,0))="Contrato",IF(INDEX(Config!$E$9:$E$29,MATCH($B3176,Config!$B$9:$B$29,0))="","",INDEX(Config!$E$9:$E$29,MATCH($B3176,Config!$B$9:$B$29,0))),""),""))</f>
        <v/>
      </c>
      <c r="AC3176" s="19" t="str">
        <f>IF($B3176="","",IFERROR(INDEX(Config!$D$9:$D$29,MATCH($B3176,Config!$B$9:$B$29,0))&amp;"",""))</f>
        <v/>
      </c>
    </row>
    <row r="3177">
      <c r="R3177" s="20" t="str">
        <f>IF($B3177="","",IFERROR(IF(INDEX(Config!$D$9:$D$29,MATCH($B3177,Config!$B$9:$B$29,0))="Contrato",IF(INDEX(Config!$E$9:$E$29,MATCH($B3177,Config!$B$9:$B$29,0))="","",INDEX(Config!$E$9:$E$29,MATCH($B3177,Config!$B$9:$B$29,0))),""),""))</f>
        <v/>
      </c>
      <c r="AC3177" s="19" t="str">
        <f>IF($B3177="","",IFERROR(INDEX(Config!$D$9:$D$29,MATCH($B3177,Config!$B$9:$B$29,0))&amp;"",""))</f>
        <v/>
      </c>
    </row>
    <row r="3178">
      <c r="R3178" s="20" t="str">
        <f>IF($B3178="","",IFERROR(IF(INDEX(Config!$D$9:$D$29,MATCH($B3178,Config!$B$9:$B$29,0))="Contrato",IF(INDEX(Config!$E$9:$E$29,MATCH($B3178,Config!$B$9:$B$29,0))="","",INDEX(Config!$E$9:$E$29,MATCH($B3178,Config!$B$9:$B$29,0))),""),""))</f>
        <v/>
      </c>
      <c r="AC3178" s="19" t="str">
        <f>IF($B3178="","",IFERROR(INDEX(Config!$D$9:$D$29,MATCH($B3178,Config!$B$9:$B$29,0))&amp;"",""))</f>
        <v/>
      </c>
    </row>
    <row r="3179">
      <c r="R3179" s="20" t="str">
        <f>IF($B3179="","",IFERROR(IF(INDEX(Config!$D$9:$D$29,MATCH($B3179,Config!$B$9:$B$29,0))="Contrato",IF(INDEX(Config!$E$9:$E$29,MATCH($B3179,Config!$B$9:$B$29,0))="","",INDEX(Config!$E$9:$E$29,MATCH($B3179,Config!$B$9:$B$29,0))),""),""))</f>
        <v/>
      </c>
      <c r="AC3179" s="19" t="str">
        <f>IF($B3179="","",IFERROR(INDEX(Config!$D$9:$D$29,MATCH($B3179,Config!$B$9:$B$29,0))&amp;"",""))</f>
        <v/>
      </c>
    </row>
    <row r="3180">
      <c r="R3180" s="20" t="str">
        <f>IF($B3180="","",IFERROR(IF(INDEX(Config!$D$9:$D$29,MATCH($B3180,Config!$B$9:$B$29,0))="Contrato",IF(INDEX(Config!$E$9:$E$29,MATCH($B3180,Config!$B$9:$B$29,0))="","",INDEX(Config!$E$9:$E$29,MATCH($B3180,Config!$B$9:$B$29,0))),""),""))</f>
        <v/>
      </c>
      <c r="AC3180" s="19" t="str">
        <f>IF($B3180="","",IFERROR(INDEX(Config!$D$9:$D$29,MATCH($B3180,Config!$B$9:$B$29,0))&amp;"",""))</f>
        <v/>
      </c>
    </row>
    <row r="3181">
      <c r="R3181" s="20" t="str">
        <f>IF($B3181="","",IFERROR(IF(INDEX(Config!$D$9:$D$29,MATCH($B3181,Config!$B$9:$B$29,0))="Contrato",IF(INDEX(Config!$E$9:$E$29,MATCH($B3181,Config!$B$9:$B$29,0))="","",INDEX(Config!$E$9:$E$29,MATCH($B3181,Config!$B$9:$B$29,0))),""),""))</f>
        <v/>
      </c>
      <c r="AC3181" s="19" t="str">
        <f>IF($B3181="","",IFERROR(INDEX(Config!$D$9:$D$29,MATCH($B3181,Config!$B$9:$B$29,0))&amp;"",""))</f>
        <v/>
      </c>
    </row>
    <row r="3182">
      <c r="R3182" s="20" t="str">
        <f>IF($B3182="","",IFERROR(IF(INDEX(Config!$D$9:$D$29,MATCH($B3182,Config!$B$9:$B$29,0))="Contrato",IF(INDEX(Config!$E$9:$E$29,MATCH($B3182,Config!$B$9:$B$29,0))="","",INDEX(Config!$E$9:$E$29,MATCH($B3182,Config!$B$9:$B$29,0))),""),""))</f>
        <v/>
      </c>
      <c r="AC3182" s="19" t="str">
        <f>IF($B3182="","",IFERROR(INDEX(Config!$D$9:$D$29,MATCH($B3182,Config!$B$9:$B$29,0))&amp;"",""))</f>
        <v/>
      </c>
    </row>
    <row r="3183">
      <c r="R3183" s="20" t="str">
        <f>IF($B3183="","",IFERROR(IF(INDEX(Config!$D$9:$D$29,MATCH($B3183,Config!$B$9:$B$29,0))="Contrato",IF(INDEX(Config!$E$9:$E$29,MATCH($B3183,Config!$B$9:$B$29,0))="","",INDEX(Config!$E$9:$E$29,MATCH($B3183,Config!$B$9:$B$29,0))),""),""))</f>
        <v/>
      </c>
      <c r="AC3183" s="19" t="str">
        <f>IF($B3183="","",IFERROR(INDEX(Config!$D$9:$D$29,MATCH($B3183,Config!$B$9:$B$29,0))&amp;"",""))</f>
        <v/>
      </c>
    </row>
    <row r="3184">
      <c r="R3184" s="20" t="str">
        <f>IF($B3184="","",IFERROR(IF(INDEX(Config!$D$9:$D$29,MATCH($B3184,Config!$B$9:$B$29,0))="Contrato",IF(INDEX(Config!$E$9:$E$29,MATCH($B3184,Config!$B$9:$B$29,0))="","",INDEX(Config!$E$9:$E$29,MATCH($B3184,Config!$B$9:$B$29,0))),""),""))</f>
        <v/>
      </c>
      <c r="AC3184" s="19" t="str">
        <f>IF($B3184="","",IFERROR(INDEX(Config!$D$9:$D$29,MATCH($B3184,Config!$B$9:$B$29,0))&amp;"",""))</f>
        <v/>
      </c>
    </row>
    <row r="3185">
      <c r="R3185" s="20" t="str">
        <f>IF($B3185="","",IFERROR(IF(INDEX(Config!$D$9:$D$29,MATCH($B3185,Config!$B$9:$B$29,0))="Contrato",IF(INDEX(Config!$E$9:$E$29,MATCH($B3185,Config!$B$9:$B$29,0))="","",INDEX(Config!$E$9:$E$29,MATCH($B3185,Config!$B$9:$B$29,0))),""),""))</f>
        <v/>
      </c>
      <c r="AC3185" s="19" t="str">
        <f>IF($B3185="","",IFERROR(INDEX(Config!$D$9:$D$29,MATCH($B3185,Config!$B$9:$B$29,0))&amp;"",""))</f>
        <v/>
      </c>
    </row>
    <row r="3186">
      <c r="R3186" s="20" t="str">
        <f>IF($B3186="","",IFERROR(IF(INDEX(Config!$D$9:$D$29,MATCH($B3186,Config!$B$9:$B$29,0))="Contrato",IF(INDEX(Config!$E$9:$E$29,MATCH($B3186,Config!$B$9:$B$29,0))="","",INDEX(Config!$E$9:$E$29,MATCH($B3186,Config!$B$9:$B$29,0))),""),""))</f>
        <v/>
      </c>
      <c r="AC3186" s="19" t="str">
        <f>IF($B3186="","",IFERROR(INDEX(Config!$D$9:$D$29,MATCH($B3186,Config!$B$9:$B$29,0))&amp;"",""))</f>
        <v/>
      </c>
    </row>
    <row r="3187">
      <c r="R3187" s="20" t="str">
        <f>IF($B3187="","",IFERROR(IF(INDEX(Config!$D$9:$D$29,MATCH($B3187,Config!$B$9:$B$29,0))="Contrato",IF(INDEX(Config!$E$9:$E$29,MATCH($B3187,Config!$B$9:$B$29,0))="","",INDEX(Config!$E$9:$E$29,MATCH($B3187,Config!$B$9:$B$29,0))),""),""))</f>
        <v/>
      </c>
      <c r="AC3187" s="19" t="str">
        <f>IF($B3187="","",IFERROR(INDEX(Config!$D$9:$D$29,MATCH($B3187,Config!$B$9:$B$29,0))&amp;"",""))</f>
        <v/>
      </c>
    </row>
    <row r="3188">
      <c r="R3188" s="20" t="str">
        <f>IF($B3188="","",IFERROR(IF(INDEX(Config!$D$9:$D$29,MATCH($B3188,Config!$B$9:$B$29,0))="Contrato",IF(INDEX(Config!$E$9:$E$29,MATCH($B3188,Config!$B$9:$B$29,0))="","",INDEX(Config!$E$9:$E$29,MATCH($B3188,Config!$B$9:$B$29,0))),""),""))</f>
        <v/>
      </c>
      <c r="AC3188" s="19" t="str">
        <f>IF($B3188="","",IFERROR(INDEX(Config!$D$9:$D$29,MATCH($B3188,Config!$B$9:$B$29,0))&amp;"",""))</f>
        <v/>
      </c>
    </row>
    <row r="3189">
      <c r="R3189" s="20" t="str">
        <f>IF($B3189="","",IFERROR(IF(INDEX(Config!$D$9:$D$29,MATCH($B3189,Config!$B$9:$B$29,0))="Contrato",IF(INDEX(Config!$E$9:$E$29,MATCH($B3189,Config!$B$9:$B$29,0))="","",INDEX(Config!$E$9:$E$29,MATCH($B3189,Config!$B$9:$B$29,0))),""),""))</f>
        <v/>
      </c>
      <c r="AC3189" s="19" t="str">
        <f>IF($B3189="","",IFERROR(INDEX(Config!$D$9:$D$29,MATCH($B3189,Config!$B$9:$B$29,0))&amp;"",""))</f>
        <v/>
      </c>
    </row>
    <row r="3190">
      <c r="R3190" s="20" t="str">
        <f>IF($B3190="","",IFERROR(IF(INDEX(Config!$D$9:$D$29,MATCH($B3190,Config!$B$9:$B$29,0))="Contrato",IF(INDEX(Config!$E$9:$E$29,MATCH($B3190,Config!$B$9:$B$29,0))="","",INDEX(Config!$E$9:$E$29,MATCH($B3190,Config!$B$9:$B$29,0))),""),""))</f>
        <v/>
      </c>
      <c r="AC3190" s="19" t="str">
        <f>IF($B3190="","",IFERROR(INDEX(Config!$D$9:$D$29,MATCH($B3190,Config!$B$9:$B$29,0))&amp;"",""))</f>
        <v/>
      </c>
    </row>
    <row r="3191">
      <c r="R3191" s="20" t="str">
        <f>IF($B3191="","",IFERROR(IF(INDEX(Config!$D$9:$D$29,MATCH($B3191,Config!$B$9:$B$29,0))="Contrato",IF(INDEX(Config!$E$9:$E$29,MATCH($B3191,Config!$B$9:$B$29,0))="","",INDEX(Config!$E$9:$E$29,MATCH($B3191,Config!$B$9:$B$29,0))),""),""))</f>
        <v/>
      </c>
      <c r="AC3191" s="19" t="str">
        <f>IF($B3191="","",IFERROR(INDEX(Config!$D$9:$D$29,MATCH($B3191,Config!$B$9:$B$29,0))&amp;"",""))</f>
        <v/>
      </c>
    </row>
    <row r="3192">
      <c r="R3192" s="20" t="str">
        <f>IF($B3192="","",IFERROR(IF(INDEX(Config!$D$9:$D$29,MATCH($B3192,Config!$B$9:$B$29,0))="Contrato",IF(INDEX(Config!$E$9:$E$29,MATCH($B3192,Config!$B$9:$B$29,0))="","",INDEX(Config!$E$9:$E$29,MATCH($B3192,Config!$B$9:$B$29,0))),""),""))</f>
        <v/>
      </c>
      <c r="AC3192" s="19" t="str">
        <f>IF($B3192="","",IFERROR(INDEX(Config!$D$9:$D$29,MATCH($B3192,Config!$B$9:$B$29,0))&amp;"",""))</f>
        <v/>
      </c>
    </row>
    <row r="3193">
      <c r="R3193" s="20" t="str">
        <f>IF($B3193="","",IFERROR(IF(INDEX(Config!$D$9:$D$29,MATCH($B3193,Config!$B$9:$B$29,0))="Contrato",IF(INDEX(Config!$E$9:$E$29,MATCH($B3193,Config!$B$9:$B$29,0))="","",INDEX(Config!$E$9:$E$29,MATCH($B3193,Config!$B$9:$B$29,0))),""),""))</f>
        <v/>
      </c>
      <c r="AC3193" s="19" t="str">
        <f>IF($B3193="","",IFERROR(INDEX(Config!$D$9:$D$29,MATCH($B3193,Config!$B$9:$B$29,0))&amp;"",""))</f>
        <v/>
      </c>
    </row>
    <row r="3194">
      <c r="R3194" s="20" t="str">
        <f>IF($B3194="","",IFERROR(IF(INDEX(Config!$D$9:$D$29,MATCH($B3194,Config!$B$9:$B$29,0))="Contrato",IF(INDEX(Config!$E$9:$E$29,MATCH($B3194,Config!$B$9:$B$29,0))="","",INDEX(Config!$E$9:$E$29,MATCH($B3194,Config!$B$9:$B$29,0))),""),""))</f>
        <v/>
      </c>
      <c r="AC3194" s="19" t="str">
        <f>IF($B3194="","",IFERROR(INDEX(Config!$D$9:$D$29,MATCH($B3194,Config!$B$9:$B$29,0))&amp;"",""))</f>
        <v/>
      </c>
    </row>
    <row r="3195">
      <c r="R3195" s="20" t="str">
        <f>IF($B3195="","",IFERROR(IF(INDEX(Config!$D$9:$D$29,MATCH($B3195,Config!$B$9:$B$29,0))="Contrato",IF(INDEX(Config!$E$9:$E$29,MATCH($B3195,Config!$B$9:$B$29,0))="","",INDEX(Config!$E$9:$E$29,MATCH($B3195,Config!$B$9:$B$29,0))),""),""))</f>
        <v/>
      </c>
      <c r="AC3195" s="19" t="str">
        <f>IF($B3195="","",IFERROR(INDEX(Config!$D$9:$D$29,MATCH($B3195,Config!$B$9:$B$29,0))&amp;"",""))</f>
        <v/>
      </c>
    </row>
    <row r="3196">
      <c r="R3196" s="20" t="str">
        <f>IF($B3196="","",IFERROR(IF(INDEX(Config!$D$9:$D$29,MATCH($B3196,Config!$B$9:$B$29,0))="Contrato",IF(INDEX(Config!$E$9:$E$29,MATCH($B3196,Config!$B$9:$B$29,0))="","",INDEX(Config!$E$9:$E$29,MATCH($B3196,Config!$B$9:$B$29,0))),""),""))</f>
        <v/>
      </c>
      <c r="AC3196" s="19" t="str">
        <f>IF($B3196="","",IFERROR(INDEX(Config!$D$9:$D$29,MATCH($B3196,Config!$B$9:$B$29,0))&amp;"",""))</f>
        <v/>
      </c>
    </row>
    <row r="3197">
      <c r="R3197" s="20" t="str">
        <f>IF($B3197="","",IFERROR(IF(INDEX(Config!$D$9:$D$29,MATCH($B3197,Config!$B$9:$B$29,0))="Contrato",IF(INDEX(Config!$E$9:$E$29,MATCH($B3197,Config!$B$9:$B$29,0))="","",INDEX(Config!$E$9:$E$29,MATCH($B3197,Config!$B$9:$B$29,0))),""),""))</f>
        <v/>
      </c>
      <c r="AC3197" s="19" t="str">
        <f>IF($B3197="","",IFERROR(INDEX(Config!$D$9:$D$29,MATCH($B3197,Config!$B$9:$B$29,0))&amp;"",""))</f>
        <v/>
      </c>
    </row>
    <row r="3198">
      <c r="R3198" s="20" t="str">
        <f>IF($B3198="","",IFERROR(IF(INDEX(Config!$D$9:$D$29,MATCH($B3198,Config!$B$9:$B$29,0))="Contrato",IF(INDEX(Config!$E$9:$E$29,MATCH($B3198,Config!$B$9:$B$29,0))="","",INDEX(Config!$E$9:$E$29,MATCH($B3198,Config!$B$9:$B$29,0))),""),""))</f>
        <v/>
      </c>
      <c r="AC3198" s="19" t="str">
        <f>IF($B3198="","",IFERROR(INDEX(Config!$D$9:$D$29,MATCH($B3198,Config!$B$9:$B$29,0))&amp;"",""))</f>
        <v/>
      </c>
    </row>
    <row r="3199">
      <c r="R3199" s="20" t="str">
        <f>IF($B3199="","",IFERROR(IF(INDEX(Config!$D$9:$D$29,MATCH($B3199,Config!$B$9:$B$29,0))="Contrato",IF(INDEX(Config!$E$9:$E$29,MATCH($B3199,Config!$B$9:$B$29,0))="","",INDEX(Config!$E$9:$E$29,MATCH($B3199,Config!$B$9:$B$29,0))),""),""))</f>
        <v/>
      </c>
      <c r="AC3199" s="19" t="str">
        <f>IF($B3199="","",IFERROR(INDEX(Config!$D$9:$D$29,MATCH($B3199,Config!$B$9:$B$29,0))&amp;"",""))</f>
        <v/>
      </c>
    </row>
    <row r="3200">
      <c r="R3200" s="20" t="str">
        <f>IF($B3200="","",IFERROR(IF(INDEX(Config!$D$9:$D$29,MATCH($B3200,Config!$B$9:$B$29,0))="Contrato",IF(INDEX(Config!$E$9:$E$29,MATCH($B3200,Config!$B$9:$B$29,0))="","",INDEX(Config!$E$9:$E$29,MATCH($B3200,Config!$B$9:$B$29,0))),""),""))</f>
        <v/>
      </c>
      <c r="AC3200" s="19" t="str">
        <f>IF($B3200="","",IFERROR(INDEX(Config!$D$9:$D$29,MATCH($B3200,Config!$B$9:$B$29,0))&amp;"",""))</f>
        <v/>
      </c>
    </row>
    <row r="3201">
      <c r="R3201" s="20" t="str">
        <f>IF($B3201="","",IFERROR(IF(INDEX(Config!$D$9:$D$29,MATCH($B3201,Config!$B$9:$B$29,0))="Contrato",IF(INDEX(Config!$E$9:$E$29,MATCH($B3201,Config!$B$9:$B$29,0))="","",INDEX(Config!$E$9:$E$29,MATCH($B3201,Config!$B$9:$B$29,0))),""),""))</f>
        <v/>
      </c>
      <c r="AC3201" s="19" t="str">
        <f>IF($B3201="","",IFERROR(INDEX(Config!$D$9:$D$29,MATCH($B3201,Config!$B$9:$B$29,0))&amp;"",""))</f>
        <v/>
      </c>
    </row>
    <row r="3202">
      <c r="R3202" s="20" t="str">
        <f>IF($B3202="","",IFERROR(IF(INDEX(Config!$D$9:$D$29,MATCH($B3202,Config!$B$9:$B$29,0))="Contrato",IF(INDEX(Config!$E$9:$E$29,MATCH($B3202,Config!$B$9:$B$29,0))="","",INDEX(Config!$E$9:$E$29,MATCH($B3202,Config!$B$9:$B$29,0))),""),""))</f>
        <v/>
      </c>
      <c r="AC3202" s="19" t="str">
        <f>IF($B3202="","",IFERROR(INDEX(Config!$D$9:$D$29,MATCH($B3202,Config!$B$9:$B$29,0))&amp;"",""))</f>
        <v/>
      </c>
    </row>
    <row r="3203">
      <c r="R3203" s="20" t="str">
        <f>IF($B3203="","",IFERROR(IF(INDEX(Config!$D$9:$D$29,MATCH($B3203,Config!$B$9:$B$29,0))="Contrato",IF(INDEX(Config!$E$9:$E$29,MATCH($B3203,Config!$B$9:$B$29,0))="","",INDEX(Config!$E$9:$E$29,MATCH($B3203,Config!$B$9:$B$29,0))),""),""))</f>
        <v/>
      </c>
      <c r="AC3203" s="19" t="str">
        <f>IF($B3203="","",IFERROR(INDEX(Config!$D$9:$D$29,MATCH($B3203,Config!$B$9:$B$29,0))&amp;"",""))</f>
        <v/>
      </c>
    </row>
    <row r="3204">
      <c r="R3204" s="20" t="str">
        <f>IF($B3204="","",IFERROR(IF(INDEX(Config!$D$9:$D$29,MATCH($B3204,Config!$B$9:$B$29,0))="Contrato",IF(INDEX(Config!$E$9:$E$29,MATCH($B3204,Config!$B$9:$B$29,0))="","",INDEX(Config!$E$9:$E$29,MATCH($B3204,Config!$B$9:$B$29,0))),""),""))</f>
        <v/>
      </c>
      <c r="AC3204" s="19" t="str">
        <f>IF($B3204="","",IFERROR(INDEX(Config!$D$9:$D$29,MATCH($B3204,Config!$B$9:$B$29,0))&amp;"",""))</f>
        <v/>
      </c>
    </row>
    <row r="3205">
      <c r="R3205" s="20" t="str">
        <f>IF($B3205="","",IFERROR(IF(INDEX(Config!$D$9:$D$29,MATCH($B3205,Config!$B$9:$B$29,0))="Contrato",IF(INDEX(Config!$E$9:$E$29,MATCH($B3205,Config!$B$9:$B$29,0))="","",INDEX(Config!$E$9:$E$29,MATCH($B3205,Config!$B$9:$B$29,0))),""),""))</f>
        <v/>
      </c>
      <c r="AC3205" s="19" t="str">
        <f>IF($B3205="","",IFERROR(INDEX(Config!$D$9:$D$29,MATCH($B3205,Config!$B$9:$B$29,0))&amp;"",""))</f>
        <v/>
      </c>
    </row>
    <row r="3206">
      <c r="R3206" s="20" t="str">
        <f>IF($B3206="","",IFERROR(IF(INDEX(Config!$D$9:$D$29,MATCH($B3206,Config!$B$9:$B$29,0))="Contrato",IF(INDEX(Config!$E$9:$E$29,MATCH($B3206,Config!$B$9:$B$29,0))="","",INDEX(Config!$E$9:$E$29,MATCH($B3206,Config!$B$9:$B$29,0))),""),""))</f>
        <v/>
      </c>
      <c r="AC3206" s="19" t="str">
        <f>IF($B3206="","",IFERROR(INDEX(Config!$D$9:$D$29,MATCH($B3206,Config!$B$9:$B$29,0))&amp;"",""))</f>
        <v/>
      </c>
    </row>
    <row r="3207">
      <c r="R3207" s="20" t="str">
        <f>IF($B3207="","",IFERROR(IF(INDEX(Config!$D$9:$D$29,MATCH($B3207,Config!$B$9:$B$29,0))="Contrato",IF(INDEX(Config!$E$9:$E$29,MATCH($B3207,Config!$B$9:$B$29,0))="","",INDEX(Config!$E$9:$E$29,MATCH($B3207,Config!$B$9:$B$29,0))),""),""))</f>
        <v/>
      </c>
      <c r="AC3207" s="19" t="str">
        <f>IF($B3207="","",IFERROR(INDEX(Config!$D$9:$D$29,MATCH($B3207,Config!$B$9:$B$29,0))&amp;"",""))</f>
        <v/>
      </c>
    </row>
    <row r="3208">
      <c r="R3208" s="20" t="str">
        <f>IF($B3208="","",IFERROR(IF(INDEX(Config!$D$9:$D$29,MATCH($B3208,Config!$B$9:$B$29,0))="Contrato",IF(INDEX(Config!$E$9:$E$29,MATCH($B3208,Config!$B$9:$B$29,0))="","",INDEX(Config!$E$9:$E$29,MATCH($B3208,Config!$B$9:$B$29,0))),""),""))</f>
        <v/>
      </c>
      <c r="AC3208" s="19" t="str">
        <f>IF($B3208="","",IFERROR(INDEX(Config!$D$9:$D$29,MATCH($B3208,Config!$B$9:$B$29,0))&amp;"",""))</f>
        <v/>
      </c>
    </row>
    <row r="3209">
      <c r="R3209" s="20" t="str">
        <f>IF($B3209="","",IFERROR(IF(INDEX(Config!$D$9:$D$29,MATCH($B3209,Config!$B$9:$B$29,0))="Contrato",IF(INDEX(Config!$E$9:$E$29,MATCH($B3209,Config!$B$9:$B$29,0))="","",INDEX(Config!$E$9:$E$29,MATCH($B3209,Config!$B$9:$B$29,0))),""),""))</f>
        <v/>
      </c>
      <c r="AC3209" s="19" t="str">
        <f>IF($B3209="","",IFERROR(INDEX(Config!$D$9:$D$29,MATCH($B3209,Config!$B$9:$B$29,0))&amp;"",""))</f>
        <v/>
      </c>
    </row>
    <row r="3210">
      <c r="R3210" s="20" t="str">
        <f>IF($B3210="","",IFERROR(IF(INDEX(Config!$D$9:$D$29,MATCH($B3210,Config!$B$9:$B$29,0))="Contrato",IF(INDEX(Config!$E$9:$E$29,MATCH($B3210,Config!$B$9:$B$29,0))="","",INDEX(Config!$E$9:$E$29,MATCH($B3210,Config!$B$9:$B$29,0))),""),""))</f>
        <v/>
      </c>
      <c r="AC3210" s="19" t="str">
        <f>IF($B3210="","",IFERROR(INDEX(Config!$D$9:$D$29,MATCH($B3210,Config!$B$9:$B$29,0))&amp;"",""))</f>
        <v/>
      </c>
    </row>
    <row r="3211">
      <c r="R3211" s="20" t="str">
        <f>IF($B3211="","",IFERROR(IF(INDEX(Config!$D$9:$D$29,MATCH($B3211,Config!$B$9:$B$29,0))="Contrato",IF(INDEX(Config!$E$9:$E$29,MATCH($B3211,Config!$B$9:$B$29,0))="","",INDEX(Config!$E$9:$E$29,MATCH($B3211,Config!$B$9:$B$29,0))),""),""))</f>
        <v/>
      </c>
      <c r="AC3211" s="19" t="str">
        <f>IF($B3211="","",IFERROR(INDEX(Config!$D$9:$D$29,MATCH($B3211,Config!$B$9:$B$29,0))&amp;"",""))</f>
        <v/>
      </c>
    </row>
    <row r="3212">
      <c r="R3212" s="20" t="str">
        <f>IF($B3212="","",IFERROR(IF(INDEX(Config!$D$9:$D$29,MATCH($B3212,Config!$B$9:$B$29,0))="Contrato",IF(INDEX(Config!$E$9:$E$29,MATCH($B3212,Config!$B$9:$B$29,0))="","",INDEX(Config!$E$9:$E$29,MATCH($B3212,Config!$B$9:$B$29,0))),""),""))</f>
        <v/>
      </c>
      <c r="AC3212" s="19" t="str">
        <f>IF($B3212="","",IFERROR(INDEX(Config!$D$9:$D$29,MATCH($B3212,Config!$B$9:$B$29,0))&amp;"",""))</f>
        <v/>
      </c>
    </row>
    <row r="3213">
      <c r="R3213" s="20" t="str">
        <f>IF($B3213="","",IFERROR(IF(INDEX(Config!$D$9:$D$29,MATCH($B3213,Config!$B$9:$B$29,0))="Contrato",IF(INDEX(Config!$E$9:$E$29,MATCH($B3213,Config!$B$9:$B$29,0))="","",INDEX(Config!$E$9:$E$29,MATCH($B3213,Config!$B$9:$B$29,0))),""),""))</f>
        <v/>
      </c>
      <c r="AC3213" s="19" t="str">
        <f>IF($B3213="","",IFERROR(INDEX(Config!$D$9:$D$29,MATCH($B3213,Config!$B$9:$B$29,0))&amp;"",""))</f>
        <v/>
      </c>
    </row>
    <row r="3214">
      <c r="R3214" s="20" t="str">
        <f>IF($B3214="","",IFERROR(IF(INDEX(Config!$D$9:$D$29,MATCH($B3214,Config!$B$9:$B$29,0))="Contrato",IF(INDEX(Config!$E$9:$E$29,MATCH($B3214,Config!$B$9:$B$29,0))="","",INDEX(Config!$E$9:$E$29,MATCH($B3214,Config!$B$9:$B$29,0))),""),""))</f>
        <v/>
      </c>
      <c r="AC3214" s="19" t="str">
        <f>IF($B3214="","",IFERROR(INDEX(Config!$D$9:$D$29,MATCH($B3214,Config!$B$9:$B$29,0))&amp;"",""))</f>
        <v/>
      </c>
    </row>
    <row r="3215">
      <c r="R3215" s="20" t="str">
        <f>IF($B3215="","",IFERROR(IF(INDEX(Config!$D$9:$D$29,MATCH($B3215,Config!$B$9:$B$29,0))="Contrato",IF(INDEX(Config!$E$9:$E$29,MATCH($B3215,Config!$B$9:$B$29,0))="","",INDEX(Config!$E$9:$E$29,MATCH($B3215,Config!$B$9:$B$29,0))),""),""))</f>
        <v/>
      </c>
      <c r="AC3215" s="19" t="str">
        <f>IF($B3215="","",IFERROR(INDEX(Config!$D$9:$D$29,MATCH($B3215,Config!$B$9:$B$29,0))&amp;"",""))</f>
        <v/>
      </c>
    </row>
    <row r="3216">
      <c r="R3216" s="20" t="str">
        <f>IF($B3216="","",IFERROR(IF(INDEX(Config!$D$9:$D$29,MATCH($B3216,Config!$B$9:$B$29,0))="Contrato",IF(INDEX(Config!$E$9:$E$29,MATCH($B3216,Config!$B$9:$B$29,0))="","",INDEX(Config!$E$9:$E$29,MATCH($B3216,Config!$B$9:$B$29,0))),""),""))</f>
        <v/>
      </c>
      <c r="AC3216" s="19" t="str">
        <f>IF($B3216="","",IFERROR(INDEX(Config!$D$9:$D$29,MATCH($B3216,Config!$B$9:$B$29,0))&amp;"",""))</f>
        <v/>
      </c>
    </row>
    <row r="3217">
      <c r="R3217" s="20" t="str">
        <f>IF($B3217="","",IFERROR(IF(INDEX(Config!$D$9:$D$29,MATCH($B3217,Config!$B$9:$B$29,0))="Contrato",IF(INDEX(Config!$E$9:$E$29,MATCH($B3217,Config!$B$9:$B$29,0))="","",INDEX(Config!$E$9:$E$29,MATCH($B3217,Config!$B$9:$B$29,0))),""),""))</f>
        <v/>
      </c>
      <c r="AC3217" s="19" t="str">
        <f>IF($B3217="","",IFERROR(INDEX(Config!$D$9:$D$29,MATCH($B3217,Config!$B$9:$B$29,0))&amp;"",""))</f>
        <v/>
      </c>
    </row>
    <row r="3218">
      <c r="R3218" s="20" t="str">
        <f>IF($B3218="","",IFERROR(IF(INDEX(Config!$D$9:$D$29,MATCH($B3218,Config!$B$9:$B$29,0))="Contrato",IF(INDEX(Config!$E$9:$E$29,MATCH($B3218,Config!$B$9:$B$29,0))="","",INDEX(Config!$E$9:$E$29,MATCH($B3218,Config!$B$9:$B$29,0))),""),""))</f>
        <v/>
      </c>
      <c r="AC3218" s="19" t="str">
        <f>IF($B3218="","",IFERROR(INDEX(Config!$D$9:$D$29,MATCH($B3218,Config!$B$9:$B$29,0))&amp;"",""))</f>
        <v/>
      </c>
    </row>
    <row r="3219">
      <c r="R3219" s="20" t="str">
        <f>IF($B3219="","",IFERROR(IF(INDEX(Config!$D$9:$D$29,MATCH($B3219,Config!$B$9:$B$29,0))="Contrato",IF(INDEX(Config!$E$9:$E$29,MATCH($B3219,Config!$B$9:$B$29,0))="","",INDEX(Config!$E$9:$E$29,MATCH($B3219,Config!$B$9:$B$29,0))),""),""))</f>
        <v/>
      </c>
      <c r="AC3219" s="19" t="str">
        <f>IF($B3219="","",IFERROR(INDEX(Config!$D$9:$D$29,MATCH($B3219,Config!$B$9:$B$29,0))&amp;"",""))</f>
        <v/>
      </c>
    </row>
    <row r="3220">
      <c r="R3220" s="20" t="str">
        <f>IF($B3220="","",IFERROR(IF(INDEX(Config!$D$9:$D$29,MATCH($B3220,Config!$B$9:$B$29,0))="Contrato",IF(INDEX(Config!$E$9:$E$29,MATCH($B3220,Config!$B$9:$B$29,0))="","",INDEX(Config!$E$9:$E$29,MATCH($B3220,Config!$B$9:$B$29,0))),""),""))</f>
        <v/>
      </c>
      <c r="AC3220" s="19" t="str">
        <f>IF($B3220="","",IFERROR(INDEX(Config!$D$9:$D$29,MATCH($B3220,Config!$B$9:$B$29,0))&amp;"",""))</f>
        <v/>
      </c>
    </row>
    <row r="3221">
      <c r="R3221" s="20" t="str">
        <f>IF($B3221="","",IFERROR(IF(INDEX(Config!$D$9:$D$29,MATCH($B3221,Config!$B$9:$B$29,0))="Contrato",IF(INDEX(Config!$E$9:$E$29,MATCH($B3221,Config!$B$9:$B$29,0))="","",INDEX(Config!$E$9:$E$29,MATCH($B3221,Config!$B$9:$B$29,0))),""),""))</f>
        <v/>
      </c>
      <c r="AC3221" s="19" t="str">
        <f>IF($B3221="","",IFERROR(INDEX(Config!$D$9:$D$29,MATCH($B3221,Config!$B$9:$B$29,0))&amp;"",""))</f>
        <v/>
      </c>
    </row>
    <row r="3222">
      <c r="R3222" s="20" t="str">
        <f>IF($B3222="","",IFERROR(IF(INDEX(Config!$D$9:$D$29,MATCH($B3222,Config!$B$9:$B$29,0))="Contrato",IF(INDEX(Config!$E$9:$E$29,MATCH($B3222,Config!$B$9:$B$29,0))="","",INDEX(Config!$E$9:$E$29,MATCH($B3222,Config!$B$9:$B$29,0))),""),""))</f>
        <v/>
      </c>
      <c r="AC3222" s="19" t="str">
        <f>IF($B3222="","",IFERROR(INDEX(Config!$D$9:$D$29,MATCH($B3222,Config!$B$9:$B$29,0))&amp;"",""))</f>
        <v/>
      </c>
    </row>
    <row r="3223">
      <c r="R3223" s="20" t="str">
        <f>IF($B3223="","",IFERROR(IF(INDEX(Config!$D$9:$D$29,MATCH($B3223,Config!$B$9:$B$29,0))="Contrato",IF(INDEX(Config!$E$9:$E$29,MATCH($B3223,Config!$B$9:$B$29,0))="","",INDEX(Config!$E$9:$E$29,MATCH($B3223,Config!$B$9:$B$29,0))),""),""))</f>
        <v/>
      </c>
      <c r="AC3223" s="19" t="str">
        <f>IF($B3223="","",IFERROR(INDEX(Config!$D$9:$D$29,MATCH($B3223,Config!$B$9:$B$29,0))&amp;"",""))</f>
        <v/>
      </c>
    </row>
    <row r="3224">
      <c r="R3224" s="20" t="str">
        <f>IF($B3224="","",IFERROR(IF(INDEX(Config!$D$9:$D$29,MATCH($B3224,Config!$B$9:$B$29,0))="Contrato",IF(INDEX(Config!$E$9:$E$29,MATCH($B3224,Config!$B$9:$B$29,0))="","",INDEX(Config!$E$9:$E$29,MATCH($B3224,Config!$B$9:$B$29,0))),""),""))</f>
        <v/>
      </c>
      <c r="AC3224" s="19" t="str">
        <f>IF($B3224="","",IFERROR(INDEX(Config!$D$9:$D$29,MATCH($B3224,Config!$B$9:$B$29,0))&amp;"",""))</f>
        <v/>
      </c>
    </row>
    <row r="3225">
      <c r="R3225" s="20" t="str">
        <f>IF($B3225="","",IFERROR(IF(INDEX(Config!$D$9:$D$29,MATCH($B3225,Config!$B$9:$B$29,0))="Contrato",IF(INDEX(Config!$E$9:$E$29,MATCH($B3225,Config!$B$9:$B$29,0))="","",INDEX(Config!$E$9:$E$29,MATCH($B3225,Config!$B$9:$B$29,0))),""),""))</f>
        <v/>
      </c>
      <c r="AC3225" s="19" t="str">
        <f>IF($B3225="","",IFERROR(INDEX(Config!$D$9:$D$29,MATCH($B3225,Config!$B$9:$B$29,0))&amp;"",""))</f>
        <v/>
      </c>
    </row>
    <row r="3226">
      <c r="R3226" s="20" t="str">
        <f>IF($B3226="","",IFERROR(IF(INDEX(Config!$D$9:$D$29,MATCH($B3226,Config!$B$9:$B$29,0))="Contrato",IF(INDEX(Config!$E$9:$E$29,MATCH($B3226,Config!$B$9:$B$29,0))="","",INDEX(Config!$E$9:$E$29,MATCH($B3226,Config!$B$9:$B$29,0))),""),""))</f>
        <v/>
      </c>
      <c r="AC3226" s="19" t="str">
        <f>IF($B3226="","",IFERROR(INDEX(Config!$D$9:$D$29,MATCH($B3226,Config!$B$9:$B$29,0))&amp;"",""))</f>
        <v/>
      </c>
    </row>
    <row r="3227">
      <c r="R3227" s="20" t="str">
        <f>IF($B3227="","",IFERROR(IF(INDEX(Config!$D$9:$D$29,MATCH($B3227,Config!$B$9:$B$29,0))="Contrato",IF(INDEX(Config!$E$9:$E$29,MATCH($B3227,Config!$B$9:$B$29,0))="","",INDEX(Config!$E$9:$E$29,MATCH($B3227,Config!$B$9:$B$29,0))),""),""))</f>
        <v/>
      </c>
      <c r="AC3227" s="19" t="str">
        <f>IF($B3227="","",IFERROR(INDEX(Config!$D$9:$D$29,MATCH($B3227,Config!$B$9:$B$29,0))&amp;"",""))</f>
        <v/>
      </c>
    </row>
    <row r="3228">
      <c r="R3228" s="20" t="str">
        <f>IF($B3228="","",IFERROR(IF(INDEX(Config!$D$9:$D$29,MATCH($B3228,Config!$B$9:$B$29,0))="Contrato",IF(INDEX(Config!$E$9:$E$29,MATCH($B3228,Config!$B$9:$B$29,0))="","",INDEX(Config!$E$9:$E$29,MATCH($B3228,Config!$B$9:$B$29,0))),""),""))</f>
        <v/>
      </c>
      <c r="AC3228" s="19" t="str">
        <f>IF($B3228="","",IFERROR(INDEX(Config!$D$9:$D$29,MATCH($B3228,Config!$B$9:$B$29,0))&amp;"",""))</f>
        <v/>
      </c>
    </row>
    <row r="3229">
      <c r="R3229" s="20" t="str">
        <f>IF($B3229="","",IFERROR(IF(INDEX(Config!$D$9:$D$29,MATCH($B3229,Config!$B$9:$B$29,0))="Contrato",IF(INDEX(Config!$E$9:$E$29,MATCH($B3229,Config!$B$9:$B$29,0))="","",INDEX(Config!$E$9:$E$29,MATCH($B3229,Config!$B$9:$B$29,0))),""),""))</f>
        <v/>
      </c>
      <c r="AC3229" s="19" t="str">
        <f>IF($B3229="","",IFERROR(INDEX(Config!$D$9:$D$29,MATCH($B3229,Config!$B$9:$B$29,0))&amp;"",""))</f>
        <v/>
      </c>
    </row>
    <row r="3230">
      <c r="R3230" s="20" t="str">
        <f>IF($B3230="","",IFERROR(IF(INDEX(Config!$D$9:$D$29,MATCH($B3230,Config!$B$9:$B$29,0))="Contrato",IF(INDEX(Config!$E$9:$E$29,MATCH($B3230,Config!$B$9:$B$29,0))="","",INDEX(Config!$E$9:$E$29,MATCH($B3230,Config!$B$9:$B$29,0))),""),""))</f>
        <v/>
      </c>
      <c r="AC3230" s="19" t="str">
        <f>IF($B3230="","",IFERROR(INDEX(Config!$D$9:$D$29,MATCH($B3230,Config!$B$9:$B$29,0))&amp;"",""))</f>
        <v/>
      </c>
    </row>
    <row r="3231">
      <c r="R3231" s="20" t="str">
        <f>IF($B3231="","",IFERROR(IF(INDEX(Config!$D$9:$D$29,MATCH($B3231,Config!$B$9:$B$29,0))="Contrato",IF(INDEX(Config!$E$9:$E$29,MATCH($B3231,Config!$B$9:$B$29,0))="","",INDEX(Config!$E$9:$E$29,MATCH($B3231,Config!$B$9:$B$29,0))),""),""))</f>
        <v/>
      </c>
      <c r="AC3231" s="19" t="str">
        <f>IF($B3231="","",IFERROR(INDEX(Config!$D$9:$D$29,MATCH($B3231,Config!$B$9:$B$29,0))&amp;"",""))</f>
        <v/>
      </c>
    </row>
    <row r="3232">
      <c r="R3232" s="20" t="str">
        <f>IF($B3232="","",IFERROR(IF(INDEX(Config!$D$9:$D$29,MATCH($B3232,Config!$B$9:$B$29,0))="Contrato",IF(INDEX(Config!$E$9:$E$29,MATCH($B3232,Config!$B$9:$B$29,0))="","",INDEX(Config!$E$9:$E$29,MATCH($B3232,Config!$B$9:$B$29,0))),""),""))</f>
        <v/>
      </c>
      <c r="AC3232" s="19" t="str">
        <f>IF($B3232="","",IFERROR(INDEX(Config!$D$9:$D$29,MATCH($B3232,Config!$B$9:$B$29,0))&amp;"",""))</f>
        <v/>
      </c>
    </row>
    <row r="3233">
      <c r="R3233" s="20" t="str">
        <f>IF($B3233="","",IFERROR(IF(INDEX(Config!$D$9:$D$29,MATCH($B3233,Config!$B$9:$B$29,0))="Contrato",IF(INDEX(Config!$E$9:$E$29,MATCH($B3233,Config!$B$9:$B$29,0))="","",INDEX(Config!$E$9:$E$29,MATCH($B3233,Config!$B$9:$B$29,0))),""),""))</f>
        <v/>
      </c>
      <c r="AC3233" s="19" t="str">
        <f>IF($B3233="","",IFERROR(INDEX(Config!$D$9:$D$29,MATCH($B3233,Config!$B$9:$B$29,0))&amp;"",""))</f>
        <v/>
      </c>
    </row>
    <row r="3234">
      <c r="R3234" s="20" t="str">
        <f>IF($B3234="","",IFERROR(IF(INDEX(Config!$D$9:$D$29,MATCH($B3234,Config!$B$9:$B$29,0))="Contrato",IF(INDEX(Config!$E$9:$E$29,MATCH($B3234,Config!$B$9:$B$29,0))="","",INDEX(Config!$E$9:$E$29,MATCH($B3234,Config!$B$9:$B$29,0))),""),""))</f>
        <v/>
      </c>
      <c r="AC3234" s="19" t="str">
        <f>IF($B3234="","",IFERROR(INDEX(Config!$D$9:$D$29,MATCH($B3234,Config!$B$9:$B$29,0))&amp;"",""))</f>
        <v/>
      </c>
    </row>
    <row r="3235">
      <c r="R3235" s="20" t="str">
        <f>IF($B3235="","",IFERROR(IF(INDEX(Config!$D$9:$D$29,MATCH($B3235,Config!$B$9:$B$29,0))="Contrato",IF(INDEX(Config!$E$9:$E$29,MATCH($B3235,Config!$B$9:$B$29,0))="","",INDEX(Config!$E$9:$E$29,MATCH($B3235,Config!$B$9:$B$29,0))),""),""))</f>
        <v/>
      </c>
      <c r="AC3235" s="19" t="str">
        <f>IF($B3235="","",IFERROR(INDEX(Config!$D$9:$D$29,MATCH($B3235,Config!$B$9:$B$29,0))&amp;"",""))</f>
        <v/>
      </c>
    </row>
    <row r="3236">
      <c r="R3236" s="20" t="str">
        <f>IF($B3236="","",IFERROR(IF(INDEX(Config!$D$9:$D$29,MATCH($B3236,Config!$B$9:$B$29,0))="Contrato",IF(INDEX(Config!$E$9:$E$29,MATCH($B3236,Config!$B$9:$B$29,0))="","",INDEX(Config!$E$9:$E$29,MATCH($B3236,Config!$B$9:$B$29,0))),""),""))</f>
        <v/>
      </c>
      <c r="AC3236" s="19" t="str">
        <f>IF($B3236="","",IFERROR(INDEX(Config!$D$9:$D$29,MATCH($B3236,Config!$B$9:$B$29,0))&amp;"",""))</f>
        <v/>
      </c>
    </row>
    <row r="3237">
      <c r="R3237" s="20" t="str">
        <f>IF($B3237="","",IFERROR(IF(INDEX(Config!$D$9:$D$29,MATCH($B3237,Config!$B$9:$B$29,0))="Contrato",IF(INDEX(Config!$E$9:$E$29,MATCH($B3237,Config!$B$9:$B$29,0))="","",INDEX(Config!$E$9:$E$29,MATCH($B3237,Config!$B$9:$B$29,0))),""),""))</f>
        <v/>
      </c>
      <c r="AC3237" s="19" t="str">
        <f>IF($B3237="","",IFERROR(INDEX(Config!$D$9:$D$29,MATCH($B3237,Config!$B$9:$B$29,0))&amp;"",""))</f>
        <v/>
      </c>
    </row>
    <row r="3238">
      <c r="R3238" s="20" t="str">
        <f>IF($B3238="","",IFERROR(IF(INDEX(Config!$D$9:$D$29,MATCH($B3238,Config!$B$9:$B$29,0))="Contrato",IF(INDEX(Config!$E$9:$E$29,MATCH($B3238,Config!$B$9:$B$29,0))="","",INDEX(Config!$E$9:$E$29,MATCH($B3238,Config!$B$9:$B$29,0))),""),""))</f>
        <v/>
      </c>
      <c r="AC3238" s="19" t="str">
        <f>IF($B3238="","",IFERROR(INDEX(Config!$D$9:$D$29,MATCH($B3238,Config!$B$9:$B$29,0))&amp;"",""))</f>
        <v/>
      </c>
    </row>
    <row r="3239">
      <c r="R3239" s="20" t="str">
        <f>IF($B3239="","",IFERROR(IF(INDEX(Config!$D$9:$D$29,MATCH($B3239,Config!$B$9:$B$29,0))="Contrato",IF(INDEX(Config!$E$9:$E$29,MATCH($B3239,Config!$B$9:$B$29,0))="","",INDEX(Config!$E$9:$E$29,MATCH($B3239,Config!$B$9:$B$29,0))),""),""))</f>
        <v/>
      </c>
      <c r="AC3239" s="19" t="str">
        <f>IF($B3239="","",IFERROR(INDEX(Config!$D$9:$D$29,MATCH($B3239,Config!$B$9:$B$29,0))&amp;"",""))</f>
        <v/>
      </c>
    </row>
    <row r="3240">
      <c r="R3240" s="20" t="str">
        <f>IF($B3240="","",IFERROR(IF(INDEX(Config!$D$9:$D$29,MATCH($B3240,Config!$B$9:$B$29,0))="Contrato",IF(INDEX(Config!$E$9:$E$29,MATCH($B3240,Config!$B$9:$B$29,0))="","",INDEX(Config!$E$9:$E$29,MATCH($B3240,Config!$B$9:$B$29,0))),""),""))</f>
        <v/>
      </c>
      <c r="AC3240" s="19" t="str">
        <f>IF($B3240="","",IFERROR(INDEX(Config!$D$9:$D$29,MATCH($B3240,Config!$B$9:$B$29,0))&amp;"",""))</f>
        <v/>
      </c>
    </row>
    <row r="3241">
      <c r="R3241" s="20" t="str">
        <f>IF($B3241="","",IFERROR(IF(INDEX(Config!$D$9:$D$29,MATCH($B3241,Config!$B$9:$B$29,0))="Contrato",IF(INDEX(Config!$E$9:$E$29,MATCH($B3241,Config!$B$9:$B$29,0))="","",INDEX(Config!$E$9:$E$29,MATCH($B3241,Config!$B$9:$B$29,0))),""),""))</f>
        <v/>
      </c>
      <c r="AC3241" s="19" t="str">
        <f>IF($B3241="","",IFERROR(INDEX(Config!$D$9:$D$29,MATCH($B3241,Config!$B$9:$B$29,0))&amp;"",""))</f>
        <v/>
      </c>
    </row>
    <row r="3242">
      <c r="R3242" s="20" t="str">
        <f>IF($B3242="","",IFERROR(IF(INDEX(Config!$D$9:$D$29,MATCH($B3242,Config!$B$9:$B$29,0))="Contrato",IF(INDEX(Config!$E$9:$E$29,MATCH($B3242,Config!$B$9:$B$29,0))="","",INDEX(Config!$E$9:$E$29,MATCH($B3242,Config!$B$9:$B$29,0))),""),""))</f>
        <v/>
      </c>
      <c r="AC3242" s="19" t="str">
        <f>IF($B3242="","",IFERROR(INDEX(Config!$D$9:$D$29,MATCH($B3242,Config!$B$9:$B$29,0))&amp;"",""))</f>
        <v/>
      </c>
    </row>
    <row r="3243">
      <c r="R3243" s="20" t="str">
        <f>IF($B3243="","",IFERROR(IF(INDEX(Config!$D$9:$D$29,MATCH($B3243,Config!$B$9:$B$29,0))="Contrato",IF(INDEX(Config!$E$9:$E$29,MATCH($B3243,Config!$B$9:$B$29,0))="","",INDEX(Config!$E$9:$E$29,MATCH($B3243,Config!$B$9:$B$29,0))),""),""))</f>
        <v/>
      </c>
      <c r="AC3243" s="19" t="str">
        <f>IF($B3243="","",IFERROR(INDEX(Config!$D$9:$D$29,MATCH($B3243,Config!$B$9:$B$29,0))&amp;"",""))</f>
        <v/>
      </c>
    </row>
    <row r="3244">
      <c r="R3244" s="20" t="str">
        <f>IF($B3244="","",IFERROR(IF(INDEX(Config!$D$9:$D$29,MATCH($B3244,Config!$B$9:$B$29,0))="Contrato",IF(INDEX(Config!$E$9:$E$29,MATCH($B3244,Config!$B$9:$B$29,0))="","",INDEX(Config!$E$9:$E$29,MATCH($B3244,Config!$B$9:$B$29,0))),""),""))</f>
        <v/>
      </c>
      <c r="AC3244" s="19" t="str">
        <f>IF($B3244="","",IFERROR(INDEX(Config!$D$9:$D$29,MATCH($B3244,Config!$B$9:$B$29,0))&amp;"",""))</f>
        <v/>
      </c>
    </row>
    <row r="3245">
      <c r="R3245" s="20" t="str">
        <f>IF($B3245="","",IFERROR(IF(INDEX(Config!$D$9:$D$29,MATCH($B3245,Config!$B$9:$B$29,0))="Contrato",IF(INDEX(Config!$E$9:$E$29,MATCH($B3245,Config!$B$9:$B$29,0))="","",INDEX(Config!$E$9:$E$29,MATCH($B3245,Config!$B$9:$B$29,0))),""),""))</f>
        <v/>
      </c>
      <c r="AC3245" s="19" t="str">
        <f>IF($B3245="","",IFERROR(INDEX(Config!$D$9:$D$29,MATCH($B3245,Config!$B$9:$B$29,0))&amp;"",""))</f>
        <v/>
      </c>
    </row>
    <row r="3246">
      <c r="R3246" s="20" t="str">
        <f>IF($B3246="","",IFERROR(IF(INDEX(Config!$D$9:$D$29,MATCH($B3246,Config!$B$9:$B$29,0))="Contrato",IF(INDEX(Config!$E$9:$E$29,MATCH($B3246,Config!$B$9:$B$29,0))="","",INDEX(Config!$E$9:$E$29,MATCH($B3246,Config!$B$9:$B$29,0))),""),""))</f>
        <v/>
      </c>
      <c r="AC3246" s="19" t="str">
        <f>IF($B3246="","",IFERROR(INDEX(Config!$D$9:$D$29,MATCH($B3246,Config!$B$9:$B$29,0))&amp;"",""))</f>
        <v/>
      </c>
    </row>
    <row r="3247">
      <c r="R3247" s="20" t="str">
        <f>IF($B3247="","",IFERROR(IF(INDEX(Config!$D$9:$D$29,MATCH($B3247,Config!$B$9:$B$29,0))="Contrato",IF(INDEX(Config!$E$9:$E$29,MATCH($B3247,Config!$B$9:$B$29,0))="","",INDEX(Config!$E$9:$E$29,MATCH($B3247,Config!$B$9:$B$29,0))),""),""))</f>
        <v/>
      </c>
      <c r="AC3247" s="19" t="str">
        <f>IF($B3247="","",IFERROR(INDEX(Config!$D$9:$D$29,MATCH($B3247,Config!$B$9:$B$29,0))&amp;"",""))</f>
        <v/>
      </c>
    </row>
    <row r="3248">
      <c r="R3248" s="20" t="str">
        <f>IF($B3248="","",IFERROR(IF(INDEX(Config!$D$9:$D$29,MATCH($B3248,Config!$B$9:$B$29,0))="Contrato",IF(INDEX(Config!$E$9:$E$29,MATCH($B3248,Config!$B$9:$B$29,0))="","",INDEX(Config!$E$9:$E$29,MATCH($B3248,Config!$B$9:$B$29,0))),""),""))</f>
        <v/>
      </c>
      <c r="AC3248" s="19" t="str">
        <f>IF($B3248="","",IFERROR(INDEX(Config!$D$9:$D$29,MATCH($B3248,Config!$B$9:$B$29,0))&amp;"",""))</f>
        <v/>
      </c>
    </row>
    <row r="3249">
      <c r="R3249" s="20" t="str">
        <f>IF($B3249="","",IFERROR(IF(INDEX(Config!$D$9:$D$29,MATCH($B3249,Config!$B$9:$B$29,0))="Contrato",IF(INDEX(Config!$E$9:$E$29,MATCH($B3249,Config!$B$9:$B$29,0))="","",INDEX(Config!$E$9:$E$29,MATCH($B3249,Config!$B$9:$B$29,0))),""),""))</f>
        <v/>
      </c>
      <c r="AC3249" s="19" t="str">
        <f>IF($B3249="","",IFERROR(INDEX(Config!$D$9:$D$29,MATCH($B3249,Config!$B$9:$B$29,0))&amp;"",""))</f>
        <v/>
      </c>
    </row>
    <row r="3250">
      <c r="R3250" s="20" t="str">
        <f>IF($B3250="","",IFERROR(IF(INDEX(Config!$D$9:$D$29,MATCH($B3250,Config!$B$9:$B$29,0))="Contrato",IF(INDEX(Config!$E$9:$E$29,MATCH($B3250,Config!$B$9:$B$29,0))="","",INDEX(Config!$E$9:$E$29,MATCH($B3250,Config!$B$9:$B$29,0))),""),""))</f>
        <v/>
      </c>
      <c r="AC3250" s="19" t="str">
        <f>IF($B3250="","",IFERROR(INDEX(Config!$D$9:$D$29,MATCH($B3250,Config!$B$9:$B$29,0))&amp;"",""))</f>
        <v/>
      </c>
    </row>
    <row r="3251">
      <c r="R3251" s="20" t="str">
        <f>IF($B3251="","",IFERROR(IF(INDEX(Config!$D$9:$D$29,MATCH($B3251,Config!$B$9:$B$29,0))="Contrato",IF(INDEX(Config!$E$9:$E$29,MATCH($B3251,Config!$B$9:$B$29,0))="","",INDEX(Config!$E$9:$E$29,MATCH($B3251,Config!$B$9:$B$29,0))),""),""))</f>
        <v/>
      </c>
      <c r="AC3251" s="19" t="str">
        <f>IF($B3251="","",IFERROR(INDEX(Config!$D$9:$D$29,MATCH($B3251,Config!$B$9:$B$29,0))&amp;"",""))</f>
        <v/>
      </c>
    </row>
    <row r="3252">
      <c r="R3252" s="20" t="str">
        <f>IF($B3252="","",IFERROR(IF(INDEX(Config!$D$9:$D$29,MATCH($B3252,Config!$B$9:$B$29,0))="Contrato",IF(INDEX(Config!$E$9:$E$29,MATCH($B3252,Config!$B$9:$B$29,0))="","",INDEX(Config!$E$9:$E$29,MATCH($B3252,Config!$B$9:$B$29,0))),""),""))</f>
        <v/>
      </c>
      <c r="AC3252" s="19" t="str">
        <f>IF($B3252="","",IFERROR(INDEX(Config!$D$9:$D$29,MATCH($B3252,Config!$B$9:$B$29,0))&amp;"",""))</f>
        <v/>
      </c>
    </row>
    <row r="3253">
      <c r="R3253" s="20" t="str">
        <f>IF($B3253="","",IFERROR(IF(INDEX(Config!$D$9:$D$29,MATCH($B3253,Config!$B$9:$B$29,0))="Contrato",IF(INDEX(Config!$E$9:$E$29,MATCH($B3253,Config!$B$9:$B$29,0))="","",INDEX(Config!$E$9:$E$29,MATCH($B3253,Config!$B$9:$B$29,0))),""),""))</f>
        <v/>
      </c>
      <c r="AC3253" s="19" t="str">
        <f>IF($B3253="","",IFERROR(INDEX(Config!$D$9:$D$29,MATCH($B3253,Config!$B$9:$B$29,0))&amp;"",""))</f>
        <v/>
      </c>
    </row>
    <row r="3254">
      <c r="R3254" s="20" t="str">
        <f>IF($B3254="","",IFERROR(IF(INDEX(Config!$D$9:$D$29,MATCH($B3254,Config!$B$9:$B$29,0))="Contrato",IF(INDEX(Config!$E$9:$E$29,MATCH($B3254,Config!$B$9:$B$29,0))="","",INDEX(Config!$E$9:$E$29,MATCH($B3254,Config!$B$9:$B$29,0))),""),""))</f>
        <v/>
      </c>
      <c r="AC3254" s="19" t="str">
        <f>IF($B3254="","",IFERROR(INDEX(Config!$D$9:$D$29,MATCH($B3254,Config!$B$9:$B$29,0))&amp;"",""))</f>
        <v/>
      </c>
    </row>
    <row r="3255">
      <c r="R3255" s="20" t="str">
        <f>IF($B3255="","",IFERROR(IF(INDEX(Config!$D$9:$D$29,MATCH($B3255,Config!$B$9:$B$29,0))="Contrato",IF(INDEX(Config!$E$9:$E$29,MATCH($B3255,Config!$B$9:$B$29,0))="","",INDEX(Config!$E$9:$E$29,MATCH($B3255,Config!$B$9:$B$29,0))),""),""))</f>
        <v/>
      </c>
      <c r="AC3255" s="19" t="str">
        <f>IF($B3255="","",IFERROR(INDEX(Config!$D$9:$D$29,MATCH($B3255,Config!$B$9:$B$29,0))&amp;"",""))</f>
        <v/>
      </c>
    </row>
    <row r="3256">
      <c r="R3256" s="20" t="str">
        <f>IF($B3256="","",IFERROR(IF(INDEX(Config!$D$9:$D$29,MATCH($B3256,Config!$B$9:$B$29,0))="Contrato",IF(INDEX(Config!$E$9:$E$29,MATCH($B3256,Config!$B$9:$B$29,0))="","",INDEX(Config!$E$9:$E$29,MATCH($B3256,Config!$B$9:$B$29,0))),""),""))</f>
        <v/>
      </c>
      <c r="AC3256" s="19" t="str">
        <f>IF($B3256="","",IFERROR(INDEX(Config!$D$9:$D$29,MATCH($B3256,Config!$B$9:$B$29,0))&amp;"",""))</f>
        <v/>
      </c>
    </row>
    <row r="3257">
      <c r="R3257" s="20" t="str">
        <f>IF($B3257="","",IFERROR(IF(INDEX(Config!$D$9:$D$29,MATCH($B3257,Config!$B$9:$B$29,0))="Contrato",IF(INDEX(Config!$E$9:$E$29,MATCH($B3257,Config!$B$9:$B$29,0))="","",INDEX(Config!$E$9:$E$29,MATCH($B3257,Config!$B$9:$B$29,0))),""),""))</f>
        <v/>
      </c>
      <c r="AC3257" s="19" t="str">
        <f>IF($B3257="","",IFERROR(INDEX(Config!$D$9:$D$29,MATCH($B3257,Config!$B$9:$B$29,0))&amp;"",""))</f>
        <v/>
      </c>
    </row>
    <row r="3258">
      <c r="R3258" s="20" t="str">
        <f>IF($B3258="","",IFERROR(IF(INDEX(Config!$D$9:$D$29,MATCH($B3258,Config!$B$9:$B$29,0))="Contrato",IF(INDEX(Config!$E$9:$E$29,MATCH($B3258,Config!$B$9:$B$29,0))="","",INDEX(Config!$E$9:$E$29,MATCH($B3258,Config!$B$9:$B$29,0))),""),""))</f>
        <v/>
      </c>
      <c r="AC3258" s="19" t="str">
        <f>IF($B3258="","",IFERROR(INDEX(Config!$D$9:$D$29,MATCH($B3258,Config!$B$9:$B$29,0))&amp;"",""))</f>
        <v/>
      </c>
    </row>
    <row r="3259">
      <c r="R3259" s="20" t="str">
        <f>IF($B3259="","",IFERROR(IF(INDEX(Config!$D$9:$D$29,MATCH($B3259,Config!$B$9:$B$29,0))="Contrato",IF(INDEX(Config!$E$9:$E$29,MATCH($B3259,Config!$B$9:$B$29,0))="","",INDEX(Config!$E$9:$E$29,MATCH($B3259,Config!$B$9:$B$29,0))),""),""))</f>
        <v/>
      </c>
      <c r="AC3259" s="19" t="str">
        <f>IF($B3259="","",IFERROR(INDEX(Config!$D$9:$D$29,MATCH($B3259,Config!$B$9:$B$29,0))&amp;"",""))</f>
        <v/>
      </c>
    </row>
    <row r="3260">
      <c r="R3260" s="20" t="str">
        <f>IF($B3260="","",IFERROR(IF(INDEX(Config!$D$9:$D$29,MATCH($B3260,Config!$B$9:$B$29,0))="Contrato",IF(INDEX(Config!$E$9:$E$29,MATCH($B3260,Config!$B$9:$B$29,0))="","",INDEX(Config!$E$9:$E$29,MATCH($B3260,Config!$B$9:$B$29,0))),""),""))</f>
        <v/>
      </c>
      <c r="AC3260" s="19" t="str">
        <f>IF($B3260="","",IFERROR(INDEX(Config!$D$9:$D$29,MATCH($B3260,Config!$B$9:$B$29,0))&amp;"",""))</f>
        <v/>
      </c>
    </row>
    <row r="3261">
      <c r="R3261" s="20" t="str">
        <f>IF($B3261="","",IFERROR(IF(INDEX(Config!$D$9:$D$29,MATCH($B3261,Config!$B$9:$B$29,0))="Contrato",IF(INDEX(Config!$E$9:$E$29,MATCH($B3261,Config!$B$9:$B$29,0))="","",INDEX(Config!$E$9:$E$29,MATCH($B3261,Config!$B$9:$B$29,0))),""),""))</f>
        <v/>
      </c>
      <c r="AC3261" s="19" t="str">
        <f>IF($B3261="","",IFERROR(INDEX(Config!$D$9:$D$29,MATCH($B3261,Config!$B$9:$B$29,0))&amp;"",""))</f>
        <v/>
      </c>
    </row>
    <row r="3262">
      <c r="R3262" s="20" t="str">
        <f>IF($B3262="","",IFERROR(IF(INDEX(Config!$D$9:$D$29,MATCH($B3262,Config!$B$9:$B$29,0))="Contrato",IF(INDEX(Config!$E$9:$E$29,MATCH($B3262,Config!$B$9:$B$29,0))="","",INDEX(Config!$E$9:$E$29,MATCH($B3262,Config!$B$9:$B$29,0))),""),""))</f>
        <v/>
      </c>
      <c r="AC3262" s="19" t="str">
        <f>IF($B3262="","",IFERROR(INDEX(Config!$D$9:$D$29,MATCH($B3262,Config!$B$9:$B$29,0))&amp;"",""))</f>
        <v/>
      </c>
    </row>
    <row r="3263">
      <c r="R3263" s="20" t="str">
        <f>IF($B3263="","",IFERROR(IF(INDEX(Config!$D$9:$D$29,MATCH($B3263,Config!$B$9:$B$29,0))="Contrato",IF(INDEX(Config!$E$9:$E$29,MATCH($B3263,Config!$B$9:$B$29,0))="","",INDEX(Config!$E$9:$E$29,MATCH($B3263,Config!$B$9:$B$29,0))),""),""))</f>
        <v/>
      </c>
      <c r="AC3263" s="19" t="str">
        <f>IF($B3263="","",IFERROR(INDEX(Config!$D$9:$D$29,MATCH($B3263,Config!$B$9:$B$29,0))&amp;"",""))</f>
        <v/>
      </c>
    </row>
    <row r="3264">
      <c r="R3264" s="20" t="str">
        <f>IF($B3264="","",IFERROR(IF(INDEX(Config!$D$9:$D$29,MATCH($B3264,Config!$B$9:$B$29,0))="Contrato",IF(INDEX(Config!$E$9:$E$29,MATCH($B3264,Config!$B$9:$B$29,0))="","",INDEX(Config!$E$9:$E$29,MATCH($B3264,Config!$B$9:$B$29,0))),""),""))</f>
        <v/>
      </c>
      <c r="AC3264" s="19" t="str">
        <f>IF($B3264="","",IFERROR(INDEX(Config!$D$9:$D$29,MATCH($B3264,Config!$B$9:$B$29,0))&amp;"",""))</f>
        <v/>
      </c>
    </row>
    <row r="3265">
      <c r="R3265" s="20" t="str">
        <f>IF($B3265="","",IFERROR(IF(INDEX(Config!$D$9:$D$29,MATCH($B3265,Config!$B$9:$B$29,0))="Contrato",IF(INDEX(Config!$E$9:$E$29,MATCH($B3265,Config!$B$9:$B$29,0))="","",INDEX(Config!$E$9:$E$29,MATCH($B3265,Config!$B$9:$B$29,0))),""),""))</f>
        <v/>
      </c>
      <c r="AC3265" s="19" t="str">
        <f>IF($B3265="","",IFERROR(INDEX(Config!$D$9:$D$29,MATCH($B3265,Config!$B$9:$B$29,0))&amp;"",""))</f>
        <v/>
      </c>
    </row>
    <row r="3266">
      <c r="R3266" s="20" t="str">
        <f>IF($B3266="","",IFERROR(IF(INDEX(Config!$D$9:$D$29,MATCH($B3266,Config!$B$9:$B$29,0))="Contrato",IF(INDEX(Config!$E$9:$E$29,MATCH($B3266,Config!$B$9:$B$29,0))="","",INDEX(Config!$E$9:$E$29,MATCH($B3266,Config!$B$9:$B$29,0))),""),""))</f>
        <v/>
      </c>
      <c r="AC3266" s="19" t="str">
        <f>IF($B3266="","",IFERROR(INDEX(Config!$D$9:$D$29,MATCH($B3266,Config!$B$9:$B$29,0))&amp;"",""))</f>
        <v/>
      </c>
    </row>
    <row r="3267">
      <c r="R3267" s="20" t="str">
        <f>IF($B3267="","",IFERROR(IF(INDEX(Config!$D$9:$D$29,MATCH($B3267,Config!$B$9:$B$29,0))="Contrato",IF(INDEX(Config!$E$9:$E$29,MATCH($B3267,Config!$B$9:$B$29,0))="","",INDEX(Config!$E$9:$E$29,MATCH($B3267,Config!$B$9:$B$29,0))),""),""))</f>
        <v/>
      </c>
      <c r="AC3267" s="19" t="str">
        <f>IF($B3267="","",IFERROR(INDEX(Config!$D$9:$D$29,MATCH($B3267,Config!$B$9:$B$29,0))&amp;"",""))</f>
        <v/>
      </c>
    </row>
    <row r="3268">
      <c r="R3268" s="20" t="str">
        <f>IF($B3268="","",IFERROR(IF(INDEX(Config!$D$9:$D$29,MATCH($B3268,Config!$B$9:$B$29,0))="Contrato",IF(INDEX(Config!$E$9:$E$29,MATCH($B3268,Config!$B$9:$B$29,0))="","",INDEX(Config!$E$9:$E$29,MATCH($B3268,Config!$B$9:$B$29,0))),""),""))</f>
        <v/>
      </c>
      <c r="AC3268" s="19" t="str">
        <f>IF($B3268="","",IFERROR(INDEX(Config!$D$9:$D$29,MATCH($B3268,Config!$B$9:$B$29,0))&amp;"",""))</f>
        <v/>
      </c>
    </row>
    <row r="3269">
      <c r="R3269" s="20" t="str">
        <f>IF($B3269="","",IFERROR(IF(INDEX(Config!$D$9:$D$29,MATCH($B3269,Config!$B$9:$B$29,0))="Contrato",IF(INDEX(Config!$E$9:$E$29,MATCH($B3269,Config!$B$9:$B$29,0))="","",INDEX(Config!$E$9:$E$29,MATCH($B3269,Config!$B$9:$B$29,0))),""),""))</f>
        <v/>
      </c>
      <c r="AC3269" s="19" t="str">
        <f>IF($B3269="","",IFERROR(INDEX(Config!$D$9:$D$29,MATCH($B3269,Config!$B$9:$B$29,0))&amp;"",""))</f>
        <v/>
      </c>
    </row>
    <row r="3270">
      <c r="R3270" s="20" t="str">
        <f>IF($B3270="","",IFERROR(IF(INDEX(Config!$D$9:$D$29,MATCH($B3270,Config!$B$9:$B$29,0))="Contrato",IF(INDEX(Config!$E$9:$E$29,MATCH($B3270,Config!$B$9:$B$29,0))="","",INDEX(Config!$E$9:$E$29,MATCH($B3270,Config!$B$9:$B$29,0))),""),""))</f>
        <v/>
      </c>
      <c r="AC3270" s="19" t="str">
        <f>IF($B3270="","",IFERROR(INDEX(Config!$D$9:$D$29,MATCH($B3270,Config!$B$9:$B$29,0))&amp;"",""))</f>
        <v/>
      </c>
    </row>
    <row r="3271">
      <c r="R3271" s="20" t="str">
        <f>IF($B3271="","",IFERROR(IF(INDEX(Config!$D$9:$D$29,MATCH($B3271,Config!$B$9:$B$29,0))="Contrato",IF(INDEX(Config!$E$9:$E$29,MATCH($B3271,Config!$B$9:$B$29,0))="","",INDEX(Config!$E$9:$E$29,MATCH($B3271,Config!$B$9:$B$29,0))),""),""))</f>
        <v/>
      </c>
      <c r="AC3271" s="19" t="str">
        <f>IF($B3271="","",IFERROR(INDEX(Config!$D$9:$D$29,MATCH($B3271,Config!$B$9:$B$29,0))&amp;"",""))</f>
        <v/>
      </c>
    </row>
    <row r="3272">
      <c r="R3272" s="20" t="str">
        <f>IF($B3272="","",IFERROR(IF(INDEX(Config!$D$9:$D$29,MATCH($B3272,Config!$B$9:$B$29,0))="Contrato",IF(INDEX(Config!$E$9:$E$29,MATCH($B3272,Config!$B$9:$B$29,0))="","",INDEX(Config!$E$9:$E$29,MATCH($B3272,Config!$B$9:$B$29,0))),""),""))</f>
        <v/>
      </c>
      <c r="AC3272" s="19" t="str">
        <f>IF($B3272="","",IFERROR(INDEX(Config!$D$9:$D$29,MATCH($B3272,Config!$B$9:$B$29,0))&amp;"",""))</f>
        <v/>
      </c>
    </row>
    <row r="3273">
      <c r="R3273" s="20" t="str">
        <f>IF($B3273="","",IFERROR(IF(INDEX(Config!$D$9:$D$29,MATCH($B3273,Config!$B$9:$B$29,0))="Contrato",IF(INDEX(Config!$E$9:$E$29,MATCH($B3273,Config!$B$9:$B$29,0))="","",INDEX(Config!$E$9:$E$29,MATCH($B3273,Config!$B$9:$B$29,0))),""),""))</f>
        <v/>
      </c>
      <c r="AC3273" s="19" t="str">
        <f>IF($B3273="","",IFERROR(INDEX(Config!$D$9:$D$29,MATCH($B3273,Config!$B$9:$B$29,0))&amp;"",""))</f>
        <v/>
      </c>
    </row>
    <row r="3274">
      <c r="R3274" s="20" t="str">
        <f>IF($B3274="","",IFERROR(IF(INDEX(Config!$D$9:$D$29,MATCH($B3274,Config!$B$9:$B$29,0))="Contrato",IF(INDEX(Config!$E$9:$E$29,MATCH($B3274,Config!$B$9:$B$29,0))="","",INDEX(Config!$E$9:$E$29,MATCH($B3274,Config!$B$9:$B$29,0))),""),""))</f>
        <v/>
      </c>
      <c r="AC3274" s="19" t="str">
        <f>IF($B3274="","",IFERROR(INDEX(Config!$D$9:$D$29,MATCH($B3274,Config!$B$9:$B$29,0))&amp;"",""))</f>
        <v/>
      </c>
    </row>
    <row r="3275">
      <c r="R3275" s="20" t="str">
        <f>IF($B3275="","",IFERROR(IF(INDEX(Config!$D$9:$D$29,MATCH($B3275,Config!$B$9:$B$29,0))="Contrato",IF(INDEX(Config!$E$9:$E$29,MATCH($B3275,Config!$B$9:$B$29,0))="","",INDEX(Config!$E$9:$E$29,MATCH($B3275,Config!$B$9:$B$29,0))),""),""))</f>
        <v/>
      </c>
      <c r="AC3275" s="19" t="str">
        <f>IF($B3275="","",IFERROR(INDEX(Config!$D$9:$D$29,MATCH($B3275,Config!$B$9:$B$29,0))&amp;"",""))</f>
        <v/>
      </c>
    </row>
    <row r="3276">
      <c r="R3276" s="20" t="str">
        <f>IF($B3276="","",IFERROR(IF(INDEX(Config!$D$9:$D$29,MATCH($B3276,Config!$B$9:$B$29,0))="Contrato",IF(INDEX(Config!$E$9:$E$29,MATCH($B3276,Config!$B$9:$B$29,0))="","",INDEX(Config!$E$9:$E$29,MATCH($B3276,Config!$B$9:$B$29,0))),""),""))</f>
        <v/>
      </c>
      <c r="AC3276" s="19" t="str">
        <f>IF($B3276="","",IFERROR(INDEX(Config!$D$9:$D$29,MATCH($B3276,Config!$B$9:$B$29,0))&amp;"",""))</f>
        <v/>
      </c>
    </row>
    <row r="3277">
      <c r="R3277" s="20" t="str">
        <f>IF($B3277="","",IFERROR(IF(INDEX(Config!$D$9:$D$29,MATCH($B3277,Config!$B$9:$B$29,0))="Contrato",IF(INDEX(Config!$E$9:$E$29,MATCH($B3277,Config!$B$9:$B$29,0))="","",INDEX(Config!$E$9:$E$29,MATCH($B3277,Config!$B$9:$B$29,0))),""),""))</f>
        <v/>
      </c>
      <c r="AC3277" s="19" t="str">
        <f>IF($B3277="","",IFERROR(INDEX(Config!$D$9:$D$29,MATCH($B3277,Config!$B$9:$B$29,0))&amp;"",""))</f>
        <v/>
      </c>
    </row>
    <row r="3278">
      <c r="R3278" s="20" t="str">
        <f>IF($B3278="","",IFERROR(IF(INDEX(Config!$D$9:$D$29,MATCH($B3278,Config!$B$9:$B$29,0))="Contrato",IF(INDEX(Config!$E$9:$E$29,MATCH($B3278,Config!$B$9:$B$29,0))="","",INDEX(Config!$E$9:$E$29,MATCH($B3278,Config!$B$9:$B$29,0))),""),""))</f>
        <v/>
      </c>
      <c r="AC3278" s="19" t="str">
        <f>IF($B3278="","",IFERROR(INDEX(Config!$D$9:$D$29,MATCH($B3278,Config!$B$9:$B$29,0))&amp;"",""))</f>
        <v/>
      </c>
    </row>
    <row r="3279">
      <c r="R3279" s="20" t="str">
        <f>IF($B3279="","",IFERROR(IF(INDEX(Config!$D$9:$D$29,MATCH($B3279,Config!$B$9:$B$29,0))="Contrato",IF(INDEX(Config!$E$9:$E$29,MATCH($B3279,Config!$B$9:$B$29,0))="","",INDEX(Config!$E$9:$E$29,MATCH($B3279,Config!$B$9:$B$29,0))),""),""))</f>
        <v/>
      </c>
      <c r="AC3279" s="19" t="str">
        <f>IF($B3279="","",IFERROR(INDEX(Config!$D$9:$D$29,MATCH($B3279,Config!$B$9:$B$29,0))&amp;"",""))</f>
        <v/>
      </c>
    </row>
    <row r="3280">
      <c r="R3280" s="20" t="str">
        <f>IF($B3280="","",IFERROR(IF(INDEX(Config!$D$9:$D$29,MATCH($B3280,Config!$B$9:$B$29,0))="Contrato",IF(INDEX(Config!$E$9:$E$29,MATCH($B3280,Config!$B$9:$B$29,0))="","",INDEX(Config!$E$9:$E$29,MATCH($B3280,Config!$B$9:$B$29,0))),""),""))</f>
        <v/>
      </c>
      <c r="AC3280" s="19" t="str">
        <f>IF($B3280="","",IFERROR(INDEX(Config!$D$9:$D$29,MATCH($B3280,Config!$B$9:$B$29,0))&amp;"",""))</f>
        <v/>
      </c>
    </row>
    <row r="3281">
      <c r="R3281" s="20" t="str">
        <f>IF($B3281="","",IFERROR(IF(INDEX(Config!$D$9:$D$29,MATCH($B3281,Config!$B$9:$B$29,0))="Contrato",IF(INDEX(Config!$E$9:$E$29,MATCH($B3281,Config!$B$9:$B$29,0))="","",INDEX(Config!$E$9:$E$29,MATCH($B3281,Config!$B$9:$B$29,0))),""),""))</f>
        <v/>
      </c>
      <c r="AC3281" s="19" t="str">
        <f>IF($B3281="","",IFERROR(INDEX(Config!$D$9:$D$29,MATCH($B3281,Config!$B$9:$B$29,0))&amp;"",""))</f>
        <v/>
      </c>
    </row>
    <row r="3282">
      <c r="R3282" s="20" t="str">
        <f>IF($B3282="","",IFERROR(IF(INDEX(Config!$D$9:$D$29,MATCH($B3282,Config!$B$9:$B$29,0))="Contrato",IF(INDEX(Config!$E$9:$E$29,MATCH($B3282,Config!$B$9:$B$29,0))="","",INDEX(Config!$E$9:$E$29,MATCH($B3282,Config!$B$9:$B$29,0))),""),""))</f>
        <v/>
      </c>
      <c r="AC3282" s="19" t="str">
        <f>IF($B3282="","",IFERROR(INDEX(Config!$D$9:$D$29,MATCH($B3282,Config!$B$9:$B$29,0))&amp;"",""))</f>
        <v/>
      </c>
    </row>
    <row r="3283">
      <c r="R3283" s="20" t="str">
        <f>IF($B3283="","",IFERROR(IF(INDEX(Config!$D$9:$D$29,MATCH($B3283,Config!$B$9:$B$29,0))="Contrato",IF(INDEX(Config!$E$9:$E$29,MATCH($B3283,Config!$B$9:$B$29,0))="","",INDEX(Config!$E$9:$E$29,MATCH($B3283,Config!$B$9:$B$29,0))),""),""))</f>
        <v/>
      </c>
      <c r="AC3283" s="19" t="str">
        <f>IF($B3283="","",IFERROR(INDEX(Config!$D$9:$D$29,MATCH($B3283,Config!$B$9:$B$29,0))&amp;"",""))</f>
        <v/>
      </c>
    </row>
    <row r="3284">
      <c r="R3284" s="20" t="str">
        <f>IF($B3284="","",IFERROR(IF(INDEX(Config!$D$9:$D$29,MATCH($B3284,Config!$B$9:$B$29,0))="Contrato",IF(INDEX(Config!$E$9:$E$29,MATCH($B3284,Config!$B$9:$B$29,0))="","",INDEX(Config!$E$9:$E$29,MATCH($B3284,Config!$B$9:$B$29,0))),""),""))</f>
        <v/>
      </c>
      <c r="AC3284" s="19" t="str">
        <f>IF($B3284="","",IFERROR(INDEX(Config!$D$9:$D$29,MATCH($B3284,Config!$B$9:$B$29,0))&amp;"",""))</f>
        <v/>
      </c>
    </row>
    <row r="3285">
      <c r="R3285" s="20" t="str">
        <f>IF($B3285="","",IFERROR(IF(INDEX(Config!$D$9:$D$29,MATCH($B3285,Config!$B$9:$B$29,0))="Contrato",IF(INDEX(Config!$E$9:$E$29,MATCH($B3285,Config!$B$9:$B$29,0))="","",INDEX(Config!$E$9:$E$29,MATCH($B3285,Config!$B$9:$B$29,0))),""),""))</f>
        <v/>
      </c>
      <c r="AC3285" s="19" t="str">
        <f>IF($B3285="","",IFERROR(INDEX(Config!$D$9:$D$29,MATCH($B3285,Config!$B$9:$B$29,0))&amp;"",""))</f>
        <v/>
      </c>
    </row>
    <row r="3286">
      <c r="R3286" s="20" t="str">
        <f>IF($B3286="","",IFERROR(IF(INDEX(Config!$D$9:$D$29,MATCH($B3286,Config!$B$9:$B$29,0))="Contrato",IF(INDEX(Config!$E$9:$E$29,MATCH($B3286,Config!$B$9:$B$29,0))="","",INDEX(Config!$E$9:$E$29,MATCH($B3286,Config!$B$9:$B$29,0))),""),""))</f>
        <v/>
      </c>
      <c r="AC3286" s="19" t="str">
        <f>IF($B3286="","",IFERROR(INDEX(Config!$D$9:$D$29,MATCH($B3286,Config!$B$9:$B$29,0))&amp;"",""))</f>
        <v/>
      </c>
    </row>
    <row r="3287">
      <c r="R3287" s="20" t="str">
        <f>IF($B3287="","",IFERROR(IF(INDEX(Config!$D$9:$D$29,MATCH($B3287,Config!$B$9:$B$29,0))="Contrato",IF(INDEX(Config!$E$9:$E$29,MATCH($B3287,Config!$B$9:$B$29,0))="","",INDEX(Config!$E$9:$E$29,MATCH($B3287,Config!$B$9:$B$29,0))),""),""))</f>
        <v/>
      </c>
      <c r="AC3287" s="19" t="str">
        <f>IF($B3287="","",IFERROR(INDEX(Config!$D$9:$D$29,MATCH($B3287,Config!$B$9:$B$29,0))&amp;"",""))</f>
        <v/>
      </c>
    </row>
    <row r="3288">
      <c r="R3288" s="20" t="str">
        <f>IF($B3288="","",IFERROR(IF(INDEX(Config!$D$9:$D$29,MATCH($B3288,Config!$B$9:$B$29,0))="Contrato",IF(INDEX(Config!$E$9:$E$29,MATCH($B3288,Config!$B$9:$B$29,0))="","",INDEX(Config!$E$9:$E$29,MATCH($B3288,Config!$B$9:$B$29,0))),""),""))</f>
        <v/>
      </c>
      <c r="AC3288" s="19" t="str">
        <f>IF($B3288="","",IFERROR(INDEX(Config!$D$9:$D$29,MATCH($B3288,Config!$B$9:$B$29,0))&amp;"",""))</f>
        <v/>
      </c>
    </row>
    <row r="3289">
      <c r="R3289" s="20" t="str">
        <f>IF($B3289="","",IFERROR(IF(INDEX(Config!$D$9:$D$29,MATCH($B3289,Config!$B$9:$B$29,0))="Contrato",IF(INDEX(Config!$E$9:$E$29,MATCH($B3289,Config!$B$9:$B$29,0))="","",INDEX(Config!$E$9:$E$29,MATCH($B3289,Config!$B$9:$B$29,0))),""),""))</f>
        <v/>
      </c>
      <c r="AC3289" s="19" t="str">
        <f>IF($B3289="","",IFERROR(INDEX(Config!$D$9:$D$29,MATCH($B3289,Config!$B$9:$B$29,0))&amp;"",""))</f>
        <v/>
      </c>
    </row>
    <row r="3290">
      <c r="R3290" s="20" t="str">
        <f>IF($B3290="","",IFERROR(IF(INDEX(Config!$D$9:$D$29,MATCH($B3290,Config!$B$9:$B$29,0))="Contrato",IF(INDEX(Config!$E$9:$E$29,MATCH($B3290,Config!$B$9:$B$29,0))="","",INDEX(Config!$E$9:$E$29,MATCH($B3290,Config!$B$9:$B$29,0))),""),""))</f>
        <v/>
      </c>
      <c r="AC3290" s="19" t="str">
        <f>IF($B3290="","",IFERROR(INDEX(Config!$D$9:$D$29,MATCH($B3290,Config!$B$9:$B$29,0))&amp;"",""))</f>
        <v/>
      </c>
    </row>
    <row r="3291">
      <c r="R3291" s="20" t="str">
        <f>IF($B3291="","",IFERROR(IF(INDEX(Config!$D$9:$D$29,MATCH($B3291,Config!$B$9:$B$29,0))="Contrato",IF(INDEX(Config!$E$9:$E$29,MATCH($B3291,Config!$B$9:$B$29,0))="","",INDEX(Config!$E$9:$E$29,MATCH($B3291,Config!$B$9:$B$29,0))),""),""))</f>
        <v/>
      </c>
      <c r="AC3291" s="19" t="str">
        <f>IF($B3291="","",IFERROR(INDEX(Config!$D$9:$D$29,MATCH($B3291,Config!$B$9:$B$29,0))&amp;"",""))</f>
        <v/>
      </c>
    </row>
    <row r="3292">
      <c r="R3292" s="20" t="str">
        <f>IF($B3292="","",IFERROR(IF(INDEX(Config!$D$9:$D$29,MATCH($B3292,Config!$B$9:$B$29,0))="Contrato",IF(INDEX(Config!$E$9:$E$29,MATCH($B3292,Config!$B$9:$B$29,0))="","",INDEX(Config!$E$9:$E$29,MATCH($B3292,Config!$B$9:$B$29,0))),""),""))</f>
        <v/>
      </c>
      <c r="AC3292" s="19" t="str">
        <f>IF($B3292="","",IFERROR(INDEX(Config!$D$9:$D$29,MATCH($B3292,Config!$B$9:$B$29,0))&amp;"",""))</f>
        <v/>
      </c>
    </row>
    <row r="3293">
      <c r="R3293" s="20" t="str">
        <f>IF($B3293="","",IFERROR(IF(INDEX(Config!$D$9:$D$29,MATCH($B3293,Config!$B$9:$B$29,0))="Contrato",IF(INDEX(Config!$E$9:$E$29,MATCH($B3293,Config!$B$9:$B$29,0))="","",INDEX(Config!$E$9:$E$29,MATCH($B3293,Config!$B$9:$B$29,0))),""),""))</f>
        <v/>
      </c>
      <c r="AC3293" s="19" t="str">
        <f>IF($B3293="","",IFERROR(INDEX(Config!$D$9:$D$29,MATCH($B3293,Config!$B$9:$B$29,0))&amp;"",""))</f>
        <v/>
      </c>
    </row>
    <row r="3294">
      <c r="R3294" s="20" t="str">
        <f>IF($B3294="","",IFERROR(IF(INDEX(Config!$D$9:$D$29,MATCH($B3294,Config!$B$9:$B$29,0))="Contrato",IF(INDEX(Config!$E$9:$E$29,MATCH($B3294,Config!$B$9:$B$29,0))="","",INDEX(Config!$E$9:$E$29,MATCH($B3294,Config!$B$9:$B$29,0))),""),""))</f>
        <v/>
      </c>
      <c r="AC3294" s="19" t="str">
        <f>IF($B3294="","",IFERROR(INDEX(Config!$D$9:$D$29,MATCH($B3294,Config!$B$9:$B$29,0))&amp;"",""))</f>
        <v/>
      </c>
    </row>
    <row r="3295">
      <c r="R3295" s="20" t="str">
        <f>IF($B3295="","",IFERROR(IF(INDEX(Config!$D$9:$D$29,MATCH($B3295,Config!$B$9:$B$29,0))="Contrato",IF(INDEX(Config!$E$9:$E$29,MATCH($B3295,Config!$B$9:$B$29,0))="","",INDEX(Config!$E$9:$E$29,MATCH($B3295,Config!$B$9:$B$29,0))),""),""))</f>
        <v/>
      </c>
      <c r="AC3295" s="19" t="str">
        <f>IF($B3295="","",IFERROR(INDEX(Config!$D$9:$D$29,MATCH($B3295,Config!$B$9:$B$29,0))&amp;"",""))</f>
        <v/>
      </c>
    </row>
    <row r="3296">
      <c r="R3296" s="20" t="str">
        <f>IF($B3296="","",IFERROR(IF(INDEX(Config!$D$9:$D$29,MATCH($B3296,Config!$B$9:$B$29,0))="Contrato",IF(INDEX(Config!$E$9:$E$29,MATCH($B3296,Config!$B$9:$B$29,0))="","",INDEX(Config!$E$9:$E$29,MATCH($B3296,Config!$B$9:$B$29,0))),""),""))</f>
        <v/>
      </c>
      <c r="AC3296" s="19" t="str">
        <f>IF($B3296="","",IFERROR(INDEX(Config!$D$9:$D$29,MATCH($B3296,Config!$B$9:$B$29,0))&amp;"",""))</f>
        <v/>
      </c>
    </row>
    <row r="3297">
      <c r="R3297" s="20" t="str">
        <f>IF($B3297="","",IFERROR(IF(INDEX(Config!$D$9:$D$29,MATCH($B3297,Config!$B$9:$B$29,0))="Contrato",IF(INDEX(Config!$E$9:$E$29,MATCH($B3297,Config!$B$9:$B$29,0))="","",INDEX(Config!$E$9:$E$29,MATCH($B3297,Config!$B$9:$B$29,0))),""),""))</f>
        <v/>
      </c>
      <c r="AC3297" s="19" t="str">
        <f>IF($B3297="","",IFERROR(INDEX(Config!$D$9:$D$29,MATCH($B3297,Config!$B$9:$B$29,0))&amp;"",""))</f>
        <v/>
      </c>
    </row>
    <row r="3298">
      <c r="R3298" s="20" t="str">
        <f>IF($B3298="","",IFERROR(IF(INDEX(Config!$D$9:$D$29,MATCH($B3298,Config!$B$9:$B$29,0))="Contrato",IF(INDEX(Config!$E$9:$E$29,MATCH($B3298,Config!$B$9:$B$29,0))="","",INDEX(Config!$E$9:$E$29,MATCH($B3298,Config!$B$9:$B$29,0))),""),""))</f>
        <v/>
      </c>
      <c r="AC3298" s="19" t="str">
        <f>IF($B3298="","",IFERROR(INDEX(Config!$D$9:$D$29,MATCH($B3298,Config!$B$9:$B$29,0))&amp;"",""))</f>
        <v/>
      </c>
    </row>
    <row r="3299">
      <c r="R3299" s="20" t="str">
        <f>IF($B3299="","",IFERROR(IF(INDEX(Config!$D$9:$D$29,MATCH($B3299,Config!$B$9:$B$29,0))="Contrato",IF(INDEX(Config!$E$9:$E$29,MATCH($B3299,Config!$B$9:$B$29,0))="","",INDEX(Config!$E$9:$E$29,MATCH($B3299,Config!$B$9:$B$29,0))),""),""))</f>
        <v/>
      </c>
      <c r="AC3299" s="19" t="str">
        <f>IF($B3299="","",IFERROR(INDEX(Config!$D$9:$D$29,MATCH($B3299,Config!$B$9:$B$29,0))&amp;"",""))</f>
        <v/>
      </c>
    </row>
    <row r="3300">
      <c r="R3300" s="20" t="str">
        <f>IF($B3300="","",IFERROR(IF(INDEX(Config!$D$9:$D$29,MATCH($B3300,Config!$B$9:$B$29,0))="Contrato",IF(INDEX(Config!$E$9:$E$29,MATCH($B3300,Config!$B$9:$B$29,0))="","",INDEX(Config!$E$9:$E$29,MATCH($B3300,Config!$B$9:$B$29,0))),""),""))</f>
        <v/>
      </c>
      <c r="AC3300" s="19" t="str">
        <f>IF($B3300="","",IFERROR(INDEX(Config!$D$9:$D$29,MATCH($B3300,Config!$B$9:$B$29,0))&amp;"",""))</f>
        <v/>
      </c>
    </row>
    <row r="3301">
      <c r="R3301" s="20" t="str">
        <f>IF($B3301="","",IFERROR(IF(INDEX(Config!$D$9:$D$29,MATCH($B3301,Config!$B$9:$B$29,0))="Contrato",IF(INDEX(Config!$E$9:$E$29,MATCH($B3301,Config!$B$9:$B$29,0))="","",INDEX(Config!$E$9:$E$29,MATCH($B3301,Config!$B$9:$B$29,0))),""),""))</f>
        <v/>
      </c>
      <c r="AC3301" s="19" t="str">
        <f>IF($B3301="","",IFERROR(INDEX(Config!$D$9:$D$29,MATCH($B3301,Config!$B$9:$B$29,0))&amp;"",""))</f>
        <v/>
      </c>
    </row>
    <row r="3302">
      <c r="R3302" s="20" t="str">
        <f>IF($B3302="","",IFERROR(IF(INDEX(Config!$D$9:$D$29,MATCH($B3302,Config!$B$9:$B$29,0))="Contrato",IF(INDEX(Config!$E$9:$E$29,MATCH($B3302,Config!$B$9:$B$29,0))="","",INDEX(Config!$E$9:$E$29,MATCH($B3302,Config!$B$9:$B$29,0))),""),""))</f>
        <v/>
      </c>
      <c r="AC3302" s="19" t="str">
        <f>IF($B3302="","",IFERROR(INDEX(Config!$D$9:$D$29,MATCH($B3302,Config!$B$9:$B$29,0))&amp;"",""))</f>
        <v/>
      </c>
    </row>
    <row r="3303">
      <c r="R3303" s="20" t="str">
        <f>IF($B3303="","",IFERROR(IF(INDEX(Config!$D$9:$D$29,MATCH($B3303,Config!$B$9:$B$29,0))="Contrato",IF(INDEX(Config!$E$9:$E$29,MATCH($B3303,Config!$B$9:$B$29,0))="","",INDEX(Config!$E$9:$E$29,MATCH($B3303,Config!$B$9:$B$29,0))),""),""))</f>
        <v/>
      </c>
      <c r="AC3303" s="19" t="str">
        <f>IF($B3303="","",IFERROR(INDEX(Config!$D$9:$D$29,MATCH($B3303,Config!$B$9:$B$29,0))&amp;"",""))</f>
        <v/>
      </c>
    </row>
    <row r="3304">
      <c r="R3304" s="20" t="str">
        <f>IF($B3304="","",IFERROR(IF(INDEX(Config!$D$9:$D$29,MATCH($B3304,Config!$B$9:$B$29,0))="Contrato",IF(INDEX(Config!$E$9:$E$29,MATCH($B3304,Config!$B$9:$B$29,0))="","",INDEX(Config!$E$9:$E$29,MATCH($B3304,Config!$B$9:$B$29,0))),""),""))</f>
        <v/>
      </c>
      <c r="AC3304" s="19" t="str">
        <f>IF($B3304="","",IFERROR(INDEX(Config!$D$9:$D$29,MATCH($B3304,Config!$B$9:$B$29,0))&amp;"",""))</f>
        <v/>
      </c>
    </row>
    <row r="3305">
      <c r="R3305" s="20" t="str">
        <f>IF($B3305="","",IFERROR(IF(INDEX(Config!$D$9:$D$29,MATCH($B3305,Config!$B$9:$B$29,0))="Contrato",IF(INDEX(Config!$E$9:$E$29,MATCH($B3305,Config!$B$9:$B$29,0))="","",INDEX(Config!$E$9:$E$29,MATCH($B3305,Config!$B$9:$B$29,0))),""),""))</f>
        <v/>
      </c>
      <c r="AC3305" s="19" t="str">
        <f>IF($B3305="","",IFERROR(INDEX(Config!$D$9:$D$29,MATCH($B3305,Config!$B$9:$B$29,0))&amp;"",""))</f>
        <v/>
      </c>
    </row>
    <row r="3306">
      <c r="R3306" s="20" t="str">
        <f>IF($B3306="","",IFERROR(IF(INDEX(Config!$D$9:$D$29,MATCH($B3306,Config!$B$9:$B$29,0))="Contrato",IF(INDEX(Config!$E$9:$E$29,MATCH($B3306,Config!$B$9:$B$29,0))="","",INDEX(Config!$E$9:$E$29,MATCH($B3306,Config!$B$9:$B$29,0))),""),""))</f>
        <v/>
      </c>
      <c r="AC3306" s="19" t="str">
        <f>IF($B3306="","",IFERROR(INDEX(Config!$D$9:$D$29,MATCH($B3306,Config!$B$9:$B$29,0))&amp;"",""))</f>
        <v/>
      </c>
    </row>
    <row r="3307">
      <c r="R3307" s="20" t="str">
        <f>IF($B3307="","",IFERROR(IF(INDEX(Config!$D$9:$D$29,MATCH($B3307,Config!$B$9:$B$29,0))="Contrato",IF(INDEX(Config!$E$9:$E$29,MATCH($B3307,Config!$B$9:$B$29,0))="","",INDEX(Config!$E$9:$E$29,MATCH($B3307,Config!$B$9:$B$29,0))),""),""))</f>
        <v/>
      </c>
      <c r="AC3307" s="19" t="str">
        <f>IF($B3307="","",IFERROR(INDEX(Config!$D$9:$D$29,MATCH($B3307,Config!$B$9:$B$29,0))&amp;"",""))</f>
        <v/>
      </c>
    </row>
    <row r="3308">
      <c r="R3308" s="20" t="str">
        <f>IF($B3308="","",IFERROR(IF(INDEX(Config!$D$9:$D$29,MATCH($B3308,Config!$B$9:$B$29,0))="Contrato",IF(INDEX(Config!$E$9:$E$29,MATCH($B3308,Config!$B$9:$B$29,0))="","",INDEX(Config!$E$9:$E$29,MATCH($B3308,Config!$B$9:$B$29,0))),""),""))</f>
        <v/>
      </c>
      <c r="AC3308" s="19" t="str">
        <f>IF($B3308="","",IFERROR(INDEX(Config!$D$9:$D$29,MATCH($B3308,Config!$B$9:$B$29,0))&amp;"",""))</f>
        <v/>
      </c>
    </row>
    <row r="3309">
      <c r="R3309" s="20" t="str">
        <f>IF($B3309="","",IFERROR(IF(INDEX(Config!$D$9:$D$29,MATCH($B3309,Config!$B$9:$B$29,0))="Contrato",IF(INDEX(Config!$E$9:$E$29,MATCH($B3309,Config!$B$9:$B$29,0))="","",INDEX(Config!$E$9:$E$29,MATCH($B3309,Config!$B$9:$B$29,0))),""),""))</f>
        <v/>
      </c>
      <c r="AC3309" s="19" t="str">
        <f>IF($B3309="","",IFERROR(INDEX(Config!$D$9:$D$29,MATCH($B3309,Config!$B$9:$B$29,0))&amp;"",""))</f>
        <v/>
      </c>
    </row>
    <row r="3310">
      <c r="R3310" s="20" t="str">
        <f>IF($B3310="","",IFERROR(IF(INDEX(Config!$D$9:$D$29,MATCH($B3310,Config!$B$9:$B$29,0))="Contrato",IF(INDEX(Config!$E$9:$E$29,MATCH($B3310,Config!$B$9:$B$29,0))="","",INDEX(Config!$E$9:$E$29,MATCH($B3310,Config!$B$9:$B$29,0))),""),""))</f>
        <v/>
      </c>
      <c r="AC3310" s="19" t="str">
        <f>IF($B3310="","",IFERROR(INDEX(Config!$D$9:$D$29,MATCH($B3310,Config!$B$9:$B$29,0))&amp;"",""))</f>
        <v/>
      </c>
    </row>
    <row r="3311">
      <c r="R3311" s="20" t="str">
        <f>IF($B3311="","",IFERROR(IF(INDEX(Config!$D$9:$D$29,MATCH($B3311,Config!$B$9:$B$29,0))="Contrato",IF(INDEX(Config!$E$9:$E$29,MATCH($B3311,Config!$B$9:$B$29,0))="","",INDEX(Config!$E$9:$E$29,MATCH($B3311,Config!$B$9:$B$29,0))),""),""))</f>
        <v/>
      </c>
      <c r="AC3311" s="19" t="str">
        <f>IF($B3311="","",IFERROR(INDEX(Config!$D$9:$D$29,MATCH($B3311,Config!$B$9:$B$29,0))&amp;"",""))</f>
        <v/>
      </c>
    </row>
    <row r="3312">
      <c r="R3312" s="20" t="str">
        <f>IF($B3312="","",IFERROR(IF(INDEX(Config!$D$9:$D$29,MATCH($B3312,Config!$B$9:$B$29,0))="Contrato",IF(INDEX(Config!$E$9:$E$29,MATCH($B3312,Config!$B$9:$B$29,0))="","",INDEX(Config!$E$9:$E$29,MATCH($B3312,Config!$B$9:$B$29,0))),""),""))</f>
        <v/>
      </c>
      <c r="AC3312" s="19" t="str">
        <f>IF($B3312="","",IFERROR(INDEX(Config!$D$9:$D$29,MATCH($B3312,Config!$B$9:$B$29,0))&amp;"",""))</f>
        <v/>
      </c>
    </row>
    <row r="3313">
      <c r="R3313" s="20" t="str">
        <f>IF($B3313="","",IFERROR(IF(INDEX(Config!$D$9:$D$29,MATCH($B3313,Config!$B$9:$B$29,0))="Contrato",IF(INDEX(Config!$E$9:$E$29,MATCH($B3313,Config!$B$9:$B$29,0))="","",INDEX(Config!$E$9:$E$29,MATCH($B3313,Config!$B$9:$B$29,0))),""),""))</f>
        <v/>
      </c>
      <c r="AC3313" s="19" t="str">
        <f>IF($B3313="","",IFERROR(INDEX(Config!$D$9:$D$29,MATCH($B3313,Config!$B$9:$B$29,0))&amp;"",""))</f>
        <v/>
      </c>
    </row>
    <row r="3314">
      <c r="R3314" s="20" t="str">
        <f>IF($B3314="","",IFERROR(IF(INDEX(Config!$D$9:$D$29,MATCH($B3314,Config!$B$9:$B$29,0))="Contrato",IF(INDEX(Config!$E$9:$E$29,MATCH($B3314,Config!$B$9:$B$29,0))="","",INDEX(Config!$E$9:$E$29,MATCH($B3314,Config!$B$9:$B$29,0))),""),""))</f>
        <v/>
      </c>
      <c r="AC3314" s="19" t="str">
        <f>IF($B3314="","",IFERROR(INDEX(Config!$D$9:$D$29,MATCH($B3314,Config!$B$9:$B$29,0))&amp;"",""))</f>
        <v/>
      </c>
    </row>
    <row r="3315">
      <c r="R3315" s="20" t="str">
        <f>IF($B3315="","",IFERROR(IF(INDEX(Config!$D$9:$D$29,MATCH($B3315,Config!$B$9:$B$29,0))="Contrato",IF(INDEX(Config!$E$9:$E$29,MATCH($B3315,Config!$B$9:$B$29,0))="","",INDEX(Config!$E$9:$E$29,MATCH($B3315,Config!$B$9:$B$29,0))),""),""))</f>
        <v/>
      </c>
      <c r="AC3315" s="19" t="str">
        <f>IF($B3315="","",IFERROR(INDEX(Config!$D$9:$D$29,MATCH($B3315,Config!$B$9:$B$29,0))&amp;"",""))</f>
        <v/>
      </c>
    </row>
    <row r="3316">
      <c r="R3316" s="20" t="str">
        <f>IF($B3316="","",IFERROR(IF(INDEX(Config!$D$9:$D$29,MATCH($B3316,Config!$B$9:$B$29,0))="Contrato",IF(INDEX(Config!$E$9:$E$29,MATCH($B3316,Config!$B$9:$B$29,0))="","",INDEX(Config!$E$9:$E$29,MATCH($B3316,Config!$B$9:$B$29,0))),""),""))</f>
        <v/>
      </c>
      <c r="AC3316" s="19" t="str">
        <f>IF($B3316="","",IFERROR(INDEX(Config!$D$9:$D$29,MATCH($B3316,Config!$B$9:$B$29,0))&amp;"",""))</f>
        <v/>
      </c>
    </row>
    <row r="3317">
      <c r="R3317" s="20" t="str">
        <f>IF($B3317="","",IFERROR(IF(INDEX(Config!$D$9:$D$29,MATCH($B3317,Config!$B$9:$B$29,0))="Contrato",IF(INDEX(Config!$E$9:$E$29,MATCH($B3317,Config!$B$9:$B$29,0))="","",INDEX(Config!$E$9:$E$29,MATCH($B3317,Config!$B$9:$B$29,0))),""),""))</f>
        <v/>
      </c>
      <c r="AC3317" s="19" t="str">
        <f>IF($B3317="","",IFERROR(INDEX(Config!$D$9:$D$29,MATCH($B3317,Config!$B$9:$B$29,0))&amp;"",""))</f>
        <v/>
      </c>
    </row>
    <row r="3318">
      <c r="R3318" s="20" t="str">
        <f>IF($B3318="","",IFERROR(IF(INDEX(Config!$D$9:$D$29,MATCH($B3318,Config!$B$9:$B$29,0))="Contrato",IF(INDEX(Config!$E$9:$E$29,MATCH($B3318,Config!$B$9:$B$29,0))="","",INDEX(Config!$E$9:$E$29,MATCH($B3318,Config!$B$9:$B$29,0))),""),""))</f>
        <v/>
      </c>
      <c r="AC3318" s="19" t="str">
        <f>IF($B3318="","",IFERROR(INDEX(Config!$D$9:$D$29,MATCH($B3318,Config!$B$9:$B$29,0))&amp;"",""))</f>
        <v/>
      </c>
    </row>
    <row r="3319">
      <c r="R3319" s="20" t="str">
        <f>IF($B3319="","",IFERROR(IF(INDEX(Config!$D$9:$D$29,MATCH($B3319,Config!$B$9:$B$29,0))="Contrato",IF(INDEX(Config!$E$9:$E$29,MATCH($B3319,Config!$B$9:$B$29,0))="","",INDEX(Config!$E$9:$E$29,MATCH($B3319,Config!$B$9:$B$29,0))),""),""))</f>
        <v/>
      </c>
      <c r="AC3319" s="19" t="str">
        <f>IF($B3319="","",IFERROR(INDEX(Config!$D$9:$D$29,MATCH($B3319,Config!$B$9:$B$29,0))&amp;"",""))</f>
        <v/>
      </c>
    </row>
    <row r="3320">
      <c r="R3320" s="20" t="str">
        <f>IF($B3320="","",IFERROR(IF(INDEX(Config!$D$9:$D$29,MATCH($B3320,Config!$B$9:$B$29,0))="Contrato",IF(INDEX(Config!$E$9:$E$29,MATCH($B3320,Config!$B$9:$B$29,0))="","",INDEX(Config!$E$9:$E$29,MATCH($B3320,Config!$B$9:$B$29,0))),""),""))</f>
        <v/>
      </c>
      <c r="AC3320" s="19" t="str">
        <f>IF($B3320="","",IFERROR(INDEX(Config!$D$9:$D$29,MATCH($B3320,Config!$B$9:$B$29,0))&amp;"",""))</f>
        <v/>
      </c>
    </row>
    <row r="3321">
      <c r="R3321" s="20" t="str">
        <f>IF($B3321="","",IFERROR(IF(INDEX(Config!$D$9:$D$29,MATCH($B3321,Config!$B$9:$B$29,0))="Contrato",IF(INDEX(Config!$E$9:$E$29,MATCH($B3321,Config!$B$9:$B$29,0))="","",INDEX(Config!$E$9:$E$29,MATCH($B3321,Config!$B$9:$B$29,0))),""),""))</f>
        <v/>
      </c>
      <c r="AC3321" s="19" t="str">
        <f>IF($B3321="","",IFERROR(INDEX(Config!$D$9:$D$29,MATCH($B3321,Config!$B$9:$B$29,0))&amp;"",""))</f>
        <v/>
      </c>
    </row>
    <row r="3322">
      <c r="R3322" s="20" t="str">
        <f>IF($B3322="","",IFERROR(IF(INDEX(Config!$D$9:$D$29,MATCH($B3322,Config!$B$9:$B$29,0))="Contrato",IF(INDEX(Config!$E$9:$E$29,MATCH($B3322,Config!$B$9:$B$29,0))="","",INDEX(Config!$E$9:$E$29,MATCH($B3322,Config!$B$9:$B$29,0))),""),""))</f>
        <v/>
      </c>
      <c r="AC3322" s="19" t="str">
        <f>IF($B3322="","",IFERROR(INDEX(Config!$D$9:$D$29,MATCH($B3322,Config!$B$9:$B$29,0))&amp;"",""))</f>
        <v/>
      </c>
    </row>
    <row r="3323">
      <c r="R3323" s="20" t="str">
        <f>IF($B3323="","",IFERROR(IF(INDEX(Config!$D$9:$D$29,MATCH($B3323,Config!$B$9:$B$29,0))="Contrato",IF(INDEX(Config!$E$9:$E$29,MATCH($B3323,Config!$B$9:$B$29,0))="","",INDEX(Config!$E$9:$E$29,MATCH($B3323,Config!$B$9:$B$29,0))),""),""))</f>
        <v/>
      </c>
      <c r="AC3323" s="19" t="str">
        <f>IF($B3323="","",IFERROR(INDEX(Config!$D$9:$D$29,MATCH($B3323,Config!$B$9:$B$29,0))&amp;"",""))</f>
        <v/>
      </c>
    </row>
    <row r="3324">
      <c r="R3324" s="20" t="str">
        <f>IF($B3324="","",IFERROR(IF(INDEX(Config!$D$9:$D$29,MATCH($B3324,Config!$B$9:$B$29,0))="Contrato",IF(INDEX(Config!$E$9:$E$29,MATCH($B3324,Config!$B$9:$B$29,0))="","",INDEX(Config!$E$9:$E$29,MATCH($B3324,Config!$B$9:$B$29,0))),""),""))</f>
        <v/>
      </c>
      <c r="AC3324" s="19" t="str">
        <f>IF($B3324="","",IFERROR(INDEX(Config!$D$9:$D$29,MATCH($B3324,Config!$B$9:$B$29,0))&amp;"",""))</f>
        <v/>
      </c>
    </row>
    <row r="3325">
      <c r="R3325" s="20" t="str">
        <f>IF($B3325="","",IFERROR(IF(INDEX(Config!$D$9:$D$29,MATCH($B3325,Config!$B$9:$B$29,0))="Contrato",IF(INDEX(Config!$E$9:$E$29,MATCH($B3325,Config!$B$9:$B$29,0))="","",INDEX(Config!$E$9:$E$29,MATCH($B3325,Config!$B$9:$B$29,0))),""),""))</f>
        <v/>
      </c>
      <c r="AC3325" s="19" t="str">
        <f>IF($B3325="","",IFERROR(INDEX(Config!$D$9:$D$29,MATCH($B3325,Config!$B$9:$B$29,0))&amp;"",""))</f>
        <v/>
      </c>
    </row>
    <row r="3326">
      <c r="R3326" s="20" t="str">
        <f>IF($B3326="","",IFERROR(IF(INDEX(Config!$D$9:$D$29,MATCH($B3326,Config!$B$9:$B$29,0))="Contrato",IF(INDEX(Config!$E$9:$E$29,MATCH($B3326,Config!$B$9:$B$29,0))="","",INDEX(Config!$E$9:$E$29,MATCH($B3326,Config!$B$9:$B$29,0))),""),""))</f>
        <v/>
      </c>
      <c r="AC3326" s="19" t="str">
        <f>IF($B3326="","",IFERROR(INDEX(Config!$D$9:$D$29,MATCH($B3326,Config!$B$9:$B$29,0))&amp;"",""))</f>
        <v/>
      </c>
    </row>
    <row r="3327">
      <c r="R3327" s="20" t="str">
        <f>IF($B3327="","",IFERROR(IF(INDEX(Config!$D$9:$D$29,MATCH($B3327,Config!$B$9:$B$29,0))="Contrato",IF(INDEX(Config!$E$9:$E$29,MATCH($B3327,Config!$B$9:$B$29,0))="","",INDEX(Config!$E$9:$E$29,MATCH($B3327,Config!$B$9:$B$29,0))),""),""))</f>
        <v/>
      </c>
      <c r="AC3327" s="19" t="str">
        <f>IF($B3327="","",IFERROR(INDEX(Config!$D$9:$D$29,MATCH($B3327,Config!$B$9:$B$29,0))&amp;"",""))</f>
        <v/>
      </c>
    </row>
    <row r="3328">
      <c r="R3328" s="20" t="str">
        <f>IF($B3328="","",IFERROR(IF(INDEX(Config!$D$9:$D$29,MATCH($B3328,Config!$B$9:$B$29,0))="Contrato",IF(INDEX(Config!$E$9:$E$29,MATCH($B3328,Config!$B$9:$B$29,0))="","",INDEX(Config!$E$9:$E$29,MATCH($B3328,Config!$B$9:$B$29,0))),""),""))</f>
        <v/>
      </c>
      <c r="AC3328" s="19" t="str">
        <f>IF($B3328="","",IFERROR(INDEX(Config!$D$9:$D$29,MATCH($B3328,Config!$B$9:$B$29,0))&amp;"",""))</f>
        <v/>
      </c>
    </row>
    <row r="3329">
      <c r="R3329" s="20" t="str">
        <f>IF($B3329="","",IFERROR(IF(INDEX(Config!$D$9:$D$29,MATCH($B3329,Config!$B$9:$B$29,0))="Contrato",IF(INDEX(Config!$E$9:$E$29,MATCH($B3329,Config!$B$9:$B$29,0))="","",INDEX(Config!$E$9:$E$29,MATCH($B3329,Config!$B$9:$B$29,0))),""),""))</f>
        <v/>
      </c>
      <c r="AC3329" s="19" t="str">
        <f>IF($B3329="","",IFERROR(INDEX(Config!$D$9:$D$29,MATCH($B3329,Config!$B$9:$B$29,0))&amp;"",""))</f>
        <v/>
      </c>
    </row>
    <row r="3330">
      <c r="R3330" s="20" t="str">
        <f>IF($B3330="","",IFERROR(IF(INDEX(Config!$D$9:$D$29,MATCH($B3330,Config!$B$9:$B$29,0))="Contrato",IF(INDEX(Config!$E$9:$E$29,MATCH($B3330,Config!$B$9:$B$29,0))="","",INDEX(Config!$E$9:$E$29,MATCH($B3330,Config!$B$9:$B$29,0))),""),""))</f>
        <v/>
      </c>
      <c r="AC3330" s="19" t="str">
        <f>IF($B3330="","",IFERROR(INDEX(Config!$D$9:$D$29,MATCH($B3330,Config!$B$9:$B$29,0))&amp;"",""))</f>
        <v/>
      </c>
    </row>
    <row r="3331">
      <c r="R3331" s="20" t="str">
        <f>IF($B3331="","",IFERROR(IF(INDEX(Config!$D$9:$D$29,MATCH($B3331,Config!$B$9:$B$29,0))="Contrato",IF(INDEX(Config!$E$9:$E$29,MATCH($B3331,Config!$B$9:$B$29,0))="","",INDEX(Config!$E$9:$E$29,MATCH($B3331,Config!$B$9:$B$29,0))),""),""))</f>
        <v/>
      </c>
      <c r="AC3331" s="19" t="str">
        <f>IF($B3331="","",IFERROR(INDEX(Config!$D$9:$D$29,MATCH($B3331,Config!$B$9:$B$29,0))&amp;"",""))</f>
        <v/>
      </c>
    </row>
    <row r="3332">
      <c r="R3332" s="20" t="str">
        <f>IF($B3332="","",IFERROR(IF(INDEX(Config!$D$9:$D$29,MATCH($B3332,Config!$B$9:$B$29,0))="Contrato",IF(INDEX(Config!$E$9:$E$29,MATCH($B3332,Config!$B$9:$B$29,0))="","",INDEX(Config!$E$9:$E$29,MATCH($B3332,Config!$B$9:$B$29,0))),""),""))</f>
        <v/>
      </c>
      <c r="AC3332" s="19" t="str">
        <f>IF($B3332="","",IFERROR(INDEX(Config!$D$9:$D$29,MATCH($B3332,Config!$B$9:$B$29,0))&amp;"",""))</f>
        <v/>
      </c>
    </row>
    <row r="3333">
      <c r="R3333" s="20" t="str">
        <f>IF($B3333="","",IFERROR(IF(INDEX(Config!$D$9:$D$29,MATCH($B3333,Config!$B$9:$B$29,0))="Contrato",IF(INDEX(Config!$E$9:$E$29,MATCH($B3333,Config!$B$9:$B$29,0))="","",INDEX(Config!$E$9:$E$29,MATCH($B3333,Config!$B$9:$B$29,0))),""),""))</f>
        <v/>
      </c>
      <c r="AC3333" s="19" t="str">
        <f>IF($B3333="","",IFERROR(INDEX(Config!$D$9:$D$29,MATCH($B3333,Config!$B$9:$B$29,0))&amp;"",""))</f>
        <v/>
      </c>
    </row>
    <row r="3334">
      <c r="R3334" s="20" t="str">
        <f>IF($B3334="","",IFERROR(IF(INDEX(Config!$D$9:$D$29,MATCH($B3334,Config!$B$9:$B$29,0))="Contrato",IF(INDEX(Config!$E$9:$E$29,MATCH($B3334,Config!$B$9:$B$29,0))="","",INDEX(Config!$E$9:$E$29,MATCH($B3334,Config!$B$9:$B$29,0))),""),""))</f>
        <v/>
      </c>
      <c r="AC3334" s="19" t="str">
        <f>IF($B3334="","",IFERROR(INDEX(Config!$D$9:$D$29,MATCH($B3334,Config!$B$9:$B$29,0))&amp;"",""))</f>
        <v/>
      </c>
    </row>
    <row r="3335">
      <c r="R3335" s="20" t="str">
        <f>IF($B3335="","",IFERROR(IF(INDEX(Config!$D$9:$D$29,MATCH($B3335,Config!$B$9:$B$29,0))="Contrato",IF(INDEX(Config!$E$9:$E$29,MATCH($B3335,Config!$B$9:$B$29,0))="","",INDEX(Config!$E$9:$E$29,MATCH($B3335,Config!$B$9:$B$29,0))),""),""))</f>
        <v/>
      </c>
      <c r="AC3335" s="19" t="str">
        <f>IF($B3335="","",IFERROR(INDEX(Config!$D$9:$D$29,MATCH($B3335,Config!$B$9:$B$29,0))&amp;"",""))</f>
        <v/>
      </c>
    </row>
    <row r="3336">
      <c r="R3336" s="20" t="str">
        <f>IF($B3336="","",IFERROR(IF(INDEX(Config!$D$9:$D$29,MATCH($B3336,Config!$B$9:$B$29,0))="Contrato",IF(INDEX(Config!$E$9:$E$29,MATCH($B3336,Config!$B$9:$B$29,0))="","",INDEX(Config!$E$9:$E$29,MATCH($B3336,Config!$B$9:$B$29,0))),""),""))</f>
        <v/>
      </c>
      <c r="AC3336" s="19" t="str">
        <f>IF($B3336="","",IFERROR(INDEX(Config!$D$9:$D$29,MATCH($B3336,Config!$B$9:$B$29,0))&amp;"",""))</f>
        <v/>
      </c>
    </row>
    <row r="3337">
      <c r="R3337" s="20" t="str">
        <f>IF($B3337="","",IFERROR(IF(INDEX(Config!$D$9:$D$29,MATCH($B3337,Config!$B$9:$B$29,0))="Contrato",IF(INDEX(Config!$E$9:$E$29,MATCH($B3337,Config!$B$9:$B$29,0))="","",INDEX(Config!$E$9:$E$29,MATCH($B3337,Config!$B$9:$B$29,0))),""),""))</f>
        <v/>
      </c>
      <c r="AC3337" s="19" t="str">
        <f>IF($B3337="","",IFERROR(INDEX(Config!$D$9:$D$29,MATCH($B3337,Config!$B$9:$B$29,0))&amp;"",""))</f>
        <v/>
      </c>
    </row>
    <row r="3338">
      <c r="R3338" s="20" t="str">
        <f>IF($B3338="","",IFERROR(IF(INDEX(Config!$D$9:$D$29,MATCH($B3338,Config!$B$9:$B$29,0))="Contrato",IF(INDEX(Config!$E$9:$E$29,MATCH($B3338,Config!$B$9:$B$29,0))="","",INDEX(Config!$E$9:$E$29,MATCH($B3338,Config!$B$9:$B$29,0))),""),""))</f>
        <v/>
      </c>
      <c r="AC3338" s="19" t="str">
        <f>IF($B3338="","",IFERROR(INDEX(Config!$D$9:$D$29,MATCH($B3338,Config!$B$9:$B$29,0))&amp;"",""))</f>
        <v/>
      </c>
    </row>
    <row r="3339">
      <c r="R3339" s="20" t="str">
        <f>IF($B3339="","",IFERROR(IF(INDEX(Config!$D$9:$D$29,MATCH($B3339,Config!$B$9:$B$29,0))="Contrato",IF(INDEX(Config!$E$9:$E$29,MATCH($B3339,Config!$B$9:$B$29,0))="","",INDEX(Config!$E$9:$E$29,MATCH($B3339,Config!$B$9:$B$29,0))),""),""))</f>
        <v/>
      </c>
      <c r="AC3339" s="19" t="str">
        <f>IF($B3339="","",IFERROR(INDEX(Config!$D$9:$D$29,MATCH($B3339,Config!$B$9:$B$29,0))&amp;"",""))</f>
        <v/>
      </c>
    </row>
    <row r="3340">
      <c r="R3340" s="20" t="str">
        <f>IF($B3340="","",IFERROR(IF(INDEX(Config!$D$9:$D$29,MATCH($B3340,Config!$B$9:$B$29,0))="Contrato",IF(INDEX(Config!$E$9:$E$29,MATCH($B3340,Config!$B$9:$B$29,0))="","",INDEX(Config!$E$9:$E$29,MATCH($B3340,Config!$B$9:$B$29,0))),""),""))</f>
        <v/>
      </c>
      <c r="AC3340" s="19" t="str">
        <f>IF($B3340="","",IFERROR(INDEX(Config!$D$9:$D$29,MATCH($B3340,Config!$B$9:$B$29,0))&amp;"",""))</f>
        <v/>
      </c>
    </row>
    <row r="3341">
      <c r="R3341" s="20" t="str">
        <f>IF($B3341="","",IFERROR(IF(INDEX(Config!$D$9:$D$29,MATCH($B3341,Config!$B$9:$B$29,0))="Contrato",IF(INDEX(Config!$E$9:$E$29,MATCH($B3341,Config!$B$9:$B$29,0))="","",INDEX(Config!$E$9:$E$29,MATCH($B3341,Config!$B$9:$B$29,0))),""),""))</f>
        <v/>
      </c>
      <c r="AC3341" s="19" t="str">
        <f>IF($B3341="","",IFERROR(INDEX(Config!$D$9:$D$29,MATCH($B3341,Config!$B$9:$B$29,0))&amp;"",""))</f>
        <v/>
      </c>
    </row>
    <row r="3342">
      <c r="R3342" s="20" t="str">
        <f>IF($B3342="","",IFERROR(IF(INDEX(Config!$D$9:$D$29,MATCH($B3342,Config!$B$9:$B$29,0))="Contrato",IF(INDEX(Config!$E$9:$E$29,MATCH($B3342,Config!$B$9:$B$29,0))="","",INDEX(Config!$E$9:$E$29,MATCH($B3342,Config!$B$9:$B$29,0))),""),""))</f>
        <v/>
      </c>
      <c r="AC3342" s="19" t="str">
        <f>IF($B3342="","",IFERROR(INDEX(Config!$D$9:$D$29,MATCH($B3342,Config!$B$9:$B$29,0))&amp;"",""))</f>
        <v/>
      </c>
    </row>
    <row r="3343">
      <c r="R3343" s="20" t="str">
        <f>IF($B3343="","",IFERROR(IF(INDEX(Config!$D$9:$D$29,MATCH($B3343,Config!$B$9:$B$29,0))="Contrato",IF(INDEX(Config!$E$9:$E$29,MATCH($B3343,Config!$B$9:$B$29,0))="","",INDEX(Config!$E$9:$E$29,MATCH($B3343,Config!$B$9:$B$29,0))),""),""))</f>
        <v/>
      </c>
      <c r="AC3343" s="19" t="str">
        <f>IF($B3343="","",IFERROR(INDEX(Config!$D$9:$D$29,MATCH($B3343,Config!$B$9:$B$29,0))&amp;"",""))</f>
        <v/>
      </c>
    </row>
    <row r="3344">
      <c r="R3344" s="20" t="str">
        <f>IF($B3344="","",IFERROR(IF(INDEX(Config!$D$9:$D$29,MATCH($B3344,Config!$B$9:$B$29,0))="Contrato",IF(INDEX(Config!$E$9:$E$29,MATCH($B3344,Config!$B$9:$B$29,0))="","",INDEX(Config!$E$9:$E$29,MATCH($B3344,Config!$B$9:$B$29,0))),""),""))</f>
        <v/>
      </c>
      <c r="AC3344" s="19" t="str">
        <f>IF($B3344="","",IFERROR(INDEX(Config!$D$9:$D$29,MATCH($B3344,Config!$B$9:$B$29,0))&amp;"",""))</f>
        <v/>
      </c>
    </row>
    <row r="3345">
      <c r="R3345" s="20" t="str">
        <f>IF($B3345="","",IFERROR(IF(INDEX(Config!$D$9:$D$29,MATCH($B3345,Config!$B$9:$B$29,0))="Contrato",IF(INDEX(Config!$E$9:$E$29,MATCH($B3345,Config!$B$9:$B$29,0))="","",INDEX(Config!$E$9:$E$29,MATCH($B3345,Config!$B$9:$B$29,0))),""),""))</f>
        <v/>
      </c>
      <c r="AC3345" s="19" t="str">
        <f>IF($B3345="","",IFERROR(INDEX(Config!$D$9:$D$29,MATCH($B3345,Config!$B$9:$B$29,0))&amp;"",""))</f>
        <v/>
      </c>
    </row>
    <row r="3346">
      <c r="R3346" s="20" t="str">
        <f>IF($B3346="","",IFERROR(IF(INDEX(Config!$D$9:$D$29,MATCH($B3346,Config!$B$9:$B$29,0))="Contrato",IF(INDEX(Config!$E$9:$E$29,MATCH($B3346,Config!$B$9:$B$29,0))="","",INDEX(Config!$E$9:$E$29,MATCH($B3346,Config!$B$9:$B$29,0))),""),""))</f>
        <v/>
      </c>
      <c r="AC3346" s="19" t="str">
        <f>IF($B3346="","",IFERROR(INDEX(Config!$D$9:$D$29,MATCH($B3346,Config!$B$9:$B$29,0))&amp;"",""))</f>
        <v/>
      </c>
    </row>
    <row r="3347">
      <c r="R3347" s="20" t="str">
        <f>IF($B3347="","",IFERROR(IF(INDEX(Config!$D$9:$D$29,MATCH($B3347,Config!$B$9:$B$29,0))="Contrato",IF(INDEX(Config!$E$9:$E$29,MATCH($B3347,Config!$B$9:$B$29,0))="","",INDEX(Config!$E$9:$E$29,MATCH($B3347,Config!$B$9:$B$29,0))),""),""))</f>
        <v/>
      </c>
      <c r="AC3347" s="19" t="str">
        <f>IF($B3347="","",IFERROR(INDEX(Config!$D$9:$D$29,MATCH($B3347,Config!$B$9:$B$29,0))&amp;"",""))</f>
        <v/>
      </c>
    </row>
    <row r="3348">
      <c r="R3348" s="20" t="str">
        <f>IF($B3348="","",IFERROR(IF(INDEX(Config!$D$9:$D$29,MATCH($B3348,Config!$B$9:$B$29,0))="Contrato",IF(INDEX(Config!$E$9:$E$29,MATCH($B3348,Config!$B$9:$B$29,0))="","",INDEX(Config!$E$9:$E$29,MATCH($B3348,Config!$B$9:$B$29,0))),""),""))</f>
        <v/>
      </c>
      <c r="AC3348" s="19" t="str">
        <f>IF($B3348="","",IFERROR(INDEX(Config!$D$9:$D$29,MATCH($B3348,Config!$B$9:$B$29,0))&amp;"",""))</f>
        <v/>
      </c>
    </row>
    <row r="3349">
      <c r="R3349" s="20" t="str">
        <f>IF($B3349="","",IFERROR(IF(INDEX(Config!$D$9:$D$29,MATCH($B3349,Config!$B$9:$B$29,0))="Contrato",IF(INDEX(Config!$E$9:$E$29,MATCH($B3349,Config!$B$9:$B$29,0))="","",INDEX(Config!$E$9:$E$29,MATCH($B3349,Config!$B$9:$B$29,0))),""),""))</f>
        <v/>
      </c>
      <c r="AC3349" s="19" t="str">
        <f>IF($B3349="","",IFERROR(INDEX(Config!$D$9:$D$29,MATCH($B3349,Config!$B$9:$B$29,0))&amp;"",""))</f>
        <v/>
      </c>
    </row>
    <row r="3350">
      <c r="R3350" s="20" t="str">
        <f>IF($B3350="","",IFERROR(IF(INDEX(Config!$D$9:$D$29,MATCH($B3350,Config!$B$9:$B$29,0))="Contrato",IF(INDEX(Config!$E$9:$E$29,MATCH($B3350,Config!$B$9:$B$29,0))="","",INDEX(Config!$E$9:$E$29,MATCH($B3350,Config!$B$9:$B$29,0))),""),""))</f>
        <v/>
      </c>
      <c r="AC3350" s="19" t="str">
        <f>IF($B3350="","",IFERROR(INDEX(Config!$D$9:$D$29,MATCH($B3350,Config!$B$9:$B$29,0))&amp;"",""))</f>
        <v/>
      </c>
    </row>
    <row r="3351">
      <c r="R3351" s="20" t="str">
        <f>IF($B3351="","",IFERROR(IF(INDEX(Config!$D$9:$D$29,MATCH($B3351,Config!$B$9:$B$29,0))="Contrato",IF(INDEX(Config!$E$9:$E$29,MATCH($B3351,Config!$B$9:$B$29,0))="","",INDEX(Config!$E$9:$E$29,MATCH($B3351,Config!$B$9:$B$29,0))),""),""))</f>
        <v/>
      </c>
      <c r="AC3351" s="19" t="str">
        <f>IF($B3351="","",IFERROR(INDEX(Config!$D$9:$D$29,MATCH($B3351,Config!$B$9:$B$29,0))&amp;"",""))</f>
        <v/>
      </c>
    </row>
    <row r="3352">
      <c r="R3352" s="20" t="str">
        <f>IF($B3352="","",IFERROR(IF(INDEX(Config!$D$9:$D$29,MATCH($B3352,Config!$B$9:$B$29,0))="Contrato",IF(INDEX(Config!$E$9:$E$29,MATCH($B3352,Config!$B$9:$B$29,0))="","",INDEX(Config!$E$9:$E$29,MATCH($B3352,Config!$B$9:$B$29,0))),""),""))</f>
        <v/>
      </c>
      <c r="AC3352" s="19" t="str">
        <f>IF($B3352="","",IFERROR(INDEX(Config!$D$9:$D$29,MATCH($B3352,Config!$B$9:$B$29,0))&amp;"",""))</f>
        <v/>
      </c>
    </row>
    <row r="3353">
      <c r="R3353" s="20" t="str">
        <f>IF($B3353="","",IFERROR(IF(INDEX(Config!$D$9:$D$29,MATCH($B3353,Config!$B$9:$B$29,0))="Contrato",IF(INDEX(Config!$E$9:$E$29,MATCH($B3353,Config!$B$9:$B$29,0))="","",INDEX(Config!$E$9:$E$29,MATCH($B3353,Config!$B$9:$B$29,0))),""),""))</f>
        <v/>
      </c>
      <c r="AC3353" s="19" t="str">
        <f>IF($B3353="","",IFERROR(INDEX(Config!$D$9:$D$29,MATCH($B3353,Config!$B$9:$B$29,0))&amp;"",""))</f>
        <v/>
      </c>
    </row>
    <row r="3354">
      <c r="R3354" s="20" t="str">
        <f>IF($B3354="","",IFERROR(IF(INDEX(Config!$D$9:$D$29,MATCH($B3354,Config!$B$9:$B$29,0))="Contrato",IF(INDEX(Config!$E$9:$E$29,MATCH($B3354,Config!$B$9:$B$29,0))="","",INDEX(Config!$E$9:$E$29,MATCH($B3354,Config!$B$9:$B$29,0))),""),""))</f>
        <v/>
      </c>
      <c r="AC3354" s="19" t="str">
        <f>IF($B3354="","",IFERROR(INDEX(Config!$D$9:$D$29,MATCH($B3354,Config!$B$9:$B$29,0))&amp;"",""))</f>
        <v/>
      </c>
    </row>
    <row r="3355">
      <c r="R3355" s="20" t="str">
        <f>IF($B3355="","",IFERROR(IF(INDEX(Config!$D$9:$D$29,MATCH($B3355,Config!$B$9:$B$29,0))="Contrato",IF(INDEX(Config!$E$9:$E$29,MATCH($B3355,Config!$B$9:$B$29,0))="","",INDEX(Config!$E$9:$E$29,MATCH($B3355,Config!$B$9:$B$29,0))),""),""))</f>
        <v/>
      </c>
      <c r="AC3355" s="19" t="str">
        <f>IF($B3355="","",IFERROR(INDEX(Config!$D$9:$D$29,MATCH($B3355,Config!$B$9:$B$29,0))&amp;"",""))</f>
        <v/>
      </c>
    </row>
    <row r="3356">
      <c r="R3356" s="20" t="str">
        <f>IF($B3356="","",IFERROR(IF(INDEX(Config!$D$9:$D$29,MATCH($B3356,Config!$B$9:$B$29,0))="Contrato",IF(INDEX(Config!$E$9:$E$29,MATCH($B3356,Config!$B$9:$B$29,0))="","",INDEX(Config!$E$9:$E$29,MATCH($B3356,Config!$B$9:$B$29,0))),""),""))</f>
        <v/>
      </c>
      <c r="AC3356" s="19" t="str">
        <f>IF($B3356="","",IFERROR(INDEX(Config!$D$9:$D$29,MATCH($B3356,Config!$B$9:$B$29,0))&amp;"",""))</f>
        <v/>
      </c>
    </row>
    <row r="3357">
      <c r="R3357" s="20" t="str">
        <f>IF($B3357="","",IFERROR(IF(INDEX(Config!$D$9:$D$29,MATCH($B3357,Config!$B$9:$B$29,0))="Contrato",IF(INDEX(Config!$E$9:$E$29,MATCH($B3357,Config!$B$9:$B$29,0))="","",INDEX(Config!$E$9:$E$29,MATCH($B3357,Config!$B$9:$B$29,0))),""),""))</f>
        <v/>
      </c>
      <c r="AC3357" s="19" t="str">
        <f>IF($B3357="","",IFERROR(INDEX(Config!$D$9:$D$29,MATCH($B3357,Config!$B$9:$B$29,0))&amp;"",""))</f>
        <v/>
      </c>
    </row>
    <row r="3358">
      <c r="R3358" s="20" t="str">
        <f>IF($B3358="","",IFERROR(IF(INDEX(Config!$D$9:$D$29,MATCH($B3358,Config!$B$9:$B$29,0))="Contrato",IF(INDEX(Config!$E$9:$E$29,MATCH($B3358,Config!$B$9:$B$29,0))="","",INDEX(Config!$E$9:$E$29,MATCH($B3358,Config!$B$9:$B$29,0))),""),""))</f>
        <v/>
      </c>
      <c r="AC3358" s="19" t="str">
        <f>IF($B3358="","",IFERROR(INDEX(Config!$D$9:$D$29,MATCH($B3358,Config!$B$9:$B$29,0))&amp;"",""))</f>
        <v/>
      </c>
    </row>
    <row r="3359">
      <c r="R3359" s="20" t="str">
        <f>IF($B3359="","",IFERROR(IF(INDEX(Config!$D$9:$D$29,MATCH($B3359,Config!$B$9:$B$29,0))="Contrato",IF(INDEX(Config!$E$9:$E$29,MATCH($B3359,Config!$B$9:$B$29,0))="","",INDEX(Config!$E$9:$E$29,MATCH($B3359,Config!$B$9:$B$29,0))),""),""))</f>
        <v/>
      </c>
      <c r="AC3359" s="19" t="str">
        <f>IF($B3359="","",IFERROR(INDEX(Config!$D$9:$D$29,MATCH($B3359,Config!$B$9:$B$29,0))&amp;"",""))</f>
        <v/>
      </c>
    </row>
    <row r="3360">
      <c r="R3360" s="20" t="str">
        <f>IF($B3360="","",IFERROR(IF(INDEX(Config!$D$9:$D$29,MATCH($B3360,Config!$B$9:$B$29,0))="Contrato",IF(INDEX(Config!$E$9:$E$29,MATCH($B3360,Config!$B$9:$B$29,0))="","",INDEX(Config!$E$9:$E$29,MATCH($B3360,Config!$B$9:$B$29,0))),""),""))</f>
        <v/>
      </c>
      <c r="AC3360" s="19" t="str">
        <f>IF($B3360="","",IFERROR(INDEX(Config!$D$9:$D$29,MATCH($B3360,Config!$B$9:$B$29,0))&amp;"",""))</f>
        <v/>
      </c>
    </row>
    <row r="3361">
      <c r="R3361" s="20" t="str">
        <f>IF($B3361="","",IFERROR(IF(INDEX(Config!$D$9:$D$29,MATCH($B3361,Config!$B$9:$B$29,0))="Contrato",IF(INDEX(Config!$E$9:$E$29,MATCH($B3361,Config!$B$9:$B$29,0))="","",INDEX(Config!$E$9:$E$29,MATCH($B3361,Config!$B$9:$B$29,0))),""),""))</f>
        <v/>
      </c>
      <c r="AC3361" s="19" t="str">
        <f>IF($B3361="","",IFERROR(INDEX(Config!$D$9:$D$29,MATCH($B3361,Config!$B$9:$B$29,0))&amp;"",""))</f>
        <v/>
      </c>
    </row>
    <row r="3362">
      <c r="R3362" s="20" t="str">
        <f>IF($B3362="","",IFERROR(IF(INDEX(Config!$D$9:$D$29,MATCH($B3362,Config!$B$9:$B$29,0))="Contrato",IF(INDEX(Config!$E$9:$E$29,MATCH($B3362,Config!$B$9:$B$29,0))="","",INDEX(Config!$E$9:$E$29,MATCH($B3362,Config!$B$9:$B$29,0))),""),""))</f>
        <v/>
      </c>
      <c r="AC3362" s="19" t="str">
        <f>IF($B3362="","",IFERROR(INDEX(Config!$D$9:$D$29,MATCH($B3362,Config!$B$9:$B$29,0))&amp;"",""))</f>
        <v/>
      </c>
    </row>
    <row r="3363">
      <c r="R3363" s="20" t="str">
        <f>IF($B3363="","",IFERROR(IF(INDEX(Config!$D$9:$D$29,MATCH($B3363,Config!$B$9:$B$29,0))="Contrato",IF(INDEX(Config!$E$9:$E$29,MATCH($B3363,Config!$B$9:$B$29,0))="","",INDEX(Config!$E$9:$E$29,MATCH($B3363,Config!$B$9:$B$29,0))),""),""))</f>
        <v/>
      </c>
      <c r="AC3363" s="19" t="str">
        <f>IF($B3363="","",IFERROR(INDEX(Config!$D$9:$D$29,MATCH($B3363,Config!$B$9:$B$29,0))&amp;"",""))</f>
        <v/>
      </c>
    </row>
    <row r="3364">
      <c r="R3364" s="20" t="str">
        <f>IF($B3364="","",IFERROR(IF(INDEX(Config!$D$9:$D$29,MATCH($B3364,Config!$B$9:$B$29,0))="Contrato",IF(INDEX(Config!$E$9:$E$29,MATCH($B3364,Config!$B$9:$B$29,0))="","",INDEX(Config!$E$9:$E$29,MATCH($B3364,Config!$B$9:$B$29,0))),""),""))</f>
        <v/>
      </c>
      <c r="AC3364" s="19" t="str">
        <f>IF($B3364="","",IFERROR(INDEX(Config!$D$9:$D$29,MATCH($B3364,Config!$B$9:$B$29,0))&amp;"",""))</f>
        <v/>
      </c>
    </row>
    <row r="3365">
      <c r="R3365" s="20" t="str">
        <f>IF($B3365="","",IFERROR(IF(INDEX(Config!$D$9:$D$29,MATCH($B3365,Config!$B$9:$B$29,0))="Contrato",IF(INDEX(Config!$E$9:$E$29,MATCH($B3365,Config!$B$9:$B$29,0))="","",INDEX(Config!$E$9:$E$29,MATCH($B3365,Config!$B$9:$B$29,0))),""),""))</f>
        <v/>
      </c>
      <c r="AC3365" s="19" t="str">
        <f>IF($B3365="","",IFERROR(INDEX(Config!$D$9:$D$29,MATCH($B3365,Config!$B$9:$B$29,0))&amp;"",""))</f>
        <v/>
      </c>
    </row>
    <row r="3366">
      <c r="R3366" s="20" t="str">
        <f>IF($B3366="","",IFERROR(IF(INDEX(Config!$D$9:$D$29,MATCH($B3366,Config!$B$9:$B$29,0))="Contrato",IF(INDEX(Config!$E$9:$E$29,MATCH($B3366,Config!$B$9:$B$29,0))="","",INDEX(Config!$E$9:$E$29,MATCH($B3366,Config!$B$9:$B$29,0))),""),""))</f>
        <v/>
      </c>
      <c r="AC3366" s="19" t="str">
        <f>IF($B3366="","",IFERROR(INDEX(Config!$D$9:$D$29,MATCH($B3366,Config!$B$9:$B$29,0))&amp;"",""))</f>
        <v/>
      </c>
    </row>
    <row r="3367">
      <c r="R3367" s="20" t="str">
        <f>IF($B3367="","",IFERROR(IF(INDEX(Config!$D$9:$D$29,MATCH($B3367,Config!$B$9:$B$29,0))="Contrato",IF(INDEX(Config!$E$9:$E$29,MATCH($B3367,Config!$B$9:$B$29,0))="","",INDEX(Config!$E$9:$E$29,MATCH($B3367,Config!$B$9:$B$29,0))),""),""))</f>
        <v/>
      </c>
      <c r="AC3367" s="19" t="str">
        <f>IF($B3367="","",IFERROR(INDEX(Config!$D$9:$D$29,MATCH($B3367,Config!$B$9:$B$29,0))&amp;"",""))</f>
        <v/>
      </c>
    </row>
    <row r="3368">
      <c r="R3368" s="20" t="str">
        <f>IF($B3368="","",IFERROR(IF(INDEX(Config!$D$9:$D$29,MATCH($B3368,Config!$B$9:$B$29,0))="Contrato",IF(INDEX(Config!$E$9:$E$29,MATCH($B3368,Config!$B$9:$B$29,0))="","",INDEX(Config!$E$9:$E$29,MATCH($B3368,Config!$B$9:$B$29,0))),""),""))</f>
        <v/>
      </c>
      <c r="AC3368" s="19" t="str">
        <f>IF($B3368="","",IFERROR(INDEX(Config!$D$9:$D$29,MATCH($B3368,Config!$B$9:$B$29,0))&amp;"",""))</f>
        <v/>
      </c>
    </row>
    <row r="3369">
      <c r="R3369" s="20" t="str">
        <f>IF($B3369="","",IFERROR(IF(INDEX(Config!$D$9:$D$29,MATCH($B3369,Config!$B$9:$B$29,0))="Contrato",IF(INDEX(Config!$E$9:$E$29,MATCH($B3369,Config!$B$9:$B$29,0))="","",INDEX(Config!$E$9:$E$29,MATCH($B3369,Config!$B$9:$B$29,0))),""),""))</f>
        <v/>
      </c>
      <c r="AC3369" s="19" t="str">
        <f>IF($B3369="","",IFERROR(INDEX(Config!$D$9:$D$29,MATCH($B3369,Config!$B$9:$B$29,0))&amp;"",""))</f>
        <v/>
      </c>
    </row>
    <row r="3370">
      <c r="R3370" s="20" t="str">
        <f>IF($B3370="","",IFERROR(IF(INDEX(Config!$D$9:$D$29,MATCH($B3370,Config!$B$9:$B$29,0))="Contrato",IF(INDEX(Config!$E$9:$E$29,MATCH($B3370,Config!$B$9:$B$29,0))="","",INDEX(Config!$E$9:$E$29,MATCH($B3370,Config!$B$9:$B$29,0))),""),""))</f>
        <v/>
      </c>
      <c r="AC3370" s="19" t="str">
        <f>IF($B3370="","",IFERROR(INDEX(Config!$D$9:$D$29,MATCH($B3370,Config!$B$9:$B$29,0))&amp;"",""))</f>
        <v/>
      </c>
    </row>
    <row r="3371">
      <c r="R3371" s="20" t="str">
        <f>IF($B3371="","",IFERROR(IF(INDEX(Config!$D$9:$D$29,MATCH($B3371,Config!$B$9:$B$29,0))="Contrato",IF(INDEX(Config!$E$9:$E$29,MATCH($B3371,Config!$B$9:$B$29,0))="","",INDEX(Config!$E$9:$E$29,MATCH($B3371,Config!$B$9:$B$29,0))),""),""))</f>
        <v/>
      </c>
      <c r="AC3371" s="19" t="str">
        <f>IF($B3371="","",IFERROR(INDEX(Config!$D$9:$D$29,MATCH($B3371,Config!$B$9:$B$29,0))&amp;"",""))</f>
        <v/>
      </c>
    </row>
    <row r="3372">
      <c r="R3372" s="20" t="str">
        <f>IF($B3372="","",IFERROR(IF(INDEX(Config!$D$9:$D$29,MATCH($B3372,Config!$B$9:$B$29,0))="Contrato",IF(INDEX(Config!$E$9:$E$29,MATCH($B3372,Config!$B$9:$B$29,0))="","",INDEX(Config!$E$9:$E$29,MATCH($B3372,Config!$B$9:$B$29,0))),""),""))</f>
        <v/>
      </c>
      <c r="AC3372" s="19" t="str">
        <f>IF($B3372="","",IFERROR(INDEX(Config!$D$9:$D$29,MATCH($B3372,Config!$B$9:$B$29,0))&amp;"",""))</f>
        <v/>
      </c>
    </row>
    <row r="3373">
      <c r="R3373" s="20" t="str">
        <f>IF($B3373="","",IFERROR(IF(INDEX(Config!$D$9:$D$29,MATCH($B3373,Config!$B$9:$B$29,0))="Contrato",IF(INDEX(Config!$E$9:$E$29,MATCH($B3373,Config!$B$9:$B$29,0))="","",INDEX(Config!$E$9:$E$29,MATCH($B3373,Config!$B$9:$B$29,0))),""),""))</f>
        <v/>
      </c>
      <c r="AC3373" s="19" t="str">
        <f>IF($B3373="","",IFERROR(INDEX(Config!$D$9:$D$29,MATCH($B3373,Config!$B$9:$B$29,0))&amp;"",""))</f>
        <v/>
      </c>
    </row>
    <row r="3374">
      <c r="R3374" s="20" t="str">
        <f>IF($B3374="","",IFERROR(IF(INDEX(Config!$D$9:$D$29,MATCH($B3374,Config!$B$9:$B$29,0))="Contrato",IF(INDEX(Config!$E$9:$E$29,MATCH($B3374,Config!$B$9:$B$29,0))="","",INDEX(Config!$E$9:$E$29,MATCH($B3374,Config!$B$9:$B$29,0))),""),""))</f>
        <v/>
      </c>
      <c r="AC3374" s="19" t="str">
        <f>IF($B3374="","",IFERROR(INDEX(Config!$D$9:$D$29,MATCH($B3374,Config!$B$9:$B$29,0))&amp;"",""))</f>
        <v/>
      </c>
    </row>
    <row r="3375">
      <c r="R3375" s="20" t="str">
        <f>IF($B3375="","",IFERROR(IF(INDEX(Config!$D$9:$D$29,MATCH($B3375,Config!$B$9:$B$29,0))="Contrato",IF(INDEX(Config!$E$9:$E$29,MATCH($B3375,Config!$B$9:$B$29,0))="","",INDEX(Config!$E$9:$E$29,MATCH($B3375,Config!$B$9:$B$29,0))),""),""))</f>
        <v/>
      </c>
      <c r="AC3375" s="19" t="str">
        <f>IF($B3375="","",IFERROR(INDEX(Config!$D$9:$D$29,MATCH($B3375,Config!$B$9:$B$29,0))&amp;"",""))</f>
        <v/>
      </c>
    </row>
    <row r="3376">
      <c r="R3376" s="20" t="str">
        <f>IF($B3376="","",IFERROR(IF(INDEX(Config!$D$9:$D$29,MATCH($B3376,Config!$B$9:$B$29,0))="Contrato",IF(INDEX(Config!$E$9:$E$29,MATCH($B3376,Config!$B$9:$B$29,0))="","",INDEX(Config!$E$9:$E$29,MATCH($B3376,Config!$B$9:$B$29,0))),""),""))</f>
        <v/>
      </c>
      <c r="AC3376" s="19" t="str">
        <f>IF($B3376="","",IFERROR(INDEX(Config!$D$9:$D$29,MATCH($B3376,Config!$B$9:$B$29,0))&amp;"",""))</f>
        <v/>
      </c>
    </row>
    <row r="3377">
      <c r="R3377" s="20" t="str">
        <f>IF($B3377="","",IFERROR(IF(INDEX(Config!$D$9:$D$29,MATCH($B3377,Config!$B$9:$B$29,0))="Contrato",IF(INDEX(Config!$E$9:$E$29,MATCH($B3377,Config!$B$9:$B$29,0))="","",INDEX(Config!$E$9:$E$29,MATCH($B3377,Config!$B$9:$B$29,0))),""),""))</f>
        <v/>
      </c>
      <c r="AC3377" s="19" t="str">
        <f>IF($B3377="","",IFERROR(INDEX(Config!$D$9:$D$29,MATCH($B3377,Config!$B$9:$B$29,0))&amp;"",""))</f>
        <v/>
      </c>
    </row>
    <row r="3378">
      <c r="R3378" s="20" t="str">
        <f>IF($B3378="","",IFERROR(IF(INDEX(Config!$D$9:$D$29,MATCH($B3378,Config!$B$9:$B$29,0))="Contrato",IF(INDEX(Config!$E$9:$E$29,MATCH($B3378,Config!$B$9:$B$29,0))="","",INDEX(Config!$E$9:$E$29,MATCH($B3378,Config!$B$9:$B$29,0))),""),""))</f>
        <v/>
      </c>
      <c r="AC3378" s="19" t="str">
        <f>IF($B3378="","",IFERROR(INDEX(Config!$D$9:$D$29,MATCH($B3378,Config!$B$9:$B$29,0))&amp;"",""))</f>
        <v/>
      </c>
    </row>
    <row r="3379">
      <c r="R3379" s="20" t="str">
        <f>IF($B3379="","",IFERROR(IF(INDEX(Config!$D$9:$D$29,MATCH($B3379,Config!$B$9:$B$29,0))="Contrato",IF(INDEX(Config!$E$9:$E$29,MATCH($B3379,Config!$B$9:$B$29,0))="","",INDEX(Config!$E$9:$E$29,MATCH($B3379,Config!$B$9:$B$29,0))),""),""))</f>
        <v/>
      </c>
      <c r="AC3379" s="19" t="str">
        <f>IF($B3379="","",IFERROR(INDEX(Config!$D$9:$D$29,MATCH($B3379,Config!$B$9:$B$29,0))&amp;"",""))</f>
        <v/>
      </c>
    </row>
    <row r="3380">
      <c r="R3380" s="20" t="str">
        <f>IF($B3380="","",IFERROR(IF(INDEX(Config!$D$9:$D$29,MATCH($B3380,Config!$B$9:$B$29,0))="Contrato",IF(INDEX(Config!$E$9:$E$29,MATCH($B3380,Config!$B$9:$B$29,0))="","",INDEX(Config!$E$9:$E$29,MATCH($B3380,Config!$B$9:$B$29,0))),""),""))</f>
        <v/>
      </c>
      <c r="AC3380" s="19" t="str">
        <f>IF($B3380="","",IFERROR(INDEX(Config!$D$9:$D$29,MATCH($B3380,Config!$B$9:$B$29,0))&amp;"",""))</f>
        <v/>
      </c>
    </row>
    <row r="3381">
      <c r="R3381" s="20" t="str">
        <f>IF($B3381="","",IFERROR(IF(INDEX(Config!$D$9:$D$29,MATCH($B3381,Config!$B$9:$B$29,0))="Contrato",IF(INDEX(Config!$E$9:$E$29,MATCH($B3381,Config!$B$9:$B$29,0))="","",INDEX(Config!$E$9:$E$29,MATCH($B3381,Config!$B$9:$B$29,0))),""),""))</f>
        <v/>
      </c>
      <c r="AC3381" s="19" t="str">
        <f>IF($B3381="","",IFERROR(INDEX(Config!$D$9:$D$29,MATCH($B3381,Config!$B$9:$B$29,0))&amp;"",""))</f>
        <v/>
      </c>
    </row>
    <row r="3382">
      <c r="R3382" s="20" t="str">
        <f>IF($B3382="","",IFERROR(IF(INDEX(Config!$D$9:$D$29,MATCH($B3382,Config!$B$9:$B$29,0))="Contrato",IF(INDEX(Config!$E$9:$E$29,MATCH($B3382,Config!$B$9:$B$29,0))="","",INDEX(Config!$E$9:$E$29,MATCH($B3382,Config!$B$9:$B$29,0))),""),""))</f>
        <v/>
      </c>
      <c r="AC3382" s="19" t="str">
        <f>IF($B3382="","",IFERROR(INDEX(Config!$D$9:$D$29,MATCH($B3382,Config!$B$9:$B$29,0))&amp;"",""))</f>
        <v/>
      </c>
    </row>
    <row r="3383">
      <c r="R3383" s="20" t="str">
        <f>IF($B3383="","",IFERROR(IF(INDEX(Config!$D$9:$D$29,MATCH($B3383,Config!$B$9:$B$29,0))="Contrato",IF(INDEX(Config!$E$9:$E$29,MATCH($B3383,Config!$B$9:$B$29,0))="","",INDEX(Config!$E$9:$E$29,MATCH($B3383,Config!$B$9:$B$29,0))),""),""))</f>
        <v/>
      </c>
      <c r="AC3383" s="19" t="str">
        <f>IF($B3383="","",IFERROR(INDEX(Config!$D$9:$D$29,MATCH($B3383,Config!$B$9:$B$29,0))&amp;"",""))</f>
        <v/>
      </c>
    </row>
    <row r="3384">
      <c r="R3384" s="20" t="str">
        <f>IF($B3384="","",IFERROR(IF(INDEX(Config!$D$9:$D$29,MATCH($B3384,Config!$B$9:$B$29,0))="Contrato",IF(INDEX(Config!$E$9:$E$29,MATCH($B3384,Config!$B$9:$B$29,0))="","",INDEX(Config!$E$9:$E$29,MATCH($B3384,Config!$B$9:$B$29,0))),""),""))</f>
        <v/>
      </c>
      <c r="AC3384" s="19" t="str">
        <f>IF($B3384="","",IFERROR(INDEX(Config!$D$9:$D$29,MATCH($B3384,Config!$B$9:$B$29,0))&amp;"",""))</f>
        <v/>
      </c>
    </row>
    <row r="3385">
      <c r="R3385" s="20" t="str">
        <f>IF($B3385="","",IFERROR(IF(INDEX(Config!$D$9:$D$29,MATCH($B3385,Config!$B$9:$B$29,0))="Contrato",IF(INDEX(Config!$E$9:$E$29,MATCH($B3385,Config!$B$9:$B$29,0))="","",INDEX(Config!$E$9:$E$29,MATCH($B3385,Config!$B$9:$B$29,0))),""),""))</f>
        <v/>
      </c>
      <c r="AC3385" s="19" t="str">
        <f>IF($B3385="","",IFERROR(INDEX(Config!$D$9:$D$29,MATCH($B3385,Config!$B$9:$B$29,0))&amp;"",""))</f>
        <v/>
      </c>
    </row>
    <row r="3386">
      <c r="R3386" s="20" t="str">
        <f>IF($B3386="","",IFERROR(IF(INDEX(Config!$D$9:$D$29,MATCH($B3386,Config!$B$9:$B$29,0))="Contrato",IF(INDEX(Config!$E$9:$E$29,MATCH($B3386,Config!$B$9:$B$29,0))="","",INDEX(Config!$E$9:$E$29,MATCH($B3386,Config!$B$9:$B$29,0))),""),""))</f>
        <v/>
      </c>
      <c r="AC3386" s="19" t="str">
        <f>IF($B3386="","",IFERROR(INDEX(Config!$D$9:$D$29,MATCH($B3386,Config!$B$9:$B$29,0))&amp;"",""))</f>
        <v/>
      </c>
    </row>
    <row r="3387">
      <c r="R3387" s="20" t="str">
        <f>IF($B3387="","",IFERROR(IF(INDEX(Config!$D$9:$D$29,MATCH($B3387,Config!$B$9:$B$29,0))="Contrato",IF(INDEX(Config!$E$9:$E$29,MATCH($B3387,Config!$B$9:$B$29,0))="","",INDEX(Config!$E$9:$E$29,MATCH($B3387,Config!$B$9:$B$29,0))),""),""))</f>
        <v/>
      </c>
      <c r="AC3387" s="19" t="str">
        <f>IF($B3387="","",IFERROR(INDEX(Config!$D$9:$D$29,MATCH($B3387,Config!$B$9:$B$29,0))&amp;"",""))</f>
        <v/>
      </c>
    </row>
    <row r="3388">
      <c r="R3388" s="20" t="str">
        <f>IF($B3388="","",IFERROR(IF(INDEX(Config!$D$9:$D$29,MATCH($B3388,Config!$B$9:$B$29,0))="Contrato",IF(INDEX(Config!$E$9:$E$29,MATCH($B3388,Config!$B$9:$B$29,0))="","",INDEX(Config!$E$9:$E$29,MATCH($B3388,Config!$B$9:$B$29,0))),""),""))</f>
        <v/>
      </c>
      <c r="AC3388" s="19" t="str">
        <f>IF($B3388="","",IFERROR(INDEX(Config!$D$9:$D$29,MATCH($B3388,Config!$B$9:$B$29,0))&amp;"",""))</f>
        <v/>
      </c>
    </row>
    <row r="3389">
      <c r="R3389" s="20" t="str">
        <f>IF($B3389="","",IFERROR(IF(INDEX(Config!$D$9:$D$29,MATCH($B3389,Config!$B$9:$B$29,0))="Contrato",IF(INDEX(Config!$E$9:$E$29,MATCH($B3389,Config!$B$9:$B$29,0))="","",INDEX(Config!$E$9:$E$29,MATCH($B3389,Config!$B$9:$B$29,0))),""),""))</f>
        <v/>
      </c>
      <c r="AC3389" s="19" t="str">
        <f>IF($B3389="","",IFERROR(INDEX(Config!$D$9:$D$29,MATCH($B3389,Config!$B$9:$B$29,0))&amp;"",""))</f>
        <v/>
      </c>
    </row>
    <row r="3390">
      <c r="R3390" s="20" t="str">
        <f>IF($B3390="","",IFERROR(IF(INDEX(Config!$D$9:$D$29,MATCH($B3390,Config!$B$9:$B$29,0))="Contrato",IF(INDEX(Config!$E$9:$E$29,MATCH($B3390,Config!$B$9:$B$29,0))="","",INDEX(Config!$E$9:$E$29,MATCH($B3390,Config!$B$9:$B$29,0))),""),""))</f>
        <v/>
      </c>
      <c r="AC3390" s="19" t="str">
        <f>IF($B3390="","",IFERROR(INDEX(Config!$D$9:$D$29,MATCH($B3390,Config!$B$9:$B$29,0))&amp;"",""))</f>
        <v/>
      </c>
    </row>
    <row r="3391">
      <c r="R3391" s="20" t="str">
        <f>IF($B3391="","",IFERROR(IF(INDEX(Config!$D$9:$D$29,MATCH($B3391,Config!$B$9:$B$29,0))="Contrato",IF(INDEX(Config!$E$9:$E$29,MATCH($B3391,Config!$B$9:$B$29,0))="","",INDEX(Config!$E$9:$E$29,MATCH($B3391,Config!$B$9:$B$29,0))),""),""))</f>
        <v/>
      </c>
      <c r="AC3391" s="19" t="str">
        <f>IF($B3391="","",IFERROR(INDEX(Config!$D$9:$D$29,MATCH($B3391,Config!$B$9:$B$29,0))&amp;"",""))</f>
        <v/>
      </c>
    </row>
    <row r="3392">
      <c r="R3392" s="20" t="str">
        <f>IF($B3392="","",IFERROR(IF(INDEX(Config!$D$9:$D$29,MATCH($B3392,Config!$B$9:$B$29,0))="Contrato",IF(INDEX(Config!$E$9:$E$29,MATCH($B3392,Config!$B$9:$B$29,0))="","",INDEX(Config!$E$9:$E$29,MATCH($B3392,Config!$B$9:$B$29,0))),""),""))</f>
        <v/>
      </c>
      <c r="AC3392" s="19" t="str">
        <f>IF($B3392="","",IFERROR(INDEX(Config!$D$9:$D$29,MATCH($B3392,Config!$B$9:$B$29,0))&amp;"",""))</f>
        <v/>
      </c>
    </row>
    <row r="3393">
      <c r="R3393" s="20" t="str">
        <f>IF($B3393="","",IFERROR(IF(INDEX(Config!$D$9:$D$29,MATCH($B3393,Config!$B$9:$B$29,0))="Contrato",IF(INDEX(Config!$E$9:$E$29,MATCH($B3393,Config!$B$9:$B$29,0))="","",INDEX(Config!$E$9:$E$29,MATCH($B3393,Config!$B$9:$B$29,0))),""),""))</f>
        <v/>
      </c>
      <c r="AC3393" s="19" t="str">
        <f>IF($B3393="","",IFERROR(INDEX(Config!$D$9:$D$29,MATCH($B3393,Config!$B$9:$B$29,0))&amp;"",""))</f>
        <v/>
      </c>
    </row>
    <row r="3394">
      <c r="R3394" s="20" t="str">
        <f>IF($B3394="","",IFERROR(IF(INDEX(Config!$D$9:$D$29,MATCH($B3394,Config!$B$9:$B$29,0))="Contrato",IF(INDEX(Config!$E$9:$E$29,MATCH($B3394,Config!$B$9:$B$29,0))="","",INDEX(Config!$E$9:$E$29,MATCH($B3394,Config!$B$9:$B$29,0))),""),""))</f>
        <v/>
      </c>
      <c r="AC3394" s="19" t="str">
        <f>IF($B3394="","",IFERROR(INDEX(Config!$D$9:$D$29,MATCH($B3394,Config!$B$9:$B$29,0))&amp;"",""))</f>
        <v/>
      </c>
    </row>
    <row r="3395">
      <c r="R3395" s="20" t="str">
        <f>IF($B3395="","",IFERROR(IF(INDEX(Config!$D$9:$D$29,MATCH($B3395,Config!$B$9:$B$29,0))="Contrato",IF(INDEX(Config!$E$9:$E$29,MATCH($B3395,Config!$B$9:$B$29,0))="","",INDEX(Config!$E$9:$E$29,MATCH($B3395,Config!$B$9:$B$29,0))),""),""))</f>
        <v/>
      </c>
      <c r="AC3395" s="19" t="str">
        <f>IF($B3395="","",IFERROR(INDEX(Config!$D$9:$D$29,MATCH($B3395,Config!$B$9:$B$29,0))&amp;"",""))</f>
        <v/>
      </c>
    </row>
    <row r="3396">
      <c r="R3396" s="20" t="str">
        <f>IF($B3396="","",IFERROR(IF(INDEX(Config!$D$9:$D$29,MATCH($B3396,Config!$B$9:$B$29,0))="Contrato",IF(INDEX(Config!$E$9:$E$29,MATCH($B3396,Config!$B$9:$B$29,0))="","",INDEX(Config!$E$9:$E$29,MATCH($B3396,Config!$B$9:$B$29,0))),""),""))</f>
        <v/>
      </c>
      <c r="AC3396" s="19" t="str">
        <f>IF($B3396="","",IFERROR(INDEX(Config!$D$9:$D$29,MATCH($B3396,Config!$B$9:$B$29,0))&amp;"",""))</f>
        <v/>
      </c>
    </row>
    <row r="3397">
      <c r="R3397" s="20" t="str">
        <f>IF($B3397="","",IFERROR(IF(INDEX(Config!$D$9:$D$29,MATCH($B3397,Config!$B$9:$B$29,0))="Contrato",IF(INDEX(Config!$E$9:$E$29,MATCH($B3397,Config!$B$9:$B$29,0))="","",INDEX(Config!$E$9:$E$29,MATCH($B3397,Config!$B$9:$B$29,0))),""),""))</f>
        <v/>
      </c>
      <c r="AC3397" s="19" t="str">
        <f>IF($B3397="","",IFERROR(INDEX(Config!$D$9:$D$29,MATCH($B3397,Config!$B$9:$B$29,0))&amp;"",""))</f>
        <v/>
      </c>
    </row>
    <row r="3398">
      <c r="R3398" s="20" t="str">
        <f>IF($B3398="","",IFERROR(IF(INDEX(Config!$D$9:$D$29,MATCH($B3398,Config!$B$9:$B$29,0))="Contrato",IF(INDEX(Config!$E$9:$E$29,MATCH($B3398,Config!$B$9:$B$29,0))="","",INDEX(Config!$E$9:$E$29,MATCH($B3398,Config!$B$9:$B$29,0))),""),""))</f>
        <v/>
      </c>
      <c r="AC3398" s="19" t="str">
        <f>IF($B3398="","",IFERROR(INDEX(Config!$D$9:$D$29,MATCH($B3398,Config!$B$9:$B$29,0))&amp;"",""))</f>
        <v/>
      </c>
    </row>
    <row r="3399">
      <c r="R3399" s="20" t="str">
        <f>IF($B3399="","",IFERROR(IF(INDEX(Config!$D$9:$D$29,MATCH($B3399,Config!$B$9:$B$29,0))="Contrato",IF(INDEX(Config!$E$9:$E$29,MATCH($B3399,Config!$B$9:$B$29,0))="","",INDEX(Config!$E$9:$E$29,MATCH($B3399,Config!$B$9:$B$29,0))),""),""))</f>
        <v/>
      </c>
      <c r="AC3399" s="19" t="str">
        <f>IF($B3399="","",IFERROR(INDEX(Config!$D$9:$D$29,MATCH($B3399,Config!$B$9:$B$29,0))&amp;"",""))</f>
        <v/>
      </c>
    </row>
    <row r="3400">
      <c r="R3400" s="20" t="str">
        <f>IF($B3400="","",IFERROR(IF(INDEX(Config!$D$9:$D$29,MATCH($B3400,Config!$B$9:$B$29,0))="Contrato",IF(INDEX(Config!$E$9:$E$29,MATCH($B3400,Config!$B$9:$B$29,0))="","",INDEX(Config!$E$9:$E$29,MATCH($B3400,Config!$B$9:$B$29,0))),""),""))</f>
        <v/>
      </c>
      <c r="AC3400" s="19" t="str">
        <f>IF($B3400="","",IFERROR(INDEX(Config!$D$9:$D$29,MATCH($B3400,Config!$B$9:$B$29,0))&amp;"",""))</f>
        <v/>
      </c>
    </row>
    <row r="3401">
      <c r="R3401" s="20" t="str">
        <f>IF($B3401="","",IFERROR(IF(INDEX(Config!$D$9:$D$29,MATCH($B3401,Config!$B$9:$B$29,0))="Contrato",IF(INDEX(Config!$E$9:$E$29,MATCH($B3401,Config!$B$9:$B$29,0))="","",INDEX(Config!$E$9:$E$29,MATCH($B3401,Config!$B$9:$B$29,0))),""),""))</f>
        <v/>
      </c>
      <c r="AC3401" s="19" t="str">
        <f>IF($B3401="","",IFERROR(INDEX(Config!$D$9:$D$29,MATCH($B3401,Config!$B$9:$B$29,0))&amp;"",""))</f>
        <v/>
      </c>
    </row>
    <row r="3402">
      <c r="R3402" s="20" t="str">
        <f>IF($B3402="","",IFERROR(IF(INDEX(Config!$D$9:$D$29,MATCH($B3402,Config!$B$9:$B$29,0))="Contrato",IF(INDEX(Config!$E$9:$E$29,MATCH($B3402,Config!$B$9:$B$29,0))="","",INDEX(Config!$E$9:$E$29,MATCH($B3402,Config!$B$9:$B$29,0))),""),""))</f>
        <v/>
      </c>
      <c r="AC3402" s="19" t="str">
        <f>IF($B3402="","",IFERROR(INDEX(Config!$D$9:$D$29,MATCH($B3402,Config!$B$9:$B$29,0))&amp;"",""))</f>
        <v/>
      </c>
    </row>
    <row r="3403">
      <c r="R3403" s="20" t="str">
        <f>IF($B3403="","",IFERROR(IF(INDEX(Config!$D$9:$D$29,MATCH($B3403,Config!$B$9:$B$29,0))="Contrato",IF(INDEX(Config!$E$9:$E$29,MATCH($B3403,Config!$B$9:$B$29,0))="","",INDEX(Config!$E$9:$E$29,MATCH($B3403,Config!$B$9:$B$29,0))),""),""))</f>
        <v/>
      </c>
      <c r="AC3403" s="19" t="str">
        <f>IF($B3403="","",IFERROR(INDEX(Config!$D$9:$D$29,MATCH($B3403,Config!$B$9:$B$29,0))&amp;"",""))</f>
        <v/>
      </c>
    </row>
    <row r="3404">
      <c r="R3404" s="20" t="str">
        <f>IF($B3404="","",IFERROR(IF(INDEX(Config!$D$9:$D$29,MATCH($B3404,Config!$B$9:$B$29,0))="Contrato",IF(INDEX(Config!$E$9:$E$29,MATCH($B3404,Config!$B$9:$B$29,0))="","",INDEX(Config!$E$9:$E$29,MATCH($B3404,Config!$B$9:$B$29,0))),""),""))</f>
        <v/>
      </c>
      <c r="AC3404" s="19" t="str">
        <f>IF($B3404="","",IFERROR(INDEX(Config!$D$9:$D$29,MATCH($B3404,Config!$B$9:$B$29,0))&amp;"",""))</f>
        <v/>
      </c>
    </row>
    <row r="3405">
      <c r="R3405" s="20" t="str">
        <f>IF($B3405="","",IFERROR(IF(INDEX(Config!$D$9:$D$29,MATCH($B3405,Config!$B$9:$B$29,0))="Contrato",IF(INDEX(Config!$E$9:$E$29,MATCH($B3405,Config!$B$9:$B$29,0))="","",INDEX(Config!$E$9:$E$29,MATCH($B3405,Config!$B$9:$B$29,0))),""),""))</f>
        <v/>
      </c>
      <c r="AC3405" s="19" t="str">
        <f>IF($B3405="","",IFERROR(INDEX(Config!$D$9:$D$29,MATCH($B3405,Config!$B$9:$B$29,0))&amp;"",""))</f>
        <v/>
      </c>
    </row>
    <row r="3406">
      <c r="R3406" s="20" t="str">
        <f>IF($B3406="","",IFERROR(IF(INDEX(Config!$D$9:$D$29,MATCH($B3406,Config!$B$9:$B$29,0))="Contrato",IF(INDEX(Config!$E$9:$E$29,MATCH($B3406,Config!$B$9:$B$29,0))="","",INDEX(Config!$E$9:$E$29,MATCH($B3406,Config!$B$9:$B$29,0))),""),""))</f>
        <v/>
      </c>
      <c r="AC3406" s="19" t="str">
        <f>IF($B3406="","",IFERROR(INDEX(Config!$D$9:$D$29,MATCH($B3406,Config!$B$9:$B$29,0))&amp;"",""))</f>
        <v/>
      </c>
    </row>
    <row r="3407">
      <c r="R3407" s="20" t="str">
        <f>IF($B3407="","",IFERROR(IF(INDEX(Config!$D$9:$D$29,MATCH($B3407,Config!$B$9:$B$29,0))="Contrato",IF(INDEX(Config!$E$9:$E$29,MATCH($B3407,Config!$B$9:$B$29,0))="","",INDEX(Config!$E$9:$E$29,MATCH($B3407,Config!$B$9:$B$29,0))),""),""))</f>
        <v/>
      </c>
      <c r="AC3407" s="19" t="str">
        <f>IF($B3407="","",IFERROR(INDEX(Config!$D$9:$D$29,MATCH($B3407,Config!$B$9:$B$29,0))&amp;"",""))</f>
        <v/>
      </c>
    </row>
    <row r="3408">
      <c r="R3408" s="20" t="str">
        <f>IF($B3408="","",IFERROR(IF(INDEX(Config!$D$9:$D$29,MATCH($B3408,Config!$B$9:$B$29,0))="Contrato",IF(INDEX(Config!$E$9:$E$29,MATCH($B3408,Config!$B$9:$B$29,0))="","",INDEX(Config!$E$9:$E$29,MATCH($B3408,Config!$B$9:$B$29,0))),""),""))</f>
        <v/>
      </c>
      <c r="AC3408" s="19" t="str">
        <f>IF($B3408="","",IFERROR(INDEX(Config!$D$9:$D$29,MATCH($B3408,Config!$B$9:$B$29,0))&amp;"",""))</f>
        <v/>
      </c>
    </row>
    <row r="3409">
      <c r="R3409" s="20" t="str">
        <f>IF($B3409="","",IFERROR(IF(INDEX(Config!$D$9:$D$29,MATCH($B3409,Config!$B$9:$B$29,0))="Contrato",IF(INDEX(Config!$E$9:$E$29,MATCH($B3409,Config!$B$9:$B$29,0))="","",INDEX(Config!$E$9:$E$29,MATCH($B3409,Config!$B$9:$B$29,0))),""),""))</f>
        <v/>
      </c>
      <c r="AC3409" s="19" t="str">
        <f>IF($B3409="","",IFERROR(INDEX(Config!$D$9:$D$29,MATCH($B3409,Config!$B$9:$B$29,0))&amp;"",""))</f>
        <v/>
      </c>
    </row>
    <row r="3410">
      <c r="R3410" s="20" t="str">
        <f>IF($B3410="","",IFERROR(IF(INDEX(Config!$D$9:$D$29,MATCH($B3410,Config!$B$9:$B$29,0))="Contrato",IF(INDEX(Config!$E$9:$E$29,MATCH($B3410,Config!$B$9:$B$29,0))="","",INDEX(Config!$E$9:$E$29,MATCH($B3410,Config!$B$9:$B$29,0))),""),""))</f>
        <v/>
      </c>
      <c r="AC3410" s="19" t="str">
        <f>IF($B3410="","",IFERROR(INDEX(Config!$D$9:$D$29,MATCH($B3410,Config!$B$9:$B$29,0))&amp;"",""))</f>
        <v/>
      </c>
    </row>
    <row r="3411">
      <c r="R3411" s="20" t="str">
        <f>IF($B3411="","",IFERROR(IF(INDEX(Config!$D$9:$D$29,MATCH($B3411,Config!$B$9:$B$29,0))="Contrato",IF(INDEX(Config!$E$9:$E$29,MATCH($B3411,Config!$B$9:$B$29,0))="","",INDEX(Config!$E$9:$E$29,MATCH($B3411,Config!$B$9:$B$29,0))),""),""))</f>
        <v/>
      </c>
      <c r="AC3411" s="19" t="str">
        <f>IF($B3411="","",IFERROR(INDEX(Config!$D$9:$D$29,MATCH($B3411,Config!$B$9:$B$29,0))&amp;"",""))</f>
        <v/>
      </c>
    </row>
    <row r="3412">
      <c r="R3412" s="20" t="str">
        <f>IF($B3412="","",IFERROR(IF(INDEX(Config!$D$9:$D$29,MATCH($B3412,Config!$B$9:$B$29,0))="Contrato",IF(INDEX(Config!$E$9:$E$29,MATCH($B3412,Config!$B$9:$B$29,0))="","",INDEX(Config!$E$9:$E$29,MATCH($B3412,Config!$B$9:$B$29,0))),""),""))</f>
        <v/>
      </c>
      <c r="AC3412" s="19" t="str">
        <f>IF($B3412="","",IFERROR(INDEX(Config!$D$9:$D$29,MATCH($B3412,Config!$B$9:$B$29,0))&amp;"",""))</f>
        <v/>
      </c>
    </row>
    <row r="3413">
      <c r="R3413" s="20" t="str">
        <f>IF($B3413="","",IFERROR(IF(INDEX(Config!$D$9:$D$29,MATCH($B3413,Config!$B$9:$B$29,0))="Contrato",IF(INDEX(Config!$E$9:$E$29,MATCH($B3413,Config!$B$9:$B$29,0))="","",INDEX(Config!$E$9:$E$29,MATCH($B3413,Config!$B$9:$B$29,0))),""),""))</f>
        <v/>
      </c>
      <c r="AC3413" s="19" t="str">
        <f>IF($B3413="","",IFERROR(INDEX(Config!$D$9:$D$29,MATCH($B3413,Config!$B$9:$B$29,0))&amp;"",""))</f>
        <v/>
      </c>
    </row>
    <row r="3414">
      <c r="R3414" s="20" t="str">
        <f>IF($B3414="","",IFERROR(IF(INDEX(Config!$D$9:$D$29,MATCH($B3414,Config!$B$9:$B$29,0))="Contrato",IF(INDEX(Config!$E$9:$E$29,MATCH($B3414,Config!$B$9:$B$29,0))="","",INDEX(Config!$E$9:$E$29,MATCH($B3414,Config!$B$9:$B$29,0))),""),""))</f>
        <v/>
      </c>
      <c r="AC3414" s="19" t="str">
        <f>IF($B3414="","",IFERROR(INDEX(Config!$D$9:$D$29,MATCH($B3414,Config!$B$9:$B$29,0))&amp;"",""))</f>
        <v/>
      </c>
    </row>
    <row r="3415">
      <c r="R3415" s="20" t="str">
        <f>IF($B3415="","",IFERROR(IF(INDEX(Config!$D$9:$D$29,MATCH($B3415,Config!$B$9:$B$29,0))="Contrato",IF(INDEX(Config!$E$9:$E$29,MATCH($B3415,Config!$B$9:$B$29,0))="","",INDEX(Config!$E$9:$E$29,MATCH($B3415,Config!$B$9:$B$29,0))),""),""))</f>
        <v/>
      </c>
      <c r="AC3415" s="19" t="str">
        <f>IF($B3415="","",IFERROR(INDEX(Config!$D$9:$D$29,MATCH($B3415,Config!$B$9:$B$29,0))&amp;"",""))</f>
        <v/>
      </c>
    </row>
    <row r="3416">
      <c r="R3416" s="20" t="str">
        <f>IF($B3416="","",IFERROR(IF(INDEX(Config!$D$9:$D$29,MATCH($B3416,Config!$B$9:$B$29,0))="Contrato",IF(INDEX(Config!$E$9:$E$29,MATCH($B3416,Config!$B$9:$B$29,0))="","",INDEX(Config!$E$9:$E$29,MATCH($B3416,Config!$B$9:$B$29,0))),""),""))</f>
        <v/>
      </c>
      <c r="AC3416" s="19" t="str">
        <f>IF($B3416="","",IFERROR(INDEX(Config!$D$9:$D$29,MATCH($B3416,Config!$B$9:$B$29,0))&amp;"",""))</f>
        <v/>
      </c>
    </row>
    <row r="3417">
      <c r="R3417" s="20" t="str">
        <f>IF($B3417="","",IFERROR(IF(INDEX(Config!$D$9:$D$29,MATCH($B3417,Config!$B$9:$B$29,0))="Contrato",IF(INDEX(Config!$E$9:$E$29,MATCH($B3417,Config!$B$9:$B$29,0))="","",INDEX(Config!$E$9:$E$29,MATCH($B3417,Config!$B$9:$B$29,0))),""),""))</f>
        <v/>
      </c>
      <c r="AC3417" s="19" t="str">
        <f>IF($B3417="","",IFERROR(INDEX(Config!$D$9:$D$29,MATCH($B3417,Config!$B$9:$B$29,0))&amp;"",""))</f>
        <v/>
      </c>
    </row>
    <row r="3418">
      <c r="R3418" s="20" t="str">
        <f>IF($B3418="","",IFERROR(IF(INDEX(Config!$D$9:$D$29,MATCH($B3418,Config!$B$9:$B$29,0))="Contrato",IF(INDEX(Config!$E$9:$E$29,MATCH($B3418,Config!$B$9:$B$29,0))="","",INDEX(Config!$E$9:$E$29,MATCH($B3418,Config!$B$9:$B$29,0))),""),""))</f>
        <v/>
      </c>
      <c r="AC3418" s="19" t="str">
        <f>IF($B3418="","",IFERROR(INDEX(Config!$D$9:$D$29,MATCH($B3418,Config!$B$9:$B$29,0))&amp;"",""))</f>
        <v/>
      </c>
    </row>
    <row r="3419">
      <c r="R3419" s="20" t="str">
        <f>IF($B3419="","",IFERROR(IF(INDEX(Config!$D$9:$D$29,MATCH($B3419,Config!$B$9:$B$29,0))="Contrato",IF(INDEX(Config!$E$9:$E$29,MATCH($B3419,Config!$B$9:$B$29,0))="","",INDEX(Config!$E$9:$E$29,MATCH($B3419,Config!$B$9:$B$29,0))),""),""))</f>
        <v/>
      </c>
      <c r="AC3419" s="19" t="str">
        <f>IF($B3419="","",IFERROR(INDEX(Config!$D$9:$D$29,MATCH($B3419,Config!$B$9:$B$29,0))&amp;"",""))</f>
        <v/>
      </c>
    </row>
    <row r="3420">
      <c r="R3420" s="20" t="str">
        <f>IF($B3420="","",IFERROR(IF(INDEX(Config!$D$9:$D$29,MATCH($B3420,Config!$B$9:$B$29,0))="Contrato",IF(INDEX(Config!$E$9:$E$29,MATCH($B3420,Config!$B$9:$B$29,0))="","",INDEX(Config!$E$9:$E$29,MATCH($B3420,Config!$B$9:$B$29,0))),""),""))</f>
        <v/>
      </c>
      <c r="AC3420" s="19" t="str">
        <f>IF($B3420="","",IFERROR(INDEX(Config!$D$9:$D$29,MATCH($B3420,Config!$B$9:$B$29,0))&amp;"",""))</f>
        <v/>
      </c>
    </row>
    <row r="3421">
      <c r="R3421" s="20" t="str">
        <f>IF($B3421="","",IFERROR(IF(INDEX(Config!$D$9:$D$29,MATCH($B3421,Config!$B$9:$B$29,0))="Contrato",IF(INDEX(Config!$E$9:$E$29,MATCH($B3421,Config!$B$9:$B$29,0))="","",INDEX(Config!$E$9:$E$29,MATCH($B3421,Config!$B$9:$B$29,0))),""),""))</f>
        <v/>
      </c>
      <c r="AC3421" s="19" t="str">
        <f>IF($B3421="","",IFERROR(INDEX(Config!$D$9:$D$29,MATCH($B3421,Config!$B$9:$B$29,0))&amp;"",""))</f>
        <v/>
      </c>
    </row>
    <row r="3422">
      <c r="R3422" s="20" t="str">
        <f>IF($B3422="","",IFERROR(IF(INDEX(Config!$D$9:$D$29,MATCH($B3422,Config!$B$9:$B$29,0))="Contrato",IF(INDEX(Config!$E$9:$E$29,MATCH($B3422,Config!$B$9:$B$29,0))="","",INDEX(Config!$E$9:$E$29,MATCH($B3422,Config!$B$9:$B$29,0))),""),""))</f>
        <v/>
      </c>
      <c r="AC3422" s="19" t="str">
        <f>IF($B3422="","",IFERROR(INDEX(Config!$D$9:$D$29,MATCH($B3422,Config!$B$9:$B$29,0))&amp;"",""))</f>
        <v/>
      </c>
    </row>
    <row r="3423">
      <c r="R3423" s="20" t="str">
        <f>IF($B3423="","",IFERROR(IF(INDEX(Config!$D$9:$D$29,MATCH($B3423,Config!$B$9:$B$29,0))="Contrato",IF(INDEX(Config!$E$9:$E$29,MATCH($B3423,Config!$B$9:$B$29,0))="","",INDEX(Config!$E$9:$E$29,MATCH($B3423,Config!$B$9:$B$29,0))),""),""))</f>
        <v/>
      </c>
      <c r="AC3423" s="19" t="str">
        <f>IF($B3423="","",IFERROR(INDEX(Config!$D$9:$D$29,MATCH($B3423,Config!$B$9:$B$29,0))&amp;"",""))</f>
        <v/>
      </c>
    </row>
    <row r="3424">
      <c r="R3424" s="20" t="str">
        <f>IF($B3424="","",IFERROR(IF(INDEX(Config!$D$9:$D$29,MATCH($B3424,Config!$B$9:$B$29,0))="Contrato",IF(INDEX(Config!$E$9:$E$29,MATCH($B3424,Config!$B$9:$B$29,0))="","",INDEX(Config!$E$9:$E$29,MATCH($B3424,Config!$B$9:$B$29,0))),""),""))</f>
        <v/>
      </c>
      <c r="AC3424" s="19" t="str">
        <f>IF($B3424="","",IFERROR(INDEX(Config!$D$9:$D$29,MATCH($B3424,Config!$B$9:$B$29,0))&amp;"",""))</f>
        <v/>
      </c>
    </row>
    <row r="3425">
      <c r="R3425" s="20" t="str">
        <f>IF($B3425="","",IFERROR(IF(INDEX(Config!$D$9:$D$29,MATCH($B3425,Config!$B$9:$B$29,0))="Contrato",IF(INDEX(Config!$E$9:$E$29,MATCH($B3425,Config!$B$9:$B$29,0))="","",INDEX(Config!$E$9:$E$29,MATCH($B3425,Config!$B$9:$B$29,0))),""),""))</f>
        <v/>
      </c>
      <c r="AC3425" s="19" t="str">
        <f>IF($B3425="","",IFERROR(INDEX(Config!$D$9:$D$29,MATCH($B3425,Config!$B$9:$B$29,0))&amp;"",""))</f>
        <v/>
      </c>
    </row>
    <row r="3426">
      <c r="R3426" s="20" t="str">
        <f>IF($B3426="","",IFERROR(IF(INDEX(Config!$D$9:$D$29,MATCH($B3426,Config!$B$9:$B$29,0))="Contrato",IF(INDEX(Config!$E$9:$E$29,MATCH($B3426,Config!$B$9:$B$29,0))="","",INDEX(Config!$E$9:$E$29,MATCH($B3426,Config!$B$9:$B$29,0))),""),""))</f>
        <v/>
      </c>
      <c r="AC3426" s="19" t="str">
        <f>IF($B3426="","",IFERROR(INDEX(Config!$D$9:$D$29,MATCH($B3426,Config!$B$9:$B$29,0))&amp;"",""))</f>
        <v/>
      </c>
    </row>
    <row r="3427">
      <c r="R3427" s="20" t="str">
        <f>IF($B3427="","",IFERROR(IF(INDEX(Config!$D$9:$D$29,MATCH($B3427,Config!$B$9:$B$29,0))="Contrato",IF(INDEX(Config!$E$9:$E$29,MATCH($B3427,Config!$B$9:$B$29,0))="","",INDEX(Config!$E$9:$E$29,MATCH($B3427,Config!$B$9:$B$29,0))),""),""))</f>
        <v/>
      </c>
      <c r="AC3427" s="19" t="str">
        <f>IF($B3427="","",IFERROR(INDEX(Config!$D$9:$D$29,MATCH($B3427,Config!$B$9:$B$29,0))&amp;"",""))</f>
        <v/>
      </c>
    </row>
    <row r="3428">
      <c r="R3428" s="20" t="str">
        <f>IF($B3428="","",IFERROR(IF(INDEX(Config!$D$9:$D$29,MATCH($B3428,Config!$B$9:$B$29,0))="Contrato",IF(INDEX(Config!$E$9:$E$29,MATCH($B3428,Config!$B$9:$B$29,0))="","",INDEX(Config!$E$9:$E$29,MATCH($B3428,Config!$B$9:$B$29,0))),""),""))</f>
        <v/>
      </c>
      <c r="AC3428" s="19" t="str">
        <f>IF($B3428="","",IFERROR(INDEX(Config!$D$9:$D$29,MATCH($B3428,Config!$B$9:$B$29,0))&amp;"",""))</f>
        <v/>
      </c>
    </row>
    <row r="3429">
      <c r="R3429" s="20" t="str">
        <f>IF($B3429="","",IFERROR(IF(INDEX(Config!$D$9:$D$29,MATCH($B3429,Config!$B$9:$B$29,0))="Contrato",IF(INDEX(Config!$E$9:$E$29,MATCH($B3429,Config!$B$9:$B$29,0))="","",INDEX(Config!$E$9:$E$29,MATCH($B3429,Config!$B$9:$B$29,0))),""),""))</f>
        <v/>
      </c>
      <c r="AC3429" s="19" t="str">
        <f>IF($B3429="","",IFERROR(INDEX(Config!$D$9:$D$29,MATCH($B3429,Config!$B$9:$B$29,0))&amp;"",""))</f>
        <v/>
      </c>
    </row>
    <row r="3430">
      <c r="R3430" s="20" t="str">
        <f>IF($B3430="","",IFERROR(IF(INDEX(Config!$D$9:$D$29,MATCH($B3430,Config!$B$9:$B$29,0))="Contrato",IF(INDEX(Config!$E$9:$E$29,MATCH($B3430,Config!$B$9:$B$29,0))="","",INDEX(Config!$E$9:$E$29,MATCH($B3430,Config!$B$9:$B$29,0))),""),""))</f>
        <v/>
      </c>
      <c r="AC3430" s="19" t="str">
        <f>IF($B3430="","",IFERROR(INDEX(Config!$D$9:$D$29,MATCH($B3430,Config!$B$9:$B$29,0))&amp;"",""))</f>
        <v/>
      </c>
    </row>
    <row r="3431">
      <c r="R3431" s="20" t="str">
        <f>IF($B3431="","",IFERROR(IF(INDEX(Config!$D$9:$D$29,MATCH($B3431,Config!$B$9:$B$29,0))="Contrato",IF(INDEX(Config!$E$9:$E$29,MATCH($B3431,Config!$B$9:$B$29,0))="","",INDEX(Config!$E$9:$E$29,MATCH($B3431,Config!$B$9:$B$29,0))),""),""))</f>
        <v/>
      </c>
      <c r="AC3431" s="19" t="str">
        <f>IF($B3431="","",IFERROR(INDEX(Config!$D$9:$D$29,MATCH($B3431,Config!$B$9:$B$29,0))&amp;"",""))</f>
        <v/>
      </c>
    </row>
    <row r="3432">
      <c r="R3432" s="20" t="str">
        <f>IF($B3432="","",IFERROR(IF(INDEX(Config!$D$9:$D$29,MATCH($B3432,Config!$B$9:$B$29,0))="Contrato",IF(INDEX(Config!$E$9:$E$29,MATCH($B3432,Config!$B$9:$B$29,0))="","",INDEX(Config!$E$9:$E$29,MATCH($B3432,Config!$B$9:$B$29,0))),""),""))</f>
        <v/>
      </c>
      <c r="AC3432" s="19" t="str">
        <f>IF($B3432="","",IFERROR(INDEX(Config!$D$9:$D$29,MATCH($B3432,Config!$B$9:$B$29,0))&amp;"",""))</f>
        <v/>
      </c>
    </row>
    <row r="3433">
      <c r="R3433" s="20" t="str">
        <f>IF($B3433="","",IFERROR(IF(INDEX(Config!$D$9:$D$29,MATCH($B3433,Config!$B$9:$B$29,0))="Contrato",IF(INDEX(Config!$E$9:$E$29,MATCH($B3433,Config!$B$9:$B$29,0))="","",INDEX(Config!$E$9:$E$29,MATCH($B3433,Config!$B$9:$B$29,0))),""),""))</f>
        <v/>
      </c>
      <c r="AC3433" s="19" t="str">
        <f>IF($B3433="","",IFERROR(INDEX(Config!$D$9:$D$29,MATCH($B3433,Config!$B$9:$B$29,0))&amp;"",""))</f>
        <v/>
      </c>
    </row>
    <row r="3434">
      <c r="R3434" s="20" t="str">
        <f>IF($B3434="","",IFERROR(IF(INDEX(Config!$D$9:$D$29,MATCH($B3434,Config!$B$9:$B$29,0))="Contrato",IF(INDEX(Config!$E$9:$E$29,MATCH($B3434,Config!$B$9:$B$29,0))="","",INDEX(Config!$E$9:$E$29,MATCH($B3434,Config!$B$9:$B$29,0))),""),""))</f>
        <v/>
      </c>
      <c r="AC3434" s="19" t="str">
        <f>IF($B3434="","",IFERROR(INDEX(Config!$D$9:$D$29,MATCH($B3434,Config!$B$9:$B$29,0))&amp;"",""))</f>
        <v/>
      </c>
    </row>
    <row r="3435">
      <c r="R3435" s="20" t="str">
        <f>IF($B3435="","",IFERROR(IF(INDEX(Config!$D$9:$D$29,MATCH($B3435,Config!$B$9:$B$29,0))="Contrato",IF(INDEX(Config!$E$9:$E$29,MATCH($B3435,Config!$B$9:$B$29,0))="","",INDEX(Config!$E$9:$E$29,MATCH($B3435,Config!$B$9:$B$29,0))),""),""))</f>
        <v/>
      </c>
      <c r="AC3435" s="19" t="str">
        <f>IF($B3435="","",IFERROR(INDEX(Config!$D$9:$D$29,MATCH($B3435,Config!$B$9:$B$29,0))&amp;"",""))</f>
        <v/>
      </c>
    </row>
    <row r="3436">
      <c r="R3436" s="20" t="str">
        <f>IF($B3436="","",IFERROR(IF(INDEX(Config!$D$9:$D$29,MATCH($B3436,Config!$B$9:$B$29,0))="Contrato",IF(INDEX(Config!$E$9:$E$29,MATCH($B3436,Config!$B$9:$B$29,0))="","",INDEX(Config!$E$9:$E$29,MATCH($B3436,Config!$B$9:$B$29,0))),""),""))</f>
        <v/>
      </c>
      <c r="AC3436" s="19" t="str">
        <f>IF($B3436="","",IFERROR(INDEX(Config!$D$9:$D$29,MATCH($B3436,Config!$B$9:$B$29,0))&amp;"",""))</f>
        <v/>
      </c>
    </row>
    <row r="3437">
      <c r="R3437" s="20" t="str">
        <f>IF($B3437="","",IFERROR(IF(INDEX(Config!$D$9:$D$29,MATCH($B3437,Config!$B$9:$B$29,0))="Contrato",IF(INDEX(Config!$E$9:$E$29,MATCH($B3437,Config!$B$9:$B$29,0))="","",INDEX(Config!$E$9:$E$29,MATCH($B3437,Config!$B$9:$B$29,0))),""),""))</f>
        <v/>
      </c>
      <c r="AC3437" s="19" t="str">
        <f>IF($B3437="","",IFERROR(INDEX(Config!$D$9:$D$29,MATCH($B3437,Config!$B$9:$B$29,0))&amp;"",""))</f>
        <v/>
      </c>
    </row>
    <row r="3438">
      <c r="R3438" s="20" t="str">
        <f>IF($B3438="","",IFERROR(IF(INDEX(Config!$D$9:$D$29,MATCH($B3438,Config!$B$9:$B$29,0))="Contrato",IF(INDEX(Config!$E$9:$E$29,MATCH($B3438,Config!$B$9:$B$29,0))="","",INDEX(Config!$E$9:$E$29,MATCH($B3438,Config!$B$9:$B$29,0))),""),""))</f>
        <v/>
      </c>
      <c r="AC3438" s="19" t="str">
        <f>IF($B3438="","",IFERROR(INDEX(Config!$D$9:$D$29,MATCH($B3438,Config!$B$9:$B$29,0))&amp;"",""))</f>
        <v/>
      </c>
    </row>
    <row r="3439">
      <c r="R3439" s="20" t="str">
        <f>IF($B3439="","",IFERROR(IF(INDEX(Config!$D$9:$D$29,MATCH($B3439,Config!$B$9:$B$29,0))="Contrato",IF(INDEX(Config!$E$9:$E$29,MATCH($B3439,Config!$B$9:$B$29,0))="","",INDEX(Config!$E$9:$E$29,MATCH($B3439,Config!$B$9:$B$29,0))),""),""))</f>
        <v/>
      </c>
      <c r="AC3439" s="19" t="str">
        <f>IF($B3439="","",IFERROR(INDEX(Config!$D$9:$D$29,MATCH($B3439,Config!$B$9:$B$29,0))&amp;"",""))</f>
        <v/>
      </c>
    </row>
    <row r="3440">
      <c r="R3440" s="20" t="str">
        <f>IF($B3440="","",IFERROR(IF(INDEX(Config!$D$9:$D$29,MATCH($B3440,Config!$B$9:$B$29,0))="Contrato",IF(INDEX(Config!$E$9:$E$29,MATCH($B3440,Config!$B$9:$B$29,0))="","",INDEX(Config!$E$9:$E$29,MATCH($B3440,Config!$B$9:$B$29,0))),""),""))</f>
        <v/>
      </c>
      <c r="AC3440" s="19" t="str">
        <f>IF($B3440="","",IFERROR(INDEX(Config!$D$9:$D$29,MATCH($B3440,Config!$B$9:$B$29,0))&amp;"",""))</f>
        <v/>
      </c>
    </row>
    <row r="3441">
      <c r="R3441" s="20" t="str">
        <f>IF($B3441="","",IFERROR(IF(INDEX(Config!$D$9:$D$29,MATCH($B3441,Config!$B$9:$B$29,0))="Contrato",IF(INDEX(Config!$E$9:$E$29,MATCH($B3441,Config!$B$9:$B$29,0))="","",INDEX(Config!$E$9:$E$29,MATCH($B3441,Config!$B$9:$B$29,0))),""),""))</f>
        <v/>
      </c>
      <c r="AC3441" s="19" t="str">
        <f>IF($B3441="","",IFERROR(INDEX(Config!$D$9:$D$29,MATCH($B3441,Config!$B$9:$B$29,0))&amp;"",""))</f>
        <v/>
      </c>
    </row>
    <row r="3442">
      <c r="R3442" s="20" t="str">
        <f>IF($B3442="","",IFERROR(IF(INDEX(Config!$D$9:$D$29,MATCH($B3442,Config!$B$9:$B$29,0))="Contrato",IF(INDEX(Config!$E$9:$E$29,MATCH($B3442,Config!$B$9:$B$29,0))="","",INDEX(Config!$E$9:$E$29,MATCH($B3442,Config!$B$9:$B$29,0))),""),""))</f>
        <v/>
      </c>
      <c r="AC3442" s="19" t="str">
        <f>IF($B3442="","",IFERROR(INDEX(Config!$D$9:$D$29,MATCH($B3442,Config!$B$9:$B$29,0))&amp;"",""))</f>
        <v/>
      </c>
    </row>
    <row r="3443">
      <c r="R3443" s="20" t="str">
        <f>IF($B3443="","",IFERROR(IF(INDEX(Config!$D$9:$D$29,MATCH($B3443,Config!$B$9:$B$29,0))="Contrato",IF(INDEX(Config!$E$9:$E$29,MATCH($B3443,Config!$B$9:$B$29,0))="","",INDEX(Config!$E$9:$E$29,MATCH($B3443,Config!$B$9:$B$29,0))),""),""))</f>
        <v/>
      </c>
      <c r="AC3443" s="19" t="str">
        <f>IF($B3443="","",IFERROR(INDEX(Config!$D$9:$D$29,MATCH($B3443,Config!$B$9:$B$29,0))&amp;"",""))</f>
        <v/>
      </c>
    </row>
    <row r="3444">
      <c r="R3444" s="20" t="str">
        <f>IF($B3444="","",IFERROR(IF(INDEX(Config!$D$9:$D$29,MATCH($B3444,Config!$B$9:$B$29,0))="Contrato",IF(INDEX(Config!$E$9:$E$29,MATCH($B3444,Config!$B$9:$B$29,0))="","",INDEX(Config!$E$9:$E$29,MATCH($B3444,Config!$B$9:$B$29,0))),""),""))</f>
        <v/>
      </c>
      <c r="AC3444" s="19" t="str">
        <f>IF($B3444="","",IFERROR(INDEX(Config!$D$9:$D$29,MATCH($B3444,Config!$B$9:$B$29,0))&amp;"",""))</f>
        <v/>
      </c>
    </row>
    <row r="3445">
      <c r="R3445" s="20" t="str">
        <f>IF($B3445="","",IFERROR(IF(INDEX(Config!$D$9:$D$29,MATCH($B3445,Config!$B$9:$B$29,0))="Contrato",IF(INDEX(Config!$E$9:$E$29,MATCH($B3445,Config!$B$9:$B$29,0))="","",INDEX(Config!$E$9:$E$29,MATCH($B3445,Config!$B$9:$B$29,0))),""),""))</f>
        <v/>
      </c>
      <c r="AC3445" s="19" t="str">
        <f>IF($B3445="","",IFERROR(INDEX(Config!$D$9:$D$29,MATCH($B3445,Config!$B$9:$B$29,0))&amp;"",""))</f>
        <v/>
      </c>
    </row>
    <row r="3446">
      <c r="R3446" s="20" t="str">
        <f>IF($B3446="","",IFERROR(IF(INDEX(Config!$D$9:$D$29,MATCH($B3446,Config!$B$9:$B$29,0))="Contrato",IF(INDEX(Config!$E$9:$E$29,MATCH($B3446,Config!$B$9:$B$29,0))="","",INDEX(Config!$E$9:$E$29,MATCH($B3446,Config!$B$9:$B$29,0))),""),""))</f>
        <v/>
      </c>
      <c r="AC3446" s="19" t="str">
        <f>IF($B3446="","",IFERROR(INDEX(Config!$D$9:$D$29,MATCH($B3446,Config!$B$9:$B$29,0))&amp;"",""))</f>
        <v/>
      </c>
    </row>
    <row r="3447">
      <c r="R3447" s="20" t="str">
        <f>IF($B3447="","",IFERROR(IF(INDEX(Config!$D$9:$D$29,MATCH($B3447,Config!$B$9:$B$29,0))="Contrato",IF(INDEX(Config!$E$9:$E$29,MATCH($B3447,Config!$B$9:$B$29,0))="","",INDEX(Config!$E$9:$E$29,MATCH($B3447,Config!$B$9:$B$29,0))),""),""))</f>
        <v/>
      </c>
      <c r="AC3447" s="19" t="str">
        <f>IF($B3447="","",IFERROR(INDEX(Config!$D$9:$D$29,MATCH($B3447,Config!$B$9:$B$29,0))&amp;"",""))</f>
        <v/>
      </c>
    </row>
    <row r="3448">
      <c r="R3448" s="20" t="str">
        <f>IF($B3448="","",IFERROR(IF(INDEX(Config!$D$9:$D$29,MATCH($B3448,Config!$B$9:$B$29,0))="Contrato",IF(INDEX(Config!$E$9:$E$29,MATCH($B3448,Config!$B$9:$B$29,0))="","",INDEX(Config!$E$9:$E$29,MATCH($B3448,Config!$B$9:$B$29,0))),""),""))</f>
        <v/>
      </c>
      <c r="AC3448" s="19" t="str">
        <f>IF($B3448="","",IFERROR(INDEX(Config!$D$9:$D$29,MATCH($B3448,Config!$B$9:$B$29,0))&amp;"",""))</f>
        <v/>
      </c>
    </row>
    <row r="3449">
      <c r="R3449" s="20" t="str">
        <f>IF($B3449="","",IFERROR(IF(INDEX(Config!$D$9:$D$29,MATCH($B3449,Config!$B$9:$B$29,0))="Contrato",IF(INDEX(Config!$E$9:$E$29,MATCH($B3449,Config!$B$9:$B$29,0))="","",INDEX(Config!$E$9:$E$29,MATCH($B3449,Config!$B$9:$B$29,0))),""),""))</f>
        <v/>
      </c>
      <c r="AC3449" s="19" t="str">
        <f>IF($B3449="","",IFERROR(INDEX(Config!$D$9:$D$29,MATCH($B3449,Config!$B$9:$B$29,0))&amp;"",""))</f>
        <v/>
      </c>
    </row>
    <row r="3450">
      <c r="R3450" s="20" t="str">
        <f>IF($B3450="","",IFERROR(IF(INDEX(Config!$D$9:$D$29,MATCH($B3450,Config!$B$9:$B$29,0))="Contrato",IF(INDEX(Config!$E$9:$E$29,MATCH($B3450,Config!$B$9:$B$29,0))="","",INDEX(Config!$E$9:$E$29,MATCH($B3450,Config!$B$9:$B$29,0))),""),""))</f>
        <v/>
      </c>
      <c r="AC3450" s="19" t="str">
        <f>IF($B3450="","",IFERROR(INDEX(Config!$D$9:$D$29,MATCH($B3450,Config!$B$9:$B$29,0))&amp;"",""))</f>
        <v/>
      </c>
    </row>
    <row r="3451">
      <c r="R3451" s="20" t="str">
        <f>IF($B3451="","",IFERROR(IF(INDEX(Config!$D$9:$D$29,MATCH($B3451,Config!$B$9:$B$29,0))="Contrato",IF(INDEX(Config!$E$9:$E$29,MATCH($B3451,Config!$B$9:$B$29,0))="","",INDEX(Config!$E$9:$E$29,MATCH($B3451,Config!$B$9:$B$29,0))),""),""))</f>
        <v/>
      </c>
      <c r="AC3451" s="19" t="str">
        <f>IF($B3451="","",IFERROR(INDEX(Config!$D$9:$D$29,MATCH($B3451,Config!$B$9:$B$29,0))&amp;"",""))</f>
        <v/>
      </c>
    </row>
    <row r="3452">
      <c r="R3452" s="20" t="str">
        <f>IF($B3452="","",IFERROR(IF(INDEX(Config!$D$9:$D$29,MATCH($B3452,Config!$B$9:$B$29,0))="Contrato",IF(INDEX(Config!$E$9:$E$29,MATCH($B3452,Config!$B$9:$B$29,0))="","",INDEX(Config!$E$9:$E$29,MATCH($B3452,Config!$B$9:$B$29,0))),""),""))</f>
        <v/>
      </c>
      <c r="AC3452" s="19" t="str">
        <f>IF($B3452="","",IFERROR(INDEX(Config!$D$9:$D$29,MATCH($B3452,Config!$B$9:$B$29,0))&amp;"",""))</f>
        <v/>
      </c>
    </row>
    <row r="3453">
      <c r="R3453" s="20" t="str">
        <f>IF($B3453="","",IFERROR(IF(INDEX(Config!$D$9:$D$29,MATCH($B3453,Config!$B$9:$B$29,0))="Contrato",IF(INDEX(Config!$E$9:$E$29,MATCH($B3453,Config!$B$9:$B$29,0))="","",INDEX(Config!$E$9:$E$29,MATCH($B3453,Config!$B$9:$B$29,0))),""),""))</f>
        <v/>
      </c>
      <c r="AC3453" s="19" t="str">
        <f>IF($B3453="","",IFERROR(INDEX(Config!$D$9:$D$29,MATCH($B3453,Config!$B$9:$B$29,0))&amp;"",""))</f>
        <v/>
      </c>
    </row>
    <row r="3454">
      <c r="R3454" s="20" t="str">
        <f>IF($B3454="","",IFERROR(IF(INDEX(Config!$D$9:$D$29,MATCH($B3454,Config!$B$9:$B$29,0))="Contrato",IF(INDEX(Config!$E$9:$E$29,MATCH($B3454,Config!$B$9:$B$29,0))="","",INDEX(Config!$E$9:$E$29,MATCH($B3454,Config!$B$9:$B$29,0))),""),""))</f>
        <v/>
      </c>
      <c r="AC3454" s="19" t="str">
        <f>IF($B3454="","",IFERROR(INDEX(Config!$D$9:$D$29,MATCH($B3454,Config!$B$9:$B$29,0))&amp;"",""))</f>
        <v/>
      </c>
    </row>
    <row r="3455">
      <c r="R3455" s="20" t="str">
        <f>IF($B3455="","",IFERROR(IF(INDEX(Config!$D$9:$D$29,MATCH($B3455,Config!$B$9:$B$29,0))="Contrato",IF(INDEX(Config!$E$9:$E$29,MATCH($B3455,Config!$B$9:$B$29,0))="","",INDEX(Config!$E$9:$E$29,MATCH($B3455,Config!$B$9:$B$29,0))),""),""))</f>
        <v/>
      </c>
      <c r="AC3455" s="19" t="str">
        <f>IF($B3455="","",IFERROR(INDEX(Config!$D$9:$D$29,MATCH($B3455,Config!$B$9:$B$29,0))&amp;"",""))</f>
        <v/>
      </c>
    </row>
    <row r="3456">
      <c r="R3456" s="20" t="str">
        <f>IF($B3456="","",IFERROR(IF(INDEX(Config!$D$9:$D$29,MATCH($B3456,Config!$B$9:$B$29,0))="Contrato",IF(INDEX(Config!$E$9:$E$29,MATCH($B3456,Config!$B$9:$B$29,0))="","",INDEX(Config!$E$9:$E$29,MATCH($B3456,Config!$B$9:$B$29,0))),""),""))</f>
        <v/>
      </c>
      <c r="AC3456" s="19" t="str">
        <f>IF($B3456="","",IFERROR(INDEX(Config!$D$9:$D$29,MATCH($B3456,Config!$B$9:$B$29,0))&amp;"",""))</f>
        <v/>
      </c>
    </row>
    <row r="3457">
      <c r="R3457" s="20" t="str">
        <f>IF($B3457="","",IFERROR(IF(INDEX(Config!$D$9:$D$29,MATCH($B3457,Config!$B$9:$B$29,0))="Contrato",IF(INDEX(Config!$E$9:$E$29,MATCH($B3457,Config!$B$9:$B$29,0))="","",INDEX(Config!$E$9:$E$29,MATCH($B3457,Config!$B$9:$B$29,0))),""),""))</f>
        <v/>
      </c>
      <c r="AC3457" s="19" t="str">
        <f>IF($B3457="","",IFERROR(INDEX(Config!$D$9:$D$29,MATCH($B3457,Config!$B$9:$B$29,0))&amp;"",""))</f>
        <v/>
      </c>
    </row>
    <row r="3458">
      <c r="R3458" s="20" t="str">
        <f>IF($B3458="","",IFERROR(IF(INDEX(Config!$D$9:$D$29,MATCH($B3458,Config!$B$9:$B$29,0))="Contrato",IF(INDEX(Config!$E$9:$E$29,MATCH($B3458,Config!$B$9:$B$29,0))="","",INDEX(Config!$E$9:$E$29,MATCH($B3458,Config!$B$9:$B$29,0))),""),""))</f>
        <v/>
      </c>
      <c r="AC3458" s="19" t="str">
        <f>IF($B3458="","",IFERROR(INDEX(Config!$D$9:$D$29,MATCH($B3458,Config!$B$9:$B$29,0))&amp;"",""))</f>
        <v/>
      </c>
    </row>
    <row r="3459">
      <c r="R3459" s="20" t="str">
        <f>IF($B3459="","",IFERROR(IF(INDEX(Config!$D$9:$D$29,MATCH($B3459,Config!$B$9:$B$29,0))="Contrato",IF(INDEX(Config!$E$9:$E$29,MATCH($B3459,Config!$B$9:$B$29,0))="","",INDEX(Config!$E$9:$E$29,MATCH($B3459,Config!$B$9:$B$29,0))),""),""))</f>
        <v/>
      </c>
      <c r="AC3459" s="19" t="str">
        <f>IF($B3459="","",IFERROR(INDEX(Config!$D$9:$D$29,MATCH($B3459,Config!$B$9:$B$29,0))&amp;"",""))</f>
        <v/>
      </c>
    </row>
    <row r="3460">
      <c r="R3460" s="20" t="str">
        <f>IF($B3460="","",IFERROR(IF(INDEX(Config!$D$9:$D$29,MATCH($B3460,Config!$B$9:$B$29,0))="Contrato",IF(INDEX(Config!$E$9:$E$29,MATCH($B3460,Config!$B$9:$B$29,0))="","",INDEX(Config!$E$9:$E$29,MATCH($B3460,Config!$B$9:$B$29,0))),""),""))</f>
        <v/>
      </c>
      <c r="AC3460" s="19" t="str">
        <f>IF($B3460="","",IFERROR(INDEX(Config!$D$9:$D$29,MATCH($B3460,Config!$B$9:$B$29,0))&amp;"",""))</f>
        <v/>
      </c>
    </row>
    <row r="3461">
      <c r="R3461" s="20" t="str">
        <f>IF($B3461="","",IFERROR(IF(INDEX(Config!$D$9:$D$29,MATCH($B3461,Config!$B$9:$B$29,0))="Contrato",IF(INDEX(Config!$E$9:$E$29,MATCH($B3461,Config!$B$9:$B$29,0))="","",INDEX(Config!$E$9:$E$29,MATCH($B3461,Config!$B$9:$B$29,0))),""),""))</f>
        <v/>
      </c>
      <c r="AC3461" s="19" t="str">
        <f>IF($B3461="","",IFERROR(INDEX(Config!$D$9:$D$29,MATCH($B3461,Config!$B$9:$B$29,0))&amp;"",""))</f>
        <v/>
      </c>
    </row>
    <row r="3462">
      <c r="R3462" s="20" t="str">
        <f>IF($B3462="","",IFERROR(IF(INDEX(Config!$D$9:$D$29,MATCH($B3462,Config!$B$9:$B$29,0))="Contrato",IF(INDEX(Config!$E$9:$E$29,MATCH($B3462,Config!$B$9:$B$29,0))="","",INDEX(Config!$E$9:$E$29,MATCH($B3462,Config!$B$9:$B$29,0))),""),""))</f>
        <v/>
      </c>
      <c r="AC3462" s="19" t="str">
        <f>IF($B3462="","",IFERROR(INDEX(Config!$D$9:$D$29,MATCH($B3462,Config!$B$9:$B$29,0))&amp;"",""))</f>
        <v/>
      </c>
    </row>
    <row r="3463">
      <c r="R3463" s="20" t="str">
        <f>IF($B3463="","",IFERROR(IF(INDEX(Config!$D$9:$D$29,MATCH($B3463,Config!$B$9:$B$29,0))="Contrato",IF(INDEX(Config!$E$9:$E$29,MATCH($B3463,Config!$B$9:$B$29,0))="","",INDEX(Config!$E$9:$E$29,MATCH($B3463,Config!$B$9:$B$29,0))),""),""))</f>
        <v/>
      </c>
      <c r="AC3463" s="19" t="str">
        <f>IF($B3463="","",IFERROR(INDEX(Config!$D$9:$D$29,MATCH($B3463,Config!$B$9:$B$29,0))&amp;"",""))</f>
        <v/>
      </c>
    </row>
    <row r="3464">
      <c r="R3464" s="20" t="str">
        <f>IF($B3464="","",IFERROR(IF(INDEX(Config!$D$9:$D$29,MATCH($B3464,Config!$B$9:$B$29,0))="Contrato",IF(INDEX(Config!$E$9:$E$29,MATCH($B3464,Config!$B$9:$B$29,0))="","",INDEX(Config!$E$9:$E$29,MATCH($B3464,Config!$B$9:$B$29,0))),""),""))</f>
        <v/>
      </c>
      <c r="AC3464" s="19" t="str">
        <f>IF($B3464="","",IFERROR(INDEX(Config!$D$9:$D$29,MATCH($B3464,Config!$B$9:$B$29,0))&amp;"",""))</f>
        <v/>
      </c>
    </row>
    <row r="3465">
      <c r="R3465" s="20" t="str">
        <f>IF($B3465="","",IFERROR(IF(INDEX(Config!$D$9:$D$29,MATCH($B3465,Config!$B$9:$B$29,0))="Contrato",IF(INDEX(Config!$E$9:$E$29,MATCH($B3465,Config!$B$9:$B$29,0))="","",INDEX(Config!$E$9:$E$29,MATCH($B3465,Config!$B$9:$B$29,0))),""),""))</f>
        <v/>
      </c>
      <c r="AC3465" s="19" t="str">
        <f>IF($B3465="","",IFERROR(INDEX(Config!$D$9:$D$29,MATCH($B3465,Config!$B$9:$B$29,0))&amp;"",""))</f>
        <v/>
      </c>
    </row>
    <row r="3466">
      <c r="R3466" s="20" t="str">
        <f>IF($B3466="","",IFERROR(IF(INDEX(Config!$D$9:$D$29,MATCH($B3466,Config!$B$9:$B$29,0))="Contrato",IF(INDEX(Config!$E$9:$E$29,MATCH($B3466,Config!$B$9:$B$29,0))="","",INDEX(Config!$E$9:$E$29,MATCH($B3466,Config!$B$9:$B$29,0))),""),""))</f>
        <v/>
      </c>
      <c r="AC3466" s="19" t="str">
        <f>IF($B3466="","",IFERROR(INDEX(Config!$D$9:$D$29,MATCH($B3466,Config!$B$9:$B$29,0))&amp;"",""))</f>
        <v/>
      </c>
    </row>
    <row r="3467">
      <c r="R3467" s="20" t="str">
        <f>IF($B3467="","",IFERROR(IF(INDEX(Config!$D$9:$D$29,MATCH($B3467,Config!$B$9:$B$29,0))="Contrato",IF(INDEX(Config!$E$9:$E$29,MATCH($B3467,Config!$B$9:$B$29,0))="","",INDEX(Config!$E$9:$E$29,MATCH($B3467,Config!$B$9:$B$29,0))),""),""))</f>
        <v/>
      </c>
      <c r="AC3467" s="19" t="str">
        <f>IF($B3467="","",IFERROR(INDEX(Config!$D$9:$D$29,MATCH($B3467,Config!$B$9:$B$29,0))&amp;"",""))</f>
        <v/>
      </c>
    </row>
    <row r="3468">
      <c r="R3468" s="20" t="str">
        <f>IF($B3468="","",IFERROR(IF(INDEX(Config!$D$9:$D$29,MATCH($B3468,Config!$B$9:$B$29,0))="Contrato",IF(INDEX(Config!$E$9:$E$29,MATCH($B3468,Config!$B$9:$B$29,0))="","",INDEX(Config!$E$9:$E$29,MATCH($B3468,Config!$B$9:$B$29,0))),""),""))</f>
        <v/>
      </c>
      <c r="AC3468" s="19" t="str">
        <f>IF($B3468="","",IFERROR(INDEX(Config!$D$9:$D$29,MATCH($B3468,Config!$B$9:$B$29,0))&amp;"",""))</f>
        <v/>
      </c>
    </row>
    <row r="3469">
      <c r="R3469" s="20" t="str">
        <f>IF($B3469="","",IFERROR(IF(INDEX(Config!$D$9:$D$29,MATCH($B3469,Config!$B$9:$B$29,0))="Contrato",IF(INDEX(Config!$E$9:$E$29,MATCH($B3469,Config!$B$9:$B$29,0))="","",INDEX(Config!$E$9:$E$29,MATCH($B3469,Config!$B$9:$B$29,0))),""),""))</f>
        <v/>
      </c>
      <c r="AC3469" s="19" t="str">
        <f>IF($B3469="","",IFERROR(INDEX(Config!$D$9:$D$29,MATCH($B3469,Config!$B$9:$B$29,0))&amp;"",""))</f>
        <v/>
      </c>
    </row>
    <row r="3470">
      <c r="R3470" s="20" t="str">
        <f>IF($B3470="","",IFERROR(IF(INDEX(Config!$D$9:$D$29,MATCH($B3470,Config!$B$9:$B$29,0))="Contrato",IF(INDEX(Config!$E$9:$E$29,MATCH($B3470,Config!$B$9:$B$29,0))="","",INDEX(Config!$E$9:$E$29,MATCH($B3470,Config!$B$9:$B$29,0))),""),""))</f>
        <v/>
      </c>
      <c r="AC3470" s="19" t="str">
        <f>IF($B3470="","",IFERROR(INDEX(Config!$D$9:$D$29,MATCH($B3470,Config!$B$9:$B$29,0))&amp;"",""))</f>
        <v/>
      </c>
    </row>
    <row r="3471">
      <c r="R3471" s="20" t="str">
        <f>IF($B3471="","",IFERROR(IF(INDEX(Config!$D$9:$D$29,MATCH($B3471,Config!$B$9:$B$29,0))="Contrato",IF(INDEX(Config!$E$9:$E$29,MATCH($B3471,Config!$B$9:$B$29,0))="","",INDEX(Config!$E$9:$E$29,MATCH($B3471,Config!$B$9:$B$29,0))),""),""))</f>
        <v/>
      </c>
      <c r="AC3471" s="19" t="str">
        <f>IF($B3471="","",IFERROR(INDEX(Config!$D$9:$D$29,MATCH($B3471,Config!$B$9:$B$29,0))&amp;"",""))</f>
        <v/>
      </c>
    </row>
    <row r="3472">
      <c r="R3472" s="20" t="str">
        <f>IF($B3472="","",IFERROR(IF(INDEX(Config!$D$9:$D$29,MATCH($B3472,Config!$B$9:$B$29,0))="Contrato",IF(INDEX(Config!$E$9:$E$29,MATCH($B3472,Config!$B$9:$B$29,0))="","",INDEX(Config!$E$9:$E$29,MATCH($B3472,Config!$B$9:$B$29,0))),""),""))</f>
        <v/>
      </c>
      <c r="AC3472" s="19" t="str">
        <f>IF($B3472="","",IFERROR(INDEX(Config!$D$9:$D$29,MATCH($B3472,Config!$B$9:$B$29,0))&amp;"",""))</f>
        <v/>
      </c>
    </row>
    <row r="3473">
      <c r="R3473" s="20" t="str">
        <f>IF($B3473="","",IFERROR(IF(INDEX(Config!$D$9:$D$29,MATCH($B3473,Config!$B$9:$B$29,0))="Contrato",IF(INDEX(Config!$E$9:$E$29,MATCH($B3473,Config!$B$9:$B$29,0))="","",INDEX(Config!$E$9:$E$29,MATCH($B3473,Config!$B$9:$B$29,0))),""),""))</f>
        <v/>
      </c>
      <c r="AC3473" s="19" t="str">
        <f>IF($B3473="","",IFERROR(INDEX(Config!$D$9:$D$29,MATCH($B3473,Config!$B$9:$B$29,0))&amp;"",""))</f>
        <v/>
      </c>
    </row>
    <row r="3474">
      <c r="R3474" s="20" t="str">
        <f>IF($B3474="","",IFERROR(IF(INDEX(Config!$D$9:$D$29,MATCH($B3474,Config!$B$9:$B$29,0))="Contrato",IF(INDEX(Config!$E$9:$E$29,MATCH($B3474,Config!$B$9:$B$29,0))="","",INDEX(Config!$E$9:$E$29,MATCH($B3474,Config!$B$9:$B$29,0))),""),""))</f>
        <v/>
      </c>
      <c r="AC3474" s="19" t="str">
        <f>IF($B3474="","",IFERROR(INDEX(Config!$D$9:$D$29,MATCH($B3474,Config!$B$9:$B$29,0))&amp;"",""))</f>
        <v/>
      </c>
    </row>
    <row r="3475">
      <c r="R3475" s="20" t="str">
        <f>IF($B3475="","",IFERROR(IF(INDEX(Config!$D$9:$D$29,MATCH($B3475,Config!$B$9:$B$29,0))="Contrato",IF(INDEX(Config!$E$9:$E$29,MATCH($B3475,Config!$B$9:$B$29,0))="","",INDEX(Config!$E$9:$E$29,MATCH($B3475,Config!$B$9:$B$29,0))),""),""))</f>
        <v/>
      </c>
      <c r="AC3475" s="19" t="str">
        <f>IF($B3475="","",IFERROR(INDEX(Config!$D$9:$D$29,MATCH($B3475,Config!$B$9:$B$29,0))&amp;"",""))</f>
        <v/>
      </c>
    </row>
    <row r="3476">
      <c r="R3476" s="20" t="str">
        <f>IF($B3476="","",IFERROR(IF(INDEX(Config!$D$9:$D$29,MATCH($B3476,Config!$B$9:$B$29,0))="Contrato",IF(INDEX(Config!$E$9:$E$29,MATCH($B3476,Config!$B$9:$B$29,0))="","",INDEX(Config!$E$9:$E$29,MATCH($B3476,Config!$B$9:$B$29,0))),""),""))</f>
        <v/>
      </c>
      <c r="AC3476" s="19" t="str">
        <f>IF($B3476="","",IFERROR(INDEX(Config!$D$9:$D$29,MATCH($B3476,Config!$B$9:$B$29,0))&amp;"",""))</f>
        <v/>
      </c>
    </row>
    <row r="3477">
      <c r="R3477" s="20" t="str">
        <f>IF($B3477="","",IFERROR(IF(INDEX(Config!$D$9:$D$29,MATCH($B3477,Config!$B$9:$B$29,0))="Contrato",IF(INDEX(Config!$E$9:$E$29,MATCH($B3477,Config!$B$9:$B$29,0))="","",INDEX(Config!$E$9:$E$29,MATCH($B3477,Config!$B$9:$B$29,0))),""),""))</f>
        <v/>
      </c>
      <c r="AC3477" s="19" t="str">
        <f>IF($B3477="","",IFERROR(INDEX(Config!$D$9:$D$29,MATCH($B3477,Config!$B$9:$B$29,0))&amp;"",""))</f>
        <v/>
      </c>
    </row>
    <row r="3478">
      <c r="R3478" s="20" t="str">
        <f>IF($B3478="","",IFERROR(IF(INDEX(Config!$D$9:$D$29,MATCH($B3478,Config!$B$9:$B$29,0))="Contrato",IF(INDEX(Config!$E$9:$E$29,MATCH($B3478,Config!$B$9:$B$29,0))="","",INDEX(Config!$E$9:$E$29,MATCH($B3478,Config!$B$9:$B$29,0))),""),""))</f>
        <v/>
      </c>
      <c r="AC3478" s="19" t="str">
        <f>IF($B3478="","",IFERROR(INDEX(Config!$D$9:$D$29,MATCH($B3478,Config!$B$9:$B$29,0))&amp;"",""))</f>
        <v/>
      </c>
    </row>
    <row r="3479">
      <c r="R3479" s="20" t="str">
        <f>IF($B3479="","",IFERROR(IF(INDEX(Config!$D$9:$D$29,MATCH($B3479,Config!$B$9:$B$29,0))="Contrato",IF(INDEX(Config!$E$9:$E$29,MATCH($B3479,Config!$B$9:$B$29,0))="","",INDEX(Config!$E$9:$E$29,MATCH($B3479,Config!$B$9:$B$29,0))),""),""))</f>
        <v/>
      </c>
      <c r="AC3479" s="19" t="str">
        <f>IF($B3479="","",IFERROR(INDEX(Config!$D$9:$D$29,MATCH($B3479,Config!$B$9:$B$29,0))&amp;"",""))</f>
        <v/>
      </c>
    </row>
    <row r="3480">
      <c r="R3480" s="20" t="str">
        <f>IF($B3480="","",IFERROR(IF(INDEX(Config!$D$9:$D$29,MATCH($B3480,Config!$B$9:$B$29,0))="Contrato",IF(INDEX(Config!$E$9:$E$29,MATCH($B3480,Config!$B$9:$B$29,0))="","",INDEX(Config!$E$9:$E$29,MATCH($B3480,Config!$B$9:$B$29,0))),""),""))</f>
        <v/>
      </c>
      <c r="AC3480" s="19" t="str">
        <f>IF($B3480="","",IFERROR(INDEX(Config!$D$9:$D$29,MATCH($B3480,Config!$B$9:$B$29,0))&amp;"",""))</f>
        <v/>
      </c>
    </row>
    <row r="3481">
      <c r="R3481" s="20" t="str">
        <f>IF($B3481="","",IFERROR(IF(INDEX(Config!$D$9:$D$29,MATCH($B3481,Config!$B$9:$B$29,0))="Contrato",IF(INDEX(Config!$E$9:$E$29,MATCH($B3481,Config!$B$9:$B$29,0))="","",INDEX(Config!$E$9:$E$29,MATCH($B3481,Config!$B$9:$B$29,0))),""),""))</f>
        <v/>
      </c>
      <c r="AC3481" s="19" t="str">
        <f>IF($B3481="","",IFERROR(INDEX(Config!$D$9:$D$29,MATCH($B3481,Config!$B$9:$B$29,0))&amp;"",""))</f>
        <v/>
      </c>
    </row>
    <row r="3482">
      <c r="R3482" s="20" t="str">
        <f>IF($B3482="","",IFERROR(IF(INDEX(Config!$D$9:$D$29,MATCH($B3482,Config!$B$9:$B$29,0))="Contrato",IF(INDEX(Config!$E$9:$E$29,MATCH($B3482,Config!$B$9:$B$29,0))="","",INDEX(Config!$E$9:$E$29,MATCH($B3482,Config!$B$9:$B$29,0))),""),""))</f>
        <v/>
      </c>
      <c r="AC3482" s="19" t="str">
        <f>IF($B3482="","",IFERROR(INDEX(Config!$D$9:$D$29,MATCH($B3482,Config!$B$9:$B$29,0))&amp;"",""))</f>
        <v/>
      </c>
    </row>
    <row r="3483">
      <c r="R3483" s="20" t="str">
        <f>IF($B3483="","",IFERROR(IF(INDEX(Config!$D$9:$D$29,MATCH($B3483,Config!$B$9:$B$29,0))="Contrato",IF(INDEX(Config!$E$9:$E$29,MATCH($B3483,Config!$B$9:$B$29,0))="","",INDEX(Config!$E$9:$E$29,MATCH($B3483,Config!$B$9:$B$29,0))),""),""))</f>
        <v/>
      </c>
      <c r="AC3483" s="19" t="str">
        <f>IF($B3483="","",IFERROR(INDEX(Config!$D$9:$D$29,MATCH($B3483,Config!$B$9:$B$29,0))&amp;"",""))</f>
        <v/>
      </c>
    </row>
    <row r="3484">
      <c r="R3484" s="20" t="str">
        <f>IF($B3484="","",IFERROR(IF(INDEX(Config!$D$9:$D$29,MATCH($B3484,Config!$B$9:$B$29,0))="Contrato",IF(INDEX(Config!$E$9:$E$29,MATCH($B3484,Config!$B$9:$B$29,0))="","",INDEX(Config!$E$9:$E$29,MATCH($B3484,Config!$B$9:$B$29,0))),""),""))</f>
        <v/>
      </c>
      <c r="AC3484" s="19" t="str">
        <f>IF($B3484="","",IFERROR(INDEX(Config!$D$9:$D$29,MATCH($B3484,Config!$B$9:$B$29,0))&amp;"",""))</f>
        <v/>
      </c>
    </row>
    <row r="3485">
      <c r="R3485" s="20" t="str">
        <f>IF($B3485="","",IFERROR(IF(INDEX(Config!$D$9:$D$29,MATCH($B3485,Config!$B$9:$B$29,0))="Contrato",IF(INDEX(Config!$E$9:$E$29,MATCH($B3485,Config!$B$9:$B$29,0))="","",INDEX(Config!$E$9:$E$29,MATCH($B3485,Config!$B$9:$B$29,0))),""),""))</f>
        <v/>
      </c>
      <c r="AC3485" s="19" t="str">
        <f>IF($B3485="","",IFERROR(INDEX(Config!$D$9:$D$29,MATCH($B3485,Config!$B$9:$B$29,0))&amp;"",""))</f>
        <v/>
      </c>
    </row>
    <row r="3486">
      <c r="R3486" s="20" t="str">
        <f>IF($B3486="","",IFERROR(IF(INDEX(Config!$D$9:$D$29,MATCH($B3486,Config!$B$9:$B$29,0))="Contrato",IF(INDEX(Config!$E$9:$E$29,MATCH($B3486,Config!$B$9:$B$29,0))="","",INDEX(Config!$E$9:$E$29,MATCH($B3486,Config!$B$9:$B$29,0))),""),""))</f>
        <v/>
      </c>
      <c r="AC3486" s="19" t="str">
        <f>IF($B3486="","",IFERROR(INDEX(Config!$D$9:$D$29,MATCH($B3486,Config!$B$9:$B$29,0))&amp;"",""))</f>
        <v/>
      </c>
    </row>
    <row r="3487">
      <c r="R3487" s="20" t="str">
        <f>IF($B3487="","",IFERROR(IF(INDEX(Config!$D$9:$D$29,MATCH($B3487,Config!$B$9:$B$29,0))="Contrato",IF(INDEX(Config!$E$9:$E$29,MATCH($B3487,Config!$B$9:$B$29,0))="","",INDEX(Config!$E$9:$E$29,MATCH($B3487,Config!$B$9:$B$29,0))),""),""))</f>
        <v/>
      </c>
      <c r="AC3487" s="19" t="str">
        <f>IF($B3487="","",IFERROR(INDEX(Config!$D$9:$D$29,MATCH($B3487,Config!$B$9:$B$29,0))&amp;"",""))</f>
        <v/>
      </c>
    </row>
    <row r="3488">
      <c r="R3488" s="20" t="str">
        <f>IF($B3488="","",IFERROR(IF(INDEX(Config!$D$9:$D$29,MATCH($B3488,Config!$B$9:$B$29,0))="Contrato",IF(INDEX(Config!$E$9:$E$29,MATCH($B3488,Config!$B$9:$B$29,0))="","",INDEX(Config!$E$9:$E$29,MATCH($B3488,Config!$B$9:$B$29,0))),""),""))</f>
        <v/>
      </c>
      <c r="AC3488" s="19" t="str">
        <f>IF($B3488="","",IFERROR(INDEX(Config!$D$9:$D$29,MATCH($B3488,Config!$B$9:$B$29,0))&amp;"",""))</f>
        <v/>
      </c>
    </row>
    <row r="3489">
      <c r="R3489" s="20" t="str">
        <f>IF($B3489="","",IFERROR(IF(INDEX(Config!$D$9:$D$29,MATCH($B3489,Config!$B$9:$B$29,0))="Contrato",IF(INDEX(Config!$E$9:$E$29,MATCH($B3489,Config!$B$9:$B$29,0))="","",INDEX(Config!$E$9:$E$29,MATCH($B3489,Config!$B$9:$B$29,0))),""),""))</f>
        <v/>
      </c>
      <c r="AC3489" s="19" t="str">
        <f>IF($B3489="","",IFERROR(INDEX(Config!$D$9:$D$29,MATCH($B3489,Config!$B$9:$B$29,0))&amp;"",""))</f>
        <v/>
      </c>
    </row>
    <row r="3490">
      <c r="R3490" s="20" t="str">
        <f>IF($B3490="","",IFERROR(IF(INDEX(Config!$D$9:$D$29,MATCH($B3490,Config!$B$9:$B$29,0))="Contrato",IF(INDEX(Config!$E$9:$E$29,MATCH($B3490,Config!$B$9:$B$29,0))="","",INDEX(Config!$E$9:$E$29,MATCH($B3490,Config!$B$9:$B$29,0))),""),""))</f>
        <v/>
      </c>
      <c r="AC3490" s="19" t="str">
        <f>IF($B3490="","",IFERROR(INDEX(Config!$D$9:$D$29,MATCH($B3490,Config!$B$9:$B$29,0))&amp;"",""))</f>
        <v/>
      </c>
    </row>
    <row r="3491">
      <c r="R3491" s="20" t="str">
        <f>IF($B3491="","",IFERROR(IF(INDEX(Config!$D$9:$D$29,MATCH($B3491,Config!$B$9:$B$29,0))="Contrato",IF(INDEX(Config!$E$9:$E$29,MATCH($B3491,Config!$B$9:$B$29,0))="","",INDEX(Config!$E$9:$E$29,MATCH($B3491,Config!$B$9:$B$29,0))),""),""))</f>
        <v/>
      </c>
      <c r="AC3491" s="19" t="str">
        <f>IF($B3491="","",IFERROR(INDEX(Config!$D$9:$D$29,MATCH($B3491,Config!$B$9:$B$29,0))&amp;"",""))</f>
        <v/>
      </c>
    </row>
    <row r="3492">
      <c r="R3492" s="20" t="str">
        <f>IF($B3492="","",IFERROR(IF(INDEX(Config!$D$9:$D$29,MATCH($B3492,Config!$B$9:$B$29,0))="Contrato",IF(INDEX(Config!$E$9:$E$29,MATCH($B3492,Config!$B$9:$B$29,0))="","",INDEX(Config!$E$9:$E$29,MATCH($B3492,Config!$B$9:$B$29,0))),""),""))</f>
        <v/>
      </c>
      <c r="AC3492" s="19" t="str">
        <f>IF($B3492="","",IFERROR(INDEX(Config!$D$9:$D$29,MATCH($B3492,Config!$B$9:$B$29,0))&amp;"",""))</f>
        <v/>
      </c>
    </row>
    <row r="3493">
      <c r="R3493" s="20" t="str">
        <f>IF($B3493="","",IFERROR(IF(INDEX(Config!$D$9:$D$29,MATCH($B3493,Config!$B$9:$B$29,0))="Contrato",IF(INDEX(Config!$E$9:$E$29,MATCH($B3493,Config!$B$9:$B$29,0))="","",INDEX(Config!$E$9:$E$29,MATCH($B3493,Config!$B$9:$B$29,0))),""),""))</f>
        <v/>
      </c>
      <c r="AC3493" s="19" t="str">
        <f>IF($B3493="","",IFERROR(INDEX(Config!$D$9:$D$29,MATCH($B3493,Config!$B$9:$B$29,0))&amp;"",""))</f>
        <v/>
      </c>
    </row>
    <row r="3494">
      <c r="R3494" s="20" t="str">
        <f>IF($B3494="","",IFERROR(IF(INDEX(Config!$D$9:$D$29,MATCH($B3494,Config!$B$9:$B$29,0))="Contrato",IF(INDEX(Config!$E$9:$E$29,MATCH($B3494,Config!$B$9:$B$29,0))="","",INDEX(Config!$E$9:$E$29,MATCH($B3494,Config!$B$9:$B$29,0))),""),""))</f>
        <v/>
      </c>
      <c r="AC3494" s="19" t="str">
        <f>IF($B3494="","",IFERROR(INDEX(Config!$D$9:$D$29,MATCH($B3494,Config!$B$9:$B$29,0))&amp;"",""))</f>
        <v/>
      </c>
    </row>
    <row r="3495">
      <c r="R3495" s="20" t="str">
        <f>IF($B3495="","",IFERROR(IF(INDEX(Config!$D$9:$D$29,MATCH($B3495,Config!$B$9:$B$29,0))="Contrato",IF(INDEX(Config!$E$9:$E$29,MATCH($B3495,Config!$B$9:$B$29,0))="","",INDEX(Config!$E$9:$E$29,MATCH($B3495,Config!$B$9:$B$29,0))),""),""))</f>
        <v/>
      </c>
      <c r="AC3495" s="19" t="str">
        <f>IF($B3495="","",IFERROR(INDEX(Config!$D$9:$D$29,MATCH($B3495,Config!$B$9:$B$29,0))&amp;"",""))</f>
        <v/>
      </c>
    </row>
    <row r="3496">
      <c r="R3496" s="20" t="str">
        <f>IF($B3496="","",IFERROR(IF(INDEX(Config!$D$9:$D$29,MATCH($B3496,Config!$B$9:$B$29,0))="Contrato",IF(INDEX(Config!$E$9:$E$29,MATCH($B3496,Config!$B$9:$B$29,0))="","",INDEX(Config!$E$9:$E$29,MATCH($B3496,Config!$B$9:$B$29,0))),""),""))</f>
        <v/>
      </c>
      <c r="AC3496" s="19" t="str">
        <f>IF($B3496="","",IFERROR(INDEX(Config!$D$9:$D$29,MATCH($B3496,Config!$B$9:$B$29,0))&amp;"",""))</f>
        <v/>
      </c>
    </row>
    <row r="3497">
      <c r="R3497" s="20" t="str">
        <f>IF($B3497="","",IFERROR(IF(INDEX(Config!$D$9:$D$29,MATCH($B3497,Config!$B$9:$B$29,0))="Contrato",IF(INDEX(Config!$E$9:$E$29,MATCH($B3497,Config!$B$9:$B$29,0))="","",INDEX(Config!$E$9:$E$29,MATCH($B3497,Config!$B$9:$B$29,0))),""),""))</f>
        <v/>
      </c>
      <c r="AC3497" s="19" t="str">
        <f>IF($B3497="","",IFERROR(INDEX(Config!$D$9:$D$29,MATCH($B3497,Config!$B$9:$B$29,0))&amp;"",""))</f>
        <v/>
      </c>
    </row>
    <row r="3498">
      <c r="R3498" s="20" t="str">
        <f>IF($B3498="","",IFERROR(IF(INDEX(Config!$D$9:$D$29,MATCH($B3498,Config!$B$9:$B$29,0))="Contrato",IF(INDEX(Config!$E$9:$E$29,MATCH($B3498,Config!$B$9:$B$29,0))="","",INDEX(Config!$E$9:$E$29,MATCH($B3498,Config!$B$9:$B$29,0))),""),""))</f>
        <v/>
      </c>
      <c r="AC3498" s="19" t="str">
        <f>IF($B3498="","",IFERROR(INDEX(Config!$D$9:$D$29,MATCH($B3498,Config!$B$9:$B$29,0))&amp;"",""))</f>
        <v/>
      </c>
    </row>
    <row r="3499">
      <c r="R3499" s="20" t="str">
        <f>IF($B3499="","",IFERROR(IF(INDEX(Config!$D$9:$D$29,MATCH($B3499,Config!$B$9:$B$29,0))="Contrato",IF(INDEX(Config!$E$9:$E$29,MATCH($B3499,Config!$B$9:$B$29,0))="","",INDEX(Config!$E$9:$E$29,MATCH($B3499,Config!$B$9:$B$29,0))),""),""))</f>
        <v/>
      </c>
      <c r="AC3499" s="19" t="str">
        <f>IF($B3499="","",IFERROR(INDEX(Config!$D$9:$D$29,MATCH($B3499,Config!$B$9:$B$29,0))&amp;"",""))</f>
        <v/>
      </c>
    </row>
    <row r="3500">
      <c r="R3500" s="20" t="str">
        <f>IF($B3500="","",IFERROR(IF(INDEX(Config!$D$9:$D$29,MATCH($B3500,Config!$B$9:$B$29,0))="Contrato",IF(INDEX(Config!$E$9:$E$29,MATCH($B3500,Config!$B$9:$B$29,0))="","",INDEX(Config!$E$9:$E$29,MATCH($B3500,Config!$B$9:$B$29,0))),""),""))</f>
        <v/>
      </c>
      <c r="AC3500" s="19" t="str">
        <f>IF($B3500="","",IFERROR(INDEX(Config!$D$9:$D$29,MATCH($B3500,Config!$B$9:$B$29,0))&amp;"",""))</f>
        <v/>
      </c>
    </row>
    <row r="3501">
      <c r="R3501" s="20" t="str">
        <f>IF($B3501="","",IFERROR(IF(INDEX(Config!$D$9:$D$29,MATCH($B3501,Config!$B$9:$B$29,0))="Contrato",IF(INDEX(Config!$E$9:$E$29,MATCH($B3501,Config!$B$9:$B$29,0))="","",INDEX(Config!$E$9:$E$29,MATCH($B3501,Config!$B$9:$B$29,0))),""),""))</f>
        <v/>
      </c>
      <c r="AC3501" s="19" t="str">
        <f>IF($B3501="","",IFERROR(INDEX(Config!$D$9:$D$29,MATCH($B3501,Config!$B$9:$B$29,0))&amp;"",""))</f>
        <v/>
      </c>
    </row>
    <row r="3502">
      <c r="R3502" s="20" t="str">
        <f>IF($B3502="","",IFERROR(IF(INDEX(Config!$D$9:$D$29,MATCH($B3502,Config!$B$9:$B$29,0))="Contrato",IF(INDEX(Config!$E$9:$E$29,MATCH($B3502,Config!$B$9:$B$29,0))="","",INDEX(Config!$E$9:$E$29,MATCH($B3502,Config!$B$9:$B$29,0))),""),""))</f>
        <v/>
      </c>
      <c r="AC3502" s="19" t="str">
        <f>IF($B3502="","",IFERROR(INDEX(Config!$D$9:$D$29,MATCH($B3502,Config!$B$9:$B$29,0))&amp;"",""))</f>
        <v/>
      </c>
    </row>
    <row r="3503">
      <c r="R3503" s="20" t="str">
        <f>IF($B3503="","",IFERROR(IF(INDEX(Config!$D$9:$D$29,MATCH($B3503,Config!$B$9:$B$29,0))="Contrato",IF(INDEX(Config!$E$9:$E$29,MATCH($B3503,Config!$B$9:$B$29,0))="","",INDEX(Config!$E$9:$E$29,MATCH($B3503,Config!$B$9:$B$29,0))),""),""))</f>
        <v/>
      </c>
      <c r="AC3503" s="19" t="str">
        <f>IF($B3503="","",IFERROR(INDEX(Config!$D$9:$D$29,MATCH($B3503,Config!$B$9:$B$29,0))&amp;"",""))</f>
        <v/>
      </c>
    </row>
    <row r="3504">
      <c r="R3504" s="20" t="str">
        <f>IF($B3504="","",IFERROR(IF(INDEX(Config!$D$9:$D$29,MATCH($B3504,Config!$B$9:$B$29,0))="Contrato",IF(INDEX(Config!$E$9:$E$29,MATCH($B3504,Config!$B$9:$B$29,0))="","",INDEX(Config!$E$9:$E$29,MATCH($B3504,Config!$B$9:$B$29,0))),""),""))</f>
        <v/>
      </c>
      <c r="AC3504" s="19" t="str">
        <f>IF($B3504="","",IFERROR(INDEX(Config!$D$9:$D$29,MATCH($B3504,Config!$B$9:$B$29,0))&amp;"",""))</f>
        <v/>
      </c>
    </row>
    <row r="3505">
      <c r="R3505" s="20" t="str">
        <f>IF($B3505="","",IFERROR(IF(INDEX(Config!$D$9:$D$29,MATCH($B3505,Config!$B$9:$B$29,0))="Contrato",IF(INDEX(Config!$E$9:$E$29,MATCH($B3505,Config!$B$9:$B$29,0))="","",INDEX(Config!$E$9:$E$29,MATCH($B3505,Config!$B$9:$B$29,0))),""),""))</f>
        <v/>
      </c>
      <c r="AC3505" s="19" t="str">
        <f>IF($B3505="","",IFERROR(INDEX(Config!$D$9:$D$29,MATCH($B3505,Config!$B$9:$B$29,0))&amp;"",""))</f>
        <v/>
      </c>
    </row>
    <row r="3506">
      <c r="R3506" s="20" t="str">
        <f>IF($B3506="","",IFERROR(IF(INDEX(Config!$D$9:$D$29,MATCH($B3506,Config!$B$9:$B$29,0))="Contrato",IF(INDEX(Config!$E$9:$E$29,MATCH($B3506,Config!$B$9:$B$29,0))="","",INDEX(Config!$E$9:$E$29,MATCH($B3506,Config!$B$9:$B$29,0))),""),""))</f>
        <v/>
      </c>
      <c r="AC3506" s="19" t="str">
        <f>IF($B3506="","",IFERROR(INDEX(Config!$D$9:$D$29,MATCH($B3506,Config!$B$9:$B$29,0))&amp;"",""))</f>
        <v/>
      </c>
    </row>
    <row r="3507">
      <c r="R3507" s="20" t="str">
        <f>IF($B3507="","",IFERROR(IF(INDEX(Config!$D$9:$D$29,MATCH($B3507,Config!$B$9:$B$29,0))="Contrato",IF(INDEX(Config!$E$9:$E$29,MATCH($B3507,Config!$B$9:$B$29,0))="","",INDEX(Config!$E$9:$E$29,MATCH($B3507,Config!$B$9:$B$29,0))),""),""))</f>
        <v/>
      </c>
      <c r="AC3507" s="19" t="str">
        <f>IF($B3507="","",IFERROR(INDEX(Config!$D$9:$D$29,MATCH($B3507,Config!$B$9:$B$29,0))&amp;"",""))</f>
        <v/>
      </c>
    </row>
    <row r="3508">
      <c r="R3508" s="20" t="str">
        <f>IF($B3508="","",IFERROR(IF(INDEX(Config!$D$9:$D$29,MATCH($B3508,Config!$B$9:$B$29,0))="Contrato",IF(INDEX(Config!$E$9:$E$29,MATCH($B3508,Config!$B$9:$B$29,0))="","",INDEX(Config!$E$9:$E$29,MATCH($B3508,Config!$B$9:$B$29,0))),""),""))</f>
        <v/>
      </c>
      <c r="AC3508" s="19" t="str">
        <f>IF($B3508="","",IFERROR(INDEX(Config!$D$9:$D$29,MATCH($B3508,Config!$B$9:$B$29,0))&amp;"",""))</f>
        <v/>
      </c>
    </row>
    <row r="3509">
      <c r="R3509" s="20" t="str">
        <f>IF($B3509="","",IFERROR(IF(INDEX(Config!$D$9:$D$29,MATCH($B3509,Config!$B$9:$B$29,0))="Contrato",IF(INDEX(Config!$E$9:$E$29,MATCH($B3509,Config!$B$9:$B$29,0))="","",INDEX(Config!$E$9:$E$29,MATCH($B3509,Config!$B$9:$B$29,0))),""),""))</f>
        <v/>
      </c>
      <c r="AC3509" s="19" t="str">
        <f>IF($B3509="","",IFERROR(INDEX(Config!$D$9:$D$29,MATCH($B3509,Config!$B$9:$B$29,0))&amp;"",""))</f>
        <v/>
      </c>
    </row>
    <row r="3510">
      <c r="R3510" s="20" t="str">
        <f>IF($B3510="","",IFERROR(IF(INDEX(Config!$D$9:$D$29,MATCH($B3510,Config!$B$9:$B$29,0))="Contrato",IF(INDEX(Config!$E$9:$E$29,MATCH($B3510,Config!$B$9:$B$29,0))="","",INDEX(Config!$E$9:$E$29,MATCH($B3510,Config!$B$9:$B$29,0))),""),""))</f>
        <v/>
      </c>
      <c r="AC3510" s="19" t="str">
        <f>IF($B3510="","",IFERROR(INDEX(Config!$D$9:$D$29,MATCH($B3510,Config!$B$9:$B$29,0))&amp;"",""))</f>
        <v/>
      </c>
    </row>
    <row r="3511">
      <c r="R3511" s="20" t="str">
        <f>IF($B3511="","",IFERROR(IF(INDEX(Config!$D$9:$D$29,MATCH($B3511,Config!$B$9:$B$29,0))="Contrato",IF(INDEX(Config!$E$9:$E$29,MATCH($B3511,Config!$B$9:$B$29,0))="","",INDEX(Config!$E$9:$E$29,MATCH($B3511,Config!$B$9:$B$29,0))),""),""))</f>
        <v/>
      </c>
      <c r="AC3511" s="19" t="str">
        <f>IF($B3511="","",IFERROR(INDEX(Config!$D$9:$D$29,MATCH($B3511,Config!$B$9:$B$29,0))&amp;"",""))</f>
        <v/>
      </c>
    </row>
    <row r="3512">
      <c r="R3512" s="20" t="str">
        <f>IF($B3512="","",IFERROR(IF(INDEX(Config!$D$9:$D$29,MATCH($B3512,Config!$B$9:$B$29,0))="Contrato",IF(INDEX(Config!$E$9:$E$29,MATCH($B3512,Config!$B$9:$B$29,0))="","",INDEX(Config!$E$9:$E$29,MATCH($B3512,Config!$B$9:$B$29,0))),""),""))</f>
        <v/>
      </c>
      <c r="AC3512" s="19" t="str">
        <f>IF($B3512="","",IFERROR(INDEX(Config!$D$9:$D$29,MATCH($B3512,Config!$B$9:$B$29,0))&amp;"",""))</f>
        <v/>
      </c>
    </row>
    <row r="3513">
      <c r="R3513" s="20" t="str">
        <f>IF($B3513="","",IFERROR(IF(INDEX(Config!$D$9:$D$29,MATCH($B3513,Config!$B$9:$B$29,0))="Contrato",IF(INDEX(Config!$E$9:$E$29,MATCH($B3513,Config!$B$9:$B$29,0))="","",INDEX(Config!$E$9:$E$29,MATCH($B3513,Config!$B$9:$B$29,0))),""),""))</f>
        <v/>
      </c>
      <c r="AC3513" s="19" t="str">
        <f>IF($B3513="","",IFERROR(INDEX(Config!$D$9:$D$29,MATCH($B3513,Config!$B$9:$B$29,0))&amp;"",""))</f>
        <v/>
      </c>
    </row>
    <row r="3514">
      <c r="R3514" s="20" t="str">
        <f>IF($B3514="","",IFERROR(IF(INDEX(Config!$D$9:$D$29,MATCH($B3514,Config!$B$9:$B$29,0))="Contrato",IF(INDEX(Config!$E$9:$E$29,MATCH($B3514,Config!$B$9:$B$29,0))="","",INDEX(Config!$E$9:$E$29,MATCH($B3514,Config!$B$9:$B$29,0))),""),""))</f>
        <v/>
      </c>
      <c r="AC3514" s="19" t="str">
        <f>IF($B3514="","",IFERROR(INDEX(Config!$D$9:$D$29,MATCH($B3514,Config!$B$9:$B$29,0))&amp;"",""))</f>
        <v/>
      </c>
    </row>
    <row r="3515">
      <c r="R3515" s="20" t="str">
        <f>IF($B3515="","",IFERROR(IF(INDEX(Config!$D$9:$D$29,MATCH($B3515,Config!$B$9:$B$29,0))="Contrato",IF(INDEX(Config!$E$9:$E$29,MATCH($B3515,Config!$B$9:$B$29,0))="","",INDEX(Config!$E$9:$E$29,MATCH($B3515,Config!$B$9:$B$29,0))),""),""))</f>
        <v/>
      </c>
      <c r="AC3515" s="19" t="str">
        <f>IF($B3515="","",IFERROR(INDEX(Config!$D$9:$D$29,MATCH($B3515,Config!$B$9:$B$29,0))&amp;"",""))</f>
        <v/>
      </c>
    </row>
    <row r="3516">
      <c r="R3516" s="20" t="str">
        <f>IF($B3516="","",IFERROR(IF(INDEX(Config!$D$9:$D$29,MATCH($B3516,Config!$B$9:$B$29,0))="Contrato",IF(INDEX(Config!$E$9:$E$29,MATCH($B3516,Config!$B$9:$B$29,0))="","",INDEX(Config!$E$9:$E$29,MATCH($B3516,Config!$B$9:$B$29,0))),""),""))</f>
        <v/>
      </c>
      <c r="AC3516" s="19" t="str">
        <f>IF($B3516="","",IFERROR(INDEX(Config!$D$9:$D$29,MATCH($B3516,Config!$B$9:$B$29,0))&amp;"",""))</f>
        <v/>
      </c>
    </row>
    <row r="3517">
      <c r="R3517" s="20" t="str">
        <f>IF($B3517="","",IFERROR(IF(INDEX(Config!$D$9:$D$29,MATCH($B3517,Config!$B$9:$B$29,0))="Contrato",IF(INDEX(Config!$E$9:$E$29,MATCH($B3517,Config!$B$9:$B$29,0))="","",INDEX(Config!$E$9:$E$29,MATCH($B3517,Config!$B$9:$B$29,0))),""),""))</f>
        <v/>
      </c>
      <c r="AC3517" s="19" t="str">
        <f>IF($B3517="","",IFERROR(INDEX(Config!$D$9:$D$29,MATCH($B3517,Config!$B$9:$B$29,0))&amp;"",""))</f>
        <v/>
      </c>
    </row>
    <row r="3518">
      <c r="R3518" s="20" t="str">
        <f>IF($B3518="","",IFERROR(IF(INDEX(Config!$D$9:$D$29,MATCH($B3518,Config!$B$9:$B$29,0))="Contrato",IF(INDEX(Config!$E$9:$E$29,MATCH($B3518,Config!$B$9:$B$29,0))="","",INDEX(Config!$E$9:$E$29,MATCH($B3518,Config!$B$9:$B$29,0))),""),""))</f>
        <v/>
      </c>
      <c r="AC3518" s="19" t="str">
        <f>IF($B3518="","",IFERROR(INDEX(Config!$D$9:$D$29,MATCH($B3518,Config!$B$9:$B$29,0))&amp;"",""))</f>
        <v/>
      </c>
    </row>
    <row r="3519">
      <c r="R3519" s="20" t="str">
        <f>IF($B3519="","",IFERROR(IF(INDEX(Config!$D$9:$D$29,MATCH($B3519,Config!$B$9:$B$29,0))="Contrato",IF(INDEX(Config!$E$9:$E$29,MATCH($B3519,Config!$B$9:$B$29,0))="","",INDEX(Config!$E$9:$E$29,MATCH($B3519,Config!$B$9:$B$29,0))),""),""))</f>
        <v/>
      </c>
      <c r="AC3519" s="19" t="str">
        <f>IF($B3519="","",IFERROR(INDEX(Config!$D$9:$D$29,MATCH($B3519,Config!$B$9:$B$29,0))&amp;"",""))</f>
        <v/>
      </c>
    </row>
    <row r="3520">
      <c r="R3520" s="20" t="str">
        <f>IF($B3520="","",IFERROR(IF(INDEX(Config!$D$9:$D$29,MATCH($B3520,Config!$B$9:$B$29,0))="Contrato",IF(INDEX(Config!$E$9:$E$29,MATCH($B3520,Config!$B$9:$B$29,0))="","",INDEX(Config!$E$9:$E$29,MATCH($B3520,Config!$B$9:$B$29,0))),""),""))</f>
        <v/>
      </c>
      <c r="AC3520" s="19" t="str">
        <f>IF($B3520="","",IFERROR(INDEX(Config!$D$9:$D$29,MATCH($B3520,Config!$B$9:$B$29,0))&amp;"",""))</f>
        <v/>
      </c>
    </row>
    <row r="3521">
      <c r="R3521" s="20" t="str">
        <f>IF($B3521="","",IFERROR(IF(INDEX(Config!$D$9:$D$29,MATCH($B3521,Config!$B$9:$B$29,0))="Contrato",IF(INDEX(Config!$E$9:$E$29,MATCH($B3521,Config!$B$9:$B$29,0))="","",INDEX(Config!$E$9:$E$29,MATCH($B3521,Config!$B$9:$B$29,0))),""),""))</f>
        <v/>
      </c>
      <c r="AC3521" s="19" t="str">
        <f>IF($B3521="","",IFERROR(INDEX(Config!$D$9:$D$29,MATCH($B3521,Config!$B$9:$B$29,0))&amp;"",""))</f>
        <v/>
      </c>
    </row>
    <row r="3522">
      <c r="R3522" s="20" t="str">
        <f>IF($B3522="","",IFERROR(IF(INDEX(Config!$D$9:$D$29,MATCH($B3522,Config!$B$9:$B$29,0))="Contrato",IF(INDEX(Config!$E$9:$E$29,MATCH($B3522,Config!$B$9:$B$29,0))="","",INDEX(Config!$E$9:$E$29,MATCH($B3522,Config!$B$9:$B$29,0))),""),""))</f>
        <v/>
      </c>
      <c r="AC3522" s="19" t="str">
        <f>IF($B3522="","",IFERROR(INDEX(Config!$D$9:$D$29,MATCH($B3522,Config!$B$9:$B$29,0))&amp;"",""))</f>
        <v/>
      </c>
    </row>
    <row r="3523">
      <c r="R3523" s="20" t="str">
        <f>IF($B3523="","",IFERROR(IF(INDEX(Config!$D$9:$D$29,MATCH($B3523,Config!$B$9:$B$29,0))="Contrato",IF(INDEX(Config!$E$9:$E$29,MATCH($B3523,Config!$B$9:$B$29,0))="","",INDEX(Config!$E$9:$E$29,MATCH($B3523,Config!$B$9:$B$29,0))),""),""))</f>
        <v/>
      </c>
      <c r="AC3523" s="19" t="str">
        <f>IF($B3523="","",IFERROR(INDEX(Config!$D$9:$D$29,MATCH($B3523,Config!$B$9:$B$29,0))&amp;"",""))</f>
        <v/>
      </c>
    </row>
    <row r="3524">
      <c r="R3524" s="20" t="str">
        <f>IF($B3524="","",IFERROR(IF(INDEX(Config!$D$9:$D$29,MATCH($B3524,Config!$B$9:$B$29,0))="Contrato",IF(INDEX(Config!$E$9:$E$29,MATCH($B3524,Config!$B$9:$B$29,0))="","",INDEX(Config!$E$9:$E$29,MATCH($B3524,Config!$B$9:$B$29,0))),""),""))</f>
        <v/>
      </c>
      <c r="AC3524" s="19" t="str">
        <f>IF($B3524="","",IFERROR(INDEX(Config!$D$9:$D$29,MATCH($B3524,Config!$B$9:$B$29,0))&amp;"",""))</f>
        <v/>
      </c>
    </row>
    <row r="3525">
      <c r="R3525" s="20" t="str">
        <f>IF($B3525="","",IFERROR(IF(INDEX(Config!$D$9:$D$29,MATCH($B3525,Config!$B$9:$B$29,0))="Contrato",IF(INDEX(Config!$E$9:$E$29,MATCH($B3525,Config!$B$9:$B$29,0))="","",INDEX(Config!$E$9:$E$29,MATCH($B3525,Config!$B$9:$B$29,0))),""),""))</f>
        <v/>
      </c>
      <c r="AC3525" s="19" t="str">
        <f>IF($B3525="","",IFERROR(INDEX(Config!$D$9:$D$29,MATCH($B3525,Config!$B$9:$B$29,0))&amp;"",""))</f>
        <v/>
      </c>
    </row>
    <row r="3526">
      <c r="R3526" s="20" t="str">
        <f>IF($B3526="","",IFERROR(IF(INDEX(Config!$D$9:$D$29,MATCH($B3526,Config!$B$9:$B$29,0))="Contrato",IF(INDEX(Config!$E$9:$E$29,MATCH($B3526,Config!$B$9:$B$29,0))="","",INDEX(Config!$E$9:$E$29,MATCH($B3526,Config!$B$9:$B$29,0))),""),""))</f>
        <v/>
      </c>
      <c r="AC3526" s="19" t="str">
        <f>IF($B3526="","",IFERROR(INDEX(Config!$D$9:$D$29,MATCH($B3526,Config!$B$9:$B$29,0))&amp;"",""))</f>
        <v/>
      </c>
    </row>
    <row r="3527">
      <c r="R3527" s="20" t="str">
        <f>IF($B3527="","",IFERROR(IF(INDEX(Config!$D$9:$D$29,MATCH($B3527,Config!$B$9:$B$29,0))="Contrato",IF(INDEX(Config!$E$9:$E$29,MATCH($B3527,Config!$B$9:$B$29,0))="","",INDEX(Config!$E$9:$E$29,MATCH($B3527,Config!$B$9:$B$29,0))),""),""))</f>
        <v/>
      </c>
      <c r="AC3527" s="19" t="str">
        <f>IF($B3527="","",IFERROR(INDEX(Config!$D$9:$D$29,MATCH($B3527,Config!$B$9:$B$29,0))&amp;"",""))</f>
        <v/>
      </c>
    </row>
    <row r="3528">
      <c r="R3528" s="20" t="str">
        <f>IF($B3528="","",IFERROR(IF(INDEX(Config!$D$9:$D$29,MATCH($B3528,Config!$B$9:$B$29,0))="Contrato",IF(INDEX(Config!$E$9:$E$29,MATCH($B3528,Config!$B$9:$B$29,0))="","",INDEX(Config!$E$9:$E$29,MATCH($B3528,Config!$B$9:$B$29,0))),""),""))</f>
        <v/>
      </c>
      <c r="AC3528" s="19" t="str">
        <f>IF($B3528="","",IFERROR(INDEX(Config!$D$9:$D$29,MATCH($B3528,Config!$B$9:$B$29,0))&amp;"",""))</f>
        <v/>
      </c>
    </row>
    <row r="3529">
      <c r="R3529" s="20" t="str">
        <f>IF($B3529="","",IFERROR(IF(INDEX(Config!$D$9:$D$29,MATCH($B3529,Config!$B$9:$B$29,0))="Contrato",IF(INDEX(Config!$E$9:$E$29,MATCH($B3529,Config!$B$9:$B$29,0))="","",INDEX(Config!$E$9:$E$29,MATCH($B3529,Config!$B$9:$B$29,0))),""),""))</f>
        <v/>
      </c>
      <c r="AC3529" s="19" t="str">
        <f>IF($B3529="","",IFERROR(INDEX(Config!$D$9:$D$29,MATCH($B3529,Config!$B$9:$B$29,0))&amp;"",""))</f>
        <v/>
      </c>
    </row>
    <row r="3530">
      <c r="R3530" s="20" t="str">
        <f>IF($B3530="","",IFERROR(IF(INDEX(Config!$D$9:$D$29,MATCH($B3530,Config!$B$9:$B$29,0))="Contrato",IF(INDEX(Config!$E$9:$E$29,MATCH($B3530,Config!$B$9:$B$29,0))="","",INDEX(Config!$E$9:$E$29,MATCH($B3530,Config!$B$9:$B$29,0))),""),""))</f>
        <v/>
      </c>
      <c r="AC3530" s="19" t="str">
        <f>IF($B3530="","",IFERROR(INDEX(Config!$D$9:$D$29,MATCH($B3530,Config!$B$9:$B$29,0))&amp;"",""))</f>
        <v/>
      </c>
    </row>
    <row r="3531">
      <c r="R3531" s="20" t="str">
        <f>IF($B3531="","",IFERROR(IF(INDEX(Config!$D$9:$D$29,MATCH($B3531,Config!$B$9:$B$29,0))="Contrato",IF(INDEX(Config!$E$9:$E$29,MATCH($B3531,Config!$B$9:$B$29,0))="","",INDEX(Config!$E$9:$E$29,MATCH($B3531,Config!$B$9:$B$29,0))),""),""))</f>
        <v/>
      </c>
      <c r="AC3531" s="19" t="str">
        <f>IF($B3531="","",IFERROR(INDEX(Config!$D$9:$D$29,MATCH($B3531,Config!$B$9:$B$29,0))&amp;"",""))</f>
        <v/>
      </c>
    </row>
    <row r="3532">
      <c r="R3532" s="20" t="str">
        <f>IF($B3532="","",IFERROR(IF(INDEX(Config!$D$9:$D$29,MATCH($B3532,Config!$B$9:$B$29,0))="Contrato",IF(INDEX(Config!$E$9:$E$29,MATCH($B3532,Config!$B$9:$B$29,0))="","",INDEX(Config!$E$9:$E$29,MATCH($B3532,Config!$B$9:$B$29,0))),""),""))</f>
        <v/>
      </c>
      <c r="AC3532" s="19" t="str">
        <f>IF($B3532="","",IFERROR(INDEX(Config!$D$9:$D$29,MATCH($B3532,Config!$B$9:$B$29,0))&amp;"",""))</f>
        <v/>
      </c>
    </row>
    <row r="3533">
      <c r="R3533" s="20" t="str">
        <f>IF($B3533="","",IFERROR(IF(INDEX(Config!$D$9:$D$29,MATCH($B3533,Config!$B$9:$B$29,0))="Contrato",IF(INDEX(Config!$E$9:$E$29,MATCH($B3533,Config!$B$9:$B$29,0))="","",INDEX(Config!$E$9:$E$29,MATCH($B3533,Config!$B$9:$B$29,0))),""),""))</f>
        <v/>
      </c>
      <c r="AC3533" s="19" t="str">
        <f>IF($B3533="","",IFERROR(INDEX(Config!$D$9:$D$29,MATCH($B3533,Config!$B$9:$B$29,0))&amp;"",""))</f>
        <v/>
      </c>
    </row>
    <row r="3534">
      <c r="R3534" s="20" t="str">
        <f>IF($B3534="","",IFERROR(IF(INDEX(Config!$D$9:$D$29,MATCH($B3534,Config!$B$9:$B$29,0))="Contrato",IF(INDEX(Config!$E$9:$E$29,MATCH($B3534,Config!$B$9:$B$29,0))="","",INDEX(Config!$E$9:$E$29,MATCH($B3534,Config!$B$9:$B$29,0))),""),""))</f>
        <v/>
      </c>
      <c r="AC3534" s="19" t="str">
        <f>IF($B3534="","",IFERROR(INDEX(Config!$D$9:$D$29,MATCH($B3534,Config!$B$9:$B$29,0))&amp;"",""))</f>
        <v/>
      </c>
    </row>
    <row r="3535">
      <c r="R3535" s="20" t="str">
        <f>IF($B3535="","",IFERROR(IF(INDEX(Config!$D$9:$D$29,MATCH($B3535,Config!$B$9:$B$29,0))="Contrato",IF(INDEX(Config!$E$9:$E$29,MATCH($B3535,Config!$B$9:$B$29,0))="","",INDEX(Config!$E$9:$E$29,MATCH($B3535,Config!$B$9:$B$29,0))),""),""))</f>
        <v/>
      </c>
      <c r="AC3535" s="19" t="str">
        <f>IF($B3535="","",IFERROR(INDEX(Config!$D$9:$D$29,MATCH($B3535,Config!$B$9:$B$29,0))&amp;"",""))</f>
        <v/>
      </c>
    </row>
    <row r="3536">
      <c r="R3536" s="20" t="str">
        <f>IF($B3536="","",IFERROR(IF(INDEX(Config!$D$9:$D$29,MATCH($B3536,Config!$B$9:$B$29,0))="Contrato",IF(INDEX(Config!$E$9:$E$29,MATCH($B3536,Config!$B$9:$B$29,0))="","",INDEX(Config!$E$9:$E$29,MATCH($B3536,Config!$B$9:$B$29,0))),""),""))</f>
        <v/>
      </c>
      <c r="AC3536" s="19" t="str">
        <f>IF($B3536="","",IFERROR(INDEX(Config!$D$9:$D$29,MATCH($B3536,Config!$B$9:$B$29,0))&amp;"",""))</f>
        <v/>
      </c>
    </row>
    <row r="3537">
      <c r="R3537" s="20" t="str">
        <f>IF($B3537="","",IFERROR(IF(INDEX(Config!$D$9:$D$29,MATCH($B3537,Config!$B$9:$B$29,0))="Contrato",IF(INDEX(Config!$E$9:$E$29,MATCH($B3537,Config!$B$9:$B$29,0))="","",INDEX(Config!$E$9:$E$29,MATCH($B3537,Config!$B$9:$B$29,0))),""),""))</f>
        <v/>
      </c>
      <c r="AC3537" s="19" t="str">
        <f>IF($B3537="","",IFERROR(INDEX(Config!$D$9:$D$29,MATCH($B3537,Config!$B$9:$B$29,0))&amp;"",""))</f>
        <v/>
      </c>
    </row>
    <row r="3538">
      <c r="R3538" s="20" t="str">
        <f>IF($B3538="","",IFERROR(IF(INDEX(Config!$D$9:$D$29,MATCH($B3538,Config!$B$9:$B$29,0))="Contrato",IF(INDEX(Config!$E$9:$E$29,MATCH($B3538,Config!$B$9:$B$29,0))="","",INDEX(Config!$E$9:$E$29,MATCH($B3538,Config!$B$9:$B$29,0))),""),""))</f>
        <v/>
      </c>
      <c r="AC3538" s="19" t="str">
        <f>IF($B3538="","",IFERROR(INDEX(Config!$D$9:$D$29,MATCH($B3538,Config!$B$9:$B$29,0))&amp;"",""))</f>
        <v/>
      </c>
    </row>
    <row r="3539">
      <c r="R3539" s="20" t="str">
        <f>IF($B3539="","",IFERROR(IF(INDEX(Config!$D$9:$D$29,MATCH($B3539,Config!$B$9:$B$29,0))="Contrato",IF(INDEX(Config!$E$9:$E$29,MATCH($B3539,Config!$B$9:$B$29,0))="","",INDEX(Config!$E$9:$E$29,MATCH($B3539,Config!$B$9:$B$29,0))),""),""))</f>
        <v/>
      </c>
      <c r="AC3539" s="19" t="str">
        <f>IF($B3539="","",IFERROR(INDEX(Config!$D$9:$D$29,MATCH($B3539,Config!$B$9:$B$29,0))&amp;"",""))</f>
        <v/>
      </c>
    </row>
    <row r="3540">
      <c r="R3540" s="20" t="str">
        <f>IF($B3540="","",IFERROR(IF(INDEX(Config!$D$9:$D$29,MATCH($B3540,Config!$B$9:$B$29,0))="Contrato",IF(INDEX(Config!$E$9:$E$29,MATCH($B3540,Config!$B$9:$B$29,0))="","",INDEX(Config!$E$9:$E$29,MATCH($B3540,Config!$B$9:$B$29,0))),""),""))</f>
        <v/>
      </c>
      <c r="AC3540" s="19" t="str">
        <f>IF($B3540="","",IFERROR(INDEX(Config!$D$9:$D$29,MATCH($B3540,Config!$B$9:$B$29,0))&amp;"",""))</f>
        <v/>
      </c>
    </row>
    <row r="3541">
      <c r="R3541" s="20" t="str">
        <f>IF($B3541="","",IFERROR(IF(INDEX(Config!$D$9:$D$29,MATCH($B3541,Config!$B$9:$B$29,0))="Contrato",IF(INDEX(Config!$E$9:$E$29,MATCH($B3541,Config!$B$9:$B$29,0))="","",INDEX(Config!$E$9:$E$29,MATCH($B3541,Config!$B$9:$B$29,0))),""),""))</f>
        <v/>
      </c>
      <c r="AC3541" s="19" t="str">
        <f>IF($B3541="","",IFERROR(INDEX(Config!$D$9:$D$29,MATCH($B3541,Config!$B$9:$B$29,0))&amp;"",""))</f>
        <v/>
      </c>
    </row>
    <row r="3542">
      <c r="R3542" s="20" t="str">
        <f>IF($B3542="","",IFERROR(IF(INDEX(Config!$D$9:$D$29,MATCH($B3542,Config!$B$9:$B$29,0))="Contrato",IF(INDEX(Config!$E$9:$E$29,MATCH($B3542,Config!$B$9:$B$29,0))="","",INDEX(Config!$E$9:$E$29,MATCH($B3542,Config!$B$9:$B$29,0))),""),""))</f>
        <v/>
      </c>
      <c r="AC3542" s="19" t="str">
        <f>IF($B3542="","",IFERROR(INDEX(Config!$D$9:$D$29,MATCH($B3542,Config!$B$9:$B$29,0))&amp;"",""))</f>
        <v/>
      </c>
    </row>
    <row r="3543">
      <c r="R3543" s="20" t="str">
        <f>IF($B3543="","",IFERROR(IF(INDEX(Config!$D$9:$D$29,MATCH($B3543,Config!$B$9:$B$29,0))="Contrato",IF(INDEX(Config!$E$9:$E$29,MATCH($B3543,Config!$B$9:$B$29,0))="","",INDEX(Config!$E$9:$E$29,MATCH($B3543,Config!$B$9:$B$29,0))),""),""))</f>
        <v/>
      </c>
      <c r="AC3543" s="19" t="str">
        <f>IF($B3543="","",IFERROR(INDEX(Config!$D$9:$D$29,MATCH($B3543,Config!$B$9:$B$29,0))&amp;"",""))</f>
        <v/>
      </c>
    </row>
    <row r="3544">
      <c r="R3544" s="20" t="str">
        <f>IF($B3544="","",IFERROR(IF(INDEX(Config!$D$9:$D$29,MATCH($B3544,Config!$B$9:$B$29,0))="Contrato",IF(INDEX(Config!$E$9:$E$29,MATCH($B3544,Config!$B$9:$B$29,0))="","",INDEX(Config!$E$9:$E$29,MATCH($B3544,Config!$B$9:$B$29,0))),""),""))</f>
        <v/>
      </c>
      <c r="AC3544" s="19" t="str">
        <f>IF($B3544="","",IFERROR(INDEX(Config!$D$9:$D$29,MATCH($B3544,Config!$B$9:$B$29,0))&amp;"",""))</f>
        <v/>
      </c>
    </row>
    <row r="3545">
      <c r="R3545" s="20" t="str">
        <f>IF($B3545="","",IFERROR(IF(INDEX(Config!$D$9:$D$29,MATCH($B3545,Config!$B$9:$B$29,0))="Contrato",IF(INDEX(Config!$E$9:$E$29,MATCH($B3545,Config!$B$9:$B$29,0))="","",INDEX(Config!$E$9:$E$29,MATCH($B3545,Config!$B$9:$B$29,0))),""),""))</f>
        <v/>
      </c>
      <c r="AC3545" s="19" t="str">
        <f>IF($B3545="","",IFERROR(INDEX(Config!$D$9:$D$29,MATCH($B3545,Config!$B$9:$B$29,0))&amp;"",""))</f>
        <v/>
      </c>
    </row>
    <row r="3546">
      <c r="R3546" s="20" t="str">
        <f>IF($B3546="","",IFERROR(IF(INDEX(Config!$D$9:$D$29,MATCH($B3546,Config!$B$9:$B$29,0))="Contrato",IF(INDEX(Config!$E$9:$E$29,MATCH($B3546,Config!$B$9:$B$29,0))="","",INDEX(Config!$E$9:$E$29,MATCH($B3546,Config!$B$9:$B$29,0))),""),""))</f>
        <v/>
      </c>
      <c r="AC3546" s="19" t="str">
        <f>IF($B3546="","",IFERROR(INDEX(Config!$D$9:$D$29,MATCH($B3546,Config!$B$9:$B$29,0))&amp;"",""))</f>
        <v/>
      </c>
    </row>
    <row r="3547">
      <c r="R3547" s="20" t="str">
        <f>IF($B3547="","",IFERROR(IF(INDEX(Config!$D$9:$D$29,MATCH($B3547,Config!$B$9:$B$29,0))="Contrato",IF(INDEX(Config!$E$9:$E$29,MATCH($B3547,Config!$B$9:$B$29,0))="","",INDEX(Config!$E$9:$E$29,MATCH($B3547,Config!$B$9:$B$29,0))),""),""))</f>
        <v/>
      </c>
      <c r="AC3547" s="19" t="str">
        <f>IF($B3547="","",IFERROR(INDEX(Config!$D$9:$D$29,MATCH($B3547,Config!$B$9:$B$29,0))&amp;"",""))</f>
        <v/>
      </c>
    </row>
    <row r="3548">
      <c r="R3548" s="20" t="str">
        <f>IF($B3548="","",IFERROR(IF(INDEX(Config!$D$9:$D$29,MATCH($B3548,Config!$B$9:$B$29,0))="Contrato",IF(INDEX(Config!$E$9:$E$29,MATCH($B3548,Config!$B$9:$B$29,0))="","",INDEX(Config!$E$9:$E$29,MATCH($B3548,Config!$B$9:$B$29,0))),""),""))</f>
        <v/>
      </c>
      <c r="AC3548" s="19" t="str">
        <f>IF($B3548="","",IFERROR(INDEX(Config!$D$9:$D$29,MATCH($B3548,Config!$B$9:$B$29,0))&amp;"",""))</f>
        <v/>
      </c>
    </row>
    <row r="3549">
      <c r="R3549" s="20" t="str">
        <f>IF($B3549="","",IFERROR(IF(INDEX(Config!$D$9:$D$29,MATCH($B3549,Config!$B$9:$B$29,0))="Contrato",IF(INDEX(Config!$E$9:$E$29,MATCH($B3549,Config!$B$9:$B$29,0))="","",INDEX(Config!$E$9:$E$29,MATCH($B3549,Config!$B$9:$B$29,0))),""),""))</f>
        <v/>
      </c>
      <c r="AC3549" s="19" t="str">
        <f>IF($B3549="","",IFERROR(INDEX(Config!$D$9:$D$29,MATCH($B3549,Config!$B$9:$B$29,0))&amp;"",""))</f>
        <v/>
      </c>
    </row>
    <row r="3550">
      <c r="R3550" s="20" t="str">
        <f>IF($B3550="","",IFERROR(IF(INDEX(Config!$D$9:$D$29,MATCH($B3550,Config!$B$9:$B$29,0))="Contrato",IF(INDEX(Config!$E$9:$E$29,MATCH($B3550,Config!$B$9:$B$29,0))="","",INDEX(Config!$E$9:$E$29,MATCH($B3550,Config!$B$9:$B$29,0))),""),""))</f>
        <v/>
      </c>
      <c r="AC3550" s="19" t="str">
        <f>IF($B3550="","",IFERROR(INDEX(Config!$D$9:$D$29,MATCH($B3550,Config!$B$9:$B$29,0))&amp;"",""))</f>
        <v/>
      </c>
    </row>
    <row r="3551">
      <c r="R3551" s="20" t="str">
        <f>IF($B3551="","",IFERROR(IF(INDEX(Config!$D$9:$D$29,MATCH($B3551,Config!$B$9:$B$29,0))="Contrato",IF(INDEX(Config!$E$9:$E$29,MATCH($B3551,Config!$B$9:$B$29,0))="","",INDEX(Config!$E$9:$E$29,MATCH($B3551,Config!$B$9:$B$29,0))),""),""))</f>
        <v/>
      </c>
      <c r="AC3551" s="19" t="str">
        <f>IF($B3551="","",IFERROR(INDEX(Config!$D$9:$D$29,MATCH($B3551,Config!$B$9:$B$29,0))&amp;"",""))</f>
        <v/>
      </c>
    </row>
    <row r="3552">
      <c r="R3552" s="20" t="str">
        <f>IF($B3552="","",IFERROR(IF(INDEX(Config!$D$9:$D$29,MATCH($B3552,Config!$B$9:$B$29,0))="Contrato",IF(INDEX(Config!$E$9:$E$29,MATCH($B3552,Config!$B$9:$B$29,0))="","",INDEX(Config!$E$9:$E$29,MATCH($B3552,Config!$B$9:$B$29,0))),""),""))</f>
        <v/>
      </c>
      <c r="AC3552" s="19" t="str">
        <f>IF($B3552="","",IFERROR(INDEX(Config!$D$9:$D$29,MATCH($B3552,Config!$B$9:$B$29,0))&amp;"",""))</f>
        <v/>
      </c>
    </row>
    <row r="3553">
      <c r="R3553" s="20" t="str">
        <f>IF($B3553="","",IFERROR(IF(INDEX(Config!$D$9:$D$29,MATCH($B3553,Config!$B$9:$B$29,0))="Contrato",IF(INDEX(Config!$E$9:$E$29,MATCH($B3553,Config!$B$9:$B$29,0))="","",INDEX(Config!$E$9:$E$29,MATCH($B3553,Config!$B$9:$B$29,0))),""),""))</f>
        <v/>
      </c>
      <c r="AC3553" s="19" t="str">
        <f>IF($B3553="","",IFERROR(INDEX(Config!$D$9:$D$29,MATCH($B3553,Config!$B$9:$B$29,0))&amp;"",""))</f>
        <v/>
      </c>
    </row>
    <row r="3554">
      <c r="R3554" s="20" t="str">
        <f>IF($B3554="","",IFERROR(IF(INDEX(Config!$D$9:$D$29,MATCH($B3554,Config!$B$9:$B$29,0))="Contrato",IF(INDEX(Config!$E$9:$E$29,MATCH($B3554,Config!$B$9:$B$29,0))="","",INDEX(Config!$E$9:$E$29,MATCH($B3554,Config!$B$9:$B$29,0))),""),""))</f>
        <v/>
      </c>
      <c r="AC3554" s="19" t="str">
        <f>IF($B3554="","",IFERROR(INDEX(Config!$D$9:$D$29,MATCH($B3554,Config!$B$9:$B$29,0))&amp;"",""))</f>
        <v/>
      </c>
    </row>
    <row r="3555">
      <c r="R3555" s="20" t="str">
        <f>IF($B3555="","",IFERROR(IF(INDEX(Config!$D$9:$D$29,MATCH($B3555,Config!$B$9:$B$29,0))="Contrato",IF(INDEX(Config!$E$9:$E$29,MATCH($B3555,Config!$B$9:$B$29,0))="","",INDEX(Config!$E$9:$E$29,MATCH($B3555,Config!$B$9:$B$29,0))),""),""))</f>
        <v/>
      </c>
      <c r="AC3555" s="19" t="str">
        <f>IF($B3555="","",IFERROR(INDEX(Config!$D$9:$D$29,MATCH($B3555,Config!$B$9:$B$29,0))&amp;"",""))</f>
        <v/>
      </c>
    </row>
    <row r="3556">
      <c r="R3556" s="20" t="str">
        <f>IF($B3556="","",IFERROR(IF(INDEX(Config!$D$9:$D$29,MATCH($B3556,Config!$B$9:$B$29,0))="Contrato",IF(INDEX(Config!$E$9:$E$29,MATCH($B3556,Config!$B$9:$B$29,0))="","",INDEX(Config!$E$9:$E$29,MATCH($B3556,Config!$B$9:$B$29,0))),""),""))</f>
        <v/>
      </c>
      <c r="AC3556" s="19" t="str">
        <f>IF($B3556="","",IFERROR(INDEX(Config!$D$9:$D$29,MATCH($B3556,Config!$B$9:$B$29,0))&amp;"",""))</f>
        <v/>
      </c>
    </row>
    <row r="3557">
      <c r="R3557" s="20" t="str">
        <f>IF($B3557="","",IFERROR(IF(INDEX(Config!$D$9:$D$29,MATCH($B3557,Config!$B$9:$B$29,0))="Contrato",IF(INDEX(Config!$E$9:$E$29,MATCH($B3557,Config!$B$9:$B$29,0))="","",INDEX(Config!$E$9:$E$29,MATCH($B3557,Config!$B$9:$B$29,0))),""),""))</f>
        <v/>
      </c>
      <c r="AC3557" s="19" t="str">
        <f>IF($B3557="","",IFERROR(INDEX(Config!$D$9:$D$29,MATCH($B3557,Config!$B$9:$B$29,0))&amp;"",""))</f>
        <v/>
      </c>
    </row>
    <row r="3558">
      <c r="R3558" s="20" t="str">
        <f>IF($B3558="","",IFERROR(IF(INDEX(Config!$D$9:$D$29,MATCH($B3558,Config!$B$9:$B$29,0))="Contrato",IF(INDEX(Config!$E$9:$E$29,MATCH($B3558,Config!$B$9:$B$29,0))="","",INDEX(Config!$E$9:$E$29,MATCH($B3558,Config!$B$9:$B$29,0))),""),""))</f>
        <v/>
      </c>
      <c r="AC3558" s="19" t="str">
        <f>IF($B3558="","",IFERROR(INDEX(Config!$D$9:$D$29,MATCH($B3558,Config!$B$9:$B$29,0))&amp;"",""))</f>
        <v/>
      </c>
    </row>
    <row r="3559">
      <c r="R3559" s="20" t="str">
        <f>IF($B3559="","",IFERROR(IF(INDEX(Config!$D$9:$D$29,MATCH($B3559,Config!$B$9:$B$29,0))="Contrato",IF(INDEX(Config!$E$9:$E$29,MATCH($B3559,Config!$B$9:$B$29,0))="","",INDEX(Config!$E$9:$E$29,MATCH($B3559,Config!$B$9:$B$29,0))),""),""))</f>
        <v/>
      </c>
      <c r="AC3559" s="19" t="str">
        <f>IF($B3559="","",IFERROR(INDEX(Config!$D$9:$D$29,MATCH($B3559,Config!$B$9:$B$29,0))&amp;"",""))</f>
        <v/>
      </c>
    </row>
    <row r="3560">
      <c r="R3560" s="20" t="str">
        <f>IF($B3560="","",IFERROR(IF(INDEX(Config!$D$9:$D$29,MATCH($B3560,Config!$B$9:$B$29,0))="Contrato",IF(INDEX(Config!$E$9:$E$29,MATCH($B3560,Config!$B$9:$B$29,0))="","",INDEX(Config!$E$9:$E$29,MATCH($B3560,Config!$B$9:$B$29,0))),""),""))</f>
        <v/>
      </c>
      <c r="AC3560" s="19" t="str">
        <f>IF($B3560="","",IFERROR(INDEX(Config!$D$9:$D$29,MATCH($B3560,Config!$B$9:$B$29,0))&amp;"",""))</f>
        <v/>
      </c>
    </row>
    <row r="3561">
      <c r="R3561" s="20" t="str">
        <f>IF($B3561="","",IFERROR(IF(INDEX(Config!$D$9:$D$29,MATCH($B3561,Config!$B$9:$B$29,0))="Contrato",IF(INDEX(Config!$E$9:$E$29,MATCH($B3561,Config!$B$9:$B$29,0))="","",INDEX(Config!$E$9:$E$29,MATCH($B3561,Config!$B$9:$B$29,0))),""),""))</f>
        <v/>
      </c>
      <c r="AC3561" s="19" t="str">
        <f>IF($B3561="","",IFERROR(INDEX(Config!$D$9:$D$29,MATCH($B3561,Config!$B$9:$B$29,0))&amp;"",""))</f>
        <v/>
      </c>
    </row>
    <row r="3562">
      <c r="R3562" s="20" t="str">
        <f>IF($B3562="","",IFERROR(IF(INDEX(Config!$D$9:$D$29,MATCH($B3562,Config!$B$9:$B$29,0))="Contrato",IF(INDEX(Config!$E$9:$E$29,MATCH($B3562,Config!$B$9:$B$29,0))="","",INDEX(Config!$E$9:$E$29,MATCH($B3562,Config!$B$9:$B$29,0))),""),""))</f>
        <v/>
      </c>
      <c r="AC3562" s="19" t="str">
        <f>IF($B3562="","",IFERROR(INDEX(Config!$D$9:$D$29,MATCH($B3562,Config!$B$9:$B$29,0))&amp;"",""))</f>
        <v/>
      </c>
    </row>
    <row r="3563">
      <c r="R3563" s="20" t="str">
        <f>IF($B3563="","",IFERROR(IF(INDEX(Config!$D$9:$D$29,MATCH($B3563,Config!$B$9:$B$29,0))="Contrato",IF(INDEX(Config!$E$9:$E$29,MATCH($B3563,Config!$B$9:$B$29,0))="","",INDEX(Config!$E$9:$E$29,MATCH($B3563,Config!$B$9:$B$29,0))),""),""))</f>
        <v/>
      </c>
      <c r="AC3563" s="19" t="str">
        <f>IF($B3563="","",IFERROR(INDEX(Config!$D$9:$D$29,MATCH($B3563,Config!$B$9:$B$29,0))&amp;"",""))</f>
        <v/>
      </c>
    </row>
    <row r="3564">
      <c r="R3564" s="20" t="str">
        <f>IF($B3564="","",IFERROR(IF(INDEX(Config!$D$9:$D$29,MATCH($B3564,Config!$B$9:$B$29,0))="Contrato",IF(INDEX(Config!$E$9:$E$29,MATCH($B3564,Config!$B$9:$B$29,0))="","",INDEX(Config!$E$9:$E$29,MATCH($B3564,Config!$B$9:$B$29,0))),""),""))</f>
        <v/>
      </c>
      <c r="AC3564" s="19" t="str">
        <f>IF($B3564="","",IFERROR(INDEX(Config!$D$9:$D$29,MATCH($B3564,Config!$B$9:$B$29,0))&amp;"",""))</f>
        <v/>
      </c>
    </row>
    <row r="3565">
      <c r="R3565" s="20" t="str">
        <f>IF($B3565="","",IFERROR(IF(INDEX(Config!$D$9:$D$29,MATCH($B3565,Config!$B$9:$B$29,0))="Contrato",IF(INDEX(Config!$E$9:$E$29,MATCH($B3565,Config!$B$9:$B$29,0))="","",INDEX(Config!$E$9:$E$29,MATCH($B3565,Config!$B$9:$B$29,0))),""),""))</f>
        <v/>
      </c>
      <c r="AC3565" s="19" t="str">
        <f>IF($B3565="","",IFERROR(INDEX(Config!$D$9:$D$29,MATCH($B3565,Config!$B$9:$B$29,0))&amp;"",""))</f>
        <v/>
      </c>
    </row>
    <row r="3566">
      <c r="R3566" s="20" t="str">
        <f>IF($B3566="","",IFERROR(IF(INDEX(Config!$D$9:$D$29,MATCH($B3566,Config!$B$9:$B$29,0))="Contrato",IF(INDEX(Config!$E$9:$E$29,MATCH($B3566,Config!$B$9:$B$29,0))="","",INDEX(Config!$E$9:$E$29,MATCH($B3566,Config!$B$9:$B$29,0))),""),""))</f>
        <v/>
      </c>
      <c r="AC3566" s="19" t="str">
        <f>IF($B3566="","",IFERROR(INDEX(Config!$D$9:$D$29,MATCH($B3566,Config!$B$9:$B$29,0))&amp;"",""))</f>
        <v/>
      </c>
    </row>
    <row r="3567">
      <c r="R3567" s="20" t="str">
        <f>IF($B3567="","",IFERROR(IF(INDEX(Config!$D$9:$D$29,MATCH($B3567,Config!$B$9:$B$29,0))="Contrato",IF(INDEX(Config!$E$9:$E$29,MATCH($B3567,Config!$B$9:$B$29,0))="","",INDEX(Config!$E$9:$E$29,MATCH($B3567,Config!$B$9:$B$29,0))),""),""))</f>
        <v/>
      </c>
      <c r="AC3567" s="19" t="str">
        <f>IF($B3567="","",IFERROR(INDEX(Config!$D$9:$D$29,MATCH($B3567,Config!$B$9:$B$29,0))&amp;"",""))</f>
        <v/>
      </c>
    </row>
    <row r="3568">
      <c r="R3568" s="20" t="str">
        <f>IF($B3568="","",IFERROR(IF(INDEX(Config!$D$9:$D$29,MATCH($B3568,Config!$B$9:$B$29,0))="Contrato",IF(INDEX(Config!$E$9:$E$29,MATCH($B3568,Config!$B$9:$B$29,0))="","",INDEX(Config!$E$9:$E$29,MATCH($B3568,Config!$B$9:$B$29,0))),""),""))</f>
        <v/>
      </c>
      <c r="AC3568" s="19" t="str">
        <f>IF($B3568="","",IFERROR(INDEX(Config!$D$9:$D$29,MATCH($B3568,Config!$B$9:$B$29,0))&amp;"",""))</f>
        <v/>
      </c>
    </row>
    <row r="3569">
      <c r="R3569" s="20" t="str">
        <f>IF($B3569="","",IFERROR(IF(INDEX(Config!$D$9:$D$29,MATCH($B3569,Config!$B$9:$B$29,0))="Contrato",IF(INDEX(Config!$E$9:$E$29,MATCH($B3569,Config!$B$9:$B$29,0))="","",INDEX(Config!$E$9:$E$29,MATCH($B3569,Config!$B$9:$B$29,0))),""),""))</f>
        <v/>
      </c>
      <c r="AC3569" s="19" t="str">
        <f>IF($B3569="","",IFERROR(INDEX(Config!$D$9:$D$29,MATCH($B3569,Config!$B$9:$B$29,0))&amp;"",""))</f>
        <v/>
      </c>
    </row>
    <row r="3570">
      <c r="R3570" s="20" t="str">
        <f>IF($B3570="","",IFERROR(IF(INDEX(Config!$D$9:$D$29,MATCH($B3570,Config!$B$9:$B$29,0))="Contrato",IF(INDEX(Config!$E$9:$E$29,MATCH($B3570,Config!$B$9:$B$29,0))="","",INDEX(Config!$E$9:$E$29,MATCH($B3570,Config!$B$9:$B$29,0))),""),""))</f>
        <v/>
      </c>
      <c r="AC3570" s="19" t="str">
        <f>IF($B3570="","",IFERROR(INDEX(Config!$D$9:$D$29,MATCH($B3570,Config!$B$9:$B$29,0))&amp;"",""))</f>
        <v/>
      </c>
    </row>
    <row r="3571">
      <c r="R3571" s="20" t="str">
        <f>IF($B3571="","",IFERROR(IF(INDEX(Config!$D$9:$D$29,MATCH($B3571,Config!$B$9:$B$29,0))="Contrato",IF(INDEX(Config!$E$9:$E$29,MATCH($B3571,Config!$B$9:$B$29,0))="","",INDEX(Config!$E$9:$E$29,MATCH($B3571,Config!$B$9:$B$29,0))),""),""))</f>
        <v/>
      </c>
      <c r="AC3571" s="19" t="str">
        <f>IF($B3571="","",IFERROR(INDEX(Config!$D$9:$D$29,MATCH($B3571,Config!$B$9:$B$29,0))&amp;"",""))</f>
        <v/>
      </c>
    </row>
    <row r="3572">
      <c r="R3572" s="20" t="str">
        <f>IF($B3572="","",IFERROR(IF(INDEX(Config!$D$9:$D$29,MATCH($B3572,Config!$B$9:$B$29,0))="Contrato",IF(INDEX(Config!$E$9:$E$29,MATCH($B3572,Config!$B$9:$B$29,0))="","",INDEX(Config!$E$9:$E$29,MATCH($B3572,Config!$B$9:$B$29,0))),""),""))</f>
        <v/>
      </c>
      <c r="AC3572" s="19" t="str">
        <f>IF($B3572="","",IFERROR(INDEX(Config!$D$9:$D$29,MATCH($B3572,Config!$B$9:$B$29,0))&amp;"",""))</f>
        <v/>
      </c>
    </row>
    <row r="3573">
      <c r="R3573" s="20" t="str">
        <f>IF($B3573="","",IFERROR(IF(INDEX(Config!$D$9:$D$29,MATCH($B3573,Config!$B$9:$B$29,0))="Contrato",IF(INDEX(Config!$E$9:$E$29,MATCH($B3573,Config!$B$9:$B$29,0))="","",INDEX(Config!$E$9:$E$29,MATCH($B3573,Config!$B$9:$B$29,0))),""),""))</f>
        <v/>
      </c>
      <c r="AC3573" s="19" t="str">
        <f>IF($B3573="","",IFERROR(INDEX(Config!$D$9:$D$29,MATCH($B3573,Config!$B$9:$B$29,0))&amp;"",""))</f>
        <v/>
      </c>
    </row>
    <row r="3574">
      <c r="R3574" s="20" t="str">
        <f>IF($B3574="","",IFERROR(IF(INDEX(Config!$D$9:$D$29,MATCH($B3574,Config!$B$9:$B$29,0))="Contrato",IF(INDEX(Config!$E$9:$E$29,MATCH($B3574,Config!$B$9:$B$29,0))="","",INDEX(Config!$E$9:$E$29,MATCH($B3574,Config!$B$9:$B$29,0))),""),""))</f>
        <v/>
      </c>
      <c r="AC3574" s="19" t="str">
        <f>IF($B3574="","",IFERROR(INDEX(Config!$D$9:$D$29,MATCH($B3574,Config!$B$9:$B$29,0))&amp;"",""))</f>
        <v/>
      </c>
    </row>
    <row r="3575">
      <c r="R3575" s="20" t="str">
        <f>IF($B3575="","",IFERROR(IF(INDEX(Config!$D$9:$D$29,MATCH($B3575,Config!$B$9:$B$29,0))="Contrato",IF(INDEX(Config!$E$9:$E$29,MATCH($B3575,Config!$B$9:$B$29,0))="","",INDEX(Config!$E$9:$E$29,MATCH($B3575,Config!$B$9:$B$29,0))),""),""))</f>
        <v/>
      </c>
      <c r="AC3575" s="19" t="str">
        <f>IF($B3575="","",IFERROR(INDEX(Config!$D$9:$D$29,MATCH($B3575,Config!$B$9:$B$29,0))&amp;"",""))</f>
        <v/>
      </c>
    </row>
    <row r="3576">
      <c r="R3576" s="20" t="str">
        <f>IF($B3576="","",IFERROR(IF(INDEX(Config!$D$9:$D$29,MATCH($B3576,Config!$B$9:$B$29,0))="Contrato",IF(INDEX(Config!$E$9:$E$29,MATCH($B3576,Config!$B$9:$B$29,0))="","",INDEX(Config!$E$9:$E$29,MATCH($B3576,Config!$B$9:$B$29,0))),""),""))</f>
        <v/>
      </c>
      <c r="AC3576" s="19" t="str">
        <f>IF($B3576="","",IFERROR(INDEX(Config!$D$9:$D$29,MATCH($B3576,Config!$B$9:$B$29,0))&amp;"",""))</f>
        <v/>
      </c>
    </row>
    <row r="3577">
      <c r="R3577" s="20" t="str">
        <f>IF($B3577="","",IFERROR(IF(INDEX(Config!$D$9:$D$29,MATCH($B3577,Config!$B$9:$B$29,0))="Contrato",IF(INDEX(Config!$E$9:$E$29,MATCH($B3577,Config!$B$9:$B$29,0))="","",INDEX(Config!$E$9:$E$29,MATCH($B3577,Config!$B$9:$B$29,0))),""),""))</f>
        <v/>
      </c>
      <c r="AC3577" s="19" t="str">
        <f>IF($B3577="","",IFERROR(INDEX(Config!$D$9:$D$29,MATCH($B3577,Config!$B$9:$B$29,0))&amp;"",""))</f>
        <v/>
      </c>
    </row>
    <row r="3578">
      <c r="R3578" s="20" t="str">
        <f>IF($B3578="","",IFERROR(IF(INDEX(Config!$D$9:$D$29,MATCH($B3578,Config!$B$9:$B$29,0))="Contrato",IF(INDEX(Config!$E$9:$E$29,MATCH($B3578,Config!$B$9:$B$29,0))="","",INDEX(Config!$E$9:$E$29,MATCH($B3578,Config!$B$9:$B$29,0))),""),""))</f>
        <v/>
      </c>
      <c r="AC3578" s="19" t="str">
        <f>IF($B3578="","",IFERROR(INDEX(Config!$D$9:$D$29,MATCH($B3578,Config!$B$9:$B$29,0))&amp;"",""))</f>
        <v/>
      </c>
    </row>
    <row r="3579">
      <c r="R3579" s="20" t="str">
        <f>IF($B3579="","",IFERROR(IF(INDEX(Config!$D$9:$D$29,MATCH($B3579,Config!$B$9:$B$29,0))="Contrato",IF(INDEX(Config!$E$9:$E$29,MATCH($B3579,Config!$B$9:$B$29,0))="","",INDEX(Config!$E$9:$E$29,MATCH($B3579,Config!$B$9:$B$29,0))),""),""))</f>
        <v/>
      </c>
      <c r="AC3579" s="19" t="str">
        <f>IF($B3579="","",IFERROR(INDEX(Config!$D$9:$D$29,MATCH($B3579,Config!$B$9:$B$29,0))&amp;"",""))</f>
        <v/>
      </c>
    </row>
    <row r="3580">
      <c r="R3580" s="20" t="str">
        <f>IF($B3580="","",IFERROR(IF(INDEX(Config!$D$9:$D$29,MATCH($B3580,Config!$B$9:$B$29,0))="Contrato",IF(INDEX(Config!$E$9:$E$29,MATCH($B3580,Config!$B$9:$B$29,0))="","",INDEX(Config!$E$9:$E$29,MATCH($B3580,Config!$B$9:$B$29,0))),""),""))</f>
        <v/>
      </c>
      <c r="AC3580" s="19" t="str">
        <f>IF($B3580="","",IFERROR(INDEX(Config!$D$9:$D$29,MATCH($B3580,Config!$B$9:$B$29,0))&amp;"",""))</f>
        <v/>
      </c>
    </row>
    <row r="3581">
      <c r="R3581" s="20" t="str">
        <f>IF($B3581="","",IFERROR(IF(INDEX(Config!$D$9:$D$29,MATCH($B3581,Config!$B$9:$B$29,0))="Contrato",IF(INDEX(Config!$E$9:$E$29,MATCH($B3581,Config!$B$9:$B$29,0))="","",INDEX(Config!$E$9:$E$29,MATCH($B3581,Config!$B$9:$B$29,0))),""),""))</f>
        <v/>
      </c>
      <c r="AC3581" s="19" t="str">
        <f>IF($B3581="","",IFERROR(INDEX(Config!$D$9:$D$29,MATCH($B3581,Config!$B$9:$B$29,0))&amp;"",""))</f>
        <v/>
      </c>
    </row>
    <row r="3582">
      <c r="R3582" s="20" t="str">
        <f>IF($B3582="","",IFERROR(IF(INDEX(Config!$D$9:$D$29,MATCH($B3582,Config!$B$9:$B$29,0))="Contrato",IF(INDEX(Config!$E$9:$E$29,MATCH($B3582,Config!$B$9:$B$29,0))="","",INDEX(Config!$E$9:$E$29,MATCH($B3582,Config!$B$9:$B$29,0))),""),""))</f>
        <v/>
      </c>
      <c r="AC3582" s="19" t="str">
        <f>IF($B3582="","",IFERROR(INDEX(Config!$D$9:$D$29,MATCH($B3582,Config!$B$9:$B$29,0))&amp;"",""))</f>
        <v/>
      </c>
    </row>
    <row r="3583">
      <c r="R3583" s="20" t="str">
        <f>IF($B3583="","",IFERROR(IF(INDEX(Config!$D$9:$D$29,MATCH($B3583,Config!$B$9:$B$29,0))="Contrato",IF(INDEX(Config!$E$9:$E$29,MATCH($B3583,Config!$B$9:$B$29,0))="","",INDEX(Config!$E$9:$E$29,MATCH($B3583,Config!$B$9:$B$29,0))),""),""))</f>
        <v/>
      </c>
      <c r="AC3583" s="19" t="str">
        <f>IF($B3583="","",IFERROR(INDEX(Config!$D$9:$D$29,MATCH($B3583,Config!$B$9:$B$29,0))&amp;"",""))</f>
        <v/>
      </c>
    </row>
    <row r="3584">
      <c r="R3584" s="20" t="str">
        <f>IF($B3584="","",IFERROR(IF(INDEX(Config!$D$9:$D$29,MATCH($B3584,Config!$B$9:$B$29,0))="Contrato",IF(INDEX(Config!$E$9:$E$29,MATCH($B3584,Config!$B$9:$B$29,0))="","",INDEX(Config!$E$9:$E$29,MATCH($B3584,Config!$B$9:$B$29,0))),""),""))</f>
        <v/>
      </c>
      <c r="AC3584" s="19" t="str">
        <f>IF($B3584="","",IFERROR(INDEX(Config!$D$9:$D$29,MATCH($B3584,Config!$B$9:$B$29,0))&amp;"",""))</f>
        <v/>
      </c>
    </row>
    <row r="3585">
      <c r="R3585" s="20" t="str">
        <f>IF($B3585="","",IFERROR(IF(INDEX(Config!$D$9:$D$29,MATCH($B3585,Config!$B$9:$B$29,0))="Contrato",IF(INDEX(Config!$E$9:$E$29,MATCH($B3585,Config!$B$9:$B$29,0))="","",INDEX(Config!$E$9:$E$29,MATCH($B3585,Config!$B$9:$B$29,0))),""),""))</f>
        <v/>
      </c>
      <c r="AC3585" s="19" t="str">
        <f>IF($B3585="","",IFERROR(INDEX(Config!$D$9:$D$29,MATCH($B3585,Config!$B$9:$B$29,0))&amp;"",""))</f>
        <v/>
      </c>
    </row>
    <row r="3586">
      <c r="R3586" s="20" t="str">
        <f>IF($B3586="","",IFERROR(IF(INDEX(Config!$D$9:$D$29,MATCH($B3586,Config!$B$9:$B$29,0))="Contrato",IF(INDEX(Config!$E$9:$E$29,MATCH($B3586,Config!$B$9:$B$29,0))="","",INDEX(Config!$E$9:$E$29,MATCH($B3586,Config!$B$9:$B$29,0))),""),""))</f>
        <v/>
      </c>
      <c r="AC3586" s="19" t="str">
        <f>IF($B3586="","",IFERROR(INDEX(Config!$D$9:$D$29,MATCH($B3586,Config!$B$9:$B$29,0))&amp;"",""))</f>
        <v/>
      </c>
    </row>
    <row r="3587">
      <c r="R3587" s="20" t="str">
        <f>IF($B3587="","",IFERROR(IF(INDEX(Config!$D$9:$D$29,MATCH($B3587,Config!$B$9:$B$29,0))="Contrato",IF(INDEX(Config!$E$9:$E$29,MATCH($B3587,Config!$B$9:$B$29,0))="","",INDEX(Config!$E$9:$E$29,MATCH($B3587,Config!$B$9:$B$29,0))),""),""))</f>
        <v/>
      </c>
      <c r="AC3587" s="19" t="str">
        <f>IF($B3587="","",IFERROR(INDEX(Config!$D$9:$D$29,MATCH($B3587,Config!$B$9:$B$29,0))&amp;"",""))</f>
        <v/>
      </c>
    </row>
    <row r="3588">
      <c r="R3588" s="20" t="str">
        <f>IF($B3588="","",IFERROR(IF(INDEX(Config!$D$9:$D$29,MATCH($B3588,Config!$B$9:$B$29,0))="Contrato",IF(INDEX(Config!$E$9:$E$29,MATCH($B3588,Config!$B$9:$B$29,0))="","",INDEX(Config!$E$9:$E$29,MATCH($B3588,Config!$B$9:$B$29,0))),""),""))</f>
        <v/>
      </c>
      <c r="AC3588" s="19" t="str">
        <f>IF($B3588="","",IFERROR(INDEX(Config!$D$9:$D$29,MATCH($B3588,Config!$B$9:$B$29,0))&amp;"",""))</f>
        <v/>
      </c>
    </row>
    <row r="3589">
      <c r="R3589" s="20" t="str">
        <f>IF($B3589="","",IFERROR(IF(INDEX(Config!$D$9:$D$29,MATCH($B3589,Config!$B$9:$B$29,0))="Contrato",IF(INDEX(Config!$E$9:$E$29,MATCH($B3589,Config!$B$9:$B$29,0))="","",INDEX(Config!$E$9:$E$29,MATCH($B3589,Config!$B$9:$B$29,0))),""),""))</f>
        <v/>
      </c>
      <c r="AC3589" s="19" t="str">
        <f>IF($B3589="","",IFERROR(INDEX(Config!$D$9:$D$29,MATCH($B3589,Config!$B$9:$B$29,0))&amp;"",""))</f>
        <v/>
      </c>
    </row>
    <row r="3590">
      <c r="R3590" s="20" t="str">
        <f>IF($B3590="","",IFERROR(IF(INDEX(Config!$D$9:$D$29,MATCH($B3590,Config!$B$9:$B$29,0))="Contrato",IF(INDEX(Config!$E$9:$E$29,MATCH($B3590,Config!$B$9:$B$29,0))="","",INDEX(Config!$E$9:$E$29,MATCH($B3590,Config!$B$9:$B$29,0))),""),""))</f>
        <v/>
      </c>
      <c r="AC3590" s="19" t="str">
        <f>IF($B3590="","",IFERROR(INDEX(Config!$D$9:$D$29,MATCH($B3590,Config!$B$9:$B$29,0))&amp;"",""))</f>
        <v/>
      </c>
    </row>
    <row r="3591">
      <c r="R3591" s="20" t="str">
        <f>IF($B3591="","",IFERROR(IF(INDEX(Config!$D$9:$D$29,MATCH($B3591,Config!$B$9:$B$29,0))="Contrato",IF(INDEX(Config!$E$9:$E$29,MATCH($B3591,Config!$B$9:$B$29,0))="","",INDEX(Config!$E$9:$E$29,MATCH($B3591,Config!$B$9:$B$29,0))),""),""))</f>
        <v/>
      </c>
      <c r="AC3591" s="19" t="str">
        <f>IF($B3591="","",IFERROR(INDEX(Config!$D$9:$D$29,MATCH($B3591,Config!$B$9:$B$29,0))&amp;"",""))</f>
        <v/>
      </c>
    </row>
    <row r="3592">
      <c r="R3592" s="20" t="str">
        <f>IF($B3592="","",IFERROR(IF(INDEX(Config!$D$9:$D$29,MATCH($B3592,Config!$B$9:$B$29,0))="Contrato",IF(INDEX(Config!$E$9:$E$29,MATCH($B3592,Config!$B$9:$B$29,0))="","",INDEX(Config!$E$9:$E$29,MATCH($B3592,Config!$B$9:$B$29,0))),""),""))</f>
        <v/>
      </c>
      <c r="AC3592" s="19" t="str">
        <f>IF($B3592="","",IFERROR(INDEX(Config!$D$9:$D$29,MATCH($B3592,Config!$B$9:$B$29,0))&amp;"",""))</f>
        <v/>
      </c>
    </row>
    <row r="3593">
      <c r="R3593" s="20" t="str">
        <f>IF($B3593="","",IFERROR(IF(INDEX(Config!$D$9:$D$29,MATCH($B3593,Config!$B$9:$B$29,0))="Contrato",IF(INDEX(Config!$E$9:$E$29,MATCH($B3593,Config!$B$9:$B$29,0))="","",INDEX(Config!$E$9:$E$29,MATCH($B3593,Config!$B$9:$B$29,0))),""),""))</f>
        <v/>
      </c>
      <c r="AC3593" s="19" t="str">
        <f>IF($B3593="","",IFERROR(INDEX(Config!$D$9:$D$29,MATCH($B3593,Config!$B$9:$B$29,0))&amp;"",""))</f>
        <v/>
      </c>
    </row>
    <row r="3594">
      <c r="R3594" s="20" t="str">
        <f>IF($B3594="","",IFERROR(IF(INDEX(Config!$D$9:$D$29,MATCH($B3594,Config!$B$9:$B$29,0))="Contrato",IF(INDEX(Config!$E$9:$E$29,MATCH($B3594,Config!$B$9:$B$29,0))="","",INDEX(Config!$E$9:$E$29,MATCH($B3594,Config!$B$9:$B$29,0))),""),""))</f>
        <v/>
      </c>
      <c r="AC3594" s="19" t="str">
        <f>IF($B3594="","",IFERROR(INDEX(Config!$D$9:$D$29,MATCH($B3594,Config!$B$9:$B$29,0))&amp;"",""))</f>
        <v/>
      </c>
    </row>
    <row r="3595">
      <c r="R3595" s="20" t="str">
        <f>IF($B3595="","",IFERROR(IF(INDEX(Config!$D$9:$D$29,MATCH($B3595,Config!$B$9:$B$29,0))="Contrato",IF(INDEX(Config!$E$9:$E$29,MATCH($B3595,Config!$B$9:$B$29,0))="","",INDEX(Config!$E$9:$E$29,MATCH($B3595,Config!$B$9:$B$29,0))),""),""))</f>
        <v/>
      </c>
      <c r="AC3595" s="19" t="str">
        <f>IF($B3595="","",IFERROR(INDEX(Config!$D$9:$D$29,MATCH($B3595,Config!$B$9:$B$29,0))&amp;"",""))</f>
        <v/>
      </c>
    </row>
    <row r="3596">
      <c r="R3596" s="20" t="str">
        <f>IF($B3596="","",IFERROR(IF(INDEX(Config!$D$9:$D$29,MATCH($B3596,Config!$B$9:$B$29,0))="Contrato",IF(INDEX(Config!$E$9:$E$29,MATCH($B3596,Config!$B$9:$B$29,0))="","",INDEX(Config!$E$9:$E$29,MATCH($B3596,Config!$B$9:$B$29,0))),""),""))</f>
        <v/>
      </c>
      <c r="AC3596" s="19" t="str">
        <f>IF($B3596="","",IFERROR(INDEX(Config!$D$9:$D$29,MATCH($B3596,Config!$B$9:$B$29,0))&amp;"",""))</f>
        <v/>
      </c>
    </row>
    <row r="3597">
      <c r="R3597" s="20" t="str">
        <f>IF($B3597="","",IFERROR(IF(INDEX(Config!$D$9:$D$29,MATCH($B3597,Config!$B$9:$B$29,0))="Contrato",IF(INDEX(Config!$E$9:$E$29,MATCH($B3597,Config!$B$9:$B$29,0))="","",INDEX(Config!$E$9:$E$29,MATCH($B3597,Config!$B$9:$B$29,0))),""),""))</f>
        <v/>
      </c>
      <c r="AC3597" s="19" t="str">
        <f>IF($B3597="","",IFERROR(INDEX(Config!$D$9:$D$29,MATCH($B3597,Config!$B$9:$B$29,0))&amp;"",""))</f>
        <v/>
      </c>
    </row>
    <row r="3598">
      <c r="R3598" s="20" t="str">
        <f>IF($B3598="","",IFERROR(IF(INDEX(Config!$D$9:$D$29,MATCH($B3598,Config!$B$9:$B$29,0))="Contrato",IF(INDEX(Config!$E$9:$E$29,MATCH($B3598,Config!$B$9:$B$29,0))="","",INDEX(Config!$E$9:$E$29,MATCH($B3598,Config!$B$9:$B$29,0))),""),""))</f>
        <v/>
      </c>
      <c r="AC3598" s="19" t="str">
        <f>IF($B3598="","",IFERROR(INDEX(Config!$D$9:$D$29,MATCH($B3598,Config!$B$9:$B$29,0))&amp;"",""))</f>
        <v/>
      </c>
    </row>
    <row r="3599">
      <c r="R3599" s="20" t="str">
        <f>IF($B3599="","",IFERROR(IF(INDEX(Config!$D$9:$D$29,MATCH($B3599,Config!$B$9:$B$29,0))="Contrato",IF(INDEX(Config!$E$9:$E$29,MATCH($B3599,Config!$B$9:$B$29,0))="","",INDEX(Config!$E$9:$E$29,MATCH($B3599,Config!$B$9:$B$29,0))),""),""))</f>
        <v/>
      </c>
      <c r="AC3599" s="19" t="str">
        <f>IF($B3599="","",IFERROR(INDEX(Config!$D$9:$D$29,MATCH($B3599,Config!$B$9:$B$29,0))&amp;"",""))</f>
        <v/>
      </c>
    </row>
    <row r="3600">
      <c r="R3600" s="20" t="str">
        <f>IF($B3600="","",IFERROR(IF(INDEX(Config!$D$9:$D$29,MATCH($B3600,Config!$B$9:$B$29,0))="Contrato",IF(INDEX(Config!$E$9:$E$29,MATCH($B3600,Config!$B$9:$B$29,0))="","",INDEX(Config!$E$9:$E$29,MATCH($B3600,Config!$B$9:$B$29,0))),""),""))</f>
        <v/>
      </c>
      <c r="AC3600" s="19" t="str">
        <f>IF($B3600="","",IFERROR(INDEX(Config!$D$9:$D$29,MATCH($B3600,Config!$B$9:$B$29,0))&amp;"",""))</f>
        <v/>
      </c>
    </row>
    <row r="3601">
      <c r="R3601" s="20" t="str">
        <f>IF($B3601="","",IFERROR(IF(INDEX(Config!$D$9:$D$29,MATCH($B3601,Config!$B$9:$B$29,0))="Contrato",IF(INDEX(Config!$E$9:$E$29,MATCH($B3601,Config!$B$9:$B$29,0))="","",INDEX(Config!$E$9:$E$29,MATCH($B3601,Config!$B$9:$B$29,0))),""),""))</f>
        <v/>
      </c>
      <c r="AC3601" s="19" t="str">
        <f>IF($B3601="","",IFERROR(INDEX(Config!$D$9:$D$29,MATCH($B3601,Config!$B$9:$B$29,0))&amp;"",""))</f>
        <v/>
      </c>
    </row>
    <row r="3602">
      <c r="R3602" s="20" t="str">
        <f>IF($B3602="","",IFERROR(IF(INDEX(Config!$D$9:$D$29,MATCH($B3602,Config!$B$9:$B$29,0))="Contrato",IF(INDEX(Config!$E$9:$E$29,MATCH($B3602,Config!$B$9:$B$29,0))="","",INDEX(Config!$E$9:$E$29,MATCH($B3602,Config!$B$9:$B$29,0))),""),""))</f>
        <v/>
      </c>
      <c r="AC3602" s="19" t="str">
        <f>IF($B3602="","",IFERROR(INDEX(Config!$D$9:$D$29,MATCH($B3602,Config!$B$9:$B$29,0))&amp;"",""))</f>
        <v/>
      </c>
    </row>
    <row r="3603">
      <c r="R3603" s="20" t="str">
        <f>IF($B3603="","",IFERROR(IF(INDEX(Config!$D$9:$D$29,MATCH($B3603,Config!$B$9:$B$29,0))="Contrato",IF(INDEX(Config!$E$9:$E$29,MATCH($B3603,Config!$B$9:$B$29,0))="","",INDEX(Config!$E$9:$E$29,MATCH($B3603,Config!$B$9:$B$29,0))),""),""))</f>
        <v/>
      </c>
      <c r="AC3603" s="19" t="str">
        <f>IF($B3603="","",IFERROR(INDEX(Config!$D$9:$D$29,MATCH($B3603,Config!$B$9:$B$29,0))&amp;"",""))</f>
        <v/>
      </c>
    </row>
    <row r="3604">
      <c r="R3604" s="20" t="str">
        <f>IF($B3604="","",IFERROR(IF(INDEX(Config!$D$9:$D$29,MATCH($B3604,Config!$B$9:$B$29,0))="Contrato",IF(INDEX(Config!$E$9:$E$29,MATCH($B3604,Config!$B$9:$B$29,0))="","",INDEX(Config!$E$9:$E$29,MATCH($B3604,Config!$B$9:$B$29,0))),""),""))</f>
        <v/>
      </c>
      <c r="AC3604" s="19" t="str">
        <f>IF($B3604="","",IFERROR(INDEX(Config!$D$9:$D$29,MATCH($B3604,Config!$B$9:$B$29,0))&amp;"",""))</f>
        <v/>
      </c>
    </row>
    <row r="3605">
      <c r="R3605" s="20" t="str">
        <f>IF($B3605="","",IFERROR(IF(INDEX(Config!$D$9:$D$29,MATCH($B3605,Config!$B$9:$B$29,0))="Contrato",IF(INDEX(Config!$E$9:$E$29,MATCH($B3605,Config!$B$9:$B$29,0))="","",INDEX(Config!$E$9:$E$29,MATCH($B3605,Config!$B$9:$B$29,0))),""),""))</f>
        <v/>
      </c>
      <c r="AC3605" s="19" t="str">
        <f>IF($B3605="","",IFERROR(INDEX(Config!$D$9:$D$29,MATCH($B3605,Config!$B$9:$B$29,0))&amp;"",""))</f>
        <v/>
      </c>
    </row>
    <row r="3606">
      <c r="R3606" s="20" t="str">
        <f>IF($B3606="","",IFERROR(IF(INDEX(Config!$D$9:$D$29,MATCH($B3606,Config!$B$9:$B$29,0))="Contrato",IF(INDEX(Config!$E$9:$E$29,MATCH($B3606,Config!$B$9:$B$29,0))="","",INDEX(Config!$E$9:$E$29,MATCH($B3606,Config!$B$9:$B$29,0))),""),""))</f>
        <v/>
      </c>
      <c r="AC3606" s="19" t="str">
        <f>IF($B3606="","",IFERROR(INDEX(Config!$D$9:$D$29,MATCH($B3606,Config!$B$9:$B$29,0))&amp;"",""))</f>
        <v/>
      </c>
    </row>
    <row r="3607">
      <c r="R3607" s="20" t="str">
        <f>IF($B3607="","",IFERROR(IF(INDEX(Config!$D$9:$D$29,MATCH($B3607,Config!$B$9:$B$29,0))="Contrato",IF(INDEX(Config!$E$9:$E$29,MATCH($B3607,Config!$B$9:$B$29,0))="","",INDEX(Config!$E$9:$E$29,MATCH($B3607,Config!$B$9:$B$29,0))),""),""))</f>
        <v/>
      </c>
      <c r="AC3607" s="19" t="str">
        <f>IF($B3607="","",IFERROR(INDEX(Config!$D$9:$D$29,MATCH($B3607,Config!$B$9:$B$29,0))&amp;"",""))</f>
        <v/>
      </c>
    </row>
    <row r="3608">
      <c r="R3608" s="20" t="str">
        <f>IF($B3608="","",IFERROR(IF(INDEX(Config!$D$9:$D$29,MATCH($B3608,Config!$B$9:$B$29,0))="Contrato",IF(INDEX(Config!$E$9:$E$29,MATCH($B3608,Config!$B$9:$B$29,0))="","",INDEX(Config!$E$9:$E$29,MATCH($B3608,Config!$B$9:$B$29,0))),""),""))</f>
        <v/>
      </c>
      <c r="AC3608" s="19" t="str">
        <f>IF($B3608="","",IFERROR(INDEX(Config!$D$9:$D$29,MATCH($B3608,Config!$B$9:$B$29,0))&amp;"",""))</f>
        <v/>
      </c>
    </row>
    <row r="3609">
      <c r="R3609" s="20" t="str">
        <f>IF($B3609="","",IFERROR(IF(INDEX(Config!$D$9:$D$29,MATCH($B3609,Config!$B$9:$B$29,0))="Contrato",IF(INDEX(Config!$E$9:$E$29,MATCH($B3609,Config!$B$9:$B$29,0))="","",INDEX(Config!$E$9:$E$29,MATCH($B3609,Config!$B$9:$B$29,0))),""),""))</f>
        <v/>
      </c>
      <c r="AC3609" s="19" t="str">
        <f>IF($B3609="","",IFERROR(INDEX(Config!$D$9:$D$29,MATCH($B3609,Config!$B$9:$B$29,0))&amp;"",""))</f>
        <v/>
      </c>
    </row>
    <row r="3610">
      <c r="R3610" s="20" t="str">
        <f>IF($B3610="","",IFERROR(IF(INDEX(Config!$D$9:$D$29,MATCH($B3610,Config!$B$9:$B$29,0))="Contrato",IF(INDEX(Config!$E$9:$E$29,MATCH($B3610,Config!$B$9:$B$29,0))="","",INDEX(Config!$E$9:$E$29,MATCH($B3610,Config!$B$9:$B$29,0))),""),""))</f>
        <v/>
      </c>
      <c r="AC3610" s="19" t="str">
        <f>IF($B3610="","",IFERROR(INDEX(Config!$D$9:$D$29,MATCH($B3610,Config!$B$9:$B$29,0))&amp;"",""))</f>
        <v/>
      </c>
    </row>
    <row r="3611">
      <c r="R3611" s="20" t="str">
        <f>IF($B3611="","",IFERROR(IF(INDEX(Config!$D$9:$D$29,MATCH($B3611,Config!$B$9:$B$29,0))="Contrato",IF(INDEX(Config!$E$9:$E$29,MATCH($B3611,Config!$B$9:$B$29,0))="","",INDEX(Config!$E$9:$E$29,MATCH($B3611,Config!$B$9:$B$29,0))),""),""))</f>
        <v/>
      </c>
      <c r="AC3611" s="19" t="str">
        <f>IF($B3611="","",IFERROR(INDEX(Config!$D$9:$D$29,MATCH($B3611,Config!$B$9:$B$29,0))&amp;"",""))</f>
        <v/>
      </c>
    </row>
    <row r="3612">
      <c r="R3612" s="20" t="str">
        <f>IF($B3612="","",IFERROR(IF(INDEX(Config!$D$9:$D$29,MATCH($B3612,Config!$B$9:$B$29,0))="Contrato",IF(INDEX(Config!$E$9:$E$29,MATCH($B3612,Config!$B$9:$B$29,0))="","",INDEX(Config!$E$9:$E$29,MATCH($B3612,Config!$B$9:$B$29,0))),""),""))</f>
        <v/>
      </c>
      <c r="AC3612" s="19" t="str">
        <f>IF($B3612="","",IFERROR(INDEX(Config!$D$9:$D$29,MATCH($B3612,Config!$B$9:$B$29,0))&amp;"",""))</f>
        <v/>
      </c>
    </row>
    <row r="3613">
      <c r="R3613" s="20" t="str">
        <f>IF($B3613="","",IFERROR(IF(INDEX(Config!$D$9:$D$29,MATCH($B3613,Config!$B$9:$B$29,0))="Contrato",IF(INDEX(Config!$E$9:$E$29,MATCH($B3613,Config!$B$9:$B$29,0))="","",INDEX(Config!$E$9:$E$29,MATCH($B3613,Config!$B$9:$B$29,0))),""),""))</f>
        <v/>
      </c>
      <c r="AC3613" s="19" t="str">
        <f>IF($B3613="","",IFERROR(INDEX(Config!$D$9:$D$29,MATCH($B3613,Config!$B$9:$B$29,0))&amp;"",""))</f>
        <v/>
      </c>
    </row>
    <row r="3614">
      <c r="R3614" s="20" t="str">
        <f>IF($B3614="","",IFERROR(IF(INDEX(Config!$D$9:$D$29,MATCH($B3614,Config!$B$9:$B$29,0))="Contrato",IF(INDEX(Config!$E$9:$E$29,MATCH($B3614,Config!$B$9:$B$29,0))="","",INDEX(Config!$E$9:$E$29,MATCH($B3614,Config!$B$9:$B$29,0))),""),""))</f>
        <v/>
      </c>
      <c r="AC3614" s="19" t="str">
        <f>IF($B3614="","",IFERROR(INDEX(Config!$D$9:$D$29,MATCH($B3614,Config!$B$9:$B$29,0))&amp;"",""))</f>
        <v/>
      </c>
    </row>
    <row r="3615">
      <c r="R3615" s="20" t="str">
        <f>IF($B3615="","",IFERROR(IF(INDEX(Config!$D$9:$D$29,MATCH($B3615,Config!$B$9:$B$29,0))="Contrato",IF(INDEX(Config!$E$9:$E$29,MATCH($B3615,Config!$B$9:$B$29,0))="","",INDEX(Config!$E$9:$E$29,MATCH($B3615,Config!$B$9:$B$29,0))),""),""))</f>
        <v/>
      </c>
      <c r="AC3615" s="19" t="str">
        <f>IF($B3615="","",IFERROR(INDEX(Config!$D$9:$D$29,MATCH($B3615,Config!$B$9:$B$29,0))&amp;"",""))</f>
        <v/>
      </c>
    </row>
    <row r="3616">
      <c r="R3616" s="20" t="str">
        <f>IF($B3616="","",IFERROR(IF(INDEX(Config!$D$9:$D$29,MATCH($B3616,Config!$B$9:$B$29,0))="Contrato",IF(INDEX(Config!$E$9:$E$29,MATCH($B3616,Config!$B$9:$B$29,0))="","",INDEX(Config!$E$9:$E$29,MATCH($B3616,Config!$B$9:$B$29,0))),""),""))</f>
        <v/>
      </c>
      <c r="AC3616" s="19" t="str">
        <f>IF($B3616="","",IFERROR(INDEX(Config!$D$9:$D$29,MATCH($B3616,Config!$B$9:$B$29,0))&amp;"",""))</f>
        <v/>
      </c>
    </row>
    <row r="3617">
      <c r="R3617" s="20" t="str">
        <f>IF($B3617="","",IFERROR(IF(INDEX(Config!$D$9:$D$29,MATCH($B3617,Config!$B$9:$B$29,0))="Contrato",IF(INDEX(Config!$E$9:$E$29,MATCH($B3617,Config!$B$9:$B$29,0))="","",INDEX(Config!$E$9:$E$29,MATCH($B3617,Config!$B$9:$B$29,0))),""),""))</f>
        <v/>
      </c>
      <c r="AC3617" s="19" t="str">
        <f>IF($B3617="","",IFERROR(INDEX(Config!$D$9:$D$29,MATCH($B3617,Config!$B$9:$B$29,0))&amp;"",""))</f>
        <v/>
      </c>
    </row>
    <row r="3618">
      <c r="R3618" s="20" t="str">
        <f>IF($B3618="","",IFERROR(IF(INDEX(Config!$D$9:$D$29,MATCH($B3618,Config!$B$9:$B$29,0))="Contrato",IF(INDEX(Config!$E$9:$E$29,MATCH($B3618,Config!$B$9:$B$29,0))="","",INDEX(Config!$E$9:$E$29,MATCH($B3618,Config!$B$9:$B$29,0))),""),""))</f>
        <v/>
      </c>
      <c r="AC3618" s="19" t="str">
        <f>IF($B3618="","",IFERROR(INDEX(Config!$D$9:$D$29,MATCH($B3618,Config!$B$9:$B$29,0))&amp;"",""))</f>
        <v/>
      </c>
    </row>
    <row r="3619">
      <c r="R3619" s="20" t="str">
        <f>IF($B3619="","",IFERROR(IF(INDEX(Config!$D$9:$D$29,MATCH($B3619,Config!$B$9:$B$29,0))="Contrato",IF(INDEX(Config!$E$9:$E$29,MATCH($B3619,Config!$B$9:$B$29,0))="","",INDEX(Config!$E$9:$E$29,MATCH($B3619,Config!$B$9:$B$29,0))),""),""))</f>
        <v/>
      </c>
      <c r="AC3619" s="19" t="str">
        <f>IF($B3619="","",IFERROR(INDEX(Config!$D$9:$D$29,MATCH($B3619,Config!$B$9:$B$29,0))&amp;"",""))</f>
        <v/>
      </c>
    </row>
    <row r="3620">
      <c r="R3620" s="20" t="str">
        <f>IF($B3620="","",IFERROR(IF(INDEX(Config!$D$9:$D$29,MATCH($B3620,Config!$B$9:$B$29,0))="Contrato",IF(INDEX(Config!$E$9:$E$29,MATCH($B3620,Config!$B$9:$B$29,0))="","",INDEX(Config!$E$9:$E$29,MATCH($B3620,Config!$B$9:$B$29,0))),""),""))</f>
        <v/>
      </c>
      <c r="AC3620" s="19" t="str">
        <f>IF($B3620="","",IFERROR(INDEX(Config!$D$9:$D$29,MATCH($B3620,Config!$B$9:$B$29,0))&amp;"",""))</f>
        <v/>
      </c>
    </row>
    <row r="3621">
      <c r="R3621" s="20" t="str">
        <f>IF($B3621="","",IFERROR(IF(INDEX(Config!$D$9:$D$29,MATCH($B3621,Config!$B$9:$B$29,0))="Contrato",IF(INDEX(Config!$E$9:$E$29,MATCH($B3621,Config!$B$9:$B$29,0))="","",INDEX(Config!$E$9:$E$29,MATCH($B3621,Config!$B$9:$B$29,0))),""),""))</f>
        <v/>
      </c>
      <c r="AC3621" s="19" t="str">
        <f>IF($B3621="","",IFERROR(INDEX(Config!$D$9:$D$29,MATCH($B3621,Config!$B$9:$B$29,0))&amp;"",""))</f>
        <v/>
      </c>
    </row>
    <row r="3622">
      <c r="R3622" s="20" t="str">
        <f>IF($B3622="","",IFERROR(IF(INDEX(Config!$D$9:$D$29,MATCH($B3622,Config!$B$9:$B$29,0))="Contrato",IF(INDEX(Config!$E$9:$E$29,MATCH($B3622,Config!$B$9:$B$29,0))="","",INDEX(Config!$E$9:$E$29,MATCH($B3622,Config!$B$9:$B$29,0))),""),""))</f>
        <v/>
      </c>
      <c r="AC3622" s="19" t="str">
        <f>IF($B3622="","",IFERROR(INDEX(Config!$D$9:$D$29,MATCH($B3622,Config!$B$9:$B$29,0))&amp;"",""))</f>
        <v/>
      </c>
    </row>
    <row r="3623">
      <c r="R3623" s="20" t="str">
        <f>IF($B3623="","",IFERROR(IF(INDEX(Config!$D$9:$D$29,MATCH($B3623,Config!$B$9:$B$29,0))="Contrato",IF(INDEX(Config!$E$9:$E$29,MATCH($B3623,Config!$B$9:$B$29,0))="","",INDEX(Config!$E$9:$E$29,MATCH($B3623,Config!$B$9:$B$29,0))),""),""))</f>
        <v/>
      </c>
      <c r="AC3623" s="19" t="str">
        <f>IF($B3623="","",IFERROR(INDEX(Config!$D$9:$D$29,MATCH($B3623,Config!$B$9:$B$29,0))&amp;"",""))</f>
        <v/>
      </c>
    </row>
    <row r="3624">
      <c r="R3624" s="20" t="str">
        <f>IF($B3624="","",IFERROR(IF(INDEX(Config!$D$9:$D$29,MATCH($B3624,Config!$B$9:$B$29,0))="Contrato",IF(INDEX(Config!$E$9:$E$29,MATCH($B3624,Config!$B$9:$B$29,0))="","",INDEX(Config!$E$9:$E$29,MATCH($B3624,Config!$B$9:$B$29,0))),""),""))</f>
        <v/>
      </c>
      <c r="AC3624" s="19" t="str">
        <f>IF($B3624="","",IFERROR(INDEX(Config!$D$9:$D$29,MATCH($B3624,Config!$B$9:$B$29,0))&amp;"",""))</f>
        <v/>
      </c>
    </row>
    <row r="3625">
      <c r="R3625" s="20" t="str">
        <f>IF($B3625="","",IFERROR(IF(INDEX(Config!$D$9:$D$29,MATCH($B3625,Config!$B$9:$B$29,0))="Contrato",IF(INDEX(Config!$E$9:$E$29,MATCH($B3625,Config!$B$9:$B$29,0))="","",INDEX(Config!$E$9:$E$29,MATCH($B3625,Config!$B$9:$B$29,0))),""),""))</f>
        <v/>
      </c>
      <c r="AC3625" s="19" t="str">
        <f>IF($B3625="","",IFERROR(INDEX(Config!$D$9:$D$29,MATCH($B3625,Config!$B$9:$B$29,0))&amp;"",""))</f>
        <v/>
      </c>
    </row>
    <row r="3626">
      <c r="R3626" s="20" t="str">
        <f>IF($B3626="","",IFERROR(IF(INDEX(Config!$D$9:$D$29,MATCH($B3626,Config!$B$9:$B$29,0))="Contrato",IF(INDEX(Config!$E$9:$E$29,MATCH($B3626,Config!$B$9:$B$29,0))="","",INDEX(Config!$E$9:$E$29,MATCH($B3626,Config!$B$9:$B$29,0))),""),""))</f>
        <v/>
      </c>
      <c r="AC3626" s="19" t="str">
        <f>IF($B3626="","",IFERROR(INDEX(Config!$D$9:$D$29,MATCH($B3626,Config!$B$9:$B$29,0))&amp;"",""))</f>
        <v/>
      </c>
    </row>
    <row r="3627">
      <c r="R3627" s="20" t="str">
        <f>IF($B3627="","",IFERROR(IF(INDEX(Config!$D$9:$D$29,MATCH($B3627,Config!$B$9:$B$29,0))="Contrato",IF(INDEX(Config!$E$9:$E$29,MATCH($B3627,Config!$B$9:$B$29,0))="","",INDEX(Config!$E$9:$E$29,MATCH($B3627,Config!$B$9:$B$29,0))),""),""))</f>
        <v/>
      </c>
      <c r="AC3627" s="19" t="str">
        <f>IF($B3627="","",IFERROR(INDEX(Config!$D$9:$D$29,MATCH($B3627,Config!$B$9:$B$29,0))&amp;"",""))</f>
        <v/>
      </c>
    </row>
    <row r="3628">
      <c r="R3628" s="20" t="str">
        <f>IF($B3628="","",IFERROR(IF(INDEX(Config!$D$9:$D$29,MATCH($B3628,Config!$B$9:$B$29,0))="Contrato",IF(INDEX(Config!$E$9:$E$29,MATCH($B3628,Config!$B$9:$B$29,0))="","",INDEX(Config!$E$9:$E$29,MATCH($B3628,Config!$B$9:$B$29,0))),""),""))</f>
        <v/>
      </c>
      <c r="AC3628" s="19" t="str">
        <f>IF($B3628="","",IFERROR(INDEX(Config!$D$9:$D$29,MATCH($B3628,Config!$B$9:$B$29,0))&amp;"",""))</f>
        <v/>
      </c>
    </row>
    <row r="3629">
      <c r="R3629" s="20" t="str">
        <f>IF($B3629="","",IFERROR(IF(INDEX(Config!$D$9:$D$29,MATCH($B3629,Config!$B$9:$B$29,0))="Contrato",IF(INDEX(Config!$E$9:$E$29,MATCH($B3629,Config!$B$9:$B$29,0))="","",INDEX(Config!$E$9:$E$29,MATCH($B3629,Config!$B$9:$B$29,0))),""),""))</f>
        <v/>
      </c>
      <c r="AC3629" s="19" t="str">
        <f>IF($B3629="","",IFERROR(INDEX(Config!$D$9:$D$29,MATCH($B3629,Config!$B$9:$B$29,0))&amp;"",""))</f>
        <v/>
      </c>
    </row>
    <row r="3630">
      <c r="R3630" s="20" t="str">
        <f>IF($B3630="","",IFERROR(IF(INDEX(Config!$D$9:$D$29,MATCH($B3630,Config!$B$9:$B$29,0))="Contrato",IF(INDEX(Config!$E$9:$E$29,MATCH($B3630,Config!$B$9:$B$29,0))="","",INDEX(Config!$E$9:$E$29,MATCH($B3630,Config!$B$9:$B$29,0))),""),""))</f>
        <v/>
      </c>
      <c r="AC3630" s="19" t="str">
        <f>IF($B3630="","",IFERROR(INDEX(Config!$D$9:$D$29,MATCH($B3630,Config!$B$9:$B$29,0))&amp;"",""))</f>
        <v/>
      </c>
    </row>
    <row r="3631">
      <c r="R3631" s="20" t="str">
        <f>IF($B3631="","",IFERROR(IF(INDEX(Config!$D$9:$D$29,MATCH($B3631,Config!$B$9:$B$29,0))="Contrato",IF(INDEX(Config!$E$9:$E$29,MATCH($B3631,Config!$B$9:$B$29,0))="","",INDEX(Config!$E$9:$E$29,MATCH($B3631,Config!$B$9:$B$29,0))),""),""))</f>
        <v/>
      </c>
      <c r="AC3631" s="19" t="str">
        <f>IF($B3631="","",IFERROR(INDEX(Config!$D$9:$D$29,MATCH($B3631,Config!$B$9:$B$29,0))&amp;"",""))</f>
        <v/>
      </c>
    </row>
    <row r="3632">
      <c r="R3632" s="20" t="str">
        <f>IF($B3632="","",IFERROR(IF(INDEX(Config!$D$9:$D$29,MATCH($B3632,Config!$B$9:$B$29,0))="Contrato",IF(INDEX(Config!$E$9:$E$29,MATCH($B3632,Config!$B$9:$B$29,0))="","",INDEX(Config!$E$9:$E$29,MATCH($B3632,Config!$B$9:$B$29,0))),""),""))</f>
        <v/>
      </c>
      <c r="AC3632" s="19" t="str">
        <f>IF($B3632="","",IFERROR(INDEX(Config!$D$9:$D$29,MATCH($B3632,Config!$B$9:$B$29,0))&amp;"",""))</f>
        <v/>
      </c>
    </row>
    <row r="3633">
      <c r="R3633" s="20" t="str">
        <f>IF($B3633="","",IFERROR(IF(INDEX(Config!$D$9:$D$29,MATCH($B3633,Config!$B$9:$B$29,0))="Contrato",IF(INDEX(Config!$E$9:$E$29,MATCH($B3633,Config!$B$9:$B$29,0))="","",INDEX(Config!$E$9:$E$29,MATCH($B3633,Config!$B$9:$B$29,0))),""),""))</f>
        <v/>
      </c>
      <c r="AC3633" s="19" t="str">
        <f>IF($B3633="","",IFERROR(INDEX(Config!$D$9:$D$29,MATCH($B3633,Config!$B$9:$B$29,0))&amp;"",""))</f>
        <v/>
      </c>
    </row>
    <row r="3634">
      <c r="R3634" s="20" t="str">
        <f>IF($B3634="","",IFERROR(IF(INDEX(Config!$D$9:$D$29,MATCH($B3634,Config!$B$9:$B$29,0))="Contrato",IF(INDEX(Config!$E$9:$E$29,MATCH($B3634,Config!$B$9:$B$29,0))="","",INDEX(Config!$E$9:$E$29,MATCH($B3634,Config!$B$9:$B$29,0))),""),""))</f>
        <v/>
      </c>
      <c r="AC3634" s="19" t="str">
        <f>IF($B3634="","",IFERROR(INDEX(Config!$D$9:$D$29,MATCH($B3634,Config!$B$9:$B$29,0))&amp;"",""))</f>
        <v/>
      </c>
    </row>
    <row r="3635">
      <c r="R3635" s="20" t="str">
        <f>IF($B3635="","",IFERROR(IF(INDEX(Config!$D$9:$D$29,MATCH($B3635,Config!$B$9:$B$29,0))="Contrato",IF(INDEX(Config!$E$9:$E$29,MATCH($B3635,Config!$B$9:$B$29,0))="","",INDEX(Config!$E$9:$E$29,MATCH($B3635,Config!$B$9:$B$29,0))),""),""))</f>
        <v/>
      </c>
      <c r="AC3635" s="19" t="str">
        <f>IF($B3635="","",IFERROR(INDEX(Config!$D$9:$D$29,MATCH($B3635,Config!$B$9:$B$29,0))&amp;"",""))</f>
        <v/>
      </c>
    </row>
    <row r="3636">
      <c r="R3636" s="20" t="str">
        <f>IF($B3636="","",IFERROR(IF(INDEX(Config!$D$9:$D$29,MATCH($B3636,Config!$B$9:$B$29,0))="Contrato",IF(INDEX(Config!$E$9:$E$29,MATCH($B3636,Config!$B$9:$B$29,0))="","",INDEX(Config!$E$9:$E$29,MATCH($B3636,Config!$B$9:$B$29,0))),""),""))</f>
        <v/>
      </c>
      <c r="AC3636" s="19" t="str">
        <f>IF($B3636="","",IFERROR(INDEX(Config!$D$9:$D$29,MATCH($B3636,Config!$B$9:$B$29,0))&amp;"",""))</f>
        <v/>
      </c>
    </row>
    <row r="3637">
      <c r="R3637" s="20" t="str">
        <f>IF($B3637="","",IFERROR(IF(INDEX(Config!$D$9:$D$29,MATCH($B3637,Config!$B$9:$B$29,0))="Contrato",IF(INDEX(Config!$E$9:$E$29,MATCH($B3637,Config!$B$9:$B$29,0))="","",INDEX(Config!$E$9:$E$29,MATCH($B3637,Config!$B$9:$B$29,0))),""),""))</f>
        <v/>
      </c>
      <c r="AC3637" s="19" t="str">
        <f>IF($B3637="","",IFERROR(INDEX(Config!$D$9:$D$29,MATCH($B3637,Config!$B$9:$B$29,0))&amp;"",""))</f>
        <v/>
      </c>
    </row>
    <row r="3638">
      <c r="R3638" s="20" t="str">
        <f>IF($B3638="","",IFERROR(IF(INDEX(Config!$D$9:$D$29,MATCH($B3638,Config!$B$9:$B$29,0))="Contrato",IF(INDEX(Config!$E$9:$E$29,MATCH($B3638,Config!$B$9:$B$29,0))="","",INDEX(Config!$E$9:$E$29,MATCH($B3638,Config!$B$9:$B$29,0))),""),""))</f>
        <v/>
      </c>
      <c r="AC3638" s="19" t="str">
        <f>IF($B3638="","",IFERROR(INDEX(Config!$D$9:$D$29,MATCH($B3638,Config!$B$9:$B$29,0))&amp;"",""))</f>
        <v/>
      </c>
    </row>
    <row r="3639">
      <c r="R3639" s="20" t="str">
        <f>IF($B3639="","",IFERROR(IF(INDEX(Config!$D$9:$D$29,MATCH($B3639,Config!$B$9:$B$29,0))="Contrato",IF(INDEX(Config!$E$9:$E$29,MATCH($B3639,Config!$B$9:$B$29,0))="","",INDEX(Config!$E$9:$E$29,MATCH($B3639,Config!$B$9:$B$29,0))),""),""))</f>
        <v/>
      </c>
      <c r="AC3639" s="19" t="str">
        <f>IF($B3639="","",IFERROR(INDEX(Config!$D$9:$D$29,MATCH($B3639,Config!$B$9:$B$29,0))&amp;"",""))</f>
        <v/>
      </c>
    </row>
    <row r="3640">
      <c r="R3640" s="20" t="str">
        <f>IF($B3640="","",IFERROR(IF(INDEX(Config!$D$9:$D$29,MATCH($B3640,Config!$B$9:$B$29,0))="Contrato",IF(INDEX(Config!$E$9:$E$29,MATCH($B3640,Config!$B$9:$B$29,0))="","",INDEX(Config!$E$9:$E$29,MATCH($B3640,Config!$B$9:$B$29,0))),""),""))</f>
        <v/>
      </c>
      <c r="AC3640" s="19" t="str">
        <f>IF($B3640="","",IFERROR(INDEX(Config!$D$9:$D$29,MATCH($B3640,Config!$B$9:$B$29,0))&amp;"",""))</f>
        <v/>
      </c>
    </row>
    <row r="3641">
      <c r="R3641" s="20" t="str">
        <f>IF($B3641="","",IFERROR(IF(INDEX(Config!$D$9:$D$29,MATCH($B3641,Config!$B$9:$B$29,0))="Contrato",IF(INDEX(Config!$E$9:$E$29,MATCH($B3641,Config!$B$9:$B$29,0))="","",INDEX(Config!$E$9:$E$29,MATCH($B3641,Config!$B$9:$B$29,0))),""),""))</f>
        <v/>
      </c>
      <c r="AC3641" s="19" t="str">
        <f>IF($B3641="","",IFERROR(INDEX(Config!$D$9:$D$29,MATCH($B3641,Config!$B$9:$B$29,0))&amp;"",""))</f>
        <v/>
      </c>
    </row>
    <row r="3642">
      <c r="R3642" s="20" t="str">
        <f>IF($B3642="","",IFERROR(IF(INDEX(Config!$D$9:$D$29,MATCH($B3642,Config!$B$9:$B$29,0))="Contrato",IF(INDEX(Config!$E$9:$E$29,MATCH($B3642,Config!$B$9:$B$29,0))="","",INDEX(Config!$E$9:$E$29,MATCH($B3642,Config!$B$9:$B$29,0))),""),""))</f>
        <v/>
      </c>
      <c r="AC3642" s="19" t="str">
        <f>IF($B3642="","",IFERROR(INDEX(Config!$D$9:$D$29,MATCH($B3642,Config!$B$9:$B$29,0))&amp;"",""))</f>
        <v/>
      </c>
    </row>
    <row r="3643">
      <c r="R3643" s="20" t="str">
        <f>IF($B3643="","",IFERROR(IF(INDEX(Config!$D$9:$D$29,MATCH($B3643,Config!$B$9:$B$29,0))="Contrato",IF(INDEX(Config!$E$9:$E$29,MATCH($B3643,Config!$B$9:$B$29,0))="","",INDEX(Config!$E$9:$E$29,MATCH($B3643,Config!$B$9:$B$29,0))),""),""))</f>
        <v/>
      </c>
      <c r="AC3643" s="19" t="str">
        <f>IF($B3643="","",IFERROR(INDEX(Config!$D$9:$D$29,MATCH($B3643,Config!$B$9:$B$29,0))&amp;"",""))</f>
        <v/>
      </c>
    </row>
    <row r="3644">
      <c r="R3644" s="20" t="str">
        <f>IF($B3644="","",IFERROR(IF(INDEX(Config!$D$9:$D$29,MATCH($B3644,Config!$B$9:$B$29,0))="Contrato",IF(INDEX(Config!$E$9:$E$29,MATCH($B3644,Config!$B$9:$B$29,0))="","",INDEX(Config!$E$9:$E$29,MATCH($B3644,Config!$B$9:$B$29,0))),""),""))</f>
        <v/>
      </c>
      <c r="AC3644" s="19" t="str">
        <f>IF($B3644="","",IFERROR(INDEX(Config!$D$9:$D$29,MATCH($B3644,Config!$B$9:$B$29,0))&amp;"",""))</f>
        <v/>
      </c>
    </row>
    <row r="3645">
      <c r="R3645" s="20" t="str">
        <f>IF($B3645="","",IFERROR(IF(INDEX(Config!$D$9:$D$29,MATCH($B3645,Config!$B$9:$B$29,0))="Contrato",IF(INDEX(Config!$E$9:$E$29,MATCH($B3645,Config!$B$9:$B$29,0))="","",INDEX(Config!$E$9:$E$29,MATCH($B3645,Config!$B$9:$B$29,0))),""),""))</f>
        <v/>
      </c>
      <c r="AC3645" s="19" t="str">
        <f>IF($B3645="","",IFERROR(INDEX(Config!$D$9:$D$29,MATCH($B3645,Config!$B$9:$B$29,0))&amp;"",""))</f>
        <v/>
      </c>
    </row>
    <row r="3646">
      <c r="R3646" s="20" t="str">
        <f>IF($B3646="","",IFERROR(IF(INDEX(Config!$D$9:$D$29,MATCH($B3646,Config!$B$9:$B$29,0))="Contrato",IF(INDEX(Config!$E$9:$E$29,MATCH($B3646,Config!$B$9:$B$29,0))="","",INDEX(Config!$E$9:$E$29,MATCH($B3646,Config!$B$9:$B$29,0))),""),""))</f>
        <v/>
      </c>
      <c r="AC3646" s="19" t="str">
        <f>IF($B3646="","",IFERROR(INDEX(Config!$D$9:$D$29,MATCH($B3646,Config!$B$9:$B$29,0))&amp;"",""))</f>
        <v/>
      </c>
    </row>
    <row r="3647">
      <c r="R3647" s="20" t="str">
        <f>IF($B3647="","",IFERROR(IF(INDEX(Config!$D$9:$D$29,MATCH($B3647,Config!$B$9:$B$29,0))="Contrato",IF(INDEX(Config!$E$9:$E$29,MATCH($B3647,Config!$B$9:$B$29,0))="","",INDEX(Config!$E$9:$E$29,MATCH($B3647,Config!$B$9:$B$29,0))),""),""))</f>
        <v/>
      </c>
      <c r="AC3647" s="19" t="str">
        <f>IF($B3647="","",IFERROR(INDEX(Config!$D$9:$D$29,MATCH($B3647,Config!$B$9:$B$29,0))&amp;"",""))</f>
        <v/>
      </c>
    </row>
    <row r="3648">
      <c r="R3648" s="20" t="str">
        <f>IF($B3648="","",IFERROR(IF(INDEX(Config!$D$9:$D$29,MATCH($B3648,Config!$B$9:$B$29,0))="Contrato",IF(INDEX(Config!$E$9:$E$29,MATCH($B3648,Config!$B$9:$B$29,0))="","",INDEX(Config!$E$9:$E$29,MATCH($B3648,Config!$B$9:$B$29,0))),""),""))</f>
        <v/>
      </c>
      <c r="AC3648" s="19" t="str">
        <f>IF($B3648="","",IFERROR(INDEX(Config!$D$9:$D$29,MATCH($B3648,Config!$B$9:$B$29,0))&amp;"",""))</f>
        <v/>
      </c>
    </row>
    <row r="3649">
      <c r="R3649" s="20" t="str">
        <f>IF($B3649="","",IFERROR(IF(INDEX(Config!$D$9:$D$29,MATCH($B3649,Config!$B$9:$B$29,0))="Contrato",IF(INDEX(Config!$E$9:$E$29,MATCH($B3649,Config!$B$9:$B$29,0))="","",INDEX(Config!$E$9:$E$29,MATCH($B3649,Config!$B$9:$B$29,0))),""),""))</f>
        <v/>
      </c>
      <c r="AC3649" s="19" t="str">
        <f>IF($B3649="","",IFERROR(INDEX(Config!$D$9:$D$29,MATCH($B3649,Config!$B$9:$B$29,0))&amp;"",""))</f>
        <v/>
      </c>
    </row>
    <row r="3650">
      <c r="R3650" s="20" t="str">
        <f>IF($B3650="","",IFERROR(IF(INDEX(Config!$D$9:$D$29,MATCH($B3650,Config!$B$9:$B$29,0))="Contrato",IF(INDEX(Config!$E$9:$E$29,MATCH($B3650,Config!$B$9:$B$29,0))="","",INDEX(Config!$E$9:$E$29,MATCH($B3650,Config!$B$9:$B$29,0))),""),""))</f>
        <v/>
      </c>
      <c r="AC3650" s="19" t="str">
        <f>IF($B3650="","",IFERROR(INDEX(Config!$D$9:$D$29,MATCH($B3650,Config!$B$9:$B$29,0))&amp;"",""))</f>
        <v/>
      </c>
    </row>
    <row r="3651">
      <c r="R3651" s="20" t="str">
        <f>IF($B3651="","",IFERROR(IF(INDEX(Config!$D$9:$D$29,MATCH($B3651,Config!$B$9:$B$29,0))="Contrato",IF(INDEX(Config!$E$9:$E$29,MATCH($B3651,Config!$B$9:$B$29,0))="","",INDEX(Config!$E$9:$E$29,MATCH($B3651,Config!$B$9:$B$29,0))),""),""))</f>
        <v/>
      </c>
      <c r="AC3651" s="19" t="str">
        <f>IF($B3651="","",IFERROR(INDEX(Config!$D$9:$D$29,MATCH($B3651,Config!$B$9:$B$29,0))&amp;"",""))</f>
        <v/>
      </c>
    </row>
    <row r="3652">
      <c r="R3652" s="20" t="str">
        <f>IF($B3652="","",IFERROR(IF(INDEX(Config!$D$9:$D$29,MATCH($B3652,Config!$B$9:$B$29,0))="Contrato",IF(INDEX(Config!$E$9:$E$29,MATCH($B3652,Config!$B$9:$B$29,0))="","",INDEX(Config!$E$9:$E$29,MATCH($B3652,Config!$B$9:$B$29,0))),""),""))</f>
        <v/>
      </c>
      <c r="AC3652" s="19" t="str">
        <f>IF($B3652="","",IFERROR(INDEX(Config!$D$9:$D$29,MATCH($B3652,Config!$B$9:$B$29,0))&amp;"",""))</f>
        <v/>
      </c>
    </row>
    <row r="3653">
      <c r="R3653" s="20" t="str">
        <f>IF($B3653="","",IFERROR(IF(INDEX(Config!$D$9:$D$29,MATCH($B3653,Config!$B$9:$B$29,0))="Contrato",IF(INDEX(Config!$E$9:$E$29,MATCH($B3653,Config!$B$9:$B$29,0))="","",INDEX(Config!$E$9:$E$29,MATCH($B3653,Config!$B$9:$B$29,0))),""),""))</f>
        <v/>
      </c>
      <c r="AC3653" s="19" t="str">
        <f>IF($B3653="","",IFERROR(INDEX(Config!$D$9:$D$29,MATCH($B3653,Config!$B$9:$B$29,0))&amp;"",""))</f>
        <v/>
      </c>
    </row>
    <row r="3654">
      <c r="R3654" s="20" t="str">
        <f>IF($B3654="","",IFERROR(IF(INDEX(Config!$D$9:$D$29,MATCH($B3654,Config!$B$9:$B$29,0))="Contrato",IF(INDEX(Config!$E$9:$E$29,MATCH($B3654,Config!$B$9:$B$29,0))="","",INDEX(Config!$E$9:$E$29,MATCH($B3654,Config!$B$9:$B$29,0))),""),""))</f>
        <v/>
      </c>
      <c r="AC3654" s="19" t="str">
        <f>IF($B3654="","",IFERROR(INDEX(Config!$D$9:$D$29,MATCH($B3654,Config!$B$9:$B$29,0))&amp;"",""))</f>
        <v/>
      </c>
    </row>
    <row r="3655">
      <c r="R3655" s="20" t="str">
        <f>IF($B3655="","",IFERROR(IF(INDEX(Config!$D$9:$D$29,MATCH($B3655,Config!$B$9:$B$29,0))="Contrato",IF(INDEX(Config!$E$9:$E$29,MATCH($B3655,Config!$B$9:$B$29,0))="","",INDEX(Config!$E$9:$E$29,MATCH($B3655,Config!$B$9:$B$29,0))),""),""))</f>
        <v/>
      </c>
      <c r="AC3655" s="19" t="str">
        <f>IF($B3655="","",IFERROR(INDEX(Config!$D$9:$D$29,MATCH($B3655,Config!$B$9:$B$29,0))&amp;"",""))</f>
        <v/>
      </c>
    </row>
    <row r="3656">
      <c r="R3656" s="20" t="str">
        <f>IF($B3656="","",IFERROR(IF(INDEX(Config!$D$9:$D$29,MATCH($B3656,Config!$B$9:$B$29,0))="Contrato",IF(INDEX(Config!$E$9:$E$29,MATCH($B3656,Config!$B$9:$B$29,0))="","",INDEX(Config!$E$9:$E$29,MATCH($B3656,Config!$B$9:$B$29,0))),""),""))</f>
        <v/>
      </c>
      <c r="AC3656" s="19" t="str">
        <f>IF($B3656="","",IFERROR(INDEX(Config!$D$9:$D$29,MATCH($B3656,Config!$B$9:$B$29,0))&amp;"",""))</f>
        <v/>
      </c>
    </row>
    <row r="3657">
      <c r="R3657" s="20" t="str">
        <f>IF($B3657="","",IFERROR(IF(INDEX(Config!$D$9:$D$29,MATCH($B3657,Config!$B$9:$B$29,0))="Contrato",IF(INDEX(Config!$E$9:$E$29,MATCH($B3657,Config!$B$9:$B$29,0))="","",INDEX(Config!$E$9:$E$29,MATCH($B3657,Config!$B$9:$B$29,0))),""),""))</f>
        <v/>
      </c>
      <c r="AC3657" s="19" t="str">
        <f>IF($B3657="","",IFERROR(INDEX(Config!$D$9:$D$29,MATCH($B3657,Config!$B$9:$B$29,0))&amp;"",""))</f>
        <v/>
      </c>
    </row>
    <row r="3658">
      <c r="R3658" s="20" t="str">
        <f>IF($B3658="","",IFERROR(IF(INDEX(Config!$D$9:$D$29,MATCH($B3658,Config!$B$9:$B$29,0))="Contrato",IF(INDEX(Config!$E$9:$E$29,MATCH($B3658,Config!$B$9:$B$29,0))="","",INDEX(Config!$E$9:$E$29,MATCH($B3658,Config!$B$9:$B$29,0))),""),""))</f>
        <v/>
      </c>
      <c r="AC3658" s="19" t="str">
        <f>IF($B3658="","",IFERROR(INDEX(Config!$D$9:$D$29,MATCH($B3658,Config!$B$9:$B$29,0))&amp;"",""))</f>
        <v/>
      </c>
    </row>
    <row r="3659">
      <c r="R3659" s="20" t="str">
        <f>IF($B3659="","",IFERROR(IF(INDEX(Config!$D$9:$D$29,MATCH($B3659,Config!$B$9:$B$29,0))="Contrato",IF(INDEX(Config!$E$9:$E$29,MATCH($B3659,Config!$B$9:$B$29,0))="","",INDEX(Config!$E$9:$E$29,MATCH($B3659,Config!$B$9:$B$29,0))),""),""))</f>
        <v/>
      </c>
      <c r="AC3659" s="19" t="str">
        <f>IF($B3659="","",IFERROR(INDEX(Config!$D$9:$D$29,MATCH($B3659,Config!$B$9:$B$29,0))&amp;"",""))</f>
        <v/>
      </c>
    </row>
    <row r="3660">
      <c r="R3660" s="20" t="str">
        <f>IF($B3660="","",IFERROR(IF(INDEX(Config!$D$9:$D$29,MATCH($B3660,Config!$B$9:$B$29,0))="Contrato",IF(INDEX(Config!$E$9:$E$29,MATCH($B3660,Config!$B$9:$B$29,0))="","",INDEX(Config!$E$9:$E$29,MATCH($B3660,Config!$B$9:$B$29,0))),""),""))</f>
        <v/>
      </c>
      <c r="AC3660" s="19" t="str">
        <f>IF($B3660="","",IFERROR(INDEX(Config!$D$9:$D$29,MATCH($B3660,Config!$B$9:$B$29,0))&amp;"",""))</f>
        <v/>
      </c>
    </row>
    <row r="3661">
      <c r="R3661" s="20" t="str">
        <f>IF($B3661="","",IFERROR(IF(INDEX(Config!$D$9:$D$29,MATCH($B3661,Config!$B$9:$B$29,0))="Contrato",IF(INDEX(Config!$E$9:$E$29,MATCH($B3661,Config!$B$9:$B$29,0))="","",INDEX(Config!$E$9:$E$29,MATCH($B3661,Config!$B$9:$B$29,0))),""),""))</f>
        <v/>
      </c>
      <c r="AC3661" s="19" t="str">
        <f>IF($B3661="","",IFERROR(INDEX(Config!$D$9:$D$29,MATCH($B3661,Config!$B$9:$B$29,0))&amp;"",""))</f>
        <v/>
      </c>
    </row>
    <row r="3662">
      <c r="R3662" s="20" t="str">
        <f>IF($B3662="","",IFERROR(IF(INDEX(Config!$D$9:$D$29,MATCH($B3662,Config!$B$9:$B$29,0))="Contrato",IF(INDEX(Config!$E$9:$E$29,MATCH($B3662,Config!$B$9:$B$29,0))="","",INDEX(Config!$E$9:$E$29,MATCH($B3662,Config!$B$9:$B$29,0))),""),""))</f>
        <v/>
      </c>
      <c r="AC3662" s="19" t="str">
        <f>IF($B3662="","",IFERROR(INDEX(Config!$D$9:$D$29,MATCH($B3662,Config!$B$9:$B$29,0))&amp;"",""))</f>
        <v/>
      </c>
    </row>
    <row r="3663">
      <c r="R3663" s="20" t="str">
        <f>IF($B3663="","",IFERROR(IF(INDEX(Config!$D$9:$D$29,MATCH($B3663,Config!$B$9:$B$29,0))="Contrato",IF(INDEX(Config!$E$9:$E$29,MATCH($B3663,Config!$B$9:$B$29,0))="","",INDEX(Config!$E$9:$E$29,MATCH($B3663,Config!$B$9:$B$29,0))),""),""))</f>
        <v/>
      </c>
      <c r="AC3663" s="19" t="str">
        <f>IF($B3663="","",IFERROR(INDEX(Config!$D$9:$D$29,MATCH($B3663,Config!$B$9:$B$29,0))&amp;"",""))</f>
        <v/>
      </c>
    </row>
    <row r="3664">
      <c r="R3664" s="20" t="str">
        <f>IF($B3664="","",IFERROR(IF(INDEX(Config!$D$9:$D$29,MATCH($B3664,Config!$B$9:$B$29,0))="Contrato",IF(INDEX(Config!$E$9:$E$29,MATCH($B3664,Config!$B$9:$B$29,0))="","",INDEX(Config!$E$9:$E$29,MATCH($B3664,Config!$B$9:$B$29,0))),""),""))</f>
        <v/>
      </c>
      <c r="AC3664" s="19" t="str">
        <f>IF($B3664="","",IFERROR(INDEX(Config!$D$9:$D$29,MATCH($B3664,Config!$B$9:$B$29,0))&amp;"",""))</f>
        <v/>
      </c>
    </row>
    <row r="3665">
      <c r="R3665" s="20" t="str">
        <f>IF($B3665="","",IFERROR(IF(INDEX(Config!$D$9:$D$29,MATCH($B3665,Config!$B$9:$B$29,0))="Contrato",IF(INDEX(Config!$E$9:$E$29,MATCH($B3665,Config!$B$9:$B$29,0))="","",INDEX(Config!$E$9:$E$29,MATCH($B3665,Config!$B$9:$B$29,0))),""),""))</f>
        <v/>
      </c>
      <c r="AC3665" s="19" t="str">
        <f>IF($B3665="","",IFERROR(INDEX(Config!$D$9:$D$29,MATCH($B3665,Config!$B$9:$B$29,0))&amp;"",""))</f>
        <v/>
      </c>
    </row>
    <row r="3666">
      <c r="R3666" s="20" t="str">
        <f>IF($B3666="","",IFERROR(IF(INDEX(Config!$D$9:$D$29,MATCH($B3666,Config!$B$9:$B$29,0))="Contrato",IF(INDEX(Config!$E$9:$E$29,MATCH($B3666,Config!$B$9:$B$29,0))="","",INDEX(Config!$E$9:$E$29,MATCH($B3666,Config!$B$9:$B$29,0))),""),""))</f>
        <v/>
      </c>
      <c r="AC3666" s="19" t="str">
        <f>IF($B3666="","",IFERROR(INDEX(Config!$D$9:$D$29,MATCH($B3666,Config!$B$9:$B$29,0))&amp;"",""))</f>
        <v/>
      </c>
    </row>
    <row r="3667">
      <c r="R3667" s="20" t="str">
        <f>IF($B3667="","",IFERROR(IF(INDEX(Config!$D$9:$D$29,MATCH($B3667,Config!$B$9:$B$29,0))="Contrato",IF(INDEX(Config!$E$9:$E$29,MATCH($B3667,Config!$B$9:$B$29,0))="","",INDEX(Config!$E$9:$E$29,MATCH($B3667,Config!$B$9:$B$29,0))),""),""))</f>
        <v/>
      </c>
      <c r="AC3667" s="19" t="str">
        <f>IF($B3667="","",IFERROR(INDEX(Config!$D$9:$D$29,MATCH($B3667,Config!$B$9:$B$29,0))&amp;"",""))</f>
        <v/>
      </c>
    </row>
    <row r="3668">
      <c r="R3668" s="20" t="str">
        <f>IF($B3668="","",IFERROR(IF(INDEX(Config!$D$9:$D$29,MATCH($B3668,Config!$B$9:$B$29,0))="Contrato",IF(INDEX(Config!$E$9:$E$29,MATCH($B3668,Config!$B$9:$B$29,0))="","",INDEX(Config!$E$9:$E$29,MATCH($B3668,Config!$B$9:$B$29,0))),""),""))</f>
        <v/>
      </c>
      <c r="AC3668" s="19" t="str">
        <f>IF($B3668="","",IFERROR(INDEX(Config!$D$9:$D$29,MATCH($B3668,Config!$B$9:$B$29,0))&amp;"",""))</f>
        <v/>
      </c>
    </row>
    <row r="3669">
      <c r="R3669" s="20" t="str">
        <f>IF($B3669="","",IFERROR(IF(INDEX(Config!$D$9:$D$29,MATCH($B3669,Config!$B$9:$B$29,0))="Contrato",IF(INDEX(Config!$E$9:$E$29,MATCH($B3669,Config!$B$9:$B$29,0))="","",INDEX(Config!$E$9:$E$29,MATCH($B3669,Config!$B$9:$B$29,0))),""),""))</f>
        <v/>
      </c>
      <c r="AC3669" s="19" t="str">
        <f>IF($B3669="","",IFERROR(INDEX(Config!$D$9:$D$29,MATCH($B3669,Config!$B$9:$B$29,0))&amp;"",""))</f>
        <v/>
      </c>
    </row>
    <row r="3670">
      <c r="R3670" s="20" t="str">
        <f>IF($B3670="","",IFERROR(IF(INDEX(Config!$D$9:$D$29,MATCH($B3670,Config!$B$9:$B$29,0))="Contrato",IF(INDEX(Config!$E$9:$E$29,MATCH($B3670,Config!$B$9:$B$29,0))="","",INDEX(Config!$E$9:$E$29,MATCH($B3670,Config!$B$9:$B$29,0))),""),""))</f>
        <v/>
      </c>
      <c r="AC3670" s="19" t="str">
        <f>IF($B3670="","",IFERROR(INDEX(Config!$D$9:$D$29,MATCH($B3670,Config!$B$9:$B$29,0))&amp;"",""))</f>
        <v/>
      </c>
    </row>
    <row r="3671">
      <c r="R3671" s="20" t="str">
        <f>IF($B3671="","",IFERROR(IF(INDEX(Config!$D$9:$D$29,MATCH($B3671,Config!$B$9:$B$29,0))="Contrato",IF(INDEX(Config!$E$9:$E$29,MATCH($B3671,Config!$B$9:$B$29,0))="","",INDEX(Config!$E$9:$E$29,MATCH($B3671,Config!$B$9:$B$29,0))),""),""))</f>
        <v/>
      </c>
      <c r="AC3671" s="19" t="str">
        <f>IF($B3671="","",IFERROR(INDEX(Config!$D$9:$D$29,MATCH($B3671,Config!$B$9:$B$29,0))&amp;"",""))</f>
        <v/>
      </c>
    </row>
    <row r="3672">
      <c r="R3672" s="20" t="str">
        <f>IF($B3672="","",IFERROR(IF(INDEX(Config!$D$9:$D$29,MATCH($B3672,Config!$B$9:$B$29,0))="Contrato",IF(INDEX(Config!$E$9:$E$29,MATCH($B3672,Config!$B$9:$B$29,0))="","",INDEX(Config!$E$9:$E$29,MATCH($B3672,Config!$B$9:$B$29,0))),""),""))</f>
        <v/>
      </c>
      <c r="AC3672" s="19" t="str">
        <f>IF($B3672="","",IFERROR(INDEX(Config!$D$9:$D$29,MATCH($B3672,Config!$B$9:$B$29,0))&amp;"",""))</f>
        <v/>
      </c>
    </row>
    <row r="3673">
      <c r="R3673" s="20" t="str">
        <f>IF($B3673="","",IFERROR(IF(INDEX(Config!$D$9:$D$29,MATCH($B3673,Config!$B$9:$B$29,0))="Contrato",IF(INDEX(Config!$E$9:$E$29,MATCH($B3673,Config!$B$9:$B$29,0))="","",INDEX(Config!$E$9:$E$29,MATCH($B3673,Config!$B$9:$B$29,0))),""),""))</f>
        <v/>
      </c>
      <c r="AC3673" s="19" t="str">
        <f>IF($B3673="","",IFERROR(INDEX(Config!$D$9:$D$29,MATCH($B3673,Config!$B$9:$B$29,0))&amp;"",""))</f>
        <v/>
      </c>
    </row>
    <row r="3674">
      <c r="R3674" s="20" t="str">
        <f>IF($B3674="","",IFERROR(IF(INDEX(Config!$D$9:$D$29,MATCH($B3674,Config!$B$9:$B$29,0))="Contrato",IF(INDEX(Config!$E$9:$E$29,MATCH($B3674,Config!$B$9:$B$29,0))="","",INDEX(Config!$E$9:$E$29,MATCH($B3674,Config!$B$9:$B$29,0))),""),""))</f>
        <v/>
      </c>
      <c r="AC3674" s="19" t="str">
        <f>IF($B3674="","",IFERROR(INDEX(Config!$D$9:$D$29,MATCH($B3674,Config!$B$9:$B$29,0))&amp;"",""))</f>
        <v/>
      </c>
    </row>
    <row r="3675">
      <c r="R3675" s="20" t="str">
        <f>IF($B3675="","",IFERROR(IF(INDEX(Config!$D$9:$D$29,MATCH($B3675,Config!$B$9:$B$29,0))="Contrato",IF(INDEX(Config!$E$9:$E$29,MATCH($B3675,Config!$B$9:$B$29,0))="","",INDEX(Config!$E$9:$E$29,MATCH($B3675,Config!$B$9:$B$29,0))),""),""))</f>
        <v/>
      </c>
      <c r="AC3675" s="19" t="str">
        <f>IF($B3675="","",IFERROR(INDEX(Config!$D$9:$D$29,MATCH($B3675,Config!$B$9:$B$29,0))&amp;"",""))</f>
        <v/>
      </c>
    </row>
    <row r="3676">
      <c r="R3676" s="20" t="str">
        <f>IF($B3676="","",IFERROR(IF(INDEX(Config!$D$9:$D$29,MATCH($B3676,Config!$B$9:$B$29,0))="Contrato",IF(INDEX(Config!$E$9:$E$29,MATCH($B3676,Config!$B$9:$B$29,0))="","",INDEX(Config!$E$9:$E$29,MATCH($B3676,Config!$B$9:$B$29,0))),""),""))</f>
        <v/>
      </c>
      <c r="AC3676" s="19" t="str">
        <f>IF($B3676="","",IFERROR(INDEX(Config!$D$9:$D$29,MATCH($B3676,Config!$B$9:$B$29,0))&amp;"",""))</f>
        <v/>
      </c>
    </row>
    <row r="3677">
      <c r="R3677" s="20" t="str">
        <f>IF($B3677="","",IFERROR(IF(INDEX(Config!$D$9:$D$29,MATCH($B3677,Config!$B$9:$B$29,0))="Contrato",IF(INDEX(Config!$E$9:$E$29,MATCH($B3677,Config!$B$9:$B$29,0))="","",INDEX(Config!$E$9:$E$29,MATCH($B3677,Config!$B$9:$B$29,0))),""),""))</f>
        <v/>
      </c>
      <c r="AC3677" s="19" t="str">
        <f>IF($B3677="","",IFERROR(INDEX(Config!$D$9:$D$29,MATCH($B3677,Config!$B$9:$B$29,0))&amp;"",""))</f>
        <v/>
      </c>
    </row>
    <row r="3678">
      <c r="R3678" s="20" t="str">
        <f>IF($B3678="","",IFERROR(IF(INDEX(Config!$D$9:$D$29,MATCH($B3678,Config!$B$9:$B$29,0))="Contrato",IF(INDEX(Config!$E$9:$E$29,MATCH($B3678,Config!$B$9:$B$29,0))="","",INDEX(Config!$E$9:$E$29,MATCH($B3678,Config!$B$9:$B$29,0))),""),""))</f>
        <v/>
      </c>
      <c r="AC3678" s="19" t="str">
        <f>IF($B3678="","",IFERROR(INDEX(Config!$D$9:$D$29,MATCH($B3678,Config!$B$9:$B$29,0))&amp;"",""))</f>
        <v/>
      </c>
    </row>
    <row r="3679">
      <c r="R3679" s="20" t="str">
        <f>IF($B3679="","",IFERROR(IF(INDEX(Config!$D$9:$D$29,MATCH($B3679,Config!$B$9:$B$29,0))="Contrato",IF(INDEX(Config!$E$9:$E$29,MATCH($B3679,Config!$B$9:$B$29,0))="","",INDEX(Config!$E$9:$E$29,MATCH($B3679,Config!$B$9:$B$29,0))),""),""))</f>
        <v/>
      </c>
      <c r="AC3679" s="19" t="str">
        <f>IF($B3679="","",IFERROR(INDEX(Config!$D$9:$D$29,MATCH($B3679,Config!$B$9:$B$29,0))&amp;"",""))</f>
        <v/>
      </c>
    </row>
    <row r="3680">
      <c r="R3680" s="20" t="str">
        <f>IF($B3680="","",IFERROR(IF(INDEX(Config!$D$9:$D$29,MATCH($B3680,Config!$B$9:$B$29,0))="Contrato",IF(INDEX(Config!$E$9:$E$29,MATCH($B3680,Config!$B$9:$B$29,0))="","",INDEX(Config!$E$9:$E$29,MATCH($B3680,Config!$B$9:$B$29,0))),""),""))</f>
        <v/>
      </c>
      <c r="AC3680" s="19" t="str">
        <f>IF($B3680="","",IFERROR(INDEX(Config!$D$9:$D$29,MATCH($B3680,Config!$B$9:$B$29,0))&amp;"",""))</f>
        <v/>
      </c>
    </row>
    <row r="3681">
      <c r="R3681" s="20" t="str">
        <f>IF($B3681="","",IFERROR(IF(INDEX(Config!$D$9:$D$29,MATCH($B3681,Config!$B$9:$B$29,0))="Contrato",IF(INDEX(Config!$E$9:$E$29,MATCH($B3681,Config!$B$9:$B$29,0))="","",INDEX(Config!$E$9:$E$29,MATCH($B3681,Config!$B$9:$B$29,0))),""),""))</f>
        <v/>
      </c>
      <c r="AC3681" s="19" t="str">
        <f>IF($B3681="","",IFERROR(INDEX(Config!$D$9:$D$29,MATCH($B3681,Config!$B$9:$B$29,0))&amp;"",""))</f>
        <v/>
      </c>
    </row>
    <row r="3682">
      <c r="R3682" s="20" t="str">
        <f>IF($B3682="","",IFERROR(IF(INDEX(Config!$D$9:$D$29,MATCH($B3682,Config!$B$9:$B$29,0))="Contrato",IF(INDEX(Config!$E$9:$E$29,MATCH($B3682,Config!$B$9:$B$29,0))="","",INDEX(Config!$E$9:$E$29,MATCH($B3682,Config!$B$9:$B$29,0))),""),""))</f>
        <v/>
      </c>
      <c r="AC3682" s="19" t="str">
        <f>IF($B3682="","",IFERROR(INDEX(Config!$D$9:$D$29,MATCH($B3682,Config!$B$9:$B$29,0))&amp;"",""))</f>
        <v/>
      </c>
    </row>
    <row r="3683">
      <c r="R3683" s="20" t="str">
        <f>IF($B3683="","",IFERROR(IF(INDEX(Config!$D$9:$D$29,MATCH($B3683,Config!$B$9:$B$29,0))="Contrato",IF(INDEX(Config!$E$9:$E$29,MATCH($B3683,Config!$B$9:$B$29,0))="","",INDEX(Config!$E$9:$E$29,MATCH($B3683,Config!$B$9:$B$29,0))),""),""))</f>
        <v/>
      </c>
      <c r="AC3683" s="19" t="str">
        <f>IF($B3683="","",IFERROR(INDEX(Config!$D$9:$D$29,MATCH($B3683,Config!$B$9:$B$29,0))&amp;"",""))</f>
        <v/>
      </c>
    </row>
    <row r="3684">
      <c r="R3684" s="20" t="str">
        <f>IF($B3684="","",IFERROR(IF(INDEX(Config!$D$9:$D$29,MATCH($B3684,Config!$B$9:$B$29,0))="Contrato",IF(INDEX(Config!$E$9:$E$29,MATCH($B3684,Config!$B$9:$B$29,0))="","",INDEX(Config!$E$9:$E$29,MATCH($B3684,Config!$B$9:$B$29,0))),""),""))</f>
        <v/>
      </c>
      <c r="AC3684" s="19" t="str">
        <f>IF($B3684="","",IFERROR(INDEX(Config!$D$9:$D$29,MATCH($B3684,Config!$B$9:$B$29,0))&amp;"",""))</f>
        <v/>
      </c>
    </row>
    <row r="3685">
      <c r="R3685" s="20" t="str">
        <f>IF($B3685="","",IFERROR(IF(INDEX(Config!$D$9:$D$29,MATCH($B3685,Config!$B$9:$B$29,0))="Contrato",IF(INDEX(Config!$E$9:$E$29,MATCH($B3685,Config!$B$9:$B$29,0))="","",INDEX(Config!$E$9:$E$29,MATCH($B3685,Config!$B$9:$B$29,0))),""),""))</f>
        <v/>
      </c>
      <c r="AC3685" s="19" t="str">
        <f>IF($B3685="","",IFERROR(INDEX(Config!$D$9:$D$29,MATCH($B3685,Config!$B$9:$B$29,0))&amp;"",""))</f>
        <v/>
      </c>
    </row>
    <row r="3686">
      <c r="R3686" s="20" t="str">
        <f>IF($B3686="","",IFERROR(IF(INDEX(Config!$D$9:$D$29,MATCH($B3686,Config!$B$9:$B$29,0))="Contrato",IF(INDEX(Config!$E$9:$E$29,MATCH($B3686,Config!$B$9:$B$29,0))="","",INDEX(Config!$E$9:$E$29,MATCH($B3686,Config!$B$9:$B$29,0))),""),""))</f>
        <v/>
      </c>
      <c r="AC3686" s="19" t="str">
        <f>IF($B3686="","",IFERROR(INDEX(Config!$D$9:$D$29,MATCH($B3686,Config!$B$9:$B$29,0))&amp;"",""))</f>
        <v/>
      </c>
    </row>
    <row r="3687">
      <c r="R3687" s="20" t="str">
        <f>IF($B3687="","",IFERROR(IF(INDEX(Config!$D$9:$D$29,MATCH($B3687,Config!$B$9:$B$29,0))="Contrato",IF(INDEX(Config!$E$9:$E$29,MATCH($B3687,Config!$B$9:$B$29,0))="","",INDEX(Config!$E$9:$E$29,MATCH($B3687,Config!$B$9:$B$29,0))),""),""))</f>
        <v/>
      </c>
      <c r="AC3687" s="19" t="str">
        <f>IF($B3687="","",IFERROR(INDEX(Config!$D$9:$D$29,MATCH($B3687,Config!$B$9:$B$29,0))&amp;"",""))</f>
        <v/>
      </c>
    </row>
    <row r="3688">
      <c r="R3688" s="20" t="str">
        <f>IF($B3688="","",IFERROR(IF(INDEX(Config!$D$9:$D$29,MATCH($B3688,Config!$B$9:$B$29,0))="Contrato",IF(INDEX(Config!$E$9:$E$29,MATCH($B3688,Config!$B$9:$B$29,0))="","",INDEX(Config!$E$9:$E$29,MATCH($B3688,Config!$B$9:$B$29,0))),""),""))</f>
        <v/>
      </c>
      <c r="AC3688" s="19" t="str">
        <f>IF($B3688="","",IFERROR(INDEX(Config!$D$9:$D$29,MATCH($B3688,Config!$B$9:$B$29,0))&amp;"",""))</f>
        <v/>
      </c>
    </row>
    <row r="3689">
      <c r="R3689" s="20" t="str">
        <f>IF($B3689="","",IFERROR(IF(INDEX(Config!$D$9:$D$29,MATCH($B3689,Config!$B$9:$B$29,0))="Contrato",IF(INDEX(Config!$E$9:$E$29,MATCH($B3689,Config!$B$9:$B$29,0))="","",INDEX(Config!$E$9:$E$29,MATCH($B3689,Config!$B$9:$B$29,0))),""),""))</f>
        <v/>
      </c>
      <c r="AC3689" s="19" t="str">
        <f>IF($B3689="","",IFERROR(INDEX(Config!$D$9:$D$29,MATCH($B3689,Config!$B$9:$B$29,0))&amp;"",""))</f>
        <v/>
      </c>
    </row>
    <row r="3690">
      <c r="R3690" s="20" t="str">
        <f>IF($B3690="","",IFERROR(IF(INDEX(Config!$D$9:$D$29,MATCH($B3690,Config!$B$9:$B$29,0))="Contrato",IF(INDEX(Config!$E$9:$E$29,MATCH($B3690,Config!$B$9:$B$29,0))="","",INDEX(Config!$E$9:$E$29,MATCH($B3690,Config!$B$9:$B$29,0))),""),""))</f>
        <v/>
      </c>
      <c r="AC3690" s="19" t="str">
        <f>IF($B3690="","",IFERROR(INDEX(Config!$D$9:$D$29,MATCH($B3690,Config!$B$9:$B$29,0))&amp;"",""))</f>
        <v/>
      </c>
    </row>
    <row r="3691">
      <c r="R3691" s="20" t="str">
        <f>IF($B3691="","",IFERROR(IF(INDEX(Config!$D$9:$D$29,MATCH($B3691,Config!$B$9:$B$29,0))="Contrato",IF(INDEX(Config!$E$9:$E$29,MATCH($B3691,Config!$B$9:$B$29,0))="","",INDEX(Config!$E$9:$E$29,MATCH($B3691,Config!$B$9:$B$29,0))),""),""))</f>
        <v/>
      </c>
      <c r="AC3691" s="19" t="str">
        <f>IF($B3691="","",IFERROR(INDEX(Config!$D$9:$D$29,MATCH($B3691,Config!$B$9:$B$29,0))&amp;"",""))</f>
        <v/>
      </c>
    </row>
    <row r="3692">
      <c r="R3692" s="20" t="str">
        <f>IF($B3692="","",IFERROR(IF(INDEX(Config!$D$9:$D$29,MATCH($B3692,Config!$B$9:$B$29,0))="Contrato",IF(INDEX(Config!$E$9:$E$29,MATCH($B3692,Config!$B$9:$B$29,0))="","",INDEX(Config!$E$9:$E$29,MATCH($B3692,Config!$B$9:$B$29,0))),""),""))</f>
        <v/>
      </c>
      <c r="AC3692" s="19" t="str">
        <f>IF($B3692="","",IFERROR(INDEX(Config!$D$9:$D$29,MATCH($B3692,Config!$B$9:$B$29,0))&amp;"",""))</f>
        <v/>
      </c>
    </row>
    <row r="3693">
      <c r="R3693" s="20" t="str">
        <f>IF($B3693="","",IFERROR(IF(INDEX(Config!$D$9:$D$29,MATCH($B3693,Config!$B$9:$B$29,0))="Contrato",IF(INDEX(Config!$E$9:$E$29,MATCH($B3693,Config!$B$9:$B$29,0))="","",INDEX(Config!$E$9:$E$29,MATCH($B3693,Config!$B$9:$B$29,0))),""),""))</f>
        <v/>
      </c>
      <c r="AC3693" s="19" t="str">
        <f>IF($B3693="","",IFERROR(INDEX(Config!$D$9:$D$29,MATCH($B3693,Config!$B$9:$B$29,0))&amp;"",""))</f>
        <v/>
      </c>
    </row>
    <row r="3694">
      <c r="R3694" s="20" t="str">
        <f>IF($B3694="","",IFERROR(IF(INDEX(Config!$D$9:$D$29,MATCH($B3694,Config!$B$9:$B$29,0))="Contrato",IF(INDEX(Config!$E$9:$E$29,MATCH($B3694,Config!$B$9:$B$29,0))="","",INDEX(Config!$E$9:$E$29,MATCH($B3694,Config!$B$9:$B$29,0))),""),""))</f>
        <v/>
      </c>
      <c r="AC3694" s="19" t="str">
        <f>IF($B3694="","",IFERROR(INDEX(Config!$D$9:$D$29,MATCH($B3694,Config!$B$9:$B$29,0))&amp;"",""))</f>
        <v/>
      </c>
    </row>
    <row r="3695">
      <c r="R3695" s="20" t="str">
        <f>IF($B3695="","",IFERROR(IF(INDEX(Config!$D$9:$D$29,MATCH($B3695,Config!$B$9:$B$29,0))="Contrato",IF(INDEX(Config!$E$9:$E$29,MATCH($B3695,Config!$B$9:$B$29,0))="","",INDEX(Config!$E$9:$E$29,MATCH($B3695,Config!$B$9:$B$29,0))),""),""))</f>
        <v/>
      </c>
      <c r="AC3695" s="19" t="str">
        <f>IF($B3695="","",IFERROR(INDEX(Config!$D$9:$D$29,MATCH($B3695,Config!$B$9:$B$29,0))&amp;"",""))</f>
        <v/>
      </c>
    </row>
    <row r="3696">
      <c r="R3696" s="20" t="str">
        <f>IF($B3696="","",IFERROR(IF(INDEX(Config!$D$9:$D$29,MATCH($B3696,Config!$B$9:$B$29,0))="Contrato",IF(INDEX(Config!$E$9:$E$29,MATCH($B3696,Config!$B$9:$B$29,0))="","",INDEX(Config!$E$9:$E$29,MATCH($B3696,Config!$B$9:$B$29,0))),""),""))</f>
        <v/>
      </c>
      <c r="AC3696" s="19" t="str">
        <f>IF($B3696="","",IFERROR(INDEX(Config!$D$9:$D$29,MATCH($B3696,Config!$B$9:$B$29,0))&amp;"",""))</f>
        <v/>
      </c>
    </row>
    <row r="3697">
      <c r="R3697" s="20" t="str">
        <f>IF($B3697="","",IFERROR(IF(INDEX(Config!$D$9:$D$29,MATCH($B3697,Config!$B$9:$B$29,0))="Contrato",IF(INDEX(Config!$E$9:$E$29,MATCH($B3697,Config!$B$9:$B$29,0))="","",INDEX(Config!$E$9:$E$29,MATCH($B3697,Config!$B$9:$B$29,0))),""),""))</f>
        <v/>
      </c>
      <c r="AC3697" s="19" t="str">
        <f>IF($B3697="","",IFERROR(INDEX(Config!$D$9:$D$29,MATCH($B3697,Config!$B$9:$B$29,0))&amp;"",""))</f>
        <v/>
      </c>
    </row>
    <row r="3698">
      <c r="R3698" s="20" t="str">
        <f>IF($B3698="","",IFERROR(IF(INDEX(Config!$D$9:$D$29,MATCH($B3698,Config!$B$9:$B$29,0))="Contrato",IF(INDEX(Config!$E$9:$E$29,MATCH($B3698,Config!$B$9:$B$29,0))="","",INDEX(Config!$E$9:$E$29,MATCH($B3698,Config!$B$9:$B$29,0))),""),""))</f>
        <v/>
      </c>
      <c r="AC3698" s="19" t="str">
        <f>IF($B3698="","",IFERROR(INDEX(Config!$D$9:$D$29,MATCH($B3698,Config!$B$9:$B$29,0))&amp;"",""))</f>
        <v/>
      </c>
    </row>
    <row r="3699">
      <c r="R3699" s="20" t="str">
        <f>IF($B3699="","",IFERROR(IF(INDEX(Config!$D$9:$D$29,MATCH($B3699,Config!$B$9:$B$29,0))="Contrato",IF(INDEX(Config!$E$9:$E$29,MATCH($B3699,Config!$B$9:$B$29,0))="","",INDEX(Config!$E$9:$E$29,MATCH($B3699,Config!$B$9:$B$29,0))),""),""))</f>
        <v/>
      </c>
      <c r="AC3699" s="19" t="str">
        <f>IF($B3699="","",IFERROR(INDEX(Config!$D$9:$D$29,MATCH($B3699,Config!$B$9:$B$29,0))&amp;"",""))</f>
        <v/>
      </c>
    </row>
    <row r="3700">
      <c r="R3700" s="20" t="str">
        <f>IF($B3700="","",IFERROR(IF(INDEX(Config!$D$9:$D$29,MATCH($B3700,Config!$B$9:$B$29,0))="Contrato",IF(INDEX(Config!$E$9:$E$29,MATCH($B3700,Config!$B$9:$B$29,0))="","",INDEX(Config!$E$9:$E$29,MATCH($B3700,Config!$B$9:$B$29,0))),""),""))</f>
        <v/>
      </c>
      <c r="AC3700" s="19" t="str">
        <f>IF($B3700="","",IFERROR(INDEX(Config!$D$9:$D$29,MATCH($B3700,Config!$B$9:$B$29,0))&amp;"",""))</f>
        <v/>
      </c>
    </row>
    <row r="3701">
      <c r="R3701" s="20" t="str">
        <f>IF($B3701="","",IFERROR(IF(INDEX(Config!$D$9:$D$29,MATCH($B3701,Config!$B$9:$B$29,0))="Contrato",IF(INDEX(Config!$E$9:$E$29,MATCH($B3701,Config!$B$9:$B$29,0))="","",INDEX(Config!$E$9:$E$29,MATCH($B3701,Config!$B$9:$B$29,0))),""),""))</f>
        <v/>
      </c>
      <c r="AC3701" s="19" t="str">
        <f>IF($B3701="","",IFERROR(INDEX(Config!$D$9:$D$29,MATCH($B3701,Config!$B$9:$B$29,0))&amp;"",""))</f>
        <v/>
      </c>
    </row>
    <row r="3702">
      <c r="R3702" s="20" t="str">
        <f>IF($B3702="","",IFERROR(IF(INDEX(Config!$D$9:$D$29,MATCH($B3702,Config!$B$9:$B$29,0))="Contrato",IF(INDEX(Config!$E$9:$E$29,MATCH($B3702,Config!$B$9:$B$29,0))="","",INDEX(Config!$E$9:$E$29,MATCH($B3702,Config!$B$9:$B$29,0))),""),""))</f>
        <v/>
      </c>
      <c r="AC3702" s="19" t="str">
        <f>IF($B3702="","",IFERROR(INDEX(Config!$D$9:$D$29,MATCH($B3702,Config!$B$9:$B$29,0))&amp;"",""))</f>
        <v/>
      </c>
    </row>
    <row r="3703">
      <c r="R3703" s="20" t="str">
        <f>IF($B3703="","",IFERROR(IF(INDEX(Config!$D$9:$D$29,MATCH($B3703,Config!$B$9:$B$29,0))="Contrato",IF(INDEX(Config!$E$9:$E$29,MATCH($B3703,Config!$B$9:$B$29,0))="","",INDEX(Config!$E$9:$E$29,MATCH($B3703,Config!$B$9:$B$29,0))),""),""))</f>
        <v/>
      </c>
      <c r="AC3703" s="19" t="str">
        <f>IF($B3703="","",IFERROR(INDEX(Config!$D$9:$D$29,MATCH($B3703,Config!$B$9:$B$29,0))&amp;"",""))</f>
        <v/>
      </c>
    </row>
    <row r="3704">
      <c r="R3704" s="20" t="str">
        <f>IF($B3704="","",IFERROR(IF(INDEX(Config!$D$9:$D$29,MATCH($B3704,Config!$B$9:$B$29,0))="Contrato",IF(INDEX(Config!$E$9:$E$29,MATCH($B3704,Config!$B$9:$B$29,0))="","",INDEX(Config!$E$9:$E$29,MATCH($B3704,Config!$B$9:$B$29,0))),""),""))</f>
        <v/>
      </c>
      <c r="AC3704" s="19" t="str">
        <f>IF($B3704="","",IFERROR(INDEX(Config!$D$9:$D$29,MATCH($B3704,Config!$B$9:$B$29,0))&amp;"",""))</f>
        <v/>
      </c>
    </row>
    <row r="3705">
      <c r="R3705" s="20" t="str">
        <f>IF($B3705="","",IFERROR(IF(INDEX(Config!$D$9:$D$29,MATCH($B3705,Config!$B$9:$B$29,0))="Contrato",IF(INDEX(Config!$E$9:$E$29,MATCH($B3705,Config!$B$9:$B$29,0))="","",INDEX(Config!$E$9:$E$29,MATCH($B3705,Config!$B$9:$B$29,0))),""),""))</f>
        <v/>
      </c>
      <c r="AC3705" s="19" t="str">
        <f>IF($B3705="","",IFERROR(INDEX(Config!$D$9:$D$29,MATCH($B3705,Config!$B$9:$B$29,0))&amp;"",""))</f>
        <v/>
      </c>
    </row>
    <row r="3706">
      <c r="R3706" s="20" t="str">
        <f>IF($B3706="","",IFERROR(IF(INDEX(Config!$D$9:$D$29,MATCH($B3706,Config!$B$9:$B$29,0))="Contrato",IF(INDEX(Config!$E$9:$E$29,MATCH($B3706,Config!$B$9:$B$29,0))="","",INDEX(Config!$E$9:$E$29,MATCH($B3706,Config!$B$9:$B$29,0))),""),""))</f>
        <v/>
      </c>
      <c r="AC3706" s="19" t="str">
        <f>IF($B3706="","",IFERROR(INDEX(Config!$D$9:$D$29,MATCH($B3706,Config!$B$9:$B$29,0))&amp;"",""))</f>
        <v/>
      </c>
    </row>
    <row r="3707">
      <c r="R3707" s="20" t="str">
        <f>IF($B3707="","",IFERROR(IF(INDEX(Config!$D$9:$D$29,MATCH($B3707,Config!$B$9:$B$29,0))="Contrato",IF(INDEX(Config!$E$9:$E$29,MATCH($B3707,Config!$B$9:$B$29,0))="","",INDEX(Config!$E$9:$E$29,MATCH($B3707,Config!$B$9:$B$29,0))),""),""))</f>
        <v/>
      </c>
      <c r="AC3707" s="19" t="str">
        <f>IF($B3707="","",IFERROR(INDEX(Config!$D$9:$D$29,MATCH($B3707,Config!$B$9:$B$29,0))&amp;"",""))</f>
        <v/>
      </c>
    </row>
    <row r="3708">
      <c r="R3708" s="20" t="str">
        <f>IF($B3708="","",IFERROR(IF(INDEX(Config!$D$9:$D$29,MATCH($B3708,Config!$B$9:$B$29,0))="Contrato",IF(INDEX(Config!$E$9:$E$29,MATCH($B3708,Config!$B$9:$B$29,0))="","",INDEX(Config!$E$9:$E$29,MATCH($B3708,Config!$B$9:$B$29,0))),""),""))</f>
        <v/>
      </c>
      <c r="AC3708" s="19" t="str">
        <f>IF($B3708="","",IFERROR(INDEX(Config!$D$9:$D$29,MATCH($B3708,Config!$B$9:$B$29,0))&amp;"",""))</f>
        <v/>
      </c>
    </row>
    <row r="3709">
      <c r="R3709" s="20" t="str">
        <f>IF($B3709="","",IFERROR(IF(INDEX(Config!$D$9:$D$29,MATCH($B3709,Config!$B$9:$B$29,0))="Contrato",IF(INDEX(Config!$E$9:$E$29,MATCH($B3709,Config!$B$9:$B$29,0))="","",INDEX(Config!$E$9:$E$29,MATCH($B3709,Config!$B$9:$B$29,0))),""),""))</f>
        <v/>
      </c>
      <c r="AC3709" s="19" t="str">
        <f>IF($B3709="","",IFERROR(INDEX(Config!$D$9:$D$29,MATCH($B3709,Config!$B$9:$B$29,0))&amp;"",""))</f>
        <v/>
      </c>
    </row>
    <row r="3710">
      <c r="R3710" s="20" t="str">
        <f>IF($B3710="","",IFERROR(IF(INDEX(Config!$D$9:$D$29,MATCH($B3710,Config!$B$9:$B$29,0))="Contrato",IF(INDEX(Config!$E$9:$E$29,MATCH($B3710,Config!$B$9:$B$29,0))="","",INDEX(Config!$E$9:$E$29,MATCH($B3710,Config!$B$9:$B$29,0))),""),""))</f>
        <v/>
      </c>
      <c r="AC3710" s="19" t="str">
        <f>IF($B3710="","",IFERROR(INDEX(Config!$D$9:$D$29,MATCH($B3710,Config!$B$9:$B$29,0))&amp;"",""))</f>
        <v/>
      </c>
    </row>
    <row r="3711">
      <c r="R3711" s="20" t="str">
        <f>IF($B3711="","",IFERROR(IF(INDEX(Config!$D$9:$D$29,MATCH($B3711,Config!$B$9:$B$29,0))="Contrato",IF(INDEX(Config!$E$9:$E$29,MATCH($B3711,Config!$B$9:$B$29,0))="","",INDEX(Config!$E$9:$E$29,MATCH($B3711,Config!$B$9:$B$29,0))),""),""))</f>
        <v/>
      </c>
      <c r="AC3711" s="19" t="str">
        <f>IF($B3711="","",IFERROR(INDEX(Config!$D$9:$D$29,MATCH($B3711,Config!$B$9:$B$29,0))&amp;"",""))</f>
        <v/>
      </c>
    </row>
    <row r="3712">
      <c r="R3712" s="20" t="str">
        <f>IF($B3712="","",IFERROR(IF(INDEX(Config!$D$9:$D$29,MATCH($B3712,Config!$B$9:$B$29,0))="Contrato",IF(INDEX(Config!$E$9:$E$29,MATCH($B3712,Config!$B$9:$B$29,0))="","",INDEX(Config!$E$9:$E$29,MATCH($B3712,Config!$B$9:$B$29,0))),""),""))</f>
        <v/>
      </c>
      <c r="AC3712" s="19" t="str">
        <f>IF($B3712="","",IFERROR(INDEX(Config!$D$9:$D$29,MATCH($B3712,Config!$B$9:$B$29,0))&amp;"",""))</f>
        <v/>
      </c>
    </row>
    <row r="3713">
      <c r="R3713" s="20" t="str">
        <f>IF($B3713="","",IFERROR(IF(INDEX(Config!$D$9:$D$29,MATCH($B3713,Config!$B$9:$B$29,0))="Contrato",IF(INDEX(Config!$E$9:$E$29,MATCH($B3713,Config!$B$9:$B$29,0))="","",INDEX(Config!$E$9:$E$29,MATCH($B3713,Config!$B$9:$B$29,0))),""),""))</f>
        <v/>
      </c>
      <c r="AC3713" s="19" t="str">
        <f>IF($B3713="","",IFERROR(INDEX(Config!$D$9:$D$29,MATCH($B3713,Config!$B$9:$B$29,0))&amp;"",""))</f>
        <v/>
      </c>
    </row>
    <row r="3714">
      <c r="R3714" s="20" t="str">
        <f>IF($B3714="","",IFERROR(IF(INDEX(Config!$D$9:$D$29,MATCH($B3714,Config!$B$9:$B$29,0))="Contrato",IF(INDEX(Config!$E$9:$E$29,MATCH($B3714,Config!$B$9:$B$29,0))="","",INDEX(Config!$E$9:$E$29,MATCH($B3714,Config!$B$9:$B$29,0))),""),""))</f>
        <v/>
      </c>
      <c r="AC3714" s="19" t="str">
        <f>IF($B3714="","",IFERROR(INDEX(Config!$D$9:$D$29,MATCH($B3714,Config!$B$9:$B$29,0))&amp;"",""))</f>
        <v/>
      </c>
    </row>
    <row r="3715">
      <c r="R3715" s="20" t="str">
        <f>IF($B3715="","",IFERROR(IF(INDEX(Config!$D$9:$D$29,MATCH($B3715,Config!$B$9:$B$29,0))="Contrato",IF(INDEX(Config!$E$9:$E$29,MATCH($B3715,Config!$B$9:$B$29,0))="","",INDEX(Config!$E$9:$E$29,MATCH($B3715,Config!$B$9:$B$29,0))),""),""))</f>
        <v/>
      </c>
      <c r="AC3715" s="19" t="str">
        <f>IF($B3715="","",IFERROR(INDEX(Config!$D$9:$D$29,MATCH($B3715,Config!$B$9:$B$29,0))&amp;"",""))</f>
        <v/>
      </c>
    </row>
    <row r="3716">
      <c r="R3716" s="20" t="str">
        <f>IF($B3716="","",IFERROR(IF(INDEX(Config!$D$9:$D$29,MATCH($B3716,Config!$B$9:$B$29,0))="Contrato",IF(INDEX(Config!$E$9:$E$29,MATCH($B3716,Config!$B$9:$B$29,0))="","",INDEX(Config!$E$9:$E$29,MATCH($B3716,Config!$B$9:$B$29,0))),""),""))</f>
        <v/>
      </c>
      <c r="AC3716" s="19" t="str">
        <f>IF($B3716="","",IFERROR(INDEX(Config!$D$9:$D$29,MATCH($B3716,Config!$B$9:$B$29,0))&amp;"",""))</f>
        <v/>
      </c>
    </row>
    <row r="3717">
      <c r="R3717" s="20" t="str">
        <f>IF($B3717="","",IFERROR(IF(INDEX(Config!$D$9:$D$29,MATCH($B3717,Config!$B$9:$B$29,0))="Contrato",IF(INDEX(Config!$E$9:$E$29,MATCH($B3717,Config!$B$9:$B$29,0))="","",INDEX(Config!$E$9:$E$29,MATCH($B3717,Config!$B$9:$B$29,0))),""),""))</f>
        <v/>
      </c>
      <c r="AC3717" s="19" t="str">
        <f>IF($B3717="","",IFERROR(INDEX(Config!$D$9:$D$29,MATCH($B3717,Config!$B$9:$B$29,0))&amp;"",""))</f>
        <v/>
      </c>
    </row>
    <row r="3718">
      <c r="R3718" s="20" t="str">
        <f>IF($B3718="","",IFERROR(IF(INDEX(Config!$D$9:$D$29,MATCH($B3718,Config!$B$9:$B$29,0))="Contrato",IF(INDEX(Config!$E$9:$E$29,MATCH($B3718,Config!$B$9:$B$29,0))="","",INDEX(Config!$E$9:$E$29,MATCH($B3718,Config!$B$9:$B$29,0))),""),""))</f>
        <v/>
      </c>
      <c r="AC3718" s="19" t="str">
        <f>IF($B3718="","",IFERROR(INDEX(Config!$D$9:$D$29,MATCH($B3718,Config!$B$9:$B$29,0))&amp;"",""))</f>
        <v/>
      </c>
    </row>
    <row r="3719">
      <c r="R3719" s="20" t="str">
        <f>IF($B3719="","",IFERROR(IF(INDEX(Config!$D$9:$D$29,MATCH($B3719,Config!$B$9:$B$29,0))="Contrato",IF(INDEX(Config!$E$9:$E$29,MATCH($B3719,Config!$B$9:$B$29,0))="","",INDEX(Config!$E$9:$E$29,MATCH($B3719,Config!$B$9:$B$29,0))),""),""))</f>
        <v/>
      </c>
      <c r="AC3719" s="19" t="str">
        <f>IF($B3719="","",IFERROR(INDEX(Config!$D$9:$D$29,MATCH($B3719,Config!$B$9:$B$29,0))&amp;"",""))</f>
        <v/>
      </c>
    </row>
    <row r="3720">
      <c r="R3720" s="20" t="str">
        <f>IF($B3720="","",IFERROR(IF(INDEX(Config!$D$9:$D$29,MATCH($B3720,Config!$B$9:$B$29,0))="Contrato",IF(INDEX(Config!$E$9:$E$29,MATCH($B3720,Config!$B$9:$B$29,0))="","",INDEX(Config!$E$9:$E$29,MATCH($B3720,Config!$B$9:$B$29,0))),""),""))</f>
        <v/>
      </c>
      <c r="AC3720" s="19" t="str">
        <f>IF($B3720="","",IFERROR(INDEX(Config!$D$9:$D$29,MATCH($B3720,Config!$B$9:$B$29,0))&amp;"",""))</f>
        <v/>
      </c>
    </row>
    <row r="3721">
      <c r="R3721" s="20" t="str">
        <f>IF($B3721="","",IFERROR(IF(INDEX(Config!$D$9:$D$29,MATCH($B3721,Config!$B$9:$B$29,0))="Contrato",IF(INDEX(Config!$E$9:$E$29,MATCH($B3721,Config!$B$9:$B$29,0))="","",INDEX(Config!$E$9:$E$29,MATCH($B3721,Config!$B$9:$B$29,0))),""),""))</f>
        <v/>
      </c>
      <c r="AC3721" s="19" t="str">
        <f>IF($B3721="","",IFERROR(INDEX(Config!$D$9:$D$29,MATCH($B3721,Config!$B$9:$B$29,0))&amp;"",""))</f>
        <v/>
      </c>
    </row>
    <row r="3722">
      <c r="R3722" s="20" t="str">
        <f>IF($B3722="","",IFERROR(IF(INDEX(Config!$D$9:$D$29,MATCH($B3722,Config!$B$9:$B$29,0))="Contrato",IF(INDEX(Config!$E$9:$E$29,MATCH($B3722,Config!$B$9:$B$29,0))="","",INDEX(Config!$E$9:$E$29,MATCH($B3722,Config!$B$9:$B$29,0))),""),""))</f>
        <v/>
      </c>
      <c r="AC3722" s="19" t="str">
        <f>IF($B3722="","",IFERROR(INDEX(Config!$D$9:$D$29,MATCH($B3722,Config!$B$9:$B$29,0))&amp;"",""))</f>
        <v/>
      </c>
    </row>
    <row r="3723">
      <c r="R3723" s="20" t="str">
        <f>IF($B3723="","",IFERROR(IF(INDEX(Config!$D$9:$D$29,MATCH($B3723,Config!$B$9:$B$29,0))="Contrato",IF(INDEX(Config!$E$9:$E$29,MATCH($B3723,Config!$B$9:$B$29,0))="","",INDEX(Config!$E$9:$E$29,MATCH($B3723,Config!$B$9:$B$29,0))),""),""))</f>
        <v/>
      </c>
      <c r="AC3723" s="19" t="str">
        <f>IF($B3723="","",IFERROR(INDEX(Config!$D$9:$D$29,MATCH($B3723,Config!$B$9:$B$29,0))&amp;"",""))</f>
        <v/>
      </c>
    </row>
    <row r="3724">
      <c r="R3724" s="20" t="str">
        <f>IF($B3724="","",IFERROR(IF(INDEX(Config!$D$9:$D$29,MATCH($B3724,Config!$B$9:$B$29,0))="Contrato",IF(INDEX(Config!$E$9:$E$29,MATCH($B3724,Config!$B$9:$B$29,0))="","",INDEX(Config!$E$9:$E$29,MATCH($B3724,Config!$B$9:$B$29,0))),""),""))</f>
        <v/>
      </c>
      <c r="AC3724" s="19" t="str">
        <f>IF($B3724="","",IFERROR(INDEX(Config!$D$9:$D$29,MATCH($B3724,Config!$B$9:$B$29,0))&amp;"",""))</f>
        <v/>
      </c>
    </row>
    <row r="3725">
      <c r="R3725" s="20" t="str">
        <f>IF($B3725="","",IFERROR(IF(INDEX(Config!$D$9:$D$29,MATCH($B3725,Config!$B$9:$B$29,0))="Contrato",IF(INDEX(Config!$E$9:$E$29,MATCH($B3725,Config!$B$9:$B$29,0))="","",INDEX(Config!$E$9:$E$29,MATCH($B3725,Config!$B$9:$B$29,0))),""),""))</f>
        <v/>
      </c>
      <c r="AC3725" s="19" t="str">
        <f>IF($B3725="","",IFERROR(INDEX(Config!$D$9:$D$29,MATCH($B3725,Config!$B$9:$B$29,0))&amp;"",""))</f>
        <v/>
      </c>
    </row>
    <row r="3726">
      <c r="R3726" s="20" t="str">
        <f>IF($B3726="","",IFERROR(IF(INDEX(Config!$D$9:$D$29,MATCH($B3726,Config!$B$9:$B$29,0))="Contrato",IF(INDEX(Config!$E$9:$E$29,MATCH($B3726,Config!$B$9:$B$29,0))="","",INDEX(Config!$E$9:$E$29,MATCH($B3726,Config!$B$9:$B$29,0))),""),""))</f>
        <v/>
      </c>
      <c r="AC3726" s="19" t="str">
        <f>IF($B3726="","",IFERROR(INDEX(Config!$D$9:$D$29,MATCH($B3726,Config!$B$9:$B$29,0))&amp;"",""))</f>
        <v/>
      </c>
    </row>
    <row r="3727">
      <c r="R3727" s="20" t="str">
        <f>IF($B3727="","",IFERROR(IF(INDEX(Config!$D$9:$D$29,MATCH($B3727,Config!$B$9:$B$29,0))="Contrato",IF(INDEX(Config!$E$9:$E$29,MATCH($B3727,Config!$B$9:$B$29,0))="","",INDEX(Config!$E$9:$E$29,MATCH($B3727,Config!$B$9:$B$29,0))),""),""))</f>
        <v/>
      </c>
      <c r="AC3727" s="19" t="str">
        <f>IF($B3727="","",IFERROR(INDEX(Config!$D$9:$D$29,MATCH($B3727,Config!$B$9:$B$29,0))&amp;"",""))</f>
        <v/>
      </c>
    </row>
    <row r="3728">
      <c r="R3728" s="20" t="str">
        <f>IF($B3728="","",IFERROR(IF(INDEX(Config!$D$9:$D$29,MATCH($B3728,Config!$B$9:$B$29,0))="Contrato",IF(INDEX(Config!$E$9:$E$29,MATCH($B3728,Config!$B$9:$B$29,0))="","",INDEX(Config!$E$9:$E$29,MATCH($B3728,Config!$B$9:$B$29,0))),""),""))</f>
        <v/>
      </c>
      <c r="AC3728" s="19" t="str">
        <f>IF($B3728="","",IFERROR(INDEX(Config!$D$9:$D$29,MATCH($B3728,Config!$B$9:$B$29,0))&amp;"",""))</f>
        <v/>
      </c>
    </row>
    <row r="3729">
      <c r="R3729" s="20" t="str">
        <f>IF($B3729="","",IFERROR(IF(INDEX(Config!$D$9:$D$29,MATCH($B3729,Config!$B$9:$B$29,0))="Contrato",IF(INDEX(Config!$E$9:$E$29,MATCH($B3729,Config!$B$9:$B$29,0))="","",INDEX(Config!$E$9:$E$29,MATCH($B3729,Config!$B$9:$B$29,0))),""),""))</f>
        <v/>
      </c>
      <c r="AC3729" s="19" t="str">
        <f>IF($B3729="","",IFERROR(INDEX(Config!$D$9:$D$29,MATCH($B3729,Config!$B$9:$B$29,0))&amp;"",""))</f>
        <v/>
      </c>
    </row>
    <row r="3730">
      <c r="R3730" s="20" t="str">
        <f>IF($B3730="","",IFERROR(IF(INDEX(Config!$D$9:$D$29,MATCH($B3730,Config!$B$9:$B$29,0))="Contrato",IF(INDEX(Config!$E$9:$E$29,MATCH($B3730,Config!$B$9:$B$29,0))="","",INDEX(Config!$E$9:$E$29,MATCH($B3730,Config!$B$9:$B$29,0))),""),""))</f>
        <v/>
      </c>
      <c r="AC3730" s="19" t="str">
        <f>IF($B3730="","",IFERROR(INDEX(Config!$D$9:$D$29,MATCH($B3730,Config!$B$9:$B$29,0))&amp;"",""))</f>
        <v/>
      </c>
    </row>
    <row r="3731">
      <c r="R3731" s="20" t="str">
        <f>IF($B3731="","",IFERROR(IF(INDEX(Config!$D$9:$D$29,MATCH($B3731,Config!$B$9:$B$29,0))="Contrato",IF(INDEX(Config!$E$9:$E$29,MATCH($B3731,Config!$B$9:$B$29,0))="","",INDEX(Config!$E$9:$E$29,MATCH($B3731,Config!$B$9:$B$29,0))),""),""))</f>
        <v/>
      </c>
      <c r="AC3731" s="19" t="str">
        <f>IF($B3731="","",IFERROR(INDEX(Config!$D$9:$D$29,MATCH($B3731,Config!$B$9:$B$29,0))&amp;"",""))</f>
        <v/>
      </c>
    </row>
    <row r="3732">
      <c r="R3732" s="20" t="str">
        <f>IF($B3732="","",IFERROR(IF(INDEX(Config!$D$9:$D$29,MATCH($B3732,Config!$B$9:$B$29,0))="Contrato",IF(INDEX(Config!$E$9:$E$29,MATCH($B3732,Config!$B$9:$B$29,0))="","",INDEX(Config!$E$9:$E$29,MATCH($B3732,Config!$B$9:$B$29,0))),""),""))</f>
        <v/>
      </c>
      <c r="AC3732" s="19" t="str">
        <f>IF($B3732="","",IFERROR(INDEX(Config!$D$9:$D$29,MATCH($B3732,Config!$B$9:$B$29,0))&amp;"",""))</f>
        <v/>
      </c>
    </row>
    <row r="3733">
      <c r="R3733" s="20" t="str">
        <f>IF($B3733="","",IFERROR(IF(INDEX(Config!$D$9:$D$29,MATCH($B3733,Config!$B$9:$B$29,0))="Contrato",IF(INDEX(Config!$E$9:$E$29,MATCH($B3733,Config!$B$9:$B$29,0))="","",INDEX(Config!$E$9:$E$29,MATCH($B3733,Config!$B$9:$B$29,0))),""),""))</f>
        <v/>
      </c>
      <c r="AC3733" s="19" t="str">
        <f>IF($B3733="","",IFERROR(INDEX(Config!$D$9:$D$29,MATCH($B3733,Config!$B$9:$B$29,0))&amp;"",""))</f>
        <v/>
      </c>
    </row>
    <row r="3734">
      <c r="R3734" s="20" t="str">
        <f>IF($B3734="","",IFERROR(IF(INDEX(Config!$D$9:$D$29,MATCH($B3734,Config!$B$9:$B$29,0))="Contrato",IF(INDEX(Config!$E$9:$E$29,MATCH($B3734,Config!$B$9:$B$29,0))="","",INDEX(Config!$E$9:$E$29,MATCH($B3734,Config!$B$9:$B$29,0))),""),""))</f>
        <v/>
      </c>
      <c r="AC3734" s="19" t="str">
        <f>IF($B3734="","",IFERROR(INDEX(Config!$D$9:$D$29,MATCH($B3734,Config!$B$9:$B$29,0))&amp;"",""))</f>
        <v/>
      </c>
    </row>
    <row r="3735">
      <c r="R3735" s="20" t="str">
        <f>IF($B3735="","",IFERROR(IF(INDEX(Config!$D$9:$D$29,MATCH($B3735,Config!$B$9:$B$29,0))="Contrato",IF(INDEX(Config!$E$9:$E$29,MATCH($B3735,Config!$B$9:$B$29,0))="","",INDEX(Config!$E$9:$E$29,MATCH($B3735,Config!$B$9:$B$29,0))),""),""))</f>
        <v/>
      </c>
      <c r="AC3735" s="19" t="str">
        <f>IF($B3735="","",IFERROR(INDEX(Config!$D$9:$D$29,MATCH($B3735,Config!$B$9:$B$29,0))&amp;"",""))</f>
        <v/>
      </c>
    </row>
    <row r="3736">
      <c r="R3736" s="20" t="str">
        <f>IF($B3736="","",IFERROR(IF(INDEX(Config!$D$9:$D$29,MATCH($B3736,Config!$B$9:$B$29,0))="Contrato",IF(INDEX(Config!$E$9:$E$29,MATCH($B3736,Config!$B$9:$B$29,0))="","",INDEX(Config!$E$9:$E$29,MATCH($B3736,Config!$B$9:$B$29,0))),""),""))</f>
        <v/>
      </c>
      <c r="AC3736" s="19" t="str">
        <f>IF($B3736="","",IFERROR(INDEX(Config!$D$9:$D$29,MATCH($B3736,Config!$B$9:$B$29,0))&amp;"",""))</f>
        <v/>
      </c>
    </row>
    <row r="3737">
      <c r="R3737" s="20" t="str">
        <f>IF($B3737="","",IFERROR(IF(INDEX(Config!$D$9:$D$29,MATCH($B3737,Config!$B$9:$B$29,0))="Contrato",IF(INDEX(Config!$E$9:$E$29,MATCH($B3737,Config!$B$9:$B$29,0))="","",INDEX(Config!$E$9:$E$29,MATCH($B3737,Config!$B$9:$B$29,0))),""),""))</f>
        <v/>
      </c>
      <c r="AC3737" s="19" t="str">
        <f>IF($B3737="","",IFERROR(INDEX(Config!$D$9:$D$29,MATCH($B3737,Config!$B$9:$B$29,0))&amp;"",""))</f>
        <v/>
      </c>
    </row>
    <row r="3738">
      <c r="R3738" s="20" t="str">
        <f>IF($B3738="","",IFERROR(IF(INDEX(Config!$D$9:$D$29,MATCH($B3738,Config!$B$9:$B$29,0))="Contrato",IF(INDEX(Config!$E$9:$E$29,MATCH($B3738,Config!$B$9:$B$29,0))="","",INDEX(Config!$E$9:$E$29,MATCH($B3738,Config!$B$9:$B$29,0))),""),""))</f>
        <v/>
      </c>
      <c r="AC3738" s="19" t="str">
        <f>IF($B3738="","",IFERROR(INDEX(Config!$D$9:$D$29,MATCH($B3738,Config!$B$9:$B$29,0))&amp;"",""))</f>
        <v/>
      </c>
    </row>
    <row r="3739">
      <c r="R3739" s="20" t="str">
        <f>IF($B3739="","",IFERROR(IF(INDEX(Config!$D$9:$D$29,MATCH($B3739,Config!$B$9:$B$29,0))="Contrato",IF(INDEX(Config!$E$9:$E$29,MATCH($B3739,Config!$B$9:$B$29,0))="","",INDEX(Config!$E$9:$E$29,MATCH($B3739,Config!$B$9:$B$29,0))),""),""))</f>
        <v/>
      </c>
      <c r="AC3739" s="19" t="str">
        <f>IF($B3739="","",IFERROR(INDEX(Config!$D$9:$D$29,MATCH($B3739,Config!$B$9:$B$29,0))&amp;"",""))</f>
        <v/>
      </c>
    </row>
    <row r="3740">
      <c r="R3740" s="20" t="str">
        <f>IF($B3740="","",IFERROR(IF(INDEX(Config!$D$9:$D$29,MATCH($B3740,Config!$B$9:$B$29,0))="Contrato",IF(INDEX(Config!$E$9:$E$29,MATCH($B3740,Config!$B$9:$B$29,0))="","",INDEX(Config!$E$9:$E$29,MATCH($B3740,Config!$B$9:$B$29,0))),""),""))</f>
        <v/>
      </c>
      <c r="AC3740" s="19" t="str">
        <f>IF($B3740="","",IFERROR(INDEX(Config!$D$9:$D$29,MATCH($B3740,Config!$B$9:$B$29,0))&amp;"",""))</f>
        <v/>
      </c>
    </row>
    <row r="3741">
      <c r="R3741" s="20" t="str">
        <f>IF($B3741="","",IFERROR(IF(INDEX(Config!$D$9:$D$29,MATCH($B3741,Config!$B$9:$B$29,0))="Contrato",IF(INDEX(Config!$E$9:$E$29,MATCH($B3741,Config!$B$9:$B$29,0))="","",INDEX(Config!$E$9:$E$29,MATCH($B3741,Config!$B$9:$B$29,0))),""),""))</f>
        <v/>
      </c>
      <c r="AC3741" s="19" t="str">
        <f>IF($B3741="","",IFERROR(INDEX(Config!$D$9:$D$29,MATCH($B3741,Config!$B$9:$B$29,0))&amp;"",""))</f>
        <v/>
      </c>
    </row>
    <row r="3742">
      <c r="R3742" s="20" t="str">
        <f>IF($B3742="","",IFERROR(IF(INDEX(Config!$D$9:$D$29,MATCH($B3742,Config!$B$9:$B$29,0))="Contrato",IF(INDEX(Config!$E$9:$E$29,MATCH($B3742,Config!$B$9:$B$29,0))="","",INDEX(Config!$E$9:$E$29,MATCH($B3742,Config!$B$9:$B$29,0))),""),""))</f>
        <v/>
      </c>
      <c r="AC3742" s="19" t="str">
        <f>IF($B3742="","",IFERROR(INDEX(Config!$D$9:$D$29,MATCH($B3742,Config!$B$9:$B$29,0))&amp;"",""))</f>
        <v/>
      </c>
    </row>
    <row r="3743">
      <c r="R3743" s="20" t="str">
        <f>IF($B3743="","",IFERROR(IF(INDEX(Config!$D$9:$D$29,MATCH($B3743,Config!$B$9:$B$29,0))="Contrato",IF(INDEX(Config!$E$9:$E$29,MATCH($B3743,Config!$B$9:$B$29,0))="","",INDEX(Config!$E$9:$E$29,MATCH($B3743,Config!$B$9:$B$29,0))),""),""))</f>
        <v/>
      </c>
      <c r="AC3743" s="19" t="str">
        <f>IF($B3743="","",IFERROR(INDEX(Config!$D$9:$D$29,MATCH($B3743,Config!$B$9:$B$29,0))&amp;"",""))</f>
        <v/>
      </c>
    </row>
    <row r="3744">
      <c r="R3744" s="20" t="str">
        <f>IF($B3744="","",IFERROR(IF(INDEX(Config!$D$9:$D$29,MATCH($B3744,Config!$B$9:$B$29,0))="Contrato",IF(INDEX(Config!$E$9:$E$29,MATCH($B3744,Config!$B$9:$B$29,0))="","",INDEX(Config!$E$9:$E$29,MATCH($B3744,Config!$B$9:$B$29,0))),""),""))</f>
        <v/>
      </c>
      <c r="AC3744" s="19" t="str">
        <f>IF($B3744="","",IFERROR(INDEX(Config!$D$9:$D$29,MATCH($B3744,Config!$B$9:$B$29,0))&amp;"",""))</f>
        <v/>
      </c>
    </row>
    <row r="3745">
      <c r="R3745" s="20" t="str">
        <f>IF($B3745="","",IFERROR(IF(INDEX(Config!$D$9:$D$29,MATCH($B3745,Config!$B$9:$B$29,0))="Contrato",IF(INDEX(Config!$E$9:$E$29,MATCH($B3745,Config!$B$9:$B$29,0))="","",INDEX(Config!$E$9:$E$29,MATCH($B3745,Config!$B$9:$B$29,0))),""),""))</f>
        <v/>
      </c>
      <c r="AC3745" s="19" t="str">
        <f>IF($B3745="","",IFERROR(INDEX(Config!$D$9:$D$29,MATCH($B3745,Config!$B$9:$B$29,0))&amp;"",""))</f>
        <v/>
      </c>
    </row>
    <row r="3746">
      <c r="R3746" s="20" t="str">
        <f>IF($B3746="","",IFERROR(IF(INDEX(Config!$D$9:$D$29,MATCH($B3746,Config!$B$9:$B$29,0))="Contrato",IF(INDEX(Config!$E$9:$E$29,MATCH($B3746,Config!$B$9:$B$29,0))="","",INDEX(Config!$E$9:$E$29,MATCH($B3746,Config!$B$9:$B$29,0))),""),""))</f>
        <v/>
      </c>
      <c r="AC3746" s="19" t="str">
        <f>IF($B3746="","",IFERROR(INDEX(Config!$D$9:$D$29,MATCH($B3746,Config!$B$9:$B$29,0))&amp;"",""))</f>
        <v/>
      </c>
    </row>
    <row r="3747">
      <c r="R3747" s="20" t="str">
        <f>IF($B3747="","",IFERROR(IF(INDEX(Config!$D$9:$D$29,MATCH($B3747,Config!$B$9:$B$29,0))="Contrato",IF(INDEX(Config!$E$9:$E$29,MATCH($B3747,Config!$B$9:$B$29,0))="","",INDEX(Config!$E$9:$E$29,MATCH($B3747,Config!$B$9:$B$29,0))),""),""))</f>
        <v/>
      </c>
      <c r="AC3747" s="19" t="str">
        <f>IF($B3747="","",IFERROR(INDEX(Config!$D$9:$D$29,MATCH($B3747,Config!$B$9:$B$29,0))&amp;"",""))</f>
        <v/>
      </c>
    </row>
    <row r="3748">
      <c r="R3748" s="20" t="str">
        <f>IF($B3748="","",IFERROR(IF(INDEX(Config!$D$9:$D$29,MATCH($B3748,Config!$B$9:$B$29,0))="Contrato",IF(INDEX(Config!$E$9:$E$29,MATCH($B3748,Config!$B$9:$B$29,0))="","",INDEX(Config!$E$9:$E$29,MATCH($B3748,Config!$B$9:$B$29,0))),""),""))</f>
        <v/>
      </c>
      <c r="AC3748" s="19" t="str">
        <f>IF($B3748="","",IFERROR(INDEX(Config!$D$9:$D$29,MATCH($B3748,Config!$B$9:$B$29,0))&amp;"",""))</f>
        <v/>
      </c>
    </row>
    <row r="3749">
      <c r="R3749" s="20" t="str">
        <f>IF($B3749="","",IFERROR(IF(INDEX(Config!$D$9:$D$29,MATCH($B3749,Config!$B$9:$B$29,0))="Contrato",IF(INDEX(Config!$E$9:$E$29,MATCH($B3749,Config!$B$9:$B$29,0))="","",INDEX(Config!$E$9:$E$29,MATCH($B3749,Config!$B$9:$B$29,0))),""),""))</f>
        <v/>
      </c>
      <c r="AC3749" s="19" t="str">
        <f>IF($B3749="","",IFERROR(INDEX(Config!$D$9:$D$29,MATCH($B3749,Config!$B$9:$B$29,0))&amp;"",""))</f>
        <v/>
      </c>
    </row>
    <row r="3750">
      <c r="R3750" s="20" t="str">
        <f>IF($B3750="","",IFERROR(IF(INDEX(Config!$D$9:$D$29,MATCH($B3750,Config!$B$9:$B$29,0))="Contrato",IF(INDEX(Config!$E$9:$E$29,MATCH($B3750,Config!$B$9:$B$29,0))="","",INDEX(Config!$E$9:$E$29,MATCH($B3750,Config!$B$9:$B$29,0))),""),""))</f>
        <v/>
      </c>
      <c r="AC3750" s="19" t="str">
        <f>IF($B3750="","",IFERROR(INDEX(Config!$D$9:$D$29,MATCH($B3750,Config!$B$9:$B$29,0))&amp;"",""))</f>
        <v/>
      </c>
    </row>
    <row r="3751">
      <c r="R3751" s="20" t="str">
        <f>IF($B3751="","",IFERROR(IF(INDEX(Config!$D$9:$D$29,MATCH($B3751,Config!$B$9:$B$29,0))="Contrato",IF(INDEX(Config!$E$9:$E$29,MATCH($B3751,Config!$B$9:$B$29,0))="","",INDEX(Config!$E$9:$E$29,MATCH($B3751,Config!$B$9:$B$29,0))),""),""))</f>
        <v/>
      </c>
      <c r="AC3751" s="19" t="str">
        <f>IF($B3751="","",IFERROR(INDEX(Config!$D$9:$D$29,MATCH($B3751,Config!$B$9:$B$29,0))&amp;"",""))</f>
        <v/>
      </c>
    </row>
    <row r="3752">
      <c r="R3752" s="20" t="str">
        <f>IF($B3752="","",IFERROR(IF(INDEX(Config!$D$9:$D$29,MATCH($B3752,Config!$B$9:$B$29,0))="Contrato",IF(INDEX(Config!$E$9:$E$29,MATCH($B3752,Config!$B$9:$B$29,0))="","",INDEX(Config!$E$9:$E$29,MATCH($B3752,Config!$B$9:$B$29,0))),""),""))</f>
        <v/>
      </c>
      <c r="AC3752" s="19" t="str">
        <f>IF($B3752="","",IFERROR(INDEX(Config!$D$9:$D$29,MATCH($B3752,Config!$B$9:$B$29,0))&amp;"",""))</f>
        <v/>
      </c>
    </row>
    <row r="3753">
      <c r="R3753" s="20" t="str">
        <f>IF($B3753="","",IFERROR(IF(INDEX(Config!$D$9:$D$29,MATCH($B3753,Config!$B$9:$B$29,0))="Contrato",IF(INDEX(Config!$E$9:$E$29,MATCH($B3753,Config!$B$9:$B$29,0))="","",INDEX(Config!$E$9:$E$29,MATCH($B3753,Config!$B$9:$B$29,0))),""),""))</f>
        <v/>
      </c>
      <c r="AC3753" s="19" t="str">
        <f>IF($B3753="","",IFERROR(INDEX(Config!$D$9:$D$29,MATCH($B3753,Config!$B$9:$B$29,0))&amp;"",""))</f>
        <v/>
      </c>
    </row>
    <row r="3754">
      <c r="R3754" s="20" t="str">
        <f>IF($B3754="","",IFERROR(IF(INDEX(Config!$D$9:$D$29,MATCH($B3754,Config!$B$9:$B$29,0))="Contrato",IF(INDEX(Config!$E$9:$E$29,MATCH($B3754,Config!$B$9:$B$29,0))="","",INDEX(Config!$E$9:$E$29,MATCH($B3754,Config!$B$9:$B$29,0))),""),""))</f>
        <v/>
      </c>
      <c r="AC3754" s="19" t="str">
        <f>IF($B3754="","",IFERROR(INDEX(Config!$D$9:$D$29,MATCH($B3754,Config!$B$9:$B$29,0))&amp;"",""))</f>
        <v/>
      </c>
    </row>
    <row r="3755">
      <c r="R3755" s="20" t="str">
        <f>IF($B3755="","",IFERROR(IF(INDEX(Config!$D$9:$D$29,MATCH($B3755,Config!$B$9:$B$29,0))="Contrato",IF(INDEX(Config!$E$9:$E$29,MATCH($B3755,Config!$B$9:$B$29,0))="","",INDEX(Config!$E$9:$E$29,MATCH($B3755,Config!$B$9:$B$29,0))),""),""))</f>
        <v/>
      </c>
      <c r="AC3755" s="19" t="str">
        <f>IF($B3755="","",IFERROR(INDEX(Config!$D$9:$D$29,MATCH($B3755,Config!$B$9:$B$29,0))&amp;"",""))</f>
        <v/>
      </c>
    </row>
    <row r="3756">
      <c r="R3756" s="20" t="str">
        <f>IF($B3756="","",IFERROR(IF(INDEX(Config!$D$9:$D$29,MATCH($B3756,Config!$B$9:$B$29,0))="Contrato",IF(INDEX(Config!$E$9:$E$29,MATCH($B3756,Config!$B$9:$B$29,0))="","",INDEX(Config!$E$9:$E$29,MATCH($B3756,Config!$B$9:$B$29,0))),""),""))</f>
        <v/>
      </c>
      <c r="AC3756" s="19" t="str">
        <f>IF($B3756="","",IFERROR(INDEX(Config!$D$9:$D$29,MATCH($B3756,Config!$B$9:$B$29,0))&amp;"",""))</f>
        <v/>
      </c>
    </row>
    <row r="3757">
      <c r="R3757" s="20" t="str">
        <f>IF($B3757="","",IFERROR(IF(INDEX(Config!$D$9:$D$29,MATCH($B3757,Config!$B$9:$B$29,0))="Contrato",IF(INDEX(Config!$E$9:$E$29,MATCH($B3757,Config!$B$9:$B$29,0))="","",INDEX(Config!$E$9:$E$29,MATCH($B3757,Config!$B$9:$B$29,0))),""),""))</f>
        <v/>
      </c>
      <c r="AC3757" s="19" t="str">
        <f>IF($B3757="","",IFERROR(INDEX(Config!$D$9:$D$29,MATCH($B3757,Config!$B$9:$B$29,0))&amp;"",""))</f>
        <v/>
      </c>
    </row>
    <row r="3758">
      <c r="R3758" s="20" t="str">
        <f>IF($B3758="","",IFERROR(IF(INDEX(Config!$D$9:$D$29,MATCH($B3758,Config!$B$9:$B$29,0))="Contrato",IF(INDEX(Config!$E$9:$E$29,MATCH($B3758,Config!$B$9:$B$29,0))="","",INDEX(Config!$E$9:$E$29,MATCH($B3758,Config!$B$9:$B$29,0))),""),""))</f>
        <v/>
      </c>
      <c r="AC3758" s="19" t="str">
        <f>IF($B3758="","",IFERROR(INDEX(Config!$D$9:$D$29,MATCH($B3758,Config!$B$9:$B$29,0))&amp;"",""))</f>
        <v/>
      </c>
    </row>
    <row r="3759">
      <c r="R3759" s="20" t="str">
        <f>IF($B3759="","",IFERROR(IF(INDEX(Config!$D$9:$D$29,MATCH($B3759,Config!$B$9:$B$29,0))="Contrato",IF(INDEX(Config!$E$9:$E$29,MATCH($B3759,Config!$B$9:$B$29,0))="","",INDEX(Config!$E$9:$E$29,MATCH($B3759,Config!$B$9:$B$29,0))),""),""))</f>
        <v/>
      </c>
      <c r="AC3759" s="19" t="str">
        <f>IF($B3759="","",IFERROR(INDEX(Config!$D$9:$D$29,MATCH($B3759,Config!$B$9:$B$29,0))&amp;"",""))</f>
        <v/>
      </c>
    </row>
    <row r="3760">
      <c r="R3760" s="20" t="str">
        <f>IF($B3760="","",IFERROR(IF(INDEX(Config!$D$9:$D$29,MATCH($B3760,Config!$B$9:$B$29,0))="Contrato",IF(INDEX(Config!$E$9:$E$29,MATCH($B3760,Config!$B$9:$B$29,0))="","",INDEX(Config!$E$9:$E$29,MATCH($B3760,Config!$B$9:$B$29,0))),""),""))</f>
        <v/>
      </c>
      <c r="AC3760" s="19" t="str">
        <f>IF($B3760="","",IFERROR(INDEX(Config!$D$9:$D$29,MATCH($B3760,Config!$B$9:$B$29,0))&amp;"",""))</f>
        <v/>
      </c>
    </row>
    <row r="3761">
      <c r="R3761" s="20" t="str">
        <f>IF($B3761="","",IFERROR(IF(INDEX(Config!$D$9:$D$29,MATCH($B3761,Config!$B$9:$B$29,0))="Contrato",IF(INDEX(Config!$E$9:$E$29,MATCH($B3761,Config!$B$9:$B$29,0))="","",INDEX(Config!$E$9:$E$29,MATCH($B3761,Config!$B$9:$B$29,0))),""),""))</f>
        <v/>
      </c>
      <c r="AC3761" s="19" t="str">
        <f>IF($B3761="","",IFERROR(INDEX(Config!$D$9:$D$29,MATCH($B3761,Config!$B$9:$B$29,0))&amp;"",""))</f>
        <v/>
      </c>
    </row>
    <row r="3762">
      <c r="R3762" s="20" t="str">
        <f>IF($B3762="","",IFERROR(IF(INDEX(Config!$D$9:$D$29,MATCH($B3762,Config!$B$9:$B$29,0))="Contrato",IF(INDEX(Config!$E$9:$E$29,MATCH($B3762,Config!$B$9:$B$29,0))="","",INDEX(Config!$E$9:$E$29,MATCH($B3762,Config!$B$9:$B$29,0))),""),""))</f>
        <v/>
      </c>
      <c r="AC3762" s="19" t="str">
        <f>IF($B3762="","",IFERROR(INDEX(Config!$D$9:$D$29,MATCH($B3762,Config!$B$9:$B$29,0))&amp;"",""))</f>
        <v/>
      </c>
    </row>
    <row r="3763">
      <c r="R3763" s="20" t="str">
        <f>IF($B3763="","",IFERROR(IF(INDEX(Config!$D$9:$D$29,MATCH($B3763,Config!$B$9:$B$29,0))="Contrato",IF(INDEX(Config!$E$9:$E$29,MATCH($B3763,Config!$B$9:$B$29,0))="","",INDEX(Config!$E$9:$E$29,MATCH($B3763,Config!$B$9:$B$29,0))),""),""))</f>
        <v/>
      </c>
      <c r="AC3763" s="19" t="str">
        <f>IF($B3763="","",IFERROR(INDEX(Config!$D$9:$D$29,MATCH($B3763,Config!$B$9:$B$29,0))&amp;"",""))</f>
        <v/>
      </c>
    </row>
    <row r="3764">
      <c r="R3764" s="20" t="str">
        <f>IF($B3764="","",IFERROR(IF(INDEX(Config!$D$9:$D$29,MATCH($B3764,Config!$B$9:$B$29,0))="Contrato",IF(INDEX(Config!$E$9:$E$29,MATCH($B3764,Config!$B$9:$B$29,0))="","",INDEX(Config!$E$9:$E$29,MATCH($B3764,Config!$B$9:$B$29,0))),""),""))</f>
        <v/>
      </c>
      <c r="AC3764" s="19" t="str">
        <f>IF($B3764="","",IFERROR(INDEX(Config!$D$9:$D$29,MATCH($B3764,Config!$B$9:$B$29,0))&amp;"",""))</f>
        <v/>
      </c>
    </row>
    <row r="3765">
      <c r="R3765" s="20" t="str">
        <f>IF($B3765="","",IFERROR(IF(INDEX(Config!$D$9:$D$29,MATCH($B3765,Config!$B$9:$B$29,0))="Contrato",IF(INDEX(Config!$E$9:$E$29,MATCH($B3765,Config!$B$9:$B$29,0))="","",INDEX(Config!$E$9:$E$29,MATCH($B3765,Config!$B$9:$B$29,0))),""),""))</f>
        <v/>
      </c>
      <c r="AC3765" s="19" t="str">
        <f>IF($B3765="","",IFERROR(INDEX(Config!$D$9:$D$29,MATCH($B3765,Config!$B$9:$B$29,0))&amp;"",""))</f>
        <v/>
      </c>
    </row>
    <row r="3766">
      <c r="R3766" s="20" t="str">
        <f>IF($B3766="","",IFERROR(IF(INDEX(Config!$D$9:$D$29,MATCH($B3766,Config!$B$9:$B$29,0))="Contrato",IF(INDEX(Config!$E$9:$E$29,MATCH($B3766,Config!$B$9:$B$29,0))="","",INDEX(Config!$E$9:$E$29,MATCH($B3766,Config!$B$9:$B$29,0))),""),""))</f>
        <v/>
      </c>
      <c r="AC3766" s="19" t="str">
        <f>IF($B3766="","",IFERROR(INDEX(Config!$D$9:$D$29,MATCH($B3766,Config!$B$9:$B$29,0))&amp;"",""))</f>
        <v/>
      </c>
    </row>
    <row r="3767">
      <c r="R3767" s="20" t="str">
        <f>IF($B3767="","",IFERROR(IF(INDEX(Config!$D$9:$D$29,MATCH($B3767,Config!$B$9:$B$29,0))="Contrato",IF(INDEX(Config!$E$9:$E$29,MATCH($B3767,Config!$B$9:$B$29,0))="","",INDEX(Config!$E$9:$E$29,MATCH($B3767,Config!$B$9:$B$29,0))),""),""))</f>
        <v/>
      </c>
      <c r="AC3767" s="19" t="str">
        <f>IF($B3767="","",IFERROR(INDEX(Config!$D$9:$D$29,MATCH($B3767,Config!$B$9:$B$29,0))&amp;"",""))</f>
        <v/>
      </c>
    </row>
    <row r="3768">
      <c r="R3768" s="20" t="str">
        <f>IF($B3768="","",IFERROR(IF(INDEX(Config!$D$9:$D$29,MATCH($B3768,Config!$B$9:$B$29,0))="Contrato",IF(INDEX(Config!$E$9:$E$29,MATCH($B3768,Config!$B$9:$B$29,0))="","",INDEX(Config!$E$9:$E$29,MATCH($B3768,Config!$B$9:$B$29,0))),""),""))</f>
        <v/>
      </c>
      <c r="AC3768" s="19" t="str">
        <f>IF($B3768="","",IFERROR(INDEX(Config!$D$9:$D$29,MATCH($B3768,Config!$B$9:$B$29,0))&amp;"",""))</f>
        <v/>
      </c>
    </row>
    <row r="3769">
      <c r="R3769" s="20" t="str">
        <f>IF($B3769="","",IFERROR(IF(INDEX(Config!$D$9:$D$29,MATCH($B3769,Config!$B$9:$B$29,0))="Contrato",IF(INDEX(Config!$E$9:$E$29,MATCH($B3769,Config!$B$9:$B$29,0))="","",INDEX(Config!$E$9:$E$29,MATCH($B3769,Config!$B$9:$B$29,0))),""),""))</f>
        <v/>
      </c>
      <c r="AC3769" s="19" t="str">
        <f>IF($B3769="","",IFERROR(INDEX(Config!$D$9:$D$29,MATCH($B3769,Config!$B$9:$B$29,0))&amp;"",""))</f>
        <v/>
      </c>
    </row>
    <row r="3770">
      <c r="R3770" s="20" t="str">
        <f>IF($B3770="","",IFERROR(IF(INDEX(Config!$D$9:$D$29,MATCH($B3770,Config!$B$9:$B$29,0))="Contrato",IF(INDEX(Config!$E$9:$E$29,MATCH($B3770,Config!$B$9:$B$29,0))="","",INDEX(Config!$E$9:$E$29,MATCH($B3770,Config!$B$9:$B$29,0))),""),""))</f>
        <v/>
      </c>
      <c r="AC3770" s="19" t="str">
        <f>IF($B3770="","",IFERROR(INDEX(Config!$D$9:$D$29,MATCH($B3770,Config!$B$9:$B$29,0))&amp;"",""))</f>
        <v/>
      </c>
    </row>
    <row r="3771">
      <c r="R3771" s="20" t="str">
        <f>IF($B3771="","",IFERROR(IF(INDEX(Config!$D$9:$D$29,MATCH($B3771,Config!$B$9:$B$29,0))="Contrato",IF(INDEX(Config!$E$9:$E$29,MATCH($B3771,Config!$B$9:$B$29,0))="","",INDEX(Config!$E$9:$E$29,MATCH($B3771,Config!$B$9:$B$29,0))),""),""))</f>
        <v/>
      </c>
      <c r="AC3771" s="19" t="str">
        <f>IF($B3771="","",IFERROR(INDEX(Config!$D$9:$D$29,MATCH($B3771,Config!$B$9:$B$29,0))&amp;"",""))</f>
        <v/>
      </c>
    </row>
    <row r="3772">
      <c r="R3772" s="20" t="str">
        <f>IF($B3772="","",IFERROR(IF(INDEX(Config!$D$9:$D$29,MATCH($B3772,Config!$B$9:$B$29,0))="Contrato",IF(INDEX(Config!$E$9:$E$29,MATCH($B3772,Config!$B$9:$B$29,0))="","",INDEX(Config!$E$9:$E$29,MATCH($B3772,Config!$B$9:$B$29,0))),""),""))</f>
        <v/>
      </c>
      <c r="AC3772" s="19" t="str">
        <f>IF($B3772="","",IFERROR(INDEX(Config!$D$9:$D$29,MATCH($B3772,Config!$B$9:$B$29,0))&amp;"",""))</f>
        <v/>
      </c>
    </row>
    <row r="3773">
      <c r="R3773" s="20" t="str">
        <f>IF($B3773="","",IFERROR(IF(INDEX(Config!$D$9:$D$29,MATCH($B3773,Config!$B$9:$B$29,0))="Contrato",IF(INDEX(Config!$E$9:$E$29,MATCH($B3773,Config!$B$9:$B$29,0))="","",INDEX(Config!$E$9:$E$29,MATCH($B3773,Config!$B$9:$B$29,0))),""),""))</f>
        <v/>
      </c>
      <c r="AC3773" s="19" t="str">
        <f>IF($B3773="","",IFERROR(INDEX(Config!$D$9:$D$29,MATCH($B3773,Config!$B$9:$B$29,0))&amp;"",""))</f>
        <v/>
      </c>
    </row>
    <row r="3774">
      <c r="R3774" s="20" t="str">
        <f>IF($B3774="","",IFERROR(IF(INDEX(Config!$D$9:$D$29,MATCH($B3774,Config!$B$9:$B$29,0))="Contrato",IF(INDEX(Config!$E$9:$E$29,MATCH($B3774,Config!$B$9:$B$29,0))="","",INDEX(Config!$E$9:$E$29,MATCH($B3774,Config!$B$9:$B$29,0))),""),""))</f>
        <v/>
      </c>
      <c r="AC3774" s="19" t="str">
        <f>IF($B3774="","",IFERROR(INDEX(Config!$D$9:$D$29,MATCH($B3774,Config!$B$9:$B$29,0))&amp;"",""))</f>
        <v/>
      </c>
    </row>
    <row r="3775">
      <c r="R3775" s="20" t="str">
        <f>IF($B3775="","",IFERROR(IF(INDEX(Config!$D$9:$D$29,MATCH($B3775,Config!$B$9:$B$29,0))="Contrato",IF(INDEX(Config!$E$9:$E$29,MATCH($B3775,Config!$B$9:$B$29,0))="","",INDEX(Config!$E$9:$E$29,MATCH($B3775,Config!$B$9:$B$29,0))),""),""))</f>
        <v/>
      </c>
      <c r="AC3775" s="19" t="str">
        <f>IF($B3775="","",IFERROR(INDEX(Config!$D$9:$D$29,MATCH($B3775,Config!$B$9:$B$29,0))&amp;"",""))</f>
        <v/>
      </c>
    </row>
    <row r="3776">
      <c r="R3776" s="20" t="str">
        <f>IF($B3776="","",IFERROR(IF(INDEX(Config!$D$9:$D$29,MATCH($B3776,Config!$B$9:$B$29,0))="Contrato",IF(INDEX(Config!$E$9:$E$29,MATCH($B3776,Config!$B$9:$B$29,0))="","",INDEX(Config!$E$9:$E$29,MATCH($B3776,Config!$B$9:$B$29,0))),""),""))</f>
        <v/>
      </c>
      <c r="AC3776" s="19" t="str">
        <f>IF($B3776="","",IFERROR(INDEX(Config!$D$9:$D$29,MATCH($B3776,Config!$B$9:$B$29,0))&amp;"",""))</f>
        <v/>
      </c>
    </row>
    <row r="3777">
      <c r="R3777" s="20" t="str">
        <f>IF($B3777="","",IFERROR(IF(INDEX(Config!$D$9:$D$29,MATCH($B3777,Config!$B$9:$B$29,0))="Contrato",IF(INDEX(Config!$E$9:$E$29,MATCH($B3777,Config!$B$9:$B$29,0))="","",INDEX(Config!$E$9:$E$29,MATCH($B3777,Config!$B$9:$B$29,0))),""),""))</f>
        <v/>
      </c>
      <c r="AC3777" s="19" t="str">
        <f>IF($B3777="","",IFERROR(INDEX(Config!$D$9:$D$29,MATCH($B3777,Config!$B$9:$B$29,0))&amp;"",""))</f>
        <v/>
      </c>
    </row>
    <row r="3778">
      <c r="R3778" s="20" t="str">
        <f>IF($B3778="","",IFERROR(IF(INDEX(Config!$D$9:$D$29,MATCH($B3778,Config!$B$9:$B$29,0))="Contrato",IF(INDEX(Config!$E$9:$E$29,MATCH($B3778,Config!$B$9:$B$29,0))="","",INDEX(Config!$E$9:$E$29,MATCH($B3778,Config!$B$9:$B$29,0))),""),""))</f>
        <v/>
      </c>
      <c r="AC3778" s="19" t="str">
        <f>IF($B3778="","",IFERROR(INDEX(Config!$D$9:$D$29,MATCH($B3778,Config!$B$9:$B$29,0))&amp;"",""))</f>
        <v/>
      </c>
    </row>
    <row r="3779">
      <c r="R3779" s="20" t="str">
        <f>IF($B3779="","",IFERROR(IF(INDEX(Config!$D$9:$D$29,MATCH($B3779,Config!$B$9:$B$29,0))="Contrato",IF(INDEX(Config!$E$9:$E$29,MATCH($B3779,Config!$B$9:$B$29,0))="","",INDEX(Config!$E$9:$E$29,MATCH($B3779,Config!$B$9:$B$29,0))),""),""))</f>
        <v/>
      </c>
      <c r="AC3779" s="19" t="str">
        <f>IF($B3779="","",IFERROR(INDEX(Config!$D$9:$D$29,MATCH($B3779,Config!$B$9:$B$29,0))&amp;"",""))</f>
        <v/>
      </c>
    </row>
    <row r="3780">
      <c r="R3780" s="20" t="str">
        <f>IF($B3780="","",IFERROR(IF(INDEX(Config!$D$9:$D$29,MATCH($B3780,Config!$B$9:$B$29,0))="Contrato",IF(INDEX(Config!$E$9:$E$29,MATCH($B3780,Config!$B$9:$B$29,0))="","",INDEX(Config!$E$9:$E$29,MATCH($B3780,Config!$B$9:$B$29,0))),""),""))</f>
        <v/>
      </c>
      <c r="AC3780" s="19" t="str">
        <f>IF($B3780="","",IFERROR(INDEX(Config!$D$9:$D$29,MATCH($B3780,Config!$B$9:$B$29,0))&amp;"",""))</f>
        <v/>
      </c>
    </row>
    <row r="3781">
      <c r="R3781" s="20" t="str">
        <f>IF($B3781="","",IFERROR(IF(INDEX(Config!$D$9:$D$29,MATCH($B3781,Config!$B$9:$B$29,0))="Contrato",IF(INDEX(Config!$E$9:$E$29,MATCH($B3781,Config!$B$9:$B$29,0))="","",INDEX(Config!$E$9:$E$29,MATCH($B3781,Config!$B$9:$B$29,0))),""),""))</f>
        <v/>
      </c>
      <c r="AC3781" s="19" t="str">
        <f>IF($B3781="","",IFERROR(INDEX(Config!$D$9:$D$29,MATCH($B3781,Config!$B$9:$B$29,0))&amp;"",""))</f>
        <v/>
      </c>
    </row>
    <row r="3782">
      <c r="R3782" s="20" t="str">
        <f>IF($B3782="","",IFERROR(IF(INDEX(Config!$D$9:$D$29,MATCH($B3782,Config!$B$9:$B$29,0))="Contrato",IF(INDEX(Config!$E$9:$E$29,MATCH($B3782,Config!$B$9:$B$29,0))="","",INDEX(Config!$E$9:$E$29,MATCH($B3782,Config!$B$9:$B$29,0))),""),""))</f>
        <v/>
      </c>
      <c r="AC3782" s="19" t="str">
        <f>IF($B3782="","",IFERROR(INDEX(Config!$D$9:$D$29,MATCH($B3782,Config!$B$9:$B$29,0))&amp;"",""))</f>
        <v/>
      </c>
    </row>
    <row r="3783">
      <c r="R3783" s="20" t="str">
        <f>IF($B3783="","",IFERROR(IF(INDEX(Config!$D$9:$D$29,MATCH($B3783,Config!$B$9:$B$29,0))="Contrato",IF(INDEX(Config!$E$9:$E$29,MATCH($B3783,Config!$B$9:$B$29,0))="","",INDEX(Config!$E$9:$E$29,MATCH($B3783,Config!$B$9:$B$29,0))),""),""))</f>
        <v/>
      </c>
      <c r="AC3783" s="19" t="str">
        <f>IF($B3783="","",IFERROR(INDEX(Config!$D$9:$D$29,MATCH($B3783,Config!$B$9:$B$29,0))&amp;"",""))</f>
        <v/>
      </c>
    </row>
    <row r="3784">
      <c r="R3784" s="20" t="str">
        <f>IF($B3784="","",IFERROR(IF(INDEX(Config!$D$9:$D$29,MATCH($B3784,Config!$B$9:$B$29,0))="Contrato",IF(INDEX(Config!$E$9:$E$29,MATCH($B3784,Config!$B$9:$B$29,0))="","",INDEX(Config!$E$9:$E$29,MATCH($B3784,Config!$B$9:$B$29,0))),""),""))</f>
        <v/>
      </c>
      <c r="AC3784" s="19" t="str">
        <f>IF($B3784="","",IFERROR(INDEX(Config!$D$9:$D$29,MATCH($B3784,Config!$B$9:$B$29,0))&amp;"",""))</f>
        <v/>
      </c>
    </row>
    <row r="3785">
      <c r="R3785" s="20" t="str">
        <f>IF($B3785="","",IFERROR(IF(INDEX(Config!$D$9:$D$29,MATCH($B3785,Config!$B$9:$B$29,0))="Contrato",IF(INDEX(Config!$E$9:$E$29,MATCH($B3785,Config!$B$9:$B$29,0))="","",INDEX(Config!$E$9:$E$29,MATCH($B3785,Config!$B$9:$B$29,0))),""),""))</f>
        <v/>
      </c>
      <c r="AC3785" s="19" t="str">
        <f>IF($B3785="","",IFERROR(INDEX(Config!$D$9:$D$29,MATCH($B3785,Config!$B$9:$B$29,0))&amp;"",""))</f>
        <v/>
      </c>
    </row>
    <row r="3786">
      <c r="R3786" s="20" t="str">
        <f>IF($B3786="","",IFERROR(IF(INDEX(Config!$D$9:$D$29,MATCH($B3786,Config!$B$9:$B$29,0))="Contrato",IF(INDEX(Config!$E$9:$E$29,MATCH($B3786,Config!$B$9:$B$29,0))="","",INDEX(Config!$E$9:$E$29,MATCH($B3786,Config!$B$9:$B$29,0))),""),""))</f>
        <v/>
      </c>
      <c r="AC3786" s="19" t="str">
        <f>IF($B3786="","",IFERROR(INDEX(Config!$D$9:$D$29,MATCH($B3786,Config!$B$9:$B$29,0))&amp;"",""))</f>
        <v/>
      </c>
    </row>
    <row r="3787">
      <c r="R3787" s="20" t="str">
        <f>IF($B3787="","",IFERROR(IF(INDEX(Config!$D$9:$D$29,MATCH($B3787,Config!$B$9:$B$29,0))="Contrato",IF(INDEX(Config!$E$9:$E$29,MATCH($B3787,Config!$B$9:$B$29,0))="","",INDEX(Config!$E$9:$E$29,MATCH($B3787,Config!$B$9:$B$29,0))),""),""))</f>
        <v/>
      </c>
      <c r="AC3787" s="19" t="str">
        <f>IF($B3787="","",IFERROR(INDEX(Config!$D$9:$D$29,MATCH($B3787,Config!$B$9:$B$29,0))&amp;"",""))</f>
        <v/>
      </c>
    </row>
    <row r="3788">
      <c r="R3788" s="20" t="str">
        <f>IF($B3788="","",IFERROR(IF(INDEX(Config!$D$9:$D$29,MATCH($B3788,Config!$B$9:$B$29,0))="Contrato",IF(INDEX(Config!$E$9:$E$29,MATCH($B3788,Config!$B$9:$B$29,0))="","",INDEX(Config!$E$9:$E$29,MATCH($B3788,Config!$B$9:$B$29,0))),""),""))</f>
        <v/>
      </c>
      <c r="AC3788" s="19" t="str">
        <f>IF($B3788="","",IFERROR(INDEX(Config!$D$9:$D$29,MATCH($B3788,Config!$B$9:$B$29,0))&amp;"",""))</f>
        <v/>
      </c>
    </row>
    <row r="3789">
      <c r="R3789" s="20" t="str">
        <f>IF($B3789="","",IFERROR(IF(INDEX(Config!$D$9:$D$29,MATCH($B3789,Config!$B$9:$B$29,0))="Contrato",IF(INDEX(Config!$E$9:$E$29,MATCH($B3789,Config!$B$9:$B$29,0))="","",INDEX(Config!$E$9:$E$29,MATCH($B3789,Config!$B$9:$B$29,0))),""),""))</f>
        <v/>
      </c>
      <c r="AC3789" s="19" t="str">
        <f>IF($B3789="","",IFERROR(INDEX(Config!$D$9:$D$29,MATCH($B3789,Config!$B$9:$B$29,0))&amp;"",""))</f>
        <v/>
      </c>
    </row>
    <row r="3790">
      <c r="R3790" s="20" t="str">
        <f>IF($B3790="","",IFERROR(IF(INDEX(Config!$D$9:$D$29,MATCH($B3790,Config!$B$9:$B$29,0))="Contrato",IF(INDEX(Config!$E$9:$E$29,MATCH($B3790,Config!$B$9:$B$29,0))="","",INDEX(Config!$E$9:$E$29,MATCH($B3790,Config!$B$9:$B$29,0))),""),""))</f>
        <v/>
      </c>
      <c r="AC3790" s="19" t="str">
        <f>IF($B3790="","",IFERROR(INDEX(Config!$D$9:$D$29,MATCH($B3790,Config!$B$9:$B$29,0))&amp;"",""))</f>
        <v/>
      </c>
    </row>
    <row r="3791">
      <c r="R3791" s="20" t="str">
        <f>IF($B3791="","",IFERROR(IF(INDEX(Config!$D$9:$D$29,MATCH($B3791,Config!$B$9:$B$29,0))="Contrato",IF(INDEX(Config!$E$9:$E$29,MATCH($B3791,Config!$B$9:$B$29,0))="","",INDEX(Config!$E$9:$E$29,MATCH($B3791,Config!$B$9:$B$29,0))),""),""))</f>
        <v/>
      </c>
      <c r="AC3791" s="19" t="str">
        <f>IF($B3791="","",IFERROR(INDEX(Config!$D$9:$D$29,MATCH($B3791,Config!$B$9:$B$29,0))&amp;"",""))</f>
        <v/>
      </c>
    </row>
    <row r="3792">
      <c r="R3792" s="20" t="str">
        <f>IF($B3792="","",IFERROR(IF(INDEX(Config!$D$9:$D$29,MATCH($B3792,Config!$B$9:$B$29,0))="Contrato",IF(INDEX(Config!$E$9:$E$29,MATCH($B3792,Config!$B$9:$B$29,0))="","",INDEX(Config!$E$9:$E$29,MATCH($B3792,Config!$B$9:$B$29,0))),""),""))</f>
        <v/>
      </c>
      <c r="AC3792" s="19" t="str">
        <f>IF($B3792="","",IFERROR(INDEX(Config!$D$9:$D$29,MATCH($B3792,Config!$B$9:$B$29,0))&amp;"",""))</f>
        <v/>
      </c>
    </row>
    <row r="3793">
      <c r="R3793" s="20" t="str">
        <f>IF($B3793="","",IFERROR(IF(INDEX(Config!$D$9:$D$29,MATCH($B3793,Config!$B$9:$B$29,0))="Contrato",IF(INDEX(Config!$E$9:$E$29,MATCH($B3793,Config!$B$9:$B$29,0))="","",INDEX(Config!$E$9:$E$29,MATCH($B3793,Config!$B$9:$B$29,0))),""),""))</f>
        <v/>
      </c>
      <c r="AC3793" s="19" t="str">
        <f>IF($B3793="","",IFERROR(INDEX(Config!$D$9:$D$29,MATCH($B3793,Config!$B$9:$B$29,0))&amp;"",""))</f>
        <v/>
      </c>
    </row>
    <row r="3794">
      <c r="R3794" s="20" t="str">
        <f>IF($B3794="","",IFERROR(IF(INDEX(Config!$D$9:$D$29,MATCH($B3794,Config!$B$9:$B$29,0))="Contrato",IF(INDEX(Config!$E$9:$E$29,MATCH($B3794,Config!$B$9:$B$29,0))="","",INDEX(Config!$E$9:$E$29,MATCH($B3794,Config!$B$9:$B$29,0))),""),""))</f>
        <v/>
      </c>
      <c r="AC3794" s="19" t="str">
        <f>IF($B3794="","",IFERROR(INDEX(Config!$D$9:$D$29,MATCH($B3794,Config!$B$9:$B$29,0))&amp;"",""))</f>
        <v/>
      </c>
    </row>
    <row r="3795">
      <c r="R3795" s="20" t="str">
        <f>IF($B3795="","",IFERROR(IF(INDEX(Config!$D$9:$D$29,MATCH($B3795,Config!$B$9:$B$29,0))="Contrato",IF(INDEX(Config!$E$9:$E$29,MATCH($B3795,Config!$B$9:$B$29,0))="","",INDEX(Config!$E$9:$E$29,MATCH($B3795,Config!$B$9:$B$29,0))),""),""))</f>
        <v/>
      </c>
      <c r="AC3795" s="19" t="str">
        <f>IF($B3795="","",IFERROR(INDEX(Config!$D$9:$D$29,MATCH($B3795,Config!$B$9:$B$29,0))&amp;"",""))</f>
        <v/>
      </c>
    </row>
    <row r="3796">
      <c r="R3796" s="20" t="str">
        <f>IF($B3796="","",IFERROR(IF(INDEX(Config!$D$9:$D$29,MATCH($B3796,Config!$B$9:$B$29,0))="Contrato",IF(INDEX(Config!$E$9:$E$29,MATCH($B3796,Config!$B$9:$B$29,0))="","",INDEX(Config!$E$9:$E$29,MATCH($B3796,Config!$B$9:$B$29,0))),""),""))</f>
        <v/>
      </c>
      <c r="AC3796" s="19" t="str">
        <f>IF($B3796="","",IFERROR(INDEX(Config!$D$9:$D$29,MATCH($B3796,Config!$B$9:$B$29,0))&amp;"",""))</f>
        <v/>
      </c>
    </row>
    <row r="3797">
      <c r="R3797" s="20" t="str">
        <f>IF($B3797="","",IFERROR(IF(INDEX(Config!$D$9:$D$29,MATCH($B3797,Config!$B$9:$B$29,0))="Contrato",IF(INDEX(Config!$E$9:$E$29,MATCH($B3797,Config!$B$9:$B$29,0))="","",INDEX(Config!$E$9:$E$29,MATCH($B3797,Config!$B$9:$B$29,0))),""),""))</f>
        <v/>
      </c>
      <c r="AC3797" s="19" t="str">
        <f>IF($B3797="","",IFERROR(INDEX(Config!$D$9:$D$29,MATCH($B3797,Config!$B$9:$B$29,0))&amp;"",""))</f>
        <v/>
      </c>
    </row>
    <row r="3798">
      <c r="R3798" s="20" t="str">
        <f>IF($B3798="","",IFERROR(IF(INDEX(Config!$D$9:$D$29,MATCH($B3798,Config!$B$9:$B$29,0))="Contrato",IF(INDEX(Config!$E$9:$E$29,MATCH($B3798,Config!$B$9:$B$29,0))="","",INDEX(Config!$E$9:$E$29,MATCH($B3798,Config!$B$9:$B$29,0))),""),""))</f>
        <v/>
      </c>
      <c r="AC3798" s="19" t="str">
        <f>IF($B3798="","",IFERROR(INDEX(Config!$D$9:$D$29,MATCH($B3798,Config!$B$9:$B$29,0))&amp;"",""))</f>
        <v/>
      </c>
    </row>
    <row r="3799">
      <c r="R3799" s="20" t="str">
        <f>IF($B3799="","",IFERROR(IF(INDEX(Config!$D$9:$D$29,MATCH($B3799,Config!$B$9:$B$29,0))="Contrato",IF(INDEX(Config!$E$9:$E$29,MATCH($B3799,Config!$B$9:$B$29,0))="","",INDEX(Config!$E$9:$E$29,MATCH($B3799,Config!$B$9:$B$29,0))),""),""))</f>
        <v/>
      </c>
      <c r="AC3799" s="19" t="str">
        <f>IF($B3799="","",IFERROR(INDEX(Config!$D$9:$D$29,MATCH($B3799,Config!$B$9:$B$29,0))&amp;"",""))</f>
        <v/>
      </c>
    </row>
    <row r="3800">
      <c r="R3800" s="20" t="str">
        <f>IF($B3800="","",IFERROR(IF(INDEX(Config!$D$9:$D$29,MATCH($B3800,Config!$B$9:$B$29,0))="Contrato",IF(INDEX(Config!$E$9:$E$29,MATCH($B3800,Config!$B$9:$B$29,0))="","",INDEX(Config!$E$9:$E$29,MATCH($B3800,Config!$B$9:$B$29,0))),""),""))</f>
        <v/>
      </c>
      <c r="AC3800" s="19" t="str">
        <f>IF($B3800="","",IFERROR(INDEX(Config!$D$9:$D$29,MATCH($B3800,Config!$B$9:$B$29,0))&amp;"",""))</f>
        <v/>
      </c>
    </row>
    <row r="3801">
      <c r="R3801" s="20" t="str">
        <f>IF($B3801="","",IFERROR(IF(INDEX(Config!$D$9:$D$29,MATCH($B3801,Config!$B$9:$B$29,0))="Contrato",IF(INDEX(Config!$E$9:$E$29,MATCH($B3801,Config!$B$9:$B$29,0))="","",INDEX(Config!$E$9:$E$29,MATCH($B3801,Config!$B$9:$B$29,0))),""),""))</f>
        <v/>
      </c>
      <c r="AC3801" s="19" t="str">
        <f>IF($B3801="","",IFERROR(INDEX(Config!$D$9:$D$29,MATCH($B3801,Config!$B$9:$B$29,0))&amp;"",""))</f>
        <v/>
      </c>
    </row>
    <row r="3802">
      <c r="R3802" s="20" t="str">
        <f>IF($B3802="","",IFERROR(IF(INDEX(Config!$D$9:$D$29,MATCH($B3802,Config!$B$9:$B$29,0))="Contrato",IF(INDEX(Config!$E$9:$E$29,MATCH($B3802,Config!$B$9:$B$29,0))="","",INDEX(Config!$E$9:$E$29,MATCH($B3802,Config!$B$9:$B$29,0))),""),""))</f>
        <v/>
      </c>
      <c r="AC3802" s="19" t="str">
        <f>IF($B3802="","",IFERROR(INDEX(Config!$D$9:$D$29,MATCH($B3802,Config!$B$9:$B$29,0))&amp;"",""))</f>
        <v/>
      </c>
    </row>
    <row r="3803">
      <c r="R3803" s="20" t="str">
        <f>IF($B3803="","",IFERROR(IF(INDEX(Config!$D$9:$D$29,MATCH($B3803,Config!$B$9:$B$29,0))="Contrato",IF(INDEX(Config!$E$9:$E$29,MATCH($B3803,Config!$B$9:$B$29,0))="","",INDEX(Config!$E$9:$E$29,MATCH($B3803,Config!$B$9:$B$29,0))),""),""))</f>
        <v/>
      </c>
      <c r="AC3803" s="19" t="str">
        <f>IF($B3803="","",IFERROR(INDEX(Config!$D$9:$D$29,MATCH($B3803,Config!$B$9:$B$29,0))&amp;"",""))</f>
        <v/>
      </c>
    </row>
    <row r="3804">
      <c r="R3804" s="20" t="str">
        <f>IF($B3804="","",IFERROR(IF(INDEX(Config!$D$9:$D$29,MATCH($B3804,Config!$B$9:$B$29,0))="Contrato",IF(INDEX(Config!$E$9:$E$29,MATCH($B3804,Config!$B$9:$B$29,0))="","",INDEX(Config!$E$9:$E$29,MATCH($B3804,Config!$B$9:$B$29,0))),""),""))</f>
        <v/>
      </c>
      <c r="AC3804" s="19" t="str">
        <f>IF($B3804="","",IFERROR(INDEX(Config!$D$9:$D$29,MATCH($B3804,Config!$B$9:$B$29,0))&amp;"",""))</f>
        <v/>
      </c>
    </row>
    <row r="3805">
      <c r="R3805" s="20" t="str">
        <f>IF($B3805="","",IFERROR(IF(INDEX(Config!$D$9:$D$29,MATCH($B3805,Config!$B$9:$B$29,0))="Contrato",IF(INDEX(Config!$E$9:$E$29,MATCH($B3805,Config!$B$9:$B$29,0))="","",INDEX(Config!$E$9:$E$29,MATCH($B3805,Config!$B$9:$B$29,0))),""),""))</f>
        <v/>
      </c>
      <c r="AC3805" s="19" t="str">
        <f>IF($B3805="","",IFERROR(INDEX(Config!$D$9:$D$29,MATCH($B3805,Config!$B$9:$B$29,0))&amp;"",""))</f>
        <v/>
      </c>
    </row>
    <row r="3806">
      <c r="R3806" s="20" t="str">
        <f>IF($B3806="","",IFERROR(IF(INDEX(Config!$D$9:$D$29,MATCH($B3806,Config!$B$9:$B$29,0))="Contrato",IF(INDEX(Config!$E$9:$E$29,MATCH($B3806,Config!$B$9:$B$29,0))="","",INDEX(Config!$E$9:$E$29,MATCH($B3806,Config!$B$9:$B$29,0))),""),""))</f>
        <v/>
      </c>
      <c r="AC3806" s="19" t="str">
        <f>IF($B3806="","",IFERROR(INDEX(Config!$D$9:$D$29,MATCH($B3806,Config!$B$9:$B$29,0))&amp;"",""))</f>
        <v/>
      </c>
    </row>
    <row r="3807">
      <c r="R3807" s="20" t="str">
        <f>IF($B3807="","",IFERROR(IF(INDEX(Config!$D$9:$D$29,MATCH($B3807,Config!$B$9:$B$29,0))="Contrato",IF(INDEX(Config!$E$9:$E$29,MATCH($B3807,Config!$B$9:$B$29,0))="","",INDEX(Config!$E$9:$E$29,MATCH($B3807,Config!$B$9:$B$29,0))),""),""))</f>
        <v/>
      </c>
      <c r="AC3807" s="19" t="str">
        <f>IF($B3807="","",IFERROR(INDEX(Config!$D$9:$D$29,MATCH($B3807,Config!$B$9:$B$29,0))&amp;"",""))</f>
        <v/>
      </c>
    </row>
    <row r="3808">
      <c r="R3808" s="20" t="str">
        <f>IF($B3808="","",IFERROR(IF(INDEX(Config!$D$9:$D$29,MATCH($B3808,Config!$B$9:$B$29,0))="Contrato",IF(INDEX(Config!$E$9:$E$29,MATCH($B3808,Config!$B$9:$B$29,0))="","",INDEX(Config!$E$9:$E$29,MATCH($B3808,Config!$B$9:$B$29,0))),""),""))</f>
        <v/>
      </c>
      <c r="AC3808" s="19" t="str">
        <f>IF($B3808="","",IFERROR(INDEX(Config!$D$9:$D$29,MATCH($B3808,Config!$B$9:$B$29,0))&amp;"",""))</f>
        <v/>
      </c>
    </row>
    <row r="3809">
      <c r="R3809" s="20" t="str">
        <f>IF($B3809="","",IFERROR(IF(INDEX(Config!$D$9:$D$29,MATCH($B3809,Config!$B$9:$B$29,0))="Contrato",IF(INDEX(Config!$E$9:$E$29,MATCH($B3809,Config!$B$9:$B$29,0))="","",INDEX(Config!$E$9:$E$29,MATCH($B3809,Config!$B$9:$B$29,0))),""),""))</f>
        <v/>
      </c>
      <c r="AC3809" s="19" t="str">
        <f>IF($B3809="","",IFERROR(INDEX(Config!$D$9:$D$29,MATCH($B3809,Config!$B$9:$B$29,0))&amp;"",""))</f>
        <v/>
      </c>
    </row>
    <row r="3810">
      <c r="R3810" s="20" t="str">
        <f>IF($B3810="","",IFERROR(IF(INDEX(Config!$D$9:$D$29,MATCH($B3810,Config!$B$9:$B$29,0))="Contrato",IF(INDEX(Config!$E$9:$E$29,MATCH($B3810,Config!$B$9:$B$29,0))="","",INDEX(Config!$E$9:$E$29,MATCH($B3810,Config!$B$9:$B$29,0))),""),""))</f>
        <v/>
      </c>
      <c r="AC3810" s="19" t="str">
        <f>IF($B3810="","",IFERROR(INDEX(Config!$D$9:$D$29,MATCH($B3810,Config!$B$9:$B$29,0))&amp;"",""))</f>
        <v/>
      </c>
    </row>
    <row r="3811">
      <c r="R3811" s="20" t="str">
        <f>IF($B3811="","",IFERROR(IF(INDEX(Config!$D$9:$D$29,MATCH($B3811,Config!$B$9:$B$29,0))="Contrato",IF(INDEX(Config!$E$9:$E$29,MATCH($B3811,Config!$B$9:$B$29,0))="","",INDEX(Config!$E$9:$E$29,MATCH($B3811,Config!$B$9:$B$29,0))),""),""))</f>
        <v/>
      </c>
      <c r="AC3811" s="19" t="str">
        <f>IF($B3811="","",IFERROR(INDEX(Config!$D$9:$D$29,MATCH($B3811,Config!$B$9:$B$29,0))&amp;"",""))</f>
        <v/>
      </c>
    </row>
    <row r="3812">
      <c r="R3812" s="20" t="str">
        <f>IF($B3812="","",IFERROR(IF(INDEX(Config!$D$9:$D$29,MATCH($B3812,Config!$B$9:$B$29,0))="Contrato",IF(INDEX(Config!$E$9:$E$29,MATCH($B3812,Config!$B$9:$B$29,0))="","",INDEX(Config!$E$9:$E$29,MATCH($B3812,Config!$B$9:$B$29,0))),""),""))</f>
        <v/>
      </c>
      <c r="AC3812" s="19" t="str">
        <f>IF($B3812="","",IFERROR(INDEX(Config!$D$9:$D$29,MATCH($B3812,Config!$B$9:$B$29,0))&amp;"",""))</f>
        <v/>
      </c>
    </row>
    <row r="3813">
      <c r="R3813" s="20" t="str">
        <f>IF($B3813="","",IFERROR(IF(INDEX(Config!$D$9:$D$29,MATCH($B3813,Config!$B$9:$B$29,0))="Contrato",IF(INDEX(Config!$E$9:$E$29,MATCH($B3813,Config!$B$9:$B$29,0))="","",INDEX(Config!$E$9:$E$29,MATCH($B3813,Config!$B$9:$B$29,0))),""),""))</f>
        <v/>
      </c>
      <c r="AC3813" s="19" t="str">
        <f>IF($B3813="","",IFERROR(INDEX(Config!$D$9:$D$29,MATCH($B3813,Config!$B$9:$B$29,0))&amp;"",""))</f>
        <v/>
      </c>
    </row>
    <row r="3814">
      <c r="R3814" s="20" t="str">
        <f>IF($B3814="","",IFERROR(IF(INDEX(Config!$D$9:$D$29,MATCH($B3814,Config!$B$9:$B$29,0))="Contrato",IF(INDEX(Config!$E$9:$E$29,MATCH($B3814,Config!$B$9:$B$29,0))="","",INDEX(Config!$E$9:$E$29,MATCH($B3814,Config!$B$9:$B$29,0))),""),""))</f>
        <v/>
      </c>
      <c r="AC3814" s="19" t="str">
        <f>IF($B3814="","",IFERROR(INDEX(Config!$D$9:$D$29,MATCH($B3814,Config!$B$9:$B$29,0))&amp;"",""))</f>
        <v/>
      </c>
    </row>
    <row r="3815">
      <c r="R3815" s="20" t="str">
        <f>IF($B3815="","",IFERROR(IF(INDEX(Config!$D$9:$D$29,MATCH($B3815,Config!$B$9:$B$29,0))="Contrato",IF(INDEX(Config!$E$9:$E$29,MATCH($B3815,Config!$B$9:$B$29,0))="","",INDEX(Config!$E$9:$E$29,MATCH($B3815,Config!$B$9:$B$29,0))),""),""))</f>
        <v/>
      </c>
      <c r="AC3815" s="19" t="str">
        <f>IF($B3815="","",IFERROR(INDEX(Config!$D$9:$D$29,MATCH($B3815,Config!$B$9:$B$29,0))&amp;"",""))</f>
        <v/>
      </c>
    </row>
    <row r="3816">
      <c r="R3816" s="20" t="str">
        <f>IF($B3816="","",IFERROR(IF(INDEX(Config!$D$9:$D$29,MATCH($B3816,Config!$B$9:$B$29,0))="Contrato",IF(INDEX(Config!$E$9:$E$29,MATCH($B3816,Config!$B$9:$B$29,0))="","",INDEX(Config!$E$9:$E$29,MATCH($B3816,Config!$B$9:$B$29,0))),""),""))</f>
        <v/>
      </c>
      <c r="AC3816" s="19" t="str">
        <f>IF($B3816="","",IFERROR(INDEX(Config!$D$9:$D$29,MATCH($B3816,Config!$B$9:$B$29,0))&amp;"",""))</f>
        <v/>
      </c>
    </row>
    <row r="3817">
      <c r="R3817" s="20" t="str">
        <f>IF($B3817="","",IFERROR(IF(INDEX(Config!$D$9:$D$29,MATCH($B3817,Config!$B$9:$B$29,0))="Contrato",IF(INDEX(Config!$E$9:$E$29,MATCH($B3817,Config!$B$9:$B$29,0))="","",INDEX(Config!$E$9:$E$29,MATCH($B3817,Config!$B$9:$B$29,0))),""),""))</f>
        <v/>
      </c>
      <c r="AC3817" s="19" t="str">
        <f>IF($B3817="","",IFERROR(INDEX(Config!$D$9:$D$29,MATCH($B3817,Config!$B$9:$B$29,0))&amp;"",""))</f>
        <v/>
      </c>
    </row>
    <row r="3818">
      <c r="R3818" s="20" t="str">
        <f>IF($B3818="","",IFERROR(IF(INDEX(Config!$D$9:$D$29,MATCH($B3818,Config!$B$9:$B$29,0))="Contrato",IF(INDEX(Config!$E$9:$E$29,MATCH($B3818,Config!$B$9:$B$29,0))="","",INDEX(Config!$E$9:$E$29,MATCH($B3818,Config!$B$9:$B$29,0))),""),""))</f>
        <v/>
      </c>
      <c r="AC3818" s="19" t="str">
        <f>IF($B3818="","",IFERROR(INDEX(Config!$D$9:$D$29,MATCH($B3818,Config!$B$9:$B$29,0))&amp;"",""))</f>
        <v/>
      </c>
    </row>
    <row r="3819">
      <c r="R3819" s="20" t="str">
        <f>IF($B3819="","",IFERROR(IF(INDEX(Config!$D$9:$D$29,MATCH($B3819,Config!$B$9:$B$29,0))="Contrato",IF(INDEX(Config!$E$9:$E$29,MATCH($B3819,Config!$B$9:$B$29,0))="","",INDEX(Config!$E$9:$E$29,MATCH($B3819,Config!$B$9:$B$29,0))),""),""))</f>
        <v/>
      </c>
      <c r="AC3819" s="19" t="str">
        <f>IF($B3819="","",IFERROR(INDEX(Config!$D$9:$D$29,MATCH($B3819,Config!$B$9:$B$29,0))&amp;"",""))</f>
        <v/>
      </c>
    </row>
    <row r="3820">
      <c r="R3820" s="20" t="str">
        <f>IF($B3820="","",IFERROR(IF(INDEX(Config!$D$9:$D$29,MATCH($B3820,Config!$B$9:$B$29,0))="Contrato",IF(INDEX(Config!$E$9:$E$29,MATCH($B3820,Config!$B$9:$B$29,0))="","",INDEX(Config!$E$9:$E$29,MATCH($B3820,Config!$B$9:$B$29,0))),""),""))</f>
        <v/>
      </c>
      <c r="AC3820" s="19" t="str">
        <f>IF($B3820="","",IFERROR(INDEX(Config!$D$9:$D$29,MATCH($B3820,Config!$B$9:$B$29,0))&amp;"",""))</f>
        <v/>
      </c>
    </row>
    <row r="3821">
      <c r="R3821" s="20" t="str">
        <f>IF($B3821="","",IFERROR(IF(INDEX(Config!$D$9:$D$29,MATCH($B3821,Config!$B$9:$B$29,0))="Contrato",IF(INDEX(Config!$E$9:$E$29,MATCH($B3821,Config!$B$9:$B$29,0))="","",INDEX(Config!$E$9:$E$29,MATCH($B3821,Config!$B$9:$B$29,0))),""),""))</f>
        <v/>
      </c>
      <c r="AC3821" s="19" t="str">
        <f>IF($B3821="","",IFERROR(INDEX(Config!$D$9:$D$29,MATCH($B3821,Config!$B$9:$B$29,0))&amp;"",""))</f>
        <v/>
      </c>
    </row>
    <row r="3822">
      <c r="R3822" s="20" t="str">
        <f>IF($B3822="","",IFERROR(IF(INDEX(Config!$D$9:$D$29,MATCH($B3822,Config!$B$9:$B$29,0))="Contrato",IF(INDEX(Config!$E$9:$E$29,MATCH($B3822,Config!$B$9:$B$29,0))="","",INDEX(Config!$E$9:$E$29,MATCH($B3822,Config!$B$9:$B$29,0))),""),""))</f>
        <v/>
      </c>
      <c r="AC3822" s="19" t="str">
        <f>IF($B3822="","",IFERROR(INDEX(Config!$D$9:$D$29,MATCH($B3822,Config!$B$9:$B$29,0))&amp;"",""))</f>
        <v/>
      </c>
    </row>
    <row r="3823">
      <c r="R3823" s="20" t="str">
        <f>IF($B3823="","",IFERROR(IF(INDEX(Config!$D$9:$D$29,MATCH($B3823,Config!$B$9:$B$29,0))="Contrato",IF(INDEX(Config!$E$9:$E$29,MATCH($B3823,Config!$B$9:$B$29,0))="","",INDEX(Config!$E$9:$E$29,MATCH($B3823,Config!$B$9:$B$29,0))),""),""))</f>
        <v/>
      </c>
      <c r="AC3823" s="19" t="str">
        <f>IF($B3823="","",IFERROR(INDEX(Config!$D$9:$D$29,MATCH($B3823,Config!$B$9:$B$29,0))&amp;"",""))</f>
        <v/>
      </c>
    </row>
    <row r="3824">
      <c r="R3824" s="20" t="str">
        <f>IF($B3824="","",IFERROR(IF(INDEX(Config!$D$9:$D$29,MATCH($B3824,Config!$B$9:$B$29,0))="Contrato",IF(INDEX(Config!$E$9:$E$29,MATCH($B3824,Config!$B$9:$B$29,0))="","",INDEX(Config!$E$9:$E$29,MATCH($B3824,Config!$B$9:$B$29,0))),""),""))</f>
        <v/>
      </c>
      <c r="AC3824" s="19" t="str">
        <f>IF($B3824="","",IFERROR(INDEX(Config!$D$9:$D$29,MATCH($B3824,Config!$B$9:$B$29,0))&amp;"",""))</f>
        <v/>
      </c>
    </row>
    <row r="3825">
      <c r="R3825" s="20" t="str">
        <f>IF($B3825="","",IFERROR(IF(INDEX(Config!$D$9:$D$29,MATCH($B3825,Config!$B$9:$B$29,0))="Contrato",IF(INDEX(Config!$E$9:$E$29,MATCH($B3825,Config!$B$9:$B$29,0))="","",INDEX(Config!$E$9:$E$29,MATCH($B3825,Config!$B$9:$B$29,0))),""),""))</f>
        <v/>
      </c>
      <c r="AC3825" s="19" t="str">
        <f>IF($B3825="","",IFERROR(INDEX(Config!$D$9:$D$29,MATCH($B3825,Config!$B$9:$B$29,0))&amp;"",""))</f>
        <v/>
      </c>
    </row>
    <row r="3826">
      <c r="R3826" s="20" t="str">
        <f>IF($B3826="","",IFERROR(IF(INDEX(Config!$D$9:$D$29,MATCH($B3826,Config!$B$9:$B$29,0))="Contrato",IF(INDEX(Config!$E$9:$E$29,MATCH($B3826,Config!$B$9:$B$29,0))="","",INDEX(Config!$E$9:$E$29,MATCH($B3826,Config!$B$9:$B$29,0))),""),""))</f>
        <v/>
      </c>
      <c r="AC3826" s="19" t="str">
        <f>IF($B3826="","",IFERROR(INDEX(Config!$D$9:$D$29,MATCH($B3826,Config!$B$9:$B$29,0))&amp;"",""))</f>
        <v/>
      </c>
    </row>
    <row r="3827">
      <c r="R3827" s="20" t="str">
        <f>IF($B3827="","",IFERROR(IF(INDEX(Config!$D$9:$D$29,MATCH($B3827,Config!$B$9:$B$29,0))="Contrato",IF(INDEX(Config!$E$9:$E$29,MATCH($B3827,Config!$B$9:$B$29,0))="","",INDEX(Config!$E$9:$E$29,MATCH($B3827,Config!$B$9:$B$29,0))),""),""))</f>
        <v/>
      </c>
      <c r="AC3827" s="19" t="str">
        <f>IF($B3827="","",IFERROR(INDEX(Config!$D$9:$D$29,MATCH($B3827,Config!$B$9:$B$29,0))&amp;"",""))</f>
        <v/>
      </c>
    </row>
    <row r="3828">
      <c r="R3828" s="20" t="str">
        <f>IF($B3828="","",IFERROR(IF(INDEX(Config!$D$9:$D$29,MATCH($B3828,Config!$B$9:$B$29,0))="Contrato",IF(INDEX(Config!$E$9:$E$29,MATCH($B3828,Config!$B$9:$B$29,0))="","",INDEX(Config!$E$9:$E$29,MATCH($B3828,Config!$B$9:$B$29,0))),""),""))</f>
        <v/>
      </c>
      <c r="AC3828" s="19" t="str">
        <f>IF($B3828="","",IFERROR(INDEX(Config!$D$9:$D$29,MATCH($B3828,Config!$B$9:$B$29,0))&amp;"",""))</f>
        <v/>
      </c>
    </row>
    <row r="3829">
      <c r="R3829" s="20" t="str">
        <f>IF($B3829="","",IFERROR(IF(INDEX(Config!$D$9:$D$29,MATCH($B3829,Config!$B$9:$B$29,0))="Contrato",IF(INDEX(Config!$E$9:$E$29,MATCH($B3829,Config!$B$9:$B$29,0))="","",INDEX(Config!$E$9:$E$29,MATCH($B3829,Config!$B$9:$B$29,0))),""),""))</f>
        <v/>
      </c>
      <c r="AC3829" s="19" t="str">
        <f>IF($B3829="","",IFERROR(INDEX(Config!$D$9:$D$29,MATCH($B3829,Config!$B$9:$B$29,0))&amp;"",""))</f>
        <v/>
      </c>
    </row>
    <row r="3830">
      <c r="R3830" s="20" t="str">
        <f>IF($B3830="","",IFERROR(IF(INDEX(Config!$D$9:$D$29,MATCH($B3830,Config!$B$9:$B$29,0))="Contrato",IF(INDEX(Config!$E$9:$E$29,MATCH($B3830,Config!$B$9:$B$29,0))="","",INDEX(Config!$E$9:$E$29,MATCH($B3830,Config!$B$9:$B$29,0))),""),""))</f>
        <v/>
      </c>
      <c r="AC3830" s="19" t="str">
        <f>IF($B3830="","",IFERROR(INDEX(Config!$D$9:$D$29,MATCH($B3830,Config!$B$9:$B$29,0))&amp;"",""))</f>
        <v/>
      </c>
    </row>
    <row r="3831">
      <c r="R3831" s="20" t="str">
        <f>IF($B3831="","",IFERROR(IF(INDEX(Config!$D$9:$D$29,MATCH($B3831,Config!$B$9:$B$29,0))="Contrato",IF(INDEX(Config!$E$9:$E$29,MATCH($B3831,Config!$B$9:$B$29,0))="","",INDEX(Config!$E$9:$E$29,MATCH($B3831,Config!$B$9:$B$29,0))),""),""))</f>
        <v/>
      </c>
      <c r="AC3831" s="19" t="str">
        <f>IF($B3831="","",IFERROR(INDEX(Config!$D$9:$D$29,MATCH($B3831,Config!$B$9:$B$29,0))&amp;"",""))</f>
        <v/>
      </c>
    </row>
    <row r="3832">
      <c r="R3832" s="20" t="str">
        <f>IF($B3832="","",IFERROR(IF(INDEX(Config!$D$9:$D$29,MATCH($B3832,Config!$B$9:$B$29,0))="Contrato",IF(INDEX(Config!$E$9:$E$29,MATCH($B3832,Config!$B$9:$B$29,0))="","",INDEX(Config!$E$9:$E$29,MATCH($B3832,Config!$B$9:$B$29,0))),""),""))</f>
        <v/>
      </c>
      <c r="AC3832" s="19" t="str">
        <f>IF($B3832="","",IFERROR(INDEX(Config!$D$9:$D$29,MATCH($B3832,Config!$B$9:$B$29,0))&amp;"",""))</f>
        <v/>
      </c>
    </row>
    <row r="3833">
      <c r="R3833" s="20" t="str">
        <f>IF($B3833="","",IFERROR(IF(INDEX(Config!$D$9:$D$29,MATCH($B3833,Config!$B$9:$B$29,0))="Contrato",IF(INDEX(Config!$E$9:$E$29,MATCH($B3833,Config!$B$9:$B$29,0))="","",INDEX(Config!$E$9:$E$29,MATCH($B3833,Config!$B$9:$B$29,0))),""),""))</f>
        <v/>
      </c>
      <c r="AC3833" s="19" t="str">
        <f>IF($B3833="","",IFERROR(INDEX(Config!$D$9:$D$29,MATCH($B3833,Config!$B$9:$B$29,0))&amp;"",""))</f>
        <v/>
      </c>
    </row>
    <row r="3834">
      <c r="R3834" s="20" t="str">
        <f>IF($B3834="","",IFERROR(IF(INDEX(Config!$D$9:$D$29,MATCH($B3834,Config!$B$9:$B$29,0))="Contrato",IF(INDEX(Config!$E$9:$E$29,MATCH($B3834,Config!$B$9:$B$29,0))="","",INDEX(Config!$E$9:$E$29,MATCH($B3834,Config!$B$9:$B$29,0))),""),""))</f>
        <v/>
      </c>
      <c r="AC3834" s="19" t="str">
        <f>IF($B3834="","",IFERROR(INDEX(Config!$D$9:$D$29,MATCH($B3834,Config!$B$9:$B$29,0))&amp;"",""))</f>
        <v/>
      </c>
    </row>
    <row r="3835">
      <c r="R3835" s="20" t="str">
        <f>IF($B3835="","",IFERROR(IF(INDEX(Config!$D$9:$D$29,MATCH($B3835,Config!$B$9:$B$29,0))="Contrato",IF(INDEX(Config!$E$9:$E$29,MATCH($B3835,Config!$B$9:$B$29,0))="","",INDEX(Config!$E$9:$E$29,MATCH($B3835,Config!$B$9:$B$29,0))),""),""))</f>
        <v/>
      </c>
      <c r="AC3835" s="19" t="str">
        <f>IF($B3835="","",IFERROR(INDEX(Config!$D$9:$D$29,MATCH($B3835,Config!$B$9:$B$29,0))&amp;"",""))</f>
        <v/>
      </c>
    </row>
    <row r="3836">
      <c r="R3836" s="20" t="str">
        <f>IF($B3836="","",IFERROR(IF(INDEX(Config!$D$9:$D$29,MATCH($B3836,Config!$B$9:$B$29,0))="Contrato",IF(INDEX(Config!$E$9:$E$29,MATCH($B3836,Config!$B$9:$B$29,0))="","",INDEX(Config!$E$9:$E$29,MATCH($B3836,Config!$B$9:$B$29,0))),""),""))</f>
        <v/>
      </c>
      <c r="AC3836" s="19" t="str">
        <f>IF($B3836="","",IFERROR(INDEX(Config!$D$9:$D$29,MATCH($B3836,Config!$B$9:$B$29,0))&amp;"",""))</f>
        <v/>
      </c>
    </row>
    <row r="3837">
      <c r="R3837" s="20" t="str">
        <f>IF($B3837="","",IFERROR(IF(INDEX(Config!$D$9:$D$29,MATCH($B3837,Config!$B$9:$B$29,0))="Contrato",IF(INDEX(Config!$E$9:$E$29,MATCH($B3837,Config!$B$9:$B$29,0))="","",INDEX(Config!$E$9:$E$29,MATCH($B3837,Config!$B$9:$B$29,0))),""),""))</f>
        <v/>
      </c>
      <c r="AC3837" s="19" t="str">
        <f>IF($B3837="","",IFERROR(INDEX(Config!$D$9:$D$29,MATCH($B3837,Config!$B$9:$B$29,0))&amp;"",""))</f>
        <v/>
      </c>
    </row>
    <row r="3838">
      <c r="R3838" s="20" t="str">
        <f>IF($B3838="","",IFERROR(IF(INDEX(Config!$D$9:$D$29,MATCH($B3838,Config!$B$9:$B$29,0))="Contrato",IF(INDEX(Config!$E$9:$E$29,MATCH($B3838,Config!$B$9:$B$29,0))="","",INDEX(Config!$E$9:$E$29,MATCH($B3838,Config!$B$9:$B$29,0))),""),""))</f>
        <v/>
      </c>
      <c r="AC3838" s="19" t="str">
        <f>IF($B3838="","",IFERROR(INDEX(Config!$D$9:$D$29,MATCH($B3838,Config!$B$9:$B$29,0))&amp;"",""))</f>
        <v/>
      </c>
    </row>
    <row r="3839">
      <c r="R3839" s="20" t="str">
        <f>IF($B3839="","",IFERROR(IF(INDEX(Config!$D$9:$D$29,MATCH($B3839,Config!$B$9:$B$29,0))="Contrato",IF(INDEX(Config!$E$9:$E$29,MATCH($B3839,Config!$B$9:$B$29,0))="","",INDEX(Config!$E$9:$E$29,MATCH($B3839,Config!$B$9:$B$29,0))),""),""))</f>
        <v/>
      </c>
      <c r="AC3839" s="19" t="str">
        <f>IF($B3839="","",IFERROR(INDEX(Config!$D$9:$D$29,MATCH($B3839,Config!$B$9:$B$29,0))&amp;"",""))</f>
        <v/>
      </c>
    </row>
    <row r="3840">
      <c r="R3840" s="20" t="str">
        <f>IF($B3840="","",IFERROR(IF(INDEX(Config!$D$9:$D$29,MATCH($B3840,Config!$B$9:$B$29,0))="Contrato",IF(INDEX(Config!$E$9:$E$29,MATCH($B3840,Config!$B$9:$B$29,0))="","",INDEX(Config!$E$9:$E$29,MATCH($B3840,Config!$B$9:$B$29,0))),""),""))</f>
        <v/>
      </c>
      <c r="AC3840" s="19" t="str">
        <f>IF($B3840="","",IFERROR(INDEX(Config!$D$9:$D$29,MATCH($B3840,Config!$B$9:$B$29,0))&amp;"",""))</f>
        <v/>
      </c>
    </row>
    <row r="3841">
      <c r="R3841" s="20" t="str">
        <f>IF($B3841="","",IFERROR(IF(INDEX(Config!$D$9:$D$29,MATCH($B3841,Config!$B$9:$B$29,0))="Contrato",IF(INDEX(Config!$E$9:$E$29,MATCH($B3841,Config!$B$9:$B$29,0))="","",INDEX(Config!$E$9:$E$29,MATCH($B3841,Config!$B$9:$B$29,0))),""),""))</f>
        <v/>
      </c>
      <c r="AC3841" s="19" t="str">
        <f>IF($B3841="","",IFERROR(INDEX(Config!$D$9:$D$29,MATCH($B3841,Config!$B$9:$B$29,0))&amp;"",""))</f>
        <v/>
      </c>
    </row>
    <row r="3842">
      <c r="R3842" s="20" t="str">
        <f>IF($B3842="","",IFERROR(IF(INDEX(Config!$D$9:$D$29,MATCH($B3842,Config!$B$9:$B$29,0))="Contrato",IF(INDEX(Config!$E$9:$E$29,MATCH($B3842,Config!$B$9:$B$29,0))="","",INDEX(Config!$E$9:$E$29,MATCH($B3842,Config!$B$9:$B$29,0))),""),""))</f>
        <v/>
      </c>
      <c r="AC3842" s="19" t="str">
        <f>IF($B3842="","",IFERROR(INDEX(Config!$D$9:$D$29,MATCH($B3842,Config!$B$9:$B$29,0))&amp;"",""))</f>
        <v/>
      </c>
    </row>
    <row r="3843">
      <c r="R3843" s="20" t="str">
        <f>IF($B3843="","",IFERROR(IF(INDEX(Config!$D$9:$D$29,MATCH($B3843,Config!$B$9:$B$29,0))="Contrato",IF(INDEX(Config!$E$9:$E$29,MATCH($B3843,Config!$B$9:$B$29,0))="","",INDEX(Config!$E$9:$E$29,MATCH($B3843,Config!$B$9:$B$29,0))),""),""))</f>
        <v/>
      </c>
      <c r="AC3843" s="19" t="str">
        <f>IF($B3843="","",IFERROR(INDEX(Config!$D$9:$D$29,MATCH($B3843,Config!$B$9:$B$29,0))&amp;"",""))</f>
        <v/>
      </c>
    </row>
    <row r="3844">
      <c r="R3844" s="20" t="str">
        <f>IF($B3844="","",IFERROR(IF(INDEX(Config!$D$9:$D$29,MATCH($B3844,Config!$B$9:$B$29,0))="Contrato",IF(INDEX(Config!$E$9:$E$29,MATCH($B3844,Config!$B$9:$B$29,0))="","",INDEX(Config!$E$9:$E$29,MATCH($B3844,Config!$B$9:$B$29,0))),""),""))</f>
        <v/>
      </c>
      <c r="AC3844" s="19" t="str">
        <f>IF($B3844="","",IFERROR(INDEX(Config!$D$9:$D$29,MATCH($B3844,Config!$B$9:$B$29,0))&amp;"",""))</f>
        <v/>
      </c>
    </row>
    <row r="3845">
      <c r="R3845" s="20" t="str">
        <f>IF($B3845="","",IFERROR(IF(INDEX(Config!$D$9:$D$29,MATCH($B3845,Config!$B$9:$B$29,0))="Contrato",IF(INDEX(Config!$E$9:$E$29,MATCH($B3845,Config!$B$9:$B$29,0))="","",INDEX(Config!$E$9:$E$29,MATCH($B3845,Config!$B$9:$B$29,0))),""),""))</f>
        <v/>
      </c>
      <c r="AC3845" s="19" t="str">
        <f>IF($B3845="","",IFERROR(INDEX(Config!$D$9:$D$29,MATCH($B3845,Config!$B$9:$B$29,0))&amp;"",""))</f>
        <v/>
      </c>
    </row>
    <row r="3846">
      <c r="R3846" s="20" t="str">
        <f>IF($B3846="","",IFERROR(IF(INDEX(Config!$D$9:$D$29,MATCH($B3846,Config!$B$9:$B$29,0))="Contrato",IF(INDEX(Config!$E$9:$E$29,MATCH($B3846,Config!$B$9:$B$29,0))="","",INDEX(Config!$E$9:$E$29,MATCH($B3846,Config!$B$9:$B$29,0))),""),""))</f>
        <v/>
      </c>
      <c r="AC3846" s="19" t="str">
        <f>IF($B3846="","",IFERROR(INDEX(Config!$D$9:$D$29,MATCH($B3846,Config!$B$9:$B$29,0))&amp;"",""))</f>
        <v/>
      </c>
    </row>
    <row r="3847">
      <c r="R3847" s="20" t="str">
        <f>IF($B3847="","",IFERROR(IF(INDEX(Config!$D$9:$D$29,MATCH($B3847,Config!$B$9:$B$29,0))="Contrato",IF(INDEX(Config!$E$9:$E$29,MATCH($B3847,Config!$B$9:$B$29,0))="","",INDEX(Config!$E$9:$E$29,MATCH($B3847,Config!$B$9:$B$29,0))),""),""))</f>
        <v/>
      </c>
      <c r="AC3847" s="19" t="str">
        <f>IF($B3847="","",IFERROR(INDEX(Config!$D$9:$D$29,MATCH($B3847,Config!$B$9:$B$29,0))&amp;"",""))</f>
        <v/>
      </c>
    </row>
    <row r="3848">
      <c r="R3848" s="20" t="str">
        <f>IF($B3848="","",IFERROR(IF(INDEX(Config!$D$9:$D$29,MATCH($B3848,Config!$B$9:$B$29,0))="Contrato",IF(INDEX(Config!$E$9:$E$29,MATCH($B3848,Config!$B$9:$B$29,0))="","",INDEX(Config!$E$9:$E$29,MATCH($B3848,Config!$B$9:$B$29,0))),""),""))</f>
        <v/>
      </c>
      <c r="AC3848" s="19" t="str">
        <f>IF($B3848="","",IFERROR(INDEX(Config!$D$9:$D$29,MATCH($B3848,Config!$B$9:$B$29,0))&amp;"",""))</f>
        <v/>
      </c>
    </row>
    <row r="3849">
      <c r="R3849" s="20" t="str">
        <f>IF($B3849="","",IFERROR(IF(INDEX(Config!$D$9:$D$29,MATCH($B3849,Config!$B$9:$B$29,0))="Contrato",IF(INDEX(Config!$E$9:$E$29,MATCH($B3849,Config!$B$9:$B$29,0))="","",INDEX(Config!$E$9:$E$29,MATCH($B3849,Config!$B$9:$B$29,0))),""),""))</f>
        <v/>
      </c>
      <c r="AC3849" s="19" t="str">
        <f>IF($B3849="","",IFERROR(INDEX(Config!$D$9:$D$29,MATCH($B3849,Config!$B$9:$B$29,0))&amp;"",""))</f>
        <v/>
      </c>
    </row>
    <row r="3850">
      <c r="R3850" s="20" t="str">
        <f>IF($B3850="","",IFERROR(IF(INDEX(Config!$D$9:$D$29,MATCH($B3850,Config!$B$9:$B$29,0))="Contrato",IF(INDEX(Config!$E$9:$E$29,MATCH($B3850,Config!$B$9:$B$29,0))="","",INDEX(Config!$E$9:$E$29,MATCH($B3850,Config!$B$9:$B$29,0))),""),""))</f>
        <v/>
      </c>
      <c r="AC3850" s="19" t="str">
        <f>IF($B3850="","",IFERROR(INDEX(Config!$D$9:$D$29,MATCH($B3850,Config!$B$9:$B$29,0))&amp;"",""))</f>
        <v/>
      </c>
    </row>
    <row r="3851">
      <c r="R3851" s="20" t="str">
        <f>IF($B3851="","",IFERROR(IF(INDEX(Config!$D$9:$D$29,MATCH($B3851,Config!$B$9:$B$29,0))="Contrato",IF(INDEX(Config!$E$9:$E$29,MATCH($B3851,Config!$B$9:$B$29,0))="","",INDEX(Config!$E$9:$E$29,MATCH($B3851,Config!$B$9:$B$29,0))),""),""))</f>
        <v/>
      </c>
      <c r="AC3851" s="19" t="str">
        <f>IF($B3851="","",IFERROR(INDEX(Config!$D$9:$D$29,MATCH($B3851,Config!$B$9:$B$29,0))&amp;"",""))</f>
        <v/>
      </c>
    </row>
    <row r="3852">
      <c r="R3852" s="20" t="str">
        <f>IF($B3852="","",IFERROR(IF(INDEX(Config!$D$9:$D$29,MATCH($B3852,Config!$B$9:$B$29,0))="Contrato",IF(INDEX(Config!$E$9:$E$29,MATCH($B3852,Config!$B$9:$B$29,0))="","",INDEX(Config!$E$9:$E$29,MATCH($B3852,Config!$B$9:$B$29,0))),""),""))</f>
        <v/>
      </c>
      <c r="AC3852" s="19" t="str">
        <f>IF($B3852="","",IFERROR(INDEX(Config!$D$9:$D$29,MATCH($B3852,Config!$B$9:$B$29,0))&amp;"",""))</f>
        <v/>
      </c>
    </row>
    <row r="3853">
      <c r="R3853" s="20" t="str">
        <f>IF($B3853="","",IFERROR(IF(INDEX(Config!$D$9:$D$29,MATCH($B3853,Config!$B$9:$B$29,0))="Contrato",IF(INDEX(Config!$E$9:$E$29,MATCH($B3853,Config!$B$9:$B$29,0))="","",INDEX(Config!$E$9:$E$29,MATCH($B3853,Config!$B$9:$B$29,0))),""),""))</f>
        <v/>
      </c>
      <c r="AC3853" s="19" t="str">
        <f>IF($B3853="","",IFERROR(INDEX(Config!$D$9:$D$29,MATCH($B3853,Config!$B$9:$B$29,0))&amp;"",""))</f>
        <v/>
      </c>
    </row>
    <row r="3854">
      <c r="R3854" s="20" t="str">
        <f>IF($B3854="","",IFERROR(IF(INDEX(Config!$D$9:$D$29,MATCH($B3854,Config!$B$9:$B$29,0))="Contrato",IF(INDEX(Config!$E$9:$E$29,MATCH($B3854,Config!$B$9:$B$29,0))="","",INDEX(Config!$E$9:$E$29,MATCH($B3854,Config!$B$9:$B$29,0))),""),""))</f>
        <v/>
      </c>
      <c r="AC3854" s="19" t="str">
        <f>IF($B3854="","",IFERROR(INDEX(Config!$D$9:$D$29,MATCH($B3854,Config!$B$9:$B$29,0))&amp;"",""))</f>
        <v/>
      </c>
    </row>
    <row r="3855">
      <c r="R3855" s="20" t="str">
        <f>IF($B3855="","",IFERROR(IF(INDEX(Config!$D$9:$D$29,MATCH($B3855,Config!$B$9:$B$29,0))="Contrato",IF(INDEX(Config!$E$9:$E$29,MATCH($B3855,Config!$B$9:$B$29,0))="","",INDEX(Config!$E$9:$E$29,MATCH($B3855,Config!$B$9:$B$29,0))),""),""))</f>
        <v/>
      </c>
      <c r="AC3855" s="19" t="str">
        <f>IF($B3855="","",IFERROR(INDEX(Config!$D$9:$D$29,MATCH($B3855,Config!$B$9:$B$29,0))&amp;"",""))</f>
        <v/>
      </c>
    </row>
    <row r="3856">
      <c r="R3856" s="20" t="str">
        <f>IF($B3856="","",IFERROR(IF(INDEX(Config!$D$9:$D$29,MATCH($B3856,Config!$B$9:$B$29,0))="Contrato",IF(INDEX(Config!$E$9:$E$29,MATCH($B3856,Config!$B$9:$B$29,0))="","",INDEX(Config!$E$9:$E$29,MATCH($B3856,Config!$B$9:$B$29,0))),""),""))</f>
        <v/>
      </c>
      <c r="AC3856" s="19" t="str">
        <f>IF($B3856="","",IFERROR(INDEX(Config!$D$9:$D$29,MATCH($B3856,Config!$B$9:$B$29,0))&amp;"",""))</f>
        <v/>
      </c>
    </row>
    <row r="3857">
      <c r="R3857" s="20" t="str">
        <f>IF($B3857="","",IFERROR(IF(INDEX(Config!$D$9:$D$29,MATCH($B3857,Config!$B$9:$B$29,0))="Contrato",IF(INDEX(Config!$E$9:$E$29,MATCH($B3857,Config!$B$9:$B$29,0))="","",INDEX(Config!$E$9:$E$29,MATCH($B3857,Config!$B$9:$B$29,0))),""),""))</f>
        <v/>
      </c>
      <c r="AC3857" s="19" t="str">
        <f>IF($B3857="","",IFERROR(INDEX(Config!$D$9:$D$29,MATCH($B3857,Config!$B$9:$B$29,0))&amp;"",""))</f>
        <v/>
      </c>
    </row>
    <row r="3858">
      <c r="R3858" s="20" t="str">
        <f>IF($B3858="","",IFERROR(IF(INDEX(Config!$D$9:$D$29,MATCH($B3858,Config!$B$9:$B$29,0))="Contrato",IF(INDEX(Config!$E$9:$E$29,MATCH($B3858,Config!$B$9:$B$29,0))="","",INDEX(Config!$E$9:$E$29,MATCH($B3858,Config!$B$9:$B$29,0))),""),""))</f>
        <v/>
      </c>
      <c r="AC3858" s="19" t="str">
        <f>IF($B3858="","",IFERROR(INDEX(Config!$D$9:$D$29,MATCH($B3858,Config!$B$9:$B$29,0))&amp;"",""))</f>
        <v/>
      </c>
    </row>
    <row r="3859">
      <c r="R3859" s="20" t="str">
        <f>IF($B3859="","",IFERROR(IF(INDEX(Config!$D$9:$D$29,MATCH($B3859,Config!$B$9:$B$29,0))="Contrato",IF(INDEX(Config!$E$9:$E$29,MATCH($B3859,Config!$B$9:$B$29,0))="","",INDEX(Config!$E$9:$E$29,MATCH($B3859,Config!$B$9:$B$29,0))),""),""))</f>
        <v/>
      </c>
      <c r="AC3859" s="19" t="str">
        <f>IF($B3859="","",IFERROR(INDEX(Config!$D$9:$D$29,MATCH($B3859,Config!$B$9:$B$29,0))&amp;"",""))</f>
        <v/>
      </c>
    </row>
    <row r="3860">
      <c r="R3860" s="20" t="str">
        <f>IF($B3860="","",IFERROR(IF(INDEX(Config!$D$9:$D$29,MATCH($B3860,Config!$B$9:$B$29,0))="Contrato",IF(INDEX(Config!$E$9:$E$29,MATCH($B3860,Config!$B$9:$B$29,0))="","",INDEX(Config!$E$9:$E$29,MATCH($B3860,Config!$B$9:$B$29,0))),""),""))</f>
        <v/>
      </c>
      <c r="AC3860" s="19" t="str">
        <f>IF($B3860="","",IFERROR(INDEX(Config!$D$9:$D$29,MATCH($B3860,Config!$B$9:$B$29,0))&amp;"",""))</f>
        <v/>
      </c>
    </row>
    <row r="3861">
      <c r="R3861" s="20" t="str">
        <f>IF($B3861="","",IFERROR(IF(INDEX(Config!$D$9:$D$29,MATCH($B3861,Config!$B$9:$B$29,0))="Contrato",IF(INDEX(Config!$E$9:$E$29,MATCH($B3861,Config!$B$9:$B$29,0))="","",INDEX(Config!$E$9:$E$29,MATCH($B3861,Config!$B$9:$B$29,0))),""),""))</f>
        <v/>
      </c>
      <c r="AC3861" s="19" t="str">
        <f>IF($B3861="","",IFERROR(INDEX(Config!$D$9:$D$29,MATCH($B3861,Config!$B$9:$B$29,0))&amp;"",""))</f>
        <v/>
      </c>
    </row>
    <row r="3862">
      <c r="R3862" s="20" t="str">
        <f>IF($B3862="","",IFERROR(IF(INDEX(Config!$D$9:$D$29,MATCH($B3862,Config!$B$9:$B$29,0))="Contrato",IF(INDEX(Config!$E$9:$E$29,MATCH($B3862,Config!$B$9:$B$29,0))="","",INDEX(Config!$E$9:$E$29,MATCH($B3862,Config!$B$9:$B$29,0))),""),""))</f>
        <v/>
      </c>
      <c r="AC3862" s="19" t="str">
        <f>IF($B3862="","",IFERROR(INDEX(Config!$D$9:$D$29,MATCH($B3862,Config!$B$9:$B$29,0))&amp;"",""))</f>
        <v/>
      </c>
    </row>
    <row r="3863">
      <c r="R3863" s="20" t="str">
        <f>IF($B3863="","",IFERROR(IF(INDEX(Config!$D$9:$D$29,MATCH($B3863,Config!$B$9:$B$29,0))="Contrato",IF(INDEX(Config!$E$9:$E$29,MATCH($B3863,Config!$B$9:$B$29,0))="","",INDEX(Config!$E$9:$E$29,MATCH($B3863,Config!$B$9:$B$29,0))),""),""))</f>
        <v/>
      </c>
      <c r="AC3863" s="19" t="str">
        <f>IF($B3863="","",IFERROR(INDEX(Config!$D$9:$D$29,MATCH($B3863,Config!$B$9:$B$29,0))&amp;"",""))</f>
        <v/>
      </c>
    </row>
    <row r="3864">
      <c r="R3864" s="20" t="str">
        <f>IF($B3864="","",IFERROR(IF(INDEX(Config!$D$9:$D$29,MATCH($B3864,Config!$B$9:$B$29,0))="Contrato",IF(INDEX(Config!$E$9:$E$29,MATCH($B3864,Config!$B$9:$B$29,0))="","",INDEX(Config!$E$9:$E$29,MATCH($B3864,Config!$B$9:$B$29,0))),""),""))</f>
        <v/>
      </c>
      <c r="AC3864" s="19" t="str">
        <f>IF($B3864="","",IFERROR(INDEX(Config!$D$9:$D$29,MATCH($B3864,Config!$B$9:$B$29,0))&amp;"",""))</f>
        <v/>
      </c>
    </row>
    <row r="3865">
      <c r="R3865" s="20" t="str">
        <f>IF($B3865="","",IFERROR(IF(INDEX(Config!$D$9:$D$29,MATCH($B3865,Config!$B$9:$B$29,0))="Contrato",IF(INDEX(Config!$E$9:$E$29,MATCH($B3865,Config!$B$9:$B$29,0))="","",INDEX(Config!$E$9:$E$29,MATCH($B3865,Config!$B$9:$B$29,0))),""),""))</f>
        <v/>
      </c>
      <c r="AC3865" s="19" t="str">
        <f>IF($B3865="","",IFERROR(INDEX(Config!$D$9:$D$29,MATCH($B3865,Config!$B$9:$B$29,0))&amp;"",""))</f>
        <v/>
      </c>
    </row>
    <row r="3866">
      <c r="R3866" s="20" t="str">
        <f>IF($B3866="","",IFERROR(IF(INDEX(Config!$D$9:$D$29,MATCH($B3866,Config!$B$9:$B$29,0))="Contrato",IF(INDEX(Config!$E$9:$E$29,MATCH($B3866,Config!$B$9:$B$29,0))="","",INDEX(Config!$E$9:$E$29,MATCH($B3866,Config!$B$9:$B$29,0))),""),""))</f>
        <v/>
      </c>
      <c r="AC3866" s="19" t="str">
        <f>IF($B3866="","",IFERROR(INDEX(Config!$D$9:$D$29,MATCH($B3866,Config!$B$9:$B$29,0))&amp;"",""))</f>
        <v/>
      </c>
    </row>
    <row r="3867">
      <c r="R3867" s="20" t="str">
        <f>IF($B3867="","",IFERROR(IF(INDEX(Config!$D$9:$D$29,MATCH($B3867,Config!$B$9:$B$29,0))="Contrato",IF(INDEX(Config!$E$9:$E$29,MATCH($B3867,Config!$B$9:$B$29,0))="","",INDEX(Config!$E$9:$E$29,MATCH($B3867,Config!$B$9:$B$29,0))),""),""))</f>
        <v/>
      </c>
      <c r="AC3867" s="19" t="str">
        <f>IF($B3867="","",IFERROR(INDEX(Config!$D$9:$D$29,MATCH($B3867,Config!$B$9:$B$29,0))&amp;"",""))</f>
        <v/>
      </c>
    </row>
    <row r="3868">
      <c r="R3868" s="20" t="str">
        <f>IF($B3868="","",IFERROR(IF(INDEX(Config!$D$9:$D$29,MATCH($B3868,Config!$B$9:$B$29,0))="Contrato",IF(INDEX(Config!$E$9:$E$29,MATCH($B3868,Config!$B$9:$B$29,0))="","",INDEX(Config!$E$9:$E$29,MATCH($B3868,Config!$B$9:$B$29,0))),""),""))</f>
        <v/>
      </c>
      <c r="AC3868" s="19" t="str">
        <f>IF($B3868="","",IFERROR(INDEX(Config!$D$9:$D$29,MATCH($B3868,Config!$B$9:$B$29,0))&amp;"",""))</f>
        <v/>
      </c>
    </row>
    <row r="3869">
      <c r="R3869" s="20" t="str">
        <f>IF($B3869="","",IFERROR(IF(INDEX(Config!$D$9:$D$29,MATCH($B3869,Config!$B$9:$B$29,0))="Contrato",IF(INDEX(Config!$E$9:$E$29,MATCH($B3869,Config!$B$9:$B$29,0))="","",INDEX(Config!$E$9:$E$29,MATCH($B3869,Config!$B$9:$B$29,0))),""),""))</f>
        <v/>
      </c>
      <c r="AC3869" s="19" t="str">
        <f>IF($B3869="","",IFERROR(INDEX(Config!$D$9:$D$29,MATCH($B3869,Config!$B$9:$B$29,0))&amp;"",""))</f>
        <v/>
      </c>
    </row>
    <row r="3870">
      <c r="R3870" s="20" t="str">
        <f>IF($B3870="","",IFERROR(IF(INDEX(Config!$D$9:$D$29,MATCH($B3870,Config!$B$9:$B$29,0))="Contrato",IF(INDEX(Config!$E$9:$E$29,MATCH($B3870,Config!$B$9:$B$29,0))="","",INDEX(Config!$E$9:$E$29,MATCH($B3870,Config!$B$9:$B$29,0))),""),""))</f>
        <v/>
      </c>
      <c r="AC3870" s="19" t="str">
        <f>IF($B3870="","",IFERROR(INDEX(Config!$D$9:$D$29,MATCH($B3870,Config!$B$9:$B$29,0))&amp;"",""))</f>
        <v/>
      </c>
    </row>
    <row r="3871">
      <c r="R3871" s="20" t="str">
        <f>IF($B3871="","",IFERROR(IF(INDEX(Config!$D$9:$D$29,MATCH($B3871,Config!$B$9:$B$29,0))="Contrato",IF(INDEX(Config!$E$9:$E$29,MATCH($B3871,Config!$B$9:$B$29,0))="","",INDEX(Config!$E$9:$E$29,MATCH($B3871,Config!$B$9:$B$29,0))),""),""))</f>
        <v/>
      </c>
      <c r="AC3871" s="19" t="str">
        <f>IF($B3871="","",IFERROR(INDEX(Config!$D$9:$D$29,MATCH($B3871,Config!$B$9:$B$29,0))&amp;"",""))</f>
        <v/>
      </c>
    </row>
    <row r="3872">
      <c r="R3872" s="20" t="str">
        <f>IF($B3872="","",IFERROR(IF(INDEX(Config!$D$9:$D$29,MATCH($B3872,Config!$B$9:$B$29,0))="Contrato",IF(INDEX(Config!$E$9:$E$29,MATCH($B3872,Config!$B$9:$B$29,0))="","",INDEX(Config!$E$9:$E$29,MATCH($B3872,Config!$B$9:$B$29,0))),""),""))</f>
        <v/>
      </c>
      <c r="AC3872" s="19" t="str">
        <f>IF($B3872="","",IFERROR(INDEX(Config!$D$9:$D$29,MATCH($B3872,Config!$B$9:$B$29,0))&amp;"",""))</f>
        <v/>
      </c>
    </row>
    <row r="3873">
      <c r="R3873" s="20" t="str">
        <f>IF($B3873="","",IFERROR(IF(INDEX(Config!$D$9:$D$29,MATCH($B3873,Config!$B$9:$B$29,0))="Contrato",IF(INDEX(Config!$E$9:$E$29,MATCH($B3873,Config!$B$9:$B$29,0))="","",INDEX(Config!$E$9:$E$29,MATCH($B3873,Config!$B$9:$B$29,0))),""),""))</f>
        <v/>
      </c>
      <c r="AC3873" s="19" t="str">
        <f>IF($B3873="","",IFERROR(INDEX(Config!$D$9:$D$29,MATCH($B3873,Config!$B$9:$B$29,0))&amp;"",""))</f>
        <v/>
      </c>
    </row>
    <row r="3874">
      <c r="R3874" s="20" t="str">
        <f>IF($B3874="","",IFERROR(IF(INDEX(Config!$D$9:$D$29,MATCH($B3874,Config!$B$9:$B$29,0))="Contrato",IF(INDEX(Config!$E$9:$E$29,MATCH($B3874,Config!$B$9:$B$29,0))="","",INDEX(Config!$E$9:$E$29,MATCH($B3874,Config!$B$9:$B$29,0))),""),""))</f>
        <v/>
      </c>
      <c r="AC3874" s="19" t="str">
        <f>IF($B3874="","",IFERROR(INDEX(Config!$D$9:$D$29,MATCH($B3874,Config!$B$9:$B$29,0))&amp;"",""))</f>
        <v/>
      </c>
    </row>
    <row r="3875">
      <c r="R3875" s="20" t="str">
        <f>IF($B3875="","",IFERROR(IF(INDEX(Config!$D$9:$D$29,MATCH($B3875,Config!$B$9:$B$29,0))="Contrato",IF(INDEX(Config!$E$9:$E$29,MATCH($B3875,Config!$B$9:$B$29,0))="","",INDEX(Config!$E$9:$E$29,MATCH($B3875,Config!$B$9:$B$29,0))),""),""))</f>
        <v/>
      </c>
      <c r="AC3875" s="19" t="str">
        <f>IF($B3875="","",IFERROR(INDEX(Config!$D$9:$D$29,MATCH($B3875,Config!$B$9:$B$29,0))&amp;"",""))</f>
        <v/>
      </c>
    </row>
    <row r="3876">
      <c r="R3876" s="20" t="str">
        <f>IF($B3876="","",IFERROR(IF(INDEX(Config!$D$9:$D$29,MATCH($B3876,Config!$B$9:$B$29,0))="Contrato",IF(INDEX(Config!$E$9:$E$29,MATCH($B3876,Config!$B$9:$B$29,0))="","",INDEX(Config!$E$9:$E$29,MATCH($B3876,Config!$B$9:$B$29,0))),""),""))</f>
        <v/>
      </c>
      <c r="AC3876" s="19" t="str">
        <f>IF($B3876="","",IFERROR(INDEX(Config!$D$9:$D$29,MATCH($B3876,Config!$B$9:$B$29,0))&amp;"",""))</f>
        <v/>
      </c>
    </row>
    <row r="3877">
      <c r="R3877" s="20" t="str">
        <f>IF($B3877="","",IFERROR(IF(INDEX(Config!$D$9:$D$29,MATCH($B3877,Config!$B$9:$B$29,0))="Contrato",IF(INDEX(Config!$E$9:$E$29,MATCH($B3877,Config!$B$9:$B$29,0))="","",INDEX(Config!$E$9:$E$29,MATCH($B3877,Config!$B$9:$B$29,0))),""),""))</f>
        <v/>
      </c>
      <c r="AC3877" s="19" t="str">
        <f>IF($B3877="","",IFERROR(INDEX(Config!$D$9:$D$29,MATCH($B3877,Config!$B$9:$B$29,0))&amp;"",""))</f>
        <v/>
      </c>
    </row>
    <row r="3878">
      <c r="R3878" s="20" t="str">
        <f>IF($B3878="","",IFERROR(IF(INDEX(Config!$D$9:$D$29,MATCH($B3878,Config!$B$9:$B$29,0))="Contrato",IF(INDEX(Config!$E$9:$E$29,MATCH($B3878,Config!$B$9:$B$29,0))="","",INDEX(Config!$E$9:$E$29,MATCH($B3878,Config!$B$9:$B$29,0))),""),""))</f>
        <v/>
      </c>
      <c r="AC3878" s="19" t="str">
        <f>IF($B3878="","",IFERROR(INDEX(Config!$D$9:$D$29,MATCH($B3878,Config!$B$9:$B$29,0))&amp;"",""))</f>
        <v/>
      </c>
    </row>
    <row r="3879">
      <c r="R3879" s="20" t="str">
        <f>IF($B3879="","",IFERROR(IF(INDEX(Config!$D$9:$D$29,MATCH($B3879,Config!$B$9:$B$29,0))="Contrato",IF(INDEX(Config!$E$9:$E$29,MATCH($B3879,Config!$B$9:$B$29,0))="","",INDEX(Config!$E$9:$E$29,MATCH($B3879,Config!$B$9:$B$29,0))),""),""))</f>
        <v/>
      </c>
      <c r="AC3879" s="19" t="str">
        <f>IF($B3879="","",IFERROR(INDEX(Config!$D$9:$D$29,MATCH($B3879,Config!$B$9:$B$29,0))&amp;"",""))</f>
        <v/>
      </c>
    </row>
    <row r="3880">
      <c r="R3880" s="20" t="str">
        <f>IF($B3880="","",IFERROR(IF(INDEX(Config!$D$9:$D$29,MATCH($B3880,Config!$B$9:$B$29,0))="Contrato",IF(INDEX(Config!$E$9:$E$29,MATCH($B3880,Config!$B$9:$B$29,0))="","",INDEX(Config!$E$9:$E$29,MATCH($B3880,Config!$B$9:$B$29,0))),""),""))</f>
        <v/>
      </c>
      <c r="AC3880" s="19" t="str">
        <f>IF($B3880="","",IFERROR(INDEX(Config!$D$9:$D$29,MATCH($B3880,Config!$B$9:$B$29,0))&amp;"",""))</f>
        <v/>
      </c>
    </row>
    <row r="3881">
      <c r="R3881" s="20" t="str">
        <f>IF($B3881="","",IFERROR(IF(INDEX(Config!$D$9:$D$29,MATCH($B3881,Config!$B$9:$B$29,0))="Contrato",IF(INDEX(Config!$E$9:$E$29,MATCH($B3881,Config!$B$9:$B$29,0))="","",INDEX(Config!$E$9:$E$29,MATCH($B3881,Config!$B$9:$B$29,0))),""),""))</f>
        <v/>
      </c>
      <c r="AC3881" s="19" t="str">
        <f>IF($B3881="","",IFERROR(INDEX(Config!$D$9:$D$29,MATCH($B3881,Config!$B$9:$B$29,0))&amp;"",""))</f>
        <v/>
      </c>
    </row>
    <row r="3882">
      <c r="R3882" s="20" t="str">
        <f>IF($B3882="","",IFERROR(IF(INDEX(Config!$D$9:$D$29,MATCH($B3882,Config!$B$9:$B$29,0))="Contrato",IF(INDEX(Config!$E$9:$E$29,MATCH($B3882,Config!$B$9:$B$29,0))="","",INDEX(Config!$E$9:$E$29,MATCH($B3882,Config!$B$9:$B$29,0))),""),""))</f>
        <v/>
      </c>
      <c r="AC3882" s="19" t="str">
        <f>IF($B3882="","",IFERROR(INDEX(Config!$D$9:$D$29,MATCH($B3882,Config!$B$9:$B$29,0))&amp;"",""))</f>
        <v/>
      </c>
    </row>
    <row r="3883">
      <c r="R3883" s="20" t="str">
        <f>IF($B3883="","",IFERROR(IF(INDEX(Config!$D$9:$D$29,MATCH($B3883,Config!$B$9:$B$29,0))="Contrato",IF(INDEX(Config!$E$9:$E$29,MATCH($B3883,Config!$B$9:$B$29,0))="","",INDEX(Config!$E$9:$E$29,MATCH($B3883,Config!$B$9:$B$29,0))),""),""))</f>
        <v/>
      </c>
      <c r="AC3883" s="19" t="str">
        <f>IF($B3883="","",IFERROR(INDEX(Config!$D$9:$D$29,MATCH($B3883,Config!$B$9:$B$29,0))&amp;"",""))</f>
        <v/>
      </c>
    </row>
    <row r="3884">
      <c r="R3884" s="20" t="str">
        <f>IF($B3884="","",IFERROR(IF(INDEX(Config!$D$9:$D$29,MATCH($B3884,Config!$B$9:$B$29,0))="Contrato",IF(INDEX(Config!$E$9:$E$29,MATCH($B3884,Config!$B$9:$B$29,0))="","",INDEX(Config!$E$9:$E$29,MATCH($B3884,Config!$B$9:$B$29,0))),""),""))</f>
        <v/>
      </c>
      <c r="AC3884" s="19" t="str">
        <f>IF($B3884="","",IFERROR(INDEX(Config!$D$9:$D$29,MATCH($B3884,Config!$B$9:$B$29,0))&amp;"",""))</f>
        <v/>
      </c>
    </row>
    <row r="3885">
      <c r="R3885" s="20" t="str">
        <f>IF($B3885="","",IFERROR(IF(INDEX(Config!$D$9:$D$29,MATCH($B3885,Config!$B$9:$B$29,0))="Contrato",IF(INDEX(Config!$E$9:$E$29,MATCH($B3885,Config!$B$9:$B$29,0))="","",INDEX(Config!$E$9:$E$29,MATCH($B3885,Config!$B$9:$B$29,0))),""),""))</f>
        <v/>
      </c>
      <c r="AC3885" s="19" t="str">
        <f>IF($B3885="","",IFERROR(INDEX(Config!$D$9:$D$29,MATCH($B3885,Config!$B$9:$B$29,0))&amp;"",""))</f>
        <v/>
      </c>
    </row>
    <row r="3886">
      <c r="R3886" s="20" t="str">
        <f>IF($B3886="","",IFERROR(IF(INDEX(Config!$D$9:$D$29,MATCH($B3886,Config!$B$9:$B$29,0))="Contrato",IF(INDEX(Config!$E$9:$E$29,MATCH($B3886,Config!$B$9:$B$29,0))="","",INDEX(Config!$E$9:$E$29,MATCH($B3886,Config!$B$9:$B$29,0))),""),""))</f>
        <v/>
      </c>
      <c r="AC3886" s="19" t="str">
        <f>IF($B3886="","",IFERROR(INDEX(Config!$D$9:$D$29,MATCH($B3886,Config!$B$9:$B$29,0))&amp;"",""))</f>
        <v/>
      </c>
    </row>
    <row r="3887">
      <c r="R3887" s="20" t="str">
        <f>IF($B3887="","",IFERROR(IF(INDEX(Config!$D$9:$D$29,MATCH($B3887,Config!$B$9:$B$29,0))="Contrato",IF(INDEX(Config!$E$9:$E$29,MATCH($B3887,Config!$B$9:$B$29,0))="","",INDEX(Config!$E$9:$E$29,MATCH($B3887,Config!$B$9:$B$29,0))),""),""))</f>
        <v/>
      </c>
      <c r="AC3887" s="19" t="str">
        <f>IF($B3887="","",IFERROR(INDEX(Config!$D$9:$D$29,MATCH($B3887,Config!$B$9:$B$29,0))&amp;"",""))</f>
        <v/>
      </c>
    </row>
    <row r="3888">
      <c r="R3888" s="20" t="str">
        <f>IF($B3888="","",IFERROR(IF(INDEX(Config!$D$9:$D$29,MATCH($B3888,Config!$B$9:$B$29,0))="Contrato",IF(INDEX(Config!$E$9:$E$29,MATCH($B3888,Config!$B$9:$B$29,0))="","",INDEX(Config!$E$9:$E$29,MATCH($B3888,Config!$B$9:$B$29,0))),""),""))</f>
        <v/>
      </c>
      <c r="AC3888" s="19" t="str">
        <f>IF($B3888="","",IFERROR(INDEX(Config!$D$9:$D$29,MATCH($B3888,Config!$B$9:$B$29,0))&amp;"",""))</f>
        <v/>
      </c>
    </row>
    <row r="3889">
      <c r="R3889" s="20" t="str">
        <f>IF($B3889="","",IFERROR(IF(INDEX(Config!$D$9:$D$29,MATCH($B3889,Config!$B$9:$B$29,0))="Contrato",IF(INDEX(Config!$E$9:$E$29,MATCH($B3889,Config!$B$9:$B$29,0))="","",INDEX(Config!$E$9:$E$29,MATCH($B3889,Config!$B$9:$B$29,0))),""),""))</f>
        <v/>
      </c>
      <c r="AC3889" s="19" t="str">
        <f>IF($B3889="","",IFERROR(INDEX(Config!$D$9:$D$29,MATCH($B3889,Config!$B$9:$B$29,0))&amp;"",""))</f>
        <v/>
      </c>
    </row>
    <row r="3890">
      <c r="R3890" s="20" t="str">
        <f>IF($B3890="","",IFERROR(IF(INDEX(Config!$D$9:$D$29,MATCH($B3890,Config!$B$9:$B$29,0))="Contrato",IF(INDEX(Config!$E$9:$E$29,MATCH($B3890,Config!$B$9:$B$29,0))="","",INDEX(Config!$E$9:$E$29,MATCH($B3890,Config!$B$9:$B$29,0))),""),""))</f>
        <v/>
      </c>
      <c r="AC3890" s="19" t="str">
        <f>IF($B3890="","",IFERROR(INDEX(Config!$D$9:$D$29,MATCH($B3890,Config!$B$9:$B$29,0))&amp;"",""))</f>
        <v/>
      </c>
    </row>
    <row r="3891">
      <c r="R3891" s="20" t="str">
        <f>IF($B3891="","",IFERROR(IF(INDEX(Config!$D$9:$D$29,MATCH($B3891,Config!$B$9:$B$29,0))="Contrato",IF(INDEX(Config!$E$9:$E$29,MATCH($B3891,Config!$B$9:$B$29,0))="","",INDEX(Config!$E$9:$E$29,MATCH($B3891,Config!$B$9:$B$29,0))),""),""))</f>
        <v/>
      </c>
      <c r="AC3891" s="19" t="str">
        <f>IF($B3891="","",IFERROR(INDEX(Config!$D$9:$D$29,MATCH($B3891,Config!$B$9:$B$29,0))&amp;"",""))</f>
        <v/>
      </c>
    </row>
    <row r="3892">
      <c r="R3892" s="20" t="str">
        <f>IF($B3892="","",IFERROR(IF(INDEX(Config!$D$9:$D$29,MATCH($B3892,Config!$B$9:$B$29,0))="Contrato",IF(INDEX(Config!$E$9:$E$29,MATCH($B3892,Config!$B$9:$B$29,0))="","",INDEX(Config!$E$9:$E$29,MATCH($B3892,Config!$B$9:$B$29,0))),""),""))</f>
        <v/>
      </c>
      <c r="AC3892" s="19" t="str">
        <f>IF($B3892="","",IFERROR(INDEX(Config!$D$9:$D$29,MATCH($B3892,Config!$B$9:$B$29,0))&amp;"",""))</f>
        <v/>
      </c>
    </row>
    <row r="3893">
      <c r="R3893" s="20" t="str">
        <f>IF($B3893="","",IFERROR(IF(INDEX(Config!$D$9:$D$29,MATCH($B3893,Config!$B$9:$B$29,0))="Contrato",IF(INDEX(Config!$E$9:$E$29,MATCH($B3893,Config!$B$9:$B$29,0))="","",INDEX(Config!$E$9:$E$29,MATCH($B3893,Config!$B$9:$B$29,0))),""),""))</f>
        <v/>
      </c>
      <c r="AC3893" s="19" t="str">
        <f>IF($B3893="","",IFERROR(INDEX(Config!$D$9:$D$29,MATCH($B3893,Config!$B$9:$B$29,0))&amp;"",""))</f>
        <v/>
      </c>
    </row>
    <row r="3894">
      <c r="R3894" s="20" t="str">
        <f>IF($B3894="","",IFERROR(IF(INDEX(Config!$D$9:$D$29,MATCH($B3894,Config!$B$9:$B$29,0))="Contrato",IF(INDEX(Config!$E$9:$E$29,MATCH($B3894,Config!$B$9:$B$29,0))="","",INDEX(Config!$E$9:$E$29,MATCH($B3894,Config!$B$9:$B$29,0))),""),""))</f>
        <v/>
      </c>
      <c r="AC3894" s="19" t="str">
        <f>IF($B3894="","",IFERROR(INDEX(Config!$D$9:$D$29,MATCH($B3894,Config!$B$9:$B$29,0))&amp;"",""))</f>
        <v/>
      </c>
    </row>
    <row r="3895">
      <c r="R3895" s="20" t="str">
        <f>IF($B3895="","",IFERROR(IF(INDEX(Config!$D$9:$D$29,MATCH($B3895,Config!$B$9:$B$29,0))="Contrato",IF(INDEX(Config!$E$9:$E$29,MATCH($B3895,Config!$B$9:$B$29,0))="","",INDEX(Config!$E$9:$E$29,MATCH($B3895,Config!$B$9:$B$29,0))),""),""))</f>
        <v/>
      </c>
      <c r="AC3895" s="19" t="str">
        <f>IF($B3895="","",IFERROR(INDEX(Config!$D$9:$D$29,MATCH($B3895,Config!$B$9:$B$29,0))&amp;"",""))</f>
        <v/>
      </c>
    </row>
    <row r="3896">
      <c r="R3896" s="20" t="str">
        <f>IF($B3896="","",IFERROR(IF(INDEX(Config!$D$9:$D$29,MATCH($B3896,Config!$B$9:$B$29,0))="Contrato",IF(INDEX(Config!$E$9:$E$29,MATCH($B3896,Config!$B$9:$B$29,0))="","",INDEX(Config!$E$9:$E$29,MATCH($B3896,Config!$B$9:$B$29,0))),""),""))</f>
        <v/>
      </c>
      <c r="AC3896" s="19" t="str">
        <f>IF($B3896="","",IFERROR(INDEX(Config!$D$9:$D$29,MATCH($B3896,Config!$B$9:$B$29,0))&amp;"",""))</f>
        <v/>
      </c>
    </row>
    <row r="3897">
      <c r="R3897" s="20" t="str">
        <f>IF($B3897="","",IFERROR(IF(INDEX(Config!$D$9:$D$29,MATCH($B3897,Config!$B$9:$B$29,0))="Contrato",IF(INDEX(Config!$E$9:$E$29,MATCH($B3897,Config!$B$9:$B$29,0))="","",INDEX(Config!$E$9:$E$29,MATCH($B3897,Config!$B$9:$B$29,0))),""),""))</f>
        <v/>
      </c>
      <c r="AC3897" s="19" t="str">
        <f>IF($B3897="","",IFERROR(INDEX(Config!$D$9:$D$29,MATCH($B3897,Config!$B$9:$B$29,0))&amp;"",""))</f>
        <v/>
      </c>
    </row>
    <row r="3898">
      <c r="R3898" s="20" t="str">
        <f>IF($B3898="","",IFERROR(IF(INDEX(Config!$D$9:$D$29,MATCH($B3898,Config!$B$9:$B$29,0))="Contrato",IF(INDEX(Config!$E$9:$E$29,MATCH($B3898,Config!$B$9:$B$29,0))="","",INDEX(Config!$E$9:$E$29,MATCH($B3898,Config!$B$9:$B$29,0))),""),""))</f>
        <v/>
      </c>
      <c r="AC3898" s="19" t="str">
        <f>IF($B3898="","",IFERROR(INDEX(Config!$D$9:$D$29,MATCH($B3898,Config!$B$9:$B$29,0))&amp;"",""))</f>
        <v/>
      </c>
    </row>
    <row r="3899">
      <c r="R3899" s="20" t="str">
        <f>IF($B3899="","",IFERROR(IF(INDEX(Config!$D$9:$D$29,MATCH($B3899,Config!$B$9:$B$29,0))="Contrato",IF(INDEX(Config!$E$9:$E$29,MATCH($B3899,Config!$B$9:$B$29,0))="","",INDEX(Config!$E$9:$E$29,MATCH($B3899,Config!$B$9:$B$29,0))),""),""))</f>
        <v/>
      </c>
      <c r="AC3899" s="19" t="str">
        <f>IF($B3899="","",IFERROR(INDEX(Config!$D$9:$D$29,MATCH($B3899,Config!$B$9:$B$29,0))&amp;"",""))</f>
        <v/>
      </c>
    </row>
    <row r="3900">
      <c r="R3900" s="20" t="str">
        <f>IF($B3900="","",IFERROR(IF(INDEX(Config!$D$9:$D$29,MATCH($B3900,Config!$B$9:$B$29,0))="Contrato",IF(INDEX(Config!$E$9:$E$29,MATCH($B3900,Config!$B$9:$B$29,0))="","",INDEX(Config!$E$9:$E$29,MATCH($B3900,Config!$B$9:$B$29,0))),""),""))</f>
        <v/>
      </c>
      <c r="AC3900" s="19" t="str">
        <f>IF($B3900="","",IFERROR(INDEX(Config!$D$9:$D$29,MATCH($B3900,Config!$B$9:$B$29,0))&amp;"",""))</f>
        <v/>
      </c>
    </row>
    <row r="3901">
      <c r="R3901" s="20" t="str">
        <f>IF($B3901="","",IFERROR(IF(INDEX(Config!$D$9:$D$29,MATCH($B3901,Config!$B$9:$B$29,0))="Contrato",IF(INDEX(Config!$E$9:$E$29,MATCH($B3901,Config!$B$9:$B$29,0))="","",INDEX(Config!$E$9:$E$29,MATCH($B3901,Config!$B$9:$B$29,0))),""),""))</f>
        <v/>
      </c>
      <c r="AC3901" s="19" t="str">
        <f>IF($B3901="","",IFERROR(INDEX(Config!$D$9:$D$29,MATCH($B3901,Config!$B$9:$B$29,0))&amp;"",""))</f>
        <v/>
      </c>
    </row>
    <row r="3902">
      <c r="R3902" s="20" t="str">
        <f>IF($B3902="","",IFERROR(IF(INDEX(Config!$D$9:$D$29,MATCH($B3902,Config!$B$9:$B$29,0))="Contrato",IF(INDEX(Config!$E$9:$E$29,MATCH($B3902,Config!$B$9:$B$29,0))="","",INDEX(Config!$E$9:$E$29,MATCH($B3902,Config!$B$9:$B$29,0))),""),""))</f>
        <v/>
      </c>
      <c r="AC3902" s="19" t="str">
        <f>IF($B3902="","",IFERROR(INDEX(Config!$D$9:$D$29,MATCH($B3902,Config!$B$9:$B$29,0))&amp;"",""))</f>
        <v/>
      </c>
    </row>
    <row r="3903">
      <c r="R3903" s="20" t="str">
        <f>IF($B3903="","",IFERROR(IF(INDEX(Config!$D$9:$D$29,MATCH($B3903,Config!$B$9:$B$29,0))="Contrato",IF(INDEX(Config!$E$9:$E$29,MATCH($B3903,Config!$B$9:$B$29,0))="","",INDEX(Config!$E$9:$E$29,MATCH($B3903,Config!$B$9:$B$29,0))),""),""))</f>
        <v/>
      </c>
      <c r="AC3903" s="19" t="str">
        <f>IF($B3903="","",IFERROR(INDEX(Config!$D$9:$D$29,MATCH($B3903,Config!$B$9:$B$29,0))&amp;"",""))</f>
        <v/>
      </c>
    </row>
    <row r="3904">
      <c r="R3904" s="20" t="str">
        <f>IF($B3904="","",IFERROR(IF(INDEX(Config!$D$9:$D$29,MATCH($B3904,Config!$B$9:$B$29,0))="Contrato",IF(INDEX(Config!$E$9:$E$29,MATCH($B3904,Config!$B$9:$B$29,0))="","",INDEX(Config!$E$9:$E$29,MATCH($B3904,Config!$B$9:$B$29,0))),""),""))</f>
        <v/>
      </c>
      <c r="AC3904" s="19" t="str">
        <f>IF($B3904="","",IFERROR(INDEX(Config!$D$9:$D$29,MATCH($B3904,Config!$B$9:$B$29,0))&amp;"",""))</f>
        <v/>
      </c>
    </row>
    <row r="3905">
      <c r="R3905" s="20" t="str">
        <f>IF($B3905="","",IFERROR(IF(INDEX(Config!$D$9:$D$29,MATCH($B3905,Config!$B$9:$B$29,0))="Contrato",IF(INDEX(Config!$E$9:$E$29,MATCH($B3905,Config!$B$9:$B$29,0))="","",INDEX(Config!$E$9:$E$29,MATCH($B3905,Config!$B$9:$B$29,0))),""),""))</f>
        <v/>
      </c>
      <c r="AC3905" s="19" t="str">
        <f>IF($B3905="","",IFERROR(INDEX(Config!$D$9:$D$29,MATCH($B3905,Config!$B$9:$B$29,0))&amp;"",""))</f>
        <v/>
      </c>
    </row>
    <row r="3906">
      <c r="R3906" s="20" t="str">
        <f>IF($B3906="","",IFERROR(IF(INDEX(Config!$D$9:$D$29,MATCH($B3906,Config!$B$9:$B$29,0))="Contrato",IF(INDEX(Config!$E$9:$E$29,MATCH($B3906,Config!$B$9:$B$29,0))="","",INDEX(Config!$E$9:$E$29,MATCH($B3906,Config!$B$9:$B$29,0))),""),""))</f>
        <v/>
      </c>
      <c r="AC3906" s="19" t="str">
        <f>IF($B3906="","",IFERROR(INDEX(Config!$D$9:$D$29,MATCH($B3906,Config!$B$9:$B$29,0))&amp;"",""))</f>
        <v/>
      </c>
    </row>
    <row r="3907">
      <c r="R3907" s="20" t="str">
        <f>IF($B3907="","",IFERROR(IF(INDEX(Config!$D$9:$D$29,MATCH($B3907,Config!$B$9:$B$29,0))="Contrato",IF(INDEX(Config!$E$9:$E$29,MATCH($B3907,Config!$B$9:$B$29,0))="","",INDEX(Config!$E$9:$E$29,MATCH($B3907,Config!$B$9:$B$29,0))),""),""))</f>
        <v/>
      </c>
      <c r="AC3907" s="19" t="str">
        <f>IF($B3907="","",IFERROR(INDEX(Config!$D$9:$D$29,MATCH($B3907,Config!$B$9:$B$29,0))&amp;"",""))</f>
        <v/>
      </c>
    </row>
    <row r="3908">
      <c r="R3908" s="20" t="str">
        <f>IF($B3908="","",IFERROR(IF(INDEX(Config!$D$9:$D$29,MATCH($B3908,Config!$B$9:$B$29,0))="Contrato",IF(INDEX(Config!$E$9:$E$29,MATCH($B3908,Config!$B$9:$B$29,0))="","",INDEX(Config!$E$9:$E$29,MATCH($B3908,Config!$B$9:$B$29,0))),""),""))</f>
        <v/>
      </c>
      <c r="AC3908" s="19" t="str">
        <f>IF($B3908="","",IFERROR(INDEX(Config!$D$9:$D$29,MATCH($B3908,Config!$B$9:$B$29,0))&amp;"",""))</f>
        <v/>
      </c>
    </row>
    <row r="3909">
      <c r="R3909" s="20" t="str">
        <f>IF($B3909="","",IFERROR(IF(INDEX(Config!$D$9:$D$29,MATCH($B3909,Config!$B$9:$B$29,0))="Contrato",IF(INDEX(Config!$E$9:$E$29,MATCH($B3909,Config!$B$9:$B$29,0))="","",INDEX(Config!$E$9:$E$29,MATCH($B3909,Config!$B$9:$B$29,0))),""),""))</f>
        <v/>
      </c>
      <c r="AC3909" s="19" t="str">
        <f>IF($B3909="","",IFERROR(INDEX(Config!$D$9:$D$29,MATCH($B3909,Config!$B$9:$B$29,0))&amp;"",""))</f>
        <v/>
      </c>
    </row>
    <row r="3910">
      <c r="R3910" s="20" t="str">
        <f>IF($B3910="","",IFERROR(IF(INDEX(Config!$D$9:$D$29,MATCH($B3910,Config!$B$9:$B$29,0))="Contrato",IF(INDEX(Config!$E$9:$E$29,MATCH($B3910,Config!$B$9:$B$29,0))="","",INDEX(Config!$E$9:$E$29,MATCH($B3910,Config!$B$9:$B$29,0))),""),""))</f>
        <v/>
      </c>
      <c r="AC3910" s="19" t="str">
        <f>IF($B3910="","",IFERROR(INDEX(Config!$D$9:$D$29,MATCH($B3910,Config!$B$9:$B$29,0))&amp;"",""))</f>
        <v/>
      </c>
    </row>
    <row r="3911">
      <c r="R3911" s="20" t="str">
        <f>IF($B3911="","",IFERROR(IF(INDEX(Config!$D$9:$D$29,MATCH($B3911,Config!$B$9:$B$29,0))="Contrato",IF(INDEX(Config!$E$9:$E$29,MATCH($B3911,Config!$B$9:$B$29,0))="","",INDEX(Config!$E$9:$E$29,MATCH($B3911,Config!$B$9:$B$29,0))),""),""))</f>
        <v/>
      </c>
      <c r="AC3911" s="19" t="str">
        <f>IF($B3911="","",IFERROR(INDEX(Config!$D$9:$D$29,MATCH($B3911,Config!$B$9:$B$29,0))&amp;"",""))</f>
        <v/>
      </c>
    </row>
    <row r="3912">
      <c r="R3912" s="20" t="str">
        <f>IF($B3912="","",IFERROR(IF(INDEX(Config!$D$9:$D$29,MATCH($B3912,Config!$B$9:$B$29,0))="Contrato",IF(INDEX(Config!$E$9:$E$29,MATCH($B3912,Config!$B$9:$B$29,0))="","",INDEX(Config!$E$9:$E$29,MATCH($B3912,Config!$B$9:$B$29,0))),""),""))</f>
        <v/>
      </c>
      <c r="AC3912" s="19" t="str">
        <f>IF($B3912="","",IFERROR(INDEX(Config!$D$9:$D$29,MATCH($B3912,Config!$B$9:$B$29,0))&amp;"",""))</f>
        <v/>
      </c>
    </row>
    <row r="3913">
      <c r="R3913" s="20" t="str">
        <f>IF($B3913="","",IFERROR(IF(INDEX(Config!$D$9:$D$29,MATCH($B3913,Config!$B$9:$B$29,0))="Contrato",IF(INDEX(Config!$E$9:$E$29,MATCH($B3913,Config!$B$9:$B$29,0))="","",INDEX(Config!$E$9:$E$29,MATCH($B3913,Config!$B$9:$B$29,0))),""),""))</f>
        <v/>
      </c>
      <c r="AC3913" s="19" t="str">
        <f>IF($B3913="","",IFERROR(INDEX(Config!$D$9:$D$29,MATCH($B3913,Config!$B$9:$B$29,0))&amp;"",""))</f>
        <v/>
      </c>
    </row>
    <row r="3914">
      <c r="R3914" s="20" t="str">
        <f>IF($B3914="","",IFERROR(IF(INDEX(Config!$D$9:$D$29,MATCH($B3914,Config!$B$9:$B$29,0))="Contrato",IF(INDEX(Config!$E$9:$E$29,MATCH($B3914,Config!$B$9:$B$29,0))="","",INDEX(Config!$E$9:$E$29,MATCH($B3914,Config!$B$9:$B$29,0))),""),""))</f>
        <v/>
      </c>
      <c r="AC3914" s="19" t="str">
        <f>IF($B3914="","",IFERROR(INDEX(Config!$D$9:$D$29,MATCH($B3914,Config!$B$9:$B$29,0))&amp;"",""))</f>
        <v/>
      </c>
    </row>
    <row r="3915">
      <c r="R3915" s="20" t="str">
        <f>IF($B3915="","",IFERROR(IF(INDEX(Config!$D$9:$D$29,MATCH($B3915,Config!$B$9:$B$29,0))="Contrato",IF(INDEX(Config!$E$9:$E$29,MATCH($B3915,Config!$B$9:$B$29,0))="","",INDEX(Config!$E$9:$E$29,MATCH($B3915,Config!$B$9:$B$29,0))),""),""))</f>
        <v/>
      </c>
      <c r="AC3915" s="19" t="str">
        <f>IF($B3915="","",IFERROR(INDEX(Config!$D$9:$D$29,MATCH($B3915,Config!$B$9:$B$29,0))&amp;"",""))</f>
        <v/>
      </c>
    </row>
    <row r="3916">
      <c r="R3916" s="20" t="str">
        <f>IF($B3916="","",IFERROR(IF(INDEX(Config!$D$9:$D$29,MATCH($B3916,Config!$B$9:$B$29,0))="Contrato",IF(INDEX(Config!$E$9:$E$29,MATCH($B3916,Config!$B$9:$B$29,0))="","",INDEX(Config!$E$9:$E$29,MATCH($B3916,Config!$B$9:$B$29,0))),""),""))</f>
        <v/>
      </c>
      <c r="AC3916" s="19" t="str">
        <f>IF($B3916="","",IFERROR(INDEX(Config!$D$9:$D$29,MATCH($B3916,Config!$B$9:$B$29,0))&amp;"",""))</f>
        <v/>
      </c>
    </row>
    <row r="3917">
      <c r="R3917" s="20" t="str">
        <f>IF($B3917="","",IFERROR(IF(INDEX(Config!$D$9:$D$29,MATCH($B3917,Config!$B$9:$B$29,0))="Contrato",IF(INDEX(Config!$E$9:$E$29,MATCH($B3917,Config!$B$9:$B$29,0))="","",INDEX(Config!$E$9:$E$29,MATCH($B3917,Config!$B$9:$B$29,0))),""),""))</f>
        <v/>
      </c>
      <c r="AC3917" s="19" t="str">
        <f>IF($B3917="","",IFERROR(INDEX(Config!$D$9:$D$29,MATCH($B3917,Config!$B$9:$B$29,0))&amp;"",""))</f>
        <v/>
      </c>
    </row>
    <row r="3918">
      <c r="R3918" s="20" t="str">
        <f>IF($B3918="","",IFERROR(IF(INDEX(Config!$D$9:$D$29,MATCH($B3918,Config!$B$9:$B$29,0))="Contrato",IF(INDEX(Config!$E$9:$E$29,MATCH($B3918,Config!$B$9:$B$29,0))="","",INDEX(Config!$E$9:$E$29,MATCH($B3918,Config!$B$9:$B$29,0))),""),""))</f>
        <v/>
      </c>
      <c r="AC3918" s="19" t="str">
        <f>IF($B3918="","",IFERROR(INDEX(Config!$D$9:$D$29,MATCH($B3918,Config!$B$9:$B$29,0))&amp;"",""))</f>
        <v/>
      </c>
    </row>
    <row r="3919">
      <c r="R3919" s="20" t="str">
        <f>IF($B3919="","",IFERROR(IF(INDEX(Config!$D$9:$D$29,MATCH($B3919,Config!$B$9:$B$29,0))="Contrato",IF(INDEX(Config!$E$9:$E$29,MATCH($B3919,Config!$B$9:$B$29,0))="","",INDEX(Config!$E$9:$E$29,MATCH($B3919,Config!$B$9:$B$29,0))),""),""))</f>
        <v/>
      </c>
      <c r="AC3919" s="19" t="str">
        <f>IF($B3919="","",IFERROR(INDEX(Config!$D$9:$D$29,MATCH($B3919,Config!$B$9:$B$29,0))&amp;"",""))</f>
        <v/>
      </c>
    </row>
    <row r="3920">
      <c r="R3920" s="20" t="str">
        <f>IF($B3920="","",IFERROR(IF(INDEX(Config!$D$9:$D$29,MATCH($B3920,Config!$B$9:$B$29,0))="Contrato",IF(INDEX(Config!$E$9:$E$29,MATCH($B3920,Config!$B$9:$B$29,0))="","",INDEX(Config!$E$9:$E$29,MATCH($B3920,Config!$B$9:$B$29,0))),""),""))</f>
        <v/>
      </c>
      <c r="AC3920" s="19" t="str">
        <f>IF($B3920="","",IFERROR(INDEX(Config!$D$9:$D$29,MATCH($B3920,Config!$B$9:$B$29,0))&amp;"",""))</f>
        <v/>
      </c>
    </row>
    <row r="3921">
      <c r="R3921" s="20" t="str">
        <f>IF($B3921="","",IFERROR(IF(INDEX(Config!$D$9:$D$29,MATCH($B3921,Config!$B$9:$B$29,0))="Contrato",IF(INDEX(Config!$E$9:$E$29,MATCH($B3921,Config!$B$9:$B$29,0))="","",INDEX(Config!$E$9:$E$29,MATCH($B3921,Config!$B$9:$B$29,0))),""),""))</f>
        <v/>
      </c>
      <c r="AC3921" s="19" t="str">
        <f>IF($B3921="","",IFERROR(INDEX(Config!$D$9:$D$29,MATCH($B3921,Config!$B$9:$B$29,0))&amp;"",""))</f>
        <v/>
      </c>
    </row>
    <row r="3922">
      <c r="R3922" s="20" t="str">
        <f>IF($B3922="","",IFERROR(IF(INDEX(Config!$D$9:$D$29,MATCH($B3922,Config!$B$9:$B$29,0))="Contrato",IF(INDEX(Config!$E$9:$E$29,MATCH($B3922,Config!$B$9:$B$29,0))="","",INDEX(Config!$E$9:$E$29,MATCH($B3922,Config!$B$9:$B$29,0))),""),""))</f>
        <v/>
      </c>
      <c r="AC3922" s="19" t="str">
        <f>IF($B3922="","",IFERROR(INDEX(Config!$D$9:$D$29,MATCH($B3922,Config!$B$9:$B$29,0))&amp;"",""))</f>
        <v/>
      </c>
    </row>
    <row r="3923">
      <c r="R3923" s="20" t="str">
        <f>IF($B3923="","",IFERROR(IF(INDEX(Config!$D$9:$D$29,MATCH($B3923,Config!$B$9:$B$29,0))="Contrato",IF(INDEX(Config!$E$9:$E$29,MATCH($B3923,Config!$B$9:$B$29,0))="","",INDEX(Config!$E$9:$E$29,MATCH($B3923,Config!$B$9:$B$29,0))),""),""))</f>
        <v/>
      </c>
      <c r="AC3923" s="19" t="str">
        <f>IF($B3923="","",IFERROR(INDEX(Config!$D$9:$D$29,MATCH($B3923,Config!$B$9:$B$29,0))&amp;"",""))</f>
        <v/>
      </c>
    </row>
    <row r="3924">
      <c r="R3924" s="20" t="str">
        <f>IF($B3924="","",IFERROR(IF(INDEX(Config!$D$9:$D$29,MATCH($B3924,Config!$B$9:$B$29,0))="Contrato",IF(INDEX(Config!$E$9:$E$29,MATCH($B3924,Config!$B$9:$B$29,0))="","",INDEX(Config!$E$9:$E$29,MATCH($B3924,Config!$B$9:$B$29,0))),""),""))</f>
        <v/>
      </c>
      <c r="AC3924" s="19" t="str">
        <f>IF($B3924="","",IFERROR(INDEX(Config!$D$9:$D$29,MATCH($B3924,Config!$B$9:$B$29,0))&amp;"",""))</f>
        <v/>
      </c>
    </row>
    <row r="3925">
      <c r="R3925" s="20" t="str">
        <f>IF($B3925="","",IFERROR(IF(INDEX(Config!$D$9:$D$29,MATCH($B3925,Config!$B$9:$B$29,0))="Contrato",IF(INDEX(Config!$E$9:$E$29,MATCH($B3925,Config!$B$9:$B$29,0))="","",INDEX(Config!$E$9:$E$29,MATCH($B3925,Config!$B$9:$B$29,0))),""),""))</f>
        <v/>
      </c>
      <c r="AC3925" s="19" t="str">
        <f>IF($B3925="","",IFERROR(INDEX(Config!$D$9:$D$29,MATCH($B3925,Config!$B$9:$B$29,0))&amp;"",""))</f>
        <v/>
      </c>
    </row>
    <row r="3926">
      <c r="R3926" s="20" t="str">
        <f>IF($B3926="","",IFERROR(IF(INDEX(Config!$D$9:$D$29,MATCH($B3926,Config!$B$9:$B$29,0))="Contrato",IF(INDEX(Config!$E$9:$E$29,MATCH($B3926,Config!$B$9:$B$29,0))="","",INDEX(Config!$E$9:$E$29,MATCH($B3926,Config!$B$9:$B$29,0))),""),""))</f>
        <v/>
      </c>
      <c r="AC3926" s="19" t="str">
        <f>IF($B3926="","",IFERROR(INDEX(Config!$D$9:$D$29,MATCH($B3926,Config!$B$9:$B$29,0))&amp;"",""))</f>
        <v/>
      </c>
    </row>
    <row r="3927">
      <c r="R3927" s="20" t="str">
        <f>IF($B3927="","",IFERROR(IF(INDEX(Config!$D$9:$D$29,MATCH($B3927,Config!$B$9:$B$29,0))="Contrato",IF(INDEX(Config!$E$9:$E$29,MATCH($B3927,Config!$B$9:$B$29,0))="","",INDEX(Config!$E$9:$E$29,MATCH($B3927,Config!$B$9:$B$29,0))),""),""))</f>
        <v/>
      </c>
      <c r="AC3927" s="19" t="str">
        <f>IF($B3927="","",IFERROR(INDEX(Config!$D$9:$D$29,MATCH($B3927,Config!$B$9:$B$29,0))&amp;"",""))</f>
        <v/>
      </c>
    </row>
    <row r="3928">
      <c r="R3928" s="20" t="str">
        <f>IF($B3928="","",IFERROR(IF(INDEX(Config!$D$9:$D$29,MATCH($B3928,Config!$B$9:$B$29,0))="Contrato",IF(INDEX(Config!$E$9:$E$29,MATCH($B3928,Config!$B$9:$B$29,0))="","",INDEX(Config!$E$9:$E$29,MATCH($B3928,Config!$B$9:$B$29,0))),""),""))</f>
        <v/>
      </c>
      <c r="AC3928" s="19" t="str">
        <f>IF($B3928="","",IFERROR(INDEX(Config!$D$9:$D$29,MATCH($B3928,Config!$B$9:$B$29,0))&amp;"",""))</f>
        <v/>
      </c>
    </row>
    <row r="3929">
      <c r="R3929" s="20" t="str">
        <f>IF($B3929="","",IFERROR(IF(INDEX(Config!$D$9:$D$29,MATCH($B3929,Config!$B$9:$B$29,0))="Contrato",IF(INDEX(Config!$E$9:$E$29,MATCH($B3929,Config!$B$9:$B$29,0))="","",INDEX(Config!$E$9:$E$29,MATCH($B3929,Config!$B$9:$B$29,0))),""),""))</f>
        <v/>
      </c>
      <c r="AC3929" s="19" t="str">
        <f>IF($B3929="","",IFERROR(INDEX(Config!$D$9:$D$29,MATCH($B3929,Config!$B$9:$B$29,0))&amp;"",""))</f>
        <v/>
      </c>
    </row>
    <row r="3930">
      <c r="R3930" s="20" t="str">
        <f>IF($B3930="","",IFERROR(IF(INDEX(Config!$D$9:$D$29,MATCH($B3930,Config!$B$9:$B$29,0))="Contrato",IF(INDEX(Config!$E$9:$E$29,MATCH($B3930,Config!$B$9:$B$29,0))="","",INDEX(Config!$E$9:$E$29,MATCH($B3930,Config!$B$9:$B$29,0))),""),""))</f>
        <v/>
      </c>
      <c r="AC3930" s="19" t="str">
        <f>IF($B3930="","",IFERROR(INDEX(Config!$D$9:$D$29,MATCH($B3930,Config!$B$9:$B$29,0))&amp;"",""))</f>
        <v/>
      </c>
    </row>
    <row r="3931">
      <c r="R3931" s="20" t="str">
        <f>IF($B3931="","",IFERROR(IF(INDEX(Config!$D$9:$D$29,MATCH($B3931,Config!$B$9:$B$29,0))="Contrato",IF(INDEX(Config!$E$9:$E$29,MATCH($B3931,Config!$B$9:$B$29,0))="","",INDEX(Config!$E$9:$E$29,MATCH($B3931,Config!$B$9:$B$29,0))),""),""))</f>
        <v/>
      </c>
      <c r="AC3931" s="19" t="str">
        <f>IF($B3931="","",IFERROR(INDEX(Config!$D$9:$D$29,MATCH($B3931,Config!$B$9:$B$29,0))&amp;"",""))</f>
        <v/>
      </c>
    </row>
    <row r="3932">
      <c r="R3932" s="20" t="str">
        <f>IF($B3932="","",IFERROR(IF(INDEX(Config!$D$9:$D$29,MATCH($B3932,Config!$B$9:$B$29,0))="Contrato",IF(INDEX(Config!$E$9:$E$29,MATCH($B3932,Config!$B$9:$B$29,0))="","",INDEX(Config!$E$9:$E$29,MATCH($B3932,Config!$B$9:$B$29,0))),""),""))</f>
        <v/>
      </c>
      <c r="AC3932" s="19" t="str">
        <f>IF($B3932="","",IFERROR(INDEX(Config!$D$9:$D$29,MATCH($B3932,Config!$B$9:$B$29,0))&amp;"",""))</f>
        <v/>
      </c>
    </row>
    <row r="3933">
      <c r="R3933" s="20" t="str">
        <f>IF($B3933="","",IFERROR(IF(INDEX(Config!$D$9:$D$29,MATCH($B3933,Config!$B$9:$B$29,0))="Contrato",IF(INDEX(Config!$E$9:$E$29,MATCH($B3933,Config!$B$9:$B$29,0))="","",INDEX(Config!$E$9:$E$29,MATCH($B3933,Config!$B$9:$B$29,0))),""),""))</f>
        <v/>
      </c>
      <c r="AC3933" s="19" t="str">
        <f>IF($B3933="","",IFERROR(INDEX(Config!$D$9:$D$29,MATCH($B3933,Config!$B$9:$B$29,0))&amp;"",""))</f>
        <v/>
      </c>
    </row>
    <row r="3934">
      <c r="R3934" s="20" t="str">
        <f>IF($B3934="","",IFERROR(IF(INDEX(Config!$D$9:$D$29,MATCH($B3934,Config!$B$9:$B$29,0))="Contrato",IF(INDEX(Config!$E$9:$E$29,MATCH($B3934,Config!$B$9:$B$29,0))="","",INDEX(Config!$E$9:$E$29,MATCH($B3934,Config!$B$9:$B$29,0))),""),""))</f>
        <v/>
      </c>
      <c r="AC3934" s="19" t="str">
        <f>IF($B3934="","",IFERROR(INDEX(Config!$D$9:$D$29,MATCH($B3934,Config!$B$9:$B$29,0))&amp;"",""))</f>
        <v/>
      </c>
    </row>
    <row r="3935">
      <c r="R3935" s="20" t="str">
        <f>IF($B3935="","",IFERROR(IF(INDEX(Config!$D$9:$D$29,MATCH($B3935,Config!$B$9:$B$29,0))="Contrato",IF(INDEX(Config!$E$9:$E$29,MATCH($B3935,Config!$B$9:$B$29,0))="","",INDEX(Config!$E$9:$E$29,MATCH($B3935,Config!$B$9:$B$29,0))),""),""))</f>
        <v/>
      </c>
      <c r="AC3935" s="19" t="str">
        <f>IF($B3935="","",IFERROR(INDEX(Config!$D$9:$D$29,MATCH($B3935,Config!$B$9:$B$29,0))&amp;"",""))</f>
        <v/>
      </c>
    </row>
    <row r="3936">
      <c r="R3936" s="20" t="str">
        <f>IF($B3936="","",IFERROR(IF(INDEX(Config!$D$9:$D$29,MATCH($B3936,Config!$B$9:$B$29,0))="Contrato",IF(INDEX(Config!$E$9:$E$29,MATCH($B3936,Config!$B$9:$B$29,0))="","",INDEX(Config!$E$9:$E$29,MATCH($B3936,Config!$B$9:$B$29,0))),""),""))</f>
        <v/>
      </c>
      <c r="AC3936" s="19" t="str">
        <f>IF($B3936="","",IFERROR(INDEX(Config!$D$9:$D$29,MATCH($B3936,Config!$B$9:$B$29,0))&amp;"",""))</f>
        <v/>
      </c>
    </row>
    <row r="3937">
      <c r="R3937" s="20" t="str">
        <f>IF($B3937="","",IFERROR(IF(INDEX(Config!$D$9:$D$29,MATCH($B3937,Config!$B$9:$B$29,0))="Contrato",IF(INDEX(Config!$E$9:$E$29,MATCH($B3937,Config!$B$9:$B$29,0))="","",INDEX(Config!$E$9:$E$29,MATCH($B3937,Config!$B$9:$B$29,0))),""),""))</f>
        <v/>
      </c>
      <c r="AC3937" s="19" t="str">
        <f>IF($B3937="","",IFERROR(INDEX(Config!$D$9:$D$29,MATCH($B3937,Config!$B$9:$B$29,0))&amp;"",""))</f>
        <v/>
      </c>
    </row>
    <row r="3938">
      <c r="R3938" s="20" t="str">
        <f>IF($B3938="","",IFERROR(IF(INDEX(Config!$D$9:$D$29,MATCH($B3938,Config!$B$9:$B$29,0))="Contrato",IF(INDEX(Config!$E$9:$E$29,MATCH($B3938,Config!$B$9:$B$29,0))="","",INDEX(Config!$E$9:$E$29,MATCH($B3938,Config!$B$9:$B$29,0))),""),""))</f>
        <v/>
      </c>
      <c r="AC3938" s="19" t="str">
        <f>IF($B3938="","",IFERROR(INDEX(Config!$D$9:$D$29,MATCH($B3938,Config!$B$9:$B$29,0))&amp;"",""))</f>
        <v/>
      </c>
    </row>
    <row r="3939">
      <c r="R3939" s="20" t="str">
        <f>IF($B3939="","",IFERROR(IF(INDEX(Config!$D$9:$D$29,MATCH($B3939,Config!$B$9:$B$29,0))="Contrato",IF(INDEX(Config!$E$9:$E$29,MATCH($B3939,Config!$B$9:$B$29,0))="","",INDEX(Config!$E$9:$E$29,MATCH($B3939,Config!$B$9:$B$29,0))),""),""))</f>
        <v/>
      </c>
      <c r="AC3939" s="19" t="str">
        <f>IF($B3939="","",IFERROR(INDEX(Config!$D$9:$D$29,MATCH($B3939,Config!$B$9:$B$29,0))&amp;"",""))</f>
        <v/>
      </c>
    </row>
    <row r="3940">
      <c r="R3940" s="20" t="str">
        <f>IF($B3940="","",IFERROR(IF(INDEX(Config!$D$9:$D$29,MATCH($B3940,Config!$B$9:$B$29,0))="Contrato",IF(INDEX(Config!$E$9:$E$29,MATCH($B3940,Config!$B$9:$B$29,0))="","",INDEX(Config!$E$9:$E$29,MATCH($B3940,Config!$B$9:$B$29,0))),""),""))</f>
        <v/>
      </c>
      <c r="AC3940" s="19" t="str">
        <f>IF($B3940="","",IFERROR(INDEX(Config!$D$9:$D$29,MATCH($B3940,Config!$B$9:$B$29,0))&amp;"",""))</f>
        <v/>
      </c>
    </row>
    <row r="3941">
      <c r="R3941" s="20" t="str">
        <f>IF($B3941="","",IFERROR(IF(INDEX(Config!$D$9:$D$29,MATCH($B3941,Config!$B$9:$B$29,0))="Contrato",IF(INDEX(Config!$E$9:$E$29,MATCH($B3941,Config!$B$9:$B$29,0))="","",INDEX(Config!$E$9:$E$29,MATCH($B3941,Config!$B$9:$B$29,0))),""),""))</f>
        <v/>
      </c>
      <c r="AC3941" s="19" t="str">
        <f>IF($B3941="","",IFERROR(INDEX(Config!$D$9:$D$29,MATCH($B3941,Config!$B$9:$B$29,0))&amp;"",""))</f>
        <v/>
      </c>
    </row>
    <row r="3942">
      <c r="R3942" s="20" t="str">
        <f>IF($B3942="","",IFERROR(IF(INDEX(Config!$D$9:$D$29,MATCH($B3942,Config!$B$9:$B$29,0))="Contrato",IF(INDEX(Config!$E$9:$E$29,MATCH($B3942,Config!$B$9:$B$29,0))="","",INDEX(Config!$E$9:$E$29,MATCH($B3942,Config!$B$9:$B$29,0))),""),""))</f>
        <v/>
      </c>
      <c r="AC3942" s="19" t="str">
        <f>IF($B3942="","",IFERROR(INDEX(Config!$D$9:$D$29,MATCH($B3942,Config!$B$9:$B$29,0))&amp;"",""))</f>
        <v/>
      </c>
    </row>
    <row r="3943">
      <c r="R3943" s="20" t="str">
        <f>IF($B3943="","",IFERROR(IF(INDEX(Config!$D$9:$D$29,MATCH($B3943,Config!$B$9:$B$29,0))="Contrato",IF(INDEX(Config!$E$9:$E$29,MATCH($B3943,Config!$B$9:$B$29,0))="","",INDEX(Config!$E$9:$E$29,MATCH($B3943,Config!$B$9:$B$29,0))),""),""))</f>
        <v/>
      </c>
      <c r="AC3943" s="19" t="str">
        <f>IF($B3943="","",IFERROR(INDEX(Config!$D$9:$D$29,MATCH($B3943,Config!$B$9:$B$29,0))&amp;"",""))</f>
        <v/>
      </c>
    </row>
    <row r="3944">
      <c r="R3944" s="20" t="str">
        <f>IF($B3944="","",IFERROR(IF(INDEX(Config!$D$9:$D$29,MATCH($B3944,Config!$B$9:$B$29,0))="Contrato",IF(INDEX(Config!$E$9:$E$29,MATCH($B3944,Config!$B$9:$B$29,0))="","",INDEX(Config!$E$9:$E$29,MATCH($B3944,Config!$B$9:$B$29,0))),""),""))</f>
        <v/>
      </c>
      <c r="AC3944" s="19" t="str">
        <f>IF($B3944="","",IFERROR(INDEX(Config!$D$9:$D$29,MATCH($B3944,Config!$B$9:$B$29,0))&amp;"",""))</f>
        <v/>
      </c>
    </row>
    <row r="3945">
      <c r="R3945" s="20" t="str">
        <f>IF($B3945="","",IFERROR(IF(INDEX(Config!$D$9:$D$29,MATCH($B3945,Config!$B$9:$B$29,0))="Contrato",IF(INDEX(Config!$E$9:$E$29,MATCH($B3945,Config!$B$9:$B$29,0))="","",INDEX(Config!$E$9:$E$29,MATCH($B3945,Config!$B$9:$B$29,0))),""),""))</f>
        <v/>
      </c>
      <c r="AC3945" s="19" t="str">
        <f>IF($B3945="","",IFERROR(INDEX(Config!$D$9:$D$29,MATCH($B3945,Config!$B$9:$B$29,0))&amp;"",""))</f>
        <v/>
      </c>
    </row>
    <row r="3946">
      <c r="R3946" s="20" t="str">
        <f>IF($B3946="","",IFERROR(IF(INDEX(Config!$D$9:$D$29,MATCH($B3946,Config!$B$9:$B$29,0))="Contrato",IF(INDEX(Config!$E$9:$E$29,MATCH($B3946,Config!$B$9:$B$29,0))="","",INDEX(Config!$E$9:$E$29,MATCH($B3946,Config!$B$9:$B$29,0))),""),""))</f>
        <v/>
      </c>
      <c r="AC3946" s="19" t="str">
        <f>IF($B3946="","",IFERROR(INDEX(Config!$D$9:$D$29,MATCH($B3946,Config!$B$9:$B$29,0))&amp;"",""))</f>
        <v/>
      </c>
    </row>
    <row r="3947">
      <c r="R3947" s="20" t="str">
        <f>IF($B3947="","",IFERROR(IF(INDEX(Config!$D$9:$D$29,MATCH($B3947,Config!$B$9:$B$29,0))="Contrato",IF(INDEX(Config!$E$9:$E$29,MATCH($B3947,Config!$B$9:$B$29,0))="","",INDEX(Config!$E$9:$E$29,MATCH($B3947,Config!$B$9:$B$29,0))),""),""))</f>
        <v/>
      </c>
      <c r="AC3947" s="19" t="str">
        <f>IF($B3947="","",IFERROR(INDEX(Config!$D$9:$D$29,MATCH($B3947,Config!$B$9:$B$29,0))&amp;"",""))</f>
        <v/>
      </c>
    </row>
    <row r="3948">
      <c r="R3948" s="20" t="str">
        <f>IF($B3948="","",IFERROR(IF(INDEX(Config!$D$9:$D$29,MATCH($B3948,Config!$B$9:$B$29,0))="Contrato",IF(INDEX(Config!$E$9:$E$29,MATCH($B3948,Config!$B$9:$B$29,0))="","",INDEX(Config!$E$9:$E$29,MATCH($B3948,Config!$B$9:$B$29,0))),""),""))</f>
        <v/>
      </c>
      <c r="AC3948" s="19" t="str">
        <f>IF($B3948="","",IFERROR(INDEX(Config!$D$9:$D$29,MATCH($B3948,Config!$B$9:$B$29,0))&amp;"",""))</f>
        <v/>
      </c>
    </row>
    <row r="3949">
      <c r="R3949" s="20" t="str">
        <f>IF($B3949="","",IFERROR(IF(INDEX(Config!$D$9:$D$29,MATCH($B3949,Config!$B$9:$B$29,0))="Contrato",IF(INDEX(Config!$E$9:$E$29,MATCH($B3949,Config!$B$9:$B$29,0))="","",INDEX(Config!$E$9:$E$29,MATCH($B3949,Config!$B$9:$B$29,0))),""),""))</f>
        <v/>
      </c>
      <c r="AC3949" s="19" t="str">
        <f>IF($B3949="","",IFERROR(INDEX(Config!$D$9:$D$29,MATCH($B3949,Config!$B$9:$B$29,0))&amp;"",""))</f>
        <v/>
      </c>
    </row>
    <row r="3950">
      <c r="R3950" s="20" t="str">
        <f>IF($B3950="","",IFERROR(IF(INDEX(Config!$D$9:$D$29,MATCH($B3950,Config!$B$9:$B$29,0))="Contrato",IF(INDEX(Config!$E$9:$E$29,MATCH($B3950,Config!$B$9:$B$29,0))="","",INDEX(Config!$E$9:$E$29,MATCH($B3950,Config!$B$9:$B$29,0))),""),""))</f>
        <v/>
      </c>
      <c r="AC3950" s="19" t="str">
        <f>IF($B3950="","",IFERROR(INDEX(Config!$D$9:$D$29,MATCH($B3950,Config!$B$9:$B$29,0))&amp;"",""))</f>
        <v/>
      </c>
    </row>
    <row r="3951">
      <c r="R3951" s="20" t="str">
        <f>IF($B3951="","",IFERROR(IF(INDEX(Config!$D$9:$D$29,MATCH($B3951,Config!$B$9:$B$29,0))="Contrato",IF(INDEX(Config!$E$9:$E$29,MATCH($B3951,Config!$B$9:$B$29,0))="","",INDEX(Config!$E$9:$E$29,MATCH($B3951,Config!$B$9:$B$29,0))),""),""))</f>
        <v/>
      </c>
      <c r="AC3951" s="19" t="str">
        <f>IF($B3951="","",IFERROR(INDEX(Config!$D$9:$D$29,MATCH($B3951,Config!$B$9:$B$29,0))&amp;"",""))</f>
        <v/>
      </c>
    </row>
    <row r="3952">
      <c r="R3952" s="20" t="str">
        <f>IF($B3952="","",IFERROR(IF(INDEX(Config!$D$9:$D$29,MATCH($B3952,Config!$B$9:$B$29,0))="Contrato",IF(INDEX(Config!$E$9:$E$29,MATCH($B3952,Config!$B$9:$B$29,0))="","",INDEX(Config!$E$9:$E$29,MATCH($B3952,Config!$B$9:$B$29,0))),""),""))</f>
        <v/>
      </c>
      <c r="AC3952" s="19" t="str">
        <f>IF($B3952="","",IFERROR(INDEX(Config!$D$9:$D$29,MATCH($B3952,Config!$B$9:$B$29,0))&amp;"",""))</f>
        <v/>
      </c>
    </row>
    <row r="3953">
      <c r="R3953" s="20" t="str">
        <f>IF($B3953="","",IFERROR(IF(INDEX(Config!$D$9:$D$29,MATCH($B3953,Config!$B$9:$B$29,0))="Contrato",IF(INDEX(Config!$E$9:$E$29,MATCH($B3953,Config!$B$9:$B$29,0))="","",INDEX(Config!$E$9:$E$29,MATCH($B3953,Config!$B$9:$B$29,0))),""),""))</f>
        <v/>
      </c>
      <c r="AC3953" s="19" t="str">
        <f>IF($B3953="","",IFERROR(INDEX(Config!$D$9:$D$29,MATCH($B3953,Config!$B$9:$B$29,0))&amp;"",""))</f>
        <v/>
      </c>
    </row>
    <row r="3954">
      <c r="R3954" s="20" t="str">
        <f>IF($B3954="","",IFERROR(IF(INDEX(Config!$D$9:$D$29,MATCH($B3954,Config!$B$9:$B$29,0))="Contrato",IF(INDEX(Config!$E$9:$E$29,MATCH($B3954,Config!$B$9:$B$29,0))="","",INDEX(Config!$E$9:$E$29,MATCH($B3954,Config!$B$9:$B$29,0))),""),""))</f>
        <v/>
      </c>
      <c r="AC3954" s="19" t="str">
        <f>IF($B3954="","",IFERROR(INDEX(Config!$D$9:$D$29,MATCH($B3954,Config!$B$9:$B$29,0))&amp;"",""))</f>
        <v/>
      </c>
    </row>
    <row r="3955">
      <c r="R3955" s="20" t="str">
        <f>IF($B3955="","",IFERROR(IF(INDEX(Config!$D$9:$D$29,MATCH($B3955,Config!$B$9:$B$29,0))="Contrato",IF(INDEX(Config!$E$9:$E$29,MATCH($B3955,Config!$B$9:$B$29,0))="","",INDEX(Config!$E$9:$E$29,MATCH($B3955,Config!$B$9:$B$29,0))),""),""))</f>
        <v/>
      </c>
      <c r="AC3955" s="19" t="str">
        <f>IF($B3955="","",IFERROR(INDEX(Config!$D$9:$D$29,MATCH($B3955,Config!$B$9:$B$29,0))&amp;"",""))</f>
        <v/>
      </c>
    </row>
    <row r="3956">
      <c r="R3956" s="20" t="str">
        <f>IF($B3956="","",IFERROR(IF(INDEX(Config!$D$9:$D$29,MATCH($B3956,Config!$B$9:$B$29,0))="Contrato",IF(INDEX(Config!$E$9:$E$29,MATCH($B3956,Config!$B$9:$B$29,0))="","",INDEX(Config!$E$9:$E$29,MATCH($B3956,Config!$B$9:$B$29,0))),""),""))</f>
        <v/>
      </c>
      <c r="AC3956" s="19" t="str">
        <f>IF($B3956="","",IFERROR(INDEX(Config!$D$9:$D$29,MATCH($B3956,Config!$B$9:$B$29,0))&amp;"",""))</f>
        <v/>
      </c>
    </row>
    <row r="3957">
      <c r="R3957" s="20" t="str">
        <f>IF($B3957="","",IFERROR(IF(INDEX(Config!$D$9:$D$29,MATCH($B3957,Config!$B$9:$B$29,0))="Contrato",IF(INDEX(Config!$E$9:$E$29,MATCH($B3957,Config!$B$9:$B$29,0))="","",INDEX(Config!$E$9:$E$29,MATCH($B3957,Config!$B$9:$B$29,0))),""),""))</f>
        <v/>
      </c>
      <c r="AC3957" s="19" t="str">
        <f>IF($B3957="","",IFERROR(INDEX(Config!$D$9:$D$29,MATCH($B3957,Config!$B$9:$B$29,0))&amp;"",""))</f>
        <v/>
      </c>
    </row>
    <row r="3958">
      <c r="R3958" s="20" t="str">
        <f>IF($B3958="","",IFERROR(IF(INDEX(Config!$D$9:$D$29,MATCH($B3958,Config!$B$9:$B$29,0))="Contrato",IF(INDEX(Config!$E$9:$E$29,MATCH($B3958,Config!$B$9:$B$29,0))="","",INDEX(Config!$E$9:$E$29,MATCH($B3958,Config!$B$9:$B$29,0))),""),""))</f>
        <v/>
      </c>
      <c r="AC3958" s="19" t="str">
        <f>IF($B3958="","",IFERROR(INDEX(Config!$D$9:$D$29,MATCH($B3958,Config!$B$9:$B$29,0))&amp;"",""))</f>
        <v/>
      </c>
    </row>
    <row r="3959">
      <c r="R3959" s="20" t="str">
        <f>IF($B3959="","",IFERROR(IF(INDEX(Config!$D$9:$D$29,MATCH($B3959,Config!$B$9:$B$29,0))="Contrato",IF(INDEX(Config!$E$9:$E$29,MATCH($B3959,Config!$B$9:$B$29,0))="","",INDEX(Config!$E$9:$E$29,MATCH($B3959,Config!$B$9:$B$29,0))),""),""))</f>
        <v/>
      </c>
      <c r="AC3959" s="19" t="str">
        <f>IF($B3959="","",IFERROR(INDEX(Config!$D$9:$D$29,MATCH($B3959,Config!$B$9:$B$29,0))&amp;"",""))</f>
        <v/>
      </c>
    </row>
    <row r="3960">
      <c r="R3960" s="20" t="str">
        <f>IF($B3960="","",IFERROR(IF(INDEX(Config!$D$9:$D$29,MATCH($B3960,Config!$B$9:$B$29,0))="Contrato",IF(INDEX(Config!$E$9:$E$29,MATCH($B3960,Config!$B$9:$B$29,0))="","",INDEX(Config!$E$9:$E$29,MATCH($B3960,Config!$B$9:$B$29,0))),""),""))</f>
        <v/>
      </c>
      <c r="AC3960" s="19" t="str">
        <f>IF($B3960="","",IFERROR(INDEX(Config!$D$9:$D$29,MATCH($B3960,Config!$B$9:$B$29,0))&amp;"",""))</f>
        <v/>
      </c>
    </row>
    <row r="3961">
      <c r="R3961" s="20" t="str">
        <f>IF($B3961="","",IFERROR(IF(INDEX(Config!$D$9:$D$29,MATCH($B3961,Config!$B$9:$B$29,0))="Contrato",IF(INDEX(Config!$E$9:$E$29,MATCH($B3961,Config!$B$9:$B$29,0))="","",INDEX(Config!$E$9:$E$29,MATCH($B3961,Config!$B$9:$B$29,0))),""),""))</f>
        <v/>
      </c>
      <c r="AC3961" s="19" t="str">
        <f>IF($B3961="","",IFERROR(INDEX(Config!$D$9:$D$29,MATCH($B3961,Config!$B$9:$B$29,0))&amp;"",""))</f>
        <v/>
      </c>
    </row>
    <row r="3962">
      <c r="R3962" s="20" t="str">
        <f>IF($B3962="","",IFERROR(IF(INDEX(Config!$D$9:$D$29,MATCH($B3962,Config!$B$9:$B$29,0))="Contrato",IF(INDEX(Config!$E$9:$E$29,MATCH($B3962,Config!$B$9:$B$29,0))="","",INDEX(Config!$E$9:$E$29,MATCH($B3962,Config!$B$9:$B$29,0))),""),""))</f>
        <v/>
      </c>
      <c r="AC3962" s="19" t="str">
        <f>IF($B3962="","",IFERROR(INDEX(Config!$D$9:$D$29,MATCH($B3962,Config!$B$9:$B$29,0))&amp;"",""))</f>
        <v/>
      </c>
    </row>
    <row r="3963">
      <c r="R3963" s="20" t="str">
        <f>IF($B3963="","",IFERROR(IF(INDEX(Config!$D$9:$D$29,MATCH($B3963,Config!$B$9:$B$29,0))="Contrato",IF(INDEX(Config!$E$9:$E$29,MATCH($B3963,Config!$B$9:$B$29,0))="","",INDEX(Config!$E$9:$E$29,MATCH($B3963,Config!$B$9:$B$29,0))),""),""))</f>
        <v/>
      </c>
      <c r="AC3963" s="19" t="str">
        <f>IF($B3963="","",IFERROR(INDEX(Config!$D$9:$D$29,MATCH($B3963,Config!$B$9:$B$29,0))&amp;"",""))</f>
        <v/>
      </c>
    </row>
    <row r="3964">
      <c r="R3964" s="20" t="str">
        <f>IF($B3964="","",IFERROR(IF(INDEX(Config!$D$9:$D$29,MATCH($B3964,Config!$B$9:$B$29,0))="Contrato",IF(INDEX(Config!$E$9:$E$29,MATCH($B3964,Config!$B$9:$B$29,0))="","",INDEX(Config!$E$9:$E$29,MATCH($B3964,Config!$B$9:$B$29,0))),""),""))</f>
        <v/>
      </c>
      <c r="AC3964" s="19" t="str">
        <f>IF($B3964="","",IFERROR(INDEX(Config!$D$9:$D$29,MATCH($B3964,Config!$B$9:$B$29,0))&amp;"",""))</f>
        <v/>
      </c>
    </row>
    <row r="3965">
      <c r="R3965" s="20" t="str">
        <f>IF($B3965="","",IFERROR(IF(INDEX(Config!$D$9:$D$29,MATCH($B3965,Config!$B$9:$B$29,0))="Contrato",IF(INDEX(Config!$E$9:$E$29,MATCH($B3965,Config!$B$9:$B$29,0))="","",INDEX(Config!$E$9:$E$29,MATCH($B3965,Config!$B$9:$B$29,0))),""),""))</f>
        <v/>
      </c>
      <c r="AC3965" s="19" t="str">
        <f>IF($B3965="","",IFERROR(INDEX(Config!$D$9:$D$29,MATCH($B3965,Config!$B$9:$B$29,0))&amp;"",""))</f>
        <v/>
      </c>
    </row>
    <row r="3966">
      <c r="R3966" s="20" t="str">
        <f>IF($B3966="","",IFERROR(IF(INDEX(Config!$D$9:$D$29,MATCH($B3966,Config!$B$9:$B$29,0))="Contrato",IF(INDEX(Config!$E$9:$E$29,MATCH($B3966,Config!$B$9:$B$29,0))="","",INDEX(Config!$E$9:$E$29,MATCH($B3966,Config!$B$9:$B$29,0))),""),""))</f>
        <v/>
      </c>
      <c r="AC3966" s="19" t="str">
        <f>IF($B3966="","",IFERROR(INDEX(Config!$D$9:$D$29,MATCH($B3966,Config!$B$9:$B$29,0))&amp;"",""))</f>
        <v/>
      </c>
    </row>
    <row r="3967">
      <c r="R3967" s="20" t="str">
        <f>IF($B3967="","",IFERROR(IF(INDEX(Config!$D$9:$D$29,MATCH($B3967,Config!$B$9:$B$29,0))="Contrato",IF(INDEX(Config!$E$9:$E$29,MATCH($B3967,Config!$B$9:$B$29,0))="","",INDEX(Config!$E$9:$E$29,MATCH($B3967,Config!$B$9:$B$29,0))),""),""))</f>
        <v/>
      </c>
      <c r="AC3967" s="19" t="str">
        <f>IF($B3967="","",IFERROR(INDEX(Config!$D$9:$D$29,MATCH($B3967,Config!$B$9:$B$29,0))&amp;"",""))</f>
        <v/>
      </c>
    </row>
    <row r="3968">
      <c r="R3968" s="20" t="str">
        <f>IF($B3968="","",IFERROR(IF(INDEX(Config!$D$9:$D$29,MATCH($B3968,Config!$B$9:$B$29,0))="Contrato",IF(INDEX(Config!$E$9:$E$29,MATCH($B3968,Config!$B$9:$B$29,0))="","",INDEX(Config!$E$9:$E$29,MATCH($B3968,Config!$B$9:$B$29,0))),""),""))</f>
        <v/>
      </c>
      <c r="AC3968" s="19" t="str">
        <f>IF($B3968="","",IFERROR(INDEX(Config!$D$9:$D$29,MATCH($B3968,Config!$B$9:$B$29,0))&amp;"",""))</f>
        <v/>
      </c>
    </row>
    <row r="3969">
      <c r="R3969" s="20" t="str">
        <f>IF($B3969="","",IFERROR(IF(INDEX(Config!$D$9:$D$29,MATCH($B3969,Config!$B$9:$B$29,0))="Contrato",IF(INDEX(Config!$E$9:$E$29,MATCH($B3969,Config!$B$9:$B$29,0))="","",INDEX(Config!$E$9:$E$29,MATCH($B3969,Config!$B$9:$B$29,0))),""),""))</f>
        <v/>
      </c>
      <c r="AC3969" s="19" t="str">
        <f>IF($B3969="","",IFERROR(INDEX(Config!$D$9:$D$29,MATCH($B3969,Config!$B$9:$B$29,0))&amp;"",""))</f>
        <v/>
      </c>
    </row>
    <row r="3970">
      <c r="R3970" s="20" t="str">
        <f>IF($B3970="","",IFERROR(IF(INDEX(Config!$D$9:$D$29,MATCH($B3970,Config!$B$9:$B$29,0))="Contrato",IF(INDEX(Config!$E$9:$E$29,MATCH($B3970,Config!$B$9:$B$29,0))="","",INDEX(Config!$E$9:$E$29,MATCH($B3970,Config!$B$9:$B$29,0))),""),""))</f>
        <v/>
      </c>
      <c r="AC3970" s="19" t="str">
        <f>IF($B3970="","",IFERROR(INDEX(Config!$D$9:$D$29,MATCH($B3970,Config!$B$9:$B$29,0))&amp;"",""))</f>
        <v/>
      </c>
    </row>
    <row r="3971">
      <c r="R3971" s="20" t="str">
        <f>IF($B3971="","",IFERROR(IF(INDEX(Config!$D$9:$D$29,MATCH($B3971,Config!$B$9:$B$29,0))="Contrato",IF(INDEX(Config!$E$9:$E$29,MATCH($B3971,Config!$B$9:$B$29,0))="","",INDEX(Config!$E$9:$E$29,MATCH($B3971,Config!$B$9:$B$29,0))),""),""))</f>
        <v/>
      </c>
      <c r="AC3971" s="19" t="str">
        <f>IF($B3971="","",IFERROR(INDEX(Config!$D$9:$D$29,MATCH($B3971,Config!$B$9:$B$29,0))&amp;"",""))</f>
        <v/>
      </c>
    </row>
    <row r="3972">
      <c r="R3972" s="20" t="str">
        <f>IF($B3972="","",IFERROR(IF(INDEX(Config!$D$9:$D$29,MATCH($B3972,Config!$B$9:$B$29,0))="Contrato",IF(INDEX(Config!$E$9:$E$29,MATCH($B3972,Config!$B$9:$B$29,0))="","",INDEX(Config!$E$9:$E$29,MATCH($B3972,Config!$B$9:$B$29,0))),""),""))</f>
        <v/>
      </c>
      <c r="AC3972" s="19" t="str">
        <f>IF($B3972="","",IFERROR(INDEX(Config!$D$9:$D$29,MATCH($B3972,Config!$B$9:$B$29,0))&amp;"",""))</f>
        <v/>
      </c>
    </row>
    <row r="3973">
      <c r="R3973" s="20" t="str">
        <f>IF($B3973="","",IFERROR(IF(INDEX(Config!$D$9:$D$29,MATCH($B3973,Config!$B$9:$B$29,0))="Contrato",IF(INDEX(Config!$E$9:$E$29,MATCH($B3973,Config!$B$9:$B$29,0))="","",INDEX(Config!$E$9:$E$29,MATCH($B3973,Config!$B$9:$B$29,0))),""),""))</f>
        <v/>
      </c>
      <c r="AC3973" s="19" t="str">
        <f>IF($B3973="","",IFERROR(INDEX(Config!$D$9:$D$29,MATCH($B3973,Config!$B$9:$B$29,0))&amp;"",""))</f>
        <v/>
      </c>
    </row>
    <row r="3974">
      <c r="R3974" s="20" t="str">
        <f>IF($B3974="","",IFERROR(IF(INDEX(Config!$D$9:$D$29,MATCH($B3974,Config!$B$9:$B$29,0))="Contrato",IF(INDEX(Config!$E$9:$E$29,MATCH($B3974,Config!$B$9:$B$29,0))="","",INDEX(Config!$E$9:$E$29,MATCH($B3974,Config!$B$9:$B$29,0))),""),""))</f>
        <v/>
      </c>
      <c r="AC3974" s="19" t="str">
        <f>IF($B3974="","",IFERROR(INDEX(Config!$D$9:$D$29,MATCH($B3974,Config!$B$9:$B$29,0))&amp;"",""))</f>
        <v/>
      </c>
    </row>
    <row r="3975">
      <c r="R3975" s="20" t="str">
        <f>IF($B3975="","",IFERROR(IF(INDEX(Config!$D$9:$D$29,MATCH($B3975,Config!$B$9:$B$29,0))="Contrato",IF(INDEX(Config!$E$9:$E$29,MATCH($B3975,Config!$B$9:$B$29,0))="","",INDEX(Config!$E$9:$E$29,MATCH($B3975,Config!$B$9:$B$29,0))),""),""))</f>
        <v/>
      </c>
      <c r="AC3975" s="19" t="str">
        <f>IF($B3975="","",IFERROR(INDEX(Config!$D$9:$D$29,MATCH($B3975,Config!$B$9:$B$29,0))&amp;"",""))</f>
        <v/>
      </c>
    </row>
    <row r="3976">
      <c r="R3976" s="20" t="str">
        <f>IF($B3976="","",IFERROR(IF(INDEX(Config!$D$9:$D$29,MATCH($B3976,Config!$B$9:$B$29,0))="Contrato",IF(INDEX(Config!$E$9:$E$29,MATCH($B3976,Config!$B$9:$B$29,0))="","",INDEX(Config!$E$9:$E$29,MATCH($B3976,Config!$B$9:$B$29,0))),""),""))</f>
        <v/>
      </c>
      <c r="AC3976" s="19" t="str">
        <f>IF($B3976="","",IFERROR(INDEX(Config!$D$9:$D$29,MATCH($B3976,Config!$B$9:$B$29,0))&amp;"",""))</f>
        <v/>
      </c>
    </row>
    <row r="3977">
      <c r="R3977" s="20" t="str">
        <f>IF($B3977="","",IFERROR(IF(INDEX(Config!$D$9:$D$29,MATCH($B3977,Config!$B$9:$B$29,0))="Contrato",IF(INDEX(Config!$E$9:$E$29,MATCH($B3977,Config!$B$9:$B$29,0))="","",INDEX(Config!$E$9:$E$29,MATCH($B3977,Config!$B$9:$B$29,0))),""),""))</f>
        <v/>
      </c>
      <c r="AC3977" s="19" t="str">
        <f>IF($B3977="","",IFERROR(INDEX(Config!$D$9:$D$29,MATCH($B3977,Config!$B$9:$B$29,0))&amp;"",""))</f>
        <v/>
      </c>
    </row>
    <row r="3978">
      <c r="R3978" s="20" t="str">
        <f>IF($B3978="","",IFERROR(IF(INDEX(Config!$D$9:$D$29,MATCH($B3978,Config!$B$9:$B$29,0))="Contrato",IF(INDEX(Config!$E$9:$E$29,MATCH($B3978,Config!$B$9:$B$29,0))="","",INDEX(Config!$E$9:$E$29,MATCH($B3978,Config!$B$9:$B$29,0))),""),""))</f>
        <v/>
      </c>
      <c r="AC3978" s="19" t="str">
        <f>IF($B3978="","",IFERROR(INDEX(Config!$D$9:$D$29,MATCH($B3978,Config!$B$9:$B$29,0))&amp;"",""))</f>
        <v/>
      </c>
    </row>
    <row r="3979">
      <c r="R3979" s="20" t="str">
        <f>IF($B3979="","",IFERROR(IF(INDEX(Config!$D$9:$D$29,MATCH($B3979,Config!$B$9:$B$29,0))="Contrato",IF(INDEX(Config!$E$9:$E$29,MATCH($B3979,Config!$B$9:$B$29,0))="","",INDEX(Config!$E$9:$E$29,MATCH($B3979,Config!$B$9:$B$29,0))),""),""))</f>
        <v/>
      </c>
      <c r="AC3979" s="19" t="str">
        <f>IF($B3979="","",IFERROR(INDEX(Config!$D$9:$D$29,MATCH($B3979,Config!$B$9:$B$29,0))&amp;"",""))</f>
        <v/>
      </c>
    </row>
    <row r="3980">
      <c r="R3980" s="20" t="str">
        <f>IF($B3980="","",IFERROR(IF(INDEX(Config!$D$9:$D$29,MATCH($B3980,Config!$B$9:$B$29,0))="Contrato",IF(INDEX(Config!$E$9:$E$29,MATCH($B3980,Config!$B$9:$B$29,0))="","",INDEX(Config!$E$9:$E$29,MATCH($B3980,Config!$B$9:$B$29,0))),""),""))</f>
        <v/>
      </c>
      <c r="AC3980" s="19" t="str">
        <f>IF($B3980="","",IFERROR(INDEX(Config!$D$9:$D$29,MATCH($B3980,Config!$B$9:$B$29,0))&amp;"",""))</f>
        <v/>
      </c>
    </row>
    <row r="3981">
      <c r="R3981" s="20" t="str">
        <f>IF($B3981="","",IFERROR(IF(INDEX(Config!$D$9:$D$29,MATCH($B3981,Config!$B$9:$B$29,0))="Contrato",IF(INDEX(Config!$E$9:$E$29,MATCH($B3981,Config!$B$9:$B$29,0))="","",INDEX(Config!$E$9:$E$29,MATCH($B3981,Config!$B$9:$B$29,0))),""),""))</f>
        <v/>
      </c>
      <c r="AC3981" s="19" t="str">
        <f>IF($B3981="","",IFERROR(INDEX(Config!$D$9:$D$29,MATCH($B3981,Config!$B$9:$B$29,0))&amp;"",""))</f>
        <v/>
      </c>
    </row>
    <row r="3982">
      <c r="R3982" s="20" t="str">
        <f>IF($B3982="","",IFERROR(IF(INDEX(Config!$D$9:$D$29,MATCH($B3982,Config!$B$9:$B$29,0))="Contrato",IF(INDEX(Config!$E$9:$E$29,MATCH($B3982,Config!$B$9:$B$29,0))="","",INDEX(Config!$E$9:$E$29,MATCH($B3982,Config!$B$9:$B$29,0))),""),""))</f>
        <v/>
      </c>
      <c r="AC3982" s="19" t="str">
        <f>IF($B3982="","",IFERROR(INDEX(Config!$D$9:$D$29,MATCH($B3982,Config!$B$9:$B$29,0))&amp;"",""))</f>
        <v/>
      </c>
    </row>
    <row r="3983">
      <c r="R3983" s="20" t="str">
        <f>IF($B3983="","",IFERROR(IF(INDEX(Config!$D$9:$D$29,MATCH($B3983,Config!$B$9:$B$29,0))="Contrato",IF(INDEX(Config!$E$9:$E$29,MATCH($B3983,Config!$B$9:$B$29,0))="","",INDEX(Config!$E$9:$E$29,MATCH($B3983,Config!$B$9:$B$29,0))),""),""))</f>
        <v/>
      </c>
      <c r="AC3983" s="19" t="str">
        <f>IF($B3983="","",IFERROR(INDEX(Config!$D$9:$D$29,MATCH($B3983,Config!$B$9:$B$29,0))&amp;"",""))</f>
        <v/>
      </c>
    </row>
    <row r="3984">
      <c r="R3984" s="20" t="str">
        <f>IF($B3984="","",IFERROR(IF(INDEX(Config!$D$9:$D$29,MATCH($B3984,Config!$B$9:$B$29,0))="Contrato",IF(INDEX(Config!$E$9:$E$29,MATCH($B3984,Config!$B$9:$B$29,0))="","",INDEX(Config!$E$9:$E$29,MATCH($B3984,Config!$B$9:$B$29,0))),""),""))</f>
        <v/>
      </c>
      <c r="AC3984" s="19" t="str">
        <f>IF($B3984="","",IFERROR(INDEX(Config!$D$9:$D$29,MATCH($B3984,Config!$B$9:$B$29,0))&amp;"",""))</f>
        <v/>
      </c>
    </row>
    <row r="3985">
      <c r="R3985" s="20" t="str">
        <f>IF($B3985="","",IFERROR(IF(INDEX(Config!$D$9:$D$29,MATCH($B3985,Config!$B$9:$B$29,0))="Contrato",IF(INDEX(Config!$E$9:$E$29,MATCH($B3985,Config!$B$9:$B$29,0))="","",INDEX(Config!$E$9:$E$29,MATCH($B3985,Config!$B$9:$B$29,0))),""),""))</f>
        <v/>
      </c>
      <c r="AC3985" s="19" t="str">
        <f>IF($B3985="","",IFERROR(INDEX(Config!$D$9:$D$29,MATCH($B3985,Config!$B$9:$B$29,0))&amp;"",""))</f>
        <v/>
      </c>
    </row>
    <row r="3986">
      <c r="R3986" s="20" t="str">
        <f>IF($B3986="","",IFERROR(IF(INDEX(Config!$D$9:$D$29,MATCH($B3986,Config!$B$9:$B$29,0))="Contrato",IF(INDEX(Config!$E$9:$E$29,MATCH($B3986,Config!$B$9:$B$29,0))="","",INDEX(Config!$E$9:$E$29,MATCH($B3986,Config!$B$9:$B$29,0))),""),""))</f>
        <v/>
      </c>
      <c r="AC3986" s="19" t="str">
        <f>IF($B3986="","",IFERROR(INDEX(Config!$D$9:$D$29,MATCH($B3986,Config!$B$9:$B$29,0))&amp;"",""))</f>
        <v/>
      </c>
    </row>
    <row r="3987">
      <c r="R3987" s="20" t="str">
        <f>IF($B3987="","",IFERROR(IF(INDEX(Config!$D$9:$D$29,MATCH($B3987,Config!$B$9:$B$29,0))="Contrato",IF(INDEX(Config!$E$9:$E$29,MATCH($B3987,Config!$B$9:$B$29,0))="","",INDEX(Config!$E$9:$E$29,MATCH($B3987,Config!$B$9:$B$29,0))),""),""))</f>
        <v/>
      </c>
      <c r="AC3987" s="19" t="str">
        <f>IF($B3987="","",IFERROR(INDEX(Config!$D$9:$D$29,MATCH($B3987,Config!$B$9:$B$29,0))&amp;"",""))</f>
        <v/>
      </c>
    </row>
    <row r="3988">
      <c r="R3988" s="20" t="str">
        <f>IF($B3988="","",IFERROR(IF(INDEX(Config!$D$9:$D$29,MATCH($B3988,Config!$B$9:$B$29,0))="Contrato",IF(INDEX(Config!$E$9:$E$29,MATCH($B3988,Config!$B$9:$B$29,0))="","",INDEX(Config!$E$9:$E$29,MATCH($B3988,Config!$B$9:$B$29,0))),""),""))</f>
        <v/>
      </c>
      <c r="AC3988" s="19" t="str">
        <f>IF($B3988="","",IFERROR(INDEX(Config!$D$9:$D$29,MATCH($B3988,Config!$B$9:$B$29,0))&amp;"",""))</f>
        <v/>
      </c>
    </row>
    <row r="3989">
      <c r="R3989" s="20" t="str">
        <f>IF($B3989="","",IFERROR(IF(INDEX(Config!$D$9:$D$29,MATCH($B3989,Config!$B$9:$B$29,0))="Contrato",IF(INDEX(Config!$E$9:$E$29,MATCH($B3989,Config!$B$9:$B$29,0))="","",INDEX(Config!$E$9:$E$29,MATCH($B3989,Config!$B$9:$B$29,0))),""),""))</f>
        <v/>
      </c>
      <c r="AC3989" s="19" t="str">
        <f>IF($B3989="","",IFERROR(INDEX(Config!$D$9:$D$29,MATCH($B3989,Config!$B$9:$B$29,0))&amp;"",""))</f>
        <v/>
      </c>
    </row>
    <row r="3990">
      <c r="R3990" s="20" t="str">
        <f>IF($B3990="","",IFERROR(IF(INDEX(Config!$D$9:$D$29,MATCH($B3990,Config!$B$9:$B$29,0))="Contrato",IF(INDEX(Config!$E$9:$E$29,MATCH($B3990,Config!$B$9:$B$29,0))="","",INDEX(Config!$E$9:$E$29,MATCH($B3990,Config!$B$9:$B$29,0))),""),""))</f>
        <v/>
      </c>
      <c r="AC3990" s="19" t="str">
        <f>IF($B3990="","",IFERROR(INDEX(Config!$D$9:$D$29,MATCH($B3990,Config!$B$9:$B$29,0))&amp;"",""))</f>
        <v/>
      </c>
    </row>
    <row r="3991">
      <c r="R3991" s="20" t="str">
        <f>IF($B3991="","",IFERROR(IF(INDEX(Config!$D$9:$D$29,MATCH($B3991,Config!$B$9:$B$29,0))="Contrato",IF(INDEX(Config!$E$9:$E$29,MATCH($B3991,Config!$B$9:$B$29,0))="","",INDEX(Config!$E$9:$E$29,MATCH($B3991,Config!$B$9:$B$29,0))),""),""))</f>
        <v/>
      </c>
      <c r="AC3991" s="19" t="str">
        <f>IF($B3991="","",IFERROR(INDEX(Config!$D$9:$D$29,MATCH($B3991,Config!$B$9:$B$29,0))&amp;"",""))</f>
        <v/>
      </c>
    </row>
    <row r="3992">
      <c r="R3992" s="20" t="str">
        <f>IF($B3992="","",IFERROR(IF(INDEX(Config!$D$9:$D$29,MATCH($B3992,Config!$B$9:$B$29,0))="Contrato",IF(INDEX(Config!$E$9:$E$29,MATCH($B3992,Config!$B$9:$B$29,0))="","",INDEX(Config!$E$9:$E$29,MATCH($B3992,Config!$B$9:$B$29,0))),""),""))</f>
        <v/>
      </c>
      <c r="AC3992" s="19" t="str">
        <f>IF($B3992="","",IFERROR(INDEX(Config!$D$9:$D$29,MATCH($B3992,Config!$B$9:$B$29,0))&amp;"",""))</f>
        <v/>
      </c>
    </row>
    <row r="3993">
      <c r="R3993" s="20" t="str">
        <f>IF($B3993="","",IFERROR(IF(INDEX(Config!$D$9:$D$29,MATCH($B3993,Config!$B$9:$B$29,0))="Contrato",IF(INDEX(Config!$E$9:$E$29,MATCH($B3993,Config!$B$9:$B$29,0))="","",INDEX(Config!$E$9:$E$29,MATCH($B3993,Config!$B$9:$B$29,0))),""),""))</f>
        <v/>
      </c>
      <c r="AC3993" s="19" t="str">
        <f>IF($B3993="","",IFERROR(INDEX(Config!$D$9:$D$29,MATCH($B3993,Config!$B$9:$B$29,0))&amp;"",""))</f>
        <v/>
      </c>
    </row>
    <row r="3994">
      <c r="R3994" s="20" t="str">
        <f>IF($B3994="","",IFERROR(IF(INDEX(Config!$D$9:$D$29,MATCH($B3994,Config!$B$9:$B$29,0))="Contrato",IF(INDEX(Config!$E$9:$E$29,MATCH($B3994,Config!$B$9:$B$29,0))="","",INDEX(Config!$E$9:$E$29,MATCH($B3994,Config!$B$9:$B$29,0))),""),""))</f>
        <v/>
      </c>
      <c r="AC3994" s="19" t="str">
        <f>IF($B3994="","",IFERROR(INDEX(Config!$D$9:$D$29,MATCH($B3994,Config!$B$9:$B$29,0))&amp;"",""))</f>
        <v/>
      </c>
    </row>
    <row r="3995">
      <c r="R3995" s="20" t="str">
        <f>IF($B3995="","",IFERROR(IF(INDEX(Config!$D$9:$D$29,MATCH($B3995,Config!$B$9:$B$29,0))="Contrato",IF(INDEX(Config!$E$9:$E$29,MATCH($B3995,Config!$B$9:$B$29,0))="","",INDEX(Config!$E$9:$E$29,MATCH($B3995,Config!$B$9:$B$29,0))),""),""))</f>
        <v/>
      </c>
      <c r="AC3995" s="19" t="str">
        <f>IF($B3995="","",IFERROR(INDEX(Config!$D$9:$D$29,MATCH($B3995,Config!$B$9:$B$29,0))&amp;"",""))</f>
        <v/>
      </c>
    </row>
    <row r="3996">
      <c r="R3996" s="20" t="str">
        <f>IF($B3996="","",IFERROR(IF(INDEX(Config!$D$9:$D$29,MATCH($B3996,Config!$B$9:$B$29,0))="Contrato",IF(INDEX(Config!$E$9:$E$29,MATCH($B3996,Config!$B$9:$B$29,0))="","",INDEX(Config!$E$9:$E$29,MATCH($B3996,Config!$B$9:$B$29,0))),""),""))</f>
        <v/>
      </c>
      <c r="AC3996" s="19" t="str">
        <f>IF($B3996="","",IFERROR(INDEX(Config!$D$9:$D$29,MATCH($B3996,Config!$B$9:$B$29,0))&amp;"",""))</f>
        <v/>
      </c>
    </row>
    <row r="3997">
      <c r="R3997" s="20" t="str">
        <f>IF($B3997="","",IFERROR(IF(INDEX(Config!$D$9:$D$29,MATCH($B3997,Config!$B$9:$B$29,0))="Contrato",IF(INDEX(Config!$E$9:$E$29,MATCH($B3997,Config!$B$9:$B$29,0))="","",INDEX(Config!$E$9:$E$29,MATCH($B3997,Config!$B$9:$B$29,0))),""),""))</f>
        <v/>
      </c>
      <c r="AC3997" s="19" t="str">
        <f>IF($B3997="","",IFERROR(INDEX(Config!$D$9:$D$29,MATCH($B3997,Config!$B$9:$B$29,0))&amp;"",""))</f>
        <v/>
      </c>
    </row>
    <row r="3998">
      <c r="R3998" s="20" t="str">
        <f>IF($B3998="","",IFERROR(IF(INDEX(Config!$D$9:$D$29,MATCH($B3998,Config!$B$9:$B$29,0))="Contrato",IF(INDEX(Config!$E$9:$E$29,MATCH($B3998,Config!$B$9:$B$29,0))="","",INDEX(Config!$E$9:$E$29,MATCH($B3998,Config!$B$9:$B$29,0))),""),""))</f>
        <v/>
      </c>
      <c r="AC3998" s="19" t="str">
        <f>IF($B3998="","",IFERROR(INDEX(Config!$D$9:$D$29,MATCH($B3998,Config!$B$9:$B$29,0))&amp;"",""))</f>
        <v/>
      </c>
    </row>
    <row r="3999">
      <c r="R3999" s="20" t="str">
        <f>IF($B3999="","",IFERROR(IF(INDEX(Config!$D$9:$D$29,MATCH($B3999,Config!$B$9:$B$29,0))="Contrato",IF(INDEX(Config!$E$9:$E$29,MATCH($B3999,Config!$B$9:$B$29,0))="","",INDEX(Config!$E$9:$E$29,MATCH($B3999,Config!$B$9:$B$29,0))),""),""))</f>
        <v/>
      </c>
      <c r="AC3999" s="19" t="str">
        <f>IF($B3999="","",IFERROR(INDEX(Config!$D$9:$D$29,MATCH($B3999,Config!$B$9:$B$29,0))&amp;"",""))</f>
        <v/>
      </c>
    </row>
    <row r="4000">
      <c r="R4000" s="20" t="str">
        <f>IF($B4000="","",IFERROR(IF(INDEX(Config!$D$9:$D$29,MATCH($B4000,Config!$B$9:$B$29,0))="Contrato",IF(INDEX(Config!$E$9:$E$29,MATCH($B4000,Config!$B$9:$B$29,0))="","",INDEX(Config!$E$9:$E$29,MATCH($B4000,Config!$B$9:$B$29,0))),""),""))</f>
        <v/>
      </c>
      <c r="AC4000" s="19" t="str">
        <f>IF($B4000="","",IFERROR(INDEX(Config!$D$9:$D$29,MATCH($B4000,Config!$B$9:$B$29,0))&amp;"",""))</f>
        <v/>
      </c>
    </row>
    <row r="4001">
      <c r="R4001" s="20" t="str">
        <f>IF($B4001="","",IFERROR(IF(INDEX(Config!$D$9:$D$29,MATCH($B4001,Config!$B$9:$B$29,0))="Contrato",IF(INDEX(Config!$E$9:$E$29,MATCH($B4001,Config!$B$9:$B$29,0))="","",INDEX(Config!$E$9:$E$29,MATCH($B4001,Config!$B$9:$B$29,0))),""),""))</f>
        <v/>
      </c>
      <c r="AC4001" s="19" t="str">
        <f>IF($B4001="","",IFERROR(INDEX(Config!$D$9:$D$29,MATCH($B4001,Config!$B$9:$B$29,0))&amp;"",""))</f>
        <v/>
      </c>
    </row>
    <row r="4002">
      <c r="R4002" s="20" t="str">
        <f>IF($B4002="","",IFERROR(IF(INDEX(Config!$D$9:$D$29,MATCH($B4002,Config!$B$9:$B$29,0))="Contrato",IF(INDEX(Config!$E$9:$E$29,MATCH($B4002,Config!$B$9:$B$29,0))="","",INDEX(Config!$E$9:$E$29,MATCH($B4002,Config!$B$9:$B$29,0))),""),""))</f>
        <v/>
      </c>
      <c r="AC4002" s="19" t="str">
        <f>IF($B4002="","",IFERROR(INDEX(Config!$D$9:$D$29,MATCH($B4002,Config!$B$9:$B$29,0))&amp;"",""))</f>
        <v/>
      </c>
    </row>
    <row r="4003">
      <c r="R4003" s="20" t="str">
        <f>IF($B4003="","",IFERROR(IF(INDEX(Config!$D$9:$D$29,MATCH($B4003,Config!$B$9:$B$29,0))="Contrato",IF(INDEX(Config!$E$9:$E$29,MATCH($B4003,Config!$B$9:$B$29,0))="","",INDEX(Config!$E$9:$E$29,MATCH($B4003,Config!$B$9:$B$29,0))),""),""))</f>
        <v/>
      </c>
      <c r="AC4003" s="19" t="str">
        <f>IF($B4003="","",IFERROR(INDEX(Config!$D$9:$D$29,MATCH($B4003,Config!$B$9:$B$29,0))&amp;"",""))</f>
        <v/>
      </c>
    </row>
    <row r="4004">
      <c r="R4004" s="20" t="str">
        <f>IF($B4004="","",IFERROR(IF(INDEX(Config!$D$9:$D$29,MATCH($B4004,Config!$B$9:$B$29,0))="Contrato",IF(INDEX(Config!$E$9:$E$29,MATCH($B4004,Config!$B$9:$B$29,0))="","",INDEX(Config!$E$9:$E$29,MATCH($B4004,Config!$B$9:$B$29,0))),""),""))</f>
        <v/>
      </c>
      <c r="AC4004" s="19" t="str">
        <f>IF($B4004="","",IFERROR(INDEX(Config!$D$9:$D$29,MATCH($B4004,Config!$B$9:$B$29,0))&amp;"",""))</f>
        <v/>
      </c>
    </row>
    <row r="4005">
      <c r="R4005" s="20" t="str">
        <f>IF($B4005="","",IFERROR(IF(INDEX(Config!$D$9:$D$29,MATCH($B4005,Config!$B$9:$B$29,0))="Contrato",IF(INDEX(Config!$E$9:$E$29,MATCH($B4005,Config!$B$9:$B$29,0))="","",INDEX(Config!$E$9:$E$29,MATCH($B4005,Config!$B$9:$B$29,0))),""),""))</f>
        <v/>
      </c>
      <c r="AC4005" s="19" t="str">
        <f>IF($B4005="","",IFERROR(INDEX(Config!$D$9:$D$29,MATCH($B4005,Config!$B$9:$B$29,0))&amp;"",""))</f>
        <v/>
      </c>
    </row>
    <row r="4006">
      <c r="R4006" s="20" t="str">
        <f>IF($B4006="","",IFERROR(IF(INDEX(Config!$D$9:$D$29,MATCH($B4006,Config!$B$9:$B$29,0))="Contrato",IF(INDEX(Config!$E$9:$E$29,MATCH($B4006,Config!$B$9:$B$29,0))="","",INDEX(Config!$E$9:$E$29,MATCH($B4006,Config!$B$9:$B$29,0))),""),""))</f>
        <v/>
      </c>
      <c r="AC4006" s="19" t="str">
        <f>IF($B4006="","",IFERROR(INDEX(Config!$D$9:$D$29,MATCH($B4006,Config!$B$9:$B$29,0))&amp;"",""))</f>
        <v/>
      </c>
    </row>
    <row r="4007">
      <c r="R4007" s="20" t="str">
        <f>IF($B4007="","",IFERROR(IF(INDEX(Config!$D$9:$D$29,MATCH($B4007,Config!$B$9:$B$29,0))="Contrato",IF(INDEX(Config!$E$9:$E$29,MATCH($B4007,Config!$B$9:$B$29,0))="","",INDEX(Config!$E$9:$E$29,MATCH($B4007,Config!$B$9:$B$29,0))),""),""))</f>
        <v/>
      </c>
      <c r="AC4007" s="19" t="str">
        <f>IF($B4007="","",IFERROR(INDEX(Config!$D$9:$D$29,MATCH($B4007,Config!$B$9:$B$29,0))&amp;"",""))</f>
        <v/>
      </c>
    </row>
    <row r="4008">
      <c r="R4008" s="20" t="str">
        <f>IF($B4008="","",IFERROR(IF(INDEX(Config!$D$9:$D$29,MATCH($B4008,Config!$B$9:$B$29,0))="Contrato",IF(INDEX(Config!$E$9:$E$29,MATCH($B4008,Config!$B$9:$B$29,0))="","",INDEX(Config!$E$9:$E$29,MATCH($B4008,Config!$B$9:$B$29,0))),""),""))</f>
        <v/>
      </c>
      <c r="AC4008" s="19" t="str">
        <f>IF($B4008="","",IFERROR(INDEX(Config!$D$9:$D$29,MATCH($B4008,Config!$B$9:$B$29,0))&amp;"",""))</f>
        <v/>
      </c>
    </row>
    <row r="4009">
      <c r="R4009" s="20" t="str">
        <f>IF($B4009="","",IFERROR(IF(INDEX(Config!$D$9:$D$29,MATCH($B4009,Config!$B$9:$B$29,0))="Contrato",IF(INDEX(Config!$E$9:$E$29,MATCH($B4009,Config!$B$9:$B$29,0))="","",INDEX(Config!$E$9:$E$29,MATCH($B4009,Config!$B$9:$B$29,0))),""),""))</f>
        <v/>
      </c>
      <c r="AC4009" s="19" t="str">
        <f>IF($B4009="","",IFERROR(INDEX(Config!$D$9:$D$29,MATCH($B4009,Config!$B$9:$B$29,0))&amp;"",""))</f>
        <v/>
      </c>
    </row>
    <row r="4010">
      <c r="R4010" s="20" t="str">
        <f>IF($B4010="","",IFERROR(IF(INDEX(Config!$D$9:$D$29,MATCH($B4010,Config!$B$9:$B$29,0))="Contrato",IF(INDEX(Config!$E$9:$E$29,MATCH($B4010,Config!$B$9:$B$29,0))="","",INDEX(Config!$E$9:$E$29,MATCH($B4010,Config!$B$9:$B$29,0))),""),""))</f>
        <v/>
      </c>
      <c r="AC4010" s="19" t="str">
        <f>IF($B4010="","",IFERROR(INDEX(Config!$D$9:$D$29,MATCH($B4010,Config!$B$9:$B$29,0))&amp;"",""))</f>
        <v/>
      </c>
    </row>
    <row r="4011">
      <c r="R4011" s="20" t="str">
        <f>IF($B4011="","",IFERROR(IF(INDEX(Config!$D$9:$D$29,MATCH($B4011,Config!$B$9:$B$29,0))="Contrato",IF(INDEX(Config!$E$9:$E$29,MATCH($B4011,Config!$B$9:$B$29,0))="","",INDEX(Config!$E$9:$E$29,MATCH($B4011,Config!$B$9:$B$29,0))),""),""))</f>
        <v/>
      </c>
      <c r="AC4011" s="19" t="str">
        <f>IF($B4011="","",IFERROR(INDEX(Config!$D$9:$D$29,MATCH($B4011,Config!$B$9:$B$29,0))&amp;"",""))</f>
        <v/>
      </c>
    </row>
    <row r="4012">
      <c r="R4012" s="20" t="str">
        <f>IF($B4012="","",IFERROR(IF(INDEX(Config!$D$9:$D$29,MATCH($B4012,Config!$B$9:$B$29,0))="Contrato",IF(INDEX(Config!$E$9:$E$29,MATCH($B4012,Config!$B$9:$B$29,0))="","",INDEX(Config!$E$9:$E$29,MATCH($B4012,Config!$B$9:$B$29,0))),""),""))</f>
        <v/>
      </c>
      <c r="AC4012" s="19" t="str">
        <f>IF($B4012="","",IFERROR(INDEX(Config!$D$9:$D$29,MATCH($B4012,Config!$B$9:$B$29,0))&amp;"",""))</f>
        <v/>
      </c>
    </row>
    <row r="4013">
      <c r="R4013" s="20" t="str">
        <f>IF($B4013="","",IFERROR(IF(INDEX(Config!$D$9:$D$29,MATCH($B4013,Config!$B$9:$B$29,0))="Contrato",IF(INDEX(Config!$E$9:$E$29,MATCH($B4013,Config!$B$9:$B$29,0))="","",INDEX(Config!$E$9:$E$29,MATCH($B4013,Config!$B$9:$B$29,0))),""),""))</f>
        <v/>
      </c>
      <c r="AC4013" s="19" t="str">
        <f>IF($B4013="","",IFERROR(INDEX(Config!$D$9:$D$29,MATCH($B4013,Config!$B$9:$B$29,0))&amp;"",""))</f>
        <v/>
      </c>
    </row>
    <row r="4014">
      <c r="R4014" s="20" t="str">
        <f>IF($B4014="","",IFERROR(IF(INDEX(Config!$D$9:$D$29,MATCH($B4014,Config!$B$9:$B$29,0))="Contrato",IF(INDEX(Config!$E$9:$E$29,MATCH($B4014,Config!$B$9:$B$29,0))="","",INDEX(Config!$E$9:$E$29,MATCH($B4014,Config!$B$9:$B$29,0))),""),""))</f>
        <v/>
      </c>
      <c r="AC4014" s="19" t="str">
        <f>IF($B4014="","",IFERROR(INDEX(Config!$D$9:$D$29,MATCH($B4014,Config!$B$9:$B$29,0))&amp;"",""))</f>
        <v/>
      </c>
    </row>
    <row r="4015">
      <c r="R4015" s="20" t="str">
        <f>IF($B4015="","",IFERROR(IF(INDEX(Config!$D$9:$D$29,MATCH($B4015,Config!$B$9:$B$29,0))="Contrato",IF(INDEX(Config!$E$9:$E$29,MATCH($B4015,Config!$B$9:$B$29,0))="","",INDEX(Config!$E$9:$E$29,MATCH($B4015,Config!$B$9:$B$29,0))),""),""))</f>
        <v/>
      </c>
      <c r="AC4015" s="19" t="str">
        <f>IF($B4015="","",IFERROR(INDEX(Config!$D$9:$D$29,MATCH($B4015,Config!$B$9:$B$29,0))&amp;"",""))</f>
        <v/>
      </c>
    </row>
    <row r="4016">
      <c r="R4016" s="20" t="str">
        <f>IF($B4016="","",IFERROR(IF(INDEX(Config!$D$9:$D$29,MATCH($B4016,Config!$B$9:$B$29,0))="Contrato",IF(INDEX(Config!$E$9:$E$29,MATCH($B4016,Config!$B$9:$B$29,0))="","",INDEX(Config!$E$9:$E$29,MATCH($B4016,Config!$B$9:$B$29,0))),""),""))</f>
        <v/>
      </c>
      <c r="AC4016" s="19" t="str">
        <f>IF($B4016="","",IFERROR(INDEX(Config!$D$9:$D$29,MATCH($B4016,Config!$B$9:$B$29,0))&amp;"",""))</f>
        <v/>
      </c>
    </row>
    <row r="4017">
      <c r="R4017" s="20" t="str">
        <f>IF($B4017="","",IFERROR(IF(INDEX(Config!$D$9:$D$29,MATCH($B4017,Config!$B$9:$B$29,0))="Contrato",IF(INDEX(Config!$E$9:$E$29,MATCH($B4017,Config!$B$9:$B$29,0))="","",INDEX(Config!$E$9:$E$29,MATCH($B4017,Config!$B$9:$B$29,0))),""),""))</f>
        <v/>
      </c>
      <c r="AC4017" s="19" t="str">
        <f>IF($B4017="","",IFERROR(INDEX(Config!$D$9:$D$29,MATCH($B4017,Config!$B$9:$B$29,0))&amp;"",""))</f>
        <v/>
      </c>
    </row>
    <row r="4018">
      <c r="R4018" s="20" t="str">
        <f>IF($B4018="","",IFERROR(IF(INDEX(Config!$D$9:$D$29,MATCH($B4018,Config!$B$9:$B$29,0))="Contrato",IF(INDEX(Config!$E$9:$E$29,MATCH($B4018,Config!$B$9:$B$29,0))="","",INDEX(Config!$E$9:$E$29,MATCH($B4018,Config!$B$9:$B$29,0))),""),""))</f>
        <v/>
      </c>
      <c r="AC4018" s="19" t="str">
        <f>IF($B4018="","",IFERROR(INDEX(Config!$D$9:$D$29,MATCH($B4018,Config!$B$9:$B$29,0))&amp;"",""))</f>
        <v/>
      </c>
    </row>
    <row r="4019">
      <c r="R4019" s="20" t="str">
        <f>IF($B4019="","",IFERROR(IF(INDEX(Config!$D$9:$D$29,MATCH($B4019,Config!$B$9:$B$29,0))="Contrato",IF(INDEX(Config!$E$9:$E$29,MATCH($B4019,Config!$B$9:$B$29,0))="","",INDEX(Config!$E$9:$E$29,MATCH($B4019,Config!$B$9:$B$29,0))),""),""))</f>
        <v/>
      </c>
      <c r="AC4019" s="19" t="str">
        <f>IF($B4019="","",IFERROR(INDEX(Config!$D$9:$D$29,MATCH($B4019,Config!$B$9:$B$29,0))&amp;"",""))</f>
        <v/>
      </c>
    </row>
    <row r="4020">
      <c r="R4020" s="20" t="str">
        <f>IF($B4020="","",IFERROR(IF(INDEX(Config!$D$9:$D$29,MATCH($B4020,Config!$B$9:$B$29,0))="Contrato",IF(INDEX(Config!$E$9:$E$29,MATCH($B4020,Config!$B$9:$B$29,0))="","",INDEX(Config!$E$9:$E$29,MATCH($B4020,Config!$B$9:$B$29,0))),""),""))</f>
        <v/>
      </c>
      <c r="AC4020" s="19" t="str">
        <f>IF($B4020="","",IFERROR(INDEX(Config!$D$9:$D$29,MATCH($B4020,Config!$B$9:$B$29,0))&amp;"",""))</f>
        <v/>
      </c>
    </row>
    <row r="4021">
      <c r="R4021" s="20" t="str">
        <f>IF($B4021="","",IFERROR(IF(INDEX(Config!$D$9:$D$29,MATCH($B4021,Config!$B$9:$B$29,0))="Contrato",IF(INDEX(Config!$E$9:$E$29,MATCH($B4021,Config!$B$9:$B$29,0))="","",INDEX(Config!$E$9:$E$29,MATCH($B4021,Config!$B$9:$B$29,0))),""),""))</f>
        <v/>
      </c>
      <c r="AC4021" s="19" t="str">
        <f>IF($B4021="","",IFERROR(INDEX(Config!$D$9:$D$29,MATCH($B4021,Config!$B$9:$B$29,0))&amp;"",""))</f>
        <v/>
      </c>
    </row>
    <row r="4022">
      <c r="R4022" s="20" t="str">
        <f>IF($B4022="","",IFERROR(IF(INDEX(Config!$D$9:$D$29,MATCH($B4022,Config!$B$9:$B$29,0))="Contrato",IF(INDEX(Config!$E$9:$E$29,MATCH($B4022,Config!$B$9:$B$29,0))="","",INDEX(Config!$E$9:$E$29,MATCH($B4022,Config!$B$9:$B$29,0))),""),""))</f>
        <v/>
      </c>
      <c r="AC4022" s="19" t="str">
        <f>IF($B4022="","",IFERROR(INDEX(Config!$D$9:$D$29,MATCH($B4022,Config!$B$9:$B$29,0))&amp;"",""))</f>
        <v/>
      </c>
    </row>
    <row r="4023">
      <c r="R4023" s="20" t="str">
        <f>IF($B4023="","",IFERROR(IF(INDEX(Config!$D$9:$D$29,MATCH($B4023,Config!$B$9:$B$29,0))="Contrato",IF(INDEX(Config!$E$9:$E$29,MATCH($B4023,Config!$B$9:$B$29,0))="","",INDEX(Config!$E$9:$E$29,MATCH($B4023,Config!$B$9:$B$29,0))),""),""))</f>
        <v/>
      </c>
      <c r="AC4023" s="19" t="str">
        <f>IF($B4023="","",IFERROR(INDEX(Config!$D$9:$D$29,MATCH($B4023,Config!$B$9:$B$29,0))&amp;"",""))</f>
        <v/>
      </c>
    </row>
    <row r="4024">
      <c r="R4024" s="20" t="str">
        <f>IF($B4024="","",IFERROR(IF(INDEX(Config!$D$9:$D$29,MATCH($B4024,Config!$B$9:$B$29,0))="Contrato",IF(INDEX(Config!$E$9:$E$29,MATCH($B4024,Config!$B$9:$B$29,0))="","",INDEX(Config!$E$9:$E$29,MATCH($B4024,Config!$B$9:$B$29,0))),""),""))</f>
        <v/>
      </c>
      <c r="AC4024" s="19" t="str">
        <f>IF($B4024="","",IFERROR(INDEX(Config!$D$9:$D$29,MATCH($B4024,Config!$B$9:$B$29,0))&amp;"",""))</f>
        <v/>
      </c>
    </row>
    <row r="4025">
      <c r="R4025" s="20" t="str">
        <f>IF($B4025="","",IFERROR(IF(INDEX(Config!$D$9:$D$29,MATCH($B4025,Config!$B$9:$B$29,0))="Contrato",IF(INDEX(Config!$E$9:$E$29,MATCH($B4025,Config!$B$9:$B$29,0))="","",INDEX(Config!$E$9:$E$29,MATCH($B4025,Config!$B$9:$B$29,0))),""),""))</f>
        <v/>
      </c>
      <c r="AC4025" s="19" t="str">
        <f>IF($B4025="","",IFERROR(INDEX(Config!$D$9:$D$29,MATCH($B4025,Config!$B$9:$B$29,0))&amp;"",""))</f>
        <v/>
      </c>
    </row>
    <row r="4026">
      <c r="R4026" s="20" t="str">
        <f>IF($B4026="","",IFERROR(IF(INDEX(Config!$D$9:$D$29,MATCH($B4026,Config!$B$9:$B$29,0))="Contrato",IF(INDEX(Config!$E$9:$E$29,MATCH($B4026,Config!$B$9:$B$29,0))="","",INDEX(Config!$E$9:$E$29,MATCH($B4026,Config!$B$9:$B$29,0))),""),""))</f>
        <v/>
      </c>
      <c r="AC4026" s="19" t="str">
        <f>IF($B4026="","",IFERROR(INDEX(Config!$D$9:$D$29,MATCH($B4026,Config!$B$9:$B$29,0))&amp;"",""))</f>
        <v/>
      </c>
    </row>
    <row r="4027">
      <c r="R4027" s="20" t="str">
        <f>IF($B4027="","",IFERROR(IF(INDEX(Config!$D$9:$D$29,MATCH($B4027,Config!$B$9:$B$29,0))="Contrato",IF(INDEX(Config!$E$9:$E$29,MATCH($B4027,Config!$B$9:$B$29,0))="","",INDEX(Config!$E$9:$E$29,MATCH($B4027,Config!$B$9:$B$29,0))),""),""))</f>
        <v/>
      </c>
      <c r="AC4027" s="19" t="str">
        <f>IF($B4027="","",IFERROR(INDEX(Config!$D$9:$D$29,MATCH($B4027,Config!$B$9:$B$29,0))&amp;"",""))</f>
        <v/>
      </c>
    </row>
    <row r="4028">
      <c r="R4028" s="20" t="str">
        <f>IF($B4028="","",IFERROR(IF(INDEX(Config!$D$9:$D$29,MATCH($B4028,Config!$B$9:$B$29,0))="Contrato",IF(INDEX(Config!$E$9:$E$29,MATCH($B4028,Config!$B$9:$B$29,0))="","",INDEX(Config!$E$9:$E$29,MATCH($B4028,Config!$B$9:$B$29,0))),""),""))</f>
        <v/>
      </c>
      <c r="AC4028" s="19" t="str">
        <f>IF($B4028="","",IFERROR(INDEX(Config!$D$9:$D$29,MATCH($B4028,Config!$B$9:$B$29,0))&amp;"",""))</f>
        <v/>
      </c>
    </row>
    <row r="4029">
      <c r="R4029" s="20" t="str">
        <f>IF($B4029="","",IFERROR(IF(INDEX(Config!$D$9:$D$29,MATCH($B4029,Config!$B$9:$B$29,0))="Contrato",IF(INDEX(Config!$E$9:$E$29,MATCH($B4029,Config!$B$9:$B$29,0))="","",INDEX(Config!$E$9:$E$29,MATCH($B4029,Config!$B$9:$B$29,0))),""),""))</f>
        <v/>
      </c>
      <c r="AC4029" s="19" t="str">
        <f>IF($B4029="","",IFERROR(INDEX(Config!$D$9:$D$29,MATCH($B4029,Config!$B$9:$B$29,0))&amp;"",""))</f>
        <v/>
      </c>
    </row>
    <row r="4030">
      <c r="R4030" s="20" t="str">
        <f>IF($B4030="","",IFERROR(IF(INDEX(Config!$D$9:$D$29,MATCH($B4030,Config!$B$9:$B$29,0))="Contrato",IF(INDEX(Config!$E$9:$E$29,MATCH($B4030,Config!$B$9:$B$29,0))="","",INDEX(Config!$E$9:$E$29,MATCH($B4030,Config!$B$9:$B$29,0))),""),""))</f>
        <v/>
      </c>
      <c r="AC4030" s="19" t="str">
        <f>IF($B4030="","",IFERROR(INDEX(Config!$D$9:$D$29,MATCH($B4030,Config!$B$9:$B$29,0))&amp;"",""))</f>
        <v/>
      </c>
    </row>
    <row r="4031">
      <c r="R4031" s="20" t="str">
        <f>IF($B4031="","",IFERROR(IF(INDEX(Config!$D$9:$D$29,MATCH($B4031,Config!$B$9:$B$29,0))="Contrato",IF(INDEX(Config!$E$9:$E$29,MATCH($B4031,Config!$B$9:$B$29,0))="","",INDEX(Config!$E$9:$E$29,MATCH($B4031,Config!$B$9:$B$29,0))),""),""))</f>
        <v/>
      </c>
      <c r="AC4031" s="19" t="str">
        <f>IF($B4031="","",IFERROR(INDEX(Config!$D$9:$D$29,MATCH($B4031,Config!$B$9:$B$29,0))&amp;"",""))</f>
        <v/>
      </c>
    </row>
    <row r="4032">
      <c r="R4032" s="20" t="str">
        <f>IF($B4032="","",IFERROR(IF(INDEX(Config!$D$9:$D$29,MATCH($B4032,Config!$B$9:$B$29,0))="Contrato",IF(INDEX(Config!$E$9:$E$29,MATCH($B4032,Config!$B$9:$B$29,0))="","",INDEX(Config!$E$9:$E$29,MATCH($B4032,Config!$B$9:$B$29,0))),""),""))</f>
        <v/>
      </c>
      <c r="AC4032" s="19" t="str">
        <f>IF($B4032="","",IFERROR(INDEX(Config!$D$9:$D$29,MATCH($B4032,Config!$B$9:$B$29,0))&amp;"",""))</f>
        <v/>
      </c>
    </row>
    <row r="4033">
      <c r="R4033" s="20" t="str">
        <f>IF($B4033="","",IFERROR(IF(INDEX(Config!$D$9:$D$29,MATCH($B4033,Config!$B$9:$B$29,0))="Contrato",IF(INDEX(Config!$E$9:$E$29,MATCH($B4033,Config!$B$9:$B$29,0))="","",INDEX(Config!$E$9:$E$29,MATCH($B4033,Config!$B$9:$B$29,0))),""),""))</f>
        <v/>
      </c>
      <c r="AC4033" s="19" t="str">
        <f>IF($B4033="","",IFERROR(INDEX(Config!$D$9:$D$29,MATCH($B4033,Config!$B$9:$B$29,0))&amp;"",""))</f>
        <v/>
      </c>
    </row>
    <row r="4034">
      <c r="R4034" s="20" t="str">
        <f>IF($B4034="","",IFERROR(IF(INDEX(Config!$D$9:$D$29,MATCH($B4034,Config!$B$9:$B$29,0))="Contrato",IF(INDEX(Config!$E$9:$E$29,MATCH($B4034,Config!$B$9:$B$29,0))="","",INDEX(Config!$E$9:$E$29,MATCH($B4034,Config!$B$9:$B$29,0))),""),""))</f>
        <v/>
      </c>
      <c r="AC4034" s="19" t="str">
        <f>IF($B4034="","",IFERROR(INDEX(Config!$D$9:$D$29,MATCH($B4034,Config!$B$9:$B$29,0))&amp;"",""))</f>
        <v/>
      </c>
    </row>
    <row r="4035">
      <c r="R4035" s="20" t="str">
        <f>IF($B4035="","",IFERROR(IF(INDEX(Config!$D$9:$D$29,MATCH($B4035,Config!$B$9:$B$29,0))="Contrato",IF(INDEX(Config!$E$9:$E$29,MATCH($B4035,Config!$B$9:$B$29,0))="","",INDEX(Config!$E$9:$E$29,MATCH($B4035,Config!$B$9:$B$29,0))),""),""))</f>
        <v/>
      </c>
      <c r="AC4035" s="19" t="str">
        <f>IF($B4035="","",IFERROR(INDEX(Config!$D$9:$D$29,MATCH($B4035,Config!$B$9:$B$29,0))&amp;"",""))</f>
        <v/>
      </c>
    </row>
    <row r="4036">
      <c r="R4036" s="20" t="str">
        <f>IF($B4036="","",IFERROR(IF(INDEX(Config!$D$9:$D$29,MATCH($B4036,Config!$B$9:$B$29,0))="Contrato",IF(INDEX(Config!$E$9:$E$29,MATCH($B4036,Config!$B$9:$B$29,0))="","",INDEX(Config!$E$9:$E$29,MATCH($B4036,Config!$B$9:$B$29,0))),""),""))</f>
        <v/>
      </c>
      <c r="AC4036" s="19" t="str">
        <f>IF($B4036="","",IFERROR(INDEX(Config!$D$9:$D$29,MATCH($B4036,Config!$B$9:$B$29,0))&amp;"",""))</f>
        <v/>
      </c>
    </row>
    <row r="4037">
      <c r="R4037" s="20" t="str">
        <f>IF($B4037="","",IFERROR(IF(INDEX(Config!$D$9:$D$29,MATCH($B4037,Config!$B$9:$B$29,0))="Contrato",IF(INDEX(Config!$E$9:$E$29,MATCH($B4037,Config!$B$9:$B$29,0))="","",INDEX(Config!$E$9:$E$29,MATCH($B4037,Config!$B$9:$B$29,0))),""),""))</f>
        <v/>
      </c>
      <c r="AC4037" s="19" t="str">
        <f>IF($B4037="","",IFERROR(INDEX(Config!$D$9:$D$29,MATCH($B4037,Config!$B$9:$B$29,0))&amp;"",""))</f>
        <v/>
      </c>
    </row>
    <row r="4038">
      <c r="R4038" s="20" t="str">
        <f>IF($B4038="","",IFERROR(IF(INDEX(Config!$D$9:$D$29,MATCH($B4038,Config!$B$9:$B$29,0))="Contrato",IF(INDEX(Config!$E$9:$E$29,MATCH($B4038,Config!$B$9:$B$29,0))="","",INDEX(Config!$E$9:$E$29,MATCH($B4038,Config!$B$9:$B$29,0))),""),""))</f>
        <v/>
      </c>
      <c r="AC4038" s="19" t="str">
        <f>IF($B4038="","",IFERROR(INDEX(Config!$D$9:$D$29,MATCH($B4038,Config!$B$9:$B$29,0))&amp;"",""))</f>
        <v/>
      </c>
    </row>
    <row r="4039">
      <c r="R4039" s="20" t="str">
        <f>IF($B4039="","",IFERROR(IF(INDEX(Config!$D$9:$D$29,MATCH($B4039,Config!$B$9:$B$29,0))="Contrato",IF(INDEX(Config!$E$9:$E$29,MATCH($B4039,Config!$B$9:$B$29,0))="","",INDEX(Config!$E$9:$E$29,MATCH($B4039,Config!$B$9:$B$29,0))),""),""))</f>
        <v/>
      </c>
      <c r="AC4039" s="19" t="str">
        <f>IF($B4039="","",IFERROR(INDEX(Config!$D$9:$D$29,MATCH($B4039,Config!$B$9:$B$29,0))&amp;"",""))</f>
        <v/>
      </c>
    </row>
    <row r="4040">
      <c r="R4040" s="20" t="str">
        <f>IF($B4040="","",IFERROR(IF(INDEX(Config!$D$9:$D$29,MATCH($B4040,Config!$B$9:$B$29,0))="Contrato",IF(INDEX(Config!$E$9:$E$29,MATCH($B4040,Config!$B$9:$B$29,0))="","",INDEX(Config!$E$9:$E$29,MATCH($B4040,Config!$B$9:$B$29,0))),""),""))</f>
        <v/>
      </c>
      <c r="AC4040" s="19" t="str">
        <f>IF($B4040="","",IFERROR(INDEX(Config!$D$9:$D$29,MATCH($B4040,Config!$B$9:$B$29,0))&amp;"",""))</f>
        <v/>
      </c>
    </row>
    <row r="4041">
      <c r="R4041" s="20" t="str">
        <f>IF($B4041="","",IFERROR(IF(INDEX(Config!$D$9:$D$29,MATCH($B4041,Config!$B$9:$B$29,0))="Contrato",IF(INDEX(Config!$E$9:$E$29,MATCH($B4041,Config!$B$9:$B$29,0))="","",INDEX(Config!$E$9:$E$29,MATCH($B4041,Config!$B$9:$B$29,0))),""),""))</f>
        <v/>
      </c>
      <c r="AC4041" s="19" t="str">
        <f>IF($B4041="","",IFERROR(INDEX(Config!$D$9:$D$29,MATCH($B4041,Config!$B$9:$B$29,0))&amp;"",""))</f>
        <v/>
      </c>
    </row>
    <row r="4042">
      <c r="R4042" s="20" t="str">
        <f>IF($B4042="","",IFERROR(IF(INDEX(Config!$D$9:$D$29,MATCH($B4042,Config!$B$9:$B$29,0))="Contrato",IF(INDEX(Config!$E$9:$E$29,MATCH($B4042,Config!$B$9:$B$29,0))="","",INDEX(Config!$E$9:$E$29,MATCH($B4042,Config!$B$9:$B$29,0))),""),""))</f>
        <v/>
      </c>
      <c r="AC4042" s="19" t="str">
        <f>IF($B4042="","",IFERROR(INDEX(Config!$D$9:$D$29,MATCH($B4042,Config!$B$9:$B$29,0))&amp;"",""))</f>
        <v/>
      </c>
    </row>
    <row r="4043">
      <c r="R4043" s="20" t="str">
        <f>IF($B4043="","",IFERROR(IF(INDEX(Config!$D$9:$D$29,MATCH($B4043,Config!$B$9:$B$29,0))="Contrato",IF(INDEX(Config!$E$9:$E$29,MATCH($B4043,Config!$B$9:$B$29,0))="","",INDEX(Config!$E$9:$E$29,MATCH($B4043,Config!$B$9:$B$29,0))),""),""))</f>
        <v/>
      </c>
      <c r="AC4043" s="19" t="str">
        <f>IF($B4043="","",IFERROR(INDEX(Config!$D$9:$D$29,MATCH($B4043,Config!$B$9:$B$29,0))&amp;"",""))</f>
        <v/>
      </c>
    </row>
    <row r="4044">
      <c r="R4044" s="20" t="str">
        <f>IF($B4044="","",IFERROR(IF(INDEX(Config!$D$9:$D$29,MATCH($B4044,Config!$B$9:$B$29,0))="Contrato",IF(INDEX(Config!$E$9:$E$29,MATCH($B4044,Config!$B$9:$B$29,0))="","",INDEX(Config!$E$9:$E$29,MATCH($B4044,Config!$B$9:$B$29,0))),""),""))</f>
        <v/>
      </c>
      <c r="AC4044" s="19" t="str">
        <f>IF($B4044="","",IFERROR(INDEX(Config!$D$9:$D$29,MATCH($B4044,Config!$B$9:$B$29,0))&amp;"",""))</f>
        <v/>
      </c>
    </row>
    <row r="4045">
      <c r="R4045" s="20" t="str">
        <f>IF($B4045="","",IFERROR(IF(INDEX(Config!$D$9:$D$29,MATCH($B4045,Config!$B$9:$B$29,0))="Contrato",IF(INDEX(Config!$E$9:$E$29,MATCH($B4045,Config!$B$9:$B$29,0))="","",INDEX(Config!$E$9:$E$29,MATCH($B4045,Config!$B$9:$B$29,0))),""),""))</f>
        <v/>
      </c>
      <c r="AC4045" s="19" t="str">
        <f>IF($B4045="","",IFERROR(INDEX(Config!$D$9:$D$29,MATCH($B4045,Config!$B$9:$B$29,0))&amp;"",""))</f>
        <v/>
      </c>
    </row>
    <row r="4046">
      <c r="R4046" s="20" t="str">
        <f>IF($B4046="","",IFERROR(IF(INDEX(Config!$D$9:$D$29,MATCH($B4046,Config!$B$9:$B$29,0))="Contrato",IF(INDEX(Config!$E$9:$E$29,MATCH($B4046,Config!$B$9:$B$29,0))="","",INDEX(Config!$E$9:$E$29,MATCH($B4046,Config!$B$9:$B$29,0))),""),""))</f>
        <v/>
      </c>
      <c r="AC4046" s="19" t="str">
        <f>IF($B4046="","",IFERROR(INDEX(Config!$D$9:$D$29,MATCH($B4046,Config!$B$9:$B$29,0))&amp;"",""))</f>
        <v/>
      </c>
    </row>
    <row r="4047">
      <c r="R4047" s="20" t="str">
        <f>IF($B4047="","",IFERROR(IF(INDEX(Config!$D$9:$D$29,MATCH($B4047,Config!$B$9:$B$29,0))="Contrato",IF(INDEX(Config!$E$9:$E$29,MATCH($B4047,Config!$B$9:$B$29,0))="","",INDEX(Config!$E$9:$E$29,MATCH($B4047,Config!$B$9:$B$29,0))),""),""))</f>
        <v/>
      </c>
      <c r="AC4047" s="19" t="str">
        <f>IF($B4047="","",IFERROR(INDEX(Config!$D$9:$D$29,MATCH($B4047,Config!$B$9:$B$29,0))&amp;"",""))</f>
        <v/>
      </c>
    </row>
    <row r="4048">
      <c r="R4048" s="20" t="str">
        <f>IF($B4048="","",IFERROR(IF(INDEX(Config!$D$9:$D$29,MATCH($B4048,Config!$B$9:$B$29,0))="Contrato",IF(INDEX(Config!$E$9:$E$29,MATCH($B4048,Config!$B$9:$B$29,0))="","",INDEX(Config!$E$9:$E$29,MATCH($B4048,Config!$B$9:$B$29,0))),""),""))</f>
        <v/>
      </c>
      <c r="AC4048" s="19" t="str">
        <f>IF($B4048="","",IFERROR(INDEX(Config!$D$9:$D$29,MATCH($B4048,Config!$B$9:$B$29,0))&amp;"",""))</f>
        <v/>
      </c>
    </row>
    <row r="4049">
      <c r="R4049" s="20" t="str">
        <f>IF($B4049="","",IFERROR(IF(INDEX(Config!$D$9:$D$29,MATCH($B4049,Config!$B$9:$B$29,0))="Contrato",IF(INDEX(Config!$E$9:$E$29,MATCH($B4049,Config!$B$9:$B$29,0))="","",INDEX(Config!$E$9:$E$29,MATCH($B4049,Config!$B$9:$B$29,0))),""),""))</f>
        <v/>
      </c>
      <c r="AC4049" s="19" t="str">
        <f>IF($B4049="","",IFERROR(INDEX(Config!$D$9:$D$29,MATCH($B4049,Config!$B$9:$B$29,0))&amp;"",""))</f>
        <v/>
      </c>
    </row>
    <row r="4050">
      <c r="R4050" s="20" t="str">
        <f>IF($B4050="","",IFERROR(IF(INDEX(Config!$D$9:$D$29,MATCH($B4050,Config!$B$9:$B$29,0))="Contrato",IF(INDEX(Config!$E$9:$E$29,MATCH($B4050,Config!$B$9:$B$29,0))="","",INDEX(Config!$E$9:$E$29,MATCH($B4050,Config!$B$9:$B$29,0))),""),""))</f>
        <v/>
      </c>
      <c r="AC4050" s="19" t="str">
        <f>IF($B4050="","",IFERROR(INDEX(Config!$D$9:$D$29,MATCH($B4050,Config!$B$9:$B$29,0))&amp;"",""))</f>
        <v/>
      </c>
    </row>
    <row r="4051">
      <c r="R4051" s="20" t="str">
        <f>IF($B4051="","",IFERROR(IF(INDEX(Config!$D$9:$D$29,MATCH($B4051,Config!$B$9:$B$29,0))="Contrato",IF(INDEX(Config!$E$9:$E$29,MATCH($B4051,Config!$B$9:$B$29,0))="","",INDEX(Config!$E$9:$E$29,MATCH($B4051,Config!$B$9:$B$29,0))),""),""))</f>
        <v/>
      </c>
      <c r="AC4051" s="19" t="str">
        <f>IF($B4051="","",IFERROR(INDEX(Config!$D$9:$D$29,MATCH($B4051,Config!$B$9:$B$29,0))&amp;"",""))</f>
        <v/>
      </c>
    </row>
    <row r="4052">
      <c r="R4052" s="20" t="str">
        <f>IF($B4052="","",IFERROR(IF(INDEX(Config!$D$9:$D$29,MATCH($B4052,Config!$B$9:$B$29,0))="Contrato",IF(INDEX(Config!$E$9:$E$29,MATCH($B4052,Config!$B$9:$B$29,0))="","",INDEX(Config!$E$9:$E$29,MATCH($B4052,Config!$B$9:$B$29,0))),""),""))</f>
        <v/>
      </c>
      <c r="AC4052" s="19" t="str">
        <f>IF($B4052="","",IFERROR(INDEX(Config!$D$9:$D$29,MATCH($B4052,Config!$B$9:$B$29,0))&amp;"",""))</f>
        <v/>
      </c>
    </row>
    <row r="4053">
      <c r="R4053" s="20" t="str">
        <f>IF($B4053="","",IFERROR(IF(INDEX(Config!$D$9:$D$29,MATCH($B4053,Config!$B$9:$B$29,0))="Contrato",IF(INDEX(Config!$E$9:$E$29,MATCH($B4053,Config!$B$9:$B$29,0))="","",INDEX(Config!$E$9:$E$29,MATCH($B4053,Config!$B$9:$B$29,0))),""),""))</f>
        <v/>
      </c>
      <c r="AC4053" s="19" t="str">
        <f>IF($B4053="","",IFERROR(INDEX(Config!$D$9:$D$29,MATCH($B4053,Config!$B$9:$B$29,0))&amp;"",""))</f>
        <v/>
      </c>
    </row>
    <row r="4054">
      <c r="R4054" s="20" t="str">
        <f>IF($B4054="","",IFERROR(IF(INDEX(Config!$D$9:$D$29,MATCH($B4054,Config!$B$9:$B$29,0))="Contrato",IF(INDEX(Config!$E$9:$E$29,MATCH($B4054,Config!$B$9:$B$29,0))="","",INDEX(Config!$E$9:$E$29,MATCH($B4054,Config!$B$9:$B$29,0))),""),""))</f>
        <v/>
      </c>
      <c r="AC4054" s="19" t="str">
        <f>IF($B4054="","",IFERROR(INDEX(Config!$D$9:$D$29,MATCH($B4054,Config!$B$9:$B$29,0))&amp;"",""))</f>
        <v/>
      </c>
    </row>
    <row r="4055">
      <c r="R4055" s="20" t="str">
        <f>IF($B4055="","",IFERROR(IF(INDEX(Config!$D$9:$D$29,MATCH($B4055,Config!$B$9:$B$29,0))="Contrato",IF(INDEX(Config!$E$9:$E$29,MATCH($B4055,Config!$B$9:$B$29,0))="","",INDEX(Config!$E$9:$E$29,MATCH($B4055,Config!$B$9:$B$29,0))),""),""))</f>
        <v/>
      </c>
      <c r="AC4055" s="19" t="str">
        <f>IF($B4055="","",IFERROR(INDEX(Config!$D$9:$D$29,MATCH($B4055,Config!$B$9:$B$29,0))&amp;"",""))</f>
        <v/>
      </c>
    </row>
    <row r="4056">
      <c r="R4056" s="20" t="str">
        <f>IF($B4056="","",IFERROR(IF(INDEX(Config!$D$9:$D$29,MATCH($B4056,Config!$B$9:$B$29,0))="Contrato",IF(INDEX(Config!$E$9:$E$29,MATCH($B4056,Config!$B$9:$B$29,0))="","",INDEX(Config!$E$9:$E$29,MATCH($B4056,Config!$B$9:$B$29,0))),""),""))</f>
        <v/>
      </c>
      <c r="AC4056" s="19" t="str">
        <f>IF($B4056="","",IFERROR(INDEX(Config!$D$9:$D$29,MATCH($B4056,Config!$B$9:$B$29,0))&amp;"",""))</f>
        <v/>
      </c>
    </row>
    <row r="4057">
      <c r="R4057" s="20" t="str">
        <f>IF($B4057="","",IFERROR(IF(INDEX(Config!$D$9:$D$29,MATCH($B4057,Config!$B$9:$B$29,0))="Contrato",IF(INDEX(Config!$E$9:$E$29,MATCH($B4057,Config!$B$9:$B$29,0))="","",INDEX(Config!$E$9:$E$29,MATCH($B4057,Config!$B$9:$B$29,0))),""),""))</f>
        <v/>
      </c>
      <c r="AC4057" s="19" t="str">
        <f>IF($B4057="","",IFERROR(INDEX(Config!$D$9:$D$29,MATCH($B4057,Config!$B$9:$B$29,0))&amp;"",""))</f>
        <v/>
      </c>
    </row>
    <row r="4058">
      <c r="R4058" s="20" t="str">
        <f>IF($B4058="","",IFERROR(IF(INDEX(Config!$D$9:$D$29,MATCH($B4058,Config!$B$9:$B$29,0))="Contrato",IF(INDEX(Config!$E$9:$E$29,MATCH($B4058,Config!$B$9:$B$29,0))="","",INDEX(Config!$E$9:$E$29,MATCH($B4058,Config!$B$9:$B$29,0))),""),""))</f>
        <v/>
      </c>
      <c r="AC4058" s="19" t="str">
        <f>IF($B4058="","",IFERROR(INDEX(Config!$D$9:$D$29,MATCH($B4058,Config!$B$9:$B$29,0))&amp;"",""))</f>
        <v/>
      </c>
    </row>
    <row r="4059">
      <c r="R4059" s="20" t="str">
        <f>IF($B4059="","",IFERROR(IF(INDEX(Config!$D$9:$D$29,MATCH($B4059,Config!$B$9:$B$29,0))="Contrato",IF(INDEX(Config!$E$9:$E$29,MATCH($B4059,Config!$B$9:$B$29,0))="","",INDEX(Config!$E$9:$E$29,MATCH($B4059,Config!$B$9:$B$29,0))),""),""))</f>
        <v/>
      </c>
      <c r="AC4059" s="19" t="str">
        <f>IF($B4059="","",IFERROR(INDEX(Config!$D$9:$D$29,MATCH($B4059,Config!$B$9:$B$29,0))&amp;"",""))</f>
        <v/>
      </c>
    </row>
    <row r="4060">
      <c r="R4060" s="20" t="str">
        <f>IF($B4060="","",IFERROR(IF(INDEX(Config!$D$9:$D$29,MATCH($B4060,Config!$B$9:$B$29,0))="Contrato",IF(INDEX(Config!$E$9:$E$29,MATCH($B4060,Config!$B$9:$B$29,0))="","",INDEX(Config!$E$9:$E$29,MATCH($B4060,Config!$B$9:$B$29,0))),""),""))</f>
        <v/>
      </c>
      <c r="AC4060" s="19" t="str">
        <f>IF($B4060="","",IFERROR(INDEX(Config!$D$9:$D$29,MATCH($B4060,Config!$B$9:$B$29,0))&amp;"",""))</f>
        <v/>
      </c>
    </row>
    <row r="4061">
      <c r="R4061" s="20" t="str">
        <f>IF($B4061="","",IFERROR(IF(INDEX(Config!$D$9:$D$29,MATCH($B4061,Config!$B$9:$B$29,0))="Contrato",IF(INDEX(Config!$E$9:$E$29,MATCH($B4061,Config!$B$9:$B$29,0))="","",INDEX(Config!$E$9:$E$29,MATCH($B4061,Config!$B$9:$B$29,0))),""),""))</f>
        <v/>
      </c>
      <c r="AC4061" s="19" t="str">
        <f>IF($B4061="","",IFERROR(INDEX(Config!$D$9:$D$29,MATCH($B4061,Config!$B$9:$B$29,0))&amp;"",""))</f>
        <v/>
      </c>
    </row>
    <row r="4062">
      <c r="R4062" s="20" t="str">
        <f>IF($B4062="","",IFERROR(IF(INDEX(Config!$D$9:$D$29,MATCH($B4062,Config!$B$9:$B$29,0))="Contrato",IF(INDEX(Config!$E$9:$E$29,MATCH($B4062,Config!$B$9:$B$29,0))="","",INDEX(Config!$E$9:$E$29,MATCH($B4062,Config!$B$9:$B$29,0))),""),""))</f>
        <v/>
      </c>
      <c r="AC4062" s="19" t="str">
        <f>IF($B4062="","",IFERROR(INDEX(Config!$D$9:$D$29,MATCH($B4062,Config!$B$9:$B$29,0))&amp;"",""))</f>
        <v/>
      </c>
    </row>
    <row r="4063">
      <c r="R4063" s="20" t="str">
        <f>IF($B4063="","",IFERROR(IF(INDEX(Config!$D$9:$D$29,MATCH($B4063,Config!$B$9:$B$29,0))="Contrato",IF(INDEX(Config!$E$9:$E$29,MATCH($B4063,Config!$B$9:$B$29,0))="","",INDEX(Config!$E$9:$E$29,MATCH($B4063,Config!$B$9:$B$29,0))),""),""))</f>
        <v/>
      </c>
      <c r="AC4063" s="19" t="str">
        <f>IF($B4063="","",IFERROR(INDEX(Config!$D$9:$D$29,MATCH($B4063,Config!$B$9:$B$29,0))&amp;"",""))</f>
        <v/>
      </c>
    </row>
    <row r="4064">
      <c r="R4064" s="20" t="str">
        <f>IF($B4064="","",IFERROR(IF(INDEX(Config!$D$9:$D$29,MATCH($B4064,Config!$B$9:$B$29,0))="Contrato",IF(INDEX(Config!$E$9:$E$29,MATCH($B4064,Config!$B$9:$B$29,0))="","",INDEX(Config!$E$9:$E$29,MATCH($B4064,Config!$B$9:$B$29,0))),""),""))</f>
        <v/>
      </c>
      <c r="AC4064" s="19" t="str">
        <f>IF($B4064="","",IFERROR(INDEX(Config!$D$9:$D$29,MATCH($B4064,Config!$B$9:$B$29,0))&amp;"",""))</f>
        <v/>
      </c>
    </row>
    <row r="4065">
      <c r="R4065" s="20" t="str">
        <f>IF($B4065="","",IFERROR(IF(INDEX(Config!$D$9:$D$29,MATCH($B4065,Config!$B$9:$B$29,0))="Contrato",IF(INDEX(Config!$E$9:$E$29,MATCH($B4065,Config!$B$9:$B$29,0))="","",INDEX(Config!$E$9:$E$29,MATCH($B4065,Config!$B$9:$B$29,0))),""),""))</f>
        <v/>
      </c>
      <c r="AC4065" s="19" t="str">
        <f>IF($B4065="","",IFERROR(INDEX(Config!$D$9:$D$29,MATCH($B4065,Config!$B$9:$B$29,0))&amp;"",""))</f>
        <v/>
      </c>
    </row>
    <row r="4066">
      <c r="R4066" s="20" t="str">
        <f>IF($B4066="","",IFERROR(IF(INDEX(Config!$D$9:$D$29,MATCH($B4066,Config!$B$9:$B$29,0))="Contrato",IF(INDEX(Config!$E$9:$E$29,MATCH($B4066,Config!$B$9:$B$29,0))="","",INDEX(Config!$E$9:$E$29,MATCH($B4066,Config!$B$9:$B$29,0))),""),""))</f>
        <v/>
      </c>
      <c r="AC4066" s="19" t="str">
        <f>IF($B4066="","",IFERROR(INDEX(Config!$D$9:$D$29,MATCH($B4066,Config!$B$9:$B$29,0))&amp;"",""))</f>
        <v/>
      </c>
    </row>
    <row r="4067">
      <c r="R4067" s="20" t="str">
        <f>IF($B4067="","",IFERROR(IF(INDEX(Config!$D$9:$D$29,MATCH($B4067,Config!$B$9:$B$29,0))="Contrato",IF(INDEX(Config!$E$9:$E$29,MATCH($B4067,Config!$B$9:$B$29,0))="","",INDEX(Config!$E$9:$E$29,MATCH($B4067,Config!$B$9:$B$29,0))),""),""))</f>
        <v/>
      </c>
      <c r="AC4067" s="19" t="str">
        <f>IF($B4067="","",IFERROR(INDEX(Config!$D$9:$D$29,MATCH($B4067,Config!$B$9:$B$29,0))&amp;"",""))</f>
        <v/>
      </c>
    </row>
    <row r="4068">
      <c r="R4068" s="20" t="str">
        <f>IF($B4068="","",IFERROR(IF(INDEX(Config!$D$9:$D$29,MATCH($B4068,Config!$B$9:$B$29,0))="Contrato",IF(INDEX(Config!$E$9:$E$29,MATCH($B4068,Config!$B$9:$B$29,0))="","",INDEX(Config!$E$9:$E$29,MATCH($B4068,Config!$B$9:$B$29,0))),""),""))</f>
        <v/>
      </c>
      <c r="AC4068" s="19" t="str">
        <f>IF($B4068="","",IFERROR(INDEX(Config!$D$9:$D$29,MATCH($B4068,Config!$B$9:$B$29,0))&amp;"",""))</f>
        <v/>
      </c>
    </row>
    <row r="4069">
      <c r="R4069" s="20" t="str">
        <f>IF($B4069="","",IFERROR(IF(INDEX(Config!$D$9:$D$29,MATCH($B4069,Config!$B$9:$B$29,0))="Contrato",IF(INDEX(Config!$E$9:$E$29,MATCH($B4069,Config!$B$9:$B$29,0))="","",INDEX(Config!$E$9:$E$29,MATCH($B4069,Config!$B$9:$B$29,0))),""),""))</f>
        <v/>
      </c>
      <c r="AC4069" s="19" t="str">
        <f>IF($B4069="","",IFERROR(INDEX(Config!$D$9:$D$29,MATCH($B4069,Config!$B$9:$B$29,0))&amp;"",""))</f>
        <v/>
      </c>
    </row>
    <row r="4070">
      <c r="R4070" s="20" t="str">
        <f>IF($B4070="","",IFERROR(IF(INDEX(Config!$D$9:$D$29,MATCH($B4070,Config!$B$9:$B$29,0))="Contrato",IF(INDEX(Config!$E$9:$E$29,MATCH($B4070,Config!$B$9:$B$29,0))="","",INDEX(Config!$E$9:$E$29,MATCH($B4070,Config!$B$9:$B$29,0))),""),""))</f>
        <v/>
      </c>
      <c r="AC4070" s="19" t="str">
        <f>IF($B4070="","",IFERROR(INDEX(Config!$D$9:$D$29,MATCH($B4070,Config!$B$9:$B$29,0))&amp;"",""))</f>
        <v/>
      </c>
    </row>
    <row r="4071">
      <c r="R4071" s="20" t="str">
        <f>IF($B4071="","",IFERROR(IF(INDEX(Config!$D$9:$D$29,MATCH($B4071,Config!$B$9:$B$29,0))="Contrato",IF(INDEX(Config!$E$9:$E$29,MATCH($B4071,Config!$B$9:$B$29,0))="","",INDEX(Config!$E$9:$E$29,MATCH($B4071,Config!$B$9:$B$29,0))),""),""))</f>
        <v/>
      </c>
      <c r="AC4071" s="19" t="str">
        <f>IF($B4071="","",IFERROR(INDEX(Config!$D$9:$D$29,MATCH($B4071,Config!$B$9:$B$29,0))&amp;"",""))</f>
        <v/>
      </c>
    </row>
    <row r="4072">
      <c r="R4072" s="20" t="str">
        <f>IF($B4072="","",IFERROR(IF(INDEX(Config!$D$9:$D$29,MATCH($B4072,Config!$B$9:$B$29,0))="Contrato",IF(INDEX(Config!$E$9:$E$29,MATCH($B4072,Config!$B$9:$B$29,0))="","",INDEX(Config!$E$9:$E$29,MATCH($B4072,Config!$B$9:$B$29,0))),""),""))</f>
        <v/>
      </c>
      <c r="AC4072" s="19" t="str">
        <f>IF($B4072="","",IFERROR(INDEX(Config!$D$9:$D$29,MATCH($B4072,Config!$B$9:$B$29,0))&amp;"",""))</f>
        <v/>
      </c>
    </row>
    <row r="4073">
      <c r="R4073" s="20" t="str">
        <f>IF($B4073="","",IFERROR(IF(INDEX(Config!$D$9:$D$29,MATCH($B4073,Config!$B$9:$B$29,0))="Contrato",IF(INDEX(Config!$E$9:$E$29,MATCH($B4073,Config!$B$9:$B$29,0))="","",INDEX(Config!$E$9:$E$29,MATCH($B4073,Config!$B$9:$B$29,0))),""),""))</f>
        <v/>
      </c>
      <c r="AC4073" s="19" t="str">
        <f>IF($B4073="","",IFERROR(INDEX(Config!$D$9:$D$29,MATCH($B4073,Config!$B$9:$B$29,0))&amp;"",""))</f>
        <v/>
      </c>
    </row>
    <row r="4074">
      <c r="R4074" s="20" t="str">
        <f>IF($B4074="","",IFERROR(IF(INDEX(Config!$D$9:$D$29,MATCH($B4074,Config!$B$9:$B$29,0))="Contrato",IF(INDEX(Config!$E$9:$E$29,MATCH($B4074,Config!$B$9:$B$29,0))="","",INDEX(Config!$E$9:$E$29,MATCH($B4074,Config!$B$9:$B$29,0))),""),""))</f>
        <v/>
      </c>
      <c r="AC4074" s="19" t="str">
        <f>IF($B4074="","",IFERROR(INDEX(Config!$D$9:$D$29,MATCH($B4074,Config!$B$9:$B$29,0))&amp;"",""))</f>
        <v/>
      </c>
    </row>
    <row r="4075">
      <c r="R4075" s="20" t="str">
        <f>IF($B4075="","",IFERROR(IF(INDEX(Config!$D$9:$D$29,MATCH($B4075,Config!$B$9:$B$29,0))="Contrato",IF(INDEX(Config!$E$9:$E$29,MATCH($B4075,Config!$B$9:$B$29,0))="","",INDEX(Config!$E$9:$E$29,MATCH($B4075,Config!$B$9:$B$29,0))),""),""))</f>
        <v/>
      </c>
      <c r="AC4075" s="19" t="str">
        <f>IF($B4075="","",IFERROR(INDEX(Config!$D$9:$D$29,MATCH($B4075,Config!$B$9:$B$29,0))&amp;"",""))</f>
        <v/>
      </c>
    </row>
    <row r="4076">
      <c r="R4076" s="20" t="str">
        <f>IF($B4076="","",IFERROR(IF(INDEX(Config!$D$9:$D$29,MATCH($B4076,Config!$B$9:$B$29,0))="Contrato",IF(INDEX(Config!$E$9:$E$29,MATCH($B4076,Config!$B$9:$B$29,0))="","",INDEX(Config!$E$9:$E$29,MATCH($B4076,Config!$B$9:$B$29,0))),""),""))</f>
        <v/>
      </c>
      <c r="AC4076" s="19" t="str">
        <f>IF($B4076="","",IFERROR(INDEX(Config!$D$9:$D$29,MATCH($B4076,Config!$B$9:$B$29,0))&amp;"",""))</f>
        <v/>
      </c>
    </row>
    <row r="4077">
      <c r="R4077" s="20" t="str">
        <f>IF($B4077="","",IFERROR(IF(INDEX(Config!$D$9:$D$29,MATCH($B4077,Config!$B$9:$B$29,0))="Contrato",IF(INDEX(Config!$E$9:$E$29,MATCH($B4077,Config!$B$9:$B$29,0))="","",INDEX(Config!$E$9:$E$29,MATCH($B4077,Config!$B$9:$B$29,0))),""),""))</f>
        <v/>
      </c>
      <c r="AC4077" s="19" t="str">
        <f>IF($B4077="","",IFERROR(INDEX(Config!$D$9:$D$29,MATCH($B4077,Config!$B$9:$B$29,0))&amp;"",""))</f>
        <v/>
      </c>
    </row>
    <row r="4078">
      <c r="R4078" s="20" t="str">
        <f>IF($B4078="","",IFERROR(IF(INDEX(Config!$D$9:$D$29,MATCH($B4078,Config!$B$9:$B$29,0))="Contrato",IF(INDEX(Config!$E$9:$E$29,MATCH($B4078,Config!$B$9:$B$29,0))="","",INDEX(Config!$E$9:$E$29,MATCH($B4078,Config!$B$9:$B$29,0))),""),""))</f>
        <v/>
      </c>
      <c r="AC4078" s="19" t="str">
        <f>IF($B4078="","",IFERROR(INDEX(Config!$D$9:$D$29,MATCH($B4078,Config!$B$9:$B$29,0))&amp;"",""))</f>
        <v/>
      </c>
    </row>
    <row r="4079">
      <c r="R4079" s="20" t="str">
        <f>IF($B4079="","",IFERROR(IF(INDEX(Config!$D$9:$D$29,MATCH($B4079,Config!$B$9:$B$29,0))="Contrato",IF(INDEX(Config!$E$9:$E$29,MATCH($B4079,Config!$B$9:$B$29,0))="","",INDEX(Config!$E$9:$E$29,MATCH($B4079,Config!$B$9:$B$29,0))),""),""))</f>
        <v/>
      </c>
      <c r="AC4079" s="19" t="str">
        <f>IF($B4079="","",IFERROR(INDEX(Config!$D$9:$D$29,MATCH($B4079,Config!$B$9:$B$29,0))&amp;"",""))</f>
        <v/>
      </c>
    </row>
    <row r="4080">
      <c r="R4080" s="20" t="str">
        <f>IF($B4080="","",IFERROR(IF(INDEX(Config!$D$9:$D$29,MATCH($B4080,Config!$B$9:$B$29,0))="Contrato",IF(INDEX(Config!$E$9:$E$29,MATCH($B4080,Config!$B$9:$B$29,0))="","",INDEX(Config!$E$9:$E$29,MATCH($B4080,Config!$B$9:$B$29,0))),""),""))</f>
        <v/>
      </c>
      <c r="AC4080" s="19" t="str">
        <f>IF($B4080="","",IFERROR(INDEX(Config!$D$9:$D$29,MATCH($B4080,Config!$B$9:$B$29,0))&amp;"",""))</f>
        <v/>
      </c>
    </row>
    <row r="4081">
      <c r="R4081" s="20" t="str">
        <f>IF($B4081="","",IFERROR(IF(INDEX(Config!$D$9:$D$29,MATCH($B4081,Config!$B$9:$B$29,0))="Contrato",IF(INDEX(Config!$E$9:$E$29,MATCH($B4081,Config!$B$9:$B$29,0))="","",INDEX(Config!$E$9:$E$29,MATCH($B4081,Config!$B$9:$B$29,0))),""),""))</f>
        <v/>
      </c>
      <c r="AC4081" s="19" t="str">
        <f>IF($B4081="","",IFERROR(INDEX(Config!$D$9:$D$29,MATCH($B4081,Config!$B$9:$B$29,0))&amp;"",""))</f>
        <v/>
      </c>
    </row>
    <row r="4082">
      <c r="R4082" s="20" t="str">
        <f>IF($B4082="","",IFERROR(IF(INDEX(Config!$D$9:$D$29,MATCH($B4082,Config!$B$9:$B$29,0))="Contrato",IF(INDEX(Config!$E$9:$E$29,MATCH($B4082,Config!$B$9:$B$29,0))="","",INDEX(Config!$E$9:$E$29,MATCH($B4082,Config!$B$9:$B$29,0))),""),""))</f>
        <v/>
      </c>
      <c r="AC4082" s="19" t="str">
        <f>IF($B4082="","",IFERROR(INDEX(Config!$D$9:$D$29,MATCH($B4082,Config!$B$9:$B$29,0))&amp;"",""))</f>
        <v/>
      </c>
    </row>
    <row r="4083">
      <c r="R4083" s="20" t="str">
        <f>IF($B4083="","",IFERROR(IF(INDEX(Config!$D$9:$D$29,MATCH($B4083,Config!$B$9:$B$29,0))="Contrato",IF(INDEX(Config!$E$9:$E$29,MATCH($B4083,Config!$B$9:$B$29,0))="","",INDEX(Config!$E$9:$E$29,MATCH($B4083,Config!$B$9:$B$29,0))),""),""))</f>
        <v/>
      </c>
      <c r="AC4083" s="19" t="str">
        <f>IF($B4083="","",IFERROR(INDEX(Config!$D$9:$D$29,MATCH($B4083,Config!$B$9:$B$29,0))&amp;"",""))</f>
        <v/>
      </c>
    </row>
    <row r="4084">
      <c r="R4084" s="20" t="str">
        <f>IF($B4084="","",IFERROR(IF(INDEX(Config!$D$9:$D$29,MATCH($B4084,Config!$B$9:$B$29,0))="Contrato",IF(INDEX(Config!$E$9:$E$29,MATCH($B4084,Config!$B$9:$B$29,0))="","",INDEX(Config!$E$9:$E$29,MATCH($B4084,Config!$B$9:$B$29,0))),""),""))</f>
        <v/>
      </c>
      <c r="AC4084" s="19" t="str">
        <f>IF($B4084="","",IFERROR(INDEX(Config!$D$9:$D$29,MATCH($B4084,Config!$B$9:$B$29,0))&amp;"",""))</f>
        <v/>
      </c>
    </row>
    <row r="4085">
      <c r="R4085" s="20" t="str">
        <f>IF($B4085="","",IFERROR(IF(INDEX(Config!$D$9:$D$29,MATCH($B4085,Config!$B$9:$B$29,0))="Contrato",IF(INDEX(Config!$E$9:$E$29,MATCH($B4085,Config!$B$9:$B$29,0))="","",INDEX(Config!$E$9:$E$29,MATCH($B4085,Config!$B$9:$B$29,0))),""),""))</f>
        <v/>
      </c>
      <c r="AC4085" s="19" t="str">
        <f>IF($B4085="","",IFERROR(INDEX(Config!$D$9:$D$29,MATCH($B4085,Config!$B$9:$B$29,0))&amp;"",""))</f>
        <v/>
      </c>
    </row>
    <row r="4086">
      <c r="R4086" s="20" t="str">
        <f>IF($B4086="","",IFERROR(IF(INDEX(Config!$D$9:$D$29,MATCH($B4086,Config!$B$9:$B$29,0))="Contrato",IF(INDEX(Config!$E$9:$E$29,MATCH($B4086,Config!$B$9:$B$29,0))="","",INDEX(Config!$E$9:$E$29,MATCH($B4086,Config!$B$9:$B$29,0))),""),""))</f>
        <v/>
      </c>
      <c r="AC4086" s="19" t="str">
        <f>IF($B4086="","",IFERROR(INDEX(Config!$D$9:$D$29,MATCH($B4086,Config!$B$9:$B$29,0))&amp;"",""))</f>
        <v/>
      </c>
    </row>
    <row r="4087">
      <c r="R4087" s="20" t="str">
        <f>IF($B4087="","",IFERROR(IF(INDEX(Config!$D$9:$D$29,MATCH($B4087,Config!$B$9:$B$29,0))="Contrato",IF(INDEX(Config!$E$9:$E$29,MATCH($B4087,Config!$B$9:$B$29,0))="","",INDEX(Config!$E$9:$E$29,MATCH($B4087,Config!$B$9:$B$29,0))),""),""))</f>
        <v/>
      </c>
      <c r="AC4087" s="19" t="str">
        <f>IF($B4087="","",IFERROR(INDEX(Config!$D$9:$D$29,MATCH($B4087,Config!$B$9:$B$29,0))&amp;"",""))</f>
        <v/>
      </c>
    </row>
    <row r="4088">
      <c r="R4088" s="20" t="str">
        <f>IF($B4088="","",IFERROR(IF(INDEX(Config!$D$9:$D$29,MATCH($B4088,Config!$B$9:$B$29,0))="Contrato",IF(INDEX(Config!$E$9:$E$29,MATCH($B4088,Config!$B$9:$B$29,0))="","",INDEX(Config!$E$9:$E$29,MATCH($B4088,Config!$B$9:$B$29,0))),""),""))</f>
        <v/>
      </c>
      <c r="AC4088" s="19" t="str">
        <f>IF($B4088="","",IFERROR(INDEX(Config!$D$9:$D$29,MATCH($B4088,Config!$B$9:$B$29,0))&amp;"",""))</f>
        <v/>
      </c>
    </row>
    <row r="4089">
      <c r="R4089" s="20" t="str">
        <f>IF($B4089="","",IFERROR(IF(INDEX(Config!$D$9:$D$29,MATCH($B4089,Config!$B$9:$B$29,0))="Contrato",IF(INDEX(Config!$E$9:$E$29,MATCH($B4089,Config!$B$9:$B$29,0))="","",INDEX(Config!$E$9:$E$29,MATCH($B4089,Config!$B$9:$B$29,0))),""),""))</f>
        <v/>
      </c>
      <c r="AC4089" s="19" t="str">
        <f>IF($B4089="","",IFERROR(INDEX(Config!$D$9:$D$29,MATCH($B4089,Config!$B$9:$B$29,0))&amp;"",""))</f>
        <v/>
      </c>
    </row>
    <row r="4090">
      <c r="R4090" s="20" t="str">
        <f>IF($B4090="","",IFERROR(IF(INDEX(Config!$D$9:$D$29,MATCH($B4090,Config!$B$9:$B$29,0))="Contrato",IF(INDEX(Config!$E$9:$E$29,MATCH($B4090,Config!$B$9:$B$29,0))="","",INDEX(Config!$E$9:$E$29,MATCH($B4090,Config!$B$9:$B$29,0))),""),""))</f>
        <v/>
      </c>
      <c r="AC4090" s="19" t="str">
        <f>IF($B4090="","",IFERROR(INDEX(Config!$D$9:$D$29,MATCH($B4090,Config!$B$9:$B$29,0))&amp;"",""))</f>
        <v/>
      </c>
    </row>
    <row r="4091">
      <c r="R4091" s="20" t="str">
        <f>IF($B4091="","",IFERROR(IF(INDEX(Config!$D$9:$D$29,MATCH($B4091,Config!$B$9:$B$29,0))="Contrato",IF(INDEX(Config!$E$9:$E$29,MATCH($B4091,Config!$B$9:$B$29,0))="","",INDEX(Config!$E$9:$E$29,MATCH($B4091,Config!$B$9:$B$29,0))),""),""))</f>
        <v/>
      </c>
      <c r="AC4091" s="19" t="str">
        <f>IF($B4091="","",IFERROR(INDEX(Config!$D$9:$D$29,MATCH($B4091,Config!$B$9:$B$29,0))&amp;"",""))</f>
        <v/>
      </c>
    </row>
    <row r="4092">
      <c r="R4092" s="20" t="str">
        <f>IF($B4092="","",IFERROR(IF(INDEX(Config!$D$9:$D$29,MATCH($B4092,Config!$B$9:$B$29,0))="Contrato",IF(INDEX(Config!$E$9:$E$29,MATCH($B4092,Config!$B$9:$B$29,0))="","",INDEX(Config!$E$9:$E$29,MATCH($B4092,Config!$B$9:$B$29,0))),""),""))</f>
        <v/>
      </c>
      <c r="AC4092" s="19" t="str">
        <f>IF($B4092="","",IFERROR(INDEX(Config!$D$9:$D$29,MATCH($B4092,Config!$B$9:$B$29,0))&amp;"",""))</f>
        <v/>
      </c>
    </row>
    <row r="4093">
      <c r="R4093" s="20" t="str">
        <f>IF($B4093="","",IFERROR(IF(INDEX(Config!$D$9:$D$29,MATCH($B4093,Config!$B$9:$B$29,0))="Contrato",IF(INDEX(Config!$E$9:$E$29,MATCH($B4093,Config!$B$9:$B$29,0))="","",INDEX(Config!$E$9:$E$29,MATCH($B4093,Config!$B$9:$B$29,0))),""),""))</f>
        <v/>
      </c>
      <c r="AC4093" s="19" t="str">
        <f>IF($B4093="","",IFERROR(INDEX(Config!$D$9:$D$29,MATCH($B4093,Config!$B$9:$B$29,0))&amp;"",""))</f>
        <v/>
      </c>
    </row>
    <row r="4094">
      <c r="R4094" s="20" t="str">
        <f>IF($B4094="","",IFERROR(IF(INDEX(Config!$D$9:$D$29,MATCH($B4094,Config!$B$9:$B$29,0))="Contrato",IF(INDEX(Config!$E$9:$E$29,MATCH($B4094,Config!$B$9:$B$29,0))="","",INDEX(Config!$E$9:$E$29,MATCH($B4094,Config!$B$9:$B$29,0))),""),""))</f>
        <v/>
      </c>
      <c r="AC4094" s="19" t="str">
        <f>IF($B4094="","",IFERROR(INDEX(Config!$D$9:$D$29,MATCH($B4094,Config!$B$9:$B$29,0))&amp;"",""))</f>
        <v/>
      </c>
    </row>
    <row r="4095">
      <c r="R4095" s="20" t="str">
        <f>IF($B4095="","",IFERROR(IF(INDEX(Config!$D$9:$D$29,MATCH($B4095,Config!$B$9:$B$29,0))="Contrato",IF(INDEX(Config!$E$9:$E$29,MATCH($B4095,Config!$B$9:$B$29,0))="","",INDEX(Config!$E$9:$E$29,MATCH($B4095,Config!$B$9:$B$29,0))),""),""))</f>
        <v/>
      </c>
      <c r="AC4095" s="19" t="str">
        <f>IF($B4095="","",IFERROR(INDEX(Config!$D$9:$D$29,MATCH($B4095,Config!$B$9:$B$29,0))&amp;"",""))</f>
        <v/>
      </c>
    </row>
    <row r="4096">
      <c r="R4096" s="20" t="str">
        <f>IF($B4096="","",IFERROR(IF(INDEX(Config!$D$9:$D$29,MATCH($B4096,Config!$B$9:$B$29,0))="Contrato",IF(INDEX(Config!$E$9:$E$29,MATCH($B4096,Config!$B$9:$B$29,0))="","",INDEX(Config!$E$9:$E$29,MATCH($B4096,Config!$B$9:$B$29,0))),""),""))</f>
        <v/>
      </c>
      <c r="AC4096" s="19" t="str">
        <f>IF($B4096="","",IFERROR(INDEX(Config!$D$9:$D$29,MATCH($B4096,Config!$B$9:$B$29,0))&amp;"",""))</f>
        <v/>
      </c>
    </row>
    <row r="4097">
      <c r="R4097" s="20" t="str">
        <f>IF($B4097="","",IFERROR(IF(INDEX(Config!$D$9:$D$29,MATCH($B4097,Config!$B$9:$B$29,0))="Contrato",IF(INDEX(Config!$E$9:$E$29,MATCH($B4097,Config!$B$9:$B$29,0))="","",INDEX(Config!$E$9:$E$29,MATCH($B4097,Config!$B$9:$B$29,0))),""),""))</f>
        <v/>
      </c>
      <c r="AC4097" s="19" t="str">
        <f>IF($B4097="","",IFERROR(INDEX(Config!$D$9:$D$29,MATCH($B4097,Config!$B$9:$B$29,0))&amp;"",""))</f>
        <v/>
      </c>
    </row>
    <row r="4098">
      <c r="R4098" s="20" t="str">
        <f>IF($B4098="","",IFERROR(IF(INDEX(Config!$D$9:$D$29,MATCH($B4098,Config!$B$9:$B$29,0))="Contrato",IF(INDEX(Config!$E$9:$E$29,MATCH($B4098,Config!$B$9:$B$29,0))="","",INDEX(Config!$E$9:$E$29,MATCH($B4098,Config!$B$9:$B$29,0))),""),""))</f>
        <v/>
      </c>
      <c r="AC4098" s="19" t="str">
        <f>IF($B4098="","",IFERROR(INDEX(Config!$D$9:$D$29,MATCH($B4098,Config!$B$9:$B$29,0))&amp;"",""))</f>
        <v/>
      </c>
    </row>
    <row r="4099">
      <c r="R4099" s="20" t="str">
        <f>IF($B4099="","",IFERROR(IF(INDEX(Config!$D$9:$D$29,MATCH($B4099,Config!$B$9:$B$29,0))="Contrato",IF(INDEX(Config!$E$9:$E$29,MATCH($B4099,Config!$B$9:$B$29,0))="","",INDEX(Config!$E$9:$E$29,MATCH($B4099,Config!$B$9:$B$29,0))),""),""))</f>
        <v/>
      </c>
      <c r="AC4099" s="19" t="str">
        <f>IF($B4099="","",IFERROR(INDEX(Config!$D$9:$D$29,MATCH($B4099,Config!$B$9:$B$29,0))&amp;"",""))</f>
        <v/>
      </c>
    </row>
    <row r="4100">
      <c r="R4100" s="20" t="str">
        <f>IF($B4100="","",IFERROR(IF(INDEX(Config!$D$9:$D$29,MATCH($B4100,Config!$B$9:$B$29,0))="Contrato",IF(INDEX(Config!$E$9:$E$29,MATCH($B4100,Config!$B$9:$B$29,0))="","",INDEX(Config!$E$9:$E$29,MATCH($B4100,Config!$B$9:$B$29,0))),""),""))</f>
        <v/>
      </c>
      <c r="AC4100" s="19" t="str">
        <f>IF($B4100="","",IFERROR(INDEX(Config!$D$9:$D$29,MATCH($B4100,Config!$B$9:$B$29,0))&amp;"",""))</f>
        <v/>
      </c>
    </row>
    <row r="4101">
      <c r="R4101" s="20" t="str">
        <f>IF($B4101="","",IFERROR(IF(INDEX(Config!$D$9:$D$29,MATCH($B4101,Config!$B$9:$B$29,0))="Contrato",IF(INDEX(Config!$E$9:$E$29,MATCH($B4101,Config!$B$9:$B$29,0))="","",INDEX(Config!$E$9:$E$29,MATCH($B4101,Config!$B$9:$B$29,0))),""),""))</f>
        <v/>
      </c>
      <c r="AC4101" s="19" t="str">
        <f>IF($B4101="","",IFERROR(INDEX(Config!$D$9:$D$29,MATCH($B4101,Config!$B$9:$B$29,0))&amp;"",""))</f>
        <v/>
      </c>
    </row>
    <row r="4102">
      <c r="R4102" s="20" t="str">
        <f>IF($B4102="","",IFERROR(IF(INDEX(Config!$D$9:$D$29,MATCH($B4102,Config!$B$9:$B$29,0))="Contrato",IF(INDEX(Config!$E$9:$E$29,MATCH($B4102,Config!$B$9:$B$29,0))="","",INDEX(Config!$E$9:$E$29,MATCH($B4102,Config!$B$9:$B$29,0))),""),""))</f>
        <v/>
      </c>
      <c r="AC4102" s="19" t="str">
        <f>IF($B4102="","",IFERROR(INDEX(Config!$D$9:$D$29,MATCH($B4102,Config!$B$9:$B$29,0))&amp;"",""))</f>
        <v/>
      </c>
    </row>
    <row r="4103">
      <c r="R4103" s="20" t="str">
        <f>IF($B4103="","",IFERROR(IF(INDEX(Config!$D$9:$D$29,MATCH($B4103,Config!$B$9:$B$29,0))="Contrato",IF(INDEX(Config!$E$9:$E$29,MATCH($B4103,Config!$B$9:$B$29,0))="","",INDEX(Config!$E$9:$E$29,MATCH($B4103,Config!$B$9:$B$29,0))),""),""))</f>
        <v/>
      </c>
      <c r="AC4103" s="19" t="str">
        <f>IF($B4103="","",IFERROR(INDEX(Config!$D$9:$D$29,MATCH($B4103,Config!$B$9:$B$29,0))&amp;"",""))</f>
        <v/>
      </c>
    </row>
    <row r="4104">
      <c r="R4104" s="20" t="str">
        <f>IF($B4104="","",IFERROR(IF(INDEX(Config!$D$9:$D$29,MATCH($B4104,Config!$B$9:$B$29,0))="Contrato",IF(INDEX(Config!$E$9:$E$29,MATCH($B4104,Config!$B$9:$B$29,0))="","",INDEX(Config!$E$9:$E$29,MATCH($B4104,Config!$B$9:$B$29,0))),""),""))</f>
        <v/>
      </c>
      <c r="AC4104" s="19" t="str">
        <f>IF($B4104="","",IFERROR(INDEX(Config!$D$9:$D$29,MATCH($B4104,Config!$B$9:$B$29,0))&amp;"",""))</f>
        <v/>
      </c>
    </row>
    <row r="4105">
      <c r="R4105" s="20" t="str">
        <f>IF($B4105="","",IFERROR(IF(INDEX(Config!$D$9:$D$29,MATCH($B4105,Config!$B$9:$B$29,0))="Contrato",IF(INDEX(Config!$E$9:$E$29,MATCH($B4105,Config!$B$9:$B$29,0))="","",INDEX(Config!$E$9:$E$29,MATCH($B4105,Config!$B$9:$B$29,0))),""),""))</f>
        <v/>
      </c>
      <c r="AC4105" s="19" t="str">
        <f>IF($B4105="","",IFERROR(INDEX(Config!$D$9:$D$29,MATCH($B4105,Config!$B$9:$B$29,0))&amp;"",""))</f>
        <v/>
      </c>
    </row>
    <row r="4106">
      <c r="R4106" s="20" t="str">
        <f>IF($B4106="","",IFERROR(IF(INDEX(Config!$D$9:$D$29,MATCH($B4106,Config!$B$9:$B$29,0))="Contrato",IF(INDEX(Config!$E$9:$E$29,MATCH($B4106,Config!$B$9:$B$29,0))="","",INDEX(Config!$E$9:$E$29,MATCH($B4106,Config!$B$9:$B$29,0))),""),""))</f>
        <v/>
      </c>
      <c r="AC4106" s="19" t="str">
        <f>IF($B4106="","",IFERROR(INDEX(Config!$D$9:$D$29,MATCH($B4106,Config!$B$9:$B$29,0))&amp;"",""))</f>
        <v/>
      </c>
    </row>
    <row r="4107">
      <c r="R4107" s="20" t="str">
        <f>IF($B4107="","",IFERROR(IF(INDEX(Config!$D$9:$D$29,MATCH($B4107,Config!$B$9:$B$29,0))="Contrato",IF(INDEX(Config!$E$9:$E$29,MATCH($B4107,Config!$B$9:$B$29,0))="","",INDEX(Config!$E$9:$E$29,MATCH($B4107,Config!$B$9:$B$29,0))),""),""))</f>
        <v/>
      </c>
      <c r="AC4107" s="19" t="str">
        <f>IF($B4107="","",IFERROR(INDEX(Config!$D$9:$D$29,MATCH($B4107,Config!$B$9:$B$29,0))&amp;"",""))</f>
        <v/>
      </c>
    </row>
    <row r="4108">
      <c r="R4108" s="20" t="str">
        <f>IF($B4108="","",IFERROR(IF(INDEX(Config!$D$9:$D$29,MATCH($B4108,Config!$B$9:$B$29,0))="Contrato",IF(INDEX(Config!$E$9:$E$29,MATCH($B4108,Config!$B$9:$B$29,0))="","",INDEX(Config!$E$9:$E$29,MATCH($B4108,Config!$B$9:$B$29,0))),""),""))</f>
        <v/>
      </c>
      <c r="AC4108" s="19" t="str">
        <f>IF($B4108="","",IFERROR(INDEX(Config!$D$9:$D$29,MATCH($B4108,Config!$B$9:$B$29,0))&amp;"",""))</f>
        <v/>
      </c>
    </row>
    <row r="4109">
      <c r="R4109" s="20" t="str">
        <f>IF($B4109="","",IFERROR(IF(INDEX(Config!$D$9:$D$29,MATCH($B4109,Config!$B$9:$B$29,0))="Contrato",IF(INDEX(Config!$E$9:$E$29,MATCH($B4109,Config!$B$9:$B$29,0))="","",INDEX(Config!$E$9:$E$29,MATCH($B4109,Config!$B$9:$B$29,0))),""),""))</f>
        <v/>
      </c>
      <c r="AC4109" s="19" t="str">
        <f>IF($B4109="","",IFERROR(INDEX(Config!$D$9:$D$29,MATCH($B4109,Config!$B$9:$B$29,0))&amp;"",""))</f>
        <v/>
      </c>
    </row>
    <row r="4110">
      <c r="R4110" s="20" t="str">
        <f>IF($B4110="","",IFERROR(IF(INDEX(Config!$D$9:$D$29,MATCH($B4110,Config!$B$9:$B$29,0))="Contrato",IF(INDEX(Config!$E$9:$E$29,MATCH($B4110,Config!$B$9:$B$29,0))="","",INDEX(Config!$E$9:$E$29,MATCH($B4110,Config!$B$9:$B$29,0))),""),""))</f>
        <v/>
      </c>
      <c r="AC4110" s="19" t="str">
        <f>IF($B4110="","",IFERROR(INDEX(Config!$D$9:$D$29,MATCH($B4110,Config!$B$9:$B$29,0))&amp;"",""))</f>
        <v/>
      </c>
    </row>
    <row r="4111">
      <c r="R4111" s="20" t="str">
        <f>IF($B4111="","",IFERROR(IF(INDEX(Config!$D$9:$D$29,MATCH($B4111,Config!$B$9:$B$29,0))="Contrato",IF(INDEX(Config!$E$9:$E$29,MATCH($B4111,Config!$B$9:$B$29,0))="","",INDEX(Config!$E$9:$E$29,MATCH($B4111,Config!$B$9:$B$29,0))),""),""))</f>
        <v/>
      </c>
      <c r="AC4111" s="19" t="str">
        <f>IF($B4111="","",IFERROR(INDEX(Config!$D$9:$D$29,MATCH($B4111,Config!$B$9:$B$29,0))&amp;"",""))</f>
        <v/>
      </c>
    </row>
    <row r="4112">
      <c r="R4112" s="20" t="str">
        <f>IF($B4112="","",IFERROR(IF(INDEX(Config!$D$9:$D$29,MATCH($B4112,Config!$B$9:$B$29,0))="Contrato",IF(INDEX(Config!$E$9:$E$29,MATCH($B4112,Config!$B$9:$B$29,0))="","",INDEX(Config!$E$9:$E$29,MATCH($B4112,Config!$B$9:$B$29,0))),""),""))</f>
        <v/>
      </c>
      <c r="AC4112" s="19" t="str">
        <f>IF($B4112="","",IFERROR(INDEX(Config!$D$9:$D$29,MATCH($B4112,Config!$B$9:$B$29,0))&amp;"",""))</f>
        <v/>
      </c>
    </row>
    <row r="4113">
      <c r="R4113" s="20" t="str">
        <f>IF($B4113="","",IFERROR(IF(INDEX(Config!$D$9:$D$29,MATCH($B4113,Config!$B$9:$B$29,0))="Contrato",IF(INDEX(Config!$E$9:$E$29,MATCH($B4113,Config!$B$9:$B$29,0))="","",INDEX(Config!$E$9:$E$29,MATCH($B4113,Config!$B$9:$B$29,0))),""),""))</f>
        <v/>
      </c>
      <c r="AC4113" s="19" t="str">
        <f>IF($B4113="","",IFERROR(INDEX(Config!$D$9:$D$29,MATCH($B4113,Config!$B$9:$B$29,0))&amp;"",""))</f>
        <v/>
      </c>
    </row>
    <row r="4114">
      <c r="R4114" s="20" t="str">
        <f>IF($B4114="","",IFERROR(IF(INDEX(Config!$D$9:$D$29,MATCH($B4114,Config!$B$9:$B$29,0))="Contrato",IF(INDEX(Config!$E$9:$E$29,MATCH($B4114,Config!$B$9:$B$29,0))="","",INDEX(Config!$E$9:$E$29,MATCH($B4114,Config!$B$9:$B$29,0))),""),""))</f>
        <v/>
      </c>
      <c r="AC4114" s="19" t="str">
        <f>IF($B4114="","",IFERROR(INDEX(Config!$D$9:$D$29,MATCH($B4114,Config!$B$9:$B$29,0))&amp;"",""))</f>
        <v/>
      </c>
    </row>
    <row r="4115">
      <c r="R4115" s="20" t="str">
        <f>IF($B4115="","",IFERROR(IF(INDEX(Config!$D$9:$D$29,MATCH($B4115,Config!$B$9:$B$29,0))="Contrato",IF(INDEX(Config!$E$9:$E$29,MATCH($B4115,Config!$B$9:$B$29,0))="","",INDEX(Config!$E$9:$E$29,MATCH($B4115,Config!$B$9:$B$29,0))),""),""))</f>
        <v/>
      </c>
      <c r="AC4115" s="19" t="str">
        <f>IF($B4115="","",IFERROR(INDEX(Config!$D$9:$D$29,MATCH($B4115,Config!$B$9:$B$29,0))&amp;"",""))</f>
        <v/>
      </c>
    </row>
    <row r="4116">
      <c r="R4116" s="20" t="str">
        <f>IF($B4116="","",IFERROR(IF(INDEX(Config!$D$9:$D$29,MATCH($B4116,Config!$B$9:$B$29,0))="Contrato",IF(INDEX(Config!$E$9:$E$29,MATCH($B4116,Config!$B$9:$B$29,0))="","",INDEX(Config!$E$9:$E$29,MATCH($B4116,Config!$B$9:$B$29,0))),""),""))</f>
        <v/>
      </c>
      <c r="AC4116" s="19" t="str">
        <f>IF($B4116="","",IFERROR(INDEX(Config!$D$9:$D$29,MATCH($B4116,Config!$B$9:$B$29,0))&amp;"",""))</f>
        <v/>
      </c>
    </row>
    <row r="4117">
      <c r="R4117" s="20" t="str">
        <f>IF($B4117="","",IFERROR(IF(INDEX(Config!$D$9:$D$29,MATCH($B4117,Config!$B$9:$B$29,0))="Contrato",IF(INDEX(Config!$E$9:$E$29,MATCH($B4117,Config!$B$9:$B$29,0))="","",INDEX(Config!$E$9:$E$29,MATCH($B4117,Config!$B$9:$B$29,0))),""),""))</f>
        <v/>
      </c>
      <c r="AC4117" s="19" t="str">
        <f>IF($B4117="","",IFERROR(INDEX(Config!$D$9:$D$29,MATCH($B4117,Config!$B$9:$B$29,0))&amp;"",""))</f>
        <v/>
      </c>
    </row>
    <row r="4118">
      <c r="R4118" s="20" t="str">
        <f>IF($B4118="","",IFERROR(IF(INDEX(Config!$D$9:$D$29,MATCH($B4118,Config!$B$9:$B$29,0))="Contrato",IF(INDEX(Config!$E$9:$E$29,MATCH($B4118,Config!$B$9:$B$29,0))="","",INDEX(Config!$E$9:$E$29,MATCH($B4118,Config!$B$9:$B$29,0))),""),""))</f>
        <v/>
      </c>
      <c r="AC4118" s="19" t="str">
        <f>IF($B4118="","",IFERROR(INDEX(Config!$D$9:$D$29,MATCH($B4118,Config!$B$9:$B$29,0))&amp;"",""))</f>
        <v/>
      </c>
    </row>
    <row r="4119">
      <c r="R4119" s="20" t="str">
        <f>IF($B4119="","",IFERROR(IF(INDEX(Config!$D$9:$D$29,MATCH($B4119,Config!$B$9:$B$29,0))="Contrato",IF(INDEX(Config!$E$9:$E$29,MATCH($B4119,Config!$B$9:$B$29,0))="","",INDEX(Config!$E$9:$E$29,MATCH($B4119,Config!$B$9:$B$29,0))),""),""))</f>
        <v/>
      </c>
      <c r="AC4119" s="19" t="str">
        <f>IF($B4119="","",IFERROR(INDEX(Config!$D$9:$D$29,MATCH($B4119,Config!$B$9:$B$29,0))&amp;"",""))</f>
        <v/>
      </c>
    </row>
    <row r="4120">
      <c r="R4120" s="20" t="str">
        <f>IF($B4120="","",IFERROR(IF(INDEX(Config!$D$9:$D$29,MATCH($B4120,Config!$B$9:$B$29,0))="Contrato",IF(INDEX(Config!$E$9:$E$29,MATCH($B4120,Config!$B$9:$B$29,0))="","",INDEX(Config!$E$9:$E$29,MATCH($B4120,Config!$B$9:$B$29,0))),""),""))</f>
        <v/>
      </c>
      <c r="AC4120" s="19" t="str">
        <f>IF($B4120="","",IFERROR(INDEX(Config!$D$9:$D$29,MATCH($B4120,Config!$B$9:$B$29,0))&amp;"",""))</f>
        <v/>
      </c>
    </row>
    <row r="4121">
      <c r="R4121" s="20" t="str">
        <f>IF($B4121="","",IFERROR(IF(INDEX(Config!$D$9:$D$29,MATCH($B4121,Config!$B$9:$B$29,0))="Contrato",IF(INDEX(Config!$E$9:$E$29,MATCH($B4121,Config!$B$9:$B$29,0))="","",INDEX(Config!$E$9:$E$29,MATCH($B4121,Config!$B$9:$B$29,0))),""),""))</f>
        <v/>
      </c>
      <c r="AC4121" s="19" t="str">
        <f>IF($B4121="","",IFERROR(INDEX(Config!$D$9:$D$29,MATCH($B4121,Config!$B$9:$B$29,0))&amp;"",""))</f>
        <v/>
      </c>
    </row>
    <row r="4122">
      <c r="R4122" s="20" t="str">
        <f>IF($B4122="","",IFERROR(IF(INDEX(Config!$D$9:$D$29,MATCH($B4122,Config!$B$9:$B$29,0))="Contrato",IF(INDEX(Config!$E$9:$E$29,MATCH($B4122,Config!$B$9:$B$29,0))="","",INDEX(Config!$E$9:$E$29,MATCH($B4122,Config!$B$9:$B$29,0))),""),""))</f>
        <v/>
      </c>
      <c r="AC4122" s="19" t="str">
        <f>IF($B4122="","",IFERROR(INDEX(Config!$D$9:$D$29,MATCH($B4122,Config!$B$9:$B$29,0))&amp;"",""))</f>
        <v/>
      </c>
    </row>
    <row r="4123">
      <c r="R4123" s="20" t="str">
        <f>IF($B4123="","",IFERROR(IF(INDEX(Config!$D$9:$D$29,MATCH($B4123,Config!$B$9:$B$29,0))="Contrato",IF(INDEX(Config!$E$9:$E$29,MATCH($B4123,Config!$B$9:$B$29,0))="","",INDEX(Config!$E$9:$E$29,MATCH($B4123,Config!$B$9:$B$29,0))),""),""))</f>
        <v/>
      </c>
      <c r="AC4123" s="19" t="str">
        <f>IF($B4123="","",IFERROR(INDEX(Config!$D$9:$D$29,MATCH($B4123,Config!$B$9:$B$29,0))&amp;"",""))</f>
        <v/>
      </c>
    </row>
    <row r="4124">
      <c r="R4124" s="20" t="str">
        <f>IF($B4124="","",IFERROR(IF(INDEX(Config!$D$9:$D$29,MATCH($B4124,Config!$B$9:$B$29,0))="Contrato",IF(INDEX(Config!$E$9:$E$29,MATCH($B4124,Config!$B$9:$B$29,0))="","",INDEX(Config!$E$9:$E$29,MATCH($B4124,Config!$B$9:$B$29,0))),""),""))</f>
        <v/>
      </c>
      <c r="AC4124" s="19" t="str">
        <f>IF($B4124="","",IFERROR(INDEX(Config!$D$9:$D$29,MATCH($B4124,Config!$B$9:$B$29,0))&amp;"",""))</f>
        <v/>
      </c>
    </row>
    <row r="4125">
      <c r="R4125" s="20" t="str">
        <f>IF($B4125="","",IFERROR(IF(INDEX(Config!$D$9:$D$29,MATCH($B4125,Config!$B$9:$B$29,0))="Contrato",IF(INDEX(Config!$E$9:$E$29,MATCH($B4125,Config!$B$9:$B$29,0))="","",INDEX(Config!$E$9:$E$29,MATCH($B4125,Config!$B$9:$B$29,0))),""),""))</f>
        <v/>
      </c>
      <c r="AC4125" s="19" t="str">
        <f>IF($B4125="","",IFERROR(INDEX(Config!$D$9:$D$29,MATCH($B4125,Config!$B$9:$B$29,0))&amp;"",""))</f>
        <v/>
      </c>
    </row>
    <row r="4126">
      <c r="R4126" s="20" t="str">
        <f>IF($B4126="","",IFERROR(IF(INDEX(Config!$D$9:$D$29,MATCH($B4126,Config!$B$9:$B$29,0))="Contrato",IF(INDEX(Config!$E$9:$E$29,MATCH($B4126,Config!$B$9:$B$29,0))="","",INDEX(Config!$E$9:$E$29,MATCH($B4126,Config!$B$9:$B$29,0))),""),""))</f>
        <v/>
      </c>
      <c r="AC4126" s="19" t="str">
        <f>IF($B4126="","",IFERROR(INDEX(Config!$D$9:$D$29,MATCH($B4126,Config!$B$9:$B$29,0))&amp;"",""))</f>
        <v/>
      </c>
    </row>
    <row r="4127">
      <c r="R4127" s="20" t="str">
        <f>IF($B4127="","",IFERROR(IF(INDEX(Config!$D$9:$D$29,MATCH($B4127,Config!$B$9:$B$29,0))="Contrato",IF(INDEX(Config!$E$9:$E$29,MATCH($B4127,Config!$B$9:$B$29,0))="","",INDEX(Config!$E$9:$E$29,MATCH($B4127,Config!$B$9:$B$29,0))),""),""))</f>
        <v/>
      </c>
      <c r="AC4127" s="19" t="str">
        <f>IF($B4127="","",IFERROR(INDEX(Config!$D$9:$D$29,MATCH($B4127,Config!$B$9:$B$29,0))&amp;"",""))</f>
        <v/>
      </c>
    </row>
    <row r="4128">
      <c r="R4128" s="20" t="str">
        <f>IF($B4128="","",IFERROR(IF(INDEX(Config!$D$9:$D$29,MATCH($B4128,Config!$B$9:$B$29,0))="Contrato",IF(INDEX(Config!$E$9:$E$29,MATCH($B4128,Config!$B$9:$B$29,0))="","",INDEX(Config!$E$9:$E$29,MATCH($B4128,Config!$B$9:$B$29,0))),""),""))</f>
        <v/>
      </c>
      <c r="AC4128" s="19" t="str">
        <f>IF($B4128="","",IFERROR(INDEX(Config!$D$9:$D$29,MATCH($B4128,Config!$B$9:$B$29,0))&amp;"",""))</f>
        <v/>
      </c>
    </row>
    <row r="4129">
      <c r="R4129" s="20" t="str">
        <f>IF($B4129="","",IFERROR(IF(INDEX(Config!$D$9:$D$29,MATCH($B4129,Config!$B$9:$B$29,0))="Contrato",IF(INDEX(Config!$E$9:$E$29,MATCH($B4129,Config!$B$9:$B$29,0))="","",INDEX(Config!$E$9:$E$29,MATCH($B4129,Config!$B$9:$B$29,0))),""),""))</f>
        <v/>
      </c>
      <c r="AC4129" s="19" t="str">
        <f>IF($B4129="","",IFERROR(INDEX(Config!$D$9:$D$29,MATCH($B4129,Config!$B$9:$B$29,0))&amp;"",""))</f>
        <v/>
      </c>
    </row>
    <row r="4130">
      <c r="R4130" s="20" t="str">
        <f>IF($B4130="","",IFERROR(IF(INDEX(Config!$D$9:$D$29,MATCH($B4130,Config!$B$9:$B$29,0))="Contrato",IF(INDEX(Config!$E$9:$E$29,MATCH($B4130,Config!$B$9:$B$29,0))="","",INDEX(Config!$E$9:$E$29,MATCH($B4130,Config!$B$9:$B$29,0))),""),""))</f>
        <v/>
      </c>
      <c r="AC4130" s="19" t="str">
        <f>IF($B4130="","",IFERROR(INDEX(Config!$D$9:$D$29,MATCH($B4130,Config!$B$9:$B$29,0))&amp;"",""))</f>
        <v/>
      </c>
    </row>
    <row r="4131">
      <c r="R4131" s="20" t="str">
        <f>IF($B4131="","",IFERROR(IF(INDEX(Config!$D$9:$D$29,MATCH($B4131,Config!$B$9:$B$29,0))="Contrato",IF(INDEX(Config!$E$9:$E$29,MATCH($B4131,Config!$B$9:$B$29,0))="","",INDEX(Config!$E$9:$E$29,MATCH($B4131,Config!$B$9:$B$29,0))),""),""))</f>
        <v/>
      </c>
      <c r="AC4131" s="19" t="str">
        <f>IF($B4131="","",IFERROR(INDEX(Config!$D$9:$D$29,MATCH($B4131,Config!$B$9:$B$29,0))&amp;"",""))</f>
        <v/>
      </c>
    </row>
    <row r="4132">
      <c r="R4132" s="20" t="str">
        <f>IF($B4132="","",IFERROR(IF(INDEX(Config!$D$9:$D$29,MATCH($B4132,Config!$B$9:$B$29,0))="Contrato",IF(INDEX(Config!$E$9:$E$29,MATCH($B4132,Config!$B$9:$B$29,0))="","",INDEX(Config!$E$9:$E$29,MATCH($B4132,Config!$B$9:$B$29,0))),""),""))</f>
        <v/>
      </c>
      <c r="AC4132" s="19" t="str">
        <f>IF($B4132="","",IFERROR(INDEX(Config!$D$9:$D$29,MATCH($B4132,Config!$B$9:$B$29,0))&amp;"",""))</f>
        <v/>
      </c>
    </row>
    <row r="4133">
      <c r="R4133" s="20" t="str">
        <f>IF($B4133="","",IFERROR(IF(INDEX(Config!$D$9:$D$29,MATCH($B4133,Config!$B$9:$B$29,0))="Contrato",IF(INDEX(Config!$E$9:$E$29,MATCH($B4133,Config!$B$9:$B$29,0))="","",INDEX(Config!$E$9:$E$29,MATCH($B4133,Config!$B$9:$B$29,0))),""),""))</f>
        <v/>
      </c>
      <c r="AC4133" s="19" t="str">
        <f>IF($B4133="","",IFERROR(INDEX(Config!$D$9:$D$29,MATCH($B4133,Config!$B$9:$B$29,0))&amp;"",""))</f>
        <v/>
      </c>
    </row>
    <row r="4134">
      <c r="R4134" s="20" t="str">
        <f>IF($B4134="","",IFERROR(IF(INDEX(Config!$D$9:$D$29,MATCH($B4134,Config!$B$9:$B$29,0))="Contrato",IF(INDEX(Config!$E$9:$E$29,MATCH($B4134,Config!$B$9:$B$29,0))="","",INDEX(Config!$E$9:$E$29,MATCH($B4134,Config!$B$9:$B$29,0))),""),""))</f>
        <v/>
      </c>
      <c r="AC4134" s="19" t="str">
        <f>IF($B4134="","",IFERROR(INDEX(Config!$D$9:$D$29,MATCH($B4134,Config!$B$9:$B$29,0))&amp;"",""))</f>
        <v/>
      </c>
    </row>
    <row r="4135">
      <c r="R4135" s="20" t="str">
        <f>IF($B4135="","",IFERROR(IF(INDEX(Config!$D$9:$D$29,MATCH($B4135,Config!$B$9:$B$29,0))="Contrato",IF(INDEX(Config!$E$9:$E$29,MATCH($B4135,Config!$B$9:$B$29,0))="","",INDEX(Config!$E$9:$E$29,MATCH($B4135,Config!$B$9:$B$29,0))),""),""))</f>
        <v/>
      </c>
      <c r="AC4135" s="19" t="str">
        <f>IF($B4135="","",IFERROR(INDEX(Config!$D$9:$D$29,MATCH($B4135,Config!$B$9:$B$29,0))&amp;"",""))</f>
        <v/>
      </c>
    </row>
    <row r="4136">
      <c r="R4136" s="20" t="str">
        <f>IF($B4136="","",IFERROR(IF(INDEX(Config!$D$9:$D$29,MATCH($B4136,Config!$B$9:$B$29,0))="Contrato",IF(INDEX(Config!$E$9:$E$29,MATCH($B4136,Config!$B$9:$B$29,0))="","",INDEX(Config!$E$9:$E$29,MATCH($B4136,Config!$B$9:$B$29,0))),""),""))</f>
        <v/>
      </c>
      <c r="AC4136" s="19" t="str">
        <f>IF($B4136="","",IFERROR(INDEX(Config!$D$9:$D$29,MATCH($B4136,Config!$B$9:$B$29,0))&amp;"",""))</f>
        <v/>
      </c>
    </row>
    <row r="4137">
      <c r="R4137" s="20" t="str">
        <f>IF($B4137="","",IFERROR(IF(INDEX(Config!$D$9:$D$29,MATCH($B4137,Config!$B$9:$B$29,0))="Contrato",IF(INDEX(Config!$E$9:$E$29,MATCH($B4137,Config!$B$9:$B$29,0))="","",INDEX(Config!$E$9:$E$29,MATCH($B4137,Config!$B$9:$B$29,0))),""),""))</f>
        <v/>
      </c>
      <c r="AC4137" s="19" t="str">
        <f>IF($B4137="","",IFERROR(INDEX(Config!$D$9:$D$29,MATCH($B4137,Config!$B$9:$B$29,0))&amp;"",""))</f>
        <v/>
      </c>
    </row>
    <row r="4138">
      <c r="R4138" s="20" t="str">
        <f>IF($B4138="","",IFERROR(IF(INDEX(Config!$D$9:$D$29,MATCH($B4138,Config!$B$9:$B$29,0))="Contrato",IF(INDEX(Config!$E$9:$E$29,MATCH($B4138,Config!$B$9:$B$29,0))="","",INDEX(Config!$E$9:$E$29,MATCH($B4138,Config!$B$9:$B$29,0))),""),""))</f>
        <v/>
      </c>
      <c r="AC4138" s="19" t="str">
        <f>IF($B4138="","",IFERROR(INDEX(Config!$D$9:$D$29,MATCH($B4138,Config!$B$9:$B$29,0))&amp;"",""))</f>
        <v/>
      </c>
    </row>
    <row r="4139">
      <c r="R4139" s="20" t="str">
        <f>IF($B4139="","",IFERROR(IF(INDEX(Config!$D$9:$D$29,MATCH($B4139,Config!$B$9:$B$29,0))="Contrato",IF(INDEX(Config!$E$9:$E$29,MATCH($B4139,Config!$B$9:$B$29,0))="","",INDEX(Config!$E$9:$E$29,MATCH($B4139,Config!$B$9:$B$29,0))),""),""))</f>
        <v/>
      </c>
      <c r="AC4139" s="19" t="str">
        <f>IF($B4139="","",IFERROR(INDEX(Config!$D$9:$D$29,MATCH($B4139,Config!$B$9:$B$29,0))&amp;"",""))</f>
        <v/>
      </c>
    </row>
    <row r="4140">
      <c r="R4140" s="20" t="str">
        <f>IF($B4140="","",IFERROR(IF(INDEX(Config!$D$9:$D$29,MATCH($B4140,Config!$B$9:$B$29,0))="Contrato",IF(INDEX(Config!$E$9:$E$29,MATCH($B4140,Config!$B$9:$B$29,0))="","",INDEX(Config!$E$9:$E$29,MATCH($B4140,Config!$B$9:$B$29,0))),""),""))</f>
        <v/>
      </c>
      <c r="AC4140" s="19" t="str">
        <f>IF($B4140="","",IFERROR(INDEX(Config!$D$9:$D$29,MATCH($B4140,Config!$B$9:$B$29,0))&amp;"",""))</f>
        <v/>
      </c>
    </row>
    <row r="4141">
      <c r="R4141" s="20" t="str">
        <f>IF($B4141="","",IFERROR(IF(INDEX(Config!$D$9:$D$29,MATCH($B4141,Config!$B$9:$B$29,0))="Contrato",IF(INDEX(Config!$E$9:$E$29,MATCH($B4141,Config!$B$9:$B$29,0))="","",INDEX(Config!$E$9:$E$29,MATCH($B4141,Config!$B$9:$B$29,0))),""),""))</f>
        <v/>
      </c>
      <c r="AC4141" s="19" t="str">
        <f>IF($B4141="","",IFERROR(INDEX(Config!$D$9:$D$29,MATCH($B4141,Config!$B$9:$B$29,0))&amp;"",""))</f>
        <v/>
      </c>
    </row>
    <row r="4142">
      <c r="R4142" s="20" t="str">
        <f>IF($B4142="","",IFERROR(IF(INDEX(Config!$D$9:$D$29,MATCH($B4142,Config!$B$9:$B$29,0))="Contrato",IF(INDEX(Config!$E$9:$E$29,MATCH($B4142,Config!$B$9:$B$29,0))="","",INDEX(Config!$E$9:$E$29,MATCH($B4142,Config!$B$9:$B$29,0))),""),""))</f>
        <v/>
      </c>
      <c r="AC4142" s="19" t="str">
        <f>IF($B4142="","",IFERROR(INDEX(Config!$D$9:$D$29,MATCH($B4142,Config!$B$9:$B$29,0))&amp;"",""))</f>
        <v/>
      </c>
    </row>
    <row r="4143">
      <c r="R4143" s="20" t="str">
        <f>IF($B4143="","",IFERROR(IF(INDEX(Config!$D$9:$D$29,MATCH($B4143,Config!$B$9:$B$29,0))="Contrato",IF(INDEX(Config!$E$9:$E$29,MATCH($B4143,Config!$B$9:$B$29,0))="","",INDEX(Config!$E$9:$E$29,MATCH($B4143,Config!$B$9:$B$29,0))),""),""))</f>
        <v/>
      </c>
      <c r="AC4143" s="19" t="str">
        <f>IF($B4143="","",IFERROR(INDEX(Config!$D$9:$D$29,MATCH($B4143,Config!$B$9:$B$29,0))&amp;"",""))</f>
        <v/>
      </c>
    </row>
    <row r="4144">
      <c r="R4144" s="20" t="str">
        <f>IF($B4144="","",IFERROR(IF(INDEX(Config!$D$9:$D$29,MATCH($B4144,Config!$B$9:$B$29,0))="Contrato",IF(INDEX(Config!$E$9:$E$29,MATCH($B4144,Config!$B$9:$B$29,0))="","",INDEX(Config!$E$9:$E$29,MATCH($B4144,Config!$B$9:$B$29,0))),""),""))</f>
        <v/>
      </c>
      <c r="AC4144" s="19" t="str">
        <f>IF($B4144="","",IFERROR(INDEX(Config!$D$9:$D$29,MATCH($B4144,Config!$B$9:$B$29,0))&amp;"",""))</f>
        <v/>
      </c>
    </row>
    <row r="4145">
      <c r="R4145" s="20" t="str">
        <f>IF($B4145="","",IFERROR(IF(INDEX(Config!$D$9:$D$29,MATCH($B4145,Config!$B$9:$B$29,0))="Contrato",IF(INDEX(Config!$E$9:$E$29,MATCH($B4145,Config!$B$9:$B$29,0))="","",INDEX(Config!$E$9:$E$29,MATCH($B4145,Config!$B$9:$B$29,0))),""),""))</f>
        <v/>
      </c>
      <c r="AC4145" s="19" t="str">
        <f>IF($B4145="","",IFERROR(INDEX(Config!$D$9:$D$29,MATCH($B4145,Config!$B$9:$B$29,0))&amp;"",""))</f>
        <v/>
      </c>
    </row>
    <row r="4146">
      <c r="R4146" s="20" t="str">
        <f>IF($B4146="","",IFERROR(IF(INDEX(Config!$D$9:$D$29,MATCH($B4146,Config!$B$9:$B$29,0))="Contrato",IF(INDEX(Config!$E$9:$E$29,MATCH($B4146,Config!$B$9:$B$29,0))="","",INDEX(Config!$E$9:$E$29,MATCH($B4146,Config!$B$9:$B$29,0))),""),""))</f>
        <v/>
      </c>
      <c r="AC4146" s="19" t="str">
        <f>IF($B4146="","",IFERROR(INDEX(Config!$D$9:$D$29,MATCH($B4146,Config!$B$9:$B$29,0))&amp;"",""))</f>
        <v/>
      </c>
    </row>
    <row r="4147">
      <c r="R4147" s="20" t="str">
        <f>IF($B4147="","",IFERROR(IF(INDEX(Config!$D$9:$D$29,MATCH($B4147,Config!$B$9:$B$29,0))="Contrato",IF(INDEX(Config!$E$9:$E$29,MATCH($B4147,Config!$B$9:$B$29,0))="","",INDEX(Config!$E$9:$E$29,MATCH($B4147,Config!$B$9:$B$29,0))),""),""))</f>
        <v/>
      </c>
      <c r="AC4147" s="19" t="str">
        <f>IF($B4147="","",IFERROR(INDEX(Config!$D$9:$D$29,MATCH($B4147,Config!$B$9:$B$29,0))&amp;"",""))</f>
        <v/>
      </c>
    </row>
    <row r="4148">
      <c r="R4148" s="20" t="str">
        <f>IF($B4148="","",IFERROR(IF(INDEX(Config!$D$9:$D$29,MATCH($B4148,Config!$B$9:$B$29,0))="Contrato",IF(INDEX(Config!$E$9:$E$29,MATCH($B4148,Config!$B$9:$B$29,0))="","",INDEX(Config!$E$9:$E$29,MATCH($B4148,Config!$B$9:$B$29,0))),""),""))</f>
        <v/>
      </c>
      <c r="AC4148" s="19" t="str">
        <f>IF($B4148="","",IFERROR(INDEX(Config!$D$9:$D$29,MATCH($B4148,Config!$B$9:$B$29,0))&amp;"",""))</f>
        <v/>
      </c>
    </row>
    <row r="4149">
      <c r="R4149" s="20" t="str">
        <f>IF($B4149="","",IFERROR(IF(INDEX(Config!$D$9:$D$29,MATCH($B4149,Config!$B$9:$B$29,0))="Contrato",IF(INDEX(Config!$E$9:$E$29,MATCH($B4149,Config!$B$9:$B$29,0))="","",INDEX(Config!$E$9:$E$29,MATCH($B4149,Config!$B$9:$B$29,0))),""),""))</f>
        <v/>
      </c>
      <c r="AC4149" s="19" t="str">
        <f>IF($B4149="","",IFERROR(INDEX(Config!$D$9:$D$29,MATCH($B4149,Config!$B$9:$B$29,0))&amp;"",""))</f>
        <v/>
      </c>
    </row>
    <row r="4150">
      <c r="R4150" s="20" t="str">
        <f>IF($B4150="","",IFERROR(IF(INDEX(Config!$D$9:$D$29,MATCH($B4150,Config!$B$9:$B$29,0))="Contrato",IF(INDEX(Config!$E$9:$E$29,MATCH($B4150,Config!$B$9:$B$29,0))="","",INDEX(Config!$E$9:$E$29,MATCH($B4150,Config!$B$9:$B$29,0))),""),""))</f>
        <v/>
      </c>
      <c r="AC4150" s="19" t="str">
        <f>IF($B4150="","",IFERROR(INDEX(Config!$D$9:$D$29,MATCH($B4150,Config!$B$9:$B$29,0))&amp;"",""))</f>
        <v/>
      </c>
    </row>
    <row r="4151">
      <c r="R4151" s="20" t="str">
        <f>IF($B4151="","",IFERROR(IF(INDEX(Config!$D$9:$D$29,MATCH($B4151,Config!$B$9:$B$29,0))="Contrato",IF(INDEX(Config!$E$9:$E$29,MATCH($B4151,Config!$B$9:$B$29,0))="","",INDEX(Config!$E$9:$E$29,MATCH($B4151,Config!$B$9:$B$29,0))),""),""))</f>
        <v/>
      </c>
      <c r="AC4151" s="19" t="str">
        <f>IF($B4151="","",IFERROR(INDEX(Config!$D$9:$D$29,MATCH($B4151,Config!$B$9:$B$29,0))&amp;"",""))</f>
        <v/>
      </c>
    </row>
    <row r="4152">
      <c r="R4152" s="20" t="str">
        <f>IF($B4152="","",IFERROR(IF(INDEX(Config!$D$9:$D$29,MATCH($B4152,Config!$B$9:$B$29,0))="Contrato",IF(INDEX(Config!$E$9:$E$29,MATCH($B4152,Config!$B$9:$B$29,0))="","",INDEX(Config!$E$9:$E$29,MATCH($B4152,Config!$B$9:$B$29,0))),""),""))</f>
        <v/>
      </c>
      <c r="AC4152" s="19" t="str">
        <f>IF($B4152="","",IFERROR(INDEX(Config!$D$9:$D$29,MATCH($B4152,Config!$B$9:$B$29,0))&amp;"",""))</f>
        <v/>
      </c>
    </row>
    <row r="4153">
      <c r="R4153" s="20" t="str">
        <f>IF($B4153="","",IFERROR(IF(INDEX(Config!$D$9:$D$29,MATCH($B4153,Config!$B$9:$B$29,0))="Contrato",IF(INDEX(Config!$E$9:$E$29,MATCH($B4153,Config!$B$9:$B$29,0))="","",INDEX(Config!$E$9:$E$29,MATCH($B4153,Config!$B$9:$B$29,0))),""),""))</f>
        <v/>
      </c>
      <c r="AC4153" s="19" t="str">
        <f>IF($B4153="","",IFERROR(INDEX(Config!$D$9:$D$29,MATCH($B4153,Config!$B$9:$B$29,0))&amp;"",""))</f>
        <v/>
      </c>
    </row>
    <row r="4154">
      <c r="R4154" s="20" t="str">
        <f>IF($B4154="","",IFERROR(IF(INDEX(Config!$D$9:$D$29,MATCH($B4154,Config!$B$9:$B$29,0))="Contrato",IF(INDEX(Config!$E$9:$E$29,MATCH($B4154,Config!$B$9:$B$29,0))="","",INDEX(Config!$E$9:$E$29,MATCH($B4154,Config!$B$9:$B$29,0))),""),""))</f>
        <v/>
      </c>
      <c r="AC4154" s="19" t="str">
        <f>IF($B4154="","",IFERROR(INDEX(Config!$D$9:$D$29,MATCH($B4154,Config!$B$9:$B$29,0))&amp;"",""))</f>
        <v/>
      </c>
    </row>
    <row r="4155">
      <c r="R4155" s="20" t="str">
        <f>IF($B4155="","",IFERROR(IF(INDEX(Config!$D$9:$D$29,MATCH($B4155,Config!$B$9:$B$29,0))="Contrato",IF(INDEX(Config!$E$9:$E$29,MATCH($B4155,Config!$B$9:$B$29,0))="","",INDEX(Config!$E$9:$E$29,MATCH($B4155,Config!$B$9:$B$29,0))),""),""))</f>
        <v/>
      </c>
      <c r="AC4155" s="19" t="str">
        <f>IF($B4155="","",IFERROR(INDEX(Config!$D$9:$D$29,MATCH($B4155,Config!$B$9:$B$29,0))&amp;"",""))</f>
        <v/>
      </c>
    </row>
    <row r="4156">
      <c r="R4156" s="20" t="str">
        <f>IF($B4156="","",IFERROR(IF(INDEX(Config!$D$9:$D$29,MATCH($B4156,Config!$B$9:$B$29,0))="Contrato",IF(INDEX(Config!$E$9:$E$29,MATCH($B4156,Config!$B$9:$B$29,0))="","",INDEX(Config!$E$9:$E$29,MATCH($B4156,Config!$B$9:$B$29,0))),""),""))</f>
        <v/>
      </c>
      <c r="AC4156" s="19" t="str">
        <f>IF($B4156="","",IFERROR(INDEX(Config!$D$9:$D$29,MATCH($B4156,Config!$B$9:$B$29,0))&amp;"",""))</f>
        <v/>
      </c>
    </row>
    <row r="4157">
      <c r="R4157" s="20" t="str">
        <f>IF($B4157="","",IFERROR(IF(INDEX(Config!$D$9:$D$29,MATCH($B4157,Config!$B$9:$B$29,0))="Contrato",IF(INDEX(Config!$E$9:$E$29,MATCH($B4157,Config!$B$9:$B$29,0))="","",INDEX(Config!$E$9:$E$29,MATCH($B4157,Config!$B$9:$B$29,0))),""),""))</f>
        <v/>
      </c>
      <c r="AC4157" s="19" t="str">
        <f>IF($B4157="","",IFERROR(INDEX(Config!$D$9:$D$29,MATCH($B4157,Config!$B$9:$B$29,0))&amp;"",""))</f>
        <v/>
      </c>
    </row>
    <row r="4158">
      <c r="R4158" s="20" t="str">
        <f>IF($B4158="","",IFERROR(IF(INDEX(Config!$D$9:$D$29,MATCH($B4158,Config!$B$9:$B$29,0))="Contrato",IF(INDEX(Config!$E$9:$E$29,MATCH($B4158,Config!$B$9:$B$29,0))="","",INDEX(Config!$E$9:$E$29,MATCH($B4158,Config!$B$9:$B$29,0))),""),""))</f>
        <v/>
      </c>
      <c r="AC4158" s="19" t="str">
        <f>IF($B4158="","",IFERROR(INDEX(Config!$D$9:$D$29,MATCH($B4158,Config!$B$9:$B$29,0))&amp;"",""))</f>
        <v/>
      </c>
    </row>
    <row r="4159">
      <c r="R4159" s="20" t="str">
        <f>IF($B4159="","",IFERROR(IF(INDEX(Config!$D$9:$D$29,MATCH($B4159,Config!$B$9:$B$29,0))="Contrato",IF(INDEX(Config!$E$9:$E$29,MATCH($B4159,Config!$B$9:$B$29,0))="","",INDEX(Config!$E$9:$E$29,MATCH($B4159,Config!$B$9:$B$29,0))),""),""))</f>
        <v/>
      </c>
      <c r="AC4159" s="19" t="str">
        <f>IF($B4159="","",IFERROR(INDEX(Config!$D$9:$D$29,MATCH($B4159,Config!$B$9:$B$29,0))&amp;"",""))</f>
        <v/>
      </c>
    </row>
    <row r="4160">
      <c r="R4160" s="20" t="str">
        <f>IF($B4160="","",IFERROR(IF(INDEX(Config!$D$9:$D$29,MATCH($B4160,Config!$B$9:$B$29,0))="Contrato",IF(INDEX(Config!$E$9:$E$29,MATCH($B4160,Config!$B$9:$B$29,0))="","",INDEX(Config!$E$9:$E$29,MATCH($B4160,Config!$B$9:$B$29,0))),""),""))</f>
        <v/>
      </c>
      <c r="AC4160" s="19" t="str">
        <f>IF($B4160="","",IFERROR(INDEX(Config!$D$9:$D$29,MATCH($B4160,Config!$B$9:$B$29,0))&amp;"",""))</f>
        <v/>
      </c>
    </row>
    <row r="4161">
      <c r="R4161" s="20" t="str">
        <f>IF($B4161="","",IFERROR(IF(INDEX(Config!$D$9:$D$29,MATCH($B4161,Config!$B$9:$B$29,0))="Contrato",IF(INDEX(Config!$E$9:$E$29,MATCH($B4161,Config!$B$9:$B$29,0))="","",INDEX(Config!$E$9:$E$29,MATCH($B4161,Config!$B$9:$B$29,0))),""),""))</f>
        <v/>
      </c>
      <c r="AC4161" s="19" t="str">
        <f>IF($B4161="","",IFERROR(INDEX(Config!$D$9:$D$29,MATCH($B4161,Config!$B$9:$B$29,0))&amp;"",""))</f>
        <v/>
      </c>
    </row>
    <row r="4162">
      <c r="R4162" s="20" t="str">
        <f>IF($B4162="","",IFERROR(IF(INDEX(Config!$D$9:$D$29,MATCH($B4162,Config!$B$9:$B$29,0))="Contrato",IF(INDEX(Config!$E$9:$E$29,MATCH($B4162,Config!$B$9:$B$29,0))="","",INDEX(Config!$E$9:$E$29,MATCH($B4162,Config!$B$9:$B$29,0))),""),""))</f>
        <v/>
      </c>
      <c r="AC4162" s="19" t="str">
        <f>IF($B4162="","",IFERROR(INDEX(Config!$D$9:$D$29,MATCH($B4162,Config!$B$9:$B$29,0))&amp;"",""))</f>
        <v/>
      </c>
    </row>
    <row r="4163">
      <c r="R4163" s="20" t="str">
        <f>IF($B4163="","",IFERROR(IF(INDEX(Config!$D$9:$D$29,MATCH($B4163,Config!$B$9:$B$29,0))="Contrato",IF(INDEX(Config!$E$9:$E$29,MATCH($B4163,Config!$B$9:$B$29,0))="","",INDEX(Config!$E$9:$E$29,MATCH($B4163,Config!$B$9:$B$29,0))),""),""))</f>
        <v/>
      </c>
      <c r="AC4163" s="19" t="str">
        <f>IF($B4163="","",IFERROR(INDEX(Config!$D$9:$D$29,MATCH($B4163,Config!$B$9:$B$29,0))&amp;"",""))</f>
        <v/>
      </c>
    </row>
    <row r="4164">
      <c r="R4164" s="20" t="str">
        <f>IF($B4164="","",IFERROR(IF(INDEX(Config!$D$9:$D$29,MATCH($B4164,Config!$B$9:$B$29,0))="Contrato",IF(INDEX(Config!$E$9:$E$29,MATCH($B4164,Config!$B$9:$B$29,0))="","",INDEX(Config!$E$9:$E$29,MATCH($B4164,Config!$B$9:$B$29,0))),""),""))</f>
        <v/>
      </c>
      <c r="AC4164" s="19" t="str">
        <f>IF($B4164="","",IFERROR(INDEX(Config!$D$9:$D$29,MATCH($B4164,Config!$B$9:$B$29,0))&amp;"",""))</f>
        <v/>
      </c>
    </row>
    <row r="4165">
      <c r="R4165" s="20" t="str">
        <f>IF($B4165="","",IFERROR(IF(INDEX(Config!$D$9:$D$29,MATCH($B4165,Config!$B$9:$B$29,0))="Contrato",IF(INDEX(Config!$E$9:$E$29,MATCH($B4165,Config!$B$9:$B$29,0))="","",INDEX(Config!$E$9:$E$29,MATCH($B4165,Config!$B$9:$B$29,0))),""),""))</f>
        <v/>
      </c>
      <c r="AC4165" s="19" t="str">
        <f>IF($B4165="","",IFERROR(INDEX(Config!$D$9:$D$29,MATCH($B4165,Config!$B$9:$B$29,0))&amp;"",""))</f>
        <v/>
      </c>
    </row>
    <row r="4166">
      <c r="R4166" s="20" t="str">
        <f>IF($B4166="","",IFERROR(IF(INDEX(Config!$D$9:$D$29,MATCH($B4166,Config!$B$9:$B$29,0))="Contrato",IF(INDEX(Config!$E$9:$E$29,MATCH($B4166,Config!$B$9:$B$29,0))="","",INDEX(Config!$E$9:$E$29,MATCH($B4166,Config!$B$9:$B$29,0))),""),""))</f>
        <v/>
      </c>
      <c r="AC4166" s="19" t="str">
        <f>IF($B4166="","",IFERROR(INDEX(Config!$D$9:$D$29,MATCH($B4166,Config!$B$9:$B$29,0))&amp;"",""))</f>
        <v/>
      </c>
    </row>
    <row r="4167">
      <c r="R4167" s="20" t="str">
        <f>IF($B4167="","",IFERROR(IF(INDEX(Config!$D$9:$D$29,MATCH($B4167,Config!$B$9:$B$29,0))="Contrato",IF(INDEX(Config!$E$9:$E$29,MATCH($B4167,Config!$B$9:$B$29,0))="","",INDEX(Config!$E$9:$E$29,MATCH($B4167,Config!$B$9:$B$29,0))),""),""))</f>
        <v/>
      </c>
      <c r="AC4167" s="19" t="str">
        <f>IF($B4167="","",IFERROR(INDEX(Config!$D$9:$D$29,MATCH($B4167,Config!$B$9:$B$29,0))&amp;"",""))</f>
        <v/>
      </c>
    </row>
    <row r="4168">
      <c r="R4168" s="20" t="str">
        <f>IF($B4168="","",IFERROR(IF(INDEX(Config!$D$9:$D$29,MATCH($B4168,Config!$B$9:$B$29,0))="Contrato",IF(INDEX(Config!$E$9:$E$29,MATCH($B4168,Config!$B$9:$B$29,0))="","",INDEX(Config!$E$9:$E$29,MATCH($B4168,Config!$B$9:$B$29,0))),""),""))</f>
        <v/>
      </c>
      <c r="AC4168" s="19" t="str">
        <f>IF($B4168="","",IFERROR(INDEX(Config!$D$9:$D$29,MATCH($B4168,Config!$B$9:$B$29,0))&amp;"",""))</f>
        <v/>
      </c>
    </row>
    <row r="4169">
      <c r="R4169" s="20" t="str">
        <f>IF($B4169="","",IFERROR(IF(INDEX(Config!$D$9:$D$29,MATCH($B4169,Config!$B$9:$B$29,0))="Contrato",IF(INDEX(Config!$E$9:$E$29,MATCH($B4169,Config!$B$9:$B$29,0))="","",INDEX(Config!$E$9:$E$29,MATCH($B4169,Config!$B$9:$B$29,0))),""),""))</f>
        <v/>
      </c>
      <c r="AC4169" s="19" t="str">
        <f>IF($B4169="","",IFERROR(INDEX(Config!$D$9:$D$29,MATCH($B4169,Config!$B$9:$B$29,0))&amp;"",""))</f>
        <v/>
      </c>
    </row>
    <row r="4170">
      <c r="R4170" s="20" t="str">
        <f>IF($B4170="","",IFERROR(IF(INDEX(Config!$D$9:$D$29,MATCH($B4170,Config!$B$9:$B$29,0))="Contrato",IF(INDEX(Config!$E$9:$E$29,MATCH($B4170,Config!$B$9:$B$29,0))="","",INDEX(Config!$E$9:$E$29,MATCH($B4170,Config!$B$9:$B$29,0))),""),""))</f>
        <v/>
      </c>
      <c r="AC4170" s="19" t="str">
        <f>IF($B4170="","",IFERROR(INDEX(Config!$D$9:$D$29,MATCH($B4170,Config!$B$9:$B$29,0))&amp;"",""))</f>
        <v/>
      </c>
    </row>
    <row r="4171">
      <c r="R4171" s="20" t="str">
        <f>IF($B4171="","",IFERROR(IF(INDEX(Config!$D$9:$D$29,MATCH($B4171,Config!$B$9:$B$29,0))="Contrato",IF(INDEX(Config!$E$9:$E$29,MATCH($B4171,Config!$B$9:$B$29,0))="","",INDEX(Config!$E$9:$E$29,MATCH($B4171,Config!$B$9:$B$29,0))),""),""))</f>
        <v/>
      </c>
      <c r="AC4171" s="19" t="str">
        <f>IF($B4171="","",IFERROR(INDEX(Config!$D$9:$D$29,MATCH($B4171,Config!$B$9:$B$29,0))&amp;"",""))</f>
        <v/>
      </c>
    </row>
    <row r="4172">
      <c r="R4172" s="20" t="str">
        <f>IF($B4172="","",IFERROR(IF(INDEX(Config!$D$9:$D$29,MATCH($B4172,Config!$B$9:$B$29,0))="Contrato",IF(INDEX(Config!$E$9:$E$29,MATCH($B4172,Config!$B$9:$B$29,0))="","",INDEX(Config!$E$9:$E$29,MATCH($B4172,Config!$B$9:$B$29,0))),""),""))</f>
        <v/>
      </c>
      <c r="AC4172" s="19" t="str">
        <f>IF($B4172="","",IFERROR(INDEX(Config!$D$9:$D$29,MATCH($B4172,Config!$B$9:$B$29,0))&amp;"",""))</f>
        <v/>
      </c>
    </row>
    <row r="4173">
      <c r="R4173" s="20" t="str">
        <f>IF($B4173="","",IFERROR(IF(INDEX(Config!$D$9:$D$29,MATCH($B4173,Config!$B$9:$B$29,0))="Contrato",IF(INDEX(Config!$E$9:$E$29,MATCH($B4173,Config!$B$9:$B$29,0))="","",INDEX(Config!$E$9:$E$29,MATCH($B4173,Config!$B$9:$B$29,0))),""),""))</f>
        <v/>
      </c>
      <c r="AC4173" s="19" t="str">
        <f>IF($B4173="","",IFERROR(INDEX(Config!$D$9:$D$29,MATCH($B4173,Config!$B$9:$B$29,0))&amp;"",""))</f>
        <v/>
      </c>
    </row>
    <row r="4174">
      <c r="R4174" s="20" t="str">
        <f>IF($B4174="","",IFERROR(IF(INDEX(Config!$D$9:$D$29,MATCH($B4174,Config!$B$9:$B$29,0))="Contrato",IF(INDEX(Config!$E$9:$E$29,MATCH($B4174,Config!$B$9:$B$29,0))="","",INDEX(Config!$E$9:$E$29,MATCH($B4174,Config!$B$9:$B$29,0))),""),""))</f>
        <v/>
      </c>
      <c r="AC4174" s="19" t="str">
        <f>IF($B4174="","",IFERROR(INDEX(Config!$D$9:$D$29,MATCH($B4174,Config!$B$9:$B$29,0))&amp;"",""))</f>
        <v/>
      </c>
    </row>
    <row r="4175">
      <c r="R4175" s="20" t="str">
        <f>IF($B4175="","",IFERROR(IF(INDEX(Config!$D$9:$D$29,MATCH($B4175,Config!$B$9:$B$29,0))="Contrato",IF(INDEX(Config!$E$9:$E$29,MATCH($B4175,Config!$B$9:$B$29,0))="","",INDEX(Config!$E$9:$E$29,MATCH($B4175,Config!$B$9:$B$29,0))),""),""))</f>
        <v/>
      </c>
      <c r="AC4175" s="19" t="str">
        <f>IF($B4175="","",IFERROR(INDEX(Config!$D$9:$D$29,MATCH($B4175,Config!$B$9:$B$29,0))&amp;"",""))</f>
        <v/>
      </c>
    </row>
    <row r="4176">
      <c r="R4176" s="20" t="str">
        <f>IF($B4176="","",IFERROR(IF(INDEX(Config!$D$9:$D$29,MATCH($B4176,Config!$B$9:$B$29,0))="Contrato",IF(INDEX(Config!$E$9:$E$29,MATCH($B4176,Config!$B$9:$B$29,0))="","",INDEX(Config!$E$9:$E$29,MATCH($B4176,Config!$B$9:$B$29,0))),""),""))</f>
        <v/>
      </c>
      <c r="AC4176" s="19" t="str">
        <f>IF($B4176="","",IFERROR(INDEX(Config!$D$9:$D$29,MATCH($B4176,Config!$B$9:$B$29,0))&amp;"",""))</f>
        <v/>
      </c>
    </row>
    <row r="4177">
      <c r="R4177" s="20" t="str">
        <f>IF($B4177="","",IFERROR(IF(INDEX(Config!$D$9:$D$29,MATCH($B4177,Config!$B$9:$B$29,0))="Contrato",IF(INDEX(Config!$E$9:$E$29,MATCH($B4177,Config!$B$9:$B$29,0))="","",INDEX(Config!$E$9:$E$29,MATCH($B4177,Config!$B$9:$B$29,0))),""),""))</f>
        <v/>
      </c>
      <c r="AC4177" s="19" t="str">
        <f>IF($B4177="","",IFERROR(INDEX(Config!$D$9:$D$29,MATCH($B4177,Config!$B$9:$B$29,0))&amp;"",""))</f>
        <v/>
      </c>
    </row>
    <row r="4178">
      <c r="R4178" s="20" t="str">
        <f>IF($B4178="","",IFERROR(IF(INDEX(Config!$D$9:$D$29,MATCH($B4178,Config!$B$9:$B$29,0))="Contrato",IF(INDEX(Config!$E$9:$E$29,MATCH($B4178,Config!$B$9:$B$29,0))="","",INDEX(Config!$E$9:$E$29,MATCH($B4178,Config!$B$9:$B$29,0))),""),""))</f>
        <v/>
      </c>
      <c r="AC4178" s="19" t="str">
        <f>IF($B4178="","",IFERROR(INDEX(Config!$D$9:$D$29,MATCH($B4178,Config!$B$9:$B$29,0))&amp;"",""))</f>
        <v/>
      </c>
    </row>
    <row r="4179">
      <c r="R4179" s="20" t="str">
        <f>IF($B4179="","",IFERROR(IF(INDEX(Config!$D$9:$D$29,MATCH($B4179,Config!$B$9:$B$29,0))="Contrato",IF(INDEX(Config!$E$9:$E$29,MATCH($B4179,Config!$B$9:$B$29,0))="","",INDEX(Config!$E$9:$E$29,MATCH($B4179,Config!$B$9:$B$29,0))),""),""))</f>
        <v/>
      </c>
      <c r="AC4179" s="19" t="str">
        <f>IF($B4179="","",IFERROR(INDEX(Config!$D$9:$D$29,MATCH($B4179,Config!$B$9:$B$29,0))&amp;"",""))</f>
        <v/>
      </c>
    </row>
    <row r="4180">
      <c r="R4180" s="20" t="str">
        <f>IF($B4180="","",IFERROR(IF(INDEX(Config!$D$9:$D$29,MATCH($B4180,Config!$B$9:$B$29,0))="Contrato",IF(INDEX(Config!$E$9:$E$29,MATCH($B4180,Config!$B$9:$B$29,0))="","",INDEX(Config!$E$9:$E$29,MATCH($B4180,Config!$B$9:$B$29,0))),""),""))</f>
        <v/>
      </c>
      <c r="AC4180" s="19" t="str">
        <f>IF($B4180="","",IFERROR(INDEX(Config!$D$9:$D$29,MATCH($B4180,Config!$B$9:$B$29,0))&amp;"",""))</f>
        <v/>
      </c>
    </row>
    <row r="4181">
      <c r="R4181" s="20" t="str">
        <f>IF($B4181="","",IFERROR(IF(INDEX(Config!$D$9:$D$29,MATCH($B4181,Config!$B$9:$B$29,0))="Contrato",IF(INDEX(Config!$E$9:$E$29,MATCH($B4181,Config!$B$9:$B$29,0))="","",INDEX(Config!$E$9:$E$29,MATCH($B4181,Config!$B$9:$B$29,0))),""),""))</f>
        <v/>
      </c>
      <c r="AC4181" s="19" t="str">
        <f>IF($B4181="","",IFERROR(INDEX(Config!$D$9:$D$29,MATCH($B4181,Config!$B$9:$B$29,0))&amp;"",""))</f>
        <v/>
      </c>
    </row>
    <row r="4182">
      <c r="R4182" s="20" t="str">
        <f>IF($B4182="","",IFERROR(IF(INDEX(Config!$D$9:$D$29,MATCH($B4182,Config!$B$9:$B$29,0))="Contrato",IF(INDEX(Config!$E$9:$E$29,MATCH($B4182,Config!$B$9:$B$29,0))="","",INDEX(Config!$E$9:$E$29,MATCH($B4182,Config!$B$9:$B$29,0))),""),""))</f>
        <v/>
      </c>
      <c r="AC4182" s="19" t="str">
        <f>IF($B4182="","",IFERROR(INDEX(Config!$D$9:$D$29,MATCH($B4182,Config!$B$9:$B$29,0))&amp;"",""))</f>
        <v/>
      </c>
    </row>
    <row r="4183">
      <c r="R4183" s="20" t="str">
        <f>IF($B4183="","",IFERROR(IF(INDEX(Config!$D$9:$D$29,MATCH($B4183,Config!$B$9:$B$29,0))="Contrato",IF(INDEX(Config!$E$9:$E$29,MATCH($B4183,Config!$B$9:$B$29,0))="","",INDEX(Config!$E$9:$E$29,MATCH($B4183,Config!$B$9:$B$29,0))),""),""))</f>
        <v/>
      </c>
      <c r="AC4183" s="19" t="str">
        <f>IF($B4183="","",IFERROR(INDEX(Config!$D$9:$D$29,MATCH($B4183,Config!$B$9:$B$29,0))&amp;"",""))</f>
        <v/>
      </c>
    </row>
    <row r="4184">
      <c r="R4184" s="20" t="str">
        <f>IF($B4184="","",IFERROR(IF(INDEX(Config!$D$9:$D$29,MATCH($B4184,Config!$B$9:$B$29,0))="Contrato",IF(INDEX(Config!$E$9:$E$29,MATCH($B4184,Config!$B$9:$B$29,0))="","",INDEX(Config!$E$9:$E$29,MATCH($B4184,Config!$B$9:$B$29,0))),""),""))</f>
        <v/>
      </c>
      <c r="AC4184" s="19" t="str">
        <f>IF($B4184="","",IFERROR(INDEX(Config!$D$9:$D$29,MATCH($B4184,Config!$B$9:$B$29,0))&amp;"",""))</f>
        <v/>
      </c>
    </row>
    <row r="4185">
      <c r="R4185" s="20" t="str">
        <f>IF($B4185="","",IFERROR(IF(INDEX(Config!$D$9:$D$29,MATCH($B4185,Config!$B$9:$B$29,0))="Contrato",IF(INDEX(Config!$E$9:$E$29,MATCH($B4185,Config!$B$9:$B$29,0))="","",INDEX(Config!$E$9:$E$29,MATCH($B4185,Config!$B$9:$B$29,0))),""),""))</f>
        <v/>
      </c>
      <c r="AC4185" s="19" t="str">
        <f>IF($B4185="","",IFERROR(INDEX(Config!$D$9:$D$29,MATCH($B4185,Config!$B$9:$B$29,0))&amp;"",""))</f>
        <v/>
      </c>
    </row>
    <row r="4186">
      <c r="R4186" s="20" t="str">
        <f>IF($B4186="","",IFERROR(IF(INDEX(Config!$D$9:$D$29,MATCH($B4186,Config!$B$9:$B$29,0))="Contrato",IF(INDEX(Config!$E$9:$E$29,MATCH($B4186,Config!$B$9:$B$29,0))="","",INDEX(Config!$E$9:$E$29,MATCH($B4186,Config!$B$9:$B$29,0))),""),""))</f>
        <v/>
      </c>
      <c r="AC4186" s="19" t="str">
        <f>IF($B4186="","",IFERROR(INDEX(Config!$D$9:$D$29,MATCH($B4186,Config!$B$9:$B$29,0))&amp;"",""))</f>
        <v/>
      </c>
    </row>
    <row r="4187">
      <c r="R4187" s="20" t="str">
        <f>IF($B4187="","",IFERROR(IF(INDEX(Config!$D$9:$D$29,MATCH($B4187,Config!$B$9:$B$29,0))="Contrato",IF(INDEX(Config!$E$9:$E$29,MATCH($B4187,Config!$B$9:$B$29,0))="","",INDEX(Config!$E$9:$E$29,MATCH($B4187,Config!$B$9:$B$29,0))),""),""))</f>
        <v/>
      </c>
      <c r="AC4187" s="19" t="str">
        <f>IF($B4187="","",IFERROR(INDEX(Config!$D$9:$D$29,MATCH($B4187,Config!$B$9:$B$29,0))&amp;"",""))</f>
        <v/>
      </c>
    </row>
    <row r="4188">
      <c r="R4188" s="20" t="str">
        <f>IF($B4188="","",IFERROR(IF(INDEX(Config!$D$9:$D$29,MATCH($B4188,Config!$B$9:$B$29,0))="Contrato",IF(INDEX(Config!$E$9:$E$29,MATCH($B4188,Config!$B$9:$B$29,0))="","",INDEX(Config!$E$9:$E$29,MATCH($B4188,Config!$B$9:$B$29,0))),""),""))</f>
        <v/>
      </c>
      <c r="AC4188" s="19" t="str">
        <f>IF($B4188="","",IFERROR(INDEX(Config!$D$9:$D$29,MATCH($B4188,Config!$B$9:$B$29,0))&amp;"",""))</f>
        <v/>
      </c>
    </row>
    <row r="4189">
      <c r="R4189" s="20" t="str">
        <f>IF($B4189="","",IFERROR(IF(INDEX(Config!$D$9:$D$29,MATCH($B4189,Config!$B$9:$B$29,0))="Contrato",IF(INDEX(Config!$E$9:$E$29,MATCH($B4189,Config!$B$9:$B$29,0))="","",INDEX(Config!$E$9:$E$29,MATCH($B4189,Config!$B$9:$B$29,0))),""),""))</f>
        <v/>
      </c>
      <c r="AC4189" s="19" t="str">
        <f>IF($B4189="","",IFERROR(INDEX(Config!$D$9:$D$29,MATCH($B4189,Config!$B$9:$B$29,0))&amp;"",""))</f>
        <v/>
      </c>
    </row>
    <row r="4190">
      <c r="R4190" s="20" t="str">
        <f>IF($B4190="","",IFERROR(IF(INDEX(Config!$D$9:$D$29,MATCH($B4190,Config!$B$9:$B$29,0))="Contrato",IF(INDEX(Config!$E$9:$E$29,MATCH($B4190,Config!$B$9:$B$29,0))="","",INDEX(Config!$E$9:$E$29,MATCH($B4190,Config!$B$9:$B$29,0))),""),""))</f>
        <v/>
      </c>
      <c r="AC4190" s="19" t="str">
        <f>IF($B4190="","",IFERROR(INDEX(Config!$D$9:$D$29,MATCH($B4190,Config!$B$9:$B$29,0))&amp;"",""))</f>
        <v/>
      </c>
    </row>
    <row r="4191">
      <c r="R4191" s="20" t="str">
        <f>IF($B4191="","",IFERROR(IF(INDEX(Config!$D$9:$D$29,MATCH($B4191,Config!$B$9:$B$29,0))="Contrato",IF(INDEX(Config!$E$9:$E$29,MATCH($B4191,Config!$B$9:$B$29,0))="","",INDEX(Config!$E$9:$E$29,MATCH($B4191,Config!$B$9:$B$29,0))),""),""))</f>
        <v/>
      </c>
      <c r="AC4191" s="19" t="str">
        <f>IF($B4191="","",IFERROR(INDEX(Config!$D$9:$D$29,MATCH($B4191,Config!$B$9:$B$29,0))&amp;"",""))</f>
        <v/>
      </c>
    </row>
    <row r="4192">
      <c r="R4192" s="20" t="str">
        <f>IF($B4192="","",IFERROR(IF(INDEX(Config!$D$9:$D$29,MATCH($B4192,Config!$B$9:$B$29,0))="Contrato",IF(INDEX(Config!$E$9:$E$29,MATCH($B4192,Config!$B$9:$B$29,0))="","",INDEX(Config!$E$9:$E$29,MATCH($B4192,Config!$B$9:$B$29,0))),""),""))</f>
        <v/>
      </c>
      <c r="AC4192" s="19" t="str">
        <f>IF($B4192="","",IFERROR(INDEX(Config!$D$9:$D$29,MATCH($B4192,Config!$B$9:$B$29,0))&amp;"",""))</f>
        <v/>
      </c>
    </row>
    <row r="4193">
      <c r="R4193" s="20" t="str">
        <f>IF($B4193="","",IFERROR(IF(INDEX(Config!$D$9:$D$29,MATCH($B4193,Config!$B$9:$B$29,0))="Contrato",IF(INDEX(Config!$E$9:$E$29,MATCH($B4193,Config!$B$9:$B$29,0))="","",INDEX(Config!$E$9:$E$29,MATCH($B4193,Config!$B$9:$B$29,0))),""),""))</f>
        <v/>
      </c>
      <c r="AC4193" s="19" t="str">
        <f>IF($B4193="","",IFERROR(INDEX(Config!$D$9:$D$29,MATCH($B4193,Config!$B$9:$B$29,0))&amp;"",""))</f>
        <v/>
      </c>
    </row>
    <row r="4194">
      <c r="R4194" s="20" t="str">
        <f>IF($B4194="","",IFERROR(IF(INDEX(Config!$D$9:$D$29,MATCH($B4194,Config!$B$9:$B$29,0))="Contrato",IF(INDEX(Config!$E$9:$E$29,MATCH($B4194,Config!$B$9:$B$29,0))="","",INDEX(Config!$E$9:$E$29,MATCH($B4194,Config!$B$9:$B$29,0))),""),""))</f>
        <v/>
      </c>
      <c r="AC4194" s="19" t="str">
        <f>IF($B4194="","",IFERROR(INDEX(Config!$D$9:$D$29,MATCH($B4194,Config!$B$9:$B$29,0))&amp;"",""))</f>
        <v/>
      </c>
    </row>
    <row r="4195">
      <c r="R4195" s="20" t="str">
        <f>IF($B4195="","",IFERROR(IF(INDEX(Config!$D$9:$D$29,MATCH($B4195,Config!$B$9:$B$29,0))="Contrato",IF(INDEX(Config!$E$9:$E$29,MATCH($B4195,Config!$B$9:$B$29,0))="","",INDEX(Config!$E$9:$E$29,MATCH($B4195,Config!$B$9:$B$29,0))),""),""))</f>
        <v/>
      </c>
      <c r="AC4195" s="19" t="str">
        <f>IF($B4195="","",IFERROR(INDEX(Config!$D$9:$D$29,MATCH($B4195,Config!$B$9:$B$29,0))&amp;"",""))</f>
        <v/>
      </c>
    </row>
    <row r="4196">
      <c r="R4196" s="20" t="str">
        <f>IF($B4196="","",IFERROR(IF(INDEX(Config!$D$9:$D$29,MATCH($B4196,Config!$B$9:$B$29,0))="Contrato",IF(INDEX(Config!$E$9:$E$29,MATCH($B4196,Config!$B$9:$B$29,0))="","",INDEX(Config!$E$9:$E$29,MATCH($B4196,Config!$B$9:$B$29,0))),""),""))</f>
        <v/>
      </c>
      <c r="AC4196" s="19" t="str">
        <f>IF($B4196="","",IFERROR(INDEX(Config!$D$9:$D$29,MATCH($B4196,Config!$B$9:$B$29,0))&amp;"",""))</f>
        <v/>
      </c>
    </row>
    <row r="4197">
      <c r="R4197" s="20" t="str">
        <f>IF($B4197="","",IFERROR(IF(INDEX(Config!$D$9:$D$29,MATCH($B4197,Config!$B$9:$B$29,0))="Contrato",IF(INDEX(Config!$E$9:$E$29,MATCH($B4197,Config!$B$9:$B$29,0))="","",INDEX(Config!$E$9:$E$29,MATCH($B4197,Config!$B$9:$B$29,0))),""),""))</f>
        <v/>
      </c>
      <c r="AC4197" s="19" t="str">
        <f>IF($B4197="","",IFERROR(INDEX(Config!$D$9:$D$29,MATCH($B4197,Config!$B$9:$B$29,0))&amp;"",""))</f>
        <v/>
      </c>
    </row>
    <row r="4198">
      <c r="R4198" s="20" t="str">
        <f>IF($B4198="","",IFERROR(IF(INDEX(Config!$D$9:$D$29,MATCH($B4198,Config!$B$9:$B$29,0))="Contrato",IF(INDEX(Config!$E$9:$E$29,MATCH($B4198,Config!$B$9:$B$29,0))="","",INDEX(Config!$E$9:$E$29,MATCH($B4198,Config!$B$9:$B$29,0))),""),""))</f>
        <v/>
      </c>
      <c r="AC4198" s="19" t="str">
        <f>IF($B4198="","",IFERROR(INDEX(Config!$D$9:$D$29,MATCH($B4198,Config!$B$9:$B$29,0))&amp;"",""))</f>
        <v/>
      </c>
    </row>
    <row r="4199">
      <c r="R4199" s="20" t="str">
        <f>IF($B4199="","",IFERROR(IF(INDEX(Config!$D$9:$D$29,MATCH($B4199,Config!$B$9:$B$29,0))="Contrato",IF(INDEX(Config!$E$9:$E$29,MATCH($B4199,Config!$B$9:$B$29,0))="","",INDEX(Config!$E$9:$E$29,MATCH($B4199,Config!$B$9:$B$29,0))),""),""))</f>
        <v/>
      </c>
      <c r="AC4199" s="19" t="str">
        <f>IF($B4199="","",IFERROR(INDEX(Config!$D$9:$D$29,MATCH($B4199,Config!$B$9:$B$29,0))&amp;"",""))</f>
        <v/>
      </c>
    </row>
    <row r="4200">
      <c r="R4200" s="20" t="str">
        <f>IF($B4200="","",IFERROR(IF(INDEX(Config!$D$9:$D$29,MATCH($B4200,Config!$B$9:$B$29,0))="Contrato",IF(INDEX(Config!$E$9:$E$29,MATCH($B4200,Config!$B$9:$B$29,0))="","",INDEX(Config!$E$9:$E$29,MATCH($B4200,Config!$B$9:$B$29,0))),""),""))</f>
        <v/>
      </c>
      <c r="AC4200" s="19" t="str">
        <f>IF($B4200="","",IFERROR(INDEX(Config!$D$9:$D$29,MATCH($B4200,Config!$B$9:$B$29,0))&amp;"",""))</f>
        <v/>
      </c>
    </row>
    <row r="4201">
      <c r="R4201" s="20" t="str">
        <f>IF($B4201="","",IFERROR(IF(INDEX(Config!$D$9:$D$29,MATCH($B4201,Config!$B$9:$B$29,0))="Contrato",IF(INDEX(Config!$E$9:$E$29,MATCH($B4201,Config!$B$9:$B$29,0))="","",INDEX(Config!$E$9:$E$29,MATCH($B4201,Config!$B$9:$B$29,0))),""),""))</f>
        <v/>
      </c>
      <c r="AC4201" s="19" t="str">
        <f>IF($B4201="","",IFERROR(INDEX(Config!$D$9:$D$29,MATCH($B4201,Config!$B$9:$B$29,0))&amp;"",""))</f>
        <v/>
      </c>
    </row>
    <row r="4202">
      <c r="R4202" s="20" t="str">
        <f>IF($B4202="","",IFERROR(IF(INDEX(Config!$D$9:$D$29,MATCH($B4202,Config!$B$9:$B$29,0))="Contrato",IF(INDEX(Config!$E$9:$E$29,MATCH($B4202,Config!$B$9:$B$29,0))="","",INDEX(Config!$E$9:$E$29,MATCH($B4202,Config!$B$9:$B$29,0))),""),""))</f>
        <v/>
      </c>
      <c r="AC4202" s="19" t="str">
        <f>IF($B4202="","",IFERROR(INDEX(Config!$D$9:$D$29,MATCH($B4202,Config!$B$9:$B$29,0))&amp;"",""))</f>
        <v/>
      </c>
    </row>
    <row r="4203">
      <c r="R4203" s="20" t="str">
        <f>IF($B4203="","",IFERROR(IF(INDEX(Config!$D$9:$D$29,MATCH($B4203,Config!$B$9:$B$29,0))="Contrato",IF(INDEX(Config!$E$9:$E$29,MATCH($B4203,Config!$B$9:$B$29,0))="","",INDEX(Config!$E$9:$E$29,MATCH($B4203,Config!$B$9:$B$29,0))),""),""))</f>
        <v/>
      </c>
      <c r="AC4203" s="19" t="str">
        <f>IF($B4203="","",IFERROR(INDEX(Config!$D$9:$D$29,MATCH($B4203,Config!$B$9:$B$29,0))&amp;"",""))</f>
        <v/>
      </c>
    </row>
    <row r="4204">
      <c r="R4204" s="20" t="str">
        <f>IF($B4204="","",IFERROR(IF(INDEX(Config!$D$9:$D$29,MATCH($B4204,Config!$B$9:$B$29,0))="Contrato",IF(INDEX(Config!$E$9:$E$29,MATCH($B4204,Config!$B$9:$B$29,0))="","",INDEX(Config!$E$9:$E$29,MATCH($B4204,Config!$B$9:$B$29,0))),""),""))</f>
        <v/>
      </c>
      <c r="AC4204" s="19" t="str">
        <f>IF($B4204="","",IFERROR(INDEX(Config!$D$9:$D$29,MATCH($B4204,Config!$B$9:$B$29,0))&amp;"",""))</f>
        <v/>
      </c>
    </row>
    <row r="4205">
      <c r="R4205" s="20" t="str">
        <f>IF($B4205="","",IFERROR(IF(INDEX(Config!$D$9:$D$29,MATCH($B4205,Config!$B$9:$B$29,0))="Contrato",IF(INDEX(Config!$E$9:$E$29,MATCH($B4205,Config!$B$9:$B$29,0))="","",INDEX(Config!$E$9:$E$29,MATCH($B4205,Config!$B$9:$B$29,0))),""),""))</f>
        <v/>
      </c>
      <c r="AC4205" s="19" t="str">
        <f>IF($B4205="","",IFERROR(INDEX(Config!$D$9:$D$29,MATCH($B4205,Config!$B$9:$B$29,0))&amp;"",""))</f>
        <v/>
      </c>
    </row>
    <row r="4206">
      <c r="R4206" s="20" t="str">
        <f>IF($B4206="","",IFERROR(IF(INDEX(Config!$D$9:$D$29,MATCH($B4206,Config!$B$9:$B$29,0))="Contrato",IF(INDEX(Config!$E$9:$E$29,MATCH($B4206,Config!$B$9:$B$29,0))="","",INDEX(Config!$E$9:$E$29,MATCH($B4206,Config!$B$9:$B$29,0))),""),""))</f>
        <v/>
      </c>
      <c r="AC4206" s="19" t="str">
        <f>IF($B4206="","",IFERROR(INDEX(Config!$D$9:$D$29,MATCH($B4206,Config!$B$9:$B$29,0))&amp;"",""))</f>
        <v/>
      </c>
    </row>
    <row r="4207">
      <c r="R4207" s="20" t="str">
        <f>IF($B4207="","",IFERROR(IF(INDEX(Config!$D$9:$D$29,MATCH($B4207,Config!$B$9:$B$29,0))="Contrato",IF(INDEX(Config!$E$9:$E$29,MATCH($B4207,Config!$B$9:$B$29,0))="","",INDEX(Config!$E$9:$E$29,MATCH($B4207,Config!$B$9:$B$29,0))),""),""))</f>
        <v/>
      </c>
      <c r="AC4207" s="19" t="str">
        <f>IF($B4207="","",IFERROR(INDEX(Config!$D$9:$D$29,MATCH($B4207,Config!$B$9:$B$29,0))&amp;"",""))</f>
        <v/>
      </c>
    </row>
    <row r="4208">
      <c r="R4208" s="20" t="str">
        <f>IF($B4208="","",IFERROR(IF(INDEX(Config!$D$9:$D$29,MATCH($B4208,Config!$B$9:$B$29,0))="Contrato",IF(INDEX(Config!$E$9:$E$29,MATCH($B4208,Config!$B$9:$B$29,0))="","",INDEX(Config!$E$9:$E$29,MATCH($B4208,Config!$B$9:$B$29,0))),""),""))</f>
        <v/>
      </c>
      <c r="AC4208" s="19" t="str">
        <f>IF($B4208="","",IFERROR(INDEX(Config!$D$9:$D$29,MATCH($B4208,Config!$B$9:$B$29,0))&amp;"",""))</f>
        <v/>
      </c>
    </row>
    <row r="4209">
      <c r="R4209" s="20" t="str">
        <f>IF($B4209="","",IFERROR(IF(INDEX(Config!$D$9:$D$29,MATCH($B4209,Config!$B$9:$B$29,0))="Contrato",IF(INDEX(Config!$E$9:$E$29,MATCH($B4209,Config!$B$9:$B$29,0))="","",INDEX(Config!$E$9:$E$29,MATCH($B4209,Config!$B$9:$B$29,0))),""),""))</f>
        <v/>
      </c>
      <c r="AC4209" s="19" t="str">
        <f>IF($B4209="","",IFERROR(INDEX(Config!$D$9:$D$29,MATCH($B4209,Config!$B$9:$B$29,0))&amp;"",""))</f>
        <v/>
      </c>
    </row>
    <row r="4210">
      <c r="R4210" s="20" t="str">
        <f>IF($B4210="","",IFERROR(IF(INDEX(Config!$D$9:$D$29,MATCH($B4210,Config!$B$9:$B$29,0))="Contrato",IF(INDEX(Config!$E$9:$E$29,MATCH($B4210,Config!$B$9:$B$29,0))="","",INDEX(Config!$E$9:$E$29,MATCH($B4210,Config!$B$9:$B$29,0))),""),""))</f>
        <v/>
      </c>
      <c r="AC4210" s="19" t="str">
        <f>IF($B4210="","",IFERROR(INDEX(Config!$D$9:$D$29,MATCH($B4210,Config!$B$9:$B$29,0))&amp;"",""))</f>
        <v/>
      </c>
    </row>
    <row r="4211">
      <c r="R4211" s="20" t="str">
        <f>IF($B4211="","",IFERROR(IF(INDEX(Config!$D$9:$D$29,MATCH($B4211,Config!$B$9:$B$29,0))="Contrato",IF(INDEX(Config!$E$9:$E$29,MATCH($B4211,Config!$B$9:$B$29,0))="","",INDEX(Config!$E$9:$E$29,MATCH($B4211,Config!$B$9:$B$29,0))),""),""))</f>
        <v/>
      </c>
      <c r="AC4211" s="19" t="str">
        <f>IF($B4211="","",IFERROR(INDEX(Config!$D$9:$D$29,MATCH($B4211,Config!$B$9:$B$29,0))&amp;"",""))</f>
        <v/>
      </c>
    </row>
    <row r="4212">
      <c r="R4212" s="20" t="str">
        <f>IF($B4212="","",IFERROR(IF(INDEX(Config!$D$9:$D$29,MATCH($B4212,Config!$B$9:$B$29,0))="Contrato",IF(INDEX(Config!$E$9:$E$29,MATCH($B4212,Config!$B$9:$B$29,0))="","",INDEX(Config!$E$9:$E$29,MATCH($B4212,Config!$B$9:$B$29,0))),""),""))</f>
        <v/>
      </c>
      <c r="AC4212" s="19" t="str">
        <f>IF($B4212="","",IFERROR(INDEX(Config!$D$9:$D$29,MATCH($B4212,Config!$B$9:$B$29,0))&amp;"",""))</f>
        <v/>
      </c>
    </row>
    <row r="4213">
      <c r="R4213" s="20" t="str">
        <f>IF($B4213="","",IFERROR(IF(INDEX(Config!$D$9:$D$29,MATCH($B4213,Config!$B$9:$B$29,0))="Contrato",IF(INDEX(Config!$E$9:$E$29,MATCH($B4213,Config!$B$9:$B$29,0))="","",INDEX(Config!$E$9:$E$29,MATCH($B4213,Config!$B$9:$B$29,0))),""),""))</f>
        <v/>
      </c>
      <c r="AC4213" s="19" t="str">
        <f>IF($B4213="","",IFERROR(INDEX(Config!$D$9:$D$29,MATCH($B4213,Config!$B$9:$B$29,0))&amp;"",""))</f>
        <v/>
      </c>
    </row>
    <row r="4214">
      <c r="R4214" s="20" t="str">
        <f>IF($B4214="","",IFERROR(IF(INDEX(Config!$D$9:$D$29,MATCH($B4214,Config!$B$9:$B$29,0))="Contrato",IF(INDEX(Config!$E$9:$E$29,MATCH($B4214,Config!$B$9:$B$29,0))="","",INDEX(Config!$E$9:$E$29,MATCH($B4214,Config!$B$9:$B$29,0))),""),""))</f>
        <v/>
      </c>
      <c r="AC4214" s="19" t="str">
        <f>IF($B4214="","",IFERROR(INDEX(Config!$D$9:$D$29,MATCH($B4214,Config!$B$9:$B$29,0))&amp;"",""))</f>
        <v/>
      </c>
    </row>
    <row r="4215">
      <c r="R4215" s="20" t="str">
        <f>IF($B4215="","",IFERROR(IF(INDEX(Config!$D$9:$D$29,MATCH($B4215,Config!$B$9:$B$29,0))="Contrato",IF(INDEX(Config!$E$9:$E$29,MATCH($B4215,Config!$B$9:$B$29,0))="","",INDEX(Config!$E$9:$E$29,MATCH($B4215,Config!$B$9:$B$29,0))),""),""))</f>
        <v/>
      </c>
      <c r="AC4215" s="19" t="str">
        <f>IF($B4215="","",IFERROR(INDEX(Config!$D$9:$D$29,MATCH($B4215,Config!$B$9:$B$29,0))&amp;"",""))</f>
        <v/>
      </c>
    </row>
    <row r="4216">
      <c r="R4216" s="20" t="str">
        <f>IF($B4216="","",IFERROR(IF(INDEX(Config!$D$9:$D$29,MATCH($B4216,Config!$B$9:$B$29,0))="Contrato",IF(INDEX(Config!$E$9:$E$29,MATCH($B4216,Config!$B$9:$B$29,0))="","",INDEX(Config!$E$9:$E$29,MATCH($B4216,Config!$B$9:$B$29,0))),""),""))</f>
        <v/>
      </c>
      <c r="AC4216" s="19" t="str">
        <f>IF($B4216="","",IFERROR(INDEX(Config!$D$9:$D$29,MATCH($B4216,Config!$B$9:$B$29,0))&amp;"",""))</f>
        <v/>
      </c>
    </row>
    <row r="4217">
      <c r="R4217" s="20" t="str">
        <f>IF($B4217="","",IFERROR(IF(INDEX(Config!$D$9:$D$29,MATCH($B4217,Config!$B$9:$B$29,0))="Contrato",IF(INDEX(Config!$E$9:$E$29,MATCH($B4217,Config!$B$9:$B$29,0))="","",INDEX(Config!$E$9:$E$29,MATCH($B4217,Config!$B$9:$B$29,0))),""),""))</f>
        <v/>
      </c>
      <c r="AC4217" s="19" t="str">
        <f>IF($B4217="","",IFERROR(INDEX(Config!$D$9:$D$29,MATCH($B4217,Config!$B$9:$B$29,0))&amp;"",""))</f>
        <v/>
      </c>
    </row>
    <row r="4218">
      <c r="R4218" s="20" t="str">
        <f>IF($B4218="","",IFERROR(IF(INDEX(Config!$D$9:$D$29,MATCH($B4218,Config!$B$9:$B$29,0))="Contrato",IF(INDEX(Config!$E$9:$E$29,MATCH($B4218,Config!$B$9:$B$29,0))="","",INDEX(Config!$E$9:$E$29,MATCH($B4218,Config!$B$9:$B$29,0))),""),""))</f>
        <v/>
      </c>
      <c r="AC4218" s="19" t="str">
        <f>IF($B4218="","",IFERROR(INDEX(Config!$D$9:$D$29,MATCH($B4218,Config!$B$9:$B$29,0))&amp;"",""))</f>
        <v/>
      </c>
    </row>
    <row r="4219">
      <c r="R4219" s="20" t="str">
        <f>IF($B4219="","",IFERROR(IF(INDEX(Config!$D$9:$D$29,MATCH($B4219,Config!$B$9:$B$29,0))="Contrato",IF(INDEX(Config!$E$9:$E$29,MATCH($B4219,Config!$B$9:$B$29,0))="","",INDEX(Config!$E$9:$E$29,MATCH($B4219,Config!$B$9:$B$29,0))),""),""))</f>
        <v/>
      </c>
      <c r="AC4219" s="19" t="str">
        <f>IF($B4219="","",IFERROR(INDEX(Config!$D$9:$D$29,MATCH($B4219,Config!$B$9:$B$29,0))&amp;"",""))</f>
        <v/>
      </c>
    </row>
    <row r="4220">
      <c r="R4220" s="20" t="str">
        <f>IF($B4220="","",IFERROR(IF(INDEX(Config!$D$9:$D$29,MATCH($B4220,Config!$B$9:$B$29,0))="Contrato",IF(INDEX(Config!$E$9:$E$29,MATCH($B4220,Config!$B$9:$B$29,0))="","",INDEX(Config!$E$9:$E$29,MATCH($B4220,Config!$B$9:$B$29,0))),""),""))</f>
        <v/>
      </c>
      <c r="AC4220" s="19" t="str">
        <f>IF($B4220="","",IFERROR(INDEX(Config!$D$9:$D$29,MATCH($B4220,Config!$B$9:$B$29,0))&amp;"",""))</f>
        <v/>
      </c>
    </row>
    <row r="4221">
      <c r="R4221" s="20" t="str">
        <f>IF($B4221="","",IFERROR(IF(INDEX(Config!$D$9:$D$29,MATCH($B4221,Config!$B$9:$B$29,0))="Contrato",IF(INDEX(Config!$E$9:$E$29,MATCH($B4221,Config!$B$9:$B$29,0))="","",INDEX(Config!$E$9:$E$29,MATCH($B4221,Config!$B$9:$B$29,0))),""),""))</f>
        <v/>
      </c>
      <c r="AC4221" s="19" t="str">
        <f>IF($B4221="","",IFERROR(INDEX(Config!$D$9:$D$29,MATCH($B4221,Config!$B$9:$B$29,0))&amp;"",""))</f>
        <v/>
      </c>
    </row>
    <row r="4222">
      <c r="R4222" s="20" t="str">
        <f>IF($B4222="","",IFERROR(IF(INDEX(Config!$D$9:$D$29,MATCH($B4222,Config!$B$9:$B$29,0))="Contrato",IF(INDEX(Config!$E$9:$E$29,MATCH($B4222,Config!$B$9:$B$29,0))="","",INDEX(Config!$E$9:$E$29,MATCH($B4222,Config!$B$9:$B$29,0))),""),""))</f>
        <v/>
      </c>
      <c r="AC4222" s="19" t="str">
        <f>IF($B4222="","",IFERROR(INDEX(Config!$D$9:$D$29,MATCH($B4222,Config!$B$9:$B$29,0))&amp;"",""))</f>
        <v/>
      </c>
    </row>
    <row r="4223">
      <c r="R4223" s="20" t="str">
        <f>IF($B4223="","",IFERROR(IF(INDEX(Config!$D$9:$D$29,MATCH($B4223,Config!$B$9:$B$29,0))="Contrato",IF(INDEX(Config!$E$9:$E$29,MATCH($B4223,Config!$B$9:$B$29,0))="","",INDEX(Config!$E$9:$E$29,MATCH($B4223,Config!$B$9:$B$29,0))),""),""))</f>
        <v/>
      </c>
      <c r="AC4223" s="19" t="str">
        <f>IF($B4223="","",IFERROR(INDEX(Config!$D$9:$D$29,MATCH($B4223,Config!$B$9:$B$29,0))&amp;"",""))</f>
        <v/>
      </c>
    </row>
    <row r="4224">
      <c r="R4224" s="20" t="str">
        <f>IF($B4224="","",IFERROR(IF(INDEX(Config!$D$9:$D$29,MATCH($B4224,Config!$B$9:$B$29,0))="Contrato",IF(INDEX(Config!$E$9:$E$29,MATCH($B4224,Config!$B$9:$B$29,0))="","",INDEX(Config!$E$9:$E$29,MATCH($B4224,Config!$B$9:$B$29,0))),""),""))</f>
        <v/>
      </c>
      <c r="AC4224" s="19" t="str">
        <f>IF($B4224="","",IFERROR(INDEX(Config!$D$9:$D$29,MATCH($B4224,Config!$B$9:$B$29,0))&amp;"",""))</f>
        <v/>
      </c>
    </row>
    <row r="4225">
      <c r="R4225" s="20" t="str">
        <f>IF($B4225="","",IFERROR(IF(INDEX(Config!$D$9:$D$29,MATCH($B4225,Config!$B$9:$B$29,0))="Contrato",IF(INDEX(Config!$E$9:$E$29,MATCH($B4225,Config!$B$9:$B$29,0))="","",INDEX(Config!$E$9:$E$29,MATCH($B4225,Config!$B$9:$B$29,0))),""),""))</f>
        <v/>
      </c>
      <c r="AC4225" s="19" t="str">
        <f>IF($B4225="","",IFERROR(INDEX(Config!$D$9:$D$29,MATCH($B4225,Config!$B$9:$B$29,0))&amp;"",""))</f>
        <v/>
      </c>
    </row>
    <row r="4226">
      <c r="R4226" s="20" t="str">
        <f>IF($B4226="","",IFERROR(IF(INDEX(Config!$D$9:$D$29,MATCH($B4226,Config!$B$9:$B$29,0))="Contrato",IF(INDEX(Config!$E$9:$E$29,MATCH($B4226,Config!$B$9:$B$29,0))="","",INDEX(Config!$E$9:$E$29,MATCH($B4226,Config!$B$9:$B$29,0))),""),""))</f>
        <v/>
      </c>
      <c r="AC4226" s="19" t="str">
        <f>IF($B4226="","",IFERROR(INDEX(Config!$D$9:$D$29,MATCH($B4226,Config!$B$9:$B$29,0))&amp;"",""))</f>
        <v/>
      </c>
    </row>
    <row r="4227">
      <c r="R4227" s="20" t="str">
        <f>IF($B4227="","",IFERROR(IF(INDEX(Config!$D$9:$D$29,MATCH($B4227,Config!$B$9:$B$29,0))="Contrato",IF(INDEX(Config!$E$9:$E$29,MATCH($B4227,Config!$B$9:$B$29,0))="","",INDEX(Config!$E$9:$E$29,MATCH($B4227,Config!$B$9:$B$29,0))),""),""))</f>
        <v/>
      </c>
      <c r="AC4227" s="19" t="str">
        <f>IF($B4227="","",IFERROR(INDEX(Config!$D$9:$D$29,MATCH($B4227,Config!$B$9:$B$29,0))&amp;"",""))</f>
        <v/>
      </c>
    </row>
    <row r="4228">
      <c r="R4228" s="20" t="str">
        <f>IF($B4228="","",IFERROR(IF(INDEX(Config!$D$9:$D$29,MATCH($B4228,Config!$B$9:$B$29,0))="Contrato",IF(INDEX(Config!$E$9:$E$29,MATCH($B4228,Config!$B$9:$B$29,0))="","",INDEX(Config!$E$9:$E$29,MATCH($B4228,Config!$B$9:$B$29,0))),""),""))</f>
        <v/>
      </c>
      <c r="AC4228" s="19" t="str">
        <f>IF($B4228="","",IFERROR(INDEX(Config!$D$9:$D$29,MATCH($B4228,Config!$B$9:$B$29,0))&amp;"",""))</f>
        <v/>
      </c>
    </row>
    <row r="4229">
      <c r="R4229" s="20" t="str">
        <f>IF($B4229="","",IFERROR(IF(INDEX(Config!$D$9:$D$29,MATCH($B4229,Config!$B$9:$B$29,0))="Contrato",IF(INDEX(Config!$E$9:$E$29,MATCH($B4229,Config!$B$9:$B$29,0))="","",INDEX(Config!$E$9:$E$29,MATCH($B4229,Config!$B$9:$B$29,0))),""),""))</f>
        <v/>
      </c>
      <c r="AC4229" s="19" t="str">
        <f>IF($B4229="","",IFERROR(INDEX(Config!$D$9:$D$29,MATCH($B4229,Config!$B$9:$B$29,0))&amp;"",""))</f>
        <v/>
      </c>
    </row>
    <row r="4230">
      <c r="R4230" s="20" t="str">
        <f>IF($B4230="","",IFERROR(IF(INDEX(Config!$D$9:$D$29,MATCH($B4230,Config!$B$9:$B$29,0))="Contrato",IF(INDEX(Config!$E$9:$E$29,MATCH($B4230,Config!$B$9:$B$29,0))="","",INDEX(Config!$E$9:$E$29,MATCH($B4230,Config!$B$9:$B$29,0))),""),""))</f>
        <v/>
      </c>
      <c r="AC4230" s="19" t="str">
        <f>IF($B4230="","",IFERROR(INDEX(Config!$D$9:$D$29,MATCH($B4230,Config!$B$9:$B$29,0))&amp;"",""))</f>
        <v/>
      </c>
    </row>
    <row r="4231">
      <c r="R4231" s="20" t="str">
        <f>IF($B4231="","",IFERROR(IF(INDEX(Config!$D$9:$D$29,MATCH($B4231,Config!$B$9:$B$29,0))="Contrato",IF(INDEX(Config!$E$9:$E$29,MATCH($B4231,Config!$B$9:$B$29,0))="","",INDEX(Config!$E$9:$E$29,MATCH($B4231,Config!$B$9:$B$29,0))),""),""))</f>
        <v/>
      </c>
      <c r="AC4231" s="19" t="str">
        <f>IF($B4231="","",IFERROR(INDEX(Config!$D$9:$D$29,MATCH($B4231,Config!$B$9:$B$29,0))&amp;"",""))</f>
        <v/>
      </c>
    </row>
    <row r="4232">
      <c r="R4232" s="20" t="str">
        <f>IF($B4232="","",IFERROR(IF(INDEX(Config!$D$9:$D$29,MATCH($B4232,Config!$B$9:$B$29,0))="Contrato",IF(INDEX(Config!$E$9:$E$29,MATCH($B4232,Config!$B$9:$B$29,0))="","",INDEX(Config!$E$9:$E$29,MATCH($B4232,Config!$B$9:$B$29,0))),""),""))</f>
        <v/>
      </c>
      <c r="AC4232" s="19" t="str">
        <f>IF($B4232="","",IFERROR(INDEX(Config!$D$9:$D$29,MATCH($B4232,Config!$B$9:$B$29,0))&amp;"",""))</f>
        <v/>
      </c>
    </row>
    <row r="4233">
      <c r="R4233" s="20" t="str">
        <f>IF($B4233="","",IFERROR(IF(INDEX(Config!$D$9:$D$29,MATCH($B4233,Config!$B$9:$B$29,0))="Contrato",IF(INDEX(Config!$E$9:$E$29,MATCH($B4233,Config!$B$9:$B$29,0))="","",INDEX(Config!$E$9:$E$29,MATCH($B4233,Config!$B$9:$B$29,0))),""),""))</f>
        <v/>
      </c>
      <c r="AC4233" s="19" t="str">
        <f>IF($B4233="","",IFERROR(INDEX(Config!$D$9:$D$29,MATCH($B4233,Config!$B$9:$B$29,0))&amp;"",""))</f>
        <v/>
      </c>
    </row>
    <row r="4234">
      <c r="R4234" s="20" t="str">
        <f>IF($B4234="","",IFERROR(IF(INDEX(Config!$D$9:$D$29,MATCH($B4234,Config!$B$9:$B$29,0))="Contrato",IF(INDEX(Config!$E$9:$E$29,MATCH($B4234,Config!$B$9:$B$29,0))="","",INDEX(Config!$E$9:$E$29,MATCH($B4234,Config!$B$9:$B$29,0))),""),""))</f>
        <v/>
      </c>
      <c r="AC4234" s="19" t="str">
        <f>IF($B4234="","",IFERROR(INDEX(Config!$D$9:$D$29,MATCH($B4234,Config!$B$9:$B$29,0))&amp;"",""))</f>
        <v/>
      </c>
    </row>
    <row r="4235">
      <c r="R4235" s="20" t="str">
        <f>IF($B4235="","",IFERROR(IF(INDEX(Config!$D$9:$D$29,MATCH($B4235,Config!$B$9:$B$29,0))="Contrato",IF(INDEX(Config!$E$9:$E$29,MATCH($B4235,Config!$B$9:$B$29,0))="","",INDEX(Config!$E$9:$E$29,MATCH($B4235,Config!$B$9:$B$29,0))),""),""))</f>
        <v/>
      </c>
      <c r="AC4235" s="19" t="str">
        <f>IF($B4235="","",IFERROR(INDEX(Config!$D$9:$D$29,MATCH($B4235,Config!$B$9:$B$29,0))&amp;"",""))</f>
        <v/>
      </c>
    </row>
    <row r="4236">
      <c r="R4236" s="20" t="str">
        <f>IF($B4236="","",IFERROR(IF(INDEX(Config!$D$9:$D$29,MATCH($B4236,Config!$B$9:$B$29,0))="Contrato",IF(INDEX(Config!$E$9:$E$29,MATCH($B4236,Config!$B$9:$B$29,0))="","",INDEX(Config!$E$9:$E$29,MATCH($B4236,Config!$B$9:$B$29,0))),""),""))</f>
        <v/>
      </c>
      <c r="AC4236" s="19" t="str">
        <f>IF($B4236="","",IFERROR(INDEX(Config!$D$9:$D$29,MATCH($B4236,Config!$B$9:$B$29,0))&amp;"",""))</f>
        <v/>
      </c>
    </row>
    <row r="4237">
      <c r="R4237" s="20" t="str">
        <f>IF($B4237="","",IFERROR(IF(INDEX(Config!$D$9:$D$29,MATCH($B4237,Config!$B$9:$B$29,0))="Contrato",IF(INDEX(Config!$E$9:$E$29,MATCH($B4237,Config!$B$9:$B$29,0))="","",INDEX(Config!$E$9:$E$29,MATCH($B4237,Config!$B$9:$B$29,0))),""),""))</f>
        <v/>
      </c>
      <c r="AC4237" s="19" t="str">
        <f>IF($B4237="","",IFERROR(INDEX(Config!$D$9:$D$29,MATCH($B4237,Config!$B$9:$B$29,0))&amp;"",""))</f>
        <v/>
      </c>
    </row>
    <row r="4238">
      <c r="R4238" s="20" t="str">
        <f>IF($B4238="","",IFERROR(IF(INDEX(Config!$D$9:$D$29,MATCH($B4238,Config!$B$9:$B$29,0))="Contrato",IF(INDEX(Config!$E$9:$E$29,MATCH($B4238,Config!$B$9:$B$29,0))="","",INDEX(Config!$E$9:$E$29,MATCH($B4238,Config!$B$9:$B$29,0))),""),""))</f>
        <v/>
      </c>
      <c r="AC4238" s="19" t="str">
        <f>IF($B4238="","",IFERROR(INDEX(Config!$D$9:$D$29,MATCH($B4238,Config!$B$9:$B$29,0))&amp;"",""))</f>
        <v/>
      </c>
    </row>
    <row r="4239">
      <c r="R4239" s="20" t="str">
        <f>IF($B4239="","",IFERROR(IF(INDEX(Config!$D$9:$D$29,MATCH($B4239,Config!$B$9:$B$29,0))="Contrato",IF(INDEX(Config!$E$9:$E$29,MATCH($B4239,Config!$B$9:$B$29,0))="","",INDEX(Config!$E$9:$E$29,MATCH($B4239,Config!$B$9:$B$29,0))),""),""))</f>
        <v/>
      </c>
      <c r="AC4239" s="19" t="str">
        <f>IF($B4239="","",IFERROR(INDEX(Config!$D$9:$D$29,MATCH($B4239,Config!$B$9:$B$29,0))&amp;"",""))</f>
        <v/>
      </c>
    </row>
    <row r="4240">
      <c r="R4240" s="20" t="str">
        <f>IF($B4240="","",IFERROR(IF(INDEX(Config!$D$9:$D$29,MATCH($B4240,Config!$B$9:$B$29,0))="Contrato",IF(INDEX(Config!$E$9:$E$29,MATCH($B4240,Config!$B$9:$B$29,0))="","",INDEX(Config!$E$9:$E$29,MATCH($B4240,Config!$B$9:$B$29,0))),""),""))</f>
        <v/>
      </c>
      <c r="AC4240" s="19" t="str">
        <f>IF($B4240="","",IFERROR(INDEX(Config!$D$9:$D$29,MATCH($B4240,Config!$B$9:$B$29,0))&amp;"",""))</f>
        <v/>
      </c>
    </row>
    <row r="4241">
      <c r="R4241" s="20" t="str">
        <f>IF($B4241="","",IFERROR(IF(INDEX(Config!$D$9:$D$29,MATCH($B4241,Config!$B$9:$B$29,0))="Contrato",IF(INDEX(Config!$E$9:$E$29,MATCH($B4241,Config!$B$9:$B$29,0))="","",INDEX(Config!$E$9:$E$29,MATCH($B4241,Config!$B$9:$B$29,0))),""),""))</f>
        <v/>
      </c>
      <c r="AC4241" s="19" t="str">
        <f>IF($B4241="","",IFERROR(INDEX(Config!$D$9:$D$29,MATCH($B4241,Config!$B$9:$B$29,0))&amp;"",""))</f>
        <v/>
      </c>
    </row>
    <row r="4242">
      <c r="R4242" s="20" t="str">
        <f>IF($B4242="","",IFERROR(IF(INDEX(Config!$D$9:$D$29,MATCH($B4242,Config!$B$9:$B$29,0))="Contrato",IF(INDEX(Config!$E$9:$E$29,MATCH($B4242,Config!$B$9:$B$29,0))="","",INDEX(Config!$E$9:$E$29,MATCH($B4242,Config!$B$9:$B$29,0))),""),""))</f>
        <v/>
      </c>
      <c r="AC4242" s="19" t="str">
        <f>IF($B4242="","",IFERROR(INDEX(Config!$D$9:$D$29,MATCH($B4242,Config!$B$9:$B$29,0))&amp;"",""))</f>
        <v/>
      </c>
    </row>
    <row r="4243">
      <c r="R4243" s="20" t="str">
        <f>IF($B4243="","",IFERROR(IF(INDEX(Config!$D$9:$D$29,MATCH($B4243,Config!$B$9:$B$29,0))="Contrato",IF(INDEX(Config!$E$9:$E$29,MATCH($B4243,Config!$B$9:$B$29,0))="","",INDEX(Config!$E$9:$E$29,MATCH($B4243,Config!$B$9:$B$29,0))),""),""))</f>
        <v/>
      </c>
      <c r="AC4243" s="19" t="str">
        <f>IF($B4243="","",IFERROR(INDEX(Config!$D$9:$D$29,MATCH($B4243,Config!$B$9:$B$29,0))&amp;"",""))</f>
        <v/>
      </c>
    </row>
    <row r="4244">
      <c r="R4244" s="20" t="str">
        <f>IF($B4244="","",IFERROR(IF(INDEX(Config!$D$9:$D$29,MATCH($B4244,Config!$B$9:$B$29,0))="Contrato",IF(INDEX(Config!$E$9:$E$29,MATCH($B4244,Config!$B$9:$B$29,0))="","",INDEX(Config!$E$9:$E$29,MATCH($B4244,Config!$B$9:$B$29,0))),""),""))</f>
        <v/>
      </c>
      <c r="AC4244" s="19" t="str">
        <f>IF($B4244="","",IFERROR(INDEX(Config!$D$9:$D$29,MATCH($B4244,Config!$B$9:$B$29,0))&amp;"",""))</f>
        <v/>
      </c>
    </row>
    <row r="4245">
      <c r="R4245" s="20" t="str">
        <f>IF($B4245="","",IFERROR(IF(INDEX(Config!$D$9:$D$29,MATCH($B4245,Config!$B$9:$B$29,0))="Contrato",IF(INDEX(Config!$E$9:$E$29,MATCH($B4245,Config!$B$9:$B$29,0))="","",INDEX(Config!$E$9:$E$29,MATCH($B4245,Config!$B$9:$B$29,0))),""),""))</f>
        <v/>
      </c>
      <c r="AC4245" s="19" t="str">
        <f>IF($B4245="","",IFERROR(INDEX(Config!$D$9:$D$29,MATCH($B4245,Config!$B$9:$B$29,0))&amp;"",""))</f>
        <v/>
      </c>
    </row>
    <row r="4246">
      <c r="R4246" s="20" t="str">
        <f>IF($B4246="","",IFERROR(IF(INDEX(Config!$D$9:$D$29,MATCH($B4246,Config!$B$9:$B$29,0))="Contrato",IF(INDEX(Config!$E$9:$E$29,MATCH($B4246,Config!$B$9:$B$29,0))="","",INDEX(Config!$E$9:$E$29,MATCH($B4246,Config!$B$9:$B$29,0))),""),""))</f>
        <v/>
      </c>
      <c r="AC4246" s="19" t="str">
        <f>IF($B4246="","",IFERROR(INDEX(Config!$D$9:$D$29,MATCH($B4246,Config!$B$9:$B$29,0))&amp;"",""))</f>
        <v/>
      </c>
    </row>
    <row r="4247">
      <c r="R4247" s="20" t="str">
        <f>IF($B4247="","",IFERROR(IF(INDEX(Config!$D$9:$D$29,MATCH($B4247,Config!$B$9:$B$29,0))="Contrato",IF(INDEX(Config!$E$9:$E$29,MATCH($B4247,Config!$B$9:$B$29,0))="","",INDEX(Config!$E$9:$E$29,MATCH($B4247,Config!$B$9:$B$29,0))),""),""))</f>
        <v/>
      </c>
      <c r="AC4247" s="19" t="str">
        <f>IF($B4247="","",IFERROR(INDEX(Config!$D$9:$D$29,MATCH($B4247,Config!$B$9:$B$29,0))&amp;"",""))</f>
        <v/>
      </c>
    </row>
    <row r="4248">
      <c r="R4248" s="20" t="str">
        <f>IF($B4248="","",IFERROR(IF(INDEX(Config!$D$9:$D$29,MATCH($B4248,Config!$B$9:$B$29,0))="Contrato",IF(INDEX(Config!$E$9:$E$29,MATCH($B4248,Config!$B$9:$B$29,0))="","",INDEX(Config!$E$9:$E$29,MATCH($B4248,Config!$B$9:$B$29,0))),""),""))</f>
        <v/>
      </c>
      <c r="AC4248" s="19" t="str">
        <f>IF($B4248="","",IFERROR(INDEX(Config!$D$9:$D$29,MATCH($B4248,Config!$B$9:$B$29,0))&amp;"",""))</f>
        <v/>
      </c>
    </row>
    <row r="4249">
      <c r="R4249" s="20" t="str">
        <f>IF($B4249="","",IFERROR(IF(INDEX(Config!$D$9:$D$29,MATCH($B4249,Config!$B$9:$B$29,0))="Contrato",IF(INDEX(Config!$E$9:$E$29,MATCH($B4249,Config!$B$9:$B$29,0))="","",INDEX(Config!$E$9:$E$29,MATCH($B4249,Config!$B$9:$B$29,0))),""),""))</f>
        <v/>
      </c>
      <c r="AC4249" s="19" t="str">
        <f>IF($B4249="","",IFERROR(INDEX(Config!$D$9:$D$29,MATCH($B4249,Config!$B$9:$B$29,0))&amp;"",""))</f>
        <v/>
      </c>
    </row>
    <row r="4250">
      <c r="R4250" s="20" t="str">
        <f>IF($B4250="","",IFERROR(IF(INDEX(Config!$D$9:$D$29,MATCH($B4250,Config!$B$9:$B$29,0))="Contrato",IF(INDEX(Config!$E$9:$E$29,MATCH($B4250,Config!$B$9:$B$29,0))="","",INDEX(Config!$E$9:$E$29,MATCH($B4250,Config!$B$9:$B$29,0))),""),""))</f>
        <v/>
      </c>
      <c r="AC4250" s="19" t="str">
        <f>IF($B4250="","",IFERROR(INDEX(Config!$D$9:$D$29,MATCH($B4250,Config!$B$9:$B$29,0))&amp;"",""))</f>
        <v/>
      </c>
    </row>
    <row r="4251">
      <c r="R4251" s="20" t="str">
        <f>IF($B4251="","",IFERROR(IF(INDEX(Config!$D$9:$D$29,MATCH($B4251,Config!$B$9:$B$29,0))="Contrato",IF(INDEX(Config!$E$9:$E$29,MATCH($B4251,Config!$B$9:$B$29,0))="","",INDEX(Config!$E$9:$E$29,MATCH($B4251,Config!$B$9:$B$29,0))),""),""))</f>
        <v/>
      </c>
      <c r="AC4251" s="19" t="str">
        <f>IF($B4251="","",IFERROR(INDEX(Config!$D$9:$D$29,MATCH($B4251,Config!$B$9:$B$29,0))&amp;"",""))</f>
        <v/>
      </c>
    </row>
    <row r="4252">
      <c r="R4252" s="20" t="str">
        <f>IF($B4252="","",IFERROR(IF(INDEX(Config!$D$9:$D$29,MATCH($B4252,Config!$B$9:$B$29,0))="Contrato",IF(INDEX(Config!$E$9:$E$29,MATCH($B4252,Config!$B$9:$B$29,0))="","",INDEX(Config!$E$9:$E$29,MATCH($B4252,Config!$B$9:$B$29,0))),""),""))</f>
        <v/>
      </c>
      <c r="AC4252" s="19" t="str">
        <f>IF($B4252="","",IFERROR(INDEX(Config!$D$9:$D$29,MATCH($B4252,Config!$B$9:$B$29,0))&amp;"",""))</f>
        <v/>
      </c>
    </row>
    <row r="4253">
      <c r="R4253" s="20" t="str">
        <f>IF($B4253="","",IFERROR(IF(INDEX(Config!$D$9:$D$29,MATCH($B4253,Config!$B$9:$B$29,0))="Contrato",IF(INDEX(Config!$E$9:$E$29,MATCH($B4253,Config!$B$9:$B$29,0))="","",INDEX(Config!$E$9:$E$29,MATCH($B4253,Config!$B$9:$B$29,0))),""),""))</f>
        <v/>
      </c>
      <c r="AC4253" s="19" t="str">
        <f>IF($B4253="","",IFERROR(INDEX(Config!$D$9:$D$29,MATCH($B4253,Config!$B$9:$B$29,0))&amp;"",""))</f>
        <v/>
      </c>
    </row>
    <row r="4254">
      <c r="R4254" s="20" t="str">
        <f>IF($B4254="","",IFERROR(IF(INDEX(Config!$D$9:$D$29,MATCH($B4254,Config!$B$9:$B$29,0))="Contrato",IF(INDEX(Config!$E$9:$E$29,MATCH($B4254,Config!$B$9:$B$29,0))="","",INDEX(Config!$E$9:$E$29,MATCH($B4254,Config!$B$9:$B$29,0))),""),""))</f>
        <v/>
      </c>
      <c r="AC4254" s="19" t="str">
        <f>IF($B4254="","",IFERROR(INDEX(Config!$D$9:$D$29,MATCH($B4254,Config!$B$9:$B$29,0))&amp;"",""))</f>
        <v/>
      </c>
    </row>
    <row r="4255">
      <c r="R4255" s="20" t="str">
        <f>IF($B4255="","",IFERROR(IF(INDEX(Config!$D$9:$D$29,MATCH($B4255,Config!$B$9:$B$29,0))="Contrato",IF(INDEX(Config!$E$9:$E$29,MATCH($B4255,Config!$B$9:$B$29,0))="","",INDEX(Config!$E$9:$E$29,MATCH($B4255,Config!$B$9:$B$29,0))),""),""))</f>
        <v/>
      </c>
      <c r="AC4255" s="19" t="str">
        <f>IF($B4255="","",IFERROR(INDEX(Config!$D$9:$D$29,MATCH($B4255,Config!$B$9:$B$29,0))&amp;"",""))</f>
        <v/>
      </c>
    </row>
    <row r="4256">
      <c r="R4256" s="20" t="str">
        <f>IF($B4256="","",IFERROR(IF(INDEX(Config!$D$9:$D$29,MATCH($B4256,Config!$B$9:$B$29,0))="Contrato",IF(INDEX(Config!$E$9:$E$29,MATCH($B4256,Config!$B$9:$B$29,0))="","",INDEX(Config!$E$9:$E$29,MATCH($B4256,Config!$B$9:$B$29,0))),""),""))</f>
        <v/>
      </c>
      <c r="AC4256" s="19" t="str">
        <f>IF($B4256="","",IFERROR(INDEX(Config!$D$9:$D$29,MATCH($B4256,Config!$B$9:$B$29,0))&amp;"",""))</f>
        <v/>
      </c>
    </row>
    <row r="4257">
      <c r="R4257" s="20" t="str">
        <f>IF($B4257="","",IFERROR(IF(INDEX(Config!$D$9:$D$29,MATCH($B4257,Config!$B$9:$B$29,0))="Contrato",IF(INDEX(Config!$E$9:$E$29,MATCH($B4257,Config!$B$9:$B$29,0))="","",INDEX(Config!$E$9:$E$29,MATCH($B4257,Config!$B$9:$B$29,0))),""),""))</f>
        <v/>
      </c>
      <c r="AC4257" s="19" t="str">
        <f>IF($B4257="","",IFERROR(INDEX(Config!$D$9:$D$29,MATCH($B4257,Config!$B$9:$B$29,0))&amp;"",""))</f>
        <v/>
      </c>
    </row>
    <row r="4258">
      <c r="R4258" s="20" t="str">
        <f>IF($B4258="","",IFERROR(IF(INDEX(Config!$D$9:$D$29,MATCH($B4258,Config!$B$9:$B$29,0))="Contrato",IF(INDEX(Config!$E$9:$E$29,MATCH($B4258,Config!$B$9:$B$29,0))="","",INDEX(Config!$E$9:$E$29,MATCH($B4258,Config!$B$9:$B$29,0))),""),""))</f>
        <v/>
      </c>
      <c r="AC4258" s="19" t="str">
        <f>IF($B4258="","",IFERROR(INDEX(Config!$D$9:$D$29,MATCH($B4258,Config!$B$9:$B$29,0))&amp;"",""))</f>
        <v/>
      </c>
    </row>
    <row r="4259">
      <c r="R4259" s="20" t="str">
        <f>IF($B4259="","",IFERROR(IF(INDEX(Config!$D$9:$D$29,MATCH($B4259,Config!$B$9:$B$29,0))="Contrato",IF(INDEX(Config!$E$9:$E$29,MATCH($B4259,Config!$B$9:$B$29,0))="","",INDEX(Config!$E$9:$E$29,MATCH($B4259,Config!$B$9:$B$29,0))),""),""))</f>
        <v/>
      </c>
      <c r="AC4259" s="19" t="str">
        <f>IF($B4259="","",IFERROR(INDEX(Config!$D$9:$D$29,MATCH($B4259,Config!$B$9:$B$29,0))&amp;"",""))</f>
        <v/>
      </c>
    </row>
    <row r="4260">
      <c r="R4260" s="20" t="str">
        <f>IF($B4260="","",IFERROR(IF(INDEX(Config!$D$9:$D$29,MATCH($B4260,Config!$B$9:$B$29,0))="Contrato",IF(INDEX(Config!$E$9:$E$29,MATCH($B4260,Config!$B$9:$B$29,0))="","",INDEX(Config!$E$9:$E$29,MATCH($B4260,Config!$B$9:$B$29,0))),""),""))</f>
        <v/>
      </c>
      <c r="AC4260" s="19" t="str">
        <f>IF($B4260="","",IFERROR(INDEX(Config!$D$9:$D$29,MATCH($B4260,Config!$B$9:$B$29,0))&amp;"",""))</f>
        <v/>
      </c>
    </row>
    <row r="4261">
      <c r="R4261" s="20" t="str">
        <f>IF($B4261="","",IFERROR(IF(INDEX(Config!$D$9:$D$29,MATCH($B4261,Config!$B$9:$B$29,0))="Contrato",IF(INDEX(Config!$E$9:$E$29,MATCH($B4261,Config!$B$9:$B$29,0))="","",INDEX(Config!$E$9:$E$29,MATCH($B4261,Config!$B$9:$B$29,0))),""),""))</f>
        <v/>
      </c>
      <c r="AC4261" s="19" t="str">
        <f>IF($B4261="","",IFERROR(INDEX(Config!$D$9:$D$29,MATCH($B4261,Config!$B$9:$B$29,0))&amp;"",""))</f>
        <v/>
      </c>
    </row>
    <row r="4262">
      <c r="R4262" s="20" t="str">
        <f>IF($B4262="","",IFERROR(IF(INDEX(Config!$D$9:$D$29,MATCH($B4262,Config!$B$9:$B$29,0))="Contrato",IF(INDEX(Config!$E$9:$E$29,MATCH($B4262,Config!$B$9:$B$29,0))="","",INDEX(Config!$E$9:$E$29,MATCH($B4262,Config!$B$9:$B$29,0))),""),""))</f>
        <v/>
      </c>
      <c r="AC4262" s="19" t="str">
        <f>IF($B4262="","",IFERROR(INDEX(Config!$D$9:$D$29,MATCH($B4262,Config!$B$9:$B$29,0))&amp;"",""))</f>
        <v/>
      </c>
    </row>
    <row r="4263">
      <c r="R4263" s="20" t="str">
        <f>IF($B4263="","",IFERROR(IF(INDEX(Config!$D$9:$D$29,MATCH($B4263,Config!$B$9:$B$29,0))="Contrato",IF(INDEX(Config!$E$9:$E$29,MATCH($B4263,Config!$B$9:$B$29,0))="","",INDEX(Config!$E$9:$E$29,MATCH($B4263,Config!$B$9:$B$29,0))),""),""))</f>
        <v/>
      </c>
      <c r="AC4263" s="19" t="str">
        <f>IF($B4263="","",IFERROR(INDEX(Config!$D$9:$D$29,MATCH($B4263,Config!$B$9:$B$29,0))&amp;"",""))</f>
        <v/>
      </c>
    </row>
    <row r="4264">
      <c r="R4264" s="20" t="str">
        <f>IF($B4264="","",IFERROR(IF(INDEX(Config!$D$9:$D$29,MATCH($B4264,Config!$B$9:$B$29,0))="Contrato",IF(INDEX(Config!$E$9:$E$29,MATCH($B4264,Config!$B$9:$B$29,0))="","",INDEX(Config!$E$9:$E$29,MATCH($B4264,Config!$B$9:$B$29,0))),""),""))</f>
        <v/>
      </c>
      <c r="AC4264" s="19" t="str">
        <f>IF($B4264="","",IFERROR(INDEX(Config!$D$9:$D$29,MATCH($B4264,Config!$B$9:$B$29,0))&amp;"",""))</f>
        <v/>
      </c>
    </row>
    <row r="4265">
      <c r="R4265" s="20" t="str">
        <f>IF($B4265="","",IFERROR(IF(INDEX(Config!$D$9:$D$29,MATCH($B4265,Config!$B$9:$B$29,0))="Contrato",IF(INDEX(Config!$E$9:$E$29,MATCH($B4265,Config!$B$9:$B$29,0))="","",INDEX(Config!$E$9:$E$29,MATCH($B4265,Config!$B$9:$B$29,0))),""),""))</f>
        <v/>
      </c>
      <c r="AC4265" s="19" t="str">
        <f>IF($B4265="","",IFERROR(INDEX(Config!$D$9:$D$29,MATCH($B4265,Config!$B$9:$B$29,0))&amp;"",""))</f>
        <v/>
      </c>
    </row>
    <row r="4266">
      <c r="R4266" s="20" t="str">
        <f>IF($B4266="","",IFERROR(IF(INDEX(Config!$D$9:$D$29,MATCH($B4266,Config!$B$9:$B$29,0))="Contrato",IF(INDEX(Config!$E$9:$E$29,MATCH($B4266,Config!$B$9:$B$29,0))="","",INDEX(Config!$E$9:$E$29,MATCH($B4266,Config!$B$9:$B$29,0))),""),""))</f>
        <v/>
      </c>
      <c r="AC4266" s="19" t="str">
        <f>IF($B4266="","",IFERROR(INDEX(Config!$D$9:$D$29,MATCH($B4266,Config!$B$9:$B$29,0))&amp;"",""))</f>
        <v/>
      </c>
    </row>
    <row r="4267">
      <c r="R4267" s="20" t="str">
        <f>IF($B4267="","",IFERROR(IF(INDEX(Config!$D$9:$D$29,MATCH($B4267,Config!$B$9:$B$29,0))="Contrato",IF(INDEX(Config!$E$9:$E$29,MATCH($B4267,Config!$B$9:$B$29,0))="","",INDEX(Config!$E$9:$E$29,MATCH($B4267,Config!$B$9:$B$29,0))),""),""))</f>
        <v/>
      </c>
      <c r="AC4267" s="19" t="str">
        <f>IF($B4267="","",IFERROR(INDEX(Config!$D$9:$D$29,MATCH($B4267,Config!$B$9:$B$29,0))&amp;"",""))</f>
        <v/>
      </c>
    </row>
    <row r="4268">
      <c r="R4268" s="20" t="str">
        <f>IF($B4268="","",IFERROR(IF(INDEX(Config!$D$9:$D$29,MATCH($B4268,Config!$B$9:$B$29,0))="Contrato",IF(INDEX(Config!$E$9:$E$29,MATCH($B4268,Config!$B$9:$B$29,0))="","",INDEX(Config!$E$9:$E$29,MATCH($B4268,Config!$B$9:$B$29,0))),""),""))</f>
        <v/>
      </c>
      <c r="AC4268" s="19" t="str">
        <f>IF($B4268="","",IFERROR(INDEX(Config!$D$9:$D$29,MATCH($B4268,Config!$B$9:$B$29,0))&amp;"",""))</f>
        <v/>
      </c>
    </row>
    <row r="4269">
      <c r="R4269" s="20" t="str">
        <f>IF($B4269="","",IFERROR(IF(INDEX(Config!$D$9:$D$29,MATCH($B4269,Config!$B$9:$B$29,0))="Contrato",IF(INDEX(Config!$E$9:$E$29,MATCH($B4269,Config!$B$9:$B$29,0))="","",INDEX(Config!$E$9:$E$29,MATCH($B4269,Config!$B$9:$B$29,0))),""),""))</f>
        <v/>
      </c>
      <c r="AC4269" s="19" t="str">
        <f>IF($B4269="","",IFERROR(INDEX(Config!$D$9:$D$29,MATCH($B4269,Config!$B$9:$B$29,0))&amp;"",""))</f>
        <v/>
      </c>
    </row>
    <row r="4270">
      <c r="R4270" s="20" t="str">
        <f>IF($B4270="","",IFERROR(IF(INDEX(Config!$D$9:$D$29,MATCH($B4270,Config!$B$9:$B$29,0))="Contrato",IF(INDEX(Config!$E$9:$E$29,MATCH($B4270,Config!$B$9:$B$29,0))="","",INDEX(Config!$E$9:$E$29,MATCH($B4270,Config!$B$9:$B$29,0))),""),""))</f>
        <v/>
      </c>
      <c r="AC4270" s="19" t="str">
        <f>IF($B4270="","",IFERROR(INDEX(Config!$D$9:$D$29,MATCH($B4270,Config!$B$9:$B$29,0))&amp;"",""))</f>
        <v/>
      </c>
    </row>
    <row r="4271">
      <c r="R4271" s="20" t="str">
        <f>IF($B4271="","",IFERROR(IF(INDEX(Config!$D$9:$D$29,MATCH($B4271,Config!$B$9:$B$29,0))="Contrato",IF(INDEX(Config!$E$9:$E$29,MATCH($B4271,Config!$B$9:$B$29,0))="","",INDEX(Config!$E$9:$E$29,MATCH($B4271,Config!$B$9:$B$29,0))),""),""))</f>
        <v/>
      </c>
      <c r="AC4271" s="19" t="str">
        <f>IF($B4271="","",IFERROR(INDEX(Config!$D$9:$D$29,MATCH($B4271,Config!$B$9:$B$29,0))&amp;"",""))</f>
        <v/>
      </c>
    </row>
    <row r="4272">
      <c r="R4272" s="20" t="str">
        <f>IF($B4272="","",IFERROR(IF(INDEX(Config!$D$9:$D$29,MATCH($B4272,Config!$B$9:$B$29,0))="Contrato",IF(INDEX(Config!$E$9:$E$29,MATCH($B4272,Config!$B$9:$B$29,0))="","",INDEX(Config!$E$9:$E$29,MATCH($B4272,Config!$B$9:$B$29,0))),""),""))</f>
        <v/>
      </c>
      <c r="AC4272" s="19" t="str">
        <f>IF($B4272="","",IFERROR(INDEX(Config!$D$9:$D$29,MATCH($B4272,Config!$B$9:$B$29,0))&amp;"",""))</f>
        <v/>
      </c>
    </row>
    <row r="4273">
      <c r="R4273" s="20" t="str">
        <f>IF($B4273="","",IFERROR(IF(INDEX(Config!$D$9:$D$29,MATCH($B4273,Config!$B$9:$B$29,0))="Contrato",IF(INDEX(Config!$E$9:$E$29,MATCH($B4273,Config!$B$9:$B$29,0))="","",INDEX(Config!$E$9:$E$29,MATCH($B4273,Config!$B$9:$B$29,0))),""),""))</f>
        <v/>
      </c>
      <c r="AC4273" s="19" t="str">
        <f>IF($B4273="","",IFERROR(INDEX(Config!$D$9:$D$29,MATCH($B4273,Config!$B$9:$B$29,0))&amp;"",""))</f>
        <v/>
      </c>
    </row>
    <row r="4274">
      <c r="R4274" s="20" t="str">
        <f>IF($B4274="","",IFERROR(IF(INDEX(Config!$D$9:$D$29,MATCH($B4274,Config!$B$9:$B$29,0))="Contrato",IF(INDEX(Config!$E$9:$E$29,MATCH($B4274,Config!$B$9:$B$29,0))="","",INDEX(Config!$E$9:$E$29,MATCH($B4274,Config!$B$9:$B$29,0))),""),""))</f>
        <v/>
      </c>
      <c r="AC4274" s="19" t="str">
        <f>IF($B4274="","",IFERROR(INDEX(Config!$D$9:$D$29,MATCH($B4274,Config!$B$9:$B$29,0))&amp;"",""))</f>
        <v/>
      </c>
    </row>
    <row r="4275">
      <c r="R4275" s="20" t="str">
        <f>IF($B4275="","",IFERROR(IF(INDEX(Config!$D$9:$D$29,MATCH($B4275,Config!$B$9:$B$29,0))="Contrato",IF(INDEX(Config!$E$9:$E$29,MATCH($B4275,Config!$B$9:$B$29,0))="","",INDEX(Config!$E$9:$E$29,MATCH($B4275,Config!$B$9:$B$29,0))),""),""))</f>
        <v/>
      </c>
      <c r="AC4275" s="19" t="str">
        <f>IF($B4275="","",IFERROR(INDEX(Config!$D$9:$D$29,MATCH($B4275,Config!$B$9:$B$29,0))&amp;"",""))</f>
        <v/>
      </c>
    </row>
    <row r="4276">
      <c r="R4276" s="20" t="str">
        <f>IF($B4276="","",IFERROR(IF(INDEX(Config!$D$9:$D$29,MATCH($B4276,Config!$B$9:$B$29,0))="Contrato",IF(INDEX(Config!$E$9:$E$29,MATCH($B4276,Config!$B$9:$B$29,0))="","",INDEX(Config!$E$9:$E$29,MATCH($B4276,Config!$B$9:$B$29,0))),""),""))</f>
        <v/>
      </c>
      <c r="AC4276" s="19" t="str">
        <f>IF($B4276="","",IFERROR(INDEX(Config!$D$9:$D$29,MATCH($B4276,Config!$B$9:$B$29,0))&amp;"",""))</f>
        <v/>
      </c>
    </row>
    <row r="4277">
      <c r="R4277" s="20" t="str">
        <f>IF($B4277="","",IFERROR(IF(INDEX(Config!$D$9:$D$29,MATCH($B4277,Config!$B$9:$B$29,0))="Contrato",IF(INDEX(Config!$E$9:$E$29,MATCH($B4277,Config!$B$9:$B$29,0))="","",INDEX(Config!$E$9:$E$29,MATCH($B4277,Config!$B$9:$B$29,0))),""),""))</f>
        <v/>
      </c>
      <c r="AC4277" s="19" t="str">
        <f>IF($B4277="","",IFERROR(INDEX(Config!$D$9:$D$29,MATCH($B4277,Config!$B$9:$B$29,0))&amp;"",""))</f>
        <v/>
      </c>
    </row>
    <row r="4278">
      <c r="R4278" s="20" t="str">
        <f>IF($B4278="","",IFERROR(IF(INDEX(Config!$D$9:$D$29,MATCH($B4278,Config!$B$9:$B$29,0))="Contrato",IF(INDEX(Config!$E$9:$E$29,MATCH($B4278,Config!$B$9:$B$29,0))="","",INDEX(Config!$E$9:$E$29,MATCH($B4278,Config!$B$9:$B$29,0))),""),""))</f>
        <v/>
      </c>
      <c r="AC4278" s="19" t="str">
        <f>IF($B4278="","",IFERROR(INDEX(Config!$D$9:$D$29,MATCH($B4278,Config!$B$9:$B$29,0))&amp;"",""))</f>
        <v/>
      </c>
    </row>
    <row r="4279">
      <c r="R4279" s="20" t="str">
        <f>IF($B4279="","",IFERROR(IF(INDEX(Config!$D$9:$D$29,MATCH($B4279,Config!$B$9:$B$29,0))="Contrato",IF(INDEX(Config!$E$9:$E$29,MATCH($B4279,Config!$B$9:$B$29,0))="","",INDEX(Config!$E$9:$E$29,MATCH($B4279,Config!$B$9:$B$29,0))),""),""))</f>
        <v/>
      </c>
      <c r="AC4279" s="19" t="str">
        <f>IF($B4279="","",IFERROR(INDEX(Config!$D$9:$D$29,MATCH($B4279,Config!$B$9:$B$29,0))&amp;"",""))</f>
        <v/>
      </c>
    </row>
    <row r="4280">
      <c r="R4280" s="20" t="str">
        <f>IF($B4280="","",IFERROR(IF(INDEX(Config!$D$9:$D$29,MATCH($B4280,Config!$B$9:$B$29,0))="Contrato",IF(INDEX(Config!$E$9:$E$29,MATCH($B4280,Config!$B$9:$B$29,0))="","",INDEX(Config!$E$9:$E$29,MATCH($B4280,Config!$B$9:$B$29,0))),""),""))</f>
        <v/>
      </c>
      <c r="AC4280" s="19" t="str">
        <f>IF($B4280="","",IFERROR(INDEX(Config!$D$9:$D$29,MATCH($B4280,Config!$B$9:$B$29,0))&amp;"",""))</f>
        <v/>
      </c>
    </row>
    <row r="4281">
      <c r="R4281" s="20" t="str">
        <f>IF($B4281="","",IFERROR(IF(INDEX(Config!$D$9:$D$29,MATCH($B4281,Config!$B$9:$B$29,0))="Contrato",IF(INDEX(Config!$E$9:$E$29,MATCH($B4281,Config!$B$9:$B$29,0))="","",INDEX(Config!$E$9:$E$29,MATCH($B4281,Config!$B$9:$B$29,0))),""),""))</f>
        <v/>
      </c>
      <c r="AC4281" s="19" t="str">
        <f>IF($B4281="","",IFERROR(INDEX(Config!$D$9:$D$29,MATCH($B4281,Config!$B$9:$B$29,0))&amp;"",""))</f>
        <v/>
      </c>
    </row>
    <row r="4282">
      <c r="R4282" s="20" t="str">
        <f>IF($B4282="","",IFERROR(IF(INDEX(Config!$D$9:$D$29,MATCH($B4282,Config!$B$9:$B$29,0))="Contrato",IF(INDEX(Config!$E$9:$E$29,MATCH($B4282,Config!$B$9:$B$29,0))="","",INDEX(Config!$E$9:$E$29,MATCH($B4282,Config!$B$9:$B$29,0))),""),""))</f>
        <v/>
      </c>
      <c r="AC4282" s="19" t="str">
        <f>IF($B4282="","",IFERROR(INDEX(Config!$D$9:$D$29,MATCH($B4282,Config!$B$9:$B$29,0))&amp;"",""))</f>
        <v/>
      </c>
    </row>
    <row r="4283">
      <c r="R4283" s="20" t="str">
        <f>IF($B4283="","",IFERROR(IF(INDEX(Config!$D$9:$D$29,MATCH($B4283,Config!$B$9:$B$29,0))="Contrato",IF(INDEX(Config!$E$9:$E$29,MATCH($B4283,Config!$B$9:$B$29,0))="","",INDEX(Config!$E$9:$E$29,MATCH($B4283,Config!$B$9:$B$29,0))),""),""))</f>
        <v/>
      </c>
      <c r="AC4283" s="19" t="str">
        <f>IF($B4283="","",IFERROR(INDEX(Config!$D$9:$D$29,MATCH($B4283,Config!$B$9:$B$29,0))&amp;"",""))</f>
        <v/>
      </c>
    </row>
    <row r="4284">
      <c r="R4284" s="20" t="str">
        <f>IF($B4284="","",IFERROR(IF(INDEX(Config!$D$9:$D$29,MATCH($B4284,Config!$B$9:$B$29,0))="Contrato",IF(INDEX(Config!$E$9:$E$29,MATCH($B4284,Config!$B$9:$B$29,0))="","",INDEX(Config!$E$9:$E$29,MATCH($B4284,Config!$B$9:$B$29,0))),""),""))</f>
        <v/>
      </c>
      <c r="AC4284" s="19" t="str">
        <f>IF($B4284="","",IFERROR(INDEX(Config!$D$9:$D$29,MATCH($B4284,Config!$B$9:$B$29,0))&amp;"",""))</f>
        <v/>
      </c>
    </row>
    <row r="4285">
      <c r="R4285" s="20" t="str">
        <f>IF($B4285="","",IFERROR(IF(INDEX(Config!$D$9:$D$29,MATCH($B4285,Config!$B$9:$B$29,0))="Contrato",IF(INDEX(Config!$E$9:$E$29,MATCH($B4285,Config!$B$9:$B$29,0))="","",INDEX(Config!$E$9:$E$29,MATCH($B4285,Config!$B$9:$B$29,0))),""),""))</f>
        <v/>
      </c>
      <c r="AC4285" s="19" t="str">
        <f>IF($B4285="","",IFERROR(INDEX(Config!$D$9:$D$29,MATCH($B4285,Config!$B$9:$B$29,0))&amp;"",""))</f>
        <v/>
      </c>
    </row>
    <row r="4286">
      <c r="R4286" s="20" t="str">
        <f>IF($B4286="","",IFERROR(IF(INDEX(Config!$D$9:$D$29,MATCH($B4286,Config!$B$9:$B$29,0))="Contrato",IF(INDEX(Config!$E$9:$E$29,MATCH($B4286,Config!$B$9:$B$29,0))="","",INDEX(Config!$E$9:$E$29,MATCH($B4286,Config!$B$9:$B$29,0))),""),""))</f>
        <v/>
      </c>
      <c r="AC4286" s="19" t="str">
        <f>IF($B4286="","",IFERROR(INDEX(Config!$D$9:$D$29,MATCH($B4286,Config!$B$9:$B$29,0))&amp;"",""))</f>
        <v/>
      </c>
    </row>
    <row r="4287">
      <c r="R4287" s="20" t="str">
        <f>IF($B4287="","",IFERROR(IF(INDEX(Config!$D$9:$D$29,MATCH($B4287,Config!$B$9:$B$29,0))="Contrato",IF(INDEX(Config!$E$9:$E$29,MATCH($B4287,Config!$B$9:$B$29,0))="","",INDEX(Config!$E$9:$E$29,MATCH($B4287,Config!$B$9:$B$29,0))),""),""))</f>
        <v/>
      </c>
      <c r="AC4287" s="19" t="str">
        <f>IF($B4287="","",IFERROR(INDEX(Config!$D$9:$D$29,MATCH($B4287,Config!$B$9:$B$29,0))&amp;"",""))</f>
        <v/>
      </c>
    </row>
    <row r="4288">
      <c r="R4288" s="20" t="str">
        <f>IF($B4288="","",IFERROR(IF(INDEX(Config!$D$9:$D$29,MATCH($B4288,Config!$B$9:$B$29,0))="Contrato",IF(INDEX(Config!$E$9:$E$29,MATCH($B4288,Config!$B$9:$B$29,0))="","",INDEX(Config!$E$9:$E$29,MATCH($B4288,Config!$B$9:$B$29,0))),""),""))</f>
        <v/>
      </c>
      <c r="AC4288" s="19" t="str">
        <f>IF($B4288="","",IFERROR(INDEX(Config!$D$9:$D$29,MATCH($B4288,Config!$B$9:$B$29,0))&amp;"",""))</f>
        <v/>
      </c>
    </row>
    <row r="4289">
      <c r="R4289" s="20" t="str">
        <f>IF($B4289="","",IFERROR(IF(INDEX(Config!$D$9:$D$29,MATCH($B4289,Config!$B$9:$B$29,0))="Contrato",IF(INDEX(Config!$E$9:$E$29,MATCH($B4289,Config!$B$9:$B$29,0))="","",INDEX(Config!$E$9:$E$29,MATCH($B4289,Config!$B$9:$B$29,0))),""),""))</f>
        <v/>
      </c>
      <c r="AC4289" s="19" t="str">
        <f>IF($B4289="","",IFERROR(INDEX(Config!$D$9:$D$29,MATCH($B4289,Config!$B$9:$B$29,0))&amp;"",""))</f>
        <v/>
      </c>
    </row>
    <row r="4290">
      <c r="R4290" s="20" t="str">
        <f>IF($B4290="","",IFERROR(IF(INDEX(Config!$D$9:$D$29,MATCH($B4290,Config!$B$9:$B$29,0))="Contrato",IF(INDEX(Config!$E$9:$E$29,MATCH($B4290,Config!$B$9:$B$29,0))="","",INDEX(Config!$E$9:$E$29,MATCH($B4290,Config!$B$9:$B$29,0))),""),""))</f>
        <v/>
      </c>
      <c r="AC4290" s="19" t="str">
        <f>IF($B4290="","",IFERROR(INDEX(Config!$D$9:$D$29,MATCH($B4290,Config!$B$9:$B$29,0))&amp;"",""))</f>
        <v/>
      </c>
    </row>
    <row r="4291">
      <c r="R4291" s="20" t="str">
        <f>IF($B4291="","",IFERROR(IF(INDEX(Config!$D$9:$D$29,MATCH($B4291,Config!$B$9:$B$29,0))="Contrato",IF(INDEX(Config!$E$9:$E$29,MATCH($B4291,Config!$B$9:$B$29,0))="","",INDEX(Config!$E$9:$E$29,MATCH($B4291,Config!$B$9:$B$29,0))),""),""))</f>
        <v/>
      </c>
      <c r="AC4291" s="19" t="str">
        <f>IF($B4291="","",IFERROR(INDEX(Config!$D$9:$D$29,MATCH($B4291,Config!$B$9:$B$29,0))&amp;"",""))</f>
        <v/>
      </c>
    </row>
    <row r="4292">
      <c r="R4292" s="20" t="str">
        <f>IF($B4292="","",IFERROR(IF(INDEX(Config!$D$9:$D$29,MATCH($B4292,Config!$B$9:$B$29,0))="Contrato",IF(INDEX(Config!$E$9:$E$29,MATCH($B4292,Config!$B$9:$B$29,0))="","",INDEX(Config!$E$9:$E$29,MATCH($B4292,Config!$B$9:$B$29,0))),""),""))</f>
        <v/>
      </c>
      <c r="AC4292" s="19" t="str">
        <f>IF($B4292="","",IFERROR(INDEX(Config!$D$9:$D$29,MATCH($B4292,Config!$B$9:$B$29,0))&amp;"",""))</f>
        <v/>
      </c>
    </row>
    <row r="4293">
      <c r="R4293" s="20" t="str">
        <f>IF($B4293="","",IFERROR(IF(INDEX(Config!$D$9:$D$29,MATCH($B4293,Config!$B$9:$B$29,0))="Contrato",IF(INDEX(Config!$E$9:$E$29,MATCH($B4293,Config!$B$9:$B$29,0))="","",INDEX(Config!$E$9:$E$29,MATCH($B4293,Config!$B$9:$B$29,0))),""),""))</f>
        <v/>
      </c>
      <c r="AC4293" s="19" t="str">
        <f>IF($B4293="","",IFERROR(INDEX(Config!$D$9:$D$29,MATCH($B4293,Config!$B$9:$B$29,0))&amp;"",""))</f>
        <v/>
      </c>
    </row>
    <row r="4294">
      <c r="R4294" s="20" t="str">
        <f>IF($B4294="","",IFERROR(IF(INDEX(Config!$D$9:$D$29,MATCH($B4294,Config!$B$9:$B$29,0))="Contrato",IF(INDEX(Config!$E$9:$E$29,MATCH($B4294,Config!$B$9:$B$29,0))="","",INDEX(Config!$E$9:$E$29,MATCH($B4294,Config!$B$9:$B$29,0))),""),""))</f>
        <v/>
      </c>
      <c r="AC4294" s="19" t="str">
        <f>IF($B4294="","",IFERROR(INDEX(Config!$D$9:$D$29,MATCH($B4294,Config!$B$9:$B$29,0))&amp;"",""))</f>
        <v/>
      </c>
    </row>
    <row r="4295">
      <c r="R4295" s="20" t="str">
        <f>IF($B4295="","",IFERROR(IF(INDEX(Config!$D$9:$D$29,MATCH($B4295,Config!$B$9:$B$29,0))="Contrato",IF(INDEX(Config!$E$9:$E$29,MATCH($B4295,Config!$B$9:$B$29,0))="","",INDEX(Config!$E$9:$E$29,MATCH($B4295,Config!$B$9:$B$29,0))),""),""))</f>
        <v/>
      </c>
      <c r="AC4295" s="19" t="str">
        <f>IF($B4295="","",IFERROR(INDEX(Config!$D$9:$D$29,MATCH($B4295,Config!$B$9:$B$29,0))&amp;"",""))</f>
        <v/>
      </c>
    </row>
    <row r="4296">
      <c r="R4296" s="20" t="str">
        <f>IF($B4296="","",IFERROR(IF(INDEX(Config!$D$9:$D$29,MATCH($B4296,Config!$B$9:$B$29,0))="Contrato",IF(INDEX(Config!$E$9:$E$29,MATCH($B4296,Config!$B$9:$B$29,0))="","",INDEX(Config!$E$9:$E$29,MATCH($B4296,Config!$B$9:$B$29,0))),""),""))</f>
        <v/>
      </c>
      <c r="AC4296" s="19" t="str">
        <f>IF($B4296="","",IFERROR(INDEX(Config!$D$9:$D$29,MATCH($B4296,Config!$B$9:$B$29,0))&amp;"",""))</f>
        <v/>
      </c>
    </row>
    <row r="4297">
      <c r="R4297" s="20" t="str">
        <f>IF($B4297="","",IFERROR(IF(INDEX(Config!$D$9:$D$29,MATCH($B4297,Config!$B$9:$B$29,0))="Contrato",IF(INDEX(Config!$E$9:$E$29,MATCH($B4297,Config!$B$9:$B$29,0))="","",INDEX(Config!$E$9:$E$29,MATCH($B4297,Config!$B$9:$B$29,0))),""),""))</f>
        <v/>
      </c>
      <c r="AC4297" s="19" t="str">
        <f>IF($B4297="","",IFERROR(INDEX(Config!$D$9:$D$29,MATCH($B4297,Config!$B$9:$B$29,0))&amp;"",""))</f>
        <v/>
      </c>
    </row>
    <row r="4298">
      <c r="R4298" s="20" t="str">
        <f>IF($B4298="","",IFERROR(IF(INDEX(Config!$D$9:$D$29,MATCH($B4298,Config!$B$9:$B$29,0))="Contrato",IF(INDEX(Config!$E$9:$E$29,MATCH($B4298,Config!$B$9:$B$29,0))="","",INDEX(Config!$E$9:$E$29,MATCH($B4298,Config!$B$9:$B$29,0))),""),""))</f>
        <v/>
      </c>
      <c r="AC4298" s="19" t="str">
        <f>IF($B4298="","",IFERROR(INDEX(Config!$D$9:$D$29,MATCH($B4298,Config!$B$9:$B$29,0))&amp;"",""))</f>
        <v/>
      </c>
    </row>
    <row r="4299">
      <c r="R4299" s="20" t="str">
        <f>IF($B4299="","",IFERROR(IF(INDEX(Config!$D$9:$D$29,MATCH($B4299,Config!$B$9:$B$29,0))="Contrato",IF(INDEX(Config!$E$9:$E$29,MATCH($B4299,Config!$B$9:$B$29,0))="","",INDEX(Config!$E$9:$E$29,MATCH($B4299,Config!$B$9:$B$29,0))),""),""))</f>
        <v/>
      </c>
      <c r="AC4299" s="19" t="str">
        <f>IF($B4299="","",IFERROR(INDEX(Config!$D$9:$D$29,MATCH($B4299,Config!$B$9:$B$29,0))&amp;"",""))</f>
        <v/>
      </c>
    </row>
    <row r="4300">
      <c r="R4300" s="20" t="str">
        <f>IF($B4300="","",IFERROR(IF(INDEX(Config!$D$9:$D$29,MATCH($B4300,Config!$B$9:$B$29,0))="Contrato",IF(INDEX(Config!$E$9:$E$29,MATCH($B4300,Config!$B$9:$B$29,0))="","",INDEX(Config!$E$9:$E$29,MATCH($B4300,Config!$B$9:$B$29,0))),""),""))</f>
        <v/>
      </c>
      <c r="AC4300" s="19" t="str">
        <f>IF($B4300="","",IFERROR(INDEX(Config!$D$9:$D$29,MATCH($B4300,Config!$B$9:$B$29,0))&amp;"",""))</f>
        <v/>
      </c>
    </row>
    <row r="4301">
      <c r="R4301" s="20" t="str">
        <f>IF($B4301="","",IFERROR(IF(INDEX(Config!$D$9:$D$29,MATCH($B4301,Config!$B$9:$B$29,0))="Contrato",IF(INDEX(Config!$E$9:$E$29,MATCH($B4301,Config!$B$9:$B$29,0))="","",INDEX(Config!$E$9:$E$29,MATCH($B4301,Config!$B$9:$B$29,0))),""),""))</f>
        <v/>
      </c>
      <c r="AC4301" s="19" t="str">
        <f>IF($B4301="","",IFERROR(INDEX(Config!$D$9:$D$29,MATCH($B4301,Config!$B$9:$B$29,0))&amp;"",""))</f>
        <v/>
      </c>
    </row>
    <row r="4302">
      <c r="R4302" s="20" t="str">
        <f>IF($B4302="","",IFERROR(IF(INDEX(Config!$D$9:$D$29,MATCH($B4302,Config!$B$9:$B$29,0))="Contrato",IF(INDEX(Config!$E$9:$E$29,MATCH($B4302,Config!$B$9:$B$29,0))="","",INDEX(Config!$E$9:$E$29,MATCH($B4302,Config!$B$9:$B$29,0))),""),""))</f>
        <v/>
      </c>
      <c r="AC4302" s="19" t="str">
        <f>IF($B4302="","",IFERROR(INDEX(Config!$D$9:$D$29,MATCH($B4302,Config!$B$9:$B$29,0))&amp;"",""))</f>
        <v/>
      </c>
    </row>
    <row r="4303">
      <c r="R4303" s="20" t="str">
        <f>IF($B4303="","",IFERROR(IF(INDEX(Config!$D$9:$D$29,MATCH($B4303,Config!$B$9:$B$29,0))="Contrato",IF(INDEX(Config!$E$9:$E$29,MATCH($B4303,Config!$B$9:$B$29,0))="","",INDEX(Config!$E$9:$E$29,MATCH($B4303,Config!$B$9:$B$29,0))),""),""))</f>
        <v/>
      </c>
      <c r="AC4303" s="19" t="str">
        <f>IF($B4303="","",IFERROR(INDEX(Config!$D$9:$D$29,MATCH($B4303,Config!$B$9:$B$29,0))&amp;"",""))</f>
        <v/>
      </c>
    </row>
    <row r="4304">
      <c r="R4304" s="20" t="str">
        <f>IF($B4304="","",IFERROR(IF(INDEX(Config!$D$9:$D$29,MATCH($B4304,Config!$B$9:$B$29,0))="Contrato",IF(INDEX(Config!$E$9:$E$29,MATCH($B4304,Config!$B$9:$B$29,0))="","",INDEX(Config!$E$9:$E$29,MATCH($B4304,Config!$B$9:$B$29,0))),""),""))</f>
        <v/>
      </c>
      <c r="AC4304" s="19" t="str">
        <f>IF($B4304="","",IFERROR(INDEX(Config!$D$9:$D$29,MATCH($B4304,Config!$B$9:$B$29,0))&amp;"",""))</f>
        <v/>
      </c>
    </row>
    <row r="4305">
      <c r="R4305" s="20" t="str">
        <f>IF($B4305="","",IFERROR(IF(INDEX(Config!$D$9:$D$29,MATCH($B4305,Config!$B$9:$B$29,0))="Contrato",IF(INDEX(Config!$E$9:$E$29,MATCH($B4305,Config!$B$9:$B$29,0))="","",INDEX(Config!$E$9:$E$29,MATCH($B4305,Config!$B$9:$B$29,0))),""),""))</f>
        <v/>
      </c>
      <c r="AC4305" s="19" t="str">
        <f>IF($B4305="","",IFERROR(INDEX(Config!$D$9:$D$29,MATCH($B4305,Config!$B$9:$B$29,0))&amp;"",""))</f>
        <v/>
      </c>
    </row>
    <row r="4306">
      <c r="R4306" s="20" t="str">
        <f>IF($B4306="","",IFERROR(IF(INDEX(Config!$D$9:$D$29,MATCH($B4306,Config!$B$9:$B$29,0))="Contrato",IF(INDEX(Config!$E$9:$E$29,MATCH($B4306,Config!$B$9:$B$29,0))="","",INDEX(Config!$E$9:$E$29,MATCH($B4306,Config!$B$9:$B$29,0))),""),""))</f>
        <v/>
      </c>
      <c r="AC4306" s="19" t="str">
        <f>IF($B4306="","",IFERROR(INDEX(Config!$D$9:$D$29,MATCH($B4306,Config!$B$9:$B$29,0))&amp;"",""))</f>
        <v/>
      </c>
    </row>
    <row r="4307">
      <c r="R4307" s="20" t="str">
        <f>IF($B4307="","",IFERROR(IF(INDEX(Config!$D$9:$D$29,MATCH($B4307,Config!$B$9:$B$29,0))="Contrato",IF(INDEX(Config!$E$9:$E$29,MATCH($B4307,Config!$B$9:$B$29,0))="","",INDEX(Config!$E$9:$E$29,MATCH($B4307,Config!$B$9:$B$29,0))),""),""))</f>
        <v/>
      </c>
      <c r="AC4307" s="19" t="str">
        <f>IF($B4307="","",IFERROR(INDEX(Config!$D$9:$D$29,MATCH($B4307,Config!$B$9:$B$29,0))&amp;"",""))</f>
        <v/>
      </c>
    </row>
    <row r="4308">
      <c r="R4308" s="20" t="str">
        <f>IF($B4308="","",IFERROR(IF(INDEX(Config!$D$9:$D$29,MATCH($B4308,Config!$B$9:$B$29,0))="Contrato",IF(INDEX(Config!$E$9:$E$29,MATCH($B4308,Config!$B$9:$B$29,0))="","",INDEX(Config!$E$9:$E$29,MATCH($B4308,Config!$B$9:$B$29,0))),""),""))</f>
        <v/>
      </c>
      <c r="AC4308" s="19" t="str">
        <f>IF($B4308="","",IFERROR(INDEX(Config!$D$9:$D$29,MATCH($B4308,Config!$B$9:$B$29,0))&amp;"",""))</f>
        <v/>
      </c>
    </row>
    <row r="4309">
      <c r="R4309" s="20" t="str">
        <f>IF($B4309="","",IFERROR(IF(INDEX(Config!$D$9:$D$29,MATCH($B4309,Config!$B$9:$B$29,0))="Contrato",IF(INDEX(Config!$E$9:$E$29,MATCH($B4309,Config!$B$9:$B$29,0))="","",INDEX(Config!$E$9:$E$29,MATCH($B4309,Config!$B$9:$B$29,0))),""),""))</f>
        <v/>
      </c>
      <c r="AC4309" s="19" t="str">
        <f>IF($B4309="","",IFERROR(INDEX(Config!$D$9:$D$29,MATCH($B4309,Config!$B$9:$B$29,0))&amp;"",""))</f>
        <v/>
      </c>
    </row>
    <row r="4310">
      <c r="R4310" s="20" t="str">
        <f>IF($B4310="","",IFERROR(IF(INDEX(Config!$D$9:$D$29,MATCH($B4310,Config!$B$9:$B$29,0))="Contrato",IF(INDEX(Config!$E$9:$E$29,MATCH($B4310,Config!$B$9:$B$29,0))="","",INDEX(Config!$E$9:$E$29,MATCH($B4310,Config!$B$9:$B$29,0))),""),""))</f>
        <v/>
      </c>
      <c r="AC4310" s="19" t="str">
        <f>IF($B4310="","",IFERROR(INDEX(Config!$D$9:$D$29,MATCH($B4310,Config!$B$9:$B$29,0))&amp;"",""))</f>
        <v/>
      </c>
    </row>
    <row r="4311">
      <c r="R4311" s="20" t="str">
        <f>IF($B4311="","",IFERROR(IF(INDEX(Config!$D$9:$D$29,MATCH($B4311,Config!$B$9:$B$29,0))="Contrato",IF(INDEX(Config!$E$9:$E$29,MATCH($B4311,Config!$B$9:$B$29,0))="","",INDEX(Config!$E$9:$E$29,MATCH($B4311,Config!$B$9:$B$29,0))),""),""))</f>
        <v/>
      </c>
      <c r="AC4311" s="19" t="str">
        <f>IF($B4311="","",IFERROR(INDEX(Config!$D$9:$D$29,MATCH($B4311,Config!$B$9:$B$29,0))&amp;"",""))</f>
        <v/>
      </c>
    </row>
    <row r="4312">
      <c r="R4312" s="20" t="str">
        <f>IF($B4312="","",IFERROR(IF(INDEX(Config!$D$9:$D$29,MATCH($B4312,Config!$B$9:$B$29,0))="Contrato",IF(INDEX(Config!$E$9:$E$29,MATCH($B4312,Config!$B$9:$B$29,0))="","",INDEX(Config!$E$9:$E$29,MATCH($B4312,Config!$B$9:$B$29,0))),""),""))</f>
        <v/>
      </c>
      <c r="AC4312" s="19" t="str">
        <f>IF($B4312="","",IFERROR(INDEX(Config!$D$9:$D$29,MATCH($B4312,Config!$B$9:$B$29,0))&amp;"",""))</f>
        <v/>
      </c>
    </row>
    <row r="4313">
      <c r="R4313" s="20" t="str">
        <f>IF($B4313="","",IFERROR(IF(INDEX(Config!$D$9:$D$29,MATCH($B4313,Config!$B$9:$B$29,0))="Contrato",IF(INDEX(Config!$E$9:$E$29,MATCH($B4313,Config!$B$9:$B$29,0))="","",INDEX(Config!$E$9:$E$29,MATCH($B4313,Config!$B$9:$B$29,0))),""),""))</f>
        <v/>
      </c>
      <c r="AC4313" s="19" t="str">
        <f>IF($B4313="","",IFERROR(INDEX(Config!$D$9:$D$29,MATCH($B4313,Config!$B$9:$B$29,0))&amp;"",""))</f>
        <v/>
      </c>
    </row>
    <row r="4314">
      <c r="R4314" s="20" t="str">
        <f>IF($B4314="","",IFERROR(IF(INDEX(Config!$D$9:$D$29,MATCH($B4314,Config!$B$9:$B$29,0))="Contrato",IF(INDEX(Config!$E$9:$E$29,MATCH($B4314,Config!$B$9:$B$29,0))="","",INDEX(Config!$E$9:$E$29,MATCH($B4314,Config!$B$9:$B$29,0))),""),""))</f>
        <v/>
      </c>
      <c r="AC4314" s="19" t="str">
        <f>IF($B4314="","",IFERROR(INDEX(Config!$D$9:$D$29,MATCH($B4314,Config!$B$9:$B$29,0))&amp;"",""))</f>
        <v/>
      </c>
    </row>
    <row r="4315">
      <c r="R4315" s="20" t="str">
        <f>IF($B4315="","",IFERROR(IF(INDEX(Config!$D$9:$D$29,MATCH($B4315,Config!$B$9:$B$29,0))="Contrato",IF(INDEX(Config!$E$9:$E$29,MATCH($B4315,Config!$B$9:$B$29,0))="","",INDEX(Config!$E$9:$E$29,MATCH($B4315,Config!$B$9:$B$29,0))),""),""))</f>
        <v/>
      </c>
      <c r="AC4315" s="19" t="str">
        <f>IF($B4315="","",IFERROR(INDEX(Config!$D$9:$D$29,MATCH($B4315,Config!$B$9:$B$29,0))&amp;"",""))</f>
        <v/>
      </c>
    </row>
    <row r="4316">
      <c r="R4316" s="20" t="str">
        <f>IF($B4316="","",IFERROR(IF(INDEX(Config!$D$9:$D$29,MATCH($B4316,Config!$B$9:$B$29,0))="Contrato",IF(INDEX(Config!$E$9:$E$29,MATCH($B4316,Config!$B$9:$B$29,0))="","",INDEX(Config!$E$9:$E$29,MATCH($B4316,Config!$B$9:$B$29,0))),""),""))</f>
        <v/>
      </c>
      <c r="AC4316" s="19" t="str">
        <f>IF($B4316="","",IFERROR(INDEX(Config!$D$9:$D$29,MATCH($B4316,Config!$B$9:$B$29,0))&amp;"",""))</f>
        <v/>
      </c>
    </row>
    <row r="4317">
      <c r="R4317" s="20" t="str">
        <f>IF($B4317="","",IFERROR(IF(INDEX(Config!$D$9:$D$29,MATCH($B4317,Config!$B$9:$B$29,0))="Contrato",IF(INDEX(Config!$E$9:$E$29,MATCH($B4317,Config!$B$9:$B$29,0))="","",INDEX(Config!$E$9:$E$29,MATCH($B4317,Config!$B$9:$B$29,0))),""),""))</f>
        <v/>
      </c>
      <c r="AC4317" s="19" t="str">
        <f>IF($B4317="","",IFERROR(INDEX(Config!$D$9:$D$29,MATCH($B4317,Config!$B$9:$B$29,0))&amp;"",""))</f>
        <v/>
      </c>
    </row>
    <row r="4318">
      <c r="R4318" s="20" t="str">
        <f>IF($B4318="","",IFERROR(IF(INDEX(Config!$D$9:$D$29,MATCH($B4318,Config!$B$9:$B$29,0))="Contrato",IF(INDEX(Config!$E$9:$E$29,MATCH($B4318,Config!$B$9:$B$29,0))="","",INDEX(Config!$E$9:$E$29,MATCH($B4318,Config!$B$9:$B$29,0))),""),""))</f>
        <v/>
      </c>
      <c r="AC4318" s="19" t="str">
        <f>IF($B4318="","",IFERROR(INDEX(Config!$D$9:$D$29,MATCH($B4318,Config!$B$9:$B$29,0))&amp;"",""))</f>
        <v/>
      </c>
    </row>
    <row r="4319">
      <c r="R4319" s="20" t="str">
        <f>IF($B4319="","",IFERROR(IF(INDEX(Config!$D$9:$D$29,MATCH($B4319,Config!$B$9:$B$29,0))="Contrato",IF(INDEX(Config!$E$9:$E$29,MATCH($B4319,Config!$B$9:$B$29,0))="","",INDEX(Config!$E$9:$E$29,MATCH($B4319,Config!$B$9:$B$29,0))),""),""))</f>
        <v/>
      </c>
      <c r="AC4319" s="19" t="str">
        <f>IF($B4319="","",IFERROR(INDEX(Config!$D$9:$D$29,MATCH($B4319,Config!$B$9:$B$29,0))&amp;"",""))</f>
        <v/>
      </c>
    </row>
    <row r="4320">
      <c r="R4320" s="20" t="str">
        <f>IF($B4320="","",IFERROR(IF(INDEX(Config!$D$9:$D$29,MATCH($B4320,Config!$B$9:$B$29,0))="Contrato",IF(INDEX(Config!$E$9:$E$29,MATCH($B4320,Config!$B$9:$B$29,0))="","",INDEX(Config!$E$9:$E$29,MATCH($B4320,Config!$B$9:$B$29,0))),""),""))</f>
        <v/>
      </c>
      <c r="AC4320" s="19" t="str">
        <f>IF($B4320="","",IFERROR(INDEX(Config!$D$9:$D$29,MATCH($B4320,Config!$B$9:$B$29,0))&amp;"",""))</f>
        <v/>
      </c>
    </row>
    <row r="4321">
      <c r="R4321" s="20" t="str">
        <f>IF($B4321="","",IFERROR(IF(INDEX(Config!$D$9:$D$29,MATCH($B4321,Config!$B$9:$B$29,0))="Contrato",IF(INDEX(Config!$E$9:$E$29,MATCH($B4321,Config!$B$9:$B$29,0))="","",INDEX(Config!$E$9:$E$29,MATCH($B4321,Config!$B$9:$B$29,0))),""),""))</f>
        <v/>
      </c>
      <c r="AC4321" s="19" t="str">
        <f>IF($B4321="","",IFERROR(INDEX(Config!$D$9:$D$29,MATCH($B4321,Config!$B$9:$B$29,0))&amp;"",""))</f>
        <v/>
      </c>
    </row>
    <row r="4322">
      <c r="R4322" s="20" t="str">
        <f>IF($B4322="","",IFERROR(IF(INDEX(Config!$D$9:$D$29,MATCH($B4322,Config!$B$9:$B$29,0))="Contrato",IF(INDEX(Config!$E$9:$E$29,MATCH($B4322,Config!$B$9:$B$29,0))="","",INDEX(Config!$E$9:$E$29,MATCH($B4322,Config!$B$9:$B$29,0))),""),""))</f>
        <v/>
      </c>
      <c r="AC4322" s="19" t="str">
        <f>IF($B4322="","",IFERROR(INDEX(Config!$D$9:$D$29,MATCH($B4322,Config!$B$9:$B$29,0))&amp;"",""))</f>
        <v/>
      </c>
    </row>
    <row r="4323">
      <c r="R4323" s="20" t="str">
        <f>IF($B4323="","",IFERROR(IF(INDEX(Config!$D$9:$D$29,MATCH($B4323,Config!$B$9:$B$29,0))="Contrato",IF(INDEX(Config!$E$9:$E$29,MATCH($B4323,Config!$B$9:$B$29,0))="","",INDEX(Config!$E$9:$E$29,MATCH($B4323,Config!$B$9:$B$29,0))),""),""))</f>
        <v/>
      </c>
      <c r="AC4323" s="19" t="str">
        <f>IF($B4323="","",IFERROR(INDEX(Config!$D$9:$D$29,MATCH($B4323,Config!$B$9:$B$29,0))&amp;"",""))</f>
        <v/>
      </c>
    </row>
    <row r="4324">
      <c r="R4324" s="20" t="str">
        <f>IF($B4324="","",IFERROR(IF(INDEX(Config!$D$9:$D$29,MATCH($B4324,Config!$B$9:$B$29,0))="Contrato",IF(INDEX(Config!$E$9:$E$29,MATCH($B4324,Config!$B$9:$B$29,0))="","",INDEX(Config!$E$9:$E$29,MATCH($B4324,Config!$B$9:$B$29,0))),""),""))</f>
        <v/>
      </c>
      <c r="AC4324" s="19" t="str">
        <f>IF($B4324="","",IFERROR(INDEX(Config!$D$9:$D$29,MATCH($B4324,Config!$B$9:$B$29,0))&amp;"",""))</f>
        <v/>
      </c>
    </row>
    <row r="4325">
      <c r="R4325" s="20" t="str">
        <f>IF($B4325="","",IFERROR(IF(INDEX(Config!$D$9:$D$29,MATCH($B4325,Config!$B$9:$B$29,0))="Contrato",IF(INDEX(Config!$E$9:$E$29,MATCH($B4325,Config!$B$9:$B$29,0))="","",INDEX(Config!$E$9:$E$29,MATCH($B4325,Config!$B$9:$B$29,0))),""),""))</f>
        <v/>
      </c>
      <c r="AC4325" s="19" t="str">
        <f>IF($B4325="","",IFERROR(INDEX(Config!$D$9:$D$29,MATCH($B4325,Config!$B$9:$B$29,0))&amp;"",""))</f>
        <v/>
      </c>
    </row>
    <row r="4326">
      <c r="R4326" s="20" t="str">
        <f>IF($B4326="","",IFERROR(IF(INDEX(Config!$D$9:$D$29,MATCH($B4326,Config!$B$9:$B$29,0))="Contrato",IF(INDEX(Config!$E$9:$E$29,MATCH($B4326,Config!$B$9:$B$29,0))="","",INDEX(Config!$E$9:$E$29,MATCH($B4326,Config!$B$9:$B$29,0))),""),""))</f>
        <v/>
      </c>
      <c r="AC4326" s="19" t="str">
        <f>IF($B4326="","",IFERROR(INDEX(Config!$D$9:$D$29,MATCH($B4326,Config!$B$9:$B$29,0))&amp;"",""))</f>
        <v/>
      </c>
    </row>
    <row r="4327">
      <c r="R4327" s="20" t="str">
        <f>IF($B4327="","",IFERROR(IF(INDEX(Config!$D$9:$D$29,MATCH($B4327,Config!$B$9:$B$29,0))="Contrato",IF(INDEX(Config!$E$9:$E$29,MATCH($B4327,Config!$B$9:$B$29,0))="","",INDEX(Config!$E$9:$E$29,MATCH($B4327,Config!$B$9:$B$29,0))),""),""))</f>
        <v/>
      </c>
      <c r="AC4327" s="19" t="str">
        <f>IF($B4327="","",IFERROR(INDEX(Config!$D$9:$D$29,MATCH($B4327,Config!$B$9:$B$29,0))&amp;"",""))</f>
        <v/>
      </c>
    </row>
    <row r="4328">
      <c r="R4328" s="20" t="str">
        <f>IF($B4328="","",IFERROR(IF(INDEX(Config!$D$9:$D$29,MATCH($B4328,Config!$B$9:$B$29,0))="Contrato",IF(INDEX(Config!$E$9:$E$29,MATCH($B4328,Config!$B$9:$B$29,0))="","",INDEX(Config!$E$9:$E$29,MATCH($B4328,Config!$B$9:$B$29,0))),""),""))</f>
        <v/>
      </c>
      <c r="AC4328" s="19" t="str">
        <f>IF($B4328="","",IFERROR(INDEX(Config!$D$9:$D$29,MATCH($B4328,Config!$B$9:$B$29,0))&amp;"",""))</f>
        <v/>
      </c>
    </row>
    <row r="4329">
      <c r="R4329" s="20" t="str">
        <f>IF($B4329="","",IFERROR(IF(INDEX(Config!$D$9:$D$29,MATCH($B4329,Config!$B$9:$B$29,0))="Contrato",IF(INDEX(Config!$E$9:$E$29,MATCH($B4329,Config!$B$9:$B$29,0))="","",INDEX(Config!$E$9:$E$29,MATCH($B4329,Config!$B$9:$B$29,0))),""),""))</f>
        <v/>
      </c>
      <c r="AC4329" s="19" t="str">
        <f>IF($B4329="","",IFERROR(INDEX(Config!$D$9:$D$29,MATCH($B4329,Config!$B$9:$B$29,0))&amp;"",""))</f>
        <v/>
      </c>
    </row>
    <row r="4330">
      <c r="R4330" s="20" t="str">
        <f>IF($B4330="","",IFERROR(IF(INDEX(Config!$D$9:$D$29,MATCH($B4330,Config!$B$9:$B$29,0))="Contrato",IF(INDEX(Config!$E$9:$E$29,MATCH($B4330,Config!$B$9:$B$29,0))="","",INDEX(Config!$E$9:$E$29,MATCH($B4330,Config!$B$9:$B$29,0))),""),""))</f>
        <v/>
      </c>
      <c r="AC4330" s="19" t="str">
        <f>IF($B4330="","",IFERROR(INDEX(Config!$D$9:$D$29,MATCH($B4330,Config!$B$9:$B$29,0))&amp;"",""))</f>
        <v/>
      </c>
    </row>
    <row r="4331">
      <c r="R4331" s="20" t="str">
        <f>IF($B4331="","",IFERROR(IF(INDEX(Config!$D$9:$D$29,MATCH($B4331,Config!$B$9:$B$29,0))="Contrato",IF(INDEX(Config!$E$9:$E$29,MATCH($B4331,Config!$B$9:$B$29,0))="","",INDEX(Config!$E$9:$E$29,MATCH($B4331,Config!$B$9:$B$29,0))),""),""))</f>
        <v/>
      </c>
      <c r="AC4331" s="19" t="str">
        <f>IF($B4331="","",IFERROR(INDEX(Config!$D$9:$D$29,MATCH($B4331,Config!$B$9:$B$29,0))&amp;"",""))</f>
        <v/>
      </c>
    </row>
    <row r="4332">
      <c r="R4332" s="20" t="str">
        <f>IF($B4332="","",IFERROR(IF(INDEX(Config!$D$9:$D$29,MATCH($B4332,Config!$B$9:$B$29,0))="Contrato",IF(INDEX(Config!$E$9:$E$29,MATCH($B4332,Config!$B$9:$B$29,0))="","",INDEX(Config!$E$9:$E$29,MATCH($B4332,Config!$B$9:$B$29,0))),""),""))</f>
        <v/>
      </c>
      <c r="AC4332" s="19" t="str">
        <f>IF($B4332="","",IFERROR(INDEX(Config!$D$9:$D$29,MATCH($B4332,Config!$B$9:$B$29,0))&amp;"",""))</f>
        <v/>
      </c>
    </row>
    <row r="4333">
      <c r="R4333" s="20" t="str">
        <f>IF($B4333="","",IFERROR(IF(INDEX(Config!$D$9:$D$29,MATCH($B4333,Config!$B$9:$B$29,0))="Contrato",IF(INDEX(Config!$E$9:$E$29,MATCH($B4333,Config!$B$9:$B$29,0))="","",INDEX(Config!$E$9:$E$29,MATCH($B4333,Config!$B$9:$B$29,0))),""),""))</f>
        <v/>
      </c>
      <c r="AC4333" s="19" t="str">
        <f>IF($B4333="","",IFERROR(INDEX(Config!$D$9:$D$29,MATCH($B4333,Config!$B$9:$B$29,0))&amp;"",""))</f>
        <v/>
      </c>
    </row>
    <row r="4334">
      <c r="R4334" s="20" t="str">
        <f>IF($B4334="","",IFERROR(IF(INDEX(Config!$D$9:$D$29,MATCH($B4334,Config!$B$9:$B$29,0))="Contrato",IF(INDEX(Config!$E$9:$E$29,MATCH($B4334,Config!$B$9:$B$29,0))="","",INDEX(Config!$E$9:$E$29,MATCH($B4334,Config!$B$9:$B$29,0))),""),""))</f>
        <v/>
      </c>
      <c r="AC4334" s="19" t="str">
        <f>IF($B4334="","",IFERROR(INDEX(Config!$D$9:$D$29,MATCH($B4334,Config!$B$9:$B$29,0))&amp;"",""))</f>
        <v/>
      </c>
    </row>
    <row r="4335">
      <c r="R4335" s="20" t="str">
        <f>IF($B4335="","",IFERROR(IF(INDEX(Config!$D$9:$D$29,MATCH($B4335,Config!$B$9:$B$29,0))="Contrato",IF(INDEX(Config!$E$9:$E$29,MATCH($B4335,Config!$B$9:$B$29,0))="","",INDEX(Config!$E$9:$E$29,MATCH($B4335,Config!$B$9:$B$29,0))),""),""))</f>
        <v/>
      </c>
      <c r="AC4335" s="19" t="str">
        <f>IF($B4335="","",IFERROR(INDEX(Config!$D$9:$D$29,MATCH($B4335,Config!$B$9:$B$29,0))&amp;"",""))</f>
        <v/>
      </c>
    </row>
    <row r="4336">
      <c r="R4336" s="20" t="str">
        <f>IF($B4336="","",IFERROR(IF(INDEX(Config!$D$9:$D$29,MATCH($B4336,Config!$B$9:$B$29,0))="Contrato",IF(INDEX(Config!$E$9:$E$29,MATCH($B4336,Config!$B$9:$B$29,0))="","",INDEX(Config!$E$9:$E$29,MATCH($B4336,Config!$B$9:$B$29,0))),""),""))</f>
        <v/>
      </c>
      <c r="AC4336" s="19" t="str">
        <f>IF($B4336="","",IFERROR(INDEX(Config!$D$9:$D$29,MATCH($B4336,Config!$B$9:$B$29,0))&amp;"",""))</f>
        <v/>
      </c>
    </row>
    <row r="4337">
      <c r="R4337" s="20" t="str">
        <f>IF($B4337="","",IFERROR(IF(INDEX(Config!$D$9:$D$29,MATCH($B4337,Config!$B$9:$B$29,0))="Contrato",IF(INDEX(Config!$E$9:$E$29,MATCH($B4337,Config!$B$9:$B$29,0))="","",INDEX(Config!$E$9:$E$29,MATCH($B4337,Config!$B$9:$B$29,0))),""),""))</f>
        <v/>
      </c>
      <c r="AC4337" s="19" t="str">
        <f>IF($B4337="","",IFERROR(INDEX(Config!$D$9:$D$29,MATCH($B4337,Config!$B$9:$B$29,0))&amp;"",""))</f>
        <v/>
      </c>
    </row>
    <row r="4338">
      <c r="R4338" s="20" t="str">
        <f>IF($B4338="","",IFERROR(IF(INDEX(Config!$D$9:$D$29,MATCH($B4338,Config!$B$9:$B$29,0))="Contrato",IF(INDEX(Config!$E$9:$E$29,MATCH($B4338,Config!$B$9:$B$29,0))="","",INDEX(Config!$E$9:$E$29,MATCH($B4338,Config!$B$9:$B$29,0))),""),""))</f>
        <v/>
      </c>
      <c r="AC4338" s="19" t="str">
        <f>IF($B4338="","",IFERROR(INDEX(Config!$D$9:$D$29,MATCH($B4338,Config!$B$9:$B$29,0))&amp;"",""))</f>
        <v/>
      </c>
    </row>
    <row r="4339">
      <c r="R4339" s="20" t="str">
        <f>IF($B4339="","",IFERROR(IF(INDEX(Config!$D$9:$D$29,MATCH($B4339,Config!$B$9:$B$29,0))="Contrato",IF(INDEX(Config!$E$9:$E$29,MATCH($B4339,Config!$B$9:$B$29,0))="","",INDEX(Config!$E$9:$E$29,MATCH($B4339,Config!$B$9:$B$29,0))),""),""))</f>
        <v/>
      </c>
      <c r="AC4339" s="19" t="str">
        <f>IF($B4339="","",IFERROR(INDEX(Config!$D$9:$D$29,MATCH($B4339,Config!$B$9:$B$29,0))&amp;"",""))</f>
        <v/>
      </c>
    </row>
    <row r="4340">
      <c r="R4340" s="20" t="str">
        <f>IF($B4340="","",IFERROR(IF(INDEX(Config!$D$9:$D$29,MATCH($B4340,Config!$B$9:$B$29,0))="Contrato",IF(INDEX(Config!$E$9:$E$29,MATCH($B4340,Config!$B$9:$B$29,0))="","",INDEX(Config!$E$9:$E$29,MATCH($B4340,Config!$B$9:$B$29,0))),""),""))</f>
        <v/>
      </c>
      <c r="AC4340" s="19" t="str">
        <f>IF($B4340="","",IFERROR(INDEX(Config!$D$9:$D$29,MATCH($B4340,Config!$B$9:$B$29,0))&amp;"",""))</f>
        <v/>
      </c>
    </row>
    <row r="4341">
      <c r="R4341" s="20" t="str">
        <f>IF($B4341="","",IFERROR(IF(INDEX(Config!$D$9:$D$29,MATCH($B4341,Config!$B$9:$B$29,0))="Contrato",IF(INDEX(Config!$E$9:$E$29,MATCH($B4341,Config!$B$9:$B$29,0))="","",INDEX(Config!$E$9:$E$29,MATCH($B4341,Config!$B$9:$B$29,0))),""),""))</f>
        <v/>
      </c>
      <c r="AC4341" s="19" t="str">
        <f>IF($B4341="","",IFERROR(INDEX(Config!$D$9:$D$29,MATCH($B4341,Config!$B$9:$B$29,0))&amp;"",""))</f>
        <v/>
      </c>
    </row>
    <row r="4342">
      <c r="R4342" s="20" t="str">
        <f>IF($B4342="","",IFERROR(IF(INDEX(Config!$D$9:$D$29,MATCH($B4342,Config!$B$9:$B$29,0))="Contrato",IF(INDEX(Config!$E$9:$E$29,MATCH($B4342,Config!$B$9:$B$29,0))="","",INDEX(Config!$E$9:$E$29,MATCH($B4342,Config!$B$9:$B$29,0))),""),""))</f>
        <v/>
      </c>
      <c r="AC4342" s="19" t="str">
        <f>IF($B4342="","",IFERROR(INDEX(Config!$D$9:$D$29,MATCH($B4342,Config!$B$9:$B$29,0))&amp;"",""))</f>
        <v/>
      </c>
    </row>
    <row r="4343">
      <c r="R4343" s="20" t="str">
        <f>IF($B4343="","",IFERROR(IF(INDEX(Config!$D$9:$D$29,MATCH($B4343,Config!$B$9:$B$29,0))="Contrato",IF(INDEX(Config!$E$9:$E$29,MATCH($B4343,Config!$B$9:$B$29,0))="","",INDEX(Config!$E$9:$E$29,MATCH($B4343,Config!$B$9:$B$29,0))),""),""))</f>
        <v/>
      </c>
      <c r="AC4343" s="19" t="str">
        <f>IF($B4343="","",IFERROR(INDEX(Config!$D$9:$D$29,MATCH($B4343,Config!$B$9:$B$29,0))&amp;"",""))</f>
        <v/>
      </c>
    </row>
    <row r="4344">
      <c r="R4344" s="20" t="str">
        <f>IF($B4344="","",IFERROR(IF(INDEX(Config!$D$9:$D$29,MATCH($B4344,Config!$B$9:$B$29,0))="Contrato",IF(INDEX(Config!$E$9:$E$29,MATCH($B4344,Config!$B$9:$B$29,0))="","",INDEX(Config!$E$9:$E$29,MATCH($B4344,Config!$B$9:$B$29,0))),""),""))</f>
        <v/>
      </c>
      <c r="AC4344" s="19" t="str">
        <f>IF($B4344="","",IFERROR(INDEX(Config!$D$9:$D$29,MATCH($B4344,Config!$B$9:$B$29,0))&amp;"",""))</f>
        <v/>
      </c>
    </row>
    <row r="4345">
      <c r="R4345" s="20" t="str">
        <f>IF($B4345="","",IFERROR(IF(INDEX(Config!$D$9:$D$29,MATCH($B4345,Config!$B$9:$B$29,0))="Contrato",IF(INDEX(Config!$E$9:$E$29,MATCH($B4345,Config!$B$9:$B$29,0))="","",INDEX(Config!$E$9:$E$29,MATCH($B4345,Config!$B$9:$B$29,0))),""),""))</f>
        <v/>
      </c>
      <c r="AC4345" s="19" t="str">
        <f>IF($B4345="","",IFERROR(INDEX(Config!$D$9:$D$29,MATCH($B4345,Config!$B$9:$B$29,0))&amp;"",""))</f>
        <v/>
      </c>
    </row>
    <row r="4346">
      <c r="R4346" s="20" t="str">
        <f>IF($B4346="","",IFERROR(IF(INDEX(Config!$D$9:$D$29,MATCH($B4346,Config!$B$9:$B$29,0))="Contrato",IF(INDEX(Config!$E$9:$E$29,MATCH($B4346,Config!$B$9:$B$29,0))="","",INDEX(Config!$E$9:$E$29,MATCH($B4346,Config!$B$9:$B$29,0))),""),""))</f>
        <v/>
      </c>
      <c r="AC4346" s="19" t="str">
        <f>IF($B4346="","",IFERROR(INDEX(Config!$D$9:$D$29,MATCH($B4346,Config!$B$9:$B$29,0))&amp;"",""))</f>
        <v/>
      </c>
    </row>
    <row r="4347">
      <c r="R4347" s="20" t="str">
        <f>IF($B4347="","",IFERROR(IF(INDEX(Config!$D$9:$D$29,MATCH($B4347,Config!$B$9:$B$29,0))="Contrato",IF(INDEX(Config!$E$9:$E$29,MATCH($B4347,Config!$B$9:$B$29,0))="","",INDEX(Config!$E$9:$E$29,MATCH($B4347,Config!$B$9:$B$29,0))),""),""))</f>
        <v/>
      </c>
      <c r="AC4347" s="19" t="str">
        <f>IF($B4347="","",IFERROR(INDEX(Config!$D$9:$D$29,MATCH($B4347,Config!$B$9:$B$29,0))&amp;"",""))</f>
        <v/>
      </c>
    </row>
    <row r="4348">
      <c r="R4348" s="20" t="str">
        <f>IF($B4348="","",IFERROR(IF(INDEX(Config!$D$9:$D$29,MATCH($B4348,Config!$B$9:$B$29,0))="Contrato",IF(INDEX(Config!$E$9:$E$29,MATCH($B4348,Config!$B$9:$B$29,0))="","",INDEX(Config!$E$9:$E$29,MATCH($B4348,Config!$B$9:$B$29,0))),""),""))</f>
        <v/>
      </c>
      <c r="AC4348" s="19" t="str">
        <f>IF($B4348="","",IFERROR(INDEX(Config!$D$9:$D$29,MATCH($B4348,Config!$B$9:$B$29,0))&amp;"",""))</f>
        <v/>
      </c>
    </row>
    <row r="4349">
      <c r="R4349" s="20" t="str">
        <f>IF($B4349="","",IFERROR(IF(INDEX(Config!$D$9:$D$29,MATCH($B4349,Config!$B$9:$B$29,0))="Contrato",IF(INDEX(Config!$E$9:$E$29,MATCH($B4349,Config!$B$9:$B$29,0))="","",INDEX(Config!$E$9:$E$29,MATCH($B4349,Config!$B$9:$B$29,0))),""),""))</f>
        <v/>
      </c>
      <c r="AC4349" s="19" t="str">
        <f>IF($B4349="","",IFERROR(INDEX(Config!$D$9:$D$29,MATCH($B4349,Config!$B$9:$B$29,0))&amp;"",""))</f>
        <v/>
      </c>
    </row>
    <row r="4350">
      <c r="R4350" s="20" t="str">
        <f>IF($B4350="","",IFERROR(IF(INDEX(Config!$D$9:$D$29,MATCH($B4350,Config!$B$9:$B$29,0))="Contrato",IF(INDEX(Config!$E$9:$E$29,MATCH($B4350,Config!$B$9:$B$29,0))="","",INDEX(Config!$E$9:$E$29,MATCH($B4350,Config!$B$9:$B$29,0))),""),""))</f>
        <v/>
      </c>
      <c r="AC4350" s="19" t="str">
        <f>IF($B4350="","",IFERROR(INDEX(Config!$D$9:$D$29,MATCH($B4350,Config!$B$9:$B$29,0))&amp;"",""))</f>
        <v/>
      </c>
    </row>
    <row r="4351">
      <c r="R4351" s="20" t="str">
        <f>IF($B4351="","",IFERROR(IF(INDEX(Config!$D$9:$D$29,MATCH($B4351,Config!$B$9:$B$29,0))="Contrato",IF(INDEX(Config!$E$9:$E$29,MATCH($B4351,Config!$B$9:$B$29,0))="","",INDEX(Config!$E$9:$E$29,MATCH($B4351,Config!$B$9:$B$29,0))),""),""))</f>
        <v/>
      </c>
      <c r="AC4351" s="19" t="str">
        <f>IF($B4351="","",IFERROR(INDEX(Config!$D$9:$D$29,MATCH($B4351,Config!$B$9:$B$29,0))&amp;"",""))</f>
        <v/>
      </c>
    </row>
    <row r="4352">
      <c r="R4352" s="20" t="str">
        <f>IF($B4352="","",IFERROR(IF(INDEX(Config!$D$9:$D$29,MATCH($B4352,Config!$B$9:$B$29,0))="Contrato",IF(INDEX(Config!$E$9:$E$29,MATCH($B4352,Config!$B$9:$B$29,0))="","",INDEX(Config!$E$9:$E$29,MATCH($B4352,Config!$B$9:$B$29,0))),""),""))</f>
        <v/>
      </c>
      <c r="AC4352" s="19" t="str">
        <f>IF($B4352="","",IFERROR(INDEX(Config!$D$9:$D$29,MATCH($B4352,Config!$B$9:$B$29,0))&amp;"",""))</f>
        <v/>
      </c>
    </row>
    <row r="4353">
      <c r="R4353" s="20" t="str">
        <f>IF($B4353="","",IFERROR(IF(INDEX(Config!$D$9:$D$29,MATCH($B4353,Config!$B$9:$B$29,0))="Contrato",IF(INDEX(Config!$E$9:$E$29,MATCH($B4353,Config!$B$9:$B$29,0))="","",INDEX(Config!$E$9:$E$29,MATCH($B4353,Config!$B$9:$B$29,0))),""),""))</f>
        <v/>
      </c>
      <c r="AC4353" s="19" t="str">
        <f>IF($B4353="","",IFERROR(INDEX(Config!$D$9:$D$29,MATCH($B4353,Config!$B$9:$B$29,0))&amp;"",""))</f>
        <v/>
      </c>
    </row>
    <row r="4354">
      <c r="R4354" s="20" t="str">
        <f>IF($B4354="","",IFERROR(IF(INDEX(Config!$D$9:$D$29,MATCH($B4354,Config!$B$9:$B$29,0))="Contrato",IF(INDEX(Config!$E$9:$E$29,MATCH($B4354,Config!$B$9:$B$29,0))="","",INDEX(Config!$E$9:$E$29,MATCH($B4354,Config!$B$9:$B$29,0))),""),""))</f>
        <v/>
      </c>
      <c r="AC4354" s="19" t="str">
        <f>IF($B4354="","",IFERROR(INDEX(Config!$D$9:$D$29,MATCH($B4354,Config!$B$9:$B$29,0))&amp;"",""))</f>
        <v/>
      </c>
    </row>
    <row r="4355">
      <c r="R4355" s="20" t="str">
        <f>IF($B4355="","",IFERROR(IF(INDEX(Config!$D$9:$D$29,MATCH($B4355,Config!$B$9:$B$29,0))="Contrato",IF(INDEX(Config!$E$9:$E$29,MATCH($B4355,Config!$B$9:$B$29,0))="","",INDEX(Config!$E$9:$E$29,MATCH($B4355,Config!$B$9:$B$29,0))),""),""))</f>
        <v/>
      </c>
      <c r="AC4355" s="19" t="str">
        <f>IF($B4355="","",IFERROR(INDEX(Config!$D$9:$D$29,MATCH($B4355,Config!$B$9:$B$29,0))&amp;"",""))</f>
        <v/>
      </c>
    </row>
    <row r="4356">
      <c r="R4356" s="20" t="str">
        <f>IF($B4356="","",IFERROR(IF(INDEX(Config!$D$9:$D$29,MATCH($B4356,Config!$B$9:$B$29,0))="Contrato",IF(INDEX(Config!$E$9:$E$29,MATCH($B4356,Config!$B$9:$B$29,0))="","",INDEX(Config!$E$9:$E$29,MATCH($B4356,Config!$B$9:$B$29,0))),""),""))</f>
        <v/>
      </c>
      <c r="AC4356" s="19" t="str">
        <f>IF($B4356="","",IFERROR(INDEX(Config!$D$9:$D$29,MATCH($B4356,Config!$B$9:$B$29,0))&amp;"",""))</f>
        <v/>
      </c>
    </row>
    <row r="4357">
      <c r="R4357" s="20" t="str">
        <f>IF($B4357="","",IFERROR(IF(INDEX(Config!$D$9:$D$29,MATCH($B4357,Config!$B$9:$B$29,0))="Contrato",IF(INDEX(Config!$E$9:$E$29,MATCH($B4357,Config!$B$9:$B$29,0))="","",INDEX(Config!$E$9:$E$29,MATCH($B4357,Config!$B$9:$B$29,0))),""),""))</f>
        <v/>
      </c>
      <c r="AC4357" s="19" t="str">
        <f>IF($B4357="","",IFERROR(INDEX(Config!$D$9:$D$29,MATCH($B4357,Config!$B$9:$B$29,0))&amp;"",""))</f>
        <v/>
      </c>
    </row>
    <row r="4358">
      <c r="R4358" s="20" t="str">
        <f>IF($B4358="","",IFERROR(IF(INDEX(Config!$D$9:$D$29,MATCH($B4358,Config!$B$9:$B$29,0))="Contrato",IF(INDEX(Config!$E$9:$E$29,MATCH($B4358,Config!$B$9:$B$29,0))="","",INDEX(Config!$E$9:$E$29,MATCH($B4358,Config!$B$9:$B$29,0))),""),""))</f>
        <v/>
      </c>
      <c r="AC4358" s="19" t="str">
        <f>IF($B4358="","",IFERROR(INDEX(Config!$D$9:$D$29,MATCH($B4358,Config!$B$9:$B$29,0))&amp;"",""))</f>
        <v/>
      </c>
    </row>
    <row r="4359">
      <c r="R4359" s="20" t="str">
        <f>IF($B4359="","",IFERROR(IF(INDEX(Config!$D$9:$D$29,MATCH($B4359,Config!$B$9:$B$29,0))="Contrato",IF(INDEX(Config!$E$9:$E$29,MATCH($B4359,Config!$B$9:$B$29,0))="","",INDEX(Config!$E$9:$E$29,MATCH($B4359,Config!$B$9:$B$29,0))),""),""))</f>
        <v/>
      </c>
      <c r="AC4359" s="19" t="str">
        <f>IF($B4359="","",IFERROR(INDEX(Config!$D$9:$D$29,MATCH($B4359,Config!$B$9:$B$29,0))&amp;"",""))</f>
        <v/>
      </c>
    </row>
    <row r="4360">
      <c r="R4360" s="20" t="str">
        <f>IF($B4360="","",IFERROR(IF(INDEX(Config!$D$9:$D$29,MATCH($B4360,Config!$B$9:$B$29,0))="Contrato",IF(INDEX(Config!$E$9:$E$29,MATCH($B4360,Config!$B$9:$B$29,0))="","",INDEX(Config!$E$9:$E$29,MATCH($B4360,Config!$B$9:$B$29,0))),""),""))</f>
        <v/>
      </c>
      <c r="AC4360" s="19" t="str">
        <f>IF($B4360="","",IFERROR(INDEX(Config!$D$9:$D$29,MATCH($B4360,Config!$B$9:$B$29,0))&amp;"",""))</f>
        <v/>
      </c>
    </row>
    <row r="4361">
      <c r="R4361" s="20" t="str">
        <f>IF($B4361="","",IFERROR(IF(INDEX(Config!$D$9:$D$29,MATCH($B4361,Config!$B$9:$B$29,0))="Contrato",IF(INDEX(Config!$E$9:$E$29,MATCH($B4361,Config!$B$9:$B$29,0))="","",INDEX(Config!$E$9:$E$29,MATCH($B4361,Config!$B$9:$B$29,0))),""),""))</f>
        <v/>
      </c>
      <c r="AC4361" s="19" t="str">
        <f>IF($B4361="","",IFERROR(INDEX(Config!$D$9:$D$29,MATCH($B4361,Config!$B$9:$B$29,0))&amp;"",""))</f>
        <v/>
      </c>
    </row>
    <row r="4362">
      <c r="R4362" s="20" t="str">
        <f>IF($B4362="","",IFERROR(IF(INDEX(Config!$D$9:$D$29,MATCH($B4362,Config!$B$9:$B$29,0))="Contrato",IF(INDEX(Config!$E$9:$E$29,MATCH($B4362,Config!$B$9:$B$29,0))="","",INDEX(Config!$E$9:$E$29,MATCH($B4362,Config!$B$9:$B$29,0))),""),""))</f>
        <v/>
      </c>
      <c r="AC4362" s="19" t="str">
        <f>IF($B4362="","",IFERROR(INDEX(Config!$D$9:$D$29,MATCH($B4362,Config!$B$9:$B$29,0))&amp;"",""))</f>
        <v/>
      </c>
    </row>
    <row r="4363">
      <c r="R4363" s="20" t="str">
        <f>IF($B4363="","",IFERROR(IF(INDEX(Config!$D$9:$D$29,MATCH($B4363,Config!$B$9:$B$29,0))="Contrato",IF(INDEX(Config!$E$9:$E$29,MATCH($B4363,Config!$B$9:$B$29,0))="","",INDEX(Config!$E$9:$E$29,MATCH($B4363,Config!$B$9:$B$29,0))),""),""))</f>
        <v/>
      </c>
      <c r="AC4363" s="19" t="str">
        <f>IF($B4363="","",IFERROR(INDEX(Config!$D$9:$D$29,MATCH($B4363,Config!$B$9:$B$29,0))&amp;"",""))</f>
        <v/>
      </c>
    </row>
    <row r="4364">
      <c r="R4364" s="20" t="str">
        <f>IF($B4364="","",IFERROR(IF(INDEX(Config!$D$9:$D$29,MATCH($B4364,Config!$B$9:$B$29,0))="Contrato",IF(INDEX(Config!$E$9:$E$29,MATCH($B4364,Config!$B$9:$B$29,0))="","",INDEX(Config!$E$9:$E$29,MATCH($B4364,Config!$B$9:$B$29,0))),""),""))</f>
        <v/>
      </c>
      <c r="AC4364" s="19" t="str">
        <f>IF($B4364="","",IFERROR(INDEX(Config!$D$9:$D$29,MATCH($B4364,Config!$B$9:$B$29,0))&amp;"",""))</f>
        <v/>
      </c>
    </row>
    <row r="4365">
      <c r="R4365" s="20" t="str">
        <f>IF($B4365="","",IFERROR(IF(INDEX(Config!$D$9:$D$29,MATCH($B4365,Config!$B$9:$B$29,0))="Contrato",IF(INDEX(Config!$E$9:$E$29,MATCH($B4365,Config!$B$9:$B$29,0))="","",INDEX(Config!$E$9:$E$29,MATCH($B4365,Config!$B$9:$B$29,0))),""),""))</f>
        <v/>
      </c>
      <c r="AC4365" s="19" t="str">
        <f>IF($B4365="","",IFERROR(INDEX(Config!$D$9:$D$29,MATCH($B4365,Config!$B$9:$B$29,0))&amp;"",""))</f>
        <v/>
      </c>
    </row>
    <row r="4366">
      <c r="R4366" s="20" t="str">
        <f>IF($B4366="","",IFERROR(IF(INDEX(Config!$D$9:$D$29,MATCH($B4366,Config!$B$9:$B$29,0))="Contrato",IF(INDEX(Config!$E$9:$E$29,MATCH($B4366,Config!$B$9:$B$29,0))="","",INDEX(Config!$E$9:$E$29,MATCH($B4366,Config!$B$9:$B$29,0))),""),""))</f>
        <v/>
      </c>
      <c r="AC4366" s="19" t="str">
        <f>IF($B4366="","",IFERROR(INDEX(Config!$D$9:$D$29,MATCH($B4366,Config!$B$9:$B$29,0))&amp;"",""))</f>
        <v/>
      </c>
    </row>
    <row r="4367">
      <c r="R4367" s="20" t="str">
        <f>IF($B4367="","",IFERROR(IF(INDEX(Config!$D$9:$D$29,MATCH($B4367,Config!$B$9:$B$29,0))="Contrato",IF(INDEX(Config!$E$9:$E$29,MATCH($B4367,Config!$B$9:$B$29,0))="","",INDEX(Config!$E$9:$E$29,MATCH($B4367,Config!$B$9:$B$29,0))),""),""))</f>
        <v/>
      </c>
      <c r="AC4367" s="19" t="str">
        <f>IF($B4367="","",IFERROR(INDEX(Config!$D$9:$D$29,MATCH($B4367,Config!$B$9:$B$29,0))&amp;"",""))</f>
        <v/>
      </c>
    </row>
    <row r="4368">
      <c r="R4368" s="20" t="str">
        <f>IF($B4368="","",IFERROR(IF(INDEX(Config!$D$9:$D$29,MATCH($B4368,Config!$B$9:$B$29,0))="Contrato",IF(INDEX(Config!$E$9:$E$29,MATCH($B4368,Config!$B$9:$B$29,0))="","",INDEX(Config!$E$9:$E$29,MATCH($B4368,Config!$B$9:$B$29,0))),""),""))</f>
        <v/>
      </c>
      <c r="AC4368" s="19" t="str">
        <f>IF($B4368="","",IFERROR(INDEX(Config!$D$9:$D$29,MATCH($B4368,Config!$B$9:$B$29,0))&amp;"",""))</f>
        <v/>
      </c>
    </row>
    <row r="4369">
      <c r="R4369" s="20" t="str">
        <f>IF($B4369="","",IFERROR(IF(INDEX(Config!$D$9:$D$29,MATCH($B4369,Config!$B$9:$B$29,0))="Contrato",IF(INDEX(Config!$E$9:$E$29,MATCH($B4369,Config!$B$9:$B$29,0))="","",INDEX(Config!$E$9:$E$29,MATCH($B4369,Config!$B$9:$B$29,0))),""),""))</f>
        <v/>
      </c>
      <c r="AC4369" s="19" t="str">
        <f>IF($B4369="","",IFERROR(INDEX(Config!$D$9:$D$29,MATCH($B4369,Config!$B$9:$B$29,0))&amp;"",""))</f>
        <v/>
      </c>
    </row>
    <row r="4370">
      <c r="R4370" s="20" t="str">
        <f>IF($B4370="","",IFERROR(IF(INDEX(Config!$D$9:$D$29,MATCH($B4370,Config!$B$9:$B$29,0))="Contrato",IF(INDEX(Config!$E$9:$E$29,MATCH($B4370,Config!$B$9:$B$29,0))="","",INDEX(Config!$E$9:$E$29,MATCH($B4370,Config!$B$9:$B$29,0))),""),""))</f>
        <v/>
      </c>
      <c r="AC4370" s="19" t="str">
        <f>IF($B4370="","",IFERROR(INDEX(Config!$D$9:$D$29,MATCH($B4370,Config!$B$9:$B$29,0))&amp;"",""))</f>
        <v/>
      </c>
    </row>
    <row r="4371">
      <c r="R4371" s="20" t="str">
        <f>IF($B4371="","",IFERROR(IF(INDEX(Config!$D$9:$D$29,MATCH($B4371,Config!$B$9:$B$29,0))="Contrato",IF(INDEX(Config!$E$9:$E$29,MATCH($B4371,Config!$B$9:$B$29,0))="","",INDEX(Config!$E$9:$E$29,MATCH($B4371,Config!$B$9:$B$29,0))),""),""))</f>
        <v/>
      </c>
      <c r="AC4371" s="19" t="str">
        <f>IF($B4371="","",IFERROR(INDEX(Config!$D$9:$D$29,MATCH($B4371,Config!$B$9:$B$29,0))&amp;"",""))</f>
        <v/>
      </c>
    </row>
    <row r="4372">
      <c r="R4372" s="20" t="str">
        <f>IF($B4372="","",IFERROR(IF(INDEX(Config!$D$9:$D$29,MATCH($B4372,Config!$B$9:$B$29,0))="Contrato",IF(INDEX(Config!$E$9:$E$29,MATCH($B4372,Config!$B$9:$B$29,0))="","",INDEX(Config!$E$9:$E$29,MATCH($B4372,Config!$B$9:$B$29,0))),""),""))</f>
        <v/>
      </c>
      <c r="AC4372" s="19" t="str">
        <f>IF($B4372="","",IFERROR(INDEX(Config!$D$9:$D$29,MATCH($B4372,Config!$B$9:$B$29,0))&amp;"",""))</f>
        <v/>
      </c>
    </row>
    <row r="4373">
      <c r="R4373" s="20" t="str">
        <f>IF($B4373="","",IFERROR(IF(INDEX(Config!$D$9:$D$29,MATCH($B4373,Config!$B$9:$B$29,0))="Contrato",IF(INDEX(Config!$E$9:$E$29,MATCH($B4373,Config!$B$9:$B$29,0))="","",INDEX(Config!$E$9:$E$29,MATCH($B4373,Config!$B$9:$B$29,0))),""),""))</f>
        <v/>
      </c>
      <c r="AC4373" s="19" t="str">
        <f>IF($B4373="","",IFERROR(INDEX(Config!$D$9:$D$29,MATCH($B4373,Config!$B$9:$B$29,0))&amp;"",""))</f>
        <v/>
      </c>
    </row>
    <row r="4374">
      <c r="R4374" s="20" t="str">
        <f>IF($B4374="","",IFERROR(IF(INDEX(Config!$D$9:$D$29,MATCH($B4374,Config!$B$9:$B$29,0))="Contrato",IF(INDEX(Config!$E$9:$E$29,MATCH($B4374,Config!$B$9:$B$29,0))="","",INDEX(Config!$E$9:$E$29,MATCH($B4374,Config!$B$9:$B$29,0))),""),""))</f>
        <v/>
      </c>
      <c r="AC4374" s="19" t="str">
        <f>IF($B4374="","",IFERROR(INDEX(Config!$D$9:$D$29,MATCH($B4374,Config!$B$9:$B$29,0))&amp;"",""))</f>
        <v/>
      </c>
    </row>
    <row r="4375">
      <c r="R4375" s="20" t="str">
        <f>IF($B4375="","",IFERROR(IF(INDEX(Config!$D$9:$D$29,MATCH($B4375,Config!$B$9:$B$29,0))="Contrato",IF(INDEX(Config!$E$9:$E$29,MATCH($B4375,Config!$B$9:$B$29,0))="","",INDEX(Config!$E$9:$E$29,MATCH($B4375,Config!$B$9:$B$29,0))),""),""))</f>
        <v/>
      </c>
      <c r="AC4375" s="19" t="str">
        <f>IF($B4375="","",IFERROR(INDEX(Config!$D$9:$D$29,MATCH($B4375,Config!$B$9:$B$29,0))&amp;"",""))</f>
        <v/>
      </c>
    </row>
    <row r="4376">
      <c r="R4376" s="20" t="str">
        <f>IF($B4376="","",IFERROR(IF(INDEX(Config!$D$9:$D$29,MATCH($B4376,Config!$B$9:$B$29,0))="Contrato",IF(INDEX(Config!$E$9:$E$29,MATCH($B4376,Config!$B$9:$B$29,0))="","",INDEX(Config!$E$9:$E$29,MATCH($B4376,Config!$B$9:$B$29,0))),""),""))</f>
        <v/>
      </c>
      <c r="AC4376" s="19" t="str">
        <f>IF($B4376="","",IFERROR(INDEX(Config!$D$9:$D$29,MATCH($B4376,Config!$B$9:$B$29,0))&amp;"",""))</f>
        <v/>
      </c>
    </row>
    <row r="4377">
      <c r="R4377" s="20" t="str">
        <f>IF($B4377="","",IFERROR(IF(INDEX(Config!$D$9:$D$29,MATCH($B4377,Config!$B$9:$B$29,0))="Contrato",IF(INDEX(Config!$E$9:$E$29,MATCH($B4377,Config!$B$9:$B$29,0))="","",INDEX(Config!$E$9:$E$29,MATCH($B4377,Config!$B$9:$B$29,0))),""),""))</f>
        <v/>
      </c>
      <c r="AC4377" s="19" t="str">
        <f>IF($B4377="","",IFERROR(INDEX(Config!$D$9:$D$29,MATCH($B4377,Config!$B$9:$B$29,0))&amp;"",""))</f>
        <v/>
      </c>
    </row>
    <row r="4378">
      <c r="R4378" s="20" t="str">
        <f>IF($B4378="","",IFERROR(IF(INDEX(Config!$D$9:$D$29,MATCH($B4378,Config!$B$9:$B$29,0))="Contrato",IF(INDEX(Config!$E$9:$E$29,MATCH($B4378,Config!$B$9:$B$29,0))="","",INDEX(Config!$E$9:$E$29,MATCH($B4378,Config!$B$9:$B$29,0))),""),""))</f>
        <v/>
      </c>
      <c r="AC4378" s="19" t="str">
        <f>IF($B4378="","",IFERROR(INDEX(Config!$D$9:$D$29,MATCH($B4378,Config!$B$9:$B$29,0))&amp;"",""))</f>
        <v/>
      </c>
    </row>
    <row r="4379">
      <c r="R4379" s="20" t="str">
        <f>IF($B4379="","",IFERROR(IF(INDEX(Config!$D$9:$D$29,MATCH($B4379,Config!$B$9:$B$29,0))="Contrato",IF(INDEX(Config!$E$9:$E$29,MATCH($B4379,Config!$B$9:$B$29,0))="","",INDEX(Config!$E$9:$E$29,MATCH($B4379,Config!$B$9:$B$29,0))),""),""))</f>
        <v/>
      </c>
      <c r="AC4379" s="19" t="str">
        <f>IF($B4379="","",IFERROR(INDEX(Config!$D$9:$D$29,MATCH($B4379,Config!$B$9:$B$29,0))&amp;"",""))</f>
        <v/>
      </c>
    </row>
    <row r="4380">
      <c r="R4380" s="20" t="str">
        <f>IF($B4380="","",IFERROR(IF(INDEX(Config!$D$9:$D$29,MATCH($B4380,Config!$B$9:$B$29,0))="Contrato",IF(INDEX(Config!$E$9:$E$29,MATCH($B4380,Config!$B$9:$B$29,0))="","",INDEX(Config!$E$9:$E$29,MATCH($B4380,Config!$B$9:$B$29,0))),""),""))</f>
        <v/>
      </c>
      <c r="AC4380" s="19" t="str">
        <f>IF($B4380="","",IFERROR(INDEX(Config!$D$9:$D$29,MATCH($B4380,Config!$B$9:$B$29,0))&amp;"",""))</f>
        <v/>
      </c>
    </row>
    <row r="4381">
      <c r="R4381" s="20" t="str">
        <f>IF($B4381="","",IFERROR(IF(INDEX(Config!$D$9:$D$29,MATCH($B4381,Config!$B$9:$B$29,0))="Contrato",IF(INDEX(Config!$E$9:$E$29,MATCH($B4381,Config!$B$9:$B$29,0))="","",INDEX(Config!$E$9:$E$29,MATCH($B4381,Config!$B$9:$B$29,0))),""),""))</f>
        <v/>
      </c>
      <c r="AC4381" s="19" t="str">
        <f>IF($B4381="","",IFERROR(INDEX(Config!$D$9:$D$29,MATCH($B4381,Config!$B$9:$B$29,0))&amp;"",""))</f>
        <v/>
      </c>
    </row>
    <row r="4382">
      <c r="R4382" s="20" t="str">
        <f>IF($B4382="","",IFERROR(IF(INDEX(Config!$D$9:$D$29,MATCH($B4382,Config!$B$9:$B$29,0))="Contrato",IF(INDEX(Config!$E$9:$E$29,MATCH($B4382,Config!$B$9:$B$29,0))="","",INDEX(Config!$E$9:$E$29,MATCH($B4382,Config!$B$9:$B$29,0))),""),""))</f>
        <v/>
      </c>
      <c r="AC4382" s="19" t="str">
        <f>IF($B4382="","",IFERROR(INDEX(Config!$D$9:$D$29,MATCH($B4382,Config!$B$9:$B$29,0))&amp;"",""))</f>
        <v/>
      </c>
    </row>
    <row r="4383">
      <c r="R4383" s="20" t="str">
        <f>IF($B4383="","",IFERROR(IF(INDEX(Config!$D$9:$D$29,MATCH($B4383,Config!$B$9:$B$29,0))="Contrato",IF(INDEX(Config!$E$9:$E$29,MATCH($B4383,Config!$B$9:$B$29,0))="","",INDEX(Config!$E$9:$E$29,MATCH($B4383,Config!$B$9:$B$29,0))),""),""))</f>
        <v/>
      </c>
      <c r="AC4383" s="19" t="str">
        <f>IF($B4383="","",IFERROR(INDEX(Config!$D$9:$D$29,MATCH($B4383,Config!$B$9:$B$29,0))&amp;"",""))</f>
        <v/>
      </c>
    </row>
    <row r="4384">
      <c r="R4384" s="20" t="str">
        <f>IF($B4384="","",IFERROR(IF(INDEX(Config!$D$9:$D$29,MATCH($B4384,Config!$B$9:$B$29,0))="Contrato",IF(INDEX(Config!$E$9:$E$29,MATCH($B4384,Config!$B$9:$B$29,0))="","",INDEX(Config!$E$9:$E$29,MATCH($B4384,Config!$B$9:$B$29,0))),""),""))</f>
        <v/>
      </c>
      <c r="AC4384" s="19" t="str">
        <f>IF($B4384="","",IFERROR(INDEX(Config!$D$9:$D$29,MATCH($B4384,Config!$B$9:$B$29,0))&amp;"",""))</f>
        <v/>
      </c>
    </row>
    <row r="4385">
      <c r="R4385" s="20" t="str">
        <f>IF($B4385="","",IFERROR(IF(INDEX(Config!$D$9:$D$29,MATCH($B4385,Config!$B$9:$B$29,0))="Contrato",IF(INDEX(Config!$E$9:$E$29,MATCH($B4385,Config!$B$9:$B$29,0))="","",INDEX(Config!$E$9:$E$29,MATCH($B4385,Config!$B$9:$B$29,0))),""),""))</f>
        <v/>
      </c>
      <c r="AC4385" s="19" t="str">
        <f>IF($B4385="","",IFERROR(INDEX(Config!$D$9:$D$29,MATCH($B4385,Config!$B$9:$B$29,0))&amp;"",""))</f>
        <v/>
      </c>
    </row>
    <row r="4386">
      <c r="R4386" s="20" t="str">
        <f>IF($B4386="","",IFERROR(IF(INDEX(Config!$D$9:$D$29,MATCH($B4386,Config!$B$9:$B$29,0))="Contrato",IF(INDEX(Config!$E$9:$E$29,MATCH($B4386,Config!$B$9:$B$29,0))="","",INDEX(Config!$E$9:$E$29,MATCH($B4386,Config!$B$9:$B$29,0))),""),""))</f>
        <v/>
      </c>
      <c r="AC4386" s="19" t="str">
        <f>IF($B4386="","",IFERROR(INDEX(Config!$D$9:$D$29,MATCH($B4386,Config!$B$9:$B$29,0))&amp;"",""))</f>
        <v/>
      </c>
    </row>
    <row r="4387">
      <c r="R4387" s="20" t="str">
        <f>IF($B4387="","",IFERROR(IF(INDEX(Config!$D$9:$D$29,MATCH($B4387,Config!$B$9:$B$29,0))="Contrato",IF(INDEX(Config!$E$9:$E$29,MATCH($B4387,Config!$B$9:$B$29,0))="","",INDEX(Config!$E$9:$E$29,MATCH($B4387,Config!$B$9:$B$29,0))),""),""))</f>
        <v/>
      </c>
      <c r="AC4387" s="19" t="str">
        <f>IF($B4387="","",IFERROR(INDEX(Config!$D$9:$D$29,MATCH($B4387,Config!$B$9:$B$29,0))&amp;"",""))</f>
        <v/>
      </c>
    </row>
    <row r="4388">
      <c r="R4388" s="20" t="str">
        <f>IF($B4388="","",IFERROR(IF(INDEX(Config!$D$9:$D$29,MATCH($B4388,Config!$B$9:$B$29,0))="Contrato",IF(INDEX(Config!$E$9:$E$29,MATCH($B4388,Config!$B$9:$B$29,0))="","",INDEX(Config!$E$9:$E$29,MATCH($B4388,Config!$B$9:$B$29,0))),""),""))</f>
        <v/>
      </c>
      <c r="AC4388" s="19" t="str">
        <f>IF($B4388="","",IFERROR(INDEX(Config!$D$9:$D$29,MATCH($B4388,Config!$B$9:$B$29,0))&amp;"",""))</f>
        <v/>
      </c>
    </row>
    <row r="4389">
      <c r="R4389" s="20" t="str">
        <f>IF($B4389="","",IFERROR(IF(INDEX(Config!$D$9:$D$29,MATCH($B4389,Config!$B$9:$B$29,0))="Contrato",IF(INDEX(Config!$E$9:$E$29,MATCH($B4389,Config!$B$9:$B$29,0))="","",INDEX(Config!$E$9:$E$29,MATCH($B4389,Config!$B$9:$B$29,0))),""),""))</f>
        <v/>
      </c>
      <c r="AC4389" s="19" t="str">
        <f>IF($B4389="","",IFERROR(INDEX(Config!$D$9:$D$29,MATCH($B4389,Config!$B$9:$B$29,0))&amp;"",""))</f>
        <v/>
      </c>
    </row>
    <row r="4390">
      <c r="R4390" s="20" t="str">
        <f>IF($B4390="","",IFERROR(IF(INDEX(Config!$D$9:$D$29,MATCH($B4390,Config!$B$9:$B$29,0))="Contrato",IF(INDEX(Config!$E$9:$E$29,MATCH($B4390,Config!$B$9:$B$29,0))="","",INDEX(Config!$E$9:$E$29,MATCH($B4390,Config!$B$9:$B$29,0))),""),""))</f>
        <v/>
      </c>
      <c r="AC4390" s="19" t="str">
        <f>IF($B4390="","",IFERROR(INDEX(Config!$D$9:$D$29,MATCH($B4390,Config!$B$9:$B$29,0))&amp;"",""))</f>
        <v/>
      </c>
    </row>
    <row r="4391">
      <c r="R4391" s="20" t="str">
        <f>IF($B4391="","",IFERROR(IF(INDEX(Config!$D$9:$D$29,MATCH($B4391,Config!$B$9:$B$29,0))="Contrato",IF(INDEX(Config!$E$9:$E$29,MATCH($B4391,Config!$B$9:$B$29,0))="","",INDEX(Config!$E$9:$E$29,MATCH($B4391,Config!$B$9:$B$29,0))),""),""))</f>
        <v/>
      </c>
      <c r="AC4391" s="19" t="str">
        <f>IF($B4391="","",IFERROR(INDEX(Config!$D$9:$D$29,MATCH($B4391,Config!$B$9:$B$29,0))&amp;"",""))</f>
        <v/>
      </c>
    </row>
    <row r="4392">
      <c r="R4392" s="20" t="str">
        <f>IF($B4392="","",IFERROR(IF(INDEX(Config!$D$9:$D$29,MATCH($B4392,Config!$B$9:$B$29,0))="Contrato",IF(INDEX(Config!$E$9:$E$29,MATCH($B4392,Config!$B$9:$B$29,0))="","",INDEX(Config!$E$9:$E$29,MATCH($B4392,Config!$B$9:$B$29,0))),""),""))</f>
        <v/>
      </c>
      <c r="AC4392" s="19" t="str">
        <f>IF($B4392="","",IFERROR(INDEX(Config!$D$9:$D$29,MATCH($B4392,Config!$B$9:$B$29,0))&amp;"",""))</f>
        <v/>
      </c>
    </row>
    <row r="4393">
      <c r="R4393" s="20" t="str">
        <f>IF($B4393="","",IFERROR(IF(INDEX(Config!$D$9:$D$29,MATCH($B4393,Config!$B$9:$B$29,0))="Contrato",IF(INDEX(Config!$E$9:$E$29,MATCH($B4393,Config!$B$9:$B$29,0))="","",INDEX(Config!$E$9:$E$29,MATCH($B4393,Config!$B$9:$B$29,0))),""),""))</f>
        <v/>
      </c>
      <c r="AC4393" s="19" t="str">
        <f>IF($B4393="","",IFERROR(INDEX(Config!$D$9:$D$29,MATCH($B4393,Config!$B$9:$B$29,0))&amp;"",""))</f>
        <v/>
      </c>
    </row>
    <row r="4394">
      <c r="R4394" s="20" t="str">
        <f>IF($B4394="","",IFERROR(IF(INDEX(Config!$D$9:$D$29,MATCH($B4394,Config!$B$9:$B$29,0))="Contrato",IF(INDEX(Config!$E$9:$E$29,MATCH($B4394,Config!$B$9:$B$29,0))="","",INDEX(Config!$E$9:$E$29,MATCH($B4394,Config!$B$9:$B$29,0))),""),""))</f>
        <v/>
      </c>
      <c r="AC4394" s="19" t="str">
        <f>IF($B4394="","",IFERROR(INDEX(Config!$D$9:$D$29,MATCH($B4394,Config!$B$9:$B$29,0))&amp;"",""))</f>
        <v/>
      </c>
    </row>
    <row r="4395">
      <c r="R4395" s="20" t="str">
        <f>IF($B4395="","",IFERROR(IF(INDEX(Config!$D$9:$D$29,MATCH($B4395,Config!$B$9:$B$29,0))="Contrato",IF(INDEX(Config!$E$9:$E$29,MATCH($B4395,Config!$B$9:$B$29,0))="","",INDEX(Config!$E$9:$E$29,MATCH($B4395,Config!$B$9:$B$29,0))),""),""))</f>
        <v/>
      </c>
      <c r="AC4395" s="19" t="str">
        <f>IF($B4395="","",IFERROR(INDEX(Config!$D$9:$D$29,MATCH($B4395,Config!$B$9:$B$29,0))&amp;"",""))</f>
        <v/>
      </c>
    </row>
    <row r="4396">
      <c r="R4396" s="20" t="str">
        <f>IF($B4396="","",IFERROR(IF(INDEX(Config!$D$9:$D$29,MATCH($B4396,Config!$B$9:$B$29,0))="Contrato",IF(INDEX(Config!$E$9:$E$29,MATCH($B4396,Config!$B$9:$B$29,0))="","",INDEX(Config!$E$9:$E$29,MATCH($B4396,Config!$B$9:$B$29,0))),""),""))</f>
        <v/>
      </c>
      <c r="AC4396" s="19" t="str">
        <f>IF($B4396="","",IFERROR(INDEX(Config!$D$9:$D$29,MATCH($B4396,Config!$B$9:$B$29,0))&amp;"",""))</f>
        <v/>
      </c>
    </row>
    <row r="4397">
      <c r="R4397" s="20" t="str">
        <f>IF($B4397="","",IFERROR(IF(INDEX(Config!$D$9:$D$29,MATCH($B4397,Config!$B$9:$B$29,0))="Contrato",IF(INDEX(Config!$E$9:$E$29,MATCH($B4397,Config!$B$9:$B$29,0))="","",INDEX(Config!$E$9:$E$29,MATCH($B4397,Config!$B$9:$B$29,0))),""),""))</f>
        <v/>
      </c>
      <c r="AC4397" s="19" t="str">
        <f>IF($B4397="","",IFERROR(INDEX(Config!$D$9:$D$29,MATCH($B4397,Config!$B$9:$B$29,0))&amp;"",""))</f>
        <v/>
      </c>
    </row>
    <row r="4398">
      <c r="R4398" s="20" t="str">
        <f>IF($B4398="","",IFERROR(IF(INDEX(Config!$D$9:$D$29,MATCH($B4398,Config!$B$9:$B$29,0))="Contrato",IF(INDEX(Config!$E$9:$E$29,MATCH($B4398,Config!$B$9:$B$29,0))="","",INDEX(Config!$E$9:$E$29,MATCH($B4398,Config!$B$9:$B$29,0))),""),""))</f>
        <v/>
      </c>
      <c r="AC4398" s="19" t="str">
        <f>IF($B4398="","",IFERROR(INDEX(Config!$D$9:$D$29,MATCH($B4398,Config!$B$9:$B$29,0))&amp;"",""))</f>
        <v/>
      </c>
    </row>
    <row r="4399">
      <c r="R4399" s="20" t="str">
        <f>IF($B4399="","",IFERROR(IF(INDEX(Config!$D$9:$D$29,MATCH($B4399,Config!$B$9:$B$29,0))="Contrato",IF(INDEX(Config!$E$9:$E$29,MATCH($B4399,Config!$B$9:$B$29,0))="","",INDEX(Config!$E$9:$E$29,MATCH($B4399,Config!$B$9:$B$29,0))),""),""))</f>
        <v/>
      </c>
      <c r="AC4399" s="19" t="str">
        <f>IF($B4399="","",IFERROR(INDEX(Config!$D$9:$D$29,MATCH($B4399,Config!$B$9:$B$29,0))&amp;"",""))</f>
        <v/>
      </c>
    </row>
    <row r="4400">
      <c r="R4400" s="20" t="str">
        <f>IF($B4400="","",IFERROR(IF(INDEX(Config!$D$9:$D$29,MATCH($B4400,Config!$B$9:$B$29,0))="Contrato",IF(INDEX(Config!$E$9:$E$29,MATCH($B4400,Config!$B$9:$B$29,0))="","",INDEX(Config!$E$9:$E$29,MATCH($B4400,Config!$B$9:$B$29,0))),""),""))</f>
        <v/>
      </c>
      <c r="AC4400" s="19" t="str">
        <f>IF($B4400="","",IFERROR(INDEX(Config!$D$9:$D$29,MATCH($B4400,Config!$B$9:$B$29,0))&amp;"",""))</f>
        <v/>
      </c>
    </row>
    <row r="4401">
      <c r="R4401" s="20" t="str">
        <f>IF($B4401="","",IFERROR(IF(INDEX(Config!$D$9:$D$29,MATCH($B4401,Config!$B$9:$B$29,0))="Contrato",IF(INDEX(Config!$E$9:$E$29,MATCH($B4401,Config!$B$9:$B$29,0))="","",INDEX(Config!$E$9:$E$29,MATCH($B4401,Config!$B$9:$B$29,0))),""),""))</f>
        <v/>
      </c>
      <c r="AC4401" s="19" t="str">
        <f>IF($B4401="","",IFERROR(INDEX(Config!$D$9:$D$29,MATCH($B4401,Config!$B$9:$B$29,0))&amp;"",""))</f>
        <v/>
      </c>
    </row>
    <row r="4402">
      <c r="R4402" s="20" t="str">
        <f>IF($B4402="","",IFERROR(IF(INDEX(Config!$D$9:$D$29,MATCH($B4402,Config!$B$9:$B$29,0))="Contrato",IF(INDEX(Config!$E$9:$E$29,MATCH($B4402,Config!$B$9:$B$29,0))="","",INDEX(Config!$E$9:$E$29,MATCH($B4402,Config!$B$9:$B$29,0))),""),""))</f>
        <v/>
      </c>
      <c r="AC4402" s="19" t="str">
        <f>IF($B4402="","",IFERROR(INDEX(Config!$D$9:$D$29,MATCH($B4402,Config!$B$9:$B$29,0))&amp;"",""))</f>
        <v/>
      </c>
    </row>
    <row r="4403">
      <c r="R4403" s="20" t="str">
        <f>IF($B4403="","",IFERROR(IF(INDEX(Config!$D$9:$D$29,MATCH($B4403,Config!$B$9:$B$29,0))="Contrato",IF(INDEX(Config!$E$9:$E$29,MATCH($B4403,Config!$B$9:$B$29,0))="","",INDEX(Config!$E$9:$E$29,MATCH($B4403,Config!$B$9:$B$29,0))),""),""))</f>
        <v/>
      </c>
      <c r="AC4403" s="19" t="str">
        <f>IF($B4403="","",IFERROR(INDEX(Config!$D$9:$D$29,MATCH($B4403,Config!$B$9:$B$29,0))&amp;"",""))</f>
        <v/>
      </c>
    </row>
    <row r="4404">
      <c r="R4404" s="20" t="str">
        <f>IF($B4404="","",IFERROR(IF(INDEX(Config!$D$9:$D$29,MATCH($B4404,Config!$B$9:$B$29,0))="Contrato",IF(INDEX(Config!$E$9:$E$29,MATCH($B4404,Config!$B$9:$B$29,0))="","",INDEX(Config!$E$9:$E$29,MATCH($B4404,Config!$B$9:$B$29,0))),""),""))</f>
        <v/>
      </c>
      <c r="AC4404" s="19" t="str">
        <f>IF($B4404="","",IFERROR(INDEX(Config!$D$9:$D$29,MATCH($B4404,Config!$B$9:$B$29,0))&amp;"",""))</f>
        <v/>
      </c>
    </row>
    <row r="4405">
      <c r="R4405" s="20" t="str">
        <f>IF($B4405="","",IFERROR(IF(INDEX(Config!$D$9:$D$29,MATCH($B4405,Config!$B$9:$B$29,0))="Contrato",IF(INDEX(Config!$E$9:$E$29,MATCH($B4405,Config!$B$9:$B$29,0))="","",INDEX(Config!$E$9:$E$29,MATCH($B4405,Config!$B$9:$B$29,0))),""),""))</f>
        <v/>
      </c>
      <c r="AC4405" s="19" t="str">
        <f>IF($B4405="","",IFERROR(INDEX(Config!$D$9:$D$29,MATCH($B4405,Config!$B$9:$B$29,0))&amp;"",""))</f>
        <v/>
      </c>
    </row>
    <row r="4406">
      <c r="R4406" s="20" t="str">
        <f>IF($B4406="","",IFERROR(IF(INDEX(Config!$D$9:$D$29,MATCH($B4406,Config!$B$9:$B$29,0))="Contrato",IF(INDEX(Config!$E$9:$E$29,MATCH($B4406,Config!$B$9:$B$29,0))="","",INDEX(Config!$E$9:$E$29,MATCH($B4406,Config!$B$9:$B$29,0))),""),""))</f>
        <v/>
      </c>
      <c r="AC4406" s="19" t="str">
        <f>IF($B4406="","",IFERROR(INDEX(Config!$D$9:$D$29,MATCH($B4406,Config!$B$9:$B$29,0))&amp;"",""))</f>
        <v/>
      </c>
    </row>
    <row r="4407">
      <c r="R4407" s="20" t="str">
        <f>IF($B4407="","",IFERROR(IF(INDEX(Config!$D$9:$D$29,MATCH($B4407,Config!$B$9:$B$29,0))="Contrato",IF(INDEX(Config!$E$9:$E$29,MATCH($B4407,Config!$B$9:$B$29,0))="","",INDEX(Config!$E$9:$E$29,MATCH($B4407,Config!$B$9:$B$29,0))),""),""))</f>
        <v/>
      </c>
      <c r="AC4407" s="19" t="str">
        <f>IF($B4407="","",IFERROR(INDEX(Config!$D$9:$D$29,MATCH($B4407,Config!$B$9:$B$29,0))&amp;"",""))</f>
        <v/>
      </c>
    </row>
    <row r="4408">
      <c r="R4408" s="20" t="str">
        <f>IF($B4408="","",IFERROR(IF(INDEX(Config!$D$9:$D$29,MATCH($B4408,Config!$B$9:$B$29,0))="Contrato",IF(INDEX(Config!$E$9:$E$29,MATCH($B4408,Config!$B$9:$B$29,0))="","",INDEX(Config!$E$9:$E$29,MATCH($B4408,Config!$B$9:$B$29,0))),""),""))</f>
        <v/>
      </c>
      <c r="AC4408" s="19" t="str">
        <f>IF($B4408="","",IFERROR(INDEX(Config!$D$9:$D$29,MATCH($B4408,Config!$B$9:$B$29,0))&amp;"",""))</f>
        <v/>
      </c>
    </row>
    <row r="4409">
      <c r="R4409" s="20" t="str">
        <f>IF($B4409="","",IFERROR(IF(INDEX(Config!$D$9:$D$29,MATCH($B4409,Config!$B$9:$B$29,0))="Contrato",IF(INDEX(Config!$E$9:$E$29,MATCH($B4409,Config!$B$9:$B$29,0))="","",INDEX(Config!$E$9:$E$29,MATCH($B4409,Config!$B$9:$B$29,0))),""),""))</f>
        <v/>
      </c>
      <c r="AC4409" s="19" t="str">
        <f>IF($B4409="","",IFERROR(INDEX(Config!$D$9:$D$29,MATCH($B4409,Config!$B$9:$B$29,0))&amp;"",""))</f>
        <v/>
      </c>
    </row>
    <row r="4410">
      <c r="R4410" s="20" t="str">
        <f>IF($B4410="","",IFERROR(IF(INDEX(Config!$D$9:$D$29,MATCH($B4410,Config!$B$9:$B$29,0))="Contrato",IF(INDEX(Config!$E$9:$E$29,MATCH($B4410,Config!$B$9:$B$29,0))="","",INDEX(Config!$E$9:$E$29,MATCH($B4410,Config!$B$9:$B$29,0))),""),""))</f>
        <v/>
      </c>
      <c r="AC4410" s="19" t="str">
        <f>IF($B4410="","",IFERROR(INDEX(Config!$D$9:$D$29,MATCH($B4410,Config!$B$9:$B$29,0))&amp;"",""))</f>
        <v/>
      </c>
    </row>
    <row r="4411">
      <c r="R4411" s="20" t="str">
        <f>IF($B4411="","",IFERROR(IF(INDEX(Config!$D$9:$D$29,MATCH($B4411,Config!$B$9:$B$29,0))="Contrato",IF(INDEX(Config!$E$9:$E$29,MATCH($B4411,Config!$B$9:$B$29,0))="","",INDEX(Config!$E$9:$E$29,MATCH($B4411,Config!$B$9:$B$29,0))),""),""))</f>
        <v/>
      </c>
      <c r="AC4411" s="19" t="str">
        <f>IF($B4411="","",IFERROR(INDEX(Config!$D$9:$D$29,MATCH($B4411,Config!$B$9:$B$29,0))&amp;"",""))</f>
        <v/>
      </c>
    </row>
    <row r="4412">
      <c r="R4412" s="20" t="str">
        <f>IF($B4412="","",IFERROR(IF(INDEX(Config!$D$9:$D$29,MATCH($B4412,Config!$B$9:$B$29,0))="Contrato",IF(INDEX(Config!$E$9:$E$29,MATCH($B4412,Config!$B$9:$B$29,0))="","",INDEX(Config!$E$9:$E$29,MATCH($B4412,Config!$B$9:$B$29,0))),""),""))</f>
        <v/>
      </c>
      <c r="AC4412" s="19" t="str">
        <f>IF($B4412="","",IFERROR(INDEX(Config!$D$9:$D$29,MATCH($B4412,Config!$B$9:$B$29,0))&amp;"",""))</f>
        <v/>
      </c>
    </row>
    <row r="4413">
      <c r="R4413" s="20" t="str">
        <f>IF($B4413="","",IFERROR(IF(INDEX(Config!$D$9:$D$29,MATCH($B4413,Config!$B$9:$B$29,0))="Contrato",IF(INDEX(Config!$E$9:$E$29,MATCH($B4413,Config!$B$9:$B$29,0))="","",INDEX(Config!$E$9:$E$29,MATCH($B4413,Config!$B$9:$B$29,0))),""),""))</f>
        <v/>
      </c>
      <c r="AC4413" s="19" t="str">
        <f>IF($B4413="","",IFERROR(INDEX(Config!$D$9:$D$29,MATCH($B4413,Config!$B$9:$B$29,0))&amp;"",""))</f>
        <v/>
      </c>
    </row>
    <row r="4414">
      <c r="R4414" s="20" t="str">
        <f>IF($B4414="","",IFERROR(IF(INDEX(Config!$D$9:$D$29,MATCH($B4414,Config!$B$9:$B$29,0))="Contrato",IF(INDEX(Config!$E$9:$E$29,MATCH($B4414,Config!$B$9:$B$29,0))="","",INDEX(Config!$E$9:$E$29,MATCH($B4414,Config!$B$9:$B$29,0))),""),""))</f>
        <v/>
      </c>
      <c r="AC4414" s="19" t="str">
        <f>IF($B4414="","",IFERROR(INDEX(Config!$D$9:$D$29,MATCH($B4414,Config!$B$9:$B$29,0))&amp;"",""))</f>
        <v/>
      </c>
    </row>
    <row r="4415">
      <c r="R4415" s="20" t="str">
        <f>IF($B4415="","",IFERROR(IF(INDEX(Config!$D$9:$D$29,MATCH($B4415,Config!$B$9:$B$29,0))="Contrato",IF(INDEX(Config!$E$9:$E$29,MATCH($B4415,Config!$B$9:$B$29,0))="","",INDEX(Config!$E$9:$E$29,MATCH($B4415,Config!$B$9:$B$29,0))),""),""))</f>
        <v/>
      </c>
      <c r="AC4415" s="19" t="str">
        <f>IF($B4415="","",IFERROR(INDEX(Config!$D$9:$D$29,MATCH($B4415,Config!$B$9:$B$29,0))&amp;"",""))</f>
        <v/>
      </c>
    </row>
    <row r="4416">
      <c r="R4416" s="20" t="str">
        <f>IF($B4416="","",IFERROR(IF(INDEX(Config!$D$9:$D$29,MATCH($B4416,Config!$B$9:$B$29,0))="Contrato",IF(INDEX(Config!$E$9:$E$29,MATCH($B4416,Config!$B$9:$B$29,0))="","",INDEX(Config!$E$9:$E$29,MATCH($B4416,Config!$B$9:$B$29,0))),""),""))</f>
        <v/>
      </c>
      <c r="AC4416" s="19" t="str">
        <f>IF($B4416="","",IFERROR(INDEX(Config!$D$9:$D$29,MATCH($B4416,Config!$B$9:$B$29,0))&amp;"",""))</f>
        <v/>
      </c>
    </row>
    <row r="4417">
      <c r="R4417" s="20" t="str">
        <f>IF($B4417="","",IFERROR(IF(INDEX(Config!$D$9:$D$29,MATCH($B4417,Config!$B$9:$B$29,0))="Contrato",IF(INDEX(Config!$E$9:$E$29,MATCH($B4417,Config!$B$9:$B$29,0))="","",INDEX(Config!$E$9:$E$29,MATCH($B4417,Config!$B$9:$B$29,0))),""),""))</f>
        <v/>
      </c>
      <c r="AC4417" s="19" t="str">
        <f>IF($B4417="","",IFERROR(INDEX(Config!$D$9:$D$29,MATCH($B4417,Config!$B$9:$B$29,0))&amp;"",""))</f>
        <v/>
      </c>
    </row>
    <row r="4418">
      <c r="R4418" s="20" t="str">
        <f>IF($B4418="","",IFERROR(IF(INDEX(Config!$D$9:$D$29,MATCH($B4418,Config!$B$9:$B$29,0))="Contrato",IF(INDEX(Config!$E$9:$E$29,MATCH($B4418,Config!$B$9:$B$29,0))="","",INDEX(Config!$E$9:$E$29,MATCH($B4418,Config!$B$9:$B$29,0))),""),""))</f>
        <v/>
      </c>
      <c r="AC4418" s="19" t="str">
        <f>IF($B4418="","",IFERROR(INDEX(Config!$D$9:$D$29,MATCH($B4418,Config!$B$9:$B$29,0))&amp;"",""))</f>
        <v/>
      </c>
    </row>
    <row r="4419">
      <c r="R4419" s="20" t="str">
        <f>IF($B4419="","",IFERROR(IF(INDEX(Config!$D$9:$D$29,MATCH($B4419,Config!$B$9:$B$29,0))="Contrato",IF(INDEX(Config!$E$9:$E$29,MATCH($B4419,Config!$B$9:$B$29,0))="","",INDEX(Config!$E$9:$E$29,MATCH($B4419,Config!$B$9:$B$29,0))),""),""))</f>
        <v/>
      </c>
      <c r="AC4419" s="19" t="str">
        <f>IF($B4419="","",IFERROR(INDEX(Config!$D$9:$D$29,MATCH($B4419,Config!$B$9:$B$29,0))&amp;"",""))</f>
        <v/>
      </c>
    </row>
    <row r="4420">
      <c r="R4420" s="20" t="str">
        <f>IF($B4420="","",IFERROR(IF(INDEX(Config!$D$9:$D$29,MATCH($B4420,Config!$B$9:$B$29,0))="Contrato",IF(INDEX(Config!$E$9:$E$29,MATCH($B4420,Config!$B$9:$B$29,0))="","",INDEX(Config!$E$9:$E$29,MATCH($B4420,Config!$B$9:$B$29,0))),""),""))</f>
        <v/>
      </c>
      <c r="AC4420" s="19" t="str">
        <f>IF($B4420="","",IFERROR(INDEX(Config!$D$9:$D$29,MATCH($B4420,Config!$B$9:$B$29,0))&amp;"",""))</f>
        <v/>
      </c>
    </row>
    <row r="4421">
      <c r="R4421" s="20" t="str">
        <f>IF($B4421="","",IFERROR(IF(INDEX(Config!$D$9:$D$29,MATCH($B4421,Config!$B$9:$B$29,0))="Contrato",IF(INDEX(Config!$E$9:$E$29,MATCH($B4421,Config!$B$9:$B$29,0))="","",INDEX(Config!$E$9:$E$29,MATCH($B4421,Config!$B$9:$B$29,0))),""),""))</f>
        <v/>
      </c>
      <c r="AC4421" s="19" t="str">
        <f>IF($B4421="","",IFERROR(INDEX(Config!$D$9:$D$29,MATCH($B4421,Config!$B$9:$B$29,0))&amp;"",""))</f>
        <v/>
      </c>
    </row>
    <row r="4422">
      <c r="R4422" s="20" t="str">
        <f>IF($B4422="","",IFERROR(IF(INDEX(Config!$D$9:$D$29,MATCH($B4422,Config!$B$9:$B$29,0))="Contrato",IF(INDEX(Config!$E$9:$E$29,MATCH($B4422,Config!$B$9:$B$29,0))="","",INDEX(Config!$E$9:$E$29,MATCH($B4422,Config!$B$9:$B$29,0))),""),""))</f>
        <v/>
      </c>
      <c r="AC4422" s="19" t="str">
        <f>IF($B4422="","",IFERROR(INDEX(Config!$D$9:$D$29,MATCH($B4422,Config!$B$9:$B$29,0))&amp;"",""))</f>
        <v/>
      </c>
    </row>
    <row r="4423">
      <c r="R4423" s="20" t="str">
        <f>IF($B4423="","",IFERROR(IF(INDEX(Config!$D$9:$D$29,MATCH($B4423,Config!$B$9:$B$29,0))="Contrato",IF(INDEX(Config!$E$9:$E$29,MATCH($B4423,Config!$B$9:$B$29,0))="","",INDEX(Config!$E$9:$E$29,MATCH($B4423,Config!$B$9:$B$29,0))),""),""))</f>
        <v/>
      </c>
      <c r="AC4423" s="19" t="str">
        <f>IF($B4423="","",IFERROR(INDEX(Config!$D$9:$D$29,MATCH($B4423,Config!$B$9:$B$29,0))&amp;"",""))</f>
        <v/>
      </c>
    </row>
    <row r="4424">
      <c r="R4424" s="20" t="str">
        <f>IF($B4424="","",IFERROR(IF(INDEX(Config!$D$9:$D$29,MATCH($B4424,Config!$B$9:$B$29,0))="Contrato",IF(INDEX(Config!$E$9:$E$29,MATCH($B4424,Config!$B$9:$B$29,0))="","",INDEX(Config!$E$9:$E$29,MATCH($B4424,Config!$B$9:$B$29,0))),""),""))</f>
        <v/>
      </c>
      <c r="AC4424" s="19" t="str">
        <f>IF($B4424="","",IFERROR(INDEX(Config!$D$9:$D$29,MATCH($B4424,Config!$B$9:$B$29,0))&amp;"",""))</f>
        <v/>
      </c>
    </row>
    <row r="4425">
      <c r="R4425" s="20" t="str">
        <f>IF($B4425="","",IFERROR(IF(INDEX(Config!$D$9:$D$29,MATCH($B4425,Config!$B$9:$B$29,0))="Contrato",IF(INDEX(Config!$E$9:$E$29,MATCH($B4425,Config!$B$9:$B$29,0))="","",INDEX(Config!$E$9:$E$29,MATCH($B4425,Config!$B$9:$B$29,0))),""),""))</f>
        <v/>
      </c>
      <c r="AC4425" s="19" t="str">
        <f>IF($B4425="","",IFERROR(INDEX(Config!$D$9:$D$29,MATCH($B4425,Config!$B$9:$B$29,0))&amp;"",""))</f>
        <v/>
      </c>
    </row>
    <row r="4426">
      <c r="R4426" s="20" t="str">
        <f>IF($B4426="","",IFERROR(IF(INDEX(Config!$D$9:$D$29,MATCH($B4426,Config!$B$9:$B$29,0))="Contrato",IF(INDEX(Config!$E$9:$E$29,MATCH($B4426,Config!$B$9:$B$29,0))="","",INDEX(Config!$E$9:$E$29,MATCH($B4426,Config!$B$9:$B$29,0))),""),""))</f>
        <v/>
      </c>
      <c r="AC4426" s="19" t="str">
        <f>IF($B4426="","",IFERROR(INDEX(Config!$D$9:$D$29,MATCH($B4426,Config!$B$9:$B$29,0))&amp;"",""))</f>
        <v/>
      </c>
    </row>
    <row r="4427">
      <c r="R4427" s="20" t="str">
        <f>IF($B4427="","",IFERROR(IF(INDEX(Config!$D$9:$D$29,MATCH($B4427,Config!$B$9:$B$29,0))="Contrato",IF(INDEX(Config!$E$9:$E$29,MATCH($B4427,Config!$B$9:$B$29,0))="","",INDEX(Config!$E$9:$E$29,MATCH($B4427,Config!$B$9:$B$29,0))),""),""))</f>
        <v/>
      </c>
      <c r="AC4427" s="19" t="str">
        <f>IF($B4427="","",IFERROR(INDEX(Config!$D$9:$D$29,MATCH($B4427,Config!$B$9:$B$29,0))&amp;"",""))</f>
        <v/>
      </c>
    </row>
    <row r="4428">
      <c r="R4428" s="20" t="str">
        <f>IF($B4428="","",IFERROR(IF(INDEX(Config!$D$9:$D$29,MATCH($B4428,Config!$B$9:$B$29,0))="Contrato",IF(INDEX(Config!$E$9:$E$29,MATCH($B4428,Config!$B$9:$B$29,0))="","",INDEX(Config!$E$9:$E$29,MATCH($B4428,Config!$B$9:$B$29,0))),""),""))</f>
        <v/>
      </c>
      <c r="AC4428" s="19" t="str">
        <f>IF($B4428="","",IFERROR(INDEX(Config!$D$9:$D$29,MATCH($B4428,Config!$B$9:$B$29,0))&amp;"",""))</f>
        <v/>
      </c>
    </row>
    <row r="4429">
      <c r="R4429" s="20" t="str">
        <f>IF($B4429="","",IFERROR(IF(INDEX(Config!$D$9:$D$29,MATCH($B4429,Config!$B$9:$B$29,0))="Contrato",IF(INDEX(Config!$E$9:$E$29,MATCH($B4429,Config!$B$9:$B$29,0))="","",INDEX(Config!$E$9:$E$29,MATCH($B4429,Config!$B$9:$B$29,0))),""),""))</f>
        <v/>
      </c>
      <c r="AC4429" s="19" t="str">
        <f>IF($B4429="","",IFERROR(INDEX(Config!$D$9:$D$29,MATCH($B4429,Config!$B$9:$B$29,0))&amp;"",""))</f>
        <v/>
      </c>
    </row>
    <row r="4430">
      <c r="R4430" s="20" t="str">
        <f>IF($B4430="","",IFERROR(IF(INDEX(Config!$D$9:$D$29,MATCH($B4430,Config!$B$9:$B$29,0))="Contrato",IF(INDEX(Config!$E$9:$E$29,MATCH($B4430,Config!$B$9:$B$29,0))="","",INDEX(Config!$E$9:$E$29,MATCH($B4430,Config!$B$9:$B$29,0))),""),""))</f>
        <v/>
      </c>
      <c r="AC4430" s="19" t="str">
        <f>IF($B4430="","",IFERROR(INDEX(Config!$D$9:$D$29,MATCH($B4430,Config!$B$9:$B$29,0))&amp;"",""))</f>
        <v/>
      </c>
    </row>
    <row r="4431">
      <c r="R4431" s="20" t="str">
        <f>IF($B4431="","",IFERROR(IF(INDEX(Config!$D$9:$D$29,MATCH($B4431,Config!$B$9:$B$29,0))="Contrato",IF(INDEX(Config!$E$9:$E$29,MATCH($B4431,Config!$B$9:$B$29,0))="","",INDEX(Config!$E$9:$E$29,MATCH($B4431,Config!$B$9:$B$29,0))),""),""))</f>
        <v/>
      </c>
      <c r="AC4431" s="19" t="str">
        <f>IF($B4431="","",IFERROR(INDEX(Config!$D$9:$D$29,MATCH($B4431,Config!$B$9:$B$29,0))&amp;"",""))</f>
        <v/>
      </c>
    </row>
    <row r="4432">
      <c r="R4432" s="20" t="str">
        <f>IF($B4432="","",IFERROR(IF(INDEX(Config!$D$9:$D$29,MATCH($B4432,Config!$B$9:$B$29,0))="Contrato",IF(INDEX(Config!$E$9:$E$29,MATCH($B4432,Config!$B$9:$B$29,0))="","",INDEX(Config!$E$9:$E$29,MATCH($B4432,Config!$B$9:$B$29,0))),""),""))</f>
        <v/>
      </c>
      <c r="AC4432" s="19" t="str">
        <f>IF($B4432="","",IFERROR(INDEX(Config!$D$9:$D$29,MATCH($B4432,Config!$B$9:$B$29,0))&amp;"",""))</f>
        <v/>
      </c>
    </row>
    <row r="4433">
      <c r="R4433" s="20" t="str">
        <f>IF($B4433="","",IFERROR(IF(INDEX(Config!$D$9:$D$29,MATCH($B4433,Config!$B$9:$B$29,0))="Contrato",IF(INDEX(Config!$E$9:$E$29,MATCH($B4433,Config!$B$9:$B$29,0))="","",INDEX(Config!$E$9:$E$29,MATCH($B4433,Config!$B$9:$B$29,0))),""),""))</f>
        <v/>
      </c>
      <c r="AC4433" s="19" t="str">
        <f>IF($B4433="","",IFERROR(INDEX(Config!$D$9:$D$29,MATCH($B4433,Config!$B$9:$B$29,0))&amp;"",""))</f>
        <v/>
      </c>
    </row>
    <row r="4434">
      <c r="R4434" s="20" t="str">
        <f>IF($B4434="","",IFERROR(IF(INDEX(Config!$D$9:$D$29,MATCH($B4434,Config!$B$9:$B$29,0))="Contrato",IF(INDEX(Config!$E$9:$E$29,MATCH($B4434,Config!$B$9:$B$29,0))="","",INDEX(Config!$E$9:$E$29,MATCH($B4434,Config!$B$9:$B$29,0))),""),""))</f>
        <v/>
      </c>
      <c r="AC4434" s="19" t="str">
        <f>IF($B4434="","",IFERROR(INDEX(Config!$D$9:$D$29,MATCH($B4434,Config!$B$9:$B$29,0))&amp;"",""))</f>
        <v/>
      </c>
    </row>
    <row r="4435">
      <c r="R4435" s="20" t="str">
        <f>IF($B4435="","",IFERROR(IF(INDEX(Config!$D$9:$D$29,MATCH($B4435,Config!$B$9:$B$29,0))="Contrato",IF(INDEX(Config!$E$9:$E$29,MATCH($B4435,Config!$B$9:$B$29,0))="","",INDEX(Config!$E$9:$E$29,MATCH($B4435,Config!$B$9:$B$29,0))),""),""))</f>
        <v/>
      </c>
      <c r="AC4435" s="19" t="str">
        <f>IF($B4435="","",IFERROR(INDEX(Config!$D$9:$D$29,MATCH($B4435,Config!$B$9:$B$29,0))&amp;"",""))</f>
        <v/>
      </c>
    </row>
    <row r="4436">
      <c r="R4436" s="20" t="str">
        <f>IF($B4436="","",IFERROR(IF(INDEX(Config!$D$9:$D$29,MATCH($B4436,Config!$B$9:$B$29,0))="Contrato",IF(INDEX(Config!$E$9:$E$29,MATCH($B4436,Config!$B$9:$B$29,0))="","",INDEX(Config!$E$9:$E$29,MATCH($B4436,Config!$B$9:$B$29,0))),""),""))</f>
        <v/>
      </c>
      <c r="AC4436" s="19" t="str">
        <f>IF($B4436="","",IFERROR(INDEX(Config!$D$9:$D$29,MATCH($B4436,Config!$B$9:$B$29,0))&amp;"",""))</f>
        <v/>
      </c>
    </row>
    <row r="4437">
      <c r="R4437" s="20" t="str">
        <f>IF($B4437="","",IFERROR(IF(INDEX(Config!$D$9:$D$29,MATCH($B4437,Config!$B$9:$B$29,0))="Contrato",IF(INDEX(Config!$E$9:$E$29,MATCH($B4437,Config!$B$9:$B$29,0))="","",INDEX(Config!$E$9:$E$29,MATCH($B4437,Config!$B$9:$B$29,0))),""),""))</f>
        <v/>
      </c>
      <c r="AC4437" s="19" t="str">
        <f>IF($B4437="","",IFERROR(INDEX(Config!$D$9:$D$29,MATCH($B4437,Config!$B$9:$B$29,0))&amp;"",""))</f>
        <v/>
      </c>
    </row>
    <row r="4438">
      <c r="R4438" s="20" t="str">
        <f>IF($B4438="","",IFERROR(IF(INDEX(Config!$D$9:$D$29,MATCH($B4438,Config!$B$9:$B$29,0))="Contrato",IF(INDEX(Config!$E$9:$E$29,MATCH($B4438,Config!$B$9:$B$29,0))="","",INDEX(Config!$E$9:$E$29,MATCH($B4438,Config!$B$9:$B$29,0))),""),""))</f>
        <v/>
      </c>
      <c r="AC4438" s="19" t="str">
        <f>IF($B4438="","",IFERROR(INDEX(Config!$D$9:$D$29,MATCH($B4438,Config!$B$9:$B$29,0))&amp;"",""))</f>
        <v/>
      </c>
    </row>
    <row r="4439">
      <c r="R4439" s="20" t="str">
        <f>IF($B4439="","",IFERROR(IF(INDEX(Config!$D$9:$D$29,MATCH($B4439,Config!$B$9:$B$29,0))="Contrato",IF(INDEX(Config!$E$9:$E$29,MATCH($B4439,Config!$B$9:$B$29,0))="","",INDEX(Config!$E$9:$E$29,MATCH($B4439,Config!$B$9:$B$29,0))),""),""))</f>
        <v/>
      </c>
      <c r="AC4439" s="19" t="str">
        <f>IF($B4439="","",IFERROR(INDEX(Config!$D$9:$D$29,MATCH($B4439,Config!$B$9:$B$29,0))&amp;"",""))</f>
        <v/>
      </c>
    </row>
    <row r="4440">
      <c r="R4440" s="20" t="str">
        <f>IF($B4440="","",IFERROR(IF(INDEX(Config!$D$9:$D$29,MATCH($B4440,Config!$B$9:$B$29,0))="Contrato",IF(INDEX(Config!$E$9:$E$29,MATCH($B4440,Config!$B$9:$B$29,0))="","",INDEX(Config!$E$9:$E$29,MATCH($B4440,Config!$B$9:$B$29,0))),""),""))</f>
        <v/>
      </c>
      <c r="AC4440" s="19" t="str">
        <f>IF($B4440="","",IFERROR(INDEX(Config!$D$9:$D$29,MATCH($B4440,Config!$B$9:$B$29,0))&amp;"",""))</f>
        <v/>
      </c>
    </row>
    <row r="4441">
      <c r="R4441" s="20" t="str">
        <f>IF($B4441="","",IFERROR(IF(INDEX(Config!$D$9:$D$29,MATCH($B4441,Config!$B$9:$B$29,0))="Contrato",IF(INDEX(Config!$E$9:$E$29,MATCH($B4441,Config!$B$9:$B$29,0))="","",INDEX(Config!$E$9:$E$29,MATCH($B4441,Config!$B$9:$B$29,0))),""),""))</f>
        <v/>
      </c>
      <c r="AC4441" s="19" t="str">
        <f>IF($B4441="","",IFERROR(INDEX(Config!$D$9:$D$29,MATCH($B4441,Config!$B$9:$B$29,0))&amp;"",""))</f>
        <v/>
      </c>
    </row>
    <row r="4442">
      <c r="R4442" s="20" t="str">
        <f>IF($B4442="","",IFERROR(IF(INDEX(Config!$D$9:$D$29,MATCH($B4442,Config!$B$9:$B$29,0))="Contrato",IF(INDEX(Config!$E$9:$E$29,MATCH($B4442,Config!$B$9:$B$29,0))="","",INDEX(Config!$E$9:$E$29,MATCH($B4442,Config!$B$9:$B$29,0))),""),""))</f>
        <v/>
      </c>
      <c r="AC4442" s="19" t="str">
        <f>IF($B4442="","",IFERROR(INDEX(Config!$D$9:$D$29,MATCH($B4442,Config!$B$9:$B$29,0))&amp;"",""))</f>
        <v/>
      </c>
    </row>
    <row r="4443">
      <c r="R4443" s="20" t="str">
        <f>IF($B4443="","",IFERROR(IF(INDEX(Config!$D$9:$D$29,MATCH($B4443,Config!$B$9:$B$29,0))="Contrato",IF(INDEX(Config!$E$9:$E$29,MATCH($B4443,Config!$B$9:$B$29,0))="","",INDEX(Config!$E$9:$E$29,MATCH($B4443,Config!$B$9:$B$29,0))),""),""))</f>
        <v/>
      </c>
      <c r="AC4443" s="19" t="str">
        <f>IF($B4443="","",IFERROR(INDEX(Config!$D$9:$D$29,MATCH($B4443,Config!$B$9:$B$29,0))&amp;"",""))</f>
        <v/>
      </c>
    </row>
    <row r="4444">
      <c r="R4444" s="20" t="str">
        <f>IF($B4444="","",IFERROR(IF(INDEX(Config!$D$9:$D$29,MATCH($B4444,Config!$B$9:$B$29,0))="Contrato",IF(INDEX(Config!$E$9:$E$29,MATCH($B4444,Config!$B$9:$B$29,0))="","",INDEX(Config!$E$9:$E$29,MATCH($B4444,Config!$B$9:$B$29,0))),""),""))</f>
        <v/>
      </c>
      <c r="AC4444" s="19" t="str">
        <f>IF($B4444="","",IFERROR(INDEX(Config!$D$9:$D$29,MATCH($B4444,Config!$B$9:$B$29,0))&amp;"",""))</f>
        <v/>
      </c>
    </row>
    <row r="4445">
      <c r="R4445" s="20" t="str">
        <f>IF($B4445="","",IFERROR(IF(INDEX(Config!$D$9:$D$29,MATCH($B4445,Config!$B$9:$B$29,0))="Contrato",IF(INDEX(Config!$E$9:$E$29,MATCH($B4445,Config!$B$9:$B$29,0))="","",INDEX(Config!$E$9:$E$29,MATCH($B4445,Config!$B$9:$B$29,0))),""),""))</f>
        <v/>
      </c>
      <c r="AC4445" s="19" t="str">
        <f>IF($B4445="","",IFERROR(INDEX(Config!$D$9:$D$29,MATCH($B4445,Config!$B$9:$B$29,0))&amp;"",""))</f>
        <v/>
      </c>
    </row>
    <row r="4446">
      <c r="R4446" s="20" t="str">
        <f>IF($B4446="","",IFERROR(IF(INDEX(Config!$D$9:$D$29,MATCH($B4446,Config!$B$9:$B$29,0))="Contrato",IF(INDEX(Config!$E$9:$E$29,MATCH($B4446,Config!$B$9:$B$29,0))="","",INDEX(Config!$E$9:$E$29,MATCH($B4446,Config!$B$9:$B$29,0))),""),""))</f>
        <v/>
      </c>
      <c r="AC4446" s="19" t="str">
        <f>IF($B4446="","",IFERROR(INDEX(Config!$D$9:$D$29,MATCH($B4446,Config!$B$9:$B$29,0))&amp;"",""))</f>
        <v/>
      </c>
    </row>
    <row r="4447">
      <c r="R4447" s="20" t="str">
        <f>IF($B4447="","",IFERROR(IF(INDEX(Config!$D$9:$D$29,MATCH($B4447,Config!$B$9:$B$29,0))="Contrato",IF(INDEX(Config!$E$9:$E$29,MATCH($B4447,Config!$B$9:$B$29,0))="","",INDEX(Config!$E$9:$E$29,MATCH($B4447,Config!$B$9:$B$29,0))),""),""))</f>
        <v/>
      </c>
      <c r="AC4447" s="19" t="str">
        <f>IF($B4447="","",IFERROR(INDEX(Config!$D$9:$D$29,MATCH($B4447,Config!$B$9:$B$29,0))&amp;"",""))</f>
        <v/>
      </c>
    </row>
    <row r="4448">
      <c r="R4448" s="20" t="str">
        <f>IF($B4448="","",IFERROR(IF(INDEX(Config!$D$9:$D$29,MATCH($B4448,Config!$B$9:$B$29,0))="Contrato",IF(INDEX(Config!$E$9:$E$29,MATCH($B4448,Config!$B$9:$B$29,0))="","",INDEX(Config!$E$9:$E$29,MATCH($B4448,Config!$B$9:$B$29,0))),""),""))</f>
        <v/>
      </c>
      <c r="AC4448" s="19" t="str">
        <f>IF($B4448="","",IFERROR(INDEX(Config!$D$9:$D$29,MATCH($B4448,Config!$B$9:$B$29,0))&amp;"",""))</f>
        <v/>
      </c>
    </row>
    <row r="4449">
      <c r="R4449" s="20" t="str">
        <f>IF($B4449="","",IFERROR(IF(INDEX(Config!$D$9:$D$29,MATCH($B4449,Config!$B$9:$B$29,0))="Contrato",IF(INDEX(Config!$E$9:$E$29,MATCH($B4449,Config!$B$9:$B$29,0))="","",INDEX(Config!$E$9:$E$29,MATCH($B4449,Config!$B$9:$B$29,0))),""),""))</f>
        <v/>
      </c>
      <c r="AC4449" s="19" t="str">
        <f>IF($B4449="","",IFERROR(INDEX(Config!$D$9:$D$29,MATCH($B4449,Config!$B$9:$B$29,0))&amp;"",""))</f>
        <v/>
      </c>
    </row>
    <row r="4450">
      <c r="R4450" s="20" t="str">
        <f>IF($B4450="","",IFERROR(IF(INDEX(Config!$D$9:$D$29,MATCH($B4450,Config!$B$9:$B$29,0))="Contrato",IF(INDEX(Config!$E$9:$E$29,MATCH($B4450,Config!$B$9:$B$29,0))="","",INDEX(Config!$E$9:$E$29,MATCH($B4450,Config!$B$9:$B$29,0))),""),""))</f>
        <v/>
      </c>
      <c r="AC4450" s="19" t="str">
        <f>IF($B4450="","",IFERROR(INDEX(Config!$D$9:$D$29,MATCH($B4450,Config!$B$9:$B$29,0))&amp;"",""))</f>
        <v/>
      </c>
    </row>
    <row r="4451">
      <c r="R4451" s="20" t="str">
        <f>IF($B4451="","",IFERROR(IF(INDEX(Config!$D$9:$D$29,MATCH($B4451,Config!$B$9:$B$29,0))="Contrato",IF(INDEX(Config!$E$9:$E$29,MATCH($B4451,Config!$B$9:$B$29,0))="","",INDEX(Config!$E$9:$E$29,MATCH($B4451,Config!$B$9:$B$29,0))),""),""))</f>
        <v/>
      </c>
      <c r="AC4451" s="19" t="str">
        <f>IF($B4451="","",IFERROR(INDEX(Config!$D$9:$D$29,MATCH($B4451,Config!$B$9:$B$29,0))&amp;"",""))</f>
        <v/>
      </c>
    </row>
    <row r="4452">
      <c r="R4452" s="20" t="str">
        <f>IF($B4452="","",IFERROR(IF(INDEX(Config!$D$9:$D$29,MATCH($B4452,Config!$B$9:$B$29,0))="Contrato",IF(INDEX(Config!$E$9:$E$29,MATCH($B4452,Config!$B$9:$B$29,0))="","",INDEX(Config!$E$9:$E$29,MATCH($B4452,Config!$B$9:$B$29,0))),""),""))</f>
        <v/>
      </c>
      <c r="AC4452" s="19" t="str">
        <f>IF($B4452="","",IFERROR(INDEX(Config!$D$9:$D$29,MATCH($B4452,Config!$B$9:$B$29,0))&amp;"",""))</f>
        <v/>
      </c>
    </row>
    <row r="4453">
      <c r="R4453" s="20" t="str">
        <f>IF($B4453="","",IFERROR(IF(INDEX(Config!$D$9:$D$29,MATCH($B4453,Config!$B$9:$B$29,0))="Contrato",IF(INDEX(Config!$E$9:$E$29,MATCH($B4453,Config!$B$9:$B$29,0))="","",INDEX(Config!$E$9:$E$29,MATCH($B4453,Config!$B$9:$B$29,0))),""),""))</f>
        <v/>
      </c>
      <c r="AC4453" s="19" t="str">
        <f>IF($B4453="","",IFERROR(INDEX(Config!$D$9:$D$29,MATCH($B4453,Config!$B$9:$B$29,0))&amp;"",""))</f>
        <v/>
      </c>
    </row>
    <row r="4454">
      <c r="R4454" s="20" t="str">
        <f>IF($B4454="","",IFERROR(IF(INDEX(Config!$D$9:$D$29,MATCH($B4454,Config!$B$9:$B$29,0))="Contrato",IF(INDEX(Config!$E$9:$E$29,MATCH($B4454,Config!$B$9:$B$29,0))="","",INDEX(Config!$E$9:$E$29,MATCH($B4454,Config!$B$9:$B$29,0))),""),""))</f>
        <v/>
      </c>
      <c r="AC4454" s="19" t="str">
        <f>IF($B4454="","",IFERROR(INDEX(Config!$D$9:$D$29,MATCH($B4454,Config!$B$9:$B$29,0))&amp;"",""))</f>
        <v/>
      </c>
    </row>
    <row r="4455">
      <c r="R4455" s="20" t="str">
        <f>IF($B4455="","",IFERROR(IF(INDEX(Config!$D$9:$D$29,MATCH($B4455,Config!$B$9:$B$29,0))="Contrato",IF(INDEX(Config!$E$9:$E$29,MATCH($B4455,Config!$B$9:$B$29,0))="","",INDEX(Config!$E$9:$E$29,MATCH($B4455,Config!$B$9:$B$29,0))),""),""))</f>
        <v/>
      </c>
      <c r="AC4455" s="19" t="str">
        <f>IF($B4455="","",IFERROR(INDEX(Config!$D$9:$D$29,MATCH($B4455,Config!$B$9:$B$29,0))&amp;"",""))</f>
        <v/>
      </c>
    </row>
    <row r="4456">
      <c r="R4456" s="20" t="str">
        <f>IF($B4456="","",IFERROR(IF(INDEX(Config!$D$9:$D$29,MATCH($B4456,Config!$B$9:$B$29,0))="Contrato",IF(INDEX(Config!$E$9:$E$29,MATCH($B4456,Config!$B$9:$B$29,0))="","",INDEX(Config!$E$9:$E$29,MATCH($B4456,Config!$B$9:$B$29,0))),""),""))</f>
        <v/>
      </c>
      <c r="AC4456" s="19" t="str">
        <f>IF($B4456="","",IFERROR(INDEX(Config!$D$9:$D$29,MATCH($B4456,Config!$B$9:$B$29,0))&amp;"",""))</f>
        <v/>
      </c>
    </row>
    <row r="4457">
      <c r="R4457" s="20" t="str">
        <f>IF($B4457="","",IFERROR(IF(INDEX(Config!$D$9:$D$29,MATCH($B4457,Config!$B$9:$B$29,0))="Contrato",IF(INDEX(Config!$E$9:$E$29,MATCH($B4457,Config!$B$9:$B$29,0))="","",INDEX(Config!$E$9:$E$29,MATCH($B4457,Config!$B$9:$B$29,0))),""),""))</f>
        <v/>
      </c>
      <c r="AC4457" s="19" t="str">
        <f>IF($B4457="","",IFERROR(INDEX(Config!$D$9:$D$29,MATCH($B4457,Config!$B$9:$B$29,0))&amp;"",""))</f>
        <v/>
      </c>
    </row>
    <row r="4458">
      <c r="R4458" s="20" t="str">
        <f>IF($B4458="","",IFERROR(IF(INDEX(Config!$D$9:$D$29,MATCH($B4458,Config!$B$9:$B$29,0))="Contrato",IF(INDEX(Config!$E$9:$E$29,MATCH($B4458,Config!$B$9:$B$29,0))="","",INDEX(Config!$E$9:$E$29,MATCH($B4458,Config!$B$9:$B$29,0))),""),""))</f>
        <v/>
      </c>
      <c r="AC4458" s="19" t="str">
        <f>IF($B4458="","",IFERROR(INDEX(Config!$D$9:$D$29,MATCH($B4458,Config!$B$9:$B$29,0))&amp;"",""))</f>
        <v/>
      </c>
    </row>
    <row r="4459">
      <c r="R4459" s="20" t="str">
        <f>IF($B4459="","",IFERROR(IF(INDEX(Config!$D$9:$D$29,MATCH($B4459,Config!$B$9:$B$29,0))="Contrato",IF(INDEX(Config!$E$9:$E$29,MATCH($B4459,Config!$B$9:$B$29,0))="","",INDEX(Config!$E$9:$E$29,MATCH($B4459,Config!$B$9:$B$29,0))),""),""))</f>
        <v/>
      </c>
      <c r="AC4459" s="19" t="str">
        <f>IF($B4459="","",IFERROR(INDEX(Config!$D$9:$D$29,MATCH($B4459,Config!$B$9:$B$29,0))&amp;"",""))</f>
        <v/>
      </c>
    </row>
    <row r="4460">
      <c r="R4460" s="20" t="str">
        <f>IF($B4460="","",IFERROR(IF(INDEX(Config!$D$9:$D$29,MATCH($B4460,Config!$B$9:$B$29,0))="Contrato",IF(INDEX(Config!$E$9:$E$29,MATCH($B4460,Config!$B$9:$B$29,0))="","",INDEX(Config!$E$9:$E$29,MATCH($B4460,Config!$B$9:$B$29,0))),""),""))</f>
        <v/>
      </c>
      <c r="AC4460" s="19" t="str">
        <f>IF($B4460="","",IFERROR(INDEX(Config!$D$9:$D$29,MATCH($B4460,Config!$B$9:$B$29,0))&amp;"",""))</f>
        <v/>
      </c>
    </row>
    <row r="4461">
      <c r="R4461" s="20" t="str">
        <f>IF($B4461="","",IFERROR(IF(INDEX(Config!$D$9:$D$29,MATCH($B4461,Config!$B$9:$B$29,0))="Contrato",IF(INDEX(Config!$E$9:$E$29,MATCH($B4461,Config!$B$9:$B$29,0))="","",INDEX(Config!$E$9:$E$29,MATCH($B4461,Config!$B$9:$B$29,0))),""),""))</f>
        <v/>
      </c>
      <c r="AC4461" s="19" t="str">
        <f>IF($B4461="","",IFERROR(INDEX(Config!$D$9:$D$29,MATCH($B4461,Config!$B$9:$B$29,0))&amp;"",""))</f>
        <v/>
      </c>
    </row>
    <row r="4462">
      <c r="R4462" s="20" t="str">
        <f>IF($B4462="","",IFERROR(IF(INDEX(Config!$D$9:$D$29,MATCH($B4462,Config!$B$9:$B$29,0))="Contrato",IF(INDEX(Config!$E$9:$E$29,MATCH($B4462,Config!$B$9:$B$29,0))="","",INDEX(Config!$E$9:$E$29,MATCH($B4462,Config!$B$9:$B$29,0))),""),""))</f>
        <v/>
      </c>
      <c r="AC4462" s="19" t="str">
        <f>IF($B4462="","",IFERROR(INDEX(Config!$D$9:$D$29,MATCH($B4462,Config!$B$9:$B$29,0))&amp;"",""))</f>
        <v/>
      </c>
    </row>
    <row r="4463">
      <c r="R4463" s="20" t="str">
        <f>IF($B4463="","",IFERROR(IF(INDEX(Config!$D$9:$D$29,MATCH($B4463,Config!$B$9:$B$29,0))="Contrato",IF(INDEX(Config!$E$9:$E$29,MATCH($B4463,Config!$B$9:$B$29,0))="","",INDEX(Config!$E$9:$E$29,MATCH($B4463,Config!$B$9:$B$29,0))),""),""))</f>
        <v/>
      </c>
      <c r="AC4463" s="19" t="str">
        <f>IF($B4463="","",IFERROR(INDEX(Config!$D$9:$D$29,MATCH($B4463,Config!$B$9:$B$29,0))&amp;"",""))</f>
        <v/>
      </c>
    </row>
    <row r="4464">
      <c r="R4464" s="20" t="str">
        <f>IF($B4464="","",IFERROR(IF(INDEX(Config!$D$9:$D$29,MATCH($B4464,Config!$B$9:$B$29,0))="Contrato",IF(INDEX(Config!$E$9:$E$29,MATCH($B4464,Config!$B$9:$B$29,0))="","",INDEX(Config!$E$9:$E$29,MATCH($B4464,Config!$B$9:$B$29,0))),""),""))</f>
        <v/>
      </c>
      <c r="AC4464" s="19" t="str">
        <f>IF($B4464="","",IFERROR(INDEX(Config!$D$9:$D$29,MATCH($B4464,Config!$B$9:$B$29,0))&amp;"",""))</f>
        <v/>
      </c>
    </row>
    <row r="4465">
      <c r="R4465" s="20" t="str">
        <f>IF($B4465="","",IFERROR(IF(INDEX(Config!$D$9:$D$29,MATCH($B4465,Config!$B$9:$B$29,0))="Contrato",IF(INDEX(Config!$E$9:$E$29,MATCH($B4465,Config!$B$9:$B$29,0))="","",INDEX(Config!$E$9:$E$29,MATCH($B4465,Config!$B$9:$B$29,0))),""),""))</f>
        <v/>
      </c>
      <c r="AC4465" s="19" t="str">
        <f>IF($B4465="","",IFERROR(INDEX(Config!$D$9:$D$29,MATCH($B4465,Config!$B$9:$B$29,0))&amp;"",""))</f>
        <v/>
      </c>
    </row>
    <row r="4466">
      <c r="R4466" s="20" t="str">
        <f>IF($B4466="","",IFERROR(IF(INDEX(Config!$D$9:$D$29,MATCH($B4466,Config!$B$9:$B$29,0))="Contrato",IF(INDEX(Config!$E$9:$E$29,MATCH($B4466,Config!$B$9:$B$29,0))="","",INDEX(Config!$E$9:$E$29,MATCH($B4466,Config!$B$9:$B$29,0))),""),""))</f>
        <v/>
      </c>
      <c r="AC4466" s="19" t="str">
        <f>IF($B4466="","",IFERROR(INDEX(Config!$D$9:$D$29,MATCH($B4466,Config!$B$9:$B$29,0))&amp;"",""))</f>
        <v/>
      </c>
    </row>
    <row r="4467">
      <c r="R4467" s="20" t="str">
        <f>IF($B4467="","",IFERROR(IF(INDEX(Config!$D$9:$D$29,MATCH($B4467,Config!$B$9:$B$29,0))="Contrato",IF(INDEX(Config!$E$9:$E$29,MATCH($B4467,Config!$B$9:$B$29,0))="","",INDEX(Config!$E$9:$E$29,MATCH($B4467,Config!$B$9:$B$29,0))),""),""))</f>
        <v/>
      </c>
      <c r="AC4467" s="19" t="str">
        <f>IF($B4467="","",IFERROR(INDEX(Config!$D$9:$D$29,MATCH($B4467,Config!$B$9:$B$29,0))&amp;"",""))</f>
        <v/>
      </c>
    </row>
    <row r="4468">
      <c r="R4468" s="20" t="str">
        <f>IF($B4468="","",IFERROR(IF(INDEX(Config!$D$9:$D$29,MATCH($B4468,Config!$B$9:$B$29,0))="Contrato",IF(INDEX(Config!$E$9:$E$29,MATCH($B4468,Config!$B$9:$B$29,0))="","",INDEX(Config!$E$9:$E$29,MATCH($B4468,Config!$B$9:$B$29,0))),""),""))</f>
        <v/>
      </c>
      <c r="AC4468" s="19" t="str">
        <f>IF($B4468="","",IFERROR(INDEX(Config!$D$9:$D$29,MATCH($B4468,Config!$B$9:$B$29,0))&amp;"",""))</f>
        <v/>
      </c>
    </row>
    <row r="4469">
      <c r="R4469" s="20" t="str">
        <f>IF($B4469="","",IFERROR(IF(INDEX(Config!$D$9:$D$29,MATCH($B4469,Config!$B$9:$B$29,0))="Contrato",IF(INDEX(Config!$E$9:$E$29,MATCH($B4469,Config!$B$9:$B$29,0))="","",INDEX(Config!$E$9:$E$29,MATCH($B4469,Config!$B$9:$B$29,0))),""),""))</f>
        <v/>
      </c>
      <c r="AC4469" s="19" t="str">
        <f>IF($B4469="","",IFERROR(INDEX(Config!$D$9:$D$29,MATCH($B4469,Config!$B$9:$B$29,0))&amp;"",""))</f>
        <v/>
      </c>
    </row>
    <row r="4470">
      <c r="R4470" s="20" t="str">
        <f>IF($B4470="","",IFERROR(IF(INDEX(Config!$D$9:$D$29,MATCH($B4470,Config!$B$9:$B$29,0))="Contrato",IF(INDEX(Config!$E$9:$E$29,MATCH($B4470,Config!$B$9:$B$29,0))="","",INDEX(Config!$E$9:$E$29,MATCH($B4470,Config!$B$9:$B$29,0))),""),""))</f>
        <v/>
      </c>
      <c r="AC4470" s="19" t="str">
        <f>IF($B4470="","",IFERROR(INDEX(Config!$D$9:$D$29,MATCH($B4470,Config!$B$9:$B$29,0))&amp;"",""))</f>
        <v/>
      </c>
    </row>
    <row r="4471">
      <c r="R4471" s="20" t="str">
        <f>IF($B4471="","",IFERROR(IF(INDEX(Config!$D$9:$D$29,MATCH($B4471,Config!$B$9:$B$29,0))="Contrato",IF(INDEX(Config!$E$9:$E$29,MATCH($B4471,Config!$B$9:$B$29,0))="","",INDEX(Config!$E$9:$E$29,MATCH($B4471,Config!$B$9:$B$29,0))),""),""))</f>
        <v/>
      </c>
      <c r="AC4471" s="19" t="str">
        <f>IF($B4471="","",IFERROR(INDEX(Config!$D$9:$D$29,MATCH($B4471,Config!$B$9:$B$29,0))&amp;"",""))</f>
        <v/>
      </c>
    </row>
    <row r="4472">
      <c r="R4472" s="20" t="str">
        <f>IF($B4472="","",IFERROR(IF(INDEX(Config!$D$9:$D$29,MATCH($B4472,Config!$B$9:$B$29,0))="Contrato",IF(INDEX(Config!$E$9:$E$29,MATCH($B4472,Config!$B$9:$B$29,0))="","",INDEX(Config!$E$9:$E$29,MATCH($B4472,Config!$B$9:$B$29,0))),""),""))</f>
        <v/>
      </c>
      <c r="AC4472" s="19" t="str">
        <f>IF($B4472="","",IFERROR(INDEX(Config!$D$9:$D$29,MATCH($B4472,Config!$B$9:$B$29,0))&amp;"",""))</f>
        <v/>
      </c>
    </row>
    <row r="4473">
      <c r="R4473" s="20" t="str">
        <f>IF($B4473="","",IFERROR(IF(INDEX(Config!$D$9:$D$29,MATCH($B4473,Config!$B$9:$B$29,0))="Contrato",IF(INDEX(Config!$E$9:$E$29,MATCH($B4473,Config!$B$9:$B$29,0))="","",INDEX(Config!$E$9:$E$29,MATCH($B4473,Config!$B$9:$B$29,0))),""),""))</f>
        <v/>
      </c>
      <c r="AC4473" s="19" t="str">
        <f>IF($B4473="","",IFERROR(INDEX(Config!$D$9:$D$29,MATCH($B4473,Config!$B$9:$B$29,0))&amp;"",""))</f>
        <v/>
      </c>
    </row>
    <row r="4474">
      <c r="R4474" s="20" t="str">
        <f>IF($B4474="","",IFERROR(IF(INDEX(Config!$D$9:$D$29,MATCH($B4474,Config!$B$9:$B$29,0))="Contrato",IF(INDEX(Config!$E$9:$E$29,MATCH($B4474,Config!$B$9:$B$29,0))="","",INDEX(Config!$E$9:$E$29,MATCH($B4474,Config!$B$9:$B$29,0))),""),""))</f>
        <v/>
      </c>
      <c r="AC4474" s="19" t="str">
        <f>IF($B4474="","",IFERROR(INDEX(Config!$D$9:$D$29,MATCH($B4474,Config!$B$9:$B$29,0))&amp;"",""))</f>
        <v/>
      </c>
    </row>
    <row r="4475">
      <c r="R4475" s="20" t="str">
        <f>IF($B4475="","",IFERROR(IF(INDEX(Config!$D$9:$D$29,MATCH($B4475,Config!$B$9:$B$29,0))="Contrato",IF(INDEX(Config!$E$9:$E$29,MATCH($B4475,Config!$B$9:$B$29,0))="","",INDEX(Config!$E$9:$E$29,MATCH($B4475,Config!$B$9:$B$29,0))),""),""))</f>
        <v/>
      </c>
      <c r="AC4475" s="19" t="str">
        <f>IF($B4475="","",IFERROR(INDEX(Config!$D$9:$D$29,MATCH($B4475,Config!$B$9:$B$29,0))&amp;"",""))</f>
        <v/>
      </c>
    </row>
    <row r="4476">
      <c r="R4476" s="20" t="str">
        <f>IF($B4476="","",IFERROR(IF(INDEX(Config!$D$9:$D$29,MATCH($B4476,Config!$B$9:$B$29,0))="Contrato",IF(INDEX(Config!$E$9:$E$29,MATCH($B4476,Config!$B$9:$B$29,0))="","",INDEX(Config!$E$9:$E$29,MATCH($B4476,Config!$B$9:$B$29,0))),""),""))</f>
        <v/>
      </c>
      <c r="AC4476" s="19" t="str">
        <f>IF($B4476="","",IFERROR(INDEX(Config!$D$9:$D$29,MATCH($B4476,Config!$B$9:$B$29,0))&amp;"",""))</f>
        <v/>
      </c>
    </row>
    <row r="4477">
      <c r="R4477" s="20" t="str">
        <f>IF($B4477="","",IFERROR(IF(INDEX(Config!$D$9:$D$29,MATCH($B4477,Config!$B$9:$B$29,0))="Contrato",IF(INDEX(Config!$E$9:$E$29,MATCH($B4477,Config!$B$9:$B$29,0))="","",INDEX(Config!$E$9:$E$29,MATCH($B4477,Config!$B$9:$B$29,0))),""),""))</f>
        <v/>
      </c>
      <c r="AC4477" s="19" t="str">
        <f>IF($B4477="","",IFERROR(INDEX(Config!$D$9:$D$29,MATCH($B4477,Config!$B$9:$B$29,0))&amp;"",""))</f>
        <v/>
      </c>
    </row>
    <row r="4478">
      <c r="R4478" s="20" t="str">
        <f>IF($B4478="","",IFERROR(IF(INDEX(Config!$D$9:$D$29,MATCH($B4478,Config!$B$9:$B$29,0))="Contrato",IF(INDEX(Config!$E$9:$E$29,MATCH($B4478,Config!$B$9:$B$29,0))="","",INDEX(Config!$E$9:$E$29,MATCH($B4478,Config!$B$9:$B$29,0))),""),""))</f>
        <v/>
      </c>
      <c r="AC4478" s="19" t="str">
        <f>IF($B4478="","",IFERROR(INDEX(Config!$D$9:$D$29,MATCH($B4478,Config!$B$9:$B$29,0))&amp;"",""))</f>
        <v/>
      </c>
    </row>
    <row r="4479">
      <c r="R4479" s="20" t="str">
        <f>IF($B4479="","",IFERROR(IF(INDEX(Config!$D$9:$D$29,MATCH($B4479,Config!$B$9:$B$29,0))="Contrato",IF(INDEX(Config!$E$9:$E$29,MATCH($B4479,Config!$B$9:$B$29,0))="","",INDEX(Config!$E$9:$E$29,MATCH($B4479,Config!$B$9:$B$29,0))),""),""))</f>
        <v/>
      </c>
      <c r="AC4479" s="19" t="str">
        <f>IF($B4479="","",IFERROR(INDEX(Config!$D$9:$D$29,MATCH($B4479,Config!$B$9:$B$29,0))&amp;"",""))</f>
        <v/>
      </c>
    </row>
    <row r="4480">
      <c r="R4480" s="20" t="str">
        <f>IF($B4480="","",IFERROR(IF(INDEX(Config!$D$9:$D$29,MATCH($B4480,Config!$B$9:$B$29,0))="Contrato",IF(INDEX(Config!$E$9:$E$29,MATCH($B4480,Config!$B$9:$B$29,0))="","",INDEX(Config!$E$9:$E$29,MATCH($B4480,Config!$B$9:$B$29,0))),""),""))</f>
        <v/>
      </c>
      <c r="AC4480" s="19" t="str">
        <f>IF($B4480="","",IFERROR(INDEX(Config!$D$9:$D$29,MATCH($B4480,Config!$B$9:$B$29,0))&amp;"",""))</f>
        <v/>
      </c>
    </row>
    <row r="4481">
      <c r="R4481" s="20" t="str">
        <f>IF($B4481="","",IFERROR(IF(INDEX(Config!$D$9:$D$29,MATCH($B4481,Config!$B$9:$B$29,0))="Contrato",IF(INDEX(Config!$E$9:$E$29,MATCH($B4481,Config!$B$9:$B$29,0))="","",INDEX(Config!$E$9:$E$29,MATCH($B4481,Config!$B$9:$B$29,0))),""),""))</f>
        <v/>
      </c>
      <c r="AC4481" s="19" t="str">
        <f>IF($B4481="","",IFERROR(INDEX(Config!$D$9:$D$29,MATCH($B4481,Config!$B$9:$B$29,0))&amp;"",""))</f>
        <v/>
      </c>
    </row>
    <row r="4482">
      <c r="R4482" s="20" t="str">
        <f>IF($B4482="","",IFERROR(IF(INDEX(Config!$D$9:$D$29,MATCH($B4482,Config!$B$9:$B$29,0))="Contrato",IF(INDEX(Config!$E$9:$E$29,MATCH($B4482,Config!$B$9:$B$29,0))="","",INDEX(Config!$E$9:$E$29,MATCH($B4482,Config!$B$9:$B$29,0))),""),""))</f>
        <v/>
      </c>
      <c r="AC4482" s="19" t="str">
        <f>IF($B4482="","",IFERROR(INDEX(Config!$D$9:$D$29,MATCH($B4482,Config!$B$9:$B$29,0))&amp;"",""))</f>
        <v/>
      </c>
    </row>
    <row r="4483">
      <c r="R4483" s="20" t="str">
        <f>IF($B4483="","",IFERROR(IF(INDEX(Config!$D$9:$D$29,MATCH($B4483,Config!$B$9:$B$29,0))="Contrato",IF(INDEX(Config!$E$9:$E$29,MATCH($B4483,Config!$B$9:$B$29,0))="","",INDEX(Config!$E$9:$E$29,MATCH($B4483,Config!$B$9:$B$29,0))),""),""))</f>
        <v/>
      </c>
      <c r="AC4483" s="19" t="str">
        <f>IF($B4483="","",IFERROR(INDEX(Config!$D$9:$D$29,MATCH($B4483,Config!$B$9:$B$29,0))&amp;"",""))</f>
        <v/>
      </c>
    </row>
    <row r="4484">
      <c r="R4484" s="20" t="str">
        <f>IF($B4484="","",IFERROR(IF(INDEX(Config!$D$9:$D$29,MATCH($B4484,Config!$B$9:$B$29,0))="Contrato",IF(INDEX(Config!$E$9:$E$29,MATCH($B4484,Config!$B$9:$B$29,0))="","",INDEX(Config!$E$9:$E$29,MATCH($B4484,Config!$B$9:$B$29,0))),""),""))</f>
        <v/>
      </c>
      <c r="AC4484" s="19" t="str">
        <f>IF($B4484="","",IFERROR(INDEX(Config!$D$9:$D$29,MATCH($B4484,Config!$B$9:$B$29,0))&amp;"",""))</f>
        <v/>
      </c>
    </row>
    <row r="4485">
      <c r="R4485" s="20" t="str">
        <f>IF($B4485="","",IFERROR(IF(INDEX(Config!$D$9:$D$29,MATCH($B4485,Config!$B$9:$B$29,0))="Contrato",IF(INDEX(Config!$E$9:$E$29,MATCH($B4485,Config!$B$9:$B$29,0))="","",INDEX(Config!$E$9:$E$29,MATCH($B4485,Config!$B$9:$B$29,0))),""),""))</f>
        <v/>
      </c>
      <c r="AC4485" s="19" t="str">
        <f>IF($B4485="","",IFERROR(INDEX(Config!$D$9:$D$29,MATCH($B4485,Config!$B$9:$B$29,0))&amp;"",""))</f>
        <v/>
      </c>
    </row>
    <row r="4486">
      <c r="R4486" s="20" t="str">
        <f>IF($B4486="","",IFERROR(IF(INDEX(Config!$D$9:$D$29,MATCH($B4486,Config!$B$9:$B$29,0))="Contrato",IF(INDEX(Config!$E$9:$E$29,MATCH($B4486,Config!$B$9:$B$29,0))="","",INDEX(Config!$E$9:$E$29,MATCH($B4486,Config!$B$9:$B$29,0))),""),""))</f>
        <v/>
      </c>
      <c r="AC4486" s="19" t="str">
        <f>IF($B4486="","",IFERROR(INDEX(Config!$D$9:$D$29,MATCH($B4486,Config!$B$9:$B$29,0))&amp;"",""))</f>
        <v/>
      </c>
    </row>
    <row r="4487">
      <c r="R4487" s="20" t="str">
        <f>IF($B4487="","",IFERROR(IF(INDEX(Config!$D$9:$D$29,MATCH($B4487,Config!$B$9:$B$29,0))="Contrato",IF(INDEX(Config!$E$9:$E$29,MATCH($B4487,Config!$B$9:$B$29,0))="","",INDEX(Config!$E$9:$E$29,MATCH($B4487,Config!$B$9:$B$29,0))),""),""))</f>
        <v/>
      </c>
      <c r="AC4487" s="19" t="str">
        <f>IF($B4487="","",IFERROR(INDEX(Config!$D$9:$D$29,MATCH($B4487,Config!$B$9:$B$29,0))&amp;"",""))</f>
        <v/>
      </c>
    </row>
    <row r="4488">
      <c r="R4488" s="20" t="str">
        <f>IF($B4488="","",IFERROR(IF(INDEX(Config!$D$9:$D$29,MATCH($B4488,Config!$B$9:$B$29,0))="Contrato",IF(INDEX(Config!$E$9:$E$29,MATCH($B4488,Config!$B$9:$B$29,0))="","",INDEX(Config!$E$9:$E$29,MATCH($B4488,Config!$B$9:$B$29,0))),""),""))</f>
        <v/>
      </c>
      <c r="AC4488" s="19" t="str">
        <f>IF($B4488="","",IFERROR(INDEX(Config!$D$9:$D$29,MATCH($B4488,Config!$B$9:$B$29,0))&amp;"",""))</f>
        <v/>
      </c>
    </row>
    <row r="4489">
      <c r="R4489" s="20" t="str">
        <f>IF($B4489="","",IFERROR(IF(INDEX(Config!$D$9:$D$29,MATCH($B4489,Config!$B$9:$B$29,0))="Contrato",IF(INDEX(Config!$E$9:$E$29,MATCH($B4489,Config!$B$9:$B$29,0))="","",INDEX(Config!$E$9:$E$29,MATCH($B4489,Config!$B$9:$B$29,0))),""),""))</f>
        <v/>
      </c>
      <c r="AC4489" s="19" t="str">
        <f>IF($B4489="","",IFERROR(INDEX(Config!$D$9:$D$29,MATCH($B4489,Config!$B$9:$B$29,0))&amp;"",""))</f>
        <v/>
      </c>
    </row>
    <row r="4490">
      <c r="R4490" s="20" t="str">
        <f>IF($B4490="","",IFERROR(IF(INDEX(Config!$D$9:$D$29,MATCH($B4490,Config!$B$9:$B$29,0))="Contrato",IF(INDEX(Config!$E$9:$E$29,MATCH($B4490,Config!$B$9:$B$29,0))="","",INDEX(Config!$E$9:$E$29,MATCH($B4490,Config!$B$9:$B$29,0))),""),""))</f>
        <v/>
      </c>
      <c r="AC4490" s="19" t="str">
        <f>IF($B4490="","",IFERROR(INDEX(Config!$D$9:$D$29,MATCH($B4490,Config!$B$9:$B$29,0))&amp;"",""))</f>
        <v/>
      </c>
    </row>
    <row r="4491">
      <c r="R4491" s="20" t="str">
        <f>IF($B4491="","",IFERROR(IF(INDEX(Config!$D$9:$D$29,MATCH($B4491,Config!$B$9:$B$29,0))="Contrato",IF(INDEX(Config!$E$9:$E$29,MATCH($B4491,Config!$B$9:$B$29,0))="","",INDEX(Config!$E$9:$E$29,MATCH($B4491,Config!$B$9:$B$29,0))),""),""))</f>
        <v/>
      </c>
      <c r="AC4491" s="19" t="str">
        <f>IF($B4491="","",IFERROR(INDEX(Config!$D$9:$D$29,MATCH($B4491,Config!$B$9:$B$29,0))&amp;"",""))</f>
        <v/>
      </c>
    </row>
    <row r="4492">
      <c r="R4492" s="20" t="str">
        <f>IF($B4492="","",IFERROR(IF(INDEX(Config!$D$9:$D$29,MATCH($B4492,Config!$B$9:$B$29,0))="Contrato",IF(INDEX(Config!$E$9:$E$29,MATCH($B4492,Config!$B$9:$B$29,0))="","",INDEX(Config!$E$9:$E$29,MATCH($B4492,Config!$B$9:$B$29,0))),""),""))</f>
        <v/>
      </c>
      <c r="AC4492" s="19" t="str">
        <f>IF($B4492="","",IFERROR(INDEX(Config!$D$9:$D$29,MATCH($B4492,Config!$B$9:$B$29,0))&amp;"",""))</f>
        <v/>
      </c>
    </row>
    <row r="4493">
      <c r="R4493" s="20" t="str">
        <f>IF($B4493="","",IFERROR(IF(INDEX(Config!$D$9:$D$29,MATCH($B4493,Config!$B$9:$B$29,0))="Contrato",IF(INDEX(Config!$E$9:$E$29,MATCH($B4493,Config!$B$9:$B$29,0))="","",INDEX(Config!$E$9:$E$29,MATCH($B4493,Config!$B$9:$B$29,0))),""),""))</f>
        <v/>
      </c>
      <c r="AC4493" s="19" t="str">
        <f>IF($B4493="","",IFERROR(INDEX(Config!$D$9:$D$29,MATCH($B4493,Config!$B$9:$B$29,0))&amp;"",""))</f>
        <v/>
      </c>
    </row>
    <row r="4494">
      <c r="R4494" s="20" t="str">
        <f>IF($B4494="","",IFERROR(IF(INDEX(Config!$D$9:$D$29,MATCH($B4494,Config!$B$9:$B$29,0))="Contrato",IF(INDEX(Config!$E$9:$E$29,MATCH($B4494,Config!$B$9:$B$29,0))="","",INDEX(Config!$E$9:$E$29,MATCH($B4494,Config!$B$9:$B$29,0))),""),""))</f>
        <v/>
      </c>
      <c r="AC4494" s="19" t="str">
        <f>IF($B4494="","",IFERROR(INDEX(Config!$D$9:$D$29,MATCH($B4494,Config!$B$9:$B$29,0))&amp;"",""))</f>
        <v/>
      </c>
    </row>
    <row r="4495">
      <c r="R4495" s="20" t="str">
        <f>IF($B4495="","",IFERROR(IF(INDEX(Config!$D$9:$D$29,MATCH($B4495,Config!$B$9:$B$29,0))="Contrato",IF(INDEX(Config!$E$9:$E$29,MATCH($B4495,Config!$B$9:$B$29,0))="","",INDEX(Config!$E$9:$E$29,MATCH($B4495,Config!$B$9:$B$29,0))),""),""))</f>
        <v/>
      </c>
      <c r="AC4495" s="19" t="str">
        <f>IF($B4495="","",IFERROR(INDEX(Config!$D$9:$D$29,MATCH($B4495,Config!$B$9:$B$29,0))&amp;"",""))</f>
        <v/>
      </c>
    </row>
    <row r="4496">
      <c r="R4496" s="20" t="str">
        <f>IF($B4496="","",IFERROR(IF(INDEX(Config!$D$9:$D$29,MATCH($B4496,Config!$B$9:$B$29,0))="Contrato",IF(INDEX(Config!$E$9:$E$29,MATCH($B4496,Config!$B$9:$B$29,0))="","",INDEX(Config!$E$9:$E$29,MATCH($B4496,Config!$B$9:$B$29,0))),""),""))</f>
        <v/>
      </c>
      <c r="AC4496" s="19" t="str">
        <f>IF($B4496="","",IFERROR(INDEX(Config!$D$9:$D$29,MATCH($B4496,Config!$B$9:$B$29,0))&amp;"",""))</f>
        <v/>
      </c>
    </row>
    <row r="4497">
      <c r="R4497" s="20" t="str">
        <f>IF($B4497="","",IFERROR(IF(INDEX(Config!$D$9:$D$29,MATCH($B4497,Config!$B$9:$B$29,0))="Contrato",IF(INDEX(Config!$E$9:$E$29,MATCH($B4497,Config!$B$9:$B$29,0))="","",INDEX(Config!$E$9:$E$29,MATCH($B4497,Config!$B$9:$B$29,0))),""),""))</f>
        <v/>
      </c>
      <c r="AC4497" s="19" t="str">
        <f>IF($B4497="","",IFERROR(INDEX(Config!$D$9:$D$29,MATCH($B4497,Config!$B$9:$B$29,0))&amp;"",""))</f>
        <v/>
      </c>
    </row>
    <row r="4498">
      <c r="R4498" s="20" t="str">
        <f>IF($B4498="","",IFERROR(IF(INDEX(Config!$D$9:$D$29,MATCH($B4498,Config!$B$9:$B$29,0))="Contrato",IF(INDEX(Config!$E$9:$E$29,MATCH($B4498,Config!$B$9:$B$29,0))="","",INDEX(Config!$E$9:$E$29,MATCH($B4498,Config!$B$9:$B$29,0))),""),""))</f>
        <v/>
      </c>
      <c r="AC4498" s="19" t="str">
        <f>IF($B4498="","",IFERROR(INDEX(Config!$D$9:$D$29,MATCH($B4498,Config!$B$9:$B$29,0))&amp;"",""))</f>
        <v/>
      </c>
    </row>
    <row r="4499">
      <c r="R4499" s="20" t="str">
        <f>IF($B4499="","",IFERROR(IF(INDEX(Config!$D$9:$D$29,MATCH($B4499,Config!$B$9:$B$29,0))="Contrato",IF(INDEX(Config!$E$9:$E$29,MATCH($B4499,Config!$B$9:$B$29,0))="","",INDEX(Config!$E$9:$E$29,MATCH($B4499,Config!$B$9:$B$29,0))),""),""))</f>
        <v/>
      </c>
      <c r="AC4499" s="19" t="str">
        <f>IF($B4499="","",IFERROR(INDEX(Config!$D$9:$D$29,MATCH($B4499,Config!$B$9:$B$29,0))&amp;"",""))</f>
        <v/>
      </c>
    </row>
    <row r="4500">
      <c r="R4500" s="20" t="str">
        <f>IF($B4500="","",IFERROR(IF(INDEX(Config!$D$9:$D$29,MATCH($B4500,Config!$B$9:$B$29,0))="Contrato",IF(INDEX(Config!$E$9:$E$29,MATCH($B4500,Config!$B$9:$B$29,0))="","",INDEX(Config!$E$9:$E$29,MATCH($B4500,Config!$B$9:$B$29,0))),""),""))</f>
        <v/>
      </c>
      <c r="AC4500" s="19" t="str">
        <f>IF($B4500="","",IFERROR(INDEX(Config!$D$9:$D$29,MATCH($B4500,Config!$B$9:$B$29,0))&amp;"",""))</f>
        <v/>
      </c>
    </row>
    <row r="4501">
      <c r="R4501" s="20" t="str">
        <f>IF($B4501="","",IFERROR(IF(INDEX(Config!$D$9:$D$29,MATCH($B4501,Config!$B$9:$B$29,0))="Contrato",IF(INDEX(Config!$E$9:$E$29,MATCH($B4501,Config!$B$9:$B$29,0))="","",INDEX(Config!$E$9:$E$29,MATCH($B4501,Config!$B$9:$B$29,0))),""),""))</f>
        <v/>
      </c>
      <c r="AC4501" s="19" t="str">
        <f>IF($B4501="","",IFERROR(INDEX(Config!$D$9:$D$29,MATCH($B4501,Config!$B$9:$B$29,0))&amp;"",""))</f>
        <v/>
      </c>
    </row>
    <row r="4502">
      <c r="R4502" s="20" t="str">
        <f>IF($B4502="","",IFERROR(IF(INDEX(Config!$D$9:$D$29,MATCH($B4502,Config!$B$9:$B$29,0))="Contrato",IF(INDEX(Config!$E$9:$E$29,MATCH($B4502,Config!$B$9:$B$29,0))="","",INDEX(Config!$E$9:$E$29,MATCH($B4502,Config!$B$9:$B$29,0))),""),""))</f>
        <v/>
      </c>
      <c r="AC4502" s="19" t="str">
        <f>IF($B4502="","",IFERROR(INDEX(Config!$D$9:$D$29,MATCH($B4502,Config!$B$9:$B$29,0))&amp;"",""))</f>
        <v/>
      </c>
    </row>
    <row r="4503">
      <c r="R4503" s="20" t="str">
        <f>IF($B4503="","",IFERROR(IF(INDEX(Config!$D$9:$D$29,MATCH($B4503,Config!$B$9:$B$29,0))="Contrato",IF(INDEX(Config!$E$9:$E$29,MATCH($B4503,Config!$B$9:$B$29,0))="","",INDEX(Config!$E$9:$E$29,MATCH($B4503,Config!$B$9:$B$29,0))),""),""))</f>
        <v/>
      </c>
      <c r="AC4503" s="19" t="str">
        <f>IF($B4503="","",IFERROR(INDEX(Config!$D$9:$D$29,MATCH($B4503,Config!$B$9:$B$29,0))&amp;"",""))</f>
        <v/>
      </c>
    </row>
    <row r="4504">
      <c r="R4504" s="20" t="str">
        <f>IF($B4504="","",IFERROR(IF(INDEX(Config!$D$9:$D$29,MATCH($B4504,Config!$B$9:$B$29,0))="Contrato",IF(INDEX(Config!$E$9:$E$29,MATCH($B4504,Config!$B$9:$B$29,0))="","",INDEX(Config!$E$9:$E$29,MATCH($B4504,Config!$B$9:$B$29,0))),""),""))</f>
        <v/>
      </c>
      <c r="AC4504" s="19" t="str">
        <f>IF($B4504="","",IFERROR(INDEX(Config!$D$9:$D$29,MATCH($B4504,Config!$B$9:$B$29,0))&amp;"",""))</f>
        <v/>
      </c>
    </row>
    <row r="4505">
      <c r="R4505" s="20" t="str">
        <f>IF($B4505="","",IFERROR(IF(INDEX(Config!$D$9:$D$29,MATCH($B4505,Config!$B$9:$B$29,0))="Contrato",IF(INDEX(Config!$E$9:$E$29,MATCH($B4505,Config!$B$9:$B$29,0))="","",INDEX(Config!$E$9:$E$29,MATCH($B4505,Config!$B$9:$B$29,0))),""),""))</f>
        <v/>
      </c>
      <c r="AC4505" s="19" t="str">
        <f>IF($B4505="","",IFERROR(INDEX(Config!$D$9:$D$29,MATCH($B4505,Config!$B$9:$B$29,0))&amp;"",""))</f>
        <v/>
      </c>
    </row>
    <row r="4506">
      <c r="R4506" s="20" t="str">
        <f>IF($B4506="","",IFERROR(IF(INDEX(Config!$D$9:$D$29,MATCH($B4506,Config!$B$9:$B$29,0))="Contrato",IF(INDEX(Config!$E$9:$E$29,MATCH($B4506,Config!$B$9:$B$29,0))="","",INDEX(Config!$E$9:$E$29,MATCH($B4506,Config!$B$9:$B$29,0))),""),""))</f>
        <v/>
      </c>
      <c r="AC4506" s="19" t="str">
        <f>IF($B4506="","",IFERROR(INDEX(Config!$D$9:$D$29,MATCH($B4506,Config!$B$9:$B$29,0))&amp;"",""))</f>
        <v/>
      </c>
    </row>
    <row r="4507">
      <c r="R4507" s="20" t="str">
        <f>IF($B4507="","",IFERROR(IF(INDEX(Config!$D$9:$D$29,MATCH($B4507,Config!$B$9:$B$29,0))="Contrato",IF(INDEX(Config!$E$9:$E$29,MATCH($B4507,Config!$B$9:$B$29,0))="","",INDEX(Config!$E$9:$E$29,MATCH($B4507,Config!$B$9:$B$29,0))),""),""))</f>
        <v/>
      </c>
      <c r="AC4507" s="19" t="str">
        <f>IF($B4507="","",IFERROR(INDEX(Config!$D$9:$D$29,MATCH($B4507,Config!$B$9:$B$29,0))&amp;"",""))</f>
        <v/>
      </c>
    </row>
    <row r="4508">
      <c r="R4508" s="20" t="str">
        <f>IF($B4508="","",IFERROR(IF(INDEX(Config!$D$9:$D$29,MATCH($B4508,Config!$B$9:$B$29,0))="Contrato",IF(INDEX(Config!$E$9:$E$29,MATCH($B4508,Config!$B$9:$B$29,0))="","",INDEX(Config!$E$9:$E$29,MATCH($B4508,Config!$B$9:$B$29,0))),""),""))</f>
        <v/>
      </c>
      <c r="AC4508" s="19" t="str">
        <f>IF($B4508="","",IFERROR(INDEX(Config!$D$9:$D$29,MATCH($B4508,Config!$B$9:$B$29,0))&amp;"",""))</f>
        <v/>
      </c>
    </row>
    <row r="4509">
      <c r="R4509" s="20" t="str">
        <f>IF($B4509="","",IFERROR(IF(INDEX(Config!$D$9:$D$29,MATCH($B4509,Config!$B$9:$B$29,0))="Contrato",IF(INDEX(Config!$E$9:$E$29,MATCH($B4509,Config!$B$9:$B$29,0))="","",INDEX(Config!$E$9:$E$29,MATCH($B4509,Config!$B$9:$B$29,0))),""),""))</f>
        <v/>
      </c>
      <c r="AC4509" s="19" t="str">
        <f>IF($B4509="","",IFERROR(INDEX(Config!$D$9:$D$29,MATCH($B4509,Config!$B$9:$B$29,0))&amp;"",""))</f>
        <v/>
      </c>
    </row>
    <row r="4510">
      <c r="R4510" s="20" t="str">
        <f>IF($B4510="","",IFERROR(IF(INDEX(Config!$D$9:$D$29,MATCH($B4510,Config!$B$9:$B$29,0))="Contrato",IF(INDEX(Config!$E$9:$E$29,MATCH($B4510,Config!$B$9:$B$29,0))="","",INDEX(Config!$E$9:$E$29,MATCH($B4510,Config!$B$9:$B$29,0))),""),""))</f>
        <v/>
      </c>
      <c r="AC4510" s="19" t="str">
        <f>IF($B4510="","",IFERROR(INDEX(Config!$D$9:$D$29,MATCH($B4510,Config!$B$9:$B$29,0))&amp;"",""))</f>
        <v/>
      </c>
    </row>
    <row r="4511">
      <c r="R4511" s="20" t="str">
        <f>IF($B4511="","",IFERROR(IF(INDEX(Config!$D$9:$D$29,MATCH($B4511,Config!$B$9:$B$29,0))="Contrato",IF(INDEX(Config!$E$9:$E$29,MATCH($B4511,Config!$B$9:$B$29,0))="","",INDEX(Config!$E$9:$E$29,MATCH($B4511,Config!$B$9:$B$29,0))),""),""))</f>
        <v/>
      </c>
      <c r="AC4511" s="19" t="str">
        <f>IF($B4511="","",IFERROR(INDEX(Config!$D$9:$D$29,MATCH($B4511,Config!$B$9:$B$29,0))&amp;"",""))</f>
        <v/>
      </c>
    </row>
    <row r="4512">
      <c r="R4512" s="20" t="str">
        <f>IF($B4512="","",IFERROR(IF(INDEX(Config!$D$9:$D$29,MATCH($B4512,Config!$B$9:$B$29,0))="Contrato",IF(INDEX(Config!$E$9:$E$29,MATCH($B4512,Config!$B$9:$B$29,0))="","",INDEX(Config!$E$9:$E$29,MATCH($B4512,Config!$B$9:$B$29,0))),""),""))</f>
        <v/>
      </c>
      <c r="AC4512" s="19" t="str">
        <f>IF($B4512="","",IFERROR(INDEX(Config!$D$9:$D$29,MATCH($B4512,Config!$B$9:$B$29,0))&amp;"",""))</f>
        <v/>
      </c>
    </row>
    <row r="4513">
      <c r="R4513" s="20" t="str">
        <f>IF($B4513="","",IFERROR(IF(INDEX(Config!$D$9:$D$29,MATCH($B4513,Config!$B$9:$B$29,0))="Contrato",IF(INDEX(Config!$E$9:$E$29,MATCH($B4513,Config!$B$9:$B$29,0))="","",INDEX(Config!$E$9:$E$29,MATCH($B4513,Config!$B$9:$B$29,0))),""),""))</f>
        <v/>
      </c>
      <c r="AC4513" s="19" t="str">
        <f>IF($B4513="","",IFERROR(INDEX(Config!$D$9:$D$29,MATCH($B4513,Config!$B$9:$B$29,0))&amp;"",""))</f>
        <v/>
      </c>
    </row>
    <row r="4514">
      <c r="R4514" s="20" t="str">
        <f>IF($B4514="","",IFERROR(IF(INDEX(Config!$D$9:$D$29,MATCH($B4514,Config!$B$9:$B$29,0))="Contrato",IF(INDEX(Config!$E$9:$E$29,MATCH($B4514,Config!$B$9:$B$29,0))="","",INDEX(Config!$E$9:$E$29,MATCH($B4514,Config!$B$9:$B$29,0))),""),""))</f>
        <v/>
      </c>
      <c r="AC4514" s="19" t="str">
        <f>IF($B4514="","",IFERROR(INDEX(Config!$D$9:$D$29,MATCH($B4514,Config!$B$9:$B$29,0))&amp;"",""))</f>
        <v/>
      </c>
    </row>
    <row r="4515">
      <c r="R4515" s="20" t="str">
        <f>IF($B4515="","",IFERROR(IF(INDEX(Config!$D$9:$D$29,MATCH($B4515,Config!$B$9:$B$29,0))="Contrato",IF(INDEX(Config!$E$9:$E$29,MATCH($B4515,Config!$B$9:$B$29,0))="","",INDEX(Config!$E$9:$E$29,MATCH($B4515,Config!$B$9:$B$29,0))),""),""))</f>
        <v/>
      </c>
      <c r="AC4515" s="19" t="str">
        <f>IF($B4515="","",IFERROR(INDEX(Config!$D$9:$D$29,MATCH($B4515,Config!$B$9:$B$29,0))&amp;"",""))</f>
        <v/>
      </c>
    </row>
    <row r="4516">
      <c r="R4516" s="20" t="str">
        <f>IF($B4516="","",IFERROR(IF(INDEX(Config!$D$9:$D$29,MATCH($B4516,Config!$B$9:$B$29,0))="Contrato",IF(INDEX(Config!$E$9:$E$29,MATCH($B4516,Config!$B$9:$B$29,0))="","",INDEX(Config!$E$9:$E$29,MATCH($B4516,Config!$B$9:$B$29,0))),""),""))</f>
        <v/>
      </c>
      <c r="AC4516" s="19" t="str">
        <f>IF($B4516="","",IFERROR(INDEX(Config!$D$9:$D$29,MATCH($B4516,Config!$B$9:$B$29,0))&amp;"",""))</f>
        <v/>
      </c>
    </row>
    <row r="4517">
      <c r="R4517" s="20" t="str">
        <f>IF($B4517="","",IFERROR(IF(INDEX(Config!$D$9:$D$29,MATCH($B4517,Config!$B$9:$B$29,0))="Contrato",IF(INDEX(Config!$E$9:$E$29,MATCH($B4517,Config!$B$9:$B$29,0))="","",INDEX(Config!$E$9:$E$29,MATCH($B4517,Config!$B$9:$B$29,0))),""),""))</f>
        <v/>
      </c>
      <c r="AC4517" s="19" t="str">
        <f>IF($B4517="","",IFERROR(INDEX(Config!$D$9:$D$29,MATCH($B4517,Config!$B$9:$B$29,0))&amp;"",""))</f>
        <v/>
      </c>
    </row>
    <row r="4518">
      <c r="R4518" s="20" t="str">
        <f>IF($B4518="","",IFERROR(IF(INDEX(Config!$D$9:$D$29,MATCH($B4518,Config!$B$9:$B$29,0))="Contrato",IF(INDEX(Config!$E$9:$E$29,MATCH($B4518,Config!$B$9:$B$29,0))="","",INDEX(Config!$E$9:$E$29,MATCH($B4518,Config!$B$9:$B$29,0))),""),""))</f>
        <v/>
      </c>
      <c r="AC4518" s="19" t="str">
        <f>IF($B4518="","",IFERROR(INDEX(Config!$D$9:$D$29,MATCH($B4518,Config!$B$9:$B$29,0))&amp;"",""))</f>
        <v/>
      </c>
    </row>
    <row r="4519">
      <c r="R4519" s="20" t="str">
        <f>IF($B4519="","",IFERROR(IF(INDEX(Config!$D$9:$D$29,MATCH($B4519,Config!$B$9:$B$29,0))="Contrato",IF(INDEX(Config!$E$9:$E$29,MATCH($B4519,Config!$B$9:$B$29,0))="","",INDEX(Config!$E$9:$E$29,MATCH($B4519,Config!$B$9:$B$29,0))),""),""))</f>
        <v/>
      </c>
      <c r="AC4519" s="19" t="str">
        <f>IF($B4519="","",IFERROR(INDEX(Config!$D$9:$D$29,MATCH($B4519,Config!$B$9:$B$29,0))&amp;"",""))</f>
        <v/>
      </c>
    </row>
    <row r="4520">
      <c r="R4520" s="20" t="str">
        <f>IF($B4520="","",IFERROR(IF(INDEX(Config!$D$9:$D$29,MATCH($B4520,Config!$B$9:$B$29,0))="Contrato",IF(INDEX(Config!$E$9:$E$29,MATCH($B4520,Config!$B$9:$B$29,0))="","",INDEX(Config!$E$9:$E$29,MATCH($B4520,Config!$B$9:$B$29,0))),""),""))</f>
        <v/>
      </c>
      <c r="AC4520" s="19" t="str">
        <f>IF($B4520="","",IFERROR(INDEX(Config!$D$9:$D$29,MATCH($B4520,Config!$B$9:$B$29,0))&amp;"",""))</f>
        <v/>
      </c>
    </row>
    <row r="4521">
      <c r="R4521" s="20" t="str">
        <f>IF($B4521="","",IFERROR(IF(INDEX(Config!$D$9:$D$29,MATCH($B4521,Config!$B$9:$B$29,0))="Contrato",IF(INDEX(Config!$E$9:$E$29,MATCH($B4521,Config!$B$9:$B$29,0))="","",INDEX(Config!$E$9:$E$29,MATCH($B4521,Config!$B$9:$B$29,0))),""),""))</f>
        <v/>
      </c>
      <c r="AC4521" s="19" t="str">
        <f>IF($B4521="","",IFERROR(INDEX(Config!$D$9:$D$29,MATCH($B4521,Config!$B$9:$B$29,0))&amp;"",""))</f>
        <v/>
      </c>
    </row>
    <row r="4522">
      <c r="R4522" s="20" t="str">
        <f>IF($B4522="","",IFERROR(IF(INDEX(Config!$D$9:$D$29,MATCH($B4522,Config!$B$9:$B$29,0))="Contrato",IF(INDEX(Config!$E$9:$E$29,MATCH($B4522,Config!$B$9:$B$29,0))="","",INDEX(Config!$E$9:$E$29,MATCH($B4522,Config!$B$9:$B$29,0))),""),""))</f>
        <v/>
      </c>
      <c r="AC4522" s="19" t="str">
        <f>IF($B4522="","",IFERROR(INDEX(Config!$D$9:$D$29,MATCH($B4522,Config!$B$9:$B$29,0))&amp;"",""))</f>
        <v/>
      </c>
    </row>
    <row r="4523">
      <c r="R4523" s="20" t="str">
        <f>IF($B4523="","",IFERROR(IF(INDEX(Config!$D$9:$D$29,MATCH($B4523,Config!$B$9:$B$29,0))="Contrato",IF(INDEX(Config!$E$9:$E$29,MATCH($B4523,Config!$B$9:$B$29,0))="","",INDEX(Config!$E$9:$E$29,MATCH($B4523,Config!$B$9:$B$29,0))),""),""))</f>
        <v/>
      </c>
      <c r="AC4523" s="19" t="str">
        <f>IF($B4523="","",IFERROR(INDEX(Config!$D$9:$D$29,MATCH($B4523,Config!$B$9:$B$29,0))&amp;"",""))</f>
        <v/>
      </c>
    </row>
    <row r="4524">
      <c r="R4524" s="20" t="str">
        <f>IF($B4524="","",IFERROR(IF(INDEX(Config!$D$9:$D$29,MATCH($B4524,Config!$B$9:$B$29,0))="Contrato",IF(INDEX(Config!$E$9:$E$29,MATCH($B4524,Config!$B$9:$B$29,0))="","",INDEX(Config!$E$9:$E$29,MATCH($B4524,Config!$B$9:$B$29,0))),""),""))</f>
        <v/>
      </c>
      <c r="AC4524" s="19" t="str">
        <f>IF($B4524="","",IFERROR(INDEX(Config!$D$9:$D$29,MATCH($B4524,Config!$B$9:$B$29,0))&amp;"",""))</f>
        <v/>
      </c>
    </row>
    <row r="4525">
      <c r="R4525" s="20" t="str">
        <f>IF($B4525="","",IFERROR(IF(INDEX(Config!$D$9:$D$29,MATCH($B4525,Config!$B$9:$B$29,0))="Contrato",IF(INDEX(Config!$E$9:$E$29,MATCH($B4525,Config!$B$9:$B$29,0))="","",INDEX(Config!$E$9:$E$29,MATCH($B4525,Config!$B$9:$B$29,0))),""),""))</f>
        <v/>
      </c>
      <c r="AC4525" s="19" t="str">
        <f>IF($B4525="","",IFERROR(INDEX(Config!$D$9:$D$29,MATCH($B4525,Config!$B$9:$B$29,0))&amp;"",""))</f>
        <v/>
      </c>
    </row>
    <row r="4526">
      <c r="R4526" s="20" t="str">
        <f>IF($B4526="","",IFERROR(IF(INDEX(Config!$D$9:$D$29,MATCH($B4526,Config!$B$9:$B$29,0))="Contrato",IF(INDEX(Config!$E$9:$E$29,MATCH($B4526,Config!$B$9:$B$29,0))="","",INDEX(Config!$E$9:$E$29,MATCH($B4526,Config!$B$9:$B$29,0))),""),""))</f>
        <v/>
      </c>
      <c r="AC4526" s="19" t="str">
        <f>IF($B4526="","",IFERROR(INDEX(Config!$D$9:$D$29,MATCH($B4526,Config!$B$9:$B$29,0))&amp;"",""))</f>
        <v/>
      </c>
    </row>
    <row r="4527">
      <c r="R4527" s="20" t="str">
        <f>IF($B4527="","",IFERROR(IF(INDEX(Config!$D$9:$D$29,MATCH($B4527,Config!$B$9:$B$29,0))="Contrato",IF(INDEX(Config!$E$9:$E$29,MATCH($B4527,Config!$B$9:$B$29,0))="","",INDEX(Config!$E$9:$E$29,MATCH($B4527,Config!$B$9:$B$29,0))),""),""))</f>
        <v/>
      </c>
      <c r="AC4527" s="19" t="str">
        <f>IF($B4527="","",IFERROR(INDEX(Config!$D$9:$D$29,MATCH($B4527,Config!$B$9:$B$29,0))&amp;"",""))</f>
        <v/>
      </c>
    </row>
    <row r="4528">
      <c r="R4528" s="20" t="str">
        <f>IF($B4528="","",IFERROR(IF(INDEX(Config!$D$9:$D$29,MATCH($B4528,Config!$B$9:$B$29,0))="Contrato",IF(INDEX(Config!$E$9:$E$29,MATCH($B4528,Config!$B$9:$B$29,0))="","",INDEX(Config!$E$9:$E$29,MATCH($B4528,Config!$B$9:$B$29,0))),""),""))</f>
        <v/>
      </c>
      <c r="AC4528" s="19" t="str">
        <f>IF($B4528="","",IFERROR(INDEX(Config!$D$9:$D$29,MATCH($B4528,Config!$B$9:$B$29,0))&amp;"",""))</f>
        <v/>
      </c>
    </row>
    <row r="4529">
      <c r="R4529" s="20" t="str">
        <f>IF($B4529="","",IFERROR(IF(INDEX(Config!$D$9:$D$29,MATCH($B4529,Config!$B$9:$B$29,0))="Contrato",IF(INDEX(Config!$E$9:$E$29,MATCH($B4529,Config!$B$9:$B$29,0))="","",INDEX(Config!$E$9:$E$29,MATCH($B4529,Config!$B$9:$B$29,0))),""),""))</f>
        <v/>
      </c>
      <c r="AC4529" s="19" t="str">
        <f>IF($B4529="","",IFERROR(INDEX(Config!$D$9:$D$29,MATCH($B4529,Config!$B$9:$B$29,0))&amp;"",""))</f>
        <v/>
      </c>
    </row>
    <row r="4530">
      <c r="R4530" s="20" t="str">
        <f>IF($B4530="","",IFERROR(IF(INDEX(Config!$D$9:$D$29,MATCH($B4530,Config!$B$9:$B$29,0))="Contrato",IF(INDEX(Config!$E$9:$E$29,MATCH($B4530,Config!$B$9:$B$29,0))="","",INDEX(Config!$E$9:$E$29,MATCH($B4530,Config!$B$9:$B$29,0))),""),""))</f>
        <v/>
      </c>
      <c r="AC4530" s="19" t="str">
        <f>IF($B4530="","",IFERROR(INDEX(Config!$D$9:$D$29,MATCH($B4530,Config!$B$9:$B$29,0))&amp;"",""))</f>
        <v/>
      </c>
    </row>
    <row r="4531">
      <c r="R4531" s="20" t="str">
        <f>IF($B4531="","",IFERROR(IF(INDEX(Config!$D$9:$D$29,MATCH($B4531,Config!$B$9:$B$29,0))="Contrato",IF(INDEX(Config!$E$9:$E$29,MATCH($B4531,Config!$B$9:$B$29,0))="","",INDEX(Config!$E$9:$E$29,MATCH($B4531,Config!$B$9:$B$29,0))),""),""))</f>
        <v/>
      </c>
      <c r="AC4531" s="19" t="str">
        <f>IF($B4531="","",IFERROR(INDEX(Config!$D$9:$D$29,MATCH($B4531,Config!$B$9:$B$29,0))&amp;"",""))</f>
        <v/>
      </c>
    </row>
    <row r="4532">
      <c r="R4532" s="20" t="str">
        <f>IF($B4532="","",IFERROR(IF(INDEX(Config!$D$9:$D$29,MATCH($B4532,Config!$B$9:$B$29,0))="Contrato",IF(INDEX(Config!$E$9:$E$29,MATCH($B4532,Config!$B$9:$B$29,0))="","",INDEX(Config!$E$9:$E$29,MATCH($B4532,Config!$B$9:$B$29,0))),""),""))</f>
        <v/>
      </c>
      <c r="AC4532" s="19" t="str">
        <f>IF($B4532="","",IFERROR(INDEX(Config!$D$9:$D$29,MATCH($B4532,Config!$B$9:$B$29,0))&amp;"",""))</f>
        <v/>
      </c>
    </row>
    <row r="4533">
      <c r="R4533" s="20" t="str">
        <f>IF($B4533="","",IFERROR(IF(INDEX(Config!$D$9:$D$29,MATCH($B4533,Config!$B$9:$B$29,0))="Contrato",IF(INDEX(Config!$E$9:$E$29,MATCH($B4533,Config!$B$9:$B$29,0))="","",INDEX(Config!$E$9:$E$29,MATCH($B4533,Config!$B$9:$B$29,0))),""),""))</f>
        <v/>
      </c>
      <c r="AC4533" s="19" t="str">
        <f>IF($B4533="","",IFERROR(INDEX(Config!$D$9:$D$29,MATCH($B4533,Config!$B$9:$B$29,0))&amp;"",""))</f>
        <v/>
      </c>
    </row>
    <row r="4534">
      <c r="R4534" s="20" t="str">
        <f>IF($B4534="","",IFERROR(IF(INDEX(Config!$D$9:$D$29,MATCH($B4534,Config!$B$9:$B$29,0))="Contrato",IF(INDEX(Config!$E$9:$E$29,MATCH($B4534,Config!$B$9:$B$29,0))="","",INDEX(Config!$E$9:$E$29,MATCH($B4534,Config!$B$9:$B$29,0))),""),""))</f>
        <v/>
      </c>
      <c r="AC4534" s="19" t="str">
        <f>IF($B4534="","",IFERROR(INDEX(Config!$D$9:$D$29,MATCH($B4534,Config!$B$9:$B$29,0))&amp;"",""))</f>
        <v/>
      </c>
    </row>
    <row r="4535">
      <c r="R4535" s="20" t="str">
        <f>IF($B4535="","",IFERROR(IF(INDEX(Config!$D$9:$D$29,MATCH($B4535,Config!$B$9:$B$29,0))="Contrato",IF(INDEX(Config!$E$9:$E$29,MATCH($B4535,Config!$B$9:$B$29,0))="","",INDEX(Config!$E$9:$E$29,MATCH($B4535,Config!$B$9:$B$29,0))),""),""))</f>
        <v/>
      </c>
      <c r="AC4535" s="19" t="str">
        <f>IF($B4535="","",IFERROR(INDEX(Config!$D$9:$D$29,MATCH($B4535,Config!$B$9:$B$29,0))&amp;"",""))</f>
        <v/>
      </c>
    </row>
    <row r="4536">
      <c r="R4536" s="20" t="str">
        <f>IF($B4536="","",IFERROR(IF(INDEX(Config!$D$9:$D$29,MATCH($B4536,Config!$B$9:$B$29,0))="Contrato",IF(INDEX(Config!$E$9:$E$29,MATCH($B4536,Config!$B$9:$B$29,0))="","",INDEX(Config!$E$9:$E$29,MATCH($B4536,Config!$B$9:$B$29,0))),""),""))</f>
        <v/>
      </c>
      <c r="AC4536" s="19" t="str">
        <f>IF($B4536="","",IFERROR(INDEX(Config!$D$9:$D$29,MATCH($B4536,Config!$B$9:$B$29,0))&amp;"",""))</f>
        <v/>
      </c>
    </row>
    <row r="4537">
      <c r="R4537" s="20" t="str">
        <f>IF($B4537="","",IFERROR(IF(INDEX(Config!$D$9:$D$29,MATCH($B4537,Config!$B$9:$B$29,0))="Contrato",IF(INDEX(Config!$E$9:$E$29,MATCH($B4537,Config!$B$9:$B$29,0))="","",INDEX(Config!$E$9:$E$29,MATCH($B4537,Config!$B$9:$B$29,0))),""),""))</f>
        <v/>
      </c>
      <c r="AC4537" s="19" t="str">
        <f>IF($B4537="","",IFERROR(INDEX(Config!$D$9:$D$29,MATCH($B4537,Config!$B$9:$B$29,0))&amp;"",""))</f>
        <v/>
      </c>
    </row>
    <row r="4538">
      <c r="R4538" s="20" t="str">
        <f>IF($B4538="","",IFERROR(IF(INDEX(Config!$D$9:$D$29,MATCH($B4538,Config!$B$9:$B$29,0))="Contrato",IF(INDEX(Config!$E$9:$E$29,MATCH($B4538,Config!$B$9:$B$29,0))="","",INDEX(Config!$E$9:$E$29,MATCH($B4538,Config!$B$9:$B$29,0))),""),""))</f>
        <v/>
      </c>
      <c r="AC4538" s="19" t="str">
        <f>IF($B4538="","",IFERROR(INDEX(Config!$D$9:$D$29,MATCH($B4538,Config!$B$9:$B$29,0))&amp;"",""))</f>
        <v/>
      </c>
    </row>
    <row r="4539">
      <c r="R4539" s="20" t="str">
        <f>IF($B4539="","",IFERROR(IF(INDEX(Config!$D$9:$D$29,MATCH($B4539,Config!$B$9:$B$29,0))="Contrato",IF(INDEX(Config!$E$9:$E$29,MATCH($B4539,Config!$B$9:$B$29,0))="","",INDEX(Config!$E$9:$E$29,MATCH($B4539,Config!$B$9:$B$29,0))),""),""))</f>
        <v/>
      </c>
      <c r="AC4539" s="19" t="str">
        <f>IF($B4539="","",IFERROR(INDEX(Config!$D$9:$D$29,MATCH($B4539,Config!$B$9:$B$29,0))&amp;"",""))</f>
        <v/>
      </c>
    </row>
    <row r="4540">
      <c r="R4540" s="20" t="str">
        <f>IF($B4540="","",IFERROR(IF(INDEX(Config!$D$9:$D$29,MATCH($B4540,Config!$B$9:$B$29,0))="Contrato",IF(INDEX(Config!$E$9:$E$29,MATCH($B4540,Config!$B$9:$B$29,0))="","",INDEX(Config!$E$9:$E$29,MATCH($B4540,Config!$B$9:$B$29,0))),""),""))</f>
        <v/>
      </c>
      <c r="AC4540" s="19" t="str">
        <f>IF($B4540="","",IFERROR(INDEX(Config!$D$9:$D$29,MATCH($B4540,Config!$B$9:$B$29,0))&amp;"",""))</f>
        <v/>
      </c>
    </row>
    <row r="4541">
      <c r="R4541" s="20" t="str">
        <f>IF($B4541="","",IFERROR(IF(INDEX(Config!$D$9:$D$29,MATCH($B4541,Config!$B$9:$B$29,0))="Contrato",IF(INDEX(Config!$E$9:$E$29,MATCH($B4541,Config!$B$9:$B$29,0))="","",INDEX(Config!$E$9:$E$29,MATCH($B4541,Config!$B$9:$B$29,0))),""),""))</f>
        <v/>
      </c>
      <c r="AC4541" s="19" t="str">
        <f>IF($B4541="","",IFERROR(INDEX(Config!$D$9:$D$29,MATCH($B4541,Config!$B$9:$B$29,0))&amp;"",""))</f>
        <v/>
      </c>
    </row>
    <row r="4542">
      <c r="R4542" s="20" t="str">
        <f>IF($B4542="","",IFERROR(IF(INDEX(Config!$D$9:$D$29,MATCH($B4542,Config!$B$9:$B$29,0))="Contrato",IF(INDEX(Config!$E$9:$E$29,MATCH($B4542,Config!$B$9:$B$29,0))="","",INDEX(Config!$E$9:$E$29,MATCH($B4542,Config!$B$9:$B$29,0))),""),""))</f>
        <v/>
      </c>
      <c r="AC4542" s="19" t="str">
        <f>IF($B4542="","",IFERROR(INDEX(Config!$D$9:$D$29,MATCH($B4542,Config!$B$9:$B$29,0))&amp;"",""))</f>
        <v/>
      </c>
    </row>
    <row r="4543">
      <c r="R4543" s="20" t="str">
        <f>IF($B4543="","",IFERROR(IF(INDEX(Config!$D$9:$D$29,MATCH($B4543,Config!$B$9:$B$29,0))="Contrato",IF(INDEX(Config!$E$9:$E$29,MATCH($B4543,Config!$B$9:$B$29,0))="","",INDEX(Config!$E$9:$E$29,MATCH($B4543,Config!$B$9:$B$29,0))),""),""))</f>
        <v/>
      </c>
      <c r="AC4543" s="19" t="str">
        <f>IF($B4543="","",IFERROR(INDEX(Config!$D$9:$D$29,MATCH($B4543,Config!$B$9:$B$29,0))&amp;"",""))</f>
        <v/>
      </c>
    </row>
    <row r="4544">
      <c r="R4544" s="20" t="str">
        <f>IF($B4544="","",IFERROR(IF(INDEX(Config!$D$9:$D$29,MATCH($B4544,Config!$B$9:$B$29,0))="Contrato",IF(INDEX(Config!$E$9:$E$29,MATCH($B4544,Config!$B$9:$B$29,0))="","",INDEX(Config!$E$9:$E$29,MATCH($B4544,Config!$B$9:$B$29,0))),""),""))</f>
        <v/>
      </c>
      <c r="AC4544" s="19" t="str">
        <f>IF($B4544="","",IFERROR(INDEX(Config!$D$9:$D$29,MATCH($B4544,Config!$B$9:$B$29,0))&amp;"",""))</f>
        <v/>
      </c>
    </row>
    <row r="4545">
      <c r="R4545" s="20" t="str">
        <f>IF($B4545="","",IFERROR(IF(INDEX(Config!$D$9:$D$29,MATCH($B4545,Config!$B$9:$B$29,0))="Contrato",IF(INDEX(Config!$E$9:$E$29,MATCH($B4545,Config!$B$9:$B$29,0))="","",INDEX(Config!$E$9:$E$29,MATCH($B4545,Config!$B$9:$B$29,0))),""),""))</f>
        <v/>
      </c>
      <c r="AC4545" s="19" t="str">
        <f>IF($B4545="","",IFERROR(INDEX(Config!$D$9:$D$29,MATCH($B4545,Config!$B$9:$B$29,0))&amp;"",""))</f>
        <v/>
      </c>
    </row>
    <row r="4546">
      <c r="R4546" s="20" t="str">
        <f>IF($B4546="","",IFERROR(IF(INDEX(Config!$D$9:$D$29,MATCH($B4546,Config!$B$9:$B$29,0))="Contrato",IF(INDEX(Config!$E$9:$E$29,MATCH($B4546,Config!$B$9:$B$29,0))="","",INDEX(Config!$E$9:$E$29,MATCH($B4546,Config!$B$9:$B$29,0))),""),""))</f>
        <v/>
      </c>
      <c r="AC4546" s="19" t="str">
        <f>IF($B4546="","",IFERROR(INDEX(Config!$D$9:$D$29,MATCH($B4546,Config!$B$9:$B$29,0))&amp;"",""))</f>
        <v/>
      </c>
    </row>
    <row r="4547">
      <c r="R4547" s="20" t="str">
        <f>IF($B4547="","",IFERROR(IF(INDEX(Config!$D$9:$D$29,MATCH($B4547,Config!$B$9:$B$29,0))="Contrato",IF(INDEX(Config!$E$9:$E$29,MATCH($B4547,Config!$B$9:$B$29,0))="","",INDEX(Config!$E$9:$E$29,MATCH($B4547,Config!$B$9:$B$29,0))),""),""))</f>
        <v/>
      </c>
      <c r="AC4547" s="19" t="str">
        <f>IF($B4547="","",IFERROR(INDEX(Config!$D$9:$D$29,MATCH($B4547,Config!$B$9:$B$29,0))&amp;"",""))</f>
        <v/>
      </c>
    </row>
    <row r="4548">
      <c r="R4548" s="20" t="str">
        <f>IF($B4548="","",IFERROR(IF(INDEX(Config!$D$9:$D$29,MATCH($B4548,Config!$B$9:$B$29,0))="Contrato",IF(INDEX(Config!$E$9:$E$29,MATCH($B4548,Config!$B$9:$B$29,0))="","",INDEX(Config!$E$9:$E$29,MATCH($B4548,Config!$B$9:$B$29,0))),""),""))</f>
        <v/>
      </c>
      <c r="AC4548" s="19" t="str">
        <f>IF($B4548="","",IFERROR(INDEX(Config!$D$9:$D$29,MATCH($B4548,Config!$B$9:$B$29,0))&amp;"",""))</f>
        <v/>
      </c>
    </row>
    <row r="4549">
      <c r="R4549" s="20" t="str">
        <f>IF($B4549="","",IFERROR(IF(INDEX(Config!$D$9:$D$29,MATCH($B4549,Config!$B$9:$B$29,0))="Contrato",IF(INDEX(Config!$E$9:$E$29,MATCH($B4549,Config!$B$9:$B$29,0))="","",INDEX(Config!$E$9:$E$29,MATCH($B4549,Config!$B$9:$B$29,0))),""),""))</f>
        <v/>
      </c>
      <c r="AC4549" s="19" t="str">
        <f>IF($B4549="","",IFERROR(INDEX(Config!$D$9:$D$29,MATCH($B4549,Config!$B$9:$B$29,0))&amp;"",""))</f>
        <v/>
      </c>
    </row>
    <row r="4550">
      <c r="R4550" s="20" t="str">
        <f>IF($B4550="","",IFERROR(IF(INDEX(Config!$D$9:$D$29,MATCH($B4550,Config!$B$9:$B$29,0))="Contrato",IF(INDEX(Config!$E$9:$E$29,MATCH($B4550,Config!$B$9:$B$29,0))="","",INDEX(Config!$E$9:$E$29,MATCH($B4550,Config!$B$9:$B$29,0))),""),""))</f>
        <v/>
      </c>
      <c r="AC4550" s="19" t="str">
        <f>IF($B4550="","",IFERROR(INDEX(Config!$D$9:$D$29,MATCH($B4550,Config!$B$9:$B$29,0))&amp;"",""))</f>
        <v/>
      </c>
    </row>
    <row r="4551">
      <c r="R4551" s="20" t="str">
        <f>IF($B4551="","",IFERROR(IF(INDEX(Config!$D$9:$D$29,MATCH($B4551,Config!$B$9:$B$29,0))="Contrato",IF(INDEX(Config!$E$9:$E$29,MATCH($B4551,Config!$B$9:$B$29,0))="","",INDEX(Config!$E$9:$E$29,MATCH($B4551,Config!$B$9:$B$29,0))),""),""))</f>
        <v/>
      </c>
      <c r="AC4551" s="19" t="str">
        <f>IF($B4551="","",IFERROR(INDEX(Config!$D$9:$D$29,MATCH($B4551,Config!$B$9:$B$29,0))&amp;"",""))</f>
        <v/>
      </c>
    </row>
    <row r="4552">
      <c r="R4552" s="20" t="str">
        <f>IF($B4552="","",IFERROR(IF(INDEX(Config!$D$9:$D$29,MATCH($B4552,Config!$B$9:$B$29,0))="Contrato",IF(INDEX(Config!$E$9:$E$29,MATCH($B4552,Config!$B$9:$B$29,0))="","",INDEX(Config!$E$9:$E$29,MATCH($B4552,Config!$B$9:$B$29,0))),""),""))</f>
        <v/>
      </c>
      <c r="AC4552" s="19" t="str">
        <f>IF($B4552="","",IFERROR(INDEX(Config!$D$9:$D$29,MATCH($B4552,Config!$B$9:$B$29,0))&amp;"",""))</f>
        <v/>
      </c>
    </row>
    <row r="4553">
      <c r="R4553" s="20" t="str">
        <f>IF($B4553="","",IFERROR(IF(INDEX(Config!$D$9:$D$29,MATCH($B4553,Config!$B$9:$B$29,0))="Contrato",IF(INDEX(Config!$E$9:$E$29,MATCH($B4553,Config!$B$9:$B$29,0))="","",INDEX(Config!$E$9:$E$29,MATCH($B4553,Config!$B$9:$B$29,0))),""),""))</f>
        <v/>
      </c>
      <c r="AC4553" s="19" t="str">
        <f>IF($B4553="","",IFERROR(INDEX(Config!$D$9:$D$29,MATCH($B4553,Config!$B$9:$B$29,0))&amp;"",""))</f>
        <v/>
      </c>
    </row>
    <row r="4554">
      <c r="R4554" s="20" t="str">
        <f>IF($B4554="","",IFERROR(IF(INDEX(Config!$D$9:$D$29,MATCH($B4554,Config!$B$9:$B$29,0))="Contrato",IF(INDEX(Config!$E$9:$E$29,MATCH($B4554,Config!$B$9:$B$29,0))="","",INDEX(Config!$E$9:$E$29,MATCH($B4554,Config!$B$9:$B$29,0))),""),""))</f>
        <v/>
      </c>
      <c r="AC4554" s="19" t="str">
        <f>IF($B4554="","",IFERROR(INDEX(Config!$D$9:$D$29,MATCH($B4554,Config!$B$9:$B$29,0))&amp;"",""))</f>
        <v/>
      </c>
    </row>
    <row r="4555">
      <c r="R4555" s="20" t="str">
        <f>IF($B4555="","",IFERROR(IF(INDEX(Config!$D$9:$D$29,MATCH($B4555,Config!$B$9:$B$29,0))="Contrato",IF(INDEX(Config!$E$9:$E$29,MATCH($B4555,Config!$B$9:$B$29,0))="","",INDEX(Config!$E$9:$E$29,MATCH($B4555,Config!$B$9:$B$29,0))),""),""))</f>
        <v/>
      </c>
      <c r="AC4555" s="19" t="str">
        <f>IF($B4555="","",IFERROR(INDEX(Config!$D$9:$D$29,MATCH($B4555,Config!$B$9:$B$29,0))&amp;"",""))</f>
        <v/>
      </c>
    </row>
    <row r="4556">
      <c r="R4556" s="20" t="str">
        <f>IF($B4556="","",IFERROR(IF(INDEX(Config!$D$9:$D$29,MATCH($B4556,Config!$B$9:$B$29,0))="Contrato",IF(INDEX(Config!$E$9:$E$29,MATCH($B4556,Config!$B$9:$B$29,0))="","",INDEX(Config!$E$9:$E$29,MATCH($B4556,Config!$B$9:$B$29,0))),""),""))</f>
        <v/>
      </c>
      <c r="AC4556" s="19" t="str">
        <f>IF($B4556="","",IFERROR(INDEX(Config!$D$9:$D$29,MATCH($B4556,Config!$B$9:$B$29,0))&amp;"",""))</f>
        <v/>
      </c>
    </row>
    <row r="4557">
      <c r="R4557" s="20" t="str">
        <f>IF($B4557="","",IFERROR(IF(INDEX(Config!$D$9:$D$29,MATCH($B4557,Config!$B$9:$B$29,0))="Contrato",IF(INDEX(Config!$E$9:$E$29,MATCH($B4557,Config!$B$9:$B$29,0))="","",INDEX(Config!$E$9:$E$29,MATCH($B4557,Config!$B$9:$B$29,0))),""),""))</f>
        <v/>
      </c>
      <c r="AC4557" s="19" t="str">
        <f>IF($B4557="","",IFERROR(INDEX(Config!$D$9:$D$29,MATCH($B4557,Config!$B$9:$B$29,0))&amp;"",""))</f>
        <v/>
      </c>
    </row>
    <row r="4558">
      <c r="R4558" s="20" t="str">
        <f>IF($B4558="","",IFERROR(IF(INDEX(Config!$D$9:$D$29,MATCH($B4558,Config!$B$9:$B$29,0))="Contrato",IF(INDEX(Config!$E$9:$E$29,MATCH($B4558,Config!$B$9:$B$29,0))="","",INDEX(Config!$E$9:$E$29,MATCH($B4558,Config!$B$9:$B$29,0))),""),""))</f>
        <v/>
      </c>
      <c r="AC4558" s="19" t="str">
        <f>IF($B4558="","",IFERROR(INDEX(Config!$D$9:$D$29,MATCH($B4558,Config!$B$9:$B$29,0))&amp;"",""))</f>
        <v/>
      </c>
    </row>
    <row r="4559">
      <c r="R4559" s="20" t="str">
        <f>IF($B4559="","",IFERROR(IF(INDEX(Config!$D$9:$D$29,MATCH($B4559,Config!$B$9:$B$29,0))="Contrato",IF(INDEX(Config!$E$9:$E$29,MATCH($B4559,Config!$B$9:$B$29,0))="","",INDEX(Config!$E$9:$E$29,MATCH($B4559,Config!$B$9:$B$29,0))),""),""))</f>
        <v/>
      </c>
      <c r="AC4559" s="19" t="str">
        <f>IF($B4559="","",IFERROR(INDEX(Config!$D$9:$D$29,MATCH($B4559,Config!$B$9:$B$29,0))&amp;"",""))</f>
        <v/>
      </c>
    </row>
    <row r="4560">
      <c r="R4560" s="20" t="str">
        <f>IF($B4560="","",IFERROR(IF(INDEX(Config!$D$9:$D$29,MATCH($B4560,Config!$B$9:$B$29,0))="Contrato",IF(INDEX(Config!$E$9:$E$29,MATCH($B4560,Config!$B$9:$B$29,0))="","",INDEX(Config!$E$9:$E$29,MATCH($B4560,Config!$B$9:$B$29,0))),""),""))</f>
        <v/>
      </c>
      <c r="AC4560" s="19" t="str">
        <f>IF($B4560="","",IFERROR(INDEX(Config!$D$9:$D$29,MATCH($B4560,Config!$B$9:$B$29,0))&amp;"",""))</f>
        <v/>
      </c>
    </row>
    <row r="4561">
      <c r="R4561" s="20" t="str">
        <f>IF($B4561="","",IFERROR(IF(INDEX(Config!$D$9:$D$29,MATCH($B4561,Config!$B$9:$B$29,0))="Contrato",IF(INDEX(Config!$E$9:$E$29,MATCH($B4561,Config!$B$9:$B$29,0))="","",INDEX(Config!$E$9:$E$29,MATCH($B4561,Config!$B$9:$B$29,0))),""),""))</f>
        <v/>
      </c>
      <c r="AC4561" s="19" t="str">
        <f>IF($B4561="","",IFERROR(INDEX(Config!$D$9:$D$29,MATCH($B4561,Config!$B$9:$B$29,0))&amp;"",""))</f>
        <v/>
      </c>
    </row>
    <row r="4562">
      <c r="R4562" s="20" t="str">
        <f>IF($B4562="","",IFERROR(IF(INDEX(Config!$D$9:$D$29,MATCH($B4562,Config!$B$9:$B$29,0))="Contrato",IF(INDEX(Config!$E$9:$E$29,MATCH($B4562,Config!$B$9:$B$29,0))="","",INDEX(Config!$E$9:$E$29,MATCH($B4562,Config!$B$9:$B$29,0))),""),""))</f>
        <v/>
      </c>
      <c r="AC4562" s="19" t="str">
        <f>IF($B4562="","",IFERROR(INDEX(Config!$D$9:$D$29,MATCH($B4562,Config!$B$9:$B$29,0))&amp;"",""))</f>
        <v/>
      </c>
    </row>
    <row r="4563">
      <c r="R4563" s="20" t="str">
        <f>IF($B4563="","",IFERROR(IF(INDEX(Config!$D$9:$D$29,MATCH($B4563,Config!$B$9:$B$29,0))="Contrato",IF(INDEX(Config!$E$9:$E$29,MATCH($B4563,Config!$B$9:$B$29,0))="","",INDEX(Config!$E$9:$E$29,MATCH($B4563,Config!$B$9:$B$29,0))),""),""))</f>
        <v/>
      </c>
      <c r="AC4563" s="19" t="str">
        <f>IF($B4563="","",IFERROR(INDEX(Config!$D$9:$D$29,MATCH($B4563,Config!$B$9:$B$29,0))&amp;"",""))</f>
        <v/>
      </c>
    </row>
    <row r="4564">
      <c r="R4564" s="20" t="str">
        <f>IF($B4564="","",IFERROR(IF(INDEX(Config!$D$9:$D$29,MATCH($B4564,Config!$B$9:$B$29,0))="Contrato",IF(INDEX(Config!$E$9:$E$29,MATCH($B4564,Config!$B$9:$B$29,0))="","",INDEX(Config!$E$9:$E$29,MATCH($B4564,Config!$B$9:$B$29,0))),""),""))</f>
        <v/>
      </c>
      <c r="AC4564" s="19" t="str">
        <f>IF($B4564="","",IFERROR(INDEX(Config!$D$9:$D$29,MATCH($B4564,Config!$B$9:$B$29,0))&amp;"",""))</f>
        <v/>
      </c>
    </row>
    <row r="4565">
      <c r="R4565" s="20" t="str">
        <f>IF($B4565="","",IFERROR(IF(INDEX(Config!$D$9:$D$29,MATCH($B4565,Config!$B$9:$B$29,0))="Contrato",IF(INDEX(Config!$E$9:$E$29,MATCH($B4565,Config!$B$9:$B$29,0))="","",INDEX(Config!$E$9:$E$29,MATCH($B4565,Config!$B$9:$B$29,0))),""),""))</f>
        <v/>
      </c>
      <c r="AC4565" s="19" t="str">
        <f>IF($B4565="","",IFERROR(INDEX(Config!$D$9:$D$29,MATCH($B4565,Config!$B$9:$B$29,0))&amp;"",""))</f>
        <v/>
      </c>
    </row>
    <row r="4566">
      <c r="R4566" s="20" t="str">
        <f>IF($B4566="","",IFERROR(IF(INDEX(Config!$D$9:$D$29,MATCH($B4566,Config!$B$9:$B$29,0))="Contrato",IF(INDEX(Config!$E$9:$E$29,MATCH($B4566,Config!$B$9:$B$29,0))="","",INDEX(Config!$E$9:$E$29,MATCH($B4566,Config!$B$9:$B$29,0))),""),""))</f>
        <v/>
      </c>
      <c r="AC4566" s="19" t="str">
        <f>IF($B4566="","",IFERROR(INDEX(Config!$D$9:$D$29,MATCH($B4566,Config!$B$9:$B$29,0))&amp;"",""))</f>
        <v/>
      </c>
    </row>
    <row r="4567">
      <c r="R4567" s="20" t="str">
        <f>IF($B4567="","",IFERROR(IF(INDEX(Config!$D$9:$D$29,MATCH($B4567,Config!$B$9:$B$29,0))="Contrato",IF(INDEX(Config!$E$9:$E$29,MATCH($B4567,Config!$B$9:$B$29,0))="","",INDEX(Config!$E$9:$E$29,MATCH($B4567,Config!$B$9:$B$29,0))),""),""))</f>
        <v/>
      </c>
      <c r="AC4567" s="19" t="str">
        <f>IF($B4567="","",IFERROR(INDEX(Config!$D$9:$D$29,MATCH($B4567,Config!$B$9:$B$29,0))&amp;"",""))</f>
        <v/>
      </c>
    </row>
    <row r="4568">
      <c r="R4568" s="20" t="str">
        <f>IF($B4568="","",IFERROR(IF(INDEX(Config!$D$9:$D$29,MATCH($B4568,Config!$B$9:$B$29,0))="Contrato",IF(INDEX(Config!$E$9:$E$29,MATCH($B4568,Config!$B$9:$B$29,0))="","",INDEX(Config!$E$9:$E$29,MATCH($B4568,Config!$B$9:$B$29,0))),""),""))</f>
        <v/>
      </c>
      <c r="AC4568" s="19" t="str">
        <f>IF($B4568="","",IFERROR(INDEX(Config!$D$9:$D$29,MATCH($B4568,Config!$B$9:$B$29,0))&amp;"",""))</f>
        <v/>
      </c>
    </row>
    <row r="4569">
      <c r="R4569" s="20" t="str">
        <f>IF($B4569="","",IFERROR(IF(INDEX(Config!$D$9:$D$29,MATCH($B4569,Config!$B$9:$B$29,0))="Contrato",IF(INDEX(Config!$E$9:$E$29,MATCH($B4569,Config!$B$9:$B$29,0))="","",INDEX(Config!$E$9:$E$29,MATCH($B4569,Config!$B$9:$B$29,0))),""),""))</f>
        <v/>
      </c>
      <c r="AC4569" s="19" t="str">
        <f>IF($B4569="","",IFERROR(INDEX(Config!$D$9:$D$29,MATCH($B4569,Config!$B$9:$B$29,0))&amp;"",""))</f>
        <v/>
      </c>
    </row>
    <row r="4570">
      <c r="R4570" s="20" t="str">
        <f>IF($B4570="","",IFERROR(IF(INDEX(Config!$D$9:$D$29,MATCH($B4570,Config!$B$9:$B$29,0))="Contrato",IF(INDEX(Config!$E$9:$E$29,MATCH($B4570,Config!$B$9:$B$29,0))="","",INDEX(Config!$E$9:$E$29,MATCH($B4570,Config!$B$9:$B$29,0))),""),""))</f>
        <v/>
      </c>
      <c r="AC4570" s="19" t="str">
        <f>IF($B4570="","",IFERROR(INDEX(Config!$D$9:$D$29,MATCH($B4570,Config!$B$9:$B$29,0))&amp;"",""))</f>
        <v/>
      </c>
    </row>
    <row r="4571">
      <c r="R4571" s="20" t="str">
        <f>IF($B4571="","",IFERROR(IF(INDEX(Config!$D$9:$D$29,MATCH($B4571,Config!$B$9:$B$29,0))="Contrato",IF(INDEX(Config!$E$9:$E$29,MATCH($B4571,Config!$B$9:$B$29,0))="","",INDEX(Config!$E$9:$E$29,MATCH($B4571,Config!$B$9:$B$29,0))),""),""))</f>
        <v/>
      </c>
      <c r="AC4571" s="19" t="str">
        <f>IF($B4571="","",IFERROR(INDEX(Config!$D$9:$D$29,MATCH($B4571,Config!$B$9:$B$29,0))&amp;"",""))</f>
        <v/>
      </c>
    </row>
    <row r="4572">
      <c r="R4572" s="20" t="str">
        <f>IF($B4572="","",IFERROR(IF(INDEX(Config!$D$9:$D$29,MATCH($B4572,Config!$B$9:$B$29,0))="Contrato",IF(INDEX(Config!$E$9:$E$29,MATCH($B4572,Config!$B$9:$B$29,0))="","",INDEX(Config!$E$9:$E$29,MATCH($B4572,Config!$B$9:$B$29,0))),""),""))</f>
        <v/>
      </c>
      <c r="AC4572" s="19" t="str">
        <f>IF($B4572="","",IFERROR(INDEX(Config!$D$9:$D$29,MATCH($B4572,Config!$B$9:$B$29,0))&amp;"",""))</f>
        <v/>
      </c>
    </row>
    <row r="4573">
      <c r="R4573" s="20" t="str">
        <f>IF($B4573="","",IFERROR(IF(INDEX(Config!$D$9:$D$29,MATCH($B4573,Config!$B$9:$B$29,0))="Contrato",IF(INDEX(Config!$E$9:$E$29,MATCH($B4573,Config!$B$9:$B$29,0))="","",INDEX(Config!$E$9:$E$29,MATCH($B4573,Config!$B$9:$B$29,0))),""),""))</f>
        <v/>
      </c>
      <c r="AC4573" s="19" t="str">
        <f>IF($B4573="","",IFERROR(INDEX(Config!$D$9:$D$29,MATCH($B4573,Config!$B$9:$B$29,0))&amp;"",""))</f>
        <v/>
      </c>
    </row>
    <row r="4574">
      <c r="R4574" s="20" t="str">
        <f>IF($B4574="","",IFERROR(IF(INDEX(Config!$D$9:$D$29,MATCH($B4574,Config!$B$9:$B$29,0))="Contrato",IF(INDEX(Config!$E$9:$E$29,MATCH($B4574,Config!$B$9:$B$29,0))="","",INDEX(Config!$E$9:$E$29,MATCH($B4574,Config!$B$9:$B$29,0))),""),""))</f>
        <v/>
      </c>
      <c r="AC4574" s="19" t="str">
        <f>IF($B4574="","",IFERROR(INDEX(Config!$D$9:$D$29,MATCH($B4574,Config!$B$9:$B$29,0))&amp;"",""))</f>
        <v/>
      </c>
    </row>
    <row r="4575">
      <c r="R4575" s="20" t="str">
        <f>IF($B4575="","",IFERROR(IF(INDEX(Config!$D$9:$D$29,MATCH($B4575,Config!$B$9:$B$29,0))="Contrato",IF(INDEX(Config!$E$9:$E$29,MATCH($B4575,Config!$B$9:$B$29,0))="","",INDEX(Config!$E$9:$E$29,MATCH($B4575,Config!$B$9:$B$29,0))),""),""))</f>
        <v/>
      </c>
      <c r="AC4575" s="19" t="str">
        <f>IF($B4575="","",IFERROR(INDEX(Config!$D$9:$D$29,MATCH($B4575,Config!$B$9:$B$29,0))&amp;"",""))</f>
        <v/>
      </c>
    </row>
    <row r="4576">
      <c r="R4576" s="20" t="str">
        <f>IF($B4576="","",IFERROR(IF(INDEX(Config!$D$9:$D$29,MATCH($B4576,Config!$B$9:$B$29,0))="Contrato",IF(INDEX(Config!$E$9:$E$29,MATCH($B4576,Config!$B$9:$B$29,0))="","",INDEX(Config!$E$9:$E$29,MATCH($B4576,Config!$B$9:$B$29,0))),""),""))</f>
        <v/>
      </c>
      <c r="AC4576" s="19" t="str">
        <f>IF($B4576="","",IFERROR(INDEX(Config!$D$9:$D$29,MATCH($B4576,Config!$B$9:$B$29,0))&amp;"",""))</f>
        <v/>
      </c>
    </row>
    <row r="4577">
      <c r="R4577" s="20" t="str">
        <f>IF($B4577="","",IFERROR(IF(INDEX(Config!$D$9:$D$29,MATCH($B4577,Config!$B$9:$B$29,0))="Contrato",IF(INDEX(Config!$E$9:$E$29,MATCH($B4577,Config!$B$9:$B$29,0))="","",INDEX(Config!$E$9:$E$29,MATCH($B4577,Config!$B$9:$B$29,0))),""),""))</f>
        <v/>
      </c>
      <c r="AC4577" s="19" t="str">
        <f>IF($B4577="","",IFERROR(INDEX(Config!$D$9:$D$29,MATCH($B4577,Config!$B$9:$B$29,0))&amp;"",""))</f>
        <v/>
      </c>
    </row>
    <row r="4578">
      <c r="R4578" s="20" t="str">
        <f>IF($B4578="","",IFERROR(IF(INDEX(Config!$D$9:$D$29,MATCH($B4578,Config!$B$9:$B$29,0))="Contrato",IF(INDEX(Config!$E$9:$E$29,MATCH($B4578,Config!$B$9:$B$29,0))="","",INDEX(Config!$E$9:$E$29,MATCH($B4578,Config!$B$9:$B$29,0))),""),""))</f>
        <v/>
      </c>
      <c r="AC4578" s="19" t="str">
        <f>IF($B4578="","",IFERROR(INDEX(Config!$D$9:$D$29,MATCH($B4578,Config!$B$9:$B$29,0))&amp;"",""))</f>
        <v/>
      </c>
    </row>
    <row r="4579">
      <c r="R4579" s="20" t="str">
        <f>IF($B4579="","",IFERROR(IF(INDEX(Config!$D$9:$D$29,MATCH($B4579,Config!$B$9:$B$29,0))="Contrato",IF(INDEX(Config!$E$9:$E$29,MATCH($B4579,Config!$B$9:$B$29,0))="","",INDEX(Config!$E$9:$E$29,MATCH($B4579,Config!$B$9:$B$29,0))),""),""))</f>
        <v/>
      </c>
      <c r="AC4579" s="19" t="str">
        <f>IF($B4579="","",IFERROR(INDEX(Config!$D$9:$D$29,MATCH($B4579,Config!$B$9:$B$29,0))&amp;"",""))</f>
        <v/>
      </c>
    </row>
    <row r="4580">
      <c r="R4580" s="20" t="str">
        <f>IF($B4580="","",IFERROR(IF(INDEX(Config!$D$9:$D$29,MATCH($B4580,Config!$B$9:$B$29,0))="Contrato",IF(INDEX(Config!$E$9:$E$29,MATCH($B4580,Config!$B$9:$B$29,0))="","",INDEX(Config!$E$9:$E$29,MATCH($B4580,Config!$B$9:$B$29,0))),""),""))</f>
        <v/>
      </c>
      <c r="AC4580" s="19" t="str">
        <f>IF($B4580="","",IFERROR(INDEX(Config!$D$9:$D$29,MATCH($B4580,Config!$B$9:$B$29,0))&amp;"",""))</f>
        <v/>
      </c>
    </row>
    <row r="4581">
      <c r="R4581" s="20" t="str">
        <f>IF($B4581="","",IFERROR(IF(INDEX(Config!$D$9:$D$29,MATCH($B4581,Config!$B$9:$B$29,0))="Contrato",IF(INDEX(Config!$E$9:$E$29,MATCH($B4581,Config!$B$9:$B$29,0))="","",INDEX(Config!$E$9:$E$29,MATCH($B4581,Config!$B$9:$B$29,0))),""),""))</f>
        <v/>
      </c>
      <c r="AC4581" s="19" t="str">
        <f>IF($B4581="","",IFERROR(INDEX(Config!$D$9:$D$29,MATCH($B4581,Config!$B$9:$B$29,0))&amp;"",""))</f>
        <v/>
      </c>
    </row>
    <row r="4582">
      <c r="R4582" s="20" t="str">
        <f>IF($B4582="","",IFERROR(IF(INDEX(Config!$D$9:$D$29,MATCH($B4582,Config!$B$9:$B$29,0))="Contrato",IF(INDEX(Config!$E$9:$E$29,MATCH($B4582,Config!$B$9:$B$29,0))="","",INDEX(Config!$E$9:$E$29,MATCH($B4582,Config!$B$9:$B$29,0))),""),""))</f>
        <v/>
      </c>
      <c r="AC4582" s="19" t="str">
        <f>IF($B4582="","",IFERROR(INDEX(Config!$D$9:$D$29,MATCH($B4582,Config!$B$9:$B$29,0))&amp;"",""))</f>
        <v/>
      </c>
    </row>
    <row r="4583">
      <c r="R4583" s="20" t="str">
        <f>IF($B4583="","",IFERROR(IF(INDEX(Config!$D$9:$D$29,MATCH($B4583,Config!$B$9:$B$29,0))="Contrato",IF(INDEX(Config!$E$9:$E$29,MATCH($B4583,Config!$B$9:$B$29,0))="","",INDEX(Config!$E$9:$E$29,MATCH($B4583,Config!$B$9:$B$29,0))),""),""))</f>
        <v/>
      </c>
      <c r="AC4583" s="19" t="str">
        <f>IF($B4583="","",IFERROR(INDEX(Config!$D$9:$D$29,MATCH($B4583,Config!$B$9:$B$29,0))&amp;"",""))</f>
        <v/>
      </c>
    </row>
    <row r="4584">
      <c r="R4584" s="20" t="str">
        <f>IF($B4584="","",IFERROR(IF(INDEX(Config!$D$9:$D$29,MATCH($B4584,Config!$B$9:$B$29,0))="Contrato",IF(INDEX(Config!$E$9:$E$29,MATCH($B4584,Config!$B$9:$B$29,0))="","",INDEX(Config!$E$9:$E$29,MATCH($B4584,Config!$B$9:$B$29,0))),""),""))</f>
        <v/>
      </c>
      <c r="AC4584" s="19" t="str">
        <f>IF($B4584="","",IFERROR(INDEX(Config!$D$9:$D$29,MATCH($B4584,Config!$B$9:$B$29,0))&amp;"",""))</f>
        <v/>
      </c>
    </row>
    <row r="4585">
      <c r="R4585" s="20" t="str">
        <f>IF($B4585="","",IFERROR(IF(INDEX(Config!$D$9:$D$29,MATCH($B4585,Config!$B$9:$B$29,0))="Contrato",IF(INDEX(Config!$E$9:$E$29,MATCH($B4585,Config!$B$9:$B$29,0))="","",INDEX(Config!$E$9:$E$29,MATCH($B4585,Config!$B$9:$B$29,0))),""),""))</f>
        <v/>
      </c>
      <c r="AC4585" s="19" t="str">
        <f>IF($B4585="","",IFERROR(INDEX(Config!$D$9:$D$29,MATCH($B4585,Config!$B$9:$B$29,0))&amp;"",""))</f>
        <v/>
      </c>
    </row>
    <row r="4586">
      <c r="R4586" s="20" t="str">
        <f>IF($B4586="","",IFERROR(IF(INDEX(Config!$D$9:$D$29,MATCH($B4586,Config!$B$9:$B$29,0))="Contrato",IF(INDEX(Config!$E$9:$E$29,MATCH($B4586,Config!$B$9:$B$29,0))="","",INDEX(Config!$E$9:$E$29,MATCH($B4586,Config!$B$9:$B$29,0))),""),""))</f>
        <v/>
      </c>
      <c r="AC4586" s="19" t="str">
        <f>IF($B4586="","",IFERROR(INDEX(Config!$D$9:$D$29,MATCH($B4586,Config!$B$9:$B$29,0))&amp;"",""))</f>
        <v/>
      </c>
    </row>
    <row r="4587">
      <c r="R4587" s="20" t="str">
        <f>IF($B4587="","",IFERROR(IF(INDEX(Config!$D$9:$D$29,MATCH($B4587,Config!$B$9:$B$29,0))="Contrato",IF(INDEX(Config!$E$9:$E$29,MATCH($B4587,Config!$B$9:$B$29,0))="","",INDEX(Config!$E$9:$E$29,MATCH($B4587,Config!$B$9:$B$29,0))),""),""))</f>
        <v/>
      </c>
      <c r="AC4587" s="19" t="str">
        <f>IF($B4587="","",IFERROR(INDEX(Config!$D$9:$D$29,MATCH($B4587,Config!$B$9:$B$29,0))&amp;"",""))</f>
        <v/>
      </c>
    </row>
    <row r="4588">
      <c r="R4588" s="20" t="str">
        <f>IF($B4588="","",IFERROR(IF(INDEX(Config!$D$9:$D$29,MATCH($B4588,Config!$B$9:$B$29,0))="Contrato",IF(INDEX(Config!$E$9:$E$29,MATCH($B4588,Config!$B$9:$B$29,0))="","",INDEX(Config!$E$9:$E$29,MATCH($B4588,Config!$B$9:$B$29,0))),""),""))</f>
        <v/>
      </c>
      <c r="AC4588" s="19" t="str">
        <f>IF($B4588="","",IFERROR(INDEX(Config!$D$9:$D$29,MATCH($B4588,Config!$B$9:$B$29,0))&amp;"",""))</f>
        <v/>
      </c>
    </row>
    <row r="4589">
      <c r="R4589" s="20" t="str">
        <f>IF($B4589="","",IFERROR(IF(INDEX(Config!$D$9:$D$29,MATCH($B4589,Config!$B$9:$B$29,0))="Contrato",IF(INDEX(Config!$E$9:$E$29,MATCH($B4589,Config!$B$9:$B$29,0))="","",INDEX(Config!$E$9:$E$29,MATCH($B4589,Config!$B$9:$B$29,0))),""),""))</f>
        <v/>
      </c>
      <c r="AC4589" s="19" t="str">
        <f>IF($B4589="","",IFERROR(INDEX(Config!$D$9:$D$29,MATCH($B4589,Config!$B$9:$B$29,0))&amp;"",""))</f>
        <v/>
      </c>
    </row>
    <row r="4590">
      <c r="R4590" s="20" t="str">
        <f>IF($B4590="","",IFERROR(IF(INDEX(Config!$D$9:$D$29,MATCH($B4590,Config!$B$9:$B$29,0))="Contrato",IF(INDEX(Config!$E$9:$E$29,MATCH($B4590,Config!$B$9:$B$29,0))="","",INDEX(Config!$E$9:$E$29,MATCH($B4590,Config!$B$9:$B$29,0))),""),""))</f>
        <v/>
      </c>
      <c r="AC4590" s="19" t="str">
        <f>IF($B4590="","",IFERROR(INDEX(Config!$D$9:$D$29,MATCH($B4590,Config!$B$9:$B$29,0))&amp;"",""))</f>
        <v/>
      </c>
    </row>
    <row r="4591">
      <c r="R4591" s="20" t="str">
        <f>IF($B4591="","",IFERROR(IF(INDEX(Config!$D$9:$D$29,MATCH($B4591,Config!$B$9:$B$29,0))="Contrato",IF(INDEX(Config!$E$9:$E$29,MATCH($B4591,Config!$B$9:$B$29,0))="","",INDEX(Config!$E$9:$E$29,MATCH($B4591,Config!$B$9:$B$29,0))),""),""))</f>
        <v/>
      </c>
      <c r="AC4591" s="19" t="str">
        <f>IF($B4591="","",IFERROR(INDEX(Config!$D$9:$D$29,MATCH($B4591,Config!$B$9:$B$29,0))&amp;"",""))</f>
        <v/>
      </c>
    </row>
    <row r="4592">
      <c r="R4592" s="20" t="str">
        <f>IF($B4592="","",IFERROR(IF(INDEX(Config!$D$9:$D$29,MATCH($B4592,Config!$B$9:$B$29,0))="Contrato",IF(INDEX(Config!$E$9:$E$29,MATCH($B4592,Config!$B$9:$B$29,0))="","",INDEX(Config!$E$9:$E$29,MATCH($B4592,Config!$B$9:$B$29,0))),""),""))</f>
        <v/>
      </c>
      <c r="AC4592" s="19" t="str">
        <f>IF($B4592="","",IFERROR(INDEX(Config!$D$9:$D$29,MATCH($B4592,Config!$B$9:$B$29,0))&amp;"",""))</f>
        <v/>
      </c>
    </row>
    <row r="4593">
      <c r="R4593" s="20" t="str">
        <f>IF($B4593="","",IFERROR(IF(INDEX(Config!$D$9:$D$29,MATCH($B4593,Config!$B$9:$B$29,0))="Contrato",IF(INDEX(Config!$E$9:$E$29,MATCH($B4593,Config!$B$9:$B$29,0))="","",INDEX(Config!$E$9:$E$29,MATCH($B4593,Config!$B$9:$B$29,0))),""),""))</f>
        <v/>
      </c>
      <c r="AC4593" s="19" t="str">
        <f>IF($B4593="","",IFERROR(INDEX(Config!$D$9:$D$29,MATCH($B4593,Config!$B$9:$B$29,0))&amp;"",""))</f>
        <v/>
      </c>
    </row>
    <row r="4594">
      <c r="R4594" s="20" t="str">
        <f>IF($B4594="","",IFERROR(IF(INDEX(Config!$D$9:$D$29,MATCH($B4594,Config!$B$9:$B$29,0))="Contrato",IF(INDEX(Config!$E$9:$E$29,MATCH($B4594,Config!$B$9:$B$29,0))="","",INDEX(Config!$E$9:$E$29,MATCH($B4594,Config!$B$9:$B$29,0))),""),""))</f>
        <v/>
      </c>
      <c r="AC4594" s="19" t="str">
        <f>IF($B4594="","",IFERROR(INDEX(Config!$D$9:$D$29,MATCH($B4594,Config!$B$9:$B$29,0))&amp;"",""))</f>
        <v/>
      </c>
    </row>
    <row r="4595">
      <c r="R4595" s="20" t="str">
        <f>IF($B4595="","",IFERROR(IF(INDEX(Config!$D$9:$D$29,MATCH($B4595,Config!$B$9:$B$29,0))="Contrato",IF(INDEX(Config!$E$9:$E$29,MATCH($B4595,Config!$B$9:$B$29,0))="","",INDEX(Config!$E$9:$E$29,MATCH($B4595,Config!$B$9:$B$29,0))),""),""))</f>
        <v/>
      </c>
      <c r="AC4595" s="19" t="str">
        <f>IF($B4595="","",IFERROR(INDEX(Config!$D$9:$D$29,MATCH($B4595,Config!$B$9:$B$29,0))&amp;"",""))</f>
        <v/>
      </c>
    </row>
    <row r="4596">
      <c r="R4596" s="20" t="str">
        <f>IF($B4596="","",IFERROR(IF(INDEX(Config!$D$9:$D$29,MATCH($B4596,Config!$B$9:$B$29,0))="Contrato",IF(INDEX(Config!$E$9:$E$29,MATCH($B4596,Config!$B$9:$B$29,0))="","",INDEX(Config!$E$9:$E$29,MATCH($B4596,Config!$B$9:$B$29,0))),""),""))</f>
        <v/>
      </c>
      <c r="AC4596" s="19" t="str">
        <f>IF($B4596="","",IFERROR(INDEX(Config!$D$9:$D$29,MATCH($B4596,Config!$B$9:$B$29,0))&amp;"",""))</f>
        <v/>
      </c>
    </row>
    <row r="4597">
      <c r="R4597" s="20" t="str">
        <f>IF($B4597="","",IFERROR(IF(INDEX(Config!$D$9:$D$29,MATCH($B4597,Config!$B$9:$B$29,0))="Contrato",IF(INDEX(Config!$E$9:$E$29,MATCH($B4597,Config!$B$9:$B$29,0))="","",INDEX(Config!$E$9:$E$29,MATCH($B4597,Config!$B$9:$B$29,0))),""),""))</f>
        <v/>
      </c>
      <c r="AC4597" s="19" t="str">
        <f>IF($B4597="","",IFERROR(INDEX(Config!$D$9:$D$29,MATCH($B4597,Config!$B$9:$B$29,0))&amp;"",""))</f>
        <v/>
      </c>
    </row>
    <row r="4598">
      <c r="R4598" s="20" t="str">
        <f>IF($B4598="","",IFERROR(IF(INDEX(Config!$D$9:$D$29,MATCH($B4598,Config!$B$9:$B$29,0))="Contrato",IF(INDEX(Config!$E$9:$E$29,MATCH($B4598,Config!$B$9:$B$29,0))="","",INDEX(Config!$E$9:$E$29,MATCH($B4598,Config!$B$9:$B$29,0))),""),""))</f>
        <v/>
      </c>
      <c r="AC4598" s="19" t="str">
        <f>IF($B4598="","",IFERROR(INDEX(Config!$D$9:$D$29,MATCH($B4598,Config!$B$9:$B$29,0))&amp;"",""))</f>
        <v/>
      </c>
    </row>
    <row r="4599">
      <c r="R4599" s="20" t="str">
        <f>IF($B4599="","",IFERROR(IF(INDEX(Config!$D$9:$D$29,MATCH($B4599,Config!$B$9:$B$29,0))="Contrato",IF(INDEX(Config!$E$9:$E$29,MATCH($B4599,Config!$B$9:$B$29,0))="","",INDEX(Config!$E$9:$E$29,MATCH($B4599,Config!$B$9:$B$29,0))),""),""))</f>
        <v/>
      </c>
      <c r="AC4599" s="19" t="str">
        <f>IF($B4599="","",IFERROR(INDEX(Config!$D$9:$D$29,MATCH($B4599,Config!$B$9:$B$29,0))&amp;"",""))</f>
        <v/>
      </c>
    </row>
    <row r="4600">
      <c r="R4600" s="20" t="str">
        <f>IF($B4600="","",IFERROR(IF(INDEX(Config!$D$9:$D$29,MATCH($B4600,Config!$B$9:$B$29,0))="Contrato",IF(INDEX(Config!$E$9:$E$29,MATCH($B4600,Config!$B$9:$B$29,0))="","",INDEX(Config!$E$9:$E$29,MATCH($B4600,Config!$B$9:$B$29,0))),""),""))</f>
        <v/>
      </c>
      <c r="AC4600" s="19" t="str">
        <f>IF($B4600="","",IFERROR(INDEX(Config!$D$9:$D$29,MATCH($B4600,Config!$B$9:$B$29,0))&amp;"",""))</f>
        <v/>
      </c>
    </row>
    <row r="4601">
      <c r="R4601" s="20" t="str">
        <f>IF($B4601="","",IFERROR(IF(INDEX(Config!$D$9:$D$29,MATCH($B4601,Config!$B$9:$B$29,0))="Contrato",IF(INDEX(Config!$E$9:$E$29,MATCH($B4601,Config!$B$9:$B$29,0))="","",INDEX(Config!$E$9:$E$29,MATCH($B4601,Config!$B$9:$B$29,0))),""),""))</f>
        <v/>
      </c>
      <c r="AC4601" s="19" t="str">
        <f>IF($B4601="","",IFERROR(INDEX(Config!$D$9:$D$29,MATCH($B4601,Config!$B$9:$B$29,0))&amp;"",""))</f>
        <v/>
      </c>
    </row>
    <row r="4602">
      <c r="R4602" s="20" t="str">
        <f>IF($B4602="","",IFERROR(IF(INDEX(Config!$D$9:$D$29,MATCH($B4602,Config!$B$9:$B$29,0))="Contrato",IF(INDEX(Config!$E$9:$E$29,MATCH($B4602,Config!$B$9:$B$29,0))="","",INDEX(Config!$E$9:$E$29,MATCH($B4602,Config!$B$9:$B$29,0))),""),""))</f>
        <v/>
      </c>
      <c r="AC4602" s="19" t="str">
        <f>IF($B4602="","",IFERROR(INDEX(Config!$D$9:$D$29,MATCH($B4602,Config!$B$9:$B$29,0))&amp;"",""))</f>
        <v/>
      </c>
    </row>
    <row r="4603">
      <c r="R4603" s="20" t="str">
        <f>IF($B4603="","",IFERROR(IF(INDEX(Config!$D$9:$D$29,MATCH($B4603,Config!$B$9:$B$29,0))="Contrato",IF(INDEX(Config!$E$9:$E$29,MATCH($B4603,Config!$B$9:$B$29,0))="","",INDEX(Config!$E$9:$E$29,MATCH($B4603,Config!$B$9:$B$29,0))),""),""))</f>
        <v/>
      </c>
      <c r="AC4603" s="19" t="str">
        <f>IF($B4603="","",IFERROR(INDEX(Config!$D$9:$D$29,MATCH($B4603,Config!$B$9:$B$29,0))&amp;"",""))</f>
        <v/>
      </c>
    </row>
    <row r="4604">
      <c r="R4604" s="20" t="str">
        <f>IF($B4604="","",IFERROR(IF(INDEX(Config!$D$9:$D$29,MATCH($B4604,Config!$B$9:$B$29,0))="Contrato",IF(INDEX(Config!$E$9:$E$29,MATCH($B4604,Config!$B$9:$B$29,0))="","",INDEX(Config!$E$9:$E$29,MATCH($B4604,Config!$B$9:$B$29,0))),""),""))</f>
        <v/>
      </c>
      <c r="AC4604" s="19" t="str">
        <f>IF($B4604="","",IFERROR(INDEX(Config!$D$9:$D$29,MATCH($B4604,Config!$B$9:$B$29,0))&amp;"",""))</f>
        <v/>
      </c>
    </row>
    <row r="4605">
      <c r="R4605" s="20" t="str">
        <f>IF($B4605="","",IFERROR(IF(INDEX(Config!$D$9:$D$29,MATCH($B4605,Config!$B$9:$B$29,0))="Contrato",IF(INDEX(Config!$E$9:$E$29,MATCH($B4605,Config!$B$9:$B$29,0))="","",INDEX(Config!$E$9:$E$29,MATCH($B4605,Config!$B$9:$B$29,0))),""),""))</f>
        <v/>
      </c>
      <c r="AC4605" s="19" t="str">
        <f>IF($B4605="","",IFERROR(INDEX(Config!$D$9:$D$29,MATCH($B4605,Config!$B$9:$B$29,0))&amp;"",""))</f>
        <v/>
      </c>
    </row>
    <row r="4606">
      <c r="R4606" s="20" t="str">
        <f>IF($B4606="","",IFERROR(IF(INDEX(Config!$D$9:$D$29,MATCH($B4606,Config!$B$9:$B$29,0))="Contrato",IF(INDEX(Config!$E$9:$E$29,MATCH($B4606,Config!$B$9:$B$29,0))="","",INDEX(Config!$E$9:$E$29,MATCH($B4606,Config!$B$9:$B$29,0))),""),""))</f>
        <v/>
      </c>
      <c r="AC4606" s="19" t="str">
        <f>IF($B4606="","",IFERROR(INDEX(Config!$D$9:$D$29,MATCH($B4606,Config!$B$9:$B$29,0))&amp;"",""))</f>
        <v/>
      </c>
    </row>
    <row r="4607">
      <c r="R4607" s="20" t="str">
        <f>IF($B4607="","",IFERROR(IF(INDEX(Config!$D$9:$D$29,MATCH($B4607,Config!$B$9:$B$29,0))="Contrato",IF(INDEX(Config!$E$9:$E$29,MATCH($B4607,Config!$B$9:$B$29,0))="","",INDEX(Config!$E$9:$E$29,MATCH($B4607,Config!$B$9:$B$29,0))),""),""))</f>
        <v/>
      </c>
      <c r="AC4607" s="19" t="str">
        <f>IF($B4607="","",IFERROR(INDEX(Config!$D$9:$D$29,MATCH($B4607,Config!$B$9:$B$29,0))&amp;"",""))</f>
        <v/>
      </c>
    </row>
    <row r="4608">
      <c r="R4608" s="20" t="str">
        <f>IF($B4608="","",IFERROR(IF(INDEX(Config!$D$9:$D$29,MATCH($B4608,Config!$B$9:$B$29,0))="Contrato",IF(INDEX(Config!$E$9:$E$29,MATCH($B4608,Config!$B$9:$B$29,0))="","",INDEX(Config!$E$9:$E$29,MATCH($B4608,Config!$B$9:$B$29,0))),""),""))</f>
        <v/>
      </c>
      <c r="AC4608" s="19" t="str">
        <f>IF($B4608="","",IFERROR(INDEX(Config!$D$9:$D$29,MATCH($B4608,Config!$B$9:$B$29,0))&amp;"",""))</f>
        <v/>
      </c>
    </row>
    <row r="4609">
      <c r="R4609" s="20" t="str">
        <f>IF($B4609="","",IFERROR(IF(INDEX(Config!$D$9:$D$29,MATCH($B4609,Config!$B$9:$B$29,0))="Contrato",IF(INDEX(Config!$E$9:$E$29,MATCH($B4609,Config!$B$9:$B$29,0))="","",INDEX(Config!$E$9:$E$29,MATCH($B4609,Config!$B$9:$B$29,0))),""),""))</f>
        <v/>
      </c>
      <c r="AC4609" s="19" t="str">
        <f>IF($B4609="","",IFERROR(INDEX(Config!$D$9:$D$29,MATCH($B4609,Config!$B$9:$B$29,0))&amp;"",""))</f>
        <v/>
      </c>
    </row>
    <row r="4610">
      <c r="R4610" s="20" t="str">
        <f>IF($B4610="","",IFERROR(IF(INDEX(Config!$D$9:$D$29,MATCH($B4610,Config!$B$9:$B$29,0))="Contrato",IF(INDEX(Config!$E$9:$E$29,MATCH($B4610,Config!$B$9:$B$29,0))="","",INDEX(Config!$E$9:$E$29,MATCH($B4610,Config!$B$9:$B$29,0))),""),""))</f>
        <v/>
      </c>
      <c r="AC4610" s="19" t="str">
        <f>IF($B4610="","",IFERROR(INDEX(Config!$D$9:$D$29,MATCH($B4610,Config!$B$9:$B$29,0))&amp;"",""))</f>
        <v/>
      </c>
    </row>
    <row r="4611">
      <c r="R4611" s="20" t="str">
        <f>IF($B4611="","",IFERROR(IF(INDEX(Config!$D$9:$D$29,MATCH($B4611,Config!$B$9:$B$29,0))="Contrato",IF(INDEX(Config!$E$9:$E$29,MATCH($B4611,Config!$B$9:$B$29,0))="","",INDEX(Config!$E$9:$E$29,MATCH($B4611,Config!$B$9:$B$29,0))),""),""))</f>
        <v/>
      </c>
      <c r="AC4611" s="19" t="str">
        <f>IF($B4611="","",IFERROR(INDEX(Config!$D$9:$D$29,MATCH($B4611,Config!$B$9:$B$29,0))&amp;"",""))</f>
        <v/>
      </c>
    </row>
    <row r="4612">
      <c r="R4612" s="20" t="str">
        <f>IF($B4612="","",IFERROR(IF(INDEX(Config!$D$9:$D$29,MATCH($B4612,Config!$B$9:$B$29,0))="Contrato",IF(INDEX(Config!$E$9:$E$29,MATCH($B4612,Config!$B$9:$B$29,0))="","",INDEX(Config!$E$9:$E$29,MATCH($B4612,Config!$B$9:$B$29,0))),""),""))</f>
        <v/>
      </c>
      <c r="AC4612" s="19" t="str">
        <f>IF($B4612="","",IFERROR(INDEX(Config!$D$9:$D$29,MATCH($B4612,Config!$B$9:$B$29,0))&amp;"",""))</f>
        <v/>
      </c>
    </row>
    <row r="4613">
      <c r="R4613" s="20" t="str">
        <f>IF($B4613="","",IFERROR(IF(INDEX(Config!$D$9:$D$29,MATCH($B4613,Config!$B$9:$B$29,0))="Contrato",IF(INDEX(Config!$E$9:$E$29,MATCH($B4613,Config!$B$9:$B$29,0))="","",INDEX(Config!$E$9:$E$29,MATCH($B4613,Config!$B$9:$B$29,0))),""),""))</f>
        <v/>
      </c>
      <c r="AC4613" s="19" t="str">
        <f>IF($B4613="","",IFERROR(INDEX(Config!$D$9:$D$29,MATCH($B4613,Config!$B$9:$B$29,0))&amp;"",""))</f>
        <v/>
      </c>
    </row>
    <row r="4614">
      <c r="R4614" s="20" t="str">
        <f>IF($B4614="","",IFERROR(IF(INDEX(Config!$D$9:$D$29,MATCH($B4614,Config!$B$9:$B$29,0))="Contrato",IF(INDEX(Config!$E$9:$E$29,MATCH($B4614,Config!$B$9:$B$29,0))="","",INDEX(Config!$E$9:$E$29,MATCH($B4614,Config!$B$9:$B$29,0))),""),""))</f>
        <v/>
      </c>
      <c r="AC4614" s="19" t="str">
        <f>IF($B4614="","",IFERROR(INDEX(Config!$D$9:$D$29,MATCH($B4614,Config!$B$9:$B$29,0))&amp;"",""))</f>
        <v/>
      </c>
    </row>
    <row r="4615">
      <c r="R4615" s="20" t="str">
        <f>IF($B4615="","",IFERROR(IF(INDEX(Config!$D$9:$D$29,MATCH($B4615,Config!$B$9:$B$29,0))="Contrato",IF(INDEX(Config!$E$9:$E$29,MATCH($B4615,Config!$B$9:$B$29,0))="","",INDEX(Config!$E$9:$E$29,MATCH($B4615,Config!$B$9:$B$29,0))),""),""))</f>
        <v/>
      </c>
      <c r="AC4615" s="19" t="str">
        <f>IF($B4615="","",IFERROR(INDEX(Config!$D$9:$D$29,MATCH($B4615,Config!$B$9:$B$29,0))&amp;"",""))</f>
        <v/>
      </c>
    </row>
    <row r="4616">
      <c r="R4616" s="20" t="str">
        <f>IF($B4616="","",IFERROR(IF(INDEX(Config!$D$9:$D$29,MATCH($B4616,Config!$B$9:$B$29,0))="Contrato",IF(INDEX(Config!$E$9:$E$29,MATCH($B4616,Config!$B$9:$B$29,0))="","",INDEX(Config!$E$9:$E$29,MATCH($B4616,Config!$B$9:$B$29,0))),""),""))</f>
        <v/>
      </c>
      <c r="AC4616" s="19" t="str">
        <f>IF($B4616="","",IFERROR(INDEX(Config!$D$9:$D$29,MATCH($B4616,Config!$B$9:$B$29,0))&amp;"",""))</f>
        <v/>
      </c>
    </row>
    <row r="4617">
      <c r="R4617" s="20" t="str">
        <f>IF($B4617="","",IFERROR(IF(INDEX(Config!$D$9:$D$29,MATCH($B4617,Config!$B$9:$B$29,0))="Contrato",IF(INDEX(Config!$E$9:$E$29,MATCH($B4617,Config!$B$9:$B$29,0))="","",INDEX(Config!$E$9:$E$29,MATCH($B4617,Config!$B$9:$B$29,0))),""),""))</f>
        <v/>
      </c>
      <c r="AC4617" s="19" t="str">
        <f>IF($B4617="","",IFERROR(INDEX(Config!$D$9:$D$29,MATCH($B4617,Config!$B$9:$B$29,0))&amp;"",""))</f>
        <v/>
      </c>
    </row>
    <row r="4618">
      <c r="R4618" s="20" t="str">
        <f>IF($B4618="","",IFERROR(IF(INDEX(Config!$D$9:$D$29,MATCH($B4618,Config!$B$9:$B$29,0))="Contrato",IF(INDEX(Config!$E$9:$E$29,MATCH($B4618,Config!$B$9:$B$29,0))="","",INDEX(Config!$E$9:$E$29,MATCH($B4618,Config!$B$9:$B$29,0))),""),""))</f>
        <v/>
      </c>
      <c r="AC4618" s="19" t="str">
        <f>IF($B4618="","",IFERROR(INDEX(Config!$D$9:$D$29,MATCH($B4618,Config!$B$9:$B$29,0))&amp;"",""))</f>
        <v/>
      </c>
    </row>
    <row r="4619">
      <c r="R4619" s="20" t="str">
        <f>IF($B4619="","",IFERROR(IF(INDEX(Config!$D$9:$D$29,MATCH($B4619,Config!$B$9:$B$29,0))="Contrato",IF(INDEX(Config!$E$9:$E$29,MATCH($B4619,Config!$B$9:$B$29,0))="","",INDEX(Config!$E$9:$E$29,MATCH($B4619,Config!$B$9:$B$29,0))),""),""))</f>
        <v/>
      </c>
      <c r="AC4619" s="19" t="str">
        <f>IF($B4619="","",IFERROR(INDEX(Config!$D$9:$D$29,MATCH($B4619,Config!$B$9:$B$29,0))&amp;"",""))</f>
        <v/>
      </c>
    </row>
    <row r="4620">
      <c r="R4620" s="20" t="str">
        <f>IF($B4620="","",IFERROR(IF(INDEX(Config!$D$9:$D$29,MATCH($B4620,Config!$B$9:$B$29,0))="Contrato",IF(INDEX(Config!$E$9:$E$29,MATCH($B4620,Config!$B$9:$B$29,0))="","",INDEX(Config!$E$9:$E$29,MATCH($B4620,Config!$B$9:$B$29,0))),""),""))</f>
        <v/>
      </c>
      <c r="AC4620" s="19" t="str">
        <f>IF($B4620="","",IFERROR(INDEX(Config!$D$9:$D$29,MATCH($B4620,Config!$B$9:$B$29,0))&amp;"",""))</f>
        <v/>
      </c>
    </row>
    <row r="4621">
      <c r="R4621" s="20" t="str">
        <f>IF($B4621="","",IFERROR(IF(INDEX(Config!$D$9:$D$29,MATCH($B4621,Config!$B$9:$B$29,0))="Contrato",IF(INDEX(Config!$E$9:$E$29,MATCH($B4621,Config!$B$9:$B$29,0))="","",INDEX(Config!$E$9:$E$29,MATCH($B4621,Config!$B$9:$B$29,0))),""),""))</f>
        <v/>
      </c>
      <c r="AC4621" s="19" t="str">
        <f>IF($B4621="","",IFERROR(INDEX(Config!$D$9:$D$29,MATCH($B4621,Config!$B$9:$B$29,0))&amp;"",""))</f>
        <v/>
      </c>
    </row>
    <row r="4622">
      <c r="R4622" s="20" t="str">
        <f>IF($B4622="","",IFERROR(IF(INDEX(Config!$D$9:$D$29,MATCH($B4622,Config!$B$9:$B$29,0))="Contrato",IF(INDEX(Config!$E$9:$E$29,MATCH($B4622,Config!$B$9:$B$29,0))="","",INDEX(Config!$E$9:$E$29,MATCH($B4622,Config!$B$9:$B$29,0))),""),""))</f>
        <v/>
      </c>
      <c r="AC4622" s="19" t="str">
        <f>IF($B4622="","",IFERROR(INDEX(Config!$D$9:$D$29,MATCH($B4622,Config!$B$9:$B$29,0))&amp;"",""))</f>
        <v/>
      </c>
    </row>
    <row r="4623">
      <c r="R4623" s="20" t="str">
        <f>IF($B4623="","",IFERROR(IF(INDEX(Config!$D$9:$D$29,MATCH($B4623,Config!$B$9:$B$29,0))="Contrato",IF(INDEX(Config!$E$9:$E$29,MATCH($B4623,Config!$B$9:$B$29,0))="","",INDEX(Config!$E$9:$E$29,MATCH($B4623,Config!$B$9:$B$29,0))),""),""))</f>
        <v/>
      </c>
      <c r="AC4623" s="19" t="str">
        <f>IF($B4623="","",IFERROR(INDEX(Config!$D$9:$D$29,MATCH($B4623,Config!$B$9:$B$29,0))&amp;"",""))</f>
        <v/>
      </c>
    </row>
    <row r="4624">
      <c r="R4624" s="20" t="str">
        <f>IF($B4624="","",IFERROR(IF(INDEX(Config!$D$9:$D$29,MATCH($B4624,Config!$B$9:$B$29,0))="Contrato",IF(INDEX(Config!$E$9:$E$29,MATCH($B4624,Config!$B$9:$B$29,0))="","",INDEX(Config!$E$9:$E$29,MATCH($B4624,Config!$B$9:$B$29,0))),""),""))</f>
        <v/>
      </c>
      <c r="AC4624" s="19" t="str">
        <f>IF($B4624="","",IFERROR(INDEX(Config!$D$9:$D$29,MATCH($B4624,Config!$B$9:$B$29,0))&amp;"",""))</f>
        <v/>
      </c>
    </row>
    <row r="4625">
      <c r="R4625" s="20" t="str">
        <f>IF($B4625="","",IFERROR(IF(INDEX(Config!$D$9:$D$29,MATCH($B4625,Config!$B$9:$B$29,0))="Contrato",IF(INDEX(Config!$E$9:$E$29,MATCH($B4625,Config!$B$9:$B$29,0))="","",INDEX(Config!$E$9:$E$29,MATCH($B4625,Config!$B$9:$B$29,0))),""),""))</f>
        <v/>
      </c>
      <c r="AC4625" s="19" t="str">
        <f>IF($B4625="","",IFERROR(INDEX(Config!$D$9:$D$29,MATCH($B4625,Config!$B$9:$B$29,0))&amp;"",""))</f>
        <v/>
      </c>
    </row>
    <row r="4626">
      <c r="R4626" s="20" t="str">
        <f>IF($B4626="","",IFERROR(IF(INDEX(Config!$D$9:$D$29,MATCH($B4626,Config!$B$9:$B$29,0))="Contrato",IF(INDEX(Config!$E$9:$E$29,MATCH($B4626,Config!$B$9:$B$29,0))="","",INDEX(Config!$E$9:$E$29,MATCH($B4626,Config!$B$9:$B$29,0))),""),""))</f>
        <v/>
      </c>
      <c r="AC4626" s="19" t="str">
        <f>IF($B4626="","",IFERROR(INDEX(Config!$D$9:$D$29,MATCH($B4626,Config!$B$9:$B$29,0))&amp;"",""))</f>
        <v/>
      </c>
    </row>
    <row r="4627">
      <c r="R4627" s="20" t="str">
        <f>IF($B4627="","",IFERROR(IF(INDEX(Config!$D$9:$D$29,MATCH($B4627,Config!$B$9:$B$29,0))="Contrato",IF(INDEX(Config!$E$9:$E$29,MATCH($B4627,Config!$B$9:$B$29,0))="","",INDEX(Config!$E$9:$E$29,MATCH($B4627,Config!$B$9:$B$29,0))),""),""))</f>
        <v/>
      </c>
      <c r="AC4627" s="19" t="str">
        <f>IF($B4627="","",IFERROR(INDEX(Config!$D$9:$D$29,MATCH($B4627,Config!$B$9:$B$29,0))&amp;"",""))</f>
        <v/>
      </c>
    </row>
    <row r="4628">
      <c r="R4628" s="20" t="str">
        <f>IF($B4628="","",IFERROR(IF(INDEX(Config!$D$9:$D$29,MATCH($B4628,Config!$B$9:$B$29,0))="Contrato",IF(INDEX(Config!$E$9:$E$29,MATCH($B4628,Config!$B$9:$B$29,0))="","",INDEX(Config!$E$9:$E$29,MATCH($B4628,Config!$B$9:$B$29,0))),""),""))</f>
        <v/>
      </c>
      <c r="AC4628" s="19" t="str">
        <f>IF($B4628="","",IFERROR(INDEX(Config!$D$9:$D$29,MATCH($B4628,Config!$B$9:$B$29,0))&amp;"",""))</f>
        <v/>
      </c>
    </row>
    <row r="4629">
      <c r="R4629" s="20" t="str">
        <f>IF($B4629="","",IFERROR(IF(INDEX(Config!$D$9:$D$29,MATCH($B4629,Config!$B$9:$B$29,0))="Contrato",IF(INDEX(Config!$E$9:$E$29,MATCH($B4629,Config!$B$9:$B$29,0))="","",INDEX(Config!$E$9:$E$29,MATCH($B4629,Config!$B$9:$B$29,0))),""),""))</f>
        <v/>
      </c>
      <c r="AC4629" s="19" t="str">
        <f>IF($B4629="","",IFERROR(INDEX(Config!$D$9:$D$29,MATCH($B4629,Config!$B$9:$B$29,0))&amp;"",""))</f>
        <v/>
      </c>
    </row>
    <row r="4630">
      <c r="R4630" s="20" t="str">
        <f>IF($B4630="","",IFERROR(IF(INDEX(Config!$D$9:$D$29,MATCH($B4630,Config!$B$9:$B$29,0))="Contrato",IF(INDEX(Config!$E$9:$E$29,MATCH($B4630,Config!$B$9:$B$29,0))="","",INDEX(Config!$E$9:$E$29,MATCH($B4630,Config!$B$9:$B$29,0))),""),""))</f>
        <v/>
      </c>
      <c r="AC4630" s="19" t="str">
        <f>IF($B4630="","",IFERROR(INDEX(Config!$D$9:$D$29,MATCH($B4630,Config!$B$9:$B$29,0))&amp;"",""))</f>
        <v/>
      </c>
    </row>
    <row r="4631">
      <c r="R4631" s="20" t="str">
        <f>IF($B4631="","",IFERROR(IF(INDEX(Config!$D$9:$D$29,MATCH($B4631,Config!$B$9:$B$29,0))="Contrato",IF(INDEX(Config!$E$9:$E$29,MATCH($B4631,Config!$B$9:$B$29,0))="","",INDEX(Config!$E$9:$E$29,MATCH($B4631,Config!$B$9:$B$29,0))),""),""))</f>
        <v/>
      </c>
      <c r="AC4631" s="19" t="str">
        <f>IF($B4631="","",IFERROR(INDEX(Config!$D$9:$D$29,MATCH($B4631,Config!$B$9:$B$29,0))&amp;"",""))</f>
        <v/>
      </c>
    </row>
    <row r="4632">
      <c r="R4632" s="20" t="str">
        <f>IF($B4632="","",IFERROR(IF(INDEX(Config!$D$9:$D$29,MATCH($B4632,Config!$B$9:$B$29,0))="Contrato",IF(INDEX(Config!$E$9:$E$29,MATCH($B4632,Config!$B$9:$B$29,0))="","",INDEX(Config!$E$9:$E$29,MATCH($B4632,Config!$B$9:$B$29,0))),""),""))</f>
        <v/>
      </c>
      <c r="AC4632" s="19" t="str">
        <f>IF($B4632="","",IFERROR(INDEX(Config!$D$9:$D$29,MATCH($B4632,Config!$B$9:$B$29,0))&amp;"",""))</f>
        <v/>
      </c>
    </row>
    <row r="4633">
      <c r="R4633" s="20" t="str">
        <f>IF($B4633="","",IFERROR(IF(INDEX(Config!$D$9:$D$29,MATCH($B4633,Config!$B$9:$B$29,0))="Contrato",IF(INDEX(Config!$E$9:$E$29,MATCH($B4633,Config!$B$9:$B$29,0))="","",INDEX(Config!$E$9:$E$29,MATCH($B4633,Config!$B$9:$B$29,0))),""),""))</f>
        <v/>
      </c>
      <c r="AC4633" s="19" t="str">
        <f>IF($B4633="","",IFERROR(INDEX(Config!$D$9:$D$29,MATCH($B4633,Config!$B$9:$B$29,0))&amp;"",""))</f>
        <v/>
      </c>
    </row>
    <row r="4634">
      <c r="R4634" s="20" t="str">
        <f>IF($B4634="","",IFERROR(IF(INDEX(Config!$D$9:$D$29,MATCH($B4634,Config!$B$9:$B$29,0))="Contrato",IF(INDEX(Config!$E$9:$E$29,MATCH($B4634,Config!$B$9:$B$29,0))="","",INDEX(Config!$E$9:$E$29,MATCH($B4634,Config!$B$9:$B$29,0))),""),""))</f>
        <v/>
      </c>
      <c r="AC4634" s="19" t="str">
        <f>IF($B4634="","",IFERROR(INDEX(Config!$D$9:$D$29,MATCH($B4634,Config!$B$9:$B$29,0))&amp;"",""))</f>
        <v/>
      </c>
    </row>
    <row r="4635">
      <c r="R4635" s="20" t="str">
        <f>IF($B4635="","",IFERROR(IF(INDEX(Config!$D$9:$D$29,MATCH($B4635,Config!$B$9:$B$29,0))="Contrato",IF(INDEX(Config!$E$9:$E$29,MATCH($B4635,Config!$B$9:$B$29,0))="","",INDEX(Config!$E$9:$E$29,MATCH($B4635,Config!$B$9:$B$29,0))),""),""))</f>
        <v/>
      </c>
      <c r="AC4635" s="19" t="str">
        <f>IF($B4635="","",IFERROR(INDEX(Config!$D$9:$D$29,MATCH($B4635,Config!$B$9:$B$29,0))&amp;"",""))</f>
        <v/>
      </c>
    </row>
    <row r="4636">
      <c r="R4636" s="20" t="str">
        <f>IF($B4636="","",IFERROR(IF(INDEX(Config!$D$9:$D$29,MATCH($B4636,Config!$B$9:$B$29,0))="Contrato",IF(INDEX(Config!$E$9:$E$29,MATCH($B4636,Config!$B$9:$B$29,0))="","",INDEX(Config!$E$9:$E$29,MATCH($B4636,Config!$B$9:$B$29,0))),""),""))</f>
        <v/>
      </c>
      <c r="AC4636" s="19" t="str">
        <f>IF($B4636="","",IFERROR(INDEX(Config!$D$9:$D$29,MATCH($B4636,Config!$B$9:$B$29,0))&amp;"",""))</f>
        <v/>
      </c>
    </row>
    <row r="4637">
      <c r="R4637" s="20" t="str">
        <f>IF($B4637="","",IFERROR(IF(INDEX(Config!$D$9:$D$29,MATCH($B4637,Config!$B$9:$B$29,0))="Contrato",IF(INDEX(Config!$E$9:$E$29,MATCH($B4637,Config!$B$9:$B$29,0))="","",INDEX(Config!$E$9:$E$29,MATCH($B4637,Config!$B$9:$B$29,0))),""),""))</f>
        <v/>
      </c>
      <c r="AC4637" s="19" t="str">
        <f>IF($B4637="","",IFERROR(INDEX(Config!$D$9:$D$29,MATCH($B4637,Config!$B$9:$B$29,0))&amp;"",""))</f>
        <v/>
      </c>
    </row>
    <row r="4638">
      <c r="R4638" s="20" t="str">
        <f>IF($B4638="","",IFERROR(IF(INDEX(Config!$D$9:$D$29,MATCH($B4638,Config!$B$9:$B$29,0))="Contrato",IF(INDEX(Config!$E$9:$E$29,MATCH($B4638,Config!$B$9:$B$29,0))="","",INDEX(Config!$E$9:$E$29,MATCH($B4638,Config!$B$9:$B$29,0))),""),""))</f>
        <v/>
      </c>
      <c r="AC4638" s="19" t="str">
        <f>IF($B4638="","",IFERROR(INDEX(Config!$D$9:$D$29,MATCH($B4638,Config!$B$9:$B$29,0))&amp;"",""))</f>
        <v/>
      </c>
    </row>
    <row r="4639">
      <c r="R4639" s="20" t="str">
        <f>IF($B4639="","",IFERROR(IF(INDEX(Config!$D$9:$D$29,MATCH($B4639,Config!$B$9:$B$29,0))="Contrato",IF(INDEX(Config!$E$9:$E$29,MATCH($B4639,Config!$B$9:$B$29,0))="","",INDEX(Config!$E$9:$E$29,MATCH($B4639,Config!$B$9:$B$29,0))),""),""))</f>
        <v/>
      </c>
      <c r="AC4639" s="19" t="str">
        <f>IF($B4639="","",IFERROR(INDEX(Config!$D$9:$D$29,MATCH($B4639,Config!$B$9:$B$29,0))&amp;"",""))</f>
        <v/>
      </c>
    </row>
    <row r="4640">
      <c r="R4640" s="20" t="str">
        <f>IF($B4640="","",IFERROR(IF(INDEX(Config!$D$9:$D$29,MATCH($B4640,Config!$B$9:$B$29,0))="Contrato",IF(INDEX(Config!$E$9:$E$29,MATCH($B4640,Config!$B$9:$B$29,0))="","",INDEX(Config!$E$9:$E$29,MATCH($B4640,Config!$B$9:$B$29,0))),""),""))</f>
        <v/>
      </c>
      <c r="AC4640" s="19" t="str">
        <f>IF($B4640="","",IFERROR(INDEX(Config!$D$9:$D$29,MATCH($B4640,Config!$B$9:$B$29,0))&amp;"",""))</f>
        <v/>
      </c>
    </row>
    <row r="4641">
      <c r="R4641" s="20" t="str">
        <f>IF($B4641="","",IFERROR(IF(INDEX(Config!$D$9:$D$29,MATCH($B4641,Config!$B$9:$B$29,0))="Contrato",IF(INDEX(Config!$E$9:$E$29,MATCH($B4641,Config!$B$9:$B$29,0))="","",INDEX(Config!$E$9:$E$29,MATCH($B4641,Config!$B$9:$B$29,0))),""),""))</f>
        <v/>
      </c>
      <c r="AC4641" s="19" t="str">
        <f>IF($B4641="","",IFERROR(INDEX(Config!$D$9:$D$29,MATCH($B4641,Config!$B$9:$B$29,0))&amp;"",""))</f>
        <v/>
      </c>
    </row>
    <row r="4642">
      <c r="R4642" s="20" t="str">
        <f>IF($B4642="","",IFERROR(IF(INDEX(Config!$D$9:$D$29,MATCH($B4642,Config!$B$9:$B$29,0))="Contrato",IF(INDEX(Config!$E$9:$E$29,MATCH($B4642,Config!$B$9:$B$29,0))="","",INDEX(Config!$E$9:$E$29,MATCH($B4642,Config!$B$9:$B$29,0))),""),""))</f>
        <v/>
      </c>
      <c r="AC4642" s="19" t="str">
        <f>IF($B4642="","",IFERROR(INDEX(Config!$D$9:$D$29,MATCH($B4642,Config!$B$9:$B$29,0))&amp;"",""))</f>
        <v/>
      </c>
    </row>
    <row r="4643">
      <c r="R4643" s="20" t="str">
        <f>IF($B4643="","",IFERROR(IF(INDEX(Config!$D$9:$D$29,MATCH($B4643,Config!$B$9:$B$29,0))="Contrato",IF(INDEX(Config!$E$9:$E$29,MATCH($B4643,Config!$B$9:$B$29,0))="","",INDEX(Config!$E$9:$E$29,MATCH($B4643,Config!$B$9:$B$29,0))),""),""))</f>
        <v/>
      </c>
      <c r="AC4643" s="19" t="str">
        <f>IF($B4643="","",IFERROR(INDEX(Config!$D$9:$D$29,MATCH($B4643,Config!$B$9:$B$29,0))&amp;"",""))</f>
        <v/>
      </c>
    </row>
    <row r="4644">
      <c r="R4644" s="20" t="str">
        <f>IF($B4644="","",IFERROR(IF(INDEX(Config!$D$9:$D$29,MATCH($B4644,Config!$B$9:$B$29,0))="Contrato",IF(INDEX(Config!$E$9:$E$29,MATCH($B4644,Config!$B$9:$B$29,0))="","",INDEX(Config!$E$9:$E$29,MATCH($B4644,Config!$B$9:$B$29,0))),""),""))</f>
        <v/>
      </c>
      <c r="AC4644" s="19" t="str">
        <f>IF($B4644="","",IFERROR(INDEX(Config!$D$9:$D$29,MATCH($B4644,Config!$B$9:$B$29,0))&amp;"",""))</f>
        <v/>
      </c>
    </row>
    <row r="4645">
      <c r="R4645" s="20" t="str">
        <f>IF($B4645="","",IFERROR(IF(INDEX(Config!$D$9:$D$29,MATCH($B4645,Config!$B$9:$B$29,0))="Contrato",IF(INDEX(Config!$E$9:$E$29,MATCH($B4645,Config!$B$9:$B$29,0))="","",INDEX(Config!$E$9:$E$29,MATCH($B4645,Config!$B$9:$B$29,0))),""),""))</f>
        <v/>
      </c>
      <c r="AC4645" s="19" t="str">
        <f>IF($B4645="","",IFERROR(INDEX(Config!$D$9:$D$29,MATCH($B4645,Config!$B$9:$B$29,0))&amp;"",""))</f>
        <v/>
      </c>
    </row>
    <row r="4646">
      <c r="R4646" s="20" t="str">
        <f>IF($B4646="","",IFERROR(IF(INDEX(Config!$D$9:$D$29,MATCH($B4646,Config!$B$9:$B$29,0))="Contrato",IF(INDEX(Config!$E$9:$E$29,MATCH($B4646,Config!$B$9:$B$29,0))="","",INDEX(Config!$E$9:$E$29,MATCH($B4646,Config!$B$9:$B$29,0))),""),""))</f>
        <v/>
      </c>
      <c r="AC4646" s="19" t="str">
        <f>IF($B4646="","",IFERROR(INDEX(Config!$D$9:$D$29,MATCH($B4646,Config!$B$9:$B$29,0))&amp;"",""))</f>
        <v/>
      </c>
    </row>
    <row r="4647">
      <c r="R4647" s="20" t="str">
        <f>IF($B4647="","",IFERROR(IF(INDEX(Config!$D$9:$D$29,MATCH($B4647,Config!$B$9:$B$29,0))="Contrato",IF(INDEX(Config!$E$9:$E$29,MATCH($B4647,Config!$B$9:$B$29,0))="","",INDEX(Config!$E$9:$E$29,MATCH($B4647,Config!$B$9:$B$29,0))),""),""))</f>
        <v/>
      </c>
      <c r="AC4647" s="19" t="str">
        <f>IF($B4647="","",IFERROR(INDEX(Config!$D$9:$D$29,MATCH($B4647,Config!$B$9:$B$29,0))&amp;"",""))</f>
        <v/>
      </c>
    </row>
    <row r="4648">
      <c r="R4648" s="20" t="str">
        <f>IF($B4648="","",IFERROR(IF(INDEX(Config!$D$9:$D$29,MATCH($B4648,Config!$B$9:$B$29,0))="Contrato",IF(INDEX(Config!$E$9:$E$29,MATCH($B4648,Config!$B$9:$B$29,0))="","",INDEX(Config!$E$9:$E$29,MATCH($B4648,Config!$B$9:$B$29,0))),""),""))</f>
        <v/>
      </c>
      <c r="AC4648" s="19" t="str">
        <f>IF($B4648="","",IFERROR(INDEX(Config!$D$9:$D$29,MATCH($B4648,Config!$B$9:$B$29,0))&amp;"",""))</f>
        <v/>
      </c>
    </row>
    <row r="4649">
      <c r="R4649" s="20" t="str">
        <f>IF($B4649="","",IFERROR(IF(INDEX(Config!$D$9:$D$29,MATCH($B4649,Config!$B$9:$B$29,0))="Contrato",IF(INDEX(Config!$E$9:$E$29,MATCH($B4649,Config!$B$9:$B$29,0))="","",INDEX(Config!$E$9:$E$29,MATCH($B4649,Config!$B$9:$B$29,0))),""),""))</f>
        <v/>
      </c>
      <c r="AC4649" s="19" t="str">
        <f>IF($B4649="","",IFERROR(INDEX(Config!$D$9:$D$29,MATCH($B4649,Config!$B$9:$B$29,0))&amp;"",""))</f>
        <v/>
      </c>
    </row>
    <row r="4650">
      <c r="R4650" s="20" t="str">
        <f>IF($B4650="","",IFERROR(IF(INDEX(Config!$D$9:$D$29,MATCH($B4650,Config!$B$9:$B$29,0))="Contrato",IF(INDEX(Config!$E$9:$E$29,MATCH($B4650,Config!$B$9:$B$29,0))="","",INDEX(Config!$E$9:$E$29,MATCH($B4650,Config!$B$9:$B$29,0))),""),""))</f>
        <v/>
      </c>
      <c r="AC4650" s="19" t="str">
        <f>IF($B4650="","",IFERROR(INDEX(Config!$D$9:$D$29,MATCH($B4650,Config!$B$9:$B$29,0))&amp;"",""))</f>
        <v/>
      </c>
    </row>
    <row r="4651">
      <c r="R4651" s="20" t="str">
        <f>IF($B4651="","",IFERROR(IF(INDEX(Config!$D$9:$D$29,MATCH($B4651,Config!$B$9:$B$29,0))="Contrato",IF(INDEX(Config!$E$9:$E$29,MATCH($B4651,Config!$B$9:$B$29,0))="","",INDEX(Config!$E$9:$E$29,MATCH($B4651,Config!$B$9:$B$29,0))),""),""))</f>
        <v/>
      </c>
      <c r="AC4651" s="19" t="str">
        <f>IF($B4651="","",IFERROR(INDEX(Config!$D$9:$D$29,MATCH($B4651,Config!$B$9:$B$29,0))&amp;"",""))</f>
        <v/>
      </c>
    </row>
    <row r="4652">
      <c r="R4652" s="20" t="str">
        <f>IF($B4652="","",IFERROR(IF(INDEX(Config!$D$9:$D$29,MATCH($B4652,Config!$B$9:$B$29,0))="Contrato",IF(INDEX(Config!$E$9:$E$29,MATCH($B4652,Config!$B$9:$B$29,0))="","",INDEX(Config!$E$9:$E$29,MATCH($B4652,Config!$B$9:$B$29,0))),""),""))</f>
        <v/>
      </c>
      <c r="AC4652" s="19" t="str">
        <f>IF($B4652="","",IFERROR(INDEX(Config!$D$9:$D$29,MATCH($B4652,Config!$B$9:$B$29,0))&amp;"",""))</f>
        <v/>
      </c>
    </row>
    <row r="4653">
      <c r="R4653" s="20" t="str">
        <f>IF($B4653="","",IFERROR(IF(INDEX(Config!$D$9:$D$29,MATCH($B4653,Config!$B$9:$B$29,0))="Contrato",IF(INDEX(Config!$E$9:$E$29,MATCH($B4653,Config!$B$9:$B$29,0))="","",INDEX(Config!$E$9:$E$29,MATCH($B4653,Config!$B$9:$B$29,0))),""),""))</f>
        <v/>
      </c>
      <c r="AC4653" s="19" t="str">
        <f>IF($B4653="","",IFERROR(INDEX(Config!$D$9:$D$29,MATCH($B4653,Config!$B$9:$B$29,0))&amp;"",""))</f>
        <v/>
      </c>
    </row>
    <row r="4654">
      <c r="R4654" s="20" t="str">
        <f>IF($B4654="","",IFERROR(IF(INDEX(Config!$D$9:$D$29,MATCH($B4654,Config!$B$9:$B$29,0))="Contrato",IF(INDEX(Config!$E$9:$E$29,MATCH($B4654,Config!$B$9:$B$29,0))="","",INDEX(Config!$E$9:$E$29,MATCH($B4654,Config!$B$9:$B$29,0))),""),""))</f>
        <v/>
      </c>
      <c r="AC4654" s="19" t="str">
        <f>IF($B4654="","",IFERROR(INDEX(Config!$D$9:$D$29,MATCH($B4654,Config!$B$9:$B$29,0))&amp;"",""))</f>
        <v/>
      </c>
    </row>
    <row r="4655">
      <c r="R4655" s="20" t="str">
        <f>IF($B4655="","",IFERROR(IF(INDEX(Config!$D$9:$D$29,MATCH($B4655,Config!$B$9:$B$29,0))="Contrato",IF(INDEX(Config!$E$9:$E$29,MATCH($B4655,Config!$B$9:$B$29,0))="","",INDEX(Config!$E$9:$E$29,MATCH($B4655,Config!$B$9:$B$29,0))),""),""))</f>
        <v/>
      </c>
      <c r="AC4655" s="19" t="str">
        <f>IF($B4655="","",IFERROR(INDEX(Config!$D$9:$D$29,MATCH($B4655,Config!$B$9:$B$29,0))&amp;"",""))</f>
        <v/>
      </c>
    </row>
    <row r="4656">
      <c r="R4656" s="20" t="str">
        <f>IF($B4656="","",IFERROR(IF(INDEX(Config!$D$9:$D$29,MATCH($B4656,Config!$B$9:$B$29,0))="Contrato",IF(INDEX(Config!$E$9:$E$29,MATCH($B4656,Config!$B$9:$B$29,0))="","",INDEX(Config!$E$9:$E$29,MATCH($B4656,Config!$B$9:$B$29,0))),""),""))</f>
        <v/>
      </c>
      <c r="AC4656" s="19" t="str">
        <f>IF($B4656="","",IFERROR(INDEX(Config!$D$9:$D$29,MATCH($B4656,Config!$B$9:$B$29,0))&amp;"",""))</f>
        <v/>
      </c>
    </row>
    <row r="4657">
      <c r="R4657" s="20" t="str">
        <f>IF($B4657="","",IFERROR(IF(INDEX(Config!$D$9:$D$29,MATCH($B4657,Config!$B$9:$B$29,0))="Contrato",IF(INDEX(Config!$E$9:$E$29,MATCH($B4657,Config!$B$9:$B$29,0))="","",INDEX(Config!$E$9:$E$29,MATCH($B4657,Config!$B$9:$B$29,0))),""),""))</f>
        <v/>
      </c>
      <c r="AC4657" s="19" t="str">
        <f>IF($B4657="","",IFERROR(INDEX(Config!$D$9:$D$29,MATCH($B4657,Config!$B$9:$B$29,0))&amp;"",""))</f>
        <v/>
      </c>
    </row>
    <row r="4658">
      <c r="R4658" s="20" t="str">
        <f>IF($B4658="","",IFERROR(IF(INDEX(Config!$D$9:$D$29,MATCH($B4658,Config!$B$9:$B$29,0))="Contrato",IF(INDEX(Config!$E$9:$E$29,MATCH($B4658,Config!$B$9:$B$29,0))="","",INDEX(Config!$E$9:$E$29,MATCH($B4658,Config!$B$9:$B$29,0))),""),""))</f>
        <v/>
      </c>
      <c r="AC4658" s="19" t="str">
        <f>IF($B4658="","",IFERROR(INDEX(Config!$D$9:$D$29,MATCH($B4658,Config!$B$9:$B$29,0))&amp;"",""))</f>
        <v/>
      </c>
    </row>
    <row r="4659">
      <c r="R4659" s="20" t="str">
        <f>IF($B4659="","",IFERROR(IF(INDEX(Config!$D$9:$D$29,MATCH($B4659,Config!$B$9:$B$29,0))="Contrato",IF(INDEX(Config!$E$9:$E$29,MATCH($B4659,Config!$B$9:$B$29,0))="","",INDEX(Config!$E$9:$E$29,MATCH($B4659,Config!$B$9:$B$29,0))),""),""))</f>
        <v/>
      </c>
      <c r="AC4659" s="19" t="str">
        <f>IF($B4659="","",IFERROR(INDEX(Config!$D$9:$D$29,MATCH($B4659,Config!$B$9:$B$29,0))&amp;"",""))</f>
        <v/>
      </c>
    </row>
    <row r="4660">
      <c r="R4660" s="20" t="str">
        <f>IF($B4660="","",IFERROR(IF(INDEX(Config!$D$9:$D$29,MATCH($B4660,Config!$B$9:$B$29,0))="Contrato",IF(INDEX(Config!$E$9:$E$29,MATCH($B4660,Config!$B$9:$B$29,0))="","",INDEX(Config!$E$9:$E$29,MATCH($B4660,Config!$B$9:$B$29,0))),""),""))</f>
        <v/>
      </c>
      <c r="AC4660" s="19" t="str">
        <f>IF($B4660="","",IFERROR(INDEX(Config!$D$9:$D$29,MATCH($B4660,Config!$B$9:$B$29,0))&amp;"",""))</f>
        <v/>
      </c>
    </row>
    <row r="4661">
      <c r="R4661" s="20" t="str">
        <f>IF($B4661="","",IFERROR(IF(INDEX(Config!$D$9:$D$29,MATCH($B4661,Config!$B$9:$B$29,0))="Contrato",IF(INDEX(Config!$E$9:$E$29,MATCH($B4661,Config!$B$9:$B$29,0))="","",INDEX(Config!$E$9:$E$29,MATCH($B4661,Config!$B$9:$B$29,0))),""),""))</f>
        <v/>
      </c>
      <c r="AC4661" s="19" t="str">
        <f>IF($B4661="","",IFERROR(INDEX(Config!$D$9:$D$29,MATCH($B4661,Config!$B$9:$B$29,0))&amp;"",""))</f>
        <v/>
      </c>
    </row>
    <row r="4662">
      <c r="R4662" s="20" t="str">
        <f>IF($B4662="","",IFERROR(IF(INDEX(Config!$D$9:$D$29,MATCH($B4662,Config!$B$9:$B$29,0))="Contrato",IF(INDEX(Config!$E$9:$E$29,MATCH($B4662,Config!$B$9:$B$29,0))="","",INDEX(Config!$E$9:$E$29,MATCH($B4662,Config!$B$9:$B$29,0))),""),""))</f>
        <v/>
      </c>
      <c r="AC4662" s="19" t="str">
        <f>IF($B4662="","",IFERROR(INDEX(Config!$D$9:$D$29,MATCH($B4662,Config!$B$9:$B$29,0))&amp;"",""))</f>
        <v/>
      </c>
    </row>
    <row r="4663">
      <c r="R4663" s="20" t="str">
        <f>IF($B4663="","",IFERROR(IF(INDEX(Config!$D$9:$D$29,MATCH($B4663,Config!$B$9:$B$29,0))="Contrato",IF(INDEX(Config!$E$9:$E$29,MATCH($B4663,Config!$B$9:$B$29,0))="","",INDEX(Config!$E$9:$E$29,MATCH($B4663,Config!$B$9:$B$29,0))),""),""))</f>
        <v/>
      </c>
      <c r="AC4663" s="19" t="str">
        <f>IF($B4663="","",IFERROR(INDEX(Config!$D$9:$D$29,MATCH($B4663,Config!$B$9:$B$29,0))&amp;"",""))</f>
        <v/>
      </c>
    </row>
    <row r="4664">
      <c r="R4664" s="20" t="str">
        <f>IF($B4664="","",IFERROR(IF(INDEX(Config!$D$9:$D$29,MATCH($B4664,Config!$B$9:$B$29,0))="Contrato",IF(INDEX(Config!$E$9:$E$29,MATCH($B4664,Config!$B$9:$B$29,0))="","",INDEX(Config!$E$9:$E$29,MATCH($B4664,Config!$B$9:$B$29,0))),""),""))</f>
        <v/>
      </c>
      <c r="AC4664" s="19" t="str">
        <f>IF($B4664="","",IFERROR(INDEX(Config!$D$9:$D$29,MATCH($B4664,Config!$B$9:$B$29,0))&amp;"",""))</f>
        <v/>
      </c>
    </row>
    <row r="4665">
      <c r="R4665" s="20" t="str">
        <f>IF($B4665="","",IFERROR(IF(INDEX(Config!$D$9:$D$29,MATCH($B4665,Config!$B$9:$B$29,0))="Contrato",IF(INDEX(Config!$E$9:$E$29,MATCH($B4665,Config!$B$9:$B$29,0))="","",INDEX(Config!$E$9:$E$29,MATCH($B4665,Config!$B$9:$B$29,0))),""),""))</f>
        <v/>
      </c>
      <c r="AC4665" s="19" t="str">
        <f>IF($B4665="","",IFERROR(INDEX(Config!$D$9:$D$29,MATCH($B4665,Config!$B$9:$B$29,0))&amp;"",""))</f>
        <v/>
      </c>
    </row>
    <row r="4666">
      <c r="R4666" s="20" t="str">
        <f>IF($B4666="","",IFERROR(IF(INDEX(Config!$D$9:$D$29,MATCH($B4666,Config!$B$9:$B$29,0))="Contrato",IF(INDEX(Config!$E$9:$E$29,MATCH($B4666,Config!$B$9:$B$29,0))="","",INDEX(Config!$E$9:$E$29,MATCH($B4666,Config!$B$9:$B$29,0))),""),""))</f>
        <v/>
      </c>
      <c r="AC4666" s="19" t="str">
        <f>IF($B4666="","",IFERROR(INDEX(Config!$D$9:$D$29,MATCH($B4666,Config!$B$9:$B$29,0))&amp;"",""))</f>
        <v/>
      </c>
    </row>
    <row r="4667">
      <c r="R4667" s="20" t="str">
        <f>IF($B4667="","",IFERROR(IF(INDEX(Config!$D$9:$D$29,MATCH($B4667,Config!$B$9:$B$29,0))="Contrato",IF(INDEX(Config!$E$9:$E$29,MATCH($B4667,Config!$B$9:$B$29,0))="","",INDEX(Config!$E$9:$E$29,MATCH($B4667,Config!$B$9:$B$29,0))),""),""))</f>
        <v/>
      </c>
      <c r="AC4667" s="19" t="str">
        <f>IF($B4667="","",IFERROR(INDEX(Config!$D$9:$D$29,MATCH($B4667,Config!$B$9:$B$29,0))&amp;"",""))</f>
        <v/>
      </c>
    </row>
    <row r="4668">
      <c r="R4668" s="20" t="str">
        <f>IF($B4668="","",IFERROR(IF(INDEX(Config!$D$9:$D$29,MATCH($B4668,Config!$B$9:$B$29,0))="Contrato",IF(INDEX(Config!$E$9:$E$29,MATCH($B4668,Config!$B$9:$B$29,0))="","",INDEX(Config!$E$9:$E$29,MATCH($B4668,Config!$B$9:$B$29,0))),""),""))</f>
        <v/>
      </c>
      <c r="AC4668" s="19" t="str">
        <f>IF($B4668="","",IFERROR(INDEX(Config!$D$9:$D$29,MATCH($B4668,Config!$B$9:$B$29,0))&amp;"",""))</f>
        <v/>
      </c>
    </row>
    <row r="4669">
      <c r="R4669" s="20" t="str">
        <f>IF($B4669="","",IFERROR(IF(INDEX(Config!$D$9:$D$29,MATCH($B4669,Config!$B$9:$B$29,0))="Contrato",IF(INDEX(Config!$E$9:$E$29,MATCH($B4669,Config!$B$9:$B$29,0))="","",INDEX(Config!$E$9:$E$29,MATCH($B4669,Config!$B$9:$B$29,0))),""),""))</f>
        <v/>
      </c>
      <c r="AC4669" s="19" t="str">
        <f>IF($B4669="","",IFERROR(INDEX(Config!$D$9:$D$29,MATCH($B4669,Config!$B$9:$B$29,0))&amp;"",""))</f>
        <v/>
      </c>
    </row>
    <row r="4670">
      <c r="R4670" s="20" t="str">
        <f>IF($B4670="","",IFERROR(IF(INDEX(Config!$D$9:$D$29,MATCH($B4670,Config!$B$9:$B$29,0))="Contrato",IF(INDEX(Config!$E$9:$E$29,MATCH($B4670,Config!$B$9:$B$29,0))="","",INDEX(Config!$E$9:$E$29,MATCH($B4670,Config!$B$9:$B$29,0))),""),""))</f>
        <v/>
      </c>
      <c r="AC4670" s="19" t="str">
        <f>IF($B4670="","",IFERROR(INDEX(Config!$D$9:$D$29,MATCH($B4670,Config!$B$9:$B$29,0))&amp;"",""))</f>
        <v/>
      </c>
    </row>
    <row r="4671">
      <c r="R4671" s="20" t="str">
        <f>IF($B4671="","",IFERROR(IF(INDEX(Config!$D$9:$D$29,MATCH($B4671,Config!$B$9:$B$29,0))="Contrato",IF(INDEX(Config!$E$9:$E$29,MATCH($B4671,Config!$B$9:$B$29,0))="","",INDEX(Config!$E$9:$E$29,MATCH($B4671,Config!$B$9:$B$29,0))),""),""))</f>
        <v/>
      </c>
      <c r="AC4671" s="19" t="str">
        <f>IF($B4671="","",IFERROR(INDEX(Config!$D$9:$D$29,MATCH($B4671,Config!$B$9:$B$29,0))&amp;"",""))</f>
        <v/>
      </c>
    </row>
    <row r="4672">
      <c r="R4672" s="20" t="str">
        <f>IF($B4672="","",IFERROR(IF(INDEX(Config!$D$9:$D$29,MATCH($B4672,Config!$B$9:$B$29,0))="Contrato",IF(INDEX(Config!$E$9:$E$29,MATCH($B4672,Config!$B$9:$B$29,0))="","",INDEX(Config!$E$9:$E$29,MATCH($B4672,Config!$B$9:$B$29,0))),""),""))</f>
        <v/>
      </c>
      <c r="AC4672" s="19" t="str">
        <f>IF($B4672="","",IFERROR(INDEX(Config!$D$9:$D$29,MATCH($B4672,Config!$B$9:$B$29,0))&amp;"",""))</f>
        <v/>
      </c>
    </row>
    <row r="4673">
      <c r="R4673" s="20" t="str">
        <f>IF($B4673="","",IFERROR(IF(INDEX(Config!$D$9:$D$29,MATCH($B4673,Config!$B$9:$B$29,0))="Contrato",IF(INDEX(Config!$E$9:$E$29,MATCH($B4673,Config!$B$9:$B$29,0))="","",INDEX(Config!$E$9:$E$29,MATCH($B4673,Config!$B$9:$B$29,0))),""),""))</f>
        <v/>
      </c>
      <c r="AC4673" s="19" t="str">
        <f>IF($B4673="","",IFERROR(INDEX(Config!$D$9:$D$29,MATCH($B4673,Config!$B$9:$B$29,0))&amp;"",""))</f>
        <v/>
      </c>
    </row>
    <row r="4674">
      <c r="R4674" s="20" t="str">
        <f>IF($B4674="","",IFERROR(IF(INDEX(Config!$D$9:$D$29,MATCH($B4674,Config!$B$9:$B$29,0))="Contrato",IF(INDEX(Config!$E$9:$E$29,MATCH($B4674,Config!$B$9:$B$29,0))="","",INDEX(Config!$E$9:$E$29,MATCH($B4674,Config!$B$9:$B$29,0))),""),""))</f>
        <v/>
      </c>
      <c r="AC4674" s="19" t="str">
        <f>IF($B4674="","",IFERROR(INDEX(Config!$D$9:$D$29,MATCH($B4674,Config!$B$9:$B$29,0))&amp;"",""))</f>
        <v/>
      </c>
    </row>
    <row r="4675">
      <c r="R4675" s="20" t="str">
        <f>IF($B4675="","",IFERROR(IF(INDEX(Config!$D$9:$D$29,MATCH($B4675,Config!$B$9:$B$29,0))="Contrato",IF(INDEX(Config!$E$9:$E$29,MATCH($B4675,Config!$B$9:$B$29,0))="","",INDEX(Config!$E$9:$E$29,MATCH($B4675,Config!$B$9:$B$29,0))),""),""))</f>
        <v/>
      </c>
      <c r="AC4675" s="19" t="str">
        <f>IF($B4675="","",IFERROR(INDEX(Config!$D$9:$D$29,MATCH($B4675,Config!$B$9:$B$29,0))&amp;"",""))</f>
        <v/>
      </c>
    </row>
    <row r="4676">
      <c r="R4676" s="20" t="str">
        <f>IF($B4676="","",IFERROR(IF(INDEX(Config!$D$9:$D$29,MATCH($B4676,Config!$B$9:$B$29,0))="Contrato",IF(INDEX(Config!$E$9:$E$29,MATCH($B4676,Config!$B$9:$B$29,0))="","",INDEX(Config!$E$9:$E$29,MATCH($B4676,Config!$B$9:$B$29,0))),""),""))</f>
        <v/>
      </c>
      <c r="AC4676" s="19" t="str">
        <f>IF($B4676="","",IFERROR(INDEX(Config!$D$9:$D$29,MATCH($B4676,Config!$B$9:$B$29,0))&amp;"",""))</f>
        <v/>
      </c>
    </row>
    <row r="4677">
      <c r="R4677" s="20" t="str">
        <f>IF($B4677="","",IFERROR(IF(INDEX(Config!$D$9:$D$29,MATCH($B4677,Config!$B$9:$B$29,0))="Contrato",IF(INDEX(Config!$E$9:$E$29,MATCH($B4677,Config!$B$9:$B$29,0))="","",INDEX(Config!$E$9:$E$29,MATCH($B4677,Config!$B$9:$B$29,0))),""),""))</f>
        <v/>
      </c>
      <c r="AC4677" s="19" t="str">
        <f>IF($B4677="","",IFERROR(INDEX(Config!$D$9:$D$29,MATCH($B4677,Config!$B$9:$B$29,0))&amp;"",""))</f>
        <v/>
      </c>
    </row>
    <row r="4678">
      <c r="R4678" s="20" t="str">
        <f>IF($B4678="","",IFERROR(IF(INDEX(Config!$D$9:$D$29,MATCH($B4678,Config!$B$9:$B$29,0))="Contrato",IF(INDEX(Config!$E$9:$E$29,MATCH($B4678,Config!$B$9:$B$29,0))="","",INDEX(Config!$E$9:$E$29,MATCH($B4678,Config!$B$9:$B$29,0))),""),""))</f>
        <v/>
      </c>
      <c r="AC4678" s="19" t="str">
        <f>IF($B4678="","",IFERROR(INDEX(Config!$D$9:$D$29,MATCH($B4678,Config!$B$9:$B$29,0))&amp;"",""))</f>
        <v/>
      </c>
    </row>
    <row r="4679">
      <c r="R4679" s="20" t="str">
        <f>IF($B4679="","",IFERROR(IF(INDEX(Config!$D$9:$D$29,MATCH($B4679,Config!$B$9:$B$29,0))="Contrato",IF(INDEX(Config!$E$9:$E$29,MATCH($B4679,Config!$B$9:$B$29,0))="","",INDEX(Config!$E$9:$E$29,MATCH($B4679,Config!$B$9:$B$29,0))),""),""))</f>
        <v/>
      </c>
      <c r="AC4679" s="19" t="str">
        <f>IF($B4679="","",IFERROR(INDEX(Config!$D$9:$D$29,MATCH($B4679,Config!$B$9:$B$29,0))&amp;"",""))</f>
        <v/>
      </c>
    </row>
    <row r="4680">
      <c r="R4680" s="20" t="str">
        <f>IF($B4680="","",IFERROR(IF(INDEX(Config!$D$9:$D$29,MATCH($B4680,Config!$B$9:$B$29,0))="Contrato",IF(INDEX(Config!$E$9:$E$29,MATCH($B4680,Config!$B$9:$B$29,0))="","",INDEX(Config!$E$9:$E$29,MATCH($B4680,Config!$B$9:$B$29,0))),""),""))</f>
        <v/>
      </c>
      <c r="AC4680" s="19" t="str">
        <f>IF($B4680="","",IFERROR(INDEX(Config!$D$9:$D$29,MATCH($B4680,Config!$B$9:$B$29,0))&amp;"",""))</f>
        <v/>
      </c>
    </row>
    <row r="4681">
      <c r="R4681" s="20" t="str">
        <f>IF($B4681="","",IFERROR(IF(INDEX(Config!$D$9:$D$29,MATCH($B4681,Config!$B$9:$B$29,0))="Contrato",IF(INDEX(Config!$E$9:$E$29,MATCH($B4681,Config!$B$9:$B$29,0))="","",INDEX(Config!$E$9:$E$29,MATCH($B4681,Config!$B$9:$B$29,0))),""),""))</f>
        <v/>
      </c>
      <c r="AC4681" s="19" t="str">
        <f>IF($B4681="","",IFERROR(INDEX(Config!$D$9:$D$29,MATCH($B4681,Config!$B$9:$B$29,0))&amp;"",""))</f>
        <v/>
      </c>
    </row>
    <row r="4682">
      <c r="R4682" s="20" t="str">
        <f>IF($B4682="","",IFERROR(IF(INDEX(Config!$D$9:$D$29,MATCH($B4682,Config!$B$9:$B$29,0))="Contrato",IF(INDEX(Config!$E$9:$E$29,MATCH($B4682,Config!$B$9:$B$29,0))="","",INDEX(Config!$E$9:$E$29,MATCH($B4682,Config!$B$9:$B$29,0))),""),""))</f>
        <v/>
      </c>
      <c r="AC4682" s="19" t="str">
        <f>IF($B4682="","",IFERROR(INDEX(Config!$D$9:$D$29,MATCH($B4682,Config!$B$9:$B$29,0))&amp;"",""))</f>
        <v/>
      </c>
    </row>
    <row r="4683">
      <c r="R4683" s="20" t="str">
        <f>IF($B4683="","",IFERROR(IF(INDEX(Config!$D$9:$D$29,MATCH($B4683,Config!$B$9:$B$29,0))="Contrato",IF(INDEX(Config!$E$9:$E$29,MATCH($B4683,Config!$B$9:$B$29,0))="","",INDEX(Config!$E$9:$E$29,MATCH($B4683,Config!$B$9:$B$29,0))),""),""))</f>
        <v/>
      </c>
      <c r="AC4683" s="19" t="str">
        <f>IF($B4683="","",IFERROR(INDEX(Config!$D$9:$D$29,MATCH($B4683,Config!$B$9:$B$29,0))&amp;"",""))</f>
        <v/>
      </c>
    </row>
    <row r="4684">
      <c r="R4684" s="20" t="str">
        <f>IF($B4684="","",IFERROR(IF(INDEX(Config!$D$9:$D$29,MATCH($B4684,Config!$B$9:$B$29,0))="Contrato",IF(INDEX(Config!$E$9:$E$29,MATCH($B4684,Config!$B$9:$B$29,0))="","",INDEX(Config!$E$9:$E$29,MATCH($B4684,Config!$B$9:$B$29,0))),""),""))</f>
        <v/>
      </c>
      <c r="AC4684" s="19" t="str">
        <f>IF($B4684="","",IFERROR(INDEX(Config!$D$9:$D$29,MATCH($B4684,Config!$B$9:$B$29,0))&amp;"",""))</f>
        <v/>
      </c>
    </row>
    <row r="4685">
      <c r="R4685" s="20" t="str">
        <f>IF($B4685="","",IFERROR(IF(INDEX(Config!$D$9:$D$29,MATCH($B4685,Config!$B$9:$B$29,0))="Contrato",IF(INDEX(Config!$E$9:$E$29,MATCH($B4685,Config!$B$9:$B$29,0))="","",INDEX(Config!$E$9:$E$29,MATCH($B4685,Config!$B$9:$B$29,0))),""),""))</f>
        <v/>
      </c>
      <c r="AC4685" s="19" t="str">
        <f>IF($B4685="","",IFERROR(INDEX(Config!$D$9:$D$29,MATCH($B4685,Config!$B$9:$B$29,0))&amp;"",""))</f>
        <v/>
      </c>
    </row>
    <row r="4686">
      <c r="R4686" s="20" t="str">
        <f>IF($B4686="","",IFERROR(IF(INDEX(Config!$D$9:$D$29,MATCH($B4686,Config!$B$9:$B$29,0))="Contrato",IF(INDEX(Config!$E$9:$E$29,MATCH($B4686,Config!$B$9:$B$29,0))="","",INDEX(Config!$E$9:$E$29,MATCH($B4686,Config!$B$9:$B$29,0))),""),""))</f>
        <v/>
      </c>
      <c r="AC4686" s="19" t="str">
        <f>IF($B4686="","",IFERROR(INDEX(Config!$D$9:$D$29,MATCH($B4686,Config!$B$9:$B$29,0))&amp;"",""))</f>
        <v/>
      </c>
    </row>
    <row r="4687">
      <c r="R4687" s="20" t="str">
        <f>IF($B4687="","",IFERROR(IF(INDEX(Config!$D$9:$D$29,MATCH($B4687,Config!$B$9:$B$29,0))="Contrato",IF(INDEX(Config!$E$9:$E$29,MATCH($B4687,Config!$B$9:$B$29,0))="","",INDEX(Config!$E$9:$E$29,MATCH($B4687,Config!$B$9:$B$29,0))),""),""))</f>
        <v/>
      </c>
      <c r="AC4687" s="19" t="str">
        <f>IF($B4687="","",IFERROR(INDEX(Config!$D$9:$D$29,MATCH($B4687,Config!$B$9:$B$29,0))&amp;"",""))</f>
        <v/>
      </c>
    </row>
    <row r="4688">
      <c r="R4688" s="20" t="str">
        <f>IF($B4688="","",IFERROR(IF(INDEX(Config!$D$9:$D$29,MATCH($B4688,Config!$B$9:$B$29,0))="Contrato",IF(INDEX(Config!$E$9:$E$29,MATCH($B4688,Config!$B$9:$B$29,0))="","",INDEX(Config!$E$9:$E$29,MATCH($B4688,Config!$B$9:$B$29,0))),""),""))</f>
        <v/>
      </c>
      <c r="AC4688" s="19" t="str">
        <f>IF($B4688="","",IFERROR(INDEX(Config!$D$9:$D$29,MATCH($B4688,Config!$B$9:$B$29,0))&amp;"",""))</f>
        <v/>
      </c>
    </row>
    <row r="4689">
      <c r="R4689" s="20" t="str">
        <f>IF($B4689="","",IFERROR(IF(INDEX(Config!$D$9:$D$29,MATCH($B4689,Config!$B$9:$B$29,0))="Contrato",IF(INDEX(Config!$E$9:$E$29,MATCH($B4689,Config!$B$9:$B$29,0))="","",INDEX(Config!$E$9:$E$29,MATCH($B4689,Config!$B$9:$B$29,0))),""),""))</f>
        <v/>
      </c>
      <c r="AC4689" s="19" t="str">
        <f>IF($B4689="","",IFERROR(INDEX(Config!$D$9:$D$29,MATCH($B4689,Config!$B$9:$B$29,0))&amp;"",""))</f>
        <v/>
      </c>
    </row>
    <row r="4690">
      <c r="R4690" s="20" t="str">
        <f>IF($B4690="","",IFERROR(IF(INDEX(Config!$D$9:$D$29,MATCH($B4690,Config!$B$9:$B$29,0))="Contrato",IF(INDEX(Config!$E$9:$E$29,MATCH($B4690,Config!$B$9:$B$29,0))="","",INDEX(Config!$E$9:$E$29,MATCH($B4690,Config!$B$9:$B$29,0))),""),""))</f>
        <v/>
      </c>
      <c r="AC4690" s="19" t="str">
        <f>IF($B4690="","",IFERROR(INDEX(Config!$D$9:$D$29,MATCH($B4690,Config!$B$9:$B$29,0))&amp;"",""))</f>
        <v/>
      </c>
    </row>
    <row r="4691">
      <c r="R4691" s="20" t="str">
        <f>IF($B4691="","",IFERROR(IF(INDEX(Config!$D$9:$D$29,MATCH($B4691,Config!$B$9:$B$29,0))="Contrato",IF(INDEX(Config!$E$9:$E$29,MATCH($B4691,Config!$B$9:$B$29,0))="","",INDEX(Config!$E$9:$E$29,MATCH($B4691,Config!$B$9:$B$29,0))),""),""))</f>
        <v/>
      </c>
      <c r="AC4691" s="19" t="str">
        <f>IF($B4691="","",IFERROR(INDEX(Config!$D$9:$D$29,MATCH($B4691,Config!$B$9:$B$29,0))&amp;"",""))</f>
        <v/>
      </c>
    </row>
    <row r="4692">
      <c r="R4692" s="20" t="str">
        <f>IF($B4692="","",IFERROR(IF(INDEX(Config!$D$9:$D$29,MATCH($B4692,Config!$B$9:$B$29,0))="Contrato",IF(INDEX(Config!$E$9:$E$29,MATCH($B4692,Config!$B$9:$B$29,0))="","",INDEX(Config!$E$9:$E$29,MATCH($B4692,Config!$B$9:$B$29,0))),""),""))</f>
        <v/>
      </c>
      <c r="AC4692" s="19" t="str">
        <f>IF($B4692="","",IFERROR(INDEX(Config!$D$9:$D$29,MATCH($B4692,Config!$B$9:$B$29,0))&amp;"",""))</f>
        <v/>
      </c>
    </row>
    <row r="4693">
      <c r="R4693" s="20" t="str">
        <f>IF($B4693="","",IFERROR(IF(INDEX(Config!$D$9:$D$29,MATCH($B4693,Config!$B$9:$B$29,0))="Contrato",IF(INDEX(Config!$E$9:$E$29,MATCH($B4693,Config!$B$9:$B$29,0))="","",INDEX(Config!$E$9:$E$29,MATCH($B4693,Config!$B$9:$B$29,0))),""),""))</f>
        <v/>
      </c>
      <c r="AC4693" s="19" t="str">
        <f>IF($B4693="","",IFERROR(INDEX(Config!$D$9:$D$29,MATCH($B4693,Config!$B$9:$B$29,0))&amp;"",""))</f>
        <v/>
      </c>
    </row>
    <row r="4694">
      <c r="R4694" s="20" t="str">
        <f>IF($B4694="","",IFERROR(IF(INDEX(Config!$D$9:$D$29,MATCH($B4694,Config!$B$9:$B$29,0))="Contrato",IF(INDEX(Config!$E$9:$E$29,MATCH($B4694,Config!$B$9:$B$29,0))="","",INDEX(Config!$E$9:$E$29,MATCH($B4694,Config!$B$9:$B$29,0))),""),""))</f>
        <v/>
      </c>
      <c r="AC4694" s="19" t="str">
        <f>IF($B4694="","",IFERROR(INDEX(Config!$D$9:$D$29,MATCH($B4694,Config!$B$9:$B$29,0))&amp;"",""))</f>
        <v/>
      </c>
    </row>
    <row r="4695">
      <c r="R4695" s="20" t="str">
        <f>IF($B4695="","",IFERROR(IF(INDEX(Config!$D$9:$D$29,MATCH($B4695,Config!$B$9:$B$29,0))="Contrato",IF(INDEX(Config!$E$9:$E$29,MATCH($B4695,Config!$B$9:$B$29,0))="","",INDEX(Config!$E$9:$E$29,MATCH($B4695,Config!$B$9:$B$29,0))),""),""))</f>
        <v/>
      </c>
      <c r="AC4695" s="19" t="str">
        <f>IF($B4695="","",IFERROR(INDEX(Config!$D$9:$D$29,MATCH($B4695,Config!$B$9:$B$29,0))&amp;"",""))</f>
        <v/>
      </c>
    </row>
    <row r="4696">
      <c r="R4696" s="20" t="str">
        <f>IF($B4696="","",IFERROR(IF(INDEX(Config!$D$9:$D$29,MATCH($B4696,Config!$B$9:$B$29,0))="Contrato",IF(INDEX(Config!$E$9:$E$29,MATCH($B4696,Config!$B$9:$B$29,0))="","",INDEX(Config!$E$9:$E$29,MATCH($B4696,Config!$B$9:$B$29,0))),""),""))</f>
        <v/>
      </c>
      <c r="AC4696" s="19" t="str">
        <f>IF($B4696="","",IFERROR(INDEX(Config!$D$9:$D$29,MATCH($B4696,Config!$B$9:$B$29,0))&amp;"",""))</f>
        <v/>
      </c>
    </row>
    <row r="4697">
      <c r="R4697" s="20" t="str">
        <f>IF($B4697="","",IFERROR(IF(INDEX(Config!$D$9:$D$29,MATCH($B4697,Config!$B$9:$B$29,0))="Contrato",IF(INDEX(Config!$E$9:$E$29,MATCH($B4697,Config!$B$9:$B$29,0))="","",INDEX(Config!$E$9:$E$29,MATCH($B4697,Config!$B$9:$B$29,0))),""),""))</f>
        <v/>
      </c>
      <c r="AC4697" s="19" t="str">
        <f>IF($B4697="","",IFERROR(INDEX(Config!$D$9:$D$29,MATCH($B4697,Config!$B$9:$B$29,0))&amp;"",""))</f>
        <v/>
      </c>
    </row>
    <row r="4698">
      <c r="R4698" s="20" t="str">
        <f>IF($B4698="","",IFERROR(IF(INDEX(Config!$D$9:$D$29,MATCH($B4698,Config!$B$9:$B$29,0))="Contrato",IF(INDEX(Config!$E$9:$E$29,MATCH($B4698,Config!$B$9:$B$29,0))="","",INDEX(Config!$E$9:$E$29,MATCH($B4698,Config!$B$9:$B$29,0))),""),""))</f>
        <v/>
      </c>
      <c r="AC4698" s="19" t="str">
        <f>IF($B4698="","",IFERROR(INDEX(Config!$D$9:$D$29,MATCH($B4698,Config!$B$9:$B$29,0))&amp;"",""))</f>
        <v/>
      </c>
    </row>
    <row r="4699">
      <c r="R4699" s="20" t="str">
        <f>IF($B4699="","",IFERROR(IF(INDEX(Config!$D$9:$D$29,MATCH($B4699,Config!$B$9:$B$29,0))="Contrato",IF(INDEX(Config!$E$9:$E$29,MATCH($B4699,Config!$B$9:$B$29,0))="","",INDEX(Config!$E$9:$E$29,MATCH($B4699,Config!$B$9:$B$29,0))),""),""))</f>
        <v/>
      </c>
      <c r="AC4699" s="19" t="str">
        <f>IF($B4699="","",IFERROR(INDEX(Config!$D$9:$D$29,MATCH($B4699,Config!$B$9:$B$29,0))&amp;"",""))</f>
        <v/>
      </c>
    </row>
    <row r="4700">
      <c r="R4700" s="20" t="str">
        <f>IF($B4700="","",IFERROR(IF(INDEX(Config!$D$9:$D$29,MATCH($B4700,Config!$B$9:$B$29,0))="Contrato",IF(INDEX(Config!$E$9:$E$29,MATCH($B4700,Config!$B$9:$B$29,0))="","",INDEX(Config!$E$9:$E$29,MATCH($B4700,Config!$B$9:$B$29,0))),""),""))</f>
        <v/>
      </c>
      <c r="AC4700" s="19" t="str">
        <f>IF($B4700="","",IFERROR(INDEX(Config!$D$9:$D$29,MATCH($B4700,Config!$B$9:$B$29,0))&amp;"",""))</f>
        <v/>
      </c>
    </row>
    <row r="4701">
      <c r="R4701" s="20" t="str">
        <f>IF($B4701="","",IFERROR(IF(INDEX(Config!$D$9:$D$29,MATCH($B4701,Config!$B$9:$B$29,0))="Contrato",IF(INDEX(Config!$E$9:$E$29,MATCH($B4701,Config!$B$9:$B$29,0))="","",INDEX(Config!$E$9:$E$29,MATCH($B4701,Config!$B$9:$B$29,0))),""),""))</f>
        <v/>
      </c>
      <c r="AC4701" s="19" t="str">
        <f>IF($B4701="","",IFERROR(INDEX(Config!$D$9:$D$29,MATCH($B4701,Config!$B$9:$B$29,0))&amp;"",""))</f>
        <v/>
      </c>
    </row>
    <row r="4702">
      <c r="R4702" s="20" t="str">
        <f>IF($B4702="","",IFERROR(IF(INDEX(Config!$D$9:$D$29,MATCH($B4702,Config!$B$9:$B$29,0))="Contrato",IF(INDEX(Config!$E$9:$E$29,MATCH($B4702,Config!$B$9:$B$29,0))="","",INDEX(Config!$E$9:$E$29,MATCH($B4702,Config!$B$9:$B$29,0))),""),""))</f>
        <v/>
      </c>
      <c r="AC4702" s="19" t="str">
        <f>IF($B4702="","",IFERROR(INDEX(Config!$D$9:$D$29,MATCH($B4702,Config!$B$9:$B$29,0))&amp;"",""))</f>
        <v/>
      </c>
    </row>
    <row r="4703">
      <c r="R4703" s="20" t="str">
        <f>IF($B4703="","",IFERROR(IF(INDEX(Config!$D$9:$D$29,MATCH($B4703,Config!$B$9:$B$29,0))="Contrato",IF(INDEX(Config!$E$9:$E$29,MATCH($B4703,Config!$B$9:$B$29,0))="","",INDEX(Config!$E$9:$E$29,MATCH($B4703,Config!$B$9:$B$29,0))),""),""))</f>
        <v/>
      </c>
      <c r="AC4703" s="19" t="str">
        <f>IF($B4703="","",IFERROR(INDEX(Config!$D$9:$D$29,MATCH($B4703,Config!$B$9:$B$29,0))&amp;"",""))</f>
        <v/>
      </c>
    </row>
    <row r="4704">
      <c r="R4704" s="20" t="str">
        <f>IF($B4704="","",IFERROR(IF(INDEX(Config!$D$9:$D$29,MATCH($B4704,Config!$B$9:$B$29,0))="Contrato",IF(INDEX(Config!$E$9:$E$29,MATCH($B4704,Config!$B$9:$B$29,0))="","",INDEX(Config!$E$9:$E$29,MATCH($B4704,Config!$B$9:$B$29,0))),""),""))</f>
        <v/>
      </c>
      <c r="AC4704" s="19" t="str">
        <f>IF($B4704="","",IFERROR(INDEX(Config!$D$9:$D$29,MATCH($B4704,Config!$B$9:$B$29,0))&amp;"",""))</f>
        <v/>
      </c>
    </row>
    <row r="4705">
      <c r="R4705" s="20" t="str">
        <f>IF($B4705="","",IFERROR(IF(INDEX(Config!$D$9:$D$29,MATCH($B4705,Config!$B$9:$B$29,0))="Contrato",IF(INDEX(Config!$E$9:$E$29,MATCH($B4705,Config!$B$9:$B$29,0))="","",INDEX(Config!$E$9:$E$29,MATCH($B4705,Config!$B$9:$B$29,0))),""),""))</f>
        <v/>
      </c>
      <c r="AC4705" s="19" t="str">
        <f>IF($B4705="","",IFERROR(INDEX(Config!$D$9:$D$29,MATCH($B4705,Config!$B$9:$B$29,0))&amp;"",""))</f>
        <v/>
      </c>
    </row>
    <row r="4706">
      <c r="R4706" s="20" t="str">
        <f>IF($B4706="","",IFERROR(IF(INDEX(Config!$D$9:$D$29,MATCH($B4706,Config!$B$9:$B$29,0))="Contrato",IF(INDEX(Config!$E$9:$E$29,MATCH($B4706,Config!$B$9:$B$29,0))="","",INDEX(Config!$E$9:$E$29,MATCH($B4706,Config!$B$9:$B$29,0))),""),""))</f>
        <v/>
      </c>
      <c r="AC4706" s="19" t="str">
        <f>IF($B4706="","",IFERROR(INDEX(Config!$D$9:$D$29,MATCH($B4706,Config!$B$9:$B$29,0))&amp;"",""))</f>
        <v/>
      </c>
    </row>
    <row r="4707">
      <c r="R4707" s="20" t="str">
        <f>IF($B4707="","",IFERROR(IF(INDEX(Config!$D$9:$D$29,MATCH($B4707,Config!$B$9:$B$29,0))="Contrato",IF(INDEX(Config!$E$9:$E$29,MATCH($B4707,Config!$B$9:$B$29,0))="","",INDEX(Config!$E$9:$E$29,MATCH($B4707,Config!$B$9:$B$29,0))),""),""))</f>
        <v/>
      </c>
      <c r="AC4707" s="19" t="str">
        <f>IF($B4707="","",IFERROR(INDEX(Config!$D$9:$D$29,MATCH($B4707,Config!$B$9:$B$29,0))&amp;"",""))</f>
        <v/>
      </c>
    </row>
    <row r="4708">
      <c r="R4708" s="20" t="str">
        <f>IF($B4708="","",IFERROR(IF(INDEX(Config!$D$9:$D$29,MATCH($B4708,Config!$B$9:$B$29,0))="Contrato",IF(INDEX(Config!$E$9:$E$29,MATCH($B4708,Config!$B$9:$B$29,0))="","",INDEX(Config!$E$9:$E$29,MATCH($B4708,Config!$B$9:$B$29,0))),""),""))</f>
        <v/>
      </c>
      <c r="AC4708" s="19" t="str">
        <f>IF($B4708="","",IFERROR(INDEX(Config!$D$9:$D$29,MATCH($B4708,Config!$B$9:$B$29,0))&amp;"",""))</f>
        <v/>
      </c>
    </row>
    <row r="4709">
      <c r="R4709" s="20" t="str">
        <f>IF($B4709="","",IFERROR(IF(INDEX(Config!$D$9:$D$29,MATCH($B4709,Config!$B$9:$B$29,0))="Contrato",IF(INDEX(Config!$E$9:$E$29,MATCH($B4709,Config!$B$9:$B$29,0))="","",INDEX(Config!$E$9:$E$29,MATCH($B4709,Config!$B$9:$B$29,0))),""),""))</f>
        <v/>
      </c>
      <c r="AC4709" s="19" t="str">
        <f>IF($B4709="","",IFERROR(INDEX(Config!$D$9:$D$29,MATCH($B4709,Config!$B$9:$B$29,0))&amp;"",""))</f>
        <v/>
      </c>
    </row>
    <row r="4710">
      <c r="R4710" s="20" t="str">
        <f>IF($B4710="","",IFERROR(IF(INDEX(Config!$D$9:$D$29,MATCH($B4710,Config!$B$9:$B$29,0))="Contrato",IF(INDEX(Config!$E$9:$E$29,MATCH($B4710,Config!$B$9:$B$29,0))="","",INDEX(Config!$E$9:$E$29,MATCH($B4710,Config!$B$9:$B$29,0))),""),""))</f>
        <v/>
      </c>
      <c r="AC4710" s="19" t="str">
        <f>IF($B4710="","",IFERROR(INDEX(Config!$D$9:$D$29,MATCH($B4710,Config!$B$9:$B$29,0))&amp;"",""))</f>
        <v/>
      </c>
    </row>
    <row r="4711">
      <c r="R4711" s="20" t="str">
        <f>IF($B4711="","",IFERROR(IF(INDEX(Config!$D$9:$D$29,MATCH($B4711,Config!$B$9:$B$29,0))="Contrato",IF(INDEX(Config!$E$9:$E$29,MATCH($B4711,Config!$B$9:$B$29,0))="","",INDEX(Config!$E$9:$E$29,MATCH($B4711,Config!$B$9:$B$29,0))),""),""))</f>
        <v/>
      </c>
      <c r="AC4711" s="19" t="str">
        <f>IF($B4711="","",IFERROR(INDEX(Config!$D$9:$D$29,MATCH($B4711,Config!$B$9:$B$29,0))&amp;"",""))</f>
        <v/>
      </c>
    </row>
    <row r="4712">
      <c r="R4712" s="20" t="str">
        <f>IF($B4712="","",IFERROR(IF(INDEX(Config!$D$9:$D$29,MATCH($B4712,Config!$B$9:$B$29,0))="Contrato",IF(INDEX(Config!$E$9:$E$29,MATCH($B4712,Config!$B$9:$B$29,0))="","",INDEX(Config!$E$9:$E$29,MATCH($B4712,Config!$B$9:$B$29,0))),""),""))</f>
        <v/>
      </c>
      <c r="AC4712" s="19" t="str">
        <f>IF($B4712="","",IFERROR(INDEX(Config!$D$9:$D$29,MATCH($B4712,Config!$B$9:$B$29,0))&amp;"",""))</f>
        <v/>
      </c>
    </row>
    <row r="4713">
      <c r="R4713" s="20" t="str">
        <f>IF($B4713="","",IFERROR(IF(INDEX(Config!$D$9:$D$29,MATCH($B4713,Config!$B$9:$B$29,0))="Contrato",IF(INDEX(Config!$E$9:$E$29,MATCH($B4713,Config!$B$9:$B$29,0))="","",INDEX(Config!$E$9:$E$29,MATCH($B4713,Config!$B$9:$B$29,0))),""),""))</f>
        <v/>
      </c>
      <c r="AC4713" s="19" t="str">
        <f>IF($B4713="","",IFERROR(INDEX(Config!$D$9:$D$29,MATCH($B4713,Config!$B$9:$B$29,0))&amp;"",""))</f>
        <v/>
      </c>
    </row>
    <row r="4714">
      <c r="R4714" s="20" t="str">
        <f>IF($B4714="","",IFERROR(IF(INDEX(Config!$D$9:$D$29,MATCH($B4714,Config!$B$9:$B$29,0))="Contrato",IF(INDEX(Config!$E$9:$E$29,MATCH($B4714,Config!$B$9:$B$29,0))="","",INDEX(Config!$E$9:$E$29,MATCH($B4714,Config!$B$9:$B$29,0))),""),""))</f>
        <v/>
      </c>
      <c r="AC4714" s="19" t="str">
        <f>IF($B4714="","",IFERROR(INDEX(Config!$D$9:$D$29,MATCH($B4714,Config!$B$9:$B$29,0))&amp;"",""))</f>
        <v/>
      </c>
    </row>
    <row r="4715">
      <c r="R4715" s="20" t="str">
        <f>IF($B4715="","",IFERROR(IF(INDEX(Config!$D$9:$D$29,MATCH($B4715,Config!$B$9:$B$29,0))="Contrato",IF(INDEX(Config!$E$9:$E$29,MATCH($B4715,Config!$B$9:$B$29,0))="","",INDEX(Config!$E$9:$E$29,MATCH($B4715,Config!$B$9:$B$29,0))),""),""))</f>
        <v/>
      </c>
      <c r="AC4715" s="19" t="str">
        <f>IF($B4715="","",IFERROR(INDEX(Config!$D$9:$D$29,MATCH($B4715,Config!$B$9:$B$29,0))&amp;"",""))</f>
        <v/>
      </c>
    </row>
    <row r="4716">
      <c r="R4716" s="20" t="str">
        <f>IF($B4716="","",IFERROR(IF(INDEX(Config!$D$9:$D$29,MATCH($B4716,Config!$B$9:$B$29,0))="Contrato",IF(INDEX(Config!$E$9:$E$29,MATCH($B4716,Config!$B$9:$B$29,0))="","",INDEX(Config!$E$9:$E$29,MATCH($B4716,Config!$B$9:$B$29,0))),""),""))</f>
        <v/>
      </c>
      <c r="AC4716" s="19" t="str">
        <f>IF($B4716="","",IFERROR(INDEX(Config!$D$9:$D$29,MATCH($B4716,Config!$B$9:$B$29,0))&amp;"",""))</f>
        <v/>
      </c>
    </row>
    <row r="4717">
      <c r="R4717" s="20" t="str">
        <f>IF($B4717="","",IFERROR(IF(INDEX(Config!$D$9:$D$29,MATCH($B4717,Config!$B$9:$B$29,0))="Contrato",IF(INDEX(Config!$E$9:$E$29,MATCH($B4717,Config!$B$9:$B$29,0))="","",INDEX(Config!$E$9:$E$29,MATCH($B4717,Config!$B$9:$B$29,0))),""),""))</f>
        <v/>
      </c>
      <c r="AC4717" s="19" t="str">
        <f>IF($B4717="","",IFERROR(INDEX(Config!$D$9:$D$29,MATCH($B4717,Config!$B$9:$B$29,0))&amp;"",""))</f>
        <v/>
      </c>
    </row>
    <row r="4718">
      <c r="R4718" s="20" t="str">
        <f>IF($B4718="","",IFERROR(IF(INDEX(Config!$D$9:$D$29,MATCH($B4718,Config!$B$9:$B$29,0))="Contrato",IF(INDEX(Config!$E$9:$E$29,MATCH($B4718,Config!$B$9:$B$29,0))="","",INDEX(Config!$E$9:$E$29,MATCH($B4718,Config!$B$9:$B$29,0))),""),""))</f>
        <v/>
      </c>
      <c r="AC4718" s="19" t="str">
        <f>IF($B4718="","",IFERROR(INDEX(Config!$D$9:$D$29,MATCH($B4718,Config!$B$9:$B$29,0))&amp;"",""))</f>
        <v/>
      </c>
    </row>
    <row r="4719">
      <c r="R4719" s="20" t="str">
        <f>IF($B4719="","",IFERROR(IF(INDEX(Config!$D$9:$D$29,MATCH($B4719,Config!$B$9:$B$29,0))="Contrato",IF(INDEX(Config!$E$9:$E$29,MATCH($B4719,Config!$B$9:$B$29,0))="","",INDEX(Config!$E$9:$E$29,MATCH($B4719,Config!$B$9:$B$29,0))),""),""))</f>
        <v/>
      </c>
      <c r="AC4719" s="19" t="str">
        <f>IF($B4719="","",IFERROR(INDEX(Config!$D$9:$D$29,MATCH($B4719,Config!$B$9:$B$29,0))&amp;"",""))</f>
        <v/>
      </c>
    </row>
    <row r="4720">
      <c r="R4720" s="20" t="str">
        <f>IF($B4720="","",IFERROR(IF(INDEX(Config!$D$9:$D$29,MATCH($B4720,Config!$B$9:$B$29,0))="Contrato",IF(INDEX(Config!$E$9:$E$29,MATCH($B4720,Config!$B$9:$B$29,0))="","",INDEX(Config!$E$9:$E$29,MATCH($B4720,Config!$B$9:$B$29,0))),""),""))</f>
        <v/>
      </c>
      <c r="AC4720" s="19" t="str">
        <f>IF($B4720="","",IFERROR(INDEX(Config!$D$9:$D$29,MATCH($B4720,Config!$B$9:$B$29,0))&amp;"",""))</f>
        <v/>
      </c>
    </row>
    <row r="4721">
      <c r="R4721" s="20" t="str">
        <f>IF($B4721="","",IFERROR(IF(INDEX(Config!$D$9:$D$29,MATCH($B4721,Config!$B$9:$B$29,0))="Contrato",IF(INDEX(Config!$E$9:$E$29,MATCH($B4721,Config!$B$9:$B$29,0))="","",INDEX(Config!$E$9:$E$29,MATCH($B4721,Config!$B$9:$B$29,0))),""),""))</f>
        <v/>
      </c>
      <c r="AC4721" s="19" t="str">
        <f>IF($B4721="","",IFERROR(INDEX(Config!$D$9:$D$29,MATCH($B4721,Config!$B$9:$B$29,0))&amp;"",""))</f>
        <v/>
      </c>
    </row>
    <row r="4722">
      <c r="R4722" s="20" t="str">
        <f>IF($B4722="","",IFERROR(IF(INDEX(Config!$D$9:$D$29,MATCH($B4722,Config!$B$9:$B$29,0))="Contrato",IF(INDEX(Config!$E$9:$E$29,MATCH($B4722,Config!$B$9:$B$29,0))="","",INDEX(Config!$E$9:$E$29,MATCH($B4722,Config!$B$9:$B$29,0))),""),""))</f>
        <v/>
      </c>
      <c r="AC4722" s="19" t="str">
        <f>IF($B4722="","",IFERROR(INDEX(Config!$D$9:$D$29,MATCH($B4722,Config!$B$9:$B$29,0))&amp;"",""))</f>
        <v/>
      </c>
    </row>
    <row r="4723">
      <c r="R4723" s="20" t="str">
        <f>IF($B4723="","",IFERROR(IF(INDEX(Config!$D$9:$D$29,MATCH($B4723,Config!$B$9:$B$29,0))="Contrato",IF(INDEX(Config!$E$9:$E$29,MATCH($B4723,Config!$B$9:$B$29,0))="","",INDEX(Config!$E$9:$E$29,MATCH($B4723,Config!$B$9:$B$29,0))),""),""))</f>
        <v/>
      </c>
      <c r="AC4723" s="19" t="str">
        <f>IF($B4723="","",IFERROR(INDEX(Config!$D$9:$D$29,MATCH($B4723,Config!$B$9:$B$29,0))&amp;"",""))</f>
        <v/>
      </c>
    </row>
    <row r="4724">
      <c r="R4724" s="20" t="str">
        <f>IF($B4724="","",IFERROR(IF(INDEX(Config!$D$9:$D$29,MATCH($B4724,Config!$B$9:$B$29,0))="Contrato",IF(INDEX(Config!$E$9:$E$29,MATCH($B4724,Config!$B$9:$B$29,0))="","",INDEX(Config!$E$9:$E$29,MATCH($B4724,Config!$B$9:$B$29,0))),""),""))</f>
        <v/>
      </c>
      <c r="AC4724" s="19" t="str">
        <f>IF($B4724="","",IFERROR(INDEX(Config!$D$9:$D$29,MATCH($B4724,Config!$B$9:$B$29,0))&amp;"",""))</f>
        <v/>
      </c>
    </row>
    <row r="4725">
      <c r="R4725" s="20" t="str">
        <f>IF($B4725="","",IFERROR(IF(INDEX(Config!$D$9:$D$29,MATCH($B4725,Config!$B$9:$B$29,0))="Contrato",IF(INDEX(Config!$E$9:$E$29,MATCH($B4725,Config!$B$9:$B$29,0))="","",INDEX(Config!$E$9:$E$29,MATCH($B4725,Config!$B$9:$B$29,0))),""),""))</f>
        <v/>
      </c>
      <c r="AC4725" s="19" t="str">
        <f>IF($B4725="","",IFERROR(INDEX(Config!$D$9:$D$29,MATCH($B4725,Config!$B$9:$B$29,0))&amp;"",""))</f>
        <v/>
      </c>
    </row>
    <row r="4726">
      <c r="R4726" s="20" t="str">
        <f>IF($B4726="","",IFERROR(IF(INDEX(Config!$D$9:$D$29,MATCH($B4726,Config!$B$9:$B$29,0))="Contrato",IF(INDEX(Config!$E$9:$E$29,MATCH($B4726,Config!$B$9:$B$29,0))="","",INDEX(Config!$E$9:$E$29,MATCH($B4726,Config!$B$9:$B$29,0))),""),""))</f>
        <v/>
      </c>
      <c r="AC4726" s="19" t="str">
        <f>IF($B4726="","",IFERROR(INDEX(Config!$D$9:$D$29,MATCH($B4726,Config!$B$9:$B$29,0))&amp;"",""))</f>
        <v/>
      </c>
    </row>
    <row r="4727">
      <c r="R4727" s="20" t="str">
        <f>IF($B4727="","",IFERROR(IF(INDEX(Config!$D$9:$D$29,MATCH($B4727,Config!$B$9:$B$29,0))="Contrato",IF(INDEX(Config!$E$9:$E$29,MATCH($B4727,Config!$B$9:$B$29,0))="","",INDEX(Config!$E$9:$E$29,MATCH($B4727,Config!$B$9:$B$29,0))),""),""))</f>
        <v/>
      </c>
      <c r="AC4727" s="19" t="str">
        <f>IF($B4727="","",IFERROR(INDEX(Config!$D$9:$D$29,MATCH($B4727,Config!$B$9:$B$29,0))&amp;"",""))</f>
        <v/>
      </c>
    </row>
    <row r="4728">
      <c r="R4728" s="20" t="str">
        <f>IF($B4728="","",IFERROR(IF(INDEX(Config!$D$9:$D$29,MATCH($B4728,Config!$B$9:$B$29,0))="Contrato",IF(INDEX(Config!$E$9:$E$29,MATCH($B4728,Config!$B$9:$B$29,0))="","",INDEX(Config!$E$9:$E$29,MATCH($B4728,Config!$B$9:$B$29,0))),""),""))</f>
        <v/>
      </c>
      <c r="AC4728" s="19" t="str">
        <f>IF($B4728="","",IFERROR(INDEX(Config!$D$9:$D$29,MATCH($B4728,Config!$B$9:$B$29,0))&amp;"",""))</f>
        <v/>
      </c>
    </row>
    <row r="4729">
      <c r="R4729" s="20" t="str">
        <f>IF($B4729="","",IFERROR(IF(INDEX(Config!$D$9:$D$29,MATCH($B4729,Config!$B$9:$B$29,0))="Contrato",IF(INDEX(Config!$E$9:$E$29,MATCH($B4729,Config!$B$9:$B$29,0))="","",INDEX(Config!$E$9:$E$29,MATCH($B4729,Config!$B$9:$B$29,0))),""),""))</f>
        <v/>
      </c>
      <c r="AC4729" s="19" t="str">
        <f>IF($B4729="","",IFERROR(INDEX(Config!$D$9:$D$29,MATCH($B4729,Config!$B$9:$B$29,0))&amp;"",""))</f>
        <v/>
      </c>
    </row>
    <row r="4730">
      <c r="R4730" s="20" t="str">
        <f>IF($B4730="","",IFERROR(IF(INDEX(Config!$D$9:$D$29,MATCH($B4730,Config!$B$9:$B$29,0))="Contrato",IF(INDEX(Config!$E$9:$E$29,MATCH($B4730,Config!$B$9:$B$29,0))="","",INDEX(Config!$E$9:$E$29,MATCH($B4730,Config!$B$9:$B$29,0))),""),""))</f>
        <v/>
      </c>
      <c r="AC4730" s="19" t="str">
        <f>IF($B4730="","",IFERROR(INDEX(Config!$D$9:$D$29,MATCH($B4730,Config!$B$9:$B$29,0))&amp;"",""))</f>
        <v/>
      </c>
    </row>
    <row r="4731">
      <c r="R4731" s="20" t="str">
        <f>IF($B4731="","",IFERROR(IF(INDEX(Config!$D$9:$D$29,MATCH($B4731,Config!$B$9:$B$29,0))="Contrato",IF(INDEX(Config!$E$9:$E$29,MATCH($B4731,Config!$B$9:$B$29,0))="","",INDEX(Config!$E$9:$E$29,MATCH($B4731,Config!$B$9:$B$29,0))),""),""))</f>
        <v/>
      </c>
      <c r="AC4731" s="19" t="str">
        <f>IF($B4731="","",IFERROR(INDEX(Config!$D$9:$D$29,MATCH($B4731,Config!$B$9:$B$29,0))&amp;"",""))</f>
        <v/>
      </c>
    </row>
    <row r="4732">
      <c r="R4732" s="20" t="str">
        <f>IF($B4732="","",IFERROR(IF(INDEX(Config!$D$9:$D$29,MATCH($B4732,Config!$B$9:$B$29,0))="Contrato",IF(INDEX(Config!$E$9:$E$29,MATCH($B4732,Config!$B$9:$B$29,0))="","",INDEX(Config!$E$9:$E$29,MATCH($B4732,Config!$B$9:$B$29,0))),""),""))</f>
        <v/>
      </c>
      <c r="AC4732" s="19" t="str">
        <f>IF($B4732="","",IFERROR(INDEX(Config!$D$9:$D$29,MATCH($B4732,Config!$B$9:$B$29,0))&amp;"",""))</f>
        <v/>
      </c>
    </row>
    <row r="4733">
      <c r="R4733" s="20" t="str">
        <f>IF($B4733="","",IFERROR(IF(INDEX(Config!$D$9:$D$29,MATCH($B4733,Config!$B$9:$B$29,0))="Contrato",IF(INDEX(Config!$E$9:$E$29,MATCH($B4733,Config!$B$9:$B$29,0))="","",INDEX(Config!$E$9:$E$29,MATCH($B4733,Config!$B$9:$B$29,0))),""),""))</f>
        <v/>
      </c>
      <c r="AC4733" s="19" t="str">
        <f>IF($B4733="","",IFERROR(INDEX(Config!$D$9:$D$29,MATCH($B4733,Config!$B$9:$B$29,0))&amp;"",""))</f>
        <v/>
      </c>
    </row>
    <row r="4734">
      <c r="R4734" s="20" t="str">
        <f>IF($B4734="","",IFERROR(IF(INDEX(Config!$D$9:$D$29,MATCH($B4734,Config!$B$9:$B$29,0))="Contrato",IF(INDEX(Config!$E$9:$E$29,MATCH($B4734,Config!$B$9:$B$29,0))="","",INDEX(Config!$E$9:$E$29,MATCH($B4734,Config!$B$9:$B$29,0))),""),""))</f>
        <v/>
      </c>
      <c r="AC4734" s="19" t="str">
        <f>IF($B4734="","",IFERROR(INDEX(Config!$D$9:$D$29,MATCH($B4734,Config!$B$9:$B$29,0))&amp;"",""))</f>
        <v/>
      </c>
    </row>
    <row r="4735">
      <c r="R4735" s="20" t="str">
        <f>IF($B4735="","",IFERROR(IF(INDEX(Config!$D$9:$D$29,MATCH($B4735,Config!$B$9:$B$29,0))="Contrato",IF(INDEX(Config!$E$9:$E$29,MATCH($B4735,Config!$B$9:$B$29,0))="","",INDEX(Config!$E$9:$E$29,MATCH($B4735,Config!$B$9:$B$29,0))),""),""))</f>
        <v/>
      </c>
      <c r="AC4735" s="19" t="str">
        <f>IF($B4735="","",IFERROR(INDEX(Config!$D$9:$D$29,MATCH($B4735,Config!$B$9:$B$29,0))&amp;"",""))</f>
        <v/>
      </c>
    </row>
    <row r="4736">
      <c r="R4736" s="20" t="str">
        <f>IF($B4736="","",IFERROR(IF(INDEX(Config!$D$9:$D$29,MATCH($B4736,Config!$B$9:$B$29,0))="Contrato",IF(INDEX(Config!$E$9:$E$29,MATCH($B4736,Config!$B$9:$B$29,0))="","",INDEX(Config!$E$9:$E$29,MATCH($B4736,Config!$B$9:$B$29,0))),""),""))</f>
        <v/>
      </c>
      <c r="AC4736" s="19" t="str">
        <f>IF($B4736="","",IFERROR(INDEX(Config!$D$9:$D$29,MATCH($B4736,Config!$B$9:$B$29,0))&amp;"",""))</f>
        <v/>
      </c>
    </row>
    <row r="4737">
      <c r="R4737" s="20" t="str">
        <f>IF($B4737="","",IFERROR(IF(INDEX(Config!$D$9:$D$29,MATCH($B4737,Config!$B$9:$B$29,0))="Contrato",IF(INDEX(Config!$E$9:$E$29,MATCH($B4737,Config!$B$9:$B$29,0))="","",INDEX(Config!$E$9:$E$29,MATCH($B4737,Config!$B$9:$B$29,0))),""),""))</f>
        <v/>
      </c>
      <c r="AC4737" s="19" t="str">
        <f>IF($B4737="","",IFERROR(INDEX(Config!$D$9:$D$29,MATCH($B4737,Config!$B$9:$B$29,0))&amp;"",""))</f>
        <v/>
      </c>
    </row>
    <row r="4738">
      <c r="R4738" s="20" t="str">
        <f>IF($B4738="","",IFERROR(IF(INDEX(Config!$D$9:$D$29,MATCH($B4738,Config!$B$9:$B$29,0))="Contrato",IF(INDEX(Config!$E$9:$E$29,MATCH($B4738,Config!$B$9:$B$29,0))="","",INDEX(Config!$E$9:$E$29,MATCH($B4738,Config!$B$9:$B$29,0))),""),""))</f>
        <v/>
      </c>
      <c r="AC4738" s="19" t="str">
        <f>IF($B4738="","",IFERROR(INDEX(Config!$D$9:$D$29,MATCH($B4738,Config!$B$9:$B$29,0))&amp;"",""))</f>
        <v/>
      </c>
    </row>
    <row r="4739">
      <c r="R4739" s="20" t="str">
        <f>IF($B4739="","",IFERROR(IF(INDEX(Config!$D$9:$D$29,MATCH($B4739,Config!$B$9:$B$29,0))="Contrato",IF(INDEX(Config!$E$9:$E$29,MATCH($B4739,Config!$B$9:$B$29,0))="","",INDEX(Config!$E$9:$E$29,MATCH($B4739,Config!$B$9:$B$29,0))),""),""))</f>
        <v/>
      </c>
      <c r="AC4739" s="19" t="str">
        <f>IF($B4739="","",IFERROR(INDEX(Config!$D$9:$D$29,MATCH($B4739,Config!$B$9:$B$29,0))&amp;"",""))</f>
        <v/>
      </c>
    </row>
    <row r="4740">
      <c r="R4740" s="20" t="str">
        <f>IF($B4740="","",IFERROR(IF(INDEX(Config!$D$9:$D$29,MATCH($B4740,Config!$B$9:$B$29,0))="Contrato",IF(INDEX(Config!$E$9:$E$29,MATCH($B4740,Config!$B$9:$B$29,0))="","",INDEX(Config!$E$9:$E$29,MATCH($B4740,Config!$B$9:$B$29,0))),""),""))</f>
        <v/>
      </c>
      <c r="AC4740" s="19" t="str">
        <f>IF($B4740="","",IFERROR(INDEX(Config!$D$9:$D$29,MATCH($B4740,Config!$B$9:$B$29,0))&amp;"",""))</f>
        <v/>
      </c>
    </row>
    <row r="4741">
      <c r="R4741" s="20" t="str">
        <f>IF($B4741="","",IFERROR(IF(INDEX(Config!$D$9:$D$29,MATCH($B4741,Config!$B$9:$B$29,0))="Contrato",IF(INDEX(Config!$E$9:$E$29,MATCH($B4741,Config!$B$9:$B$29,0))="","",INDEX(Config!$E$9:$E$29,MATCH($B4741,Config!$B$9:$B$29,0))),""),""))</f>
        <v/>
      </c>
      <c r="AC4741" s="19" t="str">
        <f>IF($B4741="","",IFERROR(INDEX(Config!$D$9:$D$29,MATCH($B4741,Config!$B$9:$B$29,0))&amp;"",""))</f>
        <v/>
      </c>
    </row>
    <row r="4742">
      <c r="R4742" s="20" t="str">
        <f>IF($B4742="","",IFERROR(IF(INDEX(Config!$D$9:$D$29,MATCH($B4742,Config!$B$9:$B$29,0))="Contrato",IF(INDEX(Config!$E$9:$E$29,MATCH($B4742,Config!$B$9:$B$29,0))="","",INDEX(Config!$E$9:$E$29,MATCH($B4742,Config!$B$9:$B$29,0))),""),""))</f>
        <v/>
      </c>
      <c r="AC4742" s="19" t="str">
        <f>IF($B4742="","",IFERROR(INDEX(Config!$D$9:$D$29,MATCH($B4742,Config!$B$9:$B$29,0))&amp;"",""))</f>
        <v/>
      </c>
    </row>
    <row r="4743">
      <c r="R4743" s="20" t="str">
        <f>IF($B4743="","",IFERROR(IF(INDEX(Config!$D$9:$D$29,MATCH($B4743,Config!$B$9:$B$29,0))="Contrato",IF(INDEX(Config!$E$9:$E$29,MATCH($B4743,Config!$B$9:$B$29,0))="","",INDEX(Config!$E$9:$E$29,MATCH($B4743,Config!$B$9:$B$29,0))),""),""))</f>
        <v/>
      </c>
      <c r="AC4743" s="19" t="str">
        <f>IF($B4743="","",IFERROR(INDEX(Config!$D$9:$D$29,MATCH($B4743,Config!$B$9:$B$29,0))&amp;"",""))</f>
        <v/>
      </c>
    </row>
    <row r="4744">
      <c r="R4744" s="20" t="str">
        <f>IF($B4744="","",IFERROR(IF(INDEX(Config!$D$9:$D$29,MATCH($B4744,Config!$B$9:$B$29,0))="Contrato",IF(INDEX(Config!$E$9:$E$29,MATCH($B4744,Config!$B$9:$B$29,0))="","",INDEX(Config!$E$9:$E$29,MATCH($B4744,Config!$B$9:$B$29,0))),""),""))</f>
        <v/>
      </c>
      <c r="AC4744" s="19" t="str">
        <f>IF($B4744="","",IFERROR(INDEX(Config!$D$9:$D$29,MATCH($B4744,Config!$B$9:$B$29,0))&amp;"",""))</f>
        <v/>
      </c>
    </row>
    <row r="4745">
      <c r="R4745" s="20" t="str">
        <f>IF($B4745="","",IFERROR(IF(INDEX(Config!$D$9:$D$29,MATCH($B4745,Config!$B$9:$B$29,0))="Contrato",IF(INDEX(Config!$E$9:$E$29,MATCH($B4745,Config!$B$9:$B$29,0))="","",INDEX(Config!$E$9:$E$29,MATCH($B4745,Config!$B$9:$B$29,0))),""),""))</f>
        <v/>
      </c>
      <c r="AC4745" s="19" t="str">
        <f>IF($B4745="","",IFERROR(INDEX(Config!$D$9:$D$29,MATCH($B4745,Config!$B$9:$B$29,0))&amp;"",""))</f>
        <v/>
      </c>
    </row>
    <row r="4746">
      <c r="R4746" s="20" t="str">
        <f>IF($B4746="","",IFERROR(IF(INDEX(Config!$D$9:$D$29,MATCH($B4746,Config!$B$9:$B$29,0))="Contrato",IF(INDEX(Config!$E$9:$E$29,MATCH($B4746,Config!$B$9:$B$29,0))="","",INDEX(Config!$E$9:$E$29,MATCH($B4746,Config!$B$9:$B$29,0))),""),""))</f>
        <v/>
      </c>
      <c r="AC4746" s="19" t="str">
        <f>IF($B4746="","",IFERROR(INDEX(Config!$D$9:$D$29,MATCH($B4746,Config!$B$9:$B$29,0))&amp;"",""))</f>
        <v/>
      </c>
    </row>
    <row r="4747">
      <c r="R4747" s="20" t="str">
        <f>IF($B4747="","",IFERROR(IF(INDEX(Config!$D$9:$D$29,MATCH($B4747,Config!$B$9:$B$29,0))="Contrato",IF(INDEX(Config!$E$9:$E$29,MATCH($B4747,Config!$B$9:$B$29,0))="","",INDEX(Config!$E$9:$E$29,MATCH($B4747,Config!$B$9:$B$29,0))),""),""))</f>
        <v/>
      </c>
      <c r="AC4747" s="19" t="str">
        <f>IF($B4747="","",IFERROR(INDEX(Config!$D$9:$D$29,MATCH($B4747,Config!$B$9:$B$29,0))&amp;"",""))</f>
        <v/>
      </c>
    </row>
    <row r="4748">
      <c r="R4748" s="20" t="str">
        <f>IF($B4748="","",IFERROR(IF(INDEX(Config!$D$9:$D$29,MATCH($B4748,Config!$B$9:$B$29,0))="Contrato",IF(INDEX(Config!$E$9:$E$29,MATCH($B4748,Config!$B$9:$B$29,0))="","",INDEX(Config!$E$9:$E$29,MATCH($B4748,Config!$B$9:$B$29,0))),""),""))</f>
        <v/>
      </c>
      <c r="AC4748" s="19" t="str">
        <f>IF($B4748="","",IFERROR(INDEX(Config!$D$9:$D$29,MATCH($B4748,Config!$B$9:$B$29,0))&amp;"",""))</f>
        <v/>
      </c>
    </row>
    <row r="4749">
      <c r="R4749" s="20" t="str">
        <f>IF($B4749="","",IFERROR(IF(INDEX(Config!$D$9:$D$29,MATCH($B4749,Config!$B$9:$B$29,0))="Contrato",IF(INDEX(Config!$E$9:$E$29,MATCH($B4749,Config!$B$9:$B$29,0))="","",INDEX(Config!$E$9:$E$29,MATCH($B4749,Config!$B$9:$B$29,0))),""),""))</f>
        <v/>
      </c>
      <c r="AC4749" s="19" t="str">
        <f>IF($B4749="","",IFERROR(INDEX(Config!$D$9:$D$29,MATCH($B4749,Config!$B$9:$B$29,0))&amp;"",""))</f>
        <v/>
      </c>
    </row>
    <row r="4750">
      <c r="R4750" s="20" t="str">
        <f>IF($B4750="","",IFERROR(IF(INDEX(Config!$D$9:$D$29,MATCH($B4750,Config!$B$9:$B$29,0))="Contrato",IF(INDEX(Config!$E$9:$E$29,MATCH($B4750,Config!$B$9:$B$29,0))="","",INDEX(Config!$E$9:$E$29,MATCH($B4750,Config!$B$9:$B$29,0))),""),""))</f>
        <v/>
      </c>
      <c r="AC4750" s="19" t="str">
        <f>IF($B4750="","",IFERROR(INDEX(Config!$D$9:$D$29,MATCH($B4750,Config!$B$9:$B$29,0))&amp;"",""))</f>
        <v/>
      </c>
    </row>
    <row r="4751">
      <c r="R4751" s="20" t="str">
        <f>IF($B4751="","",IFERROR(IF(INDEX(Config!$D$9:$D$29,MATCH($B4751,Config!$B$9:$B$29,0))="Contrato",IF(INDEX(Config!$E$9:$E$29,MATCH($B4751,Config!$B$9:$B$29,0))="","",INDEX(Config!$E$9:$E$29,MATCH($B4751,Config!$B$9:$B$29,0))),""),""))</f>
        <v/>
      </c>
      <c r="AC4751" s="19" t="str">
        <f>IF($B4751="","",IFERROR(INDEX(Config!$D$9:$D$29,MATCH($B4751,Config!$B$9:$B$29,0))&amp;"",""))</f>
        <v/>
      </c>
    </row>
    <row r="4752">
      <c r="R4752" s="20" t="str">
        <f>IF($B4752="","",IFERROR(IF(INDEX(Config!$D$9:$D$29,MATCH($B4752,Config!$B$9:$B$29,0))="Contrato",IF(INDEX(Config!$E$9:$E$29,MATCH($B4752,Config!$B$9:$B$29,0))="","",INDEX(Config!$E$9:$E$29,MATCH($B4752,Config!$B$9:$B$29,0))),""),""))</f>
        <v/>
      </c>
      <c r="AC4752" s="19" t="str">
        <f>IF($B4752="","",IFERROR(INDEX(Config!$D$9:$D$29,MATCH($B4752,Config!$B$9:$B$29,0))&amp;"",""))</f>
        <v/>
      </c>
    </row>
    <row r="4753">
      <c r="R4753" s="20" t="str">
        <f>IF($B4753="","",IFERROR(IF(INDEX(Config!$D$9:$D$29,MATCH($B4753,Config!$B$9:$B$29,0))="Contrato",IF(INDEX(Config!$E$9:$E$29,MATCH($B4753,Config!$B$9:$B$29,0))="","",INDEX(Config!$E$9:$E$29,MATCH($B4753,Config!$B$9:$B$29,0))),""),""))</f>
        <v/>
      </c>
      <c r="AC4753" s="19" t="str">
        <f>IF($B4753="","",IFERROR(INDEX(Config!$D$9:$D$29,MATCH($B4753,Config!$B$9:$B$29,0))&amp;"",""))</f>
        <v/>
      </c>
    </row>
    <row r="4754">
      <c r="R4754" s="20" t="str">
        <f>IF($B4754="","",IFERROR(IF(INDEX(Config!$D$9:$D$29,MATCH($B4754,Config!$B$9:$B$29,0))="Contrato",IF(INDEX(Config!$E$9:$E$29,MATCH($B4754,Config!$B$9:$B$29,0))="","",INDEX(Config!$E$9:$E$29,MATCH($B4754,Config!$B$9:$B$29,0))),""),""))</f>
        <v/>
      </c>
      <c r="AC4754" s="19" t="str">
        <f>IF($B4754="","",IFERROR(INDEX(Config!$D$9:$D$29,MATCH($B4754,Config!$B$9:$B$29,0))&amp;"",""))</f>
        <v/>
      </c>
    </row>
    <row r="4755">
      <c r="R4755" s="20" t="str">
        <f>IF($B4755="","",IFERROR(IF(INDEX(Config!$D$9:$D$29,MATCH($B4755,Config!$B$9:$B$29,0))="Contrato",IF(INDEX(Config!$E$9:$E$29,MATCH($B4755,Config!$B$9:$B$29,0))="","",INDEX(Config!$E$9:$E$29,MATCH($B4755,Config!$B$9:$B$29,0))),""),""))</f>
        <v/>
      </c>
      <c r="AC4755" s="19" t="str">
        <f>IF($B4755="","",IFERROR(INDEX(Config!$D$9:$D$29,MATCH($B4755,Config!$B$9:$B$29,0))&amp;"",""))</f>
        <v/>
      </c>
    </row>
    <row r="4756">
      <c r="R4756" s="20" t="str">
        <f>IF($B4756="","",IFERROR(IF(INDEX(Config!$D$9:$D$29,MATCH($B4756,Config!$B$9:$B$29,0))="Contrato",IF(INDEX(Config!$E$9:$E$29,MATCH($B4756,Config!$B$9:$B$29,0))="","",INDEX(Config!$E$9:$E$29,MATCH($B4756,Config!$B$9:$B$29,0))),""),""))</f>
        <v/>
      </c>
      <c r="AC4756" s="19" t="str">
        <f>IF($B4756="","",IFERROR(INDEX(Config!$D$9:$D$29,MATCH($B4756,Config!$B$9:$B$29,0))&amp;"",""))</f>
        <v/>
      </c>
    </row>
    <row r="4757">
      <c r="R4757" s="20" t="str">
        <f>IF($B4757="","",IFERROR(IF(INDEX(Config!$D$9:$D$29,MATCH($B4757,Config!$B$9:$B$29,0))="Contrato",IF(INDEX(Config!$E$9:$E$29,MATCH($B4757,Config!$B$9:$B$29,0))="","",INDEX(Config!$E$9:$E$29,MATCH($B4757,Config!$B$9:$B$29,0))),""),""))</f>
        <v/>
      </c>
      <c r="AC4757" s="19" t="str">
        <f>IF($B4757="","",IFERROR(INDEX(Config!$D$9:$D$29,MATCH($B4757,Config!$B$9:$B$29,0))&amp;"",""))</f>
        <v/>
      </c>
    </row>
    <row r="4758">
      <c r="R4758" s="20" t="str">
        <f>IF($B4758="","",IFERROR(IF(INDEX(Config!$D$9:$D$29,MATCH($B4758,Config!$B$9:$B$29,0))="Contrato",IF(INDEX(Config!$E$9:$E$29,MATCH($B4758,Config!$B$9:$B$29,0))="","",INDEX(Config!$E$9:$E$29,MATCH($B4758,Config!$B$9:$B$29,0))),""),""))</f>
        <v/>
      </c>
      <c r="AC4758" s="19" t="str">
        <f>IF($B4758="","",IFERROR(INDEX(Config!$D$9:$D$29,MATCH($B4758,Config!$B$9:$B$29,0))&amp;"",""))</f>
        <v/>
      </c>
    </row>
    <row r="4759">
      <c r="R4759" s="20" t="str">
        <f>IF($B4759="","",IFERROR(IF(INDEX(Config!$D$9:$D$29,MATCH($B4759,Config!$B$9:$B$29,0))="Contrato",IF(INDEX(Config!$E$9:$E$29,MATCH($B4759,Config!$B$9:$B$29,0))="","",INDEX(Config!$E$9:$E$29,MATCH($B4759,Config!$B$9:$B$29,0))),""),""))</f>
        <v/>
      </c>
      <c r="AC4759" s="19" t="str">
        <f>IF($B4759="","",IFERROR(INDEX(Config!$D$9:$D$29,MATCH($B4759,Config!$B$9:$B$29,0))&amp;"",""))</f>
        <v/>
      </c>
    </row>
    <row r="4760">
      <c r="R4760" s="20" t="str">
        <f>IF($B4760="","",IFERROR(IF(INDEX(Config!$D$9:$D$29,MATCH($B4760,Config!$B$9:$B$29,0))="Contrato",IF(INDEX(Config!$E$9:$E$29,MATCH($B4760,Config!$B$9:$B$29,0))="","",INDEX(Config!$E$9:$E$29,MATCH($B4760,Config!$B$9:$B$29,0))),""),""))</f>
        <v/>
      </c>
      <c r="AC4760" s="19" t="str">
        <f>IF($B4760="","",IFERROR(INDEX(Config!$D$9:$D$29,MATCH($B4760,Config!$B$9:$B$29,0))&amp;"",""))</f>
        <v/>
      </c>
    </row>
    <row r="4761">
      <c r="R4761" s="20" t="str">
        <f>IF($B4761="","",IFERROR(IF(INDEX(Config!$D$9:$D$29,MATCH($B4761,Config!$B$9:$B$29,0))="Contrato",IF(INDEX(Config!$E$9:$E$29,MATCH($B4761,Config!$B$9:$B$29,0))="","",INDEX(Config!$E$9:$E$29,MATCH($B4761,Config!$B$9:$B$29,0))),""),""))</f>
        <v/>
      </c>
      <c r="AC4761" s="19" t="str">
        <f>IF($B4761="","",IFERROR(INDEX(Config!$D$9:$D$29,MATCH($B4761,Config!$B$9:$B$29,0))&amp;"",""))</f>
        <v/>
      </c>
    </row>
    <row r="4762">
      <c r="R4762" s="20" t="str">
        <f>IF($B4762="","",IFERROR(IF(INDEX(Config!$D$9:$D$29,MATCH($B4762,Config!$B$9:$B$29,0))="Contrato",IF(INDEX(Config!$E$9:$E$29,MATCH($B4762,Config!$B$9:$B$29,0))="","",INDEX(Config!$E$9:$E$29,MATCH($B4762,Config!$B$9:$B$29,0))),""),""))</f>
        <v/>
      </c>
      <c r="AC4762" s="19" t="str">
        <f>IF($B4762="","",IFERROR(INDEX(Config!$D$9:$D$29,MATCH($B4762,Config!$B$9:$B$29,0))&amp;"",""))</f>
        <v/>
      </c>
    </row>
    <row r="4763">
      <c r="R4763" s="20" t="str">
        <f>IF($B4763="","",IFERROR(IF(INDEX(Config!$D$9:$D$29,MATCH($B4763,Config!$B$9:$B$29,0))="Contrato",IF(INDEX(Config!$E$9:$E$29,MATCH($B4763,Config!$B$9:$B$29,0))="","",INDEX(Config!$E$9:$E$29,MATCH($B4763,Config!$B$9:$B$29,0))),""),""))</f>
        <v/>
      </c>
      <c r="AC4763" s="19" t="str">
        <f>IF($B4763="","",IFERROR(INDEX(Config!$D$9:$D$29,MATCH($B4763,Config!$B$9:$B$29,0))&amp;"",""))</f>
        <v/>
      </c>
    </row>
    <row r="4764">
      <c r="R4764" s="20" t="str">
        <f>IF($B4764="","",IFERROR(IF(INDEX(Config!$D$9:$D$29,MATCH($B4764,Config!$B$9:$B$29,0))="Contrato",IF(INDEX(Config!$E$9:$E$29,MATCH($B4764,Config!$B$9:$B$29,0))="","",INDEX(Config!$E$9:$E$29,MATCH($B4764,Config!$B$9:$B$29,0))),""),""))</f>
        <v/>
      </c>
      <c r="AC4764" s="19" t="str">
        <f>IF($B4764="","",IFERROR(INDEX(Config!$D$9:$D$29,MATCH($B4764,Config!$B$9:$B$29,0))&amp;"",""))</f>
        <v/>
      </c>
    </row>
    <row r="4765">
      <c r="R4765" s="20" t="str">
        <f>IF($B4765="","",IFERROR(IF(INDEX(Config!$D$9:$D$29,MATCH($B4765,Config!$B$9:$B$29,0))="Contrato",IF(INDEX(Config!$E$9:$E$29,MATCH($B4765,Config!$B$9:$B$29,0))="","",INDEX(Config!$E$9:$E$29,MATCH($B4765,Config!$B$9:$B$29,0))),""),""))</f>
        <v/>
      </c>
      <c r="AC4765" s="19" t="str">
        <f>IF($B4765="","",IFERROR(INDEX(Config!$D$9:$D$29,MATCH($B4765,Config!$B$9:$B$29,0))&amp;"",""))</f>
        <v/>
      </c>
    </row>
    <row r="4766">
      <c r="R4766" s="20" t="str">
        <f>IF($B4766="","",IFERROR(IF(INDEX(Config!$D$9:$D$29,MATCH($B4766,Config!$B$9:$B$29,0))="Contrato",IF(INDEX(Config!$E$9:$E$29,MATCH($B4766,Config!$B$9:$B$29,0))="","",INDEX(Config!$E$9:$E$29,MATCH($B4766,Config!$B$9:$B$29,0))),""),""))</f>
        <v/>
      </c>
      <c r="AC4766" s="19" t="str">
        <f>IF($B4766="","",IFERROR(INDEX(Config!$D$9:$D$29,MATCH($B4766,Config!$B$9:$B$29,0))&amp;"",""))</f>
        <v/>
      </c>
    </row>
    <row r="4767">
      <c r="R4767" s="20" t="str">
        <f>IF($B4767="","",IFERROR(IF(INDEX(Config!$D$9:$D$29,MATCH($B4767,Config!$B$9:$B$29,0))="Contrato",IF(INDEX(Config!$E$9:$E$29,MATCH($B4767,Config!$B$9:$B$29,0))="","",INDEX(Config!$E$9:$E$29,MATCH($B4767,Config!$B$9:$B$29,0))),""),""))</f>
        <v/>
      </c>
      <c r="AC4767" s="19" t="str">
        <f>IF($B4767="","",IFERROR(INDEX(Config!$D$9:$D$29,MATCH($B4767,Config!$B$9:$B$29,0))&amp;"",""))</f>
        <v/>
      </c>
    </row>
    <row r="4768">
      <c r="R4768" s="20" t="str">
        <f>IF($B4768="","",IFERROR(IF(INDEX(Config!$D$9:$D$29,MATCH($B4768,Config!$B$9:$B$29,0))="Contrato",IF(INDEX(Config!$E$9:$E$29,MATCH($B4768,Config!$B$9:$B$29,0))="","",INDEX(Config!$E$9:$E$29,MATCH($B4768,Config!$B$9:$B$29,0))),""),""))</f>
        <v/>
      </c>
      <c r="AC4768" s="19" t="str">
        <f>IF($B4768="","",IFERROR(INDEX(Config!$D$9:$D$29,MATCH($B4768,Config!$B$9:$B$29,0))&amp;"",""))</f>
        <v/>
      </c>
    </row>
    <row r="4769">
      <c r="R4769" s="20" t="str">
        <f>IF($B4769="","",IFERROR(IF(INDEX(Config!$D$9:$D$29,MATCH($B4769,Config!$B$9:$B$29,0))="Contrato",IF(INDEX(Config!$E$9:$E$29,MATCH($B4769,Config!$B$9:$B$29,0))="","",INDEX(Config!$E$9:$E$29,MATCH($B4769,Config!$B$9:$B$29,0))),""),""))</f>
        <v/>
      </c>
      <c r="AC4769" s="19" t="str">
        <f>IF($B4769="","",IFERROR(INDEX(Config!$D$9:$D$29,MATCH($B4769,Config!$B$9:$B$29,0))&amp;"",""))</f>
        <v/>
      </c>
    </row>
    <row r="4770">
      <c r="R4770" s="20" t="str">
        <f>IF($B4770="","",IFERROR(IF(INDEX(Config!$D$9:$D$29,MATCH($B4770,Config!$B$9:$B$29,0))="Contrato",IF(INDEX(Config!$E$9:$E$29,MATCH($B4770,Config!$B$9:$B$29,0))="","",INDEX(Config!$E$9:$E$29,MATCH($B4770,Config!$B$9:$B$29,0))),""),""))</f>
        <v/>
      </c>
      <c r="AC4770" s="19" t="str">
        <f>IF($B4770="","",IFERROR(INDEX(Config!$D$9:$D$29,MATCH($B4770,Config!$B$9:$B$29,0))&amp;"",""))</f>
        <v/>
      </c>
    </row>
    <row r="4771">
      <c r="R4771" s="20" t="str">
        <f>IF($B4771="","",IFERROR(IF(INDEX(Config!$D$9:$D$29,MATCH($B4771,Config!$B$9:$B$29,0))="Contrato",IF(INDEX(Config!$E$9:$E$29,MATCH($B4771,Config!$B$9:$B$29,0))="","",INDEX(Config!$E$9:$E$29,MATCH($B4771,Config!$B$9:$B$29,0))),""),""))</f>
        <v/>
      </c>
      <c r="AC4771" s="19" t="str">
        <f>IF($B4771="","",IFERROR(INDEX(Config!$D$9:$D$29,MATCH($B4771,Config!$B$9:$B$29,0))&amp;"",""))</f>
        <v/>
      </c>
    </row>
    <row r="4772">
      <c r="R4772" s="20" t="str">
        <f>IF($B4772="","",IFERROR(IF(INDEX(Config!$D$9:$D$29,MATCH($B4772,Config!$B$9:$B$29,0))="Contrato",IF(INDEX(Config!$E$9:$E$29,MATCH($B4772,Config!$B$9:$B$29,0))="","",INDEX(Config!$E$9:$E$29,MATCH($B4772,Config!$B$9:$B$29,0))),""),""))</f>
        <v/>
      </c>
      <c r="AC4772" s="19" t="str">
        <f>IF($B4772="","",IFERROR(INDEX(Config!$D$9:$D$29,MATCH($B4772,Config!$B$9:$B$29,0))&amp;"",""))</f>
        <v/>
      </c>
    </row>
    <row r="4773">
      <c r="R4773" s="20" t="str">
        <f>IF($B4773="","",IFERROR(IF(INDEX(Config!$D$9:$D$29,MATCH($B4773,Config!$B$9:$B$29,0))="Contrato",IF(INDEX(Config!$E$9:$E$29,MATCH($B4773,Config!$B$9:$B$29,0))="","",INDEX(Config!$E$9:$E$29,MATCH($B4773,Config!$B$9:$B$29,0))),""),""))</f>
        <v/>
      </c>
      <c r="AC4773" s="19" t="str">
        <f>IF($B4773="","",IFERROR(INDEX(Config!$D$9:$D$29,MATCH($B4773,Config!$B$9:$B$29,0))&amp;"",""))</f>
        <v/>
      </c>
    </row>
    <row r="4774">
      <c r="R4774" s="20" t="str">
        <f>IF($B4774="","",IFERROR(IF(INDEX(Config!$D$9:$D$29,MATCH($B4774,Config!$B$9:$B$29,0))="Contrato",IF(INDEX(Config!$E$9:$E$29,MATCH($B4774,Config!$B$9:$B$29,0))="","",INDEX(Config!$E$9:$E$29,MATCH($B4774,Config!$B$9:$B$29,0))),""),""))</f>
        <v/>
      </c>
      <c r="AC4774" s="19" t="str">
        <f>IF($B4774="","",IFERROR(INDEX(Config!$D$9:$D$29,MATCH($B4774,Config!$B$9:$B$29,0))&amp;"",""))</f>
        <v/>
      </c>
    </row>
    <row r="4775">
      <c r="R4775" s="20" t="str">
        <f>IF($B4775="","",IFERROR(IF(INDEX(Config!$D$9:$D$29,MATCH($B4775,Config!$B$9:$B$29,0))="Contrato",IF(INDEX(Config!$E$9:$E$29,MATCH($B4775,Config!$B$9:$B$29,0))="","",INDEX(Config!$E$9:$E$29,MATCH($B4775,Config!$B$9:$B$29,0))),""),""))</f>
        <v/>
      </c>
      <c r="AC4775" s="19" t="str">
        <f>IF($B4775="","",IFERROR(INDEX(Config!$D$9:$D$29,MATCH($B4775,Config!$B$9:$B$29,0))&amp;"",""))</f>
        <v/>
      </c>
    </row>
    <row r="4776">
      <c r="R4776" s="20" t="str">
        <f>IF($B4776="","",IFERROR(IF(INDEX(Config!$D$9:$D$29,MATCH($B4776,Config!$B$9:$B$29,0))="Contrato",IF(INDEX(Config!$E$9:$E$29,MATCH($B4776,Config!$B$9:$B$29,0))="","",INDEX(Config!$E$9:$E$29,MATCH($B4776,Config!$B$9:$B$29,0))),""),""))</f>
        <v/>
      </c>
      <c r="AC4776" s="19" t="str">
        <f>IF($B4776="","",IFERROR(INDEX(Config!$D$9:$D$29,MATCH($B4776,Config!$B$9:$B$29,0))&amp;"",""))</f>
        <v/>
      </c>
    </row>
    <row r="4777">
      <c r="R4777" s="20" t="str">
        <f>IF($B4777="","",IFERROR(IF(INDEX(Config!$D$9:$D$29,MATCH($B4777,Config!$B$9:$B$29,0))="Contrato",IF(INDEX(Config!$E$9:$E$29,MATCH($B4777,Config!$B$9:$B$29,0))="","",INDEX(Config!$E$9:$E$29,MATCH($B4777,Config!$B$9:$B$29,0))),""),""))</f>
        <v/>
      </c>
      <c r="AC4777" s="19" t="str">
        <f>IF($B4777="","",IFERROR(INDEX(Config!$D$9:$D$29,MATCH($B4777,Config!$B$9:$B$29,0))&amp;"",""))</f>
        <v/>
      </c>
    </row>
    <row r="4778">
      <c r="R4778" s="20" t="str">
        <f>IF($B4778="","",IFERROR(IF(INDEX(Config!$D$9:$D$29,MATCH($B4778,Config!$B$9:$B$29,0))="Contrato",IF(INDEX(Config!$E$9:$E$29,MATCH($B4778,Config!$B$9:$B$29,0))="","",INDEX(Config!$E$9:$E$29,MATCH($B4778,Config!$B$9:$B$29,0))),""),""))</f>
        <v/>
      </c>
      <c r="AC4778" s="19" t="str">
        <f>IF($B4778="","",IFERROR(INDEX(Config!$D$9:$D$29,MATCH($B4778,Config!$B$9:$B$29,0))&amp;"",""))</f>
        <v/>
      </c>
    </row>
    <row r="4779">
      <c r="R4779" s="20" t="str">
        <f>IF($B4779="","",IFERROR(IF(INDEX(Config!$D$9:$D$29,MATCH($B4779,Config!$B$9:$B$29,0))="Contrato",IF(INDEX(Config!$E$9:$E$29,MATCH($B4779,Config!$B$9:$B$29,0))="","",INDEX(Config!$E$9:$E$29,MATCH($B4779,Config!$B$9:$B$29,0))),""),""))</f>
        <v/>
      </c>
      <c r="AC4779" s="19" t="str">
        <f>IF($B4779="","",IFERROR(INDEX(Config!$D$9:$D$29,MATCH($B4779,Config!$B$9:$B$29,0))&amp;"",""))</f>
        <v/>
      </c>
    </row>
    <row r="4780">
      <c r="R4780" s="20" t="str">
        <f>IF($B4780="","",IFERROR(IF(INDEX(Config!$D$9:$D$29,MATCH($B4780,Config!$B$9:$B$29,0))="Contrato",IF(INDEX(Config!$E$9:$E$29,MATCH($B4780,Config!$B$9:$B$29,0))="","",INDEX(Config!$E$9:$E$29,MATCH($B4780,Config!$B$9:$B$29,0))),""),""))</f>
        <v/>
      </c>
      <c r="AC4780" s="19" t="str">
        <f>IF($B4780="","",IFERROR(INDEX(Config!$D$9:$D$29,MATCH($B4780,Config!$B$9:$B$29,0))&amp;"",""))</f>
        <v/>
      </c>
    </row>
    <row r="4781">
      <c r="R4781" s="20" t="str">
        <f>IF($B4781="","",IFERROR(IF(INDEX(Config!$D$9:$D$29,MATCH($B4781,Config!$B$9:$B$29,0))="Contrato",IF(INDEX(Config!$E$9:$E$29,MATCH($B4781,Config!$B$9:$B$29,0))="","",INDEX(Config!$E$9:$E$29,MATCH($B4781,Config!$B$9:$B$29,0))),""),""))</f>
        <v/>
      </c>
      <c r="AC4781" s="19" t="str">
        <f>IF($B4781="","",IFERROR(INDEX(Config!$D$9:$D$29,MATCH($B4781,Config!$B$9:$B$29,0))&amp;"",""))</f>
        <v/>
      </c>
    </row>
    <row r="4782">
      <c r="R4782" s="20" t="str">
        <f>IF($B4782="","",IFERROR(IF(INDEX(Config!$D$9:$D$29,MATCH($B4782,Config!$B$9:$B$29,0))="Contrato",IF(INDEX(Config!$E$9:$E$29,MATCH($B4782,Config!$B$9:$B$29,0))="","",INDEX(Config!$E$9:$E$29,MATCH($B4782,Config!$B$9:$B$29,0))),""),""))</f>
        <v/>
      </c>
      <c r="AC4782" s="19" t="str">
        <f>IF($B4782="","",IFERROR(INDEX(Config!$D$9:$D$29,MATCH($B4782,Config!$B$9:$B$29,0))&amp;"",""))</f>
        <v/>
      </c>
    </row>
    <row r="4783">
      <c r="R4783" s="20" t="str">
        <f>IF($B4783="","",IFERROR(IF(INDEX(Config!$D$9:$D$29,MATCH($B4783,Config!$B$9:$B$29,0))="Contrato",IF(INDEX(Config!$E$9:$E$29,MATCH($B4783,Config!$B$9:$B$29,0))="","",INDEX(Config!$E$9:$E$29,MATCH($B4783,Config!$B$9:$B$29,0))),""),""))</f>
        <v/>
      </c>
      <c r="AC4783" s="19" t="str">
        <f>IF($B4783="","",IFERROR(INDEX(Config!$D$9:$D$29,MATCH($B4783,Config!$B$9:$B$29,0))&amp;"",""))</f>
        <v/>
      </c>
    </row>
    <row r="4784">
      <c r="R4784" s="20" t="str">
        <f>IF($B4784="","",IFERROR(IF(INDEX(Config!$D$9:$D$29,MATCH($B4784,Config!$B$9:$B$29,0))="Contrato",IF(INDEX(Config!$E$9:$E$29,MATCH($B4784,Config!$B$9:$B$29,0))="","",INDEX(Config!$E$9:$E$29,MATCH($B4784,Config!$B$9:$B$29,0))),""),""))</f>
        <v/>
      </c>
      <c r="AC4784" s="19" t="str">
        <f>IF($B4784="","",IFERROR(INDEX(Config!$D$9:$D$29,MATCH($B4784,Config!$B$9:$B$29,0))&amp;"",""))</f>
        <v/>
      </c>
    </row>
    <row r="4785">
      <c r="R4785" s="20" t="str">
        <f>IF($B4785="","",IFERROR(IF(INDEX(Config!$D$9:$D$29,MATCH($B4785,Config!$B$9:$B$29,0))="Contrato",IF(INDEX(Config!$E$9:$E$29,MATCH($B4785,Config!$B$9:$B$29,0))="","",INDEX(Config!$E$9:$E$29,MATCH($B4785,Config!$B$9:$B$29,0))),""),""))</f>
        <v/>
      </c>
      <c r="AC4785" s="19" t="str">
        <f>IF($B4785="","",IFERROR(INDEX(Config!$D$9:$D$29,MATCH($B4785,Config!$B$9:$B$29,0))&amp;"",""))</f>
        <v/>
      </c>
    </row>
    <row r="4786">
      <c r="R4786" s="20" t="str">
        <f>IF($B4786="","",IFERROR(IF(INDEX(Config!$D$9:$D$29,MATCH($B4786,Config!$B$9:$B$29,0))="Contrato",IF(INDEX(Config!$E$9:$E$29,MATCH($B4786,Config!$B$9:$B$29,0))="","",INDEX(Config!$E$9:$E$29,MATCH($B4786,Config!$B$9:$B$29,0))),""),""))</f>
        <v/>
      </c>
      <c r="AC4786" s="19" t="str">
        <f>IF($B4786="","",IFERROR(INDEX(Config!$D$9:$D$29,MATCH($B4786,Config!$B$9:$B$29,0))&amp;"",""))</f>
        <v/>
      </c>
    </row>
    <row r="4787">
      <c r="R4787" s="20" t="str">
        <f>IF($B4787="","",IFERROR(IF(INDEX(Config!$D$9:$D$29,MATCH($B4787,Config!$B$9:$B$29,0))="Contrato",IF(INDEX(Config!$E$9:$E$29,MATCH($B4787,Config!$B$9:$B$29,0))="","",INDEX(Config!$E$9:$E$29,MATCH($B4787,Config!$B$9:$B$29,0))),""),""))</f>
        <v/>
      </c>
      <c r="AC4787" s="19" t="str">
        <f>IF($B4787="","",IFERROR(INDEX(Config!$D$9:$D$29,MATCH($B4787,Config!$B$9:$B$29,0))&amp;"",""))</f>
        <v/>
      </c>
    </row>
    <row r="4788">
      <c r="R4788" s="20" t="str">
        <f>IF($B4788="","",IFERROR(IF(INDEX(Config!$D$9:$D$29,MATCH($B4788,Config!$B$9:$B$29,0))="Contrato",IF(INDEX(Config!$E$9:$E$29,MATCH($B4788,Config!$B$9:$B$29,0))="","",INDEX(Config!$E$9:$E$29,MATCH($B4788,Config!$B$9:$B$29,0))),""),""))</f>
        <v/>
      </c>
      <c r="AC4788" s="19" t="str">
        <f>IF($B4788="","",IFERROR(INDEX(Config!$D$9:$D$29,MATCH($B4788,Config!$B$9:$B$29,0))&amp;"",""))</f>
        <v/>
      </c>
    </row>
    <row r="4789">
      <c r="R4789" s="20" t="str">
        <f>IF($B4789="","",IFERROR(IF(INDEX(Config!$D$9:$D$29,MATCH($B4789,Config!$B$9:$B$29,0))="Contrato",IF(INDEX(Config!$E$9:$E$29,MATCH($B4789,Config!$B$9:$B$29,0))="","",INDEX(Config!$E$9:$E$29,MATCH($B4789,Config!$B$9:$B$29,0))),""),""))</f>
        <v/>
      </c>
      <c r="AC4789" s="19" t="str">
        <f>IF($B4789="","",IFERROR(INDEX(Config!$D$9:$D$29,MATCH($B4789,Config!$B$9:$B$29,0))&amp;"",""))</f>
        <v/>
      </c>
    </row>
    <row r="4790">
      <c r="R4790" s="20" t="str">
        <f>IF($B4790="","",IFERROR(IF(INDEX(Config!$D$9:$D$29,MATCH($B4790,Config!$B$9:$B$29,0))="Contrato",IF(INDEX(Config!$E$9:$E$29,MATCH($B4790,Config!$B$9:$B$29,0))="","",INDEX(Config!$E$9:$E$29,MATCH($B4790,Config!$B$9:$B$29,0))),""),""))</f>
        <v/>
      </c>
      <c r="AC4790" s="19" t="str">
        <f>IF($B4790="","",IFERROR(INDEX(Config!$D$9:$D$29,MATCH($B4790,Config!$B$9:$B$29,0))&amp;"",""))</f>
        <v/>
      </c>
    </row>
    <row r="4791">
      <c r="R4791" s="20" t="str">
        <f>IF($B4791="","",IFERROR(IF(INDEX(Config!$D$9:$D$29,MATCH($B4791,Config!$B$9:$B$29,0))="Contrato",IF(INDEX(Config!$E$9:$E$29,MATCH($B4791,Config!$B$9:$B$29,0))="","",INDEX(Config!$E$9:$E$29,MATCH($B4791,Config!$B$9:$B$29,0))),""),""))</f>
        <v/>
      </c>
      <c r="AC4791" s="19" t="str">
        <f>IF($B4791="","",IFERROR(INDEX(Config!$D$9:$D$29,MATCH($B4791,Config!$B$9:$B$29,0))&amp;"",""))</f>
        <v/>
      </c>
    </row>
    <row r="4792">
      <c r="R4792" s="20" t="str">
        <f>IF($B4792="","",IFERROR(IF(INDEX(Config!$D$9:$D$29,MATCH($B4792,Config!$B$9:$B$29,0))="Contrato",IF(INDEX(Config!$E$9:$E$29,MATCH($B4792,Config!$B$9:$B$29,0))="","",INDEX(Config!$E$9:$E$29,MATCH($B4792,Config!$B$9:$B$29,0))),""),""))</f>
        <v/>
      </c>
      <c r="AC4792" s="19" t="str">
        <f>IF($B4792="","",IFERROR(INDEX(Config!$D$9:$D$29,MATCH($B4792,Config!$B$9:$B$29,0))&amp;"",""))</f>
        <v/>
      </c>
    </row>
    <row r="4793">
      <c r="R4793" s="20" t="str">
        <f>IF($B4793="","",IFERROR(IF(INDEX(Config!$D$9:$D$29,MATCH($B4793,Config!$B$9:$B$29,0))="Contrato",IF(INDEX(Config!$E$9:$E$29,MATCH($B4793,Config!$B$9:$B$29,0))="","",INDEX(Config!$E$9:$E$29,MATCH($B4793,Config!$B$9:$B$29,0))),""),""))</f>
        <v/>
      </c>
      <c r="AC4793" s="19" t="str">
        <f>IF($B4793="","",IFERROR(INDEX(Config!$D$9:$D$29,MATCH($B4793,Config!$B$9:$B$29,0))&amp;"",""))</f>
        <v/>
      </c>
    </row>
    <row r="4794">
      <c r="R4794" s="20" t="str">
        <f>IF($B4794="","",IFERROR(IF(INDEX(Config!$D$9:$D$29,MATCH($B4794,Config!$B$9:$B$29,0))="Contrato",IF(INDEX(Config!$E$9:$E$29,MATCH($B4794,Config!$B$9:$B$29,0))="","",INDEX(Config!$E$9:$E$29,MATCH($B4794,Config!$B$9:$B$29,0))),""),""))</f>
        <v/>
      </c>
      <c r="AC4794" s="19" t="str">
        <f>IF($B4794="","",IFERROR(INDEX(Config!$D$9:$D$29,MATCH($B4794,Config!$B$9:$B$29,0))&amp;"",""))</f>
        <v/>
      </c>
    </row>
    <row r="4795">
      <c r="R4795" s="20" t="str">
        <f>IF($B4795="","",IFERROR(IF(INDEX(Config!$D$9:$D$29,MATCH($B4795,Config!$B$9:$B$29,0))="Contrato",IF(INDEX(Config!$E$9:$E$29,MATCH($B4795,Config!$B$9:$B$29,0))="","",INDEX(Config!$E$9:$E$29,MATCH($B4795,Config!$B$9:$B$29,0))),""),""))</f>
        <v/>
      </c>
      <c r="AC4795" s="19" t="str">
        <f>IF($B4795="","",IFERROR(INDEX(Config!$D$9:$D$29,MATCH($B4795,Config!$B$9:$B$29,0))&amp;"",""))</f>
        <v/>
      </c>
    </row>
    <row r="4796">
      <c r="R4796" s="20" t="str">
        <f>IF($B4796="","",IFERROR(IF(INDEX(Config!$D$9:$D$29,MATCH($B4796,Config!$B$9:$B$29,0))="Contrato",IF(INDEX(Config!$E$9:$E$29,MATCH($B4796,Config!$B$9:$B$29,0))="","",INDEX(Config!$E$9:$E$29,MATCH($B4796,Config!$B$9:$B$29,0))),""),""))</f>
        <v/>
      </c>
      <c r="AC4796" s="19" t="str">
        <f>IF($B4796="","",IFERROR(INDEX(Config!$D$9:$D$29,MATCH($B4796,Config!$B$9:$B$29,0))&amp;"",""))</f>
        <v/>
      </c>
    </row>
    <row r="4797">
      <c r="R4797" s="20" t="str">
        <f>IF($B4797="","",IFERROR(IF(INDEX(Config!$D$9:$D$29,MATCH($B4797,Config!$B$9:$B$29,0))="Contrato",IF(INDEX(Config!$E$9:$E$29,MATCH($B4797,Config!$B$9:$B$29,0))="","",INDEX(Config!$E$9:$E$29,MATCH($B4797,Config!$B$9:$B$29,0))),""),""))</f>
        <v/>
      </c>
      <c r="AC4797" s="19" t="str">
        <f>IF($B4797="","",IFERROR(INDEX(Config!$D$9:$D$29,MATCH($B4797,Config!$B$9:$B$29,0))&amp;"",""))</f>
        <v/>
      </c>
    </row>
    <row r="4798">
      <c r="R4798" s="20" t="str">
        <f>IF($B4798="","",IFERROR(IF(INDEX(Config!$D$9:$D$29,MATCH($B4798,Config!$B$9:$B$29,0))="Contrato",IF(INDEX(Config!$E$9:$E$29,MATCH($B4798,Config!$B$9:$B$29,0))="","",INDEX(Config!$E$9:$E$29,MATCH($B4798,Config!$B$9:$B$29,0))),""),""))</f>
        <v/>
      </c>
      <c r="AC4798" s="19" t="str">
        <f>IF($B4798="","",IFERROR(INDEX(Config!$D$9:$D$29,MATCH($B4798,Config!$B$9:$B$29,0))&amp;"",""))</f>
        <v/>
      </c>
    </row>
    <row r="4799">
      <c r="R4799" s="20" t="str">
        <f>IF($B4799="","",IFERROR(IF(INDEX(Config!$D$9:$D$29,MATCH($B4799,Config!$B$9:$B$29,0))="Contrato",IF(INDEX(Config!$E$9:$E$29,MATCH($B4799,Config!$B$9:$B$29,0))="","",INDEX(Config!$E$9:$E$29,MATCH($B4799,Config!$B$9:$B$29,0))),""),""))</f>
        <v/>
      </c>
      <c r="AC4799" s="19" t="str">
        <f>IF($B4799="","",IFERROR(INDEX(Config!$D$9:$D$29,MATCH($B4799,Config!$B$9:$B$29,0))&amp;"",""))</f>
        <v/>
      </c>
    </row>
    <row r="4800">
      <c r="R4800" s="20" t="str">
        <f>IF($B4800="","",IFERROR(IF(INDEX(Config!$D$9:$D$29,MATCH($B4800,Config!$B$9:$B$29,0))="Contrato",IF(INDEX(Config!$E$9:$E$29,MATCH($B4800,Config!$B$9:$B$29,0))="","",INDEX(Config!$E$9:$E$29,MATCH($B4800,Config!$B$9:$B$29,0))),""),""))</f>
        <v/>
      </c>
      <c r="AC4800" s="19" t="str">
        <f>IF($B4800="","",IFERROR(INDEX(Config!$D$9:$D$29,MATCH($B4800,Config!$B$9:$B$29,0))&amp;"",""))</f>
        <v/>
      </c>
    </row>
    <row r="4801">
      <c r="R4801" s="20" t="str">
        <f>IF($B4801="","",IFERROR(IF(INDEX(Config!$D$9:$D$29,MATCH($B4801,Config!$B$9:$B$29,0))="Contrato",IF(INDEX(Config!$E$9:$E$29,MATCH($B4801,Config!$B$9:$B$29,0))="","",INDEX(Config!$E$9:$E$29,MATCH($B4801,Config!$B$9:$B$29,0))),""),""))</f>
        <v/>
      </c>
      <c r="AC4801" s="19" t="str">
        <f>IF($B4801="","",IFERROR(INDEX(Config!$D$9:$D$29,MATCH($B4801,Config!$B$9:$B$29,0))&amp;"",""))</f>
        <v/>
      </c>
    </row>
    <row r="4802">
      <c r="R4802" s="20" t="str">
        <f>IF($B4802="","",IFERROR(IF(INDEX(Config!$D$9:$D$29,MATCH($B4802,Config!$B$9:$B$29,0))="Contrato",IF(INDEX(Config!$E$9:$E$29,MATCH($B4802,Config!$B$9:$B$29,0))="","",INDEX(Config!$E$9:$E$29,MATCH($B4802,Config!$B$9:$B$29,0))),""),""))</f>
        <v/>
      </c>
      <c r="AC4802" s="19" t="str">
        <f>IF($B4802="","",IFERROR(INDEX(Config!$D$9:$D$29,MATCH($B4802,Config!$B$9:$B$29,0))&amp;"",""))</f>
        <v/>
      </c>
    </row>
    <row r="4803">
      <c r="R4803" s="20" t="str">
        <f>IF($B4803="","",IFERROR(IF(INDEX(Config!$D$9:$D$29,MATCH($B4803,Config!$B$9:$B$29,0))="Contrato",IF(INDEX(Config!$E$9:$E$29,MATCH($B4803,Config!$B$9:$B$29,0))="","",INDEX(Config!$E$9:$E$29,MATCH($B4803,Config!$B$9:$B$29,0))),""),""))</f>
        <v/>
      </c>
      <c r="AC4803" s="19" t="str">
        <f>IF($B4803="","",IFERROR(INDEX(Config!$D$9:$D$29,MATCH($B4803,Config!$B$9:$B$29,0))&amp;"",""))</f>
        <v/>
      </c>
    </row>
    <row r="4804">
      <c r="R4804" s="20" t="str">
        <f>IF($B4804="","",IFERROR(IF(INDEX(Config!$D$9:$D$29,MATCH($B4804,Config!$B$9:$B$29,0))="Contrato",IF(INDEX(Config!$E$9:$E$29,MATCH($B4804,Config!$B$9:$B$29,0))="","",INDEX(Config!$E$9:$E$29,MATCH($B4804,Config!$B$9:$B$29,0))),""),""))</f>
        <v/>
      </c>
      <c r="AC4804" s="19" t="str">
        <f>IF($B4804="","",IFERROR(INDEX(Config!$D$9:$D$29,MATCH($B4804,Config!$B$9:$B$29,0))&amp;"",""))</f>
        <v/>
      </c>
    </row>
    <row r="4805">
      <c r="R4805" s="20" t="str">
        <f>IF($B4805="","",IFERROR(IF(INDEX(Config!$D$9:$D$29,MATCH($B4805,Config!$B$9:$B$29,0))="Contrato",IF(INDEX(Config!$E$9:$E$29,MATCH($B4805,Config!$B$9:$B$29,0))="","",INDEX(Config!$E$9:$E$29,MATCH($B4805,Config!$B$9:$B$29,0))),""),""))</f>
        <v/>
      </c>
      <c r="AC4805" s="19" t="str">
        <f>IF($B4805="","",IFERROR(INDEX(Config!$D$9:$D$29,MATCH($B4805,Config!$B$9:$B$29,0))&amp;"",""))</f>
        <v/>
      </c>
    </row>
    <row r="4806">
      <c r="R4806" s="20" t="str">
        <f>IF($B4806="","",IFERROR(IF(INDEX(Config!$D$9:$D$29,MATCH($B4806,Config!$B$9:$B$29,0))="Contrato",IF(INDEX(Config!$E$9:$E$29,MATCH($B4806,Config!$B$9:$B$29,0))="","",INDEX(Config!$E$9:$E$29,MATCH($B4806,Config!$B$9:$B$29,0))),""),""))</f>
        <v/>
      </c>
      <c r="AC4806" s="19" t="str">
        <f>IF($B4806="","",IFERROR(INDEX(Config!$D$9:$D$29,MATCH($B4806,Config!$B$9:$B$29,0))&amp;"",""))</f>
        <v/>
      </c>
    </row>
    <row r="4807">
      <c r="R4807" s="20" t="str">
        <f>IF($B4807="","",IFERROR(IF(INDEX(Config!$D$9:$D$29,MATCH($B4807,Config!$B$9:$B$29,0))="Contrato",IF(INDEX(Config!$E$9:$E$29,MATCH($B4807,Config!$B$9:$B$29,0))="","",INDEX(Config!$E$9:$E$29,MATCH($B4807,Config!$B$9:$B$29,0))),""),""))</f>
        <v/>
      </c>
      <c r="AC4807" s="19" t="str">
        <f>IF($B4807="","",IFERROR(INDEX(Config!$D$9:$D$29,MATCH($B4807,Config!$B$9:$B$29,0))&amp;"",""))</f>
        <v/>
      </c>
    </row>
    <row r="4808">
      <c r="R4808" s="20" t="str">
        <f>IF($B4808="","",IFERROR(IF(INDEX(Config!$D$9:$D$29,MATCH($B4808,Config!$B$9:$B$29,0))="Contrato",IF(INDEX(Config!$E$9:$E$29,MATCH($B4808,Config!$B$9:$B$29,0))="","",INDEX(Config!$E$9:$E$29,MATCH($B4808,Config!$B$9:$B$29,0))),""),""))</f>
        <v/>
      </c>
      <c r="AC4808" s="19" t="str">
        <f>IF($B4808="","",IFERROR(INDEX(Config!$D$9:$D$29,MATCH($B4808,Config!$B$9:$B$29,0))&amp;"",""))</f>
        <v/>
      </c>
    </row>
    <row r="4809">
      <c r="R4809" s="20" t="str">
        <f>IF($B4809="","",IFERROR(IF(INDEX(Config!$D$9:$D$29,MATCH($B4809,Config!$B$9:$B$29,0))="Contrato",IF(INDEX(Config!$E$9:$E$29,MATCH($B4809,Config!$B$9:$B$29,0))="","",INDEX(Config!$E$9:$E$29,MATCH($B4809,Config!$B$9:$B$29,0))),""),""))</f>
        <v/>
      </c>
      <c r="AC4809" s="19" t="str">
        <f>IF($B4809="","",IFERROR(INDEX(Config!$D$9:$D$29,MATCH($B4809,Config!$B$9:$B$29,0))&amp;"",""))</f>
        <v/>
      </c>
    </row>
    <row r="4810">
      <c r="R4810" s="20" t="str">
        <f>IF($B4810="","",IFERROR(IF(INDEX(Config!$D$9:$D$29,MATCH($B4810,Config!$B$9:$B$29,0))="Contrato",IF(INDEX(Config!$E$9:$E$29,MATCH($B4810,Config!$B$9:$B$29,0))="","",INDEX(Config!$E$9:$E$29,MATCH($B4810,Config!$B$9:$B$29,0))),""),""))</f>
        <v/>
      </c>
      <c r="AC4810" s="19" t="str">
        <f>IF($B4810="","",IFERROR(INDEX(Config!$D$9:$D$29,MATCH($B4810,Config!$B$9:$B$29,0))&amp;"",""))</f>
        <v/>
      </c>
    </row>
    <row r="4811">
      <c r="R4811" s="20" t="str">
        <f>IF($B4811="","",IFERROR(IF(INDEX(Config!$D$9:$D$29,MATCH($B4811,Config!$B$9:$B$29,0))="Contrato",IF(INDEX(Config!$E$9:$E$29,MATCH($B4811,Config!$B$9:$B$29,0))="","",INDEX(Config!$E$9:$E$29,MATCH($B4811,Config!$B$9:$B$29,0))),""),""))</f>
        <v/>
      </c>
      <c r="AC4811" s="19" t="str">
        <f>IF($B4811="","",IFERROR(INDEX(Config!$D$9:$D$29,MATCH($B4811,Config!$B$9:$B$29,0))&amp;"",""))</f>
        <v/>
      </c>
    </row>
    <row r="4812">
      <c r="R4812" s="20" t="str">
        <f>IF($B4812="","",IFERROR(IF(INDEX(Config!$D$9:$D$29,MATCH($B4812,Config!$B$9:$B$29,0))="Contrato",IF(INDEX(Config!$E$9:$E$29,MATCH($B4812,Config!$B$9:$B$29,0))="","",INDEX(Config!$E$9:$E$29,MATCH($B4812,Config!$B$9:$B$29,0))),""),""))</f>
        <v/>
      </c>
      <c r="AC4812" s="19" t="str">
        <f>IF($B4812="","",IFERROR(INDEX(Config!$D$9:$D$29,MATCH($B4812,Config!$B$9:$B$29,0))&amp;"",""))</f>
        <v/>
      </c>
    </row>
    <row r="4813">
      <c r="R4813" s="20" t="str">
        <f>IF($B4813="","",IFERROR(IF(INDEX(Config!$D$9:$D$29,MATCH($B4813,Config!$B$9:$B$29,0))="Contrato",IF(INDEX(Config!$E$9:$E$29,MATCH($B4813,Config!$B$9:$B$29,0))="","",INDEX(Config!$E$9:$E$29,MATCH($B4813,Config!$B$9:$B$29,0))),""),""))</f>
        <v/>
      </c>
      <c r="AC4813" s="19" t="str">
        <f>IF($B4813="","",IFERROR(INDEX(Config!$D$9:$D$29,MATCH($B4813,Config!$B$9:$B$29,0))&amp;"",""))</f>
        <v/>
      </c>
    </row>
    <row r="4814">
      <c r="R4814" s="20" t="str">
        <f>IF($B4814="","",IFERROR(IF(INDEX(Config!$D$9:$D$29,MATCH($B4814,Config!$B$9:$B$29,0))="Contrato",IF(INDEX(Config!$E$9:$E$29,MATCH($B4814,Config!$B$9:$B$29,0))="","",INDEX(Config!$E$9:$E$29,MATCH($B4814,Config!$B$9:$B$29,0))),""),""))</f>
        <v/>
      </c>
      <c r="AC4814" s="19" t="str">
        <f>IF($B4814="","",IFERROR(INDEX(Config!$D$9:$D$29,MATCH($B4814,Config!$B$9:$B$29,0))&amp;"",""))</f>
        <v/>
      </c>
    </row>
    <row r="4815">
      <c r="R4815" s="20" t="str">
        <f>IF($B4815="","",IFERROR(IF(INDEX(Config!$D$9:$D$29,MATCH($B4815,Config!$B$9:$B$29,0))="Contrato",IF(INDEX(Config!$E$9:$E$29,MATCH($B4815,Config!$B$9:$B$29,0))="","",INDEX(Config!$E$9:$E$29,MATCH($B4815,Config!$B$9:$B$29,0))),""),""))</f>
        <v/>
      </c>
      <c r="AC4815" s="19" t="str">
        <f>IF($B4815="","",IFERROR(INDEX(Config!$D$9:$D$29,MATCH($B4815,Config!$B$9:$B$29,0))&amp;"",""))</f>
        <v/>
      </c>
    </row>
    <row r="4816">
      <c r="R4816" s="20" t="str">
        <f>IF($B4816="","",IFERROR(IF(INDEX(Config!$D$9:$D$29,MATCH($B4816,Config!$B$9:$B$29,0))="Contrato",IF(INDEX(Config!$E$9:$E$29,MATCH($B4816,Config!$B$9:$B$29,0))="","",INDEX(Config!$E$9:$E$29,MATCH($B4816,Config!$B$9:$B$29,0))),""),""))</f>
        <v/>
      </c>
      <c r="AC4816" s="19" t="str">
        <f>IF($B4816="","",IFERROR(INDEX(Config!$D$9:$D$29,MATCH($B4816,Config!$B$9:$B$29,0))&amp;"",""))</f>
        <v/>
      </c>
    </row>
    <row r="4817">
      <c r="R4817" s="20" t="str">
        <f>IF($B4817="","",IFERROR(IF(INDEX(Config!$D$9:$D$29,MATCH($B4817,Config!$B$9:$B$29,0))="Contrato",IF(INDEX(Config!$E$9:$E$29,MATCH($B4817,Config!$B$9:$B$29,0))="","",INDEX(Config!$E$9:$E$29,MATCH($B4817,Config!$B$9:$B$29,0))),""),""))</f>
        <v/>
      </c>
      <c r="AC4817" s="19" t="str">
        <f>IF($B4817="","",IFERROR(INDEX(Config!$D$9:$D$29,MATCH($B4817,Config!$B$9:$B$29,0))&amp;"",""))</f>
        <v/>
      </c>
    </row>
    <row r="4818">
      <c r="R4818" s="20" t="str">
        <f>IF($B4818="","",IFERROR(IF(INDEX(Config!$D$9:$D$29,MATCH($B4818,Config!$B$9:$B$29,0))="Contrato",IF(INDEX(Config!$E$9:$E$29,MATCH($B4818,Config!$B$9:$B$29,0))="","",INDEX(Config!$E$9:$E$29,MATCH($B4818,Config!$B$9:$B$29,0))),""),""))</f>
        <v/>
      </c>
      <c r="AC4818" s="19" t="str">
        <f>IF($B4818="","",IFERROR(INDEX(Config!$D$9:$D$29,MATCH($B4818,Config!$B$9:$B$29,0))&amp;"",""))</f>
        <v/>
      </c>
    </row>
    <row r="4819">
      <c r="R4819" s="20" t="str">
        <f>IF($B4819="","",IFERROR(IF(INDEX(Config!$D$9:$D$29,MATCH($B4819,Config!$B$9:$B$29,0))="Contrato",IF(INDEX(Config!$E$9:$E$29,MATCH($B4819,Config!$B$9:$B$29,0))="","",INDEX(Config!$E$9:$E$29,MATCH($B4819,Config!$B$9:$B$29,0))),""),""))</f>
        <v/>
      </c>
      <c r="AC4819" s="19" t="str">
        <f>IF($B4819="","",IFERROR(INDEX(Config!$D$9:$D$29,MATCH($B4819,Config!$B$9:$B$29,0))&amp;"",""))</f>
        <v/>
      </c>
    </row>
    <row r="4820">
      <c r="R4820" s="20" t="str">
        <f>IF($B4820="","",IFERROR(IF(INDEX(Config!$D$9:$D$29,MATCH($B4820,Config!$B$9:$B$29,0))="Contrato",IF(INDEX(Config!$E$9:$E$29,MATCH($B4820,Config!$B$9:$B$29,0))="","",INDEX(Config!$E$9:$E$29,MATCH($B4820,Config!$B$9:$B$29,0))),""),""))</f>
        <v/>
      </c>
      <c r="AC4820" s="19" t="str">
        <f>IF($B4820="","",IFERROR(INDEX(Config!$D$9:$D$29,MATCH($B4820,Config!$B$9:$B$29,0))&amp;"",""))</f>
        <v/>
      </c>
    </row>
    <row r="4821">
      <c r="R4821" s="20" t="str">
        <f>IF($B4821="","",IFERROR(IF(INDEX(Config!$D$9:$D$29,MATCH($B4821,Config!$B$9:$B$29,0))="Contrato",IF(INDEX(Config!$E$9:$E$29,MATCH($B4821,Config!$B$9:$B$29,0))="","",INDEX(Config!$E$9:$E$29,MATCH($B4821,Config!$B$9:$B$29,0))),""),""))</f>
        <v/>
      </c>
      <c r="AC4821" s="19" t="str">
        <f>IF($B4821="","",IFERROR(INDEX(Config!$D$9:$D$29,MATCH($B4821,Config!$B$9:$B$29,0))&amp;"",""))</f>
        <v/>
      </c>
    </row>
    <row r="4822">
      <c r="R4822" s="20" t="str">
        <f>IF($B4822="","",IFERROR(IF(INDEX(Config!$D$9:$D$29,MATCH($B4822,Config!$B$9:$B$29,0))="Contrato",IF(INDEX(Config!$E$9:$E$29,MATCH($B4822,Config!$B$9:$B$29,0))="","",INDEX(Config!$E$9:$E$29,MATCH($B4822,Config!$B$9:$B$29,0))),""),""))</f>
        <v/>
      </c>
      <c r="AC4822" s="19" t="str">
        <f>IF($B4822="","",IFERROR(INDEX(Config!$D$9:$D$29,MATCH($B4822,Config!$B$9:$B$29,0))&amp;"",""))</f>
        <v/>
      </c>
    </row>
    <row r="4823">
      <c r="R4823" s="20" t="str">
        <f>IF($B4823="","",IFERROR(IF(INDEX(Config!$D$9:$D$29,MATCH($B4823,Config!$B$9:$B$29,0))="Contrato",IF(INDEX(Config!$E$9:$E$29,MATCH($B4823,Config!$B$9:$B$29,0))="","",INDEX(Config!$E$9:$E$29,MATCH($B4823,Config!$B$9:$B$29,0))),""),""))</f>
        <v/>
      </c>
      <c r="AC4823" s="19" t="str">
        <f>IF($B4823="","",IFERROR(INDEX(Config!$D$9:$D$29,MATCH($B4823,Config!$B$9:$B$29,0))&amp;"",""))</f>
        <v/>
      </c>
    </row>
    <row r="4824">
      <c r="R4824" s="20" t="str">
        <f>IF($B4824="","",IFERROR(IF(INDEX(Config!$D$9:$D$29,MATCH($B4824,Config!$B$9:$B$29,0))="Contrato",IF(INDEX(Config!$E$9:$E$29,MATCH($B4824,Config!$B$9:$B$29,0))="","",INDEX(Config!$E$9:$E$29,MATCH($B4824,Config!$B$9:$B$29,0))),""),""))</f>
        <v/>
      </c>
      <c r="AC4824" s="19" t="str">
        <f>IF($B4824="","",IFERROR(INDEX(Config!$D$9:$D$29,MATCH($B4824,Config!$B$9:$B$29,0))&amp;"",""))</f>
        <v/>
      </c>
    </row>
    <row r="4825">
      <c r="R4825" s="20" t="str">
        <f>IF($B4825="","",IFERROR(IF(INDEX(Config!$D$9:$D$29,MATCH($B4825,Config!$B$9:$B$29,0))="Contrato",IF(INDEX(Config!$E$9:$E$29,MATCH($B4825,Config!$B$9:$B$29,0))="","",INDEX(Config!$E$9:$E$29,MATCH($B4825,Config!$B$9:$B$29,0))),""),""))</f>
        <v/>
      </c>
      <c r="AC4825" s="19" t="str">
        <f>IF($B4825="","",IFERROR(INDEX(Config!$D$9:$D$29,MATCH($B4825,Config!$B$9:$B$29,0))&amp;"",""))</f>
        <v/>
      </c>
    </row>
    <row r="4826">
      <c r="R4826" s="20" t="str">
        <f>IF($B4826="","",IFERROR(IF(INDEX(Config!$D$9:$D$29,MATCH($B4826,Config!$B$9:$B$29,0))="Contrato",IF(INDEX(Config!$E$9:$E$29,MATCH($B4826,Config!$B$9:$B$29,0))="","",INDEX(Config!$E$9:$E$29,MATCH($B4826,Config!$B$9:$B$29,0))),""),""))</f>
        <v/>
      </c>
      <c r="AC4826" s="19" t="str">
        <f>IF($B4826="","",IFERROR(INDEX(Config!$D$9:$D$29,MATCH($B4826,Config!$B$9:$B$29,0))&amp;"",""))</f>
        <v/>
      </c>
    </row>
    <row r="4827">
      <c r="R4827" s="20" t="str">
        <f>IF($B4827="","",IFERROR(IF(INDEX(Config!$D$9:$D$29,MATCH($B4827,Config!$B$9:$B$29,0))="Contrato",IF(INDEX(Config!$E$9:$E$29,MATCH($B4827,Config!$B$9:$B$29,0))="","",INDEX(Config!$E$9:$E$29,MATCH($B4827,Config!$B$9:$B$29,0))),""),""))</f>
        <v/>
      </c>
      <c r="AC4827" s="19" t="str">
        <f>IF($B4827="","",IFERROR(INDEX(Config!$D$9:$D$29,MATCH($B4827,Config!$B$9:$B$29,0))&amp;"",""))</f>
        <v/>
      </c>
    </row>
    <row r="4828">
      <c r="R4828" s="20" t="str">
        <f>IF($B4828="","",IFERROR(IF(INDEX(Config!$D$9:$D$29,MATCH($B4828,Config!$B$9:$B$29,0))="Contrato",IF(INDEX(Config!$E$9:$E$29,MATCH($B4828,Config!$B$9:$B$29,0))="","",INDEX(Config!$E$9:$E$29,MATCH($B4828,Config!$B$9:$B$29,0))),""),""))</f>
        <v/>
      </c>
      <c r="AC4828" s="19" t="str">
        <f>IF($B4828="","",IFERROR(INDEX(Config!$D$9:$D$29,MATCH($B4828,Config!$B$9:$B$29,0))&amp;"",""))</f>
        <v/>
      </c>
    </row>
    <row r="4829">
      <c r="R4829" s="20" t="str">
        <f>IF($B4829="","",IFERROR(IF(INDEX(Config!$D$9:$D$29,MATCH($B4829,Config!$B$9:$B$29,0))="Contrato",IF(INDEX(Config!$E$9:$E$29,MATCH($B4829,Config!$B$9:$B$29,0))="","",INDEX(Config!$E$9:$E$29,MATCH($B4829,Config!$B$9:$B$29,0))),""),""))</f>
        <v/>
      </c>
      <c r="AC4829" s="19" t="str">
        <f>IF($B4829="","",IFERROR(INDEX(Config!$D$9:$D$29,MATCH($B4829,Config!$B$9:$B$29,0))&amp;"",""))</f>
        <v/>
      </c>
    </row>
    <row r="4830">
      <c r="R4830" s="20" t="str">
        <f>IF($B4830="","",IFERROR(IF(INDEX(Config!$D$9:$D$29,MATCH($B4830,Config!$B$9:$B$29,0))="Contrato",IF(INDEX(Config!$E$9:$E$29,MATCH($B4830,Config!$B$9:$B$29,0))="","",INDEX(Config!$E$9:$E$29,MATCH($B4830,Config!$B$9:$B$29,0))),""),""))</f>
        <v/>
      </c>
      <c r="AC4830" s="19" t="str">
        <f>IF($B4830="","",IFERROR(INDEX(Config!$D$9:$D$29,MATCH($B4830,Config!$B$9:$B$29,0))&amp;"",""))</f>
        <v/>
      </c>
    </row>
    <row r="4831">
      <c r="R4831" s="20" t="str">
        <f>IF($B4831="","",IFERROR(IF(INDEX(Config!$D$9:$D$29,MATCH($B4831,Config!$B$9:$B$29,0))="Contrato",IF(INDEX(Config!$E$9:$E$29,MATCH($B4831,Config!$B$9:$B$29,0))="","",INDEX(Config!$E$9:$E$29,MATCH($B4831,Config!$B$9:$B$29,0))),""),""))</f>
        <v/>
      </c>
      <c r="AC4831" s="19" t="str">
        <f>IF($B4831="","",IFERROR(INDEX(Config!$D$9:$D$29,MATCH($B4831,Config!$B$9:$B$29,0))&amp;"",""))</f>
        <v/>
      </c>
    </row>
    <row r="4832">
      <c r="R4832" s="20" t="str">
        <f>IF($B4832="","",IFERROR(IF(INDEX(Config!$D$9:$D$29,MATCH($B4832,Config!$B$9:$B$29,0))="Contrato",IF(INDEX(Config!$E$9:$E$29,MATCH($B4832,Config!$B$9:$B$29,0))="","",INDEX(Config!$E$9:$E$29,MATCH($B4832,Config!$B$9:$B$29,0))),""),""))</f>
        <v/>
      </c>
      <c r="AC4832" s="19" t="str">
        <f>IF($B4832="","",IFERROR(INDEX(Config!$D$9:$D$29,MATCH($B4832,Config!$B$9:$B$29,0))&amp;"",""))</f>
        <v/>
      </c>
    </row>
    <row r="4833">
      <c r="R4833" s="20" t="str">
        <f>IF($B4833="","",IFERROR(IF(INDEX(Config!$D$9:$D$29,MATCH($B4833,Config!$B$9:$B$29,0))="Contrato",IF(INDEX(Config!$E$9:$E$29,MATCH($B4833,Config!$B$9:$B$29,0))="","",INDEX(Config!$E$9:$E$29,MATCH($B4833,Config!$B$9:$B$29,0))),""),""))</f>
        <v/>
      </c>
      <c r="AC4833" s="19" t="str">
        <f>IF($B4833="","",IFERROR(INDEX(Config!$D$9:$D$29,MATCH($B4833,Config!$B$9:$B$29,0))&amp;"",""))</f>
        <v/>
      </c>
    </row>
    <row r="4834">
      <c r="R4834" s="20" t="str">
        <f>IF($B4834="","",IFERROR(IF(INDEX(Config!$D$9:$D$29,MATCH($B4834,Config!$B$9:$B$29,0))="Contrato",IF(INDEX(Config!$E$9:$E$29,MATCH($B4834,Config!$B$9:$B$29,0))="","",INDEX(Config!$E$9:$E$29,MATCH($B4834,Config!$B$9:$B$29,0))),""),""))</f>
        <v/>
      </c>
      <c r="AC4834" s="19" t="str">
        <f>IF($B4834="","",IFERROR(INDEX(Config!$D$9:$D$29,MATCH($B4834,Config!$B$9:$B$29,0))&amp;"",""))</f>
        <v/>
      </c>
    </row>
    <row r="4835">
      <c r="R4835" s="20" t="str">
        <f>IF($B4835="","",IFERROR(IF(INDEX(Config!$D$9:$D$29,MATCH($B4835,Config!$B$9:$B$29,0))="Contrato",IF(INDEX(Config!$E$9:$E$29,MATCH($B4835,Config!$B$9:$B$29,0))="","",INDEX(Config!$E$9:$E$29,MATCH($B4835,Config!$B$9:$B$29,0))),""),""))</f>
        <v/>
      </c>
      <c r="AC4835" s="19" t="str">
        <f>IF($B4835="","",IFERROR(INDEX(Config!$D$9:$D$29,MATCH($B4835,Config!$B$9:$B$29,0))&amp;"",""))</f>
        <v/>
      </c>
    </row>
    <row r="4836">
      <c r="R4836" s="20" t="str">
        <f>IF($B4836="","",IFERROR(IF(INDEX(Config!$D$9:$D$29,MATCH($B4836,Config!$B$9:$B$29,0))="Contrato",IF(INDEX(Config!$E$9:$E$29,MATCH($B4836,Config!$B$9:$B$29,0))="","",INDEX(Config!$E$9:$E$29,MATCH($B4836,Config!$B$9:$B$29,0))),""),""))</f>
        <v/>
      </c>
      <c r="AC4836" s="19" t="str">
        <f>IF($B4836="","",IFERROR(INDEX(Config!$D$9:$D$29,MATCH($B4836,Config!$B$9:$B$29,0))&amp;"",""))</f>
        <v/>
      </c>
    </row>
    <row r="4837">
      <c r="R4837" s="20" t="str">
        <f>IF($B4837="","",IFERROR(IF(INDEX(Config!$D$9:$D$29,MATCH($B4837,Config!$B$9:$B$29,0))="Contrato",IF(INDEX(Config!$E$9:$E$29,MATCH($B4837,Config!$B$9:$B$29,0))="","",INDEX(Config!$E$9:$E$29,MATCH($B4837,Config!$B$9:$B$29,0))),""),""))</f>
        <v/>
      </c>
      <c r="AC4837" s="19" t="str">
        <f>IF($B4837="","",IFERROR(INDEX(Config!$D$9:$D$29,MATCH($B4837,Config!$B$9:$B$29,0))&amp;"",""))</f>
        <v/>
      </c>
    </row>
    <row r="4838">
      <c r="R4838" s="20" t="str">
        <f>IF($B4838="","",IFERROR(IF(INDEX(Config!$D$9:$D$29,MATCH($B4838,Config!$B$9:$B$29,0))="Contrato",IF(INDEX(Config!$E$9:$E$29,MATCH($B4838,Config!$B$9:$B$29,0))="","",INDEX(Config!$E$9:$E$29,MATCH($B4838,Config!$B$9:$B$29,0))),""),""))</f>
        <v/>
      </c>
      <c r="AC4838" s="19" t="str">
        <f>IF($B4838="","",IFERROR(INDEX(Config!$D$9:$D$29,MATCH($B4838,Config!$B$9:$B$29,0))&amp;"",""))</f>
        <v/>
      </c>
    </row>
    <row r="4839">
      <c r="R4839" s="20" t="str">
        <f>IF($B4839="","",IFERROR(IF(INDEX(Config!$D$9:$D$29,MATCH($B4839,Config!$B$9:$B$29,0))="Contrato",IF(INDEX(Config!$E$9:$E$29,MATCH($B4839,Config!$B$9:$B$29,0))="","",INDEX(Config!$E$9:$E$29,MATCH($B4839,Config!$B$9:$B$29,0))),""),""))</f>
        <v/>
      </c>
      <c r="AC4839" s="19" t="str">
        <f>IF($B4839="","",IFERROR(INDEX(Config!$D$9:$D$29,MATCH($B4839,Config!$B$9:$B$29,0))&amp;"",""))</f>
        <v/>
      </c>
    </row>
    <row r="4840">
      <c r="R4840" s="20" t="str">
        <f>IF($B4840="","",IFERROR(IF(INDEX(Config!$D$9:$D$29,MATCH($B4840,Config!$B$9:$B$29,0))="Contrato",IF(INDEX(Config!$E$9:$E$29,MATCH($B4840,Config!$B$9:$B$29,0))="","",INDEX(Config!$E$9:$E$29,MATCH($B4840,Config!$B$9:$B$29,0))),""),""))</f>
        <v/>
      </c>
      <c r="AC4840" s="19" t="str">
        <f>IF($B4840="","",IFERROR(INDEX(Config!$D$9:$D$29,MATCH($B4840,Config!$B$9:$B$29,0))&amp;"",""))</f>
        <v/>
      </c>
    </row>
    <row r="4841">
      <c r="R4841" s="20" t="str">
        <f>IF($B4841="","",IFERROR(IF(INDEX(Config!$D$9:$D$29,MATCH($B4841,Config!$B$9:$B$29,0))="Contrato",IF(INDEX(Config!$E$9:$E$29,MATCH($B4841,Config!$B$9:$B$29,0))="","",INDEX(Config!$E$9:$E$29,MATCH($B4841,Config!$B$9:$B$29,0))),""),""))</f>
        <v/>
      </c>
      <c r="AC4841" s="19" t="str">
        <f>IF($B4841="","",IFERROR(INDEX(Config!$D$9:$D$29,MATCH($B4841,Config!$B$9:$B$29,0))&amp;"",""))</f>
        <v/>
      </c>
    </row>
    <row r="4842">
      <c r="R4842" s="20" t="str">
        <f>IF($B4842="","",IFERROR(IF(INDEX(Config!$D$9:$D$29,MATCH($B4842,Config!$B$9:$B$29,0))="Contrato",IF(INDEX(Config!$E$9:$E$29,MATCH($B4842,Config!$B$9:$B$29,0))="","",INDEX(Config!$E$9:$E$29,MATCH($B4842,Config!$B$9:$B$29,0))),""),""))</f>
        <v/>
      </c>
      <c r="AC4842" s="19" t="str">
        <f>IF($B4842="","",IFERROR(INDEX(Config!$D$9:$D$29,MATCH($B4842,Config!$B$9:$B$29,0))&amp;"",""))</f>
        <v/>
      </c>
    </row>
    <row r="4843">
      <c r="R4843" s="20" t="str">
        <f>IF($B4843="","",IFERROR(IF(INDEX(Config!$D$9:$D$29,MATCH($B4843,Config!$B$9:$B$29,0))="Contrato",IF(INDEX(Config!$E$9:$E$29,MATCH($B4843,Config!$B$9:$B$29,0))="","",INDEX(Config!$E$9:$E$29,MATCH($B4843,Config!$B$9:$B$29,0))),""),""))</f>
        <v/>
      </c>
      <c r="AC4843" s="19" t="str">
        <f>IF($B4843="","",IFERROR(INDEX(Config!$D$9:$D$29,MATCH($B4843,Config!$B$9:$B$29,0))&amp;"",""))</f>
        <v/>
      </c>
    </row>
    <row r="4844">
      <c r="R4844" s="20" t="str">
        <f>IF($B4844="","",IFERROR(IF(INDEX(Config!$D$9:$D$29,MATCH($B4844,Config!$B$9:$B$29,0))="Contrato",IF(INDEX(Config!$E$9:$E$29,MATCH($B4844,Config!$B$9:$B$29,0))="","",INDEX(Config!$E$9:$E$29,MATCH($B4844,Config!$B$9:$B$29,0))),""),""))</f>
        <v/>
      </c>
      <c r="AC4844" s="19" t="str">
        <f>IF($B4844="","",IFERROR(INDEX(Config!$D$9:$D$29,MATCH($B4844,Config!$B$9:$B$29,0))&amp;"",""))</f>
        <v/>
      </c>
    </row>
    <row r="4845">
      <c r="R4845" s="20" t="str">
        <f>IF($B4845="","",IFERROR(IF(INDEX(Config!$D$9:$D$29,MATCH($B4845,Config!$B$9:$B$29,0))="Contrato",IF(INDEX(Config!$E$9:$E$29,MATCH($B4845,Config!$B$9:$B$29,0))="","",INDEX(Config!$E$9:$E$29,MATCH($B4845,Config!$B$9:$B$29,0))),""),""))</f>
        <v/>
      </c>
      <c r="AC4845" s="19" t="str">
        <f>IF($B4845="","",IFERROR(INDEX(Config!$D$9:$D$29,MATCH($B4845,Config!$B$9:$B$29,0))&amp;"",""))</f>
        <v/>
      </c>
    </row>
    <row r="4846">
      <c r="R4846" s="20" t="str">
        <f>IF($B4846="","",IFERROR(IF(INDEX(Config!$D$9:$D$29,MATCH($B4846,Config!$B$9:$B$29,0))="Contrato",IF(INDEX(Config!$E$9:$E$29,MATCH($B4846,Config!$B$9:$B$29,0))="","",INDEX(Config!$E$9:$E$29,MATCH($B4846,Config!$B$9:$B$29,0))),""),""))</f>
        <v/>
      </c>
      <c r="AC4846" s="19" t="str">
        <f>IF($B4846="","",IFERROR(INDEX(Config!$D$9:$D$29,MATCH($B4846,Config!$B$9:$B$29,0))&amp;"",""))</f>
        <v/>
      </c>
    </row>
    <row r="4847">
      <c r="R4847" s="20" t="str">
        <f>IF($B4847="","",IFERROR(IF(INDEX(Config!$D$9:$D$29,MATCH($B4847,Config!$B$9:$B$29,0))="Contrato",IF(INDEX(Config!$E$9:$E$29,MATCH($B4847,Config!$B$9:$B$29,0))="","",INDEX(Config!$E$9:$E$29,MATCH($B4847,Config!$B$9:$B$29,0))),""),""))</f>
        <v/>
      </c>
      <c r="AC4847" s="19" t="str">
        <f>IF($B4847="","",IFERROR(INDEX(Config!$D$9:$D$29,MATCH($B4847,Config!$B$9:$B$29,0))&amp;"",""))</f>
        <v/>
      </c>
    </row>
    <row r="4848">
      <c r="R4848" s="20" t="str">
        <f>IF($B4848="","",IFERROR(IF(INDEX(Config!$D$9:$D$29,MATCH($B4848,Config!$B$9:$B$29,0))="Contrato",IF(INDEX(Config!$E$9:$E$29,MATCH($B4848,Config!$B$9:$B$29,0))="","",INDEX(Config!$E$9:$E$29,MATCH($B4848,Config!$B$9:$B$29,0))),""),""))</f>
        <v/>
      </c>
      <c r="AC4848" s="19" t="str">
        <f>IF($B4848="","",IFERROR(INDEX(Config!$D$9:$D$29,MATCH($B4848,Config!$B$9:$B$29,0))&amp;"",""))</f>
        <v/>
      </c>
    </row>
    <row r="4849">
      <c r="R4849" s="20" t="str">
        <f>IF($B4849="","",IFERROR(IF(INDEX(Config!$D$9:$D$29,MATCH($B4849,Config!$B$9:$B$29,0))="Contrato",IF(INDEX(Config!$E$9:$E$29,MATCH($B4849,Config!$B$9:$B$29,0))="","",INDEX(Config!$E$9:$E$29,MATCH($B4849,Config!$B$9:$B$29,0))),""),""))</f>
        <v/>
      </c>
      <c r="AC4849" s="19" t="str">
        <f>IF($B4849="","",IFERROR(INDEX(Config!$D$9:$D$29,MATCH($B4849,Config!$B$9:$B$29,0))&amp;"",""))</f>
        <v/>
      </c>
    </row>
    <row r="4850">
      <c r="R4850" s="20" t="str">
        <f>IF($B4850="","",IFERROR(IF(INDEX(Config!$D$9:$D$29,MATCH($B4850,Config!$B$9:$B$29,0))="Contrato",IF(INDEX(Config!$E$9:$E$29,MATCH($B4850,Config!$B$9:$B$29,0))="","",INDEX(Config!$E$9:$E$29,MATCH($B4850,Config!$B$9:$B$29,0))),""),""))</f>
        <v/>
      </c>
      <c r="AC4850" s="19" t="str">
        <f>IF($B4850="","",IFERROR(INDEX(Config!$D$9:$D$29,MATCH($B4850,Config!$B$9:$B$29,0))&amp;"",""))</f>
        <v/>
      </c>
    </row>
    <row r="4851">
      <c r="R4851" s="20" t="str">
        <f>IF($B4851="","",IFERROR(IF(INDEX(Config!$D$9:$D$29,MATCH($B4851,Config!$B$9:$B$29,0))="Contrato",IF(INDEX(Config!$E$9:$E$29,MATCH($B4851,Config!$B$9:$B$29,0))="","",INDEX(Config!$E$9:$E$29,MATCH($B4851,Config!$B$9:$B$29,0))),""),""))</f>
        <v/>
      </c>
      <c r="AC4851" s="19" t="str">
        <f>IF($B4851="","",IFERROR(INDEX(Config!$D$9:$D$29,MATCH($B4851,Config!$B$9:$B$29,0))&amp;"",""))</f>
        <v/>
      </c>
    </row>
    <row r="4852">
      <c r="R4852" s="20" t="str">
        <f>IF($B4852="","",IFERROR(IF(INDEX(Config!$D$9:$D$29,MATCH($B4852,Config!$B$9:$B$29,0))="Contrato",IF(INDEX(Config!$E$9:$E$29,MATCH($B4852,Config!$B$9:$B$29,0))="","",INDEX(Config!$E$9:$E$29,MATCH($B4852,Config!$B$9:$B$29,0))),""),""))</f>
        <v/>
      </c>
      <c r="AC4852" s="19" t="str">
        <f>IF($B4852="","",IFERROR(INDEX(Config!$D$9:$D$29,MATCH($B4852,Config!$B$9:$B$29,0))&amp;"",""))</f>
        <v/>
      </c>
    </row>
    <row r="4853">
      <c r="R4853" s="20" t="str">
        <f>IF($B4853="","",IFERROR(IF(INDEX(Config!$D$9:$D$29,MATCH($B4853,Config!$B$9:$B$29,0))="Contrato",IF(INDEX(Config!$E$9:$E$29,MATCH($B4853,Config!$B$9:$B$29,0))="","",INDEX(Config!$E$9:$E$29,MATCH($B4853,Config!$B$9:$B$29,0))),""),""))</f>
        <v/>
      </c>
      <c r="AC4853" s="19" t="str">
        <f>IF($B4853="","",IFERROR(INDEX(Config!$D$9:$D$29,MATCH($B4853,Config!$B$9:$B$29,0))&amp;"",""))</f>
        <v/>
      </c>
    </row>
    <row r="4854">
      <c r="R4854" s="20" t="str">
        <f>IF($B4854="","",IFERROR(IF(INDEX(Config!$D$9:$D$29,MATCH($B4854,Config!$B$9:$B$29,0))="Contrato",IF(INDEX(Config!$E$9:$E$29,MATCH($B4854,Config!$B$9:$B$29,0))="","",INDEX(Config!$E$9:$E$29,MATCH($B4854,Config!$B$9:$B$29,0))),""),""))</f>
        <v/>
      </c>
      <c r="AC4854" s="19" t="str">
        <f>IF($B4854="","",IFERROR(INDEX(Config!$D$9:$D$29,MATCH($B4854,Config!$B$9:$B$29,0))&amp;"",""))</f>
        <v/>
      </c>
    </row>
    <row r="4855">
      <c r="R4855" s="20" t="str">
        <f>IF($B4855="","",IFERROR(IF(INDEX(Config!$D$9:$D$29,MATCH($B4855,Config!$B$9:$B$29,0))="Contrato",IF(INDEX(Config!$E$9:$E$29,MATCH($B4855,Config!$B$9:$B$29,0))="","",INDEX(Config!$E$9:$E$29,MATCH($B4855,Config!$B$9:$B$29,0))),""),""))</f>
        <v/>
      </c>
      <c r="AC4855" s="19" t="str">
        <f>IF($B4855="","",IFERROR(INDEX(Config!$D$9:$D$29,MATCH($B4855,Config!$B$9:$B$29,0))&amp;"",""))</f>
        <v/>
      </c>
    </row>
    <row r="4856">
      <c r="R4856" s="20" t="str">
        <f>IF($B4856="","",IFERROR(IF(INDEX(Config!$D$9:$D$29,MATCH($B4856,Config!$B$9:$B$29,0))="Contrato",IF(INDEX(Config!$E$9:$E$29,MATCH($B4856,Config!$B$9:$B$29,0))="","",INDEX(Config!$E$9:$E$29,MATCH($B4856,Config!$B$9:$B$29,0))),""),""))</f>
        <v/>
      </c>
      <c r="AC4856" s="19" t="str">
        <f>IF($B4856="","",IFERROR(INDEX(Config!$D$9:$D$29,MATCH($B4856,Config!$B$9:$B$29,0))&amp;"",""))</f>
        <v/>
      </c>
    </row>
    <row r="4857">
      <c r="R4857" s="20" t="str">
        <f>IF($B4857="","",IFERROR(IF(INDEX(Config!$D$9:$D$29,MATCH($B4857,Config!$B$9:$B$29,0))="Contrato",IF(INDEX(Config!$E$9:$E$29,MATCH($B4857,Config!$B$9:$B$29,0))="","",INDEX(Config!$E$9:$E$29,MATCH($B4857,Config!$B$9:$B$29,0))),""),""))</f>
        <v/>
      </c>
      <c r="AC4857" s="19" t="str">
        <f>IF($B4857="","",IFERROR(INDEX(Config!$D$9:$D$29,MATCH($B4857,Config!$B$9:$B$29,0))&amp;"",""))</f>
        <v/>
      </c>
    </row>
    <row r="4858">
      <c r="R4858" s="20" t="str">
        <f>IF($B4858="","",IFERROR(IF(INDEX(Config!$D$9:$D$29,MATCH($B4858,Config!$B$9:$B$29,0))="Contrato",IF(INDEX(Config!$E$9:$E$29,MATCH($B4858,Config!$B$9:$B$29,0))="","",INDEX(Config!$E$9:$E$29,MATCH($B4858,Config!$B$9:$B$29,0))),""),""))</f>
        <v/>
      </c>
      <c r="AC4858" s="19" t="str">
        <f>IF($B4858="","",IFERROR(INDEX(Config!$D$9:$D$29,MATCH($B4858,Config!$B$9:$B$29,0))&amp;"",""))</f>
        <v/>
      </c>
    </row>
    <row r="4859">
      <c r="R4859" s="20" t="str">
        <f>IF($B4859="","",IFERROR(IF(INDEX(Config!$D$9:$D$29,MATCH($B4859,Config!$B$9:$B$29,0))="Contrato",IF(INDEX(Config!$E$9:$E$29,MATCH($B4859,Config!$B$9:$B$29,0))="","",INDEX(Config!$E$9:$E$29,MATCH($B4859,Config!$B$9:$B$29,0))),""),""))</f>
        <v/>
      </c>
      <c r="AC4859" s="19" t="str">
        <f>IF($B4859="","",IFERROR(INDEX(Config!$D$9:$D$29,MATCH($B4859,Config!$B$9:$B$29,0))&amp;"",""))</f>
        <v/>
      </c>
    </row>
    <row r="4860">
      <c r="R4860" s="20" t="str">
        <f>IF($B4860="","",IFERROR(IF(INDEX(Config!$D$9:$D$29,MATCH($B4860,Config!$B$9:$B$29,0))="Contrato",IF(INDEX(Config!$E$9:$E$29,MATCH($B4860,Config!$B$9:$B$29,0))="","",INDEX(Config!$E$9:$E$29,MATCH($B4860,Config!$B$9:$B$29,0))),""),""))</f>
        <v/>
      </c>
      <c r="AC4860" s="19" t="str">
        <f>IF($B4860="","",IFERROR(INDEX(Config!$D$9:$D$29,MATCH($B4860,Config!$B$9:$B$29,0))&amp;"",""))</f>
        <v/>
      </c>
    </row>
    <row r="4861">
      <c r="R4861" s="20" t="str">
        <f>IF($B4861="","",IFERROR(IF(INDEX(Config!$D$9:$D$29,MATCH($B4861,Config!$B$9:$B$29,0))="Contrato",IF(INDEX(Config!$E$9:$E$29,MATCH($B4861,Config!$B$9:$B$29,0))="","",INDEX(Config!$E$9:$E$29,MATCH($B4861,Config!$B$9:$B$29,0))),""),""))</f>
        <v/>
      </c>
      <c r="AC4861" s="19" t="str">
        <f>IF($B4861="","",IFERROR(INDEX(Config!$D$9:$D$29,MATCH($B4861,Config!$B$9:$B$29,0))&amp;"",""))</f>
        <v/>
      </c>
    </row>
    <row r="4862">
      <c r="R4862" s="20" t="str">
        <f>IF($B4862="","",IFERROR(IF(INDEX(Config!$D$9:$D$29,MATCH($B4862,Config!$B$9:$B$29,0))="Contrato",IF(INDEX(Config!$E$9:$E$29,MATCH($B4862,Config!$B$9:$B$29,0))="","",INDEX(Config!$E$9:$E$29,MATCH($B4862,Config!$B$9:$B$29,0))),""),""))</f>
        <v/>
      </c>
      <c r="AC4862" s="19" t="str">
        <f>IF($B4862="","",IFERROR(INDEX(Config!$D$9:$D$29,MATCH($B4862,Config!$B$9:$B$29,0))&amp;"",""))</f>
        <v/>
      </c>
    </row>
    <row r="4863">
      <c r="R4863" s="20" t="str">
        <f>IF($B4863="","",IFERROR(IF(INDEX(Config!$D$9:$D$29,MATCH($B4863,Config!$B$9:$B$29,0))="Contrato",IF(INDEX(Config!$E$9:$E$29,MATCH($B4863,Config!$B$9:$B$29,0))="","",INDEX(Config!$E$9:$E$29,MATCH($B4863,Config!$B$9:$B$29,0))),""),""))</f>
        <v/>
      </c>
      <c r="AC4863" s="19" t="str">
        <f>IF($B4863="","",IFERROR(INDEX(Config!$D$9:$D$29,MATCH($B4863,Config!$B$9:$B$29,0))&amp;"",""))</f>
        <v/>
      </c>
    </row>
    <row r="4864">
      <c r="R4864" s="20" t="str">
        <f>IF($B4864="","",IFERROR(IF(INDEX(Config!$D$9:$D$29,MATCH($B4864,Config!$B$9:$B$29,0))="Contrato",IF(INDEX(Config!$E$9:$E$29,MATCH($B4864,Config!$B$9:$B$29,0))="","",INDEX(Config!$E$9:$E$29,MATCH($B4864,Config!$B$9:$B$29,0))),""),""))</f>
        <v/>
      </c>
      <c r="AC4864" s="19" t="str">
        <f>IF($B4864="","",IFERROR(INDEX(Config!$D$9:$D$29,MATCH($B4864,Config!$B$9:$B$29,0))&amp;"",""))</f>
        <v/>
      </c>
    </row>
    <row r="4865">
      <c r="R4865" s="20" t="str">
        <f>IF($B4865="","",IFERROR(IF(INDEX(Config!$D$9:$D$29,MATCH($B4865,Config!$B$9:$B$29,0))="Contrato",IF(INDEX(Config!$E$9:$E$29,MATCH($B4865,Config!$B$9:$B$29,0))="","",INDEX(Config!$E$9:$E$29,MATCH($B4865,Config!$B$9:$B$29,0))),""),""))</f>
        <v/>
      </c>
      <c r="AC4865" s="19" t="str">
        <f>IF($B4865="","",IFERROR(INDEX(Config!$D$9:$D$29,MATCH($B4865,Config!$B$9:$B$29,0))&amp;"",""))</f>
        <v/>
      </c>
    </row>
    <row r="4866">
      <c r="R4866" s="20" t="str">
        <f>IF($B4866="","",IFERROR(IF(INDEX(Config!$D$9:$D$29,MATCH($B4866,Config!$B$9:$B$29,0))="Contrato",IF(INDEX(Config!$E$9:$E$29,MATCH($B4866,Config!$B$9:$B$29,0))="","",INDEX(Config!$E$9:$E$29,MATCH($B4866,Config!$B$9:$B$29,0))),""),""))</f>
        <v/>
      </c>
      <c r="AC4866" s="19" t="str">
        <f>IF($B4866="","",IFERROR(INDEX(Config!$D$9:$D$29,MATCH($B4866,Config!$B$9:$B$29,0))&amp;"",""))</f>
        <v/>
      </c>
    </row>
    <row r="4867">
      <c r="R4867" s="20" t="str">
        <f>IF($B4867="","",IFERROR(IF(INDEX(Config!$D$9:$D$29,MATCH($B4867,Config!$B$9:$B$29,0))="Contrato",IF(INDEX(Config!$E$9:$E$29,MATCH($B4867,Config!$B$9:$B$29,0))="","",INDEX(Config!$E$9:$E$29,MATCH($B4867,Config!$B$9:$B$29,0))),""),""))</f>
        <v/>
      </c>
      <c r="AC4867" s="19" t="str">
        <f>IF($B4867="","",IFERROR(INDEX(Config!$D$9:$D$29,MATCH($B4867,Config!$B$9:$B$29,0))&amp;"",""))</f>
        <v/>
      </c>
    </row>
    <row r="4868">
      <c r="R4868" s="20" t="str">
        <f>IF($B4868="","",IFERROR(IF(INDEX(Config!$D$9:$D$29,MATCH($B4868,Config!$B$9:$B$29,0))="Contrato",IF(INDEX(Config!$E$9:$E$29,MATCH($B4868,Config!$B$9:$B$29,0))="","",INDEX(Config!$E$9:$E$29,MATCH($B4868,Config!$B$9:$B$29,0))),""),""))</f>
        <v/>
      </c>
      <c r="AC4868" s="19" t="str">
        <f>IF($B4868="","",IFERROR(INDEX(Config!$D$9:$D$29,MATCH($B4868,Config!$B$9:$B$29,0))&amp;"",""))</f>
        <v/>
      </c>
    </row>
    <row r="4869">
      <c r="R4869" s="20" t="str">
        <f>IF($B4869="","",IFERROR(IF(INDEX(Config!$D$9:$D$29,MATCH($B4869,Config!$B$9:$B$29,0))="Contrato",IF(INDEX(Config!$E$9:$E$29,MATCH($B4869,Config!$B$9:$B$29,0))="","",INDEX(Config!$E$9:$E$29,MATCH($B4869,Config!$B$9:$B$29,0))),""),""))</f>
        <v/>
      </c>
      <c r="AC4869" s="19" t="str">
        <f>IF($B4869="","",IFERROR(INDEX(Config!$D$9:$D$29,MATCH($B4869,Config!$B$9:$B$29,0))&amp;"",""))</f>
        <v/>
      </c>
    </row>
    <row r="4870">
      <c r="R4870" s="20" t="str">
        <f>IF($B4870="","",IFERROR(IF(INDEX(Config!$D$9:$D$29,MATCH($B4870,Config!$B$9:$B$29,0))="Contrato",IF(INDEX(Config!$E$9:$E$29,MATCH($B4870,Config!$B$9:$B$29,0))="","",INDEX(Config!$E$9:$E$29,MATCH($B4870,Config!$B$9:$B$29,0))),""),""))</f>
        <v/>
      </c>
      <c r="AC4870" s="19" t="str">
        <f>IF($B4870="","",IFERROR(INDEX(Config!$D$9:$D$29,MATCH($B4870,Config!$B$9:$B$29,0))&amp;"",""))</f>
        <v/>
      </c>
    </row>
    <row r="4871">
      <c r="R4871" s="20" t="str">
        <f>IF($B4871="","",IFERROR(IF(INDEX(Config!$D$9:$D$29,MATCH($B4871,Config!$B$9:$B$29,0))="Contrato",IF(INDEX(Config!$E$9:$E$29,MATCH($B4871,Config!$B$9:$B$29,0))="","",INDEX(Config!$E$9:$E$29,MATCH($B4871,Config!$B$9:$B$29,0))),""),""))</f>
        <v/>
      </c>
      <c r="AC4871" s="19" t="str">
        <f>IF($B4871="","",IFERROR(INDEX(Config!$D$9:$D$29,MATCH($B4871,Config!$B$9:$B$29,0))&amp;"",""))</f>
        <v/>
      </c>
    </row>
    <row r="4872">
      <c r="R4872" s="20" t="str">
        <f>IF($B4872="","",IFERROR(IF(INDEX(Config!$D$9:$D$29,MATCH($B4872,Config!$B$9:$B$29,0))="Contrato",IF(INDEX(Config!$E$9:$E$29,MATCH($B4872,Config!$B$9:$B$29,0))="","",INDEX(Config!$E$9:$E$29,MATCH($B4872,Config!$B$9:$B$29,0))),""),""))</f>
        <v/>
      </c>
      <c r="AC4872" s="19" t="str">
        <f>IF($B4872="","",IFERROR(INDEX(Config!$D$9:$D$29,MATCH($B4872,Config!$B$9:$B$29,0))&amp;"",""))</f>
        <v/>
      </c>
    </row>
    <row r="4873">
      <c r="R4873" s="20" t="str">
        <f>IF($B4873="","",IFERROR(IF(INDEX(Config!$D$9:$D$29,MATCH($B4873,Config!$B$9:$B$29,0))="Contrato",IF(INDEX(Config!$E$9:$E$29,MATCH($B4873,Config!$B$9:$B$29,0))="","",INDEX(Config!$E$9:$E$29,MATCH($B4873,Config!$B$9:$B$29,0))),""),""))</f>
        <v/>
      </c>
      <c r="AC4873" s="19" t="str">
        <f>IF($B4873="","",IFERROR(INDEX(Config!$D$9:$D$29,MATCH($B4873,Config!$B$9:$B$29,0))&amp;"",""))</f>
        <v/>
      </c>
    </row>
    <row r="4874">
      <c r="R4874" s="20" t="str">
        <f>IF($B4874="","",IFERROR(IF(INDEX(Config!$D$9:$D$29,MATCH($B4874,Config!$B$9:$B$29,0))="Contrato",IF(INDEX(Config!$E$9:$E$29,MATCH($B4874,Config!$B$9:$B$29,0))="","",INDEX(Config!$E$9:$E$29,MATCH($B4874,Config!$B$9:$B$29,0))),""),""))</f>
        <v/>
      </c>
      <c r="AC4874" s="19" t="str">
        <f>IF($B4874="","",IFERROR(INDEX(Config!$D$9:$D$29,MATCH($B4874,Config!$B$9:$B$29,0))&amp;"",""))</f>
        <v/>
      </c>
    </row>
    <row r="4875">
      <c r="R4875" s="20" t="str">
        <f>IF($B4875="","",IFERROR(IF(INDEX(Config!$D$9:$D$29,MATCH($B4875,Config!$B$9:$B$29,0))="Contrato",IF(INDEX(Config!$E$9:$E$29,MATCH($B4875,Config!$B$9:$B$29,0))="","",INDEX(Config!$E$9:$E$29,MATCH($B4875,Config!$B$9:$B$29,0))),""),""))</f>
        <v/>
      </c>
      <c r="AC4875" s="19" t="str">
        <f>IF($B4875="","",IFERROR(INDEX(Config!$D$9:$D$29,MATCH($B4875,Config!$B$9:$B$29,0))&amp;"",""))</f>
        <v/>
      </c>
    </row>
    <row r="4876">
      <c r="R4876" s="20" t="str">
        <f>IF($B4876="","",IFERROR(IF(INDEX(Config!$D$9:$D$29,MATCH($B4876,Config!$B$9:$B$29,0))="Contrato",IF(INDEX(Config!$E$9:$E$29,MATCH($B4876,Config!$B$9:$B$29,0))="","",INDEX(Config!$E$9:$E$29,MATCH($B4876,Config!$B$9:$B$29,0))),""),""))</f>
        <v/>
      </c>
      <c r="AC4876" s="19" t="str">
        <f>IF($B4876="","",IFERROR(INDEX(Config!$D$9:$D$29,MATCH($B4876,Config!$B$9:$B$29,0))&amp;"",""))</f>
        <v/>
      </c>
    </row>
    <row r="4877">
      <c r="R4877" s="20" t="str">
        <f>IF($B4877="","",IFERROR(IF(INDEX(Config!$D$9:$D$29,MATCH($B4877,Config!$B$9:$B$29,0))="Contrato",IF(INDEX(Config!$E$9:$E$29,MATCH($B4877,Config!$B$9:$B$29,0))="","",INDEX(Config!$E$9:$E$29,MATCH($B4877,Config!$B$9:$B$29,0))),""),""))</f>
        <v/>
      </c>
      <c r="AC4877" s="19" t="str">
        <f>IF($B4877="","",IFERROR(INDEX(Config!$D$9:$D$29,MATCH($B4877,Config!$B$9:$B$29,0))&amp;"",""))</f>
        <v/>
      </c>
    </row>
    <row r="4878">
      <c r="R4878" s="20" t="str">
        <f>IF($B4878="","",IFERROR(IF(INDEX(Config!$D$9:$D$29,MATCH($B4878,Config!$B$9:$B$29,0))="Contrato",IF(INDEX(Config!$E$9:$E$29,MATCH($B4878,Config!$B$9:$B$29,0))="","",INDEX(Config!$E$9:$E$29,MATCH($B4878,Config!$B$9:$B$29,0))),""),""))</f>
        <v/>
      </c>
      <c r="AC4878" s="19" t="str">
        <f>IF($B4878="","",IFERROR(INDEX(Config!$D$9:$D$29,MATCH($B4878,Config!$B$9:$B$29,0))&amp;"",""))</f>
        <v/>
      </c>
    </row>
    <row r="4879">
      <c r="R4879" s="20" t="str">
        <f>IF($B4879="","",IFERROR(IF(INDEX(Config!$D$9:$D$29,MATCH($B4879,Config!$B$9:$B$29,0))="Contrato",IF(INDEX(Config!$E$9:$E$29,MATCH($B4879,Config!$B$9:$B$29,0))="","",INDEX(Config!$E$9:$E$29,MATCH($B4879,Config!$B$9:$B$29,0))),""),""))</f>
        <v/>
      </c>
      <c r="AC4879" s="19" t="str">
        <f>IF($B4879="","",IFERROR(INDEX(Config!$D$9:$D$29,MATCH($B4879,Config!$B$9:$B$29,0))&amp;"",""))</f>
        <v/>
      </c>
    </row>
    <row r="4880">
      <c r="R4880" s="20" t="str">
        <f>IF($B4880="","",IFERROR(IF(INDEX(Config!$D$9:$D$29,MATCH($B4880,Config!$B$9:$B$29,0))="Contrato",IF(INDEX(Config!$E$9:$E$29,MATCH($B4880,Config!$B$9:$B$29,0))="","",INDEX(Config!$E$9:$E$29,MATCH($B4880,Config!$B$9:$B$29,0))),""),""))</f>
        <v/>
      </c>
      <c r="AC4880" s="19" t="str">
        <f>IF($B4880="","",IFERROR(INDEX(Config!$D$9:$D$29,MATCH($B4880,Config!$B$9:$B$29,0))&amp;"",""))</f>
        <v/>
      </c>
    </row>
    <row r="4881">
      <c r="R4881" s="20" t="str">
        <f>IF($B4881="","",IFERROR(IF(INDEX(Config!$D$9:$D$29,MATCH($B4881,Config!$B$9:$B$29,0))="Contrato",IF(INDEX(Config!$E$9:$E$29,MATCH($B4881,Config!$B$9:$B$29,0))="","",INDEX(Config!$E$9:$E$29,MATCH($B4881,Config!$B$9:$B$29,0))),""),""))</f>
        <v/>
      </c>
      <c r="AC4881" s="19" t="str">
        <f>IF($B4881="","",IFERROR(INDEX(Config!$D$9:$D$29,MATCH($B4881,Config!$B$9:$B$29,0))&amp;"",""))</f>
        <v/>
      </c>
    </row>
    <row r="4882">
      <c r="R4882" s="20" t="str">
        <f>IF($B4882="","",IFERROR(IF(INDEX(Config!$D$9:$D$29,MATCH($B4882,Config!$B$9:$B$29,0))="Contrato",IF(INDEX(Config!$E$9:$E$29,MATCH($B4882,Config!$B$9:$B$29,0))="","",INDEX(Config!$E$9:$E$29,MATCH($B4882,Config!$B$9:$B$29,0))),""),""))</f>
        <v/>
      </c>
      <c r="AC4882" s="19" t="str">
        <f>IF($B4882="","",IFERROR(INDEX(Config!$D$9:$D$29,MATCH($B4882,Config!$B$9:$B$29,0))&amp;"",""))</f>
        <v/>
      </c>
    </row>
    <row r="4883">
      <c r="R4883" s="20" t="str">
        <f>IF($B4883="","",IFERROR(IF(INDEX(Config!$D$9:$D$29,MATCH($B4883,Config!$B$9:$B$29,0))="Contrato",IF(INDEX(Config!$E$9:$E$29,MATCH($B4883,Config!$B$9:$B$29,0))="","",INDEX(Config!$E$9:$E$29,MATCH($B4883,Config!$B$9:$B$29,0))),""),""))</f>
        <v/>
      </c>
      <c r="AC4883" s="19" t="str">
        <f>IF($B4883="","",IFERROR(INDEX(Config!$D$9:$D$29,MATCH($B4883,Config!$B$9:$B$29,0))&amp;"",""))</f>
        <v/>
      </c>
    </row>
    <row r="4884">
      <c r="R4884" s="20" t="str">
        <f>IF($B4884="","",IFERROR(IF(INDEX(Config!$D$9:$D$29,MATCH($B4884,Config!$B$9:$B$29,0))="Contrato",IF(INDEX(Config!$E$9:$E$29,MATCH($B4884,Config!$B$9:$B$29,0))="","",INDEX(Config!$E$9:$E$29,MATCH($B4884,Config!$B$9:$B$29,0))),""),""))</f>
        <v/>
      </c>
      <c r="AC4884" s="19" t="str">
        <f>IF($B4884="","",IFERROR(INDEX(Config!$D$9:$D$29,MATCH($B4884,Config!$B$9:$B$29,0))&amp;"",""))</f>
        <v/>
      </c>
    </row>
    <row r="4885">
      <c r="R4885" s="20" t="str">
        <f>IF($B4885="","",IFERROR(IF(INDEX(Config!$D$9:$D$29,MATCH($B4885,Config!$B$9:$B$29,0))="Contrato",IF(INDEX(Config!$E$9:$E$29,MATCH($B4885,Config!$B$9:$B$29,0))="","",INDEX(Config!$E$9:$E$29,MATCH($B4885,Config!$B$9:$B$29,0))),""),""))</f>
        <v/>
      </c>
      <c r="AC4885" s="19" t="str">
        <f>IF($B4885="","",IFERROR(INDEX(Config!$D$9:$D$29,MATCH($B4885,Config!$B$9:$B$29,0))&amp;"",""))</f>
        <v/>
      </c>
    </row>
    <row r="4886">
      <c r="R4886" s="20" t="str">
        <f>IF($B4886="","",IFERROR(IF(INDEX(Config!$D$9:$D$29,MATCH($B4886,Config!$B$9:$B$29,0))="Contrato",IF(INDEX(Config!$E$9:$E$29,MATCH($B4886,Config!$B$9:$B$29,0))="","",INDEX(Config!$E$9:$E$29,MATCH($B4886,Config!$B$9:$B$29,0))),""),""))</f>
        <v/>
      </c>
      <c r="AC4886" s="19" t="str">
        <f>IF($B4886="","",IFERROR(INDEX(Config!$D$9:$D$29,MATCH($B4886,Config!$B$9:$B$29,0))&amp;"",""))</f>
        <v/>
      </c>
    </row>
    <row r="4887">
      <c r="R4887" s="20" t="str">
        <f>IF($B4887="","",IFERROR(IF(INDEX(Config!$D$9:$D$29,MATCH($B4887,Config!$B$9:$B$29,0))="Contrato",IF(INDEX(Config!$E$9:$E$29,MATCH($B4887,Config!$B$9:$B$29,0))="","",INDEX(Config!$E$9:$E$29,MATCH($B4887,Config!$B$9:$B$29,0))),""),""))</f>
        <v/>
      </c>
      <c r="AC4887" s="19" t="str">
        <f>IF($B4887="","",IFERROR(INDEX(Config!$D$9:$D$29,MATCH($B4887,Config!$B$9:$B$29,0))&amp;"",""))</f>
        <v/>
      </c>
    </row>
    <row r="4888">
      <c r="R4888" s="20" t="str">
        <f>IF($B4888="","",IFERROR(IF(INDEX(Config!$D$9:$D$29,MATCH($B4888,Config!$B$9:$B$29,0))="Contrato",IF(INDEX(Config!$E$9:$E$29,MATCH($B4888,Config!$B$9:$B$29,0))="","",INDEX(Config!$E$9:$E$29,MATCH($B4888,Config!$B$9:$B$29,0))),""),""))</f>
        <v/>
      </c>
      <c r="AC4888" s="19" t="str">
        <f>IF($B4888="","",IFERROR(INDEX(Config!$D$9:$D$29,MATCH($B4888,Config!$B$9:$B$29,0))&amp;"",""))</f>
        <v/>
      </c>
    </row>
    <row r="4889">
      <c r="R4889" s="20" t="str">
        <f>IF($B4889="","",IFERROR(IF(INDEX(Config!$D$9:$D$29,MATCH($B4889,Config!$B$9:$B$29,0))="Contrato",IF(INDEX(Config!$E$9:$E$29,MATCH($B4889,Config!$B$9:$B$29,0))="","",INDEX(Config!$E$9:$E$29,MATCH($B4889,Config!$B$9:$B$29,0))),""),""))</f>
        <v/>
      </c>
      <c r="AC4889" s="19" t="str">
        <f>IF($B4889="","",IFERROR(INDEX(Config!$D$9:$D$29,MATCH($B4889,Config!$B$9:$B$29,0))&amp;"",""))</f>
        <v/>
      </c>
    </row>
    <row r="4890">
      <c r="R4890" s="20" t="str">
        <f>IF($B4890="","",IFERROR(IF(INDEX(Config!$D$9:$D$29,MATCH($B4890,Config!$B$9:$B$29,0))="Contrato",IF(INDEX(Config!$E$9:$E$29,MATCH($B4890,Config!$B$9:$B$29,0))="","",INDEX(Config!$E$9:$E$29,MATCH($B4890,Config!$B$9:$B$29,0))),""),""))</f>
        <v/>
      </c>
      <c r="AC4890" s="19" t="str">
        <f>IF($B4890="","",IFERROR(INDEX(Config!$D$9:$D$29,MATCH($B4890,Config!$B$9:$B$29,0))&amp;"",""))</f>
        <v/>
      </c>
    </row>
    <row r="4891">
      <c r="R4891" s="20" t="str">
        <f>IF($B4891="","",IFERROR(IF(INDEX(Config!$D$9:$D$29,MATCH($B4891,Config!$B$9:$B$29,0))="Contrato",IF(INDEX(Config!$E$9:$E$29,MATCH($B4891,Config!$B$9:$B$29,0))="","",INDEX(Config!$E$9:$E$29,MATCH($B4891,Config!$B$9:$B$29,0))),""),""))</f>
        <v/>
      </c>
      <c r="AC4891" s="19" t="str">
        <f>IF($B4891="","",IFERROR(INDEX(Config!$D$9:$D$29,MATCH($B4891,Config!$B$9:$B$29,0))&amp;"",""))</f>
        <v/>
      </c>
    </row>
    <row r="4892">
      <c r="R4892" s="20" t="str">
        <f>IF($B4892="","",IFERROR(IF(INDEX(Config!$D$9:$D$29,MATCH($B4892,Config!$B$9:$B$29,0))="Contrato",IF(INDEX(Config!$E$9:$E$29,MATCH($B4892,Config!$B$9:$B$29,0))="","",INDEX(Config!$E$9:$E$29,MATCH($B4892,Config!$B$9:$B$29,0))),""),""))</f>
        <v/>
      </c>
      <c r="AC4892" s="19" t="str">
        <f>IF($B4892="","",IFERROR(INDEX(Config!$D$9:$D$29,MATCH($B4892,Config!$B$9:$B$29,0))&amp;"",""))</f>
        <v/>
      </c>
    </row>
    <row r="4893">
      <c r="R4893" s="20" t="str">
        <f>IF($B4893="","",IFERROR(IF(INDEX(Config!$D$9:$D$29,MATCH($B4893,Config!$B$9:$B$29,0))="Contrato",IF(INDEX(Config!$E$9:$E$29,MATCH($B4893,Config!$B$9:$B$29,0))="","",INDEX(Config!$E$9:$E$29,MATCH($B4893,Config!$B$9:$B$29,0))),""),""))</f>
        <v/>
      </c>
      <c r="AC4893" s="19" t="str">
        <f>IF($B4893="","",IFERROR(INDEX(Config!$D$9:$D$29,MATCH($B4893,Config!$B$9:$B$29,0))&amp;"",""))</f>
        <v/>
      </c>
    </row>
    <row r="4894">
      <c r="R4894" s="20" t="str">
        <f>IF($B4894="","",IFERROR(IF(INDEX(Config!$D$9:$D$29,MATCH($B4894,Config!$B$9:$B$29,0))="Contrato",IF(INDEX(Config!$E$9:$E$29,MATCH($B4894,Config!$B$9:$B$29,0))="","",INDEX(Config!$E$9:$E$29,MATCH($B4894,Config!$B$9:$B$29,0))),""),""))</f>
        <v/>
      </c>
      <c r="AC4894" s="19" t="str">
        <f>IF($B4894="","",IFERROR(INDEX(Config!$D$9:$D$29,MATCH($B4894,Config!$B$9:$B$29,0))&amp;"",""))</f>
        <v/>
      </c>
    </row>
    <row r="4895">
      <c r="R4895" s="20" t="str">
        <f>IF($B4895="","",IFERROR(IF(INDEX(Config!$D$9:$D$29,MATCH($B4895,Config!$B$9:$B$29,0))="Contrato",IF(INDEX(Config!$E$9:$E$29,MATCH($B4895,Config!$B$9:$B$29,0))="","",INDEX(Config!$E$9:$E$29,MATCH($B4895,Config!$B$9:$B$29,0))),""),""))</f>
        <v/>
      </c>
      <c r="AC4895" s="19" t="str">
        <f>IF($B4895="","",IFERROR(INDEX(Config!$D$9:$D$29,MATCH($B4895,Config!$B$9:$B$29,0))&amp;"",""))</f>
        <v/>
      </c>
    </row>
    <row r="4896">
      <c r="R4896" s="20" t="str">
        <f>IF($B4896="","",IFERROR(IF(INDEX(Config!$D$9:$D$29,MATCH($B4896,Config!$B$9:$B$29,0))="Contrato",IF(INDEX(Config!$E$9:$E$29,MATCH($B4896,Config!$B$9:$B$29,0))="","",INDEX(Config!$E$9:$E$29,MATCH($B4896,Config!$B$9:$B$29,0))),""),""))</f>
        <v/>
      </c>
      <c r="AC4896" s="19" t="str">
        <f>IF($B4896="","",IFERROR(INDEX(Config!$D$9:$D$29,MATCH($B4896,Config!$B$9:$B$29,0))&amp;"",""))</f>
        <v/>
      </c>
    </row>
    <row r="4897">
      <c r="R4897" s="20" t="str">
        <f>IF($B4897="","",IFERROR(IF(INDEX(Config!$D$9:$D$29,MATCH($B4897,Config!$B$9:$B$29,0))="Contrato",IF(INDEX(Config!$E$9:$E$29,MATCH($B4897,Config!$B$9:$B$29,0))="","",INDEX(Config!$E$9:$E$29,MATCH($B4897,Config!$B$9:$B$29,0))),""),""))</f>
        <v/>
      </c>
      <c r="AC4897" s="19" t="str">
        <f>IF($B4897="","",IFERROR(INDEX(Config!$D$9:$D$29,MATCH($B4897,Config!$B$9:$B$29,0))&amp;"",""))</f>
        <v/>
      </c>
    </row>
    <row r="4898">
      <c r="R4898" s="20" t="str">
        <f>IF($B4898="","",IFERROR(IF(INDEX(Config!$D$9:$D$29,MATCH($B4898,Config!$B$9:$B$29,0))="Contrato",IF(INDEX(Config!$E$9:$E$29,MATCH($B4898,Config!$B$9:$B$29,0))="","",INDEX(Config!$E$9:$E$29,MATCH($B4898,Config!$B$9:$B$29,0))),""),""))</f>
        <v/>
      </c>
      <c r="AC4898" s="19" t="str">
        <f>IF($B4898="","",IFERROR(INDEX(Config!$D$9:$D$29,MATCH($B4898,Config!$B$9:$B$29,0))&amp;"",""))</f>
        <v/>
      </c>
    </row>
    <row r="4899">
      <c r="R4899" s="20" t="str">
        <f>IF($B4899="","",IFERROR(IF(INDEX(Config!$D$9:$D$29,MATCH($B4899,Config!$B$9:$B$29,0))="Contrato",IF(INDEX(Config!$E$9:$E$29,MATCH($B4899,Config!$B$9:$B$29,0))="","",INDEX(Config!$E$9:$E$29,MATCH($B4899,Config!$B$9:$B$29,0))),""),""))</f>
        <v/>
      </c>
      <c r="AC4899" s="19" t="str">
        <f>IF($B4899="","",IFERROR(INDEX(Config!$D$9:$D$29,MATCH($B4899,Config!$B$9:$B$29,0))&amp;"",""))</f>
        <v/>
      </c>
    </row>
    <row r="4900">
      <c r="R4900" s="20" t="str">
        <f>IF($B4900="","",IFERROR(IF(INDEX(Config!$D$9:$D$29,MATCH($B4900,Config!$B$9:$B$29,0))="Contrato",IF(INDEX(Config!$E$9:$E$29,MATCH($B4900,Config!$B$9:$B$29,0))="","",INDEX(Config!$E$9:$E$29,MATCH($B4900,Config!$B$9:$B$29,0))),""),""))</f>
        <v/>
      </c>
      <c r="AC4900" s="19" t="str">
        <f>IF($B4900="","",IFERROR(INDEX(Config!$D$9:$D$29,MATCH($B4900,Config!$B$9:$B$29,0))&amp;"",""))</f>
        <v/>
      </c>
    </row>
    <row r="4901">
      <c r="R4901" s="20" t="str">
        <f>IF($B4901="","",IFERROR(IF(INDEX(Config!$D$9:$D$29,MATCH($B4901,Config!$B$9:$B$29,0))="Contrato",IF(INDEX(Config!$E$9:$E$29,MATCH($B4901,Config!$B$9:$B$29,0))="","",INDEX(Config!$E$9:$E$29,MATCH($B4901,Config!$B$9:$B$29,0))),""),""))</f>
        <v/>
      </c>
      <c r="AC4901" s="19" t="str">
        <f>IF($B4901="","",IFERROR(INDEX(Config!$D$9:$D$29,MATCH($B4901,Config!$B$9:$B$29,0))&amp;"",""))</f>
        <v/>
      </c>
    </row>
    <row r="4902">
      <c r="R4902" s="20" t="str">
        <f>IF($B4902="","",IFERROR(IF(INDEX(Config!$D$9:$D$29,MATCH($B4902,Config!$B$9:$B$29,0))="Contrato",IF(INDEX(Config!$E$9:$E$29,MATCH($B4902,Config!$B$9:$B$29,0))="","",INDEX(Config!$E$9:$E$29,MATCH($B4902,Config!$B$9:$B$29,0))),""),""))</f>
        <v/>
      </c>
      <c r="AC4902" s="19" t="str">
        <f>IF($B4902="","",IFERROR(INDEX(Config!$D$9:$D$29,MATCH($B4902,Config!$B$9:$B$29,0))&amp;"",""))</f>
        <v/>
      </c>
    </row>
    <row r="4903">
      <c r="R4903" s="20" t="str">
        <f>IF($B4903="","",IFERROR(IF(INDEX(Config!$D$9:$D$29,MATCH($B4903,Config!$B$9:$B$29,0))="Contrato",IF(INDEX(Config!$E$9:$E$29,MATCH($B4903,Config!$B$9:$B$29,0))="","",INDEX(Config!$E$9:$E$29,MATCH($B4903,Config!$B$9:$B$29,0))),""),""))</f>
        <v/>
      </c>
      <c r="AC4903" s="19" t="str">
        <f>IF($B4903="","",IFERROR(INDEX(Config!$D$9:$D$29,MATCH($B4903,Config!$B$9:$B$29,0))&amp;"",""))</f>
        <v/>
      </c>
    </row>
    <row r="4904">
      <c r="R4904" s="20" t="str">
        <f>IF($B4904="","",IFERROR(IF(INDEX(Config!$D$9:$D$29,MATCH($B4904,Config!$B$9:$B$29,0))="Contrato",IF(INDEX(Config!$E$9:$E$29,MATCH($B4904,Config!$B$9:$B$29,0))="","",INDEX(Config!$E$9:$E$29,MATCH($B4904,Config!$B$9:$B$29,0))),""),""))</f>
        <v/>
      </c>
      <c r="AC4904" s="19" t="str">
        <f>IF($B4904="","",IFERROR(INDEX(Config!$D$9:$D$29,MATCH($B4904,Config!$B$9:$B$29,0))&amp;"",""))</f>
        <v/>
      </c>
    </row>
    <row r="4905">
      <c r="R4905" s="20" t="str">
        <f>IF($B4905="","",IFERROR(IF(INDEX(Config!$D$9:$D$29,MATCH($B4905,Config!$B$9:$B$29,0))="Contrato",IF(INDEX(Config!$E$9:$E$29,MATCH($B4905,Config!$B$9:$B$29,0))="","",INDEX(Config!$E$9:$E$29,MATCH($B4905,Config!$B$9:$B$29,0))),""),""))</f>
        <v/>
      </c>
      <c r="AC4905" s="19" t="str">
        <f>IF($B4905="","",IFERROR(INDEX(Config!$D$9:$D$29,MATCH($B4905,Config!$B$9:$B$29,0))&amp;"",""))</f>
        <v/>
      </c>
    </row>
    <row r="4906">
      <c r="R4906" s="20" t="str">
        <f>IF($B4906="","",IFERROR(IF(INDEX(Config!$D$9:$D$29,MATCH($B4906,Config!$B$9:$B$29,0))="Contrato",IF(INDEX(Config!$E$9:$E$29,MATCH($B4906,Config!$B$9:$B$29,0))="","",INDEX(Config!$E$9:$E$29,MATCH($B4906,Config!$B$9:$B$29,0))),""),""))</f>
        <v/>
      </c>
      <c r="AC4906" s="19" t="str">
        <f>IF($B4906="","",IFERROR(INDEX(Config!$D$9:$D$29,MATCH($B4906,Config!$B$9:$B$29,0))&amp;"",""))</f>
        <v/>
      </c>
    </row>
    <row r="4907">
      <c r="R4907" s="20" t="str">
        <f>IF($B4907="","",IFERROR(IF(INDEX(Config!$D$9:$D$29,MATCH($B4907,Config!$B$9:$B$29,0))="Contrato",IF(INDEX(Config!$E$9:$E$29,MATCH($B4907,Config!$B$9:$B$29,0))="","",INDEX(Config!$E$9:$E$29,MATCH($B4907,Config!$B$9:$B$29,0))),""),""))</f>
        <v/>
      </c>
      <c r="AC4907" s="19" t="str">
        <f>IF($B4907="","",IFERROR(INDEX(Config!$D$9:$D$29,MATCH($B4907,Config!$B$9:$B$29,0))&amp;"",""))</f>
        <v/>
      </c>
    </row>
    <row r="4908">
      <c r="R4908" s="20" t="str">
        <f>IF($B4908="","",IFERROR(IF(INDEX(Config!$D$9:$D$29,MATCH($B4908,Config!$B$9:$B$29,0))="Contrato",IF(INDEX(Config!$E$9:$E$29,MATCH($B4908,Config!$B$9:$B$29,0))="","",INDEX(Config!$E$9:$E$29,MATCH($B4908,Config!$B$9:$B$29,0))),""),""))</f>
        <v/>
      </c>
      <c r="AC4908" s="19" t="str">
        <f>IF($B4908="","",IFERROR(INDEX(Config!$D$9:$D$29,MATCH($B4908,Config!$B$9:$B$29,0))&amp;"",""))</f>
        <v/>
      </c>
    </row>
    <row r="4909">
      <c r="R4909" s="20" t="str">
        <f>IF($B4909="","",IFERROR(IF(INDEX(Config!$D$9:$D$29,MATCH($B4909,Config!$B$9:$B$29,0))="Contrato",IF(INDEX(Config!$E$9:$E$29,MATCH($B4909,Config!$B$9:$B$29,0))="","",INDEX(Config!$E$9:$E$29,MATCH($B4909,Config!$B$9:$B$29,0))),""),""))</f>
        <v/>
      </c>
      <c r="AC4909" s="19" t="str">
        <f>IF($B4909="","",IFERROR(INDEX(Config!$D$9:$D$29,MATCH($B4909,Config!$B$9:$B$29,0))&amp;"",""))</f>
        <v/>
      </c>
    </row>
    <row r="4910">
      <c r="R4910" s="20" t="str">
        <f>IF($B4910="","",IFERROR(IF(INDEX(Config!$D$9:$D$29,MATCH($B4910,Config!$B$9:$B$29,0))="Contrato",IF(INDEX(Config!$E$9:$E$29,MATCH($B4910,Config!$B$9:$B$29,0))="","",INDEX(Config!$E$9:$E$29,MATCH($B4910,Config!$B$9:$B$29,0))),""),""))</f>
        <v/>
      </c>
      <c r="AC4910" s="19" t="str">
        <f>IF($B4910="","",IFERROR(INDEX(Config!$D$9:$D$29,MATCH($B4910,Config!$B$9:$B$29,0))&amp;"",""))</f>
        <v/>
      </c>
    </row>
    <row r="4911">
      <c r="R4911" s="20" t="str">
        <f>IF($B4911="","",IFERROR(IF(INDEX(Config!$D$9:$D$29,MATCH($B4911,Config!$B$9:$B$29,0))="Contrato",IF(INDEX(Config!$E$9:$E$29,MATCH($B4911,Config!$B$9:$B$29,0))="","",INDEX(Config!$E$9:$E$29,MATCH($B4911,Config!$B$9:$B$29,0))),""),""))</f>
        <v/>
      </c>
      <c r="AC4911" s="19" t="str">
        <f>IF($B4911="","",IFERROR(INDEX(Config!$D$9:$D$29,MATCH($B4911,Config!$B$9:$B$29,0))&amp;"",""))</f>
        <v/>
      </c>
    </row>
    <row r="4912">
      <c r="R4912" s="20" t="str">
        <f>IF($B4912="","",IFERROR(IF(INDEX(Config!$D$9:$D$29,MATCH($B4912,Config!$B$9:$B$29,0))="Contrato",IF(INDEX(Config!$E$9:$E$29,MATCH($B4912,Config!$B$9:$B$29,0))="","",INDEX(Config!$E$9:$E$29,MATCH($B4912,Config!$B$9:$B$29,0))),""),""))</f>
        <v/>
      </c>
      <c r="AC4912" s="19" t="str">
        <f>IF($B4912="","",IFERROR(INDEX(Config!$D$9:$D$29,MATCH($B4912,Config!$B$9:$B$29,0))&amp;"",""))</f>
        <v/>
      </c>
    </row>
    <row r="4913">
      <c r="R4913" s="20" t="str">
        <f>IF($B4913="","",IFERROR(IF(INDEX(Config!$D$9:$D$29,MATCH($B4913,Config!$B$9:$B$29,0))="Contrato",IF(INDEX(Config!$E$9:$E$29,MATCH($B4913,Config!$B$9:$B$29,0))="","",INDEX(Config!$E$9:$E$29,MATCH($B4913,Config!$B$9:$B$29,0))),""),""))</f>
        <v/>
      </c>
      <c r="AC4913" s="19" t="str">
        <f>IF($B4913="","",IFERROR(INDEX(Config!$D$9:$D$29,MATCH($B4913,Config!$B$9:$B$29,0))&amp;"",""))</f>
        <v/>
      </c>
    </row>
    <row r="4914">
      <c r="R4914" s="20" t="str">
        <f>IF($B4914="","",IFERROR(IF(INDEX(Config!$D$9:$D$29,MATCH($B4914,Config!$B$9:$B$29,0))="Contrato",IF(INDEX(Config!$E$9:$E$29,MATCH($B4914,Config!$B$9:$B$29,0))="","",INDEX(Config!$E$9:$E$29,MATCH($B4914,Config!$B$9:$B$29,0))),""),""))</f>
        <v/>
      </c>
      <c r="AC4914" s="19" t="str">
        <f>IF($B4914="","",IFERROR(INDEX(Config!$D$9:$D$29,MATCH($B4914,Config!$B$9:$B$29,0))&amp;"",""))</f>
        <v/>
      </c>
    </row>
    <row r="4915">
      <c r="R4915" s="20" t="str">
        <f>IF($B4915="","",IFERROR(IF(INDEX(Config!$D$9:$D$29,MATCH($B4915,Config!$B$9:$B$29,0))="Contrato",IF(INDEX(Config!$E$9:$E$29,MATCH($B4915,Config!$B$9:$B$29,0))="","",INDEX(Config!$E$9:$E$29,MATCH($B4915,Config!$B$9:$B$29,0))),""),""))</f>
        <v/>
      </c>
      <c r="AC4915" s="19" t="str">
        <f>IF($B4915="","",IFERROR(INDEX(Config!$D$9:$D$29,MATCH($B4915,Config!$B$9:$B$29,0))&amp;"",""))</f>
        <v/>
      </c>
    </row>
    <row r="4916">
      <c r="R4916" s="20" t="str">
        <f>IF($B4916="","",IFERROR(IF(INDEX(Config!$D$9:$D$29,MATCH($B4916,Config!$B$9:$B$29,0))="Contrato",IF(INDEX(Config!$E$9:$E$29,MATCH($B4916,Config!$B$9:$B$29,0))="","",INDEX(Config!$E$9:$E$29,MATCH($B4916,Config!$B$9:$B$29,0))),""),""))</f>
        <v/>
      </c>
      <c r="AC4916" s="19" t="str">
        <f>IF($B4916="","",IFERROR(INDEX(Config!$D$9:$D$29,MATCH($B4916,Config!$B$9:$B$29,0))&amp;"",""))</f>
        <v/>
      </c>
    </row>
    <row r="4917">
      <c r="R4917" s="20" t="str">
        <f>IF($B4917="","",IFERROR(IF(INDEX(Config!$D$9:$D$29,MATCH($B4917,Config!$B$9:$B$29,0))="Contrato",IF(INDEX(Config!$E$9:$E$29,MATCH($B4917,Config!$B$9:$B$29,0))="","",INDEX(Config!$E$9:$E$29,MATCH($B4917,Config!$B$9:$B$29,0))),""),""))</f>
        <v/>
      </c>
      <c r="AC4917" s="19" t="str">
        <f>IF($B4917="","",IFERROR(INDEX(Config!$D$9:$D$29,MATCH($B4917,Config!$B$9:$B$29,0))&amp;"",""))</f>
        <v/>
      </c>
    </row>
    <row r="4918">
      <c r="R4918" s="20" t="str">
        <f>IF($B4918="","",IFERROR(IF(INDEX(Config!$D$9:$D$29,MATCH($B4918,Config!$B$9:$B$29,0))="Contrato",IF(INDEX(Config!$E$9:$E$29,MATCH($B4918,Config!$B$9:$B$29,0))="","",INDEX(Config!$E$9:$E$29,MATCH($B4918,Config!$B$9:$B$29,0))),""),""))</f>
        <v/>
      </c>
      <c r="AC4918" s="19" t="str">
        <f>IF($B4918="","",IFERROR(INDEX(Config!$D$9:$D$29,MATCH($B4918,Config!$B$9:$B$29,0))&amp;"",""))</f>
        <v/>
      </c>
    </row>
    <row r="4919">
      <c r="R4919" s="20" t="str">
        <f>IF($B4919="","",IFERROR(IF(INDEX(Config!$D$9:$D$29,MATCH($B4919,Config!$B$9:$B$29,0))="Contrato",IF(INDEX(Config!$E$9:$E$29,MATCH($B4919,Config!$B$9:$B$29,0))="","",INDEX(Config!$E$9:$E$29,MATCH($B4919,Config!$B$9:$B$29,0))),""),""))</f>
        <v/>
      </c>
      <c r="AC4919" s="19" t="str">
        <f>IF($B4919="","",IFERROR(INDEX(Config!$D$9:$D$29,MATCH($B4919,Config!$B$9:$B$29,0))&amp;"",""))</f>
        <v/>
      </c>
    </row>
    <row r="4920">
      <c r="R4920" s="20" t="str">
        <f>IF($B4920="","",IFERROR(IF(INDEX(Config!$D$9:$D$29,MATCH($B4920,Config!$B$9:$B$29,0))="Contrato",IF(INDEX(Config!$E$9:$E$29,MATCH($B4920,Config!$B$9:$B$29,0))="","",INDEX(Config!$E$9:$E$29,MATCH($B4920,Config!$B$9:$B$29,0))),""),""))</f>
        <v/>
      </c>
      <c r="AC4920" s="19" t="str">
        <f>IF($B4920="","",IFERROR(INDEX(Config!$D$9:$D$29,MATCH($B4920,Config!$B$9:$B$29,0))&amp;"",""))</f>
        <v/>
      </c>
    </row>
    <row r="4921">
      <c r="R4921" s="20" t="str">
        <f>IF($B4921="","",IFERROR(IF(INDEX(Config!$D$9:$D$29,MATCH($B4921,Config!$B$9:$B$29,0))="Contrato",IF(INDEX(Config!$E$9:$E$29,MATCH($B4921,Config!$B$9:$B$29,0))="","",INDEX(Config!$E$9:$E$29,MATCH($B4921,Config!$B$9:$B$29,0))),""),""))</f>
        <v/>
      </c>
      <c r="AC4921" s="19" t="str">
        <f>IF($B4921="","",IFERROR(INDEX(Config!$D$9:$D$29,MATCH($B4921,Config!$B$9:$B$29,0))&amp;"",""))</f>
        <v/>
      </c>
    </row>
    <row r="4922">
      <c r="R4922" s="20" t="str">
        <f>IF($B4922="","",IFERROR(IF(INDEX(Config!$D$9:$D$29,MATCH($B4922,Config!$B$9:$B$29,0))="Contrato",IF(INDEX(Config!$E$9:$E$29,MATCH($B4922,Config!$B$9:$B$29,0))="","",INDEX(Config!$E$9:$E$29,MATCH($B4922,Config!$B$9:$B$29,0))),""),""))</f>
        <v/>
      </c>
      <c r="AC4922" s="19" t="str">
        <f>IF($B4922="","",IFERROR(INDEX(Config!$D$9:$D$29,MATCH($B4922,Config!$B$9:$B$29,0))&amp;"",""))</f>
        <v/>
      </c>
    </row>
    <row r="4923">
      <c r="R4923" s="20" t="str">
        <f>IF($B4923="","",IFERROR(IF(INDEX(Config!$D$9:$D$29,MATCH($B4923,Config!$B$9:$B$29,0))="Contrato",IF(INDEX(Config!$E$9:$E$29,MATCH($B4923,Config!$B$9:$B$29,0))="","",INDEX(Config!$E$9:$E$29,MATCH($B4923,Config!$B$9:$B$29,0))),""),""))</f>
        <v/>
      </c>
      <c r="AC4923" s="19" t="str">
        <f>IF($B4923="","",IFERROR(INDEX(Config!$D$9:$D$29,MATCH($B4923,Config!$B$9:$B$29,0))&amp;"",""))</f>
        <v/>
      </c>
    </row>
    <row r="4924">
      <c r="R4924" s="20" t="str">
        <f>IF($B4924="","",IFERROR(IF(INDEX(Config!$D$9:$D$29,MATCH($B4924,Config!$B$9:$B$29,0))="Contrato",IF(INDEX(Config!$E$9:$E$29,MATCH($B4924,Config!$B$9:$B$29,0))="","",INDEX(Config!$E$9:$E$29,MATCH($B4924,Config!$B$9:$B$29,0))),""),""))</f>
        <v/>
      </c>
      <c r="AC4924" s="19" t="str">
        <f>IF($B4924="","",IFERROR(INDEX(Config!$D$9:$D$29,MATCH($B4924,Config!$B$9:$B$29,0))&amp;"",""))</f>
        <v/>
      </c>
    </row>
    <row r="4925">
      <c r="R4925" s="20" t="str">
        <f>IF($B4925="","",IFERROR(IF(INDEX(Config!$D$9:$D$29,MATCH($B4925,Config!$B$9:$B$29,0))="Contrato",IF(INDEX(Config!$E$9:$E$29,MATCH($B4925,Config!$B$9:$B$29,0))="","",INDEX(Config!$E$9:$E$29,MATCH($B4925,Config!$B$9:$B$29,0))),""),""))</f>
        <v/>
      </c>
      <c r="AC4925" s="19" t="str">
        <f>IF($B4925="","",IFERROR(INDEX(Config!$D$9:$D$29,MATCH($B4925,Config!$B$9:$B$29,0))&amp;"",""))</f>
        <v/>
      </c>
    </row>
    <row r="4926">
      <c r="R4926" s="20" t="str">
        <f>IF($B4926="","",IFERROR(IF(INDEX(Config!$D$9:$D$29,MATCH($B4926,Config!$B$9:$B$29,0))="Contrato",IF(INDEX(Config!$E$9:$E$29,MATCH($B4926,Config!$B$9:$B$29,0))="","",INDEX(Config!$E$9:$E$29,MATCH($B4926,Config!$B$9:$B$29,0))),""),""))</f>
        <v/>
      </c>
      <c r="AC4926" s="19" t="str">
        <f>IF($B4926="","",IFERROR(INDEX(Config!$D$9:$D$29,MATCH($B4926,Config!$B$9:$B$29,0))&amp;"",""))</f>
        <v/>
      </c>
    </row>
    <row r="4927">
      <c r="R4927" s="20" t="str">
        <f>IF($B4927="","",IFERROR(IF(INDEX(Config!$D$9:$D$29,MATCH($B4927,Config!$B$9:$B$29,0))="Contrato",IF(INDEX(Config!$E$9:$E$29,MATCH($B4927,Config!$B$9:$B$29,0))="","",INDEX(Config!$E$9:$E$29,MATCH($B4927,Config!$B$9:$B$29,0))),""),""))</f>
        <v/>
      </c>
      <c r="AC4927" s="19" t="str">
        <f>IF($B4927="","",IFERROR(INDEX(Config!$D$9:$D$29,MATCH($B4927,Config!$B$9:$B$29,0))&amp;"",""))</f>
        <v/>
      </c>
    </row>
    <row r="4928">
      <c r="R4928" s="20" t="str">
        <f>IF($B4928="","",IFERROR(IF(INDEX(Config!$D$9:$D$29,MATCH($B4928,Config!$B$9:$B$29,0))="Contrato",IF(INDEX(Config!$E$9:$E$29,MATCH($B4928,Config!$B$9:$B$29,0))="","",INDEX(Config!$E$9:$E$29,MATCH($B4928,Config!$B$9:$B$29,0))),""),""))</f>
        <v/>
      </c>
      <c r="AC4928" s="19" t="str">
        <f>IF($B4928="","",IFERROR(INDEX(Config!$D$9:$D$29,MATCH($B4928,Config!$B$9:$B$29,0))&amp;"",""))</f>
        <v/>
      </c>
    </row>
    <row r="4929">
      <c r="R4929" s="20" t="str">
        <f>IF($B4929="","",IFERROR(IF(INDEX(Config!$D$9:$D$29,MATCH($B4929,Config!$B$9:$B$29,0))="Contrato",IF(INDEX(Config!$E$9:$E$29,MATCH($B4929,Config!$B$9:$B$29,0))="","",INDEX(Config!$E$9:$E$29,MATCH($B4929,Config!$B$9:$B$29,0))),""),""))</f>
        <v/>
      </c>
      <c r="AC4929" s="19" t="str">
        <f>IF($B4929="","",IFERROR(INDEX(Config!$D$9:$D$29,MATCH($B4929,Config!$B$9:$B$29,0))&amp;"",""))</f>
        <v/>
      </c>
    </row>
    <row r="4930">
      <c r="R4930" s="20" t="str">
        <f>IF($B4930="","",IFERROR(IF(INDEX(Config!$D$9:$D$29,MATCH($B4930,Config!$B$9:$B$29,0))="Contrato",IF(INDEX(Config!$E$9:$E$29,MATCH($B4930,Config!$B$9:$B$29,0))="","",INDEX(Config!$E$9:$E$29,MATCH($B4930,Config!$B$9:$B$29,0))),""),""))</f>
        <v/>
      </c>
      <c r="AC4930" s="19" t="str">
        <f>IF($B4930="","",IFERROR(INDEX(Config!$D$9:$D$29,MATCH($B4930,Config!$B$9:$B$29,0))&amp;"",""))</f>
        <v/>
      </c>
    </row>
    <row r="4931">
      <c r="R4931" s="20" t="str">
        <f>IF($B4931="","",IFERROR(IF(INDEX(Config!$D$9:$D$29,MATCH($B4931,Config!$B$9:$B$29,0))="Contrato",IF(INDEX(Config!$E$9:$E$29,MATCH($B4931,Config!$B$9:$B$29,0))="","",INDEX(Config!$E$9:$E$29,MATCH($B4931,Config!$B$9:$B$29,0))),""),""))</f>
        <v/>
      </c>
      <c r="AC4931" s="19" t="str">
        <f>IF($B4931="","",IFERROR(INDEX(Config!$D$9:$D$29,MATCH($B4931,Config!$B$9:$B$29,0))&amp;"",""))</f>
        <v/>
      </c>
    </row>
    <row r="4932">
      <c r="R4932" s="20" t="str">
        <f>IF($B4932="","",IFERROR(IF(INDEX(Config!$D$9:$D$29,MATCH($B4932,Config!$B$9:$B$29,0))="Contrato",IF(INDEX(Config!$E$9:$E$29,MATCH($B4932,Config!$B$9:$B$29,0))="","",INDEX(Config!$E$9:$E$29,MATCH($B4932,Config!$B$9:$B$29,0))),""),""))</f>
        <v/>
      </c>
      <c r="AC4932" s="19" t="str">
        <f>IF($B4932="","",IFERROR(INDEX(Config!$D$9:$D$29,MATCH($B4932,Config!$B$9:$B$29,0))&amp;"",""))</f>
        <v/>
      </c>
    </row>
    <row r="4933">
      <c r="R4933" s="20" t="str">
        <f>IF($B4933="","",IFERROR(IF(INDEX(Config!$D$9:$D$29,MATCH($B4933,Config!$B$9:$B$29,0))="Contrato",IF(INDEX(Config!$E$9:$E$29,MATCH($B4933,Config!$B$9:$B$29,0))="","",INDEX(Config!$E$9:$E$29,MATCH($B4933,Config!$B$9:$B$29,0))),""),""))</f>
        <v/>
      </c>
      <c r="AC4933" s="19" t="str">
        <f>IF($B4933="","",IFERROR(INDEX(Config!$D$9:$D$29,MATCH($B4933,Config!$B$9:$B$29,0))&amp;"",""))</f>
        <v/>
      </c>
    </row>
    <row r="4934">
      <c r="R4934" s="20" t="str">
        <f>IF($B4934="","",IFERROR(IF(INDEX(Config!$D$9:$D$29,MATCH($B4934,Config!$B$9:$B$29,0))="Contrato",IF(INDEX(Config!$E$9:$E$29,MATCH($B4934,Config!$B$9:$B$29,0))="","",INDEX(Config!$E$9:$E$29,MATCH($B4934,Config!$B$9:$B$29,0))),""),""))</f>
        <v/>
      </c>
      <c r="AC4934" s="19" t="str">
        <f>IF($B4934="","",IFERROR(INDEX(Config!$D$9:$D$29,MATCH($B4934,Config!$B$9:$B$29,0))&amp;"",""))</f>
        <v/>
      </c>
    </row>
    <row r="4935">
      <c r="R4935" s="20" t="str">
        <f>IF($B4935="","",IFERROR(IF(INDEX(Config!$D$9:$D$29,MATCH($B4935,Config!$B$9:$B$29,0))="Contrato",IF(INDEX(Config!$E$9:$E$29,MATCH($B4935,Config!$B$9:$B$29,0))="","",INDEX(Config!$E$9:$E$29,MATCH($B4935,Config!$B$9:$B$29,0))),""),""))</f>
        <v/>
      </c>
      <c r="AC4935" s="19" t="str">
        <f>IF($B4935="","",IFERROR(INDEX(Config!$D$9:$D$29,MATCH($B4935,Config!$B$9:$B$29,0))&amp;"",""))</f>
        <v/>
      </c>
    </row>
    <row r="4936">
      <c r="R4936" s="20" t="str">
        <f>IF($B4936="","",IFERROR(IF(INDEX(Config!$D$9:$D$29,MATCH($B4936,Config!$B$9:$B$29,0))="Contrato",IF(INDEX(Config!$E$9:$E$29,MATCH($B4936,Config!$B$9:$B$29,0))="","",INDEX(Config!$E$9:$E$29,MATCH($B4936,Config!$B$9:$B$29,0))),""),""))</f>
        <v/>
      </c>
      <c r="AC4936" s="19" t="str">
        <f>IF($B4936="","",IFERROR(INDEX(Config!$D$9:$D$29,MATCH($B4936,Config!$B$9:$B$29,0))&amp;"",""))</f>
        <v/>
      </c>
    </row>
    <row r="4937">
      <c r="R4937" s="20" t="str">
        <f>IF($B4937="","",IFERROR(IF(INDEX(Config!$D$9:$D$29,MATCH($B4937,Config!$B$9:$B$29,0))="Contrato",IF(INDEX(Config!$E$9:$E$29,MATCH($B4937,Config!$B$9:$B$29,0))="","",INDEX(Config!$E$9:$E$29,MATCH($B4937,Config!$B$9:$B$29,0))),""),""))</f>
        <v/>
      </c>
      <c r="AC4937" s="19" t="str">
        <f>IF($B4937="","",IFERROR(INDEX(Config!$D$9:$D$29,MATCH($B4937,Config!$B$9:$B$29,0))&amp;"",""))</f>
        <v/>
      </c>
    </row>
    <row r="4938">
      <c r="R4938" s="20" t="str">
        <f>IF($B4938="","",IFERROR(IF(INDEX(Config!$D$9:$D$29,MATCH($B4938,Config!$B$9:$B$29,0))="Contrato",IF(INDEX(Config!$E$9:$E$29,MATCH($B4938,Config!$B$9:$B$29,0))="","",INDEX(Config!$E$9:$E$29,MATCH($B4938,Config!$B$9:$B$29,0))),""),""))</f>
        <v/>
      </c>
      <c r="AC4938" s="19" t="str">
        <f>IF($B4938="","",IFERROR(INDEX(Config!$D$9:$D$29,MATCH($B4938,Config!$B$9:$B$29,0))&amp;"",""))</f>
        <v/>
      </c>
    </row>
    <row r="4939">
      <c r="R4939" s="20" t="str">
        <f>IF($B4939="","",IFERROR(IF(INDEX(Config!$D$9:$D$29,MATCH($B4939,Config!$B$9:$B$29,0))="Contrato",IF(INDEX(Config!$E$9:$E$29,MATCH($B4939,Config!$B$9:$B$29,0))="","",INDEX(Config!$E$9:$E$29,MATCH($B4939,Config!$B$9:$B$29,0))),""),""))</f>
        <v/>
      </c>
      <c r="AC4939" s="19" t="str">
        <f>IF($B4939="","",IFERROR(INDEX(Config!$D$9:$D$29,MATCH($B4939,Config!$B$9:$B$29,0))&amp;"",""))</f>
        <v/>
      </c>
    </row>
    <row r="4940">
      <c r="R4940" s="20" t="str">
        <f>IF($B4940="","",IFERROR(IF(INDEX(Config!$D$9:$D$29,MATCH($B4940,Config!$B$9:$B$29,0))="Contrato",IF(INDEX(Config!$E$9:$E$29,MATCH($B4940,Config!$B$9:$B$29,0))="","",INDEX(Config!$E$9:$E$29,MATCH($B4940,Config!$B$9:$B$29,0))),""),""))</f>
        <v/>
      </c>
      <c r="AC4940" s="19" t="str">
        <f>IF($B4940="","",IFERROR(INDEX(Config!$D$9:$D$29,MATCH($B4940,Config!$B$9:$B$29,0))&amp;"",""))</f>
        <v/>
      </c>
    </row>
    <row r="4941">
      <c r="R4941" s="20" t="str">
        <f>IF($B4941="","",IFERROR(IF(INDEX(Config!$D$9:$D$29,MATCH($B4941,Config!$B$9:$B$29,0))="Contrato",IF(INDEX(Config!$E$9:$E$29,MATCH($B4941,Config!$B$9:$B$29,0))="","",INDEX(Config!$E$9:$E$29,MATCH($B4941,Config!$B$9:$B$29,0))),""),""))</f>
        <v/>
      </c>
      <c r="AC4941" s="19" t="str">
        <f>IF($B4941="","",IFERROR(INDEX(Config!$D$9:$D$29,MATCH($B4941,Config!$B$9:$B$29,0))&amp;"",""))</f>
        <v/>
      </c>
    </row>
    <row r="4942">
      <c r="R4942" s="20" t="str">
        <f>IF($B4942="","",IFERROR(IF(INDEX(Config!$D$9:$D$29,MATCH($B4942,Config!$B$9:$B$29,0))="Contrato",IF(INDEX(Config!$E$9:$E$29,MATCH($B4942,Config!$B$9:$B$29,0))="","",INDEX(Config!$E$9:$E$29,MATCH($B4942,Config!$B$9:$B$29,0))),""),""))</f>
        <v/>
      </c>
      <c r="AC4942" s="19" t="str">
        <f>IF($B4942="","",IFERROR(INDEX(Config!$D$9:$D$29,MATCH($B4942,Config!$B$9:$B$29,0))&amp;"",""))</f>
        <v/>
      </c>
    </row>
    <row r="4943">
      <c r="R4943" s="20" t="str">
        <f>IF($B4943="","",IFERROR(IF(INDEX(Config!$D$9:$D$29,MATCH($B4943,Config!$B$9:$B$29,0))="Contrato",IF(INDEX(Config!$E$9:$E$29,MATCH($B4943,Config!$B$9:$B$29,0))="","",INDEX(Config!$E$9:$E$29,MATCH($B4943,Config!$B$9:$B$29,0))),""),""))</f>
        <v/>
      </c>
      <c r="AC4943" s="19" t="str">
        <f>IF($B4943="","",IFERROR(INDEX(Config!$D$9:$D$29,MATCH($B4943,Config!$B$9:$B$29,0))&amp;"",""))</f>
        <v/>
      </c>
    </row>
    <row r="4944">
      <c r="R4944" s="20" t="str">
        <f>IF($B4944="","",IFERROR(IF(INDEX(Config!$D$9:$D$29,MATCH($B4944,Config!$B$9:$B$29,0))="Contrato",IF(INDEX(Config!$E$9:$E$29,MATCH($B4944,Config!$B$9:$B$29,0))="","",INDEX(Config!$E$9:$E$29,MATCH($B4944,Config!$B$9:$B$29,0))),""),""))</f>
        <v/>
      </c>
      <c r="AC4944" s="19" t="str">
        <f>IF($B4944="","",IFERROR(INDEX(Config!$D$9:$D$29,MATCH($B4944,Config!$B$9:$B$29,0))&amp;"",""))</f>
        <v/>
      </c>
    </row>
    <row r="4945">
      <c r="R4945" s="20" t="str">
        <f>IF($B4945="","",IFERROR(IF(INDEX(Config!$D$9:$D$29,MATCH($B4945,Config!$B$9:$B$29,0))="Contrato",IF(INDEX(Config!$E$9:$E$29,MATCH($B4945,Config!$B$9:$B$29,0))="","",INDEX(Config!$E$9:$E$29,MATCH($B4945,Config!$B$9:$B$29,0))),""),""))</f>
        <v/>
      </c>
      <c r="AC4945" s="19" t="str">
        <f>IF($B4945="","",IFERROR(INDEX(Config!$D$9:$D$29,MATCH($B4945,Config!$B$9:$B$29,0))&amp;"",""))</f>
        <v/>
      </c>
    </row>
    <row r="4946">
      <c r="R4946" s="20" t="str">
        <f>IF($B4946="","",IFERROR(IF(INDEX(Config!$D$9:$D$29,MATCH($B4946,Config!$B$9:$B$29,0))="Contrato",IF(INDEX(Config!$E$9:$E$29,MATCH($B4946,Config!$B$9:$B$29,0))="","",INDEX(Config!$E$9:$E$29,MATCH($B4946,Config!$B$9:$B$29,0))),""),""))</f>
        <v/>
      </c>
      <c r="AC4946" s="19" t="str">
        <f>IF($B4946="","",IFERROR(INDEX(Config!$D$9:$D$29,MATCH($B4946,Config!$B$9:$B$29,0))&amp;"",""))</f>
        <v/>
      </c>
    </row>
    <row r="4947">
      <c r="R4947" s="20" t="str">
        <f>IF($B4947="","",IFERROR(IF(INDEX(Config!$D$9:$D$29,MATCH($B4947,Config!$B$9:$B$29,0))="Contrato",IF(INDEX(Config!$E$9:$E$29,MATCH($B4947,Config!$B$9:$B$29,0))="","",INDEX(Config!$E$9:$E$29,MATCH($B4947,Config!$B$9:$B$29,0))),""),""))</f>
        <v/>
      </c>
      <c r="AC4947" s="19" t="str">
        <f>IF($B4947="","",IFERROR(INDEX(Config!$D$9:$D$29,MATCH($B4947,Config!$B$9:$B$29,0))&amp;"",""))</f>
        <v/>
      </c>
    </row>
    <row r="4948">
      <c r="R4948" s="20" t="str">
        <f>IF($B4948="","",IFERROR(IF(INDEX(Config!$D$9:$D$29,MATCH($B4948,Config!$B$9:$B$29,0))="Contrato",IF(INDEX(Config!$E$9:$E$29,MATCH($B4948,Config!$B$9:$B$29,0))="","",INDEX(Config!$E$9:$E$29,MATCH($B4948,Config!$B$9:$B$29,0))),""),""))</f>
        <v/>
      </c>
      <c r="AC4948" s="19" t="str">
        <f>IF($B4948="","",IFERROR(INDEX(Config!$D$9:$D$29,MATCH($B4948,Config!$B$9:$B$29,0))&amp;"",""))</f>
        <v/>
      </c>
    </row>
    <row r="4949">
      <c r="R4949" s="20" t="str">
        <f>IF($B4949="","",IFERROR(IF(INDEX(Config!$D$9:$D$29,MATCH($B4949,Config!$B$9:$B$29,0))="Contrato",IF(INDEX(Config!$E$9:$E$29,MATCH($B4949,Config!$B$9:$B$29,0))="","",INDEX(Config!$E$9:$E$29,MATCH($B4949,Config!$B$9:$B$29,0))),""),""))</f>
        <v/>
      </c>
      <c r="AC4949" s="19" t="str">
        <f>IF($B4949="","",IFERROR(INDEX(Config!$D$9:$D$29,MATCH($B4949,Config!$B$9:$B$29,0))&amp;"",""))</f>
        <v/>
      </c>
    </row>
    <row r="4950">
      <c r="R4950" s="20" t="str">
        <f>IF($B4950="","",IFERROR(IF(INDEX(Config!$D$9:$D$29,MATCH($B4950,Config!$B$9:$B$29,0))="Contrato",IF(INDEX(Config!$E$9:$E$29,MATCH($B4950,Config!$B$9:$B$29,0))="","",INDEX(Config!$E$9:$E$29,MATCH($B4950,Config!$B$9:$B$29,0))),""),""))</f>
        <v/>
      </c>
      <c r="AC4950" s="19" t="str">
        <f>IF($B4950="","",IFERROR(INDEX(Config!$D$9:$D$29,MATCH($B4950,Config!$B$9:$B$29,0))&amp;"",""))</f>
        <v/>
      </c>
    </row>
    <row r="4951">
      <c r="R4951" s="20" t="str">
        <f>IF($B4951="","",IFERROR(IF(INDEX(Config!$D$9:$D$29,MATCH($B4951,Config!$B$9:$B$29,0))="Contrato",IF(INDEX(Config!$E$9:$E$29,MATCH($B4951,Config!$B$9:$B$29,0))="","",INDEX(Config!$E$9:$E$29,MATCH($B4951,Config!$B$9:$B$29,0))),""),""))</f>
        <v/>
      </c>
      <c r="AC4951" s="19" t="str">
        <f>IF($B4951="","",IFERROR(INDEX(Config!$D$9:$D$29,MATCH($B4951,Config!$B$9:$B$29,0))&amp;"",""))</f>
        <v/>
      </c>
    </row>
    <row r="4952">
      <c r="R4952" s="20" t="str">
        <f>IF($B4952="","",IFERROR(IF(INDEX(Config!$D$9:$D$29,MATCH($B4952,Config!$B$9:$B$29,0))="Contrato",IF(INDEX(Config!$E$9:$E$29,MATCH($B4952,Config!$B$9:$B$29,0))="","",INDEX(Config!$E$9:$E$29,MATCH($B4952,Config!$B$9:$B$29,0))),""),""))</f>
        <v/>
      </c>
      <c r="AC4952" s="19" t="str">
        <f>IF($B4952="","",IFERROR(INDEX(Config!$D$9:$D$29,MATCH($B4952,Config!$B$9:$B$29,0))&amp;"",""))</f>
        <v/>
      </c>
    </row>
    <row r="4953">
      <c r="R4953" s="20" t="str">
        <f>IF($B4953="","",IFERROR(IF(INDEX(Config!$D$9:$D$29,MATCH($B4953,Config!$B$9:$B$29,0))="Contrato",IF(INDEX(Config!$E$9:$E$29,MATCH($B4953,Config!$B$9:$B$29,0))="","",INDEX(Config!$E$9:$E$29,MATCH($B4953,Config!$B$9:$B$29,0))),""),""))</f>
        <v/>
      </c>
      <c r="AC4953" s="19" t="str">
        <f>IF($B4953="","",IFERROR(INDEX(Config!$D$9:$D$29,MATCH($B4953,Config!$B$9:$B$29,0))&amp;"",""))</f>
        <v/>
      </c>
    </row>
    <row r="4954">
      <c r="R4954" s="20" t="str">
        <f>IF($B4954="","",IFERROR(IF(INDEX(Config!$D$9:$D$29,MATCH($B4954,Config!$B$9:$B$29,0))="Contrato",IF(INDEX(Config!$E$9:$E$29,MATCH($B4954,Config!$B$9:$B$29,0))="","",INDEX(Config!$E$9:$E$29,MATCH($B4954,Config!$B$9:$B$29,0))),""),""))</f>
        <v/>
      </c>
      <c r="AC4954" s="19" t="str">
        <f>IF($B4954="","",IFERROR(INDEX(Config!$D$9:$D$29,MATCH($B4954,Config!$B$9:$B$29,0))&amp;"",""))</f>
        <v/>
      </c>
    </row>
    <row r="4955">
      <c r="R4955" s="20" t="str">
        <f>IF($B4955="","",IFERROR(IF(INDEX(Config!$D$9:$D$29,MATCH($B4955,Config!$B$9:$B$29,0))="Contrato",IF(INDEX(Config!$E$9:$E$29,MATCH($B4955,Config!$B$9:$B$29,0))="","",INDEX(Config!$E$9:$E$29,MATCH($B4955,Config!$B$9:$B$29,0))),""),""))</f>
        <v/>
      </c>
      <c r="AC4955" s="19" t="str">
        <f>IF($B4955="","",IFERROR(INDEX(Config!$D$9:$D$29,MATCH($B4955,Config!$B$9:$B$29,0))&amp;"",""))</f>
        <v/>
      </c>
    </row>
    <row r="4956">
      <c r="R4956" s="20" t="str">
        <f>IF($B4956="","",IFERROR(IF(INDEX(Config!$D$9:$D$29,MATCH($B4956,Config!$B$9:$B$29,0))="Contrato",IF(INDEX(Config!$E$9:$E$29,MATCH($B4956,Config!$B$9:$B$29,0))="","",INDEX(Config!$E$9:$E$29,MATCH($B4956,Config!$B$9:$B$29,0))),""),""))</f>
        <v/>
      </c>
      <c r="AC4956" s="19" t="str">
        <f>IF($B4956="","",IFERROR(INDEX(Config!$D$9:$D$29,MATCH($B4956,Config!$B$9:$B$29,0))&amp;"",""))</f>
        <v/>
      </c>
    </row>
    <row r="4957">
      <c r="R4957" s="20" t="str">
        <f>IF($B4957="","",IFERROR(IF(INDEX(Config!$D$9:$D$29,MATCH($B4957,Config!$B$9:$B$29,0))="Contrato",IF(INDEX(Config!$E$9:$E$29,MATCH($B4957,Config!$B$9:$B$29,0))="","",INDEX(Config!$E$9:$E$29,MATCH($B4957,Config!$B$9:$B$29,0))),""),""))</f>
        <v/>
      </c>
      <c r="AC4957" s="19" t="str">
        <f>IF($B4957="","",IFERROR(INDEX(Config!$D$9:$D$29,MATCH($B4957,Config!$B$9:$B$29,0))&amp;"",""))</f>
        <v/>
      </c>
    </row>
    <row r="4958">
      <c r="R4958" s="20" t="str">
        <f>IF($B4958="","",IFERROR(IF(INDEX(Config!$D$9:$D$29,MATCH($B4958,Config!$B$9:$B$29,0))="Contrato",IF(INDEX(Config!$E$9:$E$29,MATCH($B4958,Config!$B$9:$B$29,0))="","",INDEX(Config!$E$9:$E$29,MATCH($B4958,Config!$B$9:$B$29,0))),""),""))</f>
        <v/>
      </c>
      <c r="AC4958" s="19" t="str">
        <f>IF($B4958="","",IFERROR(INDEX(Config!$D$9:$D$29,MATCH($B4958,Config!$B$9:$B$29,0))&amp;"",""))</f>
        <v/>
      </c>
    </row>
    <row r="4959">
      <c r="R4959" s="20" t="str">
        <f>IF($B4959="","",IFERROR(IF(INDEX(Config!$D$9:$D$29,MATCH($B4959,Config!$B$9:$B$29,0))="Contrato",IF(INDEX(Config!$E$9:$E$29,MATCH($B4959,Config!$B$9:$B$29,0))="","",INDEX(Config!$E$9:$E$29,MATCH($B4959,Config!$B$9:$B$29,0))),""),""))</f>
        <v/>
      </c>
      <c r="AC4959" s="19" t="str">
        <f>IF($B4959="","",IFERROR(INDEX(Config!$D$9:$D$29,MATCH($B4959,Config!$B$9:$B$29,0))&amp;"",""))</f>
        <v/>
      </c>
    </row>
    <row r="4960">
      <c r="R4960" s="20" t="str">
        <f>IF($B4960="","",IFERROR(IF(INDEX(Config!$D$9:$D$29,MATCH($B4960,Config!$B$9:$B$29,0))="Contrato",IF(INDEX(Config!$E$9:$E$29,MATCH($B4960,Config!$B$9:$B$29,0))="","",INDEX(Config!$E$9:$E$29,MATCH($B4960,Config!$B$9:$B$29,0))),""),""))</f>
        <v/>
      </c>
      <c r="AC4960" s="19" t="str">
        <f>IF($B4960="","",IFERROR(INDEX(Config!$D$9:$D$29,MATCH($B4960,Config!$B$9:$B$29,0))&amp;"",""))</f>
        <v/>
      </c>
    </row>
    <row r="4961">
      <c r="R4961" s="20" t="str">
        <f>IF($B4961="","",IFERROR(IF(INDEX(Config!$D$9:$D$29,MATCH($B4961,Config!$B$9:$B$29,0))="Contrato",IF(INDEX(Config!$E$9:$E$29,MATCH($B4961,Config!$B$9:$B$29,0))="","",INDEX(Config!$E$9:$E$29,MATCH($B4961,Config!$B$9:$B$29,0))),""),""))</f>
        <v/>
      </c>
      <c r="AC4961" s="19" t="str">
        <f>IF($B4961="","",IFERROR(INDEX(Config!$D$9:$D$29,MATCH($B4961,Config!$B$9:$B$29,0))&amp;"",""))</f>
        <v/>
      </c>
    </row>
    <row r="4962">
      <c r="R4962" s="20" t="str">
        <f>IF($B4962="","",IFERROR(IF(INDEX(Config!$D$9:$D$29,MATCH($B4962,Config!$B$9:$B$29,0))="Contrato",IF(INDEX(Config!$E$9:$E$29,MATCH($B4962,Config!$B$9:$B$29,0))="","",INDEX(Config!$E$9:$E$29,MATCH($B4962,Config!$B$9:$B$29,0))),""),""))</f>
        <v/>
      </c>
      <c r="AC4962" s="19" t="str">
        <f>IF($B4962="","",IFERROR(INDEX(Config!$D$9:$D$29,MATCH($B4962,Config!$B$9:$B$29,0))&amp;"",""))</f>
        <v/>
      </c>
    </row>
    <row r="4963">
      <c r="R4963" s="20" t="str">
        <f>IF($B4963="","",IFERROR(IF(INDEX(Config!$D$9:$D$29,MATCH($B4963,Config!$B$9:$B$29,0))="Contrato",IF(INDEX(Config!$E$9:$E$29,MATCH($B4963,Config!$B$9:$B$29,0))="","",INDEX(Config!$E$9:$E$29,MATCH($B4963,Config!$B$9:$B$29,0))),""),""))</f>
        <v/>
      </c>
      <c r="AC4963" s="19" t="str">
        <f>IF($B4963="","",IFERROR(INDEX(Config!$D$9:$D$29,MATCH($B4963,Config!$B$9:$B$29,0))&amp;"",""))</f>
        <v/>
      </c>
    </row>
    <row r="4964">
      <c r="R4964" s="20" t="str">
        <f>IF($B4964="","",IFERROR(IF(INDEX(Config!$D$9:$D$29,MATCH($B4964,Config!$B$9:$B$29,0))="Contrato",IF(INDEX(Config!$E$9:$E$29,MATCH($B4964,Config!$B$9:$B$29,0))="","",INDEX(Config!$E$9:$E$29,MATCH($B4964,Config!$B$9:$B$29,0))),""),""))</f>
        <v/>
      </c>
      <c r="AC4964" s="19" t="str">
        <f>IF($B4964="","",IFERROR(INDEX(Config!$D$9:$D$29,MATCH($B4964,Config!$B$9:$B$29,0))&amp;"",""))</f>
        <v/>
      </c>
    </row>
    <row r="4965">
      <c r="R4965" s="20" t="str">
        <f>IF($B4965="","",IFERROR(IF(INDEX(Config!$D$9:$D$29,MATCH($B4965,Config!$B$9:$B$29,0))="Contrato",IF(INDEX(Config!$E$9:$E$29,MATCH($B4965,Config!$B$9:$B$29,0))="","",INDEX(Config!$E$9:$E$29,MATCH($B4965,Config!$B$9:$B$29,0))),""),""))</f>
        <v/>
      </c>
      <c r="AC4965" s="19" t="str">
        <f>IF($B4965="","",IFERROR(INDEX(Config!$D$9:$D$29,MATCH($B4965,Config!$B$9:$B$29,0))&amp;"",""))</f>
        <v/>
      </c>
    </row>
    <row r="4966">
      <c r="R4966" s="20" t="str">
        <f>IF($B4966="","",IFERROR(IF(INDEX(Config!$D$9:$D$29,MATCH($B4966,Config!$B$9:$B$29,0))="Contrato",IF(INDEX(Config!$E$9:$E$29,MATCH($B4966,Config!$B$9:$B$29,0))="","",INDEX(Config!$E$9:$E$29,MATCH($B4966,Config!$B$9:$B$29,0))),""),""))</f>
        <v/>
      </c>
      <c r="AC4966" s="19" t="str">
        <f>IF($B4966="","",IFERROR(INDEX(Config!$D$9:$D$29,MATCH($B4966,Config!$B$9:$B$29,0))&amp;"",""))</f>
        <v/>
      </c>
    </row>
    <row r="4967">
      <c r="R4967" s="20" t="str">
        <f>IF($B4967="","",IFERROR(IF(INDEX(Config!$D$9:$D$29,MATCH($B4967,Config!$B$9:$B$29,0))="Contrato",IF(INDEX(Config!$E$9:$E$29,MATCH($B4967,Config!$B$9:$B$29,0))="","",INDEX(Config!$E$9:$E$29,MATCH($B4967,Config!$B$9:$B$29,0))),""),""))</f>
        <v/>
      </c>
      <c r="AC4967" s="19" t="str">
        <f>IF($B4967="","",IFERROR(INDEX(Config!$D$9:$D$29,MATCH($B4967,Config!$B$9:$B$29,0))&amp;"",""))</f>
        <v/>
      </c>
    </row>
    <row r="4968">
      <c r="R4968" s="20" t="str">
        <f>IF($B4968="","",IFERROR(IF(INDEX(Config!$D$9:$D$29,MATCH($B4968,Config!$B$9:$B$29,0))="Contrato",IF(INDEX(Config!$E$9:$E$29,MATCH($B4968,Config!$B$9:$B$29,0))="","",INDEX(Config!$E$9:$E$29,MATCH($B4968,Config!$B$9:$B$29,0))),""),""))</f>
        <v/>
      </c>
      <c r="AC4968" s="19" t="str">
        <f>IF($B4968="","",IFERROR(INDEX(Config!$D$9:$D$29,MATCH($B4968,Config!$B$9:$B$29,0))&amp;"",""))</f>
        <v/>
      </c>
    </row>
    <row r="4969">
      <c r="R4969" s="20" t="str">
        <f>IF($B4969="","",IFERROR(IF(INDEX(Config!$D$9:$D$29,MATCH($B4969,Config!$B$9:$B$29,0))="Contrato",IF(INDEX(Config!$E$9:$E$29,MATCH($B4969,Config!$B$9:$B$29,0))="","",INDEX(Config!$E$9:$E$29,MATCH($B4969,Config!$B$9:$B$29,0))),""),""))</f>
        <v/>
      </c>
      <c r="AC4969" s="19" t="str">
        <f>IF($B4969="","",IFERROR(INDEX(Config!$D$9:$D$29,MATCH($B4969,Config!$B$9:$B$29,0))&amp;"",""))</f>
        <v/>
      </c>
    </row>
    <row r="4970">
      <c r="R4970" s="20" t="str">
        <f>IF($B4970="","",IFERROR(IF(INDEX(Config!$D$9:$D$29,MATCH($B4970,Config!$B$9:$B$29,0))="Contrato",IF(INDEX(Config!$E$9:$E$29,MATCH($B4970,Config!$B$9:$B$29,0))="","",INDEX(Config!$E$9:$E$29,MATCH($B4970,Config!$B$9:$B$29,0))),""),""))</f>
        <v/>
      </c>
      <c r="AC4970" s="19" t="str">
        <f>IF($B4970="","",IFERROR(INDEX(Config!$D$9:$D$29,MATCH($B4970,Config!$B$9:$B$29,0))&amp;"",""))</f>
        <v/>
      </c>
    </row>
    <row r="4971">
      <c r="R4971" s="20" t="str">
        <f>IF($B4971="","",IFERROR(IF(INDEX(Config!$D$9:$D$29,MATCH($B4971,Config!$B$9:$B$29,0))="Contrato",IF(INDEX(Config!$E$9:$E$29,MATCH($B4971,Config!$B$9:$B$29,0))="","",INDEX(Config!$E$9:$E$29,MATCH($B4971,Config!$B$9:$B$29,0))),""),""))</f>
        <v/>
      </c>
      <c r="AC4971" s="19" t="str">
        <f>IF($B4971="","",IFERROR(INDEX(Config!$D$9:$D$29,MATCH($B4971,Config!$B$9:$B$29,0))&amp;"",""))</f>
        <v/>
      </c>
    </row>
    <row r="4972">
      <c r="R4972" s="20" t="str">
        <f>IF($B4972="","",IFERROR(IF(INDEX(Config!$D$9:$D$29,MATCH($B4972,Config!$B$9:$B$29,0))="Contrato",IF(INDEX(Config!$E$9:$E$29,MATCH($B4972,Config!$B$9:$B$29,0))="","",INDEX(Config!$E$9:$E$29,MATCH($B4972,Config!$B$9:$B$29,0))),""),""))</f>
        <v/>
      </c>
      <c r="AC4972" s="19" t="str">
        <f>IF($B4972="","",IFERROR(INDEX(Config!$D$9:$D$29,MATCH($B4972,Config!$B$9:$B$29,0))&amp;"",""))</f>
        <v/>
      </c>
    </row>
    <row r="4973">
      <c r="R4973" s="20" t="str">
        <f>IF($B4973="","",IFERROR(IF(INDEX(Config!$D$9:$D$29,MATCH($B4973,Config!$B$9:$B$29,0))="Contrato",IF(INDEX(Config!$E$9:$E$29,MATCH($B4973,Config!$B$9:$B$29,0))="","",INDEX(Config!$E$9:$E$29,MATCH($B4973,Config!$B$9:$B$29,0))),""),""))</f>
        <v/>
      </c>
      <c r="AC4973" s="19" t="str">
        <f>IF($B4973="","",IFERROR(INDEX(Config!$D$9:$D$29,MATCH($B4973,Config!$B$9:$B$29,0))&amp;"",""))</f>
        <v/>
      </c>
    </row>
    <row r="4974">
      <c r="R4974" s="20" t="str">
        <f>IF($B4974="","",IFERROR(IF(INDEX(Config!$D$9:$D$29,MATCH($B4974,Config!$B$9:$B$29,0))="Contrato",IF(INDEX(Config!$E$9:$E$29,MATCH($B4974,Config!$B$9:$B$29,0))="","",INDEX(Config!$E$9:$E$29,MATCH($B4974,Config!$B$9:$B$29,0))),""),""))</f>
        <v/>
      </c>
      <c r="AC4974" s="19" t="str">
        <f>IF($B4974="","",IFERROR(INDEX(Config!$D$9:$D$29,MATCH($B4974,Config!$B$9:$B$29,0))&amp;"",""))</f>
        <v/>
      </c>
    </row>
    <row r="4975">
      <c r="R4975" s="20" t="str">
        <f>IF($B4975="","",IFERROR(IF(INDEX(Config!$D$9:$D$29,MATCH($B4975,Config!$B$9:$B$29,0))="Contrato",IF(INDEX(Config!$E$9:$E$29,MATCH($B4975,Config!$B$9:$B$29,0))="","",INDEX(Config!$E$9:$E$29,MATCH($B4975,Config!$B$9:$B$29,0))),""),""))</f>
        <v/>
      </c>
      <c r="AC4975" s="19" t="str">
        <f>IF($B4975="","",IFERROR(INDEX(Config!$D$9:$D$29,MATCH($B4975,Config!$B$9:$B$29,0))&amp;"",""))</f>
        <v/>
      </c>
    </row>
    <row r="4976">
      <c r="R4976" s="20" t="str">
        <f>IF($B4976="","",IFERROR(IF(INDEX(Config!$D$9:$D$29,MATCH($B4976,Config!$B$9:$B$29,0))="Contrato",IF(INDEX(Config!$E$9:$E$29,MATCH($B4976,Config!$B$9:$B$29,0))="","",INDEX(Config!$E$9:$E$29,MATCH($B4976,Config!$B$9:$B$29,0))),""),""))</f>
        <v/>
      </c>
      <c r="AC4976" s="19" t="str">
        <f>IF($B4976="","",IFERROR(INDEX(Config!$D$9:$D$29,MATCH($B4976,Config!$B$9:$B$29,0))&amp;"",""))</f>
        <v/>
      </c>
    </row>
    <row r="4977">
      <c r="R4977" s="20" t="str">
        <f>IF($B4977="","",IFERROR(IF(INDEX(Config!$D$9:$D$29,MATCH($B4977,Config!$B$9:$B$29,0))="Contrato",IF(INDEX(Config!$E$9:$E$29,MATCH($B4977,Config!$B$9:$B$29,0))="","",INDEX(Config!$E$9:$E$29,MATCH($B4977,Config!$B$9:$B$29,0))),""),""))</f>
        <v/>
      </c>
      <c r="AC4977" s="19" t="str">
        <f>IF($B4977="","",IFERROR(INDEX(Config!$D$9:$D$29,MATCH($B4977,Config!$B$9:$B$29,0))&amp;"",""))</f>
        <v/>
      </c>
    </row>
    <row r="4978">
      <c r="R4978" s="20" t="str">
        <f>IF($B4978="","",IFERROR(IF(INDEX(Config!$D$9:$D$29,MATCH($B4978,Config!$B$9:$B$29,0))="Contrato",IF(INDEX(Config!$E$9:$E$29,MATCH($B4978,Config!$B$9:$B$29,0))="","",INDEX(Config!$E$9:$E$29,MATCH($B4978,Config!$B$9:$B$29,0))),""),""))</f>
        <v/>
      </c>
      <c r="AC4978" s="19" t="str">
        <f>IF($B4978="","",IFERROR(INDEX(Config!$D$9:$D$29,MATCH($B4978,Config!$B$9:$B$29,0))&amp;"",""))</f>
        <v/>
      </c>
    </row>
    <row r="4979">
      <c r="R4979" s="20" t="str">
        <f>IF($B4979="","",IFERROR(IF(INDEX(Config!$D$9:$D$29,MATCH($B4979,Config!$B$9:$B$29,0))="Contrato",IF(INDEX(Config!$E$9:$E$29,MATCH($B4979,Config!$B$9:$B$29,0))="","",INDEX(Config!$E$9:$E$29,MATCH($B4979,Config!$B$9:$B$29,0))),""),""))</f>
        <v/>
      </c>
      <c r="AC4979" s="19" t="str">
        <f>IF($B4979="","",IFERROR(INDEX(Config!$D$9:$D$29,MATCH($B4979,Config!$B$9:$B$29,0))&amp;"",""))</f>
        <v/>
      </c>
    </row>
    <row r="4980">
      <c r="R4980" s="20" t="str">
        <f>IF($B4980="","",IFERROR(IF(INDEX(Config!$D$9:$D$29,MATCH($B4980,Config!$B$9:$B$29,0))="Contrato",IF(INDEX(Config!$E$9:$E$29,MATCH($B4980,Config!$B$9:$B$29,0))="","",INDEX(Config!$E$9:$E$29,MATCH($B4980,Config!$B$9:$B$29,0))),""),""))</f>
        <v/>
      </c>
      <c r="AC4980" s="19" t="str">
        <f>IF($B4980="","",IFERROR(INDEX(Config!$D$9:$D$29,MATCH($B4980,Config!$B$9:$B$29,0))&amp;"",""))</f>
        <v/>
      </c>
    </row>
    <row r="4981">
      <c r="R4981" s="20" t="str">
        <f>IF($B4981="","",IFERROR(IF(INDEX(Config!$D$9:$D$29,MATCH($B4981,Config!$B$9:$B$29,0))="Contrato",IF(INDEX(Config!$E$9:$E$29,MATCH($B4981,Config!$B$9:$B$29,0))="","",INDEX(Config!$E$9:$E$29,MATCH($B4981,Config!$B$9:$B$29,0))),""),""))</f>
        <v/>
      </c>
      <c r="AC4981" s="19" t="str">
        <f>IF($B4981="","",IFERROR(INDEX(Config!$D$9:$D$29,MATCH($B4981,Config!$B$9:$B$29,0))&amp;"",""))</f>
        <v/>
      </c>
    </row>
    <row r="4982">
      <c r="R4982" s="20" t="str">
        <f>IF($B4982="","",IFERROR(IF(INDEX(Config!$D$9:$D$29,MATCH($B4982,Config!$B$9:$B$29,0))="Contrato",IF(INDEX(Config!$E$9:$E$29,MATCH($B4982,Config!$B$9:$B$29,0))="","",INDEX(Config!$E$9:$E$29,MATCH($B4982,Config!$B$9:$B$29,0))),""),""))</f>
        <v/>
      </c>
      <c r="AC4982" s="19" t="str">
        <f>IF($B4982="","",IFERROR(INDEX(Config!$D$9:$D$29,MATCH($B4982,Config!$B$9:$B$29,0))&amp;"",""))</f>
        <v/>
      </c>
    </row>
    <row r="4983">
      <c r="R4983" s="20" t="str">
        <f>IF($B4983="","",IFERROR(IF(INDEX(Config!$D$9:$D$29,MATCH($B4983,Config!$B$9:$B$29,0))="Contrato",IF(INDEX(Config!$E$9:$E$29,MATCH($B4983,Config!$B$9:$B$29,0))="","",INDEX(Config!$E$9:$E$29,MATCH($B4983,Config!$B$9:$B$29,0))),""),""))</f>
        <v/>
      </c>
      <c r="AC4983" s="19" t="str">
        <f>IF($B4983="","",IFERROR(INDEX(Config!$D$9:$D$29,MATCH($B4983,Config!$B$9:$B$29,0))&amp;"",""))</f>
        <v/>
      </c>
    </row>
    <row r="4984">
      <c r="R4984" s="20" t="str">
        <f>IF($B4984="","",IFERROR(IF(INDEX(Config!$D$9:$D$29,MATCH($B4984,Config!$B$9:$B$29,0))="Contrato",IF(INDEX(Config!$E$9:$E$29,MATCH($B4984,Config!$B$9:$B$29,0))="","",INDEX(Config!$E$9:$E$29,MATCH($B4984,Config!$B$9:$B$29,0))),""),""))</f>
        <v/>
      </c>
      <c r="AC4984" s="19" t="str">
        <f>IF($B4984="","",IFERROR(INDEX(Config!$D$9:$D$29,MATCH($B4984,Config!$B$9:$B$29,0))&amp;"",""))</f>
        <v/>
      </c>
    </row>
    <row r="4985">
      <c r="R4985" s="20" t="str">
        <f>IF($B4985="","",IFERROR(IF(INDEX(Config!$D$9:$D$29,MATCH($B4985,Config!$B$9:$B$29,0))="Contrato",IF(INDEX(Config!$E$9:$E$29,MATCH($B4985,Config!$B$9:$B$29,0))="","",INDEX(Config!$E$9:$E$29,MATCH($B4985,Config!$B$9:$B$29,0))),""),""))</f>
        <v/>
      </c>
      <c r="AC4985" s="19" t="str">
        <f>IF($B4985="","",IFERROR(INDEX(Config!$D$9:$D$29,MATCH($B4985,Config!$B$9:$B$29,0))&amp;"",""))</f>
        <v/>
      </c>
    </row>
    <row r="4986">
      <c r="R4986" s="20" t="str">
        <f>IF($B4986="","",IFERROR(IF(INDEX(Config!$D$9:$D$29,MATCH($B4986,Config!$B$9:$B$29,0))="Contrato",IF(INDEX(Config!$E$9:$E$29,MATCH($B4986,Config!$B$9:$B$29,0))="","",INDEX(Config!$E$9:$E$29,MATCH($B4986,Config!$B$9:$B$29,0))),""),""))</f>
        <v/>
      </c>
      <c r="AC4986" s="19" t="str">
        <f>IF($B4986="","",IFERROR(INDEX(Config!$D$9:$D$29,MATCH($B4986,Config!$B$9:$B$29,0))&amp;"",""))</f>
        <v/>
      </c>
    </row>
    <row r="4987">
      <c r="R4987" s="20" t="str">
        <f>IF($B4987="","",IFERROR(IF(INDEX(Config!$D$9:$D$29,MATCH($B4987,Config!$B$9:$B$29,0))="Contrato",IF(INDEX(Config!$E$9:$E$29,MATCH($B4987,Config!$B$9:$B$29,0))="","",INDEX(Config!$E$9:$E$29,MATCH($B4987,Config!$B$9:$B$29,0))),""),""))</f>
        <v/>
      </c>
      <c r="AC4987" s="19" t="str">
        <f>IF($B4987="","",IFERROR(INDEX(Config!$D$9:$D$29,MATCH($B4987,Config!$B$9:$B$29,0))&amp;"",""))</f>
        <v/>
      </c>
    </row>
    <row r="4988">
      <c r="R4988" s="20" t="str">
        <f>IF($B4988="","",IFERROR(IF(INDEX(Config!$D$9:$D$29,MATCH($B4988,Config!$B$9:$B$29,0))="Contrato",IF(INDEX(Config!$E$9:$E$29,MATCH($B4988,Config!$B$9:$B$29,0))="","",INDEX(Config!$E$9:$E$29,MATCH($B4988,Config!$B$9:$B$29,0))),""),""))</f>
        <v/>
      </c>
      <c r="AC4988" s="19" t="str">
        <f>IF($B4988="","",IFERROR(INDEX(Config!$D$9:$D$29,MATCH($B4988,Config!$B$9:$B$29,0))&amp;"",""))</f>
        <v/>
      </c>
    </row>
    <row r="4989">
      <c r="R4989" s="20" t="str">
        <f>IF($B4989="","",IFERROR(IF(INDEX(Config!$D$9:$D$29,MATCH($B4989,Config!$B$9:$B$29,0))="Contrato",IF(INDEX(Config!$E$9:$E$29,MATCH($B4989,Config!$B$9:$B$29,0))="","",INDEX(Config!$E$9:$E$29,MATCH($B4989,Config!$B$9:$B$29,0))),""),""))</f>
        <v/>
      </c>
      <c r="AC4989" s="19" t="str">
        <f>IF($B4989="","",IFERROR(INDEX(Config!$D$9:$D$29,MATCH($B4989,Config!$B$9:$B$29,0))&amp;"",""))</f>
        <v/>
      </c>
    </row>
    <row r="4990">
      <c r="R4990" s="20" t="str">
        <f>IF($B4990="","",IFERROR(IF(INDEX(Config!$D$9:$D$29,MATCH($B4990,Config!$B$9:$B$29,0))="Contrato",IF(INDEX(Config!$E$9:$E$29,MATCH($B4990,Config!$B$9:$B$29,0))="","",INDEX(Config!$E$9:$E$29,MATCH($B4990,Config!$B$9:$B$29,0))),""),""))</f>
        <v/>
      </c>
      <c r="AC4990" s="19" t="str">
        <f>IF($B4990="","",IFERROR(INDEX(Config!$D$9:$D$29,MATCH($B4990,Config!$B$9:$B$29,0))&amp;"",""))</f>
        <v/>
      </c>
    </row>
    <row r="4991">
      <c r="R4991" s="20" t="str">
        <f>IF($B4991="","",IFERROR(IF(INDEX(Config!$D$9:$D$29,MATCH($B4991,Config!$B$9:$B$29,0))="Contrato",IF(INDEX(Config!$E$9:$E$29,MATCH($B4991,Config!$B$9:$B$29,0))="","",INDEX(Config!$E$9:$E$29,MATCH($B4991,Config!$B$9:$B$29,0))),""),""))</f>
        <v/>
      </c>
      <c r="AC4991" s="19" t="str">
        <f>IF($B4991="","",IFERROR(INDEX(Config!$D$9:$D$29,MATCH($B4991,Config!$B$9:$B$29,0))&amp;"",""))</f>
        <v/>
      </c>
    </row>
    <row r="4992">
      <c r="R4992" s="20" t="str">
        <f>IF($B4992="","",IFERROR(IF(INDEX(Config!$D$9:$D$29,MATCH($B4992,Config!$B$9:$B$29,0))="Contrato",IF(INDEX(Config!$E$9:$E$29,MATCH($B4992,Config!$B$9:$B$29,0))="","",INDEX(Config!$E$9:$E$29,MATCH($B4992,Config!$B$9:$B$29,0))),""),""))</f>
        <v/>
      </c>
      <c r="AC4992" s="19" t="str">
        <f>IF($B4992="","",IFERROR(INDEX(Config!$D$9:$D$29,MATCH($B4992,Config!$B$9:$B$29,0))&amp;"",""))</f>
        <v/>
      </c>
    </row>
    <row r="4993">
      <c r="R4993" s="20" t="str">
        <f>IF($B4993="","",IFERROR(IF(INDEX(Config!$D$9:$D$29,MATCH($B4993,Config!$B$9:$B$29,0))="Contrato",IF(INDEX(Config!$E$9:$E$29,MATCH($B4993,Config!$B$9:$B$29,0))="","",INDEX(Config!$E$9:$E$29,MATCH($B4993,Config!$B$9:$B$29,0))),""),""))</f>
        <v/>
      </c>
      <c r="AC4993" s="19" t="str">
        <f>IF($B4993="","",IFERROR(INDEX(Config!$D$9:$D$29,MATCH($B4993,Config!$B$9:$B$29,0))&amp;"",""))</f>
        <v/>
      </c>
    </row>
    <row r="4994">
      <c r="R4994" s="20" t="str">
        <f>IF($B4994="","",IFERROR(IF(INDEX(Config!$D$9:$D$29,MATCH($B4994,Config!$B$9:$B$29,0))="Contrato",IF(INDEX(Config!$E$9:$E$29,MATCH($B4994,Config!$B$9:$B$29,0))="","",INDEX(Config!$E$9:$E$29,MATCH($B4994,Config!$B$9:$B$29,0))),""),""))</f>
        <v/>
      </c>
      <c r="AC4994" s="19" t="str">
        <f>IF($B4994="","",IFERROR(INDEX(Config!$D$9:$D$29,MATCH($B4994,Config!$B$9:$B$29,0))&amp;"",""))</f>
        <v/>
      </c>
    </row>
    <row r="4995">
      <c r="R4995" s="20" t="str">
        <f>IF($B4995="","",IFERROR(IF(INDEX(Config!$D$9:$D$29,MATCH($B4995,Config!$B$9:$B$29,0))="Contrato",IF(INDEX(Config!$E$9:$E$29,MATCH($B4995,Config!$B$9:$B$29,0))="","",INDEX(Config!$E$9:$E$29,MATCH($B4995,Config!$B$9:$B$29,0))),""),""))</f>
        <v/>
      </c>
      <c r="AC4995" s="19" t="str">
        <f>IF($B4995="","",IFERROR(INDEX(Config!$D$9:$D$29,MATCH($B4995,Config!$B$9:$B$29,0))&amp;"",""))</f>
        <v/>
      </c>
    </row>
    <row r="4996">
      <c r="R4996" s="20" t="str">
        <f>IF($B4996="","",IFERROR(IF(INDEX(Config!$D$9:$D$29,MATCH($B4996,Config!$B$9:$B$29,0))="Contrato",IF(INDEX(Config!$E$9:$E$29,MATCH($B4996,Config!$B$9:$B$29,0))="","",INDEX(Config!$E$9:$E$29,MATCH($B4996,Config!$B$9:$B$29,0))),""),""))</f>
        <v/>
      </c>
      <c r="AC4996" s="19" t="str">
        <f>IF($B4996="","",IFERROR(INDEX(Config!$D$9:$D$29,MATCH($B4996,Config!$B$9:$B$29,0))&amp;"",""))</f>
        <v/>
      </c>
    </row>
    <row r="4997">
      <c r="R4997" s="20" t="str">
        <f>IF($B4997="","",IFERROR(IF(INDEX(Config!$D$9:$D$29,MATCH($B4997,Config!$B$9:$B$29,0))="Contrato",IF(INDEX(Config!$E$9:$E$29,MATCH($B4997,Config!$B$9:$B$29,0))="","",INDEX(Config!$E$9:$E$29,MATCH($B4997,Config!$B$9:$B$29,0))),""),""))</f>
        <v/>
      </c>
      <c r="AC4997" s="19" t="str">
        <f>IF($B4997="","",IFERROR(INDEX(Config!$D$9:$D$29,MATCH($B4997,Config!$B$9:$B$29,0))&amp;"",""))</f>
        <v/>
      </c>
    </row>
    <row r="4998">
      <c r="R4998" s="20" t="str">
        <f>IF($B4998="","",IFERROR(IF(INDEX(Config!$D$9:$D$29,MATCH($B4998,Config!$B$9:$B$29,0))="Contrato",IF(INDEX(Config!$E$9:$E$29,MATCH($B4998,Config!$B$9:$B$29,0))="","",INDEX(Config!$E$9:$E$29,MATCH($B4998,Config!$B$9:$B$29,0))),""),""))</f>
        <v/>
      </c>
      <c r="AC4998" s="19" t="str">
        <f>IF($B4998="","",IFERROR(INDEX(Config!$D$9:$D$29,MATCH($B4998,Config!$B$9:$B$29,0))&amp;"",""))</f>
        <v/>
      </c>
    </row>
    <row r="4999">
      <c r="R4999" s="20" t="str">
        <f>IF($B4999="","",IFERROR(IF(INDEX(Config!$D$9:$D$29,MATCH($B4999,Config!$B$9:$B$29,0))="Contrato",IF(INDEX(Config!$E$9:$E$29,MATCH($B4999,Config!$B$9:$B$29,0))="","",INDEX(Config!$E$9:$E$29,MATCH($B4999,Config!$B$9:$B$29,0))),""),""))</f>
        <v/>
      </c>
      <c r="AC4999" s="19" t="str">
        <f>IF($B4999="","",IFERROR(INDEX(Config!$D$9:$D$29,MATCH($B4999,Config!$B$9:$B$29,0))&amp;"",""))</f>
        <v/>
      </c>
    </row>
    <row r="5000">
      <c r="R5000" s="20" t="str">
        <f>IF($B5000="","",IFERROR(IF(INDEX(Config!$D$9:$D$29,MATCH($B5000,Config!$B$9:$B$29,0))="Contrato",IF(INDEX(Config!$E$9:$E$29,MATCH($B5000,Config!$B$9:$B$29,0))="","",INDEX(Config!$E$9:$E$29,MATCH($B5000,Config!$B$9:$B$29,0))),""),""))</f>
        <v/>
      </c>
      <c r="AC5000" s="19" t="str">
        <f>IF($B5000="","",IFERROR(INDEX(Config!$D$9:$D$29,MATCH($B5000,Config!$B$9:$B$29,0))&amp;"",""))</f>
        <v/>
      </c>
    </row>
    <row r="5001">
      <c r="R5001" s="20" t="str">
        <f>IF($B5001="","",IFERROR(IF(INDEX(Config!$D$9:$D$29,MATCH($B5001,Config!$B$9:$B$29,0))="Contrato",IF(INDEX(Config!$E$9:$E$29,MATCH($B5001,Config!$B$9:$B$29,0))="","",INDEX(Config!$E$9:$E$29,MATCH($B5001,Config!$B$9:$B$29,0))),""),""))</f>
        <v/>
      </c>
      <c r="AC5001" s="19" t="str">
        <f>IF($B5001="","",IFERROR(INDEX(Config!$D$9:$D$29,MATCH($B5001,Config!$B$9:$B$29,0))&amp;"",""))</f>
        <v/>
      </c>
    </row>
  </sheetData>
  <sheetProtection password="CC30" sheet="1" objects="1" scenarios="1" sort="0" autoFilter="0" formatColumns="0"/>
  <mergeCells count="7">
    <mergeCell ref="A1:B1"/>
    <mergeCell ref="C1:G1"/>
    <mergeCell ref="H1:M1"/>
    <mergeCell ref="N1:Q1"/>
    <mergeCell ref="R1:S1"/>
    <mergeCell ref="T1:AB1"/>
    <mergeCell ref="AE21:AZ21"/>
  </mergeCells>
  <conditionalFormatting sqref="A3:B5001">
    <cfRule type="expression" dxfId="0" priority="1">
      <formula>AND($A3&lt;&gt;"",$B3&lt;&gt;"",COUNTIFS($A$3:$A$5001,$A3,$B$3:$B$5001,$B3)&gt;1)</formula>
    </cfRule>
  </conditionalFormatting>
  <conditionalFormatting sqref="A3:B5001">
    <cfRule type="expression" dxfId="1" priority="2">
      <formula>OR(AND($A3&lt;&gt;"",$B3=""),AND($A3="",$B3&lt;&gt;""))</formula>
    </cfRule>
  </conditionalFormatting>
  <conditionalFormatting sqref="S3:S5001">
    <cfRule type="expression" dxfId="2" priority="3">
      <formula>AND(ISNUMBER($R3),ISNUMBER($S3),$S3&gt;$R3)</formula>
    </cfRule>
  </conditionalFormatting>
  <conditionalFormatting sqref="C3:C5001">
    <cfRule type="expression" dxfId="6" priority="4">
      <formula>IFERROR(INDEX(Config!$D$35:$D$54,MATCH($B3,Config!$B$35:$B$54,0)),"Sim")="Não"</formula>
    </cfRule>
  </conditionalFormatting>
  <conditionalFormatting sqref="D3:D5001">
    <cfRule type="expression" dxfId="6" priority="5">
      <formula>IFERROR(INDEX(Config!$E$35:$E$54,MATCH($B3,Config!$B$35:$B$54,0)),"Sim")="Não"</formula>
    </cfRule>
  </conditionalFormatting>
  <conditionalFormatting sqref="E3:E5001">
    <cfRule type="expression" dxfId="6" priority="6">
      <formula>IFERROR(INDEX(Config!$F$35:$F$54,MATCH($B3,Config!$B$35:$B$54,0)),"Sim")="Não"</formula>
    </cfRule>
  </conditionalFormatting>
  <conditionalFormatting sqref="F3:F5001">
    <cfRule type="expression" dxfId="6" priority="7">
      <formula>IFERROR(INDEX(Config!$G$35:$G$54,MATCH($B3,Config!$B$35:$B$54,0)),"Sim")="Não"</formula>
    </cfRule>
  </conditionalFormatting>
  <conditionalFormatting sqref="G3:G5001">
    <cfRule type="expression" dxfId="6" priority="8">
      <formula>IFERROR(INDEX(Config!$H$35:$H$54,MATCH($B3,Config!$B$35:$B$54,0)),"Sim")="Não"</formula>
    </cfRule>
  </conditionalFormatting>
  <conditionalFormatting sqref="H3:H5001">
    <cfRule type="expression" dxfId="6" priority="9">
      <formula>IFERROR(INDEX(Config!$I$35:$I$54,MATCH($B3,Config!$B$35:$B$54,0)),"Sim")="Não"</formula>
    </cfRule>
  </conditionalFormatting>
  <conditionalFormatting sqref="I3:I5001">
    <cfRule type="expression" dxfId="6" priority="10">
      <formula>IFERROR(INDEX(Config!$J$35:$J$54,MATCH($B3,Config!$B$35:$B$54,0)),"Sim")="Não"</formula>
    </cfRule>
  </conditionalFormatting>
  <conditionalFormatting sqref="J3:J5001">
    <cfRule type="expression" dxfId="6" priority="11">
      <formula>IFERROR(INDEX(Config!$K$35:$K$54,MATCH($B3,Config!$B$35:$B$54,0)),"Sim")="Não"</formula>
    </cfRule>
  </conditionalFormatting>
  <conditionalFormatting sqref="K3:K5001">
    <cfRule type="expression" dxfId="6" priority="12">
      <formula>IFERROR(INDEX(Config!$L$35:$L$54,MATCH($B3,Config!$B$35:$B$54,0)),"Sim")="Não"</formula>
    </cfRule>
  </conditionalFormatting>
  <conditionalFormatting sqref="L3:L5001">
    <cfRule type="expression" dxfId="6" priority="13">
      <formula>IFERROR(INDEX(Config!$M$35:$M$54,MATCH($B3,Config!$B$35:$B$54,0)),"Sim")="Não"</formula>
    </cfRule>
  </conditionalFormatting>
  <conditionalFormatting sqref="M3:M5001">
    <cfRule type="expression" dxfId="6" priority="14">
      <formula>IFERROR(INDEX(Config!$N$35:$N$54,MATCH($B3,Config!$B$35:$B$54,0)),"Sim")="Não"</formula>
    </cfRule>
  </conditionalFormatting>
  <conditionalFormatting sqref="N3:N5001">
    <cfRule type="expression" dxfId="6" priority="15">
      <formula>IFERROR(INDEX(Config!$O$35:$O$54,MATCH($B3,Config!$B$35:$B$54,0)),"Sim")="Não"</formula>
    </cfRule>
  </conditionalFormatting>
  <conditionalFormatting sqref="O3:O5001">
    <cfRule type="expression" dxfId="6" priority="16">
      <formula>IFERROR(INDEX(Config!$P$35:$P$54,MATCH($B3,Config!$B$35:$B$54,0)),"Sim")="Não"</formula>
    </cfRule>
  </conditionalFormatting>
  <conditionalFormatting sqref="P3:P5001">
    <cfRule type="expression" dxfId="6" priority="17">
      <formula>IFERROR(INDEX(Config!$Q$35:$Q$54,MATCH($B3,Config!$B$35:$B$54,0)),"Sim")="Não"</formula>
    </cfRule>
  </conditionalFormatting>
  <conditionalFormatting sqref="Q3:Q5001">
    <cfRule type="expression" dxfId="6" priority="18">
      <formula>IFERROR(INDEX(Config!$R$35:$R$54,MATCH($B3,Config!$B$35:$B$54,0)),"Sim")="Não"</formula>
    </cfRule>
  </conditionalFormatting>
  <conditionalFormatting sqref="S3:S5001">
    <cfRule type="expression" dxfId="6" priority="19">
      <formula>IFERROR(INDEX(Config!$T$35:$T$54,MATCH($B3,Config!$B$35:$B$54,0)),"Sim")="Não"</formula>
    </cfRule>
  </conditionalFormatting>
  <conditionalFormatting sqref="T3:T5001">
    <cfRule type="expression" dxfId="6" priority="20">
      <formula>IFERROR(INDEX(Config!$U$35:$U$54,MATCH($B3,Config!$B$35:$B$54,0)),"Sim")="Não"</formula>
    </cfRule>
  </conditionalFormatting>
  <conditionalFormatting sqref="U3:U5001">
    <cfRule type="expression" dxfId="6" priority="21">
      <formula>IFERROR(INDEX(Config!$V$35:$V$54,MATCH($B3,Config!$B$35:$B$54,0)),"Sim")="Não"</formula>
    </cfRule>
  </conditionalFormatting>
  <conditionalFormatting sqref="V3:V5001">
    <cfRule type="expression" dxfId="6" priority="22">
      <formula>IFERROR(INDEX(Config!$W$35:$W$54,MATCH($B3,Config!$B$35:$B$54,0)),"Sim")="Não"</formula>
    </cfRule>
  </conditionalFormatting>
  <conditionalFormatting sqref="W3:W5001">
    <cfRule type="expression" dxfId="6" priority="23">
      <formula>IFERROR(INDEX(Config!$X$35:$X$54,MATCH($B3,Config!$B$35:$B$54,0)),"Sim")="Não"</formula>
    </cfRule>
  </conditionalFormatting>
  <conditionalFormatting sqref="X3:X5001">
    <cfRule type="expression" dxfId="6" priority="24">
      <formula>IFERROR(INDEX(Config!$Y$35:$Y$54,MATCH($B3,Config!$B$35:$B$54,0)),"Sim")="Não"</formula>
    </cfRule>
  </conditionalFormatting>
  <conditionalFormatting sqref="Y3:Y5001">
    <cfRule type="expression" dxfId="6" priority="25">
      <formula>IFERROR(INDEX(Config!$Z$35:$Z$54,MATCH($B3,Config!$B$35:$B$54,0)),"Sim")="Não"</formula>
    </cfRule>
  </conditionalFormatting>
  <conditionalFormatting sqref="Z3:Z5001">
    <cfRule type="expression" dxfId="6" priority="26">
      <formula>IFERROR(INDEX(Config!$AA$35:$AA$54,MATCH($B3,Config!$B$35:$B$54,0)),"Sim")="Não"</formula>
    </cfRule>
  </conditionalFormatting>
  <conditionalFormatting sqref="AA3:AA5001">
    <cfRule type="expression" dxfId="6" priority="27">
      <formula>IFERROR(INDEX(Config!$AB$35:$AB$54,MATCH($B3,Config!$B$35:$B$54,0)),"Sim")="Não"</formula>
    </cfRule>
  </conditionalFormatting>
  <conditionalFormatting sqref="AB3:AB5001">
    <cfRule type="expression" dxfId="6" priority="28">
      <formula>IFERROR(INDEX(Config!$AC$35:$AC$54,MATCH($B3,Config!$B$35:$B$54,0)),"Sim")="Não"</formula>
    </cfRule>
  </conditionalFormatting>
  <dataValidations count="30">
    <dataValidation type="date" operator="greaterThanOrEqual" allowBlank="1" showInputMessage="1" showErrorMessage="1" promptTitle="Data" prompt="dd/mm/aaaa" errorTitle="Valor inválido" error="Digite uma data válida (dd/mm/aaaa)." sqref="A3:A5001">
      <formula1>43831</formula1>
    </dataValidation>
    <dataValidation type="list" allowBlank="1" showInputMessage="1" showErrorMessage="1" promptTitle="Cliente" prompt="Escolha na lista." errorTitle="Valor inválido" error="Escolha um cliente da lista." sqref="B3:B5001">
      <formula1>OFFSET(calculos!$AN$13,0,0,calculos!$AN$10,1)</formula1>
    </dataValidation>
    <dataValidation type="custom" allowBlank="1" showInputMessage="1" showErrorMessage="1" promptTitle="Modalidade" prompt="Automático: vem da aba Config." errorTitle="Coluna automática" error="Modalidade vem da aba Config (cadastro do cliente: MODALIDADE e POSIÇÕES CONTRATADAS). Não digite aqui." sqref="AC3:AC5001">
      <formula1>FALSE</formula1>
    </dataValidation>
    <dataValidation type="custom" allowBlank="1" showInputMessage="1" showErrorMessage="1" promptTitle="Posições Disponíveis" prompt="Automático: vem da aba Config." errorTitle="Coluna automática" error="Posições Disponíveis vem da aba Config (cadastro do cliente: MODALIDADE e POSIÇÕES CONTRATADAS). Não digite aqui." sqref="R3:R5001">
      <formula1>FALSE</formula1>
    </dataValidation>
    <dataValidation type="decimal" operator="greaterThanOrEqual" allowBlank="1" showInputMessage="1" showErrorMessage="1" promptTitle="Meta do mês" prompt="Vazio = sem meta. Taxa de ocupação em %." errorTitle="Valor inválido" error="Meta: use 0 ou um número maior." sqref="AF23:AZ49">
      <formula1>0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C3:C5001">
      <formula1>AND(IFERROR(INDEX(Config!$D$35:$D$54,MATCH($B3,Config!$B$35:$B$54,0)),"Sim")&lt;&gt;"Não",ISNUMBER(C3),C3&gt;=0)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D3:D5001">
      <formula1>AND(IFERROR(INDEX(Config!$E$35:$E$54,MATCH($B3,Config!$B$35:$B$54,0)),"Sim")&lt;&gt;"Não",ISNUMBER(D3),D3&gt;=0)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E3:E5001">
      <formula1>AND(IFERROR(INDEX(Config!$F$35:$F$54,MATCH($B3,Config!$B$35:$B$54,0)),"Sim")&lt;&gt;"Não",ISNUMBER(E3),E3&gt;=0)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F3:F5001">
      <formula1>AND(IFERROR(INDEX(Config!$G$35:$G$54,MATCH($B3,Config!$B$35:$B$54,0)),"Sim")&lt;&gt;"Não",ISNUMBER(F3),F3&gt;=0)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G3:G5001">
      <formula1>AND(IFERROR(INDEX(Config!$H$35:$H$54,MATCH($B3,Config!$B$35:$B$54,0)),"Sim")&lt;&gt;"Não",ISNUMBER(G3),G3&gt;=0)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H3:H5001">
      <formula1>AND(IFERROR(INDEX(Config!$I$35:$I$54,MATCH($B3,Config!$B$35:$B$54,0)),"Sim")&lt;&gt;"Não",ISNUMBER(H3),H3&gt;=0)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I3:I5001">
      <formula1>AND(IFERROR(INDEX(Config!$J$35:$J$54,MATCH($B3,Config!$B$35:$B$54,0)),"Sim")&lt;&gt;"Não",ISNUMBER(I3),I3&gt;=0)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J3:J5001">
      <formula1>AND(IFERROR(INDEX(Config!$K$35:$K$54,MATCH($B3,Config!$B$35:$B$54,0)),"Sim")&lt;&gt;"Não",ISNUMBER(J3),J3&gt;=0)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K3:K5001">
      <formula1>AND(IFERROR(INDEX(Config!$L$35:$L$54,MATCH($B3,Config!$B$35:$B$54,0)),"Sim")&lt;&gt;"Não",ISNUMBER(K3),K3&gt;=0)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L3:L5001">
      <formula1>AND(IFERROR(INDEX(Config!$M$35:$M$54,MATCH($B3,Config!$B$35:$B$54,0)),"Sim")&lt;&gt;"Não",ISNUMBER(L3),L3&gt;=0)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M3:M5001">
      <formula1>AND(IFERROR(INDEX(Config!$N$35:$N$54,MATCH($B3,Config!$B$35:$B$54,0)),"Sim")&lt;&gt;"Não",ISNUMBER(M3),M3&gt;=0)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N3:N5001">
      <formula1>AND(IFERROR(INDEX(Config!$O$35:$O$54,MATCH($B3,Config!$B$35:$B$54,0)),"Sim")&lt;&gt;"Não",ISNUMBER(N3),N3&gt;=0)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O3:O5001">
      <formula1>AND(IFERROR(INDEX(Config!$P$35:$P$54,MATCH($B3,Config!$B$35:$B$54,0)),"Sim")&lt;&gt;"Não",ISNUMBER(O3),O3&gt;=0)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P3:P5001">
      <formula1>AND(IFERROR(INDEX(Config!$Q$35:$Q$54,MATCH($B3,Config!$B$35:$B$54,0)),"Sim")&lt;&gt;"Não",ISNUMBER(P3),P3&gt;=0)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Q3:Q5001">
      <formula1>AND(IFERROR(INDEX(Config!$R$35:$R$54,MATCH($B3,Config!$B$35:$B$54,0)),"Sim")&lt;&gt;"Não",ISNUMBER(Q3),Q3&gt;=0)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S3:S5001">
      <formula1>AND(IFERROR(INDEX(Config!$T$35:$T$54,MATCH($B3,Config!$B$35:$B$54,0)),"Sim")&lt;&gt;"Não",ISNUMBER(S3),S3&gt;=0)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T3:T5001">
      <formula1>AND(IFERROR(INDEX(Config!$U$35:$U$54,MATCH($B3,Config!$B$35:$B$54,0)),"Sim")&lt;&gt;"Não",ISNUMBER(T3),T3&gt;=0)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U3:U5001">
      <formula1>AND(IFERROR(INDEX(Config!$V$35:$V$54,MATCH($B3,Config!$B$35:$B$54,0)),"Sim")&lt;&gt;"Não",ISNUMBER(U3),U3&gt;=0)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V3:V5001">
      <formula1>AND(IFERROR(INDEX(Config!$W$35:$W$54,MATCH($B3,Config!$B$35:$B$54,0)),"Sim")&lt;&gt;"Não",ISNUMBER(V3),V3&gt;=0)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W3:W5001">
      <formula1>AND(IFERROR(INDEX(Config!$X$35:$X$54,MATCH($B3,Config!$B$35:$B$54,0)),"Sim")&lt;&gt;"Não",ISNUMBER(W3),W3&gt;=0)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X3:X5001">
      <formula1>AND(IFERROR(INDEX(Config!$Y$35:$Y$54,MATCH($B3,Config!$B$35:$B$54,0)),"Sim")&lt;&gt;"Não",ISNUMBER(X3),X3&gt;=0)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Y3:Y5001">
      <formula1>AND(IFERROR(INDEX(Config!$Z$35:$Z$54,MATCH($B3,Config!$B$35:$B$54,0)),"Sim")&lt;&gt;"Não",ISNUMBER(Y3),Y3&gt;=0)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Z3:Z5001">
      <formula1>AND(IFERROR(INDEX(Config!$AA$35:$AA$54,MATCH($B3,Config!$B$35:$B$54,0)),"Sim")&lt;&gt;"Não",ISNUMBER(Z3),Z3&gt;=0)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A3:AA5001">
      <formula1>AND(IFERROR(INDEX(Config!$AB$35:$AB$54,MATCH($B3,Config!$B$35:$B$54,0)),"Sim")&lt;&gt;"Não",ISNUMBER(AA3),AA3&gt;=0)</formula1>
    </dataValidation>
    <dataValidation type="custom" allowBlank="1" showInputMessage="0" showErrorMessage="1" errorTitle="Não se aplica / valor inválido" error="Esta coluna não se aplica a este cliente (aba Config, tabela 2) ou o valor é inválido. Use 0 ou um número maior." sqref="AB3:AB5001">
      <formula1>AND(IFERROR(INDEX(Config!$AC$35:$AC$54,MATCH($B3,Config!$B$35:$B$54,0)),"Sim")&lt;&gt;"Não",ISNUMBER(AB3),AB3&gt;=0)</formula1>
    </dataValidation>
  </dataValidations>
  <pageMargins left="0.25" right="0.25" top="0.4" bottom="0.4" header="0.2" footer="0.2"/>
  <pageSetup paperSize="9" orientation="landscape" fitToWidth="1" fitToHeight="0"/>
  <tableParts count="2">
    <tablePart r:id="rIdT1"/>
    <tablePart r:id="rIdT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01E1E"/>
    <pageSetUpPr fitToPage="1"/>
  </sheetPr>
  <dimension ref="A1:AL98"/>
  <sheetViews>
    <sheetView showGridLines="0" zoomScale="90" zoomScaleNormal="90" workbookViewId="0">
      <pane xSplit="3" topLeftCell="D1" activePane="topRight" state="frozen"/>
      <selection pane="topRight" activeCell="D1" sqref="D1"/>
    </sheetView>
  </sheetViews>
  <sheetFormatPr defaultRowHeight="15"/>
  <cols>
    <col min="1" max="1" width="5" customWidth="1"/>
    <col min="2" max="2" width="22" customWidth="1"/>
    <col min="3" max="3" width="11" customWidth="1"/>
    <col min="4" max="4" width="12" customWidth="1"/>
    <col min="5" max="5" width="13" customWidth="1"/>
    <col min="6" max="6" width="12" customWidth="1"/>
    <col min="7" max="7" width="27" customWidth="1"/>
    <col min="8" max="8" width="27" customWidth="1"/>
    <col min="9" max="9" width="27" customWidth="1"/>
    <col min="10" max="10" width="12" customWidth="1"/>
    <col min="11" max="11" width="27" customWidth="1"/>
    <col min="12" max="12" width="27" customWidth="1"/>
    <col min="13" max="13" width="27" customWidth="1"/>
    <col min="14" max="14" width="14" customWidth="1"/>
    <col min="15" max="15" width="27" customWidth="1"/>
    <col min="16" max="16" width="27" customWidth="1"/>
    <col min="17" max="17" width="34" customWidth="1"/>
    <col min="18" max="18" width="34" customWidth="1"/>
    <col min="19" max="19" width="27" customWidth="1"/>
    <col min="20" max="20" width="27" customWidth="1"/>
    <col min="21" max="21" width="34" customWidth="1"/>
    <col min="22" max="22" width="34" customWidth="1"/>
    <col min="31" max="31" width="3" customWidth="1"/>
    <col min="32" max="32" width="32" customWidth="1"/>
    <col min="33" max="33" width="30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</cols>
  <sheetData>
    <row r="1" ht="30" customHeight="1">
      <c r="A1" s="77" t="inlineStr">
        <is>
          <t xml:space="preserve">CONFIG · CLIENTES E DASHBOARD (JSL)</t>
        </is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</row>
    <row r="2" ht="30" customHeight="1">
      <c r="A2" s="80" t="inlineStr">
        <is>
          <t xml:space="preserve">COMO USAR — a aba é protegida: Revisão › Desproteger Planilha (mesma senha da pasta), faça o ajuste e proteja de novo. Células amarelas = editáveis. Tudo se atualiza na hora; não precisa gerar o arquivo de novo.</t>
        </is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ht="30" customHeight="1">
      <c r="A3" s="81" t="inlineStr">
        <is>
          <t xml:space="preserve">INCLUIR CLIENTE: (1) tabela 1 › escreva o nome numa vaga livre (coluna CLIENTE); (2) tabela 2 › marque Sim/Não nas colunas da BD que ele preenche; (3) tabela 1 › ajuste cards e gráficos (já vêm no padrão); (4) aba BD (desproteger) › na tabela de metas, renomeie o cabeçalho "Vaga N" com o nome do cliente, proteja de novo e preencha as metas; (5) aba Monitoramento (desproteger) › reexiba as linhas de uma vaga livre no fim da aba, digite o nome na coluna CLIENTE e exclua as linhas que ele não usa.</t>
        </is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</row>
    <row r="4" ht="30" customHeight="1">
      <c r="A4" s="81" t="inlineStr">
        <is>
          <t xml:space="preserve">EXCLUIR CLIENTE: apague o nome na tabela 1 (a vaga fica livre e o cliente some dos filtros e do Consol Mensal) e, na aba Monitoramento, oculte ou exclua as linhas do bloco dele. As linhas antigas da BD continuam no histórico (somam em "Todos" nos meses em que existiram).</t>
        </is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</row>
    <row r="5" ht="30" customHeight="1">
      <c r="A5" s="81" t="inlineStr">
        <is>
          <t xml:space="preserve">RENOMEAR: troque o nome na tabela 1 e, na BD, use Localizar e Substituir no nome antigo (Ctrl+L / Ctrl+H). O nome da BD precisa ser igual ao da tabela 1.</t>
        </is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</row>
    <row r="7" ht="22" customHeight="1">
      <c r="A7" s="87" t="inlineStr">
        <is>
          <t xml:space="preserve">1 · CLIENTES — 20 vagas · uma linha por cliente: nome, depósito, cards e gráficos do Dashboard (linhas cinza = visão geral, fixas)</t>
        </is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AF7" s="82" t="inlineStr">
        <is>
          <t xml:space="preserve">CATÁLOGO DE INDICADORES (listas da tabela 1) — rótulo e casas podem ser editados; colunas cinza são técnicas</t>
        </is>
      </c>
      <c r="AG7" s="82"/>
      <c r="AH7" s="82"/>
      <c r="AI7" s="82"/>
      <c r="AJ7" s="82"/>
      <c r="AK7" s="82"/>
      <c r="AL7" s="82"/>
    </row>
    <row r="8" ht="32" customHeight="1">
      <c r="A8" s="16" t="inlineStr">
        <is>
          <t xml:space="preserve">Nº</t>
        </is>
      </c>
      <c r="B8" s="16" t="inlineStr">
        <is>
          <t xml:space="preserve">CLIENTE</t>
        </is>
      </c>
      <c r="C8" s="16" t="inlineStr">
        <is>
          <t xml:space="preserve">DEPÓSITO</t>
        </is>
      </c>
      <c r="D8" s="16" t="inlineStr">
        <is>
          <t xml:space="preserve">MODALIDADE</t>
        </is>
      </c>
      <c r="E8" s="16" t="inlineStr">
        <is>
          <t xml:space="preserve">POSIÇÕES CONTRATADAS</t>
        </is>
      </c>
      <c r="F8" s="16" t="inlineStr">
        <is>
          <t xml:space="preserve">CARD IN</t>
        </is>
      </c>
      <c r="G8" s="16" t="inlineStr">
        <is>
          <t xml:space="preserve">IN · linha 1</t>
        </is>
      </c>
      <c r="H8" s="16" t="inlineStr">
        <is>
          <t xml:space="preserve">IN · linha 2 (a)</t>
        </is>
      </c>
      <c r="I8" s="16" t="inlineStr">
        <is>
          <t xml:space="preserve">IN · linha 2 (b)</t>
        </is>
      </c>
      <c r="J8" s="16" t="inlineStr">
        <is>
          <t xml:space="preserve">CARD OUT</t>
        </is>
      </c>
      <c r="K8" s="16" t="inlineStr">
        <is>
          <t xml:space="preserve">OUT · linha 1</t>
        </is>
      </c>
      <c r="L8" s="16" t="inlineStr">
        <is>
          <t xml:space="preserve">OUT · linha 2 (a)</t>
        </is>
      </c>
      <c r="M8" s="16" t="inlineStr">
        <is>
          <t xml:space="preserve">OUT · linha 2 (b)</t>
        </is>
      </c>
      <c r="N8" s="16" t="inlineStr">
        <is>
          <t xml:space="preserve">CARD OCUPAÇÃO</t>
        </is>
      </c>
      <c r="O8" s="16" t="inlineStr">
        <is>
          <t xml:space="preserve">GRÁFICO 2 · IN</t>
        </is>
      </c>
      <c r="P8" s="16" t="inlineStr">
        <is>
          <t xml:space="preserve">GRÁFICO 2 · OUT</t>
        </is>
      </c>
      <c r="Q8" s="16" t="inlineStr">
        <is>
          <t xml:space="preserve">GRÁFICO 2 · título diário</t>
        </is>
      </c>
      <c r="R8" s="16" t="inlineStr">
        <is>
          <t xml:space="preserve">GRÁFICO 2 · título semanal</t>
        </is>
      </c>
      <c r="S8" s="16" t="inlineStr">
        <is>
          <t xml:space="preserve">GRÁFICO 3 · IN</t>
        </is>
      </c>
      <c r="T8" s="16" t="inlineStr">
        <is>
          <t xml:space="preserve">GRÁFICO 3 · OUT</t>
        </is>
      </c>
      <c r="U8" s="16" t="inlineStr">
        <is>
          <t xml:space="preserve">GRÁFICO 3 · título diário</t>
        </is>
      </c>
      <c r="V8" s="16" t="inlineStr">
        <is>
          <t xml:space="preserve">GRÁFICO 3 · título semanal</t>
        </is>
      </c>
      <c r="AF8" s="16" t="inlineStr">
        <is>
          <t xml:space="preserve">INDICADOR (nome da lista)</t>
        </is>
      </c>
      <c r="AG8" s="16" t="inlineStr">
        <is>
          <t xml:space="preserve">Rótulo no card</t>
        </is>
      </c>
      <c r="AH8" s="16" t="inlineStr">
        <is>
          <t xml:space="preserve">Casas decimais</t>
        </is>
      </c>
      <c r="AI8" s="83" t="inlineStr">
        <is>
          <t xml:space="preserve">Linha no período</t>
        </is>
      </c>
      <c r="AJ8" s="83" t="inlineStr">
        <is>
          <t xml:space="preserve">Coluna na série</t>
        </is>
      </c>
      <c r="AK8" s="83" t="inlineStr">
        <is>
          <t xml:space="preserve">Linha divisor</t>
        </is>
      </c>
      <c r="AL8" s="83" t="inlineStr">
        <is>
          <t xml:space="preserve">Coluna divisor</t>
        </is>
      </c>
    </row>
    <row r="9">
      <c r="A9" s="88" t="inlineStr">
        <is>
          <t xml:space="preserve">—</t>
        </is>
      </c>
      <c r="B9" s="89" t="inlineStr">
        <is>
          <t xml:space="preserve">Todos</t>
        </is>
      </c>
      <c r="C9" s="89"/>
      <c r="D9" s="89"/>
      <c r="E9" s="89"/>
      <c r="F9" s="84" t="inlineStr">
        <is>
          <t xml:space="preserve">Sim</t>
        </is>
      </c>
      <c r="G9" s="84" t="inlineStr">
        <is>
          <t xml:space="preserve">Pallets Movimentados IN</t>
        </is>
      </c>
      <c r="H9" s="84" t="inlineStr">
        <is>
          <t xml:space="preserve">Toneladas Movimentadas IN</t>
        </is>
      </c>
      <c r="I9" s="84"/>
      <c r="J9" s="84" t="inlineStr">
        <is>
          <t xml:space="preserve">Sim</t>
        </is>
      </c>
      <c r="K9" s="84" t="inlineStr">
        <is>
          <t xml:space="preserve">Pallets Movimentados OUT</t>
        </is>
      </c>
      <c r="L9" s="84" t="inlineStr">
        <is>
          <t xml:space="preserve">Toneladas Movimentadas OUT</t>
        </is>
      </c>
      <c r="M9" s="84"/>
      <c r="N9" s="84" t="inlineStr">
        <is>
          <t xml:space="preserve">Completo</t>
        </is>
      </c>
      <c r="O9" s="84" t="inlineStr">
        <is>
          <t xml:space="preserve">Pallets Movimentados IN</t>
        </is>
      </c>
      <c r="P9" s="84" t="inlineStr">
        <is>
          <t xml:space="preserve">Pallets Movimentados OUT</t>
        </is>
      </c>
      <c r="Q9" s="84" t="inlineStr">
        <is>
          <t xml:space="preserve">MOVIMENTAÇÃO PALETES/DIA</t>
        </is>
      </c>
      <c r="R9" s="84" t="inlineStr">
        <is>
          <t xml:space="preserve">ACUMULADO SEMANAL PALETES</t>
        </is>
      </c>
      <c r="S9" s="84" t="inlineStr">
        <is>
          <t xml:space="preserve">Toneladas Movimentadas IN</t>
        </is>
      </c>
      <c r="T9" s="84" t="inlineStr">
        <is>
          <t xml:space="preserve">Toneladas Movimentadas OUT</t>
        </is>
      </c>
      <c r="U9" s="84" t="inlineStr">
        <is>
          <t xml:space="preserve">MOVIMENTAÇÃO TONS/DIA</t>
        </is>
      </c>
      <c r="V9" s="84" t="inlineStr">
        <is>
          <t xml:space="preserve">ACUMULADO SEMANAL TONS</t>
        </is>
      </c>
      <c r="AF9" s="50" t="inlineStr">
        <is>
          <t xml:space="preserve">Pallets Movimentados IN</t>
        </is>
      </c>
      <c r="AG9" s="84" t="inlineStr">
        <is>
          <t xml:space="preserve">pallets movimentados</t>
        </is>
      </c>
      <c r="AH9" s="85">
        <v>0</v>
      </c>
      <c r="AI9" s="86">
        <v>2</v>
      </c>
      <c r="AJ9" s="86">
        <v>2</v>
      </c>
      <c r="AK9" s="86">
        <v>0</v>
      </c>
      <c r="AL9" s="86">
        <v>0</v>
      </c>
    </row>
    <row r="10">
      <c r="A10" s="88">
        <v>1</v>
      </c>
      <c r="B10" s="90" t="inlineStr">
        <is>
          <t xml:space="preserve">Barry Callebaut</t>
        </is>
      </c>
      <c r="C10" s="84" t="inlineStr">
        <is>
          <t xml:space="preserve">JSL</t>
        </is>
      </c>
      <c r="D10" s="84" t="inlineStr">
        <is>
          <t xml:space="preserve">Contrato</t>
        </is>
      </c>
      <c r="E10" s="91">
        <v>1950</v>
      </c>
      <c r="F10" s="84" t="inlineStr">
        <is>
          <t xml:space="preserve">Sim</t>
        </is>
      </c>
      <c r="G10" s="84" t="inlineStr">
        <is>
          <t xml:space="preserve">Pallets Movimentados IN</t>
        </is>
      </c>
      <c r="H10" s="84" t="inlineStr">
        <is>
          <t xml:space="preserve">Toneladas Movimentadas IN</t>
        </is>
      </c>
      <c r="I10" s="84" t="inlineStr">
        <is>
          <t xml:space="preserve">Caixas Recebidas IN</t>
        </is>
      </c>
      <c r="J10" s="84" t="inlineStr">
        <is>
          <t xml:space="preserve">Sim</t>
        </is>
      </c>
      <c r="K10" s="84" t="inlineStr">
        <is>
          <t xml:space="preserve">Pallets Movimentados OUT</t>
        </is>
      </c>
      <c r="L10" s="84" t="inlineStr">
        <is>
          <t xml:space="preserve">Toneladas Movimentadas OUT</t>
        </is>
      </c>
      <c r="M10" s="84" t="inlineStr">
        <is>
          <t xml:space="preserve">Caixas Expedidas OUT</t>
        </is>
      </c>
      <c r="N10" s="84" t="inlineStr">
        <is>
          <t xml:space="preserve">Completo</t>
        </is>
      </c>
      <c r="O10" s="84" t="inlineStr">
        <is>
          <t xml:space="preserve">Pallets Movimentados IN</t>
        </is>
      </c>
      <c r="P10" s="84" t="inlineStr">
        <is>
          <t xml:space="preserve">Pallets Movimentados OUT</t>
        </is>
      </c>
      <c r="Q10" s="84" t="inlineStr">
        <is>
          <t xml:space="preserve">MOVIMENTAÇÃO PALETES/DIA</t>
        </is>
      </c>
      <c r="R10" s="84" t="inlineStr">
        <is>
          <t xml:space="preserve">ACUMULADO SEMANAL PALETES</t>
        </is>
      </c>
      <c r="S10" s="84" t="inlineStr">
        <is>
          <t xml:space="preserve">Toneladas Movimentadas IN</t>
        </is>
      </c>
      <c r="T10" s="84" t="inlineStr">
        <is>
          <t xml:space="preserve">Toneladas Movimentadas OUT</t>
        </is>
      </c>
      <c r="U10" s="84" t="inlineStr">
        <is>
          <t xml:space="preserve">MOVIMENTAÇÃO TONS/DIA</t>
        </is>
      </c>
      <c r="V10" s="84" t="inlineStr">
        <is>
          <t xml:space="preserve">ACUMULADO SEMANAL TONS</t>
        </is>
      </c>
      <c r="AF10" s="50" t="inlineStr">
        <is>
          <t xml:space="preserve">Pallets Movimentados IN por veículo</t>
        </is>
      </c>
      <c r="AG10" s="84" t="inlineStr">
        <is>
          <t xml:space="preserve">pallets movimentados por veículo</t>
        </is>
      </c>
      <c r="AH10" s="85">
        <v>1</v>
      </c>
      <c r="AI10" s="86">
        <v>2</v>
      </c>
      <c r="AJ10" s="86">
        <v>2</v>
      </c>
      <c r="AK10" s="86">
        <v>1</v>
      </c>
      <c r="AL10" s="86">
        <v>1</v>
      </c>
    </row>
    <row r="11">
      <c r="A11" s="88">
        <v>2</v>
      </c>
      <c r="B11" s="90" t="inlineStr">
        <is>
          <t xml:space="preserve">GM</t>
        </is>
      </c>
      <c r="C11" s="84" t="inlineStr">
        <is>
          <t xml:space="preserve">JSL</t>
        </is>
      </c>
      <c r="D11" s="84"/>
      <c r="E11" s="91"/>
      <c r="F11" s="84" t="inlineStr">
        <is>
          <t xml:space="preserve">Não se aplica</t>
        </is>
      </c>
      <c r="G11" s="84"/>
      <c r="H11" s="84"/>
      <c r="I11" s="84"/>
      <c r="J11" s="84" t="inlineStr">
        <is>
          <t xml:space="preserve">Sim</t>
        </is>
      </c>
      <c r="K11" s="84" t="inlineStr">
        <is>
          <t xml:space="preserve">Pallets Movimentados OUT</t>
        </is>
      </c>
      <c r="L11" s="84" t="inlineStr">
        <is>
          <t xml:space="preserve">Toneladas Movimentadas OUT</t>
        </is>
      </c>
      <c r="M11" s="84" t="inlineStr">
        <is>
          <t xml:space="preserve">Caixas Expedidas OUT</t>
        </is>
      </c>
      <c r="N11" s="84" t="inlineStr">
        <is>
          <t xml:space="preserve">Não se aplica</t>
        </is>
      </c>
      <c r="O11" s="84"/>
      <c r="P11" s="84" t="inlineStr">
        <is>
          <t xml:space="preserve">Pallets Movimentados OUT</t>
        </is>
      </c>
      <c r="Q11" s="84" t="inlineStr">
        <is>
          <t xml:space="preserve">MOVIMENTAÇÃO PALETES (OUT)/DIA</t>
        </is>
      </c>
      <c r="R11" s="84" t="inlineStr">
        <is>
          <t xml:space="preserve">ACUMULADO SEMANAL PALETES (OUT)</t>
        </is>
      </c>
      <c r="S11" s="84"/>
      <c r="T11" s="84" t="inlineStr">
        <is>
          <t xml:space="preserve">Toneladas Movimentadas OUT</t>
        </is>
      </c>
      <c r="U11" s="84" t="inlineStr">
        <is>
          <t xml:space="preserve">MOVIMENTAÇÃO TONS (OUT)/DIA</t>
        </is>
      </c>
      <c r="V11" s="84" t="inlineStr">
        <is>
          <t xml:space="preserve">ACUMULADO SEMANAL TONS (OUT)</t>
        </is>
      </c>
      <c r="AF11" s="50" t="inlineStr">
        <is>
          <t xml:space="preserve">Toneladas Movimentadas IN</t>
        </is>
      </c>
      <c r="AG11" s="84" t="inlineStr">
        <is>
          <t xml:space="preserve">t movimentadas</t>
        </is>
      </c>
      <c r="AH11" s="85">
        <v>1</v>
      </c>
      <c r="AI11" s="86">
        <v>3</v>
      </c>
      <c r="AJ11" s="86">
        <v>3</v>
      </c>
      <c r="AK11" s="86">
        <v>0</v>
      </c>
      <c r="AL11" s="86">
        <v>0</v>
      </c>
    </row>
    <row r="12">
      <c r="A12" s="88">
        <v>3</v>
      </c>
      <c r="B12" s="90" t="inlineStr">
        <is>
          <t xml:space="preserve">Mondelez</t>
        </is>
      </c>
      <c r="C12" s="84" t="inlineStr">
        <is>
          <t xml:space="preserve">JSL</t>
        </is>
      </c>
      <c r="D12" s="84" t="inlineStr">
        <is>
          <t xml:space="preserve">Cross</t>
        </is>
      </c>
      <c r="E12" s="91"/>
      <c r="F12" s="84" t="inlineStr">
        <is>
          <t xml:space="preserve">Sim</t>
        </is>
      </c>
      <c r="G12" s="84" t="inlineStr">
        <is>
          <t xml:space="preserve">Pallets Movimentados IN</t>
        </is>
      </c>
      <c r="H12" s="84" t="inlineStr">
        <is>
          <t xml:space="preserve">Toneladas Movimentadas IN</t>
        </is>
      </c>
      <c r="I12" s="84" t="inlineStr">
        <is>
          <t xml:space="preserve">Caixas Recebidas IN</t>
        </is>
      </c>
      <c r="J12" s="84" t="inlineStr">
        <is>
          <t xml:space="preserve">Sim</t>
        </is>
      </c>
      <c r="K12" s="84" t="inlineStr">
        <is>
          <t xml:space="preserve">Pallets Movimentados OUT</t>
        </is>
      </c>
      <c r="L12" s="84" t="inlineStr">
        <is>
          <t xml:space="preserve">Toneladas Movimentadas OUT</t>
        </is>
      </c>
      <c r="M12" s="84" t="inlineStr">
        <is>
          <t xml:space="preserve">Caixas Expedidas OUT</t>
        </is>
      </c>
      <c r="N12" s="84" t="inlineStr">
        <is>
          <t xml:space="preserve">Só ocupadas</t>
        </is>
      </c>
      <c r="O12" s="84" t="inlineStr">
        <is>
          <t xml:space="preserve">Pallets Movimentados IN</t>
        </is>
      </c>
      <c r="P12" s="84" t="inlineStr">
        <is>
          <t xml:space="preserve">Pallets Movimentados OUT</t>
        </is>
      </c>
      <c r="Q12" s="84" t="inlineStr">
        <is>
          <t xml:space="preserve">MOVIMENTAÇÃO PALETES/DIA</t>
        </is>
      </c>
      <c r="R12" s="84" t="inlineStr">
        <is>
          <t xml:space="preserve">ACUMULADO SEMANAL PALETES</t>
        </is>
      </c>
      <c r="S12" s="84" t="inlineStr">
        <is>
          <t xml:space="preserve">Toneladas Movimentadas IN</t>
        </is>
      </c>
      <c r="T12" s="84" t="inlineStr">
        <is>
          <t xml:space="preserve">Toneladas Movimentadas OUT</t>
        </is>
      </c>
      <c r="U12" s="84" t="inlineStr">
        <is>
          <t xml:space="preserve">MOVIMENTAÇÃO TONS/DIA</t>
        </is>
      </c>
      <c r="V12" s="84" t="inlineStr">
        <is>
          <t xml:space="preserve">ACUMULADO SEMANAL TONS</t>
        </is>
      </c>
      <c r="AF12" s="50" t="inlineStr">
        <is>
          <t xml:space="preserve">Toneladas Movimentadas IN por veículo</t>
        </is>
      </c>
      <c r="AG12" s="84" t="inlineStr">
        <is>
          <t xml:space="preserve">t movimentadas por veículo</t>
        </is>
      </c>
      <c r="AH12" s="85">
        <v>1</v>
      </c>
      <c r="AI12" s="86">
        <v>3</v>
      </c>
      <c r="AJ12" s="86">
        <v>3</v>
      </c>
      <c r="AK12" s="86">
        <v>1</v>
      </c>
      <c r="AL12" s="86">
        <v>1</v>
      </c>
    </row>
    <row r="13">
      <c r="A13" s="88">
        <v>4</v>
      </c>
      <c r="B13" s="90" t="inlineStr">
        <is>
          <t xml:space="preserve">Nestlé</t>
        </is>
      </c>
      <c r="C13" s="84" t="inlineStr">
        <is>
          <t xml:space="preserve">JSL</t>
        </is>
      </c>
      <c r="D13" s="84" t="inlineStr">
        <is>
          <t xml:space="preserve">Spot</t>
        </is>
      </c>
      <c r="E13" s="91"/>
      <c r="F13" s="84" t="inlineStr">
        <is>
          <t xml:space="preserve">Sim</t>
        </is>
      </c>
      <c r="G13" s="84" t="inlineStr">
        <is>
          <t xml:space="preserve">Pallets Movimentados IN</t>
        </is>
      </c>
      <c r="H13" s="84" t="inlineStr">
        <is>
          <t xml:space="preserve">Toneladas Movimentadas IN</t>
        </is>
      </c>
      <c r="I13" s="84" t="inlineStr">
        <is>
          <t xml:space="preserve">Caixas Recebidas IN</t>
        </is>
      </c>
      <c r="J13" s="84" t="inlineStr">
        <is>
          <t xml:space="preserve">Sim</t>
        </is>
      </c>
      <c r="K13" s="84" t="inlineStr">
        <is>
          <t xml:space="preserve">Pallets Movimentados OUT</t>
        </is>
      </c>
      <c r="L13" s="84" t="inlineStr">
        <is>
          <t xml:space="preserve">Toneladas Movimentadas OUT</t>
        </is>
      </c>
      <c r="M13" s="84" t="inlineStr">
        <is>
          <t xml:space="preserve">Caixas Expedidas OUT</t>
        </is>
      </c>
      <c r="N13" s="84" t="inlineStr">
        <is>
          <t xml:space="preserve">Só ocupadas</t>
        </is>
      </c>
      <c r="O13" s="84" t="inlineStr">
        <is>
          <t xml:space="preserve">Pallets Movimentados IN</t>
        </is>
      </c>
      <c r="P13" s="84" t="inlineStr">
        <is>
          <t xml:space="preserve">Pallets Movimentados OUT</t>
        </is>
      </c>
      <c r="Q13" s="84" t="inlineStr">
        <is>
          <t xml:space="preserve">MOVIMENTAÇÃO PALETES/DIA</t>
        </is>
      </c>
      <c r="R13" s="84" t="inlineStr">
        <is>
          <t xml:space="preserve">ACUMULADO SEMANAL PALETES</t>
        </is>
      </c>
      <c r="S13" s="84" t="inlineStr">
        <is>
          <t xml:space="preserve">Toneladas Movimentadas IN</t>
        </is>
      </c>
      <c r="T13" s="84" t="inlineStr">
        <is>
          <t xml:space="preserve">Toneladas Movimentadas OUT</t>
        </is>
      </c>
      <c r="U13" s="84" t="inlineStr">
        <is>
          <t xml:space="preserve">MOVIMENTAÇÃO TONS/DIA</t>
        </is>
      </c>
      <c r="V13" s="84" t="inlineStr">
        <is>
          <t xml:space="preserve">ACUMULADO SEMANAL TONS</t>
        </is>
      </c>
      <c r="AF13" s="50" t="inlineStr">
        <is>
          <t xml:space="preserve">Pallets Movimentados OUT</t>
        </is>
      </c>
      <c r="AG13" s="84" t="inlineStr">
        <is>
          <t xml:space="preserve">pallets movimentados</t>
        </is>
      </c>
      <c r="AH13" s="85">
        <v>0</v>
      </c>
      <c r="AI13" s="86">
        <v>5</v>
      </c>
      <c r="AJ13" s="86">
        <v>7</v>
      </c>
      <c r="AK13" s="86">
        <v>0</v>
      </c>
      <c r="AL13" s="86">
        <v>0</v>
      </c>
    </row>
    <row r="14">
      <c r="A14" s="88">
        <v>5</v>
      </c>
      <c r="B14" s="90" t="inlineStr">
        <is>
          <t xml:space="preserve">PMB</t>
        </is>
      </c>
      <c r="C14" s="84" t="inlineStr">
        <is>
          <t xml:space="preserve">JSL</t>
        </is>
      </c>
      <c r="D14" s="84" t="inlineStr">
        <is>
          <t xml:space="preserve">Contrato</t>
        </is>
      </c>
      <c r="E14" s="91">
        <v>240</v>
      </c>
      <c r="F14" s="84" t="inlineStr">
        <is>
          <t xml:space="preserve">Sim</t>
        </is>
      </c>
      <c r="G14" s="84" t="inlineStr">
        <is>
          <t xml:space="preserve">Pallets Movimentados IN</t>
        </is>
      </c>
      <c r="H14" s="84" t="inlineStr">
        <is>
          <t xml:space="preserve">Toneladas Movimentadas IN</t>
        </is>
      </c>
      <c r="I14" s="84" t="inlineStr">
        <is>
          <t xml:space="preserve">Caixas Recebidas IN</t>
        </is>
      </c>
      <c r="J14" s="84" t="inlineStr">
        <is>
          <t xml:space="preserve">Sim</t>
        </is>
      </c>
      <c r="K14" s="84" t="inlineStr">
        <is>
          <t xml:space="preserve">Pallets Movimentados OUT</t>
        </is>
      </c>
      <c r="L14" s="84" t="inlineStr">
        <is>
          <t xml:space="preserve">Toneladas Movimentadas OUT</t>
        </is>
      </c>
      <c r="M14" s="84" t="inlineStr">
        <is>
          <t xml:space="preserve">Caixas Expedidas OUT</t>
        </is>
      </c>
      <c r="N14" s="84" t="inlineStr">
        <is>
          <t xml:space="preserve">Completo</t>
        </is>
      </c>
      <c r="O14" s="84" t="inlineStr">
        <is>
          <t xml:space="preserve">Pallets Movimentados IN</t>
        </is>
      </c>
      <c r="P14" s="84" t="inlineStr">
        <is>
          <t xml:space="preserve">Pallets Movimentados OUT</t>
        </is>
      </c>
      <c r="Q14" s="84" t="inlineStr">
        <is>
          <t xml:space="preserve">MOVIMENTAÇÃO PALETES/DIA</t>
        </is>
      </c>
      <c r="R14" s="84" t="inlineStr">
        <is>
          <t xml:space="preserve">ACUMULADO SEMANAL PALETES</t>
        </is>
      </c>
      <c r="S14" s="84" t="inlineStr">
        <is>
          <t xml:space="preserve">Toneladas Movimentadas IN</t>
        </is>
      </c>
      <c r="T14" s="84" t="inlineStr">
        <is>
          <t xml:space="preserve">Toneladas Movimentadas OUT</t>
        </is>
      </c>
      <c r="U14" s="84" t="inlineStr">
        <is>
          <t xml:space="preserve">MOVIMENTAÇÃO TONS/DIA</t>
        </is>
      </c>
      <c r="V14" s="84" t="inlineStr">
        <is>
          <t xml:space="preserve">ACUMULADO SEMANAL TONS</t>
        </is>
      </c>
      <c r="AF14" s="50" t="inlineStr">
        <is>
          <t xml:space="preserve">Pallets Movimentados OUT por veículo</t>
        </is>
      </c>
      <c r="AG14" s="84" t="inlineStr">
        <is>
          <t xml:space="preserve">pallets movimentados por veículo</t>
        </is>
      </c>
      <c r="AH14" s="85">
        <v>1</v>
      </c>
      <c r="AI14" s="86">
        <v>5</v>
      </c>
      <c r="AJ14" s="86">
        <v>7</v>
      </c>
      <c r="AK14" s="86">
        <v>4</v>
      </c>
      <c r="AL14" s="86">
        <v>6</v>
      </c>
    </row>
    <row r="15">
      <c r="A15" s="88">
        <v>6</v>
      </c>
      <c r="B15" s="90"/>
      <c r="C15" s="84"/>
      <c r="D15" s="84"/>
      <c r="E15" s="91"/>
      <c r="F15" s="84" t="inlineStr">
        <is>
          <t xml:space="preserve">Sim</t>
        </is>
      </c>
      <c r="G15" s="84" t="inlineStr">
        <is>
          <t xml:space="preserve">Pallets Movimentados IN</t>
        </is>
      </c>
      <c r="H15" s="84" t="inlineStr">
        <is>
          <t xml:space="preserve">Toneladas Movimentadas IN</t>
        </is>
      </c>
      <c r="I15" s="84"/>
      <c r="J15" s="84" t="inlineStr">
        <is>
          <t xml:space="preserve">Sim</t>
        </is>
      </c>
      <c r="K15" s="84" t="inlineStr">
        <is>
          <t xml:space="preserve">Pallets Movimentados OUT</t>
        </is>
      </c>
      <c r="L15" s="84" t="inlineStr">
        <is>
          <t xml:space="preserve">Toneladas Movimentadas OUT</t>
        </is>
      </c>
      <c r="M15" s="84"/>
      <c r="N15" s="84" t="inlineStr">
        <is>
          <t xml:space="preserve">Completo</t>
        </is>
      </c>
      <c r="O15" s="84" t="inlineStr">
        <is>
          <t xml:space="preserve">Pallets Movimentados IN</t>
        </is>
      </c>
      <c r="P15" s="84" t="inlineStr">
        <is>
          <t xml:space="preserve">Pallets Movimentados OUT</t>
        </is>
      </c>
      <c r="Q15" s="84" t="inlineStr">
        <is>
          <t xml:space="preserve">MOVIMENTAÇÃO PALETES/DIA</t>
        </is>
      </c>
      <c r="R15" s="84" t="inlineStr">
        <is>
          <t xml:space="preserve">ACUMULADO SEMANAL PALETES</t>
        </is>
      </c>
      <c r="S15" s="84" t="inlineStr">
        <is>
          <t xml:space="preserve">Toneladas Movimentadas IN</t>
        </is>
      </c>
      <c r="T15" s="84" t="inlineStr">
        <is>
          <t xml:space="preserve">Toneladas Movimentadas OUT</t>
        </is>
      </c>
      <c r="U15" s="84" t="inlineStr">
        <is>
          <t xml:space="preserve">MOVIMENTAÇÃO TONS/DIA</t>
        </is>
      </c>
      <c r="V15" s="84" t="inlineStr">
        <is>
          <t xml:space="preserve">ACUMULADO SEMANAL TONS</t>
        </is>
      </c>
      <c r="AF15" s="50" t="inlineStr">
        <is>
          <t xml:space="preserve">Toneladas Movimentadas OUT</t>
        </is>
      </c>
      <c r="AG15" s="84" t="inlineStr">
        <is>
          <t xml:space="preserve">t movimentadas</t>
        </is>
      </c>
      <c r="AH15" s="85">
        <v>1</v>
      </c>
      <c r="AI15" s="86">
        <v>6</v>
      </c>
      <c r="AJ15" s="86">
        <v>8</v>
      </c>
      <c r="AK15" s="86">
        <v>0</v>
      </c>
      <c r="AL15" s="86">
        <v>0</v>
      </c>
    </row>
    <row r="16">
      <c r="A16" s="88">
        <v>7</v>
      </c>
      <c r="B16" s="90"/>
      <c r="C16" s="84"/>
      <c r="D16" s="84"/>
      <c r="E16" s="91"/>
      <c r="F16" s="84" t="inlineStr">
        <is>
          <t xml:space="preserve">Sim</t>
        </is>
      </c>
      <c r="G16" s="84" t="inlineStr">
        <is>
          <t xml:space="preserve">Pallets Movimentados IN</t>
        </is>
      </c>
      <c r="H16" s="84" t="inlineStr">
        <is>
          <t xml:space="preserve">Toneladas Movimentadas IN</t>
        </is>
      </c>
      <c r="I16" s="84"/>
      <c r="J16" s="84" t="inlineStr">
        <is>
          <t xml:space="preserve">Sim</t>
        </is>
      </c>
      <c r="K16" s="84" t="inlineStr">
        <is>
          <t xml:space="preserve">Pallets Movimentados OUT</t>
        </is>
      </c>
      <c r="L16" s="84" t="inlineStr">
        <is>
          <t xml:space="preserve">Toneladas Movimentadas OUT</t>
        </is>
      </c>
      <c r="M16" s="84"/>
      <c r="N16" s="84" t="inlineStr">
        <is>
          <t xml:space="preserve">Completo</t>
        </is>
      </c>
      <c r="O16" s="84" t="inlineStr">
        <is>
          <t xml:space="preserve">Pallets Movimentados IN</t>
        </is>
      </c>
      <c r="P16" s="84" t="inlineStr">
        <is>
          <t xml:space="preserve">Pallets Movimentados OUT</t>
        </is>
      </c>
      <c r="Q16" s="84" t="inlineStr">
        <is>
          <t xml:space="preserve">MOVIMENTAÇÃO PALETES/DIA</t>
        </is>
      </c>
      <c r="R16" s="84" t="inlineStr">
        <is>
          <t xml:space="preserve">ACUMULADO SEMANAL PALETES</t>
        </is>
      </c>
      <c r="S16" s="84" t="inlineStr">
        <is>
          <t xml:space="preserve">Toneladas Movimentadas IN</t>
        </is>
      </c>
      <c r="T16" s="84" t="inlineStr">
        <is>
          <t xml:space="preserve">Toneladas Movimentadas OUT</t>
        </is>
      </c>
      <c r="U16" s="84" t="inlineStr">
        <is>
          <t xml:space="preserve">MOVIMENTAÇÃO TONS/DIA</t>
        </is>
      </c>
      <c r="V16" s="84" t="inlineStr">
        <is>
          <t xml:space="preserve">ACUMULADO SEMANAL TONS</t>
        </is>
      </c>
      <c r="AF16" s="50" t="inlineStr">
        <is>
          <t xml:space="preserve">Toneladas Movimentadas OUT por veículo</t>
        </is>
      </c>
      <c r="AG16" s="84" t="inlineStr">
        <is>
          <t xml:space="preserve">t movimentadas por veículo</t>
        </is>
      </c>
      <c r="AH16" s="85">
        <v>1</v>
      </c>
      <c r="AI16" s="86">
        <v>6</v>
      </c>
      <c r="AJ16" s="86">
        <v>8</v>
      </c>
      <c r="AK16" s="86">
        <v>4</v>
      </c>
      <c r="AL16" s="86">
        <v>6</v>
      </c>
    </row>
    <row r="17">
      <c r="A17" s="88">
        <v>8</v>
      </c>
      <c r="B17" s="90"/>
      <c r="C17" s="84"/>
      <c r="D17" s="84"/>
      <c r="E17" s="91"/>
      <c r="F17" s="84" t="inlineStr">
        <is>
          <t xml:space="preserve">Sim</t>
        </is>
      </c>
      <c r="G17" s="84" t="inlineStr">
        <is>
          <t xml:space="preserve">Pallets Movimentados IN</t>
        </is>
      </c>
      <c r="H17" s="84" t="inlineStr">
        <is>
          <t xml:space="preserve">Toneladas Movimentadas IN</t>
        </is>
      </c>
      <c r="I17" s="84"/>
      <c r="J17" s="84" t="inlineStr">
        <is>
          <t xml:space="preserve">Sim</t>
        </is>
      </c>
      <c r="K17" s="84" t="inlineStr">
        <is>
          <t xml:space="preserve">Pallets Movimentados OUT</t>
        </is>
      </c>
      <c r="L17" s="84" t="inlineStr">
        <is>
          <t xml:space="preserve">Toneladas Movimentadas OUT</t>
        </is>
      </c>
      <c r="M17" s="84"/>
      <c r="N17" s="84" t="inlineStr">
        <is>
          <t xml:space="preserve">Completo</t>
        </is>
      </c>
      <c r="O17" s="84" t="inlineStr">
        <is>
          <t xml:space="preserve">Pallets Movimentados IN</t>
        </is>
      </c>
      <c r="P17" s="84" t="inlineStr">
        <is>
          <t xml:space="preserve">Pallets Movimentados OUT</t>
        </is>
      </c>
      <c r="Q17" s="84" t="inlineStr">
        <is>
          <t xml:space="preserve">MOVIMENTAÇÃO PALETES/DIA</t>
        </is>
      </c>
      <c r="R17" s="84" t="inlineStr">
        <is>
          <t xml:space="preserve">ACUMULADO SEMANAL PALETES</t>
        </is>
      </c>
      <c r="S17" s="84" t="inlineStr">
        <is>
          <t xml:space="preserve">Toneladas Movimentadas IN</t>
        </is>
      </c>
      <c r="T17" s="84" t="inlineStr">
        <is>
          <t xml:space="preserve">Toneladas Movimentadas OUT</t>
        </is>
      </c>
      <c r="U17" s="84" t="inlineStr">
        <is>
          <t xml:space="preserve">MOVIMENTAÇÃO TONS/DIA</t>
        </is>
      </c>
      <c r="V17" s="84" t="inlineStr">
        <is>
          <t xml:space="preserve">ACUMULADO SEMANAL TONS</t>
        </is>
      </c>
      <c r="AF17" s="50" t="inlineStr">
        <is>
          <t xml:space="preserve">Caixas Recebidas IN</t>
        </is>
      </c>
      <c r="AG17" s="84" t="inlineStr">
        <is>
          <t xml:space="preserve">caixas recebidas</t>
        </is>
      </c>
      <c r="AH17" s="85">
        <v>0</v>
      </c>
      <c r="AI17" s="86">
        <v>27</v>
      </c>
      <c r="AJ17" s="86">
        <v>4</v>
      </c>
      <c r="AK17" s="86">
        <v>0</v>
      </c>
      <c r="AL17" s="86">
        <v>0</v>
      </c>
    </row>
    <row r="18">
      <c r="A18" s="88">
        <v>9</v>
      </c>
      <c r="B18" s="90"/>
      <c r="C18" s="84"/>
      <c r="D18" s="84"/>
      <c r="E18" s="91"/>
      <c r="F18" s="84" t="inlineStr">
        <is>
          <t xml:space="preserve">Sim</t>
        </is>
      </c>
      <c r="G18" s="84" t="inlineStr">
        <is>
          <t xml:space="preserve">Pallets Movimentados IN</t>
        </is>
      </c>
      <c r="H18" s="84" t="inlineStr">
        <is>
          <t xml:space="preserve">Toneladas Movimentadas IN</t>
        </is>
      </c>
      <c r="I18" s="84"/>
      <c r="J18" s="84" t="inlineStr">
        <is>
          <t xml:space="preserve">Sim</t>
        </is>
      </c>
      <c r="K18" s="84" t="inlineStr">
        <is>
          <t xml:space="preserve">Pallets Movimentados OUT</t>
        </is>
      </c>
      <c r="L18" s="84" t="inlineStr">
        <is>
          <t xml:space="preserve">Toneladas Movimentadas OUT</t>
        </is>
      </c>
      <c r="M18" s="84"/>
      <c r="N18" s="84" t="inlineStr">
        <is>
          <t xml:space="preserve">Completo</t>
        </is>
      </c>
      <c r="O18" s="84" t="inlineStr">
        <is>
          <t xml:space="preserve">Pallets Movimentados IN</t>
        </is>
      </c>
      <c r="P18" s="84" t="inlineStr">
        <is>
          <t xml:space="preserve">Pallets Movimentados OUT</t>
        </is>
      </c>
      <c r="Q18" s="84" t="inlineStr">
        <is>
          <t xml:space="preserve">MOVIMENTAÇÃO PALETES/DIA</t>
        </is>
      </c>
      <c r="R18" s="84" t="inlineStr">
        <is>
          <t xml:space="preserve">ACUMULADO SEMANAL PALETES</t>
        </is>
      </c>
      <c r="S18" s="84" t="inlineStr">
        <is>
          <t xml:space="preserve">Toneladas Movimentadas IN</t>
        </is>
      </c>
      <c r="T18" s="84" t="inlineStr">
        <is>
          <t xml:space="preserve">Toneladas Movimentadas OUT</t>
        </is>
      </c>
      <c r="U18" s="84" t="inlineStr">
        <is>
          <t xml:space="preserve">MOVIMENTAÇÃO TONS/DIA</t>
        </is>
      </c>
      <c r="V18" s="84" t="inlineStr">
        <is>
          <t xml:space="preserve">ACUMULADO SEMANAL TONS</t>
        </is>
      </c>
      <c r="AF18" s="50" t="inlineStr">
        <is>
          <t xml:space="preserve">Caixas Recebidas IN por veículo</t>
        </is>
      </c>
      <c r="AG18" s="84" t="inlineStr">
        <is>
          <t xml:space="preserve">caixas recebidas por veículo</t>
        </is>
      </c>
      <c r="AH18" s="85">
        <v>1</v>
      </c>
      <c r="AI18" s="86">
        <v>27</v>
      </c>
      <c r="AJ18" s="86">
        <v>4</v>
      </c>
      <c r="AK18" s="86">
        <v>1</v>
      </c>
      <c r="AL18" s="86">
        <v>1</v>
      </c>
    </row>
    <row r="19">
      <c r="A19" s="88">
        <v>10</v>
      </c>
      <c r="B19" s="90"/>
      <c r="C19" s="84"/>
      <c r="D19" s="84"/>
      <c r="E19" s="91"/>
      <c r="F19" s="84" t="inlineStr">
        <is>
          <t xml:space="preserve">Sim</t>
        </is>
      </c>
      <c r="G19" s="84" t="inlineStr">
        <is>
          <t xml:space="preserve">Pallets Movimentados IN</t>
        </is>
      </c>
      <c r="H19" s="84" t="inlineStr">
        <is>
          <t xml:space="preserve">Toneladas Movimentadas IN</t>
        </is>
      </c>
      <c r="I19" s="84"/>
      <c r="J19" s="84" t="inlineStr">
        <is>
          <t xml:space="preserve">Sim</t>
        </is>
      </c>
      <c r="K19" s="84" t="inlineStr">
        <is>
          <t xml:space="preserve">Pallets Movimentados OUT</t>
        </is>
      </c>
      <c r="L19" s="84" t="inlineStr">
        <is>
          <t xml:space="preserve">Toneladas Movimentadas OUT</t>
        </is>
      </c>
      <c r="M19" s="84"/>
      <c r="N19" s="84" t="inlineStr">
        <is>
          <t xml:space="preserve">Completo</t>
        </is>
      </c>
      <c r="O19" s="84" t="inlineStr">
        <is>
          <t xml:space="preserve">Pallets Movimentados IN</t>
        </is>
      </c>
      <c r="P19" s="84" t="inlineStr">
        <is>
          <t xml:space="preserve">Pallets Movimentados OUT</t>
        </is>
      </c>
      <c r="Q19" s="84" t="inlineStr">
        <is>
          <t xml:space="preserve">MOVIMENTAÇÃO PALETES/DIA</t>
        </is>
      </c>
      <c r="R19" s="84" t="inlineStr">
        <is>
          <t xml:space="preserve">ACUMULADO SEMANAL PALETES</t>
        </is>
      </c>
      <c r="S19" s="84" t="inlineStr">
        <is>
          <t xml:space="preserve">Toneladas Movimentadas IN</t>
        </is>
      </c>
      <c r="T19" s="84" t="inlineStr">
        <is>
          <t xml:space="preserve">Toneladas Movimentadas OUT</t>
        </is>
      </c>
      <c r="U19" s="84" t="inlineStr">
        <is>
          <t xml:space="preserve">MOVIMENTAÇÃO TONS/DIA</t>
        </is>
      </c>
      <c r="V19" s="84" t="inlineStr">
        <is>
          <t xml:space="preserve">ACUMULADO SEMANAL TONS</t>
        </is>
      </c>
      <c r="AF19" s="50" t="inlineStr">
        <is>
          <t xml:space="preserve">Bags Recebidos IN</t>
        </is>
      </c>
      <c r="AG19" s="84" t="inlineStr">
        <is>
          <t xml:space="preserve">bags recebidos</t>
        </is>
      </c>
      <c r="AH19" s="85">
        <v>0</v>
      </c>
      <c r="AI19" s="86">
        <v>28</v>
      </c>
      <c r="AJ19" s="86">
        <v>5</v>
      </c>
      <c r="AK19" s="86">
        <v>0</v>
      </c>
      <c r="AL19" s="86">
        <v>0</v>
      </c>
    </row>
    <row r="20">
      <c r="A20" s="88">
        <v>11</v>
      </c>
      <c r="B20" s="90"/>
      <c r="C20" s="84"/>
      <c r="D20" s="84"/>
      <c r="E20" s="91"/>
      <c r="F20" s="84" t="inlineStr">
        <is>
          <t xml:space="preserve">Sim</t>
        </is>
      </c>
      <c r="G20" s="84" t="inlineStr">
        <is>
          <t xml:space="preserve">Pallets Movimentados IN</t>
        </is>
      </c>
      <c r="H20" s="84" t="inlineStr">
        <is>
          <t xml:space="preserve">Toneladas Movimentadas IN</t>
        </is>
      </c>
      <c r="I20" s="84"/>
      <c r="J20" s="84" t="inlineStr">
        <is>
          <t xml:space="preserve">Sim</t>
        </is>
      </c>
      <c r="K20" s="84" t="inlineStr">
        <is>
          <t xml:space="preserve">Pallets Movimentados OUT</t>
        </is>
      </c>
      <c r="L20" s="84" t="inlineStr">
        <is>
          <t xml:space="preserve">Toneladas Movimentadas OUT</t>
        </is>
      </c>
      <c r="M20" s="84"/>
      <c r="N20" s="84" t="inlineStr">
        <is>
          <t xml:space="preserve">Completo</t>
        </is>
      </c>
      <c r="O20" s="84" t="inlineStr">
        <is>
          <t xml:space="preserve">Pallets Movimentados IN</t>
        </is>
      </c>
      <c r="P20" s="84" t="inlineStr">
        <is>
          <t xml:space="preserve">Pallets Movimentados OUT</t>
        </is>
      </c>
      <c r="Q20" s="84" t="inlineStr">
        <is>
          <t xml:space="preserve">MOVIMENTAÇÃO PALETES/DIA</t>
        </is>
      </c>
      <c r="R20" s="84" t="inlineStr">
        <is>
          <t xml:space="preserve">ACUMULADO SEMANAL PALETES</t>
        </is>
      </c>
      <c r="S20" s="84" t="inlineStr">
        <is>
          <t xml:space="preserve">Toneladas Movimentadas IN</t>
        </is>
      </c>
      <c r="T20" s="84" t="inlineStr">
        <is>
          <t xml:space="preserve">Toneladas Movimentadas OUT</t>
        </is>
      </c>
      <c r="U20" s="84" t="inlineStr">
        <is>
          <t xml:space="preserve">MOVIMENTAÇÃO TONS/DIA</t>
        </is>
      </c>
      <c r="V20" s="84" t="inlineStr">
        <is>
          <t xml:space="preserve">ACUMULADO SEMANAL TONS</t>
        </is>
      </c>
      <c r="AF20" s="50" t="inlineStr">
        <is>
          <t xml:space="preserve">Bags Recebidos IN por veículo</t>
        </is>
      </c>
      <c r="AG20" s="84" t="inlineStr">
        <is>
          <t xml:space="preserve">bags recebidos por veículo</t>
        </is>
      </c>
      <c r="AH20" s="85">
        <v>1</v>
      </c>
      <c r="AI20" s="86">
        <v>28</v>
      </c>
      <c r="AJ20" s="86">
        <v>5</v>
      </c>
      <c r="AK20" s="86">
        <v>1</v>
      </c>
      <c r="AL20" s="86">
        <v>1</v>
      </c>
    </row>
    <row r="21">
      <c r="A21" s="88">
        <v>12</v>
      </c>
      <c r="B21" s="90"/>
      <c r="C21" s="84"/>
      <c r="D21" s="84"/>
      <c r="E21" s="91"/>
      <c r="F21" s="84" t="inlineStr">
        <is>
          <t xml:space="preserve">Sim</t>
        </is>
      </c>
      <c r="G21" s="84" t="inlineStr">
        <is>
          <t xml:space="preserve">Pallets Movimentados IN</t>
        </is>
      </c>
      <c r="H21" s="84" t="inlineStr">
        <is>
          <t xml:space="preserve">Toneladas Movimentadas IN</t>
        </is>
      </c>
      <c r="I21" s="84"/>
      <c r="J21" s="84" t="inlineStr">
        <is>
          <t xml:space="preserve">Sim</t>
        </is>
      </c>
      <c r="K21" s="84" t="inlineStr">
        <is>
          <t xml:space="preserve">Pallets Movimentados OUT</t>
        </is>
      </c>
      <c r="L21" s="84" t="inlineStr">
        <is>
          <t xml:space="preserve">Toneladas Movimentadas OUT</t>
        </is>
      </c>
      <c r="M21" s="84"/>
      <c r="N21" s="84" t="inlineStr">
        <is>
          <t xml:space="preserve">Completo</t>
        </is>
      </c>
      <c r="O21" s="84" t="inlineStr">
        <is>
          <t xml:space="preserve">Pallets Movimentados IN</t>
        </is>
      </c>
      <c r="P21" s="84" t="inlineStr">
        <is>
          <t xml:space="preserve">Pallets Movimentados OUT</t>
        </is>
      </c>
      <c r="Q21" s="84" t="inlineStr">
        <is>
          <t xml:space="preserve">MOVIMENTAÇÃO PALETES/DIA</t>
        </is>
      </c>
      <c r="R21" s="84" t="inlineStr">
        <is>
          <t xml:space="preserve">ACUMULADO SEMANAL PALETES</t>
        </is>
      </c>
      <c r="S21" s="84" t="inlineStr">
        <is>
          <t xml:space="preserve">Toneladas Movimentadas IN</t>
        </is>
      </c>
      <c r="T21" s="84" t="inlineStr">
        <is>
          <t xml:space="preserve">Toneladas Movimentadas OUT</t>
        </is>
      </c>
      <c r="U21" s="84" t="inlineStr">
        <is>
          <t xml:space="preserve">MOVIMENTAÇÃO TONS/DIA</t>
        </is>
      </c>
      <c r="V21" s="84" t="inlineStr">
        <is>
          <t xml:space="preserve">ACUMULADO SEMANAL TONS</t>
        </is>
      </c>
      <c r="AF21" s="50" t="inlineStr">
        <is>
          <t xml:space="preserve">Pedidos Faturados OUT</t>
        </is>
      </c>
      <c r="AG21" s="84" t="inlineStr">
        <is>
          <t xml:space="preserve">pedidos faturados</t>
        </is>
      </c>
      <c r="AH21" s="85">
        <v>0</v>
      </c>
      <c r="AI21" s="86">
        <v>29</v>
      </c>
      <c r="AJ21" s="86">
        <v>10</v>
      </c>
      <c r="AK21" s="86">
        <v>0</v>
      </c>
      <c r="AL21" s="86">
        <v>0</v>
      </c>
    </row>
    <row r="22">
      <c r="A22" s="88">
        <v>13</v>
      </c>
      <c r="B22" s="90"/>
      <c r="C22" s="84"/>
      <c r="D22" s="84"/>
      <c r="E22" s="91"/>
      <c r="F22" s="84" t="inlineStr">
        <is>
          <t xml:space="preserve">Sim</t>
        </is>
      </c>
      <c r="G22" s="84" t="inlineStr">
        <is>
          <t xml:space="preserve">Pallets Movimentados IN</t>
        </is>
      </c>
      <c r="H22" s="84" t="inlineStr">
        <is>
          <t xml:space="preserve">Toneladas Movimentadas IN</t>
        </is>
      </c>
      <c r="I22" s="84"/>
      <c r="J22" s="84" t="inlineStr">
        <is>
          <t xml:space="preserve">Sim</t>
        </is>
      </c>
      <c r="K22" s="84" t="inlineStr">
        <is>
          <t xml:space="preserve">Pallets Movimentados OUT</t>
        </is>
      </c>
      <c r="L22" s="84" t="inlineStr">
        <is>
          <t xml:space="preserve">Toneladas Movimentadas OUT</t>
        </is>
      </c>
      <c r="M22" s="84"/>
      <c r="N22" s="84" t="inlineStr">
        <is>
          <t xml:space="preserve">Completo</t>
        </is>
      </c>
      <c r="O22" s="84" t="inlineStr">
        <is>
          <t xml:space="preserve">Pallets Movimentados IN</t>
        </is>
      </c>
      <c r="P22" s="84" t="inlineStr">
        <is>
          <t xml:space="preserve">Pallets Movimentados OUT</t>
        </is>
      </c>
      <c r="Q22" s="84" t="inlineStr">
        <is>
          <t xml:space="preserve">MOVIMENTAÇÃO PALETES/DIA</t>
        </is>
      </c>
      <c r="R22" s="84" t="inlineStr">
        <is>
          <t xml:space="preserve">ACUMULADO SEMANAL PALETES</t>
        </is>
      </c>
      <c r="S22" s="84" t="inlineStr">
        <is>
          <t xml:space="preserve">Toneladas Movimentadas IN</t>
        </is>
      </c>
      <c r="T22" s="84" t="inlineStr">
        <is>
          <t xml:space="preserve">Toneladas Movimentadas OUT</t>
        </is>
      </c>
      <c r="U22" s="84" t="inlineStr">
        <is>
          <t xml:space="preserve">MOVIMENTAÇÃO TONS/DIA</t>
        </is>
      </c>
      <c r="V22" s="84" t="inlineStr">
        <is>
          <t xml:space="preserve">ACUMULADO SEMANAL TONS</t>
        </is>
      </c>
      <c r="AF22" s="50" t="inlineStr">
        <is>
          <t xml:space="preserve">Pedidos Faturados OUT por veículo</t>
        </is>
      </c>
      <c r="AG22" s="84" t="inlineStr">
        <is>
          <t xml:space="preserve">pedidos faturados por veículo</t>
        </is>
      </c>
      <c r="AH22" s="85">
        <v>1</v>
      </c>
      <c r="AI22" s="86">
        <v>29</v>
      </c>
      <c r="AJ22" s="86">
        <v>10</v>
      </c>
      <c r="AK22" s="86">
        <v>4</v>
      </c>
      <c r="AL22" s="86">
        <v>6</v>
      </c>
    </row>
    <row r="23">
      <c r="A23" s="88">
        <v>14</v>
      </c>
      <c r="B23" s="90"/>
      <c r="C23" s="84"/>
      <c r="D23" s="84"/>
      <c r="E23" s="91"/>
      <c r="F23" s="84" t="inlineStr">
        <is>
          <t xml:space="preserve">Sim</t>
        </is>
      </c>
      <c r="G23" s="84" t="inlineStr">
        <is>
          <t xml:space="preserve">Pallets Movimentados IN</t>
        </is>
      </c>
      <c r="H23" s="84" t="inlineStr">
        <is>
          <t xml:space="preserve">Toneladas Movimentadas IN</t>
        </is>
      </c>
      <c r="I23" s="84"/>
      <c r="J23" s="84" t="inlineStr">
        <is>
          <t xml:space="preserve">Sim</t>
        </is>
      </c>
      <c r="K23" s="84" t="inlineStr">
        <is>
          <t xml:space="preserve">Pallets Movimentados OUT</t>
        </is>
      </c>
      <c r="L23" s="84" t="inlineStr">
        <is>
          <t xml:space="preserve">Toneladas Movimentadas OUT</t>
        </is>
      </c>
      <c r="M23" s="84"/>
      <c r="N23" s="84" t="inlineStr">
        <is>
          <t xml:space="preserve">Completo</t>
        </is>
      </c>
      <c r="O23" s="84" t="inlineStr">
        <is>
          <t xml:space="preserve">Pallets Movimentados IN</t>
        </is>
      </c>
      <c r="P23" s="84" t="inlineStr">
        <is>
          <t xml:space="preserve">Pallets Movimentados OUT</t>
        </is>
      </c>
      <c r="Q23" s="84" t="inlineStr">
        <is>
          <t xml:space="preserve">MOVIMENTAÇÃO PALETES/DIA</t>
        </is>
      </c>
      <c r="R23" s="84" t="inlineStr">
        <is>
          <t xml:space="preserve">ACUMULADO SEMANAL PALETES</t>
        </is>
      </c>
      <c r="S23" s="84" t="inlineStr">
        <is>
          <t xml:space="preserve">Toneladas Movimentadas IN</t>
        </is>
      </c>
      <c r="T23" s="84" t="inlineStr">
        <is>
          <t xml:space="preserve">Toneladas Movimentadas OUT</t>
        </is>
      </c>
      <c r="U23" s="84" t="inlineStr">
        <is>
          <t xml:space="preserve">MOVIMENTAÇÃO TONS/DIA</t>
        </is>
      </c>
      <c r="V23" s="84" t="inlineStr">
        <is>
          <t xml:space="preserve">ACUMULADO SEMANAL TONS</t>
        </is>
      </c>
      <c r="AF23" s="50" t="inlineStr">
        <is>
          <t xml:space="preserve">Caixas Expedidas OUT</t>
        </is>
      </c>
      <c r="AG23" s="84" t="inlineStr">
        <is>
          <t xml:space="preserve">caixas expedidas</t>
        </is>
      </c>
      <c r="AH23" s="85">
        <v>0</v>
      </c>
      <c r="AI23" s="86">
        <v>30</v>
      </c>
      <c r="AJ23" s="86">
        <v>9</v>
      </c>
      <c r="AK23" s="86">
        <v>0</v>
      </c>
      <c r="AL23" s="86">
        <v>0</v>
      </c>
    </row>
    <row r="24">
      <c r="A24" s="88">
        <v>15</v>
      </c>
      <c r="B24" s="90"/>
      <c r="C24" s="84"/>
      <c r="D24" s="84"/>
      <c r="E24" s="91"/>
      <c r="F24" s="84" t="inlineStr">
        <is>
          <t xml:space="preserve">Sim</t>
        </is>
      </c>
      <c r="G24" s="84" t="inlineStr">
        <is>
          <t xml:space="preserve">Pallets Movimentados IN</t>
        </is>
      </c>
      <c r="H24" s="84" t="inlineStr">
        <is>
          <t xml:space="preserve">Toneladas Movimentadas IN</t>
        </is>
      </c>
      <c r="I24" s="84"/>
      <c r="J24" s="84" t="inlineStr">
        <is>
          <t xml:space="preserve">Sim</t>
        </is>
      </c>
      <c r="K24" s="84" t="inlineStr">
        <is>
          <t xml:space="preserve">Pallets Movimentados OUT</t>
        </is>
      </c>
      <c r="L24" s="84" t="inlineStr">
        <is>
          <t xml:space="preserve">Toneladas Movimentadas OUT</t>
        </is>
      </c>
      <c r="M24" s="84"/>
      <c r="N24" s="84" t="inlineStr">
        <is>
          <t xml:space="preserve">Completo</t>
        </is>
      </c>
      <c r="O24" s="84" t="inlineStr">
        <is>
          <t xml:space="preserve">Pallets Movimentados IN</t>
        </is>
      </c>
      <c r="P24" s="84" t="inlineStr">
        <is>
          <t xml:space="preserve">Pallets Movimentados OUT</t>
        </is>
      </c>
      <c r="Q24" s="84" t="inlineStr">
        <is>
          <t xml:space="preserve">MOVIMENTAÇÃO PALETES/DIA</t>
        </is>
      </c>
      <c r="R24" s="84" t="inlineStr">
        <is>
          <t xml:space="preserve">ACUMULADO SEMANAL PALETES</t>
        </is>
      </c>
      <c r="S24" s="84" t="inlineStr">
        <is>
          <t xml:space="preserve">Toneladas Movimentadas IN</t>
        </is>
      </c>
      <c r="T24" s="84" t="inlineStr">
        <is>
          <t xml:space="preserve">Toneladas Movimentadas OUT</t>
        </is>
      </c>
      <c r="U24" s="84" t="inlineStr">
        <is>
          <t xml:space="preserve">MOVIMENTAÇÃO TONS/DIA</t>
        </is>
      </c>
      <c r="V24" s="84" t="inlineStr">
        <is>
          <t xml:space="preserve">ACUMULADO SEMANAL TONS</t>
        </is>
      </c>
      <c r="AF24" s="50" t="inlineStr">
        <is>
          <t xml:space="preserve">Caixas Expedidas OUT por veículo</t>
        </is>
      </c>
      <c r="AG24" s="84" t="inlineStr">
        <is>
          <t xml:space="preserve">caixas expedidas por veículo</t>
        </is>
      </c>
      <c r="AH24" s="85">
        <v>1</v>
      </c>
      <c r="AI24" s="86">
        <v>30</v>
      </c>
      <c r="AJ24" s="86">
        <v>9</v>
      </c>
      <c r="AK24" s="86">
        <v>4</v>
      </c>
      <c r="AL24" s="86">
        <v>6</v>
      </c>
    </row>
    <row r="25">
      <c r="A25" s="88">
        <v>16</v>
      </c>
      <c r="B25" s="90"/>
      <c r="C25" s="84"/>
      <c r="D25" s="84"/>
      <c r="E25" s="91"/>
      <c r="F25" s="84" t="inlineStr">
        <is>
          <t xml:space="preserve">Sim</t>
        </is>
      </c>
      <c r="G25" s="84" t="inlineStr">
        <is>
          <t xml:space="preserve">Pallets Movimentados IN</t>
        </is>
      </c>
      <c r="H25" s="84" t="inlineStr">
        <is>
          <t xml:space="preserve">Toneladas Movimentadas IN</t>
        </is>
      </c>
      <c r="I25" s="84"/>
      <c r="J25" s="84" t="inlineStr">
        <is>
          <t xml:space="preserve">Sim</t>
        </is>
      </c>
      <c r="K25" s="84" t="inlineStr">
        <is>
          <t xml:space="preserve">Pallets Movimentados OUT</t>
        </is>
      </c>
      <c r="L25" s="84" t="inlineStr">
        <is>
          <t xml:space="preserve">Toneladas Movimentadas OUT</t>
        </is>
      </c>
      <c r="M25" s="84"/>
      <c r="N25" s="84" t="inlineStr">
        <is>
          <t xml:space="preserve">Completo</t>
        </is>
      </c>
      <c r="O25" s="84" t="inlineStr">
        <is>
          <t xml:space="preserve">Pallets Movimentados IN</t>
        </is>
      </c>
      <c r="P25" s="84" t="inlineStr">
        <is>
          <t xml:space="preserve">Pallets Movimentados OUT</t>
        </is>
      </c>
      <c r="Q25" s="84" t="inlineStr">
        <is>
          <t xml:space="preserve">MOVIMENTAÇÃO PALETES/DIA</t>
        </is>
      </c>
      <c r="R25" s="84" t="inlineStr">
        <is>
          <t xml:space="preserve">ACUMULADO SEMANAL PALETES</t>
        </is>
      </c>
      <c r="S25" s="84" t="inlineStr">
        <is>
          <t xml:space="preserve">Toneladas Movimentadas IN</t>
        </is>
      </c>
      <c r="T25" s="84" t="inlineStr">
        <is>
          <t xml:space="preserve">Toneladas Movimentadas OUT</t>
        </is>
      </c>
      <c r="U25" s="84" t="inlineStr">
        <is>
          <t xml:space="preserve">MOVIMENTAÇÃO TONS/DIA</t>
        </is>
      </c>
      <c r="V25" s="84" t="inlineStr">
        <is>
          <t xml:space="preserve">ACUMULADO SEMANAL TONS</t>
        </is>
      </c>
      <c r="AF25" s="50" t="inlineStr">
        <is>
          <t xml:space="preserve">Bags Expedidos OUT</t>
        </is>
      </c>
      <c r="AG25" s="84" t="inlineStr">
        <is>
          <t xml:space="preserve">bags expedidos</t>
        </is>
      </c>
      <c r="AH25" s="85">
        <v>0</v>
      </c>
      <c r="AI25" s="86">
        <v>31</v>
      </c>
      <c r="AJ25" s="86">
        <v>11</v>
      </c>
      <c r="AK25" s="86">
        <v>0</v>
      </c>
      <c r="AL25" s="86">
        <v>0</v>
      </c>
    </row>
    <row r="26">
      <c r="A26" s="88">
        <v>17</v>
      </c>
      <c r="B26" s="90"/>
      <c r="C26" s="84"/>
      <c r="D26" s="84"/>
      <c r="E26" s="91"/>
      <c r="F26" s="84" t="inlineStr">
        <is>
          <t xml:space="preserve">Sim</t>
        </is>
      </c>
      <c r="G26" s="84" t="inlineStr">
        <is>
          <t xml:space="preserve">Pallets Movimentados IN</t>
        </is>
      </c>
      <c r="H26" s="84" t="inlineStr">
        <is>
          <t xml:space="preserve">Toneladas Movimentadas IN</t>
        </is>
      </c>
      <c r="I26" s="84"/>
      <c r="J26" s="84" t="inlineStr">
        <is>
          <t xml:space="preserve">Sim</t>
        </is>
      </c>
      <c r="K26" s="84" t="inlineStr">
        <is>
          <t xml:space="preserve">Pallets Movimentados OUT</t>
        </is>
      </c>
      <c r="L26" s="84" t="inlineStr">
        <is>
          <t xml:space="preserve">Toneladas Movimentadas OUT</t>
        </is>
      </c>
      <c r="M26" s="84"/>
      <c r="N26" s="84" t="inlineStr">
        <is>
          <t xml:space="preserve">Completo</t>
        </is>
      </c>
      <c r="O26" s="84" t="inlineStr">
        <is>
          <t xml:space="preserve">Pallets Movimentados IN</t>
        </is>
      </c>
      <c r="P26" s="84" t="inlineStr">
        <is>
          <t xml:space="preserve">Pallets Movimentados OUT</t>
        </is>
      </c>
      <c r="Q26" s="84" t="inlineStr">
        <is>
          <t xml:space="preserve">MOVIMENTAÇÃO PALETES/DIA</t>
        </is>
      </c>
      <c r="R26" s="84" t="inlineStr">
        <is>
          <t xml:space="preserve">ACUMULADO SEMANAL PALETES</t>
        </is>
      </c>
      <c r="S26" s="84" t="inlineStr">
        <is>
          <t xml:space="preserve">Toneladas Movimentadas IN</t>
        </is>
      </c>
      <c r="T26" s="84" t="inlineStr">
        <is>
          <t xml:space="preserve">Toneladas Movimentadas OUT</t>
        </is>
      </c>
      <c r="U26" s="84" t="inlineStr">
        <is>
          <t xml:space="preserve">MOVIMENTAÇÃO TONS/DIA</t>
        </is>
      </c>
      <c r="V26" s="84" t="inlineStr">
        <is>
          <t xml:space="preserve">ACUMULADO SEMANAL TONS</t>
        </is>
      </c>
      <c r="AF26" s="50" t="inlineStr">
        <is>
          <t xml:space="preserve">Bags Expedidos OUT por veículo</t>
        </is>
      </c>
      <c r="AG26" s="84" t="inlineStr">
        <is>
          <t xml:space="preserve">bags expedidos por veículo</t>
        </is>
      </c>
      <c r="AH26" s="85">
        <v>1</v>
      </c>
      <c r="AI26" s="86">
        <v>31</v>
      </c>
      <c r="AJ26" s="86">
        <v>11</v>
      </c>
      <c r="AK26" s="86">
        <v>4</v>
      </c>
      <c r="AL26" s="86">
        <v>6</v>
      </c>
    </row>
    <row r="27">
      <c r="A27" s="88">
        <v>18</v>
      </c>
      <c r="B27" s="90"/>
      <c r="C27" s="84"/>
      <c r="D27" s="84"/>
      <c r="E27" s="91"/>
      <c r="F27" s="84" t="inlineStr">
        <is>
          <t xml:space="preserve">Sim</t>
        </is>
      </c>
      <c r="G27" s="84" t="inlineStr">
        <is>
          <t xml:space="preserve">Pallets Movimentados IN</t>
        </is>
      </c>
      <c r="H27" s="84" t="inlineStr">
        <is>
          <t xml:space="preserve">Toneladas Movimentadas IN</t>
        </is>
      </c>
      <c r="I27" s="84"/>
      <c r="J27" s="84" t="inlineStr">
        <is>
          <t xml:space="preserve">Sim</t>
        </is>
      </c>
      <c r="K27" s="84" t="inlineStr">
        <is>
          <t xml:space="preserve">Pallets Movimentados OUT</t>
        </is>
      </c>
      <c r="L27" s="84" t="inlineStr">
        <is>
          <t xml:space="preserve">Toneladas Movimentadas OUT</t>
        </is>
      </c>
      <c r="M27" s="84"/>
      <c r="N27" s="84" t="inlineStr">
        <is>
          <t xml:space="preserve">Completo</t>
        </is>
      </c>
      <c r="O27" s="84" t="inlineStr">
        <is>
          <t xml:space="preserve">Pallets Movimentados IN</t>
        </is>
      </c>
      <c r="P27" s="84" t="inlineStr">
        <is>
          <t xml:space="preserve">Pallets Movimentados OUT</t>
        </is>
      </c>
      <c r="Q27" s="84" t="inlineStr">
        <is>
          <t xml:space="preserve">MOVIMENTAÇÃO PALETES/DIA</t>
        </is>
      </c>
      <c r="R27" s="84" t="inlineStr">
        <is>
          <t xml:space="preserve">ACUMULADO SEMANAL PALETES</t>
        </is>
      </c>
      <c r="S27" s="84" t="inlineStr">
        <is>
          <t xml:space="preserve">Toneladas Movimentadas IN</t>
        </is>
      </c>
      <c r="T27" s="84" t="inlineStr">
        <is>
          <t xml:space="preserve">Toneladas Movimentadas OUT</t>
        </is>
      </c>
      <c r="U27" s="84" t="inlineStr">
        <is>
          <t xml:space="preserve">MOVIMENTAÇÃO TONS/DIA</t>
        </is>
      </c>
      <c r="V27" s="84" t="inlineStr">
        <is>
          <t xml:space="preserve">ACUMULADO SEMANAL TONS</t>
        </is>
      </c>
    </row>
    <row r="28">
      <c r="A28" s="88">
        <v>19</v>
      </c>
      <c r="B28" s="90"/>
      <c r="C28" s="84"/>
      <c r="D28" s="84"/>
      <c r="E28" s="91"/>
      <c r="F28" s="84" t="inlineStr">
        <is>
          <t xml:space="preserve">Sim</t>
        </is>
      </c>
      <c r="G28" s="84" t="inlineStr">
        <is>
          <t xml:space="preserve">Pallets Movimentados IN</t>
        </is>
      </c>
      <c r="H28" s="84" t="inlineStr">
        <is>
          <t xml:space="preserve">Toneladas Movimentadas IN</t>
        </is>
      </c>
      <c r="I28" s="84"/>
      <c r="J28" s="84" t="inlineStr">
        <is>
          <t xml:space="preserve">Sim</t>
        </is>
      </c>
      <c r="K28" s="84" t="inlineStr">
        <is>
          <t xml:space="preserve">Pallets Movimentados OUT</t>
        </is>
      </c>
      <c r="L28" s="84" t="inlineStr">
        <is>
          <t xml:space="preserve">Toneladas Movimentadas OUT</t>
        </is>
      </c>
      <c r="M28" s="84"/>
      <c r="N28" s="84" t="inlineStr">
        <is>
          <t xml:space="preserve">Completo</t>
        </is>
      </c>
      <c r="O28" s="84" t="inlineStr">
        <is>
          <t xml:space="preserve">Pallets Movimentados IN</t>
        </is>
      </c>
      <c r="P28" s="84" t="inlineStr">
        <is>
          <t xml:space="preserve">Pallets Movimentados OUT</t>
        </is>
      </c>
      <c r="Q28" s="84" t="inlineStr">
        <is>
          <t xml:space="preserve">MOVIMENTAÇÃO PALETES/DIA</t>
        </is>
      </c>
      <c r="R28" s="84" t="inlineStr">
        <is>
          <t xml:space="preserve">ACUMULADO SEMANAL PALETES</t>
        </is>
      </c>
      <c r="S28" s="84" t="inlineStr">
        <is>
          <t xml:space="preserve">Toneladas Movimentadas IN</t>
        </is>
      </c>
      <c r="T28" s="84" t="inlineStr">
        <is>
          <t xml:space="preserve">Toneladas Movimentadas OUT</t>
        </is>
      </c>
      <c r="U28" s="84" t="inlineStr">
        <is>
          <t xml:space="preserve">MOVIMENTAÇÃO TONS/DIA</t>
        </is>
      </c>
      <c r="V28" s="84" t="inlineStr">
        <is>
          <t xml:space="preserve">ACUMULADO SEMANAL TONS</t>
        </is>
      </c>
    </row>
    <row r="29">
      <c r="A29" s="88">
        <v>20</v>
      </c>
      <c r="B29" s="90"/>
      <c r="C29" s="84"/>
      <c r="D29" s="84"/>
      <c r="E29" s="91"/>
      <c r="F29" s="84" t="inlineStr">
        <is>
          <t xml:space="preserve">Sim</t>
        </is>
      </c>
      <c r="G29" s="84" t="inlineStr">
        <is>
          <t xml:space="preserve">Pallets Movimentados IN</t>
        </is>
      </c>
      <c r="H29" s="84" t="inlineStr">
        <is>
          <t xml:space="preserve">Toneladas Movimentadas IN</t>
        </is>
      </c>
      <c r="I29" s="84"/>
      <c r="J29" s="84" t="inlineStr">
        <is>
          <t xml:space="preserve">Sim</t>
        </is>
      </c>
      <c r="K29" s="84" t="inlineStr">
        <is>
          <t xml:space="preserve">Pallets Movimentados OUT</t>
        </is>
      </c>
      <c r="L29" s="84" t="inlineStr">
        <is>
          <t xml:space="preserve">Toneladas Movimentadas OUT</t>
        </is>
      </c>
      <c r="M29" s="84"/>
      <c r="N29" s="84" t="inlineStr">
        <is>
          <t xml:space="preserve">Completo</t>
        </is>
      </c>
      <c r="O29" s="84" t="inlineStr">
        <is>
          <t xml:space="preserve">Pallets Movimentados IN</t>
        </is>
      </c>
      <c r="P29" s="84" t="inlineStr">
        <is>
          <t xml:space="preserve">Pallets Movimentados OUT</t>
        </is>
      </c>
      <c r="Q29" s="84" t="inlineStr">
        <is>
          <t xml:space="preserve">MOVIMENTAÇÃO PALETES/DIA</t>
        </is>
      </c>
      <c r="R29" s="84" t="inlineStr">
        <is>
          <t xml:space="preserve">ACUMULADO SEMANAL PALETES</t>
        </is>
      </c>
      <c r="S29" s="84" t="inlineStr">
        <is>
          <t xml:space="preserve">Toneladas Movimentadas IN</t>
        </is>
      </c>
      <c r="T29" s="84" t="inlineStr">
        <is>
          <t xml:space="preserve">Toneladas Movimentadas OUT</t>
        </is>
      </c>
      <c r="U29" s="84" t="inlineStr">
        <is>
          <t xml:space="preserve">MOVIMENTAÇÃO TONS/DIA</t>
        </is>
      </c>
      <c r="V29" s="84" t="inlineStr">
        <is>
          <t xml:space="preserve">ACUMULADO SEMANAL TONS</t>
        </is>
      </c>
    </row>
    <row r="33" ht="22" customHeight="1">
      <c r="A33" s="87" t="inlineStr">
        <is>
          <t xml:space="preserve">2 · COLUNAS DA BD — Sim = o cliente preenche · Não = coluna bloqueada na BD (cinza) e indicador fora do Monitoramento/Consol Mensal</t>
        </is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</row>
    <row r="34" ht="44" customHeight="1">
      <c r="A34" s="16" t="inlineStr">
        <is>
          <t xml:space="preserve">Nº</t>
        </is>
      </c>
      <c r="B34" s="16" t="inlineStr">
        <is>
          <t xml:space="preserve">CLIENTE (da tabela 1)</t>
        </is>
      </c>
      <c r="C34" s="16" t="inlineStr">
        <is>
          <t xml:space="preserve">DEPÓSITO</t>
        </is>
      </c>
      <c r="D34" s="92" t="inlineStr">
        <is>
          <t xml:space="preserve">IN Veículos Recebidos</t>
        </is>
      </c>
      <c r="E34" s="92" t="inlineStr">
        <is>
          <t xml:space="preserve">IN Pallets Movimentados</t>
        </is>
      </c>
      <c r="F34" s="92" t="inlineStr">
        <is>
          <t xml:space="preserve">IN Toneladas Movimentadas</t>
        </is>
      </c>
      <c r="G34" s="92" t="inlineStr">
        <is>
          <t xml:space="preserve">IN Caixas Recebidas</t>
        </is>
      </c>
      <c r="H34" s="92" t="inlineStr">
        <is>
          <t xml:space="preserve">IN Bags Recebidos</t>
        </is>
      </c>
      <c r="I34" s="93" t="inlineStr">
        <is>
          <t xml:space="preserve">OUT Veículos Expedidos</t>
        </is>
      </c>
      <c r="J34" s="93" t="inlineStr">
        <is>
          <t xml:space="preserve">OUT Pallets Movimentados</t>
        </is>
      </c>
      <c r="K34" s="93" t="inlineStr">
        <is>
          <t xml:space="preserve">OUT Toneladas Movimentadas</t>
        </is>
      </c>
      <c r="L34" s="93" t="inlineStr">
        <is>
          <t xml:space="preserve">OUT Caixas Expedidas</t>
        </is>
      </c>
      <c r="M34" s="93" t="inlineStr">
        <is>
          <t xml:space="preserve">OUT Pedidos Faturados</t>
        </is>
      </c>
      <c r="N34" s="93" t="inlineStr">
        <is>
          <t xml:space="preserve">OUT Bags Expedidos</t>
        </is>
      </c>
      <c r="O34" s="94" t="inlineStr">
        <is>
          <t xml:space="preserve">NC Incidentes</t>
        </is>
      </c>
      <c r="P34" s="94" t="inlineStr">
        <is>
          <t xml:space="preserve">NC No show</t>
        </is>
      </c>
      <c r="Q34" s="94" t="inlineStr">
        <is>
          <t xml:space="preserve">NC Backlog Intralog</t>
        </is>
      </c>
      <c r="R34" s="94" t="inlineStr">
        <is>
          <t xml:space="preserve">NC Backlog Cliente</t>
        </is>
      </c>
      <c r="S34" s="92" t="inlineStr">
        <is>
          <t xml:space="preserve">Posições Disponíveis</t>
        </is>
      </c>
      <c r="T34" s="92" t="inlineStr">
        <is>
          <t xml:space="preserve">Posições Ocupadas</t>
        </is>
      </c>
      <c r="U34" s="95" t="inlineStr">
        <is>
          <t xml:space="preserve">Efetivo Op.</t>
        </is>
      </c>
      <c r="V34" s="95" t="inlineStr">
        <is>
          <t xml:space="preserve">Falta</t>
        </is>
      </c>
      <c r="W34" s="95" t="inlineStr">
        <is>
          <t xml:space="preserve">Absenteísmo (H/H)</t>
        </is>
      </c>
      <c r="X34" s="95" t="inlineStr">
        <is>
          <t xml:space="preserve">Folga</t>
        </is>
      </c>
      <c r="Y34" s="95" t="inlineStr">
        <is>
          <t xml:space="preserve">Férias</t>
        </is>
      </c>
      <c r="Z34" s="95" t="inlineStr">
        <is>
          <t xml:space="preserve">Desligamento</t>
        </is>
      </c>
      <c r="AA34" s="95" t="inlineStr">
        <is>
          <t xml:space="preserve">Desvios Comportamentais</t>
        </is>
      </c>
      <c r="AB34" s="95" t="inlineStr">
        <is>
          <t xml:space="preserve">Acidentes CAF</t>
        </is>
      </c>
      <c r="AC34" s="95" t="inlineStr">
        <is>
          <t xml:space="preserve">Acidentes SAF</t>
        </is>
      </c>
    </row>
    <row r="35">
      <c r="A35" s="88">
        <v>1</v>
      </c>
      <c r="B35" s="89" t="str">
        <f>Config!$B$10&amp;""</f>
        <v>Barry Callebaut</v>
      </c>
      <c r="C35" s="89" t="str">
        <f>IF(Config!$B$10&amp;""="","",IF(Config!$C$10="","JSL",Config!$C$10))</f>
        <v>JSL</v>
      </c>
      <c r="D35" s="85" t="inlineStr">
        <is>
          <t xml:space="preserve">Sim</t>
        </is>
      </c>
      <c r="E35" s="85" t="inlineStr">
        <is>
          <t xml:space="preserve">Sim</t>
        </is>
      </c>
      <c r="F35" s="85" t="inlineStr">
        <is>
          <t xml:space="preserve">Sim</t>
        </is>
      </c>
      <c r="G35" s="85" t="inlineStr">
        <is>
          <t xml:space="preserve">Sim</t>
        </is>
      </c>
      <c r="H35" s="85" t="inlineStr">
        <is>
          <t xml:space="preserve">Sim</t>
        </is>
      </c>
      <c r="I35" s="85" t="inlineStr">
        <is>
          <t xml:space="preserve">Sim</t>
        </is>
      </c>
      <c r="J35" s="85" t="inlineStr">
        <is>
          <t xml:space="preserve">Sim</t>
        </is>
      </c>
      <c r="K35" s="85" t="inlineStr">
        <is>
          <t xml:space="preserve">Sim</t>
        </is>
      </c>
      <c r="L35" s="85" t="inlineStr">
        <is>
          <t xml:space="preserve">Sim</t>
        </is>
      </c>
      <c r="M35" s="85" t="inlineStr">
        <is>
          <t xml:space="preserve">Sim</t>
        </is>
      </c>
      <c r="N35" s="85" t="inlineStr">
        <is>
          <t xml:space="preserve">Sim</t>
        </is>
      </c>
      <c r="O35" s="85" t="inlineStr">
        <is>
          <t xml:space="preserve">Sim</t>
        </is>
      </c>
      <c r="P35" s="85" t="inlineStr">
        <is>
          <t xml:space="preserve">Sim</t>
        </is>
      </c>
      <c r="Q35" s="85" t="inlineStr">
        <is>
          <t xml:space="preserve">Sim</t>
        </is>
      </c>
      <c r="R35" s="85" t="inlineStr">
        <is>
          <t xml:space="preserve">Sim</t>
        </is>
      </c>
      <c r="S35" s="85" t="inlineStr">
        <is>
          <t xml:space="preserve">Sim</t>
        </is>
      </c>
      <c r="T35" s="85" t="inlineStr">
        <is>
          <t xml:space="preserve">Sim</t>
        </is>
      </c>
      <c r="U35" s="85" t="inlineStr">
        <is>
          <t xml:space="preserve">Sim</t>
        </is>
      </c>
      <c r="V35" s="85" t="inlineStr">
        <is>
          <t xml:space="preserve">Sim</t>
        </is>
      </c>
      <c r="W35" s="85" t="inlineStr">
        <is>
          <t xml:space="preserve">Sim</t>
        </is>
      </c>
      <c r="X35" s="85" t="inlineStr">
        <is>
          <t xml:space="preserve">Sim</t>
        </is>
      </c>
      <c r="Y35" s="85" t="inlineStr">
        <is>
          <t xml:space="preserve">Sim</t>
        </is>
      </c>
      <c r="Z35" s="85" t="inlineStr">
        <is>
          <t xml:space="preserve">Sim</t>
        </is>
      </c>
      <c r="AA35" s="85" t="inlineStr">
        <is>
          <t xml:space="preserve">Sim</t>
        </is>
      </c>
      <c r="AB35" s="85" t="inlineStr">
        <is>
          <t xml:space="preserve">Sim</t>
        </is>
      </c>
      <c r="AC35" s="85" t="inlineStr">
        <is>
          <t xml:space="preserve">Sim</t>
        </is>
      </c>
    </row>
    <row r="36">
      <c r="A36" s="88">
        <v>2</v>
      </c>
      <c r="B36" s="89" t="str">
        <f>Config!$B$11&amp;""</f>
        <v>GM</v>
      </c>
      <c r="C36" s="89" t="str">
        <f>IF(Config!$B$11&amp;""="","",IF(Config!$C$11="","JSL",Config!$C$11))</f>
        <v>JSL</v>
      </c>
      <c r="D36" s="85" t="inlineStr">
        <is>
          <t xml:space="preserve">Não</t>
        </is>
      </c>
      <c r="E36" s="85" t="inlineStr">
        <is>
          <t xml:space="preserve">Não</t>
        </is>
      </c>
      <c r="F36" s="85" t="inlineStr">
        <is>
          <t xml:space="preserve">Não</t>
        </is>
      </c>
      <c r="G36" s="85" t="inlineStr">
        <is>
          <t xml:space="preserve">Não</t>
        </is>
      </c>
      <c r="H36" s="85" t="inlineStr">
        <is>
          <t xml:space="preserve">Não</t>
        </is>
      </c>
      <c r="I36" s="85" t="inlineStr">
        <is>
          <t xml:space="preserve">Sim</t>
        </is>
      </c>
      <c r="J36" s="85" t="inlineStr">
        <is>
          <t xml:space="preserve">Sim</t>
        </is>
      </c>
      <c r="K36" s="85" t="inlineStr">
        <is>
          <t xml:space="preserve">Sim</t>
        </is>
      </c>
      <c r="L36" s="85" t="inlineStr">
        <is>
          <t xml:space="preserve">Sim</t>
        </is>
      </c>
      <c r="M36" s="85" t="inlineStr">
        <is>
          <t xml:space="preserve">Sim</t>
        </is>
      </c>
      <c r="N36" s="85" t="inlineStr">
        <is>
          <t xml:space="preserve">Não</t>
        </is>
      </c>
      <c r="O36" s="85" t="inlineStr">
        <is>
          <t xml:space="preserve">Sim</t>
        </is>
      </c>
      <c r="P36" s="85" t="inlineStr">
        <is>
          <t xml:space="preserve">Sim</t>
        </is>
      </c>
      <c r="Q36" s="85" t="inlineStr">
        <is>
          <t xml:space="preserve">Sim</t>
        </is>
      </c>
      <c r="R36" s="85" t="inlineStr">
        <is>
          <t xml:space="preserve">Sim</t>
        </is>
      </c>
      <c r="S36" s="85" t="inlineStr">
        <is>
          <t xml:space="preserve">Não</t>
        </is>
      </c>
      <c r="T36" s="85" t="inlineStr">
        <is>
          <t xml:space="preserve">Não</t>
        </is>
      </c>
      <c r="U36" s="85" t="inlineStr">
        <is>
          <t xml:space="preserve">Sim</t>
        </is>
      </c>
      <c r="V36" s="85" t="inlineStr">
        <is>
          <t xml:space="preserve">Sim</t>
        </is>
      </c>
      <c r="W36" s="85" t="inlineStr">
        <is>
          <t xml:space="preserve">Sim</t>
        </is>
      </c>
      <c r="X36" s="85" t="inlineStr">
        <is>
          <t xml:space="preserve">Sim</t>
        </is>
      </c>
      <c r="Y36" s="85" t="inlineStr">
        <is>
          <t xml:space="preserve">Sim</t>
        </is>
      </c>
      <c r="Z36" s="85" t="inlineStr">
        <is>
          <t xml:space="preserve">Sim</t>
        </is>
      </c>
      <c r="AA36" s="85" t="inlineStr">
        <is>
          <t xml:space="preserve">Sim</t>
        </is>
      </c>
      <c r="AB36" s="85" t="inlineStr">
        <is>
          <t xml:space="preserve">Sim</t>
        </is>
      </c>
      <c r="AC36" s="85" t="inlineStr">
        <is>
          <t xml:space="preserve">Sim</t>
        </is>
      </c>
    </row>
    <row r="37">
      <c r="A37" s="88">
        <v>3</v>
      </c>
      <c r="B37" s="89" t="str">
        <f>Config!$B$12&amp;""</f>
        <v>Mondelez</v>
      </c>
      <c r="C37" s="89" t="str">
        <f>IF(Config!$B$12&amp;""="","",IF(Config!$C$12="","JSL",Config!$C$12))</f>
        <v>JSL</v>
      </c>
      <c r="D37" s="85" t="inlineStr">
        <is>
          <t xml:space="preserve">Sim</t>
        </is>
      </c>
      <c r="E37" s="85" t="inlineStr">
        <is>
          <t xml:space="preserve">Sim</t>
        </is>
      </c>
      <c r="F37" s="85" t="inlineStr">
        <is>
          <t xml:space="preserve">Sim</t>
        </is>
      </c>
      <c r="G37" s="85" t="inlineStr">
        <is>
          <t xml:space="preserve">Sim</t>
        </is>
      </c>
      <c r="H37" s="85" t="inlineStr">
        <is>
          <t xml:space="preserve">Não</t>
        </is>
      </c>
      <c r="I37" s="85" t="inlineStr">
        <is>
          <t xml:space="preserve">Sim</t>
        </is>
      </c>
      <c r="J37" s="85" t="inlineStr">
        <is>
          <t xml:space="preserve">Sim</t>
        </is>
      </c>
      <c r="K37" s="85" t="inlineStr">
        <is>
          <t xml:space="preserve">Sim</t>
        </is>
      </c>
      <c r="L37" s="85" t="inlineStr">
        <is>
          <t xml:space="preserve">Sim</t>
        </is>
      </c>
      <c r="M37" s="85" t="inlineStr">
        <is>
          <t xml:space="preserve">Sim</t>
        </is>
      </c>
      <c r="N37" s="85" t="inlineStr">
        <is>
          <t xml:space="preserve">Não</t>
        </is>
      </c>
      <c r="O37" s="85" t="inlineStr">
        <is>
          <t xml:space="preserve">Sim</t>
        </is>
      </c>
      <c r="P37" s="85" t="inlineStr">
        <is>
          <t xml:space="preserve">Sim</t>
        </is>
      </c>
      <c r="Q37" s="85" t="inlineStr">
        <is>
          <t xml:space="preserve">Sim</t>
        </is>
      </c>
      <c r="R37" s="85" t="inlineStr">
        <is>
          <t xml:space="preserve">Sim</t>
        </is>
      </c>
      <c r="S37" s="85" t="inlineStr">
        <is>
          <t xml:space="preserve">Não</t>
        </is>
      </c>
      <c r="T37" s="85" t="inlineStr">
        <is>
          <t xml:space="preserve">Sim</t>
        </is>
      </c>
      <c r="U37" s="85" t="inlineStr">
        <is>
          <t xml:space="preserve">Sim</t>
        </is>
      </c>
      <c r="V37" s="85" t="inlineStr">
        <is>
          <t xml:space="preserve">Sim</t>
        </is>
      </c>
      <c r="W37" s="85" t="inlineStr">
        <is>
          <t xml:space="preserve">Sim</t>
        </is>
      </c>
      <c r="X37" s="85" t="inlineStr">
        <is>
          <t xml:space="preserve">Sim</t>
        </is>
      </c>
      <c r="Y37" s="85" t="inlineStr">
        <is>
          <t xml:space="preserve">Sim</t>
        </is>
      </c>
      <c r="Z37" s="85" t="inlineStr">
        <is>
          <t xml:space="preserve">Sim</t>
        </is>
      </c>
      <c r="AA37" s="85" t="inlineStr">
        <is>
          <t xml:space="preserve">Sim</t>
        </is>
      </c>
      <c r="AB37" s="85" t="inlineStr">
        <is>
          <t xml:space="preserve">Sim</t>
        </is>
      </c>
      <c r="AC37" s="85" t="inlineStr">
        <is>
          <t xml:space="preserve">Sim</t>
        </is>
      </c>
    </row>
    <row r="38">
      <c r="A38" s="88">
        <v>4</v>
      </c>
      <c r="B38" s="89" t="str">
        <f>Config!$B$13&amp;""</f>
        <v>Nestlé</v>
      </c>
      <c r="C38" s="89" t="str">
        <f>IF(Config!$B$13&amp;""="","",IF(Config!$C$13="","JSL",Config!$C$13))</f>
        <v>JSL</v>
      </c>
      <c r="D38" s="85" t="inlineStr">
        <is>
          <t xml:space="preserve">Sim</t>
        </is>
      </c>
      <c r="E38" s="85" t="inlineStr">
        <is>
          <t xml:space="preserve">Sim</t>
        </is>
      </c>
      <c r="F38" s="85" t="inlineStr">
        <is>
          <t xml:space="preserve">Sim</t>
        </is>
      </c>
      <c r="G38" s="85" t="inlineStr">
        <is>
          <t xml:space="preserve">Sim</t>
        </is>
      </c>
      <c r="H38" s="85" t="inlineStr">
        <is>
          <t xml:space="preserve">Não</t>
        </is>
      </c>
      <c r="I38" s="85" t="inlineStr">
        <is>
          <t xml:space="preserve">Sim</t>
        </is>
      </c>
      <c r="J38" s="85" t="inlineStr">
        <is>
          <t xml:space="preserve">Sim</t>
        </is>
      </c>
      <c r="K38" s="85" t="inlineStr">
        <is>
          <t xml:space="preserve">Sim</t>
        </is>
      </c>
      <c r="L38" s="85" t="inlineStr">
        <is>
          <t xml:space="preserve">Sim</t>
        </is>
      </c>
      <c r="M38" s="85" t="inlineStr">
        <is>
          <t xml:space="preserve">Sim</t>
        </is>
      </c>
      <c r="N38" s="85" t="inlineStr">
        <is>
          <t xml:space="preserve">Não</t>
        </is>
      </c>
      <c r="O38" s="85" t="inlineStr">
        <is>
          <t xml:space="preserve">Sim</t>
        </is>
      </c>
      <c r="P38" s="85" t="inlineStr">
        <is>
          <t xml:space="preserve">Sim</t>
        </is>
      </c>
      <c r="Q38" s="85" t="inlineStr">
        <is>
          <t xml:space="preserve">Sim</t>
        </is>
      </c>
      <c r="R38" s="85" t="inlineStr">
        <is>
          <t xml:space="preserve">Sim</t>
        </is>
      </c>
      <c r="S38" s="85" t="inlineStr">
        <is>
          <t xml:space="preserve">Não</t>
        </is>
      </c>
      <c r="T38" s="85" t="inlineStr">
        <is>
          <t xml:space="preserve">Sim</t>
        </is>
      </c>
      <c r="U38" s="85" t="inlineStr">
        <is>
          <t xml:space="preserve">Sim</t>
        </is>
      </c>
      <c r="V38" s="85" t="inlineStr">
        <is>
          <t xml:space="preserve">Sim</t>
        </is>
      </c>
      <c r="W38" s="85" t="inlineStr">
        <is>
          <t xml:space="preserve">Sim</t>
        </is>
      </c>
      <c r="X38" s="85" t="inlineStr">
        <is>
          <t xml:space="preserve">Sim</t>
        </is>
      </c>
      <c r="Y38" s="85" t="inlineStr">
        <is>
          <t xml:space="preserve">Sim</t>
        </is>
      </c>
      <c r="Z38" s="85" t="inlineStr">
        <is>
          <t xml:space="preserve">Sim</t>
        </is>
      </c>
      <c r="AA38" s="85" t="inlineStr">
        <is>
          <t xml:space="preserve">Sim</t>
        </is>
      </c>
      <c r="AB38" s="85" t="inlineStr">
        <is>
          <t xml:space="preserve">Sim</t>
        </is>
      </c>
      <c r="AC38" s="85" t="inlineStr">
        <is>
          <t xml:space="preserve">Sim</t>
        </is>
      </c>
    </row>
    <row r="39">
      <c r="A39" s="88">
        <v>5</v>
      </c>
      <c r="B39" s="89" t="str">
        <f>Config!$B$14&amp;""</f>
        <v>PMB</v>
      </c>
      <c r="C39" s="89" t="str">
        <f>IF(Config!$B$14&amp;""="","",IF(Config!$C$14="","JSL",Config!$C$14))</f>
        <v>JSL</v>
      </c>
      <c r="D39" s="85" t="inlineStr">
        <is>
          <t xml:space="preserve">Sim</t>
        </is>
      </c>
      <c r="E39" s="85" t="inlineStr">
        <is>
          <t xml:space="preserve">Sim</t>
        </is>
      </c>
      <c r="F39" s="85" t="inlineStr">
        <is>
          <t xml:space="preserve">Sim</t>
        </is>
      </c>
      <c r="G39" s="85" t="inlineStr">
        <is>
          <t xml:space="preserve">Sim</t>
        </is>
      </c>
      <c r="H39" s="85" t="inlineStr">
        <is>
          <t xml:space="preserve">Não</t>
        </is>
      </c>
      <c r="I39" s="85" t="inlineStr">
        <is>
          <t xml:space="preserve">Sim</t>
        </is>
      </c>
      <c r="J39" s="85" t="inlineStr">
        <is>
          <t xml:space="preserve">Sim</t>
        </is>
      </c>
      <c r="K39" s="85" t="inlineStr">
        <is>
          <t xml:space="preserve">Sim</t>
        </is>
      </c>
      <c r="L39" s="85" t="inlineStr">
        <is>
          <t xml:space="preserve">Sim</t>
        </is>
      </c>
      <c r="M39" s="85" t="inlineStr">
        <is>
          <t xml:space="preserve">Sim</t>
        </is>
      </c>
      <c r="N39" s="85" t="inlineStr">
        <is>
          <t xml:space="preserve">Não</t>
        </is>
      </c>
      <c r="O39" s="85" t="inlineStr">
        <is>
          <t xml:space="preserve">Sim</t>
        </is>
      </c>
      <c r="P39" s="85" t="inlineStr">
        <is>
          <t xml:space="preserve">Sim</t>
        </is>
      </c>
      <c r="Q39" s="85" t="inlineStr">
        <is>
          <t xml:space="preserve">Sim</t>
        </is>
      </c>
      <c r="R39" s="85" t="inlineStr">
        <is>
          <t xml:space="preserve">Sim</t>
        </is>
      </c>
      <c r="S39" s="85" t="inlineStr">
        <is>
          <t xml:space="preserve">Sim</t>
        </is>
      </c>
      <c r="T39" s="85" t="inlineStr">
        <is>
          <t xml:space="preserve">Sim</t>
        </is>
      </c>
      <c r="U39" s="85" t="inlineStr">
        <is>
          <t xml:space="preserve">Sim</t>
        </is>
      </c>
      <c r="V39" s="85" t="inlineStr">
        <is>
          <t xml:space="preserve">Sim</t>
        </is>
      </c>
      <c r="W39" s="85" t="inlineStr">
        <is>
          <t xml:space="preserve">Sim</t>
        </is>
      </c>
      <c r="X39" s="85" t="inlineStr">
        <is>
          <t xml:space="preserve">Sim</t>
        </is>
      </c>
      <c r="Y39" s="85" t="inlineStr">
        <is>
          <t xml:space="preserve">Sim</t>
        </is>
      </c>
      <c r="Z39" s="85" t="inlineStr">
        <is>
          <t xml:space="preserve">Sim</t>
        </is>
      </c>
      <c r="AA39" s="85" t="inlineStr">
        <is>
          <t xml:space="preserve">Sim</t>
        </is>
      </c>
      <c r="AB39" s="85" t="inlineStr">
        <is>
          <t xml:space="preserve">Sim</t>
        </is>
      </c>
      <c r="AC39" s="85" t="inlineStr">
        <is>
          <t xml:space="preserve">Sim</t>
        </is>
      </c>
    </row>
    <row r="40">
      <c r="A40" s="88">
        <v>6</v>
      </c>
      <c r="B40" s="89" t="str">
        <f>Config!$B$15&amp;""</f>
        <v/>
      </c>
      <c r="C40" s="89" t="str">
        <f>IF(Config!$B$15&amp;""="","",IF(Config!$C$15="","JSL",Config!$C$15))</f>
        <v/>
      </c>
      <c r="D40" s="85" t="inlineStr">
        <is>
          <t xml:space="preserve">Sim</t>
        </is>
      </c>
      <c r="E40" s="85" t="inlineStr">
        <is>
          <t xml:space="preserve">Sim</t>
        </is>
      </c>
      <c r="F40" s="85" t="inlineStr">
        <is>
          <t xml:space="preserve">Sim</t>
        </is>
      </c>
      <c r="G40" s="85" t="inlineStr">
        <is>
          <t xml:space="preserve">Sim</t>
        </is>
      </c>
      <c r="H40" s="85" t="inlineStr">
        <is>
          <t xml:space="preserve">Não</t>
        </is>
      </c>
      <c r="I40" s="85" t="inlineStr">
        <is>
          <t xml:space="preserve">Sim</t>
        </is>
      </c>
      <c r="J40" s="85" t="inlineStr">
        <is>
          <t xml:space="preserve">Sim</t>
        </is>
      </c>
      <c r="K40" s="85" t="inlineStr">
        <is>
          <t xml:space="preserve">Sim</t>
        </is>
      </c>
      <c r="L40" s="85" t="inlineStr">
        <is>
          <t xml:space="preserve">Sim</t>
        </is>
      </c>
      <c r="M40" s="85" t="inlineStr">
        <is>
          <t xml:space="preserve">Sim</t>
        </is>
      </c>
      <c r="N40" s="85" t="inlineStr">
        <is>
          <t xml:space="preserve">Não</t>
        </is>
      </c>
      <c r="O40" s="85" t="inlineStr">
        <is>
          <t xml:space="preserve">Sim</t>
        </is>
      </c>
      <c r="P40" s="85" t="inlineStr">
        <is>
          <t xml:space="preserve">Sim</t>
        </is>
      </c>
      <c r="Q40" s="85" t="inlineStr">
        <is>
          <t xml:space="preserve">Sim</t>
        </is>
      </c>
      <c r="R40" s="85" t="inlineStr">
        <is>
          <t xml:space="preserve">Sim</t>
        </is>
      </c>
      <c r="S40" s="85" t="inlineStr">
        <is>
          <t xml:space="preserve">Sim</t>
        </is>
      </c>
      <c r="T40" s="85" t="inlineStr">
        <is>
          <t xml:space="preserve">Sim</t>
        </is>
      </c>
      <c r="U40" s="85" t="inlineStr">
        <is>
          <t xml:space="preserve">Sim</t>
        </is>
      </c>
      <c r="V40" s="85" t="inlineStr">
        <is>
          <t xml:space="preserve">Sim</t>
        </is>
      </c>
      <c r="W40" s="85" t="inlineStr">
        <is>
          <t xml:space="preserve">Sim</t>
        </is>
      </c>
      <c r="X40" s="85" t="inlineStr">
        <is>
          <t xml:space="preserve">Sim</t>
        </is>
      </c>
      <c r="Y40" s="85" t="inlineStr">
        <is>
          <t xml:space="preserve">Sim</t>
        </is>
      </c>
      <c r="Z40" s="85" t="inlineStr">
        <is>
          <t xml:space="preserve">Sim</t>
        </is>
      </c>
      <c r="AA40" s="85" t="inlineStr">
        <is>
          <t xml:space="preserve">Sim</t>
        </is>
      </c>
      <c r="AB40" s="85" t="inlineStr">
        <is>
          <t xml:space="preserve">Sim</t>
        </is>
      </c>
      <c r="AC40" s="85" t="inlineStr">
        <is>
          <t xml:space="preserve">Sim</t>
        </is>
      </c>
    </row>
    <row r="41">
      <c r="A41" s="88">
        <v>7</v>
      </c>
      <c r="B41" s="89" t="str">
        <f>Config!$B$16&amp;""</f>
        <v/>
      </c>
      <c r="C41" s="89" t="str">
        <f>IF(Config!$B$16&amp;""="","",IF(Config!$C$16="","JSL",Config!$C$16))</f>
        <v/>
      </c>
      <c r="D41" s="85" t="inlineStr">
        <is>
          <t xml:space="preserve">Sim</t>
        </is>
      </c>
      <c r="E41" s="85" t="inlineStr">
        <is>
          <t xml:space="preserve">Sim</t>
        </is>
      </c>
      <c r="F41" s="85" t="inlineStr">
        <is>
          <t xml:space="preserve">Sim</t>
        </is>
      </c>
      <c r="G41" s="85" t="inlineStr">
        <is>
          <t xml:space="preserve">Sim</t>
        </is>
      </c>
      <c r="H41" s="85" t="inlineStr">
        <is>
          <t xml:space="preserve">Não</t>
        </is>
      </c>
      <c r="I41" s="85" t="inlineStr">
        <is>
          <t xml:space="preserve">Sim</t>
        </is>
      </c>
      <c r="J41" s="85" t="inlineStr">
        <is>
          <t xml:space="preserve">Sim</t>
        </is>
      </c>
      <c r="K41" s="85" t="inlineStr">
        <is>
          <t xml:space="preserve">Sim</t>
        </is>
      </c>
      <c r="L41" s="85" t="inlineStr">
        <is>
          <t xml:space="preserve">Sim</t>
        </is>
      </c>
      <c r="M41" s="85" t="inlineStr">
        <is>
          <t xml:space="preserve">Sim</t>
        </is>
      </c>
      <c r="N41" s="85" t="inlineStr">
        <is>
          <t xml:space="preserve">Não</t>
        </is>
      </c>
      <c r="O41" s="85" t="inlineStr">
        <is>
          <t xml:space="preserve">Sim</t>
        </is>
      </c>
      <c r="P41" s="85" t="inlineStr">
        <is>
          <t xml:space="preserve">Sim</t>
        </is>
      </c>
      <c r="Q41" s="85" t="inlineStr">
        <is>
          <t xml:space="preserve">Sim</t>
        </is>
      </c>
      <c r="R41" s="85" t="inlineStr">
        <is>
          <t xml:space="preserve">Sim</t>
        </is>
      </c>
      <c r="S41" s="85" t="inlineStr">
        <is>
          <t xml:space="preserve">Sim</t>
        </is>
      </c>
      <c r="T41" s="85" t="inlineStr">
        <is>
          <t xml:space="preserve">Sim</t>
        </is>
      </c>
      <c r="U41" s="85" t="inlineStr">
        <is>
          <t xml:space="preserve">Sim</t>
        </is>
      </c>
      <c r="V41" s="85" t="inlineStr">
        <is>
          <t xml:space="preserve">Sim</t>
        </is>
      </c>
      <c r="W41" s="85" t="inlineStr">
        <is>
          <t xml:space="preserve">Sim</t>
        </is>
      </c>
      <c r="X41" s="85" t="inlineStr">
        <is>
          <t xml:space="preserve">Sim</t>
        </is>
      </c>
      <c r="Y41" s="85" t="inlineStr">
        <is>
          <t xml:space="preserve">Sim</t>
        </is>
      </c>
      <c r="Z41" s="85" t="inlineStr">
        <is>
          <t xml:space="preserve">Sim</t>
        </is>
      </c>
      <c r="AA41" s="85" t="inlineStr">
        <is>
          <t xml:space="preserve">Sim</t>
        </is>
      </c>
      <c r="AB41" s="85" t="inlineStr">
        <is>
          <t xml:space="preserve">Sim</t>
        </is>
      </c>
      <c r="AC41" s="85" t="inlineStr">
        <is>
          <t xml:space="preserve">Sim</t>
        </is>
      </c>
    </row>
    <row r="42">
      <c r="A42" s="88">
        <v>8</v>
      </c>
      <c r="B42" s="89" t="str">
        <f>Config!$B$17&amp;""</f>
        <v/>
      </c>
      <c r="C42" s="89" t="str">
        <f>IF(Config!$B$17&amp;""="","",IF(Config!$C$17="","JSL",Config!$C$17))</f>
        <v/>
      </c>
      <c r="D42" s="85" t="inlineStr">
        <is>
          <t xml:space="preserve">Sim</t>
        </is>
      </c>
      <c r="E42" s="85" t="inlineStr">
        <is>
          <t xml:space="preserve">Sim</t>
        </is>
      </c>
      <c r="F42" s="85" t="inlineStr">
        <is>
          <t xml:space="preserve">Sim</t>
        </is>
      </c>
      <c r="G42" s="85" t="inlineStr">
        <is>
          <t xml:space="preserve">Sim</t>
        </is>
      </c>
      <c r="H42" s="85" t="inlineStr">
        <is>
          <t xml:space="preserve">Não</t>
        </is>
      </c>
      <c r="I42" s="85" t="inlineStr">
        <is>
          <t xml:space="preserve">Sim</t>
        </is>
      </c>
      <c r="J42" s="85" t="inlineStr">
        <is>
          <t xml:space="preserve">Sim</t>
        </is>
      </c>
      <c r="K42" s="85" t="inlineStr">
        <is>
          <t xml:space="preserve">Sim</t>
        </is>
      </c>
      <c r="L42" s="85" t="inlineStr">
        <is>
          <t xml:space="preserve">Sim</t>
        </is>
      </c>
      <c r="M42" s="85" t="inlineStr">
        <is>
          <t xml:space="preserve">Sim</t>
        </is>
      </c>
      <c r="N42" s="85" t="inlineStr">
        <is>
          <t xml:space="preserve">Não</t>
        </is>
      </c>
      <c r="O42" s="85" t="inlineStr">
        <is>
          <t xml:space="preserve">Sim</t>
        </is>
      </c>
      <c r="P42" s="85" t="inlineStr">
        <is>
          <t xml:space="preserve">Sim</t>
        </is>
      </c>
      <c r="Q42" s="85" t="inlineStr">
        <is>
          <t xml:space="preserve">Sim</t>
        </is>
      </c>
      <c r="R42" s="85" t="inlineStr">
        <is>
          <t xml:space="preserve">Sim</t>
        </is>
      </c>
      <c r="S42" s="85" t="inlineStr">
        <is>
          <t xml:space="preserve">Sim</t>
        </is>
      </c>
      <c r="T42" s="85" t="inlineStr">
        <is>
          <t xml:space="preserve">Sim</t>
        </is>
      </c>
      <c r="U42" s="85" t="inlineStr">
        <is>
          <t xml:space="preserve">Sim</t>
        </is>
      </c>
      <c r="V42" s="85" t="inlineStr">
        <is>
          <t xml:space="preserve">Sim</t>
        </is>
      </c>
      <c r="W42" s="85" t="inlineStr">
        <is>
          <t xml:space="preserve">Sim</t>
        </is>
      </c>
      <c r="X42" s="85" t="inlineStr">
        <is>
          <t xml:space="preserve">Sim</t>
        </is>
      </c>
      <c r="Y42" s="85" t="inlineStr">
        <is>
          <t xml:space="preserve">Sim</t>
        </is>
      </c>
      <c r="Z42" s="85" t="inlineStr">
        <is>
          <t xml:space="preserve">Sim</t>
        </is>
      </c>
      <c r="AA42" s="85" t="inlineStr">
        <is>
          <t xml:space="preserve">Sim</t>
        </is>
      </c>
      <c r="AB42" s="85" t="inlineStr">
        <is>
          <t xml:space="preserve">Sim</t>
        </is>
      </c>
      <c r="AC42" s="85" t="inlineStr">
        <is>
          <t xml:space="preserve">Sim</t>
        </is>
      </c>
    </row>
    <row r="43">
      <c r="A43" s="88">
        <v>9</v>
      </c>
      <c r="B43" s="89" t="str">
        <f>Config!$B$18&amp;""</f>
        <v/>
      </c>
      <c r="C43" s="89" t="str">
        <f>IF(Config!$B$18&amp;""="","",IF(Config!$C$18="","JSL",Config!$C$18))</f>
        <v/>
      </c>
      <c r="D43" s="85" t="inlineStr">
        <is>
          <t xml:space="preserve">Sim</t>
        </is>
      </c>
      <c r="E43" s="85" t="inlineStr">
        <is>
          <t xml:space="preserve">Sim</t>
        </is>
      </c>
      <c r="F43" s="85" t="inlineStr">
        <is>
          <t xml:space="preserve">Sim</t>
        </is>
      </c>
      <c r="G43" s="85" t="inlineStr">
        <is>
          <t xml:space="preserve">Sim</t>
        </is>
      </c>
      <c r="H43" s="85" t="inlineStr">
        <is>
          <t xml:space="preserve">Não</t>
        </is>
      </c>
      <c r="I43" s="85" t="inlineStr">
        <is>
          <t xml:space="preserve">Sim</t>
        </is>
      </c>
      <c r="J43" s="85" t="inlineStr">
        <is>
          <t xml:space="preserve">Sim</t>
        </is>
      </c>
      <c r="K43" s="85" t="inlineStr">
        <is>
          <t xml:space="preserve">Sim</t>
        </is>
      </c>
      <c r="L43" s="85" t="inlineStr">
        <is>
          <t xml:space="preserve">Sim</t>
        </is>
      </c>
      <c r="M43" s="85" t="inlineStr">
        <is>
          <t xml:space="preserve">Sim</t>
        </is>
      </c>
      <c r="N43" s="85" t="inlineStr">
        <is>
          <t xml:space="preserve">Não</t>
        </is>
      </c>
      <c r="O43" s="85" t="inlineStr">
        <is>
          <t xml:space="preserve">Sim</t>
        </is>
      </c>
      <c r="P43" s="85" t="inlineStr">
        <is>
          <t xml:space="preserve">Sim</t>
        </is>
      </c>
      <c r="Q43" s="85" t="inlineStr">
        <is>
          <t xml:space="preserve">Sim</t>
        </is>
      </c>
      <c r="R43" s="85" t="inlineStr">
        <is>
          <t xml:space="preserve">Sim</t>
        </is>
      </c>
      <c r="S43" s="85" t="inlineStr">
        <is>
          <t xml:space="preserve">Sim</t>
        </is>
      </c>
      <c r="T43" s="85" t="inlineStr">
        <is>
          <t xml:space="preserve">Sim</t>
        </is>
      </c>
      <c r="U43" s="85" t="inlineStr">
        <is>
          <t xml:space="preserve">Sim</t>
        </is>
      </c>
      <c r="V43" s="85" t="inlineStr">
        <is>
          <t xml:space="preserve">Sim</t>
        </is>
      </c>
      <c r="W43" s="85" t="inlineStr">
        <is>
          <t xml:space="preserve">Sim</t>
        </is>
      </c>
      <c r="X43" s="85" t="inlineStr">
        <is>
          <t xml:space="preserve">Sim</t>
        </is>
      </c>
      <c r="Y43" s="85" t="inlineStr">
        <is>
          <t xml:space="preserve">Sim</t>
        </is>
      </c>
      <c r="Z43" s="85" t="inlineStr">
        <is>
          <t xml:space="preserve">Sim</t>
        </is>
      </c>
      <c r="AA43" s="85" t="inlineStr">
        <is>
          <t xml:space="preserve">Sim</t>
        </is>
      </c>
      <c r="AB43" s="85" t="inlineStr">
        <is>
          <t xml:space="preserve">Sim</t>
        </is>
      </c>
      <c r="AC43" s="85" t="inlineStr">
        <is>
          <t xml:space="preserve">Sim</t>
        </is>
      </c>
    </row>
    <row r="44">
      <c r="A44" s="88">
        <v>10</v>
      </c>
      <c r="B44" s="89" t="str">
        <f>Config!$B$19&amp;""</f>
        <v/>
      </c>
      <c r="C44" s="89" t="str">
        <f>IF(Config!$B$19&amp;""="","",IF(Config!$C$19="","JSL",Config!$C$19))</f>
        <v/>
      </c>
      <c r="D44" s="85" t="inlineStr">
        <is>
          <t xml:space="preserve">Sim</t>
        </is>
      </c>
      <c r="E44" s="85" t="inlineStr">
        <is>
          <t xml:space="preserve">Sim</t>
        </is>
      </c>
      <c r="F44" s="85" t="inlineStr">
        <is>
          <t xml:space="preserve">Sim</t>
        </is>
      </c>
      <c r="G44" s="85" t="inlineStr">
        <is>
          <t xml:space="preserve">Sim</t>
        </is>
      </c>
      <c r="H44" s="85" t="inlineStr">
        <is>
          <t xml:space="preserve">Não</t>
        </is>
      </c>
      <c r="I44" s="85" t="inlineStr">
        <is>
          <t xml:space="preserve">Sim</t>
        </is>
      </c>
      <c r="J44" s="85" t="inlineStr">
        <is>
          <t xml:space="preserve">Sim</t>
        </is>
      </c>
      <c r="K44" s="85" t="inlineStr">
        <is>
          <t xml:space="preserve">Sim</t>
        </is>
      </c>
      <c r="L44" s="85" t="inlineStr">
        <is>
          <t xml:space="preserve">Sim</t>
        </is>
      </c>
      <c r="M44" s="85" t="inlineStr">
        <is>
          <t xml:space="preserve">Sim</t>
        </is>
      </c>
      <c r="N44" s="85" t="inlineStr">
        <is>
          <t xml:space="preserve">Não</t>
        </is>
      </c>
      <c r="O44" s="85" t="inlineStr">
        <is>
          <t xml:space="preserve">Sim</t>
        </is>
      </c>
      <c r="P44" s="85" t="inlineStr">
        <is>
          <t xml:space="preserve">Sim</t>
        </is>
      </c>
      <c r="Q44" s="85" t="inlineStr">
        <is>
          <t xml:space="preserve">Sim</t>
        </is>
      </c>
      <c r="R44" s="85" t="inlineStr">
        <is>
          <t xml:space="preserve">Sim</t>
        </is>
      </c>
      <c r="S44" s="85" t="inlineStr">
        <is>
          <t xml:space="preserve">Sim</t>
        </is>
      </c>
      <c r="T44" s="85" t="inlineStr">
        <is>
          <t xml:space="preserve">Sim</t>
        </is>
      </c>
      <c r="U44" s="85" t="inlineStr">
        <is>
          <t xml:space="preserve">Sim</t>
        </is>
      </c>
      <c r="V44" s="85" t="inlineStr">
        <is>
          <t xml:space="preserve">Sim</t>
        </is>
      </c>
      <c r="W44" s="85" t="inlineStr">
        <is>
          <t xml:space="preserve">Sim</t>
        </is>
      </c>
      <c r="X44" s="85" t="inlineStr">
        <is>
          <t xml:space="preserve">Sim</t>
        </is>
      </c>
      <c r="Y44" s="85" t="inlineStr">
        <is>
          <t xml:space="preserve">Sim</t>
        </is>
      </c>
      <c r="Z44" s="85" t="inlineStr">
        <is>
          <t xml:space="preserve">Sim</t>
        </is>
      </c>
      <c r="AA44" s="85" t="inlineStr">
        <is>
          <t xml:space="preserve">Sim</t>
        </is>
      </c>
      <c r="AB44" s="85" t="inlineStr">
        <is>
          <t xml:space="preserve">Sim</t>
        </is>
      </c>
      <c r="AC44" s="85" t="inlineStr">
        <is>
          <t xml:space="preserve">Sim</t>
        </is>
      </c>
    </row>
    <row r="45">
      <c r="A45" s="88">
        <v>11</v>
      </c>
      <c r="B45" s="89" t="str">
        <f>Config!$B$20&amp;""</f>
        <v/>
      </c>
      <c r="C45" s="89" t="str">
        <f>IF(Config!$B$20&amp;""="","",IF(Config!$C$20="","JSL",Config!$C$20))</f>
        <v/>
      </c>
      <c r="D45" s="85" t="inlineStr">
        <is>
          <t xml:space="preserve">Sim</t>
        </is>
      </c>
      <c r="E45" s="85" t="inlineStr">
        <is>
          <t xml:space="preserve">Sim</t>
        </is>
      </c>
      <c r="F45" s="85" t="inlineStr">
        <is>
          <t xml:space="preserve">Sim</t>
        </is>
      </c>
      <c r="G45" s="85" t="inlineStr">
        <is>
          <t xml:space="preserve">Sim</t>
        </is>
      </c>
      <c r="H45" s="85" t="inlineStr">
        <is>
          <t xml:space="preserve">Não</t>
        </is>
      </c>
      <c r="I45" s="85" t="inlineStr">
        <is>
          <t xml:space="preserve">Sim</t>
        </is>
      </c>
      <c r="J45" s="85" t="inlineStr">
        <is>
          <t xml:space="preserve">Sim</t>
        </is>
      </c>
      <c r="K45" s="85" t="inlineStr">
        <is>
          <t xml:space="preserve">Sim</t>
        </is>
      </c>
      <c r="L45" s="85" t="inlineStr">
        <is>
          <t xml:space="preserve">Sim</t>
        </is>
      </c>
      <c r="M45" s="85" t="inlineStr">
        <is>
          <t xml:space="preserve">Sim</t>
        </is>
      </c>
      <c r="N45" s="85" t="inlineStr">
        <is>
          <t xml:space="preserve">Não</t>
        </is>
      </c>
      <c r="O45" s="85" t="inlineStr">
        <is>
          <t xml:space="preserve">Sim</t>
        </is>
      </c>
      <c r="P45" s="85" t="inlineStr">
        <is>
          <t xml:space="preserve">Sim</t>
        </is>
      </c>
      <c r="Q45" s="85" t="inlineStr">
        <is>
          <t xml:space="preserve">Sim</t>
        </is>
      </c>
      <c r="R45" s="85" t="inlineStr">
        <is>
          <t xml:space="preserve">Sim</t>
        </is>
      </c>
      <c r="S45" s="85" t="inlineStr">
        <is>
          <t xml:space="preserve">Sim</t>
        </is>
      </c>
      <c r="T45" s="85" t="inlineStr">
        <is>
          <t xml:space="preserve">Sim</t>
        </is>
      </c>
      <c r="U45" s="85" t="inlineStr">
        <is>
          <t xml:space="preserve">Sim</t>
        </is>
      </c>
      <c r="V45" s="85" t="inlineStr">
        <is>
          <t xml:space="preserve">Sim</t>
        </is>
      </c>
      <c r="W45" s="85" t="inlineStr">
        <is>
          <t xml:space="preserve">Sim</t>
        </is>
      </c>
      <c r="X45" s="85" t="inlineStr">
        <is>
          <t xml:space="preserve">Sim</t>
        </is>
      </c>
      <c r="Y45" s="85" t="inlineStr">
        <is>
          <t xml:space="preserve">Sim</t>
        </is>
      </c>
      <c r="Z45" s="85" t="inlineStr">
        <is>
          <t xml:space="preserve">Sim</t>
        </is>
      </c>
      <c r="AA45" s="85" t="inlineStr">
        <is>
          <t xml:space="preserve">Sim</t>
        </is>
      </c>
      <c r="AB45" s="85" t="inlineStr">
        <is>
          <t xml:space="preserve">Sim</t>
        </is>
      </c>
      <c r="AC45" s="85" t="inlineStr">
        <is>
          <t xml:space="preserve">Sim</t>
        </is>
      </c>
    </row>
    <row r="46">
      <c r="A46" s="88">
        <v>12</v>
      </c>
      <c r="B46" s="89" t="str">
        <f>Config!$B$21&amp;""</f>
        <v/>
      </c>
      <c r="C46" s="89" t="str">
        <f>IF(Config!$B$21&amp;""="","",IF(Config!$C$21="","JSL",Config!$C$21))</f>
        <v/>
      </c>
      <c r="D46" s="85" t="inlineStr">
        <is>
          <t xml:space="preserve">Sim</t>
        </is>
      </c>
      <c r="E46" s="85" t="inlineStr">
        <is>
          <t xml:space="preserve">Sim</t>
        </is>
      </c>
      <c r="F46" s="85" t="inlineStr">
        <is>
          <t xml:space="preserve">Sim</t>
        </is>
      </c>
      <c r="G46" s="85" t="inlineStr">
        <is>
          <t xml:space="preserve">Sim</t>
        </is>
      </c>
      <c r="H46" s="85" t="inlineStr">
        <is>
          <t xml:space="preserve">Não</t>
        </is>
      </c>
      <c r="I46" s="85" t="inlineStr">
        <is>
          <t xml:space="preserve">Sim</t>
        </is>
      </c>
      <c r="J46" s="85" t="inlineStr">
        <is>
          <t xml:space="preserve">Sim</t>
        </is>
      </c>
      <c r="K46" s="85" t="inlineStr">
        <is>
          <t xml:space="preserve">Sim</t>
        </is>
      </c>
      <c r="L46" s="85" t="inlineStr">
        <is>
          <t xml:space="preserve">Sim</t>
        </is>
      </c>
      <c r="M46" s="85" t="inlineStr">
        <is>
          <t xml:space="preserve">Sim</t>
        </is>
      </c>
      <c r="N46" s="85" t="inlineStr">
        <is>
          <t xml:space="preserve">Não</t>
        </is>
      </c>
      <c r="O46" s="85" t="inlineStr">
        <is>
          <t xml:space="preserve">Sim</t>
        </is>
      </c>
      <c r="P46" s="85" t="inlineStr">
        <is>
          <t xml:space="preserve">Sim</t>
        </is>
      </c>
      <c r="Q46" s="85" t="inlineStr">
        <is>
          <t xml:space="preserve">Sim</t>
        </is>
      </c>
      <c r="R46" s="85" t="inlineStr">
        <is>
          <t xml:space="preserve">Sim</t>
        </is>
      </c>
      <c r="S46" s="85" t="inlineStr">
        <is>
          <t xml:space="preserve">Sim</t>
        </is>
      </c>
      <c r="T46" s="85" t="inlineStr">
        <is>
          <t xml:space="preserve">Sim</t>
        </is>
      </c>
      <c r="U46" s="85" t="inlineStr">
        <is>
          <t xml:space="preserve">Sim</t>
        </is>
      </c>
      <c r="V46" s="85" t="inlineStr">
        <is>
          <t xml:space="preserve">Sim</t>
        </is>
      </c>
      <c r="W46" s="85" t="inlineStr">
        <is>
          <t xml:space="preserve">Sim</t>
        </is>
      </c>
      <c r="X46" s="85" t="inlineStr">
        <is>
          <t xml:space="preserve">Sim</t>
        </is>
      </c>
      <c r="Y46" s="85" t="inlineStr">
        <is>
          <t xml:space="preserve">Sim</t>
        </is>
      </c>
      <c r="Z46" s="85" t="inlineStr">
        <is>
          <t xml:space="preserve">Sim</t>
        </is>
      </c>
      <c r="AA46" s="85" t="inlineStr">
        <is>
          <t xml:space="preserve">Sim</t>
        </is>
      </c>
      <c r="AB46" s="85" t="inlineStr">
        <is>
          <t xml:space="preserve">Sim</t>
        </is>
      </c>
      <c r="AC46" s="85" t="inlineStr">
        <is>
          <t xml:space="preserve">Sim</t>
        </is>
      </c>
    </row>
    <row r="47">
      <c r="A47" s="88">
        <v>13</v>
      </c>
      <c r="B47" s="89" t="str">
        <f>Config!$B$22&amp;""</f>
        <v/>
      </c>
      <c r="C47" s="89" t="str">
        <f>IF(Config!$B$22&amp;""="","",IF(Config!$C$22="","JSL",Config!$C$22))</f>
        <v/>
      </c>
      <c r="D47" s="85" t="inlineStr">
        <is>
          <t xml:space="preserve">Sim</t>
        </is>
      </c>
      <c r="E47" s="85" t="inlineStr">
        <is>
          <t xml:space="preserve">Sim</t>
        </is>
      </c>
      <c r="F47" s="85" t="inlineStr">
        <is>
          <t xml:space="preserve">Sim</t>
        </is>
      </c>
      <c r="G47" s="85" t="inlineStr">
        <is>
          <t xml:space="preserve">Sim</t>
        </is>
      </c>
      <c r="H47" s="85" t="inlineStr">
        <is>
          <t xml:space="preserve">Não</t>
        </is>
      </c>
      <c r="I47" s="85" t="inlineStr">
        <is>
          <t xml:space="preserve">Sim</t>
        </is>
      </c>
      <c r="J47" s="85" t="inlineStr">
        <is>
          <t xml:space="preserve">Sim</t>
        </is>
      </c>
      <c r="K47" s="85" t="inlineStr">
        <is>
          <t xml:space="preserve">Sim</t>
        </is>
      </c>
      <c r="L47" s="85" t="inlineStr">
        <is>
          <t xml:space="preserve">Sim</t>
        </is>
      </c>
      <c r="M47" s="85" t="inlineStr">
        <is>
          <t xml:space="preserve">Sim</t>
        </is>
      </c>
      <c r="N47" s="85" t="inlineStr">
        <is>
          <t xml:space="preserve">Não</t>
        </is>
      </c>
      <c r="O47" s="85" t="inlineStr">
        <is>
          <t xml:space="preserve">Sim</t>
        </is>
      </c>
      <c r="P47" s="85" t="inlineStr">
        <is>
          <t xml:space="preserve">Sim</t>
        </is>
      </c>
      <c r="Q47" s="85" t="inlineStr">
        <is>
          <t xml:space="preserve">Sim</t>
        </is>
      </c>
      <c r="R47" s="85" t="inlineStr">
        <is>
          <t xml:space="preserve">Sim</t>
        </is>
      </c>
      <c r="S47" s="85" t="inlineStr">
        <is>
          <t xml:space="preserve">Sim</t>
        </is>
      </c>
      <c r="T47" s="85" t="inlineStr">
        <is>
          <t xml:space="preserve">Sim</t>
        </is>
      </c>
      <c r="U47" s="85" t="inlineStr">
        <is>
          <t xml:space="preserve">Sim</t>
        </is>
      </c>
      <c r="V47" s="85" t="inlineStr">
        <is>
          <t xml:space="preserve">Sim</t>
        </is>
      </c>
      <c r="W47" s="85" t="inlineStr">
        <is>
          <t xml:space="preserve">Sim</t>
        </is>
      </c>
      <c r="X47" s="85" t="inlineStr">
        <is>
          <t xml:space="preserve">Sim</t>
        </is>
      </c>
      <c r="Y47" s="85" t="inlineStr">
        <is>
          <t xml:space="preserve">Sim</t>
        </is>
      </c>
      <c r="Z47" s="85" t="inlineStr">
        <is>
          <t xml:space="preserve">Sim</t>
        </is>
      </c>
      <c r="AA47" s="85" t="inlineStr">
        <is>
          <t xml:space="preserve">Sim</t>
        </is>
      </c>
      <c r="AB47" s="85" t="inlineStr">
        <is>
          <t xml:space="preserve">Sim</t>
        </is>
      </c>
      <c r="AC47" s="85" t="inlineStr">
        <is>
          <t xml:space="preserve">Sim</t>
        </is>
      </c>
    </row>
    <row r="48">
      <c r="A48" s="88">
        <v>14</v>
      </c>
      <c r="B48" s="89" t="str">
        <f>Config!$B$23&amp;""</f>
        <v/>
      </c>
      <c r="C48" s="89" t="str">
        <f>IF(Config!$B$23&amp;""="","",IF(Config!$C$23="","JSL",Config!$C$23))</f>
        <v/>
      </c>
      <c r="D48" s="85" t="inlineStr">
        <is>
          <t xml:space="preserve">Sim</t>
        </is>
      </c>
      <c r="E48" s="85" t="inlineStr">
        <is>
          <t xml:space="preserve">Sim</t>
        </is>
      </c>
      <c r="F48" s="85" t="inlineStr">
        <is>
          <t xml:space="preserve">Sim</t>
        </is>
      </c>
      <c r="G48" s="85" t="inlineStr">
        <is>
          <t xml:space="preserve">Sim</t>
        </is>
      </c>
      <c r="H48" s="85" t="inlineStr">
        <is>
          <t xml:space="preserve">Não</t>
        </is>
      </c>
      <c r="I48" s="85" t="inlineStr">
        <is>
          <t xml:space="preserve">Sim</t>
        </is>
      </c>
      <c r="J48" s="85" t="inlineStr">
        <is>
          <t xml:space="preserve">Sim</t>
        </is>
      </c>
      <c r="K48" s="85" t="inlineStr">
        <is>
          <t xml:space="preserve">Sim</t>
        </is>
      </c>
      <c r="L48" s="85" t="inlineStr">
        <is>
          <t xml:space="preserve">Sim</t>
        </is>
      </c>
      <c r="M48" s="85" t="inlineStr">
        <is>
          <t xml:space="preserve">Sim</t>
        </is>
      </c>
      <c r="N48" s="85" t="inlineStr">
        <is>
          <t xml:space="preserve">Não</t>
        </is>
      </c>
      <c r="O48" s="85" t="inlineStr">
        <is>
          <t xml:space="preserve">Sim</t>
        </is>
      </c>
      <c r="P48" s="85" t="inlineStr">
        <is>
          <t xml:space="preserve">Sim</t>
        </is>
      </c>
      <c r="Q48" s="85" t="inlineStr">
        <is>
          <t xml:space="preserve">Sim</t>
        </is>
      </c>
      <c r="R48" s="85" t="inlineStr">
        <is>
          <t xml:space="preserve">Sim</t>
        </is>
      </c>
      <c r="S48" s="85" t="inlineStr">
        <is>
          <t xml:space="preserve">Sim</t>
        </is>
      </c>
      <c r="T48" s="85" t="inlineStr">
        <is>
          <t xml:space="preserve">Sim</t>
        </is>
      </c>
      <c r="U48" s="85" t="inlineStr">
        <is>
          <t xml:space="preserve">Sim</t>
        </is>
      </c>
      <c r="V48" s="85" t="inlineStr">
        <is>
          <t xml:space="preserve">Sim</t>
        </is>
      </c>
      <c r="W48" s="85" t="inlineStr">
        <is>
          <t xml:space="preserve">Sim</t>
        </is>
      </c>
      <c r="X48" s="85" t="inlineStr">
        <is>
          <t xml:space="preserve">Sim</t>
        </is>
      </c>
      <c r="Y48" s="85" t="inlineStr">
        <is>
          <t xml:space="preserve">Sim</t>
        </is>
      </c>
      <c r="Z48" s="85" t="inlineStr">
        <is>
          <t xml:space="preserve">Sim</t>
        </is>
      </c>
      <c r="AA48" s="85" t="inlineStr">
        <is>
          <t xml:space="preserve">Sim</t>
        </is>
      </c>
      <c r="AB48" s="85" t="inlineStr">
        <is>
          <t xml:space="preserve">Sim</t>
        </is>
      </c>
      <c r="AC48" s="85" t="inlineStr">
        <is>
          <t xml:space="preserve">Sim</t>
        </is>
      </c>
    </row>
    <row r="49">
      <c r="A49" s="88">
        <v>15</v>
      </c>
      <c r="B49" s="89" t="str">
        <f>Config!$B$24&amp;""</f>
        <v/>
      </c>
      <c r="C49" s="89" t="str">
        <f>IF(Config!$B$24&amp;""="","",IF(Config!$C$24="","JSL",Config!$C$24))</f>
        <v/>
      </c>
      <c r="D49" s="85" t="inlineStr">
        <is>
          <t xml:space="preserve">Sim</t>
        </is>
      </c>
      <c r="E49" s="85" t="inlineStr">
        <is>
          <t xml:space="preserve">Sim</t>
        </is>
      </c>
      <c r="F49" s="85" t="inlineStr">
        <is>
          <t xml:space="preserve">Sim</t>
        </is>
      </c>
      <c r="G49" s="85" t="inlineStr">
        <is>
          <t xml:space="preserve">Sim</t>
        </is>
      </c>
      <c r="H49" s="85" t="inlineStr">
        <is>
          <t xml:space="preserve">Não</t>
        </is>
      </c>
      <c r="I49" s="85" t="inlineStr">
        <is>
          <t xml:space="preserve">Sim</t>
        </is>
      </c>
      <c r="J49" s="85" t="inlineStr">
        <is>
          <t xml:space="preserve">Sim</t>
        </is>
      </c>
      <c r="K49" s="85" t="inlineStr">
        <is>
          <t xml:space="preserve">Sim</t>
        </is>
      </c>
      <c r="L49" s="85" t="inlineStr">
        <is>
          <t xml:space="preserve">Sim</t>
        </is>
      </c>
      <c r="M49" s="85" t="inlineStr">
        <is>
          <t xml:space="preserve">Sim</t>
        </is>
      </c>
      <c r="N49" s="85" t="inlineStr">
        <is>
          <t xml:space="preserve">Não</t>
        </is>
      </c>
      <c r="O49" s="85" t="inlineStr">
        <is>
          <t xml:space="preserve">Sim</t>
        </is>
      </c>
      <c r="P49" s="85" t="inlineStr">
        <is>
          <t xml:space="preserve">Sim</t>
        </is>
      </c>
      <c r="Q49" s="85" t="inlineStr">
        <is>
          <t xml:space="preserve">Sim</t>
        </is>
      </c>
      <c r="R49" s="85" t="inlineStr">
        <is>
          <t xml:space="preserve">Sim</t>
        </is>
      </c>
      <c r="S49" s="85" t="inlineStr">
        <is>
          <t xml:space="preserve">Sim</t>
        </is>
      </c>
      <c r="T49" s="85" t="inlineStr">
        <is>
          <t xml:space="preserve">Sim</t>
        </is>
      </c>
      <c r="U49" s="85" t="inlineStr">
        <is>
          <t xml:space="preserve">Sim</t>
        </is>
      </c>
      <c r="V49" s="85" t="inlineStr">
        <is>
          <t xml:space="preserve">Sim</t>
        </is>
      </c>
      <c r="W49" s="85" t="inlineStr">
        <is>
          <t xml:space="preserve">Sim</t>
        </is>
      </c>
      <c r="X49" s="85" t="inlineStr">
        <is>
          <t xml:space="preserve">Sim</t>
        </is>
      </c>
      <c r="Y49" s="85" t="inlineStr">
        <is>
          <t xml:space="preserve">Sim</t>
        </is>
      </c>
      <c r="Z49" s="85" t="inlineStr">
        <is>
          <t xml:space="preserve">Sim</t>
        </is>
      </c>
      <c r="AA49" s="85" t="inlineStr">
        <is>
          <t xml:space="preserve">Sim</t>
        </is>
      </c>
      <c r="AB49" s="85" t="inlineStr">
        <is>
          <t xml:space="preserve">Sim</t>
        </is>
      </c>
      <c r="AC49" s="85" t="inlineStr">
        <is>
          <t xml:space="preserve">Sim</t>
        </is>
      </c>
    </row>
    <row r="50">
      <c r="A50" s="88">
        <v>16</v>
      </c>
      <c r="B50" s="89" t="str">
        <f>Config!$B$25&amp;""</f>
        <v/>
      </c>
      <c r="C50" s="89" t="str">
        <f>IF(Config!$B$25&amp;""="","",IF(Config!$C$25="","JSL",Config!$C$25))</f>
        <v/>
      </c>
      <c r="D50" s="85" t="inlineStr">
        <is>
          <t xml:space="preserve">Sim</t>
        </is>
      </c>
      <c r="E50" s="85" t="inlineStr">
        <is>
          <t xml:space="preserve">Sim</t>
        </is>
      </c>
      <c r="F50" s="85" t="inlineStr">
        <is>
          <t xml:space="preserve">Sim</t>
        </is>
      </c>
      <c r="G50" s="85" t="inlineStr">
        <is>
          <t xml:space="preserve">Sim</t>
        </is>
      </c>
      <c r="H50" s="85" t="inlineStr">
        <is>
          <t xml:space="preserve">Não</t>
        </is>
      </c>
      <c r="I50" s="85" t="inlineStr">
        <is>
          <t xml:space="preserve">Sim</t>
        </is>
      </c>
      <c r="J50" s="85" t="inlineStr">
        <is>
          <t xml:space="preserve">Sim</t>
        </is>
      </c>
      <c r="K50" s="85" t="inlineStr">
        <is>
          <t xml:space="preserve">Sim</t>
        </is>
      </c>
      <c r="L50" s="85" t="inlineStr">
        <is>
          <t xml:space="preserve">Sim</t>
        </is>
      </c>
      <c r="M50" s="85" t="inlineStr">
        <is>
          <t xml:space="preserve">Sim</t>
        </is>
      </c>
      <c r="N50" s="85" t="inlineStr">
        <is>
          <t xml:space="preserve">Não</t>
        </is>
      </c>
      <c r="O50" s="85" t="inlineStr">
        <is>
          <t xml:space="preserve">Sim</t>
        </is>
      </c>
      <c r="P50" s="85" t="inlineStr">
        <is>
          <t xml:space="preserve">Sim</t>
        </is>
      </c>
      <c r="Q50" s="85" t="inlineStr">
        <is>
          <t xml:space="preserve">Sim</t>
        </is>
      </c>
      <c r="R50" s="85" t="inlineStr">
        <is>
          <t xml:space="preserve">Sim</t>
        </is>
      </c>
      <c r="S50" s="85" t="inlineStr">
        <is>
          <t xml:space="preserve">Sim</t>
        </is>
      </c>
      <c r="T50" s="85" t="inlineStr">
        <is>
          <t xml:space="preserve">Sim</t>
        </is>
      </c>
      <c r="U50" s="85" t="inlineStr">
        <is>
          <t xml:space="preserve">Sim</t>
        </is>
      </c>
      <c r="V50" s="85" t="inlineStr">
        <is>
          <t xml:space="preserve">Sim</t>
        </is>
      </c>
      <c r="W50" s="85" t="inlineStr">
        <is>
          <t xml:space="preserve">Sim</t>
        </is>
      </c>
      <c r="X50" s="85" t="inlineStr">
        <is>
          <t xml:space="preserve">Sim</t>
        </is>
      </c>
      <c r="Y50" s="85" t="inlineStr">
        <is>
          <t xml:space="preserve">Sim</t>
        </is>
      </c>
      <c r="Z50" s="85" t="inlineStr">
        <is>
          <t xml:space="preserve">Sim</t>
        </is>
      </c>
      <c r="AA50" s="85" t="inlineStr">
        <is>
          <t xml:space="preserve">Sim</t>
        </is>
      </c>
      <c r="AB50" s="85" t="inlineStr">
        <is>
          <t xml:space="preserve">Sim</t>
        </is>
      </c>
      <c r="AC50" s="85" t="inlineStr">
        <is>
          <t xml:space="preserve">Sim</t>
        </is>
      </c>
    </row>
    <row r="51">
      <c r="A51" s="88">
        <v>17</v>
      </c>
      <c r="B51" s="89" t="str">
        <f>Config!$B$26&amp;""</f>
        <v/>
      </c>
      <c r="C51" s="89" t="str">
        <f>IF(Config!$B$26&amp;""="","",IF(Config!$C$26="","JSL",Config!$C$26))</f>
        <v/>
      </c>
      <c r="D51" s="85" t="inlineStr">
        <is>
          <t xml:space="preserve">Sim</t>
        </is>
      </c>
      <c r="E51" s="85" t="inlineStr">
        <is>
          <t xml:space="preserve">Sim</t>
        </is>
      </c>
      <c r="F51" s="85" t="inlineStr">
        <is>
          <t xml:space="preserve">Sim</t>
        </is>
      </c>
      <c r="G51" s="85" t="inlineStr">
        <is>
          <t xml:space="preserve">Sim</t>
        </is>
      </c>
      <c r="H51" s="85" t="inlineStr">
        <is>
          <t xml:space="preserve">Não</t>
        </is>
      </c>
      <c r="I51" s="85" t="inlineStr">
        <is>
          <t xml:space="preserve">Sim</t>
        </is>
      </c>
      <c r="J51" s="85" t="inlineStr">
        <is>
          <t xml:space="preserve">Sim</t>
        </is>
      </c>
      <c r="K51" s="85" t="inlineStr">
        <is>
          <t xml:space="preserve">Sim</t>
        </is>
      </c>
      <c r="L51" s="85" t="inlineStr">
        <is>
          <t xml:space="preserve">Sim</t>
        </is>
      </c>
      <c r="M51" s="85" t="inlineStr">
        <is>
          <t xml:space="preserve">Sim</t>
        </is>
      </c>
      <c r="N51" s="85" t="inlineStr">
        <is>
          <t xml:space="preserve">Não</t>
        </is>
      </c>
      <c r="O51" s="85" t="inlineStr">
        <is>
          <t xml:space="preserve">Sim</t>
        </is>
      </c>
      <c r="P51" s="85" t="inlineStr">
        <is>
          <t xml:space="preserve">Sim</t>
        </is>
      </c>
      <c r="Q51" s="85" t="inlineStr">
        <is>
          <t xml:space="preserve">Sim</t>
        </is>
      </c>
      <c r="R51" s="85" t="inlineStr">
        <is>
          <t xml:space="preserve">Sim</t>
        </is>
      </c>
      <c r="S51" s="85" t="inlineStr">
        <is>
          <t xml:space="preserve">Sim</t>
        </is>
      </c>
      <c r="T51" s="85" t="inlineStr">
        <is>
          <t xml:space="preserve">Sim</t>
        </is>
      </c>
      <c r="U51" s="85" t="inlineStr">
        <is>
          <t xml:space="preserve">Sim</t>
        </is>
      </c>
      <c r="V51" s="85" t="inlineStr">
        <is>
          <t xml:space="preserve">Sim</t>
        </is>
      </c>
      <c r="W51" s="85" t="inlineStr">
        <is>
          <t xml:space="preserve">Sim</t>
        </is>
      </c>
      <c r="X51" s="85" t="inlineStr">
        <is>
          <t xml:space="preserve">Sim</t>
        </is>
      </c>
      <c r="Y51" s="85" t="inlineStr">
        <is>
          <t xml:space="preserve">Sim</t>
        </is>
      </c>
      <c r="Z51" s="85" t="inlineStr">
        <is>
          <t xml:space="preserve">Sim</t>
        </is>
      </c>
      <c r="AA51" s="85" t="inlineStr">
        <is>
          <t xml:space="preserve">Sim</t>
        </is>
      </c>
      <c r="AB51" s="85" t="inlineStr">
        <is>
          <t xml:space="preserve">Sim</t>
        </is>
      </c>
      <c r="AC51" s="85" t="inlineStr">
        <is>
          <t xml:space="preserve">Sim</t>
        </is>
      </c>
    </row>
    <row r="52">
      <c r="A52" s="88">
        <v>18</v>
      </c>
      <c r="B52" s="89" t="str">
        <f>Config!$B$27&amp;""</f>
        <v/>
      </c>
      <c r="C52" s="89" t="str">
        <f>IF(Config!$B$27&amp;""="","",IF(Config!$C$27="","JSL",Config!$C$27))</f>
        <v/>
      </c>
      <c r="D52" s="85" t="inlineStr">
        <is>
          <t xml:space="preserve">Sim</t>
        </is>
      </c>
      <c r="E52" s="85" t="inlineStr">
        <is>
          <t xml:space="preserve">Sim</t>
        </is>
      </c>
      <c r="F52" s="85" t="inlineStr">
        <is>
          <t xml:space="preserve">Sim</t>
        </is>
      </c>
      <c r="G52" s="85" t="inlineStr">
        <is>
          <t xml:space="preserve">Sim</t>
        </is>
      </c>
      <c r="H52" s="85" t="inlineStr">
        <is>
          <t xml:space="preserve">Não</t>
        </is>
      </c>
      <c r="I52" s="85" t="inlineStr">
        <is>
          <t xml:space="preserve">Sim</t>
        </is>
      </c>
      <c r="J52" s="85" t="inlineStr">
        <is>
          <t xml:space="preserve">Sim</t>
        </is>
      </c>
      <c r="K52" s="85" t="inlineStr">
        <is>
          <t xml:space="preserve">Sim</t>
        </is>
      </c>
      <c r="L52" s="85" t="inlineStr">
        <is>
          <t xml:space="preserve">Sim</t>
        </is>
      </c>
      <c r="M52" s="85" t="inlineStr">
        <is>
          <t xml:space="preserve">Sim</t>
        </is>
      </c>
      <c r="N52" s="85" t="inlineStr">
        <is>
          <t xml:space="preserve">Não</t>
        </is>
      </c>
      <c r="O52" s="85" t="inlineStr">
        <is>
          <t xml:space="preserve">Sim</t>
        </is>
      </c>
      <c r="P52" s="85" t="inlineStr">
        <is>
          <t xml:space="preserve">Sim</t>
        </is>
      </c>
      <c r="Q52" s="85" t="inlineStr">
        <is>
          <t xml:space="preserve">Sim</t>
        </is>
      </c>
      <c r="R52" s="85" t="inlineStr">
        <is>
          <t xml:space="preserve">Sim</t>
        </is>
      </c>
      <c r="S52" s="85" t="inlineStr">
        <is>
          <t xml:space="preserve">Sim</t>
        </is>
      </c>
      <c r="T52" s="85" t="inlineStr">
        <is>
          <t xml:space="preserve">Sim</t>
        </is>
      </c>
      <c r="U52" s="85" t="inlineStr">
        <is>
          <t xml:space="preserve">Sim</t>
        </is>
      </c>
      <c r="V52" s="85" t="inlineStr">
        <is>
          <t xml:space="preserve">Sim</t>
        </is>
      </c>
      <c r="W52" s="85" t="inlineStr">
        <is>
          <t xml:space="preserve">Sim</t>
        </is>
      </c>
      <c r="X52" s="85" t="inlineStr">
        <is>
          <t xml:space="preserve">Sim</t>
        </is>
      </c>
      <c r="Y52" s="85" t="inlineStr">
        <is>
          <t xml:space="preserve">Sim</t>
        </is>
      </c>
      <c r="Z52" s="85" t="inlineStr">
        <is>
          <t xml:space="preserve">Sim</t>
        </is>
      </c>
      <c r="AA52" s="85" t="inlineStr">
        <is>
          <t xml:space="preserve">Sim</t>
        </is>
      </c>
      <c r="AB52" s="85" t="inlineStr">
        <is>
          <t xml:space="preserve">Sim</t>
        </is>
      </c>
      <c r="AC52" s="85" t="inlineStr">
        <is>
          <t xml:space="preserve">Sim</t>
        </is>
      </c>
    </row>
    <row r="53">
      <c r="A53" s="88">
        <v>19</v>
      </c>
      <c r="B53" s="89" t="str">
        <f>Config!$B$28&amp;""</f>
        <v/>
      </c>
      <c r="C53" s="89" t="str">
        <f>IF(Config!$B$28&amp;""="","",IF(Config!$C$28="","JSL",Config!$C$28))</f>
        <v/>
      </c>
      <c r="D53" s="85" t="inlineStr">
        <is>
          <t xml:space="preserve">Sim</t>
        </is>
      </c>
      <c r="E53" s="85" t="inlineStr">
        <is>
          <t xml:space="preserve">Sim</t>
        </is>
      </c>
      <c r="F53" s="85" t="inlineStr">
        <is>
          <t xml:space="preserve">Sim</t>
        </is>
      </c>
      <c r="G53" s="85" t="inlineStr">
        <is>
          <t xml:space="preserve">Sim</t>
        </is>
      </c>
      <c r="H53" s="85" t="inlineStr">
        <is>
          <t xml:space="preserve">Não</t>
        </is>
      </c>
      <c r="I53" s="85" t="inlineStr">
        <is>
          <t xml:space="preserve">Sim</t>
        </is>
      </c>
      <c r="J53" s="85" t="inlineStr">
        <is>
          <t xml:space="preserve">Sim</t>
        </is>
      </c>
      <c r="K53" s="85" t="inlineStr">
        <is>
          <t xml:space="preserve">Sim</t>
        </is>
      </c>
      <c r="L53" s="85" t="inlineStr">
        <is>
          <t xml:space="preserve">Sim</t>
        </is>
      </c>
      <c r="M53" s="85" t="inlineStr">
        <is>
          <t xml:space="preserve">Sim</t>
        </is>
      </c>
      <c r="N53" s="85" t="inlineStr">
        <is>
          <t xml:space="preserve">Não</t>
        </is>
      </c>
      <c r="O53" s="85" t="inlineStr">
        <is>
          <t xml:space="preserve">Sim</t>
        </is>
      </c>
      <c r="P53" s="85" t="inlineStr">
        <is>
          <t xml:space="preserve">Sim</t>
        </is>
      </c>
      <c r="Q53" s="85" t="inlineStr">
        <is>
          <t xml:space="preserve">Sim</t>
        </is>
      </c>
      <c r="R53" s="85" t="inlineStr">
        <is>
          <t xml:space="preserve">Sim</t>
        </is>
      </c>
      <c r="S53" s="85" t="inlineStr">
        <is>
          <t xml:space="preserve">Sim</t>
        </is>
      </c>
      <c r="T53" s="85" t="inlineStr">
        <is>
          <t xml:space="preserve">Sim</t>
        </is>
      </c>
      <c r="U53" s="85" t="inlineStr">
        <is>
          <t xml:space="preserve">Sim</t>
        </is>
      </c>
      <c r="V53" s="85" t="inlineStr">
        <is>
          <t xml:space="preserve">Sim</t>
        </is>
      </c>
      <c r="W53" s="85" t="inlineStr">
        <is>
          <t xml:space="preserve">Sim</t>
        </is>
      </c>
      <c r="X53" s="85" t="inlineStr">
        <is>
          <t xml:space="preserve">Sim</t>
        </is>
      </c>
      <c r="Y53" s="85" t="inlineStr">
        <is>
          <t xml:space="preserve">Sim</t>
        </is>
      </c>
      <c r="Z53" s="85" t="inlineStr">
        <is>
          <t xml:space="preserve">Sim</t>
        </is>
      </c>
      <c r="AA53" s="85" t="inlineStr">
        <is>
          <t xml:space="preserve">Sim</t>
        </is>
      </c>
      <c r="AB53" s="85" t="inlineStr">
        <is>
          <t xml:space="preserve">Sim</t>
        </is>
      </c>
      <c r="AC53" s="85" t="inlineStr">
        <is>
          <t xml:space="preserve">Sim</t>
        </is>
      </c>
    </row>
    <row r="54">
      <c r="A54" s="88">
        <v>20</v>
      </c>
      <c r="B54" s="89" t="str">
        <f>Config!$B$29&amp;""</f>
        <v/>
      </c>
      <c r="C54" s="89" t="str">
        <f>IF(Config!$B$29&amp;""="","",IF(Config!$C$29="","JSL",Config!$C$29))</f>
        <v/>
      </c>
      <c r="D54" s="85" t="inlineStr">
        <is>
          <t xml:space="preserve">Sim</t>
        </is>
      </c>
      <c r="E54" s="85" t="inlineStr">
        <is>
          <t xml:space="preserve">Sim</t>
        </is>
      </c>
      <c r="F54" s="85" t="inlineStr">
        <is>
          <t xml:space="preserve">Sim</t>
        </is>
      </c>
      <c r="G54" s="85" t="inlineStr">
        <is>
          <t xml:space="preserve">Sim</t>
        </is>
      </c>
      <c r="H54" s="85" t="inlineStr">
        <is>
          <t xml:space="preserve">Não</t>
        </is>
      </c>
      <c r="I54" s="85" t="inlineStr">
        <is>
          <t xml:space="preserve">Sim</t>
        </is>
      </c>
      <c r="J54" s="85" t="inlineStr">
        <is>
          <t xml:space="preserve">Sim</t>
        </is>
      </c>
      <c r="K54" s="85" t="inlineStr">
        <is>
          <t xml:space="preserve">Sim</t>
        </is>
      </c>
      <c r="L54" s="85" t="inlineStr">
        <is>
          <t xml:space="preserve">Sim</t>
        </is>
      </c>
      <c r="M54" s="85" t="inlineStr">
        <is>
          <t xml:space="preserve">Sim</t>
        </is>
      </c>
      <c r="N54" s="85" t="inlineStr">
        <is>
          <t xml:space="preserve">Não</t>
        </is>
      </c>
      <c r="O54" s="85" t="inlineStr">
        <is>
          <t xml:space="preserve">Sim</t>
        </is>
      </c>
      <c r="P54" s="85" t="inlineStr">
        <is>
          <t xml:space="preserve">Sim</t>
        </is>
      </c>
      <c r="Q54" s="85" t="inlineStr">
        <is>
          <t xml:space="preserve">Sim</t>
        </is>
      </c>
      <c r="R54" s="85" t="inlineStr">
        <is>
          <t xml:space="preserve">Sim</t>
        </is>
      </c>
      <c r="S54" s="85" t="inlineStr">
        <is>
          <t xml:space="preserve">Sim</t>
        </is>
      </c>
      <c r="T54" s="85" t="inlineStr">
        <is>
          <t xml:space="preserve">Sim</t>
        </is>
      </c>
      <c r="U54" s="85" t="inlineStr">
        <is>
          <t xml:space="preserve">Sim</t>
        </is>
      </c>
      <c r="V54" s="85" t="inlineStr">
        <is>
          <t xml:space="preserve">Sim</t>
        </is>
      </c>
      <c r="W54" s="85" t="inlineStr">
        <is>
          <t xml:space="preserve">Sim</t>
        </is>
      </c>
      <c r="X54" s="85" t="inlineStr">
        <is>
          <t xml:space="preserve">Sim</t>
        </is>
      </c>
      <c r="Y54" s="85" t="inlineStr">
        <is>
          <t xml:space="preserve">Sim</t>
        </is>
      </c>
      <c r="Z54" s="85" t="inlineStr">
        <is>
          <t xml:space="preserve">Sim</t>
        </is>
      </c>
      <c r="AA54" s="85" t="inlineStr">
        <is>
          <t xml:space="preserve">Sim</t>
        </is>
      </c>
      <c r="AB54" s="85" t="inlineStr">
        <is>
          <t xml:space="preserve">Sim</t>
        </is>
      </c>
      <c r="AC54" s="85" t="inlineStr">
        <is>
          <t xml:space="preserve">Sim</t>
        </is>
      </c>
    </row>
    <row r="58" ht="22" customHeight="1">
      <c r="A58" s="87" t="inlineStr">
        <is>
          <t xml:space="preserve">3 · TEXTOS DO DASHBOARD — renomeie cards, linhas e gráficos (títulos dos gráficos 2 e 3 de cada cliente ficam na tabela 1)</t>
        </is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</row>
    <row r="59">
      <c r="A59" s="96" t="inlineStr">
        <is>
          <t xml:space="preserve">Onde aparece</t>
        </is>
      </c>
      <c r="B59" s="97"/>
      <c r="C59" s="98"/>
      <c r="D59" s="96" t="inlineStr">
        <is>
          <t xml:space="preserve">Texto</t>
        </is>
      </c>
      <c r="E59" s="97"/>
      <c r="F59" s="97"/>
      <c r="G59" s="98"/>
    </row>
    <row r="60">
      <c r="A60" s="99" t="inlineStr">
        <is>
          <t xml:space="preserve">Card IN · título</t>
        </is>
      </c>
      <c r="B60" s="100"/>
      <c r="C60" s="101"/>
      <c r="D60" s="102" t="inlineStr">
        <is>
          <t xml:space="preserve">RECEBIMENTO (IN)</t>
        </is>
      </c>
      <c r="E60" s="103"/>
      <c r="F60" s="103"/>
      <c r="G60" s="104"/>
    </row>
    <row r="61">
      <c r="A61" s="99" t="inlineStr">
        <is>
          <t xml:space="preserve">Card IN · legenda do número</t>
        </is>
      </c>
      <c r="B61" s="100"/>
      <c r="C61" s="101"/>
      <c r="D61" s="102" t="inlineStr">
        <is>
          <t xml:space="preserve">veículos recebidos</t>
        </is>
      </c>
      <c r="E61" s="103"/>
      <c r="F61" s="103"/>
      <c r="G61" s="104"/>
    </row>
    <row r="62">
      <c r="A62" s="99" t="inlineStr">
        <is>
          <t xml:space="preserve">Card OUT · título</t>
        </is>
      </c>
      <c r="B62" s="100"/>
      <c r="C62" s="101"/>
      <c r="D62" s="102" t="inlineStr">
        <is>
          <t xml:space="preserve">EXPEDIÇÃO (OUT)</t>
        </is>
      </c>
      <c r="E62" s="103"/>
      <c r="F62" s="103"/>
      <c r="G62" s="104"/>
    </row>
    <row r="63">
      <c r="A63" s="99" t="inlineStr">
        <is>
          <t xml:space="preserve">Card OUT · legenda do número</t>
        </is>
      </c>
      <c r="B63" s="100"/>
      <c r="C63" s="101"/>
      <c r="D63" s="102" t="inlineStr">
        <is>
          <t xml:space="preserve">veículos expedidos</t>
        </is>
      </c>
      <c r="E63" s="103"/>
      <c r="F63" s="103"/>
      <c r="G63" s="104"/>
    </row>
    <row r="64">
      <c r="A64" s="99" t="inlineStr">
        <is>
          <t xml:space="preserve">Card NC · título</t>
        </is>
      </c>
      <c r="B64" s="100"/>
      <c r="C64" s="101"/>
      <c r="D64" s="102" t="inlineStr">
        <is>
          <t xml:space="preserve">NC OPERACIONAL</t>
        </is>
      </c>
      <c r="E64" s="103"/>
      <c r="F64" s="103"/>
      <c r="G64" s="104"/>
    </row>
    <row r="65">
      <c r="A65" s="99" t="inlineStr">
        <is>
          <t xml:space="preserve">Card NC · legenda do número</t>
        </is>
      </c>
      <c r="B65" s="100"/>
      <c r="C65" s="101"/>
      <c r="D65" s="102" t="inlineStr">
        <is>
          <t xml:space="preserve">incidentes no período</t>
        </is>
      </c>
      <c r="E65" s="103"/>
      <c r="F65" s="103"/>
      <c r="G65" s="104"/>
    </row>
    <row r="66">
      <c r="A66" s="99" t="inlineStr">
        <is>
          <t xml:space="preserve">Card NC · linha 1</t>
        </is>
      </c>
      <c r="B66" s="100"/>
      <c r="C66" s="101"/>
      <c r="D66" s="102" t="inlineStr">
        <is>
          <t xml:space="preserve">NO SHOW</t>
        </is>
      </c>
      <c r="E66" s="103"/>
      <c r="F66" s="103"/>
      <c r="G66" s="104"/>
    </row>
    <row r="67">
      <c r="A67" s="99" t="inlineStr">
        <is>
          <t xml:space="preserve">Card NC · linha 2</t>
        </is>
      </c>
      <c r="B67" s="100"/>
      <c r="C67" s="101"/>
      <c r="D67" s="102" t="inlineStr">
        <is>
          <t xml:space="preserve">BACKLOG INTRALOG</t>
        </is>
      </c>
      <c r="E67" s="103"/>
      <c r="F67" s="103"/>
      <c r="G67" s="104"/>
    </row>
    <row r="68">
      <c r="A68" s="99" t="inlineStr">
        <is>
          <t xml:space="preserve">Card NC · linha 3</t>
        </is>
      </c>
      <c r="B68" s="100"/>
      <c r="C68" s="101"/>
      <c r="D68" s="102" t="inlineStr">
        <is>
          <t xml:space="preserve">BACKLOG CLIENTE</t>
        </is>
      </c>
      <c r="E68" s="103"/>
      <c r="F68" s="103"/>
      <c r="G68" s="104"/>
    </row>
    <row r="69">
      <c r="A69" s="99" t="inlineStr">
        <is>
          <t xml:space="preserve">Card Ocupação · título</t>
        </is>
      </c>
      <c r="B69" s="100"/>
      <c r="C69" s="101"/>
      <c r="D69" s="102" t="inlineStr">
        <is>
          <t xml:space="preserve">ÍNDICE DE OCUPAÇÃO (P.P)</t>
        </is>
      </c>
      <c r="E69" s="103"/>
      <c r="F69" s="103"/>
      <c r="G69" s="104"/>
    </row>
    <row r="70">
      <c r="A70" s="99" t="inlineStr">
        <is>
          <t xml:space="preserve">Card Ocupação · posições (cliente)</t>
        </is>
      </c>
      <c r="B70" s="100"/>
      <c r="C70" s="101"/>
      <c r="D70" s="102" t="inlineStr">
        <is>
          <t xml:space="preserve">CONTRATADA</t>
        </is>
      </c>
      <c r="E70" s="103"/>
      <c r="F70" s="103"/>
      <c r="G70" s="104"/>
    </row>
    <row r="71">
      <c r="A71" s="99" t="inlineStr">
        <is>
          <t xml:space="preserve">Card Ocupação · posições (Todos / depósito)</t>
        </is>
      </c>
      <c r="B71" s="100"/>
      <c r="C71" s="101"/>
      <c r="D71" s="102" t="inlineStr">
        <is>
          <t xml:space="preserve">ARMAZÉM</t>
        </is>
      </c>
      <c r="E71" s="103"/>
      <c r="F71" s="103"/>
      <c r="G71" s="104"/>
    </row>
    <row r="72">
      <c r="A72" s="99" t="inlineStr">
        <is>
          <t xml:space="preserve">Card Ocupação · ocupadas</t>
        </is>
      </c>
      <c r="B72" s="100"/>
      <c r="C72" s="101"/>
      <c r="D72" s="102" t="inlineStr">
        <is>
          <t xml:space="preserve">OCUPADA</t>
        </is>
      </c>
      <c r="E72" s="103"/>
      <c r="F72" s="103"/>
      <c r="G72" s="104"/>
    </row>
    <row r="73">
      <c r="A73" s="99" t="inlineStr">
        <is>
          <t xml:space="preserve">Card Ocupação · taxa</t>
        </is>
      </c>
      <c r="B73" s="100"/>
      <c r="C73" s="101"/>
      <c r="D73" s="102" t="inlineStr">
        <is>
          <t xml:space="preserve">TX OCUPAÇÃO</t>
        </is>
      </c>
      <c r="E73" s="103"/>
      <c r="F73" s="103"/>
      <c r="G73" s="104"/>
    </row>
    <row r="74">
      <c r="A74" s="99" t="inlineStr">
        <is>
          <t xml:space="preserve">Card Ocupação · ociosidade</t>
        </is>
      </c>
      <c r="B74" s="100"/>
      <c r="C74" s="101"/>
      <c r="D74" s="102" t="inlineStr">
        <is>
          <t xml:space="preserve">OCIOSIDADE</t>
        </is>
      </c>
      <c r="E74" s="103"/>
      <c r="F74" s="103"/>
      <c r="G74" s="104"/>
    </row>
    <row r="75">
      <c r="A75" s="99" t="inlineStr">
        <is>
          <t xml:space="preserve">Card Gente · título</t>
        </is>
      </c>
      <c r="B75" s="100"/>
      <c r="C75" s="101"/>
      <c r="D75" s="102" t="inlineStr">
        <is>
          <t xml:space="preserve">GENTE</t>
        </is>
      </c>
      <c r="E75" s="103"/>
      <c r="F75" s="103"/>
      <c r="G75" s="104"/>
    </row>
    <row r="76">
      <c r="A76" s="99" t="inlineStr">
        <is>
          <t xml:space="preserve">Card Gente · linha 1</t>
        </is>
      </c>
      <c r="B76" s="100"/>
      <c r="C76" s="101"/>
      <c r="D76" s="102" t="inlineStr">
        <is>
          <t xml:space="preserve">EFETIVO</t>
        </is>
      </c>
      <c r="E76" s="103"/>
      <c r="F76" s="103"/>
      <c r="G76" s="104"/>
    </row>
    <row r="77">
      <c r="A77" s="99" t="inlineStr">
        <is>
          <t xml:space="preserve">Card Gente · linha 2</t>
        </is>
      </c>
      <c r="B77" s="100"/>
      <c r="C77" s="101"/>
      <c r="D77" s="102" t="inlineStr">
        <is>
          <t xml:space="preserve">ABSENTEÍSMO (H/H)</t>
        </is>
      </c>
      <c r="E77" s="103"/>
      <c r="F77" s="103"/>
      <c r="G77" s="104"/>
    </row>
    <row r="78">
      <c r="A78" s="99" t="inlineStr">
        <is>
          <t xml:space="preserve">Card Gente · linha 3</t>
        </is>
      </c>
      <c r="B78" s="100"/>
      <c r="C78" s="101"/>
      <c r="D78" s="102" t="inlineStr">
        <is>
          <t xml:space="preserve">FÉRIAS</t>
        </is>
      </c>
      <c r="E78" s="103"/>
      <c r="F78" s="103"/>
      <c r="G78" s="104"/>
    </row>
    <row r="79">
      <c r="A79" s="99" t="inlineStr">
        <is>
          <t xml:space="preserve">Card Gente · linha 4</t>
        </is>
      </c>
      <c r="B79" s="100"/>
      <c r="C79" s="101"/>
      <c r="D79" s="102" t="inlineStr">
        <is>
          <t xml:space="preserve">TURNOVER</t>
        </is>
      </c>
      <c r="E79" s="103"/>
      <c r="F79" s="103"/>
      <c r="G79" s="104"/>
    </row>
    <row r="80">
      <c r="A80" s="99" t="inlineStr">
        <is>
          <t xml:space="preserve">Card Gente · linha 5</t>
        </is>
      </c>
      <c r="B80" s="100"/>
      <c r="C80" s="101"/>
      <c r="D80" s="102" t="inlineStr">
        <is>
          <t xml:space="preserve">DESVIOS COMPORTAM.</t>
        </is>
      </c>
      <c r="E80" s="103"/>
      <c r="F80" s="103"/>
      <c r="G80" s="104"/>
    </row>
    <row r="81">
      <c r="A81" s="99" t="inlineStr">
        <is>
          <t xml:space="preserve">Card Gente · linha 6</t>
        </is>
      </c>
      <c r="B81" s="100"/>
      <c r="C81" s="101"/>
      <c r="D81" s="102" t="inlineStr">
        <is>
          <t xml:space="preserve">ACIDENTES (CAF/SAF)</t>
        </is>
      </c>
      <c r="E81" s="103"/>
      <c r="F81" s="103"/>
      <c r="G81" s="104"/>
    </row>
    <row r="82">
      <c r="A82" s="99" t="inlineStr">
        <is>
          <t xml:space="preserve">Gráfico 1 · título</t>
        </is>
      </c>
      <c r="B82" s="100"/>
      <c r="C82" s="101"/>
      <c r="D82" s="102" t="inlineStr">
        <is>
          <t xml:space="preserve">MOVIMENTAÇÃO VEÍCULO/DIA</t>
        </is>
      </c>
      <c r="E82" s="103"/>
      <c r="F82" s="103"/>
      <c r="G82" s="104"/>
    </row>
    <row r="83">
      <c r="A83" s="99" t="inlineStr">
        <is>
          <t xml:space="preserve">Gráfico 1 · série IN</t>
        </is>
      </c>
      <c r="B83" s="100"/>
      <c r="C83" s="101"/>
      <c r="D83" s="102" t="inlineStr">
        <is>
          <t xml:space="preserve">Recebidos (IN)</t>
        </is>
      </c>
      <c r="E83" s="103"/>
      <c r="F83" s="103"/>
      <c r="G83" s="104"/>
    </row>
    <row r="84">
      <c r="A84" s="99" t="inlineStr">
        <is>
          <t xml:space="preserve">Gráfico 1 · série OUT</t>
        </is>
      </c>
      <c r="B84" s="100"/>
      <c r="C84" s="101"/>
      <c r="D84" s="102" t="inlineStr">
        <is>
          <t xml:space="preserve">Expedidos (OUT)</t>
        </is>
      </c>
      <c r="E84" s="103"/>
      <c r="F84" s="103"/>
      <c r="G84" s="104"/>
    </row>
    <row r="85">
      <c r="A85" s="99" t="inlineStr">
        <is>
          <t xml:space="preserve">Gráfico ocupação · título</t>
        </is>
      </c>
      <c r="B85" s="100"/>
      <c r="C85" s="101"/>
      <c r="D85" s="102" t="inlineStr">
        <is>
          <t xml:space="preserve">OCUPAÇÃO DIÁRIA</t>
        </is>
      </c>
      <c r="E85" s="103"/>
      <c r="F85" s="103"/>
      <c r="G85" s="104"/>
    </row>
    <row r="86">
      <c r="A86" s="99" t="inlineStr">
        <is>
          <t xml:space="preserve">Gráfico ocupação · título (só ocupadas)</t>
        </is>
      </c>
      <c r="B86" s="100"/>
      <c r="C86" s="101"/>
      <c r="D86" s="102" t="inlineStr">
        <is>
          <t xml:space="preserve">POSIÇÕES OCUPADAS/DIA</t>
        </is>
      </c>
      <c r="E86" s="103"/>
      <c r="F86" s="103"/>
      <c r="G86" s="104"/>
    </row>
    <row r="87">
      <c r="A87" s="99" t="inlineStr">
        <is>
          <t xml:space="preserve">Gráfico ocupação · título (não se aplica)</t>
        </is>
      </c>
      <c r="B87" s="100"/>
      <c r="C87" s="101"/>
      <c r="D87" s="102" t="inlineStr">
        <is>
          <t xml:space="preserve">OCUPAÇÃO — NÃO SE APLICA</t>
        </is>
      </c>
      <c r="E87" s="103"/>
      <c r="F87" s="103"/>
      <c r="G87" s="104"/>
    </row>
    <row r="88">
      <c r="A88" s="99" t="inlineStr">
        <is>
          <t xml:space="preserve">Gráfico ocupação · série ocupada</t>
        </is>
      </c>
      <c r="B88" s="100"/>
      <c r="C88" s="101"/>
      <c r="D88" s="102" t="inlineStr">
        <is>
          <t xml:space="preserve">Ocupada (p.p)</t>
        </is>
      </c>
      <c r="E88" s="103"/>
      <c r="F88" s="103"/>
      <c r="G88" s="104"/>
    </row>
    <row r="89">
      <c r="A89" s="99" t="inlineStr">
        <is>
          <t xml:space="preserve">Gráfico ocupação · linha (cliente)</t>
        </is>
      </c>
      <c r="B89" s="100"/>
      <c r="C89" s="101"/>
      <c r="D89" s="102" t="inlineStr">
        <is>
          <t xml:space="preserve">Contratada (p.p)</t>
        </is>
      </c>
      <c r="E89" s="103"/>
      <c r="F89" s="103"/>
      <c r="G89" s="104"/>
    </row>
    <row r="90">
      <c r="A90" s="99" t="inlineStr">
        <is>
          <t xml:space="preserve">Gráfico ocupação · linha (Todos / depósito)</t>
        </is>
      </c>
      <c r="B90" s="100"/>
      <c r="C90" s="101"/>
      <c r="D90" s="102" t="inlineStr">
        <is>
          <t xml:space="preserve">Capacidade do armazém (p.p)</t>
        </is>
      </c>
      <c r="E90" s="103"/>
      <c r="F90" s="103"/>
      <c r="G90" s="104"/>
    </row>
    <row r="94" ht="22" customHeight="1">
      <c r="A94" s="87" t="inlineStr">
        <is>
          <t xml:space="preserve">4 · PARÂMETROS — capacidade do armazém (posições) e faixas da taxa de ocupação</t>
        </is>
      </c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</row>
    <row r="95">
      <c r="A95" s="96" t="inlineStr">
        <is>
          <t xml:space="preserve">Parâmetro</t>
        </is>
      </c>
      <c r="B95" s="98"/>
      <c r="C95" s="16" t="inlineStr">
        <is>
          <t xml:space="preserve">Valor</t>
        </is>
      </c>
    </row>
    <row r="96">
      <c r="A96" s="99" t="inlineStr">
        <is>
          <t xml:space="preserve">Capacidade do armazém JSL (posições)</t>
        </is>
      </c>
      <c r="B96" s="101"/>
      <c r="C96" s="91">
        <v>5872</v>
      </c>
    </row>
    <row r="97">
      <c r="A97" s="99" t="inlineStr">
        <is>
          <t xml:space="preserve">Ocupação · faixa de atenção (amarelo a partir de)</t>
        </is>
      </c>
      <c r="B97" s="101"/>
      <c r="C97" s="105">
        <v>0.7</v>
      </c>
    </row>
    <row r="98">
      <c r="A98" s="99" t="inlineStr">
        <is>
          <t xml:space="preserve">Ocupação · faixa alta (verde a partir de)</t>
        </is>
      </c>
      <c r="B98" s="101"/>
      <c r="C98" s="105">
        <v>0.9</v>
      </c>
    </row>
  </sheetData>
  <sheetProtection password="CC30" sheet="1" objects="1" scenarios="1"/>
  <mergeCells count="78">
    <mergeCell ref="A1:V1"/>
    <mergeCell ref="A2:V2"/>
    <mergeCell ref="A3:V3"/>
    <mergeCell ref="A4:V4"/>
    <mergeCell ref="A5:V5"/>
    <mergeCell ref="AF7:AL7"/>
    <mergeCell ref="A7:V7"/>
    <mergeCell ref="A33:V33"/>
    <mergeCell ref="A58:V58"/>
    <mergeCell ref="A59:C59"/>
    <mergeCell ref="D59:G59"/>
    <mergeCell ref="A60:C60"/>
    <mergeCell ref="D60:G60"/>
    <mergeCell ref="A61:C61"/>
    <mergeCell ref="D61:G61"/>
    <mergeCell ref="A62:C62"/>
    <mergeCell ref="D62:G62"/>
    <mergeCell ref="A63:C63"/>
    <mergeCell ref="D63:G63"/>
    <mergeCell ref="A64:C64"/>
    <mergeCell ref="D64:G64"/>
    <mergeCell ref="A65:C65"/>
    <mergeCell ref="D65:G65"/>
    <mergeCell ref="A66:C66"/>
    <mergeCell ref="D66:G66"/>
    <mergeCell ref="A67:C67"/>
    <mergeCell ref="D67:G67"/>
    <mergeCell ref="A68:C68"/>
    <mergeCell ref="D68:G68"/>
    <mergeCell ref="A69:C69"/>
    <mergeCell ref="D69:G69"/>
    <mergeCell ref="A70:C70"/>
    <mergeCell ref="D70:G70"/>
    <mergeCell ref="A71:C71"/>
    <mergeCell ref="D71:G71"/>
    <mergeCell ref="A72:C72"/>
    <mergeCell ref="D72:G72"/>
    <mergeCell ref="A73:C73"/>
    <mergeCell ref="D73:G73"/>
    <mergeCell ref="A74:C74"/>
    <mergeCell ref="D74:G74"/>
    <mergeCell ref="A75:C75"/>
    <mergeCell ref="D75:G75"/>
    <mergeCell ref="A76:C76"/>
    <mergeCell ref="D76:G76"/>
    <mergeCell ref="A77:C77"/>
    <mergeCell ref="D77:G77"/>
    <mergeCell ref="A78:C78"/>
    <mergeCell ref="D78:G78"/>
    <mergeCell ref="A79:C79"/>
    <mergeCell ref="D79:G79"/>
    <mergeCell ref="A80:C80"/>
    <mergeCell ref="D80:G80"/>
    <mergeCell ref="A81:C81"/>
    <mergeCell ref="D81:G81"/>
    <mergeCell ref="A82:C82"/>
    <mergeCell ref="D82:G82"/>
    <mergeCell ref="A83:C83"/>
    <mergeCell ref="D83:G83"/>
    <mergeCell ref="A84:C84"/>
    <mergeCell ref="D84:G84"/>
    <mergeCell ref="A85:C85"/>
    <mergeCell ref="D85:G85"/>
    <mergeCell ref="A86:C86"/>
    <mergeCell ref="D86:G86"/>
    <mergeCell ref="A87:C87"/>
    <mergeCell ref="D87:G87"/>
    <mergeCell ref="A88:C88"/>
    <mergeCell ref="D88:G88"/>
    <mergeCell ref="A89:C89"/>
    <mergeCell ref="D89:G89"/>
    <mergeCell ref="A90:C90"/>
    <mergeCell ref="D90:G90"/>
    <mergeCell ref="A94:V94"/>
    <mergeCell ref="A95:B95"/>
    <mergeCell ref="A96:B96"/>
    <mergeCell ref="A97:B97"/>
    <mergeCell ref="A98:B98"/>
  </mergeCells>
  <conditionalFormatting sqref="C10:V29">
    <cfRule type="expression" dxfId="5" priority="1" stopIfTrue="1">
      <formula>$B10=""</formula>
    </cfRule>
  </conditionalFormatting>
  <conditionalFormatting sqref="F9:F29">
    <cfRule type="expression" dxfId="3" priority="2">
      <formula>F9="Não se aplica"</formula>
    </cfRule>
  </conditionalFormatting>
  <conditionalFormatting sqref="J9:J29">
    <cfRule type="expression" dxfId="3" priority="3">
      <formula>J9="Não se aplica"</formula>
    </cfRule>
  </conditionalFormatting>
  <conditionalFormatting sqref="N9:N29">
    <cfRule type="expression" dxfId="3" priority="4">
      <formula>N9="Não se aplica"</formula>
    </cfRule>
  </conditionalFormatting>
  <conditionalFormatting sqref="N9:N29">
    <cfRule type="expression" dxfId="4" priority="5">
      <formula>N9="Só ocupadas"</formula>
    </cfRule>
  </conditionalFormatting>
  <conditionalFormatting sqref="D35:AC54">
    <cfRule type="expression" dxfId="5" priority="6" stopIfTrue="1">
      <formula>$B35=""</formula>
    </cfRule>
  </conditionalFormatting>
  <conditionalFormatting sqref="D35:AC54">
    <cfRule type="expression" dxfId="3" priority="7">
      <formula>D35="Não"</formula>
    </cfRule>
  </conditionalFormatting>
  <dataValidations count="19">
    <dataValidation type="custom" allowBlank="1" showInputMessage="1" showErrorMessage="1" promptTitle="Cliente" prompt="Nome igual ao usado na BD. Apague para liberar a vaga." errorTitle="Nome repetido" error="Este cliente já está cadastrado em outra vaga." sqref="B10:B29">
      <formula1>COUNTIF($B$9:$B$29,B10)=1</formula1>
    </dataValidation>
    <dataValidation type="list" allowBlank="1" showInputMessage="1" showErrorMessage="1" promptTitle="Depósito" prompt="JSL" errorTitle="Valor inválido" error="Escolha um valor da lista." sqref="C10:C29">
      <formula1>"JSL"</formula1>
    </dataValidation>
    <dataValidation type="list" allowBlank="1" showInputMessage="1" showErrorMessage="1" promptTitle="Modalidade" prompt="Contrato (informe as posições contratadas), Spot ou Cross. Vai para a BD automaticamente." errorTitle="Valor inválido" error="Escolha um valor da lista." sqref="D10:D29">
      <formula1>"Contrato,Spot,Cross"</formula1>
    </dataValidation>
    <dataValidation type="decimal" operator="greaterThanOrEqual" allowBlank="1" showInputMessage="1" showErrorMessage="1" promptTitle="Posições contratadas" prompt="Só para Contrato. Vira a coluna Posições Disponíveis da BD." errorTitle="Valor inválido" error="Use 0 ou um número maior." sqref="E10:E29">
      <formula1>0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G9:G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H9:H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I9:I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K9:K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L9:L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M9:M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O9:O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P9:P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S9:S29">
      <formula1>Config!$AF$9:$AF$26</formula1>
    </dataValidation>
    <dataValidation type="list" allowBlank="1" showInputMessage="1" showErrorMessage="1" promptTitle="Indicador" prompt="Escolha na lista (vazio = nada)." errorTitle="Valor inválido" error="Escolha um indicador da lista (catálogo à direita)." sqref="T9:T29">
      <formula1>Config!$AF$9:$AF$26</formula1>
    </dataValidation>
    <dataValidation type="list" allowBlank="1" showInputMessage="1" showErrorMessage="1" promptTitle="Card" prompt="Sim ou Não se aplica." errorTitle="Valor inválido" error="Escolha um valor da lista." sqref="F9:F29">
      <formula1>"Sim,Não se aplica"</formula1>
    </dataValidation>
    <dataValidation type="list" allowBlank="1" showInputMessage="1" showErrorMessage="1" promptTitle="Card" prompt="Sim ou Não se aplica." errorTitle="Valor inválido" error="Escolha um valor da lista." sqref="J9:J29">
      <formula1>"Sim,Não se aplica"</formula1>
    </dataValidation>
    <dataValidation type="list" allowBlank="1" showInputMessage="1" showErrorMessage="1" promptTitle="Card Ocupação" prompt="Completo, Só ocupadas (sem contratada e taxa) ou Não se aplica." errorTitle="Valor inválido" error="Escolha um valor da lista." sqref="N9:N29">
      <formula1>"Completo,Só ocupadas,Não se aplica"</formula1>
    </dataValidation>
    <dataValidation type="list" allowBlank="1" showInputMessage="1" showErrorMessage="1" promptTitle="Coluna na BD" prompt="Sim = o cliente preenche · Não = coluna bloqueada para o cliente." errorTitle="Valor inválido" error="Escolha um valor da lista." sqref="D35:AC54">
      <formula1>"Sim,Não"</formula1>
    </dataValidation>
    <dataValidation type="decimal" operator="greaterThanOrEqual" allowBlank="1" showInputMessage="0" showErrorMessage="1" errorTitle="Valor inválido" error="Use 0 ou um número maior." sqref="C96:C98">
      <formula1>0</formula1>
    </dataValidation>
  </dataValidations>
  <pageMargins left="0.25" right="0.25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V356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26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8" max="38" width="20" customWidth="1"/>
    <col min="40" max="40" width="22" customWidth="1"/>
    <col min="41" max="41" width="12" customWidth="1"/>
    <col min="43" max="43" width="52" customWidth="1"/>
    <col min="46" max="46" width="14" customWidth="1"/>
    <col min="48" max="48" width="20" customWidth="1"/>
  </cols>
  <sheetData>
    <row r="1">
      <c r="A1" s="37" t="inlineStr">
        <is>
          <t xml:space="preserve">CÁLCULOS — base da aba Consol Mensal (mês e filtro da própria aba) · gerado automaticamente</t>
        </is>
      </c>
    </row>
    <row r="2">
      <c r="A2" s="38" t="inlineStr">
        <is>
          <t xml:space="preserve">Cliente selecionado</t>
        </is>
      </c>
      <c r="B2" s="38" t="str">
        <f>IF(OR('Consol Mensal'!$D$3="",'Consol Mensal'!$D$3="Todos"),"Todos",'Consol Mensal'!$D$3)</f>
        <v>Todos</v>
      </c>
      <c r="C2" s="39">
        <f>IF(LEFT($B$2,9)="Depósito ",2,1)</f>
        <v>1</v>
      </c>
      <c r="D2" s="40" t="str">
        <f>IF($C$2=2,MID($B$2,10,60),$B$2)</f>
        <v>Todos</v>
      </c>
      <c r="E2" s="40" t="str">
        <f>IFERROR(INDEX($AO$12:$AO$32,MATCH($B$2,$AN$12:$AN$32,0)),"")</f>
        <v>JSL</v>
      </c>
    </row>
    <row r="3">
      <c r="A3" s="38" t="inlineStr">
        <is>
          <t xml:space="preserve">Capacidade (posições)</t>
        </is>
      </c>
      <c r="B3" s="41">
        <f>SUM($AU$13:$AU$13)</f>
        <v>5872</v>
      </c>
      <c r="C3" s="36" t="inlineStr">
        <is>
          <t xml:space="preserve">soma dos depósitos (tabela de capacidade à direita, células amarelas)</t>
        </is>
      </c>
    </row>
    <row r="4">
      <c r="A4" s="36" t="inlineStr">
        <is>
          <t xml:space="preserve">Capacidade (repetida p/ fórmulas)</t>
        </is>
      </c>
      <c r="B4" s="42">
        <f>$B$3</f>
        <v>5872</v>
      </c>
    </row>
    <row r="5">
      <c r="A5" s="38" t="inlineStr">
        <is>
          <t xml:space="preserve">Faixa de atenção (ocupação)</t>
        </is>
      </c>
      <c r="B5" s="43">
        <f>N(Config!$C$97)</f>
        <v>0.7</v>
      </c>
      <c r="C5" s="36" t="inlineStr">
        <is>
          <t xml:space="preserve">parâmetros na aba Config</t>
        </is>
      </c>
    </row>
    <row r="6">
      <c r="A6" s="38" t="inlineStr">
        <is>
          <t xml:space="preserve">Faixa crítica (ocupação)</t>
        </is>
      </c>
      <c r="B6" s="43">
        <f>N(Config!$C$98)</f>
        <v>0.9</v>
      </c>
    </row>
    <row r="7">
      <c r="A7" s="38" t="inlineStr">
        <is>
          <t xml:space="preserve">Competência</t>
        </is>
      </c>
      <c r="B7" s="45" t="str">
        <f>INDEX({"Janeiro","Fevereiro","Março","Abril","Maio","Junho","Julho","Agosto","Setembro","Outubro","Novembro","Dezembro"},MONTH($C$7))&amp;"/"&amp;YEAR($C$7)</f>
        <v>Outubro/2026</v>
      </c>
      <c r="C7" s="44">
        <f>IF(ISNUMBER('Consol Mensal'!$V$1),DATE(YEAR('Consol Mensal'!$V$1),MONTH('Consol Mensal'!$V$1),1),IFERROR(DATE(VALUE(RIGHT(TRIM('Consol Mensal'!$V$1),4)),MATCH(TRIM(LEFT('Consol Mensal'!$V$1,FIND("·",'Consol Mensal'!$V$1)-1)),{"JANEIRO","FEVEREIRO","MARÇO","ABRIL","MAIO","JUNHO","JULHO","AGOSTO","SETEMBRO","OUTUBRO","NOVEMBRO","DEZEMBRO"},0),1),DATE(2026,10,1)))</f>
        <v>46296</v>
      </c>
      <c r="D7" s="44">
        <f>DATE(YEAR($C$7),MONTH($C$7)+1,0)</f>
        <v>46326</v>
      </c>
    </row>
    <row r="8">
      <c r="A8" s="38" t="inlineStr">
        <is>
          <t xml:space="preserve">Mês anterior (comparação)</t>
        </is>
      </c>
      <c r="B8" s="45" t="str">
        <f>INDEX({"Janeiro","Fevereiro","Março","Abril","Maio","Junho","Julho","Agosto","Setembro","Outubro","Novembro","Dezembro"},MONTH($C$8))&amp;"/"&amp;YEAR($C$8)</f>
        <v>Setembro/2026</v>
      </c>
      <c r="C8" s="44">
        <f>DATE(YEAR($C$7),MONTH($C$7)-1,1)</f>
        <v>46266</v>
      </c>
      <c r="D8" s="44">
        <f>IF($B$9=0,$C$8-1,$C$8+MIN($B$9,DAY($C$7-1))-1)</f>
        <v>46265</v>
      </c>
    </row>
    <row r="9">
      <c r="A9" s="38" t="inlineStr">
        <is>
          <t xml:space="preserve">Último dia com dado no mês</t>
        </is>
      </c>
      <c r="B9" s="46">
        <f>IF(COUNTIFS(BD!$A$3:$A$5001,"&gt;="&amp;$C$7,BD!$A$3:$A$5001,"&lt;="&amp;$D$7)=0,0,DAY(_xlfn.MAXIFS(BD!$A$3:$A$5001,BD!$A$3:$A$5001,"&gt;="&amp;$C$7,BD!$A$3:$A$5001,"&lt;="&amp;$D$7)))</f>
        <v>0</v>
      </c>
      <c r="C9" s="36" t="inlineStr">
        <is>
          <t xml:space="preserve">o mês anterior é comparado do dia 1 até este dia</t>
        </is>
      </c>
    </row>
    <row r="10">
      <c r="AM10" s="48" t="inlineStr">
        <is>
          <t xml:space="preserve">clientes</t>
        </is>
      </c>
      <c r="AN10" s="49">
        <f>MAX(1,$AP$32)</f>
        <v>5</v>
      </c>
    </row>
    <row r="11" ht="40" customHeight="1">
      <c r="A11" s="47" t="inlineStr">
        <is>
          <t xml:space="preserve">Dia</t>
        </is>
      </c>
      <c r="B11" s="47" t="inlineStr">
        <is>
          <t xml:space="preserve">Data</t>
        </is>
      </c>
      <c r="C11" s="47" t="inlineStr">
        <is>
          <t xml:space="preserve">IN Veículos Recebidos</t>
        </is>
      </c>
      <c r="D11" s="47" t="inlineStr">
        <is>
          <t xml:space="preserve">IN Pallets Movimentados</t>
        </is>
      </c>
      <c r="E11" s="47" t="inlineStr">
        <is>
          <t xml:space="preserve">IN Toneladas Movimentadas</t>
        </is>
      </c>
      <c r="F11" s="47" t="inlineStr">
        <is>
          <t xml:space="preserve">IN Caixas Recebidas</t>
        </is>
      </c>
      <c r="G11" s="47" t="inlineStr">
        <is>
          <t xml:space="preserve">IN Bags Recebidos</t>
        </is>
      </c>
      <c r="H11" s="47" t="inlineStr">
        <is>
          <t xml:space="preserve">OUT Veículos Expedidos</t>
        </is>
      </c>
      <c r="I11" s="47" t="inlineStr">
        <is>
          <t xml:space="preserve">OUT Pallets Movimentados</t>
        </is>
      </c>
      <c r="J11" s="47" t="inlineStr">
        <is>
          <t xml:space="preserve">OUT Toneladas Movimentadas</t>
        </is>
      </c>
      <c r="K11" s="47" t="inlineStr">
        <is>
          <t xml:space="preserve">OUT Caixas Expedidas</t>
        </is>
      </c>
      <c r="L11" s="47" t="inlineStr">
        <is>
          <t xml:space="preserve">OUT Pedidos Faturados</t>
        </is>
      </c>
      <c r="M11" s="47" t="inlineStr">
        <is>
          <t xml:space="preserve">OUT Bags Expedidos</t>
        </is>
      </c>
      <c r="N11" s="47" t="inlineStr">
        <is>
          <t xml:space="preserve">NC Incidentes</t>
        </is>
      </c>
      <c r="O11" s="47" t="inlineStr">
        <is>
          <t xml:space="preserve">NC No show</t>
        </is>
      </c>
      <c r="P11" s="47" t="inlineStr">
        <is>
          <t xml:space="preserve">NC Backlog Intralog</t>
        </is>
      </c>
      <c r="Q11" s="47" t="inlineStr">
        <is>
          <t xml:space="preserve">NC Backlog Cliente</t>
        </is>
      </c>
      <c r="R11" s="47" t="inlineStr">
        <is>
          <t xml:space="preserve">OCUPAÇÃO (P.P) Posições Disponíveis</t>
        </is>
      </c>
      <c r="S11" s="47" t="inlineStr">
        <is>
          <t xml:space="preserve">OCUPAÇÃO (P.P) Posições Ocupadas</t>
        </is>
      </c>
      <c r="T11" s="47" t="inlineStr">
        <is>
          <t xml:space="preserve">OCUPAÇÃO (P.P) Taxa de Ocupação</t>
        </is>
      </c>
      <c r="U11" s="47" t="inlineStr">
        <is>
          <t xml:space="preserve">GENTE Efetivo Op.</t>
        </is>
      </c>
      <c r="V11" s="47" t="inlineStr">
        <is>
          <t xml:space="preserve">GENTE Falta</t>
        </is>
      </c>
      <c r="W11" s="47" t="inlineStr">
        <is>
          <t xml:space="preserve">GENTE Absenteísmo (H/H)</t>
        </is>
      </c>
      <c r="X11" s="47" t="inlineStr">
        <is>
          <t xml:space="preserve">GENTE Folga</t>
        </is>
      </c>
      <c r="Y11" s="47" t="inlineStr">
        <is>
          <t xml:space="preserve">GENTE Férias</t>
        </is>
      </c>
      <c r="Z11" s="47" t="inlineStr">
        <is>
          <t xml:space="preserve">GENTE Desligamento</t>
        </is>
      </c>
      <c r="AA11" s="47" t="inlineStr">
        <is>
          <t xml:space="preserve">GENTE Desvios Comportamentais</t>
        </is>
      </c>
      <c r="AB11" s="47" t="inlineStr">
        <is>
          <t xml:space="preserve">GENTE Acidentes CAF</t>
        </is>
      </c>
      <c r="AC11" s="47" t="inlineStr">
        <is>
          <t xml:space="preserve">GENTE Acidentes SAF</t>
        </is>
      </c>
      <c r="AD11" s="47" t="inlineStr">
        <is>
          <t xml:space="preserve">Faixa atenção</t>
        </is>
      </c>
      <c r="AE11" s="47" t="inlineStr">
        <is>
          <t xml:space="preserve">Faixa crítica</t>
        </is>
      </c>
      <c r="AL11" s="47" t="inlineStr">
        <is>
          <t xml:space="preserve">Meses (filtros das abas)</t>
        </is>
      </c>
      <c r="AN11" s="47" t="inlineStr">
        <is>
          <t xml:space="preserve">Filtro: depósito / cliente</t>
        </is>
      </c>
      <c r="AO11" s="47" t="inlineStr">
        <is>
          <t xml:space="preserve">Depósito</t>
        </is>
      </c>
      <c r="AP11" s="47" t="inlineStr">
        <is>
          <t xml:space="preserve">Nº (vagas)</t>
        </is>
      </c>
      <c r="AQ11" s="47" t="inlineStr">
        <is>
          <t xml:space="preserve">Títulos dos gráficos (seguem os filtros)</t>
        </is>
      </c>
    </row>
    <row r="12">
      <c r="A12" s="39">
        <v>1</v>
      </c>
      <c r="B12" s="57">
        <f>IF($A12&lt;=DAY($D$7),$C$7+$A12-1,"")</f>
        <v>46296</v>
      </c>
      <c r="C12" s="42">
        <f>IF($B12="","",IF($B$2="Todos",SUMIFS(BD!$C$3:$C$5001,BD!$A$3:$A$5001,$B12),SUMIFS(BD!$C$3:$C$5001,BD!$A$3:$A$5001,$B12,BD!$B$3:$B$5001,$D$2)))</f>
        <v>0</v>
      </c>
      <c r="D12" s="42">
        <f>IF($B12="","",IF($B$2="Todos",SUMIFS(BD!$D$3:$D$5001,BD!$A$3:$A$5001,$B12),SUMIFS(BD!$D$3:$D$5001,BD!$A$3:$A$5001,$B12,BD!$B$3:$B$5001,$D$2)))</f>
        <v>0</v>
      </c>
      <c r="E12" s="58">
        <f>IF($B12="","",IF($B$2="Todos",SUMIFS(BD!$E$3:$E$5001,BD!$A$3:$A$5001,$B12),SUMIFS(BD!$E$3:$E$5001,BD!$A$3:$A$5001,$B12,BD!$B$3:$B$5001,$D$2)))</f>
        <v>0</v>
      </c>
      <c r="F12" s="42">
        <f>IF($B12="","",IF($B$2="Todos",SUMIFS(BD!$F$3:$F$5001,BD!$A$3:$A$5001,$B12),SUMIFS(BD!$F$3:$F$5001,BD!$A$3:$A$5001,$B12,BD!$B$3:$B$5001,$D$2)))</f>
        <v>0</v>
      </c>
      <c r="G12" s="42">
        <f>IF($B12="","",IF($B$2="Todos",SUMIFS(BD!$G$3:$G$5001,BD!$A$3:$A$5001,$B12),SUMIFS(BD!$G$3:$G$5001,BD!$A$3:$A$5001,$B12,BD!$B$3:$B$5001,$D$2)))</f>
        <v>0</v>
      </c>
      <c r="H12" s="42">
        <f>IF($B12="","",IF($B$2="Todos",SUMIFS(BD!$H$3:$H$5001,BD!$A$3:$A$5001,$B12),SUMIFS(BD!$H$3:$H$5001,BD!$A$3:$A$5001,$B12,BD!$B$3:$B$5001,$D$2)))</f>
        <v>0</v>
      </c>
      <c r="I12" s="42">
        <f>IF($B12="","",IF($B$2="Todos",SUMIFS(BD!$I$3:$I$5001,BD!$A$3:$A$5001,$B12),SUMIFS(BD!$I$3:$I$5001,BD!$A$3:$A$5001,$B12,BD!$B$3:$B$5001,$D$2)))</f>
        <v>0</v>
      </c>
      <c r="J12" s="58">
        <f>IF($B12="","",IF($B$2="Todos",SUMIFS(BD!$J$3:$J$5001,BD!$A$3:$A$5001,$B12),SUMIFS(BD!$J$3:$J$5001,BD!$A$3:$A$5001,$B12,BD!$B$3:$B$5001,$D$2)))</f>
        <v>0</v>
      </c>
      <c r="K12" s="42">
        <f>IF($B12="","",IF($B$2="Todos",SUMIFS(BD!$K$3:$K$5001,BD!$A$3:$A$5001,$B12),SUMIFS(BD!$K$3:$K$5001,BD!$A$3:$A$5001,$B12,BD!$B$3:$B$5001,$D$2)))</f>
        <v>0</v>
      </c>
      <c r="L12" s="42">
        <f>IF($B12="","",IF($B$2="Todos",SUMIFS(BD!$L$3:$L$5001,BD!$A$3:$A$5001,$B12),SUMIFS(BD!$L$3:$L$5001,BD!$A$3:$A$5001,$B12,BD!$B$3:$B$5001,$D$2)))</f>
        <v>0</v>
      </c>
      <c r="M12" s="42">
        <f>IF($B12="","",IF($B$2="Todos",SUMIFS(BD!$M$3:$M$5001,BD!$A$3:$A$5001,$B12),SUMIFS(BD!$M$3:$M$5001,BD!$A$3:$A$5001,$B12,BD!$B$3:$B$5001,$D$2)))</f>
        <v>0</v>
      </c>
      <c r="N12" s="42">
        <f>IF($B12="","",IF($B$2="Todos",SUMIFS(BD!$N$3:$N$5001,BD!$A$3:$A$5001,$B12),SUMIFS(BD!$N$3:$N$5001,BD!$A$3:$A$5001,$B12,BD!$B$3:$B$5001,$D$2)))</f>
        <v>0</v>
      </c>
      <c r="O12" s="42">
        <f>IF($B12="","",IF($B$2="Todos",SUMIFS(BD!$O$3:$O$5001,BD!$A$3:$A$5001,$B12),SUMIFS(BD!$O$3:$O$5001,BD!$A$3:$A$5001,$B12,BD!$B$3:$B$5001,$D$2)))</f>
        <v>0</v>
      </c>
      <c r="P12" s="42" t="str">
        <f>IF($B$2="Todos",IF(COUNT($C$129:$V$129)=0,"",SUM($C$129:$V$129)),IFERROR(INDEX($C$129:$V$129,MATCH($D$2,$C$128:$V$128,0)),""))</f>
        <v/>
      </c>
      <c r="Q12" s="42" t="str">
        <f>IF($B$2="Todos",IF(COUNT($C$164:$V$164)=0,"",SUM($C$164:$V$164)),IFERROR(INDEX($C$164:$V$164,MATCH($D$2,$C$163:$V$163,0)),""))</f>
        <v/>
      </c>
      <c r="R12" s="59" t="str">
        <f>IF(S12="","",IF($B$2="Todos",IF($B$4&gt;0,$B$4,IF($B$2="Todos",IF(COUNT($C$234:$V$234)=0,"",SUM($C$234:$V$234)),IFERROR(INDEX($C$234:$V$234,MATCH($D$2,$C$233:$V$233,0)),""))),IFERROR(INDEX($C$234:$V$234,MATCH($D$2,$C$233:$V$233,0)),"")))</f>
        <v/>
      </c>
      <c r="S12" s="42" t="str">
        <f>IF($B$2="Todos",IF(COUNT($C$199:$V$199)=0,"",SUM($C$199:$V$199)),IFERROR(INDEX($C$199:$V$199,MATCH($D$2,$C$198:$V$198,0)),""))</f>
        <v/>
      </c>
      <c r="T12" s="60" t="str">
        <f>IF(AND(ISNUMBER(S12),ISNUMBER(R12)),IF(R12&gt;0,S12/R12,""),"")</f>
        <v/>
      </c>
      <c r="U12" s="42" t="str">
        <f>IF($B$2="Todos",IF(COUNT($C$269:$V$269)=0,"",SUM($C$269:$V$269)),IFERROR(INDEX($C$269:$V$269,MATCH($D$2,$C$268:$V$268,0)),""))</f>
        <v/>
      </c>
      <c r="V12" s="42">
        <f>IF($B12="","",IF($B$2="Todos",SUMIFS(BD!$U$3:$U$5001,BD!$A$3:$A$5001,$B12),SUMIFS(BD!$U$3:$U$5001,BD!$A$3:$A$5001,$B12,BD!$B$3:$B$5001,$D$2)))</f>
        <v>0</v>
      </c>
      <c r="W12" s="58">
        <f>IF($B12="","",IF($B$2="Todos",SUMIFS(BD!$V$3:$V$5001,BD!$A$3:$A$5001,$B12),SUMIFS(BD!$V$3:$V$5001,BD!$A$3:$A$5001,$B12,BD!$B$3:$B$5001,$D$2)))</f>
        <v>0</v>
      </c>
      <c r="X12" s="42">
        <f>IF($B12="","",IF($B$2="Todos",SUMIFS(BD!$W$3:$W$5001,BD!$A$3:$A$5001,$B12),SUMIFS(BD!$W$3:$W$5001,BD!$A$3:$A$5001,$B12,BD!$B$3:$B$5001,$D$2)))</f>
        <v>0</v>
      </c>
      <c r="Y12" s="42">
        <f>IF($B12="","",IF($B$2="Todos",SUMIFS(BD!$X$3:$X$5001,BD!$A$3:$A$5001,$B12),SUMIFS(BD!$X$3:$X$5001,BD!$A$3:$A$5001,$B12,BD!$B$3:$B$5001,$D$2)))</f>
        <v>0</v>
      </c>
      <c r="Z12" s="42">
        <f>IF($B12="","",IF($B$2="Todos",SUMIFS(BD!$Y$3:$Y$5001,BD!$A$3:$A$5001,$B12),SUMIFS(BD!$Y$3:$Y$5001,BD!$A$3:$A$5001,$B12,BD!$B$3:$B$5001,$D$2)))</f>
        <v>0</v>
      </c>
      <c r="AA12" s="42">
        <f>IF($B12="","",IF($B$2="Todos",SUMIFS(BD!$Z$3:$Z$5001,BD!$A$3:$A$5001,$B12),SUMIFS(BD!$Z$3:$Z$5001,BD!$A$3:$A$5001,$B12,BD!$B$3:$B$5001,$D$2)))</f>
        <v>0</v>
      </c>
      <c r="AB12" s="42">
        <f>IF($B12="","",IF($B$2="Todos",SUMIFS(BD!$AA$3:$AA$5001,BD!$A$3:$A$5001,$B12),SUMIFS(BD!$AA$3:$AA$5001,BD!$A$3:$A$5001,$B12,BD!$B$3:$B$5001,$D$2)))</f>
        <v>0</v>
      </c>
      <c r="AC12" s="42">
        <f>IF($B12="","",IF($B$2="Todos",SUMIFS(BD!$AB$3:$AB$5001,BD!$A$3:$A$5001,$B12),SUMIFS(BD!$AB$3:$AB$5001,BD!$A$3:$A$5001,$B12,BD!$B$3:$B$5001,$D$2)))</f>
        <v>0</v>
      </c>
      <c r="AD12" s="61">
        <f>$B$5</f>
        <v>0.7</v>
      </c>
      <c r="AE12" s="61">
        <f>$B$6</f>
        <v>0.9</v>
      </c>
      <c r="AL12" s="40" t="inlineStr">
        <is>
          <t xml:space="preserve">JANEIRO · 2026</t>
        </is>
      </c>
      <c r="AN12" s="40" t="inlineStr">
        <is>
          <t xml:space="preserve">Todos</t>
        </is>
      </c>
      <c r="AO12" s="39" t="inlineStr">
        <is>
          <t xml:space="preserve">JSL</t>
        </is>
      </c>
      <c r="AQ12" s="40" t="str">
        <f>"MOVIMENTAÇÃO FROTA/DIA — "&amp;IF($B$2="Todos","TODOS OS CLIENTES",UPPER($B$2))</f>
        <v>MOVIMENTAÇÃO FROTA/DIA — TODOS OS CLIENTES</v>
      </c>
      <c r="AT12" s="47" t="inlineStr">
        <is>
          <t xml:space="preserve">Capacidade por depósito</t>
        </is>
      </c>
      <c r="AU12" s="47" t="inlineStr">
        <is>
          <t xml:space="preserve">Posições</t>
        </is>
      </c>
    </row>
    <row r="13">
      <c r="A13" s="39">
        <v>2</v>
      </c>
      <c r="B13" s="57">
        <f>IF($A13&lt;=DAY($D$7),$C$7+$A13-1,"")</f>
        <v>46297</v>
      </c>
      <c r="C13" s="42">
        <f>IF($B13="","",IF($B$2="Todos",SUMIFS(BD!$C$3:$C$5001,BD!$A$3:$A$5001,$B13),SUMIFS(BD!$C$3:$C$5001,BD!$A$3:$A$5001,$B13,BD!$B$3:$B$5001,$D$2)))</f>
        <v>0</v>
      </c>
      <c r="D13" s="42">
        <f>IF($B13="","",IF($B$2="Todos",SUMIFS(BD!$D$3:$D$5001,BD!$A$3:$A$5001,$B13),SUMIFS(BD!$D$3:$D$5001,BD!$A$3:$A$5001,$B13,BD!$B$3:$B$5001,$D$2)))</f>
        <v>0</v>
      </c>
      <c r="E13" s="58">
        <f>IF($B13="","",IF($B$2="Todos",SUMIFS(BD!$E$3:$E$5001,BD!$A$3:$A$5001,$B13),SUMIFS(BD!$E$3:$E$5001,BD!$A$3:$A$5001,$B13,BD!$B$3:$B$5001,$D$2)))</f>
        <v>0</v>
      </c>
      <c r="F13" s="42">
        <f>IF($B13="","",IF($B$2="Todos",SUMIFS(BD!$F$3:$F$5001,BD!$A$3:$A$5001,$B13),SUMIFS(BD!$F$3:$F$5001,BD!$A$3:$A$5001,$B13,BD!$B$3:$B$5001,$D$2)))</f>
        <v>0</v>
      </c>
      <c r="G13" s="42">
        <f>IF($B13="","",IF($B$2="Todos",SUMIFS(BD!$G$3:$G$5001,BD!$A$3:$A$5001,$B13),SUMIFS(BD!$G$3:$G$5001,BD!$A$3:$A$5001,$B13,BD!$B$3:$B$5001,$D$2)))</f>
        <v>0</v>
      </c>
      <c r="H13" s="42">
        <f>IF($B13="","",IF($B$2="Todos",SUMIFS(BD!$H$3:$H$5001,BD!$A$3:$A$5001,$B13),SUMIFS(BD!$H$3:$H$5001,BD!$A$3:$A$5001,$B13,BD!$B$3:$B$5001,$D$2)))</f>
        <v>0</v>
      </c>
      <c r="I13" s="42">
        <f>IF($B13="","",IF($B$2="Todos",SUMIFS(BD!$I$3:$I$5001,BD!$A$3:$A$5001,$B13),SUMIFS(BD!$I$3:$I$5001,BD!$A$3:$A$5001,$B13,BD!$B$3:$B$5001,$D$2)))</f>
        <v>0</v>
      </c>
      <c r="J13" s="58">
        <f>IF($B13="","",IF($B$2="Todos",SUMIFS(BD!$J$3:$J$5001,BD!$A$3:$A$5001,$B13),SUMIFS(BD!$J$3:$J$5001,BD!$A$3:$A$5001,$B13,BD!$B$3:$B$5001,$D$2)))</f>
        <v>0</v>
      </c>
      <c r="K13" s="42">
        <f>IF($B13="","",IF($B$2="Todos",SUMIFS(BD!$K$3:$K$5001,BD!$A$3:$A$5001,$B13),SUMIFS(BD!$K$3:$K$5001,BD!$A$3:$A$5001,$B13,BD!$B$3:$B$5001,$D$2)))</f>
        <v>0</v>
      </c>
      <c r="L13" s="42">
        <f>IF($B13="","",IF($B$2="Todos",SUMIFS(BD!$L$3:$L$5001,BD!$A$3:$A$5001,$B13),SUMIFS(BD!$L$3:$L$5001,BD!$A$3:$A$5001,$B13,BD!$B$3:$B$5001,$D$2)))</f>
        <v>0</v>
      </c>
      <c r="M13" s="42">
        <f>IF($B13="","",IF($B$2="Todos",SUMIFS(BD!$M$3:$M$5001,BD!$A$3:$A$5001,$B13),SUMIFS(BD!$M$3:$M$5001,BD!$A$3:$A$5001,$B13,BD!$B$3:$B$5001,$D$2)))</f>
        <v>0</v>
      </c>
      <c r="N13" s="42">
        <f>IF($B13="","",IF($B$2="Todos",SUMIFS(BD!$N$3:$N$5001,BD!$A$3:$A$5001,$B13),SUMIFS(BD!$N$3:$N$5001,BD!$A$3:$A$5001,$B13,BD!$B$3:$B$5001,$D$2)))</f>
        <v>0</v>
      </c>
      <c r="O13" s="42">
        <f>IF($B13="","",IF($B$2="Todos",SUMIFS(BD!$O$3:$O$5001,BD!$A$3:$A$5001,$B13),SUMIFS(BD!$O$3:$O$5001,BD!$A$3:$A$5001,$B13,BD!$B$3:$B$5001,$D$2)))</f>
        <v>0</v>
      </c>
      <c r="P13" s="42" t="str">
        <f>IF($B$2="Todos",IF(COUNT($C$130:$V$130)=0,"",SUM($C$130:$V$130)),IFERROR(INDEX($C$130:$V$130,MATCH($D$2,$C$128:$V$128,0)),""))</f>
        <v/>
      </c>
      <c r="Q13" s="42" t="str">
        <f>IF($B$2="Todos",IF(COUNT($C$165:$V$165)=0,"",SUM($C$165:$V$165)),IFERROR(INDEX($C$165:$V$165,MATCH($D$2,$C$163:$V$163,0)),""))</f>
        <v/>
      </c>
      <c r="R13" s="59" t="str">
        <f>IF(S13="","",IF($B$2="Todos",IF($B$4&gt;0,$B$4,IF($B$2="Todos",IF(COUNT($C$235:$V$235)=0,"",SUM($C$235:$V$235)),IFERROR(INDEX($C$235:$V$235,MATCH($D$2,$C$233:$V$233,0)),""))),IFERROR(INDEX($C$235:$V$235,MATCH($D$2,$C$233:$V$233,0)),"")))</f>
        <v/>
      </c>
      <c r="S13" s="42" t="str">
        <f>IF($B$2="Todos",IF(COUNT($C$200:$V$200)=0,"",SUM($C$200:$V$200)),IFERROR(INDEX($C$200:$V$200,MATCH($D$2,$C$198:$V$198,0)),""))</f>
        <v/>
      </c>
      <c r="T13" s="60" t="str">
        <f>IF(AND(ISNUMBER(S13),ISNUMBER(R13)),IF(R13&gt;0,S13/R13,""),"")</f>
        <v/>
      </c>
      <c r="U13" s="42" t="str">
        <f>IF($B$2="Todos",IF(COUNT($C$270:$V$270)=0,"",SUM($C$270:$V$270)),IFERROR(INDEX($C$270:$V$270,MATCH($D$2,$C$268:$V$268,0)),""))</f>
        <v/>
      </c>
      <c r="V13" s="42">
        <f>IF($B13="","",IF($B$2="Todos",SUMIFS(BD!$U$3:$U$5001,BD!$A$3:$A$5001,$B13),SUMIFS(BD!$U$3:$U$5001,BD!$A$3:$A$5001,$B13,BD!$B$3:$B$5001,$D$2)))</f>
        <v>0</v>
      </c>
      <c r="W13" s="58">
        <f>IF($B13="","",IF($B$2="Todos",SUMIFS(BD!$V$3:$V$5001,BD!$A$3:$A$5001,$B13),SUMIFS(BD!$V$3:$V$5001,BD!$A$3:$A$5001,$B13,BD!$B$3:$B$5001,$D$2)))</f>
        <v>0</v>
      </c>
      <c r="X13" s="42">
        <f>IF($B13="","",IF($B$2="Todos",SUMIFS(BD!$W$3:$W$5001,BD!$A$3:$A$5001,$B13),SUMIFS(BD!$W$3:$W$5001,BD!$A$3:$A$5001,$B13,BD!$B$3:$B$5001,$D$2)))</f>
        <v>0</v>
      </c>
      <c r="Y13" s="42">
        <f>IF($B13="","",IF($B$2="Todos",SUMIFS(BD!$X$3:$X$5001,BD!$A$3:$A$5001,$B13),SUMIFS(BD!$X$3:$X$5001,BD!$A$3:$A$5001,$B13,BD!$B$3:$B$5001,$D$2)))</f>
        <v>0</v>
      </c>
      <c r="Z13" s="42">
        <f>IF($B13="","",IF($B$2="Todos",SUMIFS(BD!$Y$3:$Y$5001,BD!$A$3:$A$5001,$B13),SUMIFS(BD!$Y$3:$Y$5001,BD!$A$3:$A$5001,$B13,BD!$B$3:$B$5001,$D$2)))</f>
        <v>0</v>
      </c>
      <c r="AA13" s="42">
        <f>IF($B13="","",IF($B$2="Todos",SUMIFS(BD!$Z$3:$Z$5001,BD!$A$3:$A$5001,$B13),SUMIFS(BD!$Z$3:$Z$5001,BD!$A$3:$A$5001,$B13,BD!$B$3:$B$5001,$D$2)))</f>
        <v>0</v>
      </c>
      <c r="AB13" s="42">
        <f>IF($B13="","",IF($B$2="Todos",SUMIFS(BD!$AA$3:$AA$5001,BD!$A$3:$A$5001,$B13),SUMIFS(BD!$AA$3:$AA$5001,BD!$A$3:$A$5001,$B13,BD!$B$3:$B$5001,$D$2)))</f>
        <v>0</v>
      </c>
      <c r="AC13" s="42">
        <f>IF($B13="","",IF($B$2="Todos",SUMIFS(BD!$AB$3:$AB$5001,BD!$A$3:$A$5001,$B13),SUMIFS(BD!$AB$3:$AB$5001,BD!$A$3:$A$5001,$B13,BD!$B$3:$B$5001,$D$2)))</f>
        <v>0</v>
      </c>
      <c r="AD13" s="61">
        <f>$B$5</f>
        <v>0.7</v>
      </c>
      <c r="AE13" s="61">
        <f>$B$6</f>
        <v>0.9</v>
      </c>
      <c r="AL13" s="40" t="inlineStr">
        <is>
          <t xml:space="preserve">FEVEREIRO · 2026</t>
        </is>
      </c>
      <c r="AN13" s="40" t="str">
        <f>IFERROR(INDEX(Config!$B$10:$B$29,MATCH(1,$AP$13:$AP$32,0))&amp;"","")</f>
        <v>Barry Callebaut</v>
      </c>
      <c r="AO13" s="39" t="str">
        <f>IF(AN13="","",IF(INDEX(Config!$C$10:$C$29,MATCH(1,$AP$13:$AP$32,0))&amp;""="","JSL",INDEX(Config!$C$10:$C$29,MATCH(1,$AP$13:$AP$32,0))&amp;""))</f>
        <v>JSL</v>
      </c>
      <c r="AP13" s="48">
        <f>IF(Config!$B$10&amp;""="",0,0+1)</f>
        <v>1</v>
      </c>
      <c r="AQ13" s="40" t="str">
        <f>"OCUPAÇÃO DIÁRIA — "&amp;IF($B$2="Todos","TODOS OS CLIENTES",UPPER($B$2))</f>
        <v>OCUPAÇÃO DIÁRIA — TODOS OS CLIENTES</v>
      </c>
      <c r="AT13" s="50" t="inlineStr">
        <is>
          <t xml:space="preserve">JSL</t>
        </is>
      </c>
      <c r="AU13" s="51">
        <f>N(Config!$C$96)</f>
        <v>5872</v>
      </c>
      <c r="AV13" s="36" t="inlineStr">
        <is>
          <t xml:space="preserve">aba Config</t>
        </is>
      </c>
    </row>
    <row r="14">
      <c r="A14" s="39">
        <v>3</v>
      </c>
      <c r="B14" s="57">
        <f>IF($A14&lt;=DAY($D$7),$C$7+$A14-1,"")</f>
        <v>46298</v>
      </c>
      <c r="C14" s="42">
        <f>IF($B14="","",IF($B$2="Todos",SUMIFS(BD!$C$3:$C$5001,BD!$A$3:$A$5001,$B14),SUMIFS(BD!$C$3:$C$5001,BD!$A$3:$A$5001,$B14,BD!$B$3:$B$5001,$D$2)))</f>
        <v>0</v>
      </c>
      <c r="D14" s="42">
        <f>IF($B14="","",IF($B$2="Todos",SUMIFS(BD!$D$3:$D$5001,BD!$A$3:$A$5001,$B14),SUMIFS(BD!$D$3:$D$5001,BD!$A$3:$A$5001,$B14,BD!$B$3:$B$5001,$D$2)))</f>
        <v>0</v>
      </c>
      <c r="E14" s="58">
        <f>IF($B14="","",IF($B$2="Todos",SUMIFS(BD!$E$3:$E$5001,BD!$A$3:$A$5001,$B14),SUMIFS(BD!$E$3:$E$5001,BD!$A$3:$A$5001,$B14,BD!$B$3:$B$5001,$D$2)))</f>
        <v>0</v>
      </c>
      <c r="F14" s="42">
        <f>IF($B14="","",IF($B$2="Todos",SUMIFS(BD!$F$3:$F$5001,BD!$A$3:$A$5001,$B14),SUMIFS(BD!$F$3:$F$5001,BD!$A$3:$A$5001,$B14,BD!$B$3:$B$5001,$D$2)))</f>
        <v>0</v>
      </c>
      <c r="G14" s="42">
        <f>IF($B14="","",IF($B$2="Todos",SUMIFS(BD!$G$3:$G$5001,BD!$A$3:$A$5001,$B14),SUMIFS(BD!$G$3:$G$5001,BD!$A$3:$A$5001,$B14,BD!$B$3:$B$5001,$D$2)))</f>
        <v>0</v>
      </c>
      <c r="H14" s="42">
        <f>IF($B14="","",IF($B$2="Todos",SUMIFS(BD!$H$3:$H$5001,BD!$A$3:$A$5001,$B14),SUMIFS(BD!$H$3:$H$5001,BD!$A$3:$A$5001,$B14,BD!$B$3:$B$5001,$D$2)))</f>
        <v>0</v>
      </c>
      <c r="I14" s="42">
        <f>IF($B14="","",IF($B$2="Todos",SUMIFS(BD!$I$3:$I$5001,BD!$A$3:$A$5001,$B14),SUMIFS(BD!$I$3:$I$5001,BD!$A$3:$A$5001,$B14,BD!$B$3:$B$5001,$D$2)))</f>
        <v>0</v>
      </c>
      <c r="J14" s="58">
        <f>IF($B14="","",IF($B$2="Todos",SUMIFS(BD!$J$3:$J$5001,BD!$A$3:$A$5001,$B14),SUMIFS(BD!$J$3:$J$5001,BD!$A$3:$A$5001,$B14,BD!$B$3:$B$5001,$D$2)))</f>
        <v>0</v>
      </c>
      <c r="K14" s="42">
        <f>IF($B14="","",IF($B$2="Todos",SUMIFS(BD!$K$3:$K$5001,BD!$A$3:$A$5001,$B14),SUMIFS(BD!$K$3:$K$5001,BD!$A$3:$A$5001,$B14,BD!$B$3:$B$5001,$D$2)))</f>
        <v>0</v>
      </c>
      <c r="L14" s="42">
        <f>IF($B14="","",IF($B$2="Todos",SUMIFS(BD!$L$3:$L$5001,BD!$A$3:$A$5001,$B14),SUMIFS(BD!$L$3:$L$5001,BD!$A$3:$A$5001,$B14,BD!$B$3:$B$5001,$D$2)))</f>
        <v>0</v>
      </c>
      <c r="M14" s="42">
        <f>IF($B14="","",IF($B$2="Todos",SUMIFS(BD!$M$3:$M$5001,BD!$A$3:$A$5001,$B14),SUMIFS(BD!$M$3:$M$5001,BD!$A$3:$A$5001,$B14,BD!$B$3:$B$5001,$D$2)))</f>
        <v>0</v>
      </c>
      <c r="N14" s="42">
        <f>IF($B14="","",IF($B$2="Todos",SUMIFS(BD!$N$3:$N$5001,BD!$A$3:$A$5001,$B14),SUMIFS(BD!$N$3:$N$5001,BD!$A$3:$A$5001,$B14,BD!$B$3:$B$5001,$D$2)))</f>
        <v>0</v>
      </c>
      <c r="O14" s="42">
        <f>IF($B14="","",IF($B$2="Todos",SUMIFS(BD!$O$3:$O$5001,BD!$A$3:$A$5001,$B14),SUMIFS(BD!$O$3:$O$5001,BD!$A$3:$A$5001,$B14,BD!$B$3:$B$5001,$D$2)))</f>
        <v>0</v>
      </c>
      <c r="P14" s="42" t="str">
        <f>IF($B$2="Todos",IF(COUNT($C$131:$V$131)=0,"",SUM($C$131:$V$131)),IFERROR(INDEX($C$131:$V$131,MATCH($D$2,$C$128:$V$128,0)),""))</f>
        <v/>
      </c>
      <c r="Q14" s="42" t="str">
        <f>IF($B$2="Todos",IF(COUNT($C$166:$V$166)=0,"",SUM($C$166:$V$166)),IFERROR(INDEX($C$166:$V$166,MATCH($D$2,$C$163:$V$163,0)),""))</f>
        <v/>
      </c>
      <c r="R14" s="59" t="str">
        <f>IF(S14="","",IF($B$2="Todos",IF($B$4&gt;0,$B$4,IF($B$2="Todos",IF(COUNT($C$236:$V$236)=0,"",SUM($C$236:$V$236)),IFERROR(INDEX($C$236:$V$236,MATCH($D$2,$C$233:$V$233,0)),""))),IFERROR(INDEX($C$236:$V$236,MATCH($D$2,$C$233:$V$233,0)),"")))</f>
        <v/>
      </c>
      <c r="S14" s="42" t="str">
        <f>IF($B$2="Todos",IF(COUNT($C$201:$V$201)=0,"",SUM($C$201:$V$201)),IFERROR(INDEX($C$201:$V$201,MATCH($D$2,$C$198:$V$198,0)),""))</f>
        <v/>
      </c>
      <c r="T14" s="60" t="str">
        <f>IF(AND(ISNUMBER(S14),ISNUMBER(R14)),IF(R14&gt;0,S14/R14,""),"")</f>
        <v/>
      </c>
      <c r="U14" s="42" t="str">
        <f>IF($B$2="Todos",IF(COUNT($C$271:$V$271)=0,"",SUM($C$271:$V$271)),IFERROR(INDEX($C$271:$V$271,MATCH($D$2,$C$268:$V$268,0)),""))</f>
        <v/>
      </c>
      <c r="V14" s="42">
        <f>IF($B14="","",IF($B$2="Todos",SUMIFS(BD!$U$3:$U$5001,BD!$A$3:$A$5001,$B14),SUMIFS(BD!$U$3:$U$5001,BD!$A$3:$A$5001,$B14,BD!$B$3:$B$5001,$D$2)))</f>
        <v>0</v>
      </c>
      <c r="W14" s="58">
        <f>IF($B14="","",IF($B$2="Todos",SUMIFS(BD!$V$3:$V$5001,BD!$A$3:$A$5001,$B14),SUMIFS(BD!$V$3:$V$5001,BD!$A$3:$A$5001,$B14,BD!$B$3:$B$5001,$D$2)))</f>
        <v>0</v>
      </c>
      <c r="X14" s="42">
        <f>IF($B14="","",IF($B$2="Todos",SUMIFS(BD!$W$3:$W$5001,BD!$A$3:$A$5001,$B14),SUMIFS(BD!$W$3:$W$5001,BD!$A$3:$A$5001,$B14,BD!$B$3:$B$5001,$D$2)))</f>
        <v>0</v>
      </c>
      <c r="Y14" s="42">
        <f>IF($B14="","",IF($B$2="Todos",SUMIFS(BD!$X$3:$X$5001,BD!$A$3:$A$5001,$B14),SUMIFS(BD!$X$3:$X$5001,BD!$A$3:$A$5001,$B14,BD!$B$3:$B$5001,$D$2)))</f>
        <v>0</v>
      </c>
      <c r="Z14" s="42">
        <f>IF($B14="","",IF($B$2="Todos",SUMIFS(BD!$Y$3:$Y$5001,BD!$A$3:$A$5001,$B14),SUMIFS(BD!$Y$3:$Y$5001,BD!$A$3:$A$5001,$B14,BD!$B$3:$B$5001,$D$2)))</f>
        <v>0</v>
      </c>
      <c r="AA14" s="42">
        <f>IF($B14="","",IF($B$2="Todos",SUMIFS(BD!$Z$3:$Z$5001,BD!$A$3:$A$5001,$B14),SUMIFS(BD!$Z$3:$Z$5001,BD!$A$3:$A$5001,$B14,BD!$B$3:$B$5001,$D$2)))</f>
        <v>0</v>
      </c>
      <c r="AB14" s="42">
        <f>IF($B14="","",IF($B$2="Todos",SUMIFS(BD!$AA$3:$AA$5001,BD!$A$3:$A$5001,$B14),SUMIFS(BD!$AA$3:$AA$5001,BD!$A$3:$A$5001,$B14,BD!$B$3:$B$5001,$D$2)))</f>
        <v>0</v>
      </c>
      <c r="AC14" s="42">
        <f>IF($B14="","",IF($B$2="Todos",SUMIFS(BD!$AB$3:$AB$5001,BD!$A$3:$A$5001,$B14),SUMIFS(BD!$AB$3:$AB$5001,BD!$A$3:$A$5001,$B14,BD!$B$3:$B$5001,$D$2)))</f>
        <v>0</v>
      </c>
      <c r="AD14" s="61">
        <f>$B$5</f>
        <v>0.7</v>
      </c>
      <c r="AE14" s="61">
        <f>$B$6</f>
        <v>0.9</v>
      </c>
      <c r="AL14" s="40" t="inlineStr">
        <is>
          <t xml:space="preserve">MARÇO · 2026</t>
        </is>
      </c>
      <c r="AN14" s="40" t="str">
        <f>IFERROR(INDEX(Config!$B$10:$B$29,MATCH(2,$AP$13:$AP$32,0))&amp;"","")</f>
        <v>GM</v>
      </c>
      <c r="AO14" s="39" t="str">
        <f>IF(AN14="","",IF(INDEX(Config!$C$10:$C$29,MATCH(2,$AP$13:$AP$32,0))&amp;""="","JSL",INDEX(Config!$C$10:$C$29,MATCH(2,$AP$13:$AP$32,0))&amp;""))</f>
        <v>JSL</v>
      </c>
      <c r="AP14" s="48">
        <f>IF(Config!$B$11&amp;""="",AP13,AP13+1)</f>
        <v>2</v>
      </c>
      <c r="AQ14" s="40" t="str">
        <f>"MOVIMENTAÇÃO PALETES/DIA — "&amp;IF($B$2="Todos","TODOS OS CLIENTES",UPPER($B$2))</f>
        <v>MOVIMENTAÇÃO PALETES/DIA — TODOS OS CLIENTES</v>
      </c>
    </row>
    <row r="15">
      <c r="A15" s="39">
        <v>4</v>
      </c>
      <c r="B15" s="57">
        <f>IF($A15&lt;=DAY($D$7),$C$7+$A15-1,"")</f>
        <v>46299</v>
      </c>
      <c r="C15" s="42">
        <f>IF($B15="","",IF($B$2="Todos",SUMIFS(BD!$C$3:$C$5001,BD!$A$3:$A$5001,$B15),SUMIFS(BD!$C$3:$C$5001,BD!$A$3:$A$5001,$B15,BD!$B$3:$B$5001,$D$2)))</f>
        <v>0</v>
      </c>
      <c r="D15" s="42">
        <f>IF($B15="","",IF($B$2="Todos",SUMIFS(BD!$D$3:$D$5001,BD!$A$3:$A$5001,$B15),SUMIFS(BD!$D$3:$D$5001,BD!$A$3:$A$5001,$B15,BD!$B$3:$B$5001,$D$2)))</f>
        <v>0</v>
      </c>
      <c r="E15" s="58">
        <f>IF($B15="","",IF($B$2="Todos",SUMIFS(BD!$E$3:$E$5001,BD!$A$3:$A$5001,$B15),SUMIFS(BD!$E$3:$E$5001,BD!$A$3:$A$5001,$B15,BD!$B$3:$B$5001,$D$2)))</f>
        <v>0</v>
      </c>
      <c r="F15" s="42">
        <f>IF($B15="","",IF($B$2="Todos",SUMIFS(BD!$F$3:$F$5001,BD!$A$3:$A$5001,$B15),SUMIFS(BD!$F$3:$F$5001,BD!$A$3:$A$5001,$B15,BD!$B$3:$B$5001,$D$2)))</f>
        <v>0</v>
      </c>
      <c r="G15" s="42">
        <f>IF($B15="","",IF($B$2="Todos",SUMIFS(BD!$G$3:$G$5001,BD!$A$3:$A$5001,$B15),SUMIFS(BD!$G$3:$G$5001,BD!$A$3:$A$5001,$B15,BD!$B$3:$B$5001,$D$2)))</f>
        <v>0</v>
      </c>
      <c r="H15" s="42">
        <f>IF($B15="","",IF($B$2="Todos",SUMIFS(BD!$H$3:$H$5001,BD!$A$3:$A$5001,$B15),SUMIFS(BD!$H$3:$H$5001,BD!$A$3:$A$5001,$B15,BD!$B$3:$B$5001,$D$2)))</f>
        <v>0</v>
      </c>
      <c r="I15" s="42">
        <f>IF($B15="","",IF($B$2="Todos",SUMIFS(BD!$I$3:$I$5001,BD!$A$3:$A$5001,$B15),SUMIFS(BD!$I$3:$I$5001,BD!$A$3:$A$5001,$B15,BD!$B$3:$B$5001,$D$2)))</f>
        <v>0</v>
      </c>
      <c r="J15" s="58">
        <f>IF($B15="","",IF($B$2="Todos",SUMIFS(BD!$J$3:$J$5001,BD!$A$3:$A$5001,$B15),SUMIFS(BD!$J$3:$J$5001,BD!$A$3:$A$5001,$B15,BD!$B$3:$B$5001,$D$2)))</f>
        <v>0</v>
      </c>
      <c r="K15" s="42">
        <f>IF($B15="","",IF($B$2="Todos",SUMIFS(BD!$K$3:$K$5001,BD!$A$3:$A$5001,$B15),SUMIFS(BD!$K$3:$K$5001,BD!$A$3:$A$5001,$B15,BD!$B$3:$B$5001,$D$2)))</f>
        <v>0</v>
      </c>
      <c r="L15" s="42">
        <f>IF($B15="","",IF($B$2="Todos",SUMIFS(BD!$L$3:$L$5001,BD!$A$3:$A$5001,$B15),SUMIFS(BD!$L$3:$L$5001,BD!$A$3:$A$5001,$B15,BD!$B$3:$B$5001,$D$2)))</f>
        <v>0</v>
      </c>
      <c r="M15" s="42">
        <f>IF($B15="","",IF($B$2="Todos",SUMIFS(BD!$M$3:$M$5001,BD!$A$3:$A$5001,$B15),SUMIFS(BD!$M$3:$M$5001,BD!$A$3:$A$5001,$B15,BD!$B$3:$B$5001,$D$2)))</f>
        <v>0</v>
      </c>
      <c r="N15" s="42">
        <f>IF($B15="","",IF($B$2="Todos",SUMIFS(BD!$N$3:$N$5001,BD!$A$3:$A$5001,$B15),SUMIFS(BD!$N$3:$N$5001,BD!$A$3:$A$5001,$B15,BD!$B$3:$B$5001,$D$2)))</f>
        <v>0</v>
      </c>
      <c r="O15" s="42">
        <f>IF($B15="","",IF($B$2="Todos",SUMIFS(BD!$O$3:$O$5001,BD!$A$3:$A$5001,$B15),SUMIFS(BD!$O$3:$O$5001,BD!$A$3:$A$5001,$B15,BD!$B$3:$B$5001,$D$2)))</f>
        <v>0</v>
      </c>
      <c r="P15" s="42" t="str">
        <f>IF($B$2="Todos",IF(COUNT($C$132:$V$132)=0,"",SUM($C$132:$V$132)),IFERROR(INDEX($C$132:$V$132,MATCH($D$2,$C$128:$V$128,0)),""))</f>
        <v/>
      </c>
      <c r="Q15" s="42" t="str">
        <f>IF($B$2="Todos",IF(COUNT($C$167:$V$167)=0,"",SUM($C$167:$V$167)),IFERROR(INDEX($C$167:$V$167,MATCH($D$2,$C$163:$V$163,0)),""))</f>
        <v/>
      </c>
      <c r="R15" s="59" t="str">
        <f>IF(S15="","",IF($B$2="Todos",IF($B$4&gt;0,$B$4,IF($B$2="Todos",IF(COUNT($C$237:$V$237)=0,"",SUM($C$237:$V$237)),IFERROR(INDEX($C$237:$V$237,MATCH($D$2,$C$233:$V$233,0)),""))),IFERROR(INDEX($C$237:$V$237,MATCH($D$2,$C$233:$V$233,0)),"")))</f>
        <v/>
      </c>
      <c r="S15" s="42" t="str">
        <f>IF($B$2="Todos",IF(COUNT($C$202:$V$202)=0,"",SUM($C$202:$V$202)),IFERROR(INDEX($C$202:$V$202,MATCH($D$2,$C$198:$V$198,0)),""))</f>
        <v/>
      </c>
      <c r="T15" s="60" t="str">
        <f>IF(AND(ISNUMBER(S15),ISNUMBER(R15)),IF(R15&gt;0,S15/R15,""),"")</f>
        <v/>
      </c>
      <c r="U15" s="42" t="str">
        <f>IF($B$2="Todos",IF(COUNT($C$272:$V$272)=0,"",SUM($C$272:$V$272)),IFERROR(INDEX($C$272:$V$272,MATCH($D$2,$C$268:$V$268,0)),""))</f>
        <v/>
      </c>
      <c r="V15" s="42">
        <f>IF($B15="","",IF($B$2="Todos",SUMIFS(BD!$U$3:$U$5001,BD!$A$3:$A$5001,$B15),SUMIFS(BD!$U$3:$U$5001,BD!$A$3:$A$5001,$B15,BD!$B$3:$B$5001,$D$2)))</f>
        <v>0</v>
      </c>
      <c r="W15" s="58">
        <f>IF($B15="","",IF($B$2="Todos",SUMIFS(BD!$V$3:$V$5001,BD!$A$3:$A$5001,$B15),SUMIFS(BD!$V$3:$V$5001,BD!$A$3:$A$5001,$B15,BD!$B$3:$B$5001,$D$2)))</f>
        <v>0</v>
      </c>
      <c r="X15" s="42">
        <f>IF($B15="","",IF($B$2="Todos",SUMIFS(BD!$W$3:$W$5001,BD!$A$3:$A$5001,$B15),SUMIFS(BD!$W$3:$W$5001,BD!$A$3:$A$5001,$B15,BD!$B$3:$B$5001,$D$2)))</f>
        <v>0</v>
      </c>
      <c r="Y15" s="42">
        <f>IF($B15="","",IF($B$2="Todos",SUMIFS(BD!$X$3:$X$5001,BD!$A$3:$A$5001,$B15),SUMIFS(BD!$X$3:$X$5001,BD!$A$3:$A$5001,$B15,BD!$B$3:$B$5001,$D$2)))</f>
        <v>0</v>
      </c>
      <c r="Z15" s="42">
        <f>IF($B15="","",IF($B$2="Todos",SUMIFS(BD!$Y$3:$Y$5001,BD!$A$3:$A$5001,$B15),SUMIFS(BD!$Y$3:$Y$5001,BD!$A$3:$A$5001,$B15,BD!$B$3:$B$5001,$D$2)))</f>
        <v>0</v>
      </c>
      <c r="AA15" s="42">
        <f>IF($B15="","",IF($B$2="Todos",SUMIFS(BD!$Z$3:$Z$5001,BD!$A$3:$A$5001,$B15),SUMIFS(BD!$Z$3:$Z$5001,BD!$A$3:$A$5001,$B15,BD!$B$3:$B$5001,$D$2)))</f>
        <v>0</v>
      </c>
      <c r="AB15" s="42">
        <f>IF($B15="","",IF($B$2="Todos",SUMIFS(BD!$AA$3:$AA$5001,BD!$A$3:$A$5001,$B15),SUMIFS(BD!$AA$3:$AA$5001,BD!$A$3:$A$5001,$B15,BD!$B$3:$B$5001,$D$2)))</f>
        <v>0</v>
      </c>
      <c r="AC15" s="42">
        <f>IF($B15="","",IF($B$2="Todos",SUMIFS(BD!$AB$3:$AB$5001,BD!$A$3:$A$5001,$B15),SUMIFS(BD!$AB$3:$AB$5001,BD!$A$3:$A$5001,$B15,BD!$B$3:$B$5001,$D$2)))</f>
        <v>0</v>
      </c>
      <c r="AD15" s="61">
        <f>$B$5</f>
        <v>0.7</v>
      </c>
      <c r="AE15" s="61">
        <f>$B$6</f>
        <v>0.9</v>
      </c>
      <c r="AL15" s="40" t="inlineStr">
        <is>
          <t xml:space="preserve">ABRIL · 2026</t>
        </is>
      </c>
      <c r="AN15" s="40" t="str">
        <f>IFERROR(INDEX(Config!$B$10:$B$29,MATCH(3,$AP$13:$AP$32,0))&amp;"","")</f>
        <v>Mondelez</v>
      </c>
      <c r="AO15" s="39" t="str">
        <f>IF(AN15="","",IF(INDEX(Config!$C$10:$C$29,MATCH(3,$AP$13:$AP$32,0))&amp;""="","JSL",INDEX(Config!$C$10:$C$29,MATCH(3,$AP$13:$AP$32,0))&amp;""))</f>
        <v>JSL</v>
      </c>
      <c r="AP15" s="48">
        <f>IF(Config!$B$12&amp;""="",AP14,AP14+1)</f>
        <v>3</v>
      </c>
      <c r="AQ15" s="40" t="str">
        <f>"MOVIMENTAÇÃO TONS/DIA — "&amp;IF($B$2="Todos","TODOS OS CLIENTES",UPPER($B$2))</f>
        <v>MOVIMENTAÇÃO TONS/DIA — TODOS OS CLIENTES</v>
      </c>
    </row>
    <row r="16">
      <c r="A16" s="39">
        <v>5</v>
      </c>
      <c r="B16" s="57">
        <f>IF($A16&lt;=DAY($D$7),$C$7+$A16-1,"")</f>
        <v>46300</v>
      </c>
      <c r="C16" s="42">
        <f>IF($B16="","",IF($B$2="Todos",SUMIFS(BD!$C$3:$C$5001,BD!$A$3:$A$5001,$B16),SUMIFS(BD!$C$3:$C$5001,BD!$A$3:$A$5001,$B16,BD!$B$3:$B$5001,$D$2)))</f>
        <v>0</v>
      </c>
      <c r="D16" s="42">
        <f>IF($B16="","",IF($B$2="Todos",SUMIFS(BD!$D$3:$D$5001,BD!$A$3:$A$5001,$B16),SUMIFS(BD!$D$3:$D$5001,BD!$A$3:$A$5001,$B16,BD!$B$3:$B$5001,$D$2)))</f>
        <v>0</v>
      </c>
      <c r="E16" s="58">
        <f>IF($B16="","",IF($B$2="Todos",SUMIFS(BD!$E$3:$E$5001,BD!$A$3:$A$5001,$B16),SUMIFS(BD!$E$3:$E$5001,BD!$A$3:$A$5001,$B16,BD!$B$3:$B$5001,$D$2)))</f>
        <v>0</v>
      </c>
      <c r="F16" s="42">
        <f>IF($B16="","",IF($B$2="Todos",SUMIFS(BD!$F$3:$F$5001,BD!$A$3:$A$5001,$B16),SUMIFS(BD!$F$3:$F$5001,BD!$A$3:$A$5001,$B16,BD!$B$3:$B$5001,$D$2)))</f>
        <v>0</v>
      </c>
      <c r="G16" s="42">
        <f>IF($B16="","",IF($B$2="Todos",SUMIFS(BD!$G$3:$G$5001,BD!$A$3:$A$5001,$B16),SUMIFS(BD!$G$3:$G$5001,BD!$A$3:$A$5001,$B16,BD!$B$3:$B$5001,$D$2)))</f>
        <v>0</v>
      </c>
      <c r="H16" s="42">
        <f>IF($B16="","",IF($B$2="Todos",SUMIFS(BD!$H$3:$H$5001,BD!$A$3:$A$5001,$B16),SUMIFS(BD!$H$3:$H$5001,BD!$A$3:$A$5001,$B16,BD!$B$3:$B$5001,$D$2)))</f>
        <v>0</v>
      </c>
      <c r="I16" s="42">
        <f>IF($B16="","",IF($B$2="Todos",SUMIFS(BD!$I$3:$I$5001,BD!$A$3:$A$5001,$B16),SUMIFS(BD!$I$3:$I$5001,BD!$A$3:$A$5001,$B16,BD!$B$3:$B$5001,$D$2)))</f>
        <v>0</v>
      </c>
      <c r="J16" s="58">
        <f>IF($B16="","",IF($B$2="Todos",SUMIFS(BD!$J$3:$J$5001,BD!$A$3:$A$5001,$B16),SUMIFS(BD!$J$3:$J$5001,BD!$A$3:$A$5001,$B16,BD!$B$3:$B$5001,$D$2)))</f>
        <v>0</v>
      </c>
      <c r="K16" s="42">
        <f>IF($B16="","",IF($B$2="Todos",SUMIFS(BD!$K$3:$K$5001,BD!$A$3:$A$5001,$B16),SUMIFS(BD!$K$3:$K$5001,BD!$A$3:$A$5001,$B16,BD!$B$3:$B$5001,$D$2)))</f>
        <v>0</v>
      </c>
      <c r="L16" s="42">
        <f>IF($B16="","",IF($B$2="Todos",SUMIFS(BD!$L$3:$L$5001,BD!$A$3:$A$5001,$B16),SUMIFS(BD!$L$3:$L$5001,BD!$A$3:$A$5001,$B16,BD!$B$3:$B$5001,$D$2)))</f>
        <v>0</v>
      </c>
      <c r="M16" s="42">
        <f>IF($B16="","",IF($B$2="Todos",SUMIFS(BD!$M$3:$M$5001,BD!$A$3:$A$5001,$B16),SUMIFS(BD!$M$3:$M$5001,BD!$A$3:$A$5001,$B16,BD!$B$3:$B$5001,$D$2)))</f>
        <v>0</v>
      </c>
      <c r="N16" s="42">
        <f>IF($B16="","",IF($B$2="Todos",SUMIFS(BD!$N$3:$N$5001,BD!$A$3:$A$5001,$B16),SUMIFS(BD!$N$3:$N$5001,BD!$A$3:$A$5001,$B16,BD!$B$3:$B$5001,$D$2)))</f>
        <v>0</v>
      </c>
      <c r="O16" s="42">
        <f>IF($B16="","",IF($B$2="Todos",SUMIFS(BD!$O$3:$O$5001,BD!$A$3:$A$5001,$B16),SUMIFS(BD!$O$3:$O$5001,BD!$A$3:$A$5001,$B16,BD!$B$3:$B$5001,$D$2)))</f>
        <v>0</v>
      </c>
      <c r="P16" s="42" t="str">
        <f>IF($B$2="Todos",IF(COUNT($C$133:$V$133)=0,"",SUM($C$133:$V$133)),IFERROR(INDEX($C$133:$V$133,MATCH($D$2,$C$128:$V$128,0)),""))</f>
        <v/>
      </c>
      <c r="Q16" s="42" t="str">
        <f>IF($B$2="Todos",IF(COUNT($C$168:$V$168)=0,"",SUM($C$168:$V$168)),IFERROR(INDEX($C$168:$V$168,MATCH($D$2,$C$163:$V$163,0)),""))</f>
        <v/>
      </c>
      <c r="R16" s="59" t="str">
        <f>IF(S16="","",IF($B$2="Todos",IF($B$4&gt;0,$B$4,IF($B$2="Todos",IF(COUNT($C$238:$V$238)=0,"",SUM($C$238:$V$238)),IFERROR(INDEX($C$238:$V$238,MATCH($D$2,$C$233:$V$233,0)),""))),IFERROR(INDEX($C$238:$V$238,MATCH($D$2,$C$233:$V$233,0)),"")))</f>
        <v/>
      </c>
      <c r="S16" s="42" t="str">
        <f>IF($B$2="Todos",IF(COUNT($C$203:$V$203)=0,"",SUM($C$203:$V$203)),IFERROR(INDEX($C$203:$V$203,MATCH($D$2,$C$198:$V$198,0)),""))</f>
        <v/>
      </c>
      <c r="T16" s="60" t="str">
        <f>IF(AND(ISNUMBER(S16),ISNUMBER(R16)),IF(R16&gt;0,S16/R16,""),"")</f>
        <v/>
      </c>
      <c r="U16" s="42" t="str">
        <f>IF($B$2="Todos",IF(COUNT($C$273:$V$273)=0,"",SUM($C$273:$V$273)),IFERROR(INDEX($C$273:$V$273,MATCH($D$2,$C$268:$V$268,0)),""))</f>
        <v/>
      </c>
      <c r="V16" s="42">
        <f>IF($B16="","",IF($B$2="Todos",SUMIFS(BD!$U$3:$U$5001,BD!$A$3:$A$5001,$B16),SUMIFS(BD!$U$3:$U$5001,BD!$A$3:$A$5001,$B16,BD!$B$3:$B$5001,$D$2)))</f>
        <v>0</v>
      </c>
      <c r="W16" s="58">
        <f>IF($B16="","",IF($B$2="Todos",SUMIFS(BD!$V$3:$V$5001,BD!$A$3:$A$5001,$B16),SUMIFS(BD!$V$3:$V$5001,BD!$A$3:$A$5001,$B16,BD!$B$3:$B$5001,$D$2)))</f>
        <v>0</v>
      </c>
      <c r="X16" s="42">
        <f>IF($B16="","",IF($B$2="Todos",SUMIFS(BD!$W$3:$W$5001,BD!$A$3:$A$5001,$B16),SUMIFS(BD!$W$3:$W$5001,BD!$A$3:$A$5001,$B16,BD!$B$3:$B$5001,$D$2)))</f>
        <v>0</v>
      </c>
      <c r="Y16" s="42">
        <f>IF($B16="","",IF($B$2="Todos",SUMIFS(BD!$X$3:$X$5001,BD!$A$3:$A$5001,$B16),SUMIFS(BD!$X$3:$X$5001,BD!$A$3:$A$5001,$B16,BD!$B$3:$B$5001,$D$2)))</f>
        <v>0</v>
      </c>
      <c r="Z16" s="42">
        <f>IF($B16="","",IF($B$2="Todos",SUMIFS(BD!$Y$3:$Y$5001,BD!$A$3:$A$5001,$B16),SUMIFS(BD!$Y$3:$Y$5001,BD!$A$3:$A$5001,$B16,BD!$B$3:$B$5001,$D$2)))</f>
        <v>0</v>
      </c>
      <c r="AA16" s="42">
        <f>IF($B16="","",IF($B$2="Todos",SUMIFS(BD!$Z$3:$Z$5001,BD!$A$3:$A$5001,$B16),SUMIFS(BD!$Z$3:$Z$5001,BD!$A$3:$A$5001,$B16,BD!$B$3:$B$5001,$D$2)))</f>
        <v>0</v>
      </c>
      <c r="AB16" s="42">
        <f>IF($B16="","",IF($B$2="Todos",SUMIFS(BD!$AA$3:$AA$5001,BD!$A$3:$A$5001,$B16),SUMIFS(BD!$AA$3:$AA$5001,BD!$A$3:$A$5001,$B16,BD!$B$3:$B$5001,$D$2)))</f>
        <v>0</v>
      </c>
      <c r="AC16" s="42">
        <f>IF($B16="","",IF($B$2="Todos",SUMIFS(BD!$AB$3:$AB$5001,BD!$A$3:$A$5001,$B16),SUMIFS(BD!$AB$3:$AB$5001,BD!$A$3:$A$5001,$B16,BD!$B$3:$B$5001,$D$2)))</f>
        <v>0</v>
      </c>
      <c r="AD16" s="61">
        <f>$B$5</f>
        <v>0.7</v>
      </c>
      <c r="AE16" s="61">
        <f>$B$6</f>
        <v>0.9</v>
      </c>
      <c r="AL16" s="40" t="inlineStr">
        <is>
          <t xml:space="preserve">MAIO · 2026</t>
        </is>
      </c>
      <c r="AN16" s="40" t="str">
        <f>IFERROR(INDEX(Config!$B$10:$B$29,MATCH(4,$AP$13:$AP$32,0))&amp;"","")</f>
        <v>Nestlé</v>
      </c>
      <c r="AO16" s="39" t="str">
        <f>IF(AN16="","",IF(INDEX(Config!$C$10:$C$29,MATCH(4,$AP$13:$AP$32,0))&amp;""="","JSL",INDEX(Config!$C$10:$C$29,MATCH(4,$AP$13:$AP$32,0))&amp;""))</f>
        <v>JSL</v>
      </c>
      <c r="AP16" s="48">
        <f>IF(Config!$B$13&amp;""="",AP15,AP15+1)</f>
        <v>4</v>
      </c>
      <c r="AQ16" s="40" t="str">
        <f>"ACUMULADO SEMANAL PALETES — "&amp;IF($B$2="Todos","TODOS OS CLIENTES",UPPER($B$2))</f>
        <v>ACUMULADO SEMANAL PALETES — TODOS OS CLIENTES</v>
      </c>
    </row>
    <row r="17">
      <c r="A17" s="39">
        <v>6</v>
      </c>
      <c r="B17" s="57">
        <f>IF($A17&lt;=DAY($D$7),$C$7+$A17-1,"")</f>
        <v>46301</v>
      </c>
      <c r="C17" s="42">
        <f>IF($B17="","",IF($B$2="Todos",SUMIFS(BD!$C$3:$C$5001,BD!$A$3:$A$5001,$B17),SUMIFS(BD!$C$3:$C$5001,BD!$A$3:$A$5001,$B17,BD!$B$3:$B$5001,$D$2)))</f>
        <v>0</v>
      </c>
      <c r="D17" s="42">
        <f>IF($B17="","",IF($B$2="Todos",SUMIFS(BD!$D$3:$D$5001,BD!$A$3:$A$5001,$B17),SUMIFS(BD!$D$3:$D$5001,BD!$A$3:$A$5001,$B17,BD!$B$3:$B$5001,$D$2)))</f>
        <v>0</v>
      </c>
      <c r="E17" s="58">
        <f>IF($B17="","",IF($B$2="Todos",SUMIFS(BD!$E$3:$E$5001,BD!$A$3:$A$5001,$B17),SUMIFS(BD!$E$3:$E$5001,BD!$A$3:$A$5001,$B17,BD!$B$3:$B$5001,$D$2)))</f>
        <v>0</v>
      </c>
      <c r="F17" s="42">
        <f>IF($B17="","",IF($B$2="Todos",SUMIFS(BD!$F$3:$F$5001,BD!$A$3:$A$5001,$B17),SUMIFS(BD!$F$3:$F$5001,BD!$A$3:$A$5001,$B17,BD!$B$3:$B$5001,$D$2)))</f>
        <v>0</v>
      </c>
      <c r="G17" s="42">
        <f>IF($B17="","",IF($B$2="Todos",SUMIFS(BD!$G$3:$G$5001,BD!$A$3:$A$5001,$B17),SUMIFS(BD!$G$3:$G$5001,BD!$A$3:$A$5001,$B17,BD!$B$3:$B$5001,$D$2)))</f>
        <v>0</v>
      </c>
      <c r="H17" s="42">
        <f>IF($B17="","",IF($B$2="Todos",SUMIFS(BD!$H$3:$H$5001,BD!$A$3:$A$5001,$B17),SUMIFS(BD!$H$3:$H$5001,BD!$A$3:$A$5001,$B17,BD!$B$3:$B$5001,$D$2)))</f>
        <v>0</v>
      </c>
      <c r="I17" s="42">
        <f>IF($B17="","",IF($B$2="Todos",SUMIFS(BD!$I$3:$I$5001,BD!$A$3:$A$5001,$B17),SUMIFS(BD!$I$3:$I$5001,BD!$A$3:$A$5001,$B17,BD!$B$3:$B$5001,$D$2)))</f>
        <v>0</v>
      </c>
      <c r="J17" s="58">
        <f>IF($B17="","",IF($B$2="Todos",SUMIFS(BD!$J$3:$J$5001,BD!$A$3:$A$5001,$B17),SUMIFS(BD!$J$3:$J$5001,BD!$A$3:$A$5001,$B17,BD!$B$3:$B$5001,$D$2)))</f>
        <v>0</v>
      </c>
      <c r="K17" s="42">
        <f>IF($B17="","",IF($B$2="Todos",SUMIFS(BD!$K$3:$K$5001,BD!$A$3:$A$5001,$B17),SUMIFS(BD!$K$3:$K$5001,BD!$A$3:$A$5001,$B17,BD!$B$3:$B$5001,$D$2)))</f>
        <v>0</v>
      </c>
      <c r="L17" s="42">
        <f>IF($B17="","",IF($B$2="Todos",SUMIFS(BD!$L$3:$L$5001,BD!$A$3:$A$5001,$B17),SUMIFS(BD!$L$3:$L$5001,BD!$A$3:$A$5001,$B17,BD!$B$3:$B$5001,$D$2)))</f>
        <v>0</v>
      </c>
      <c r="M17" s="42">
        <f>IF($B17="","",IF($B$2="Todos",SUMIFS(BD!$M$3:$M$5001,BD!$A$3:$A$5001,$B17),SUMIFS(BD!$M$3:$M$5001,BD!$A$3:$A$5001,$B17,BD!$B$3:$B$5001,$D$2)))</f>
        <v>0</v>
      </c>
      <c r="N17" s="42">
        <f>IF($B17="","",IF($B$2="Todos",SUMIFS(BD!$N$3:$N$5001,BD!$A$3:$A$5001,$B17),SUMIFS(BD!$N$3:$N$5001,BD!$A$3:$A$5001,$B17,BD!$B$3:$B$5001,$D$2)))</f>
        <v>0</v>
      </c>
      <c r="O17" s="42">
        <f>IF($B17="","",IF($B$2="Todos",SUMIFS(BD!$O$3:$O$5001,BD!$A$3:$A$5001,$B17),SUMIFS(BD!$O$3:$O$5001,BD!$A$3:$A$5001,$B17,BD!$B$3:$B$5001,$D$2)))</f>
        <v>0</v>
      </c>
      <c r="P17" s="42" t="str">
        <f>IF($B$2="Todos",IF(COUNT($C$134:$V$134)=0,"",SUM($C$134:$V$134)),IFERROR(INDEX($C$134:$V$134,MATCH($D$2,$C$128:$V$128,0)),""))</f>
        <v/>
      </c>
      <c r="Q17" s="42" t="str">
        <f>IF($B$2="Todos",IF(COUNT($C$169:$V$169)=0,"",SUM($C$169:$V$169)),IFERROR(INDEX($C$169:$V$169,MATCH($D$2,$C$163:$V$163,0)),""))</f>
        <v/>
      </c>
      <c r="R17" s="59" t="str">
        <f>IF(S17="","",IF($B$2="Todos",IF($B$4&gt;0,$B$4,IF($B$2="Todos",IF(COUNT($C$239:$V$239)=0,"",SUM($C$239:$V$239)),IFERROR(INDEX($C$239:$V$239,MATCH($D$2,$C$233:$V$233,0)),""))),IFERROR(INDEX($C$239:$V$239,MATCH($D$2,$C$233:$V$233,0)),"")))</f>
        <v/>
      </c>
      <c r="S17" s="42" t="str">
        <f>IF($B$2="Todos",IF(COUNT($C$204:$V$204)=0,"",SUM($C$204:$V$204)),IFERROR(INDEX($C$204:$V$204,MATCH($D$2,$C$198:$V$198,0)),""))</f>
        <v/>
      </c>
      <c r="T17" s="60" t="str">
        <f>IF(AND(ISNUMBER(S17),ISNUMBER(R17)),IF(R17&gt;0,S17/R17,""),"")</f>
        <v/>
      </c>
      <c r="U17" s="42" t="str">
        <f>IF($B$2="Todos",IF(COUNT($C$274:$V$274)=0,"",SUM($C$274:$V$274)),IFERROR(INDEX($C$274:$V$274,MATCH($D$2,$C$268:$V$268,0)),""))</f>
        <v/>
      </c>
      <c r="V17" s="42">
        <f>IF($B17="","",IF($B$2="Todos",SUMIFS(BD!$U$3:$U$5001,BD!$A$3:$A$5001,$B17),SUMIFS(BD!$U$3:$U$5001,BD!$A$3:$A$5001,$B17,BD!$B$3:$B$5001,$D$2)))</f>
        <v>0</v>
      </c>
      <c r="W17" s="58">
        <f>IF($B17="","",IF($B$2="Todos",SUMIFS(BD!$V$3:$V$5001,BD!$A$3:$A$5001,$B17),SUMIFS(BD!$V$3:$V$5001,BD!$A$3:$A$5001,$B17,BD!$B$3:$B$5001,$D$2)))</f>
        <v>0</v>
      </c>
      <c r="X17" s="42">
        <f>IF($B17="","",IF($B$2="Todos",SUMIFS(BD!$W$3:$W$5001,BD!$A$3:$A$5001,$B17),SUMIFS(BD!$W$3:$W$5001,BD!$A$3:$A$5001,$B17,BD!$B$3:$B$5001,$D$2)))</f>
        <v>0</v>
      </c>
      <c r="Y17" s="42">
        <f>IF($B17="","",IF($B$2="Todos",SUMIFS(BD!$X$3:$X$5001,BD!$A$3:$A$5001,$B17),SUMIFS(BD!$X$3:$X$5001,BD!$A$3:$A$5001,$B17,BD!$B$3:$B$5001,$D$2)))</f>
        <v>0</v>
      </c>
      <c r="Z17" s="42">
        <f>IF($B17="","",IF($B$2="Todos",SUMIFS(BD!$Y$3:$Y$5001,BD!$A$3:$A$5001,$B17),SUMIFS(BD!$Y$3:$Y$5001,BD!$A$3:$A$5001,$B17,BD!$B$3:$B$5001,$D$2)))</f>
        <v>0</v>
      </c>
      <c r="AA17" s="42">
        <f>IF($B17="","",IF($B$2="Todos",SUMIFS(BD!$Z$3:$Z$5001,BD!$A$3:$A$5001,$B17),SUMIFS(BD!$Z$3:$Z$5001,BD!$A$3:$A$5001,$B17,BD!$B$3:$B$5001,$D$2)))</f>
        <v>0</v>
      </c>
      <c r="AB17" s="42">
        <f>IF($B17="","",IF($B$2="Todos",SUMIFS(BD!$AA$3:$AA$5001,BD!$A$3:$A$5001,$B17),SUMIFS(BD!$AA$3:$AA$5001,BD!$A$3:$A$5001,$B17,BD!$B$3:$B$5001,$D$2)))</f>
        <v>0</v>
      </c>
      <c r="AC17" s="42">
        <f>IF($B17="","",IF($B$2="Todos",SUMIFS(BD!$AB$3:$AB$5001,BD!$A$3:$A$5001,$B17),SUMIFS(BD!$AB$3:$AB$5001,BD!$A$3:$A$5001,$B17,BD!$B$3:$B$5001,$D$2)))</f>
        <v>0</v>
      </c>
      <c r="AD17" s="61">
        <f>$B$5</f>
        <v>0.7</v>
      </c>
      <c r="AE17" s="61">
        <f>$B$6</f>
        <v>0.9</v>
      </c>
      <c r="AL17" s="40" t="inlineStr">
        <is>
          <t xml:space="preserve">JUNHO · 2026</t>
        </is>
      </c>
      <c r="AN17" s="40" t="str">
        <f>IFERROR(INDEX(Config!$B$10:$B$29,MATCH(5,$AP$13:$AP$32,0))&amp;"","")</f>
        <v>PMB</v>
      </c>
      <c r="AO17" s="39" t="str">
        <f>IF(AN17="","",IF(INDEX(Config!$C$10:$C$29,MATCH(5,$AP$13:$AP$32,0))&amp;""="","JSL",INDEX(Config!$C$10:$C$29,MATCH(5,$AP$13:$AP$32,0))&amp;""))</f>
        <v>JSL</v>
      </c>
      <c r="AP17" s="48">
        <f>IF(Config!$B$14&amp;""="",AP16,AP16+1)</f>
        <v>5</v>
      </c>
      <c r="AQ17" s="40" t="str">
        <f>"ACUMULADO SEMANAL TONS — "&amp;IF($B$2="Todos","TODOS OS CLIENTES",UPPER($B$2))</f>
        <v>ACUMULADO SEMANAL TONS — TODOS OS CLIENTES</v>
      </c>
    </row>
    <row r="18">
      <c r="A18" s="39">
        <v>7</v>
      </c>
      <c r="B18" s="57">
        <f>IF($A18&lt;=DAY($D$7),$C$7+$A18-1,"")</f>
        <v>46302</v>
      </c>
      <c r="C18" s="42">
        <f>IF($B18="","",IF($B$2="Todos",SUMIFS(BD!$C$3:$C$5001,BD!$A$3:$A$5001,$B18),SUMIFS(BD!$C$3:$C$5001,BD!$A$3:$A$5001,$B18,BD!$B$3:$B$5001,$D$2)))</f>
        <v>0</v>
      </c>
      <c r="D18" s="42">
        <f>IF($B18="","",IF($B$2="Todos",SUMIFS(BD!$D$3:$D$5001,BD!$A$3:$A$5001,$B18),SUMIFS(BD!$D$3:$D$5001,BD!$A$3:$A$5001,$B18,BD!$B$3:$B$5001,$D$2)))</f>
        <v>0</v>
      </c>
      <c r="E18" s="58">
        <f>IF($B18="","",IF($B$2="Todos",SUMIFS(BD!$E$3:$E$5001,BD!$A$3:$A$5001,$B18),SUMIFS(BD!$E$3:$E$5001,BD!$A$3:$A$5001,$B18,BD!$B$3:$B$5001,$D$2)))</f>
        <v>0</v>
      </c>
      <c r="F18" s="42">
        <f>IF($B18="","",IF($B$2="Todos",SUMIFS(BD!$F$3:$F$5001,BD!$A$3:$A$5001,$B18),SUMIFS(BD!$F$3:$F$5001,BD!$A$3:$A$5001,$B18,BD!$B$3:$B$5001,$D$2)))</f>
        <v>0</v>
      </c>
      <c r="G18" s="42">
        <f>IF($B18="","",IF($B$2="Todos",SUMIFS(BD!$G$3:$G$5001,BD!$A$3:$A$5001,$B18),SUMIFS(BD!$G$3:$G$5001,BD!$A$3:$A$5001,$B18,BD!$B$3:$B$5001,$D$2)))</f>
        <v>0</v>
      </c>
      <c r="H18" s="42">
        <f>IF($B18="","",IF($B$2="Todos",SUMIFS(BD!$H$3:$H$5001,BD!$A$3:$A$5001,$B18),SUMIFS(BD!$H$3:$H$5001,BD!$A$3:$A$5001,$B18,BD!$B$3:$B$5001,$D$2)))</f>
        <v>0</v>
      </c>
      <c r="I18" s="42">
        <f>IF($B18="","",IF($B$2="Todos",SUMIFS(BD!$I$3:$I$5001,BD!$A$3:$A$5001,$B18),SUMIFS(BD!$I$3:$I$5001,BD!$A$3:$A$5001,$B18,BD!$B$3:$B$5001,$D$2)))</f>
        <v>0</v>
      </c>
      <c r="J18" s="58">
        <f>IF($B18="","",IF($B$2="Todos",SUMIFS(BD!$J$3:$J$5001,BD!$A$3:$A$5001,$B18),SUMIFS(BD!$J$3:$J$5001,BD!$A$3:$A$5001,$B18,BD!$B$3:$B$5001,$D$2)))</f>
        <v>0</v>
      </c>
      <c r="K18" s="42">
        <f>IF($B18="","",IF($B$2="Todos",SUMIFS(BD!$K$3:$K$5001,BD!$A$3:$A$5001,$B18),SUMIFS(BD!$K$3:$K$5001,BD!$A$3:$A$5001,$B18,BD!$B$3:$B$5001,$D$2)))</f>
        <v>0</v>
      </c>
      <c r="L18" s="42">
        <f>IF($B18="","",IF($B$2="Todos",SUMIFS(BD!$L$3:$L$5001,BD!$A$3:$A$5001,$B18),SUMIFS(BD!$L$3:$L$5001,BD!$A$3:$A$5001,$B18,BD!$B$3:$B$5001,$D$2)))</f>
        <v>0</v>
      </c>
      <c r="M18" s="42">
        <f>IF($B18="","",IF($B$2="Todos",SUMIFS(BD!$M$3:$M$5001,BD!$A$3:$A$5001,$B18),SUMIFS(BD!$M$3:$M$5001,BD!$A$3:$A$5001,$B18,BD!$B$3:$B$5001,$D$2)))</f>
        <v>0</v>
      </c>
      <c r="N18" s="42">
        <f>IF($B18="","",IF($B$2="Todos",SUMIFS(BD!$N$3:$N$5001,BD!$A$3:$A$5001,$B18),SUMIFS(BD!$N$3:$N$5001,BD!$A$3:$A$5001,$B18,BD!$B$3:$B$5001,$D$2)))</f>
        <v>0</v>
      </c>
      <c r="O18" s="42">
        <f>IF($B18="","",IF($B$2="Todos",SUMIFS(BD!$O$3:$O$5001,BD!$A$3:$A$5001,$B18),SUMIFS(BD!$O$3:$O$5001,BD!$A$3:$A$5001,$B18,BD!$B$3:$B$5001,$D$2)))</f>
        <v>0</v>
      </c>
      <c r="P18" s="42" t="str">
        <f>IF($B$2="Todos",IF(COUNT($C$135:$V$135)=0,"",SUM($C$135:$V$135)),IFERROR(INDEX($C$135:$V$135,MATCH($D$2,$C$128:$V$128,0)),""))</f>
        <v/>
      </c>
      <c r="Q18" s="42" t="str">
        <f>IF($B$2="Todos",IF(COUNT($C$170:$V$170)=0,"",SUM($C$170:$V$170)),IFERROR(INDEX($C$170:$V$170,MATCH($D$2,$C$163:$V$163,0)),""))</f>
        <v/>
      </c>
      <c r="R18" s="59" t="str">
        <f>IF(S18="","",IF($B$2="Todos",IF($B$4&gt;0,$B$4,IF($B$2="Todos",IF(COUNT($C$240:$V$240)=0,"",SUM($C$240:$V$240)),IFERROR(INDEX($C$240:$V$240,MATCH($D$2,$C$233:$V$233,0)),""))),IFERROR(INDEX($C$240:$V$240,MATCH($D$2,$C$233:$V$233,0)),"")))</f>
        <v/>
      </c>
      <c r="S18" s="42" t="str">
        <f>IF($B$2="Todos",IF(COUNT($C$205:$V$205)=0,"",SUM($C$205:$V$205)),IFERROR(INDEX($C$205:$V$205,MATCH($D$2,$C$198:$V$198,0)),""))</f>
        <v/>
      </c>
      <c r="T18" s="60" t="str">
        <f>IF(AND(ISNUMBER(S18),ISNUMBER(R18)),IF(R18&gt;0,S18/R18,""),"")</f>
        <v/>
      </c>
      <c r="U18" s="42" t="str">
        <f>IF($B$2="Todos",IF(COUNT($C$275:$V$275)=0,"",SUM($C$275:$V$275)),IFERROR(INDEX($C$275:$V$275,MATCH($D$2,$C$268:$V$268,0)),""))</f>
        <v/>
      </c>
      <c r="V18" s="42">
        <f>IF($B18="","",IF($B$2="Todos",SUMIFS(BD!$U$3:$U$5001,BD!$A$3:$A$5001,$B18),SUMIFS(BD!$U$3:$U$5001,BD!$A$3:$A$5001,$B18,BD!$B$3:$B$5001,$D$2)))</f>
        <v>0</v>
      </c>
      <c r="W18" s="58">
        <f>IF($B18="","",IF($B$2="Todos",SUMIFS(BD!$V$3:$V$5001,BD!$A$3:$A$5001,$B18),SUMIFS(BD!$V$3:$V$5001,BD!$A$3:$A$5001,$B18,BD!$B$3:$B$5001,$D$2)))</f>
        <v>0</v>
      </c>
      <c r="X18" s="42">
        <f>IF($B18="","",IF($B$2="Todos",SUMIFS(BD!$W$3:$W$5001,BD!$A$3:$A$5001,$B18),SUMIFS(BD!$W$3:$W$5001,BD!$A$3:$A$5001,$B18,BD!$B$3:$B$5001,$D$2)))</f>
        <v>0</v>
      </c>
      <c r="Y18" s="42">
        <f>IF($B18="","",IF($B$2="Todos",SUMIFS(BD!$X$3:$X$5001,BD!$A$3:$A$5001,$B18),SUMIFS(BD!$X$3:$X$5001,BD!$A$3:$A$5001,$B18,BD!$B$3:$B$5001,$D$2)))</f>
        <v>0</v>
      </c>
      <c r="Z18" s="42">
        <f>IF($B18="","",IF($B$2="Todos",SUMIFS(BD!$Y$3:$Y$5001,BD!$A$3:$A$5001,$B18),SUMIFS(BD!$Y$3:$Y$5001,BD!$A$3:$A$5001,$B18,BD!$B$3:$B$5001,$D$2)))</f>
        <v>0</v>
      </c>
      <c r="AA18" s="42">
        <f>IF($B18="","",IF($B$2="Todos",SUMIFS(BD!$Z$3:$Z$5001,BD!$A$3:$A$5001,$B18),SUMIFS(BD!$Z$3:$Z$5001,BD!$A$3:$A$5001,$B18,BD!$B$3:$B$5001,$D$2)))</f>
        <v>0</v>
      </c>
      <c r="AB18" s="42">
        <f>IF($B18="","",IF($B$2="Todos",SUMIFS(BD!$AA$3:$AA$5001,BD!$A$3:$A$5001,$B18),SUMIFS(BD!$AA$3:$AA$5001,BD!$A$3:$A$5001,$B18,BD!$B$3:$B$5001,$D$2)))</f>
        <v>0</v>
      </c>
      <c r="AC18" s="42">
        <f>IF($B18="","",IF($B$2="Todos",SUMIFS(BD!$AB$3:$AB$5001,BD!$A$3:$A$5001,$B18),SUMIFS(BD!$AB$3:$AB$5001,BD!$A$3:$A$5001,$B18,BD!$B$3:$B$5001,$D$2)))</f>
        <v>0</v>
      </c>
      <c r="AD18" s="61">
        <f>$B$5</f>
        <v>0.7</v>
      </c>
      <c r="AE18" s="61">
        <f>$B$6</f>
        <v>0.9</v>
      </c>
      <c r="AL18" s="40" t="inlineStr">
        <is>
          <t xml:space="preserve">JULHO · 2026</t>
        </is>
      </c>
      <c r="AN18" s="40" t="str">
        <f>IFERROR(INDEX(Config!$B$10:$B$29,MATCH(6,$AP$13:$AP$32,0))&amp;"","")</f>
        <v/>
      </c>
      <c r="AO18" s="39" t="str">
        <f>IF(AN18="","",IF(INDEX(Config!$C$10:$C$29,MATCH(6,$AP$13:$AP$32,0))&amp;""="","JSL",INDEX(Config!$C$10:$C$29,MATCH(6,$AP$13:$AP$32,0))&amp;""))</f>
        <v/>
      </c>
      <c r="AP18" s="48">
        <f>IF(Config!$B$15&amp;""="",AP17,AP17+1)</f>
        <v>5</v>
      </c>
    </row>
    <row r="19">
      <c r="A19" s="39">
        <v>8</v>
      </c>
      <c r="B19" s="57">
        <f>IF($A19&lt;=DAY($D$7),$C$7+$A19-1,"")</f>
        <v>46303</v>
      </c>
      <c r="C19" s="42">
        <f>IF($B19="","",IF($B$2="Todos",SUMIFS(BD!$C$3:$C$5001,BD!$A$3:$A$5001,$B19),SUMIFS(BD!$C$3:$C$5001,BD!$A$3:$A$5001,$B19,BD!$B$3:$B$5001,$D$2)))</f>
        <v>0</v>
      </c>
      <c r="D19" s="42">
        <f>IF($B19="","",IF($B$2="Todos",SUMIFS(BD!$D$3:$D$5001,BD!$A$3:$A$5001,$B19),SUMIFS(BD!$D$3:$D$5001,BD!$A$3:$A$5001,$B19,BD!$B$3:$B$5001,$D$2)))</f>
        <v>0</v>
      </c>
      <c r="E19" s="58">
        <f>IF($B19="","",IF($B$2="Todos",SUMIFS(BD!$E$3:$E$5001,BD!$A$3:$A$5001,$B19),SUMIFS(BD!$E$3:$E$5001,BD!$A$3:$A$5001,$B19,BD!$B$3:$B$5001,$D$2)))</f>
        <v>0</v>
      </c>
      <c r="F19" s="42">
        <f>IF($B19="","",IF($B$2="Todos",SUMIFS(BD!$F$3:$F$5001,BD!$A$3:$A$5001,$B19),SUMIFS(BD!$F$3:$F$5001,BD!$A$3:$A$5001,$B19,BD!$B$3:$B$5001,$D$2)))</f>
        <v>0</v>
      </c>
      <c r="G19" s="42">
        <f>IF($B19="","",IF($B$2="Todos",SUMIFS(BD!$G$3:$G$5001,BD!$A$3:$A$5001,$B19),SUMIFS(BD!$G$3:$G$5001,BD!$A$3:$A$5001,$B19,BD!$B$3:$B$5001,$D$2)))</f>
        <v>0</v>
      </c>
      <c r="H19" s="42">
        <f>IF($B19="","",IF($B$2="Todos",SUMIFS(BD!$H$3:$H$5001,BD!$A$3:$A$5001,$B19),SUMIFS(BD!$H$3:$H$5001,BD!$A$3:$A$5001,$B19,BD!$B$3:$B$5001,$D$2)))</f>
        <v>0</v>
      </c>
      <c r="I19" s="42">
        <f>IF($B19="","",IF($B$2="Todos",SUMIFS(BD!$I$3:$I$5001,BD!$A$3:$A$5001,$B19),SUMIFS(BD!$I$3:$I$5001,BD!$A$3:$A$5001,$B19,BD!$B$3:$B$5001,$D$2)))</f>
        <v>0</v>
      </c>
      <c r="J19" s="58">
        <f>IF($B19="","",IF($B$2="Todos",SUMIFS(BD!$J$3:$J$5001,BD!$A$3:$A$5001,$B19),SUMIFS(BD!$J$3:$J$5001,BD!$A$3:$A$5001,$B19,BD!$B$3:$B$5001,$D$2)))</f>
        <v>0</v>
      </c>
      <c r="K19" s="42">
        <f>IF($B19="","",IF($B$2="Todos",SUMIFS(BD!$K$3:$K$5001,BD!$A$3:$A$5001,$B19),SUMIFS(BD!$K$3:$K$5001,BD!$A$3:$A$5001,$B19,BD!$B$3:$B$5001,$D$2)))</f>
        <v>0</v>
      </c>
      <c r="L19" s="42">
        <f>IF($B19="","",IF($B$2="Todos",SUMIFS(BD!$L$3:$L$5001,BD!$A$3:$A$5001,$B19),SUMIFS(BD!$L$3:$L$5001,BD!$A$3:$A$5001,$B19,BD!$B$3:$B$5001,$D$2)))</f>
        <v>0</v>
      </c>
      <c r="M19" s="42">
        <f>IF($B19="","",IF($B$2="Todos",SUMIFS(BD!$M$3:$M$5001,BD!$A$3:$A$5001,$B19),SUMIFS(BD!$M$3:$M$5001,BD!$A$3:$A$5001,$B19,BD!$B$3:$B$5001,$D$2)))</f>
        <v>0</v>
      </c>
      <c r="N19" s="42">
        <f>IF($B19="","",IF($B$2="Todos",SUMIFS(BD!$N$3:$N$5001,BD!$A$3:$A$5001,$B19),SUMIFS(BD!$N$3:$N$5001,BD!$A$3:$A$5001,$B19,BD!$B$3:$B$5001,$D$2)))</f>
        <v>0</v>
      </c>
      <c r="O19" s="42">
        <f>IF($B19="","",IF($B$2="Todos",SUMIFS(BD!$O$3:$O$5001,BD!$A$3:$A$5001,$B19),SUMIFS(BD!$O$3:$O$5001,BD!$A$3:$A$5001,$B19,BD!$B$3:$B$5001,$D$2)))</f>
        <v>0</v>
      </c>
      <c r="P19" s="42" t="str">
        <f>IF($B$2="Todos",IF(COUNT($C$136:$V$136)=0,"",SUM($C$136:$V$136)),IFERROR(INDEX($C$136:$V$136,MATCH($D$2,$C$128:$V$128,0)),""))</f>
        <v/>
      </c>
      <c r="Q19" s="42" t="str">
        <f>IF($B$2="Todos",IF(COUNT($C$171:$V$171)=0,"",SUM($C$171:$V$171)),IFERROR(INDEX($C$171:$V$171,MATCH($D$2,$C$163:$V$163,0)),""))</f>
        <v/>
      </c>
      <c r="R19" s="59" t="str">
        <f>IF(S19="","",IF($B$2="Todos",IF($B$4&gt;0,$B$4,IF($B$2="Todos",IF(COUNT($C$241:$V$241)=0,"",SUM($C$241:$V$241)),IFERROR(INDEX($C$241:$V$241,MATCH($D$2,$C$233:$V$233,0)),""))),IFERROR(INDEX($C$241:$V$241,MATCH($D$2,$C$233:$V$233,0)),"")))</f>
        <v/>
      </c>
      <c r="S19" s="42" t="str">
        <f>IF($B$2="Todos",IF(COUNT($C$206:$V$206)=0,"",SUM($C$206:$V$206)),IFERROR(INDEX($C$206:$V$206,MATCH($D$2,$C$198:$V$198,0)),""))</f>
        <v/>
      </c>
      <c r="T19" s="60" t="str">
        <f>IF(AND(ISNUMBER(S19),ISNUMBER(R19)),IF(R19&gt;0,S19/R19,""),"")</f>
        <v/>
      </c>
      <c r="U19" s="42" t="str">
        <f>IF($B$2="Todos",IF(COUNT($C$276:$V$276)=0,"",SUM($C$276:$V$276)),IFERROR(INDEX($C$276:$V$276,MATCH($D$2,$C$268:$V$268,0)),""))</f>
        <v/>
      </c>
      <c r="V19" s="42">
        <f>IF($B19="","",IF($B$2="Todos",SUMIFS(BD!$U$3:$U$5001,BD!$A$3:$A$5001,$B19),SUMIFS(BD!$U$3:$U$5001,BD!$A$3:$A$5001,$B19,BD!$B$3:$B$5001,$D$2)))</f>
        <v>0</v>
      </c>
      <c r="W19" s="58">
        <f>IF($B19="","",IF($B$2="Todos",SUMIFS(BD!$V$3:$V$5001,BD!$A$3:$A$5001,$B19),SUMIFS(BD!$V$3:$V$5001,BD!$A$3:$A$5001,$B19,BD!$B$3:$B$5001,$D$2)))</f>
        <v>0</v>
      </c>
      <c r="X19" s="42">
        <f>IF($B19="","",IF($B$2="Todos",SUMIFS(BD!$W$3:$W$5001,BD!$A$3:$A$5001,$B19),SUMIFS(BD!$W$3:$W$5001,BD!$A$3:$A$5001,$B19,BD!$B$3:$B$5001,$D$2)))</f>
        <v>0</v>
      </c>
      <c r="Y19" s="42">
        <f>IF($B19="","",IF($B$2="Todos",SUMIFS(BD!$X$3:$X$5001,BD!$A$3:$A$5001,$B19),SUMIFS(BD!$X$3:$X$5001,BD!$A$3:$A$5001,$B19,BD!$B$3:$B$5001,$D$2)))</f>
        <v>0</v>
      </c>
      <c r="Z19" s="42">
        <f>IF($B19="","",IF($B$2="Todos",SUMIFS(BD!$Y$3:$Y$5001,BD!$A$3:$A$5001,$B19),SUMIFS(BD!$Y$3:$Y$5001,BD!$A$3:$A$5001,$B19,BD!$B$3:$B$5001,$D$2)))</f>
        <v>0</v>
      </c>
      <c r="AA19" s="42">
        <f>IF($B19="","",IF($B$2="Todos",SUMIFS(BD!$Z$3:$Z$5001,BD!$A$3:$A$5001,$B19),SUMIFS(BD!$Z$3:$Z$5001,BD!$A$3:$A$5001,$B19,BD!$B$3:$B$5001,$D$2)))</f>
        <v>0</v>
      </c>
      <c r="AB19" s="42">
        <f>IF($B19="","",IF($B$2="Todos",SUMIFS(BD!$AA$3:$AA$5001,BD!$A$3:$A$5001,$B19),SUMIFS(BD!$AA$3:$AA$5001,BD!$A$3:$A$5001,$B19,BD!$B$3:$B$5001,$D$2)))</f>
        <v>0</v>
      </c>
      <c r="AC19" s="42">
        <f>IF($B19="","",IF($B$2="Todos",SUMIFS(BD!$AB$3:$AB$5001,BD!$A$3:$A$5001,$B19),SUMIFS(BD!$AB$3:$AB$5001,BD!$A$3:$A$5001,$B19,BD!$B$3:$B$5001,$D$2)))</f>
        <v>0</v>
      </c>
      <c r="AD19" s="61">
        <f>$B$5</f>
        <v>0.7</v>
      </c>
      <c r="AE19" s="61">
        <f>$B$6</f>
        <v>0.9</v>
      </c>
      <c r="AL19" s="40" t="inlineStr">
        <is>
          <t xml:space="preserve">AGOSTO · 2026</t>
        </is>
      </c>
      <c r="AN19" s="40" t="str">
        <f>IFERROR(INDEX(Config!$B$10:$B$29,MATCH(7,$AP$13:$AP$32,0))&amp;"","")</f>
        <v/>
      </c>
      <c r="AO19" s="39" t="str">
        <f>IF(AN19="","",IF(INDEX(Config!$C$10:$C$29,MATCH(7,$AP$13:$AP$32,0))&amp;""="","JSL",INDEX(Config!$C$10:$C$29,MATCH(7,$AP$13:$AP$32,0))&amp;""))</f>
        <v/>
      </c>
      <c r="AP19" s="48">
        <f>IF(Config!$B$16&amp;""="",AP18,AP18+1)</f>
        <v>5</v>
      </c>
    </row>
    <row r="20">
      <c r="A20" s="39">
        <v>9</v>
      </c>
      <c r="B20" s="57">
        <f>IF($A20&lt;=DAY($D$7),$C$7+$A20-1,"")</f>
        <v>46304</v>
      </c>
      <c r="C20" s="42">
        <f>IF($B20="","",IF($B$2="Todos",SUMIFS(BD!$C$3:$C$5001,BD!$A$3:$A$5001,$B20),SUMIFS(BD!$C$3:$C$5001,BD!$A$3:$A$5001,$B20,BD!$B$3:$B$5001,$D$2)))</f>
        <v>0</v>
      </c>
      <c r="D20" s="42">
        <f>IF($B20="","",IF($B$2="Todos",SUMIFS(BD!$D$3:$D$5001,BD!$A$3:$A$5001,$B20),SUMIFS(BD!$D$3:$D$5001,BD!$A$3:$A$5001,$B20,BD!$B$3:$B$5001,$D$2)))</f>
        <v>0</v>
      </c>
      <c r="E20" s="58">
        <f>IF($B20="","",IF($B$2="Todos",SUMIFS(BD!$E$3:$E$5001,BD!$A$3:$A$5001,$B20),SUMIFS(BD!$E$3:$E$5001,BD!$A$3:$A$5001,$B20,BD!$B$3:$B$5001,$D$2)))</f>
        <v>0</v>
      </c>
      <c r="F20" s="42">
        <f>IF($B20="","",IF($B$2="Todos",SUMIFS(BD!$F$3:$F$5001,BD!$A$3:$A$5001,$B20),SUMIFS(BD!$F$3:$F$5001,BD!$A$3:$A$5001,$B20,BD!$B$3:$B$5001,$D$2)))</f>
        <v>0</v>
      </c>
      <c r="G20" s="42">
        <f>IF($B20="","",IF($B$2="Todos",SUMIFS(BD!$G$3:$G$5001,BD!$A$3:$A$5001,$B20),SUMIFS(BD!$G$3:$G$5001,BD!$A$3:$A$5001,$B20,BD!$B$3:$B$5001,$D$2)))</f>
        <v>0</v>
      </c>
      <c r="H20" s="42">
        <f>IF($B20="","",IF($B$2="Todos",SUMIFS(BD!$H$3:$H$5001,BD!$A$3:$A$5001,$B20),SUMIFS(BD!$H$3:$H$5001,BD!$A$3:$A$5001,$B20,BD!$B$3:$B$5001,$D$2)))</f>
        <v>0</v>
      </c>
      <c r="I20" s="42">
        <f>IF($B20="","",IF($B$2="Todos",SUMIFS(BD!$I$3:$I$5001,BD!$A$3:$A$5001,$B20),SUMIFS(BD!$I$3:$I$5001,BD!$A$3:$A$5001,$B20,BD!$B$3:$B$5001,$D$2)))</f>
        <v>0</v>
      </c>
      <c r="J20" s="58">
        <f>IF($B20="","",IF($B$2="Todos",SUMIFS(BD!$J$3:$J$5001,BD!$A$3:$A$5001,$B20),SUMIFS(BD!$J$3:$J$5001,BD!$A$3:$A$5001,$B20,BD!$B$3:$B$5001,$D$2)))</f>
        <v>0</v>
      </c>
      <c r="K20" s="42">
        <f>IF($B20="","",IF($B$2="Todos",SUMIFS(BD!$K$3:$K$5001,BD!$A$3:$A$5001,$B20),SUMIFS(BD!$K$3:$K$5001,BD!$A$3:$A$5001,$B20,BD!$B$3:$B$5001,$D$2)))</f>
        <v>0</v>
      </c>
      <c r="L20" s="42">
        <f>IF($B20="","",IF($B$2="Todos",SUMIFS(BD!$L$3:$L$5001,BD!$A$3:$A$5001,$B20),SUMIFS(BD!$L$3:$L$5001,BD!$A$3:$A$5001,$B20,BD!$B$3:$B$5001,$D$2)))</f>
        <v>0</v>
      </c>
      <c r="M20" s="42">
        <f>IF($B20="","",IF($B$2="Todos",SUMIFS(BD!$M$3:$M$5001,BD!$A$3:$A$5001,$B20),SUMIFS(BD!$M$3:$M$5001,BD!$A$3:$A$5001,$B20,BD!$B$3:$B$5001,$D$2)))</f>
        <v>0</v>
      </c>
      <c r="N20" s="42">
        <f>IF($B20="","",IF($B$2="Todos",SUMIFS(BD!$N$3:$N$5001,BD!$A$3:$A$5001,$B20),SUMIFS(BD!$N$3:$N$5001,BD!$A$3:$A$5001,$B20,BD!$B$3:$B$5001,$D$2)))</f>
        <v>0</v>
      </c>
      <c r="O20" s="42">
        <f>IF($B20="","",IF($B$2="Todos",SUMIFS(BD!$O$3:$O$5001,BD!$A$3:$A$5001,$B20),SUMIFS(BD!$O$3:$O$5001,BD!$A$3:$A$5001,$B20,BD!$B$3:$B$5001,$D$2)))</f>
        <v>0</v>
      </c>
      <c r="P20" s="42" t="str">
        <f>IF($B$2="Todos",IF(COUNT($C$137:$V$137)=0,"",SUM($C$137:$V$137)),IFERROR(INDEX($C$137:$V$137,MATCH($D$2,$C$128:$V$128,0)),""))</f>
        <v/>
      </c>
      <c r="Q20" s="42" t="str">
        <f>IF($B$2="Todos",IF(COUNT($C$172:$V$172)=0,"",SUM($C$172:$V$172)),IFERROR(INDEX($C$172:$V$172,MATCH($D$2,$C$163:$V$163,0)),""))</f>
        <v/>
      </c>
      <c r="R20" s="59" t="str">
        <f>IF(S20="","",IF($B$2="Todos",IF($B$4&gt;0,$B$4,IF($B$2="Todos",IF(COUNT($C$242:$V$242)=0,"",SUM($C$242:$V$242)),IFERROR(INDEX($C$242:$V$242,MATCH($D$2,$C$233:$V$233,0)),""))),IFERROR(INDEX($C$242:$V$242,MATCH($D$2,$C$233:$V$233,0)),"")))</f>
        <v/>
      </c>
      <c r="S20" s="42" t="str">
        <f>IF($B$2="Todos",IF(COUNT($C$207:$V$207)=0,"",SUM($C$207:$V$207)),IFERROR(INDEX($C$207:$V$207,MATCH($D$2,$C$198:$V$198,0)),""))</f>
        <v/>
      </c>
      <c r="T20" s="60" t="str">
        <f>IF(AND(ISNUMBER(S20),ISNUMBER(R20)),IF(R20&gt;0,S20/R20,""),"")</f>
        <v/>
      </c>
      <c r="U20" s="42" t="str">
        <f>IF($B$2="Todos",IF(COUNT($C$277:$V$277)=0,"",SUM($C$277:$V$277)),IFERROR(INDEX($C$277:$V$277,MATCH($D$2,$C$268:$V$268,0)),""))</f>
        <v/>
      </c>
      <c r="V20" s="42">
        <f>IF($B20="","",IF($B$2="Todos",SUMIFS(BD!$U$3:$U$5001,BD!$A$3:$A$5001,$B20),SUMIFS(BD!$U$3:$U$5001,BD!$A$3:$A$5001,$B20,BD!$B$3:$B$5001,$D$2)))</f>
        <v>0</v>
      </c>
      <c r="W20" s="58">
        <f>IF($B20="","",IF($B$2="Todos",SUMIFS(BD!$V$3:$V$5001,BD!$A$3:$A$5001,$B20),SUMIFS(BD!$V$3:$V$5001,BD!$A$3:$A$5001,$B20,BD!$B$3:$B$5001,$D$2)))</f>
        <v>0</v>
      </c>
      <c r="X20" s="42">
        <f>IF($B20="","",IF($B$2="Todos",SUMIFS(BD!$W$3:$W$5001,BD!$A$3:$A$5001,$B20),SUMIFS(BD!$W$3:$W$5001,BD!$A$3:$A$5001,$B20,BD!$B$3:$B$5001,$D$2)))</f>
        <v>0</v>
      </c>
      <c r="Y20" s="42">
        <f>IF($B20="","",IF($B$2="Todos",SUMIFS(BD!$X$3:$X$5001,BD!$A$3:$A$5001,$B20),SUMIFS(BD!$X$3:$X$5001,BD!$A$3:$A$5001,$B20,BD!$B$3:$B$5001,$D$2)))</f>
        <v>0</v>
      </c>
      <c r="Z20" s="42">
        <f>IF($B20="","",IF($B$2="Todos",SUMIFS(BD!$Y$3:$Y$5001,BD!$A$3:$A$5001,$B20),SUMIFS(BD!$Y$3:$Y$5001,BD!$A$3:$A$5001,$B20,BD!$B$3:$B$5001,$D$2)))</f>
        <v>0</v>
      </c>
      <c r="AA20" s="42">
        <f>IF($B20="","",IF($B$2="Todos",SUMIFS(BD!$Z$3:$Z$5001,BD!$A$3:$A$5001,$B20),SUMIFS(BD!$Z$3:$Z$5001,BD!$A$3:$A$5001,$B20,BD!$B$3:$B$5001,$D$2)))</f>
        <v>0</v>
      </c>
      <c r="AB20" s="42">
        <f>IF($B20="","",IF($B$2="Todos",SUMIFS(BD!$AA$3:$AA$5001,BD!$A$3:$A$5001,$B20),SUMIFS(BD!$AA$3:$AA$5001,BD!$A$3:$A$5001,$B20,BD!$B$3:$B$5001,$D$2)))</f>
        <v>0</v>
      </c>
      <c r="AC20" s="42">
        <f>IF($B20="","",IF($B$2="Todos",SUMIFS(BD!$AB$3:$AB$5001,BD!$A$3:$A$5001,$B20),SUMIFS(BD!$AB$3:$AB$5001,BD!$A$3:$A$5001,$B20,BD!$B$3:$B$5001,$D$2)))</f>
        <v>0</v>
      </c>
      <c r="AD20" s="61">
        <f>$B$5</f>
        <v>0.7</v>
      </c>
      <c r="AE20" s="61">
        <f>$B$6</f>
        <v>0.9</v>
      </c>
      <c r="AL20" s="40" t="inlineStr">
        <is>
          <t xml:space="preserve">SETEMBRO · 2026</t>
        </is>
      </c>
      <c r="AN20" s="40" t="str">
        <f>IFERROR(INDEX(Config!$B$10:$B$29,MATCH(8,$AP$13:$AP$32,0))&amp;"","")</f>
        <v/>
      </c>
      <c r="AO20" s="39" t="str">
        <f>IF(AN20="","",IF(INDEX(Config!$C$10:$C$29,MATCH(8,$AP$13:$AP$32,0))&amp;""="","JSL",INDEX(Config!$C$10:$C$29,MATCH(8,$AP$13:$AP$32,0))&amp;""))</f>
        <v/>
      </c>
      <c r="AP20" s="48">
        <f>IF(Config!$B$17&amp;""="",AP19,AP19+1)</f>
        <v>5</v>
      </c>
    </row>
    <row r="21">
      <c r="A21" s="39">
        <v>10</v>
      </c>
      <c r="B21" s="57">
        <f>IF($A21&lt;=DAY($D$7),$C$7+$A21-1,"")</f>
        <v>46305</v>
      </c>
      <c r="C21" s="42">
        <f>IF($B21="","",IF($B$2="Todos",SUMIFS(BD!$C$3:$C$5001,BD!$A$3:$A$5001,$B21),SUMIFS(BD!$C$3:$C$5001,BD!$A$3:$A$5001,$B21,BD!$B$3:$B$5001,$D$2)))</f>
        <v>0</v>
      </c>
      <c r="D21" s="42">
        <f>IF($B21="","",IF($B$2="Todos",SUMIFS(BD!$D$3:$D$5001,BD!$A$3:$A$5001,$B21),SUMIFS(BD!$D$3:$D$5001,BD!$A$3:$A$5001,$B21,BD!$B$3:$B$5001,$D$2)))</f>
        <v>0</v>
      </c>
      <c r="E21" s="58">
        <f>IF($B21="","",IF($B$2="Todos",SUMIFS(BD!$E$3:$E$5001,BD!$A$3:$A$5001,$B21),SUMIFS(BD!$E$3:$E$5001,BD!$A$3:$A$5001,$B21,BD!$B$3:$B$5001,$D$2)))</f>
        <v>0</v>
      </c>
      <c r="F21" s="42">
        <f>IF($B21="","",IF($B$2="Todos",SUMIFS(BD!$F$3:$F$5001,BD!$A$3:$A$5001,$B21),SUMIFS(BD!$F$3:$F$5001,BD!$A$3:$A$5001,$B21,BD!$B$3:$B$5001,$D$2)))</f>
        <v>0</v>
      </c>
      <c r="G21" s="42">
        <f>IF($B21="","",IF($B$2="Todos",SUMIFS(BD!$G$3:$G$5001,BD!$A$3:$A$5001,$B21),SUMIFS(BD!$G$3:$G$5001,BD!$A$3:$A$5001,$B21,BD!$B$3:$B$5001,$D$2)))</f>
        <v>0</v>
      </c>
      <c r="H21" s="42">
        <f>IF($B21="","",IF($B$2="Todos",SUMIFS(BD!$H$3:$H$5001,BD!$A$3:$A$5001,$B21),SUMIFS(BD!$H$3:$H$5001,BD!$A$3:$A$5001,$B21,BD!$B$3:$B$5001,$D$2)))</f>
        <v>0</v>
      </c>
      <c r="I21" s="42">
        <f>IF($B21="","",IF($B$2="Todos",SUMIFS(BD!$I$3:$I$5001,BD!$A$3:$A$5001,$B21),SUMIFS(BD!$I$3:$I$5001,BD!$A$3:$A$5001,$B21,BD!$B$3:$B$5001,$D$2)))</f>
        <v>0</v>
      </c>
      <c r="J21" s="58">
        <f>IF($B21="","",IF($B$2="Todos",SUMIFS(BD!$J$3:$J$5001,BD!$A$3:$A$5001,$B21),SUMIFS(BD!$J$3:$J$5001,BD!$A$3:$A$5001,$B21,BD!$B$3:$B$5001,$D$2)))</f>
        <v>0</v>
      </c>
      <c r="K21" s="42">
        <f>IF($B21="","",IF($B$2="Todos",SUMIFS(BD!$K$3:$K$5001,BD!$A$3:$A$5001,$B21),SUMIFS(BD!$K$3:$K$5001,BD!$A$3:$A$5001,$B21,BD!$B$3:$B$5001,$D$2)))</f>
        <v>0</v>
      </c>
      <c r="L21" s="42">
        <f>IF($B21="","",IF($B$2="Todos",SUMIFS(BD!$L$3:$L$5001,BD!$A$3:$A$5001,$B21),SUMIFS(BD!$L$3:$L$5001,BD!$A$3:$A$5001,$B21,BD!$B$3:$B$5001,$D$2)))</f>
        <v>0</v>
      </c>
      <c r="M21" s="42">
        <f>IF($B21="","",IF($B$2="Todos",SUMIFS(BD!$M$3:$M$5001,BD!$A$3:$A$5001,$B21),SUMIFS(BD!$M$3:$M$5001,BD!$A$3:$A$5001,$B21,BD!$B$3:$B$5001,$D$2)))</f>
        <v>0</v>
      </c>
      <c r="N21" s="42">
        <f>IF($B21="","",IF($B$2="Todos",SUMIFS(BD!$N$3:$N$5001,BD!$A$3:$A$5001,$B21),SUMIFS(BD!$N$3:$N$5001,BD!$A$3:$A$5001,$B21,BD!$B$3:$B$5001,$D$2)))</f>
        <v>0</v>
      </c>
      <c r="O21" s="42">
        <f>IF($B21="","",IF($B$2="Todos",SUMIFS(BD!$O$3:$O$5001,BD!$A$3:$A$5001,$B21),SUMIFS(BD!$O$3:$O$5001,BD!$A$3:$A$5001,$B21,BD!$B$3:$B$5001,$D$2)))</f>
        <v>0</v>
      </c>
      <c r="P21" s="42" t="str">
        <f>IF($B$2="Todos",IF(COUNT($C$138:$V$138)=0,"",SUM($C$138:$V$138)),IFERROR(INDEX($C$138:$V$138,MATCH($D$2,$C$128:$V$128,0)),""))</f>
        <v/>
      </c>
      <c r="Q21" s="42" t="str">
        <f>IF($B$2="Todos",IF(COUNT($C$173:$V$173)=0,"",SUM($C$173:$V$173)),IFERROR(INDEX($C$173:$V$173,MATCH($D$2,$C$163:$V$163,0)),""))</f>
        <v/>
      </c>
      <c r="R21" s="59" t="str">
        <f>IF(S21="","",IF($B$2="Todos",IF($B$4&gt;0,$B$4,IF($B$2="Todos",IF(COUNT($C$243:$V$243)=0,"",SUM($C$243:$V$243)),IFERROR(INDEX($C$243:$V$243,MATCH($D$2,$C$233:$V$233,0)),""))),IFERROR(INDEX($C$243:$V$243,MATCH($D$2,$C$233:$V$233,0)),"")))</f>
        <v/>
      </c>
      <c r="S21" s="42" t="str">
        <f>IF($B$2="Todos",IF(COUNT($C$208:$V$208)=0,"",SUM($C$208:$V$208)),IFERROR(INDEX($C$208:$V$208,MATCH($D$2,$C$198:$V$198,0)),""))</f>
        <v/>
      </c>
      <c r="T21" s="60" t="str">
        <f>IF(AND(ISNUMBER(S21),ISNUMBER(R21)),IF(R21&gt;0,S21/R21,""),"")</f>
        <v/>
      </c>
      <c r="U21" s="42" t="str">
        <f>IF($B$2="Todos",IF(COUNT($C$278:$V$278)=0,"",SUM($C$278:$V$278)),IFERROR(INDEX($C$278:$V$278,MATCH($D$2,$C$268:$V$268,0)),""))</f>
        <v/>
      </c>
      <c r="V21" s="42">
        <f>IF($B21="","",IF($B$2="Todos",SUMIFS(BD!$U$3:$U$5001,BD!$A$3:$A$5001,$B21),SUMIFS(BD!$U$3:$U$5001,BD!$A$3:$A$5001,$B21,BD!$B$3:$B$5001,$D$2)))</f>
        <v>0</v>
      </c>
      <c r="W21" s="58">
        <f>IF($B21="","",IF($B$2="Todos",SUMIFS(BD!$V$3:$V$5001,BD!$A$3:$A$5001,$B21),SUMIFS(BD!$V$3:$V$5001,BD!$A$3:$A$5001,$B21,BD!$B$3:$B$5001,$D$2)))</f>
        <v>0</v>
      </c>
      <c r="X21" s="42">
        <f>IF($B21="","",IF($B$2="Todos",SUMIFS(BD!$W$3:$W$5001,BD!$A$3:$A$5001,$B21),SUMIFS(BD!$W$3:$W$5001,BD!$A$3:$A$5001,$B21,BD!$B$3:$B$5001,$D$2)))</f>
        <v>0</v>
      </c>
      <c r="Y21" s="42">
        <f>IF($B21="","",IF($B$2="Todos",SUMIFS(BD!$X$3:$X$5001,BD!$A$3:$A$5001,$B21),SUMIFS(BD!$X$3:$X$5001,BD!$A$3:$A$5001,$B21,BD!$B$3:$B$5001,$D$2)))</f>
        <v>0</v>
      </c>
      <c r="Z21" s="42">
        <f>IF($B21="","",IF($B$2="Todos",SUMIFS(BD!$Y$3:$Y$5001,BD!$A$3:$A$5001,$B21),SUMIFS(BD!$Y$3:$Y$5001,BD!$A$3:$A$5001,$B21,BD!$B$3:$B$5001,$D$2)))</f>
        <v>0</v>
      </c>
      <c r="AA21" s="42">
        <f>IF($B21="","",IF($B$2="Todos",SUMIFS(BD!$Z$3:$Z$5001,BD!$A$3:$A$5001,$B21),SUMIFS(BD!$Z$3:$Z$5001,BD!$A$3:$A$5001,$B21,BD!$B$3:$B$5001,$D$2)))</f>
        <v>0</v>
      </c>
      <c r="AB21" s="42">
        <f>IF($B21="","",IF($B$2="Todos",SUMIFS(BD!$AA$3:$AA$5001,BD!$A$3:$A$5001,$B21),SUMIFS(BD!$AA$3:$AA$5001,BD!$A$3:$A$5001,$B21,BD!$B$3:$B$5001,$D$2)))</f>
        <v>0</v>
      </c>
      <c r="AC21" s="42">
        <f>IF($B21="","",IF($B$2="Todos",SUMIFS(BD!$AB$3:$AB$5001,BD!$A$3:$A$5001,$B21),SUMIFS(BD!$AB$3:$AB$5001,BD!$A$3:$A$5001,$B21,BD!$B$3:$B$5001,$D$2)))</f>
        <v>0</v>
      </c>
      <c r="AD21" s="61">
        <f>$B$5</f>
        <v>0.7</v>
      </c>
      <c r="AE21" s="61">
        <f>$B$6</f>
        <v>0.9</v>
      </c>
      <c r="AL21" s="40" t="inlineStr">
        <is>
          <t xml:space="preserve">OUTUBRO · 2026</t>
        </is>
      </c>
      <c r="AN21" s="40" t="str">
        <f>IFERROR(INDEX(Config!$B$10:$B$29,MATCH(9,$AP$13:$AP$32,0))&amp;"","")</f>
        <v/>
      </c>
      <c r="AO21" s="39" t="str">
        <f>IF(AN21="","",IF(INDEX(Config!$C$10:$C$29,MATCH(9,$AP$13:$AP$32,0))&amp;""="","JSL",INDEX(Config!$C$10:$C$29,MATCH(9,$AP$13:$AP$32,0))&amp;""))</f>
        <v/>
      </c>
      <c r="AP21" s="48">
        <f>IF(Config!$B$18&amp;""="",AP20,AP20+1)</f>
        <v>5</v>
      </c>
    </row>
    <row r="22">
      <c r="A22" s="39">
        <v>11</v>
      </c>
      <c r="B22" s="57">
        <f>IF($A22&lt;=DAY($D$7),$C$7+$A22-1,"")</f>
        <v>46306</v>
      </c>
      <c r="C22" s="42">
        <f>IF($B22="","",IF($B$2="Todos",SUMIFS(BD!$C$3:$C$5001,BD!$A$3:$A$5001,$B22),SUMIFS(BD!$C$3:$C$5001,BD!$A$3:$A$5001,$B22,BD!$B$3:$B$5001,$D$2)))</f>
        <v>0</v>
      </c>
      <c r="D22" s="42">
        <f>IF($B22="","",IF($B$2="Todos",SUMIFS(BD!$D$3:$D$5001,BD!$A$3:$A$5001,$B22),SUMIFS(BD!$D$3:$D$5001,BD!$A$3:$A$5001,$B22,BD!$B$3:$B$5001,$D$2)))</f>
        <v>0</v>
      </c>
      <c r="E22" s="58">
        <f>IF($B22="","",IF($B$2="Todos",SUMIFS(BD!$E$3:$E$5001,BD!$A$3:$A$5001,$B22),SUMIFS(BD!$E$3:$E$5001,BD!$A$3:$A$5001,$B22,BD!$B$3:$B$5001,$D$2)))</f>
        <v>0</v>
      </c>
      <c r="F22" s="42">
        <f>IF($B22="","",IF($B$2="Todos",SUMIFS(BD!$F$3:$F$5001,BD!$A$3:$A$5001,$B22),SUMIFS(BD!$F$3:$F$5001,BD!$A$3:$A$5001,$B22,BD!$B$3:$B$5001,$D$2)))</f>
        <v>0</v>
      </c>
      <c r="G22" s="42">
        <f>IF($B22="","",IF($B$2="Todos",SUMIFS(BD!$G$3:$G$5001,BD!$A$3:$A$5001,$B22),SUMIFS(BD!$G$3:$G$5001,BD!$A$3:$A$5001,$B22,BD!$B$3:$B$5001,$D$2)))</f>
        <v>0</v>
      </c>
      <c r="H22" s="42">
        <f>IF($B22="","",IF($B$2="Todos",SUMIFS(BD!$H$3:$H$5001,BD!$A$3:$A$5001,$B22),SUMIFS(BD!$H$3:$H$5001,BD!$A$3:$A$5001,$B22,BD!$B$3:$B$5001,$D$2)))</f>
        <v>0</v>
      </c>
      <c r="I22" s="42">
        <f>IF($B22="","",IF($B$2="Todos",SUMIFS(BD!$I$3:$I$5001,BD!$A$3:$A$5001,$B22),SUMIFS(BD!$I$3:$I$5001,BD!$A$3:$A$5001,$B22,BD!$B$3:$B$5001,$D$2)))</f>
        <v>0</v>
      </c>
      <c r="J22" s="58">
        <f>IF($B22="","",IF($B$2="Todos",SUMIFS(BD!$J$3:$J$5001,BD!$A$3:$A$5001,$B22),SUMIFS(BD!$J$3:$J$5001,BD!$A$3:$A$5001,$B22,BD!$B$3:$B$5001,$D$2)))</f>
        <v>0</v>
      </c>
      <c r="K22" s="42">
        <f>IF($B22="","",IF($B$2="Todos",SUMIFS(BD!$K$3:$K$5001,BD!$A$3:$A$5001,$B22),SUMIFS(BD!$K$3:$K$5001,BD!$A$3:$A$5001,$B22,BD!$B$3:$B$5001,$D$2)))</f>
        <v>0</v>
      </c>
      <c r="L22" s="42">
        <f>IF($B22="","",IF($B$2="Todos",SUMIFS(BD!$L$3:$L$5001,BD!$A$3:$A$5001,$B22),SUMIFS(BD!$L$3:$L$5001,BD!$A$3:$A$5001,$B22,BD!$B$3:$B$5001,$D$2)))</f>
        <v>0</v>
      </c>
      <c r="M22" s="42">
        <f>IF($B22="","",IF($B$2="Todos",SUMIFS(BD!$M$3:$M$5001,BD!$A$3:$A$5001,$B22),SUMIFS(BD!$M$3:$M$5001,BD!$A$3:$A$5001,$B22,BD!$B$3:$B$5001,$D$2)))</f>
        <v>0</v>
      </c>
      <c r="N22" s="42">
        <f>IF($B22="","",IF($B$2="Todos",SUMIFS(BD!$N$3:$N$5001,BD!$A$3:$A$5001,$B22),SUMIFS(BD!$N$3:$N$5001,BD!$A$3:$A$5001,$B22,BD!$B$3:$B$5001,$D$2)))</f>
        <v>0</v>
      </c>
      <c r="O22" s="42">
        <f>IF($B22="","",IF($B$2="Todos",SUMIFS(BD!$O$3:$O$5001,BD!$A$3:$A$5001,$B22),SUMIFS(BD!$O$3:$O$5001,BD!$A$3:$A$5001,$B22,BD!$B$3:$B$5001,$D$2)))</f>
        <v>0</v>
      </c>
      <c r="P22" s="42" t="str">
        <f>IF($B$2="Todos",IF(COUNT($C$139:$V$139)=0,"",SUM($C$139:$V$139)),IFERROR(INDEX($C$139:$V$139,MATCH($D$2,$C$128:$V$128,0)),""))</f>
        <v/>
      </c>
      <c r="Q22" s="42" t="str">
        <f>IF($B$2="Todos",IF(COUNT($C$174:$V$174)=0,"",SUM($C$174:$V$174)),IFERROR(INDEX($C$174:$V$174,MATCH($D$2,$C$163:$V$163,0)),""))</f>
        <v/>
      </c>
      <c r="R22" s="59" t="str">
        <f>IF(S22="","",IF($B$2="Todos",IF($B$4&gt;0,$B$4,IF($B$2="Todos",IF(COUNT($C$244:$V$244)=0,"",SUM($C$244:$V$244)),IFERROR(INDEX($C$244:$V$244,MATCH($D$2,$C$233:$V$233,0)),""))),IFERROR(INDEX($C$244:$V$244,MATCH($D$2,$C$233:$V$233,0)),"")))</f>
        <v/>
      </c>
      <c r="S22" s="42" t="str">
        <f>IF($B$2="Todos",IF(COUNT($C$209:$V$209)=0,"",SUM($C$209:$V$209)),IFERROR(INDEX($C$209:$V$209,MATCH($D$2,$C$198:$V$198,0)),""))</f>
        <v/>
      </c>
      <c r="T22" s="60" t="str">
        <f>IF(AND(ISNUMBER(S22),ISNUMBER(R22)),IF(R22&gt;0,S22/R22,""),"")</f>
        <v/>
      </c>
      <c r="U22" s="42" t="str">
        <f>IF($B$2="Todos",IF(COUNT($C$279:$V$279)=0,"",SUM($C$279:$V$279)),IFERROR(INDEX($C$279:$V$279,MATCH($D$2,$C$268:$V$268,0)),""))</f>
        <v/>
      </c>
      <c r="V22" s="42">
        <f>IF($B22="","",IF($B$2="Todos",SUMIFS(BD!$U$3:$U$5001,BD!$A$3:$A$5001,$B22),SUMIFS(BD!$U$3:$U$5001,BD!$A$3:$A$5001,$B22,BD!$B$3:$B$5001,$D$2)))</f>
        <v>0</v>
      </c>
      <c r="W22" s="58">
        <f>IF($B22="","",IF($B$2="Todos",SUMIFS(BD!$V$3:$V$5001,BD!$A$3:$A$5001,$B22),SUMIFS(BD!$V$3:$V$5001,BD!$A$3:$A$5001,$B22,BD!$B$3:$B$5001,$D$2)))</f>
        <v>0</v>
      </c>
      <c r="X22" s="42">
        <f>IF($B22="","",IF($B$2="Todos",SUMIFS(BD!$W$3:$W$5001,BD!$A$3:$A$5001,$B22),SUMIFS(BD!$W$3:$W$5001,BD!$A$3:$A$5001,$B22,BD!$B$3:$B$5001,$D$2)))</f>
        <v>0</v>
      </c>
      <c r="Y22" s="42">
        <f>IF($B22="","",IF($B$2="Todos",SUMIFS(BD!$X$3:$X$5001,BD!$A$3:$A$5001,$B22),SUMIFS(BD!$X$3:$X$5001,BD!$A$3:$A$5001,$B22,BD!$B$3:$B$5001,$D$2)))</f>
        <v>0</v>
      </c>
      <c r="Z22" s="42">
        <f>IF($B22="","",IF($B$2="Todos",SUMIFS(BD!$Y$3:$Y$5001,BD!$A$3:$A$5001,$B22),SUMIFS(BD!$Y$3:$Y$5001,BD!$A$3:$A$5001,$B22,BD!$B$3:$B$5001,$D$2)))</f>
        <v>0</v>
      </c>
      <c r="AA22" s="42">
        <f>IF($B22="","",IF($B$2="Todos",SUMIFS(BD!$Z$3:$Z$5001,BD!$A$3:$A$5001,$B22),SUMIFS(BD!$Z$3:$Z$5001,BD!$A$3:$A$5001,$B22,BD!$B$3:$B$5001,$D$2)))</f>
        <v>0</v>
      </c>
      <c r="AB22" s="42">
        <f>IF($B22="","",IF($B$2="Todos",SUMIFS(BD!$AA$3:$AA$5001,BD!$A$3:$A$5001,$B22),SUMIFS(BD!$AA$3:$AA$5001,BD!$A$3:$A$5001,$B22,BD!$B$3:$B$5001,$D$2)))</f>
        <v>0</v>
      </c>
      <c r="AC22" s="42">
        <f>IF($B22="","",IF($B$2="Todos",SUMIFS(BD!$AB$3:$AB$5001,BD!$A$3:$A$5001,$B22),SUMIFS(BD!$AB$3:$AB$5001,BD!$A$3:$A$5001,$B22,BD!$B$3:$B$5001,$D$2)))</f>
        <v>0</v>
      </c>
      <c r="AD22" s="61">
        <f>$B$5</f>
        <v>0.7</v>
      </c>
      <c r="AE22" s="61">
        <f>$B$6</f>
        <v>0.9</v>
      </c>
      <c r="AL22" s="40" t="inlineStr">
        <is>
          <t xml:space="preserve">NOVEMBRO · 2026</t>
        </is>
      </c>
      <c r="AN22" s="40" t="str">
        <f>IFERROR(INDEX(Config!$B$10:$B$29,MATCH(10,$AP$13:$AP$32,0))&amp;"","")</f>
        <v/>
      </c>
      <c r="AO22" s="39" t="str">
        <f>IF(AN22="","",IF(INDEX(Config!$C$10:$C$29,MATCH(10,$AP$13:$AP$32,0))&amp;""="","JSL",INDEX(Config!$C$10:$C$29,MATCH(10,$AP$13:$AP$32,0))&amp;""))</f>
        <v/>
      </c>
      <c r="AP22" s="48">
        <f>IF(Config!$B$19&amp;""="",AP21,AP21+1)</f>
        <v>5</v>
      </c>
    </row>
    <row r="23">
      <c r="A23" s="39">
        <v>12</v>
      </c>
      <c r="B23" s="57">
        <f>IF($A23&lt;=DAY($D$7),$C$7+$A23-1,"")</f>
        <v>46307</v>
      </c>
      <c r="C23" s="42">
        <f>IF($B23="","",IF($B$2="Todos",SUMIFS(BD!$C$3:$C$5001,BD!$A$3:$A$5001,$B23),SUMIFS(BD!$C$3:$C$5001,BD!$A$3:$A$5001,$B23,BD!$B$3:$B$5001,$D$2)))</f>
        <v>0</v>
      </c>
      <c r="D23" s="42">
        <f>IF($B23="","",IF($B$2="Todos",SUMIFS(BD!$D$3:$D$5001,BD!$A$3:$A$5001,$B23),SUMIFS(BD!$D$3:$D$5001,BD!$A$3:$A$5001,$B23,BD!$B$3:$B$5001,$D$2)))</f>
        <v>0</v>
      </c>
      <c r="E23" s="58">
        <f>IF($B23="","",IF($B$2="Todos",SUMIFS(BD!$E$3:$E$5001,BD!$A$3:$A$5001,$B23),SUMIFS(BD!$E$3:$E$5001,BD!$A$3:$A$5001,$B23,BD!$B$3:$B$5001,$D$2)))</f>
        <v>0</v>
      </c>
      <c r="F23" s="42">
        <f>IF($B23="","",IF($B$2="Todos",SUMIFS(BD!$F$3:$F$5001,BD!$A$3:$A$5001,$B23),SUMIFS(BD!$F$3:$F$5001,BD!$A$3:$A$5001,$B23,BD!$B$3:$B$5001,$D$2)))</f>
        <v>0</v>
      </c>
      <c r="G23" s="42">
        <f>IF($B23="","",IF($B$2="Todos",SUMIFS(BD!$G$3:$G$5001,BD!$A$3:$A$5001,$B23),SUMIFS(BD!$G$3:$G$5001,BD!$A$3:$A$5001,$B23,BD!$B$3:$B$5001,$D$2)))</f>
        <v>0</v>
      </c>
      <c r="H23" s="42">
        <f>IF($B23="","",IF($B$2="Todos",SUMIFS(BD!$H$3:$H$5001,BD!$A$3:$A$5001,$B23),SUMIFS(BD!$H$3:$H$5001,BD!$A$3:$A$5001,$B23,BD!$B$3:$B$5001,$D$2)))</f>
        <v>0</v>
      </c>
      <c r="I23" s="42">
        <f>IF($B23="","",IF($B$2="Todos",SUMIFS(BD!$I$3:$I$5001,BD!$A$3:$A$5001,$B23),SUMIFS(BD!$I$3:$I$5001,BD!$A$3:$A$5001,$B23,BD!$B$3:$B$5001,$D$2)))</f>
        <v>0</v>
      </c>
      <c r="J23" s="58">
        <f>IF($B23="","",IF($B$2="Todos",SUMIFS(BD!$J$3:$J$5001,BD!$A$3:$A$5001,$B23),SUMIFS(BD!$J$3:$J$5001,BD!$A$3:$A$5001,$B23,BD!$B$3:$B$5001,$D$2)))</f>
        <v>0</v>
      </c>
      <c r="K23" s="42">
        <f>IF($B23="","",IF($B$2="Todos",SUMIFS(BD!$K$3:$K$5001,BD!$A$3:$A$5001,$B23),SUMIFS(BD!$K$3:$K$5001,BD!$A$3:$A$5001,$B23,BD!$B$3:$B$5001,$D$2)))</f>
        <v>0</v>
      </c>
      <c r="L23" s="42">
        <f>IF($B23="","",IF($B$2="Todos",SUMIFS(BD!$L$3:$L$5001,BD!$A$3:$A$5001,$B23),SUMIFS(BD!$L$3:$L$5001,BD!$A$3:$A$5001,$B23,BD!$B$3:$B$5001,$D$2)))</f>
        <v>0</v>
      </c>
      <c r="M23" s="42">
        <f>IF($B23="","",IF($B$2="Todos",SUMIFS(BD!$M$3:$M$5001,BD!$A$3:$A$5001,$B23),SUMIFS(BD!$M$3:$M$5001,BD!$A$3:$A$5001,$B23,BD!$B$3:$B$5001,$D$2)))</f>
        <v>0</v>
      </c>
      <c r="N23" s="42">
        <f>IF($B23="","",IF($B$2="Todos",SUMIFS(BD!$N$3:$N$5001,BD!$A$3:$A$5001,$B23),SUMIFS(BD!$N$3:$N$5001,BD!$A$3:$A$5001,$B23,BD!$B$3:$B$5001,$D$2)))</f>
        <v>0</v>
      </c>
      <c r="O23" s="42">
        <f>IF($B23="","",IF($B$2="Todos",SUMIFS(BD!$O$3:$O$5001,BD!$A$3:$A$5001,$B23),SUMIFS(BD!$O$3:$O$5001,BD!$A$3:$A$5001,$B23,BD!$B$3:$B$5001,$D$2)))</f>
        <v>0</v>
      </c>
      <c r="P23" s="42" t="str">
        <f>IF($B$2="Todos",IF(COUNT($C$140:$V$140)=0,"",SUM($C$140:$V$140)),IFERROR(INDEX($C$140:$V$140,MATCH($D$2,$C$128:$V$128,0)),""))</f>
        <v/>
      </c>
      <c r="Q23" s="42" t="str">
        <f>IF($B$2="Todos",IF(COUNT($C$175:$V$175)=0,"",SUM($C$175:$V$175)),IFERROR(INDEX($C$175:$V$175,MATCH($D$2,$C$163:$V$163,0)),""))</f>
        <v/>
      </c>
      <c r="R23" s="59" t="str">
        <f>IF(S23="","",IF($B$2="Todos",IF($B$4&gt;0,$B$4,IF($B$2="Todos",IF(COUNT($C$245:$V$245)=0,"",SUM($C$245:$V$245)),IFERROR(INDEX($C$245:$V$245,MATCH($D$2,$C$233:$V$233,0)),""))),IFERROR(INDEX($C$245:$V$245,MATCH($D$2,$C$233:$V$233,0)),"")))</f>
        <v/>
      </c>
      <c r="S23" s="42" t="str">
        <f>IF($B$2="Todos",IF(COUNT($C$210:$V$210)=0,"",SUM($C$210:$V$210)),IFERROR(INDEX($C$210:$V$210,MATCH($D$2,$C$198:$V$198,0)),""))</f>
        <v/>
      </c>
      <c r="T23" s="60" t="str">
        <f>IF(AND(ISNUMBER(S23),ISNUMBER(R23)),IF(R23&gt;0,S23/R23,""),"")</f>
        <v/>
      </c>
      <c r="U23" s="42" t="str">
        <f>IF($B$2="Todos",IF(COUNT($C$280:$V$280)=0,"",SUM($C$280:$V$280)),IFERROR(INDEX($C$280:$V$280,MATCH($D$2,$C$268:$V$268,0)),""))</f>
        <v/>
      </c>
      <c r="V23" s="42">
        <f>IF($B23="","",IF($B$2="Todos",SUMIFS(BD!$U$3:$U$5001,BD!$A$3:$A$5001,$B23),SUMIFS(BD!$U$3:$U$5001,BD!$A$3:$A$5001,$B23,BD!$B$3:$B$5001,$D$2)))</f>
        <v>0</v>
      </c>
      <c r="W23" s="58">
        <f>IF($B23="","",IF($B$2="Todos",SUMIFS(BD!$V$3:$V$5001,BD!$A$3:$A$5001,$B23),SUMIFS(BD!$V$3:$V$5001,BD!$A$3:$A$5001,$B23,BD!$B$3:$B$5001,$D$2)))</f>
        <v>0</v>
      </c>
      <c r="X23" s="42">
        <f>IF($B23="","",IF($B$2="Todos",SUMIFS(BD!$W$3:$W$5001,BD!$A$3:$A$5001,$B23),SUMIFS(BD!$W$3:$W$5001,BD!$A$3:$A$5001,$B23,BD!$B$3:$B$5001,$D$2)))</f>
        <v>0</v>
      </c>
      <c r="Y23" s="42">
        <f>IF($B23="","",IF($B$2="Todos",SUMIFS(BD!$X$3:$X$5001,BD!$A$3:$A$5001,$B23),SUMIFS(BD!$X$3:$X$5001,BD!$A$3:$A$5001,$B23,BD!$B$3:$B$5001,$D$2)))</f>
        <v>0</v>
      </c>
      <c r="Z23" s="42">
        <f>IF($B23="","",IF($B$2="Todos",SUMIFS(BD!$Y$3:$Y$5001,BD!$A$3:$A$5001,$B23),SUMIFS(BD!$Y$3:$Y$5001,BD!$A$3:$A$5001,$B23,BD!$B$3:$B$5001,$D$2)))</f>
        <v>0</v>
      </c>
      <c r="AA23" s="42">
        <f>IF($B23="","",IF($B$2="Todos",SUMIFS(BD!$Z$3:$Z$5001,BD!$A$3:$A$5001,$B23),SUMIFS(BD!$Z$3:$Z$5001,BD!$A$3:$A$5001,$B23,BD!$B$3:$B$5001,$D$2)))</f>
        <v>0</v>
      </c>
      <c r="AB23" s="42">
        <f>IF($B23="","",IF($B$2="Todos",SUMIFS(BD!$AA$3:$AA$5001,BD!$A$3:$A$5001,$B23),SUMIFS(BD!$AA$3:$AA$5001,BD!$A$3:$A$5001,$B23,BD!$B$3:$B$5001,$D$2)))</f>
        <v>0</v>
      </c>
      <c r="AC23" s="42">
        <f>IF($B23="","",IF($B$2="Todos",SUMIFS(BD!$AB$3:$AB$5001,BD!$A$3:$A$5001,$B23),SUMIFS(BD!$AB$3:$AB$5001,BD!$A$3:$A$5001,$B23,BD!$B$3:$B$5001,$D$2)))</f>
        <v>0</v>
      </c>
      <c r="AD23" s="61">
        <f>$B$5</f>
        <v>0.7</v>
      </c>
      <c r="AE23" s="61">
        <f>$B$6</f>
        <v>0.9</v>
      </c>
      <c r="AL23" s="40" t="inlineStr">
        <is>
          <t xml:space="preserve">DEZEMBRO · 2026</t>
        </is>
      </c>
      <c r="AN23" s="40" t="str">
        <f>IFERROR(INDEX(Config!$B$10:$B$29,MATCH(11,$AP$13:$AP$32,0))&amp;"","")</f>
        <v/>
      </c>
      <c r="AO23" s="39" t="str">
        <f>IF(AN23="","",IF(INDEX(Config!$C$10:$C$29,MATCH(11,$AP$13:$AP$32,0))&amp;""="","JSL",INDEX(Config!$C$10:$C$29,MATCH(11,$AP$13:$AP$32,0))&amp;""))</f>
        <v/>
      </c>
      <c r="AP23" s="48">
        <f>IF(Config!$B$20&amp;""="",AP22,AP22+1)</f>
        <v>5</v>
      </c>
    </row>
    <row r="24">
      <c r="A24" s="39">
        <v>13</v>
      </c>
      <c r="B24" s="57">
        <f>IF($A24&lt;=DAY($D$7),$C$7+$A24-1,"")</f>
        <v>46308</v>
      </c>
      <c r="C24" s="42">
        <f>IF($B24="","",IF($B$2="Todos",SUMIFS(BD!$C$3:$C$5001,BD!$A$3:$A$5001,$B24),SUMIFS(BD!$C$3:$C$5001,BD!$A$3:$A$5001,$B24,BD!$B$3:$B$5001,$D$2)))</f>
        <v>0</v>
      </c>
      <c r="D24" s="42">
        <f>IF($B24="","",IF($B$2="Todos",SUMIFS(BD!$D$3:$D$5001,BD!$A$3:$A$5001,$B24),SUMIFS(BD!$D$3:$D$5001,BD!$A$3:$A$5001,$B24,BD!$B$3:$B$5001,$D$2)))</f>
        <v>0</v>
      </c>
      <c r="E24" s="58">
        <f>IF($B24="","",IF($B$2="Todos",SUMIFS(BD!$E$3:$E$5001,BD!$A$3:$A$5001,$B24),SUMIFS(BD!$E$3:$E$5001,BD!$A$3:$A$5001,$B24,BD!$B$3:$B$5001,$D$2)))</f>
        <v>0</v>
      </c>
      <c r="F24" s="42">
        <f>IF($B24="","",IF($B$2="Todos",SUMIFS(BD!$F$3:$F$5001,BD!$A$3:$A$5001,$B24),SUMIFS(BD!$F$3:$F$5001,BD!$A$3:$A$5001,$B24,BD!$B$3:$B$5001,$D$2)))</f>
        <v>0</v>
      </c>
      <c r="G24" s="42">
        <f>IF($B24="","",IF($B$2="Todos",SUMIFS(BD!$G$3:$G$5001,BD!$A$3:$A$5001,$B24),SUMIFS(BD!$G$3:$G$5001,BD!$A$3:$A$5001,$B24,BD!$B$3:$B$5001,$D$2)))</f>
        <v>0</v>
      </c>
      <c r="H24" s="42">
        <f>IF($B24="","",IF($B$2="Todos",SUMIFS(BD!$H$3:$H$5001,BD!$A$3:$A$5001,$B24),SUMIFS(BD!$H$3:$H$5001,BD!$A$3:$A$5001,$B24,BD!$B$3:$B$5001,$D$2)))</f>
        <v>0</v>
      </c>
      <c r="I24" s="42">
        <f>IF($B24="","",IF($B$2="Todos",SUMIFS(BD!$I$3:$I$5001,BD!$A$3:$A$5001,$B24),SUMIFS(BD!$I$3:$I$5001,BD!$A$3:$A$5001,$B24,BD!$B$3:$B$5001,$D$2)))</f>
        <v>0</v>
      </c>
      <c r="J24" s="58">
        <f>IF($B24="","",IF($B$2="Todos",SUMIFS(BD!$J$3:$J$5001,BD!$A$3:$A$5001,$B24),SUMIFS(BD!$J$3:$J$5001,BD!$A$3:$A$5001,$B24,BD!$B$3:$B$5001,$D$2)))</f>
        <v>0</v>
      </c>
      <c r="K24" s="42">
        <f>IF($B24="","",IF($B$2="Todos",SUMIFS(BD!$K$3:$K$5001,BD!$A$3:$A$5001,$B24),SUMIFS(BD!$K$3:$K$5001,BD!$A$3:$A$5001,$B24,BD!$B$3:$B$5001,$D$2)))</f>
        <v>0</v>
      </c>
      <c r="L24" s="42">
        <f>IF($B24="","",IF($B$2="Todos",SUMIFS(BD!$L$3:$L$5001,BD!$A$3:$A$5001,$B24),SUMIFS(BD!$L$3:$L$5001,BD!$A$3:$A$5001,$B24,BD!$B$3:$B$5001,$D$2)))</f>
        <v>0</v>
      </c>
      <c r="M24" s="42">
        <f>IF($B24="","",IF($B$2="Todos",SUMIFS(BD!$M$3:$M$5001,BD!$A$3:$A$5001,$B24),SUMIFS(BD!$M$3:$M$5001,BD!$A$3:$A$5001,$B24,BD!$B$3:$B$5001,$D$2)))</f>
        <v>0</v>
      </c>
      <c r="N24" s="42">
        <f>IF($B24="","",IF($B$2="Todos",SUMIFS(BD!$N$3:$N$5001,BD!$A$3:$A$5001,$B24),SUMIFS(BD!$N$3:$N$5001,BD!$A$3:$A$5001,$B24,BD!$B$3:$B$5001,$D$2)))</f>
        <v>0</v>
      </c>
      <c r="O24" s="42">
        <f>IF($B24="","",IF($B$2="Todos",SUMIFS(BD!$O$3:$O$5001,BD!$A$3:$A$5001,$B24),SUMIFS(BD!$O$3:$O$5001,BD!$A$3:$A$5001,$B24,BD!$B$3:$B$5001,$D$2)))</f>
        <v>0</v>
      </c>
      <c r="P24" s="42" t="str">
        <f>IF($B$2="Todos",IF(COUNT($C$141:$V$141)=0,"",SUM($C$141:$V$141)),IFERROR(INDEX($C$141:$V$141,MATCH($D$2,$C$128:$V$128,0)),""))</f>
        <v/>
      </c>
      <c r="Q24" s="42" t="str">
        <f>IF($B$2="Todos",IF(COUNT($C$176:$V$176)=0,"",SUM($C$176:$V$176)),IFERROR(INDEX($C$176:$V$176,MATCH($D$2,$C$163:$V$163,0)),""))</f>
        <v/>
      </c>
      <c r="R24" s="59" t="str">
        <f>IF(S24="","",IF($B$2="Todos",IF($B$4&gt;0,$B$4,IF($B$2="Todos",IF(COUNT($C$246:$V$246)=0,"",SUM($C$246:$V$246)),IFERROR(INDEX($C$246:$V$246,MATCH($D$2,$C$233:$V$233,0)),""))),IFERROR(INDEX($C$246:$V$246,MATCH($D$2,$C$233:$V$233,0)),"")))</f>
        <v/>
      </c>
      <c r="S24" s="42" t="str">
        <f>IF($B$2="Todos",IF(COUNT($C$211:$V$211)=0,"",SUM($C$211:$V$211)),IFERROR(INDEX($C$211:$V$211,MATCH($D$2,$C$198:$V$198,0)),""))</f>
        <v/>
      </c>
      <c r="T24" s="60" t="str">
        <f>IF(AND(ISNUMBER(S24),ISNUMBER(R24)),IF(R24&gt;0,S24/R24,""),"")</f>
        <v/>
      </c>
      <c r="U24" s="42" t="str">
        <f>IF($B$2="Todos",IF(COUNT($C$281:$V$281)=0,"",SUM($C$281:$V$281)),IFERROR(INDEX($C$281:$V$281,MATCH($D$2,$C$268:$V$268,0)),""))</f>
        <v/>
      </c>
      <c r="V24" s="42">
        <f>IF($B24="","",IF($B$2="Todos",SUMIFS(BD!$U$3:$U$5001,BD!$A$3:$A$5001,$B24),SUMIFS(BD!$U$3:$U$5001,BD!$A$3:$A$5001,$B24,BD!$B$3:$B$5001,$D$2)))</f>
        <v>0</v>
      </c>
      <c r="W24" s="58">
        <f>IF($B24="","",IF($B$2="Todos",SUMIFS(BD!$V$3:$V$5001,BD!$A$3:$A$5001,$B24),SUMIFS(BD!$V$3:$V$5001,BD!$A$3:$A$5001,$B24,BD!$B$3:$B$5001,$D$2)))</f>
        <v>0</v>
      </c>
      <c r="X24" s="42">
        <f>IF($B24="","",IF($B$2="Todos",SUMIFS(BD!$W$3:$W$5001,BD!$A$3:$A$5001,$B24),SUMIFS(BD!$W$3:$W$5001,BD!$A$3:$A$5001,$B24,BD!$B$3:$B$5001,$D$2)))</f>
        <v>0</v>
      </c>
      <c r="Y24" s="42">
        <f>IF($B24="","",IF($B$2="Todos",SUMIFS(BD!$X$3:$X$5001,BD!$A$3:$A$5001,$B24),SUMIFS(BD!$X$3:$X$5001,BD!$A$3:$A$5001,$B24,BD!$B$3:$B$5001,$D$2)))</f>
        <v>0</v>
      </c>
      <c r="Z24" s="42">
        <f>IF($B24="","",IF($B$2="Todos",SUMIFS(BD!$Y$3:$Y$5001,BD!$A$3:$A$5001,$B24),SUMIFS(BD!$Y$3:$Y$5001,BD!$A$3:$A$5001,$B24,BD!$B$3:$B$5001,$D$2)))</f>
        <v>0</v>
      </c>
      <c r="AA24" s="42">
        <f>IF($B24="","",IF($B$2="Todos",SUMIFS(BD!$Z$3:$Z$5001,BD!$A$3:$A$5001,$B24),SUMIFS(BD!$Z$3:$Z$5001,BD!$A$3:$A$5001,$B24,BD!$B$3:$B$5001,$D$2)))</f>
        <v>0</v>
      </c>
      <c r="AB24" s="42">
        <f>IF($B24="","",IF($B$2="Todos",SUMIFS(BD!$AA$3:$AA$5001,BD!$A$3:$A$5001,$B24),SUMIFS(BD!$AA$3:$AA$5001,BD!$A$3:$A$5001,$B24,BD!$B$3:$B$5001,$D$2)))</f>
        <v>0</v>
      </c>
      <c r="AC24" s="42">
        <f>IF($B24="","",IF($B$2="Todos",SUMIFS(BD!$AB$3:$AB$5001,BD!$A$3:$A$5001,$B24),SUMIFS(BD!$AB$3:$AB$5001,BD!$A$3:$A$5001,$B24,BD!$B$3:$B$5001,$D$2)))</f>
        <v>0</v>
      </c>
      <c r="AD24" s="61">
        <f>$B$5</f>
        <v>0.7</v>
      </c>
      <c r="AE24" s="61">
        <f>$B$6</f>
        <v>0.9</v>
      </c>
      <c r="AN24" s="40" t="str">
        <f>IFERROR(INDEX(Config!$B$10:$B$29,MATCH(12,$AP$13:$AP$32,0))&amp;"","")</f>
        <v/>
      </c>
      <c r="AO24" s="39" t="str">
        <f>IF(AN24="","",IF(INDEX(Config!$C$10:$C$29,MATCH(12,$AP$13:$AP$32,0))&amp;""="","JSL",INDEX(Config!$C$10:$C$29,MATCH(12,$AP$13:$AP$32,0))&amp;""))</f>
        <v/>
      </c>
      <c r="AP24" s="48">
        <f>IF(Config!$B$21&amp;""="",AP23,AP23+1)</f>
        <v>5</v>
      </c>
    </row>
    <row r="25">
      <c r="A25" s="39">
        <v>14</v>
      </c>
      <c r="B25" s="57">
        <f>IF($A25&lt;=DAY($D$7),$C$7+$A25-1,"")</f>
        <v>46309</v>
      </c>
      <c r="C25" s="42">
        <f>IF($B25="","",IF($B$2="Todos",SUMIFS(BD!$C$3:$C$5001,BD!$A$3:$A$5001,$B25),SUMIFS(BD!$C$3:$C$5001,BD!$A$3:$A$5001,$B25,BD!$B$3:$B$5001,$D$2)))</f>
        <v>0</v>
      </c>
      <c r="D25" s="42">
        <f>IF($B25="","",IF($B$2="Todos",SUMIFS(BD!$D$3:$D$5001,BD!$A$3:$A$5001,$B25),SUMIFS(BD!$D$3:$D$5001,BD!$A$3:$A$5001,$B25,BD!$B$3:$B$5001,$D$2)))</f>
        <v>0</v>
      </c>
      <c r="E25" s="58">
        <f>IF($B25="","",IF($B$2="Todos",SUMIFS(BD!$E$3:$E$5001,BD!$A$3:$A$5001,$B25),SUMIFS(BD!$E$3:$E$5001,BD!$A$3:$A$5001,$B25,BD!$B$3:$B$5001,$D$2)))</f>
        <v>0</v>
      </c>
      <c r="F25" s="42">
        <f>IF($B25="","",IF($B$2="Todos",SUMIFS(BD!$F$3:$F$5001,BD!$A$3:$A$5001,$B25),SUMIFS(BD!$F$3:$F$5001,BD!$A$3:$A$5001,$B25,BD!$B$3:$B$5001,$D$2)))</f>
        <v>0</v>
      </c>
      <c r="G25" s="42">
        <f>IF($B25="","",IF($B$2="Todos",SUMIFS(BD!$G$3:$G$5001,BD!$A$3:$A$5001,$B25),SUMIFS(BD!$G$3:$G$5001,BD!$A$3:$A$5001,$B25,BD!$B$3:$B$5001,$D$2)))</f>
        <v>0</v>
      </c>
      <c r="H25" s="42">
        <f>IF($B25="","",IF($B$2="Todos",SUMIFS(BD!$H$3:$H$5001,BD!$A$3:$A$5001,$B25),SUMIFS(BD!$H$3:$H$5001,BD!$A$3:$A$5001,$B25,BD!$B$3:$B$5001,$D$2)))</f>
        <v>0</v>
      </c>
      <c r="I25" s="42">
        <f>IF($B25="","",IF($B$2="Todos",SUMIFS(BD!$I$3:$I$5001,BD!$A$3:$A$5001,$B25),SUMIFS(BD!$I$3:$I$5001,BD!$A$3:$A$5001,$B25,BD!$B$3:$B$5001,$D$2)))</f>
        <v>0</v>
      </c>
      <c r="J25" s="58">
        <f>IF($B25="","",IF($B$2="Todos",SUMIFS(BD!$J$3:$J$5001,BD!$A$3:$A$5001,$B25),SUMIFS(BD!$J$3:$J$5001,BD!$A$3:$A$5001,$B25,BD!$B$3:$B$5001,$D$2)))</f>
        <v>0</v>
      </c>
      <c r="K25" s="42">
        <f>IF($B25="","",IF($B$2="Todos",SUMIFS(BD!$K$3:$K$5001,BD!$A$3:$A$5001,$B25),SUMIFS(BD!$K$3:$K$5001,BD!$A$3:$A$5001,$B25,BD!$B$3:$B$5001,$D$2)))</f>
        <v>0</v>
      </c>
      <c r="L25" s="42">
        <f>IF($B25="","",IF($B$2="Todos",SUMIFS(BD!$L$3:$L$5001,BD!$A$3:$A$5001,$B25),SUMIFS(BD!$L$3:$L$5001,BD!$A$3:$A$5001,$B25,BD!$B$3:$B$5001,$D$2)))</f>
        <v>0</v>
      </c>
      <c r="M25" s="42">
        <f>IF($B25="","",IF($B$2="Todos",SUMIFS(BD!$M$3:$M$5001,BD!$A$3:$A$5001,$B25),SUMIFS(BD!$M$3:$M$5001,BD!$A$3:$A$5001,$B25,BD!$B$3:$B$5001,$D$2)))</f>
        <v>0</v>
      </c>
      <c r="N25" s="42">
        <f>IF($B25="","",IF($B$2="Todos",SUMIFS(BD!$N$3:$N$5001,BD!$A$3:$A$5001,$B25),SUMIFS(BD!$N$3:$N$5001,BD!$A$3:$A$5001,$B25,BD!$B$3:$B$5001,$D$2)))</f>
        <v>0</v>
      </c>
      <c r="O25" s="42">
        <f>IF($B25="","",IF($B$2="Todos",SUMIFS(BD!$O$3:$O$5001,BD!$A$3:$A$5001,$B25),SUMIFS(BD!$O$3:$O$5001,BD!$A$3:$A$5001,$B25,BD!$B$3:$B$5001,$D$2)))</f>
        <v>0</v>
      </c>
      <c r="P25" s="42" t="str">
        <f>IF($B$2="Todos",IF(COUNT($C$142:$V$142)=0,"",SUM($C$142:$V$142)),IFERROR(INDEX($C$142:$V$142,MATCH($D$2,$C$128:$V$128,0)),""))</f>
        <v/>
      </c>
      <c r="Q25" s="42" t="str">
        <f>IF($B$2="Todos",IF(COUNT($C$177:$V$177)=0,"",SUM($C$177:$V$177)),IFERROR(INDEX($C$177:$V$177,MATCH($D$2,$C$163:$V$163,0)),""))</f>
        <v/>
      </c>
      <c r="R25" s="59" t="str">
        <f>IF(S25="","",IF($B$2="Todos",IF($B$4&gt;0,$B$4,IF($B$2="Todos",IF(COUNT($C$247:$V$247)=0,"",SUM($C$247:$V$247)),IFERROR(INDEX($C$247:$V$247,MATCH($D$2,$C$233:$V$233,0)),""))),IFERROR(INDEX($C$247:$V$247,MATCH($D$2,$C$233:$V$233,0)),"")))</f>
        <v/>
      </c>
      <c r="S25" s="42" t="str">
        <f>IF($B$2="Todos",IF(COUNT($C$212:$V$212)=0,"",SUM($C$212:$V$212)),IFERROR(INDEX($C$212:$V$212,MATCH($D$2,$C$198:$V$198,0)),""))</f>
        <v/>
      </c>
      <c r="T25" s="60" t="str">
        <f>IF(AND(ISNUMBER(S25),ISNUMBER(R25)),IF(R25&gt;0,S25/R25,""),"")</f>
        <v/>
      </c>
      <c r="U25" s="42" t="str">
        <f>IF($B$2="Todos",IF(COUNT($C$282:$V$282)=0,"",SUM($C$282:$V$282)),IFERROR(INDEX($C$282:$V$282,MATCH($D$2,$C$268:$V$268,0)),""))</f>
        <v/>
      </c>
      <c r="V25" s="42">
        <f>IF($B25="","",IF($B$2="Todos",SUMIFS(BD!$U$3:$U$5001,BD!$A$3:$A$5001,$B25),SUMIFS(BD!$U$3:$U$5001,BD!$A$3:$A$5001,$B25,BD!$B$3:$B$5001,$D$2)))</f>
        <v>0</v>
      </c>
      <c r="W25" s="58">
        <f>IF($B25="","",IF($B$2="Todos",SUMIFS(BD!$V$3:$V$5001,BD!$A$3:$A$5001,$B25),SUMIFS(BD!$V$3:$V$5001,BD!$A$3:$A$5001,$B25,BD!$B$3:$B$5001,$D$2)))</f>
        <v>0</v>
      </c>
      <c r="X25" s="42">
        <f>IF($B25="","",IF($B$2="Todos",SUMIFS(BD!$W$3:$W$5001,BD!$A$3:$A$5001,$B25),SUMIFS(BD!$W$3:$W$5001,BD!$A$3:$A$5001,$B25,BD!$B$3:$B$5001,$D$2)))</f>
        <v>0</v>
      </c>
      <c r="Y25" s="42">
        <f>IF($B25="","",IF($B$2="Todos",SUMIFS(BD!$X$3:$X$5001,BD!$A$3:$A$5001,$B25),SUMIFS(BD!$X$3:$X$5001,BD!$A$3:$A$5001,$B25,BD!$B$3:$B$5001,$D$2)))</f>
        <v>0</v>
      </c>
      <c r="Z25" s="42">
        <f>IF($B25="","",IF($B$2="Todos",SUMIFS(BD!$Y$3:$Y$5001,BD!$A$3:$A$5001,$B25),SUMIFS(BD!$Y$3:$Y$5001,BD!$A$3:$A$5001,$B25,BD!$B$3:$B$5001,$D$2)))</f>
        <v>0</v>
      </c>
      <c r="AA25" s="42">
        <f>IF($B25="","",IF($B$2="Todos",SUMIFS(BD!$Z$3:$Z$5001,BD!$A$3:$A$5001,$B25),SUMIFS(BD!$Z$3:$Z$5001,BD!$A$3:$A$5001,$B25,BD!$B$3:$B$5001,$D$2)))</f>
        <v>0</v>
      </c>
      <c r="AB25" s="42">
        <f>IF($B25="","",IF($B$2="Todos",SUMIFS(BD!$AA$3:$AA$5001,BD!$A$3:$A$5001,$B25),SUMIFS(BD!$AA$3:$AA$5001,BD!$A$3:$A$5001,$B25,BD!$B$3:$B$5001,$D$2)))</f>
        <v>0</v>
      </c>
      <c r="AC25" s="42">
        <f>IF($B25="","",IF($B$2="Todos",SUMIFS(BD!$AB$3:$AB$5001,BD!$A$3:$A$5001,$B25),SUMIFS(BD!$AB$3:$AB$5001,BD!$A$3:$A$5001,$B25,BD!$B$3:$B$5001,$D$2)))</f>
        <v>0</v>
      </c>
      <c r="AD25" s="61">
        <f>$B$5</f>
        <v>0.7</v>
      </c>
      <c r="AE25" s="61">
        <f>$B$6</f>
        <v>0.9</v>
      </c>
      <c r="AN25" s="40" t="str">
        <f>IFERROR(INDEX(Config!$B$10:$B$29,MATCH(13,$AP$13:$AP$32,0))&amp;"","")</f>
        <v/>
      </c>
      <c r="AO25" s="39" t="str">
        <f>IF(AN25="","",IF(INDEX(Config!$C$10:$C$29,MATCH(13,$AP$13:$AP$32,0))&amp;""="","JSL",INDEX(Config!$C$10:$C$29,MATCH(13,$AP$13:$AP$32,0))&amp;""))</f>
        <v/>
      </c>
      <c r="AP25" s="48">
        <f>IF(Config!$B$22&amp;""="",AP24,AP24+1)</f>
        <v>5</v>
      </c>
    </row>
    <row r="26">
      <c r="A26" s="39">
        <v>15</v>
      </c>
      <c r="B26" s="57">
        <f>IF($A26&lt;=DAY($D$7),$C$7+$A26-1,"")</f>
        <v>46310</v>
      </c>
      <c r="C26" s="42">
        <f>IF($B26="","",IF($B$2="Todos",SUMIFS(BD!$C$3:$C$5001,BD!$A$3:$A$5001,$B26),SUMIFS(BD!$C$3:$C$5001,BD!$A$3:$A$5001,$B26,BD!$B$3:$B$5001,$D$2)))</f>
        <v>0</v>
      </c>
      <c r="D26" s="42">
        <f>IF($B26="","",IF($B$2="Todos",SUMIFS(BD!$D$3:$D$5001,BD!$A$3:$A$5001,$B26),SUMIFS(BD!$D$3:$D$5001,BD!$A$3:$A$5001,$B26,BD!$B$3:$B$5001,$D$2)))</f>
        <v>0</v>
      </c>
      <c r="E26" s="58">
        <f>IF($B26="","",IF($B$2="Todos",SUMIFS(BD!$E$3:$E$5001,BD!$A$3:$A$5001,$B26),SUMIFS(BD!$E$3:$E$5001,BD!$A$3:$A$5001,$B26,BD!$B$3:$B$5001,$D$2)))</f>
        <v>0</v>
      </c>
      <c r="F26" s="42">
        <f>IF($B26="","",IF($B$2="Todos",SUMIFS(BD!$F$3:$F$5001,BD!$A$3:$A$5001,$B26),SUMIFS(BD!$F$3:$F$5001,BD!$A$3:$A$5001,$B26,BD!$B$3:$B$5001,$D$2)))</f>
        <v>0</v>
      </c>
      <c r="G26" s="42">
        <f>IF($B26="","",IF($B$2="Todos",SUMIFS(BD!$G$3:$G$5001,BD!$A$3:$A$5001,$B26),SUMIFS(BD!$G$3:$G$5001,BD!$A$3:$A$5001,$B26,BD!$B$3:$B$5001,$D$2)))</f>
        <v>0</v>
      </c>
      <c r="H26" s="42">
        <f>IF($B26="","",IF($B$2="Todos",SUMIFS(BD!$H$3:$H$5001,BD!$A$3:$A$5001,$B26),SUMIFS(BD!$H$3:$H$5001,BD!$A$3:$A$5001,$B26,BD!$B$3:$B$5001,$D$2)))</f>
        <v>0</v>
      </c>
      <c r="I26" s="42">
        <f>IF($B26="","",IF($B$2="Todos",SUMIFS(BD!$I$3:$I$5001,BD!$A$3:$A$5001,$B26),SUMIFS(BD!$I$3:$I$5001,BD!$A$3:$A$5001,$B26,BD!$B$3:$B$5001,$D$2)))</f>
        <v>0</v>
      </c>
      <c r="J26" s="58">
        <f>IF($B26="","",IF($B$2="Todos",SUMIFS(BD!$J$3:$J$5001,BD!$A$3:$A$5001,$B26),SUMIFS(BD!$J$3:$J$5001,BD!$A$3:$A$5001,$B26,BD!$B$3:$B$5001,$D$2)))</f>
        <v>0</v>
      </c>
      <c r="K26" s="42">
        <f>IF($B26="","",IF($B$2="Todos",SUMIFS(BD!$K$3:$K$5001,BD!$A$3:$A$5001,$B26),SUMIFS(BD!$K$3:$K$5001,BD!$A$3:$A$5001,$B26,BD!$B$3:$B$5001,$D$2)))</f>
        <v>0</v>
      </c>
      <c r="L26" s="42">
        <f>IF($B26="","",IF($B$2="Todos",SUMIFS(BD!$L$3:$L$5001,BD!$A$3:$A$5001,$B26),SUMIFS(BD!$L$3:$L$5001,BD!$A$3:$A$5001,$B26,BD!$B$3:$B$5001,$D$2)))</f>
        <v>0</v>
      </c>
      <c r="M26" s="42">
        <f>IF($B26="","",IF($B$2="Todos",SUMIFS(BD!$M$3:$M$5001,BD!$A$3:$A$5001,$B26),SUMIFS(BD!$M$3:$M$5001,BD!$A$3:$A$5001,$B26,BD!$B$3:$B$5001,$D$2)))</f>
        <v>0</v>
      </c>
      <c r="N26" s="42">
        <f>IF($B26="","",IF($B$2="Todos",SUMIFS(BD!$N$3:$N$5001,BD!$A$3:$A$5001,$B26),SUMIFS(BD!$N$3:$N$5001,BD!$A$3:$A$5001,$B26,BD!$B$3:$B$5001,$D$2)))</f>
        <v>0</v>
      </c>
      <c r="O26" s="42">
        <f>IF($B26="","",IF($B$2="Todos",SUMIFS(BD!$O$3:$O$5001,BD!$A$3:$A$5001,$B26),SUMIFS(BD!$O$3:$O$5001,BD!$A$3:$A$5001,$B26,BD!$B$3:$B$5001,$D$2)))</f>
        <v>0</v>
      </c>
      <c r="P26" s="42" t="str">
        <f>IF($B$2="Todos",IF(COUNT($C$143:$V$143)=0,"",SUM($C$143:$V$143)),IFERROR(INDEX($C$143:$V$143,MATCH($D$2,$C$128:$V$128,0)),""))</f>
        <v/>
      </c>
      <c r="Q26" s="42" t="str">
        <f>IF($B$2="Todos",IF(COUNT($C$178:$V$178)=0,"",SUM($C$178:$V$178)),IFERROR(INDEX($C$178:$V$178,MATCH($D$2,$C$163:$V$163,0)),""))</f>
        <v/>
      </c>
      <c r="R26" s="59" t="str">
        <f>IF(S26="","",IF($B$2="Todos",IF($B$4&gt;0,$B$4,IF($B$2="Todos",IF(COUNT($C$248:$V$248)=0,"",SUM($C$248:$V$248)),IFERROR(INDEX($C$248:$V$248,MATCH($D$2,$C$233:$V$233,0)),""))),IFERROR(INDEX($C$248:$V$248,MATCH($D$2,$C$233:$V$233,0)),"")))</f>
        <v/>
      </c>
      <c r="S26" s="42" t="str">
        <f>IF($B$2="Todos",IF(COUNT($C$213:$V$213)=0,"",SUM($C$213:$V$213)),IFERROR(INDEX($C$213:$V$213,MATCH($D$2,$C$198:$V$198,0)),""))</f>
        <v/>
      </c>
      <c r="T26" s="60" t="str">
        <f>IF(AND(ISNUMBER(S26),ISNUMBER(R26)),IF(R26&gt;0,S26/R26,""),"")</f>
        <v/>
      </c>
      <c r="U26" s="42" t="str">
        <f>IF($B$2="Todos",IF(COUNT($C$283:$V$283)=0,"",SUM($C$283:$V$283)),IFERROR(INDEX($C$283:$V$283,MATCH($D$2,$C$268:$V$268,0)),""))</f>
        <v/>
      </c>
      <c r="V26" s="42">
        <f>IF($B26="","",IF($B$2="Todos",SUMIFS(BD!$U$3:$U$5001,BD!$A$3:$A$5001,$B26),SUMIFS(BD!$U$3:$U$5001,BD!$A$3:$A$5001,$B26,BD!$B$3:$B$5001,$D$2)))</f>
        <v>0</v>
      </c>
      <c r="W26" s="58">
        <f>IF($B26="","",IF($B$2="Todos",SUMIFS(BD!$V$3:$V$5001,BD!$A$3:$A$5001,$B26),SUMIFS(BD!$V$3:$V$5001,BD!$A$3:$A$5001,$B26,BD!$B$3:$B$5001,$D$2)))</f>
        <v>0</v>
      </c>
      <c r="X26" s="42">
        <f>IF($B26="","",IF($B$2="Todos",SUMIFS(BD!$W$3:$W$5001,BD!$A$3:$A$5001,$B26),SUMIFS(BD!$W$3:$W$5001,BD!$A$3:$A$5001,$B26,BD!$B$3:$B$5001,$D$2)))</f>
        <v>0</v>
      </c>
      <c r="Y26" s="42">
        <f>IF($B26="","",IF($B$2="Todos",SUMIFS(BD!$X$3:$X$5001,BD!$A$3:$A$5001,$B26),SUMIFS(BD!$X$3:$X$5001,BD!$A$3:$A$5001,$B26,BD!$B$3:$B$5001,$D$2)))</f>
        <v>0</v>
      </c>
      <c r="Z26" s="42">
        <f>IF($B26="","",IF($B$2="Todos",SUMIFS(BD!$Y$3:$Y$5001,BD!$A$3:$A$5001,$B26),SUMIFS(BD!$Y$3:$Y$5001,BD!$A$3:$A$5001,$B26,BD!$B$3:$B$5001,$D$2)))</f>
        <v>0</v>
      </c>
      <c r="AA26" s="42">
        <f>IF($B26="","",IF($B$2="Todos",SUMIFS(BD!$Z$3:$Z$5001,BD!$A$3:$A$5001,$B26),SUMIFS(BD!$Z$3:$Z$5001,BD!$A$3:$A$5001,$B26,BD!$B$3:$B$5001,$D$2)))</f>
        <v>0</v>
      </c>
      <c r="AB26" s="42">
        <f>IF($B26="","",IF($B$2="Todos",SUMIFS(BD!$AA$3:$AA$5001,BD!$A$3:$A$5001,$B26),SUMIFS(BD!$AA$3:$AA$5001,BD!$A$3:$A$5001,$B26,BD!$B$3:$B$5001,$D$2)))</f>
        <v>0</v>
      </c>
      <c r="AC26" s="42">
        <f>IF($B26="","",IF($B$2="Todos",SUMIFS(BD!$AB$3:$AB$5001,BD!$A$3:$A$5001,$B26),SUMIFS(BD!$AB$3:$AB$5001,BD!$A$3:$A$5001,$B26,BD!$B$3:$B$5001,$D$2)))</f>
        <v>0</v>
      </c>
      <c r="AD26" s="61">
        <f>$B$5</f>
        <v>0.7</v>
      </c>
      <c r="AE26" s="61">
        <f>$B$6</f>
        <v>0.9</v>
      </c>
      <c r="AN26" s="40" t="str">
        <f>IFERROR(INDEX(Config!$B$10:$B$29,MATCH(14,$AP$13:$AP$32,0))&amp;"","")</f>
        <v/>
      </c>
      <c r="AO26" s="39" t="str">
        <f>IF(AN26="","",IF(INDEX(Config!$C$10:$C$29,MATCH(14,$AP$13:$AP$32,0))&amp;""="","JSL",INDEX(Config!$C$10:$C$29,MATCH(14,$AP$13:$AP$32,0))&amp;""))</f>
        <v/>
      </c>
      <c r="AP26" s="48">
        <f>IF(Config!$B$23&amp;""="",AP25,AP25+1)</f>
        <v>5</v>
      </c>
    </row>
    <row r="27">
      <c r="A27" s="39">
        <v>16</v>
      </c>
      <c r="B27" s="57">
        <f>IF($A27&lt;=DAY($D$7),$C$7+$A27-1,"")</f>
        <v>46311</v>
      </c>
      <c r="C27" s="42">
        <f>IF($B27="","",IF($B$2="Todos",SUMIFS(BD!$C$3:$C$5001,BD!$A$3:$A$5001,$B27),SUMIFS(BD!$C$3:$C$5001,BD!$A$3:$A$5001,$B27,BD!$B$3:$B$5001,$D$2)))</f>
        <v>0</v>
      </c>
      <c r="D27" s="42">
        <f>IF($B27="","",IF($B$2="Todos",SUMIFS(BD!$D$3:$D$5001,BD!$A$3:$A$5001,$B27),SUMIFS(BD!$D$3:$D$5001,BD!$A$3:$A$5001,$B27,BD!$B$3:$B$5001,$D$2)))</f>
        <v>0</v>
      </c>
      <c r="E27" s="58">
        <f>IF($B27="","",IF($B$2="Todos",SUMIFS(BD!$E$3:$E$5001,BD!$A$3:$A$5001,$B27),SUMIFS(BD!$E$3:$E$5001,BD!$A$3:$A$5001,$B27,BD!$B$3:$B$5001,$D$2)))</f>
        <v>0</v>
      </c>
      <c r="F27" s="42">
        <f>IF($B27="","",IF($B$2="Todos",SUMIFS(BD!$F$3:$F$5001,BD!$A$3:$A$5001,$B27),SUMIFS(BD!$F$3:$F$5001,BD!$A$3:$A$5001,$B27,BD!$B$3:$B$5001,$D$2)))</f>
        <v>0</v>
      </c>
      <c r="G27" s="42">
        <f>IF($B27="","",IF($B$2="Todos",SUMIFS(BD!$G$3:$G$5001,BD!$A$3:$A$5001,$B27),SUMIFS(BD!$G$3:$G$5001,BD!$A$3:$A$5001,$B27,BD!$B$3:$B$5001,$D$2)))</f>
        <v>0</v>
      </c>
      <c r="H27" s="42">
        <f>IF($B27="","",IF($B$2="Todos",SUMIFS(BD!$H$3:$H$5001,BD!$A$3:$A$5001,$B27),SUMIFS(BD!$H$3:$H$5001,BD!$A$3:$A$5001,$B27,BD!$B$3:$B$5001,$D$2)))</f>
        <v>0</v>
      </c>
      <c r="I27" s="42">
        <f>IF($B27="","",IF($B$2="Todos",SUMIFS(BD!$I$3:$I$5001,BD!$A$3:$A$5001,$B27),SUMIFS(BD!$I$3:$I$5001,BD!$A$3:$A$5001,$B27,BD!$B$3:$B$5001,$D$2)))</f>
        <v>0</v>
      </c>
      <c r="J27" s="58">
        <f>IF($B27="","",IF($B$2="Todos",SUMIFS(BD!$J$3:$J$5001,BD!$A$3:$A$5001,$B27),SUMIFS(BD!$J$3:$J$5001,BD!$A$3:$A$5001,$B27,BD!$B$3:$B$5001,$D$2)))</f>
        <v>0</v>
      </c>
      <c r="K27" s="42">
        <f>IF($B27="","",IF($B$2="Todos",SUMIFS(BD!$K$3:$K$5001,BD!$A$3:$A$5001,$B27),SUMIFS(BD!$K$3:$K$5001,BD!$A$3:$A$5001,$B27,BD!$B$3:$B$5001,$D$2)))</f>
        <v>0</v>
      </c>
      <c r="L27" s="42">
        <f>IF($B27="","",IF($B$2="Todos",SUMIFS(BD!$L$3:$L$5001,BD!$A$3:$A$5001,$B27),SUMIFS(BD!$L$3:$L$5001,BD!$A$3:$A$5001,$B27,BD!$B$3:$B$5001,$D$2)))</f>
        <v>0</v>
      </c>
      <c r="M27" s="42">
        <f>IF($B27="","",IF($B$2="Todos",SUMIFS(BD!$M$3:$M$5001,BD!$A$3:$A$5001,$B27),SUMIFS(BD!$M$3:$M$5001,BD!$A$3:$A$5001,$B27,BD!$B$3:$B$5001,$D$2)))</f>
        <v>0</v>
      </c>
      <c r="N27" s="42">
        <f>IF($B27="","",IF($B$2="Todos",SUMIFS(BD!$N$3:$N$5001,BD!$A$3:$A$5001,$B27),SUMIFS(BD!$N$3:$N$5001,BD!$A$3:$A$5001,$B27,BD!$B$3:$B$5001,$D$2)))</f>
        <v>0</v>
      </c>
      <c r="O27" s="42">
        <f>IF($B27="","",IF($B$2="Todos",SUMIFS(BD!$O$3:$O$5001,BD!$A$3:$A$5001,$B27),SUMIFS(BD!$O$3:$O$5001,BD!$A$3:$A$5001,$B27,BD!$B$3:$B$5001,$D$2)))</f>
        <v>0</v>
      </c>
      <c r="P27" s="42" t="str">
        <f>IF($B$2="Todos",IF(COUNT($C$144:$V$144)=0,"",SUM($C$144:$V$144)),IFERROR(INDEX($C$144:$V$144,MATCH($D$2,$C$128:$V$128,0)),""))</f>
        <v/>
      </c>
      <c r="Q27" s="42" t="str">
        <f>IF($B$2="Todos",IF(COUNT($C$179:$V$179)=0,"",SUM($C$179:$V$179)),IFERROR(INDEX($C$179:$V$179,MATCH($D$2,$C$163:$V$163,0)),""))</f>
        <v/>
      </c>
      <c r="R27" s="59" t="str">
        <f>IF(S27="","",IF($B$2="Todos",IF($B$4&gt;0,$B$4,IF($B$2="Todos",IF(COUNT($C$249:$V$249)=0,"",SUM($C$249:$V$249)),IFERROR(INDEX($C$249:$V$249,MATCH($D$2,$C$233:$V$233,0)),""))),IFERROR(INDEX($C$249:$V$249,MATCH($D$2,$C$233:$V$233,0)),"")))</f>
        <v/>
      </c>
      <c r="S27" s="42" t="str">
        <f>IF($B$2="Todos",IF(COUNT($C$214:$V$214)=0,"",SUM($C$214:$V$214)),IFERROR(INDEX($C$214:$V$214,MATCH($D$2,$C$198:$V$198,0)),""))</f>
        <v/>
      </c>
      <c r="T27" s="60" t="str">
        <f>IF(AND(ISNUMBER(S27),ISNUMBER(R27)),IF(R27&gt;0,S27/R27,""),"")</f>
        <v/>
      </c>
      <c r="U27" s="42" t="str">
        <f>IF($B$2="Todos",IF(COUNT($C$284:$V$284)=0,"",SUM($C$284:$V$284)),IFERROR(INDEX($C$284:$V$284,MATCH($D$2,$C$268:$V$268,0)),""))</f>
        <v/>
      </c>
      <c r="V27" s="42">
        <f>IF($B27="","",IF($B$2="Todos",SUMIFS(BD!$U$3:$U$5001,BD!$A$3:$A$5001,$B27),SUMIFS(BD!$U$3:$U$5001,BD!$A$3:$A$5001,$B27,BD!$B$3:$B$5001,$D$2)))</f>
        <v>0</v>
      </c>
      <c r="W27" s="58">
        <f>IF($B27="","",IF($B$2="Todos",SUMIFS(BD!$V$3:$V$5001,BD!$A$3:$A$5001,$B27),SUMIFS(BD!$V$3:$V$5001,BD!$A$3:$A$5001,$B27,BD!$B$3:$B$5001,$D$2)))</f>
        <v>0</v>
      </c>
      <c r="X27" s="42">
        <f>IF($B27="","",IF($B$2="Todos",SUMIFS(BD!$W$3:$W$5001,BD!$A$3:$A$5001,$B27),SUMIFS(BD!$W$3:$W$5001,BD!$A$3:$A$5001,$B27,BD!$B$3:$B$5001,$D$2)))</f>
        <v>0</v>
      </c>
      <c r="Y27" s="42">
        <f>IF($B27="","",IF($B$2="Todos",SUMIFS(BD!$X$3:$X$5001,BD!$A$3:$A$5001,$B27),SUMIFS(BD!$X$3:$X$5001,BD!$A$3:$A$5001,$B27,BD!$B$3:$B$5001,$D$2)))</f>
        <v>0</v>
      </c>
      <c r="Z27" s="42">
        <f>IF($B27="","",IF($B$2="Todos",SUMIFS(BD!$Y$3:$Y$5001,BD!$A$3:$A$5001,$B27),SUMIFS(BD!$Y$3:$Y$5001,BD!$A$3:$A$5001,$B27,BD!$B$3:$B$5001,$D$2)))</f>
        <v>0</v>
      </c>
      <c r="AA27" s="42">
        <f>IF($B27="","",IF($B$2="Todos",SUMIFS(BD!$Z$3:$Z$5001,BD!$A$3:$A$5001,$B27),SUMIFS(BD!$Z$3:$Z$5001,BD!$A$3:$A$5001,$B27,BD!$B$3:$B$5001,$D$2)))</f>
        <v>0</v>
      </c>
      <c r="AB27" s="42">
        <f>IF($B27="","",IF($B$2="Todos",SUMIFS(BD!$AA$3:$AA$5001,BD!$A$3:$A$5001,$B27),SUMIFS(BD!$AA$3:$AA$5001,BD!$A$3:$A$5001,$B27,BD!$B$3:$B$5001,$D$2)))</f>
        <v>0</v>
      </c>
      <c r="AC27" s="42">
        <f>IF($B27="","",IF($B$2="Todos",SUMIFS(BD!$AB$3:$AB$5001,BD!$A$3:$A$5001,$B27),SUMIFS(BD!$AB$3:$AB$5001,BD!$A$3:$A$5001,$B27,BD!$B$3:$B$5001,$D$2)))</f>
        <v>0</v>
      </c>
      <c r="AD27" s="61">
        <f>$B$5</f>
        <v>0.7</v>
      </c>
      <c r="AE27" s="61">
        <f>$B$6</f>
        <v>0.9</v>
      </c>
      <c r="AN27" s="40" t="str">
        <f>IFERROR(INDEX(Config!$B$10:$B$29,MATCH(15,$AP$13:$AP$32,0))&amp;"","")</f>
        <v/>
      </c>
      <c r="AO27" s="39" t="str">
        <f>IF(AN27="","",IF(INDEX(Config!$C$10:$C$29,MATCH(15,$AP$13:$AP$32,0))&amp;""="","JSL",INDEX(Config!$C$10:$C$29,MATCH(15,$AP$13:$AP$32,0))&amp;""))</f>
        <v/>
      </c>
      <c r="AP27" s="48">
        <f>IF(Config!$B$24&amp;""="",AP26,AP26+1)</f>
        <v>5</v>
      </c>
    </row>
    <row r="28">
      <c r="A28" s="39">
        <v>17</v>
      </c>
      <c r="B28" s="57">
        <f>IF($A28&lt;=DAY($D$7),$C$7+$A28-1,"")</f>
        <v>46312</v>
      </c>
      <c r="C28" s="42">
        <f>IF($B28="","",IF($B$2="Todos",SUMIFS(BD!$C$3:$C$5001,BD!$A$3:$A$5001,$B28),SUMIFS(BD!$C$3:$C$5001,BD!$A$3:$A$5001,$B28,BD!$B$3:$B$5001,$D$2)))</f>
        <v>0</v>
      </c>
      <c r="D28" s="42">
        <f>IF($B28="","",IF($B$2="Todos",SUMIFS(BD!$D$3:$D$5001,BD!$A$3:$A$5001,$B28),SUMIFS(BD!$D$3:$D$5001,BD!$A$3:$A$5001,$B28,BD!$B$3:$B$5001,$D$2)))</f>
        <v>0</v>
      </c>
      <c r="E28" s="58">
        <f>IF($B28="","",IF($B$2="Todos",SUMIFS(BD!$E$3:$E$5001,BD!$A$3:$A$5001,$B28),SUMIFS(BD!$E$3:$E$5001,BD!$A$3:$A$5001,$B28,BD!$B$3:$B$5001,$D$2)))</f>
        <v>0</v>
      </c>
      <c r="F28" s="42">
        <f>IF($B28="","",IF($B$2="Todos",SUMIFS(BD!$F$3:$F$5001,BD!$A$3:$A$5001,$B28),SUMIFS(BD!$F$3:$F$5001,BD!$A$3:$A$5001,$B28,BD!$B$3:$B$5001,$D$2)))</f>
        <v>0</v>
      </c>
      <c r="G28" s="42">
        <f>IF($B28="","",IF($B$2="Todos",SUMIFS(BD!$G$3:$G$5001,BD!$A$3:$A$5001,$B28),SUMIFS(BD!$G$3:$G$5001,BD!$A$3:$A$5001,$B28,BD!$B$3:$B$5001,$D$2)))</f>
        <v>0</v>
      </c>
      <c r="H28" s="42">
        <f>IF($B28="","",IF($B$2="Todos",SUMIFS(BD!$H$3:$H$5001,BD!$A$3:$A$5001,$B28),SUMIFS(BD!$H$3:$H$5001,BD!$A$3:$A$5001,$B28,BD!$B$3:$B$5001,$D$2)))</f>
        <v>0</v>
      </c>
      <c r="I28" s="42">
        <f>IF($B28="","",IF($B$2="Todos",SUMIFS(BD!$I$3:$I$5001,BD!$A$3:$A$5001,$B28),SUMIFS(BD!$I$3:$I$5001,BD!$A$3:$A$5001,$B28,BD!$B$3:$B$5001,$D$2)))</f>
        <v>0</v>
      </c>
      <c r="J28" s="58">
        <f>IF($B28="","",IF($B$2="Todos",SUMIFS(BD!$J$3:$J$5001,BD!$A$3:$A$5001,$B28),SUMIFS(BD!$J$3:$J$5001,BD!$A$3:$A$5001,$B28,BD!$B$3:$B$5001,$D$2)))</f>
        <v>0</v>
      </c>
      <c r="K28" s="42">
        <f>IF($B28="","",IF($B$2="Todos",SUMIFS(BD!$K$3:$K$5001,BD!$A$3:$A$5001,$B28),SUMIFS(BD!$K$3:$K$5001,BD!$A$3:$A$5001,$B28,BD!$B$3:$B$5001,$D$2)))</f>
        <v>0</v>
      </c>
      <c r="L28" s="42">
        <f>IF($B28="","",IF($B$2="Todos",SUMIFS(BD!$L$3:$L$5001,BD!$A$3:$A$5001,$B28),SUMIFS(BD!$L$3:$L$5001,BD!$A$3:$A$5001,$B28,BD!$B$3:$B$5001,$D$2)))</f>
        <v>0</v>
      </c>
      <c r="M28" s="42">
        <f>IF($B28="","",IF($B$2="Todos",SUMIFS(BD!$M$3:$M$5001,BD!$A$3:$A$5001,$B28),SUMIFS(BD!$M$3:$M$5001,BD!$A$3:$A$5001,$B28,BD!$B$3:$B$5001,$D$2)))</f>
        <v>0</v>
      </c>
      <c r="N28" s="42">
        <f>IF($B28="","",IF($B$2="Todos",SUMIFS(BD!$N$3:$N$5001,BD!$A$3:$A$5001,$B28),SUMIFS(BD!$N$3:$N$5001,BD!$A$3:$A$5001,$B28,BD!$B$3:$B$5001,$D$2)))</f>
        <v>0</v>
      </c>
      <c r="O28" s="42">
        <f>IF($B28="","",IF($B$2="Todos",SUMIFS(BD!$O$3:$O$5001,BD!$A$3:$A$5001,$B28),SUMIFS(BD!$O$3:$O$5001,BD!$A$3:$A$5001,$B28,BD!$B$3:$B$5001,$D$2)))</f>
        <v>0</v>
      </c>
      <c r="P28" s="42" t="str">
        <f>IF($B$2="Todos",IF(COUNT($C$145:$V$145)=0,"",SUM($C$145:$V$145)),IFERROR(INDEX($C$145:$V$145,MATCH($D$2,$C$128:$V$128,0)),""))</f>
        <v/>
      </c>
      <c r="Q28" s="42" t="str">
        <f>IF($B$2="Todos",IF(COUNT($C$180:$V$180)=0,"",SUM($C$180:$V$180)),IFERROR(INDEX($C$180:$V$180,MATCH($D$2,$C$163:$V$163,0)),""))</f>
        <v/>
      </c>
      <c r="R28" s="59" t="str">
        <f>IF(S28="","",IF($B$2="Todos",IF($B$4&gt;0,$B$4,IF($B$2="Todos",IF(COUNT($C$250:$V$250)=0,"",SUM($C$250:$V$250)),IFERROR(INDEX($C$250:$V$250,MATCH($D$2,$C$233:$V$233,0)),""))),IFERROR(INDEX($C$250:$V$250,MATCH($D$2,$C$233:$V$233,0)),"")))</f>
        <v/>
      </c>
      <c r="S28" s="42" t="str">
        <f>IF($B$2="Todos",IF(COUNT($C$215:$V$215)=0,"",SUM($C$215:$V$215)),IFERROR(INDEX($C$215:$V$215,MATCH($D$2,$C$198:$V$198,0)),""))</f>
        <v/>
      </c>
      <c r="T28" s="60" t="str">
        <f>IF(AND(ISNUMBER(S28),ISNUMBER(R28)),IF(R28&gt;0,S28/R28,""),"")</f>
        <v/>
      </c>
      <c r="U28" s="42" t="str">
        <f>IF($B$2="Todos",IF(COUNT($C$285:$V$285)=0,"",SUM($C$285:$V$285)),IFERROR(INDEX($C$285:$V$285,MATCH($D$2,$C$268:$V$268,0)),""))</f>
        <v/>
      </c>
      <c r="V28" s="42">
        <f>IF($B28="","",IF($B$2="Todos",SUMIFS(BD!$U$3:$U$5001,BD!$A$3:$A$5001,$B28),SUMIFS(BD!$U$3:$U$5001,BD!$A$3:$A$5001,$B28,BD!$B$3:$B$5001,$D$2)))</f>
        <v>0</v>
      </c>
      <c r="W28" s="58">
        <f>IF($B28="","",IF($B$2="Todos",SUMIFS(BD!$V$3:$V$5001,BD!$A$3:$A$5001,$B28),SUMIFS(BD!$V$3:$V$5001,BD!$A$3:$A$5001,$B28,BD!$B$3:$B$5001,$D$2)))</f>
        <v>0</v>
      </c>
      <c r="X28" s="42">
        <f>IF($B28="","",IF($B$2="Todos",SUMIFS(BD!$W$3:$W$5001,BD!$A$3:$A$5001,$B28),SUMIFS(BD!$W$3:$W$5001,BD!$A$3:$A$5001,$B28,BD!$B$3:$B$5001,$D$2)))</f>
        <v>0</v>
      </c>
      <c r="Y28" s="42">
        <f>IF($B28="","",IF($B$2="Todos",SUMIFS(BD!$X$3:$X$5001,BD!$A$3:$A$5001,$B28),SUMIFS(BD!$X$3:$X$5001,BD!$A$3:$A$5001,$B28,BD!$B$3:$B$5001,$D$2)))</f>
        <v>0</v>
      </c>
      <c r="Z28" s="42">
        <f>IF($B28="","",IF($B$2="Todos",SUMIFS(BD!$Y$3:$Y$5001,BD!$A$3:$A$5001,$B28),SUMIFS(BD!$Y$3:$Y$5001,BD!$A$3:$A$5001,$B28,BD!$B$3:$B$5001,$D$2)))</f>
        <v>0</v>
      </c>
      <c r="AA28" s="42">
        <f>IF($B28="","",IF($B$2="Todos",SUMIFS(BD!$Z$3:$Z$5001,BD!$A$3:$A$5001,$B28),SUMIFS(BD!$Z$3:$Z$5001,BD!$A$3:$A$5001,$B28,BD!$B$3:$B$5001,$D$2)))</f>
        <v>0</v>
      </c>
      <c r="AB28" s="42">
        <f>IF($B28="","",IF($B$2="Todos",SUMIFS(BD!$AA$3:$AA$5001,BD!$A$3:$A$5001,$B28),SUMIFS(BD!$AA$3:$AA$5001,BD!$A$3:$A$5001,$B28,BD!$B$3:$B$5001,$D$2)))</f>
        <v>0</v>
      </c>
      <c r="AC28" s="42">
        <f>IF($B28="","",IF($B$2="Todos",SUMIFS(BD!$AB$3:$AB$5001,BD!$A$3:$A$5001,$B28),SUMIFS(BD!$AB$3:$AB$5001,BD!$A$3:$A$5001,$B28,BD!$B$3:$B$5001,$D$2)))</f>
        <v>0</v>
      </c>
      <c r="AD28" s="61">
        <f>$B$5</f>
        <v>0.7</v>
      </c>
      <c r="AE28" s="61">
        <f>$B$6</f>
        <v>0.9</v>
      </c>
      <c r="AN28" s="40" t="str">
        <f>IFERROR(INDEX(Config!$B$10:$B$29,MATCH(16,$AP$13:$AP$32,0))&amp;"","")</f>
        <v/>
      </c>
      <c r="AO28" s="39" t="str">
        <f>IF(AN28="","",IF(INDEX(Config!$C$10:$C$29,MATCH(16,$AP$13:$AP$32,0))&amp;""="","JSL",INDEX(Config!$C$10:$C$29,MATCH(16,$AP$13:$AP$32,0))&amp;""))</f>
        <v/>
      </c>
      <c r="AP28" s="48">
        <f>IF(Config!$B$25&amp;""="",AP27,AP27+1)</f>
        <v>5</v>
      </c>
    </row>
    <row r="29">
      <c r="A29" s="39">
        <v>18</v>
      </c>
      <c r="B29" s="57">
        <f>IF($A29&lt;=DAY($D$7),$C$7+$A29-1,"")</f>
        <v>46313</v>
      </c>
      <c r="C29" s="42">
        <f>IF($B29="","",IF($B$2="Todos",SUMIFS(BD!$C$3:$C$5001,BD!$A$3:$A$5001,$B29),SUMIFS(BD!$C$3:$C$5001,BD!$A$3:$A$5001,$B29,BD!$B$3:$B$5001,$D$2)))</f>
        <v>0</v>
      </c>
      <c r="D29" s="42">
        <f>IF($B29="","",IF($B$2="Todos",SUMIFS(BD!$D$3:$D$5001,BD!$A$3:$A$5001,$B29),SUMIFS(BD!$D$3:$D$5001,BD!$A$3:$A$5001,$B29,BD!$B$3:$B$5001,$D$2)))</f>
        <v>0</v>
      </c>
      <c r="E29" s="58">
        <f>IF($B29="","",IF($B$2="Todos",SUMIFS(BD!$E$3:$E$5001,BD!$A$3:$A$5001,$B29),SUMIFS(BD!$E$3:$E$5001,BD!$A$3:$A$5001,$B29,BD!$B$3:$B$5001,$D$2)))</f>
        <v>0</v>
      </c>
      <c r="F29" s="42">
        <f>IF($B29="","",IF($B$2="Todos",SUMIFS(BD!$F$3:$F$5001,BD!$A$3:$A$5001,$B29),SUMIFS(BD!$F$3:$F$5001,BD!$A$3:$A$5001,$B29,BD!$B$3:$B$5001,$D$2)))</f>
        <v>0</v>
      </c>
      <c r="G29" s="42">
        <f>IF($B29="","",IF($B$2="Todos",SUMIFS(BD!$G$3:$G$5001,BD!$A$3:$A$5001,$B29),SUMIFS(BD!$G$3:$G$5001,BD!$A$3:$A$5001,$B29,BD!$B$3:$B$5001,$D$2)))</f>
        <v>0</v>
      </c>
      <c r="H29" s="42">
        <f>IF($B29="","",IF($B$2="Todos",SUMIFS(BD!$H$3:$H$5001,BD!$A$3:$A$5001,$B29),SUMIFS(BD!$H$3:$H$5001,BD!$A$3:$A$5001,$B29,BD!$B$3:$B$5001,$D$2)))</f>
        <v>0</v>
      </c>
      <c r="I29" s="42">
        <f>IF($B29="","",IF($B$2="Todos",SUMIFS(BD!$I$3:$I$5001,BD!$A$3:$A$5001,$B29),SUMIFS(BD!$I$3:$I$5001,BD!$A$3:$A$5001,$B29,BD!$B$3:$B$5001,$D$2)))</f>
        <v>0</v>
      </c>
      <c r="J29" s="58">
        <f>IF($B29="","",IF($B$2="Todos",SUMIFS(BD!$J$3:$J$5001,BD!$A$3:$A$5001,$B29),SUMIFS(BD!$J$3:$J$5001,BD!$A$3:$A$5001,$B29,BD!$B$3:$B$5001,$D$2)))</f>
        <v>0</v>
      </c>
      <c r="K29" s="42">
        <f>IF($B29="","",IF($B$2="Todos",SUMIFS(BD!$K$3:$K$5001,BD!$A$3:$A$5001,$B29),SUMIFS(BD!$K$3:$K$5001,BD!$A$3:$A$5001,$B29,BD!$B$3:$B$5001,$D$2)))</f>
        <v>0</v>
      </c>
      <c r="L29" s="42">
        <f>IF($B29="","",IF($B$2="Todos",SUMIFS(BD!$L$3:$L$5001,BD!$A$3:$A$5001,$B29),SUMIFS(BD!$L$3:$L$5001,BD!$A$3:$A$5001,$B29,BD!$B$3:$B$5001,$D$2)))</f>
        <v>0</v>
      </c>
      <c r="M29" s="42">
        <f>IF($B29="","",IF($B$2="Todos",SUMIFS(BD!$M$3:$M$5001,BD!$A$3:$A$5001,$B29),SUMIFS(BD!$M$3:$M$5001,BD!$A$3:$A$5001,$B29,BD!$B$3:$B$5001,$D$2)))</f>
        <v>0</v>
      </c>
      <c r="N29" s="42">
        <f>IF($B29="","",IF($B$2="Todos",SUMIFS(BD!$N$3:$N$5001,BD!$A$3:$A$5001,$B29),SUMIFS(BD!$N$3:$N$5001,BD!$A$3:$A$5001,$B29,BD!$B$3:$B$5001,$D$2)))</f>
        <v>0</v>
      </c>
      <c r="O29" s="42">
        <f>IF($B29="","",IF($B$2="Todos",SUMIFS(BD!$O$3:$O$5001,BD!$A$3:$A$5001,$B29),SUMIFS(BD!$O$3:$O$5001,BD!$A$3:$A$5001,$B29,BD!$B$3:$B$5001,$D$2)))</f>
        <v>0</v>
      </c>
      <c r="P29" s="42" t="str">
        <f>IF($B$2="Todos",IF(COUNT($C$146:$V$146)=0,"",SUM($C$146:$V$146)),IFERROR(INDEX($C$146:$V$146,MATCH($D$2,$C$128:$V$128,0)),""))</f>
        <v/>
      </c>
      <c r="Q29" s="42" t="str">
        <f>IF($B$2="Todos",IF(COUNT($C$181:$V$181)=0,"",SUM($C$181:$V$181)),IFERROR(INDEX($C$181:$V$181,MATCH($D$2,$C$163:$V$163,0)),""))</f>
        <v/>
      </c>
      <c r="R29" s="59" t="str">
        <f>IF(S29="","",IF($B$2="Todos",IF($B$4&gt;0,$B$4,IF($B$2="Todos",IF(COUNT($C$251:$V$251)=0,"",SUM($C$251:$V$251)),IFERROR(INDEX($C$251:$V$251,MATCH($D$2,$C$233:$V$233,0)),""))),IFERROR(INDEX($C$251:$V$251,MATCH($D$2,$C$233:$V$233,0)),"")))</f>
        <v/>
      </c>
      <c r="S29" s="42" t="str">
        <f>IF($B$2="Todos",IF(COUNT($C$216:$V$216)=0,"",SUM($C$216:$V$216)),IFERROR(INDEX($C$216:$V$216,MATCH($D$2,$C$198:$V$198,0)),""))</f>
        <v/>
      </c>
      <c r="T29" s="60" t="str">
        <f>IF(AND(ISNUMBER(S29),ISNUMBER(R29)),IF(R29&gt;0,S29/R29,""),"")</f>
        <v/>
      </c>
      <c r="U29" s="42" t="str">
        <f>IF($B$2="Todos",IF(COUNT($C$286:$V$286)=0,"",SUM($C$286:$V$286)),IFERROR(INDEX($C$286:$V$286,MATCH($D$2,$C$268:$V$268,0)),""))</f>
        <v/>
      </c>
      <c r="V29" s="42">
        <f>IF($B29="","",IF($B$2="Todos",SUMIFS(BD!$U$3:$U$5001,BD!$A$3:$A$5001,$B29),SUMIFS(BD!$U$3:$U$5001,BD!$A$3:$A$5001,$B29,BD!$B$3:$B$5001,$D$2)))</f>
        <v>0</v>
      </c>
      <c r="W29" s="58">
        <f>IF($B29="","",IF($B$2="Todos",SUMIFS(BD!$V$3:$V$5001,BD!$A$3:$A$5001,$B29),SUMIFS(BD!$V$3:$V$5001,BD!$A$3:$A$5001,$B29,BD!$B$3:$B$5001,$D$2)))</f>
        <v>0</v>
      </c>
      <c r="X29" s="42">
        <f>IF($B29="","",IF($B$2="Todos",SUMIFS(BD!$W$3:$W$5001,BD!$A$3:$A$5001,$B29),SUMIFS(BD!$W$3:$W$5001,BD!$A$3:$A$5001,$B29,BD!$B$3:$B$5001,$D$2)))</f>
        <v>0</v>
      </c>
      <c r="Y29" s="42">
        <f>IF($B29="","",IF($B$2="Todos",SUMIFS(BD!$X$3:$X$5001,BD!$A$3:$A$5001,$B29),SUMIFS(BD!$X$3:$X$5001,BD!$A$3:$A$5001,$B29,BD!$B$3:$B$5001,$D$2)))</f>
        <v>0</v>
      </c>
      <c r="Z29" s="42">
        <f>IF($B29="","",IF($B$2="Todos",SUMIFS(BD!$Y$3:$Y$5001,BD!$A$3:$A$5001,$B29),SUMIFS(BD!$Y$3:$Y$5001,BD!$A$3:$A$5001,$B29,BD!$B$3:$B$5001,$D$2)))</f>
        <v>0</v>
      </c>
      <c r="AA29" s="42">
        <f>IF($B29="","",IF($B$2="Todos",SUMIFS(BD!$Z$3:$Z$5001,BD!$A$3:$A$5001,$B29),SUMIFS(BD!$Z$3:$Z$5001,BD!$A$3:$A$5001,$B29,BD!$B$3:$B$5001,$D$2)))</f>
        <v>0</v>
      </c>
      <c r="AB29" s="42">
        <f>IF($B29="","",IF($B$2="Todos",SUMIFS(BD!$AA$3:$AA$5001,BD!$A$3:$A$5001,$B29),SUMIFS(BD!$AA$3:$AA$5001,BD!$A$3:$A$5001,$B29,BD!$B$3:$B$5001,$D$2)))</f>
        <v>0</v>
      </c>
      <c r="AC29" s="42">
        <f>IF($B29="","",IF($B$2="Todos",SUMIFS(BD!$AB$3:$AB$5001,BD!$A$3:$A$5001,$B29),SUMIFS(BD!$AB$3:$AB$5001,BD!$A$3:$A$5001,$B29,BD!$B$3:$B$5001,$D$2)))</f>
        <v>0</v>
      </c>
      <c r="AD29" s="61">
        <f>$B$5</f>
        <v>0.7</v>
      </c>
      <c r="AE29" s="61">
        <f>$B$6</f>
        <v>0.9</v>
      </c>
      <c r="AN29" s="40" t="str">
        <f>IFERROR(INDEX(Config!$B$10:$B$29,MATCH(17,$AP$13:$AP$32,0))&amp;"","")</f>
        <v/>
      </c>
      <c r="AO29" s="39" t="str">
        <f>IF(AN29="","",IF(INDEX(Config!$C$10:$C$29,MATCH(17,$AP$13:$AP$32,0))&amp;""="","JSL",INDEX(Config!$C$10:$C$29,MATCH(17,$AP$13:$AP$32,0))&amp;""))</f>
        <v/>
      </c>
      <c r="AP29" s="48">
        <f>IF(Config!$B$26&amp;""="",AP28,AP28+1)</f>
        <v>5</v>
      </c>
    </row>
    <row r="30">
      <c r="A30" s="39">
        <v>19</v>
      </c>
      <c r="B30" s="57">
        <f>IF($A30&lt;=DAY($D$7),$C$7+$A30-1,"")</f>
        <v>46314</v>
      </c>
      <c r="C30" s="42">
        <f>IF($B30="","",IF($B$2="Todos",SUMIFS(BD!$C$3:$C$5001,BD!$A$3:$A$5001,$B30),SUMIFS(BD!$C$3:$C$5001,BD!$A$3:$A$5001,$B30,BD!$B$3:$B$5001,$D$2)))</f>
        <v>0</v>
      </c>
      <c r="D30" s="42">
        <f>IF($B30="","",IF($B$2="Todos",SUMIFS(BD!$D$3:$D$5001,BD!$A$3:$A$5001,$B30),SUMIFS(BD!$D$3:$D$5001,BD!$A$3:$A$5001,$B30,BD!$B$3:$B$5001,$D$2)))</f>
        <v>0</v>
      </c>
      <c r="E30" s="58">
        <f>IF($B30="","",IF($B$2="Todos",SUMIFS(BD!$E$3:$E$5001,BD!$A$3:$A$5001,$B30),SUMIFS(BD!$E$3:$E$5001,BD!$A$3:$A$5001,$B30,BD!$B$3:$B$5001,$D$2)))</f>
        <v>0</v>
      </c>
      <c r="F30" s="42">
        <f>IF($B30="","",IF($B$2="Todos",SUMIFS(BD!$F$3:$F$5001,BD!$A$3:$A$5001,$B30),SUMIFS(BD!$F$3:$F$5001,BD!$A$3:$A$5001,$B30,BD!$B$3:$B$5001,$D$2)))</f>
        <v>0</v>
      </c>
      <c r="G30" s="42">
        <f>IF($B30="","",IF($B$2="Todos",SUMIFS(BD!$G$3:$G$5001,BD!$A$3:$A$5001,$B30),SUMIFS(BD!$G$3:$G$5001,BD!$A$3:$A$5001,$B30,BD!$B$3:$B$5001,$D$2)))</f>
        <v>0</v>
      </c>
      <c r="H30" s="42">
        <f>IF($B30="","",IF($B$2="Todos",SUMIFS(BD!$H$3:$H$5001,BD!$A$3:$A$5001,$B30),SUMIFS(BD!$H$3:$H$5001,BD!$A$3:$A$5001,$B30,BD!$B$3:$B$5001,$D$2)))</f>
        <v>0</v>
      </c>
      <c r="I30" s="42">
        <f>IF($B30="","",IF($B$2="Todos",SUMIFS(BD!$I$3:$I$5001,BD!$A$3:$A$5001,$B30),SUMIFS(BD!$I$3:$I$5001,BD!$A$3:$A$5001,$B30,BD!$B$3:$B$5001,$D$2)))</f>
        <v>0</v>
      </c>
      <c r="J30" s="58">
        <f>IF($B30="","",IF($B$2="Todos",SUMIFS(BD!$J$3:$J$5001,BD!$A$3:$A$5001,$B30),SUMIFS(BD!$J$3:$J$5001,BD!$A$3:$A$5001,$B30,BD!$B$3:$B$5001,$D$2)))</f>
        <v>0</v>
      </c>
      <c r="K30" s="42">
        <f>IF($B30="","",IF($B$2="Todos",SUMIFS(BD!$K$3:$K$5001,BD!$A$3:$A$5001,$B30),SUMIFS(BD!$K$3:$K$5001,BD!$A$3:$A$5001,$B30,BD!$B$3:$B$5001,$D$2)))</f>
        <v>0</v>
      </c>
      <c r="L30" s="42">
        <f>IF($B30="","",IF($B$2="Todos",SUMIFS(BD!$L$3:$L$5001,BD!$A$3:$A$5001,$B30),SUMIFS(BD!$L$3:$L$5001,BD!$A$3:$A$5001,$B30,BD!$B$3:$B$5001,$D$2)))</f>
        <v>0</v>
      </c>
      <c r="M30" s="42">
        <f>IF($B30="","",IF($B$2="Todos",SUMIFS(BD!$M$3:$M$5001,BD!$A$3:$A$5001,$B30),SUMIFS(BD!$M$3:$M$5001,BD!$A$3:$A$5001,$B30,BD!$B$3:$B$5001,$D$2)))</f>
        <v>0</v>
      </c>
      <c r="N30" s="42">
        <f>IF($B30="","",IF($B$2="Todos",SUMIFS(BD!$N$3:$N$5001,BD!$A$3:$A$5001,$B30),SUMIFS(BD!$N$3:$N$5001,BD!$A$3:$A$5001,$B30,BD!$B$3:$B$5001,$D$2)))</f>
        <v>0</v>
      </c>
      <c r="O30" s="42">
        <f>IF($B30="","",IF($B$2="Todos",SUMIFS(BD!$O$3:$O$5001,BD!$A$3:$A$5001,$B30),SUMIFS(BD!$O$3:$O$5001,BD!$A$3:$A$5001,$B30,BD!$B$3:$B$5001,$D$2)))</f>
        <v>0</v>
      </c>
      <c r="P30" s="42" t="str">
        <f>IF($B$2="Todos",IF(COUNT($C$147:$V$147)=0,"",SUM($C$147:$V$147)),IFERROR(INDEX($C$147:$V$147,MATCH($D$2,$C$128:$V$128,0)),""))</f>
        <v/>
      </c>
      <c r="Q30" s="42" t="str">
        <f>IF($B$2="Todos",IF(COUNT($C$182:$V$182)=0,"",SUM($C$182:$V$182)),IFERROR(INDEX($C$182:$V$182,MATCH($D$2,$C$163:$V$163,0)),""))</f>
        <v/>
      </c>
      <c r="R30" s="59" t="str">
        <f>IF(S30="","",IF($B$2="Todos",IF($B$4&gt;0,$B$4,IF($B$2="Todos",IF(COUNT($C$252:$V$252)=0,"",SUM($C$252:$V$252)),IFERROR(INDEX($C$252:$V$252,MATCH($D$2,$C$233:$V$233,0)),""))),IFERROR(INDEX($C$252:$V$252,MATCH($D$2,$C$233:$V$233,0)),"")))</f>
        <v/>
      </c>
      <c r="S30" s="42" t="str">
        <f>IF($B$2="Todos",IF(COUNT($C$217:$V$217)=0,"",SUM($C$217:$V$217)),IFERROR(INDEX($C$217:$V$217,MATCH($D$2,$C$198:$V$198,0)),""))</f>
        <v/>
      </c>
      <c r="T30" s="60" t="str">
        <f>IF(AND(ISNUMBER(S30),ISNUMBER(R30)),IF(R30&gt;0,S30/R30,""),"")</f>
        <v/>
      </c>
      <c r="U30" s="42" t="str">
        <f>IF($B$2="Todos",IF(COUNT($C$287:$V$287)=0,"",SUM($C$287:$V$287)),IFERROR(INDEX($C$287:$V$287,MATCH($D$2,$C$268:$V$268,0)),""))</f>
        <v/>
      </c>
      <c r="V30" s="42">
        <f>IF($B30="","",IF($B$2="Todos",SUMIFS(BD!$U$3:$U$5001,BD!$A$3:$A$5001,$B30),SUMIFS(BD!$U$3:$U$5001,BD!$A$3:$A$5001,$B30,BD!$B$3:$B$5001,$D$2)))</f>
        <v>0</v>
      </c>
      <c r="W30" s="58">
        <f>IF($B30="","",IF($B$2="Todos",SUMIFS(BD!$V$3:$V$5001,BD!$A$3:$A$5001,$B30),SUMIFS(BD!$V$3:$V$5001,BD!$A$3:$A$5001,$B30,BD!$B$3:$B$5001,$D$2)))</f>
        <v>0</v>
      </c>
      <c r="X30" s="42">
        <f>IF($B30="","",IF($B$2="Todos",SUMIFS(BD!$W$3:$W$5001,BD!$A$3:$A$5001,$B30),SUMIFS(BD!$W$3:$W$5001,BD!$A$3:$A$5001,$B30,BD!$B$3:$B$5001,$D$2)))</f>
        <v>0</v>
      </c>
      <c r="Y30" s="42">
        <f>IF($B30="","",IF($B$2="Todos",SUMIFS(BD!$X$3:$X$5001,BD!$A$3:$A$5001,$B30),SUMIFS(BD!$X$3:$X$5001,BD!$A$3:$A$5001,$B30,BD!$B$3:$B$5001,$D$2)))</f>
        <v>0</v>
      </c>
      <c r="Z30" s="42">
        <f>IF($B30="","",IF($B$2="Todos",SUMIFS(BD!$Y$3:$Y$5001,BD!$A$3:$A$5001,$B30),SUMIFS(BD!$Y$3:$Y$5001,BD!$A$3:$A$5001,$B30,BD!$B$3:$B$5001,$D$2)))</f>
        <v>0</v>
      </c>
      <c r="AA30" s="42">
        <f>IF($B30="","",IF($B$2="Todos",SUMIFS(BD!$Z$3:$Z$5001,BD!$A$3:$A$5001,$B30),SUMIFS(BD!$Z$3:$Z$5001,BD!$A$3:$A$5001,$B30,BD!$B$3:$B$5001,$D$2)))</f>
        <v>0</v>
      </c>
      <c r="AB30" s="42">
        <f>IF($B30="","",IF($B$2="Todos",SUMIFS(BD!$AA$3:$AA$5001,BD!$A$3:$A$5001,$B30),SUMIFS(BD!$AA$3:$AA$5001,BD!$A$3:$A$5001,$B30,BD!$B$3:$B$5001,$D$2)))</f>
        <v>0</v>
      </c>
      <c r="AC30" s="42">
        <f>IF($B30="","",IF($B$2="Todos",SUMIFS(BD!$AB$3:$AB$5001,BD!$A$3:$A$5001,$B30),SUMIFS(BD!$AB$3:$AB$5001,BD!$A$3:$A$5001,$B30,BD!$B$3:$B$5001,$D$2)))</f>
        <v>0</v>
      </c>
      <c r="AD30" s="61">
        <f>$B$5</f>
        <v>0.7</v>
      </c>
      <c r="AE30" s="61">
        <f>$B$6</f>
        <v>0.9</v>
      </c>
      <c r="AN30" s="40" t="str">
        <f>IFERROR(INDEX(Config!$B$10:$B$29,MATCH(18,$AP$13:$AP$32,0))&amp;"","")</f>
        <v/>
      </c>
      <c r="AO30" s="39" t="str">
        <f>IF(AN30="","",IF(INDEX(Config!$C$10:$C$29,MATCH(18,$AP$13:$AP$32,0))&amp;""="","JSL",INDEX(Config!$C$10:$C$29,MATCH(18,$AP$13:$AP$32,0))&amp;""))</f>
        <v/>
      </c>
      <c r="AP30" s="48">
        <f>IF(Config!$B$27&amp;""="",AP29,AP29+1)</f>
        <v>5</v>
      </c>
    </row>
    <row r="31">
      <c r="A31" s="39">
        <v>20</v>
      </c>
      <c r="B31" s="57">
        <f>IF($A31&lt;=DAY($D$7),$C$7+$A31-1,"")</f>
        <v>46315</v>
      </c>
      <c r="C31" s="42">
        <f>IF($B31="","",IF($B$2="Todos",SUMIFS(BD!$C$3:$C$5001,BD!$A$3:$A$5001,$B31),SUMIFS(BD!$C$3:$C$5001,BD!$A$3:$A$5001,$B31,BD!$B$3:$B$5001,$D$2)))</f>
        <v>0</v>
      </c>
      <c r="D31" s="42">
        <f>IF($B31="","",IF($B$2="Todos",SUMIFS(BD!$D$3:$D$5001,BD!$A$3:$A$5001,$B31),SUMIFS(BD!$D$3:$D$5001,BD!$A$3:$A$5001,$B31,BD!$B$3:$B$5001,$D$2)))</f>
        <v>0</v>
      </c>
      <c r="E31" s="58">
        <f>IF($B31="","",IF($B$2="Todos",SUMIFS(BD!$E$3:$E$5001,BD!$A$3:$A$5001,$B31),SUMIFS(BD!$E$3:$E$5001,BD!$A$3:$A$5001,$B31,BD!$B$3:$B$5001,$D$2)))</f>
        <v>0</v>
      </c>
      <c r="F31" s="42">
        <f>IF($B31="","",IF($B$2="Todos",SUMIFS(BD!$F$3:$F$5001,BD!$A$3:$A$5001,$B31),SUMIFS(BD!$F$3:$F$5001,BD!$A$3:$A$5001,$B31,BD!$B$3:$B$5001,$D$2)))</f>
        <v>0</v>
      </c>
      <c r="G31" s="42">
        <f>IF($B31="","",IF($B$2="Todos",SUMIFS(BD!$G$3:$G$5001,BD!$A$3:$A$5001,$B31),SUMIFS(BD!$G$3:$G$5001,BD!$A$3:$A$5001,$B31,BD!$B$3:$B$5001,$D$2)))</f>
        <v>0</v>
      </c>
      <c r="H31" s="42">
        <f>IF($B31="","",IF($B$2="Todos",SUMIFS(BD!$H$3:$H$5001,BD!$A$3:$A$5001,$B31),SUMIFS(BD!$H$3:$H$5001,BD!$A$3:$A$5001,$B31,BD!$B$3:$B$5001,$D$2)))</f>
        <v>0</v>
      </c>
      <c r="I31" s="42">
        <f>IF($B31="","",IF($B$2="Todos",SUMIFS(BD!$I$3:$I$5001,BD!$A$3:$A$5001,$B31),SUMIFS(BD!$I$3:$I$5001,BD!$A$3:$A$5001,$B31,BD!$B$3:$B$5001,$D$2)))</f>
        <v>0</v>
      </c>
      <c r="J31" s="58">
        <f>IF($B31="","",IF($B$2="Todos",SUMIFS(BD!$J$3:$J$5001,BD!$A$3:$A$5001,$B31),SUMIFS(BD!$J$3:$J$5001,BD!$A$3:$A$5001,$B31,BD!$B$3:$B$5001,$D$2)))</f>
        <v>0</v>
      </c>
      <c r="K31" s="42">
        <f>IF($B31="","",IF($B$2="Todos",SUMIFS(BD!$K$3:$K$5001,BD!$A$3:$A$5001,$B31),SUMIFS(BD!$K$3:$K$5001,BD!$A$3:$A$5001,$B31,BD!$B$3:$B$5001,$D$2)))</f>
        <v>0</v>
      </c>
      <c r="L31" s="42">
        <f>IF($B31="","",IF($B$2="Todos",SUMIFS(BD!$L$3:$L$5001,BD!$A$3:$A$5001,$B31),SUMIFS(BD!$L$3:$L$5001,BD!$A$3:$A$5001,$B31,BD!$B$3:$B$5001,$D$2)))</f>
        <v>0</v>
      </c>
      <c r="M31" s="42">
        <f>IF($B31="","",IF($B$2="Todos",SUMIFS(BD!$M$3:$M$5001,BD!$A$3:$A$5001,$B31),SUMIFS(BD!$M$3:$M$5001,BD!$A$3:$A$5001,$B31,BD!$B$3:$B$5001,$D$2)))</f>
        <v>0</v>
      </c>
      <c r="N31" s="42">
        <f>IF($B31="","",IF($B$2="Todos",SUMIFS(BD!$N$3:$N$5001,BD!$A$3:$A$5001,$B31),SUMIFS(BD!$N$3:$N$5001,BD!$A$3:$A$5001,$B31,BD!$B$3:$B$5001,$D$2)))</f>
        <v>0</v>
      </c>
      <c r="O31" s="42">
        <f>IF($B31="","",IF($B$2="Todos",SUMIFS(BD!$O$3:$O$5001,BD!$A$3:$A$5001,$B31),SUMIFS(BD!$O$3:$O$5001,BD!$A$3:$A$5001,$B31,BD!$B$3:$B$5001,$D$2)))</f>
        <v>0</v>
      </c>
      <c r="P31" s="42" t="str">
        <f>IF($B$2="Todos",IF(COUNT($C$148:$V$148)=0,"",SUM($C$148:$V$148)),IFERROR(INDEX($C$148:$V$148,MATCH($D$2,$C$128:$V$128,0)),""))</f>
        <v/>
      </c>
      <c r="Q31" s="42" t="str">
        <f>IF($B$2="Todos",IF(COUNT($C$183:$V$183)=0,"",SUM($C$183:$V$183)),IFERROR(INDEX($C$183:$V$183,MATCH($D$2,$C$163:$V$163,0)),""))</f>
        <v/>
      </c>
      <c r="R31" s="59" t="str">
        <f>IF(S31="","",IF($B$2="Todos",IF($B$4&gt;0,$B$4,IF($B$2="Todos",IF(COUNT($C$253:$V$253)=0,"",SUM($C$253:$V$253)),IFERROR(INDEX($C$253:$V$253,MATCH($D$2,$C$233:$V$233,0)),""))),IFERROR(INDEX($C$253:$V$253,MATCH($D$2,$C$233:$V$233,0)),"")))</f>
        <v/>
      </c>
      <c r="S31" s="42" t="str">
        <f>IF($B$2="Todos",IF(COUNT($C$218:$V$218)=0,"",SUM($C$218:$V$218)),IFERROR(INDEX($C$218:$V$218,MATCH($D$2,$C$198:$V$198,0)),""))</f>
        <v/>
      </c>
      <c r="T31" s="60" t="str">
        <f>IF(AND(ISNUMBER(S31),ISNUMBER(R31)),IF(R31&gt;0,S31/R31,""),"")</f>
        <v/>
      </c>
      <c r="U31" s="42" t="str">
        <f>IF($B$2="Todos",IF(COUNT($C$288:$V$288)=0,"",SUM($C$288:$V$288)),IFERROR(INDEX($C$288:$V$288,MATCH($D$2,$C$268:$V$268,0)),""))</f>
        <v/>
      </c>
      <c r="V31" s="42">
        <f>IF($B31="","",IF($B$2="Todos",SUMIFS(BD!$U$3:$U$5001,BD!$A$3:$A$5001,$B31),SUMIFS(BD!$U$3:$U$5001,BD!$A$3:$A$5001,$B31,BD!$B$3:$B$5001,$D$2)))</f>
        <v>0</v>
      </c>
      <c r="W31" s="58">
        <f>IF($B31="","",IF($B$2="Todos",SUMIFS(BD!$V$3:$V$5001,BD!$A$3:$A$5001,$B31),SUMIFS(BD!$V$3:$V$5001,BD!$A$3:$A$5001,$B31,BD!$B$3:$B$5001,$D$2)))</f>
        <v>0</v>
      </c>
      <c r="X31" s="42">
        <f>IF($B31="","",IF($B$2="Todos",SUMIFS(BD!$W$3:$W$5001,BD!$A$3:$A$5001,$B31),SUMIFS(BD!$W$3:$W$5001,BD!$A$3:$A$5001,$B31,BD!$B$3:$B$5001,$D$2)))</f>
        <v>0</v>
      </c>
      <c r="Y31" s="42">
        <f>IF($B31="","",IF($B$2="Todos",SUMIFS(BD!$X$3:$X$5001,BD!$A$3:$A$5001,$B31),SUMIFS(BD!$X$3:$X$5001,BD!$A$3:$A$5001,$B31,BD!$B$3:$B$5001,$D$2)))</f>
        <v>0</v>
      </c>
      <c r="Z31" s="42">
        <f>IF($B31="","",IF($B$2="Todos",SUMIFS(BD!$Y$3:$Y$5001,BD!$A$3:$A$5001,$B31),SUMIFS(BD!$Y$3:$Y$5001,BD!$A$3:$A$5001,$B31,BD!$B$3:$B$5001,$D$2)))</f>
        <v>0</v>
      </c>
      <c r="AA31" s="42">
        <f>IF($B31="","",IF($B$2="Todos",SUMIFS(BD!$Z$3:$Z$5001,BD!$A$3:$A$5001,$B31),SUMIFS(BD!$Z$3:$Z$5001,BD!$A$3:$A$5001,$B31,BD!$B$3:$B$5001,$D$2)))</f>
        <v>0</v>
      </c>
      <c r="AB31" s="42">
        <f>IF($B31="","",IF($B$2="Todos",SUMIFS(BD!$AA$3:$AA$5001,BD!$A$3:$A$5001,$B31),SUMIFS(BD!$AA$3:$AA$5001,BD!$A$3:$A$5001,$B31,BD!$B$3:$B$5001,$D$2)))</f>
        <v>0</v>
      </c>
      <c r="AC31" s="42">
        <f>IF($B31="","",IF($B$2="Todos",SUMIFS(BD!$AB$3:$AB$5001,BD!$A$3:$A$5001,$B31),SUMIFS(BD!$AB$3:$AB$5001,BD!$A$3:$A$5001,$B31,BD!$B$3:$B$5001,$D$2)))</f>
        <v>0</v>
      </c>
      <c r="AD31" s="61">
        <f>$B$5</f>
        <v>0.7</v>
      </c>
      <c r="AE31" s="61">
        <f>$B$6</f>
        <v>0.9</v>
      </c>
      <c r="AN31" s="40" t="str">
        <f>IFERROR(INDEX(Config!$B$10:$B$29,MATCH(19,$AP$13:$AP$32,0))&amp;"","")</f>
        <v/>
      </c>
      <c r="AO31" s="39" t="str">
        <f>IF(AN31="","",IF(INDEX(Config!$C$10:$C$29,MATCH(19,$AP$13:$AP$32,0))&amp;""="","JSL",INDEX(Config!$C$10:$C$29,MATCH(19,$AP$13:$AP$32,0))&amp;""))</f>
        <v/>
      </c>
      <c r="AP31" s="48">
        <f>IF(Config!$B$28&amp;""="",AP30,AP30+1)</f>
        <v>5</v>
      </c>
    </row>
    <row r="32">
      <c r="A32" s="39">
        <v>21</v>
      </c>
      <c r="B32" s="57">
        <f>IF($A32&lt;=DAY($D$7),$C$7+$A32-1,"")</f>
        <v>46316</v>
      </c>
      <c r="C32" s="42">
        <f>IF($B32="","",IF($B$2="Todos",SUMIFS(BD!$C$3:$C$5001,BD!$A$3:$A$5001,$B32),SUMIFS(BD!$C$3:$C$5001,BD!$A$3:$A$5001,$B32,BD!$B$3:$B$5001,$D$2)))</f>
        <v>0</v>
      </c>
      <c r="D32" s="42">
        <f>IF($B32="","",IF($B$2="Todos",SUMIFS(BD!$D$3:$D$5001,BD!$A$3:$A$5001,$B32),SUMIFS(BD!$D$3:$D$5001,BD!$A$3:$A$5001,$B32,BD!$B$3:$B$5001,$D$2)))</f>
        <v>0</v>
      </c>
      <c r="E32" s="58">
        <f>IF($B32="","",IF($B$2="Todos",SUMIFS(BD!$E$3:$E$5001,BD!$A$3:$A$5001,$B32),SUMIFS(BD!$E$3:$E$5001,BD!$A$3:$A$5001,$B32,BD!$B$3:$B$5001,$D$2)))</f>
        <v>0</v>
      </c>
      <c r="F32" s="42">
        <f>IF($B32="","",IF($B$2="Todos",SUMIFS(BD!$F$3:$F$5001,BD!$A$3:$A$5001,$B32),SUMIFS(BD!$F$3:$F$5001,BD!$A$3:$A$5001,$B32,BD!$B$3:$B$5001,$D$2)))</f>
        <v>0</v>
      </c>
      <c r="G32" s="42">
        <f>IF($B32="","",IF($B$2="Todos",SUMIFS(BD!$G$3:$G$5001,BD!$A$3:$A$5001,$B32),SUMIFS(BD!$G$3:$G$5001,BD!$A$3:$A$5001,$B32,BD!$B$3:$B$5001,$D$2)))</f>
        <v>0</v>
      </c>
      <c r="H32" s="42">
        <f>IF($B32="","",IF($B$2="Todos",SUMIFS(BD!$H$3:$H$5001,BD!$A$3:$A$5001,$B32),SUMIFS(BD!$H$3:$H$5001,BD!$A$3:$A$5001,$B32,BD!$B$3:$B$5001,$D$2)))</f>
        <v>0</v>
      </c>
      <c r="I32" s="42">
        <f>IF($B32="","",IF($B$2="Todos",SUMIFS(BD!$I$3:$I$5001,BD!$A$3:$A$5001,$B32),SUMIFS(BD!$I$3:$I$5001,BD!$A$3:$A$5001,$B32,BD!$B$3:$B$5001,$D$2)))</f>
        <v>0</v>
      </c>
      <c r="J32" s="58">
        <f>IF($B32="","",IF($B$2="Todos",SUMIFS(BD!$J$3:$J$5001,BD!$A$3:$A$5001,$B32),SUMIFS(BD!$J$3:$J$5001,BD!$A$3:$A$5001,$B32,BD!$B$3:$B$5001,$D$2)))</f>
        <v>0</v>
      </c>
      <c r="K32" s="42">
        <f>IF($B32="","",IF($B$2="Todos",SUMIFS(BD!$K$3:$K$5001,BD!$A$3:$A$5001,$B32),SUMIFS(BD!$K$3:$K$5001,BD!$A$3:$A$5001,$B32,BD!$B$3:$B$5001,$D$2)))</f>
        <v>0</v>
      </c>
      <c r="L32" s="42">
        <f>IF($B32="","",IF($B$2="Todos",SUMIFS(BD!$L$3:$L$5001,BD!$A$3:$A$5001,$B32),SUMIFS(BD!$L$3:$L$5001,BD!$A$3:$A$5001,$B32,BD!$B$3:$B$5001,$D$2)))</f>
        <v>0</v>
      </c>
      <c r="M32" s="42">
        <f>IF($B32="","",IF($B$2="Todos",SUMIFS(BD!$M$3:$M$5001,BD!$A$3:$A$5001,$B32),SUMIFS(BD!$M$3:$M$5001,BD!$A$3:$A$5001,$B32,BD!$B$3:$B$5001,$D$2)))</f>
        <v>0</v>
      </c>
      <c r="N32" s="42">
        <f>IF($B32="","",IF($B$2="Todos",SUMIFS(BD!$N$3:$N$5001,BD!$A$3:$A$5001,$B32),SUMIFS(BD!$N$3:$N$5001,BD!$A$3:$A$5001,$B32,BD!$B$3:$B$5001,$D$2)))</f>
        <v>0</v>
      </c>
      <c r="O32" s="42">
        <f>IF($B32="","",IF($B$2="Todos",SUMIFS(BD!$O$3:$O$5001,BD!$A$3:$A$5001,$B32),SUMIFS(BD!$O$3:$O$5001,BD!$A$3:$A$5001,$B32,BD!$B$3:$B$5001,$D$2)))</f>
        <v>0</v>
      </c>
      <c r="P32" s="42" t="str">
        <f>IF($B$2="Todos",IF(COUNT($C$149:$V$149)=0,"",SUM($C$149:$V$149)),IFERROR(INDEX($C$149:$V$149,MATCH($D$2,$C$128:$V$128,0)),""))</f>
        <v/>
      </c>
      <c r="Q32" s="42" t="str">
        <f>IF($B$2="Todos",IF(COUNT($C$184:$V$184)=0,"",SUM($C$184:$V$184)),IFERROR(INDEX($C$184:$V$184,MATCH($D$2,$C$163:$V$163,0)),""))</f>
        <v/>
      </c>
      <c r="R32" s="59" t="str">
        <f>IF(S32="","",IF($B$2="Todos",IF($B$4&gt;0,$B$4,IF($B$2="Todos",IF(COUNT($C$254:$V$254)=0,"",SUM($C$254:$V$254)),IFERROR(INDEX($C$254:$V$254,MATCH($D$2,$C$233:$V$233,0)),""))),IFERROR(INDEX($C$254:$V$254,MATCH($D$2,$C$233:$V$233,0)),"")))</f>
        <v/>
      </c>
      <c r="S32" s="42" t="str">
        <f>IF($B$2="Todos",IF(COUNT($C$219:$V$219)=0,"",SUM($C$219:$V$219)),IFERROR(INDEX($C$219:$V$219,MATCH($D$2,$C$198:$V$198,0)),""))</f>
        <v/>
      </c>
      <c r="T32" s="60" t="str">
        <f>IF(AND(ISNUMBER(S32),ISNUMBER(R32)),IF(R32&gt;0,S32/R32,""),"")</f>
        <v/>
      </c>
      <c r="U32" s="42" t="str">
        <f>IF($B$2="Todos",IF(COUNT($C$289:$V$289)=0,"",SUM($C$289:$V$289)),IFERROR(INDEX($C$289:$V$289,MATCH($D$2,$C$268:$V$268,0)),""))</f>
        <v/>
      </c>
      <c r="V32" s="42">
        <f>IF($B32="","",IF($B$2="Todos",SUMIFS(BD!$U$3:$U$5001,BD!$A$3:$A$5001,$B32),SUMIFS(BD!$U$3:$U$5001,BD!$A$3:$A$5001,$B32,BD!$B$3:$B$5001,$D$2)))</f>
        <v>0</v>
      </c>
      <c r="W32" s="58">
        <f>IF($B32="","",IF($B$2="Todos",SUMIFS(BD!$V$3:$V$5001,BD!$A$3:$A$5001,$B32),SUMIFS(BD!$V$3:$V$5001,BD!$A$3:$A$5001,$B32,BD!$B$3:$B$5001,$D$2)))</f>
        <v>0</v>
      </c>
      <c r="X32" s="42">
        <f>IF($B32="","",IF($B$2="Todos",SUMIFS(BD!$W$3:$W$5001,BD!$A$3:$A$5001,$B32),SUMIFS(BD!$W$3:$W$5001,BD!$A$3:$A$5001,$B32,BD!$B$3:$B$5001,$D$2)))</f>
        <v>0</v>
      </c>
      <c r="Y32" s="42">
        <f>IF($B32="","",IF($B$2="Todos",SUMIFS(BD!$X$3:$X$5001,BD!$A$3:$A$5001,$B32),SUMIFS(BD!$X$3:$X$5001,BD!$A$3:$A$5001,$B32,BD!$B$3:$B$5001,$D$2)))</f>
        <v>0</v>
      </c>
      <c r="Z32" s="42">
        <f>IF($B32="","",IF($B$2="Todos",SUMIFS(BD!$Y$3:$Y$5001,BD!$A$3:$A$5001,$B32),SUMIFS(BD!$Y$3:$Y$5001,BD!$A$3:$A$5001,$B32,BD!$B$3:$B$5001,$D$2)))</f>
        <v>0</v>
      </c>
      <c r="AA32" s="42">
        <f>IF($B32="","",IF($B$2="Todos",SUMIFS(BD!$Z$3:$Z$5001,BD!$A$3:$A$5001,$B32),SUMIFS(BD!$Z$3:$Z$5001,BD!$A$3:$A$5001,$B32,BD!$B$3:$B$5001,$D$2)))</f>
        <v>0</v>
      </c>
      <c r="AB32" s="42">
        <f>IF($B32="","",IF($B$2="Todos",SUMIFS(BD!$AA$3:$AA$5001,BD!$A$3:$A$5001,$B32),SUMIFS(BD!$AA$3:$AA$5001,BD!$A$3:$A$5001,$B32,BD!$B$3:$B$5001,$D$2)))</f>
        <v>0</v>
      </c>
      <c r="AC32" s="42">
        <f>IF($B32="","",IF($B$2="Todos",SUMIFS(BD!$AB$3:$AB$5001,BD!$A$3:$A$5001,$B32),SUMIFS(BD!$AB$3:$AB$5001,BD!$A$3:$A$5001,$B32,BD!$B$3:$B$5001,$D$2)))</f>
        <v>0</v>
      </c>
      <c r="AD32" s="61">
        <f>$B$5</f>
        <v>0.7</v>
      </c>
      <c r="AE32" s="61">
        <f>$B$6</f>
        <v>0.9</v>
      </c>
      <c r="AN32" s="40" t="str">
        <f>IFERROR(INDEX(Config!$B$10:$B$29,MATCH(20,$AP$13:$AP$32,0))&amp;"","")</f>
        <v/>
      </c>
      <c r="AO32" s="39" t="str">
        <f>IF(AN32="","",IF(INDEX(Config!$C$10:$C$29,MATCH(20,$AP$13:$AP$32,0))&amp;""="","JSL",INDEX(Config!$C$10:$C$29,MATCH(20,$AP$13:$AP$32,0))&amp;""))</f>
        <v/>
      </c>
      <c r="AP32" s="48">
        <f>IF(Config!$B$29&amp;""="",AP31,AP31+1)</f>
        <v>5</v>
      </c>
    </row>
    <row r="33">
      <c r="A33" s="39">
        <v>22</v>
      </c>
      <c r="B33" s="57">
        <f>IF($A33&lt;=DAY($D$7),$C$7+$A33-1,"")</f>
        <v>46317</v>
      </c>
      <c r="C33" s="42">
        <f>IF($B33="","",IF($B$2="Todos",SUMIFS(BD!$C$3:$C$5001,BD!$A$3:$A$5001,$B33),SUMIFS(BD!$C$3:$C$5001,BD!$A$3:$A$5001,$B33,BD!$B$3:$B$5001,$D$2)))</f>
        <v>0</v>
      </c>
      <c r="D33" s="42">
        <f>IF($B33="","",IF($B$2="Todos",SUMIFS(BD!$D$3:$D$5001,BD!$A$3:$A$5001,$B33),SUMIFS(BD!$D$3:$D$5001,BD!$A$3:$A$5001,$B33,BD!$B$3:$B$5001,$D$2)))</f>
        <v>0</v>
      </c>
      <c r="E33" s="58">
        <f>IF($B33="","",IF($B$2="Todos",SUMIFS(BD!$E$3:$E$5001,BD!$A$3:$A$5001,$B33),SUMIFS(BD!$E$3:$E$5001,BD!$A$3:$A$5001,$B33,BD!$B$3:$B$5001,$D$2)))</f>
        <v>0</v>
      </c>
      <c r="F33" s="42">
        <f>IF($B33="","",IF($B$2="Todos",SUMIFS(BD!$F$3:$F$5001,BD!$A$3:$A$5001,$B33),SUMIFS(BD!$F$3:$F$5001,BD!$A$3:$A$5001,$B33,BD!$B$3:$B$5001,$D$2)))</f>
        <v>0</v>
      </c>
      <c r="G33" s="42">
        <f>IF($B33="","",IF($B$2="Todos",SUMIFS(BD!$G$3:$G$5001,BD!$A$3:$A$5001,$B33),SUMIFS(BD!$G$3:$G$5001,BD!$A$3:$A$5001,$B33,BD!$B$3:$B$5001,$D$2)))</f>
        <v>0</v>
      </c>
      <c r="H33" s="42">
        <f>IF($B33="","",IF($B$2="Todos",SUMIFS(BD!$H$3:$H$5001,BD!$A$3:$A$5001,$B33),SUMIFS(BD!$H$3:$H$5001,BD!$A$3:$A$5001,$B33,BD!$B$3:$B$5001,$D$2)))</f>
        <v>0</v>
      </c>
      <c r="I33" s="42">
        <f>IF($B33="","",IF($B$2="Todos",SUMIFS(BD!$I$3:$I$5001,BD!$A$3:$A$5001,$B33),SUMIFS(BD!$I$3:$I$5001,BD!$A$3:$A$5001,$B33,BD!$B$3:$B$5001,$D$2)))</f>
        <v>0</v>
      </c>
      <c r="J33" s="58">
        <f>IF($B33="","",IF($B$2="Todos",SUMIFS(BD!$J$3:$J$5001,BD!$A$3:$A$5001,$B33),SUMIFS(BD!$J$3:$J$5001,BD!$A$3:$A$5001,$B33,BD!$B$3:$B$5001,$D$2)))</f>
        <v>0</v>
      </c>
      <c r="K33" s="42">
        <f>IF($B33="","",IF($B$2="Todos",SUMIFS(BD!$K$3:$K$5001,BD!$A$3:$A$5001,$B33),SUMIFS(BD!$K$3:$K$5001,BD!$A$3:$A$5001,$B33,BD!$B$3:$B$5001,$D$2)))</f>
        <v>0</v>
      </c>
      <c r="L33" s="42">
        <f>IF($B33="","",IF($B$2="Todos",SUMIFS(BD!$L$3:$L$5001,BD!$A$3:$A$5001,$B33),SUMIFS(BD!$L$3:$L$5001,BD!$A$3:$A$5001,$B33,BD!$B$3:$B$5001,$D$2)))</f>
        <v>0</v>
      </c>
      <c r="M33" s="42">
        <f>IF($B33="","",IF($B$2="Todos",SUMIFS(BD!$M$3:$M$5001,BD!$A$3:$A$5001,$B33),SUMIFS(BD!$M$3:$M$5001,BD!$A$3:$A$5001,$B33,BD!$B$3:$B$5001,$D$2)))</f>
        <v>0</v>
      </c>
      <c r="N33" s="42">
        <f>IF($B33="","",IF($B$2="Todos",SUMIFS(BD!$N$3:$N$5001,BD!$A$3:$A$5001,$B33),SUMIFS(BD!$N$3:$N$5001,BD!$A$3:$A$5001,$B33,BD!$B$3:$B$5001,$D$2)))</f>
        <v>0</v>
      </c>
      <c r="O33" s="42">
        <f>IF($B33="","",IF($B$2="Todos",SUMIFS(BD!$O$3:$O$5001,BD!$A$3:$A$5001,$B33),SUMIFS(BD!$O$3:$O$5001,BD!$A$3:$A$5001,$B33,BD!$B$3:$B$5001,$D$2)))</f>
        <v>0</v>
      </c>
      <c r="P33" s="42" t="str">
        <f>IF($B$2="Todos",IF(COUNT($C$150:$V$150)=0,"",SUM($C$150:$V$150)),IFERROR(INDEX($C$150:$V$150,MATCH($D$2,$C$128:$V$128,0)),""))</f>
        <v/>
      </c>
      <c r="Q33" s="42" t="str">
        <f>IF($B$2="Todos",IF(COUNT($C$185:$V$185)=0,"",SUM($C$185:$V$185)),IFERROR(INDEX($C$185:$V$185,MATCH($D$2,$C$163:$V$163,0)),""))</f>
        <v/>
      </c>
      <c r="R33" s="59" t="str">
        <f>IF(S33="","",IF($B$2="Todos",IF($B$4&gt;0,$B$4,IF($B$2="Todos",IF(COUNT($C$255:$V$255)=0,"",SUM($C$255:$V$255)),IFERROR(INDEX($C$255:$V$255,MATCH($D$2,$C$233:$V$233,0)),""))),IFERROR(INDEX($C$255:$V$255,MATCH($D$2,$C$233:$V$233,0)),"")))</f>
        <v/>
      </c>
      <c r="S33" s="42" t="str">
        <f>IF($B$2="Todos",IF(COUNT($C$220:$V$220)=0,"",SUM($C$220:$V$220)),IFERROR(INDEX($C$220:$V$220,MATCH($D$2,$C$198:$V$198,0)),""))</f>
        <v/>
      </c>
      <c r="T33" s="60" t="str">
        <f>IF(AND(ISNUMBER(S33),ISNUMBER(R33)),IF(R33&gt;0,S33/R33,""),"")</f>
        <v/>
      </c>
      <c r="U33" s="42" t="str">
        <f>IF($B$2="Todos",IF(COUNT($C$290:$V$290)=0,"",SUM($C$290:$V$290)),IFERROR(INDEX($C$290:$V$290,MATCH($D$2,$C$268:$V$268,0)),""))</f>
        <v/>
      </c>
      <c r="V33" s="42">
        <f>IF($B33="","",IF($B$2="Todos",SUMIFS(BD!$U$3:$U$5001,BD!$A$3:$A$5001,$B33),SUMIFS(BD!$U$3:$U$5001,BD!$A$3:$A$5001,$B33,BD!$B$3:$B$5001,$D$2)))</f>
        <v>0</v>
      </c>
      <c r="W33" s="58">
        <f>IF($B33="","",IF($B$2="Todos",SUMIFS(BD!$V$3:$V$5001,BD!$A$3:$A$5001,$B33),SUMIFS(BD!$V$3:$V$5001,BD!$A$3:$A$5001,$B33,BD!$B$3:$B$5001,$D$2)))</f>
        <v>0</v>
      </c>
      <c r="X33" s="42">
        <f>IF($B33="","",IF($B$2="Todos",SUMIFS(BD!$W$3:$W$5001,BD!$A$3:$A$5001,$B33),SUMIFS(BD!$W$3:$W$5001,BD!$A$3:$A$5001,$B33,BD!$B$3:$B$5001,$D$2)))</f>
        <v>0</v>
      </c>
      <c r="Y33" s="42">
        <f>IF($B33="","",IF($B$2="Todos",SUMIFS(BD!$X$3:$X$5001,BD!$A$3:$A$5001,$B33),SUMIFS(BD!$X$3:$X$5001,BD!$A$3:$A$5001,$B33,BD!$B$3:$B$5001,$D$2)))</f>
        <v>0</v>
      </c>
      <c r="Z33" s="42">
        <f>IF($B33="","",IF($B$2="Todos",SUMIFS(BD!$Y$3:$Y$5001,BD!$A$3:$A$5001,$B33),SUMIFS(BD!$Y$3:$Y$5001,BD!$A$3:$A$5001,$B33,BD!$B$3:$B$5001,$D$2)))</f>
        <v>0</v>
      </c>
      <c r="AA33" s="42">
        <f>IF($B33="","",IF($B$2="Todos",SUMIFS(BD!$Z$3:$Z$5001,BD!$A$3:$A$5001,$B33),SUMIFS(BD!$Z$3:$Z$5001,BD!$A$3:$A$5001,$B33,BD!$B$3:$B$5001,$D$2)))</f>
        <v>0</v>
      </c>
      <c r="AB33" s="42">
        <f>IF($B33="","",IF($B$2="Todos",SUMIFS(BD!$AA$3:$AA$5001,BD!$A$3:$A$5001,$B33),SUMIFS(BD!$AA$3:$AA$5001,BD!$A$3:$A$5001,$B33,BD!$B$3:$B$5001,$D$2)))</f>
        <v>0</v>
      </c>
      <c r="AC33" s="42">
        <f>IF($B33="","",IF($B$2="Todos",SUMIFS(BD!$AB$3:$AB$5001,BD!$A$3:$A$5001,$B33),SUMIFS(BD!$AB$3:$AB$5001,BD!$A$3:$A$5001,$B33,BD!$B$3:$B$5001,$D$2)))</f>
        <v>0</v>
      </c>
      <c r="AD33" s="61">
        <f>$B$5</f>
        <v>0.7</v>
      </c>
      <c r="AE33" s="61">
        <f>$B$6</f>
        <v>0.9</v>
      </c>
    </row>
    <row r="34">
      <c r="A34" s="39">
        <v>23</v>
      </c>
      <c r="B34" s="57">
        <f>IF($A34&lt;=DAY($D$7),$C$7+$A34-1,"")</f>
        <v>46318</v>
      </c>
      <c r="C34" s="42">
        <f>IF($B34="","",IF($B$2="Todos",SUMIFS(BD!$C$3:$C$5001,BD!$A$3:$A$5001,$B34),SUMIFS(BD!$C$3:$C$5001,BD!$A$3:$A$5001,$B34,BD!$B$3:$B$5001,$D$2)))</f>
        <v>0</v>
      </c>
      <c r="D34" s="42">
        <f>IF($B34="","",IF($B$2="Todos",SUMIFS(BD!$D$3:$D$5001,BD!$A$3:$A$5001,$B34),SUMIFS(BD!$D$3:$D$5001,BD!$A$3:$A$5001,$B34,BD!$B$3:$B$5001,$D$2)))</f>
        <v>0</v>
      </c>
      <c r="E34" s="58">
        <f>IF($B34="","",IF($B$2="Todos",SUMIFS(BD!$E$3:$E$5001,BD!$A$3:$A$5001,$B34),SUMIFS(BD!$E$3:$E$5001,BD!$A$3:$A$5001,$B34,BD!$B$3:$B$5001,$D$2)))</f>
        <v>0</v>
      </c>
      <c r="F34" s="42">
        <f>IF($B34="","",IF($B$2="Todos",SUMIFS(BD!$F$3:$F$5001,BD!$A$3:$A$5001,$B34),SUMIFS(BD!$F$3:$F$5001,BD!$A$3:$A$5001,$B34,BD!$B$3:$B$5001,$D$2)))</f>
        <v>0</v>
      </c>
      <c r="G34" s="42">
        <f>IF($B34="","",IF($B$2="Todos",SUMIFS(BD!$G$3:$G$5001,BD!$A$3:$A$5001,$B34),SUMIFS(BD!$G$3:$G$5001,BD!$A$3:$A$5001,$B34,BD!$B$3:$B$5001,$D$2)))</f>
        <v>0</v>
      </c>
      <c r="H34" s="42">
        <f>IF($B34="","",IF($B$2="Todos",SUMIFS(BD!$H$3:$H$5001,BD!$A$3:$A$5001,$B34),SUMIFS(BD!$H$3:$H$5001,BD!$A$3:$A$5001,$B34,BD!$B$3:$B$5001,$D$2)))</f>
        <v>0</v>
      </c>
      <c r="I34" s="42">
        <f>IF($B34="","",IF($B$2="Todos",SUMIFS(BD!$I$3:$I$5001,BD!$A$3:$A$5001,$B34),SUMIFS(BD!$I$3:$I$5001,BD!$A$3:$A$5001,$B34,BD!$B$3:$B$5001,$D$2)))</f>
        <v>0</v>
      </c>
      <c r="J34" s="58">
        <f>IF($B34="","",IF($B$2="Todos",SUMIFS(BD!$J$3:$J$5001,BD!$A$3:$A$5001,$B34),SUMIFS(BD!$J$3:$J$5001,BD!$A$3:$A$5001,$B34,BD!$B$3:$B$5001,$D$2)))</f>
        <v>0</v>
      </c>
      <c r="K34" s="42">
        <f>IF($B34="","",IF($B$2="Todos",SUMIFS(BD!$K$3:$K$5001,BD!$A$3:$A$5001,$B34),SUMIFS(BD!$K$3:$K$5001,BD!$A$3:$A$5001,$B34,BD!$B$3:$B$5001,$D$2)))</f>
        <v>0</v>
      </c>
      <c r="L34" s="42">
        <f>IF($B34="","",IF($B$2="Todos",SUMIFS(BD!$L$3:$L$5001,BD!$A$3:$A$5001,$B34),SUMIFS(BD!$L$3:$L$5001,BD!$A$3:$A$5001,$B34,BD!$B$3:$B$5001,$D$2)))</f>
        <v>0</v>
      </c>
      <c r="M34" s="42">
        <f>IF($B34="","",IF($B$2="Todos",SUMIFS(BD!$M$3:$M$5001,BD!$A$3:$A$5001,$B34),SUMIFS(BD!$M$3:$M$5001,BD!$A$3:$A$5001,$B34,BD!$B$3:$B$5001,$D$2)))</f>
        <v>0</v>
      </c>
      <c r="N34" s="42">
        <f>IF($B34="","",IF($B$2="Todos",SUMIFS(BD!$N$3:$N$5001,BD!$A$3:$A$5001,$B34),SUMIFS(BD!$N$3:$N$5001,BD!$A$3:$A$5001,$B34,BD!$B$3:$B$5001,$D$2)))</f>
        <v>0</v>
      </c>
      <c r="O34" s="42">
        <f>IF($B34="","",IF($B$2="Todos",SUMIFS(BD!$O$3:$O$5001,BD!$A$3:$A$5001,$B34),SUMIFS(BD!$O$3:$O$5001,BD!$A$3:$A$5001,$B34,BD!$B$3:$B$5001,$D$2)))</f>
        <v>0</v>
      </c>
      <c r="P34" s="42" t="str">
        <f>IF($B$2="Todos",IF(COUNT($C$151:$V$151)=0,"",SUM($C$151:$V$151)),IFERROR(INDEX($C$151:$V$151,MATCH($D$2,$C$128:$V$128,0)),""))</f>
        <v/>
      </c>
      <c r="Q34" s="42" t="str">
        <f>IF($B$2="Todos",IF(COUNT($C$186:$V$186)=0,"",SUM($C$186:$V$186)),IFERROR(INDEX($C$186:$V$186,MATCH($D$2,$C$163:$V$163,0)),""))</f>
        <v/>
      </c>
      <c r="R34" s="59" t="str">
        <f>IF(S34="","",IF($B$2="Todos",IF($B$4&gt;0,$B$4,IF($B$2="Todos",IF(COUNT($C$256:$V$256)=0,"",SUM($C$256:$V$256)),IFERROR(INDEX($C$256:$V$256,MATCH($D$2,$C$233:$V$233,0)),""))),IFERROR(INDEX($C$256:$V$256,MATCH($D$2,$C$233:$V$233,0)),"")))</f>
        <v/>
      </c>
      <c r="S34" s="42" t="str">
        <f>IF($B$2="Todos",IF(COUNT($C$221:$V$221)=0,"",SUM($C$221:$V$221)),IFERROR(INDEX($C$221:$V$221,MATCH($D$2,$C$198:$V$198,0)),""))</f>
        <v/>
      </c>
      <c r="T34" s="60" t="str">
        <f>IF(AND(ISNUMBER(S34),ISNUMBER(R34)),IF(R34&gt;0,S34/R34,""),"")</f>
        <v/>
      </c>
      <c r="U34" s="42" t="str">
        <f>IF($B$2="Todos",IF(COUNT($C$291:$V$291)=0,"",SUM($C$291:$V$291)),IFERROR(INDEX($C$291:$V$291,MATCH($D$2,$C$268:$V$268,0)),""))</f>
        <v/>
      </c>
      <c r="V34" s="42">
        <f>IF($B34="","",IF($B$2="Todos",SUMIFS(BD!$U$3:$U$5001,BD!$A$3:$A$5001,$B34),SUMIFS(BD!$U$3:$U$5001,BD!$A$3:$A$5001,$B34,BD!$B$3:$B$5001,$D$2)))</f>
        <v>0</v>
      </c>
      <c r="W34" s="58">
        <f>IF($B34="","",IF($B$2="Todos",SUMIFS(BD!$V$3:$V$5001,BD!$A$3:$A$5001,$B34),SUMIFS(BD!$V$3:$V$5001,BD!$A$3:$A$5001,$B34,BD!$B$3:$B$5001,$D$2)))</f>
        <v>0</v>
      </c>
      <c r="X34" s="42">
        <f>IF($B34="","",IF($B$2="Todos",SUMIFS(BD!$W$3:$W$5001,BD!$A$3:$A$5001,$B34),SUMIFS(BD!$W$3:$W$5001,BD!$A$3:$A$5001,$B34,BD!$B$3:$B$5001,$D$2)))</f>
        <v>0</v>
      </c>
      <c r="Y34" s="42">
        <f>IF($B34="","",IF($B$2="Todos",SUMIFS(BD!$X$3:$X$5001,BD!$A$3:$A$5001,$B34),SUMIFS(BD!$X$3:$X$5001,BD!$A$3:$A$5001,$B34,BD!$B$3:$B$5001,$D$2)))</f>
        <v>0</v>
      </c>
      <c r="Z34" s="42">
        <f>IF($B34="","",IF($B$2="Todos",SUMIFS(BD!$Y$3:$Y$5001,BD!$A$3:$A$5001,$B34),SUMIFS(BD!$Y$3:$Y$5001,BD!$A$3:$A$5001,$B34,BD!$B$3:$B$5001,$D$2)))</f>
        <v>0</v>
      </c>
      <c r="AA34" s="42">
        <f>IF($B34="","",IF($B$2="Todos",SUMIFS(BD!$Z$3:$Z$5001,BD!$A$3:$A$5001,$B34),SUMIFS(BD!$Z$3:$Z$5001,BD!$A$3:$A$5001,$B34,BD!$B$3:$B$5001,$D$2)))</f>
        <v>0</v>
      </c>
      <c r="AB34" s="42">
        <f>IF($B34="","",IF($B$2="Todos",SUMIFS(BD!$AA$3:$AA$5001,BD!$A$3:$A$5001,$B34),SUMIFS(BD!$AA$3:$AA$5001,BD!$A$3:$A$5001,$B34,BD!$B$3:$B$5001,$D$2)))</f>
        <v>0</v>
      </c>
      <c r="AC34" s="42">
        <f>IF($B34="","",IF($B$2="Todos",SUMIFS(BD!$AB$3:$AB$5001,BD!$A$3:$A$5001,$B34),SUMIFS(BD!$AB$3:$AB$5001,BD!$A$3:$A$5001,$B34,BD!$B$3:$B$5001,$D$2)))</f>
        <v>0</v>
      </c>
      <c r="AD34" s="61">
        <f>$B$5</f>
        <v>0.7</v>
      </c>
      <c r="AE34" s="61">
        <f>$B$6</f>
        <v>0.9</v>
      </c>
    </row>
    <row r="35">
      <c r="A35" s="39">
        <v>24</v>
      </c>
      <c r="B35" s="57">
        <f>IF($A35&lt;=DAY($D$7),$C$7+$A35-1,"")</f>
        <v>46319</v>
      </c>
      <c r="C35" s="42">
        <f>IF($B35="","",IF($B$2="Todos",SUMIFS(BD!$C$3:$C$5001,BD!$A$3:$A$5001,$B35),SUMIFS(BD!$C$3:$C$5001,BD!$A$3:$A$5001,$B35,BD!$B$3:$B$5001,$D$2)))</f>
        <v>0</v>
      </c>
      <c r="D35" s="42">
        <f>IF($B35="","",IF($B$2="Todos",SUMIFS(BD!$D$3:$D$5001,BD!$A$3:$A$5001,$B35),SUMIFS(BD!$D$3:$D$5001,BD!$A$3:$A$5001,$B35,BD!$B$3:$B$5001,$D$2)))</f>
        <v>0</v>
      </c>
      <c r="E35" s="58">
        <f>IF($B35="","",IF($B$2="Todos",SUMIFS(BD!$E$3:$E$5001,BD!$A$3:$A$5001,$B35),SUMIFS(BD!$E$3:$E$5001,BD!$A$3:$A$5001,$B35,BD!$B$3:$B$5001,$D$2)))</f>
        <v>0</v>
      </c>
      <c r="F35" s="42">
        <f>IF($B35="","",IF($B$2="Todos",SUMIFS(BD!$F$3:$F$5001,BD!$A$3:$A$5001,$B35),SUMIFS(BD!$F$3:$F$5001,BD!$A$3:$A$5001,$B35,BD!$B$3:$B$5001,$D$2)))</f>
        <v>0</v>
      </c>
      <c r="G35" s="42">
        <f>IF($B35="","",IF($B$2="Todos",SUMIFS(BD!$G$3:$G$5001,BD!$A$3:$A$5001,$B35),SUMIFS(BD!$G$3:$G$5001,BD!$A$3:$A$5001,$B35,BD!$B$3:$B$5001,$D$2)))</f>
        <v>0</v>
      </c>
      <c r="H35" s="42">
        <f>IF($B35="","",IF($B$2="Todos",SUMIFS(BD!$H$3:$H$5001,BD!$A$3:$A$5001,$B35),SUMIFS(BD!$H$3:$H$5001,BD!$A$3:$A$5001,$B35,BD!$B$3:$B$5001,$D$2)))</f>
        <v>0</v>
      </c>
      <c r="I35" s="42">
        <f>IF($B35="","",IF($B$2="Todos",SUMIFS(BD!$I$3:$I$5001,BD!$A$3:$A$5001,$B35),SUMIFS(BD!$I$3:$I$5001,BD!$A$3:$A$5001,$B35,BD!$B$3:$B$5001,$D$2)))</f>
        <v>0</v>
      </c>
      <c r="J35" s="58">
        <f>IF($B35="","",IF($B$2="Todos",SUMIFS(BD!$J$3:$J$5001,BD!$A$3:$A$5001,$B35),SUMIFS(BD!$J$3:$J$5001,BD!$A$3:$A$5001,$B35,BD!$B$3:$B$5001,$D$2)))</f>
        <v>0</v>
      </c>
      <c r="K35" s="42">
        <f>IF($B35="","",IF($B$2="Todos",SUMIFS(BD!$K$3:$K$5001,BD!$A$3:$A$5001,$B35),SUMIFS(BD!$K$3:$K$5001,BD!$A$3:$A$5001,$B35,BD!$B$3:$B$5001,$D$2)))</f>
        <v>0</v>
      </c>
      <c r="L35" s="42">
        <f>IF($B35="","",IF($B$2="Todos",SUMIFS(BD!$L$3:$L$5001,BD!$A$3:$A$5001,$B35),SUMIFS(BD!$L$3:$L$5001,BD!$A$3:$A$5001,$B35,BD!$B$3:$B$5001,$D$2)))</f>
        <v>0</v>
      </c>
      <c r="M35" s="42">
        <f>IF($B35="","",IF($B$2="Todos",SUMIFS(BD!$M$3:$M$5001,BD!$A$3:$A$5001,$B35),SUMIFS(BD!$M$3:$M$5001,BD!$A$3:$A$5001,$B35,BD!$B$3:$B$5001,$D$2)))</f>
        <v>0</v>
      </c>
      <c r="N35" s="42">
        <f>IF($B35="","",IF($B$2="Todos",SUMIFS(BD!$N$3:$N$5001,BD!$A$3:$A$5001,$B35),SUMIFS(BD!$N$3:$N$5001,BD!$A$3:$A$5001,$B35,BD!$B$3:$B$5001,$D$2)))</f>
        <v>0</v>
      </c>
      <c r="O35" s="42">
        <f>IF($B35="","",IF($B$2="Todos",SUMIFS(BD!$O$3:$O$5001,BD!$A$3:$A$5001,$B35),SUMIFS(BD!$O$3:$O$5001,BD!$A$3:$A$5001,$B35,BD!$B$3:$B$5001,$D$2)))</f>
        <v>0</v>
      </c>
      <c r="P35" s="42" t="str">
        <f>IF($B$2="Todos",IF(COUNT($C$152:$V$152)=0,"",SUM($C$152:$V$152)),IFERROR(INDEX($C$152:$V$152,MATCH($D$2,$C$128:$V$128,0)),""))</f>
        <v/>
      </c>
      <c r="Q35" s="42" t="str">
        <f>IF($B$2="Todos",IF(COUNT($C$187:$V$187)=0,"",SUM($C$187:$V$187)),IFERROR(INDEX($C$187:$V$187,MATCH($D$2,$C$163:$V$163,0)),""))</f>
        <v/>
      </c>
      <c r="R35" s="59" t="str">
        <f>IF(S35="","",IF($B$2="Todos",IF($B$4&gt;0,$B$4,IF($B$2="Todos",IF(COUNT($C$257:$V$257)=0,"",SUM($C$257:$V$257)),IFERROR(INDEX($C$257:$V$257,MATCH($D$2,$C$233:$V$233,0)),""))),IFERROR(INDEX($C$257:$V$257,MATCH($D$2,$C$233:$V$233,0)),"")))</f>
        <v/>
      </c>
      <c r="S35" s="42" t="str">
        <f>IF($B$2="Todos",IF(COUNT($C$222:$V$222)=0,"",SUM($C$222:$V$222)),IFERROR(INDEX($C$222:$V$222,MATCH($D$2,$C$198:$V$198,0)),""))</f>
        <v/>
      </c>
      <c r="T35" s="60" t="str">
        <f>IF(AND(ISNUMBER(S35),ISNUMBER(R35)),IF(R35&gt;0,S35/R35,""),"")</f>
        <v/>
      </c>
      <c r="U35" s="42" t="str">
        <f>IF($B$2="Todos",IF(COUNT($C$292:$V$292)=0,"",SUM($C$292:$V$292)),IFERROR(INDEX($C$292:$V$292,MATCH($D$2,$C$268:$V$268,0)),""))</f>
        <v/>
      </c>
      <c r="V35" s="42">
        <f>IF($B35="","",IF($B$2="Todos",SUMIFS(BD!$U$3:$U$5001,BD!$A$3:$A$5001,$B35),SUMIFS(BD!$U$3:$U$5001,BD!$A$3:$A$5001,$B35,BD!$B$3:$B$5001,$D$2)))</f>
        <v>0</v>
      </c>
      <c r="W35" s="58">
        <f>IF($B35="","",IF($B$2="Todos",SUMIFS(BD!$V$3:$V$5001,BD!$A$3:$A$5001,$B35),SUMIFS(BD!$V$3:$V$5001,BD!$A$3:$A$5001,$B35,BD!$B$3:$B$5001,$D$2)))</f>
        <v>0</v>
      </c>
      <c r="X35" s="42">
        <f>IF($B35="","",IF($B$2="Todos",SUMIFS(BD!$W$3:$W$5001,BD!$A$3:$A$5001,$B35),SUMIFS(BD!$W$3:$W$5001,BD!$A$3:$A$5001,$B35,BD!$B$3:$B$5001,$D$2)))</f>
        <v>0</v>
      </c>
      <c r="Y35" s="42">
        <f>IF($B35="","",IF($B$2="Todos",SUMIFS(BD!$X$3:$X$5001,BD!$A$3:$A$5001,$B35),SUMIFS(BD!$X$3:$X$5001,BD!$A$3:$A$5001,$B35,BD!$B$3:$B$5001,$D$2)))</f>
        <v>0</v>
      </c>
      <c r="Z35" s="42">
        <f>IF($B35="","",IF($B$2="Todos",SUMIFS(BD!$Y$3:$Y$5001,BD!$A$3:$A$5001,$B35),SUMIFS(BD!$Y$3:$Y$5001,BD!$A$3:$A$5001,$B35,BD!$B$3:$B$5001,$D$2)))</f>
        <v>0</v>
      </c>
      <c r="AA35" s="42">
        <f>IF($B35="","",IF($B$2="Todos",SUMIFS(BD!$Z$3:$Z$5001,BD!$A$3:$A$5001,$B35),SUMIFS(BD!$Z$3:$Z$5001,BD!$A$3:$A$5001,$B35,BD!$B$3:$B$5001,$D$2)))</f>
        <v>0</v>
      </c>
      <c r="AB35" s="42">
        <f>IF($B35="","",IF($B$2="Todos",SUMIFS(BD!$AA$3:$AA$5001,BD!$A$3:$A$5001,$B35),SUMIFS(BD!$AA$3:$AA$5001,BD!$A$3:$A$5001,$B35,BD!$B$3:$B$5001,$D$2)))</f>
        <v>0</v>
      </c>
      <c r="AC35" s="42">
        <f>IF($B35="","",IF($B$2="Todos",SUMIFS(BD!$AB$3:$AB$5001,BD!$A$3:$A$5001,$B35),SUMIFS(BD!$AB$3:$AB$5001,BD!$A$3:$A$5001,$B35,BD!$B$3:$B$5001,$D$2)))</f>
        <v>0</v>
      </c>
      <c r="AD35" s="61">
        <f>$B$5</f>
        <v>0.7</v>
      </c>
      <c r="AE35" s="61">
        <f>$B$6</f>
        <v>0.9</v>
      </c>
    </row>
    <row r="36">
      <c r="A36" s="39">
        <v>25</v>
      </c>
      <c r="B36" s="57">
        <f>IF($A36&lt;=DAY($D$7),$C$7+$A36-1,"")</f>
        <v>46320</v>
      </c>
      <c r="C36" s="42">
        <f>IF($B36="","",IF($B$2="Todos",SUMIFS(BD!$C$3:$C$5001,BD!$A$3:$A$5001,$B36),SUMIFS(BD!$C$3:$C$5001,BD!$A$3:$A$5001,$B36,BD!$B$3:$B$5001,$D$2)))</f>
        <v>0</v>
      </c>
      <c r="D36" s="42">
        <f>IF($B36="","",IF($B$2="Todos",SUMIFS(BD!$D$3:$D$5001,BD!$A$3:$A$5001,$B36),SUMIFS(BD!$D$3:$D$5001,BD!$A$3:$A$5001,$B36,BD!$B$3:$B$5001,$D$2)))</f>
        <v>0</v>
      </c>
      <c r="E36" s="58">
        <f>IF($B36="","",IF($B$2="Todos",SUMIFS(BD!$E$3:$E$5001,BD!$A$3:$A$5001,$B36),SUMIFS(BD!$E$3:$E$5001,BD!$A$3:$A$5001,$B36,BD!$B$3:$B$5001,$D$2)))</f>
        <v>0</v>
      </c>
      <c r="F36" s="42">
        <f>IF($B36="","",IF($B$2="Todos",SUMIFS(BD!$F$3:$F$5001,BD!$A$3:$A$5001,$B36),SUMIFS(BD!$F$3:$F$5001,BD!$A$3:$A$5001,$B36,BD!$B$3:$B$5001,$D$2)))</f>
        <v>0</v>
      </c>
      <c r="G36" s="42">
        <f>IF($B36="","",IF($B$2="Todos",SUMIFS(BD!$G$3:$G$5001,BD!$A$3:$A$5001,$B36),SUMIFS(BD!$G$3:$G$5001,BD!$A$3:$A$5001,$B36,BD!$B$3:$B$5001,$D$2)))</f>
        <v>0</v>
      </c>
      <c r="H36" s="42">
        <f>IF($B36="","",IF($B$2="Todos",SUMIFS(BD!$H$3:$H$5001,BD!$A$3:$A$5001,$B36),SUMIFS(BD!$H$3:$H$5001,BD!$A$3:$A$5001,$B36,BD!$B$3:$B$5001,$D$2)))</f>
        <v>0</v>
      </c>
      <c r="I36" s="42">
        <f>IF($B36="","",IF($B$2="Todos",SUMIFS(BD!$I$3:$I$5001,BD!$A$3:$A$5001,$B36),SUMIFS(BD!$I$3:$I$5001,BD!$A$3:$A$5001,$B36,BD!$B$3:$B$5001,$D$2)))</f>
        <v>0</v>
      </c>
      <c r="J36" s="58">
        <f>IF($B36="","",IF($B$2="Todos",SUMIFS(BD!$J$3:$J$5001,BD!$A$3:$A$5001,$B36),SUMIFS(BD!$J$3:$J$5001,BD!$A$3:$A$5001,$B36,BD!$B$3:$B$5001,$D$2)))</f>
        <v>0</v>
      </c>
      <c r="K36" s="42">
        <f>IF($B36="","",IF($B$2="Todos",SUMIFS(BD!$K$3:$K$5001,BD!$A$3:$A$5001,$B36),SUMIFS(BD!$K$3:$K$5001,BD!$A$3:$A$5001,$B36,BD!$B$3:$B$5001,$D$2)))</f>
        <v>0</v>
      </c>
      <c r="L36" s="42">
        <f>IF($B36="","",IF($B$2="Todos",SUMIFS(BD!$L$3:$L$5001,BD!$A$3:$A$5001,$B36),SUMIFS(BD!$L$3:$L$5001,BD!$A$3:$A$5001,$B36,BD!$B$3:$B$5001,$D$2)))</f>
        <v>0</v>
      </c>
      <c r="M36" s="42">
        <f>IF($B36="","",IF($B$2="Todos",SUMIFS(BD!$M$3:$M$5001,BD!$A$3:$A$5001,$B36),SUMIFS(BD!$M$3:$M$5001,BD!$A$3:$A$5001,$B36,BD!$B$3:$B$5001,$D$2)))</f>
        <v>0</v>
      </c>
      <c r="N36" s="42">
        <f>IF($B36="","",IF($B$2="Todos",SUMIFS(BD!$N$3:$N$5001,BD!$A$3:$A$5001,$B36),SUMIFS(BD!$N$3:$N$5001,BD!$A$3:$A$5001,$B36,BD!$B$3:$B$5001,$D$2)))</f>
        <v>0</v>
      </c>
      <c r="O36" s="42">
        <f>IF($B36="","",IF($B$2="Todos",SUMIFS(BD!$O$3:$O$5001,BD!$A$3:$A$5001,$B36),SUMIFS(BD!$O$3:$O$5001,BD!$A$3:$A$5001,$B36,BD!$B$3:$B$5001,$D$2)))</f>
        <v>0</v>
      </c>
      <c r="P36" s="42" t="str">
        <f>IF($B$2="Todos",IF(COUNT($C$153:$V$153)=0,"",SUM($C$153:$V$153)),IFERROR(INDEX($C$153:$V$153,MATCH($D$2,$C$128:$V$128,0)),""))</f>
        <v/>
      </c>
      <c r="Q36" s="42" t="str">
        <f>IF($B$2="Todos",IF(COUNT($C$188:$V$188)=0,"",SUM($C$188:$V$188)),IFERROR(INDEX($C$188:$V$188,MATCH($D$2,$C$163:$V$163,0)),""))</f>
        <v/>
      </c>
      <c r="R36" s="59" t="str">
        <f>IF(S36="","",IF($B$2="Todos",IF($B$4&gt;0,$B$4,IF($B$2="Todos",IF(COUNT($C$258:$V$258)=0,"",SUM($C$258:$V$258)),IFERROR(INDEX($C$258:$V$258,MATCH($D$2,$C$233:$V$233,0)),""))),IFERROR(INDEX($C$258:$V$258,MATCH($D$2,$C$233:$V$233,0)),"")))</f>
        <v/>
      </c>
      <c r="S36" s="42" t="str">
        <f>IF($B$2="Todos",IF(COUNT($C$223:$V$223)=0,"",SUM($C$223:$V$223)),IFERROR(INDEX($C$223:$V$223,MATCH($D$2,$C$198:$V$198,0)),""))</f>
        <v/>
      </c>
      <c r="T36" s="60" t="str">
        <f>IF(AND(ISNUMBER(S36),ISNUMBER(R36)),IF(R36&gt;0,S36/R36,""),"")</f>
        <v/>
      </c>
      <c r="U36" s="42" t="str">
        <f>IF($B$2="Todos",IF(COUNT($C$293:$V$293)=0,"",SUM($C$293:$V$293)),IFERROR(INDEX($C$293:$V$293,MATCH($D$2,$C$268:$V$268,0)),""))</f>
        <v/>
      </c>
      <c r="V36" s="42">
        <f>IF($B36="","",IF($B$2="Todos",SUMIFS(BD!$U$3:$U$5001,BD!$A$3:$A$5001,$B36),SUMIFS(BD!$U$3:$U$5001,BD!$A$3:$A$5001,$B36,BD!$B$3:$B$5001,$D$2)))</f>
        <v>0</v>
      </c>
      <c r="W36" s="58">
        <f>IF($B36="","",IF($B$2="Todos",SUMIFS(BD!$V$3:$V$5001,BD!$A$3:$A$5001,$B36),SUMIFS(BD!$V$3:$V$5001,BD!$A$3:$A$5001,$B36,BD!$B$3:$B$5001,$D$2)))</f>
        <v>0</v>
      </c>
      <c r="X36" s="42">
        <f>IF($B36="","",IF($B$2="Todos",SUMIFS(BD!$W$3:$W$5001,BD!$A$3:$A$5001,$B36),SUMIFS(BD!$W$3:$W$5001,BD!$A$3:$A$5001,$B36,BD!$B$3:$B$5001,$D$2)))</f>
        <v>0</v>
      </c>
      <c r="Y36" s="42">
        <f>IF($B36="","",IF($B$2="Todos",SUMIFS(BD!$X$3:$X$5001,BD!$A$3:$A$5001,$B36),SUMIFS(BD!$X$3:$X$5001,BD!$A$3:$A$5001,$B36,BD!$B$3:$B$5001,$D$2)))</f>
        <v>0</v>
      </c>
      <c r="Z36" s="42">
        <f>IF($B36="","",IF($B$2="Todos",SUMIFS(BD!$Y$3:$Y$5001,BD!$A$3:$A$5001,$B36),SUMIFS(BD!$Y$3:$Y$5001,BD!$A$3:$A$5001,$B36,BD!$B$3:$B$5001,$D$2)))</f>
        <v>0</v>
      </c>
      <c r="AA36" s="42">
        <f>IF($B36="","",IF($B$2="Todos",SUMIFS(BD!$Z$3:$Z$5001,BD!$A$3:$A$5001,$B36),SUMIFS(BD!$Z$3:$Z$5001,BD!$A$3:$A$5001,$B36,BD!$B$3:$B$5001,$D$2)))</f>
        <v>0</v>
      </c>
      <c r="AB36" s="42">
        <f>IF($B36="","",IF($B$2="Todos",SUMIFS(BD!$AA$3:$AA$5001,BD!$A$3:$A$5001,$B36),SUMIFS(BD!$AA$3:$AA$5001,BD!$A$3:$A$5001,$B36,BD!$B$3:$B$5001,$D$2)))</f>
        <v>0</v>
      </c>
      <c r="AC36" s="42">
        <f>IF($B36="","",IF($B$2="Todos",SUMIFS(BD!$AB$3:$AB$5001,BD!$A$3:$A$5001,$B36),SUMIFS(BD!$AB$3:$AB$5001,BD!$A$3:$A$5001,$B36,BD!$B$3:$B$5001,$D$2)))</f>
        <v>0</v>
      </c>
      <c r="AD36" s="61">
        <f>$B$5</f>
        <v>0.7</v>
      </c>
      <c r="AE36" s="61">
        <f>$B$6</f>
        <v>0.9</v>
      </c>
    </row>
    <row r="37">
      <c r="A37" s="39">
        <v>26</v>
      </c>
      <c r="B37" s="57">
        <f>IF($A37&lt;=DAY($D$7),$C$7+$A37-1,"")</f>
        <v>46321</v>
      </c>
      <c r="C37" s="42">
        <f>IF($B37="","",IF($B$2="Todos",SUMIFS(BD!$C$3:$C$5001,BD!$A$3:$A$5001,$B37),SUMIFS(BD!$C$3:$C$5001,BD!$A$3:$A$5001,$B37,BD!$B$3:$B$5001,$D$2)))</f>
        <v>0</v>
      </c>
      <c r="D37" s="42">
        <f>IF($B37="","",IF($B$2="Todos",SUMIFS(BD!$D$3:$D$5001,BD!$A$3:$A$5001,$B37),SUMIFS(BD!$D$3:$D$5001,BD!$A$3:$A$5001,$B37,BD!$B$3:$B$5001,$D$2)))</f>
        <v>0</v>
      </c>
      <c r="E37" s="58">
        <f>IF($B37="","",IF($B$2="Todos",SUMIFS(BD!$E$3:$E$5001,BD!$A$3:$A$5001,$B37),SUMIFS(BD!$E$3:$E$5001,BD!$A$3:$A$5001,$B37,BD!$B$3:$B$5001,$D$2)))</f>
        <v>0</v>
      </c>
      <c r="F37" s="42">
        <f>IF($B37="","",IF($B$2="Todos",SUMIFS(BD!$F$3:$F$5001,BD!$A$3:$A$5001,$B37),SUMIFS(BD!$F$3:$F$5001,BD!$A$3:$A$5001,$B37,BD!$B$3:$B$5001,$D$2)))</f>
        <v>0</v>
      </c>
      <c r="G37" s="42">
        <f>IF($B37="","",IF($B$2="Todos",SUMIFS(BD!$G$3:$G$5001,BD!$A$3:$A$5001,$B37),SUMIFS(BD!$G$3:$G$5001,BD!$A$3:$A$5001,$B37,BD!$B$3:$B$5001,$D$2)))</f>
        <v>0</v>
      </c>
      <c r="H37" s="42">
        <f>IF($B37="","",IF($B$2="Todos",SUMIFS(BD!$H$3:$H$5001,BD!$A$3:$A$5001,$B37),SUMIFS(BD!$H$3:$H$5001,BD!$A$3:$A$5001,$B37,BD!$B$3:$B$5001,$D$2)))</f>
        <v>0</v>
      </c>
      <c r="I37" s="42">
        <f>IF($B37="","",IF($B$2="Todos",SUMIFS(BD!$I$3:$I$5001,BD!$A$3:$A$5001,$B37),SUMIFS(BD!$I$3:$I$5001,BD!$A$3:$A$5001,$B37,BD!$B$3:$B$5001,$D$2)))</f>
        <v>0</v>
      </c>
      <c r="J37" s="58">
        <f>IF($B37="","",IF($B$2="Todos",SUMIFS(BD!$J$3:$J$5001,BD!$A$3:$A$5001,$B37),SUMIFS(BD!$J$3:$J$5001,BD!$A$3:$A$5001,$B37,BD!$B$3:$B$5001,$D$2)))</f>
        <v>0</v>
      </c>
      <c r="K37" s="42">
        <f>IF($B37="","",IF($B$2="Todos",SUMIFS(BD!$K$3:$K$5001,BD!$A$3:$A$5001,$B37),SUMIFS(BD!$K$3:$K$5001,BD!$A$3:$A$5001,$B37,BD!$B$3:$B$5001,$D$2)))</f>
        <v>0</v>
      </c>
      <c r="L37" s="42">
        <f>IF($B37="","",IF($B$2="Todos",SUMIFS(BD!$L$3:$L$5001,BD!$A$3:$A$5001,$B37),SUMIFS(BD!$L$3:$L$5001,BD!$A$3:$A$5001,$B37,BD!$B$3:$B$5001,$D$2)))</f>
        <v>0</v>
      </c>
      <c r="M37" s="42">
        <f>IF($B37="","",IF($B$2="Todos",SUMIFS(BD!$M$3:$M$5001,BD!$A$3:$A$5001,$B37),SUMIFS(BD!$M$3:$M$5001,BD!$A$3:$A$5001,$B37,BD!$B$3:$B$5001,$D$2)))</f>
        <v>0</v>
      </c>
      <c r="N37" s="42">
        <f>IF($B37="","",IF($B$2="Todos",SUMIFS(BD!$N$3:$N$5001,BD!$A$3:$A$5001,$B37),SUMIFS(BD!$N$3:$N$5001,BD!$A$3:$A$5001,$B37,BD!$B$3:$B$5001,$D$2)))</f>
        <v>0</v>
      </c>
      <c r="O37" s="42">
        <f>IF($B37="","",IF($B$2="Todos",SUMIFS(BD!$O$3:$O$5001,BD!$A$3:$A$5001,$B37),SUMIFS(BD!$O$3:$O$5001,BD!$A$3:$A$5001,$B37,BD!$B$3:$B$5001,$D$2)))</f>
        <v>0</v>
      </c>
      <c r="P37" s="42" t="str">
        <f>IF($B$2="Todos",IF(COUNT($C$154:$V$154)=0,"",SUM($C$154:$V$154)),IFERROR(INDEX($C$154:$V$154,MATCH($D$2,$C$128:$V$128,0)),""))</f>
        <v/>
      </c>
      <c r="Q37" s="42" t="str">
        <f>IF($B$2="Todos",IF(COUNT($C$189:$V$189)=0,"",SUM($C$189:$V$189)),IFERROR(INDEX($C$189:$V$189,MATCH($D$2,$C$163:$V$163,0)),""))</f>
        <v/>
      </c>
      <c r="R37" s="59" t="str">
        <f>IF(S37="","",IF($B$2="Todos",IF($B$4&gt;0,$B$4,IF($B$2="Todos",IF(COUNT($C$259:$V$259)=0,"",SUM($C$259:$V$259)),IFERROR(INDEX($C$259:$V$259,MATCH($D$2,$C$233:$V$233,0)),""))),IFERROR(INDEX($C$259:$V$259,MATCH($D$2,$C$233:$V$233,0)),"")))</f>
        <v/>
      </c>
      <c r="S37" s="42" t="str">
        <f>IF($B$2="Todos",IF(COUNT($C$224:$V$224)=0,"",SUM($C$224:$V$224)),IFERROR(INDEX($C$224:$V$224,MATCH($D$2,$C$198:$V$198,0)),""))</f>
        <v/>
      </c>
      <c r="T37" s="60" t="str">
        <f>IF(AND(ISNUMBER(S37),ISNUMBER(R37)),IF(R37&gt;0,S37/R37,""),"")</f>
        <v/>
      </c>
      <c r="U37" s="42" t="str">
        <f>IF($B$2="Todos",IF(COUNT($C$294:$V$294)=0,"",SUM($C$294:$V$294)),IFERROR(INDEX($C$294:$V$294,MATCH($D$2,$C$268:$V$268,0)),""))</f>
        <v/>
      </c>
      <c r="V37" s="42">
        <f>IF($B37="","",IF($B$2="Todos",SUMIFS(BD!$U$3:$U$5001,BD!$A$3:$A$5001,$B37),SUMIFS(BD!$U$3:$U$5001,BD!$A$3:$A$5001,$B37,BD!$B$3:$B$5001,$D$2)))</f>
        <v>0</v>
      </c>
      <c r="W37" s="58">
        <f>IF($B37="","",IF($B$2="Todos",SUMIFS(BD!$V$3:$V$5001,BD!$A$3:$A$5001,$B37),SUMIFS(BD!$V$3:$V$5001,BD!$A$3:$A$5001,$B37,BD!$B$3:$B$5001,$D$2)))</f>
        <v>0</v>
      </c>
      <c r="X37" s="42">
        <f>IF($B37="","",IF($B$2="Todos",SUMIFS(BD!$W$3:$W$5001,BD!$A$3:$A$5001,$B37),SUMIFS(BD!$W$3:$W$5001,BD!$A$3:$A$5001,$B37,BD!$B$3:$B$5001,$D$2)))</f>
        <v>0</v>
      </c>
      <c r="Y37" s="42">
        <f>IF($B37="","",IF($B$2="Todos",SUMIFS(BD!$X$3:$X$5001,BD!$A$3:$A$5001,$B37),SUMIFS(BD!$X$3:$X$5001,BD!$A$3:$A$5001,$B37,BD!$B$3:$B$5001,$D$2)))</f>
        <v>0</v>
      </c>
      <c r="Z37" s="42">
        <f>IF($B37="","",IF($B$2="Todos",SUMIFS(BD!$Y$3:$Y$5001,BD!$A$3:$A$5001,$B37),SUMIFS(BD!$Y$3:$Y$5001,BD!$A$3:$A$5001,$B37,BD!$B$3:$B$5001,$D$2)))</f>
        <v>0</v>
      </c>
      <c r="AA37" s="42">
        <f>IF($B37="","",IF($B$2="Todos",SUMIFS(BD!$Z$3:$Z$5001,BD!$A$3:$A$5001,$B37),SUMIFS(BD!$Z$3:$Z$5001,BD!$A$3:$A$5001,$B37,BD!$B$3:$B$5001,$D$2)))</f>
        <v>0</v>
      </c>
      <c r="AB37" s="42">
        <f>IF($B37="","",IF($B$2="Todos",SUMIFS(BD!$AA$3:$AA$5001,BD!$A$3:$A$5001,$B37),SUMIFS(BD!$AA$3:$AA$5001,BD!$A$3:$A$5001,$B37,BD!$B$3:$B$5001,$D$2)))</f>
        <v>0</v>
      </c>
      <c r="AC37" s="42">
        <f>IF($B37="","",IF($B$2="Todos",SUMIFS(BD!$AB$3:$AB$5001,BD!$A$3:$A$5001,$B37),SUMIFS(BD!$AB$3:$AB$5001,BD!$A$3:$A$5001,$B37,BD!$B$3:$B$5001,$D$2)))</f>
        <v>0</v>
      </c>
      <c r="AD37" s="61">
        <f>$B$5</f>
        <v>0.7</v>
      </c>
      <c r="AE37" s="61">
        <f>$B$6</f>
        <v>0.9</v>
      </c>
    </row>
    <row r="38">
      <c r="A38" s="39">
        <v>27</v>
      </c>
      <c r="B38" s="57">
        <f>IF($A38&lt;=DAY($D$7),$C$7+$A38-1,"")</f>
        <v>46322</v>
      </c>
      <c r="C38" s="42">
        <f>IF($B38="","",IF($B$2="Todos",SUMIFS(BD!$C$3:$C$5001,BD!$A$3:$A$5001,$B38),SUMIFS(BD!$C$3:$C$5001,BD!$A$3:$A$5001,$B38,BD!$B$3:$B$5001,$D$2)))</f>
        <v>0</v>
      </c>
      <c r="D38" s="42">
        <f>IF($B38="","",IF($B$2="Todos",SUMIFS(BD!$D$3:$D$5001,BD!$A$3:$A$5001,$B38),SUMIFS(BD!$D$3:$D$5001,BD!$A$3:$A$5001,$B38,BD!$B$3:$B$5001,$D$2)))</f>
        <v>0</v>
      </c>
      <c r="E38" s="58">
        <f>IF($B38="","",IF($B$2="Todos",SUMIFS(BD!$E$3:$E$5001,BD!$A$3:$A$5001,$B38),SUMIFS(BD!$E$3:$E$5001,BD!$A$3:$A$5001,$B38,BD!$B$3:$B$5001,$D$2)))</f>
        <v>0</v>
      </c>
      <c r="F38" s="42">
        <f>IF($B38="","",IF($B$2="Todos",SUMIFS(BD!$F$3:$F$5001,BD!$A$3:$A$5001,$B38),SUMIFS(BD!$F$3:$F$5001,BD!$A$3:$A$5001,$B38,BD!$B$3:$B$5001,$D$2)))</f>
        <v>0</v>
      </c>
      <c r="G38" s="42">
        <f>IF($B38="","",IF($B$2="Todos",SUMIFS(BD!$G$3:$G$5001,BD!$A$3:$A$5001,$B38),SUMIFS(BD!$G$3:$G$5001,BD!$A$3:$A$5001,$B38,BD!$B$3:$B$5001,$D$2)))</f>
        <v>0</v>
      </c>
      <c r="H38" s="42">
        <f>IF($B38="","",IF($B$2="Todos",SUMIFS(BD!$H$3:$H$5001,BD!$A$3:$A$5001,$B38),SUMIFS(BD!$H$3:$H$5001,BD!$A$3:$A$5001,$B38,BD!$B$3:$B$5001,$D$2)))</f>
        <v>0</v>
      </c>
      <c r="I38" s="42">
        <f>IF($B38="","",IF($B$2="Todos",SUMIFS(BD!$I$3:$I$5001,BD!$A$3:$A$5001,$B38),SUMIFS(BD!$I$3:$I$5001,BD!$A$3:$A$5001,$B38,BD!$B$3:$B$5001,$D$2)))</f>
        <v>0</v>
      </c>
      <c r="J38" s="58">
        <f>IF($B38="","",IF($B$2="Todos",SUMIFS(BD!$J$3:$J$5001,BD!$A$3:$A$5001,$B38),SUMIFS(BD!$J$3:$J$5001,BD!$A$3:$A$5001,$B38,BD!$B$3:$B$5001,$D$2)))</f>
        <v>0</v>
      </c>
      <c r="K38" s="42">
        <f>IF($B38="","",IF($B$2="Todos",SUMIFS(BD!$K$3:$K$5001,BD!$A$3:$A$5001,$B38),SUMIFS(BD!$K$3:$K$5001,BD!$A$3:$A$5001,$B38,BD!$B$3:$B$5001,$D$2)))</f>
        <v>0</v>
      </c>
      <c r="L38" s="42">
        <f>IF($B38="","",IF($B$2="Todos",SUMIFS(BD!$L$3:$L$5001,BD!$A$3:$A$5001,$B38),SUMIFS(BD!$L$3:$L$5001,BD!$A$3:$A$5001,$B38,BD!$B$3:$B$5001,$D$2)))</f>
        <v>0</v>
      </c>
      <c r="M38" s="42">
        <f>IF($B38="","",IF($B$2="Todos",SUMIFS(BD!$M$3:$M$5001,BD!$A$3:$A$5001,$B38),SUMIFS(BD!$M$3:$M$5001,BD!$A$3:$A$5001,$B38,BD!$B$3:$B$5001,$D$2)))</f>
        <v>0</v>
      </c>
      <c r="N38" s="42">
        <f>IF($B38="","",IF($B$2="Todos",SUMIFS(BD!$N$3:$N$5001,BD!$A$3:$A$5001,$B38),SUMIFS(BD!$N$3:$N$5001,BD!$A$3:$A$5001,$B38,BD!$B$3:$B$5001,$D$2)))</f>
        <v>0</v>
      </c>
      <c r="O38" s="42">
        <f>IF($B38="","",IF($B$2="Todos",SUMIFS(BD!$O$3:$O$5001,BD!$A$3:$A$5001,$B38),SUMIFS(BD!$O$3:$O$5001,BD!$A$3:$A$5001,$B38,BD!$B$3:$B$5001,$D$2)))</f>
        <v>0</v>
      </c>
      <c r="P38" s="42" t="str">
        <f>IF($B$2="Todos",IF(COUNT($C$155:$V$155)=0,"",SUM($C$155:$V$155)),IFERROR(INDEX($C$155:$V$155,MATCH($D$2,$C$128:$V$128,0)),""))</f>
        <v/>
      </c>
      <c r="Q38" s="42" t="str">
        <f>IF($B$2="Todos",IF(COUNT($C$190:$V$190)=0,"",SUM($C$190:$V$190)),IFERROR(INDEX($C$190:$V$190,MATCH($D$2,$C$163:$V$163,0)),""))</f>
        <v/>
      </c>
      <c r="R38" s="59" t="str">
        <f>IF(S38="","",IF($B$2="Todos",IF($B$4&gt;0,$B$4,IF($B$2="Todos",IF(COUNT($C$260:$V$260)=0,"",SUM($C$260:$V$260)),IFERROR(INDEX($C$260:$V$260,MATCH($D$2,$C$233:$V$233,0)),""))),IFERROR(INDEX($C$260:$V$260,MATCH($D$2,$C$233:$V$233,0)),"")))</f>
        <v/>
      </c>
      <c r="S38" s="42" t="str">
        <f>IF($B$2="Todos",IF(COUNT($C$225:$V$225)=0,"",SUM($C$225:$V$225)),IFERROR(INDEX($C$225:$V$225,MATCH($D$2,$C$198:$V$198,0)),""))</f>
        <v/>
      </c>
      <c r="T38" s="60" t="str">
        <f>IF(AND(ISNUMBER(S38),ISNUMBER(R38)),IF(R38&gt;0,S38/R38,""),"")</f>
        <v/>
      </c>
      <c r="U38" s="42" t="str">
        <f>IF($B$2="Todos",IF(COUNT($C$295:$V$295)=0,"",SUM($C$295:$V$295)),IFERROR(INDEX($C$295:$V$295,MATCH($D$2,$C$268:$V$268,0)),""))</f>
        <v/>
      </c>
      <c r="V38" s="42">
        <f>IF($B38="","",IF($B$2="Todos",SUMIFS(BD!$U$3:$U$5001,BD!$A$3:$A$5001,$B38),SUMIFS(BD!$U$3:$U$5001,BD!$A$3:$A$5001,$B38,BD!$B$3:$B$5001,$D$2)))</f>
        <v>0</v>
      </c>
      <c r="W38" s="58">
        <f>IF($B38="","",IF($B$2="Todos",SUMIFS(BD!$V$3:$V$5001,BD!$A$3:$A$5001,$B38),SUMIFS(BD!$V$3:$V$5001,BD!$A$3:$A$5001,$B38,BD!$B$3:$B$5001,$D$2)))</f>
        <v>0</v>
      </c>
      <c r="X38" s="42">
        <f>IF($B38="","",IF($B$2="Todos",SUMIFS(BD!$W$3:$W$5001,BD!$A$3:$A$5001,$B38),SUMIFS(BD!$W$3:$W$5001,BD!$A$3:$A$5001,$B38,BD!$B$3:$B$5001,$D$2)))</f>
        <v>0</v>
      </c>
      <c r="Y38" s="42">
        <f>IF($B38="","",IF($B$2="Todos",SUMIFS(BD!$X$3:$X$5001,BD!$A$3:$A$5001,$B38),SUMIFS(BD!$X$3:$X$5001,BD!$A$3:$A$5001,$B38,BD!$B$3:$B$5001,$D$2)))</f>
        <v>0</v>
      </c>
      <c r="Z38" s="42">
        <f>IF($B38="","",IF($B$2="Todos",SUMIFS(BD!$Y$3:$Y$5001,BD!$A$3:$A$5001,$B38),SUMIFS(BD!$Y$3:$Y$5001,BD!$A$3:$A$5001,$B38,BD!$B$3:$B$5001,$D$2)))</f>
        <v>0</v>
      </c>
      <c r="AA38" s="42">
        <f>IF($B38="","",IF($B$2="Todos",SUMIFS(BD!$Z$3:$Z$5001,BD!$A$3:$A$5001,$B38),SUMIFS(BD!$Z$3:$Z$5001,BD!$A$3:$A$5001,$B38,BD!$B$3:$B$5001,$D$2)))</f>
        <v>0</v>
      </c>
      <c r="AB38" s="42">
        <f>IF($B38="","",IF($B$2="Todos",SUMIFS(BD!$AA$3:$AA$5001,BD!$A$3:$A$5001,$B38),SUMIFS(BD!$AA$3:$AA$5001,BD!$A$3:$A$5001,$B38,BD!$B$3:$B$5001,$D$2)))</f>
        <v>0</v>
      </c>
      <c r="AC38" s="42">
        <f>IF($B38="","",IF($B$2="Todos",SUMIFS(BD!$AB$3:$AB$5001,BD!$A$3:$A$5001,$B38),SUMIFS(BD!$AB$3:$AB$5001,BD!$A$3:$A$5001,$B38,BD!$B$3:$B$5001,$D$2)))</f>
        <v>0</v>
      </c>
      <c r="AD38" s="61">
        <f>$B$5</f>
        <v>0.7</v>
      </c>
      <c r="AE38" s="61">
        <f>$B$6</f>
        <v>0.9</v>
      </c>
    </row>
    <row r="39">
      <c r="A39" s="39">
        <v>28</v>
      </c>
      <c r="B39" s="57">
        <f>IF($A39&lt;=DAY($D$7),$C$7+$A39-1,"")</f>
        <v>46323</v>
      </c>
      <c r="C39" s="42">
        <f>IF($B39="","",IF($B$2="Todos",SUMIFS(BD!$C$3:$C$5001,BD!$A$3:$A$5001,$B39),SUMIFS(BD!$C$3:$C$5001,BD!$A$3:$A$5001,$B39,BD!$B$3:$B$5001,$D$2)))</f>
        <v>0</v>
      </c>
      <c r="D39" s="42">
        <f>IF($B39="","",IF($B$2="Todos",SUMIFS(BD!$D$3:$D$5001,BD!$A$3:$A$5001,$B39),SUMIFS(BD!$D$3:$D$5001,BD!$A$3:$A$5001,$B39,BD!$B$3:$B$5001,$D$2)))</f>
        <v>0</v>
      </c>
      <c r="E39" s="58">
        <f>IF($B39="","",IF($B$2="Todos",SUMIFS(BD!$E$3:$E$5001,BD!$A$3:$A$5001,$B39),SUMIFS(BD!$E$3:$E$5001,BD!$A$3:$A$5001,$B39,BD!$B$3:$B$5001,$D$2)))</f>
        <v>0</v>
      </c>
      <c r="F39" s="42">
        <f>IF($B39="","",IF($B$2="Todos",SUMIFS(BD!$F$3:$F$5001,BD!$A$3:$A$5001,$B39),SUMIFS(BD!$F$3:$F$5001,BD!$A$3:$A$5001,$B39,BD!$B$3:$B$5001,$D$2)))</f>
        <v>0</v>
      </c>
      <c r="G39" s="42">
        <f>IF($B39="","",IF($B$2="Todos",SUMIFS(BD!$G$3:$G$5001,BD!$A$3:$A$5001,$B39),SUMIFS(BD!$G$3:$G$5001,BD!$A$3:$A$5001,$B39,BD!$B$3:$B$5001,$D$2)))</f>
        <v>0</v>
      </c>
      <c r="H39" s="42">
        <f>IF($B39="","",IF($B$2="Todos",SUMIFS(BD!$H$3:$H$5001,BD!$A$3:$A$5001,$B39),SUMIFS(BD!$H$3:$H$5001,BD!$A$3:$A$5001,$B39,BD!$B$3:$B$5001,$D$2)))</f>
        <v>0</v>
      </c>
      <c r="I39" s="42">
        <f>IF($B39="","",IF($B$2="Todos",SUMIFS(BD!$I$3:$I$5001,BD!$A$3:$A$5001,$B39),SUMIFS(BD!$I$3:$I$5001,BD!$A$3:$A$5001,$B39,BD!$B$3:$B$5001,$D$2)))</f>
        <v>0</v>
      </c>
      <c r="J39" s="58">
        <f>IF($B39="","",IF($B$2="Todos",SUMIFS(BD!$J$3:$J$5001,BD!$A$3:$A$5001,$B39),SUMIFS(BD!$J$3:$J$5001,BD!$A$3:$A$5001,$B39,BD!$B$3:$B$5001,$D$2)))</f>
        <v>0</v>
      </c>
      <c r="K39" s="42">
        <f>IF($B39="","",IF($B$2="Todos",SUMIFS(BD!$K$3:$K$5001,BD!$A$3:$A$5001,$B39),SUMIFS(BD!$K$3:$K$5001,BD!$A$3:$A$5001,$B39,BD!$B$3:$B$5001,$D$2)))</f>
        <v>0</v>
      </c>
      <c r="L39" s="42">
        <f>IF($B39="","",IF($B$2="Todos",SUMIFS(BD!$L$3:$L$5001,BD!$A$3:$A$5001,$B39),SUMIFS(BD!$L$3:$L$5001,BD!$A$3:$A$5001,$B39,BD!$B$3:$B$5001,$D$2)))</f>
        <v>0</v>
      </c>
      <c r="M39" s="42">
        <f>IF($B39="","",IF($B$2="Todos",SUMIFS(BD!$M$3:$M$5001,BD!$A$3:$A$5001,$B39),SUMIFS(BD!$M$3:$M$5001,BD!$A$3:$A$5001,$B39,BD!$B$3:$B$5001,$D$2)))</f>
        <v>0</v>
      </c>
      <c r="N39" s="42">
        <f>IF($B39="","",IF($B$2="Todos",SUMIFS(BD!$N$3:$N$5001,BD!$A$3:$A$5001,$B39),SUMIFS(BD!$N$3:$N$5001,BD!$A$3:$A$5001,$B39,BD!$B$3:$B$5001,$D$2)))</f>
        <v>0</v>
      </c>
      <c r="O39" s="42">
        <f>IF($B39="","",IF($B$2="Todos",SUMIFS(BD!$O$3:$O$5001,BD!$A$3:$A$5001,$B39),SUMIFS(BD!$O$3:$O$5001,BD!$A$3:$A$5001,$B39,BD!$B$3:$B$5001,$D$2)))</f>
        <v>0</v>
      </c>
      <c r="P39" s="42" t="str">
        <f>IF($B$2="Todos",IF(COUNT($C$156:$V$156)=0,"",SUM($C$156:$V$156)),IFERROR(INDEX($C$156:$V$156,MATCH($D$2,$C$128:$V$128,0)),""))</f>
        <v/>
      </c>
      <c r="Q39" s="42" t="str">
        <f>IF($B$2="Todos",IF(COUNT($C$191:$V$191)=0,"",SUM($C$191:$V$191)),IFERROR(INDEX($C$191:$V$191,MATCH($D$2,$C$163:$V$163,0)),""))</f>
        <v/>
      </c>
      <c r="R39" s="59" t="str">
        <f>IF(S39="","",IF($B$2="Todos",IF($B$4&gt;0,$B$4,IF($B$2="Todos",IF(COUNT($C$261:$V$261)=0,"",SUM($C$261:$V$261)),IFERROR(INDEX($C$261:$V$261,MATCH($D$2,$C$233:$V$233,0)),""))),IFERROR(INDEX($C$261:$V$261,MATCH($D$2,$C$233:$V$233,0)),"")))</f>
        <v/>
      </c>
      <c r="S39" s="42" t="str">
        <f>IF($B$2="Todos",IF(COUNT($C$226:$V$226)=0,"",SUM($C$226:$V$226)),IFERROR(INDEX($C$226:$V$226,MATCH($D$2,$C$198:$V$198,0)),""))</f>
        <v/>
      </c>
      <c r="T39" s="60" t="str">
        <f>IF(AND(ISNUMBER(S39),ISNUMBER(R39)),IF(R39&gt;0,S39/R39,""),"")</f>
        <v/>
      </c>
      <c r="U39" s="42" t="str">
        <f>IF($B$2="Todos",IF(COUNT($C$296:$V$296)=0,"",SUM($C$296:$V$296)),IFERROR(INDEX($C$296:$V$296,MATCH($D$2,$C$268:$V$268,0)),""))</f>
        <v/>
      </c>
      <c r="V39" s="42">
        <f>IF($B39="","",IF($B$2="Todos",SUMIFS(BD!$U$3:$U$5001,BD!$A$3:$A$5001,$B39),SUMIFS(BD!$U$3:$U$5001,BD!$A$3:$A$5001,$B39,BD!$B$3:$B$5001,$D$2)))</f>
        <v>0</v>
      </c>
      <c r="W39" s="58">
        <f>IF($B39="","",IF($B$2="Todos",SUMIFS(BD!$V$3:$V$5001,BD!$A$3:$A$5001,$B39),SUMIFS(BD!$V$3:$V$5001,BD!$A$3:$A$5001,$B39,BD!$B$3:$B$5001,$D$2)))</f>
        <v>0</v>
      </c>
      <c r="X39" s="42">
        <f>IF($B39="","",IF($B$2="Todos",SUMIFS(BD!$W$3:$W$5001,BD!$A$3:$A$5001,$B39),SUMIFS(BD!$W$3:$W$5001,BD!$A$3:$A$5001,$B39,BD!$B$3:$B$5001,$D$2)))</f>
        <v>0</v>
      </c>
      <c r="Y39" s="42">
        <f>IF($B39="","",IF($B$2="Todos",SUMIFS(BD!$X$3:$X$5001,BD!$A$3:$A$5001,$B39),SUMIFS(BD!$X$3:$X$5001,BD!$A$3:$A$5001,$B39,BD!$B$3:$B$5001,$D$2)))</f>
        <v>0</v>
      </c>
      <c r="Z39" s="42">
        <f>IF($B39="","",IF($B$2="Todos",SUMIFS(BD!$Y$3:$Y$5001,BD!$A$3:$A$5001,$B39),SUMIFS(BD!$Y$3:$Y$5001,BD!$A$3:$A$5001,$B39,BD!$B$3:$B$5001,$D$2)))</f>
        <v>0</v>
      </c>
      <c r="AA39" s="42">
        <f>IF($B39="","",IF($B$2="Todos",SUMIFS(BD!$Z$3:$Z$5001,BD!$A$3:$A$5001,$B39),SUMIFS(BD!$Z$3:$Z$5001,BD!$A$3:$A$5001,$B39,BD!$B$3:$B$5001,$D$2)))</f>
        <v>0</v>
      </c>
      <c r="AB39" s="42">
        <f>IF($B39="","",IF($B$2="Todos",SUMIFS(BD!$AA$3:$AA$5001,BD!$A$3:$A$5001,$B39),SUMIFS(BD!$AA$3:$AA$5001,BD!$A$3:$A$5001,$B39,BD!$B$3:$B$5001,$D$2)))</f>
        <v>0</v>
      </c>
      <c r="AC39" s="42">
        <f>IF($B39="","",IF($B$2="Todos",SUMIFS(BD!$AB$3:$AB$5001,BD!$A$3:$A$5001,$B39),SUMIFS(BD!$AB$3:$AB$5001,BD!$A$3:$A$5001,$B39,BD!$B$3:$B$5001,$D$2)))</f>
        <v>0</v>
      </c>
      <c r="AD39" s="61">
        <f>$B$5</f>
        <v>0.7</v>
      </c>
      <c r="AE39" s="61">
        <f>$B$6</f>
        <v>0.9</v>
      </c>
    </row>
    <row r="40">
      <c r="A40" s="39">
        <v>29</v>
      </c>
      <c r="B40" s="57">
        <f>IF($A40&lt;=DAY($D$7),$C$7+$A40-1,"")</f>
        <v>46324</v>
      </c>
      <c r="C40" s="42">
        <f>IF($B40="","",IF($B$2="Todos",SUMIFS(BD!$C$3:$C$5001,BD!$A$3:$A$5001,$B40),SUMIFS(BD!$C$3:$C$5001,BD!$A$3:$A$5001,$B40,BD!$B$3:$B$5001,$D$2)))</f>
        <v>0</v>
      </c>
      <c r="D40" s="42">
        <f>IF($B40="","",IF($B$2="Todos",SUMIFS(BD!$D$3:$D$5001,BD!$A$3:$A$5001,$B40),SUMIFS(BD!$D$3:$D$5001,BD!$A$3:$A$5001,$B40,BD!$B$3:$B$5001,$D$2)))</f>
        <v>0</v>
      </c>
      <c r="E40" s="58">
        <f>IF($B40="","",IF($B$2="Todos",SUMIFS(BD!$E$3:$E$5001,BD!$A$3:$A$5001,$B40),SUMIFS(BD!$E$3:$E$5001,BD!$A$3:$A$5001,$B40,BD!$B$3:$B$5001,$D$2)))</f>
        <v>0</v>
      </c>
      <c r="F40" s="42">
        <f>IF($B40="","",IF($B$2="Todos",SUMIFS(BD!$F$3:$F$5001,BD!$A$3:$A$5001,$B40),SUMIFS(BD!$F$3:$F$5001,BD!$A$3:$A$5001,$B40,BD!$B$3:$B$5001,$D$2)))</f>
        <v>0</v>
      </c>
      <c r="G40" s="42">
        <f>IF($B40="","",IF($B$2="Todos",SUMIFS(BD!$G$3:$G$5001,BD!$A$3:$A$5001,$B40),SUMIFS(BD!$G$3:$G$5001,BD!$A$3:$A$5001,$B40,BD!$B$3:$B$5001,$D$2)))</f>
        <v>0</v>
      </c>
      <c r="H40" s="42">
        <f>IF($B40="","",IF($B$2="Todos",SUMIFS(BD!$H$3:$H$5001,BD!$A$3:$A$5001,$B40),SUMIFS(BD!$H$3:$H$5001,BD!$A$3:$A$5001,$B40,BD!$B$3:$B$5001,$D$2)))</f>
        <v>0</v>
      </c>
      <c r="I40" s="42">
        <f>IF($B40="","",IF($B$2="Todos",SUMIFS(BD!$I$3:$I$5001,BD!$A$3:$A$5001,$B40),SUMIFS(BD!$I$3:$I$5001,BD!$A$3:$A$5001,$B40,BD!$B$3:$B$5001,$D$2)))</f>
        <v>0</v>
      </c>
      <c r="J40" s="58">
        <f>IF($B40="","",IF($B$2="Todos",SUMIFS(BD!$J$3:$J$5001,BD!$A$3:$A$5001,$B40),SUMIFS(BD!$J$3:$J$5001,BD!$A$3:$A$5001,$B40,BD!$B$3:$B$5001,$D$2)))</f>
        <v>0</v>
      </c>
      <c r="K40" s="42">
        <f>IF($B40="","",IF($B$2="Todos",SUMIFS(BD!$K$3:$K$5001,BD!$A$3:$A$5001,$B40),SUMIFS(BD!$K$3:$K$5001,BD!$A$3:$A$5001,$B40,BD!$B$3:$B$5001,$D$2)))</f>
        <v>0</v>
      </c>
      <c r="L40" s="42">
        <f>IF($B40="","",IF($B$2="Todos",SUMIFS(BD!$L$3:$L$5001,BD!$A$3:$A$5001,$B40),SUMIFS(BD!$L$3:$L$5001,BD!$A$3:$A$5001,$B40,BD!$B$3:$B$5001,$D$2)))</f>
        <v>0</v>
      </c>
      <c r="M40" s="42">
        <f>IF($B40="","",IF($B$2="Todos",SUMIFS(BD!$M$3:$M$5001,BD!$A$3:$A$5001,$B40),SUMIFS(BD!$M$3:$M$5001,BD!$A$3:$A$5001,$B40,BD!$B$3:$B$5001,$D$2)))</f>
        <v>0</v>
      </c>
      <c r="N40" s="42">
        <f>IF($B40="","",IF($B$2="Todos",SUMIFS(BD!$N$3:$N$5001,BD!$A$3:$A$5001,$B40),SUMIFS(BD!$N$3:$N$5001,BD!$A$3:$A$5001,$B40,BD!$B$3:$B$5001,$D$2)))</f>
        <v>0</v>
      </c>
      <c r="O40" s="42">
        <f>IF($B40="","",IF($B$2="Todos",SUMIFS(BD!$O$3:$O$5001,BD!$A$3:$A$5001,$B40),SUMIFS(BD!$O$3:$O$5001,BD!$A$3:$A$5001,$B40,BD!$B$3:$B$5001,$D$2)))</f>
        <v>0</v>
      </c>
      <c r="P40" s="42" t="str">
        <f>IF($B$2="Todos",IF(COUNT($C$157:$V$157)=0,"",SUM($C$157:$V$157)),IFERROR(INDEX($C$157:$V$157,MATCH($D$2,$C$128:$V$128,0)),""))</f>
        <v/>
      </c>
      <c r="Q40" s="42" t="str">
        <f>IF($B$2="Todos",IF(COUNT($C$192:$V$192)=0,"",SUM($C$192:$V$192)),IFERROR(INDEX($C$192:$V$192,MATCH($D$2,$C$163:$V$163,0)),""))</f>
        <v/>
      </c>
      <c r="R40" s="59" t="str">
        <f>IF(S40="","",IF($B$2="Todos",IF($B$4&gt;0,$B$4,IF($B$2="Todos",IF(COUNT($C$262:$V$262)=0,"",SUM($C$262:$V$262)),IFERROR(INDEX($C$262:$V$262,MATCH($D$2,$C$233:$V$233,0)),""))),IFERROR(INDEX($C$262:$V$262,MATCH($D$2,$C$233:$V$233,0)),"")))</f>
        <v/>
      </c>
      <c r="S40" s="42" t="str">
        <f>IF($B$2="Todos",IF(COUNT($C$227:$V$227)=0,"",SUM($C$227:$V$227)),IFERROR(INDEX($C$227:$V$227,MATCH($D$2,$C$198:$V$198,0)),""))</f>
        <v/>
      </c>
      <c r="T40" s="60" t="str">
        <f>IF(AND(ISNUMBER(S40),ISNUMBER(R40)),IF(R40&gt;0,S40/R40,""),"")</f>
        <v/>
      </c>
      <c r="U40" s="42" t="str">
        <f>IF($B$2="Todos",IF(COUNT($C$297:$V$297)=0,"",SUM($C$297:$V$297)),IFERROR(INDEX($C$297:$V$297,MATCH($D$2,$C$268:$V$268,0)),""))</f>
        <v/>
      </c>
      <c r="V40" s="42">
        <f>IF($B40="","",IF($B$2="Todos",SUMIFS(BD!$U$3:$U$5001,BD!$A$3:$A$5001,$B40),SUMIFS(BD!$U$3:$U$5001,BD!$A$3:$A$5001,$B40,BD!$B$3:$B$5001,$D$2)))</f>
        <v>0</v>
      </c>
      <c r="W40" s="58">
        <f>IF($B40="","",IF($B$2="Todos",SUMIFS(BD!$V$3:$V$5001,BD!$A$3:$A$5001,$B40),SUMIFS(BD!$V$3:$V$5001,BD!$A$3:$A$5001,$B40,BD!$B$3:$B$5001,$D$2)))</f>
        <v>0</v>
      </c>
      <c r="X40" s="42">
        <f>IF($B40="","",IF($B$2="Todos",SUMIFS(BD!$W$3:$W$5001,BD!$A$3:$A$5001,$B40),SUMIFS(BD!$W$3:$W$5001,BD!$A$3:$A$5001,$B40,BD!$B$3:$B$5001,$D$2)))</f>
        <v>0</v>
      </c>
      <c r="Y40" s="42">
        <f>IF($B40="","",IF($B$2="Todos",SUMIFS(BD!$X$3:$X$5001,BD!$A$3:$A$5001,$B40),SUMIFS(BD!$X$3:$X$5001,BD!$A$3:$A$5001,$B40,BD!$B$3:$B$5001,$D$2)))</f>
        <v>0</v>
      </c>
      <c r="Z40" s="42">
        <f>IF($B40="","",IF($B$2="Todos",SUMIFS(BD!$Y$3:$Y$5001,BD!$A$3:$A$5001,$B40),SUMIFS(BD!$Y$3:$Y$5001,BD!$A$3:$A$5001,$B40,BD!$B$3:$B$5001,$D$2)))</f>
        <v>0</v>
      </c>
      <c r="AA40" s="42">
        <f>IF($B40="","",IF($B$2="Todos",SUMIFS(BD!$Z$3:$Z$5001,BD!$A$3:$A$5001,$B40),SUMIFS(BD!$Z$3:$Z$5001,BD!$A$3:$A$5001,$B40,BD!$B$3:$B$5001,$D$2)))</f>
        <v>0</v>
      </c>
      <c r="AB40" s="42">
        <f>IF($B40="","",IF($B$2="Todos",SUMIFS(BD!$AA$3:$AA$5001,BD!$A$3:$A$5001,$B40),SUMIFS(BD!$AA$3:$AA$5001,BD!$A$3:$A$5001,$B40,BD!$B$3:$B$5001,$D$2)))</f>
        <v>0</v>
      </c>
      <c r="AC40" s="42">
        <f>IF($B40="","",IF($B$2="Todos",SUMIFS(BD!$AB$3:$AB$5001,BD!$A$3:$A$5001,$B40),SUMIFS(BD!$AB$3:$AB$5001,BD!$A$3:$A$5001,$B40,BD!$B$3:$B$5001,$D$2)))</f>
        <v>0</v>
      </c>
      <c r="AD40" s="61">
        <f>$B$5</f>
        <v>0.7</v>
      </c>
      <c r="AE40" s="61">
        <f>$B$6</f>
        <v>0.9</v>
      </c>
    </row>
    <row r="41">
      <c r="A41" s="39">
        <v>30</v>
      </c>
      <c r="B41" s="57">
        <f>IF($A41&lt;=DAY($D$7),$C$7+$A41-1,"")</f>
        <v>46325</v>
      </c>
      <c r="C41" s="42">
        <f>IF($B41="","",IF($B$2="Todos",SUMIFS(BD!$C$3:$C$5001,BD!$A$3:$A$5001,$B41),SUMIFS(BD!$C$3:$C$5001,BD!$A$3:$A$5001,$B41,BD!$B$3:$B$5001,$D$2)))</f>
        <v>0</v>
      </c>
      <c r="D41" s="42">
        <f>IF($B41="","",IF($B$2="Todos",SUMIFS(BD!$D$3:$D$5001,BD!$A$3:$A$5001,$B41),SUMIFS(BD!$D$3:$D$5001,BD!$A$3:$A$5001,$B41,BD!$B$3:$B$5001,$D$2)))</f>
        <v>0</v>
      </c>
      <c r="E41" s="58">
        <f>IF($B41="","",IF($B$2="Todos",SUMIFS(BD!$E$3:$E$5001,BD!$A$3:$A$5001,$B41),SUMIFS(BD!$E$3:$E$5001,BD!$A$3:$A$5001,$B41,BD!$B$3:$B$5001,$D$2)))</f>
        <v>0</v>
      </c>
      <c r="F41" s="42">
        <f>IF($B41="","",IF($B$2="Todos",SUMIFS(BD!$F$3:$F$5001,BD!$A$3:$A$5001,$B41),SUMIFS(BD!$F$3:$F$5001,BD!$A$3:$A$5001,$B41,BD!$B$3:$B$5001,$D$2)))</f>
        <v>0</v>
      </c>
      <c r="G41" s="42">
        <f>IF($B41="","",IF($B$2="Todos",SUMIFS(BD!$G$3:$G$5001,BD!$A$3:$A$5001,$B41),SUMIFS(BD!$G$3:$G$5001,BD!$A$3:$A$5001,$B41,BD!$B$3:$B$5001,$D$2)))</f>
        <v>0</v>
      </c>
      <c r="H41" s="42">
        <f>IF($B41="","",IF($B$2="Todos",SUMIFS(BD!$H$3:$H$5001,BD!$A$3:$A$5001,$B41),SUMIFS(BD!$H$3:$H$5001,BD!$A$3:$A$5001,$B41,BD!$B$3:$B$5001,$D$2)))</f>
        <v>0</v>
      </c>
      <c r="I41" s="42">
        <f>IF($B41="","",IF($B$2="Todos",SUMIFS(BD!$I$3:$I$5001,BD!$A$3:$A$5001,$B41),SUMIFS(BD!$I$3:$I$5001,BD!$A$3:$A$5001,$B41,BD!$B$3:$B$5001,$D$2)))</f>
        <v>0</v>
      </c>
      <c r="J41" s="58">
        <f>IF($B41="","",IF($B$2="Todos",SUMIFS(BD!$J$3:$J$5001,BD!$A$3:$A$5001,$B41),SUMIFS(BD!$J$3:$J$5001,BD!$A$3:$A$5001,$B41,BD!$B$3:$B$5001,$D$2)))</f>
        <v>0</v>
      </c>
      <c r="K41" s="42">
        <f>IF($B41="","",IF($B$2="Todos",SUMIFS(BD!$K$3:$K$5001,BD!$A$3:$A$5001,$B41),SUMIFS(BD!$K$3:$K$5001,BD!$A$3:$A$5001,$B41,BD!$B$3:$B$5001,$D$2)))</f>
        <v>0</v>
      </c>
      <c r="L41" s="42">
        <f>IF($B41="","",IF($B$2="Todos",SUMIFS(BD!$L$3:$L$5001,BD!$A$3:$A$5001,$B41),SUMIFS(BD!$L$3:$L$5001,BD!$A$3:$A$5001,$B41,BD!$B$3:$B$5001,$D$2)))</f>
        <v>0</v>
      </c>
      <c r="M41" s="42">
        <f>IF($B41="","",IF($B$2="Todos",SUMIFS(BD!$M$3:$M$5001,BD!$A$3:$A$5001,$B41),SUMIFS(BD!$M$3:$M$5001,BD!$A$3:$A$5001,$B41,BD!$B$3:$B$5001,$D$2)))</f>
        <v>0</v>
      </c>
      <c r="N41" s="42">
        <f>IF($B41="","",IF($B$2="Todos",SUMIFS(BD!$N$3:$N$5001,BD!$A$3:$A$5001,$B41),SUMIFS(BD!$N$3:$N$5001,BD!$A$3:$A$5001,$B41,BD!$B$3:$B$5001,$D$2)))</f>
        <v>0</v>
      </c>
      <c r="O41" s="42">
        <f>IF($B41="","",IF($B$2="Todos",SUMIFS(BD!$O$3:$O$5001,BD!$A$3:$A$5001,$B41),SUMIFS(BD!$O$3:$O$5001,BD!$A$3:$A$5001,$B41,BD!$B$3:$B$5001,$D$2)))</f>
        <v>0</v>
      </c>
      <c r="P41" s="42" t="str">
        <f>IF($B$2="Todos",IF(COUNT($C$158:$V$158)=0,"",SUM($C$158:$V$158)),IFERROR(INDEX($C$158:$V$158,MATCH($D$2,$C$128:$V$128,0)),""))</f>
        <v/>
      </c>
      <c r="Q41" s="42" t="str">
        <f>IF($B$2="Todos",IF(COUNT($C$193:$V$193)=0,"",SUM($C$193:$V$193)),IFERROR(INDEX($C$193:$V$193,MATCH($D$2,$C$163:$V$163,0)),""))</f>
        <v/>
      </c>
      <c r="R41" s="59" t="str">
        <f>IF(S41="","",IF($B$2="Todos",IF($B$4&gt;0,$B$4,IF($B$2="Todos",IF(COUNT($C$263:$V$263)=0,"",SUM($C$263:$V$263)),IFERROR(INDEX($C$263:$V$263,MATCH($D$2,$C$233:$V$233,0)),""))),IFERROR(INDEX($C$263:$V$263,MATCH($D$2,$C$233:$V$233,0)),"")))</f>
        <v/>
      </c>
      <c r="S41" s="42" t="str">
        <f>IF($B$2="Todos",IF(COUNT($C$228:$V$228)=0,"",SUM($C$228:$V$228)),IFERROR(INDEX($C$228:$V$228,MATCH($D$2,$C$198:$V$198,0)),""))</f>
        <v/>
      </c>
      <c r="T41" s="60" t="str">
        <f>IF(AND(ISNUMBER(S41),ISNUMBER(R41)),IF(R41&gt;0,S41/R41,""),"")</f>
        <v/>
      </c>
      <c r="U41" s="42" t="str">
        <f>IF($B$2="Todos",IF(COUNT($C$298:$V$298)=0,"",SUM($C$298:$V$298)),IFERROR(INDEX($C$298:$V$298,MATCH($D$2,$C$268:$V$268,0)),""))</f>
        <v/>
      </c>
      <c r="V41" s="42">
        <f>IF($B41="","",IF($B$2="Todos",SUMIFS(BD!$U$3:$U$5001,BD!$A$3:$A$5001,$B41),SUMIFS(BD!$U$3:$U$5001,BD!$A$3:$A$5001,$B41,BD!$B$3:$B$5001,$D$2)))</f>
        <v>0</v>
      </c>
      <c r="W41" s="58">
        <f>IF($B41="","",IF($B$2="Todos",SUMIFS(BD!$V$3:$V$5001,BD!$A$3:$A$5001,$B41),SUMIFS(BD!$V$3:$V$5001,BD!$A$3:$A$5001,$B41,BD!$B$3:$B$5001,$D$2)))</f>
        <v>0</v>
      </c>
      <c r="X41" s="42">
        <f>IF($B41="","",IF($B$2="Todos",SUMIFS(BD!$W$3:$W$5001,BD!$A$3:$A$5001,$B41),SUMIFS(BD!$W$3:$W$5001,BD!$A$3:$A$5001,$B41,BD!$B$3:$B$5001,$D$2)))</f>
        <v>0</v>
      </c>
      <c r="Y41" s="42">
        <f>IF($B41="","",IF($B$2="Todos",SUMIFS(BD!$X$3:$X$5001,BD!$A$3:$A$5001,$B41),SUMIFS(BD!$X$3:$X$5001,BD!$A$3:$A$5001,$B41,BD!$B$3:$B$5001,$D$2)))</f>
        <v>0</v>
      </c>
      <c r="Z41" s="42">
        <f>IF($B41="","",IF($B$2="Todos",SUMIFS(BD!$Y$3:$Y$5001,BD!$A$3:$A$5001,$B41),SUMIFS(BD!$Y$3:$Y$5001,BD!$A$3:$A$5001,$B41,BD!$B$3:$B$5001,$D$2)))</f>
        <v>0</v>
      </c>
      <c r="AA41" s="42">
        <f>IF($B41="","",IF($B$2="Todos",SUMIFS(BD!$Z$3:$Z$5001,BD!$A$3:$A$5001,$B41),SUMIFS(BD!$Z$3:$Z$5001,BD!$A$3:$A$5001,$B41,BD!$B$3:$B$5001,$D$2)))</f>
        <v>0</v>
      </c>
      <c r="AB41" s="42">
        <f>IF($B41="","",IF($B$2="Todos",SUMIFS(BD!$AA$3:$AA$5001,BD!$A$3:$A$5001,$B41),SUMIFS(BD!$AA$3:$AA$5001,BD!$A$3:$A$5001,$B41,BD!$B$3:$B$5001,$D$2)))</f>
        <v>0</v>
      </c>
      <c r="AC41" s="42">
        <f>IF($B41="","",IF($B$2="Todos",SUMIFS(BD!$AB$3:$AB$5001,BD!$A$3:$A$5001,$B41),SUMIFS(BD!$AB$3:$AB$5001,BD!$A$3:$A$5001,$B41,BD!$B$3:$B$5001,$D$2)))</f>
        <v>0</v>
      </c>
      <c r="AD41" s="61">
        <f>$B$5</f>
        <v>0.7</v>
      </c>
      <c r="AE41" s="61">
        <f>$B$6</f>
        <v>0.9</v>
      </c>
    </row>
    <row r="42">
      <c r="A42" s="39">
        <v>31</v>
      </c>
      <c r="B42" s="57">
        <f>IF($A42&lt;=DAY($D$7),$C$7+$A42-1,"")</f>
        <v>46326</v>
      </c>
      <c r="C42" s="42">
        <f>IF($B42="","",IF($B$2="Todos",SUMIFS(BD!$C$3:$C$5001,BD!$A$3:$A$5001,$B42),SUMIFS(BD!$C$3:$C$5001,BD!$A$3:$A$5001,$B42,BD!$B$3:$B$5001,$D$2)))</f>
        <v>0</v>
      </c>
      <c r="D42" s="42">
        <f>IF($B42="","",IF($B$2="Todos",SUMIFS(BD!$D$3:$D$5001,BD!$A$3:$A$5001,$B42),SUMIFS(BD!$D$3:$D$5001,BD!$A$3:$A$5001,$B42,BD!$B$3:$B$5001,$D$2)))</f>
        <v>0</v>
      </c>
      <c r="E42" s="58">
        <f>IF($B42="","",IF($B$2="Todos",SUMIFS(BD!$E$3:$E$5001,BD!$A$3:$A$5001,$B42),SUMIFS(BD!$E$3:$E$5001,BD!$A$3:$A$5001,$B42,BD!$B$3:$B$5001,$D$2)))</f>
        <v>0</v>
      </c>
      <c r="F42" s="42">
        <f>IF($B42="","",IF($B$2="Todos",SUMIFS(BD!$F$3:$F$5001,BD!$A$3:$A$5001,$B42),SUMIFS(BD!$F$3:$F$5001,BD!$A$3:$A$5001,$B42,BD!$B$3:$B$5001,$D$2)))</f>
        <v>0</v>
      </c>
      <c r="G42" s="42">
        <f>IF($B42="","",IF($B$2="Todos",SUMIFS(BD!$G$3:$G$5001,BD!$A$3:$A$5001,$B42),SUMIFS(BD!$G$3:$G$5001,BD!$A$3:$A$5001,$B42,BD!$B$3:$B$5001,$D$2)))</f>
        <v>0</v>
      </c>
      <c r="H42" s="42">
        <f>IF($B42="","",IF($B$2="Todos",SUMIFS(BD!$H$3:$H$5001,BD!$A$3:$A$5001,$B42),SUMIFS(BD!$H$3:$H$5001,BD!$A$3:$A$5001,$B42,BD!$B$3:$B$5001,$D$2)))</f>
        <v>0</v>
      </c>
      <c r="I42" s="42">
        <f>IF($B42="","",IF($B$2="Todos",SUMIFS(BD!$I$3:$I$5001,BD!$A$3:$A$5001,$B42),SUMIFS(BD!$I$3:$I$5001,BD!$A$3:$A$5001,$B42,BD!$B$3:$B$5001,$D$2)))</f>
        <v>0</v>
      </c>
      <c r="J42" s="58">
        <f>IF($B42="","",IF($B$2="Todos",SUMIFS(BD!$J$3:$J$5001,BD!$A$3:$A$5001,$B42),SUMIFS(BD!$J$3:$J$5001,BD!$A$3:$A$5001,$B42,BD!$B$3:$B$5001,$D$2)))</f>
        <v>0</v>
      </c>
      <c r="K42" s="42">
        <f>IF($B42="","",IF($B$2="Todos",SUMIFS(BD!$K$3:$K$5001,BD!$A$3:$A$5001,$B42),SUMIFS(BD!$K$3:$K$5001,BD!$A$3:$A$5001,$B42,BD!$B$3:$B$5001,$D$2)))</f>
        <v>0</v>
      </c>
      <c r="L42" s="42">
        <f>IF($B42="","",IF($B$2="Todos",SUMIFS(BD!$L$3:$L$5001,BD!$A$3:$A$5001,$B42),SUMIFS(BD!$L$3:$L$5001,BD!$A$3:$A$5001,$B42,BD!$B$3:$B$5001,$D$2)))</f>
        <v>0</v>
      </c>
      <c r="M42" s="42">
        <f>IF($B42="","",IF($B$2="Todos",SUMIFS(BD!$M$3:$M$5001,BD!$A$3:$A$5001,$B42),SUMIFS(BD!$M$3:$M$5001,BD!$A$3:$A$5001,$B42,BD!$B$3:$B$5001,$D$2)))</f>
        <v>0</v>
      </c>
      <c r="N42" s="42">
        <f>IF($B42="","",IF($B$2="Todos",SUMIFS(BD!$N$3:$N$5001,BD!$A$3:$A$5001,$B42),SUMIFS(BD!$N$3:$N$5001,BD!$A$3:$A$5001,$B42,BD!$B$3:$B$5001,$D$2)))</f>
        <v>0</v>
      </c>
      <c r="O42" s="42">
        <f>IF($B42="","",IF($B$2="Todos",SUMIFS(BD!$O$3:$O$5001,BD!$A$3:$A$5001,$B42),SUMIFS(BD!$O$3:$O$5001,BD!$A$3:$A$5001,$B42,BD!$B$3:$B$5001,$D$2)))</f>
        <v>0</v>
      </c>
      <c r="P42" s="42" t="str">
        <f>IF($B$2="Todos",IF(COUNT($C$159:$V$159)=0,"",SUM($C$159:$V$159)),IFERROR(INDEX($C$159:$V$159,MATCH($D$2,$C$128:$V$128,0)),""))</f>
        <v/>
      </c>
      <c r="Q42" s="42" t="str">
        <f>IF($B$2="Todos",IF(COUNT($C$194:$V$194)=0,"",SUM($C$194:$V$194)),IFERROR(INDEX($C$194:$V$194,MATCH($D$2,$C$163:$V$163,0)),""))</f>
        <v/>
      </c>
      <c r="R42" s="59" t="str">
        <f>IF(S42="","",IF($B$2="Todos",IF($B$4&gt;0,$B$4,IF($B$2="Todos",IF(COUNT($C$264:$V$264)=0,"",SUM($C$264:$V$264)),IFERROR(INDEX($C$264:$V$264,MATCH($D$2,$C$233:$V$233,0)),""))),IFERROR(INDEX($C$264:$V$264,MATCH($D$2,$C$233:$V$233,0)),"")))</f>
        <v/>
      </c>
      <c r="S42" s="42" t="str">
        <f>IF($B$2="Todos",IF(COUNT($C$229:$V$229)=0,"",SUM($C$229:$V$229)),IFERROR(INDEX($C$229:$V$229,MATCH($D$2,$C$198:$V$198,0)),""))</f>
        <v/>
      </c>
      <c r="T42" s="60" t="str">
        <f>IF(AND(ISNUMBER(S42),ISNUMBER(R42)),IF(R42&gt;0,S42/R42,""),"")</f>
        <v/>
      </c>
      <c r="U42" s="42" t="str">
        <f>IF($B$2="Todos",IF(COUNT($C$299:$V$299)=0,"",SUM($C$299:$V$299)),IFERROR(INDEX($C$299:$V$299,MATCH($D$2,$C$268:$V$268,0)),""))</f>
        <v/>
      </c>
      <c r="V42" s="42">
        <f>IF($B42="","",IF($B$2="Todos",SUMIFS(BD!$U$3:$U$5001,BD!$A$3:$A$5001,$B42),SUMIFS(BD!$U$3:$U$5001,BD!$A$3:$A$5001,$B42,BD!$B$3:$B$5001,$D$2)))</f>
        <v>0</v>
      </c>
      <c r="W42" s="58">
        <f>IF($B42="","",IF($B$2="Todos",SUMIFS(BD!$V$3:$V$5001,BD!$A$3:$A$5001,$B42),SUMIFS(BD!$V$3:$V$5001,BD!$A$3:$A$5001,$B42,BD!$B$3:$B$5001,$D$2)))</f>
        <v>0</v>
      </c>
      <c r="X42" s="42">
        <f>IF($B42="","",IF($B$2="Todos",SUMIFS(BD!$W$3:$W$5001,BD!$A$3:$A$5001,$B42),SUMIFS(BD!$W$3:$W$5001,BD!$A$3:$A$5001,$B42,BD!$B$3:$B$5001,$D$2)))</f>
        <v>0</v>
      </c>
      <c r="Y42" s="42">
        <f>IF($B42="","",IF($B$2="Todos",SUMIFS(BD!$X$3:$X$5001,BD!$A$3:$A$5001,$B42),SUMIFS(BD!$X$3:$X$5001,BD!$A$3:$A$5001,$B42,BD!$B$3:$B$5001,$D$2)))</f>
        <v>0</v>
      </c>
      <c r="Z42" s="42">
        <f>IF($B42="","",IF($B$2="Todos",SUMIFS(BD!$Y$3:$Y$5001,BD!$A$3:$A$5001,$B42),SUMIFS(BD!$Y$3:$Y$5001,BD!$A$3:$A$5001,$B42,BD!$B$3:$B$5001,$D$2)))</f>
        <v>0</v>
      </c>
      <c r="AA42" s="42">
        <f>IF($B42="","",IF($B$2="Todos",SUMIFS(BD!$Z$3:$Z$5001,BD!$A$3:$A$5001,$B42),SUMIFS(BD!$Z$3:$Z$5001,BD!$A$3:$A$5001,$B42,BD!$B$3:$B$5001,$D$2)))</f>
        <v>0</v>
      </c>
      <c r="AB42" s="42">
        <f>IF($B42="","",IF($B$2="Todos",SUMIFS(BD!$AA$3:$AA$5001,BD!$A$3:$A$5001,$B42),SUMIFS(BD!$AA$3:$AA$5001,BD!$A$3:$A$5001,$B42,BD!$B$3:$B$5001,$D$2)))</f>
        <v>0</v>
      </c>
      <c r="AC42" s="42">
        <f>IF($B42="","",IF($B$2="Todos",SUMIFS(BD!$AB$3:$AB$5001,BD!$A$3:$A$5001,$B42),SUMIFS(BD!$AB$3:$AB$5001,BD!$A$3:$A$5001,$B42,BD!$B$3:$B$5001,$D$2)))</f>
        <v>0</v>
      </c>
      <c r="AD42" s="61">
        <f>$B$5</f>
        <v>0.7</v>
      </c>
      <c r="AE42" s="61">
        <f>$B$6</f>
        <v>0.9</v>
      </c>
    </row>
    <row r="43">
      <c r="A43" s="62" t="inlineStr">
        <is>
          <t xml:space="preserve">Realizado no mês (soma · último valor em estoque)</t>
        </is>
      </c>
      <c r="C43" s="64">
        <f>SUM(C12:C42)</f>
        <v>0</v>
      </c>
      <c r="D43" s="64">
        <f>SUM(D12:D42)</f>
        <v>0</v>
      </c>
      <c r="E43" s="70">
        <f>SUM(E12:E42)</f>
        <v>0</v>
      </c>
      <c r="F43" s="64">
        <f>SUM(F12:F42)</f>
        <v>0</v>
      </c>
      <c r="G43" s="64">
        <f>SUM(G12:G42)</f>
        <v>0</v>
      </c>
      <c r="H43" s="64">
        <f>SUM(H12:H42)</f>
        <v>0</v>
      </c>
      <c r="I43" s="64">
        <f>SUM(I12:I42)</f>
        <v>0</v>
      </c>
      <c r="J43" s="70">
        <f>SUM(J12:J42)</f>
        <v>0</v>
      </c>
      <c r="K43" s="64">
        <f>SUM(K12:K42)</f>
        <v>0</v>
      </c>
      <c r="L43" s="64">
        <f>SUM(L12:L42)</f>
        <v>0</v>
      </c>
      <c r="M43" s="64">
        <f>SUM(M12:M42)</f>
        <v>0</v>
      </c>
      <c r="N43" s="64">
        <f>SUM(N12:N42)</f>
        <v>0</v>
      </c>
      <c r="O43" s="64">
        <f>SUM(O12:O42)</f>
        <v>0</v>
      </c>
      <c r="P43" s="64" t="str">
        <f>IFERROR(LOOKUP(9.99E+307,P12:P42),"")</f>
        <v/>
      </c>
      <c r="Q43" s="64" t="str">
        <f>IFERROR(LOOKUP(9.99E+307,Q12:Q42),"")</f>
        <v/>
      </c>
      <c r="R43" s="64" t="str">
        <f>IFERROR(LOOKUP(9.99E+307,R12:R42),"")</f>
        <v/>
      </c>
      <c r="S43" s="64" t="str">
        <f>IFERROR(LOOKUP(9.99E+307,S12:S42),"")</f>
        <v/>
      </c>
      <c r="T43" s="71" t="str">
        <f>IFERROR(LOOKUP(9.99E+307,T12:T42),"")</f>
        <v/>
      </c>
      <c r="U43" s="64" t="str">
        <f>IFERROR(LOOKUP(9.99E+307,U12:U42),"")</f>
        <v/>
      </c>
      <c r="V43" s="64">
        <f>SUM(V12:V42)</f>
        <v>0</v>
      </c>
      <c r="W43" s="70">
        <f>SUM(W12:W42)</f>
        <v>0</v>
      </c>
      <c r="X43" s="64">
        <f>SUM(X12:X42)</f>
        <v>0</v>
      </c>
      <c r="Y43" s="64">
        <f>SUM(Y12:Y42)</f>
        <v>0</v>
      </c>
      <c r="Z43" s="64">
        <f>SUM(Z12:Z42)</f>
        <v>0</v>
      </c>
      <c r="AA43" s="64">
        <f>SUM(AA12:AA42)</f>
        <v>0</v>
      </c>
      <c r="AB43" s="64">
        <f>SUM(AB12:AB42)</f>
        <v>0</v>
      </c>
      <c r="AC43" s="64">
        <f>SUM(AC12:AC42)</f>
        <v>0</v>
      </c>
    </row>
    <row r="44">
      <c r="A44" s="63" t="inlineStr">
        <is>
          <t xml:space="preserve">Média por dia</t>
        </is>
      </c>
      <c r="C44" s="65" t="str">
        <f>IFERROR(AVERAGEIF(C12:C42,"&gt;0"),"")</f>
        <v/>
      </c>
      <c r="D44" s="65" t="str">
        <f>IFERROR(AVERAGEIF(D12:D42,"&gt;0"),"")</f>
        <v/>
      </c>
      <c r="E44" s="65" t="str">
        <f>IFERROR(AVERAGEIF(E12:E42,"&gt;0"),"")</f>
        <v/>
      </c>
      <c r="F44" s="65" t="str">
        <f>IFERROR(AVERAGEIF(F12:F42,"&gt;0"),"")</f>
        <v/>
      </c>
      <c r="G44" s="65" t="str">
        <f>IFERROR(AVERAGEIF(G12:G42,"&gt;0"),"")</f>
        <v/>
      </c>
      <c r="H44" s="65" t="str">
        <f>IFERROR(AVERAGEIF(H12:H42,"&gt;0"),"")</f>
        <v/>
      </c>
      <c r="I44" s="65" t="str">
        <f>IFERROR(AVERAGEIF(I12:I42,"&gt;0"),"")</f>
        <v/>
      </c>
      <c r="J44" s="65" t="str">
        <f>IFERROR(AVERAGEIF(J12:J42,"&gt;0"),"")</f>
        <v/>
      </c>
      <c r="K44" s="65" t="str">
        <f>IFERROR(AVERAGEIF(K12:K42,"&gt;0"),"")</f>
        <v/>
      </c>
      <c r="L44" s="65" t="str">
        <f>IFERROR(AVERAGEIF(L12:L42,"&gt;0"),"")</f>
        <v/>
      </c>
      <c r="M44" s="65" t="str">
        <f>IFERROR(AVERAGEIF(M12:M42,"&gt;0"),"")</f>
        <v/>
      </c>
      <c r="N44" s="65" t="str">
        <f>IFERROR(AVERAGEIF(N12:N42,"&gt;0"),"")</f>
        <v/>
      </c>
      <c r="O44" s="65" t="str">
        <f>IFERROR(AVERAGEIF(O12:O42,"&gt;0"),"")</f>
        <v/>
      </c>
      <c r="P44" s="65" t="str">
        <f>IFERROR(AVERAGE(P12:P42),"")</f>
        <v/>
      </c>
      <c r="Q44" s="65" t="str">
        <f>IFERROR(AVERAGE(Q12:Q42),"")</f>
        <v/>
      </c>
      <c r="R44" s="65" t="str">
        <f>IFERROR(AVERAGE(R12:R42),"")</f>
        <v/>
      </c>
      <c r="S44" s="65" t="str">
        <f>IFERROR(AVERAGE(S12:S42),"")</f>
        <v/>
      </c>
      <c r="T44" s="67" t="str">
        <f>IFERROR(AVERAGE(T12:T42),"")</f>
        <v/>
      </c>
      <c r="U44" s="65" t="str">
        <f>IFERROR(AVERAGE(U12:U42),"")</f>
        <v/>
      </c>
      <c r="V44" s="65" t="str">
        <f>IFERROR(AVERAGEIF(V12:V42,"&gt;0"),"")</f>
        <v/>
      </c>
      <c r="W44" s="65" t="str">
        <f>IFERROR(AVERAGEIF(W12:W42,"&gt;0"),"")</f>
        <v/>
      </c>
      <c r="X44" s="65" t="str">
        <f>IFERROR(AVERAGEIF(X12:X42,"&gt;0"),"")</f>
        <v/>
      </c>
      <c r="Y44" s="65" t="str">
        <f>IFERROR(AVERAGEIF(Y12:Y42,"&gt;0"),"")</f>
        <v/>
      </c>
      <c r="Z44" s="65" t="str">
        <f>IFERROR(AVERAGEIF(Z12:Z42,"&gt;0"),"")</f>
        <v/>
      </c>
      <c r="AA44" s="65" t="str">
        <f>IFERROR(AVERAGEIF(AA12:AA42,"&gt;0"),"")</f>
        <v/>
      </c>
      <c r="AB44" s="65" t="str">
        <f>IFERROR(AVERAGEIF(AB12:AB42,"&gt;0"),"")</f>
        <v/>
      </c>
      <c r="AC44" s="65" t="str">
        <f>IFERROR(AVERAGEIF(AC12:AC42,"&gt;0"),"")</f>
        <v/>
      </c>
    </row>
    <row r="45">
      <c r="A45" s="63" t="inlineStr">
        <is>
          <t xml:space="preserve">Máximo em um dia</t>
        </is>
      </c>
      <c r="C45" s="66">
        <f>IF(COUNT(C12:C42)=0,"",MAX(C12:C42))</f>
        <v>0</v>
      </c>
      <c r="D45" s="66">
        <f>IF(COUNT(D12:D42)=0,"",MAX(D12:D42))</f>
        <v>0</v>
      </c>
      <c r="E45" s="65">
        <f>IF(COUNT(E12:E42)=0,"",MAX(E12:E42))</f>
        <v>0</v>
      </c>
      <c r="F45" s="66">
        <f>IF(COUNT(F12:F42)=0,"",MAX(F12:F42))</f>
        <v>0</v>
      </c>
      <c r="G45" s="66">
        <f>IF(COUNT(G12:G42)=0,"",MAX(G12:G42))</f>
        <v>0</v>
      </c>
      <c r="H45" s="66">
        <f>IF(COUNT(H12:H42)=0,"",MAX(H12:H42))</f>
        <v>0</v>
      </c>
      <c r="I45" s="66">
        <f>IF(COUNT(I12:I42)=0,"",MAX(I12:I42))</f>
        <v>0</v>
      </c>
      <c r="J45" s="65">
        <f>IF(COUNT(J12:J42)=0,"",MAX(J12:J42))</f>
        <v>0</v>
      </c>
      <c r="K45" s="66">
        <f>IF(COUNT(K12:K42)=0,"",MAX(K12:K42))</f>
        <v>0</v>
      </c>
      <c r="L45" s="66">
        <f>IF(COUNT(L12:L42)=0,"",MAX(L12:L42))</f>
        <v>0</v>
      </c>
      <c r="M45" s="66">
        <f>IF(COUNT(M12:M42)=0,"",MAX(M12:M42))</f>
        <v>0</v>
      </c>
      <c r="N45" s="66">
        <f>IF(COUNT(N12:N42)=0,"",MAX(N12:N42))</f>
        <v>0</v>
      </c>
      <c r="O45" s="66">
        <f>IF(COUNT(O12:O42)=0,"",MAX(O12:O42))</f>
        <v>0</v>
      </c>
      <c r="P45" s="66" t="str">
        <f>IF(COUNT(P12:P42)=0,"",MAX(P12:P42))</f>
        <v/>
      </c>
      <c r="Q45" s="66" t="str">
        <f>IF(COUNT(Q12:Q42)=0,"",MAX(Q12:Q42))</f>
        <v/>
      </c>
      <c r="R45" s="66" t="str">
        <f>IF(COUNT(R12:R42)=0,"",MAX(R12:R42))</f>
        <v/>
      </c>
      <c r="S45" s="66" t="str">
        <f>IF(COUNT(S12:S42)=0,"",MAX(S12:S42))</f>
        <v/>
      </c>
      <c r="T45" s="67" t="str">
        <f>IF(COUNT(T12:T42)=0,"",MAX(T12:T42))</f>
        <v/>
      </c>
      <c r="U45" s="66" t="str">
        <f>IF(COUNT(U12:U42)=0,"",MAX(U12:U42))</f>
        <v/>
      </c>
      <c r="V45" s="66">
        <f>IF(COUNT(V12:V42)=0,"",MAX(V12:V42))</f>
        <v>0</v>
      </c>
      <c r="W45" s="65">
        <f>IF(COUNT(W12:W42)=0,"",MAX(W12:W42))</f>
        <v>0</v>
      </c>
      <c r="X45" s="66">
        <f>IF(COUNT(X12:X42)=0,"",MAX(X12:X42))</f>
        <v>0</v>
      </c>
      <c r="Y45" s="66">
        <f>IF(COUNT(Y12:Y42)=0,"",MAX(Y12:Y42))</f>
        <v>0</v>
      </c>
      <c r="Z45" s="66">
        <f>IF(COUNT(Z12:Z42)=0,"",MAX(Z12:Z42))</f>
        <v>0</v>
      </c>
      <c r="AA45" s="66">
        <f>IF(COUNT(AA12:AA42)=0,"",MAX(AA12:AA42))</f>
        <v>0</v>
      </c>
      <c r="AB45" s="66">
        <f>IF(COUNT(AB12:AB42)=0,"",MAX(AB12:AB42))</f>
        <v>0</v>
      </c>
      <c r="AC45" s="66">
        <f>IF(COUNT(AC12:AC42)=0,"",MAX(AC12:AC42))</f>
        <v>0</v>
      </c>
    </row>
    <row r="46">
      <c r="A46" s="63" t="inlineStr">
        <is>
          <t xml:space="preserve">Mês anterior (mesmo intervalo)</t>
        </is>
      </c>
      <c r="C46" s="66" t="str">
        <f>IF($B$9=0,"",IF($B$2="Todos",SUMIFS(BD!$C$3:$C$5001,BD!$A$3:$A$5001,"&gt;="&amp;$C$8,BD!$A$3:$A$5001,"&lt;="&amp;$D$8),SUMIFS(BD!$C$3:$C$5001,BD!$A$3:$A$5001,"&gt;="&amp;$C$8,BD!$A$3:$A$5001,"&lt;="&amp;$D$8,BD!$B$3:$B$5001,$D$2)))</f>
        <v/>
      </c>
      <c r="D46" s="66" t="str">
        <f>IF($B$9=0,"",IF($B$2="Todos",SUMIFS(BD!$D$3:$D$5001,BD!$A$3:$A$5001,"&gt;="&amp;$C$8,BD!$A$3:$A$5001,"&lt;="&amp;$D$8),SUMIFS(BD!$D$3:$D$5001,BD!$A$3:$A$5001,"&gt;="&amp;$C$8,BD!$A$3:$A$5001,"&lt;="&amp;$D$8,BD!$B$3:$B$5001,$D$2)))</f>
        <v/>
      </c>
      <c r="E46" s="65" t="str">
        <f>IF($B$9=0,"",IF($B$2="Todos",SUMIFS(BD!$E$3:$E$5001,BD!$A$3:$A$5001,"&gt;="&amp;$C$8,BD!$A$3:$A$5001,"&lt;="&amp;$D$8),SUMIFS(BD!$E$3:$E$5001,BD!$A$3:$A$5001,"&gt;="&amp;$C$8,BD!$A$3:$A$5001,"&lt;="&amp;$D$8,BD!$B$3:$B$5001,$D$2)))</f>
        <v/>
      </c>
      <c r="F46" s="66" t="str">
        <f>IF($B$9=0,"",IF($B$2="Todos",SUMIFS(BD!$F$3:$F$5001,BD!$A$3:$A$5001,"&gt;="&amp;$C$8,BD!$A$3:$A$5001,"&lt;="&amp;$D$8),SUMIFS(BD!$F$3:$F$5001,BD!$A$3:$A$5001,"&gt;="&amp;$C$8,BD!$A$3:$A$5001,"&lt;="&amp;$D$8,BD!$B$3:$B$5001,$D$2)))</f>
        <v/>
      </c>
      <c r="G46" s="66" t="str">
        <f>IF($B$9=0,"",IF($B$2="Todos",SUMIFS(BD!$G$3:$G$5001,BD!$A$3:$A$5001,"&gt;="&amp;$C$8,BD!$A$3:$A$5001,"&lt;="&amp;$D$8),SUMIFS(BD!$G$3:$G$5001,BD!$A$3:$A$5001,"&gt;="&amp;$C$8,BD!$A$3:$A$5001,"&lt;="&amp;$D$8,BD!$B$3:$B$5001,$D$2)))</f>
        <v/>
      </c>
      <c r="H46" s="66" t="str">
        <f>IF($B$9=0,"",IF($B$2="Todos",SUMIFS(BD!$H$3:$H$5001,BD!$A$3:$A$5001,"&gt;="&amp;$C$8,BD!$A$3:$A$5001,"&lt;="&amp;$D$8),SUMIFS(BD!$H$3:$H$5001,BD!$A$3:$A$5001,"&gt;="&amp;$C$8,BD!$A$3:$A$5001,"&lt;="&amp;$D$8,BD!$B$3:$B$5001,$D$2)))</f>
        <v/>
      </c>
      <c r="I46" s="66" t="str">
        <f>IF($B$9=0,"",IF($B$2="Todos",SUMIFS(BD!$I$3:$I$5001,BD!$A$3:$A$5001,"&gt;="&amp;$C$8,BD!$A$3:$A$5001,"&lt;="&amp;$D$8),SUMIFS(BD!$I$3:$I$5001,BD!$A$3:$A$5001,"&gt;="&amp;$C$8,BD!$A$3:$A$5001,"&lt;="&amp;$D$8,BD!$B$3:$B$5001,$D$2)))</f>
        <v/>
      </c>
      <c r="J46" s="65" t="str">
        <f>IF($B$9=0,"",IF($B$2="Todos",SUMIFS(BD!$J$3:$J$5001,BD!$A$3:$A$5001,"&gt;="&amp;$C$8,BD!$A$3:$A$5001,"&lt;="&amp;$D$8),SUMIFS(BD!$J$3:$J$5001,BD!$A$3:$A$5001,"&gt;="&amp;$C$8,BD!$A$3:$A$5001,"&lt;="&amp;$D$8,BD!$B$3:$B$5001,$D$2)))</f>
        <v/>
      </c>
      <c r="K46" s="66" t="str">
        <f>IF($B$9=0,"",IF($B$2="Todos",SUMIFS(BD!$K$3:$K$5001,BD!$A$3:$A$5001,"&gt;="&amp;$C$8,BD!$A$3:$A$5001,"&lt;="&amp;$D$8),SUMIFS(BD!$K$3:$K$5001,BD!$A$3:$A$5001,"&gt;="&amp;$C$8,BD!$A$3:$A$5001,"&lt;="&amp;$D$8,BD!$B$3:$B$5001,$D$2)))</f>
        <v/>
      </c>
      <c r="L46" s="66" t="str">
        <f>IF($B$9=0,"",IF($B$2="Todos",SUMIFS(BD!$L$3:$L$5001,BD!$A$3:$A$5001,"&gt;="&amp;$C$8,BD!$A$3:$A$5001,"&lt;="&amp;$D$8),SUMIFS(BD!$L$3:$L$5001,BD!$A$3:$A$5001,"&gt;="&amp;$C$8,BD!$A$3:$A$5001,"&lt;="&amp;$D$8,BD!$B$3:$B$5001,$D$2)))</f>
        <v/>
      </c>
      <c r="M46" s="66" t="str">
        <f>IF($B$9=0,"",IF($B$2="Todos",SUMIFS(BD!$M$3:$M$5001,BD!$A$3:$A$5001,"&gt;="&amp;$C$8,BD!$A$3:$A$5001,"&lt;="&amp;$D$8),SUMIFS(BD!$M$3:$M$5001,BD!$A$3:$A$5001,"&gt;="&amp;$C$8,BD!$A$3:$A$5001,"&lt;="&amp;$D$8,BD!$B$3:$B$5001,$D$2)))</f>
        <v/>
      </c>
      <c r="N46" s="66" t="str">
        <f>IF($B$9=0,"",IF($B$2="Todos",SUMIFS(BD!$N$3:$N$5001,BD!$A$3:$A$5001,"&gt;="&amp;$C$8,BD!$A$3:$A$5001,"&lt;="&amp;$D$8),SUMIFS(BD!$N$3:$N$5001,BD!$A$3:$A$5001,"&gt;="&amp;$C$8,BD!$A$3:$A$5001,"&lt;="&amp;$D$8,BD!$B$3:$B$5001,$D$2)))</f>
        <v/>
      </c>
      <c r="O46" s="66" t="str">
        <f>IF($B$9=0,"",IF($B$2="Todos",SUMIFS(BD!$O$3:$O$5001,BD!$A$3:$A$5001,"&gt;="&amp;$C$8,BD!$A$3:$A$5001,"&lt;="&amp;$D$8),SUMIFS(BD!$O$3:$O$5001,BD!$A$3:$A$5001,"&gt;="&amp;$C$8,BD!$A$3:$A$5001,"&lt;="&amp;$D$8,BD!$B$3:$B$5001,$D$2)))</f>
        <v/>
      </c>
      <c r="P46" s="66" t="str">
        <f>IF($B$9=0,"",IF($B$2="Todos",IF(COUNT($C$160:$V$160)=0,"",SUM($C$160:$V$160)),IFERROR(INDEX($C$160:$V$160,MATCH($D$2,$C$128:$V$128,0)),"")))</f>
        <v/>
      </c>
      <c r="Q46" s="66" t="str">
        <f>IF($B$9=0,"",IF($B$2="Todos",IF(COUNT($C$195:$V$195)=0,"",SUM($C$195:$V$195)),IFERROR(INDEX($C$195:$V$195,MATCH($D$2,$C$163:$V$163,0)),"")))</f>
        <v/>
      </c>
      <c r="R46" s="66" t="str">
        <f>IF(S46="","",IF($B$2="Todos",IF($B$4&gt;0,$B$4,IF($B$2="Todos",IF(COUNT($C$265:$V$265)=0,"",SUM($C$265:$V$265)),IFERROR(INDEX($C$265:$V$265,MATCH($D$2,$C$233:$V$233,0)),""))),IFERROR(INDEX($C$265:$V$265,MATCH($D$2,$C$233:$V$233,0)),"")))</f>
        <v/>
      </c>
      <c r="S46" s="66" t="str">
        <f>IF($B$9=0,"",IF($B$2="Todos",IF(COUNT($C$230:$V$230)=0,"",SUM($C$230:$V$230)),IFERROR(INDEX($C$230:$V$230,MATCH($D$2,$C$198:$V$198,0)),"")))</f>
        <v/>
      </c>
      <c r="T46" s="67" t="str">
        <f>IF(AND(ISNUMBER(S46),ISNUMBER(R46)),IF(R46&gt;0,S46/R46,""),"")</f>
        <v/>
      </c>
      <c r="U46" s="66" t="str">
        <f>IF($B$9=0,"",IF($B$2="Todos",IF(COUNT($C$300:$V$300)=0,"",SUM($C$300:$V$300)),IFERROR(INDEX($C$300:$V$300,MATCH($D$2,$C$268:$V$268,0)),"")))</f>
        <v/>
      </c>
      <c r="V46" s="66" t="str">
        <f>IF($B$9=0,"",IF($B$2="Todos",SUMIFS(BD!$U$3:$U$5001,BD!$A$3:$A$5001,"&gt;="&amp;$C$8,BD!$A$3:$A$5001,"&lt;="&amp;$D$8),SUMIFS(BD!$U$3:$U$5001,BD!$A$3:$A$5001,"&gt;="&amp;$C$8,BD!$A$3:$A$5001,"&lt;="&amp;$D$8,BD!$B$3:$B$5001,$D$2)))</f>
        <v/>
      </c>
      <c r="W46" s="65" t="str">
        <f>IF($B$9=0,"",IF($B$2="Todos",SUMIFS(BD!$V$3:$V$5001,BD!$A$3:$A$5001,"&gt;="&amp;$C$8,BD!$A$3:$A$5001,"&lt;="&amp;$D$8),SUMIFS(BD!$V$3:$V$5001,BD!$A$3:$A$5001,"&gt;="&amp;$C$8,BD!$A$3:$A$5001,"&lt;="&amp;$D$8,BD!$B$3:$B$5001,$D$2)))</f>
        <v/>
      </c>
      <c r="X46" s="66" t="str">
        <f>IF($B$9=0,"",IF($B$2="Todos",SUMIFS(BD!$W$3:$W$5001,BD!$A$3:$A$5001,"&gt;="&amp;$C$8,BD!$A$3:$A$5001,"&lt;="&amp;$D$8),SUMIFS(BD!$W$3:$W$5001,BD!$A$3:$A$5001,"&gt;="&amp;$C$8,BD!$A$3:$A$5001,"&lt;="&amp;$D$8,BD!$B$3:$B$5001,$D$2)))</f>
        <v/>
      </c>
      <c r="Y46" s="66" t="str">
        <f>IF($B$9=0,"",IF($B$2="Todos",SUMIFS(BD!$X$3:$X$5001,BD!$A$3:$A$5001,"&gt;="&amp;$C$8,BD!$A$3:$A$5001,"&lt;="&amp;$D$8),SUMIFS(BD!$X$3:$X$5001,BD!$A$3:$A$5001,"&gt;="&amp;$C$8,BD!$A$3:$A$5001,"&lt;="&amp;$D$8,BD!$B$3:$B$5001,$D$2)))</f>
        <v/>
      </c>
      <c r="Z46" s="66" t="str">
        <f>IF($B$9=0,"",IF($B$2="Todos",SUMIFS(BD!$Y$3:$Y$5001,BD!$A$3:$A$5001,"&gt;="&amp;$C$8,BD!$A$3:$A$5001,"&lt;="&amp;$D$8),SUMIFS(BD!$Y$3:$Y$5001,BD!$A$3:$A$5001,"&gt;="&amp;$C$8,BD!$A$3:$A$5001,"&lt;="&amp;$D$8,BD!$B$3:$B$5001,$D$2)))</f>
        <v/>
      </c>
      <c r="AA46" s="66" t="str">
        <f>IF($B$9=0,"",IF($B$2="Todos",SUMIFS(BD!$Z$3:$Z$5001,BD!$A$3:$A$5001,"&gt;="&amp;$C$8,BD!$A$3:$A$5001,"&lt;="&amp;$D$8),SUMIFS(BD!$Z$3:$Z$5001,BD!$A$3:$A$5001,"&gt;="&amp;$C$8,BD!$A$3:$A$5001,"&lt;="&amp;$D$8,BD!$B$3:$B$5001,$D$2)))</f>
        <v/>
      </c>
      <c r="AB46" s="66" t="str">
        <f>IF($B$9=0,"",IF($B$2="Todos",SUMIFS(BD!$AA$3:$AA$5001,BD!$A$3:$A$5001,"&gt;="&amp;$C$8,BD!$A$3:$A$5001,"&lt;="&amp;$D$8),SUMIFS(BD!$AA$3:$AA$5001,BD!$A$3:$A$5001,"&gt;="&amp;$C$8,BD!$A$3:$A$5001,"&lt;="&amp;$D$8,BD!$B$3:$B$5001,$D$2)))</f>
        <v/>
      </c>
      <c r="AC46" s="66" t="str">
        <f>IF($B$9=0,"",IF($B$2="Todos",SUMIFS(BD!$AB$3:$AB$5001,BD!$A$3:$A$5001,"&gt;="&amp;$C$8,BD!$A$3:$A$5001,"&lt;="&amp;$D$8),SUMIFS(BD!$AB$3:$AB$5001,BD!$A$3:$A$5001,"&gt;="&amp;$C$8,BD!$A$3:$A$5001,"&lt;="&amp;$D$8,BD!$B$3:$B$5001,$D$2)))</f>
        <v/>
      </c>
    </row>
    <row r="47">
      <c r="A47" s="63" t="inlineStr">
        <is>
          <t xml:space="preserve">Variação vs mês anterior</t>
        </is>
      </c>
      <c r="C47" s="67" t="str">
        <f>IF(AND(ISNUMBER(C43),ISNUMBER(C46)),IF(C46&lt;&gt;0,C43/C46-1,""),"")</f>
        <v/>
      </c>
      <c r="D47" s="67" t="str">
        <f>IF(AND(ISNUMBER(D43),ISNUMBER(D46)),IF(D46&lt;&gt;0,D43/D46-1,""),"")</f>
        <v/>
      </c>
      <c r="E47" s="67" t="str">
        <f>IF(AND(ISNUMBER(E43),ISNUMBER(E46)),IF(E46&lt;&gt;0,E43/E46-1,""),"")</f>
        <v/>
      </c>
      <c r="F47" s="67" t="str">
        <f>IF(AND(ISNUMBER(F43),ISNUMBER(F46)),IF(F46&lt;&gt;0,F43/F46-1,""),"")</f>
        <v/>
      </c>
      <c r="G47" s="67" t="str">
        <f>IF(AND(ISNUMBER(G43),ISNUMBER(G46)),IF(G46&lt;&gt;0,G43/G46-1,""),"")</f>
        <v/>
      </c>
      <c r="H47" s="67" t="str">
        <f>IF(AND(ISNUMBER(H43),ISNUMBER(H46)),IF(H46&lt;&gt;0,H43/H46-1,""),"")</f>
        <v/>
      </c>
      <c r="I47" s="67" t="str">
        <f>IF(AND(ISNUMBER(I43),ISNUMBER(I46)),IF(I46&lt;&gt;0,I43/I46-1,""),"")</f>
        <v/>
      </c>
      <c r="J47" s="67" t="str">
        <f>IF(AND(ISNUMBER(J43),ISNUMBER(J46)),IF(J46&lt;&gt;0,J43/J46-1,""),"")</f>
        <v/>
      </c>
      <c r="K47" s="67" t="str">
        <f>IF(AND(ISNUMBER(K43),ISNUMBER(K46)),IF(K46&lt;&gt;0,K43/K46-1,""),"")</f>
        <v/>
      </c>
      <c r="L47" s="67" t="str">
        <f>IF(AND(ISNUMBER(L43),ISNUMBER(L46)),IF(L46&lt;&gt;0,L43/L46-1,""),"")</f>
        <v/>
      </c>
      <c r="M47" s="67" t="str">
        <f>IF(AND(ISNUMBER(M43),ISNUMBER(M46)),IF(M46&lt;&gt;0,M43/M46-1,""),"")</f>
        <v/>
      </c>
      <c r="N47" s="67" t="str">
        <f>IF(AND(ISNUMBER(N43),ISNUMBER(N46)),IF(N46&lt;&gt;0,N43/N46-1,""),"")</f>
        <v/>
      </c>
      <c r="O47" s="67" t="str">
        <f>IF(AND(ISNUMBER(O43),ISNUMBER(O46)),IF(O46&lt;&gt;0,O43/O46-1,""),"")</f>
        <v/>
      </c>
      <c r="P47" s="67" t="str">
        <f>IF(AND(ISNUMBER(P43),ISNUMBER(P46)),IF(P46&lt;&gt;0,P43/P46-1,""),"")</f>
        <v/>
      </c>
      <c r="Q47" s="67" t="str">
        <f>IF(AND(ISNUMBER(Q43),ISNUMBER(Q46)),IF(Q46&lt;&gt;0,Q43/Q46-1,""),"")</f>
        <v/>
      </c>
      <c r="R47" s="67" t="str">
        <f>IF(AND(ISNUMBER(R43),ISNUMBER(R46)),IF(R46&lt;&gt;0,R43/R46-1,""),"")</f>
        <v/>
      </c>
      <c r="S47" s="67" t="str">
        <f>IF(AND(ISNUMBER(S43),ISNUMBER(S46)),IF(S46&lt;&gt;0,S43/S46-1,""),"")</f>
        <v/>
      </c>
      <c r="T47" s="67" t="str">
        <f>IF(AND(ISNUMBER(T43),ISNUMBER(T46)),IF(T46&lt;&gt;0,T43/T46-1,""),"")</f>
        <v/>
      </c>
      <c r="U47" s="67" t="str">
        <f>IF(AND(ISNUMBER(U43),ISNUMBER(U46)),IF(U46&lt;&gt;0,U43/U46-1,""),"")</f>
        <v/>
      </c>
      <c r="V47" s="67" t="str">
        <f>IF(AND(ISNUMBER(V43),ISNUMBER(V46)),IF(V46&lt;&gt;0,V43/V46-1,""),"")</f>
        <v/>
      </c>
      <c r="W47" s="67" t="str">
        <f>IF(AND(ISNUMBER(W43),ISNUMBER(W46)),IF(W46&lt;&gt;0,W43/W46-1,""),"")</f>
        <v/>
      </c>
      <c r="X47" s="67" t="str">
        <f>IF(AND(ISNUMBER(X43),ISNUMBER(X46)),IF(X46&lt;&gt;0,X43/X46-1,""),"")</f>
        <v/>
      </c>
      <c r="Y47" s="67" t="str">
        <f>IF(AND(ISNUMBER(Y43),ISNUMBER(Y46)),IF(Y46&lt;&gt;0,Y43/Y46-1,""),"")</f>
        <v/>
      </c>
      <c r="Z47" s="67" t="str">
        <f>IF(AND(ISNUMBER(Z43),ISNUMBER(Z46)),IF(Z46&lt;&gt;0,Z43/Z46-1,""),"")</f>
        <v/>
      </c>
      <c r="AA47" s="67" t="str">
        <f>IF(AND(ISNUMBER(AA43),ISNUMBER(AA46)),IF(AA46&lt;&gt;0,AA43/AA46-1,""),"")</f>
        <v/>
      </c>
      <c r="AB47" s="67" t="str">
        <f>IF(AND(ISNUMBER(AB43),ISNUMBER(AB46)),IF(AB46&lt;&gt;0,AB43/AB46-1,""),"")</f>
        <v/>
      </c>
      <c r="AC47" s="67" t="str">
        <f>IF(AND(ISNUMBER(AC43),ISNUMBER(AC46)),IF(AC46&lt;&gt;0,AC43/AC46-1,""),"")</f>
        <v/>
      </c>
    </row>
    <row r="48">
      <c r="A48" s="63" t="inlineStr">
        <is>
          <t xml:space="preserve">Meta (seleção)</t>
        </is>
      </c>
      <c r="C48" s="66" t="str">
        <f>IFERROR(1/(1/INDEX(BD!$AF$23:$AZ$23,MATCH($B$2,BD!$AF$22:$AZ$22,0))),"")</f>
        <v/>
      </c>
      <c r="D48" s="66" t="str">
        <f>IFERROR(1/(1/INDEX(BD!$AF$24:$AZ$24,MATCH($B$2,BD!$AF$22:$AZ$22,0))),"")</f>
        <v/>
      </c>
      <c r="E48" s="66" t="str">
        <f>IFERROR(1/(1/INDEX(BD!$AF$25:$AZ$25,MATCH($B$2,BD!$AF$22:$AZ$22,0))),"")</f>
        <v/>
      </c>
      <c r="F48" s="66" t="str">
        <f>IFERROR(1/(1/INDEX(BD!$AF$26:$AZ$26,MATCH($B$2,BD!$AF$22:$AZ$22,0))),"")</f>
        <v/>
      </c>
      <c r="G48" s="66" t="str">
        <f>IFERROR(1/(1/INDEX(BD!$AF$27:$AZ$27,MATCH($B$2,BD!$AF$22:$AZ$22,0))),"")</f>
        <v/>
      </c>
      <c r="H48" s="66" t="str">
        <f>IFERROR(1/(1/INDEX(BD!$AF$28:$AZ$28,MATCH($B$2,BD!$AF$22:$AZ$22,0))),"")</f>
        <v/>
      </c>
      <c r="I48" s="66" t="str">
        <f>IFERROR(1/(1/INDEX(BD!$AF$29:$AZ$29,MATCH($B$2,BD!$AF$22:$AZ$22,0))),"")</f>
        <v/>
      </c>
      <c r="J48" s="66" t="str">
        <f>IFERROR(1/(1/INDEX(BD!$AF$30:$AZ$30,MATCH($B$2,BD!$AF$22:$AZ$22,0))),"")</f>
        <v/>
      </c>
      <c r="K48" s="66" t="str">
        <f>IFERROR(1/(1/INDEX(BD!$AF$31:$AZ$31,MATCH($B$2,BD!$AF$22:$AZ$22,0))),"")</f>
        <v/>
      </c>
      <c r="L48" s="66" t="str">
        <f>IFERROR(1/(1/INDEX(BD!$AF$32:$AZ$32,MATCH($B$2,BD!$AF$22:$AZ$22,0))),"")</f>
        <v/>
      </c>
      <c r="M48" s="66" t="str">
        <f>IFERROR(1/(1/INDEX(BD!$AF$33:$AZ$33,MATCH($B$2,BD!$AF$22:$AZ$22,0))),"")</f>
        <v/>
      </c>
      <c r="N48" s="66" t="str">
        <f>IFERROR(1/(1/INDEX(BD!$AF$34:$AZ$34,MATCH($B$2,BD!$AF$22:$AZ$22,0))),"")</f>
        <v/>
      </c>
      <c r="O48" s="66" t="str">
        <f>IFERROR(1/(1/INDEX(BD!$AF$35:$AZ$35,MATCH($B$2,BD!$AF$22:$AZ$22,0))),"")</f>
        <v/>
      </c>
      <c r="P48" s="66" t="str">
        <f>IFERROR(1/(1/INDEX(BD!$AF$36:$AZ$36,MATCH($B$2,BD!$AF$22:$AZ$22,0))),"")</f>
        <v/>
      </c>
      <c r="Q48" s="66" t="str">
        <f>IFERROR(1/(1/INDEX(BD!$AF$37:$AZ$37,MATCH($B$2,BD!$AF$22:$AZ$22,0))),"")</f>
        <v/>
      </c>
      <c r="R48" s="66" t="str">
        <f>IFERROR(1/(1/INDEX(BD!$AF$38:$AZ$38,MATCH($B$2,BD!$AF$22:$AZ$22,0))),"")</f>
        <v/>
      </c>
      <c r="S48" s="66" t="str">
        <f>IFERROR(1/(1/INDEX(BD!$AF$39:$AZ$39,MATCH($B$2,BD!$AF$22:$AZ$22,0))),"")</f>
        <v/>
      </c>
      <c r="T48" s="68" t="str">
        <f>IFERROR(1/(1/INDEX(BD!$AF$40:$AZ$40,MATCH($B$2,BD!$AF$22:$AZ$22,0))),"")</f>
        <v/>
      </c>
      <c r="U48" s="66" t="str">
        <f>IFERROR(1/(1/INDEX(BD!$AF$41:$AZ$41,MATCH($B$2,BD!$AF$22:$AZ$22,0))),"")</f>
        <v/>
      </c>
      <c r="V48" s="66" t="str">
        <f>IFERROR(1/(1/INDEX(BD!$AF$42:$AZ$42,MATCH($B$2,BD!$AF$22:$AZ$22,0))),"")</f>
        <v/>
      </c>
      <c r="W48" s="66" t="str">
        <f>IFERROR(1/(1/INDEX(BD!$AF$43:$AZ$43,MATCH($B$2,BD!$AF$22:$AZ$22,0))),"")</f>
        <v/>
      </c>
      <c r="X48" s="66" t="str">
        <f>IFERROR(1/(1/INDEX(BD!$AF$44:$AZ$44,MATCH($B$2,BD!$AF$22:$AZ$22,0))),"")</f>
        <v/>
      </c>
      <c r="Y48" s="66" t="str">
        <f>IFERROR(1/(1/INDEX(BD!$AF$45:$AZ$45,MATCH($B$2,BD!$AF$22:$AZ$22,0))),"")</f>
        <v/>
      </c>
      <c r="Z48" s="66" t="str">
        <f>IFERROR(1/(1/INDEX(BD!$AF$46:$AZ$46,MATCH($B$2,BD!$AF$22:$AZ$22,0))),"")</f>
        <v/>
      </c>
      <c r="AA48" s="66" t="str">
        <f>IFERROR(1/(1/INDEX(BD!$AF$47:$AZ$47,MATCH($B$2,BD!$AF$22:$AZ$22,0))),"")</f>
        <v/>
      </c>
      <c r="AB48" s="66" t="str">
        <f>IFERROR(1/(1/INDEX(BD!$AF$48:$AZ$48,MATCH($B$2,BD!$AF$22:$AZ$22,0))),"")</f>
        <v/>
      </c>
      <c r="AC48" s="66" t="str">
        <f>IFERROR(1/(1/INDEX(BD!$AF$49:$AZ$49,MATCH($B$2,BD!$AF$22:$AZ$22,0))),"")</f>
        <v/>
      </c>
    </row>
    <row r="49">
      <c r="A49" s="63" t="inlineStr">
        <is>
          <t xml:space="preserve">% da meta</t>
        </is>
      </c>
      <c r="C49" s="68" t="str">
        <f>IF(AND(ISNUMBER(C48),ISNUMBER(C43)),IF(C48&gt;0,C43/C48,""),"")</f>
        <v/>
      </c>
      <c r="D49" s="68" t="str">
        <f>IF(AND(ISNUMBER(D48),ISNUMBER(D43)),IF(D48&gt;0,D43/D48,""),"")</f>
        <v/>
      </c>
      <c r="E49" s="68" t="str">
        <f>IF(AND(ISNUMBER(E48),ISNUMBER(E43)),IF(E48&gt;0,E43/E48,""),"")</f>
        <v/>
      </c>
      <c r="F49" s="68" t="str">
        <f>IF(AND(ISNUMBER(F48),ISNUMBER(F43)),IF(F48&gt;0,F43/F48,""),"")</f>
        <v/>
      </c>
      <c r="G49" s="68" t="str">
        <f>IF(AND(ISNUMBER(G48),ISNUMBER(G43)),IF(G48&gt;0,G43/G48,""),"")</f>
        <v/>
      </c>
      <c r="H49" s="68" t="str">
        <f>IF(AND(ISNUMBER(H48),ISNUMBER(H43)),IF(H48&gt;0,H43/H48,""),"")</f>
        <v/>
      </c>
      <c r="I49" s="68" t="str">
        <f>IF(AND(ISNUMBER(I48),ISNUMBER(I43)),IF(I48&gt;0,I43/I48,""),"")</f>
        <v/>
      </c>
      <c r="J49" s="68" t="str">
        <f>IF(AND(ISNUMBER(J48),ISNUMBER(J43)),IF(J48&gt;0,J43/J48,""),"")</f>
        <v/>
      </c>
      <c r="K49" s="68" t="str">
        <f>IF(AND(ISNUMBER(K48),ISNUMBER(K43)),IF(K48&gt;0,K43/K48,""),"")</f>
        <v/>
      </c>
      <c r="L49" s="68" t="str">
        <f>IF(AND(ISNUMBER(L48),ISNUMBER(L43)),IF(L48&gt;0,L43/L48,""),"")</f>
        <v/>
      </c>
      <c r="M49" s="68" t="str">
        <f>IF(AND(ISNUMBER(M48),ISNUMBER(M43)),IF(M48&gt;0,M43/M48,""),"")</f>
        <v/>
      </c>
      <c r="N49" s="68" t="str">
        <f>IF(AND(ISNUMBER(N48),ISNUMBER(N43)),IF(N48&gt;0,N43/N48,""),"")</f>
        <v/>
      </c>
      <c r="O49" s="68" t="str">
        <f>IF(AND(ISNUMBER(O48),ISNUMBER(O43)),IF(O48&gt;0,O43/O48,""),"")</f>
        <v/>
      </c>
      <c r="P49" s="68" t="str">
        <f>IF(AND(ISNUMBER(P48),ISNUMBER(P43)),IF(P48&gt;0,P43/P48,""),"")</f>
        <v/>
      </c>
      <c r="Q49" s="68" t="str">
        <f>IF(AND(ISNUMBER(Q48),ISNUMBER(Q43)),IF(Q48&gt;0,Q43/Q48,""),"")</f>
        <v/>
      </c>
      <c r="R49" s="68" t="str">
        <f>IF(AND(ISNUMBER(R48),ISNUMBER(R43)),IF(R48&gt;0,R43/R48,""),"")</f>
        <v/>
      </c>
      <c r="S49" s="68" t="str">
        <f>IF(AND(ISNUMBER(S48),ISNUMBER(S43)),IF(S48&gt;0,S43/S48,""),"")</f>
        <v/>
      </c>
      <c r="T49" s="68" t="str">
        <f>IF(AND(ISNUMBER(T48),ISNUMBER(T43)),IF(T48&gt;0,T43/T48,""),"")</f>
        <v/>
      </c>
      <c r="U49" s="68" t="str">
        <f>IF(AND(ISNUMBER(U48),ISNUMBER(U43)),IF(U48&gt;0,U43/U48,""),"")</f>
        <v/>
      </c>
      <c r="V49" s="68" t="str">
        <f>IF(AND(ISNUMBER(V48),ISNUMBER(V43)),IF(V48&gt;0,V43/V48,""),"")</f>
        <v/>
      </c>
      <c r="W49" s="68" t="str">
        <f>IF(AND(ISNUMBER(W48),ISNUMBER(W43)),IF(W48&gt;0,W43/W48,""),"")</f>
        <v/>
      </c>
      <c r="X49" s="68" t="str">
        <f>IF(AND(ISNUMBER(X48),ISNUMBER(X43)),IF(X48&gt;0,X43/X48,""),"")</f>
        <v/>
      </c>
      <c r="Y49" s="68" t="str">
        <f>IF(AND(ISNUMBER(Y48),ISNUMBER(Y43)),IF(Y48&gt;0,Y43/Y48,""),"")</f>
        <v/>
      </c>
      <c r="Z49" s="68" t="str">
        <f>IF(AND(ISNUMBER(Z48),ISNUMBER(Z43)),IF(Z48&gt;0,Z43/Z48,""),"")</f>
        <v/>
      </c>
      <c r="AA49" s="68" t="str">
        <f>IF(AND(ISNUMBER(AA48),ISNUMBER(AA43)),IF(AA48&gt;0,AA43/AA48,""),"")</f>
        <v/>
      </c>
      <c r="AB49" s="68" t="str">
        <f>IF(AND(ISNUMBER(AB48),ISNUMBER(AB43)),IF(AB48&gt;0,AB43/AB48,""),"")</f>
        <v/>
      </c>
      <c r="AC49" s="68" t="str">
        <f>IF(AND(ISNUMBER(AC48),ISNUMBER(AC43)),IF(AC48&gt;0,AC43/AC48,""),"")</f>
        <v/>
      </c>
    </row>
    <row r="50">
      <c r="A50" s="63" t="inlineStr">
        <is>
          <t xml:space="preserve">Status</t>
        </is>
      </c>
      <c r="C50" s="69" t="str">
        <f>IF(ISNUMBER(C49),IF(C49&gt;=1,"meta atingida","abaixo da meta"),"")</f>
        <v/>
      </c>
      <c r="D50" s="69" t="str">
        <f>IF(ISNUMBER(D49),IF(D49&gt;=1,"meta atingida","abaixo da meta"),"")</f>
        <v/>
      </c>
      <c r="E50" s="69" t="str">
        <f>IF(ISNUMBER(E49),IF(E49&gt;=1,"meta atingida","abaixo da meta"),"")</f>
        <v/>
      </c>
      <c r="F50" s="69" t="str">
        <f>IF(ISNUMBER(F49),IF(F49&gt;=1,"meta atingida","abaixo da meta"),"")</f>
        <v/>
      </c>
      <c r="G50" s="69" t="str">
        <f>IF(ISNUMBER(G49),IF(G49&gt;=1,"meta atingida","abaixo da meta"),"")</f>
        <v/>
      </c>
      <c r="H50" s="69" t="str">
        <f>IF(ISNUMBER(H49),IF(H49&gt;=1,"meta atingida","abaixo da meta"),"")</f>
        <v/>
      </c>
      <c r="I50" s="69" t="str">
        <f>IF(ISNUMBER(I49),IF(I49&gt;=1,"meta atingida","abaixo da meta"),"")</f>
        <v/>
      </c>
      <c r="J50" s="69" t="str">
        <f>IF(ISNUMBER(J49),IF(J49&gt;=1,"meta atingida","abaixo da meta"),"")</f>
        <v/>
      </c>
      <c r="K50" s="69" t="str">
        <f>IF(ISNUMBER(K49),IF(K49&gt;=1,"meta atingida","abaixo da meta"),"")</f>
        <v/>
      </c>
      <c r="L50" s="69" t="str">
        <f>IF(ISNUMBER(L49),IF(L49&gt;=1,"meta atingida","abaixo da meta"),"")</f>
        <v/>
      </c>
      <c r="M50" s="69" t="str">
        <f>IF(ISNUMBER(M49),IF(M49&gt;=1,"meta atingida","abaixo da meta"),"")</f>
        <v/>
      </c>
      <c r="N50" s="69" t="str">
        <f>IF(AND(ISNUMBER(N48),ISNUMBER(N43)),IF(N43&lt;=N48,"dentro do limite","acima do limite"),"")</f>
        <v/>
      </c>
      <c r="O50" s="69" t="str">
        <f>IF(AND(ISNUMBER(O48),ISNUMBER(O43)),IF(O43&lt;=O48,"dentro do limite","acima do limite"),"")</f>
        <v/>
      </c>
      <c r="P50" s="69" t="str">
        <f>IF(AND(ISNUMBER(P48),ISNUMBER(P43)),IF(P43&lt;=P48,"dentro do limite","acima do limite"),"")</f>
        <v/>
      </c>
      <c r="Q50" s="69" t="str">
        <f>IF(AND(ISNUMBER(Q48),ISNUMBER(Q43)),IF(Q43&lt;=Q48,"dentro do limite","acima do limite"),"")</f>
        <v/>
      </c>
      <c r="R50" s="69" t="str">
        <f>IF(ISNUMBER(R49),IF(R49&gt;=1,"meta atingida","abaixo da meta"),"")</f>
        <v/>
      </c>
      <c r="S50" s="69" t="str">
        <f>IF(ISNUMBER(S49),IF(S49&gt;=1,"meta atingida","abaixo da meta"),"")</f>
        <v/>
      </c>
      <c r="T50" s="69" t="str">
        <f>IF(ISNUMBER(T43),IF(T43&gt;1,"excede o contratado",IF(T43&gt;=$B$6,"ocupação alta",IF(T43&gt;=$B$5,"ocupação média","ociosidade alta"))),"")</f>
        <v/>
      </c>
      <c r="U50" s="69" t="str">
        <f>IF(ISNUMBER(U49),IF(U49&gt;=1,"meta atingida","abaixo da meta"),"")</f>
        <v/>
      </c>
      <c r="V50" s="69" t="str">
        <f>IF(AND(ISNUMBER(V48),ISNUMBER(V43)),IF(V43&lt;=V48,"dentro do limite","acima do limite"),"")</f>
        <v/>
      </c>
      <c r="W50" s="69" t="str">
        <f>IF(AND(ISNUMBER(W48),ISNUMBER(W43)),IF(W43&lt;=W48,"dentro do limite","acima do limite"),"")</f>
        <v/>
      </c>
      <c r="X50" s="69" t="str">
        <f>IF(ISNUMBER(X49),IF(X49&gt;=1,"meta atingida","abaixo da meta"),"")</f>
        <v/>
      </c>
      <c r="Y50" s="69" t="str">
        <f>IF(ISNUMBER(Y49),IF(Y49&gt;=1,"meta atingida","abaixo da meta"),"")</f>
        <v/>
      </c>
      <c r="Z50" s="69" t="str">
        <f>IF(AND(ISNUMBER(Z48),ISNUMBER(Z43)),IF(Z43&lt;=Z48,"dentro do limite","acima do limite"),"")</f>
        <v/>
      </c>
      <c r="AA50" s="69" t="str">
        <f>IF(AND(ISNUMBER(AA48),ISNUMBER(AA43)),IF(AA43&lt;=AA48,"dentro do limite","acima do limite"),"")</f>
        <v/>
      </c>
      <c r="AB50" s="69" t="str">
        <f>IF(AND(ISNUMBER(AB48),ISNUMBER(AB43)),IF(AB43&lt;=AB48,"dentro do limite","acima do limite"),"")</f>
        <v/>
      </c>
      <c r="AC50" s="69" t="str">
        <f>IF(AND(ISNUMBER(AC48),ISNUMBER(AC43)),IF(AC43&lt;=AC48,"dentro do limite","acima do limite"),"")</f>
        <v/>
      </c>
    </row>
    <row r="85">
      <c r="A85" s="52" t="inlineStr">
        <is>
          <t xml:space="preserve">ACUMULADO SEMANAL — toneladas e pallets (seguem o filtro; mês do gráfico)</t>
        </is>
      </c>
    </row>
    <row r="86">
      <c r="A86" s="47" t="inlineStr">
        <is>
          <t xml:space="preserve">Semana</t>
        </is>
      </c>
      <c r="B86" s="47" t="inlineStr">
        <is>
          <t xml:space="preserve">Do dia</t>
        </is>
      </c>
      <c r="C86" s="47" t="inlineStr">
        <is>
          <t xml:space="preserve">Ao dia</t>
        </is>
      </c>
      <c r="D86" s="47" t="inlineStr">
        <is>
          <t xml:space="preserve">IN tons</t>
        </is>
      </c>
      <c r="E86" s="47" t="inlineStr">
        <is>
          <t xml:space="preserve">OUT tons</t>
        </is>
      </c>
      <c r="F86" s="47" t="inlineStr">
        <is>
          <t xml:space="preserve">IN pallets</t>
        </is>
      </c>
      <c r="G86" s="47" t="inlineStr">
        <is>
          <t xml:space="preserve">OUT pallets</t>
        </is>
      </c>
    </row>
    <row r="87">
      <c r="A87" s="40" t="inlineStr">
        <is>
          <t xml:space="preserve">Sem 1 (01–07)</t>
        </is>
      </c>
      <c r="B87" s="39">
        <v>1</v>
      </c>
      <c r="C87" s="39">
        <v>7</v>
      </c>
      <c r="D87" s="72">
        <f>SUMIFS(E12:E42,A12:A42,"&gt;="&amp;$B87,A12:A42,"&lt;="&amp;$C87)</f>
        <v>0</v>
      </c>
      <c r="E87" s="72">
        <f>SUMIFS(J12:J42,A12:A42,"&gt;="&amp;$B87,A12:A42,"&lt;="&amp;$C87)</f>
        <v>0</v>
      </c>
      <c r="F87" s="42">
        <f>SUMIFS(D12:D42,A12:A42,"&gt;="&amp;$B87,A12:A42,"&lt;="&amp;$C87)</f>
        <v>0</v>
      </c>
      <c r="G87" s="42">
        <f>SUMIFS(I12:I42,A12:A42,"&gt;="&amp;$B87,A12:A42,"&lt;="&amp;$C87)</f>
        <v>0</v>
      </c>
    </row>
    <row r="88">
      <c r="A88" s="40" t="inlineStr">
        <is>
          <t xml:space="preserve">Sem 2 (08–14)</t>
        </is>
      </c>
      <c r="B88" s="39">
        <v>8</v>
      </c>
      <c r="C88" s="39">
        <v>14</v>
      </c>
      <c r="D88" s="72">
        <f>SUMIFS(E12:E42,A12:A42,"&gt;="&amp;$B88,A12:A42,"&lt;="&amp;$C88)</f>
        <v>0</v>
      </c>
      <c r="E88" s="72">
        <f>SUMIFS(J12:J42,A12:A42,"&gt;="&amp;$B88,A12:A42,"&lt;="&amp;$C88)</f>
        <v>0</v>
      </c>
      <c r="F88" s="42">
        <f>SUMIFS(D12:D42,A12:A42,"&gt;="&amp;$B88,A12:A42,"&lt;="&amp;$C88)</f>
        <v>0</v>
      </c>
      <c r="G88" s="42">
        <f>SUMIFS(I12:I42,A12:A42,"&gt;="&amp;$B88,A12:A42,"&lt;="&amp;$C88)</f>
        <v>0</v>
      </c>
    </row>
    <row r="89">
      <c r="A89" s="40" t="inlineStr">
        <is>
          <t xml:space="preserve">Sem 3 (15–21)</t>
        </is>
      </c>
      <c r="B89" s="39">
        <v>15</v>
      </c>
      <c r="C89" s="39">
        <v>21</v>
      </c>
      <c r="D89" s="72">
        <f>SUMIFS(E12:E42,A12:A42,"&gt;="&amp;$B89,A12:A42,"&lt;="&amp;$C89)</f>
        <v>0</v>
      </c>
      <c r="E89" s="72">
        <f>SUMIFS(J12:J42,A12:A42,"&gt;="&amp;$B89,A12:A42,"&lt;="&amp;$C89)</f>
        <v>0</v>
      </c>
      <c r="F89" s="42">
        <f>SUMIFS(D12:D42,A12:A42,"&gt;="&amp;$B89,A12:A42,"&lt;="&amp;$C89)</f>
        <v>0</v>
      </c>
      <c r="G89" s="42">
        <f>SUMIFS(I12:I42,A12:A42,"&gt;="&amp;$B89,A12:A42,"&lt;="&amp;$C89)</f>
        <v>0</v>
      </c>
    </row>
    <row r="90">
      <c r="A90" s="40" t="inlineStr">
        <is>
          <t xml:space="preserve">Sem 4 (22–28)</t>
        </is>
      </c>
      <c r="B90" s="39">
        <v>22</v>
      </c>
      <c r="C90" s="39">
        <v>28</v>
      </c>
      <c r="D90" s="72">
        <f>SUMIFS(E12:E42,A12:A42,"&gt;="&amp;$B90,A12:A42,"&lt;="&amp;$C90)</f>
        <v>0</v>
      </c>
      <c r="E90" s="72">
        <f>SUMIFS(J12:J42,A12:A42,"&gt;="&amp;$B90,A12:A42,"&lt;="&amp;$C90)</f>
        <v>0</v>
      </c>
      <c r="F90" s="42">
        <f>SUMIFS(D12:D42,A12:A42,"&gt;="&amp;$B90,A12:A42,"&lt;="&amp;$C90)</f>
        <v>0</v>
      </c>
      <c r="G90" s="42">
        <f>SUMIFS(I12:I42,A12:A42,"&gt;="&amp;$B90,A12:A42,"&lt;="&amp;$C90)</f>
        <v>0</v>
      </c>
    </row>
    <row r="91">
      <c r="A91" s="40" t="inlineStr">
        <is>
          <t xml:space="preserve">Sem 5 (29–fim)</t>
        </is>
      </c>
      <c r="B91" s="39">
        <v>29</v>
      </c>
      <c r="C91" s="39">
        <v>31</v>
      </c>
      <c r="D91" s="72">
        <f>SUMIFS(E12:E42,A12:A42,"&gt;="&amp;$B91,A12:A42,"&lt;="&amp;$C91)</f>
        <v>0</v>
      </c>
      <c r="E91" s="72">
        <f>SUMIFS(J12:J42,A12:A42,"&gt;="&amp;$B91,A12:A42,"&lt;="&amp;$C91)</f>
        <v>0</v>
      </c>
      <c r="F91" s="42">
        <f>SUMIFS(D12:D42,A12:A42,"&gt;="&amp;$B91,A12:A42,"&lt;="&amp;$C91)</f>
        <v>0</v>
      </c>
      <c r="G91" s="42">
        <f>SUMIFS(I12:I42,A12:A42,"&gt;="&amp;$B91,A12:A42,"&lt;="&amp;$C91)</f>
        <v>0</v>
      </c>
    </row>
    <row r="95">
      <c r="A95" s="52" t="inlineStr">
        <is>
          <t xml:space="preserve">POR CLIENTE — mês inteiro (todos os clientes). Estoque = último valor do mês.</t>
        </is>
      </c>
    </row>
    <row r="96" ht="30" customHeight="1">
      <c r="A96" s="47" t="inlineStr">
        <is>
          <t xml:space="preserve">Indicador</t>
        </is>
      </c>
      <c r="B96" s="47" t="str">
        <f>Config!$B$10&amp;""</f>
        <v>Barry Callebaut</v>
      </c>
      <c r="C96" s="47" t="str">
        <f>Config!$B$11&amp;""</f>
        <v>GM</v>
      </c>
      <c r="D96" s="47" t="str">
        <f>Config!$B$12&amp;""</f>
        <v>Mondelez</v>
      </c>
      <c r="E96" s="47" t="str">
        <f>Config!$B$13&amp;""</f>
        <v>Nestlé</v>
      </c>
      <c r="F96" s="47" t="str">
        <f>Config!$B$14&amp;""</f>
        <v>PMB</v>
      </c>
      <c r="G96" s="47" t="str">
        <f>Config!$B$15&amp;""</f>
        <v/>
      </c>
      <c r="H96" s="47" t="str">
        <f>Config!$B$16&amp;""</f>
        <v/>
      </c>
      <c r="I96" s="47" t="str">
        <f>Config!$B$17&amp;""</f>
        <v/>
      </c>
      <c r="J96" s="47" t="str">
        <f>Config!$B$18&amp;""</f>
        <v/>
      </c>
      <c r="K96" s="47" t="str">
        <f>Config!$B$19&amp;""</f>
        <v/>
      </c>
      <c r="L96" s="47" t="str">
        <f>Config!$B$20&amp;""</f>
        <v/>
      </c>
      <c r="M96" s="47" t="str">
        <f>Config!$B$21&amp;""</f>
        <v/>
      </c>
      <c r="N96" s="47" t="str">
        <f>Config!$B$22&amp;""</f>
        <v/>
      </c>
      <c r="O96" s="47" t="str">
        <f>Config!$B$23&amp;""</f>
        <v/>
      </c>
      <c r="P96" s="47" t="str">
        <f>Config!$B$24&amp;""</f>
        <v/>
      </c>
      <c r="Q96" s="47" t="str">
        <f>Config!$B$25&amp;""</f>
        <v/>
      </c>
      <c r="R96" s="47" t="str">
        <f>Config!$B$26&amp;""</f>
        <v/>
      </c>
      <c r="S96" s="47" t="str">
        <f>Config!$B$27&amp;""</f>
        <v/>
      </c>
      <c r="T96" s="47" t="str">
        <f>Config!$B$28&amp;""</f>
        <v/>
      </c>
      <c r="U96" s="47" t="str">
        <f>Config!$B$29&amp;""</f>
        <v/>
      </c>
      <c r="V96" s="47" t="inlineStr">
        <is>
          <t xml:space="preserve">TOTAL</t>
        </is>
      </c>
    </row>
    <row r="97">
      <c r="A97" s="40" t="inlineStr">
        <is>
          <t xml:space="preserve">IN · Veículos Recebidos</t>
        </is>
      </c>
      <c r="B97" s="42">
        <f>IF(B$96="","",IF(Config!$D$35&lt;&gt;"Não",SUMIFS(BD!$C$3:$C$5001,BD!$B$3:$B$5001,B$96,BD!$A$3:$A$5001,"&gt;="&amp;$C$7,BD!$A$3:$A$5001,"&lt;="&amp;$D$7),"—"))</f>
        <v>0</v>
      </c>
      <c r="C97" s="42" t="str">
        <f>IF(C$96="","",IF(Config!$D$36&lt;&gt;"Não",SUMIFS(BD!$C$3:$C$5001,BD!$B$3:$B$5001,C$96,BD!$A$3:$A$5001,"&gt;="&amp;$C$7,BD!$A$3:$A$5001,"&lt;="&amp;$D$7),"—"))</f>
        <v>—</v>
      </c>
      <c r="D97" s="42">
        <f>IF(D$96="","",IF(Config!$D$37&lt;&gt;"Não",SUMIFS(BD!$C$3:$C$5001,BD!$B$3:$B$5001,D$96,BD!$A$3:$A$5001,"&gt;="&amp;$C$7,BD!$A$3:$A$5001,"&lt;="&amp;$D$7),"—"))</f>
        <v>0</v>
      </c>
      <c r="E97" s="42">
        <f>IF(E$96="","",IF(Config!$D$38&lt;&gt;"Não",SUMIFS(BD!$C$3:$C$5001,BD!$B$3:$B$5001,E$96,BD!$A$3:$A$5001,"&gt;="&amp;$C$7,BD!$A$3:$A$5001,"&lt;="&amp;$D$7),"—"))</f>
        <v>0</v>
      </c>
      <c r="F97" s="42">
        <f>IF(F$96="","",IF(Config!$D$39&lt;&gt;"Não",SUMIFS(BD!$C$3:$C$5001,BD!$B$3:$B$5001,F$96,BD!$A$3:$A$5001,"&gt;="&amp;$C$7,BD!$A$3:$A$5001,"&lt;="&amp;$D$7),"—"))</f>
        <v>0</v>
      </c>
      <c r="G97" s="42" t="str">
        <f>IF(G$96="","",IF(Config!$D$40&lt;&gt;"Não",SUMIFS(BD!$C$3:$C$5001,BD!$B$3:$B$5001,G$96,BD!$A$3:$A$5001,"&gt;="&amp;$C$7,BD!$A$3:$A$5001,"&lt;="&amp;$D$7),"—"))</f>
        <v/>
      </c>
      <c r="H97" s="42" t="str">
        <f>IF(H$96="","",IF(Config!$D$41&lt;&gt;"Não",SUMIFS(BD!$C$3:$C$5001,BD!$B$3:$B$5001,H$96,BD!$A$3:$A$5001,"&gt;="&amp;$C$7,BD!$A$3:$A$5001,"&lt;="&amp;$D$7),"—"))</f>
        <v/>
      </c>
      <c r="I97" s="42" t="str">
        <f>IF(I$96="","",IF(Config!$D$42&lt;&gt;"Não",SUMIFS(BD!$C$3:$C$5001,BD!$B$3:$B$5001,I$96,BD!$A$3:$A$5001,"&gt;="&amp;$C$7,BD!$A$3:$A$5001,"&lt;="&amp;$D$7),"—"))</f>
        <v/>
      </c>
      <c r="J97" s="42" t="str">
        <f>IF(J$96="","",IF(Config!$D$43&lt;&gt;"Não",SUMIFS(BD!$C$3:$C$5001,BD!$B$3:$B$5001,J$96,BD!$A$3:$A$5001,"&gt;="&amp;$C$7,BD!$A$3:$A$5001,"&lt;="&amp;$D$7),"—"))</f>
        <v/>
      </c>
      <c r="K97" s="42" t="str">
        <f>IF(K$96="","",IF(Config!$D$44&lt;&gt;"Não",SUMIFS(BD!$C$3:$C$5001,BD!$B$3:$B$5001,K$96,BD!$A$3:$A$5001,"&gt;="&amp;$C$7,BD!$A$3:$A$5001,"&lt;="&amp;$D$7),"—"))</f>
        <v/>
      </c>
      <c r="L97" s="42" t="str">
        <f>IF(L$96="","",IF(Config!$D$45&lt;&gt;"Não",SUMIFS(BD!$C$3:$C$5001,BD!$B$3:$B$5001,L$96,BD!$A$3:$A$5001,"&gt;="&amp;$C$7,BD!$A$3:$A$5001,"&lt;="&amp;$D$7),"—"))</f>
        <v/>
      </c>
      <c r="M97" s="42" t="str">
        <f>IF(M$96="","",IF(Config!$D$46&lt;&gt;"Não",SUMIFS(BD!$C$3:$C$5001,BD!$B$3:$B$5001,M$96,BD!$A$3:$A$5001,"&gt;="&amp;$C$7,BD!$A$3:$A$5001,"&lt;="&amp;$D$7),"—"))</f>
        <v/>
      </c>
      <c r="N97" s="42" t="str">
        <f>IF(N$96="","",IF(Config!$D$47&lt;&gt;"Não",SUMIFS(BD!$C$3:$C$5001,BD!$B$3:$B$5001,N$96,BD!$A$3:$A$5001,"&gt;="&amp;$C$7,BD!$A$3:$A$5001,"&lt;="&amp;$D$7),"—"))</f>
        <v/>
      </c>
      <c r="O97" s="42" t="str">
        <f>IF(O$96="","",IF(Config!$D$48&lt;&gt;"Não",SUMIFS(BD!$C$3:$C$5001,BD!$B$3:$B$5001,O$96,BD!$A$3:$A$5001,"&gt;="&amp;$C$7,BD!$A$3:$A$5001,"&lt;="&amp;$D$7),"—"))</f>
        <v/>
      </c>
      <c r="P97" s="42" t="str">
        <f>IF(P$96="","",IF(Config!$D$49&lt;&gt;"Não",SUMIFS(BD!$C$3:$C$5001,BD!$B$3:$B$5001,P$96,BD!$A$3:$A$5001,"&gt;="&amp;$C$7,BD!$A$3:$A$5001,"&lt;="&amp;$D$7),"—"))</f>
        <v/>
      </c>
      <c r="Q97" s="42" t="str">
        <f>IF(Q$96="","",IF(Config!$D$50&lt;&gt;"Não",SUMIFS(BD!$C$3:$C$5001,BD!$B$3:$B$5001,Q$96,BD!$A$3:$A$5001,"&gt;="&amp;$C$7,BD!$A$3:$A$5001,"&lt;="&amp;$D$7),"—"))</f>
        <v/>
      </c>
      <c r="R97" s="42" t="str">
        <f>IF(R$96="","",IF(Config!$D$51&lt;&gt;"Não",SUMIFS(BD!$C$3:$C$5001,BD!$B$3:$B$5001,R$96,BD!$A$3:$A$5001,"&gt;="&amp;$C$7,BD!$A$3:$A$5001,"&lt;="&amp;$D$7),"—"))</f>
        <v/>
      </c>
      <c r="S97" s="42" t="str">
        <f>IF(S$96="","",IF(Config!$D$52&lt;&gt;"Não",SUMIFS(BD!$C$3:$C$5001,BD!$B$3:$B$5001,S$96,BD!$A$3:$A$5001,"&gt;="&amp;$C$7,BD!$A$3:$A$5001,"&lt;="&amp;$D$7),"—"))</f>
        <v/>
      </c>
      <c r="T97" s="42" t="str">
        <f>IF(T$96="","",IF(Config!$D$53&lt;&gt;"Não",SUMIFS(BD!$C$3:$C$5001,BD!$B$3:$B$5001,T$96,BD!$A$3:$A$5001,"&gt;="&amp;$C$7,BD!$A$3:$A$5001,"&lt;="&amp;$D$7),"—"))</f>
        <v/>
      </c>
      <c r="U97" s="42" t="str">
        <f>IF(U$96="","",IF(Config!$D$54&lt;&gt;"Não",SUMIFS(BD!$C$3:$C$5001,BD!$B$3:$B$5001,U$96,BD!$A$3:$A$5001,"&gt;="&amp;$C$7,BD!$A$3:$A$5001,"&lt;="&amp;$D$7),"—"))</f>
        <v/>
      </c>
      <c r="V97" s="73">
        <f>SUM(B97:U97)</f>
        <v>0</v>
      </c>
    </row>
    <row r="98">
      <c r="A98" s="40" t="inlineStr">
        <is>
          <t xml:space="preserve">IN · Pallets Movimentados</t>
        </is>
      </c>
      <c r="B98" s="42">
        <f>IF(B$96="","",IF(Config!$E$35&lt;&gt;"Não",SUMIFS(BD!$D$3:$D$5001,BD!$B$3:$B$5001,B$96,BD!$A$3:$A$5001,"&gt;="&amp;$C$7,BD!$A$3:$A$5001,"&lt;="&amp;$D$7),"—"))</f>
        <v>0</v>
      </c>
      <c r="C98" s="42" t="str">
        <f>IF(C$96="","",IF(Config!$E$36&lt;&gt;"Não",SUMIFS(BD!$D$3:$D$5001,BD!$B$3:$B$5001,C$96,BD!$A$3:$A$5001,"&gt;="&amp;$C$7,BD!$A$3:$A$5001,"&lt;="&amp;$D$7),"—"))</f>
        <v>—</v>
      </c>
      <c r="D98" s="42">
        <f>IF(D$96="","",IF(Config!$E$37&lt;&gt;"Não",SUMIFS(BD!$D$3:$D$5001,BD!$B$3:$B$5001,D$96,BD!$A$3:$A$5001,"&gt;="&amp;$C$7,BD!$A$3:$A$5001,"&lt;="&amp;$D$7),"—"))</f>
        <v>0</v>
      </c>
      <c r="E98" s="42">
        <f>IF(E$96="","",IF(Config!$E$38&lt;&gt;"Não",SUMIFS(BD!$D$3:$D$5001,BD!$B$3:$B$5001,E$96,BD!$A$3:$A$5001,"&gt;="&amp;$C$7,BD!$A$3:$A$5001,"&lt;="&amp;$D$7),"—"))</f>
        <v>0</v>
      </c>
      <c r="F98" s="42">
        <f>IF(F$96="","",IF(Config!$E$39&lt;&gt;"Não",SUMIFS(BD!$D$3:$D$5001,BD!$B$3:$B$5001,F$96,BD!$A$3:$A$5001,"&gt;="&amp;$C$7,BD!$A$3:$A$5001,"&lt;="&amp;$D$7),"—"))</f>
        <v>0</v>
      </c>
      <c r="G98" s="42" t="str">
        <f>IF(G$96="","",IF(Config!$E$40&lt;&gt;"Não",SUMIFS(BD!$D$3:$D$5001,BD!$B$3:$B$5001,G$96,BD!$A$3:$A$5001,"&gt;="&amp;$C$7,BD!$A$3:$A$5001,"&lt;="&amp;$D$7),"—"))</f>
        <v/>
      </c>
      <c r="H98" s="42" t="str">
        <f>IF(H$96="","",IF(Config!$E$41&lt;&gt;"Não",SUMIFS(BD!$D$3:$D$5001,BD!$B$3:$B$5001,H$96,BD!$A$3:$A$5001,"&gt;="&amp;$C$7,BD!$A$3:$A$5001,"&lt;="&amp;$D$7),"—"))</f>
        <v/>
      </c>
      <c r="I98" s="42" t="str">
        <f>IF(I$96="","",IF(Config!$E$42&lt;&gt;"Não",SUMIFS(BD!$D$3:$D$5001,BD!$B$3:$B$5001,I$96,BD!$A$3:$A$5001,"&gt;="&amp;$C$7,BD!$A$3:$A$5001,"&lt;="&amp;$D$7),"—"))</f>
        <v/>
      </c>
      <c r="J98" s="42" t="str">
        <f>IF(J$96="","",IF(Config!$E$43&lt;&gt;"Não",SUMIFS(BD!$D$3:$D$5001,BD!$B$3:$B$5001,J$96,BD!$A$3:$A$5001,"&gt;="&amp;$C$7,BD!$A$3:$A$5001,"&lt;="&amp;$D$7),"—"))</f>
        <v/>
      </c>
      <c r="K98" s="42" t="str">
        <f>IF(K$96="","",IF(Config!$E$44&lt;&gt;"Não",SUMIFS(BD!$D$3:$D$5001,BD!$B$3:$B$5001,K$96,BD!$A$3:$A$5001,"&gt;="&amp;$C$7,BD!$A$3:$A$5001,"&lt;="&amp;$D$7),"—"))</f>
        <v/>
      </c>
      <c r="L98" s="42" t="str">
        <f>IF(L$96="","",IF(Config!$E$45&lt;&gt;"Não",SUMIFS(BD!$D$3:$D$5001,BD!$B$3:$B$5001,L$96,BD!$A$3:$A$5001,"&gt;="&amp;$C$7,BD!$A$3:$A$5001,"&lt;="&amp;$D$7),"—"))</f>
        <v/>
      </c>
      <c r="M98" s="42" t="str">
        <f>IF(M$96="","",IF(Config!$E$46&lt;&gt;"Não",SUMIFS(BD!$D$3:$D$5001,BD!$B$3:$B$5001,M$96,BD!$A$3:$A$5001,"&gt;="&amp;$C$7,BD!$A$3:$A$5001,"&lt;="&amp;$D$7),"—"))</f>
        <v/>
      </c>
      <c r="N98" s="42" t="str">
        <f>IF(N$96="","",IF(Config!$E$47&lt;&gt;"Não",SUMIFS(BD!$D$3:$D$5001,BD!$B$3:$B$5001,N$96,BD!$A$3:$A$5001,"&gt;="&amp;$C$7,BD!$A$3:$A$5001,"&lt;="&amp;$D$7),"—"))</f>
        <v/>
      </c>
      <c r="O98" s="42" t="str">
        <f>IF(O$96="","",IF(Config!$E$48&lt;&gt;"Não",SUMIFS(BD!$D$3:$D$5001,BD!$B$3:$B$5001,O$96,BD!$A$3:$A$5001,"&gt;="&amp;$C$7,BD!$A$3:$A$5001,"&lt;="&amp;$D$7),"—"))</f>
        <v/>
      </c>
      <c r="P98" s="42" t="str">
        <f>IF(P$96="","",IF(Config!$E$49&lt;&gt;"Não",SUMIFS(BD!$D$3:$D$5001,BD!$B$3:$B$5001,P$96,BD!$A$3:$A$5001,"&gt;="&amp;$C$7,BD!$A$3:$A$5001,"&lt;="&amp;$D$7),"—"))</f>
        <v/>
      </c>
      <c r="Q98" s="42" t="str">
        <f>IF(Q$96="","",IF(Config!$E$50&lt;&gt;"Não",SUMIFS(BD!$D$3:$D$5001,BD!$B$3:$B$5001,Q$96,BD!$A$3:$A$5001,"&gt;="&amp;$C$7,BD!$A$3:$A$5001,"&lt;="&amp;$D$7),"—"))</f>
        <v/>
      </c>
      <c r="R98" s="42" t="str">
        <f>IF(R$96="","",IF(Config!$E$51&lt;&gt;"Não",SUMIFS(BD!$D$3:$D$5001,BD!$B$3:$B$5001,R$96,BD!$A$3:$A$5001,"&gt;="&amp;$C$7,BD!$A$3:$A$5001,"&lt;="&amp;$D$7),"—"))</f>
        <v/>
      </c>
      <c r="S98" s="42" t="str">
        <f>IF(S$96="","",IF(Config!$E$52&lt;&gt;"Não",SUMIFS(BD!$D$3:$D$5001,BD!$B$3:$B$5001,S$96,BD!$A$3:$A$5001,"&gt;="&amp;$C$7,BD!$A$3:$A$5001,"&lt;="&amp;$D$7),"—"))</f>
        <v/>
      </c>
      <c r="T98" s="42" t="str">
        <f>IF(T$96="","",IF(Config!$E$53&lt;&gt;"Não",SUMIFS(BD!$D$3:$D$5001,BD!$B$3:$B$5001,T$96,BD!$A$3:$A$5001,"&gt;="&amp;$C$7,BD!$A$3:$A$5001,"&lt;="&amp;$D$7),"—"))</f>
        <v/>
      </c>
      <c r="U98" s="42" t="str">
        <f>IF(U$96="","",IF(Config!$E$54&lt;&gt;"Não",SUMIFS(BD!$D$3:$D$5001,BD!$B$3:$B$5001,U$96,BD!$A$3:$A$5001,"&gt;="&amp;$C$7,BD!$A$3:$A$5001,"&lt;="&amp;$D$7),"—"))</f>
        <v/>
      </c>
      <c r="V98" s="73">
        <f>SUM(B98:U98)</f>
        <v>0</v>
      </c>
    </row>
    <row r="99">
      <c r="A99" s="40" t="inlineStr">
        <is>
          <t xml:space="preserve">IN · Toneladas Movimentadas</t>
        </is>
      </c>
      <c r="B99" s="72">
        <f>IF(B$96="","",IF(Config!$F$35&lt;&gt;"Não",SUMIFS(BD!$E$3:$E$5001,BD!$B$3:$B$5001,B$96,BD!$A$3:$A$5001,"&gt;="&amp;$C$7,BD!$A$3:$A$5001,"&lt;="&amp;$D$7),"—"))</f>
        <v>0</v>
      </c>
      <c r="C99" s="72" t="str">
        <f>IF(C$96="","",IF(Config!$F$36&lt;&gt;"Não",SUMIFS(BD!$E$3:$E$5001,BD!$B$3:$B$5001,C$96,BD!$A$3:$A$5001,"&gt;="&amp;$C$7,BD!$A$3:$A$5001,"&lt;="&amp;$D$7),"—"))</f>
        <v>—</v>
      </c>
      <c r="D99" s="72">
        <f>IF(D$96="","",IF(Config!$F$37&lt;&gt;"Não",SUMIFS(BD!$E$3:$E$5001,BD!$B$3:$B$5001,D$96,BD!$A$3:$A$5001,"&gt;="&amp;$C$7,BD!$A$3:$A$5001,"&lt;="&amp;$D$7),"—"))</f>
        <v>0</v>
      </c>
      <c r="E99" s="72">
        <f>IF(E$96="","",IF(Config!$F$38&lt;&gt;"Não",SUMIFS(BD!$E$3:$E$5001,BD!$B$3:$B$5001,E$96,BD!$A$3:$A$5001,"&gt;="&amp;$C$7,BD!$A$3:$A$5001,"&lt;="&amp;$D$7),"—"))</f>
        <v>0</v>
      </c>
      <c r="F99" s="72">
        <f>IF(F$96="","",IF(Config!$F$39&lt;&gt;"Não",SUMIFS(BD!$E$3:$E$5001,BD!$B$3:$B$5001,F$96,BD!$A$3:$A$5001,"&gt;="&amp;$C$7,BD!$A$3:$A$5001,"&lt;="&amp;$D$7),"—"))</f>
        <v>0</v>
      </c>
      <c r="G99" s="72" t="str">
        <f>IF(G$96="","",IF(Config!$F$40&lt;&gt;"Não",SUMIFS(BD!$E$3:$E$5001,BD!$B$3:$B$5001,G$96,BD!$A$3:$A$5001,"&gt;="&amp;$C$7,BD!$A$3:$A$5001,"&lt;="&amp;$D$7),"—"))</f>
        <v/>
      </c>
      <c r="H99" s="72" t="str">
        <f>IF(H$96="","",IF(Config!$F$41&lt;&gt;"Não",SUMIFS(BD!$E$3:$E$5001,BD!$B$3:$B$5001,H$96,BD!$A$3:$A$5001,"&gt;="&amp;$C$7,BD!$A$3:$A$5001,"&lt;="&amp;$D$7),"—"))</f>
        <v/>
      </c>
      <c r="I99" s="72" t="str">
        <f>IF(I$96="","",IF(Config!$F$42&lt;&gt;"Não",SUMIFS(BD!$E$3:$E$5001,BD!$B$3:$B$5001,I$96,BD!$A$3:$A$5001,"&gt;="&amp;$C$7,BD!$A$3:$A$5001,"&lt;="&amp;$D$7),"—"))</f>
        <v/>
      </c>
      <c r="J99" s="72" t="str">
        <f>IF(J$96="","",IF(Config!$F$43&lt;&gt;"Não",SUMIFS(BD!$E$3:$E$5001,BD!$B$3:$B$5001,J$96,BD!$A$3:$A$5001,"&gt;="&amp;$C$7,BD!$A$3:$A$5001,"&lt;="&amp;$D$7),"—"))</f>
        <v/>
      </c>
      <c r="K99" s="72" t="str">
        <f>IF(K$96="","",IF(Config!$F$44&lt;&gt;"Não",SUMIFS(BD!$E$3:$E$5001,BD!$B$3:$B$5001,K$96,BD!$A$3:$A$5001,"&gt;="&amp;$C$7,BD!$A$3:$A$5001,"&lt;="&amp;$D$7),"—"))</f>
        <v/>
      </c>
      <c r="L99" s="72" t="str">
        <f>IF(L$96="","",IF(Config!$F$45&lt;&gt;"Não",SUMIFS(BD!$E$3:$E$5001,BD!$B$3:$B$5001,L$96,BD!$A$3:$A$5001,"&gt;="&amp;$C$7,BD!$A$3:$A$5001,"&lt;="&amp;$D$7),"—"))</f>
        <v/>
      </c>
      <c r="M99" s="72" t="str">
        <f>IF(M$96="","",IF(Config!$F$46&lt;&gt;"Não",SUMIFS(BD!$E$3:$E$5001,BD!$B$3:$B$5001,M$96,BD!$A$3:$A$5001,"&gt;="&amp;$C$7,BD!$A$3:$A$5001,"&lt;="&amp;$D$7),"—"))</f>
        <v/>
      </c>
      <c r="N99" s="72" t="str">
        <f>IF(N$96="","",IF(Config!$F$47&lt;&gt;"Não",SUMIFS(BD!$E$3:$E$5001,BD!$B$3:$B$5001,N$96,BD!$A$3:$A$5001,"&gt;="&amp;$C$7,BD!$A$3:$A$5001,"&lt;="&amp;$D$7),"—"))</f>
        <v/>
      </c>
      <c r="O99" s="72" t="str">
        <f>IF(O$96="","",IF(Config!$F$48&lt;&gt;"Não",SUMIFS(BD!$E$3:$E$5001,BD!$B$3:$B$5001,O$96,BD!$A$3:$A$5001,"&gt;="&amp;$C$7,BD!$A$3:$A$5001,"&lt;="&amp;$D$7),"—"))</f>
        <v/>
      </c>
      <c r="P99" s="72" t="str">
        <f>IF(P$96="","",IF(Config!$F$49&lt;&gt;"Não",SUMIFS(BD!$E$3:$E$5001,BD!$B$3:$B$5001,P$96,BD!$A$3:$A$5001,"&gt;="&amp;$C$7,BD!$A$3:$A$5001,"&lt;="&amp;$D$7),"—"))</f>
        <v/>
      </c>
      <c r="Q99" s="72" t="str">
        <f>IF(Q$96="","",IF(Config!$F$50&lt;&gt;"Não",SUMIFS(BD!$E$3:$E$5001,BD!$B$3:$B$5001,Q$96,BD!$A$3:$A$5001,"&gt;="&amp;$C$7,BD!$A$3:$A$5001,"&lt;="&amp;$D$7),"—"))</f>
        <v/>
      </c>
      <c r="R99" s="72" t="str">
        <f>IF(R$96="","",IF(Config!$F$51&lt;&gt;"Não",SUMIFS(BD!$E$3:$E$5001,BD!$B$3:$B$5001,R$96,BD!$A$3:$A$5001,"&gt;="&amp;$C$7,BD!$A$3:$A$5001,"&lt;="&amp;$D$7),"—"))</f>
        <v/>
      </c>
      <c r="S99" s="72" t="str">
        <f>IF(S$96="","",IF(Config!$F$52&lt;&gt;"Não",SUMIFS(BD!$E$3:$E$5001,BD!$B$3:$B$5001,S$96,BD!$A$3:$A$5001,"&gt;="&amp;$C$7,BD!$A$3:$A$5001,"&lt;="&amp;$D$7),"—"))</f>
        <v/>
      </c>
      <c r="T99" s="72" t="str">
        <f>IF(T$96="","",IF(Config!$F$53&lt;&gt;"Não",SUMIFS(BD!$E$3:$E$5001,BD!$B$3:$B$5001,T$96,BD!$A$3:$A$5001,"&gt;="&amp;$C$7,BD!$A$3:$A$5001,"&lt;="&amp;$D$7),"—"))</f>
        <v/>
      </c>
      <c r="U99" s="72" t="str">
        <f>IF(U$96="","",IF(Config!$F$54&lt;&gt;"Não",SUMIFS(BD!$E$3:$E$5001,BD!$B$3:$B$5001,U$96,BD!$A$3:$A$5001,"&gt;="&amp;$C$7,BD!$A$3:$A$5001,"&lt;="&amp;$D$7),"—"))</f>
        <v/>
      </c>
      <c r="V99" s="74">
        <f>SUM(B99:U99)</f>
        <v>0</v>
      </c>
    </row>
    <row r="100">
      <c r="A100" s="40" t="inlineStr">
        <is>
          <t xml:space="preserve">IN · Caixas Recebidas</t>
        </is>
      </c>
      <c r="B100" s="42">
        <f>IF(B$96="","",IF(Config!$G$35&lt;&gt;"Não",SUMIFS(BD!$F$3:$F$5001,BD!$B$3:$B$5001,B$96,BD!$A$3:$A$5001,"&gt;="&amp;$C$7,BD!$A$3:$A$5001,"&lt;="&amp;$D$7),"—"))</f>
        <v>0</v>
      </c>
      <c r="C100" s="42" t="str">
        <f>IF(C$96="","",IF(Config!$G$36&lt;&gt;"Não",SUMIFS(BD!$F$3:$F$5001,BD!$B$3:$B$5001,C$96,BD!$A$3:$A$5001,"&gt;="&amp;$C$7,BD!$A$3:$A$5001,"&lt;="&amp;$D$7),"—"))</f>
        <v>—</v>
      </c>
      <c r="D100" s="42">
        <f>IF(D$96="","",IF(Config!$G$37&lt;&gt;"Não",SUMIFS(BD!$F$3:$F$5001,BD!$B$3:$B$5001,D$96,BD!$A$3:$A$5001,"&gt;="&amp;$C$7,BD!$A$3:$A$5001,"&lt;="&amp;$D$7),"—"))</f>
        <v>0</v>
      </c>
      <c r="E100" s="42">
        <f>IF(E$96="","",IF(Config!$G$38&lt;&gt;"Não",SUMIFS(BD!$F$3:$F$5001,BD!$B$3:$B$5001,E$96,BD!$A$3:$A$5001,"&gt;="&amp;$C$7,BD!$A$3:$A$5001,"&lt;="&amp;$D$7),"—"))</f>
        <v>0</v>
      </c>
      <c r="F100" s="42">
        <f>IF(F$96="","",IF(Config!$G$39&lt;&gt;"Não",SUMIFS(BD!$F$3:$F$5001,BD!$B$3:$B$5001,F$96,BD!$A$3:$A$5001,"&gt;="&amp;$C$7,BD!$A$3:$A$5001,"&lt;="&amp;$D$7),"—"))</f>
        <v>0</v>
      </c>
      <c r="G100" s="42" t="str">
        <f>IF(G$96="","",IF(Config!$G$40&lt;&gt;"Não",SUMIFS(BD!$F$3:$F$5001,BD!$B$3:$B$5001,G$96,BD!$A$3:$A$5001,"&gt;="&amp;$C$7,BD!$A$3:$A$5001,"&lt;="&amp;$D$7),"—"))</f>
        <v/>
      </c>
      <c r="H100" s="42" t="str">
        <f>IF(H$96="","",IF(Config!$G$41&lt;&gt;"Não",SUMIFS(BD!$F$3:$F$5001,BD!$B$3:$B$5001,H$96,BD!$A$3:$A$5001,"&gt;="&amp;$C$7,BD!$A$3:$A$5001,"&lt;="&amp;$D$7),"—"))</f>
        <v/>
      </c>
      <c r="I100" s="42" t="str">
        <f>IF(I$96="","",IF(Config!$G$42&lt;&gt;"Não",SUMIFS(BD!$F$3:$F$5001,BD!$B$3:$B$5001,I$96,BD!$A$3:$A$5001,"&gt;="&amp;$C$7,BD!$A$3:$A$5001,"&lt;="&amp;$D$7),"—"))</f>
        <v/>
      </c>
      <c r="J100" s="42" t="str">
        <f>IF(J$96="","",IF(Config!$G$43&lt;&gt;"Não",SUMIFS(BD!$F$3:$F$5001,BD!$B$3:$B$5001,J$96,BD!$A$3:$A$5001,"&gt;="&amp;$C$7,BD!$A$3:$A$5001,"&lt;="&amp;$D$7),"—"))</f>
        <v/>
      </c>
      <c r="K100" s="42" t="str">
        <f>IF(K$96="","",IF(Config!$G$44&lt;&gt;"Não",SUMIFS(BD!$F$3:$F$5001,BD!$B$3:$B$5001,K$96,BD!$A$3:$A$5001,"&gt;="&amp;$C$7,BD!$A$3:$A$5001,"&lt;="&amp;$D$7),"—"))</f>
        <v/>
      </c>
      <c r="L100" s="42" t="str">
        <f>IF(L$96="","",IF(Config!$G$45&lt;&gt;"Não",SUMIFS(BD!$F$3:$F$5001,BD!$B$3:$B$5001,L$96,BD!$A$3:$A$5001,"&gt;="&amp;$C$7,BD!$A$3:$A$5001,"&lt;="&amp;$D$7),"—"))</f>
        <v/>
      </c>
      <c r="M100" s="42" t="str">
        <f>IF(M$96="","",IF(Config!$G$46&lt;&gt;"Não",SUMIFS(BD!$F$3:$F$5001,BD!$B$3:$B$5001,M$96,BD!$A$3:$A$5001,"&gt;="&amp;$C$7,BD!$A$3:$A$5001,"&lt;="&amp;$D$7),"—"))</f>
        <v/>
      </c>
      <c r="N100" s="42" t="str">
        <f>IF(N$96="","",IF(Config!$G$47&lt;&gt;"Não",SUMIFS(BD!$F$3:$F$5001,BD!$B$3:$B$5001,N$96,BD!$A$3:$A$5001,"&gt;="&amp;$C$7,BD!$A$3:$A$5001,"&lt;="&amp;$D$7),"—"))</f>
        <v/>
      </c>
      <c r="O100" s="42" t="str">
        <f>IF(O$96="","",IF(Config!$G$48&lt;&gt;"Não",SUMIFS(BD!$F$3:$F$5001,BD!$B$3:$B$5001,O$96,BD!$A$3:$A$5001,"&gt;="&amp;$C$7,BD!$A$3:$A$5001,"&lt;="&amp;$D$7),"—"))</f>
        <v/>
      </c>
      <c r="P100" s="42" t="str">
        <f>IF(P$96="","",IF(Config!$G$49&lt;&gt;"Não",SUMIFS(BD!$F$3:$F$5001,BD!$B$3:$B$5001,P$96,BD!$A$3:$A$5001,"&gt;="&amp;$C$7,BD!$A$3:$A$5001,"&lt;="&amp;$D$7),"—"))</f>
        <v/>
      </c>
      <c r="Q100" s="42" t="str">
        <f>IF(Q$96="","",IF(Config!$G$50&lt;&gt;"Não",SUMIFS(BD!$F$3:$F$5001,BD!$B$3:$B$5001,Q$96,BD!$A$3:$A$5001,"&gt;="&amp;$C$7,BD!$A$3:$A$5001,"&lt;="&amp;$D$7),"—"))</f>
        <v/>
      </c>
      <c r="R100" s="42" t="str">
        <f>IF(R$96="","",IF(Config!$G$51&lt;&gt;"Não",SUMIFS(BD!$F$3:$F$5001,BD!$B$3:$B$5001,R$96,BD!$A$3:$A$5001,"&gt;="&amp;$C$7,BD!$A$3:$A$5001,"&lt;="&amp;$D$7),"—"))</f>
        <v/>
      </c>
      <c r="S100" s="42" t="str">
        <f>IF(S$96="","",IF(Config!$G$52&lt;&gt;"Não",SUMIFS(BD!$F$3:$F$5001,BD!$B$3:$B$5001,S$96,BD!$A$3:$A$5001,"&gt;="&amp;$C$7,BD!$A$3:$A$5001,"&lt;="&amp;$D$7),"—"))</f>
        <v/>
      </c>
      <c r="T100" s="42" t="str">
        <f>IF(T$96="","",IF(Config!$G$53&lt;&gt;"Não",SUMIFS(BD!$F$3:$F$5001,BD!$B$3:$B$5001,T$96,BD!$A$3:$A$5001,"&gt;="&amp;$C$7,BD!$A$3:$A$5001,"&lt;="&amp;$D$7),"—"))</f>
        <v/>
      </c>
      <c r="U100" s="42" t="str">
        <f>IF(U$96="","",IF(Config!$G$54&lt;&gt;"Não",SUMIFS(BD!$F$3:$F$5001,BD!$B$3:$B$5001,U$96,BD!$A$3:$A$5001,"&gt;="&amp;$C$7,BD!$A$3:$A$5001,"&lt;="&amp;$D$7),"—"))</f>
        <v/>
      </c>
      <c r="V100" s="73">
        <f>SUM(B100:U100)</f>
        <v>0</v>
      </c>
    </row>
    <row r="101">
      <c r="A101" s="40" t="inlineStr">
        <is>
          <t xml:space="preserve">IN · Bags Recebidos</t>
        </is>
      </c>
      <c r="B101" s="42">
        <f>IF(B$96="","",IF(Config!$H$35&lt;&gt;"Não",SUMIFS(BD!$G$3:$G$5001,BD!$B$3:$B$5001,B$96,BD!$A$3:$A$5001,"&gt;="&amp;$C$7,BD!$A$3:$A$5001,"&lt;="&amp;$D$7),"—"))</f>
        <v>0</v>
      </c>
      <c r="C101" s="42" t="str">
        <f>IF(C$96="","",IF(Config!$H$36&lt;&gt;"Não",SUMIFS(BD!$G$3:$G$5001,BD!$B$3:$B$5001,C$96,BD!$A$3:$A$5001,"&gt;="&amp;$C$7,BD!$A$3:$A$5001,"&lt;="&amp;$D$7),"—"))</f>
        <v>—</v>
      </c>
      <c r="D101" s="42" t="str">
        <f>IF(D$96="","",IF(Config!$H$37&lt;&gt;"Não",SUMIFS(BD!$G$3:$G$5001,BD!$B$3:$B$5001,D$96,BD!$A$3:$A$5001,"&gt;="&amp;$C$7,BD!$A$3:$A$5001,"&lt;="&amp;$D$7),"—"))</f>
        <v>—</v>
      </c>
      <c r="E101" s="42" t="str">
        <f>IF(E$96="","",IF(Config!$H$38&lt;&gt;"Não",SUMIFS(BD!$G$3:$G$5001,BD!$B$3:$B$5001,E$96,BD!$A$3:$A$5001,"&gt;="&amp;$C$7,BD!$A$3:$A$5001,"&lt;="&amp;$D$7),"—"))</f>
        <v>—</v>
      </c>
      <c r="F101" s="42" t="str">
        <f>IF(F$96="","",IF(Config!$H$39&lt;&gt;"Não",SUMIFS(BD!$G$3:$G$5001,BD!$B$3:$B$5001,F$96,BD!$A$3:$A$5001,"&gt;="&amp;$C$7,BD!$A$3:$A$5001,"&lt;="&amp;$D$7),"—"))</f>
        <v>—</v>
      </c>
      <c r="G101" s="42" t="str">
        <f>IF(G$96="","",IF(Config!$H$40&lt;&gt;"Não",SUMIFS(BD!$G$3:$G$5001,BD!$B$3:$B$5001,G$96,BD!$A$3:$A$5001,"&gt;="&amp;$C$7,BD!$A$3:$A$5001,"&lt;="&amp;$D$7),"—"))</f>
        <v/>
      </c>
      <c r="H101" s="42" t="str">
        <f>IF(H$96="","",IF(Config!$H$41&lt;&gt;"Não",SUMIFS(BD!$G$3:$G$5001,BD!$B$3:$B$5001,H$96,BD!$A$3:$A$5001,"&gt;="&amp;$C$7,BD!$A$3:$A$5001,"&lt;="&amp;$D$7),"—"))</f>
        <v/>
      </c>
      <c r="I101" s="42" t="str">
        <f>IF(I$96="","",IF(Config!$H$42&lt;&gt;"Não",SUMIFS(BD!$G$3:$G$5001,BD!$B$3:$B$5001,I$96,BD!$A$3:$A$5001,"&gt;="&amp;$C$7,BD!$A$3:$A$5001,"&lt;="&amp;$D$7),"—"))</f>
        <v/>
      </c>
      <c r="J101" s="42" t="str">
        <f>IF(J$96="","",IF(Config!$H$43&lt;&gt;"Não",SUMIFS(BD!$G$3:$G$5001,BD!$B$3:$B$5001,J$96,BD!$A$3:$A$5001,"&gt;="&amp;$C$7,BD!$A$3:$A$5001,"&lt;="&amp;$D$7),"—"))</f>
        <v/>
      </c>
      <c r="K101" s="42" t="str">
        <f>IF(K$96="","",IF(Config!$H$44&lt;&gt;"Não",SUMIFS(BD!$G$3:$G$5001,BD!$B$3:$B$5001,K$96,BD!$A$3:$A$5001,"&gt;="&amp;$C$7,BD!$A$3:$A$5001,"&lt;="&amp;$D$7),"—"))</f>
        <v/>
      </c>
      <c r="L101" s="42" t="str">
        <f>IF(L$96="","",IF(Config!$H$45&lt;&gt;"Não",SUMIFS(BD!$G$3:$G$5001,BD!$B$3:$B$5001,L$96,BD!$A$3:$A$5001,"&gt;="&amp;$C$7,BD!$A$3:$A$5001,"&lt;="&amp;$D$7),"—"))</f>
        <v/>
      </c>
      <c r="M101" s="42" t="str">
        <f>IF(M$96="","",IF(Config!$H$46&lt;&gt;"Não",SUMIFS(BD!$G$3:$G$5001,BD!$B$3:$B$5001,M$96,BD!$A$3:$A$5001,"&gt;="&amp;$C$7,BD!$A$3:$A$5001,"&lt;="&amp;$D$7),"—"))</f>
        <v/>
      </c>
      <c r="N101" s="42" t="str">
        <f>IF(N$96="","",IF(Config!$H$47&lt;&gt;"Não",SUMIFS(BD!$G$3:$G$5001,BD!$B$3:$B$5001,N$96,BD!$A$3:$A$5001,"&gt;="&amp;$C$7,BD!$A$3:$A$5001,"&lt;="&amp;$D$7),"—"))</f>
        <v/>
      </c>
      <c r="O101" s="42" t="str">
        <f>IF(O$96="","",IF(Config!$H$48&lt;&gt;"Não",SUMIFS(BD!$G$3:$G$5001,BD!$B$3:$B$5001,O$96,BD!$A$3:$A$5001,"&gt;="&amp;$C$7,BD!$A$3:$A$5001,"&lt;="&amp;$D$7),"—"))</f>
        <v/>
      </c>
      <c r="P101" s="42" t="str">
        <f>IF(P$96="","",IF(Config!$H$49&lt;&gt;"Não",SUMIFS(BD!$G$3:$G$5001,BD!$B$3:$B$5001,P$96,BD!$A$3:$A$5001,"&gt;="&amp;$C$7,BD!$A$3:$A$5001,"&lt;="&amp;$D$7),"—"))</f>
        <v/>
      </c>
      <c r="Q101" s="42" t="str">
        <f>IF(Q$96="","",IF(Config!$H$50&lt;&gt;"Não",SUMIFS(BD!$G$3:$G$5001,BD!$B$3:$B$5001,Q$96,BD!$A$3:$A$5001,"&gt;="&amp;$C$7,BD!$A$3:$A$5001,"&lt;="&amp;$D$7),"—"))</f>
        <v/>
      </c>
      <c r="R101" s="42" t="str">
        <f>IF(R$96="","",IF(Config!$H$51&lt;&gt;"Não",SUMIFS(BD!$G$3:$G$5001,BD!$B$3:$B$5001,R$96,BD!$A$3:$A$5001,"&gt;="&amp;$C$7,BD!$A$3:$A$5001,"&lt;="&amp;$D$7),"—"))</f>
        <v/>
      </c>
      <c r="S101" s="42" t="str">
        <f>IF(S$96="","",IF(Config!$H$52&lt;&gt;"Não",SUMIFS(BD!$G$3:$G$5001,BD!$B$3:$B$5001,S$96,BD!$A$3:$A$5001,"&gt;="&amp;$C$7,BD!$A$3:$A$5001,"&lt;="&amp;$D$7),"—"))</f>
        <v/>
      </c>
      <c r="T101" s="42" t="str">
        <f>IF(T$96="","",IF(Config!$H$53&lt;&gt;"Não",SUMIFS(BD!$G$3:$G$5001,BD!$B$3:$B$5001,T$96,BD!$A$3:$A$5001,"&gt;="&amp;$C$7,BD!$A$3:$A$5001,"&lt;="&amp;$D$7),"—"))</f>
        <v/>
      </c>
      <c r="U101" s="42" t="str">
        <f>IF(U$96="","",IF(Config!$H$54&lt;&gt;"Não",SUMIFS(BD!$G$3:$G$5001,BD!$B$3:$B$5001,U$96,BD!$A$3:$A$5001,"&gt;="&amp;$C$7,BD!$A$3:$A$5001,"&lt;="&amp;$D$7),"—"))</f>
        <v/>
      </c>
      <c r="V101" s="73">
        <f>SUM(B101:U101)</f>
        <v>0</v>
      </c>
    </row>
    <row r="102">
      <c r="A102" s="40" t="inlineStr">
        <is>
          <t xml:space="preserve">OUT · Veículos Expedidos</t>
        </is>
      </c>
      <c r="B102" s="42">
        <f>IF(B$96="","",IF(Config!$I$35&lt;&gt;"Não",SUMIFS(BD!$H$3:$H$5001,BD!$B$3:$B$5001,B$96,BD!$A$3:$A$5001,"&gt;="&amp;$C$7,BD!$A$3:$A$5001,"&lt;="&amp;$D$7),"—"))</f>
        <v>0</v>
      </c>
      <c r="C102" s="42">
        <f>IF(C$96="","",IF(Config!$I$36&lt;&gt;"Não",SUMIFS(BD!$H$3:$H$5001,BD!$B$3:$B$5001,C$96,BD!$A$3:$A$5001,"&gt;="&amp;$C$7,BD!$A$3:$A$5001,"&lt;="&amp;$D$7),"—"))</f>
        <v>0</v>
      </c>
      <c r="D102" s="42">
        <f>IF(D$96="","",IF(Config!$I$37&lt;&gt;"Não",SUMIFS(BD!$H$3:$H$5001,BD!$B$3:$B$5001,D$96,BD!$A$3:$A$5001,"&gt;="&amp;$C$7,BD!$A$3:$A$5001,"&lt;="&amp;$D$7),"—"))</f>
        <v>0</v>
      </c>
      <c r="E102" s="42">
        <f>IF(E$96="","",IF(Config!$I$38&lt;&gt;"Não",SUMIFS(BD!$H$3:$H$5001,BD!$B$3:$B$5001,E$96,BD!$A$3:$A$5001,"&gt;="&amp;$C$7,BD!$A$3:$A$5001,"&lt;="&amp;$D$7),"—"))</f>
        <v>0</v>
      </c>
      <c r="F102" s="42">
        <f>IF(F$96="","",IF(Config!$I$39&lt;&gt;"Não",SUMIFS(BD!$H$3:$H$5001,BD!$B$3:$B$5001,F$96,BD!$A$3:$A$5001,"&gt;="&amp;$C$7,BD!$A$3:$A$5001,"&lt;="&amp;$D$7),"—"))</f>
        <v>0</v>
      </c>
      <c r="G102" s="42" t="str">
        <f>IF(G$96="","",IF(Config!$I$40&lt;&gt;"Não",SUMIFS(BD!$H$3:$H$5001,BD!$B$3:$B$5001,G$96,BD!$A$3:$A$5001,"&gt;="&amp;$C$7,BD!$A$3:$A$5001,"&lt;="&amp;$D$7),"—"))</f>
        <v/>
      </c>
      <c r="H102" s="42" t="str">
        <f>IF(H$96="","",IF(Config!$I$41&lt;&gt;"Não",SUMIFS(BD!$H$3:$H$5001,BD!$B$3:$B$5001,H$96,BD!$A$3:$A$5001,"&gt;="&amp;$C$7,BD!$A$3:$A$5001,"&lt;="&amp;$D$7),"—"))</f>
        <v/>
      </c>
      <c r="I102" s="42" t="str">
        <f>IF(I$96="","",IF(Config!$I$42&lt;&gt;"Não",SUMIFS(BD!$H$3:$H$5001,BD!$B$3:$B$5001,I$96,BD!$A$3:$A$5001,"&gt;="&amp;$C$7,BD!$A$3:$A$5001,"&lt;="&amp;$D$7),"—"))</f>
        <v/>
      </c>
      <c r="J102" s="42" t="str">
        <f>IF(J$96="","",IF(Config!$I$43&lt;&gt;"Não",SUMIFS(BD!$H$3:$H$5001,BD!$B$3:$B$5001,J$96,BD!$A$3:$A$5001,"&gt;="&amp;$C$7,BD!$A$3:$A$5001,"&lt;="&amp;$D$7),"—"))</f>
        <v/>
      </c>
      <c r="K102" s="42" t="str">
        <f>IF(K$96="","",IF(Config!$I$44&lt;&gt;"Não",SUMIFS(BD!$H$3:$H$5001,BD!$B$3:$B$5001,K$96,BD!$A$3:$A$5001,"&gt;="&amp;$C$7,BD!$A$3:$A$5001,"&lt;="&amp;$D$7),"—"))</f>
        <v/>
      </c>
      <c r="L102" s="42" t="str">
        <f>IF(L$96="","",IF(Config!$I$45&lt;&gt;"Não",SUMIFS(BD!$H$3:$H$5001,BD!$B$3:$B$5001,L$96,BD!$A$3:$A$5001,"&gt;="&amp;$C$7,BD!$A$3:$A$5001,"&lt;="&amp;$D$7),"—"))</f>
        <v/>
      </c>
      <c r="M102" s="42" t="str">
        <f>IF(M$96="","",IF(Config!$I$46&lt;&gt;"Não",SUMIFS(BD!$H$3:$H$5001,BD!$B$3:$B$5001,M$96,BD!$A$3:$A$5001,"&gt;="&amp;$C$7,BD!$A$3:$A$5001,"&lt;="&amp;$D$7),"—"))</f>
        <v/>
      </c>
      <c r="N102" s="42" t="str">
        <f>IF(N$96="","",IF(Config!$I$47&lt;&gt;"Não",SUMIFS(BD!$H$3:$H$5001,BD!$B$3:$B$5001,N$96,BD!$A$3:$A$5001,"&gt;="&amp;$C$7,BD!$A$3:$A$5001,"&lt;="&amp;$D$7),"—"))</f>
        <v/>
      </c>
      <c r="O102" s="42" t="str">
        <f>IF(O$96="","",IF(Config!$I$48&lt;&gt;"Não",SUMIFS(BD!$H$3:$H$5001,BD!$B$3:$B$5001,O$96,BD!$A$3:$A$5001,"&gt;="&amp;$C$7,BD!$A$3:$A$5001,"&lt;="&amp;$D$7),"—"))</f>
        <v/>
      </c>
      <c r="P102" s="42" t="str">
        <f>IF(P$96="","",IF(Config!$I$49&lt;&gt;"Não",SUMIFS(BD!$H$3:$H$5001,BD!$B$3:$B$5001,P$96,BD!$A$3:$A$5001,"&gt;="&amp;$C$7,BD!$A$3:$A$5001,"&lt;="&amp;$D$7),"—"))</f>
        <v/>
      </c>
      <c r="Q102" s="42" t="str">
        <f>IF(Q$96="","",IF(Config!$I$50&lt;&gt;"Não",SUMIFS(BD!$H$3:$H$5001,BD!$B$3:$B$5001,Q$96,BD!$A$3:$A$5001,"&gt;="&amp;$C$7,BD!$A$3:$A$5001,"&lt;="&amp;$D$7),"—"))</f>
        <v/>
      </c>
      <c r="R102" s="42" t="str">
        <f>IF(R$96="","",IF(Config!$I$51&lt;&gt;"Não",SUMIFS(BD!$H$3:$H$5001,BD!$B$3:$B$5001,R$96,BD!$A$3:$A$5001,"&gt;="&amp;$C$7,BD!$A$3:$A$5001,"&lt;="&amp;$D$7),"—"))</f>
        <v/>
      </c>
      <c r="S102" s="42" t="str">
        <f>IF(S$96="","",IF(Config!$I$52&lt;&gt;"Não",SUMIFS(BD!$H$3:$H$5001,BD!$B$3:$B$5001,S$96,BD!$A$3:$A$5001,"&gt;="&amp;$C$7,BD!$A$3:$A$5001,"&lt;="&amp;$D$7),"—"))</f>
        <v/>
      </c>
      <c r="T102" s="42" t="str">
        <f>IF(T$96="","",IF(Config!$I$53&lt;&gt;"Não",SUMIFS(BD!$H$3:$H$5001,BD!$B$3:$B$5001,T$96,BD!$A$3:$A$5001,"&gt;="&amp;$C$7,BD!$A$3:$A$5001,"&lt;="&amp;$D$7),"—"))</f>
        <v/>
      </c>
      <c r="U102" s="42" t="str">
        <f>IF(U$96="","",IF(Config!$I$54&lt;&gt;"Não",SUMIFS(BD!$H$3:$H$5001,BD!$B$3:$B$5001,U$96,BD!$A$3:$A$5001,"&gt;="&amp;$C$7,BD!$A$3:$A$5001,"&lt;="&amp;$D$7),"—"))</f>
        <v/>
      </c>
      <c r="V102" s="73">
        <f>SUM(B102:U102)</f>
        <v>0</v>
      </c>
    </row>
    <row r="103">
      <c r="A103" s="40" t="inlineStr">
        <is>
          <t xml:space="preserve">OUT · Pallets Movimentados</t>
        </is>
      </c>
      <c r="B103" s="42">
        <f>IF(B$96="","",IF(Config!$J$35&lt;&gt;"Não",SUMIFS(BD!$I$3:$I$5001,BD!$B$3:$B$5001,B$96,BD!$A$3:$A$5001,"&gt;="&amp;$C$7,BD!$A$3:$A$5001,"&lt;="&amp;$D$7),"—"))</f>
        <v>0</v>
      </c>
      <c r="C103" s="42">
        <f>IF(C$96="","",IF(Config!$J$36&lt;&gt;"Não",SUMIFS(BD!$I$3:$I$5001,BD!$B$3:$B$5001,C$96,BD!$A$3:$A$5001,"&gt;="&amp;$C$7,BD!$A$3:$A$5001,"&lt;="&amp;$D$7),"—"))</f>
        <v>0</v>
      </c>
      <c r="D103" s="42">
        <f>IF(D$96="","",IF(Config!$J$37&lt;&gt;"Não",SUMIFS(BD!$I$3:$I$5001,BD!$B$3:$B$5001,D$96,BD!$A$3:$A$5001,"&gt;="&amp;$C$7,BD!$A$3:$A$5001,"&lt;="&amp;$D$7),"—"))</f>
        <v>0</v>
      </c>
      <c r="E103" s="42">
        <f>IF(E$96="","",IF(Config!$J$38&lt;&gt;"Não",SUMIFS(BD!$I$3:$I$5001,BD!$B$3:$B$5001,E$96,BD!$A$3:$A$5001,"&gt;="&amp;$C$7,BD!$A$3:$A$5001,"&lt;="&amp;$D$7),"—"))</f>
        <v>0</v>
      </c>
      <c r="F103" s="42">
        <f>IF(F$96="","",IF(Config!$J$39&lt;&gt;"Não",SUMIFS(BD!$I$3:$I$5001,BD!$B$3:$B$5001,F$96,BD!$A$3:$A$5001,"&gt;="&amp;$C$7,BD!$A$3:$A$5001,"&lt;="&amp;$D$7),"—"))</f>
        <v>0</v>
      </c>
      <c r="G103" s="42" t="str">
        <f>IF(G$96="","",IF(Config!$J$40&lt;&gt;"Não",SUMIFS(BD!$I$3:$I$5001,BD!$B$3:$B$5001,G$96,BD!$A$3:$A$5001,"&gt;="&amp;$C$7,BD!$A$3:$A$5001,"&lt;="&amp;$D$7),"—"))</f>
        <v/>
      </c>
      <c r="H103" s="42" t="str">
        <f>IF(H$96="","",IF(Config!$J$41&lt;&gt;"Não",SUMIFS(BD!$I$3:$I$5001,BD!$B$3:$B$5001,H$96,BD!$A$3:$A$5001,"&gt;="&amp;$C$7,BD!$A$3:$A$5001,"&lt;="&amp;$D$7),"—"))</f>
        <v/>
      </c>
      <c r="I103" s="42" t="str">
        <f>IF(I$96="","",IF(Config!$J$42&lt;&gt;"Não",SUMIFS(BD!$I$3:$I$5001,BD!$B$3:$B$5001,I$96,BD!$A$3:$A$5001,"&gt;="&amp;$C$7,BD!$A$3:$A$5001,"&lt;="&amp;$D$7),"—"))</f>
        <v/>
      </c>
      <c r="J103" s="42" t="str">
        <f>IF(J$96="","",IF(Config!$J$43&lt;&gt;"Não",SUMIFS(BD!$I$3:$I$5001,BD!$B$3:$B$5001,J$96,BD!$A$3:$A$5001,"&gt;="&amp;$C$7,BD!$A$3:$A$5001,"&lt;="&amp;$D$7),"—"))</f>
        <v/>
      </c>
      <c r="K103" s="42" t="str">
        <f>IF(K$96="","",IF(Config!$J$44&lt;&gt;"Não",SUMIFS(BD!$I$3:$I$5001,BD!$B$3:$B$5001,K$96,BD!$A$3:$A$5001,"&gt;="&amp;$C$7,BD!$A$3:$A$5001,"&lt;="&amp;$D$7),"—"))</f>
        <v/>
      </c>
      <c r="L103" s="42" t="str">
        <f>IF(L$96="","",IF(Config!$J$45&lt;&gt;"Não",SUMIFS(BD!$I$3:$I$5001,BD!$B$3:$B$5001,L$96,BD!$A$3:$A$5001,"&gt;="&amp;$C$7,BD!$A$3:$A$5001,"&lt;="&amp;$D$7),"—"))</f>
        <v/>
      </c>
      <c r="M103" s="42" t="str">
        <f>IF(M$96="","",IF(Config!$J$46&lt;&gt;"Não",SUMIFS(BD!$I$3:$I$5001,BD!$B$3:$B$5001,M$96,BD!$A$3:$A$5001,"&gt;="&amp;$C$7,BD!$A$3:$A$5001,"&lt;="&amp;$D$7),"—"))</f>
        <v/>
      </c>
      <c r="N103" s="42" t="str">
        <f>IF(N$96="","",IF(Config!$J$47&lt;&gt;"Não",SUMIFS(BD!$I$3:$I$5001,BD!$B$3:$B$5001,N$96,BD!$A$3:$A$5001,"&gt;="&amp;$C$7,BD!$A$3:$A$5001,"&lt;="&amp;$D$7),"—"))</f>
        <v/>
      </c>
      <c r="O103" s="42" t="str">
        <f>IF(O$96="","",IF(Config!$J$48&lt;&gt;"Não",SUMIFS(BD!$I$3:$I$5001,BD!$B$3:$B$5001,O$96,BD!$A$3:$A$5001,"&gt;="&amp;$C$7,BD!$A$3:$A$5001,"&lt;="&amp;$D$7),"—"))</f>
        <v/>
      </c>
      <c r="P103" s="42" t="str">
        <f>IF(P$96="","",IF(Config!$J$49&lt;&gt;"Não",SUMIFS(BD!$I$3:$I$5001,BD!$B$3:$B$5001,P$96,BD!$A$3:$A$5001,"&gt;="&amp;$C$7,BD!$A$3:$A$5001,"&lt;="&amp;$D$7),"—"))</f>
        <v/>
      </c>
      <c r="Q103" s="42" t="str">
        <f>IF(Q$96="","",IF(Config!$J$50&lt;&gt;"Não",SUMIFS(BD!$I$3:$I$5001,BD!$B$3:$B$5001,Q$96,BD!$A$3:$A$5001,"&gt;="&amp;$C$7,BD!$A$3:$A$5001,"&lt;="&amp;$D$7),"—"))</f>
        <v/>
      </c>
      <c r="R103" s="42" t="str">
        <f>IF(R$96="","",IF(Config!$J$51&lt;&gt;"Não",SUMIFS(BD!$I$3:$I$5001,BD!$B$3:$B$5001,R$96,BD!$A$3:$A$5001,"&gt;="&amp;$C$7,BD!$A$3:$A$5001,"&lt;="&amp;$D$7),"—"))</f>
        <v/>
      </c>
      <c r="S103" s="42" t="str">
        <f>IF(S$96="","",IF(Config!$J$52&lt;&gt;"Não",SUMIFS(BD!$I$3:$I$5001,BD!$B$3:$B$5001,S$96,BD!$A$3:$A$5001,"&gt;="&amp;$C$7,BD!$A$3:$A$5001,"&lt;="&amp;$D$7),"—"))</f>
        <v/>
      </c>
      <c r="T103" s="42" t="str">
        <f>IF(T$96="","",IF(Config!$J$53&lt;&gt;"Não",SUMIFS(BD!$I$3:$I$5001,BD!$B$3:$B$5001,T$96,BD!$A$3:$A$5001,"&gt;="&amp;$C$7,BD!$A$3:$A$5001,"&lt;="&amp;$D$7),"—"))</f>
        <v/>
      </c>
      <c r="U103" s="42" t="str">
        <f>IF(U$96="","",IF(Config!$J$54&lt;&gt;"Não",SUMIFS(BD!$I$3:$I$5001,BD!$B$3:$B$5001,U$96,BD!$A$3:$A$5001,"&gt;="&amp;$C$7,BD!$A$3:$A$5001,"&lt;="&amp;$D$7),"—"))</f>
        <v/>
      </c>
      <c r="V103" s="73">
        <f>SUM(B103:U103)</f>
        <v>0</v>
      </c>
    </row>
    <row r="104">
      <c r="A104" s="40" t="inlineStr">
        <is>
          <t xml:space="preserve">OUT · Toneladas Movimentadas</t>
        </is>
      </c>
      <c r="B104" s="72">
        <f>IF(B$96="","",IF(Config!$K$35&lt;&gt;"Não",SUMIFS(BD!$J$3:$J$5001,BD!$B$3:$B$5001,B$96,BD!$A$3:$A$5001,"&gt;="&amp;$C$7,BD!$A$3:$A$5001,"&lt;="&amp;$D$7),"—"))</f>
        <v>0</v>
      </c>
      <c r="C104" s="72">
        <f>IF(C$96="","",IF(Config!$K$36&lt;&gt;"Não",SUMIFS(BD!$J$3:$J$5001,BD!$B$3:$B$5001,C$96,BD!$A$3:$A$5001,"&gt;="&amp;$C$7,BD!$A$3:$A$5001,"&lt;="&amp;$D$7),"—"))</f>
        <v>0</v>
      </c>
      <c r="D104" s="72">
        <f>IF(D$96="","",IF(Config!$K$37&lt;&gt;"Não",SUMIFS(BD!$J$3:$J$5001,BD!$B$3:$B$5001,D$96,BD!$A$3:$A$5001,"&gt;="&amp;$C$7,BD!$A$3:$A$5001,"&lt;="&amp;$D$7),"—"))</f>
        <v>0</v>
      </c>
      <c r="E104" s="72">
        <f>IF(E$96="","",IF(Config!$K$38&lt;&gt;"Não",SUMIFS(BD!$J$3:$J$5001,BD!$B$3:$B$5001,E$96,BD!$A$3:$A$5001,"&gt;="&amp;$C$7,BD!$A$3:$A$5001,"&lt;="&amp;$D$7),"—"))</f>
        <v>0</v>
      </c>
      <c r="F104" s="72">
        <f>IF(F$96="","",IF(Config!$K$39&lt;&gt;"Não",SUMIFS(BD!$J$3:$J$5001,BD!$B$3:$B$5001,F$96,BD!$A$3:$A$5001,"&gt;="&amp;$C$7,BD!$A$3:$A$5001,"&lt;="&amp;$D$7),"—"))</f>
        <v>0</v>
      </c>
      <c r="G104" s="72" t="str">
        <f>IF(G$96="","",IF(Config!$K$40&lt;&gt;"Não",SUMIFS(BD!$J$3:$J$5001,BD!$B$3:$B$5001,G$96,BD!$A$3:$A$5001,"&gt;="&amp;$C$7,BD!$A$3:$A$5001,"&lt;="&amp;$D$7),"—"))</f>
        <v/>
      </c>
      <c r="H104" s="72" t="str">
        <f>IF(H$96="","",IF(Config!$K$41&lt;&gt;"Não",SUMIFS(BD!$J$3:$J$5001,BD!$B$3:$B$5001,H$96,BD!$A$3:$A$5001,"&gt;="&amp;$C$7,BD!$A$3:$A$5001,"&lt;="&amp;$D$7),"—"))</f>
        <v/>
      </c>
      <c r="I104" s="72" t="str">
        <f>IF(I$96="","",IF(Config!$K$42&lt;&gt;"Não",SUMIFS(BD!$J$3:$J$5001,BD!$B$3:$B$5001,I$96,BD!$A$3:$A$5001,"&gt;="&amp;$C$7,BD!$A$3:$A$5001,"&lt;="&amp;$D$7),"—"))</f>
        <v/>
      </c>
      <c r="J104" s="72" t="str">
        <f>IF(J$96="","",IF(Config!$K$43&lt;&gt;"Não",SUMIFS(BD!$J$3:$J$5001,BD!$B$3:$B$5001,J$96,BD!$A$3:$A$5001,"&gt;="&amp;$C$7,BD!$A$3:$A$5001,"&lt;="&amp;$D$7),"—"))</f>
        <v/>
      </c>
      <c r="K104" s="72" t="str">
        <f>IF(K$96="","",IF(Config!$K$44&lt;&gt;"Não",SUMIFS(BD!$J$3:$J$5001,BD!$B$3:$B$5001,K$96,BD!$A$3:$A$5001,"&gt;="&amp;$C$7,BD!$A$3:$A$5001,"&lt;="&amp;$D$7),"—"))</f>
        <v/>
      </c>
      <c r="L104" s="72" t="str">
        <f>IF(L$96="","",IF(Config!$K$45&lt;&gt;"Não",SUMIFS(BD!$J$3:$J$5001,BD!$B$3:$B$5001,L$96,BD!$A$3:$A$5001,"&gt;="&amp;$C$7,BD!$A$3:$A$5001,"&lt;="&amp;$D$7),"—"))</f>
        <v/>
      </c>
      <c r="M104" s="72" t="str">
        <f>IF(M$96="","",IF(Config!$K$46&lt;&gt;"Não",SUMIFS(BD!$J$3:$J$5001,BD!$B$3:$B$5001,M$96,BD!$A$3:$A$5001,"&gt;="&amp;$C$7,BD!$A$3:$A$5001,"&lt;="&amp;$D$7),"—"))</f>
        <v/>
      </c>
      <c r="N104" s="72" t="str">
        <f>IF(N$96="","",IF(Config!$K$47&lt;&gt;"Não",SUMIFS(BD!$J$3:$J$5001,BD!$B$3:$B$5001,N$96,BD!$A$3:$A$5001,"&gt;="&amp;$C$7,BD!$A$3:$A$5001,"&lt;="&amp;$D$7),"—"))</f>
        <v/>
      </c>
      <c r="O104" s="72" t="str">
        <f>IF(O$96="","",IF(Config!$K$48&lt;&gt;"Não",SUMIFS(BD!$J$3:$J$5001,BD!$B$3:$B$5001,O$96,BD!$A$3:$A$5001,"&gt;="&amp;$C$7,BD!$A$3:$A$5001,"&lt;="&amp;$D$7),"—"))</f>
        <v/>
      </c>
      <c r="P104" s="72" t="str">
        <f>IF(P$96="","",IF(Config!$K$49&lt;&gt;"Não",SUMIFS(BD!$J$3:$J$5001,BD!$B$3:$B$5001,P$96,BD!$A$3:$A$5001,"&gt;="&amp;$C$7,BD!$A$3:$A$5001,"&lt;="&amp;$D$7),"—"))</f>
        <v/>
      </c>
      <c r="Q104" s="72" t="str">
        <f>IF(Q$96="","",IF(Config!$K$50&lt;&gt;"Não",SUMIFS(BD!$J$3:$J$5001,BD!$B$3:$B$5001,Q$96,BD!$A$3:$A$5001,"&gt;="&amp;$C$7,BD!$A$3:$A$5001,"&lt;="&amp;$D$7),"—"))</f>
        <v/>
      </c>
      <c r="R104" s="72" t="str">
        <f>IF(R$96="","",IF(Config!$K$51&lt;&gt;"Não",SUMIFS(BD!$J$3:$J$5001,BD!$B$3:$B$5001,R$96,BD!$A$3:$A$5001,"&gt;="&amp;$C$7,BD!$A$3:$A$5001,"&lt;="&amp;$D$7),"—"))</f>
        <v/>
      </c>
      <c r="S104" s="72" t="str">
        <f>IF(S$96="","",IF(Config!$K$52&lt;&gt;"Não",SUMIFS(BD!$J$3:$J$5001,BD!$B$3:$B$5001,S$96,BD!$A$3:$A$5001,"&gt;="&amp;$C$7,BD!$A$3:$A$5001,"&lt;="&amp;$D$7),"—"))</f>
        <v/>
      </c>
      <c r="T104" s="72" t="str">
        <f>IF(T$96="","",IF(Config!$K$53&lt;&gt;"Não",SUMIFS(BD!$J$3:$J$5001,BD!$B$3:$B$5001,T$96,BD!$A$3:$A$5001,"&gt;="&amp;$C$7,BD!$A$3:$A$5001,"&lt;="&amp;$D$7),"—"))</f>
        <v/>
      </c>
      <c r="U104" s="72" t="str">
        <f>IF(U$96="","",IF(Config!$K$54&lt;&gt;"Não",SUMIFS(BD!$J$3:$J$5001,BD!$B$3:$B$5001,U$96,BD!$A$3:$A$5001,"&gt;="&amp;$C$7,BD!$A$3:$A$5001,"&lt;="&amp;$D$7),"—"))</f>
        <v/>
      </c>
      <c r="V104" s="74">
        <f>SUM(B104:U104)</f>
        <v>0</v>
      </c>
    </row>
    <row r="105">
      <c r="A105" s="40" t="inlineStr">
        <is>
          <t xml:space="preserve">OUT · Caixas Expedidas</t>
        </is>
      </c>
      <c r="B105" s="42">
        <f>IF(B$96="","",IF(Config!$L$35&lt;&gt;"Não",SUMIFS(BD!$K$3:$K$5001,BD!$B$3:$B$5001,B$96,BD!$A$3:$A$5001,"&gt;="&amp;$C$7,BD!$A$3:$A$5001,"&lt;="&amp;$D$7),"—"))</f>
        <v>0</v>
      </c>
      <c r="C105" s="42">
        <f>IF(C$96="","",IF(Config!$L$36&lt;&gt;"Não",SUMIFS(BD!$K$3:$K$5001,BD!$B$3:$B$5001,C$96,BD!$A$3:$A$5001,"&gt;="&amp;$C$7,BD!$A$3:$A$5001,"&lt;="&amp;$D$7),"—"))</f>
        <v>0</v>
      </c>
      <c r="D105" s="42">
        <f>IF(D$96="","",IF(Config!$L$37&lt;&gt;"Não",SUMIFS(BD!$K$3:$K$5001,BD!$B$3:$B$5001,D$96,BD!$A$3:$A$5001,"&gt;="&amp;$C$7,BD!$A$3:$A$5001,"&lt;="&amp;$D$7),"—"))</f>
        <v>0</v>
      </c>
      <c r="E105" s="42">
        <f>IF(E$96="","",IF(Config!$L$38&lt;&gt;"Não",SUMIFS(BD!$K$3:$K$5001,BD!$B$3:$B$5001,E$96,BD!$A$3:$A$5001,"&gt;="&amp;$C$7,BD!$A$3:$A$5001,"&lt;="&amp;$D$7),"—"))</f>
        <v>0</v>
      </c>
      <c r="F105" s="42">
        <f>IF(F$96="","",IF(Config!$L$39&lt;&gt;"Não",SUMIFS(BD!$K$3:$K$5001,BD!$B$3:$B$5001,F$96,BD!$A$3:$A$5001,"&gt;="&amp;$C$7,BD!$A$3:$A$5001,"&lt;="&amp;$D$7),"—"))</f>
        <v>0</v>
      </c>
      <c r="G105" s="42" t="str">
        <f>IF(G$96="","",IF(Config!$L$40&lt;&gt;"Não",SUMIFS(BD!$K$3:$K$5001,BD!$B$3:$B$5001,G$96,BD!$A$3:$A$5001,"&gt;="&amp;$C$7,BD!$A$3:$A$5001,"&lt;="&amp;$D$7),"—"))</f>
        <v/>
      </c>
      <c r="H105" s="42" t="str">
        <f>IF(H$96="","",IF(Config!$L$41&lt;&gt;"Não",SUMIFS(BD!$K$3:$K$5001,BD!$B$3:$B$5001,H$96,BD!$A$3:$A$5001,"&gt;="&amp;$C$7,BD!$A$3:$A$5001,"&lt;="&amp;$D$7),"—"))</f>
        <v/>
      </c>
      <c r="I105" s="42" t="str">
        <f>IF(I$96="","",IF(Config!$L$42&lt;&gt;"Não",SUMIFS(BD!$K$3:$K$5001,BD!$B$3:$B$5001,I$96,BD!$A$3:$A$5001,"&gt;="&amp;$C$7,BD!$A$3:$A$5001,"&lt;="&amp;$D$7),"—"))</f>
        <v/>
      </c>
      <c r="J105" s="42" t="str">
        <f>IF(J$96="","",IF(Config!$L$43&lt;&gt;"Não",SUMIFS(BD!$K$3:$K$5001,BD!$B$3:$B$5001,J$96,BD!$A$3:$A$5001,"&gt;="&amp;$C$7,BD!$A$3:$A$5001,"&lt;="&amp;$D$7),"—"))</f>
        <v/>
      </c>
      <c r="K105" s="42" t="str">
        <f>IF(K$96="","",IF(Config!$L$44&lt;&gt;"Não",SUMIFS(BD!$K$3:$K$5001,BD!$B$3:$B$5001,K$96,BD!$A$3:$A$5001,"&gt;="&amp;$C$7,BD!$A$3:$A$5001,"&lt;="&amp;$D$7),"—"))</f>
        <v/>
      </c>
      <c r="L105" s="42" t="str">
        <f>IF(L$96="","",IF(Config!$L$45&lt;&gt;"Não",SUMIFS(BD!$K$3:$K$5001,BD!$B$3:$B$5001,L$96,BD!$A$3:$A$5001,"&gt;="&amp;$C$7,BD!$A$3:$A$5001,"&lt;="&amp;$D$7),"—"))</f>
        <v/>
      </c>
      <c r="M105" s="42" t="str">
        <f>IF(M$96="","",IF(Config!$L$46&lt;&gt;"Não",SUMIFS(BD!$K$3:$K$5001,BD!$B$3:$B$5001,M$96,BD!$A$3:$A$5001,"&gt;="&amp;$C$7,BD!$A$3:$A$5001,"&lt;="&amp;$D$7),"—"))</f>
        <v/>
      </c>
      <c r="N105" s="42" t="str">
        <f>IF(N$96="","",IF(Config!$L$47&lt;&gt;"Não",SUMIFS(BD!$K$3:$K$5001,BD!$B$3:$B$5001,N$96,BD!$A$3:$A$5001,"&gt;="&amp;$C$7,BD!$A$3:$A$5001,"&lt;="&amp;$D$7),"—"))</f>
        <v/>
      </c>
      <c r="O105" s="42" t="str">
        <f>IF(O$96="","",IF(Config!$L$48&lt;&gt;"Não",SUMIFS(BD!$K$3:$K$5001,BD!$B$3:$B$5001,O$96,BD!$A$3:$A$5001,"&gt;="&amp;$C$7,BD!$A$3:$A$5001,"&lt;="&amp;$D$7),"—"))</f>
        <v/>
      </c>
      <c r="P105" s="42" t="str">
        <f>IF(P$96="","",IF(Config!$L$49&lt;&gt;"Não",SUMIFS(BD!$K$3:$K$5001,BD!$B$3:$B$5001,P$96,BD!$A$3:$A$5001,"&gt;="&amp;$C$7,BD!$A$3:$A$5001,"&lt;="&amp;$D$7),"—"))</f>
        <v/>
      </c>
      <c r="Q105" s="42" t="str">
        <f>IF(Q$96="","",IF(Config!$L$50&lt;&gt;"Não",SUMIFS(BD!$K$3:$K$5001,BD!$B$3:$B$5001,Q$96,BD!$A$3:$A$5001,"&gt;="&amp;$C$7,BD!$A$3:$A$5001,"&lt;="&amp;$D$7),"—"))</f>
        <v/>
      </c>
      <c r="R105" s="42" t="str">
        <f>IF(R$96="","",IF(Config!$L$51&lt;&gt;"Não",SUMIFS(BD!$K$3:$K$5001,BD!$B$3:$B$5001,R$96,BD!$A$3:$A$5001,"&gt;="&amp;$C$7,BD!$A$3:$A$5001,"&lt;="&amp;$D$7),"—"))</f>
        <v/>
      </c>
      <c r="S105" s="42" t="str">
        <f>IF(S$96="","",IF(Config!$L$52&lt;&gt;"Não",SUMIFS(BD!$K$3:$K$5001,BD!$B$3:$B$5001,S$96,BD!$A$3:$A$5001,"&gt;="&amp;$C$7,BD!$A$3:$A$5001,"&lt;="&amp;$D$7),"—"))</f>
        <v/>
      </c>
      <c r="T105" s="42" t="str">
        <f>IF(T$96="","",IF(Config!$L$53&lt;&gt;"Não",SUMIFS(BD!$K$3:$K$5001,BD!$B$3:$B$5001,T$96,BD!$A$3:$A$5001,"&gt;="&amp;$C$7,BD!$A$3:$A$5001,"&lt;="&amp;$D$7),"—"))</f>
        <v/>
      </c>
      <c r="U105" s="42" t="str">
        <f>IF(U$96="","",IF(Config!$L$54&lt;&gt;"Não",SUMIFS(BD!$K$3:$K$5001,BD!$B$3:$B$5001,U$96,BD!$A$3:$A$5001,"&gt;="&amp;$C$7,BD!$A$3:$A$5001,"&lt;="&amp;$D$7),"—"))</f>
        <v/>
      </c>
      <c r="V105" s="73">
        <f>SUM(B105:U105)</f>
        <v>0</v>
      </c>
    </row>
    <row r="106">
      <c r="A106" s="40" t="inlineStr">
        <is>
          <t xml:space="preserve">OUT · Pedidos Faturados</t>
        </is>
      </c>
      <c r="B106" s="42">
        <f>IF(B$96="","",IF(Config!$M$35&lt;&gt;"Não",SUMIFS(BD!$L$3:$L$5001,BD!$B$3:$B$5001,B$96,BD!$A$3:$A$5001,"&gt;="&amp;$C$7,BD!$A$3:$A$5001,"&lt;="&amp;$D$7),"—"))</f>
        <v>0</v>
      </c>
      <c r="C106" s="42">
        <f>IF(C$96="","",IF(Config!$M$36&lt;&gt;"Não",SUMIFS(BD!$L$3:$L$5001,BD!$B$3:$B$5001,C$96,BD!$A$3:$A$5001,"&gt;="&amp;$C$7,BD!$A$3:$A$5001,"&lt;="&amp;$D$7),"—"))</f>
        <v>0</v>
      </c>
      <c r="D106" s="42">
        <f>IF(D$96="","",IF(Config!$M$37&lt;&gt;"Não",SUMIFS(BD!$L$3:$L$5001,BD!$B$3:$B$5001,D$96,BD!$A$3:$A$5001,"&gt;="&amp;$C$7,BD!$A$3:$A$5001,"&lt;="&amp;$D$7),"—"))</f>
        <v>0</v>
      </c>
      <c r="E106" s="42">
        <f>IF(E$96="","",IF(Config!$M$38&lt;&gt;"Não",SUMIFS(BD!$L$3:$L$5001,BD!$B$3:$B$5001,E$96,BD!$A$3:$A$5001,"&gt;="&amp;$C$7,BD!$A$3:$A$5001,"&lt;="&amp;$D$7),"—"))</f>
        <v>0</v>
      </c>
      <c r="F106" s="42">
        <f>IF(F$96="","",IF(Config!$M$39&lt;&gt;"Não",SUMIFS(BD!$L$3:$L$5001,BD!$B$3:$B$5001,F$96,BD!$A$3:$A$5001,"&gt;="&amp;$C$7,BD!$A$3:$A$5001,"&lt;="&amp;$D$7),"—"))</f>
        <v>0</v>
      </c>
      <c r="G106" s="42" t="str">
        <f>IF(G$96="","",IF(Config!$M$40&lt;&gt;"Não",SUMIFS(BD!$L$3:$L$5001,BD!$B$3:$B$5001,G$96,BD!$A$3:$A$5001,"&gt;="&amp;$C$7,BD!$A$3:$A$5001,"&lt;="&amp;$D$7),"—"))</f>
        <v/>
      </c>
      <c r="H106" s="42" t="str">
        <f>IF(H$96="","",IF(Config!$M$41&lt;&gt;"Não",SUMIFS(BD!$L$3:$L$5001,BD!$B$3:$B$5001,H$96,BD!$A$3:$A$5001,"&gt;="&amp;$C$7,BD!$A$3:$A$5001,"&lt;="&amp;$D$7),"—"))</f>
        <v/>
      </c>
      <c r="I106" s="42" t="str">
        <f>IF(I$96="","",IF(Config!$M$42&lt;&gt;"Não",SUMIFS(BD!$L$3:$L$5001,BD!$B$3:$B$5001,I$96,BD!$A$3:$A$5001,"&gt;="&amp;$C$7,BD!$A$3:$A$5001,"&lt;="&amp;$D$7),"—"))</f>
        <v/>
      </c>
      <c r="J106" s="42" t="str">
        <f>IF(J$96="","",IF(Config!$M$43&lt;&gt;"Não",SUMIFS(BD!$L$3:$L$5001,BD!$B$3:$B$5001,J$96,BD!$A$3:$A$5001,"&gt;="&amp;$C$7,BD!$A$3:$A$5001,"&lt;="&amp;$D$7),"—"))</f>
        <v/>
      </c>
      <c r="K106" s="42" t="str">
        <f>IF(K$96="","",IF(Config!$M$44&lt;&gt;"Não",SUMIFS(BD!$L$3:$L$5001,BD!$B$3:$B$5001,K$96,BD!$A$3:$A$5001,"&gt;="&amp;$C$7,BD!$A$3:$A$5001,"&lt;="&amp;$D$7),"—"))</f>
        <v/>
      </c>
      <c r="L106" s="42" t="str">
        <f>IF(L$96="","",IF(Config!$M$45&lt;&gt;"Não",SUMIFS(BD!$L$3:$L$5001,BD!$B$3:$B$5001,L$96,BD!$A$3:$A$5001,"&gt;="&amp;$C$7,BD!$A$3:$A$5001,"&lt;="&amp;$D$7),"—"))</f>
        <v/>
      </c>
      <c r="M106" s="42" t="str">
        <f>IF(M$96="","",IF(Config!$M$46&lt;&gt;"Não",SUMIFS(BD!$L$3:$L$5001,BD!$B$3:$B$5001,M$96,BD!$A$3:$A$5001,"&gt;="&amp;$C$7,BD!$A$3:$A$5001,"&lt;="&amp;$D$7),"—"))</f>
        <v/>
      </c>
      <c r="N106" s="42" t="str">
        <f>IF(N$96="","",IF(Config!$M$47&lt;&gt;"Não",SUMIFS(BD!$L$3:$L$5001,BD!$B$3:$B$5001,N$96,BD!$A$3:$A$5001,"&gt;="&amp;$C$7,BD!$A$3:$A$5001,"&lt;="&amp;$D$7),"—"))</f>
        <v/>
      </c>
      <c r="O106" s="42" t="str">
        <f>IF(O$96="","",IF(Config!$M$48&lt;&gt;"Não",SUMIFS(BD!$L$3:$L$5001,BD!$B$3:$B$5001,O$96,BD!$A$3:$A$5001,"&gt;="&amp;$C$7,BD!$A$3:$A$5001,"&lt;="&amp;$D$7),"—"))</f>
        <v/>
      </c>
      <c r="P106" s="42" t="str">
        <f>IF(P$96="","",IF(Config!$M$49&lt;&gt;"Não",SUMIFS(BD!$L$3:$L$5001,BD!$B$3:$B$5001,P$96,BD!$A$3:$A$5001,"&gt;="&amp;$C$7,BD!$A$3:$A$5001,"&lt;="&amp;$D$7),"—"))</f>
        <v/>
      </c>
      <c r="Q106" s="42" t="str">
        <f>IF(Q$96="","",IF(Config!$M$50&lt;&gt;"Não",SUMIFS(BD!$L$3:$L$5001,BD!$B$3:$B$5001,Q$96,BD!$A$3:$A$5001,"&gt;="&amp;$C$7,BD!$A$3:$A$5001,"&lt;="&amp;$D$7),"—"))</f>
        <v/>
      </c>
      <c r="R106" s="42" t="str">
        <f>IF(R$96="","",IF(Config!$M$51&lt;&gt;"Não",SUMIFS(BD!$L$3:$L$5001,BD!$B$3:$B$5001,R$96,BD!$A$3:$A$5001,"&gt;="&amp;$C$7,BD!$A$3:$A$5001,"&lt;="&amp;$D$7),"—"))</f>
        <v/>
      </c>
      <c r="S106" s="42" t="str">
        <f>IF(S$96="","",IF(Config!$M$52&lt;&gt;"Não",SUMIFS(BD!$L$3:$L$5001,BD!$B$3:$B$5001,S$96,BD!$A$3:$A$5001,"&gt;="&amp;$C$7,BD!$A$3:$A$5001,"&lt;="&amp;$D$7),"—"))</f>
        <v/>
      </c>
      <c r="T106" s="42" t="str">
        <f>IF(T$96="","",IF(Config!$M$53&lt;&gt;"Não",SUMIFS(BD!$L$3:$L$5001,BD!$B$3:$B$5001,T$96,BD!$A$3:$A$5001,"&gt;="&amp;$C$7,BD!$A$3:$A$5001,"&lt;="&amp;$D$7),"—"))</f>
        <v/>
      </c>
      <c r="U106" s="42" t="str">
        <f>IF(U$96="","",IF(Config!$M$54&lt;&gt;"Não",SUMIFS(BD!$L$3:$L$5001,BD!$B$3:$B$5001,U$96,BD!$A$3:$A$5001,"&gt;="&amp;$C$7,BD!$A$3:$A$5001,"&lt;="&amp;$D$7),"—"))</f>
        <v/>
      </c>
      <c r="V106" s="73">
        <f>SUM(B106:U106)</f>
        <v>0</v>
      </c>
    </row>
    <row r="107">
      <c r="A107" s="40" t="inlineStr">
        <is>
          <t xml:space="preserve">OUT · Bags Expedidos</t>
        </is>
      </c>
      <c r="B107" s="42">
        <f>IF(B$96="","",IF(Config!$N$35&lt;&gt;"Não",SUMIFS(BD!$M$3:$M$5001,BD!$B$3:$B$5001,B$96,BD!$A$3:$A$5001,"&gt;="&amp;$C$7,BD!$A$3:$A$5001,"&lt;="&amp;$D$7),"—"))</f>
        <v>0</v>
      </c>
      <c r="C107" s="42" t="str">
        <f>IF(C$96="","",IF(Config!$N$36&lt;&gt;"Não",SUMIFS(BD!$M$3:$M$5001,BD!$B$3:$B$5001,C$96,BD!$A$3:$A$5001,"&gt;="&amp;$C$7,BD!$A$3:$A$5001,"&lt;="&amp;$D$7),"—"))</f>
        <v>—</v>
      </c>
      <c r="D107" s="42" t="str">
        <f>IF(D$96="","",IF(Config!$N$37&lt;&gt;"Não",SUMIFS(BD!$M$3:$M$5001,BD!$B$3:$B$5001,D$96,BD!$A$3:$A$5001,"&gt;="&amp;$C$7,BD!$A$3:$A$5001,"&lt;="&amp;$D$7),"—"))</f>
        <v>—</v>
      </c>
      <c r="E107" s="42" t="str">
        <f>IF(E$96="","",IF(Config!$N$38&lt;&gt;"Não",SUMIFS(BD!$M$3:$M$5001,BD!$B$3:$B$5001,E$96,BD!$A$3:$A$5001,"&gt;="&amp;$C$7,BD!$A$3:$A$5001,"&lt;="&amp;$D$7),"—"))</f>
        <v>—</v>
      </c>
      <c r="F107" s="42" t="str">
        <f>IF(F$96="","",IF(Config!$N$39&lt;&gt;"Não",SUMIFS(BD!$M$3:$M$5001,BD!$B$3:$B$5001,F$96,BD!$A$3:$A$5001,"&gt;="&amp;$C$7,BD!$A$3:$A$5001,"&lt;="&amp;$D$7),"—"))</f>
        <v>—</v>
      </c>
      <c r="G107" s="42" t="str">
        <f>IF(G$96="","",IF(Config!$N$40&lt;&gt;"Não",SUMIFS(BD!$M$3:$M$5001,BD!$B$3:$B$5001,G$96,BD!$A$3:$A$5001,"&gt;="&amp;$C$7,BD!$A$3:$A$5001,"&lt;="&amp;$D$7),"—"))</f>
        <v/>
      </c>
      <c r="H107" s="42" t="str">
        <f>IF(H$96="","",IF(Config!$N$41&lt;&gt;"Não",SUMIFS(BD!$M$3:$M$5001,BD!$B$3:$B$5001,H$96,BD!$A$3:$A$5001,"&gt;="&amp;$C$7,BD!$A$3:$A$5001,"&lt;="&amp;$D$7),"—"))</f>
        <v/>
      </c>
      <c r="I107" s="42" t="str">
        <f>IF(I$96="","",IF(Config!$N$42&lt;&gt;"Não",SUMIFS(BD!$M$3:$M$5001,BD!$B$3:$B$5001,I$96,BD!$A$3:$A$5001,"&gt;="&amp;$C$7,BD!$A$3:$A$5001,"&lt;="&amp;$D$7),"—"))</f>
        <v/>
      </c>
      <c r="J107" s="42" t="str">
        <f>IF(J$96="","",IF(Config!$N$43&lt;&gt;"Não",SUMIFS(BD!$M$3:$M$5001,BD!$B$3:$B$5001,J$96,BD!$A$3:$A$5001,"&gt;="&amp;$C$7,BD!$A$3:$A$5001,"&lt;="&amp;$D$7),"—"))</f>
        <v/>
      </c>
      <c r="K107" s="42" t="str">
        <f>IF(K$96="","",IF(Config!$N$44&lt;&gt;"Não",SUMIFS(BD!$M$3:$M$5001,BD!$B$3:$B$5001,K$96,BD!$A$3:$A$5001,"&gt;="&amp;$C$7,BD!$A$3:$A$5001,"&lt;="&amp;$D$7),"—"))</f>
        <v/>
      </c>
      <c r="L107" s="42" t="str">
        <f>IF(L$96="","",IF(Config!$N$45&lt;&gt;"Não",SUMIFS(BD!$M$3:$M$5001,BD!$B$3:$B$5001,L$96,BD!$A$3:$A$5001,"&gt;="&amp;$C$7,BD!$A$3:$A$5001,"&lt;="&amp;$D$7),"—"))</f>
        <v/>
      </c>
      <c r="M107" s="42" t="str">
        <f>IF(M$96="","",IF(Config!$N$46&lt;&gt;"Não",SUMIFS(BD!$M$3:$M$5001,BD!$B$3:$B$5001,M$96,BD!$A$3:$A$5001,"&gt;="&amp;$C$7,BD!$A$3:$A$5001,"&lt;="&amp;$D$7),"—"))</f>
        <v/>
      </c>
      <c r="N107" s="42" t="str">
        <f>IF(N$96="","",IF(Config!$N$47&lt;&gt;"Não",SUMIFS(BD!$M$3:$M$5001,BD!$B$3:$B$5001,N$96,BD!$A$3:$A$5001,"&gt;="&amp;$C$7,BD!$A$3:$A$5001,"&lt;="&amp;$D$7),"—"))</f>
        <v/>
      </c>
      <c r="O107" s="42" t="str">
        <f>IF(O$96="","",IF(Config!$N$48&lt;&gt;"Não",SUMIFS(BD!$M$3:$M$5001,BD!$B$3:$B$5001,O$96,BD!$A$3:$A$5001,"&gt;="&amp;$C$7,BD!$A$3:$A$5001,"&lt;="&amp;$D$7),"—"))</f>
        <v/>
      </c>
      <c r="P107" s="42" t="str">
        <f>IF(P$96="","",IF(Config!$N$49&lt;&gt;"Não",SUMIFS(BD!$M$3:$M$5001,BD!$B$3:$B$5001,P$96,BD!$A$3:$A$5001,"&gt;="&amp;$C$7,BD!$A$3:$A$5001,"&lt;="&amp;$D$7),"—"))</f>
        <v/>
      </c>
      <c r="Q107" s="42" t="str">
        <f>IF(Q$96="","",IF(Config!$N$50&lt;&gt;"Não",SUMIFS(BD!$M$3:$M$5001,BD!$B$3:$B$5001,Q$96,BD!$A$3:$A$5001,"&gt;="&amp;$C$7,BD!$A$3:$A$5001,"&lt;="&amp;$D$7),"—"))</f>
        <v/>
      </c>
      <c r="R107" s="42" t="str">
        <f>IF(R$96="","",IF(Config!$N$51&lt;&gt;"Não",SUMIFS(BD!$M$3:$M$5001,BD!$B$3:$B$5001,R$96,BD!$A$3:$A$5001,"&gt;="&amp;$C$7,BD!$A$3:$A$5001,"&lt;="&amp;$D$7),"—"))</f>
        <v/>
      </c>
      <c r="S107" s="42" t="str">
        <f>IF(S$96="","",IF(Config!$N$52&lt;&gt;"Não",SUMIFS(BD!$M$3:$M$5001,BD!$B$3:$B$5001,S$96,BD!$A$3:$A$5001,"&gt;="&amp;$C$7,BD!$A$3:$A$5001,"&lt;="&amp;$D$7),"—"))</f>
        <v/>
      </c>
      <c r="T107" s="42" t="str">
        <f>IF(T$96="","",IF(Config!$N$53&lt;&gt;"Não",SUMIFS(BD!$M$3:$M$5001,BD!$B$3:$B$5001,T$96,BD!$A$3:$A$5001,"&gt;="&amp;$C$7,BD!$A$3:$A$5001,"&lt;="&amp;$D$7),"—"))</f>
        <v/>
      </c>
      <c r="U107" s="42" t="str">
        <f>IF(U$96="","",IF(Config!$N$54&lt;&gt;"Não",SUMIFS(BD!$M$3:$M$5001,BD!$B$3:$B$5001,U$96,BD!$A$3:$A$5001,"&gt;="&amp;$C$7,BD!$A$3:$A$5001,"&lt;="&amp;$D$7),"—"))</f>
        <v/>
      </c>
      <c r="V107" s="73">
        <f>SUM(B107:U107)</f>
        <v>0</v>
      </c>
    </row>
    <row r="108">
      <c r="A108" s="40" t="inlineStr">
        <is>
          <t xml:space="preserve">NC · Incidentes</t>
        </is>
      </c>
      <c r="B108" s="42">
        <f>IF(B$96="","",IF(Config!$O$35&lt;&gt;"Não",SUMIFS(BD!$N$3:$N$5001,BD!$B$3:$B$5001,B$96,BD!$A$3:$A$5001,"&gt;="&amp;$C$7,BD!$A$3:$A$5001,"&lt;="&amp;$D$7),"—"))</f>
        <v>0</v>
      </c>
      <c r="C108" s="42">
        <f>IF(C$96="","",IF(Config!$O$36&lt;&gt;"Não",SUMIFS(BD!$N$3:$N$5001,BD!$B$3:$B$5001,C$96,BD!$A$3:$A$5001,"&gt;="&amp;$C$7,BD!$A$3:$A$5001,"&lt;="&amp;$D$7),"—"))</f>
        <v>0</v>
      </c>
      <c r="D108" s="42">
        <f>IF(D$96="","",IF(Config!$O$37&lt;&gt;"Não",SUMIFS(BD!$N$3:$N$5001,BD!$B$3:$B$5001,D$96,BD!$A$3:$A$5001,"&gt;="&amp;$C$7,BD!$A$3:$A$5001,"&lt;="&amp;$D$7),"—"))</f>
        <v>0</v>
      </c>
      <c r="E108" s="42">
        <f>IF(E$96="","",IF(Config!$O$38&lt;&gt;"Não",SUMIFS(BD!$N$3:$N$5001,BD!$B$3:$B$5001,E$96,BD!$A$3:$A$5001,"&gt;="&amp;$C$7,BD!$A$3:$A$5001,"&lt;="&amp;$D$7),"—"))</f>
        <v>0</v>
      </c>
      <c r="F108" s="42">
        <f>IF(F$96="","",IF(Config!$O$39&lt;&gt;"Não",SUMIFS(BD!$N$3:$N$5001,BD!$B$3:$B$5001,F$96,BD!$A$3:$A$5001,"&gt;="&amp;$C$7,BD!$A$3:$A$5001,"&lt;="&amp;$D$7),"—"))</f>
        <v>0</v>
      </c>
      <c r="G108" s="42" t="str">
        <f>IF(G$96="","",IF(Config!$O$40&lt;&gt;"Não",SUMIFS(BD!$N$3:$N$5001,BD!$B$3:$B$5001,G$96,BD!$A$3:$A$5001,"&gt;="&amp;$C$7,BD!$A$3:$A$5001,"&lt;="&amp;$D$7),"—"))</f>
        <v/>
      </c>
      <c r="H108" s="42" t="str">
        <f>IF(H$96="","",IF(Config!$O$41&lt;&gt;"Não",SUMIFS(BD!$N$3:$N$5001,BD!$B$3:$B$5001,H$96,BD!$A$3:$A$5001,"&gt;="&amp;$C$7,BD!$A$3:$A$5001,"&lt;="&amp;$D$7),"—"))</f>
        <v/>
      </c>
      <c r="I108" s="42" t="str">
        <f>IF(I$96="","",IF(Config!$O$42&lt;&gt;"Não",SUMIFS(BD!$N$3:$N$5001,BD!$B$3:$B$5001,I$96,BD!$A$3:$A$5001,"&gt;="&amp;$C$7,BD!$A$3:$A$5001,"&lt;="&amp;$D$7),"—"))</f>
        <v/>
      </c>
      <c r="J108" s="42" t="str">
        <f>IF(J$96="","",IF(Config!$O$43&lt;&gt;"Não",SUMIFS(BD!$N$3:$N$5001,BD!$B$3:$B$5001,J$96,BD!$A$3:$A$5001,"&gt;="&amp;$C$7,BD!$A$3:$A$5001,"&lt;="&amp;$D$7),"—"))</f>
        <v/>
      </c>
      <c r="K108" s="42" t="str">
        <f>IF(K$96="","",IF(Config!$O$44&lt;&gt;"Não",SUMIFS(BD!$N$3:$N$5001,BD!$B$3:$B$5001,K$96,BD!$A$3:$A$5001,"&gt;="&amp;$C$7,BD!$A$3:$A$5001,"&lt;="&amp;$D$7),"—"))</f>
        <v/>
      </c>
      <c r="L108" s="42" t="str">
        <f>IF(L$96="","",IF(Config!$O$45&lt;&gt;"Não",SUMIFS(BD!$N$3:$N$5001,BD!$B$3:$B$5001,L$96,BD!$A$3:$A$5001,"&gt;="&amp;$C$7,BD!$A$3:$A$5001,"&lt;="&amp;$D$7),"—"))</f>
        <v/>
      </c>
      <c r="M108" s="42" t="str">
        <f>IF(M$96="","",IF(Config!$O$46&lt;&gt;"Não",SUMIFS(BD!$N$3:$N$5001,BD!$B$3:$B$5001,M$96,BD!$A$3:$A$5001,"&gt;="&amp;$C$7,BD!$A$3:$A$5001,"&lt;="&amp;$D$7),"—"))</f>
        <v/>
      </c>
      <c r="N108" s="42" t="str">
        <f>IF(N$96="","",IF(Config!$O$47&lt;&gt;"Não",SUMIFS(BD!$N$3:$N$5001,BD!$B$3:$B$5001,N$96,BD!$A$3:$A$5001,"&gt;="&amp;$C$7,BD!$A$3:$A$5001,"&lt;="&amp;$D$7),"—"))</f>
        <v/>
      </c>
      <c r="O108" s="42" t="str">
        <f>IF(O$96="","",IF(Config!$O$48&lt;&gt;"Não",SUMIFS(BD!$N$3:$N$5001,BD!$B$3:$B$5001,O$96,BD!$A$3:$A$5001,"&gt;="&amp;$C$7,BD!$A$3:$A$5001,"&lt;="&amp;$D$7),"—"))</f>
        <v/>
      </c>
      <c r="P108" s="42" t="str">
        <f>IF(P$96="","",IF(Config!$O$49&lt;&gt;"Não",SUMIFS(BD!$N$3:$N$5001,BD!$B$3:$B$5001,P$96,BD!$A$3:$A$5001,"&gt;="&amp;$C$7,BD!$A$3:$A$5001,"&lt;="&amp;$D$7),"—"))</f>
        <v/>
      </c>
      <c r="Q108" s="42" t="str">
        <f>IF(Q$96="","",IF(Config!$O$50&lt;&gt;"Não",SUMIFS(BD!$N$3:$N$5001,BD!$B$3:$B$5001,Q$96,BD!$A$3:$A$5001,"&gt;="&amp;$C$7,BD!$A$3:$A$5001,"&lt;="&amp;$D$7),"—"))</f>
        <v/>
      </c>
      <c r="R108" s="42" t="str">
        <f>IF(R$96="","",IF(Config!$O$51&lt;&gt;"Não",SUMIFS(BD!$N$3:$N$5001,BD!$B$3:$B$5001,R$96,BD!$A$3:$A$5001,"&gt;="&amp;$C$7,BD!$A$3:$A$5001,"&lt;="&amp;$D$7),"—"))</f>
        <v/>
      </c>
      <c r="S108" s="42" t="str">
        <f>IF(S$96="","",IF(Config!$O$52&lt;&gt;"Não",SUMIFS(BD!$N$3:$N$5001,BD!$B$3:$B$5001,S$96,BD!$A$3:$A$5001,"&gt;="&amp;$C$7,BD!$A$3:$A$5001,"&lt;="&amp;$D$7),"—"))</f>
        <v/>
      </c>
      <c r="T108" s="42" t="str">
        <f>IF(T$96="","",IF(Config!$O$53&lt;&gt;"Não",SUMIFS(BD!$N$3:$N$5001,BD!$B$3:$B$5001,T$96,BD!$A$3:$A$5001,"&gt;="&amp;$C$7,BD!$A$3:$A$5001,"&lt;="&amp;$D$7),"—"))</f>
        <v/>
      </c>
      <c r="U108" s="42" t="str">
        <f>IF(U$96="","",IF(Config!$O$54&lt;&gt;"Não",SUMIFS(BD!$N$3:$N$5001,BD!$B$3:$B$5001,U$96,BD!$A$3:$A$5001,"&gt;="&amp;$C$7,BD!$A$3:$A$5001,"&lt;="&amp;$D$7),"—"))</f>
        <v/>
      </c>
      <c r="V108" s="73">
        <f>SUM(B108:U108)</f>
        <v>0</v>
      </c>
    </row>
    <row r="109">
      <c r="A109" s="40" t="inlineStr">
        <is>
          <t xml:space="preserve">NC · No show</t>
        </is>
      </c>
      <c r="B109" s="42">
        <f>IF(B$96="","",IF(Config!$P$35&lt;&gt;"Não",SUMIFS(BD!$O$3:$O$5001,BD!$B$3:$B$5001,B$96,BD!$A$3:$A$5001,"&gt;="&amp;$C$7,BD!$A$3:$A$5001,"&lt;="&amp;$D$7),"—"))</f>
        <v>0</v>
      </c>
      <c r="C109" s="42">
        <f>IF(C$96="","",IF(Config!$P$36&lt;&gt;"Não",SUMIFS(BD!$O$3:$O$5001,BD!$B$3:$B$5001,C$96,BD!$A$3:$A$5001,"&gt;="&amp;$C$7,BD!$A$3:$A$5001,"&lt;="&amp;$D$7),"—"))</f>
        <v>0</v>
      </c>
      <c r="D109" s="42">
        <f>IF(D$96="","",IF(Config!$P$37&lt;&gt;"Não",SUMIFS(BD!$O$3:$O$5001,BD!$B$3:$B$5001,D$96,BD!$A$3:$A$5001,"&gt;="&amp;$C$7,BD!$A$3:$A$5001,"&lt;="&amp;$D$7),"—"))</f>
        <v>0</v>
      </c>
      <c r="E109" s="42">
        <f>IF(E$96="","",IF(Config!$P$38&lt;&gt;"Não",SUMIFS(BD!$O$3:$O$5001,BD!$B$3:$B$5001,E$96,BD!$A$3:$A$5001,"&gt;="&amp;$C$7,BD!$A$3:$A$5001,"&lt;="&amp;$D$7),"—"))</f>
        <v>0</v>
      </c>
      <c r="F109" s="42">
        <f>IF(F$96="","",IF(Config!$P$39&lt;&gt;"Não",SUMIFS(BD!$O$3:$O$5001,BD!$B$3:$B$5001,F$96,BD!$A$3:$A$5001,"&gt;="&amp;$C$7,BD!$A$3:$A$5001,"&lt;="&amp;$D$7),"—"))</f>
        <v>0</v>
      </c>
      <c r="G109" s="42" t="str">
        <f>IF(G$96="","",IF(Config!$P$40&lt;&gt;"Não",SUMIFS(BD!$O$3:$O$5001,BD!$B$3:$B$5001,G$96,BD!$A$3:$A$5001,"&gt;="&amp;$C$7,BD!$A$3:$A$5001,"&lt;="&amp;$D$7),"—"))</f>
        <v/>
      </c>
      <c r="H109" s="42" t="str">
        <f>IF(H$96="","",IF(Config!$P$41&lt;&gt;"Não",SUMIFS(BD!$O$3:$O$5001,BD!$B$3:$B$5001,H$96,BD!$A$3:$A$5001,"&gt;="&amp;$C$7,BD!$A$3:$A$5001,"&lt;="&amp;$D$7),"—"))</f>
        <v/>
      </c>
      <c r="I109" s="42" t="str">
        <f>IF(I$96="","",IF(Config!$P$42&lt;&gt;"Não",SUMIFS(BD!$O$3:$O$5001,BD!$B$3:$B$5001,I$96,BD!$A$3:$A$5001,"&gt;="&amp;$C$7,BD!$A$3:$A$5001,"&lt;="&amp;$D$7),"—"))</f>
        <v/>
      </c>
      <c r="J109" s="42" t="str">
        <f>IF(J$96="","",IF(Config!$P$43&lt;&gt;"Não",SUMIFS(BD!$O$3:$O$5001,BD!$B$3:$B$5001,J$96,BD!$A$3:$A$5001,"&gt;="&amp;$C$7,BD!$A$3:$A$5001,"&lt;="&amp;$D$7),"—"))</f>
        <v/>
      </c>
      <c r="K109" s="42" t="str">
        <f>IF(K$96="","",IF(Config!$P$44&lt;&gt;"Não",SUMIFS(BD!$O$3:$O$5001,BD!$B$3:$B$5001,K$96,BD!$A$3:$A$5001,"&gt;="&amp;$C$7,BD!$A$3:$A$5001,"&lt;="&amp;$D$7),"—"))</f>
        <v/>
      </c>
      <c r="L109" s="42" t="str">
        <f>IF(L$96="","",IF(Config!$P$45&lt;&gt;"Não",SUMIFS(BD!$O$3:$O$5001,BD!$B$3:$B$5001,L$96,BD!$A$3:$A$5001,"&gt;="&amp;$C$7,BD!$A$3:$A$5001,"&lt;="&amp;$D$7),"—"))</f>
        <v/>
      </c>
      <c r="M109" s="42" t="str">
        <f>IF(M$96="","",IF(Config!$P$46&lt;&gt;"Não",SUMIFS(BD!$O$3:$O$5001,BD!$B$3:$B$5001,M$96,BD!$A$3:$A$5001,"&gt;="&amp;$C$7,BD!$A$3:$A$5001,"&lt;="&amp;$D$7),"—"))</f>
        <v/>
      </c>
      <c r="N109" s="42" t="str">
        <f>IF(N$96="","",IF(Config!$P$47&lt;&gt;"Não",SUMIFS(BD!$O$3:$O$5001,BD!$B$3:$B$5001,N$96,BD!$A$3:$A$5001,"&gt;="&amp;$C$7,BD!$A$3:$A$5001,"&lt;="&amp;$D$7),"—"))</f>
        <v/>
      </c>
      <c r="O109" s="42" t="str">
        <f>IF(O$96="","",IF(Config!$P$48&lt;&gt;"Não",SUMIFS(BD!$O$3:$O$5001,BD!$B$3:$B$5001,O$96,BD!$A$3:$A$5001,"&gt;="&amp;$C$7,BD!$A$3:$A$5001,"&lt;="&amp;$D$7),"—"))</f>
        <v/>
      </c>
      <c r="P109" s="42" t="str">
        <f>IF(P$96="","",IF(Config!$P$49&lt;&gt;"Não",SUMIFS(BD!$O$3:$O$5001,BD!$B$3:$B$5001,P$96,BD!$A$3:$A$5001,"&gt;="&amp;$C$7,BD!$A$3:$A$5001,"&lt;="&amp;$D$7),"—"))</f>
        <v/>
      </c>
      <c r="Q109" s="42" t="str">
        <f>IF(Q$96="","",IF(Config!$P$50&lt;&gt;"Não",SUMIFS(BD!$O$3:$O$5001,BD!$B$3:$B$5001,Q$96,BD!$A$3:$A$5001,"&gt;="&amp;$C$7,BD!$A$3:$A$5001,"&lt;="&amp;$D$7),"—"))</f>
        <v/>
      </c>
      <c r="R109" s="42" t="str">
        <f>IF(R$96="","",IF(Config!$P$51&lt;&gt;"Não",SUMIFS(BD!$O$3:$O$5001,BD!$B$3:$B$5001,R$96,BD!$A$3:$A$5001,"&gt;="&amp;$C$7,BD!$A$3:$A$5001,"&lt;="&amp;$D$7),"—"))</f>
        <v/>
      </c>
      <c r="S109" s="42" t="str">
        <f>IF(S$96="","",IF(Config!$P$52&lt;&gt;"Não",SUMIFS(BD!$O$3:$O$5001,BD!$B$3:$B$5001,S$96,BD!$A$3:$A$5001,"&gt;="&amp;$C$7,BD!$A$3:$A$5001,"&lt;="&amp;$D$7),"—"))</f>
        <v/>
      </c>
      <c r="T109" s="42" t="str">
        <f>IF(T$96="","",IF(Config!$P$53&lt;&gt;"Não",SUMIFS(BD!$O$3:$O$5001,BD!$B$3:$B$5001,T$96,BD!$A$3:$A$5001,"&gt;="&amp;$C$7,BD!$A$3:$A$5001,"&lt;="&amp;$D$7),"—"))</f>
        <v/>
      </c>
      <c r="U109" s="42" t="str">
        <f>IF(U$96="","",IF(Config!$P$54&lt;&gt;"Não",SUMIFS(BD!$O$3:$O$5001,BD!$B$3:$B$5001,U$96,BD!$A$3:$A$5001,"&gt;="&amp;$C$7,BD!$A$3:$A$5001,"&lt;="&amp;$D$7),"—"))</f>
        <v/>
      </c>
      <c r="V109" s="73">
        <f>SUM(B109:U109)</f>
        <v>0</v>
      </c>
    </row>
    <row r="110">
      <c r="A110" s="40" t="inlineStr">
        <is>
          <t xml:space="preserve">NC · Backlog Intralog</t>
        </is>
      </c>
      <c r="B110" s="42" t="str">
        <f>IF(B$96="","",IF(Config!$Q$35&lt;&gt;"Não",IF(COUNTIFS(BD!$B$3:$B$5001,B$96,BD!$A$3:$A$5001,"&gt;="&amp;$C$7,BD!$A$3:$A$5001,"&lt;="&amp;$D$7,BD!$P$3:$P$5001,"&lt;&gt;")=0,"",SUMIFS(BD!$P$3:$P$5001,BD!$B$3:$B$5001,B$96,BD!$A$3:$A$5001,_xlfn.MAXIFS(BD!$A$3:$A$5001,BD!$B$3:$B$5001,B$96,BD!$A$3:$A$5001,"&gt;="&amp;$C$7,BD!$A$3:$A$5001,"&lt;="&amp;$D$7,BD!$P$3:$P$5001,"&lt;&gt;"))),"—"))</f>
        <v/>
      </c>
      <c r="C110" s="42" t="str">
        <f>IF(C$96="","",IF(Config!$Q$36&lt;&gt;"Não",IF(COUNTIFS(BD!$B$3:$B$5001,C$96,BD!$A$3:$A$5001,"&gt;="&amp;$C$7,BD!$A$3:$A$5001,"&lt;="&amp;$D$7,BD!$P$3:$P$5001,"&lt;&gt;")=0,"",SUMIFS(BD!$P$3:$P$5001,BD!$B$3:$B$5001,C$96,BD!$A$3:$A$5001,_xlfn.MAXIFS(BD!$A$3:$A$5001,BD!$B$3:$B$5001,C$96,BD!$A$3:$A$5001,"&gt;="&amp;$C$7,BD!$A$3:$A$5001,"&lt;="&amp;$D$7,BD!$P$3:$P$5001,"&lt;&gt;"))),"—"))</f>
        <v/>
      </c>
      <c r="D110" s="42" t="str">
        <f>IF(D$96="","",IF(Config!$Q$37&lt;&gt;"Não",IF(COUNTIFS(BD!$B$3:$B$5001,D$96,BD!$A$3:$A$5001,"&gt;="&amp;$C$7,BD!$A$3:$A$5001,"&lt;="&amp;$D$7,BD!$P$3:$P$5001,"&lt;&gt;")=0,"",SUMIFS(BD!$P$3:$P$5001,BD!$B$3:$B$5001,D$96,BD!$A$3:$A$5001,_xlfn.MAXIFS(BD!$A$3:$A$5001,BD!$B$3:$B$5001,D$96,BD!$A$3:$A$5001,"&gt;="&amp;$C$7,BD!$A$3:$A$5001,"&lt;="&amp;$D$7,BD!$P$3:$P$5001,"&lt;&gt;"))),"—"))</f>
        <v/>
      </c>
      <c r="E110" s="42" t="str">
        <f>IF(E$96="","",IF(Config!$Q$38&lt;&gt;"Não",IF(COUNTIFS(BD!$B$3:$B$5001,E$96,BD!$A$3:$A$5001,"&gt;="&amp;$C$7,BD!$A$3:$A$5001,"&lt;="&amp;$D$7,BD!$P$3:$P$5001,"&lt;&gt;")=0,"",SUMIFS(BD!$P$3:$P$5001,BD!$B$3:$B$5001,E$96,BD!$A$3:$A$5001,_xlfn.MAXIFS(BD!$A$3:$A$5001,BD!$B$3:$B$5001,E$96,BD!$A$3:$A$5001,"&gt;="&amp;$C$7,BD!$A$3:$A$5001,"&lt;="&amp;$D$7,BD!$P$3:$P$5001,"&lt;&gt;"))),"—"))</f>
        <v/>
      </c>
      <c r="F110" s="42" t="str">
        <f>IF(F$96="","",IF(Config!$Q$39&lt;&gt;"Não",IF(COUNTIFS(BD!$B$3:$B$5001,F$96,BD!$A$3:$A$5001,"&gt;="&amp;$C$7,BD!$A$3:$A$5001,"&lt;="&amp;$D$7,BD!$P$3:$P$5001,"&lt;&gt;")=0,"",SUMIFS(BD!$P$3:$P$5001,BD!$B$3:$B$5001,F$96,BD!$A$3:$A$5001,_xlfn.MAXIFS(BD!$A$3:$A$5001,BD!$B$3:$B$5001,F$96,BD!$A$3:$A$5001,"&gt;="&amp;$C$7,BD!$A$3:$A$5001,"&lt;="&amp;$D$7,BD!$P$3:$P$5001,"&lt;&gt;"))),"—"))</f>
        <v/>
      </c>
      <c r="G110" s="42" t="str">
        <f>IF(G$96="","",IF(Config!$Q$40&lt;&gt;"Não",IF(COUNTIFS(BD!$B$3:$B$5001,G$96,BD!$A$3:$A$5001,"&gt;="&amp;$C$7,BD!$A$3:$A$5001,"&lt;="&amp;$D$7,BD!$P$3:$P$5001,"&lt;&gt;")=0,"",SUMIFS(BD!$P$3:$P$5001,BD!$B$3:$B$5001,G$96,BD!$A$3:$A$5001,_xlfn.MAXIFS(BD!$A$3:$A$5001,BD!$B$3:$B$5001,G$96,BD!$A$3:$A$5001,"&gt;="&amp;$C$7,BD!$A$3:$A$5001,"&lt;="&amp;$D$7,BD!$P$3:$P$5001,"&lt;&gt;"))),"—"))</f>
        <v/>
      </c>
      <c r="H110" s="42" t="str">
        <f>IF(H$96="","",IF(Config!$Q$41&lt;&gt;"Não",IF(COUNTIFS(BD!$B$3:$B$5001,H$96,BD!$A$3:$A$5001,"&gt;="&amp;$C$7,BD!$A$3:$A$5001,"&lt;="&amp;$D$7,BD!$P$3:$P$5001,"&lt;&gt;")=0,"",SUMIFS(BD!$P$3:$P$5001,BD!$B$3:$B$5001,H$96,BD!$A$3:$A$5001,_xlfn.MAXIFS(BD!$A$3:$A$5001,BD!$B$3:$B$5001,H$96,BD!$A$3:$A$5001,"&gt;="&amp;$C$7,BD!$A$3:$A$5001,"&lt;="&amp;$D$7,BD!$P$3:$P$5001,"&lt;&gt;"))),"—"))</f>
        <v/>
      </c>
      <c r="I110" s="42" t="str">
        <f>IF(I$96="","",IF(Config!$Q$42&lt;&gt;"Não",IF(COUNTIFS(BD!$B$3:$B$5001,I$96,BD!$A$3:$A$5001,"&gt;="&amp;$C$7,BD!$A$3:$A$5001,"&lt;="&amp;$D$7,BD!$P$3:$P$5001,"&lt;&gt;")=0,"",SUMIFS(BD!$P$3:$P$5001,BD!$B$3:$B$5001,I$96,BD!$A$3:$A$5001,_xlfn.MAXIFS(BD!$A$3:$A$5001,BD!$B$3:$B$5001,I$96,BD!$A$3:$A$5001,"&gt;="&amp;$C$7,BD!$A$3:$A$5001,"&lt;="&amp;$D$7,BD!$P$3:$P$5001,"&lt;&gt;"))),"—"))</f>
        <v/>
      </c>
      <c r="J110" s="42" t="str">
        <f>IF(J$96="","",IF(Config!$Q$43&lt;&gt;"Não",IF(COUNTIFS(BD!$B$3:$B$5001,J$96,BD!$A$3:$A$5001,"&gt;="&amp;$C$7,BD!$A$3:$A$5001,"&lt;="&amp;$D$7,BD!$P$3:$P$5001,"&lt;&gt;")=0,"",SUMIFS(BD!$P$3:$P$5001,BD!$B$3:$B$5001,J$96,BD!$A$3:$A$5001,_xlfn.MAXIFS(BD!$A$3:$A$5001,BD!$B$3:$B$5001,J$96,BD!$A$3:$A$5001,"&gt;="&amp;$C$7,BD!$A$3:$A$5001,"&lt;="&amp;$D$7,BD!$P$3:$P$5001,"&lt;&gt;"))),"—"))</f>
        <v/>
      </c>
      <c r="K110" s="42" t="str">
        <f>IF(K$96="","",IF(Config!$Q$44&lt;&gt;"Não",IF(COUNTIFS(BD!$B$3:$B$5001,K$96,BD!$A$3:$A$5001,"&gt;="&amp;$C$7,BD!$A$3:$A$5001,"&lt;="&amp;$D$7,BD!$P$3:$P$5001,"&lt;&gt;")=0,"",SUMIFS(BD!$P$3:$P$5001,BD!$B$3:$B$5001,K$96,BD!$A$3:$A$5001,_xlfn.MAXIFS(BD!$A$3:$A$5001,BD!$B$3:$B$5001,K$96,BD!$A$3:$A$5001,"&gt;="&amp;$C$7,BD!$A$3:$A$5001,"&lt;="&amp;$D$7,BD!$P$3:$P$5001,"&lt;&gt;"))),"—"))</f>
        <v/>
      </c>
      <c r="L110" s="42" t="str">
        <f>IF(L$96="","",IF(Config!$Q$45&lt;&gt;"Não",IF(COUNTIFS(BD!$B$3:$B$5001,L$96,BD!$A$3:$A$5001,"&gt;="&amp;$C$7,BD!$A$3:$A$5001,"&lt;="&amp;$D$7,BD!$P$3:$P$5001,"&lt;&gt;")=0,"",SUMIFS(BD!$P$3:$P$5001,BD!$B$3:$B$5001,L$96,BD!$A$3:$A$5001,_xlfn.MAXIFS(BD!$A$3:$A$5001,BD!$B$3:$B$5001,L$96,BD!$A$3:$A$5001,"&gt;="&amp;$C$7,BD!$A$3:$A$5001,"&lt;="&amp;$D$7,BD!$P$3:$P$5001,"&lt;&gt;"))),"—"))</f>
        <v/>
      </c>
      <c r="M110" s="42" t="str">
        <f>IF(M$96="","",IF(Config!$Q$46&lt;&gt;"Não",IF(COUNTIFS(BD!$B$3:$B$5001,M$96,BD!$A$3:$A$5001,"&gt;="&amp;$C$7,BD!$A$3:$A$5001,"&lt;="&amp;$D$7,BD!$P$3:$P$5001,"&lt;&gt;")=0,"",SUMIFS(BD!$P$3:$P$5001,BD!$B$3:$B$5001,M$96,BD!$A$3:$A$5001,_xlfn.MAXIFS(BD!$A$3:$A$5001,BD!$B$3:$B$5001,M$96,BD!$A$3:$A$5001,"&gt;="&amp;$C$7,BD!$A$3:$A$5001,"&lt;="&amp;$D$7,BD!$P$3:$P$5001,"&lt;&gt;"))),"—"))</f>
        <v/>
      </c>
      <c r="N110" s="42" t="str">
        <f>IF(N$96="","",IF(Config!$Q$47&lt;&gt;"Não",IF(COUNTIFS(BD!$B$3:$B$5001,N$96,BD!$A$3:$A$5001,"&gt;="&amp;$C$7,BD!$A$3:$A$5001,"&lt;="&amp;$D$7,BD!$P$3:$P$5001,"&lt;&gt;")=0,"",SUMIFS(BD!$P$3:$P$5001,BD!$B$3:$B$5001,N$96,BD!$A$3:$A$5001,_xlfn.MAXIFS(BD!$A$3:$A$5001,BD!$B$3:$B$5001,N$96,BD!$A$3:$A$5001,"&gt;="&amp;$C$7,BD!$A$3:$A$5001,"&lt;="&amp;$D$7,BD!$P$3:$P$5001,"&lt;&gt;"))),"—"))</f>
        <v/>
      </c>
      <c r="O110" s="42" t="str">
        <f>IF(O$96="","",IF(Config!$Q$48&lt;&gt;"Não",IF(COUNTIFS(BD!$B$3:$B$5001,O$96,BD!$A$3:$A$5001,"&gt;="&amp;$C$7,BD!$A$3:$A$5001,"&lt;="&amp;$D$7,BD!$P$3:$P$5001,"&lt;&gt;")=0,"",SUMIFS(BD!$P$3:$P$5001,BD!$B$3:$B$5001,O$96,BD!$A$3:$A$5001,_xlfn.MAXIFS(BD!$A$3:$A$5001,BD!$B$3:$B$5001,O$96,BD!$A$3:$A$5001,"&gt;="&amp;$C$7,BD!$A$3:$A$5001,"&lt;="&amp;$D$7,BD!$P$3:$P$5001,"&lt;&gt;"))),"—"))</f>
        <v/>
      </c>
      <c r="P110" s="42" t="str">
        <f>IF(P$96="","",IF(Config!$Q$49&lt;&gt;"Não",IF(COUNTIFS(BD!$B$3:$B$5001,P$96,BD!$A$3:$A$5001,"&gt;="&amp;$C$7,BD!$A$3:$A$5001,"&lt;="&amp;$D$7,BD!$P$3:$P$5001,"&lt;&gt;")=0,"",SUMIFS(BD!$P$3:$P$5001,BD!$B$3:$B$5001,P$96,BD!$A$3:$A$5001,_xlfn.MAXIFS(BD!$A$3:$A$5001,BD!$B$3:$B$5001,P$96,BD!$A$3:$A$5001,"&gt;="&amp;$C$7,BD!$A$3:$A$5001,"&lt;="&amp;$D$7,BD!$P$3:$P$5001,"&lt;&gt;"))),"—"))</f>
        <v/>
      </c>
      <c r="Q110" s="42" t="str">
        <f>IF(Q$96="","",IF(Config!$Q$50&lt;&gt;"Não",IF(COUNTIFS(BD!$B$3:$B$5001,Q$96,BD!$A$3:$A$5001,"&gt;="&amp;$C$7,BD!$A$3:$A$5001,"&lt;="&amp;$D$7,BD!$P$3:$P$5001,"&lt;&gt;")=0,"",SUMIFS(BD!$P$3:$P$5001,BD!$B$3:$B$5001,Q$96,BD!$A$3:$A$5001,_xlfn.MAXIFS(BD!$A$3:$A$5001,BD!$B$3:$B$5001,Q$96,BD!$A$3:$A$5001,"&gt;="&amp;$C$7,BD!$A$3:$A$5001,"&lt;="&amp;$D$7,BD!$P$3:$P$5001,"&lt;&gt;"))),"—"))</f>
        <v/>
      </c>
      <c r="R110" s="42" t="str">
        <f>IF(R$96="","",IF(Config!$Q$51&lt;&gt;"Não",IF(COUNTIFS(BD!$B$3:$B$5001,R$96,BD!$A$3:$A$5001,"&gt;="&amp;$C$7,BD!$A$3:$A$5001,"&lt;="&amp;$D$7,BD!$P$3:$P$5001,"&lt;&gt;")=0,"",SUMIFS(BD!$P$3:$P$5001,BD!$B$3:$B$5001,R$96,BD!$A$3:$A$5001,_xlfn.MAXIFS(BD!$A$3:$A$5001,BD!$B$3:$B$5001,R$96,BD!$A$3:$A$5001,"&gt;="&amp;$C$7,BD!$A$3:$A$5001,"&lt;="&amp;$D$7,BD!$P$3:$P$5001,"&lt;&gt;"))),"—"))</f>
        <v/>
      </c>
      <c r="S110" s="42" t="str">
        <f>IF(S$96="","",IF(Config!$Q$52&lt;&gt;"Não",IF(COUNTIFS(BD!$B$3:$B$5001,S$96,BD!$A$3:$A$5001,"&gt;="&amp;$C$7,BD!$A$3:$A$5001,"&lt;="&amp;$D$7,BD!$P$3:$P$5001,"&lt;&gt;")=0,"",SUMIFS(BD!$P$3:$P$5001,BD!$B$3:$B$5001,S$96,BD!$A$3:$A$5001,_xlfn.MAXIFS(BD!$A$3:$A$5001,BD!$B$3:$B$5001,S$96,BD!$A$3:$A$5001,"&gt;="&amp;$C$7,BD!$A$3:$A$5001,"&lt;="&amp;$D$7,BD!$P$3:$P$5001,"&lt;&gt;"))),"—"))</f>
        <v/>
      </c>
      <c r="T110" s="42" t="str">
        <f>IF(T$96="","",IF(Config!$Q$53&lt;&gt;"Não",IF(COUNTIFS(BD!$B$3:$B$5001,T$96,BD!$A$3:$A$5001,"&gt;="&amp;$C$7,BD!$A$3:$A$5001,"&lt;="&amp;$D$7,BD!$P$3:$P$5001,"&lt;&gt;")=0,"",SUMIFS(BD!$P$3:$P$5001,BD!$B$3:$B$5001,T$96,BD!$A$3:$A$5001,_xlfn.MAXIFS(BD!$A$3:$A$5001,BD!$B$3:$B$5001,T$96,BD!$A$3:$A$5001,"&gt;="&amp;$C$7,BD!$A$3:$A$5001,"&lt;="&amp;$D$7,BD!$P$3:$P$5001,"&lt;&gt;"))),"—"))</f>
        <v/>
      </c>
      <c r="U110" s="42" t="str">
        <f>IF(U$96="","",IF(Config!$Q$54&lt;&gt;"Não",IF(COUNTIFS(BD!$B$3:$B$5001,U$96,BD!$A$3:$A$5001,"&gt;="&amp;$C$7,BD!$A$3:$A$5001,"&lt;="&amp;$D$7,BD!$P$3:$P$5001,"&lt;&gt;")=0,"",SUMIFS(BD!$P$3:$P$5001,BD!$B$3:$B$5001,U$96,BD!$A$3:$A$5001,_xlfn.MAXIFS(BD!$A$3:$A$5001,BD!$B$3:$B$5001,U$96,BD!$A$3:$A$5001,"&gt;="&amp;$C$7,BD!$A$3:$A$5001,"&lt;="&amp;$D$7,BD!$P$3:$P$5001,"&lt;&gt;"))),"—"))</f>
        <v/>
      </c>
      <c r="V110" s="73">
        <f>SUM(B110:U110)</f>
        <v>0</v>
      </c>
    </row>
    <row r="111">
      <c r="A111" s="40" t="inlineStr">
        <is>
          <t xml:space="preserve">NC · Backlog Cliente</t>
        </is>
      </c>
      <c r="B111" s="42" t="str">
        <f>IF(B$96="","",IF(Config!$R$35&lt;&gt;"Não",IF(COUNTIFS(BD!$B$3:$B$5001,B$96,BD!$A$3:$A$5001,"&gt;="&amp;$C$7,BD!$A$3:$A$5001,"&lt;="&amp;$D$7,BD!$Q$3:$Q$5001,"&lt;&gt;")=0,"",SUMIFS(BD!$Q$3:$Q$5001,BD!$B$3:$B$5001,B$96,BD!$A$3:$A$5001,_xlfn.MAXIFS(BD!$A$3:$A$5001,BD!$B$3:$B$5001,B$96,BD!$A$3:$A$5001,"&gt;="&amp;$C$7,BD!$A$3:$A$5001,"&lt;="&amp;$D$7,BD!$Q$3:$Q$5001,"&lt;&gt;"))),"—"))</f>
        <v/>
      </c>
      <c r="C111" s="42" t="str">
        <f>IF(C$96="","",IF(Config!$R$36&lt;&gt;"Não",IF(COUNTIFS(BD!$B$3:$B$5001,C$96,BD!$A$3:$A$5001,"&gt;="&amp;$C$7,BD!$A$3:$A$5001,"&lt;="&amp;$D$7,BD!$Q$3:$Q$5001,"&lt;&gt;")=0,"",SUMIFS(BD!$Q$3:$Q$5001,BD!$B$3:$B$5001,C$96,BD!$A$3:$A$5001,_xlfn.MAXIFS(BD!$A$3:$A$5001,BD!$B$3:$B$5001,C$96,BD!$A$3:$A$5001,"&gt;="&amp;$C$7,BD!$A$3:$A$5001,"&lt;="&amp;$D$7,BD!$Q$3:$Q$5001,"&lt;&gt;"))),"—"))</f>
        <v/>
      </c>
      <c r="D111" s="42" t="str">
        <f>IF(D$96="","",IF(Config!$R$37&lt;&gt;"Não",IF(COUNTIFS(BD!$B$3:$B$5001,D$96,BD!$A$3:$A$5001,"&gt;="&amp;$C$7,BD!$A$3:$A$5001,"&lt;="&amp;$D$7,BD!$Q$3:$Q$5001,"&lt;&gt;")=0,"",SUMIFS(BD!$Q$3:$Q$5001,BD!$B$3:$B$5001,D$96,BD!$A$3:$A$5001,_xlfn.MAXIFS(BD!$A$3:$A$5001,BD!$B$3:$B$5001,D$96,BD!$A$3:$A$5001,"&gt;="&amp;$C$7,BD!$A$3:$A$5001,"&lt;="&amp;$D$7,BD!$Q$3:$Q$5001,"&lt;&gt;"))),"—"))</f>
        <v/>
      </c>
      <c r="E111" s="42" t="str">
        <f>IF(E$96="","",IF(Config!$R$38&lt;&gt;"Não",IF(COUNTIFS(BD!$B$3:$B$5001,E$96,BD!$A$3:$A$5001,"&gt;="&amp;$C$7,BD!$A$3:$A$5001,"&lt;="&amp;$D$7,BD!$Q$3:$Q$5001,"&lt;&gt;")=0,"",SUMIFS(BD!$Q$3:$Q$5001,BD!$B$3:$B$5001,E$96,BD!$A$3:$A$5001,_xlfn.MAXIFS(BD!$A$3:$A$5001,BD!$B$3:$B$5001,E$96,BD!$A$3:$A$5001,"&gt;="&amp;$C$7,BD!$A$3:$A$5001,"&lt;="&amp;$D$7,BD!$Q$3:$Q$5001,"&lt;&gt;"))),"—"))</f>
        <v/>
      </c>
      <c r="F111" s="42" t="str">
        <f>IF(F$96="","",IF(Config!$R$39&lt;&gt;"Não",IF(COUNTIFS(BD!$B$3:$B$5001,F$96,BD!$A$3:$A$5001,"&gt;="&amp;$C$7,BD!$A$3:$A$5001,"&lt;="&amp;$D$7,BD!$Q$3:$Q$5001,"&lt;&gt;")=0,"",SUMIFS(BD!$Q$3:$Q$5001,BD!$B$3:$B$5001,F$96,BD!$A$3:$A$5001,_xlfn.MAXIFS(BD!$A$3:$A$5001,BD!$B$3:$B$5001,F$96,BD!$A$3:$A$5001,"&gt;="&amp;$C$7,BD!$A$3:$A$5001,"&lt;="&amp;$D$7,BD!$Q$3:$Q$5001,"&lt;&gt;"))),"—"))</f>
        <v/>
      </c>
      <c r="G111" s="42" t="str">
        <f>IF(G$96="","",IF(Config!$R$40&lt;&gt;"Não",IF(COUNTIFS(BD!$B$3:$B$5001,G$96,BD!$A$3:$A$5001,"&gt;="&amp;$C$7,BD!$A$3:$A$5001,"&lt;="&amp;$D$7,BD!$Q$3:$Q$5001,"&lt;&gt;")=0,"",SUMIFS(BD!$Q$3:$Q$5001,BD!$B$3:$B$5001,G$96,BD!$A$3:$A$5001,_xlfn.MAXIFS(BD!$A$3:$A$5001,BD!$B$3:$B$5001,G$96,BD!$A$3:$A$5001,"&gt;="&amp;$C$7,BD!$A$3:$A$5001,"&lt;="&amp;$D$7,BD!$Q$3:$Q$5001,"&lt;&gt;"))),"—"))</f>
        <v/>
      </c>
      <c r="H111" s="42" t="str">
        <f>IF(H$96="","",IF(Config!$R$41&lt;&gt;"Não",IF(COUNTIFS(BD!$B$3:$B$5001,H$96,BD!$A$3:$A$5001,"&gt;="&amp;$C$7,BD!$A$3:$A$5001,"&lt;="&amp;$D$7,BD!$Q$3:$Q$5001,"&lt;&gt;")=0,"",SUMIFS(BD!$Q$3:$Q$5001,BD!$B$3:$B$5001,H$96,BD!$A$3:$A$5001,_xlfn.MAXIFS(BD!$A$3:$A$5001,BD!$B$3:$B$5001,H$96,BD!$A$3:$A$5001,"&gt;="&amp;$C$7,BD!$A$3:$A$5001,"&lt;="&amp;$D$7,BD!$Q$3:$Q$5001,"&lt;&gt;"))),"—"))</f>
        <v/>
      </c>
      <c r="I111" s="42" t="str">
        <f>IF(I$96="","",IF(Config!$R$42&lt;&gt;"Não",IF(COUNTIFS(BD!$B$3:$B$5001,I$96,BD!$A$3:$A$5001,"&gt;="&amp;$C$7,BD!$A$3:$A$5001,"&lt;="&amp;$D$7,BD!$Q$3:$Q$5001,"&lt;&gt;")=0,"",SUMIFS(BD!$Q$3:$Q$5001,BD!$B$3:$B$5001,I$96,BD!$A$3:$A$5001,_xlfn.MAXIFS(BD!$A$3:$A$5001,BD!$B$3:$B$5001,I$96,BD!$A$3:$A$5001,"&gt;="&amp;$C$7,BD!$A$3:$A$5001,"&lt;="&amp;$D$7,BD!$Q$3:$Q$5001,"&lt;&gt;"))),"—"))</f>
        <v/>
      </c>
      <c r="J111" s="42" t="str">
        <f>IF(J$96="","",IF(Config!$R$43&lt;&gt;"Não",IF(COUNTIFS(BD!$B$3:$B$5001,J$96,BD!$A$3:$A$5001,"&gt;="&amp;$C$7,BD!$A$3:$A$5001,"&lt;="&amp;$D$7,BD!$Q$3:$Q$5001,"&lt;&gt;")=0,"",SUMIFS(BD!$Q$3:$Q$5001,BD!$B$3:$B$5001,J$96,BD!$A$3:$A$5001,_xlfn.MAXIFS(BD!$A$3:$A$5001,BD!$B$3:$B$5001,J$96,BD!$A$3:$A$5001,"&gt;="&amp;$C$7,BD!$A$3:$A$5001,"&lt;="&amp;$D$7,BD!$Q$3:$Q$5001,"&lt;&gt;"))),"—"))</f>
        <v/>
      </c>
      <c r="K111" s="42" t="str">
        <f>IF(K$96="","",IF(Config!$R$44&lt;&gt;"Não",IF(COUNTIFS(BD!$B$3:$B$5001,K$96,BD!$A$3:$A$5001,"&gt;="&amp;$C$7,BD!$A$3:$A$5001,"&lt;="&amp;$D$7,BD!$Q$3:$Q$5001,"&lt;&gt;")=0,"",SUMIFS(BD!$Q$3:$Q$5001,BD!$B$3:$B$5001,K$96,BD!$A$3:$A$5001,_xlfn.MAXIFS(BD!$A$3:$A$5001,BD!$B$3:$B$5001,K$96,BD!$A$3:$A$5001,"&gt;="&amp;$C$7,BD!$A$3:$A$5001,"&lt;="&amp;$D$7,BD!$Q$3:$Q$5001,"&lt;&gt;"))),"—"))</f>
        <v/>
      </c>
      <c r="L111" s="42" t="str">
        <f>IF(L$96="","",IF(Config!$R$45&lt;&gt;"Não",IF(COUNTIFS(BD!$B$3:$B$5001,L$96,BD!$A$3:$A$5001,"&gt;="&amp;$C$7,BD!$A$3:$A$5001,"&lt;="&amp;$D$7,BD!$Q$3:$Q$5001,"&lt;&gt;")=0,"",SUMIFS(BD!$Q$3:$Q$5001,BD!$B$3:$B$5001,L$96,BD!$A$3:$A$5001,_xlfn.MAXIFS(BD!$A$3:$A$5001,BD!$B$3:$B$5001,L$96,BD!$A$3:$A$5001,"&gt;="&amp;$C$7,BD!$A$3:$A$5001,"&lt;="&amp;$D$7,BD!$Q$3:$Q$5001,"&lt;&gt;"))),"—"))</f>
        <v/>
      </c>
      <c r="M111" s="42" t="str">
        <f>IF(M$96="","",IF(Config!$R$46&lt;&gt;"Não",IF(COUNTIFS(BD!$B$3:$B$5001,M$96,BD!$A$3:$A$5001,"&gt;="&amp;$C$7,BD!$A$3:$A$5001,"&lt;="&amp;$D$7,BD!$Q$3:$Q$5001,"&lt;&gt;")=0,"",SUMIFS(BD!$Q$3:$Q$5001,BD!$B$3:$B$5001,M$96,BD!$A$3:$A$5001,_xlfn.MAXIFS(BD!$A$3:$A$5001,BD!$B$3:$B$5001,M$96,BD!$A$3:$A$5001,"&gt;="&amp;$C$7,BD!$A$3:$A$5001,"&lt;="&amp;$D$7,BD!$Q$3:$Q$5001,"&lt;&gt;"))),"—"))</f>
        <v/>
      </c>
      <c r="N111" s="42" t="str">
        <f>IF(N$96="","",IF(Config!$R$47&lt;&gt;"Não",IF(COUNTIFS(BD!$B$3:$B$5001,N$96,BD!$A$3:$A$5001,"&gt;="&amp;$C$7,BD!$A$3:$A$5001,"&lt;="&amp;$D$7,BD!$Q$3:$Q$5001,"&lt;&gt;")=0,"",SUMIFS(BD!$Q$3:$Q$5001,BD!$B$3:$B$5001,N$96,BD!$A$3:$A$5001,_xlfn.MAXIFS(BD!$A$3:$A$5001,BD!$B$3:$B$5001,N$96,BD!$A$3:$A$5001,"&gt;="&amp;$C$7,BD!$A$3:$A$5001,"&lt;="&amp;$D$7,BD!$Q$3:$Q$5001,"&lt;&gt;"))),"—"))</f>
        <v/>
      </c>
      <c r="O111" s="42" t="str">
        <f>IF(O$96="","",IF(Config!$R$48&lt;&gt;"Não",IF(COUNTIFS(BD!$B$3:$B$5001,O$96,BD!$A$3:$A$5001,"&gt;="&amp;$C$7,BD!$A$3:$A$5001,"&lt;="&amp;$D$7,BD!$Q$3:$Q$5001,"&lt;&gt;")=0,"",SUMIFS(BD!$Q$3:$Q$5001,BD!$B$3:$B$5001,O$96,BD!$A$3:$A$5001,_xlfn.MAXIFS(BD!$A$3:$A$5001,BD!$B$3:$B$5001,O$96,BD!$A$3:$A$5001,"&gt;="&amp;$C$7,BD!$A$3:$A$5001,"&lt;="&amp;$D$7,BD!$Q$3:$Q$5001,"&lt;&gt;"))),"—"))</f>
        <v/>
      </c>
      <c r="P111" s="42" t="str">
        <f>IF(P$96="","",IF(Config!$R$49&lt;&gt;"Não",IF(COUNTIFS(BD!$B$3:$B$5001,P$96,BD!$A$3:$A$5001,"&gt;="&amp;$C$7,BD!$A$3:$A$5001,"&lt;="&amp;$D$7,BD!$Q$3:$Q$5001,"&lt;&gt;")=0,"",SUMIFS(BD!$Q$3:$Q$5001,BD!$B$3:$B$5001,P$96,BD!$A$3:$A$5001,_xlfn.MAXIFS(BD!$A$3:$A$5001,BD!$B$3:$B$5001,P$96,BD!$A$3:$A$5001,"&gt;="&amp;$C$7,BD!$A$3:$A$5001,"&lt;="&amp;$D$7,BD!$Q$3:$Q$5001,"&lt;&gt;"))),"—"))</f>
        <v/>
      </c>
      <c r="Q111" s="42" t="str">
        <f>IF(Q$96="","",IF(Config!$R$50&lt;&gt;"Não",IF(COUNTIFS(BD!$B$3:$B$5001,Q$96,BD!$A$3:$A$5001,"&gt;="&amp;$C$7,BD!$A$3:$A$5001,"&lt;="&amp;$D$7,BD!$Q$3:$Q$5001,"&lt;&gt;")=0,"",SUMIFS(BD!$Q$3:$Q$5001,BD!$B$3:$B$5001,Q$96,BD!$A$3:$A$5001,_xlfn.MAXIFS(BD!$A$3:$A$5001,BD!$B$3:$B$5001,Q$96,BD!$A$3:$A$5001,"&gt;="&amp;$C$7,BD!$A$3:$A$5001,"&lt;="&amp;$D$7,BD!$Q$3:$Q$5001,"&lt;&gt;"))),"—"))</f>
        <v/>
      </c>
      <c r="R111" s="42" t="str">
        <f>IF(R$96="","",IF(Config!$R$51&lt;&gt;"Não",IF(COUNTIFS(BD!$B$3:$B$5001,R$96,BD!$A$3:$A$5001,"&gt;="&amp;$C$7,BD!$A$3:$A$5001,"&lt;="&amp;$D$7,BD!$Q$3:$Q$5001,"&lt;&gt;")=0,"",SUMIFS(BD!$Q$3:$Q$5001,BD!$B$3:$B$5001,R$96,BD!$A$3:$A$5001,_xlfn.MAXIFS(BD!$A$3:$A$5001,BD!$B$3:$B$5001,R$96,BD!$A$3:$A$5001,"&gt;="&amp;$C$7,BD!$A$3:$A$5001,"&lt;="&amp;$D$7,BD!$Q$3:$Q$5001,"&lt;&gt;"))),"—"))</f>
        <v/>
      </c>
      <c r="S111" s="42" t="str">
        <f>IF(S$96="","",IF(Config!$R$52&lt;&gt;"Não",IF(COUNTIFS(BD!$B$3:$B$5001,S$96,BD!$A$3:$A$5001,"&gt;="&amp;$C$7,BD!$A$3:$A$5001,"&lt;="&amp;$D$7,BD!$Q$3:$Q$5001,"&lt;&gt;")=0,"",SUMIFS(BD!$Q$3:$Q$5001,BD!$B$3:$B$5001,S$96,BD!$A$3:$A$5001,_xlfn.MAXIFS(BD!$A$3:$A$5001,BD!$B$3:$B$5001,S$96,BD!$A$3:$A$5001,"&gt;="&amp;$C$7,BD!$A$3:$A$5001,"&lt;="&amp;$D$7,BD!$Q$3:$Q$5001,"&lt;&gt;"))),"—"))</f>
        <v/>
      </c>
      <c r="T111" s="42" t="str">
        <f>IF(T$96="","",IF(Config!$R$53&lt;&gt;"Não",IF(COUNTIFS(BD!$B$3:$B$5001,T$96,BD!$A$3:$A$5001,"&gt;="&amp;$C$7,BD!$A$3:$A$5001,"&lt;="&amp;$D$7,BD!$Q$3:$Q$5001,"&lt;&gt;")=0,"",SUMIFS(BD!$Q$3:$Q$5001,BD!$B$3:$B$5001,T$96,BD!$A$3:$A$5001,_xlfn.MAXIFS(BD!$A$3:$A$5001,BD!$B$3:$B$5001,T$96,BD!$A$3:$A$5001,"&gt;="&amp;$C$7,BD!$A$3:$A$5001,"&lt;="&amp;$D$7,BD!$Q$3:$Q$5001,"&lt;&gt;"))),"—"))</f>
        <v/>
      </c>
      <c r="U111" s="42" t="str">
        <f>IF(U$96="","",IF(Config!$R$54&lt;&gt;"Não",IF(COUNTIFS(BD!$B$3:$B$5001,U$96,BD!$A$3:$A$5001,"&gt;="&amp;$C$7,BD!$A$3:$A$5001,"&lt;="&amp;$D$7,BD!$Q$3:$Q$5001,"&lt;&gt;")=0,"",SUMIFS(BD!$Q$3:$Q$5001,BD!$B$3:$B$5001,U$96,BD!$A$3:$A$5001,_xlfn.MAXIFS(BD!$A$3:$A$5001,BD!$B$3:$B$5001,U$96,BD!$A$3:$A$5001,"&gt;="&amp;$C$7,BD!$A$3:$A$5001,"&lt;="&amp;$D$7,BD!$Q$3:$Q$5001,"&lt;&gt;"))),"—"))</f>
        <v/>
      </c>
      <c r="V111" s="73">
        <f>SUM(B111:U111)</f>
        <v>0</v>
      </c>
    </row>
    <row r="112">
      <c r="A112" s="40" t="inlineStr">
        <is>
          <t xml:space="preserve">OCUPAÇÃO (P.P) · Posições Disponíveis</t>
        </is>
      </c>
      <c r="B112" s="42" t="str">
        <f>IF(B$96="","",IF(Config!$S$35&lt;&gt;"Não",IF(N(IF(COUNTIFS(BD!$B$3:$B$5001,B$96,BD!$A$3:$A$5001,"&gt;="&amp;$C$7,BD!$A$3:$A$5001,"&lt;="&amp;$D$7,BD!$S$3:$S$5001,"&lt;&gt;")=0,"",SUMIFS(BD!$R$3:$R$5001,BD!$B$3:$B$5001,B$96,BD!$A$3:$A$5001,_xlfn.MAXIFS(BD!$A$3:$A$5001,BD!$B$3:$B$5001,B$96,BD!$A$3:$A$5001,"&gt;="&amp;$C$7,BD!$A$3:$A$5001,"&lt;="&amp;$D$7,BD!$S$3:$S$5001,"&lt;&gt;"))))=0,"",IF(COUNTIFS(BD!$B$3:$B$5001,B$96,BD!$A$3:$A$5001,"&gt;="&amp;$C$7,BD!$A$3:$A$5001,"&lt;="&amp;$D$7,BD!$S$3:$S$5001,"&lt;&gt;")=0,"",SUMIFS(BD!$R$3:$R$5001,BD!$B$3:$B$5001,B$96,BD!$A$3:$A$5001,_xlfn.MAXIFS(BD!$A$3:$A$5001,BD!$B$3:$B$5001,B$96,BD!$A$3:$A$5001,"&gt;="&amp;$C$7,BD!$A$3:$A$5001,"&lt;="&amp;$D$7,BD!$S$3:$S$5001,"&lt;&gt;")))),"—"))</f>
        <v/>
      </c>
      <c r="C112" s="42" t="str">
        <f>IF(C$96="","",IF(Config!$S$36&lt;&gt;"Não",IF(N(IF(COUNTIFS(BD!$B$3:$B$5001,C$96,BD!$A$3:$A$5001,"&gt;="&amp;$C$7,BD!$A$3:$A$5001,"&lt;="&amp;$D$7,BD!$S$3:$S$5001,"&lt;&gt;")=0,"",SUMIFS(BD!$R$3:$R$5001,BD!$B$3:$B$5001,C$96,BD!$A$3:$A$5001,_xlfn.MAXIFS(BD!$A$3:$A$5001,BD!$B$3:$B$5001,C$96,BD!$A$3:$A$5001,"&gt;="&amp;$C$7,BD!$A$3:$A$5001,"&lt;="&amp;$D$7,BD!$S$3:$S$5001,"&lt;&gt;"))))=0,"",IF(COUNTIFS(BD!$B$3:$B$5001,C$96,BD!$A$3:$A$5001,"&gt;="&amp;$C$7,BD!$A$3:$A$5001,"&lt;="&amp;$D$7,BD!$S$3:$S$5001,"&lt;&gt;")=0,"",SUMIFS(BD!$R$3:$R$5001,BD!$B$3:$B$5001,C$96,BD!$A$3:$A$5001,_xlfn.MAXIFS(BD!$A$3:$A$5001,BD!$B$3:$B$5001,C$96,BD!$A$3:$A$5001,"&gt;="&amp;$C$7,BD!$A$3:$A$5001,"&lt;="&amp;$D$7,BD!$S$3:$S$5001,"&lt;&gt;")))),"—"))</f>
        <v>—</v>
      </c>
      <c r="D112" s="42" t="str">
        <f>IF(D$96="","",IF(Config!$S$37&lt;&gt;"Não",IF(N(IF(COUNTIFS(BD!$B$3:$B$5001,D$96,BD!$A$3:$A$5001,"&gt;="&amp;$C$7,BD!$A$3:$A$5001,"&lt;="&amp;$D$7,BD!$S$3:$S$5001,"&lt;&gt;")=0,"",SUMIFS(BD!$R$3:$R$5001,BD!$B$3:$B$5001,D$96,BD!$A$3:$A$5001,_xlfn.MAXIFS(BD!$A$3:$A$5001,BD!$B$3:$B$5001,D$96,BD!$A$3:$A$5001,"&gt;="&amp;$C$7,BD!$A$3:$A$5001,"&lt;="&amp;$D$7,BD!$S$3:$S$5001,"&lt;&gt;"))))=0,"",IF(COUNTIFS(BD!$B$3:$B$5001,D$96,BD!$A$3:$A$5001,"&gt;="&amp;$C$7,BD!$A$3:$A$5001,"&lt;="&amp;$D$7,BD!$S$3:$S$5001,"&lt;&gt;")=0,"",SUMIFS(BD!$R$3:$R$5001,BD!$B$3:$B$5001,D$96,BD!$A$3:$A$5001,_xlfn.MAXIFS(BD!$A$3:$A$5001,BD!$B$3:$B$5001,D$96,BD!$A$3:$A$5001,"&gt;="&amp;$C$7,BD!$A$3:$A$5001,"&lt;="&amp;$D$7,BD!$S$3:$S$5001,"&lt;&gt;")))),"—"))</f>
        <v>—</v>
      </c>
      <c r="E112" s="42" t="str">
        <f>IF(E$96="","",IF(Config!$S$38&lt;&gt;"Não",IF(N(IF(COUNTIFS(BD!$B$3:$B$5001,E$96,BD!$A$3:$A$5001,"&gt;="&amp;$C$7,BD!$A$3:$A$5001,"&lt;="&amp;$D$7,BD!$S$3:$S$5001,"&lt;&gt;")=0,"",SUMIFS(BD!$R$3:$R$5001,BD!$B$3:$B$5001,E$96,BD!$A$3:$A$5001,_xlfn.MAXIFS(BD!$A$3:$A$5001,BD!$B$3:$B$5001,E$96,BD!$A$3:$A$5001,"&gt;="&amp;$C$7,BD!$A$3:$A$5001,"&lt;="&amp;$D$7,BD!$S$3:$S$5001,"&lt;&gt;"))))=0,"",IF(COUNTIFS(BD!$B$3:$B$5001,E$96,BD!$A$3:$A$5001,"&gt;="&amp;$C$7,BD!$A$3:$A$5001,"&lt;="&amp;$D$7,BD!$S$3:$S$5001,"&lt;&gt;")=0,"",SUMIFS(BD!$R$3:$R$5001,BD!$B$3:$B$5001,E$96,BD!$A$3:$A$5001,_xlfn.MAXIFS(BD!$A$3:$A$5001,BD!$B$3:$B$5001,E$96,BD!$A$3:$A$5001,"&gt;="&amp;$C$7,BD!$A$3:$A$5001,"&lt;="&amp;$D$7,BD!$S$3:$S$5001,"&lt;&gt;")))),"—"))</f>
        <v>—</v>
      </c>
      <c r="F112" s="42" t="str">
        <f>IF(F$96="","",IF(Config!$S$39&lt;&gt;"Não",IF(N(IF(COUNTIFS(BD!$B$3:$B$5001,F$96,BD!$A$3:$A$5001,"&gt;="&amp;$C$7,BD!$A$3:$A$5001,"&lt;="&amp;$D$7,BD!$S$3:$S$5001,"&lt;&gt;")=0,"",SUMIFS(BD!$R$3:$R$5001,BD!$B$3:$B$5001,F$96,BD!$A$3:$A$5001,_xlfn.MAXIFS(BD!$A$3:$A$5001,BD!$B$3:$B$5001,F$96,BD!$A$3:$A$5001,"&gt;="&amp;$C$7,BD!$A$3:$A$5001,"&lt;="&amp;$D$7,BD!$S$3:$S$5001,"&lt;&gt;"))))=0,"",IF(COUNTIFS(BD!$B$3:$B$5001,F$96,BD!$A$3:$A$5001,"&gt;="&amp;$C$7,BD!$A$3:$A$5001,"&lt;="&amp;$D$7,BD!$S$3:$S$5001,"&lt;&gt;")=0,"",SUMIFS(BD!$R$3:$R$5001,BD!$B$3:$B$5001,F$96,BD!$A$3:$A$5001,_xlfn.MAXIFS(BD!$A$3:$A$5001,BD!$B$3:$B$5001,F$96,BD!$A$3:$A$5001,"&gt;="&amp;$C$7,BD!$A$3:$A$5001,"&lt;="&amp;$D$7,BD!$S$3:$S$5001,"&lt;&gt;")))),"—"))</f>
        <v/>
      </c>
      <c r="G112" s="42" t="str">
        <f>IF(G$96="","",IF(Config!$S$40&lt;&gt;"Não",IF(N(IF(COUNTIFS(BD!$B$3:$B$5001,G$96,BD!$A$3:$A$5001,"&gt;="&amp;$C$7,BD!$A$3:$A$5001,"&lt;="&amp;$D$7,BD!$S$3:$S$5001,"&lt;&gt;")=0,"",SUMIFS(BD!$R$3:$R$5001,BD!$B$3:$B$5001,G$96,BD!$A$3:$A$5001,_xlfn.MAXIFS(BD!$A$3:$A$5001,BD!$B$3:$B$5001,G$96,BD!$A$3:$A$5001,"&gt;="&amp;$C$7,BD!$A$3:$A$5001,"&lt;="&amp;$D$7,BD!$S$3:$S$5001,"&lt;&gt;"))))=0,"",IF(COUNTIFS(BD!$B$3:$B$5001,G$96,BD!$A$3:$A$5001,"&gt;="&amp;$C$7,BD!$A$3:$A$5001,"&lt;="&amp;$D$7,BD!$S$3:$S$5001,"&lt;&gt;")=0,"",SUMIFS(BD!$R$3:$R$5001,BD!$B$3:$B$5001,G$96,BD!$A$3:$A$5001,_xlfn.MAXIFS(BD!$A$3:$A$5001,BD!$B$3:$B$5001,G$96,BD!$A$3:$A$5001,"&gt;="&amp;$C$7,BD!$A$3:$A$5001,"&lt;="&amp;$D$7,BD!$S$3:$S$5001,"&lt;&gt;")))),"—"))</f>
        <v/>
      </c>
      <c r="H112" s="42" t="str">
        <f>IF(H$96="","",IF(Config!$S$41&lt;&gt;"Não",IF(N(IF(COUNTIFS(BD!$B$3:$B$5001,H$96,BD!$A$3:$A$5001,"&gt;="&amp;$C$7,BD!$A$3:$A$5001,"&lt;="&amp;$D$7,BD!$S$3:$S$5001,"&lt;&gt;")=0,"",SUMIFS(BD!$R$3:$R$5001,BD!$B$3:$B$5001,H$96,BD!$A$3:$A$5001,_xlfn.MAXIFS(BD!$A$3:$A$5001,BD!$B$3:$B$5001,H$96,BD!$A$3:$A$5001,"&gt;="&amp;$C$7,BD!$A$3:$A$5001,"&lt;="&amp;$D$7,BD!$S$3:$S$5001,"&lt;&gt;"))))=0,"",IF(COUNTIFS(BD!$B$3:$B$5001,H$96,BD!$A$3:$A$5001,"&gt;="&amp;$C$7,BD!$A$3:$A$5001,"&lt;="&amp;$D$7,BD!$S$3:$S$5001,"&lt;&gt;")=0,"",SUMIFS(BD!$R$3:$R$5001,BD!$B$3:$B$5001,H$96,BD!$A$3:$A$5001,_xlfn.MAXIFS(BD!$A$3:$A$5001,BD!$B$3:$B$5001,H$96,BD!$A$3:$A$5001,"&gt;="&amp;$C$7,BD!$A$3:$A$5001,"&lt;="&amp;$D$7,BD!$S$3:$S$5001,"&lt;&gt;")))),"—"))</f>
        <v/>
      </c>
      <c r="I112" s="42" t="str">
        <f>IF(I$96="","",IF(Config!$S$42&lt;&gt;"Não",IF(N(IF(COUNTIFS(BD!$B$3:$B$5001,I$96,BD!$A$3:$A$5001,"&gt;="&amp;$C$7,BD!$A$3:$A$5001,"&lt;="&amp;$D$7,BD!$S$3:$S$5001,"&lt;&gt;")=0,"",SUMIFS(BD!$R$3:$R$5001,BD!$B$3:$B$5001,I$96,BD!$A$3:$A$5001,_xlfn.MAXIFS(BD!$A$3:$A$5001,BD!$B$3:$B$5001,I$96,BD!$A$3:$A$5001,"&gt;="&amp;$C$7,BD!$A$3:$A$5001,"&lt;="&amp;$D$7,BD!$S$3:$S$5001,"&lt;&gt;"))))=0,"",IF(COUNTIFS(BD!$B$3:$B$5001,I$96,BD!$A$3:$A$5001,"&gt;="&amp;$C$7,BD!$A$3:$A$5001,"&lt;="&amp;$D$7,BD!$S$3:$S$5001,"&lt;&gt;")=0,"",SUMIFS(BD!$R$3:$R$5001,BD!$B$3:$B$5001,I$96,BD!$A$3:$A$5001,_xlfn.MAXIFS(BD!$A$3:$A$5001,BD!$B$3:$B$5001,I$96,BD!$A$3:$A$5001,"&gt;="&amp;$C$7,BD!$A$3:$A$5001,"&lt;="&amp;$D$7,BD!$S$3:$S$5001,"&lt;&gt;")))),"—"))</f>
        <v/>
      </c>
      <c r="J112" s="42" t="str">
        <f>IF(J$96="","",IF(Config!$S$43&lt;&gt;"Não",IF(N(IF(COUNTIFS(BD!$B$3:$B$5001,J$96,BD!$A$3:$A$5001,"&gt;="&amp;$C$7,BD!$A$3:$A$5001,"&lt;="&amp;$D$7,BD!$S$3:$S$5001,"&lt;&gt;")=0,"",SUMIFS(BD!$R$3:$R$5001,BD!$B$3:$B$5001,J$96,BD!$A$3:$A$5001,_xlfn.MAXIFS(BD!$A$3:$A$5001,BD!$B$3:$B$5001,J$96,BD!$A$3:$A$5001,"&gt;="&amp;$C$7,BD!$A$3:$A$5001,"&lt;="&amp;$D$7,BD!$S$3:$S$5001,"&lt;&gt;"))))=0,"",IF(COUNTIFS(BD!$B$3:$B$5001,J$96,BD!$A$3:$A$5001,"&gt;="&amp;$C$7,BD!$A$3:$A$5001,"&lt;="&amp;$D$7,BD!$S$3:$S$5001,"&lt;&gt;")=0,"",SUMIFS(BD!$R$3:$R$5001,BD!$B$3:$B$5001,J$96,BD!$A$3:$A$5001,_xlfn.MAXIFS(BD!$A$3:$A$5001,BD!$B$3:$B$5001,J$96,BD!$A$3:$A$5001,"&gt;="&amp;$C$7,BD!$A$3:$A$5001,"&lt;="&amp;$D$7,BD!$S$3:$S$5001,"&lt;&gt;")))),"—"))</f>
        <v/>
      </c>
      <c r="K112" s="42" t="str">
        <f>IF(K$96="","",IF(Config!$S$44&lt;&gt;"Não",IF(N(IF(COUNTIFS(BD!$B$3:$B$5001,K$96,BD!$A$3:$A$5001,"&gt;="&amp;$C$7,BD!$A$3:$A$5001,"&lt;="&amp;$D$7,BD!$S$3:$S$5001,"&lt;&gt;")=0,"",SUMIFS(BD!$R$3:$R$5001,BD!$B$3:$B$5001,K$96,BD!$A$3:$A$5001,_xlfn.MAXIFS(BD!$A$3:$A$5001,BD!$B$3:$B$5001,K$96,BD!$A$3:$A$5001,"&gt;="&amp;$C$7,BD!$A$3:$A$5001,"&lt;="&amp;$D$7,BD!$S$3:$S$5001,"&lt;&gt;"))))=0,"",IF(COUNTIFS(BD!$B$3:$B$5001,K$96,BD!$A$3:$A$5001,"&gt;="&amp;$C$7,BD!$A$3:$A$5001,"&lt;="&amp;$D$7,BD!$S$3:$S$5001,"&lt;&gt;")=0,"",SUMIFS(BD!$R$3:$R$5001,BD!$B$3:$B$5001,K$96,BD!$A$3:$A$5001,_xlfn.MAXIFS(BD!$A$3:$A$5001,BD!$B$3:$B$5001,K$96,BD!$A$3:$A$5001,"&gt;="&amp;$C$7,BD!$A$3:$A$5001,"&lt;="&amp;$D$7,BD!$S$3:$S$5001,"&lt;&gt;")))),"—"))</f>
        <v/>
      </c>
      <c r="L112" s="42" t="str">
        <f>IF(L$96="","",IF(Config!$S$45&lt;&gt;"Não",IF(N(IF(COUNTIFS(BD!$B$3:$B$5001,L$96,BD!$A$3:$A$5001,"&gt;="&amp;$C$7,BD!$A$3:$A$5001,"&lt;="&amp;$D$7,BD!$S$3:$S$5001,"&lt;&gt;")=0,"",SUMIFS(BD!$R$3:$R$5001,BD!$B$3:$B$5001,L$96,BD!$A$3:$A$5001,_xlfn.MAXIFS(BD!$A$3:$A$5001,BD!$B$3:$B$5001,L$96,BD!$A$3:$A$5001,"&gt;="&amp;$C$7,BD!$A$3:$A$5001,"&lt;="&amp;$D$7,BD!$S$3:$S$5001,"&lt;&gt;"))))=0,"",IF(COUNTIFS(BD!$B$3:$B$5001,L$96,BD!$A$3:$A$5001,"&gt;="&amp;$C$7,BD!$A$3:$A$5001,"&lt;="&amp;$D$7,BD!$S$3:$S$5001,"&lt;&gt;")=0,"",SUMIFS(BD!$R$3:$R$5001,BD!$B$3:$B$5001,L$96,BD!$A$3:$A$5001,_xlfn.MAXIFS(BD!$A$3:$A$5001,BD!$B$3:$B$5001,L$96,BD!$A$3:$A$5001,"&gt;="&amp;$C$7,BD!$A$3:$A$5001,"&lt;="&amp;$D$7,BD!$S$3:$S$5001,"&lt;&gt;")))),"—"))</f>
        <v/>
      </c>
      <c r="M112" s="42" t="str">
        <f>IF(M$96="","",IF(Config!$S$46&lt;&gt;"Não",IF(N(IF(COUNTIFS(BD!$B$3:$B$5001,M$96,BD!$A$3:$A$5001,"&gt;="&amp;$C$7,BD!$A$3:$A$5001,"&lt;="&amp;$D$7,BD!$S$3:$S$5001,"&lt;&gt;")=0,"",SUMIFS(BD!$R$3:$R$5001,BD!$B$3:$B$5001,M$96,BD!$A$3:$A$5001,_xlfn.MAXIFS(BD!$A$3:$A$5001,BD!$B$3:$B$5001,M$96,BD!$A$3:$A$5001,"&gt;="&amp;$C$7,BD!$A$3:$A$5001,"&lt;="&amp;$D$7,BD!$S$3:$S$5001,"&lt;&gt;"))))=0,"",IF(COUNTIFS(BD!$B$3:$B$5001,M$96,BD!$A$3:$A$5001,"&gt;="&amp;$C$7,BD!$A$3:$A$5001,"&lt;="&amp;$D$7,BD!$S$3:$S$5001,"&lt;&gt;")=0,"",SUMIFS(BD!$R$3:$R$5001,BD!$B$3:$B$5001,M$96,BD!$A$3:$A$5001,_xlfn.MAXIFS(BD!$A$3:$A$5001,BD!$B$3:$B$5001,M$96,BD!$A$3:$A$5001,"&gt;="&amp;$C$7,BD!$A$3:$A$5001,"&lt;="&amp;$D$7,BD!$S$3:$S$5001,"&lt;&gt;")))),"—"))</f>
        <v/>
      </c>
      <c r="N112" s="42" t="str">
        <f>IF(N$96="","",IF(Config!$S$47&lt;&gt;"Não",IF(N(IF(COUNTIFS(BD!$B$3:$B$5001,N$96,BD!$A$3:$A$5001,"&gt;="&amp;$C$7,BD!$A$3:$A$5001,"&lt;="&amp;$D$7,BD!$S$3:$S$5001,"&lt;&gt;")=0,"",SUMIFS(BD!$R$3:$R$5001,BD!$B$3:$B$5001,N$96,BD!$A$3:$A$5001,_xlfn.MAXIFS(BD!$A$3:$A$5001,BD!$B$3:$B$5001,N$96,BD!$A$3:$A$5001,"&gt;="&amp;$C$7,BD!$A$3:$A$5001,"&lt;="&amp;$D$7,BD!$S$3:$S$5001,"&lt;&gt;"))))=0,"",IF(COUNTIFS(BD!$B$3:$B$5001,N$96,BD!$A$3:$A$5001,"&gt;="&amp;$C$7,BD!$A$3:$A$5001,"&lt;="&amp;$D$7,BD!$S$3:$S$5001,"&lt;&gt;")=0,"",SUMIFS(BD!$R$3:$R$5001,BD!$B$3:$B$5001,N$96,BD!$A$3:$A$5001,_xlfn.MAXIFS(BD!$A$3:$A$5001,BD!$B$3:$B$5001,N$96,BD!$A$3:$A$5001,"&gt;="&amp;$C$7,BD!$A$3:$A$5001,"&lt;="&amp;$D$7,BD!$S$3:$S$5001,"&lt;&gt;")))),"—"))</f>
        <v/>
      </c>
      <c r="O112" s="42" t="str">
        <f>IF(O$96="","",IF(Config!$S$48&lt;&gt;"Não",IF(N(IF(COUNTIFS(BD!$B$3:$B$5001,O$96,BD!$A$3:$A$5001,"&gt;="&amp;$C$7,BD!$A$3:$A$5001,"&lt;="&amp;$D$7,BD!$S$3:$S$5001,"&lt;&gt;")=0,"",SUMIFS(BD!$R$3:$R$5001,BD!$B$3:$B$5001,O$96,BD!$A$3:$A$5001,_xlfn.MAXIFS(BD!$A$3:$A$5001,BD!$B$3:$B$5001,O$96,BD!$A$3:$A$5001,"&gt;="&amp;$C$7,BD!$A$3:$A$5001,"&lt;="&amp;$D$7,BD!$S$3:$S$5001,"&lt;&gt;"))))=0,"",IF(COUNTIFS(BD!$B$3:$B$5001,O$96,BD!$A$3:$A$5001,"&gt;="&amp;$C$7,BD!$A$3:$A$5001,"&lt;="&amp;$D$7,BD!$S$3:$S$5001,"&lt;&gt;")=0,"",SUMIFS(BD!$R$3:$R$5001,BD!$B$3:$B$5001,O$96,BD!$A$3:$A$5001,_xlfn.MAXIFS(BD!$A$3:$A$5001,BD!$B$3:$B$5001,O$96,BD!$A$3:$A$5001,"&gt;="&amp;$C$7,BD!$A$3:$A$5001,"&lt;="&amp;$D$7,BD!$S$3:$S$5001,"&lt;&gt;")))),"—"))</f>
        <v/>
      </c>
      <c r="P112" s="42" t="str">
        <f>IF(P$96="","",IF(Config!$S$49&lt;&gt;"Não",IF(N(IF(COUNTIFS(BD!$B$3:$B$5001,P$96,BD!$A$3:$A$5001,"&gt;="&amp;$C$7,BD!$A$3:$A$5001,"&lt;="&amp;$D$7,BD!$S$3:$S$5001,"&lt;&gt;")=0,"",SUMIFS(BD!$R$3:$R$5001,BD!$B$3:$B$5001,P$96,BD!$A$3:$A$5001,_xlfn.MAXIFS(BD!$A$3:$A$5001,BD!$B$3:$B$5001,P$96,BD!$A$3:$A$5001,"&gt;="&amp;$C$7,BD!$A$3:$A$5001,"&lt;="&amp;$D$7,BD!$S$3:$S$5001,"&lt;&gt;"))))=0,"",IF(COUNTIFS(BD!$B$3:$B$5001,P$96,BD!$A$3:$A$5001,"&gt;="&amp;$C$7,BD!$A$3:$A$5001,"&lt;="&amp;$D$7,BD!$S$3:$S$5001,"&lt;&gt;")=0,"",SUMIFS(BD!$R$3:$R$5001,BD!$B$3:$B$5001,P$96,BD!$A$3:$A$5001,_xlfn.MAXIFS(BD!$A$3:$A$5001,BD!$B$3:$B$5001,P$96,BD!$A$3:$A$5001,"&gt;="&amp;$C$7,BD!$A$3:$A$5001,"&lt;="&amp;$D$7,BD!$S$3:$S$5001,"&lt;&gt;")))),"—"))</f>
        <v/>
      </c>
      <c r="Q112" s="42" t="str">
        <f>IF(Q$96="","",IF(Config!$S$50&lt;&gt;"Não",IF(N(IF(COUNTIFS(BD!$B$3:$B$5001,Q$96,BD!$A$3:$A$5001,"&gt;="&amp;$C$7,BD!$A$3:$A$5001,"&lt;="&amp;$D$7,BD!$S$3:$S$5001,"&lt;&gt;")=0,"",SUMIFS(BD!$R$3:$R$5001,BD!$B$3:$B$5001,Q$96,BD!$A$3:$A$5001,_xlfn.MAXIFS(BD!$A$3:$A$5001,BD!$B$3:$B$5001,Q$96,BD!$A$3:$A$5001,"&gt;="&amp;$C$7,BD!$A$3:$A$5001,"&lt;="&amp;$D$7,BD!$S$3:$S$5001,"&lt;&gt;"))))=0,"",IF(COUNTIFS(BD!$B$3:$B$5001,Q$96,BD!$A$3:$A$5001,"&gt;="&amp;$C$7,BD!$A$3:$A$5001,"&lt;="&amp;$D$7,BD!$S$3:$S$5001,"&lt;&gt;")=0,"",SUMIFS(BD!$R$3:$R$5001,BD!$B$3:$B$5001,Q$96,BD!$A$3:$A$5001,_xlfn.MAXIFS(BD!$A$3:$A$5001,BD!$B$3:$B$5001,Q$96,BD!$A$3:$A$5001,"&gt;="&amp;$C$7,BD!$A$3:$A$5001,"&lt;="&amp;$D$7,BD!$S$3:$S$5001,"&lt;&gt;")))),"—"))</f>
        <v/>
      </c>
      <c r="R112" s="42" t="str">
        <f>IF(R$96="","",IF(Config!$S$51&lt;&gt;"Não",IF(N(IF(COUNTIFS(BD!$B$3:$B$5001,R$96,BD!$A$3:$A$5001,"&gt;="&amp;$C$7,BD!$A$3:$A$5001,"&lt;="&amp;$D$7,BD!$S$3:$S$5001,"&lt;&gt;")=0,"",SUMIFS(BD!$R$3:$R$5001,BD!$B$3:$B$5001,R$96,BD!$A$3:$A$5001,_xlfn.MAXIFS(BD!$A$3:$A$5001,BD!$B$3:$B$5001,R$96,BD!$A$3:$A$5001,"&gt;="&amp;$C$7,BD!$A$3:$A$5001,"&lt;="&amp;$D$7,BD!$S$3:$S$5001,"&lt;&gt;"))))=0,"",IF(COUNTIFS(BD!$B$3:$B$5001,R$96,BD!$A$3:$A$5001,"&gt;="&amp;$C$7,BD!$A$3:$A$5001,"&lt;="&amp;$D$7,BD!$S$3:$S$5001,"&lt;&gt;")=0,"",SUMIFS(BD!$R$3:$R$5001,BD!$B$3:$B$5001,R$96,BD!$A$3:$A$5001,_xlfn.MAXIFS(BD!$A$3:$A$5001,BD!$B$3:$B$5001,R$96,BD!$A$3:$A$5001,"&gt;="&amp;$C$7,BD!$A$3:$A$5001,"&lt;="&amp;$D$7,BD!$S$3:$S$5001,"&lt;&gt;")))),"—"))</f>
        <v/>
      </c>
      <c r="S112" s="42" t="str">
        <f>IF(S$96="","",IF(Config!$S$52&lt;&gt;"Não",IF(N(IF(COUNTIFS(BD!$B$3:$B$5001,S$96,BD!$A$3:$A$5001,"&gt;="&amp;$C$7,BD!$A$3:$A$5001,"&lt;="&amp;$D$7,BD!$S$3:$S$5001,"&lt;&gt;")=0,"",SUMIFS(BD!$R$3:$R$5001,BD!$B$3:$B$5001,S$96,BD!$A$3:$A$5001,_xlfn.MAXIFS(BD!$A$3:$A$5001,BD!$B$3:$B$5001,S$96,BD!$A$3:$A$5001,"&gt;="&amp;$C$7,BD!$A$3:$A$5001,"&lt;="&amp;$D$7,BD!$S$3:$S$5001,"&lt;&gt;"))))=0,"",IF(COUNTIFS(BD!$B$3:$B$5001,S$96,BD!$A$3:$A$5001,"&gt;="&amp;$C$7,BD!$A$3:$A$5001,"&lt;="&amp;$D$7,BD!$S$3:$S$5001,"&lt;&gt;")=0,"",SUMIFS(BD!$R$3:$R$5001,BD!$B$3:$B$5001,S$96,BD!$A$3:$A$5001,_xlfn.MAXIFS(BD!$A$3:$A$5001,BD!$B$3:$B$5001,S$96,BD!$A$3:$A$5001,"&gt;="&amp;$C$7,BD!$A$3:$A$5001,"&lt;="&amp;$D$7,BD!$S$3:$S$5001,"&lt;&gt;")))),"—"))</f>
        <v/>
      </c>
      <c r="T112" s="42" t="str">
        <f>IF(T$96="","",IF(Config!$S$53&lt;&gt;"Não",IF(N(IF(COUNTIFS(BD!$B$3:$B$5001,T$96,BD!$A$3:$A$5001,"&gt;="&amp;$C$7,BD!$A$3:$A$5001,"&lt;="&amp;$D$7,BD!$S$3:$S$5001,"&lt;&gt;")=0,"",SUMIFS(BD!$R$3:$R$5001,BD!$B$3:$B$5001,T$96,BD!$A$3:$A$5001,_xlfn.MAXIFS(BD!$A$3:$A$5001,BD!$B$3:$B$5001,T$96,BD!$A$3:$A$5001,"&gt;="&amp;$C$7,BD!$A$3:$A$5001,"&lt;="&amp;$D$7,BD!$S$3:$S$5001,"&lt;&gt;"))))=0,"",IF(COUNTIFS(BD!$B$3:$B$5001,T$96,BD!$A$3:$A$5001,"&gt;="&amp;$C$7,BD!$A$3:$A$5001,"&lt;="&amp;$D$7,BD!$S$3:$S$5001,"&lt;&gt;")=0,"",SUMIFS(BD!$R$3:$R$5001,BD!$B$3:$B$5001,T$96,BD!$A$3:$A$5001,_xlfn.MAXIFS(BD!$A$3:$A$5001,BD!$B$3:$B$5001,T$96,BD!$A$3:$A$5001,"&gt;="&amp;$C$7,BD!$A$3:$A$5001,"&lt;="&amp;$D$7,BD!$S$3:$S$5001,"&lt;&gt;")))),"—"))</f>
        <v/>
      </c>
      <c r="U112" s="42" t="str">
        <f>IF(U$96="","",IF(Config!$S$54&lt;&gt;"Não",IF(N(IF(COUNTIFS(BD!$B$3:$B$5001,U$96,BD!$A$3:$A$5001,"&gt;="&amp;$C$7,BD!$A$3:$A$5001,"&lt;="&amp;$D$7,BD!$S$3:$S$5001,"&lt;&gt;")=0,"",SUMIFS(BD!$R$3:$R$5001,BD!$B$3:$B$5001,U$96,BD!$A$3:$A$5001,_xlfn.MAXIFS(BD!$A$3:$A$5001,BD!$B$3:$B$5001,U$96,BD!$A$3:$A$5001,"&gt;="&amp;$C$7,BD!$A$3:$A$5001,"&lt;="&amp;$D$7,BD!$S$3:$S$5001,"&lt;&gt;"))))=0,"",IF(COUNTIFS(BD!$B$3:$B$5001,U$96,BD!$A$3:$A$5001,"&gt;="&amp;$C$7,BD!$A$3:$A$5001,"&lt;="&amp;$D$7,BD!$S$3:$S$5001,"&lt;&gt;")=0,"",SUMIFS(BD!$R$3:$R$5001,BD!$B$3:$B$5001,U$96,BD!$A$3:$A$5001,_xlfn.MAXIFS(BD!$A$3:$A$5001,BD!$B$3:$B$5001,U$96,BD!$A$3:$A$5001,"&gt;="&amp;$C$7,BD!$A$3:$A$5001,"&lt;="&amp;$D$7,BD!$S$3:$S$5001,"&lt;&gt;")))),"—"))</f>
        <v/>
      </c>
      <c r="V112" s="73">
        <f>IF($B$4&gt;0,$B$4,SUM(B112:U112))</f>
        <v>5872</v>
      </c>
    </row>
    <row r="113">
      <c r="A113" s="40" t="inlineStr">
        <is>
          <t xml:space="preserve">OCUPAÇÃO (P.P) · Posições Ocupadas</t>
        </is>
      </c>
      <c r="B113" s="42" t="str">
        <f>IF(B$96="","",IF(Config!$T$35&lt;&gt;"Não",IF(COUNTIFS(BD!$B$3:$B$5001,B$96,BD!$A$3:$A$5001,"&gt;="&amp;$C$7,BD!$A$3:$A$5001,"&lt;="&amp;$D$7,BD!$S$3:$S$5001,"&lt;&gt;")=0,"",SUMIFS(BD!$S$3:$S$5001,BD!$B$3:$B$5001,B$96,BD!$A$3:$A$5001,_xlfn.MAXIFS(BD!$A$3:$A$5001,BD!$B$3:$B$5001,B$96,BD!$A$3:$A$5001,"&gt;="&amp;$C$7,BD!$A$3:$A$5001,"&lt;="&amp;$D$7,BD!$S$3:$S$5001,"&lt;&gt;"))),"—"))</f>
        <v/>
      </c>
      <c r="C113" s="42" t="str">
        <f>IF(C$96="","",IF(Config!$T$36&lt;&gt;"Não",IF(COUNTIFS(BD!$B$3:$B$5001,C$96,BD!$A$3:$A$5001,"&gt;="&amp;$C$7,BD!$A$3:$A$5001,"&lt;="&amp;$D$7,BD!$S$3:$S$5001,"&lt;&gt;")=0,"",SUMIFS(BD!$S$3:$S$5001,BD!$B$3:$B$5001,C$96,BD!$A$3:$A$5001,_xlfn.MAXIFS(BD!$A$3:$A$5001,BD!$B$3:$B$5001,C$96,BD!$A$3:$A$5001,"&gt;="&amp;$C$7,BD!$A$3:$A$5001,"&lt;="&amp;$D$7,BD!$S$3:$S$5001,"&lt;&gt;"))),"—"))</f>
        <v>—</v>
      </c>
      <c r="D113" s="42" t="str">
        <f>IF(D$96="","",IF(Config!$T$37&lt;&gt;"Não",IF(COUNTIFS(BD!$B$3:$B$5001,D$96,BD!$A$3:$A$5001,"&gt;="&amp;$C$7,BD!$A$3:$A$5001,"&lt;="&amp;$D$7,BD!$S$3:$S$5001,"&lt;&gt;")=0,"",SUMIFS(BD!$S$3:$S$5001,BD!$B$3:$B$5001,D$96,BD!$A$3:$A$5001,_xlfn.MAXIFS(BD!$A$3:$A$5001,BD!$B$3:$B$5001,D$96,BD!$A$3:$A$5001,"&gt;="&amp;$C$7,BD!$A$3:$A$5001,"&lt;="&amp;$D$7,BD!$S$3:$S$5001,"&lt;&gt;"))),"—"))</f>
        <v/>
      </c>
      <c r="E113" s="42" t="str">
        <f>IF(E$96="","",IF(Config!$T$38&lt;&gt;"Não",IF(COUNTIFS(BD!$B$3:$B$5001,E$96,BD!$A$3:$A$5001,"&gt;="&amp;$C$7,BD!$A$3:$A$5001,"&lt;="&amp;$D$7,BD!$S$3:$S$5001,"&lt;&gt;")=0,"",SUMIFS(BD!$S$3:$S$5001,BD!$B$3:$B$5001,E$96,BD!$A$3:$A$5001,_xlfn.MAXIFS(BD!$A$3:$A$5001,BD!$B$3:$B$5001,E$96,BD!$A$3:$A$5001,"&gt;="&amp;$C$7,BD!$A$3:$A$5001,"&lt;="&amp;$D$7,BD!$S$3:$S$5001,"&lt;&gt;"))),"—"))</f>
        <v/>
      </c>
      <c r="F113" s="42" t="str">
        <f>IF(F$96="","",IF(Config!$T$39&lt;&gt;"Não",IF(COUNTIFS(BD!$B$3:$B$5001,F$96,BD!$A$3:$A$5001,"&gt;="&amp;$C$7,BD!$A$3:$A$5001,"&lt;="&amp;$D$7,BD!$S$3:$S$5001,"&lt;&gt;")=0,"",SUMIFS(BD!$S$3:$S$5001,BD!$B$3:$B$5001,F$96,BD!$A$3:$A$5001,_xlfn.MAXIFS(BD!$A$3:$A$5001,BD!$B$3:$B$5001,F$96,BD!$A$3:$A$5001,"&gt;="&amp;$C$7,BD!$A$3:$A$5001,"&lt;="&amp;$D$7,BD!$S$3:$S$5001,"&lt;&gt;"))),"—"))</f>
        <v/>
      </c>
      <c r="G113" s="42" t="str">
        <f>IF(G$96="","",IF(Config!$T$40&lt;&gt;"Não",IF(COUNTIFS(BD!$B$3:$B$5001,G$96,BD!$A$3:$A$5001,"&gt;="&amp;$C$7,BD!$A$3:$A$5001,"&lt;="&amp;$D$7,BD!$S$3:$S$5001,"&lt;&gt;")=0,"",SUMIFS(BD!$S$3:$S$5001,BD!$B$3:$B$5001,G$96,BD!$A$3:$A$5001,_xlfn.MAXIFS(BD!$A$3:$A$5001,BD!$B$3:$B$5001,G$96,BD!$A$3:$A$5001,"&gt;="&amp;$C$7,BD!$A$3:$A$5001,"&lt;="&amp;$D$7,BD!$S$3:$S$5001,"&lt;&gt;"))),"—"))</f>
        <v/>
      </c>
      <c r="H113" s="42" t="str">
        <f>IF(H$96="","",IF(Config!$T$41&lt;&gt;"Não",IF(COUNTIFS(BD!$B$3:$B$5001,H$96,BD!$A$3:$A$5001,"&gt;="&amp;$C$7,BD!$A$3:$A$5001,"&lt;="&amp;$D$7,BD!$S$3:$S$5001,"&lt;&gt;")=0,"",SUMIFS(BD!$S$3:$S$5001,BD!$B$3:$B$5001,H$96,BD!$A$3:$A$5001,_xlfn.MAXIFS(BD!$A$3:$A$5001,BD!$B$3:$B$5001,H$96,BD!$A$3:$A$5001,"&gt;="&amp;$C$7,BD!$A$3:$A$5001,"&lt;="&amp;$D$7,BD!$S$3:$S$5001,"&lt;&gt;"))),"—"))</f>
        <v/>
      </c>
      <c r="I113" s="42" t="str">
        <f>IF(I$96="","",IF(Config!$T$42&lt;&gt;"Não",IF(COUNTIFS(BD!$B$3:$B$5001,I$96,BD!$A$3:$A$5001,"&gt;="&amp;$C$7,BD!$A$3:$A$5001,"&lt;="&amp;$D$7,BD!$S$3:$S$5001,"&lt;&gt;")=0,"",SUMIFS(BD!$S$3:$S$5001,BD!$B$3:$B$5001,I$96,BD!$A$3:$A$5001,_xlfn.MAXIFS(BD!$A$3:$A$5001,BD!$B$3:$B$5001,I$96,BD!$A$3:$A$5001,"&gt;="&amp;$C$7,BD!$A$3:$A$5001,"&lt;="&amp;$D$7,BD!$S$3:$S$5001,"&lt;&gt;"))),"—"))</f>
        <v/>
      </c>
      <c r="J113" s="42" t="str">
        <f>IF(J$96="","",IF(Config!$T$43&lt;&gt;"Não",IF(COUNTIFS(BD!$B$3:$B$5001,J$96,BD!$A$3:$A$5001,"&gt;="&amp;$C$7,BD!$A$3:$A$5001,"&lt;="&amp;$D$7,BD!$S$3:$S$5001,"&lt;&gt;")=0,"",SUMIFS(BD!$S$3:$S$5001,BD!$B$3:$B$5001,J$96,BD!$A$3:$A$5001,_xlfn.MAXIFS(BD!$A$3:$A$5001,BD!$B$3:$B$5001,J$96,BD!$A$3:$A$5001,"&gt;="&amp;$C$7,BD!$A$3:$A$5001,"&lt;="&amp;$D$7,BD!$S$3:$S$5001,"&lt;&gt;"))),"—"))</f>
        <v/>
      </c>
      <c r="K113" s="42" t="str">
        <f>IF(K$96="","",IF(Config!$T$44&lt;&gt;"Não",IF(COUNTIFS(BD!$B$3:$B$5001,K$96,BD!$A$3:$A$5001,"&gt;="&amp;$C$7,BD!$A$3:$A$5001,"&lt;="&amp;$D$7,BD!$S$3:$S$5001,"&lt;&gt;")=0,"",SUMIFS(BD!$S$3:$S$5001,BD!$B$3:$B$5001,K$96,BD!$A$3:$A$5001,_xlfn.MAXIFS(BD!$A$3:$A$5001,BD!$B$3:$B$5001,K$96,BD!$A$3:$A$5001,"&gt;="&amp;$C$7,BD!$A$3:$A$5001,"&lt;="&amp;$D$7,BD!$S$3:$S$5001,"&lt;&gt;"))),"—"))</f>
        <v/>
      </c>
      <c r="L113" s="42" t="str">
        <f>IF(L$96="","",IF(Config!$T$45&lt;&gt;"Não",IF(COUNTIFS(BD!$B$3:$B$5001,L$96,BD!$A$3:$A$5001,"&gt;="&amp;$C$7,BD!$A$3:$A$5001,"&lt;="&amp;$D$7,BD!$S$3:$S$5001,"&lt;&gt;")=0,"",SUMIFS(BD!$S$3:$S$5001,BD!$B$3:$B$5001,L$96,BD!$A$3:$A$5001,_xlfn.MAXIFS(BD!$A$3:$A$5001,BD!$B$3:$B$5001,L$96,BD!$A$3:$A$5001,"&gt;="&amp;$C$7,BD!$A$3:$A$5001,"&lt;="&amp;$D$7,BD!$S$3:$S$5001,"&lt;&gt;"))),"—"))</f>
        <v/>
      </c>
      <c r="M113" s="42" t="str">
        <f>IF(M$96="","",IF(Config!$T$46&lt;&gt;"Não",IF(COUNTIFS(BD!$B$3:$B$5001,M$96,BD!$A$3:$A$5001,"&gt;="&amp;$C$7,BD!$A$3:$A$5001,"&lt;="&amp;$D$7,BD!$S$3:$S$5001,"&lt;&gt;")=0,"",SUMIFS(BD!$S$3:$S$5001,BD!$B$3:$B$5001,M$96,BD!$A$3:$A$5001,_xlfn.MAXIFS(BD!$A$3:$A$5001,BD!$B$3:$B$5001,M$96,BD!$A$3:$A$5001,"&gt;="&amp;$C$7,BD!$A$3:$A$5001,"&lt;="&amp;$D$7,BD!$S$3:$S$5001,"&lt;&gt;"))),"—"))</f>
        <v/>
      </c>
      <c r="N113" s="42" t="str">
        <f>IF(N$96="","",IF(Config!$T$47&lt;&gt;"Não",IF(COUNTIFS(BD!$B$3:$B$5001,N$96,BD!$A$3:$A$5001,"&gt;="&amp;$C$7,BD!$A$3:$A$5001,"&lt;="&amp;$D$7,BD!$S$3:$S$5001,"&lt;&gt;")=0,"",SUMIFS(BD!$S$3:$S$5001,BD!$B$3:$B$5001,N$96,BD!$A$3:$A$5001,_xlfn.MAXIFS(BD!$A$3:$A$5001,BD!$B$3:$B$5001,N$96,BD!$A$3:$A$5001,"&gt;="&amp;$C$7,BD!$A$3:$A$5001,"&lt;="&amp;$D$7,BD!$S$3:$S$5001,"&lt;&gt;"))),"—"))</f>
        <v/>
      </c>
      <c r="O113" s="42" t="str">
        <f>IF(O$96="","",IF(Config!$T$48&lt;&gt;"Não",IF(COUNTIFS(BD!$B$3:$B$5001,O$96,BD!$A$3:$A$5001,"&gt;="&amp;$C$7,BD!$A$3:$A$5001,"&lt;="&amp;$D$7,BD!$S$3:$S$5001,"&lt;&gt;")=0,"",SUMIFS(BD!$S$3:$S$5001,BD!$B$3:$B$5001,O$96,BD!$A$3:$A$5001,_xlfn.MAXIFS(BD!$A$3:$A$5001,BD!$B$3:$B$5001,O$96,BD!$A$3:$A$5001,"&gt;="&amp;$C$7,BD!$A$3:$A$5001,"&lt;="&amp;$D$7,BD!$S$3:$S$5001,"&lt;&gt;"))),"—"))</f>
        <v/>
      </c>
      <c r="P113" s="42" t="str">
        <f>IF(P$96="","",IF(Config!$T$49&lt;&gt;"Não",IF(COUNTIFS(BD!$B$3:$B$5001,P$96,BD!$A$3:$A$5001,"&gt;="&amp;$C$7,BD!$A$3:$A$5001,"&lt;="&amp;$D$7,BD!$S$3:$S$5001,"&lt;&gt;")=0,"",SUMIFS(BD!$S$3:$S$5001,BD!$B$3:$B$5001,P$96,BD!$A$3:$A$5001,_xlfn.MAXIFS(BD!$A$3:$A$5001,BD!$B$3:$B$5001,P$96,BD!$A$3:$A$5001,"&gt;="&amp;$C$7,BD!$A$3:$A$5001,"&lt;="&amp;$D$7,BD!$S$3:$S$5001,"&lt;&gt;"))),"—"))</f>
        <v/>
      </c>
      <c r="Q113" s="42" t="str">
        <f>IF(Q$96="","",IF(Config!$T$50&lt;&gt;"Não",IF(COUNTIFS(BD!$B$3:$B$5001,Q$96,BD!$A$3:$A$5001,"&gt;="&amp;$C$7,BD!$A$3:$A$5001,"&lt;="&amp;$D$7,BD!$S$3:$S$5001,"&lt;&gt;")=0,"",SUMIFS(BD!$S$3:$S$5001,BD!$B$3:$B$5001,Q$96,BD!$A$3:$A$5001,_xlfn.MAXIFS(BD!$A$3:$A$5001,BD!$B$3:$B$5001,Q$96,BD!$A$3:$A$5001,"&gt;="&amp;$C$7,BD!$A$3:$A$5001,"&lt;="&amp;$D$7,BD!$S$3:$S$5001,"&lt;&gt;"))),"—"))</f>
        <v/>
      </c>
      <c r="R113" s="42" t="str">
        <f>IF(R$96="","",IF(Config!$T$51&lt;&gt;"Não",IF(COUNTIFS(BD!$B$3:$B$5001,R$96,BD!$A$3:$A$5001,"&gt;="&amp;$C$7,BD!$A$3:$A$5001,"&lt;="&amp;$D$7,BD!$S$3:$S$5001,"&lt;&gt;")=0,"",SUMIFS(BD!$S$3:$S$5001,BD!$B$3:$B$5001,R$96,BD!$A$3:$A$5001,_xlfn.MAXIFS(BD!$A$3:$A$5001,BD!$B$3:$B$5001,R$96,BD!$A$3:$A$5001,"&gt;="&amp;$C$7,BD!$A$3:$A$5001,"&lt;="&amp;$D$7,BD!$S$3:$S$5001,"&lt;&gt;"))),"—"))</f>
        <v/>
      </c>
      <c r="S113" s="42" t="str">
        <f>IF(S$96="","",IF(Config!$T$52&lt;&gt;"Não",IF(COUNTIFS(BD!$B$3:$B$5001,S$96,BD!$A$3:$A$5001,"&gt;="&amp;$C$7,BD!$A$3:$A$5001,"&lt;="&amp;$D$7,BD!$S$3:$S$5001,"&lt;&gt;")=0,"",SUMIFS(BD!$S$3:$S$5001,BD!$B$3:$B$5001,S$96,BD!$A$3:$A$5001,_xlfn.MAXIFS(BD!$A$3:$A$5001,BD!$B$3:$B$5001,S$96,BD!$A$3:$A$5001,"&gt;="&amp;$C$7,BD!$A$3:$A$5001,"&lt;="&amp;$D$7,BD!$S$3:$S$5001,"&lt;&gt;"))),"—"))</f>
        <v/>
      </c>
      <c r="T113" s="42" t="str">
        <f>IF(T$96="","",IF(Config!$T$53&lt;&gt;"Não",IF(COUNTIFS(BD!$B$3:$B$5001,T$96,BD!$A$3:$A$5001,"&gt;="&amp;$C$7,BD!$A$3:$A$5001,"&lt;="&amp;$D$7,BD!$S$3:$S$5001,"&lt;&gt;")=0,"",SUMIFS(BD!$S$3:$S$5001,BD!$B$3:$B$5001,T$96,BD!$A$3:$A$5001,_xlfn.MAXIFS(BD!$A$3:$A$5001,BD!$B$3:$B$5001,T$96,BD!$A$3:$A$5001,"&gt;="&amp;$C$7,BD!$A$3:$A$5001,"&lt;="&amp;$D$7,BD!$S$3:$S$5001,"&lt;&gt;"))),"—"))</f>
        <v/>
      </c>
      <c r="U113" s="42" t="str">
        <f>IF(U$96="","",IF(Config!$T$54&lt;&gt;"Não",IF(COUNTIFS(BD!$B$3:$B$5001,U$96,BD!$A$3:$A$5001,"&gt;="&amp;$C$7,BD!$A$3:$A$5001,"&lt;="&amp;$D$7,BD!$S$3:$S$5001,"&lt;&gt;")=0,"",SUMIFS(BD!$S$3:$S$5001,BD!$B$3:$B$5001,U$96,BD!$A$3:$A$5001,_xlfn.MAXIFS(BD!$A$3:$A$5001,BD!$B$3:$B$5001,U$96,BD!$A$3:$A$5001,"&gt;="&amp;$C$7,BD!$A$3:$A$5001,"&lt;="&amp;$D$7,BD!$S$3:$S$5001,"&lt;&gt;"))),"—"))</f>
        <v/>
      </c>
      <c r="V113" s="73">
        <f>SUM(B113:U113)</f>
        <v>0</v>
      </c>
    </row>
    <row r="114">
      <c r="A114" s="40" t="inlineStr">
        <is>
          <t xml:space="preserve">OCUPAÇÃO (P.P) · Taxa de Ocupação</t>
        </is>
      </c>
      <c r="B114" s="61" t="str">
        <f>IF(B$96="","",IF(AND(Config!$S$35&lt;&gt;"Não",Config!$T$35&lt;&gt;"Não"),IF(AND(ISNUMBER(B113),ISNUMBER(B112)),IF(B112&gt;0,B113/B112,""),""),"—"))</f>
        <v/>
      </c>
      <c r="C114" s="61" t="str">
        <f>IF(C$96="","",IF(AND(Config!$S$36&lt;&gt;"Não",Config!$T$36&lt;&gt;"Não"),IF(AND(ISNUMBER(C113),ISNUMBER(C112)),IF(C112&gt;0,C113/C112,""),""),"—"))</f>
        <v>—</v>
      </c>
      <c r="D114" s="61" t="str">
        <f>IF(D$96="","",IF(AND(Config!$S$37&lt;&gt;"Não",Config!$T$37&lt;&gt;"Não"),IF(AND(ISNUMBER(D113),ISNUMBER(D112)),IF(D112&gt;0,D113/D112,""),""),"—"))</f>
        <v>—</v>
      </c>
      <c r="E114" s="61" t="str">
        <f>IF(E$96="","",IF(AND(Config!$S$38&lt;&gt;"Não",Config!$T$38&lt;&gt;"Não"),IF(AND(ISNUMBER(E113),ISNUMBER(E112)),IF(E112&gt;0,E113/E112,""),""),"—"))</f>
        <v>—</v>
      </c>
      <c r="F114" s="61" t="str">
        <f>IF(F$96="","",IF(AND(Config!$S$39&lt;&gt;"Não",Config!$T$39&lt;&gt;"Não"),IF(AND(ISNUMBER(F113),ISNUMBER(F112)),IF(F112&gt;0,F113/F112,""),""),"—"))</f>
        <v/>
      </c>
      <c r="G114" s="61" t="str">
        <f>IF(G$96="","",IF(AND(Config!$S$40&lt;&gt;"Não",Config!$T$40&lt;&gt;"Não"),IF(AND(ISNUMBER(G113),ISNUMBER(G112)),IF(G112&gt;0,G113/G112,""),""),"—"))</f>
        <v/>
      </c>
      <c r="H114" s="61" t="str">
        <f>IF(H$96="","",IF(AND(Config!$S$41&lt;&gt;"Não",Config!$T$41&lt;&gt;"Não"),IF(AND(ISNUMBER(H113),ISNUMBER(H112)),IF(H112&gt;0,H113/H112,""),""),"—"))</f>
        <v/>
      </c>
      <c r="I114" s="61" t="str">
        <f>IF(I$96="","",IF(AND(Config!$S$42&lt;&gt;"Não",Config!$T$42&lt;&gt;"Não"),IF(AND(ISNUMBER(I113),ISNUMBER(I112)),IF(I112&gt;0,I113/I112,""),""),"—"))</f>
        <v/>
      </c>
      <c r="J114" s="61" t="str">
        <f>IF(J$96="","",IF(AND(Config!$S$43&lt;&gt;"Não",Config!$T$43&lt;&gt;"Não"),IF(AND(ISNUMBER(J113),ISNUMBER(J112)),IF(J112&gt;0,J113/J112,""),""),"—"))</f>
        <v/>
      </c>
      <c r="K114" s="61" t="str">
        <f>IF(K$96="","",IF(AND(Config!$S$44&lt;&gt;"Não",Config!$T$44&lt;&gt;"Não"),IF(AND(ISNUMBER(K113),ISNUMBER(K112)),IF(K112&gt;0,K113/K112,""),""),"—"))</f>
        <v/>
      </c>
      <c r="L114" s="61" t="str">
        <f>IF(L$96="","",IF(AND(Config!$S$45&lt;&gt;"Não",Config!$T$45&lt;&gt;"Não"),IF(AND(ISNUMBER(L113),ISNUMBER(L112)),IF(L112&gt;0,L113/L112,""),""),"—"))</f>
        <v/>
      </c>
      <c r="M114" s="61" t="str">
        <f>IF(M$96="","",IF(AND(Config!$S$46&lt;&gt;"Não",Config!$T$46&lt;&gt;"Não"),IF(AND(ISNUMBER(M113),ISNUMBER(M112)),IF(M112&gt;0,M113/M112,""),""),"—"))</f>
        <v/>
      </c>
      <c r="N114" s="61" t="str">
        <f>IF(N$96="","",IF(AND(Config!$S$47&lt;&gt;"Não",Config!$T$47&lt;&gt;"Não"),IF(AND(ISNUMBER(N113),ISNUMBER(N112)),IF(N112&gt;0,N113/N112,""),""),"—"))</f>
        <v/>
      </c>
      <c r="O114" s="61" t="str">
        <f>IF(O$96="","",IF(AND(Config!$S$48&lt;&gt;"Não",Config!$T$48&lt;&gt;"Não"),IF(AND(ISNUMBER(O113),ISNUMBER(O112)),IF(O112&gt;0,O113/O112,""),""),"—"))</f>
        <v/>
      </c>
      <c r="P114" s="61" t="str">
        <f>IF(P$96="","",IF(AND(Config!$S$49&lt;&gt;"Não",Config!$T$49&lt;&gt;"Não"),IF(AND(ISNUMBER(P113),ISNUMBER(P112)),IF(P112&gt;0,P113/P112,""),""),"—"))</f>
        <v/>
      </c>
      <c r="Q114" s="61" t="str">
        <f>IF(Q$96="","",IF(AND(Config!$S$50&lt;&gt;"Não",Config!$T$50&lt;&gt;"Não"),IF(AND(ISNUMBER(Q113),ISNUMBER(Q112)),IF(Q112&gt;0,Q113/Q112,""),""),"—"))</f>
        <v/>
      </c>
      <c r="R114" s="61" t="str">
        <f>IF(R$96="","",IF(AND(Config!$S$51&lt;&gt;"Não",Config!$T$51&lt;&gt;"Não"),IF(AND(ISNUMBER(R113),ISNUMBER(R112)),IF(R112&gt;0,R113/R112,""),""),"—"))</f>
        <v/>
      </c>
      <c r="S114" s="61" t="str">
        <f>IF(S$96="","",IF(AND(Config!$S$52&lt;&gt;"Não",Config!$T$52&lt;&gt;"Não"),IF(AND(ISNUMBER(S113),ISNUMBER(S112)),IF(S112&gt;0,S113/S112,""),""),"—"))</f>
        <v/>
      </c>
      <c r="T114" s="61" t="str">
        <f>IF(T$96="","",IF(AND(Config!$S$53&lt;&gt;"Não",Config!$T$53&lt;&gt;"Não"),IF(AND(ISNUMBER(T113),ISNUMBER(T112)),IF(T112&gt;0,T113/T112,""),""),"—"))</f>
        <v/>
      </c>
      <c r="U114" s="61" t="str">
        <f>IF(U$96="","",IF(AND(Config!$S$54&lt;&gt;"Não",Config!$T$54&lt;&gt;"Não"),IF(AND(ISNUMBER(U113),ISNUMBER(U112)),IF(U112&gt;0,U113/U112,""),""),"—"))</f>
        <v/>
      </c>
      <c r="V114" s="75">
        <f>IFERROR(V113/V112,"")</f>
        <v>0</v>
      </c>
    </row>
    <row r="115">
      <c r="A115" s="40" t="inlineStr">
        <is>
          <t xml:space="preserve">GENTE · Efetivo Op.</t>
        </is>
      </c>
      <c r="B115" s="42" t="str">
        <f>IF(B$96="","",IF(Config!$U$35&lt;&gt;"Não",IF(COUNTIFS(BD!$B$3:$B$5001,B$96,BD!$A$3:$A$5001,"&gt;="&amp;$C$7,BD!$A$3:$A$5001,"&lt;="&amp;$D$7,BD!$T$3:$T$5001,"&lt;&gt;")=0,"",SUMIFS(BD!$T$3:$T$5001,BD!$B$3:$B$5001,B$96,BD!$A$3:$A$5001,_xlfn.MAXIFS(BD!$A$3:$A$5001,BD!$B$3:$B$5001,B$96,BD!$A$3:$A$5001,"&gt;="&amp;$C$7,BD!$A$3:$A$5001,"&lt;="&amp;$D$7,BD!$T$3:$T$5001,"&lt;&gt;"))),"—"))</f>
        <v/>
      </c>
      <c r="C115" s="42" t="str">
        <f>IF(C$96="","",IF(Config!$U$36&lt;&gt;"Não",IF(COUNTIFS(BD!$B$3:$B$5001,C$96,BD!$A$3:$A$5001,"&gt;="&amp;$C$7,BD!$A$3:$A$5001,"&lt;="&amp;$D$7,BD!$T$3:$T$5001,"&lt;&gt;")=0,"",SUMIFS(BD!$T$3:$T$5001,BD!$B$3:$B$5001,C$96,BD!$A$3:$A$5001,_xlfn.MAXIFS(BD!$A$3:$A$5001,BD!$B$3:$B$5001,C$96,BD!$A$3:$A$5001,"&gt;="&amp;$C$7,BD!$A$3:$A$5001,"&lt;="&amp;$D$7,BD!$T$3:$T$5001,"&lt;&gt;"))),"—"))</f>
        <v/>
      </c>
      <c r="D115" s="42" t="str">
        <f>IF(D$96="","",IF(Config!$U$37&lt;&gt;"Não",IF(COUNTIFS(BD!$B$3:$B$5001,D$96,BD!$A$3:$A$5001,"&gt;="&amp;$C$7,BD!$A$3:$A$5001,"&lt;="&amp;$D$7,BD!$T$3:$T$5001,"&lt;&gt;")=0,"",SUMIFS(BD!$T$3:$T$5001,BD!$B$3:$B$5001,D$96,BD!$A$3:$A$5001,_xlfn.MAXIFS(BD!$A$3:$A$5001,BD!$B$3:$B$5001,D$96,BD!$A$3:$A$5001,"&gt;="&amp;$C$7,BD!$A$3:$A$5001,"&lt;="&amp;$D$7,BD!$T$3:$T$5001,"&lt;&gt;"))),"—"))</f>
        <v/>
      </c>
      <c r="E115" s="42" t="str">
        <f>IF(E$96="","",IF(Config!$U$38&lt;&gt;"Não",IF(COUNTIFS(BD!$B$3:$B$5001,E$96,BD!$A$3:$A$5001,"&gt;="&amp;$C$7,BD!$A$3:$A$5001,"&lt;="&amp;$D$7,BD!$T$3:$T$5001,"&lt;&gt;")=0,"",SUMIFS(BD!$T$3:$T$5001,BD!$B$3:$B$5001,E$96,BD!$A$3:$A$5001,_xlfn.MAXIFS(BD!$A$3:$A$5001,BD!$B$3:$B$5001,E$96,BD!$A$3:$A$5001,"&gt;="&amp;$C$7,BD!$A$3:$A$5001,"&lt;="&amp;$D$7,BD!$T$3:$T$5001,"&lt;&gt;"))),"—"))</f>
        <v/>
      </c>
      <c r="F115" s="42" t="str">
        <f>IF(F$96="","",IF(Config!$U$39&lt;&gt;"Não",IF(COUNTIFS(BD!$B$3:$B$5001,F$96,BD!$A$3:$A$5001,"&gt;="&amp;$C$7,BD!$A$3:$A$5001,"&lt;="&amp;$D$7,BD!$T$3:$T$5001,"&lt;&gt;")=0,"",SUMIFS(BD!$T$3:$T$5001,BD!$B$3:$B$5001,F$96,BD!$A$3:$A$5001,_xlfn.MAXIFS(BD!$A$3:$A$5001,BD!$B$3:$B$5001,F$96,BD!$A$3:$A$5001,"&gt;="&amp;$C$7,BD!$A$3:$A$5001,"&lt;="&amp;$D$7,BD!$T$3:$T$5001,"&lt;&gt;"))),"—"))</f>
        <v/>
      </c>
      <c r="G115" s="42" t="str">
        <f>IF(G$96="","",IF(Config!$U$40&lt;&gt;"Não",IF(COUNTIFS(BD!$B$3:$B$5001,G$96,BD!$A$3:$A$5001,"&gt;="&amp;$C$7,BD!$A$3:$A$5001,"&lt;="&amp;$D$7,BD!$T$3:$T$5001,"&lt;&gt;")=0,"",SUMIFS(BD!$T$3:$T$5001,BD!$B$3:$B$5001,G$96,BD!$A$3:$A$5001,_xlfn.MAXIFS(BD!$A$3:$A$5001,BD!$B$3:$B$5001,G$96,BD!$A$3:$A$5001,"&gt;="&amp;$C$7,BD!$A$3:$A$5001,"&lt;="&amp;$D$7,BD!$T$3:$T$5001,"&lt;&gt;"))),"—"))</f>
        <v/>
      </c>
      <c r="H115" s="42" t="str">
        <f>IF(H$96="","",IF(Config!$U$41&lt;&gt;"Não",IF(COUNTIFS(BD!$B$3:$B$5001,H$96,BD!$A$3:$A$5001,"&gt;="&amp;$C$7,BD!$A$3:$A$5001,"&lt;="&amp;$D$7,BD!$T$3:$T$5001,"&lt;&gt;")=0,"",SUMIFS(BD!$T$3:$T$5001,BD!$B$3:$B$5001,H$96,BD!$A$3:$A$5001,_xlfn.MAXIFS(BD!$A$3:$A$5001,BD!$B$3:$B$5001,H$96,BD!$A$3:$A$5001,"&gt;="&amp;$C$7,BD!$A$3:$A$5001,"&lt;="&amp;$D$7,BD!$T$3:$T$5001,"&lt;&gt;"))),"—"))</f>
        <v/>
      </c>
      <c r="I115" s="42" t="str">
        <f>IF(I$96="","",IF(Config!$U$42&lt;&gt;"Não",IF(COUNTIFS(BD!$B$3:$B$5001,I$96,BD!$A$3:$A$5001,"&gt;="&amp;$C$7,BD!$A$3:$A$5001,"&lt;="&amp;$D$7,BD!$T$3:$T$5001,"&lt;&gt;")=0,"",SUMIFS(BD!$T$3:$T$5001,BD!$B$3:$B$5001,I$96,BD!$A$3:$A$5001,_xlfn.MAXIFS(BD!$A$3:$A$5001,BD!$B$3:$B$5001,I$96,BD!$A$3:$A$5001,"&gt;="&amp;$C$7,BD!$A$3:$A$5001,"&lt;="&amp;$D$7,BD!$T$3:$T$5001,"&lt;&gt;"))),"—"))</f>
        <v/>
      </c>
      <c r="J115" s="42" t="str">
        <f>IF(J$96="","",IF(Config!$U$43&lt;&gt;"Não",IF(COUNTIFS(BD!$B$3:$B$5001,J$96,BD!$A$3:$A$5001,"&gt;="&amp;$C$7,BD!$A$3:$A$5001,"&lt;="&amp;$D$7,BD!$T$3:$T$5001,"&lt;&gt;")=0,"",SUMIFS(BD!$T$3:$T$5001,BD!$B$3:$B$5001,J$96,BD!$A$3:$A$5001,_xlfn.MAXIFS(BD!$A$3:$A$5001,BD!$B$3:$B$5001,J$96,BD!$A$3:$A$5001,"&gt;="&amp;$C$7,BD!$A$3:$A$5001,"&lt;="&amp;$D$7,BD!$T$3:$T$5001,"&lt;&gt;"))),"—"))</f>
        <v/>
      </c>
      <c r="K115" s="42" t="str">
        <f>IF(K$96="","",IF(Config!$U$44&lt;&gt;"Não",IF(COUNTIFS(BD!$B$3:$B$5001,K$96,BD!$A$3:$A$5001,"&gt;="&amp;$C$7,BD!$A$3:$A$5001,"&lt;="&amp;$D$7,BD!$T$3:$T$5001,"&lt;&gt;")=0,"",SUMIFS(BD!$T$3:$T$5001,BD!$B$3:$B$5001,K$96,BD!$A$3:$A$5001,_xlfn.MAXIFS(BD!$A$3:$A$5001,BD!$B$3:$B$5001,K$96,BD!$A$3:$A$5001,"&gt;="&amp;$C$7,BD!$A$3:$A$5001,"&lt;="&amp;$D$7,BD!$T$3:$T$5001,"&lt;&gt;"))),"—"))</f>
        <v/>
      </c>
      <c r="L115" s="42" t="str">
        <f>IF(L$96="","",IF(Config!$U$45&lt;&gt;"Não",IF(COUNTIFS(BD!$B$3:$B$5001,L$96,BD!$A$3:$A$5001,"&gt;="&amp;$C$7,BD!$A$3:$A$5001,"&lt;="&amp;$D$7,BD!$T$3:$T$5001,"&lt;&gt;")=0,"",SUMIFS(BD!$T$3:$T$5001,BD!$B$3:$B$5001,L$96,BD!$A$3:$A$5001,_xlfn.MAXIFS(BD!$A$3:$A$5001,BD!$B$3:$B$5001,L$96,BD!$A$3:$A$5001,"&gt;="&amp;$C$7,BD!$A$3:$A$5001,"&lt;="&amp;$D$7,BD!$T$3:$T$5001,"&lt;&gt;"))),"—"))</f>
        <v/>
      </c>
      <c r="M115" s="42" t="str">
        <f>IF(M$96="","",IF(Config!$U$46&lt;&gt;"Não",IF(COUNTIFS(BD!$B$3:$B$5001,M$96,BD!$A$3:$A$5001,"&gt;="&amp;$C$7,BD!$A$3:$A$5001,"&lt;="&amp;$D$7,BD!$T$3:$T$5001,"&lt;&gt;")=0,"",SUMIFS(BD!$T$3:$T$5001,BD!$B$3:$B$5001,M$96,BD!$A$3:$A$5001,_xlfn.MAXIFS(BD!$A$3:$A$5001,BD!$B$3:$B$5001,M$96,BD!$A$3:$A$5001,"&gt;="&amp;$C$7,BD!$A$3:$A$5001,"&lt;="&amp;$D$7,BD!$T$3:$T$5001,"&lt;&gt;"))),"—"))</f>
        <v/>
      </c>
      <c r="N115" s="42" t="str">
        <f>IF(N$96="","",IF(Config!$U$47&lt;&gt;"Não",IF(COUNTIFS(BD!$B$3:$B$5001,N$96,BD!$A$3:$A$5001,"&gt;="&amp;$C$7,BD!$A$3:$A$5001,"&lt;="&amp;$D$7,BD!$T$3:$T$5001,"&lt;&gt;")=0,"",SUMIFS(BD!$T$3:$T$5001,BD!$B$3:$B$5001,N$96,BD!$A$3:$A$5001,_xlfn.MAXIFS(BD!$A$3:$A$5001,BD!$B$3:$B$5001,N$96,BD!$A$3:$A$5001,"&gt;="&amp;$C$7,BD!$A$3:$A$5001,"&lt;="&amp;$D$7,BD!$T$3:$T$5001,"&lt;&gt;"))),"—"))</f>
        <v/>
      </c>
      <c r="O115" s="42" t="str">
        <f>IF(O$96="","",IF(Config!$U$48&lt;&gt;"Não",IF(COUNTIFS(BD!$B$3:$B$5001,O$96,BD!$A$3:$A$5001,"&gt;="&amp;$C$7,BD!$A$3:$A$5001,"&lt;="&amp;$D$7,BD!$T$3:$T$5001,"&lt;&gt;")=0,"",SUMIFS(BD!$T$3:$T$5001,BD!$B$3:$B$5001,O$96,BD!$A$3:$A$5001,_xlfn.MAXIFS(BD!$A$3:$A$5001,BD!$B$3:$B$5001,O$96,BD!$A$3:$A$5001,"&gt;="&amp;$C$7,BD!$A$3:$A$5001,"&lt;="&amp;$D$7,BD!$T$3:$T$5001,"&lt;&gt;"))),"—"))</f>
        <v/>
      </c>
      <c r="P115" s="42" t="str">
        <f>IF(P$96="","",IF(Config!$U$49&lt;&gt;"Não",IF(COUNTIFS(BD!$B$3:$B$5001,P$96,BD!$A$3:$A$5001,"&gt;="&amp;$C$7,BD!$A$3:$A$5001,"&lt;="&amp;$D$7,BD!$T$3:$T$5001,"&lt;&gt;")=0,"",SUMIFS(BD!$T$3:$T$5001,BD!$B$3:$B$5001,P$96,BD!$A$3:$A$5001,_xlfn.MAXIFS(BD!$A$3:$A$5001,BD!$B$3:$B$5001,P$96,BD!$A$3:$A$5001,"&gt;="&amp;$C$7,BD!$A$3:$A$5001,"&lt;="&amp;$D$7,BD!$T$3:$T$5001,"&lt;&gt;"))),"—"))</f>
        <v/>
      </c>
      <c r="Q115" s="42" t="str">
        <f>IF(Q$96="","",IF(Config!$U$50&lt;&gt;"Não",IF(COUNTIFS(BD!$B$3:$B$5001,Q$96,BD!$A$3:$A$5001,"&gt;="&amp;$C$7,BD!$A$3:$A$5001,"&lt;="&amp;$D$7,BD!$T$3:$T$5001,"&lt;&gt;")=0,"",SUMIFS(BD!$T$3:$T$5001,BD!$B$3:$B$5001,Q$96,BD!$A$3:$A$5001,_xlfn.MAXIFS(BD!$A$3:$A$5001,BD!$B$3:$B$5001,Q$96,BD!$A$3:$A$5001,"&gt;="&amp;$C$7,BD!$A$3:$A$5001,"&lt;="&amp;$D$7,BD!$T$3:$T$5001,"&lt;&gt;"))),"—"))</f>
        <v/>
      </c>
      <c r="R115" s="42" t="str">
        <f>IF(R$96="","",IF(Config!$U$51&lt;&gt;"Não",IF(COUNTIFS(BD!$B$3:$B$5001,R$96,BD!$A$3:$A$5001,"&gt;="&amp;$C$7,BD!$A$3:$A$5001,"&lt;="&amp;$D$7,BD!$T$3:$T$5001,"&lt;&gt;")=0,"",SUMIFS(BD!$T$3:$T$5001,BD!$B$3:$B$5001,R$96,BD!$A$3:$A$5001,_xlfn.MAXIFS(BD!$A$3:$A$5001,BD!$B$3:$B$5001,R$96,BD!$A$3:$A$5001,"&gt;="&amp;$C$7,BD!$A$3:$A$5001,"&lt;="&amp;$D$7,BD!$T$3:$T$5001,"&lt;&gt;"))),"—"))</f>
        <v/>
      </c>
      <c r="S115" s="42" t="str">
        <f>IF(S$96="","",IF(Config!$U$52&lt;&gt;"Não",IF(COUNTIFS(BD!$B$3:$B$5001,S$96,BD!$A$3:$A$5001,"&gt;="&amp;$C$7,BD!$A$3:$A$5001,"&lt;="&amp;$D$7,BD!$T$3:$T$5001,"&lt;&gt;")=0,"",SUMIFS(BD!$T$3:$T$5001,BD!$B$3:$B$5001,S$96,BD!$A$3:$A$5001,_xlfn.MAXIFS(BD!$A$3:$A$5001,BD!$B$3:$B$5001,S$96,BD!$A$3:$A$5001,"&gt;="&amp;$C$7,BD!$A$3:$A$5001,"&lt;="&amp;$D$7,BD!$T$3:$T$5001,"&lt;&gt;"))),"—"))</f>
        <v/>
      </c>
      <c r="T115" s="42" t="str">
        <f>IF(T$96="","",IF(Config!$U$53&lt;&gt;"Não",IF(COUNTIFS(BD!$B$3:$B$5001,T$96,BD!$A$3:$A$5001,"&gt;="&amp;$C$7,BD!$A$3:$A$5001,"&lt;="&amp;$D$7,BD!$T$3:$T$5001,"&lt;&gt;")=0,"",SUMIFS(BD!$T$3:$T$5001,BD!$B$3:$B$5001,T$96,BD!$A$3:$A$5001,_xlfn.MAXIFS(BD!$A$3:$A$5001,BD!$B$3:$B$5001,T$96,BD!$A$3:$A$5001,"&gt;="&amp;$C$7,BD!$A$3:$A$5001,"&lt;="&amp;$D$7,BD!$T$3:$T$5001,"&lt;&gt;"))),"—"))</f>
        <v/>
      </c>
      <c r="U115" s="42" t="str">
        <f>IF(U$96="","",IF(Config!$U$54&lt;&gt;"Não",IF(COUNTIFS(BD!$B$3:$B$5001,U$96,BD!$A$3:$A$5001,"&gt;="&amp;$C$7,BD!$A$3:$A$5001,"&lt;="&amp;$D$7,BD!$T$3:$T$5001,"&lt;&gt;")=0,"",SUMIFS(BD!$T$3:$T$5001,BD!$B$3:$B$5001,U$96,BD!$A$3:$A$5001,_xlfn.MAXIFS(BD!$A$3:$A$5001,BD!$B$3:$B$5001,U$96,BD!$A$3:$A$5001,"&gt;="&amp;$C$7,BD!$A$3:$A$5001,"&lt;="&amp;$D$7,BD!$T$3:$T$5001,"&lt;&gt;"))),"—"))</f>
        <v/>
      </c>
      <c r="V115" s="73">
        <f>SUM(B115:U115)</f>
        <v>0</v>
      </c>
    </row>
    <row r="116">
      <c r="A116" s="40" t="inlineStr">
        <is>
          <t xml:space="preserve">GENTE · Falta</t>
        </is>
      </c>
      <c r="B116" s="42">
        <f>IF(B$96="","",IF(Config!$V$35&lt;&gt;"Não",SUMIFS(BD!$U$3:$U$5001,BD!$B$3:$B$5001,B$96,BD!$A$3:$A$5001,"&gt;="&amp;$C$7,BD!$A$3:$A$5001,"&lt;="&amp;$D$7),"—"))</f>
        <v>0</v>
      </c>
      <c r="C116" s="42">
        <f>IF(C$96="","",IF(Config!$V$36&lt;&gt;"Não",SUMIFS(BD!$U$3:$U$5001,BD!$B$3:$B$5001,C$96,BD!$A$3:$A$5001,"&gt;="&amp;$C$7,BD!$A$3:$A$5001,"&lt;="&amp;$D$7),"—"))</f>
        <v>0</v>
      </c>
      <c r="D116" s="42">
        <f>IF(D$96="","",IF(Config!$V$37&lt;&gt;"Não",SUMIFS(BD!$U$3:$U$5001,BD!$B$3:$B$5001,D$96,BD!$A$3:$A$5001,"&gt;="&amp;$C$7,BD!$A$3:$A$5001,"&lt;="&amp;$D$7),"—"))</f>
        <v>0</v>
      </c>
      <c r="E116" s="42">
        <f>IF(E$96="","",IF(Config!$V$38&lt;&gt;"Não",SUMIFS(BD!$U$3:$U$5001,BD!$B$3:$B$5001,E$96,BD!$A$3:$A$5001,"&gt;="&amp;$C$7,BD!$A$3:$A$5001,"&lt;="&amp;$D$7),"—"))</f>
        <v>0</v>
      </c>
      <c r="F116" s="42">
        <f>IF(F$96="","",IF(Config!$V$39&lt;&gt;"Não",SUMIFS(BD!$U$3:$U$5001,BD!$B$3:$B$5001,F$96,BD!$A$3:$A$5001,"&gt;="&amp;$C$7,BD!$A$3:$A$5001,"&lt;="&amp;$D$7),"—"))</f>
        <v>0</v>
      </c>
      <c r="G116" s="42" t="str">
        <f>IF(G$96="","",IF(Config!$V$40&lt;&gt;"Não",SUMIFS(BD!$U$3:$U$5001,BD!$B$3:$B$5001,G$96,BD!$A$3:$A$5001,"&gt;="&amp;$C$7,BD!$A$3:$A$5001,"&lt;="&amp;$D$7),"—"))</f>
        <v/>
      </c>
      <c r="H116" s="42" t="str">
        <f>IF(H$96="","",IF(Config!$V$41&lt;&gt;"Não",SUMIFS(BD!$U$3:$U$5001,BD!$B$3:$B$5001,H$96,BD!$A$3:$A$5001,"&gt;="&amp;$C$7,BD!$A$3:$A$5001,"&lt;="&amp;$D$7),"—"))</f>
        <v/>
      </c>
      <c r="I116" s="42" t="str">
        <f>IF(I$96="","",IF(Config!$V$42&lt;&gt;"Não",SUMIFS(BD!$U$3:$U$5001,BD!$B$3:$B$5001,I$96,BD!$A$3:$A$5001,"&gt;="&amp;$C$7,BD!$A$3:$A$5001,"&lt;="&amp;$D$7),"—"))</f>
        <v/>
      </c>
      <c r="J116" s="42" t="str">
        <f>IF(J$96="","",IF(Config!$V$43&lt;&gt;"Não",SUMIFS(BD!$U$3:$U$5001,BD!$B$3:$B$5001,J$96,BD!$A$3:$A$5001,"&gt;="&amp;$C$7,BD!$A$3:$A$5001,"&lt;="&amp;$D$7),"—"))</f>
        <v/>
      </c>
      <c r="K116" s="42" t="str">
        <f>IF(K$96="","",IF(Config!$V$44&lt;&gt;"Não",SUMIFS(BD!$U$3:$U$5001,BD!$B$3:$B$5001,K$96,BD!$A$3:$A$5001,"&gt;="&amp;$C$7,BD!$A$3:$A$5001,"&lt;="&amp;$D$7),"—"))</f>
        <v/>
      </c>
      <c r="L116" s="42" t="str">
        <f>IF(L$96="","",IF(Config!$V$45&lt;&gt;"Não",SUMIFS(BD!$U$3:$U$5001,BD!$B$3:$B$5001,L$96,BD!$A$3:$A$5001,"&gt;="&amp;$C$7,BD!$A$3:$A$5001,"&lt;="&amp;$D$7),"—"))</f>
        <v/>
      </c>
      <c r="M116" s="42" t="str">
        <f>IF(M$96="","",IF(Config!$V$46&lt;&gt;"Não",SUMIFS(BD!$U$3:$U$5001,BD!$B$3:$B$5001,M$96,BD!$A$3:$A$5001,"&gt;="&amp;$C$7,BD!$A$3:$A$5001,"&lt;="&amp;$D$7),"—"))</f>
        <v/>
      </c>
      <c r="N116" s="42" t="str">
        <f>IF(N$96="","",IF(Config!$V$47&lt;&gt;"Não",SUMIFS(BD!$U$3:$U$5001,BD!$B$3:$B$5001,N$96,BD!$A$3:$A$5001,"&gt;="&amp;$C$7,BD!$A$3:$A$5001,"&lt;="&amp;$D$7),"—"))</f>
        <v/>
      </c>
      <c r="O116" s="42" t="str">
        <f>IF(O$96="","",IF(Config!$V$48&lt;&gt;"Não",SUMIFS(BD!$U$3:$U$5001,BD!$B$3:$B$5001,O$96,BD!$A$3:$A$5001,"&gt;="&amp;$C$7,BD!$A$3:$A$5001,"&lt;="&amp;$D$7),"—"))</f>
        <v/>
      </c>
      <c r="P116" s="42" t="str">
        <f>IF(P$96="","",IF(Config!$V$49&lt;&gt;"Não",SUMIFS(BD!$U$3:$U$5001,BD!$B$3:$B$5001,P$96,BD!$A$3:$A$5001,"&gt;="&amp;$C$7,BD!$A$3:$A$5001,"&lt;="&amp;$D$7),"—"))</f>
        <v/>
      </c>
      <c r="Q116" s="42" t="str">
        <f>IF(Q$96="","",IF(Config!$V$50&lt;&gt;"Não",SUMIFS(BD!$U$3:$U$5001,BD!$B$3:$B$5001,Q$96,BD!$A$3:$A$5001,"&gt;="&amp;$C$7,BD!$A$3:$A$5001,"&lt;="&amp;$D$7),"—"))</f>
        <v/>
      </c>
      <c r="R116" s="42" t="str">
        <f>IF(R$96="","",IF(Config!$V$51&lt;&gt;"Não",SUMIFS(BD!$U$3:$U$5001,BD!$B$3:$B$5001,R$96,BD!$A$3:$A$5001,"&gt;="&amp;$C$7,BD!$A$3:$A$5001,"&lt;="&amp;$D$7),"—"))</f>
        <v/>
      </c>
      <c r="S116" s="42" t="str">
        <f>IF(S$96="","",IF(Config!$V$52&lt;&gt;"Não",SUMIFS(BD!$U$3:$U$5001,BD!$B$3:$B$5001,S$96,BD!$A$3:$A$5001,"&gt;="&amp;$C$7,BD!$A$3:$A$5001,"&lt;="&amp;$D$7),"—"))</f>
        <v/>
      </c>
      <c r="T116" s="42" t="str">
        <f>IF(T$96="","",IF(Config!$V$53&lt;&gt;"Não",SUMIFS(BD!$U$3:$U$5001,BD!$B$3:$B$5001,T$96,BD!$A$3:$A$5001,"&gt;="&amp;$C$7,BD!$A$3:$A$5001,"&lt;="&amp;$D$7),"—"))</f>
        <v/>
      </c>
      <c r="U116" s="42" t="str">
        <f>IF(U$96="","",IF(Config!$V$54&lt;&gt;"Não",SUMIFS(BD!$U$3:$U$5001,BD!$B$3:$B$5001,U$96,BD!$A$3:$A$5001,"&gt;="&amp;$C$7,BD!$A$3:$A$5001,"&lt;="&amp;$D$7),"—"))</f>
        <v/>
      </c>
      <c r="V116" s="73">
        <f>SUM(B116:U116)</f>
        <v>0</v>
      </c>
    </row>
    <row r="117">
      <c r="A117" s="40" t="inlineStr">
        <is>
          <t xml:space="preserve">GENTE · Absenteísmo (H/H)</t>
        </is>
      </c>
      <c r="B117" s="72">
        <f>IF(B$96="","",IF(Config!$W$35&lt;&gt;"Não",SUMIFS(BD!$V$3:$V$5001,BD!$B$3:$B$5001,B$96,BD!$A$3:$A$5001,"&gt;="&amp;$C$7,BD!$A$3:$A$5001,"&lt;="&amp;$D$7),"—"))</f>
        <v>0</v>
      </c>
      <c r="C117" s="72">
        <f>IF(C$96="","",IF(Config!$W$36&lt;&gt;"Não",SUMIFS(BD!$V$3:$V$5001,BD!$B$3:$B$5001,C$96,BD!$A$3:$A$5001,"&gt;="&amp;$C$7,BD!$A$3:$A$5001,"&lt;="&amp;$D$7),"—"))</f>
        <v>0</v>
      </c>
      <c r="D117" s="72">
        <f>IF(D$96="","",IF(Config!$W$37&lt;&gt;"Não",SUMIFS(BD!$V$3:$V$5001,BD!$B$3:$B$5001,D$96,BD!$A$3:$A$5001,"&gt;="&amp;$C$7,BD!$A$3:$A$5001,"&lt;="&amp;$D$7),"—"))</f>
        <v>0</v>
      </c>
      <c r="E117" s="72">
        <f>IF(E$96="","",IF(Config!$W$38&lt;&gt;"Não",SUMIFS(BD!$V$3:$V$5001,BD!$B$3:$B$5001,E$96,BD!$A$3:$A$5001,"&gt;="&amp;$C$7,BD!$A$3:$A$5001,"&lt;="&amp;$D$7),"—"))</f>
        <v>0</v>
      </c>
      <c r="F117" s="72">
        <f>IF(F$96="","",IF(Config!$W$39&lt;&gt;"Não",SUMIFS(BD!$V$3:$V$5001,BD!$B$3:$B$5001,F$96,BD!$A$3:$A$5001,"&gt;="&amp;$C$7,BD!$A$3:$A$5001,"&lt;="&amp;$D$7),"—"))</f>
        <v>0</v>
      </c>
      <c r="G117" s="72" t="str">
        <f>IF(G$96="","",IF(Config!$W$40&lt;&gt;"Não",SUMIFS(BD!$V$3:$V$5001,BD!$B$3:$B$5001,G$96,BD!$A$3:$A$5001,"&gt;="&amp;$C$7,BD!$A$3:$A$5001,"&lt;="&amp;$D$7),"—"))</f>
        <v/>
      </c>
      <c r="H117" s="72" t="str">
        <f>IF(H$96="","",IF(Config!$W$41&lt;&gt;"Não",SUMIFS(BD!$V$3:$V$5001,BD!$B$3:$B$5001,H$96,BD!$A$3:$A$5001,"&gt;="&amp;$C$7,BD!$A$3:$A$5001,"&lt;="&amp;$D$7),"—"))</f>
        <v/>
      </c>
      <c r="I117" s="72" t="str">
        <f>IF(I$96="","",IF(Config!$W$42&lt;&gt;"Não",SUMIFS(BD!$V$3:$V$5001,BD!$B$3:$B$5001,I$96,BD!$A$3:$A$5001,"&gt;="&amp;$C$7,BD!$A$3:$A$5001,"&lt;="&amp;$D$7),"—"))</f>
        <v/>
      </c>
      <c r="J117" s="72" t="str">
        <f>IF(J$96="","",IF(Config!$W$43&lt;&gt;"Não",SUMIFS(BD!$V$3:$V$5001,BD!$B$3:$B$5001,J$96,BD!$A$3:$A$5001,"&gt;="&amp;$C$7,BD!$A$3:$A$5001,"&lt;="&amp;$D$7),"—"))</f>
        <v/>
      </c>
      <c r="K117" s="72" t="str">
        <f>IF(K$96="","",IF(Config!$W$44&lt;&gt;"Não",SUMIFS(BD!$V$3:$V$5001,BD!$B$3:$B$5001,K$96,BD!$A$3:$A$5001,"&gt;="&amp;$C$7,BD!$A$3:$A$5001,"&lt;="&amp;$D$7),"—"))</f>
        <v/>
      </c>
      <c r="L117" s="72" t="str">
        <f>IF(L$96="","",IF(Config!$W$45&lt;&gt;"Não",SUMIFS(BD!$V$3:$V$5001,BD!$B$3:$B$5001,L$96,BD!$A$3:$A$5001,"&gt;="&amp;$C$7,BD!$A$3:$A$5001,"&lt;="&amp;$D$7),"—"))</f>
        <v/>
      </c>
      <c r="M117" s="72" t="str">
        <f>IF(M$96="","",IF(Config!$W$46&lt;&gt;"Não",SUMIFS(BD!$V$3:$V$5001,BD!$B$3:$B$5001,M$96,BD!$A$3:$A$5001,"&gt;="&amp;$C$7,BD!$A$3:$A$5001,"&lt;="&amp;$D$7),"—"))</f>
        <v/>
      </c>
      <c r="N117" s="72" t="str">
        <f>IF(N$96="","",IF(Config!$W$47&lt;&gt;"Não",SUMIFS(BD!$V$3:$V$5001,BD!$B$3:$B$5001,N$96,BD!$A$3:$A$5001,"&gt;="&amp;$C$7,BD!$A$3:$A$5001,"&lt;="&amp;$D$7),"—"))</f>
        <v/>
      </c>
      <c r="O117" s="72" t="str">
        <f>IF(O$96="","",IF(Config!$W$48&lt;&gt;"Não",SUMIFS(BD!$V$3:$V$5001,BD!$B$3:$B$5001,O$96,BD!$A$3:$A$5001,"&gt;="&amp;$C$7,BD!$A$3:$A$5001,"&lt;="&amp;$D$7),"—"))</f>
        <v/>
      </c>
      <c r="P117" s="72" t="str">
        <f>IF(P$96="","",IF(Config!$W$49&lt;&gt;"Não",SUMIFS(BD!$V$3:$V$5001,BD!$B$3:$B$5001,P$96,BD!$A$3:$A$5001,"&gt;="&amp;$C$7,BD!$A$3:$A$5001,"&lt;="&amp;$D$7),"—"))</f>
        <v/>
      </c>
      <c r="Q117" s="72" t="str">
        <f>IF(Q$96="","",IF(Config!$W$50&lt;&gt;"Não",SUMIFS(BD!$V$3:$V$5001,BD!$B$3:$B$5001,Q$96,BD!$A$3:$A$5001,"&gt;="&amp;$C$7,BD!$A$3:$A$5001,"&lt;="&amp;$D$7),"—"))</f>
        <v/>
      </c>
      <c r="R117" s="72" t="str">
        <f>IF(R$96="","",IF(Config!$W$51&lt;&gt;"Não",SUMIFS(BD!$V$3:$V$5001,BD!$B$3:$B$5001,R$96,BD!$A$3:$A$5001,"&gt;="&amp;$C$7,BD!$A$3:$A$5001,"&lt;="&amp;$D$7),"—"))</f>
        <v/>
      </c>
      <c r="S117" s="72" t="str">
        <f>IF(S$96="","",IF(Config!$W$52&lt;&gt;"Não",SUMIFS(BD!$V$3:$V$5001,BD!$B$3:$B$5001,S$96,BD!$A$3:$A$5001,"&gt;="&amp;$C$7,BD!$A$3:$A$5001,"&lt;="&amp;$D$7),"—"))</f>
        <v/>
      </c>
      <c r="T117" s="72" t="str">
        <f>IF(T$96="","",IF(Config!$W$53&lt;&gt;"Não",SUMIFS(BD!$V$3:$V$5001,BD!$B$3:$B$5001,T$96,BD!$A$3:$A$5001,"&gt;="&amp;$C$7,BD!$A$3:$A$5001,"&lt;="&amp;$D$7),"—"))</f>
        <v/>
      </c>
      <c r="U117" s="72" t="str">
        <f>IF(U$96="","",IF(Config!$W$54&lt;&gt;"Não",SUMIFS(BD!$V$3:$V$5001,BD!$B$3:$B$5001,U$96,BD!$A$3:$A$5001,"&gt;="&amp;$C$7,BD!$A$3:$A$5001,"&lt;="&amp;$D$7),"—"))</f>
        <v/>
      </c>
      <c r="V117" s="74">
        <f>SUM(B117:U117)</f>
        <v>0</v>
      </c>
    </row>
    <row r="118">
      <c r="A118" s="40" t="inlineStr">
        <is>
          <t xml:space="preserve">GENTE · Folga</t>
        </is>
      </c>
      <c r="B118" s="42">
        <f>IF(B$96="","",IF(Config!$X$35&lt;&gt;"Não",SUMIFS(BD!$W$3:$W$5001,BD!$B$3:$B$5001,B$96,BD!$A$3:$A$5001,"&gt;="&amp;$C$7,BD!$A$3:$A$5001,"&lt;="&amp;$D$7),"—"))</f>
        <v>0</v>
      </c>
      <c r="C118" s="42">
        <f>IF(C$96="","",IF(Config!$X$36&lt;&gt;"Não",SUMIFS(BD!$W$3:$W$5001,BD!$B$3:$B$5001,C$96,BD!$A$3:$A$5001,"&gt;="&amp;$C$7,BD!$A$3:$A$5001,"&lt;="&amp;$D$7),"—"))</f>
        <v>0</v>
      </c>
      <c r="D118" s="42">
        <f>IF(D$96="","",IF(Config!$X$37&lt;&gt;"Não",SUMIFS(BD!$W$3:$W$5001,BD!$B$3:$B$5001,D$96,BD!$A$3:$A$5001,"&gt;="&amp;$C$7,BD!$A$3:$A$5001,"&lt;="&amp;$D$7),"—"))</f>
        <v>0</v>
      </c>
      <c r="E118" s="42">
        <f>IF(E$96="","",IF(Config!$X$38&lt;&gt;"Não",SUMIFS(BD!$W$3:$W$5001,BD!$B$3:$B$5001,E$96,BD!$A$3:$A$5001,"&gt;="&amp;$C$7,BD!$A$3:$A$5001,"&lt;="&amp;$D$7),"—"))</f>
        <v>0</v>
      </c>
      <c r="F118" s="42">
        <f>IF(F$96="","",IF(Config!$X$39&lt;&gt;"Não",SUMIFS(BD!$W$3:$W$5001,BD!$B$3:$B$5001,F$96,BD!$A$3:$A$5001,"&gt;="&amp;$C$7,BD!$A$3:$A$5001,"&lt;="&amp;$D$7),"—"))</f>
        <v>0</v>
      </c>
      <c r="G118" s="42" t="str">
        <f>IF(G$96="","",IF(Config!$X$40&lt;&gt;"Não",SUMIFS(BD!$W$3:$W$5001,BD!$B$3:$B$5001,G$96,BD!$A$3:$A$5001,"&gt;="&amp;$C$7,BD!$A$3:$A$5001,"&lt;="&amp;$D$7),"—"))</f>
        <v/>
      </c>
      <c r="H118" s="42" t="str">
        <f>IF(H$96="","",IF(Config!$X$41&lt;&gt;"Não",SUMIFS(BD!$W$3:$W$5001,BD!$B$3:$B$5001,H$96,BD!$A$3:$A$5001,"&gt;="&amp;$C$7,BD!$A$3:$A$5001,"&lt;="&amp;$D$7),"—"))</f>
        <v/>
      </c>
      <c r="I118" s="42" t="str">
        <f>IF(I$96="","",IF(Config!$X$42&lt;&gt;"Não",SUMIFS(BD!$W$3:$W$5001,BD!$B$3:$B$5001,I$96,BD!$A$3:$A$5001,"&gt;="&amp;$C$7,BD!$A$3:$A$5001,"&lt;="&amp;$D$7),"—"))</f>
        <v/>
      </c>
      <c r="J118" s="42" t="str">
        <f>IF(J$96="","",IF(Config!$X$43&lt;&gt;"Não",SUMIFS(BD!$W$3:$W$5001,BD!$B$3:$B$5001,J$96,BD!$A$3:$A$5001,"&gt;="&amp;$C$7,BD!$A$3:$A$5001,"&lt;="&amp;$D$7),"—"))</f>
        <v/>
      </c>
      <c r="K118" s="42" t="str">
        <f>IF(K$96="","",IF(Config!$X$44&lt;&gt;"Não",SUMIFS(BD!$W$3:$W$5001,BD!$B$3:$B$5001,K$96,BD!$A$3:$A$5001,"&gt;="&amp;$C$7,BD!$A$3:$A$5001,"&lt;="&amp;$D$7),"—"))</f>
        <v/>
      </c>
      <c r="L118" s="42" t="str">
        <f>IF(L$96="","",IF(Config!$X$45&lt;&gt;"Não",SUMIFS(BD!$W$3:$W$5001,BD!$B$3:$B$5001,L$96,BD!$A$3:$A$5001,"&gt;="&amp;$C$7,BD!$A$3:$A$5001,"&lt;="&amp;$D$7),"—"))</f>
        <v/>
      </c>
      <c r="M118" s="42" t="str">
        <f>IF(M$96="","",IF(Config!$X$46&lt;&gt;"Não",SUMIFS(BD!$W$3:$W$5001,BD!$B$3:$B$5001,M$96,BD!$A$3:$A$5001,"&gt;="&amp;$C$7,BD!$A$3:$A$5001,"&lt;="&amp;$D$7),"—"))</f>
        <v/>
      </c>
      <c r="N118" s="42" t="str">
        <f>IF(N$96="","",IF(Config!$X$47&lt;&gt;"Não",SUMIFS(BD!$W$3:$W$5001,BD!$B$3:$B$5001,N$96,BD!$A$3:$A$5001,"&gt;="&amp;$C$7,BD!$A$3:$A$5001,"&lt;="&amp;$D$7),"—"))</f>
        <v/>
      </c>
      <c r="O118" s="42" t="str">
        <f>IF(O$96="","",IF(Config!$X$48&lt;&gt;"Não",SUMIFS(BD!$W$3:$W$5001,BD!$B$3:$B$5001,O$96,BD!$A$3:$A$5001,"&gt;="&amp;$C$7,BD!$A$3:$A$5001,"&lt;="&amp;$D$7),"—"))</f>
        <v/>
      </c>
      <c r="P118" s="42" t="str">
        <f>IF(P$96="","",IF(Config!$X$49&lt;&gt;"Não",SUMIFS(BD!$W$3:$W$5001,BD!$B$3:$B$5001,P$96,BD!$A$3:$A$5001,"&gt;="&amp;$C$7,BD!$A$3:$A$5001,"&lt;="&amp;$D$7),"—"))</f>
        <v/>
      </c>
      <c r="Q118" s="42" t="str">
        <f>IF(Q$96="","",IF(Config!$X$50&lt;&gt;"Não",SUMIFS(BD!$W$3:$W$5001,BD!$B$3:$B$5001,Q$96,BD!$A$3:$A$5001,"&gt;="&amp;$C$7,BD!$A$3:$A$5001,"&lt;="&amp;$D$7),"—"))</f>
        <v/>
      </c>
      <c r="R118" s="42" t="str">
        <f>IF(R$96="","",IF(Config!$X$51&lt;&gt;"Não",SUMIFS(BD!$W$3:$W$5001,BD!$B$3:$B$5001,R$96,BD!$A$3:$A$5001,"&gt;="&amp;$C$7,BD!$A$3:$A$5001,"&lt;="&amp;$D$7),"—"))</f>
        <v/>
      </c>
      <c r="S118" s="42" t="str">
        <f>IF(S$96="","",IF(Config!$X$52&lt;&gt;"Não",SUMIFS(BD!$W$3:$W$5001,BD!$B$3:$B$5001,S$96,BD!$A$3:$A$5001,"&gt;="&amp;$C$7,BD!$A$3:$A$5001,"&lt;="&amp;$D$7),"—"))</f>
        <v/>
      </c>
      <c r="T118" s="42" t="str">
        <f>IF(T$96="","",IF(Config!$X$53&lt;&gt;"Não",SUMIFS(BD!$W$3:$W$5001,BD!$B$3:$B$5001,T$96,BD!$A$3:$A$5001,"&gt;="&amp;$C$7,BD!$A$3:$A$5001,"&lt;="&amp;$D$7),"—"))</f>
        <v/>
      </c>
      <c r="U118" s="42" t="str">
        <f>IF(U$96="","",IF(Config!$X$54&lt;&gt;"Não",SUMIFS(BD!$W$3:$W$5001,BD!$B$3:$B$5001,U$96,BD!$A$3:$A$5001,"&gt;="&amp;$C$7,BD!$A$3:$A$5001,"&lt;="&amp;$D$7),"—"))</f>
        <v/>
      </c>
      <c r="V118" s="73">
        <f>SUM(B118:U118)</f>
        <v>0</v>
      </c>
    </row>
    <row r="119">
      <c r="A119" s="40" t="inlineStr">
        <is>
          <t xml:space="preserve">GENTE · Férias</t>
        </is>
      </c>
      <c r="B119" s="42">
        <f>IF(B$96="","",IF(Config!$Y$35&lt;&gt;"Não",SUMIFS(BD!$X$3:$X$5001,BD!$B$3:$B$5001,B$96,BD!$A$3:$A$5001,"&gt;="&amp;$C$7,BD!$A$3:$A$5001,"&lt;="&amp;$D$7),"—"))</f>
        <v>0</v>
      </c>
      <c r="C119" s="42">
        <f>IF(C$96="","",IF(Config!$Y$36&lt;&gt;"Não",SUMIFS(BD!$X$3:$X$5001,BD!$B$3:$B$5001,C$96,BD!$A$3:$A$5001,"&gt;="&amp;$C$7,BD!$A$3:$A$5001,"&lt;="&amp;$D$7),"—"))</f>
        <v>0</v>
      </c>
      <c r="D119" s="42">
        <f>IF(D$96="","",IF(Config!$Y$37&lt;&gt;"Não",SUMIFS(BD!$X$3:$X$5001,BD!$B$3:$B$5001,D$96,BD!$A$3:$A$5001,"&gt;="&amp;$C$7,BD!$A$3:$A$5001,"&lt;="&amp;$D$7),"—"))</f>
        <v>0</v>
      </c>
      <c r="E119" s="42">
        <f>IF(E$96="","",IF(Config!$Y$38&lt;&gt;"Não",SUMIFS(BD!$X$3:$X$5001,BD!$B$3:$B$5001,E$96,BD!$A$3:$A$5001,"&gt;="&amp;$C$7,BD!$A$3:$A$5001,"&lt;="&amp;$D$7),"—"))</f>
        <v>0</v>
      </c>
      <c r="F119" s="42">
        <f>IF(F$96="","",IF(Config!$Y$39&lt;&gt;"Não",SUMIFS(BD!$X$3:$X$5001,BD!$B$3:$B$5001,F$96,BD!$A$3:$A$5001,"&gt;="&amp;$C$7,BD!$A$3:$A$5001,"&lt;="&amp;$D$7),"—"))</f>
        <v>0</v>
      </c>
      <c r="G119" s="42" t="str">
        <f>IF(G$96="","",IF(Config!$Y$40&lt;&gt;"Não",SUMIFS(BD!$X$3:$X$5001,BD!$B$3:$B$5001,G$96,BD!$A$3:$A$5001,"&gt;="&amp;$C$7,BD!$A$3:$A$5001,"&lt;="&amp;$D$7),"—"))</f>
        <v/>
      </c>
      <c r="H119" s="42" t="str">
        <f>IF(H$96="","",IF(Config!$Y$41&lt;&gt;"Não",SUMIFS(BD!$X$3:$X$5001,BD!$B$3:$B$5001,H$96,BD!$A$3:$A$5001,"&gt;="&amp;$C$7,BD!$A$3:$A$5001,"&lt;="&amp;$D$7),"—"))</f>
        <v/>
      </c>
      <c r="I119" s="42" t="str">
        <f>IF(I$96="","",IF(Config!$Y$42&lt;&gt;"Não",SUMIFS(BD!$X$3:$X$5001,BD!$B$3:$B$5001,I$96,BD!$A$3:$A$5001,"&gt;="&amp;$C$7,BD!$A$3:$A$5001,"&lt;="&amp;$D$7),"—"))</f>
        <v/>
      </c>
      <c r="J119" s="42" t="str">
        <f>IF(J$96="","",IF(Config!$Y$43&lt;&gt;"Não",SUMIFS(BD!$X$3:$X$5001,BD!$B$3:$B$5001,J$96,BD!$A$3:$A$5001,"&gt;="&amp;$C$7,BD!$A$3:$A$5001,"&lt;="&amp;$D$7),"—"))</f>
        <v/>
      </c>
      <c r="K119" s="42" t="str">
        <f>IF(K$96="","",IF(Config!$Y$44&lt;&gt;"Não",SUMIFS(BD!$X$3:$X$5001,BD!$B$3:$B$5001,K$96,BD!$A$3:$A$5001,"&gt;="&amp;$C$7,BD!$A$3:$A$5001,"&lt;="&amp;$D$7),"—"))</f>
        <v/>
      </c>
      <c r="L119" s="42" t="str">
        <f>IF(L$96="","",IF(Config!$Y$45&lt;&gt;"Não",SUMIFS(BD!$X$3:$X$5001,BD!$B$3:$B$5001,L$96,BD!$A$3:$A$5001,"&gt;="&amp;$C$7,BD!$A$3:$A$5001,"&lt;="&amp;$D$7),"—"))</f>
        <v/>
      </c>
      <c r="M119" s="42" t="str">
        <f>IF(M$96="","",IF(Config!$Y$46&lt;&gt;"Não",SUMIFS(BD!$X$3:$X$5001,BD!$B$3:$B$5001,M$96,BD!$A$3:$A$5001,"&gt;="&amp;$C$7,BD!$A$3:$A$5001,"&lt;="&amp;$D$7),"—"))</f>
        <v/>
      </c>
      <c r="N119" s="42" t="str">
        <f>IF(N$96="","",IF(Config!$Y$47&lt;&gt;"Não",SUMIFS(BD!$X$3:$X$5001,BD!$B$3:$B$5001,N$96,BD!$A$3:$A$5001,"&gt;="&amp;$C$7,BD!$A$3:$A$5001,"&lt;="&amp;$D$7),"—"))</f>
        <v/>
      </c>
      <c r="O119" s="42" t="str">
        <f>IF(O$96="","",IF(Config!$Y$48&lt;&gt;"Não",SUMIFS(BD!$X$3:$X$5001,BD!$B$3:$B$5001,O$96,BD!$A$3:$A$5001,"&gt;="&amp;$C$7,BD!$A$3:$A$5001,"&lt;="&amp;$D$7),"—"))</f>
        <v/>
      </c>
      <c r="P119" s="42" t="str">
        <f>IF(P$96="","",IF(Config!$Y$49&lt;&gt;"Não",SUMIFS(BD!$X$3:$X$5001,BD!$B$3:$B$5001,P$96,BD!$A$3:$A$5001,"&gt;="&amp;$C$7,BD!$A$3:$A$5001,"&lt;="&amp;$D$7),"—"))</f>
        <v/>
      </c>
      <c r="Q119" s="42" t="str">
        <f>IF(Q$96="","",IF(Config!$Y$50&lt;&gt;"Não",SUMIFS(BD!$X$3:$X$5001,BD!$B$3:$B$5001,Q$96,BD!$A$3:$A$5001,"&gt;="&amp;$C$7,BD!$A$3:$A$5001,"&lt;="&amp;$D$7),"—"))</f>
        <v/>
      </c>
      <c r="R119" s="42" t="str">
        <f>IF(R$96="","",IF(Config!$Y$51&lt;&gt;"Não",SUMIFS(BD!$X$3:$X$5001,BD!$B$3:$B$5001,R$96,BD!$A$3:$A$5001,"&gt;="&amp;$C$7,BD!$A$3:$A$5001,"&lt;="&amp;$D$7),"—"))</f>
        <v/>
      </c>
      <c r="S119" s="42" t="str">
        <f>IF(S$96="","",IF(Config!$Y$52&lt;&gt;"Não",SUMIFS(BD!$X$3:$X$5001,BD!$B$3:$B$5001,S$96,BD!$A$3:$A$5001,"&gt;="&amp;$C$7,BD!$A$3:$A$5001,"&lt;="&amp;$D$7),"—"))</f>
        <v/>
      </c>
      <c r="T119" s="42" t="str">
        <f>IF(T$96="","",IF(Config!$Y$53&lt;&gt;"Não",SUMIFS(BD!$X$3:$X$5001,BD!$B$3:$B$5001,T$96,BD!$A$3:$A$5001,"&gt;="&amp;$C$7,BD!$A$3:$A$5001,"&lt;="&amp;$D$7),"—"))</f>
        <v/>
      </c>
      <c r="U119" s="42" t="str">
        <f>IF(U$96="","",IF(Config!$Y$54&lt;&gt;"Não",SUMIFS(BD!$X$3:$X$5001,BD!$B$3:$B$5001,U$96,BD!$A$3:$A$5001,"&gt;="&amp;$C$7,BD!$A$3:$A$5001,"&lt;="&amp;$D$7),"—"))</f>
        <v/>
      </c>
      <c r="V119" s="73">
        <f>SUM(B119:U119)</f>
        <v>0</v>
      </c>
    </row>
    <row r="120">
      <c r="A120" s="40" t="inlineStr">
        <is>
          <t xml:space="preserve">GENTE · Desligamento</t>
        </is>
      </c>
      <c r="B120" s="42">
        <f>IF(B$96="","",IF(Config!$Z$35&lt;&gt;"Não",SUMIFS(BD!$Y$3:$Y$5001,BD!$B$3:$B$5001,B$96,BD!$A$3:$A$5001,"&gt;="&amp;$C$7,BD!$A$3:$A$5001,"&lt;="&amp;$D$7),"—"))</f>
        <v>0</v>
      </c>
      <c r="C120" s="42">
        <f>IF(C$96="","",IF(Config!$Z$36&lt;&gt;"Não",SUMIFS(BD!$Y$3:$Y$5001,BD!$B$3:$B$5001,C$96,BD!$A$3:$A$5001,"&gt;="&amp;$C$7,BD!$A$3:$A$5001,"&lt;="&amp;$D$7),"—"))</f>
        <v>0</v>
      </c>
      <c r="D120" s="42">
        <f>IF(D$96="","",IF(Config!$Z$37&lt;&gt;"Não",SUMIFS(BD!$Y$3:$Y$5001,BD!$B$3:$B$5001,D$96,BD!$A$3:$A$5001,"&gt;="&amp;$C$7,BD!$A$3:$A$5001,"&lt;="&amp;$D$7),"—"))</f>
        <v>0</v>
      </c>
      <c r="E120" s="42">
        <f>IF(E$96="","",IF(Config!$Z$38&lt;&gt;"Não",SUMIFS(BD!$Y$3:$Y$5001,BD!$B$3:$B$5001,E$96,BD!$A$3:$A$5001,"&gt;="&amp;$C$7,BD!$A$3:$A$5001,"&lt;="&amp;$D$7),"—"))</f>
        <v>0</v>
      </c>
      <c r="F120" s="42">
        <f>IF(F$96="","",IF(Config!$Z$39&lt;&gt;"Não",SUMIFS(BD!$Y$3:$Y$5001,BD!$B$3:$B$5001,F$96,BD!$A$3:$A$5001,"&gt;="&amp;$C$7,BD!$A$3:$A$5001,"&lt;="&amp;$D$7),"—"))</f>
        <v>0</v>
      </c>
      <c r="G120" s="42" t="str">
        <f>IF(G$96="","",IF(Config!$Z$40&lt;&gt;"Não",SUMIFS(BD!$Y$3:$Y$5001,BD!$B$3:$B$5001,G$96,BD!$A$3:$A$5001,"&gt;="&amp;$C$7,BD!$A$3:$A$5001,"&lt;="&amp;$D$7),"—"))</f>
        <v/>
      </c>
      <c r="H120" s="42" t="str">
        <f>IF(H$96="","",IF(Config!$Z$41&lt;&gt;"Não",SUMIFS(BD!$Y$3:$Y$5001,BD!$B$3:$B$5001,H$96,BD!$A$3:$A$5001,"&gt;="&amp;$C$7,BD!$A$3:$A$5001,"&lt;="&amp;$D$7),"—"))</f>
        <v/>
      </c>
      <c r="I120" s="42" t="str">
        <f>IF(I$96="","",IF(Config!$Z$42&lt;&gt;"Não",SUMIFS(BD!$Y$3:$Y$5001,BD!$B$3:$B$5001,I$96,BD!$A$3:$A$5001,"&gt;="&amp;$C$7,BD!$A$3:$A$5001,"&lt;="&amp;$D$7),"—"))</f>
        <v/>
      </c>
      <c r="J120" s="42" t="str">
        <f>IF(J$96="","",IF(Config!$Z$43&lt;&gt;"Não",SUMIFS(BD!$Y$3:$Y$5001,BD!$B$3:$B$5001,J$96,BD!$A$3:$A$5001,"&gt;="&amp;$C$7,BD!$A$3:$A$5001,"&lt;="&amp;$D$7),"—"))</f>
        <v/>
      </c>
      <c r="K120" s="42" t="str">
        <f>IF(K$96="","",IF(Config!$Z$44&lt;&gt;"Não",SUMIFS(BD!$Y$3:$Y$5001,BD!$B$3:$B$5001,K$96,BD!$A$3:$A$5001,"&gt;="&amp;$C$7,BD!$A$3:$A$5001,"&lt;="&amp;$D$7),"—"))</f>
        <v/>
      </c>
      <c r="L120" s="42" t="str">
        <f>IF(L$96="","",IF(Config!$Z$45&lt;&gt;"Não",SUMIFS(BD!$Y$3:$Y$5001,BD!$B$3:$B$5001,L$96,BD!$A$3:$A$5001,"&gt;="&amp;$C$7,BD!$A$3:$A$5001,"&lt;="&amp;$D$7),"—"))</f>
        <v/>
      </c>
      <c r="M120" s="42" t="str">
        <f>IF(M$96="","",IF(Config!$Z$46&lt;&gt;"Não",SUMIFS(BD!$Y$3:$Y$5001,BD!$B$3:$B$5001,M$96,BD!$A$3:$A$5001,"&gt;="&amp;$C$7,BD!$A$3:$A$5001,"&lt;="&amp;$D$7),"—"))</f>
        <v/>
      </c>
      <c r="N120" s="42" t="str">
        <f>IF(N$96="","",IF(Config!$Z$47&lt;&gt;"Não",SUMIFS(BD!$Y$3:$Y$5001,BD!$B$3:$B$5001,N$96,BD!$A$3:$A$5001,"&gt;="&amp;$C$7,BD!$A$3:$A$5001,"&lt;="&amp;$D$7),"—"))</f>
        <v/>
      </c>
      <c r="O120" s="42" t="str">
        <f>IF(O$96="","",IF(Config!$Z$48&lt;&gt;"Não",SUMIFS(BD!$Y$3:$Y$5001,BD!$B$3:$B$5001,O$96,BD!$A$3:$A$5001,"&gt;="&amp;$C$7,BD!$A$3:$A$5001,"&lt;="&amp;$D$7),"—"))</f>
        <v/>
      </c>
      <c r="P120" s="42" t="str">
        <f>IF(P$96="","",IF(Config!$Z$49&lt;&gt;"Não",SUMIFS(BD!$Y$3:$Y$5001,BD!$B$3:$B$5001,P$96,BD!$A$3:$A$5001,"&gt;="&amp;$C$7,BD!$A$3:$A$5001,"&lt;="&amp;$D$7),"—"))</f>
        <v/>
      </c>
      <c r="Q120" s="42" t="str">
        <f>IF(Q$96="","",IF(Config!$Z$50&lt;&gt;"Não",SUMIFS(BD!$Y$3:$Y$5001,BD!$B$3:$B$5001,Q$96,BD!$A$3:$A$5001,"&gt;="&amp;$C$7,BD!$A$3:$A$5001,"&lt;="&amp;$D$7),"—"))</f>
        <v/>
      </c>
      <c r="R120" s="42" t="str">
        <f>IF(R$96="","",IF(Config!$Z$51&lt;&gt;"Não",SUMIFS(BD!$Y$3:$Y$5001,BD!$B$3:$B$5001,R$96,BD!$A$3:$A$5001,"&gt;="&amp;$C$7,BD!$A$3:$A$5001,"&lt;="&amp;$D$7),"—"))</f>
        <v/>
      </c>
      <c r="S120" s="42" t="str">
        <f>IF(S$96="","",IF(Config!$Z$52&lt;&gt;"Não",SUMIFS(BD!$Y$3:$Y$5001,BD!$B$3:$B$5001,S$96,BD!$A$3:$A$5001,"&gt;="&amp;$C$7,BD!$A$3:$A$5001,"&lt;="&amp;$D$7),"—"))</f>
        <v/>
      </c>
      <c r="T120" s="42" t="str">
        <f>IF(T$96="","",IF(Config!$Z$53&lt;&gt;"Não",SUMIFS(BD!$Y$3:$Y$5001,BD!$B$3:$B$5001,T$96,BD!$A$3:$A$5001,"&gt;="&amp;$C$7,BD!$A$3:$A$5001,"&lt;="&amp;$D$7),"—"))</f>
        <v/>
      </c>
      <c r="U120" s="42" t="str">
        <f>IF(U$96="","",IF(Config!$Z$54&lt;&gt;"Não",SUMIFS(BD!$Y$3:$Y$5001,BD!$B$3:$B$5001,U$96,BD!$A$3:$A$5001,"&gt;="&amp;$C$7,BD!$A$3:$A$5001,"&lt;="&amp;$D$7),"—"))</f>
        <v/>
      </c>
      <c r="V120" s="73">
        <f>SUM(B120:U120)</f>
        <v>0</v>
      </c>
    </row>
    <row r="121">
      <c r="A121" s="40" t="inlineStr">
        <is>
          <t xml:space="preserve">GENTE · Desvios Comportamentais</t>
        </is>
      </c>
      <c r="B121" s="42">
        <f>IF(B$96="","",IF(Config!$AA$35&lt;&gt;"Não",SUMIFS(BD!$Z$3:$Z$5001,BD!$B$3:$B$5001,B$96,BD!$A$3:$A$5001,"&gt;="&amp;$C$7,BD!$A$3:$A$5001,"&lt;="&amp;$D$7),"—"))</f>
        <v>0</v>
      </c>
      <c r="C121" s="42">
        <f>IF(C$96="","",IF(Config!$AA$36&lt;&gt;"Não",SUMIFS(BD!$Z$3:$Z$5001,BD!$B$3:$B$5001,C$96,BD!$A$3:$A$5001,"&gt;="&amp;$C$7,BD!$A$3:$A$5001,"&lt;="&amp;$D$7),"—"))</f>
        <v>0</v>
      </c>
      <c r="D121" s="42">
        <f>IF(D$96="","",IF(Config!$AA$37&lt;&gt;"Não",SUMIFS(BD!$Z$3:$Z$5001,BD!$B$3:$B$5001,D$96,BD!$A$3:$A$5001,"&gt;="&amp;$C$7,BD!$A$3:$A$5001,"&lt;="&amp;$D$7),"—"))</f>
        <v>0</v>
      </c>
      <c r="E121" s="42">
        <f>IF(E$96="","",IF(Config!$AA$38&lt;&gt;"Não",SUMIFS(BD!$Z$3:$Z$5001,BD!$B$3:$B$5001,E$96,BD!$A$3:$A$5001,"&gt;="&amp;$C$7,BD!$A$3:$A$5001,"&lt;="&amp;$D$7),"—"))</f>
        <v>0</v>
      </c>
      <c r="F121" s="42">
        <f>IF(F$96="","",IF(Config!$AA$39&lt;&gt;"Não",SUMIFS(BD!$Z$3:$Z$5001,BD!$B$3:$B$5001,F$96,BD!$A$3:$A$5001,"&gt;="&amp;$C$7,BD!$A$3:$A$5001,"&lt;="&amp;$D$7),"—"))</f>
        <v>0</v>
      </c>
      <c r="G121" s="42" t="str">
        <f>IF(G$96="","",IF(Config!$AA$40&lt;&gt;"Não",SUMIFS(BD!$Z$3:$Z$5001,BD!$B$3:$B$5001,G$96,BD!$A$3:$A$5001,"&gt;="&amp;$C$7,BD!$A$3:$A$5001,"&lt;="&amp;$D$7),"—"))</f>
        <v/>
      </c>
      <c r="H121" s="42" t="str">
        <f>IF(H$96="","",IF(Config!$AA$41&lt;&gt;"Não",SUMIFS(BD!$Z$3:$Z$5001,BD!$B$3:$B$5001,H$96,BD!$A$3:$A$5001,"&gt;="&amp;$C$7,BD!$A$3:$A$5001,"&lt;="&amp;$D$7),"—"))</f>
        <v/>
      </c>
      <c r="I121" s="42" t="str">
        <f>IF(I$96="","",IF(Config!$AA$42&lt;&gt;"Não",SUMIFS(BD!$Z$3:$Z$5001,BD!$B$3:$B$5001,I$96,BD!$A$3:$A$5001,"&gt;="&amp;$C$7,BD!$A$3:$A$5001,"&lt;="&amp;$D$7),"—"))</f>
        <v/>
      </c>
      <c r="J121" s="42" t="str">
        <f>IF(J$96="","",IF(Config!$AA$43&lt;&gt;"Não",SUMIFS(BD!$Z$3:$Z$5001,BD!$B$3:$B$5001,J$96,BD!$A$3:$A$5001,"&gt;="&amp;$C$7,BD!$A$3:$A$5001,"&lt;="&amp;$D$7),"—"))</f>
        <v/>
      </c>
      <c r="K121" s="42" t="str">
        <f>IF(K$96="","",IF(Config!$AA$44&lt;&gt;"Não",SUMIFS(BD!$Z$3:$Z$5001,BD!$B$3:$B$5001,K$96,BD!$A$3:$A$5001,"&gt;="&amp;$C$7,BD!$A$3:$A$5001,"&lt;="&amp;$D$7),"—"))</f>
        <v/>
      </c>
      <c r="L121" s="42" t="str">
        <f>IF(L$96="","",IF(Config!$AA$45&lt;&gt;"Não",SUMIFS(BD!$Z$3:$Z$5001,BD!$B$3:$B$5001,L$96,BD!$A$3:$A$5001,"&gt;="&amp;$C$7,BD!$A$3:$A$5001,"&lt;="&amp;$D$7),"—"))</f>
        <v/>
      </c>
      <c r="M121" s="42" t="str">
        <f>IF(M$96="","",IF(Config!$AA$46&lt;&gt;"Não",SUMIFS(BD!$Z$3:$Z$5001,BD!$B$3:$B$5001,M$96,BD!$A$3:$A$5001,"&gt;="&amp;$C$7,BD!$A$3:$A$5001,"&lt;="&amp;$D$7),"—"))</f>
        <v/>
      </c>
      <c r="N121" s="42" t="str">
        <f>IF(N$96="","",IF(Config!$AA$47&lt;&gt;"Não",SUMIFS(BD!$Z$3:$Z$5001,BD!$B$3:$B$5001,N$96,BD!$A$3:$A$5001,"&gt;="&amp;$C$7,BD!$A$3:$A$5001,"&lt;="&amp;$D$7),"—"))</f>
        <v/>
      </c>
      <c r="O121" s="42" t="str">
        <f>IF(O$96="","",IF(Config!$AA$48&lt;&gt;"Não",SUMIFS(BD!$Z$3:$Z$5001,BD!$B$3:$B$5001,O$96,BD!$A$3:$A$5001,"&gt;="&amp;$C$7,BD!$A$3:$A$5001,"&lt;="&amp;$D$7),"—"))</f>
        <v/>
      </c>
      <c r="P121" s="42" t="str">
        <f>IF(P$96="","",IF(Config!$AA$49&lt;&gt;"Não",SUMIFS(BD!$Z$3:$Z$5001,BD!$B$3:$B$5001,P$96,BD!$A$3:$A$5001,"&gt;="&amp;$C$7,BD!$A$3:$A$5001,"&lt;="&amp;$D$7),"—"))</f>
        <v/>
      </c>
      <c r="Q121" s="42" t="str">
        <f>IF(Q$96="","",IF(Config!$AA$50&lt;&gt;"Não",SUMIFS(BD!$Z$3:$Z$5001,BD!$B$3:$B$5001,Q$96,BD!$A$3:$A$5001,"&gt;="&amp;$C$7,BD!$A$3:$A$5001,"&lt;="&amp;$D$7),"—"))</f>
        <v/>
      </c>
      <c r="R121" s="42" t="str">
        <f>IF(R$96="","",IF(Config!$AA$51&lt;&gt;"Não",SUMIFS(BD!$Z$3:$Z$5001,BD!$B$3:$B$5001,R$96,BD!$A$3:$A$5001,"&gt;="&amp;$C$7,BD!$A$3:$A$5001,"&lt;="&amp;$D$7),"—"))</f>
        <v/>
      </c>
      <c r="S121" s="42" t="str">
        <f>IF(S$96="","",IF(Config!$AA$52&lt;&gt;"Não",SUMIFS(BD!$Z$3:$Z$5001,BD!$B$3:$B$5001,S$96,BD!$A$3:$A$5001,"&gt;="&amp;$C$7,BD!$A$3:$A$5001,"&lt;="&amp;$D$7),"—"))</f>
        <v/>
      </c>
      <c r="T121" s="42" t="str">
        <f>IF(T$96="","",IF(Config!$AA$53&lt;&gt;"Não",SUMIFS(BD!$Z$3:$Z$5001,BD!$B$3:$B$5001,T$96,BD!$A$3:$A$5001,"&gt;="&amp;$C$7,BD!$A$3:$A$5001,"&lt;="&amp;$D$7),"—"))</f>
        <v/>
      </c>
      <c r="U121" s="42" t="str">
        <f>IF(U$96="","",IF(Config!$AA$54&lt;&gt;"Não",SUMIFS(BD!$Z$3:$Z$5001,BD!$B$3:$B$5001,U$96,BD!$A$3:$A$5001,"&gt;="&amp;$C$7,BD!$A$3:$A$5001,"&lt;="&amp;$D$7),"—"))</f>
        <v/>
      </c>
      <c r="V121" s="73">
        <f>SUM(B121:U121)</f>
        <v>0</v>
      </c>
    </row>
    <row r="122">
      <c r="A122" s="40" t="inlineStr">
        <is>
          <t xml:space="preserve">GENTE · Acidentes CAF</t>
        </is>
      </c>
      <c r="B122" s="42">
        <f>IF(B$96="","",IF(Config!$AB$35&lt;&gt;"Não",SUMIFS(BD!$AA$3:$AA$5001,BD!$B$3:$B$5001,B$96,BD!$A$3:$A$5001,"&gt;="&amp;$C$7,BD!$A$3:$A$5001,"&lt;="&amp;$D$7),"—"))</f>
        <v>0</v>
      </c>
      <c r="C122" s="42">
        <f>IF(C$96="","",IF(Config!$AB$36&lt;&gt;"Não",SUMIFS(BD!$AA$3:$AA$5001,BD!$B$3:$B$5001,C$96,BD!$A$3:$A$5001,"&gt;="&amp;$C$7,BD!$A$3:$A$5001,"&lt;="&amp;$D$7),"—"))</f>
        <v>0</v>
      </c>
      <c r="D122" s="42">
        <f>IF(D$96="","",IF(Config!$AB$37&lt;&gt;"Não",SUMIFS(BD!$AA$3:$AA$5001,BD!$B$3:$B$5001,D$96,BD!$A$3:$A$5001,"&gt;="&amp;$C$7,BD!$A$3:$A$5001,"&lt;="&amp;$D$7),"—"))</f>
        <v>0</v>
      </c>
      <c r="E122" s="42">
        <f>IF(E$96="","",IF(Config!$AB$38&lt;&gt;"Não",SUMIFS(BD!$AA$3:$AA$5001,BD!$B$3:$B$5001,E$96,BD!$A$3:$A$5001,"&gt;="&amp;$C$7,BD!$A$3:$A$5001,"&lt;="&amp;$D$7),"—"))</f>
        <v>0</v>
      </c>
      <c r="F122" s="42">
        <f>IF(F$96="","",IF(Config!$AB$39&lt;&gt;"Não",SUMIFS(BD!$AA$3:$AA$5001,BD!$B$3:$B$5001,F$96,BD!$A$3:$A$5001,"&gt;="&amp;$C$7,BD!$A$3:$A$5001,"&lt;="&amp;$D$7),"—"))</f>
        <v>0</v>
      </c>
      <c r="G122" s="42" t="str">
        <f>IF(G$96="","",IF(Config!$AB$40&lt;&gt;"Não",SUMIFS(BD!$AA$3:$AA$5001,BD!$B$3:$B$5001,G$96,BD!$A$3:$A$5001,"&gt;="&amp;$C$7,BD!$A$3:$A$5001,"&lt;="&amp;$D$7),"—"))</f>
        <v/>
      </c>
      <c r="H122" s="42" t="str">
        <f>IF(H$96="","",IF(Config!$AB$41&lt;&gt;"Não",SUMIFS(BD!$AA$3:$AA$5001,BD!$B$3:$B$5001,H$96,BD!$A$3:$A$5001,"&gt;="&amp;$C$7,BD!$A$3:$A$5001,"&lt;="&amp;$D$7),"—"))</f>
        <v/>
      </c>
      <c r="I122" s="42" t="str">
        <f>IF(I$96="","",IF(Config!$AB$42&lt;&gt;"Não",SUMIFS(BD!$AA$3:$AA$5001,BD!$B$3:$B$5001,I$96,BD!$A$3:$A$5001,"&gt;="&amp;$C$7,BD!$A$3:$A$5001,"&lt;="&amp;$D$7),"—"))</f>
        <v/>
      </c>
      <c r="J122" s="42" t="str">
        <f>IF(J$96="","",IF(Config!$AB$43&lt;&gt;"Não",SUMIFS(BD!$AA$3:$AA$5001,BD!$B$3:$B$5001,J$96,BD!$A$3:$A$5001,"&gt;="&amp;$C$7,BD!$A$3:$A$5001,"&lt;="&amp;$D$7),"—"))</f>
        <v/>
      </c>
      <c r="K122" s="42" t="str">
        <f>IF(K$96="","",IF(Config!$AB$44&lt;&gt;"Não",SUMIFS(BD!$AA$3:$AA$5001,BD!$B$3:$B$5001,K$96,BD!$A$3:$A$5001,"&gt;="&amp;$C$7,BD!$A$3:$A$5001,"&lt;="&amp;$D$7),"—"))</f>
        <v/>
      </c>
      <c r="L122" s="42" t="str">
        <f>IF(L$96="","",IF(Config!$AB$45&lt;&gt;"Não",SUMIFS(BD!$AA$3:$AA$5001,BD!$B$3:$B$5001,L$96,BD!$A$3:$A$5001,"&gt;="&amp;$C$7,BD!$A$3:$A$5001,"&lt;="&amp;$D$7),"—"))</f>
        <v/>
      </c>
      <c r="M122" s="42" t="str">
        <f>IF(M$96="","",IF(Config!$AB$46&lt;&gt;"Não",SUMIFS(BD!$AA$3:$AA$5001,BD!$B$3:$B$5001,M$96,BD!$A$3:$A$5001,"&gt;="&amp;$C$7,BD!$A$3:$A$5001,"&lt;="&amp;$D$7),"—"))</f>
        <v/>
      </c>
      <c r="N122" s="42" t="str">
        <f>IF(N$96="","",IF(Config!$AB$47&lt;&gt;"Não",SUMIFS(BD!$AA$3:$AA$5001,BD!$B$3:$B$5001,N$96,BD!$A$3:$A$5001,"&gt;="&amp;$C$7,BD!$A$3:$A$5001,"&lt;="&amp;$D$7),"—"))</f>
        <v/>
      </c>
      <c r="O122" s="42" t="str">
        <f>IF(O$96="","",IF(Config!$AB$48&lt;&gt;"Não",SUMIFS(BD!$AA$3:$AA$5001,BD!$B$3:$B$5001,O$96,BD!$A$3:$A$5001,"&gt;="&amp;$C$7,BD!$A$3:$A$5001,"&lt;="&amp;$D$7),"—"))</f>
        <v/>
      </c>
      <c r="P122" s="42" t="str">
        <f>IF(P$96="","",IF(Config!$AB$49&lt;&gt;"Não",SUMIFS(BD!$AA$3:$AA$5001,BD!$B$3:$B$5001,P$96,BD!$A$3:$A$5001,"&gt;="&amp;$C$7,BD!$A$3:$A$5001,"&lt;="&amp;$D$7),"—"))</f>
        <v/>
      </c>
      <c r="Q122" s="42" t="str">
        <f>IF(Q$96="","",IF(Config!$AB$50&lt;&gt;"Não",SUMIFS(BD!$AA$3:$AA$5001,BD!$B$3:$B$5001,Q$96,BD!$A$3:$A$5001,"&gt;="&amp;$C$7,BD!$A$3:$A$5001,"&lt;="&amp;$D$7),"—"))</f>
        <v/>
      </c>
      <c r="R122" s="42" t="str">
        <f>IF(R$96="","",IF(Config!$AB$51&lt;&gt;"Não",SUMIFS(BD!$AA$3:$AA$5001,BD!$B$3:$B$5001,R$96,BD!$A$3:$A$5001,"&gt;="&amp;$C$7,BD!$A$3:$A$5001,"&lt;="&amp;$D$7),"—"))</f>
        <v/>
      </c>
      <c r="S122" s="42" t="str">
        <f>IF(S$96="","",IF(Config!$AB$52&lt;&gt;"Não",SUMIFS(BD!$AA$3:$AA$5001,BD!$B$3:$B$5001,S$96,BD!$A$3:$A$5001,"&gt;="&amp;$C$7,BD!$A$3:$A$5001,"&lt;="&amp;$D$7),"—"))</f>
        <v/>
      </c>
      <c r="T122" s="42" t="str">
        <f>IF(T$96="","",IF(Config!$AB$53&lt;&gt;"Não",SUMIFS(BD!$AA$3:$AA$5001,BD!$B$3:$B$5001,T$96,BD!$A$3:$A$5001,"&gt;="&amp;$C$7,BD!$A$3:$A$5001,"&lt;="&amp;$D$7),"—"))</f>
        <v/>
      </c>
      <c r="U122" s="42" t="str">
        <f>IF(U$96="","",IF(Config!$AB$54&lt;&gt;"Não",SUMIFS(BD!$AA$3:$AA$5001,BD!$B$3:$B$5001,U$96,BD!$A$3:$A$5001,"&gt;="&amp;$C$7,BD!$A$3:$A$5001,"&lt;="&amp;$D$7),"—"))</f>
        <v/>
      </c>
      <c r="V122" s="73">
        <f>SUM(B122:U122)</f>
        <v>0</v>
      </c>
    </row>
    <row r="123">
      <c r="A123" s="40" t="inlineStr">
        <is>
          <t xml:space="preserve">GENTE · Acidentes SAF</t>
        </is>
      </c>
      <c r="B123" s="42">
        <f>IF(B$96="","",IF(Config!$AC$35&lt;&gt;"Não",SUMIFS(BD!$AB$3:$AB$5001,BD!$B$3:$B$5001,B$96,BD!$A$3:$A$5001,"&gt;="&amp;$C$7,BD!$A$3:$A$5001,"&lt;="&amp;$D$7),"—"))</f>
        <v>0</v>
      </c>
      <c r="C123" s="42">
        <f>IF(C$96="","",IF(Config!$AC$36&lt;&gt;"Não",SUMIFS(BD!$AB$3:$AB$5001,BD!$B$3:$B$5001,C$96,BD!$A$3:$A$5001,"&gt;="&amp;$C$7,BD!$A$3:$A$5001,"&lt;="&amp;$D$7),"—"))</f>
        <v>0</v>
      </c>
      <c r="D123" s="42">
        <f>IF(D$96="","",IF(Config!$AC$37&lt;&gt;"Não",SUMIFS(BD!$AB$3:$AB$5001,BD!$B$3:$B$5001,D$96,BD!$A$3:$A$5001,"&gt;="&amp;$C$7,BD!$A$3:$A$5001,"&lt;="&amp;$D$7),"—"))</f>
        <v>0</v>
      </c>
      <c r="E123" s="42">
        <f>IF(E$96="","",IF(Config!$AC$38&lt;&gt;"Não",SUMIFS(BD!$AB$3:$AB$5001,BD!$B$3:$B$5001,E$96,BD!$A$3:$A$5001,"&gt;="&amp;$C$7,BD!$A$3:$A$5001,"&lt;="&amp;$D$7),"—"))</f>
        <v>0</v>
      </c>
      <c r="F123" s="42">
        <f>IF(F$96="","",IF(Config!$AC$39&lt;&gt;"Não",SUMIFS(BD!$AB$3:$AB$5001,BD!$B$3:$B$5001,F$96,BD!$A$3:$A$5001,"&gt;="&amp;$C$7,BD!$A$3:$A$5001,"&lt;="&amp;$D$7),"—"))</f>
        <v>0</v>
      </c>
      <c r="G123" s="42" t="str">
        <f>IF(G$96="","",IF(Config!$AC$40&lt;&gt;"Não",SUMIFS(BD!$AB$3:$AB$5001,BD!$B$3:$B$5001,G$96,BD!$A$3:$A$5001,"&gt;="&amp;$C$7,BD!$A$3:$A$5001,"&lt;="&amp;$D$7),"—"))</f>
        <v/>
      </c>
      <c r="H123" s="42" t="str">
        <f>IF(H$96="","",IF(Config!$AC$41&lt;&gt;"Não",SUMIFS(BD!$AB$3:$AB$5001,BD!$B$3:$B$5001,H$96,BD!$A$3:$A$5001,"&gt;="&amp;$C$7,BD!$A$3:$A$5001,"&lt;="&amp;$D$7),"—"))</f>
        <v/>
      </c>
      <c r="I123" s="42" t="str">
        <f>IF(I$96="","",IF(Config!$AC$42&lt;&gt;"Não",SUMIFS(BD!$AB$3:$AB$5001,BD!$B$3:$B$5001,I$96,BD!$A$3:$A$5001,"&gt;="&amp;$C$7,BD!$A$3:$A$5001,"&lt;="&amp;$D$7),"—"))</f>
        <v/>
      </c>
      <c r="J123" s="42" t="str">
        <f>IF(J$96="","",IF(Config!$AC$43&lt;&gt;"Não",SUMIFS(BD!$AB$3:$AB$5001,BD!$B$3:$B$5001,J$96,BD!$A$3:$A$5001,"&gt;="&amp;$C$7,BD!$A$3:$A$5001,"&lt;="&amp;$D$7),"—"))</f>
        <v/>
      </c>
      <c r="K123" s="42" t="str">
        <f>IF(K$96="","",IF(Config!$AC$44&lt;&gt;"Não",SUMIFS(BD!$AB$3:$AB$5001,BD!$B$3:$B$5001,K$96,BD!$A$3:$A$5001,"&gt;="&amp;$C$7,BD!$A$3:$A$5001,"&lt;="&amp;$D$7),"—"))</f>
        <v/>
      </c>
      <c r="L123" s="42" t="str">
        <f>IF(L$96="","",IF(Config!$AC$45&lt;&gt;"Não",SUMIFS(BD!$AB$3:$AB$5001,BD!$B$3:$B$5001,L$96,BD!$A$3:$A$5001,"&gt;="&amp;$C$7,BD!$A$3:$A$5001,"&lt;="&amp;$D$7),"—"))</f>
        <v/>
      </c>
      <c r="M123" s="42" t="str">
        <f>IF(M$96="","",IF(Config!$AC$46&lt;&gt;"Não",SUMIFS(BD!$AB$3:$AB$5001,BD!$B$3:$B$5001,M$96,BD!$A$3:$A$5001,"&gt;="&amp;$C$7,BD!$A$3:$A$5001,"&lt;="&amp;$D$7),"—"))</f>
        <v/>
      </c>
      <c r="N123" s="42" t="str">
        <f>IF(N$96="","",IF(Config!$AC$47&lt;&gt;"Não",SUMIFS(BD!$AB$3:$AB$5001,BD!$B$3:$B$5001,N$96,BD!$A$3:$A$5001,"&gt;="&amp;$C$7,BD!$A$3:$A$5001,"&lt;="&amp;$D$7),"—"))</f>
        <v/>
      </c>
      <c r="O123" s="42" t="str">
        <f>IF(O$96="","",IF(Config!$AC$48&lt;&gt;"Não",SUMIFS(BD!$AB$3:$AB$5001,BD!$B$3:$B$5001,O$96,BD!$A$3:$A$5001,"&gt;="&amp;$C$7,BD!$A$3:$A$5001,"&lt;="&amp;$D$7),"—"))</f>
        <v/>
      </c>
      <c r="P123" s="42" t="str">
        <f>IF(P$96="","",IF(Config!$AC$49&lt;&gt;"Não",SUMIFS(BD!$AB$3:$AB$5001,BD!$B$3:$B$5001,P$96,BD!$A$3:$A$5001,"&gt;="&amp;$C$7,BD!$A$3:$A$5001,"&lt;="&amp;$D$7),"—"))</f>
        <v/>
      </c>
      <c r="Q123" s="42" t="str">
        <f>IF(Q$96="","",IF(Config!$AC$50&lt;&gt;"Não",SUMIFS(BD!$AB$3:$AB$5001,BD!$B$3:$B$5001,Q$96,BD!$A$3:$A$5001,"&gt;="&amp;$C$7,BD!$A$3:$A$5001,"&lt;="&amp;$D$7),"—"))</f>
        <v/>
      </c>
      <c r="R123" s="42" t="str">
        <f>IF(R$96="","",IF(Config!$AC$51&lt;&gt;"Não",SUMIFS(BD!$AB$3:$AB$5001,BD!$B$3:$B$5001,R$96,BD!$A$3:$A$5001,"&gt;="&amp;$C$7,BD!$A$3:$A$5001,"&lt;="&amp;$D$7),"—"))</f>
        <v/>
      </c>
      <c r="S123" s="42" t="str">
        <f>IF(S$96="","",IF(Config!$AC$52&lt;&gt;"Não",SUMIFS(BD!$AB$3:$AB$5001,BD!$B$3:$B$5001,S$96,BD!$A$3:$A$5001,"&gt;="&amp;$C$7,BD!$A$3:$A$5001,"&lt;="&amp;$D$7),"—"))</f>
        <v/>
      </c>
      <c r="T123" s="42" t="str">
        <f>IF(T$96="","",IF(Config!$AC$53&lt;&gt;"Não",SUMIFS(BD!$AB$3:$AB$5001,BD!$B$3:$B$5001,T$96,BD!$A$3:$A$5001,"&gt;="&amp;$C$7,BD!$A$3:$A$5001,"&lt;="&amp;$D$7),"—"))</f>
        <v/>
      </c>
      <c r="U123" s="42" t="str">
        <f>IF(U$96="","",IF(Config!$AC$54&lt;&gt;"Não",SUMIFS(BD!$AB$3:$AB$5001,BD!$B$3:$B$5001,U$96,BD!$A$3:$A$5001,"&gt;="&amp;$C$7,BD!$A$3:$A$5001,"&lt;="&amp;$D$7),"—"))</f>
        <v/>
      </c>
      <c r="V123" s="73">
        <f>SUM(B123:U123)</f>
        <v>0</v>
      </c>
    </row>
    <row r="127">
      <c r="A127" s="52" t="inlineStr">
        <is>
          <t xml:space="preserve">ESTOQUES POR CLIENTE — último valor informado até cada dia (Backlog, Posições e Efetivo)</t>
        </is>
      </c>
    </row>
    <row r="128">
      <c r="A128" s="47" t="inlineStr">
        <is>
          <t xml:space="preserve">Backlog Intralog</t>
        </is>
      </c>
      <c r="B128" s="47" t="inlineStr">
        <is>
          <t xml:space="preserve">Data</t>
        </is>
      </c>
      <c r="C128" s="47" t="str">
        <f>Config!$B$10&amp;""</f>
        <v>Barry Callebaut</v>
      </c>
      <c r="D128" s="47" t="str">
        <f>Config!$B$11&amp;""</f>
        <v>GM</v>
      </c>
      <c r="E128" s="47" t="str">
        <f>Config!$B$12&amp;""</f>
        <v>Mondelez</v>
      </c>
      <c r="F128" s="47" t="str">
        <f>Config!$B$13&amp;""</f>
        <v>Nestlé</v>
      </c>
      <c r="G128" s="47" t="str">
        <f>Config!$B$14&amp;""</f>
        <v>PMB</v>
      </c>
      <c r="H128" s="47" t="str">
        <f>Config!$B$15&amp;""</f>
        <v/>
      </c>
      <c r="I128" s="47" t="str">
        <f>Config!$B$16&amp;""</f>
        <v/>
      </c>
      <c r="J128" s="47" t="str">
        <f>Config!$B$17&amp;""</f>
        <v/>
      </c>
      <c r="K128" s="47" t="str">
        <f>Config!$B$18&amp;""</f>
        <v/>
      </c>
      <c r="L128" s="47" t="str">
        <f>Config!$B$19&amp;""</f>
        <v/>
      </c>
      <c r="M128" s="47" t="str">
        <f>Config!$B$20&amp;""</f>
        <v/>
      </c>
      <c r="N128" s="47" t="str">
        <f>Config!$B$21&amp;""</f>
        <v/>
      </c>
      <c r="O128" s="47" t="str">
        <f>Config!$B$22&amp;""</f>
        <v/>
      </c>
      <c r="P128" s="47" t="str">
        <f>Config!$B$23&amp;""</f>
        <v/>
      </c>
      <c r="Q128" s="47" t="str">
        <f>Config!$B$24&amp;""</f>
        <v/>
      </c>
      <c r="R128" s="47" t="str">
        <f>Config!$B$25&amp;""</f>
        <v/>
      </c>
      <c r="S128" s="47" t="str">
        <f>Config!$B$26&amp;""</f>
        <v/>
      </c>
      <c r="T128" s="47" t="str">
        <f>Config!$B$27&amp;""</f>
        <v/>
      </c>
      <c r="U128" s="47" t="str">
        <f>Config!$B$28&amp;""</f>
        <v/>
      </c>
      <c r="V128" s="47" t="str">
        <f>Config!$B$29&amp;""</f>
        <v/>
      </c>
    </row>
    <row r="129">
      <c r="A129" s="48">
        <v>1</v>
      </c>
      <c r="B129" s="53">
        <f>$B$12</f>
        <v>46296</v>
      </c>
      <c r="C129" s="54" t="str">
        <f>IF(OR($B129="",$A129&gt;$B$9,C$128=""),"",IF(COUNTIFS(BD!$B$3:$B$5001,C$128,BD!$A$3:$A$5001,"&gt;="&amp;$C$7,BD!$A$3:$A$5001,"&lt;="&amp;$B129,BD!$P$3:$P$5001,"&lt;&gt;")=0,"",SUMIFS(BD!$P$3:$P$5001,BD!$B$3:$B$5001,C$128,BD!$A$3:$A$5001,_xlfn.MAXIFS(BD!$A$3:$A$5001,BD!$B$3:$B$5001,C$128,BD!$A$3:$A$5001,"&gt;="&amp;$C$7,BD!$A$3:$A$5001,"&lt;="&amp;$B129,BD!$P$3:$P$5001,"&lt;&gt;"))))</f>
        <v/>
      </c>
      <c r="D129" s="54" t="str">
        <f>IF(OR($B129="",$A129&gt;$B$9,D$128=""),"",IF(COUNTIFS(BD!$B$3:$B$5001,D$128,BD!$A$3:$A$5001,"&gt;="&amp;$C$7,BD!$A$3:$A$5001,"&lt;="&amp;$B129,BD!$P$3:$P$5001,"&lt;&gt;")=0,"",SUMIFS(BD!$P$3:$P$5001,BD!$B$3:$B$5001,D$128,BD!$A$3:$A$5001,_xlfn.MAXIFS(BD!$A$3:$A$5001,BD!$B$3:$B$5001,D$128,BD!$A$3:$A$5001,"&gt;="&amp;$C$7,BD!$A$3:$A$5001,"&lt;="&amp;$B129,BD!$P$3:$P$5001,"&lt;&gt;"))))</f>
        <v/>
      </c>
      <c r="E129" s="54" t="str">
        <f>IF(OR($B129="",$A129&gt;$B$9,E$128=""),"",IF(COUNTIFS(BD!$B$3:$B$5001,E$128,BD!$A$3:$A$5001,"&gt;="&amp;$C$7,BD!$A$3:$A$5001,"&lt;="&amp;$B129,BD!$P$3:$P$5001,"&lt;&gt;")=0,"",SUMIFS(BD!$P$3:$P$5001,BD!$B$3:$B$5001,E$128,BD!$A$3:$A$5001,_xlfn.MAXIFS(BD!$A$3:$A$5001,BD!$B$3:$B$5001,E$128,BD!$A$3:$A$5001,"&gt;="&amp;$C$7,BD!$A$3:$A$5001,"&lt;="&amp;$B129,BD!$P$3:$P$5001,"&lt;&gt;"))))</f>
        <v/>
      </c>
      <c r="F129" s="54" t="str">
        <f>IF(OR($B129="",$A129&gt;$B$9,F$128=""),"",IF(COUNTIFS(BD!$B$3:$B$5001,F$128,BD!$A$3:$A$5001,"&gt;="&amp;$C$7,BD!$A$3:$A$5001,"&lt;="&amp;$B129,BD!$P$3:$P$5001,"&lt;&gt;")=0,"",SUMIFS(BD!$P$3:$P$5001,BD!$B$3:$B$5001,F$128,BD!$A$3:$A$5001,_xlfn.MAXIFS(BD!$A$3:$A$5001,BD!$B$3:$B$5001,F$128,BD!$A$3:$A$5001,"&gt;="&amp;$C$7,BD!$A$3:$A$5001,"&lt;="&amp;$B129,BD!$P$3:$P$5001,"&lt;&gt;"))))</f>
        <v/>
      </c>
      <c r="G129" s="54" t="str">
        <f>IF(OR($B129="",$A129&gt;$B$9,G$128=""),"",IF(COUNTIFS(BD!$B$3:$B$5001,G$128,BD!$A$3:$A$5001,"&gt;="&amp;$C$7,BD!$A$3:$A$5001,"&lt;="&amp;$B129,BD!$P$3:$P$5001,"&lt;&gt;")=0,"",SUMIFS(BD!$P$3:$P$5001,BD!$B$3:$B$5001,G$128,BD!$A$3:$A$5001,_xlfn.MAXIFS(BD!$A$3:$A$5001,BD!$B$3:$B$5001,G$128,BD!$A$3:$A$5001,"&gt;="&amp;$C$7,BD!$A$3:$A$5001,"&lt;="&amp;$B129,BD!$P$3:$P$5001,"&lt;&gt;"))))</f>
        <v/>
      </c>
      <c r="H129" s="54" t="str">
        <f>IF(OR($B129="",$A129&gt;$B$9,H$128=""),"",IF(COUNTIFS(BD!$B$3:$B$5001,H$128,BD!$A$3:$A$5001,"&gt;="&amp;$C$7,BD!$A$3:$A$5001,"&lt;="&amp;$B129,BD!$P$3:$P$5001,"&lt;&gt;")=0,"",SUMIFS(BD!$P$3:$P$5001,BD!$B$3:$B$5001,H$128,BD!$A$3:$A$5001,_xlfn.MAXIFS(BD!$A$3:$A$5001,BD!$B$3:$B$5001,H$128,BD!$A$3:$A$5001,"&gt;="&amp;$C$7,BD!$A$3:$A$5001,"&lt;="&amp;$B129,BD!$P$3:$P$5001,"&lt;&gt;"))))</f>
        <v/>
      </c>
      <c r="I129" s="54" t="str">
        <f>IF(OR($B129="",$A129&gt;$B$9,I$128=""),"",IF(COUNTIFS(BD!$B$3:$B$5001,I$128,BD!$A$3:$A$5001,"&gt;="&amp;$C$7,BD!$A$3:$A$5001,"&lt;="&amp;$B129,BD!$P$3:$P$5001,"&lt;&gt;")=0,"",SUMIFS(BD!$P$3:$P$5001,BD!$B$3:$B$5001,I$128,BD!$A$3:$A$5001,_xlfn.MAXIFS(BD!$A$3:$A$5001,BD!$B$3:$B$5001,I$128,BD!$A$3:$A$5001,"&gt;="&amp;$C$7,BD!$A$3:$A$5001,"&lt;="&amp;$B129,BD!$P$3:$P$5001,"&lt;&gt;"))))</f>
        <v/>
      </c>
      <c r="J129" s="54" t="str">
        <f>IF(OR($B129="",$A129&gt;$B$9,J$128=""),"",IF(COUNTIFS(BD!$B$3:$B$5001,J$128,BD!$A$3:$A$5001,"&gt;="&amp;$C$7,BD!$A$3:$A$5001,"&lt;="&amp;$B129,BD!$P$3:$P$5001,"&lt;&gt;")=0,"",SUMIFS(BD!$P$3:$P$5001,BD!$B$3:$B$5001,J$128,BD!$A$3:$A$5001,_xlfn.MAXIFS(BD!$A$3:$A$5001,BD!$B$3:$B$5001,J$128,BD!$A$3:$A$5001,"&gt;="&amp;$C$7,BD!$A$3:$A$5001,"&lt;="&amp;$B129,BD!$P$3:$P$5001,"&lt;&gt;"))))</f>
        <v/>
      </c>
      <c r="K129" s="54" t="str">
        <f>IF(OR($B129="",$A129&gt;$B$9,K$128=""),"",IF(COUNTIFS(BD!$B$3:$B$5001,K$128,BD!$A$3:$A$5001,"&gt;="&amp;$C$7,BD!$A$3:$A$5001,"&lt;="&amp;$B129,BD!$P$3:$P$5001,"&lt;&gt;")=0,"",SUMIFS(BD!$P$3:$P$5001,BD!$B$3:$B$5001,K$128,BD!$A$3:$A$5001,_xlfn.MAXIFS(BD!$A$3:$A$5001,BD!$B$3:$B$5001,K$128,BD!$A$3:$A$5001,"&gt;="&amp;$C$7,BD!$A$3:$A$5001,"&lt;="&amp;$B129,BD!$P$3:$P$5001,"&lt;&gt;"))))</f>
        <v/>
      </c>
      <c r="L129" s="54" t="str">
        <f>IF(OR($B129="",$A129&gt;$B$9,L$128=""),"",IF(COUNTIFS(BD!$B$3:$B$5001,L$128,BD!$A$3:$A$5001,"&gt;="&amp;$C$7,BD!$A$3:$A$5001,"&lt;="&amp;$B129,BD!$P$3:$P$5001,"&lt;&gt;")=0,"",SUMIFS(BD!$P$3:$P$5001,BD!$B$3:$B$5001,L$128,BD!$A$3:$A$5001,_xlfn.MAXIFS(BD!$A$3:$A$5001,BD!$B$3:$B$5001,L$128,BD!$A$3:$A$5001,"&gt;="&amp;$C$7,BD!$A$3:$A$5001,"&lt;="&amp;$B129,BD!$P$3:$P$5001,"&lt;&gt;"))))</f>
        <v/>
      </c>
      <c r="M129" s="54" t="str">
        <f>IF(OR($B129="",$A129&gt;$B$9,M$128=""),"",IF(COUNTIFS(BD!$B$3:$B$5001,M$128,BD!$A$3:$A$5001,"&gt;="&amp;$C$7,BD!$A$3:$A$5001,"&lt;="&amp;$B129,BD!$P$3:$P$5001,"&lt;&gt;")=0,"",SUMIFS(BD!$P$3:$P$5001,BD!$B$3:$B$5001,M$128,BD!$A$3:$A$5001,_xlfn.MAXIFS(BD!$A$3:$A$5001,BD!$B$3:$B$5001,M$128,BD!$A$3:$A$5001,"&gt;="&amp;$C$7,BD!$A$3:$A$5001,"&lt;="&amp;$B129,BD!$P$3:$P$5001,"&lt;&gt;"))))</f>
        <v/>
      </c>
      <c r="N129" s="54" t="str">
        <f>IF(OR($B129="",$A129&gt;$B$9,N$128=""),"",IF(COUNTIFS(BD!$B$3:$B$5001,N$128,BD!$A$3:$A$5001,"&gt;="&amp;$C$7,BD!$A$3:$A$5001,"&lt;="&amp;$B129,BD!$P$3:$P$5001,"&lt;&gt;")=0,"",SUMIFS(BD!$P$3:$P$5001,BD!$B$3:$B$5001,N$128,BD!$A$3:$A$5001,_xlfn.MAXIFS(BD!$A$3:$A$5001,BD!$B$3:$B$5001,N$128,BD!$A$3:$A$5001,"&gt;="&amp;$C$7,BD!$A$3:$A$5001,"&lt;="&amp;$B129,BD!$P$3:$P$5001,"&lt;&gt;"))))</f>
        <v/>
      </c>
      <c r="O129" s="54" t="str">
        <f>IF(OR($B129="",$A129&gt;$B$9,O$128=""),"",IF(COUNTIFS(BD!$B$3:$B$5001,O$128,BD!$A$3:$A$5001,"&gt;="&amp;$C$7,BD!$A$3:$A$5001,"&lt;="&amp;$B129,BD!$P$3:$P$5001,"&lt;&gt;")=0,"",SUMIFS(BD!$P$3:$P$5001,BD!$B$3:$B$5001,O$128,BD!$A$3:$A$5001,_xlfn.MAXIFS(BD!$A$3:$A$5001,BD!$B$3:$B$5001,O$128,BD!$A$3:$A$5001,"&gt;="&amp;$C$7,BD!$A$3:$A$5001,"&lt;="&amp;$B129,BD!$P$3:$P$5001,"&lt;&gt;"))))</f>
        <v/>
      </c>
      <c r="P129" s="54" t="str">
        <f>IF(OR($B129="",$A129&gt;$B$9,P$128=""),"",IF(COUNTIFS(BD!$B$3:$B$5001,P$128,BD!$A$3:$A$5001,"&gt;="&amp;$C$7,BD!$A$3:$A$5001,"&lt;="&amp;$B129,BD!$P$3:$P$5001,"&lt;&gt;")=0,"",SUMIFS(BD!$P$3:$P$5001,BD!$B$3:$B$5001,P$128,BD!$A$3:$A$5001,_xlfn.MAXIFS(BD!$A$3:$A$5001,BD!$B$3:$B$5001,P$128,BD!$A$3:$A$5001,"&gt;="&amp;$C$7,BD!$A$3:$A$5001,"&lt;="&amp;$B129,BD!$P$3:$P$5001,"&lt;&gt;"))))</f>
        <v/>
      </c>
      <c r="Q129" s="54" t="str">
        <f>IF(OR($B129="",$A129&gt;$B$9,Q$128=""),"",IF(COUNTIFS(BD!$B$3:$B$5001,Q$128,BD!$A$3:$A$5001,"&gt;="&amp;$C$7,BD!$A$3:$A$5001,"&lt;="&amp;$B129,BD!$P$3:$P$5001,"&lt;&gt;")=0,"",SUMIFS(BD!$P$3:$P$5001,BD!$B$3:$B$5001,Q$128,BD!$A$3:$A$5001,_xlfn.MAXIFS(BD!$A$3:$A$5001,BD!$B$3:$B$5001,Q$128,BD!$A$3:$A$5001,"&gt;="&amp;$C$7,BD!$A$3:$A$5001,"&lt;="&amp;$B129,BD!$P$3:$P$5001,"&lt;&gt;"))))</f>
        <v/>
      </c>
      <c r="R129" s="54" t="str">
        <f>IF(OR($B129="",$A129&gt;$B$9,R$128=""),"",IF(COUNTIFS(BD!$B$3:$B$5001,R$128,BD!$A$3:$A$5001,"&gt;="&amp;$C$7,BD!$A$3:$A$5001,"&lt;="&amp;$B129,BD!$P$3:$P$5001,"&lt;&gt;")=0,"",SUMIFS(BD!$P$3:$P$5001,BD!$B$3:$B$5001,R$128,BD!$A$3:$A$5001,_xlfn.MAXIFS(BD!$A$3:$A$5001,BD!$B$3:$B$5001,R$128,BD!$A$3:$A$5001,"&gt;="&amp;$C$7,BD!$A$3:$A$5001,"&lt;="&amp;$B129,BD!$P$3:$P$5001,"&lt;&gt;"))))</f>
        <v/>
      </c>
      <c r="S129" s="54" t="str">
        <f>IF(OR($B129="",$A129&gt;$B$9,S$128=""),"",IF(COUNTIFS(BD!$B$3:$B$5001,S$128,BD!$A$3:$A$5001,"&gt;="&amp;$C$7,BD!$A$3:$A$5001,"&lt;="&amp;$B129,BD!$P$3:$P$5001,"&lt;&gt;")=0,"",SUMIFS(BD!$P$3:$P$5001,BD!$B$3:$B$5001,S$128,BD!$A$3:$A$5001,_xlfn.MAXIFS(BD!$A$3:$A$5001,BD!$B$3:$B$5001,S$128,BD!$A$3:$A$5001,"&gt;="&amp;$C$7,BD!$A$3:$A$5001,"&lt;="&amp;$B129,BD!$P$3:$P$5001,"&lt;&gt;"))))</f>
        <v/>
      </c>
      <c r="T129" s="54" t="str">
        <f>IF(OR($B129="",$A129&gt;$B$9,T$128=""),"",IF(COUNTIFS(BD!$B$3:$B$5001,T$128,BD!$A$3:$A$5001,"&gt;="&amp;$C$7,BD!$A$3:$A$5001,"&lt;="&amp;$B129,BD!$P$3:$P$5001,"&lt;&gt;")=0,"",SUMIFS(BD!$P$3:$P$5001,BD!$B$3:$B$5001,T$128,BD!$A$3:$A$5001,_xlfn.MAXIFS(BD!$A$3:$A$5001,BD!$B$3:$B$5001,T$128,BD!$A$3:$A$5001,"&gt;="&amp;$C$7,BD!$A$3:$A$5001,"&lt;="&amp;$B129,BD!$P$3:$P$5001,"&lt;&gt;"))))</f>
        <v/>
      </c>
      <c r="U129" s="54" t="str">
        <f>IF(OR($B129="",$A129&gt;$B$9,U$128=""),"",IF(COUNTIFS(BD!$B$3:$B$5001,U$128,BD!$A$3:$A$5001,"&gt;="&amp;$C$7,BD!$A$3:$A$5001,"&lt;="&amp;$B129,BD!$P$3:$P$5001,"&lt;&gt;")=0,"",SUMIFS(BD!$P$3:$P$5001,BD!$B$3:$B$5001,U$128,BD!$A$3:$A$5001,_xlfn.MAXIFS(BD!$A$3:$A$5001,BD!$B$3:$B$5001,U$128,BD!$A$3:$A$5001,"&gt;="&amp;$C$7,BD!$A$3:$A$5001,"&lt;="&amp;$B129,BD!$P$3:$P$5001,"&lt;&gt;"))))</f>
        <v/>
      </c>
      <c r="V129" s="54" t="str">
        <f>IF(OR($B129="",$A129&gt;$B$9,V$128=""),"",IF(COUNTIFS(BD!$B$3:$B$5001,V$128,BD!$A$3:$A$5001,"&gt;="&amp;$C$7,BD!$A$3:$A$5001,"&lt;="&amp;$B129,BD!$P$3:$P$5001,"&lt;&gt;")=0,"",SUMIFS(BD!$P$3:$P$5001,BD!$B$3:$B$5001,V$128,BD!$A$3:$A$5001,_xlfn.MAXIFS(BD!$A$3:$A$5001,BD!$B$3:$B$5001,V$128,BD!$A$3:$A$5001,"&gt;="&amp;$C$7,BD!$A$3:$A$5001,"&lt;="&amp;$B129,BD!$P$3:$P$5001,"&lt;&gt;"))))</f>
        <v/>
      </c>
    </row>
    <row r="130">
      <c r="A130" s="48">
        <v>2</v>
      </c>
      <c r="B130" s="53">
        <f>$B$13</f>
        <v>46297</v>
      </c>
      <c r="C130" s="54" t="str">
        <f>IF(OR($B130="",$A130&gt;$B$9,C$128=""),"",IF(COUNTIFS(BD!$B$3:$B$5001,C$128,BD!$A$3:$A$5001,"&gt;="&amp;$C$7,BD!$A$3:$A$5001,"&lt;="&amp;$B130,BD!$P$3:$P$5001,"&lt;&gt;")=0,"",SUMIFS(BD!$P$3:$P$5001,BD!$B$3:$B$5001,C$128,BD!$A$3:$A$5001,_xlfn.MAXIFS(BD!$A$3:$A$5001,BD!$B$3:$B$5001,C$128,BD!$A$3:$A$5001,"&gt;="&amp;$C$7,BD!$A$3:$A$5001,"&lt;="&amp;$B130,BD!$P$3:$P$5001,"&lt;&gt;"))))</f>
        <v/>
      </c>
      <c r="D130" s="54" t="str">
        <f>IF(OR($B130="",$A130&gt;$B$9,D$128=""),"",IF(COUNTIFS(BD!$B$3:$B$5001,D$128,BD!$A$3:$A$5001,"&gt;="&amp;$C$7,BD!$A$3:$A$5001,"&lt;="&amp;$B130,BD!$P$3:$P$5001,"&lt;&gt;")=0,"",SUMIFS(BD!$P$3:$P$5001,BD!$B$3:$B$5001,D$128,BD!$A$3:$A$5001,_xlfn.MAXIFS(BD!$A$3:$A$5001,BD!$B$3:$B$5001,D$128,BD!$A$3:$A$5001,"&gt;="&amp;$C$7,BD!$A$3:$A$5001,"&lt;="&amp;$B130,BD!$P$3:$P$5001,"&lt;&gt;"))))</f>
        <v/>
      </c>
      <c r="E130" s="54" t="str">
        <f>IF(OR($B130="",$A130&gt;$B$9,E$128=""),"",IF(COUNTIFS(BD!$B$3:$B$5001,E$128,BD!$A$3:$A$5001,"&gt;="&amp;$C$7,BD!$A$3:$A$5001,"&lt;="&amp;$B130,BD!$P$3:$P$5001,"&lt;&gt;")=0,"",SUMIFS(BD!$P$3:$P$5001,BD!$B$3:$B$5001,E$128,BD!$A$3:$A$5001,_xlfn.MAXIFS(BD!$A$3:$A$5001,BD!$B$3:$B$5001,E$128,BD!$A$3:$A$5001,"&gt;="&amp;$C$7,BD!$A$3:$A$5001,"&lt;="&amp;$B130,BD!$P$3:$P$5001,"&lt;&gt;"))))</f>
        <v/>
      </c>
      <c r="F130" s="54" t="str">
        <f>IF(OR($B130="",$A130&gt;$B$9,F$128=""),"",IF(COUNTIFS(BD!$B$3:$B$5001,F$128,BD!$A$3:$A$5001,"&gt;="&amp;$C$7,BD!$A$3:$A$5001,"&lt;="&amp;$B130,BD!$P$3:$P$5001,"&lt;&gt;")=0,"",SUMIFS(BD!$P$3:$P$5001,BD!$B$3:$B$5001,F$128,BD!$A$3:$A$5001,_xlfn.MAXIFS(BD!$A$3:$A$5001,BD!$B$3:$B$5001,F$128,BD!$A$3:$A$5001,"&gt;="&amp;$C$7,BD!$A$3:$A$5001,"&lt;="&amp;$B130,BD!$P$3:$P$5001,"&lt;&gt;"))))</f>
        <v/>
      </c>
      <c r="G130" s="54" t="str">
        <f>IF(OR($B130="",$A130&gt;$B$9,G$128=""),"",IF(COUNTIFS(BD!$B$3:$B$5001,G$128,BD!$A$3:$A$5001,"&gt;="&amp;$C$7,BD!$A$3:$A$5001,"&lt;="&amp;$B130,BD!$P$3:$P$5001,"&lt;&gt;")=0,"",SUMIFS(BD!$P$3:$P$5001,BD!$B$3:$B$5001,G$128,BD!$A$3:$A$5001,_xlfn.MAXIFS(BD!$A$3:$A$5001,BD!$B$3:$B$5001,G$128,BD!$A$3:$A$5001,"&gt;="&amp;$C$7,BD!$A$3:$A$5001,"&lt;="&amp;$B130,BD!$P$3:$P$5001,"&lt;&gt;"))))</f>
        <v/>
      </c>
      <c r="H130" s="54" t="str">
        <f>IF(OR($B130="",$A130&gt;$B$9,H$128=""),"",IF(COUNTIFS(BD!$B$3:$B$5001,H$128,BD!$A$3:$A$5001,"&gt;="&amp;$C$7,BD!$A$3:$A$5001,"&lt;="&amp;$B130,BD!$P$3:$P$5001,"&lt;&gt;")=0,"",SUMIFS(BD!$P$3:$P$5001,BD!$B$3:$B$5001,H$128,BD!$A$3:$A$5001,_xlfn.MAXIFS(BD!$A$3:$A$5001,BD!$B$3:$B$5001,H$128,BD!$A$3:$A$5001,"&gt;="&amp;$C$7,BD!$A$3:$A$5001,"&lt;="&amp;$B130,BD!$P$3:$P$5001,"&lt;&gt;"))))</f>
        <v/>
      </c>
      <c r="I130" s="54" t="str">
        <f>IF(OR($B130="",$A130&gt;$B$9,I$128=""),"",IF(COUNTIFS(BD!$B$3:$B$5001,I$128,BD!$A$3:$A$5001,"&gt;="&amp;$C$7,BD!$A$3:$A$5001,"&lt;="&amp;$B130,BD!$P$3:$P$5001,"&lt;&gt;")=0,"",SUMIFS(BD!$P$3:$P$5001,BD!$B$3:$B$5001,I$128,BD!$A$3:$A$5001,_xlfn.MAXIFS(BD!$A$3:$A$5001,BD!$B$3:$B$5001,I$128,BD!$A$3:$A$5001,"&gt;="&amp;$C$7,BD!$A$3:$A$5001,"&lt;="&amp;$B130,BD!$P$3:$P$5001,"&lt;&gt;"))))</f>
        <v/>
      </c>
      <c r="J130" s="54" t="str">
        <f>IF(OR($B130="",$A130&gt;$B$9,J$128=""),"",IF(COUNTIFS(BD!$B$3:$B$5001,J$128,BD!$A$3:$A$5001,"&gt;="&amp;$C$7,BD!$A$3:$A$5001,"&lt;="&amp;$B130,BD!$P$3:$P$5001,"&lt;&gt;")=0,"",SUMIFS(BD!$P$3:$P$5001,BD!$B$3:$B$5001,J$128,BD!$A$3:$A$5001,_xlfn.MAXIFS(BD!$A$3:$A$5001,BD!$B$3:$B$5001,J$128,BD!$A$3:$A$5001,"&gt;="&amp;$C$7,BD!$A$3:$A$5001,"&lt;="&amp;$B130,BD!$P$3:$P$5001,"&lt;&gt;"))))</f>
        <v/>
      </c>
      <c r="K130" s="54" t="str">
        <f>IF(OR($B130="",$A130&gt;$B$9,K$128=""),"",IF(COUNTIFS(BD!$B$3:$B$5001,K$128,BD!$A$3:$A$5001,"&gt;="&amp;$C$7,BD!$A$3:$A$5001,"&lt;="&amp;$B130,BD!$P$3:$P$5001,"&lt;&gt;")=0,"",SUMIFS(BD!$P$3:$P$5001,BD!$B$3:$B$5001,K$128,BD!$A$3:$A$5001,_xlfn.MAXIFS(BD!$A$3:$A$5001,BD!$B$3:$B$5001,K$128,BD!$A$3:$A$5001,"&gt;="&amp;$C$7,BD!$A$3:$A$5001,"&lt;="&amp;$B130,BD!$P$3:$P$5001,"&lt;&gt;"))))</f>
        <v/>
      </c>
      <c r="L130" s="54" t="str">
        <f>IF(OR($B130="",$A130&gt;$B$9,L$128=""),"",IF(COUNTIFS(BD!$B$3:$B$5001,L$128,BD!$A$3:$A$5001,"&gt;="&amp;$C$7,BD!$A$3:$A$5001,"&lt;="&amp;$B130,BD!$P$3:$P$5001,"&lt;&gt;")=0,"",SUMIFS(BD!$P$3:$P$5001,BD!$B$3:$B$5001,L$128,BD!$A$3:$A$5001,_xlfn.MAXIFS(BD!$A$3:$A$5001,BD!$B$3:$B$5001,L$128,BD!$A$3:$A$5001,"&gt;="&amp;$C$7,BD!$A$3:$A$5001,"&lt;="&amp;$B130,BD!$P$3:$P$5001,"&lt;&gt;"))))</f>
        <v/>
      </c>
      <c r="M130" s="54" t="str">
        <f>IF(OR($B130="",$A130&gt;$B$9,M$128=""),"",IF(COUNTIFS(BD!$B$3:$B$5001,M$128,BD!$A$3:$A$5001,"&gt;="&amp;$C$7,BD!$A$3:$A$5001,"&lt;="&amp;$B130,BD!$P$3:$P$5001,"&lt;&gt;")=0,"",SUMIFS(BD!$P$3:$P$5001,BD!$B$3:$B$5001,M$128,BD!$A$3:$A$5001,_xlfn.MAXIFS(BD!$A$3:$A$5001,BD!$B$3:$B$5001,M$128,BD!$A$3:$A$5001,"&gt;="&amp;$C$7,BD!$A$3:$A$5001,"&lt;="&amp;$B130,BD!$P$3:$P$5001,"&lt;&gt;"))))</f>
        <v/>
      </c>
      <c r="N130" s="54" t="str">
        <f>IF(OR($B130="",$A130&gt;$B$9,N$128=""),"",IF(COUNTIFS(BD!$B$3:$B$5001,N$128,BD!$A$3:$A$5001,"&gt;="&amp;$C$7,BD!$A$3:$A$5001,"&lt;="&amp;$B130,BD!$P$3:$P$5001,"&lt;&gt;")=0,"",SUMIFS(BD!$P$3:$P$5001,BD!$B$3:$B$5001,N$128,BD!$A$3:$A$5001,_xlfn.MAXIFS(BD!$A$3:$A$5001,BD!$B$3:$B$5001,N$128,BD!$A$3:$A$5001,"&gt;="&amp;$C$7,BD!$A$3:$A$5001,"&lt;="&amp;$B130,BD!$P$3:$P$5001,"&lt;&gt;"))))</f>
        <v/>
      </c>
      <c r="O130" s="54" t="str">
        <f>IF(OR($B130="",$A130&gt;$B$9,O$128=""),"",IF(COUNTIFS(BD!$B$3:$B$5001,O$128,BD!$A$3:$A$5001,"&gt;="&amp;$C$7,BD!$A$3:$A$5001,"&lt;="&amp;$B130,BD!$P$3:$P$5001,"&lt;&gt;")=0,"",SUMIFS(BD!$P$3:$P$5001,BD!$B$3:$B$5001,O$128,BD!$A$3:$A$5001,_xlfn.MAXIFS(BD!$A$3:$A$5001,BD!$B$3:$B$5001,O$128,BD!$A$3:$A$5001,"&gt;="&amp;$C$7,BD!$A$3:$A$5001,"&lt;="&amp;$B130,BD!$P$3:$P$5001,"&lt;&gt;"))))</f>
        <v/>
      </c>
      <c r="P130" s="54" t="str">
        <f>IF(OR($B130="",$A130&gt;$B$9,P$128=""),"",IF(COUNTIFS(BD!$B$3:$B$5001,P$128,BD!$A$3:$A$5001,"&gt;="&amp;$C$7,BD!$A$3:$A$5001,"&lt;="&amp;$B130,BD!$P$3:$P$5001,"&lt;&gt;")=0,"",SUMIFS(BD!$P$3:$P$5001,BD!$B$3:$B$5001,P$128,BD!$A$3:$A$5001,_xlfn.MAXIFS(BD!$A$3:$A$5001,BD!$B$3:$B$5001,P$128,BD!$A$3:$A$5001,"&gt;="&amp;$C$7,BD!$A$3:$A$5001,"&lt;="&amp;$B130,BD!$P$3:$P$5001,"&lt;&gt;"))))</f>
        <v/>
      </c>
      <c r="Q130" s="54" t="str">
        <f>IF(OR($B130="",$A130&gt;$B$9,Q$128=""),"",IF(COUNTIFS(BD!$B$3:$B$5001,Q$128,BD!$A$3:$A$5001,"&gt;="&amp;$C$7,BD!$A$3:$A$5001,"&lt;="&amp;$B130,BD!$P$3:$P$5001,"&lt;&gt;")=0,"",SUMIFS(BD!$P$3:$P$5001,BD!$B$3:$B$5001,Q$128,BD!$A$3:$A$5001,_xlfn.MAXIFS(BD!$A$3:$A$5001,BD!$B$3:$B$5001,Q$128,BD!$A$3:$A$5001,"&gt;="&amp;$C$7,BD!$A$3:$A$5001,"&lt;="&amp;$B130,BD!$P$3:$P$5001,"&lt;&gt;"))))</f>
        <v/>
      </c>
      <c r="R130" s="54" t="str">
        <f>IF(OR($B130="",$A130&gt;$B$9,R$128=""),"",IF(COUNTIFS(BD!$B$3:$B$5001,R$128,BD!$A$3:$A$5001,"&gt;="&amp;$C$7,BD!$A$3:$A$5001,"&lt;="&amp;$B130,BD!$P$3:$P$5001,"&lt;&gt;")=0,"",SUMIFS(BD!$P$3:$P$5001,BD!$B$3:$B$5001,R$128,BD!$A$3:$A$5001,_xlfn.MAXIFS(BD!$A$3:$A$5001,BD!$B$3:$B$5001,R$128,BD!$A$3:$A$5001,"&gt;="&amp;$C$7,BD!$A$3:$A$5001,"&lt;="&amp;$B130,BD!$P$3:$P$5001,"&lt;&gt;"))))</f>
        <v/>
      </c>
      <c r="S130" s="54" t="str">
        <f>IF(OR($B130="",$A130&gt;$B$9,S$128=""),"",IF(COUNTIFS(BD!$B$3:$B$5001,S$128,BD!$A$3:$A$5001,"&gt;="&amp;$C$7,BD!$A$3:$A$5001,"&lt;="&amp;$B130,BD!$P$3:$P$5001,"&lt;&gt;")=0,"",SUMIFS(BD!$P$3:$P$5001,BD!$B$3:$B$5001,S$128,BD!$A$3:$A$5001,_xlfn.MAXIFS(BD!$A$3:$A$5001,BD!$B$3:$B$5001,S$128,BD!$A$3:$A$5001,"&gt;="&amp;$C$7,BD!$A$3:$A$5001,"&lt;="&amp;$B130,BD!$P$3:$P$5001,"&lt;&gt;"))))</f>
        <v/>
      </c>
      <c r="T130" s="54" t="str">
        <f>IF(OR($B130="",$A130&gt;$B$9,T$128=""),"",IF(COUNTIFS(BD!$B$3:$B$5001,T$128,BD!$A$3:$A$5001,"&gt;="&amp;$C$7,BD!$A$3:$A$5001,"&lt;="&amp;$B130,BD!$P$3:$P$5001,"&lt;&gt;")=0,"",SUMIFS(BD!$P$3:$P$5001,BD!$B$3:$B$5001,T$128,BD!$A$3:$A$5001,_xlfn.MAXIFS(BD!$A$3:$A$5001,BD!$B$3:$B$5001,T$128,BD!$A$3:$A$5001,"&gt;="&amp;$C$7,BD!$A$3:$A$5001,"&lt;="&amp;$B130,BD!$P$3:$P$5001,"&lt;&gt;"))))</f>
        <v/>
      </c>
      <c r="U130" s="54" t="str">
        <f>IF(OR($B130="",$A130&gt;$B$9,U$128=""),"",IF(COUNTIFS(BD!$B$3:$B$5001,U$128,BD!$A$3:$A$5001,"&gt;="&amp;$C$7,BD!$A$3:$A$5001,"&lt;="&amp;$B130,BD!$P$3:$P$5001,"&lt;&gt;")=0,"",SUMIFS(BD!$P$3:$P$5001,BD!$B$3:$B$5001,U$128,BD!$A$3:$A$5001,_xlfn.MAXIFS(BD!$A$3:$A$5001,BD!$B$3:$B$5001,U$128,BD!$A$3:$A$5001,"&gt;="&amp;$C$7,BD!$A$3:$A$5001,"&lt;="&amp;$B130,BD!$P$3:$P$5001,"&lt;&gt;"))))</f>
        <v/>
      </c>
      <c r="V130" s="54" t="str">
        <f>IF(OR($B130="",$A130&gt;$B$9,V$128=""),"",IF(COUNTIFS(BD!$B$3:$B$5001,V$128,BD!$A$3:$A$5001,"&gt;="&amp;$C$7,BD!$A$3:$A$5001,"&lt;="&amp;$B130,BD!$P$3:$P$5001,"&lt;&gt;")=0,"",SUMIFS(BD!$P$3:$P$5001,BD!$B$3:$B$5001,V$128,BD!$A$3:$A$5001,_xlfn.MAXIFS(BD!$A$3:$A$5001,BD!$B$3:$B$5001,V$128,BD!$A$3:$A$5001,"&gt;="&amp;$C$7,BD!$A$3:$A$5001,"&lt;="&amp;$B130,BD!$P$3:$P$5001,"&lt;&gt;"))))</f>
        <v/>
      </c>
    </row>
    <row r="131">
      <c r="A131" s="48">
        <v>3</v>
      </c>
      <c r="B131" s="53">
        <f>$B$14</f>
        <v>46298</v>
      </c>
      <c r="C131" s="54" t="str">
        <f>IF(OR($B131="",$A131&gt;$B$9,C$128=""),"",IF(COUNTIFS(BD!$B$3:$B$5001,C$128,BD!$A$3:$A$5001,"&gt;="&amp;$C$7,BD!$A$3:$A$5001,"&lt;="&amp;$B131,BD!$P$3:$P$5001,"&lt;&gt;")=0,"",SUMIFS(BD!$P$3:$P$5001,BD!$B$3:$B$5001,C$128,BD!$A$3:$A$5001,_xlfn.MAXIFS(BD!$A$3:$A$5001,BD!$B$3:$B$5001,C$128,BD!$A$3:$A$5001,"&gt;="&amp;$C$7,BD!$A$3:$A$5001,"&lt;="&amp;$B131,BD!$P$3:$P$5001,"&lt;&gt;"))))</f>
        <v/>
      </c>
      <c r="D131" s="54" t="str">
        <f>IF(OR($B131="",$A131&gt;$B$9,D$128=""),"",IF(COUNTIFS(BD!$B$3:$B$5001,D$128,BD!$A$3:$A$5001,"&gt;="&amp;$C$7,BD!$A$3:$A$5001,"&lt;="&amp;$B131,BD!$P$3:$P$5001,"&lt;&gt;")=0,"",SUMIFS(BD!$P$3:$P$5001,BD!$B$3:$B$5001,D$128,BD!$A$3:$A$5001,_xlfn.MAXIFS(BD!$A$3:$A$5001,BD!$B$3:$B$5001,D$128,BD!$A$3:$A$5001,"&gt;="&amp;$C$7,BD!$A$3:$A$5001,"&lt;="&amp;$B131,BD!$P$3:$P$5001,"&lt;&gt;"))))</f>
        <v/>
      </c>
      <c r="E131" s="54" t="str">
        <f>IF(OR($B131="",$A131&gt;$B$9,E$128=""),"",IF(COUNTIFS(BD!$B$3:$B$5001,E$128,BD!$A$3:$A$5001,"&gt;="&amp;$C$7,BD!$A$3:$A$5001,"&lt;="&amp;$B131,BD!$P$3:$P$5001,"&lt;&gt;")=0,"",SUMIFS(BD!$P$3:$P$5001,BD!$B$3:$B$5001,E$128,BD!$A$3:$A$5001,_xlfn.MAXIFS(BD!$A$3:$A$5001,BD!$B$3:$B$5001,E$128,BD!$A$3:$A$5001,"&gt;="&amp;$C$7,BD!$A$3:$A$5001,"&lt;="&amp;$B131,BD!$P$3:$P$5001,"&lt;&gt;"))))</f>
        <v/>
      </c>
      <c r="F131" s="54" t="str">
        <f>IF(OR($B131="",$A131&gt;$B$9,F$128=""),"",IF(COUNTIFS(BD!$B$3:$B$5001,F$128,BD!$A$3:$A$5001,"&gt;="&amp;$C$7,BD!$A$3:$A$5001,"&lt;="&amp;$B131,BD!$P$3:$P$5001,"&lt;&gt;")=0,"",SUMIFS(BD!$P$3:$P$5001,BD!$B$3:$B$5001,F$128,BD!$A$3:$A$5001,_xlfn.MAXIFS(BD!$A$3:$A$5001,BD!$B$3:$B$5001,F$128,BD!$A$3:$A$5001,"&gt;="&amp;$C$7,BD!$A$3:$A$5001,"&lt;="&amp;$B131,BD!$P$3:$P$5001,"&lt;&gt;"))))</f>
        <v/>
      </c>
      <c r="G131" s="54" t="str">
        <f>IF(OR($B131="",$A131&gt;$B$9,G$128=""),"",IF(COUNTIFS(BD!$B$3:$B$5001,G$128,BD!$A$3:$A$5001,"&gt;="&amp;$C$7,BD!$A$3:$A$5001,"&lt;="&amp;$B131,BD!$P$3:$P$5001,"&lt;&gt;")=0,"",SUMIFS(BD!$P$3:$P$5001,BD!$B$3:$B$5001,G$128,BD!$A$3:$A$5001,_xlfn.MAXIFS(BD!$A$3:$A$5001,BD!$B$3:$B$5001,G$128,BD!$A$3:$A$5001,"&gt;="&amp;$C$7,BD!$A$3:$A$5001,"&lt;="&amp;$B131,BD!$P$3:$P$5001,"&lt;&gt;"))))</f>
        <v/>
      </c>
      <c r="H131" s="54" t="str">
        <f>IF(OR($B131="",$A131&gt;$B$9,H$128=""),"",IF(COUNTIFS(BD!$B$3:$B$5001,H$128,BD!$A$3:$A$5001,"&gt;="&amp;$C$7,BD!$A$3:$A$5001,"&lt;="&amp;$B131,BD!$P$3:$P$5001,"&lt;&gt;")=0,"",SUMIFS(BD!$P$3:$P$5001,BD!$B$3:$B$5001,H$128,BD!$A$3:$A$5001,_xlfn.MAXIFS(BD!$A$3:$A$5001,BD!$B$3:$B$5001,H$128,BD!$A$3:$A$5001,"&gt;="&amp;$C$7,BD!$A$3:$A$5001,"&lt;="&amp;$B131,BD!$P$3:$P$5001,"&lt;&gt;"))))</f>
        <v/>
      </c>
      <c r="I131" s="54" t="str">
        <f>IF(OR($B131="",$A131&gt;$B$9,I$128=""),"",IF(COUNTIFS(BD!$B$3:$B$5001,I$128,BD!$A$3:$A$5001,"&gt;="&amp;$C$7,BD!$A$3:$A$5001,"&lt;="&amp;$B131,BD!$P$3:$P$5001,"&lt;&gt;")=0,"",SUMIFS(BD!$P$3:$P$5001,BD!$B$3:$B$5001,I$128,BD!$A$3:$A$5001,_xlfn.MAXIFS(BD!$A$3:$A$5001,BD!$B$3:$B$5001,I$128,BD!$A$3:$A$5001,"&gt;="&amp;$C$7,BD!$A$3:$A$5001,"&lt;="&amp;$B131,BD!$P$3:$P$5001,"&lt;&gt;"))))</f>
        <v/>
      </c>
      <c r="J131" s="54" t="str">
        <f>IF(OR($B131="",$A131&gt;$B$9,J$128=""),"",IF(COUNTIFS(BD!$B$3:$B$5001,J$128,BD!$A$3:$A$5001,"&gt;="&amp;$C$7,BD!$A$3:$A$5001,"&lt;="&amp;$B131,BD!$P$3:$P$5001,"&lt;&gt;")=0,"",SUMIFS(BD!$P$3:$P$5001,BD!$B$3:$B$5001,J$128,BD!$A$3:$A$5001,_xlfn.MAXIFS(BD!$A$3:$A$5001,BD!$B$3:$B$5001,J$128,BD!$A$3:$A$5001,"&gt;="&amp;$C$7,BD!$A$3:$A$5001,"&lt;="&amp;$B131,BD!$P$3:$P$5001,"&lt;&gt;"))))</f>
        <v/>
      </c>
      <c r="K131" s="54" t="str">
        <f>IF(OR($B131="",$A131&gt;$B$9,K$128=""),"",IF(COUNTIFS(BD!$B$3:$B$5001,K$128,BD!$A$3:$A$5001,"&gt;="&amp;$C$7,BD!$A$3:$A$5001,"&lt;="&amp;$B131,BD!$P$3:$P$5001,"&lt;&gt;")=0,"",SUMIFS(BD!$P$3:$P$5001,BD!$B$3:$B$5001,K$128,BD!$A$3:$A$5001,_xlfn.MAXIFS(BD!$A$3:$A$5001,BD!$B$3:$B$5001,K$128,BD!$A$3:$A$5001,"&gt;="&amp;$C$7,BD!$A$3:$A$5001,"&lt;="&amp;$B131,BD!$P$3:$P$5001,"&lt;&gt;"))))</f>
        <v/>
      </c>
      <c r="L131" s="54" t="str">
        <f>IF(OR($B131="",$A131&gt;$B$9,L$128=""),"",IF(COUNTIFS(BD!$B$3:$B$5001,L$128,BD!$A$3:$A$5001,"&gt;="&amp;$C$7,BD!$A$3:$A$5001,"&lt;="&amp;$B131,BD!$P$3:$P$5001,"&lt;&gt;")=0,"",SUMIFS(BD!$P$3:$P$5001,BD!$B$3:$B$5001,L$128,BD!$A$3:$A$5001,_xlfn.MAXIFS(BD!$A$3:$A$5001,BD!$B$3:$B$5001,L$128,BD!$A$3:$A$5001,"&gt;="&amp;$C$7,BD!$A$3:$A$5001,"&lt;="&amp;$B131,BD!$P$3:$P$5001,"&lt;&gt;"))))</f>
        <v/>
      </c>
      <c r="M131" s="54" t="str">
        <f>IF(OR($B131="",$A131&gt;$B$9,M$128=""),"",IF(COUNTIFS(BD!$B$3:$B$5001,M$128,BD!$A$3:$A$5001,"&gt;="&amp;$C$7,BD!$A$3:$A$5001,"&lt;="&amp;$B131,BD!$P$3:$P$5001,"&lt;&gt;")=0,"",SUMIFS(BD!$P$3:$P$5001,BD!$B$3:$B$5001,M$128,BD!$A$3:$A$5001,_xlfn.MAXIFS(BD!$A$3:$A$5001,BD!$B$3:$B$5001,M$128,BD!$A$3:$A$5001,"&gt;="&amp;$C$7,BD!$A$3:$A$5001,"&lt;="&amp;$B131,BD!$P$3:$P$5001,"&lt;&gt;"))))</f>
        <v/>
      </c>
      <c r="N131" s="54" t="str">
        <f>IF(OR($B131="",$A131&gt;$B$9,N$128=""),"",IF(COUNTIFS(BD!$B$3:$B$5001,N$128,BD!$A$3:$A$5001,"&gt;="&amp;$C$7,BD!$A$3:$A$5001,"&lt;="&amp;$B131,BD!$P$3:$P$5001,"&lt;&gt;")=0,"",SUMIFS(BD!$P$3:$P$5001,BD!$B$3:$B$5001,N$128,BD!$A$3:$A$5001,_xlfn.MAXIFS(BD!$A$3:$A$5001,BD!$B$3:$B$5001,N$128,BD!$A$3:$A$5001,"&gt;="&amp;$C$7,BD!$A$3:$A$5001,"&lt;="&amp;$B131,BD!$P$3:$P$5001,"&lt;&gt;"))))</f>
        <v/>
      </c>
      <c r="O131" s="54" t="str">
        <f>IF(OR($B131="",$A131&gt;$B$9,O$128=""),"",IF(COUNTIFS(BD!$B$3:$B$5001,O$128,BD!$A$3:$A$5001,"&gt;="&amp;$C$7,BD!$A$3:$A$5001,"&lt;="&amp;$B131,BD!$P$3:$P$5001,"&lt;&gt;")=0,"",SUMIFS(BD!$P$3:$P$5001,BD!$B$3:$B$5001,O$128,BD!$A$3:$A$5001,_xlfn.MAXIFS(BD!$A$3:$A$5001,BD!$B$3:$B$5001,O$128,BD!$A$3:$A$5001,"&gt;="&amp;$C$7,BD!$A$3:$A$5001,"&lt;="&amp;$B131,BD!$P$3:$P$5001,"&lt;&gt;"))))</f>
        <v/>
      </c>
      <c r="P131" s="54" t="str">
        <f>IF(OR($B131="",$A131&gt;$B$9,P$128=""),"",IF(COUNTIFS(BD!$B$3:$B$5001,P$128,BD!$A$3:$A$5001,"&gt;="&amp;$C$7,BD!$A$3:$A$5001,"&lt;="&amp;$B131,BD!$P$3:$P$5001,"&lt;&gt;")=0,"",SUMIFS(BD!$P$3:$P$5001,BD!$B$3:$B$5001,P$128,BD!$A$3:$A$5001,_xlfn.MAXIFS(BD!$A$3:$A$5001,BD!$B$3:$B$5001,P$128,BD!$A$3:$A$5001,"&gt;="&amp;$C$7,BD!$A$3:$A$5001,"&lt;="&amp;$B131,BD!$P$3:$P$5001,"&lt;&gt;"))))</f>
        <v/>
      </c>
      <c r="Q131" s="54" t="str">
        <f>IF(OR($B131="",$A131&gt;$B$9,Q$128=""),"",IF(COUNTIFS(BD!$B$3:$B$5001,Q$128,BD!$A$3:$A$5001,"&gt;="&amp;$C$7,BD!$A$3:$A$5001,"&lt;="&amp;$B131,BD!$P$3:$P$5001,"&lt;&gt;")=0,"",SUMIFS(BD!$P$3:$P$5001,BD!$B$3:$B$5001,Q$128,BD!$A$3:$A$5001,_xlfn.MAXIFS(BD!$A$3:$A$5001,BD!$B$3:$B$5001,Q$128,BD!$A$3:$A$5001,"&gt;="&amp;$C$7,BD!$A$3:$A$5001,"&lt;="&amp;$B131,BD!$P$3:$P$5001,"&lt;&gt;"))))</f>
        <v/>
      </c>
      <c r="R131" s="54" t="str">
        <f>IF(OR($B131="",$A131&gt;$B$9,R$128=""),"",IF(COUNTIFS(BD!$B$3:$B$5001,R$128,BD!$A$3:$A$5001,"&gt;="&amp;$C$7,BD!$A$3:$A$5001,"&lt;="&amp;$B131,BD!$P$3:$P$5001,"&lt;&gt;")=0,"",SUMIFS(BD!$P$3:$P$5001,BD!$B$3:$B$5001,R$128,BD!$A$3:$A$5001,_xlfn.MAXIFS(BD!$A$3:$A$5001,BD!$B$3:$B$5001,R$128,BD!$A$3:$A$5001,"&gt;="&amp;$C$7,BD!$A$3:$A$5001,"&lt;="&amp;$B131,BD!$P$3:$P$5001,"&lt;&gt;"))))</f>
        <v/>
      </c>
      <c r="S131" s="54" t="str">
        <f>IF(OR($B131="",$A131&gt;$B$9,S$128=""),"",IF(COUNTIFS(BD!$B$3:$B$5001,S$128,BD!$A$3:$A$5001,"&gt;="&amp;$C$7,BD!$A$3:$A$5001,"&lt;="&amp;$B131,BD!$P$3:$P$5001,"&lt;&gt;")=0,"",SUMIFS(BD!$P$3:$P$5001,BD!$B$3:$B$5001,S$128,BD!$A$3:$A$5001,_xlfn.MAXIFS(BD!$A$3:$A$5001,BD!$B$3:$B$5001,S$128,BD!$A$3:$A$5001,"&gt;="&amp;$C$7,BD!$A$3:$A$5001,"&lt;="&amp;$B131,BD!$P$3:$P$5001,"&lt;&gt;"))))</f>
        <v/>
      </c>
      <c r="T131" s="54" t="str">
        <f>IF(OR($B131="",$A131&gt;$B$9,T$128=""),"",IF(COUNTIFS(BD!$B$3:$B$5001,T$128,BD!$A$3:$A$5001,"&gt;="&amp;$C$7,BD!$A$3:$A$5001,"&lt;="&amp;$B131,BD!$P$3:$P$5001,"&lt;&gt;")=0,"",SUMIFS(BD!$P$3:$P$5001,BD!$B$3:$B$5001,T$128,BD!$A$3:$A$5001,_xlfn.MAXIFS(BD!$A$3:$A$5001,BD!$B$3:$B$5001,T$128,BD!$A$3:$A$5001,"&gt;="&amp;$C$7,BD!$A$3:$A$5001,"&lt;="&amp;$B131,BD!$P$3:$P$5001,"&lt;&gt;"))))</f>
        <v/>
      </c>
      <c r="U131" s="54" t="str">
        <f>IF(OR($B131="",$A131&gt;$B$9,U$128=""),"",IF(COUNTIFS(BD!$B$3:$B$5001,U$128,BD!$A$3:$A$5001,"&gt;="&amp;$C$7,BD!$A$3:$A$5001,"&lt;="&amp;$B131,BD!$P$3:$P$5001,"&lt;&gt;")=0,"",SUMIFS(BD!$P$3:$P$5001,BD!$B$3:$B$5001,U$128,BD!$A$3:$A$5001,_xlfn.MAXIFS(BD!$A$3:$A$5001,BD!$B$3:$B$5001,U$128,BD!$A$3:$A$5001,"&gt;="&amp;$C$7,BD!$A$3:$A$5001,"&lt;="&amp;$B131,BD!$P$3:$P$5001,"&lt;&gt;"))))</f>
        <v/>
      </c>
      <c r="V131" s="54" t="str">
        <f>IF(OR($B131="",$A131&gt;$B$9,V$128=""),"",IF(COUNTIFS(BD!$B$3:$B$5001,V$128,BD!$A$3:$A$5001,"&gt;="&amp;$C$7,BD!$A$3:$A$5001,"&lt;="&amp;$B131,BD!$P$3:$P$5001,"&lt;&gt;")=0,"",SUMIFS(BD!$P$3:$P$5001,BD!$B$3:$B$5001,V$128,BD!$A$3:$A$5001,_xlfn.MAXIFS(BD!$A$3:$A$5001,BD!$B$3:$B$5001,V$128,BD!$A$3:$A$5001,"&gt;="&amp;$C$7,BD!$A$3:$A$5001,"&lt;="&amp;$B131,BD!$P$3:$P$5001,"&lt;&gt;"))))</f>
        <v/>
      </c>
    </row>
    <row r="132">
      <c r="A132" s="48">
        <v>4</v>
      </c>
      <c r="B132" s="53">
        <f>$B$15</f>
        <v>46299</v>
      </c>
      <c r="C132" s="54" t="str">
        <f>IF(OR($B132="",$A132&gt;$B$9,C$128=""),"",IF(COUNTIFS(BD!$B$3:$B$5001,C$128,BD!$A$3:$A$5001,"&gt;="&amp;$C$7,BD!$A$3:$A$5001,"&lt;="&amp;$B132,BD!$P$3:$P$5001,"&lt;&gt;")=0,"",SUMIFS(BD!$P$3:$P$5001,BD!$B$3:$B$5001,C$128,BD!$A$3:$A$5001,_xlfn.MAXIFS(BD!$A$3:$A$5001,BD!$B$3:$B$5001,C$128,BD!$A$3:$A$5001,"&gt;="&amp;$C$7,BD!$A$3:$A$5001,"&lt;="&amp;$B132,BD!$P$3:$P$5001,"&lt;&gt;"))))</f>
        <v/>
      </c>
      <c r="D132" s="54" t="str">
        <f>IF(OR($B132="",$A132&gt;$B$9,D$128=""),"",IF(COUNTIFS(BD!$B$3:$B$5001,D$128,BD!$A$3:$A$5001,"&gt;="&amp;$C$7,BD!$A$3:$A$5001,"&lt;="&amp;$B132,BD!$P$3:$P$5001,"&lt;&gt;")=0,"",SUMIFS(BD!$P$3:$P$5001,BD!$B$3:$B$5001,D$128,BD!$A$3:$A$5001,_xlfn.MAXIFS(BD!$A$3:$A$5001,BD!$B$3:$B$5001,D$128,BD!$A$3:$A$5001,"&gt;="&amp;$C$7,BD!$A$3:$A$5001,"&lt;="&amp;$B132,BD!$P$3:$P$5001,"&lt;&gt;"))))</f>
        <v/>
      </c>
      <c r="E132" s="54" t="str">
        <f>IF(OR($B132="",$A132&gt;$B$9,E$128=""),"",IF(COUNTIFS(BD!$B$3:$B$5001,E$128,BD!$A$3:$A$5001,"&gt;="&amp;$C$7,BD!$A$3:$A$5001,"&lt;="&amp;$B132,BD!$P$3:$P$5001,"&lt;&gt;")=0,"",SUMIFS(BD!$P$3:$P$5001,BD!$B$3:$B$5001,E$128,BD!$A$3:$A$5001,_xlfn.MAXIFS(BD!$A$3:$A$5001,BD!$B$3:$B$5001,E$128,BD!$A$3:$A$5001,"&gt;="&amp;$C$7,BD!$A$3:$A$5001,"&lt;="&amp;$B132,BD!$P$3:$P$5001,"&lt;&gt;"))))</f>
        <v/>
      </c>
      <c r="F132" s="54" t="str">
        <f>IF(OR($B132="",$A132&gt;$B$9,F$128=""),"",IF(COUNTIFS(BD!$B$3:$B$5001,F$128,BD!$A$3:$A$5001,"&gt;="&amp;$C$7,BD!$A$3:$A$5001,"&lt;="&amp;$B132,BD!$P$3:$P$5001,"&lt;&gt;")=0,"",SUMIFS(BD!$P$3:$P$5001,BD!$B$3:$B$5001,F$128,BD!$A$3:$A$5001,_xlfn.MAXIFS(BD!$A$3:$A$5001,BD!$B$3:$B$5001,F$128,BD!$A$3:$A$5001,"&gt;="&amp;$C$7,BD!$A$3:$A$5001,"&lt;="&amp;$B132,BD!$P$3:$P$5001,"&lt;&gt;"))))</f>
        <v/>
      </c>
      <c r="G132" s="54" t="str">
        <f>IF(OR($B132="",$A132&gt;$B$9,G$128=""),"",IF(COUNTIFS(BD!$B$3:$B$5001,G$128,BD!$A$3:$A$5001,"&gt;="&amp;$C$7,BD!$A$3:$A$5001,"&lt;="&amp;$B132,BD!$P$3:$P$5001,"&lt;&gt;")=0,"",SUMIFS(BD!$P$3:$P$5001,BD!$B$3:$B$5001,G$128,BD!$A$3:$A$5001,_xlfn.MAXIFS(BD!$A$3:$A$5001,BD!$B$3:$B$5001,G$128,BD!$A$3:$A$5001,"&gt;="&amp;$C$7,BD!$A$3:$A$5001,"&lt;="&amp;$B132,BD!$P$3:$P$5001,"&lt;&gt;"))))</f>
        <v/>
      </c>
      <c r="H132" s="54" t="str">
        <f>IF(OR($B132="",$A132&gt;$B$9,H$128=""),"",IF(COUNTIFS(BD!$B$3:$B$5001,H$128,BD!$A$3:$A$5001,"&gt;="&amp;$C$7,BD!$A$3:$A$5001,"&lt;="&amp;$B132,BD!$P$3:$P$5001,"&lt;&gt;")=0,"",SUMIFS(BD!$P$3:$P$5001,BD!$B$3:$B$5001,H$128,BD!$A$3:$A$5001,_xlfn.MAXIFS(BD!$A$3:$A$5001,BD!$B$3:$B$5001,H$128,BD!$A$3:$A$5001,"&gt;="&amp;$C$7,BD!$A$3:$A$5001,"&lt;="&amp;$B132,BD!$P$3:$P$5001,"&lt;&gt;"))))</f>
        <v/>
      </c>
      <c r="I132" s="54" t="str">
        <f>IF(OR($B132="",$A132&gt;$B$9,I$128=""),"",IF(COUNTIFS(BD!$B$3:$B$5001,I$128,BD!$A$3:$A$5001,"&gt;="&amp;$C$7,BD!$A$3:$A$5001,"&lt;="&amp;$B132,BD!$P$3:$P$5001,"&lt;&gt;")=0,"",SUMIFS(BD!$P$3:$P$5001,BD!$B$3:$B$5001,I$128,BD!$A$3:$A$5001,_xlfn.MAXIFS(BD!$A$3:$A$5001,BD!$B$3:$B$5001,I$128,BD!$A$3:$A$5001,"&gt;="&amp;$C$7,BD!$A$3:$A$5001,"&lt;="&amp;$B132,BD!$P$3:$P$5001,"&lt;&gt;"))))</f>
        <v/>
      </c>
      <c r="J132" s="54" t="str">
        <f>IF(OR($B132="",$A132&gt;$B$9,J$128=""),"",IF(COUNTIFS(BD!$B$3:$B$5001,J$128,BD!$A$3:$A$5001,"&gt;="&amp;$C$7,BD!$A$3:$A$5001,"&lt;="&amp;$B132,BD!$P$3:$P$5001,"&lt;&gt;")=0,"",SUMIFS(BD!$P$3:$P$5001,BD!$B$3:$B$5001,J$128,BD!$A$3:$A$5001,_xlfn.MAXIFS(BD!$A$3:$A$5001,BD!$B$3:$B$5001,J$128,BD!$A$3:$A$5001,"&gt;="&amp;$C$7,BD!$A$3:$A$5001,"&lt;="&amp;$B132,BD!$P$3:$P$5001,"&lt;&gt;"))))</f>
        <v/>
      </c>
      <c r="K132" s="54" t="str">
        <f>IF(OR($B132="",$A132&gt;$B$9,K$128=""),"",IF(COUNTIFS(BD!$B$3:$B$5001,K$128,BD!$A$3:$A$5001,"&gt;="&amp;$C$7,BD!$A$3:$A$5001,"&lt;="&amp;$B132,BD!$P$3:$P$5001,"&lt;&gt;")=0,"",SUMIFS(BD!$P$3:$P$5001,BD!$B$3:$B$5001,K$128,BD!$A$3:$A$5001,_xlfn.MAXIFS(BD!$A$3:$A$5001,BD!$B$3:$B$5001,K$128,BD!$A$3:$A$5001,"&gt;="&amp;$C$7,BD!$A$3:$A$5001,"&lt;="&amp;$B132,BD!$P$3:$P$5001,"&lt;&gt;"))))</f>
        <v/>
      </c>
      <c r="L132" s="54" t="str">
        <f>IF(OR($B132="",$A132&gt;$B$9,L$128=""),"",IF(COUNTIFS(BD!$B$3:$B$5001,L$128,BD!$A$3:$A$5001,"&gt;="&amp;$C$7,BD!$A$3:$A$5001,"&lt;="&amp;$B132,BD!$P$3:$P$5001,"&lt;&gt;")=0,"",SUMIFS(BD!$P$3:$P$5001,BD!$B$3:$B$5001,L$128,BD!$A$3:$A$5001,_xlfn.MAXIFS(BD!$A$3:$A$5001,BD!$B$3:$B$5001,L$128,BD!$A$3:$A$5001,"&gt;="&amp;$C$7,BD!$A$3:$A$5001,"&lt;="&amp;$B132,BD!$P$3:$P$5001,"&lt;&gt;"))))</f>
        <v/>
      </c>
      <c r="M132" s="54" t="str">
        <f>IF(OR($B132="",$A132&gt;$B$9,M$128=""),"",IF(COUNTIFS(BD!$B$3:$B$5001,M$128,BD!$A$3:$A$5001,"&gt;="&amp;$C$7,BD!$A$3:$A$5001,"&lt;="&amp;$B132,BD!$P$3:$P$5001,"&lt;&gt;")=0,"",SUMIFS(BD!$P$3:$P$5001,BD!$B$3:$B$5001,M$128,BD!$A$3:$A$5001,_xlfn.MAXIFS(BD!$A$3:$A$5001,BD!$B$3:$B$5001,M$128,BD!$A$3:$A$5001,"&gt;="&amp;$C$7,BD!$A$3:$A$5001,"&lt;="&amp;$B132,BD!$P$3:$P$5001,"&lt;&gt;"))))</f>
        <v/>
      </c>
      <c r="N132" s="54" t="str">
        <f>IF(OR($B132="",$A132&gt;$B$9,N$128=""),"",IF(COUNTIFS(BD!$B$3:$B$5001,N$128,BD!$A$3:$A$5001,"&gt;="&amp;$C$7,BD!$A$3:$A$5001,"&lt;="&amp;$B132,BD!$P$3:$P$5001,"&lt;&gt;")=0,"",SUMIFS(BD!$P$3:$P$5001,BD!$B$3:$B$5001,N$128,BD!$A$3:$A$5001,_xlfn.MAXIFS(BD!$A$3:$A$5001,BD!$B$3:$B$5001,N$128,BD!$A$3:$A$5001,"&gt;="&amp;$C$7,BD!$A$3:$A$5001,"&lt;="&amp;$B132,BD!$P$3:$P$5001,"&lt;&gt;"))))</f>
        <v/>
      </c>
      <c r="O132" s="54" t="str">
        <f>IF(OR($B132="",$A132&gt;$B$9,O$128=""),"",IF(COUNTIFS(BD!$B$3:$B$5001,O$128,BD!$A$3:$A$5001,"&gt;="&amp;$C$7,BD!$A$3:$A$5001,"&lt;="&amp;$B132,BD!$P$3:$P$5001,"&lt;&gt;")=0,"",SUMIFS(BD!$P$3:$P$5001,BD!$B$3:$B$5001,O$128,BD!$A$3:$A$5001,_xlfn.MAXIFS(BD!$A$3:$A$5001,BD!$B$3:$B$5001,O$128,BD!$A$3:$A$5001,"&gt;="&amp;$C$7,BD!$A$3:$A$5001,"&lt;="&amp;$B132,BD!$P$3:$P$5001,"&lt;&gt;"))))</f>
        <v/>
      </c>
      <c r="P132" s="54" t="str">
        <f>IF(OR($B132="",$A132&gt;$B$9,P$128=""),"",IF(COUNTIFS(BD!$B$3:$B$5001,P$128,BD!$A$3:$A$5001,"&gt;="&amp;$C$7,BD!$A$3:$A$5001,"&lt;="&amp;$B132,BD!$P$3:$P$5001,"&lt;&gt;")=0,"",SUMIFS(BD!$P$3:$P$5001,BD!$B$3:$B$5001,P$128,BD!$A$3:$A$5001,_xlfn.MAXIFS(BD!$A$3:$A$5001,BD!$B$3:$B$5001,P$128,BD!$A$3:$A$5001,"&gt;="&amp;$C$7,BD!$A$3:$A$5001,"&lt;="&amp;$B132,BD!$P$3:$P$5001,"&lt;&gt;"))))</f>
        <v/>
      </c>
      <c r="Q132" s="54" t="str">
        <f>IF(OR($B132="",$A132&gt;$B$9,Q$128=""),"",IF(COUNTIFS(BD!$B$3:$B$5001,Q$128,BD!$A$3:$A$5001,"&gt;="&amp;$C$7,BD!$A$3:$A$5001,"&lt;="&amp;$B132,BD!$P$3:$P$5001,"&lt;&gt;")=0,"",SUMIFS(BD!$P$3:$P$5001,BD!$B$3:$B$5001,Q$128,BD!$A$3:$A$5001,_xlfn.MAXIFS(BD!$A$3:$A$5001,BD!$B$3:$B$5001,Q$128,BD!$A$3:$A$5001,"&gt;="&amp;$C$7,BD!$A$3:$A$5001,"&lt;="&amp;$B132,BD!$P$3:$P$5001,"&lt;&gt;"))))</f>
        <v/>
      </c>
      <c r="R132" s="54" t="str">
        <f>IF(OR($B132="",$A132&gt;$B$9,R$128=""),"",IF(COUNTIFS(BD!$B$3:$B$5001,R$128,BD!$A$3:$A$5001,"&gt;="&amp;$C$7,BD!$A$3:$A$5001,"&lt;="&amp;$B132,BD!$P$3:$P$5001,"&lt;&gt;")=0,"",SUMIFS(BD!$P$3:$P$5001,BD!$B$3:$B$5001,R$128,BD!$A$3:$A$5001,_xlfn.MAXIFS(BD!$A$3:$A$5001,BD!$B$3:$B$5001,R$128,BD!$A$3:$A$5001,"&gt;="&amp;$C$7,BD!$A$3:$A$5001,"&lt;="&amp;$B132,BD!$P$3:$P$5001,"&lt;&gt;"))))</f>
        <v/>
      </c>
      <c r="S132" s="54" t="str">
        <f>IF(OR($B132="",$A132&gt;$B$9,S$128=""),"",IF(COUNTIFS(BD!$B$3:$B$5001,S$128,BD!$A$3:$A$5001,"&gt;="&amp;$C$7,BD!$A$3:$A$5001,"&lt;="&amp;$B132,BD!$P$3:$P$5001,"&lt;&gt;")=0,"",SUMIFS(BD!$P$3:$P$5001,BD!$B$3:$B$5001,S$128,BD!$A$3:$A$5001,_xlfn.MAXIFS(BD!$A$3:$A$5001,BD!$B$3:$B$5001,S$128,BD!$A$3:$A$5001,"&gt;="&amp;$C$7,BD!$A$3:$A$5001,"&lt;="&amp;$B132,BD!$P$3:$P$5001,"&lt;&gt;"))))</f>
        <v/>
      </c>
      <c r="T132" s="54" t="str">
        <f>IF(OR($B132="",$A132&gt;$B$9,T$128=""),"",IF(COUNTIFS(BD!$B$3:$B$5001,T$128,BD!$A$3:$A$5001,"&gt;="&amp;$C$7,BD!$A$3:$A$5001,"&lt;="&amp;$B132,BD!$P$3:$P$5001,"&lt;&gt;")=0,"",SUMIFS(BD!$P$3:$P$5001,BD!$B$3:$B$5001,T$128,BD!$A$3:$A$5001,_xlfn.MAXIFS(BD!$A$3:$A$5001,BD!$B$3:$B$5001,T$128,BD!$A$3:$A$5001,"&gt;="&amp;$C$7,BD!$A$3:$A$5001,"&lt;="&amp;$B132,BD!$P$3:$P$5001,"&lt;&gt;"))))</f>
        <v/>
      </c>
      <c r="U132" s="54" t="str">
        <f>IF(OR($B132="",$A132&gt;$B$9,U$128=""),"",IF(COUNTIFS(BD!$B$3:$B$5001,U$128,BD!$A$3:$A$5001,"&gt;="&amp;$C$7,BD!$A$3:$A$5001,"&lt;="&amp;$B132,BD!$P$3:$P$5001,"&lt;&gt;")=0,"",SUMIFS(BD!$P$3:$P$5001,BD!$B$3:$B$5001,U$128,BD!$A$3:$A$5001,_xlfn.MAXIFS(BD!$A$3:$A$5001,BD!$B$3:$B$5001,U$128,BD!$A$3:$A$5001,"&gt;="&amp;$C$7,BD!$A$3:$A$5001,"&lt;="&amp;$B132,BD!$P$3:$P$5001,"&lt;&gt;"))))</f>
        <v/>
      </c>
      <c r="V132" s="54" t="str">
        <f>IF(OR($B132="",$A132&gt;$B$9,V$128=""),"",IF(COUNTIFS(BD!$B$3:$B$5001,V$128,BD!$A$3:$A$5001,"&gt;="&amp;$C$7,BD!$A$3:$A$5001,"&lt;="&amp;$B132,BD!$P$3:$P$5001,"&lt;&gt;")=0,"",SUMIFS(BD!$P$3:$P$5001,BD!$B$3:$B$5001,V$128,BD!$A$3:$A$5001,_xlfn.MAXIFS(BD!$A$3:$A$5001,BD!$B$3:$B$5001,V$128,BD!$A$3:$A$5001,"&gt;="&amp;$C$7,BD!$A$3:$A$5001,"&lt;="&amp;$B132,BD!$P$3:$P$5001,"&lt;&gt;"))))</f>
        <v/>
      </c>
    </row>
    <row r="133">
      <c r="A133" s="48">
        <v>5</v>
      </c>
      <c r="B133" s="53">
        <f>$B$16</f>
        <v>46300</v>
      </c>
      <c r="C133" s="54" t="str">
        <f>IF(OR($B133="",$A133&gt;$B$9,C$128=""),"",IF(COUNTIFS(BD!$B$3:$B$5001,C$128,BD!$A$3:$A$5001,"&gt;="&amp;$C$7,BD!$A$3:$A$5001,"&lt;="&amp;$B133,BD!$P$3:$P$5001,"&lt;&gt;")=0,"",SUMIFS(BD!$P$3:$P$5001,BD!$B$3:$B$5001,C$128,BD!$A$3:$A$5001,_xlfn.MAXIFS(BD!$A$3:$A$5001,BD!$B$3:$B$5001,C$128,BD!$A$3:$A$5001,"&gt;="&amp;$C$7,BD!$A$3:$A$5001,"&lt;="&amp;$B133,BD!$P$3:$P$5001,"&lt;&gt;"))))</f>
        <v/>
      </c>
      <c r="D133" s="54" t="str">
        <f>IF(OR($B133="",$A133&gt;$B$9,D$128=""),"",IF(COUNTIFS(BD!$B$3:$B$5001,D$128,BD!$A$3:$A$5001,"&gt;="&amp;$C$7,BD!$A$3:$A$5001,"&lt;="&amp;$B133,BD!$P$3:$P$5001,"&lt;&gt;")=0,"",SUMIFS(BD!$P$3:$P$5001,BD!$B$3:$B$5001,D$128,BD!$A$3:$A$5001,_xlfn.MAXIFS(BD!$A$3:$A$5001,BD!$B$3:$B$5001,D$128,BD!$A$3:$A$5001,"&gt;="&amp;$C$7,BD!$A$3:$A$5001,"&lt;="&amp;$B133,BD!$P$3:$P$5001,"&lt;&gt;"))))</f>
        <v/>
      </c>
      <c r="E133" s="54" t="str">
        <f>IF(OR($B133="",$A133&gt;$B$9,E$128=""),"",IF(COUNTIFS(BD!$B$3:$B$5001,E$128,BD!$A$3:$A$5001,"&gt;="&amp;$C$7,BD!$A$3:$A$5001,"&lt;="&amp;$B133,BD!$P$3:$P$5001,"&lt;&gt;")=0,"",SUMIFS(BD!$P$3:$P$5001,BD!$B$3:$B$5001,E$128,BD!$A$3:$A$5001,_xlfn.MAXIFS(BD!$A$3:$A$5001,BD!$B$3:$B$5001,E$128,BD!$A$3:$A$5001,"&gt;="&amp;$C$7,BD!$A$3:$A$5001,"&lt;="&amp;$B133,BD!$P$3:$P$5001,"&lt;&gt;"))))</f>
        <v/>
      </c>
      <c r="F133" s="54" t="str">
        <f>IF(OR($B133="",$A133&gt;$B$9,F$128=""),"",IF(COUNTIFS(BD!$B$3:$B$5001,F$128,BD!$A$3:$A$5001,"&gt;="&amp;$C$7,BD!$A$3:$A$5001,"&lt;="&amp;$B133,BD!$P$3:$P$5001,"&lt;&gt;")=0,"",SUMIFS(BD!$P$3:$P$5001,BD!$B$3:$B$5001,F$128,BD!$A$3:$A$5001,_xlfn.MAXIFS(BD!$A$3:$A$5001,BD!$B$3:$B$5001,F$128,BD!$A$3:$A$5001,"&gt;="&amp;$C$7,BD!$A$3:$A$5001,"&lt;="&amp;$B133,BD!$P$3:$P$5001,"&lt;&gt;"))))</f>
        <v/>
      </c>
      <c r="G133" s="54" t="str">
        <f>IF(OR($B133="",$A133&gt;$B$9,G$128=""),"",IF(COUNTIFS(BD!$B$3:$B$5001,G$128,BD!$A$3:$A$5001,"&gt;="&amp;$C$7,BD!$A$3:$A$5001,"&lt;="&amp;$B133,BD!$P$3:$P$5001,"&lt;&gt;")=0,"",SUMIFS(BD!$P$3:$P$5001,BD!$B$3:$B$5001,G$128,BD!$A$3:$A$5001,_xlfn.MAXIFS(BD!$A$3:$A$5001,BD!$B$3:$B$5001,G$128,BD!$A$3:$A$5001,"&gt;="&amp;$C$7,BD!$A$3:$A$5001,"&lt;="&amp;$B133,BD!$P$3:$P$5001,"&lt;&gt;"))))</f>
        <v/>
      </c>
      <c r="H133" s="54" t="str">
        <f>IF(OR($B133="",$A133&gt;$B$9,H$128=""),"",IF(COUNTIFS(BD!$B$3:$B$5001,H$128,BD!$A$3:$A$5001,"&gt;="&amp;$C$7,BD!$A$3:$A$5001,"&lt;="&amp;$B133,BD!$P$3:$P$5001,"&lt;&gt;")=0,"",SUMIFS(BD!$P$3:$P$5001,BD!$B$3:$B$5001,H$128,BD!$A$3:$A$5001,_xlfn.MAXIFS(BD!$A$3:$A$5001,BD!$B$3:$B$5001,H$128,BD!$A$3:$A$5001,"&gt;="&amp;$C$7,BD!$A$3:$A$5001,"&lt;="&amp;$B133,BD!$P$3:$P$5001,"&lt;&gt;"))))</f>
        <v/>
      </c>
      <c r="I133" s="54" t="str">
        <f>IF(OR($B133="",$A133&gt;$B$9,I$128=""),"",IF(COUNTIFS(BD!$B$3:$B$5001,I$128,BD!$A$3:$A$5001,"&gt;="&amp;$C$7,BD!$A$3:$A$5001,"&lt;="&amp;$B133,BD!$P$3:$P$5001,"&lt;&gt;")=0,"",SUMIFS(BD!$P$3:$P$5001,BD!$B$3:$B$5001,I$128,BD!$A$3:$A$5001,_xlfn.MAXIFS(BD!$A$3:$A$5001,BD!$B$3:$B$5001,I$128,BD!$A$3:$A$5001,"&gt;="&amp;$C$7,BD!$A$3:$A$5001,"&lt;="&amp;$B133,BD!$P$3:$P$5001,"&lt;&gt;"))))</f>
        <v/>
      </c>
      <c r="J133" s="54" t="str">
        <f>IF(OR($B133="",$A133&gt;$B$9,J$128=""),"",IF(COUNTIFS(BD!$B$3:$B$5001,J$128,BD!$A$3:$A$5001,"&gt;="&amp;$C$7,BD!$A$3:$A$5001,"&lt;="&amp;$B133,BD!$P$3:$P$5001,"&lt;&gt;")=0,"",SUMIFS(BD!$P$3:$P$5001,BD!$B$3:$B$5001,J$128,BD!$A$3:$A$5001,_xlfn.MAXIFS(BD!$A$3:$A$5001,BD!$B$3:$B$5001,J$128,BD!$A$3:$A$5001,"&gt;="&amp;$C$7,BD!$A$3:$A$5001,"&lt;="&amp;$B133,BD!$P$3:$P$5001,"&lt;&gt;"))))</f>
        <v/>
      </c>
      <c r="K133" s="54" t="str">
        <f>IF(OR($B133="",$A133&gt;$B$9,K$128=""),"",IF(COUNTIFS(BD!$B$3:$B$5001,K$128,BD!$A$3:$A$5001,"&gt;="&amp;$C$7,BD!$A$3:$A$5001,"&lt;="&amp;$B133,BD!$P$3:$P$5001,"&lt;&gt;")=0,"",SUMIFS(BD!$P$3:$P$5001,BD!$B$3:$B$5001,K$128,BD!$A$3:$A$5001,_xlfn.MAXIFS(BD!$A$3:$A$5001,BD!$B$3:$B$5001,K$128,BD!$A$3:$A$5001,"&gt;="&amp;$C$7,BD!$A$3:$A$5001,"&lt;="&amp;$B133,BD!$P$3:$P$5001,"&lt;&gt;"))))</f>
        <v/>
      </c>
      <c r="L133" s="54" t="str">
        <f>IF(OR($B133="",$A133&gt;$B$9,L$128=""),"",IF(COUNTIFS(BD!$B$3:$B$5001,L$128,BD!$A$3:$A$5001,"&gt;="&amp;$C$7,BD!$A$3:$A$5001,"&lt;="&amp;$B133,BD!$P$3:$P$5001,"&lt;&gt;")=0,"",SUMIFS(BD!$P$3:$P$5001,BD!$B$3:$B$5001,L$128,BD!$A$3:$A$5001,_xlfn.MAXIFS(BD!$A$3:$A$5001,BD!$B$3:$B$5001,L$128,BD!$A$3:$A$5001,"&gt;="&amp;$C$7,BD!$A$3:$A$5001,"&lt;="&amp;$B133,BD!$P$3:$P$5001,"&lt;&gt;"))))</f>
        <v/>
      </c>
      <c r="M133" s="54" t="str">
        <f>IF(OR($B133="",$A133&gt;$B$9,M$128=""),"",IF(COUNTIFS(BD!$B$3:$B$5001,M$128,BD!$A$3:$A$5001,"&gt;="&amp;$C$7,BD!$A$3:$A$5001,"&lt;="&amp;$B133,BD!$P$3:$P$5001,"&lt;&gt;")=0,"",SUMIFS(BD!$P$3:$P$5001,BD!$B$3:$B$5001,M$128,BD!$A$3:$A$5001,_xlfn.MAXIFS(BD!$A$3:$A$5001,BD!$B$3:$B$5001,M$128,BD!$A$3:$A$5001,"&gt;="&amp;$C$7,BD!$A$3:$A$5001,"&lt;="&amp;$B133,BD!$P$3:$P$5001,"&lt;&gt;"))))</f>
        <v/>
      </c>
      <c r="N133" s="54" t="str">
        <f>IF(OR($B133="",$A133&gt;$B$9,N$128=""),"",IF(COUNTIFS(BD!$B$3:$B$5001,N$128,BD!$A$3:$A$5001,"&gt;="&amp;$C$7,BD!$A$3:$A$5001,"&lt;="&amp;$B133,BD!$P$3:$P$5001,"&lt;&gt;")=0,"",SUMIFS(BD!$P$3:$P$5001,BD!$B$3:$B$5001,N$128,BD!$A$3:$A$5001,_xlfn.MAXIFS(BD!$A$3:$A$5001,BD!$B$3:$B$5001,N$128,BD!$A$3:$A$5001,"&gt;="&amp;$C$7,BD!$A$3:$A$5001,"&lt;="&amp;$B133,BD!$P$3:$P$5001,"&lt;&gt;"))))</f>
        <v/>
      </c>
      <c r="O133" s="54" t="str">
        <f>IF(OR($B133="",$A133&gt;$B$9,O$128=""),"",IF(COUNTIFS(BD!$B$3:$B$5001,O$128,BD!$A$3:$A$5001,"&gt;="&amp;$C$7,BD!$A$3:$A$5001,"&lt;="&amp;$B133,BD!$P$3:$P$5001,"&lt;&gt;")=0,"",SUMIFS(BD!$P$3:$P$5001,BD!$B$3:$B$5001,O$128,BD!$A$3:$A$5001,_xlfn.MAXIFS(BD!$A$3:$A$5001,BD!$B$3:$B$5001,O$128,BD!$A$3:$A$5001,"&gt;="&amp;$C$7,BD!$A$3:$A$5001,"&lt;="&amp;$B133,BD!$P$3:$P$5001,"&lt;&gt;"))))</f>
        <v/>
      </c>
      <c r="P133" s="54" t="str">
        <f>IF(OR($B133="",$A133&gt;$B$9,P$128=""),"",IF(COUNTIFS(BD!$B$3:$B$5001,P$128,BD!$A$3:$A$5001,"&gt;="&amp;$C$7,BD!$A$3:$A$5001,"&lt;="&amp;$B133,BD!$P$3:$P$5001,"&lt;&gt;")=0,"",SUMIFS(BD!$P$3:$P$5001,BD!$B$3:$B$5001,P$128,BD!$A$3:$A$5001,_xlfn.MAXIFS(BD!$A$3:$A$5001,BD!$B$3:$B$5001,P$128,BD!$A$3:$A$5001,"&gt;="&amp;$C$7,BD!$A$3:$A$5001,"&lt;="&amp;$B133,BD!$P$3:$P$5001,"&lt;&gt;"))))</f>
        <v/>
      </c>
      <c r="Q133" s="54" t="str">
        <f>IF(OR($B133="",$A133&gt;$B$9,Q$128=""),"",IF(COUNTIFS(BD!$B$3:$B$5001,Q$128,BD!$A$3:$A$5001,"&gt;="&amp;$C$7,BD!$A$3:$A$5001,"&lt;="&amp;$B133,BD!$P$3:$P$5001,"&lt;&gt;")=0,"",SUMIFS(BD!$P$3:$P$5001,BD!$B$3:$B$5001,Q$128,BD!$A$3:$A$5001,_xlfn.MAXIFS(BD!$A$3:$A$5001,BD!$B$3:$B$5001,Q$128,BD!$A$3:$A$5001,"&gt;="&amp;$C$7,BD!$A$3:$A$5001,"&lt;="&amp;$B133,BD!$P$3:$P$5001,"&lt;&gt;"))))</f>
        <v/>
      </c>
      <c r="R133" s="54" t="str">
        <f>IF(OR($B133="",$A133&gt;$B$9,R$128=""),"",IF(COUNTIFS(BD!$B$3:$B$5001,R$128,BD!$A$3:$A$5001,"&gt;="&amp;$C$7,BD!$A$3:$A$5001,"&lt;="&amp;$B133,BD!$P$3:$P$5001,"&lt;&gt;")=0,"",SUMIFS(BD!$P$3:$P$5001,BD!$B$3:$B$5001,R$128,BD!$A$3:$A$5001,_xlfn.MAXIFS(BD!$A$3:$A$5001,BD!$B$3:$B$5001,R$128,BD!$A$3:$A$5001,"&gt;="&amp;$C$7,BD!$A$3:$A$5001,"&lt;="&amp;$B133,BD!$P$3:$P$5001,"&lt;&gt;"))))</f>
        <v/>
      </c>
      <c r="S133" s="54" t="str">
        <f>IF(OR($B133="",$A133&gt;$B$9,S$128=""),"",IF(COUNTIFS(BD!$B$3:$B$5001,S$128,BD!$A$3:$A$5001,"&gt;="&amp;$C$7,BD!$A$3:$A$5001,"&lt;="&amp;$B133,BD!$P$3:$P$5001,"&lt;&gt;")=0,"",SUMIFS(BD!$P$3:$P$5001,BD!$B$3:$B$5001,S$128,BD!$A$3:$A$5001,_xlfn.MAXIFS(BD!$A$3:$A$5001,BD!$B$3:$B$5001,S$128,BD!$A$3:$A$5001,"&gt;="&amp;$C$7,BD!$A$3:$A$5001,"&lt;="&amp;$B133,BD!$P$3:$P$5001,"&lt;&gt;"))))</f>
        <v/>
      </c>
      <c r="T133" s="54" t="str">
        <f>IF(OR($B133="",$A133&gt;$B$9,T$128=""),"",IF(COUNTIFS(BD!$B$3:$B$5001,T$128,BD!$A$3:$A$5001,"&gt;="&amp;$C$7,BD!$A$3:$A$5001,"&lt;="&amp;$B133,BD!$P$3:$P$5001,"&lt;&gt;")=0,"",SUMIFS(BD!$P$3:$P$5001,BD!$B$3:$B$5001,T$128,BD!$A$3:$A$5001,_xlfn.MAXIFS(BD!$A$3:$A$5001,BD!$B$3:$B$5001,T$128,BD!$A$3:$A$5001,"&gt;="&amp;$C$7,BD!$A$3:$A$5001,"&lt;="&amp;$B133,BD!$P$3:$P$5001,"&lt;&gt;"))))</f>
        <v/>
      </c>
      <c r="U133" s="54" t="str">
        <f>IF(OR($B133="",$A133&gt;$B$9,U$128=""),"",IF(COUNTIFS(BD!$B$3:$B$5001,U$128,BD!$A$3:$A$5001,"&gt;="&amp;$C$7,BD!$A$3:$A$5001,"&lt;="&amp;$B133,BD!$P$3:$P$5001,"&lt;&gt;")=0,"",SUMIFS(BD!$P$3:$P$5001,BD!$B$3:$B$5001,U$128,BD!$A$3:$A$5001,_xlfn.MAXIFS(BD!$A$3:$A$5001,BD!$B$3:$B$5001,U$128,BD!$A$3:$A$5001,"&gt;="&amp;$C$7,BD!$A$3:$A$5001,"&lt;="&amp;$B133,BD!$P$3:$P$5001,"&lt;&gt;"))))</f>
        <v/>
      </c>
      <c r="V133" s="54" t="str">
        <f>IF(OR($B133="",$A133&gt;$B$9,V$128=""),"",IF(COUNTIFS(BD!$B$3:$B$5001,V$128,BD!$A$3:$A$5001,"&gt;="&amp;$C$7,BD!$A$3:$A$5001,"&lt;="&amp;$B133,BD!$P$3:$P$5001,"&lt;&gt;")=0,"",SUMIFS(BD!$P$3:$P$5001,BD!$B$3:$B$5001,V$128,BD!$A$3:$A$5001,_xlfn.MAXIFS(BD!$A$3:$A$5001,BD!$B$3:$B$5001,V$128,BD!$A$3:$A$5001,"&gt;="&amp;$C$7,BD!$A$3:$A$5001,"&lt;="&amp;$B133,BD!$P$3:$P$5001,"&lt;&gt;"))))</f>
        <v/>
      </c>
    </row>
    <row r="134">
      <c r="A134" s="48">
        <v>6</v>
      </c>
      <c r="B134" s="53">
        <f>$B$17</f>
        <v>46301</v>
      </c>
      <c r="C134" s="54" t="str">
        <f>IF(OR($B134="",$A134&gt;$B$9,C$128=""),"",IF(COUNTIFS(BD!$B$3:$B$5001,C$128,BD!$A$3:$A$5001,"&gt;="&amp;$C$7,BD!$A$3:$A$5001,"&lt;="&amp;$B134,BD!$P$3:$P$5001,"&lt;&gt;")=0,"",SUMIFS(BD!$P$3:$P$5001,BD!$B$3:$B$5001,C$128,BD!$A$3:$A$5001,_xlfn.MAXIFS(BD!$A$3:$A$5001,BD!$B$3:$B$5001,C$128,BD!$A$3:$A$5001,"&gt;="&amp;$C$7,BD!$A$3:$A$5001,"&lt;="&amp;$B134,BD!$P$3:$P$5001,"&lt;&gt;"))))</f>
        <v/>
      </c>
      <c r="D134" s="54" t="str">
        <f>IF(OR($B134="",$A134&gt;$B$9,D$128=""),"",IF(COUNTIFS(BD!$B$3:$B$5001,D$128,BD!$A$3:$A$5001,"&gt;="&amp;$C$7,BD!$A$3:$A$5001,"&lt;="&amp;$B134,BD!$P$3:$P$5001,"&lt;&gt;")=0,"",SUMIFS(BD!$P$3:$P$5001,BD!$B$3:$B$5001,D$128,BD!$A$3:$A$5001,_xlfn.MAXIFS(BD!$A$3:$A$5001,BD!$B$3:$B$5001,D$128,BD!$A$3:$A$5001,"&gt;="&amp;$C$7,BD!$A$3:$A$5001,"&lt;="&amp;$B134,BD!$P$3:$P$5001,"&lt;&gt;"))))</f>
        <v/>
      </c>
      <c r="E134" s="54" t="str">
        <f>IF(OR($B134="",$A134&gt;$B$9,E$128=""),"",IF(COUNTIFS(BD!$B$3:$B$5001,E$128,BD!$A$3:$A$5001,"&gt;="&amp;$C$7,BD!$A$3:$A$5001,"&lt;="&amp;$B134,BD!$P$3:$P$5001,"&lt;&gt;")=0,"",SUMIFS(BD!$P$3:$P$5001,BD!$B$3:$B$5001,E$128,BD!$A$3:$A$5001,_xlfn.MAXIFS(BD!$A$3:$A$5001,BD!$B$3:$B$5001,E$128,BD!$A$3:$A$5001,"&gt;="&amp;$C$7,BD!$A$3:$A$5001,"&lt;="&amp;$B134,BD!$P$3:$P$5001,"&lt;&gt;"))))</f>
        <v/>
      </c>
      <c r="F134" s="54" t="str">
        <f>IF(OR($B134="",$A134&gt;$B$9,F$128=""),"",IF(COUNTIFS(BD!$B$3:$B$5001,F$128,BD!$A$3:$A$5001,"&gt;="&amp;$C$7,BD!$A$3:$A$5001,"&lt;="&amp;$B134,BD!$P$3:$P$5001,"&lt;&gt;")=0,"",SUMIFS(BD!$P$3:$P$5001,BD!$B$3:$B$5001,F$128,BD!$A$3:$A$5001,_xlfn.MAXIFS(BD!$A$3:$A$5001,BD!$B$3:$B$5001,F$128,BD!$A$3:$A$5001,"&gt;="&amp;$C$7,BD!$A$3:$A$5001,"&lt;="&amp;$B134,BD!$P$3:$P$5001,"&lt;&gt;"))))</f>
        <v/>
      </c>
      <c r="G134" s="54" t="str">
        <f>IF(OR($B134="",$A134&gt;$B$9,G$128=""),"",IF(COUNTIFS(BD!$B$3:$B$5001,G$128,BD!$A$3:$A$5001,"&gt;="&amp;$C$7,BD!$A$3:$A$5001,"&lt;="&amp;$B134,BD!$P$3:$P$5001,"&lt;&gt;")=0,"",SUMIFS(BD!$P$3:$P$5001,BD!$B$3:$B$5001,G$128,BD!$A$3:$A$5001,_xlfn.MAXIFS(BD!$A$3:$A$5001,BD!$B$3:$B$5001,G$128,BD!$A$3:$A$5001,"&gt;="&amp;$C$7,BD!$A$3:$A$5001,"&lt;="&amp;$B134,BD!$P$3:$P$5001,"&lt;&gt;"))))</f>
        <v/>
      </c>
      <c r="H134" s="54" t="str">
        <f>IF(OR($B134="",$A134&gt;$B$9,H$128=""),"",IF(COUNTIFS(BD!$B$3:$B$5001,H$128,BD!$A$3:$A$5001,"&gt;="&amp;$C$7,BD!$A$3:$A$5001,"&lt;="&amp;$B134,BD!$P$3:$P$5001,"&lt;&gt;")=0,"",SUMIFS(BD!$P$3:$P$5001,BD!$B$3:$B$5001,H$128,BD!$A$3:$A$5001,_xlfn.MAXIFS(BD!$A$3:$A$5001,BD!$B$3:$B$5001,H$128,BD!$A$3:$A$5001,"&gt;="&amp;$C$7,BD!$A$3:$A$5001,"&lt;="&amp;$B134,BD!$P$3:$P$5001,"&lt;&gt;"))))</f>
        <v/>
      </c>
      <c r="I134" s="54" t="str">
        <f>IF(OR($B134="",$A134&gt;$B$9,I$128=""),"",IF(COUNTIFS(BD!$B$3:$B$5001,I$128,BD!$A$3:$A$5001,"&gt;="&amp;$C$7,BD!$A$3:$A$5001,"&lt;="&amp;$B134,BD!$P$3:$P$5001,"&lt;&gt;")=0,"",SUMIFS(BD!$P$3:$P$5001,BD!$B$3:$B$5001,I$128,BD!$A$3:$A$5001,_xlfn.MAXIFS(BD!$A$3:$A$5001,BD!$B$3:$B$5001,I$128,BD!$A$3:$A$5001,"&gt;="&amp;$C$7,BD!$A$3:$A$5001,"&lt;="&amp;$B134,BD!$P$3:$P$5001,"&lt;&gt;"))))</f>
        <v/>
      </c>
      <c r="J134" s="54" t="str">
        <f>IF(OR($B134="",$A134&gt;$B$9,J$128=""),"",IF(COUNTIFS(BD!$B$3:$B$5001,J$128,BD!$A$3:$A$5001,"&gt;="&amp;$C$7,BD!$A$3:$A$5001,"&lt;="&amp;$B134,BD!$P$3:$P$5001,"&lt;&gt;")=0,"",SUMIFS(BD!$P$3:$P$5001,BD!$B$3:$B$5001,J$128,BD!$A$3:$A$5001,_xlfn.MAXIFS(BD!$A$3:$A$5001,BD!$B$3:$B$5001,J$128,BD!$A$3:$A$5001,"&gt;="&amp;$C$7,BD!$A$3:$A$5001,"&lt;="&amp;$B134,BD!$P$3:$P$5001,"&lt;&gt;"))))</f>
        <v/>
      </c>
      <c r="K134" s="54" t="str">
        <f>IF(OR($B134="",$A134&gt;$B$9,K$128=""),"",IF(COUNTIFS(BD!$B$3:$B$5001,K$128,BD!$A$3:$A$5001,"&gt;="&amp;$C$7,BD!$A$3:$A$5001,"&lt;="&amp;$B134,BD!$P$3:$P$5001,"&lt;&gt;")=0,"",SUMIFS(BD!$P$3:$P$5001,BD!$B$3:$B$5001,K$128,BD!$A$3:$A$5001,_xlfn.MAXIFS(BD!$A$3:$A$5001,BD!$B$3:$B$5001,K$128,BD!$A$3:$A$5001,"&gt;="&amp;$C$7,BD!$A$3:$A$5001,"&lt;="&amp;$B134,BD!$P$3:$P$5001,"&lt;&gt;"))))</f>
        <v/>
      </c>
      <c r="L134" s="54" t="str">
        <f>IF(OR($B134="",$A134&gt;$B$9,L$128=""),"",IF(COUNTIFS(BD!$B$3:$B$5001,L$128,BD!$A$3:$A$5001,"&gt;="&amp;$C$7,BD!$A$3:$A$5001,"&lt;="&amp;$B134,BD!$P$3:$P$5001,"&lt;&gt;")=0,"",SUMIFS(BD!$P$3:$P$5001,BD!$B$3:$B$5001,L$128,BD!$A$3:$A$5001,_xlfn.MAXIFS(BD!$A$3:$A$5001,BD!$B$3:$B$5001,L$128,BD!$A$3:$A$5001,"&gt;="&amp;$C$7,BD!$A$3:$A$5001,"&lt;="&amp;$B134,BD!$P$3:$P$5001,"&lt;&gt;"))))</f>
        <v/>
      </c>
      <c r="M134" s="54" t="str">
        <f>IF(OR($B134="",$A134&gt;$B$9,M$128=""),"",IF(COUNTIFS(BD!$B$3:$B$5001,M$128,BD!$A$3:$A$5001,"&gt;="&amp;$C$7,BD!$A$3:$A$5001,"&lt;="&amp;$B134,BD!$P$3:$P$5001,"&lt;&gt;")=0,"",SUMIFS(BD!$P$3:$P$5001,BD!$B$3:$B$5001,M$128,BD!$A$3:$A$5001,_xlfn.MAXIFS(BD!$A$3:$A$5001,BD!$B$3:$B$5001,M$128,BD!$A$3:$A$5001,"&gt;="&amp;$C$7,BD!$A$3:$A$5001,"&lt;="&amp;$B134,BD!$P$3:$P$5001,"&lt;&gt;"))))</f>
        <v/>
      </c>
      <c r="N134" s="54" t="str">
        <f>IF(OR($B134="",$A134&gt;$B$9,N$128=""),"",IF(COUNTIFS(BD!$B$3:$B$5001,N$128,BD!$A$3:$A$5001,"&gt;="&amp;$C$7,BD!$A$3:$A$5001,"&lt;="&amp;$B134,BD!$P$3:$P$5001,"&lt;&gt;")=0,"",SUMIFS(BD!$P$3:$P$5001,BD!$B$3:$B$5001,N$128,BD!$A$3:$A$5001,_xlfn.MAXIFS(BD!$A$3:$A$5001,BD!$B$3:$B$5001,N$128,BD!$A$3:$A$5001,"&gt;="&amp;$C$7,BD!$A$3:$A$5001,"&lt;="&amp;$B134,BD!$P$3:$P$5001,"&lt;&gt;"))))</f>
        <v/>
      </c>
      <c r="O134" s="54" t="str">
        <f>IF(OR($B134="",$A134&gt;$B$9,O$128=""),"",IF(COUNTIFS(BD!$B$3:$B$5001,O$128,BD!$A$3:$A$5001,"&gt;="&amp;$C$7,BD!$A$3:$A$5001,"&lt;="&amp;$B134,BD!$P$3:$P$5001,"&lt;&gt;")=0,"",SUMIFS(BD!$P$3:$P$5001,BD!$B$3:$B$5001,O$128,BD!$A$3:$A$5001,_xlfn.MAXIFS(BD!$A$3:$A$5001,BD!$B$3:$B$5001,O$128,BD!$A$3:$A$5001,"&gt;="&amp;$C$7,BD!$A$3:$A$5001,"&lt;="&amp;$B134,BD!$P$3:$P$5001,"&lt;&gt;"))))</f>
        <v/>
      </c>
      <c r="P134" s="54" t="str">
        <f>IF(OR($B134="",$A134&gt;$B$9,P$128=""),"",IF(COUNTIFS(BD!$B$3:$B$5001,P$128,BD!$A$3:$A$5001,"&gt;="&amp;$C$7,BD!$A$3:$A$5001,"&lt;="&amp;$B134,BD!$P$3:$P$5001,"&lt;&gt;")=0,"",SUMIFS(BD!$P$3:$P$5001,BD!$B$3:$B$5001,P$128,BD!$A$3:$A$5001,_xlfn.MAXIFS(BD!$A$3:$A$5001,BD!$B$3:$B$5001,P$128,BD!$A$3:$A$5001,"&gt;="&amp;$C$7,BD!$A$3:$A$5001,"&lt;="&amp;$B134,BD!$P$3:$P$5001,"&lt;&gt;"))))</f>
        <v/>
      </c>
      <c r="Q134" s="54" t="str">
        <f>IF(OR($B134="",$A134&gt;$B$9,Q$128=""),"",IF(COUNTIFS(BD!$B$3:$B$5001,Q$128,BD!$A$3:$A$5001,"&gt;="&amp;$C$7,BD!$A$3:$A$5001,"&lt;="&amp;$B134,BD!$P$3:$P$5001,"&lt;&gt;")=0,"",SUMIFS(BD!$P$3:$P$5001,BD!$B$3:$B$5001,Q$128,BD!$A$3:$A$5001,_xlfn.MAXIFS(BD!$A$3:$A$5001,BD!$B$3:$B$5001,Q$128,BD!$A$3:$A$5001,"&gt;="&amp;$C$7,BD!$A$3:$A$5001,"&lt;="&amp;$B134,BD!$P$3:$P$5001,"&lt;&gt;"))))</f>
        <v/>
      </c>
      <c r="R134" s="54" t="str">
        <f>IF(OR($B134="",$A134&gt;$B$9,R$128=""),"",IF(COUNTIFS(BD!$B$3:$B$5001,R$128,BD!$A$3:$A$5001,"&gt;="&amp;$C$7,BD!$A$3:$A$5001,"&lt;="&amp;$B134,BD!$P$3:$P$5001,"&lt;&gt;")=0,"",SUMIFS(BD!$P$3:$P$5001,BD!$B$3:$B$5001,R$128,BD!$A$3:$A$5001,_xlfn.MAXIFS(BD!$A$3:$A$5001,BD!$B$3:$B$5001,R$128,BD!$A$3:$A$5001,"&gt;="&amp;$C$7,BD!$A$3:$A$5001,"&lt;="&amp;$B134,BD!$P$3:$P$5001,"&lt;&gt;"))))</f>
        <v/>
      </c>
      <c r="S134" s="54" t="str">
        <f>IF(OR($B134="",$A134&gt;$B$9,S$128=""),"",IF(COUNTIFS(BD!$B$3:$B$5001,S$128,BD!$A$3:$A$5001,"&gt;="&amp;$C$7,BD!$A$3:$A$5001,"&lt;="&amp;$B134,BD!$P$3:$P$5001,"&lt;&gt;")=0,"",SUMIFS(BD!$P$3:$P$5001,BD!$B$3:$B$5001,S$128,BD!$A$3:$A$5001,_xlfn.MAXIFS(BD!$A$3:$A$5001,BD!$B$3:$B$5001,S$128,BD!$A$3:$A$5001,"&gt;="&amp;$C$7,BD!$A$3:$A$5001,"&lt;="&amp;$B134,BD!$P$3:$P$5001,"&lt;&gt;"))))</f>
        <v/>
      </c>
      <c r="T134" s="54" t="str">
        <f>IF(OR($B134="",$A134&gt;$B$9,T$128=""),"",IF(COUNTIFS(BD!$B$3:$B$5001,T$128,BD!$A$3:$A$5001,"&gt;="&amp;$C$7,BD!$A$3:$A$5001,"&lt;="&amp;$B134,BD!$P$3:$P$5001,"&lt;&gt;")=0,"",SUMIFS(BD!$P$3:$P$5001,BD!$B$3:$B$5001,T$128,BD!$A$3:$A$5001,_xlfn.MAXIFS(BD!$A$3:$A$5001,BD!$B$3:$B$5001,T$128,BD!$A$3:$A$5001,"&gt;="&amp;$C$7,BD!$A$3:$A$5001,"&lt;="&amp;$B134,BD!$P$3:$P$5001,"&lt;&gt;"))))</f>
        <v/>
      </c>
      <c r="U134" s="54" t="str">
        <f>IF(OR($B134="",$A134&gt;$B$9,U$128=""),"",IF(COUNTIFS(BD!$B$3:$B$5001,U$128,BD!$A$3:$A$5001,"&gt;="&amp;$C$7,BD!$A$3:$A$5001,"&lt;="&amp;$B134,BD!$P$3:$P$5001,"&lt;&gt;")=0,"",SUMIFS(BD!$P$3:$P$5001,BD!$B$3:$B$5001,U$128,BD!$A$3:$A$5001,_xlfn.MAXIFS(BD!$A$3:$A$5001,BD!$B$3:$B$5001,U$128,BD!$A$3:$A$5001,"&gt;="&amp;$C$7,BD!$A$3:$A$5001,"&lt;="&amp;$B134,BD!$P$3:$P$5001,"&lt;&gt;"))))</f>
        <v/>
      </c>
      <c r="V134" s="54" t="str">
        <f>IF(OR($B134="",$A134&gt;$B$9,V$128=""),"",IF(COUNTIFS(BD!$B$3:$B$5001,V$128,BD!$A$3:$A$5001,"&gt;="&amp;$C$7,BD!$A$3:$A$5001,"&lt;="&amp;$B134,BD!$P$3:$P$5001,"&lt;&gt;")=0,"",SUMIFS(BD!$P$3:$P$5001,BD!$B$3:$B$5001,V$128,BD!$A$3:$A$5001,_xlfn.MAXIFS(BD!$A$3:$A$5001,BD!$B$3:$B$5001,V$128,BD!$A$3:$A$5001,"&gt;="&amp;$C$7,BD!$A$3:$A$5001,"&lt;="&amp;$B134,BD!$P$3:$P$5001,"&lt;&gt;"))))</f>
        <v/>
      </c>
    </row>
    <row r="135">
      <c r="A135" s="48">
        <v>7</v>
      </c>
      <c r="B135" s="53">
        <f>$B$18</f>
        <v>46302</v>
      </c>
      <c r="C135" s="54" t="str">
        <f>IF(OR($B135="",$A135&gt;$B$9,C$128=""),"",IF(COUNTIFS(BD!$B$3:$B$5001,C$128,BD!$A$3:$A$5001,"&gt;="&amp;$C$7,BD!$A$3:$A$5001,"&lt;="&amp;$B135,BD!$P$3:$P$5001,"&lt;&gt;")=0,"",SUMIFS(BD!$P$3:$P$5001,BD!$B$3:$B$5001,C$128,BD!$A$3:$A$5001,_xlfn.MAXIFS(BD!$A$3:$A$5001,BD!$B$3:$B$5001,C$128,BD!$A$3:$A$5001,"&gt;="&amp;$C$7,BD!$A$3:$A$5001,"&lt;="&amp;$B135,BD!$P$3:$P$5001,"&lt;&gt;"))))</f>
        <v/>
      </c>
      <c r="D135" s="54" t="str">
        <f>IF(OR($B135="",$A135&gt;$B$9,D$128=""),"",IF(COUNTIFS(BD!$B$3:$B$5001,D$128,BD!$A$3:$A$5001,"&gt;="&amp;$C$7,BD!$A$3:$A$5001,"&lt;="&amp;$B135,BD!$P$3:$P$5001,"&lt;&gt;")=0,"",SUMIFS(BD!$P$3:$P$5001,BD!$B$3:$B$5001,D$128,BD!$A$3:$A$5001,_xlfn.MAXIFS(BD!$A$3:$A$5001,BD!$B$3:$B$5001,D$128,BD!$A$3:$A$5001,"&gt;="&amp;$C$7,BD!$A$3:$A$5001,"&lt;="&amp;$B135,BD!$P$3:$P$5001,"&lt;&gt;"))))</f>
        <v/>
      </c>
      <c r="E135" s="54" t="str">
        <f>IF(OR($B135="",$A135&gt;$B$9,E$128=""),"",IF(COUNTIFS(BD!$B$3:$B$5001,E$128,BD!$A$3:$A$5001,"&gt;="&amp;$C$7,BD!$A$3:$A$5001,"&lt;="&amp;$B135,BD!$P$3:$P$5001,"&lt;&gt;")=0,"",SUMIFS(BD!$P$3:$P$5001,BD!$B$3:$B$5001,E$128,BD!$A$3:$A$5001,_xlfn.MAXIFS(BD!$A$3:$A$5001,BD!$B$3:$B$5001,E$128,BD!$A$3:$A$5001,"&gt;="&amp;$C$7,BD!$A$3:$A$5001,"&lt;="&amp;$B135,BD!$P$3:$P$5001,"&lt;&gt;"))))</f>
        <v/>
      </c>
      <c r="F135" s="54" t="str">
        <f>IF(OR($B135="",$A135&gt;$B$9,F$128=""),"",IF(COUNTIFS(BD!$B$3:$B$5001,F$128,BD!$A$3:$A$5001,"&gt;="&amp;$C$7,BD!$A$3:$A$5001,"&lt;="&amp;$B135,BD!$P$3:$P$5001,"&lt;&gt;")=0,"",SUMIFS(BD!$P$3:$P$5001,BD!$B$3:$B$5001,F$128,BD!$A$3:$A$5001,_xlfn.MAXIFS(BD!$A$3:$A$5001,BD!$B$3:$B$5001,F$128,BD!$A$3:$A$5001,"&gt;="&amp;$C$7,BD!$A$3:$A$5001,"&lt;="&amp;$B135,BD!$P$3:$P$5001,"&lt;&gt;"))))</f>
        <v/>
      </c>
      <c r="G135" s="54" t="str">
        <f>IF(OR($B135="",$A135&gt;$B$9,G$128=""),"",IF(COUNTIFS(BD!$B$3:$B$5001,G$128,BD!$A$3:$A$5001,"&gt;="&amp;$C$7,BD!$A$3:$A$5001,"&lt;="&amp;$B135,BD!$P$3:$P$5001,"&lt;&gt;")=0,"",SUMIFS(BD!$P$3:$P$5001,BD!$B$3:$B$5001,G$128,BD!$A$3:$A$5001,_xlfn.MAXIFS(BD!$A$3:$A$5001,BD!$B$3:$B$5001,G$128,BD!$A$3:$A$5001,"&gt;="&amp;$C$7,BD!$A$3:$A$5001,"&lt;="&amp;$B135,BD!$P$3:$P$5001,"&lt;&gt;"))))</f>
        <v/>
      </c>
      <c r="H135" s="54" t="str">
        <f>IF(OR($B135="",$A135&gt;$B$9,H$128=""),"",IF(COUNTIFS(BD!$B$3:$B$5001,H$128,BD!$A$3:$A$5001,"&gt;="&amp;$C$7,BD!$A$3:$A$5001,"&lt;="&amp;$B135,BD!$P$3:$P$5001,"&lt;&gt;")=0,"",SUMIFS(BD!$P$3:$P$5001,BD!$B$3:$B$5001,H$128,BD!$A$3:$A$5001,_xlfn.MAXIFS(BD!$A$3:$A$5001,BD!$B$3:$B$5001,H$128,BD!$A$3:$A$5001,"&gt;="&amp;$C$7,BD!$A$3:$A$5001,"&lt;="&amp;$B135,BD!$P$3:$P$5001,"&lt;&gt;"))))</f>
        <v/>
      </c>
      <c r="I135" s="54" t="str">
        <f>IF(OR($B135="",$A135&gt;$B$9,I$128=""),"",IF(COUNTIFS(BD!$B$3:$B$5001,I$128,BD!$A$3:$A$5001,"&gt;="&amp;$C$7,BD!$A$3:$A$5001,"&lt;="&amp;$B135,BD!$P$3:$P$5001,"&lt;&gt;")=0,"",SUMIFS(BD!$P$3:$P$5001,BD!$B$3:$B$5001,I$128,BD!$A$3:$A$5001,_xlfn.MAXIFS(BD!$A$3:$A$5001,BD!$B$3:$B$5001,I$128,BD!$A$3:$A$5001,"&gt;="&amp;$C$7,BD!$A$3:$A$5001,"&lt;="&amp;$B135,BD!$P$3:$P$5001,"&lt;&gt;"))))</f>
        <v/>
      </c>
      <c r="J135" s="54" t="str">
        <f>IF(OR($B135="",$A135&gt;$B$9,J$128=""),"",IF(COUNTIFS(BD!$B$3:$B$5001,J$128,BD!$A$3:$A$5001,"&gt;="&amp;$C$7,BD!$A$3:$A$5001,"&lt;="&amp;$B135,BD!$P$3:$P$5001,"&lt;&gt;")=0,"",SUMIFS(BD!$P$3:$P$5001,BD!$B$3:$B$5001,J$128,BD!$A$3:$A$5001,_xlfn.MAXIFS(BD!$A$3:$A$5001,BD!$B$3:$B$5001,J$128,BD!$A$3:$A$5001,"&gt;="&amp;$C$7,BD!$A$3:$A$5001,"&lt;="&amp;$B135,BD!$P$3:$P$5001,"&lt;&gt;"))))</f>
        <v/>
      </c>
      <c r="K135" s="54" t="str">
        <f>IF(OR($B135="",$A135&gt;$B$9,K$128=""),"",IF(COUNTIFS(BD!$B$3:$B$5001,K$128,BD!$A$3:$A$5001,"&gt;="&amp;$C$7,BD!$A$3:$A$5001,"&lt;="&amp;$B135,BD!$P$3:$P$5001,"&lt;&gt;")=0,"",SUMIFS(BD!$P$3:$P$5001,BD!$B$3:$B$5001,K$128,BD!$A$3:$A$5001,_xlfn.MAXIFS(BD!$A$3:$A$5001,BD!$B$3:$B$5001,K$128,BD!$A$3:$A$5001,"&gt;="&amp;$C$7,BD!$A$3:$A$5001,"&lt;="&amp;$B135,BD!$P$3:$P$5001,"&lt;&gt;"))))</f>
        <v/>
      </c>
      <c r="L135" s="54" t="str">
        <f>IF(OR($B135="",$A135&gt;$B$9,L$128=""),"",IF(COUNTIFS(BD!$B$3:$B$5001,L$128,BD!$A$3:$A$5001,"&gt;="&amp;$C$7,BD!$A$3:$A$5001,"&lt;="&amp;$B135,BD!$P$3:$P$5001,"&lt;&gt;")=0,"",SUMIFS(BD!$P$3:$P$5001,BD!$B$3:$B$5001,L$128,BD!$A$3:$A$5001,_xlfn.MAXIFS(BD!$A$3:$A$5001,BD!$B$3:$B$5001,L$128,BD!$A$3:$A$5001,"&gt;="&amp;$C$7,BD!$A$3:$A$5001,"&lt;="&amp;$B135,BD!$P$3:$P$5001,"&lt;&gt;"))))</f>
        <v/>
      </c>
      <c r="M135" s="54" t="str">
        <f>IF(OR($B135="",$A135&gt;$B$9,M$128=""),"",IF(COUNTIFS(BD!$B$3:$B$5001,M$128,BD!$A$3:$A$5001,"&gt;="&amp;$C$7,BD!$A$3:$A$5001,"&lt;="&amp;$B135,BD!$P$3:$P$5001,"&lt;&gt;")=0,"",SUMIFS(BD!$P$3:$P$5001,BD!$B$3:$B$5001,M$128,BD!$A$3:$A$5001,_xlfn.MAXIFS(BD!$A$3:$A$5001,BD!$B$3:$B$5001,M$128,BD!$A$3:$A$5001,"&gt;="&amp;$C$7,BD!$A$3:$A$5001,"&lt;="&amp;$B135,BD!$P$3:$P$5001,"&lt;&gt;"))))</f>
        <v/>
      </c>
      <c r="N135" s="54" t="str">
        <f>IF(OR($B135="",$A135&gt;$B$9,N$128=""),"",IF(COUNTIFS(BD!$B$3:$B$5001,N$128,BD!$A$3:$A$5001,"&gt;="&amp;$C$7,BD!$A$3:$A$5001,"&lt;="&amp;$B135,BD!$P$3:$P$5001,"&lt;&gt;")=0,"",SUMIFS(BD!$P$3:$P$5001,BD!$B$3:$B$5001,N$128,BD!$A$3:$A$5001,_xlfn.MAXIFS(BD!$A$3:$A$5001,BD!$B$3:$B$5001,N$128,BD!$A$3:$A$5001,"&gt;="&amp;$C$7,BD!$A$3:$A$5001,"&lt;="&amp;$B135,BD!$P$3:$P$5001,"&lt;&gt;"))))</f>
        <v/>
      </c>
      <c r="O135" s="54" t="str">
        <f>IF(OR($B135="",$A135&gt;$B$9,O$128=""),"",IF(COUNTIFS(BD!$B$3:$B$5001,O$128,BD!$A$3:$A$5001,"&gt;="&amp;$C$7,BD!$A$3:$A$5001,"&lt;="&amp;$B135,BD!$P$3:$P$5001,"&lt;&gt;")=0,"",SUMIFS(BD!$P$3:$P$5001,BD!$B$3:$B$5001,O$128,BD!$A$3:$A$5001,_xlfn.MAXIFS(BD!$A$3:$A$5001,BD!$B$3:$B$5001,O$128,BD!$A$3:$A$5001,"&gt;="&amp;$C$7,BD!$A$3:$A$5001,"&lt;="&amp;$B135,BD!$P$3:$P$5001,"&lt;&gt;"))))</f>
        <v/>
      </c>
      <c r="P135" s="54" t="str">
        <f>IF(OR($B135="",$A135&gt;$B$9,P$128=""),"",IF(COUNTIFS(BD!$B$3:$B$5001,P$128,BD!$A$3:$A$5001,"&gt;="&amp;$C$7,BD!$A$3:$A$5001,"&lt;="&amp;$B135,BD!$P$3:$P$5001,"&lt;&gt;")=0,"",SUMIFS(BD!$P$3:$P$5001,BD!$B$3:$B$5001,P$128,BD!$A$3:$A$5001,_xlfn.MAXIFS(BD!$A$3:$A$5001,BD!$B$3:$B$5001,P$128,BD!$A$3:$A$5001,"&gt;="&amp;$C$7,BD!$A$3:$A$5001,"&lt;="&amp;$B135,BD!$P$3:$P$5001,"&lt;&gt;"))))</f>
        <v/>
      </c>
      <c r="Q135" s="54" t="str">
        <f>IF(OR($B135="",$A135&gt;$B$9,Q$128=""),"",IF(COUNTIFS(BD!$B$3:$B$5001,Q$128,BD!$A$3:$A$5001,"&gt;="&amp;$C$7,BD!$A$3:$A$5001,"&lt;="&amp;$B135,BD!$P$3:$P$5001,"&lt;&gt;")=0,"",SUMIFS(BD!$P$3:$P$5001,BD!$B$3:$B$5001,Q$128,BD!$A$3:$A$5001,_xlfn.MAXIFS(BD!$A$3:$A$5001,BD!$B$3:$B$5001,Q$128,BD!$A$3:$A$5001,"&gt;="&amp;$C$7,BD!$A$3:$A$5001,"&lt;="&amp;$B135,BD!$P$3:$P$5001,"&lt;&gt;"))))</f>
        <v/>
      </c>
      <c r="R135" s="54" t="str">
        <f>IF(OR($B135="",$A135&gt;$B$9,R$128=""),"",IF(COUNTIFS(BD!$B$3:$B$5001,R$128,BD!$A$3:$A$5001,"&gt;="&amp;$C$7,BD!$A$3:$A$5001,"&lt;="&amp;$B135,BD!$P$3:$P$5001,"&lt;&gt;")=0,"",SUMIFS(BD!$P$3:$P$5001,BD!$B$3:$B$5001,R$128,BD!$A$3:$A$5001,_xlfn.MAXIFS(BD!$A$3:$A$5001,BD!$B$3:$B$5001,R$128,BD!$A$3:$A$5001,"&gt;="&amp;$C$7,BD!$A$3:$A$5001,"&lt;="&amp;$B135,BD!$P$3:$P$5001,"&lt;&gt;"))))</f>
        <v/>
      </c>
      <c r="S135" s="54" t="str">
        <f>IF(OR($B135="",$A135&gt;$B$9,S$128=""),"",IF(COUNTIFS(BD!$B$3:$B$5001,S$128,BD!$A$3:$A$5001,"&gt;="&amp;$C$7,BD!$A$3:$A$5001,"&lt;="&amp;$B135,BD!$P$3:$P$5001,"&lt;&gt;")=0,"",SUMIFS(BD!$P$3:$P$5001,BD!$B$3:$B$5001,S$128,BD!$A$3:$A$5001,_xlfn.MAXIFS(BD!$A$3:$A$5001,BD!$B$3:$B$5001,S$128,BD!$A$3:$A$5001,"&gt;="&amp;$C$7,BD!$A$3:$A$5001,"&lt;="&amp;$B135,BD!$P$3:$P$5001,"&lt;&gt;"))))</f>
        <v/>
      </c>
      <c r="T135" s="54" t="str">
        <f>IF(OR($B135="",$A135&gt;$B$9,T$128=""),"",IF(COUNTIFS(BD!$B$3:$B$5001,T$128,BD!$A$3:$A$5001,"&gt;="&amp;$C$7,BD!$A$3:$A$5001,"&lt;="&amp;$B135,BD!$P$3:$P$5001,"&lt;&gt;")=0,"",SUMIFS(BD!$P$3:$P$5001,BD!$B$3:$B$5001,T$128,BD!$A$3:$A$5001,_xlfn.MAXIFS(BD!$A$3:$A$5001,BD!$B$3:$B$5001,T$128,BD!$A$3:$A$5001,"&gt;="&amp;$C$7,BD!$A$3:$A$5001,"&lt;="&amp;$B135,BD!$P$3:$P$5001,"&lt;&gt;"))))</f>
        <v/>
      </c>
      <c r="U135" s="54" t="str">
        <f>IF(OR($B135="",$A135&gt;$B$9,U$128=""),"",IF(COUNTIFS(BD!$B$3:$B$5001,U$128,BD!$A$3:$A$5001,"&gt;="&amp;$C$7,BD!$A$3:$A$5001,"&lt;="&amp;$B135,BD!$P$3:$P$5001,"&lt;&gt;")=0,"",SUMIFS(BD!$P$3:$P$5001,BD!$B$3:$B$5001,U$128,BD!$A$3:$A$5001,_xlfn.MAXIFS(BD!$A$3:$A$5001,BD!$B$3:$B$5001,U$128,BD!$A$3:$A$5001,"&gt;="&amp;$C$7,BD!$A$3:$A$5001,"&lt;="&amp;$B135,BD!$P$3:$P$5001,"&lt;&gt;"))))</f>
        <v/>
      </c>
      <c r="V135" s="54" t="str">
        <f>IF(OR($B135="",$A135&gt;$B$9,V$128=""),"",IF(COUNTIFS(BD!$B$3:$B$5001,V$128,BD!$A$3:$A$5001,"&gt;="&amp;$C$7,BD!$A$3:$A$5001,"&lt;="&amp;$B135,BD!$P$3:$P$5001,"&lt;&gt;")=0,"",SUMIFS(BD!$P$3:$P$5001,BD!$B$3:$B$5001,V$128,BD!$A$3:$A$5001,_xlfn.MAXIFS(BD!$A$3:$A$5001,BD!$B$3:$B$5001,V$128,BD!$A$3:$A$5001,"&gt;="&amp;$C$7,BD!$A$3:$A$5001,"&lt;="&amp;$B135,BD!$P$3:$P$5001,"&lt;&gt;"))))</f>
        <v/>
      </c>
    </row>
    <row r="136">
      <c r="A136" s="48">
        <v>8</v>
      </c>
      <c r="B136" s="53">
        <f>$B$19</f>
        <v>46303</v>
      </c>
      <c r="C136" s="54" t="str">
        <f>IF(OR($B136="",$A136&gt;$B$9,C$128=""),"",IF(COUNTIFS(BD!$B$3:$B$5001,C$128,BD!$A$3:$A$5001,"&gt;="&amp;$C$7,BD!$A$3:$A$5001,"&lt;="&amp;$B136,BD!$P$3:$P$5001,"&lt;&gt;")=0,"",SUMIFS(BD!$P$3:$P$5001,BD!$B$3:$B$5001,C$128,BD!$A$3:$A$5001,_xlfn.MAXIFS(BD!$A$3:$A$5001,BD!$B$3:$B$5001,C$128,BD!$A$3:$A$5001,"&gt;="&amp;$C$7,BD!$A$3:$A$5001,"&lt;="&amp;$B136,BD!$P$3:$P$5001,"&lt;&gt;"))))</f>
        <v/>
      </c>
      <c r="D136" s="54" t="str">
        <f>IF(OR($B136="",$A136&gt;$B$9,D$128=""),"",IF(COUNTIFS(BD!$B$3:$B$5001,D$128,BD!$A$3:$A$5001,"&gt;="&amp;$C$7,BD!$A$3:$A$5001,"&lt;="&amp;$B136,BD!$P$3:$P$5001,"&lt;&gt;")=0,"",SUMIFS(BD!$P$3:$P$5001,BD!$B$3:$B$5001,D$128,BD!$A$3:$A$5001,_xlfn.MAXIFS(BD!$A$3:$A$5001,BD!$B$3:$B$5001,D$128,BD!$A$3:$A$5001,"&gt;="&amp;$C$7,BD!$A$3:$A$5001,"&lt;="&amp;$B136,BD!$P$3:$P$5001,"&lt;&gt;"))))</f>
        <v/>
      </c>
      <c r="E136" s="54" t="str">
        <f>IF(OR($B136="",$A136&gt;$B$9,E$128=""),"",IF(COUNTIFS(BD!$B$3:$B$5001,E$128,BD!$A$3:$A$5001,"&gt;="&amp;$C$7,BD!$A$3:$A$5001,"&lt;="&amp;$B136,BD!$P$3:$P$5001,"&lt;&gt;")=0,"",SUMIFS(BD!$P$3:$P$5001,BD!$B$3:$B$5001,E$128,BD!$A$3:$A$5001,_xlfn.MAXIFS(BD!$A$3:$A$5001,BD!$B$3:$B$5001,E$128,BD!$A$3:$A$5001,"&gt;="&amp;$C$7,BD!$A$3:$A$5001,"&lt;="&amp;$B136,BD!$P$3:$P$5001,"&lt;&gt;"))))</f>
        <v/>
      </c>
      <c r="F136" s="54" t="str">
        <f>IF(OR($B136="",$A136&gt;$B$9,F$128=""),"",IF(COUNTIFS(BD!$B$3:$B$5001,F$128,BD!$A$3:$A$5001,"&gt;="&amp;$C$7,BD!$A$3:$A$5001,"&lt;="&amp;$B136,BD!$P$3:$P$5001,"&lt;&gt;")=0,"",SUMIFS(BD!$P$3:$P$5001,BD!$B$3:$B$5001,F$128,BD!$A$3:$A$5001,_xlfn.MAXIFS(BD!$A$3:$A$5001,BD!$B$3:$B$5001,F$128,BD!$A$3:$A$5001,"&gt;="&amp;$C$7,BD!$A$3:$A$5001,"&lt;="&amp;$B136,BD!$P$3:$P$5001,"&lt;&gt;"))))</f>
        <v/>
      </c>
      <c r="G136" s="54" t="str">
        <f>IF(OR($B136="",$A136&gt;$B$9,G$128=""),"",IF(COUNTIFS(BD!$B$3:$B$5001,G$128,BD!$A$3:$A$5001,"&gt;="&amp;$C$7,BD!$A$3:$A$5001,"&lt;="&amp;$B136,BD!$P$3:$P$5001,"&lt;&gt;")=0,"",SUMIFS(BD!$P$3:$P$5001,BD!$B$3:$B$5001,G$128,BD!$A$3:$A$5001,_xlfn.MAXIFS(BD!$A$3:$A$5001,BD!$B$3:$B$5001,G$128,BD!$A$3:$A$5001,"&gt;="&amp;$C$7,BD!$A$3:$A$5001,"&lt;="&amp;$B136,BD!$P$3:$P$5001,"&lt;&gt;"))))</f>
        <v/>
      </c>
      <c r="H136" s="54" t="str">
        <f>IF(OR($B136="",$A136&gt;$B$9,H$128=""),"",IF(COUNTIFS(BD!$B$3:$B$5001,H$128,BD!$A$3:$A$5001,"&gt;="&amp;$C$7,BD!$A$3:$A$5001,"&lt;="&amp;$B136,BD!$P$3:$P$5001,"&lt;&gt;")=0,"",SUMIFS(BD!$P$3:$P$5001,BD!$B$3:$B$5001,H$128,BD!$A$3:$A$5001,_xlfn.MAXIFS(BD!$A$3:$A$5001,BD!$B$3:$B$5001,H$128,BD!$A$3:$A$5001,"&gt;="&amp;$C$7,BD!$A$3:$A$5001,"&lt;="&amp;$B136,BD!$P$3:$P$5001,"&lt;&gt;"))))</f>
        <v/>
      </c>
      <c r="I136" s="54" t="str">
        <f>IF(OR($B136="",$A136&gt;$B$9,I$128=""),"",IF(COUNTIFS(BD!$B$3:$B$5001,I$128,BD!$A$3:$A$5001,"&gt;="&amp;$C$7,BD!$A$3:$A$5001,"&lt;="&amp;$B136,BD!$P$3:$P$5001,"&lt;&gt;")=0,"",SUMIFS(BD!$P$3:$P$5001,BD!$B$3:$B$5001,I$128,BD!$A$3:$A$5001,_xlfn.MAXIFS(BD!$A$3:$A$5001,BD!$B$3:$B$5001,I$128,BD!$A$3:$A$5001,"&gt;="&amp;$C$7,BD!$A$3:$A$5001,"&lt;="&amp;$B136,BD!$P$3:$P$5001,"&lt;&gt;"))))</f>
        <v/>
      </c>
      <c r="J136" s="54" t="str">
        <f>IF(OR($B136="",$A136&gt;$B$9,J$128=""),"",IF(COUNTIFS(BD!$B$3:$B$5001,J$128,BD!$A$3:$A$5001,"&gt;="&amp;$C$7,BD!$A$3:$A$5001,"&lt;="&amp;$B136,BD!$P$3:$P$5001,"&lt;&gt;")=0,"",SUMIFS(BD!$P$3:$P$5001,BD!$B$3:$B$5001,J$128,BD!$A$3:$A$5001,_xlfn.MAXIFS(BD!$A$3:$A$5001,BD!$B$3:$B$5001,J$128,BD!$A$3:$A$5001,"&gt;="&amp;$C$7,BD!$A$3:$A$5001,"&lt;="&amp;$B136,BD!$P$3:$P$5001,"&lt;&gt;"))))</f>
        <v/>
      </c>
      <c r="K136" s="54" t="str">
        <f>IF(OR($B136="",$A136&gt;$B$9,K$128=""),"",IF(COUNTIFS(BD!$B$3:$B$5001,K$128,BD!$A$3:$A$5001,"&gt;="&amp;$C$7,BD!$A$3:$A$5001,"&lt;="&amp;$B136,BD!$P$3:$P$5001,"&lt;&gt;")=0,"",SUMIFS(BD!$P$3:$P$5001,BD!$B$3:$B$5001,K$128,BD!$A$3:$A$5001,_xlfn.MAXIFS(BD!$A$3:$A$5001,BD!$B$3:$B$5001,K$128,BD!$A$3:$A$5001,"&gt;="&amp;$C$7,BD!$A$3:$A$5001,"&lt;="&amp;$B136,BD!$P$3:$P$5001,"&lt;&gt;"))))</f>
        <v/>
      </c>
      <c r="L136" s="54" t="str">
        <f>IF(OR($B136="",$A136&gt;$B$9,L$128=""),"",IF(COUNTIFS(BD!$B$3:$B$5001,L$128,BD!$A$3:$A$5001,"&gt;="&amp;$C$7,BD!$A$3:$A$5001,"&lt;="&amp;$B136,BD!$P$3:$P$5001,"&lt;&gt;")=0,"",SUMIFS(BD!$P$3:$P$5001,BD!$B$3:$B$5001,L$128,BD!$A$3:$A$5001,_xlfn.MAXIFS(BD!$A$3:$A$5001,BD!$B$3:$B$5001,L$128,BD!$A$3:$A$5001,"&gt;="&amp;$C$7,BD!$A$3:$A$5001,"&lt;="&amp;$B136,BD!$P$3:$P$5001,"&lt;&gt;"))))</f>
        <v/>
      </c>
      <c r="M136" s="54" t="str">
        <f>IF(OR($B136="",$A136&gt;$B$9,M$128=""),"",IF(COUNTIFS(BD!$B$3:$B$5001,M$128,BD!$A$3:$A$5001,"&gt;="&amp;$C$7,BD!$A$3:$A$5001,"&lt;="&amp;$B136,BD!$P$3:$P$5001,"&lt;&gt;")=0,"",SUMIFS(BD!$P$3:$P$5001,BD!$B$3:$B$5001,M$128,BD!$A$3:$A$5001,_xlfn.MAXIFS(BD!$A$3:$A$5001,BD!$B$3:$B$5001,M$128,BD!$A$3:$A$5001,"&gt;="&amp;$C$7,BD!$A$3:$A$5001,"&lt;="&amp;$B136,BD!$P$3:$P$5001,"&lt;&gt;"))))</f>
        <v/>
      </c>
      <c r="N136" s="54" t="str">
        <f>IF(OR($B136="",$A136&gt;$B$9,N$128=""),"",IF(COUNTIFS(BD!$B$3:$B$5001,N$128,BD!$A$3:$A$5001,"&gt;="&amp;$C$7,BD!$A$3:$A$5001,"&lt;="&amp;$B136,BD!$P$3:$P$5001,"&lt;&gt;")=0,"",SUMIFS(BD!$P$3:$P$5001,BD!$B$3:$B$5001,N$128,BD!$A$3:$A$5001,_xlfn.MAXIFS(BD!$A$3:$A$5001,BD!$B$3:$B$5001,N$128,BD!$A$3:$A$5001,"&gt;="&amp;$C$7,BD!$A$3:$A$5001,"&lt;="&amp;$B136,BD!$P$3:$P$5001,"&lt;&gt;"))))</f>
        <v/>
      </c>
      <c r="O136" s="54" t="str">
        <f>IF(OR($B136="",$A136&gt;$B$9,O$128=""),"",IF(COUNTIFS(BD!$B$3:$B$5001,O$128,BD!$A$3:$A$5001,"&gt;="&amp;$C$7,BD!$A$3:$A$5001,"&lt;="&amp;$B136,BD!$P$3:$P$5001,"&lt;&gt;")=0,"",SUMIFS(BD!$P$3:$P$5001,BD!$B$3:$B$5001,O$128,BD!$A$3:$A$5001,_xlfn.MAXIFS(BD!$A$3:$A$5001,BD!$B$3:$B$5001,O$128,BD!$A$3:$A$5001,"&gt;="&amp;$C$7,BD!$A$3:$A$5001,"&lt;="&amp;$B136,BD!$P$3:$P$5001,"&lt;&gt;"))))</f>
        <v/>
      </c>
      <c r="P136" s="54" t="str">
        <f>IF(OR($B136="",$A136&gt;$B$9,P$128=""),"",IF(COUNTIFS(BD!$B$3:$B$5001,P$128,BD!$A$3:$A$5001,"&gt;="&amp;$C$7,BD!$A$3:$A$5001,"&lt;="&amp;$B136,BD!$P$3:$P$5001,"&lt;&gt;")=0,"",SUMIFS(BD!$P$3:$P$5001,BD!$B$3:$B$5001,P$128,BD!$A$3:$A$5001,_xlfn.MAXIFS(BD!$A$3:$A$5001,BD!$B$3:$B$5001,P$128,BD!$A$3:$A$5001,"&gt;="&amp;$C$7,BD!$A$3:$A$5001,"&lt;="&amp;$B136,BD!$P$3:$P$5001,"&lt;&gt;"))))</f>
        <v/>
      </c>
      <c r="Q136" s="54" t="str">
        <f>IF(OR($B136="",$A136&gt;$B$9,Q$128=""),"",IF(COUNTIFS(BD!$B$3:$B$5001,Q$128,BD!$A$3:$A$5001,"&gt;="&amp;$C$7,BD!$A$3:$A$5001,"&lt;="&amp;$B136,BD!$P$3:$P$5001,"&lt;&gt;")=0,"",SUMIFS(BD!$P$3:$P$5001,BD!$B$3:$B$5001,Q$128,BD!$A$3:$A$5001,_xlfn.MAXIFS(BD!$A$3:$A$5001,BD!$B$3:$B$5001,Q$128,BD!$A$3:$A$5001,"&gt;="&amp;$C$7,BD!$A$3:$A$5001,"&lt;="&amp;$B136,BD!$P$3:$P$5001,"&lt;&gt;"))))</f>
        <v/>
      </c>
      <c r="R136" s="54" t="str">
        <f>IF(OR($B136="",$A136&gt;$B$9,R$128=""),"",IF(COUNTIFS(BD!$B$3:$B$5001,R$128,BD!$A$3:$A$5001,"&gt;="&amp;$C$7,BD!$A$3:$A$5001,"&lt;="&amp;$B136,BD!$P$3:$P$5001,"&lt;&gt;")=0,"",SUMIFS(BD!$P$3:$P$5001,BD!$B$3:$B$5001,R$128,BD!$A$3:$A$5001,_xlfn.MAXIFS(BD!$A$3:$A$5001,BD!$B$3:$B$5001,R$128,BD!$A$3:$A$5001,"&gt;="&amp;$C$7,BD!$A$3:$A$5001,"&lt;="&amp;$B136,BD!$P$3:$P$5001,"&lt;&gt;"))))</f>
        <v/>
      </c>
      <c r="S136" s="54" t="str">
        <f>IF(OR($B136="",$A136&gt;$B$9,S$128=""),"",IF(COUNTIFS(BD!$B$3:$B$5001,S$128,BD!$A$3:$A$5001,"&gt;="&amp;$C$7,BD!$A$3:$A$5001,"&lt;="&amp;$B136,BD!$P$3:$P$5001,"&lt;&gt;")=0,"",SUMIFS(BD!$P$3:$P$5001,BD!$B$3:$B$5001,S$128,BD!$A$3:$A$5001,_xlfn.MAXIFS(BD!$A$3:$A$5001,BD!$B$3:$B$5001,S$128,BD!$A$3:$A$5001,"&gt;="&amp;$C$7,BD!$A$3:$A$5001,"&lt;="&amp;$B136,BD!$P$3:$P$5001,"&lt;&gt;"))))</f>
        <v/>
      </c>
      <c r="T136" s="54" t="str">
        <f>IF(OR($B136="",$A136&gt;$B$9,T$128=""),"",IF(COUNTIFS(BD!$B$3:$B$5001,T$128,BD!$A$3:$A$5001,"&gt;="&amp;$C$7,BD!$A$3:$A$5001,"&lt;="&amp;$B136,BD!$P$3:$P$5001,"&lt;&gt;")=0,"",SUMIFS(BD!$P$3:$P$5001,BD!$B$3:$B$5001,T$128,BD!$A$3:$A$5001,_xlfn.MAXIFS(BD!$A$3:$A$5001,BD!$B$3:$B$5001,T$128,BD!$A$3:$A$5001,"&gt;="&amp;$C$7,BD!$A$3:$A$5001,"&lt;="&amp;$B136,BD!$P$3:$P$5001,"&lt;&gt;"))))</f>
        <v/>
      </c>
      <c r="U136" s="54" t="str">
        <f>IF(OR($B136="",$A136&gt;$B$9,U$128=""),"",IF(COUNTIFS(BD!$B$3:$B$5001,U$128,BD!$A$3:$A$5001,"&gt;="&amp;$C$7,BD!$A$3:$A$5001,"&lt;="&amp;$B136,BD!$P$3:$P$5001,"&lt;&gt;")=0,"",SUMIFS(BD!$P$3:$P$5001,BD!$B$3:$B$5001,U$128,BD!$A$3:$A$5001,_xlfn.MAXIFS(BD!$A$3:$A$5001,BD!$B$3:$B$5001,U$128,BD!$A$3:$A$5001,"&gt;="&amp;$C$7,BD!$A$3:$A$5001,"&lt;="&amp;$B136,BD!$P$3:$P$5001,"&lt;&gt;"))))</f>
        <v/>
      </c>
      <c r="V136" s="54" t="str">
        <f>IF(OR($B136="",$A136&gt;$B$9,V$128=""),"",IF(COUNTIFS(BD!$B$3:$B$5001,V$128,BD!$A$3:$A$5001,"&gt;="&amp;$C$7,BD!$A$3:$A$5001,"&lt;="&amp;$B136,BD!$P$3:$P$5001,"&lt;&gt;")=0,"",SUMIFS(BD!$P$3:$P$5001,BD!$B$3:$B$5001,V$128,BD!$A$3:$A$5001,_xlfn.MAXIFS(BD!$A$3:$A$5001,BD!$B$3:$B$5001,V$128,BD!$A$3:$A$5001,"&gt;="&amp;$C$7,BD!$A$3:$A$5001,"&lt;="&amp;$B136,BD!$P$3:$P$5001,"&lt;&gt;"))))</f>
        <v/>
      </c>
    </row>
    <row r="137">
      <c r="A137" s="48">
        <v>9</v>
      </c>
      <c r="B137" s="53">
        <f>$B$20</f>
        <v>46304</v>
      </c>
      <c r="C137" s="54" t="str">
        <f>IF(OR($B137="",$A137&gt;$B$9,C$128=""),"",IF(COUNTIFS(BD!$B$3:$B$5001,C$128,BD!$A$3:$A$5001,"&gt;="&amp;$C$7,BD!$A$3:$A$5001,"&lt;="&amp;$B137,BD!$P$3:$P$5001,"&lt;&gt;")=0,"",SUMIFS(BD!$P$3:$P$5001,BD!$B$3:$B$5001,C$128,BD!$A$3:$A$5001,_xlfn.MAXIFS(BD!$A$3:$A$5001,BD!$B$3:$B$5001,C$128,BD!$A$3:$A$5001,"&gt;="&amp;$C$7,BD!$A$3:$A$5001,"&lt;="&amp;$B137,BD!$P$3:$P$5001,"&lt;&gt;"))))</f>
        <v/>
      </c>
      <c r="D137" s="54" t="str">
        <f>IF(OR($B137="",$A137&gt;$B$9,D$128=""),"",IF(COUNTIFS(BD!$B$3:$B$5001,D$128,BD!$A$3:$A$5001,"&gt;="&amp;$C$7,BD!$A$3:$A$5001,"&lt;="&amp;$B137,BD!$P$3:$P$5001,"&lt;&gt;")=0,"",SUMIFS(BD!$P$3:$P$5001,BD!$B$3:$B$5001,D$128,BD!$A$3:$A$5001,_xlfn.MAXIFS(BD!$A$3:$A$5001,BD!$B$3:$B$5001,D$128,BD!$A$3:$A$5001,"&gt;="&amp;$C$7,BD!$A$3:$A$5001,"&lt;="&amp;$B137,BD!$P$3:$P$5001,"&lt;&gt;"))))</f>
        <v/>
      </c>
      <c r="E137" s="54" t="str">
        <f>IF(OR($B137="",$A137&gt;$B$9,E$128=""),"",IF(COUNTIFS(BD!$B$3:$B$5001,E$128,BD!$A$3:$A$5001,"&gt;="&amp;$C$7,BD!$A$3:$A$5001,"&lt;="&amp;$B137,BD!$P$3:$P$5001,"&lt;&gt;")=0,"",SUMIFS(BD!$P$3:$P$5001,BD!$B$3:$B$5001,E$128,BD!$A$3:$A$5001,_xlfn.MAXIFS(BD!$A$3:$A$5001,BD!$B$3:$B$5001,E$128,BD!$A$3:$A$5001,"&gt;="&amp;$C$7,BD!$A$3:$A$5001,"&lt;="&amp;$B137,BD!$P$3:$P$5001,"&lt;&gt;"))))</f>
        <v/>
      </c>
      <c r="F137" s="54" t="str">
        <f>IF(OR($B137="",$A137&gt;$B$9,F$128=""),"",IF(COUNTIFS(BD!$B$3:$B$5001,F$128,BD!$A$3:$A$5001,"&gt;="&amp;$C$7,BD!$A$3:$A$5001,"&lt;="&amp;$B137,BD!$P$3:$P$5001,"&lt;&gt;")=0,"",SUMIFS(BD!$P$3:$P$5001,BD!$B$3:$B$5001,F$128,BD!$A$3:$A$5001,_xlfn.MAXIFS(BD!$A$3:$A$5001,BD!$B$3:$B$5001,F$128,BD!$A$3:$A$5001,"&gt;="&amp;$C$7,BD!$A$3:$A$5001,"&lt;="&amp;$B137,BD!$P$3:$P$5001,"&lt;&gt;"))))</f>
        <v/>
      </c>
      <c r="G137" s="54" t="str">
        <f>IF(OR($B137="",$A137&gt;$B$9,G$128=""),"",IF(COUNTIFS(BD!$B$3:$B$5001,G$128,BD!$A$3:$A$5001,"&gt;="&amp;$C$7,BD!$A$3:$A$5001,"&lt;="&amp;$B137,BD!$P$3:$P$5001,"&lt;&gt;")=0,"",SUMIFS(BD!$P$3:$P$5001,BD!$B$3:$B$5001,G$128,BD!$A$3:$A$5001,_xlfn.MAXIFS(BD!$A$3:$A$5001,BD!$B$3:$B$5001,G$128,BD!$A$3:$A$5001,"&gt;="&amp;$C$7,BD!$A$3:$A$5001,"&lt;="&amp;$B137,BD!$P$3:$P$5001,"&lt;&gt;"))))</f>
        <v/>
      </c>
      <c r="H137" s="54" t="str">
        <f>IF(OR($B137="",$A137&gt;$B$9,H$128=""),"",IF(COUNTIFS(BD!$B$3:$B$5001,H$128,BD!$A$3:$A$5001,"&gt;="&amp;$C$7,BD!$A$3:$A$5001,"&lt;="&amp;$B137,BD!$P$3:$P$5001,"&lt;&gt;")=0,"",SUMIFS(BD!$P$3:$P$5001,BD!$B$3:$B$5001,H$128,BD!$A$3:$A$5001,_xlfn.MAXIFS(BD!$A$3:$A$5001,BD!$B$3:$B$5001,H$128,BD!$A$3:$A$5001,"&gt;="&amp;$C$7,BD!$A$3:$A$5001,"&lt;="&amp;$B137,BD!$P$3:$P$5001,"&lt;&gt;"))))</f>
        <v/>
      </c>
      <c r="I137" s="54" t="str">
        <f>IF(OR($B137="",$A137&gt;$B$9,I$128=""),"",IF(COUNTIFS(BD!$B$3:$B$5001,I$128,BD!$A$3:$A$5001,"&gt;="&amp;$C$7,BD!$A$3:$A$5001,"&lt;="&amp;$B137,BD!$P$3:$P$5001,"&lt;&gt;")=0,"",SUMIFS(BD!$P$3:$P$5001,BD!$B$3:$B$5001,I$128,BD!$A$3:$A$5001,_xlfn.MAXIFS(BD!$A$3:$A$5001,BD!$B$3:$B$5001,I$128,BD!$A$3:$A$5001,"&gt;="&amp;$C$7,BD!$A$3:$A$5001,"&lt;="&amp;$B137,BD!$P$3:$P$5001,"&lt;&gt;"))))</f>
        <v/>
      </c>
      <c r="J137" s="54" t="str">
        <f>IF(OR($B137="",$A137&gt;$B$9,J$128=""),"",IF(COUNTIFS(BD!$B$3:$B$5001,J$128,BD!$A$3:$A$5001,"&gt;="&amp;$C$7,BD!$A$3:$A$5001,"&lt;="&amp;$B137,BD!$P$3:$P$5001,"&lt;&gt;")=0,"",SUMIFS(BD!$P$3:$P$5001,BD!$B$3:$B$5001,J$128,BD!$A$3:$A$5001,_xlfn.MAXIFS(BD!$A$3:$A$5001,BD!$B$3:$B$5001,J$128,BD!$A$3:$A$5001,"&gt;="&amp;$C$7,BD!$A$3:$A$5001,"&lt;="&amp;$B137,BD!$P$3:$P$5001,"&lt;&gt;"))))</f>
        <v/>
      </c>
      <c r="K137" s="54" t="str">
        <f>IF(OR($B137="",$A137&gt;$B$9,K$128=""),"",IF(COUNTIFS(BD!$B$3:$B$5001,K$128,BD!$A$3:$A$5001,"&gt;="&amp;$C$7,BD!$A$3:$A$5001,"&lt;="&amp;$B137,BD!$P$3:$P$5001,"&lt;&gt;")=0,"",SUMIFS(BD!$P$3:$P$5001,BD!$B$3:$B$5001,K$128,BD!$A$3:$A$5001,_xlfn.MAXIFS(BD!$A$3:$A$5001,BD!$B$3:$B$5001,K$128,BD!$A$3:$A$5001,"&gt;="&amp;$C$7,BD!$A$3:$A$5001,"&lt;="&amp;$B137,BD!$P$3:$P$5001,"&lt;&gt;"))))</f>
        <v/>
      </c>
      <c r="L137" s="54" t="str">
        <f>IF(OR($B137="",$A137&gt;$B$9,L$128=""),"",IF(COUNTIFS(BD!$B$3:$B$5001,L$128,BD!$A$3:$A$5001,"&gt;="&amp;$C$7,BD!$A$3:$A$5001,"&lt;="&amp;$B137,BD!$P$3:$P$5001,"&lt;&gt;")=0,"",SUMIFS(BD!$P$3:$P$5001,BD!$B$3:$B$5001,L$128,BD!$A$3:$A$5001,_xlfn.MAXIFS(BD!$A$3:$A$5001,BD!$B$3:$B$5001,L$128,BD!$A$3:$A$5001,"&gt;="&amp;$C$7,BD!$A$3:$A$5001,"&lt;="&amp;$B137,BD!$P$3:$P$5001,"&lt;&gt;"))))</f>
        <v/>
      </c>
      <c r="M137" s="54" t="str">
        <f>IF(OR($B137="",$A137&gt;$B$9,M$128=""),"",IF(COUNTIFS(BD!$B$3:$B$5001,M$128,BD!$A$3:$A$5001,"&gt;="&amp;$C$7,BD!$A$3:$A$5001,"&lt;="&amp;$B137,BD!$P$3:$P$5001,"&lt;&gt;")=0,"",SUMIFS(BD!$P$3:$P$5001,BD!$B$3:$B$5001,M$128,BD!$A$3:$A$5001,_xlfn.MAXIFS(BD!$A$3:$A$5001,BD!$B$3:$B$5001,M$128,BD!$A$3:$A$5001,"&gt;="&amp;$C$7,BD!$A$3:$A$5001,"&lt;="&amp;$B137,BD!$P$3:$P$5001,"&lt;&gt;"))))</f>
        <v/>
      </c>
      <c r="N137" s="54" t="str">
        <f>IF(OR($B137="",$A137&gt;$B$9,N$128=""),"",IF(COUNTIFS(BD!$B$3:$B$5001,N$128,BD!$A$3:$A$5001,"&gt;="&amp;$C$7,BD!$A$3:$A$5001,"&lt;="&amp;$B137,BD!$P$3:$P$5001,"&lt;&gt;")=0,"",SUMIFS(BD!$P$3:$P$5001,BD!$B$3:$B$5001,N$128,BD!$A$3:$A$5001,_xlfn.MAXIFS(BD!$A$3:$A$5001,BD!$B$3:$B$5001,N$128,BD!$A$3:$A$5001,"&gt;="&amp;$C$7,BD!$A$3:$A$5001,"&lt;="&amp;$B137,BD!$P$3:$P$5001,"&lt;&gt;"))))</f>
        <v/>
      </c>
      <c r="O137" s="54" t="str">
        <f>IF(OR($B137="",$A137&gt;$B$9,O$128=""),"",IF(COUNTIFS(BD!$B$3:$B$5001,O$128,BD!$A$3:$A$5001,"&gt;="&amp;$C$7,BD!$A$3:$A$5001,"&lt;="&amp;$B137,BD!$P$3:$P$5001,"&lt;&gt;")=0,"",SUMIFS(BD!$P$3:$P$5001,BD!$B$3:$B$5001,O$128,BD!$A$3:$A$5001,_xlfn.MAXIFS(BD!$A$3:$A$5001,BD!$B$3:$B$5001,O$128,BD!$A$3:$A$5001,"&gt;="&amp;$C$7,BD!$A$3:$A$5001,"&lt;="&amp;$B137,BD!$P$3:$P$5001,"&lt;&gt;"))))</f>
        <v/>
      </c>
      <c r="P137" s="54" t="str">
        <f>IF(OR($B137="",$A137&gt;$B$9,P$128=""),"",IF(COUNTIFS(BD!$B$3:$B$5001,P$128,BD!$A$3:$A$5001,"&gt;="&amp;$C$7,BD!$A$3:$A$5001,"&lt;="&amp;$B137,BD!$P$3:$P$5001,"&lt;&gt;")=0,"",SUMIFS(BD!$P$3:$P$5001,BD!$B$3:$B$5001,P$128,BD!$A$3:$A$5001,_xlfn.MAXIFS(BD!$A$3:$A$5001,BD!$B$3:$B$5001,P$128,BD!$A$3:$A$5001,"&gt;="&amp;$C$7,BD!$A$3:$A$5001,"&lt;="&amp;$B137,BD!$P$3:$P$5001,"&lt;&gt;"))))</f>
        <v/>
      </c>
      <c r="Q137" s="54" t="str">
        <f>IF(OR($B137="",$A137&gt;$B$9,Q$128=""),"",IF(COUNTIFS(BD!$B$3:$B$5001,Q$128,BD!$A$3:$A$5001,"&gt;="&amp;$C$7,BD!$A$3:$A$5001,"&lt;="&amp;$B137,BD!$P$3:$P$5001,"&lt;&gt;")=0,"",SUMIFS(BD!$P$3:$P$5001,BD!$B$3:$B$5001,Q$128,BD!$A$3:$A$5001,_xlfn.MAXIFS(BD!$A$3:$A$5001,BD!$B$3:$B$5001,Q$128,BD!$A$3:$A$5001,"&gt;="&amp;$C$7,BD!$A$3:$A$5001,"&lt;="&amp;$B137,BD!$P$3:$P$5001,"&lt;&gt;"))))</f>
        <v/>
      </c>
      <c r="R137" s="54" t="str">
        <f>IF(OR($B137="",$A137&gt;$B$9,R$128=""),"",IF(COUNTIFS(BD!$B$3:$B$5001,R$128,BD!$A$3:$A$5001,"&gt;="&amp;$C$7,BD!$A$3:$A$5001,"&lt;="&amp;$B137,BD!$P$3:$P$5001,"&lt;&gt;")=0,"",SUMIFS(BD!$P$3:$P$5001,BD!$B$3:$B$5001,R$128,BD!$A$3:$A$5001,_xlfn.MAXIFS(BD!$A$3:$A$5001,BD!$B$3:$B$5001,R$128,BD!$A$3:$A$5001,"&gt;="&amp;$C$7,BD!$A$3:$A$5001,"&lt;="&amp;$B137,BD!$P$3:$P$5001,"&lt;&gt;"))))</f>
        <v/>
      </c>
      <c r="S137" s="54" t="str">
        <f>IF(OR($B137="",$A137&gt;$B$9,S$128=""),"",IF(COUNTIFS(BD!$B$3:$B$5001,S$128,BD!$A$3:$A$5001,"&gt;="&amp;$C$7,BD!$A$3:$A$5001,"&lt;="&amp;$B137,BD!$P$3:$P$5001,"&lt;&gt;")=0,"",SUMIFS(BD!$P$3:$P$5001,BD!$B$3:$B$5001,S$128,BD!$A$3:$A$5001,_xlfn.MAXIFS(BD!$A$3:$A$5001,BD!$B$3:$B$5001,S$128,BD!$A$3:$A$5001,"&gt;="&amp;$C$7,BD!$A$3:$A$5001,"&lt;="&amp;$B137,BD!$P$3:$P$5001,"&lt;&gt;"))))</f>
        <v/>
      </c>
      <c r="T137" s="54" t="str">
        <f>IF(OR($B137="",$A137&gt;$B$9,T$128=""),"",IF(COUNTIFS(BD!$B$3:$B$5001,T$128,BD!$A$3:$A$5001,"&gt;="&amp;$C$7,BD!$A$3:$A$5001,"&lt;="&amp;$B137,BD!$P$3:$P$5001,"&lt;&gt;")=0,"",SUMIFS(BD!$P$3:$P$5001,BD!$B$3:$B$5001,T$128,BD!$A$3:$A$5001,_xlfn.MAXIFS(BD!$A$3:$A$5001,BD!$B$3:$B$5001,T$128,BD!$A$3:$A$5001,"&gt;="&amp;$C$7,BD!$A$3:$A$5001,"&lt;="&amp;$B137,BD!$P$3:$P$5001,"&lt;&gt;"))))</f>
        <v/>
      </c>
      <c r="U137" s="54" t="str">
        <f>IF(OR($B137="",$A137&gt;$B$9,U$128=""),"",IF(COUNTIFS(BD!$B$3:$B$5001,U$128,BD!$A$3:$A$5001,"&gt;="&amp;$C$7,BD!$A$3:$A$5001,"&lt;="&amp;$B137,BD!$P$3:$P$5001,"&lt;&gt;")=0,"",SUMIFS(BD!$P$3:$P$5001,BD!$B$3:$B$5001,U$128,BD!$A$3:$A$5001,_xlfn.MAXIFS(BD!$A$3:$A$5001,BD!$B$3:$B$5001,U$128,BD!$A$3:$A$5001,"&gt;="&amp;$C$7,BD!$A$3:$A$5001,"&lt;="&amp;$B137,BD!$P$3:$P$5001,"&lt;&gt;"))))</f>
        <v/>
      </c>
      <c r="V137" s="54" t="str">
        <f>IF(OR($B137="",$A137&gt;$B$9,V$128=""),"",IF(COUNTIFS(BD!$B$3:$B$5001,V$128,BD!$A$3:$A$5001,"&gt;="&amp;$C$7,BD!$A$3:$A$5001,"&lt;="&amp;$B137,BD!$P$3:$P$5001,"&lt;&gt;")=0,"",SUMIFS(BD!$P$3:$P$5001,BD!$B$3:$B$5001,V$128,BD!$A$3:$A$5001,_xlfn.MAXIFS(BD!$A$3:$A$5001,BD!$B$3:$B$5001,V$128,BD!$A$3:$A$5001,"&gt;="&amp;$C$7,BD!$A$3:$A$5001,"&lt;="&amp;$B137,BD!$P$3:$P$5001,"&lt;&gt;"))))</f>
        <v/>
      </c>
    </row>
    <row r="138">
      <c r="A138" s="48">
        <v>10</v>
      </c>
      <c r="B138" s="53">
        <f>$B$21</f>
        <v>46305</v>
      </c>
      <c r="C138" s="54" t="str">
        <f>IF(OR($B138="",$A138&gt;$B$9,C$128=""),"",IF(COUNTIFS(BD!$B$3:$B$5001,C$128,BD!$A$3:$A$5001,"&gt;="&amp;$C$7,BD!$A$3:$A$5001,"&lt;="&amp;$B138,BD!$P$3:$P$5001,"&lt;&gt;")=0,"",SUMIFS(BD!$P$3:$P$5001,BD!$B$3:$B$5001,C$128,BD!$A$3:$A$5001,_xlfn.MAXIFS(BD!$A$3:$A$5001,BD!$B$3:$B$5001,C$128,BD!$A$3:$A$5001,"&gt;="&amp;$C$7,BD!$A$3:$A$5001,"&lt;="&amp;$B138,BD!$P$3:$P$5001,"&lt;&gt;"))))</f>
        <v/>
      </c>
      <c r="D138" s="54" t="str">
        <f>IF(OR($B138="",$A138&gt;$B$9,D$128=""),"",IF(COUNTIFS(BD!$B$3:$B$5001,D$128,BD!$A$3:$A$5001,"&gt;="&amp;$C$7,BD!$A$3:$A$5001,"&lt;="&amp;$B138,BD!$P$3:$P$5001,"&lt;&gt;")=0,"",SUMIFS(BD!$P$3:$P$5001,BD!$B$3:$B$5001,D$128,BD!$A$3:$A$5001,_xlfn.MAXIFS(BD!$A$3:$A$5001,BD!$B$3:$B$5001,D$128,BD!$A$3:$A$5001,"&gt;="&amp;$C$7,BD!$A$3:$A$5001,"&lt;="&amp;$B138,BD!$P$3:$P$5001,"&lt;&gt;"))))</f>
        <v/>
      </c>
      <c r="E138" s="54" t="str">
        <f>IF(OR($B138="",$A138&gt;$B$9,E$128=""),"",IF(COUNTIFS(BD!$B$3:$B$5001,E$128,BD!$A$3:$A$5001,"&gt;="&amp;$C$7,BD!$A$3:$A$5001,"&lt;="&amp;$B138,BD!$P$3:$P$5001,"&lt;&gt;")=0,"",SUMIFS(BD!$P$3:$P$5001,BD!$B$3:$B$5001,E$128,BD!$A$3:$A$5001,_xlfn.MAXIFS(BD!$A$3:$A$5001,BD!$B$3:$B$5001,E$128,BD!$A$3:$A$5001,"&gt;="&amp;$C$7,BD!$A$3:$A$5001,"&lt;="&amp;$B138,BD!$P$3:$P$5001,"&lt;&gt;"))))</f>
        <v/>
      </c>
      <c r="F138" s="54" t="str">
        <f>IF(OR($B138="",$A138&gt;$B$9,F$128=""),"",IF(COUNTIFS(BD!$B$3:$B$5001,F$128,BD!$A$3:$A$5001,"&gt;="&amp;$C$7,BD!$A$3:$A$5001,"&lt;="&amp;$B138,BD!$P$3:$P$5001,"&lt;&gt;")=0,"",SUMIFS(BD!$P$3:$P$5001,BD!$B$3:$B$5001,F$128,BD!$A$3:$A$5001,_xlfn.MAXIFS(BD!$A$3:$A$5001,BD!$B$3:$B$5001,F$128,BD!$A$3:$A$5001,"&gt;="&amp;$C$7,BD!$A$3:$A$5001,"&lt;="&amp;$B138,BD!$P$3:$P$5001,"&lt;&gt;"))))</f>
        <v/>
      </c>
      <c r="G138" s="54" t="str">
        <f>IF(OR($B138="",$A138&gt;$B$9,G$128=""),"",IF(COUNTIFS(BD!$B$3:$B$5001,G$128,BD!$A$3:$A$5001,"&gt;="&amp;$C$7,BD!$A$3:$A$5001,"&lt;="&amp;$B138,BD!$P$3:$P$5001,"&lt;&gt;")=0,"",SUMIFS(BD!$P$3:$P$5001,BD!$B$3:$B$5001,G$128,BD!$A$3:$A$5001,_xlfn.MAXIFS(BD!$A$3:$A$5001,BD!$B$3:$B$5001,G$128,BD!$A$3:$A$5001,"&gt;="&amp;$C$7,BD!$A$3:$A$5001,"&lt;="&amp;$B138,BD!$P$3:$P$5001,"&lt;&gt;"))))</f>
        <v/>
      </c>
      <c r="H138" s="54" t="str">
        <f>IF(OR($B138="",$A138&gt;$B$9,H$128=""),"",IF(COUNTIFS(BD!$B$3:$B$5001,H$128,BD!$A$3:$A$5001,"&gt;="&amp;$C$7,BD!$A$3:$A$5001,"&lt;="&amp;$B138,BD!$P$3:$P$5001,"&lt;&gt;")=0,"",SUMIFS(BD!$P$3:$P$5001,BD!$B$3:$B$5001,H$128,BD!$A$3:$A$5001,_xlfn.MAXIFS(BD!$A$3:$A$5001,BD!$B$3:$B$5001,H$128,BD!$A$3:$A$5001,"&gt;="&amp;$C$7,BD!$A$3:$A$5001,"&lt;="&amp;$B138,BD!$P$3:$P$5001,"&lt;&gt;"))))</f>
        <v/>
      </c>
      <c r="I138" s="54" t="str">
        <f>IF(OR($B138="",$A138&gt;$B$9,I$128=""),"",IF(COUNTIFS(BD!$B$3:$B$5001,I$128,BD!$A$3:$A$5001,"&gt;="&amp;$C$7,BD!$A$3:$A$5001,"&lt;="&amp;$B138,BD!$P$3:$P$5001,"&lt;&gt;")=0,"",SUMIFS(BD!$P$3:$P$5001,BD!$B$3:$B$5001,I$128,BD!$A$3:$A$5001,_xlfn.MAXIFS(BD!$A$3:$A$5001,BD!$B$3:$B$5001,I$128,BD!$A$3:$A$5001,"&gt;="&amp;$C$7,BD!$A$3:$A$5001,"&lt;="&amp;$B138,BD!$P$3:$P$5001,"&lt;&gt;"))))</f>
        <v/>
      </c>
      <c r="J138" s="54" t="str">
        <f>IF(OR($B138="",$A138&gt;$B$9,J$128=""),"",IF(COUNTIFS(BD!$B$3:$B$5001,J$128,BD!$A$3:$A$5001,"&gt;="&amp;$C$7,BD!$A$3:$A$5001,"&lt;="&amp;$B138,BD!$P$3:$P$5001,"&lt;&gt;")=0,"",SUMIFS(BD!$P$3:$P$5001,BD!$B$3:$B$5001,J$128,BD!$A$3:$A$5001,_xlfn.MAXIFS(BD!$A$3:$A$5001,BD!$B$3:$B$5001,J$128,BD!$A$3:$A$5001,"&gt;="&amp;$C$7,BD!$A$3:$A$5001,"&lt;="&amp;$B138,BD!$P$3:$P$5001,"&lt;&gt;"))))</f>
        <v/>
      </c>
      <c r="K138" s="54" t="str">
        <f>IF(OR($B138="",$A138&gt;$B$9,K$128=""),"",IF(COUNTIFS(BD!$B$3:$B$5001,K$128,BD!$A$3:$A$5001,"&gt;="&amp;$C$7,BD!$A$3:$A$5001,"&lt;="&amp;$B138,BD!$P$3:$P$5001,"&lt;&gt;")=0,"",SUMIFS(BD!$P$3:$P$5001,BD!$B$3:$B$5001,K$128,BD!$A$3:$A$5001,_xlfn.MAXIFS(BD!$A$3:$A$5001,BD!$B$3:$B$5001,K$128,BD!$A$3:$A$5001,"&gt;="&amp;$C$7,BD!$A$3:$A$5001,"&lt;="&amp;$B138,BD!$P$3:$P$5001,"&lt;&gt;"))))</f>
        <v/>
      </c>
      <c r="L138" s="54" t="str">
        <f>IF(OR($B138="",$A138&gt;$B$9,L$128=""),"",IF(COUNTIFS(BD!$B$3:$B$5001,L$128,BD!$A$3:$A$5001,"&gt;="&amp;$C$7,BD!$A$3:$A$5001,"&lt;="&amp;$B138,BD!$P$3:$P$5001,"&lt;&gt;")=0,"",SUMIFS(BD!$P$3:$P$5001,BD!$B$3:$B$5001,L$128,BD!$A$3:$A$5001,_xlfn.MAXIFS(BD!$A$3:$A$5001,BD!$B$3:$B$5001,L$128,BD!$A$3:$A$5001,"&gt;="&amp;$C$7,BD!$A$3:$A$5001,"&lt;="&amp;$B138,BD!$P$3:$P$5001,"&lt;&gt;"))))</f>
        <v/>
      </c>
      <c r="M138" s="54" t="str">
        <f>IF(OR($B138="",$A138&gt;$B$9,M$128=""),"",IF(COUNTIFS(BD!$B$3:$B$5001,M$128,BD!$A$3:$A$5001,"&gt;="&amp;$C$7,BD!$A$3:$A$5001,"&lt;="&amp;$B138,BD!$P$3:$P$5001,"&lt;&gt;")=0,"",SUMIFS(BD!$P$3:$P$5001,BD!$B$3:$B$5001,M$128,BD!$A$3:$A$5001,_xlfn.MAXIFS(BD!$A$3:$A$5001,BD!$B$3:$B$5001,M$128,BD!$A$3:$A$5001,"&gt;="&amp;$C$7,BD!$A$3:$A$5001,"&lt;="&amp;$B138,BD!$P$3:$P$5001,"&lt;&gt;"))))</f>
        <v/>
      </c>
      <c r="N138" s="54" t="str">
        <f>IF(OR($B138="",$A138&gt;$B$9,N$128=""),"",IF(COUNTIFS(BD!$B$3:$B$5001,N$128,BD!$A$3:$A$5001,"&gt;="&amp;$C$7,BD!$A$3:$A$5001,"&lt;="&amp;$B138,BD!$P$3:$P$5001,"&lt;&gt;")=0,"",SUMIFS(BD!$P$3:$P$5001,BD!$B$3:$B$5001,N$128,BD!$A$3:$A$5001,_xlfn.MAXIFS(BD!$A$3:$A$5001,BD!$B$3:$B$5001,N$128,BD!$A$3:$A$5001,"&gt;="&amp;$C$7,BD!$A$3:$A$5001,"&lt;="&amp;$B138,BD!$P$3:$P$5001,"&lt;&gt;"))))</f>
        <v/>
      </c>
      <c r="O138" s="54" t="str">
        <f>IF(OR($B138="",$A138&gt;$B$9,O$128=""),"",IF(COUNTIFS(BD!$B$3:$B$5001,O$128,BD!$A$3:$A$5001,"&gt;="&amp;$C$7,BD!$A$3:$A$5001,"&lt;="&amp;$B138,BD!$P$3:$P$5001,"&lt;&gt;")=0,"",SUMIFS(BD!$P$3:$P$5001,BD!$B$3:$B$5001,O$128,BD!$A$3:$A$5001,_xlfn.MAXIFS(BD!$A$3:$A$5001,BD!$B$3:$B$5001,O$128,BD!$A$3:$A$5001,"&gt;="&amp;$C$7,BD!$A$3:$A$5001,"&lt;="&amp;$B138,BD!$P$3:$P$5001,"&lt;&gt;"))))</f>
        <v/>
      </c>
      <c r="P138" s="54" t="str">
        <f>IF(OR($B138="",$A138&gt;$B$9,P$128=""),"",IF(COUNTIFS(BD!$B$3:$B$5001,P$128,BD!$A$3:$A$5001,"&gt;="&amp;$C$7,BD!$A$3:$A$5001,"&lt;="&amp;$B138,BD!$P$3:$P$5001,"&lt;&gt;")=0,"",SUMIFS(BD!$P$3:$P$5001,BD!$B$3:$B$5001,P$128,BD!$A$3:$A$5001,_xlfn.MAXIFS(BD!$A$3:$A$5001,BD!$B$3:$B$5001,P$128,BD!$A$3:$A$5001,"&gt;="&amp;$C$7,BD!$A$3:$A$5001,"&lt;="&amp;$B138,BD!$P$3:$P$5001,"&lt;&gt;"))))</f>
        <v/>
      </c>
      <c r="Q138" s="54" t="str">
        <f>IF(OR($B138="",$A138&gt;$B$9,Q$128=""),"",IF(COUNTIFS(BD!$B$3:$B$5001,Q$128,BD!$A$3:$A$5001,"&gt;="&amp;$C$7,BD!$A$3:$A$5001,"&lt;="&amp;$B138,BD!$P$3:$P$5001,"&lt;&gt;")=0,"",SUMIFS(BD!$P$3:$P$5001,BD!$B$3:$B$5001,Q$128,BD!$A$3:$A$5001,_xlfn.MAXIFS(BD!$A$3:$A$5001,BD!$B$3:$B$5001,Q$128,BD!$A$3:$A$5001,"&gt;="&amp;$C$7,BD!$A$3:$A$5001,"&lt;="&amp;$B138,BD!$P$3:$P$5001,"&lt;&gt;"))))</f>
        <v/>
      </c>
      <c r="R138" s="54" t="str">
        <f>IF(OR($B138="",$A138&gt;$B$9,R$128=""),"",IF(COUNTIFS(BD!$B$3:$B$5001,R$128,BD!$A$3:$A$5001,"&gt;="&amp;$C$7,BD!$A$3:$A$5001,"&lt;="&amp;$B138,BD!$P$3:$P$5001,"&lt;&gt;")=0,"",SUMIFS(BD!$P$3:$P$5001,BD!$B$3:$B$5001,R$128,BD!$A$3:$A$5001,_xlfn.MAXIFS(BD!$A$3:$A$5001,BD!$B$3:$B$5001,R$128,BD!$A$3:$A$5001,"&gt;="&amp;$C$7,BD!$A$3:$A$5001,"&lt;="&amp;$B138,BD!$P$3:$P$5001,"&lt;&gt;"))))</f>
        <v/>
      </c>
      <c r="S138" s="54" t="str">
        <f>IF(OR($B138="",$A138&gt;$B$9,S$128=""),"",IF(COUNTIFS(BD!$B$3:$B$5001,S$128,BD!$A$3:$A$5001,"&gt;="&amp;$C$7,BD!$A$3:$A$5001,"&lt;="&amp;$B138,BD!$P$3:$P$5001,"&lt;&gt;")=0,"",SUMIFS(BD!$P$3:$P$5001,BD!$B$3:$B$5001,S$128,BD!$A$3:$A$5001,_xlfn.MAXIFS(BD!$A$3:$A$5001,BD!$B$3:$B$5001,S$128,BD!$A$3:$A$5001,"&gt;="&amp;$C$7,BD!$A$3:$A$5001,"&lt;="&amp;$B138,BD!$P$3:$P$5001,"&lt;&gt;"))))</f>
        <v/>
      </c>
      <c r="T138" s="54" t="str">
        <f>IF(OR($B138="",$A138&gt;$B$9,T$128=""),"",IF(COUNTIFS(BD!$B$3:$B$5001,T$128,BD!$A$3:$A$5001,"&gt;="&amp;$C$7,BD!$A$3:$A$5001,"&lt;="&amp;$B138,BD!$P$3:$P$5001,"&lt;&gt;")=0,"",SUMIFS(BD!$P$3:$P$5001,BD!$B$3:$B$5001,T$128,BD!$A$3:$A$5001,_xlfn.MAXIFS(BD!$A$3:$A$5001,BD!$B$3:$B$5001,T$128,BD!$A$3:$A$5001,"&gt;="&amp;$C$7,BD!$A$3:$A$5001,"&lt;="&amp;$B138,BD!$P$3:$P$5001,"&lt;&gt;"))))</f>
        <v/>
      </c>
      <c r="U138" s="54" t="str">
        <f>IF(OR($B138="",$A138&gt;$B$9,U$128=""),"",IF(COUNTIFS(BD!$B$3:$B$5001,U$128,BD!$A$3:$A$5001,"&gt;="&amp;$C$7,BD!$A$3:$A$5001,"&lt;="&amp;$B138,BD!$P$3:$P$5001,"&lt;&gt;")=0,"",SUMIFS(BD!$P$3:$P$5001,BD!$B$3:$B$5001,U$128,BD!$A$3:$A$5001,_xlfn.MAXIFS(BD!$A$3:$A$5001,BD!$B$3:$B$5001,U$128,BD!$A$3:$A$5001,"&gt;="&amp;$C$7,BD!$A$3:$A$5001,"&lt;="&amp;$B138,BD!$P$3:$P$5001,"&lt;&gt;"))))</f>
        <v/>
      </c>
      <c r="V138" s="54" t="str">
        <f>IF(OR($B138="",$A138&gt;$B$9,V$128=""),"",IF(COUNTIFS(BD!$B$3:$B$5001,V$128,BD!$A$3:$A$5001,"&gt;="&amp;$C$7,BD!$A$3:$A$5001,"&lt;="&amp;$B138,BD!$P$3:$P$5001,"&lt;&gt;")=0,"",SUMIFS(BD!$P$3:$P$5001,BD!$B$3:$B$5001,V$128,BD!$A$3:$A$5001,_xlfn.MAXIFS(BD!$A$3:$A$5001,BD!$B$3:$B$5001,V$128,BD!$A$3:$A$5001,"&gt;="&amp;$C$7,BD!$A$3:$A$5001,"&lt;="&amp;$B138,BD!$P$3:$P$5001,"&lt;&gt;"))))</f>
        <v/>
      </c>
    </row>
    <row r="139">
      <c r="A139" s="48">
        <v>11</v>
      </c>
      <c r="B139" s="53">
        <f>$B$22</f>
        <v>46306</v>
      </c>
      <c r="C139" s="54" t="str">
        <f>IF(OR($B139="",$A139&gt;$B$9,C$128=""),"",IF(COUNTIFS(BD!$B$3:$B$5001,C$128,BD!$A$3:$A$5001,"&gt;="&amp;$C$7,BD!$A$3:$A$5001,"&lt;="&amp;$B139,BD!$P$3:$P$5001,"&lt;&gt;")=0,"",SUMIFS(BD!$P$3:$P$5001,BD!$B$3:$B$5001,C$128,BD!$A$3:$A$5001,_xlfn.MAXIFS(BD!$A$3:$A$5001,BD!$B$3:$B$5001,C$128,BD!$A$3:$A$5001,"&gt;="&amp;$C$7,BD!$A$3:$A$5001,"&lt;="&amp;$B139,BD!$P$3:$P$5001,"&lt;&gt;"))))</f>
        <v/>
      </c>
      <c r="D139" s="54" t="str">
        <f>IF(OR($B139="",$A139&gt;$B$9,D$128=""),"",IF(COUNTIFS(BD!$B$3:$B$5001,D$128,BD!$A$3:$A$5001,"&gt;="&amp;$C$7,BD!$A$3:$A$5001,"&lt;="&amp;$B139,BD!$P$3:$P$5001,"&lt;&gt;")=0,"",SUMIFS(BD!$P$3:$P$5001,BD!$B$3:$B$5001,D$128,BD!$A$3:$A$5001,_xlfn.MAXIFS(BD!$A$3:$A$5001,BD!$B$3:$B$5001,D$128,BD!$A$3:$A$5001,"&gt;="&amp;$C$7,BD!$A$3:$A$5001,"&lt;="&amp;$B139,BD!$P$3:$P$5001,"&lt;&gt;"))))</f>
        <v/>
      </c>
      <c r="E139" s="54" t="str">
        <f>IF(OR($B139="",$A139&gt;$B$9,E$128=""),"",IF(COUNTIFS(BD!$B$3:$B$5001,E$128,BD!$A$3:$A$5001,"&gt;="&amp;$C$7,BD!$A$3:$A$5001,"&lt;="&amp;$B139,BD!$P$3:$P$5001,"&lt;&gt;")=0,"",SUMIFS(BD!$P$3:$P$5001,BD!$B$3:$B$5001,E$128,BD!$A$3:$A$5001,_xlfn.MAXIFS(BD!$A$3:$A$5001,BD!$B$3:$B$5001,E$128,BD!$A$3:$A$5001,"&gt;="&amp;$C$7,BD!$A$3:$A$5001,"&lt;="&amp;$B139,BD!$P$3:$P$5001,"&lt;&gt;"))))</f>
        <v/>
      </c>
      <c r="F139" s="54" t="str">
        <f>IF(OR($B139="",$A139&gt;$B$9,F$128=""),"",IF(COUNTIFS(BD!$B$3:$B$5001,F$128,BD!$A$3:$A$5001,"&gt;="&amp;$C$7,BD!$A$3:$A$5001,"&lt;="&amp;$B139,BD!$P$3:$P$5001,"&lt;&gt;")=0,"",SUMIFS(BD!$P$3:$P$5001,BD!$B$3:$B$5001,F$128,BD!$A$3:$A$5001,_xlfn.MAXIFS(BD!$A$3:$A$5001,BD!$B$3:$B$5001,F$128,BD!$A$3:$A$5001,"&gt;="&amp;$C$7,BD!$A$3:$A$5001,"&lt;="&amp;$B139,BD!$P$3:$P$5001,"&lt;&gt;"))))</f>
        <v/>
      </c>
      <c r="G139" s="54" t="str">
        <f>IF(OR($B139="",$A139&gt;$B$9,G$128=""),"",IF(COUNTIFS(BD!$B$3:$B$5001,G$128,BD!$A$3:$A$5001,"&gt;="&amp;$C$7,BD!$A$3:$A$5001,"&lt;="&amp;$B139,BD!$P$3:$P$5001,"&lt;&gt;")=0,"",SUMIFS(BD!$P$3:$P$5001,BD!$B$3:$B$5001,G$128,BD!$A$3:$A$5001,_xlfn.MAXIFS(BD!$A$3:$A$5001,BD!$B$3:$B$5001,G$128,BD!$A$3:$A$5001,"&gt;="&amp;$C$7,BD!$A$3:$A$5001,"&lt;="&amp;$B139,BD!$P$3:$P$5001,"&lt;&gt;"))))</f>
        <v/>
      </c>
      <c r="H139" s="54" t="str">
        <f>IF(OR($B139="",$A139&gt;$B$9,H$128=""),"",IF(COUNTIFS(BD!$B$3:$B$5001,H$128,BD!$A$3:$A$5001,"&gt;="&amp;$C$7,BD!$A$3:$A$5001,"&lt;="&amp;$B139,BD!$P$3:$P$5001,"&lt;&gt;")=0,"",SUMIFS(BD!$P$3:$P$5001,BD!$B$3:$B$5001,H$128,BD!$A$3:$A$5001,_xlfn.MAXIFS(BD!$A$3:$A$5001,BD!$B$3:$B$5001,H$128,BD!$A$3:$A$5001,"&gt;="&amp;$C$7,BD!$A$3:$A$5001,"&lt;="&amp;$B139,BD!$P$3:$P$5001,"&lt;&gt;"))))</f>
        <v/>
      </c>
      <c r="I139" s="54" t="str">
        <f>IF(OR($B139="",$A139&gt;$B$9,I$128=""),"",IF(COUNTIFS(BD!$B$3:$B$5001,I$128,BD!$A$3:$A$5001,"&gt;="&amp;$C$7,BD!$A$3:$A$5001,"&lt;="&amp;$B139,BD!$P$3:$P$5001,"&lt;&gt;")=0,"",SUMIFS(BD!$P$3:$P$5001,BD!$B$3:$B$5001,I$128,BD!$A$3:$A$5001,_xlfn.MAXIFS(BD!$A$3:$A$5001,BD!$B$3:$B$5001,I$128,BD!$A$3:$A$5001,"&gt;="&amp;$C$7,BD!$A$3:$A$5001,"&lt;="&amp;$B139,BD!$P$3:$P$5001,"&lt;&gt;"))))</f>
        <v/>
      </c>
      <c r="J139" s="54" t="str">
        <f>IF(OR($B139="",$A139&gt;$B$9,J$128=""),"",IF(COUNTIFS(BD!$B$3:$B$5001,J$128,BD!$A$3:$A$5001,"&gt;="&amp;$C$7,BD!$A$3:$A$5001,"&lt;="&amp;$B139,BD!$P$3:$P$5001,"&lt;&gt;")=0,"",SUMIFS(BD!$P$3:$P$5001,BD!$B$3:$B$5001,J$128,BD!$A$3:$A$5001,_xlfn.MAXIFS(BD!$A$3:$A$5001,BD!$B$3:$B$5001,J$128,BD!$A$3:$A$5001,"&gt;="&amp;$C$7,BD!$A$3:$A$5001,"&lt;="&amp;$B139,BD!$P$3:$P$5001,"&lt;&gt;"))))</f>
        <v/>
      </c>
      <c r="K139" s="54" t="str">
        <f>IF(OR($B139="",$A139&gt;$B$9,K$128=""),"",IF(COUNTIFS(BD!$B$3:$B$5001,K$128,BD!$A$3:$A$5001,"&gt;="&amp;$C$7,BD!$A$3:$A$5001,"&lt;="&amp;$B139,BD!$P$3:$P$5001,"&lt;&gt;")=0,"",SUMIFS(BD!$P$3:$P$5001,BD!$B$3:$B$5001,K$128,BD!$A$3:$A$5001,_xlfn.MAXIFS(BD!$A$3:$A$5001,BD!$B$3:$B$5001,K$128,BD!$A$3:$A$5001,"&gt;="&amp;$C$7,BD!$A$3:$A$5001,"&lt;="&amp;$B139,BD!$P$3:$P$5001,"&lt;&gt;"))))</f>
        <v/>
      </c>
      <c r="L139" s="54" t="str">
        <f>IF(OR($B139="",$A139&gt;$B$9,L$128=""),"",IF(COUNTIFS(BD!$B$3:$B$5001,L$128,BD!$A$3:$A$5001,"&gt;="&amp;$C$7,BD!$A$3:$A$5001,"&lt;="&amp;$B139,BD!$P$3:$P$5001,"&lt;&gt;")=0,"",SUMIFS(BD!$P$3:$P$5001,BD!$B$3:$B$5001,L$128,BD!$A$3:$A$5001,_xlfn.MAXIFS(BD!$A$3:$A$5001,BD!$B$3:$B$5001,L$128,BD!$A$3:$A$5001,"&gt;="&amp;$C$7,BD!$A$3:$A$5001,"&lt;="&amp;$B139,BD!$P$3:$P$5001,"&lt;&gt;"))))</f>
        <v/>
      </c>
      <c r="M139" s="54" t="str">
        <f>IF(OR($B139="",$A139&gt;$B$9,M$128=""),"",IF(COUNTIFS(BD!$B$3:$B$5001,M$128,BD!$A$3:$A$5001,"&gt;="&amp;$C$7,BD!$A$3:$A$5001,"&lt;="&amp;$B139,BD!$P$3:$P$5001,"&lt;&gt;")=0,"",SUMIFS(BD!$P$3:$P$5001,BD!$B$3:$B$5001,M$128,BD!$A$3:$A$5001,_xlfn.MAXIFS(BD!$A$3:$A$5001,BD!$B$3:$B$5001,M$128,BD!$A$3:$A$5001,"&gt;="&amp;$C$7,BD!$A$3:$A$5001,"&lt;="&amp;$B139,BD!$P$3:$P$5001,"&lt;&gt;"))))</f>
        <v/>
      </c>
      <c r="N139" s="54" t="str">
        <f>IF(OR($B139="",$A139&gt;$B$9,N$128=""),"",IF(COUNTIFS(BD!$B$3:$B$5001,N$128,BD!$A$3:$A$5001,"&gt;="&amp;$C$7,BD!$A$3:$A$5001,"&lt;="&amp;$B139,BD!$P$3:$P$5001,"&lt;&gt;")=0,"",SUMIFS(BD!$P$3:$P$5001,BD!$B$3:$B$5001,N$128,BD!$A$3:$A$5001,_xlfn.MAXIFS(BD!$A$3:$A$5001,BD!$B$3:$B$5001,N$128,BD!$A$3:$A$5001,"&gt;="&amp;$C$7,BD!$A$3:$A$5001,"&lt;="&amp;$B139,BD!$P$3:$P$5001,"&lt;&gt;"))))</f>
        <v/>
      </c>
      <c r="O139" s="54" t="str">
        <f>IF(OR($B139="",$A139&gt;$B$9,O$128=""),"",IF(COUNTIFS(BD!$B$3:$B$5001,O$128,BD!$A$3:$A$5001,"&gt;="&amp;$C$7,BD!$A$3:$A$5001,"&lt;="&amp;$B139,BD!$P$3:$P$5001,"&lt;&gt;")=0,"",SUMIFS(BD!$P$3:$P$5001,BD!$B$3:$B$5001,O$128,BD!$A$3:$A$5001,_xlfn.MAXIFS(BD!$A$3:$A$5001,BD!$B$3:$B$5001,O$128,BD!$A$3:$A$5001,"&gt;="&amp;$C$7,BD!$A$3:$A$5001,"&lt;="&amp;$B139,BD!$P$3:$P$5001,"&lt;&gt;"))))</f>
        <v/>
      </c>
      <c r="P139" s="54" t="str">
        <f>IF(OR($B139="",$A139&gt;$B$9,P$128=""),"",IF(COUNTIFS(BD!$B$3:$B$5001,P$128,BD!$A$3:$A$5001,"&gt;="&amp;$C$7,BD!$A$3:$A$5001,"&lt;="&amp;$B139,BD!$P$3:$P$5001,"&lt;&gt;")=0,"",SUMIFS(BD!$P$3:$P$5001,BD!$B$3:$B$5001,P$128,BD!$A$3:$A$5001,_xlfn.MAXIFS(BD!$A$3:$A$5001,BD!$B$3:$B$5001,P$128,BD!$A$3:$A$5001,"&gt;="&amp;$C$7,BD!$A$3:$A$5001,"&lt;="&amp;$B139,BD!$P$3:$P$5001,"&lt;&gt;"))))</f>
        <v/>
      </c>
      <c r="Q139" s="54" t="str">
        <f>IF(OR($B139="",$A139&gt;$B$9,Q$128=""),"",IF(COUNTIFS(BD!$B$3:$B$5001,Q$128,BD!$A$3:$A$5001,"&gt;="&amp;$C$7,BD!$A$3:$A$5001,"&lt;="&amp;$B139,BD!$P$3:$P$5001,"&lt;&gt;")=0,"",SUMIFS(BD!$P$3:$P$5001,BD!$B$3:$B$5001,Q$128,BD!$A$3:$A$5001,_xlfn.MAXIFS(BD!$A$3:$A$5001,BD!$B$3:$B$5001,Q$128,BD!$A$3:$A$5001,"&gt;="&amp;$C$7,BD!$A$3:$A$5001,"&lt;="&amp;$B139,BD!$P$3:$P$5001,"&lt;&gt;"))))</f>
        <v/>
      </c>
      <c r="R139" s="54" t="str">
        <f>IF(OR($B139="",$A139&gt;$B$9,R$128=""),"",IF(COUNTIFS(BD!$B$3:$B$5001,R$128,BD!$A$3:$A$5001,"&gt;="&amp;$C$7,BD!$A$3:$A$5001,"&lt;="&amp;$B139,BD!$P$3:$P$5001,"&lt;&gt;")=0,"",SUMIFS(BD!$P$3:$P$5001,BD!$B$3:$B$5001,R$128,BD!$A$3:$A$5001,_xlfn.MAXIFS(BD!$A$3:$A$5001,BD!$B$3:$B$5001,R$128,BD!$A$3:$A$5001,"&gt;="&amp;$C$7,BD!$A$3:$A$5001,"&lt;="&amp;$B139,BD!$P$3:$P$5001,"&lt;&gt;"))))</f>
        <v/>
      </c>
      <c r="S139" s="54" t="str">
        <f>IF(OR($B139="",$A139&gt;$B$9,S$128=""),"",IF(COUNTIFS(BD!$B$3:$B$5001,S$128,BD!$A$3:$A$5001,"&gt;="&amp;$C$7,BD!$A$3:$A$5001,"&lt;="&amp;$B139,BD!$P$3:$P$5001,"&lt;&gt;")=0,"",SUMIFS(BD!$P$3:$P$5001,BD!$B$3:$B$5001,S$128,BD!$A$3:$A$5001,_xlfn.MAXIFS(BD!$A$3:$A$5001,BD!$B$3:$B$5001,S$128,BD!$A$3:$A$5001,"&gt;="&amp;$C$7,BD!$A$3:$A$5001,"&lt;="&amp;$B139,BD!$P$3:$P$5001,"&lt;&gt;"))))</f>
        <v/>
      </c>
      <c r="T139" s="54" t="str">
        <f>IF(OR($B139="",$A139&gt;$B$9,T$128=""),"",IF(COUNTIFS(BD!$B$3:$B$5001,T$128,BD!$A$3:$A$5001,"&gt;="&amp;$C$7,BD!$A$3:$A$5001,"&lt;="&amp;$B139,BD!$P$3:$P$5001,"&lt;&gt;")=0,"",SUMIFS(BD!$P$3:$P$5001,BD!$B$3:$B$5001,T$128,BD!$A$3:$A$5001,_xlfn.MAXIFS(BD!$A$3:$A$5001,BD!$B$3:$B$5001,T$128,BD!$A$3:$A$5001,"&gt;="&amp;$C$7,BD!$A$3:$A$5001,"&lt;="&amp;$B139,BD!$P$3:$P$5001,"&lt;&gt;"))))</f>
        <v/>
      </c>
      <c r="U139" s="54" t="str">
        <f>IF(OR($B139="",$A139&gt;$B$9,U$128=""),"",IF(COUNTIFS(BD!$B$3:$B$5001,U$128,BD!$A$3:$A$5001,"&gt;="&amp;$C$7,BD!$A$3:$A$5001,"&lt;="&amp;$B139,BD!$P$3:$P$5001,"&lt;&gt;")=0,"",SUMIFS(BD!$P$3:$P$5001,BD!$B$3:$B$5001,U$128,BD!$A$3:$A$5001,_xlfn.MAXIFS(BD!$A$3:$A$5001,BD!$B$3:$B$5001,U$128,BD!$A$3:$A$5001,"&gt;="&amp;$C$7,BD!$A$3:$A$5001,"&lt;="&amp;$B139,BD!$P$3:$P$5001,"&lt;&gt;"))))</f>
        <v/>
      </c>
      <c r="V139" s="54" t="str">
        <f>IF(OR($B139="",$A139&gt;$B$9,V$128=""),"",IF(COUNTIFS(BD!$B$3:$B$5001,V$128,BD!$A$3:$A$5001,"&gt;="&amp;$C$7,BD!$A$3:$A$5001,"&lt;="&amp;$B139,BD!$P$3:$P$5001,"&lt;&gt;")=0,"",SUMIFS(BD!$P$3:$P$5001,BD!$B$3:$B$5001,V$128,BD!$A$3:$A$5001,_xlfn.MAXIFS(BD!$A$3:$A$5001,BD!$B$3:$B$5001,V$128,BD!$A$3:$A$5001,"&gt;="&amp;$C$7,BD!$A$3:$A$5001,"&lt;="&amp;$B139,BD!$P$3:$P$5001,"&lt;&gt;"))))</f>
        <v/>
      </c>
    </row>
    <row r="140">
      <c r="A140" s="48">
        <v>12</v>
      </c>
      <c r="B140" s="53">
        <f>$B$23</f>
        <v>46307</v>
      </c>
      <c r="C140" s="54" t="str">
        <f>IF(OR($B140="",$A140&gt;$B$9,C$128=""),"",IF(COUNTIFS(BD!$B$3:$B$5001,C$128,BD!$A$3:$A$5001,"&gt;="&amp;$C$7,BD!$A$3:$A$5001,"&lt;="&amp;$B140,BD!$P$3:$P$5001,"&lt;&gt;")=0,"",SUMIFS(BD!$P$3:$P$5001,BD!$B$3:$B$5001,C$128,BD!$A$3:$A$5001,_xlfn.MAXIFS(BD!$A$3:$A$5001,BD!$B$3:$B$5001,C$128,BD!$A$3:$A$5001,"&gt;="&amp;$C$7,BD!$A$3:$A$5001,"&lt;="&amp;$B140,BD!$P$3:$P$5001,"&lt;&gt;"))))</f>
        <v/>
      </c>
      <c r="D140" s="54" t="str">
        <f>IF(OR($B140="",$A140&gt;$B$9,D$128=""),"",IF(COUNTIFS(BD!$B$3:$B$5001,D$128,BD!$A$3:$A$5001,"&gt;="&amp;$C$7,BD!$A$3:$A$5001,"&lt;="&amp;$B140,BD!$P$3:$P$5001,"&lt;&gt;")=0,"",SUMIFS(BD!$P$3:$P$5001,BD!$B$3:$B$5001,D$128,BD!$A$3:$A$5001,_xlfn.MAXIFS(BD!$A$3:$A$5001,BD!$B$3:$B$5001,D$128,BD!$A$3:$A$5001,"&gt;="&amp;$C$7,BD!$A$3:$A$5001,"&lt;="&amp;$B140,BD!$P$3:$P$5001,"&lt;&gt;"))))</f>
        <v/>
      </c>
      <c r="E140" s="54" t="str">
        <f>IF(OR($B140="",$A140&gt;$B$9,E$128=""),"",IF(COUNTIFS(BD!$B$3:$B$5001,E$128,BD!$A$3:$A$5001,"&gt;="&amp;$C$7,BD!$A$3:$A$5001,"&lt;="&amp;$B140,BD!$P$3:$P$5001,"&lt;&gt;")=0,"",SUMIFS(BD!$P$3:$P$5001,BD!$B$3:$B$5001,E$128,BD!$A$3:$A$5001,_xlfn.MAXIFS(BD!$A$3:$A$5001,BD!$B$3:$B$5001,E$128,BD!$A$3:$A$5001,"&gt;="&amp;$C$7,BD!$A$3:$A$5001,"&lt;="&amp;$B140,BD!$P$3:$P$5001,"&lt;&gt;"))))</f>
        <v/>
      </c>
      <c r="F140" s="54" t="str">
        <f>IF(OR($B140="",$A140&gt;$B$9,F$128=""),"",IF(COUNTIFS(BD!$B$3:$B$5001,F$128,BD!$A$3:$A$5001,"&gt;="&amp;$C$7,BD!$A$3:$A$5001,"&lt;="&amp;$B140,BD!$P$3:$P$5001,"&lt;&gt;")=0,"",SUMIFS(BD!$P$3:$P$5001,BD!$B$3:$B$5001,F$128,BD!$A$3:$A$5001,_xlfn.MAXIFS(BD!$A$3:$A$5001,BD!$B$3:$B$5001,F$128,BD!$A$3:$A$5001,"&gt;="&amp;$C$7,BD!$A$3:$A$5001,"&lt;="&amp;$B140,BD!$P$3:$P$5001,"&lt;&gt;"))))</f>
        <v/>
      </c>
      <c r="G140" s="54" t="str">
        <f>IF(OR($B140="",$A140&gt;$B$9,G$128=""),"",IF(COUNTIFS(BD!$B$3:$B$5001,G$128,BD!$A$3:$A$5001,"&gt;="&amp;$C$7,BD!$A$3:$A$5001,"&lt;="&amp;$B140,BD!$P$3:$P$5001,"&lt;&gt;")=0,"",SUMIFS(BD!$P$3:$P$5001,BD!$B$3:$B$5001,G$128,BD!$A$3:$A$5001,_xlfn.MAXIFS(BD!$A$3:$A$5001,BD!$B$3:$B$5001,G$128,BD!$A$3:$A$5001,"&gt;="&amp;$C$7,BD!$A$3:$A$5001,"&lt;="&amp;$B140,BD!$P$3:$P$5001,"&lt;&gt;"))))</f>
        <v/>
      </c>
      <c r="H140" s="54" t="str">
        <f>IF(OR($B140="",$A140&gt;$B$9,H$128=""),"",IF(COUNTIFS(BD!$B$3:$B$5001,H$128,BD!$A$3:$A$5001,"&gt;="&amp;$C$7,BD!$A$3:$A$5001,"&lt;="&amp;$B140,BD!$P$3:$P$5001,"&lt;&gt;")=0,"",SUMIFS(BD!$P$3:$P$5001,BD!$B$3:$B$5001,H$128,BD!$A$3:$A$5001,_xlfn.MAXIFS(BD!$A$3:$A$5001,BD!$B$3:$B$5001,H$128,BD!$A$3:$A$5001,"&gt;="&amp;$C$7,BD!$A$3:$A$5001,"&lt;="&amp;$B140,BD!$P$3:$P$5001,"&lt;&gt;"))))</f>
        <v/>
      </c>
      <c r="I140" s="54" t="str">
        <f>IF(OR($B140="",$A140&gt;$B$9,I$128=""),"",IF(COUNTIFS(BD!$B$3:$B$5001,I$128,BD!$A$3:$A$5001,"&gt;="&amp;$C$7,BD!$A$3:$A$5001,"&lt;="&amp;$B140,BD!$P$3:$P$5001,"&lt;&gt;")=0,"",SUMIFS(BD!$P$3:$P$5001,BD!$B$3:$B$5001,I$128,BD!$A$3:$A$5001,_xlfn.MAXIFS(BD!$A$3:$A$5001,BD!$B$3:$B$5001,I$128,BD!$A$3:$A$5001,"&gt;="&amp;$C$7,BD!$A$3:$A$5001,"&lt;="&amp;$B140,BD!$P$3:$P$5001,"&lt;&gt;"))))</f>
        <v/>
      </c>
      <c r="J140" s="54" t="str">
        <f>IF(OR($B140="",$A140&gt;$B$9,J$128=""),"",IF(COUNTIFS(BD!$B$3:$B$5001,J$128,BD!$A$3:$A$5001,"&gt;="&amp;$C$7,BD!$A$3:$A$5001,"&lt;="&amp;$B140,BD!$P$3:$P$5001,"&lt;&gt;")=0,"",SUMIFS(BD!$P$3:$P$5001,BD!$B$3:$B$5001,J$128,BD!$A$3:$A$5001,_xlfn.MAXIFS(BD!$A$3:$A$5001,BD!$B$3:$B$5001,J$128,BD!$A$3:$A$5001,"&gt;="&amp;$C$7,BD!$A$3:$A$5001,"&lt;="&amp;$B140,BD!$P$3:$P$5001,"&lt;&gt;"))))</f>
        <v/>
      </c>
      <c r="K140" s="54" t="str">
        <f>IF(OR($B140="",$A140&gt;$B$9,K$128=""),"",IF(COUNTIFS(BD!$B$3:$B$5001,K$128,BD!$A$3:$A$5001,"&gt;="&amp;$C$7,BD!$A$3:$A$5001,"&lt;="&amp;$B140,BD!$P$3:$P$5001,"&lt;&gt;")=0,"",SUMIFS(BD!$P$3:$P$5001,BD!$B$3:$B$5001,K$128,BD!$A$3:$A$5001,_xlfn.MAXIFS(BD!$A$3:$A$5001,BD!$B$3:$B$5001,K$128,BD!$A$3:$A$5001,"&gt;="&amp;$C$7,BD!$A$3:$A$5001,"&lt;="&amp;$B140,BD!$P$3:$P$5001,"&lt;&gt;"))))</f>
        <v/>
      </c>
      <c r="L140" s="54" t="str">
        <f>IF(OR($B140="",$A140&gt;$B$9,L$128=""),"",IF(COUNTIFS(BD!$B$3:$B$5001,L$128,BD!$A$3:$A$5001,"&gt;="&amp;$C$7,BD!$A$3:$A$5001,"&lt;="&amp;$B140,BD!$P$3:$P$5001,"&lt;&gt;")=0,"",SUMIFS(BD!$P$3:$P$5001,BD!$B$3:$B$5001,L$128,BD!$A$3:$A$5001,_xlfn.MAXIFS(BD!$A$3:$A$5001,BD!$B$3:$B$5001,L$128,BD!$A$3:$A$5001,"&gt;="&amp;$C$7,BD!$A$3:$A$5001,"&lt;="&amp;$B140,BD!$P$3:$P$5001,"&lt;&gt;"))))</f>
        <v/>
      </c>
      <c r="M140" s="54" t="str">
        <f>IF(OR($B140="",$A140&gt;$B$9,M$128=""),"",IF(COUNTIFS(BD!$B$3:$B$5001,M$128,BD!$A$3:$A$5001,"&gt;="&amp;$C$7,BD!$A$3:$A$5001,"&lt;="&amp;$B140,BD!$P$3:$P$5001,"&lt;&gt;")=0,"",SUMIFS(BD!$P$3:$P$5001,BD!$B$3:$B$5001,M$128,BD!$A$3:$A$5001,_xlfn.MAXIFS(BD!$A$3:$A$5001,BD!$B$3:$B$5001,M$128,BD!$A$3:$A$5001,"&gt;="&amp;$C$7,BD!$A$3:$A$5001,"&lt;="&amp;$B140,BD!$P$3:$P$5001,"&lt;&gt;"))))</f>
        <v/>
      </c>
      <c r="N140" s="54" t="str">
        <f>IF(OR($B140="",$A140&gt;$B$9,N$128=""),"",IF(COUNTIFS(BD!$B$3:$B$5001,N$128,BD!$A$3:$A$5001,"&gt;="&amp;$C$7,BD!$A$3:$A$5001,"&lt;="&amp;$B140,BD!$P$3:$P$5001,"&lt;&gt;")=0,"",SUMIFS(BD!$P$3:$P$5001,BD!$B$3:$B$5001,N$128,BD!$A$3:$A$5001,_xlfn.MAXIFS(BD!$A$3:$A$5001,BD!$B$3:$B$5001,N$128,BD!$A$3:$A$5001,"&gt;="&amp;$C$7,BD!$A$3:$A$5001,"&lt;="&amp;$B140,BD!$P$3:$P$5001,"&lt;&gt;"))))</f>
        <v/>
      </c>
      <c r="O140" s="54" t="str">
        <f>IF(OR($B140="",$A140&gt;$B$9,O$128=""),"",IF(COUNTIFS(BD!$B$3:$B$5001,O$128,BD!$A$3:$A$5001,"&gt;="&amp;$C$7,BD!$A$3:$A$5001,"&lt;="&amp;$B140,BD!$P$3:$P$5001,"&lt;&gt;")=0,"",SUMIFS(BD!$P$3:$P$5001,BD!$B$3:$B$5001,O$128,BD!$A$3:$A$5001,_xlfn.MAXIFS(BD!$A$3:$A$5001,BD!$B$3:$B$5001,O$128,BD!$A$3:$A$5001,"&gt;="&amp;$C$7,BD!$A$3:$A$5001,"&lt;="&amp;$B140,BD!$P$3:$P$5001,"&lt;&gt;"))))</f>
        <v/>
      </c>
      <c r="P140" s="54" t="str">
        <f>IF(OR($B140="",$A140&gt;$B$9,P$128=""),"",IF(COUNTIFS(BD!$B$3:$B$5001,P$128,BD!$A$3:$A$5001,"&gt;="&amp;$C$7,BD!$A$3:$A$5001,"&lt;="&amp;$B140,BD!$P$3:$P$5001,"&lt;&gt;")=0,"",SUMIFS(BD!$P$3:$P$5001,BD!$B$3:$B$5001,P$128,BD!$A$3:$A$5001,_xlfn.MAXIFS(BD!$A$3:$A$5001,BD!$B$3:$B$5001,P$128,BD!$A$3:$A$5001,"&gt;="&amp;$C$7,BD!$A$3:$A$5001,"&lt;="&amp;$B140,BD!$P$3:$P$5001,"&lt;&gt;"))))</f>
        <v/>
      </c>
      <c r="Q140" s="54" t="str">
        <f>IF(OR($B140="",$A140&gt;$B$9,Q$128=""),"",IF(COUNTIFS(BD!$B$3:$B$5001,Q$128,BD!$A$3:$A$5001,"&gt;="&amp;$C$7,BD!$A$3:$A$5001,"&lt;="&amp;$B140,BD!$P$3:$P$5001,"&lt;&gt;")=0,"",SUMIFS(BD!$P$3:$P$5001,BD!$B$3:$B$5001,Q$128,BD!$A$3:$A$5001,_xlfn.MAXIFS(BD!$A$3:$A$5001,BD!$B$3:$B$5001,Q$128,BD!$A$3:$A$5001,"&gt;="&amp;$C$7,BD!$A$3:$A$5001,"&lt;="&amp;$B140,BD!$P$3:$P$5001,"&lt;&gt;"))))</f>
        <v/>
      </c>
      <c r="R140" s="54" t="str">
        <f>IF(OR($B140="",$A140&gt;$B$9,R$128=""),"",IF(COUNTIFS(BD!$B$3:$B$5001,R$128,BD!$A$3:$A$5001,"&gt;="&amp;$C$7,BD!$A$3:$A$5001,"&lt;="&amp;$B140,BD!$P$3:$P$5001,"&lt;&gt;")=0,"",SUMIFS(BD!$P$3:$P$5001,BD!$B$3:$B$5001,R$128,BD!$A$3:$A$5001,_xlfn.MAXIFS(BD!$A$3:$A$5001,BD!$B$3:$B$5001,R$128,BD!$A$3:$A$5001,"&gt;="&amp;$C$7,BD!$A$3:$A$5001,"&lt;="&amp;$B140,BD!$P$3:$P$5001,"&lt;&gt;"))))</f>
        <v/>
      </c>
      <c r="S140" s="54" t="str">
        <f>IF(OR($B140="",$A140&gt;$B$9,S$128=""),"",IF(COUNTIFS(BD!$B$3:$B$5001,S$128,BD!$A$3:$A$5001,"&gt;="&amp;$C$7,BD!$A$3:$A$5001,"&lt;="&amp;$B140,BD!$P$3:$P$5001,"&lt;&gt;")=0,"",SUMIFS(BD!$P$3:$P$5001,BD!$B$3:$B$5001,S$128,BD!$A$3:$A$5001,_xlfn.MAXIFS(BD!$A$3:$A$5001,BD!$B$3:$B$5001,S$128,BD!$A$3:$A$5001,"&gt;="&amp;$C$7,BD!$A$3:$A$5001,"&lt;="&amp;$B140,BD!$P$3:$P$5001,"&lt;&gt;"))))</f>
        <v/>
      </c>
      <c r="T140" s="54" t="str">
        <f>IF(OR($B140="",$A140&gt;$B$9,T$128=""),"",IF(COUNTIFS(BD!$B$3:$B$5001,T$128,BD!$A$3:$A$5001,"&gt;="&amp;$C$7,BD!$A$3:$A$5001,"&lt;="&amp;$B140,BD!$P$3:$P$5001,"&lt;&gt;")=0,"",SUMIFS(BD!$P$3:$P$5001,BD!$B$3:$B$5001,T$128,BD!$A$3:$A$5001,_xlfn.MAXIFS(BD!$A$3:$A$5001,BD!$B$3:$B$5001,T$128,BD!$A$3:$A$5001,"&gt;="&amp;$C$7,BD!$A$3:$A$5001,"&lt;="&amp;$B140,BD!$P$3:$P$5001,"&lt;&gt;"))))</f>
        <v/>
      </c>
      <c r="U140" s="54" t="str">
        <f>IF(OR($B140="",$A140&gt;$B$9,U$128=""),"",IF(COUNTIFS(BD!$B$3:$B$5001,U$128,BD!$A$3:$A$5001,"&gt;="&amp;$C$7,BD!$A$3:$A$5001,"&lt;="&amp;$B140,BD!$P$3:$P$5001,"&lt;&gt;")=0,"",SUMIFS(BD!$P$3:$P$5001,BD!$B$3:$B$5001,U$128,BD!$A$3:$A$5001,_xlfn.MAXIFS(BD!$A$3:$A$5001,BD!$B$3:$B$5001,U$128,BD!$A$3:$A$5001,"&gt;="&amp;$C$7,BD!$A$3:$A$5001,"&lt;="&amp;$B140,BD!$P$3:$P$5001,"&lt;&gt;"))))</f>
        <v/>
      </c>
      <c r="V140" s="54" t="str">
        <f>IF(OR($B140="",$A140&gt;$B$9,V$128=""),"",IF(COUNTIFS(BD!$B$3:$B$5001,V$128,BD!$A$3:$A$5001,"&gt;="&amp;$C$7,BD!$A$3:$A$5001,"&lt;="&amp;$B140,BD!$P$3:$P$5001,"&lt;&gt;")=0,"",SUMIFS(BD!$P$3:$P$5001,BD!$B$3:$B$5001,V$128,BD!$A$3:$A$5001,_xlfn.MAXIFS(BD!$A$3:$A$5001,BD!$B$3:$B$5001,V$128,BD!$A$3:$A$5001,"&gt;="&amp;$C$7,BD!$A$3:$A$5001,"&lt;="&amp;$B140,BD!$P$3:$P$5001,"&lt;&gt;"))))</f>
        <v/>
      </c>
    </row>
    <row r="141">
      <c r="A141" s="48">
        <v>13</v>
      </c>
      <c r="B141" s="53">
        <f>$B$24</f>
        <v>46308</v>
      </c>
      <c r="C141" s="54" t="str">
        <f>IF(OR($B141="",$A141&gt;$B$9,C$128=""),"",IF(COUNTIFS(BD!$B$3:$B$5001,C$128,BD!$A$3:$A$5001,"&gt;="&amp;$C$7,BD!$A$3:$A$5001,"&lt;="&amp;$B141,BD!$P$3:$P$5001,"&lt;&gt;")=0,"",SUMIFS(BD!$P$3:$P$5001,BD!$B$3:$B$5001,C$128,BD!$A$3:$A$5001,_xlfn.MAXIFS(BD!$A$3:$A$5001,BD!$B$3:$B$5001,C$128,BD!$A$3:$A$5001,"&gt;="&amp;$C$7,BD!$A$3:$A$5001,"&lt;="&amp;$B141,BD!$P$3:$P$5001,"&lt;&gt;"))))</f>
        <v/>
      </c>
      <c r="D141" s="54" t="str">
        <f>IF(OR($B141="",$A141&gt;$B$9,D$128=""),"",IF(COUNTIFS(BD!$B$3:$B$5001,D$128,BD!$A$3:$A$5001,"&gt;="&amp;$C$7,BD!$A$3:$A$5001,"&lt;="&amp;$B141,BD!$P$3:$P$5001,"&lt;&gt;")=0,"",SUMIFS(BD!$P$3:$P$5001,BD!$B$3:$B$5001,D$128,BD!$A$3:$A$5001,_xlfn.MAXIFS(BD!$A$3:$A$5001,BD!$B$3:$B$5001,D$128,BD!$A$3:$A$5001,"&gt;="&amp;$C$7,BD!$A$3:$A$5001,"&lt;="&amp;$B141,BD!$P$3:$P$5001,"&lt;&gt;"))))</f>
        <v/>
      </c>
      <c r="E141" s="54" t="str">
        <f>IF(OR($B141="",$A141&gt;$B$9,E$128=""),"",IF(COUNTIFS(BD!$B$3:$B$5001,E$128,BD!$A$3:$A$5001,"&gt;="&amp;$C$7,BD!$A$3:$A$5001,"&lt;="&amp;$B141,BD!$P$3:$P$5001,"&lt;&gt;")=0,"",SUMIFS(BD!$P$3:$P$5001,BD!$B$3:$B$5001,E$128,BD!$A$3:$A$5001,_xlfn.MAXIFS(BD!$A$3:$A$5001,BD!$B$3:$B$5001,E$128,BD!$A$3:$A$5001,"&gt;="&amp;$C$7,BD!$A$3:$A$5001,"&lt;="&amp;$B141,BD!$P$3:$P$5001,"&lt;&gt;"))))</f>
        <v/>
      </c>
      <c r="F141" s="54" t="str">
        <f>IF(OR($B141="",$A141&gt;$B$9,F$128=""),"",IF(COUNTIFS(BD!$B$3:$B$5001,F$128,BD!$A$3:$A$5001,"&gt;="&amp;$C$7,BD!$A$3:$A$5001,"&lt;="&amp;$B141,BD!$P$3:$P$5001,"&lt;&gt;")=0,"",SUMIFS(BD!$P$3:$P$5001,BD!$B$3:$B$5001,F$128,BD!$A$3:$A$5001,_xlfn.MAXIFS(BD!$A$3:$A$5001,BD!$B$3:$B$5001,F$128,BD!$A$3:$A$5001,"&gt;="&amp;$C$7,BD!$A$3:$A$5001,"&lt;="&amp;$B141,BD!$P$3:$P$5001,"&lt;&gt;"))))</f>
        <v/>
      </c>
      <c r="G141" s="54" t="str">
        <f>IF(OR($B141="",$A141&gt;$B$9,G$128=""),"",IF(COUNTIFS(BD!$B$3:$B$5001,G$128,BD!$A$3:$A$5001,"&gt;="&amp;$C$7,BD!$A$3:$A$5001,"&lt;="&amp;$B141,BD!$P$3:$P$5001,"&lt;&gt;")=0,"",SUMIFS(BD!$P$3:$P$5001,BD!$B$3:$B$5001,G$128,BD!$A$3:$A$5001,_xlfn.MAXIFS(BD!$A$3:$A$5001,BD!$B$3:$B$5001,G$128,BD!$A$3:$A$5001,"&gt;="&amp;$C$7,BD!$A$3:$A$5001,"&lt;="&amp;$B141,BD!$P$3:$P$5001,"&lt;&gt;"))))</f>
        <v/>
      </c>
      <c r="H141" s="54" t="str">
        <f>IF(OR($B141="",$A141&gt;$B$9,H$128=""),"",IF(COUNTIFS(BD!$B$3:$B$5001,H$128,BD!$A$3:$A$5001,"&gt;="&amp;$C$7,BD!$A$3:$A$5001,"&lt;="&amp;$B141,BD!$P$3:$P$5001,"&lt;&gt;")=0,"",SUMIFS(BD!$P$3:$P$5001,BD!$B$3:$B$5001,H$128,BD!$A$3:$A$5001,_xlfn.MAXIFS(BD!$A$3:$A$5001,BD!$B$3:$B$5001,H$128,BD!$A$3:$A$5001,"&gt;="&amp;$C$7,BD!$A$3:$A$5001,"&lt;="&amp;$B141,BD!$P$3:$P$5001,"&lt;&gt;"))))</f>
        <v/>
      </c>
      <c r="I141" s="54" t="str">
        <f>IF(OR($B141="",$A141&gt;$B$9,I$128=""),"",IF(COUNTIFS(BD!$B$3:$B$5001,I$128,BD!$A$3:$A$5001,"&gt;="&amp;$C$7,BD!$A$3:$A$5001,"&lt;="&amp;$B141,BD!$P$3:$P$5001,"&lt;&gt;")=0,"",SUMIFS(BD!$P$3:$P$5001,BD!$B$3:$B$5001,I$128,BD!$A$3:$A$5001,_xlfn.MAXIFS(BD!$A$3:$A$5001,BD!$B$3:$B$5001,I$128,BD!$A$3:$A$5001,"&gt;="&amp;$C$7,BD!$A$3:$A$5001,"&lt;="&amp;$B141,BD!$P$3:$P$5001,"&lt;&gt;"))))</f>
        <v/>
      </c>
      <c r="J141" s="54" t="str">
        <f>IF(OR($B141="",$A141&gt;$B$9,J$128=""),"",IF(COUNTIFS(BD!$B$3:$B$5001,J$128,BD!$A$3:$A$5001,"&gt;="&amp;$C$7,BD!$A$3:$A$5001,"&lt;="&amp;$B141,BD!$P$3:$P$5001,"&lt;&gt;")=0,"",SUMIFS(BD!$P$3:$P$5001,BD!$B$3:$B$5001,J$128,BD!$A$3:$A$5001,_xlfn.MAXIFS(BD!$A$3:$A$5001,BD!$B$3:$B$5001,J$128,BD!$A$3:$A$5001,"&gt;="&amp;$C$7,BD!$A$3:$A$5001,"&lt;="&amp;$B141,BD!$P$3:$P$5001,"&lt;&gt;"))))</f>
        <v/>
      </c>
      <c r="K141" s="54" t="str">
        <f>IF(OR($B141="",$A141&gt;$B$9,K$128=""),"",IF(COUNTIFS(BD!$B$3:$B$5001,K$128,BD!$A$3:$A$5001,"&gt;="&amp;$C$7,BD!$A$3:$A$5001,"&lt;="&amp;$B141,BD!$P$3:$P$5001,"&lt;&gt;")=0,"",SUMIFS(BD!$P$3:$P$5001,BD!$B$3:$B$5001,K$128,BD!$A$3:$A$5001,_xlfn.MAXIFS(BD!$A$3:$A$5001,BD!$B$3:$B$5001,K$128,BD!$A$3:$A$5001,"&gt;="&amp;$C$7,BD!$A$3:$A$5001,"&lt;="&amp;$B141,BD!$P$3:$P$5001,"&lt;&gt;"))))</f>
        <v/>
      </c>
      <c r="L141" s="54" t="str">
        <f>IF(OR($B141="",$A141&gt;$B$9,L$128=""),"",IF(COUNTIFS(BD!$B$3:$B$5001,L$128,BD!$A$3:$A$5001,"&gt;="&amp;$C$7,BD!$A$3:$A$5001,"&lt;="&amp;$B141,BD!$P$3:$P$5001,"&lt;&gt;")=0,"",SUMIFS(BD!$P$3:$P$5001,BD!$B$3:$B$5001,L$128,BD!$A$3:$A$5001,_xlfn.MAXIFS(BD!$A$3:$A$5001,BD!$B$3:$B$5001,L$128,BD!$A$3:$A$5001,"&gt;="&amp;$C$7,BD!$A$3:$A$5001,"&lt;="&amp;$B141,BD!$P$3:$P$5001,"&lt;&gt;"))))</f>
        <v/>
      </c>
      <c r="M141" s="54" t="str">
        <f>IF(OR($B141="",$A141&gt;$B$9,M$128=""),"",IF(COUNTIFS(BD!$B$3:$B$5001,M$128,BD!$A$3:$A$5001,"&gt;="&amp;$C$7,BD!$A$3:$A$5001,"&lt;="&amp;$B141,BD!$P$3:$P$5001,"&lt;&gt;")=0,"",SUMIFS(BD!$P$3:$P$5001,BD!$B$3:$B$5001,M$128,BD!$A$3:$A$5001,_xlfn.MAXIFS(BD!$A$3:$A$5001,BD!$B$3:$B$5001,M$128,BD!$A$3:$A$5001,"&gt;="&amp;$C$7,BD!$A$3:$A$5001,"&lt;="&amp;$B141,BD!$P$3:$P$5001,"&lt;&gt;"))))</f>
        <v/>
      </c>
      <c r="N141" s="54" t="str">
        <f>IF(OR($B141="",$A141&gt;$B$9,N$128=""),"",IF(COUNTIFS(BD!$B$3:$B$5001,N$128,BD!$A$3:$A$5001,"&gt;="&amp;$C$7,BD!$A$3:$A$5001,"&lt;="&amp;$B141,BD!$P$3:$P$5001,"&lt;&gt;")=0,"",SUMIFS(BD!$P$3:$P$5001,BD!$B$3:$B$5001,N$128,BD!$A$3:$A$5001,_xlfn.MAXIFS(BD!$A$3:$A$5001,BD!$B$3:$B$5001,N$128,BD!$A$3:$A$5001,"&gt;="&amp;$C$7,BD!$A$3:$A$5001,"&lt;="&amp;$B141,BD!$P$3:$P$5001,"&lt;&gt;"))))</f>
        <v/>
      </c>
      <c r="O141" s="54" t="str">
        <f>IF(OR($B141="",$A141&gt;$B$9,O$128=""),"",IF(COUNTIFS(BD!$B$3:$B$5001,O$128,BD!$A$3:$A$5001,"&gt;="&amp;$C$7,BD!$A$3:$A$5001,"&lt;="&amp;$B141,BD!$P$3:$P$5001,"&lt;&gt;")=0,"",SUMIFS(BD!$P$3:$P$5001,BD!$B$3:$B$5001,O$128,BD!$A$3:$A$5001,_xlfn.MAXIFS(BD!$A$3:$A$5001,BD!$B$3:$B$5001,O$128,BD!$A$3:$A$5001,"&gt;="&amp;$C$7,BD!$A$3:$A$5001,"&lt;="&amp;$B141,BD!$P$3:$P$5001,"&lt;&gt;"))))</f>
        <v/>
      </c>
      <c r="P141" s="54" t="str">
        <f>IF(OR($B141="",$A141&gt;$B$9,P$128=""),"",IF(COUNTIFS(BD!$B$3:$B$5001,P$128,BD!$A$3:$A$5001,"&gt;="&amp;$C$7,BD!$A$3:$A$5001,"&lt;="&amp;$B141,BD!$P$3:$P$5001,"&lt;&gt;")=0,"",SUMIFS(BD!$P$3:$P$5001,BD!$B$3:$B$5001,P$128,BD!$A$3:$A$5001,_xlfn.MAXIFS(BD!$A$3:$A$5001,BD!$B$3:$B$5001,P$128,BD!$A$3:$A$5001,"&gt;="&amp;$C$7,BD!$A$3:$A$5001,"&lt;="&amp;$B141,BD!$P$3:$P$5001,"&lt;&gt;"))))</f>
        <v/>
      </c>
      <c r="Q141" s="54" t="str">
        <f>IF(OR($B141="",$A141&gt;$B$9,Q$128=""),"",IF(COUNTIFS(BD!$B$3:$B$5001,Q$128,BD!$A$3:$A$5001,"&gt;="&amp;$C$7,BD!$A$3:$A$5001,"&lt;="&amp;$B141,BD!$P$3:$P$5001,"&lt;&gt;")=0,"",SUMIFS(BD!$P$3:$P$5001,BD!$B$3:$B$5001,Q$128,BD!$A$3:$A$5001,_xlfn.MAXIFS(BD!$A$3:$A$5001,BD!$B$3:$B$5001,Q$128,BD!$A$3:$A$5001,"&gt;="&amp;$C$7,BD!$A$3:$A$5001,"&lt;="&amp;$B141,BD!$P$3:$P$5001,"&lt;&gt;"))))</f>
        <v/>
      </c>
      <c r="R141" s="54" t="str">
        <f>IF(OR($B141="",$A141&gt;$B$9,R$128=""),"",IF(COUNTIFS(BD!$B$3:$B$5001,R$128,BD!$A$3:$A$5001,"&gt;="&amp;$C$7,BD!$A$3:$A$5001,"&lt;="&amp;$B141,BD!$P$3:$P$5001,"&lt;&gt;")=0,"",SUMIFS(BD!$P$3:$P$5001,BD!$B$3:$B$5001,R$128,BD!$A$3:$A$5001,_xlfn.MAXIFS(BD!$A$3:$A$5001,BD!$B$3:$B$5001,R$128,BD!$A$3:$A$5001,"&gt;="&amp;$C$7,BD!$A$3:$A$5001,"&lt;="&amp;$B141,BD!$P$3:$P$5001,"&lt;&gt;"))))</f>
        <v/>
      </c>
      <c r="S141" s="54" t="str">
        <f>IF(OR($B141="",$A141&gt;$B$9,S$128=""),"",IF(COUNTIFS(BD!$B$3:$B$5001,S$128,BD!$A$3:$A$5001,"&gt;="&amp;$C$7,BD!$A$3:$A$5001,"&lt;="&amp;$B141,BD!$P$3:$P$5001,"&lt;&gt;")=0,"",SUMIFS(BD!$P$3:$P$5001,BD!$B$3:$B$5001,S$128,BD!$A$3:$A$5001,_xlfn.MAXIFS(BD!$A$3:$A$5001,BD!$B$3:$B$5001,S$128,BD!$A$3:$A$5001,"&gt;="&amp;$C$7,BD!$A$3:$A$5001,"&lt;="&amp;$B141,BD!$P$3:$P$5001,"&lt;&gt;"))))</f>
        <v/>
      </c>
      <c r="T141" s="54" t="str">
        <f>IF(OR($B141="",$A141&gt;$B$9,T$128=""),"",IF(COUNTIFS(BD!$B$3:$B$5001,T$128,BD!$A$3:$A$5001,"&gt;="&amp;$C$7,BD!$A$3:$A$5001,"&lt;="&amp;$B141,BD!$P$3:$P$5001,"&lt;&gt;")=0,"",SUMIFS(BD!$P$3:$P$5001,BD!$B$3:$B$5001,T$128,BD!$A$3:$A$5001,_xlfn.MAXIFS(BD!$A$3:$A$5001,BD!$B$3:$B$5001,T$128,BD!$A$3:$A$5001,"&gt;="&amp;$C$7,BD!$A$3:$A$5001,"&lt;="&amp;$B141,BD!$P$3:$P$5001,"&lt;&gt;"))))</f>
        <v/>
      </c>
      <c r="U141" s="54" t="str">
        <f>IF(OR($B141="",$A141&gt;$B$9,U$128=""),"",IF(COUNTIFS(BD!$B$3:$B$5001,U$128,BD!$A$3:$A$5001,"&gt;="&amp;$C$7,BD!$A$3:$A$5001,"&lt;="&amp;$B141,BD!$P$3:$P$5001,"&lt;&gt;")=0,"",SUMIFS(BD!$P$3:$P$5001,BD!$B$3:$B$5001,U$128,BD!$A$3:$A$5001,_xlfn.MAXIFS(BD!$A$3:$A$5001,BD!$B$3:$B$5001,U$128,BD!$A$3:$A$5001,"&gt;="&amp;$C$7,BD!$A$3:$A$5001,"&lt;="&amp;$B141,BD!$P$3:$P$5001,"&lt;&gt;"))))</f>
        <v/>
      </c>
      <c r="V141" s="54" t="str">
        <f>IF(OR($B141="",$A141&gt;$B$9,V$128=""),"",IF(COUNTIFS(BD!$B$3:$B$5001,V$128,BD!$A$3:$A$5001,"&gt;="&amp;$C$7,BD!$A$3:$A$5001,"&lt;="&amp;$B141,BD!$P$3:$P$5001,"&lt;&gt;")=0,"",SUMIFS(BD!$P$3:$P$5001,BD!$B$3:$B$5001,V$128,BD!$A$3:$A$5001,_xlfn.MAXIFS(BD!$A$3:$A$5001,BD!$B$3:$B$5001,V$128,BD!$A$3:$A$5001,"&gt;="&amp;$C$7,BD!$A$3:$A$5001,"&lt;="&amp;$B141,BD!$P$3:$P$5001,"&lt;&gt;"))))</f>
        <v/>
      </c>
    </row>
    <row r="142">
      <c r="A142" s="48">
        <v>14</v>
      </c>
      <c r="B142" s="53">
        <f>$B$25</f>
        <v>46309</v>
      </c>
      <c r="C142" s="54" t="str">
        <f>IF(OR($B142="",$A142&gt;$B$9,C$128=""),"",IF(COUNTIFS(BD!$B$3:$B$5001,C$128,BD!$A$3:$A$5001,"&gt;="&amp;$C$7,BD!$A$3:$A$5001,"&lt;="&amp;$B142,BD!$P$3:$P$5001,"&lt;&gt;")=0,"",SUMIFS(BD!$P$3:$P$5001,BD!$B$3:$B$5001,C$128,BD!$A$3:$A$5001,_xlfn.MAXIFS(BD!$A$3:$A$5001,BD!$B$3:$B$5001,C$128,BD!$A$3:$A$5001,"&gt;="&amp;$C$7,BD!$A$3:$A$5001,"&lt;="&amp;$B142,BD!$P$3:$P$5001,"&lt;&gt;"))))</f>
        <v/>
      </c>
      <c r="D142" s="54" t="str">
        <f>IF(OR($B142="",$A142&gt;$B$9,D$128=""),"",IF(COUNTIFS(BD!$B$3:$B$5001,D$128,BD!$A$3:$A$5001,"&gt;="&amp;$C$7,BD!$A$3:$A$5001,"&lt;="&amp;$B142,BD!$P$3:$P$5001,"&lt;&gt;")=0,"",SUMIFS(BD!$P$3:$P$5001,BD!$B$3:$B$5001,D$128,BD!$A$3:$A$5001,_xlfn.MAXIFS(BD!$A$3:$A$5001,BD!$B$3:$B$5001,D$128,BD!$A$3:$A$5001,"&gt;="&amp;$C$7,BD!$A$3:$A$5001,"&lt;="&amp;$B142,BD!$P$3:$P$5001,"&lt;&gt;"))))</f>
        <v/>
      </c>
      <c r="E142" s="54" t="str">
        <f>IF(OR($B142="",$A142&gt;$B$9,E$128=""),"",IF(COUNTIFS(BD!$B$3:$B$5001,E$128,BD!$A$3:$A$5001,"&gt;="&amp;$C$7,BD!$A$3:$A$5001,"&lt;="&amp;$B142,BD!$P$3:$P$5001,"&lt;&gt;")=0,"",SUMIFS(BD!$P$3:$P$5001,BD!$B$3:$B$5001,E$128,BD!$A$3:$A$5001,_xlfn.MAXIFS(BD!$A$3:$A$5001,BD!$B$3:$B$5001,E$128,BD!$A$3:$A$5001,"&gt;="&amp;$C$7,BD!$A$3:$A$5001,"&lt;="&amp;$B142,BD!$P$3:$P$5001,"&lt;&gt;"))))</f>
        <v/>
      </c>
      <c r="F142" s="54" t="str">
        <f>IF(OR($B142="",$A142&gt;$B$9,F$128=""),"",IF(COUNTIFS(BD!$B$3:$B$5001,F$128,BD!$A$3:$A$5001,"&gt;="&amp;$C$7,BD!$A$3:$A$5001,"&lt;="&amp;$B142,BD!$P$3:$P$5001,"&lt;&gt;")=0,"",SUMIFS(BD!$P$3:$P$5001,BD!$B$3:$B$5001,F$128,BD!$A$3:$A$5001,_xlfn.MAXIFS(BD!$A$3:$A$5001,BD!$B$3:$B$5001,F$128,BD!$A$3:$A$5001,"&gt;="&amp;$C$7,BD!$A$3:$A$5001,"&lt;="&amp;$B142,BD!$P$3:$P$5001,"&lt;&gt;"))))</f>
        <v/>
      </c>
      <c r="G142" s="54" t="str">
        <f>IF(OR($B142="",$A142&gt;$B$9,G$128=""),"",IF(COUNTIFS(BD!$B$3:$B$5001,G$128,BD!$A$3:$A$5001,"&gt;="&amp;$C$7,BD!$A$3:$A$5001,"&lt;="&amp;$B142,BD!$P$3:$P$5001,"&lt;&gt;")=0,"",SUMIFS(BD!$P$3:$P$5001,BD!$B$3:$B$5001,G$128,BD!$A$3:$A$5001,_xlfn.MAXIFS(BD!$A$3:$A$5001,BD!$B$3:$B$5001,G$128,BD!$A$3:$A$5001,"&gt;="&amp;$C$7,BD!$A$3:$A$5001,"&lt;="&amp;$B142,BD!$P$3:$P$5001,"&lt;&gt;"))))</f>
        <v/>
      </c>
      <c r="H142" s="54" t="str">
        <f>IF(OR($B142="",$A142&gt;$B$9,H$128=""),"",IF(COUNTIFS(BD!$B$3:$B$5001,H$128,BD!$A$3:$A$5001,"&gt;="&amp;$C$7,BD!$A$3:$A$5001,"&lt;="&amp;$B142,BD!$P$3:$P$5001,"&lt;&gt;")=0,"",SUMIFS(BD!$P$3:$P$5001,BD!$B$3:$B$5001,H$128,BD!$A$3:$A$5001,_xlfn.MAXIFS(BD!$A$3:$A$5001,BD!$B$3:$B$5001,H$128,BD!$A$3:$A$5001,"&gt;="&amp;$C$7,BD!$A$3:$A$5001,"&lt;="&amp;$B142,BD!$P$3:$P$5001,"&lt;&gt;"))))</f>
        <v/>
      </c>
      <c r="I142" s="54" t="str">
        <f>IF(OR($B142="",$A142&gt;$B$9,I$128=""),"",IF(COUNTIFS(BD!$B$3:$B$5001,I$128,BD!$A$3:$A$5001,"&gt;="&amp;$C$7,BD!$A$3:$A$5001,"&lt;="&amp;$B142,BD!$P$3:$P$5001,"&lt;&gt;")=0,"",SUMIFS(BD!$P$3:$P$5001,BD!$B$3:$B$5001,I$128,BD!$A$3:$A$5001,_xlfn.MAXIFS(BD!$A$3:$A$5001,BD!$B$3:$B$5001,I$128,BD!$A$3:$A$5001,"&gt;="&amp;$C$7,BD!$A$3:$A$5001,"&lt;="&amp;$B142,BD!$P$3:$P$5001,"&lt;&gt;"))))</f>
        <v/>
      </c>
      <c r="J142" s="54" t="str">
        <f>IF(OR($B142="",$A142&gt;$B$9,J$128=""),"",IF(COUNTIFS(BD!$B$3:$B$5001,J$128,BD!$A$3:$A$5001,"&gt;="&amp;$C$7,BD!$A$3:$A$5001,"&lt;="&amp;$B142,BD!$P$3:$P$5001,"&lt;&gt;")=0,"",SUMIFS(BD!$P$3:$P$5001,BD!$B$3:$B$5001,J$128,BD!$A$3:$A$5001,_xlfn.MAXIFS(BD!$A$3:$A$5001,BD!$B$3:$B$5001,J$128,BD!$A$3:$A$5001,"&gt;="&amp;$C$7,BD!$A$3:$A$5001,"&lt;="&amp;$B142,BD!$P$3:$P$5001,"&lt;&gt;"))))</f>
        <v/>
      </c>
      <c r="K142" s="54" t="str">
        <f>IF(OR($B142="",$A142&gt;$B$9,K$128=""),"",IF(COUNTIFS(BD!$B$3:$B$5001,K$128,BD!$A$3:$A$5001,"&gt;="&amp;$C$7,BD!$A$3:$A$5001,"&lt;="&amp;$B142,BD!$P$3:$P$5001,"&lt;&gt;")=0,"",SUMIFS(BD!$P$3:$P$5001,BD!$B$3:$B$5001,K$128,BD!$A$3:$A$5001,_xlfn.MAXIFS(BD!$A$3:$A$5001,BD!$B$3:$B$5001,K$128,BD!$A$3:$A$5001,"&gt;="&amp;$C$7,BD!$A$3:$A$5001,"&lt;="&amp;$B142,BD!$P$3:$P$5001,"&lt;&gt;"))))</f>
        <v/>
      </c>
      <c r="L142" s="54" t="str">
        <f>IF(OR($B142="",$A142&gt;$B$9,L$128=""),"",IF(COUNTIFS(BD!$B$3:$B$5001,L$128,BD!$A$3:$A$5001,"&gt;="&amp;$C$7,BD!$A$3:$A$5001,"&lt;="&amp;$B142,BD!$P$3:$P$5001,"&lt;&gt;")=0,"",SUMIFS(BD!$P$3:$P$5001,BD!$B$3:$B$5001,L$128,BD!$A$3:$A$5001,_xlfn.MAXIFS(BD!$A$3:$A$5001,BD!$B$3:$B$5001,L$128,BD!$A$3:$A$5001,"&gt;="&amp;$C$7,BD!$A$3:$A$5001,"&lt;="&amp;$B142,BD!$P$3:$P$5001,"&lt;&gt;"))))</f>
        <v/>
      </c>
      <c r="M142" s="54" t="str">
        <f>IF(OR($B142="",$A142&gt;$B$9,M$128=""),"",IF(COUNTIFS(BD!$B$3:$B$5001,M$128,BD!$A$3:$A$5001,"&gt;="&amp;$C$7,BD!$A$3:$A$5001,"&lt;="&amp;$B142,BD!$P$3:$P$5001,"&lt;&gt;")=0,"",SUMIFS(BD!$P$3:$P$5001,BD!$B$3:$B$5001,M$128,BD!$A$3:$A$5001,_xlfn.MAXIFS(BD!$A$3:$A$5001,BD!$B$3:$B$5001,M$128,BD!$A$3:$A$5001,"&gt;="&amp;$C$7,BD!$A$3:$A$5001,"&lt;="&amp;$B142,BD!$P$3:$P$5001,"&lt;&gt;"))))</f>
        <v/>
      </c>
      <c r="N142" s="54" t="str">
        <f>IF(OR($B142="",$A142&gt;$B$9,N$128=""),"",IF(COUNTIFS(BD!$B$3:$B$5001,N$128,BD!$A$3:$A$5001,"&gt;="&amp;$C$7,BD!$A$3:$A$5001,"&lt;="&amp;$B142,BD!$P$3:$P$5001,"&lt;&gt;")=0,"",SUMIFS(BD!$P$3:$P$5001,BD!$B$3:$B$5001,N$128,BD!$A$3:$A$5001,_xlfn.MAXIFS(BD!$A$3:$A$5001,BD!$B$3:$B$5001,N$128,BD!$A$3:$A$5001,"&gt;="&amp;$C$7,BD!$A$3:$A$5001,"&lt;="&amp;$B142,BD!$P$3:$P$5001,"&lt;&gt;"))))</f>
        <v/>
      </c>
      <c r="O142" s="54" t="str">
        <f>IF(OR($B142="",$A142&gt;$B$9,O$128=""),"",IF(COUNTIFS(BD!$B$3:$B$5001,O$128,BD!$A$3:$A$5001,"&gt;="&amp;$C$7,BD!$A$3:$A$5001,"&lt;="&amp;$B142,BD!$P$3:$P$5001,"&lt;&gt;")=0,"",SUMIFS(BD!$P$3:$P$5001,BD!$B$3:$B$5001,O$128,BD!$A$3:$A$5001,_xlfn.MAXIFS(BD!$A$3:$A$5001,BD!$B$3:$B$5001,O$128,BD!$A$3:$A$5001,"&gt;="&amp;$C$7,BD!$A$3:$A$5001,"&lt;="&amp;$B142,BD!$P$3:$P$5001,"&lt;&gt;"))))</f>
        <v/>
      </c>
      <c r="P142" s="54" t="str">
        <f>IF(OR($B142="",$A142&gt;$B$9,P$128=""),"",IF(COUNTIFS(BD!$B$3:$B$5001,P$128,BD!$A$3:$A$5001,"&gt;="&amp;$C$7,BD!$A$3:$A$5001,"&lt;="&amp;$B142,BD!$P$3:$P$5001,"&lt;&gt;")=0,"",SUMIFS(BD!$P$3:$P$5001,BD!$B$3:$B$5001,P$128,BD!$A$3:$A$5001,_xlfn.MAXIFS(BD!$A$3:$A$5001,BD!$B$3:$B$5001,P$128,BD!$A$3:$A$5001,"&gt;="&amp;$C$7,BD!$A$3:$A$5001,"&lt;="&amp;$B142,BD!$P$3:$P$5001,"&lt;&gt;"))))</f>
        <v/>
      </c>
      <c r="Q142" s="54" t="str">
        <f>IF(OR($B142="",$A142&gt;$B$9,Q$128=""),"",IF(COUNTIFS(BD!$B$3:$B$5001,Q$128,BD!$A$3:$A$5001,"&gt;="&amp;$C$7,BD!$A$3:$A$5001,"&lt;="&amp;$B142,BD!$P$3:$P$5001,"&lt;&gt;")=0,"",SUMIFS(BD!$P$3:$P$5001,BD!$B$3:$B$5001,Q$128,BD!$A$3:$A$5001,_xlfn.MAXIFS(BD!$A$3:$A$5001,BD!$B$3:$B$5001,Q$128,BD!$A$3:$A$5001,"&gt;="&amp;$C$7,BD!$A$3:$A$5001,"&lt;="&amp;$B142,BD!$P$3:$P$5001,"&lt;&gt;"))))</f>
        <v/>
      </c>
      <c r="R142" s="54" t="str">
        <f>IF(OR($B142="",$A142&gt;$B$9,R$128=""),"",IF(COUNTIFS(BD!$B$3:$B$5001,R$128,BD!$A$3:$A$5001,"&gt;="&amp;$C$7,BD!$A$3:$A$5001,"&lt;="&amp;$B142,BD!$P$3:$P$5001,"&lt;&gt;")=0,"",SUMIFS(BD!$P$3:$P$5001,BD!$B$3:$B$5001,R$128,BD!$A$3:$A$5001,_xlfn.MAXIFS(BD!$A$3:$A$5001,BD!$B$3:$B$5001,R$128,BD!$A$3:$A$5001,"&gt;="&amp;$C$7,BD!$A$3:$A$5001,"&lt;="&amp;$B142,BD!$P$3:$P$5001,"&lt;&gt;"))))</f>
        <v/>
      </c>
      <c r="S142" s="54" t="str">
        <f>IF(OR($B142="",$A142&gt;$B$9,S$128=""),"",IF(COUNTIFS(BD!$B$3:$B$5001,S$128,BD!$A$3:$A$5001,"&gt;="&amp;$C$7,BD!$A$3:$A$5001,"&lt;="&amp;$B142,BD!$P$3:$P$5001,"&lt;&gt;")=0,"",SUMIFS(BD!$P$3:$P$5001,BD!$B$3:$B$5001,S$128,BD!$A$3:$A$5001,_xlfn.MAXIFS(BD!$A$3:$A$5001,BD!$B$3:$B$5001,S$128,BD!$A$3:$A$5001,"&gt;="&amp;$C$7,BD!$A$3:$A$5001,"&lt;="&amp;$B142,BD!$P$3:$P$5001,"&lt;&gt;"))))</f>
        <v/>
      </c>
      <c r="T142" s="54" t="str">
        <f>IF(OR($B142="",$A142&gt;$B$9,T$128=""),"",IF(COUNTIFS(BD!$B$3:$B$5001,T$128,BD!$A$3:$A$5001,"&gt;="&amp;$C$7,BD!$A$3:$A$5001,"&lt;="&amp;$B142,BD!$P$3:$P$5001,"&lt;&gt;")=0,"",SUMIFS(BD!$P$3:$P$5001,BD!$B$3:$B$5001,T$128,BD!$A$3:$A$5001,_xlfn.MAXIFS(BD!$A$3:$A$5001,BD!$B$3:$B$5001,T$128,BD!$A$3:$A$5001,"&gt;="&amp;$C$7,BD!$A$3:$A$5001,"&lt;="&amp;$B142,BD!$P$3:$P$5001,"&lt;&gt;"))))</f>
        <v/>
      </c>
      <c r="U142" s="54" t="str">
        <f>IF(OR($B142="",$A142&gt;$B$9,U$128=""),"",IF(COUNTIFS(BD!$B$3:$B$5001,U$128,BD!$A$3:$A$5001,"&gt;="&amp;$C$7,BD!$A$3:$A$5001,"&lt;="&amp;$B142,BD!$P$3:$P$5001,"&lt;&gt;")=0,"",SUMIFS(BD!$P$3:$P$5001,BD!$B$3:$B$5001,U$128,BD!$A$3:$A$5001,_xlfn.MAXIFS(BD!$A$3:$A$5001,BD!$B$3:$B$5001,U$128,BD!$A$3:$A$5001,"&gt;="&amp;$C$7,BD!$A$3:$A$5001,"&lt;="&amp;$B142,BD!$P$3:$P$5001,"&lt;&gt;"))))</f>
        <v/>
      </c>
      <c r="V142" s="54" t="str">
        <f>IF(OR($B142="",$A142&gt;$B$9,V$128=""),"",IF(COUNTIFS(BD!$B$3:$B$5001,V$128,BD!$A$3:$A$5001,"&gt;="&amp;$C$7,BD!$A$3:$A$5001,"&lt;="&amp;$B142,BD!$P$3:$P$5001,"&lt;&gt;")=0,"",SUMIFS(BD!$P$3:$P$5001,BD!$B$3:$B$5001,V$128,BD!$A$3:$A$5001,_xlfn.MAXIFS(BD!$A$3:$A$5001,BD!$B$3:$B$5001,V$128,BD!$A$3:$A$5001,"&gt;="&amp;$C$7,BD!$A$3:$A$5001,"&lt;="&amp;$B142,BD!$P$3:$P$5001,"&lt;&gt;"))))</f>
        <v/>
      </c>
    </row>
    <row r="143">
      <c r="A143" s="48">
        <v>15</v>
      </c>
      <c r="B143" s="53">
        <f>$B$26</f>
        <v>46310</v>
      </c>
      <c r="C143" s="54" t="str">
        <f>IF(OR($B143="",$A143&gt;$B$9,C$128=""),"",IF(COUNTIFS(BD!$B$3:$B$5001,C$128,BD!$A$3:$A$5001,"&gt;="&amp;$C$7,BD!$A$3:$A$5001,"&lt;="&amp;$B143,BD!$P$3:$P$5001,"&lt;&gt;")=0,"",SUMIFS(BD!$P$3:$P$5001,BD!$B$3:$B$5001,C$128,BD!$A$3:$A$5001,_xlfn.MAXIFS(BD!$A$3:$A$5001,BD!$B$3:$B$5001,C$128,BD!$A$3:$A$5001,"&gt;="&amp;$C$7,BD!$A$3:$A$5001,"&lt;="&amp;$B143,BD!$P$3:$P$5001,"&lt;&gt;"))))</f>
        <v/>
      </c>
      <c r="D143" s="54" t="str">
        <f>IF(OR($B143="",$A143&gt;$B$9,D$128=""),"",IF(COUNTIFS(BD!$B$3:$B$5001,D$128,BD!$A$3:$A$5001,"&gt;="&amp;$C$7,BD!$A$3:$A$5001,"&lt;="&amp;$B143,BD!$P$3:$P$5001,"&lt;&gt;")=0,"",SUMIFS(BD!$P$3:$P$5001,BD!$B$3:$B$5001,D$128,BD!$A$3:$A$5001,_xlfn.MAXIFS(BD!$A$3:$A$5001,BD!$B$3:$B$5001,D$128,BD!$A$3:$A$5001,"&gt;="&amp;$C$7,BD!$A$3:$A$5001,"&lt;="&amp;$B143,BD!$P$3:$P$5001,"&lt;&gt;"))))</f>
        <v/>
      </c>
      <c r="E143" s="54" t="str">
        <f>IF(OR($B143="",$A143&gt;$B$9,E$128=""),"",IF(COUNTIFS(BD!$B$3:$B$5001,E$128,BD!$A$3:$A$5001,"&gt;="&amp;$C$7,BD!$A$3:$A$5001,"&lt;="&amp;$B143,BD!$P$3:$P$5001,"&lt;&gt;")=0,"",SUMIFS(BD!$P$3:$P$5001,BD!$B$3:$B$5001,E$128,BD!$A$3:$A$5001,_xlfn.MAXIFS(BD!$A$3:$A$5001,BD!$B$3:$B$5001,E$128,BD!$A$3:$A$5001,"&gt;="&amp;$C$7,BD!$A$3:$A$5001,"&lt;="&amp;$B143,BD!$P$3:$P$5001,"&lt;&gt;"))))</f>
        <v/>
      </c>
      <c r="F143" s="54" t="str">
        <f>IF(OR($B143="",$A143&gt;$B$9,F$128=""),"",IF(COUNTIFS(BD!$B$3:$B$5001,F$128,BD!$A$3:$A$5001,"&gt;="&amp;$C$7,BD!$A$3:$A$5001,"&lt;="&amp;$B143,BD!$P$3:$P$5001,"&lt;&gt;")=0,"",SUMIFS(BD!$P$3:$P$5001,BD!$B$3:$B$5001,F$128,BD!$A$3:$A$5001,_xlfn.MAXIFS(BD!$A$3:$A$5001,BD!$B$3:$B$5001,F$128,BD!$A$3:$A$5001,"&gt;="&amp;$C$7,BD!$A$3:$A$5001,"&lt;="&amp;$B143,BD!$P$3:$P$5001,"&lt;&gt;"))))</f>
        <v/>
      </c>
      <c r="G143" s="54" t="str">
        <f>IF(OR($B143="",$A143&gt;$B$9,G$128=""),"",IF(COUNTIFS(BD!$B$3:$B$5001,G$128,BD!$A$3:$A$5001,"&gt;="&amp;$C$7,BD!$A$3:$A$5001,"&lt;="&amp;$B143,BD!$P$3:$P$5001,"&lt;&gt;")=0,"",SUMIFS(BD!$P$3:$P$5001,BD!$B$3:$B$5001,G$128,BD!$A$3:$A$5001,_xlfn.MAXIFS(BD!$A$3:$A$5001,BD!$B$3:$B$5001,G$128,BD!$A$3:$A$5001,"&gt;="&amp;$C$7,BD!$A$3:$A$5001,"&lt;="&amp;$B143,BD!$P$3:$P$5001,"&lt;&gt;"))))</f>
        <v/>
      </c>
      <c r="H143" s="54" t="str">
        <f>IF(OR($B143="",$A143&gt;$B$9,H$128=""),"",IF(COUNTIFS(BD!$B$3:$B$5001,H$128,BD!$A$3:$A$5001,"&gt;="&amp;$C$7,BD!$A$3:$A$5001,"&lt;="&amp;$B143,BD!$P$3:$P$5001,"&lt;&gt;")=0,"",SUMIFS(BD!$P$3:$P$5001,BD!$B$3:$B$5001,H$128,BD!$A$3:$A$5001,_xlfn.MAXIFS(BD!$A$3:$A$5001,BD!$B$3:$B$5001,H$128,BD!$A$3:$A$5001,"&gt;="&amp;$C$7,BD!$A$3:$A$5001,"&lt;="&amp;$B143,BD!$P$3:$P$5001,"&lt;&gt;"))))</f>
        <v/>
      </c>
      <c r="I143" s="54" t="str">
        <f>IF(OR($B143="",$A143&gt;$B$9,I$128=""),"",IF(COUNTIFS(BD!$B$3:$B$5001,I$128,BD!$A$3:$A$5001,"&gt;="&amp;$C$7,BD!$A$3:$A$5001,"&lt;="&amp;$B143,BD!$P$3:$P$5001,"&lt;&gt;")=0,"",SUMIFS(BD!$P$3:$P$5001,BD!$B$3:$B$5001,I$128,BD!$A$3:$A$5001,_xlfn.MAXIFS(BD!$A$3:$A$5001,BD!$B$3:$B$5001,I$128,BD!$A$3:$A$5001,"&gt;="&amp;$C$7,BD!$A$3:$A$5001,"&lt;="&amp;$B143,BD!$P$3:$P$5001,"&lt;&gt;"))))</f>
        <v/>
      </c>
      <c r="J143" s="54" t="str">
        <f>IF(OR($B143="",$A143&gt;$B$9,J$128=""),"",IF(COUNTIFS(BD!$B$3:$B$5001,J$128,BD!$A$3:$A$5001,"&gt;="&amp;$C$7,BD!$A$3:$A$5001,"&lt;="&amp;$B143,BD!$P$3:$P$5001,"&lt;&gt;")=0,"",SUMIFS(BD!$P$3:$P$5001,BD!$B$3:$B$5001,J$128,BD!$A$3:$A$5001,_xlfn.MAXIFS(BD!$A$3:$A$5001,BD!$B$3:$B$5001,J$128,BD!$A$3:$A$5001,"&gt;="&amp;$C$7,BD!$A$3:$A$5001,"&lt;="&amp;$B143,BD!$P$3:$P$5001,"&lt;&gt;"))))</f>
        <v/>
      </c>
      <c r="K143" s="54" t="str">
        <f>IF(OR($B143="",$A143&gt;$B$9,K$128=""),"",IF(COUNTIFS(BD!$B$3:$B$5001,K$128,BD!$A$3:$A$5001,"&gt;="&amp;$C$7,BD!$A$3:$A$5001,"&lt;="&amp;$B143,BD!$P$3:$P$5001,"&lt;&gt;")=0,"",SUMIFS(BD!$P$3:$P$5001,BD!$B$3:$B$5001,K$128,BD!$A$3:$A$5001,_xlfn.MAXIFS(BD!$A$3:$A$5001,BD!$B$3:$B$5001,K$128,BD!$A$3:$A$5001,"&gt;="&amp;$C$7,BD!$A$3:$A$5001,"&lt;="&amp;$B143,BD!$P$3:$P$5001,"&lt;&gt;"))))</f>
        <v/>
      </c>
      <c r="L143" s="54" t="str">
        <f>IF(OR($B143="",$A143&gt;$B$9,L$128=""),"",IF(COUNTIFS(BD!$B$3:$B$5001,L$128,BD!$A$3:$A$5001,"&gt;="&amp;$C$7,BD!$A$3:$A$5001,"&lt;="&amp;$B143,BD!$P$3:$P$5001,"&lt;&gt;")=0,"",SUMIFS(BD!$P$3:$P$5001,BD!$B$3:$B$5001,L$128,BD!$A$3:$A$5001,_xlfn.MAXIFS(BD!$A$3:$A$5001,BD!$B$3:$B$5001,L$128,BD!$A$3:$A$5001,"&gt;="&amp;$C$7,BD!$A$3:$A$5001,"&lt;="&amp;$B143,BD!$P$3:$P$5001,"&lt;&gt;"))))</f>
        <v/>
      </c>
      <c r="M143" s="54" t="str">
        <f>IF(OR($B143="",$A143&gt;$B$9,M$128=""),"",IF(COUNTIFS(BD!$B$3:$B$5001,M$128,BD!$A$3:$A$5001,"&gt;="&amp;$C$7,BD!$A$3:$A$5001,"&lt;="&amp;$B143,BD!$P$3:$P$5001,"&lt;&gt;")=0,"",SUMIFS(BD!$P$3:$P$5001,BD!$B$3:$B$5001,M$128,BD!$A$3:$A$5001,_xlfn.MAXIFS(BD!$A$3:$A$5001,BD!$B$3:$B$5001,M$128,BD!$A$3:$A$5001,"&gt;="&amp;$C$7,BD!$A$3:$A$5001,"&lt;="&amp;$B143,BD!$P$3:$P$5001,"&lt;&gt;"))))</f>
        <v/>
      </c>
      <c r="N143" s="54" t="str">
        <f>IF(OR($B143="",$A143&gt;$B$9,N$128=""),"",IF(COUNTIFS(BD!$B$3:$B$5001,N$128,BD!$A$3:$A$5001,"&gt;="&amp;$C$7,BD!$A$3:$A$5001,"&lt;="&amp;$B143,BD!$P$3:$P$5001,"&lt;&gt;")=0,"",SUMIFS(BD!$P$3:$P$5001,BD!$B$3:$B$5001,N$128,BD!$A$3:$A$5001,_xlfn.MAXIFS(BD!$A$3:$A$5001,BD!$B$3:$B$5001,N$128,BD!$A$3:$A$5001,"&gt;="&amp;$C$7,BD!$A$3:$A$5001,"&lt;="&amp;$B143,BD!$P$3:$P$5001,"&lt;&gt;"))))</f>
        <v/>
      </c>
      <c r="O143" s="54" t="str">
        <f>IF(OR($B143="",$A143&gt;$B$9,O$128=""),"",IF(COUNTIFS(BD!$B$3:$B$5001,O$128,BD!$A$3:$A$5001,"&gt;="&amp;$C$7,BD!$A$3:$A$5001,"&lt;="&amp;$B143,BD!$P$3:$P$5001,"&lt;&gt;")=0,"",SUMIFS(BD!$P$3:$P$5001,BD!$B$3:$B$5001,O$128,BD!$A$3:$A$5001,_xlfn.MAXIFS(BD!$A$3:$A$5001,BD!$B$3:$B$5001,O$128,BD!$A$3:$A$5001,"&gt;="&amp;$C$7,BD!$A$3:$A$5001,"&lt;="&amp;$B143,BD!$P$3:$P$5001,"&lt;&gt;"))))</f>
        <v/>
      </c>
      <c r="P143" s="54" t="str">
        <f>IF(OR($B143="",$A143&gt;$B$9,P$128=""),"",IF(COUNTIFS(BD!$B$3:$B$5001,P$128,BD!$A$3:$A$5001,"&gt;="&amp;$C$7,BD!$A$3:$A$5001,"&lt;="&amp;$B143,BD!$P$3:$P$5001,"&lt;&gt;")=0,"",SUMIFS(BD!$P$3:$P$5001,BD!$B$3:$B$5001,P$128,BD!$A$3:$A$5001,_xlfn.MAXIFS(BD!$A$3:$A$5001,BD!$B$3:$B$5001,P$128,BD!$A$3:$A$5001,"&gt;="&amp;$C$7,BD!$A$3:$A$5001,"&lt;="&amp;$B143,BD!$P$3:$P$5001,"&lt;&gt;"))))</f>
        <v/>
      </c>
      <c r="Q143" s="54" t="str">
        <f>IF(OR($B143="",$A143&gt;$B$9,Q$128=""),"",IF(COUNTIFS(BD!$B$3:$B$5001,Q$128,BD!$A$3:$A$5001,"&gt;="&amp;$C$7,BD!$A$3:$A$5001,"&lt;="&amp;$B143,BD!$P$3:$P$5001,"&lt;&gt;")=0,"",SUMIFS(BD!$P$3:$P$5001,BD!$B$3:$B$5001,Q$128,BD!$A$3:$A$5001,_xlfn.MAXIFS(BD!$A$3:$A$5001,BD!$B$3:$B$5001,Q$128,BD!$A$3:$A$5001,"&gt;="&amp;$C$7,BD!$A$3:$A$5001,"&lt;="&amp;$B143,BD!$P$3:$P$5001,"&lt;&gt;"))))</f>
        <v/>
      </c>
      <c r="R143" s="54" t="str">
        <f>IF(OR($B143="",$A143&gt;$B$9,R$128=""),"",IF(COUNTIFS(BD!$B$3:$B$5001,R$128,BD!$A$3:$A$5001,"&gt;="&amp;$C$7,BD!$A$3:$A$5001,"&lt;="&amp;$B143,BD!$P$3:$P$5001,"&lt;&gt;")=0,"",SUMIFS(BD!$P$3:$P$5001,BD!$B$3:$B$5001,R$128,BD!$A$3:$A$5001,_xlfn.MAXIFS(BD!$A$3:$A$5001,BD!$B$3:$B$5001,R$128,BD!$A$3:$A$5001,"&gt;="&amp;$C$7,BD!$A$3:$A$5001,"&lt;="&amp;$B143,BD!$P$3:$P$5001,"&lt;&gt;"))))</f>
        <v/>
      </c>
      <c r="S143" s="54" t="str">
        <f>IF(OR($B143="",$A143&gt;$B$9,S$128=""),"",IF(COUNTIFS(BD!$B$3:$B$5001,S$128,BD!$A$3:$A$5001,"&gt;="&amp;$C$7,BD!$A$3:$A$5001,"&lt;="&amp;$B143,BD!$P$3:$P$5001,"&lt;&gt;")=0,"",SUMIFS(BD!$P$3:$P$5001,BD!$B$3:$B$5001,S$128,BD!$A$3:$A$5001,_xlfn.MAXIFS(BD!$A$3:$A$5001,BD!$B$3:$B$5001,S$128,BD!$A$3:$A$5001,"&gt;="&amp;$C$7,BD!$A$3:$A$5001,"&lt;="&amp;$B143,BD!$P$3:$P$5001,"&lt;&gt;"))))</f>
        <v/>
      </c>
      <c r="T143" s="54" t="str">
        <f>IF(OR($B143="",$A143&gt;$B$9,T$128=""),"",IF(COUNTIFS(BD!$B$3:$B$5001,T$128,BD!$A$3:$A$5001,"&gt;="&amp;$C$7,BD!$A$3:$A$5001,"&lt;="&amp;$B143,BD!$P$3:$P$5001,"&lt;&gt;")=0,"",SUMIFS(BD!$P$3:$P$5001,BD!$B$3:$B$5001,T$128,BD!$A$3:$A$5001,_xlfn.MAXIFS(BD!$A$3:$A$5001,BD!$B$3:$B$5001,T$128,BD!$A$3:$A$5001,"&gt;="&amp;$C$7,BD!$A$3:$A$5001,"&lt;="&amp;$B143,BD!$P$3:$P$5001,"&lt;&gt;"))))</f>
        <v/>
      </c>
      <c r="U143" s="54" t="str">
        <f>IF(OR($B143="",$A143&gt;$B$9,U$128=""),"",IF(COUNTIFS(BD!$B$3:$B$5001,U$128,BD!$A$3:$A$5001,"&gt;="&amp;$C$7,BD!$A$3:$A$5001,"&lt;="&amp;$B143,BD!$P$3:$P$5001,"&lt;&gt;")=0,"",SUMIFS(BD!$P$3:$P$5001,BD!$B$3:$B$5001,U$128,BD!$A$3:$A$5001,_xlfn.MAXIFS(BD!$A$3:$A$5001,BD!$B$3:$B$5001,U$128,BD!$A$3:$A$5001,"&gt;="&amp;$C$7,BD!$A$3:$A$5001,"&lt;="&amp;$B143,BD!$P$3:$P$5001,"&lt;&gt;"))))</f>
        <v/>
      </c>
      <c r="V143" s="54" t="str">
        <f>IF(OR($B143="",$A143&gt;$B$9,V$128=""),"",IF(COUNTIFS(BD!$B$3:$B$5001,V$128,BD!$A$3:$A$5001,"&gt;="&amp;$C$7,BD!$A$3:$A$5001,"&lt;="&amp;$B143,BD!$P$3:$P$5001,"&lt;&gt;")=0,"",SUMIFS(BD!$P$3:$P$5001,BD!$B$3:$B$5001,V$128,BD!$A$3:$A$5001,_xlfn.MAXIFS(BD!$A$3:$A$5001,BD!$B$3:$B$5001,V$128,BD!$A$3:$A$5001,"&gt;="&amp;$C$7,BD!$A$3:$A$5001,"&lt;="&amp;$B143,BD!$P$3:$P$5001,"&lt;&gt;"))))</f>
        <v/>
      </c>
    </row>
    <row r="144">
      <c r="A144" s="48">
        <v>16</v>
      </c>
      <c r="B144" s="53">
        <f>$B$27</f>
        <v>46311</v>
      </c>
      <c r="C144" s="54" t="str">
        <f>IF(OR($B144="",$A144&gt;$B$9,C$128=""),"",IF(COUNTIFS(BD!$B$3:$B$5001,C$128,BD!$A$3:$A$5001,"&gt;="&amp;$C$7,BD!$A$3:$A$5001,"&lt;="&amp;$B144,BD!$P$3:$P$5001,"&lt;&gt;")=0,"",SUMIFS(BD!$P$3:$P$5001,BD!$B$3:$B$5001,C$128,BD!$A$3:$A$5001,_xlfn.MAXIFS(BD!$A$3:$A$5001,BD!$B$3:$B$5001,C$128,BD!$A$3:$A$5001,"&gt;="&amp;$C$7,BD!$A$3:$A$5001,"&lt;="&amp;$B144,BD!$P$3:$P$5001,"&lt;&gt;"))))</f>
        <v/>
      </c>
      <c r="D144" s="54" t="str">
        <f>IF(OR($B144="",$A144&gt;$B$9,D$128=""),"",IF(COUNTIFS(BD!$B$3:$B$5001,D$128,BD!$A$3:$A$5001,"&gt;="&amp;$C$7,BD!$A$3:$A$5001,"&lt;="&amp;$B144,BD!$P$3:$P$5001,"&lt;&gt;")=0,"",SUMIFS(BD!$P$3:$P$5001,BD!$B$3:$B$5001,D$128,BD!$A$3:$A$5001,_xlfn.MAXIFS(BD!$A$3:$A$5001,BD!$B$3:$B$5001,D$128,BD!$A$3:$A$5001,"&gt;="&amp;$C$7,BD!$A$3:$A$5001,"&lt;="&amp;$B144,BD!$P$3:$P$5001,"&lt;&gt;"))))</f>
        <v/>
      </c>
      <c r="E144" s="54" t="str">
        <f>IF(OR($B144="",$A144&gt;$B$9,E$128=""),"",IF(COUNTIFS(BD!$B$3:$B$5001,E$128,BD!$A$3:$A$5001,"&gt;="&amp;$C$7,BD!$A$3:$A$5001,"&lt;="&amp;$B144,BD!$P$3:$P$5001,"&lt;&gt;")=0,"",SUMIFS(BD!$P$3:$P$5001,BD!$B$3:$B$5001,E$128,BD!$A$3:$A$5001,_xlfn.MAXIFS(BD!$A$3:$A$5001,BD!$B$3:$B$5001,E$128,BD!$A$3:$A$5001,"&gt;="&amp;$C$7,BD!$A$3:$A$5001,"&lt;="&amp;$B144,BD!$P$3:$P$5001,"&lt;&gt;"))))</f>
        <v/>
      </c>
      <c r="F144" s="54" t="str">
        <f>IF(OR($B144="",$A144&gt;$B$9,F$128=""),"",IF(COUNTIFS(BD!$B$3:$B$5001,F$128,BD!$A$3:$A$5001,"&gt;="&amp;$C$7,BD!$A$3:$A$5001,"&lt;="&amp;$B144,BD!$P$3:$P$5001,"&lt;&gt;")=0,"",SUMIFS(BD!$P$3:$P$5001,BD!$B$3:$B$5001,F$128,BD!$A$3:$A$5001,_xlfn.MAXIFS(BD!$A$3:$A$5001,BD!$B$3:$B$5001,F$128,BD!$A$3:$A$5001,"&gt;="&amp;$C$7,BD!$A$3:$A$5001,"&lt;="&amp;$B144,BD!$P$3:$P$5001,"&lt;&gt;"))))</f>
        <v/>
      </c>
      <c r="G144" s="54" t="str">
        <f>IF(OR($B144="",$A144&gt;$B$9,G$128=""),"",IF(COUNTIFS(BD!$B$3:$B$5001,G$128,BD!$A$3:$A$5001,"&gt;="&amp;$C$7,BD!$A$3:$A$5001,"&lt;="&amp;$B144,BD!$P$3:$P$5001,"&lt;&gt;")=0,"",SUMIFS(BD!$P$3:$P$5001,BD!$B$3:$B$5001,G$128,BD!$A$3:$A$5001,_xlfn.MAXIFS(BD!$A$3:$A$5001,BD!$B$3:$B$5001,G$128,BD!$A$3:$A$5001,"&gt;="&amp;$C$7,BD!$A$3:$A$5001,"&lt;="&amp;$B144,BD!$P$3:$P$5001,"&lt;&gt;"))))</f>
        <v/>
      </c>
      <c r="H144" s="54" t="str">
        <f>IF(OR($B144="",$A144&gt;$B$9,H$128=""),"",IF(COUNTIFS(BD!$B$3:$B$5001,H$128,BD!$A$3:$A$5001,"&gt;="&amp;$C$7,BD!$A$3:$A$5001,"&lt;="&amp;$B144,BD!$P$3:$P$5001,"&lt;&gt;")=0,"",SUMIFS(BD!$P$3:$P$5001,BD!$B$3:$B$5001,H$128,BD!$A$3:$A$5001,_xlfn.MAXIFS(BD!$A$3:$A$5001,BD!$B$3:$B$5001,H$128,BD!$A$3:$A$5001,"&gt;="&amp;$C$7,BD!$A$3:$A$5001,"&lt;="&amp;$B144,BD!$P$3:$P$5001,"&lt;&gt;"))))</f>
        <v/>
      </c>
      <c r="I144" s="54" t="str">
        <f>IF(OR($B144="",$A144&gt;$B$9,I$128=""),"",IF(COUNTIFS(BD!$B$3:$B$5001,I$128,BD!$A$3:$A$5001,"&gt;="&amp;$C$7,BD!$A$3:$A$5001,"&lt;="&amp;$B144,BD!$P$3:$P$5001,"&lt;&gt;")=0,"",SUMIFS(BD!$P$3:$P$5001,BD!$B$3:$B$5001,I$128,BD!$A$3:$A$5001,_xlfn.MAXIFS(BD!$A$3:$A$5001,BD!$B$3:$B$5001,I$128,BD!$A$3:$A$5001,"&gt;="&amp;$C$7,BD!$A$3:$A$5001,"&lt;="&amp;$B144,BD!$P$3:$P$5001,"&lt;&gt;"))))</f>
        <v/>
      </c>
      <c r="J144" s="54" t="str">
        <f>IF(OR($B144="",$A144&gt;$B$9,J$128=""),"",IF(COUNTIFS(BD!$B$3:$B$5001,J$128,BD!$A$3:$A$5001,"&gt;="&amp;$C$7,BD!$A$3:$A$5001,"&lt;="&amp;$B144,BD!$P$3:$P$5001,"&lt;&gt;")=0,"",SUMIFS(BD!$P$3:$P$5001,BD!$B$3:$B$5001,J$128,BD!$A$3:$A$5001,_xlfn.MAXIFS(BD!$A$3:$A$5001,BD!$B$3:$B$5001,J$128,BD!$A$3:$A$5001,"&gt;="&amp;$C$7,BD!$A$3:$A$5001,"&lt;="&amp;$B144,BD!$P$3:$P$5001,"&lt;&gt;"))))</f>
        <v/>
      </c>
      <c r="K144" s="54" t="str">
        <f>IF(OR($B144="",$A144&gt;$B$9,K$128=""),"",IF(COUNTIFS(BD!$B$3:$B$5001,K$128,BD!$A$3:$A$5001,"&gt;="&amp;$C$7,BD!$A$3:$A$5001,"&lt;="&amp;$B144,BD!$P$3:$P$5001,"&lt;&gt;")=0,"",SUMIFS(BD!$P$3:$P$5001,BD!$B$3:$B$5001,K$128,BD!$A$3:$A$5001,_xlfn.MAXIFS(BD!$A$3:$A$5001,BD!$B$3:$B$5001,K$128,BD!$A$3:$A$5001,"&gt;="&amp;$C$7,BD!$A$3:$A$5001,"&lt;="&amp;$B144,BD!$P$3:$P$5001,"&lt;&gt;"))))</f>
        <v/>
      </c>
      <c r="L144" s="54" t="str">
        <f>IF(OR($B144="",$A144&gt;$B$9,L$128=""),"",IF(COUNTIFS(BD!$B$3:$B$5001,L$128,BD!$A$3:$A$5001,"&gt;="&amp;$C$7,BD!$A$3:$A$5001,"&lt;="&amp;$B144,BD!$P$3:$P$5001,"&lt;&gt;")=0,"",SUMIFS(BD!$P$3:$P$5001,BD!$B$3:$B$5001,L$128,BD!$A$3:$A$5001,_xlfn.MAXIFS(BD!$A$3:$A$5001,BD!$B$3:$B$5001,L$128,BD!$A$3:$A$5001,"&gt;="&amp;$C$7,BD!$A$3:$A$5001,"&lt;="&amp;$B144,BD!$P$3:$P$5001,"&lt;&gt;"))))</f>
        <v/>
      </c>
      <c r="M144" s="54" t="str">
        <f>IF(OR($B144="",$A144&gt;$B$9,M$128=""),"",IF(COUNTIFS(BD!$B$3:$B$5001,M$128,BD!$A$3:$A$5001,"&gt;="&amp;$C$7,BD!$A$3:$A$5001,"&lt;="&amp;$B144,BD!$P$3:$P$5001,"&lt;&gt;")=0,"",SUMIFS(BD!$P$3:$P$5001,BD!$B$3:$B$5001,M$128,BD!$A$3:$A$5001,_xlfn.MAXIFS(BD!$A$3:$A$5001,BD!$B$3:$B$5001,M$128,BD!$A$3:$A$5001,"&gt;="&amp;$C$7,BD!$A$3:$A$5001,"&lt;="&amp;$B144,BD!$P$3:$P$5001,"&lt;&gt;"))))</f>
        <v/>
      </c>
      <c r="N144" s="54" t="str">
        <f>IF(OR($B144="",$A144&gt;$B$9,N$128=""),"",IF(COUNTIFS(BD!$B$3:$B$5001,N$128,BD!$A$3:$A$5001,"&gt;="&amp;$C$7,BD!$A$3:$A$5001,"&lt;="&amp;$B144,BD!$P$3:$P$5001,"&lt;&gt;")=0,"",SUMIFS(BD!$P$3:$P$5001,BD!$B$3:$B$5001,N$128,BD!$A$3:$A$5001,_xlfn.MAXIFS(BD!$A$3:$A$5001,BD!$B$3:$B$5001,N$128,BD!$A$3:$A$5001,"&gt;="&amp;$C$7,BD!$A$3:$A$5001,"&lt;="&amp;$B144,BD!$P$3:$P$5001,"&lt;&gt;"))))</f>
        <v/>
      </c>
      <c r="O144" s="54" t="str">
        <f>IF(OR($B144="",$A144&gt;$B$9,O$128=""),"",IF(COUNTIFS(BD!$B$3:$B$5001,O$128,BD!$A$3:$A$5001,"&gt;="&amp;$C$7,BD!$A$3:$A$5001,"&lt;="&amp;$B144,BD!$P$3:$P$5001,"&lt;&gt;")=0,"",SUMIFS(BD!$P$3:$P$5001,BD!$B$3:$B$5001,O$128,BD!$A$3:$A$5001,_xlfn.MAXIFS(BD!$A$3:$A$5001,BD!$B$3:$B$5001,O$128,BD!$A$3:$A$5001,"&gt;="&amp;$C$7,BD!$A$3:$A$5001,"&lt;="&amp;$B144,BD!$P$3:$P$5001,"&lt;&gt;"))))</f>
        <v/>
      </c>
      <c r="P144" s="54" t="str">
        <f>IF(OR($B144="",$A144&gt;$B$9,P$128=""),"",IF(COUNTIFS(BD!$B$3:$B$5001,P$128,BD!$A$3:$A$5001,"&gt;="&amp;$C$7,BD!$A$3:$A$5001,"&lt;="&amp;$B144,BD!$P$3:$P$5001,"&lt;&gt;")=0,"",SUMIFS(BD!$P$3:$P$5001,BD!$B$3:$B$5001,P$128,BD!$A$3:$A$5001,_xlfn.MAXIFS(BD!$A$3:$A$5001,BD!$B$3:$B$5001,P$128,BD!$A$3:$A$5001,"&gt;="&amp;$C$7,BD!$A$3:$A$5001,"&lt;="&amp;$B144,BD!$P$3:$P$5001,"&lt;&gt;"))))</f>
        <v/>
      </c>
      <c r="Q144" s="54" t="str">
        <f>IF(OR($B144="",$A144&gt;$B$9,Q$128=""),"",IF(COUNTIFS(BD!$B$3:$B$5001,Q$128,BD!$A$3:$A$5001,"&gt;="&amp;$C$7,BD!$A$3:$A$5001,"&lt;="&amp;$B144,BD!$P$3:$P$5001,"&lt;&gt;")=0,"",SUMIFS(BD!$P$3:$P$5001,BD!$B$3:$B$5001,Q$128,BD!$A$3:$A$5001,_xlfn.MAXIFS(BD!$A$3:$A$5001,BD!$B$3:$B$5001,Q$128,BD!$A$3:$A$5001,"&gt;="&amp;$C$7,BD!$A$3:$A$5001,"&lt;="&amp;$B144,BD!$P$3:$P$5001,"&lt;&gt;"))))</f>
        <v/>
      </c>
      <c r="R144" s="54" t="str">
        <f>IF(OR($B144="",$A144&gt;$B$9,R$128=""),"",IF(COUNTIFS(BD!$B$3:$B$5001,R$128,BD!$A$3:$A$5001,"&gt;="&amp;$C$7,BD!$A$3:$A$5001,"&lt;="&amp;$B144,BD!$P$3:$P$5001,"&lt;&gt;")=0,"",SUMIFS(BD!$P$3:$P$5001,BD!$B$3:$B$5001,R$128,BD!$A$3:$A$5001,_xlfn.MAXIFS(BD!$A$3:$A$5001,BD!$B$3:$B$5001,R$128,BD!$A$3:$A$5001,"&gt;="&amp;$C$7,BD!$A$3:$A$5001,"&lt;="&amp;$B144,BD!$P$3:$P$5001,"&lt;&gt;"))))</f>
        <v/>
      </c>
      <c r="S144" s="54" t="str">
        <f>IF(OR($B144="",$A144&gt;$B$9,S$128=""),"",IF(COUNTIFS(BD!$B$3:$B$5001,S$128,BD!$A$3:$A$5001,"&gt;="&amp;$C$7,BD!$A$3:$A$5001,"&lt;="&amp;$B144,BD!$P$3:$P$5001,"&lt;&gt;")=0,"",SUMIFS(BD!$P$3:$P$5001,BD!$B$3:$B$5001,S$128,BD!$A$3:$A$5001,_xlfn.MAXIFS(BD!$A$3:$A$5001,BD!$B$3:$B$5001,S$128,BD!$A$3:$A$5001,"&gt;="&amp;$C$7,BD!$A$3:$A$5001,"&lt;="&amp;$B144,BD!$P$3:$P$5001,"&lt;&gt;"))))</f>
        <v/>
      </c>
      <c r="T144" s="54" t="str">
        <f>IF(OR($B144="",$A144&gt;$B$9,T$128=""),"",IF(COUNTIFS(BD!$B$3:$B$5001,T$128,BD!$A$3:$A$5001,"&gt;="&amp;$C$7,BD!$A$3:$A$5001,"&lt;="&amp;$B144,BD!$P$3:$P$5001,"&lt;&gt;")=0,"",SUMIFS(BD!$P$3:$P$5001,BD!$B$3:$B$5001,T$128,BD!$A$3:$A$5001,_xlfn.MAXIFS(BD!$A$3:$A$5001,BD!$B$3:$B$5001,T$128,BD!$A$3:$A$5001,"&gt;="&amp;$C$7,BD!$A$3:$A$5001,"&lt;="&amp;$B144,BD!$P$3:$P$5001,"&lt;&gt;"))))</f>
        <v/>
      </c>
      <c r="U144" s="54" t="str">
        <f>IF(OR($B144="",$A144&gt;$B$9,U$128=""),"",IF(COUNTIFS(BD!$B$3:$B$5001,U$128,BD!$A$3:$A$5001,"&gt;="&amp;$C$7,BD!$A$3:$A$5001,"&lt;="&amp;$B144,BD!$P$3:$P$5001,"&lt;&gt;")=0,"",SUMIFS(BD!$P$3:$P$5001,BD!$B$3:$B$5001,U$128,BD!$A$3:$A$5001,_xlfn.MAXIFS(BD!$A$3:$A$5001,BD!$B$3:$B$5001,U$128,BD!$A$3:$A$5001,"&gt;="&amp;$C$7,BD!$A$3:$A$5001,"&lt;="&amp;$B144,BD!$P$3:$P$5001,"&lt;&gt;"))))</f>
        <v/>
      </c>
      <c r="V144" s="54" t="str">
        <f>IF(OR($B144="",$A144&gt;$B$9,V$128=""),"",IF(COUNTIFS(BD!$B$3:$B$5001,V$128,BD!$A$3:$A$5001,"&gt;="&amp;$C$7,BD!$A$3:$A$5001,"&lt;="&amp;$B144,BD!$P$3:$P$5001,"&lt;&gt;")=0,"",SUMIFS(BD!$P$3:$P$5001,BD!$B$3:$B$5001,V$128,BD!$A$3:$A$5001,_xlfn.MAXIFS(BD!$A$3:$A$5001,BD!$B$3:$B$5001,V$128,BD!$A$3:$A$5001,"&gt;="&amp;$C$7,BD!$A$3:$A$5001,"&lt;="&amp;$B144,BD!$P$3:$P$5001,"&lt;&gt;"))))</f>
        <v/>
      </c>
    </row>
    <row r="145">
      <c r="A145" s="48">
        <v>17</v>
      </c>
      <c r="B145" s="53">
        <f>$B$28</f>
        <v>46312</v>
      </c>
      <c r="C145" s="54" t="str">
        <f>IF(OR($B145="",$A145&gt;$B$9,C$128=""),"",IF(COUNTIFS(BD!$B$3:$B$5001,C$128,BD!$A$3:$A$5001,"&gt;="&amp;$C$7,BD!$A$3:$A$5001,"&lt;="&amp;$B145,BD!$P$3:$P$5001,"&lt;&gt;")=0,"",SUMIFS(BD!$P$3:$P$5001,BD!$B$3:$B$5001,C$128,BD!$A$3:$A$5001,_xlfn.MAXIFS(BD!$A$3:$A$5001,BD!$B$3:$B$5001,C$128,BD!$A$3:$A$5001,"&gt;="&amp;$C$7,BD!$A$3:$A$5001,"&lt;="&amp;$B145,BD!$P$3:$P$5001,"&lt;&gt;"))))</f>
        <v/>
      </c>
      <c r="D145" s="54" t="str">
        <f>IF(OR($B145="",$A145&gt;$B$9,D$128=""),"",IF(COUNTIFS(BD!$B$3:$B$5001,D$128,BD!$A$3:$A$5001,"&gt;="&amp;$C$7,BD!$A$3:$A$5001,"&lt;="&amp;$B145,BD!$P$3:$P$5001,"&lt;&gt;")=0,"",SUMIFS(BD!$P$3:$P$5001,BD!$B$3:$B$5001,D$128,BD!$A$3:$A$5001,_xlfn.MAXIFS(BD!$A$3:$A$5001,BD!$B$3:$B$5001,D$128,BD!$A$3:$A$5001,"&gt;="&amp;$C$7,BD!$A$3:$A$5001,"&lt;="&amp;$B145,BD!$P$3:$P$5001,"&lt;&gt;"))))</f>
        <v/>
      </c>
      <c r="E145" s="54" t="str">
        <f>IF(OR($B145="",$A145&gt;$B$9,E$128=""),"",IF(COUNTIFS(BD!$B$3:$B$5001,E$128,BD!$A$3:$A$5001,"&gt;="&amp;$C$7,BD!$A$3:$A$5001,"&lt;="&amp;$B145,BD!$P$3:$P$5001,"&lt;&gt;")=0,"",SUMIFS(BD!$P$3:$P$5001,BD!$B$3:$B$5001,E$128,BD!$A$3:$A$5001,_xlfn.MAXIFS(BD!$A$3:$A$5001,BD!$B$3:$B$5001,E$128,BD!$A$3:$A$5001,"&gt;="&amp;$C$7,BD!$A$3:$A$5001,"&lt;="&amp;$B145,BD!$P$3:$P$5001,"&lt;&gt;"))))</f>
        <v/>
      </c>
      <c r="F145" s="54" t="str">
        <f>IF(OR($B145="",$A145&gt;$B$9,F$128=""),"",IF(COUNTIFS(BD!$B$3:$B$5001,F$128,BD!$A$3:$A$5001,"&gt;="&amp;$C$7,BD!$A$3:$A$5001,"&lt;="&amp;$B145,BD!$P$3:$P$5001,"&lt;&gt;")=0,"",SUMIFS(BD!$P$3:$P$5001,BD!$B$3:$B$5001,F$128,BD!$A$3:$A$5001,_xlfn.MAXIFS(BD!$A$3:$A$5001,BD!$B$3:$B$5001,F$128,BD!$A$3:$A$5001,"&gt;="&amp;$C$7,BD!$A$3:$A$5001,"&lt;="&amp;$B145,BD!$P$3:$P$5001,"&lt;&gt;"))))</f>
        <v/>
      </c>
      <c r="G145" s="54" t="str">
        <f>IF(OR($B145="",$A145&gt;$B$9,G$128=""),"",IF(COUNTIFS(BD!$B$3:$B$5001,G$128,BD!$A$3:$A$5001,"&gt;="&amp;$C$7,BD!$A$3:$A$5001,"&lt;="&amp;$B145,BD!$P$3:$P$5001,"&lt;&gt;")=0,"",SUMIFS(BD!$P$3:$P$5001,BD!$B$3:$B$5001,G$128,BD!$A$3:$A$5001,_xlfn.MAXIFS(BD!$A$3:$A$5001,BD!$B$3:$B$5001,G$128,BD!$A$3:$A$5001,"&gt;="&amp;$C$7,BD!$A$3:$A$5001,"&lt;="&amp;$B145,BD!$P$3:$P$5001,"&lt;&gt;"))))</f>
        <v/>
      </c>
      <c r="H145" s="54" t="str">
        <f>IF(OR($B145="",$A145&gt;$B$9,H$128=""),"",IF(COUNTIFS(BD!$B$3:$B$5001,H$128,BD!$A$3:$A$5001,"&gt;="&amp;$C$7,BD!$A$3:$A$5001,"&lt;="&amp;$B145,BD!$P$3:$P$5001,"&lt;&gt;")=0,"",SUMIFS(BD!$P$3:$P$5001,BD!$B$3:$B$5001,H$128,BD!$A$3:$A$5001,_xlfn.MAXIFS(BD!$A$3:$A$5001,BD!$B$3:$B$5001,H$128,BD!$A$3:$A$5001,"&gt;="&amp;$C$7,BD!$A$3:$A$5001,"&lt;="&amp;$B145,BD!$P$3:$P$5001,"&lt;&gt;"))))</f>
        <v/>
      </c>
      <c r="I145" s="54" t="str">
        <f>IF(OR($B145="",$A145&gt;$B$9,I$128=""),"",IF(COUNTIFS(BD!$B$3:$B$5001,I$128,BD!$A$3:$A$5001,"&gt;="&amp;$C$7,BD!$A$3:$A$5001,"&lt;="&amp;$B145,BD!$P$3:$P$5001,"&lt;&gt;")=0,"",SUMIFS(BD!$P$3:$P$5001,BD!$B$3:$B$5001,I$128,BD!$A$3:$A$5001,_xlfn.MAXIFS(BD!$A$3:$A$5001,BD!$B$3:$B$5001,I$128,BD!$A$3:$A$5001,"&gt;="&amp;$C$7,BD!$A$3:$A$5001,"&lt;="&amp;$B145,BD!$P$3:$P$5001,"&lt;&gt;"))))</f>
        <v/>
      </c>
      <c r="J145" s="54" t="str">
        <f>IF(OR($B145="",$A145&gt;$B$9,J$128=""),"",IF(COUNTIFS(BD!$B$3:$B$5001,J$128,BD!$A$3:$A$5001,"&gt;="&amp;$C$7,BD!$A$3:$A$5001,"&lt;="&amp;$B145,BD!$P$3:$P$5001,"&lt;&gt;")=0,"",SUMIFS(BD!$P$3:$P$5001,BD!$B$3:$B$5001,J$128,BD!$A$3:$A$5001,_xlfn.MAXIFS(BD!$A$3:$A$5001,BD!$B$3:$B$5001,J$128,BD!$A$3:$A$5001,"&gt;="&amp;$C$7,BD!$A$3:$A$5001,"&lt;="&amp;$B145,BD!$P$3:$P$5001,"&lt;&gt;"))))</f>
        <v/>
      </c>
      <c r="K145" s="54" t="str">
        <f>IF(OR($B145="",$A145&gt;$B$9,K$128=""),"",IF(COUNTIFS(BD!$B$3:$B$5001,K$128,BD!$A$3:$A$5001,"&gt;="&amp;$C$7,BD!$A$3:$A$5001,"&lt;="&amp;$B145,BD!$P$3:$P$5001,"&lt;&gt;")=0,"",SUMIFS(BD!$P$3:$P$5001,BD!$B$3:$B$5001,K$128,BD!$A$3:$A$5001,_xlfn.MAXIFS(BD!$A$3:$A$5001,BD!$B$3:$B$5001,K$128,BD!$A$3:$A$5001,"&gt;="&amp;$C$7,BD!$A$3:$A$5001,"&lt;="&amp;$B145,BD!$P$3:$P$5001,"&lt;&gt;"))))</f>
        <v/>
      </c>
      <c r="L145" s="54" t="str">
        <f>IF(OR($B145="",$A145&gt;$B$9,L$128=""),"",IF(COUNTIFS(BD!$B$3:$B$5001,L$128,BD!$A$3:$A$5001,"&gt;="&amp;$C$7,BD!$A$3:$A$5001,"&lt;="&amp;$B145,BD!$P$3:$P$5001,"&lt;&gt;")=0,"",SUMIFS(BD!$P$3:$P$5001,BD!$B$3:$B$5001,L$128,BD!$A$3:$A$5001,_xlfn.MAXIFS(BD!$A$3:$A$5001,BD!$B$3:$B$5001,L$128,BD!$A$3:$A$5001,"&gt;="&amp;$C$7,BD!$A$3:$A$5001,"&lt;="&amp;$B145,BD!$P$3:$P$5001,"&lt;&gt;"))))</f>
        <v/>
      </c>
      <c r="M145" s="54" t="str">
        <f>IF(OR($B145="",$A145&gt;$B$9,M$128=""),"",IF(COUNTIFS(BD!$B$3:$B$5001,M$128,BD!$A$3:$A$5001,"&gt;="&amp;$C$7,BD!$A$3:$A$5001,"&lt;="&amp;$B145,BD!$P$3:$P$5001,"&lt;&gt;")=0,"",SUMIFS(BD!$P$3:$P$5001,BD!$B$3:$B$5001,M$128,BD!$A$3:$A$5001,_xlfn.MAXIFS(BD!$A$3:$A$5001,BD!$B$3:$B$5001,M$128,BD!$A$3:$A$5001,"&gt;="&amp;$C$7,BD!$A$3:$A$5001,"&lt;="&amp;$B145,BD!$P$3:$P$5001,"&lt;&gt;"))))</f>
        <v/>
      </c>
      <c r="N145" s="54" t="str">
        <f>IF(OR($B145="",$A145&gt;$B$9,N$128=""),"",IF(COUNTIFS(BD!$B$3:$B$5001,N$128,BD!$A$3:$A$5001,"&gt;="&amp;$C$7,BD!$A$3:$A$5001,"&lt;="&amp;$B145,BD!$P$3:$P$5001,"&lt;&gt;")=0,"",SUMIFS(BD!$P$3:$P$5001,BD!$B$3:$B$5001,N$128,BD!$A$3:$A$5001,_xlfn.MAXIFS(BD!$A$3:$A$5001,BD!$B$3:$B$5001,N$128,BD!$A$3:$A$5001,"&gt;="&amp;$C$7,BD!$A$3:$A$5001,"&lt;="&amp;$B145,BD!$P$3:$P$5001,"&lt;&gt;"))))</f>
        <v/>
      </c>
      <c r="O145" s="54" t="str">
        <f>IF(OR($B145="",$A145&gt;$B$9,O$128=""),"",IF(COUNTIFS(BD!$B$3:$B$5001,O$128,BD!$A$3:$A$5001,"&gt;="&amp;$C$7,BD!$A$3:$A$5001,"&lt;="&amp;$B145,BD!$P$3:$P$5001,"&lt;&gt;")=0,"",SUMIFS(BD!$P$3:$P$5001,BD!$B$3:$B$5001,O$128,BD!$A$3:$A$5001,_xlfn.MAXIFS(BD!$A$3:$A$5001,BD!$B$3:$B$5001,O$128,BD!$A$3:$A$5001,"&gt;="&amp;$C$7,BD!$A$3:$A$5001,"&lt;="&amp;$B145,BD!$P$3:$P$5001,"&lt;&gt;"))))</f>
        <v/>
      </c>
      <c r="P145" s="54" t="str">
        <f>IF(OR($B145="",$A145&gt;$B$9,P$128=""),"",IF(COUNTIFS(BD!$B$3:$B$5001,P$128,BD!$A$3:$A$5001,"&gt;="&amp;$C$7,BD!$A$3:$A$5001,"&lt;="&amp;$B145,BD!$P$3:$P$5001,"&lt;&gt;")=0,"",SUMIFS(BD!$P$3:$P$5001,BD!$B$3:$B$5001,P$128,BD!$A$3:$A$5001,_xlfn.MAXIFS(BD!$A$3:$A$5001,BD!$B$3:$B$5001,P$128,BD!$A$3:$A$5001,"&gt;="&amp;$C$7,BD!$A$3:$A$5001,"&lt;="&amp;$B145,BD!$P$3:$P$5001,"&lt;&gt;"))))</f>
        <v/>
      </c>
      <c r="Q145" s="54" t="str">
        <f>IF(OR($B145="",$A145&gt;$B$9,Q$128=""),"",IF(COUNTIFS(BD!$B$3:$B$5001,Q$128,BD!$A$3:$A$5001,"&gt;="&amp;$C$7,BD!$A$3:$A$5001,"&lt;="&amp;$B145,BD!$P$3:$P$5001,"&lt;&gt;")=0,"",SUMIFS(BD!$P$3:$P$5001,BD!$B$3:$B$5001,Q$128,BD!$A$3:$A$5001,_xlfn.MAXIFS(BD!$A$3:$A$5001,BD!$B$3:$B$5001,Q$128,BD!$A$3:$A$5001,"&gt;="&amp;$C$7,BD!$A$3:$A$5001,"&lt;="&amp;$B145,BD!$P$3:$P$5001,"&lt;&gt;"))))</f>
        <v/>
      </c>
      <c r="R145" s="54" t="str">
        <f>IF(OR($B145="",$A145&gt;$B$9,R$128=""),"",IF(COUNTIFS(BD!$B$3:$B$5001,R$128,BD!$A$3:$A$5001,"&gt;="&amp;$C$7,BD!$A$3:$A$5001,"&lt;="&amp;$B145,BD!$P$3:$P$5001,"&lt;&gt;")=0,"",SUMIFS(BD!$P$3:$P$5001,BD!$B$3:$B$5001,R$128,BD!$A$3:$A$5001,_xlfn.MAXIFS(BD!$A$3:$A$5001,BD!$B$3:$B$5001,R$128,BD!$A$3:$A$5001,"&gt;="&amp;$C$7,BD!$A$3:$A$5001,"&lt;="&amp;$B145,BD!$P$3:$P$5001,"&lt;&gt;"))))</f>
        <v/>
      </c>
      <c r="S145" s="54" t="str">
        <f>IF(OR($B145="",$A145&gt;$B$9,S$128=""),"",IF(COUNTIFS(BD!$B$3:$B$5001,S$128,BD!$A$3:$A$5001,"&gt;="&amp;$C$7,BD!$A$3:$A$5001,"&lt;="&amp;$B145,BD!$P$3:$P$5001,"&lt;&gt;")=0,"",SUMIFS(BD!$P$3:$P$5001,BD!$B$3:$B$5001,S$128,BD!$A$3:$A$5001,_xlfn.MAXIFS(BD!$A$3:$A$5001,BD!$B$3:$B$5001,S$128,BD!$A$3:$A$5001,"&gt;="&amp;$C$7,BD!$A$3:$A$5001,"&lt;="&amp;$B145,BD!$P$3:$P$5001,"&lt;&gt;"))))</f>
        <v/>
      </c>
      <c r="T145" s="54" t="str">
        <f>IF(OR($B145="",$A145&gt;$B$9,T$128=""),"",IF(COUNTIFS(BD!$B$3:$B$5001,T$128,BD!$A$3:$A$5001,"&gt;="&amp;$C$7,BD!$A$3:$A$5001,"&lt;="&amp;$B145,BD!$P$3:$P$5001,"&lt;&gt;")=0,"",SUMIFS(BD!$P$3:$P$5001,BD!$B$3:$B$5001,T$128,BD!$A$3:$A$5001,_xlfn.MAXIFS(BD!$A$3:$A$5001,BD!$B$3:$B$5001,T$128,BD!$A$3:$A$5001,"&gt;="&amp;$C$7,BD!$A$3:$A$5001,"&lt;="&amp;$B145,BD!$P$3:$P$5001,"&lt;&gt;"))))</f>
        <v/>
      </c>
      <c r="U145" s="54" t="str">
        <f>IF(OR($B145="",$A145&gt;$B$9,U$128=""),"",IF(COUNTIFS(BD!$B$3:$B$5001,U$128,BD!$A$3:$A$5001,"&gt;="&amp;$C$7,BD!$A$3:$A$5001,"&lt;="&amp;$B145,BD!$P$3:$P$5001,"&lt;&gt;")=0,"",SUMIFS(BD!$P$3:$P$5001,BD!$B$3:$B$5001,U$128,BD!$A$3:$A$5001,_xlfn.MAXIFS(BD!$A$3:$A$5001,BD!$B$3:$B$5001,U$128,BD!$A$3:$A$5001,"&gt;="&amp;$C$7,BD!$A$3:$A$5001,"&lt;="&amp;$B145,BD!$P$3:$P$5001,"&lt;&gt;"))))</f>
        <v/>
      </c>
      <c r="V145" s="54" t="str">
        <f>IF(OR($B145="",$A145&gt;$B$9,V$128=""),"",IF(COUNTIFS(BD!$B$3:$B$5001,V$128,BD!$A$3:$A$5001,"&gt;="&amp;$C$7,BD!$A$3:$A$5001,"&lt;="&amp;$B145,BD!$P$3:$P$5001,"&lt;&gt;")=0,"",SUMIFS(BD!$P$3:$P$5001,BD!$B$3:$B$5001,V$128,BD!$A$3:$A$5001,_xlfn.MAXIFS(BD!$A$3:$A$5001,BD!$B$3:$B$5001,V$128,BD!$A$3:$A$5001,"&gt;="&amp;$C$7,BD!$A$3:$A$5001,"&lt;="&amp;$B145,BD!$P$3:$P$5001,"&lt;&gt;"))))</f>
        <v/>
      </c>
    </row>
    <row r="146">
      <c r="A146" s="48">
        <v>18</v>
      </c>
      <c r="B146" s="53">
        <f>$B$29</f>
        <v>46313</v>
      </c>
      <c r="C146" s="54" t="str">
        <f>IF(OR($B146="",$A146&gt;$B$9,C$128=""),"",IF(COUNTIFS(BD!$B$3:$B$5001,C$128,BD!$A$3:$A$5001,"&gt;="&amp;$C$7,BD!$A$3:$A$5001,"&lt;="&amp;$B146,BD!$P$3:$P$5001,"&lt;&gt;")=0,"",SUMIFS(BD!$P$3:$P$5001,BD!$B$3:$B$5001,C$128,BD!$A$3:$A$5001,_xlfn.MAXIFS(BD!$A$3:$A$5001,BD!$B$3:$B$5001,C$128,BD!$A$3:$A$5001,"&gt;="&amp;$C$7,BD!$A$3:$A$5001,"&lt;="&amp;$B146,BD!$P$3:$P$5001,"&lt;&gt;"))))</f>
        <v/>
      </c>
      <c r="D146" s="54" t="str">
        <f>IF(OR($B146="",$A146&gt;$B$9,D$128=""),"",IF(COUNTIFS(BD!$B$3:$B$5001,D$128,BD!$A$3:$A$5001,"&gt;="&amp;$C$7,BD!$A$3:$A$5001,"&lt;="&amp;$B146,BD!$P$3:$P$5001,"&lt;&gt;")=0,"",SUMIFS(BD!$P$3:$P$5001,BD!$B$3:$B$5001,D$128,BD!$A$3:$A$5001,_xlfn.MAXIFS(BD!$A$3:$A$5001,BD!$B$3:$B$5001,D$128,BD!$A$3:$A$5001,"&gt;="&amp;$C$7,BD!$A$3:$A$5001,"&lt;="&amp;$B146,BD!$P$3:$P$5001,"&lt;&gt;"))))</f>
        <v/>
      </c>
      <c r="E146" s="54" t="str">
        <f>IF(OR($B146="",$A146&gt;$B$9,E$128=""),"",IF(COUNTIFS(BD!$B$3:$B$5001,E$128,BD!$A$3:$A$5001,"&gt;="&amp;$C$7,BD!$A$3:$A$5001,"&lt;="&amp;$B146,BD!$P$3:$P$5001,"&lt;&gt;")=0,"",SUMIFS(BD!$P$3:$P$5001,BD!$B$3:$B$5001,E$128,BD!$A$3:$A$5001,_xlfn.MAXIFS(BD!$A$3:$A$5001,BD!$B$3:$B$5001,E$128,BD!$A$3:$A$5001,"&gt;="&amp;$C$7,BD!$A$3:$A$5001,"&lt;="&amp;$B146,BD!$P$3:$P$5001,"&lt;&gt;"))))</f>
        <v/>
      </c>
      <c r="F146" s="54" t="str">
        <f>IF(OR($B146="",$A146&gt;$B$9,F$128=""),"",IF(COUNTIFS(BD!$B$3:$B$5001,F$128,BD!$A$3:$A$5001,"&gt;="&amp;$C$7,BD!$A$3:$A$5001,"&lt;="&amp;$B146,BD!$P$3:$P$5001,"&lt;&gt;")=0,"",SUMIFS(BD!$P$3:$P$5001,BD!$B$3:$B$5001,F$128,BD!$A$3:$A$5001,_xlfn.MAXIFS(BD!$A$3:$A$5001,BD!$B$3:$B$5001,F$128,BD!$A$3:$A$5001,"&gt;="&amp;$C$7,BD!$A$3:$A$5001,"&lt;="&amp;$B146,BD!$P$3:$P$5001,"&lt;&gt;"))))</f>
        <v/>
      </c>
      <c r="G146" s="54" t="str">
        <f>IF(OR($B146="",$A146&gt;$B$9,G$128=""),"",IF(COUNTIFS(BD!$B$3:$B$5001,G$128,BD!$A$3:$A$5001,"&gt;="&amp;$C$7,BD!$A$3:$A$5001,"&lt;="&amp;$B146,BD!$P$3:$P$5001,"&lt;&gt;")=0,"",SUMIFS(BD!$P$3:$P$5001,BD!$B$3:$B$5001,G$128,BD!$A$3:$A$5001,_xlfn.MAXIFS(BD!$A$3:$A$5001,BD!$B$3:$B$5001,G$128,BD!$A$3:$A$5001,"&gt;="&amp;$C$7,BD!$A$3:$A$5001,"&lt;="&amp;$B146,BD!$P$3:$P$5001,"&lt;&gt;"))))</f>
        <v/>
      </c>
      <c r="H146" s="54" t="str">
        <f>IF(OR($B146="",$A146&gt;$B$9,H$128=""),"",IF(COUNTIFS(BD!$B$3:$B$5001,H$128,BD!$A$3:$A$5001,"&gt;="&amp;$C$7,BD!$A$3:$A$5001,"&lt;="&amp;$B146,BD!$P$3:$P$5001,"&lt;&gt;")=0,"",SUMIFS(BD!$P$3:$P$5001,BD!$B$3:$B$5001,H$128,BD!$A$3:$A$5001,_xlfn.MAXIFS(BD!$A$3:$A$5001,BD!$B$3:$B$5001,H$128,BD!$A$3:$A$5001,"&gt;="&amp;$C$7,BD!$A$3:$A$5001,"&lt;="&amp;$B146,BD!$P$3:$P$5001,"&lt;&gt;"))))</f>
        <v/>
      </c>
      <c r="I146" s="54" t="str">
        <f>IF(OR($B146="",$A146&gt;$B$9,I$128=""),"",IF(COUNTIFS(BD!$B$3:$B$5001,I$128,BD!$A$3:$A$5001,"&gt;="&amp;$C$7,BD!$A$3:$A$5001,"&lt;="&amp;$B146,BD!$P$3:$P$5001,"&lt;&gt;")=0,"",SUMIFS(BD!$P$3:$P$5001,BD!$B$3:$B$5001,I$128,BD!$A$3:$A$5001,_xlfn.MAXIFS(BD!$A$3:$A$5001,BD!$B$3:$B$5001,I$128,BD!$A$3:$A$5001,"&gt;="&amp;$C$7,BD!$A$3:$A$5001,"&lt;="&amp;$B146,BD!$P$3:$P$5001,"&lt;&gt;"))))</f>
        <v/>
      </c>
      <c r="J146" s="54" t="str">
        <f>IF(OR($B146="",$A146&gt;$B$9,J$128=""),"",IF(COUNTIFS(BD!$B$3:$B$5001,J$128,BD!$A$3:$A$5001,"&gt;="&amp;$C$7,BD!$A$3:$A$5001,"&lt;="&amp;$B146,BD!$P$3:$P$5001,"&lt;&gt;")=0,"",SUMIFS(BD!$P$3:$P$5001,BD!$B$3:$B$5001,J$128,BD!$A$3:$A$5001,_xlfn.MAXIFS(BD!$A$3:$A$5001,BD!$B$3:$B$5001,J$128,BD!$A$3:$A$5001,"&gt;="&amp;$C$7,BD!$A$3:$A$5001,"&lt;="&amp;$B146,BD!$P$3:$P$5001,"&lt;&gt;"))))</f>
        <v/>
      </c>
      <c r="K146" s="54" t="str">
        <f>IF(OR($B146="",$A146&gt;$B$9,K$128=""),"",IF(COUNTIFS(BD!$B$3:$B$5001,K$128,BD!$A$3:$A$5001,"&gt;="&amp;$C$7,BD!$A$3:$A$5001,"&lt;="&amp;$B146,BD!$P$3:$P$5001,"&lt;&gt;")=0,"",SUMIFS(BD!$P$3:$P$5001,BD!$B$3:$B$5001,K$128,BD!$A$3:$A$5001,_xlfn.MAXIFS(BD!$A$3:$A$5001,BD!$B$3:$B$5001,K$128,BD!$A$3:$A$5001,"&gt;="&amp;$C$7,BD!$A$3:$A$5001,"&lt;="&amp;$B146,BD!$P$3:$P$5001,"&lt;&gt;"))))</f>
        <v/>
      </c>
      <c r="L146" s="54" t="str">
        <f>IF(OR($B146="",$A146&gt;$B$9,L$128=""),"",IF(COUNTIFS(BD!$B$3:$B$5001,L$128,BD!$A$3:$A$5001,"&gt;="&amp;$C$7,BD!$A$3:$A$5001,"&lt;="&amp;$B146,BD!$P$3:$P$5001,"&lt;&gt;")=0,"",SUMIFS(BD!$P$3:$P$5001,BD!$B$3:$B$5001,L$128,BD!$A$3:$A$5001,_xlfn.MAXIFS(BD!$A$3:$A$5001,BD!$B$3:$B$5001,L$128,BD!$A$3:$A$5001,"&gt;="&amp;$C$7,BD!$A$3:$A$5001,"&lt;="&amp;$B146,BD!$P$3:$P$5001,"&lt;&gt;"))))</f>
        <v/>
      </c>
      <c r="M146" s="54" t="str">
        <f>IF(OR($B146="",$A146&gt;$B$9,M$128=""),"",IF(COUNTIFS(BD!$B$3:$B$5001,M$128,BD!$A$3:$A$5001,"&gt;="&amp;$C$7,BD!$A$3:$A$5001,"&lt;="&amp;$B146,BD!$P$3:$P$5001,"&lt;&gt;")=0,"",SUMIFS(BD!$P$3:$P$5001,BD!$B$3:$B$5001,M$128,BD!$A$3:$A$5001,_xlfn.MAXIFS(BD!$A$3:$A$5001,BD!$B$3:$B$5001,M$128,BD!$A$3:$A$5001,"&gt;="&amp;$C$7,BD!$A$3:$A$5001,"&lt;="&amp;$B146,BD!$P$3:$P$5001,"&lt;&gt;"))))</f>
        <v/>
      </c>
      <c r="N146" s="54" t="str">
        <f>IF(OR($B146="",$A146&gt;$B$9,N$128=""),"",IF(COUNTIFS(BD!$B$3:$B$5001,N$128,BD!$A$3:$A$5001,"&gt;="&amp;$C$7,BD!$A$3:$A$5001,"&lt;="&amp;$B146,BD!$P$3:$P$5001,"&lt;&gt;")=0,"",SUMIFS(BD!$P$3:$P$5001,BD!$B$3:$B$5001,N$128,BD!$A$3:$A$5001,_xlfn.MAXIFS(BD!$A$3:$A$5001,BD!$B$3:$B$5001,N$128,BD!$A$3:$A$5001,"&gt;="&amp;$C$7,BD!$A$3:$A$5001,"&lt;="&amp;$B146,BD!$P$3:$P$5001,"&lt;&gt;"))))</f>
        <v/>
      </c>
      <c r="O146" s="54" t="str">
        <f>IF(OR($B146="",$A146&gt;$B$9,O$128=""),"",IF(COUNTIFS(BD!$B$3:$B$5001,O$128,BD!$A$3:$A$5001,"&gt;="&amp;$C$7,BD!$A$3:$A$5001,"&lt;="&amp;$B146,BD!$P$3:$P$5001,"&lt;&gt;")=0,"",SUMIFS(BD!$P$3:$P$5001,BD!$B$3:$B$5001,O$128,BD!$A$3:$A$5001,_xlfn.MAXIFS(BD!$A$3:$A$5001,BD!$B$3:$B$5001,O$128,BD!$A$3:$A$5001,"&gt;="&amp;$C$7,BD!$A$3:$A$5001,"&lt;="&amp;$B146,BD!$P$3:$P$5001,"&lt;&gt;"))))</f>
        <v/>
      </c>
      <c r="P146" s="54" t="str">
        <f>IF(OR($B146="",$A146&gt;$B$9,P$128=""),"",IF(COUNTIFS(BD!$B$3:$B$5001,P$128,BD!$A$3:$A$5001,"&gt;="&amp;$C$7,BD!$A$3:$A$5001,"&lt;="&amp;$B146,BD!$P$3:$P$5001,"&lt;&gt;")=0,"",SUMIFS(BD!$P$3:$P$5001,BD!$B$3:$B$5001,P$128,BD!$A$3:$A$5001,_xlfn.MAXIFS(BD!$A$3:$A$5001,BD!$B$3:$B$5001,P$128,BD!$A$3:$A$5001,"&gt;="&amp;$C$7,BD!$A$3:$A$5001,"&lt;="&amp;$B146,BD!$P$3:$P$5001,"&lt;&gt;"))))</f>
        <v/>
      </c>
      <c r="Q146" s="54" t="str">
        <f>IF(OR($B146="",$A146&gt;$B$9,Q$128=""),"",IF(COUNTIFS(BD!$B$3:$B$5001,Q$128,BD!$A$3:$A$5001,"&gt;="&amp;$C$7,BD!$A$3:$A$5001,"&lt;="&amp;$B146,BD!$P$3:$P$5001,"&lt;&gt;")=0,"",SUMIFS(BD!$P$3:$P$5001,BD!$B$3:$B$5001,Q$128,BD!$A$3:$A$5001,_xlfn.MAXIFS(BD!$A$3:$A$5001,BD!$B$3:$B$5001,Q$128,BD!$A$3:$A$5001,"&gt;="&amp;$C$7,BD!$A$3:$A$5001,"&lt;="&amp;$B146,BD!$P$3:$P$5001,"&lt;&gt;"))))</f>
        <v/>
      </c>
      <c r="R146" s="54" t="str">
        <f>IF(OR($B146="",$A146&gt;$B$9,R$128=""),"",IF(COUNTIFS(BD!$B$3:$B$5001,R$128,BD!$A$3:$A$5001,"&gt;="&amp;$C$7,BD!$A$3:$A$5001,"&lt;="&amp;$B146,BD!$P$3:$P$5001,"&lt;&gt;")=0,"",SUMIFS(BD!$P$3:$P$5001,BD!$B$3:$B$5001,R$128,BD!$A$3:$A$5001,_xlfn.MAXIFS(BD!$A$3:$A$5001,BD!$B$3:$B$5001,R$128,BD!$A$3:$A$5001,"&gt;="&amp;$C$7,BD!$A$3:$A$5001,"&lt;="&amp;$B146,BD!$P$3:$P$5001,"&lt;&gt;"))))</f>
        <v/>
      </c>
      <c r="S146" s="54" t="str">
        <f>IF(OR($B146="",$A146&gt;$B$9,S$128=""),"",IF(COUNTIFS(BD!$B$3:$B$5001,S$128,BD!$A$3:$A$5001,"&gt;="&amp;$C$7,BD!$A$3:$A$5001,"&lt;="&amp;$B146,BD!$P$3:$P$5001,"&lt;&gt;")=0,"",SUMIFS(BD!$P$3:$P$5001,BD!$B$3:$B$5001,S$128,BD!$A$3:$A$5001,_xlfn.MAXIFS(BD!$A$3:$A$5001,BD!$B$3:$B$5001,S$128,BD!$A$3:$A$5001,"&gt;="&amp;$C$7,BD!$A$3:$A$5001,"&lt;="&amp;$B146,BD!$P$3:$P$5001,"&lt;&gt;"))))</f>
        <v/>
      </c>
      <c r="T146" s="54" t="str">
        <f>IF(OR($B146="",$A146&gt;$B$9,T$128=""),"",IF(COUNTIFS(BD!$B$3:$B$5001,T$128,BD!$A$3:$A$5001,"&gt;="&amp;$C$7,BD!$A$3:$A$5001,"&lt;="&amp;$B146,BD!$P$3:$P$5001,"&lt;&gt;")=0,"",SUMIFS(BD!$P$3:$P$5001,BD!$B$3:$B$5001,T$128,BD!$A$3:$A$5001,_xlfn.MAXIFS(BD!$A$3:$A$5001,BD!$B$3:$B$5001,T$128,BD!$A$3:$A$5001,"&gt;="&amp;$C$7,BD!$A$3:$A$5001,"&lt;="&amp;$B146,BD!$P$3:$P$5001,"&lt;&gt;"))))</f>
        <v/>
      </c>
      <c r="U146" s="54" t="str">
        <f>IF(OR($B146="",$A146&gt;$B$9,U$128=""),"",IF(COUNTIFS(BD!$B$3:$B$5001,U$128,BD!$A$3:$A$5001,"&gt;="&amp;$C$7,BD!$A$3:$A$5001,"&lt;="&amp;$B146,BD!$P$3:$P$5001,"&lt;&gt;")=0,"",SUMIFS(BD!$P$3:$P$5001,BD!$B$3:$B$5001,U$128,BD!$A$3:$A$5001,_xlfn.MAXIFS(BD!$A$3:$A$5001,BD!$B$3:$B$5001,U$128,BD!$A$3:$A$5001,"&gt;="&amp;$C$7,BD!$A$3:$A$5001,"&lt;="&amp;$B146,BD!$P$3:$P$5001,"&lt;&gt;"))))</f>
        <v/>
      </c>
      <c r="V146" s="54" t="str">
        <f>IF(OR($B146="",$A146&gt;$B$9,V$128=""),"",IF(COUNTIFS(BD!$B$3:$B$5001,V$128,BD!$A$3:$A$5001,"&gt;="&amp;$C$7,BD!$A$3:$A$5001,"&lt;="&amp;$B146,BD!$P$3:$P$5001,"&lt;&gt;")=0,"",SUMIFS(BD!$P$3:$P$5001,BD!$B$3:$B$5001,V$128,BD!$A$3:$A$5001,_xlfn.MAXIFS(BD!$A$3:$A$5001,BD!$B$3:$B$5001,V$128,BD!$A$3:$A$5001,"&gt;="&amp;$C$7,BD!$A$3:$A$5001,"&lt;="&amp;$B146,BD!$P$3:$P$5001,"&lt;&gt;"))))</f>
        <v/>
      </c>
    </row>
    <row r="147">
      <c r="A147" s="48">
        <v>19</v>
      </c>
      <c r="B147" s="53">
        <f>$B$30</f>
        <v>46314</v>
      </c>
      <c r="C147" s="54" t="str">
        <f>IF(OR($B147="",$A147&gt;$B$9,C$128=""),"",IF(COUNTIFS(BD!$B$3:$B$5001,C$128,BD!$A$3:$A$5001,"&gt;="&amp;$C$7,BD!$A$3:$A$5001,"&lt;="&amp;$B147,BD!$P$3:$P$5001,"&lt;&gt;")=0,"",SUMIFS(BD!$P$3:$P$5001,BD!$B$3:$B$5001,C$128,BD!$A$3:$A$5001,_xlfn.MAXIFS(BD!$A$3:$A$5001,BD!$B$3:$B$5001,C$128,BD!$A$3:$A$5001,"&gt;="&amp;$C$7,BD!$A$3:$A$5001,"&lt;="&amp;$B147,BD!$P$3:$P$5001,"&lt;&gt;"))))</f>
        <v/>
      </c>
      <c r="D147" s="54" t="str">
        <f>IF(OR($B147="",$A147&gt;$B$9,D$128=""),"",IF(COUNTIFS(BD!$B$3:$B$5001,D$128,BD!$A$3:$A$5001,"&gt;="&amp;$C$7,BD!$A$3:$A$5001,"&lt;="&amp;$B147,BD!$P$3:$P$5001,"&lt;&gt;")=0,"",SUMIFS(BD!$P$3:$P$5001,BD!$B$3:$B$5001,D$128,BD!$A$3:$A$5001,_xlfn.MAXIFS(BD!$A$3:$A$5001,BD!$B$3:$B$5001,D$128,BD!$A$3:$A$5001,"&gt;="&amp;$C$7,BD!$A$3:$A$5001,"&lt;="&amp;$B147,BD!$P$3:$P$5001,"&lt;&gt;"))))</f>
        <v/>
      </c>
      <c r="E147" s="54" t="str">
        <f>IF(OR($B147="",$A147&gt;$B$9,E$128=""),"",IF(COUNTIFS(BD!$B$3:$B$5001,E$128,BD!$A$3:$A$5001,"&gt;="&amp;$C$7,BD!$A$3:$A$5001,"&lt;="&amp;$B147,BD!$P$3:$P$5001,"&lt;&gt;")=0,"",SUMIFS(BD!$P$3:$P$5001,BD!$B$3:$B$5001,E$128,BD!$A$3:$A$5001,_xlfn.MAXIFS(BD!$A$3:$A$5001,BD!$B$3:$B$5001,E$128,BD!$A$3:$A$5001,"&gt;="&amp;$C$7,BD!$A$3:$A$5001,"&lt;="&amp;$B147,BD!$P$3:$P$5001,"&lt;&gt;"))))</f>
        <v/>
      </c>
      <c r="F147" s="54" t="str">
        <f>IF(OR($B147="",$A147&gt;$B$9,F$128=""),"",IF(COUNTIFS(BD!$B$3:$B$5001,F$128,BD!$A$3:$A$5001,"&gt;="&amp;$C$7,BD!$A$3:$A$5001,"&lt;="&amp;$B147,BD!$P$3:$P$5001,"&lt;&gt;")=0,"",SUMIFS(BD!$P$3:$P$5001,BD!$B$3:$B$5001,F$128,BD!$A$3:$A$5001,_xlfn.MAXIFS(BD!$A$3:$A$5001,BD!$B$3:$B$5001,F$128,BD!$A$3:$A$5001,"&gt;="&amp;$C$7,BD!$A$3:$A$5001,"&lt;="&amp;$B147,BD!$P$3:$P$5001,"&lt;&gt;"))))</f>
        <v/>
      </c>
      <c r="G147" s="54" t="str">
        <f>IF(OR($B147="",$A147&gt;$B$9,G$128=""),"",IF(COUNTIFS(BD!$B$3:$B$5001,G$128,BD!$A$3:$A$5001,"&gt;="&amp;$C$7,BD!$A$3:$A$5001,"&lt;="&amp;$B147,BD!$P$3:$P$5001,"&lt;&gt;")=0,"",SUMIFS(BD!$P$3:$P$5001,BD!$B$3:$B$5001,G$128,BD!$A$3:$A$5001,_xlfn.MAXIFS(BD!$A$3:$A$5001,BD!$B$3:$B$5001,G$128,BD!$A$3:$A$5001,"&gt;="&amp;$C$7,BD!$A$3:$A$5001,"&lt;="&amp;$B147,BD!$P$3:$P$5001,"&lt;&gt;"))))</f>
        <v/>
      </c>
      <c r="H147" s="54" t="str">
        <f>IF(OR($B147="",$A147&gt;$B$9,H$128=""),"",IF(COUNTIFS(BD!$B$3:$B$5001,H$128,BD!$A$3:$A$5001,"&gt;="&amp;$C$7,BD!$A$3:$A$5001,"&lt;="&amp;$B147,BD!$P$3:$P$5001,"&lt;&gt;")=0,"",SUMIFS(BD!$P$3:$P$5001,BD!$B$3:$B$5001,H$128,BD!$A$3:$A$5001,_xlfn.MAXIFS(BD!$A$3:$A$5001,BD!$B$3:$B$5001,H$128,BD!$A$3:$A$5001,"&gt;="&amp;$C$7,BD!$A$3:$A$5001,"&lt;="&amp;$B147,BD!$P$3:$P$5001,"&lt;&gt;"))))</f>
        <v/>
      </c>
      <c r="I147" s="54" t="str">
        <f>IF(OR($B147="",$A147&gt;$B$9,I$128=""),"",IF(COUNTIFS(BD!$B$3:$B$5001,I$128,BD!$A$3:$A$5001,"&gt;="&amp;$C$7,BD!$A$3:$A$5001,"&lt;="&amp;$B147,BD!$P$3:$P$5001,"&lt;&gt;")=0,"",SUMIFS(BD!$P$3:$P$5001,BD!$B$3:$B$5001,I$128,BD!$A$3:$A$5001,_xlfn.MAXIFS(BD!$A$3:$A$5001,BD!$B$3:$B$5001,I$128,BD!$A$3:$A$5001,"&gt;="&amp;$C$7,BD!$A$3:$A$5001,"&lt;="&amp;$B147,BD!$P$3:$P$5001,"&lt;&gt;"))))</f>
        <v/>
      </c>
      <c r="J147" s="54" t="str">
        <f>IF(OR($B147="",$A147&gt;$B$9,J$128=""),"",IF(COUNTIFS(BD!$B$3:$B$5001,J$128,BD!$A$3:$A$5001,"&gt;="&amp;$C$7,BD!$A$3:$A$5001,"&lt;="&amp;$B147,BD!$P$3:$P$5001,"&lt;&gt;")=0,"",SUMIFS(BD!$P$3:$P$5001,BD!$B$3:$B$5001,J$128,BD!$A$3:$A$5001,_xlfn.MAXIFS(BD!$A$3:$A$5001,BD!$B$3:$B$5001,J$128,BD!$A$3:$A$5001,"&gt;="&amp;$C$7,BD!$A$3:$A$5001,"&lt;="&amp;$B147,BD!$P$3:$P$5001,"&lt;&gt;"))))</f>
        <v/>
      </c>
      <c r="K147" s="54" t="str">
        <f>IF(OR($B147="",$A147&gt;$B$9,K$128=""),"",IF(COUNTIFS(BD!$B$3:$B$5001,K$128,BD!$A$3:$A$5001,"&gt;="&amp;$C$7,BD!$A$3:$A$5001,"&lt;="&amp;$B147,BD!$P$3:$P$5001,"&lt;&gt;")=0,"",SUMIFS(BD!$P$3:$P$5001,BD!$B$3:$B$5001,K$128,BD!$A$3:$A$5001,_xlfn.MAXIFS(BD!$A$3:$A$5001,BD!$B$3:$B$5001,K$128,BD!$A$3:$A$5001,"&gt;="&amp;$C$7,BD!$A$3:$A$5001,"&lt;="&amp;$B147,BD!$P$3:$P$5001,"&lt;&gt;"))))</f>
        <v/>
      </c>
      <c r="L147" s="54" t="str">
        <f>IF(OR($B147="",$A147&gt;$B$9,L$128=""),"",IF(COUNTIFS(BD!$B$3:$B$5001,L$128,BD!$A$3:$A$5001,"&gt;="&amp;$C$7,BD!$A$3:$A$5001,"&lt;="&amp;$B147,BD!$P$3:$P$5001,"&lt;&gt;")=0,"",SUMIFS(BD!$P$3:$P$5001,BD!$B$3:$B$5001,L$128,BD!$A$3:$A$5001,_xlfn.MAXIFS(BD!$A$3:$A$5001,BD!$B$3:$B$5001,L$128,BD!$A$3:$A$5001,"&gt;="&amp;$C$7,BD!$A$3:$A$5001,"&lt;="&amp;$B147,BD!$P$3:$P$5001,"&lt;&gt;"))))</f>
        <v/>
      </c>
      <c r="M147" s="54" t="str">
        <f>IF(OR($B147="",$A147&gt;$B$9,M$128=""),"",IF(COUNTIFS(BD!$B$3:$B$5001,M$128,BD!$A$3:$A$5001,"&gt;="&amp;$C$7,BD!$A$3:$A$5001,"&lt;="&amp;$B147,BD!$P$3:$P$5001,"&lt;&gt;")=0,"",SUMIFS(BD!$P$3:$P$5001,BD!$B$3:$B$5001,M$128,BD!$A$3:$A$5001,_xlfn.MAXIFS(BD!$A$3:$A$5001,BD!$B$3:$B$5001,M$128,BD!$A$3:$A$5001,"&gt;="&amp;$C$7,BD!$A$3:$A$5001,"&lt;="&amp;$B147,BD!$P$3:$P$5001,"&lt;&gt;"))))</f>
        <v/>
      </c>
      <c r="N147" s="54" t="str">
        <f>IF(OR($B147="",$A147&gt;$B$9,N$128=""),"",IF(COUNTIFS(BD!$B$3:$B$5001,N$128,BD!$A$3:$A$5001,"&gt;="&amp;$C$7,BD!$A$3:$A$5001,"&lt;="&amp;$B147,BD!$P$3:$P$5001,"&lt;&gt;")=0,"",SUMIFS(BD!$P$3:$P$5001,BD!$B$3:$B$5001,N$128,BD!$A$3:$A$5001,_xlfn.MAXIFS(BD!$A$3:$A$5001,BD!$B$3:$B$5001,N$128,BD!$A$3:$A$5001,"&gt;="&amp;$C$7,BD!$A$3:$A$5001,"&lt;="&amp;$B147,BD!$P$3:$P$5001,"&lt;&gt;"))))</f>
        <v/>
      </c>
      <c r="O147" s="54" t="str">
        <f>IF(OR($B147="",$A147&gt;$B$9,O$128=""),"",IF(COUNTIFS(BD!$B$3:$B$5001,O$128,BD!$A$3:$A$5001,"&gt;="&amp;$C$7,BD!$A$3:$A$5001,"&lt;="&amp;$B147,BD!$P$3:$P$5001,"&lt;&gt;")=0,"",SUMIFS(BD!$P$3:$P$5001,BD!$B$3:$B$5001,O$128,BD!$A$3:$A$5001,_xlfn.MAXIFS(BD!$A$3:$A$5001,BD!$B$3:$B$5001,O$128,BD!$A$3:$A$5001,"&gt;="&amp;$C$7,BD!$A$3:$A$5001,"&lt;="&amp;$B147,BD!$P$3:$P$5001,"&lt;&gt;"))))</f>
        <v/>
      </c>
      <c r="P147" s="54" t="str">
        <f>IF(OR($B147="",$A147&gt;$B$9,P$128=""),"",IF(COUNTIFS(BD!$B$3:$B$5001,P$128,BD!$A$3:$A$5001,"&gt;="&amp;$C$7,BD!$A$3:$A$5001,"&lt;="&amp;$B147,BD!$P$3:$P$5001,"&lt;&gt;")=0,"",SUMIFS(BD!$P$3:$P$5001,BD!$B$3:$B$5001,P$128,BD!$A$3:$A$5001,_xlfn.MAXIFS(BD!$A$3:$A$5001,BD!$B$3:$B$5001,P$128,BD!$A$3:$A$5001,"&gt;="&amp;$C$7,BD!$A$3:$A$5001,"&lt;="&amp;$B147,BD!$P$3:$P$5001,"&lt;&gt;"))))</f>
        <v/>
      </c>
      <c r="Q147" s="54" t="str">
        <f>IF(OR($B147="",$A147&gt;$B$9,Q$128=""),"",IF(COUNTIFS(BD!$B$3:$B$5001,Q$128,BD!$A$3:$A$5001,"&gt;="&amp;$C$7,BD!$A$3:$A$5001,"&lt;="&amp;$B147,BD!$P$3:$P$5001,"&lt;&gt;")=0,"",SUMIFS(BD!$P$3:$P$5001,BD!$B$3:$B$5001,Q$128,BD!$A$3:$A$5001,_xlfn.MAXIFS(BD!$A$3:$A$5001,BD!$B$3:$B$5001,Q$128,BD!$A$3:$A$5001,"&gt;="&amp;$C$7,BD!$A$3:$A$5001,"&lt;="&amp;$B147,BD!$P$3:$P$5001,"&lt;&gt;"))))</f>
        <v/>
      </c>
      <c r="R147" s="54" t="str">
        <f>IF(OR($B147="",$A147&gt;$B$9,R$128=""),"",IF(COUNTIFS(BD!$B$3:$B$5001,R$128,BD!$A$3:$A$5001,"&gt;="&amp;$C$7,BD!$A$3:$A$5001,"&lt;="&amp;$B147,BD!$P$3:$P$5001,"&lt;&gt;")=0,"",SUMIFS(BD!$P$3:$P$5001,BD!$B$3:$B$5001,R$128,BD!$A$3:$A$5001,_xlfn.MAXIFS(BD!$A$3:$A$5001,BD!$B$3:$B$5001,R$128,BD!$A$3:$A$5001,"&gt;="&amp;$C$7,BD!$A$3:$A$5001,"&lt;="&amp;$B147,BD!$P$3:$P$5001,"&lt;&gt;"))))</f>
        <v/>
      </c>
      <c r="S147" s="54" t="str">
        <f>IF(OR($B147="",$A147&gt;$B$9,S$128=""),"",IF(COUNTIFS(BD!$B$3:$B$5001,S$128,BD!$A$3:$A$5001,"&gt;="&amp;$C$7,BD!$A$3:$A$5001,"&lt;="&amp;$B147,BD!$P$3:$P$5001,"&lt;&gt;")=0,"",SUMIFS(BD!$P$3:$P$5001,BD!$B$3:$B$5001,S$128,BD!$A$3:$A$5001,_xlfn.MAXIFS(BD!$A$3:$A$5001,BD!$B$3:$B$5001,S$128,BD!$A$3:$A$5001,"&gt;="&amp;$C$7,BD!$A$3:$A$5001,"&lt;="&amp;$B147,BD!$P$3:$P$5001,"&lt;&gt;"))))</f>
        <v/>
      </c>
      <c r="T147" s="54" t="str">
        <f>IF(OR($B147="",$A147&gt;$B$9,T$128=""),"",IF(COUNTIFS(BD!$B$3:$B$5001,T$128,BD!$A$3:$A$5001,"&gt;="&amp;$C$7,BD!$A$3:$A$5001,"&lt;="&amp;$B147,BD!$P$3:$P$5001,"&lt;&gt;")=0,"",SUMIFS(BD!$P$3:$P$5001,BD!$B$3:$B$5001,T$128,BD!$A$3:$A$5001,_xlfn.MAXIFS(BD!$A$3:$A$5001,BD!$B$3:$B$5001,T$128,BD!$A$3:$A$5001,"&gt;="&amp;$C$7,BD!$A$3:$A$5001,"&lt;="&amp;$B147,BD!$P$3:$P$5001,"&lt;&gt;"))))</f>
        <v/>
      </c>
      <c r="U147" s="54" t="str">
        <f>IF(OR($B147="",$A147&gt;$B$9,U$128=""),"",IF(COUNTIFS(BD!$B$3:$B$5001,U$128,BD!$A$3:$A$5001,"&gt;="&amp;$C$7,BD!$A$3:$A$5001,"&lt;="&amp;$B147,BD!$P$3:$P$5001,"&lt;&gt;")=0,"",SUMIFS(BD!$P$3:$P$5001,BD!$B$3:$B$5001,U$128,BD!$A$3:$A$5001,_xlfn.MAXIFS(BD!$A$3:$A$5001,BD!$B$3:$B$5001,U$128,BD!$A$3:$A$5001,"&gt;="&amp;$C$7,BD!$A$3:$A$5001,"&lt;="&amp;$B147,BD!$P$3:$P$5001,"&lt;&gt;"))))</f>
        <v/>
      </c>
      <c r="V147" s="54" t="str">
        <f>IF(OR($B147="",$A147&gt;$B$9,V$128=""),"",IF(COUNTIFS(BD!$B$3:$B$5001,V$128,BD!$A$3:$A$5001,"&gt;="&amp;$C$7,BD!$A$3:$A$5001,"&lt;="&amp;$B147,BD!$P$3:$P$5001,"&lt;&gt;")=0,"",SUMIFS(BD!$P$3:$P$5001,BD!$B$3:$B$5001,V$128,BD!$A$3:$A$5001,_xlfn.MAXIFS(BD!$A$3:$A$5001,BD!$B$3:$B$5001,V$128,BD!$A$3:$A$5001,"&gt;="&amp;$C$7,BD!$A$3:$A$5001,"&lt;="&amp;$B147,BD!$P$3:$P$5001,"&lt;&gt;"))))</f>
        <v/>
      </c>
    </row>
    <row r="148">
      <c r="A148" s="48">
        <v>20</v>
      </c>
      <c r="B148" s="53">
        <f>$B$31</f>
        <v>46315</v>
      </c>
      <c r="C148" s="54" t="str">
        <f>IF(OR($B148="",$A148&gt;$B$9,C$128=""),"",IF(COUNTIFS(BD!$B$3:$B$5001,C$128,BD!$A$3:$A$5001,"&gt;="&amp;$C$7,BD!$A$3:$A$5001,"&lt;="&amp;$B148,BD!$P$3:$P$5001,"&lt;&gt;")=0,"",SUMIFS(BD!$P$3:$P$5001,BD!$B$3:$B$5001,C$128,BD!$A$3:$A$5001,_xlfn.MAXIFS(BD!$A$3:$A$5001,BD!$B$3:$B$5001,C$128,BD!$A$3:$A$5001,"&gt;="&amp;$C$7,BD!$A$3:$A$5001,"&lt;="&amp;$B148,BD!$P$3:$P$5001,"&lt;&gt;"))))</f>
        <v/>
      </c>
      <c r="D148" s="54" t="str">
        <f>IF(OR($B148="",$A148&gt;$B$9,D$128=""),"",IF(COUNTIFS(BD!$B$3:$B$5001,D$128,BD!$A$3:$A$5001,"&gt;="&amp;$C$7,BD!$A$3:$A$5001,"&lt;="&amp;$B148,BD!$P$3:$P$5001,"&lt;&gt;")=0,"",SUMIFS(BD!$P$3:$P$5001,BD!$B$3:$B$5001,D$128,BD!$A$3:$A$5001,_xlfn.MAXIFS(BD!$A$3:$A$5001,BD!$B$3:$B$5001,D$128,BD!$A$3:$A$5001,"&gt;="&amp;$C$7,BD!$A$3:$A$5001,"&lt;="&amp;$B148,BD!$P$3:$P$5001,"&lt;&gt;"))))</f>
        <v/>
      </c>
      <c r="E148" s="54" t="str">
        <f>IF(OR($B148="",$A148&gt;$B$9,E$128=""),"",IF(COUNTIFS(BD!$B$3:$B$5001,E$128,BD!$A$3:$A$5001,"&gt;="&amp;$C$7,BD!$A$3:$A$5001,"&lt;="&amp;$B148,BD!$P$3:$P$5001,"&lt;&gt;")=0,"",SUMIFS(BD!$P$3:$P$5001,BD!$B$3:$B$5001,E$128,BD!$A$3:$A$5001,_xlfn.MAXIFS(BD!$A$3:$A$5001,BD!$B$3:$B$5001,E$128,BD!$A$3:$A$5001,"&gt;="&amp;$C$7,BD!$A$3:$A$5001,"&lt;="&amp;$B148,BD!$P$3:$P$5001,"&lt;&gt;"))))</f>
        <v/>
      </c>
      <c r="F148" s="54" t="str">
        <f>IF(OR($B148="",$A148&gt;$B$9,F$128=""),"",IF(COUNTIFS(BD!$B$3:$B$5001,F$128,BD!$A$3:$A$5001,"&gt;="&amp;$C$7,BD!$A$3:$A$5001,"&lt;="&amp;$B148,BD!$P$3:$P$5001,"&lt;&gt;")=0,"",SUMIFS(BD!$P$3:$P$5001,BD!$B$3:$B$5001,F$128,BD!$A$3:$A$5001,_xlfn.MAXIFS(BD!$A$3:$A$5001,BD!$B$3:$B$5001,F$128,BD!$A$3:$A$5001,"&gt;="&amp;$C$7,BD!$A$3:$A$5001,"&lt;="&amp;$B148,BD!$P$3:$P$5001,"&lt;&gt;"))))</f>
        <v/>
      </c>
      <c r="G148" s="54" t="str">
        <f>IF(OR($B148="",$A148&gt;$B$9,G$128=""),"",IF(COUNTIFS(BD!$B$3:$B$5001,G$128,BD!$A$3:$A$5001,"&gt;="&amp;$C$7,BD!$A$3:$A$5001,"&lt;="&amp;$B148,BD!$P$3:$P$5001,"&lt;&gt;")=0,"",SUMIFS(BD!$P$3:$P$5001,BD!$B$3:$B$5001,G$128,BD!$A$3:$A$5001,_xlfn.MAXIFS(BD!$A$3:$A$5001,BD!$B$3:$B$5001,G$128,BD!$A$3:$A$5001,"&gt;="&amp;$C$7,BD!$A$3:$A$5001,"&lt;="&amp;$B148,BD!$P$3:$P$5001,"&lt;&gt;"))))</f>
        <v/>
      </c>
      <c r="H148" s="54" t="str">
        <f>IF(OR($B148="",$A148&gt;$B$9,H$128=""),"",IF(COUNTIFS(BD!$B$3:$B$5001,H$128,BD!$A$3:$A$5001,"&gt;="&amp;$C$7,BD!$A$3:$A$5001,"&lt;="&amp;$B148,BD!$P$3:$P$5001,"&lt;&gt;")=0,"",SUMIFS(BD!$P$3:$P$5001,BD!$B$3:$B$5001,H$128,BD!$A$3:$A$5001,_xlfn.MAXIFS(BD!$A$3:$A$5001,BD!$B$3:$B$5001,H$128,BD!$A$3:$A$5001,"&gt;="&amp;$C$7,BD!$A$3:$A$5001,"&lt;="&amp;$B148,BD!$P$3:$P$5001,"&lt;&gt;"))))</f>
        <v/>
      </c>
      <c r="I148" s="54" t="str">
        <f>IF(OR($B148="",$A148&gt;$B$9,I$128=""),"",IF(COUNTIFS(BD!$B$3:$B$5001,I$128,BD!$A$3:$A$5001,"&gt;="&amp;$C$7,BD!$A$3:$A$5001,"&lt;="&amp;$B148,BD!$P$3:$P$5001,"&lt;&gt;")=0,"",SUMIFS(BD!$P$3:$P$5001,BD!$B$3:$B$5001,I$128,BD!$A$3:$A$5001,_xlfn.MAXIFS(BD!$A$3:$A$5001,BD!$B$3:$B$5001,I$128,BD!$A$3:$A$5001,"&gt;="&amp;$C$7,BD!$A$3:$A$5001,"&lt;="&amp;$B148,BD!$P$3:$P$5001,"&lt;&gt;"))))</f>
        <v/>
      </c>
      <c r="J148" s="54" t="str">
        <f>IF(OR($B148="",$A148&gt;$B$9,J$128=""),"",IF(COUNTIFS(BD!$B$3:$B$5001,J$128,BD!$A$3:$A$5001,"&gt;="&amp;$C$7,BD!$A$3:$A$5001,"&lt;="&amp;$B148,BD!$P$3:$P$5001,"&lt;&gt;")=0,"",SUMIFS(BD!$P$3:$P$5001,BD!$B$3:$B$5001,J$128,BD!$A$3:$A$5001,_xlfn.MAXIFS(BD!$A$3:$A$5001,BD!$B$3:$B$5001,J$128,BD!$A$3:$A$5001,"&gt;="&amp;$C$7,BD!$A$3:$A$5001,"&lt;="&amp;$B148,BD!$P$3:$P$5001,"&lt;&gt;"))))</f>
        <v/>
      </c>
      <c r="K148" s="54" t="str">
        <f>IF(OR($B148="",$A148&gt;$B$9,K$128=""),"",IF(COUNTIFS(BD!$B$3:$B$5001,K$128,BD!$A$3:$A$5001,"&gt;="&amp;$C$7,BD!$A$3:$A$5001,"&lt;="&amp;$B148,BD!$P$3:$P$5001,"&lt;&gt;")=0,"",SUMIFS(BD!$P$3:$P$5001,BD!$B$3:$B$5001,K$128,BD!$A$3:$A$5001,_xlfn.MAXIFS(BD!$A$3:$A$5001,BD!$B$3:$B$5001,K$128,BD!$A$3:$A$5001,"&gt;="&amp;$C$7,BD!$A$3:$A$5001,"&lt;="&amp;$B148,BD!$P$3:$P$5001,"&lt;&gt;"))))</f>
        <v/>
      </c>
      <c r="L148" s="54" t="str">
        <f>IF(OR($B148="",$A148&gt;$B$9,L$128=""),"",IF(COUNTIFS(BD!$B$3:$B$5001,L$128,BD!$A$3:$A$5001,"&gt;="&amp;$C$7,BD!$A$3:$A$5001,"&lt;="&amp;$B148,BD!$P$3:$P$5001,"&lt;&gt;")=0,"",SUMIFS(BD!$P$3:$P$5001,BD!$B$3:$B$5001,L$128,BD!$A$3:$A$5001,_xlfn.MAXIFS(BD!$A$3:$A$5001,BD!$B$3:$B$5001,L$128,BD!$A$3:$A$5001,"&gt;="&amp;$C$7,BD!$A$3:$A$5001,"&lt;="&amp;$B148,BD!$P$3:$P$5001,"&lt;&gt;"))))</f>
        <v/>
      </c>
      <c r="M148" s="54" t="str">
        <f>IF(OR($B148="",$A148&gt;$B$9,M$128=""),"",IF(COUNTIFS(BD!$B$3:$B$5001,M$128,BD!$A$3:$A$5001,"&gt;="&amp;$C$7,BD!$A$3:$A$5001,"&lt;="&amp;$B148,BD!$P$3:$P$5001,"&lt;&gt;")=0,"",SUMIFS(BD!$P$3:$P$5001,BD!$B$3:$B$5001,M$128,BD!$A$3:$A$5001,_xlfn.MAXIFS(BD!$A$3:$A$5001,BD!$B$3:$B$5001,M$128,BD!$A$3:$A$5001,"&gt;="&amp;$C$7,BD!$A$3:$A$5001,"&lt;="&amp;$B148,BD!$P$3:$P$5001,"&lt;&gt;"))))</f>
        <v/>
      </c>
      <c r="N148" s="54" t="str">
        <f>IF(OR($B148="",$A148&gt;$B$9,N$128=""),"",IF(COUNTIFS(BD!$B$3:$B$5001,N$128,BD!$A$3:$A$5001,"&gt;="&amp;$C$7,BD!$A$3:$A$5001,"&lt;="&amp;$B148,BD!$P$3:$P$5001,"&lt;&gt;")=0,"",SUMIFS(BD!$P$3:$P$5001,BD!$B$3:$B$5001,N$128,BD!$A$3:$A$5001,_xlfn.MAXIFS(BD!$A$3:$A$5001,BD!$B$3:$B$5001,N$128,BD!$A$3:$A$5001,"&gt;="&amp;$C$7,BD!$A$3:$A$5001,"&lt;="&amp;$B148,BD!$P$3:$P$5001,"&lt;&gt;"))))</f>
        <v/>
      </c>
      <c r="O148" s="54" t="str">
        <f>IF(OR($B148="",$A148&gt;$B$9,O$128=""),"",IF(COUNTIFS(BD!$B$3:$B$5001,O$128,BD!$A$3:$A$5001,"&gt;="&amp;$C$7,BD!$A$3:$A$5001,"&lt;="&amp;$B148,BD!$P$3:$P$5001,"&lt;&gt;")=0,"",SUMIFS(BD!$P$3:$P$5001,BD!$B$3:$B$5001,O$128,BD!$A$3:$A$5001,_xlfn.MAXIFS(BD!$A$3:$A$5001,BD!$B$3:$B$5001,O$128,BD!$A$3:$A$5001,"&gt;="&amp;$C$7,BD!$A$3:$A$5001,"&lt;="&amp;$B148,BD!$P$3:$P$5001,"&lt;&gt;"))))</f>
        <v/>
      </c>
      <c r="P148" s="54" t="str">
        <f>IF(OR($B148="",$A148&gt;$B$9,P$128=""),"",IF(COUNTIFS(BD!$B$3:$B$5001,P$128,BD!$A$3:$A$5001,"&gt;="&amp;$C$7,BD!$A$3:$A$5001,"&lt;="&amp;$B148,BD!$P$3:$P$5001,"&lt;&gt;")=0,"",SUMIFS(BD!$P$3:$P$5001,BD!$B$3:$B$5001,P$128,BD!$A$3:$A$5001,_xlfn.MAXIFS(BD!$A$3:$A$5001,BD!$B$3:$B$5001,P$128,BD!$A$3:$A$5001,"&gt;="&amp;$C$7,BD!$A$3:$A$5001,"&lt;="&amp;$B148,BD!$P$3:$P$5001,"&lt;&gt;"))))</f>
        <v/>
      </c>
      <c r="Q148" s="54" t="str">
        <f>IF(OR($B148="",$A148&gt;$B$9,Q$128=""),"",IF(COUNTIFS(BD!$B$3:$B$5001,Q$128,BD!$A$3:$A$5001,"&gt;="&amp;$C$7,BD!$A$3:$A$5001,"&lt;="&amp;$B148,BD!$P$3:$P$5001,"&lt;&gt;")=0,"",SUMIFS(BD!$P$3:$P$5001,BD!$B$3:$B$5001,Q$128,BD!$A$3:$A$5001,_xlfn.MAXIFS(BD!$A$3:$A$5001,BD!$B$3:$B$5001,Q$128,BD!$A$3:$A$5001,"&gt;="&amp;$C$7,BD!$A$3:$A$5001,"&lt;="&amp;$B148,BD!$P$3:$P$5001,"&lt;&gt;"))))</f>
        <v/>
      </c>
      <c r="R148" s="54" t="str">
        <f>IF(OR($B148="",$A148&gt;$B$9,R$128=""),"",IF(COUNTIFS(BD!$B$3:$B$5001,R$128,BD!$A$3:$A$5001,"&gt;="&amp;$C$7,BD!$A$3:$A$5001,"&lt;="&amp;$B148,BD!$P$3:$P$5001,"&lt;&gt;")=0,"",SUMIFS(BD!$P$3:$P$5001,BD!$B$3:$B$5001,R$128,BD!$A$3:$A$5001,_xlfn.MAXIFS(BD!$A$3:$A$5001,BD!$B$3:$B$5001,R$128,BD!$A$3:$A$5001,"&gt;="&amp;$C$7,BD!$A$3:$A$5001,"&lt;="&amp;$B148,BD!$P$3:$P$5001,"&lt;&gt;"))))</f>
        <v/>
      </c>
      <c r="S148" s="54" t="str">
        <f>IF(OR($B148="",$A148&gt;$B$9,S$128=""),"",IF(COUNTIFS(BD!$B$3:$B$5001,S$128,BD!$A$3:$A$5001,"&gt;="&amp;$C$7,BD!$A$3:$A$5001,"&lt;="&amp;$B148,BD!$P$3:$P$5001,"&lt;&gt;")=0,"",SUMIFS(BD!$P$3:$P$5001,BD!$B$3:$B$5001,S$128,BD!$A$3:$A$5001,_xlfn.MAXIFS(BD!$A$3:$A$5001,BD!$B$3:$B$5001,S$128,BD!$A$3:$A$5001,"&gt;="&amp;$C$7,BD!$A$3:$A$5001,"&lt;="&amp;$B148,BD!$P$3:$P$5001,"&lt;&gt;"))))</f>
        <v/>
      </c>
      <c r="T148" s="54" t="str">
        <f>IF(OR($B148="",$A148&gt;$B$9,T$128=""),"",IF(COUNTIFS(BD!$B$3:$B$5001,T$128,BD!$A$3:$A$5001,"&gt;="&amp;$C$7,BD!$A$3:$A$5001,"&lt;="&amp;$B148,BD!$P$3:$P$5001,"&lt;&gt;")=0,"",SUMIFS(BD!$P$3:$P$5001,BD!$B$3:$B$5001,T$128,BD!$A$3:$A$5001,_xlfn.MAXIFS(BD!$A$3:$A$5001,BD!$B$3:$B$5001,T$128,BD!$A$3:$A$5001,"&gt;="&amp;$C$7,BD!$A$3:$A$5001,"&lt;="&amp;$B148,BD!$P$3:$P$5001,"&lt;&gt;"))))</f>
        <v/>
      </c>
      <c r="U148" s="54" t="str">
        <f>IF(OR($B148="",$A148&gt;$B$9,U$128=""),"",IF(COUNTIFS(BD!$B$3:$B$5001,U$128,BD!$A$3:$A$5001,"&gt;="&amp;$C$7,BD!$A$3:$A$5001,"&lt;="&amp;$B148,BD!$P$3:$P$5001,"&lt;&gt;")=0,"",SUMIFS(BD!$P$3:$P$5001,BD!$B$3:$B$5001,U$128,BD!$A$3:$A$5001,_xlfn.MAXIFS(BD!$A$3:$A$5001,BD!$B$3:$B$5001,U$128,BD!$A$3:$A$5001,"&gt;="&amp;$C$7,BD!$A$3:$A$5001,"&lt;="&amp;$B148,BD!$P$3:$P$5001,"&lt;&gt;"))))</f>
        <v/>
      </c>
      <c r="V148" s="54" t="str">
        <f>IF(OR($B148="",$A148&gt;$B$9,V$128=""),"",IF(COUNTIFS(BD!$B$3:$B$5001,V$128,BD!$A$3:$A$5001,"&gt;="&amp;$C$7,BD!$A$3:$A$5001,"&lt;="&amp;$B148,BD!$P$3:$P$5001,"&lt;&gt;")=0,"",SUMIFS(BD!$P$3:$P$5001,BD!$B$3:$B$5001,V$128,BD!$A$3:$A$5001,_xlfn.MAXIFS(BD!$A$3:$A$5001,BD!$B$3:$B$5001,V$128,BD!$A$3:$A$5001,"&gt;="&amp;$C$7,BD!$A$3:$A$5001,"&lt;="&amp;$B148,BD!$P$3:$P$5001,"&lt;&gt;"))))</f>
        <v/>
      </c>
    </row>
    <row r="149">
      <c r="A149" s="48">
        <v>21</v>
      </c>
      <c r="B149" s="53">
        <f>$B$32</f>
        <v>46316</v>
      </c>
      <c r="C149" s="54" t="str">
        <f>IF(OR($B149="",$A149&gt;$B$9,C$128=""),"",IF(COUNTIFS(BD!$B$3:$B$5001,C$128,BD!$A$3:$A$5001,"&gt;="&amp;$C$7,BD!$A$3:$A$5001,"&lt;="&amp;$B149,BD!$P$3:$P$5001,"&lt;&gt;")=0,"",SUMIFS(BD!$P$3:$P$5001,BD!$B$3:$B$5001,C$128,BD!$A$3:$A$5001,_xlfn.MAXIFS(BD!$A$3:$A$5001,BD!$B$3:$B$5001,C$128,BD!$A$3:$A$5001,"&gt;="&amp;$C$7,BD!$A$3:$A$5001,"&lt;="&amp;$B149,BD!$P$3:$P$5001,"&lt;&gt;"))))</f>
        <v/>
      </c>
      <c r="D149" s="54" t="str">
        <f>IF(OR($B149="",$A149&gt;$B$9,D$128=""),"",IF(COUNTIFS(BD!$B$3:$B$5001,D$128,BD!$A$3:$A$5001,"&gt;="&amp;$C$7,BD!$A$3:$A$5001,"&lt;="&amp;$B149,BD!$P$3:$P$5001,"&lt;&gt;")=0,"",SUMIFS(BD!$P$3:$P$5001,BD!$B$3:$B$5001,D$128,BD!$A$3:$A$5001,_xlfn.MAXIFS(BD!$A$3:$A$5001,BD!$B$3:$B$5001,D$128,BD!$A$3:$A$5001,"&gt;="&amp;$C$7,BD!$A$3:$A$5001,"&lt;="&amp;$B149,BD!$P$3:$P$5001,"&lt;&gt;"))))</f>
        <v/>
      </c>
      <c r="E149" s="54" t="str">
        <f>IF(OR($B149="",$A149&gt;$B$9,E$128=""),"",IF(COUNTIFS(BD!$B$3:$B$5001,E$128,BD!$A$3:$A$5001,"&gt;="&amp;$C$7,BD!$A$3:$A$5001,"&lt;="&amp;$B149,BD!$P$3:$P$5001,"&lt;&gt;")=0,"",SUMIFS(BD!$P$3:$P$5001,BD!$B$3:$B$5001,E$128,BD!$A$3:$A$5001,_xlfn.MAXIFS(BD!$A$3:$A$5001,BD!$B$3:$B$5001,E$128,BD!$A$3:$A$5001,"&gt;="&amp;$C$7,BD!$A$3:$A$5001,"&lt;="&amp;$B149,BD!$P$3:$P$5001,"&lt;&gt;"))))</f>
        <v/>
      </c>
      <c r="F149" s="54" t="str">
        <f>IF(OR($B149="",$A149&gt;$B$9,F$128=""),"",IF(COUNTIFS(BD!$B$3:$B$5001,F$128,BD!$A$3:$A$5001,"&gt;="&amp;$C$7,BD!$A$3:$A$5001,"&lt;="&amp;$B149,BD!$P$3:$P$5001,"&lt;&gt;")=0,"",SUMIFS(BD!$P$3:$P$5001,BD!$B$3:$B$5001,F$128,BD!$A$3:$A$5001,_xlfn.MAXIFS(BD!$A$3:$A$5001,BD!$B$3:$B$5001,F$128,BD!$A$3:$A$5001,"&gt;="&amp;$C$7,BD!$A$3:$A$5001,"&lt;="&amp;$B149,BD!$P$3:$P$5001,"&lt;&gt;"))))</f>
        <v/>
      </c>
      <c r="G149" s="54" t="str">
        <f>IF(OR($B149="",$A149&gt;$B$9,G$128=""),"",IF(COUNTIFS(BD!$B$3:$B$5001,G$128,BD!$A$3:$A$5001,"&gt;="&amp;$C$7,BD!$A$3:$A$5001,"&lt;="&amp;$B149,BD!$P$3:$P$5001,"&lt;&gt;")=0,"",SUMIFS(BD!$P$3:$P$5001,BD!$B$3:$B$5001,G$128,BD!$A$3:$A$5001,_xlfn.MAXIFS(BD!$A$3:$A$5001,BD!$B$3:$B$5001,G$128,BD!$A$3:$A$5001,"&gt;="&amp;$C$7,BD!$A$3:$A$5001,"&lt;="&amp;$B149,BD!$P$3:$P$5001,"&lt;&gt;"))))</f>
        <v/>
      </c>
      <c r="H149" s="54" t="str">
        <f>IF(OR($B149="",$A149&gt;$B$9,H$128=""),"",IF(COUNTIFS(BD!$B$3:$B$5001,H$128,BD!$A$3:$A$5001,"&gt;="&amp;$C$7,BD!$A$3:$A$5001,"&lt;="&amp;$B149,BD!$P$3:$P$5001,"&lt;&gt;")=0,"",SUMIFS(BD!$P$3:$P$5001,BD!$B$3:$B$5001,H$128,BD!$A$3:$A$5001,_xlfn.MAXIFS(BD!$A$3:$A$5001,BD!$B$3:$B$5001,H$128,BD!$A$3:$A$5001,"&gt;="&amp;$C$7,BD!$A$3:$A$5001,"&lt;="&amp;$B149,BD!$P$3:$P$5001,"&lt;&gt;"))))</f>
        <v/>
      </c>
      <c r="I149" s="54" t="str">
        <f>IF(OR($B149="",$A149&gt;$B$9,I$128=""),"",IF(COUNTIFS(BD!$B$3:$B$5001,I$128,BD!$A$3:$A$5001,"&gt;="&amp;$C$7,BD!$A$3:$A$5001,"&lt;="&amp;$B149,BD!$P$3:$P$5001,"&lt;&gt;")=0,"",SUMIFS(BD!$P$3:$P$5001,BD!$B$3:$B$5001,I$128,BD!$A$3:$A$5001,_xlfn.MAXIFS(BD!$A$3:$A$5001,BD!$B$3:$B$5001,I$128,BD!$A$3:$A$5001,"&gt;="&amp;$C$7,BD!$A$3:$A$5001,"&lt;="&amp;$B149,BD!$P$3:$P$5001,"&lt;&gt;"))))</f>
        <v/>
      </c>
      <c r="J149" s="54" t="str">
        <f>IF(OR($B149="",$A149&gt;$B$9,J$128=""),"",IF(COUNTIFS(BD!$B$3:$B$5001,J$128,BD!$A$3:$A$5001,"&gt;="&amp;$C$7,BD!$A$3:$A$5001,"&lt;="&amp;$B149,BD!$P$3:$P$5001,"&lt;&gt;")=0,"",SUMIFS(BD!$P$3:$P$5001,BD!$B$3:$B$5001,J$128,BD!$A$3:$A$5001,_xlfn.MAXIFS(BD!$A$3:$A$5001,BD!$B$3:$B$5001,J$128,BD!$A$3:$A$5001,"&gt;="&amp;$C$7,BD!$A$3:$A$5001,"&lt;="&amp;$B149,BD!$P$3:$P$5001,"&lt;&gt;"))))</f>
        <v/>
      </c>
      <c r="K149" s="54" t="str">
        <f>IF(OR($B149="",$A149&gt;$B$9,K$128=""),"",IF(COUNTIFS(BD!$B$3:$B$5001,K$128,BD!$A$3:$A$5001,"&gt;="&amp;$C$7,BD!$A$3:$A$5001,"&lt;="&amp;$B149,BD!$P$3:$P$5001,"&lt;&gt;")=0,"",SUMIFS(BD!$P$3:$P$5001,BD!$B$3:$B$5001,K$128,BD!$A$3:$A$5001,_xlfn.MAXIFS(BD!$A$3:$A$5001,BD!$B$3:$B$5001,K$128,BD!$A$3:$A$5001,"&gt;="&amp;$C$7,BD!$A$3:$A$5001,"&lt;="&amp;$B149,BD!$P$3:$P$5001,"&lt;&gt;"))))</f>
        <v/>
      </c>
      <c r="L149" s="54" t="str">
        <f>IF(OR($B149="",$A149&gt;$B$9,L$128=""),"",IF(COUNTIFS(BD!$B$3:$B$5001,L$128,BD!$A$3:$A$5001,"&gt;="&amp;$C$7,BD!$A$3:$A$5001,"&lt;="&amp;$B149,BD!$P$3:$P$5001,"&lt;&gt;")=0,"",SUMIFS(BD!$P$3:$P$5001,BD!$B$3:$B$5001,L$128,BD!$A$3:$A$5001,_xlfn.MAXIFS(BD!$A$3:$A$5001,BD!$B$3:$B$5001,L$128,BD!$A$3:$A$5001,"&gt;="&amp;$C$7,BD!$A$3:$A$5001,"&lt;="&amp;$B149,BD!$P$3:$P$5001,"&lt;&gt;"))))</f>
        <v/>
      </c>
      <c r="M149" s="54" t="str">
        <f>IF(OR($B149="",$A149&gt;$B$9,M$128=""),"",IF(COUNTIFS(BD!$B$3:$B$5001,M$128,BD!$A$3:$A$5001,"&gt;="&amp;$C$7,BD!$A$3:$A$5001,"&lt;="&amp;$B149,BD!$P$3:$P$5001,"&lt;&gt;")=0,"",SUMIFS(BD!$P$3:$P$5001,BD!$B$3:$B$5001,M$128,BD!$A$3:$A$5001,_xlfn.MAXIFS(BD!$A$3:$A$5001,BD!$B$3:$B$5001,M$128,BD!$A$3:$A$5001,"&gt;="&amp;$C$7,BD!$A$3:$A$5001,"&lt;="&amp;$B149,BD!$P$3:$P$5001,"&lt;&gt;"))))</f>
        <v/>
      </c>
      <c r="N149" s="54" t="str">
        <f>IF(OR($B149="",$A149&gt;$B$9,N$128=""),"",IF(COUNTIFS(BD!$B$3:$B$5001,N$128,BD!$A$3:$A$5001,"&gt;="&amp;$C$7,BD!$A$3:$A$5001,"&lt;="&amp;$B149,BD!$P$3:$P$5001,"&lt;&gt;")=0,"",SUMIFS(BD!$P$3:$P$5001,BD!$B$3:$B$5001,N$128,BD!$A$3:$A$5001,_xlfn.MAXIFS(BD!$A$3:$A$5001,BD!$B$3:$B$5001,N$128,BD!$A$3:$A$5001,"&gt;="&amp;$C$7,BD!$A$3:$A$5001,"&lt;="&amp;$B149,BD!$P$3:$P$5001,"&lt;&gt;"))))</f>
        <v/>
      </c>
      <c r="O149" s="54" t="str">
        <f>IF(OR($B149="",$A149&gt;$B$9,O$128=""),"",IF(COUNTIFS(BD!$B$3:$B$5001,O$128,BD!$A$3:$A$5001,"&gt;="&amp;$C$7,BD!$A$3:$A$5001,"&lt;="&amp;$B149,BD!$P$3:$P$5001,"&lt;&gt;")=0,"",SUMIFS(BD!$P$3:$P$5001,BD!$B$3:$B$5001,O$128,BD!$A$3:$A$5001,_xlfn.MAXIFS(BD!$A$3:$A$5001,BD!$B$3:$B$5001,O$128,BD!$A$3:$A$5001,"&gt;="&amp;$C$7,BD!$A$3:$A$5001,"&lt;="&amp;$B149,BD!$P$3:$P$5001,"&lt;&gt;"))))</f>
        <v/>
      </c>
      <c r="P149" s="54" t="str">
        <f>IF(OR($B149="",$A149&gt;$B$9,P$128=""),"",IF(COUNTIFS(BD!$B$3:$B$5001,P$128,BD!$A$3:$A$5001,"&gt;="&amp;$C$7,BD!$A$3:$A$5001,"&lt;="&amp;$B149,BD!$P$3:$P$5001,"&lt;&gt;")=0,"",SUMIFS(BD!$P$3:$P$5001,BD!$B$3:$B$5001,P$128,BD!$A$3:$A$5001,_xlfn.MAXIFS(BD!$A$3:$A$5001,BD!$B$3:$B$5001,P$128,BD!$A$3:$A$5001,"&gt;="&amp;$C$7,BD!$A$3:$A$5001,"&lt;="&amp;$B149,BD!$P$3:$P$5001,"&lt;&gt;"))))</f>
        <v/>
      </c>
      <c r="Q149" s="54" t="str">
        <f>IF(OR($B149="",$A149&gt;$B$9,Q$128=""),"",IF(COUNTIFS(BD!$B$3:$B$5001,Q$128,BD!$A$3:$A$5001,"&gt;="&amp;$C$7,BD!$A$3:$A$5001,"&lt;="&amp;$B149,BD!$P$3:$P$5001,"&lt;&gt;")=0,"",SUMIFS(BD!$P$3:$P$5001,BD!$B$3:$B$5001,Q$128,BD!$A$3:$A$5001,_xlfn.MAXIFS(BD!$A$3:$A$5001,BD!$B$3:$B$5001,Q$128,BD!$A$3:$A$5001,"&gt;="&amp;$C$7,BD!$A$3:$A$5001,"&lt;="&amp;$B149,BD!$P$3:$P$5001,"&lt;&gt;"))))</f>
        <v/>
      </c>
      <c r="R149" s="54" t="str">
        <f>IF(OR($B149="",$A149&gt;$B$9,R$128=""),"",IF(COUNTIFS(BD!$B$3:$B$5001,R$128,BD!$A$3:$A$5001,"&gt;="&amp;$C$7,BD!$A$3:$A$5001,"&lt;="&amp;$B149,BD!$P$3:$P$5001,"&lt;&gt;")=0,"",SUMIFS(BD!$P$3:$P$5001,BD!$B$3:$B$5001,R$128,BD!$A$3:$A$5001,_xlfn.MAXIFS(BD!$A$3:$A$5001,BD!$B$3:$B$5001,R$128,BD!$A$3:$A$5001,"&gt;="&amp;$C$7,BD!$A$3:$A$5001,"&lt;="&amp;$B149,BD!$P$3:$P$5001,"&lt;&gt;"))))</f>
        <v/>
      </c>
      <c r="S149" s="54" t="str">
        <f>IF(OR($B149="",$A149&gt;$B$9,S$128=""),"",IF(COUNTIFS(BD!$B$3:$B$5001,S$128,BD!$A$3:$A$5001,"&gt;="&amp;$C$7,BD!$A$3:$A$5001,"&lt;="&amp;$B149,BD!$P$3:$P$5001,"&lt;&gt;")=0,"",SUMIFS(BD!$P$3:$P$5001,BD!$B$3:$B$5001,S$128,BD!$A$3:$A$5001,_xlfn.MAXIFS(BD!$A$3:$A$5001,BD!$B$3:$B$5001,S$128,BD!$A$3:$A$5001,"&gt;="&amp;$C$7,BD!$A$3:$A$5001,"&lt;="&amp;$B149,BD!$P$3:$P$5001,"&lt;&gt;"))))</f>
        <v/>
      </c>
      <c r="T149" s="54" t="str">
        <f>IF(OR($B149="",$A149&gt;$B$9,T$128=""),"",IF(COUNTIFS(BD!$B$3:$B$5001,T$128,BD!$A$3:$A$5001,"&gt;="&amp;$C$7,BD!$A$3:$A$5001,"&lt;="&amp;$B149,BD!$P$3:$P$5001,"&lt;&gt;")=0,"",SUMIFS(BD!$P$3:$P$5001,BD!$B$3:$B$5001,T$128,BD!$A$3:$A$5001,_xlfn.MAXIFS(BD!$A$3:$A$5001,BD!$B$3:$B$5001,T$128,BD!$A$3:$A$5001,"&gt;="&amp;$C$7,BD!$A$3:$A$5001,"&lt;="&amp;$B149,BD!$P$3:$P$5001,"&lt;&gt;"))))</f>
        <v/>
      </c>
      <c r="U149" s="54" t="str">
        <f>IF(OR($B149="",$A149&gt;$B$9,U$128=""),"",IF(COUNTIFS(BD!$B$3:$B$5001,U$128,BD!$A$3:$A$5001,"&gt;="&amp;$C$7,BD!$A$3:$A$5001,"&lt;="&amp;$B149,BD!$P$3:$P$5001,"&lt;&gt;")=0,"",SUMIFS(BD!$P$3:$P$5001,BD!$B$3:$B$5001,U$128,BD!$A$3:$A$5001,_xlfn.MAXIFS(BD!$A$3:$A$5001,BD!$B$3:$B$5001,U$128,BD!$A$3:$A$5001,"&gt;="&amp;$C$7,BD!$A$3:$A$5001,"&lt;="&amp;$B149,BD!$P$3:$P$5001,"&lt;&gt;"))))</f>
        <v/>
      </c>
      <c r="V149" s="54" t="str">
        <f>IF(OR($B149="",$A149&gt;$B$9,V$128=""),"",IF(COUNTIFS(BD!$B$3:$B$5001,V$128,BD!$A$3:$A$5001,"&gt;="&amp;$C$7,BD!$A$3:$A$5001,"&lt;="&amp;$B149,BD!$P$3:$P$5001,"&lt;&gt;")=0,"",SUMIFS(BD!$P$3:$P$5001,BD!$B$3:$B$5001,V$128,BD!$A$3:$A$5001,_xlfn.MAXIFS(BD!$A$3:$A$5001,BD!$B$3:$B$5001,V$128,BD!$A$3:$A$5001,"&gt;="&amp;$C$7,BD!$A$3:$A$5001,"&lt;="&amp;$B149,BD!$P$3:$P$5001,"&lt;&gt;"))))</f>
        <v/>
      </c>
    </row>
    <row r="150">
      <c r="A150" s="48">
        <v>22</v>
      </c>
      <c r="B150" s="53">
        <f>$B$33</f>
        <v>46317</v>
      </c>
      <c r="C150" s="54" t="str">
        <f>IF(OR($B150="",$A150&gt;$B$9,C$128=""),"",IF(COUNTIFS(BD!$B$3:$B$5001,C$128,BD!$A$3:$A$5001,"&gt;="&amp;$C$7,BD!$A$3:$A$5001,"&lt;="&amp;$B150,BD!$P$3:$P$5001,"&lt;&gt;")=0,"",SUMIFS(BD!$P$3:$P$5001,BD!$B$3:$B$5001,C$128,BD!$A$3:$A$5001,_xlfn.MAXIFS(BD!$A$3:$A$5001,BD!$B$3:$B$5001,C$128,BD!$A$3:$A$5001,"&gt;="&amp;$C$7,BD!$A$3:$A$5001,"&lt;="&amp;$B150,BD!$P$3:$P$5001,"&lt;&gt;"))))</f>
        <v/>
      </c>
      <c r="D150" s="54" t="str">
        <f>IF(OR($B150="",$A150&gt;$B$9,D$128=""),"",IF(COUNTIFS(BD!$B$3:$B$5001,D$128,BD!$A$3:$A$5001,"&gt;="&amp;$C$7,BD!$A$3:$A$5001,"&lt;="&amp;$B150,BD!$P$3:$P$5001,"&lt;&gt;")=0,"",SUMIFS(BD!$P$3:$P$5001,BD!$B$3:$B$5001,D$128,BD!$A$3:$A$5001,_xlfn.MAXIFS(BD!$A$3:$A$5001,BD!$B$3:$B$5001,D$128,BD!$A$3:$A$5001,"&gt;="&amp;$C$7,BD!$A$3:$A$5001,"&lt;="&amp;$B150,BD!$P$3:$P$5001,"&lt;&gt;"))))</f>
        <v/>
      </c>
      <c r="E150" s="54" t="str">
        <f>IF(OR($B150="",$A150&gt;$B$9,E$128=""),"",IF(COUNTIFS(BD!$B$3:$B$5001,E$128,BD!$A$3:$A$5001,"&gt;="&amp;$C$7,BD!$A$3:$A$5001,"&lt;="&amp;$B150,BD!$P$3:$P$5001,"&lt;&gt;")=0,"",SUMIFS(BD!$P$3:$P$5001,BD!$B$3:$B$5001,E$128,BD!$A$3:$A$5001,_xlfn.MAXIFS(BD!$A$3:$A$5001,BD!$B$3:$B$5001,E$128,BD!$A$3:$A$5001,"&gt;="&amp;$C$7,BD!$A$3:$A$5001,"&lt;="&amp;$B150,BD!$P$3:$P$5001,"&lt;&gt;"))))</f>
        <v/>
      </c>
      <c r="F150" s="54" t="str">
        <f>IF(OR($B150="",$A150&gt;$B$9,F$128=""),"",IF(COUNTIFS(BD!$B$3:$B$5001,F$128,BD!$A$3:$A$5001,"&gt;="&amp;$C$7,BD!$A$3:$A$5001,"&lt;="&amp;$B150,BD!$P$3:$P$5001,"&lt;&gt;")=0,"",SUMIFS(BD!$P$3:$P$5001,BD!$B$3:$B$5001,F$128,BD!$A$3:$A$5001,_xlfn.MAXIFS(BD!$A$3:$A$5001,BD!$B$3:$B$5001,F$128,BD!$A$3:$A$5001,"&gt;="&amp;$C$7,BD!$A$3:$A$5001,"&lt;="&amp;$B150,BD!$P$3:$P$5001,"&lt;&gt;"))))</f>
        <v/>
      </c>
      <c r="G150" s="54" t="str">
        <f>IF(OR($B150="",$A150&gt;$B$9,G$128=""),"",IF(COUNTIFS(BD!$B$3:$B$5001,G$128,BD!$A$3:$A$5001,"&gt;="&amp;$C$7,BD!$A$3:$A$5001,"&lt;="&amp;$B150,BD!$P$3:$P$5001,"&lt;&gt;")=0,"",SUMIFS(BD!$P$3:$P$5001,BD!$B$3:$B$5001,G$128,BD!$A$3:$A$5001,_xlfn.MAXIFS(BD!$A$3:$A$5001,BD!$B$3:$B$5001,G$128,BD!$A$3:$A$5001,"&gt;="&amp;$C$7,BD!$A$3:$A$5001,"&lt;="&amp;$B150,BD!$P$3:$P$5001,"&lt;&gt;"))))</f>
        <v/>
      </c>
      <c r="H150" s="54" t="str">
        <f>IF(OR($B150="",$A150&gt;$B$9,H$128=""),"",IF(COUNTIFS(BD!$B$3:$B$5001,H$128,BD!$A$3:$A$5001,"&gt;="&amp;$C$7,BD!$A$3:$A$5001,"&lt;="&amp;$B150,BD!$P$3:$P$5001,"&lt;&gt;")=0,"",SUMIFS(BD!$P$3:$P$5001,BD!$B$3:$B$5001,H$128,BD!$A$3:$A$5001,_xlfn.MAXIFS(BD!$A$3:$A$5001,BD!$B$3:$B$5001,H$128,BD!$A$3:$A$5001,"&gt;="&amp;$C$7,BD!$A$3:$A$5001,"&lt;="&amp;$B150,BD!$P$3:$P$5001,"&lt;&gt;"))))</f>
        <v/>
      </c>
      <c r="I150" s="54" t="str">
        <f>IF(OR($B150="",$A150&gt;$B$9,I$128=""),"",IF(COUNTIFS(BD!$B$3:$B$5001,I$128,BD!$A$3:$A$5001,"&gt;="&amp;$C$7,BD!$A$3:$A$5001,"&lt;="&amp;$B150,BD!$P$3:$P$5001,"&lt;&gt;")=0,"",SUMIFS(BD!$P$3:$P$5001,BD!$B$3:$B$5001,I$128,BD!$A$3:$A$5001,_xlfn.MAXIFS(BD!$A$3:$A$5001,BD!$B$3:$B$5001,I$128,BD!$A$3:$A$5001,"&gt;="&amp;$C$7,BD!$A$3:$A$5001,"&lt;="&amp;$B150,BD!$P$3:$P$5001,"&lt;&gt;"))))</f>
        <v/>
      </c>
      <c r="J150" s="54" t="str">
        <f>IF(OR($B150="",$A150&gt;$B$9,J$128=""),"",IF(COUNTIFS(BD!$B$3:$B$5001,J$128,BD!$A$3:$A$5001,"&gt;="&amp;$C$7,BD!$A$3:$A$5001,"&lt;="&amp;$B150,BD!$P$3:$P$5001,"&lt;&gt;")=0,"",SUMIFS(BD!$P$3:$P$5001,BD!$B$3:$B$5001,J$128,BD!$A$3:$A$5001,_xlfn.MAXIFS(BD!$A$3:$A$5001,BD!$B$3:$B$5001,J$128,BD!$A$3:$A$5001,"&gt;="&amp;$C$7,BD!$A$3:$A$5001,"&lt;="&amp;$B150,BD!$P$3:$P$5001,"&lt;&gt;"))))</f>
        <v/>
      </c>
      <c r="K150" s="54" t="str">
        <f>IF(OR($B150="",$A150&gt;$B$9,K$128=""),"",IF(COUNTIFS(BD!$B$3:$B$5001,K$128,BD!$A$3:$A$5001,"&gt;="&amp;$C$7,BD!$A$3:$A$5001,"&lt;="&amp;$B150,BD!$P$3:$P$5001,"&lt;&gt;")=0,"",SUMIFS(BD!$P$3:$P$5001,BD!$B$3:$B$5001,K$128,BD!$A$3:$A$5001,_xlfn.MAXIFS(BD!$A$3:$A$5001,BD!$B$3:$B$5001,K$128,BD!$A$3:$A$5001,"&gt;="&amp;$C$7,BD!$A$3:$A$5001,"&lt;="&amp;$B150,BD!$P$3:$P$5001,"&lt;&gt;"))))</f>
        <v/>
      </c>
      <c r="L150" s="54" t="str">
        <f>IF(OR($B150="",$A150&gt;$B$9,L$128=""),"",IF(COUNTIFS(BD!$B$3:$B$5001,L$128,BD!$A$3:$A$5001,"&gt;="&amp;$C$7,BD!$A$3:$A$5001,"&lt;="&amp;$B150,BD!$P$3:$P$5001,"&lt;&gt;")=0,"",SUMIFS(BD!$P$3:$P$5001,BD!$B$3:$B$5001,L$128,BD!$A$3:$A$5001,_xlfn.MAXIFS(BD!$A$3:$A$5001,BD!$B$3:$B$5001,L$128,BD!$A$3:$A$5001,"&gt;="&amp;$C$7,BD!$A$3:$A$5001,"&lt;="&amp;$B150,BD!$P$3:$P$5001,"&lt;&gt;"))))</f>
        <v/>
      </c>
      <c r="M150" s="54" t="str">
        <f>IF(OR($B150="",$A150&gt;$B$9,M$128=""),"",IF(COUNTIFS(BD!$B$3:$B$5001,M$128,BD!$A$3:$A$5001,"&gt;="&amp;$C$7,BD!$A$3:$A$5001,"&lt;="&amp;$B150,BD!$P$3:$P$5001,"&lt;&gt;")=0,"",SUMIFS(BD!$P$3:$P$5001,BD!$B$3:$B$5001,M$128,BD!$A$3:$A$5001,_xlfn.MAXIFS(BD!$A$3:$A$5001,BD!$B$3:$B$5001,M$128,BD!$A$3:$A$5001,"&gt;="&amp;$C$7,BD!$A$3:$A$5001,"&lt;="&amp;$B150,BD!$P$3:$P$5001,"&lt;&gt;"))))</f>
        <v/>
      </c>
      <c r="N150" s="54" t="str">
        <f>IF(OR($B150="",$A150&gt;$B$9,N$128=""),"",IF(COUNTIFS(BD!$B$3:$B$5001,N$128,BD!$A$3:$A$5001,"&gt;="&amp;$C$7,BD!$A$3:$A$5001,"&lt;="&amp;$B150,BD!$P$3:$P$5001,"&lt;&gt;")=0,"",SUMIFS(BD!$P$3:$P$5001,BD!$B$3:$B$5001,N$128,BD!$A$3:$A$5001,_xlfn.MAXIFS(BD!$A$3:$A$5001,BD!$B$3:$B$5001,N$128,BD!$A$3:$A$5001,"&gt;="&amp;$C$7,BD!$A$3:$A$5001,"&lt;="&amp;$B150,BD!$P$3:$P$5001,"&lt;&gt;"))))</f>
        <v/>
      </c>
      <c r="O150" s="54" t="str">
        <f>IF(OR($B150="",$A150&gt;$B$9,O$128=""),"",IF(COUNTIFS(BD!$B$3:$B$5001,O$128,BD!$A$3:$A$5001,"&gt;="&amp;$C$7,BD!$A$3:$A$5001,"&lt;="&amp;$B150,BD!$P$3:$P$5001,"&lt;&gt;")=0,"",SUMIFS(BD!$P$3:$P$5001,BD!$B$3:$B$5001,O$128,BD!$A$3:$A$5001,_xlfn.MAXIFS(BD!$A$3:$A$5001,BD!$B$3:$B$5001,O$128,BD!$A$3:$A$5001,"&gt;="&amp;$C$7,BD!$A$3:$A$5001,"&lt;="&amp;$B150,BD!$P$3:$P$5001,"&lt;&gt;"))))</f>
        <v/>
      </c>
      <c r="P150" s="54" t="str">
        <f>IF(OR($B150="",$A150&gt;$B$9,P$128=""),"",IF(COUNTIFS(BD!$B$3:$B$5001,P$128,BD!$A$3:$A$5001,"&gt;="&amp;$C$7,BD!$A$3:$A$5001,"&lt;="&amp;$B150,BD!$P$3:$P$5001,"&lt;&gt;")=0,"",SUMIFS(BD!$P$3:$P$5001,BD!$B$3:$B$5001,P$128,BD!$A$3:$A$5001,_xlfn.MAXIFS(BD!$A$3:$A$5001,BD!$B$3:$B$5001,P$128,BD!$A$3:$A$5001,"&gt;="&amp;$C$7,BD!$A$3:$A$5001,"&lt;="&amp;$B150,BD!$P$3:$P$5001,"&lt;&gt;"))))</f>
        <v/>
      </c>
      <c r="Q150" s="54" t="str">
        <f>IF(OR($B150="",$A150&gt;$B$9,Q$128=""),"",IF(COUNTIFS(BD!$B$3:$B$5001,Q$128,BD!$A$3:$A$5001,"&gt;="&amp;$C$7,BD!$A$3:$A$5001,"&lt;="&amp;$B150,BD!$P$3:$P$5001,"&lt;&gt;")=0,"",SUMIFS(BD!$P$3:$P$5001,BD!$B$3:$B$5001,Q$128,BD!$A$3:$A$5001,_xlfn.MAXIFS(BD!$A$3:$A$5001,BD!$B$3:$B$5001,Q$128,BD!$A$3:$A$5001,"&gt;="&amp;$C$7,BD!$A$3:$A$5001,"&lt;="&amp;$B150,BD!$P$3:$P$5001,"&lt;&gt;"))))</f>
        <v/>
      </c>
      <c r="R150" s="54" t="str">
        <f>IF(OR($B150="",$A150&gt;$B$9,R$128=""),"",IF(COUNTIFS(BD!$B$3:$B$5001,R$128,BD!$A$3:$A$5001,"&gt;="&amp;$C$7,BD!$A$3:$A$5001,"&lt;="&amp;$B150,BD!$P$3:$P$5001,"&lt;&gt;")=0,"",SUMIFS(BD!$P$3:$P$5001,BD!$B$3:$B$5001,R$128,BD!$A$3:$A$5001,_xlfn.MAXIFS(BD!$A$3:$A$5001,BD!$B$3:$B$5001,R$128,BD!$A$3:$A$5001,"&gt;="&amp;$C$7,BD!$A$3:$A$5001,"&lt;="&amp;$B150,BD!$P$3:$P$5001,"&lt;&gt;"))))</f>
        <v/>
      </c>
      <c r="S150" s="54" t="str">
        <f>IF(OR($B150="",$A150&gt;$B$9,S$128=""),"",IF(COUNTIFS(BD!$B$3:$B$5001,S$128,BD!$A$3:$A$5001,"&gt;="&amp;$C$7,BD!$A$3:$A$5001,"&lt;="&amp;$B150,BD!$P$3:$P$5001,"&lt;&gt;")=0,"",SUMIFS(BD!$P$3:$P$5001,BD!$B$3:$B$5001,S$128,BD!$A$3:$A$5001,_xlfn.MAXIFS(BD!$A$3:$A$5001,BD!$B$3:$B$5001,S$128,BD!$A$3:$A$5001,"&gt;="&amp;$C$7,BD!$A$3:$A$5001,"&lt;="&amp;$B150,BD!$P$3:$P$5001,"&lt;&gt;"))))</f>
        <v/>
      </c>
      <c r="T150" s="54" t="str">
        <f>IF(OR($B150="",$A150&gt;$B$9,T$128=""),"",IF(COUNTIFS(BD!$B$3:$B$5001,T$128,BD!$A$3:$A$5001,"&gt;="&amp;$C$7,BD!$A$3:$A$5001,"&lt;="&amp;$B150,BD!$P$3:$P$5001,"&lt;&gt;")=0,"",SUMIFS(BD!$P$3:$P$5001,BD!$B$3:$B$5001,T$128,BD!$A$3:$A$5001,_xlfn.MAXIFS(BD!$A$3:$A$5001,BD!$B$3:$B$5001,T$128,BD!$A$3:$A$5001,"&gt;="&amp;$C$7,BD!$A$3:$A$5001,"&lt;="&amp;$B150,BD!$P$3:$P$5001,"&lt;&gt;"))))</f>
        <v/>
      </c>
      <c r="U150" s="54" t="str">
        <f>IF(OR($B150="",$A150&gt;$B$9,U$128=""),"",IF(COUNTIFS(BD!$B$3:$B$5001,U$128,BD!$A$3:$A$5001,"&gt;="&amp;$C$7,BD!$A$3:$A$5001,"&lt;="&amp;$B150,BD!$P$3:$P$5001,"&lt;&gt;")=0,"",SUMIFS(BD!$P$3:$P$5001,BD!$B$3:$B$5001,U$128,BD!$A$3:$A$5001,_xlfn.MAXIFS(BD!$A$3:$A$5001,BD!$B$3:$B$5001,U$128,BD!$A$3:$A$5001,"&gt;="&amp;$C$7,BD!$A$3:$A$5001,"&lt;="&amp;$B150,BD!$P$3:$P$5001,"&lt;&gt;"))))</f>
        <v/>
      </c>
      <c r="V150" s="54" t="str">
        <f>IF(OR($B150="",$A150&gt;$B$9,V$128=""),"",IF(COUNTIFS(BD!$B$3:$B$5001,V$128,BD!$A$3:$A$5001,"&gt;="&amp;$C$7,BD!$A$3:$A$5001,"&lt;="&amp;$B150,BD!$P$3:$P$5001,"&lt;&gt;")=0,"",SUMIFS(BD!$P$3:$P$5001,BD!$B$3:$B$5001,V$128,BD!$A$3:$A$5001,_xlfn.MAXIFS(BD!$A$3:$A$5001,BD!$B$3:$B$5001,V$128,BD!$A$3:$A$5001,"&gt;="&amp;$C$7,BD!$A$3:$A$5001,"&lt;="&amp;$B150,BD!$P$3:$P$5001,"&lt;&gt;"))))</f>
        <v/>
      </c>
    </row>
    <row r="151">
      <c r="A151" s="48">
        <v>23</v>
      </c>
      <c r="B151" s="53">
        <f>$B$34</f>
        <v>46318</v>
      </c>
      <c r="C151" s="54" t="str">
        <f>IF(OR($B151="",$A151&gt;$B$9,C$128=""),"",IF(COUNTIFS(BD!$B$3:$B$5001,C$128,BD!$A$3:$A$5001,"&gt;="&amp;$C$7,BD!$A$3:$A$5001,"&lt;="&amp;$B151,BD!$P$3:$P$5001,"&lt;&gt;")=0,"",SUMIFS(BD!$P$3:$P$5001,BD!$B$3:$B$5001,C$128,BD!$A$3:$A$5001,_xlfn.MAXIFS(BD!$A$3:$A$5001,BD!$B$3:$B$5001,C$128,BD!$A$3:$A$5001,"&gt;="&amp;$C$7,BD!$A$3:$A$5001,"&lt;="&amp;$B151,BD!$P$3:$P$5001,"&lt;&gt;"))))</f>
        <v/>
      </c>
      <c r="D151" s="54" t="str">
        <f>IF(OR($B151="",$A151&gt;$B$9,D$128=""),"",IF(COUNTIFS(BD!$B$3:$B$5001,D$128,BD!$A$3:$A$5001,"&gt;="&amp;$C$7,BD!$A$3:$A$5001,"&lt;="&amp;$B151,BD!$P$3:$P$5001,"&lt;&gt;")=0,"",SUMIFS(BD!$P$3:$P$5001,BD!$B$3:$B$5001,D$128,BD!$A$3:$A$5001,_xlfn.MAXIFS(BD!$A$3:$A$5001,BD!$B$3:$B$5001,D$128,BD!$A$3:$A$5001,"&gt;="&amp;$C$7,BD!$A$3:$A$5001,"&lt;="&amp;$B151,BD!$P$3:$P$5001,"&lt;&gt;"))))</f>
        <v/>
      </c>
      <c r="E151" s="54" t="str">
        <f>IF(OR($B151="",$A151&gt;$B$9,E$128=""),"",IF(COUNTIFS(BD!$B$3:$B$5001,E$128,BD!$A$3:$A$5001,"&gt;="&amp;$C$7,BD!$A$3:$A$5001,"&lt;="&amp;$B151,BD!$P$3:$P$5001,"&lt;&gt;")=0,"",SUMIFS(BD!$P$3:$P$5001,BD!$B$3:$B$5001,E$128,BD!$A$3:$A$5001,_xlfn.MAXIFS(BD!$A$3:$A$5001,BD!$B$3:$B$5001,E$128,BD!$A$3:$A$5001,"&gt;="&amp;$C$7,BD!$A$3:$A$5001,"&lt;="&amp;$B151,BD!$P$3:$P$5001,"&lt;&gt;"))))</f>
        <v/>
      </c>
      <c r="F151" s="54" t="str">
        <f>IF(OR($B151="",$A151&gt;$B$9,F$128=""),"",IF(COUNTIFS(BD!$B$3:$B$5001,F$128,BD!$A$3:$A$5001,"&gt;="&amp;$C$7,BD!$A$3:$A$5001,"&lt;="&amp;$B151,BD!$P$3:$P$5001,"&lt;&gt;")=0,"",SUMIFS(BD!$P$3:$P$5001,BD!$B$3:$B$5001,F$128,BD!$A$3:$A$5001,_xlfn.MAXIFS(BD!$A$3:$A$5001,BD!$B$3:$B$5001,F$128,BD!$A$3:$A$5001,"&gt;="&amp;$C$7,BD!$A$3:$A$5001,"&lt;="&amp;$B151,BD!$P$3:$P$5001,"&lt;&gt;"))))</f>
        <v/>
      </c>
      <c r="G151" s="54" t="str">
        <f>IF(OR($B151="",$A151&gt;$B$9,G$128=""),"",IF(COUNTIFS(BD!$B$3:$B$5001,G$128,BD!$A$3:$A$5001,"&gt;="&amp;$C$7,BD!$A$3:$A$5001,"&lt;="&amp;$B151,BD!$P$3:$P$5001,"&lt;&gt;")=0,"",SUMIFS(BD!$P$3:$P$5001,BD!$B$3:$B$5001,G$128,BD!$A$3:$A$5001,_xlfn.MAXIFS(BD!$A$3:$A$5001,BD!$B$3:$B$5001,G$128,BD!$A$3:$A$5001,"&gt;="&amp;$C$7,BD!$A$3:$A$5001,"&lt;="&amp;$B151,BD!$P$3:$P$5001,"&lt;&gt;"))))</f>
        <v/>
      </c>
      <c r="H151" s="54" t="str">
        <f>IF(OR($B151="",$A151&gt;$B$9,H$128=""),"",IF(COUNTIFS(BD!$B$3:$B$5001,H$128,BD!$A$3:$A$5001,"&gt;="&amp;$C$7,BD!$A$3:$A$5001,"&lt;="&amp;$B151,BD!$P$3:$P$5001,"&lt;&gt;")=0,"",SUMIFS(BD!$P$3:$P$5001,BD!$B$3:$B$5001,H$128,BD!$A$3:$A$5001,_xlfn.MAXIFS(BD!$A$3:$A$5001,BD!$B$3:$B$5001,H$128,BD!$A$3:$A$5001,"&gt;="&amp;$C$7,BD!$A$3:$A$5001,"&lt;="&amp;$B151,BD!$P$3:$P$5001,"&lt;&gt;"))))</f>
        <v/>
      </c>
      <c r="I151" s="54" t="str">
        <f>IF(OR($B151="",$A151&gt;$B$9,I$128=""),"",IF(COUNTIFS(BD!$B$3:$B$5001,I$128,BD!$A$3:$A$5001,"&gt;="&amp;$C$7,BD!$A$3:$A$5001,"&lt;="&amp;$B151,BD!$P$3:$P$5001,"&lt;&gt;")=0,"",SUMIFS(BD!$P$3:$P$5001,BD!$B$3:$B$5001,I$128,BD!$A$3:$A$5001,_xlfn.MAXIFS(BD!$A$3:$A$5001,BD!$B$3:$B$5001,I$128,BD!$A$3:$A$5001,"&gt;="&amp;$C$7,BD!$A$3:$A$5001,"&lt;="&amp;$B151,BD!$P$3:$P$5001,"&lt;&gt;"))))</f>
        <v/>
      </c>
      <c r="J151" s="54" t="str">
        <f>IF(OR($B151="",$A151&gt;$B$9,J$128=""),"",IF(COUNTIFS(BD!$B$3:$B$5001,J$128,BD!$A$3:$A$5001,"&gt;="&amp;$C$7,BD!$A$3:$A$5001,"&lt;="&amp;$B151,BD!$P$3:$P$5001,"&lt;&gt;")=0,"",SUMIFS(BD!$P$3:$P$5001,BD!$B$3:$B$5001,J$128,BD!$A$3:$A$5001,_xlfn.MAXIFS(BD!$A$3:$A$5001,BD!$B$3:$B$5001,J$128,BD!$A$3:$A$5001,"&gt;="&amp;$C$7,BD!$A$3:$A$5001,"&lt;="&amp;$B151,BD!$P$3:$P$5001,"&lt;&gt;"))))</f>
        <v/>
      </c>
      <c r="K151" s="54" t="str">
        <f>IF(OR($B151="",$A151&gt;$B$9,K$128=""),"",IF(COUNTIFS(BD!$B$3:$B$5001,K$128,BD!$A$3:$A$5001,"&gt;="&amp;$C$7,BD!$A$3:$A$5001,"&lt;="&amp;$B151,BD!$P$3:$P$5001,"&lt;&gt;")=0,"",SUMIFS(BD!$P$3:$P$5001,BD!$B$3:$B$5001,K$128,BD!$A$3:$A$5001,_xlfn.MAXIFS(BD!$A$3:$A$5001,BD!$B$3:$B$5001,K$128,BD!$A$3:$A$5001,"&gt;="&amp;$C$7,BD!$A$3:$A$5001,"&lt;="&amp;$B151,BD!$P$3:$P$5001,"&lt;&gt;"))))</f>
        <v/>
      </c>
      <c r="L151" s="54" t="str">
        <f>IF(OR($B151="",$A151&gt;$B$9,L$128=""),"",IF(COUNTIFS(BD!$B$3:$B$5001,L$128,BD!$A$3:$A$5001,"&gt;="&amp;$C$7,BD!$A$3:$A$5001,"&lt;="&amp;$B151,BD!$P$3:$P$5001,"&lt;&gt;")=0,"",SUMIFS(BD!$P$3:$P$5001,BD!$B$3:$B$5001,L$128,BD!$A$3:$A$5001,_xlfn.MAXIFS(BD!$A$3:$A$5001,BD!$B$3:$B$5001,L$128,BD!$A$3:$A$5001,"&gt;="&amp;$C$7,BD!$A$3:$A$5001,"&lt;="&amp;$B151,BD!$P$3:$P$5001,"&lt;&gt;"))))</f>
        <v/>
      </c>
      <c r="M151" s="54" t="str">
        <f>IF(OR($B151="",$A151&gt;$B$9,M$128=""),"",IF(COUNTIFS(BD!$B$3:$B$5001,M$128,BD!$A$3:$A$5001,"&gt;="&amp;$C$7,BD!$A$3:$A$5001,"&lt;="&amp;$B151,BD!$P$3:$P$5001,"&lt;&gt;")=0,"",SUMIFS(BD!$P$3:$P$5001,BD!$B$3:$B$5001,M$128,BD!$A$3:$A$5001,_xlfn.MAXIFS(BD!$A$3:$A$5001,BD!$B$3:$B$5001,M$128,BD!$A$3:$A$5001,"&gt;="&amp;$C$7,BD!$A$3:$A$5001,"&lt;="&amp;$B151,BD!$P$3:$P$5001,"&lt;&gt;"))))</f>
        <v/>
      </c>
      <c r="N151" s="54" t="str">
        <f>IF(OR($B151="",$A151&gt;$B$9,N$128=""),"",IF(COUNTIFS(BD!$B$3:$B$5001,N$128,BD!$A$3:$A$5001,"&gt;="&amp;$C$7,BD!$A$3:$A$5001,"&lt;="&amp;$B151,BD!$P$3:$P$5001,"&lt;&gt;")=0,"",SUMIFS(BD!$P$3:$P$5001,BD!$B$3:$B$5001,N$128,BD!$A$3:$A$5001,_xlfn.MAXIFS(BD!$A$3:$A$5001,BD!$B$3:$B$5001,N$128,BD!$A$3:$A$5001,"&gt;="&amp;$C$7,BD!$A$3:$A$5001,"&lt;="&amp;$B151,BD!$P$3:$P$5001,"&lt;&gt;"))))</f>
        <v/>
      </c>
      <c r="O151" s="54" t="str">
        <f>IF(OR($B151="",$A151&gt;$B$9,O$128=""),"",IF(COUNTIFS(BD!$B$3:$B$5001,O$128,BD!$A$3:$A$5001,"&gt;="&amp;$C$7,BD!$A$3:$A$5001,"&lt;="&amp;$B151,BD!$P$3:$P$5001,"&lt;&gt;")=0,"",SUMIFS(BD!$P$3:$P$5001,BD!$B$3:$B$5001,O$128,BD!$A$3:$A$5001,_xlfn.MAXIFS(BD!$A$3:$A$5001,BD!$B$3:$B$5001,O$128,BD!$A$3:$A$5001,"&gt;="&amp;$C$7,BD!$A$3:$A$5001,"&lt;="&amp;$B151,BD!$P$3:$P$5001,"&lt;&gt;"))))</f>
        <v/>
      </c>
      <c r="P151" s="54" t="str">
        <f>IF(OR($B151="",$A151&gt;$B$9,P$128=""),"",IF(COUNTIFS(BD!$B$3:$B$5001,P$128,BD!$A$3:$A$5001,"&gt;="&amp;$C$7,BD!$A$3:$A$5001,"&lt;="&amp;$B151,BD!$P$3:$P$5001,"&lt;&gt;")=0,"",SUMIFS(BD!$P$3:$P$5001,BD!$B$3:$B$5001,P$128,BD!$A$3:$A$5001,_xlfn.MAXIFS(BD!$A$3:$A$5001,BD!$B$3:$B$5001,P$128,BD!$A$3:$A$5001,"&gt;="&amp;$C$7,BD!$A$3:$A$5001,"&lt;="&amp;$B151,BD!$P$3:$P$5001,"&lt;&gt;"))))</f>
        <v/>
      </c>
      <c r="Q151" s="54" t="str">
        <f>IF(OR($B151="",$A151&gt;$B$9,Q$128=""),"",IF(COUNTIFS(BD!$B$3:$B$5001,Q$128,BD!$A$3:$A$5001,"&gt;="&amp;$C$7,BD!$A$3:$A$5001,"&lt;="&amp;$B151,BD!$P$3:$P$5001,"&lt;&gt;")=0,"",SUMIFS(BD!$P$3:$P$5001,BD!$B$3:$B$5001,Q$128,BD!$A$3:$A$5001,_xlfn.MAXIFS(BD!$A$3:$A$5001,BD!$B$3:$B$5001,Q$128,BD!$A$3:$A$5001,"&gt;="&amp;$C$7,BD!$A$3:$A$5001,"&lt;="&amp;$B151,BD!$P$3:$P$5001,"&lt;&gt;"))))</f>
        <v/>
      </c>
      <c r="R151" s="54" t="str">
        <f>IF(OR($B151="",$A151&gt;$B$9,R$128=""),"",IF(COUNTIFS(BD!$B$3:$B$5001,R$128,BD!$A$3:$A$5001,"&gt;="&amp;$C$7,BD!$A$3:$A$5001,"&lt;="&amp;$B151,BD!$P$3:$P$5001,"&lt;&gt;")=0,"",SUMIFS(BD!$P$3:$P$5001,BD!$B$3:$B$5001,R$128,BD!$A$3:$A$5001,_xlfn.MAXIFS(BD!$A$3:$A$5001,BD!$B$3:$B$5001,R$128,BD!$A$3:$A$5001,"&gt;="&amp;$C$7,BD!$A$3:$A$5001,"&lt;="&amp;$B151,BD!$P$3:$P$5001,"&lt;&gt;"))))</f>
        <v/>
      </c>
      <c r="S151" s="54" t="str">
        <f>IF(OR($B151="",$A151&gt;$B$9,S$128=""),"",IF(COUNTIFS(BD!$B$3:$B$5001,S$128,BD!$A$3:$A$5001,"&gt;="&amp;$C$7,BD!$A$3:$A$5001,"&lt;="&amp;$B151,BD!$P$3:$P$5001,"&lt;&gt;")=0,"",SUMIFS(BD!$P$3:$P$5001,BD!$B$3:$B$5001,S$128,BD!$A$3:$A$5001,_xlfn.MAXIFS(BD!$A$3:$A$5001,BD!$B$3:$B$5001,S$128,BD!$A$3:$A$5001,"&gt;="&amp;$C$7,BD!$A$3:$A$5001,"&lt;="&amp;$B151,BD!$P$3:$P$5001,"&lt;&gt;"))))</f>
        <v/>
      </c>
      <c r="T151" s="54" t="str">
        <f>IF(OR($B151="",$A151&gt;$B$9,T$128=""),"",IF(COUNTIFS(BD!$B$3:$B$5001,T$128,BD!$A$3:$A$5001,"&gt;="&amp;$C$7,BD!$A$3:$A$5001,"&lt;="&amp;$B151,BD!$P$3:$P$5001,"&lt;&gt;")=0,"",SUMIFS(BD!$P$3:$P$5001,BD!$B$3:$B$5001,T$128,BD!$A$3:$A$5001,_xlfn.MAXIFS(BD!$A$3:$A$5001,BD!$B$3:$B$5001,T$128,BD!$A$3:$A$5001,"&gt;="&amp;$C$7,BD!$A$3:$A$5001,"&lt;="&amp;$B151,BD!$P$3:$P$5001,"&lt;&gt;"))))</f>
        <v/>
      </c>
      <c r="U151" s="54" t="str">
        <f>IF(OR($B151="",$A151&gt;$B$9,U$128=""),"",IF(COUNTIFS(BD!$B$3:$B$5001,U$128,BD!$A$3:$A$5001,"&gt;="&amp;$C$7,BD!$A$3:$A$5001,"&lt;="&amp;$B151,BD!$P$3:$P$5001,"&lt;&gt;")=0,"",SUMIFS(BD!$P$3:$P$5001,BD!$B$3:$B$5001,U$128,BD!$A$3:$A$5001,_xlfn.MAXIFS(BD!$A$3:$A$5001,BD!$B$3:$B$5001,U$128,BD!$A$3:$A$5001,"&gt;="&amp;$C$7,BD!$A$3:$A$5001,"&lt;="&amp;$B151,BD!$P$3:$P$5001,"&lt;&gt;"))))</f>
        <v/>
      </c>
      <c r="V151" s="54" t="str">
        <f>IF(OR($B151="",$A151&gt;$B$9,V$128=""),"",IF(COUNTIFS(BD!$B$3:$B$5001,V$128,BD!$A$3:$A$5001,"&gt;="&amp;$C$7,BD!$A$3:$A$5001,"&lt;="&amp;$B151,BD!$P$3:$P$5001,"&lt;&gt;")=0,"",SUMIFS(BD!$P$3:$P$5001,BD!$B$3:$B$5001,V$128,BD!$A$3:$A$5001,_xlfn.MAXIFS(BD!$A$3:$A$5001,BD!$B$3:$B$5001,V$128,BD!$A$3:$A$5001,"&gt;="&amp;$C$7,BD!$A$3:$A$5001,"&lt;="&amp;$B151,BD!$P$3:$P$5001,"&lt;&gt;"))))</f>
        <v/>
      </c>
    </row>
    <row r="152">
      <c r="A152" s="48">
        <v>24</v>
      </c>
      <c r="B152" s="53">
        <f>$B$35</f>
        <v>46319</v>
      </c>
      <c r="C152" s="54" t="str">
        <f>IF(OR($B152="",$A152&gt;$B$9,C$128=""),"",IF(COUNTIFS(BD!$B$3:$B$5001,C$128,BD!$A$3:$A$5001,"&gt;="&amp;$C$7,BD!$A$3:$A$5001,"&lt;="&amp;$B152,BD!$P$3:$P$5001,"&lt;&gt;")=0,"",SUMIFS(BD!$P$3:$P$5001,BD!$B$3:$B$5001,C$128,BD!$A$3:$A$5001,_xlfn.MAXIFS(BD!$A$3:$A$5001,BD!$B$3:$B$5001,C$128,BD!$A$3:$A$5001,"&gt;="&amp;$C$7,BD!$A$3:$A$5001,"&lt;="&amp;$B152,BD!$P$3:$P$5001,"&lt;&gt;"))))</f>
        <v/>
      </c>
      <c r="D152" s="54" t="str">
        <f>IF(OR($B152="",$A152&gt;$B$9,D$128=""),"",IF(COUNTIFS(BD!$B$3:$B$5001,D$128,BD!$A$3:$A$5001,"&gt;="&amp;$C$7,BD!$A$3:$A$5001,"&lt;="&amp;$B152,BD!$P$3:$P$5001,"&lt;&gt;")=0,"",SUMIFS(BD!$P$3:$P$5001,BD!$B$3:$B$5001,D$128,BD!$A$3:$A$5001,_xlfn.MAXIFS(BD!$A$3:$A$5001,BD!$B$3:$B$5001,D$128,BD!$A$3:$A$5001,"&gt;="&amp;$C$7,BD!$A$3:$A$5001,"&lt;="&amp;$B152,BD!$P$3:$P$5001,"&lt;&gt;"))))</f>
        <v/>
      </c>
      <c r="E152" s="54" t="str">
        <f>IF(OR($B152="",$A152&gt;$B$9,E$128=""),"",IF(COUNTIFS(BD!$B$3:$B$5001,E$128,BD!$A$3:$A$5001,"&gt;="&amp;$C$7,BD!$A$3:$A$5001,"&lt;="&amp;$B152,BD!$P$3:$P$5001,"&lt;&gt;")=0,"",SUMIFS(BD!$P$3:$P$5001,BD!$B$3:$B$5001,E$128,BD!$A$3:$A$5001,_xlfn.MAXIFS(BD!$A$3:$A$5001,BD!$B$3:$B$5001,E$128,BD!$A$3:$A$5001,"&gt;="&amp;$C$7,BD!$A$3:$A$5001,"&lt;="&amp;$B152,BD!$P$3:$P$5001,"&lt;&gt;"))))</f>
        <v/>
      </c>
      <c r="F152" s="54" t="str">
        <f>IF(OR($B152="",$A152&gt;$B$9,F$128=""),"",IF(COUNTIFS(BD!$B$3:$B$5001,F$128,BD!$A$3:$A$5001,"&gt;="&amp;$C$7,BD!$A$3:$A$5001,"&lt;="&amp;$B152,BD!$P$3:$P$5001,"&lt;&gt;")=0,"",SUMIFS(BD!$P$3:$P$5001,BD!$B$3:$B$5001,F$128,BD!$A$3:$A$5001,_xlfn.MAXIFS(BD!$A$3:$A$5001,BD!$B$3:$B$5001,F$128,BD!$A$3:$A$5001,"&gt;="&amp;$C$7,BD!$A$3:$A$5001,"&lt;="&amp;$B152,BD!$P$3:$P$5001,"&lt;&gt;"))))</f>
        <v/>
      </c>
      <c r="G152" s="54" t="str">
        <f>IF(OR($B152="",$A152&gt;$B$9,G$128=""),"",IF(COUNTIFS(BD!$B$3:$B$5001,G$128,BD!$A$3:$A$5001,"&gt;="&amp;$C$7,BD!$A$3:$A$5001,"&lt;="&amp;$B152,BD!$P$3:$P$5001,"&lt;&gt;")=0,"",SUMIFS(BD!$P$3:$P$5001,BD!$B$3:$B$5001,G$128,BD!$A$3:$A$5001,_xlfn.MAXIFS(BD!$A$3:$A$5001,BD!$B$3:$B$5001,G$128,BD!$A$3:$A$5001,"&gt;="&amp;$C$7,BD!$A$3:$A$5001,"&lt;="&amp;$B152,BD!$P$3:$P$5001,"&lt;&gt;"))))</f>
        <v/>
      </c>
      <c r="H152" s="54" t="str">
        <f>IF(OR($B152="",$A152&gt;$B$9,H$128=""),"",IF(COUNTIFS(BD!$B$3:$B$5001,H$128,BD!$A$3:$A$5001,"&gt;="&amp;$C$7,BD!$A$3:$A$5001,"&lt;="&amp;$B152,BD!$P$3:$P$5001,"&lt;&gt;")=0,"",SUMIFS(BD!$P$3:$P$5001,BD!$B$3:$B$5001,H$128,BD!$A$3:$A$5001,_xlfn.MAXIFS(BD!$A$3:$A$5001,BD!$B$3:$B$5001,H$128,BD!$A$3:$A$5001,"&gt;="&amp;$C$7,BD!$A$3:$A$5001,"&lt;="&amp;$B152,BD!$P$3:$P$5001,"&lt;&gt;"))))</f>
        <v/>
      </c>
      <c r="I152" s="54" t="str">
        <f>IF(OR($B152="",$A152&gt;$B$9,I$128=""),"",IF(COUNTIFS(BD!$B$3:$B$5001,I$128,BD!$A$3:$A$5001,"&gt;="&amp;$C$7,BD!$A$3:$A$5001,"&lt;="&amp;$B152,BD!$P$3:$P$5001,"&lt;&gt;")=0,"",SUMIFS(BD!$P$3:$P$5001,BD!$B$3:$B$5001,I$128,BD!$A$3:$A$5001,_xlfn.MAXIFS(BD!$A$3:$A$5001,BD!$B$3:$B$5001,I$128,BD!$A$3:$A$5001,"&gt;="&amp;$C$7,BD!$A$3:$A$5001,"&lt;="&amp;$B152,BD!$P$3:$P$5001,"&lt;&gt;"))))</f>
        <v/>
      </c>
      <c r="J152" s="54" t="str">
        <f>IF(OR($B152="",$A152&gt;$B$9,J$128=""),"",IF(COUNTIFS(BD!$B$3:$B$5001,J$128,BD!$A$3:$A$5001,"&gt;="&amp;$C$7,BD!$A$3:$A$5001,"&lt;="&amp;$B152,BD!$P$3:$P$5001,"&lt;&gt;")=0,"",SUMIFS(BD!$P$3:$P$5001,BD!$B$3:$B$5001,J$128,BD!$A$3:$A$5001,_xlfn.MAXIFS(BD!$A$3:$A$5001,BD!$B$3:$B$5001,J$128,BD!$A$3:$A$5001,"&gt;="&amp;$C$7,BD!$A$3:$A$5001,"&lt;="&amp;$B152,BD!$P$3:$P$5001,"&lt;&gt;"))))</f>
        <v/>
      </c>
      <c r="K152" s="54" t="str">
        <f>IF(OR($B152="",$A152&gt;$B$9,K$128=""),"",IF(COUNTIFS(BD!$B$3:$B$5001,K$128,BD!$A$3:$A$5001,"&gt;="&amp;$C$7,BD!$A$3:$A$5001,"&lt;="&amp;$B152,BD!$P$3:$P$5001,"&lt;&gt;")=0,"",SUMIFS(BD!$P$3:$P$5001,BD!$B$3:$B$5001,K$128,BD!$A$3:$A$5001,_xlfn.MAXIFS(BD!$A$3:$A$5001,BD!$B$3:$B$5001,K$128,BD!$A$3:$A$5001,"&gt;="&amp;$C$7,BD!$A$3:$A$5001,"&lt;="&amp;$B152,BD!$P$3:$P$5001,"&lt;&gt;"))))</f>
        <v/>
      </c>
      <c r="L152" s="54" t="str">
        <f>IF(OR($B152="",$A152&gt;$B$9,L$128=""),"",IF(COUNTIFS(BD!$B$3:$B$5001,L$128,BD!$A$3:$A$5001,"&gt;="&amp;$C$7,BD!$A$3:$A$5001,"&lt;="&amp;$B152,BD!$P$3:$P$5001,"&lt;&gt;")=0,"",SUMIFS(BD!$P$3:$P$5001,BD!$B$3:$B$5001,L$128,BD!$A$3:$A$5001,_xlfn.MAXIFS(BD!$A$3:$A$5001,BD!$B$3:$B$5001,L$128,BD!$A$3:$A$5001,"&gt;="&amp;$C$7,BD!$A$3:$A$5001,"&lt;="&amp;$B152,BD!$P$3:$P$5001,"&lt;&gt;"))))</f>
        <v/>
      </c>
      <c r="M152" s="54" t="str">
        <f>IF(OR($B152="",$A152&gt;$B$9,M$128=""),"",IF(COUNTIFS(BD!$B$3:$B$5001,M$128,BD!$A$3:$A$5001,"&gt;="&amp;$C$7,BD!$A$3:$A$5001,"&lt;="&amp;$B152,BD!$P$3:$P$5001,"&lt;&gt;")=0,"",SUMIFS(BD!$P$3:$P$5001,BD!$B$3:$B$5001,M$128,BD!$A$3:$A$5001,_xlfn.MAXIFS(BD!$A$3:$A$5001,BD!$B$3:$B$5001,M$128,BD!$A$3:$A$5001,"&gt;="&amp;$C$7,BD!$A$3:$A$5001,"&lt;="&amp;$B152,BD!$P$3:$P$5001,"&lt;&gt;"))))</f>
        <v/>
      </c>
      <c r="N152" s="54" t="str">
        <f>IF(OR($B152="",$A152&gt;$B$9,N$128=""),"",IF(COUNTIFS(BD!$B$3:$B$5001,N$128,BD!$A$3:$A$5001,"&gt;="&amp;$C$7,BD!$A$3:$A$5001,"&lt;="&amp;$B152,BD!$P$3:$P$5001,"&lt;&gt;")=0,"",SUMIFS(BD!$P$3:$P$5001,BD!$B$3:$B$5001,N$128,BD!$A$3:$A$5001,_xlfn.MAXIFS(BD!$A$3:$A$5001,BD!$B$3:$B$5001,N$128,BD!$A$3:$A$5001,"&gt;="&amp;$C$7,BD!$A$3:$A$5001,"&lt;="&amp;$B152,BD!$P$3:$P$5001,"&lt;&gt;"))))</f>
        <v/>
      </c>
      <c r="O152" s="54" t="str">
        <f>IF(OR($B152="",$A152&gt;$B$9,O$128=""),"",IF(COUNTIFS(BD!$B$3:$B$5001,O$128,BD!$A$3:$A$5001,"&gt;="&amp;$C$7,BD!$A$3:$A$5001,"&lt;="&amp;$B152,BD!$P$3:$P$5001,"&lt;&gt;")=0,"",SUMIFS(BD!$P$3:$P$5001,BD!$B$3:$B$5001,O$128,BD!$A$3:$A$5001,_xlfn.MAXIFS(BD!$A$3:$A$5001,BD!$B$3:$B$5001,O$128,BD!$A$3:$A$5001,"&gt;="&amp;$C$7,BD!$A$3:$A$5001,"&lt;="&amp;$B152,BD!$P$3:$P$5001,"&lt;&gt;"))))</f>
        <v/>
      </c>
      <c r="P152" s="54" t="str">
        <f>IF(OR($B152="",$A152&gt;$B$9,P$128=""),"",IF(COUNTIFS(BD!$B$3:$B$5001,P$128,BD!$A$3:$A$5001,"&gt;="&amp;$C$7,BD!$A$3:$A$5001,"&lt;="&amp;$B152,BD!$P$3:$P$5001,"&lt;&gt;")=0,"",SUMIFS(BD!$P$3:$P$5001,BD!$B$3:$B$5001,P$128,BD!$A$3:$A$5001,_xlfn.MAXIFS(BD!$A$3:$A$5001,BD!$B$3:$B$5001,P$128,BD!$A$3:$A$5001,"&gt;="&amp;$C$7,BD!$A$3:$A$5001,"&lt;="&amp;$B152,BD!$P$3:$P$5001,"&lt;&gt;"))))</f>
        <v/>
      </c>
      <c r="Q152" s="54" t="str">
        <f>IF(OR($B152="",$A152&gt;$B$9,Q$128=""),"",IF(COUNTIFS(BD!$B$3:$B$5001,Q$128,BD!$A$3:$A$5001,"&gt;="&amp;$C$7,BD!$A$3:$A$5001,"&lt;="&amp;$B152,BD!$P$3:$P$5001,"&lt;&gt;")=0,"",SUMIFS(BD!$P$3:$P$5001,BD!$B$3:$B$5001,Q$128,BD!$A$3:$A$5001,_xlfn.MAXIFS(BD!$A$3:$A$5001,BD!$B$3:$B$5001,Q$128,BD!$A$3:$A$5001,"&gt;="&amp;$C$7,BD!$A$3:$A$5001,"&lt;="&amp;$B152,BD!$P$3:$P$5001,"&lt;&gt;"))))</f>
        <v/>
      </c>
      <c r="R152" s="54" t="str">
        <f>IF(OR($B152="",$A152&gt;$B$9,R$128=""),"",IF(COUNTIFS(BD!$B$3:$B$5001,R$128,BD!$A$3:$A$5001,"&gt;="&amp;$C$7,BD!$A$3:$A$5001,"&lt;="&amp;$B152,BD!$P$3:$P$5001,"&lt;&gt;")=0,"",SUMIFS(BD!$P$3:$P$5001,BD!$B$3:$B$5001,R$128,BD!$A$3:$A$5001,_xlfn.MAXIFS(BD!$A$3:$A$5001,BD!$B$3:$B$5001,R$128,BD!$A$3:$A$5001,"&gt;="&amp;$C$7,BD!$A$3:$A$5001,"&lt;="&amp;$B152,BD!$P$3:$P$5001,"&lt;&gt;"))))</f>
        <v/>
      </c>
      <c r="S152" s="54" t="str">
        <f>IF(OR($B152="",$A152&gt;$B$9,S$128=""),"",IF(COUNTIFS(BD!$B$3:$B$5001,S$128,BD!$A$3:$A$5001,"&gt;="&amp;$C$7,BD!$A$3:$A$5001,"&lt;="&amp;$B152,BD!$P$3:$P$5001,"&lt;&gt;")=0,"",SUMIFS(BD!$P$3:$P$5001,BD!$B$3:$B$5001,S$128,BD!$A$3:$A$5001,_xlfn.MAXIFS(BD!$A$3:$A$5001,BD!$B$3:$B$5001,S$128,BD!$A$3:$A$5001,"&gt;="&amp;$C$7,BD!$A$3:$A$5001,"&lt;="&amp;$B152,BD!$P$3:$P$5001,"&lt;&gt;"))))</f>
        <v/>
      </c>
      <c r="T152" s="54" t="str">
        <f>IF(OR($B152="",$A152&gt;$B$9,T$128=""),"",IF(COUNTIFS(BD!$B$3:$B$5001,T$128,BD!$A$3:$A$5001,"&gt;="&amp;$C$7,BD!$A$3:$A$5001,"&lt;="&amp;$B152,BD!$P$3:$P$5001,"&lt;&gt;")=0,"",SUMIFS(BD!$P$3:$P$5001,BD!$B$3:$B$5001,T$128,BD!$A$3:$A$5001,_xlfn.MAXIFS(BD!$A$3:$A$5001,BD!$B$3:$B$5001,T$128,BD!$A$3:$A$5001,"&gt;="&amp;$C$7,BD!$A$3:$A$5001,"&lt;="&amp;$B152,BD!$P$3:$P$5001,"&lt;&gt;"))))</f>
        <v/>
      </c>
      <c r="U152" s="54" t="str">
        <f>IF(OR($B152="",$A152&gt;$B$9,U$128=""),"",IF(COUNTIFS(BD!$B$3:$B$5001,U$128,BD!$A$3:$A$5001,"&gt;="&amp;$C$7,BD!$A$3:$A$5001,"&lt;="&amp;$B152,BD!$P$3:$P$5001,"&lt;&gt;")=0,"",SUMIFS(BD!$P$3:$P$5001,BD!$B$3:$B$5001,U$128,BD!$A$3:$A$5001,_xlfn.MAXIFS(BD!$A$3:$A$5001,BD!$B$3:$B$5001,U$128,BD!$A$3:$A$5001,"&gt;="&amp;$C$7,BD!$A$3:$A$5001,"&lt;="&amp;$B152,BD!$P$3:$P$5001,"&lt;&gt;"))))</f>
        <v/>
      </c>
      <c r="V152" s="54" t="str">
        <f>IF(OR($B152="",$A152&gt;$B$9,V$128=""),"",IF(COUNTIFS(BD!$B$3:$B$5001,V$128,BD!$A$3:$A$5001,"&gt;="&amp;$C$7,BD!$A$3:$A$5001,"&lt;="&amp;$B152,BD!$P$3:$P$5001,"&lt;&gt;")=0,"",SUMIFS(BD!$P$3:$P$5001,BD!$B$3:$B$5001,V$128,BD!$A$3:$A$5001,_xlfn.MAXIFS(BD!$A$3:$A$5001,BD!$B$3:$B$5001,V$128,BD!$A$3:$A$5001,"&gt;="&amp;$C$7,BD!$A$3:$A$5001,"&lt;="&amp;$B152,BD!$P$3:$P$5001,"&lt;&gt;"))))</f>
        <v/>
      </c>
    </row>
    <row r="153">
      <c r="A153" s="48">
        <v>25</v>
      </c>
      <c r="B153" s="53">
        <f>$B$36</f>
        <v>46320</v>
      </c>
      <c r="C153" s="54" t="str">
        <f>IF(OR($B153="",$A153&gt;$B$9,C$128=""),"",IF(COUNTIFS(BD!$B$3:$B$5001,C$128,BD!$A$3:$A$5001,"&gt;="&amp;$C$7,BD!$A$3:$A$5001,"&lt;="&amp;$B153,BD!$P$3:$P$5001,"&lt;&gt;")=0,"",SUMIFS(BD!$P$3:$P$5001,BD!$B$3:$B$5001,C$128,BD!$A$3:$A$5001,_xlfn.MAXIFS(BD!$A$3:$A$5001,BD!$B$3:$B$5001,C$128,BD!$A$3:$A$5001,"&gt;="&amp;$C$7,BD!$A$3:$A$5001,"&lt;="&amp;$B153,BD!$P$3:$P$5001,"&lt;&gt;"))))</f>
        <v/>
      </c>
      <c r="D153" s="54" t="str">
        <f>IF(OR($B153="",$A153&gt;$B$9,D$128=""),"",IF(COUNTIFS(BD!$B$3:$B$5001,D$128,BD!$A$3:$A$5001,"&gt;="&amp;$C$7,BD!$A$3:$A$5001,"&lt;="&amp;$B153,BD!$P$3:$P$5001,"&lt;&gt;")=0,"",SUMIFS(BD!$P$3:$P$5001,BD!$B$3:$B$5001,D$128,BD!$A$3:$A$5001,_xlfn.MAXIFS(BD!$A$3:$A$5001,BD!$B$3:$B$5001,D$128,BD!$A$3:$A$5001,"&gt;="&amp;$C$7,BD!$A$3:$A$5001,"&lt;="&amp;$B153,BD!$P$3:$P$5001,"&lt;&gt;"))))</f>
        <v/>
      </c>
      <c r="E153" s="54" t="str">
        <f>IF(OR($B153="",$A153&gt;$B$9,E$128=""),"",IF(COUNTIFS(BD!$B$3:$B$5001,E$128,BD!$A$3:$A$5001,"&gt;="&amp;$C$7,BD!$A$3:$A$5001,"&lt;="&amp;$B153,BD!$P$3:$P$5001,"&lt;&gt;")=0,"",SUMIFS(BD!$P$3:$P$5001,BD!$B$3:$B$5001,E$128,BD!$A$3:$A$5001,_xlfn.MAXIFS(BD!$A$3:$A$5001,BD!$B$3:$B$5001,E$128,BD!$A$3:$A$5001,"&gt;="&amp;$C$7,BD!$A$3:$A$5001,"&lt;="&amp;$B153,BD!$P$3:$P$5001,"&lt;&gt;"))))</f>
        <v/>
      </c>
      <c r="F153" s="54" t="str">
        <f>IF(OR($B153="",$A153&gt;$B$9,F$128=""),"",IF(COUNTIFS(BD!$B$3:$B$5001,F$128,BD!$A$3:$A$5001,"&gt;="&amp;$C$7,BD!$A$3:$A$5001,"&lt;="&amp;$B153,BD!$P$3:$P$5001,"&lt;&gt;")=0,"",SUMIFS(BD!$P$3:$P$5001,BD!$B$3:$B$5001,F$128,BD!$A$3:$A$5001,_xlfn.MAXIFS(BD!$A$3:$A$5001,BD!$B$3:$B$5001,F$128,BD!$A$3:$A$5001,"&gt;="&amp;$C$7,BD!$A$3:$A$5001,"&lt;="&amp;$B153,BD!$P$3:$P$5001,"&lt;&gt;"))))</f>
        <v/>
      </c>
      <c r="G153" s="54" t="str">
        <f>IF(OR($B153="",$A153&gt;$B$9,G$128=""),"",IF(COUNTIFS(BD!$B$3:$B$5001,G$128,BD!$A$3:$A$5001,"&gt;="&amp;$C$7,BD!$A$3:$A$5001,"&lt;="&amp;$B153,BD!$P$3:$P$5001,"&lt;&gt;")=0,"",SUMIFS(BD!$P$3:$P$5001,BD!$B$3:$B$5001,G$128,BD!$A$3:$A$5001,_xlfn.MAXIFS(BD!$A$3:$A$5001,BD!$B$3:$B$5001,G$128,BD!$A$3:$A$5001,"&gt;="&amp;$C$7,BD!$A$3:$A$5001,"&lt;="&amp;$B153,BD!$P$3:$P$5001,"&lt;&gt;"))))</f>
        <v/>
      </c>
      <c r="H153" s="54" t="str">
        <f>IF(OR($B153="",$A153&gt;$B$9,H$128=""),"",IF(COUNTIFS(BD!$B$3:$B$5001,H$128,BD!$A$3:$A$5001,"&gt;="&amp;$C$7,BD!$A$3:$A$5001,"&lt;="&amp;$B153,BD!$P$3:$P$5001,"&lt;&gt;")=0,"",SUMIFS(BD!$P$3:$P$5001,BD!$B$3:$B$5001,H$128,BD!$A$3:$A$5001,_xlfn.MAXIFS(BD!$A$3:$A$5001,BD!$B$3:$B$5001,H$128,BD!$A$3:$A$5001,"&gt;="&amp;$C$7,BD!$A$3:$A$5001,"&lt;="&amp;$B153,BD!$P$3:$P$5001,"&lt;&gt;"))))</f>
        <v/>
      </c>
      <c r="I153" s="54" t="str">
        <f>IF(OR($B153="",$A153&gt;$B$9,I$128=""),"",IF(COUNTIFS(BD!$B$3:$B$5001,I$128,BD!$A$3:$A$5001,"&gt;="&amp;$C$7,BD!$A$3:$A$5001,"&lt;="&amp;$B153,BD!$P$3:$P$5001,"&lt;&gt;")=0,"",SUMIFS(BD!$P$3:$P$5001,BD!$B$3:$B$5001,I$128,BD!$A$3:$A$5001,_xlfn.MAXIFS(BD!$A$3:$A$5001,BD!$B$3:$B$5001,I$128,BD!$A$3:$A$5001,"&gt;="&amp;$C$7,BD!$A$3:$A$5001,"&lt;="&amp;$B153,BD!$P$3:$P$5001,"&lt;&gt;"))))</f>
        <v/>
      </c>
      <c r="J153" s="54" t="str">
        <f>IF(OR($B153="",$A153&gt;$B$9,J$128=""),"",IF(COUNTIFS(BD!$B$3:$B$5001,J$128,BD!$A$3:$A$5001,"&gt;="&amp;$C$7,BD!$A$3:$A$5001,"&lt;="&amp;$B153,BD!$P$3:$P$5001,"&lt;&gt;")=0,"",SUMIFS(BD!$P$3:$P$5001,BD!$B$3:$B$5001,J$128,BD!$A$3:$A$5001,_xlfn.MAXIFS(BD!$A$3:$A$5001,BD!$B$3:$B$5001,J$128,BD!$A$3:$A$5001,"&gt;="&amp;$C$7,BD!$A$3:$A$5001,"&lt;="&amp;$B153,BD!$P$3:$P$5001,"&lt;&gt;"))))</f>
        <v/>
      </c>
      <c r="K153" s="54" t="str">
        <f>IF(OR($B153="",$A153&gt;$B$9,K$128=""),"",IF(COUNTIFS(BD!$B$3:$B$5001,K$128,BD!$A$3:$A$5001,"&gt;="&amp;$C$7,BD!$A$3:$A$5001,"&lt;="&amp;$B153,BD!$P$3:$P$5001,"&lt;&gt;")=0,"",SUMIFS(BD!$P$3:$P$5001,BD!$B$3:$B$5001,K$128,BD!$A$3:$A$5001,_xlfn.MAXIFS(BD!$A$3:$A$5001,BD!$B$3:$B$5001,K$128,BD!$A$3:$A$5001,"&gt;="&amp;$C$7,BD!$A$3:$A$5001,"&lt;="&amp;$B153,BD!$P$3:$P$5001,"&lt;&gt;"))))</f>
        <v/>
      </c>
      <c r="L153" s="54" t="str">
        <f>IF(OR($B153="",$A153&gt;$B$9,L$128=""),"",IF(COUNTIFS(BD!$B$3:$B$5001,L$128,BD!$A$3:$A$5001,"&gt;="&amp;$C$7,BD!$A$3:$A$5001,"&lt;="&amp;$B153,BD!$P$3:$P$5001,"&lt;&gt;")=0,"",SUMIFS(BD!$P$3:$P$5001,BD!$B$3:$B$5001,L$128,BD!$A$3:$A$5001,_xlfn.MAXIFS(BD!$A$3:$A$5001,BD!$B$3:$B$5001,L$128,BD!$A$3:$A$5001,"&gt;="&amp;$C$7,BD!$A$3:$A$5001,"&lt;="&amp;$B153,BD!$P$3:$P$5001,"&lt;&gt;"))))</f>
        <v/>
      </c>
      <c r="M153" s="54" t="str">
        <f>IF(OR($B153="",$A153&gt;$B$9,M$128=""),"",IF(COUNTIFS(BD!$B$3:$B$5001,M$128,BD!$A$3:$A$5001,"&gt;="&amp;$C$7,BD!$A$3:$A$5001,"&lt;="&amp;$B153,BD!$P$3:$P$5001,"&lt;&gt;")=0,"",SUMIFS(BD!$P$3:$P$5001,BD!$B$3:$B$5001,M$128,BD!$A$3:$A$5001,_xlfn.MAXIFS(BD!$A$3:$A$5001,BD!$B$3:$B$5001,M$128,BD!$A$3:$A$5001,"&gt;="&amp;$C$7,BD!$A$3:$A$5001,"&lt;="&amp;$B153,BD!$P$3:$P$5001,"&lt;&gt;"))))</f>
        <v/>
      </c>
      <c r="N153" s="54" t="str">
        <f>IF(OR($B153="",$A153&gt;$B$9,N$128=""),"",IF(COUNTIFS(BD!$B$3:$B$5001,N$128,BD!$A$3:$A$5001,"&gt;="&amp;$C$7,BD!$A$3:$A$5001,"&lt;="&amp;$B153,BD!$P$3:$P$5001,"&lt;&gt;")=0,"",SUMIFS(BD!$P$3:$P$5001,BD!$B$3:$B$5001,N$128,BD!$A$3:$A$5001,_xlfn.MAXIFS(BD!$A$3:$A$5001,BD!$B$3:$B$5001,N$128,BD!$A$3:$A$5001,"&gt;="&amp;$C$7,BD!$A$3:$A$5001,"&lt;="&amp;$B153,BD!$P$3:$P$5001,"&lt;&gt;"))))</f>
        <v/>
      </c>
      <c r="O153" s="54" t="str">
        <f>IF(OR($B153="",$A153&gt;$B$9,O$128=""),"",IF(COUNTIFS(BD!$B$3:$B$5001,O$128,BD!$A$3:$A$5001,"&gt;="&amp;$C$7,BD!$A$3:$A$5001,"&lt;="&amp;$B153,BD!$P$3:$P$5001,"&lt;&gt;")=0,"",SUMIFS(BD!$P$3:$P$5001,BD!$B$3:$B$5001,O$128,BD!$A$3:$A$5001,_xlfn.MAXIFS(BD!$A$3:$A$5001,BD!$B$3:$B$5001,O$128,BD!$A$3:$A$5001,"&gt;="&amp;$C$7,BD!$A$3:$A$5001,"&lt;="&amp;$B153,BD!$P$3:$P$5001,"&lt;&gt;"))))</f>
        <v/>
      </c>
      <c r="P153" s="54" t="str">
        <f>IF(OR($B153="",$A153&gt;$B$9,P$128=""),"",IF(COUNTIFS(BD!$B$3:$B$5001,P$128,BD!$A$3:$A$5001,"&gt;="&amp;$C$7,BD!$A$3:$A$5001,"&lt;="&amp;$B153,BD!$P$3:$P$5001,"&lt;&gt;")=0,"",SUMIFS(BD!$P$3:$P$5001,BD!$B$3:$B$5001,P$128,BD!$A$3:$A$5001,_xlfn.MAXIFS(BD!$A$3:$A$5001,BD!$B$3:$B$5001,P$128,BD!$A$3:$A$5001,"&gt;="&amp;$C$7,BD!$A$3:$A$5001,"&lt;="&amp;$B153,BD!$P$3:$P$5001,"&lt;&gt;"))))</f>
        <v/>
      </c>
      <c r="Q153" s="54" t="str">
        <f>IF(OR($B153="",$A153&gt;$B$9,Q$128=""),"",IF(COUNTIFS(BD!$B$3:$B$5001,Q$128,BD!$A$3:$A$5001,"&gt;="&amp;$C$7,BD!$A$3:$A$5001,"&lt;="&amp;$B153,BD!$P$3:$P$5001,"&lt;&gt;")=0,"",SUMIFS(BD!$P$3:$P$5001,BD!$B$3:$B$5001,Q$128,BD!$A$3:$A$5001,_xlfn.MAXIFS(BD!$A$3:$A$5001,BD!$B$3:$B$5001,Q$128,BD!$A$3:$A$5001,"&gt;="&amp;$C$7,BD!$A$3:$A$5001,"&lt;="&amp;$B153,BD!$P$3:$P$5001,"&lt;&gt;"))))</f>
        <v/>
      </c>
      <c r="R153" s="54" t="str">
        <f>IF(OR($B153="",$A153&gt;$B$9,R$128=""),"",IF(COUNTIFS(BD!$B$3:$B$5001,R$128,BD!$A$3:$A$5001,"&gt;="&amp;$C$7,BD!$A$3:$A$5001,"&lt;="&amp;$B153,BD!$P$3:$P$5001,"&lt;&gt;")=0,"",SUMIFS(BD!$P$3:$P$5001,BD!$B$3:$B$5001,R$128,BD!$A$3:$A$5001,_xlfn.MAXIFS(BD!$A$3:$A$5001,BD!$B$3:$B$5001,R$128,BD!$A$3:$A$5001,"&gt;="&amp;$C$7,BD!$A$3:$A$5001,"&lt;="&amp;$B153,BD!$P$3:$P$5001,"&lt;&gt;"))))</f>
        <v/>
      </c>
      <c r="S153" s="54" t="str">
        <f>IF(OR($B153="",$A153&gt;$B$9,S$128=""),"",IF(COUNTIFS(BD!$B$3:$B$5001,S$128,BD!$A$3:$A$5001,"&gt;="&amp;$C$7,BD!$A$3:$A$5001,"&lt;="&amp;$B153,BD!$P$3:$P$5001,"&lt;&gt;")=0,"",SUMIFS(BD!$P$3:$P$5001,BD!$B$3:$B$5001,S$128,BD!$A$3:$A$5001,_xlfn.MAXIFS(BD!$A$3:$A$5001,BD!$B$3:$B$5001,S$128,BD!$A$3:$A$5001,"&gt;="&amp;$C$7,BD!$A$3:$A$5001,"&lt;="&amp;$B153,BD!$P$3:$P$5001,"&lt;&gt;"))))</f>
        <v/>
      </c>
      <c r="T153" s="54" t="str">
        <f>IF(OR($B153="",$A153&gt;$B$9,T$128=""),"",IF(COUNTIFS(BD!$B$3:$B$5001,T$128,BD!$A$3:$A$5001,"&gt;="&amp;$C$7,BD!$A$3:$A$5001,"&lt;="&amp;$B153,BD!$P$3:$P$5001,"&lt;&gt;")=0,"",SUMIFS(BD!$P$3:$P$5001,BD!$B$3:$B$5001,T$128,BD!$A$3:$A$5001,_xlfn.MAXIFS(BD!$A$3:$A$5001,BD!$B$3:$B$5001,T$128,BD!$A$3:$A$5001,"&gt;="&amp;$C$7,BD!$A$3:$A$5001,"&lt;="&amp;$B153,BD!$P$3:$P$5001,"&lt;&gt;"))))</f>
        <v/>
      </c>
      <c r="U153" s="54" t="str">
        <f>IF(OR($B153="",$A153&gt;$B$9,U$128=""),"",IF(COUNTIFS(BD!$B$3:$B$5001,U$128,BD!$A$3:$A$5001,"&gt;="&amp;$C$7,BD!$A$3:$A$5001,"&lt;="&amp;$B153,BD!$P$3:$P$5001,"&lt;&gt;")=0,"",SUMIFS(BD!$P$3:$P$5001,BD!$B$3:$B$5001,U$128,BD!$A$3:$A$5001,_xlfn.MAXIFS(BD!$A$3:$A$5001,BD!$B$3:$B$5001,U$128,BD!$A$3:$A$5001,"&gt;="&amp;$C$7,BD!$A$3:$A$5001,"&lt;="&amp;$B153,BD!$P$3:$P$5001,"&lt;&gt;"))))</f>
        <v/>
      </c>
      <c r="V153" s="54" t="str">
        <f>IF(OR($B153="",$A153&gt;$B$9,V$128=""),"",IF(COUNTIFS(BD!$B$3:$B$5001,V$128,BD!$A$3:$A$5001,"&gt;="&amp;$C$7,BD!$A$3:$A$5001,"&lt;="&amp;$B153,BD!$P$3:$P$5001,"&lt;&gt;")=0,"",SUMIFS(BD!$P$3:$P$5001,BD!$B$3:$B$5001,V$128,BD!$A$3:$A$5001,_xlfn.MAXIFS(BD!$A$3:$A$5001,BD!$B$3:$B$5001,V$128,BD!$A$3:$A$5001,"&gt;="&amp;$C$7,BD!$A$3:$A$5001,"&lt;="&amp;$B153,BD!$P$3:$P$5001,"&lt;&gt;"))))</f>
        <v/>
      </c>
    </row>
    <row r="154">
      <c r="A154" s="48">
        <v>26</v>
      </c>
      <c r="B154" s="53">
        <f>$B$37</f>
        <v>46321</v>
      </c>
      <c r="C154" s="54" t="str">
        <f>IF(OR($B154="",$A154&gt;$B$9,C$128=""),"",IF(COUNTIFS(BD!$B$3:$B$5001,C$128,BD!$A$3:$A$5001,"&gt;="&amp;$C$7,BD!$A$3:$A$5001,"&lt;="&amp;$B154,BD!$P$3:$P$5001,"&lt;&gt;")=0,"",SUMIFS(BD!$P$3:$P$5001,BD!$B$3:$B$5001,C$128,BD!$A$3:$A$5001,_xlfn.MAXIFS(BD!$A$3:$A$5001,BD!$B$3:$B$5001,C$128,BD!$A$3:$A$5001,"&gt;="&amp;$C$7,BD!$A$3:$A$5001,"&lt;="&amp;$B154,BD!$P$3:$P$5001,"&lt;&gt;"))))</f>
        <v/>
      </c>
      <c r="D154" s="54" t="str">
        <f>IF(OR($B154="",$A154&gt;$B$9,D$128=""),"",IF(COUNTIFS(BD!$B$3:$B$5001,D$128,BD!$A$3:$A$5001,"&gt;="&amp;$C$7,BD!$A$3:$A$5001,"&lt;="&amp;$B154,BD!$P$3:$P$5001,"&lt;&gt;")=0,"",SUMIFS(BD!$P$3:$P$5001,BD!$B$3:$B$5001,D$128,BD!$A$3:$A$5001,_xlfn.MAXIFS(BD!$A$3:$A$5001,BD!$B$3:$B$5001,D$128,BD!$A$3:$A$5001,"&gt;="&amp;$C$7,BD!$A$3:$A$5001,"&lt;="&amp;$B154,BD!$P$3:$P$5001,"&lt;&gt;"))))</f>
        <v/>
      </c>
      <c r="E154" s="54" t="str">
        <f>IF(OR($B154="",$A154&gt;$B$9,E$128=""),"",IF(COUNTIFS(BD!$B$3:$B$5001,E$128,BD!$A$3:$A$5001,"&gt;="&amp;$C$7,BD!$A$3:$A$5001,"&lt;="&amp;$B154,BD!$P$3:$P$5001,"&lt;&gt;")=0,"",SUMIFS(BD!$P$3:$P$5001,BD!$B$3:$B$5001,E$128,BD!$A$3:$A$5001,_xlfn.MAXIFS(BD!$A$3:$A$5001,BD!$B$3:$B$5001,E$128,BD!$A$3:$A$5001,"&gt;="&amp;$C$7,BD!$A$3:$A$5001,"&lt;="&amp;$B154,BD!$P$3:$P$5001,"&lt;&gt;"))))</f>
        <v/>
      </c>
      <c r="F154" s="54" t="str">
        <f>IF(OR($B154="",$A154&gt;$B$9,F$128=""),"",IF(COUNTIFS(BD!$B$3:$B$5001,F$128,BD!$A$3:$A$5001,"&gt;="&amp;$C$7,BD!$A$3:$A$5001,"&lt;="&amp;$B154,BD!$P$3:$P$5001,"&lt;&gt;")=0,"",SUMIFS(BD!$P$3:$P$5001,BD!$B$3:$B$5001,F$128,BD!$A$3:$A$5001,_xlfn.MAXIFS(BD!$A$3:$A$5001,BD!$B$3:$B$5001,F$128,BD!$A$3:$A$5001,"&gt;="&amp;$C$7,BD!$A$3:$A$5001,"&lt;="&amp;$B154,BD!$P$3:$P$5001,"&lt;&gt;"))))</f>
        <v/>
      </c>
      <c r="G154" s="54" t="str">
        <f>IF(OR($B154="",$A154&gt;$B$9,G$128=""),"",IF(COUNTIFS(BD!$B$3:$B$5001,G$128,BD!$A$3:$A$5001,"&gt;="&amp;$C$7,BD!$A$3:$A$5001,"&lt;="&amp;$B154,BD!$P$3:$P$5001,"&lt;&gt;")=0,"",SUMIFS(BD!$P$3:$P$5001,BD!$B$3:$B$5001,G$128,BD!$A$3:$A$5001,_xlfn.MAXIFS(BD!$A$3:$A$5001,BD!$B$3:$B$5001,G$128,BD!$A$3:$A$5001,"&gt;="&amp;$C$7,BD!$A$3:$A$5001,"&lt;="&amp;$B154,BD!$P$3:$P$5001,"&lt;&gt;"))))</f>
        <v/>
      </c>
      <c r="H154" s="54" t="str">
        <f>IF(OR($B154="",$A154&gt;$B$9,H$128=""),"",IF(COUNTIFS(BD!$B$3:$B$5001,H$128,BD!$A$3:$A$5001,"&gt;="&amp;$C$7,BD!$A$3:$A$5001,"&lt;="&amp;$B154,BD!$P$3:$P$5001,"&lt;&gt;")=0,"",SUMIFS(BD!$P$3:$P$5001,BD!$B$3:$B$5001,H$128,BD!$A$3:$A$5001,_xlfn.MAXIFS(BD!$A$3:$A$5001,BD!$B$3:$B$5001,H$128,BD!$A$3:$A$5001,"&gt;="&amp;$C$7,BD!$A$3:$A$5001,"&lt;="&amp;$B154,BD!$P$3:$P$5001,"&lt;&gt;"))))</f>
        <v/>
      </c>
      <c r="I154" s="54" t="str">
        <f>IF(OR($B154="",$A154&gt;$B$9,I$128=""),"",IF(COUNTIFS(BD!$B$3:$B$5001,I$128,BD!$A$3:$A$5001,"&gt;="&amp;$C$7,BD!$A$3:$A$5001,"&lt;="&amp;$B154,BD!$P$3:$P$5001,"&lt;&gt;")=0,"",SUMIFS(BD!$P$3:$P$5001,BD!$B$3:$B$5001,I$128,BD!$A$3:$A$5001,_xlfn.MAXIFS(BD!$A$3:$A$5001,BD!$B$3:$B$5001,I$128,BD!$A$3:$A$5001,"&gt;="&amp;$C$7,BD!$A$3:$A$5001,"&lt;="&amp;$B154,BD!$P$3:$P$5001,"&lt;&gt;"))))</f>
        <v/>
      </c>
      <c r="J154" s="54" t="str">
        <f>IF(OR($B154="",$A154&gt;$B$9,J$128=""),"",IF(COUNTIFS(BD!$B$3:$B$5001,J$128,BD!$A$3:$A$5001,"&gt;="&amp;$C$7,BD!$A$3:$A$5001,"&lt;="&amp;$B154,BD!$P$3:$P$5001,"&lt;&gt;")=0,"",SUMIFS(BD!$P$3:$P$5001,BD!$B$3:$B$5001,J$128,BD!$A$3:$A$5001,_xlfn.MAXIFS(BD!$A$3:$A$5001,BD!$B$3:$B$5001,J$128,BD!$A$3:$A$5001,"&gt;="&amp;$C$7,BD!$A$3:$A$5001,"&lt;="&amp;$B154,BD!$P$3:$P$5001,"&lt;&gt;"))))</f>
        <v/>
      </c>
      <c r="K154" s="54" t="str">
        <f>IF(OR($B154="",$A154&gt;$B$9,K$128=""),"",IF(COUNTIFS(BD!$B$3:$B$5001,K$128,BD!$A$3:$A$5001,"&gt;="&amp;$C$7,BD!$A$3:$A$5001,"&lt;="&amp;$B154,BD!$P$3:$P$5001,"&lt;&gt;")=0,"",SUMIFS(BD!$P$3:$P$5001,BD!$B$3:$B$5001,K$128,BD!$A$3:$A$5001,_xlfn.MAXIFS(BD!$A$3:$A$5001,BD!$B$3:$B$5001,K$128,BD!$A$3:$A$5001,"&gt;="&amp;$C$7,BD!$A$3:$A$5001,"&lt;="&amp;$B154,BD!$P$3:$P$5001,"&lt;&gt;"))))</f>
        <v/>
      </c>
      <c r="L154" s="54" t="str">
        <f>IF(OR($B154="",$A154&gt;$B$9,L$128=""),"",IF(COUNTIFS(BD!$B$3:$B$5001,L$128,BD!$A$3:$A$5001,"&gt;="&amp;$C$7,BD!$A$3:$A$5001,"&lt;="&amp;$B154,BD!$P$3:$P$5001,"&lt;&gt;")=0,"",SUMIFS(BD!$P$3:$P$5001,BD!$B$3:$B$5001,L$128,BD!$A$3:$A$5001,_xlfn.MAXIFS(BD!$A$3:$A$5001,BD!$B$3:$B$5001,L$128,BD!$A$3:$A$5001,"&gt;="&amp;$C$7,BD!$A$3:$A$5001,"&lt;="&amp;$B154,BD!$P$3:$P$5001,"&lt;&gt;"))))</f>
        <v/>
      </c>
      <c r="M154" s="54" t="str">
        <f>IF(OR($B154="",$A154&gt;$B$9,M$128=""),"",IF(COUNTIFS(BD!$B$3:$B$5001,M$128,BD!$A$3:$A$5001,"&gt;="&amp;$C$7,BD!$A$3:$A$5001,"&lt;="&amp;$B154,BD!$P$3:$P$5001,"&lt;&gt;")=0,"",SUMIFS(BD!$P$3:$P$5001,BD!$B$3:$B$5001,M$128,BD!$A$3:$A$5001,_xlfn.MAXIFS(BD!$A$3:$A$5001,BD!$B$3:$B$5001,M$128,BD!$A$3:$A$5001,"&gt;="&amp;$C$7,BD!$A$3:$A$5001,"&lt;="&amp;$B154,BD!$P$3:$P$5001,"&lt;&gt;"))))</f>
        <v/>
      </c>
      <c r="N154" s="54" t="str">
        <f>IF(OR($B154="",$A154&gt;$B$9,N$128=""),"",IF(COUNTIFS(BD!$B$3:$B$5001,N$128,BD!$A$3:$A$5001,"&gt;="&amp;$C$7,BD!$A$3:$A$5001,"&lt;="&amp;$B154,BD!$P$3:$P$5001,"&lt;&gt;")=0,"",SUMIFS(BD!$P$3:$P$5001,BD!$B$3:$B$5001,N$128,BD!$A$3:$A$5001,_xlfn.MAXIFS(BD!$A$3:$A$5001,BD!$B$3:$B$5001,N$128,BD!$A$3:$A$5001,"&gt;="&amp;$C$7,BD!$A$3:$A$5001,"&lt;="&amp;$B154,BD!$P$3:$P$5001,"&lt;&gt;"))))</f>
        <v/>
      </c>
      <c r="O154" s="54" t="str">
        <f>IF(OR($B154="",$A154&gt;$B$9,O$128=""),"",IF(COUNTIFS(BD!$B$3:$B$5001,O$128,BD!$A$3:$A$5001,"&gt;="&amp;$C$7,BD!$A$3:$A$5001,"&lt;="&amp;$B154,BD!$P$3:$P$5001,"&lt;&gt;")=0,"",SUMIFS(BD!$P$3:$P$5001,BD!$B$3:$B$5001,O$128,BD!$A$3:$A$5001,_xlfn.MAXIFS(BD!$A$3:$A$5001,BD!$B$3:$B$5001,O$128,BD!$A$3:$A$5001,"&gt;="&amp;$C$7,BD!$A$3:$A$5001,"&lt;="&amp;$B154,BD!$P$3:$P$5001,"&lt;&gt;"))))</f>
        <v/>
      </c>
      <c r="P154" s="54" t="str">
        <f>IF(OR($B154="",$A154&gt;$B$9,P$128=""),"",IF(COUNTIFS(BD!$B$3:$B$5001,P$128,BD!$A$3:$A$5001,"&gt;="&amp;$C$7,BD!$A$3:$A$5001,"&lt;="&amp;$B154,BD!$P$3:$P$5001,"&lt;&gt;")=0,"",SUMIFS(BD!$P$3:$P$5001,BD!$B$3:$B$5001,P$128,BD!$A$3:$A$5001,_xlfn.MAXIFS(BD!$A$3:$A$5001,BD!$B$3:$B$5001,P$128,BD!$A$3:$A$5001,"&gt;="&amp;$C$7,BD!$A$3:$A$5001,"&lt;="&amp;$B154,BD!$P$3:$P$5001,"&lt;&gt;"))))</f>
        <v/>
      </c>
      <c r="Q154" s="54" t="str">
        <f>IF(OR($B154="",$A154&gt;$B$9,Q$128=""),"",IF(COUNTIFS(BD!$B$3:$B$5001,Q$128,BD!$A$3:$A$5001,"&gt;="&amp;$C$7,BD!$A$3:$A$5001,"&lt;="&amp;$B154,BD!$P$3:$P$5001,"&lt;&gt;")=0,"",SUMIFS(BD!$P$3:$P$5001,BD!$B$3:$B$5001,Q$128,BD!$A$3:$A$5001,_xlfn.MAXIFS(BD!$A$3:$A$5001,BD!$B$3:$B$5001,Q$128,BD!$A$3:$A$5001,"&gt;="&amp;$C$7,BD!$A$3:$A$5001,"&lt;="&amp;$B154,BD!$P$3:$P$5001,"&lt;&gt;"))))</f>
        <v/>
      </c>
      <c r="R154" s="54" t="str">
        <f>IF(OR($B154="",$A154&gt;$B$9,R$128=""),"",IF(COUNTIFS(BD!$B$3:$B$5001,R$128,BD!$A$3:$A$5001,"&gt;="&amp;$C$7,BD!$A$3:$A$5001,"&lt;="&amp;$B154,BD!$P$3:$P$5001,"&lt;&gt;")=0,"",SUMIFS(BD!$P$3:$P$5001,BD!$B$3:$B$5001,R$128,BD!$A$3:$A$5001,_xlfn.MAXIFS(BD!$A$3:$A$5001,BD!$B$3:$B$5001,R$128,BD!$A$3:$A$5001,"&gt;="&amp;$C$7,BD!$A$3:$A$5001,"&lt;="&amp;$B154,BD!$P$3:$P$5001,"&lt;&gt;"))))</f>
        <v/>
      </c>
      <c r="S154" s="54" t="str">
        <f>IF(OR($B154="",$A154&gt;$B$9,S$128=""),"",IF(COUNTIFS(BD!$B$3:$B$5001,S$128,BD!$A$3:$A$5001,"&gt;="&amp;$C$7,BD!$A$3:$A$5001,"&lt;="&amp;$B154,BD!$P$3:$P$5001,"&lt;&gt;")=0,"",SUMIFS(BD!$P$3:$P$5001,BD!$B$3:$B$5001,S$128,BD!$A$3:$A$5001,_xlfn.MAXIFS(BD!$A$3:$A$5001,BD!$B$3:$B$5001,S$128,BD!$A$3:$A$5001,"&gt;="&amp;$C$7,BD!$A$3:$A$5001,"&lt;="&amp;$B154,BD!$P$3:$P$5001,"&lt;&gt;"))))</f>
        <v/>
      </c>
      <c r="T154" s="54" t="str">
        <f>IF(OR($B154="",$A154&gt;$B$9,T$128=""),"",IF(COUNTIFS(BD!$B$3:$B$5001,T$128,BD!$A$3:$A$5001,"&gt;="&amp;$C$7,BD!$A$3:$A$5001,"&lt;="&amp;$B154,BD!$P$3:$P$5001,"&lt;&gt;")=0,"",SUMIFS(BD!$P$3:$P$5001,BD!$B$3:$B$5001,T$128,BD!$A$3:$A$5001,_xlfn.MAXIFS(BD!$A$3:$A$5001,BD!$B$3:$B$5001,T$128,BD!$A$3:$A$5001,"&gt;="&amp;$C$7,BD!$A$3:$A$5001,"&lt;="&amp;$B154,BD!$P$3:$P$5001,"&lt;&gt;"))))</f>
        <v/>
      </c>
      <c r="U154" s="54" t="str">
        <f>IF(OR($B154="",$A154&gt;$B$9,U$128=""),"",IF(COUNTIFS(BD!$B$3:$B$5001,U$128,BD!$A$3:$A$5001,"&gt;="&amp;$C$7,BD!$A$3:$A$5001,"&lt;="&amp;$B154,BD!$P$3:$P$5001,"&lt;&gt;")=0,"",SUMIFS(BD!$P$3:$P$5001,BD!$B$3:$B$5001,U$128,BD!$A$3:$A$5001,_xlfn.MAXIFS(BD!$A$3:$A$5001,BD!$B$3:$B$5001,U$128,BD!$A$3:$A$5001,"&gt;="&amp;$C$7,BD!$A$3:$A$5001,"&lt;="&amp;$B154,BD!$P$3:$P$5001,"&lt;&gt;"))))</f>
        <v/>
      </c>
      <c r="V154" s="54" t="str">
        <f>IF(OR($B154="",$A154&gt;$B$9,V$128=""),"",IF(COUNTIFS(BD!$B$3:$B$5001,V$128,BD!$A$3:$A$5001,"&gt;="&amp;$C$7,BD!$A$3:$A$5001,"&lt;="&amp;$B154,BD!$P$3:$P$5001,"&lt;&gt;")=0,"",SUMIFS(BD!$P$3:$P$5001,BD!$B$3:$B$5001,V$128,BD!$A$3:$A$5001,_xlfn.MAXIFS(BD!$A$3:$A$5001,BD!$B$3:$B$5001,V$128,BD!$A$3:$A$5001,"&gt;="&amp;$C$7,BD!$A$3:$A$5001,"&lt;="&amp;$B154,BD!$P$3:$P$5001,"&lt;&gt;"))))</f>
        <v/>
      </c>
    </row>
    <row r="155">
      <c r="A155" s="48">
        <v>27</v>
      </c>
      <c r="B155" s="53">
        <f>$B$38</f>
        <v>46322</v>
      </c>
      <c r="C155" s="54" t="str">
        <f>IF(OR($B155="",$A155&gt;$B$9,C$128=""),"",IF(COUNTIFS(BD!$B$3:$B$5001,C$128,BD!$A$3:$A$5001,"&gt;="&amp;$C$7,BD!$A$3:$A$5001,"&lt;="&amp;$B155,BD!$P$3:$P$5001,"&lt;&gt;")=0,"",SUMIFS(BD!$P$3:$P$5001,BD!$B$3:$B$5001,C$128,BD!$A$3:$A$5001,_xlfn.MAXIFS(BD!$A$3:$A$5001,BD!$B$3:$B$5001,C$128,BD!$A$3:$A$5001,"&gt;="&amp;$C$7,BD!$A$3:$A$5001,"&lt;="&amp;$B155,BD!$P$3:$P$5001,"&lt;&gt;"))))</f>
        <v/>
      </c>
      <c r="D155" s="54" t="str">
        <f>IF(OR($B155="",$A155&gt;$B$9,D$128=""),"",IF(COUNTIFS(BD!$B$3:$B$5001,D$128,BD!$A$3:$A$5001,"&gt;="&amp;$C$7,BD!$A$3:$A$5001,"&lt;="&amp;$B155,BD!$P$3:$P$5001,"&lt;&gt;")=0,"",SUMIFS(BD!$P$3:$P$5001,BD!$B$3:$B$5001,D$128,BD!$A$3:$A$5001,_xlfn.MAXIFS(BD!$A$3:$A$5001,BD!$B$3:$B$5001,D$128,BD!$A$3:$A$5001,"&gt;="&amp;$C$7,BD!$A$3:$A$5001,"&lt;="&amp;$B155,BD!$P$3:$P$5001,"&lt;&gt;"))))</f>
        <v/>
      </c>
      <c r="E155" s="54" t="str">
        <f>IF(OR($B155="",$A155&gt;$B$9,E$128=""),"",IF(COUNTIFS(BD!$B$3:$B$5001,E$128,BD!$A$3:$A$5001,"&gt;="&amp;$C$7,BD!$A$3:$A$5001,"&lt;="&amp;$B155,BD!$P$3:$P$5001,"&lt;&gt;")=0,"",SUMIFS(BD!$P$3:$P$5001,BD!$B$3:$B$5001,E$128,BD!$A$3:$A$5001,_xlfn.MAXIFS(BD!$A$3:$A$5001,BD!$B$3:$B$5001,E$128,BD!$A$3:$A$5001,"&gt;="&amp;$C$7,BD!$A$3:$A$5001,"&lt;="&amp;$B155,BD!$P$3:$P$5001,"&lt;&gt;"))))</f>
        <v/>
      </c>
      <c r="F155" s="54" t="str">
        <f>IF(OR($B155="",$A155&gt;$B$9,F$128=""),"",IF(COUNTIFS(BD!$B$3:$B$5001,F$128,BD!$A$3:$A$5001,"&gt;="&amp;$C$7,BD!$A$3:$A$5001,"&lt;="&amp;$B155,BD!$P$3:$P$5001,"&lt;&gt;")=0,"",SUMIFS(BD!$P$3:$P$5001,BD!$B$3:$B$5001,F$128,BD!$A$3:$A$5001,_xlfn.MAXIFS(BD!$A$3:$A$5001,BD!$B$3:$B$5001,F$128,BD!$A$3:$A$5001,"&gt;="&amp;$C$7,BD!$A$3:$A$5001,"&lt;="&amp;$B155,BD!$P$3:$P$5001,"&lt;&gt;"))))</f>
        <v/>
      </c>
      <c r="G155" s="54" t="str">
        <f>IF(OR($B155="",$A155&gt;$B$9,G$128=""),"",IF(COUNTIFS(BD!$B$3:$B$5001,G$128,BD!$A$3:$A$5001,"&gt;="&amp;$C$7,BD!$A$3:$A$5001,"&lt;="&amp;$B155,BD!$P$3:$P$5001,"&lt;&gt;")=0,"",SUMIFS(BD!$P$3:$P$5001,BD!$B$3:$B$5001,G$128,BD!$A$3:$A$5001,_xlfn.MAXIFS(BD!$A$3:$A$5001,BD!$B$3:$B$5001,G$128,BD!$A$3:$A$5001,"&gt;="&amp;$C$7,BD!$A$3:$A$5001,"&lt;="&amp;$B155,BD!$P$3:$P$5001,"&lt;&gt;"))))</f>
        <v/>
      </c>
      <c r="H155" s="54" t="str">
        <f>IF(OR($B155="",$A155&gt;$B$9,H$128=""),"",IF(COUNTIFS(BD!$B$3:$B$5001,H$128,BD!$A$3:$A$5001,"&gt;="&amp;$C$7,BD!$A$3:$A$5001,"&lt;="&amp;$B155,BD!$P$3:$P$5001,"&lt;&gt;")=0,"",SUMIFS(BD!$P$3:$P$5001,BD!$B$3:$B$5001,H$128,BD!$A$3:$A$5001,_xlfn.MAXIFS(BD!$A$3:$A$5001,BD!$B$3:$B$5001,H$128,BD!$A$3:$A$5001,"&gt;="&amp;$C$7,BD!$A$3:$A$5001,"&lt;="&amp;$B155,BD!$P$3:$P$5001,"&lt;&gt;"))))</f>
        <v/>
      </c>
      <c r="I155" s="54" t="str">
        <f>IF(OR($B155="",$A155&gt;$B$9,I$128=""),"",IF(COUNTIFS(BD!$B$3:$B$5001,I$128,BD!$A$3:$A$5001,"&gt;="&amp;$C$7,BD!$A$3:$A$5001,"&lt;="&amp;$B155,BD!$P$3:$P$5001,"&lt;&gt;")=0,"",SUMIFS(BD!$P$3:$P$5001,BD!$B$3:$B$5001,I$128,BD!$A$3:$A$5001,_xlfn.MAXIFS(BD!$A$3:$A$5001,BD!$B$3:$B$5001,I$128,BD!$A$3:$A$5001,"&gt;="&amp;$C$7,BD!$A$3:$A$5001,"&lt;="&amp;$B155,BD!$P$3:$P$5001,"&lt;&gt;"))))</f>
        <v/>
      </c>
      <c r="J155" s="54" t="str">
        <f>IF(OR($B155="",$A155&gt;$B$9,J$128=""),"",IF(COUNTIFS(BD!$B$3:$B$5001,J$128,BD!$A$3:$A$5001,"&gt;="&amp;$C$7,BD!$A$3:$A$5001,"&lt;="&amp;$B155,BD!$P$3:$P$5001,"&lt;&gt;")=0,"",SUMIFS(BD!$P$3:$P$5001,BD!$B$3:$B$5001,J$128,BD!$A$3:$A$5001,_xlfn.MAXIFS(BD!$A$3:$A$5001,BD!$B$3:$B$5001,J$128,BD!$A$3:$A$5001,"&gt;="&amp;$C$7,BD!$A$3:$A$5001,"&lt;="&amp;$B155,BD!$P$3:$P$5001,"&lt;&gt;"))))</f>
        <v/>
      </c>
      <c r="K155" s="54" t="str">
        <f>IF(OR($B155="",$A155&gt;$B$9,K$128=""),"",IF(COUNTIFS(BD!$B$3:$B$5001,K$128,BD!$A$3:$A$5001,"&gt;="&amp;$C$7,BD!$A$3:$A$5001,"&lt;="&amp;$B155,BD!$P$3:$P$5001,"&lt;&gt;")=0,"",SUMIFS(BD!$P$3:$P$5001,BD!$B$3:$B$5001,K$128,BD!$A$3:$A$5001,_xlfn.MAXIFS(BD!$A$3:$A$5001,BD!$B$3:$B$5001,K$128,BD!$A$3:$A$5001,"&gt;="&amp;$C$7,BD!$A$3:$A$5001,"&lt;="&amp;$B155,BD!$P$3:$P$5001,"&lt;&gt;"))))</f>
        <v/>
      </c>
      <c r="L155" s="54" t="str">
        <f>IF(OR($B155="",$A155&gt;$B$9,L$128=""),"",IF(COUNTIFS(BD!$B$3:$B$5001,L$128,BD!$A$3:$A$5001,"&gt;="&amp;$C$7,BD!$A$3:$A$5001,"&lt;="&amp;$B155,BD!$P$3:$P$5001,"&lt;&gt;")=0,"",SUMIFS(BD!$P$3:$P$5001,BD!$B$3:$B$5001,L$128,BD!$A$3:$A$5001,_xlfn.MAXIFS(BD!$A$3:$A$5001,BD!$B$3:$B$5001,L$128,BD!$A$3:$A$5001,"&gt;="&amp;$C$7,BD!$A$3:$A$5001,"&lt;="&amp;$B155,BD!$P$3:$P$5001,"&lt;&gt;"))))</f>
        <v/>
      </c>
      <c r="M155" s="54" t="str">
        <f>IF(OR($B155="",$A155&gt;$B$9,M$128=""),"",IF(COUNTIFS(BD!$B$3:$B$5001,M$128,BD!$A$3:$A$5001,"&gt;="&amp;$C$7,BD!$A$3:$A$5001,"&lt;="&amp;$B155,BD!$P$3:$P$5001,"&lt;&gt;")=0,"",SUMIFS(BD!$P$3:$P$5001,BD!$B$3:$B$5001,M$128,BD!$A$3:$A$5001,_xlfn.MAXIFS(BD!$A$3:$A$5001,BD!$B$3:$B$5001,M$128,BD!$A$3:$A$5001,"&gt;="&amp;$C$7,BD!$A$3:$A$5001,"&lt;="&amp;$B155,BD!$P$3:$P$5001,"&lt;&gt;"))))</f>
        <v/>
      </c>
      <c r="N155" s="54" t="str">
        <f>IF(OR($B155="",$A155&gt;$B$9,N$128=""),"",IF(COUNTIFS(BD!$B$3:$B$5001,N$128,BD!$A$3:$A$5001,"&gt;="&amp;$C$7,BD!$A$3:$A$5001,"&lt;="&amp;$B155,BD!$P$3:$P$5001,"&lt;&gt;")=0,"",SUMIFS(BD!$P$3:$P$5001,BD!$B$3:$B$5001,N$128,BD!$A$3:$A$5001,_xlfn.MAXIFS(BD!$A$3:$A$5001,BD!$B$3:$B$5001,N$128,BD!$A$3:$A$5001,"&gt;="&amp;$C$7,BD!$A$3:$A$5001,"&lt;="&amp;$B155,BD!$P$3:$P$5001,"&lt;&gt;"))))</f>
        <v/>
      </c>
      <c r="O155" s="54" t="str">
        <f>IF(OR($B155="",$A155&gt;$B$9,O$128=""),"",IF(COUNTIFS(BD!$B$3:$B$5001,O$128,BD!$A$3:$A$5001,"&gt;="&amp;$C$7,BD!$A$3:$A$5001,"&lt;="&amp;$B155,BD!$P$3:$P$5001,"&lt;&gt;")=0,"",SUMIFS(BD!$P$3:$P$5001,BD!$B$3:$B$5001,O$128,BD!$A$3:$A$5001,_xlfn.MAXIFS(BD!$A$3:$A$5001,BD!$B$3:$B$5001,O$128,BD!$A$3:$A$5001,"&gt;="&amp;$C$7,BD!$A$3:$A$5001,"&lt;="&amp;$B155,BD!$P$3:$P$5001,"&lt;&gt;"))))</f>
        <v/>
      </c>
      <c r="P155" s="54" t="str">
        <f>IF(OR($B155="",$A155&gt;$B$9,P$128=""),"",IF(COUNTIFS(BD!$B$3:$B$5001,P$128,BD!$A$3:$A$5001,"&gt;="&amp;$C$7,BD!$A$3:$A$5001,"&lt;="&amp;$B155,BD!$P$3:$P$5001,"&lt;&gt;")=0,"",SUMIFS(BD!$P$3:$P$5001,BD!$B$3:$B$5001,P$128,BD!$A$3:$A$5001,_xlfn.MAXIFS(BD!$A$3:$A$5001,BD!$B$3:$B$5001,P$128,BD!$A$3:$A$5001,"&gt;="&amp;$C$7,BD!$A$3:$A$5001,"&lt;="&amp;$B155,BD!$P$3:$P$5001,"&lt;&gt;"))))</f>
        <v/>
      </c>
      <c r="Q155" s="54" t="str">
        <f>IF(OR($B155="",$A155&gt;$B$9,Q$128=""),"",IF(COUNTIFS(BD!$B$3:$B$5001,Q$128,BD!$A$3:$A$5001,"&gt;="&amp;$C$7,BD!$A$3:$A$5001,"&lt;="&amp;$B155,BD!$P$3:$P$5001,"&lt;&gt;")=0,"",SUMIFS(BD!$P$3:$P$5001,BD!$B$3:$B$5001,Q$128,BD!$A$3:$A$5001,_xlfn.MAXIFS(BD!$A$3:$A$5001,BD!$B$3:$B$5001,Q$128,BD!$A$3:$A$5001,"&gt;="&amp;$C$7,BD!$A$3:$A$5001,"&lt;="&amp;$B155,BD!$P$3:$P$5001,"&lt;&gt;"))))</f>
        <v/>
      </c>
      <c r="R155" s="54" t="str">
        <f>IF(OR($B155="",$A155&gt;$B$9,R$128=""),"",IF(COUNTIFS(BD!$B$3:$B$5001,R$128,BD!$A$3:$A$5001,"&gt;="&amp;$C$7,BD!$A$3:$A$5001,"&lt;="&amp;$B155,BD!$P$3:$P$5001,"&lt;&gt;")=0,"",SUMIFS(BD!$P$3:$P$5001,BD!$B$3:$B$5001,R$128,BD!$A$3:$A$5001,_xlfn.MAXIFS(BD!$A$3:$A$5001,BD!$B$3:$B$5001,R$128,BD!$A$3:$A$5001,"&gt;="&amp;$C$7,BD!$A$3:$A$5001,"&lt;="&amp;$B155,BD!$P$3:$P$5001,"&lt;&gt;"))))</f>
        <v/>
      </c>
      <c r="S155" s="54" t="str">
        <f>IF(OR($B155="",$A155&gt;$B$9,S$128=""),"",IF(COUNTIFS(BD!$B$3:$B$5001,S$128,BD!$A$3:$A$5001,"&gt;="&amp;$C$7,BD!$A$3:$A$5001,"&lt;="&amp;$B155,BD!$P$3:$P$5001,"&lt;&gt;")=0,"",SUMIFS(BD!$P$3:$P$5001,BD!$B$3:$B$5001,S$128,BD!$A$3:$A$5001,_xlfn.MAXIFS(BD!$A$3:$A$5001,BD!$B$3:$B$5001,S$128,BD!$A$3:$A$5001,"&gt;="&amp;$C$7,BD!$A$3:$A$5001,"&lt;="&amp;$B155,BD!$P$3:$P$5001,"&lt;&gt;"))))</f>
        <v/>
      </c>
      <c r="T155" s="54" t="str">
        <f>IF(OR($B155="",$A155&gt;$B$9,T$128=""),"",IF(COUNTIFS(BD!$B$3:$B$5001,T$128,BD!$A$3:$A$5001,"&gt;="&amp;$C$7,BD!$A$3:$A$5001,"&lt;="&amp;$B155,BD!$P$3:$P$5001,"&lt;&gt;")=0,"",SUMIFS(BD!$P$3:$P$5001,BD!$B$3:$B$5001,T$128,BD!$A$3:$A$5001,_xlfn.MAXIFS(BD!$A$3:$A$5001,BD!$B$3:$B$5001,T$128,BD!$A$3:$A$5001,"&gt;="&amp;$C$7,BD!$A$3:$A$5001,"&lt;="&amp;$B155,BD!$P$3:$P$5001,"&lt;&gt;"))))</f>
        <v/>
      </c>
      <c r="U155" s="54" t="str">
        <f>IF(OR($B155="",$A155&gt;$B$9,U$128=""),"",IF(COUNTIFS(BD!$B$3:$B$5001,U$128,BD!$A$3:$A$5001,"&gt;="&amp;$C$7,BD!$A$3:$A$5001,"&lt;="&amp;$B155,BD!$P$3:$P$5001,"&lt;&gt;")=0,"",SUMIFS(BD!$P$3:$P$5001,BD!$B$3:$B$5001,U$128,BD!$A$3:$A$5001,_xlfn.MAXIFS(BD!$A$3:$A$5001,BD!$B$3:$B$5001,U$128,BD!$A$3:$A$5001,"&gt;="&amp;$C$7,BD!$A$3:$A$5001,"&lt;="&amp;$B155,BD!$P$3:$P$5001,"&lt;&gt;"))))</f>
        <v/>
      </c>
      <c r="V155" s="54" t="str">
        <f>IF(OR($B155="",$A155&gt;$B$9,V$128=""),"",IF(COUNTIFS(BD!$B$3:$B$5001,V$128,BD!$A$3:$A$5001,"&gt;="&amp;$C$7,BD!$A$3:$A$5001,"&lt;="&amp;$B155,BD!$P$3:$P$5001,"&lt;&gt;")=0,"",SUMIFS(BD!$P$3:$P$5001,BD!$B$3:$B$5001,V$128,BD!$A$3:$A$5001,_xlfn.MAXIFS(BD!$A$3:$A$5001,BD!$B$3:$B$5001,V$128,BD!$A$3:$A$5001,"&gt;="&amp;$C$7,BD!$A$3:$A$5001,"&lt;="&amp;$B155,BD!$P$3:$P$5001,"&lt;&gt;"))))</f>
        <v/>
      </c>
    </row>
    <row r="156">
      <c r="A156" s="48">
        <v>28</v>
      </c>
      <c r="B156" s="53">
        <f>$B$39</f>
        <v>46323</v>
      </c>
      <c r="C156" s="54" t="str">
        <f>IF(OR($B156="",$A156&gt;$B$9,C$128=""),"",IF(COUNTIFS(BD!$B$3:$B$5001,C$128,BD!$A$3:$A$5001,"&gt;="&amp;$C$7,BD!$A$3:$A$5001,"&lt;="&amp;$B156,BD!$P$3:$P$5001,"&lt;&gt;")=0,"",SUMIFS(BD!$P$3:$P$5001,BD!$B$3:$B$5001,C$128,BD!$A$3:$A$5001,_xlfn.MAXIFS(BD!$A$3:$A$5001,BD!$B$3:$B$5001,C$128,BD!$A$3:$A$5001,"&gt;="&amp;$C$7,BD!$A$3:$A$5001,"&lt;="&amp;$B156,BD!$P$3:$P$5001,"&lt;&gt;"))))</f>
        <v/>
      </c>
      <c r="D156" s="54" t="str">
        <f>IF(OR($B156="",$A156&gt;$B$9,D$128=""),"",IF(COUNTIFS(BD!$B$3:$B$5001,D$128,BD!$A$3:$A$5001,"&gt;="&amp;$C$7,BD!$A$3:$A$5001,"&lt;="&amp;$B156,BD!$P$3:$P$5001,"&lt;&gt;")=0,"",SUMIFS(BD!$P$3:$P$5001,BD!$B$3:$B$5001,D$128,BD!$A$3:$A$5001,_xlfn.MAXIFS(BD!$A$3:$A$5001,BD!$B$3:$B$5001,D$128,BD!$A$3:$A$5001,"&gt;="&amp;$C$7,BD!$A$3:$A$5001,"&lt;="&amp;$B156,BD!$P$3:$P$5001,"&lt;&gt;"))))</f>
        <v/>
      </c>
      <c r="E156" s="54" t="str">
        <f>IF(OR($B156="",$A156&gt;$B$9,E$128=""),"",IF(COUNTIFS(BD!$B$3:$B$5001,E$128,BD!$A$3:$A$5001,"&gt;="&amp;$C$7,BD!$A$3:$A$5001,"&lt;="&amp;$B156,BD!$P$3:$P$5001,"&lt;&gt;")=0,"",SUMIFS(BD!$P$3:$P$5001,BD!$B$3:$B$5001,E$128,BD!$A$3:$A$5001,_xlfn.MAXIFS(BD!$A$3:$A$5001,BD!$B$3:$B$5001,E$128,BD!$A$3:$A$5001,"&gt;="&amp;$C$7,BD!$A$3:$A$5001,"&lt;="&amp;$B156,BD!$P$3:$P$5001,"&lt;&gt;"))))</f>
        <v/>
      </c>
      <c r="F156" s="54" t="str">
        <f>IF(OR($B156="",$A156&gt;$B$9,F$128=""),"",IF(COUNTIFS(BD!$B$3:$B$5001,F$128,BD!$A$3:$A$5001,"&gt;="&amp;$C$7,BD!$A$3:$A$5001,"&lt;="&amp;$B156,BD!$P$3:$P$5001,"&lt;&gt;")=0,"",SUMIFS(BD!$P$3:$P$5001,BD!$B$3:$B$5001,F$128,BD!$A$3:$A$5001,_xlfn.MAXIFS(BD!$A$3:$A$5001,BD!$B$3:$B$5001,F$128,BD!$A$3:$A$5001,"&gt;="&amp;$C$7,BD!$A$3:$A$5001,"&lt;="&amp;$B156,BD!$P$3:$P$5001,"&lt;&gt;"))))</f>
        <v/>
      </c>
      <c r="G156" s="54" t="str">
        <f>IF(OR($B156="",$A156&gt;$B$9,G$128=""),"",IF(COUNTIFS(BD!$B$3:$B$5001,G$128,BD!$A$3:$A$5001,"&gt;="&amp;$C$7,BD!$A$3:$A$5001,"&lt;="&amp;$B156,BD!$P$3:$P$5001,"&lt;&gt;")=0,"",SUMIFS(BD!$P$3:$P$5001,BD!$B$3:$B$5001,G$128,BD!$A$3:$A$5001,_xlfn.MAXIFS(BD!$A$3:$A$5001,BD!$B$3:$B$5001,G$128,BD!$A$3:$A$5001,"&gt;="&amp;$C$7,BD!$A$3:$A$5001,"&lt;="&amp;$B156,BD!$P$3:$P$5001,"&lt;&gt;"))))</f>
        <v/>
      </c>
      <c r="H156" s="54" t="str">
        <f>IF(OR($B156="",$A156&gt;$B$9,H$128=""),"",IF(COUNTIFS(BD!$B$3:$B$5001,H$128,BD!$A$3:$A$5001,"&gt;="&amp;$C$7,BD!$A$3:$A$5001,"&lt;="&amp;$B156,BD!$P$3:$P$5001,"&lt;&gt;")=0,"",SUMIFS(BD!$P$3:$P$5001,BD!$B$3:$B$5001,H$128,BD!$A$3:$A$5001,_xlfn.MAXIFS(BD!$A$3:$A$5001,BD!$B$3:$B$5001,H$128,BD!$A$3:$A$5001,"&gt;="&amp;$C$7,BD!$A$3:$A$5001,"&lt;="&amp;$B156,BD!$P$3:$P$5001,"&lt;&gt;"))))</f>
        <v/>
      </c>
      <c r="I156" s="54" t="str">
        <f>IF(OR($B156="",$A156&gt;$B$9,I$128=""),"",IF(COUNTIFS(BD!$B$3:$B$5001,I$128,BD!$A$3:$A$5001,"&gt;="&amp;$C$7,BD!$A$3:$A$5001,"&lt;="&amp;$B156,BD!$P$3:$P$5001,"&lt;&gt;")=0,"",SUMIFS(BD!$P$3:$P$5001,BD!$B$3:$B$5001,I$128,BD!$A$3:$A$5001,_xlfn.MAXIFS(BD!$A$3:$A$5001,BD!$B$3:$B$5001,I$128,BD!$A$3:$A$5001,"&gt;="&amp;$C$7,BD!$A$3:$A$5001,"&lt;="&amp;$B156,BD!$P$3:$P$5001,"&lt;&gt;"))))</f>
        <v/>
      </c>
      <c r="J156" s="54" t="str">
        <f>IF(OR($B156="",$A156&gt;$B$9,J$128=""),"",IF(COUNTIFS(BD!$B$3:$B$5001,J$128,BD!$A$3:$A$5001,"&gt;="&amp;$C$7,BD!$A$3:$A$5001,"&lt;="&amp;$B156,BD!$P$3:$P$5001,"&lt;&gt;")=0,"",SUMIFS(BD!$P$3:$P$5001,BD!$B$3:$B$5001,J$128,BD!$A$3:$A$5001,_xlfn.MAXIFS(BD!$A$3:$A$5001,BD!$B$3:$B$5001,J$128,BD!$A$3:$A$5001,"&gt;="&amp;$C$7,BD!$A$3:$A$5001,"&lt;="&amp;$B156,BD!$P$3:$P$5001,"&lt;&gt;"))))</f>
        <v/>
      </c>
      <c r="K156" s="54" t="str">
        <f>IF(OR($B156="",$A156&gt;$B$9,K$128=""),"",IF(COUNTIFS(BD!$B$3:$B$5001,K$128,BD!$A$3:$A$5001,"&gt;="&amp;$C$7,BD!$A$3:$A$5001,"&lt;="&amp;$B156,BD!$P$3:$P$5001,"&lt;&gt;")=0,"",SUMIFS(BD!$P$3:$P$5001,BD!$B$3:$B$5001,K$128,BD!$A$3:$A$5001,_xlfn.MAXIFS(BD!$A$3:$A$5001,BD!$B$3:$B$5001,K$128,BD!$A$3:$A$5001,"&gt;="&amp;$C$7,BD!$A$3:$A$5001,"&lt;="&amp;$B156,BD!$P$3:$P$5001,"&lt;&gt;"))))</f>
        <v/>
      </c>
      <c r="L156" s="54" t="str">
        <f>IF(OR($B156="",$A156&gt;$B$9,L$128=""),"",IF(COUNTIFS(BD!$B$3:$B$5001,L$128,BD!$A$3:$A$5001,"&gt;="&amp;$C$7,BD!$A$3:$A$5001,"&lt;="&amp;$B156,BD!$P$3:$P$5001,"&lt;&gt;")=0,"",SUMIFS(BD!$P$3:$P$5001,BD!$B$3:$B$5001,L$128,BD!$A$3:$A$5001,_xlfn.MAXIFS(BD!$A$3:$A$5001,BD!$B$3:$B$5001,L$128,BD!$A$3:$A$5001,"&gt;="&amp;$C$7,BD!$A$3:$A$5001,"&lt;="&amp;$B156,BD!$P$3:$P$5001,"&lt;&gt;"))))</f>
        <v/>
      </c>
      <c r="M156" s="54" t="str">
        <f>IF(OR($B156="",$A156&gt;$B$9,M$128=""),"",IF(COUNTIFS(BD!$B$3:$B$5001,M$128,BD!$A$3:$A$5001,"&gt;="&amp;$C$7,BD!$A$3:$A$5001,"&lt;="&amp;$B156,BD!$P$3:$P$5001,"&lt;&gt;")=0,"",SUMIFS(BD!$P$3:$P$5001,BD!$B$3:$B$5001,M$128,BD!$A$3:$A$5001,_xlfn.MAXIFS(BD!$A$3:$A$5001,BD!$B$3:$B$5001,M$128,BD!$A$3:$A$5001,"&gt;="&amp;$C$7,BD!$A$3:$A$5001,"&lt;="&amp;$B156,BD!$P$3:$P$5001,"&lt;&gt;"))))</f>
        <v/>
      </c>
      <c r="N156" s="54" t="str">
        <f>IF(OR($B156="",$A156&gt;$B$9,N$128=""),"",IF(COUNTIFS(BD!$B$3:$B$5001,N$128,BD!$A$3:$A$5001,"&gt;="&amp;$C$7,BD!$A$3:$A$5001,"&lt;="&amp;$B156,BD!$P$3:$P$5001,"&lt;&gt;")=0,"",SUMIFS(BD!$P$3:$P$5001,BD!$B$3:$B$5001,N$128,BD!$A$3:$A$5001,_xlfn.MAXIFS(BD!$A$3:$A$5001,BD!$B$3:$B$5001,N$128,BD!$A$3:$A$5001,"&gt;="&amp;$C$7,BD!$A$3:$A$5001,"&lt;="&amp;$B156,BD!$P$3:$P$5001,"&lt;&gt;"))))</f>
        <v/>
      </c>
      <c r="O156" s="54" t="str">
        <f>IF(OR($B156="",$A156&gt;$B$9,O$128=""),"",IF(COUNTIFS(BD!$B$3:$B$5001,O$128,BD!$A$3:$A$5001,"&gt;="&amp;$C$7,BD!$A$3:$A$5001,"&lt;="&amp;$B156,BD!$P$3:$P$5001,"&lt;&gt;")=0,"",SUMIFS(BD!$P$3:$P$5001,BD!$B$3:$B$5001,O$128,BD!$A$3:$A$5001,_xlfn.MAXIFS(BD!$A$3:$A$5001,BD!$B$3:$B$5001,O$128,BD!$A$3:$A$5001,"&gt;="&amp;$C$7,BD!$A$3:$A$5001,"&lt;="&amp;$B156,BD!$P$3:$P$5001,"&lt;&gt;"))))</f>
        <v/>
      </c>
      <c r="P156" s="54" t="str">
        <f>IF(OR($B156="",$A156&gt;$B$9,P$128=""),"",IF(COUNTIFS(BD!$B$3:$B$5001,P$128,BD!$A$3:$A$5001,"&gt;="&amp;$C$7,BD!$A$3:$A$5001,"&lt;="&amp;$B156,BD!$P$3:$P$5001,"&lt;&gt;")=0,"",SUMIFS(BD!$P$3:$P$5001,BD!$B$3:$B$5001,P$128,BD!$A$3:$A$5001,_xlfn.MAXIFS(BD!$A$3:$A$5001,BD!$B$3:$B$5001,P$128,BD!$A$3:$A$5001,"&gt;="&amp;$C$7,BD!$A$3:$A$5001,"&lt;="&amp;$B156,BD!$P$3:$P$5001,"&lt;&gt;"))))</f>
        <v/>
      </c>
      <c r="Q156" s="54" t="str">
        <f>IF(OR($B156="",$A156&gt;$B$9,Q$128=""),"",IF(COUNTIFS(BD!$B$3:$B$5001,Q$128,BD!$A$3:$A$5001,"&gt;="&amp;$C$7,BD!$A$3:$A$5001,"&lt;="&amp;$B156,BD!$P$3:$P$5001,"&lt;&gt;")=0,"",SUMIFS(BD!$P$3:$P$5001,BD!$B$3:$B$5001,Q$128,BD!$A$3:$A$5001,_xlfn.MAXIFS(BD!$A$3:$A$5001,BD!$B$3:$B$5001,Q$128,BD!$A$3:$A$5001,"&gt;="&amp;$C$7,BD!$A$3:$A$5001,"&lt;="&amp;$B156,BD!$P$3:$P$5001,"&lt;&gt;"))))</f>
        <v/>
      </c>
      <c r="R156" s="54" t="str">
        <f>IF(OR($B156="",$A156&gt;$B$9,R$128=""),"",IF(COUNTIFS(BD!$B$3:$B$5001,R$128,BD!$A$3:$A$5001,"&gt;="&amp;$C$7,BD!$A$3:$A$5001,"&lt;="&amp;$B156,BD!$P$3:$P$5001,"&lt;&gt;")=0,"",SUMIFS(BD!$P$3:$P$5001,BD!$B$3:$B$5001,R$128,BD!$A$3:$A$5001,_xlfn.MAXIFS(BD!$A$3:$A$5001,BD!$B$3:$B$5001,R$128,BD!$A$3:$A$5001,"&gt;="&amp;$C$7,BD!$A$3:$A$5001,"&lt;="&amp;$B156,BD!$P$3:$P$5001,"&lt;&gt;"))))</f>
        <v/>
      </c>
      <c r="S156" s="54" t="str">
        <f>IF(OR($B156="",$A156&gt;$B$9,S$128=""),"",IF(COUNTIFS(BD!$B$3:$B$5001,S$128,BD!$A$3:$A$5001,"&gt;="&amp;$C$7,BD!$A$3:$A$5001,"&lt;="&amp;$B156,BD!$P$3:$P$5001,"&lt;&gt;")=0,"",SUMIFS(BD!$P$3:$P$5001,BD!$B$3:$B$5001,S$128,BD!$A$3:$A$5001,_xlfn.MAXIFS(BD!$A$3:$A$5001,BD!$B$3:$B$5001,S$128,BD!$A$3:$A$5001,"&gt;="&amp;$C$7,BD!$A$3:$A$5001,"&lt;="&amp;$B156,BD!$P$3:$P$5001,"&lt;&gt;"))))</f>
        <v/>
      </c>
      <c r="T156" s="54" t="str">
        <f>IF(OR($B156="",$A156&gt;$B$9,T$128=""),"",IF(COUNTIFS(BD!$B$3:$B$5001,T$128,BD!$A$3:$A$5001,"&gt;="&amp;$C$7,BD!$A$3:$A$5001,"&lt;="&amp;$B156,BD!$P$3:$P$5001,"&lt;&gt;")=0,"",SUMIFS(BD!$P$3:$P$5001,BD!$B$3:$B$5001,T$128,BD!$A$3:$A$5001,_xlfn.MAXIFS(BD!$A$3:$A$5001,BD!$B$3:$B$5001,T$128,BD!$A$3:$A$5001,"&gt;="&amp;$C$7,BD!$A$3:$A$5001,"&lt;="&amp;$B156,BD!$P$3:$P$5001,"&lt;&gt;"))))</f>
        <v/>
      </c>
      <c r="U156" s="54" t="str">
        <f>IF(OR($B156="",$A156&gt;$B$9,U$128=""),"",IF(COUNTIFS(BD!$B$3:$B$5001,U$128,BD!$A$3:$A$5001,"&gt;="&amp;$C$7,BD!$A$3:$A$5001,"&lt;="&amp;$B156,BD!$P$3:$P$5001,"&lt;&gt;")=0,"",SUMIFS(BD!$P$3:$P$5001,BD!$B$3:$B$5001,U$128,BD!$A$3:$A$5001,_xlfn.MAXIFS(BD!$A$3:$A$5001,BD!$B$3:$B$5001,U$128,BD!$A$3:$A$5001,"&gt;="&amp;$C$7,BD!$A$3:$A$5001,"&lt;="&amp;$B156,BD!$P$3:$P$5001,"&lt;&gt;"))))</f>
        <v/>
      </c>
      <c r="V156" s="54" t="str">
        <f>IF(OR($B156="",$A156&gt;$B$9,V$128=""),"",IF(COUNTIFS(BD!$B$3:$B$5001,V$128,BD!$A$3:$A$5001,"&gt;="&amp;$C$7,BD!$A$3:$A$5001,"&lt;="&amp;$B156,BD!$P$3:$P$5001,"&lt;&gt;")=0,"",SUMIFS(BD!$P$3:$P$5001,BD!$B$3:$B$5001,V$128,BD!$A$3:$A$5001,_xlfn.MAXIFS(BD!$A$3:$A$5001,BD!$B$3:$B$5001,V$128,BD!$A$3:$A$5001,"&gt;="&amp;$C$7,BD!$A$3:$A$5001,"&lt;="&amp;$B156,BD!$P$3:$P$5001,"&lt;&gt;"))))</f>
        <v/>
      </c>
    </row>
    <row r="157">
      <c r="A157" s="48">
        <v>29</v>
      </c>
      <c r="B157" s="53">
        <f>$B$40</f>
        <v>46324</v>
      </c>
      <c r="C157" s="54" t="str">
        <f>IF(OR($B157="",$A157&gt;$B$9,C$128=""),"",IF(COUNTIFS(BD!$B$3:$B$5001,C$128,BD!$A$3:$A$5001,"&gt;="&amp;$C$7,BD!$A$3:$A$5001,"&lt;="&amp;$B157,BD!$P$3:$P$5001,"&lt;&gt;")=0,"",SUMIFS(BD!$P$3:$P$5001,BD!$B$3:$B$5001,C$128,BD!$A$3:$A$5001,_xlfn.MAXIFS(BD!$A$3:$A$5001,BD!$B$3:$B$5001,C$128,BD!$A$3:$A$5001,"&gt;="&amp;$C$7,BD!$A$3:$A$5001,"&lt;="&amp;$B157,BD!$P$3:$P$5001,"&lt;&gt;"))))</f>
        <v/>
      </c>
      <c r="D157" s="54" t="str">
        <f>IF(OR($B157="",$A157&gt;$B$9,D$128=""),"",IF(COUNTIFS(BD!$B$3:$B$5001,D$128,BD!$A$3:$A$5001,"&gt;="&amp;$C$7,BD!$A$3:$A$5001,"&lt;="&amp;$B157,BD!$P$3:$P$5001,"&lt;&gt;")=0,"",SUMIFS(BD!$P$3:$P$5001,BD!$B$3:$B$5001,D$128,BD!$A$3:$A$5001,_xlfn.MAXIFS(BD!$A$3:$A$5001,BD!$B$3:$B$5001,D$128,BD!$A$3:$A$5001,"&gt;="&amp;$C$7,BD!$A$3:$A$5001,"&lt;="&amp;$B157,BD!$P$3:$P$5001,"&lt;&gt;"))))</f>
        <v/>
      </c>
      <c r="E157" s="54" t="str">
        <f>IF(OR($B157="",$A157&gt;$B$9,E$128=""),"",IF(COUNTIFS(BD!$B$3:$B$5001,E$128,BD!$A$3:$A$5001,"&gt;="&amp;$C$7,BD!$A$3:$A$5001,"&lt;="&amp;$B157,BD!$P$3:$P$5001,"&lt;&gt;")=0,"",SUMIFS(BD!$P$3:$P$5001,BD!$B$3:$B$5001,E$128,BD!$A$3:$A$5001,_xlfn.MAXIFS(BD!$A$3:$A$5001,BD!$B$3:$B$5001,E$128,BD!$A$3:$A$5001,"&gt;="&amp;$C$7,BD!$A$3:$A$5001,"&lt;="&amp;$B157,BD!$P$3:$P$5001,"&lt;&gt;"))))</f>
        <v/>
      </c>
      <c r="F157" s="54" t="str">
        <f>IF(OR($B157="",$A157&gt;$B$9,F$128=""),"",IF(COUNTIFS(BD!$B$3:$B$5001,F$128,BD!$A$3:$A$5001,"&gt;="&amp;$C$7,BD!$A$3:$A$5001,"&lt;="&amp;$B157,BD!$P$3:$P$5001,"&lt;&gt;")=0,"",SUMIFS(BD!$P$3:$P$5001,BD!$B$3:$B$5001,F$128,BD!$A$3:$A$5001,_xlfn.MAXIFS(BD!$A$3:$A$5001,BD!$B$3:$B$5001,F$128,BD!$A$3:$A$5001,"&gt;="&amp;$C$7,BD!$A$3:$A$5001,"&lt;="&amp;$B157,BD!$P$3:$P$5001,"&lt;&gt;"))))</f>
        <v/>
      </c>
      <c r="G157" s="54" t="str">
        <f>IF(OR($B157="",$A157&gt;$B$9,G$128=""),"",IF(COUNTIFS(BD!$B$3:$B$5001,G$128,BD!$A$3:$A$5001,"&gt;="&amp;$C$7,BD!$A$3:$A$5001,"&lt;="&amp;$B157,BD!$P$3:$P$5001,"&lt;&gt;")=0,"",SUMIFS(BD!$P$3:$P$5001,BD!$B$3:$B$5001,G$128,BD!$A$3:$A$5001,_xlfn.MAXIFS(BD!$A$3:$A$5001,BD!$B$3:$B$5001,G$128,BD!$A$3:$A$5001,"&gt;="&amp;$C$7,BD!$A$3:$A$5001,"&lt;="&amp;$B157,BD!$P$3:$P$5001,"&lt;&gt;"))))</f>
        <v/>
      </c>
      <c r="H157" s="54" t="str">
        <f>IF(OR($B157="",$A157&gt;$B$9,H$128=""),"",IF(COUNTIFS(BD!$B$3:$B$5001,H$128,BD!$A$3:$A$5001,"&gt;="&amp;$C$7,BD!$A$3:$A$5001,"&lt;="&amp;$B157,BD!$P$3:$P$5001,"&lt;&gt;")=0,"",SUMIFS(BD!$P$3:$P$5001,BD!$B$3:$B$5001,H$128,BD!$A$3:$A$5001,_xlfn.MAXIFS(BD!$A$3:$A$5001,BD!$B$3:$B$5001,H$128,BD!$A$3:$A$5001,"&gt;="&amp;$C$7,BD!$A$3:$A$5001,"&lt;="&amp;$B157,BD!$P$3:$P$5001,"&lt;&gt;"))))</f>
        <v/>
      </c>
      <c r="I157" s="54" t="str">
        <f>IF(OR($B157="",$A157&gt;$B$9,I$128=""),"",IF(COUNTIFS(BD!$B$3:$B$5001,I$128,BD!$A$3:$A$5001,"&gt;="&amp;$C$7,BD!$A$3:$A$5001,"&lt;="&amp;$B157,BD!$P$3:$P$5001,"&lt;&gt;")=0,"",SUMIFS(BD!$P$3:$P$5001,BD!$B$3:$B$5001,I$128,BD!$A$3:$A$5001,_xlfn.MAXIFS(BD!$A$3:$A$5001,BD!$B$3:$B$5001,I$128,BD!$A$3:$A$5001,"&gt;="&amp;$C$7,BD!$A$3:$A$5001,"&lt;="&amp;$B157,BD!$P$3:$P$5001,"&lt;&gt;"))))</f>
        <v/>
      </c>
      <c r="J157" s="54" t="str">
        <f>IF(OR($B157="",$A157&gt;$B$9,J$128=""),"",IF(COUNTIFS(BD!$B$3:$B$5001,J$128,BD!$A$3:$A$5001,"&gt;="&amp;$C$7,BD!$A$3:$A$5001,"&lt;="&amp;$B157,BD!$P$3:$P$5001,"&lt;&gt;")=0,"",SUMIFS(BD!$P$3:$P$5001,BD!$B$3:$B$5001,J$128,BD!$A$3:$A$5001,_xlfn.MAXIFS(BD!$A$3:$A$5001,BD!$B$3:$B$5001,J$128,BD!$A$3:$A$5001,"&gt;="&amp;$C$7,BD!$A$3:$A$5001,"&lt;="&amp;$B157,BD!$P$3:$P$5001,"&lt;&gt;"))))</f>
        <v/>
      </c>
      <c r="K157" s="54" t="str">
        <f>IF(OR($B157="",$A157&gt;$B$9,K$128=""),"",IF(COUNTIFS(BD!$B$3:$B$5001,K$128,BD!$A$3:$A$5001,"&gt;="&amp;$C$7,BD!$A$3:$A$5001,"&lt;="&amp;$B157,BD!$P$3:$P$5001,"&lt;&gt;")=0,"",SUMIFS(BD!$P$3:$P$5001,BD!$B$3:$B$5001,K$128,BD!$A$3:$A$5001,_xlfn.MAXIFS(BD!$A$3:$A$5001,BD!$B$3:$B$5001,K$128,BD!$A$3:$A$5001,"&gt;="&amp;$C$7,BD!$A$3:$A$5001,"&lt;="&amp;$B157,BD!$P$3:$P$5001,"&lt;&gt;"))))</f>
        <v/>
      </c>
      <c r="L157" s="54" t="str">
        <f>IF(OR($B157="",$A157&gt;$B$9,L$128=""),"",IF(COUNTIFS(BD!$B$3:$B$5001,L$128,BD!$A$3:$A$5001,"&gt;="&amp;$C$7,BD!$A$3:$A$5001,"&lt;="&amp;$B157,BD!$P$3:$P$5001,"&lt;&gt;")=0,"",SUMIFS(BD!$P$3:$P$5001,BD!$B$3:$B$5001,L$128,BD!$A$3:$A$5001,_xlfn.MAXIFS(BD!$A$3:$A$5001,BD!$B$3:$B$5001,L$128,BD!$A$3:$A$5001,"&gt;="&amp;$C$7,BD!$A$3:$A$5001,"&lt;="&amp;$B157,BD!$P$3:$P$5001,"&lt;&gt;"))))</f>
        <v/>
      </c>
      <c r="M157" s="54" t="str">
        <f>IF(OR($B157="",$A157&gt;$B$9,M$128=""),"",IF(COUNTIFS(BD!$B$3:$B$5001,M$128,BD!$A$3:$A$5001,"&gt;="&amp;$C$7,BD!$A$3:$A$5001,"&lt;="&amp;$B157,BD!$P$3:$P$5001,"&lt;&gt;")=0,"",SUMIFS(BD!$P$3:$P$5001,BD!$B$3:$B$5001,M$128,BD!$A$3:$A$5001,_xlfn.MAXIFS(BD!$A$3:$A$5001,BD!$B$3:$B$5001,M$128,BD!$A$3:$A$5001,"&gt;="&amp;$C$7,BD!$A$3:$A$5001,"&lt;="&amp;$B157,BD!$P$3:$P$5001,"&lt;&gt;"))))</f>
        <v/>
      </c>
      <c r="N157" s="54" t="str">
        <f>IF(OR($B157="",$A157&gt;$B$9,N$128=""),"",IF(COUNTIFS(BD!$B$3:$B$5001,N$128,BD!$A$3:$A$5001,"&gt;="&amp;$C$7,BD!$A$3:$A$5001,"&lt;="&amp;$B157,BD!$P$3:$P$5001,"&lt;&gt;")=0,"",SUMIFS(BD!$P$3:$P$5001,BD!$B$3:$B$5001,N$128,BD!$A$3:$A$5001,_xlfn.MAXIFS(BD!$A$3:$A$5001,BD!$B$3:$B$5001,N$128,BD!$A$3:$A$5001,"&gt;="&amp;$C$7,BD!$A$3:$A$5001,"&lt;="&amp;$B157,BD!$P$3:$P$5001,"&lt;&gt;"))))</f>
        <v/>
      </c>
      <c r="O157" s="54" t="str">
        <f>IF(OR($B157="",$A157&gt;$B$9,O$128=""),"",IF(COUNTIFS(BD!$B$3:$B$5001,O$128,BD!$A$3:$A$5001,"&gt;="&amp;$C$7,BD!$A$3:$A$5001,"&lt;="&amp;$B157,BD!$P$3:$P$5001,"&lt;&gt;")=0,"",SUMIFS(BD!$P$3:$P$5001,BD!$B$3:$B$5001,O$128,BD!$A$3:$A$5001,_xlfn.MAXIFS(BD!$A$3:$A$5001,BD!$B$3:$B$5001,O$128,BD!$A$3:$A$5001,"&gt;="&amp;$C$7,BD!$A$3:$A$5001,"&lt;="&amp;$B157,BD!$P$3:$P$5001,"&lt;&gt;"))))</f>
        <v/>
      </c>
      <c r="P157" s="54" t="str">
        <f>IF(OR($B157="",$A157&gt;$B$9,P$128=""),"",IF(COUNTIFS(BD!$B$3:$B$5001,P$128,BD!$A$3:$A$5001,"&gt;="&amp;$C$7,BD!$A$3:$A$5001,"&lt;="&amp;$B157,BD!$P$3:$P$5001,"&lt;&gt;")=0,"",SUMIFS(BD!$P$3:$P$5001,BD!$B$3:$B$5001,P$128,BD!$A$3:$A$5001,_xlfn.MAXIFS(BD!$A$3:$A$5001,BD!$B$3:$B$5001,P$128,BD!$A$3:$A$5001,"&gt;="&amp;$C$7,BD!$A$3:$A$5001,"&lt;="&amp;$B157,BD!$P$3:$P$5001,"&lt;&gt;"))))</f>
        <v/>
      </c>
      <c r="Q157" s="54" t="str">
        <f>IF(OR($B157="",$A157&gt;$B$9,Q$128=""),"",IF(COUNTIFS(BD!$B$3:$B$5001,Q$128,BD!$A$3:$A$5001,"&gt;="&amp;$C$7,BD!$A$3:$A$5001,"&lt;="&amp;$B157,BD!$P$3:$P$5001,"&lt;&gt;")=0,"",SUMIFS(BD!$P$3:$P$5001,BD!$B$3:$B$5001,Q$128,BD!$A$3:$A$5001,_xlfn.MAXIFS(BD!$A$3:$A$5001,BD!$B$3:$B$5001,Q$128,BD!$A$3:$A$5001,"&gt;="&amp;$C$7,BD!$A$3:$A$5001,"&lt;="&amp;$B157,BD!$P$3:$P$5001,"&lt;&gt;"))))</f>
        <v/>
      </c>
      <c r="R157" s="54" t="str">
        <f>IF(OR($B157="",$A157&gt;$B$9,R$128=""),"",IF(COUNTIFS(BD!$B$3:$B$5001,R$128,BD!$A$3:$A$5001,"&gt;="&amp;$C$7,BD!$A$3:$A$5001,"&lt;="&amp;$B157,BD!$P$3:$P$5001,"&lt;&gt;")=0,"",SUMIFS(BD!$P$3:$P$5001,BD!$B$3:$B$5001,R$128,BD!$A$3:$A$5001,_xlfn.MAXIFS(BD!$A$3:$A$5001,BD!$B$3:$B$5001,R$128,BD!$A$3:$A$5001,"&gt;="&amp;$C$7,BD!$A$3:$A$5001,"&lt;="&amp;$B157,BD!$P$3:$P$5001,"&lt;&gt;"))))</f>
        <v/>
      </c>
      <c r="S157" s="54" t="str">
        <f>IF(OR($B157="",$A157&gt;$B$9,S$128=""),"",IF(COUNTIFS(BD!$B$3:$B$5001,S$128,BD!$A$3:$A$5001,"&gt;="&amp;$C$7,BD!$A$3:$A$5001,"&lt;="&amp;$B157,BD!$P$3:$P$5001,"&lt;&gt;")=0,"",SUMIFS(BD!$P$3:$P$5001,BD!$B$3:$B$5001,S$128,BD!$A$3:$A$5001,_xlfn.MAXIFS(BD!$A$3:$A$5001,BD!$B$3:$B$5001,S$128,BD!$A$3:$A$5001,"&gt;="&amp;$C$7,BD!$A$3:$A$5001,"&lt;="&amp;$B157,BD!$P$3:$P$5001,"&lt;&gt;"))))</f>
        <v/>
      </c>
      <c r="T157" s="54" t="str">
        <f>IF(OR($B157="",$A157&gt;$B$9,T$128=""),"",IF(COUNTIFS(BD!$B$3:$B$5001,T$128,BD!$A$3:$A$5001,"&gt;="&amp;$C$7,BD!$A$3:$A$5001,"&lt;="&amp;$B157,BD!$P$3:$P$5001,"&lt;&gt;")=0,"",SUMIFS(BD!$P$3:$P$5001,BD!$B$3:$B$5001,T$128,BD!$A$3:$A$5001,_xlfn.MAXIFS(BD!$A$3:$A$5001,BD!$B$3:$B$5001,T$128,BD!$A$3:$A$5001,"&gt;="&amp;$C$7,BD!$A$3:$A$5001,"&lt;="&amp;$B157,BD!$P$3:$P$5001,"&lt;&gt;"))))</f>
        <v/>
      </c>
      <c r="U157" s="54" t="str">
        <f>IF(OR($B157="",$A157&gt;$B$9,U$128=""),"",IF(COUNTIFS(BD!$B$3:$B$5001,U$128,BD!$A$3:$A$5001,"&gt;="&amp;$C$7,BD!$A$3:$A$5001,"&lt;="&amp;$B157,BD!$P$3:$P$5001,"&lt;&gt;")=0,"",SUMIFS(BD!$P$3:$P$5001,BD!$B$3:$B$5001,U$128,BD!$A$3:$A$5001,_xlfn.MAXIFS(BD!$A$3:$A$5001,BD!$B$3:$B$5001,U$128,BD!$A$3:$A$5001,"&gt;="&amp;$C$7,BD!$A$3:$A$5001,"&lt;="&amp;$B157,BD!$P$3:$P$5001,"&lt;&gt;"))))</f>
        <v/>
      </c>
      <c r="V157" s="54" t="str">
        <f>IF(OR($B157="",$A157&gt;$B$9,V$128=""),"",IF(COUNTIFS(BD!$B$3:$B$5001,V$128,BD!$A$3:$A$5001,"&gt;="&amp;$C$7,BD!$A$3:$A$5001,"&lt;="&amp;$B157,BD!$P$3:$P$5001,"&lt;&gt;")=0,"",SUMIFS(BD!$P$3:$P$5001,BD!$B$3:$B$5001,V$128,BD!$A$3:$A$5001,_xlfn.MAXIFS(BD!$A$3:$A$5001,BD!$B$3:$B$5001,V$128,BD!$A$3:$A$5001,"&gt;="&amp;$C$7,BD!$A$3:$A$5001,"&lt;="&amp;$B157,BD!$P$3:$P$5001,"&lt;&gt;"))))</f>
        <v/>
      </c>
    </row>
    <row r="158">
      <c r="A158" s="48">
        <v>30</v>
      </c>
      <c r="B158" s="53">
        <f>$B$41</f>
        <v>46325</v>
      </c>
      <c r="C158" s="54" t="str">
        <f>IF(OR($B158="",$A158&gt;$B$9,C$128=""),"",IF(COUNTIFS(BD!$B$3:$B$5001,C$128,BD!$A$3:$A$5001,"&gt;="&amp;$C$7,BD!$A$3:$A$5001,"&lt;="&amp;$B158,BD!$P$3:$P$5001,"&lt;&gt;")=0,"",SUMIFS(BD!$P$3:$P$5001,BD!$B$3:$B$5001,C$128,BD!$A$3:$A$5001,_xlfn.MAXIFS(BD!$A$3:$A$5001,BD!$B$3:$B$5001,C$128,BD!$A$3:$A$5001,"&gt;="&amp;$C$7,BD!$A$3:$A$5001,"&lt;="&amp;$B158,BD!$P$3:$P$5001,"&lt;&gt;"))))</f>
        <v/>
      </c>
      <c r="D158" s="54" t="str">
        <f>IF(OR($B158="",$A158&gt;$B$9,D$128=""),"",IF(COUNTIFS(BD!$B$3:$B$5001,D$128,BD!$A$3:$A$5001,"&gt;="&amp;$C$7,BD!$A$3:$A$5001,"&lt;="&amp;$B158,BD!$P$3:$P$5001,"&lt;&gt;")=0,"",SUMIFS(BD!$P$3:$P$5001,BD!$B$3:$B$5001,D$128,BD!$A$3:$A$5001,_xlfn.MAXIFS(BD!$A$3:$A$5001,BD!$B$3:$B$5001,D$128,BD!$A$3:$A$5001,"&gt;="&amp;$C$7,BD!$A$3:$A$5001,"&lt;="&amp;$B158,BD!$P$3:$P$5001,"&lt;&gt;"))))</f>
        <v/>
      </c>
      <c r="E158" s="54" t="str">
        <f>IF(OR($B158="",$A158&gt;$B$9,E$128=""),"",IF(COUNTIFS(BD!$B$3:$B$5001,E$128,BD!$A$3:$A$5001,"&gt;="&amp;$C$7,BD!$A$3:$A$5001,"&lt;="&amp;$B158,BD!$P$3:$P$5001,"&lt;&gt;")=0,"",SUMIFS(BD!$P$3:$P$5001,BD!$B$3:$B$5001,E$128,BD!$A$3:$A$5001,_xlfn.MAXIFS(BD!$A$3:$A$5001,BD!$B$3:$B$5001,E$128,BD!$A$3:$A$5001,"&gt;="&amp;$C$7,BD!$A$3:$A$5001,"&lt;="&amp;$B158,BD!$P$3:$P$5001,"&lt;&gt;"))))</f>
        <v/>
      </c>
      <c r="F158" s="54" t="str">
        <f>IF(OR($B158="",$A158&gt;$B$9,F$128=""),"",IF(COUNTIFS(BD!$B$3:$B$5001,F$128,BD!$A$3:$A$5001,"&gt;="&amp;$C$7,BD!$A$3:$A$5001,"&lt;="&amp;$B158,BD!$P$3:$P$5001,"&lt;&gt;")=0,"",SUMIFS(BD!$P$3:$P$5001,BD!$B$3:$B$5001,F$128,BD!$A$3:$A$5001,_xlfn.MAXIFS(BD!$A$3:$A$5001,BD!$B$3:$B$5001,F$128,BD!$A$3:$A$5001,"&gt;="&amp;$C$7,BD!$A$3:$A$5001,"&lt;="&amp;$B158,BD!$P$3:$P$5001,"&lt;&gt;"))))</f>
        <v/>
      </c>
      <c r="G158" s="54" t="str">
        <f>IF(OR($B158="",$A158&gt;$B$9,G$128=""),"",IF(COUNTIFS(BD!$B$3:$B$5001,G$128,BD!$A$3:$A$5001,"&gt;="&amp;$C$7,BD!$A$3:$A$5001,"&lt;="&amp;$B158,BD!$P$3:$P$5001,"&lt;&gt;")=0,"",SUMIFS(BD!$P$3:$P$5001,BD!$B$3:$B$5001,G$128,BD!$A$3:$A$5001,_xlfn.MAXIFS(BD!$A$3:$A$5001,BD!$B$3:$B$5001,G$128,BD!$A$3:$A$5001,"&gt;="&amp;$C$7,BD!$A$3:$A$5001,"&lt;="&amp;$B158,BD!$P$3:$P$5001,"&lt;&gt;"))))</f>
        <v/>
      </c>
      <c r="H158" s="54" t="str">
        <f>IF(OR($B158="",$A158&gt;$B$9,H$128=""),"",IF(COUNTIFS(BD!$B$3:$B$5001,H$128,BD!$A$3:$A$5001,"&gt;="&amp;$C$7,BD!$A$3:$A$5001,"&lt;="&amp;$B158,BD!$P$3:$P$5001,"&lt;&gt;")=0,"",SUMIFS(BD!$P$3:$P$5001,BD!$B$3:$B$5001,H$128,BD!$A$3:$A$5001,_xlfn.MAXIFS(BD!$A$3:$A$5001,BD!$B$3:$B$5001,H$128,BD!$A$3:$A$5001,"&gt;="&amp;$C$7,BD!$A$3:$A$5001,"&lt;="&amp;$B158,BD!$P$3:$P$5001,"&lt;&gt;"))))</f>
        <v/>
      </c>
      <c r="I158" s="54" t="str">
        <f>IF(OR($B158="",$A158&gt;$B$9,I$128=""),"",IF(COUNTIFS(BD!$B$3:$B$5001,I$128,BD!$A$3:$A$5001,"&gt;="&amp;$C$7,BD!$A$3:$A$5001,"&lt;="&amp;$B158,BD!$P$3:$P$5001,"&lt;&gt;")=0,"",SUMIFS(BD!$P$3:$P$5001,BD!$B$3:$B$5001,I$128,BD!$A$3:$A$5001,_xlfn.MAXIFS(BD!$A$3:$A$5001,BD!$B$3:$B$5001,I$128,BD!$A$3:$A$5001,"&gt;="&amp;$C$7,BD!$A$3:$A$5001,"&lt;="&amp;$B158,BD!$P$3:$P$5001,"&lt;&gt;"))))</f>
        <v/>
      </c>
      <c r="J158" s="54" t="str">
        <f>IF(OR($B158="",$A158&gt;$B$9,J$128=""),"",IF(COUNTIFS(BD!$B$3:$B$5001,J$128,BD!$A$3:$A$5001,"&gt;="&amp;$C$7,BD!$A$3:$A$5001,"&lt;="&amp;$B158,BD!$P$3:$P$5001,"&lt;&gt;")=0,"",SUMIFS(BD!$P$3:$P$5001,BD!$B$3:$B$5001,J$128,BD!$A$3:$A$5001,_xlfn.MAXIFS(BD!$A$3:$A$5001,BD!$B$3:$B$5001,J$128,BD!$A$3:$A$5001,"&gt;="&amp;$C$7,BD!$A$3:$A$5001,"&lt;="&amp;$B158,BD!$P$3:$P$5001,"&lt;&gt;"))))</f>
        <v/>
      </c>
      <c r="K158" s="54" t="str">
        <f>IF(OR($B158="",$A158&gt;$B$9,K$128=""),"",IF(COUNTIFS(BD!$B$3:$B$5001,K$128,BD!$A$3:$A$5001,"&gt;="&amp;$C$7,BD!$A$3:$A$5001,"&lt;="&amp;$B158,BD!$P$3:$P$5001,"&lt;&gt;")=0,"",SUMIFS(BD!$P$3:$P$5001,BD!$B$3:$B$5001,K$128,BD!$A$3:$A$5001,_xlfn.MAXIFS(BD!$A$3:$A$5001,BD!$B$3:$B$5001,K$128,BD!$A$3:$A$5001,"&gt;="&amp;$C$7,BD!$A$3:$A$5001,"&lt;="&amp;$B158,BD!$P$3:$P$5001,"&lt;&gt;"))))</f>
        <v/>
      </c>
      <c r="L158" s="54" t="str">
        <f>IF(OR($B158="",$A158&gt;$B$9,L$128=""),"",IF(COUNTIFS(BD!$B$3:$B$5001,L$128,BD!$A$3:$A$5001,"&gt;="&amp;$C$7,BD!$A$3:$A$5001,"&lt;="&amp;$B158,BD!$P$3:$P$5001,"&lt;&gt;")=0,"",SUMIFS(BD!$P$3:$P$5001,BD!$B$3:$B$5001,L$128,BD!$A$3:$A$5001,_xlfn.MAXIFS(BD!$A$3:$A$5001,BD!$B$3:$B$5001,L$128,BD!$A$3:$A$5001,"&gt;="&amp;$C$7,BD!$A$3:$A$5001,"&lt;="&amp;$B158,BD!$P$3:$P$5001,"&lt;&gt;"))))</f>
        <v/>
      </c>
      <c r="M158" s="54" t="str">
        <f>IF(OR($B158="",$A158&gt;$B$9,M$128=""),"",IF(COUNTIFS(BD!$B$3:$B$5001,M$128,BD!$A$3:$A$5001,"&gt;="&amp;$C$7,BD!$A$3:$A$5001,"&lt;="&amp;$B158,BD!$P$3:$P$5001,"&lt;&gt;")=0,"",SUMIFS(BD!$P$3:$P$5001,BD!$B$3:$B$5001,M$128,BD!$A$3:$A$5001,_xlfn.MAXIFS(BD!$A$3:$A$5001,BD!$B$3:$B$5001,M$128,BD!$A$3:$A$5001,"&gt;="&amp;$C$7,BD!$A$3:$A$5001,"&lt;="&amp;$B158,BD!$P$3:$P$5001,"&lt;&gt;"))))</f>
        <v/>
      </c>
      <c r="N158" s="54" t="str">
        <f>IF(OR($B158="",$A158&gt;$B$9,N$128=""),"",IF(COUNTIFS(BD!$B$3:$B$5001,N$128,BD!$A$3:$A$5001,"&gt;="&amp;$C$7,BD!$A$3:$A$5001,"&lt;="&amp;$B158,BD!$P$3:$P$5001,"&lt;&gt;")=0,"",SUMIFS(BD!$P$3:$P$5001,BD!$B$3:$B$5001,N$128,BD!$A$3:$A$5001,_xlfn.MAXIFS(BD!$A$3:$A$5001,BD!$B$3:$B$5001,N$128,BD!$A$3:$A$5001,"&gt;="&amp;$C$7,BD!$A$3:$A$5001,"&lt;="&amp;$B158,BD!$P$3:$P$5001,"&lt;&gt;"))))</f>
        <v/>
      </c>
      <c r="O158" s="54" t="str">
        <f>IF(OR($B158="",$A158&gt;$B$9,O$128=""),"",IF(COUNTIFS(BD!$B$3:$B$5001,O$128,BD!$A$3:$A$5001,"&gt;="&amp;$C$7,BD!$A$3:$A$5001,"&lt;="&amp;$B158,BD!$P$3:$P$5001,"&lt;&gt;")=0,"",SUMIFS(BD!$P$3:$P$5001,BD!$B$3:$B$5001,O$128,BD!$A$3:$A$5001,_xlfn.MAXIFS(BD!$A$3:$A$5001,BD!$B$3:$B$5001,O$128,BD!$A$3:$A$5001,"&gt;="&amp;$C$7,BD!$A$3:$A$5001,"&lt;="&amp;$B158,BD!$P$3:$P$5001,"&lt;&gt;"))))</f>
        <v/>
      </c>
      <c r="P158" s="54" t="str">
        <f>IF(OR($B158="",$A158&gt;$B$9,P$128=""),"",IF(COUNTIFS(BD!$B$3:$B$5001,P$128,BD!$A$3:$A$5001,"&gt;="&amp;$C$7,BD!$A$3:$A$5001,"&lt;="&amp;$B158,BD!$P$3:$P$5001,"&lt;&gt;")=0,"",SUMIFS(BD!$P$3:$P$5001,BD!$B$3:$B$5001,P$128,BD!$A$3:$A$5001,_xlfn.MAXIFS(BD!$A$3:$A$5001,BD!$B$3:$B$5001,P$128,BD!$A$3:$A$5001,"&gt;="&amp;$C$7,BD!$A$3:$A$5001,"&lt;="&amp;$B158,BD!$P$3:$P$5001,"&lt;&gt;"))))</f>
        <v/>
      </c>
      <c r="Q158" s="54" t="str">
        <f>IF(OR($B158="",$A158&gt;$B$9,Q$128=""),"",IF(COUNTIFS(BD!$B$3:$B$5001,Q$128,BD!$A$3:$A$5001,"&gt;="&amp;$C$7,BD!$A$3:$A$5001,"&lt;="&amp;$B158,BD!$P$3:$P$5001,"&lt;&gt;")=0,"",SUMIFS(BD!$P$3:$P$5001,BD!$B$3:$B$5001,Q$128,BD!$A$3:$A$5001,_xlfn.MAXIFS(BD!$A$3:$A$5001,BD!$B$3:$B$5001,Q$128,BD!$A$3:$A$5001,"&gt;="&amp;$C$7,BD!$A$3:$A$5001,"&lt;="&amp;$B158,BD!$P$3:$P$5001,"&lt;&gt;"))))</f>
        <v/>
      </c>
      <c r="R158" s="54" t="str">
        <f>IF(OR($B158="",$A158&gt;$B$9,R$128=""),"",IF(COUNTIFS(BD!$B$3:$B$5001,R$128,BD!$A$3:$A$5001,"&gt;="&amp;$C$7,BD!$A$3:$A$5001,"&lt;="&amp;$B158,BD!$P$3:$P$5001,"&lt;&gt;")=0,"",SUMIFS(BD!$P$3:$P$5001,BD!$B$3:$B$5001,R$128,BD!$A$3:$A$5001,_xlfn.MAXIFS(BD!$A$3:$A$5001,BD!$B$3:$B$5001,R$128,BD!$A$3:$A$5001,"&gt;="&amp;$C$7,BD!$A$3:$A$5001,"&lt;="&amp;$B158,BD!$P$3:$P$5001,"&lt;&gt;"))))</f>
        <v/>
      </c>
      <c r="S158" s="54" t="str">
        <f>IF(OR($B158="",$A158&gt;$B$9,S$128=""),"",IF(COUNTIFS(BD!$B$3:$B$5001,S$128,BD!$A$3:$A$5001,"&gt;="&amp;$C$7,BD!$A$3:$A$5001,"&lt;="&amp;$B158,BD!$P$3:$P$5001,"&lt;&gt;")=0,"",SUMIFS(BD!$P$3:$P$5001,BD!$B$3:$B$5001,S$128,BD!$A$3:$A$5001,_xlfn.MAXIFS(BD!$A$3:$A$5001,BD!$B$3:$B$5001,S$128,BD!$A$3:$A$5001,"&gt;="&amp;$C$7,BD!$A$3:$A$5001,"&lt;="&amp;$B158,BD!$P$3:$P$5001,"&lt;&gt;"))))</f>
        <v/>
      </c>
      <c r="T158" s="54" t="str">
        <f>IF(OR($B158="",$A158&gt;$B$9,T$128=""),"",IF(COUNTIFS(BD!$B$3:$B$5001,T$128,BD!$A$3:$A$5001,"&gt;="&amp;$C$7,BD!$A$3:$A$5001,"&lt;="&amp;$B158,BD!$P$3:$P$5001,"&lt;&gt;")=0,"",SUMIFS(BD!$P$3:$P$5001,BD!$B$3:$B$5001,T$128,BD!$A$3:$A$5001,_xlfn.MAXIFS(BD!$A$3:$A$5001,BD!$B$3:$B$5001,T$128,BD!$A$3:$A$5001,"&gt;="&amp;$C$7,BD!$A$3:$A$5001,"&lt;="&amp;$B158,BD!$P$3:$P$5001,"&lt;&gt;"))))</f>
        <v/>
      </c>
      <c r="U158" s="54" t="str">
        <f>IF(OR($B158="",$A158&gt;$B$9,U$128=""),"",IF(COUNTIFS(BD!$B$3:$B$5001,U$128,BD!$A$3:$A$5001,"&gt;="&amp;$C$7,BD!$A$3:$A$5001,"&lt;="&amp;$B158,BD!$P$3:$P$5001,"&lt;&gt;")=0,"",SUMIFS(BD!$P$3:$P$5001,BD!$B$3:$B$5001,U$128,BD!$A$3:$A$5001,_xlfn.MAXIFS(BD!$A$3:$A$5001,BD!$B$3:$B$5001,U$128,BD!$A$3:$A$5001,"&gt;="&amp;$C$7,BD!$A$3:$A$5001,"&lt;="&amp;$B158,BD!$P$3:$P$5001,"&lt;&gt;"))))</f>
        <v/>
      </c>
      <c r="V158" s="54" t="str">
        <f>IF(OR($B158="",$A158&gt;$B$9,V$128=""),"",IF(COUNTIFS(BD!$B$3:$B$5001,V$128,BD!$A$3:$A$5001,"&gt;="&amp;$C$7,BD!$A$3:$A$5001,"&lt;="&amp;$B158,BD!$P$3:$P$5001,"&lt;&gt;")=0,"",SUMIFS(BD!$P$3:$P$5001,BD!$B$3:$B$5001,V$128,BD!$A$3:$A$5001,_xlfn.MAXIFS(BD!$A$3:$A$5001,BD!$B$3:$B$5001,V$128,BD!$A$3:$A$5001,"&gt;="&amp;$C$7,BD!$A$3:$A$5001,"&lt;="&amp;$B158,BD!$P$3:$P$5001,"&lt;&gt;"))))</f>
        <v/>
      </c>
    </row>
    <row r="159">
      <c r="A159" s="48">
        <v>31</v>
      </c>
      <c r="B159" s="53">
        <f>$B$42</f>
        <v>46326</v>
      </c>
      <c r="C159" s="54" t="str">
        <f>IF(OR($B159="",$A159&gt;$B$9,C$128=""),"",IF(COUNTIFS(BD!$B$3:$B$5001,C$128,BD!$A$3:$A$5001,"&gt;="&amp;$C$7,BD!$A$3:$A$5001,"&lt;="&amp;$B159,BD!$P$3:$P$5001,"&lt;&gt;")=0,"",SUMIFS(BD!$P$3:$P$5001,BD!$B$3:$B$5001,C$128,BD!$A$3:$A$5001,_xlfn.MAXIFS(BD!$A$3:$A$5001,BD!$B$3:$B$5001,C$128,BD!$A$3:$A$5001,"&gt;="&amp;$C$7,BD!$A$3:$A$5001,"&lt;="&amp;$B159,BD!$P$3:$P$5001,"&lt;&gt;"))))</f>
        <v/>
      </c>
      <c r="D159" s="54" t="str">
        <f>IF(OR($B159="",$A159&gt;$B$9,D$128=""),"",IF(COUNTIFS(BD!$B$3:$B$5001,D$128,BD!$A$3:$A$5001,"&gt;="&amp;$C$7,BD!$A$3:$A$5001,"&lt;="&amp;$B159,BD!$P$3:$P$5001,"&lt;&gt;")=0,"",SUMIFS(BD!$P$3:$P$5001,BD!$B$3:$B$5001,D$128,BD!$A$3:$A$5001,_xlfn.MAXIFS(BD!$A$3:$A$5001,BD!$B$3:$B$5001,D$128,BD!$A$3:$A$5001,"&gt;="&amp;$C$7,BD!$A$3:$A$5001,"&lt;="&amp;$B159,BD!$P$3:$P$5001,"&lt;&gt;"))))</f>
        <v/>
      </c>
      <c r="E159" s="54" t="str">
        <f>IF(OR($B159="",$A159&gt;$B$9,E$128=""),"",IF(COUNTIFS(BD!$B$3:$B$5001,E$128,BD!$A$3:$A$5001,"&gt;="&amp;$C$7,BD!$A$3:$A$5001,"&lt;="&amp;$B159,BD!$P$3:$P$5001,"&lt;&gt;")=0,"",SUMIFS(BD!$P$3:$P$5001,BD!$B$3:$B$5001,E$128,BD!$A$3:$A$5001,_xlfn.MAXIFS(BD!$A$3:$A$5001,BD!$B$3:$B$5001,E$128,BD!$A$3:$A$5001,"&gt;="&amp;$C$7,BD!$A$3:$A$5001,"&lt;="&amp;$B159,BD!$P$3:$P$5001,"&lt;&gt;"))))</f>
        <v/>
      </c>
      <c r="F159" s="54" t="str">
        <f>IF(OR($B159="",$A159&gt;$B$9,F$128=""),"",IF(COUNTIFS(BD!$B$3:$B$5001,F$128,BD!$A$3:$A$5001,"&gt;="&amp;$C$7,BD!$A$3:$A$5001,"&lt;="&amp;$B159,BD!$P$3:$P$5001,"&lt;&gt;")=0,"",SUMIFS(BD!$P$3:$P$5001,BD!$B$3:$B$5001,F$128,BD!$A$3:$A$5001,_xlfn.MAXIFS(BD!$A$3:$A$5001,BD!$B$3:$B$5001,F$128,BD!$A$3:$A$5001,"&gt;="&amp;$C$7,BD!$A$3:$A$5001,"&lt;="&amp;$B159,BD!$P$3:$P$5001,"&lt;&gt;"))))</f>
        <v/>
      </c>
      <c r="G159" s="54" t="str">
        <f>IF(OR($B159="",$A159&gt;$B$9,G$128=""),"",IF(COUNTIFS(BD!$B$3:$B$5001,G$128,BD!$A$3:$A$5001,"&gt;="&amp;$C$7,BD!$A$3:$A$5001,"&lt;="&amp;$B159,BD!$P$3:$P$5001,"&lt;&gt;")=0,"",SUMIFS(BD!$P$3:$P$5001,BD!$B$3:$B$5001,G$128,BD!$A$3:$A$5001,_xlfn.MAXIFS(BD!$A$3:$A$5001,BD!$B$3:$B$5001,G$128,BD!$A$3:$A$5001,"&gt;="&amp;$C$7,BD!$A$3:$A$5001,"&lt;="&amp;$B159,BD!$P$3:$P$5001,"&lt;&gt;"))))</f>
        <v/>
      </c>
      <c r="H159" s="54" t="str">
        <f>IF(OR($B159="",$A159&gt;$B$9,H$128=""),"",IF(COUNTIFS(BD!$B$3:$B$5001,H$128,BD!$A$3:$A$5001,"&gt;="&amp;$C$7,BD!$A$3:$A$5001,"&lt;="&amp;$B159,BD!$P$3:$P$5001,"&lt;&gt;")=0,"",SUMIFS(BD!$P$3:$P$5001,BD!$B$3:$B$5001,H$128,BD!$A$3:$A$5001,_xlfn.MAXIFS(BD!$A$3:$A$5001,BD!$B$3:$B$5001,H$128,BD!$A$3:$A$5001,"&gt;="&amp;$C$7,BD!$A$3:$A$5001,"&lt;="&amp;$B159,BD!$P$3:$P$5001,"&lt;&gt;"))))</f>
        <v/>
      </c>
      <c r="I159" s="54" t="str">
        <f>IF(OR($B159="",$A159&gt;$B$9,I$128=""),"",IF(COUNTIFS(BD!$B$3:$B$5001,I$128,BD!$A$3:$A$5001,"&gt;="&amp;$C$7,BD!$A$3:$A$5001,"&lt;="&amp;$B159,BD!$P$3:$P$5001,"&lt;&gt;")=0,"",SUMIFS(BD!$P$3:$P$5001,BD!$B$3:$B$5001,I$128,BD!$A$3:$A$5001,_xlfn.MAXIFS(BD!$A$3:$A$5001,BD!$B$3:$B$5001,I$128,BD!$A$3:$A$5001,"&gt;="&amp;$C$7,BD!$A$3:$A$5001,"&lt;="&amp;$B159,BD!$P$3:$P$5001,"&lt;&gt;"))))</f>
        <v/>
      </c>
      <c r="J159" s="54" t="str">
        <f>IF(OR($B159="",$A159&gt;$B$9,J$128=""),"",IF(COUNTIFS(BD!$B$3:$B$5001,J$128,BD!$A$3:$A$5001,"&gt;="&amp;$C$7,BD!$A$3:$A$5001,"&lt;="&amp;$B159,BD!$P$3:$P$5001,"&lt;&gt;")=0,"",SUMIFS(BD!$P$3:$P$5001,BD!$B$3:$B$5001,J$128,BD!$A$3:$A$5001,_xlfn.MAXIFS(BD!$A$3:$A$5001,BD!$B$3:$B$5001,J$128,BD!$A$3:$A$5001,"&gt;="&amp;$C$7,BD!$A$3:$A$5001,"&lt;="&amp;$B159,BD!$P$3:$P$5001,"&lt;&gt;"))))</f>
        <v/>
      </c>
      <c r="K159" s="54" t="str">
        <f>IF(OR($B159="",$A159&gt;$B$9,K$128=""),"",IF(COUNTIFS(BD!$B$3:$B$5001,K$128,BD!$A$3:$A$5001,"&gt;="&amp;$C$7,BD!$A$3:$A$5001,"&lt;="&amp;$B159,BD!$P$3:$P$5001,"&lt;&gt;")=0,"",SUMIFS(BD!$P$3:$P$5001,BD!$B$3:$B$5001,K$128,BD!$A$3:$A$5001,_xlfn.MAXIFS(BD!$A$3:$A$5001,BD!$B$3:$B$5001,K$128,BD!$A$3:$A$5001,"&gt;="&amp;$C$7,BD!$A$3:$A$5001,"&lt;="&amp;$B159,BD!$P$3:$P$5001,"&lt;&gt;"))))</f>
        <v/>
      </c>
      <c r="L159" s="54" t="str">
        <f>IF(OR($B159="",$A159&gt;$B$9,L$128=""),"",IF(COUNTIFS(BD!$B$3:$B$5001,L$128,BD!$A$3:$A$5001,"&gt;="&amp;$C$7,BD!$A$3:$A$5001,"&lt;="&amp;$B159,BD!$P$3:$P$5001,"&lt;&gt;")=0,"",SUMIFS(BD!$P$3:$P$5001,BD!$B$3:$B$5001,L$128,BD!$A$3:$A$5001,_xlfn.MAXIFS(BD!$A$3:$A$5001,BD!$B$3:$B$5001,L$128,BD!$A$3:$A$5001,"&gt;="&amp;$C$7,BD!$A$3:$A$5001,"&lt;="&amp;$B159,BD!$P$3:$P$5001,"&lt;&gt;"))))</f>
        <v/>
      </c>
      <c r="M159" s="54" t="str">
        <f>IF(OR($B159="",$A159&gt;$B$9,M$128=""),"",IF(COUNTIFS(BD!$B$3:$B$5001,M$128,BD!$A$3:$A$5001,"&gt;="&amp;$C$7,BD!$A$3:$A$5001,"&lt;="&amp;$B159,BD!$P$3:$P$5001,"&lt;&gt;")=0,"",SUMIFS(BD!$P$3:$P$5001,BD!$B$3:$B$5001,M$128,BD!$A$3:$A$5001,_xlfn.MAXIFS(BD!$A$3:$A$5001,BD!$B$3:$B$5001,M$128,BD!$A$3:$A$5001,"&gt;="&amp;$C$7,BD!$A$3:$A$5001,"&lt;="&amp;$B159,BD!$P$3:$P$5001,"&lt;&gt;"))))</f>
        <v/>
      </c>
      <c r="N159" s="54" t="str">
        <f>IF(OR($B159="",$A159&gt;$B$9,N$128=""),"",IF(COUNTIFS(BD!$B$3:$B$5001,N$128,BD!$A$3:$A$5001,"&gt;="&amp;$C$7,BD!$A$3:$A$5001,"&lt;="&amp;$B159,BD!$P$3:$P$5001,"&lt;&gt;")=0,"",SUMIFS(BD!$P$3:$P$5001,BD!$B$3:$B$5001,N$128,BD!$A$3:$A$5001,_xlfn.MAXIFS(BD!$A$3:$A$5001,BD!$B$3:$B$5001,N$128,BD!$A$3:$A$5001,"&gt;="&amp;$C$7,BD!$A$3:$A$5001,"&lt;="&amp;$B159,BD!$P$3:$P$5001,"&lt;&gt;"))))</f>
        <v/>
      </c>
      <c r="O159" s="54" t="str">
        <f>IF(OR($B159="",$A159&gt;$B$9,O$128=""),"",IF(COUNTIFS(BD!$B$3:$B$5001,O$128,BD!$A$3:$A$5001,"&gt;="&amp;$C$7,BD!$A$3:$A$5001,"&lt;="&amp;$B159,BD!$P$3:$P$5001,"&lt;&gt;")=0,"",SUMIFS(BD!$P$3:$P$5001,BD!$B$3:$B$5001,O$128,BD!$A$3:$A$5001,_xlfn.MAXIFS(BD!$A$3:$A$5001,BD!$B$3:$B$5001,O$128,BD!$A$3:$A$5001,"&gt;="&amp;$C$7,BD!$A$3:$A$5001,"&lt;="&amp;$B159,BD!$P$3:$P$5001,"&lt;&gt;"))))</f>
        <v/>
      </c>
      <c r="P159" s="54" t="str">
        <f>IF(OR($B159="",$A159&gt;$B$9,P$128=""),"",IF(COUNTIFS(BD!$B$3:$B$5001,P$128,BD!$A$3:$A$5001,"&gt;="&amp;$C$7,BD!$A$3:$A$5001,"&lt;="&amp;$B159,BD!$P$3:$P$5001,"&lt;&gt;")=0,"",SUMIFS(BD!$P$3:$P$5001,BD!$B$3:$B$5001,P$128,BD!$A$3:$A$5001,_xlfn.MAXIFS(BD!$A$3:$A$5001,BD!$B$3:$B$5001,P$128,BD!$A$3:$A$5001,"&gt;="&amp;$C$7,BD!$A$3:$A$5001,"&lt;="&amp;$B159,BD!$P$3:$P$5001,"&lt;&gt;"))))</f>
        <v/>
      </c>
      <c r="Q159" s="54" t="str">
        <f>IF(OR($B159="",$A159&gt;$B$9,Q$128=""),"",IF(COUNTIFS(BD!$B$3:$B$5001,Q$128,BD!$A$3:$A$5001,"&gt;="&amp;$C$7,BD!$A$3:$A$5001,"&lt;="&amp;$B159,BD!$P$3:$P$5001,"&lt;&gt;")=0,"",SUMIFS(BD!$P$3:$P$5001,BD!$B$3:$B$5001,Q$128,BD!$A$3:$A$5001,_xlfn.MAXIFS(BD!$A$3:$A$5001,BD!$B$3:$B$5001,Q$128,BD!$A$3:$A$5001,"&gt;="&amp;$C$7,BD!$A$3:$A$5001,"&lt;="&amp;$B159,BD!$P$3:$P$5001,"&lt;&gt;"))))</f>
        <v/>
      </c>
      <c r="R159" s="54" t="str">
        <f>IF(OR($B159="",$A159&gt;$B$9,R$128=""),"",IF(COUNTIFS(BD!$B$3:$B$5001,R$128,BD!$A$3:$A$5001,"&gt;="&amp;$C$7,BD!$A$3:$A$5001,"&lt;="&amp;$B159,BD!$P$3:$P$5001,"&lt;&gt;")=0,"",SUMIFS(BD!$P$3:$P$5001,BD!$B$3:$B$5001,R$128,BD!$A$3:$A$5001,_xlfn.MAXIFS(BD!$A$3:$A$5001,BD!$B$3:$B$5001,R$128,BD!$A$3:$A$5001,"&gt;="&amp;$C$7,BD!$A$3:$A$5001,"&lt;="&amp;$B159,BD!$P$3:$P$5001,"&lt;&gt;"))))</f>
        <v/>
      </c>
      <c r="S159" s="54" t="str">
        <f>IF(OR($B159="",$A159&gt;$B$9,S$128=""),"",IF(COUNTIFS(BD!$B$3:$B$5001,S$128,BD!$A$3:$A$5001,"&gt;="&amp;$C$7,BD!$A$3:$A$5001,"&lt;="&amp;$B159,BD!$P$3:$P$5001,"&lt;&gt;")=0,"",SUMIFS(BD!$P$3:$P$5001,BD!$B$3:$B$5001,S$128,BD!$A$3:$A$5001,_xlfn.MAXIFS(BD!$A$3:$A$5001,BD!$B$3:$B$5001,S$128,BD!$A$3:$A$5001,"&gt;="&amp;$C$7,BD!$A$3:$A$5001,"&lt;="&amp;$B159,BD!$P$3:$P$5001,"&lt;&gt;"))))</f>
        <v/>
      </c>
      <c r="T159" s="54" t="str">
        <f>IF(OR($B159="",$A159&gt;$B$9,T$128=""),"",IF(COUNTIFS(BD!$B$3:$B$5001,T$128,BD!$A$3:$A$5001,"&gt;="&amp;$C$7,BD!$A$3:$A$5001,"&lt;="&amp;$B159,BD!$P$3:$P$5001,"&lt;&gt;")=0,"",SUMIFS(BD!$P$3:$P$5001,BD!$B$3:$B$5001,T$128,BD!$A$3:$A$5001,_xlfn.MAXIFS(BD!$A$3:$A$5001,BD!$B$3:$B$5001,T$128,BD!$A$3:$A$5001,"&gt;="&amp;$C$7,BD!$A$3:$A$5001,"&lt;="&amp;$B159,BD!$P$3:$P$5001,"&lt;&gt;"))))</f>
        <v/>
      </c>
      <c r="U159" s="54" t="str">
        <f>IF(OR($B159="",$A159&gt;$B$9,U$128=""),"",IF(COUNTIFS(BD!$B$3:$B$5001,U$128,BD!$A$3:$A$5001,"&gt;="&amp;$C$7,BD!$A$3:$A$5001,"&lt;="&amp;$B159,BD!$P$3:$P$5001,"&lt;&gt;")=0,"",SUMIFS(BD!$P$3:$P$5001,BD!$B$3:$B$5001,U$128,BD!$A$3:$A$5001,_xlfn.MAXIFS(BD!$A$3:$A$5001,BD!$B$3:$B$5001,U$128,BD!$A$3:$A$5001,"&gt;="&amp;$C$7,BD!$A$3:$A$5001,"&lt;="&amp;$B159,BD!$P$3:$P$5001,"&lt;&gt;"))))</f>
        <v/>
      </c>
      <c r="V159" s="54" t="str">
        <f>IF(OR($B159="",$A159&gt;$B$9,V$128=""),"",IF(COUNTIFS(BD!$B$3:$B$5001,V$128,BD!$A$3:$A$5001,"&gt;="&amp;$C$7,BD!$A$3:$A$5001,"&lt;="&amp;$B159,BD!$P$3:$P$5001,"&lt;&gt;")=0,"",SUMIFS(BD!$P$3:$P$5001,BD!$B$3:$B$5001,V$128,BD!$A$3:$A$5001,_xlfn.MAXIFS(BD!$A$3:$A$5001,BD!$B$3:$B$5001,V$128,BD!$A$3:$A$5001,"&gt;="&amp;$C$7,BD!$A$3:$A$5001,"&lt;="&amp;$B159,BD!$P$3:$P$5001,"&lt;&gt;"))))</f>
        <v/>
      </c>
    </row>
    <row r="160">
      <c r="A160" s="55" t="inlineStr">
        <is>
          <t xml:space="preserve">Mês anterior (último)</t>
        </is>
      </c>
      <c r="C160" s="56" t="str">
        <f>IF(C$128="","",IF(COUNTIFS(BD!$B$3:$B$5001,C$128,BD!$A$3:$A$5001,"&gt;="&amp;$C$8,BD!$A$3:$A$5001,"&lt;="&amp;$D$8,BD!$P$3:$P$5001,"&lt;&gt;")=0,"",SUMIFS(BD!$P$3:$P$5001,BD!$B$3:$B$5001,C$128,BD!$A$3:$A$5001,_xlfn.MAXIFS(BD!$A$3:$A$5001,BD!$B$3:$B$5001,C$128,BD!$A$3:$A$5001,"&gt;="&amp;$C$8,BD!$A$3:$A$5001,"&lt;="&amp;$D$8,BD!$P$3:$P$5001,"&lt;&gt;"))))</f>
        <v/>
      </c>
      <c r="D160" s="56" t="str">
        <f>IF(D$128="","",IF(COUNTIFS(BD!$B$3:$B$5001,D$128,BD!$A$3:$A$5001,"&gt;="&amp;$C$8,BD!$A$3:$A$5001,"&lt;="&amp;$D$8,BD!$P$3:$P$5001,"&lt;&gt;")=0,"",SUMIFS(BD!$P$3:$P$5001,BD!$B$3:$B$5001,D$128,BD!$A$3:$A$5001,_xlfn.MAXIFS(BD!$A$3:$A$5001,BD!$B$3:$B$5001,D$128,BD!$A$3:$A$5001,"&gt;="&amp;$C$8,BD!$A$3:$A$5001,"&lt;="&amp;$D$8,BD!$P$3:$P$5001,"&lt;&gt;"))))</f>
        <v/>
      </c>
      <c r="E160" s="56" t="str">
        <f>IF(E$128="","",IF(COUNTIFS(BD!$B$3:$B$5001,E$128,BD!$A$3:$A$5001,"&gt;="&amp;$C$8,BD!$A$3:$A$5001,"&lt;="&amp;$D$8,BD!$P$3:$P$5001,"&lt;&gt;")=0,"",SUMIFS(BD!$P$3:$P$5001,BD!$B$3:$B$5001,E$128,BD!$A$3:$A$5001,_xlfn.MAXIFS(BD!$A$3:$A$5001,BD!$B$3:$B$5001,E$128,BD!$A$3:$A$5001,"&gt;="&amp;$C$8,BD!$A$3:$A$5001,"&lt;="&amp;$D$8,BD!$P$3:$P$5001,"&lt;&gt;"))))</f>
        <v/>
      </c>
      <c r="F160" s="56" t="str">
        <f>IF(F$128="","",IF(COUNTIFS(BD!$B$3:$B$5001,F$128,BD!$A$3:$A$5001,"&gt;="&amp;$C$8,BD!$A$3:$A$5001,"&lt;="&amp;$D$8,BD!$P$3:$P$5001,"&lt;&gt;")=0,"",SUMIFS(BD!$P$3:$P$5001,BD!$B$3:$B$5001,F$128,BD!$A$3:$A$5001,_xlfn.MAXIFS(BD!$A$3:$A$5001,BD!$B$3:$B$5001,F$128,BD!$A$3:$A$5001,"&gt;="&amp;$C$8,BD!$A$3:$A$5001,"&lt;="&amp;$D$8,BD!$P$3:$P$5001,"&lt;&gt;"))))</f>
        <v/>
      </c>
      <c r="G160" s="56" t="str">
        <f>IF(G$128="","",IF(COUNTIFS(BD!$B$3:$B$5001,G$128,BD!$A$3:$A$5001,"&gt;="&amp;$C$8,BD!$A$3:$A$5001,"&lt;="&amp;$D$8,BD!$P$3:$P$5001,"&lt;&gt;")=0,"",SUMIFS(BD!$P$3:$P$5001,BD!$B$3:$B$5001,G$128,BD!$A$3:$A$5001,_xlfn.MAXIFS(BD!$A$3:$A$5001,BD!$B$3:$B$5001,G$128,BD!$A$3:$A$5001,"&gt;="&amp;$C$8,BD!$A$3:$A$5001,"&lt;="&amp;$D$8,BD!$P$3:$P$5001,"&lt;&gt;"))))</f>
        <v/>
      </c>
      <c r="H160" s="56" t="str">
        <f>IF(H$128="","",IF(COUNTIFS(BD!$B$3:$B$5001,H$128,BD!$A$3:$A$5001,"&gt;="&amp;$C$8,BD!$A$3:$A$5001,"&lt;="&amp;$D$8,BD!$P$3:$P$5001,"&lt;&gt;")=0,"",SUMIFS(BD!$P$3:$P$5001,BD!$B$3:$B$5001,H$128,BD!$A$3:$A$5001,_xlfn.MAXIFS(BD!$A$3:$A$5001,BD!$B$3:$B$5001,H$128,BD!$A$3:$A$5001,"&gt;="&amp;$C$8,BD!$A$3:$A$5001,"&lt;="&amp;$D$8,BD!$P$3:$P$5001,"&lt;&gt;"))))</f>
        <v/>
      </c>
      <c r="I160" s="56" t="str">
        <f>IF(I$128="","",IF(COUNTIFS(BD!$B$3:$B$5001,I$128,BD!$A$3:$A$5001,"&gt;="&amp;$C$8,BD!$A$3:$A$5001,"&lt;="&amp;$D$8,BD!$P$3:$P$5001,"&lt;&gt;")=0,"",SUMIFS(BD!$P$3:$P$5001,BD!$B$3:$B$5001,I$128,BD!$A$3:$A$5001,_xlfn.MAXIFS(BD!$A$3:$A$5001,BD!$B$3:$B$5001,I$128,BD!$A$3:$A$5001,"&gt;="&amp;$C$8,BD!$A$3:$A$5001,"&lt;="&amp;$D$8,BD!$P$3:$P$5001,"&lt;&gt;"))))</f>
        <v/>
      </c>
      <c r="J160" s="56" t="str">
        <f>IF(J$128="","",IF(COUNTIFS(BD!$B$3:$B$5001,J$128,BD!$A$3:$A$5001,"&gt;="&amp;$C$8,BD!$A$3:$A$5001,"&lt;="&amp;$D$8,BD!$P$3:$P$5001,"&lt;&gt;")=0,"",SUMIFS(BD!$P$3:$P$5001,BD!$B$3:$B$5001,J$128,BD!$A$3:$A$5001,_xlfn.MAXIFS(BD!$A$3:$A$5001,BD!$B$3:$B$5001,J$128,BD!$A$3:$A$5001,"&gt;="&amp;$C$8,BD!$A$3:$A$5001,"&lt;="&amp;$D$8,BD!$P$3:$P$5001,"&lt;&gt;"))))</f>
        <v/>
      </c>
      <c r="K160" s="56" t="str">
        <f>IF(K$128="","",IF(COUNTIFS(BD!$B$3:$B$5001,K$128,BD!$A$3:$A$5001,"&gt;="&amp;$C$8,BD!$A$3:$A$5001,"&lt;="&amp;$D$8,BD!$P$3:$P$5001,"&lt;&gt;")=0,"",SUMIFS(BD!$P$3:$P$5001,BD!$B$3:$B$5001,K$128,BD!$A$3:$A$5001,_xlfn.MAXIFS(BD!$A$3:$A$5001,BD!$B$3:$B$5001,K$128,BD!$A$3:$A$5001,"&gt;="&amp;$C$8,BD!$A$3:$A$5001,"&lt;="&amp;$D$8,BD!$P$3:$P$5001,"&lt;&gt;"))))</f>
        <v/>
      </c>
      <c r="L160" s="56" t="str">
        <f>IF(L$128="","",IF(COUNTIFS(BD!$B$3:$B$5001,L$128,BD!$A$3:$A$5001,"&gt;="&amp;$C$8,BD!$A$3:$A$5001,"&lt;="&amp;$D$8,BD!$P$3:$P$5001,"&lt;&gt;")=0,"",SUMIFS(BD!$P$3:$P$5001,BD!$B$3:$B$5001,L$128,BD!$A$3:$A$5001,_xlfn.MAXIFS(BD!$A$3:$A$5001,BD!$B$3:$B$5001,L$128,BD!$A$3:$A$5001,"&gt;="&amp;$C$8,BD!$A$3:$A$5001,"&lt;="&amp;$D$8,BD!$P$3:$P$5001,"&lt;&gt;"))))</f>
        <v/>
      </c>
      <c r="M160" s="56" t="str">
        <f>IF(M$128="","",IF(COUNTIFS(BD!$B$3:$B$5001,M$128,BD!$A$3:$A$5001,"&gt;="&amp;$C$8,BD!$A$3:$A$5001,"&lt;="&amp;$D$8,BD!$P$3:$P$5001,"&lt;&gt;")=0,"",SUMIFS(BD!$P$3:$P$5001,BD!$B$3:$B$5001,M$128,BD!$A$3:$A$5001,_xlfn.MAXIFS(BD!$A$3:$A$5001,BD!$B$3:$B$5001,M$128,BD!$A$3:$A$5001,"&gt;="&amp;$C$8,BD!$A$3:$A$5001,"&lt;="&amp;$D$8,BD!$P$3:$P$5001,"&lt;&gt;"))))</f>
        <v/>
      </c>
      <c r="N160" s="56" t="str">
        <f>IF(N$128="","",IF(COUNTIFS(BD!$B$3:$B$5001,N$128,BD!$A$3:$A$5001,"&gt;="&amp;$C$8,BD!$A$3:$A$5001,"&lt;="&amp;$D$8,BD!$P$3:$P$5001,"&lt;&gt;")=0,"",SUMIFS(BD!$P$3:$P$5001,BD!$B$3:$B$5001,N$128,BD!$A$3:$A$5001,_xlfn.MAXIFS(BD!$A$3:$A$5001,BD!$B$3:$B$5001,N$128,BD!$A$3:$A$5001,"&gt;="&amp;$C$8,BD!$A$3:$A$5001,"&lt;="&amp;$D$8,BD!$P$3:$P$5001,"&lt;&gt;"))))</f>
        <v/>
      </c>
      <c r="O160" s="56" t="str">
        <f>IF(O$128="","",IF(COUNTIFS(BD!$B$3:$B$5001,O$128,BD!$A$3:$A$5001,"&gt;="&amp;$C$8,BD!$A$3:$A$5001,"&lt;="&amp;$D$8,BD!$P$3:$P$5001,"&lt;&gt;")=0,"",SUMIFS(BD!$P$3:$P$5001,BD!$B$3:$B$5001,O$128,BD!$A$3:$A$5001,_xlfn.MAXIFS(BD!$A$3:$A$5001,BD!$B$3:$B$5001,O$128,BD!$A$3:$A$5001,"&gt;="&amp;$C$8,BD!$A$3:$A$5001,"&lt;="&amp;$D$8,BD!$P$3:$P$5001,"&lt;&gt;"))))</f>
        <v/>
      </c>
      <c r="P160" s="56" t="str">
        <f>IF(P$128="","",IF(COUNTIFS(BD!$B$3:$B$5001,P$128,BD!$A$3:$A$5001,"&gt;="&amp;$C$8,BD!$A$3:$A$5001,"&lt;="&amp;$D$8,BD!$P$3:$P$5001,"&lt;&gt;")=0,"",SUMIFS(BD!$P$3:$P$5001,BD!$B$3:$B$5001,P$128,BD!$A$3:$A$5001,_xlfn.MAXIFS(BD!$A$3:$A$5001,BD!$B$3:$B$5001,P$128,BD!$A$3:$A$5001,"&gt;="&amp;$C$8,BD!$A$3:$A$5001,"&lt;="&amp;$D$8,BD!$P$3:$P$5001,"&lt;&gt;"))))</f>
        <v/>
      </c>
      <c r="Q160" s="56" t="str">
        <f>IF(Q$128="","",IF(COUNTIFS(BD!$B$3:$B$5001,Q$128,BD!$A$3:$A$5001,"&gt;="&amp;$C$8,BD!$A$3:$A$5001,"&lt;="&amp;$D$8,BD!$P$3:$P$5001,"&lt;&gt;")=0,"",SUMIFS(BD!$P$3:$P$5001,BD!$B$3:$B$5001,Q$128,BD!$A$3:$A$5001,_xlfn.MAXIFS(BD!$A$3:$A$5001,BD!$B$3:$B$5001,Q$128,BD!$A$3:$A$5001,"&gt;="&amp;$C$8,BD!$A$3:$A$5001,"&lt;="&amp;$D$8,BD!$P$3:$P$5001,"&lt;&gt;"))))</f>
        <v/>
      </c>
      <c r="R160" s="56" t="str">
        <f>IF(R$128="","",IF(COUNTIFS(BD!$B$3:$B$5001,R$128,BD!$A$3:$A$5001,"&gt;="&amp;$C$8,BD!$A$3:$A$5001,"&lt;="&amp;$D$8,BD!$P$3:$P$5001,"&lt;&gt;")=0,"",SUMIFS(BD!$P$3:$P$5001,BD!$B$3:$B$5001,R$128,BD!$A$3:$A$5001,_xlfn.MAXIFS(BD!$A$3:$A$5001,BD!$B$3:$B$5001,R$128,BD!$A$3:$A$5001,"&gt;="&amp;$C$8,BD!$A$3:$A$5001,"&lt;="&amp;$D$8,BD!$P$3:$P$5001,"&lt;&gt;"))))</f>
        <v/>
      </c>
      <c r="S160" s="56" t="str">
        <f>IF(S$128="","",IF(COUNTIFS(BD!$B$3:$B$5001,S$128,BD!$A$3:$A$5001,"&gt;="&amp;$C$8,BD!$A$3:$A$5001,"&lt;="&amp;$D$8,BD!$P$3:$P$5001,"&lt;&gt;")=0,"",SUMIFS(BD!$P$3:$P$5001,BD!$B$3:$B$5001,S$128,BD!$A$3:$A$5001,_xlfn.MAXIFS(BD!$A$3:$A$5001,BD!$B$3:$B$5001,S$128,BD!$A$3:$A$5001,"&gt;="&amp;$C$8,BD!$A$3:$A$5001,"&lt;="&amp;$D$8,BD!$P$3:$P$5001,"&lt;&gt;"))))</f>
        <v/>
      </c>
      <c r="T160" s="56" t="str">
        <f>IF(T$128="","",IF(COUNTIFS(BD!$B$3:$B$5001,T$128,BD!$A$3:$A$5001,"&gt;="&amp;$C$8,BD!$A$3:$A$5001,"&lt;="&amp;$D$8,BD!$P$3:$P$5001,"&lt;&gt;")=0,"",SUMIFS(BD!$P$3:$P$5001,BD!$B$3:$B$5001,T$128,BD!$A$3:$A$5001,_xlfn.MAXIFS(BD!$A$3:$A$5001,BD!$B$3:$B$5001,T$128,BD!$A$3:$A$5001,"&gt;="&amp;$C$8,BD!$A$3:$A$5001,"&lt;="&amp;$D$8,BD!$P$3:$P$5001,"&lt;&gt;"))))</f>
        <v/>
      </c>
      <c r="U160" s="56" t="str">
        <f>IF(U$128="","",IF(COUNTIFS(BD!$B$3:$B$5001,U$128,BD!$A$3:$A$5001,"&gt;="&amp;$C$8,BD!$A$3:$A$5001,"&lt;="&amp;$D$8,BD!$P$3:$P$5001,"&lt;&gt;")=0,"",SUMIFS(BD!$P$3:$P$5001,BD!$B$3:$B$5001,U$128,BD!$A$3:$A$5001,_xlfn.MAXIFS(BD!$A$3:$A$5001,BD!$B$3:$B$5001,U$128,BD!$A$3:$A$5001,"&gt;="&amp;$C$8,BD!$A$3:$A$5001,"&lt;="&amp;$D$8,BD!$P$3:$P$5001,"&lt;&gt;"))))</f>
        <v/>
      </c>
      <c r="V160" s="56" t="str">
        <f>IF(V$128="","",IF(COUNTIFS(BD!$B$3:$B$5001,V$128,BD!$A$3:$A$5001,"&gt;="&amp;$C$8,BD!$A$3:$A$5001,"&lt;="&amp;$D$8,BD!$P$3:$P$5001,"&lt;&gt;")=0,"",SUMIFS(BD!$P$3:$P$5001,BD!$B$3:$B$5001,V$128,BD!$A$3:$A$5001,_xlfn.MAXIFS(BD!$A$3:$A$5001,BD!$B$3:$B$5001,V$128,BD!$A$3:$A$5001,"&gt;="&amp;$C$8,BD!$A$3:$A$5001,"&lt;="&amp;$D$8,BD!$P$3:$P$5001,"&lt;&gt;"))))</f>
        <v/>
      </c>
    </row>
    <row r="161">
      <c r="A161" s="55" t="inlineStr">
        <is>
          <t xml:space="preserve">Depósito</t>
        </is>
      </c>
      <c r="C161" s="48" t="str">
        <f>IF(Config!$C$10="","JSL",Config!$C$10)</f>
        <v>JSL</v>
      </c>
      <c r="D161" s="48" t="str">
        <f>IF(Config!$C$11="","JSL",Config!$C$11)</f>
        <v>JSL</v>
      </c>
      <c r="E161" s="48" t="str">
        <f>IF(Config!$C$12="","JSL",Config!$C$12)</f>
        <v>JSL</v>
      </c>
      <c r="F161" s="48" t="str">
        <f>IF(Config!$C$13="","JSL",Config!$C$13)</f>
        <v>JSL</v>
      </c>
      <c r="G161" s="48" t="str">
        <f>IF(Config!$C$14="","JSL",Config!$C$14)</f>
        <v>JSL</v>
      </c>
      <c r="H161" s="48" t="str">
        <f>IF(Config!$C$15="","JSL",Config!$C$15)</f>
        <v>JSL</v>
      </c>
      <c r="I161" s="48" t="str">
        <f>IF(Config!$C$16="","JSL",Config!$C$16)</f>
        <v>JSL</v>
      </c>
      <c r="J161" s="48" t="str">
        <f>IF(Config!$C$17="","JSL",Config!$C$17)</f>
        <v>JSL</v>
      </c>
      <c r="K161" s="48" t="str">
        <f>IF(Config!$C$18="","JSL",Config!$C$18)</f>
        <v>JSL</v>
      </c>
      <c r="L161" s="48" t="str">
        <f>IF(Config!$C$19="","JSL",Config!$C$19)</f>
        <v>JSL</v>
      </c>
      <c r="M161" s="48" t="str">
        <f>IF(Config!$C$20="","JSL",Config!$C$20)</f>
        <v>JSL</v>
      </c>
      <c r="N161" s="48" t="str">
        <f>IF(Config!$C$21="","JSL",Config!$C$21)</f>
        <v>JSL</v>
      </c>
      <c r="O161" s="48" t="str">
        <f>IF(Config!$C$22="","JSL",Config!$C$22)</f>
        <v>JSL</v>
      </c>
      <c r="P161" s="48" t="str">
        <f>IF(Config!$C$23="","JSL",Config!$C$23)</f>
        <v>JSL</v>
      </c>
      <c r="Q161" s="48" t="str">
        <f>IF(Config!$C$24="","JSL",Config!$C$24)</f>
        <v>JSL</v>
      </c>
      <c r="R161" s="48" t="str">
        <f>IF(Config!$C$25="","JSL",Config!$C$25)</f>
        <v>JSL</v>
      </c>
      <c r="S161" s="48" t="str">
        <f>IF(Config!$C$26="","JSL",Config!$C$26)</f>
        <v>JSL</v>
      </c>
      <c r="T161" s="48" t="str">
        <f>IF(Config!$C$27="","JSL",Config!$C$27)</f>
        <v>JSL</v>
      </c>
      <c r="U161" s="48" t="str">
        <f>IF(Config!$C$28="","JSL",Config!$C$28)</f>
        <v>JSL</v>
      </c>
      <c r="V161" s="48" t="str">
        <f>IF(Config!$C$29="","JSL",Config!$C$29)</f>
        <v>JSL</v>
      </c>
    </row>
    <row r="163">
      <c r="A163" s="47" t="inlineStr">
        <is>
          <t xml:space="preserve">Backlog Cliente</t>
        </is>
      </c>
      <c r="B163" s="47" t="inlineStr">
        <is>
          <t xml:space="preserve">Data</t>
        </is>
      </c>
      <c r="C163" s="47" t="str">
        <f>Config!$B$10&amp;""</f>
        <v>Barry Callebaut</v>
      </c>
      <c r="D163" s="47" t="str">
        <f>Config!$B$11&amp;""</f>
        <v>GM</v>
      </c>
      <c r="E163" s="47" t="str">
        <f>Config!$B$12&amp;""</f>
        <v>Mondelez</v>
      </c>
      <c r="F163" s="47" t="str">
        <f>Config!$B$13&amp;""</f>
        <v>Nestlé</v>
      </c>
      <c r="G163" s="47" t="str">
        <f>Config!$B$14&amp;""</f>
        <v>PMB</v>
      </c>
      <c r="H163" s="47" t="str">
        <f>Config!$B$15&amp;""</f>
        <v/>
      </c>
      <c r="I163" s="47" t="str">
        <f>Config!$B$16&amp;""</f>
        <v/>
      </c>
      <c r="J163" s="47" t="str">
        <f>Config!$B$17&amp;""</f>
        <v/>
      </c>
      <c r="K163" s="47" t="str">
        <f>Config!$B$18&amp;""</f>
        <v/>
      </c>
      <c r="L163" s="47" t="str">
        <f>Config!$B$19&amp;""</f>
        <v/>
      </c>
      <c r="M163" s="47" t="str">
        <f>Config!$B$20&amp;""</f>
        <v/>
      </c>
      <c r="N163" s="47" t="str">
        <f>Config!$B$21&amp;""</f>
        <v/>
      </c>
      <c r="O163" s="47" t="str">
        <f>Config!$B$22&amp;""</f>
        <v/>
      </c>
      <c r="P163" s="47" t="str">
        <f>Config!$B$23&amp;""</f>
        <v/>
      </c>
      <c r="Q163" s="47" t="str">
        <f>Config!$B$24&amp;""</f>
        <v/>
      </c>
      <c r="R163" s="47" t="str">
        <f>Config!$B$25&amp;""</f>
        <v/>
      </c>
      <c r="S163" s="47" t="str">
        <f>Config!$B$26&amp;""</f>
        <v/>
      </c>
      <c r="T163" s="47" t="str">
        <f>Config!$B$27&amp;""</f>
        <v/>
      </c>
      <c r="U163" s="47" t="str">
        <f>Config!$B$28&amp;""</f>
        <v/>
      </c>
      <c r="V163" s="47" t="str">
        <f>Config!$B$29&amp;""</f>
        <v/>
      </c>
    </row>
    <row r="164">
      <c r="A164" s="48">
        <v>1</v>
      </c>
      <c r="B164" s="53">
        <f>$B$12</f>
        <v>46296</v>
      </c>
      <c r="C164" s="54" t="str">
        <f>IF(OR($B164="",$A164&gt;$B$9,C$163=""),"",IF(COUNTIFS(BD!$B$3:$B$5001,C$163,BD!$A$3:$A$5001,"&gt;="&amp;$C$7,BD!$A$3:$A$5001,"&lt;="&amp;$B164,BD!$Q$3:$Q$5001,"&lt;&gt;")=0,"",SUMIFS(BD!$Q$3:$Q$5001,BD!$B$3:$B$5001,C$163,BD!$A$3:$A$5001,_xlfn.MAXIFS(BD!$A$3:$A$5001,BD!$B$3:$B$5001,C$163,BD!$A$3:$A$5001,"&gt;="&amp;$C$7,BD!$A$3:$A$5001,"&lt;="&amp;$B164,BD!$Q$3:$Q$5001,"&lt;&gt;"))))</f>
        <v/>
      </c>
      <c r="D164" s="54" t="str">
        <f>IF(OR($B164="",$A164&gt;$B$9,D$163=""),"",IF(COUNTIFS(BD!$B$3:$B$5001,D$163,BD!$A$3:$A$5001,"&gt;="&amp;$C$7,BD!$A$3:$A$5001,"&lt;="&amp;$B164,BD!$Q$3:$Q$5001,"&lt;&gt;")=0,"",SUMIFS(BD!$Q$3:$Q$5001,BD!$B$3:$B$5001,D$163,BD!$A$3:$A$5001,_xlfn.MAXIFS(BD!$A$3:$A$5001,BD!$B$3:$B$5001,D$163,BD!$A$3:$A$5001,"&gt;="&amp;$C$7,BD!$A$3:$A$5001,"&lt;="&amp;$B164,BD!$Q$3:$Q$5001,"&lt;&gt;"))))</f>
        <v/>
      </c>
      <c r="E164" s="54" t="str">
        <f>IF(OR($B164="",$A164&gt;$B$9,E$163=""),"",IF(COUNTIFS(BD!$B$3:$B$5001,E$163,BD!$A$3:$A$5001,"&gt;="&amp;$C$7,BD!$A$3:$A$5001,"&lt;="&amp;$B164,BD!$Q$3:$Q$5001,"&lt;&gt;")=0,"",SUMIFS(BD!$Q$3:$Q$5001,BD!$B$3:$B$5001,E$163,BD!$A$3:$A$5001,_xlfn.MAXIFS(BD!$A$3:$A$5001,BD!$B$3:$B$5001,E$163,BD!$A$3:$A$5001,"&gt;="&amp;$C$7,BD!$A$3:$A$5001,"&lt;="&amp;$B164,BD!$Q$3:$Q$5001,"&lt;&gt;"))))</f>
        <v/>
      </c>
      <c r="F164" s="54" t="str">
        <f>IF(OR($B164="",$A164&gt;$B$9,F$163=""),"",IF(COUNTIFS(BD!$B$3:$B$5001,F$163,BD!$A$3:$A$5001,"&gt;="&amp;$C$7,BD!$A$3:$A$5001,"&lt;="&amp;$B164,BD!$Q$3:$Q$5001,"&lt;&gt;")=0,"",SUMIFS(BD!$Q$3:$Q$5001,BD!$B$3:$B$5001,F$163,BD!$A$3:$A$5001,_xlfn.MAXIFS(BD!$A$3:$A$5001,BD!$B$3:$B$5001,F$163,BD!$A$3:$A$5001,"&gt;="&amp;$C$7,BD!$A$3:$A$5001,"&lt;="&amp;$B164,BD!$Q$3:$Q$5001,"&lt;&gt;"))))</f>
        <v/>
      </c>
      <c r="G164" s="54" t="str">
        <f>IF(OR($B164="",$A164&gt;$B$9,G$163=""),"",IF(COUNTIFS(BD!$B$3:$B$5001,G$163,BD!$A$3:$A$5001,"&gt;="&amp;$C$7,BD!$A$3:$A$5001,"&lt;="&amp;$B164,BD!$Q$3:$Q$5001,"&lt;&gt;")=0,"",SUMIFS(BD!$Q$3:$Q$5001,BD!$B$3:$B$5001,G$163,BD!$A$3:$A$5001,_xlfn.MAXIFS(BD!$A$3:$A$5001,BD!$B$3:$B$5001,G$163,BD!$A$3:$A$5001,"&gt;="&amp;$C$7,BD!$A$3:$A$5001,"&lt;="&amp;$B164,BD!$Q$3:$Q$5001,"&lt;&gt;"))))</f>
        <v/>
      </c>
      <c r="H164" s="54" t="str">
        <f>IF(OR($B164="",$A164&gt;$B$9,H$163=""),"",IF(COUNTIFS(BD!$B$3:$B$5001,H$163,BD!$A$3:$A$5001,"&gt;="&amp;$C$7,BD!$A$3:$A$5001,"&lt;="&amp;$B164,BD!$Q$3:$Q$5001,"&lt;&gt;")=0,"",SUMIFS(BD!$Q$3:$Q$5001,BD!$B$3:$B$5001,H$163,BD!$A$3:$A$5001,_xlfn.MAXIFS(BD!$A$3:$A$5001,BD!$B$3:$B$5001,H$163,BD!$A$3:$A$5001,"&gt;="&amp;$C$7,BD!$A$3:$A$5001,"&lt;="&amp;$B164,BD!$Q$3:$Q$5001,"&lt;&gt;"))))</f>
        <v/>
      </c>
      <c r="I164" s="54" t="str">
        <f>IF(OR($B164="",$A164&gt;$B$9,I$163=""),"",IF(COUNTIFS(BD!$B$3:$B$5001,I$163,BD!$A$3:$A$5001,"&gt;="&amp;$C$7,BD!$A$3:$A$5001,"&lt;="&amp;$B164,BD!$Q$3:$Q$5001,"&lt;&gt;")=0,"",SUMIFS(BD!$Q$3:$Q$5001,BD!$B$3:$B$5001,I$163,BD!$A$3:$A$5001,_xlfn.MAXIFS(BD!$A$3:$A$5001,BD!$B$3:$B$5001,I$163,BD!$A$3:$A$5001,"&gt;="&amp;$C$7,BD!$A$3:$A$5001,"&lt;="&amp;$B164,BD!$Q$3:$Q$5001,"&lt;&gt;"))))</f>
        <v/>
      </c>
      <c r="J164" s="54" t="str">
        <f>IF(OR($B164="",$A164&gt;$B$9,J$163=""),"",IF(COUNTIFS(BD!$B$3:$B$5001,J$163,BD!$A$3:$A$5001,"&gt;="&amp;$C$7,BD!$A$3:$A$5001,"&lt;="&amp;$B164,BD!$Q$3:$Q$5001,"&lt;&gt;")=0,"",SUMIFS(BD!$Q$3:$Q$5001,BD!$B$3:$B$5001,J$163,BD!$A$3:$A$5001,_xlfn.MAXIFS(BD!$A$3:$A$5001,BD!$B$3:$B$5001,J$163,BD!$A$3:$A$5001,"&gt;="&amp;$C$7,BD!$A$3:$A$5001,"&lt;="&amp;$B164,BD!$Q$3:$Q$5001,"&lt;&gt;"))))</f>
        <v/>
      </c>
      <c r="K164" s="54" t="str">
        <f>IF(OR($B164="",$A164&gt;$B$9,K$163=""),"",IF(COUNTIFS(BD!$B$3:$B$5001,K$163,BD!$A$3:$A$5001,"&gt;="&amp;$C$7,BD!$A$3:$A$5001,"&lt;="&amp;$B164,BD!$Q$3:$Q$5001,"&lt;&gt;")=0,"",SUMIFS(BD!$Q$3:$Q$5001,BD!$B$3:$B$5001,K$163,BD!$A$3:$A$5001,_xlfn.MAXIFS(BD!$A$3:$A$5001,BD!$B$3:$B$5001,K$163,BD!$A$3:$A$5001,"&gt;="&amp;$C$7,BD!$A$3:$A$5001,"&lt;="&amp;$B164,BD!$Q$3:$Q$5001,"&lt;&gt;"))))</f>
        <v/>
      </c>
      <c r="L164" s="54" t="str">
        <f>IF(OR($B164="",$A164&gt;$B$9,L$163=""),"",IF(COUNTIFS(BD!$B$3:$B$5001,L$163,BD!$A$3:$A$5001,"&gt;="&amp;$C$7,BD!$A$3:$A$5001,"&lt;="&amp;$B164,BD!$Q$3:$Q$5001,"&lt;&gt;")=0,"",SUMIFS(BD!$Q$3:$Q$5001,BD!$B$3:$B$5001,L$163,BD!$A$3:$A$5001,_xlfn.MAXIFS(BD!$A$3:$A$5001,BD!$B$3:$B$5001,L$163,BD!$A$3:$A$5001,"&gt;="&amp;$C$7,BD!$A$3:$A$5001,"&lt;="&amp;$B164,BD!$Q$3:$Q$5001,"&lt;&gt;"))))</f>
        <v/>
      </c>
      <c r="M164" s="54" t="str">
        <f>IF(OR($B164="",$A164&gt;$B$9,M$163=""),"",IF(COUNTIFS(BD!$B$3:$B$5001,M$163,BD!$A$3:$A$5001,"&gt;="&amp;$C$7,BD!$A$3:$A$5001,"&lt;="&amp;$B164,BD!$Q$3:$Q$5001,"&lt;&gt;")=0,"",SUMIFS(BD!$Q$3:$Q$5001,BD!$B$3:$B$5001,M$163,BD!$A$3:$A$5001,_xlfn.MAXIFS(BD!$A$3:$A$5001,BD!$B$3:$B$5001,M$163,BD!$A$3:$A$5001,"&gt;="&amp;$C$7,BD!$A$3:$A$5001,"&lt;="&amp;$B164,BD!$Q$3:$Q$5001,"&lt;&gt;"))))</f>
        <v/>
      </c>
      <c r="N164" s="54" t="str">
        <f>IF(OR($B164="",$A164&gt;$B$9,N$163=""),"",IF(COUNTIFS(BD!$B$3:$B$5001,N$163,BD!$A$3:$A$5001,"&gt;="&amp;$C$7,BD!$A$3:$A$5001,"&lt;="&amp;$B164,BD!$Q$3:$Q$5001,"&lt;&gt;")=0,"",SUMIFS(BD!$Q$3:$Q$5001,BD!$B$3:$B$5001,N$163,BD!$A$3:$A$5001,_xlfn.MAXIFS(BD!$A$3:$A$5001,BD!$B$3:$B$5001,N$163,BD!$A$3:$A$5001,"&gt;="&amp;$C$7,BD!$A$3:$A$5001,"&lt;="&amp;$B164,BD!$Q$3:$Q$5001,"&lt;&gt;"))))</f>
        <v/>
      </c>
      <c r="O164" s="54" t="str">
        <f>IF(OR($B164="",$A164&gt;$B$9,O$163=""),"",IF(COUNTIFS(BD!$B$3:$B$5001,O$163,BD!$A$3:$A$5001,"&gt;="&amp;$C$7,BD!$A$3:$A$5001,"&lt;="&amp;$B164,BD!$Q$3:$Q$5001,"&lt;&gt;")=0,"",SUMIFS(BD!$Q$3:$Q$5001,BD!$B$3:$B$5001,O$163,BD!$A$3:$A$5001,_xlfn.MAXIFS(BD!$A$3:$A$5001,BD!$B$3:$B$5001,O$163,BD!$A$3:$A$5001,"&gt;="&amp;$C$7,BD!$A$3:$A$5001,"&lt;="&amp;$B164,BD!$Q$3:$Q$5001,"&lt;&gt;"))))</f>
        <v/>
      </c>
      <c r="P164" s="54" t="str">
        <f>IF(OR($B164="",$A164&gt;$B$9,P$163=""),"",IF(COUNTIFS(BD!$B$3:$B$5001,P$163,BD!$A$3:$A$5001,"&gt;="&amp;$C$7,BD!$A$3:$A$5001,"&lt;="&amp;$B164,BD!$Q$3:$Q$5001,"&lt;&gt;")=0,"",SUMIFS(BD!$Q$3:$Q$5001,BD!$B$3:$B$5001,P$163,BD!$A$3:$A$5001,_xlfn.MAXIFS(BD!$A$3:$A$5001,BD!$B$3:$B$5001,P$163,BD!$A$3:$A$5001,"&gt;="&amp;$C$7,BD!$A$3:$A$5001,"&lt;="&amp;$B164,BD!$Q$3:$Q$5001,"&lt;&gt;"))))</f>
        <v/>
      </c>
      <c r="Q164" s="54" t="str">
        <f>IF(OR($B164="",$A164&gt;$B$9,Q$163=""),"",IF(COUNTIFS(BD!$B$3:$B$5001,Q$163,BD!$A$3:$A$5001,"&gt;="&amp;$C$7,BD!$A$3:$A$5001,"&lt;="&amp;$B164,BD!$Q$3:$Q$5001,"&lt;&gt;")=0,"",SUMIFS(BD!$Q$3:$Q$5001,BD!$B$3:$B$5001,Q$163,BD!$A$3:$A$5001,_xlfn.MAXIFS(BD!$A$3:$A$5001,BD!$B$3:$B$5001,Q$163,BD!$A$3:$A$5001,"&gt;="&amp;$C$7,BD!$A$3:$A$5001,"&lt;="&amp;$B164,BD!$Q$3:$Q$5001,"&lt;&gt;"))))</f>
        <v/>
      </c>
      <c r="R164" s="54" t="str">
        <f>IF(OR($B164="",$A164&gt;$B$9,R$163=""),"",IF(COUNTIFS(BD!$B$3:$B$5001,R$163,BD!$A$3:$A$5001,"&gt;="&amp;$C$7,BD!$A$3:$A$5001,"&lt;="&amp;$B164,BD!$Q$3:$Q$5001,"&lt;&gt;")=0,"",SUMIFS(BD!$Q$3:$Q$5001,BD!$B$3:$B$5001,R$163,BD!$A$3:$A$5001,_xlfn.MAXIFS(BD!$A$3:$A$5001,BD!$B$3:$B$5001,R$163,BD!$A$3:$A$5001,"&gt;="&amp;$C$7,BD!$A$3:$A$5001,"&lt;="&amp;$B164,BD!$Q$3:$Q$5001,"&lt;&gt;"))))</f>
        <v/>
      </c>
      <c r="S164" s="54" t="str">
        <f>IF(OR($B164="",$A164&gt;$B$9,S$163=""),"",IF(COUNTIFS(BD!$B$3:$B$5001,S$163,BD!$A$3:$A$5001,"&gt;="&amp;$C$7,BD!$A$3:$A$5001,"&lt;="&amp;$B164,BD!$Q$3:$Q$5001,"&lt;&gt;")=0,"",SUMIFS(BD!$Q$3:$Q$5001,BD!$B$3:$B$5001,S$163,BD!$A$3:$A$5001,_xlfn.MAXIFS(BD!$A$3:$A$5001,BD!$B$3:$B$5001,S$163,BD!$A$3:$A$5001,"&gt;="&amp;$C$7,BD!$A$3:$A$5001,"&lt;="&amp;$B164,BD!$Q$3:$Q$5001,"&lt;&gt;"))))</f>
        <v/>
      </c>
      <c r="T164" s="54" t="str">
        <f>IF(OR($B164="",$A164&gt;$B$9,T$163=""),"",IF(COUNTIFS(BD!$B$3:$B$5001,T$163,BD!$A$3:$A$5001,"&gt;="&amp;$C$7,BD!$A$3:$A$5001,"&lt;="&amp;$B164,BD!$Q$3:$Q$5001,"&lt;&gt;")=0,"",SUMIFS(BD!$Q$3:$Q$5001,BD!$B$3:$B$5001,T$163,BD!$A$3:$A$5001,_xlfn.MAXIFS(BD!$A$3:$A$5001,BD!$B$3:$B$5001,T$163,BD!$A$3:$A$5001,"&gt;="&amp;$C$7,BD!$A$3:$A$5001,"&lt;="&amp;$B164,BD!$Q$3:$Q$5001,"&lt;&gt;"))))</f>
        <v/>
      </c>
      <c r="U164" s="54" t="str">
        <f>IF(OR($B164="",$A164&gt;$B$9,U$163=""),"",IF(COUNTIFS(BD!$B$3:$B$5001,U$163,BD!$A$3:$A$5001,"&gt;="&amp;$C$7,BD!$A$3:$A$5001,"&lt;="&amp;$B164,BD!$Q$3:$Q$5001,"&lt;&gt;")=0,"",SUMIFS(BD!$Q$3:$Q$5001,BD!$B$3:$B$5001,U$163,BD!$A$3:$A$5001,_xlfn.MAXIFS(BD!$A$3:$A$5001,BD!$B$3:$B$5001,U$163,BD!$A$3:$A$5001,"&gt;="&amp;$C$7,BD!$A$3:$A$5001,"&lt;="&amp;$B164,BD!$Q$3:$Q$5001,"&lt;&gt;"))))</f>
        <v/>
      </c>
      <c r="V164" s="54" t="str">
        <f>IF(OR($B164="",$A164&gt;$B$9,V$163=""),"",IF(COUNTIFS(BD!$B$3:$B$5001,V$163,BD!$A$3:$A$5001,"&gt;="&amp;$C$7,BD!$A$3:$A$5001,"&lt;="&amp;$B164,BD!$Q$3:$Q$5001,"&lt;&gt;")=0,"",SUMIFS(BD!$Q$3:$Q$5001,BD!$B$3:$B$5001,V$163,BD!$A$3:$A$5001,_xlfn.MAXIFS(BD!$A$3:$A$5001,BD!$B$3:$B$5001,V$163,BD!$A$3:$A$5001,"&gt;="&amp;$C$7,BD!$A$3:$A$5001,"&lt;="&amp;$B164,BD!$Q$3:$Q$5001,"&lt;&gt;"))))</f>
        <v/>
      </c>
    </row>
    <row r="165">
      <c r="A165" s="48">
        <v>2</v>
      </c>
      <c r="B165" s="53">
        <f>$B$13</f>
        <v>46297</v>
      </c>
      <c r="C165" s="54" t="str">
        <f>IF(OR($B165="",$A165&gt;$B$9,C$163=""),"",IF(COUNTIFS(BD!$B$3:$B$5001,C$163,BD!$A$3:$A$5001,"&gt;="&amp;$C$7,BD!$A$3:$A$5001,"&lt;="&amp;$B165,BD!$Q$3:$Q$5001,"&lt;&gt;")=0,"",SUMIFS(BD!$Q$3:$Q$5001,BD!$B$3:$B$5001,C$163,BD!$A$3:$A$5001,_xlfn.MAXIFS(BD!$A$3:$A$5001,BD!$B$3:$B$5001,C$163,BD!$A$3:$A$5001,"&gt;="&amp;$C$7,BD!$A$3:$A$5001,"&lt;="&amp;$B165,BD!$Q$3:$Q$5001,"&lt;&gt;"))))</f>
        <v/>
      </c>
      <c r="D165" s="54" t="str">
        <f>IF(OR($B165="",$A165&gt;$B$9,D$163=""),"",IF(COUNTIFS(BD!$B$3:$B$5001,D$163,BD!$A$3:$A$5001,"&gt;="&amp;$C$7,BD!$A$3:$A$5001,"&lt;="&amp;$B165,BD!$Q$3:$Q$5001,"&lt;&gt;")=0,"",SUMIFS(BD!$Q$3:$Q$5001,BD!$B$3:$B$5001,D$163,BD!$A$3:$A$5001,_xlfn.MAXIFS(BD!$A$3:$A$5001,BD!$B$3:$B$5001,D$163,BD!$A$3:$A$5001,"&gt;="&amp;$C$7,BD!$A$3:$A$5001,"&lt;="&amp;$B165,BD!$Q$3:$Q$5001,"&lt;&gt;"))))</f>
        <v/>
      </c>
      <c r="E165" s="54" t="str">
        <f>IF(OR($B165="",$A165&gt;$B$9,E$163=""),"",IF(COUNTIFS(BD!$B$3:$B$5001,E$163,BD!$A$3:$A$5001,"&gt;="&amp;$C$7,BD!$A$3:$A$5001,"&lt;="&amp;$B165,BD!$Q$3:$Q$5001,"&lt;&gt;")=0,"",SUMIFS(BD!$Q$3:$Q$5001,BD!$B$3:$B$5001,E$163,BD!$A$3:$A$5001,_xlfn.MAXIFS(BD!$A$3:$A$5001,BD!$B$3:$B$5001,E$163,BD!$A$3:$A$5001,"&gt;="&amp;$C$7,BD!$A$3:$A$5001,"&lt;="&amp;$B165,BD!$Q$3:$Q$5001,"&lt;&gt;"))))</f>
        <v/>
      </c>
      <c r="F165" s="54" t="str">
        <f>IF(OR($B165="",$A165&gt;$B$9,F$163=""),"",IF(COUNTIFS(BD!$B$3:$B$5001,F$163,BD!$A$3:$A$5001,"&gt;="&amp;$C$7,BD!$A$3:$A$5001,"&lt;="&amp;$B165,BD!$Q$3:$Q$5001,"&lt;&gt;")=0,"",SUMIFS(BD!$Q$3:$Q$5001,BD!$B$3:$B$5001,F$163,BD!$A$3:$A$5001,_xlfn.MAXIFS(BD!$A$3:$A$5001,BD!$B$3:$B$5001,F$163,BD!$A$3:$A$5001,"&gt;="&amp;$C$7,BD!$A$3:$A$5001,"&lt;="&amp;$B165,BD!$Q$3:$Q$5001,"&lt;&gt;"))))</f>
        <v/>
      </c>
      <c r="G165" s="54" t="str">
        <f>IF(OR($B165="",$A165&gt;$B$9,G$163=""),"",IF(COUNTIFS(BD!$B$3:$B$5001,G$163,BD!$A$3:$A$5001,"&gt;="&amp;$C$7,BD!$A$3:$A$5001,"&lt;="&amp;$B165,BD!$Q$3:$Q$5001,"&lt;&gt;")=0,"",SUMIFS(BD!$Q$3:$Q$5001,BD!$B$3:$B$5001,G$163,BD!$A$3:$A$5001,_xlfn.MAXIFS(BD!$A$3:$A$5001,BD!$B$3:$B$5001,G$163,BD!$A$3:$A$5001,"&gt;="&amp;$C$7,BD!$A$3:$A$5001,"&lt;="&amp;$B165,BD!$Q$3:$Q$5001,"&lt;&gt;"))))</f>
        <v/>
      </c>
      <c r="H165" s="54" t="str">
        <f>IF(OR($B165="",$A165&gt;$B$9,H$163=""),"",IF(COUNTIFS(BD!$B$3:$B$5001,H$163,BD!$A$3:$A$5001,"&gt;="&amp;$C$7,BD!$A$3:$A$5001,"&lt;="&amp;$B165,BD!$Q$3:$Q$5001,"&lt;&gt;")=0,"",SUMIFS(BD!$Q$3:$Q$5001,BD!$B$3:$B$5001,H$163,BD!$A$3:$A$5001,_xlfn.MAXIFS(BD!$A$3:$A$5001,BD!$B$3:$B$5001,H$163,BD!$A$3:$A$5001,"&gt;="&amp;$C$7,BD!$A$3:$A$5001,"&lt;="&amp;$B165,BD!$Q$3:$Q$5001,"&lt;&gt;"))))</f>
        <v/>
      </c>
      <c r="I165" s="54" t="str">
        <f>IF(OR($B165="",$A165&gt;$B$9,I$163=""),"",IF(COUNTIFS(BD!$B$3:$B$5001,I$163,BD!$A$3:$A$5001,"&gt;="&amp;$C$7,BD!$A$3:$A$5001,"&lt;="&amp;$B165,BD!$Q$3:$Q$5001,"&lt;&gt;")=0,"",SUMIFS(BD!$Q$3:$Q$5001,BD!$B$3:$B$5001,I$163,BD!$A$3:$A$5001,_xlfn.MAXIFS(BD!$A$3:$A$5001,BD!$B$3:$B$5001,I$163,BD!$A$3:$A$5001,"&gt;="&amp;$C$7,BD!$A$3:$A$5001,"&lt;="&amp;$B165,BD!$Q$3:$Q$5001,"&lt;&gt;"))))</f>
        <v/>
      </c>
      <c r="J165" s="54" t="str">
        <f>IF(OR($B165="",$A165&gt;$B$9,J$163=""),"",IF(COUNTIFS(BD!$B$3:$B$5001,J$163,BD!$A$3:$A$5001,"&gt;="&amp;$C$7,BD!$A$3:$A$5001,"&lt;="&amp;$B165,BD!$Q$3:$Q$5001,"&lt;&gt;")=0,"",SUMIFS(BD!$Q$3:$Q$5001,BD!$B$3:$B$5001,J$163,BD!$A$3:$A$5001,_xlfn.MAXIFS(BD!$A$3:$A$5001,BD!$B$3:$B$5001,J$163,BD!$A$3:$A$5001,"&gt;="&amp;$C$7,BD!$A$3:$A$5001,"&lt;="&amp;$B165,BD!$Q$3:$Q$5001,"&lt;&gt;"))))</f>
        <v/>
      </c>
      <c r="K165" s="54" t="str">
        <f>IF(OR($B165="",$A165&gt;$B$9,K$163=""),"",IF(COUNTIFS(BD!$B$3:$B$5001,K$163,BD!$A$3:$A$5001,"&gt;="&amp;$C$7,BD!$A$3:$A$5001,"&lt;="&amp;$B165,BD!$Q$3:$Q$5001,"&lt;&gt;")=0,"",SUMIFS(BD!$Q$3:$Q$5001,BD!$B$3:$B$5001,K$163,BD!$A$3:$A$5001,_xlfn.MAXIFS(BD!$A$3:$A$5001,BD!$B$3:$B$5001,K$163,BD!$A$3:$A$5001,"&gt;="&amp;$C$7,BD!$A$3:$A$5001,"&lt;="&amp;$B165,BD!$Q$3:$Q$5001,"&lt;&gt;"))))</f>
        <v/>
      </c>
      <c r="L165" s="54" t="str">
        <f>IF(OR($B165="",$A165&gt;$B$9,L$163=""),"",IF(COUNTIFS(BD!$B$3:$B$5001,L$163,BD!$A$3:$A$5001,"&gt;="&amp;$C$7,BD!$A$3:$A$5001,"&lt;="&amp;$B165,BD!$Q$3:$Q$5001,"&lt;&gt;")=0,"",SUMIFS(BD!$Q$3:$Q$5001,BD!$B$3:$B$5001,L$163,BD!$A$3:$A$5001,_xlfn.MAXIFS(BD!$A$3:$A$5001,BD!$B$3:$B$5001,L$163,BD!$A$3:$A$5001,"&gt;="&amp;$C$7,BD!$A$3:$A$5001,"&lt;="&amp;$B165,BD!$Q$3:$Q$5001,"&lt;&gt;"))))</f>
        <v/>
      </c>
      <c r="M165" s="54" t="str">
        <f>IF(OR($B165="",$A165&gt;$B$9,M$163=""),"",IF(COUNTIFS(BD!$B$3:$B$5001,M$163,BD!$A$3:$A$5001,"&gt;="&amp;$C$7,BD!$A$3:$A$5001,"&lt;="&amp;$B165,BD!$Q$3:$Q$5001,"&lt;&gt;")=0,"",SUMIFS(BD!$Q$3:$Q$5001,BD!$B$3:$B$5001,M$163,BD!$A$3:$A$5001,_xlfn.MAXIFS(BD!$A$3:$A$5001,BD!$B$3:$B$5001,M$163,BD!$A$3:$A$5001,"&gt;="&amp;$C$7,BD!$A$3:$A$5001,"&lt;="&amp;$B165,BD!$Q$3:$Q$5001,"&lt;&gt;"))))</f>
        <v/>
      </c>
      <c r="N165" s="54" t="str">
        <f>IF(OR($B165="",$A165&gt;$B$9,N$163=""),"",IF(COUNTIFS(BD!$B$3:$B$5001,N$163,BD!$A$3:$A$5001,"&gt;="&amp;$C$7,BD!$A$3:$A$5001,"&lt;="&amp;$B165,BD!$Q$3:$Q$5001,"&lt;&gt;")=0,"",SUMIFS(BD!$Q$3:$Q$5001,BD!$B$3:$B$5001,N$163,BD!$A$3:$A$5001,_xlfn.MAXIFS(BD!$A$3:$A$5001,BD!$B$3:$B$5001,N$163,BD!$A$3:$A$5001,"&gt;="&amp;$C$7,BD!$A$3:$A$5001,"&lt;="&amp;$B165,BD!$Q$3:$Q$5001,"&lt;&gt;"))))</f>
        <v/>
      </c>
      <c r="O165" s="54" t="str">
        <f>IF(OR($B165="",$A165&gt;$B$9,O$163=""),"",IF(COUNTIFS(BD!$B$3:$B$5001,O$163,BD!$A$3:$A$5001,"&gt;="&amp;$C$7,BD!$A$3:$A$5001,"&lt;="&amp;$B165,BD!$Q$3:$Q$5001,"&lt;&gt;")=0,"",SUMIFS(BD!$Q$3:$Q$5001,BD!$B$3:$B$5001,O$163,BD!$A$3:$A$5001,_xlfn.MAXIFS(BD!$A$3:$A$5001,BD!$B$3:$B$5001,O$163,BD!$A$3:$A$5001,"&gt;="&amp;$C$7,BD!$A$3:$A$5001,"&lt;="&amp;$B165,BD!$Q$3:$Q$5001,"&lt;&gt;"))))</f>
        <v/>
      </c>
      <c r="P165" s="54" t="str">
        <f>IF(OR($B165="",$A165&gt;$B$9,P$163=""),"",IF(COUNTIFS(BD!$B$3:$B$5001,P$163,BD!$A$3:$A$5001,"&gt;="&amp;$C$7,BD!$A$3:$A$5001,"&lt;="&amp;$B165,BD!$Q$3:$Q$5001,"&lt;&gt;")=0,"",SUMIFS(BD!$Q$3:$Q$5001,BD!$B$3:$B$5001,P$163,BD!$A$3:$A$5001,_xlfn.MAXIFS(BD!$A$3:$A$5001,BD!$B$3:$B$5001,P$163,BD!$A$3:$A$5001,"&gt;="&amp;$C$7,BD!$A$3:$A$5001,"&lt;="&amp;$B165,BD!$Q$3:$Q$5001,"&lt;&gt;"))))</f>
        <v/>
      </c>
      <c r="Q165" s="54" t="str">
        <f>IF(OR($B165="",$A165&gt;$B$9,Q$163=""),"",IF(COUNTIFS(BD!$B$3:$B$5001,Q$163,BD!$A$3:$A$5001,"&gt;="&amp;$C$7,BD!$A$3:$A$5001,"&lt;="&amp;$B165,BD!$Q$3:$Q$5001,"&lt;&gt;")=0,"",SUMIFS(BD!$Q$3:$Q$5001,BD!$B$3:$B$5001,Q$163,BD!$A$3:$A$5001,_xlfn.MAXIFS(BD!$A$3:$A$5001,BD!$B$3:$B$5001,Q$163,BD!$A$3:$A$5001,"&gt;="&amp;$C$7,BD!$A$3:$A$5001,"&lt;="&amp;$B165,BD!$Q$3:$Q$5001,"&lt;&gt;"))))</f>
        <v/>
      </c>
      <c r="R165" s="54" t="str">
        <f>IF(OR($B165="",$A165&gt;$B$9,R$163=""),"",IF(COUNTIFS(BD!$B$3:$B$5001,R$163,BD!$A$3:$A$5001,"&gt;="&amp;$C$7,BD!$A$3:$A$5001,"&lt;="&amp;$B165,BD!$Q$3:$Q$5001,"&lt;&gt;")=0,"",SUMIFS(BD!$Q$3:$Q$5001,BD!$B$3:$B$5001,R$163,BD!$A$3:$A$5001,_xlfn.MAXIFS(BD!$A$3:$A$5001,BD!$B$3:$B$5001,R$163,BD!$A$3:$A$5001,"&gt;="&amp;$C$7,BD!$A$3:$A$5001,"&lt;="&amp;$B165,BD!$Q$3:$Q$5001,"&lt;&gt;"))))</f>
        <v/>
      </c>
      <c r="S165" s="54" t="str">
        <f>IF(OR($B165="",$A165&gt;$B$9,S$163=""),"",IF(COUNTIFS(BD!$B$3:$B$5001,S$163,BD!$A$3:$A$5001,"&gt;="&amp;$C$7,BD!$A$3:$A$5001,"&lt;="&amp;$B165,BD!$Q$3:$Q$5001,"&lt;&gt;")=0,"",SUMIFS(BD!$Q$3:$Q$5001,BD!$B$3:$B$5001,S$163,BD!$A$3:$A$5001,_xlfn.MAXIFS(BD!$A$3:$A$5001,BD!$B$3:$B$5001,S$163,BD!$A$3:$A$5001,"&gt;="&amp;$C$7,BD!$A$3:$A$5001,"&lt;="&amp;$B165,BD!$Q$3:$Q$5001,"&lt;&gt;"))))</f>
        <v/>
      </c>
      <c r="T165" s="54" t="str">
        <f>IF(OR($B165="",$A165&gt;$B$9,T$163=""),"",IF(COUNTIFS(BD!$B$3:$B$5001,T$163,BD!$A$3:$A$5001,"&gt;="&amp;$C$7,BD!$A$3:$A$5001,"&lt;="&amp;$B165,BD!$Q$3:$Q$5001,"&lt;&gt;")=0,"",SUMIFS(BD!$Q$3:$Q$5001,BD!$B$3:$B$5001,T$163,BD!$A$3:$A$5001,_xlfn.MAXIFS(BD!$A$3:$A$5001,BD!$B$3:$B$5001,T$163,BD!$A$3:$A$5001,"&gt;="&amp;$C$7,BD!$A$3:$A$5001,"&lt;="&amp;$B165,BD!$Q$3:$Q$5001,"&lt;&gt;"))))</f>
        <v/>
      </c>
      <c r="U165" s="54" t="str">
        <f>IF(OR($B165="",$A165&gt;$B$9,U$163=""),"",IF(COUNTIFS(BD!$B$3:$B$5001,U$163,BD!$A$3:$A$5001,"&gt;="&amp;$C$7,BD!$A$3:$A$5001,"&lt;="&amp;$B165,BD!$Q$3:$Q$5001,"&lt;&gt;")=0,"",SUMIFS(BD!$Q$3:$Q$5001,BD!$B$3:$B$5001,U$163,BD!$A$3:$A$5001,_xlfn.MAXIFS(BD!$A$3:$A$5001,BD!$B$3:$B$5001,U$163,BD!$A$3:$A$5001,"&gt;="&amp;$C$7,BD!$A$3:$A$5001,"&lt;="&amp;$B165,BD!$Q$3:$Q$5001,"&lt;&gt;"))))</f>
        <v/>
      </c>
      <c r="V165" s="54" t="str">
        <f>IF(OR($B165="",$A165&gt;$B$9,V$163=""),"",IF(COUNTIFS(BD!$B$3:$B$5001,V$163,BD!$A$3:$A$5001,"&gt;="&amp;$C$7,BD!$A$3:$A$5001,"&lt;="&amp;$B165,BD!$Q$3:$Q$5001,"&lt;&gt;")=0,"",SUMIFS(BD!$Q$3:$Q$5001,BD!$B$3:$B$5001,V$163,BD!$A$3:$A$5001,_xlfn.MAXIFS(BD!$A$3:$A$5001,BD!$B$3:$B$5001,V$163,BD!$A$3:$A$5001,"&gt;="&amp;$C$7,BD!$A$3:$A$5001,"&lt;="&amp;$B165,BD!$Q$3:$Q$5001,"&lt;&gt;"))))</f>
        <v/>
      </c>
    </row>
    <row r="166">
      <c r="A166" s="48">
        <v>3</v>
      </c>
      <c r="B166" s="53">
        <f>$B$14</f>
        <v>46298</v>
      </c>
      <c r="C166" s="54" t="str">
        <f>IF(OR($B166="",$A166&gt;$B$9,C$163=""),"",IF(COUNTIFS(BD!$B$3:$B$5001,C$163,BD!$A$3:$A$5001,"&gt;="&amp;$C$7,BD!$A$3:$A$5001,"&lt;="&amp;$B166,BD!$Q$3:$Q$5001,"&lt;&gt;")=0,"",SUMIFS(BD!$Q$3:$Q$5001,BD!$B$3:$B$5001,C$163,BD!$A$3:$A$5001,_xlfn.MAXIFS(BD!$A$3:$A$5001,BD!$B$3:$B$5001,C$163,BD!$A$3:$A$5001,"&gt;="&amp;$C$7,BD!$A$3:$A$5001,"&lt;="&amp;$B166,BD!$Q$3:$Q$5001,"&lt;&gt;"))))</f>
        <v/>
      </c>
      <c r="D166" s="54" t="str">
        <f>IF(OR($B166="",$A166&gt;$B$9,D$163=""),"",IF(COUNTIFS(BD!$B$3:$B$5001,D$163,BD!$A$3:$A$5001,"&gt;="&amp;$C$7,BD!$A$3:$A$5001,"&lt;="&amp;$B166,BD!$Q$3:$Q$5001,"&lt;&gt;")=0,"",SUMIFS(BD!$Q$3:$Q$5001,BD!$B$3:$B$5001,D$163,BD!$A$3:$A$5001,_xlfn.MAXIFS(BD!$A$3:$A$5001,BD!$B$3:$B$5001,D$163,BD!$A$3:$A$5001,"&gt;="&amp;$C$7,BD!$A$3:$A$5001,"&lt;="&amp;$B166,BD!$Q$3:$Q$5001,"&lt;&gt;"))))</f>
        <v/>
      </c>
      <c r="E166" s="54" t="str">
        <f>IF(OR($B166="",$A166&gt;$B$9,E$163=""),"",IF(COUNTIFS(BD!$B$3:$B$5001,E$163,BD!$A$3:$A$5001,"&gt;="&amp;$C$7,BD!$A$3:$A$5001,"&lt;="&amp;$B166,BD!$Q$3:$Q$5001,"&lt;&gt;")=0,"",SUMIFS(BD!$Q$3:$Q$5001,BD!$B$3:$B$5001,E$163,BD!$A$3:$A$5001,_xlfn.MAXIFS(BD!$A$3:$A$5001,BD!$B$3:$B$5001,E$163,BD!$A$3:$A$5001,"&gt;="&amp;$C$7,BD!$A$3:$A$5001,"&lt;="&amp;$B166,BD!$Q$3:$Q$5001,"&lt;&gt;"))))</f>
        <v/>
      </c>
      <c r="F166" s="54" t="str">
        <f>IF(OR($B166="",$A166&gt;$B$9,F$163=""),"",IF(COUNTIFS(BD!$B$3:$B$5001,F$163,BD!$A$3:$A$5001,"&gt;="&amp;$C$7,BD!$A$3:$A$5001,"&lt;="&amp;$B166,BD!$Q$3:$Q$5001,"&lt;&gt;")=0,"",SUMIFS(BD!$Q$3:$Q$5001,BD!$B$3:$B$5001,F$163,BD!$A$3:$A$5001,_xlfn.MAXIFS(BD!$A$3:$A$5001,BD!$B$3:$B$5001,F$163,BD!$A$3:$A$5001,"&gt;="&amp;$C$7,BD!$A$3:$A$5001,"&lt;="&amp;$B166,BD!$Q$3:$Q$5001,"&lt;&gt;"))))</f>
        <v/>
      </c>
      <c r="G166" s="54" t="str">
        <f>IF(OR($B166="",$A166&gt;$B$9,G$163=""),"",IF(COUNTIFS(BD!$B$3:$B$5001,G$163,BD!$A$3:$A$5001,"&gt;="&amp;$C$7,BD!$A$3:$A$5001,"&lt;="&amp;$B166,BD!$Q$3:$Q$5001,"&lt;&gt;")=0,"",SUMIFS(BD!$Q$3:$Q$5001,BD!$B$3:$B$5001,G$163,BD!$A$3:$A$5001,_xlfn.MAXIFS(BD!$A$3:$A$5001,BD!$B$3:$B$5001,G$163,BD!$A$3:$A$5001,"&gt;="&amp;$C$7,BD!$A$3:$A$5001,"&lt;="&amp;$B166,BD!$Q$3:$Q$5001,"&lt;&gt;"))))</f>
        <v/>
      </c>
      <c r="H166" s="54" t="str">
        <f>IF(OR($B166="",$A166&gt;$B$9,H$163=""),"",IF(COUNTIFS(BD!$B$3:$B$5001,H$163,BD!$A$3:$A$5001,"&gt;="&amp;$C$7,BD!$A$3:$A$5001,"&lt;="&amp;$B166,BD!$Q$3:$Q$5001,"&lt;&gt;")=0,"",SUMIFS(BD!$Q$3:$Q$5001,BD!$B$3:$B$5001,H$163,BD!$A$3:$A$5001,_xlfn.MAXIFS(BD!$A$3:$A$5001,BD!$B$3:$B$5001,H$163,BD!$A$3:$A$5001,"&gt;="&amp;$C$7,BD!$A$3:$A$5001,"&lt;="&amp;$B166,BD!$Q$3:$Q$5001,"&lt;&gt;"))))</f>
        <v/>
      </c>
      <c r="I166" s="54" t="str">
        <f>IF(OR($B166="",$A166&gt;$B$9,I$163=""),"",IF(COUNTIFS(BD!$B$3:$B$5001,I$163,BD!$A$3:$A$5001,"&gt;="&amp;$C$7,BD!$A$3:$A$5001,"&lt;="&amp;$B166,BD!$Q$3:$Q$5001,"&lt;&gt;")=0,"",SUMIFS(BD!$Q$3:$Q$5001,BD!$B$3:$B$5001,I$163,BD!$A$3:$A$5001,_xlfn.MAXIFS(BD!$A$3:$A$5001,BD!$B$3:$B$5001,I$163,BD!$A$3:$A$5001,"&gt;="&amp;$C$7,BD!$A$3:$A$5001,"&lt;="&amp;$B166,BD!$Q$3:$Q$5001,"&lt;&gt;"))))</f>
        <v/>
      </c>
      <c r="J166" s="54" t="str">
        <f>IF(OR($B166="",$A166&gt;$B$9,J$163=""),"",IF(COUNTIFS(BD!$B$3:$B$5001,J$163,BD!$A$3:$A$5001,"&gt;="&amp;$C$7,BD!$A$3:$A$5001,"&lt;="&amp;$B166,BD!$Q$3:$Q$5001,"&lt;&gt;")=0,"",SUMIFS(BD!$Q$3:$Q$5001,BD!$B$3:$B$5001,J$163,BD!$A$3:$A$5001,_xlfn.MAXIFS(BD!$A$3:$A$5001,BD!$B$3:$B$5001,J$163,BD!$A$3:$A$5001,"&gt;="&amp;$C$7,BD!$A$3:$A$5001,"&lt;="&amp;$B166,BD!$Q$3:$Q$5001,"&lt;&gt;"))))</f>
        <v/>
      </c>
      <c r="K166" s="54" t="str">
        <f>IF(OR($B166="",$A166&gt;$B$9,K$163=""),"",IF(COUNTIFS(BD!$B$3:$B$5001,K$163,BD!$A$3:$A$5001,"&gt;="&amp;$C$7,BD!$A$3:$A$5001,"&lt;="&amp;$B166,BD!$Q$3:$Q$5001,"&lt;&gt;")=0,"",SUMIFS(BD!$Q$3:$Q$5001,BD!$B$3:$B$5001,K$163,BD!$A$3:$A$5001,_xlfn.MAXIFS(BD!$A$3:$A$5001,BD!$B$3:$B$5001,K$163,BD!$A$3:$A$5001,"&gt;="&amp;$C$7,BD!$A$3:$A$5001,"&lt;="&amp;$B166,BD!$Q$3:$Q$5001,"&lt;&gt;"))))</f>
        <v/>
      </c>
      <c r="L166" s="54" t="str">
        <f>IF(OR($B166="",$A166&gt;$B$9,L$163=""),"",IF(COUNTIFS(BD!$B$3:$B$5001,L$163,BD!$A$3:$A$5001,"&gt;="&amp;$C$7,BD!$A$3:$A$5001,"&lt;="&amp;$B166,BD!$Q$3:$Q$5001,"&lt;&gt;")=0,"",SUMIFS(BD!$Q$3:$Q$5001,BD!$B$3:$B$5001,L$163,BD!$A$3:$A$5001,_xlfn.MAXIFS(BD!$A$3:$A$5001,BD!$B$3:$B$5001,L$163,BD!$A$3:$A$5001,"&gt;="&amp;$C$7,BD!$A$3:$A$5001,"&lt;="&amp;$B166,BD!$Q$3:$Q$5001,"&lt;&gt;"))))</f>
        <v/>
      </c>
      <c r="M166" s="54" t="str">
        <f>IF(OR($B166="",$A166&gt;$B$9,M$163=""),"",IF(COUNTIFS(BD!$B$3:$B$5001,M$163,BD!$A$3:$A$5001,"&gt;="&amp;$C$7,BD!$A$3:$A$5001,"&lt;="&amp;$B166,BD!$Q$3:$Q$5001,"&lt;&gt;")=0,"",SUMIFS(BD!$Q$3:$Q$5001,BD!$B$3:$B$5001,M$163,BD!$A$3:$A$5001,_xlfn.MAXIFS(BD!$A$3:$A$5001,BD!$B$3:$B$5001,M$163,BD!$A$3:$A$5001,"&gt;="&amp;$C$7,BD!$A$3:$A$5001,"&lt;="&amp;$B166,BD!$Q$3:$Q$5001,"&lt;&gt;"))))</f>
        <v/>
      </c>
      <c r="N166" s="54" t="str">
        <f>IF(OR($B166="",$A166&gt;$B$9,N$163=""),"",IF(COUNTIFS(BD!$B$3:$B$5001,N$163,BD!$A$3:$A$5001,"&gt;="&amp;$C$7,BD!$A$3:$A$5001,"&lt;="&amp;$B166,BD!$Q$3:$Q$5001,"&lt;&gt;")=0,"",SUMIFS(BD!$Q$3:$Q$5001,BD!$B$3:$B$5001,N$163,BD!$A$3:$A$5001,_xlfn.MAXIFS(BD!$A$3:$A$5001,BD!$B$3:$B$5001,N$163,BD!$A$3:$A$5001,"&gt;="&amp;$C$7,BD!$A$3:$A$5001,"&lt;="&amp;$B166,BD!$Q$3:$Q$5001,"&lt;&gt;"))))</f>
        <v/>
      </c>
      <c r="O166" s="54" t="str">
        <f>IF(OR($B166="",$A166&gt;$B$9,O$163=""),"",IF(COUNTIFS(BD!$B$3:$B$5001,O$163,BD!$A$3:$A$5001,"&gt;="&amp;$C$7,BD!$A$3:$A$5001,"&lt;="&amp;$B166,BD!$Q$3:$Q$5001,"&lt;&gt;")=0,"",SUMIFS(BD!$Q$3:$Q$5001,BD!$B$3:$B$5001,O$163,BD!$A$3:$A$5001,_xlfn.MAXIFS(BD!$A$3:$A$5001,BD!$B$3:$B$5001,O$163,BD!$A$3:$A$5001,"&gt;="&amp;$C$7,BD!$A$3:$A$5001,"&lt;="&amp;$B166,BD!$Q$3:$Q$5001,"&lt;&gt;"))))</f>
        <v/>
      </c>
      <c r="P166" s="54" t="str">
        <f>IF(OR($B166="",$A166&gt;$B$9,P$163=""),"",IF(COUNTIFS(BD!$B$3:$B$5001,P$163,BD!$A$3:$A$5001,"&gt;="&amp;$C$7,BD!$A$3:$A$5001,"&lt;="&amp;$B166,BD!$Q$3:$Q$5001,"&lt;&gt;")=0,"",SUMIFS(BD!$Q$3:$Q$5001,BD!$B$3:$B$5001,P$163,BD!$A$3:$A$5001,_xlfn.MAXIFS(BD!$A$3:$A$5001,BD!$B$3:$B$5001,P$163,BD!$A$3:$A$5001,"&gt;="&amp;$C$7,BD!$A$3:$A$5001,"&lt;="&amp;$B166,BD!$Q$3:$Q$5001,"&lt;&gt;"))))</f>
        <v/>
      </c>
      <c r="Q166" s="54" t="str">
        <f>IF(OR($B166="",$A166&gt;$B$9,Q$163=""),"",IF(COUNTIFS(BD!$B$3:$B$5001,Q$163,BD!$A$3:$A$5001,"&gt;="&amp;$C$7,BD!$A$3:$A$5001,"&lt;="&amp;$B166,BD!$Q$3:$Q$5001,"&lt;&gt;")=0,"",SUMIFS(BD!$Q$3:$Q$5001,BD!$B$3:$B$5001,Q$163,BD!$A$3:$A$5001,_xlfn.MAXIFS(BD!$A$3:$A$5001,BD!$B$3:$B$5001,Q$163,BD!$A$3:$A$5001,"&gt;="&amp;$C$7,BD!$A$3:$A$5001,"&lt;="&amp;$B166,BD!$Q$3:$Q$5001,"&lt;&gt;"))))</f>
        <v/>
      </c>
      <c r="R166" s="54" t="str">
        <f>IF(OR($B166="",$A166&gt;$B$9,R$163=""),"",IF(COUNTIFS(BD!$B$3:$B$5001,R$163,BD!$A$3:$A$5001,"&gt;="&amp;$C$7,BD!$A$3:$A$5001,"&lt;="&amp;$B166,BD!$Q$3:$Q$5001,"&lt;&gt;")=0,"",SUMIFS(BD!$Q$3:$Q$5001,BD!$B$3:$B$5001,R$163,BD!$A$3:$A$5001,_xlfn.MAXIFS(BD!$A$3:$A$5001,BD!$B$3:$B$5001,R$163,BD!$A$3:$A$5001,"&gt;="&amp;$C$7,BD!$A$3:$A$5001,"&lt;="&amp;$B166,BD!$Q$3:$Q$5001,"&lt;&gt;"))))</f>
        <v/>
      </c>
      <c r="S166" s="54" t="str">
        <f>IF(OR($B166="",$A166&gt;$B$9,S$163=""),"",IF(COUNTIFS(BD!$B$3:$B$5001,S$163,BD!$A$3:$A$5001,"&gt;="&amp;$C$7,BD!$A$3:$A$5001,"&lt;="&amp;$B166,BD!$Q$3:$Q$5001,"&lt;&gt;")=0,"",SUMIFS(BD!$Q$3:$Q$5001,BD!$B$3:$B$5001,S$163,BD!$A$3:$A$5001,_xlfn.MAXIFS(BD!$A$3:$A$5001,BD!$B$3:$B$5001,S$163,BD!$A$3:$A$5001,"&gt;="&amp;$C$7,BD!$A$3:$A$5001,"&lt;="&amp;$B166,BD!$Q$3:$Q$5001,"&lt;&gt;"))))</f>
        <v/>
      </c>
      <c r="T166" s="54" t="str">
        <f>IF(OR($B166="",$A166&gt;$B$9,T$163=""),"",IF(COUNTIFS(BD!$B$3:$B$5001,T$163,BD!$A$3:$A$5001,"&gt;="&amp;$C$7,BD!$A$3:$A$5001,"&lt;="&amp;$B166,BD!$Q$3:$Q$5001,"&lt;&gt;")=0,"",SUMIFS(BD!$Q$3:$Q$5001,BD!$B$3:$B$5001,T$163,BD!$A$3:$A$5001,_xlfn.MAXIFS(BD!$A$3:$A$5001,BD!$B$3:$B$5001,T$163,BD!$A$3:$A$5001,"&gt;="&amp;$C$7,BD!$A$3:$A$5001,"&lt;="&amp;$B166,BD!$Q$3:$Q$5001,"&lt;&gt;"))))</f>
        <v/>
      </c>
      <c r="U166" s="54" t="str">
        <f>IF(OR($B166="",$A166&gt;$B$9,U$163=""),"",IF(COUNTIFS(BD!$B$3:$B$5001,U$163,BD!$A$3:$A$5001,"&gt;="&amp;$C$7,BD!$A$3:$A$5001,"&lt;="&amp;$B166,BD!$Q$3:$Q$5001,"&lt;&gt;")=0,"",SUMIFS(BD!$Q$3:$Q$5001,BD!$B$3:$B$5001,U$163,BD!$A$3:$A$5001,_xlfn.MAXIFS(BD!$A$3:$A$5001,BD!$B$3:$B$5001,U$163,BD!$A$3:$A$5001,"&gt;="&amp;$C$7,BD!$A$3:$A$5001,"&lt;="&amp;$B166,BD!$Q$3:$Q$5001,"&lt;&gt;"))))</f>
        <v/>
      </c>
      <c r="V166" s="54" t="str">
        <f>IF(OR($B166="",$A166&gt;$B$9,V$163=""),"",IF(COUNTIFS(BD!$B$3:$B$5001,V$163,BD!$A$3:$A$5001,"&gt;="&amp;$C$7,BD!$A$3:$A$5001,"&lt;="&amp;$B166,BD!$Q$3:$Q$5001,"&lt;&gt;")=0,"",SUMIFS(BD!$Q$3:$Q$5001,BD!$B$3:$B$5001,V$163,BD!$A$3:$A$5001,_xlfn.MAXIFS(BD!$A$3:$A$5001,BD!$B$3:$B$5001,V$163,BD!$A$3:$A$5001,"&gt;="&amp;$C$7,BD!$A$3:$A$5001,"&lt;="&amp;$B166,BD!$Q$3:$Q$5001,"&lt;&gt;"))))</f>
        <v/>
      </c>
    </row>
    <row r="167">
      <c r="A167" s="48">
        <v>4</v>
      </c>
      <c r="B167" s="53">
        <f>$B$15</f>
        <v>46299</v>
      </c>
      <c r="C167" s="54" t="str">
        <f>IF(OR($B167="",$A167&gt;$B$9,C$163=""),"",IF(COUNTIFS(BD!$B$3:$B$5001,C$163,BD!$A$3:$A$5001,"&gt;="&amp;$C$7,BD!$A$3:$A$5001,"&lt;="&amp;$B167,BD!$Q$3:$Q$5001,"&lt;&gt;")=0,"",SUMIFS(BD!$Q$3:$Q$5001,BD!$B$3:$B$5001,C$163,BD!$A$3:$A$5001,_xlfn.MAXIFS(BD!$A$3:$A$5001,BD!$B$3:$B$5001,C$163,BD!$A$3:$A$5001,"&gt;="&amp;$C$7,BD!$A$3:$A$5001,"&lt;="&amp;$B167,BD!$Q$3:$Q$5001,"&lt;&gt;"))))</f>
        <v/>
      </c>
      <c r="D167" s="54" t="str">
        <f>IF(OR($B167="",$A167&gt;$B$9,D$163=""),"",IF(COUNTIFS(BD!$B$3:$B$5001,D$163,BD!$A$3:$A$5001,"&gt;="&amp;$C$7,BD!$A$3:$A$5001,"&lt;="&amp;$B167,BD!$Q$3:$Q$5001,"&lt;&gt;")=0,"",SUMIFS(BD!$Q$3:$Q$5001,BD!$B$3:$B$5001,D$163,BD!$A$3:$A$5001,_xlfn.MAXIFS(BD!$A$3:$A$5001,BD!$B$3:$B$5001,D$163,BD!$A$3:$A$5001,"&gt;="&amp;$C$7,BD!$A$3:$A$5001,"&lt;="&amp;$B167,BD!$Q$3:$Q$5001,"&lt;&gt;"))))</f>
        <v/>
      </c>
      <c r="E167" s="54" t="str">
        <f>IF(OR($B167="",$A167&gt;$B$9,E$163=""),"",IF(COUNTIFS(BD!$B$3:$B$5001,E$163,BD!$A$3:$A$5001,"&gt;="&amp;$C$7,BD!$A$3:$A$5001,"&lt;="&amp;$B167,BD!$Q$3:$Q$5001,"&lt;&gt;")=0,"",SUMIFS(BD!$Q$3:$Q$5001,BD!$B$3:$B$5001,E$163,BD!$A$3:$A$5001,_xlfn.MAXIFS(BD!$A$3:$A$5001,BD!$B$3:$B$5001,E$163,BD!$A$3:$A$5001,"&gt;="&amp;$C$7,BD!$A$3:$A$5001,"&lt;="&amp;$B167,BD!$Q$3:$Q$5001,"&lt;&gt;"))))</f>
        <v/>
      </c>
      <c r="F167" s="54" t="str">
        <f>IF(OR($B167="",$A167&gt;$B$9,F$163=""),"",IF(COUNTIFS(BD!$B$3:$B$5001,F$163,BD!$A$3:$A$5001,"&gt;="&amp;$C$7,BD!$A$3:$A$5001,"&lt;="&amp;$B167,BD!$Q$3:$Q$5001,"&lt;&gt;")=0,"",SUMIFS(BD!$Q$3:$Q$5001,BD!$B$3:$B$5001,F$163,BD!$A$3:$A$5001,_xlfn.MAXIFS(BD!$A$3:$A$5001,BD!$B$3:$B$5001,F$163,BD!$A$3:$A$5001,"&gt;="&amp;$C$7,BD!$A$3:$A$5001,"&lt;="&amp;$B167,BD!$Q$3:$Q$5001,"&lt;&gt;"))))</f>
        <v/>
      </c>
      <c r="G167" s="54" t="str">
        <f>IF(OR($B167="",$A167&gt;$B$9,G$163=""),"",IF(COUNTIFS(BD!$B$3:$B$5001,G$163,BD!$A$3:$A$5001,"&gt;="&amp;$C$7,BD!$A$3:$A$5001,"&lt;="&amp;$B167,BD!$Q$3:$Q$5001,"&lt;&gt;")=0,"",SUMIFS(BD!$Q$3:$Q$5001,BD!$B$3:$B$5001,G$163,BD!$A$3:$A$5001,_xlfn.MAXIFS(BD!$A$3:$A$5001,BD!$B$3:$B$5001,G$163,BD!$A$3:$A$5001,"&gt;="&amp;$C$7,BD!$A$3:$A$5001,"&lt;="&amp;$B167,BD!$Q$3:$Q$5001,"&lt;&gt;"))))</f>
        <v/>
      </c>
      <c r="H167" s="54" t="str">
        <f>IF(OR($B167="",$A167&gt;$B$9,H$163=""),"",IF(COUNTIFS(BD!$B$3:$B$5001,H$163,BD!$A$3:$A$5001,"&gt;="&amp;$C$7,BD!$A$3:$A$5001,"&lt;="&amp;$B167,BD!$Q$3:$Q$5001,"&lt;&gt;")=0,"",SUMIFS(BD!$Q$3:$Q$5001,BD!$B$3:$B$5001,H$163,BD!$A$3:$A$5001,_xlfn.MAXIFS(BD!$A$3:$A$5001,BD!$B$3:$B$5001,H$163,BD!$A$3:$A$5001,"&gt;="&amp;$C$7,BD!$A$3:$A$5001,"&lt;="&amp;$B167,BD!$Q$3:$Q$5001,"&lt;&gt;"))))</f>
        <v/>
      </c>
      <c r="I167" s="54" t="str">
        <f>IF(OR($B167="",$A167&gt;$B$9,I$163=""),"",IF(COUNTIFS(BD!$B$3:$B$5001,I$163,BD!$A$3:$A$5001,"&gt;="&amp;$C$7,BD!$A$3:$A$5001,"&lt;="&amp;$B167,BD!$Q$3:$Q$5001,"&lt;&gt;")=0,"",SUMIFS(BD!$Q$3:$Q$5001,BD!$B$3:$B$5001,I$163,BD!$A$3:$A$5001,_xlfn.MAXIFS(BD!$A$3:$A$5001,BD!$B$3:$B$5001,I$163,BD!$A$3:$A$5001,"&gt;="&amp;$C$7,BD!$A$3:$A$5001,"&lt;="&amp;$B167,BD!$Q$3:$Q$5001,"&lt;&gt;"))))</f>
        <v/>
      </c>
      <c r="J167" s="54" t="str">
        <f>IF(OR($B167="",$A167&gt;$B$9,J$163=""),"",IF(COUNTIFS(BD!$B$3:$B$5001,J$163,BD!$A$3:$A$5001,"&gt;="&amp;$C$7,BD!$A$3:$A$5001,"&lt;="&amp;$B167,BD!$Q$3:$Q$5001,"&lt;&gt;")=0,"",SUMIFS(BD!$Q$3:$Q$5001,BD!$B$3:$B$5001,J$163,BD!$A$3:$A$5001,_xlfn.MAXIFS(BD!$A$3:$A$5001,BD!$B$3:$B$5001,J$163,BD!$A$3:$A$5001,"&gt;="&amp;$C$7,BD!$A$3:$A$5001,"&lt;="&amp;$B167,BD!$Q$3:$Q$5001,"&lt;&gt;"))))</f>
        <v/>
      </c>
      <c r="K167" s="54" t="str">
        <f>IF(OR($B167="",$A167&gt;$B$9,K$163=""),"",IF(COUNTIFS(BD!$B$3:$B$5001,K$163,BD!$A$3:$A$5001,"&gt;="&amp;$C$7,BD!$A$3:$A$5001,"&lt;="&amp;$B167,BD!$Q$3:$Q$5001,"&lt;&gt;")=0,"",SUMIFS(BD!$Q$3:$Q$5001,BD!$B$3:$B$5001,K$163,BD!$A$3:$A$5001,_xlfn.MAXIFS(BD!$A$3:$A$5001,BD!$B$3:$B$5001,K$163,BD!$A$3:$A$5001,"&gt;="&amp;$C$7,BD!$A$3:$A$5001,"&lt;="&amp;$B167,BD!$Q$3:$Q$5001,"&lt;&gt;"))))</f>
        <v/>
      </c>
      <c r="L167" s="54" t="str">
        <f>IF(OR($B167="",$A167&gt;$B$9,L$163=""),"",IF(COUNTIFS(BD!$B$3:$B$5001,L$163,BD!$A$3:$A$5001,"&gt;="&amp;$C$7,BD!$A$3:$A$5001,"&lt;="&amp;$B167,BD!$Q$3:$Q$5001,"&lt;&gt;")=0,"",SUMIFS(BD!$Q$3:$Q$5001,BD!$B$3:$B$5001,L$163,BD!$A$3:$A$5001,_xlfn.MAXIFS(BD!$A$3:$A$5001,BD!$B$3:$B$5001,L$163,BD!$A$3:$A$5001,"&gt;="&amp;$C$7,BD!$A$3:$A$5001,"&lt;="&amp;$B167,BD!$Q$3:$Q$5001,"&lt;&gt;"))))</f>
        <v/>
      </c>
      <c r="M167" s="54" t="str">
        <f>IF(OR($B167="",$A167&gt;$B$9,M$163=""),"",IF(COUNTIFS(BD!$B$3:$B$5001,M$163,BD!$A$3:$A$5001,"&gt;="&amp;$C$7,BD!$A$3:$A$5001,"&lt;="&amp;$B167,BD!$Q$3:$Q$5001,"&lt;&gt;")=0,"",SUMIFS(BD!$Q$3:$Q$5001,BD!$B$3:$B$5001,M$163,BD!$A$3:$A$5001,_xlfn.MAXIFS(BD!$A$3:$A$5001,BD!$B$3:$B$5001,M$163,BD!$A$3:$A$5001,"&gt;="&amp;$C$7,BD!$A$3:$A$5001,"&lt;="&amp;$B167,BD!$Q$3:$Q$5001,"&lt;&gt;"))))</f>
        <v/>
      </c>
      <c r="N167" s="54" t="str">
        <f>IF(OR($B167="",$A167&gt;$B$9,N$163=""),"",IF(COUNTIFS(BD!$B$3:$B$5001,N$163,BD!$A$3:$A$5001,"&gt;="&amp;$C$7,BD!$A$3:$A$5001,"&lt;="&amp;$B167,BD!$Q$3:$Q$5001,"&lt;&gt;")=0,"",SUMIFS(BD!$Q$3:$Q$5001,BD!$B$3:$B$5001,N$163,BD!$A$3:$A$5001,_xlfn.MAXIFS(BD!$A$3:$A$5001,BD!$B$3:$B$5001,N$163,BD!$A$3:$A$5001,"&gt;="&amp;$C$7,BD!$A$3:$A$5001,"&lt;="&amp;$B167,BD!$Q$3:$Q$5001,"&lt;&gt;"))))</f>
        <v/>
      </c>
      <c r="O167" s="54" t="str">
        <f>IF(OR($B167="",$A167&gt;$B$9,O$163=""),"",IF(COUNTIFS(BD!$B$3:$B$5001,O$163,BD!$A$3:$A$5001,"&gt;="&amp;$C$7,BD!$A$3:$A$5001,"&lt;="&amp;$B167,BD!$Q$3:$Q$5001,"&lt;&gt;")=0,"",SUMIFS(BD!$Q$3:$Q$5001,BD!$B$3:$B$5001,O$163,BD!$A$3:$A$5001,_xlfn.MAXIFS(BD!$A$3:$A$5001,BD!$B$3:$B$5001,O$163,BD!$A$3:$A$5001,"&gt;="&amp;$C$7,BD!$A$3:$A$5001,"&lt;="&amp;$B167,BD!$Q$3:$Q$5001,"&lt;&gt;"))))</f>
        <v/>
      </c>
      <c r="P167" s="54" t="str">
        <f>IF(OR($B167="",$A167&gt;$B$9,P$163=""),"",IF(COUNTIFS(BD!$B$3:$B$5001,P$163,BD!$A$3:$A$5001,"&gt;="&amp;$C$7,BD!$A$3:$A$5001,"&lt;="&amp;$B167,BD!$Q$3:$Q$5001,"&lt;&gt;")=0,"",SUMIFS(BD!$Q$3:$Q$5001,BD!$B$3:$B$5001,P$163,BD!$A$3:$A$5001,_xlfn.MAXIFS(BD!$A$3:$A$5001,BD!$B$3:$B$5001,P$163,BD!$A$3:$A$5001,"&gt;="&amp;$C$7,BD!$A$3:$A$5001,"&lt;="&amp;$B167,BD!$Q$3:$Q$5001,"&lt;&gt;"))))</f>
        <v/>
      </c>
      <c r="Q167" s="54" t="str">
        <f>IF(OR($B167="",$A167&gt;$B$9,Q$163=""),"",IF(COUNTIFS(BD!$B$3:$B$5001,Q$163,BD!$A$3:$A$5001,"&gt;="&amp;$C$7,BD!$A$3:$A$5001,"&lt;="&amp;$B167,BD!$Q$3:$Q$5001,"&lt;&gt;")=0,"",SUMIFS(BD!$Q$3:$Q$5001,BD!$B$3:$B$5001,Q$163,BD!$A$3:$A$5001,_xlfn.MAXIFS(BD!$A$3:$A$5001,BD!$B$3:$B$5001,Q$163,BD!$A$3:$A$5001,"&gt;="&amp;$C$7,BD!$A$3:$A$5001,"&lt;="&amp;$B167,BD!$Q$3:$Q$5001,"&lt;&gt;"))))</f>
        <v/>
      </c>
      <c r="R167" s="54" t="str">
        <f>IF(OR($B167="",$A167&gt;$B$9,R$163=""),"",IF(COUNTIFS(BD!$B$3:$B$5001,R$163,BD!$A$3:$A$5001,"&gt;="&amp;$C$7,BD!$A$3:$A$5001,"&lt;="&amp;$B167,BD!$Q$3:$Q$5001,"&lt;&gt;")=0,"",SUMIFS(BD!$Q$3:$Q$5001,BD!$B$3:$B$5001,R$163,BD!$A$3:$A$5001,_xlfn.MAXIFS(BD!$A$3:$A$5001,BD!$B$3:$B$5001,R$163,BD!$A$3:$A$5001,"&gt;="&amp;$C$7,BD!$A$3:$A$5001,"&lt;="&amp;$B167,BD!$Q$3:$Q$5001,"&lt;&gt;"))))</f>
        <v/>
      </c>
      <c r="S167" s="54" t="str">
        <f>IF(OR($B167="",$A167&gt;$B$9,S$163=""),"",IF(COUNTIFS(BD!$B$3:$B$5001,S$163,BD!$A$3:$A$5001,"&gt;="&amp;$C$7,BD!$A$3:$A$5001,"&lt;="&amp;$B167,BD!$Q$3:$Q$5001,"&lt;&gt;")=0,"",SUMIFS(BD!$Q$3:$Q$5001,BD!$B$3:$B$5001,S$163,BD!$A$3:$A$5001,_xlfn.MAXIFS(BD!$A$3:$A$5001,BD!$B$3:$B$5001,S$163,BD!$A$3:$A$5001,"&gt;="&amp;$C$7,BD!$A$3:$A$5001,"&lt;="&amp;$B167,BD!$Q$3:$Q$5001,"&lt;&gt;"))))</f>
        <v/>
      </c>
      <c r="T167" s="54" t="str">
        <f>IF(OR($B167="",$A167&gt;$B$9,T$163=""),"",IF(COUNTIFS(BD!$B$3:$B$5001,T$163,BD!$A$3:$A$5001,"&gt;="&amp;$C$7,BD!$A$3:$A$5001,"&lt;="&amp;$B167,BD!$Q$3:$Q$5001,"&lt;&gt;")=0,"",SUMIFS(BD!$Q$3:$Q$5001,BD!$B$3:$B$5001,T$163,BD!$A$3:$A$5001,_xlfn.MAXIFS(BD!$A$3:$A$5001,BD!$B$3:$B$5001,T$163,BD!$A$3:$A$5001,"&gt;="&amp;$C$7,BD!$A$3:$A$5001,"&lt;="&amp;$B167,BD!$Q$3:$Q$5001,"&lt;&gt;"))))</f>
        <v/>
      </c>
      <c r="U167" s="54" t="str">
        <f>IF(OR($B167="",$A167&gt;$B$9,U$163=""),"",IF(COUNTIFS(BD!$B$3:$B$5001,U$163,BD!$A$3:$A$5001,"&gt;="&amp;$C$7,BD!$A$3:$A$5001,"&lt;="&amp;$B167,BD!$Q$3:$Q$5001,"&lt;&gt;")=0,"",SUMIFS(BD!$Q$3:$Q$5001,BD!$B$3:$B$5001,U$163,BD!$A$3:$A$5001,_xlfn.MAXIFS(BD!$A$3:$A$5001,BD!$B$3:$B$5001,U$163,BD!$A$3:$A$5001,"&gt;="&amp;$C$7,BD!$A$3:$A$5001,"&lt;="&amp;$B167,BD!$Q$3:$Q$5001,"&lt;&gt;"))))</f>
        <v/>
      </c>
      <c r="V167" s="54" t="str">
        <f>IF(OR($B167="",$A167&gt;$B$9,V$163=""),"",IF(COUNTIFS(BD!$B$3:$B$5001,V$163,BD!$A$3:$A$5001,"&gt;="&amp;$C$7,BD!$A$3:$A$5001,"&lt;="&amp;$B167,BD!$Q$3:$Q$5001,"&lt;&gt;")=0,"",SUMIFS(BD!$Q$3:$Q$5001,BD!$B$3:$B$5001,V$163,BD!$A$3:$A$5001,_xlfn.MAXIFS(BD!$A$3:$A$5001,BD!$B$3:$B$5001,V$163,BD!$A$3:$A$5001,"&gt;="&amp;$C$7,BD!$A$3:$A$5001,"&lt;="&amp;$B167,BD!$Q$3:$Q$5001,"&lt;&gt;"))))</f>
        <v/>
      </c>
    </row>
    <row r="168">
      <c r="A168" s="48">
        <v>5</v>
      </c>
      <c r="B168" s="53">
        <f>$B$16</f>
        <v>46300</v>
      </c>
      <c r="C168" s="54" t="str">
        <f>IF(OR($B168="",$A168&gt;$B$9,C$163=""),"",IF(COUNTIFS(BD!$B$3:$B$5001,C$163,BD!$A$3:$A$5001,"&gt;="&amp;$C$7,BD!$A$3:$A$5001,"&lt;="&amp;$B168,BD!$Q$3:$Q$5001,"&lt;&gt;")=0,"",SUMIFS(BD!$Q$3:$Q$5001,BD!$B$3:$B$5001,C$163,BD!$A$3:$A$5001,_xlfn.MAXIFS(BD!$A$3:$A$5001,BD!$B$3:$B$5001,C$163,BD!$A$3:$A$5001,"&gt;="&amp;$C$7,BD!$A$3:$A$5001,"&lt;="&amp;$B168,BD!$Q$3:$Q$5001,"&lt;&gt;"))))</f>
        <v/>
      </c>
      <c r="D168" s="54" t="str">
        <f>IF(OR($B168="",$A168&gt;$B$9,D$163=""),"",IF(COUNTIFS(BD!$B$3:$B$5001,D$163,BD!$A$3:$A$5001,"&gt;="&amp;$C$7,BD!$A$3:$A$5001,"&lt;="&amp;$B168,BD!$Q$3:$Q$5001,"&lt;&gt;")=0,"",SUMIFS(BD!$Q$3:$Q$5001,BD!$B$3:$B$5001,D$163,BD!$A$3:$A$5001,_xlfn.MAXIFS(BD!$A$3:$A$5001,BD!$B$3:$B$5001,D$163,BD!$A$3:$A$5001,"&gt;="&amp;$C$7,BD!$A$3:$A$5001,"&lt;="&amp;$B168,BD!$Q$3:$Q$5001,"&lt;&gt;"))))</f>
        <v/>
      </c>
      <c r="E168" s="54" t="str">
        <f>IF(OR($B168="",$A168&gt;$B$9,E$163=""),"",IF(COUNTIFS(BD!$B$3:$B$5001,E$163,BD!$A$3:$A$5001,"&gt;="&amp;$C$7,BD!$A$3:$A$5001,"&lt;="&amp;$B168,BD!$Q$3:$Q$5001,"&lt;&gt;")=0,"",SUMIFS(BD!$Q$3:$Q$5001,BD!$B$3:$B$5001,E$163,BD!$A$3:$A$5001,_xlfn.MAXIFS(BD!$A$3:$A$5001,BD!$B$3:$B$5001,E$163,BD!$A$3:$A$5001,"&gt;="&amp;$C$7,BD!$A$3:$A$5001,"&lt;="&amp;$B168,BD!$Q$3:$Q$5001,"&lt;&gt;"))))</f>
        <v/>
      </c>
      <c r="F168" s="54" t="str">
        <f>IF(OR($B168="",$A168&gt;$B$9,F$163=""),"",IF(COUNTIFS(BD!$B$3:$B$5001,F$163,BD!$A$3:$A$5001,"&gt;="&amp;$C$7,BD!$A$3:$A$5001,"&lt;="&amp;$B168,BD!$Q$3:$Q$5001,"&lt;&gt;")=0,"",SUMIFS(BD!$Q$3:$Q$5001,BD!$B$3:$B$5001,F$163,BD!$A$3:$A$5001,_xlfn.MAXIFS(BD!$A$3:$A$5001,BD!$B$3:$B$5001,F$163,BD!$A$3:$A$5001,"&gt;="&amp;$C$7,BD!$A$3:$A$5001,"&lt;="&amp;$B168,BD!$Q$3:$Q$5001,"&lt;&gt;"))))</f>
        <v/>
      </c>
      <c r="G168" s="54" t="str">
        <f>IF(OR($B168="",$A168&gt;$B$9,G$163=""),"",IF(COUNTIFS(BD!$B$3:$B$5001,G$163,BD!$A$3:$A$5001,"&gt;="&amp;$C$7,BD!$A$3:$A$5001,"&lt;="&amp;$B168,BD!$Q$3:$Q$5001,"&lt;&gt;")=0,"",SUMIFS(BD!$Q$3:$Q$5001,BD!$B$3:$B$5001,G$163,BD!$A$3:$A$5001,_xlfn.MAXIFS(BD!$A$3:$A$5001,BD!$B$3:$B$5001,G$163,BD!$A$3:$A$5001,"&gt;="&amp;$C$7,BD!$A$3:$A$5001,"&lt;="&amp;$B168,BD!$Q$3:$Q$5001,"&lt;&gt;"))))</f>
        <v/>
      </c>
      <c r="H168" s="54" t="str">
        <f>IF(OR($B168="",$A168&gt;$B$9,H$163=""),"",IF(COUNTIFS(BD!$B$3:$B$5001,H$163,BD!$A$3:$A$5001,"&gt;="&amp;$C$7,BD!$A$3:$A$5001,"&lt;="&amp;$B168,BD!$Q$3:$Q$5001,"&lt;&gt;")=0,"",SUMIFS(BD!$Q$3:$Q$5001,BD!$B$3:$B$5001,H$163,BD!$A$3:$A$5001,_xlfn.MAXIFS(BD!$A$3:$A$5001,BD!$B$3:$B$5001,H$163,BD!$A$3:$A$5001,"&gt;="&amp;$C$7,BD!$A$3:$A$5001,"&lt;="&amp;$B168,BD!$Q$3:$Q$5001,"&lt;&gt;"))))</f>
        <v/>
      </c>
      <c r="I168" s="54" t="str">
        <f>IF(OR($B168="",$A168&gt;$B$9,I$163=""),"",IF(COUNTIFS(BD!$B$3:$B$5001,I$163,BD!$A$3:$A$5001,"&gt;="&amp;$C$7,BD!$A$3:$A$5001,"&lt;="&amp;$B168,BD!$Q$3:$Q$5001,"&lt;&gt;")=0,"",SUMIFS(BD!$Q$3:$Q$5001,BD!$B$3:$B$5001,I$163,BD!$A$3:$A$5001,_xlfn.MAXIFS(BD!$A$3:$A$5001,BD!$B$3:$B$5001,I$163,BD!$A$3:$A$5001,"&gt;="&amp;$C$7,BD!$A$3:$A$5001,"&lt;="&amp;$B168,BD!$Q$3:$Q$5001,"&lt;&gt;"))))</f>
        <v/>
      </c>
      <c r="J168" s="54" t="str">
        <f>IF(OR($B168="",$A168&gt;$B$9,J$163=""),"",IF(COUNTIFS(BD!$B$3:$B$5001,J$163,BD!$A$3:$A$5001,"&gt;="&amp;$C$7,BD!$A$3:$A$5001,"&lt;="&amp;$B168,BD!$Q$3:$Q$5001,"&lt;&gt;")=0,"",SUMIFS(BD!$Q$3:$Q$5001,BD!$B$3:$B$5001,J$163,BD!$A$3:$A$5001,_xlfn.MAXIFS(BD!$A$3:$A$5001,BD!$B$3:$B$5001,J$163,BD!$A$3:$A$5001,"&gt;="&amp;$C$7,BD!$A$3:$A$5001,"&lt;="&amp;$B168,BD!$Q$3:$Q$5001,"&lt;&gt;"))))</f>
        <v/>
      </c>
      <c r="K168" s="54" t="str">
        <f>IF(OR($B168="",$A168&gt;$B$9,K$163=""),"",IF(COUNTIFS(BD!$B$3:$B$5001,K$163,BD!$A$3:$A$5001,"&gt;="&amp;$C$7,BD!$A$3:$A$5001,"&lt;="&amp;$B168,BD!$Q$3:$Q$5001,"&lt;&gt;")=0,"",SUMIFS(BD!$Q$3:$Q$5001,BD!$B$3:$B$5001,K$163,BD!$A$3:$A$5001,_xlfn.MAXIFS(BD!$A$3:$A$5001,BD!$B$3:$B$5001,K$163,BD!$A$3:$A$5001,"&gt;="&amp;$C$7,BD!$A$3:$A$5001,"&lt;="&amp;$B168,BD!$Q$3:$Q$5001,"&lt;&gt;"))))</f>
        <v/>
      </c>
      <c r="L168" s="54" t="str">
        <f>IF(OR($B168="",$A168&gt;$B$9,L$163=""),"",IF(COUNTIFS(BD!$B$3:$B$5001,L$163,BD!$A$3:$A$5001,"&gt;="&amp;$C$7,BD!$A$3:$A$5001,"&lt;="&amp;$B168,BD!$Q$3:$Q$5001,"&lt;&gt;")=0,"",SUMIFS(BD!$Q$3:$Q$5001,BD!$B$3:$B$5001,L$163,BD!$A$3:$A$5001,_xlfn.MAXIFS(BD!$A$3:$A$5001,BD!$B$3:$B$5001,L$163,BD!$A$3:$A$5001,"&gt;="&amp;$C$7,BD!$A$3:$A$5001,"&lt;="&amp;$B168,BD!$Q$3:$Q$5001,"&lt;&gt;"))))</f>
        <v/>
      </c>
      <c r="M168" s="54" t="str">
        <f>IF(OR($B168="",$A168&gt;$B$9,M$163=""),"",IF(COUNTIFS(BD!$B$3:$B$5001,M$163,BD!$A$3:$A$5001,"&gt;="&amp;$C$7,BD!$A$3:$A$5001,"&lt;="&amp;$B168,BD!$Q$3:$Q$5001,"&lt;&gt;")=0,"",SUMIFS(BD!$Q$3:$Q$5001,BD!$B$3:$B$5001,M$163,BD!$A$3:$A$5001,_xlfn.MAXIFS(BD!$A$3:$A$5001,BD!$B$3:$B$5001,M$163,BD!$A$3:$A$5001,"&gt;="&amp;$C$7,BD!$A$3:$A$5001,"&lt;="&amp;$B168,BD!$Q$3:$Q$5001,"&lt;&gt;"))))</f>
        <v/>
      </c>
      <c r="N168" s="54" t="str">
        <f>IF(OR($B168="",$A168&gt;$B$9,N$163=""),"",IF(COUNTIFS(BD!$B$3:$B$5001,N$163,BD!$A$3:$A$5001,"&gt;="&amp;$C$7,BD!$A$3:$A$5001,"&lt;="&amp;$B168,BD!$Q$3:$Q$5001,"&lt;&gt;")=0,"",SUMIFS(BD!$Q$3:$Q$5001,BD!$B$3:$B$5001,N$163,BD!$A$3:$A$5001,_xlfn.MAXIFS(BD!$A$3:$A$5001,BD!$B$3:$B$5001,N$163,BD!$A$3:$A$5001,"&gt;="&amp;$C$7,BD!$A$3:$A$5001,"&lt;="&amp;$B168,BD!$Q$3:$Q$5001,"&lt;&gt;"))))</f>
        <v/>
      </c>
      <c r="O168" s="54" t="str">
        <f>IF(OR($B168="",$A168&gt;$B$9,O$163=""),"",IF(COUNTIFS(BD!$B$3:$B$5001,O$163,BD!$A$3:$A$5001,"&gt;="&amp;$C$7,BD!$A$3:$A$5001,"&lt;="&amp;$B168,BD!$Q$3:$Q$5001,"&lt;&gt;")=0,"",SUMIFS(BD!$Q$3:$Q$5001,BD!$B$3:$B$5001,O$163,BD!$A$3:$A$5001,_xlfn.MAXIFS(BD!$A$3:$A$5001,BD!$B$3:$B$5001,O$163,BD!$A$3:$A$5001,"&gt;="&amp;$C$7,BD!$A$3:$A$5001,"&lt;="&amp;$B168,BD!$Q$3:$Q$5001,"&lt;&gt;"))))</f>
        <v/>
      </c>
      <c r="P168" s="54" t="str">
        <f>IF(OR($B168="",$A168&gt;$B$9,P$163=""),"",IF(COUNTIFS(BD!$B$3:$B$5001,P$163,BD!$A$3:$A$5001,"&gt;="&amp;$C$7,BD!$A$3:$A$5001,"&lt;="&amp;$B168,BD!$Q$3:$Q$5001,"&lt;&gt;")=0,"",SUMIFS(BD!$Q$3:$Q$5001,BD!$B$3:$B$5001,P$163,BD!$A$3:$A$5001,_xlfn.MAXIFS(BD!$A$3:$A$5001,BD!$B$3:$B$5001,P$163,BD!$A$3:$A$5001,"&gt;="&amp;$C$7,BD!$A$3:$A$5001,"&lt;="&amp;$B168,BD!$Q$3:$Q$5001,"&lt;&gt;"))))</f>
        <v/>
      </c>
      <c r="Q168" s="54" t="str">
        <f>IF(OR($B168="",$A168&gt;$B$9,Q$163=""),"",IF(COUNTIFS(BD!$B$3:$B$5001,Q$163,BD!$A$3:$A$5001,"&gt;="&amp;$C$7,BD!$A$3:$A$5001,"&lt;="&amp;$B168,BD!$Q$3:$Q$5001,"&lt;&gt;")=0,"",SUMIFS(BD!$Q$3:$Q$5001,BD!$B$3:$B$5001,Q$163,BD!$A$3:$A$5001,_xlfn.MAXIFS(BD!$A$3:$A$5001,BD!$B$3:$B$5001,Q$163,BD!$A$3:$A$5001,"&gt;="&amp;$C$7,BD!$A$3:$A$5001,"&lt;="&amp;$B168,BD!$Q$3:$Q$5001,"&lt;&gt;"))))</f>
        <v/>
      </c>
      <c r="R168" s="54" t="str">
        <f>IF(OR($B168="",$A168&gt;$B$9,R$163=""),"",IF(COUNTIFS(BD!$B$3:$B$5001,R$163,BD!$A$3:$A$5001,"&gt;="&amp;$C$7,BD!$A$3:$A$5001,"&lt;="&amp;$B168,BD!$Q$3:$Q$5001,"&lt;&gt;")=0,"",SUMIFS(BD!$Q$3:$Q$5001,BD!$B$3:$B$5001,R$163,BD!$A$3:$A$5001,_xlfn.MAXIFS(BD!$A$3:$A$5001,BD!$B$3:$B$5001,R$163,BD!$A$3:$A$5001,"&gt;="&amp;$C$7,BD!$A$3:$A$5001,"&lt;="&amp;$B168,BD!$Q$3:$Q$5001,"&lt;&gt;"))))</f>
        <v/>
      </c>
      <c r="S168" s="54" t="str">
        <f>IF(OR($B168="",$A168&gt;$B$9,S$163=""),"",IF(COUNTIFS(BD!$B$3:$B$5001,S$163,BD!$A$3:$A$5001,"&gt;="&amp;$C$7,BD!$A$3:$A$5001,"&lt;="&amp;$B168,BD!$Q$3:$Q$5001,"&lt;&gt;")=0,"",SUMIFS(BD!$Q$3:$Q$5001,BD!$B$3:$B$5001,S$163,BD!$A$3:$A$5001,_xlfn.MAXIFS(BD!$A$3:$A$5001,BD!$B$3:$B$5001,S$163,BD!$A$3:$A$5001,"&gt;="&amp;$C$7,BD!$A$3:$A$5001,"&lt;="&amp;$B168,BD!$Q$3:$Q$5001,"&lt;&gt;"))))</f>
        <v/>
      </c>
      <c r="T168" s="54" t="str">
        <f>IF(OR($B168="",$A168&gt;$B$9,T$163=""),"",IF(COUNTIFS(BD!$B$3:$B$5001,T$163,BD!$A$3:$A$5001,"&gt;="&amp;$C$7,BD!$A$3:$A$5001,"&lt;="&amp;$B168,BD!$Q$3:$Q$5001,"&lt;&gt;")=0,"",SUMIFS(BD!$Q$3:$Q$5001,BD!$B$3:$B$5001,T$163,BD!$A$3:$A$5001,_xlfn.MAXIFS(BD!$A$3:$A$5001,BD!$B$3:$B$5001,T$163,BD!$A$3:$A$5001,"&gt;="&amp;$C$7,BD!$A$3:$A$5001,"&lt;="&amp;$B168,BD!$Q$3:$Q$5001,"&lt;&gt;"))))</f>
        <v/>
      </c>
      <c r="U168" s="54" t="str">
        <f>IF(OR($B168="",$A168&gt;$B$9,U$163=""),"",IF(COUNTIFS(BD!$B$3:$B$5001,U$163,BD!$A$3:$A$5001,"&gt;="&amp;$C$7,BD!$A$3:$A$5001,"&lt;="&amp;$B168,BD!$Q$3:$Q$5001,"&lt;&gt;")=0,"",SUMIFS(BD!$Q$3:$Q$5001,BD!$B$3:$B$5001,U$163,BD!$A$3:$A$5001,_xlfn.MAXIFS(BD!$A$3:$A$5001,BD!$B$3:$B$5001,U$163,BD!$A$3:$A$5001,"&gt;="&amp;$C$7,BD!$A$3:$A$5001,"&lt;="&amp;$B168,BD!$Q$3:$Q$5001,"&lt;&gt;"))))</f>
        <v/>
      </c>
      <c r="V168" s="54" t="str">
        <f>IF(OR($B168="",$A168&gt;$B$9,V$163=""),"",IF(COUNTIFS(BD!$B$3:$B$5001,V$163,BD!$A$3:$A$5001,"&gt;="&amp;$C$7,BD!$A$3:$A$5001,"&lt;="&amp;$B168,BD!$Q$3:$Q$5001,"&lt;&gt;")=0,"",SUMIFS(BD!$Q$3:$Q$5001,BD!$B$3:$B$5001,V$163,BD!$A$3:$A$5001,_xlfn.MAXIFS(BD!$A$3:$A$5001,BD!$B$3:$B$5001,V$163,BD!$A$3:$A$5001,"&gt;="&amp;$C$7,BD!$A$3:$A$5001,"&lt;="&amp;$B168,BD!$Q$3:$Q$5001,"&lt;&gt;"))))</f>
        <v/>
      </c>
    </row>
    <row r="169">
      <c r="A169" s="48">
        <v>6</v>
      </c>
      <c r="B169" s="53">
        <f>$B$17</f>
        <v>46301</v>
      </c>
      <c r="C169" s="54" t="str">
        <f>IF(OR($B169="",$A169&gt;$B$9,C$163=""),"",IF(COUNTIFS(BD!$B$3:$B$5001,C$163,BD!$A$3:$A$5001,"&gt;="&amp;$C$7,BD!$A$3:$A$5001,"&lt;="&amp;$B169,BD!$Q$3:$Q$5001,"&lt;&gt;")=0,"",SUMIFS(BD!$Q$3:$Q$5001,BD!$B$3:$B$5001,C$163,BD!$A$3:$A$5001,_xlfn.MAXIFS(BD!$A$3:$A$5001,BD!$B$3:$B$5001,C$163,BD!$A$3:$A$5001,"&gt;="&amp;$C$7,BD!$A$3:$A$5001,"&lt;="&amp;$B169,BD!$Q$3:$Q$5001,"&lt;&gt;"))))</f>
        <v/>
      </c>
      <c r="D169" s="54" t="str">
        <f>IF(OR($B169="",$A169&gt;$B$9,D$163=""),"",IF(COUNTIFS(BD!$B$3:$B$5001,D$163,BD!$A$3:$A$5001,"&gt;="&amp;$C$7,BD!$A$3:$A$5001,"&lt;="&amp;$B169,BD!$Q$3:$Q$5001,"&lt;&gt;")=0,"",SUMIFS(BD!$Q$3:$Q$5001,BD!$B$3:$B$5001,D$163,BD!$A$3:$A$5001,_xlfn.MAXIFS(BD!$A$3:$A$5001,BD!$B$3:$B$5001,D$163,BD!$A$3:$A$5001,"&gt;="&amp;$C$7,BD!$A$3:$A$5001,"&lt;="&amp;$B169,BD!$Q$3:$Q$5001,"&lt;&gt;"))))</f>
        <v/>
      </c>
      <c r="E169" s="54" t="str">
        <f>IF(OR($B169="",$A169&gt;$B$9,E$163=""),"",IF(COUNTIFS(BD!$B$3:$B$5001,E$163,BD!$A$3:$A$5001,"&gt;="&amp;$C$7,BD!$A$3:$A$5001,"&lt;="&amp;$B169,BD!$Q$3:$Q$5001,"&lt;&gt;")=0,"",SUMIFS(BD!$Q$3:$Q$5001,BD!$B$3:$B$5001,E$163,BD!$A$3:$A$5001,_xlfn.MAXIFS(BD!$A$3:$A$5001,BD!$B$3:$B$5001,E$163,BD!$A$3:$A$5001,"&gt;="&amp;$C$7,BD!$A$3:$A$5001,"&lt;="&amp;$B169,BD!$Q$3:$Q$5001,"&lt;&gt;"))))</f>
        <v/>
      </c>
      <c r="F169" s="54" t="str">
        <f>IF(OR($B169="",$A169&gt;$B$9,F$163=""),"",IF(COUNTIFS(BD!$B$3:$B$5001,F$163,BD!$A$3:$A$5001,"&gt;="&amp;$C$7,BD!$A$3:$A$5001,"&lt;="&amp;$B169,BD!$Q$3:$Q$5001,"&lt;&gt;")=0,"",SUMIFS(BD!$Q$3:$Q$5001,BD!$B$3:$B$5001,F$163,BD!$A$3:$A$5001,_xlfn.MAXIFS(BD!$A$3:$A$5001,BD!$B$3:$B$5001,F$163,BD!$A$3:$A$5001,"&gt;="&amp;$C$7,BD!$A$3:$A$5001,"&lt;="&amp;$B169,BD!$Q$3:$Q$5001,"&lt;&gt;"))))</f>
        <v/>
      </c>
      <c r="G169" s="54" t="str">
        <f>IF(OR($B169="",$A169&gt;$B$9,G$163=""),"",IF(COUNTIFS(BD!$B$3:$B$5001,G$163,BD!$A$3:$A$5001,"&gt;="&amp;$C$7,BD!$A$3:$A$5001,"&lt;="&amp;$B169,BD!$Q$3:$Q$5001,"&lt;&gt;")=0,"",SUMIFS(BD!$Q$3:$Q$5001,BD!$B$3:$B$5001,G$163,BD!$A$3:$A$5001,_xlfn.MAXIFS(BD!$A$3:$A$5001,BD!$B$3:$B$5001,G$163,BD!$A$3:$A$5001,"&gt;="&amp;$C$7,BD!$A$3:$A$5001,"&lt;="&amp;$B169,BD!$Q$3:$Q$5001,"&lt;&gt;"))))</f>
        <v/>
      </c>
      <c r="H169" s="54" t="str">
        <f>IF(OR($B169="",$A169&gt;$B$9,H$163=""),"",IF(COUNTIFS(BD!$B$3:$B$5001,H$163,BD!$A$3:$A$5001,"&gt;="&amp;$C$7,BD!$A$3:$A$5001,"&lt;="&amp;$B169,BD!$Q$3:$Q$5001,"&lt;&gt;")=0,"",SUMIFS(BD!$Q$3:$Q$5001,BD!$B$3:$B$5001,H$163,BD!$A$3:$A$5001,_xlfn.MAXIFS(BD!$A$3:$A$5001,BD!$B$3:$B$5001,H$163,BD!$A$3:$A$5001,"&gt;="&amp;$C$7,BD!$A$3:$A$5001,"&lt;="&amp;$B169,BD!$Q$3:$Q$5001,"&lt;&gt;"))))</f>
        <v/>
      </c>
      <c r="I169" s="54" t="str">
        <f>IF(OR($B169="",$A169&gt;$B$9,I$163=""),"",IF(COUNTIFS(BD!$B$3:$B$5001,I$163,BD!$A$3:$A$5001,"&gt;="&amp;$C$7,BD!$A$3:$A$5001,"&lt;="&amp;$B169,BD!$Q$3:$Q$5001,"&lt;&gt;")=0,"",SUMIFS(BD!$Q$3:$Q$5001,BD!$B$3:$B$5001,I$163,BD!$A$3:$A$5001,_xlfn.MAXIFS(BD!$A$3:$A$5001,BD!$B$3:$B$5001,I$163,BD!$A$3:$A$5001,"&gt;="&amp;$C$7,BD!$A$3:$A$5001,"&lt;="&amp;$B169,BD!$Q$3:$Q$5001,"&lt;&gt;"))))</f>
        <v/>
      </c>
      <c r="J169" s="54" t="str">
        <f>IF(OR($B169="",$A169&gt;$B$9,J$163=""),"",IF(COUNTIFS(BD!$B$3:$B$5001,J$163,BD!$A$3:$A$5001,"&gt;="&amp;$C$7,BD!$A$3:$A$5001,"&lt;="&amp;$B169,BD!$Q$3:$Q$5001,"&lt;&gt;")=0,"",SUMIFS(BD!$Q$3:$Q$5001,BD!$B$3:$B$5001,J$163,BD!$A$3:$A$5001,_xlfn.MAXIFS(BD!$A$3:$A$5001,BD!$B$3:$B$5001,J$163,BD!$A$3:$A$5001,"&gt;="&amp;$C$7,BD!$A$3:$A$5001,"&lt;="&amp;$B169,BD!$Q$3:$Q$5001,"&lt;&gt;"))))</f>
        <v/>
      </c>
      <c r="K169" s="54" t="str">
        <f>IF(OR($B169="",$A169&gt;$B$9,K$163=""),"",IF(COUNTIFS(BD!$B$3:$B$5001,K$163,BD!$A$3:$A$5001,"&gt;="&amp;$C$7,BD!$A$3:$A$5001,"&lt;="&amp;$B169,BD!$Q$3:$Q$5001,"&lt;&gt;")=0,"",SUMIFS(BD!$Q$3:$Q$5001,BD!$B$3:$B$5001,K$163,BD!$A$3:$A$5001,_xlfn.MAXIFS(BD!$A$3:$A$5001,BD!$B$3:$B$5001,K$163,BD!$A$3:$A$5001,"&gt;="&amp;$C$7,BD!$A$3:$A$5001,"&lt;="&amp;$B169,BD!$Q$3:$Q$5001,"&lt;&gt;"))))</f>
        <v/>
      </c>
      <c r="L169" s="54" t="str">
        <f>IF(OR($B169="",$A169&gt;$B$9,L$163=""),"",IF(COUNTIFS(BD!$B$3:$B$5001,L$163,BD!$A$3:$A$5001,"&gt;="&amp;$C$7,BD!$A$3:$A$5001,"&lt;="&amp;$B169,BD!$Q$3:$Q$5001,"&lt;&gt;")=0,"",SUMIFS(BD!$Q$3:$Q$5001,BD!$B$3:$B$5001,L$163,BD!$A$3:$A$5001,_xlfn.MAXIFS(BD!$A$3:$A$5001,BD!$B$3:$B$5001,L$163,BD!$A$3:$A$5001,"&gt;="&amp;$C$7,BD!$A$3:$A$5001,"&lt;="&amp;$B169,BD!$Q$3:$Q$5001,"&lt;&gt;"))))</f>
        <v/>
      </c>
      <c r="M169" s="54" t="str">
        <f>IF(OR($B169="",$A169&gt;$B$9,M$163=""),"",IF(COUNTIFS(BD!$B$3:$B$5001,M$163,BD!$A$3:$A$5001,"&gt;="&amp;$C$7,BD!$A$3:$A$5001,"&lt;="&amp;$B169,BD!$Q$3:$Q$5001,"&lt;&gt;")=0,"",SUMIFS(BD!$Q$3:$Q$5001,BD!$B$3:$B$5001,M$163,BD!$A$3:$A$5001,_xlfn.MAXIFS(BD!$A$3:$A$5001,BD!$B$3:$B$5001,M$163,BD!$A$3:$A$5001,"&gt;="&amp;$C$7,BD!$A$3:$A$5001,"&lt;="&amp;$B169,BD!$Q$3:$Q$5001,"&lt;&gt;"))))</f>
        <v/>
      </c>
      <c r="N169" s="54" t="str">
        <f>IF(OR($B169="",$A169&gt;$B$9,N$163=""),"",IF(COUNTIFS(BD!$B$3:$B$5001,N$163,BD!$A$3:$A$5001,"&gt;="&amp;$C$7,BD!$A$3:$A$5001,"&lt;="&amp;$B169,BD!$Q$3:$Q$5001,"&lt;&gt;")=0,"",SUMIFS(BD!$Q$3:$Q$5001,BD!$B$3:$B$5001,N$163,BD!$A$3:$A$5001,_xlfn.MAXIFS(BD!$A$3:$A$5001,BD!$B$3:$B$5001,N$163,BD!$A$3:$A$5001,"&gt;="&amp;$C$7,BD!$A$3:$A$5001,"&lt;="&amp;$B169,BD!$Q$3:$Q$5001,"&lt;&gt;"))))</f>
        <v/>
      </c>
      <c r="O169" s="54" t="str">
        <f>IF(OR($B169="",$A169&gt;$B$9,O$163=""),"",IF(COUNTIFS(BD!$B$3:$B$5001,O$163,BD!$A$3:$A$5001,"&gt;="&amp;$C$7,BD!$A$3:$A$5001,"&lt;="&amp;$B169,BD!$Q$3:$Q$5001,"&lt;&gt;")=0,"",SUMIFS(BD!$Q$3:$Q$5001,BD!$B$3:$B$5001,O$163,BD!$A$3:$A$5001,_xlfn.MAXIFS(BD!$A$3:$A$5001,BD!$B$3:$B$5001,O$163,BD!$A$3:$A$5001,"&gt;="&amp;$C$7,BD!$A$3:$A$5001,"&lt;="&amp;$B169,BD!$Q$3:$Q$5001,"&lt;&gt;"))))</f>
        <v/>
      </c>
      <c r="P169" s="54" t="str">
        <f>IF(OR($B169="",$A169&gt;$B$9,P$163=""),"",IF(COUNTIFS(BD!$B$3:$B$5001,P$163,BD!$A$3:$A$5001,"&gt;="&amp;$C$7,BD!$A$3:$A$5001,"&lt;="&amp;$B169,BD!$Q$3:$Q$5001,"&lt;&gt;")=0,"",SUMIFS(BD!$Q$3:$Q$5001,BD!$B$3:$B$5001,P$163,BD!$A$3:$A$5001,_xlfn.MAXIFS(BD!$A$3:$A$5001,BD!$B$3:$B$5001,P$163,BD!$A$3:$A$5001,"&gt;="&amp;$C$7,BD!$A$3:$A$5001,"&lt;="&amp;$B169,BD!$Q$3:$Q$5001,"&lt;&gt;"))))</f>
        <v/>
      </c>
      <c r="Q169" s="54" t="str">
        <f>IF(OR($B169="",$A169&gt;$B$9,Q$163=""),"",IF(COUNTIFS(BD!$B$3:$B$5001,Q$163,BD!$A$3:$A$5001,"&gt;="&amp;$C$7,BD!$A$3:$A$5001,"&lt;="&amp;$B169,BD!$Q$3:$Q$5001,"&lt;&gt;")=0,"",SUMIFS(BD!$Q$3:$Q$5001,BD!$B$3:$B$5001,Q$163,BD!$A$3:$A$5001,_xlfn.MAXIFS(BD!$A$3:$A$5001,BD!$B$3:$B$5001,Q$163,BD!$A$3:$A$5001,"&gt;="&amp;$C$7,BD!$A$3:$A$5001,"&lt;="&amp;$B169,BD!$Q$3:$Q$5001,"&lt;&gt;"))))</f>
        <v/>
      </c>
      <c r="R169" s="54" t="str">
        <f>IF(OR($B169="",$A169&gt;$B$9,R$163=""),"",IF(COUNTIFS(BD!$B$3:$B$5001,R$163,BD!$A$3:$A$5001,"&gt;="&amp;$C$7,BD!$A$3:$A$5001,"&lt;="&amp;$B169,BD!$Q$3:$Q$5001,"&lt;&gt;")=0,"",SUMIFS(BD!$Q$3:$Q$5001,BD!$B$3:$B$5001,R$163,BD!$A$3:$A$5001,_xlfn.MAXIFS(BD!$A$3:$A$5001,BD!$B$3:$B$5001,R$163,BD!$A$3:$A$5001,"&gt;="&amp;$C$7,BD!$A$3:$A$5001,"&lt;="&amp;$B169,BD!$Q$3:$Q$5001,"&lt;&gt;"))))</f>
        <v/>
      </c>
      <c r="S169" s="54" t="str">
        <f>IF(OR($B169="",$A169&gt;$B$9,S$163=""),"",IF(COUNTIFS(BD!$B$3:$B$5001,S$163,BD!$A$3:$A$5001,"&gt;="&amp;$C$7,BD!$A$3:$A$5001,"&lt;="&amp;$B169,BD!$Q$3:$Q$5001,"&lt;&gt;")=0,"",SUMIFS(BD!$Q$3:$Q$5001,BD!$B$3:$B$5001,S$163,BD!$A$3:$A$5001,_xlfn.MAXIFS(BD!$A$3:$A$5001,BD!$B$3:$B$5001,S$163,BD!$A$3:$A$5001,"&gt;="&amp;$C$7,BD!$A$3:$A$5001,"&lt;="&amp;$B169,BD!$Q$3:$Q$5001,"&lt;&gt;"))))</f>
        <v/>
      </c>
      <c r="T169" s="54" t="str">
        <f>IF(OR($B169="",$A169&gt;$B$9,T$163=""),"",IF(COUNTIFS(BD!$B$3:$B$5001,T$163,BD!$A$3:$A$5001,"&gt;="&amp;$C$7,BD!$A$3:$A$5001,"&lt;="&amp;$B169,BD!$Q$3:$Q$5001,"&lt;&gt;")=0,"",SUMIFS(BD!$Q$3:$Q$5001,BD!$B$3:$B$5001,T$163,BD!$A$3:$A$5001,_xlfn.MAXIFS(BD!$A$3:$A$5001,BD!$B$3:$B$5001,T$163,BD!$A$3:$A$5001,"&gt;="&amp;$C$7,BD!$A$3:$A$5001,"&lt;="&amp;$B169,BD!$Q$3:$Q$5001,"&lt;&gt;"))))</f>
        <v/>
      </c>
      <c r="U169" s="54" t="str">
        <f>IF(OR($B169="",$A169&gt;$B$9,U$163=""),"",IF(COUNTIFS(BD!$B$3:$B$5001,U$163,BD!$A$3:$A$5001,"&gt;="&amp;$C$7,BD!$A$3:$A$5001,"&lt;="&amp;$B169,BD!$Q$3:$Q$5001,"&lt;&gt;")=0,"",SUMIFS(BD!$Q$3:$Q$5001,BD!$B$3:$B$5001,U$163,BD!$A$3:$A$5001,_xlfn.MAXIFS(BD!$A$3:$A$5001,BD!$B$3:$B$5001,U$163,BD!$A$3:$A$5001,"&gt;="&amp;$C$7,BD!$A$3:$A$5001,"&lt;="&amp;$B169,BD!$Q$3:$Q$5001,"&lt;&gt;"))))</f>
        <v/>
      </c>
      <c r="V169" s="54" t="str">
        <f>IF(OR($B169="",$A169&gt;$B$9,V$163=""),"",IF(COUNTIFS(BD!$B$3:$B$5001,V$163,BD!$A$3:$A$5001,"&gt;="&amp;$C$7,BD!$A$3:$A$5001,"&lt;="&amp;$B169,BD!$Q$3:$Q$5001,"&lt;&gt;")=0,"",SUMIFS(BD!$Q$3:$Q$5001,BD!$B$3:$B$5001,V$163,BD!$A$3:$A$5001,_xlfn.MAXIFS(BD!$A$3:$A$5001,BD!$B$3:$B$5001,V$163,BD!$A$3:$A$5001,"&gt;="&amp;$C$7,BD!$A$3:$A$5001,"&lt;="&amp;$B169,BD!$Q$3:$Q$5001,"&lt;&gt;"))))</f>
        <v/>
      </c>
    </row>
    <row r="170">
      <c r="A170" s="48">
        <v>7</v>
      </c>
      <c r="B170" s="53">
        <f>$B$18</f>
        <v>46302</v>
      </c>
      <c r="C170" s="54" t="str">
        <f>IF(OR($B170="",$A170&gt;$B$9,C$163=""),"",IF(COUNTIFS(BD!$B$3:$B$5001,C$163,BD!$A$3:$A$5001,"&gt;="&amp;$C$7,BD!$A$3:$A$5001,"&lt;="&amp;$B170,BD!$Q$3:$Q$5001,"&lt;&gt;")=0,"",SUMIFS(BD!$Q$3:$Q$5001,BD!$B$3:$B$5001,C$163,BD!$A$3:$A$5001,_xlfn.MAXIFS(BD!$A$3:$A$5001,BD!$B$3:$B$5001,C$163,BD!$A$3:$A$5001,"&gt;="&amp;$C$7,BD!$A$3:$A$5001,"&lt;="&amp;$B170,BD!$Q$3:$Q$5001,"&lt;&gt;"))))</f>
        <v/>
      </c>
      <c r="D170" s="54" t="str">
        <f>IF(OR($B170="",$A170&gt;$B$9,D$163=""),"",IF(COUNTIFS(BD!$B$3:$B$5001,D$163,BD!$A$3:$A$5001,"&gt;="&amp;$C$7,BD!$A$3:$A$5001,"&lt;="&amp;$B170,BD!$Q$3:$Q$5001,"&lt;&gt;")=0,"",SUMIFS(BD!$Q$3:$Q$5001,BD!$B$3:$B$5001,D$163,BD!$A$3:$A$5001,_xlfn.MAXIFS(BD!$A$3:$A$5001,BD!$B$3:$B$5001,D$163,BD!$A$3:$A$5001,"&gt;="&amp;$C$7,BD!$A$3:$A$5001,"&lt;="&amp;$B170,BD!$Q$3:$Q$5001,"&lt;&gt;"))))</f>
        <v/>
      </c>
      <c r="E170" s="54" t="str">
        <f>IF(OR($B170="",$A170&gt;$B$9,E$163=""),"",IF(COUNTIFS(BD!$B$3:$B$5001,E$163,BD!$A$3:$A$5001,"&gt;="&amp;$C$7,BD!$A$3:$A$5001,"&lt;="&amp;$B170,BD!$Q$3:$Q$5001,"&lt;&gt;")=0,"",SUMIFS(BD!$Q$3:$Q$5001,BD!$B$3:$B$5001,E$163,BD!$A$3:$A$5001,_xlfn.MAXIFS(BD!$A$3:$A$5001,BD!$B$3:$B$5001,E$163,BD!$A$3:$A$5001,"&gt;="&amp;$C$7,BD!$A$3:$A$5001,"&lt;="&amp;$B170,BD!$Q$3:$Q$5001,"&lt;&gt;"))))</f>
        <v/>
      </c>
      <c r="F170" s="54" t="str">
        <f>IF(OR($B170="",$A170&gt;$B$9,F$163=""),"",IF(COUNTIFS(BD!$B$3:$B$5001,F$163,BD!$A$3:$A$5001,"&gt;="&amp;$C$7,BD!$A$3:$A$5001,"&lt;="&amp;$B170,BD!$Q$3:$Q$5001,"&lt;&gt;")=0,"",SUMIFS(BD!$Q$3:$Q$5001,BD!$B$3:$B$5001,F$163,BD!$A$3:$A$5001,_xlfn.MAXIFS(BD!$A$3:$A$5001,BD!$B$3:$B$5001,F$163,BD!$A$3:$A$5001,"&gt;="&amp;$C$7,BD!$A$3:$A$5001,"&lt;="&amp;$B170,BD!$Q$3:$Q$5001,"&lt;&gt;"))))</f>
        <v/>
      </c>
      <c r="G170" s="54" t="str">
        <f>IF(OR($B170="",$A170&gt;$B$9,G$163=""),"",IF(COUNTIFS(BD!$B$3:$B$5001,G$163,BD!$A$3:$A$5001,"&gt;="&amp;$C$7,BD!$A$3:$A$5001,"&lt;="&amp;$B170,BD!$Q$3:$Q$5001,"&lt;&gt;")=0,"",SUMIFS(BD!$Q$3:$Q$5001,BD!$B$3:$B$5001,G$163,BD!$A$3:$A$5001,_xlfn.MAXIFS(BD!$A$3:$A$5001,BD!$B$3:$B$5001,G$163,BD!$A$3:$A$5001,"&gt;="&amp;$C$7,BD!$A$3:$A$5001,"&lt;="&amp;$B170,BD!$Q$3:$Q$5001,"&lt;&gt;"))))</f>
        <v/>
      </c>
      <c r="H170" s="54" t="str">
        <f>IF(OR($B170="",$A170&gt;$B$9,H$163=""),"",IF(COUNTIFS(BD!$B$3:$B$5001,H$163,BD!$A$3:$A$5001,"&gt;="&amp;$C$7,BD!$A$3:$A$5001,"&lt;="&amp;$B170,BD!$Q$3:$Q$5001,"&lt;&gt;")=0,"",SUMIFS(BD!$Q$3:$Q$5001,BD!$B$3:$B$5001,H$163,BD!$A$3:$A$5001,_xlfn.MAXIFS(BD!$A$3:$A$5001,BD!$B$3:$B$5001,H$163,BD!$A$3:$A$5001,"&gt;="&amp;$C$7,BD!$A$3:$A$5001,"&lt;="&amp;$B170,BD!$Q$3:$Q$5001,"&lt;&gt;"))))</f>
        <v/>
      </c>
      <c r="I170" s="54" t="str">
        <f>IF(OR($B170="",$A170&gt;$B$9,I$163=""),"",IF(COUNTIFS(BD!$B$3:$B$5001,I$163,BD!$A$3:$A$5001,"&gt;="&amp;$C$7,BD!$A$3:$A$5001,"&lt;="&amp;$B170,BD!$Q$3:$Q$5001,"&lt;&gt;")=0,"",SUMIFS(BD!$Q$3:$Q$5001,BD!$B$3:$B$5001,I$163,BD!$A$3:$A$5001,_xlfn.MAXIFS(BD!$A$3:$A$5001,BD!$B$3:$B$5001,I$163,BD!$A$3:$A$5001,"&gt;="&amp;$C$7,BD!$A$3:$A$5001,"&lt;="&amp;$B170,BD!$Q$3:$Q$5001,"&lt;&gt;"))))</f>
        <v/>
      </c>
      <c r="J170" s="54" t="str">
        <f>IF(OR($B170="",$A170&gt;$B$9,J$163=""),"",IF(COUNTIFS(BD!$B$3:$B$5001,J$163,BD!$A$3:$A$5001,"&gt;="&amp;$C$7,BD!$A$3:$A$5001,"&lt;="&amp;$B170,BD!$Q$3:$Q$5001,"&lt;&gt;")=0,"",SUMIFS(BD!$Q$3:$Q$5001,BD!$B$3:$B$5001,J$163,BD!$A$3:$A$5001,_xlfn.MAXIFS(BD!$A$3:$A$5001,BD!$B$3:$B$5001,J$163,BD!$A$3:$A$5001,"&gt;="&amp;$C$7,BD!$A$3:$A$5001,"&lt;="&amp;$B170,BD!$Q$3:$Q$5001,"&lt;&gt;"))))</f>
        <v/>
      </c>
      <c r="K170" s="54" t="str">
        <f>IF(OR($B170="",$A170&gt;$B$9,K$163=""),"",IF(COUNTIFS(BD!$B$3:$B$5001,K$163,BD!$A$3:$A$5001,"&gt;="&amp;$C$7,BD!$A$3:$A$5001,"&lt;="&amp;$B170,BD!$Q$3:$Q$5001,"&lt;&gt;")=0,"",SUMIFS(BD!$Q$3:$Q$5001,BD!$B$3:$B$5001,K$163,BD!$A$3:$A$5001,_xlfn.MAXIFS(BD!$A$3:$A$5001,BD!$B$3:$B$5001,K$163,BD!$A$3:$A$5001,"&gt;="&amp;$C$7,BD!$A$3:$A$5001,"&lt;="&amp;$B170,BD!$Q$3:$Q$5001,"&lt;&gt;"))))</f>
        <v/>
      </c>
      <c r="L170" s="54" t="str">
        <f>IF(OR($B170="",$A170&gt;$B$9,L$163=""),"",IF(COUNTIFS(BD!$B$3:$B$5001,L$163,BD!$A$3:$A$5001,"&gt;="&amp;$C$7,BD!$A$3:$A$5001,"&lt;="&amp;$B170,BD!$Q$3:$Q$5001,"&lt;&gt;")=0,"",SUMIFS(BD!$Q$3:$Q$5001,BD!$B$3:$B$5001,L$163,BD!$A$3:$A$5001,_xlfn.MAXIFS(BD!$A$3:$A$5001,BD!$B$3:$B$5001,L$163,BD!$A$3:$A$5001,"&gt;="&amp;$C$7,BD!$A$3:$A$5001,"&lt;="&amp;$B170,BD!$Q$3:$Q$5001,"&lt;&gt;"))))</f>
        <v/>
      </c>
      <c r="M170" s="54" t="str">
        <f>IF(OR($B170="",$A170&gt;$B$9,M$163=""),"",IF(COUNTIFS(BD!$B$3:$B$5001,M$163,BD!$A$3:$A$5001,"&gt;="&amp;$C$7,BD!$A$3:$A$5001,"&lt;="&amp;$B170,BD!$Q$3:$Q$5001,"&lt;&gt;")=0,"",SUMIFS(BD!$Q$3:$Q$5001,BD!$B$3:$B$5001,M$163,BD!$A$3:$A$5001,_xlfn.MAXIFS(BD!$A$3:$A$5001,BD!$B$3:$B$5001,M$163,BD!$A$3:$A$5001,"&gt;="&amp;$C$7,BD!$A$3:$A$5001,"&lt;="&amp;$B170,BD!$Q$3:$Q$5001,"&lt;&gt;"))))</f>
        <v/>
      </c>
      <c r="N170" s="54" t="str">
        <f>IF(OR($B170="",$A170&gt;$B$9,N$163=""),"",IF(COUNTIFS(BD!$B$3:$B$5001,N$163,BD!$A$3:$A$5001,"&gt;="&amp;$C$7,BD!$A$3:$A$5001,"&lt;="&amp;$B170,BD!$Q$3:$Q$5001,"&lt;&gt;")=0,"",SUMIFS(BD!$Q$3:$Q$5001,BD!$B$3:$B$5001,N$163,BD!$A$3:$A$5001,_xlfn.MAXIFS(BD!$A$3:$A$5001,BD!$B$3:$B$5001,N$163,BD!$A$3:$A$5001,"&gt;="&amp;$C$7,BD!$A$3:$A$5001,"&lt;="&amp;$B170,BD!$Q$3:$Q$5001,"&lt;&gt;"))))</f>
        <v/>
      </c>
      <c r="O170" s="54" t="str">
        <f>IF(OR($B170="",$A170&gt;$B$9,O$163=""),"",IF(COUNTIFS(BD!$B$3:$B$5001,O$163,BD!$A$3:$A$5001,"&gt;="&amp;$C$7,BD!$A$3:$A$5001,"&lt;="&amp;$B170,BD!$Q$3:$Q$5001,"&lt;&gt;")=0,"",SUMIFS(BD!$Q$3:$Q$5001,BD!$B$3:$B$5001,O$163,BD!$A$3:$A$5001,_xlfn.MAXIFS(BD!$A$3:$A$5001,BD!$B$3:$B$5001,O$163,BD!$A$3:$A$5001,"&gt;="&amp;$C$7,BD!$A$3:$A$5001,"&lt;="&amp;$B170,BD!$Q$3:$Q$5001,"&lt;&gt;"))))</f>
        <v/>
      </c>
      <c r="P170" s="54" t="str">
        <f>IF(OR($B170="",$A170&gt;$B$9,P$163=""),"",IF(COUNTIFS(BD!$B$3:$B$5001,P$163,BD!$A$3:$A$5001,"&gt;="&amp;$C$7,BD!$A$3:$A$5001,"&lt;="&amp;$B170,BD!$Q$3:$Q$5001,"&lt;&gt;")=0,"",SUMIFS(BD!$Q$3:$Q$5001,BD!$B$3:$B$5001,P$163,BD!$A$3:$A$5001,_xlfn.MAXIFS(BD!$A$3:$A$5001,BD!$B$3:$B$5001,P$163,BD!$A$3:$A$5001,"&gt;="&amp;$C$7,BD!$A$3:$A$5001,"&lt;="&amp;$B170,BD!$Q$3:$Q$5001,"&lt;&gt;"))))</f>
        <v/>
      </c>
      <c r="Q170" s="54" t="str">
        <f>IF(OR($B170="",$A170&gt;$B$9,Q$163=""),"",IF(COUNTIFS(BD!$B$3:$B$5001,Q$163,BD!$A$3:$A$5001,"&gt;="&amp;$C$7,BD!$A$3:$A$5001,"&lt;="&amp;$B170,BD!$Q$3:$Q$5001,"&lt;&gt;")=0,"",SUMIFS(BD!$Q$3:$Q$5001,BD!$B$3:$B$5001,Q$163,BD!$A$3:$A$5001,_xlfn.MAXIFS(BD!$A$3:$A$5001,BD!$B$3:$B$5001,Q$163,BD!$A$3:$A$5001,"&gt;="&amp;$C$7,BD!$A$3:$A$5001,"&lt;="&amp;$B170,BD!$Q$3:$Q$5001,"&lt;&gt;"))))</f>
        <v/>
      </c>
      <c r="R170" s="54" t="str">
        <f>IF(OR($B170="",$A170&gt;$B$9,R$163=""),"",IF(COUNTIFS(BD!$B$3:$B$5001,R$163,BD!$A$3:$A$5001,"&gt;="&amp;$C$7,BD!$A$3:$A$5001,"&lt;="&amp;$B170,BD!$Q$3:$Q$5001,"&lt;&gt;")=0,"",SUMIFS(BD!$Q$3:$Q$5001,BD!$B$3:$B$5001,R$163,BD!$A$3:$A$5001,_xlfn.MAXIFS(BD!$A$3:$A$5001,BD!$B$3:$B$5001,R$163,BD!$A$3:$A$5001,"&gt;="&amp;$C$7,BD!$A$3:$A$5001,"&lt;="&amp;$B170,BD!$Q$3:$Q$5001,"&lt;&gt;"))))</f>
        <v/>
      </c>
      <c r="S170" s="54" t="str">
        <f>IF(OR($B170="",$A170&gt;$B$9,S$163=""),"",IF(COUNTIFS(BD!$B$3:$B$5001,S$163,BD!$A$3:$A$5001,"&gt;="&amp;$C$7,BD!$A$3:$A$5001,"&lt;="&amp;$B170,BD!$Q$3:$Q$5001,"&lt;&gt;")=0,"",SUMIFS(BD!$Q$3:$Q$5001,BD!$B$3:$B$5001,S$163,BD!$A$3:$A$5001,_xlfn.MAXIFS(BD!$A$3:$A$5001,BD!$B$3:$B$5001,S$163,BD!$A$3:$A$5001,"&gt;="&amp;$C$7,BD!$A$3:$A$5001,"&lt;="&amp;$B170,BD!$Q$3:$Q$5001,"&lt;&gt;"))))</f>
        <v/>
      </c>
      <c r="T170" s="54" t="str">
        <f>IF(OR($B170="",$A170&gt;$B$9,T$163=""),"",IF(COUNTIFS(BD!$B$3:$B$5001,T$163,BD!$A$3:$A$5001,"&gt;="&amp;$C$7,BD!$A$3:$A$5001,"&lt;="&amp;$B170,BD!$Q$3:$Q$5001,"&lt;&gt;")=0,"",SUMIFS(BD!$Q$3:$Q$5001,BD!$B$3:$B$5001,T$163,BD!$A$3:$A$5001,_xlfn.MAXIFS(BD!$A$3:$A$5001,BD!$B$3:$B$5001,T$163,BD!$A$3:$A$5001,"&gt;="&amp;$C$7,BD!$A$3:$A$5001,"&lt;="&amp;$B170,BD!$Q$3:$Q$5001,"&lt;&gt;"))))</f>
        <v/>
      </c>
      <c r="U170" s="54" t="str">
        <f>IF(OR($B170="",$A170&gt;$B$9,U$163=""),"",IF(COUNTIFS(BD!$B$3:$B$5001,U$163,BD!$A$3:$A$5001,"&gt;="&amp;$C$7,BD!$A$3:$A$5001,"&lt;="&amp;$B170,BD!$Q$3:$Q$5001,"&lt;&gt;")=0,"",SUMIFS(BD!$Q$3:$Q$5001,BD!$B$3:$B$5001,U$163,BD!$A$3:$A$5001,_xlfn.MAXIFS(BD!$A$3:$A$5001,BD!$B$3:$B$5001,U$163,BD!$A$3:$A$5001,"&gt;="&amp;$C$7,BD!$A$3:$A$5001,"&lt;="&amp;$B170,BD!$Q$3:$Q$5001,"&lt;&gt;"))))</f>
        <v/>
      </c>
      <c r="V170" s="54" t="str">
        <f>IF(OR($B170="",$A170&gt;$B$9,V$163=""),"",IF(COUNTIFS(BD!$B$3:$B$5001,V$163,BD!$A$3:$A$5001,"&gt;="&amp;$C$7,BD!$A$3:$A$5001,"&lt;="&amp;$B170,BD!$Q$3:$Q$5001,"&lt;&gt;")=0,"",SUMIFS(BD!$Q$3:$Q$5001,BD!$B$3:$B$5001,V$163,BD!$A$3:$A$5001,_xlfn.MAXIFS(BD!$A$3:$A$5001,BD!$B$3:$B$5001,V$163,BD!$A$3:$A$5001,"&gt;="&amp;$C$7,BD!$A$3:$A$5001,"&lt;="&amp;$B170,BD!$Q$3:$Q$5001,"&lt;&gt;"))))</f>
        <v/>
      </c>
    </row>
    <row r="171">
      <c r="A171" s="48">
        <v>8</v>
      </c>
      <c r="B171" s="53">
        <f>$B$19</f>
        <v>46303</v>
      </c>
      <c r="C171" s="54" t="str">
        <f>IF(OR($B171="",$A171&gt;$B$9,C$163=""),"",IF(COUNTIFS(BD!$B$3:$B$5001,C$163,BD!$A$3:$A$5001,"&gt;="&amp;$C$7,BD!$A$3:$A$5001,"&lt;="&amp;$B171,BD!$Q$3:$Q$5001,"&lt;&gt;")=0,"",SUMIFS(BD!$Q$3:$Q$5001,BD!$B$3:$B$5001,C$163,BD!$A$3:$A$5001,_xlfn.MAXIFS(BD!$A$3:$A$5001,BD!$B$3:$B$5001,C$163,BD!$A$3:$A$5001,"&gt;="&amp;$C$7,BD!$A$3:$A$5001,"&lt;="&amp;$B171,BD!$Q$3:$Q$5001,"&lt;&gt;"))))</f>
        <v/>
      </c>
      <c r="D171" s="54" t="str">
        <f>IF(OR($B171="",$A171&gt;$B$9,D$163=""),"",IF(COUNTIFS(BD!$B$3:$B$5001,D$163,BD!$A$3:$A$5001,"&gt;="&amp;$C$7,BD!$A$3:$A$5001,"&lt;="&amp;$B171,BD!$Q$3:$Q$5001,"&lt;&gt;")=0,"",SUMIFS(BD!$Q$3:$Q$5001,BD!$B$3:$B$5001,D$163,BD!$A$3:$A$5001,_xlfn.MAXIFS(BD!$A$3:$A$5001,BD!$B$3:$B$5001,D$163,BD!$A$3:$A$5001,"&gt;="&amp;$C$7,BD!$A$3:$A$5001,"&lt;="&amp;$B171,BD!$Q$3:$Q$5001,"&lt;&gt;"))))</f>
        <v/>
      </c>
      <c r="E171" s="54" t="str">
        <f>IF(OR($B171="",$A171&gt;$B$9,E$163=""),"",IF(COUNTIFS(BD!$B$3:$B$5001,E$163,BD!$A$3:$A$5001,"&gt;="&amp;$C$7,BD!$A$3:$A$5001,"&lt;="&amp;$B171,BD!$Q$3:$Q$5001,"&lt;&gt;")=0,"",SUMIFS(BD!$Q$3:$Q$5001,BD!$B$3:$B$5001,E$163,BD!$A$3:$A$5001,_xlfn.MAXIFS(BD!$A$3:$A$5001,BD!$B$3:$B$5001,E$163,BD!$A$3:$A$5001,"&gt;="&amp;$C$7,BD!$A$3:$A$5001,"&lt;="&amp;$B171,BD!$Q$3:$Q$5001,"&lt;&gt;"))))</f>
        <v/>
      </c>
      <c r="F171" s="54" t="str">
        <f>IF(OR($B171="",$A171&gt;$B$9,F$163=""),"",IF(COUNTIFS(BD!$B$3:$B$5001,F$163,BD!$A$3:$A$5001,"&gt;="&amp;$C$7,BD!$A$3:$A$5001,"&lt;="&amp;$B171,BD!$Q$3:$Q$5001,"&lt;&gt;")=0,"",SUMIFS(BD!$Q$3:$Q$5001,BD!$B$3:$B$5001,F$163,BD!$A$3:$A$5001,_xlfn.MAXIFS(BD!$A$3:$A$5001,BD!$B$3:$B$5001,F$163,BD!$A$3:$A$5001,"&gt;="&amp;$C$7,BD!$A$3:$A$5001,"&lt;="&amp;$B171,BD!$Q$3:$Q$5001,"&lt;&gt;"))))</f>
        <v/>
      </c>
      <c r="G171" s="54" t="str">
        <f>IF(OR($B171="",$A171&gt;$B$9,G$163=""),"",IF(COUNTIFS(BD!$B$3:$B$5001,G$163,BD!$A$3:$A$5001,"&gt;="&amp;$C$7,BD!$A$3:$A$5001,"&lt;="&amp;$B171,BD!$Q$3:$Q$5001,"&lt;&gt;")=0,"",SUMIFS(BD!$Q$3:$Q$5001,BD!$B$3:$B$5001,G$163,BD!$A$3:$A$5001,_xlfn.MAXIFS(BD!$A$3:$A$5001,BD!$B$3:$B$5001,G$163,BD!$A$3:$A$5001,"&gt;="&amp;$C$7,BD!$A$3:$A$5001,"&lt;="&amp;$B171,BD!$Q$3:$Q$5001,"&lt;&gt;"))))</f>
        <v/>
      </c>
      <c r="H171" s="54" t="str">
        <f>IF(OR($B171="",$A171&gt;$B$9,H$163=""),"",IF(COUNTIFS(BD!$B$3:$B$5001,H$163,BD!$A$3:$A$5001,"&gt;="&amp;$C$7,BD!$A$3:$A$5001,"&lt;="&amp;$B171,BD!$Q$3:$Q$5001,"&lt;&gt;")=0,"",SUMIFS(BD!$Q$3:$Q$5001,BD!$B$3:$B$5001,H$163,BD!$A$3:$A$5001,_xlfn.MAXIFS(BD!$A$3:$A$5001,BD!$B$3:$B$5001,H$163,BD!$A$3:$A$5001,"&gt;="&amp;$C$7,BD!$A$3:$A$5001,"&lt;="&amp;$B171,BD!$Q$3:$Q$5001,"&lt;&gt;"))))</f>
        <v/>
      </c>
      <c r="I171" s="54" t="str">
        <f>IF(OR($B171="",$A171&gt;$B$9,I$163=""),"",IF(COUNTIFS(BD!$B$3:$B$5001,I$163,BD!$A$3:$A$5001,"&gt;="&amp;$C$7,BD!$A$3:$A$5001,"&lt;="&amp;$B171,BD!$Q$3:$Q$5001,"&lt;&gt;")=0,"",SUMIFS(BD!$Q$3:$Q$5001,BD!$B$3:$B$5001,I$163,BD!$A$3:$A$5001,_xlfn.MAXIFS(BD!$A$3:$A$5001,BD!$B$3:$B$5001,I$163,BD!$A$3:$A$5001,"&gt;="&amp;$C$7,BD!$A$3:$A$5001,"&lt;="&amp;$B171,BD!$Q$3:$Q$5001,"&lt;&gt;"))))</f>
        <v/>
      </c>
      <c r="J171" s="54" t="str">
        <f>IF(OR($B171="",$A171&gt;$B$9,J$163=""),"",IF(COUNTIFS(BD!$B$3:$B$5001,J$163,BD!$A$3:$A$5001,"&gt;="&amp;$C$7,BD!$A$3:$A$5001,"&lt;="&amp;$B171,BD!$Q$3:$Q$5001,"&lt;&gt;")=0,"",SUMIFS(BD!$Q$3:$Q$5001,BD!$B$3:$B$5001,J$163,BD!$A$3:$A$5001,_xlfn.MAXIFS(BD!$A$3:$A$5001,BD!$B$3:$B$5001,J$163,BD!$A$3:$A$5001,"&gt;="&amp;$C$7,BD!$A$3:$A$5001,"&lt;="&amp;$B171,BD!$Q$3:$Q$5001,"&lt;&gt;"))))</f>
        <v/>
      </c>
      <c r="K171" s="54" t="str">
        <f>IF(OR($B171="",$A171&gt;$B$9,K$163=""),"",IF(COUNTIFS(BD!$B$3:$B$5001,K$163,BD!$A$3:$A$5001,"&gt;="&amp;$C$7,BD!$A$3:$A$5001,"&lt;="&amp;$B171,BD!$Q$3:$Q$5001,"&lt;&gt;")=0,"",SUMIFS(BD!$Q$3:$Q$5001,BD!$B$3:$B$5001,K$163,BD!$A$3:$A$5001,_xlfn.MAXIFS(BD!$A$3:$A$5001,BD!$B$3:$B$5001,K$163,BD!$A$3:$A$5001,"&gt;="&amp;$C$7,BD!$A$3:$A$5001,"&lt;="&amp;$B171,BD!$Q$3:$Q$5001,"&lt;&gt;"))))</f>
        <v/>
      </c>
      <c r="L171" s="54" t="str">
        <f>IF(OR($B171="",$A171&gt;$B$9,L$163=""),"",IF(COUNTIFS(BD!$B$3:$B$5001,L$163,BD!$A$3:$A$5001,"&gt;="&amp;$C$7,BD!$A$3:$A$5001,"&lt;="&amp;$B171,BD!$Q$3:$Q$5001,"&lt;&gt;")=0,"",SUMIFS(BD!$Q$3:$Q$5001,BD!$B$3:$B$5001,L$163,BD!$A$3:$A$5001,_xlfn.MAXIFS(BD!$A$3:$A$5001,BD!$B$3:$B$5001,L$163,BD!$A$3:$A$5001,"&gt;="&amp;$C$7,BD!$A$3:$A$5001,"&lt;="&amp;$B171,BD!$Q$3:$Q$5001,"&lt;&gt;"))))</f>
        <v/>
      </c>
      <c r="M171" s="54" t="str">
        <f>IF(OR($B171="",$A171&gt;$B$9,M$163=""),"",IF(COUNTIFS(BD!$B$3:$B$5001,M$163,BD!$A$3:$A$5001,"&gt;="&amp;$C$7,BD!$A$3:$A$5001,"&lt;="&amp;$B171,BD!$Q$3:$Q$5001,"&lt;&gt;")=0,"",SUMIFS(BD!$Q$3:$Q$5001,BD!$B$3:$B$5001,M$163,BD!$A$3:$A$5001,_xlfn.MAXIFS(BD!$A$3:$A$5001,BD!$B$3:$B$5001,M$163,BD!$A$3:$A$5001,"&gt;="&amp;$C$7,BD!$A$3:$A$5001,"&lt;="&amp;$B171,BD!$Q$3:$Q$5001,"&lt;&gt;"))))</f>
        <v/>
      </c>
      <c r="N171" s="54" t="str">
        <f>IF(OR($B171="",$A171&gt;$B$9,N$163=""),"",IF(COUNTIFS(BD!$B$3:$B$5001,N$163,BD!$A$3:$A$5001,"&gt;="&amp;$C$7,BD!$A$3:$A$5001,"&lt;="&amp;$B171,BD!$Q$3:$Q$5001,"&lt;&gt;")=0,"",SUMIFS(BD!$Q$3:$Q$5001,BD!$B$3:$B$5001,N$163,BD!$A$3:$A$5001,_xlfn.MAXIFS(BD!$A$3:$A$5001,BD!$B$3:$B$5001,N$163,BD!$A$3:$A$5001,"&gt;="&amp;$C$7,BD!$A$3:$A$5001,"&lt;="&amp;$B171,BD!$Q$3:$Q$5001,"&lt;&gt;"))))</f>
        <v/>
      </c>
      <c r="O171" s="54" t="str">
        <f>IF(OR($B171="",$A171&gt;$B$9,O$163=""),"",IF(COUNTIFS(BD!$B$3:$B$5001,O$163,BD!$A$3:$A$5001,"&gt;="&amp;$C$7,BD!$A$3:$A$5001,"&lt;="&amp;$B171,BD!$Q$3:$Q$5001,"&lt;&gt;")=0,"",SUMIFS(BD!$Q$3:$Q$5001,BD!$B$3:$B$5001,O$163,BD!$A$3:$A$5001,_xlfn.MAXIFS(BD!$A$3:$A$5001,BD!$B$3:$B$5001,O$163,BD!$A$3:$A$5001,"&gt;="&amp;$C$7,BD!$A$3:$A$5001,"&lt;="&amp;$B171,BD!$Q$3:$Q$5001,"&lt;&gt;"))))</f>
        <v/>
      </c>
      <c r="P171" s="54" t="str">
        <f>IF(OR($B171="",$A171&gt;$B$9,P$163=""),"",IF(COUNTIFS(BD!$B$3:$B$5001,P$163,BD!$A$3:$A$5001,"&gt;="&amp;$C$7,BD!$A$3:$A$5001,"&lt;="&amp;$B171,BD!$Q$3:$Q$5001,"&lt;&gt;")=0,"",SUMIFS(BD!$Q$3:$Q$5001,BD!$B$3:$B$5001,P$163,BD!$A$3:$A$5001,_xlfn.MAXIFS(BD!$A$3:$A$5001,BD!$B$3:$B$5001,P$163,BD!$A$3:$A$5001,"&gt;="&amp;$C$7,BD!$A$3:$A$5001,"&lt;="&amp;$B171,BD!$Q$3:$Q$5001,"&lt;&gt;"))))</f>
        <v/>
      </c>
      <c r="Q171" s="54" t="str">
        <f>IF(OR($B171="",$A171&gt;$B$9,Q$163=""),"",IF(COUNTIFS(BD!$B$3:$B$5001,Q$163,BD!$A$3:$A$5001,"&gt;="&amp;$C$7,BD!$A$3:$A$5001,"&lt;="&amp;$B171,BD!$Q$3:$Q$5001,"&lt;&gt;")=0,"",SUMIFS(BD!$Q$3:$Q$5001,BD!$B$3:$B$5001,Q$163,BD!$A$3:$A$5001,_xlfn.MAXIFS(BD!$A$3:$A$5001,BD!$B$3:$B$5001,Q$163,BD!$A$3:$A$5001,"&gt;="&amp;$C$7,BD!$A$3:$A$5001,"&lt;="&amp;$B171,BD!$Q$3:$Q$5001,"&lt;&gt;"))))</f>
        <v/>
      </c>
      <c r="R171" s="54" t="str">
        <f>IF(OR($B171="",$A171&gt;$B$9,R$163=""),"",IF(COUNTIFS(BD!$B$3:$B$5001,R$163,BD!$A$3:$A$5001,"&gt;="&amp;$C$7,BD!$A$3:$A$5001,"&lt;="&amp;$B171,BD!$Q$3:$Q$5001,"&lt;&gt;")=0,"",SUMIFS(BD!$Q$3:$Q$5001,BD!$B$3:$B$5001,R$163,BD!$A$3:$A$5001,_xlfn.MAXIFS(BD!$A$3:$A$5001,BD!$B$3:$B$5001,R$163,BD!$A$3:$A$5001,"&gt;="&amp;$C$7,BD!$A$3:$A$5001,"&lt;="&amp;$B171,BD!$Q$3:$Q$5001,"&lt;&gt;"))))</f>
        <v/>
      </c>
      <c r="S171" s="54" t="str">
        <f>IF(OR($B171="",$A171&gt;$B$9,S$163=""),"",IF(COUNTIFS(BD!$B$3:$B$5001,S$163,BD!$A$3:$A$5001,"&gt;="&amp;$C$7,BD!$A$3:$A$5001,"&lt;="&amp;$B171,BD!$Q$3:$Q$5001,"&lt;&gt;")=0,"",SUMIFS(BD!$Q$3:$Q$5001,BD!$B$3:$B$5001,S$163,BD!$A$3:$A$5001,_xlfn.MAXIFS(BD!$A$3:$A$5001,BD!$B$3:$B$5001,S$163,BD!$A$3:$A$5001,"&gt;="&amp;$C$7,BD!$A$3:$A$5001,"&lt;="&amp;$B171,BD!$Q$3:$Q$5001,"&lt;&gt;"))))</f>
        <v/>
      </c>
      <c r="T171" s="54" t="str">
        <f>IF(OR($B171="",$A171&gt;$B$9,T$163=""),"",IF(COUNTIFS(BD!$B$3:$B$5001,T$163,BD!$A$3:$A$5001,"&gt;="&amp;$C$7,BD!$A$3:$A$5001,"&lt;="&amp;$B171,BD!$Q$3:$Q$5001,"&lt;&gt;")=0,"",SUMIFS(BD!$Q$3:$Q$5001,BD!$B$3:$B$5001,T$163,BD!$A$3:$A$5001,_xlfn.MAXIFS(BD!$A$3:$A$5001,BD!$B$3:$B$5001,T$163,BD!$A$3:$A$5001,"&gt;="&amp;$C$7,BD!$A$3:$A$5001,"&lt;="&amp;$B171,BD!$Q$3:$Q$5001,"&lt;&gt;"))))</f>
        <v/>
      </c>
      <c r="U171" s="54" t="str">
        <f>IF(OR($B171="",$A171&gt;$B$9,U$163=""),"",IF(COUNTIFS(BD!$B$3:$B$5001,U$163,BD!$A$3:$A$5001,"&gt;="&amp;$C$7,BD!$A$3:$A$5001,"&lt;="&amp;$B171,BD!$Q$3:$Q$5001,"&lt;&gt;")=0,"",SUMIFS(BD!$Q$3:$Q$5001,BD!$B$3:$B$5001,U$163,BD!$A$3:$A$5001,_xlfn.MAXIFS(BD!$A$3:$A$5001,BD!$B$3:$B$5001,U$163,BD!$A$3:$A$5001,"&gt;="&amp;$C$7,BD!$A$3:$A$5001,"&lt;="&amp;$B171,BD!$Q$3:$Q$5001,"&lt;&gt;"))))</f>
        <v/>
      </c>
      <c r="V171" s="54" t="str">
        <f>IF(OR($B171="",$A171&gt;$B$9,V$163=""),"",IF(COUNTIFS(BD!$B$3:$B$5001,V$163,BD!$A$3:$A$5001,"&gt;="&amp;$C$7,BD!$A$3:$A$5001,"&lt;="&amp;$B171,BD!$Q$3:$Q$5001,"&lt;&gt;")=0,"",SUMIFS(BD!$Q$3:$Q$5001,BD!$B$3:$B$5001,V$163,BD!$A$3:$A$5001,_xlfn.MAXIFS(BD!$A$3:$A$5001,BD!$B$3:$B$5001,V$163,BD!$A$3:$A$5001,"&gt;="&amp;$C$7,BD!$A$3:$A$5001,"&lt;="&amp;$B171,BD!$Q$3:$Q$5001,"&lt;&gt;"))))</f>
        <v/>
      </c>
    </row>
    <row r="172">
      <c r="A172" s="48">
        <v>9</v>
      </c>
      <c r="B172" s="53">
        <f>$B$20</f>
        <v>46304</v>
      </c>
      <c r="C172" s="54" t="str">
        <f>IF(OR($B172="",$A172&gt;$B$9,C$163=""),"",IF(COUNTIFS(BD!$B$3:$B$5001,C$163,BD!$A$3:$A$5001,"&gt;="&amp;$C$7,BD!$A$3:$A$5001,"&lt;="&amp;$B172,BD!$Q$3:$Q$5001,"&lt;&gt;")=0,"",SUMIFS(BD!$Q$3:$Q$5001,BD!$B$3:$B$5001,C$163,BD!$A$3:$A$5001,_xlfn.MAXIFS(BD!$A$3:$A$5001,BD!$B$3:$B$5001,C$163,BD!$A$3:$A$5001,"&gt;="&amp;$C$7,BD!$A$3:$A$5001,"&lt;="&amp;$B172,BD!$Q$3:$Q$5001,"&lt;&gt;"))))</f>
        <v/>
      </c>
      <c r="D172" s="54" t="str">
        <f>IF(OR($B172="",$A172&gt;$B$9,D$163=""),"",IF(COUNTIFS(BD!$B$3:$B$5001,D$163,BD!$A$3:$A$5001,"&gt;="&amp;$C$7,BD!$A$3:$A$5001,"&lt;="&amp;$B172,BD!$Q$3:$Q$5001,"&lt;&gt;")=0,"",SUMIFS(BD!$Q$3:$Q$5001,BD!$B$3:$B$5001,D$163,BD!$A$3:$A$5001,_xlfn.MAXIFS(BD!$A$3:$A$5001,BD!$B$3:$B$5001,D$163,BD!$A$3:$A$5001,"&gt;="&amp;$C$7,BD!$A$3:$A$5001,"&lt;="&amp;$B172,BD!$Q$3:$Q$5001,"&lt;&gt;"))))</f>
        <v/>
      </c>
      <c r="E172" s="54" t="str">
        <f>IF(OR($B172="",$A172&gt;$B$9,E$163=""),"",IF(COUNTIFS(BD!$B$3:$B$5001,E$163,BD!$A$3:$A$5001,"&gt;="&amp;$C$7,BD!$A$3:$A$5001,"&lt;="&amp;$B172,BD!$Q$3:$Q$5001,"&lt;&gt;")=0,"",SUMIFS(BD!$Q$3:$Q$5001,BD!$B$3:$B$5001,E$163,BD!$A$3:$A$5001,_xlfn.MAXIFS(BD!$A$3:$A$5001,BD!$B$3:$B$5001,E$163,BD!$A$3:$A$5001,"&gt;="&amp;$C$7,BD!$A$3:$A$5001,"&lt;="&amp;$B172,BD!$Q$3:$Q$5001,"&lt;&gt;"))))</f>
        <v/>
      </c>
      <c r="F172" s="54" t="str">
        <f>IF(OR($B172="",$A172&gt;$B$9,F$163=""),"",IF(COUNTIFS(BD!$B$3:$B$5001,F$163,BD!$A$3:$A$5001,"&gt;="&amp;$C$7,BD!$A$3:$A$5001,"&lt;="&amp;$B172,BD!$Q$3:$Q$5001,"&lt;&gt;")=0,"",SUMIFS(BD!$Q$3:$Q$5001,BD!$B$3:$B$5001,F$163,BD!$A$3:$A$5001,_xlfn.MAXIFS(BD!$A$3:$A$5001,BD!$B$3:$B$5001,F$163,BD!$A$3:$A$5001,"&gt;="&amp;$C$7,BD!$A$3:$A$5001,"&lt;="&amp;$B172,BD!$Q$3:$Q$5001,"&lt;&gt;"))))</f>
        <v/>
      </c>
      <c r="G172" s="54" t="str">
        <f>IF(OR($B172="",$A172&gt;$B$9,G$163=""),"",IF(COUNTIFS(BD!$B$3:$B$5001,G$163,BD!$A$3:$A$5001,"&gt;="&amp;$C$7,BD!$A$3:$A$5001,"&lt;="&amp;$B172,BD!$Q$3:$Q$5001,"&lt;&gt;")=0,"",SUMIFS(BD!$Q$3:$Q$5001,BD!$B$3:$B$5001,G$163,BD!$A$3:$A$5001,_xlfn.MAXIFS(BD!$A$3:$A$5001,BD!$B$3:$B$5001,G$163,BD!$A$3:$A$5001,"&gt;="&amp;$C$7,BD!$A$3:$A$5001,"&lt;="&amp;$B172,BD!$Q$3:$Q$5001,"&lt;&gt;"))))</f>
        <v/>
      </c>
      <c r="H172" s="54" t="str">
        <f>IF(OR($B172="",$A172&gt;$B$9,H$163=""),"",IF(COUNTIFS(BD!$B$3:$B$5001,H$163,BD!$A$3:$A$5001,"&gt;="&amp;$C$7,BD!$A$3:$A$5001,"&lt;="&amp;$B172,BD!$Q$3:$Q$5001,"&lt;&gt;")=0,"",SUMIFS(BD!$Q$3:$Q$5001,BD!$B$3:$B$5001,H$163,BD!$A$3:$A$5001,_xlfn.MAXIFS(BD!$A$3:$A$5001,BD!$B$3:$B$5001,H$163,BD!$A$3:$A$5001,"&gt;="&amp;$C$7,BD!$A$3:$A$5001,"&lt;="&amp;$B172,BD!$Q$3:$Q$5001,"&lt;&gt;"))))</f>
        <v/>
      </c>
      <c r="I172" s="54" t="str">
        <f>IF(OR($B172="",$A172&gt;$B$9,I$163=""),"",IF(COUNTIFS(BD!$B$3:$B$5001,I$163,BD!$A$3:$A$5001,"&gt;="&amp;$C$7,BD!$A$3:$A$5001,"&lt;="&amp;$B172,BD!$Q$3:$Q$5001,"&lt;&gt;")=0,"",SUMIFS(BD!$Q$3:$Q$5001,BD!$B$3:$B$5001,I$163,BD!$A$3:$A$5001,_xlfn.MAXIFS(BD!$A$3:$A$5001,BD!$B$3:$B$5001,I$163,BD!$A$3:$A$5001,"&gt;="&amp;$C$7,BD!$A$3:$A$5001,"&lt;="&amp;$B172,BD!$Q$3:$Q$5001,"&lt;&gt;"))))</f>
        <v/>
      </c>
      <c r="J172" s="54" t="str">
        <f>IF(OR($B172="",$A172&gt;$B$9,J$163=""),"",IF(COUNTIFS(BD!$B$3:$B$5001,J$163,BD!$A$3:$A$5001,"&gt;="&amp;$C$7,BD!$A$3:$A$5001,"&lt;="&amp;$B172,BD!$Q$3:$Q$5001,"&lt;&gt;")=0,"",SUMIFS(BD!$Q$3:$Q$5001,BD!$B$3:$B$5001,J$163,BD!$A$3:$A$5001,_xlfn.MAXIFS(BD!$A$3:$A$5001,BD!$B$3:$B$5001,J$163,BD!$A$3:$A$5001,"&gt;="&amp;$C$7,BD!$A$3:$A$5001,"&lt;="&amp;$B172,BD!$Q$3:$Q$5001,"&lt;&gt;"))))</f>
        <v/>
      </c>
      <c r="K172" s="54" t="str">
        <f>IF(OR($B172="",$A172&gt;$B$9,K$163=""),"",IF(COUNTIFS(BD!$B$3:$B$5001,K$163,BD!$A$3:$A$5001,"&gt;="&amp;$C$7,BD!$A$3:$A$5001,"&lt;="&amp;$B172,BD!$Q$3:$Q$5001,"&lt;&gt;")=0,"",SUMIFS(BD!$Q$3:$Q$5001,BD!$B$3:$B$5001,K$163,BD!$A$3:$A$5001,_xlfn.MAXIFS(BD!$A$3:$A$5001,BD!$B$3:$B$5001,K$163,BD!$A$3:$A$5001,"&gt;="&amp;$C$7,BD!$A$3:$A$5001,"&lt;="&amp;$B172,BD!$Q$3:$Q$5001,"&lt;&gt;"))))</f>
        <v/>
      </c>
      <c r="L172" s="54" t="str">
        <f>IF(OR($B172="",$A172&gt;$B$9,L$163=""),"",IF(COUNTIFS(BD!$B$3:$B$5001,L$163,BD!$A$3:$A$5001,"&gt;="&amp;$C$7,BD!$A$3:$A$5001,"&lt;="&amp;$B172,BD!$Q$3:$Q$5001,"&lt;&gt;")=0,"",SUMIFS(BD!$Q$3:$Q$5001,BD!$B$3:$B$5001,L$163,BD!$A$3:$A$5001,_xlfn.MAXIFS(BD!$A$3:$A$5001,BD!$B$3:$B$5001,L$163,BD!$A$3:$A$5001,"&gt;="&amp;$C$7,BD!$A$3:$A$5001,"&lt;="&amp;$B172,BD!$Q$3:$Q$5001,"&lt;&gt;"))))</f>
        <v/>
      </c>
      <c r="M172" s="54" t="str">
        <f>IF(OR($B172="",$A172&gt;$B$9,M$163=""),"",IF(COUNTIFS(BD!$B$3:$B$5001,M$163,BD!$A$3:$A$5001,"&gt;="&amp;$C$7,BD!$A$3:$A$5001,"&lt;="&amp;$B172,BD!$Q$3:$Q$5001,"&lt;&gt;")=0,"",SUMIFS(BD!$Q$3:$Q$5001,BD!$B$3:$B$5001,M$163,BD!$A$3:$A$5001,_xlfn.MAXIFS(BD!$A$3:$A$5001,BD!$B$3:$B$5001,M$163,BD!$A$3:$A$5001,"&gt;="&amp;$C$7,BD!$A$3:$A$5001,"&lt;="&amp;$B172,BD!$Q$3:$Q$5001,"&lt;&gt;"))))</f>
        <v/>
      </c>
      <c r="N172" s="54" t="str">
        <f>IF(OR($B172="",$A172&gt;$B$9,N$163=""),"",IF(COUNTIFS(BD!$B$3:$B$5001,N$163,BD!$A$3:$A$5001,"&gt;="&amp;$C$7,BD!$A$3:$A$5001,"&lt;="&amp;$B172,BD!$Q$3:$Q$5001,"&lt;&gt;")=0,"",SUMIFS(BD!$Q$3:$Q$5001,BD!$B$3:$B$5001,N$163,BD!$A$3:$A$5001,_xlfn.MAXIFS(BD!$A$3:$A$5001,BD!$B$3:$B$5001,N$163,BD!$A$3:$A$5001,"&gt;="&amp;$C$7,BD!$A$3:$A$5001,"&lt;="&amp;$B172,BD!$Q$3:$Q$5001,"&lt;&gt;"))))</f>
        <v/>
      </c>
      <c r="O172" s="54" t="str">
        <f>IF(OR($B172="",$A172&gt;$B$9,O$163=""),"",IF(COUNTIFS(BD!$B$3:$B$5001,O$163,BD!$A$3:$A$5001,"&gt;="&amp;$C$7,BD!$A$3:$A$5001,"&lt;="&amp;$B172,BD!$Q$3:$Q$5001,"&lt;&gt;")=0,"",SUMIFS(BD!$Q$3:$Q$5001,BD!$B$3:$B$5001,O$163,BD!$A$3:$A$5001,_xlfn.MAXIFS(BD!$A$3:$A$5001,BD!$B$3:$B$5001,O$163,BD!$A$3:$A$5001,"&gt;="&amp;$C$7,BD!$A$3:$A$5001,"&lt;="&amp;$B172,BD!$Q$3:$Q$5001,"&lt;&gt;"))))</f>
        <v/>
      </c>
      <c r="P172" s="54" t="str">
        <f>IF(OR($B172="",$A172&gt;$B$9,P$163=""),"",IF(COUNTIFS(BD!$B$3:$B$5001,P$163,BD!$A$3:$A$5001,"&gt;="&amp;$C$7,BD!$A$3:$A$5001,"&lt;="&amp;$B172,BD!$Q$3:$Q$5001,"&lt;&gt;")=0,"",SUMIFS(BD!$Q$3:$Q$5001,BD!$B$3:$B$5001,P$163,BD!$A$3:$A$5001,_xlfn.MAXIFS(BD!$A$3:$A$5001,BD!$B$3:$B$5001,P$163,BD!$A$3:$A$5001,"&gt;="&amp;$C$7,BD!$A$3:$A$5001,"&lt;="&amp;$B172,BD!$Q$3:$Q$5001,"&lt;&gt;"))))</f>
        <v/>
      </c>
      <c r="Q172" s="54" t="str">
        <f>IF(OR($B172="",$A172&gt;$B$9,Q$163=""),"",IF(COUNTIFS(BD!$B$3:$B$5001,Q$163,BD!$A$3:$A$5001,"&gt;="&amp;$C$7,BD!$A$3:$A$5001,"&lt;="&amp;$B172,BD!$Q$3:$Q$5001,"&lt;&gt;")=0,"",SUMIFS(BD!$Q$3:$Q$5001,BD!$B$3:$B$5001,Q$163,BD!$A$3:$A$5001,_xlfn.MAXIFS(BD!$A$3:$A$5001,BD!$B$3:$B$5001,Q$163,BD!$A$3:$A$5001,"&gt;="&amp;$C$7,BD!$A$3:$A$5001,"&lt;="&amp;$B172,BD!$Q$3:$Q$5001,"&lt;&gt;"))))</f>
        <v/>
      </c>
      <c r="R172" s="54" t="str">
        <f>IF(OR($B172="",$A172&gt;$B$9,R$163=""),"",IF(COUNTIFS(BD!$B$3:$B$5001,R$163,BD!$A$3:$A$5001,"&gt;="&amp;$C$7,BD!$A$3:$A$5001,"&lt;="&amp;$B172,BD!$Q$3:$Q$5001,"&lt;&gt;")=0,"",SUMIFS(BD!$Q$3:$Q$5001,BD!$B$3:$B$5001,R$163,BD!$A$3:$A$5001,_xlfn.MAXIFS(BD!$A$3:$A$5001,BD!$B$3:$B$5001,R$163,BD!$A$3:$A$5001,"&gt;="&amp;$C$7,BD!$A$3:$A$5001,"&lt;="&amp;$B172,BD!$Q$3:$Q$5001,"&lt;&gt;"))))</f>
        <v/>
      </c>
      <c r="S172" s="54" t="str">
        <f>IF(OR($B172="",$A172&gt;$B$9,S$163=""),"",IF(COUNTIFS(BD!$B$3:$B$5001,S$163,BD!$A$3:$A$5001,"&gt;="&amp;$C$7,BD!$A$3:$A$5001,"&lt;="&amp;$B172,BD!$Q$3:$Q$5001,"&lt;&gt;")=0,"",SUMIFS(BD!$Q$3:$Q$5001,BD!$B$3:$B$5001,S$163,BD!$A$3:$A$5001,_xlfn.MAXIFS(BD!$A$3:$A$5001,BD!$B$3:$B$5001,S$163,BD!$A$3:$A$5001,"&gt;="&amp;$C$7,BD!$A$3:$A$5001,"&lt;="&amp;$B172,BD!$Q$3:$Q$5001,"&lt;&gt;"))))</f>
        <v/>
      </c>
      <c r="T172" s="54" t="str">
        <f>IF(OR($B172="",$A172&gt;$B$9,T$163=""),"",IF(COUNTIFS(BD!$B$3:$B$5001,T$163,BD!$A$3:$A$5001,"&gt;="&amp;$C$7,BD!$A$3:$A$5001,"&lt;="&amp;$B172,BD!$Q$3:$Q$5001,"&lt;&gt;")=0,"",SUMIFS(BD!$Q$3:$Q$5001,BD!$B$3:$B$5001,T$163,BD!$A$3:$A$5001,_xlfn.MAXIFS(BD!$A$3:$A$5001,BD!$B$3:$B$5001,T$163,BD!$A$3:$A$5001,"&gt;="&amp;$C$7,BD!$A$3:$A$5001,"&lt;="&amp;$B172,BD!$Q$3:$Q$5001,"&lt;&gt;"))))</f>
        <v/>
      </c>
      <c r="U172" s="54" t="str">
        <f>IF(OR($B172="",$A172&gt;$B$9,U$163=""),"",IF(COUNTIFS(BD!$B$3:$B$5001,U$163,BD!$A$3:$A$5001,"&gt;="&amp;$C$7,BD!$A$3:$A$5001,"&lt;="&amp;$B172,BD!$Q$3:$Q$5001,"&lt;&gt;")=0,"",SUMIFS(BD!$Q$3:$Q$5001,BD!$B$3:$B$5001,U$163,BD!$A$3:$A$5001,_xlfn.MAXIFS(BD!$A$3:$A$5001,BD!$B$3:$B$5001,U$163,BD!$A$3:$A$5001,"&gt;="&amp;$C$7,BD!$A$3:$A$5001,"&lt;="&amp;$B172,BD!$Q$3:$Q$5001,"&lt;&gt;"))))</f>
        <v/>
      </c>
      <c r="V172" s="54" t="str">
        <f>IF(OR($B172="",$A172&gt;$B$9,V$163=""),"",IF(COUNTIFS(BD!$B$3:$B$5001,V$163,BD!$A$3:$A$5001,"&gt;="&amp;$C$7,BD!$A$3:$A$5001,"&lt;="&amp;$B172,BD!$Q$3:$Q$5001,"&lt;&gt;")=0,"",SUMIFS(BD!$Q$3:$Q$5001,BD!$B$3:$B$5001,V$163,BD!$A$3:$A$5001,_xlfn.MAXIFS(BD!$A$3:$A$5001,BD!$B$3:$B$5001,V$163,BD!$A$3:$A$5001,"&gt;="&amp;$C$7,BD!$A$3:$A$5001,"&lt;="&amp;$B172,BD!$Q$3:$Q$5001,"&lt;&gt;"))))</f>
        <v/>
      </c>
    </row>
    <row r="173">
      <c r="A173" s="48">
        <v>10</v>
      </c>
      <c r="B173" s="53">
        <f>$B$21</f>
        <v>46305</v>
      </c>
      <c r="C173" s="54" t="str">
        <f>IF(OR($B173="",$A173&gt;$B$9,C$163=""),"",IF(COUNTIFS(BD!$B$3:$B$5001,C$163,BD!$A$3:$A$5001,"&gt;="&amp;$C$7,BD!$A$3:$A$5001,"&lt;="&amp;$B173,BD!$Q$3:$Q$5001,"&lt;&gt;")=0,"",SUMIFS(BD!$Q$3:$Q$5001,BD!$B$3:$B$5001,C$163,BD!$A$3:$A$5001,_xlfn.MAXIFS(BD!$A$3:$A$5001,BD!$B$3:$B$5001,C$163,BD!$A$3:$A$5001,"&gt;="&amp;$C$7,BD!$A$3:$A$5001,"&lt;="&amp;$B173,BD!$Q$3:$Q$5001,"&lt;&gt;"))))</f>
        <v/>
      </c>
      <c r="D173" s="54" t="str">
        <f>IF(OR($B173="",$A173&gt;$B$9,D$163=""),"",IF(COUNTIFS(BD!$B$3:$B$5001,D$163,BD!$A$3:$A$5001,"&gt;="&amp;$C$7,BD!$A$3:$A$5001,"&lt;="&amp;$B173,BD!$Q$3:$Q$5001,"&lt;&gt;")=0,"",SUMIFS(BD!$Q$3:$Q$5001,BD!$B$3:$B$5001,D$163,BD!$A$3:$A$5001,_xlfn.MAXIFS(BD!$A$3:$A$5001,BD!$B$3:$B$5001,D$163,BD!$A$3:$A$5001,"&gt;="&amp;$C$7,BD!$A$3:$A$5001,"&lt;="&amp;$B173,BD!$Q$3:$Q$5001,"&lt;&gt;"))))</f>
        <v/>
      </c>
      <c r="E173" s="54" t="str">
        <f>IF(OR($B173="",$A173&gt;$B$9,E$163=""),"",IF(COUNTIFS(BD!$B$3:$B$5001,E$163,BD!$A$3:$A$5001,"&gt;="&amp;$C$7,BD!$A$3:$A$5001,"&lt;="&amp;$B173,BD!$Q$3:$Q$5001,"&lt;&gt;")=0,"",SUMIFS(BD!$Q$3:$Q$5001,BD!$B$3:$B$5001,E$163,BD!$A$3:$A$5001,_xlfn.MAXIFS(BD!$A$3:$A$5001,BD!$B$3:$B$5001,E$163,BD!$A$3:$A$5001,"&gt;="&amp;$C$7,BD!$A$3:$A$5001,"&lt;="&amp;$B173,BD!$Q$3:$Q$5001,"&lt;&gt;"))))</f>
        <v/>
      </c>
      <c r="F173" s="54" t="str">
        <f>IF(OR($B173="",$A173&gt;$B$9,F$163=""),"",IF(COUNTIFS(BD!$B$3:$B$5001,F$163,BD!$A$3:$A$5001,"&gt;="&amp;$C$7,BD!$A$3:$A$5001,"&lt;="&amp;$B173,BD!$Q$3:$Q$5001,"&lt;&gt;")=0,"",SUMIFS(BD!$Q$3:$Q$5001,BD!$B$3:$B$5001,F$163,BD!$A$3:$A$5001,_xlfn.MAXIFS(BD!$A$3:$A$5001,BD!$B$3:$B$5001,F$163,BD!$A$3:$A$5001,"&gt;="&amp;$C$7,BD!$A$3:$A$5001,"&lt;="&amp;$B173,BD!$Q$3:$Q$5001,"&lt;&gt;"))))</f>
        <v/>
      </c>
      <c r="G173" s="54" t="str">
        <f>IF(OR($B173="",$A173&gt;$B$9,G$163=""),"",IF(COUNTIFS(BD!$B$3:$B$5001,G$163,BD!$A$3:$A$5001,"&gt;="&amp;$C$7,BD!$A$3:$A$5001,"&lt;="&amp;$B173,BD!$Q$3:$Q$5001,"&lt;&gt;")=0,"",SUMIFS(BD!$Q$3:$Q$5001,BD!$B$3:$B$5001,G$163,BD!$A$3:$A$5001,_xlfn.MAXIFS(BD!$A$3:$A$5001,BD!$B$3:$B$5001,G$163,BD!$A$3:$A$5001,"&gt;="&amp;$C$7,BD!$A$3:$A$5001,"&lt;="&amp;$B173,BD!$Q$3:$Q$5001,"&lt;&gt;"))))</f>
        <v/>
      </c>
      <c r="H173" s="54" t="str">
        <f>IF(OR($B173="",$A173&gt;$B$9,H$163=""),"",IF(COUNTIFS(BD!$B$3:$B$5001,H$163,BD!$A$3:$A$5001,"&gt;="&amp;$C$7,BD!$A$3:$A$5001,"&lt;="&amp;$B173,BD!$Q$3:$Q$5001,"&lt;&gt;")=0,"",SUMIFS(BD!$Q$3:$Q$5001,BD!$B$3:$B$5001,H$163,BD!$A$3:$A$5001,_xlfn.MAXIFS(BD!$A$3:$A$5001,BD!$B$3:$B$5001,H$163,BD!$A$3:$A$5001,"&gt;="&amp;$C$7,BD!$A$3:$A$5001,"&lt;="&amp;$B173,BD!$Q$3:$Q$5001,"&lt;&gt;"))))</f>
        <v/>
      </c>
      <c r="I173" s="54" t="str">
        <f>IF(OR($B173="",$A173&gt;$B$9,I$163=""),"",IF(COUNTIFS(BD!$B$3:$B$5001,I$163,BD!$A$3:$A$5001,"&gt;="&amp;$C$7,BD!$A$3:$A$5001,"&lt;="&amp;$B173,BD!$Q$3:$Q$5001,"&lt;&gt;")=0,"",SUMIFS(BD!$Q$3:$Q$5001,BD!$B$3:$B$5001,I$163,BD!$A$3:$A$5001,_xlfn.MAXIFS(BD!$A$3:$A$5001,BD!$B$3:$B$5001,I$163,BD!$A$3:$A$5001,"&gt;="&amp;$C$7,BD!$A$3:$A$5001,"&lt;="&amp;$B173,BD!$Q$3:$Q$5001,"&lt;&gt;"))))</f>
        <v/>
      </c>
      <c r="J173" s="54" t="str">
        <f>IF(OR($B173="",$A173&gt;$B$9,J$163=""),"",IF(COUNTIFS(BD!$B$3:$B$5001,J$163,BD!$A$3:$A$5001,"&gt;="&amp;$C$7,BD!$A$3:$A$5001,"&lt;="&amp;$B173,BD!$Q$3:$Q$5001,"&lt;&gt;")=0,"",SUMIFS(BD!$Q$3:$Q$5001,BD!$B$3:$B$5001,J$163,BD!$A$3:$A$5001,_xlfn.MAXIFS(BD!$A$3:$A$5001,BD!$B$3:$B$5001,J$163,BD!$A$3:$A$5001,"&gt;="&amp;$C$7,BD!$A$3:$A$5001,"&lt;="&amp;$B173,BD!$Q$3:$Q$5001,"&lt;&gt;"))))</f>
        <v/>
      </c>
      <c r="K173" s="54" t="str">
        <f>IF(OR($B173="",$A173&gt;$B$9,K$163=""),"",IF(COUNTIFS(BD!$B$3:$B$5001,K$163,BD!$A$3:$A$5001,"&gt;="&amp;$C$7,BD!$A$3:$A$5001,"&lt;="&amp;$B173,BD!$Q$3:$Q$5001,"&lt;&gt;")=0,"",SUMIFS(BD!$Q$3:$Q$5001,BD!$B$3:$B$5001,K$163,BD!$A$3:$A$5001,_xlfn.MAXIFS(BD!$A$3:$A$5001,BD!$B$3:$B$5001,K$163,BD!$A$3:$A$5001,"&gt;="&amp;$C$7,BD!$A$3:$A$5001,"&lt;="&amp;$B173,BD!$Q$3:$Q$5001,"&lt;&gt;"))))</f>
        <v/>
      </c>
      <c r="L173" s="54" t="str">
        <f>IF(OR($B173="",$A173&gt;$B$9,L$163=""),"",IF(COUNTIFS(BD!$B$3:$B$5001,L$163,BD!$A$3:$A$5001,"&gt;="&amp;$C$7,BD!$A$3:$A$5001,"&lt;="&amp;$B173,BD!$Q$3:$Q$5001,"&lt;&gt;")=0,"",SUMIFS(BD!$Q$3:$Q$5001,BD!$B$3:$B$5001,L$163,BD!$A$3:$A$5001,_xlfn.MAXIFS(BD!$A$3:$A$5001,BD!$B$3:$B$5001,L$163,BD!$A$3:$A$5001,"&gt;="&amp;$C$7,BD!$A$3:$A$5001,"&lt;="&amp;$B173,BD!$Q$3:$Q$5001,"&lt;&gt;"))))</f>
        <v/>
      </c>
      <c r="M173" s="54" t="str">
        <f>IF(OR($B173="",$A173&gt;$B$9,M$163=""),"",IF(COUNTIFS(BD!$B$3:$B$5001,M$163,BD!$A$3:$A$5001,"&gt;="&amp;$C$7,BD!$A$3:$A$5001,"&lt;="&amp;$B173,BD!$Q$3:$Q$5001,"&lt;&gt;")=0,"",SUMIFS(BD!$Q$3:$Q$5001,BD!$B$3:$B$5001,M$163,BD!$A$3:$A$5001,_xlfn.MAXIFS(BD!$A$3:$A$5001,BD!$B$3:$B$5001,M$163,BD!$A$3:$A$5001,"&gt;="&amp;$C$7,BD!$A$3:$A$5001,"&lt;="&amp;$B173,BD!$Q$3:$Q$5001,"&lt;&gt;"))))</f>
        <v/>
      </c>
      <c r="N173" s="54" t="str">
        <f>IF(OR($B173="",$A173&gt;$B$9,N$163=""),"",IF(COUNTIFS(BD!$B$3:$B$5001,N$163,BD!$A$3:$A$5001,"&gt;="&amp;$C$7,BD!$A$3:$A$5001,"&lt;="&amp;$B173,BD!$Q$3:$Q$5001,"&lt;&gt;")=0,"",SUMIFS(BD!$Q$3:$Q$5001,BD!$B$3:$B$5001,N$163,BD!$A$3:$A$5001,_xlfn.MAXIFS(BD!$A$3:$A$5001,BD!$B$3:$B$5001,N$163,BD!$A$3:$A$5001,"&gt;="&amp;$C$7,BD!$A$3:$A$5001,"&lt;="&amp;$B173,BD!$Q$3:$Q$5001,"&lt;&gt;"))))</f>
        <v/>
      </c>
      <c r="O173" s="54" t="str">
        <f>IF(OR($B173="",$A173&gt;$B$9,O$163=""),"",IF(COUNTIFS(BD!$B$3:$B$5001,O$163,BD!$A$3:$A$5001,"&gt;="&amp;$C$7,BD!$A$3:$A$5001,"&lt;="&amp;$B173,BD!$Q$3:$Q$5001,"&lt;&gt;")=0,"",SUMIFS(BD!$Q$3:$Q$5001,BD!$B$3:$B$5001,O$163,BD!$A$3:$A$5001,_xlfn.MAXIFS(BD!$A$3:$A$5001,BD!$B$3:$B$5001,O$163,BD!$A$3:$A$5001,"&gt;="&amp;$C$7,BD!$A$3:$A$5001,"&lt;="&amp;$B173,BD!$Q$3:$Q$5001,"&lt;&gt;"))))</f>
        <v/>
      </c>
      <c r="P173" s="54" t="str">
        <f>IF(OR($B173="",$A173&gt;$B$9,P$163=""),"",IF(COUNTIFS(BD!$B$3:$B$5001,P$163,BD!$A$3:$A$5001,"&gt;="&amp;$C$7,BD!$A$3:$A$5001,"&lt;="&amp;$B173,BD!$Q$3:$Q$5001,"&lt;&gt;")=0,"",SUMIFS(BD!$Q$3:$Q$5001,BD!$B$3:$B$5001,P$163,BD!$A$3:$A$5001,_xlfn.MAXIFS(BD!$A$3:$A$5001,BD!$B$3:$B$5001,P$163,BD!$A$3:$A$5001,"&gt;="&amp;$C$7,BD!$A$3:$A$5001,"&lt;="&amp;$B173,BD!$Q$3:$Q$5001,"&lt;&gt;"))))</f>
        <v/>
      </c>
      <c r="Q173" s="54" t="str">
        <f>IF(OR($B173="",$A173&gt;$B$9,Q$163=""),"",IF(COUNTIFS(BD!$B$3:$B$5001,Q$163,BD!$A$3:$A$5001,"&gt;="&amp;$C$7,BD!$A$3:$A$5001,"&lt;="&amp;$B173,BD!$Q$3:$Q$5001,"&lt;&gt;")=0,"",SUMIFS(BD!$Q$3:$Q$5001,BD!$B$3:$B$5001,Q$163,BD!$A$3:$A$5001,_xlfn.MAXIFS(BD!$A$3:$A$5001,BD!$B$3:$B$5001,Q$163,BD!$A$3:$A$5001,"&gt;="&amp;$C$7,BD!$A$3:$A$5001,"&lt;="&amp;$B173,BD!$Q$3:$Q$5001,"&lt;&gt;"))))</f>
        <v/>
      </c>
      <c r="R173" s="54" t="str">
        <f>IF(OR($B173="",$A173&gt;$B$9,R$163=""),"",IF(COUNTIFS(BD!$B$3:$B$5001,R$163,BD!$A$3:$A$5001,"&gt;="&amp;$C$7,BD!$A$3:$A$5001,"&lt;="&amp;$B173,BD!$Q$3:$Q$5001,"&lt;&gt;")=0,"",SUMIFS(BD!$Q$3:$Q$5001,BD!$B$3:$B$5001,R$163,BD!$A$3:$A$5001,_xlfn.MAXIFS(BD!$A$3:$A$5001,BD!$B$3:$B$5001,R$163,BD!$A$3:$A$5001,"&gt;="&amp;$C$7,BD!$A$3:$A$5001,"&lt;="&amp;$B173,BD!$Q$3:$Q$5001,"&lt;&gt;"))))</f>
        <v/>
      </c>
      <c r="S173" s="54" t="str">
        <f>IF(OR($B173="",$A173&gt;$B$9,S$163=""),"",IF(COUNTIFS(BD!$B$3:$B$5001,S$163,BD!$A$3:$A$5001,"&gt;="&amp;$C$7,BD!$A$3:$A$5001,"&lt;="&amp;$B173,BD!$Q$3:$Q$5001,"&lt;&gt;")=0,"",SUMIFS(BD!$Q$3:$Q$5001,BD!$B$3:$B$5001,S$163,BD!$A$3:$A$5001,_xlfn.MAXIFS(BD!$A$3:$A$5001,BD!$B$3:$B$5001,S$163,BD!$A$3:$A$5001,"&gt;="&amp;$C$7,BD!$A$3:$A$5001,"&lt;="&amp;$B173,BD!$Q$3:$Q$5001,"&lt;&gt;"))))</f>
        <v/>
      </c>
      <c r="T173" s="54" t="str">
        <f>IF(OR($B173="",$A173&gt;$B$9,T$163=""),"",IF(COUNTIFS(BD!$B$3:$B$5001,T$163,BD!$A$3:$A$5001,"&gt;="&amp;$C$7,BD!$A$3:$A$5001,"&lt;="&amp;$B173,BD!$Q$3:$Q$5001,"&lt;&gt;")=0,"",SUMIFS(BD!$Q$3:$Q$5001,BD!$B$3:$B$5001,T$163,BD!$A$3:$A$5001,_xlfn.MAXIFS(BD!$A$3:$A$5001,BD!$B$3:$B$5001,T$163,BD!$A$3:$A$5001,"&gt;="&amp;$C$7,BD!$A$3:$A$5001,"&lt;="&amp;$B173,BD!$Q$3:$Q$5001,"&lt;&gt;"))))</f>
        <v/>
      </c>
      <c r="U173" s="54" t="str">
        <f>IF(OR($B173="",$A173&gt;$B$9,U$163=""),"",IF(COUNTIFS(BD!$B$3:$B$5001,U$163,BD!$A$3:$A$5001,"&gt;="&amp;$C$7,BD!$A$3:$A$5001,"&lt;="&amp;$B173,BD!$Q$3:$Q$5001,"&lt;&gt;")=0,"",SUMIFS(BD!$Q$3:$Q$5001,BD!$B$3:$B$5001,U$163,BD!$A$3:$A$5001,_xlfn.MAXIFS(BD!$A$3:$A$5001,BD!$B$3:$B$5001,U$163,BD!$A$3:$A$5001,"&gt;="&amp;$C$7,BD!$A$3:$A$5001,"&lt;="&amp;$B173,BD!$Q$3:$Q$5001,"&lt;&gt;"))))</f>
        <v/>
      </c>
      <c r="V173" s="54" t="str">
        <f>IF(OR($B173="",$A173&gt;$B$9,V$163=""),"",IF(COUNTIFS(BD!$B$3:$B$5001,V$163,BD!$A$3:$A$5001,"&gt;="&amp;$C$7,BD!$A$3:$A$5001,"&lt;="&amp;$B173,BD!$Q$3:$Q$5001,"&lt;&gt;")=0,"",SUMIFS(BD!$Q$3:$Q$5001,BD!$B$3:$B$5001,V$163,BD!$A$3:$A$5001,_xlfn.MAXIFS(BD!$A$3:$A$5001,BD!$B$3:$B$5001,V$163,BD!$A$3:$A$5001,"&gt;="&amp;$C$7,BD!$A$3:$A$5001,"&lt;="&amp;$B173,BD!$Q$3:$Q$5001,"&lt;&gt;"))))</f>
        <v/>
      </c>
    </row>
    <row r="174">
      <c r="A174" s="48">
        <v>11</v>
      </c>
      <c r="B174" s="53">
        <f>$B$22</f>
        <v>46306</v>
      </c>
      <c r="C174" s="54" t="str">
        <f>IF(OR($B174="",$A174&gt;$B$9,C$163=""),"",IF(COUNTIFS(BD!$B$3:$B$5001,C$163,BD!$A$3:$A$5001,"&gt;="&amp;$C$7,BD!$A$3:$A$5001,"&lt;="&amp;$B174,BD!$Q$3:$Q$5001,"&lt;&gt;")=0,"",SUMIFS(BD!$Q$3:$Q$5001,BD!$B$3:$B$5001,C$163,BD!$A$3:$A$5001,_xlfn.MAXIFS(BD!$A$3:$A$5001,BD!$B$3:$B$5001,C$163,BD!$A$3:$A$5001,"&gt;="&amp;$C$7,BD!$A$3:$A$5001,"&lt;="&amp;$B174,BD!$Q$3:$Q$5001,"&lt;&gt;"))))</f>
        <v/>
      </c>
      <c r="D174" s="54" t="str">
        <f>IF(OR($B174="",$A174&gt;$B$9,D$163=""),"",IF(COUNTIFS(BD!$B$3:$B$5001,D$163,BD!$A$3:$A$5001,"&gt;="&amp;$C$7,BD!$A$3:$A$5001,"&lt;="&amp;$B174,BD!$Q$3:$Q$5001,"&lt;&gt;")=0,"",SUMIFS(BD!$Q$3:$Q$5001,BD!$B$3:$B$5001,D$163,BD!$A$3:$A$5001,_xlfn.MAXIFS(BD!$A$3:$A$5001,BD!$B$3:$B$5001,D$163,BD!$A$3:$A$5001,"&gt;="&amp;$C$7,BD!$A$3:$A$5001,"&lt;="&amp;$B174,BD!$Q$3:$Q$5001,"&lt;&gt;"))))</f>
        <v/>
      </c>
      <c r="E174" s="54" t="str">
        <f>IF(OR($B174="",$A174&gt;$B$9,E$163=""),"",IF(COUNTIFS(BD!$B$3:$B$5001,E$163,BD!$A$3:$A$5001,"&gt;="&amp;$C$7,BD!$A$3:$A$5001,"&lt;="&amp;$B174,BD!$Q$3:$Q$5001,"&lt;&gt;")=0,"",SUMIFS(BD!$Q$3:$Q$5001,BD!$B$3:$B$5001,E$163,BD!$A$3:$A$5001,_xlfn.MAXIFS(BD!$A$3:$A$5001,BD!$B$3:$B$5001,E$163,BD!$A$3:$A$5001,"&gt;="&amp;$C$7,BD!$A$3:$A$5001,"&lt;="&amp;$B174,BD!$Q$3:$Q$5001,"&lt;&gt;"))))</f>
        <v/>
      </c>
      <c r="F174" s="54" t="str">
        <f>IF(OR($B174="",$A174&gt;$B$9,F$163=""),"",IF(COUNTIFS(BD!$B$3:$B$5001,F$163,BD!$A$3:$A$5001,"&gt;="&amp;$C$7,BD!$A$3:$A$5001,"&lt;="&amp;$B174,BD!$Q$3:$Q$5001,"&lt;&gt;")=0,"",SUMIFS(BD!$Q$3:$Q$5001,BD!$B$3:$B$5001,F$163,BD!$A$3:$A$5001,_xlfn.MAXIFS(BD!$A$3:$A$5001,BD!$B$3:$B$5001,F$163,BD!$A$3:$A$5001,"&gt;="&amp;$C$7,BD!$A$3:$A$5001,"&lt;="&amp;$B174,BD!$Q$3:$Q$5001,"&lt;&gt;"))))</f>
        <v/>
      </c>
      <c r="G174" s="54" t="str">
        <f>IF(OR($B174="",$A174&gt;$B$9,G$163=""),"",IF(COUNTIFS(BD!$B$3:$B$5001,G$163,BD!$A$3:$A$5001,"&gt;="&amp;$C$7,BD!$A$3:$A$5001,"&lt;="&amp;$B174,BD!$Q$3:$Q$5001,"&lt;&gt;")=0,"",SUMIFS(BD!$Q$3:$Q$5001,BD!$B$3:$B$5001,G$163,BD!$A$3:$A$5001,_xlfn.MAXIFS(BD!$A$3:$A$5001,BD!$B$3:$B$5001,G$163,BD!$A$3:$A$5001,"&gt;="&amp;$C$7,BD!$A$3:$A$5001,"&lt;="&amp;$B174,BD!$Q$3:$Q$5001,"&lt;&gt;"))))</f>
        <v/>
      </c>
      <c r="H174" s="54" t="str">
        <f>IF(OR($B174="",$A174&gt;$B$9,H$163=""),"",IF(COUNTIFS(BD!$B$3:$B$5001,H$163,BD!$A$3:$A$5001,"&gt;="&amp;$C$7,BD!$A$3:$A$5001,"&lt;="&amp;$B174,BD!$Q$3:$Q$5001,"&lt;&gt;")=0,"",SUMIFS(BD!$Q$3:$Q$5001,BD!$B$3:$B$5001,H$163,BD!$A$3:$A$5001,_xlfn.MAXIFS(BD!$A$3:$A$5001,BD!$B$3:$B$5001,H$163,BD!$A$3:$A$5001,"&gt;="&amp;$C$7,BD!$A$3:$A$5001,"&lt;="&amp;$B174,BD!$Q$3:$Q$5001,"&lt;&gt;"))))</f>
        <v/>
      </c>
      <c r="I174" s="54" t="str">
        <f>IF(OR($B174="",$A174&gt;$B$9,I$163=""),"",IF(COUNTIFS(BD!$B$3:$B$5001,I$163,BD!$A$3:$A$5001,"&gt;="&amp;$C$7,BD!$A$3:$A$5001,"&lt;="&amp;$B174,BD!$Q$3:$Q$5001,"&lt;&gt;")=0,"",SUMIFS(BD!$Q$3:$Q$5001,BD!$B$3:$B$5001,I$163,BD!$A$3:$A$5001,_xlfn.MAXIFS(BD!$A$3:$A$5001,BD!$B$3:$B$5001,I$163,BD!$A$3:$A$5001,"&gt;="&amp;$C$7,BD!$A$3:$A$5001,"&lt;="&amp;$B174,BD!$Q$3:$Q$5001,"&lt;&gt;"))))</f>
        <v/>
      </c>
      <c r="J174" s="54" t="str">
        <f>IF(OR($B174="",$A174&gt;$B$9,J$163=""),"",IF(COUNTIFS(BD!$B$3:$B$5001,J$163,BD!$A$3:$A$5001,"&gt;="&amp;$C$7,BD!$A$3:$A$5001,"&lt;="&amp;$B174,BD!$Q$3:$Q$5001,"&lt;&gt;")=0,"",SUMIFS(BD!$Q$3:$Q$5001,BD!$B$3:$B$5001,J$163,BD!$A$3:$A$5001,_xlfn.MAXIFS(BD!$A$3:$A$5001,BD!$B$3:$B$5001,J$163,BD!$A$3:$A$5001,"&gt;="&amp;$C$7,BD!$A$3:$A$5001,"&lt;="&amp;$B174,BD!$Q$3:$Q$5001,"&lt;&gt;"))))</f>
        <v/>
      </c>
      <c r="K174" s="54" t="str">
        <f>IF(OR($B174="",$A174&gt;$B$9,K$163=""),"",IF(COUNTIFS(BD!$B$3:$B$5001,K$163,BD!$A$3:$A$5001,"&gt;="&amp;$C$7,BD!$A$3:$A$5001,"&lt;="&amp;$B174,BD!$Q$3:$Q$5001,"&lt;&gt;")=0,"",SUMIFS(BD!$Q$3:$Q$5001,BD!$B$3:$B$5001,K$163,BD!$A$3:$A$5001,_xlfn.MAXIFS(BD!$A$3:$A$5001,BD!$B$3:$B$5001,K$163,BD!$A$3:$A$5001,"&gt;="&amp;$C$7,BD!$A$3:$A$5001,"&lt;="&amp;$B174,BD!$Q$3:$Q$5001,"&lt;&gt;"))))</f>
        <v/>
      </c>
      <c r="L174" s="54" t="str">
        <f>IF(OR($B174="",$A174&gt;$B$9,L$163=""),"",IF(COUNTIFS(BD!$B$3:$B$5001,L$163,BD!$A$3:$A$5001,"&gt;="&amp;$C$7,BD!$A$3:$A$5001,"&lt;="&amp;$B174,BD!$Q$3:$Q$5001,"&lt;&gt;")=0,"",SUMIFS(BD!$Q$3:$Q$5001,BD!$B$3:$B$5001,L$163,BD!$A$3:$A$5001,_xlfn.MAXIFS(BD!$A$3:$A$5001,BD!$B$3:$B$5001,L$163,BD!$A$3:$A$5001,"&gt;="&amp;$C$7,BD!$A$3:$A$5001,"&lt;="&amp;$B174,BD!$Q$3:$Q$5001,"&lt;&gt;"))))</f>
        <v/>
      </c>
      <c r="M174" s="54" t="str">
        <f>IF(OR($B174="",$A174&gt;$B$9,M$163=""),"",IF(COUNTIFS(BD!$B$3:$B$5001,M$163,BD!$A$3:$A$5001,"&gt;="&amp;$C$7,BD!$A$3:$A$5001,"&lt;="&amp;$B174,BD!$Q$3:$Q$5001,"&lt;&gt;")=0,"",SUMIFS(BD!$Q$3:$Q$5001,BD!$B$3:$B$5001,M$163,BD!$A$3:$A$5001,_xlfn.MAXIFS(BD!$A$3:$A$5001,BD!$B$3:$B$5001,M$163,BD!$A$3:$A$5001,"&gt;="&amp;$C$7,BD!$A$3:$A$5001,"&lt;="&amp;$B174,BD!$Q$3:$Q$5001,"&lt;&gt;"))))</f>
        <v/>
      </c>
      <c r="N174" s="54" t="str">
        <f>IF(OR($B174="",$A174&gt;$B$9,N$163=""),"",IF(COUNTIFS(BD!$B$3:$B$5001,N$163,BD!$A$3:$A$5001,"&gt;="&amp;$C$7,BD!$A$3:$A$5001,"&lt;="&amp;$B174,BD!$Q$3:$Q$5001,"&lt;&gt;")=0,"",SUMIFS(BD!$Q$3:$Q$5001,BD!$B$3:$B$5001,N$163,BD!$A$3:$A$5001,_xlfn.MAXIFS(BD!$A$3:$A$5001,BD!$B$3:$B$5001,N$163,BD!$A$3:$A$5001,"&gt;="&amp;$C$7,BD!$A$3:$A$5001,"&lt;="&amp;$B174,BD!$Q$3:$Q$5001,"&lt;&gt;"))))</f>
        <v/>
      </c>
      <c r="O174" s="54" t="str">
        <f>IF(OR($B174="",$A174&gt;$B$9,O$163=""),"",IF(COUNTIFS(BD!$B$3:$B$5001,O$163,BD!$A$3:$A$5001,"&gt;="&amp;$C$7,BD!$A$3:$A$5001,"&lt;="&amp;$B174,BD!$Q$3:$Q$5001,"&lt;&gt;")=0,"",SUMIFS(BD!$Q$3:$Q$5001,BD!$B$3:$B$5001,O$163,BD!$A$3:$A$5001,_xlfn.MAXIFS(BD!$A$3:$A$5001,BD!$B$3:$B$5001,O$163,BD!$A$3:$A$5001,"&gt;="&amp;$C$7,BD!$A$3:$A$5001,"&lt;="&amp;$B174,BD!$Q$3:$Q$5001,"&lt;&gt;"))))</f>
        <v/>
      </c>
      <c r="P174" s="54" t="str">
        <f>IF(OR($B174="",$A174&gt;$B$9,P$163=""),"",IF(COUNTIFS(BD!$B$3:$B$5001,P$163,BD!$A$3:$A$5001,"&gt;="&amp;$C$7,BD!$A$3:$A$5001,"&lt;="&amp;$B174,BD!$Q$3:$Q$5001,"&lt;&gt;")=0,"",SUMIFS(BD!$Q$3:$Q$5001,BD!$B$3:$B$5001,P$163,BD!$A$3:$A$5001,_xlfn.MAXIFS(BD!$A$3:$A$5001,BD!$B$3:$B$5001,P$163,BD!$A$3:$A$5001,"&gt;="&amp;$C$7,BD!$A$3:$A$5001,"&lt;="&amp;$B174,BD!$Q$3:$Q$5001,"&lt;&gt;"))))</f>
        <v/>
      </c>
      <c r="Q174" s="54" t="str">
        <f>IF(OR($B174="",$A174&gt;$B$9,Q$163=""),"",IF(COUNTIFS(BD!$B$3:$B$5001,Q$163,BD!$A$3:$A$5001,"&gt;="&amp;$C$7,BD!$A$3:$A$5001,"&lt;="&amp;$B174,BD!$Q$3:$Q$5001,"&lt;&gt;")=0,"",SUMIFS(BD!$Q$3:$Q$5001,BD!$B$3:$B$5001,Q$163,BD!$A$3:$A$5001,_xlfn.MAXIFS(BD!$A$3:$A$5001,BD!$B$3:$B$5001,Q$163,BD!$A$3:$A$5001,"&gt;="&amp;$C$7,BD!$A$3:$A$5001,"&lt;="&amp;$B174,BD!$Q$3:$Q$5001,"&lt;&gt;"))))</f>
        <v/>
      </c>
      <c r="R174" s="54" t="str">
        <f>IF(OR($B174="",$A174&gt;$B$9,R$163=""),"",IF(COUNTIFS(BD!$B$3:$B$5001,R$163,BD!$A$3:$A$5001,"&gt;="&amp;$C$7,BD!$A$3:$A$5001,"&lt;="&amp;$B174,BD!$Q$3:$Q$5001,"&lt;&gt;")=0,"",SUMIFS(BD!$Q$3:$Q$5001,BD!$B$3:$B$5001,R$163,BD!$A$3:$A$5001,_xlfn.MAXIFS(BD!$A$3:$A$5001,BD!$B$3:$B$5001,R$163,BD!$A$3:$A$5001,"&gt;="&amp;$C$7,BD!$A$3:$A$5001,"&lt;="&amp;$B174,BD!$Q$3:$Q$5001,"&lt;&gt;"))))</f>
        <v/>
      </c>
      <c r="S174" s="54" t="str">
        <f>IF(OR($B174="",$A174&gt;$B$9,S$163=""),"",IF(COUNTIFS(BD!$B$3:$B$5001,S$163,BD!$A$3:$A$5001,"&gt;="&amp;$C$7,BD!$A$3:$A$5001,"&lt;="&amp;$B174,BD!$Q$3:$Q$5001,"&lt;&gt;")=0,"",SUMIFS(BD!$Q$3:$Q$5001,BD!$B$3:$B$5001,S$163,BD!$A$3:$A$5001,_xlfn.MAXIFS(BD!$A$3:$A$5001,BD!$B$3:$B$5001,S$163,BD!$A$3:$A$5001,"&gt;="&amp;$C$7,BD!$A$3:$A$5001,"&lt;="&amp;$B174,BD!$Q$3:$Q$5001,"&lt;&gt;"))))</f>
        <v/>
      </c>
      <c r="T174" s="54" t="str">
        <f>IF(OR($B174="",$A174&gt;$B$9,T$163=""),"",IF(COUNTIFS(BD!$B$3:$B$5001,T$163,BD!$A$3:$A$5001,"&gt;="&amp;$C$7,BD!$A$3:$A$5001,"&lt;="&amp;$B174,BD!$Q$3:$Q$5001,"&lt;&gt;")=0,"",SUMIFS(BD!$Q$3:$Q$5001,BD!$B$3:$B$5001,T$163,BD!$A$3:$A$5001,_xlfn.MAXIFS(BD!$A$3:$A$5001,BD!$B$3:$B$5001,T$163,BD!$A$3:$A$5001,"&gt;="&amp;$C$7,BD!$A$3:$A$5001,"&lt;="&amp;$B174,BD!$Q$3:$Q$5001,"&lt;&gt;"))))</f>
        <v/>
      </c>
      <c r="U174" s="54" t="str">
        <f>IF(OR($B174="",$A174&gt;$B$9,U$163=""),"",IF(COUNTIFS(BD!$B$3:$B$5001,U$163,BD!$A$3:$A$5001,"&gt;="&amp;$C$7,BD!$A$3:$A$5001,"&lt;="&amp;$B174,BD!$Q$3:$Q$5001,"&lt;&gt;")=0,"",SUMIFS(BD!$Q$3:$Q$5001,BD!$B$3:$B$5001,U$163,BD!$A$3:$A$5001,_xlfn.MAXIFS(BD!$A$3:$A$5001,BD!$B$3:$B$5001,U$163,BD!$A$3:$A$5001,"&gt;="&amp;$C$7,BD!$A$3:$A$5001,"&lt;="&amp;$B174,BD!$Q$3:$Q$5001,"&lt;&gt;"))))</f>
        <v/>
      </c>
      <c r="V174" s="54" t="str">
        <f>IF(OR($B174="",$A174&gt;$B$9,V$163=""),"",IF(COUNTIFS(BD!$B$3:$B$5001,V$163,BD!$A$3:$A$5001,"&gt;="&amp;$C$7,BD!$A$3:$A$5001,"&lt;="&amp;$B174,BD!$Q$3:$Q$5001,"&lt;&gt;")=0,"",SUMIFS(BD!$Q$3:$Q$5001,BD!$B$3:$B$5001,V$163,BD!$A$3:$A$5001,_xlfn.MAXIFS(BD!$A$3:$A$5001,BD!$B$3:$B$5001,V$163,BD!$A$3:$A$5001,"&gt;="&amp;$C$7,BD!$A$3:$A$5001,"&lt;="&amp;$B174,BD!$Q$3:$Q$5001,"&lt;&gt;"))))</f>
        <v/>
      </c>
    </row>
    <row r="175">
      <c r="A175" s="48">
        <v>12</v>
      </c>
      <c r="B175" s="53">
        <f>$B$23</f>
        <v>46307</v>
      </c>
      <c r="C175" s="54" t="str">
        <f>IF(OR($B175="",$A175&gt;$B$9,C$163=""),"",IF(COUNTIFS(BD!$B$3:$B$5001,C$163,BD!$A$3:$A$5001,"&gt;="&amp;$C$7,BD!$A$3:$A$5001,"&lt;="&amp;$B175,BD!$Q$3:$Q$5001,"&lt;&gt;")=0,"",SUMIFS(BD!$Q$3:$Q$5001,BD!$B$3:$B$5001,C$163,BD!$A$3:$A$5001,_xlfn.MAXIFS(BD!$A$3:$A$5001,BD!$B$3:$B$5001,C$163,BD!$A$3:$A$5001,"&gt;="&amp;$C$7,BD!$A$3:$A$5001,"&lt;="&amp;$B175,BD!$Q$3:$Q$5001,"&lt;&gt;"))))</f>
        <v/>
      </c>
      <c r="D175" s="54" t="str">
        <f>IF(OR($B175="",$A175&gt;$B$9,D$163=""),"",IF(COUNTIFS(BD!$B$3:$B$5001,D$163,BD!$A$3:$A$5001,"&gt;="&amp;$C$7,BD!$A$3:$A$5001,"&lt;="&amp;$B175,BD!$Q$3:$Q$5001,"&lt;&gt;")=0,"",SUMIFS(BD!$Q$3:$Q$5001,BD!$B$3:$B$5001,D$163,BD!$A$3:$A$5001,_xlfn.MAXIFS(BD!$A$3:$A$5001,BD!$B$3:$B$5001,D$163,BD!$A$3:$A$5001,"&gt;="&amp;$C$7,BD!$A$3:$A$5001,"&lt;="&amp;$B175,BD!$Q$3:$Q$5001,"&lt;&gt;"))))</f>
        <v/>
      </c>
      <c r="E175" s="54" t="str">
        <f>IF(OR($B175="",$A175&gt;$B$9,E$163=""),"",IF(COUNTIFS(BD!$B$3:$B$5001,E$163,BD!$A$3:$A$5001,"&gt;="&amp;$C$7,BD!$A$3:$A$5001,"&lt;="&amp;$B175,BD!$Q$3:$Q$5001,"&lt;&gt;")=0,"",SUMIFS(BD!$Q$3:$Q$5001,BD!$B$3:$B$5001,E$163,BD!$A$3:$A$5001,_xlfn.MAXIFS(BD!$A$3:$A$5001,BD!$B$3:$B$5001,E$163,BD!$A$3:$A$5001,"&gt;="&amp;$C$7,BD!$A$3:$A$5001,"&lt;="&amp;$B175,BD!$Q$3:$Q$5001,"&lt;&gt;"))))</f>
        <v/>
      </c>
      <c r="F175" s="54" t="str">
        <f>IF(OR($B175="",$A175&gt;$B$9,F$163=""),"",IF(COUNTIFS(BD!$B$3:$B$5001,F$163,BD!$A$3:$A$5001,"&gt;="&amp;$C$7,BD!$A$3:$A$5001,"&lt;="&amp;$B175,BD!$Q$3:$Q$5001,"&lt;&gt;")=0,"",SUMIFS(BD!$Q$3:$Q$5001,BD!$B$3:$B$5001,F$163,BD!$A$3:$A$5001,_xlfn.MAXIFS(BD!$A$3:$A$5001,BD!$B$3:$B$5001,F$163,BD!$A$3:$A$5001,"&gt;="&amp;$C$7,BD!$A$3:$A$5001,"&lt;="&amp;$B175,BD!$Q$3:$Q$5001,"&lt;&gt;"))))</f>
        <v/>
      </c>
      <c r="G175" s="54" t="str">
        <f>IF(OR($B175="",$A175&gt;$B$9,G$163=""),"",IF(COUNTIFS(BD!$B$3:$B$5001,G$163,BD!$A$3:$A$5001,"&gt;="&amp;$C$7,BD!$A$3:$A$5001,"&lt;="&amp;$B175,BD!$Q$3:$Q$5001,"&lt;&gt;")=0,"",SUMIFS(BD!$Q$3:$Q$5001,BD!$B$3:$B$5001,G$163,BD!$A$3:$A$5001,_xlfn.MAXIFS(BD!$A$3:$A$5001,BD!$B$3:$B$5001,G$163,BD!$A$3:$A$5001,"&gt;="&amp;$C$7,BD!$A$3:$A$5001,"&lt;="&amp;$B175,BD!$Q$3:$Q$5001,"&lt;&gt;"))))</f>
        <v/>
      </c>
      <c r="H175" s="54" t="str">
        <f>IF(OR($B175="",$A175&gt;$B$9,H$163=""),"",IF(COUNTIFS(BD!$B$3:$B$5001,H$163,BD!$A$3:$A$5001,"&gt;="&amp;$C$7,BD!$A$3:$A$5001,"&lt;="&amp;$B175,BD!$Q$3:$Q$5001,"&lt;&gt;")=0,"",SUMIFS(BD!$Q$3:$Q$5001,BD!$B$3:$B$5001,H$163,BD!$A$3:$A$5001,_xlfn.MAXIFS(BD!$A$3:$A$5001,BD!$B$3:$B$5001,H$163,BD!$A$3:$A$5001,"&gt;="&amp;$C$7,BD!$A$3:$A$5001,"&lt;="&amp;$B175,BD!$Q$3:$Q$5001,"&lt;&gt;"))))</f>
        <v/>
      </c>
      <c r="I175" s="54" t="str">
        <f>IF(OR($B175="",$A175&gt;$B$9,I$163=""),"",IF(COUNTIFS(BD!$B$3:$B$5001,I$163,BD!$A$3:$A$5001,"&gt;="&amp;$C$7,BD!$A$3:$A$5001,"&lt;="&amp;$B175,BD!$Q$3:$Q$5001,"&lt;&gt;")=0,"",SUMIFS(BD!$Q$3:$Q$5001,BD!$B$3:$B$5001,I$163,BD!$A$3:$A$5001,_xlfn.MAXIFS(BD!$A$3:$A$5001,BD!$B$3:$B$5001,I$163,BD!$A$3:$A$5001,"&gt;="&amp;$C$7,BD!$A$3:$A$5001,"&lt;="&amp;$B175,BD!$Q$3:$Q$5001,"&lt;&gt;"))))</f>
        <v/>
      </c>
      <c r="J175" s="54" t="str">
        <f>IF(OR($B175="",$A175&gt;$B$9,J$163=""),"",IF(COUNTIFS(BD!$B$3:$B$5001,J$163,BD!$A$3:$A$5001,"&gt;="&amp;$C$7,BD!$A$3:$A$5001,"&lt;="&amp;$B175,BD!$Q$3:$Q$5001,"&lt;&gt;")=0,"",SUMIFS(BD!$Q$3:$Q$5001,BD!$B$3:$B$5001,J$163,BD!$A$3:$A$5001,_xlfn.MAXIFS(BD!$A$3:$A$5001,BD!$B$3:$B$5001,J$163,BD!$A$3:$A$5001,"&gt;="&amp;$C$7,BD!$A$3:$A$5001,"&lt;="&amp;$B175,BD!$Q$3:$Q$5001,"&lt;&gt;"))))</f>
        <v/>
      </c>
      <c r="K175" s="54" t="str">
        <f>IF(OR($B175="",$A175&gt;$B$9,K$163=""),"",IF(COUNTIFS(BD!$B$3:$B$5001,K$163,BD!$A$3:$A$5001,"&gt;="&amp;$C$7,BD!$A$3:$A$5001,"&lt;="&amp;$B175,BD!$Q$3:$Q$5001,"&lt;&gt;")=0,"",SUMIFS(BD!$Q$3:$Q$5001,BD!$B$3:$B$5001,K$163,BD!$A$3:$A$5001,_xlfn.MAXIFS(BD!$A$3:$A$5001,BD!$B$3:$B$5001,K$163,BD!$A$3:$A$5001,"&gt;="&amp;$C$7,BD!$A$3:$A$5001,"&lt;="&amp;$B175,BD!$Q$3:$Q$5001,"&lt;&gt;"))))</f>
        <v/>
      </c>
      <c r="L175" s="54" t="str">
        <f>IF(OR($B175="",$A175&gt;$B$9,L$163=""),"",IF(COUNTIFS(BD!$B$3:$B$5001,L$163,BD!$A$3:$A$5001,"&gt;="&amp;$C$7,BD!$A$3:$A$5001,"&lt;="&amp;$B175,BD!$Q$3:$Q$5001,"&lt;&gt;")=0,"",SUMIFS(BD!$Q$3:$Q$5001,BD!$B$3:$B$5001,L$163,BD!$A$3:$A$5001,_xlfn.MAXIFS(BD!$A$3:$A$5001,BD!$B$3:$B$5001,L$163,BD!$A$3:$A$5001,"&gt;="&amp;$C$7,BD!$A$3:$A$5001,"&lt;="&amp;$B175,BD!$Q$3:$Q$5001,"&lt;&gt;"))))</f>
        <v/>
      </c>
      <c r="M175" s="54" t="str">
        <f>IF(OR($B175="",$A175&gt;$B$9,M$163=""),"",IF(COUNTIFS(BD!$B$3:$B$5001,M$163,BD!$A$3:$A$5001,"&gt;="&amp;$C$7,BD!$A$3:$A$5001,"&lt;="&amp;$B175,BD!$Q$3:$Q$5001,"&lt;&gt;")=0,"",SUMIFS(BD!$Q$3:$Q$5001,BD!$B$3:$B$5001,M$163,BD!$A$3:$A$5001,_xlfn.MAXIFS(BD!$A$3:$A$5001,BD!$B$3:$B$5001,M$163,BD!$A$3:$A$5001,"&gt;="&amp;$C$7,BD!$A$3:$A$5001,"&lt;="&amp;$B175,BD!$Q$3:$Q$5001,"&lt;&gt;"))))</f>
        <v/>
      </c>
      <c r="N175" s="54" t="str">
        <f>IF(OR($B175="",$A175&gt;$B$9,N$163=""),"",IF(COUNTIFS(BD!$B$3:$B$5001,N$163,BD!$A$3:$A$5001,"&gt;="&amp;$C$7,BD!$A$3:$A$5001,"&lt;="&amp;$B175,BD!$Q$3:$Q$5001,"&lt;&gt;")=0,"",SUMIFS(BD!$Q$3:$Q$5001,BD!$B$3:$B$5001,N$163,BD!$A$3:$A$5001,_xlfn.MAXIFS(BD!$A$3:$A$5001,BD!$B$3:$B$5001,N$163,BD!$A$3:$A$5001,"&gt;="&amp;$C$7,BD!$A$3:$A$5001,"&lt;="&amp;$B175,BD!$Q$3:$Q$5001,"&lt;&gt;"))))</f>
        <v/>
      </c>
      <c r="O175" s="54" t="str">
        <f>IF(OR($B175="",$A175&gt;$B$9,O$163=""),"",IF(COUNTIFS(BD!$B$3:$B$5001,O$163,BD!$A$3:$A$5001,"&gt;="&amp;$C$7,BD!$A$3:$A$5001,"&lt;="&amp;$B175,BD!$Q$3:$Q$5001,"&lt;&gt;")=0,"",SUMIFS(BD!$Q$3:$Q$5001,BD!$B$3:$B$5001,O$163,BD!$A$3:$A$5001,_xlfn.MAXIFS(BD!$A$3:$A$5001,BD!$B$3:$B$5001,O$163,BD!$A$3:$A$5001,"&gt;="&amp;$C$7,BD!$A$3:$A$5001,"&lt;="&amp;$B175,BD!$Q$3:$Q$5001,"&lt;&gt;"))))</f>
        <v/>
      </c>
      <c r="P175" s="54" t="str">
        <f>IF(OR($B175="",$A175&gt;$B$9,P$163=""),"",IF(COUNTIFS(BD!$B$3:$B$5001,P$163,BD!$A$3:$A$5001,"&gt;="&amp;$C$7,BD!$A$3:$A$5001,"&lt;="&amp;$B175,BD!$Q$3:$Q$5001,"&lt;&gt;")=0,"",SUMIFS(BD!$Q$3:$Q$5001,BD!$B$3:$B$5001,P$163,BD!$A$3:$A$5001,_xlfn.MAXIFS(BD!$A$3:$A$5001,BD!$B$3:$B$5001,P$163,BD!$A$3:$A$5001,"&gt;="&amp;$C$7,BD!$A$3:$A$5001,"&lt;="&amp;$B175,BD!$Q$3:$Q$5001,"&lt;&gt;"))))</f>
        <v/>
      </c>
      <c r="Q175" s="54" t="str">
        <f>IF(OR($B175="",$A175&gt;$B$9,Q$163=""),"",IF(COUNTIFS(BD!$B$3:$B$5001,Q$163,BD!$A$3:$A$5001,"&gt;="&amp;$C$7,BD!$A$3:$A$5001,"&lt;="&amp;$B175,BD!$Q$3:$Q$5001,"&lt;&gt;")=0,"",SUMIFS(BD!$Q$3:$Q$5001,BD!$B$3:$B$5001,Q$163,BD!$A$3:$A$5001,_xlfn.MAXIFS(BD!$A$3:$A$5001,BD!$B$3:$B$5001,Q$163,BD!$A$3:$A$5001,"&gt;="&amp;$C$7,BD!$A$3:$A$5001,"&lt;="&amp;$B175,BD!$Q$3:$Q$5001,"&lt;&gt;"))))</f>
        <v/>
      </c>
      <c r="R175" s="54" t="str">
        <f>IF(OR($B175="",$A175&gt;$B$9,R$163=""),"",IF(COUNTIFS(BD!$B$3:$B$5001,R$163,BD!$A$3:$A$5001,"&gt;="&amp;$C$7,BD!$A$3:$A$5001,"&lt;="&amp;$B175,BD!$Q$3:$Q$5001,"&lt;&gt;")=0,"",SUMIFS(BD!$Q$3:$Q$5001,BD!$B$3:$B$5001,R$163,BD!$A$3:$A$5001,_xlfn.MAXIFS(BD!$A$3:$A$5001,BD!$B$3:$B$5001,R$163,BD!$A$3:$A$5001,"&gt;="&amp;$C$7,BD!$A$3:$A$5001,"&lt;="&amp;$B175,BD!$Q$3:$Q$5001,"&lt;&gt;"))))</f>
        <v/>
      </c>
      <c r="S175" s="54" t="str">
        <f>IF(OR($B175="",$A175&gt;$B$9,S$163=""),"",IF(COUNTIFS(BD!$B$3:$B$5001,S$163,BD!$A$3:$A$5001,"&gt;="&amp;$C$7,BD!$A$3:$A$5001,"&lt;="&amp;$B175,BD!$Q$3:$Q$5001,"&lt;&gt;")=0,"",SUMIFS(BD!$Q$3:$Q$5001,BD!$B$3:$B$5001,S$163,BD!$A$3:$A$5001,_xlfn.MAXIFS(BD!$A$3:$A$5001,BD!$B$3:$B$5001,S$163,BD!$A$3:$A$5001,"&gt;="&amp;$C$7,BD!$A$3:$A$5001,"&lt;="&amp;$B175,BD!$Q$3:$Q$5001,"&lt;&gt;"))))</f>
        <v/>
      </c>
      <c r="T175" s="54" t="str">
        <f>IF(OR($B175="",$A175&gt;$B$9,T$163=""),"",IF(COUNTIFS(BD!$B$3:$B$5001,T$163,BD!$A$3:$A$5001,"&gt;="&amp;$C$7,BD!$A$3:$A$5001,"&lt;="&amp;$B175,BD!$Q$3:$Q$5001,"&lt;&gt;")=0,"",SUMIFS(BD!$Q$3:$Q$5001,BD!$B$3:$B$5001,T$163,BD!$A$3:$A$5001,_xlfn.MAXIFS(BD!$A$3:$A$5001,BD!$B$3:$B$5001,T$163,BD!$A$3:$A$5001,"&gt;="&amp;$C$7,BD!$A$3:$A$5001,"&lt;="&amp;$B175,BD!$Q$3:$Q$5001,"&lt;&gt;"))))</f>
        <v/>
      </c>
      <c r="U175" s="54" t="str">
        <f>IF(OR($B175="",$A175&gt;$B$9,U$163=""),"",IF(COUNTIFS(BD!$B$3:$B$5001,U$163,BD!$A$3:$A$5001,"&gt;="&amp;$C$7,BD!$A$3:$A$5001,"&lt;="&amp;$B175,BD!$Q$3:$Q$5001,"&lt;&gt;")=0,"",SUMIFS(BD!$Q$3:$Q$5001,BD!$B$3:$B$5001,U$163,BD!$A$3:$A$5001,_xlfn.MAXIFS(BD!$A$3:$A$5001,BD!$B$3:$B$5001,U$163,BD!$A$3:$A$5001,"&gt;="&amp;$C$7,BD!$A$3:$A$5001,"&lt;="&amp;$B175,BD!$Q$3:$Q$5001,"&lt;&gt;"))))</f>
        <v/>
      </c>
      <c r="V175" s="54" t="str">
        <f>IF(OR($B175="",$A175&gt;$B$9,V$163=""),"",IF(COUNTIFS(BD!$B$3:$B$5001,V$163,BD!$A$3:$A$5001,"&gt;="&amp;$C$7,BD!$A$3:$A$5001,"&lt;="&amp;$B175,BD!$Q$3:$Q$5001,"&lt;&gt;")=0,"",SUMIFS(BD!$Q$3:$Q$5001,BD!$B$3:$B$5001,V$163,BD!$A$3:$A$5001,_xlfn.MAXIFS(BD!$A$3:$A$5001,BD!$B$3:$B$5001,V$163,BD!$A$3:$A$5001,"&gt;="&amp;$C$7,BD!$A$3:$A$5001,"&lt;="&amp;$B175,BD!$Q$3:$Q$5001,"&lt;&gt;"))))</f>
        <v/>
      </c>
    </row>
    <row r="176">
      <c r="A176" s="48">
        <v>13</v>
      </c>
      <c r="B176" s="53">
        <f>$B$24</f>
        <v>46308</v>
      </c>
      <c r="C176" s="54" t="str">
        <f>IF(OR($B176="",$A176&gt;$B$9,C$163=""),"",IF(COUNTIFS(BD!$B$3:$B$5001,C$163,BD!$A$3:$A$5001,"&gt;="&amp;$C$7,BD!$A$3:$A$5001,"&lt;="&amp;$B176,BD!$Q$3:$Q$5001,"&lt;&gt;")=0,"",SUMIFS(BD!$Q$3:$Q$5001,BD!$B$3:$B$5001,C$163,BD!$A$3:$A$5001,_xlfn.MAXIFS(BD!$A$3:$A$5001,BD!$B$3:$B$5001,C$163,BD!$A$3:$A$5001,"&gt;="&amp;$C$7,BD!$A$3:$A$5001,"&lt;="&amp;$B176,BD!$Q$3:$Q$5001,"&lt;&gt;"))))</f>
        <v/>
      </c>
      <c r="D176" s="54" t="str">
        <f>IF(OR($B176="",$A176&gt;$B$9,D$163=""),"",IF(COUNTIFS(BD!$B$3:$B$5001,D$163,BD!$A$3:$A$5001,"&gt;="&amp;$C$7,BD!$A$3:$A$5001,"&lt;="&amp;$B176,BD!$Q$3:$Q$5001,"&lt;&gt;")=0,"",SUMIFS(BD!$Q$3:$Q$5001,BD!$B$3:$B$5001,D$163,BD!$A$3:$A$5001,_xlfn.MAXIFS(BD!$A$3:$A$5001,BD!$B$3:$B$5001,D$163,BD!$A$3:$A$5001,"&gt;="&amp;$C$7,BD!$A$3:$A$5001,"&lt;="&amp;$B176,BD!$Q$3:$Q$5001,"&lt;&gt;"))))</f>
        <v/>
      </c>
      <c r="E176" s="54" t="str">
        <f>IF(OR($B176="",$A176&gt;$B$9,E$163=""),"",IF(COUNTIFS(BD!$B$3:$B$5001,E$163,BD!$A$3:$A$5001,"&gt;="&amp;$C$7,BD!$A$3:$A$5001,"&lt;="&amp;$B176,BD!$Q$3:$Q$5001,"&lt;&gt;")=0,"",SUMIFS(BD!$Q$3:$Q$5001,BD!$B$3:$B$5001,E$163,BD!$A$3:$A$5001,_xlfn.MAXIFS(BD!$A$3:$A$5001,BD!$B$3:$B$5001,E$163,BD!$A$3:$A$5001,"&gt;="&amp;$C$7,BD!$A$3:$A$5001,"&lt;="&amp;$B176,BD!$Q$3:$Q$5001,"&lt;&gt;"))))</f>
        <v/>
      </c>
      <c r="F176" s="54" t="str">
        <f>IF(OR($B176="",$A176&gt;$B$9,F$163=""),"",IF(COUNTIFS(BD!$B$3:$B$5001,F$163,BD!$A$3:$A$5001,"&gt;="&amp;$C$7,BD!$A$3:$A$5001,"&lt;="&amp;$B176,BD!$Q$3:$Q$5001,"&lt;&gt;")=0,"",SUMIFS(BD!$Q$3:$Q$5001,BD!$B$3:$B$5001,F$163,BD!$A$3:$A$5001,_xlfn.MAXIFS(BD!$A$3:$A$5001,BD!$B$3:$B$5001,F$163,BD!$A$3:$A$5001,"&gt;="&amp;$C$7,BD!$A$3:$A$5001,"&lt;="&amp;$B176,BD!$Q$3:$Q$5001,"&lt;&gt;"))))</f>
        <v/>
      </c>
      <c r="G176" s="54" t="str">
        <f>IF(OR($B176="",$A176&gt;$B$9,G$163=""),"",IF(COUNTIFS(BD!$B$3:$B$5001,G$163,BD!$A$3:$A$5001,"&gt;="&amp;$C$7,BD!$A$3:$A$5001,"&lt;="&amp;$B176,BD!$Q$3:$Q$5001,"&lt;&gt;")=0,"",SUMIFS(BD!$Q$3:$Q$5001,BD!$B$3:$B$5001,G$163,BD!$A$3:$A$5001,_xlfn.MAXIFS(BD!$A$3:$A$5001,BD!$B$3:$B$5001,G$163,BD!$A$3:$A$5001,"&gt;="&amp;$C$7,BD!$A$3:$A$5001,"&lt;="&amp;$B176,BD!$Q$3:$Q$5001,"&lt;&gt;"))))</f>
        <v/>
      </c>
      <c r="H176" s="54" t="str">
        <f>IF(OR($B176="",$A176&gt;$B$9,H$163=""),"",IF(COUNTIFS(BD!$B$3:$B$5001,H$163,BD!$A$3:$A$5001,"&gt;="&amp;$C$7,BD!$A$3:$A$5001,"&lt;="&amp;$B176,BD!$Q$3:$Q$5001,"&lt;&gt;")=0,"",SUMIFS(BD!$Q$3:$Q$5001,BD!$B$3:$B$5001,H$163,BD!$A$3:$A$5001,_xlfn.MAXIFS(BD!$A$3:$A$5001,BD!$B$3:$B$5001,H$163,BD!$A$3:$A$5001,"&gt;="&amp;$C$7,BD!$A$3:$A$5001,"&lt;="&amp;$B176,BD!$Q$3:$Q$5001,"&lt;&gt;"))))</f>
        <v/>
      </c>
      <c r="I176" s="54" t="str">
        <f>IF(OR($B176="",$A176&gt;$B$9,I$163=""),"",IF(COUNTIFS(BD!$B$3:$B$5001,I$163,BD!$A$3:$A$5001,"&gt;="&amp;$C$7,BD!$A$3:$A$5001,"&lt;="&amp;$B176,BD!$Q$3:$Q$5001,"&lt;&gt;")=0,"",SUMIFS(BD!$Q$3:$Q$5001,BD!$B$3:$B$5001,I$163,BD!$A$3:$A$5001,_xlfn.MAXIFS(BD!$A$3:$A$5001,BD!$B$3:$B$5001,I$163,BD!$A$3:$A$5001,"&gt;="&amp;$C$7,BD!$A$3:$A$5001,"&lt;="&amp;$B176,BD!$Q$3:$Q$5001,"&lt;&gt;"))))</f>
        <v/>
      </c>
      <c r="J176" s="54" t="str">
        <f>IF(OR($B176="",$A176&gt;$B$9,J$163=""),"",IF(COUNTIFS(BD!$B$3:$B$5001,J$163,BD!$A$3:$A$5001,"&gt;="&amp;$C$7,BD!$A$3:$A$5001,"&lt;="&amp;$B176,BD!$Q$3:$Q$5001,"&lt;&gt;")=0,"",SUMIFS(BD!$Q$3:$Q$5001,BD!$B$3:$B$5001,J$163,BD!$A$3:$A$5001,_xlfn.MAXIFS(BD!$A$3:$A$5001,BD!$B$3:$B$5001,J$163,BD!$A$3:$A$5001,"&gt;="&amp;$C$7,BD!$A$3:$A$5001,"&lt;="&amp;$B176,BD!$Q$3:$Q$5001,"&lt;&gt;"))))</f>
        <v/>
      </c>
      <c r="K176" s="54" t="str">
        <f>IF(OR($B176="",$A176&gt;$B$9,K$163=""),"",IF(COUNTIFS(BD!$B$3:$B$5001,K$163,BD!$A$3:$A$5001,"&gt;="&amp;$C$7,BD!$A$3:$A$5001,"&lt;="&amp;$B176,BD!$Q$3:$Q$5001,"&lt;&gt;")=0,"",SUMIFS(BD!$Q$3:$Q$5001,BD!$B$3:$B$5001,K$163,BD!$A$3:$A$5001,_xlfn.MAXIFS(BD!$A$3:$A$5001,BD!$B$3:$B$5001,K$163,BD!$A$3:$A$5001,"&gt;="&amp;$C$7,BD!$A$3:$A$5001,"&lt;="&amp;$B176,BD!$Q$3:$Q$5001,"&lt;&gt;"))))</f>
        <v/>
      </c>
      <c r="L176" s="54" t="str">
        <f>IF(OR($B176="",$A176&gt;$B$9,L$163=""),"",IF(COUNTIFS(BD!$B$3:$B$5001,L$163,BD!$A$3:$A$5001,"&gt;="&amp;$C$7,BD!$A$3:$A$5001,"&lt;="&amp;$B176,BD!$Q$3:$Q$5001,"&lt;&gt;")=0,"",SUMIFS(BD!$Q$3:$Q$5001,BD!$B$3:$B$5001,L$163,BD!$A$3:$A$5001,_xlfn.MAXIFS(BD!$A$3:$A$5001,BD!$B$3:$B$5001,L$163,BD!$A$3:$A$5001,"&gt;="&amp;$C$7,BD!$A$3:$A$5001,"&lt;="&amp;$B176,BD!$Q$3:$Q$5001,"&lt;&gt;"))))</f>
        <v/>
      </c>
      <c r="M176" s="54" t="str">
        <f>IF(OR($B176="",$A176&gt;$B$9,M$163=""),"",IF(COUNTIFS(BD!$B$3:$B$5001,M$163,BD!$A$3:$A$5001,"&gt;="&amp;$C$7,BD!$A$3:$A$5001,"&lt;="&amp;$B176,BD!$Q$3:$Q$5001,"&lt;&gt;")=0,"",SUMIFS(BD!$Q$3:$Q$5001,BD!$B$3:$B$5001,M$163,BD!$A$3:$A$5001,_xlfn.MAXIFS(BD!$A$3:$A$5001,BD!$B$3:$B$5001,M$163,BD!$A$3:$A$5001,"&gt;="&amp;$C$7,BD!$A$3:$A$5001,"&lt;="&amp;$B176,BD!$Q$3:$Q$5001,"&lt;&gt;"))))</f>
        <v/>
      </c>
      <c r="N176" s="54" t="str">
        <f>IF(OR($B176="",$A176&gt;$B$9,N$163=""),"",IF(COUNTIFS(BD!$B$3:$B$5001,N$163,BD!$A$3:$A$5001,"&gt;="&amp;$C$7,BD!$A$3:$A$5001,"&lt;="&amp;$B176,BD!$Q$3:$Q$5001,"&lt;&gt;")=0,"",SUMIFS(BD!$Q$3:$Q$5001,BD!$B$3:$B$5001,N$163,BD!$A$3:$A$5001,_xlfn.MAXIFS(BD!$A$3:$A$5001,BD!$B$3:$B$5001,N$163,BD!$A$3:$A$5001,"&gt;="&amp;$C$7,BD!$A$3:$A$5001,"&lt;="&amp;$B176,BD!$Q$3:$Q$5001,"&lt;&gt;"))))</f>
        <v/>
      </c>
      <c r="O176" s="54" t="str">
        <f>IF(OR($B176="",$A176&gt;$B$9,O$163=""),"",IF(COUNTIFS(BD!$B$3:$B$5001,O$163,BD!$A$3:$A$5001,"&gt;="&amp;$C$7,BD!$A$3:$A$5001,"&lt;="&amp;$B176,BD!$Q$3:$Q$5001,"&lt;&gt;")=0,"",SUMIFS(BD!$Q$3:$Q$5001,BD!$B$3:$B$5001,O$163,BD!$A$3:$A$5001,_xlfn.MAXIFS(BD!$A$3:$A$5001,BD!$B$3:$B$5001,O$163,BD!$A$3:$A$5001,"&gt;="&amp;$C$7,BD!$A$3:$A$5001,"&lt;="&amp;$B176,BD!$Q$3:$Q$5001,"&lt;&gt;"))))</f>
        <v/>
      </c>
      <c r="P176" s="54" t="str">
        <f>IF(OR($B176="",$A176&gt;$B$9,P$163=""),"",IF(COUNTIFS(BD!$B$3:$B$5001,P$163,BD!$A$3:$A$5001,"&gt;="&amp;$C$7,BD!$A$3:$A$5001,"&lt;="&amp;$B176,BD!$Q$3:$Q$5001,"&lt;&gt;")=0,"",SUMIFS(BD!$Q$3:$Q$5001,BD!$B$3:$B$5001,P$163,BD!$A$3:$A$5001,_xlfn.MAXIFS(BD!$A$3:$A$5001,BD!$B$3:$B$5001,P$163,BD!$A$3:$A$5001,"&gt;="&amp;$C$7,BD!$A$3:$A$5001,"&lt;="&amp;$B176,BD!$Q$3:$Q$5001,"&lt;&gt;"))))</f>
        <v/>
      </c>
      <c r="Q176" s="54" t="str">
        <f>IF(OR($B176="",$A176&gt;$B$9,Q$163=""),"",IF(COUNTIFS(BD!$B$3:$B$5001,Q$163,BD!$A$3:$A$5001,"&gt;="&amp;$C$7,BD!$A$3:$A$5001,"&lt;="&amp;$B176,BD!$Q$3:$Q$5001,"&lt;&gt;")=0,"",SUMIFS(BD!$Q$3:$Q$5001,BD!$B$3:$B$5001,Q$163,BD!$A$3:$A$5001,_xlfn.MAXIFS(BD!$A$3:$A$5001,BD!$B$3:$B$5001,Q$163,BD!$A$3:$A$5001,"&gt;="&amp;$C$7,BD!$A$3:$A$5001,"&lt;="&amp;$B176,BD!$Q$3:$Q$5001,"&lt;&gt;"))))</f>
        <v/>
      </c>
      <c r="R176" s="54" t="str">
        <f>IF(OR($B176="",$A176&gt;$B$9,R$163=""),"",IF(COUNTIFS(BD!$B$3:$B$5001,R$163,BD!$A$3:$A$5001,"&gt;="&amp;$C$7,BD!$A$3:$A$5001,"&lt;="&amp;$B176,BD!$Q$3:$Q$5001,"&lt;&gt;")=0,"",SUMIFS(BD!$Q$3:$Q$5001,BD!$B$3:$B$5001,R$163,BD!$A$3:$A$5001,_xlfn.MAXIFS(BD!$A$3:$A$5001,BD!$B$3:$B$5001,R$163,BD!$A$3:$A$5001,"&gt;="&amp;$C$7,BD!$A$3:$A$5001,"&lt;="&amp;$B176,BD!$Q$3:$Q$5001,"&lt;&gt;"))))</f>
        <v/>
      </c>
      <c r="S176" s="54" t="str">
        <f>IF(OR($B176="",$A176&gt;$B$9,S$163=""),"",IF(COUNTIFS(BD!$B$3:$B$5001,S$163,BD!$A$3:$A$5001,"&gt;="&amp;$C$7,BD!$A$3:$A$5001,"&lt;="&amp;$B176,BD!$Q$3:$Q$5001,"&lt;&gt;")=0,"",SUMIFS(BD!$Q$3:$Q$5001,BD!$B$3:$B$5001,S$163,BD!$A$3:$A$5001,_xlfn.MAXIFS(BD!$A$3:$A$5001,BD!$B$3:$B$5001,S$163,BD!$A$3:$A$5001,"&gt;="&amp;$C$7,BD!$A$3:$A$5001,"&lt;="&amp;$B176,BD!$Q$3:$Q$5001,"&lt;&gt;"))))</f>
        <v/>
      </c>
      <c r="T176" s="54" t="str">
        <f>IF(OR($B176="",$A176&gt;$B$9,T$163=""),"",IF(COUNTIFS(BD!$B$3:$B$5001,T$163,BD!$A$3:$A$5001,"&gt;="&amp;$C$7,BD!$A$3:$A$5001,"&lt;="&amp;$B176,BD!$Q$3:$Q$5001,"&lt;&gt;")=0,"",SUMIFS(BD!$Q$3:$Q$5001,BD!$B$3:$B$5001,T$163,BD!$A$3:$A$5001,_xlfn.MAXIFS(BD!$A$3:$A$5001,BD!$B$3:$B$5001,T$163,BD!$A$3:$A$5001,"&gt;="&amp;$C$7,BD!$A$3:$A$5001,"&lt;="&amp;$B176,BD!$Q$3:$Q$5001,"&lt;&gt;"))))</f>
        <v/>
      </c>
      <c r="U176" s="54" t="str">
        <f>IF(OR($B176="",$A176&gt;$B$9,U$163=""),"",IF(COUNTIFS(BD!$B$3:$B$5001,U$163,BD!$A$3:$A$5001,"&gt;="&amp;$C$7,BD!$A$3:$A$5001,"&lt;="&amp;$B176,BD!$Q$3:$Q$5001,"&lt;&gt;")=0,"",SUMIFS(BD!$Q$3:$Q$5001,BD!$B$3:$B$5001,U$163,BD!$A$3:$A$5001,_xlfn.MAXIFS(BD!$A$3:$A$5001,BD!$B$3:$B$5001,U$163,BD!$A$3:$A$5001,"&gt;="&amp;$C$7,BD!$A$3:$A$5001,"&lt;="&amp;$B176,BD!$Q$3:$Q$5001,"&lt;&gt;"))))</f>
        <v/>
      </c>
      <c r="V176" s="54" t="str">
        <f>IF(OR($B176="",$A176&gt;$B$9,V$163=""),"",IF(COUNTIFS(BD!$B$3:$B$5001,V$163,BD!$A$3:$A$5001,"&gt;="&amp;$C$7,BD!$A$3:$A$5001,"&lt;="&amp;$B176,BD!$Q$3:$Q$5001,"&lt;&gt;")=0,"",SUMIFS(BD!$Q$3:$Q$5001,BD!$B$3:$B$5001,V$163,BD!$A$3:$A$5001,_xlfn.MAXIFS(BD!$A$3:$A$5001,BD!$B$3:$B$5001,V$163,BD!$A$3:$A$5001,"&gt;="&amp;$C$7,BD!$A$3:$A$5001,"&lt;="&amp;$B176,BD!$Q$3:$Q$5001,"&lt;&gt;"))))</f>
        <v/>
      </c>
    </row>
    <row r="177">
      <c r="A177" s="48">
        <v>14</v>
      </c>
      <c r="B177" s="53">
        <f>$B$25</f>
        <v>46309</v>
      </c>
      <c r="C177" s="54" t="str">
        <f>IF(OR($B177="",$A177&gt;$B$9,C$163=""),"",IF(COUNTIFS(BD!$B$3:$B$5001,C$163,BD!$A$3:$A$5001,"&gt;="&amp;$C$7,BD!$A$3:$A$5001,"&lt;="&amp;$B177,BD!$Q$3:$Q$5001,"&lt;&gt;")=0,"",SUMIFS(BD!$Q$3:$Q$5001,BD!$B$3:$B$5001,C$163,BD!$A$3:$A$5001,_xlfn.MAXIFS(BD!$A$3:$A$5001,BD!$B$3:$B$5001,C$163,BD!$A$3:$A$5001,"&gt;="&amp;$C$7,BD!$A$3:$A$5001,"&lt;="&amp;$B177,BD!$Q$3:$Q$5001,"&lt;&gt;"))))</f>
        <v/>
      </c>
      <c r="D177" s="54" t="str">
        <f>IF(OR($B177="",$A177&gt;$B$9,D$163=""),"",IF(COUNTIFS(BD!$B$3:$B$5001,D$163,BD!$A$3:$A$5001,"&gt;="&amp;$C$7,BD!$A$3:$A$5001,"&lt;="&amp;$B177,BD!$Q$3:$Q$5001,"&lt;&gt;")=0,"",SUMIFS(BD!$Q$3:$Q$5001,BD!$B$3:$B$5001,D$163,BD!$A$3:$A$5001,_xlfn.MAXIFS(BD!$A$3:$A$5001,BD!$B$3:$B$5001,D$163,BD!$A$3:$A$5001,"&gt;="&amp;$C$7,BD!$A$3:$A$5001,"&lt;="&amp;$B177,BD!$Q$3:$Q$5001,"&lt;&gt;"))))</f>
        <v/>
      </c>
      <c r="E177" s="54" t="str">
        <f>IF(OR($B177="",$A177&gt;$B$9,E$163=""),"",IF(COUNTIFS(BD!$B$3:$B$5001,E$163,BD!$A$3:$A$5001,"&gt;="&amp;$C$7,BD!$A$3:$A$5001,"&lt;="&amp;$B177,BD!$Q$3:$Q$5001,"&lt;&gt;")=0,"",SUMIFS(BD!$Q$3:$Q$5001,BD!$B$3:$B$5001,E$163,BD!$A$3:$A$5001,_xlfn.MAXIFS(BD!$A$3:$A$5001,BD!$B$3:$B$5001,E$163,BD!$A$3:$A$5001,"&gt;="&amp;$C$7,BD!$A$3:$A$5001,"&lt;="&amp;$B177,BD!$Q$3:$Q$5001,"&lt;&gt;"))))</f>
        <v/>
      </c>
      <c r="F177" s="54" t="str">
        <f>IF(OR($B177="",$A177&gt;$B$9,F$163=""),"",IF(COUNTIFS(BD!$B$3:$B$5001,F$163,BD!$A$3:$A$5001,"&gt;="&amp;$C$7,BD!$A$3:$A$5001,"&lt;="&amp;$B177,BD!$Q$3:$Q$5001,"&lt;&gt;")=0,"",SUMIFS(BD!$Q$3:$Q$5001,BD!$B$3:$B$5001,F$163,BD!$A$3:$A$5001,_xlfn.MAXIFS(BD!$A$3:$A$5001,BD!$B$3:$B$5001,F$163,BD!$A$3:$A$5001,"&gt;="&amp;$C$7,BD!$A$3:$A$5001,"&lt;="&amp;$B177,BD!$Q$3:$Q$5001,"&lt;&gt;"))))</f>
        <v/>
      </c>
      <c r="G177" s="54" t="str">
        <f>IF(OR($B177="",$A177&gt;$B$9,G$163=""),"",IF(COUNTIFS(BD!$B$3:$B$5001,G$163,BD!$A$3:$A$5001,"&gt;="&amp;$C$7,BD!$A$3:$A$5001,"&lt;="&amp;$B177,BD!$Q$3:$Q$5001,"&lt;&gt;")=0,"",SUMIFS(BD!$Q$3:$Q$5001,BD!$B$3:$B$5001,G$163,BD!$A$3:$A$5001,_xlfn.MAXIFS(BD!$A$3:$A$5001,BD!$B$3:$B$5001,G$163,BD!$A$3:$A$5001,"&gt;="&amp;$C$7,BD!$A$3:$A$5001,"&lt;="&amp;$B177,BD!$Q$3:$Q$5001,"&lt;&gt;"))))</f>
        <v/>
      </c>
      <c r="H177" s="54" t="str">
        <f>IF(OR($B177="",$A177&gt;$B$9,H$163=""),"",IF(COUNTIFS(BD!$B$3:$B$5001,H$163,BD!$A$3:$A$5001,"&gt;="&amp;$C$7,BD!$A$3:$A$5001,"&lt;="&amp;$B177,BD!$Q$3:$Q$5001,"&lt;&gt;")=0,"",SUMIFS(BD!$Q$3:$Q$5001,BD!$B$3:$B$5001,H$163,BD!$A$3:$A$5001,_xlfn.MAXIFS(BD!$A$3:$A$5001,BD!$B$3:$B$5001,H$163,BD!$A$3:$A$5001,"&gt;="&amp;$C$7,BD!$A$3:$A$5001,"&lt;="&amp;$B177,BD!$Q$3:$Q$5001,"&lt;&gt;"))))</f>
        <v/>
      </c>
      <c r="I177" s="54" t="str">
        <f>IF(OR($B177="",$A177&gt;$B$9,I$163=""),"",IF(COUNTIFS(BD!$B$3:$B$5001,I$163,BD!$A$3:$A$5001,"&gt;="&amp;$C$7,BD!$A$3:$A$5001,"&lt;="&amp;$B177,BD!$Q$3:$Q$5001,"&lt;&gt;")=0,"",SUMIFS(BD!$Q$3:$Q$5001,BD!$B$3:$B$5001,I$163,BD!$A$3:$A$5001,_xlfn.MAXIFS(BD!$A$3:$A$5001,BD!$B$3:$B$5001,I$163,BD!$A$3:$A$5001,"&gt;="&amp;$C$7,BD!$A$3:$A$5001,"&lt;="&amp;$B177,BD!$Q$3:$Q$5001,"&lt;&gt;"))))</f>
        <v/>
      </c>
      <c r="J177" s="54" t="str">
        <f>IF(OR($B177="",$A177&gt;$B$9,J$163=""),"",IF(COUNTIFS(BD!$B$3:$B$5001,J$163,BD!$A$3:$A$5001,"&gt;="&amp;$C$7,BD!$A$3:$A$5001,"&lt;="&amp;$B177,BD!$Q$3:$Q$5001,"&lt;&gt;")=0,"",SUMIFS(BD!$Q$3:$Q$5001,BD!$B$3:$B$5001,J$163,BD!$A$3:$A$5001,_xlfn.MAXIFS(BD!$A$3:$A$5001,BD!$B$3:$B$5001,J$163,BD!$A$3:$A$5001,"&gt;="&amp;$C$7,BD!$A$3:$A$5001,"&lt;="&amp;$B177,BD!$Q$3:$Q$5001,"&lt;&gt;"))))</f>
        <v/>
      </c>
      <c r="K177" s="54" t="str">
        <f>IF(OR($B177="",$A177&gt;$B$9,K$163=""),"",IF(COUNTIFS(BD!$B$3:$B$5001,K$163,BD!$A$3:$A$5001,"&gt;="&amp;$C$7,BD!$A$3:$A$5001,"&lt;="&amp;$B177,BD!$Q$3:$Q$5001,"&lt;&gt;")=0,"",SUMIFS(BD!$Q$3:$Q$5001,BD!$B$3:$B$5001,K$163,BD!$A$3:$A$5001,_xlfn.MAXIFS(BD!$A$3:$A$5001,BD!$B$3:$B$5001,K$163,BD!$A$3:$A$5001,"&gt;="&amp;$C$7,BD!$A$3:$A$5001,"&lt;="&amp;$B177,BD!$Q$3:$Q$5001,"&lt;&gt;"))))</f>
        <v/>
      </c>
      <c r="L177" s="54" t="str">
        <f>IF(OR($B177="",$A177&gt;$B$9,L$163=""),"",IF(COUNTIFS(BD!$B$3:$B$5001,L$163,BD!$A$3:$A$5001,"&gt;="&amp;$C$7,BD!$A$3:$A$5001,"&lt;="&amp;$B177,BD!$Q$3:$Q$5001,"&lt;&gt;")=0,"",SUMIFS(BD!$Q$3:$Q$5001,BD!$B$3:$B$5001,L$163,BD!$A$3:$A$5001,_xlfn.MAXIFS(BD!$A$3:$A$5001,BD!$B$3:$B$5001,L$163,BD!$A$3:$A$5001,"&gt;="&amp;$C$7,BD!$A$3:$A$5001,"&lt;="&amp;$B177,BD!$Q$3:$Q$5001,"&lt;&gt;"))))</f>
        <v/>
      </c>
      <c r="M177" s="54" t="str">
        <f>IF(OR($B177="",$A177&gt;$B$9,M$163=""),"",IF(COUNTIFS(BD!$B$3:$B$5001,M$163,BD!$A$3:$A$5001,"&gt;="&amp;$C$7,BD!$A$3:$A$5001,"&lt;="&amp;$B177,BD!$Q$3:$Q$5001,"&lt;&gt;")=0,"",SUMIFS(BD!$Q$3:$Q$5001,BD!$B$3:$B$5001,M$163,BD!$A$3:$A$5001,_xlfn.MAXIFS(BD!$A$3:$A$5001,BD!$B$3:$B$5001,M$163,BD!$A$3:$A$5001,"&gt;="&amp;$C$7,BD!$A$3:$A$5001,"&lt;="&amp;$B177,BD!$Q$3:$Q$5001,"&lt;&gt;"))))</f>
        <v/>
      </c>
      <c r="N177" s="54" t="str">
        <f>IF(OR($B177="",$A177&gt;$B$9,N$163=""),"",IF(COUNTIFS(BD!$B$3:$B$5001,N$163,BD!$A$3:$A$5001,"&gt;="&amp;$C$7,BD!$A$3:$A$5001,"&lt;="&amp;$B177,BD!$Q$3:$Q$5001,"&lt;&gt;")=0,"",SUMIFS(BD!$Q$3:$Q$5001,BD!$B$3:$B$5001,N$163,BD!$A$3:$A$5001,_xlfn.MAXIFS(BD!$A$3:$A$5001,BD!$B$3:$B$5001,N$163,BD!$A$3:$A$5001,"&gt;="&amp;$C$7,BD!$A$3:$A$5001,"&lt;="&amp;$B177,BD!$Q$3:$Q$5001,"&lt;&gt;"))))</f>
        <v/>
      </c>
      <c r="O177" s="54" t="str">
        <f>IF(OR($B177="",$A177&gt;$B$9,O$163=""),"",IF(COUNTIFS(BD!$B$3:$B$5001,O$163,BD!$A$3:$A$5001,"&gt;="&amp;$C$7,BD!$A$3:$A$5001,"&lt;="&amp;$B177,BD!$Q$3:$Q$5001,"&lt;&gt;")=0,"",SUMIFS(BD!$Q$3:$Q$5001,BD!$B$3:$B$5001,O$163,BD!$A$3:$A$5001,_xlfn.MAXIFS(BD!$A$3:$A$5001,BD!$B$3:$B$5001,O$163,BD!$A$3:$A$5001,"&gt;="&amp;$C$7,BD!$A$3:$A$5001,"&lt;="&amp;$B177,BD!$Q$3:$Q$5001,"&lt;&gt;"))))</f>
        <v/>
      </c>
      <c r="P177" s="54" t="str">
        <f>IF(OR($B177="",$A177&gt;$B$9,P$163=""),"",IF(COUNTIFS(BD!$B$3:$B$5001,P$163,BD!$A$3:$A$5001,"&gt;="&amp;$C$7,BD!$A$3:$A$5001,"&lt;="&amp;$B177,BD!$Q$3:$Q$5001,"&lt;&gt;")=0,"",SUMIFS(BD!$Q$3:$Q$5001,BD!$B$3:$B$5001,P$163,BD!$A$3:$A$5001,_xlfn.MAXIFS(BD!$A$3:$A$5001,BD!$B$3:$B$5001,P$163,BD!$A$3:$A$5001,"&gt;="&amp;$C$7,BD!$A$3:$A$5001,"&lt;="&amp;$B177,BD!$Q$3:$Q$5001,"&lt;&gt;"))))</f>
        <v/>
      </c>
      <c r="Q177" s="54" t="str">
        <f>IF(OR($B177="",$A177&gt;$B$9,Q$163=""),"",IF(COUNTIFS(BD!$B$3:$B$5001,Q$163,BD!$A$3:$A$5001,"&gt;="&amp;$C$7,BD!$A$3:$A$5001,"&lt;="&amp;$B177,BD!$Q$3:$Q$5001,"&lt;&gt;")=0,"",SUMIFS(BD!$Q$3:$Q$5001,BD!$B$3:$B$5001,Q$163,BD!$A$3:$A$5001,_xlfn.MAXIFS(BD!$A$3:$A$5001,BD!$B$3:$B$5001,Q$163,BD!$A$3:$A$5001,"&gt;="&amp;$C$7,BD!$A$3:$A$5001,"&lt;="&amp;$B177,BD!$Q$3:$Q$5001,"&lt;&gt;"))))</f>
        <v/>
      </c>
      <c r="R177" s="54" t="str">
        <f>IF(OR($B177="",$A177&gt;$B$9,R$163=""),"",IF(COUNTIFS(BD!$B$3:$B$5001,R$163,BD!$A$3:$A$5001,"&gt;="&amp;$C$7,BD!$A$3:$A$5001,"&lt;="&amp;$B177,BD!$Q$3:$Q$5001,"&lt;&gt;")=0,"",SUMIFS(BD!$Q$3:$Q$5001,BD!$B$3:$B$5001,R$163,BD!$A$3:$A$5001,_xlfn.MAXIFS(BD!$A$3:$A$5001,BD!$B$3:$B$5001,R$163,BD!$A$3:$A$5001,"&gt;="&amp;$C$7,BD!$A$3:$A$5001,"&lt;="&amp;$B177,BD!$Q$3:$Q$5001,"&lt;&gt;"))))</f>
        <v/>
      </c>
      <c r="S177" s="54" t="str">
        <f>IF(OR($B177="",$A177&gt;$B$9,S$163=""),"",IF(COUNTIFS(BD!$B$3:$B$5001,S$163,BD!$A$3:$A$5001,"&gt;="&amp;$C$7,BD!$A$3:$A$5001,"&lt;="&amp;$B177,BD!$Q$3:$Q$5001,"&lt;&gt;")=0,"",SUMIFS(BD!$Q$3:$Q$5001,BD!$B$3:$B$5001,S$163,BD!$A$3:$A$5001,_xlfn.MAXIFS(BD!$A$3:$A$5001,BD!$B$3:$B$5001,S$163,BD!$A$3:$A$5001,"&gt;="&amp;$C$7,BD!$A$3:$A$5001,"&lt;="&amp;$B177,BD!$Q$3:$Q$5001,"&lt;&gt;"))))</f>
        <v/>
      </c>
      <c r="T177" s="54" t="str">
        <f>IF(OR($B177="",$A177&gt;$B$9,T$163=""),"",IF(COUNTIFS(BD!$B$3:$B$5001,T$163,BD!$A$3:$A$5001,"&gt;="&amp;$C$7,BD!$A$3:$A$5001,"&lt;="&amp;$B177,BD!$Q$3:$Q$5001,"&lt;&gt;")=0,"",SUMIFS(BD!$Q$3:$Q$5001,BD!$B$3:$B$5001,T$163,BD!$A$3:$A$5001,_xlfn.MAXIFS(BD!$A$3:$A$5001,BD!$B$3:$B$5001,T$163,BD!$A$3:$A$5001,"&gt;="&amp;$C$7,BD!$A$3:$A$5001,"&lt;="&amp;$B177,BD!$Q$3:$Q$5001,"&lt;&gt;"))))</f>
        <v/>
      </c>
      <c r="U177" s="54" t="str">
        <f>IF(OR($B177="",$A177&gt;$B$9,U$163=""),"",IF(COUNTIFS(BD!$B$3:$B$5001,U$163,BD!$A$3:$A$5001,"&gt;="&amp;$C$7,BD!$A$3:$A$5001,"&lt;="&amp;$B177,BD!$Q$3:$Q$5001,"&lt;&gt;")=0,"",SUMIFS(BD!$Q$3:$Q$5001,BD!$B$3:$B$5001,U$163,BD!$A$3:$A$5001,_xlfn.MAXIFS(BD!$A$3:$A$5001,BD!$B$3:$B$5001,U$163,BD!$A$3:$A$5001,"&gt;="&amp;$C$7,BD!$A$3:$A$5001,"&lt;="&amp;$B177,BD!$Q$3:$Q$5001,"&lt;&gt;"))))</f>
        <v/>
      </c>
      <c r="V177" s="54" t="str">
        <f>IF(OR($B177="",$A177&gt;$B$9,V$163=""),"",IF(COUNTIFS(BD!$B$3:$B$5001,V$163,BD!$A$3:$A$5001,"&gt;="&amp;$C$7,BD!$A$3:$A$5001,"&lt;="&amp;$B177,BD!$Q$3:$Q$5001,"&lt;&gt;")=0,"",SUMIFS(BD!$Q$3:$Q$5001,BD!$B$3:$B$5001,V$163,BD!$A$3:$A$5001,_xlfn.MAXIFS(BD!$A$3:$A$5001,BD!$B$3:$B$5001,V$163,BD!$A$3:$A$5001,"&gt;="&amp;$C$7,BD!$A$3:$A$5001,"&lt;="&amp;$B177,BD!$Q$3:$Q$5001,"&lt;&gt;"))))</f>
        <v/>
      </c>
    </row>
    <row r="178">
      <c r="A178" s="48">
        <v>15</v>
      </c>
      <c r="B178" s="53">
        <f>$B$26</f>
        <v>46310</v>
      </c>
      <c r="C178" s="54" t="str">
        <f>IF(OR($B178="",$A178&gt;$B$9,C$163=""),"",IF(COUNTIFS(BD!$B$3:$B$5001,C$163,BD!$A$3:$A$5001,"&gt;="&amp;$C$7,BD!$A$3:$A$5001,"&lt;="&amp;$B178,BD!$Q$3:$Q$5001,"&lt;&gt;")=0,"",SUMIFS(BD!$Q$3:$Q$5001,BD!$B$3:$B$5001,C$163,BD!$A$3:$A$5001,_xlfn.MAXIFS(BD!$A$3:$A$5001,BD!$B$3:$B$5001,C$163,BD!$A$3:$A$5001,"&gt;="&amp;$C$7,BD!$A$3:$A$5001,"&lt;="&amp;$B178,BD!$Q$3:$Q$5001,"&lt;&gt;"))))</f>
        <v/>
      </c>
      <c r="D178" s="54" t="str">
        <f>IF(OR($B178="",$A178&gt;$B$9,D$163=""),"",IF(COUNTIFS(BD!$B$3:$B$5001,D$163,BD!$A$3:$A$5001,"&gt;="&amp;$C$7,BD!$A$3:$A$5001,"&lt;="&amp;$B178,BD!$Q$3:$Q$5001,"&lt;&gt;")=0,"",SUMIFS(BD!$Q$3:$Q$5001,BD!$B$3:$B$5001,D$163,BD!$A$3:$A$5001,_xlfn.MAXIFS(BD!$A$3:$A$5001,BD!$B$3:$B$5001,D$163,BD!$A$3:$A$5001,"&gt;="&amp;$C$7,BD!$A$3:$A$5001,"&lt;="&amp;$B178,BD!$Q$3:$Q$5001,"&lt;&gt;"))))</f>
        <v/>
      </c>
      <c r="E178" s="54" t="str">
        <f>IF(OR($B178="",$A178&gt;$B$9,E$163=""),"",IF(COUNTIFS(BD!$B$3:$B$5001,E$163,BD!$A$3:$A$5001,"&gt;="&amp;$C$7,BD!$A$3:$A$5001,"&lt;="&amp;$B178,BD!$Q$3:$Q$5001,"&lt;&gt;")=0,"",SUMIFS(BD!$Q$3:$Q$5001,BD!$B$3:$B$5001,E$163,BD!$A$3:$A$5001,_xlfn.MAXIFS(BD!$A$3:$A$5001,BD!$B$3:$B$5001,E$163,BD!$A$3:$A$5001,"&gt;="&amp;$C$7,BD!$A$3:$A$5001,"&lt;="&amp;$B178,BD!$Q$3:$Q$5001,"&lt;&gt;"))))</f>
        <v/>
      </c>
      <c r="F178" s="54" t="str">
        <f>IF(OR($B178="",$A178&gt;$B$9,F$163=""),"",IF(COUNTIFS(BD!$B$3:$B$5001,F$163,BD!$A$3:$A$5001,"&gt;="&amp;$C$7,BD!$A$3:$A$5001,"&lt;="&amp;$B178,BD!$Q$3:$Q$5001,"&lt;&gt;")=0,"",SUMIFS(BD!$Q$3:$Q$5001,BD!$B$3:$B$5001,F$163,BD!$A$3:$A$5001,_xlfn.MAXIFS(BD!$A$3:$A$5001,BD!$B$3:$B$5001,F$163,BD!$A$3:$A$5001,"&gt;="&amp;$C$7,BD!$A$3:$A$5001,"&lt;="&amp;$B178,BD!$Q$3:$Q$5001,"&lt;&gt;"))))</f>
        <v/>
      </c>
      <c r="G178" s="54" t="str">
        <f>IF(OR($B178="",$A178&gt;$B$9,G$163=""),"",IF(COUNTIFS(BD!$B$3:$B$5001,G$163,BD!$A$3:$A$5001,"&gt;="&amp;$C$7,BD!$A$3:$A$5001,"&lt;="&amp;$B178,BD!$Q$3:$Q$5001,"&lt;&gt;")=0,"",SUMIFS(BD!$Q$3:$Q$5001,BD!$B$3:$B$5001,G$163,BD!$A$3:$A$5001,_xlfn.MAXIFS(BD!$A$3:$A$5001,BD!$B$3:$B$5001,G$163,BD!$A$3:$A$5001,"&gt;="&amp;$C$7,BD!$A$3:$A$5001,"&lt;="&amp;$B178,BD!$Q$3:$Q$5001,"&lt;&gt;"))))</f>
        <v/>
      </c>
      <c r="H178" s="54" t="str">
        <f>IF(OR($B178="",$A178&gt;$B$9,H$163=""),"",IF(COUNTIFS(BD!$B$3:$B$5001,H$163,BD!$A$3:$A$5001,"&gt;="&amp;$C$7,BD!$A$3:$A$5001,"&lt;="&amp;$B178,BD!$Q$3:$Q$5001,"&lt;&gt;")=0,"",SUMIFS(BD!$Q$3:$Q$5001,BD!$B$3:$B$5001,H$163,BD!$A$3:$A$5001,_xlfn.MAXIFS(BD!$A$3:$A$5001,BD!$B$3:$B$5001,H$163,BD!$A$3:$A$5001,"&gt;="&amp;$C$7,BD!$A$3:$A$5001,"&lt;="&amp;$B178,BD!$Q$3:$Q$5001,"&lt;&gt;"))))</f>
        <v/>
      </c>
      <c r="I178" s="54" t="str">
        <f>IF(OR($B178="",$A178&gt;$B$9,I$163=""),"",IF(COUNTIFS(BD!$B$3:$B$5001,I$163,BD!$A$3:$A$5001,"&gt;="&amp;$C$7,BD!$A$3:$A$5001,"&lt;="&amp;$B178,BD!$Q$3:$Q$5001,"&lt;&gt;")=0,"",SUMIFS(BD!$Q$3:$Q$5001,BD!$B$3:$B$5001,I$163,BD!$A$3:$A$5001,_xlfn.MAXIFS(BD!$A$3:$A$5001,BD!$B$3:$B$5001,I$163,BD!$A$3:$A$5001,"&gt;="&amp;$C$7,BD!$A$3:$A$5001,"&lt;="&amp;$B178,BD!$Q$3:$Q$5001,"&lt;&gt;"))))</f>
        <v/>
      </c>
      <c r="J178" s="54" t="str">
        <f>IF(OR($B178="",$A178&gt;$B$9,J$163=""),"",IF(COUNTIFS(BD!$B$3:$B$5001,J$163,BD!$A$3:$A$5001,"&gt;="&amp;$C$7,BD!$A$3:$A$5001,"&lt;="&amp;$B178,BD!$Q$3:$Q$5001,"&lt;&gt;")=0,"",SUMIFS(BD!$Q$3:$Q$5001,BD!$B$3:$B$5001,J$163,BD!$A$3:$A$5001,_xlfn.MAXIFS(BD!$A$3:$A$5001,BD!$B$3:$B$5001,J$163,BD!$A$3:$A$5001,"&gt;="&amp;$C$7,BD!$A$3:$A$5001,"&lt;="&amp;$B178,BD!$Q$3:$Q$5001,"&lt;&gt;"))))</f>
        <v/>
      </c>
      <c r="K178" s="54" t="str">
        <f>IF(OR($B178="",$A178&gt;$B$9,K$163=""),"",IF(COUNTIFS(BD!$B$3:$B$5001,K$163,BD!$A$3:$A$5001,"&gt;="&amp;$C$7,BD!$A$3:$A$5001,"&lt;="&amp;$B178,BD!$Q$3:$Q$5001,"&lt;&gt;")=0,"",SUMIFS(BD!$Q$3:$Q$5001,BD!$B$3:$B$5001,K$163,BD!$A$3:$A$5001,_xlfn.MAXIFS(BD!$A$3:$A$5001,BD!$B$3:$B$5001,K$163,BD!$A$3:$A$5001,"&gt;="&amp;$C$7,BD!$A$3:$A$5001,"&lt;="&amp;$B178,BD!$Q$3:$Q$5001,"&lt;&gt;"))))</f>
        <v/>
      </c>
      <c r="L178" s="54" t="str">
        <f>IF(OR($B178="",$A178&gt;$B$9,L$163=""),"",IF(COUNTIFS(BD!$B$3:$B$5001,L$163,BD!$A$3:$A$5001,"&gt;="&amp;$C$7,BD!$A$3:$A$5001,"&lt;="&amp;$B178,BD!$Q$3:$Q$5001,"&lt;&gt;")=0,"",SUMIFS(BD!$Q$3:$Q$5001,BD!$B$3:$B$5001,L$163,BD!$A$3:$A$5001,_xlfn.MAXIFS(BD!$A$3:$A$5001,BD!$B$3:$B$5001,L$163,BD!$A$3:$A$5001,"&gt;="&amp;$C$7,BD!$A$3:$A$5001,"&lt;="&amp;$B178,BD!$Q$3:$Q$5001,"&lt;&gt;"))))</f>
        <v/>
      </c>
      <c r="M178" s="54" t="str">
        <f>IF(OR($B178="",$A178&gt;$B$9,M$163=""),"",IF(COUNTIFS(BD!$B$3:$B$5001,M$163,BD!$A$3:$A$5001,"&gt;="&amp;$C$7,BD!$A$3:$A$5001,"&lt;="&amp;$B178,BD!$Q$3:$Q$5001,"&lt;&gt;")=0,"",SUMIFS(BD!$Q$3:$Q$5001,BD!$B$3:$B$5001,M$163,BD!$A$3:$A$5001,_xlfn.MAXIFS(BD!$A$3:$A$5001,BD!$B$3:$B$5001,M$163,BD!$A$3:$A$5001,"&gt;="&amp;$C$7,BD!$A$3:$A$5001,"&lt;="&amp;$B178,BD!$Q$3:$Q$5001,"&lt;&gt;"))))</f>
        <v/>
      </c>
      <c r="N178" s="54" t="str">
        <f>IF(OR($B178="",$A178&gt;$B$9,N$163=""),"",IF(COUNTIFS(BD!$B$3:$B$5001,N$163,BD!$A$3:$A$5001,"&gt;="&amp;$C$7,BD!$A$3:$A$5001,"&lt;="&amp;$B178,BD!$Q$3:$Q$5001,"&lt;&gt;")=0,"",SUMIFS(BD!$Q$3:$Q$5001,BD!$B$3:$B$5001,N$163,BD!$A$3:$A$5001,_xlfn.MAXIFS(BD!$A$3:$A$5001,BD!$B$3:$B$5001,N$163,BD!$A$3:$A$5001,"&gt;="&amp;$C$7,BD!$A$3:$A$5001,"&lt;="&amp;$B178,BD!$Q$3:$Q$5001,"&lt;&gt;"))))</f>
        <v/>
      </c>
      <c r="O178" s="54" t="str">
        <f>IF(OR($B178="",$A178&gt;$B$9,O$163=""),"",IF(COUNTIFS(BD!$B$3:$B$5001,O$163,BD!$A$3:$A$5001,"&gt;="&amp;$C$7,BD!$A$3:$A$5001,"&lt;="&amp;$B178,BD!$Q$3:$Q$5001,"&lt;&gt;")=0,"",SUMIFS(BD!$Q$3:$Q$5001,BD!$B$3:$B$5001,O$163,BD!$A$3:$A$5001,_xlfn.MAXIFS(BD!$A$3:$A$5001,BD!$B$3:$B$5001,O$163,BD!$A$3:$A$5001,"&gt;="&amp;$C$7,BD!$A$3:$A$5001,"&lt;="&amp;$B178,BD!$Q$3:$Q$5001,"&lt;&gt;"))))</f>
        <v/>
      </c>
      <c r="P178" s="54" t="str">
        <f>IF(OR($B178="",$A178&gt;$B$9,P$163=""),"",IF(COUNTIFS(BD!$B$3:$B$5001,P$163,BD!$A$3:$A$5001,"&gt;="&amp;$C$7,BD!$A$3:$A$5001,"&lt;="&amp;$B178,BD!$Q$3:$Q$5001,"&lt;&gt;")=0,"",SUMIFS(BD!$Q$3:$Q$5001,BD!$B$3:$B$5001,P$163,BD!$A$3:$A$5001,_xlfn.MAXIFS(BD!$A$3:$A$5001,BD!$B$3:$B$5001,P$163,BD!$A$3:$A$5001,"&gt;="&amp;$C$7,BD!$A$3:$A$5001,"&lt;="&amp;$B178,BD!$Q$3:$Q$5001,"&lt;&gt;"))))</f>
        <v/>
      </c>
      <c r="Q178" s="54" t="str">
        <f>IF(OR($B178="",$A178&gt;$B$9,Q$163=""),"",IF(COUNTIFS(BD!$B$3:$B$5001,Q$163,BD!$A$3:$A$5001,"&gt;="&amp;$C$7,BD!$A$3:$A$5001,"&lt;="&amp;$B178,BD!$Q$3:$Q$5001,"&lt;&gt;")=0,"",SUMIFS(BD!$Q$3:$Q$5001,BD!$B$3:$B$5001,Q$163,BD!$A$3:$A$5001,_xlfn.MAXIFS(BD!$A$3:$A$5001,BD!$B$3:$B$5001,Q$163,BD!$A$3:$A$5001,"&gt;="&amp;$C$7,BD!$A$3:$A$5001,"&lt;="&amp;$B178,BD!$Q$3:$Q$5001,"&lt;&gt;"))))</f>
        <v/>
      </c>
      <c r="R178" s="54" t="str">
        <f>IF(OR($B178="",$A178&gt;$B$9,R$163=""),"",IF(COUNTIFS(BD!$B$3:$B$5001,R$163,BD!$A$3:$A$5001,"&gt;="&amp;$C$7,BD!$A$3:$A$5001,"&lt;="&amp;$B178,BD!$Q$3:$Q$5001,"&lt;&gt;")=0,"",SUMIFS(BD!$Q$3:$Q$5001,BD!$B$3:$B$5001,R$163,BD!$A$3:$A$5001,_xlfn.MAXIFS(BD!$A$3:$A$5001,BD!$B$3:$B$5001,R$163,BD!$A$3:$A$5001,"&gt;="&amp;$C$7,BD!$A$3:$A$5001,"&lt;="&amp;$B178,BD!$Q$3:$Q$5001,"&lt;&gt;"))))</f>
        <v/>
      </c>
      <c r="S178" s="54" t="str">
        <f>IF(OR($B178="",$A178&gt;$B$9,S$163=""),"",IF(COUNTIFS(BD!$B$3:$B$5001,S$163,BD!$A$3:$A$5001,"&gt;="&amp;$C$7,BD!$A$3:$A$5001,"&lt;="&amp;$B178,BD!$Q$3:$Q$5001,"&lt;&gt;")=0,"",SUMIFS(BD!$Q$3:$Q$5001,BD!$B$3:$B$5001,S$163,BD!$A$3:$A$5001,_xlfn.MAXIFS(BD!$A$3:$A$5001,BD!$B$3:$B$5001,S$163,BD!$A$3:$A$5001,"&gt;="&amp;$C$7,BD!$A$3:$A$5001,"&lt;="&amp;$B178,BD!$Q$3:$Q$5001,"&lt;&gt;"))))</f>
        <v/>
      </c>
      <c r="T178" s="54" t="str">
        <f>IF(OR($B178="",$A178&gt;$B$9,T$163=""),"",IF(COUNTIFS(BD!$B$3:$B$5001,T$163,BD!$A$3:$A$5001,"&gt;="&amp;$C$7,BD!$A$3:$A$5001,"&lt;="&amp;$B178,BD!$Q$3:$Q$5001,"&lt;&gt;")=0,"",SUMIFS(BD!$Q$3:$Q$5001,BD!$B$3:$B$5001,T$163,BD!$A$3:$A$5001,_xlfn.MAXIFS(BD!$A$3:$A$5001,BD!$B$3:$B$5001,T$163,BD!$A$3:$A$5001,"&gt;="&amp;$C$7,BD!$A$3:$A$5001,"&lt;="&amp;$B178,BD!$Q$3:$Q$5001,"&lt;&gt;"))))</f>
        <v/>
      </c>
      <c r="U178" s="54" t="str">
        <f>IF(OR($B178="",$A178&gt;$B$9,U$163=""),"",IF(COUNTIFS(BD!$B$3:$B$5001,U$163,BD!$A$3:$A$5001,"&gt;="&amp;$C$7,BD!$A$3:$A$5001,"&lt;="&amp;$B178,BD!$Q$3:$Q$5001,"&lt;&gt;")=0,"",SUMIFS(BD!$Q$3:$Q$5001,BD!$B$3:$B$5001,U$163,BD!$A$3:$A$5001,_xlfn.MAXIFS(BD!$A$3:$A$5001,BD!$B$3:$B$5001,U$163,BD!$A$3:$A$5001,"&gt;="&amp;$C$7,BD!$A$3:$A$5001,"&lt;="&amp;$B178,BD!$Q$3:$Q$5001,"&lt;&gt;"))))</f>
        <v/>
      </c>
      <c r="V178" s="54" t="str">
        <f>IF(OR($B178="",$A178&gt;$B$9,V$163=""),"",IF(COUNTIFS(BD!$B$3:$B$5001,V$163,BD!$A$3:$A$5001,"&gt;="&amp;$C$7,BD!$A$3:$A$5001,"&lt;="&amp;$B178,BD!$Q$3:$Q$5001,"&lt;&gt;")=0,"",SUMIFS(BD!$Q$3:$Q$5001,BD!$B$3:$B$5001,V$163,BD!$A$3:$A$5001,_xlfn.MAXIFS(BD!$A$3:$A$5001,BD!$B$3:$B$5001,V$163,BD!$A$3:$A$5001,"&gt;="&amp;$C$7,BD!$A$3:$A$5001,"&lt;="&amp;$B178,BD!$Q$3:$Q$5001,"&lt;&gt;"))))</f>
        <v/>
      </c>
    </row>
    <row r="179">
      <c r="A179" s="48">
        <v>16</v>
      </c>
      <c r="B179" s="53">
        <f>$B$27</f>
        <v>46311</v>
      </c>
      <c r="C179" s="54" t="str">
        <f>IF(OR($B179="",$A179&gt;$B$9,C$163=""),"",IF(COUNTIFS(BD!$B$3:$B$5001,C$163,BD!$A$3:$A$5001,"&gt;="&amp;$C$7,BD!$A$3:$A$5001,"&lt;="&amp;$B179,BD!$Q$3:$Q$5001,"&lt;&gt;")=0,"",SUMIFS(BD!$Q$3:$Q$5001,BD!$B$3:$B$5001,C$163,BD!$A$3:$A$5001,_xlfn.MAXIFS(BD!$A$3:$A$5001,BD!$B$3:$B$5001,C$163,BD!$A$3:$A$5001,"&gt;="&amp;$C$7,BD!$A$3:$A$5001,"&lt;="&amp;$B179,BD!$Q$3:$Q$5001,"&lt;&gt;"))))</f>
        <v/>
      </c>
      <c r="D179" s="54" t="str">
        <f>IF(OR($B179="",$A179&gt;$B$9,D$163=""),"",IF(COUNTIFS(BD!$B$3:$B$5001,D$163,BD!$A$3:$A$5001,"&gt;="&amp;$C$7,BD!$A$3:$A$5001,"&lt;="&amp;$B179,BD!$Q$3:$Q$5001,"&lt;&gt;")=0,"",SUMIFS(BD!$Q$3:$Q$5001,BD!$B$3:$B$5001,D$163,BD!$A$3:$A$5001,_xlfn.MAXIFS(BD!$A$3:$A$5001,BD!$B$3:$B$5001,D$163,BD!$A$3:$A$5001,"&gt;="&amp;$C$7,BD!$A$3:$A$5001,"&lt;="&amp;$B179,BD!$Q$3:$Q$5001,"&lt;&gt;"))))</f>
        <v/>
      </c>
      <c r="E179" s="54" t="str">
        <f>IF(OR($B179="",$A179&gt;$B$9,E$163=""),"",IF(COUNTIFS(BD!$B$3:$B$5001,E$163,BD!$A$3:$A$5001,"&gt;="&amp;$C$7,BD!$A$3:$A$5001,"&lt;="&amp;$B179,BD!$Q$3:$Q$5001,"&lt;&gt;")=0,"",SUMIFS(BD!$Q$3:$Q$5001,BD!$B$3:$B$5001,E$163,BD!$A$3:$A$5001,_xlfn.MAXIFS(BD!$A$3:$A$5001,BD!$B$3:$B$5001,E$163,BD!$A$3:$A$5001,"&gt;="&amp;$C$7,BD!$A$3:$A$5001,"&lt;="&amp;$B179,BD!$Q$3:$Q$5001,"&lt;&gt;"))))</f>
        <v/>
      </c>
      <c r="F179" s="54" t="str">
        <f>IF(OR($B179="",$A179&gt;$B$9,F$163=""),"",IF(COUNTIFS(BD!$B$3:$B$5001,F$163,BD!$A$3:$A$5001,"&gt;="&amp;$C$7,BD!$A$3:$A$5001,"&lt;="&amp;$B179,BD!$Q$3:$Q$5001,"&lt;&gt;")=0,"",SUMIFS(BD!$Q$3:$Q$5001,BD!$B$3:$B$5001,F$163,BD!$A$3:$A$5001,_xlfn.MAXIFS(BD!$A$3:$A$5001,BD!$B$3:$B$5001,F$163,BD!$A$3:$A$5001,"&gt;="&amp;$C$7,BD!$A$3:$A$5001,"&lt;="&amp;$B179,BD!$Q$3:$Q$5001,"&lt;&gt;"))))</f>
        <v/>
      </c>
      <c r="G179" s="54" t="str">
        <f>IF(OR($B179="",$A179&gt;$B$9,G$163=""),"",IF(COUNTIFS(BD!$B$3:$B$5001,G$163,BD!$A$3:$A$5001,"&gt;="&amp;$C$7,BD!$A$3:$A$5001,"&lt;="&amp;$B179,BD!$Q$3:$Q$5001,"&lt;&gt;")=0,"",SUMIFS(BD!$Q$3:$Q$5001,BD!$B$3:$B$5001,G$163,BD!$A$3:$A$5001,_xlfn.MAXIFS(BD!$A$3:$A$5001,BD!$B$3:$B$5001,G$163,BD!$A$3:$A$5001,"&gt;="&amp;$C$7,BD!$A$3:$A$5001,"&lt;="&amp;$B179,BD!$Q$3:$Q$5001,"&lt;&gt;"))))</f>
        <v/>
      </c>
      <c r="H179" s="54" t="str">
        <f>IF(OR($B179="",$A179&gt;$B$9,H$163=""),"",IF(COUNTIFS(BD!$B$3:$B$5001,H$163,BD!$A$3:$A$5001,"&gt;="&amp;$C$7,BD!$A$3:$A$5001,"&lt;="&amp;$B179,BD!$Q$3:$Q$5001,"&lt;&gt;")=0,"",SUMIFS(BD!$Q$3:$Q$5001,BD!$B$3:$B$5001,H$163,BD!$A$3:$A$5001,_xlfn.MAXIFS(BD!$A$3:$A$5001,BD!$B$3:$B$5001,H$163,BD!$A$3:$A$5001,"&gt;="&amp;$C$7,BD!$A$3:$A$5001,"&lt;="&amp;$B179,BD!$Q$3:$Q$5001,"&lt;&gt;"))))</f>
        <v/>
      </c>
      <c r="I179" s="54" t="str">
        <f>IF(OR($B179="",$A179&gt;$B$9,I$163=""),"",IF(COUNTIFS(BD!$B$3:$B$5001,I$163,BD!$A$3:$A$5001,"&gt;="&amp;$C$7,BD!$A$3:$A$5001,"&lt;="&amp;$B179,BD!$Q$3:$Q$5001,"&lt;&gt;")=0,"",SUMIFS(BD!$Q$3:$Q$5001,BD!$B$3:$B$5001,I$163,BD!$A$3:$A$5001,_xlfn.MAXIFS(BD!$A$3:$A$5001,BD!$B$3:$B$5001,I$163,BD!$A$3:$A$5001,"&gt;="&amp;$C$7,BD!$A$3:$A$5001,"&lt;="&amp;$B179,BD!$Q$3:$Q$5001,"&lt;&gt;"))))</f>
        <v/>
      </c>
      <c r="J179" s="54" t="str">
        <f>IF(OR($B179="",$A179&gt;$B$9,J$163=""),"",IF(COUNTIFS(BD!$B$3:$B$5001,J$163,BD!$A$3:$A$5001,"&gt;="&amp;$C$7,BD!$A$3:$A$5001,"&lt;="&amp;$B179,BD!$Q$3:$Q$5001,"&lt;&gt;")=0,"",SUMIFS(BD!$Q$3:$Q$5001,BD!$B$3:$B$5001,J$163,BD!$A$3:$A$5001,_xlfn.MAXIFS(BD!$A$3:$A$5001,BD!$B$3:$B$5001,J$163,BD!$A$3:$A$5001,"&gt;="&amp;$C$7,BD!$A$3:$A$5001,"&lt;="&amp;$B179,BD!$Q$3:$Q$5001,"&lt;&gt;"))))</f>
        <v/>
      </c>
      <c r="K179" s="54" t="str">
        <f>IF(OR($B179="",$A179&gt;$B$9,K$163=""),"",IF(COUNTIFS(BD!$B$3:$B$5001,K$163,BD!$A$3:$A$5001,"&gt;="&amp;$C$7,BD!$A$3:$A$5001,"&lt;="&amp;$B179,BD!$Q$3:$Q$5001,"&lt;&gt;")=0,"",SUMIFS(BD!$Q$3:$Q$5001,BD!$B$3:$B$5001,K$163,BD!$A$3:$A$5001,_xlfn.MAXIFS(BD!$A$3:$A$5001,BD!$B$3:$B$5001,K$163,BD!$A$3:$A$5001,"&gt;="&amp;$C$7,BD!$A$3:$A$5001,"&lt;="&amp;$B179,BD!$Q$3:$Q$5001,"&lt;&gt;"))))</f>
        <v/>
      </c>
      <c r="L179" s="54" t="str">
        <f>IF(OR($B179="",$A179&gt;$B$9,L$163=""),"",IF(COUNTIFS(BD!$B$3:$B$5001,L$163,BD!$A$3:$A$5001,"&gt;="&amp;$C$7,BD!$A$3:$A$5001,"&lt;="&amp;$B179,BD!$Q$3:$Q$5001,"&lt;&gt;")=0,"",SUMIFS(BD!$Q$3:$Q$5001,BD!$B$3:$B$5001,L$163,BD!$A$3:$A$5001,_xlfn.MAXIFS(BD!$A$3:$A$5001,BD!$B$3:$B$5001,L$163,BD!$A$3:$A$5001,"&gt;="&amp;$C$7,BD!$A$3:$A$5001,"&lt;="&amp;$B179,BD!$Q$3:$Q$5001,"&lt;&gt;"))))</f>
        <v/>
      </c>
      <c r="M179" s="54" t="str">
        <f>IF(OR($B179="",$A179&gt;$B$9,M$163=""),"",IF(COUNTIFS(BD!$B$3:$B$5001,M$163,BD!$A$3:$A$5001,"&gt;="&amp;$C$7,BD!$A$3:$A$5001,"&lt;="&amp;$B179,BD!$Q$3:$Q$5001,"&lt;&gt;")=0,"",SUMIFS(BD!$Q$3:$Q$5001,BD!$B$3:$B$5001,M$163,BD!$A$3:$A$5001,_xlfn.MAXIFS(BD!$A$3:$A$5001,BD!$B$3:$B$5001,M$163,BD!$A$3:$A$5001,"&gt;="&amp;$C$7,BD!$A$3:$A$5001,"&lt;="&amp;$B179,BD!$Q$3:$Q$5001,"&lt;&gt;"))))</f>
        <v/>
      </c>
      <c r="N179" s="54" t="str">
        <f>IF(OR($B179="",$A179&gt;$B$9,N$163=""),"",IF(COUNTIFS(BD!$B$3:$B$5001,N$163,BD!$A$3:$A$5001,"&gt;="&amp;$C$7,BD!$A$3:$A$5001,"&lt;="&amp;$B179,BD!$Q$3:$Q$5001,"&lt;&gt;")=0,"",SUMIFS(BD!$Q$3:$Q$5001,BD!$B$3:$B$5001,N$163,BD!$A$3:$A$5001,_xlfn.MAXIFS(BD!$A$3:$A$5001,BD!$B$3:$B$5001,N$163,BD!$A$3:$A$5001,"&gt;="&amp;$C$7,BD!$A$3:$A$5001,"&lt;="&amp;$B179,BD!$Q$3:$Q$5001,"&lt;&gt;"))))</f>
        <v/>
      </c>
      <c r="O179" s="54" t="str">
        <f>IF(OR($B179="",$A179&gt;$B$9,O$163=""),"",IF(COUNTIFS(BD!$B$3:$B$5001,O$163,BD!$A$3:$A$5001,"&gt;="&amp;$C$7,BD!$A$3:$A$5001,"&lt;="&amp;$B179,BD!$Q$3:$Q$5001,"&lt;&gt;")=0,"",SUMIFS(BD!$Q$3:$Q$5001,BD!$B$3:$B$5001,O$163,BD!$A$3:$A$5001,_xlfn.MAXIFS(BD!$A$3:$A$5001,BD!$B$3:$B$5001,O$163,BD!$A$3:$A$5001,"&gt;="&amp;$C$7,BD!$A$3:$A$5001,"&lt;="&amp;$B179,BD!$Q$3:$Q$5001,"&lt;&gt;"))))</f>
        <v/>
      </c>
      <c r="P179" s="54" t="str">
        <f>IF(OR($B179="",$A179&gt;$B$9,P$163=""),"",IF(COUNTIFS(BD!$B$3:$B$5001,P$163,BD!$A$3:$A$5001,"&gt;="&amp;$C$7,BD!$A$3:$A$5001,"&lt;="&amp;$B179,BD!$Q$3:$Q$5001,"&lt;&gt;")=0,"",SUMIFS(BD!$Q$3:$Q$5001,BD!$B$3:$B$5001,P$163,BD!$A$3:$A$5001,_xlfn.MAXIFS(BD!$A$3:$A$5001,BD!$B$3:$B$5001,P$163,BD!$A$3:$A$5001,"&gt;="&amp;$C$7,BD!$A$3:$A$5001,"&lt;="&amp;$B179,BD!$Q$3:$Q$5001,"&lt;&gt;"))))</f>
        <v/>
      </c>
      <c r="Q179" s="54" t="str">
        <f>IF(OR($B179="",$A179&gt;$B$9,Q$163=""),"",IF(COUNTIFS(BD!$B$3:$B$5001,Q$163,BD!$A$3:$A$5001,"&gt;="&amp;$C$7,BD!$A$3:$A$5001,"&lt;="&amp;$B179,BD!$Q$3:$Q$5001,"&lt;&gt;")=0,"",SUMIFS(BD!$Q$3:$Q$5001,BD!$B$3:$B$5001,Q$163,BD!$A$3:$A$5001,_xlfn.MAXIFS(BD!$A$3:$A$5001,BD!$B$3:$B$5001,Q$163,BD!$A$3:$A$5001,"&gt;="&amp;$C$7,BD!$A$3:$A$5001,"&lt;="&amp;$B179,BD!$Q$3:$Q$5001,"&lt;&gt;"))))</f>
        <v/>
      </c>
      <c r="R179" s="54" t="str">
        <f>IF(OR($B179="",$A179&gt;$B$9,R$163=""),"",IF(COUNTIFS(BD!$B$3:$B$5001,R$163,BD!$A$3:$A$5001,"&gt;="&amp;$C$7,BD!$A$3:$A$5001,"&lt;="&amp;$B179,BD!$Q$3:$Q$5001,"&lt;&gt;")=0,"",SUMIFS(BD!$Q$3:$Q$5001,BD!$B$3:$B$5001,R$163,BD!$A$3:$A$5001,_xlfn.MAXIFS(BD!$A$3:$A$5001,BD!$B$3:$B$5001,R$163,BD!$A$3:$A$5001,"&gt;="&amp;$C$7,BD!$A$3:$A$5001,"&lt;="&amp;$B179,BD!$Q$3:$Q$5001,"&lt;&gt;"))))</f>
        <v/>
      </c>
      <c r="S179" s="54" t="str">
        <f>IF(OR($B179="",$A179&gt;$B$9,S$163=""),"",IF(COUNTIFS(BD!$B$3:$B$5001,S$163,BD!$A$3:$A$5001,"&gt;="&amp;$C$7,BD!$A$3:$A$5001,"&lt;="&amp;$B179,BD!$Q$3:$Q$5001,"&lt;&gt;")=0,"",SUMIFS(BD!$Q$3:$Q$5001,BD!$B$3:$B$5001,S$163,BD!$A$3:$A$5001,_xlfn.MAXIFS(BD!$A$3:$A$5001,BD!$B$3:$B$5001,S$163,BD!$A$3:$A$5001,"&gt;="&amp;$C$7,BD!$A$3:$A$5001,"&lt;="&amp;$B179,BD!$Q$3:$Q$5001,"&lt;&gt;"))))</f>
        <v/>
      </c>
      <c r="T179" s="54" t="str">
        <f>IF(OR($B179="",$A179&gt;$B$9,T$163=""),"",IF(COUNTIFS(BD!$B$3:$B$5001,T$163,BD!$A$3:$A$5001,"&gt;="&amp;$C$7,BD!$A$3:$A$5001,"&lt;="&amp;$B179,BD!$Q$3:$Q$5001,"&lt;&gt;")=0,"",SUMIFS(BD!$Q$3:$Q$5001,BD!$B$3:$B$5001,T$163,BD!$A$3:$A$5001,_xlfn.MAXIFS(BD!$A$3:$A$5001,BD!$B$3:$B$5001,T$163,BD!$A$3:$A$5001,"&gt;="&amp;$C$7,BD!$A$3:$A$5001,"&lt;="&amp;$B179,BD!$Q$3:$Q$5001,"&lt;&gt;"))))</f>
        <v/>
      </c>
      <c r="U179" s="54" t="str">
        <f>IF(OR($B179="",$A179&gt;$B$9,U$163=""),"",IF(COUNTIFS(BD!$B$3:$B$5001,U$163,BD!$A$3:$A$5001,"&gt;="&amp;$C$7,BD!$A$3:$A$5001,"&lt;="&amp;$B179,BD!$Q$3:$Q$5001,"&lt;&gt;")=0,"",SUMIFS(BD!$Q$3:$Q$5001,BD!$B$3:$B$5001,U$163,BD!$A$3:$A$5001,_xlfn.MAXIFS(BD!$A$3:$A$5001,BD!$B$3:$B$5001,U$163,BD!$A$3:$A$5001,"&gt;="&amp;$C$7,BD!$A$3:$A$5001,"&lt;="&amp;$B179,BD!$Q$3:$Q$5001,"&lt;&gt;"))))</f>
        <v/>
      </c>
      <c r="V179" s="54" t="str">
        <f>IF(OR($B179="",$A179&gt;$B$9,V$163=""),"",IF(COUNTIFS(BD!$B$3:$B$5001,V$163,BD!$A$3:$A$5001,"&gt;="&amp;$C$7,BD!$A$3:$A$5001,"&lt;="&amp;$B179,BD!$Q$3:$Q$5001,"&lt;&gt;")=0,"",SUMIFS(BD!$Q$3:$Q$5001,BD!$B$3:$B$5001,V$163,BD!$A$3:$A$5001,_xlfn.MAXIFS(BD!$A$3:$A$5001,BD!$B$3:$B$5001,V$163,BD!$A$3:$A$5001,"&gt;="&amp;$C$7,BD!$A$3:$A$5001,"&lt;="&amp;$B179,BD!$Q$3:$Q$5001,"&lt;&gt;"))))</f>
        <v/>
      </c>
    </row>
    <row r="180">
      <c r="A180" s="48">
        <v>17</v>
      </c>
      <c r="B180" s="53">
        <f>$B$28</f>
        <v>46312</v>
      </c>
      <c r="C180" s="54" t="str">
        <f>IF(OR($B180="",$A180&gt;$B$9,C$163=""),"",IF(COUNTIFS(BD!$B$3:$B$5001,C$163,BD!$A$3:$A$5001,"&gt;="&amp;$C$7,BD!$A$3:$A$5001,"&lt;="&amp;$B180,BD!$Q$3:$Q$5001,"&lt;&gt;")=0,"",SUMIFS(BD!$Q$3:$Q$5001,BD!$B$3:$B$5001,C$163,BD!$A$3:$A$5001,_xlfn.MAXIFS(BD!$A$3:$A$5001,BD!$B$3:$B$5001,C$163,BD!$A$3:$A$5001,"&gt;="&amp;$C$7,BD!$A$3:$A$5001,"&lt;="&amp;$B180,BD!$Q$3:$Q$5001,"&lt;&gt;"))))</f>
        <v/>
      </c>
      <c r="D180" s="54" t="str">
        <f>IF(OR($B180="",$A180&gt;$B$9,D$163=""),"",IF(COUNTIFS(BD!$B$3:$B$5001,D$163,BD!$A$3:$A$5001,"&gt;="&amp;$C$7,BD!$A$3:$A$5001,"&lt;="&amp;$B180,BD!$Q$3:$Q$5001,"&lt;&gt;")=0,"",SUMIFS(BD!$Q$3:$Q$5001,BD!$B$3:$B$5001,D$163,BD!$A$3:$A$5001,_xlfn.MAXIFS(BD!$A$3:$A$5001,BD!$B$3:$B$5001,D$163,BD!$A$3:$A$5001,"&gt;="&amp;$C$7,BD!$A$3:$A$5001,"&lt;="&amp;$B180,BD!$Q$3:$Q$5001,"&lt;&gt;"))))</f>
        <v/>
      </c>
      <c r="E180" s="54" t="str">
        <f>IF(OR($B180="",$A180&gt;$B$9,E$163=""),"",IF(COUNTIFS(BD!$B$3:$B$5001,E$163,BD!$A$3:$A$5001,"&gt;="&amp;$C$7,BD!$A$3:$A$5001,"&lt;="&amp;$B180,BD!$Q$3:$Q$5001,"&lt;&gt;")=0,"",SUMIFS(BD!$Q$3:$Q$5001,BD!$B$3:$B$5001,E$163,BD!$A$3:$A$5001,_xlfn.MAXIFS(BD!$A$3:$A$5001,BD!$B$3:$B$5001,E$163,BD!$A$3:$A$5001,"&gt;="&amp;$C$7,BD!$A$3:$A$5001,"&lt;="&amp;$B180,BD!$Q$3:$Q$5001,"&lt;&gt;"))))</f>
        <v/>
      </c>
      <c r="F180" s="54" t="str">
        <f>IF(OR($B180="",$A180&gt;$B$9,F$163=""),"",IF(COUNTIFS(BD!$B$3:$B$5001,F$163,BD!$A$3:$A$5001,"&gt;="&amp;$C$7,BD!$A$3:$A$5001,"&lt;="&amp;$B180,BD!$Q$3:$Q$5001,"&lt;&gt;")=0,"",SUMIFS(BD!$Q$3:$Q$5001,BD!$B$3:$B$5001,F$163,BD!$A$3:$A$5001,_xlfn.MAXIFS(BD!$A$3:$A$5001,BD!$B$3:$B$5001,F$163,BD!$A$3:$A$5001,"&gt;="&amp;$C$7,BD!$A$3:$A$5001,"&lt;="&amp;$B180,BD!$Q$3:$Q$5001,"&lt;&gt;"))))</f>
        <v/>
      </c>
      <c r="G180" s="54" t="str">
        <f>IF(OR($B180="",$A180&gt;$B$9,G$163=""),"",IF(COUNTIFS(BD!$B$3:$B$5001,G$163,BD!$A$3:$A$5001,"&gt;="&amp;$C$7,BD!$A$3:$A$5001,"&lt;="&amp;$B180,BD!$Q$3:$Q$5001,"&lt;&gt;")=0,"",SUMIFS(BD!$Q$3:$Q$5001,BD!$B$3:$B$5001,G$163,BD!$A$3:$A$5001,_xlfn.MAXIFS(BD!$A$3:$A$5001,BD!$B$3:$B$5001,G$163,BD!$A$3:$A$5001,"&gt;="&amp;$C$7,BD!$A$3:$A$5001,"&lt;="&amp;$B180,BD!$Q$3:$Q$5001,"&lt;&gt;"))))</f>
        <v/>
      </c>
      <c r="H180" s="54" t="str">
        <f>IF(OR($B180="",$A180&gt;$B$9,H$163=""),"",IF(COUNTIFS(BD!$B$3:$B$5001,H$163,BD!$A$3:$A$5001,"&gt;="&amp;$C$7,BD!$A$3:$A$5001,"&lt;="&amp;$B180,BD!$Q$3:$Q$5001,"&lt;&gt;")=0,"",SUMIFS(BD!$Q$3:$Q$5001,BD!$B$3:$B$5001,H$163,BD!$A$3:$A$5001,_xlfn.MAXIFS(BD!$A$3:$A$5001,BD!$B$3:$B$5001,H$163,BD!$A$3:$A$5001,"&gt;="&amp;$C$7,BD!$A$3:$A$5001,"&lt;="&amp;$B180,BD!$Q$3:$Q$5001,"&lt;&gt;"))))</f>
        <v/>
      </c>
      <c r="I180" s="54" t="str">
        <f>IF(OR($B180="",$A180&gt;$B$9,I$163=""),"",IF(COUNTIFS(BD!$B$3:$B$5001,I$163,BD!$A$3:$A$5001,"&gt;="&amp;$C$7,BD!$A$3:$A$5001,"&lt;="&amp;$B180,BD!$Q$3:$Q$5001,"&lt;&gt;")=0,"",SUMIFS(BD!$Q$3:$Q$5001,BD!$B$3:$B$5001,I$163,BD!$A$3:$A$5001,_xlfn.MAXIFS(BD!$A$3:$A$5001,BD!$B$3:$B$5001,I$163,BD!$A$3:$A$5001,"&gt;="&amp;$C$7,BD!$A$3:$A$5001,"&lt;="&amp;$B180,BD!$Q$3:$Q$5001,"&lt;&gt;"))))</f>
        <v/>
      </c>
      <c r="J180" s="54" t="str">
        <f>IF(OR($B180="",$A180&gt;$B$9,J$163=""),"",IF(COUNTIFS(BD!$B$3:$B$5001,J$163,BD!$A$3:$A$5001,"&gt;="&amp;$C$7,BD!$A$3:$A$5001,"&lt;="&amp;$B180,BD!$Q$3:$Q$5001,"&lt;&gt;")=0,"",SUMIFS(BD!$Q$3:$Q$5001,BD!$B$3:$B$5001,J$163,BD!$A$3:$A$5001,_xlfn.MAXIFS(BD!$A$3:$A$5001,BD!$B$3:$B$5001,J$163,BD!$A$3:$A$5001,"&gt;="&amp;$C$7,BD!$A$3:$A$5001,"&lt;="&amp;$B180,BD!$Q$3:$Q$5001,"&lt;&gt;"))))</f>
        <v/>
      </c>
      <c r="K180" s="54" t="str">
        <f>IF(OR($B180="",$A180&gt;$B$9,K$163=""),"",IF(COUNTIFS(BD!$B$3:$B$5001,K$163,BD!$A$3:$A$5001,"&gt;="&amp;$C$7,BD!$A$3:$A$5001,"&lt;="&amp;$B180,BD!$Q$3:$Q$5001,"&lt;&gt;")=0,"",SUMIFS(BD!$Q$3:$Q$5001,BD!$B$3:$B$5001,K$163,BD!$A$3:$A$5001,_xlfn.MAXIFS(BD!$A$3:$A$5001,BD!$B$3:$B$5001,K$163,BD!$A$3:$A$5001,"&gt;="&amp;$C$7,BD!$A$3:$A$5001,"&lt;="&amp;$B180,BD!$Q$3:$Q$5001,"&lt;&gt;"))))</f>
        <v/>
      </c>
      <c r="L180" s="54" t="str">
        <f>IF(OR($B180="",$A180&gt;$B$9,L$163=""),"",IF(COUNTIFS(BD!$B$3:$B$5001,L$163,BD!$A$3:$A$5001,"&gt;="&amp;$C$7,BD!$A$3:$A$5001,"&lt;="&amp;$B180,BD!$Q$3:$Q$5001,"&lt;&gt;")=0,"",SUMIFS(BD!$Q$3:$Q$5001,BD!$B$3:$B$5001,L$163,BD!$A$3:$A$5001,_xlfn.MAXIFS(BD!$A$3:$A$5001,BD!$B$3:$B$5001,L$163,BD!$A$3:$A$5001,"&gt;="&amp;$C$7,BD!$A$3:$A$5001,"&lt;="&amp;$B180,BD!$Q$3:$Q$5001,"&lt;&gt;"))))</f>
        <v/>
      </c>
      <c r="M180" s="54" t="str">
        <f>IF(OR($B180="",$A180&gt;$B$9,M$163=""),"",IF(COUNTIFS(BD!$B$3:$B$5001,M$163,BD!$A$3:$A$5001,"&gt;="&amp;$C$7,BD!$A$3:$A$5001,"&lt;="&amp;$B180,BD!$Q$3:$Q$5001,"&lt;&gt;")=0,"",SUMIFS(BD!$Q$3:$Q$5001,BD!$B$3:$B$5001,M$163,BD!$A$3:$A$5001,_xlfn.MAXIFS(BD!$A$3:$A$5001,BD!$B$3:$B$5001,M$163,BD!$A$3:$A$5001,"&gt;="&amp;$C$7,BD!$A$3:$A$5001,"&lt;="&amp;$B180,BD!$Q$3:$Q$5001,"&lt;&gt;"))))</f>
        <v/>
      </c>
      <c r="N180" s="54" t="str">
        <f>IF(OR($B180="",$A180&gt;$B$9,N$163=""),"",IF(COUNTIFS(BD!$B$3:$B$5001,N$163,BD!$A$3:$A$5001,"&gt;="&amp;$C$7,BD!$A$3:$A$5001,"&lt;="&amp;$B180,BD!$Q$3:$Q$5001,"&lt;&gt;")=0,"",SUMIFS(BD!$Q$3:$Q$5001,BD!$B$3:$B$5001,N$163,BD!$A$3:$A$5001,_xlfn.MAXIFS(BD!$A$3:$A$5001,BD!$B$3:$B$5001,N$163,BD!$A$3:$A$5001,"&gt;="&amp;$C$7,BD!$A$3:$A$5001,"&lt;="&amp;$B180,BD!$Q$3:$Q$5001,"&lt;&gt;"))))</f>
        <v/>
      </c>
      <c r="O180" s="54" t="str">
        <f>IF(OR($B180="",$A180&gt;$B$9,O$163=""),"",IF(COUNTIFS(BD!$B$3:$B$5001,O$163,BD!$A$3:$A$5001,"&gt;="&amp;$C$7,BD!$A$3:$A$5001,"&lt;="&amp;$B180,BD!$Q$3:$Q$5001,"&lt;&gt;")=0,"",SUMIFS(BD!$Q$3:$Q$5001,BD!$B$3:$B$5001,O$163,BD!$A$3:$A$5001,_xlfn.MAXIFS(BD!$A$3:$A$5001,BD!$B$3:$B$5001,O$163,BD!$A$3:$A$5001,"&gt;="&amp;$C$7,BD!$A$3:$A$5001,"&lt;="&amp;$B180,BD!$Q$3:$Q$5001,"&lt;&gt;"))))</f>
        <v/>
      </c>
      <c r="P180" s="54" t="str">
        <f>IF(OR($B180="",$A180&gt;$B$9,P$163=""),"",IF(COUNTIFS(BD!$B$3:$B$5001,P$163,BD!$A$3:$A$5001,"&gt;="&amp;$C$7,BD!$A$3:$A$5001,"&lt;="&amp;$B180,BD!$Q$3:$Q$5001,"&lt;&gt;")=0,"",SUMIFS(BD!$Q$3:$Q$5001,BD!$B$3:$B$5001,P$163,BD!$A$3:$A$5001,_xlfn.MAXIFS(BD!$A$3:$A$5001,BD!$B$3:$B$5001,P$163,BD!$A$3:$A$5001,"&gt;="&amp;$C$7,BD!$A$3:$A$5001,"&lt;="&amp;$B180,BD!$Q$3:$Q$5001,"&lt;&gt;"))))</f>
        <v/>
      </c>
      <c r="Q180" s="54" t="str">
        <f>IF(OR($B180="",$A180&gt;$B$9,Q$163=""),"",IF(COUNTIFS(BD!$B$3:$B$5001,Q$163,BD!$A$3:$A$5001,"&gt;="&amp;$C$7,BD!$A$3:$A$5001,"&lt;="&amp;$B180,BD!$Q$3:$Q$5001,"&lt;&gt;")=0,"",SUMIFS(BD!$Q$3:$Q$5001,BD!$B$3:$B$5001,Q$163,BD!$A$3:$A$5001,_xlfn.MAXIFS(BD!$A$3:$A$5001,BD!$B$3:$B$5001,Q$163,BD!$A$3:$A$5001,"&gt;="&amp;$C$7,BD!$A$3:$A$5001,"&lt;="&amp;$B180,BD!$Q$3:$Q$5001,"&lt;&gt;"))))</f>
        <v/>
      </c>
      <c r="R180" s="54" t="str">
        <f>IF(OR($B180="",$A180&gt;$B$9,R$163=""),"",IF(COUNTIFS(BD!$B$3:$B$5001,R$163,BD!$A$3:$A$5001,"&gt;="&amp;$C$7,BD!$A$3:$A$5001,"&lt;="&amp;$B180,BD!$Q$3:$Q$5001,"&lt;&gt;")=0,"",SUMIFS(BD!$Q$3:$Q$5001,BD!$B$3:$B$5001,R$163,BD!$A$3:$A$5001,_xlfn.MAXIFS(BD!$A$3:$A$5001,BD!$B$3:$B$5001,R$163,BD!$A$3:$A$5001,"&gt;="&amp;$C$7,BD!$A$3:$A$5001,"&lt;="&amp;$B180,BD!$Q$3:$Q$5001,"&lt;&gt;"))))</f>
        <v/>
      </c>
      <c r="S180" s="54" t="str">
        <f>IF(OR($B180="",$A180&gt;$B$9,S$163=""),"",IF(COUNTIFS(BD!$B$3:$B$5001,S$163,BD!$A$3:$A$5001,"&gt;="&amp;$C$7,BD!$A$3:$A$5001,"&lt;="&amp;$B180,BD!$Q$3:$Q$5001,"&lt;&gt;")=0,"",SUMIFS(BD!$Q$3:$Q$5001,BD!$B$3:$B$5001,S$163,BD!$A$3:$A$5001,_xlfn.MAXIFS(BD!$A$3:$A$5001,BD!$B$3:$B$5001,S$163,BD!$A$3:$A$5001,"&gt;="&amp;$C$7,BD!$A$3:$A$5001,"&lt;="&amp;$B180,BD!$Q$3:$Q$5001,"&lt;&gt;"))))</f>
        <v/>
      </c>
      <c r="T180" s="54" t="str">
        <f>IF(OR($B180="",$A180&gt;$B$9,T$163=""),"",IF(COUNTIFS(BD!$B$3:$B$5001,T$163,BD!$A$3:$A$5001,"&gt;="&amp;$C$7,BD!$A$3:$A$5001,"&lt;="&amp;$B180,BD!$Q$3:$Q$5001,"&lt;&gt;")=0,"",SUMIFS(BD!$Q$3:$Q$5001,BD!$B$3:$B$5001,T$163,BD!$A$3:$A$5001,_xlfn.MAXIFS(BD!$A$3:$A$5001,BD!$B$3:$B$5001,T$163,BD!$A$3:$A$5001,"&gt;="&amp;$C$7,BD!$A$3:$A$5001,"&lt;="&amp;$B180,BD!$Q$3:$Q$5001,"&lt;&gt;"))))</f>
        <v/>
      </c>
      <c r="U180" s="54" t="str">
        <f>IF(OR($B180="",$A180&gt;$B$9,U$163=""),"",IF(COUNTIFS(BD!$B$3:$B$5001,U$163,BD!$A$3:$A$5001,"&gt;="&amp;$C$7,BD!$A$3:$A$5001,"&lt;="&amp;$B180,BD!$Q$3:$Q$5001,"&lt;&gt;")=0,"",SUMIFS(BD!$Q$3:$Q$5001,BD!$B$3:$B$5001,U$163,BD!$A$3:$A$5001,_xlfn.MAXIFS(BD!$A$3:$A$5001,BD!$B$3:$B$5001,U$163,BD!$A$3:$A$5001,"&gt;="&amp;$C$7,BD!$A$3:$A$5001,"&lt;="&amp;$B180,BD!$Q$3:$Q$5001,"&lt;&gt;"))))</f>
        <v/>
      </c>
      <c r="V180" s="54" t="str">
        <f>IF(OR($B180="",$A180&gt;$B$9,V$163=""),"",IF(COUNTIFS(BD!$B$3:$B$5001,V$163,BD!$A$3:$A$5001,"&gt;="&amp;$C$7,BD!$A$3:$A$5001,"&lt;="&amp;$B180,BD!$Q$3:$Q$5001,"&lt;&gt;")=0,"",SUMIFS(BD!$Q$3:$Q$5001,BD!$B$3:$B$5001,V$163,BD!$A$3:$A$5001,_xlfn.MAXIFS(BD!$A$3:$A$5001,BD!$B$3:$B$5001,V$163,BD!$A$3:$A$5001,"&gt;="&amp;$C$7,BD!$A$3:$A$5001,"&lt;="&amp;$B180,BD!$Q$3:$Q$5001,"&lt;&gt;"))))</f>
        <v/>
      </c>
    </row>
    <row r="181">
      <c r="A181" s="48">
        <v>18</v>
      </c>
      <c r="B181" s="53">
        <f>$B$29</f>
        <v>46313</v>
      </c>
      <c r="C181" s="54" t="str">
        <f>IF(OR($B181="",$A181&gt;$B$9,C$163=""),"",IF(COUNTIFS(BD!$B$3:$B$5001,C$163,BD!$A$3:$A$5001,"&gt;="&amp;$C$7,BD!$A$3:$A$5001,"&lt;="&amp;$B181,BD!$Q$3:$Q$5001,"&lt;&gt;")=0,"",SUMIFS(BD!$Q$3:$Q$5001,BD!$B$3:$B$5001,C$163,BD!$A$3:$A$5001,_xlfn.MAXIFS(BD!$A$3:$A$5001,BD!$B$3:$B$5001,C$163,BD!$A$3:$A$5001,"&gt;="&amp;$C$7,BD!$A$3:$A$5001,"&lt;="&amp;$B181,BD!$Q$3:$Q$5001,"&lt;&gt;"))))</f>
        <v/>
      </c>
      <c r="D181" s="54" t="str">
        <f>IF(OR($B181="",$A181&gt;$B$9,D$163=""),"",IF(COUNTIFS(BD!$B$3:$B$5001,D$163,BD!$A$3:$A$5001,"&gt;="&amp;$C$7,BD!$A$3:$A$5001,"&lt;="&amp;$B181,BD!$Q$3:$Q$5001,"&lt;&gt;")=0,"",SUMIFS(BD!$Q$3:$Q$5001,BD!$B$3:$B$5001,D$163,BD!$A$3:$A$5001,_xlfn.MAXIFS(BD!$A$3:$A$5001,BD!$B$3:$B$5001,D$163,BD!$A$3:$A$5001,"&gt;="&amp;$C$7,BD!$A$3:$A$5001,"&lt;="&amp;$B181,BD!$Q$3:$Q$5001,"&lt;&gt;"))))</f>
        <v/>
      </c>
      <c r="E181" s="54" t="str">
        <f>IF(OR($B181="",$A181&gt;$B$9,E$163=""),"",IF(COUNTIFS(BD!$B$3:$B$5001,E$163,BD!$A$3:$A$5001,"&gt;="&amp;$C$7,BD!$A$3:$A$5001,"&lt;="&amp;$B181,BD!$Q$3:$Q$5001,"&lt;&gt;")=0,"",SUMIFS(BD!$Q$3:$Q$5001,BD!$B$3:$B$5001,E$163,BD!$A$3:$A$5001,_xlfn.MAXIFS(BD!$A$3:$A$5001,BD!$B$3:$B$5001,E$163,BD!$A$3:$A$5001,"&gt;="&amp;$C$7,BD!$A$3:$A$5001,"&lt;="&amp;$B181,BD!$Q$3:$Q$5001,"&lt;&gt;"))))</f>
        <v/>
      </c>
      <c r="F181" s="54" t="str">
        <f>IF(OR($B181="",$A181&gt;$B$9,F$163=""),"",IF(COUNTIFS(BD!$B$3:$B$5001,F$163,BD!$A$3:$A$5001,"&gt;="&amp;$C$7,BD!$A$3:$A$5001,"&lt;="&amp;$B181,BD!$Q$3:$Q$5001,"&lt;&gt;")=0,"",SUMIFS(BD!$Q$3:$Q$5001,BD!$B$3:$B$5001,F$163,BD!$A$3:$A$5001,_xlfn.MAXIFS(BD!$A$3:$A$5001,BD!$B$3:$B$5001,F$163,BD!$A$3:$A$5001,"&gt;="&amp;$C$7,BD!$A$3:$A$5001,"&lt;="&amp;$B181,BD!$Q$3:$Q$5001,"&lt;&gt;"))))</f>
        <v/>
      </c>
      <c r="G181" s="54" t="str">
        <f>IF(OR($B181="",$A181&gt;$B$9,G$163=""),"",IF(COUNTIFS(BD!$B$3:$B$5001,G$163,BD!$A$3:$A$5001,"&gt;="&amp;$C$7,BD!$A$3:$A$5001,"&lt;="&amp;$B181,BD!$Q$3:$Q$5001,"&lt;&gt;")=0,"",SUMIFS(BD!$Q$3:$Q$5001,BD!$B$3:$B$5001,G$163,BD!$A$3:$A$5001,_xlfn.MAXIFS(BD!$A$3:$A$5001,BD!$B$3:$B$5001,G$163,BD!$A$3:$A$5001,"&gt;="&amp;$C$7,BD!$A$3:$A$5001,"&lt;="&amp;$B181,BD!$Q$3:$Q$5001,"&lt;&gt;"))))</f>
        <v/>
      </c>
      <c r="H181" s="54" t="str">
        <f>IF(OR($B181="",$A181&gt;$B$9,H$163=""),"",IF(COUNTIFS(BD!$B$3:$B$5001,H$163,BD!$A$3:$A$5001,"&gt;="&amp;$C$7,BD!$A$3:$A$5001,"&lt;="&amp;$B181,BD!$Q$3:$Q$5001,"&lt;&gt;")=0,"",SUMIFS(BD!$Q$3:$Q$5001,BD!$B$3:$B$5001,H$163,BD!$A$3:$A$5001,_xlfn.MAXIFS(BD!$A$3:$A$5001,BD!$B$3:$B$5001,H$163,BD!$A$3:$A$5001,"&gt;="&amp;$C$7,BD!$A$3:$A$5001,"&lt;="&amp;$B181,BD!$Q$3:$Q$5001,"&lt;&gt;"))))</f>
        <v/>
      </c>
      <c r="I181" s="54" t="str">
        <f>IF(OR($B181="",$A181&gt;$B$9,I$163=""),"",IF(COUNTIFS(BD!$B$3:$B$5001,I$163,BD!$A$3:$A$5001,"&gt;="&amp;$C$7,BD!$A$3:$A$5001,"&lt;="&amp;$B181,BD!$Q$3:$Q$5001,"&lt;&gt;")=0,"",SUMIFS(BD!$Q$3:$Q$5001,BD!$B$3:$B$5001,I$163,BD!$A$3:$A$5001,_xlfn.MAXIFS(BD!$A$3:$A$5001,BD!$B$3:$B$5001,I$163,BD!$A$3:$A$5001,"&gt;="&amp;$C$7,BD!$A$3:$A$5001,"&lt;="&amp;$B181,BD!$Q$3:$Q$5001,"&lt;&gt;"))))</f>
        <v/>
      </c>
      <c r="J181" s="54" t="str">
        <f>IF(OR($B181="",$A181&gt;$B$9,J$163=""),"",IF(COUNTIFS(BD!$B$3:$B$5001,J$163,BD!$A$3:$A$5001,"&gt;="&amp;$C$7,BD!$A$3:$A$5001,"&lt;="&amp;$B181,BD!$Q$3:$Q$5001,"&lt;&gt;")=0,"",SUMIFS(BD!$Q$3:$Q$5001,BD!$B$3:$B$5001,J$163,BD!$A$3:$A$5001,_xlfn.MAXIFS(BD!$A$3:$A$5001,BD!$B$3:$B$5001,J$163,BD!$A$3:$A$5001,"&gt;="&amp;$C$7,BD!$A$3:$A$5001,"&lt;="&amp;$B181,BD!$Q$3:$Q$5001,"&lt;&gt;"))))</f>
        <v/>
      </c>
      <c r="K181" s="54" t="str">
        <f>IF(OR($B181="",$A181&gt;$B$9,K$163=""),"",IF(COUNTIFS(BD!$B$3:$B$5001,K$163,BD!$A$3:$A$5001,"&gt;="&amp;$C$7,BD!$A$3:$A$5001,"&lt;="&amp;$B181,BD!$Q$3:$Q$5001,"&lt;&gt;")=0,"",SUMIFS(BD!$Q$3:$Q$5001,BD!$B$3:$B$5001,K$163,BD!$A$3:$A$5001,_xlfn.MAXIFS(BD!$A$3:$A$5001,BD!$B$3:$B$5001,K$163,BD!$A$3:$A$5001,"&gt;="&amp;$C$7,BD!$A$3:$A$5001,"&lt;="&amp;$B181,BD!$Q$3:$Q$5001,"&lt;&gt;"))))</f>
        <v/>
      </c>
      <c r="L181" s="54" t="str">
        <f>IF(OR($B181="",$A181&gt;$B$9,L$163=""),"",IF(COUNTIFS(BD!$B$3:$B$5001,L$163,BD!$A$3:$A$5001,"&gt;="&amp;$C$7,BD!$A$3:$A$5001,"&lt;="&amp;$B181,BD!$Q$3:$Q$5001,"&lt;&gt;")=0,"",SUMIFS(BD!$Q$3:$Q$5001,BD!$B$3:$B$5001,L$163,BD!$A$3:$A$5001,_xlfn.MAXIFS(BD!$A$3:$A$5001,BD!$B$3:$B$5001,L$163,BD!$A$3:$A$5001,"&gt;="&amp;$C$7,BD!$A$3:$A$5001,"&lt;="&amp;$B181,BD!$Q$3:$Q$5001,"&lt;&gt;"))))</f>
        <v/>
      </c>
      <c r="M181" s="54" t="str">
        <f>IF(OR($B181="",$A181&gt;$B$9,M$163=""),"",IF(COUNTIFS(BD!$B$3:$B$5001,M$163,BD!$A$3:$A$5001,"&gt;="&amp;$C$7,BD!$A$3:$A$5001,"&lt;="&amp;$B181,BD!$Q$3:$Q$5001,"&lt;&gt;")=0,"",SUMIFS(BD!$Q$3:$Q$5001,BD!$B$3:$B$5001,M$163,BD!$A$3:$A$5001,_xlfn.MAXIFS(BD!$A$3:$A$5001,BD!$B$3:$B$5001,M$163,BD!$A$3:$A$5001,"&gt;="&amp;$C$7,BD!$A$3:$A$5001,"&lt;="&amp;$B181,BD!$Q$3:$Q$5001,"&lt;&gt;"))))</f>
        <v/>
      </c>
      <c r="N181" s="54" t="str">
        <f>IF(OR($B181="",$A181&gt;$B$9,N$163=""),"",IF(COUNTIFS(BD!$B$3:$B$5001,N$163,BD!$A$3:$A$5001,"&gt;="&amp;$C$7,BD!$A$3:$A$5001,"&lt;="&amp;$B181,BD!$Q$3:$Q$5001,"&lt;&gt;")=0,"",SUMIFS(BD!$Q$3:$Q$5001,BD!$B$3:$B$5001,N$163,BD!$A$3:$A$5001,_xlfn.MAXIFS(BD!$A$3:$A$5001,BD!$B$3:$B$5001,N$163,BD!$A$3:$A$5001,"&gt;="&amp;$C$7,BD!$A$3:$A$5001,"&lt;="&amp;$B181,BD!$Q$3:$Q$5001,"&lt;&gt;"))))</f>
        <v/>
      </c>
      <c r="O181" s="54" t="str">
        <f>IF(OR($B181="",$A181&gt;$B$9,O$163=""),"",IF(COUNTIFS(BD!$B$3:$B$5001,O$163,BD!$A$3:$A$5001,"&gt;="&amp;$C$7,BD!$A$3:$A$5001,"&lt;="&amp;$B181,BD!$Q$3:$Q$5001,"&lt;&gt;")=0,"",SUMIFS(BD!$Q$3:$Q$5001,BD!$B$3:$B$5001,O$163,BD!$A$3:$A$5001,_xlfn.MAXIFS(BD!$A$3:$A$5001,BD!$B$3:$B$5001,O$163,BD!$A$3:$A$5001,"&gt;="&amp;$C$7,BD!$A$3:$A$5001,"&lt;="&amp;$B181,BD!$Q$3:$Q$5001,"&lt;&gt;"))))</f>
        <v/>
      </c>
      <c r="P181" s="54" t="str">
        <f>IF(OR($B181="",$A181&gt;$B$9,P$163=""),"",IF(COUNTIFS(BD!$B$3:$B$5001,P$163,BD!$A$3:$A$5001,"&gt;="&amp;$C$7,BD!$A$3:$A$5001,"&lt;="&amp;$B181,BD!$Q$3:$Q$5001,"&lt;&gt;")=0,"",SUMIFS(BD!$Q$3:$Q$5001,BD!$B$3:$B$5001,P$163,BD!$A$3:$A$5001,_xlfn.MAXIFS(BD!$A$3:$A$5001,BD!$B$3:$B$5001,P$163,BD!$A$3:$A$5001,"&gt;="&amp;$C$7,BD!$A$3:$A$5001,"&lt;="&amp;$B181,BD!$Q$3:$Q$5001,"&lt;&gt;"))))</f>
        <v/>
      </c>
      <c r="Q181" s="54" t="str">
        <f>IF(OR($B181="",$A181&gt;$B$9,Q$163=""),"",IF(COUNTIFS(BD!$B$3:$B$5001,Q$163,BD!$A$3:$A$5001,"&gt;="&amp;$C$7,BD!$A$3:$A$5001,"&lt;="&amp;$B181,BD!$Q$3:$Q$5001,"&lt;&gt;")=0,"",SUMIFS(BD!$Q$3:$Q$5001,BD!$B$3:$B$5001,Q$163,BD!$A$3:$A$5001,_xlfn.MAXIFS(BD!$A$3:$A$5001,BD!$B$3:$B$5001,Q$163,BD!$A$3:$A$5001,"&gt;="&amp;$C$7,BD!$A$3:$A$5001,"&lt;="&amp;$B181,BD!$Q$3:$Q$5001,"&lt;&gt;"))))</f>
        <v/>
      </c>
      <c r="R181" s="54" t="str">
        <f>IF(OR($B181="",$A181&gt;$B$9,R$163=""),"",IF(COUNTIFS(BD!$B$3:$B$5001,R$163,BD!$A$3:$A$5001,"&gt;="&amp;$C$7,BD!$A$3:$A$5001,"&lt;="&amp;$B181,BD!$Q$3:$Q$5001,"&lt;&gt;")=0,"",SUMIFS(BD!$Q$3:$Q$5001,BD!$B$3:$B$5001,R$163,BD!$A$3:$A$5001,_xlfn.MAXIFS(BD!$A$3:$A$5001,BD!$B$3:$B$5001,R$163,BD!$A$3:$A$5001,"&gt;="&amp;$C$7,BD!$A$3:$A$5001,"&lt;="&amp;$B181,BD!$Q$3:$Q$5001,"&lt;&gt;"))))</f>
        <v/>
      </c>
      <c r="S181" s="54" t="str">
        <f>IF(OR($B181="",$A181&gt;$B$9,S$163=""),"",IF(COUNTIFS(BD!$B$3:$B$5001,S$163,BD!$A$3:$A$5001,"&gt;="&amp;$C$7,BD!$A$3:$A$5001,"&lt;="&amp;$B181,BD!$Q$3:$Q$5001,"&lt;&gt;")=0,"",SUMIFS(BD!$Q$3:$Q$5001,BD!$B$3:$B$5001,S$163,BD!$A$3:$A$5001,_xlfn.MAXIFS(BD!$A$3:$A$5001,BD!$B$3:$B$5001,S$163,BD!$A$3:$A$5001,"&gt;="&amp;$C$7,BD!$A$3:$A$5001,"&lt;="&amp;$B181,BD!$Q$3:$Q$5001,"&lt;&gt;"))))</f>
        <v/>
      </c>
      <c r="T181" s="54" t="str">
        <f>IF(OR($B181="",$A181&gt;$B$9,T$163=""),"",IF(COUNTIFS(BD!$B$3:$B$5001,T$163,BD!$A$3:$A$5001,"&gt;="&amp;$C$7,BD!$A$3:$A$5001,"&lt;="&amp;$B181,BD!$Q$3:$Q$5001,"&lt;&gt;")=0,"",SUMIFS(BD!$Q$3:$Q$5001,BD!$B$3:$B$5001,T$163,BD!$A$3:$A$5001,_xlfn.MAXIFS(BD!$A$3:$A$5001,BD!$B$3:$B$5001,T$163,BD!$A$3:$A$5001,"&gt;="&amp;$C$7,BD!$A$3:$A$5001,"&lt;="&amp;$B181,BD!$Q$3:$Q$5001,"&lt;&gt;"))))</f>
        <v/>
      </c>
      <c r="U181" s="54" t="str">
        <f>IF(OR($B181="",$A181&gt;$B$9,U$163=""),"",IF(COUNTIFS(BD!$B$3:$B$5001,U$163,BD!$A$3:$A$5001,"&gt;="&amp;$C$7,BD!$A$3:$A$5001,"&lt;="&amp;$B181,BD!$Q$3:$Q$5001,"&lt;&gt;")=0,"",SUMIFS(BD!$Q$3:$Q$5001,BD!$B$3:$B$5001,U$163,BD!$A$3:$A$5001,_xlfn.MAXIFS(BD!$A$3:$A$5001,BD!$B$3:$B$5001,U$163,BD!$A$3:$A$5001,"&gt;="&amp;$C$7,BD!$A$3:$A$5001,"&lt;="&amp;$B181,BD!$Q$3:$Q$5001,"&lt;&gt;"))))</f>
        <v/>
      </c>
      <c r="V181" s="54" t="str">
        <f>IF(OR($B181="",$A181&gt;$B$9,V$163=""),"",IF(COUNTIFS(BD!$B$3:$B$5001,V$163,BD!$A$3:$A$5001,"&gt;="&amp;$C$7,BD!$A$3:$A$5001,"&lt;="&amp;$B181,BD!$Q$3:$Q$5001,"&lt;&gt;")=0,"",SUMIFS(BD!$Q$3:$Q$5001,BD!$B$3:$B$5001,V$163,BD!$A$3:$A$5001,_xlfn.MAXIFS(BD!$A$3:$A$5001,BD!$B$3:$B$5001,V$163,BD!$A$3:$A$5001,"&gt;="&amp;$C$7,BD!$A$3:$A$5001,"&lt;="&amp;$B181,BD!$Q$3:$Q$5001,"&lt;&gt;"))))</f>
        <v/>
      </c>
    </row>
    <row r="182">
      <c r="A182" s="48">
        <v>19</v>
      </c>
      <c r="B182" s="53">
        <f>$B$30</f>
        <v>46314</v>
      </c>
      <c r="C182" s="54" t="str">
        <f>IF(OR($B182="",$A182&gt;$B$9,C$163=""),"",IF(COUNTIFS(BD!$B$3:$B$5001,C$163,BD!$A$3:$A$5001,"&gt;="&amp;$C$7,BD!$A$3:$A$5001,"&lt;="&amp;$B182,BD!$Q$3:$Q$5001,"&lt;&gt;")=0,"",SUMIFS(BD!$Q$3:$Q$5001,BD!$B$3:$B$5001,C$163,BD!$A$3:$A$5001,_xlfn.MAXIFS(BD!$A$3:$A$5001,BD!$B$3:$B$5001,C$163,BD!$A$3:$A$5001,"&gt;="&amp;$C$7,BD!$A$3:$A$5001,"&lt;="&amp;$B182,BD!$Q$3:$Q$5001,"&lt;&gt;"))))</f>
        <v/>
      </c>
      <c r="D182" s="54" t="str">
        <f>IF(OR($B182="",$A182&gt;$B$9,D$163=""),"",IF(COUNTIFS(BD!$B$3:$B$5001,D$163,BD!$A$3:$A$5001,"&gt;="&amp;$C$7,BD!$A$3:$A$5001,"&lt;="&amp;$B182,BD!$Q$3:$Q$5001,"&lt;&gt;")=0,"",SUMIFS(BD!$Q$3:$Q$5001,BD!$B$3:$B$5001,D$163,BD!$A$3:$A$5001,_xlfn.MAXIFS(BD!$A$3:$A$5001,BD!$B$3:$B$5001,D$163,BD!$A$3:$A$5001,"&gt;="&amp;$C$7,BD!$A$3:$A$5001,"&lt;="&amp;$B182,BD!$Q$3:$Q$5001,"&lt;&gt;"))))</f>
        <v/>
      </c>
      <c r="E182" s="54" t="str">
        <f>IF(OR($B182="",$A182&gt;$B$9,E$163=""),"",IF(COUNTIFS(BD!$B$3:$B$5001,E$163,BD!$A$3:$A$5001,"&gt;="&amp;$C$7,BD!$A$3:$A$5001,"&lt;="&amp;$B182,BD!$Q$3:$Q$5001,"&lt;&gt;")=0,"",SUMIFS(BD!$Q$3:$Q$5001,BD!$B$3:$B$5001,E$163,BD!$A$3:$A$5001,_xlfn.MAXIFS(BD!$A$3:$A$5001,BD!$B$3:$B$5001,E$163,BD!$A$3:$A$5001,"&gt;="&amp;$C$7,BD!$A$3:$A$5001,"&lt;="&amp;$B182,BD!$Q$3:$Q$5001,"&lt;&gt;"))))</f>
        <v/>
      </c>
      <c r="F182" s="54" t="str">
        <f>IF(OR($B182="",$A182&gt;$B$9,F$163=""),"",IF(COUNTIFS(BD!$B$3:$B$5001,F$163,BD!$A$3:$A$5001,"&gt;="&amp;$C$7,BD!$A$3:$A$5001,"&lt;="&amp;$B182,BD!$Q$3:$Q$5001,"&lt;&gt;")=0,"",SUMIFS(BD!$Q$3:$Q$5001,BD!$B$3:$B$5001,F$163,BD!$A$3:$A$5001,_xlfn.MAXIFS(BD!$A$3:$A$5001,BD!$B$3:$B$5001,F$163,BD!$A$3:$A$5001,"&gt;="&amp;$C$7,BD!$A$3:$A$5001,"&lt;="&amp;$B182,BD!$Q$3:$Q$5001,"&lt;&gt;"))))</f>
        <v/>
      </c>
      <c r="G182" s="54" t="str">
        <f>IF(OR($B182="",$A182&gt;$B$9,G$163=""),"",IF(COUNTIFS(BD!$B$3:$B$5001,G$163,BD!$A$3:$A$5001,"&gt;="&amp;$C$7,BD!$A$3:$A$5001,"&lt;="&amp;$B182,BD!$Q$3:$Q$5001,"&lt;&gt;")=0,"",SUMIFS(BD!$Q$3:$Q$5001,BD!$B$3:$B$5001,G$163,BD!$A$3:$A$5001,_xlfn.MAXIFS(BD!$A$3:$A$5001,BD!$B$3:$B$5001,G$163,BD!$A$3:$A$5001,"&gt;="&amp;$C$7,BD!$A$3:$A$5001,"&lt;="&amp;$B182,BD!$Q$3:$Q$5001,"&lt;&gt;"))))</f>
        <v/>
      </c>
      <c r="H182" s="54" t="str">
        <f>IF(OR($B182="",$A182&gt;$B$9,H$163=""),"",IF(COUNTIFS(BD!$B$3:$B$5001,H$163,BD!$A$3:$A$5001,"&gt;="&amp;$C$7,BD!$A$3:$A$5001,"&lt;="&amp;$B182,BD!$Q$3:$Q$5001,"&lt;&gt;")=0,"",SUMIFS(BD!$Q$3:$Q$5001,BD!$B$3:$B$5001,H$163,BD!$A$3:$A$5001,_xlfn.MAXIFS(BD!$A$3:$A$5001,BD!$B$3:$B$5001,H$163,BD!$A$3:$A$5001,"&gt;="&amp;$C$7,BD!$A$3:$A$5001,"&lt;="&amp;$B182,BD!$Q$3:$Q$5001,"&lt;&gt;"))))</f>
        <v/>
      </c>
      <c r="I182" s="54" t="str">
        <f>IF(OR($B182="",$A182&gt;$B$9,I$163=""),"",IF(COUNTIFS(BD!$B$3:$B$5001,I$163,BD!$A$3:$A$5001,"&gt;="&amp;$C$7,BD!$A$3:$A$5001,"&lt;="&amp;$B182,BD!$Q$3:$Q$5001,"&lt;&gt;")=0,"",SUMIFS(BD!$Q$3:$Q$5001,BD!$B$3:$B$5001,I$163,BD!$A$3:$A$5001,_xlfn.MAXIFS(BD!$A$3:$A$5001,BD!$B$3:$B$5001,I$163,BD!$A$3:$A$5001,"&gt;="&amp;$C$7,BD!$A$3:$A$5001,"&lt;="&amp;$B182,BD!$Q$3:$Q$5001,"&lt;&gt;"))))</f>
        <v/>
      </c>
      <c r="J182" s="54" t="str">
        <f>IF(OR($B182="",$A182&gt;$B$9,J$163=""),"",IF(COUNTIFS(BD!$B$3:$B$5001,J$163,BD!$A$3:$A$5001,"&gt;="&amp;$C$7,BD!$A$3:$A$5001,"&lt;="&amp;$B182,BD!$Q$3:$Q$5001,"&lt;&gt;")=0,"",SUMIFS(BD!$Q$3:$Q$5001,BD!$B$3:$B$5001,J$163,BD!$A$3:$A$5001,_xlfn.MAXIFS(BD!$A$3:$A$5001,BD!$B$3:$B$5001,J$163,BD!$A$3:$A$5001,"&gt;="&amp;$C$7,BD!$A$3:$A$5001,"&lt;="&amp;$B182,BD!$Q$3:$Q$5001,"&lt;&gt;"))))</f>
        <v/>
      </c>
      <c r="K182" s="54" t="str">
        <f>IF(OR($B182="",$A182&gt;$B$9,K$163=""),"",IF(COUNTIFS(BD!$B$3:$B$5001,K$163,BD!$A$3:$A$5001,"&gt;="&amp;$C$7,BD!$A$3:$A$5001,"&lt;="&amp;$B182,BD!$Q$3:$Q$5001,"&lt;&gt;")=0,"",SUMIFS(BD!$Q$3:$Q$5001,BD!$B$3:$B$5001,K$163,BD!$A$3:$A$5001,_xlfn.MAXIFS(BD!$A$3:$A$5001,BD!$B$3:$B$5001,K$163,BD!$A$3:$A$5001,"&gt;="&amp;$C$7,BD!$A$3:$A$5001,"&lt;="&amp;$B182,BD!$Q$3:$Q$5001,"&lt;&gt;"))))</f>
        <v/>
      </c>
      <c r="L182" s="54" t="str">
        <f>IF(OR($B182="",$A182&gt;$B$9,L$163=""),"",IF(COUNTIFS(BD!$B$3:$B$5001,L$163,BD!$A$3:$A$5001,"&gt;="&amp;$C$7,BD!$A$3:$A$5001,"&lt;="&amp;$B182,BD!$Q$3:$Q$5001,"&lt;&gt;")=0,"",SUMIFS(BD!$Q$3:$Q$5001,BD!$B$3:$B$5001,L$163,BD!$A$3:$A$5001,_xlfn.MAXIFS(BD!$A$3:$A$5001,BD!$B$3:$B$5001,L$163,BD!$A$3:$A$5001,"&gt;="&amp;$C$7,BD!$A$3:$A$5001,"&lt;="&amp;$B182,BD!$Q$3:$Q$5001,"&lt;&gt;"))))</f>
        <v/>
      </c>
      <c r="M182" s="54" t="str">
        <f>IF(OR($B182="",$A182&gt;$B$9,M$163=""),"",IF(COUNTIFS(BD!$B$3:$B$5001,M$163,BD!$A$3:$A$5001,"&gt;="&amp;$C$7,BD!$A$3:$A$5001,"&lt;="&amp;$B182,BD!$Q$3:$Q$5001,"&lt;&gt;")=0,"",SUMIFS(BD!$Q$3:$Q$5001,BD!$B$3:$B$5001,M$163,BD!$A$3:$A$5001,_xlfn.MAXIFS(BD!$A$3:$A$5001,BD!$B$3:$B$5001,M$163,BD!$A$3:$A$5001,"&gt;="&amp;$C$7,BD!$A$3:$A$5001,"&lt;="&amp;$B182,BD!$Q$3:$Q$5001,"&lt;&gt;"))))</f>
        <v/>
      </c>
      <c r="N182" s="54" t="str">
        <f>IF(OR($B182="",$A182&gt;$B$9,N$163=""),"",IF(COUNTIFS(BD!$B$3:$B$5001,N$163,BD!$A$3:$A$5001,"&gt;="&amp;$C$7,BD!$A$3:$A$5001,"&lt;="&amp;$B182,BD!$Q$3:$Q$5001,"&lt;&gt;")=0,"",SUMIFS(BD!$Q$3:$Q$5001,BD!$B$3:$B$5001,N$163,BD!$A$3:$A$5001,_xlfn.MAXIFS(BD!$A$3:$A$5001,BD!$B$3:$B$5001,N$163,BD!$A$3:$A$5001,"&gt;="&amp;$C$7,BD!$A$3:$A$5001,"&lt;="&amp;$B182,BD!$Q$3:$Q$5001,"&lt;&gt;"))))</f>
        <v/>
      </c>
      <c r="O182" s="54" t="str">
        <f>IF(OR($B182="",$A182&gt;$B$9,O$163=""),"",IF(COUNTIFS(BD!$B$3:$B$5001,O$163,BD!$A$3:$A$5001,"&gt;="&amp;$C$7,BD!$A$3:$A$5001,"&lt;="&amp;$B182,BD!$Q$3:$Q$5001,"&lt;&gt;")=0,"",SUMIFS(BD!$Q$3:$Q$5001,BD!$B$3:$B$5001,O$163,BD!$A$3:$A$5001,_xlfn.MAXIFS(BD!$A$3:$A$5001,BD!$B$3:$B$5001,O$163,BD!$A$3:$A$5001,"&gt;="&amp;$C$7,BD!$A$3:$A$5001,"&lt;="&amp;$B182,BD!$Q$3:$Q$5001,"&lt;&gt;"))))</f>
        <v/>
      </c>
      <c r="P182" s="54" t="str">
        <f>IF(OR($B182="",$A182&gt;$B$9,P$163=""),"",IF(COUNTIFS(BD!$B$3:$B$5001,P$163,BD!$A$3:$A$5001,"&gt;="&amp;$C$7,BD!$A$3:$A$5001,"&lt;="&amp;$B182,BD!$Q$3:$Q$5001,"&lt;&gt;")=0,"",SUMIFS(BD!$Q$3:$Q$5001,BD!$B$3:$B$5001,P$163,BD!$A$3:$A$5001,_xlfn.MAXIFS(BD!$A$3:$A$5001,BD!$B$3:$B$5001,P$163,BD!$A$3:$A$5001,"&gt;="&amp;$C$7,BD!$A$3:$A$5001,"&lt;="&amp;$B182,BD!$Q$3:$Q$5001,"&lt;&gt;"))))</f>
        <v/>
      </c>
      <c r="Q182" s="54" t="str">
        <f>IF(OR($B182="",$A182&gt;$B$9,Q$163=""),"",IF(COUNTIFS(BD!$B$3:$B$5001,Q$163,BD!$A$3:$A$5001,"&gt;="&amp;$C$7,BD!$A$3:$A$5001,"&lt;="&amp;$B182,BD!$Q$3:$Q$5001,"&lt;&gt;")=0,"",SUMIFS(BD!$Q$3:$Q$5001,BD!$B$3:$B$5001,Q$163,BD!$A$3:$A$5001,_xlfn.MAXIFS(BD!$A$3:$A$5001,BD!$B$3:$B$5001,Q$163,BD!$A$3:$A$5001,"&gt;="&amp;$C$7,BD!$A$3:$A$5001,"&lt;="&amp;$B182,BD!$Q$3:$Q$5001,"&lt;&gt;"))))</f>
        <v/>
      </c>
      <c r="R182" s="54" t="str">
        <f>IF(OR($B182="",$A182&gt;$B$9,R$163=""),"",IF(COUNTIFS(BD!$B$3:$B$5001,R$163,BD!$A$3:$A$5001,"&gt;="&amp;$C$7,BD!$A$3:$A$5001,"&lt;="&amp;$B182,BD!$Q$3:$Q$5001,"&lt;&gt;")=0,"",SUMIFS(BD!$Q$3:$Q$5001,BD!$B$3:$B$5001,R$163,BD!$A$3:$A$5001,_xlfn.MAXIFS(BD!$A$3:$A$5001,BD!$B$3:$B$5001,R$163,BD!$A$3:$A$5001,"&gt;="&amp;$C$7,BD!$A$3:$A$5001,"&lt;="&amp;$B182,BD!$Q$3:$Q$5001,"&lt;&gt;"))))</f>
        <v/>
      </c>
      <c r="S182" s="54" t="str">
        <f>IF(OR($B182="",$A182&gt;$B$9,S$163=""),"",IF(COUNTIFS(BD!$B$3:$B$5001,S$163,BD!$A$3:$A$5001,"&gt;="&amp;$C$7,BD!$A$3:$A$5001,"&lt;="&amp;$B182,BD!$Q$3:$Q$5001,"&lt;&gt;")=0,"",SUMIFS(BD!$Q$3:$Q$5001,BD!$B$3:$B$5001,S$163,BD!$A$3:$A$5001,_xlfn.MAXIFS(BD!$A$3:$A$5001,BD!$B$3:$B$5001,S$163,BD!$A$3:$A$5001,"&gt;="&amp;$C$7,BD!$A$3:$A$5001,"&lt;="&amp;$B182,BD!$Q$3:$Q$5001,"&lt;&gt;"))))</f>
        <v/>
      </c>
      <c r="T182" s="54" t="str">
        <f>IF(OR($B182="",$A182&gt;$B$9,T$163=""),"",IF(COUNTIFS(BD!$B$3:$B$5001,T$163,BD!$A$3:$A$5001,"&gt;="&amp;$C$7,BD!$A$3:$A$5001,"&lt;="&amp;$B182,BD!$Q$3:$Q$5001,"&lt;&gt;")=0,"",SUMIFS(BD!$Q$3:$Q$5001,BD!$B$3:$B$5001,T$163,BD!$A$3:$A$5001,_xlfn.MAXIFS(BD!$A$3:$A$5001,BD!$B$3:$B$5001,T$163,BD!$A$3:$A$5001,"&gt;="&amp;$C$7,BD!$A$3:$A$5001,"&lt;="&amp;$B182,BD!$Q$3:$Q$5001,"&lt;&gt;"))))</f>
        <v/>
      </c>
      <c r="U182" s="54" t="str">
        <f>IF(OR($B182="",$A182&gt;$B$9,U$163=""),"",IF(COUNTIFS(BD!$B$3:$B$5001,U$163,BD!$A$3:$A$5001,"&gt;="&amp;$C$7,BD!$A$3:$A$5001,"&lt;="&amp;$B182,BD!$Q$3:$Q$5001,"&lt;&gt;")=0,"",SUMIFS(BD!$Q$3:$Q$5001,BD!$B$3:$B$5001,U$163,BD!$A$3:$A$5001,_xlfn.MAXIFS(BD!$A$3:$A$5001,BD!$B$3:$B$5001,U$163,BD!$A$3:$A$5001,"&gt;="&amp;$C$7,BD!$A$3:$A$5001,"&lt;="&amp;$B182,BD!$Q$3:$Q$5001,"&lt;&gt;"))))</f>
        <v/>
      </c>
      <c r="V182" s="54" t="str">
        <f>IF(OR($B182="",$A182&gt;$B$9,V$163=""),"",IF(COUNTIFS(BD!$B$3:$B$5001,V$163,BD!$A$3:$A$5001,"&gt;="&amp;$C$7,BD!$A$3:$A$5001,"&lt;="&amp;$B182,BD!$Q$3:$Q$5001,"&lt;&gt;")=0,"",SUMIFS(BD!$Q$3:$Q$5001,BD!$B$3:$B$5001,V$163,BD!$A$3:$A$5001,_xlfn.MAXIFS(BD!$A$3:$A$5001,BD!$B$3:$B$5001,V$163,BD!$A$3:$A$5001,"&gt;="&amp;$C$7,BD!$A$3:$A$5001,"&lt;="&amp;$B182,BD!$Q$3:$Q$5001,"&lt;&gt;"))))</f>
        <v/>
      </c>
    </row>
    <row r="183">
      <c r="A183" s="48">
        <v>20</v>
      </c>
      <c r="B183" s="53">
        <f>$B$31</f>
        <v>46315</v>
      </c>
      <c r="C183" s="54" t="str">
        <f>IF(OR($B183="",$A183&gt;$B$9,C$163=""),"",IF(COUNTIFS(BD!$B$3:$B$5001,C$163,BD!$A$3:$A$5001,"&gt;="&amp;$C$7,BD!$A$3:$A$5001,"&lt;="&amp;$B183,BD!$Q$3:$Q$5001,"&lt;&gt;")=0,"",SUMIFS(BD!$Q$3:$Q$5001,BD!$B$3:$B$5001,C$163,BD!$A$3:$A$5001,_xlfn.MAXIFS(BD!$A$3:$A$5001,BD!$B$3:$B$5001,C$163,BD!$A$3:$A$5001,"&gt;="&amp;$C$7,BD!$A$3:$A$5001,"&lt;="&amp;$B183,BD!$Q$3:$Q$5001,"&lt;&gt;"))))</f>
        <v/>
      </c>
      <c r="D183" s="54" t="str">
        <f>IF(OR($B183="",$A183&gt;$B$9,D$163=""),"",IF(COUNTIFS(BD!$B$3:$B$5001,D$163,BD!$A$3:$A$5001,"&gt;="&amp;$C$7,BD!$A$3:$A$5001,"&lt;="&amp;$B183,BD!$Q$3:$Q$5001,"&lt;&gt;")=0,"",SUMIFS(BD!$Q$3:$Q$5001,BD!$B$3:$B$5001,D$163,BD!$A$3:$A$5001,_xlfn.MAXIFS(BD!$A$3:$A$5001,BD!$B$3:$B$5001,D$163,BD!$A$3:$A$5001,"&gt;="&amp;$C$7,BD!$A$3:$A$5001,"&lt;="&amp;$B183,BD!$Q$3:$Q$5001,"&lt;&gt;"))))</f>
        <v/>
      </c>
      <c r="E183" s="54" t="str">
        <f>IF(OR($B183="",$A183&gt;$B$9,E$163=""),"",IF(COUNTIFS(BD!$B$3:$B$5001,E$163,BD!$A$3:$A$5001,"&gt;="&amp;$C$7,BD!$A$3:$A$5001,"&lt;="&amp;$B183,BD!$Q$3:$Q$5001,"&lt;&gt;")=0,"",SUMIFS(BD!$Q$3:$Q$5001,BD!$B$3:$B$5001,E$163,BD!$A$3:$A$5001,_xlfn.MAXIFS(BD!$A$3:$A$5001,BD!$B$3:$B$5001,E$163,BD!$A$3:$A$5001,"&gt;="&amp;$C$7,BD!$A$3:$A$5001,"&lt;="&amp;$B183,BD!$Q$3:$Q$5001,"&lt;&gt;"))))</f>
        <v/>
      </c>
      <c r="F183" s="54" t="str">
        <f>IF(OR($B183="",$A183&gt;$B$9,F$163=""),"",IF(COUNTIFS(BD!$B$3:$B$5001,F$163,BD!$A$3:$A$5001,"&gt;="&amp;$C$7,BD!$A$3:$A$5001,"&lt;="&amp;$B183,BD!$Q$3:$Q$5001,"&lt;&gt;")=0,"",SUMIFS(BD!$Q$3:$Q$5001,BD!$B$3:$B$5001,F$163,BD!$A$3:$A$5001,_xlfn.MAXIFS(BD!$A$3:$A$5001,BD!$B$3:$B$5001,F$163,BD!$A$3:$A$5001,"&gt;="&amp;$C$7,BD!$A$3:$A$5001,"&lt;="&amp;$B183,BD!$Q$3:$Q$5001,"&lt;&gt;"))))</f>
        <v/>
      </c>
      <c r="G183" s="54" t="str">
        <f>IF(OR($B183="",$A183&gt;$B$9,G$163=""),"",IF(COUNTIFS(BD!$B$3:$B$5001,G$163,BD!$A$3:$A$5001,"&gt;="&amp;$C$7,BD!$A$3:$A$5001,"&lt;="&amp;$B183,BD!$Q$3:$Q$5001,"&lt;&gt;")=0,"",SUMIFS(BD!$Q$3:$Q$5001,BD!$B$3:$B$5001,G$163,BD!$A$3:$A$5001,_xlfn.MAXIFS(BD!$A$3:$A$5001,BD!$B$3:$B$5001,G$163,BD!$A$3:$A$5001,"&gt;="&amp;$C$7,BD!$A$3:$A$5001,"&lt;="&amp;$B183,BD!$Q$3:$Q$5001,"&lt;&gt;"))))</f>
        <v/>
      </c>
      <c r="H183" s="54" t="str">
        <f>IF(OR($B183="",$A183&gt;$B$9,H$163=""),"",IF(COUNTIFS(BD!$B$3:$B$5001,H$163,BD!$A$3:$A$5001,"&gt;="&amp;$C$7,BD!$A$3:$A$5001,"&lt;="&amp;$B183,BD!$Q$3:$Q$5001,"&lt;&gt;")=0,"",SUMIFS(BD!$Q$3:$Q$5001,BD!$B$3:$B$5001,H$163,BD!$A$3:$A$5001,_xlfn.MAXIFS(BD!$A$3:$A$5001,BD!$B$3:$B$5001,H$163,BD!$A$3:$A$5001,"&gt;="&amp;$C$7,BD!$A$3:$A$5001,"&lt;="&amp;$B183,BD!$Q$3:$Q$5001,"&lt;&gt;"))))</f>
        <v/>
      </c>
      <c r="I183" s="54" t="str">
        <f>IF(OR($B183="",$A183&gt;$B$9,I$163=""),"",IF(COUNTIFS(BD!$B$3:$B$5001,I$163,BD!$A$3:$A$5001,"&gt;="&amp;$C$7,BD!$A$3:$A$5001,"&lt;="&amp;$B183,BD!$Q$3:$Q$5001,"&lt;&gt;")=0,"",SUMIFS(BD!$Q$3:$Q$5001,BD!$B$3:$B$5001,I$163,BD!$A$3:$A$5001,_xlfn.MAXIFS(BD!$A$3:$A$5001,BD!$B$3:$B$5001,I$163,BD!$A$3:$A$5001,"&gt;="&amp;$C$7,BD!$A$3:$A$5001,"&lt;="&amp;$B183,BD!$Q$3:$Q$5001,"&lt;&gt;"))))</f>
        <v/>
      </c>
      <c r="J183" s="54" t="str">
        <f>IF(OR($B183="",$A183&gt;$B$9,J$163=""),"",IF(COUNTIFS(BD!$B$3:$B$5001,J$163,BD!$A$3:$A$5001,"&gt;="&amp;$C$7,BD!$A$3:$A$5001,"&lt;="&amp;$B183,BD!$Q$3:$Q$5001,"&lt;&gt;")=0,"",SUMIFS(BD!$Q$3:$Q$5001,BD!$B$3:$B$5001,J$163,BD!$A$3:$A$5001,_xlfn.MAXIFS(BD!$A$3:$A$5001,BD!$B$3:$B$5001,J$163,BD!$A$3:$A$5001,"&gt;="&amp;$C$7,BD!$A$3:$A$5001,"&lt;="&amp;$B183,BD!$Q$3:$Q$5001,"&lt;&gt;"))))</f>
        <v/>
      </c>
      <c r="K183" s="54" t="str">
        <f>IF(OR($B183="",$A183&gt;$B$9,K$163=""),"",IF(COUNTIFS(BD!$B$3:$B$5001,K$163,BD!$A$3:$A$5001,"&gt;="&amp;$C$7,BD!$A$3:$A$5001,"&lt;="&amp;$B183,BD!$Q$3:$Q$5001,"&lt;&gt;")=0,"",SUMIFS(BD!$Q$3:$Q$5001,BD!$B$3:$B$5001,K$163,BD!$A$3:$A$5001,_xlfn.MAXIFS(BD!$A$3:$A$5001,BD!$B$3:$B$5001,K$163,BD!$A$3:$A$5001,"&gt;="&amp;$C$7,BD!$A$3:$A$5001,"&lt;="&amp;$B183,BD!$Q$3:$Q$5001,"&lt;&gt;"))))</f>
        <v/>
      </c>
      <c r="L183" s="54" t="str">
        <f>IF(OR($B183="",$A183&gt;$B$9,L$163=""),"",IF(COUNTIFS(BD!$B$3:$B$5001,L$163,BD!$A$3:$A$5001,"&gt;="&amp;$C$7,BD!$A$3:$A$5001,"&lt;="&amp;$B183,BD!$Q$3:$Q$5001,"&lt;&gt;")=0,"",SUMIFS(BD!$Q$3:$Q$5001,BD!$B$3:$B$5001,L$163,BD!$A$3:$A$5001,_xlfn.MAXIFS(BD!$A$3:$A$5001,BD!$B$3:$B$5001,L$163,BD!$A$3:$A$5001,"&gt;="&amp;$C$7,BD!$A$3:$A$5001,"&lt;="&amp;$B183,BD!$Q$3:$Q$5001,"&lt;&gt;"))))</f>
        <v/>
      </c>
      <c r="M183" s="54" t="str">
        <f>IF(OR($B183="",$A183&gt;$B$9,M$163=""),"",IF(COUNTIFS(BD!$B$3:$B$5001,M$163,BD!$A$3:$A$5001,"&gt;="&amp;$C$7,BD!$A$3:$A$5001,"&lt;="&amp;$B183,BD!$Q$3:$Q$5001,"&lt;&gt;")=0,"",SUMIFS(BD!$Q$3:$Q$5001,BD!$B$3:$B$5001,M$163,BD!$A$3:$A$5001,_xlfn.MAXIFS(BD!$A$3:$A$5001,BD!$B$3:$B$5001,M$163,BD!$A$3:$A$5001,"&gt;="&amp;$C$7,BD!$A$3:$A$5001,"&lt;="&amp;$B183,BD!$Q$3:$Q$5001,"&lt;&gt;"))))</f>
        <v/>
      </c>
      <c r="N183" s="54" t="str">
        <f>IF(OR($B183="",$A183&gt;$B$9,N$163=""),"",IF(COUNTIFS(BD!$B$3:$B$5001,N$163,BD!$A$3:$A$5001,"&gt;="&amp;$C$7,BD!$A$3:$A$5001,"&lt;="&amp;$B183,BD!$Q$3:$Q$5001,"&lt;&gt;")=0,"",SUMIFS(BD!$Q$3:$Q$5001,BD!$B$3:$B$5001,N$163,BD!$A$3:$A$5001,_xlfn.MAXIFS(BD!$A$3:$A$5001,BD!$B$3:$B$5001,N$163,BD!$A$3:$A$5001,"&gt;="&amp;$C$7,BD!$A$3:$A$5001,"&lt;="&amp;$B183,BD!$Q$3:$Q$5001,"&lt;&gt;"))))</f>
        <v/>
      </c>
      <c r="O183" s="54" t="str">
        <f>IF(OR($B183="",$A183&gt;$B$9,O$163=""),"",IF(COUNTIFS(BD!$B$3:$B$5001,O$163,BD!$A$3:$A$5001,"&gt;="&amp;$C$7,BD!$A$3:$A$5001,"&lt;="&amp;$B183,BD!$Q$3:$Q$5001,"&lt;&gt;")=0,"",SUMIFS(BD!$Q$3:$Q$5001,BD!$B$3:$B$5001,O$163,BD!$A$3:$A$5001,_xlfn.MAXIFS(BD!$A$3:$A$5001,BD!$B$3:$B$5001,O$163,BD!$A$3:$A$5001,"&gt;="&amp;$C$7,BD!$A$3:$A$5001,"&lt;="&amp;$B183,BD!$Q$3:$Q$5001,"&lt;&gt;"))))</f>
        <v/>
      </c>
      <c r="P183" s="54" t="str">
        <f>IF(OR($B183="",$A183&gt;$B$9,P$163=""),"",IF(COUNTIFS(BD!$B$3:$B$5001,P$163,BD!$A$3:$A$5001,"&gt;="&amp;$C$7,BD!$A$3:$A$5001,"&lt;="&amp;$B183,BD!$Q$3:$Q$5001,"&lt;&gt;")=0,"",SUMIFS(BD!$Q$3:$Q$5001,BD!$B$3:$B$5001,P$163,BD!$A$3:$A$5001,_xlfn.MAXIFS(BD!$A$3:$A$5001,BD!$B$3:$B$5001,P$163,BD!$A$3:$A$5001,"&gt;="&amp;$C$7,BD!$A$3:$A$5001,"&lt;="&amp;$B183,BD!$Q$3:$Q$5001,"&lt;&gt;"))))</f>
        <v/>
      </c>
      <c r="Q183" s="54" t="str">
        <f>IF(OR($B183="",$A183&gt;$B$9,Q$163=""),"",IF(COUNTIFS(BD!$B$3:$B$5001,Q$163,BD!$A$3:$A$5001,"&gt;="&amp;$C$7,BD!$A$3:$A$5001,"&lt;="&amp;$B183,BD!$Q$3:$Q$5001,"&lt;&gt;")=0,"",SUMIFS(BD!$Q$3:$Q$5001,BD!$B$3:$B$5001,Q$163,BD!$A$3:$A$5001,_xlfn.MAXIFS(BD!$A$3:$A$5001,BD!$B$3:$B$5001,Q$163,BD!$A$3:$A$5001,"&gt;="&amp;$C$7,BD!$A$3:$A$5001,"&lt;="&amp;$B183,BD!$Q$3:$Q$5001,"&lt;&gt;"))))</f>
        <v/>
      </c>
      <c r="R183" s="54" t="str">
        <f>IF(OR($B183="",$A183&gt;$B$9,R$163=""),"",IF(COUNTIFS(BD!$B$3:$B$5001,R$163,BD!$A$3:$A$5001,"&gt;="&amp;$C$7,BD!$A$3:$A$5001,"&lt;="&amp;$B183,BD!$Q$3:$Q$5001,"&lt;&gt;")=0,"",SUMIFS(BD!$Q$3:$Q$5001,BD!$B$3:$B$5001,R$163,BD!$A$3:$A$5001,_xlfn.MAXIFS(BD!$A$3:$A$5001,BD!$B$3:$B$5001,R$163,BD!$A$3:$A$5001,"&gt;="&amp;$C$7,BD!$A$3:$A$5001,"&lt;="&amp;$B183,BD!$Q$3:$Q$5001,"&lt;&gt;"))))</f>
        <v/>
      </c>
      <c r="S183" s="54" t="str">
        <f>IF(OR($B183="",$A183&gt;$B$9,S$163=""),"",IF(COUNTIFS(BD!$B$3:$B$5001,S$163,BD!$A$3:$A$5001,"&gt;="&amp;$C$7,BD!$A$3:$A$5001,"&lt;="&amp;$B183,BD!$Q$3:$Q$5001,"&lt;&gt;")=0,"",SUMIFS(BD!$Q$3:$Q$5001,BD!$B$3:$B$5001,S$163,BD!$A$3:$A$5001,_xlfn.MAXIFS(BD!$A$3:$A$5001,BD!$B$3:$B$5001,S$163,BD!$A$3:$A$5001,"&gt;="&amp;$C$7,BD!$A$3:$A$5001,"&lt;="&amp;$B183,BD!$Q$3:$Q$5001,"&lt;&gt;"))))</f>
        <v/>
      </c>
      <c r="T183" s="54" t="str">
        <f>IF(OR($B183="",$A183&gt;$B$9,T$163=""),"",IF(COUNTIFS(BD!$B$3:$B$5001,T$163,BD!$A$3:$A$5001,"&gt;="&amp;$C$7,BD!$A$3:$A$5001,"&lt;="&amp;$B183,BD!$Q$3:$Q$5001,"&lt;&gt;")=0,"",SUMIFS(BD!$Q$3:$Q$5001,BD!$B$3:$B$5001,T$163,BD!$A$3:$A$5001,_xlfn.MAXIFS(BD!$A$3:$A$5001,BD!$B$3:$B$5001,T$163,BD!$A$3:$A$5001,"&gt;="&amp;$C$7,BD!$A$3:$A$5001,"&lt;="&amp;$B183,BD!$Q$3:$Q$5001,"&lt;&gt;"))))</f>
        <v/>
      </c>
      <c r="U183" s="54" t="str">
        <f>IF(OR($B183="",$A183&gt;$B$9,U$163=""),"",IF(COUNTIFS(BD!$B$3:$B$5001,U$163,BD!$A$3:$A$5001,"&gt;="&amp;$C$7,BD!$A$3:$A$5001,"&lt;="&amp;$B183,BD!$Q$3:$Q$5001,"&lt;&gt;")=0,"",SUMIFS(BD!$Q$3:$Q$5001,BD!$B$3:$B$5001,U$163,BD!$A$3:$A$5001,_xlfn.MAXIFS(BD!$A$3:$A$5001,BD!$B$3:$B$5001,U$163,BD!$A$3:$A$5001,"&gt;="&amp;$C$7,BD!$A$3:$A$5001,"&lt;="&amp;$B183,BD!$Q$3:$Q$5001,"&lt;&gt;"))))</f>
        <v/>
      </c>
      <c r="V183" s="54" t="str">
        <f>IF(OR($B183="",$A183&gt;$B$9,V$163=""),"",IF(COUNTIFS(BD!$B$3:$B$5001,V$163,BD!$A$3:$A$5001,"&gt;="&amp;$C$7,BD!$A$3:$A$5001,"&lt;="&amp;$B183,BD!$Q$3:$Q$5001,"&lt;&gt;")=0,"",SUMIFS(BD!$Q$3:$Q$5001,BD!$B$3:$B$5001,V$163,BD!$A$3:$A$5001,_xlfn.MAXIFS(BD!$A$3:$A$5001,BD!$B$3:$B$5001,V$163,BD!$A$3:$A$5001,"&gt;="&amp;$C$7,BD!$A$3:$A$5001,"&lt;="&amp;$B183,BD!$Q$3:$Q$5001,"&lt;&gt;"))))</f>
        <v/>
      </c>
    </row>
    <row r="184">
      <c r="A184" s="48">
        <v>21</v>
      </c>
      <c r="B184" s="53">
        <f>$B$32</f>
        <v>46316</v>
      </c>
      <c r="C184" s="54" t="str">
        <f>IF(OR($B184="",$A184&gt;$B$9,C$163=""),"",IF(COUNTIFS(BD!$B$3:$B$5001,C$163,BD!$A$3:$A$5001,"&gt;="&amp;$C$7,BD!$A$3:$A$5001,"&lt;="&amp;$B184,BD!$Q$3:$Q$5001,"&lt;&gt;")=0,"",SUMIFS(BD!$Q$3:$Q$5001,BD!$B$3:$B$5001,C$163,BD!$A$3:$A$5001,_xlfn.MAXIFS(BD!$A$3:$A$5001,BD!$B$3:$B$5001,C$163,BD!$A$3:$A$5001,"&gt;="&amp;$C$7,BD!$A$3:$A$5001,"&lt;="&amp;$B184,BD!$Q$3:$Q$5001,"&lt;&gt;"))))</f>
        <v/>
      </c>
      <c r="D184" s="54" t="str">
        <f>IF(OR($B184="",$A184&gt;$B$9,D$163=""),"",IF(COUNTIFS(BD!$B$3:$B$5001,D$163,BD!$A$3:$A$5001,"&gt;="&amp;$C$7,BD!$A$3:$A$5001,"&lt;="&amp;$B184,BD!$Q$3:$Q$5001,"&lt;&gt;")=0,"",SUMIFS(BD!$Q$3:$Q$5001,BD!$B$3:$B$5001,D$163,BD!$A$3:$A$5001,_xlfn.MAXIFS(BD!$A$3:$A$5001,BD!$B$3:$B$5001,D$163,BD!$A$3:$A$5001,"&gt;="&amp;$C$7,BD!$A$3:$A$5001,"&lt;="&amp;$B184,BD!$Q$3:$Q$5001,"&lt;&gt;"))))</f>
        <v/>
      </c>
      <c r="E184" s="54" t="str">
        <f>IF(OR($B184="",$A184&gt;$B$9,E$163=""),"",IF(COUNTIFS(BD!$B$3:$B$5001,E$163,BD!$A$3:$A$5001,"&gt;="&amp;$C$7,BD!$A$3:$A$5001,"&lt;="&amp;$B184,BD!$Q$3:$Q$5001,"&lt;&gt;")=0,"",SUMIFS(BD!$Q$3:$Q$5001,BD!$B$3:$B$5001,E$163,BD!$A$3:$A$5001,_xlfn.MAXIFS(BD!$A$3:$A$5001,BD!$B$3:$B$5001,E$163,BD!$A$3:$A$5001,"&gt;="&amp;$C$7,BD!$A$3:$A$5001,"&lt;="&amp;$B184,BD!$Q$3:$Q$5001,"&lt;&gt;"))))</f>
        <v/>
      </c>
      <c r="F184" s="54" t="str">
        <f>IF(OR($B184="",$A184&gt;$B$9,F$163=""),"",IF(COUNTIFS(BD!$B$3:$B$5001,F$163,BD!$A$3:$A$5001,"&gt;="&amp;$C$7,BD!$A$3:$A$5001,"&lt;="&amp;$B184,BD!$Q$3:$Q$5001,"&lt;&gt;")=0,"",SUMIFS(BD!$Q$3:$Q$5001,BD!$B$3:$B$5001,F$163,BD!$A$3:$A$5001,_xlfn.MAXIFS(BD!$A$3:$A$5001,BD!$B$3:$B$5001,F$163,BD!$A$3:$A$5001,"&gt;="&amp;$C$7,BD!$A$3:$A$5001,"&lt;="&amp;$B184,BD!$Q$3:$Q$5001,"&lt;&gt;"))))</f>
        <v/>
      </c>
      <c r="G184" s="54" t="str">
        <f>IF(OR($B184="",$A184&gt;$B$9,G$163=""),"",IF(COUNTIFS(BD!$B$3:$B$5001,G$163,BD!$A$3:$A$5001,"&gt;="&amp;$C$7,BD!$A$3:$A$5001,"&lt;="&amp;$B184,BD!$Q$3:$Q$5001,"&lt;&gt;")=0,"",SUMIFS(BD!$Q$3:$Q$5001,BD!$B$3:$B$5001,G$163,BD!$A$3:$A$5001,_xlfn.MAXIFS(BD!$A$3:$A$5001,BD!$B$3:$B$5001,G$163,BD!$A$3:$A$5001,"&gt;="&amp;$C$7,BD!$A$3:$A$5001,"&lt;="&amp;$B184,BD!$Q$3:$Q$5001,"&lt;&gt;"))))</f>
        <v/>
      </c>
      <c r="H184" s="54" t="str">
        <f>IF(OR($B184="",$A184&gt;$B$9,H$163=""),"",IF(COUNTIFS(BD!$B$3:$B$5001,H$163,BD!$A$3:$A$5001,"&gt;="&amp;$C$7,BD!$A$3:$A$5001,"&lt;="&amp;$B184,BD!$Q$3:$Q$5001,"&lt;&gt;")=0,"",SUMIFS(BD!$Q$3:$Q$5001,BD!$B$3:$B$5001,H$163,BD!$A$3:$A$5001,_xlfn.MAXIFS(BD!$A$3:$A$5001,BD!$B$3:$B$5001,H$163,BD!$A$3:$A$5001,"&gt;="&amp;$C$7,BD!$A$3:$A$5001,"&lt;="&amp;$B184,BD!$Q$3:$Q$5001,"&lt;&gt;"))))</f>
        <v/>
      </c>
      <c r="I184" s="54" t="str">
        <f>IF(OR($B184="",$A184&gt;$B$9,I$163=""),"",IF(COUNTIFS(BD!$B$3:$B$5001,I$163,BD!$A$3:$A$5001,"&gt;="&amp;$C$7,BD!$A$3:$A$5001,"&lt;="&amp;$B184,BD!$Q$3:$Q$5001,"&lt;&gt;")=0,"",SUMIFS(BD!$Q$3:$Q$5001,BD!$B$3:$B$5001,I$163,BD!$A$3:$A$5001,_xlfn.MAXIFS(BD!$A$3:$A$5001,BD!$B$3:$B$5001,I$163,BD!$A$3:$A$5001,"&gt;="&amp;$C$7,BD!$A$3:$A$5001,"&lt;="&amp;$B184,BD!$Q$3:$Q$5001,"&lt;&gt;"))))</f>
        <v/>
      </c>
      <c r="J184" s="54" t="str">
        <f>IF(OR($B184="",$A184&gt;$B$9,J$163=""),"",IF(COUNTIFS(BD!$B$3:$B$5001,J$163,BD!$A$3:$A$5001,"&gt;="&amp;$C$7,BD!$A$3:$A$5001,"&lt;="&amp;$B184,BD!$Q$3:$Q$5001,"&lt;&gt;")=0,"",SUMIFS(BD!$Q$3:$Q$5001,BD!$B$3:$B$5001,J$163,BD!$A$3:$A$5001,_xlfn.MAXIFS(BD!$A$3:$A$5001,BD!$B$3:$B$5001,J$163,BD!$A$3:$A$5001,"&gt;="&amp;$C$7,BD!$A$3:$A$5001,"&lt;="&amp;$B184,BD!$Q$3:$Q$5001,"&lt;&gt;"))))</f>
        <v/>
      </c>
      <c r="K184" s="54" t="str">
        <f>IF(OR($B184="",$A184&gt;$B$9,K$163=""),"",IF(COUNTIFS(BD!$B$3:$B$5001,K$163,BD!$A$3:$A$5001,"&gt;="&amp;$C$7,BD!$A$3:$A$5001,"&lt;="&amp;$B184,BD!$Q$3:$Q$5001,"&lt;&gt;")=0,"",SUMIFS(BD!$Q$3:$Q$5001,BD!$B$3:$B$5001,K$163,BD!$A$3:$A$5001,_xlfn.MAXIFS(BD!$A$3:$A$5001,BD!$B$3:$B$5001,K$163,BD!$A$3:$A$5001,"&gt;="&amp;$C$7,BD!$A$3:$A$5001,"&lt;="&amp;$B184,BD!$Q$3:$Q$5001,"&lt;&gt;"))))</f>
        <v/>
      </c>
      <c r="L184" s="54" t="str">
        <f>IF(OR($B184="",$A184&gt;$B$9,L$163=""),"",IF(COUNTIFS(BD!$B$3:$B$5001,L$163,BD!$A$3:$A$5001,"&gt;="&amp;$C$7,BD!$A$3:$A$5001,"&lt;="&amp;$B184,BD!$Q$3:$Q$5001,"&lt;&gt;")=0,"",SUMIFS(BD!$Q$3:$Q$5001,BD!$B$3:$B$5001,L$163,BD!$A$3:$A$5001,_xlfn.MAXIFS(BD!$A$3:$A$5001,BD!$B$3:$B$5001,L$163,BD!$A$3:$A$5001,"&gt;="&amp;$C$7,BD!$A$3:$A$5001,"&lt;="&amp;$B184,BD!$Q$3:$Q$5001,"&lt;&gt;"))))</f>
        <v/>
      </c>
      <c r="M184" s="54" t="str">
        <f>IF(OR($B184="",$A184&gt;$B$9,M$163=""),"",IF(COUNTIFS(BD!$B$3:$B$5001,M$163,BD!$A$3:$A$5001,"&gt;="&amp;$C$7,BD!$A$3:$A$5001,"&lt;="&amp;$B184,BD!$Q$3:$Q$5001,"&lt;&gt;")=0,"",SUMIFS(BD!$Q$3:$Q$5001,BD!$B$3:$B$5001,M$163,BD!$A$3:$A$5001,_xlfn.MAXIFS(BD!$A$3:$A$5001,BD!$B$3:$B$5001,M$163,BD!$A$3:$A$5001,"&gt;="&amp;$C$7,BD!$A$3:$A$5001,"&lt;="&amp;$B184,BD!$Q$3:$Q$5001,"&lt;&gt;"))))</f>
        <v/>
      </c>
      <c r="N184" s="54" t="str">
        <f>IF(OR($B184="",$A184&gt;$B$9,N$163=""),"",IF(COUNTIFS(BD!$B$3:$B$5001,N$163,BD!$A$3:$A$5001,"&gt;="&amp;$C$7,BD!$A$3:$A$5001,"&lt;="&amp;$B184,BD!$Q$3:$Q$5001,"&lt;&gt;")=0,"",SUMIFS(BD!$Q$3:$Q$5001,BD!$B$3:$B$5001,N$163,BD!$A$3:$A$5001,_xlfn.MAXIFS(BD!$A$3:$A$5001,BD!$B$3:$B$5001,N$163,BD!$A$3:$A$5001,"&gt;="&amp;$C$7,BD!$A$3:$A$5001,"&lt;="&amp;$B184,BD!$Q$3:$Q$5001,"&lt;&gt;"))))</f>
        <v/>
      </c>
      <c r="O184" s="54" t="str">
        <f>IF(OR($B184="",$A184&gt;$B$9,O$163=""),"",IF(COUNTIFS(BD!$B$3:$B$5001,O$163,BD!$A$3:$A$5001,"&gt;="&amp;$C$7,BD!$A$3:$A$5001,"&lt;="&amp;$B184,BD!$Q$3:$Q$5001,"&lt;&gt;")=0,"",SUMIFS(BD!$Q$3:$Q$5001,BD!$B$3:$B$5001,O$163,BD!$A$3:$A$5001,_xlfn.MAXIFS(BD!$A$3:$A$5001,BD!$B$3:$B$5001,O$163,BD!$A$3:$A$5001,"&gt;="&amp;$C$7,BD!$A$3:$A$5001,"&lt;="&amp;$B184,BD!$Q$3:$Q$5001,"&lt;&gt;"))))</f>
        <v/>
      </c>
      <c r="P184" s="54" t="str">
        <f>IF(OR($B184="",$A184&gt;$B$9,P$163=""),"",IF(COUNTIFS(BD!$B$3:$B$5001,P$163,BD!$A$3:$A$5001,"&gt;="&amp;$C$7,BD!$A$3:$A$5001,"&lt;="&amp;$B184,BD!$Q$3:$Q$5001,"&lt;&gt;")=0,"",SUMIFS(BD!$Q$3:$Q$5001,BD!$B$3:$B$5001,P$163,BD!$A$3:$A$5001,_xlfn.MAXIFS(BD!$A$3:$A$5001,BD!$B$3:$B$5001,P$163,BD!$A$3:$A$5001,"&gt;="&amp;$C$7,BD!$A$3:$A$5001,"&lt;="&amp;$B184,BD!$Q$3:$Q$5001,"&lt;&gt;"))))</f>
        <v/>
      </c>
      <c r="Q184" s="54" t="str">
        <f>IF(OR($B184="",$A184&gt;$B$9,Q$163=""),"",IF(COUNTIFS(BD!$B$3:$B$5001,Q$163,BD!$A$3:$A$5001,"&gt;="&amp;$C$7,BD!$A$3:$A$5001,"&lt;="&amp;$B184,BD!$Q$3:$Q$5001,"&lt;&gt;")=0,"",SUMIFS(BD!$Q$3:$Q$5001,BD!$B$3:$B$5001,Q$163,BD!$A$3:$A$5001,_xlfn.MAXIFS(BD!$A$3:$A$5001,BD!$B$3:$B$5001,Q$163,BD!$A$3:$A$5001,"&gt;="&amp;$C$7,BD!$A$3:$A$5001,"&lt;="&amp;$B184,BD!$Q$3:$Q$5001,"&lt;&gt;"))))</f>
        <v/>
      </c>
      <c r="R184" s="54" t="str">
        <f>IF(OR($B184="",$A184&gt;$B$9,R$163=""),"",IF(COUNTIFS(BD!$B$3:$B$5001,R$163,BD!$A$3:$A$5001,"&gt;="&amp;$C$7,BD!$A$3:$A$5001,"&lt;="&amp;$B184,BD!$Q$3:$Q$5001,"&lt;&gt;")=0,"",SUMIFS(BD!$Q$3:$Q$5001,BD!$B$3:$B$5001,R$163,BD!$A$3:$A$5001,_xlfn.MAXIFS(BD!$A$3:$A$5001,BD!$B$3:$B$5001,R$163,BD!$A$3:$A$5001,"&gt;="&amp;$C$7,BD!$A$3:$A$5001,"&lt;="&amp;$B184,BD!$Q$3:$Q$5001,"&lt;&gt;"))))</f>
        <v/>
      </c>
      <c r="S184" s="54" t="str">
        <f>IF(OR($B184="",$A184&gt;$B$9,S$163=""),"",IF(COUNTIFS(BD!$B$3:$B$5001,S$163,BD!$A$3:$A$5001,"&gt;="&amp;$C$7,BD!$A$3:$A$5001,"&lt;="&amp;$B184,BD!$Q$3:$Q$5001,"&lt;&gt;")=0,"",SUMIFS(BD!$Q$3:$Q$5001,BD!$B$3:$B$5001,S$163,BD!$A$3:$A$5001,_xlfn.MAXIFS(BD!$A$3:$A$5001,BD!$B$3:$B$5001,S$163,BD!$A$3:$A$5001,"&gt;="&amp;$C$7,BD!$A$3:$A$5001,"&lt;="&amp;$B184,BD!$Q$3:$Q$5001,"&lt;&gt;"))))</f>
        <v/>
      </c>
      <c r="T184" s="54" t="str">
        <f>IF(OR($B184="",$A184&gt;$B$9,T$163=""),"",IF(COUNTIFS(BD!$B$3:$B$5001,T$163,BD!$A$3:$A$5001,"&gt;="&amp;$C$7,BD!$A$3:$A$5001,"&lt;="&amp;$B184,BD!$Q$3:$Q$5001,"&lt;&gt;")=0,"",SUMIFS(BD!$Q$3:$Q$5001,BD!$B$3:$B$5001,T$163,BD!$A$3:$A$5001,_xlfn.MAXIFS(BD!$A$3:$A$5001,BD!$B$3:$B$5001,T$163,BD!$A$3:$A$5001,"&gt;="&amp;$C$7,BD!$A$3:$A$5001,"&lt;="&amp;$B184,BD!$Q$3:$Q$5001,"&lt;&gt;"))))</f>
        <v/>
      </c>
      <c r="U184" s="54" t="str">
        <f>IF(OR($B184="",$A184&gt;$B$9,U$163=""),"",IF(COUNTIFS(BD!$B$3:$B$5001,U$163,BD!$A$3:$A$5001,"&gt;="&amp;$C$7,BD!$A$3:$A$5001,"&lt;="&amp;$B184,BD!$Q$3:$Q$5001,"&lt;&gt;")=0,"",SUMIFS(BD!$Q$3:$Q$5001,BD!$B$3:$B$5001,U$163,BD!$A$3:$A$5001,_xlfn.MAXIFS(BD!$A$3:$A$5001,BD!$B$3:$B$5001,U$163,BD!$A$3:$A$5001,"&gt;="&amp;$C$7,BD!$A$3:$A$5001,"&lt;="&amp;$B184,BD!$Q$3:$Q$5001,"&lt;&gt;"))))</f>
        <v/>
      </c>
      <c r="V184" s="54" t="str">
        <f>IF(OR($B184="",$A184&gt;$B$9,V$163=""),"",IF(COUNTIFS(BD!$B$3:$B$5001,V$163,BD!$A$3:$A$5001,"&gt;="&amp;$C$7,BD!$A$3:$A$5001,"&lt;="&amp;$B184,BD!$Q$3:$Q$5001,"&lt;&gt;")=0,"",SUMIFS(BD!$Q$3:$Q$5001,BD!$B$3:$B$5001,V$163,BD!$A$3:$A$5001,_xlfn.MAXIFS(BD!$A$3:$A$5001,BD!$B$3:$B$5001,V$163,BD!$A$3:$A$5001,"&gt;="&amp;$C$7,BD!$A$3:$A$5001,"&lt;="&amp;$B184,BD!$Q$3:$Q$5001,"&lt;&gt;"))))</f>
        <v/>
      </c>
    </row>
    <row r="185">
      <c r="A185" s="48">
        <v>22</v>
      </c>
      <c r="B185" s="53">
        <f>$B$33</f>
        <v>46317</v>
      </c>
      <c r="C185" s="54" t="str">
        <f>IF(OR($B185="",$A185&gt;$B$9,C$163=""),"",IF(COUNTIFS(BD!$B$3:$B$5001,C$163,BD!$A$3:$A$5001,"&gt;="&amp;$C$7,BD!$A$3:$A$5001,"&lt;="&amp;$B185,BD!$Q$3:$Q$5001,"&lt;&gt;")=0,"",SUMIFS(BD!$Q$3:$Q$5001,BD!$B$3:$B$5001,C$163,BD!$A$3:$A$5001,_xlfn.MAXIFS(BD!$A$3:$A$5001,BD!$B$3:$B$5001,C$163,BD!$A$3:$A$5001,"&gt;="&amp;$C$7,BD!$A$3:$A$5001,"&lt;="&amp;$B185,BD!$Q$3:$Q$5001,"&lt;&gt;"))))</f>
        <v/>
      </c>
      <c r="D185" s="54" t="str">
        <f>IF(OR($B185="",$A185&gt;$B$9,D$163=""),"",IF(COUNTIFS(BD!$B$3:$B$5001,D$163,BD!$A$3:$A$5001,"&gt;="&amp;$C$7,BD!$A$3:$A$5001,"&lt;="&amp;$B185,BD!$Q$3:$Q$5001,"&lt;&gt;")=0,"",SUMIFS(BD!$Q$3:$Q$5001,BD!$B$3:$B$5001,D$163,BD!$A$3:$A$5001,_xlfn.MAXIFS(BD!$A$3:$A$5001,BD!$B$3:$B$5001,D$163,BD!$A$3:$A$5001,"&gt;="&amp;$C$7,BD!$A$3:$A$5001,"&lt;="&amp;$B185,BD!$Q$3:$Q$5001,"&lt;&gt;"))))</f>
        <v/>
      </c>
      <c r="E185" s="54" t="str">
        <f>IF(OR($B185="",$A185&gt;$B$9,E$163=""),"",IF(COUNTIFS(BD!$B$3:$B$5001,E$163,BD!$A$3:$A$5001,"&gt;="&amp;$C$7,BD!$A$3:$A$5001,"&lt;="&amp;$B185,BD!$Q$3:$Q$5001,"&lt;&gt;")=0,"",SUMIFS(BD!$Q$3:$Q$5001,BD!$B$3:$B$5001,E$163,BD!$A$3:$A$5001,_xlfn.MAXIFS(BD!$A$3:$A$5001,BD!$B$3:$B$5001,E$163,BD!$A$3:$A$5001,"&gt;="&amp;$C$7,BD!$A$3:$A$5001,"&lt;="&amp;$B185,BD!$Q$3:$Q$5001,"&lt;&gt;"))))</f>
        <v/>
      </c>
      <c r="F185" s="54" t="str">
        <f>IF(OR($B185="",$A185&gt;$B$9,F$163=""),"",IF(COUNTIFS(BD!$B$3:$B$5001,F$163,BD!$A$3:$A$5001,"&gt;="&amp;$C$7,BD!$A$3:$A$5001,"&lt;="&amp;$B185,BD!$Q$3:$Q$5001,"&lt;&gt;")=0,"",SUMIFS(BD!$Q$3:$Q$5001,BD!$B$3:$B$5001,F$163,BD!$A$3:$A$5001,_xlfn.MAXIFS(BD!$A$3:$A$5001,BD!$B$3:$B$5001,F$163,BD!$A$3:$A$5001,"&gt;="&amp;$C$7,BD!$A$3:$A$5001,"&lt;="&amp;$B185,BD!$Q$3:$Q$5001,"&lt;&gt;"))))</f>
        <v/>
      </c>
      <c r="G185" s="54" t="str">
        <f>IF(OR($B185="",$A185&gt;$B$9,G$163=""),"",IF(COUNTIFS(BD!$B$3:$B$5001,G$163,BD!$A$3:$A$5001,"&gt;="&amp;$C$7,BD!$A$3:$A$5001,"&lt;="&amp;$B185,BD!$Q$3:$Q$5001,"&lt;&gt;")=0,"",SUMIFS(BD!$Q$3:$Q$5001,BD!$B$3:$B$5001,G$163,BD!$A$3:$A$5001,_xlfn.MAXIFS(BD!$A$3:$A$5001,BD!$B$3:$B$5001,G$163,BD!$A$3:$A$5001,"&gt;="&amp;$C$7,BD!$A$3:$A$5001,"&lt;="&amp;$B185,BD!$Q$3:$Q$5001,"&lt;&gt;"))))</f>
        <v/>
      </c>
      <c r="H185" s="54" t="str">
        <f>IF(OR($B185="",$A185&gt;$B$9,H$163=""),"",IF(COUNTIFS(BD!$B$3:$B$5001,H$163,BD!$A$3:$A$5001,"&gt;="&amp;$C$7,BD!$A$3:$A$5001,"&lt;="&amp;$B185,BD!$Q$3:$Q$5001,"&lt;&gt;")=0,"",SUMIFS(BD!$Q$3:$Q$5001,BD!$B$3:$B$5001,H$163,BD!$A$3:$A$5001,_xlfn.MAXIFS(BD!$A$3:$A$5001,BD!$B$3:$B$5001,H$163,BD!$A$3:$A$5001,"&gt;="&amp;$C$7,BD!$A$3:$A$5001,"&lt;="&amp;$B185,BD!$Q$3:$Q$5001,"&lt;&gt;"))))</f>
        <v/>
      </c>
      <c r="I185" s="54" t="str">
        <f>IF(OR($B185="",$A185&gt;$B$9,I$163=""),"",IF(COUNTIFS(BD!$B$3:$B$5001,I$163,BD!$A$3:$A$5001,"&gt;="&amp;$C$7,BD!$A$3:$A$5001,"&lt;="&amp;$B185,BD!$Q$3:$Q$5001,"&lt;&gt;")=0,"",SUMIFS(BD!$Q$3:$Q$5001,BD!$B$3:$B$5001,I$163,BD!$A$3:$A$5001,_xlfn.MAXIFS(BD!$A$3:$A$5001,BD!$B$3:$B$5001,I$163,BD!$A$3:$A$5001,"&gt;="&amp;$C$7,BD!$A$3:$A$5001,"&lt;="&amp;$B185,BD!$Q$3:$Q$5001,"&lt;&gt;"))))</f>
        <v/>
      </c>
      <c r="J185" s="54" t="str">
        <f>IF(OR($B185="",$A185&gt;$B$9,J$163=""),"",IF(COUNTIFS(BD!$B$3:$B$5001,J$163,BD!$A$3:$A$5001,"&gt;="&amp;$C$7,BD!$A$3:$A$5001,"&lt;="&amp;$B185,BD!$Q$3:$Q$5001,"&lt;&gt;")=0,"",SUMIFS(BD!$Q$3:$Q$5001,BD!$B$3:$B$5001,J$163,BD!$A$3:$A$5001,_xlfn.MAXIFS(BD!$A$3:$A$5001,BD!$B$3:$B$5001,J$163,BD!$A$3:$A$5001,"&gt;="&amp;$C$7,BD!$A$3:$A$5001,"&lt;="&amp;$B185,BD!$Q$3:$Q$5001,"&lt;&gt;"))))</f>
        <v/>
      </c>
      <c r="K185" s="54" t="str">
        <f>IF(OR($B185="",$A185&gt;$B$9,K$163=""),"",IF(COUNTIFS(BD!$B$3:$B$5001,K$163,BD!$A$3:$A$5001,"&gt;="&amp;$C$7,BD!$A$3:$A$5001,"&lt;="&amp;$B185,BD!$Q$3:$Q$5001,"&lt;&gt;")=0,"",SUMIFS(BD!$Q$3:$Q$5001,BD!$B$3:$B$5001,K$163,BD!$A$3:$A$5001,_xlfn.MAXIFS(BD!$A$3:$A$5001,BD!$B$3:$B$5001,K$163,BD!$A$3:$A$5001,"&gt;="&amp;$C$7,BD!$A$3:$A$5001,"&lt;="&amp;$B185,BD!$Q$3:$Q$5001,"&lt;&gt;"))))</f>
        <v/>
      </c>
      <c r="L185" s="54" t="str">
        <f>IF(OR($B185="",$A185&gt;$B$9,L$163=""),"",IF(COUNTIFS(BD!$B$3:$B$5001,L$163,BD!$A$3:$A$5001,"&gt;="&amp;$C$7,BD!$A$3:$A$5001,"&lt;="&amp;$B185,BD!$Q$3:$Q$5001,"&lt;&gt;")=0,"",SUMIFS(BD!$Q$3:$Q$5001,BD!$B$3:$B$5001,L$163,BD!$A$3:$A$5001,_xlfn.MAXIFS(BD!$A$3:$A$5001,BD!$B$3:$B$5001,L$163,BD!$A$3:$A$5001,"&gt;="&amp;$C$7,BD!$A$3:$A$5001,"&lt;="&amp;$B185,BD!$Q$3:$Q$5001,"&lt;&gt;"))))</f>
        <v/>
      </c>
      <c r="M185" s="54" t="str">
        <f>IF(OR($B185="",$A185&gt;$B$9,M$163=""),"",IF(COUNTIFS(BD!$B$3:$B$5001,M$163,BD!$A$3:$A$5001,"&gt;="&amp;$C$7,BD!$A$3:$A$5001,"&lt;="&amp;$B185,BD!$Q$3:$Q$5001,"&lt;&gt;")=0,"",SUMIFS(BD!$Q$3:$Q$5001,BD!$B$3:$B$5001,M$163,BD!$A$3:$A$5001,_xlfn.MAXIFS(BD!$A$3:$A$5001,BD!$B$3:$B$5001,M$163,BD!$A$3:$A$5001,"&gt;="&amp;$C$7,BD!$A$3:$A$5001,"&lt;="&amp;$B185,BD!$Q$3:$Q$5001,"&lt;&gt;"))))</f>
        <v/>
      </c>
      <c r="N185" s="54" t="str">
        <f>IF(OR($B185="",$A185&gt;$B$9,N$163=""),"",IF(COUNTIFS(BD!$B$3:$B$5001,N$163,BD!$A$3:$A$5001,"&gt;="&amp;$C$7,BD!$A$3:$A$5001,"&lt;="&amp;$B185,BD!$Q$3:$Q$5001,"&lt;&gt;")=0,"",SUMIFS(BD!$Q$3:$Q$5001,BD!$B$3:$B$5001,N$163,BD!$A$3:$A$5001,_xlfn.MAXIFS(BD!$A$3:$A$5001,BD!$B$3:$B$5001,N$163,BD!$A$3:$A$5001,"&gt;="&amp;$C$7,BD!$A$3:$A$5001,"&lt;="&amp;$B185,BD!$Q$3:$Q$5001,"&lt;&gt;"))))</f>
        <v/>
      </c>
      <c r="O185" s="54" t="str">
        <f>IF(OR($B185="",$A185&gt;$B$9,O$163=""),"",IF(COUNTIFS(BD!$B$3:$B$5001,O$163,BD!$A$3:$A$5001,"&gt;="&amp;$C$7,BD!$A$3:$A$5001,"&lt;="&amp;$B185,BD!$Q$3:$Q$5001,"&lt;&gt;")=0,"",SUMIFS(BD!$Q$3:$Q$5001,BD!$B$3:$B$5001,O$163,BD!$A$3:$A$5001,_xlfn.MAXIFS(BD!$A$3:$A$5001,BD!$B$3:$B$5001,O$163,BD!$A$3:$A$5001,"&gt;="&amp;$C$7,BD!$A$3:$A$5001,"&lt;="&amp;$B185,BD!$Q$3:$Q$5001,"&lt;&gt;"))))</f>
        <v/>
      </c>
      <c r="P185" s="54" t="str">
        <f>IF(OR($B185="",$A185&gt;$B$9,P$163=""),"",IF(COUNTIFS(BD!$B$3:$B$5001,P$163,BD!$A$3:$A$5001,"&gt;="&amp;$C$7,BD!$A$3:$A$5001,"&lt;="&amp;$B185,BD!$Q$3:$Q$5001,"&lt;&gt;")=0,"",SUMIFS(BD!$Q$3:$Q$5001,BD!$B$3:$B$5001,P$163,BD!$A$3:$A$5001,_xlfn.MAXIFS(BD!$A$3:$A$5001,BD!$B$3:$B$5001,P$163,BD!$A$3:$A$5001,"&gt;="&amp;$C$7,BD!$A$3:$A$5001,"&lt;="&amp;$B185,BD!$Q$3:$Q$5001,"&lt;&gt;"))))</f>
        <v/>
      </c>
      <c r="Q185" s="54" t="str">
        <f>IF(OR($B185="",$A185&gt;$B$9,Q$163=""),"",IF(COUNTIFS(BD!$B$3:$B$5001,Q$163,BD!$A$3:$A$5001,"&gt;="&amp;$C$7,BD!$A$3:$A$5001,"&lt;="&amp;$B185,BD!$Q$3:$Q$5001,"&lt;&gt;")=0,"",SUMIFS(BD!$Q$3:$Q$5001,BD!$B$3:$B$5001,Q$163,BD!$A$3:$A$5001,_xlfn.MAXIFS(BD!$A$3:$A$5001,BD!$B$3:$B$5001,Q$163,BD!$A$3:$A$5001,"&gt;="&amp;$C$7,BD!$A$3:$A$5001,"&lt;="&amp;$B185,BD!$Q$3:$Q$5001,"&lt;&gt;"))))</f>
        <v/>
      </c>
      <c r="R185" s="54" t="str">
        <f>IF(OR($B185="",$A185&gt;$B$9,R$163=""),"",IF(COUNTIFS(BD!$B$3:$B$5001,R$163,BD!$A$3:$A$5001,"&gt;="&amp;$C$7,BD!$A$3:$A$5001,"&lt;="&amp;$B185,BD!$Q$3:$Q$5001,"&lt;&gt;")=0,"",SUMIFS(BD!$Q$3:$Q$5001,BD!$B$3:$B$5001,R$163,BD!$A$3:$A$5001,_xlfn.MAXIFS(BD!$A$3:$A$5001,BD!$B$3:$B$5001,R$163,BD!$A$3:$A$5001,"&gt;="&amp;$C$7,BD!$A$3:$A$5001,"&lt;="&amp;$B185,BD!$Q$3:$Q$5001,"&lt;&gt;"))))</f>
        <v/>
      </c>
      <c r="S185" s="54" t="str">
        <f>IF(OR($B185="",$A185&gt;$B$9,S$163=""),"",IF(COUNTIFS(BD!$B$3:$B$5001,S$163,BD!$A$3:$A$5001,"&gt;="&amp;$C$7,BD!$A$3:$A$5001,"&lt;="&amp;$B185,BD!$Q$3:$Q$5001,"&lt;&gt;")=0,"",SUMIFS(BD!$Q$3:$Q$5001,BD!$B$3:$B$5001,S$163,BD!$A$3:$A$5001,_xlfn.MAXIFS(BD!$A$3:$A$5001,BD!$B$3:$B$5001,S$163,BD!$A$3:$A$5001,"&gt;="&amp;$C$7,BD!$A$3:$A$5001,"&lt;="&amp;$B185,BD!$Q$3:$Q$5001,"&lt;&gt;"))))</f>
        <v/>
      </c>
      <c r="T185" s="54" t="str">
        <f>IF(OR($B185="",$A185&gt;$B$9,T$163=""),"",IF(COUNTIFS(BD!$B$3:$B$5001,T$163,BD!$A$3:$A$5001,"&gt;="&amp;$C$7,BD!$A$3:$A$5001,"&lt;="&amp;$B185,BD!$Q$3:$Q$5001,"&lt;&gt;")=0,"",SUMIFS(BD!$Q$3:$Q$5001,BD!$B$3:$B$5001,T$163,BD!$A$3:$A$5001,_xlfn.MAXIFS(BD!$A$3:$A$5001,BD!$B$3:$B$5001,T$163,BD!$A$3:$A$5001,"&gt;="&amp;$C$7,BD!$A$3:$A$5001,"&lt;="&amp;$B185,BD!$Q$3:$Q$5001,"&lt;&gt;"))))</f>
        <v/>
      </c>
      <c r="U185" s="54" t="str">
        <f>IF(OR($B185="",$A185&gt;$B$9,U$163=""),"",IF(COUNTIFS(BD!$B$3:$B$5001,U$163,BD!$A$3:$A$5001,"&gt;="&amp;$C$7,BD!$A$3:$A$5001,"&lt;="&amp;$B185,BD!$Q$3:$Q$5001,"&lt;&gt;")=0,"",SUMIFS(BD!$Q$3:$Q$5001,BD!$B$3:$B$5001,U$163,BD!$A$3:$A$5001,_xlfn.MAXIFS(BD!$A$3:$A$5001,BD!$B$3:$B$5001,U$163,BD!$A$3:$A$5001,"&gt;="&amp;$C$7,BD!$A$3:$A$5001,"&lt;="&amp;$B185,BD!$Q$3:$Q$5001,"&lt;&gt;"))))</f>
        <v/>
      </c>
      <c r="V185" s="54" t="str">
        <f>IF(OR($B185="",$A185&gt;$B$9,V$163=""),"",IF(COUNTIFS(BD!$B$3:$B$5001,V$163,BD!$A$3:$A$5001,"&gt;="&amp;$C$7,BD!$A$3:$A$5001,"&lt;="&amp;$B185,BD!$Q$3:$Q$5001,"&lt;&gt;")=0,"",SUMIFS(BD!$Q$3:$Q$5001,BD!$B$3:$B$5001,V$163,BD!$A$3:$A$5001,_xlfn.MAXIFS(BD!$A$3:$A$5001,BD!$B$3:$B$5001,V$163,BD!$A$3:$A$5001,"&gt;="&amp;$C$7,BD!$A$3:$A$5001,"&lt;="&amp;$B185,BD!$Q$3:$Q$5001,"&lt;&gt;"))))</f>
        <v/>
      </c>
    </row>
    <row r="186">
      <c r="A186" s="48">
        <v>23</v>
      </c>
      <c r="B186" s="53">
        <f>$B$34</f>
        <v>46318</v>
      </c>
      <c r="C186" s="54" t="str">
        <f>IF(OR($B186="",$A186&gt;$B$9,C$163=""),"",IF(COUNTIFS(BD!$B$3:$B$5001,C$163,BD!$A$3:$A$5001,"&gt;="&amp;$C$7,BD!$A$3:$A$5001,"&lt;="&amp;$B186,BD!$Q$3:$Q$5001,"&lt;&gt;")=0,"",SUMIFS(BD!$Q$3:$Q$5001,BD!$B$3:$B$5001,C$163,BD!$A$3:$A$5001,_xlfn.MAXIFS(BD!$A$3:$A$5001,BD!$B$3:$B$5001,C$163,BD!$A$3:$A$5001,"&gt;="&amp;$C$7,BD!$A$3:$A$5001,"&lt;="&amp;$B186,BD!$Q$3:$Q$5001,"&lt;&gt;"))))</f>
        <v/>
      </c>
      <c r="D186" s="54" t="str">
        <f>IF(OR($B186="",$A186&gt;$B$9,D$163=""),"",IF(COUNTIFS(BD!$B$3:$B$5001,D$163,BD!$A$3:$A$5001,"&gt;="&amp;$C$7,BD!$A$3:$A$5001,"&lt;="&amp;$B186,BD!$Q$3:$Q$5001,"&lt;&gt;")=0,"",SUMIFS(BD!$Q$3:$Q$5001,BD!$B$3:$B$5001,D$163,BD!$A$3:$A$5001,_xlfn.MAXIFS(BD!$A$3:$A$5001,BD!$B$3:$B$5001,D$163,BD!$A$3:$A$5001,"&gt;="&amp;$C$7,BD!$A$3:$A$5001,"&lt;="&amp;$B186,BD!$Q$3:$Q$5001,"&lt;&gt;"))))</f>
        <v/>
      </c>
      <c r="E186" s="54" t="str">
        <f>IF(OR($B186="",$A186&gt;$B$9,E$163=""),"",IF(COUNTIFS(BD!$B$3:$B$5001,E$163,BD!$A$3:$A$5001,"&gt;="&amp;$C$7,BD!$A$3:$A$5001,"&lt;="&amp;$B186,BD!$Q$3:$Q$5001,"&lt;&gt;")=0,"",SUMIFS(BD!$Q$3:$Q$5001,BD!$B$3:$B$5001,E$163,BD!$A$3:$A$5001,_xlfn.MAXIFS(BD!$A$3:$A$5001,BD!$B$3:$B$5001,E$163,BD!$A$3:$A$5001,"&gt;="&amp;$C$7,BD!$A$3:$A$5001,"&lt;="&amp;$B186,BD!$Q$3:$Q$5001,"&lt;&gt;"))))</f>
        <v/>
      </c>
      <c r="F186" s="54" t="str">
        <f>IF(OR($B186="",$A186&gt;$B$9,F$163=""),"",IF(COUNTIFS(BD!$B$3:$B$5001,F$163,BD!$A$3:$A$5001,"&gt;="&amp;$C$7,BD!$A$3:$A$5001,"&lt;="&amp;$B186,BD!$Q$3:$Q$5001,"&lt;&gt;")=0,"",SUMIFS(BD!$Q$3:$Q$5001,BD!$B$3:$B$5001,F$163,BD!$A$3:$A$5001,_xlfn.MAXIFS(BD!$A$3:$A$5001,BD!$B$3:$B$5001,F$163,BD!$A$3:$A$5001,"&gt;="&amp;$C$7,BD!$A$3:$A$5001,"&lt;="&amp;$B186,BD!$Q$3:$Q$5001,"&lt;&gt;"))))</f>
        <v/>
      </c>
      <c r="G186" s="54" t="str">
        <f>IF(OR($B186="",$A186&gt;$B$9,G$163=""),"",IF(COUNTIFS(BD!$B$3:$B$5001,G$163,BD!$A$3:$A$5001,"&gt;="&amp;$C$7,BD!$A$3:$A$5001,"&lt;="&amp;$B186,BD!$Q$3:$Q$5001,"&lt;&gt;")=0,"",SUMIFS(BD!$Q$3:$Q$5001,BD!$B$3:$B$5001,G$163,BD!$A$3:$A$5001,_xlfn.MAXIFS(BD!$A$3:$A$5001,BD!$B$3:$B$5001,G$163,BD!$A$3:$A$5001,"&gt;="&amp;$C$7,BD!$A$3:$A$5001,"&lt;="&amp;$B186,BD!$Q$3:$Q$5001,"&lt;&gt;"))))</f>
        <v/>
      </c>
      <c r="H186" s="54" t="str">
        <f>IF(OR($B186="",$A186&gt;$B$9,H$163=""),"",IF(COUNTIFS(BD!$B$3:$B$5001,H$163,BD!$A$3:$A$5001,"&gt;="&amp;$C$7,BD!$A$3:$A$5001,"&lt;="&amp;$B186,BD!$Q$3:$Q$5001,"&lt;&gt;")=0,"",SUMIFS(BD!$Q$3:$Q$5001,BD!$B$3:$B$5001,H$163,BD!$A$3:$A$5001,_xlfn.MAXIFS(BD!$A$3:$A$5001,BD!$B$3:$B$5001,H$163,BD!$A$3:$A$5001,"&gt;="&amp;$C$7,BD!$A$3:$A$5001,"&lt;="&amp;$B186,BD!$Q$3:$Q$5001,"&lt;&gt;"))))</f>
        <v/>
      </c>
      <c r="I186" s="54" t="str">
        <f>IF(OR($B186="",$A186&gt;$B$9,I$163=""),"",IF(COUNTIFS(BD!$B$3:$B$5001,I$163,BD!$A$3:$A$5001,"&gt;="&amp;$C$7,BD!$A$3:$A$5001,"&lt;="&amp;$B186,BD!$Q$3:$Q$5001,"&lt;&gt;")=0,"",SUMIFS(BD!$Q$3:$Q$5001,BD!$B$3:$B$5001,I$163,BD!$A$3:$A$5001,_xlfn.MAXIFS(BD!$A$3:$A$5001,BD!$B$3:$B$5001,I$163,BD!$A$3:$A$5001,"&gt;="&amp;$C$7,BD!$A$3:$A$5001,"&lt;="&amp;$B186,BD!$Q$3:$Q$5001,"&lt;&gt;"))))</f>
        <v/>
      </c>
      <c r="J186" s="54" t="str">
        <f>IF(OR($B186="",$A186&gt;$B$9,J$163=""),"",IF(COUNTIFS(BD!$B$3:$B$5001,J$163,BD!$A$3:$A$5001,"&gt;="&amp;$C$7,BD!$A$3:$A$5001,"&lt;="&amp;$B186,BD!$Q$3:$Q$5001,"&lt;&gt;")=0,"",SUMIFS(BD!$Q$3:$Q$5001,BD!$B$3:$B$5001,J$163,BD!$A$3:$A$5001,_xlfn.MAXIFS(BD!$A$3:$A$5001,BD!$B$3:$B$5001,J$163,BD!$A$3:$A$5001,"&gt;="&amp;$C$7,BD!$A$3:$A$5001,"&lt;="&amp;$B186,BD!$Q$3:$Q$5001,"&lt;&gt;"))))</f>
        <v/>
      </c>
      <c r="K186" s="54" t="str">
        <f>IF(OR($B186="",$A186&gt;$B$9,K$163=""),"",IF(COUNTIFS(BD!$B$3:$B$5001,K$163,BD!$A$3:$A$5001,"&gt;="&amp;$C$7,BD!$A$3:$A$5001,"&lt;="&amp;$B186,BD!$Q$3:$Q$5001,"&lt;&gt;")=0,"",SUMIFS(BD!$Q$3:$Q$5001,BD!$B$3:$B$5001,K$163,BD!$A$3:$A$5001,_xlfn.MAXIFS(BD!$A$3:$A$5001,BD!$B$3:$B$5001,K$163,BD!$A$3:$A$5001,"&gt;="&amp;$C$7,BD!$A$3:$A$5001,"&lt;="&amp;$B186,BD!$Q$3:$Q$5001,"&lt;&gt;"))))</f>
        <v/>
      </c>
      <c r="L186" s="54" t="str">
        <f>IF(OR($B186="",$A186&gt;$B$9,L$163=""),"",IF(COUNTIFS(BD!$B$3:$B$5001,L$163,BD!$A$3:$A$5001,"&gt;="&amp;$C$7,BD!$A$3:$A$5001,"&lt;="&amp;$B186,BD!$Q$3:$Q$5001,"&lt;&gt;")=0,"",SUMIFS(BD!$Q$3:$Q$5001,BD!$B$3:$B$5001,L$163,BD!$A$3:$A$5001,_xlfn.MAXIFS(BD!$A$3:$A$5001,BD!$B$3:$B$5001,L$163,BD!$A$3:$A$5001,"&gt;="&amp;$C$7,BD!$A$3:$A$5001,"&lt;="&amp;$B186,BD!$Q$3:$Q$5001,"&lt;&gt;"))))</f>
        <v/>
      </c>
      <c r="M186" s="54" t="str">
        <f>IF(OR($B186="",$A186&gt;$B$9,M$163=""),"",IF(COUNTIFS(BD!$B$3:$B$5001,M$163,BD!$A$3:$A$5001,"&gt;="&amp;$C$7,BD!$A$3:$A$5001,"&lt;="&amp;$B186,BD!$Q$3:$Q$5001,"&lt;&gt;")=0,"",SUMIFS(BD!$Q$3:$Q$5001,BD!$B$3:$B$5001,M$163,BD!$A$3:$A$5001,_xlfn.MAXIFS(BD!$A$3:$A$5001,BD!$B$3:$B$5001,M$163,BD!$A$3:$A$5001,"&gt;="&amp;$C$7,BD!$A$3:$A$5001,"&lt;="&amp;$B186,BD!$Q$3:$Q$5001,"&lt;&gt;"))))</f>
        <v/>
      </c>
      <c r="N186" s="54" t="str">
        <f>IF(OR($B186="",$A186&gt;$B$9,N$163=""),"",IF(COUNTIFS(BD!$B$3:$B$5001,N$163,BD!$A$3:$A$5001,"&gt;="&amp;$C$7,BD!$A$3:$A$5001,"&lt;="&amp;$B186,BD!$Q$3:$Q$5001,"&lt;&gt;")=0,"",SUMIFS(BD!$Q$3:$Q$5001,BD!$B$3:$B$5001,N$163,BD!$A$3:$A$5001,_xlfn.MAXIFS(BD!$A$3:$A$5001,BD!$B$3:$B$5001,N$163,BD!$A$3:$A$5001,"&gt;="&amp;$C$7,BD!$A$3:$A$5001,"&lt;="&amp;$B186,BD!$Q$3:$Q$5001,"&lt;&gt;"))))</f>
        <v/>
      </c>
      <c r="O186" s="54" t="str">
        <f>IF(OR($B186="",$A186&gt;$B$9,O$163=""),"",IF(COUNTIFS(BD!$B$3:$B$5001,O$163,BD!$A$3:$A$5001,"&gt;="&amp;$C$7,BD!$A$3:$A$5001,"&lt;="&amp;$B186,BD!$Q$3:$Q$5001,"&lt;&gt;")=0,"",SUMIFS(BD!$Q$3:$Q$5001,BD!$B$3:$B$5001,O$163,BD!$A$3:$A$5001,_xlfn.MAXIFS(BD!$A$3:$A$5001,BD!$B$3:$B$5001,O$163,BD!$A$3:$A$5001,"&gt;="&amp;$C$7,BD!$A$3:$A$5001,"&lt;="&amp;$B186,BD!$Q$3:$Q$5001,"&lt;&gt;"))))</f>
        <v/>
      </c>
      <c r="P186" s="54" t="str">
        <f>IF(OR($B186="",$A186&gt;$B$9,P$163=""),"",IF(COUNTIFS(BD!$B$3:$B$5001,P$163,BD!$A$3:$A$5001,"&gt;="&amp;$C$7,BD!$A$3:$A$5001,"&lt;="&amp;$B186,BD!$Q$3:$Q$5001,"&lt;&gt;")=0,"",SUMIFS(BD!$Q$3:$Q$5001,BD!$B$3:$B$5001,P$163,BD!$A$3:$A$5001,_xlfn.MAXIFS(BD!$A$3:$A$5001,BD!$B$3:$B$5001,P$163,BD!$A$3:$A$5001,"&gt;="&amp;$C$7,BD!$A$3:$A$5001,"&lt;="&amp;$B186,BD!$Q$3:$Q$5001,"&lt;&gt;"))))</f>
        <v/>
      </c>
      <c r="Q186" s="54" t="str">
        <f>IF(OR($B186="",$A186&gt;$B$9,Q$163=""),"",IF(COUNTIFS(BD!$B$3:$B$5001,Q$163,BD!$A$3:$A$5001,"&gt;="&amp;$C$7,BD!$A$3:$A$5001,"&lt;="&amp;$B186,BD!$Q$3:$Q$5001,"&lt;&gt;")=0,"",SUMIFS(BD!$Q$3:$Q$5001,BD!$B$3:$B$5001,Q$163,BD!$A$3:$A$5001,_xlfn.MAXIFS(BD!$A$3:$A$5001,BD!$B$3:$B$5001,Q$163,BD!$A$3:$A$5001,"&gt;="&amp;$C$7,BD!$A$3:$A$5001,"&lt;="&amp;$B186,BD!$Q$3:$Q$5001,"&lt;&gt;"))))</f>
        <v/>
      </c>
      <c r="R186" s="54" t="str">
        <f>IF(OR($B186="",$A186&gt;$B$9,R$163=""),"",IF(COUNTIFS(BD!$B$3:$B$5001,R$163,BD!$A$3:$A$5001,"&gt;="&amp;$C$7,BD!$A$3:$A$5001,"&lt;="&amp;$B186,BD!$Q$3:$Q$5001,"&lt;&gt;")=0,"",SUMIFS(BD!$Q$3:$Q$5001,BD!$B$3:$B$5001,R$163,BD!$A$3:$A$5001,_xlfn.MAXIFS(BD!$A$3:$A$5001,BD!$B$3:$B$5001,R$163,BD!$A$3:$A$5001,"&gt;="&amp;$C$7,BD!$A$3:$A$5001,"&lt;="&amp;$B186,BD!$Q$3:$Q$5001,"&lt;&gt;"))))</f>
        <v/>
      </c>
      <c r="S186" s="54" t="str">
        <f>IF(OR($B186="",$A186&gt;$B$9,S$163=""),"",IF(COUNTIFS(BD!$B$3:$B$5001,S$163,BD!$A$3:$A$5001,"&gt;="&amp;$C$7,BD!$A$3:$A$5001,"&lt;="&amp;$B186,BD!$Q$3:$Q$5001,"&lt;&gt;")=0,"",SUMIFS(BD!$Q$3:$Q$5001,BD!$B$3:$B$5001,S$163,BD!$A$3:$A$5001,_xlfn.MAXIFS(BD!$A$3:$A$5001,BD!$B$3:$B$5001,S$163,BD!$A$3:$A$5001,"&gt;="&amp;$C$7,BD!$A$3:$A$5001,"&lt;="&amp;$B186,BD!$Q$3:$Q$5001,"&lt;&gt;"))))</f>
        <v/>
      </c>
      <c r="T186" s="54" t="str">
        <f>IF(OR($B186="",$A186&gt;$B$9,T$163=""),"",IF(COUNTIFS(BD!$B$3:$B$5001,T$163,BD!$A$3:$A$5001,"&gt;="&amp;$C$7,BD!$A$3:$A$5001,"&lt;="&amp;$B186,BD!$Q$3:$Q$5001,"&lt;&gt;")=0,"",SUMIFS(BD!$Q$3:$Q$5001,BD!$B$3:$B$5001,T$163,BD!$A$3:$A$5001,_xlfn.MAXIFS(BD!$A$3:$A$5001,BD!$B$3:$B$5001,T$163,BD!$A$3:$A$5001,"&gt;="&amp;$C$7,BD!$A$3:$A$5001,"&lt;="&amp;$B186,BD!$Q$3:$Q$5001,"&lt;&gt;"))))</f>
        <v/>
      </c>
      <c r="U186" s="54" t="str">
        <f>IF(OR($B186="",$A186&gt;$B$9,U$163=""),"",IF(COUNTIFS(BD!$B$3:$B$5001,U$163,BD!$A$3:$A$5001,"&gt;="&amp;$C$7,BD!$A$3:$A$5001,"&lt;="&amp;$B186,BD!$Q$3:$Q$5001,"&lt;&gt;")=0,"",SUMIFS(BD!$Q$3:$Q$5001,BD!$B$3:$B$5001,U$163,BD!$A$3:$A$5001,_xlfn.MAXIFS(BD!$A$3:$A$5001,BD!$B$3:$B$5001,U$163,BD!$A$3:$A$5001,"&gt;="&amp;$C$7,BD!$A$3:$A$5001,"&lt;="&amp;$B186,BD!$Q$3:$Q$5001,"&lt;&gt;"))))</f>
        <v/>
      </c>
      <c r="V186" s="54" t="str">
        <f>IF(OR($B186="",$A186&gt;$B$9,V$163=""),"",IF(COUNTIFS(BD!$B$3:$B$5001,V$163,BD!$A$3:$A$5001,"&gt;="&amp;$C$7,BD!$A$3:$A$5001,"&lt;="&amp;$B186,BD!$Q$3:$Q$5001,"&lt;&gt;")=0,"",SUMIFS(BD!$Q$3:$Q$5001,BD!$B$3:$B$5001,V$163,BD!$A$3:$A$5001,_xlfn.MAXIFS(BD!$A$3:$A$5001,BD!$B$3:$B$5001,V$163,BD!$A$3:$A$5001,"&gt;="&amp;$C$7,BD!$A$3:$A$5001,"&lt;="&amp;$B186,BD!$Q$3:$Q$5001,"&lt;&gt;"))))</f>
        <v/>
      </c>
    </row>
    <row r="187">
      <c r="A187" s="48">
        <v>24</v>
      </c>
      <c r="B187" s="53">
        <f>$B$35</f>
        <v>46319</v>
      </c>
      <c r="C187" s="54" t="str">
        <f>IF(OR($B187="",$A187&gt;$B$9,C$163=""),"",IF(COUNTIFS(BD!$B$3:$B$5001,C$163,BD!$A$3:$A$5001,"&gt;="&amp;$C$7,BD!$A$3:$A$5001,"&lt;="&amp;$B187,BD!$Q$3:$Q$5001,"&lt;&gt;")=0,"",SUMIFS(BD!$Q$3:$Q$5001,BD!$B$3:$B$5001,C$163,BD!$A$3:$A$5001,_xlfn.MAXIFS(BD!$A$3:$A$5001,BD!$B$3:$B$5001,C$163,BD!$A$3:$A$5001,"&gt;="&amp;$C$7,BD!$A$3:$A$5001,"&lt;="&amp;$B187,BD!$Q$3:$Q$5001,"&lt;&gt;"))))</f>
        <v/>
      </c>
      <c r="D187" s="54" t="str">
        <f>IF(OR($B187="",$A187&gt;$B$9,D$163=""),"",IF(COUNTIFS(BD!$B$3:$B$5001,D$163,BD!$A$3:$A$5001,"&gt;="&amp;$C$7,BD!$A$3:$A$5001,"&lt;="&amp;$B187,BD!$Q$3:$Q$5001,"&lt;&gt;")=0,"",SUMIFS(BD!$Q$3:$Q$5001,BD!$B$3:$B$5001,D$163,BD!$A$3:$A$5001,_xlfn.MAXIFS(BD!$A$3:$A$5001,BD!$B$3:$B$5001,D$163,BD!$A$3:$A$5001,"&gt;="&amp;$C$7,BD!$A$3:$A$5001,"&lt;="&amp;$B187,BD!$Q$3:$Q$5001,"&lt;&gt;"))))</f>
        <v/>
      </c>
      <c r="E187" s="54" t="str">
        <f>IF(OR($B187="",$A187&gt;$B$9,E$163=""),"",IF(COUNTIFS(BD!$B$3:$B$5001,E$163,BD!$A$3:$A$5001,"&gt;="&amp;$C$7,BD!$A$3:$A$5001,"&lt;="&amp;$B187,BD!$Q$3:$Q$5001,"&lt;&gt;")=0,"",SUMIFS(BD!$Q$3:$Q$5001,BD!$B$3:$B$5001,E$163,BD!$A$3:$A$5001,_xlfn.MAXIFS(BD!$A$3:$A$5001,BD!$B$3:$B$5001,E$163,BD!$A$3:$A$5001,"&gt;="&amp;$C$7,BD!$A$3:$A$5001,"&lt;="&amp;$B187,BD!$Q$3:$Q$5001,"&lt;&gt;"))))</f>
        <v/>
      </c>
      <c r="F187" s="54" t="str">
        <f>IF(OR($B187="",$A187&gt;$B$9,F$163=""),"",IF(COUNTIFS(BD!$B$3:$B$5001,F$163,BD!$A$3:$A$5001,"&gt;="&amp;$C$7,BD!$A$3:$A$5001,"&lt;="&amp;$B187,BD!$Q$3:$Q$5001,"&lt;&gt;")=0,"",SUMIFS(BD!$Q$3:$Q$5001,BD!$B$3:$B$5001,F$163,BD!$A$3:$A$5001,_xlfn.MAXIFS(BD!$A$3:$A$5001,BD!$B$3:$B$5001,F$163,BD!$A$3:$A$5001,"&gt;="&amp;$C$7,BD!$A$3:$A$5001,"&lt;="&amp;$B187,BD!$Q$3:$Q$5001,"&lt;&gt;"))))</f>
        <v/>
      </c>
      <c r="G187" s="54" t="str">
        <f>IF(OR($B187="",$A187&gt;$B$9,G$163=""),"",IF(COUNTIFS(BD!$B$3:$B$5001,G$163,BD!$A$3:$A$5001,"&gt;="&amp;$C$7,BD!$A$3:$A$5001,"&lt;="&amp;$B187,BD!$Q$3:$Q$5001,"&lt;&gt;")=0,"",SUMIFS(BD!$Q$3:$Q$5001,BD!$B$3:$B$5001,G$163,BD!$A$3:$A$5001,_xlfn.MAXIFS(BD!$A$3:$A$5001,BD!$B$3:$B$5001,G$163,BD!$A$3:$A$5001,"&gt;="&amp;$C$7,BD!$A$3:$A$5001,"&lt;="&amp;$B187,BD!$Q$3:$Q$5001,"&lt;&gt;"))))</f>
        <v/>
      </c>
      <c r="H187" s="54" t="str">
        <f>IF(OR($B187="",$A187&gt;$B$9,H$163=""),"",IF(COUNTIFS(BD!$B$3:$B$5001,H$163,BD!$A$3:$A$5001,"&gt;="&amp;$C$7,BD!$A$3:$A$5001,"&lt;="&amp;$B187,BD!$Q$3:$Q$5001,"&lt;&gt;")=0,"",SUMIFS(BD!$Q$3:$Q$5001,BD!$B$3:$B$5001,H$163,BD!$A$3:$A$5001,_xlfn.MAXIFS(BD!$A$3:$A$5001,BD!$B$3:$B$5001,H$163,BD!$A$3:$A$5001,"&gt;="&amp;$C$7,BD!$A$3:$A$5001,"&lt;="&amp;$B187,BD!$Q$3:$Q$5001,"&lt;&gt;"))))</f>
        <v/>
      </c>
      <c r="I187" s="54" t="str">
        <f>IF(OR($B187="",$A187&gt;$B$9,I$163=""),"",IF(COUNTIFS(BD!$B$3:$B$5001,I$163,BD!$A$3:$A$5001,"&gt;="&amp;$C$7,BD!$A$3:$A$5001,"&lt;="&amp;$B187,BD!$Q$3:$Q$5001,"&lt;&gt;")=0,"",SUMIFS(BD!$Q$3:$Q$5001,BD!$B$3:$B$5001,I$163,BD!$A$3:$A$5001,_xlfn.MAXIFS(BD!$A$3:$A$5001,BD!$B$3:$B$5001,I$163,BD!$A$3:$A$5001,"&gt;="&amp;$C$7,BD!$A$3:$A$5001,"&lt;="&amp;$B187,BD!$Q$3:$Q$5001,"&lt;&gt;"))))</f>
        <v/>
      </c>
      <c r="J187" s="54" t="str">
        <f>IF(OR($B187="",$A187&gt;$B$9,J$163=""),"",IF(COUNTIFS(BD!$B$3:$B$5001,J$163,BD!$A$3:$A$5001,"&gt;="&amp;$C$7,BD!$A$3:$A$5001,"&lt;="&amp;$B187,BD!$Q$3:$Q$5001,"&lt;&gt;")=0,"",SUMIFS(BD!$Q$3:$Q$5001,BD!$B$3:$B$5001,J$163,BD!$A$3:$A$5001,_xlfn.MAXIFS(BD!$A$3:$A$5001,BD!$B$3:$B$5001,J$163,BD!$A$3:$A$5001,"&gt;="&amp;$C$7,BD!$A$3:$A$5001,"&lt;="&amp;$B187,BD!$Q$3:$Q$5001,"&lt;&gt;"))))</f>
        <v/>
      </c>
      <c r="K187" s="54" t="str">
        <f>IF(OR($B187="",$A187&gt;$B$9,K$163=""),"",IF(COUNTIFS(BD!$B$3:$B$5001,K$163,BD!$A$3:$A$5001,"&gt;="&amp;$C$7,BD!$A$3:$A$5001,"&lt;="&amp;$B187,BD!$Q$3:$Q$5001,"&lt;&gt;")=0,"",SUMIFS(BD!$Q$3:$Q$5001,BD!$B$3:$B$5001,K$163,BD!$A$3:$A$5001,_xlfn.MAXIFS(BD!$A$3:$A$5001,BD!$B$3:$B$5001,K$163,BD!$A$3:$A$5001,"&gt;="&amp;$C$7,BD!$A$3:$A$5001,"&lt;="&amp;$B187,BD!$Q$3:$Q$5001,"&lt;&gt;"))))</f>
        <v/>
      </c>
      <c r="L187" s="54" t="str">
        <f>IF(OR($B187="",$A187&gt;$B$9,L$163=""),"",IF(COUNTIFS(BD!$B$3:$B$5001,L$163,BD!$A$3:$A$5001,"&gt;="&amp;$C$7,BD!$A$3:$A$5001,"&lt;="&amp;$B187,BD!$Q$3:$Q$5001,"&lt;&gt;")=0,"",SUMIFS(BD!$Q$3:$Q$5001,BD!$B$3:$B$5001,L$163,BD!$A$3:$A$5001,_xlfn.MAXIFS(BD!$A$3:$A$5001,BD!$B$3:$B$5001,L$163,BD!$A$3:$A$5001,"&gt;="&amp;$C$7,BD!$A$3:$A$5001,"&lt;="&amp;$B187,BD!$Q$3:$Q$5001,"&lt;&gt;"))))</f>
        <v/>
      </c>
      <c r="M187" s="54" t="str">
        <f>IF(OR($B187="",$A187&gt;$B$9,M$163=""),"",IF(COUNTIFS(BD!$B$3:$B$5001,M$163,BD!$A$3:$A$5001,"&gt;="&amp;$C$7,BD!$A$3:$A$5001,"&lt;="&amp;$B187,BD!$Q$3:$Q$5001,"&lt;&gt;")=0,"",SUMIFS(BD!$Q$3:$Q$5001,BD!$B$3:$B$5001,M$163,BD!$A$3:$A$5001,_xlfn.MAXIFS(BD!$A$3:$A$5001,BD!$B$3:$B$5001,M$163,BD!$A$3:$A$5001,"&gt;="&amp;$C$7,BD!$A$3:$A$5001,"&lt;="&amp;$B187,BD!$Q$3:$Q$5001,"&lt;&gt;"))))</f>
        <v/>
      </c>
      <c r="N187" s="54" t="str">
        <f>IF(OR($B187="",$A187&gt;$B$9,N$163=""),"",IF(COUNTIFS(BD!$B$3:$B$5001,N$163,BD!$A$3:$A$5001,"&gt;="&amp;$C$7,BD!$A$3:$A$5001,"&lt;="&amp;$B187,BD!$Q$3:$Q$5001,"&lt;&gt;")=0,"",SUMIFS(BD!$Q$3:$Q$5001,BD!$B$3:$B$5001,N$163,BD!$A$3:$A$5001,_xlfn.MAXIFS(BD!$A$3:$A$5001,BD!$B$3:$B$5001,N$163,BD!$A$3:$A$5001,"&gt;="&amp;$C$7,BD!$A$3:$A$5001,"&lt;="&amp;$B187,BD!$Q$3:$Q$5001,"&lt;&gt;"))))</f>
        <v/>
      </c>
      <c r="O187" s="54" t="str">
        <f>IF(OR($B187="",$A187&gt;$B$9,O$163=""),"",IF(COUNTIFS(BD!$B$3:$B$5001,O$163,BD!$A$3:$A$5001,"&gt;="&amp;$C$7,BD!$A$3:$A$5001,"&lt;="&amp;$B187,BD!$Q$3:$Q$5001,"&lt;&gt;")=0,"",SUMIFS(BD!$Q$3:$Q$5001,BD!$B$3:$B$5001,O$163,BD!$A$3:$A$5001,_xlfn.MAXIFS(BD!$A$3:$A$5001,BD!$B$3:$B$5001,O$163,BD!$A$3:$A$5001,"&gt;="&amp;$C$7,BD!$A$3:$A$5001,"&lt;="&amp;$B187,BD!$Q$3:$Q$5001,"&lt;&gt;"))))</f>
        <v/>
      </c>
      <c r="P187" s="54" t="str">
        <f>IF(OR($B187="",$A187&gt;$B$9,P$163=""),"",IF(COUNTIFS(BD!$B$3:$B$5001,P$163,BD!$A$3:$A$5001,"&gt;="&amp;$C$7,BD!$A$3:$A$5001,"&lt;="&amp;$B187,BD!$Q$3:$Q$5001,"&lt;&gt;")=0,"",SUMIFS(BD!$Q$3:$Q$5001,BD!$B$3:$B$5001,P$163,BD!$A$3:$A$5001,_xlfn.MAXIFS(BD!$A$3:$A$5001,BD!$B$3:$B$5001,P$163,BD!$A$3:$A$5001,"&gt;="&amp;$C$7,BD!$A$3:$A$5001,"&lt;="&amp;$B187,BD!$Q$3:$Q$5001,"&lt;&gt;"))))</f>
        <v/>
      </c>
      <c r="Q187" s="54" t="str">
        <f>IF(OR($B187="",$A187&gt;$B$9,Q$163=""),"",IF(COUNTIFS(BD!$B$3:$B$5001,Q$163,BD!$A$3:$A$5001,"&gt;="&amp;$C$7,BD!$A$3:$A$5001,"&lt;="&amp;$B187,BD!$Q$3:$Q$5001,"&lt;&gt;")=0,"",SUMIFS(BD!$Q$3:$Q$5001,BD!$B$3:$B$5001,Q$163,BD!$A$3:$A$5001,_xlfn.MAXIFS(BD!$A$3:$A$5001,BD!$B$3:$B$5001,Q$163,BD!$A$3:$A$5001,"&gt;="&amp;$C$7,BD!$A$3:$A$5001,"&lt;="&amp;$B187,BD!$Q$3:$Q$5001,"&lt;&gt;"))))</f>
        <v/>
      </c>
      <c r="R187" s="54" t="str">
        <f>IF(OR($B187="",$A187&gt;$B$9,R$163=""),"",IF(COUNTIFS(BD!$B$3:$B$5001,R$163,BD!$A$3:$A$5001,"&gt;="&amp;$C$7,BD!$A$3:$A$5001,"&lt;="&amp;$B187,BD!$Q$3:$Q$5001,"&lt;&gt;")=0,"",SUMIFS(BD!$Q$3:$Q$5001,BD!$B$3:$B$5001,R$163,BD!$A$3:$A$5001,_xlfn.MAXIFS(BD!$A$3:$A$5001,BD!$B$3:$B$5001,R$163,BD!$A$3:$A$5001,"&gt;="&amp;$C$7,BD!$A$3:$A$5001,"&lt;="&amp;$B187,BD!$Q$3:$Q$5001,"&lt;&gt;"))))</f>
        <v/>
      </c>
      <c r="S187" s="54" t="str">
        <f>IF(OR($B187="",$A187&gt;$B$9,S$163=""),"",IF(COUNTIFS(BD!$B$3:$B$5001,S$163,BD!$A$3:$A$5001,"&gt;="&amp;$C$7,BD!$A$3:$A$5001,"&lt;="&amp;$B187,BD!$Q$3:$Q$5001,"&lt;&gt;")=0,"",SUMIFS(BD!$Q$3:$Q$5001,BD!$B$3:$B$5001,S$163,BD!$A$3:$A$5001,_xlfn.MAXIFS(BD!$A$3:$A$5001,BD!$B$3:$B$5001,S$163,BD!$A$3:$A$5001,"&gt;="&amp;$C$7,BD!$A$3:$A$5001,"&lt;="&amp;$B187,BD!$Q$3:$Q$5001,"&lt;&gt;"))))</f>
        <v/>
      </c>
      <c r="T187" s="54" t="str">
        <f>IF(OR($B187="",$A187&gt;$B$9,T$163=""),"",IF(COUNTIFS(BD!$B$3:$B$5001,T$163,BD!$A$3:$A$5001,"&gt;="&amp;$C$7,BD!$A$3:$A$5001,"&lt;="&amp;$B187,BD!$Q$3:$Q$5001,"&lt;&gt;")=0,"",SUMIFS(BD!$Q$3:$Q$5001,BD!$B$3:$B$5001,T$163,BD!$A$3:$A$5001,_xlfn.MAXIFS(BD!$A$3:$A$5001,BD!$B$3:$B$5001,T$163,BD!$A$3:$A$5001,"&gt;="&amp;$C$7,BD!$A$3:$A$5001,"&lt;="&amp;$B187,BD!$Q$3:$Q$5001,"&lt;&gt;"))))</f>
        <v/>
      </c>
      <c r="U187" s="54" t="str">
        <f>IF(OR($B187="",$A187&gt;$B$9,U$163=""),"",IF(COUNTIFS(BD!$B$3:$B$5001,U$163,BD!$A$3:$A$5001,"&gt;="&amp;$C$7,BD!$A$3:$A$5001,"&lt;="&amp;$B187,BD!$Q$3:$Q$5001,"&lt;&gt;")=0,"",SUMIFS(BD!$Q$3:$Q$5001,BD!$B$3:$B$5001,U$163,BD!$A$3:$A$5001,_xlfn.MAXIFS(BD!$A$3:$A$5001,BD!$B$3:$B$5001,U$163,BD!$A$3:$A$5001,"&gt;="&amp;$C$7,BD!$A$3:$A$5001,"&lt;="&amp;$B187,BD!$Q$3:$Q$5001,"&lt;&gt;"))))</f>
        <v/>
      </c>
      <c r="V187" s="54" t="str">
        <f>IF(OR($B187="",$A187&gt;$B$9,V$163=""),"",IF(COUNTIFS(BD!$B$3:$B$5001,V$163,BD!$A$3:$A$5001,"&gt;="&amp;$C$7,BD!$A$3:$A$5001,"&lt;="&amp;$B187,BD!$Q$3:$Q$5001,"&lt;&gt;")=0,"",SUMIFS(BD!$Q$3:$Q$5001,BD!$B$3:$B$5001,V$163,BD!$A$3:$A$5001,_xlfn.MAXIFS(BD!$A$3:$A$5001,BD!$B$3:$B$5001,V$163,BD!$A$3:$A$5001,"&gt;="&amp;$C$7,BD!$A$3:$A$5001,"&lt;="&amp;$B187,BD!$Q$3:$Q$5001,"&lt;&gt;"))))</f>
        <v/>
      </c>
    </row>
    <row r="188">
      <c r="A188" s="48">
        <v>25</v>
      </c>
      <c r="B188" s="53">
        <f>$B$36</f>
        <v>46320</v>
      </c>
      <c r="C188" s="54" t="str">
        <f>IF(OR($B188="",$A188&gt;$B$9,C$163=""),"",IF(COUNTIFS(BD!$B$3:$B$5001,C$163,BD!$A$3:$A$5001,"&gt;="&amp;$C$7,BD!$A$3:$A$5001,"&lt;="&amp;$B188,BD!$Q$3:$Q$5001,"&lt;&gt;")=0,"",SUMIFS(BD!$Q$3:$Q$5001,BD!$B$3:$B$5001,C$163,BD!$A$3:$A$5001,_xlfn.MAXIFS(BD!$A$3:$A$5001,BD!$B$3:$B$5001,C$163,BD!$A$3:$A$5001,"&gt;="&amp;$C$7,BD!$A$3:$A$5001,"&lt;="&amp;$B188,BD!$Q$3:$Q$5001,"&lt;&gt;"))))</f>
        <v/>
      </c>
      <c r="D188" s="54" t="str">
        <f>IF(OR($B188="",$A188&gt;$B$9,D$163=""),"",IF(COUNTIFS(BD!$B$3:$B$5001,D$163,BD!$A$3:$A$5001,"&gt;="&amp;$C$7,BD!$A$3:$A$5001,"&lt;="&amp;$B188,BD!$Q$3:$Q$5001,"&lt;&gt;")=0,"",SUMIFS(BD!$Q$3:$Q$5001,BD!$B$3:$B$5001,D$163,BD!$A$3:$A$5001,_xlfn.MAXIFS(BD!$A$3:$A$5001,BD!$B$3:$B$5001,D$163,BD!$A$3:$A$5001,"&gt;="&amp;$C$7,BD!$A$3:$A$5001,"&lt;="&amp;$B188,BD!$Q$3:$Q$5001,"&lt;&gt;"))))</f>
        <v/>
      </c>
      <c r="E188" s="54" t="str">
        <f>IF(OR($B188="",$A188&gt;$B$9,E$163=""),"",IF(COUNTIFS(BD!$B$3:$B$5001,E$163,BD!$A$3:$A$5001,"&gt;="&amp;$C$7,BD!$A$3:$A$5001,"&lt;="&amp;$B188,BD!$Q$3:$Q$5001,"&lt;&gt;")=0,"",SUMIFS(BD!$Q$3:$Q$5001,BD!$B$3:$B$5001,E$163,BD!$A$3:$A$5001,_xlfn.MAXIFS(BD!$A$3:$A$5001,BD!$B$3:$B$5001,E$163,BD!$A$3:$A$5001,"&gt;="&amp;$C$7,BD!$A$3:$A$5001,"&lt;="&amp;$B188,BD!$Q$3:$Q$5001,"&lt;&gt;"))))</f>
        <v/>
      </c>
      <c r="F188" s="54" t="str">
        <f>IF(OR($B188="",$A188&gt;$B$9,F$163=""),"",IF(COUNTIFS(BD!$B$3:$B$5001,F$163,BD!$A$3:$A$5001,"&gt;="&amp;$C$7,BD!$A$3:$A$5001,"&lt;="&amp;$B188,BD!$Q$3:$Q$5001,"&lt;&gt;")=0,"",SUMIFS(BD!$Q$3:$Q$5001,BD!$B$3:$B$5001,F$163,BD!$A$3:$A$5001,_xlfn.MAXIFS(BD!$A$3:$A$5001,BD!$B$3:$B$5001,F$163,BD!$A$3:$A$5001,"&gt;="&amp;$C$7,BD!$A$3:$A$5001,"&lt;="&amp;$B188,BD!$Q$3:$Q$5001,"&lt;&gt;"))))</f>
        <v/>
      </c>
      <c r="G188" s="54" t="str">
        <f>IF(OR($B188="",$A188&gt;$B$9,G$163=""),"",IF(COUNTIFS(BD!$B$3:$B$5001,G$163,BD!$A$3:$A$5001,"&gt;="&amp;$C$7,BD!$A$3:$A$5001,"&lt;="&amp;$B188,BD!$Q$3:$Q$5001,"&lt;&gt;")=0,"",SUMIFS(BD!$Q$3:$Q$5001,BD!$B$3:$B$5001,G$163,BD!$A$3:$A$5001,_xlfn.MAXIFS(BD!$A$3:$A$5001,BD!$B$3:$B$5001,G$163,BD!$A$3:$A$5001,"&gt;="&amp;$C$7,BD!$A$3:$A$5001,"&lt;="&amp;$B188,BD!$Q$3:$Q$5001,"&lt;&gt;"))))</f>
        <v/>
      </c>
      <c r="H188" s="54" t="str">
        <f>IF(OR($B188="",$A188&gt;$B$9,H$163=""),"",IF(COUNTIFS(BD!$B$3:$B$5001,H$163,BD!$A$3:$A$5001,"&gt;="&amp;$C$7,BD!$A$3:$A$5001,"&lt;="&amp;$B188,BD!$Q$3:$Q$5001,"&lt;&gt;")=0,"",SUMIFS(BD!$Q$3:$Q$5001,BD!$B$3:$B$5001,H$163,BD!$A$3:$A$5001,_xlfn.MAXIFS(BD!$A$3:$A$5001,BD!$B$3:$B$5001,H$163,BD!$A$3:$A$5001,"&gt;="&amp;$C$7,BD!$A$3:$A$5001,"&lt;="&amp;$B188,BD!$Q$3:$Q$5001,"&lt;&gt;"))))</f>
        <v/>
      </c>
      <c r="I188" s="54" t="str">
        <f>IF(OR($B188="",$A188&gt;$B$9,I$163=""),"",IF(COUNTIFS(BD!$B$3:$B$5001,I$163,BD!$A$3:$A$5001,"&gt;="&amp;$C$7,BD!$A$3:$A$5001,"&lt;="&amp;$B188,BD!$Q$3:$Q$5001,"&lt;&gt;")=0,"",SUMIFS(BD!$Q$3:$Q$5001,BD!$B$3:$B$5001,I$163,BD!$A$3:$A$5001,_xlfn.MAXIFS(BD!$A$3:$A$5001,BD!$B$3:$B$5001,I$163,BD!$A$3:$A$5001,"&gt;="&amp;$C$7,BD!$A$3:$A$5001,"&lt;="&amp;$B188,BD!$Q$3:$Q$5001,"&lt;&gt;"))))</f>
        <v/>
      </c>
      <c r="J188" s="54" t="str">
        <f>IF(OR($B188="",$A188&gt;$B$9,J$163=""),"",IF(COUNTIFS(BD!$B$3:$B$5001,J$163,BD!$A$3:$A$5001,"&gt;="&amp;$C$7,BD!$A$3:$A$5001,"&lt;="&amp;$B188,BD!$Q$3:$Q$5001,"&lt;&gt;")=0,"",SUMIFS(BD!$Q$3:$Q$5001,BD!$B$3:$B$5001,J$163,BD!$A$3:$A$5001,_xlfn.MAXIFS(BD!$A$3:$A$5001,BD!$B$3:$B$5001,J$163,BD!$A$3:$A$5001,"&gt;="&amp;$C$7,BD!$A$3:$A$5001,"&lt;="&amp;$B188,BD!$Q$3:$Q$5001,"&lt;&gt;"))))</f>
        <v/>
      </c>
      <c r="K188" s="54" t="str">
        <f>IF(OR($B188="",$A188&gt;$B$9,K$163=""),"",IF(COUNTIFS(BD!$B$3:$B$5001,K$163,BD!$A$3:$A$5001,"&gt;="&amp;$C$7,BD!$A$3:$A$5001,"&lt;="&amp;$B188,BD!$Q$3:$Q$5001,"&lt;&gt;")=0,"",SUMIFS(BD!$Q$3:$Q$5001,BD!$B$3:$B$5001,K$163,BD!$A$3:$A$5001,_xlfn.MAXIFS(BD!$A$3:$A$5001,BD!$B$3:$B$5001,K$163,BD!$A$3:$A$5001,"&gt;="&amp;$C$7,BD!$A$3:$A$5001,"&lt;="&amp;$B188,BD!$Q$3:$Q$5001,"&lt;&gt;"))))</f>
        <v/>
      </c>
      <c r="L188" s="54" t="str">
        <f>IF(OR($B188="",$A188&gt;$B$9,L$163=""),"",IF(COUNTIFS(BD!$B$3:$B$5001,L$163,BD!$A$3:$A$5001,"&gt;="&amp;$C$7,BD!$A$3:$A$5001,"&lt;="&amp;$B188,BD!$Q$3:$Q$5001,"&lt;&gt;")=0,"",SUMIFS(BD!$Q$3:$Q$5001,BD!$B$3:$B$5001,L$163,BD!$A$3:$A$5001,_xlfn.MAXIFS(BD!$A$3:$A$5001,BD!$B$3:$B$5001,L$163,BD!$A$3:$A$5001,"&gt;="&amp;$C$7,BD!$A$3:$A$5001,"&lt;="&amp;$B188,BD!$Q$3:$Q$5001,"&lt;&gt;"))))</f>
        <v/>
      </c>
      <c r="M188" s="54" t="str">
        <f>IF(OR($B188="",$A188&gt;$B$9,M$163=""),"",IF(COUNTIFS(BD!$B$3:$B$5001,M$163,BD!$A$3:$A$5001,"&gt;="&amp;$C$7,BD!$A$3:$A$5001,"&lt;="&amp;$B188,BD!$Q$3:$Q$5001,"&lt;&gt;")=0,"",SUMIFS(BD!$Q$3:$Q$5001,BD!$B$3:$B$5001,M$163,BD!$A$3:$A$5001,_xlfn.MAXIFS(BD!$A$3:$A$5001,BD!$B$3:$B$5001,M$163,BD!$A$3:$A$5001,"&gt;="&amp;$C$7,BD!$A$3:$A$5001,"&lt;="&amp;$B188,BD!$Q$3:$Q$5001,"&lt;&gt;"))))</f>
        <v/>
      </c>
      <c r="N188" s="54" t="str">
        <f>IF(OR($B188="",$A188&gt;$B$9,N$163=""),"",IF(COUNTIFS(BD!$B$3:$B$5001,N$163,BD!$A$3:$A$5001,"&gt;="&amp;$C$7,BD!$A$3:$A$5001,"&lt;="&amp;$B188,BD!$Q$3:$Q$5001,"&lt;&gt;")=0,"",SUMIFS(BD!$Q$3:$Q$5001,BD!$B$3:$B$5001,N$163,BD!$A$3:$A$5001,_xlfn.MAXIFS(BD!$A$3:$A$5001,BD!$B$3:$B$5001,N$163,BD!$A$3:$A$5001,"&gt;="&amp;$C$7,BD!$A$3:$A$5001,"&lt;="&amp;$B188,BD!$Q$3:$Q$5001,"&lt;&gt;"))))</f>
        <v/>
      </c>
      <c r="O188" s="54" t="str">
        <f>IF(OR($B188="",$A188&gt;$B$9,O$163=""),"",IF(COUNTIFS(BD!$B$3:$B$5001,O$163,BD!$A$3:$A$5001,"&gt;="&amp;$C$7,BD!$A$3:$A$5001,"&lt;="&amp;$B188,BD!$Q$3:$Q$5001,"&lt;&gt;")=0,"",SUMIFS(BD!$Q$3:$Q$5001,BD!$B$3:$B$5001,O$163,BD!$A$3:$A$5001,_xlfn.MAXIFS(BD!$A$3:$A$5001,BD!$B$3:$B$5001,O$163,BD!$A$3:$A$5001,"&gt;="&amp;$C$7,BD!$A$3:$A$5001,"&lt;="&amp;$B188,BD!$Q$3:$Q$5001,"&lt;&gt;"))))</f>
        <v/>
      </c>
      <c r="P188" s="54" t="str">
        <f>IF(OR($B188="",$A188&gt;$B$9,P$163=""),"",IF(COUNTIFS(BD!$B$3:$B$5001,P$163,BD!$A$3:$A$5001,"&gt;="&amp;$C$7,BD!$A$3:$A$5001,"&lt;="&amp;$B188,BD!$Q$3:$Q$5001,"&lt;&gt;")=0,"",SUMIFS(BD!$Q$3:$Q$5001,BD!$B$3:$B$5001,P$163,BD!$A$3:$A$5001,_xlfn.MAXIFS(BD!$A$3:$A$5001,BD!$B$3:$B$5001,P$163,BD!$A$3:$A$5001,"&gt;="&amp;$C$7,BD!$A$3:$A$5001,"&lt;="&amp;$B188,BD!$Q$3:$Q$5001,"&lt;&gt;"))))</f>
        <v/>
      </c>
      <c r="Q188" s="54" t="str">
        <f>IF(OR($B188="",$A188&gt;$B$9,Q$163=""),"",IF(COUNTIFS(BD!$B$3:$B$5001,Q$163,BD!$A$3:$A$5001,"&gt;="&amp;$C$7,BD!$A$3:$A$5001,"&lt;="&amp;$B188,BD!$Q$3:$Q$5001,"&lt;&gt;")=0,"",SUMIFS(BD!$Q$3:$Q$5001,BD!$B$3:$B$5001,Q$163,BD!$A$3:$A$5001,_xlfn.MAXIFS(BD!$A$3:$A$5001,BD!$B$3:$B$5001,Q$163,BD!$A$3:$A$5001,"&gt;="&amp;$C$7,BD!$A$3:$A$5001,"&lt;="&amp;$B188,BD!$Q$3:$Q$5001,"&lt;&gt;"))))</f>
        <v/>
      </c>
      <c r="R188" s="54" t="str">
        <f>IF(OR($B188="",$A188&gt;$B$9,R$163=""),"",IF(COUNTIFS(BD!$B$3:$B$5001,R$163,BD!$A$3:$A$5001,"&gt;="&amp;$C$7,BD!$A$3:$A$5001,"&lt;="&amp;$B188,BD!$Q$3:$Q$5001,"&lt;&gt;")=0,"",SUMIFS(BD!$Q$3:$Q$5001,BD!$B$3:$B$5001,R$163,BD!$A$3:$A$5001,_xlfn.MAXIFS(BD!$A$3:$A$5001,BD!$B$3:$B$5001,R$163,BD!$A$3:$A$5001,"&gt;="&amp;$C$7,BD!$A$3:$A$5001,"&lt;="&amp;$B188,BD!$Q$3:$Q$5001,"&lt;&gt;"))))</f>
        <v/>
      </c>
      <c r="S188" s="54" t="str">
        <f>IF(OR($B188="",$A188&gt;$B$9,S$163=""),"",IF(COUNTIFS(BD!$B$3:$B$5001,S$163,BD!$A$3:$A$5001,"&gt;="&amp;$C$7,BD!$A$3:$A$5001,"&lt;="&amp;$B188,BD!$Q$3:$Q$5001,"&lt;&gt;")=0,"",SUMIFS(BD!$Q$3:$Q$5001,BD!$B$3:$B$5001,S$163,BD!$A$3:$A$5001,_xlfn.MAXIFS(BD!$A$3:$A$5001,BD!$B$3:$B$5001,S$163,BD!$A$3:$A$5001,"&gt;="&amp;$C$7,BD!$A$3:$A$5001,"&lt;="&amp;$B188,BD!$Q$3:$Q$5001,"&lt;&gt;"))))</f>
        <v/>
      </c>
      <c r="T188" s="54" t="str">
        <f>IF(OR($B188="",$A188&gt;$B$9,T$163=""),"",IF(COUNTIFS(BD!$B$3:$B$5001,T$163,BD!$A$3:$A$5001,"&gt;="&amp;$C$7,BD!$A$3:$A$5001,"&lt;="&amp;$B188,BD!$Q$3:$Q$5001,"&lt;&gt;")=0,"",SUMIFS(BD!$Q$3:$Q$5001,BD!$B$3:$B$5001,T$163,BD!$A$3:$A$5001,_xlfn.MAXIFS(BD!$A$3:$A$5001,BD!$B$3:$B$5001,T$163,BD!$A$3:$A$5001,"&gt;="&amp;$C$7,BD!$A$3:$A$5001,"&lt;="&amp;$B188,BD!$Q$3:$Q$5001,"&lt;&gt;"))))</f>
        <v/>
      </c>
      <c r="U188" s="54" t="str">
        <f>IF(OR($B188="",$A188&gt;$B$9,U$163=""),"",IF(COUNTIFS(BD!$B$3:$B$5001,U$163,BD!$A$3:$A$5001,"&gt;="&amp;$C$7,BD!$A$3:$A$5001,"&lt;="&amp;$B188,BD!$Q$3:$Q$5001,"&lt;&gt;")=0,"",SUMIFS(BD!$Q$3:$Q$5001,BD!$B$3:$B$5001,U$163,BD!$A$3:$A$5001,_xlfn.MAXIFS(BD!$A$3:$A$5001,BD!$B$3:$B$5001,U$163,BD!$A$3:$A$5001,"&gt;="&amp;$C$7,BD!$A$3:$A$5001,"&lt;="&amp;$B188,BD!$Q$3:$Q$5001,"&lt;&gt;"))))</f>
        <v/>
      </c>
      <c r="V188" s="54" t="str">
        <f>IF(OR($B188="",$A188&gt;$B$9,V$163=""),"",IF(COUNTIFS(BD!$B$3:$B$5001,V$163,BD!$A$3:$A$5001,"&gt;="&amp;$C$7,BD!$A$3:$A$5001,"&lt;="&amp;$B188,BD!$Q$3:$Q$5001,"&lt;&gt;")=0,"",SUMIFS(BD!$Q$3:$Q$5001,BD!$B$3:$B$5001,V$163,BD!$A$3:$A$5001,_xlfn.MAXIFS(BD!$A$3:$A$5001,BD!$B$3:$B$5001,V$163,BD!$A$3:$A$5001,"&gt;="&amp;$C$7,BD!$A$3:$A$5001,"&lt;="&amp;$B188,BD!$Q$3:$Q$5001,"&lt;&gt;"))))</f>
        <v/>
      </c>
    </row>
    <row r="189">
      <c r="A189" s="48">
        <v>26</v>
      </c>
      <c r="B189" s="53">
        <f>$B$37</f>
        <v>46321</v>
      </c>
      <c r="C189" s="54" t="str">
        <f>IF(OR($B189="",$A189&gt;$B$9,C$163=""),"",IF(COUNTIFS(BD!$B$3:$B$5001,C$163,BD!$A$3:$A$5001,"&gt;="&amp;$C$7,BD!$A$3:$A$5001,"&lt;="&amp;$B189,BD!$Q$3:$Q$5001,"&lt;&gt;")=0,"",SUMIFS(BD!$Q$3:$Q$5001,BD!$B$3:$B$5001,C$163,BD!$A$3:$A$5001,_xlfn.MAXIFS(BD!$A$3:$A$5001,BD!$B$3:$B$5001,C$163,BD!$A$3:$A$5001,"&gt;="&amp;$C$7,BD!$A$3:$A$5001,"&lt;="&amp;$B189,BD!$Q$3:$Q$5001,"&lt;&gt;"))))</f>
        <v/>
      </c>
      <c r="D189" s="54" t="str">
        <f>IF(OR($B189="",$A189&gt;$B$9,D$163=""),"",IF(COUNTIFS(BD!$B$3:$B$5001,D$163,BD!$A$3:$A$5001,"&gt;="&amp;$C$7,BD!$A$3:$A$5001,"&lt;="&amp;$B189,BD!$Q$3:$Q$5001,"&lt;&gt;")=0,"",SUMIFS(BD!$Q$3:$Q$5001,BD!$B$3:$B$5001,D$163,BD!$A$3:$A$5001,_xlfn.MAXIFS(BD!$A$3:$A$5001,BD!$B$3:$B$5001,D$163,BD!$A$3:$A$5001,"&gt;="&amp;$C$7,BD!$A$3:$A$5001,"&lt;="&amp;$B189,BD!$Q$3:$Q$5001,"&lt;&gt;"))))</f>
        <v/>
      </c>
      <c r="E189" s="54" t="str">
        <f>IF(OR($B189="",$A189&gt;$B$9,E$163=""),"",IF(COUNTIFS(BD!$B$3:$B$5001,E$163,BD!$A$3:$A$5001,"&gt;="&amp;$C$7,BD!$A$3:$A$5001,"&lt;="&amp;$B189,BD!$Q$3:$Q$5001,"&lt;&gt;")=0,"",SUMIFS(BD!$Q$3:$Q$5001,BD!$B$3:$B$5001,E$163,BD!$A$3:$A$5001,_xlfn.MAXIFS(BD!$A$3:$A$5001,BD!$B$3:$B$5001,E$163,BD!$A$3:$A$5001,"&gt;="&amp;$C$7,BD!$A$3:$A$5001,"&lt;="&amp;$B189,BD!$Q$3:$Q$5001,"&lt;&gt;"))))</f>
        <v/>
      </c>
      <c r="F189" s="54" t="str">
        <f>IF(OR($B189="",$A189&gt;$B$9,F$163=""),"",IF(COUNTIFS(BD!$B$3:$B$5001,F$163,BD!$A$3:$A$5001,"&gt;="&amp;$C$7,BD!$A$3:$A$5001,"&lt;="&amp;$B189,BD!$Q$3:$Q$5001,"&lt;&gt;")=0,"",SUMIFS(BD!$Q$3:$Q$5001,BD!$B$3:$B$5001,F$163,BD!$A$3:$A$5001,_xlfn.MAXIFS(BD!$A$3:$A$5001,BD!$B$3:$B$5001,F$163,BD!$A$3:$A$5001,"&gt;="&amp;$C$7,BD!$A$3:$A$5001,"&lt;="&amp;$B189,BD!$Q$3:$Q$5001,"&lt;&gt;"))))</f>
        <v/>
      </c>
      <c r="G189" s="54" t="str">
        <f>IF(OR($B189="",$A189&gt;$B$9,G$163=""),"",IF(COUNTIFS(BD!$B$3:$B$5001,G$163,BD!$A$3:$A$5001,"&gt;="&amp;$C$7,BD!$A$3:$A$5001,"&lt;="&amp;$B189,BD!$Q$3:$Q$5001,"&lt;&gt;")=0,"",SUMIFS(BD!$Q$3:$Q$5001,BD!$B$3:$B$5001,G$163,BD!$A$3:$A$5001,_xlfn.MAXIFS(BD!$A$3:$A$5001,BD!$B$3:$B$5001,G$163,BD!$A$3:$A$5001,"&gt;="&amp;$C$7,BD!$A$3:$A$5001,"&lt;="&amp;$B189,BD!$Q$3:$Q$5001,"&lt;&gt;"))))</f>
        <v/>
      </c>
      <c r="H189" s="54" t="str">
        <f>IF(OR($B189="",$A189&gt;$B$9,H$163=""),"",IF(COUNTIFS(BD!$B$3:$B$5001,H$163,BD!$A$3:$A$5001,"&gt;="&amp;$C$7,BD!$A$3:$A$5001,"&lt;="&amp;$B189,BD!$Q$3:$Q$5001,"&lt;&gt;")=0,"",SUMIFS(BD!$Q$3:$Q$5001,BD!$B$3:$B$5001,H$163,BD!$A$3:$A$5001,_xlfn.MAXIFS(BD!$A$3:$A$5001,BD!$B$3:$B$5001,H$163,BD!$A$3:$A$5001,"&gt;="&amp;$C$7,BD!$A$3:$A$5001,"&lt;="&amp;$B189,BD!$Q$3:$Q$5001,"&lt;&gt;"))))</f>
        <v/>
      </c>
      <c r="I189" s="54" t="str">
        <f>IF(OR($B189="",$A189&gt;$B$9,I$163=""),"",IF(COUNTIFS(BD!$B$3:$B$5001,I$163,BD!$A$3:$A$5001,"&gt;="&amp;$C$7,BD!$A$3:$A$5001,"&lt;="&amp;$B189,BD!$Q$3:$Q$5001,"&lt;&gt;")=0,"",SUMIFS(BD!$Q$3:$Q$5001,BD!$B$3:$B$5001,I$163,BD!$A$3:$A$5001,_xlfn.MAXIFS(BD!$A$3:$A$5001,BD!$B$3:$B$5001,I$163,BD!$A$3:$A$5001,"&gt;="&amp;$C$7,BD!$A$3:$A$5001,"&lt;="&amp;$B189,BD!$Q$3:$Q$5001,"&lt;&gt;"))))</f>
        <v/>
      </c>
      <c r="J189" s="54" t="str">
        <f>IF(OR($B189="",$A189&gt;$B$9,J$163=""),"",IF(COUNTIFS(BD!$B$3:$B$5001,J$163,BD!$A$3:$A$5001,"&gt;="&amp;$C$7,BD!$A$3:$A$5001,"&lt;="&amp;$B189,BD!$Q$3:$Q$5001,"&lt;&gt;")=0,"",SUMIFS(BD!$Q$3:$Q$5001,BD!$B$3:$B$5001,J$163,BD!$A$3:$A$5001,_xlfn.MAXIFS(BD!$A$3:$A$5001,BD!$B$3:$B$5001,J$163,BD!$A$3:$A$5001,"&gt;="&amp;$C$7,BD!$A$3:$A$5001,"&lt;="&amp;$B189,BD!$Q$3:$Q$5001,"&lt;&gt;"))))</f>
        <v/>
      </c>
      <c r="K189" s="54" t="str">
        <f>IF(OR($B189="",$A189&gt;$B$9,K$163=""),"",IF(COUNTIFS(BD!$B$3:$B$5001,K$163,BD!$A$3:$A$5001,"&gt;="&amp;$C$7,BD!$A$3:$A$5001,"&lt;="&amp;$B189,BD!$Q$3:$Q$5001,"&lt;&gt;")=0,"",SUMIFS(BD!$Q$3:$Q$5001,BD!$B$3:$B$5001,K$163,BD!$A$3:$A$5001,_xlfn.MAXIFS(BD!$A$3:$A$5001,BD!$B$3:$B$5001,K$163,BD!$A$3:$A$5001,"&gt;="&amp;$C$7,BD!$A$3:$A$5001,"&lt;="&amp;$B189,BD!$Q$3:$Q$5001,"&lt;&gt;"))))</f>
        <v/>
      </c>
      <c r="L189" s="54" t="str">
        <f>IF(OR($B189="",$A189&gt;$B$9,L$163=""),"",IF(COUNTIFS(BD!$B$3:$B$5001,L$163,BD!$A$3:$A$5001,"&gt;="&amp;$C$7,BD!$A$3:$A$5001,"&lt;="&amp;$B189,BD!$Q$3:$Q$5001,"&lt;&gt;")=0,"",SUMIFS(BD!$Q$3:$Q$5001,BD!$B$3:$B$5001,L$163,BD!$A$3:$A$5001,_xlfn.MAXIFS(BD!$A$3:$A$5001,BD!$B$3:$B$5001,L$163,BD!$A$3:$A$5001,"&gt;="&amp;$C$7,BD!$A$3:$A$5001,"&lt;="&amp;$B189,BD!$Q$3:$Q$5001,"&lt;&gt;"))))</f>
        <v/>
      </c>
      <c r="M189" s="54" t="str">
        <f>IF(OR($B189="",$A189&gt;$B$9,M$163=""),"",IF(COUNTIFS(BD!$B$3:$B$5001,M$163,BD!$A$3:$A$5001,"&gt;="&amp;$C$7,BD!$A$3:$A$5001,"&lt;="&amp;$B189,BD!$Q$3:$Q$5001,"&lt;&gt;")=0,"",SUMIFS(BD!$Q$3:$Q$5001,BD!$B$3:$B$5001,M$163,BD!$A$3:$A$5001,_xlfn.MAXIFS(BD!$A$3:$A$5001,BD!$B$3:$B$5001,M$163,BD!$A$3:$A$5001,"&gt;="&amp;$C$7,BD!$A$3:$A$5001,"&lt;="&amp;$B189,BD!$Q$3:$Q$5001,"&lt;&gt;"))))</f>
        <v/>
      </c>
      <c r="N189" s="54" t="str">
        <f>IF(OR($B189="",$A189&gt;$B$9,N$163=""),"",IF(COUNTIFS(BD!$B$3:$B$5001,N$163,BD!$A$3:$A$5001,"&gt;="&amp;$C$7,BD!$A$3:$A$5001,"&lt;="&amp;$B189,BD!$Q$3:$Q$5001,"&lt;&gt;")=0,"",SUMIFS(BD!$Q$3:$Q$5001,BD!$B$3:$B$5001,N$163,BD!$A$3:$A$5001,_xlfn.MAXIFS(BD!$A$3:$A$5001,BD!$B$3:$B$5001,N$163,BD!$A$3:$A$5001,"&gt;="&amp;$C$7,BD!$A$3:$A$5001,"&lt;="&amp;$B189,BD!$Q$3:$Q$5001,"&lt;&gt;"))))</f>
        <v/>
      </c>
      <c r="O189" s="54" t="str">
        <f>IF(OR($B189="",$A189&gt;$B$9,O$163=""),"",IF(COUNTIFS(BD!$B$3:$B$5001,O$163,BD!$A$3:$A$5001,"&gt;="&amp;$C$7,BD!$A$3:$A$5001,"&lt;="&amp;$B189,BD!$Q$3:$Q$5001,"&lt;&gt;")=0,"",SUMIFS(BD!$Q$3:$Q$5001,BD!$B$3:$B$5001,O$163,BD!$A$3:$A$5001,_xlfn.MAXIFS(BD!$A$3:$A$5001,BD!$B$3:$B$5001,O$163,BD!$A$3:$A$5001,"&gt;="&amp;$C$7,BD!$A$3:$A$5001,"&lt;="&amp;$B189,BD!$Q$3:$Q$5001,"&lt;&gt;"))))</f>
        <v/>
      </c>
      <c r="P189" s="54" t="str">
        <f>IF(OR($B189="",$A189&gt;$B$9,P$163=""),"",IF(COUNTIFS(BD!$B$3:$B$5001,P$163,BD!$A$3:$A$5001,"&gt;="&amp;$C$7,BD!$A$3:$A$5001,"&lt;="&amp;$B189,BD!$Q$3:$Q$5001,"&lt;&gt;")=0,"",SUMIFS(BD!$Q$3:$Q$5001,BD!$B$3:$B$5001,P$163,BD!$A$3:$A$5001,_xlfn.MAXIFS(BD!$A$3:$A$5001,BD!$B$3:$B$5001,P$163,BD!$A$3:$A$5001,"&gt;="&amp;$C$7,BD!$A$3:$A$5001,"&lt;="&amp;$B189,BD!$Q$3:$Q$5001,"&lt;&gt;"))))</f>
        <v/>
      </c>
      <c r="Q189" s="54" t="str">
        <f>IF(OR($B189="",$A189&gt;$B$9,Q$163=""),"",IF(COUNTIFS(BD!$B$3:$B$5001,Q$163,BD!$A$3:$A$5001,"&gt;="&amp;$C$7,BD!$A$3:$A$5001,"&lt;="&amp;$B189,BD!$Q$3:$Q$5001,"&lt;&gt;")=0,"",SUMIFS(BD!$Q$3:$Q$5001,BD!$B$3:$B$5001,Q$163,BD!$A$3:$A$5001,_xlfn.MAXIFS(BD!$A$3:$A$5001,BD!$B$3:$B$5001,Q$163,BD!$A$3:$A$5001,"&gt;="&amp;$C$7,BD!$A$3:$A$5001,"&lt;="&amp;$B189,BD!$Q$3:$Q$5001,"&lt;&gt;"))))</f>
        <v/>
      </c>
      <c r="R189" s="54" t="str">
        <f>IF(OR($B189="",$A189&gt;$B$9,R$163=""),"",IF(COUNTIFS(BD!$B$3:$B$5001,R$163,BD!$A$3:$A$5001,"&gt;="&amp;$C$7,BD!$A$3:$A$5001,"&lt;="&amp;$B189,BD!$Q$3:$Q$5001,"&lt;&gt;")=0,"",SUMIFS(BD!$Q$3:$Q$5001,BD!$B$3:$B$5001,R$163,BD!$A$3:$A$5001,_xlfn.MAXIFS(BD!$A$3:$A$5001,BD!$B$3:$B$5001,R$163,BD!$A$3:$A$5001,"&gt;="&amp;$C$7,BD!$A$3:$A$5001,"&lt;="&amp;$B189,BD!$Q$3:$Q$5001,"&lt;&gt;"))))</f>
        <v/>
      </c>
      <c r="S189" s="54" t="str">
        <f>IF(OR($B189="",$A189&gt;$B$9,S$163=""),"",IF(COUNTIFS(BD!$B$3:$B$5001,S$163,BD!$A$3:$A$5001,"&gt;="&amp;$C$7,BD!$A$3:$A$5001,"&lt;="&amp;$B189,BD!$Q$3:$Q$5001,"&lt;&gt;")=0,"",SUMIFS(BD!$Q$3:$Q$5001,BD!$B$3:$B$5001,S$163,BD!$A$3:$A$5001,_xlfn.MAXIFS(BD!$A$3:$A$5001,BD!$B$3:$B$5001,S$163,BD!$A$3:$A$5001,"&gt;="&amp;$C$7,BD!$A$3:$A$5001,"&lt;="&amp;$B189,BD!$Q$3:$Q$5001,"&lt;&gt;"))))</f>
        <v/>
      </c>
      <c r="T189" s="54" t="str">
        <f>IF(OR($B189="",$A189&gt;$B$9,T$163=""),"",IF(COUNTIFS(BD!$B$3:$B$5001,T$163,BD!$A$3:$A$5001,"&gt;="&amp;$C$7,BD!$A$3:$A$5001,"&lt;="&amp;$B189,BD!$Q$3:$Q$5001,"&lt;&gt;")=0,"",SUMIFS(BD!$Q$3:$Q$5001,BD!$B$3:$B$5001,T$163,BD!$A$3:$A$5001,_xlfn.MAXIFS(BD!$A$3:$A$5001,BD!$B$3:$B$5001,T$163,BD!$A$3:$A$5001,"&gt;="&amp;$C$7,BD!$A$3:$A$5001,"&lt;="&amp;$B189,BD!$Q$3:$Q$5001,"&lt;&gt;"))))</f>
        <v/>
      </c>
      <c r="U189" s="54" t="str">
        <f>IF(OR($B189="",$A189&gt;$B$9,U$163=""),"",IF(COUNTIFS(BD!$B$3:$B$5001,U$163,BD!$A$3:$A$5001,"&gt;="&amp;$C$7,BD!$A$3:$A$5001,"&lt;="&amp;$B189,BD!$Q$3:$Q$5001,"&lt;&gt;")=0,"",SUMIFS(BD!$Q$3:$Q$5001,BD!$B$3:$B$5001,U$163,BD!$A$3:$A$5001,_xlfn.MAXIFS(BD!$A$3:$A$5001,BD!$B$3:$B$5001,U$163,BD!$A$3:$A$5001,"&gt;="&amp;$C$7,BD!$A$3:$A$5001,"&lt;="&amp;$B189,BD!$Q$3:$Q$5001,"&lt;&gt;"))))</f>
        <v/>
      </c>
      <c r="V189" s="54" t="str">
        <f>IF(OR($B189="",$A189&gt;$B$9,V$163=""),"",IF(COUNTIFS(BD!$B$3:$B$5001,V$163,BD!$A$3:$A$5001,"&gt;="&amp;$C$7,BD!$A$3:$A$5001,"&lt;="&amp;$B189,BD!$Q$3:$Q$5001,"&lt;&gt;")=0,"",SUMIFS(BD!$Q$3:$Q$5001,BD!$B$3:$B$5001,V$163,BD!$A$3:$A$5001,_xlfn.MAXIFS(BD!$A$3:$A$5001,BD!$B$3:$B$5001,V$163,BD!$A$3:$A$5001,"&gt;="&amp;$C$7,BD!$A$3:$A$5001,"&lt;="&amp;$B189,BD!$Q$3:$Q$5001,"&lt;&gt;"))))</f>
        <v/>
      </c>
    </row>
    <row r="190">
      <c r="A190" s="48">
        <v>27</v>
      </c>
      <c r="B190" s="53">
        <f>$B$38</f>
        <v>46322</v>
      </c>
      <c r="C190" s="54" t="str">
        <f>IF(OR($B190="",$A190&gt;$B$9,C$163=""),"",IF(COUNTIFS(BD!$B$3:$B$5001,C$163,BD!$A$3:$A$5001,"&gt;="&amp;$C$7,BD!$A$3:$A$5001,"&lt;="&amp;$B190,BD!$Q$3:$Q$5001,"&lt;&gt;")=0,"",SUMIFS(BD!$Q$3:$Q$5001,BD!$B$3:$B$5001,C$163,BD!$A$3:$A$5001,_xlfn.MAXIFS(BD!$A$3:$A$5001,BD!$B$3:$B$5001,C$163,BD!$A$3:$A$5001,"&gt;="&amp;$C$7,BD!$A$3:$A$5001,"&lt;="&amp;$B190,BD!$Q$3:$Q$5001,"&lt;&gt;"))))</f>
        <v/>
      </c>
      <c r="D190" s="54" t="str">
        <f>IF(OR($B190="",$A190&gt;$B$9,D$163=""),"",IF(COUNTIFS(BD!$B$3:$B$5001,D$163,BD!$A$3:$A$5001,"&gt;="&amp;$C$7,BD!$A$3:$A$5001,"&lt;="&amp;$B190,BD!$Q$3:$Q$5001,"&lt;&gt;")=0,"",SUMIFS(BD!$Q$3:$Q$5001,BD!$B$3:$B$5001,D$163,BD!$A$3:$A$5001,_xlfn.MAXIFS(BD!$A$3:$A$5001,BD!$B$3:$B$5001,D$163,BD!$A$3:$A$5001,"&gt;="&amp;$C$7,BD!$A$3:$A$5001,"&lt;="&amp;$B190,BD!$Q$3:$Q$5001,"&lt;&gt;"))))</f>
        <v/>
      </c>
      <c r="E190" s="54" t="str">
        <f>IF(OR($B190="",$A190&gt;$B$9,E$163=""),"",IF(COUNTIFS(BD!$B$3:$B$5001,E$163,BD!$A$3:$A$5001,"&gt;="&amp;$C$7,BD!$A$3:$A$5001,"&lt;="&amp;$B190,BD!$Q$3:$Q$5001,"&lt;&gt;")=0,"",SUMIFS(BD!$Q$3:$Q$5001,BD!$B$3:$B$5001,E$163,BD!$A$3:$A$5001,_xlfn.MAXIFS(BD!$A$3:$A$5001,BD!$B$3:$B$5001,E$163,BD!$A$3:$A$5001,"&gt;="&amp;$C$7,BD!$A$3:$A$5001,"&lt;="&amp;$B190,BD!$Q$3:$Q$5001,"&lt;&gt;"))))</f>
        <v/>
      </c>
      <c r="F190" s="54" t="str">
        <f>IF(OR($B190="",$A190&gt;$B$9,F$163=""),"",IF(COUNTIFS(BD!$B$3:$B$5001,F$163,BD!$A$3:$A$5001,"&gt;="&amp;$C$7,BD!$A$3:$A$5001,"&lt;="&amp;$B190,BD!$Q$3:$Q$5001,"&lt;&gt;")=0,"",SUMIFS(BD!$Q$3:$Q$5001,BD!$B$3:$B$5001,F$163,BD!$A$3:$A$5001,_xlfn.MAXIFS(BD!$A$3:$A$5001,BD!$B$3:$B$5001,F$163,BD!$A$3:$A$5001,"&gt;="&amp;$C$7,BD!$A$3:$A$5001,"&lt;="&amp;$B190,BD!$Q$3:$Q$5001,"&lt;&gt;"))))</f>
        <v/>
      </c>
      <c r="G190" s="54" t="str">
        <f>IF(OR($B190="",$A190&gt;$B$9,G$163=""),"",IF(COUNTIFS(BD!$B$3:$B$5001,G$163,BD!$A$3:$A$5001,"&gt;="&amp;$C$7,BD!$A$3:$A$5001,"&lt;="&amp;$B190,BD!$Q$3:$Q$5001,"&lt;&gt;")=0,"",SUMIFS(BD!$Q$3:$Q$5001,BD!$B$3:$B$5001,G$163,BD!$A$3:$A$5001,_xlfn.MAXIFS(BD!$A$3:$A$5001,BD!$B$3:$B$5001,G$163,BD!$A$3:$A$5001,"&gt;="&amp;$C$7,BD!$A$3:$A$5001,"&lt;="&amp;$B190,BD!$Q$3:$Q$5001,"&lt;&gt;"))))</f>
        <v/>
      </c>
      <c r="H190" s="54" t="str">
        <f>IF(OR($B190="",$A190&gt;$B$9,H$163=""),"",IF(COUNTIFS(BD!$B$3:$B$5001,H$163,BD!$A$3:$A$5001,"&gt;="&amp;$C$7,BD!$A$3:$A$5001,"&lt;="&amp;$B190,BD!$Q$3:$Q$5001,"&lt;&gt;")=0,"",SUMIFS(BD!$Q$3:$Q$5001,BD!$B$3:$B$5001,H$163,BD!$A$3:$A$5001,_xlfn.MAXIFS(BD!$A$3:$A$5001,BD!$B$3:$B$5001,H$163,BD!$A$3:$A$5001,"&gt;="&amp;$C$7,BD!$A$3:$A$5001,"&lt;="&amp;$B190,BD!$Q$3:$Q$5001,"&lt;&gt;"))))</f>
        <v/>
      </c>
      <c r="I190" s="54" t="str">
        <f>IF(OR($B190="",$A190&gt;$B$9,I$163=""),"",IF(COUNTIFS(BD!$B$3:$B$5001,I$163,BD!$A$3:$A$5001,"&gt;="&amp;$C$7,BD!$A$3:$A$5001,"&lt;="&amp;$B190,BD!$Q$3:$Q$5001,"&lt;&gt;")=0,"",SUMIFS(BD!$Q$3:$Q$5001,BD!$B$3:$B$5001,I$163,BD!$A$3:$A$5001,_xlfn.MAXIFS(BD!$A$3:$A$5001,BD!$B$3:$B$5001,I$163,BD!$A$3:$A$5001,"&gt;="&amp;$C$7,BD!$A$3:$A$5001,"&lt;="&amp;$B190,BD!$Q$3:$Q$5001,"&lt;&gt;"))))</f>
        <v/>
      </c>
      <c r="J190" s="54" t="str">
        <f>IF(OR($B190="",$A190&gt;$B$9,J$163=""),"",IF(COUNTIFS(BD!$B$3:$B$5001,J$163,BD!$A$3:$A$5001,"&gt;="&amp;$C$7,BD!$A$3:$A$5001,"&lt;="&amp;$B190,BD!$Q$3:$Q$5001,"&lt;&gt;")=0,"",SUMIFS(BD!$Q$3:$Q$5001,BD!$B$3:$B$5001,J$163,BD!$A$3:$A$5001,_xlfn.MAXIFS(BD!$A$3:$A$5001,BD!$B$3:$B$5001,J$163,BD!$A$3:$A$5001,"&gt;="&amp;$C$7,BD!$A$3:$A$5001,"&lt;="&amp;$B190,BD!$Q$3:$Q$5001,"&lt;&gt;"))))</f>
        <v/>
      </c>
      <c r="K190" s="54" t="str">
        <f>IF(OR($B190="",$A190&gt;$B$9,K$163=""),"",IF(COUNTIFS(BD!$B$3:$B$5001,K$163,BD!$A$3:$A$5001,"&gt;="&amp;$C$7,BD!$A$3:$A$5001,"&lt;="&amp;$B190,BD!$Q$3:$Q$5001,"&lt;&gt;")=0,"",SUMIFS(BD!$Q$3:$Q$5001,BD!$B$3:$B$5001,K$163,BD!$A$3:$A$5001,_xlfn.MAXIFS(BD!$A$3:$A$5001,BD!$B$3:$B$5001,K$163,BD!$A$3:$A$5001,"&gt;="&amp;$C$7,BD!$A$3:$A$5001,"&lt;="&amp;$B190,BD!$Q$3:$Q$5001,"&lt;&gt;"))))</f>
        <v/>
      </c>
      <c r="L190" s="54" t="str">
        <f>IF(OR($B190="",$A190&gt;$B$9,L$163=""),"",IF(COUNTIFS(BD!$B$3:$B$5001,L$163,BD!$A$3:$A$5001,"&gt;="&amp;$C$7,BD!$A$3:$A$5001,"&lt;="&amp;$B190,BD!$Q$3:$Q$5001,"&lt;&gt;")=0,"",SUMIFS(BD!$Q$3:$Q$5001,BD!$B$3:$B$5001,L$163,BD!$A$3:$A$5001,_xlfn.MAXIFS(BD!$A$3:$A$5001,BD!$B$3:$B$5001,L$163,BD!$A$3:$A$5001,"&gt;="&amp;$C$7,BD!$A$3:$A$5001,"&lt;="&amp;$B190,BD!$Q$3:$Q$5001,"&lt;&gt;"))))</f>
        <v/>
      </c>
      <c r="M190" s="54" t="str">
        <f>IF(OR($B190="",$A190&gt;$B$9,M$163=""),"",IF(COUNTIFS(BD!$B$3:$B$5001,M$163,BD!$A$3:$A$5001,"&gt;="&amp;$C$7,BD!$A$3:$A$5001,"&lt;="&amp;$B190,BD!$Q$3:$Q$5001,"&lt;&gt;")=0,"",SUMIFS(BD!$Q$3:$Q$5001,BD!$B$3:$B$5001,M$163,BD!$A$3:$A$5001,_xlfn.MAXIFS(BD!$A$3:$A$5001,BD!$B$3:$B$5001,M$163,BD!$A$3:$A$5001,"&gt;="&amp;$C$7,BD!$A$3:$A$5001,"&lt;="&amp;$B190,BD!$Q$3:$Q$5001,"&lt;&gt;"))))</f>
        <v/>
      </c>
      <c r="N190" s="54" t="str">
        <f>IF(OR($B190="",$A190&gt;$B$9,N$163=""),"",IF(COUNTIFS(BD!$B$3:$B$5001,N$163,BD!$A$3:$A$5001,"&gt;="&amp;$C$7,BD!$A$3:$A$5001,"&lt;="&amp;$B190,BD!$Q$3:$Q$5001,"&lt;&gt;")=0,"",SUMIFS(BD!$Q$3:$Q$5001,BD!$B$3:$B$5001,N$163,BD!$A$3:$A$5001,_xlfn.MAXIFS(BD!$A$3:$A$5001,BD!$B$3:$B$5001,N$163,BD!$A$3:$A$5001,"&gt;="&amp;$C$7,BD!$A$3:$A$5001,"&lt;="&amp;$B190,BD!$Q$3:$Q$5001,"&lt;&gt;"))))</f>
        <v/>
      </c>
      <c r="O190" s="54" t="str">
        <f>IF(OR($B190="",$A190&gt;$B$9,O$163=""),"",IF(COUNTIFS(BD!$B$3:$B$5001,O$163,BD!$A$3:$A$5001,"&gt;="&amp;$C$7,BD!$A$3:$A$5001,"&lt;="&amp;$B190,BD!$Q$3:$Q$5001,"&lt;&gt;")=0,"",SUMIFS(BD!$Q$3:$Q$5001,BD!$B$3:$B$5001,O$163,BD!$A$3:$A$5001,_xlfn.MAXIFS(BD!$A$3:$A$5001,BD!$B$3:$B$5001,O$163,BD!$A$3:$A$5001,"&gt;="&amp;$C$7,BD!$A$3:$A$5001,"&lt;="&amp;$B190,BD!$Q$3:$Q$5001,"&lt;&gt;"))))</f>
        <v/>
      </c>
      <c r="P190" s="54" t="str">
        <f>IF(OR($B190="",$A190&gt;$B$9,P$163=""),"",IF(COUNTIFS(BD!$B$3:$B$5001,P$163,BD!$A$3:$A$5001,"&gt;="&amp;$C$7,BD!$A$3:$A$5001,"&lt;="&amp;$B190,BD!$Q$3:$Q$5001,"&lt;&gt;")=0,"",SUMIFS(BD!$Q$3:$Q$5001,BD!$B$3:$B$5001,P$163,BD!$A$3:$A$5001,_xlfn.MAXIFS(BD!$A$3:$A$5001,BD!$B$3:$B$5001,P$163,BD!$A$3:$A$5001,"&gt;="&amp;$C$7,BD!$A$3:$A$5001,"&lt;="&amp;$B190,BD!$Q$3:$Q$5001,"&lt;&gt;"))))</f>
        <v/>
      </c>
      <c r="Q190" s="54" t="str">
        <f>IF(OR($B190="",$A190&gt;$B$9,Q$163=""),"",IF(COUNTIFS(BD!$B$3:$B$5001,Q$163,BD!$A$3:$A$5001,"&gt;="&amp;$C$7,BD!$A$3:$A$5001,"&lt;="&amp;$B190,BD!$Q$3:$Q$5001,"&lt;&gt;")=0,"",SUMIFS(BD!$Q$3:$Q$5001,BD!$B$3:$B$5001,Q$163,BD!$A$3:$A$5001,_xlfn.MAXIFS(BD!$A$3:$A$5001,BD!$B$3:$B$5001,Q$163,BD!$A$3:$A$5001,"&gt;="&amp;$C$7,BD!$A$3:$A$5001,"&lt;="&amp;$B190,BD!$Q$3:$Q$5001,"&lt;&gt;"))))</f>
        <v/>
      </c>
      <c r="R190" s="54" t="str">
        <f>IF(OR($B190="",$A190&gt;$B$9,R$163=""),"",IF(COUNTIFS(BD!$B$3:$B$5001,R$163,BD!$A$3:$A$5001,"&gt;="&amp;$C$7,BD!$A$3:$A$5001,"&lt;="&amp;$B190,BD!$Q$3:$Q$5001,"&lt;&gt;")=0,"",SUMIFS(BD!$Q$3:$Q$5001,BD!$B$3:$B$5001,R$163,BD!$A$3:$A$5001,_xlfn.MAXIFS(BD!$A$3:$A$5001,BD!$B$3:$B$5001,R$163,BD!$A$3:$A$5001,"&gt;="&amp;$C$7,BD!$A$3:$A$5001,"&lt;="&amp;$B190,BD!$Q$3:$Q$5001,"&lt;&gt;"))))</f>
        <v/>
      </c>
      <c r="S190" s="54" t="str">
        <f>IF(OR($B190="",$A190&gt;$B$9,S$163=""),"",IF(COUNTIFS(BD!$B$3:$B$5001,S$163,BD!$A$3:$A$5001,"&gt;="&amp;$C$7,BD!$A$3:$A$5001,"&lt;="&amp;$B190,BD!$Q$3:$Q$5001,"&lt;&gt;")=0,"",SUMIFS(BD!$Q$3:$Q$5001,BD!$B$3:$B$5001,S$163,BD!$A$3:$A$5001,_xlfn.MAXIFS(BD!$A$3:$A$5001,BD!$B$3:$B$5001,S$163,BD!$A$3:$A$5001,"&gt;="&amp;$C$7,BD!$A$3:$A$5001,"&lt;="&amp;$B190,BD!$Q$3:$Q$5001,"&lt;&gt;"))))</f>
        <v/>
      </c>
      <c r="T190" s="54" t="str">
        <f>IF(OR($B190="",$A190&gt;$B$9,T$163=""),"",IF(COUNTIFS(BD!$B$3:$B$5001,T$163,BD!$A$3:$A$5001,"&gt;="&amp;$C$7,BD!$A$3:$A$5001,"&lt;="&amp;$B190,BD!$Q$3:$Q$5001,"&lt;&gt;")=0,"",SUMIFS(BD!$Q$3:$Q$5001,BD!$B$3:$B$5001,T$163,BD!$A$3:$A$5001,_xlfn.MAXIFS(BD!$A$3:$A$5001,BD!$B$3:$B$5001,T$163,BD!$A$3:$A$5001,"&gt;="&amp;$C$7,BD!$A$3:$A$5001,"&lt;="&amp;$B190,BD!$Q$3:$Q$5001,"&lt;&gt;"))))</f>
        <v/>
      </c>
      <c r="U190" s="54" t="str">
        <f>IF(OR($B190="",$A190&gt;$B$9,U$163=""),"",IF(COUNTIFS(BD!$B$3:$B$5001,U$163,BD!$A$3:$A$5001,"&gt;="&amp;$C$7,BD!$A$3:$A$5001,"&lt;="&amp;$B190,BD!$Q$3:$Q$5001,"&lt;&gt;")=0,"",SUMIFS(BD!$Q$3:$Q$5001,BD!$B$3:$B$5001,U$163,BD!$A$3:$A$5001,_xlfn.MAXIFS(BD!$A$3:$A$5001,BD!$B$3:$B$5001,U$163,BD!$A$3:$A$5001,"&gt;="&amp;$C$7,BD!$A$3:$A$5001,"&lt;="&amp;$B190,BD!$Q$3:$Q$5001,"&lt;&gt;"))))</f>
        <v/>
      </c>
      <c r="V190" s="54" t="str">
        <f>IF(OR($B190="",$A190&gt;$B$9,V$163=""),"",IF(COUNTIFS(BD!$B$3:$B$5001,V$163,BD!$A$3:$A$5001,"&gt;="&amp;$C$7,BD!$A$3:$A$5001,"&lt;="&amp;$B190,BD!$Q$3:$Q$5001,"&lt;&gt;")=0,"",SUMIFS(BD!$Q$3:$Q$5001,BD!$B$3:$B$5001,V$163,BD!$A$3:$A$5001,_xlfn.MAXIFS(BD!$A$3:$A$5001,BD!$B$3:$B$5001,V$163,BD!$A$3:$A$5001,"&gt;="&amp;$C$7,BD!$A$3:$A$5001,"&lt;="&amp;$B190,BD!$Q$3:$Q$5001,"&lt;&gt;"))))</f>
        <v/>
      </c>
    </row>
    <row r="191">
      <c r="A191" s="48">
        <v>28</v>
      </c>
      <c r="B191" s="53">
        <f>$B$39</f>
        <v>46323</v>
      </c>
      <c r="C191" s="54" t="str">
        <f>IF(OR($B191="",$A191&gt;$B$9,C$163=""),"",IF(COUNTIFS(BD!$B$3:$B$5001,C$163,BD!$A$3:$A$5001,"&gt;="&amp;$C$7,BD!$A$3:$A$5001,"&lt;="&amp;$B191,BD!$Q$3:$Q$5001,"&lt;&gt;")=0,"",SUMIFS(BD!$Q$3:$Q$5001,BD!$B$3:$B$5001,C$163,BD!$A$3:$A$5001,_xlfn.MAXIFS(BD!$A$3:$A$5001,BD!$B$3:$B$5001,C$163,BD!$A$3:$A$5001,"&gt;="&amp;$C$7,BD!$A$3:$A$5001,"&lt;="&amp;$B191,BD!$Q$3:$Q$5001,"&lt;&gt;"))))</f>
        <v/>
      </c>
      <c r="D191" s="54" t="str">
        <f>IF(OR($B191="",$A191&gt;$B$9,D$163=""),"",IF(COUNTIFS(BD!$B$3:$B$5001,D$163,BD!$A$3:$A$5001,"&gt;="&amp;$C$7,BD!$A$3:$A$5001,"&lt;="&amp;$B191,BD!$Q$3:$Q$5001,"&lt;&gt;")=0,"",SUMIFS(BD!$Q$3:$Q$5001,BD!$B$3:$B$5001,D$163,BD!$A$3:$A$5001,_xlfn.MAXIFS(BD!$A$3:$A$5001,BD!$B$3:$B$5001,D$163,BD!$A$3:$A$5001,"&gt;="&amp;$C$7,BD!$A$3:$A$5001,"&lt;="&amp;$B191,BD!$Q$3:$Q$5001,"&lt;&gt;"))))</f>
        <v/>
      </c>
      <c r="E191" s="54" t="str">
        <f>IF(OR($B191="",$A191&gt;$B$9,E$163=""),"",IF(COUNTIFS(BD!$B$3:$B$5001,E$163,BD!$A$3:$A$5001,"&gt;="&amp;$C$7,BD!$A$3:$A$5001,"&lt;="&amp;$B191,BD!$Q$3:$Q$5001,"&lt;&gt;")=0,"",SUMIFS(BD!$Q$3:$Q$5001,BD!$B$3:$B$5001,E$163,BD!$A$3:$A$5001,_xlfn.MAXIFS(BD!$A$3:$A$5001,BD!$B$3:$B$5001,E$163,BD!$A$3:$A$5001,"&gt;="&amp;$C$7,BD!$A$3:$A$5001,"&lt;="&amp;$B191,BD!$Q$3:$Q$5001,"&lt;&gt;"))))</f>
        <v/>
      </c>
      <c r="F191" s="54" t="str">
        <f>IF(OR($B191="",$A191&gt;$B$9,F$163=""),"",IF(COUNTIFS(BD!$B$3:$B$5001,F$163,BD!$A$3:$A$5001,"&gt;="&amp;$C$7,BD!$A$3:$A$5001,"&lt;="&amp;$B191,BD!$Q$3:$Q$5001,"&lt;&gt;")=0,"",SUMIFS(BD!$Q$3:$Q$5001,BD!$B$3:$B$5001,F$163,BD!$A$3:$A$5001,_xlfn.MAXIFS(BD!$A$3:$A$5001,BD!$B$3:$B$5001,F$163,BD!$A$3:$A$5001,"&gt;="&amp;$C$7,BD!$A$3:$A$5001,"&lt;="&amp;$B191,BD!$Q$3:$Q$5001,"&lt;&gt;"))))</f>
        <v/>
      </c>
      <c r="G191" s="54" t="str">
        <f>IF(OR($B191="",$A191&gt;$B$9,G$163=""),"",IF(COUNTIFS(BD!$B$3:$B$5001,G$163,BD!$A$3:$A$5001,"&gt;="&amp;$C$7,BD!$A$3:$A$5001,"&lt;="&amp;$B191,BD!$Q$3:$Q$5001,"&lt;&gt;")=0,"",SUMIFS(BD!$Q$3:$Q$5001,BD!$B$3:$B$5001,G$163,BD!$A$3:$A$5001,_xlfn.MAXIFS(BD!$A$3:$A$5001,BD!$B$3:$B$5001,G$163,BD!$A$3:$A$5001,"&gt;="&amp;$C$7,BD!$A$3:$A$5001,"&lt;="&amp;$B191,BD!$Q$3:$Q$5001,"&lt;&gt;"))))</f>
        <v/>
      </c>
      <c r="H191" s="54" t="str">
        <f>IF(OR($B191="",$A191&gt;$B$9,H$163=""),"",IF(COUNTIFS(BD!$B$3:$B$5001,H$163,BD!$A$3:$A$5001,"&gt;="&amp;$C$7,BD!$A$3:$A$5001,"&lt;="&amp;$B191,BD!$Q$3:$Q$5001,"&lt;&gt;")=0,"",SUMIFS(BD!$Q$3:$Q$5001,BD!$B$3:$B$5001,H$163,BD!$A$3:$A$5001,_xlfn.MAXIFS(BD!$A$3:$A$5001,BD!$B$3:$B$5001,H$163,BD!$A$3:$A$5001,"&gt;="&amp;$C$7,BD!$A$3:$A$5001,"&lt;="&amp;$B191,BD!$Q$3:$Q$5001,"&lt;&gt;"))))</f>
        <v/>
      </c>
      <c r="I191" s="54" t="str">
        <f>IF(OR($B191="",$A191&gt;$B$9,I$163=""),"",IF(COUNTIFS(BD!$B$3:$B$5001,I$163,BD!$A$3:$A$5001,"&gt;="&amp;$C$7,BD!$A$3:$A$5001,"&lt;="&amp;$B191,BD!$Q$3:$Q$5001,"&lt;&gt;")=0,"",SUMIFS(BD!$Q$3:$Q$5001,BD!$B$3:$B$5001,I$163,BD!$A$3:$A$5001,_xlfn.MAXIFS(BD!$A$3:$A$5001,BD!$B$3:$B$5001,I$163,BD!$A$3:$A$5001,"&gt;="&amp;$C$7,BD!$A$3:$A$5001,"&lt;="&amp;$B191,BD!$Q$3:$Q$5001,"&lt;&gt;"))))</f>
        <v/>
      </c>
      <c r="J191" s="54" t="str">
        <f>IF(OR($B191="",$A191&gt;$B$9,J$163=""),"",IF(COUNTIFS(BD!$B$3:$B$5001,J$163,BD!$A$3:$A$5001,"&gt;="&amp;$C$7,BD!$A$3:$A$5001,"&lt;="&amp;$B191,BD!$Q$3:$Q$5001,"&lt;&gt;")=0,"",SUMIFS(BD!$Q$3:$Q$5001,BD!$B$3:$B$5001,J$163,BD!$A$3:$A$5001,_xlfn.MAXIFS(BD!$A$3:$A$5001,BD!$B$3:$B$5001,J$163,BD!$A$3:$A$5001,"&gt;="&amp;$C$7,BD!$A$3:$A$5001,"&lt;="&amp;$B191,BD!$Q$3:$Q$5001,"&lt;&gt;"))))</f>
        <v/>
      </c>
      <c r="K191" s="54" t="str">
        <f>IF(OR($B191="",$A191&gt;$B$9,K$163=""),"",IF(COUNTIFS(BD!$B$3:$B$5001,K$163,BD!$A$3:$A$5001,"&gt;="&amp;$C$7,BD!$A$3:$A$5001,"&lt;="&amp;$B191,BD!$Q$3:$Q$5001,"&lt;&gt;")=0,"",SUMIFS(BD!$Q$3:$Q$5001,BD!$B$3:$B$5001,K$163,BD!$A$3:$A$5001,_xlfn.MAXIFS(BD!$A$3:$A$5001,BD!$B$3:$B$5001,K$163,BD!$A$3:$A$5001,"&gt;="&amp;$C$7,BD!$A$3:$A$5001,"&lt;="&amp;$B191,BD!$Q$3:$Q$5001,"&lt;&gt;"))))</f>
        <v/>
      </c>
      <c r="L191" s="54" t="str">
        <f>IF(OR($B191="",$A191&gt;$B$9,L$163=""),"",IF(COUNTIFS(BD!$B$3:$B$5001,L$163,BD!$A$3:$A$5001,"&gt;="&amp;$C$7,BD!$A$3:$A$5001,"&lt;="&amp;$B191,BD!$Q$3:$Q$5001,"&lt;&gt;")=0,"",SUMIFS(BD!$Q$3:$Q$5001,BD!$B$3:$B$5001,L$163,BD!$A$3:$A$5001,_xlfn.MAXIFS(BD!$A$3:$A$5001,BD!$B$3:$B$5001,L$163,BD!$A$3:$A$5001,"&gt;="&amp;$C$7,BD!$A$3:$A$5001,"&lt;="&amp;$B191,BD!$Q$3:$Q$5001,"&lt;&gt;"))))</f>
        <v/>
      </c>
      <c r="M191" s="54" t="str">
        <f>IF(OR($B191="",$A191&gt;$B$9,M$163=""),"",IF(COUNTIFS(BD!$B$3:$B$5001,M$163,BD!$A$3:$A$5001,"&gt;="&amp;$C$7,BD!$A$3:$A$5001,"&lt;="&amp;$B191,BD!$Q$3:$Q$5001,"&lt;&gt;")=0,"",SUMIFS(BD!$Q$3:$Q$5001,BD!$B$3:$B$5001,M$163,BD!$A$3:$A$5001,_xlfn.MAXIFS(BD!$A$3:$A$5001,BD!$B$3:$B$5001,M$163,BD!$A$3:$A$5001,"&gt;="&amp;$C$7,BD!$A$3:$A$5001,"&lt;="&amp;$B191,BD!$Q$3:$Q$5001,"&lt;&gt;"))))</f>
        <v/>
      </c>
      <c r="N191" s="54" t="str">
        <f>IF(OR($B191="",$A191&gt;$B$9,N$163=""),"",IF(COUNTIFS(BD!$B$3:$B$5001,N$163,BD!$A$3:$A$5001,"&gt;="&amp;$C$7,BD!$A$3:$A$5001,"&lt;="&amp;$B191,BD!$Q$3:$Q$5001,"&lt;&gt;")=0,"",SUMIFS(BD!$Q$3:$Q$5001,BD!$B$3:$B$5001,N$163,BD!$A$3:$A$5001,_xlfn.MAXIFS(BD!$A$3:$A$5001,BD!$B$3:$B$5001,N$163,BD!$A$3:$A$5001,"&gt;="&amp;$C$7,BD!$A$3:$A$5001,"&lt;="&amp;$B191,BD!$Q$3:$Q$5001,"&lt;&gt;"))))</f>
        <v/>
      </c>
      <c r="O191" s="54" t="str">
        <f>IF(OR($B191="",$A191&gt;$B$9,O$163=""),"",IF(COUNTIFS(BD!$B$3:$B$5001,O$163,BD!$A$3:$A$5001,"&gt;="&amp;$C$7,BD!$A$3:$A$5001,"&lt;="&amp;$B191,BD!$Q$3:$Q$5001,"&lt;&gt;")=0,"",SUMIFS(BD!$Q$3:$Q$5001,BD!$B$3:$B$5001,O$163,BD!$A$3:$A$5001,_xlfn.MAXIFS(BD!$A$3:$A$5001,BD!$B$3:$B$5001,O$163,BD!$A$3:$A$5001,"&gt;="&amp;$C$7,BD!$A$3:$A$5001,"&lt;="&amp;$B191,BD!$Q$3:$Q$5001,"&lt;&gt;"))))</f>
        <v/>
      </c>
      <c r="P191" s="54" t="str">
        <f>IF(OR($B191="",$A191&gt;$B$9,P$163=""),"",IF(COUNTIFS(BD!$B$3:$B$5001,P$163,BD!$A$3:$A$5001,"&gt;="&amp;$C$7,BD!$A$3:$A$5001,"&lt;="&amp;$B191,BD!$Q$3:$Q$5001,"&lt;&gt;")=0,"",SUMIFS(BD!$Q$3:$Q$5001,BD!$B$3:$B$5001,P$163,BD!$A$3:$A$5001,_xlfn.MAXIFS(BD!$A$3:$A$5001,BD!$B$3:$B$5001,P$163,BD!$A$3:$A$5001,"&gt;="&amp;$C$7,BD!$A$3:$A$5001,"&lt;="&amp;$B191,BD!$Q$3:$Q$5001,"&lt;&gt;"))))</f>
        <v/>
      </c>
      <c r="Q191" s="54" t="str">
        <f>IF(OR($B191="",$A191&gt;$B$9,Q$163=""),"",IF(COUNTIFS(BD!$B$3:$B$5001,Q$163,BD!$A$3:$A$5001,"&gt;="&amp;$C$7,BD!$A$3:$A$5001,"&lt;="&amp;$B191,BD!$Q$3:$Q$5001,"&lt;&gt;")=0,"",SUMIFS(BD!$Q$3:$Q$5001,BD!$B$3:$B$5001,Q$163,BD!$A$3:$A$5001,_xlfn.MAXIFS(BD!$A$3:$A$5001,BD!$B$3:$B$5001,Q$163,BD!$A$3:$A$5001,"&gt;="&amp;$C$7,BD!$A$3:$A$5001,"&lt;="&amp;$B191,BD!$Q$3:$Q$5001,"&lt;&gt;"))))</f>
        <v/>
      </c>
      <c r="R191" s="54" t="str">
        <f>IF(OR($B191="",$A191&gt;$B$9,R$163=""),"",IF(COUNTIFS(BD!$B$3:$B$5001,R$163,BD!$A$3:$A$5001,"&gt;="&amp;$C$7,BD!$A$3:$A$5001,"&lt;="&amp;$B191,BD!$Q$3:$Q$5001,"&lt;&gt;")=0,"",SUMIFS(BD!$Q$3:$Q$5001,BD!$B$3:$B$5001,R$163,BD!$A$3:$A$5001,_xlfn.MAXIFS(BD!$A$3:$A$5001,BD!$B$3:$B$5001,R$163,BD!$A$3:$A$5001,"&gt;="&amp;$C$7,BD!$A$3:$A$5001,"&lt;="&amp;$B191,BD!$Q$3:$Q$5001,"&lt;&gt;"))))</f>
        <v/>
      </c>
      <c r="S191" s="54" t="str">
        <f>IF(OR($B191="",$A191&gt;$B$9,S$163=""),"",IF(COUNTIFS(BD!$B$3:$B$5001,S$163,BD!$A$3:$A$5001,"&gt;="&amp;$C$7,BD!$A$3:$A$5001,"&lt;="&amp;$B191,BD!$Q$3:$Q$5001,"&lt;&gt;")=0,"",SUMIFS(BD!$Q$3:$Q$5001,BD!$B$3:$B$5001,S$163,BD!$A$3:$A$5001,_xlfn.MAXIFS(BD!$A$3:$A$5001,BD!$B$3:$B$5001,S$163,BD!$A$3:$A$5001,"&gt;="&amp;$C$7,BD!$A$3:$A$5001,"&lt;="&amp;$B191,BD!$Q$3:$Q$5001,"&lt;&gt;"))))</f>
        <v/>
      </c>
      <c r="T191" s="54" t="str">
        <f>IF(OR($B191="",$A191&gt;$B$9,T$163=""),"",IF(COUNTIFS(BD!$B$3:$B$5001,T$163,BD!$A$3:$A$5001,"&gt;="&amp;$C$7,BD!$A$3:$A$5001,"&lt;="&amp;$B191,BD!$Q$3:$Q$5001,"&lt;&gt;")=0,"",SUMIFS(BD!$Q$3:$Q$5001,BD!$B$3:$B$5001,T$163,BD!$A$3:$A$5001,_xlfn.MAXIFS(BD!$A$3:$A$5001,BD!$B$3:$B$5001,T$163,BD!$A$3:$A$5001,"&gt;="&amp;$C$7,BD!$A$3:$A$5001,"&lt;="&amp;$B191,BD!$Q$3:$Q$5001,"&lt;&gt;"))))</f>
        <v/>
      </c>
      <c r="U191" s="54" t="str">
        <f>IF(OR($B191="",$A191&gt;$B$9,U$163=""),"",IF(COUNTIFS(BD!$B$3:$B$5001,U$163,BD!$A$3:$A$5001,"&gt;="&amp;$C$7,BD!$A$3:$A$5001,"&lt;="&amp;$B191,BD!$Q$3:$Q$5001,"&lt;&gt;")=0,"",SUMIFS(BD!$Q$3:$Q$5001,BD!$B$3:$B$5001,U$163,BD!$A$3:$A$5001,_xlfn.MAXIFS(BD!$A$3:$A$5001,BD!$B$3:$B$5001,U$163,BD!$A$3:$A$5001,"&gt;="&amp;$C$7,BD!$A$3:$A$5001,"&lt;="&amp;$B191,BD!$Q$3:$Q$5001,"&lt;&gt;"))))</f>
        <v/>
      </c>
      <c r="V191" s="54" t="str">
        <f>IF(OR($B191="",$A191&gt;$B$9,V$163=""),"",IF(COUNTIFS(BD!$B$3:$B$5001,V$163,BD!$A$3:$A$5001,"&gt;="&amp;$C$7,BD!$A$3:$A$5001,"&lt;="&amp;$B191,BD!$Q$3:$Q$5001,"&lt;&gt;")=0,"",SUMIFS(BD!$Q$3:$Q$5001,BD!$B$3:$B$5001,V$163,BD!$A$3:$A$5001,_xlfn.MAXIFS(BD!$A$3:$A$5001,BD!$B$3:$B$5001,V$163,BD!$A$3:$A$5001,"&gt;="&amp;$C$7,BD!$A$3:$A$5001,"&lt;="&amp;$B191,BD!$Q$3:$Q$5001,"&lt;&gt;"))))</f>
        <v/>
      </c>
    </row>
    <row r="192">
      <c r="A192" s="48">
        <v>29</v>
      </c>
      <c r="B192" s="53">
        <f>$B$40</f>
        <v>46324</v>
      </c>
      <c r="C192" s="54" t="str">
        <f>IF(OR($B192="",$A192&gt;$B$9,C$163=""),"",IF(COUNTIFS(BD!$B$3:$B$5001,C$163,BD!$A$3:$A$5001,"&gt;="&amp;$C$7,BD!$A$3:$A$5001,"&lt;="&amp;$B192,BD!$Q$3:$Q$5001,"&lt;&gt;")=0,"",SUMIFS(BD!$Q$3:$Q$5001,BD!$B$3:$B$5001,C$163,BD!$A$3:$A$5001,_xlfn.MAXIFS(BD!$A$3:$A$5001,BD!$B$3:$B$5001,C$163,BD!$A$3:$A$5001,"&gt;="&amp;$C$7,BD!$A$3:$A$5001,"&lt;="&amp;$B192,BD!$Q$3:$Q$5001,"&lt;&gt;"))))</f>
        <v/>
      </c>
      <c r="D192" s="54" t="str">
        <f>IF(OR($B192="",$A192&gt;$B$9,D$163=""),"",IF(COUNTIFS(BD!$B$3:$B$5001,D$163,BD!$A$3:$A$5001,"&gt;="&amp;$C$7,BD!$A$3:$A$5001,"&lt;="&amp;$B192,BD!$Q$3:$Q$5001,"&lt;&gt;")=0,"",SUMIFS(BD!$Q$3:$Q$5001,BD!$B$3:$B$5001,D$163,BD!$A$3:$A$5001,_xlfn.MAXIFS(BD!$A$3:$A$5001,BD!$B$3:$B$5001,D$163,BD!$A$3:$A$5001,"&gt;="&amp;$C$7,BD!$A$3:$A$5001,"&lt;="&amp;$B192,BD!$Q$3:$Q$5001,"&lt;&gt;"))))</f>
        <v/>
      </c>
      <c r="E192" s="54" t="str">
        <f>IF(OR($B192="",$A192&gt;$B$9,E$163=""),"",IF(COUNTIFS(BD!$B$3:$B$5001,E$163,BD!$A$3:$A$5001,"&gt;="&amp;$C$7,BD!$A$3:$A$5001,"&lt;="&amp;$B192,BD!$Q$3:$Q$5001,"&lt;&gt;")=0,"",SUMIFS(BD!$Q$3:$Q$5001,BD!$B$3:$B$5001,E$163,BD!$A$3:$A$5001,_xlfn.MAXIFS(BD!$A$3:$A$5001,BD!$B$3:$B$5001,E$163,BD!$A$3:$A$5001,"&gt;="&amp;$C$7,BD!$A$3:$A$5001,"&lt;="&amp;$B192,BD!$Q$3:$Q$5001,"&lt;&gt;"))))</f>
        <v/>
      </c>
      <c r="F192" s="54" t="str">
        <f>IF(OR($B192="",$A192&gt;$B$9,F$163=""),"",IF(COUNTIFS(BD!$B$3:$B$5001,F$163,BD!$A$3:$A$5001,"&gt;="&amp;$C$7,BD!$A$3:$A$5001,"&lt;="&amp;$B192,BD!$Q$3:$Q$5001,"&lt;&gt;")=0,"",SUMIFS(BD!$Q$3:$Q$5001,BD!$B$3:$B$5001,F$163,BD!$A$3:$A$5001,_xlfn.MAXIFS(BD!$A$3:$A$5001,BD!$B$3:$B$5001,F$163,BD!$A$3:$A$5001,"&gt;="&amp;$C$7,BD!$A$3:$A$5001,"&lt;="&amp;$B192,BD!$Q$3:$Q$5001,"&lt;&gt;"))))</f>
        <v/>
      </c>
      <c r="G192" s="54" t="str">
        <f>IF(OR($B192="",$A192&gt;$B$9,G$163=""),"",IF(COUNTIFS(BD!$B$3:$B$5001,G$163,BD!$A$3:$A$5001,"&gt;="&amp;$C$7,BD!$A$3:$A$5001,"&lt;="&amp;$B192,BD!$Q$3:$Q$5001,"&lt;&gt;")=0,"",SUMIFS(BD!$Q$3:$Q$5001,BD!$B$3:$B$5001,G$163,BD!$A$3:$A$5001,_xlfn.MAXIFS(BD!$A$3:$A$5001,BD!$B$3:$B$5001,G$163,BD!$A$3:$A$5001,"&gt;="&amp;$C$7,BD!$A$3:$A$5001,"&lt;="&amp;$B192,BD!$Q$3:$Q$5001,"&lt;&gt;"))))</f>
        <v/>
      </c>
      <c r="H192" s="54" t="str">
        <f>IF(OR($B192="",$A192&gt;$B$9,H$163=""),"",IF(COUNTIFS(BD!$B$3:$B$5001,H$163,BD!$A$3:$A$5001,"&gt;="&amp;$C$7,BD!$A$3:$A$5001,"&lt;="&amp;$B192,BD!$Q$3:$Q$5001,"&lt;&gt;")=0,"",SUMIFS(BD!$Q$3:$Q$5001,BD!$B$3:$B$5001,H$163,BD!$A$3:$A$5001,_xlfn.MAXIFS(BD!$A$3:$A$5001,BD!$B$3:$B$5001,H$163,BD!$A$3:$A$5001,"&gt;="&amp;$C$7,BD!$A$3:$A$5001,"&lt;="&amp;$B192,BD!$Q$3:$Q$5001,"&lt;&gt;"))))</f>
        <v/>
      </c>
      <c r="I192" s="54" t="str">
        <f>IF(OR($B192="",$A192&gt;$B$9,I$163=""),"",IF(COUNTIFS(BD!$B$3:$B$5001,I$163,BD!$A$3:$A$5001,"&gt;="&amp;$C$7,BD!$A$3:$A$5001,"&lt;="&amp;$B192,BD!$Q$3:$Q$5001,"&lt;&gt;")=0,"",SUMIFS(BD!$Q$3:$Q$5001,BD!$B$3:$B$5001,I$163,BD!$A$3:$A$5001,_xlfn.MAXIFS(BD!$A$3:$A$5001,BD!$B$3:$B$5001,I$163,BD!$A$3:$A$5001,"&gt;="&amp;$C$7,BD!$A$3:$A$5001,"&lt;="&amp;$B192,BD!$Q$3:$Q$5001,"&lt;&gt;"))))</f>
        <v/>
      </c>
      <c r="J192" s="54" t="str">
        <f>IF(OR($B192="",$A192&gt;$B$9,J$163=""),"",IF(COUNTIFS(BD!$B$3:$B$5001,J$163,BD!$A$3:$A$5001,"&gt;="&amp;$C$7,BD!$A$3:$A$5001,"&lt;="&amp;$B192,BD!$Q$3:$Q$5001,"&lt;&gt;")=0,"",SUMIFS(BD!$Q$3:$Q$5001,BD!$B$3:$B$5001,J$163,BD!$A$3:$A$5001,_xlfn.MAXIFS(BD!$A$3:$A$5001,BD!$B$3:$B$5001,J$163,BD!$A$3:$A$5001,"&gt;="&amp;$C$7,BD!$A$3:$A$5001,"&lt;="&amp;$B192,BD!$Q$3:$Q$5001,"&lt;&gt;"))))</f>
        <v/>
      </c>
      <c r="K192" s="54" t="str">
        <f>IF(OR($B192="",$A192&gt;$B$9,K$163=""),"",IF(COUNTIFS(BD!$B$3:$B$5001,K$163,BD!$A$3:$A$5001,"&gt;="&amp;$C$7,BD!$A$3:$A$5001,"&lt;="&amp;$B192,BD!$Q$3:$Q$5001,"&lt;&gt;")=0,"",SUMIFS(BD!$Q$3:$Q$5001,BD!$B$3:$B$5001,K$163,BD!$A$3:$A$5001,_xlfn.MAXIFS(BD!$A$3:$A$5001,BD!$B$3:$B$5001,K$163,BD!$A$3:$A$5001,"&gt;="&amp;$C$7,BD!$A$3:$A$5001,"&lt;="&amp;$B192,BD!$Q$3:$Q$5001,"&lt;&gt;"))))</f>
        <v/>
      </c>
      <c r="L192" s="54" t="str">
        <f>IF(OR($B192="",$A192&gt;$B$9,L$163=""),"",IF(COUNTIFS(BD!$B$3:$B$5001,L$163,BD!$A$3:$A$5001,"&gt;="&amp;$C$7,BD!$A$3:$A$5001,"&lt;="&amp;$B192,BD!$Q$3:$Q$5001,"&lt;&gt;")=0,"",SUMIFS(BD!$Q$3:$Q$5001,BD!$B$3:$B$5001,L$163,BD!$A$3:$A$5001,_xlfn.MAXIFS(BD!$A$3:$A$5001,BD!$B$3:$B$5001,L$163,BD!$A$3:$A$5001,"&gt;="&amp;$C$7,BD!$A$3:$A$5001,"&lt;="&amp;$B192,BD!$Q$3:$Q$5001,"&lt;&gt;"))))</f>
        <v/>
      </c>
      <c r="M192" s="54" t="str">
        <f>IF(OR($B192="",$A192&gt;$B$9,M$163=""),"",IF(COUNTIFS(BD!$B$3:$B$5001,M$163,BD!$A$3:$A$5001,"&gt;="&amp;$C$7,BD!$A$3:$A$5001,"&lt;="&amp;$B192,BD!$Q$3:$Q$5001,"&lt;&gt;")=0,"",SUMIFS(BD!$Q$3:$Q$5001,BD!$B$3:$B$5001,M$163,BD!$A$3:$A$5001,_xlfn.MAXIFS(BD!$A$3:$A$5001,BD!$B$3:$B$5001,M$163,BD!$A$3:$A$5001,"&gt;="&amp;$C$7,BD!$A$3:$A$5001,"&lt;="&amp;$B192,BD!$Q$3:$Q$5001,"&lt;&gt;"))))</f>
        <v/>
      </c>
      <c r="N192" s="54" t="str">
        <f>IF(OR($B192="",$A192&gt;$B$9,N$163=""),"",IF(COUNTIFS(BD!$B$3:$B$5001,N$163,BD!$A$3:$A$5001,"&gt;="&amp;$C$7,BD!$A$3:$A$5001,"&lt;="&amp;$B192,BD!$Q$3:$Q$5001,"&lt;&gt;")=0,"",SUMIFS(BD!$Q$3:$Q$5001,BD!$B$3:$B$5001,N$163,BD!$A$3:$A$5001,_xlfn.MAXIFS(BD!$A$3:$A$5001,BD!$B$3:$B$5001,N$163,BD!$A$3:$A$5001,"&gt;="&amp;$C$7,BD!$A$3:$A$5001,"&lt;="&amp;$B192,BD!$Q$3:$Q$5001,"&lt;&gt;"))))</f>
        <v/>
      </c>
      <c r="O192" s="54" t="str">
        <f>IF(OR($B192="",$A192&gt;$B$9,O$163=""),"",IF(COUNTIFS(BD!$B$3:$B$5001,O$163,BD!$A$3:$A$5001,"&gt;="&amp;$C$7,BD!$A$3:$A$5001,"&lt;="&amp;$B192,BD!$Q$3:$Q$5001,"&lt;&gt;")=0,"",SUMIFS(BD!$Q$3:$Q$5001,BD!$B$3:$B$5001,O$163,BD!$A$3:$A$5001,_xlfn.MAXIFS(BD!$A$3:$A$5001,BD!$B$3:$B$5001,O$163,BD!$A$3:$A$5001,"&gt;="&amp;$C$7,BD!$A$3:$A$5001,"&lt;="&amp;$B192,BD!$Q$3:$Q$5001,"&lt;&gt;"))))</f>
        <v/>
      </c>
      <c r="P192" s="54" t="str">
        <f>IF(OR($B192="",$A192&gt;$B$9,P$163=""),"",IF(COUNTIFS(BD!$B$3:$B$5001,P$163,BD!$A$3:$A$5001,"&gt;="&amp;$C$7,BD!$A$3:$A$5001,"&lt;="&amp;$B192,BD!$Q$3:$Q$5001,"&lt;&gt;")=0,"",SUMIFS(BD!$Q$3:$Q$5001,BD!$B$3:$B$5001,P$163,BD!$A$3:$A$5001,_xlfn.MAXIFS(BD!$A$3:$A$5001,BD!$B$3:$B$5001,P$163,BD!$A$3:$A$5001,"&gt;="&amp;$C$7,BD!$A$3:$A$5001,"&lt;="&amp;$B192,BD!$Q$3:$Q$5001,"&lt;&gt;"))))</f>
        <v/>
      </c>
      <c r="Q192" s="54" t="str">
        <f>IF(OR($B192="",$A192&gt;$B$9,Q$163=""),"",IF(COUNTIFS(BD!$B$3:$B$5001,Q$163,BD!$A$3:$A$5001,"&gt;="&amp;$C$7,BD!$A$3:$A$5001,"&lt;="&amp;$B192,BD!$Q$3:$Q$5001,"&lt;&gt;")=0,"",SUMIFS(BD!$Q$3:$Q$5001,BD!$B$3:$B$5001,Q$163,BD!$A$3:$A$5001,_xlfn.MAXIFS(BD!$A$3:$A$5001,BD!$B$3:$B$5001,Q$163,BD!$A$3:$A$5001,"&gt;="&amp;$C$7,BD!$A$3:$A$5001,"&lt;="&amp;$B192,BD!$Q$3:$Q$5001,"&lt;&gt;"))))</f>
        <v/>
      </c>
      <c r="R192" s="54" t="str">
        <f>IF(OR($B192="",$A192&gt;$B$9,R$163=""),"",IF(COUNTIFS(BD!$B$3:$B$5001,R$163,BD!$A$3:$A$5001,"&gt;="&amp;$C$7,BD!$A$3:$A$5001,"&lt;="&amp;$B192,BD!$Q$3:$Q$5001,"&lt;&gt;")=0,"",SUMIFS(BD!$Q$3:$Q$5001,BD!$B$3:$B$5001,R$163,BD!$A$3:$A$5001,_xlfn.MAXIFS(BD!$A$3:$A$5001,BD!$B$3:$B$5001,R$163,BD!$A$3:$A$5001,"&gt;="&amp;$C$7,BD!$A$3:$A$5001,"&lt;="&amp;$B192,BD!$Q$3:$Q$5001,"&lt;&gt;"))))</f>
        <v/>
      </c>
      <c r="S192" s="54" t="str">
        <f>IF(OR($B192="",$A192&gt;$B$9,S$163=""),"",IF(COUNTIFS(BD!$B$3:$B$5001,S$163,BD!$A$3:$A$5001,"&gt;="&amp;$C$7,BD!$A$3:$A$5001,"&lt;="&amp;$B192,BD!$Q$3:$Q$5001,"&lt;&gt;")=0,"",SUMIFS(BD!$Q$3:$Q$5001,BD!$B$3:$B$5001,S$163,BD!$A$3:$A$5001,_xlfn.MAXIFS(BD!$A$3:$A$5001,BD!$B$3:$B$5001,S$163,BD!$A$3:$A$5001,"&gt;="&amp;$C$7,BD!$A$3:$A$5001,"&lt;="&amp;$B192,BD!$Q$3:$Q$5001,"&lt;&gt;"))))</f>
        <v/>
      </c>
      <c r="T192" s="54" t="str">
        <f>IF(OR($B192="",$A192&gt;$B$9,T$163=""),"",IF(COUNTIFS(BD!$B$3:$B$5001,T$163,BD!$A$3:$A$5001,"&gt;="&amp;$C$7,BD!$A$3:$A$5001,"&lt;="&amp;$B192,BD!$Q$3:$Q$5001,"&lt;&gt;")=0,"",SUMIFS(BD!$Q$3:$Q$5001,BD!$B$3:$B$5001,T$163,BD!$A$3:$A$5001,_xlfn.MAXIFS(BD!$A$3:$A$5001,BD!$B$3:$B$5001,T$163,BD!$A$3:$A$5001,"&gt;="&amp;$C$7,BD!$A$3:$A$5001,"&lt;="&amp;$B192,BD!$Q$3:$Q$5001,"&lt;&gt;"))))</f>
        <v/>
      </c>
      <c r="U192" s="54" t="str">
        <f>IF(OR($B192="",$A192&gt;$B$9,U$163=""),"",IF(COUNTIFS(BD!$B$3:$B$5001,U$163,BD!$A$3:$A$5001,"&gt;="&amp;$C$7,BD!$A$3:$A$5001,"&lt;="&amp;$B192,BD!$Q$3:$Q$5001,"&lt;&gt;")=0,"",SUMIFS(BD!$Q$3:$Q$5001,BD!$B$3:$B$5001,U$163,BD!$A$3:$A$5001,_xlfn.MAXIFS(BD!$A$3:$A$5001,BD!$B$3:$B$5001,U$163,BD!$A$3:$A$5001,"&gt;="&amp;$C$7,BD!$A$3:$A$5001,"&lt;="&amp;$B192,BD!$Q$3:$Q$5001,"&lt;&gt;"))))</f>
        <v/>
      </c>
      <c r="V192" s="54" t="str">
        <f>IF(OR($B192="",$A192&gt;$B$9,V$163=""),"",IF(COUNTIFS(BD!$B$3:$B$5001,V$163,BD!$A$3:$A$5001,"&gt;="&amp;$C$7,BD!$A$3:$A$5001,"&lt;="&amp;$B192,BD!$Q$3:$Q$5001,"&lt;&gt;")=0,"",SUMIFS(BD!$Q$3:$Q$5001,BD!$B$3:$B$5001,V$163,BD!$A$3:$A$5001,_xlfn.MAXIFS(BD!$A$3:$A$5001,BD!$B$3:$B$5001,V$163,BD!$A$3:$A$5001,"&gt;="&amp;$C$7,BD!$A$3:$A$5001,"&lt;="&amp;$B192,BD!$Q$3:$Q$5001,"&lt;&gt;"))))</f>
        <v/>
      </c>
    </row>
    <row r="193">
      <c r="A193" s="48">
        <v>30</v>
      </c>
      <c r="B193" s="53">
        <f>$B$41</f>
        <v>46325</v>
      </c>
      <c r="C193" s="54" t="str">
        <f>IF(OR($B193="",$A193&gt;$B$9,C$163=""),"",IF(COUNTIFS(BD!$B$3:$B$5001,C$163,BD!$A$3:$A$5001,"&gt;="&amp;$C$7,BD!$A$3:$A$5001,"&lt;="&amp;$B193,BD!$Q$3:$Q$5001,"&lt;&gt;")=0,"",SUMIFS(BD!$Q$3:$Q$5001,BD!$B$3:$B$5001,C$163,BD!$A$3:$A$5001,_xlfn.MAXIFS(BD!$A$3:$A$5001,BD!$B$3:$B$5001,C$163,BD!$A$3:$A$5001,"&gt;="&amp;$C$7,BD!$A$3:$A$5001,"&lt;="&amp;$B193,BD!$Q$3:$Q$5001,"&lt;&gt;"))))</f>
        <v/>
      </c>
      <c r="D193" s="54" t="str">
        <f>IF(OR($B193="",$A193&gt;$B$9,D$163=""),"",IF(COUNTIFS(BD!$B$3:$B$5001,D$163,BD!$A$3:$A$5001,"&gt;="&amp;$C$7,BD!$A$3:$A$5001,"&lt;="&amp;$B193,BD!$Q$3:$Q$5001,"&lt;&gt;")=0,"",SUMIFS(BD!$Q$3:$Q$5001,BD!$B$3:$B$5001,D$163,BD!$A$3:$A$5001,_xlfn.MAXIFS(BD!$A$3:$A$5001,BD!$B$3:$B$5001,D$163,BD!$A$3:$A$5001,"&gt;="&amp;$C$7,BD!$A$3:$A$5001,"&lt;="&amp;$B193,BD!$Q$3:$Q$5001,"&lt;&gt;"))))</f>
        <v/>
      </c>
      <c r="E193" s="54" t="str">
        <f>IF(OR($B193="",$A193&gt;$B$9,E$163=""),"",IF(COUNTIFS(BD!$B$3:$B$5001,E$163,BD!$A$3:$A$5001,"&gt;="&amp;$C$7,BD!$A$3:$A$5001,"&lt;="&amp;$B193,BD!$Q$3:$Q$5001,"&lt;&gt;")=0,"",SUMIFS(BD!$Q$3:$Q$5001,BD!$B$3:$B$5001,E$163,BD!$A$3:$A$5001,_xlfn.MAXIFS(BD!$A$3:$A$5001,BD!$B$3:$B$5001,E$163,BD!$A$3:$A$5001,"&gt;="&amp;$C$7,BD!$A$3:$A$5001,"&lt;="&amp;$B193,BD!$Q$3:$Q$5001,"&lt;&gt;"))))</f>
        <v/>
      </c>
      <c r="F193" s="54" t="str">
        <f>IF(OR($B193="",$A193&gt;$B$9,F$163=""),"",IF(COUNTIFS(BD!$B$3:$B$5001,F$163,BD!$A$3:$A$5001,"&gt;="&amp;$C$7,BD!$A$3:$A$5001,"&lt;="&amp;$B193,BD!$Q$3:$Q$5001,"&lt;&gt;")=0,"",SUMIFS(BD!$Q$3:$Q$5001,BD!$B$3:$B$5001,F$163,BD!$A$3:$A$5001,_xlfn.MAXIFS(BD!$A$3:$A$5001,BD!$B$3:$B$5001,F$163,BD!$A$3:$A$5001,"&gt;="&amp;$C$7,BD!$A$3:$A$5001,"&lt;="&amp;$B193,BD!$Q$3:$Q$5001,"&lt;&gt;"))))</f>
        <v/>
      </c>
      <c r="G193" s="54" t="str">
        <f>IF(OR($B193="",$A193&gt;$B$9,G$163=""),"",IF(COUNTIFS(BD!$B$3:$B$5001,G$163,BD!$A$3:$A$5001,"&gt;="&amp;$C$7,BD!$A$3:$A$5001,"&lt;="&amp;$B193,BD!$Q$3:$Q$5001,"&lt;&gt;")=0,"",SUMIFS(BD!$Q$3:$Q$5001,BD!$B$3:$B$5001,G$163,BD!$A$3:$A$5001,_xlfn.MAXIFS(BD!$A$3:$A$5001,BD!$B$3:$B$5001,G$163,BD!$A$3:$A$5001,"&gt;="&amp;$C$7,BD!$A$3:$A$5001,"&lt;="&amp;$B193,BD!$Q$3:$Q$5001,"&lt;&gt;"))))</f>
        <v/>
      </c>
      <c r="H193" s="54" t="str">
        <f>IF(OR($B193="",$A193&gt;$B$9,H$163=""),"",IF(COUNTIFS(BD!$B$3:$B$5001,H$163,BD!$A$3:$A$5001,"&gt;="&amp;$C$7,BD!$A$3:$A$5001,"&lt;="&amp;$B193,BD!$Q$3:$Q$5001,"&lt;&gt;")=0,"",SUMIFS(BD!$Q$3:$Q$5001,BD!$B$3:$B$5001,H$163,BD!$A$3:$A$5001,_xlfn.MAXIFS(BD!$A$3:$A$5001,BD!$B$3:$B$5001,H$163,BD!$A$3:$A$5001,"&gt;="&amp;$C$7,BD!$A$3:$A$5001,"&lt;="&amp;$B193,BD!$Q$3:$Q$5001,"&lt;&gt;"))))</f>
        <v/>
      </c>
      <c r="I193" s="54" t="str">
        <f>IF(OR($B193="",$A193&gt;$B$9,I$163=""),"",IF(COUNTIFS(BD!$B$3:$B$5001,I$163,BD!$A$3:$A$5001,"&gt;="&amp;$C$7,BD!$A$3:$A$5001,"&lt;="&amp;$B193,BD!$Q$3:$Q$5001,"&lt;&gt;")=0,"",SUMIFS(BD!$Q$3:$Q$5001,BD!$B$3:$B$5001,I$163,BD!$A$3:$A$5001,_xlfn.MAXIFS(BD!$A$3:$A$5001,BD!$B$3:$B$5001,I$163,BD!$A$3:$A$5001,"&gt;="&amp;$C$7,BD!$A$3:$A$5001,"&lt;="&amp;$B193,BD!$Q$3:$Q$5001,"&lt;&gt;"))))</f>
        <v/>
      </c>
      <c r="J193" s="54" t="str">
        <f>IF(OR($B193="",$A193&gt;$B$9,J$163=""),"",IF(COUNTIFS(BD!$B$3:$B$5001,J$163,BD!$A$3:$A$5001,"&gt;="&amp;$C$7,BD!$A$3:$A$5001,"&lt;="&amp;$B193,BD!$Q$3:$Q$5001,"&lt;&gt;")=0,"",SUMIFS(BD!$Q$3:$Q$5001,BD!$B$3:$B$5001,J$163,BD!$A$3:$A$5001,_xlfn.MAXIFS(BD!$A$3:$A$5001,BD!$B$3:$B$5001,J$163,BD!$A$3:$A$5001,"&gt;="&amp;$C$7,BD!$A$3:$A$5001,"&lt;="&amp;$B193,BD!$Q$3:$Q$5001,"&lt;&gt;"))))</f>
        <v/>
      </c>
      <c r="K193" s="54" t="str">
        <f>IF(OR($B193="",$A193&gt;$B$9,K$163=""),"",IF(COUNTIFS(BD!$B$3:$B$5001,K$163,BD!$A$3:$A$5001,"&gt;="&amp;$C$7,BD!$A$3:$A$5001,"&lt;="&amp;$B193,BD!$Q$3:$Q$5001,"&lt;&gt;")=0,"",SUMIFS(BD!$Q$3:$Q$5001,BD!$B$3:$B$5001,K$163,BD!$A$3:$A$5001,_xlfn.MAXIFS(BD!$A$3:$A$5001,BD!$B$3:$B$5001,K$163,BD!$A$3:$A$5001,"&gt;="&amp;$C$7,BD!$A$3:$A$5001,"&lt;="&amp;$B193,BD!$Q$3:$Q$5001,"&lt;&gt;"))))</f>
        <v/>
      </c>
      <c r="L193" s="54" t="str">
        <f>IF(OR($B193="",$A193&gt;$B$9,L$163=""),"",IF(COUNTIFS(BD!$B$3:$B$5001,L$163,BD!$A$3:$A$5001,"&gt;="&amp;$C$7,BD!$A$3:$A$5001,"&lt;="&amp;$B193,BD!$Q$3:$Q$5001,"&lt;&gt;")=0,"",SUMIFS(BD!$Q$3:$Q$5001,BD!$B$3:$B$5001,L$163,BD!$A$3:$A$5001,_xlfn.MAXIFS(BD!$A$3:$A$5001,BD!$B$3:$B$5001,L$163,BD!$A$3:$A$5001,"&gt;="&amp;$C$7,BD!$A$3:$A$5001,"&lt;="&amp;$B193,BD!$Q$3:$Q$5001,"&lt;&gt;"))))</f>
        <v/>
      </c>
      <c r="M193" s="54" t="str">
        <f>IF(OR($B193="",$A193&gt;$B$9,M$163=""),"",IF(COUNTIFS(BD!$B$3:$B$5001,M$163,BD!$A$3:$A$5001,"&gt;="&amp;$C$7,BD!$A$3:$A$5001,"&lt;="&amp;$B193,BD!$Q$3:$Q$5001,"&lt;&gt;")=0,"",SUMIFS(BD!$Q$3:$Q$5001,BD!$B$3:$B$5001,M$163,BD!$A$3:$A$5001,_xlfn.MAXIFS(BD!$A$3:$A$5001,BD!$B$3:$B$5001,M$163,BD!$A$3:$A$5001,"&gt;="&amp;$C$7,BD!$A$3:$A$5001,"&lt;="&amp;$B193,BD!$Q$3:$Q$5001,"&lt;&gt;"))))</f>
        <v/>
      </c>
      <c r="N193" s="54" t="str">
        <f>IF(OR($B193="",$A193&gt;$B$9,N$163=""),"",IF(COUNTIFS(BD!$B$3:$B$5001,N$163,BD!$A$3:$A$5001,"&gt;="&amp;$C$7,BD!$A$3:$A$5001,"&lt;="&amp;$B193,BD!$Q$3:$Q$5001,"&lt;&gt;")=0,"",SUMIFS(BD!$Q$3:$Q$5001,BD!$B$3:$B$5001,N$163,BD!$A$3:$A$5001,_xlfn.MAXIFS(BD!$A$3:$A$5001,BD!$B$3:$B$5001,N$163,BD!$A$3:$A$5001,"&gt;="&amp;$C$7,BD!$A$3:$A$5001,"&lt;="&amp;$B193,BD!$Q$3:$Q$5001,"&lt;&gt;"))))</f>
        <v/>
      </c>
      <c r="O193" s="54" t="str">
        <f>IF(OR($B193="",$A193&gt;$B$9,O$163=""),"",IF(COUNTIFS(BD!$B$3:$B$5001,O$163,BD!$A$3:$A$5001,"&gt;="&amp;$C$7,BD!$A$3:$A$5001,"&lt;="&amp;$B193,BD!$Q$3:$Q$5001,"&lt;&gt;")=0,"",SUMIFS(BD!$Q$3:$Q$5001,BD!$B$3:$B$5001,O$163,BD!$A$3:$A$5001,_xlfn.MAXIFS(BD!$A$3:$A$5001,BD!$B$3:$B$5001,O$163,BD!$A$3:$A$5001,"&gt;="&amp;$C$7,BD!$A$3:$A$5001,"&lt;="&amp;$B193,BD!$Q$3:$Q$5001,"&lt;&gt;"))))</f>
        <v/>
      </c>
      <c r="P193" s="54" t="str">
        <f>IF(OR($B193="",$A193&gt;$B$9,P$163=""),"",IF(COUNTIFS(BD!$B$3:$B$5001,P$163,BD!$A$3:$A$5001,"&gt;="&amp;$C$7,BD!$A$3:$A$5001,"&lt;="&amp;$B193,BD!$Q$3:$Q$5001,"&lt;&gt;")=0,"",SUMIFS(BD!$Q$3:$Q$5001,BD!$B$3:$B$5001,P$163,BD!$A$3:$A$5001,_xlfn.MAXIFS(BD!$A$3:$A$5001,BD!$B$3:$B$5001,P$163,BD!$A$3:$A$5001,"&gt;="&amp;$C$7,BD!$A$3:$A$5001,"&lt;="&amp;$B193,BD!$Q$3:$Q$5001,"&lt;&gt;"))))</f>
        <v/>
      </c>
      <c r="Q193" s="54" t="str">
        <f>IF(OR($B193="",$A193&gt;$B$9,Q$163=""),"",IF(COUNTIFS(BD!$B$3:$B$5001,Q$163,BD!$A$3:$A$5001,"&gt;="&amp;$C$7,BD!$A$3:$A$5001,"&lt;="&amp;$B193,BD!$Q$3:$Q$5001,"&lt;&gt;")=0,"",SUMIFS(BD!$Q$3:$Q$5001,BD!$B$3:$B$5001,Q$163,BD!$A$3:$A$5001,_xlfn.MAXIFS(BD!$A$3:$A$5001,BD!$B$3:$B$5001,Q$163,BD!$A$3:$A$5001,"&gt;="&amp;$C$7,BD!$A$3:$A$5001,"&lt;="&amp;$B193,BD!$Q$3:$Q$5001,"&lt;&gt;"))))</f>
        <v/>
      </c>
      <c r="R193" s="54" t="str">
        <f>IF(OR($B193="",$A193&gt;$B$9,R$163=""),"",IF(COUNTIFS(BD!$B$3:$B$5001,R$163,BD!$A$3:$A$5001,"&gt;="&amp;$C$7,BD!$A$3:$A$5001,"&lt;="&amp;$B193,BD!$Q$3:$Q$5001,"&lt;&gt;")=0,"",SUMIFS(BD!$Q$3:$Q$5001,BD!$B$3:$B$5001,R$163,BD!$A$3:$A$5001,_xlfn.MAXIFS(BD!$A$3:$A$5001,BD!$B$3:$B$5001,R$163,BD!$A$3:$A$5001,"&gt;="&amp;$C$7,BD!$A$3:$A$5001,"&lt;="&amp;$B193,BD!$Q$3:$Q$5001,"&lt;&gt;"))))</f>
        <v/>
      </c>
      <c r="S193" s="54" t="str">
        <f>IF(OR($B193="",$A193&gt;$B$9,S$163=""),"",IF(COUNTIFS(BD!$B$3:$B$5001,S$163,BD!$A$3:$A$5001,"&gt;="&amp;$C$7,BD!$A$3:$A$5001,"&lt;="&amp;$B193,BD!$Q$3:$Q$5001,"&lt;&gt;")=0,"",SUMIFS(BD!$Q$3:$Q$5001,BD!$B$3:$B$5001,S$163,BD!$A$3:$A$5001,_xlfn.MAXIFS(BD!$A$3:$A$5001,BD!$B$3:$B$5001,S$163,BD!$A$3:$A$5001,"&gt;="&amp;$C$7,BD!$A$3:$A$5001,"&lt;="&amp;$B193,BD!$Q$3:$Q$5001,"&lt;&gt;"))))</f>
        <v/>
      </c>
      <c r="T193" s="54" t="str">
        <f>IF(OR($B193="",$A193&gt;$B$9,T$163=""),"",IF(COUNTIFS(BD!$B$3:$B$5001,T$163,BD!$A$3:$A$5001,"&gt;="&amp;$C$7,BD!$A$3:$A$5001,"&lt;="&amp;$B193,BD!$Q$3:$Q$5001,"&lt;&gt;")=0,"",SUMIFS(BD!$Q$3:$Q$5001,BD!$B$3:$B$5001,T$163,BD!$A$3:$A$5001,_xlfn.MAXIFS(BD!$A$3:$A$5001,BD!$B$3:$B$5001,T$163,BD!$A$3:$A$5001,"&gt;="&amp;$C$7,BD!$A$3:$A$5001,"&lt;="&amp;$B193,BD!$Q$3:$Q$5001,"&lt;&gt;"))))</f>
        <v/>
      </c>
      <c r="U193" s="54" t="str">
        <f>IF(OR($B193="",$A193&gt;$B$9,U$163=""),"",IF(COUNTIFS(BD!$B$3:$B$5001,U$163,BD!$A$3:$A$5001,"&gt;="&amp;$C$7,BD!$A$3:$A$5001,"&lt;="&amp;$B193,BD!$Q$3:$Q$5001,"&lt;&gt;")=0,"",SUMIFS(BD!$Q$3:$Q$5001,BD!$B$3:$B$5001,U$163,BD!$A$3:$A$5001,_xlfn.MAXIFS(BD!$A$3:$A$5001,BD!$B$3:$B$5001,U$163,BD!$A$3:$A$5001,"&gt;="&amp;$C$7,BD!$A$3:$A$5001,"&lt;="&amp;$B193,BD!$Q$3:$Q$5001,"&lt;&gt;"))))</f>
        <v/>
      </c>
      <c r="V193" s="54" t="str">
        <f>IF(OR($B193="",$A193&gt;$B$9,V$163=""),"",IF(COUNTIFS(BD!$B$3:$B$5001,V$163,BD!$A$3:$A$5001,"&gt;="&amp;$C$7,BD!$A$3:$A$5001,"&lt;="&amp;$B193,BD!$Q$3:$Q$5001,"&lt;&gt;")=0,"",SUMIFS(BD!$Q$3:$Q$5001,BD!$B$3:$B$5001,V$163,BD!$A$3:$A$5001,_xlfn.MAXIFS(BD!$A$3:$A$5001,BD!$B$3:$B$5001,V$163,BD!$A$3:$A$5001,"&gt;="&amp;$C$7,BD!$A$3:$A$5001,"&lt;="&amp;$B193,BD!$Q$3:$Q$5001,"&lt;&gt;"))))</f>
        <v/>
      </c>
    </row>
    <row r="194">
      <c r="A194" s="48">
        <v>31</v>
      </c>
      <c r="B194" s="53">
        <f>$B$42</f>
        <v>46326</v>
      </c>
      <c r="C194" s="54" t="str">
        <f>IF(OR($B194="",$A194&gt;$B$9,C$163=""),"",IF(COUNTIFS(BD!$B$3:$B$5001,C$163,BD!$A$3:$A$5001,"&gt;="&amp;$C$7,BD!$A$3:$A$5001,"&lt;="&amp;$B194,BD!$Q$3:$Q$5001,"&lt;&gt;")=0,"",SUMIFS(BD!$Q$3:$Q$5001,BD!$B$3:$B$5001,C$163,BD!$A$3:$A$5001,_xlfn.MAXIFS(BD!$A$3:$A$5001,BD!$B$3:$B$5001,C$163,BD!$A$3:$A$5001,"&gt;="&amp;$C$7,BD!$A$3:$A$5001,"&lt;="&amp;$B194,BD!$Q$3:$Q$5001,"&lt;&gt;"))))</f>
        <v/>
      </c>
      <c r="D194" s="54" t="str">
        <f>IF(OR($B194="",$A194&gt;$B$9,D$163=""),"",IF(COUNTIFS(BD!$B$3:$B$5001,D$163,BD!$A$3:$A$5001,"&gt;="&amp;$C$7,BD!$A$3:$A$5001,"&lt;="&amp;$B194,BD!$Q$3:$Q$5001,"&lt;&gt;")=0,"",SUMIFS(BD!$Q$3:$Q$5001,BD!$B$3:$B$5001,D$163,BD!$A$3:$A$5001,_xlfn.MAXIFS(BD!$A$3:$A$5001,BD!$B$3:$B$5001,D$163,BD!$A$3:$A$5001,"&gt;="&amp;$C$7,BD!$A$3:$A$5001,"&lt;="&amp;$B194,BD!$Q$3:$Q$5001,"&lt;&gt;"))))</f>
        <v/>
      </c>
      <c r="E194" s="54" t="str">
        <f>IF(OR($B194="",$A194&gt;$B$9,E$163=""),"",IF(COUNTIFS(BD!$B$3:$B$5001,E$163,BD!$A$3:$A$5001,"&gt;="&amp;$C$7,BD!$A$3:$A$5001,"&lt;="&amp;$B194,BD!$Q$3:$Q$5001,"&lt;&gt;")=0,"",SUMIFS(BD!$Q$3:$Q$5001,BD!$B$3:$B$5001,E$163,BD!$A$3:$A$5001,_xlfn.MAXIFS(BD!$A$3:$A$5001,BD!$B$3:$B$5001,E$163,BD!$A$3:$A$5001,"&gt;="&amp;$C$7,BD!$A$3:$A$5001,"&lt;="&amp;$B194,BD!$Q$3:$Q$5001,"&lt;&gt;"))))</f>
        <v/>
      </c>
      <c r="F194" s="54" t="str">
        <f>IF(OR($B194="",$A194&gt;$B$9,F$163=""),"",IF(COUNTIFS(BD!$B$3:$B$5001,F$163,BD!$A$3:$A$5001,"&gt;="&amp;$C$7,BD!$A$3:$A$5001,"&lt;="&amp;$B194,BD!$Q$3:$Q$5001,"&lt;&gt;")=0,"",SUMIFS(BD!$Q$3:$Q$5001,BD!$B$3:$B$5001,F$163,BD!$A$3:$A$5001,_xlfn.MAXIFS(BD!$A$3:$A$5001,BD!$B$3:$B$5001,F$163,BD!$A$3:$A$5001,"&gt;="&amp;$C$7,BD!$A$3:$A$5001,"&lt;="&amp;$B194,BD!$Q$3:$Q$5001,"&lt;&gt;"))))</f>
        <v/>
      </c>
      <c r="G194" s="54" t="str">
        <f>IF(OR($B194="",$A194&gt;$B$9,G$163=""),"",IF(COUNTIFS(BD!$B$3:$B$5001,G$163,BD!$A$3:$A$5001,"&gt;="&amp;$C$7,BD!$A$3:$A$5001,"&lt;="&amp;$B194,BD!$Q$3:$Q$5001,"&lt;&gt;")=0,"",SUMIFS(BD!$Q$3:$Q$5001,BD!$B$3:$B$5001,G$163,BD!$A$3:$A$5001,_xlfn.MAXIFS(BD!$A$3:$A$5001,BD!$B$3:$B$5001,G$163,BD!$A$3:$A$5001,"&gt;="&amp;$C$7,BD!$A$3:$A$5001,"&lt;="&amp;$B194,BD!$Q$3:$Q$5001,"&lt;&gt;"))))</f>
        <v/>
      </c>
      <c r="H194" s="54" t="str">
        <f>IF(OR($B194="",$A194&gt;$B$9,H$163=""),"",IF(COUNTIFS(BD!$B$3:$B$5001,H$163,BD!$A$3:$A$5001,"&gt;="&amp;$C$7,BD!$A$3:$A$5001,"&lt;="&amp;$B194,BD!$Q$3:$Q$5001,"&lt;&gt;")=0,"",SUMIFS(BD!$Q$3:$Q$5001,BD!$B$3:$B$5001,H$163,BD!$A$3:$A$5001,_xlfn.MAXIFS(BD!$A$3:$A$5001,BD!$B$3:$B$5001,H$163,BD!$A$3:$A$5001,"&gt;="&amp;$C$7,BD!$A$3:$A$5001,"&lt;="&amp;$B194,BD!$Q$3:$Q$5001,"&lt;&gt;"))))</f>
        <v/>
      </c>
      <c r="I194" s="54" t="str">
        <f>IF(OR($B194="",$A194&gt;$B$9,I$163=""),"",IF(COUNTIFS(BD!$B$3:$B$5001,I$163,BD!$A$3:$A$5001,"&gt;="&amp;$C$7,BD!$A$3:$A$5001,"&lt;="&amp;$B194,BD!$Q$3:$Q$5001,"&lt;&gt;")=0,"",SUMIFS(BD!$Q$3:$Q$5001,BD!$B$3:$B$5001,I$163,BD!$A$3:$A$5001,_xlfn.MAXIFS(BD!$A$3:$A$5001,BD!$B$3:$B$5001,I$163,BD!$A$3:$A$5001,"&gt;="&amp;$C$7,BD!$A$3:$A$5001,"&lt;="&amp;$B194,BD!$Q$3:$Q$5001,"&lt;&gt;"))))</f>
        <v/>
      </c>
      <c r="J194" s="54" t="str">
        <f>IF(OR($B194="",$A194&gt;$B$9,J$163=""),"",IF(COUNTIFS(BD!$B$3:$B$5001,J$163,BD!$A$3:$A$5001,"&gt;="&amp;$C$7,BD!$A$3:$A$5001,"&lt;="&amp;$B194,BD!$Q$3:$Q$5001,"&lt;&gt;")=0,"",SUMIFS(BD!$Q$3:$Q$5001,BD!$B$3:$B$5001,J$163,BD!$A$3:$A$5001,_xlfn.MAXIFS(BD!$A$3:$A$5001,BD!$B$3:$B$5001,J$163,BD!$A$3:$A$5001,"&gt;="&amp;$C$7,BD!$A$3:$A$5001,"&lt;="&amp;$B194,BD!$Q$3:$Q$5001,"&lt;&gt;"))))</f>
        <v/>
      </c>
      <c r="K194" s="54" t="str">
        <f>IF(OR($B194="",$A194&gt;$B$9,K$163=""),"",IF(COUNTIFS(BD!$B$3:$B$5001,K$163,BD!$A$3:$A$5001,"&gt;="&amp;$C$7,BD!$A$3:$A$5001,"&lt;="&amp;$B194,BD!$Q$3:$Q$5001,"&lt;&gt;")=0,"",SUMIFS(BD!$Q$3:$Q$5001,BD!$B$3:$B$5001,K$163,BD!$A$3:$A$5001,_xlfn.MAXIFS(BD!$A$3:$A$5001,BD!$B$3:$B$5001,K$163,BD!$A$3:$A$5001,"&gt;="&amp;$C$7,BD!$A$3:$A$5001,"&lt;="&amp;$B194,BD!$Q$3:$Q$5001,"&lt;&gt;"))))</f>
        <v/>
      </c>
      <c r="L194" s="54" t="str">
        <f>IF(OR($B194="",$A194&gt;$B$9,L$163=""),"",IF(COUNTIFS(BD!$B$3:$B$5001,L$163,BD!$A$3:$A$5001,"&gt;="&amp;$C$7,BD!$A$3:$A$5001,"&lt;="&amp;$B194,BD!$Q$3:$Q$5001,"&lt;&gt;")=0,"",SUMIFS(BD!$Q$3:$Q$5001,BD!$B$3:$B$5001,L$163,BD!$A$3:$A$5001,_xlfn.MAXIFS(BD!$A$3:$A$5001,BD!$B$3:$B$5001,L$163,BD!$A$3:$A$5001,"&gt;="&amp;$C$7,BD!$A$3:$A$5001,"&lt;="&amp;$B194,BD!$Q$3:$Q$5001,"&lt;&gt;"))))</f>
        <v/>
      </c>
      <c r="M194" s="54" t="str">
        <f>IF(OR($B194="",$A194&gt;$B$9,M$163=""),"",IF(COUNTIFS(BD!$B$3:$B$5001,M$163,BD!$A$3:$A$5001,"&gt;="&amp;$C$7,BD!$A$3:$A$5001,"&lt;="&amp;$B194,BD!$Q$3:$Q$5001,"&lt;&gt;")=0,"",SUMIFS(BD!$Q$3:$Q$5001,BD!$B$3:$B$5001,M$163,BD!$A$3:$A$5001,_xlfn.MAXIFS(BD!$A$3:$A$5001,BD!$B$3:$B$5001,M$163,BD!$A$3:$A$5001,"&gt;="&amp;$C$7,BD!$A$3:$A$5001,"&lt;="&amp;$B194,BD!$Q$3:$Q$5001,"&lt;&gt;"))))</f>
        <v/>
      </c>
      <c r="N194" s="54" t="str">
        <f>IF(OR($B194="",$A194&gt;$B$9,N$163=""),"",IF(COUNTIFS(BD!$B$3:$B$5001,N$163,BD!$A$3:$A$5001,"&gt;="&amp;$C$7,BD!$A$3:$A$5001,"&lt;="&amp;$B194,BD!$Q$3:$Q$5001,"&lt;&gt;")=0,"",SUMIFS(BD!$Q$3:$Q$5001,BD!$B$3:$B$5001,N$163,BD!$A$3:$A$5001,_xlfn.MAXIFS(BD!$A$3:$A$5001,BD!$B$3:$B$5001,N$163,BD!$A$3:$A$5001,"&gt;="&amp;$C$7,BD!$A$3:$A$5001,"&lt;="&amp;$B194,BD!$Q$3:$Q$5001,"&lt;&gt;"))))</f>
        <v/>
      </c>
      <c r="O194" s="54" t="str">
        <f>IF(OR($B194="",$A194&gt;$B$9,O$163=""),"",IF(COUNTIFS(BD!$B$3:$B$5001,O$163,BD!$A$3:$A$5001,"&gt;="&amp;$C$7,BD!$A$3:$A$5001,"&lt;="&amp;$B194,BD!$Q$3:$Q$5001,"&lt;&gt;")=0,"",SUMIFS(BD!$Q$3:$Q$5001,BD!$B$3:$B$5001,O$163,BD!$A$3:$A$5001,_xlfn.MAXIFS(BD!$A$3:$A$5001,BD!$B$3:$B$5001,O$163,BD!$A$3:$A$5001,"&gt;="&amp;$C$7,BD!$A$3:$A$5001,"&lt;="&amp;$B194,BD!$Q$3:$Q$5001,"&lt;&gt;"))))</f>
        <v/>
      </c>
      <c r="P194" s="54" t="str">
        <f>IF(OR($B194="",$A194&gt;$B$9,P$163=""),"",IF(COUNTIFS(BD!$B$3:$B$5001,P$163,BD!$A$3:$A$5001,"&gt;="&amp;$C$7,BD!$A$3:$A$5001,"&lt;="&amp;$B194,BD!$Q$3:$Q$5001,"&lt;&gt;")=0,"",SUMIFS(BD!$Q$3:$Q$5001,BD!$B$3:$B$5001,P$163,BD!$A$3:$A$5001,_xlfn.MAXIFS(BD!$A$3:$A$5001,BD!$B$3:$B$5001,P$163,BD!$A$3:$A$5001,"&gt;="&amp;$C$7,BD!$A$3:$A$5001,"&lt;="&amp;$B194,BD!$Q$3:$Q$5001,"&lt;&gt;"))))</f>
        <v/>
      </c>
      <c r="Q194" s="54" t="str">
        <f>IF(OR($B194="",$A194&gt;$B$9,Q$163=""),"",IF(COUNTIFS(BD!$B$3:$B$5001,Q$163,BD!$A$3:$A$5001,"&gt;="&amp;$C$7,BD!$A$3:$A$5001,"&lt;="&amp;$B194,BD!$Q$3:$Q$5001,"&lt;&gt;")=0,"",SUMIFS(BD!$Q$3:$Q$5001,BD!$B$3:$B$5001,Q$163,BD!$A$3:$A$5001,_xlfn.MAXIFS(BD!$A$3:$A$5001,BD!$B$3:$B$5001,Q$163,BD!$A$3:$A$5001,"&gt;="&amp;$C$7,BD!$A$3:$A$5001,"&lt;="&amp;$B194,BD!$Q$3:$Q$5001,"&lt;&gt;"))))</f>
        <v/>
      </c>
      <c r="R194" s="54" t="str">
        <f>IF(OR($B194="",$A194&gt;$B$9,R$163=""),"",IF(COUNTIFS(BD!$B$3:$B$5001,R$163,BD!$A$3:$A$5001,"&gt;="&amp;$C$7,BD!$A$3:$A$5001,"&lt;="&amp;$B194,BD!$Q$3:$Q$5001,"&lt;&gt;")=0,"",SUMIFS(BD!$Q$3:$Q$5001,BD!$B$3:$B$5001,R$163,BD!$A$3:$A$5001,_xlfn.MAXIFS(BD!$A$3:$A$5001,BD!$B$3:$B$5001,R$163,BD!$A$3:$A$5001,"&gt;="&amp;$C$7,BD!$A$3:$A$5001,"&lt;="&amp;$B194,BD!$Q$3:$Q$5001,"&lt;&gt;"))))</f>
        <v/>
      </c>
      <c r="S194" s="54" t="str">
        <f>IF(OR($B194="",$A194&gt;$B$9,S$163=""),"",IF(COUNTIFS(BD!$B$3:$B$5001,S$163,BD!$A$3:$A$5001,"&gt;="&amp;$C$7,BD!$A$3:$A$5001,"&lt;="&amp;$B194,BD!$Q$3:$Q$5001,"&lt;&gt;")=0,"",SUMIFS(BD!$Q$3:$Q$5001,BD!$B$3:$B$5001,S$163,BD!$A$3:$A$5001,_xlfn.MAXIFS(BD!$A$3:$A$5001,BD!$B$3:$B$5001,S$163,BD!$A$3:$A$5001,"&gt;="&amp;$C$7,BD!$A$3:$A$5001,"&lt;="&amp;$B194,BD!$Q$3:$Q$5001,"&lt;&gt;"))))</f>
        <v/>
      </c>
      <c r="T194" s="54" t="str">
        <f>IF(OR($B194="",$A194&gt;$B$9,T$163=""),"",IF(COUNTIFS(BD!$B$3:$B$5001,T$163,BD!$A$3:$A$5001,"&gt;="&amp;$C$7,BD!$A$3:$A$5001,"&lt;="&amp;$B194,BD!$Q$3:$Q$5001,"&lt;&gt;")=0,"",SUMIFS(BD!$Q$3:$Q$5001,BD!$B$3:$B$5001,T$163,BD!$A$3:$A$5001,_xlfn.MAXIFS(BD!$A$3:$A$5001,BD!$B$3:$B$5001,T$163,BD!$A$3:$A$5001,"&gt;="&amp;$C$7,BD!$A$3:$A$5001,"&lt;="&amp;$B194,BD!$Q$3:$Q$5001,"&lt;&gt;"))))</f>
        <v/>
      </c>
      <c r="U194" s="54" t="str">
        <f>IF(OR($B194="",$A194&gt;$B$9,U$163=""),"",IF(COUNTIFS(BD!$B$3:$B$5001,U$163,BD!$A$3:$A$5001,"&gt;="&amp;$C$7,BD!$A$3:$A$5001,"&lt;="&amp;$B194,BD!$Q$3:$Q$5001,"&lt;&gt;")=0,"",SUMIFS(BD!$Q$3:$Q$5001,BD!$B$3:$B$5001,U$163,BD!$A$3:$A$5001,_xlfn.MAXIFS(BD!$A$3:$A$5001,BD!$B$3:$B$5001,U$163,BD!$A$3:$A$5001,"&gt;="&amp;$C$7,BD!$A$3:$A$5001,"&lt;="&amp;$B194,BD!$Q$3:$Q$5001,"&lt;&gt;"))))</f>
        <v/>
      </c>
      <c r="V194" s="54" t="str">
        <f>IF(OR($B194="",$A194&gt;$B$9,V$163=""),"",IF(COUNTIFS(BD!$B$3:$B$5001,V$163,BD!$A$3:$A$5001,"&gt;="&amp;$C$7,BD!$A$3:$A$5001,"&lt;="&amp;$B194,BD!$Q$3:$Q$5001,"&lt;&gt;")=0,"",SUMIFS(BD!$Q$3:$Q$5001,BD!$B$3:$B$5001,V$163,BD!$A$3:$A$5001,_xlfn.MAXIFS(BD!$A$3:$A$5001,BD!$B$3:$B$5001,V$163,BD!$A$3:$A$5001,"&gt;="&amp;$C$7,BD!$A$3:$A$5001,"&lt;="&amp;$B194,BD!$Q$3:$Q$5001,"&lt;&gt;"))))</f>
        <v/>
      </c>
    </row>
    <row r="195">
      <c r="A195" s="55" t="inlineStr">
        <is>
          <t xml:space="preserve">Mês anterior (último)</t>
        </is>
      </c>
      <c r="C195" s="56" t="str">
        <f>IF(C$163="","",IF(COUNTIFS(BD!$B$3:$B$5001,C$163,BD!$A$3:$A$5001,"&gt;="&amp;$C$8,BD!$A$3:$A$5001,"&lt;="&amp;$D$8,BD!$Q$3:$Q$5001,"&lt;&gt;")=0,"",SUMIFS(BD!$Q$3:$Q$5001,BD!$B$3:$B$5001,C$163,BD!$A$3:$A$5001,_xlfn.MAXIFS(BD!$A$3:$A$5001,BD!$B$3:$B$5001,C$163,BD!$A$3:$A$5001,"&gt;="&amp;$C$8,BD!$A$3:$A$5001,"&lt;="&amp;$D$8,BD!$Q$3:$Q$5001,"&lt;&gt;"))))</f>
        <v/>
      </c>
      <c r="D195" s="56" t="str">
        <f>IF(D$163="","",IF(COUNTIFS(BD!$B$3:$B$5001,D$163,BD!$A$3:$A$5001,"&gt;="&amp;$C$8,BD!$A$3:$A$5001,"&lt;="&amp;$D$8,BD!$Q$3:$Q$5001,"&lt;&gt;")=0,"",SUMIFS(BD!$Q$3:$Q$5001,BD!$B$3:$B$5001,D$163,BD!$A$3:$A$5001,_xlfn.MAXIFS(BD!$A$3:$A$5001,BD!$B$3:$B$5001,D$163,BD!$A$3:$A$5001,"&gt;="&amp;$C$8,BD!$A$3:$A$5001,"&lt;="&amp;$D$8,BD!$Q$3:$Q$5001,"&lt;&gt;"))))</f>
        <v/>
      </c>
      <c r="E195" s="56" t="str">
        <f>IF(E$163="","",IF(COUNTIFS(BD!$B$3:$B$5001,E$163,BD!$A$3:$A$5001,"&gt;="&amp;$C$8,BD!$A$3:$A$5001,"&lt;="&amp;$D$8,BD!$Q$3:$Q$5001,"&lt;&gt;")=0,"",SUMIFS(BD!$Q$3:$Q$5001,BD!$B$3:$B$5001,E$163,BD!$A$3:$A$5001,_xlfn.MAXIFS(BD!$A$3:$A$5001,BD!$B$3:$B$5001,E$163,BD!$A$3:$A$5001,"&gt;="&amp;$C$8,BD!$A$3:$A$5001,"&lt;="&amp;$D$8,BD!$Q$3:$Q$5001,"&lt;&gt;"))))</f>
        <v/>
      </c>
      <c r="F195" s="56" t="str">
        <f>IF(F$163="","",IF(COUNTIFS(BD!$B$3:$B$5001,F$163,BD!$A$3:$A$5001,"&gt;="&amp;$C$8,BD!$A$3:$A$5001,"&lt;="&amp;$D$8,BD!$Q$3:$Q$5001,"&lt;&gt;")=0,"",SUMIFS(BD!$Q$3:$Q$5001,BD!$B$3:$B$5001,F$163,BD!$A$3:$A$5001,_xlfn.MAXIFS(BD!$A$3:$A$5001,BD!$B$3:$B$5001,F$163,BD!$A$3:$A$5001,"&gt;="&amp;$C$8,BD!$A$3:$A$5001,"&lt;="&amp;$D$8,BD!$Q$3:$Q$5001,"&lt;&gt;"))))</f>
        <v/>
      </c>
      <c r="G195" s="56" t="str">
        <f>IF(G$163="","",IF(COUNTIFS(BD!$B$3:$B$5001,G$163,BD!$A$3:$A$5001,"&gt;="&amp;$C$8,BD!$A$3:$A$5001,"&lt;="&amp;$D$8,BD!$Q$3:$Q$5001,"&lt;&gt;")=0,"",SUMIFS(BD!$Q$3:$Q$5001,BD!$B$3:$B$5001,G$163,BD!$A$3:$A$5001,_xlfn.MAXIFS(BD!$A$3:$A$5001,BD!$B$3:$B$5001,G$163,BD!$A$3:$A$5001,"&gt;="&amp;$C$8,BD!$A$3:$A$5001,"&lt;="&amp;$D$8,BD!$Q$3:$Q$5001,"&lt;&gt;"))))</f>
        <v/>
      </c>
      <c r="H195" s="56" t="str">
        <f>IF(H$163="","",IF(COUNTIFS(BD!$B$3:$B$5001,H$163,BD!$A$3:$A$5001,"&gt;="&amp;$C$8,BD!$A$3:$A$5001,"&lt;="&amp;$D$8,BD!$Q$3:$Q$5001,"&lt;&gt;")=0,"",SUMIFS(BD!$Q$3:$Q$5001,BD!$B$3:$B$5001,H$163,BD!$A$3:$A$5001,_xlfn.MAXIFS(BD!$A$3:$A$5001,BD!$B$3:$B$5001,H$163,BD!$A$3:$A$5001,"&gt;="&amp;$C$8,BD!$A$3:$A$5001,"&lt;="&amp;$D$8,BD!$Q$3:$Q$5001,"&lt;&gt;"))))</f>
        <v/>
      </c>
      <c r="I195" s="56" t="str">
        <f>IF(I$163="","",IF(COUNTIFS(BD!$B$3:$B$5001,I$163,BD!$A$3:$A$5001,"&gt;="&amp;$C$8,BD!$A$3:$A$5001,"&lt;="&amp;$D$8,BD!$Q$3:$Q$5001,"&lt;&gt;")=0,"",SUMIFS(BD!$Q$3:$Q$5001,BD!$B$3:$B$5001,I$163,BD!$A$3:$A$5001,_xlfn.MAXIFS(BD!$A$3:$A$5001,BD!$B$3:$B$5001,I$163,BD!$A$3:$A$5001,"&gt;="&amp;$C$8,BD!$A$3:$A$5001,"&lt;="&amp;$D$8,BD!$Q$3:$Q$5001,"&lt;&gt;"))))</f>
        <v/>
      </c>
      <c r="J195" s="56" t="str">
        <f>IF(J$163="","",IF(COUNTIFS(BD!$B$3:$B$5001,J$163,BD!$A$3:$A$5001,"&gt;="&amp;$C$8,BD!$A$3:$A$5001,"&lt;="&amp;$D$8,BD!$Q$3:$Q$5001,"&lt;&gt;")=0,"",SUMIFS(BD!$Q$3:$Q$5001,BD!$B$3:$B$5001,J$163,BD!$A$3:$A$5001,_xlfn.MAXIFS(BD!$A$3:$A$5001,BD!$B$3:$B$5001,J$163,BD!$A$3:$A$5001,"&gt;="&amp;$C$8,BD!$A$3:$A$5001,"&lt;="&amp;$D$8,BD!$Q$3:$Q$5001,"&lt;&gt;"))))</f>
        <v/>
      </c>
      <c r="K195" s="56" t="str">
        <f>IF(K$163="","",IF(COUNTIFS(BD!$B$3:$B$5001,K$163,BD!$A$3:$A$5001,"&gt;="&amp;$C$8,BD!$A$3:$A$5001,"&lt;="&amp;$D$8,BD!$Q$3:$Q$5001,"&lt;&gt;")=0,"",SUMIFS(BD!$Q$3:$Q$5001,BD!$B$3:$B$5001,K$163,BD!$A$3:$A$5001,_xlfn.MAXIFS(BD!$A$3:$A$5001,BD!$B$3:$B$5001,K$163,BD!$A$3:$A$5001,"&gt;="&amp;$C$8,BD!$A$3:$A$5001,"&lt;="&amp;$D$8,BD!$Q$3:$Q$5001,"&lt;&gt;"))))</f>
        <v/>
      </c>
      <c r="L195" s="56" t="str">
        <f>IF(L$163="","",IF(COUNTIFS(BD!$B$3:$B$5001,L$163,BD!$A$3:$A$5001,"&gt;="&amp;$C$8,BD!$A$3:$A$5001,"&lt;="&amp;$D$8,BD!$Q$3:$Q$5001,"&lt;&gt;")=0,"",SUMIFS(BD!$Q$3:$Q$5001,BD!$B$3:$B$5001,L$163,BD!$A$3:$A$5001,_xlfn.MAXIFS(BD!$A$3:$A$5001,BD!$B$3:$B$5001,L$163,BD!$A$3:$A$5001,"&gt;="&amp;$C$8,BD!$A$3:$A$5001,"&lt;="&amp;$D$8,BD!$Q$3:$Q$5001,"&lt;&gt;"))))</f>
        <v/>
      </c>
      <c r="M195" s="56" t="str">
        <f>IF(M$163="","",IF(COUNTIFS(BD!$B$3:$B$5001,M$163,BD!$A$3:$A$5001,"&gt;="&amp;$C$8,BD!$A$3:$A$5001,"&lt;="&amp;$D$8,BD!$Q$3:$Q$5001,"&lt;&gt;")=0,"",SUMIFS(BD!$Q$3:$Q$5001,BD!$B$3:$B$5001,M$163,BD!$A$3:$A$5001,_xlfn.MAXIFS(BD!$A$3:$A$5001,BD!$B$3:$B$5001,M$163,BD!$A$3:$A$5001,"&gt;="&amp;$C$8,BD!$A$3:$A$5001,"&lt;="&amp;$D$8,BD!$Q$3:$Q$5001,"&lt;&gt;"))))</f>
        <v/>
      </c>
      <c r="N195" s="56" t="str">
        <f>IF(N$163="","",IF(COUNTIFS(BD!$B$3:$B$5001,N$163,BD!$A$3:$A$5001,"&gt;="&amp;$C$8,BD!$A$3:$A$5001,"&lt;="&amp;$D$8,BD!$Q$3:$Q$5001,"&lt;&gt;")=0,"",SUMIFS(BD!$Q$3:$Q$5001,BD!$B$3:$B$5001,N$163,BD!$A$3:$A$5001,_xlfn.MAXIFS(BD!$A$3:$A$5001,BD!$B$3:$B$5001,N$163,BD!$A$3:$A$5001,"&gt;="&amp;$C$8,BD!$A$3:$A$5001,"&lt;="&amp;$D$8,BD!$Q$3:$Q$5001,"&lt;&gt;"))))</f>
        <v/>
      </c>
      <c r="O195" s="56" t="str">
        <f>IF(O$163="","",IF(COUNTIFS(BD!$B$3:$B$5001,O$163,BD!$A$3:$A$5001,"&gt;="&amp;$C$8,BD!$A$3:$A$5001,"&lt;="&amp;$D$8,BD!$Q$3:$Q$5001,"&lt;&gt;")=0,"",SUMIFS(BD!$Q$3:$Q$5001,BD!$B$3:$B$5001,O$163,BD!$A$3:$A$5001,_xlfn.MAXIFS(BD!$A$3:$A$5001,BD!$B$3:$B$5001,O$163,BD!$A$3:$A$5001,"&gt;="&amp;$C$8,BD!$A$3:$A$5001,"&lt;="&amp;$D$8,BD!$Q$3:$Q$5001,"&lt;&gt;"))))</f>
        <v/>
      </c>
      <c r="P195" s="56" t="str">
        <f>IF(P$163="","",IF(COUNTIFS(BD!$B$3:$B$5001,P$163,BD!$A$3:$A$5001,"&gt;="&amp;$C$8,BD!$A$3:$A$5001,"&lt;="&amp;$D$8,BD!$Q$3:$Q$5001,"&lt;&gt;")=0,"",SUMIFS(BD!$Q$3:$Q$5001,BD!$B$3:$B$5001,P$163,BD!$A$3:$A$5001,_xlfn.MAXIFS(BD!$A$3:$A$5001,BD!$B$3:$B$5001,P$163,BD!$A$3:$A$5001,"&gt;="&amp;$C$8,BD!$A$3:$A$5001,"&lt;="&amp;$D$8,BD!$Q$3:$Q$5001,"&lt;&gt;"))))</f>
        <v/>
      </c>
      <c r="Q195" s="56" t="str">
        <f>IF(Q$163="","",IF(COUNTIFS(BD!$B$3:$B$5001,Q$163,BD!$A$3:$A$5001,"&gt;="&amp;$C$8,BD!$A$3:$A$5001,"&lt;="&amp;$D$8,BD!$Q$3:$Q$5001,"&lt;&gt;")=0,"",SUMIFS(BD!$Q$3:$Q$5001,BD!$B$3:$B$5001,Q$163,BD!$A$3:$A$5001,_xlfn.MAXIFS(BD!$A$3:$A$5001,BD!$B$3:$B$5001,Q$163,BD!$A$3:$A$5001,"&gt;="&amp;$C$8,BD!$A$3:$A$5001,"&lt;="&amp;$D$8,BD!$Q$3:$Q$5001,"&lt;&gt;"))))</f>
        <v/>
      </c>
      <c r="R195" s="56" t="str">
        <f>IF(R$163="","",IF(COUNTIFS(BD!$B$3:$B$5001,R$163,BD!$A$3:$A$5001,"&gt;="&amp;$C$8,BD!$A$3:$A$5001,"&lt;="&amp;$D$8,BD!$Q$3:$Q$5001,"&lt;&gt;")=0,"",SUMIFS(BD!$Q$3:$Q$5001,BD!$B$3:$B$5001,R$163,BD!$A$3:$A$5001,_xlfn.MAXIFS(BD!$A$3:$A$5001,BD!$B$3:$B$5001,R$163,BD!$A$3:$A$5001,"&gt;="&amp;$C$8,BD!$A$3:$A$5001,"&lt;="&amp;$D$8,BD!$Q$3:$Q$5001,"&lt;&gt;"))))</f>
        <v/>
      </c>
      <c r="S195" s="56" t="str">
        <f>IF(S$163="","",IF(COUNTIFS(BD!$B$3:$B$5001,S$163,BD!$A$3:$A$5001,"&gt;="&amp;$C$8,BD!$A$3:$A$5001,"&lt;="&amp;$D$8,BD!$Q$3:$Q$5001,"&lt;&gt;")=0,"",SUMIFS(BD!$Q$3:$Q$5001,BD!$B$3:$B$5001,S$163,BD!$A$3:$A$5001,_xlfn.MAXIFS(BD!$A$3:$A$5001,BD!$B$3:$B$5001,S$163,BD!$A$3:$A$5001,"&gt;="&amp;$C$8,BD!$A$3:$A$5001,"&lt;="&amp;$D$8,BD!$Q$3:$Q$5001,"&lt;&gt;"))))</f>
        <v/>
      </c>
      <c r="T195" s="56" t="str">
        <f>IF(T$163="","",IF(COUNTIFS(BD!$B$3:$B$5001,T$163,BD!$A$3:$A$5001,"&gt;="&amp;$C$8,BD!$A$3:$A$5001,"&lt;="&amp;$D$8,BD!$Q$3:$Q$5001,"&lt;&gt;")=0,"",SUMIFS(BD!$Q$3:$Q$5001,BD!$B$3:$B$5001,T$163,BD!$A$3:$A$5001,_xlfn.MAXIFS(BD!$A$3:$A$5001,BD!$B$3:$B$5001,T$163,BD!$A$3:$A$5001,"&gt;="&amp;$C$8,BD!$A$3:$A$5001,"&lt;="&amp;$D$8,BD!$Q$3:$Q$5001,"&lt;&gt;"))))</f>
        <v/>
      </c>
      <c r="U195" s="56" t="str">
        <f>IF(U$163="","",IF(COUNTIFS(BD!$B$3:$B$5001,U$163,BD!$A$3:$A$5001,"&gt;="&amp;$C$8,BD!$A$3:$A$5001,"&lt;="&amp;$D$8,BD!$Q$3:$Q$5001,"&lt;&gt;")=0,"",SUMIFS(BD!$Q$3:$Q$5001,BD!$B$3:$B$5001,U$163,BD!$A$3:$A$5001,_xlfn.MAXIFS(BD!$A$3:$A$5001,BD!$B$3:$B$5001,U$163,BD!$A$3:$A$5001,"&gt;="&amp;$C$8,BD!$A$3:$A$5001,"&lt;="&amp;$D$8,BD!$Q$3:$Q$5001,"&lt;&gt;"))))</f>
        <v/>
      </c>
      <c r="V195" s="56" t="str">
        <f>IF(V$163="","",IF(COUNTIFS(BD!$B$3:$B$5001,V$163,BD!$A$3:$A$5001,"&gt;="&amp;$C$8,BD!$A$3:$A$5001,"&lt;="&amp;$D$8,BD!$Q$3:$Q$5001,"&lt;&gt;")=0,"",SUMIFS(BD!$Q$3:$Q$5001,BD!$B$3:$B$5001,V$163,BD!$A$3:$A$5001,_xlfn.MAXIFS(BD!$A$3:$A$5001,BD!$B$3:$B$5001,V$163,BD!$A$3:$A$5001,"&gt;="&amp;$C$8,BD!$A$3:$A$5001,"&lt;="&amp;$D$8,BD!$Q$3:$Q$5001,"&lt;&gt;"))))</f>
        <v/>
      </c>
    </row>
    <row r="196">
      <c r="A196" s="55" t="inlineStr">
        <is>
          <t xml:space="preserve">Depósito</t>
        </is>
      </c>
      <c r="C196" s="48" t="str">
        <f>IF(Config!$C$10="","JSL",Config!$C$10)</f>
        <v>JSL</v>
      </c>
      <c r="D196" s="48" t="str">
        <f>IF(Config!$C$11="","JSL",Config!$C$11)</f>
        <v>JSL</v>
      </c>
      <c r="E196" s="48" t="str">
        <f>IF(Config!$C$12="","JSL",Config!$C$12)</f>
        <v>JSL</v>
      </c>
      <c r="F196" s="48" t="str">
        <f>IF(Config!$C$13="","JSL",Config!$C$13)</f>
        <v>JSL</v>
      </c>
      <c r="G196" s="48" t="str">
        <f>IF(Config!$C$14="","JSL",Config!$C$14)</f>
        <v>JSL</v>
      </c>
      <c r="H196" s="48" t="str">
        <f>IF(Config!$C$15="","JSL",Config!$C$15)</f>
        <v>JSL</v>
      </c>
      <c r="I196" s="48" t="str">
        <f>IF(Config!$C$16="","JSL",Config!$C$16)</f>
        <v>JSL</v>
      </c>
      <c r="J196" s="48" t="str">
        <f>IF(Config!$C$17="","JSL",Config!$C$17)</f>
        <v>JSL</v>
      </c>
      <c r="K196" s="48" t="str">
        <f>IF(Config!$C$18="","JSL",Config!$C$18)</f>
        <v>JSL</v>
      </c>
      <c r="L196" s="48" t="str">
        <f>IF(Config!$C$19="","JSL",Config!$C$19)</f>
        <v>JSL</v>
      </c>
      <c r="M196" s="48" t="str">
        <f>IF(Config!$C$20="","JSL",Config!$C$20)</f>
        <v>JSL</v>
      </c>
      <c r="N196" s="48" t="str">
        <f>IF(Config!$C$21="","JSL",Config!$C$21)</f>
        <v>JSL</v>
      </c>
      <c r="O196" s="48" t="str">
        <f>IF(Config!$C$22="","JSL",Config!$C$22)</f>
        <v>JSL</v>
      </c>
      <c r="P196" s="48" t="str">
        <f>IF(Config!$C$23="","JSL",Config!$C$23)</f>
        <v>JSL</v>
      </c>
      <c r="Q196" s="48" t="str">
        <f>IF(Config!$C$24="","JSL",Config!$C$24)</f>
        <v>JSL</v>
      </c>
      <c r="R196" s="48" t="str">
        <f>IF(Config!$C$25="","JSL",Config!$C$25)</f>
        <v>JSL</v>
      </c>
      <c r="S196" s="48" t="str">
        <f>IF(Config!$C$26="","JSL",Config!$C$26)</f>
        <v>JSL</v>
      </c>
      <c r="T196" s="48" t="str">
        <f>IF(Config!$C$27="","JSL",Config!$C$27)</f>
        <v>JSL</v>
      </c>
      <c r="U196" s="48" t="str">
        <f>IF(Config!$C$28="","JSL",Config!$C$28)</f>
        <v>JSL</v>
      </c>
      <c r="V196" s="48" t="str">
        <f>IF(Config!$C$29="","JSL",Config!$C$29)</f>
        <v>JSL</v>
      </c>
    </row>
    <row r="198">
      <c r="A198" s="47" t="inlineStr">
        <is>
          <t xml:space="preserve">Posições Ocupadas</t>
        </is>
      </c>
      <c r="B198" s="47" t="inlineStr">
        <is>
          <t xml:space="preserve">Data</t>
        </is>
      </c>
      <c r="C198" s="47" t="str">
        <f>Config!$B$10&amp;""</f>
        <v>Barry Callebaut</v>
      </c>
      <c r="D198" s="47" t="str">
        <f>Config!$B$11&amp;""</f>
        <v>GM</v>
      </c>
      <c r="E198" s="47" t="str">
        <f>Config!$B$12&amp;""</f>
        <v>Mondelez</v>
      </c>
      <c r="F198" s="47" t="str">
        <f>Config!$B$13&amp;""</f>
        <v>Nestlé</v>
      </c>
      <c r="G198" s="47" t="str">
        <f>Config!$B$14&amp;""</f>
        <v>PMB</v>
      </c>
      <c r="H198" s="47" t="str">
        <f>Config!$B$15&amp;""</f>
        <v/>
      </c>
      <c r="I198" s="47" t="str">
        <f>Config!$B$16&amp;""</f>
        <v/>
      </c>
      <c r="J198" s="47" t="str">
        <f>Config!$B$17&amp;""</f>
        <v/>
      </c>
      <c r="K198" s="47" t="str">
        <f>Config!$B$18&amp;""</f>
        <v/>
      </c>
      <c r="L198" s="47" t="str">
        <f>Config!$B$19&amp;""</f>
        <v/>
      </c>
      <c r="M198" s="47" t="str">
        <f>Config!$B$20&amp;""</f>
        <v/>
      </c>
      <c r="N198" s="47" t="str">
        <f>Config!$B$21&amp;""</f>
        <v/>
      </c>
      <c r="O198" s="47" t="str">
        <f>Config!$B$22&amp;""</f>
        <v/>
      </c>
      <c r="P198" s="47" t="str">
        <f>Config!$B$23&amp;""</f>
        <v/>
      </c>
      <c r="Q198" s="47" t="str">
        <f>Config!$B$24&amp;""</f>
        <v/>
      </c>
      <c r="R198" s="47" t="str">
        <f>Config!$B$25&amp;""</f>
        <v/>
      </c>
      <c r="S198" s="47" t="str">
        <f>Config!$B$26&amp;""</f>
        <v/>
      </c>
      <c r="T198" s="47" t="str">
        <f>Config!$B$27&amp;""</f>
        <v/>
      </c>
      <c r="U198" s="47" t="str">
        <f>Config!$B$28&amp;""</f>
        <v/>
      </c>
      <c r="V198" s="47" t="str">
        <f>Config!$B$29&amp;""</f>
        <v/>
      </c>
    </row>
    <row r="199">
      <c r="A199" s="48">
        <v>1</v>
      </c>
      <c r="B199" s="53">
        <f>$B$12</f>
        <v>46296</v>
      </c>
      <c r="C199" s="54" t="str">
        <f>IF(OR($B199="",$A199&gt;$B$9,C$198=""),"",IF(COUNTIFS(BD!$B$3:$B$5001,C$198,BD!$A$3:$A$5001,"&gt;="&amp;$C$7,BD!$A$3:$A$5001,"&lt;="&amp;$B199,BD!$S$3:$S$5001,"&lt;&gt;")=0,"",SUMIFS(BD!$S$3:$S$5001,BD!$B$3:$B$5001,C$198,BD!$A$3:$A$5001,_xlfn.MAXIFS(BD!$A$3:$A$5001,BD!$B$3:$B$5001,C$198,BD!$A$3:$A$5001,"&gt;="&amp;$C$7,BD!$A$3:$A$5001,"&lt;="&amp;$B199,BD!$S$3:$S$5001,"&lt;&gt;"))))</f>
        <v/>
      </c>
      <c r="D199" s="54" t="str">
        <f>IF(OR($B199="",$A199&gt;$B$9,D$198=""),"",IF(COUNTIFS(BD!$B$3:$B$5001,D$198,BD!$A$3:$A$5001,"&gt;="&amp;$C$7,BD!$A$3:$A$5001,"&lt;="&amp;$B199,BD!$S$3:$S$5001,"&lt;&gt;")=0,"",SUMIFS(BD!$S$3:$S$5001,BD!$B$3:$B$5001,D$198,BD!$A$3:$A$5001,_xlfn.MAXIFS(BD!$A$3:$A$5001,BD!$B$3:$B$5001,D$198,BD!$A$3:$A$5001,"&gt;="&amp;$C$7,BD!$A$3:$A$5001,"&lt;="&amp;$B199,BD!$S$3:$S$5001,"&lt;&gt;"))))</f>
        <v/>
      </c>
      <c r="E199" s="54" t="str">
        <f>IF(OR($B199="",$A199&gt;$B$9,E$198=""),"",IF(COUNTIFS(BD!$B$3:$B$5001,E$198,BD!$A$3:$A$5001,"&gt;="&amp;$C$7,BD!$A$3:$A$5001,"&lt;="&amp;$B199,BD!$S$3:$S$5001,"&lt;&gt;")=0,"",SUMIFS(BD!$S$3:$S$5001,BD!$B$3:$B$5001,E$198,BD!$A$3:$A$5001,_xlfn.MAXIFS(BD!$A$3:$A$5001,BD!$B$3:$B$5001,E$198,BD!$A$3:$A$5001,"&gt;="&amp;$C$7,BD!$A$3:$A$5001,"&lt;="&amp;$B199,BD!$S$3:$S$5001,"&lt;&gt;"))))</f>
        <v/>
      </c>
      <c r="F199" s="54" t="str">
        <f>IF(OR($B199="",$A199&gt;$B$9,F$198=""),"",IF(COUNTIFS(BD!$B$3:$B$5001,F$198,BD!$A$3:$A$5001,"&gt;="&amp;$C$7,BD!$A$3:$A$5001,"&lt;="&amp;$B199,BD!$S$3:$S$5001,"&lt;&gt;")=0,"",SUMIFS(BD!$S$3:$S$5001,BD!$B$3:$B$5001,F$198,BD!$A$3:$A$5001,_xlfn.MAXIFS(BD!$A$3:$A$5001,BD!$B$3:$B$5001,F$198,BD!$A$3:$A$5001,"&gt;="&amp;$C$7,BD!$A$3:$A$5001,"&lt;="&amp;$B199,BD!$S$3:$S$5001,"&lt;&gt;"))))</f>
        <v/>
      </c>
      <c r="G199" s="54" t="str">
        <f>IF(OR($B199="",$A199&gt;$B$9,G$198=""),"",IF(COUNTIFS(BD!$B$3:$B$5001,G$198,BD!$A$3:$A$5001,"&gt;="&amp;$C$7,BD!$A$3:$A$5001,"&lt;="&amp;$B199,BD!$S$3:$S$5001,"&lt;&gt;")=0,"",SUMIFS(BD!$S$3:$S$5001,BD!$B$3:$B$5001,G$198,BD!$A$3:$A$5001,_xlfn.MAXIFS(BD!$A$3:$A$5001,BD!$B$3:$B$5001,G$198,BD!$A$3:$A$5001,"&gt;="&amp;$C$7,BD!$A$3:$A$5001,"&lt;="&amp;$B199,BD!$S$3:$S$5001,"&lt;&gt;"))))</f>
        <v/>
      </c>
      <c r="H199" s="54" t="str">
        <f>IF(OR($B199="",$A199&gt;$B$9,H$198=""),"",IF(COUNTIFS(BD!$B$3:$B$5001,H$198,BD!$A$3:$A$5001,"&gt;="&amp;$C$7,BD!$A$3:$A$5001,"&lt;="&amp;$B199,BD!$S$3:$S$5001,"&lt;&gt;")=0,"",SUMIFS(BD!$S$3:$S$5001,BD!$B$3:$B$5001,H$198,BD!$A$3:$A$5001,_xlfn.MAXIFS(BD!$A$3:$A$5001,BD!$B$3:$B$5001,H$198,BD!$A$3:$A$5001,"&gt;="&amp;$C$7,BD!$A$3:$A$5001,"&lt;="&amp;$B199,BD!$S$3:$S$5001,"&lt;&gt;"))))</f>
        <v/>
      </c>
      <c r="I199" s="54" t="str">
        <f>IF(OR($B199="",$A199&gt;$B$9,I$198=""),"",IF(COUNTIFS(BD!$B$3:$B$5001,I$198,BD!$A$3:$A$5001,"&gt;="&amp;$C$7,BD!$A$3:$A$5001,"&lt;="&amp;$B199,BD!$S$3:$S$5001,"&lt;&gt;")=0,"",SUMIFS(BD!$S$3:$S$5001,BD!$B$3:$B$5001,I$198,BD!$A$3:$A$5001,_xlfn.MAXIFS(BD!$A$3:$A$5001,BD!$B$3:$B$5001,I$198,BD!$A$3:$A$5001,"&gt;="&amp;$C$7,BD!$A$3:$A$5001,"&lt;="&amp;$B199,BD!$S$3:$S$5001,"&lt;&gt;"))))</f>
        <v/>
      </c>
      <c r="J199" s="54" t="str">
        <f>IF(OR($B199="",$A199&gt;$B$9,J$198=""),"",IF(COUNTIFS(BD!$B$3:$B$5001,J$198,BD!$A$3:$A$5001,"&gt;="&amp;$C$7,BD!$A$3:$A$5001,"&lt;="&amp;$B199,BD!$S$3:$S$5001,"&lt;&gt;")=0,"",SUMIFS(BD!$S$3:$S$5001,BD!$B$3:$B$5001,J$198,BD!$A$3:$A$5001,_xlfn.MAXIFS(BD!$A$3:$A$5001,BD!$B$3:$B$5001,J$198,BD!$A$3:$A$5001,"&gt;="&amp;$C$7,BD!$A$3:$A$5001,"&lt;="&amp;$B199,BD!$S$3:$S$5001,"&lt;&gt;"))))</f>
        <v/>
      </c>
      <c r="K199" s="54" t="str">
        <f>IF(OR($B199="",$A199&gt;$B$9,K$198=""),"",IF(COUNTIFS(BD!$B$3:$B$5001,K$198,BD!$A$3:$A$5001,"&gt;="&amp;$C$7,BD!$A$3:$A$5001,"&lt;="&amp;$B199,BD!$S$3:$S$5001,"&lt;&gt;")=0,"",SUMIFS(BD!$S$3:$S$5001,BD!$B$3:$B$5001,K$198,BD!$A$3:$A$5001,_xlfn.MAXIFS(BD!$A$3:$A$5001,BD!$B$3:$B$5001,K$198,BD!$A$3:$A$5001,"&gt;="&amp;$C$7,BD!$A$3:$A$5001,"&lt;="&amp;$B199,BD!$S$3:$S$5001,"&lt;&gt;"))))</f>
        <v/>
      </c>
      <c r="L199" s="54" t="str">
        <f>IF(OR($B199="",$A199&gt;$B$9,L$198=""),"",IF(COUNTIFS(BD!$B$3:$B$5001,L$198,BD!$A$3:$A$5001,"&gt;="&amp;$C$7,BD!$A$3:$A$5001,"&lt;="&amp;$B199,BD!$S$3:$S$5001,"&lt;&gt;")=0,"",SUMIFS(BD!$S$3:$S$5001,BD!$B$3:$B$5001,L$198,BD!$A$3:$A$5001,_xlfn.MAXIFS(BD!$A$3:$A$5001,BD!$B$3:$B$5001,L$198,BD!$A$3:$A$5001,"&gt;="&amp;$C$7,BD!$A$3:$A$5001,"&lt;="&amp;$B199,BD!$S$3:$S$5001,"&lt;&gt;"))))</f>
        <v/>
      </c>
      <c r="M199" s="54" t="str">
        <f>IF(OR($B199="",$A199&gt;$B$9,M$198=""),"",IF(COUNTIFS(BD!$B$3:$B$5001,M$198,BD!$A$3:$A$5001,"&gt;="&amp;$C$7,BD!$A$3:$A$5001,"&lt;="&amp;$B199,BD!$S$3:$S$5001,"&lt;&gt;")=0,"",SUMIFS(BD!$S$3:$S$5001,BD!$B$3:$B$5001,M$198,BD!$A$3:$A$5001,_xlfn.MAXIFS(BD!$A$3:$A$5001,BD!$B$3:$B$5001,M$198,BD!$A$3:$A$5001,"&gt;="&amp;$C$7,BD!$A$3:$A$5001,"&lt;="&amp;$B199,BD!$S$3:$S$5001,"&lt;&gt;"))))</f>
        <v/>
      </c>
      <c r="N199" s="54" t="str">
        <f>IF(OR($B199="",$A199&gt;$B$9,N$198=""),"",IF(COUNTIFS(BD!$B$3:$B$5001,N$198,BD!$A$3:$A$5001,"&gt;="&amp;$C$7,BD!$A$3:$A$5001,"&lt;="&amp;$B199,BD!$S$3:$S$5001,"&lt;&gt;")=0,"",SUMIFS(BD!$S$3:$S$5001,BD!$B$3:$B$5001,N$198,BD!$A$3:$A$5001,_xlfn.MAXIFS(BD!$A$3:$A$5001,BD!$B$3:$B$5001,N$198,BD!$A$3:$A$5001,"&gt;="&amp;$C$7,BD!$A$3:$A$5001,"&lt;="&amp;$B199,BD!$S$3:$S$5001,"&lt;&gt;"))))</f>
        <v/>
      </c>
      <c r="O199" s="54" t="str">
        <f>IF(OR($B199="",$A199&gt;$B$9,O$198=""),"",IF(COUNTIFS(BD!$B$3:$B$5001,O$198,BD!$A$3:$A$5001,"&gt;="&amp;$C$7,BD!$A$3:$A$5001,"&lt;="&amp;$B199,BD!$S$3:$S$5001,"&lt;&gt;")=0,"",SUMIFS(BD!$S$3:$S$5001,BD!$B$3:$B$5001,O$198,BD!$A$3:$A$5001,_xlfn.MAXIFS(BD!$A$3:$A$5001,BD!$B$3:$B$5001,O$198,BD!$A$3:$A$5001,"&gt;="&amp;$C$7,BD!$A$3:$A$5001,"&lt;="&amp;$B199,BD!$S$3:$S$5001,"&lt;&gt;"))))</f>
        <v/>
      </c>
      <c r="P199" s="54" t="str">
        <f>IF(OR($B199="",$A199&gt;$B$9,P$198=""),"",IF(COUNTIFS(BD!$B$3:$B$5001,P$198,BD!$A$3:$A$5001,"&gt;="&amp;$C$7,BD!$A$3:$A$5001,"&lt;="&amp;$B199,BD!$S$3:$S$5001,"&lt;&gt;")=0,"",SUMIFS(BD!$S$3:$S$5001,BD!$B$3:$B$5001,P$198,BD!$A$3:$A$5001,_xlfn.MAXIFS(BD!$A$3:$A$5001,BD!$B$3:$B$5001,P$198,BD!$A$3:$A$5001,"&gt;="&amp;$C$7,BD!$A$3:$A$5001,"&lt;="&amp;$B199,BD!$S$3:$S$5001,"&lt;&gt;"))))</f>
        <v/>
      </c>
      <c r="Q199" s="54" t="str">
        <f>IF(OR($B199="",$A199&gt;$B$9,Q$198=""),"",IF(COUNTIFS(BD!$B$3:$B$5001,Q$198,BD!$A$3:$A$5001,"&gt;="&amp;$C$7,BD!$A$3:$A$5001,"&lt;="&amp;$B199,BD!$S$3:$S$5001,"&lt;&gt;")=0,"",SUMIFS(BD!$S$3:$S$5001,BD!$B$3:$B$5001,Q$198,BD!$A$3:$A$5001,_xlfn.MAXIFS(BD!$A$3:$A$5001,BD!$B$3:$B$5001,Q$198,BD!$A$3:$A$5001,"&gt;="&amp;$C$7,BD!$A$3:$A$5001,"&lt;="&amp;$B199,BD!$S$3:$S$5001,"&lt;&gt;"))))</f>
        <v/>
      </c>
      <c r="R199" s="54" t="str">
        <f>IF(OR($B199="",$A199&gt;$B$9,R$198=""),"",IF(COUNTIFS(BD!$B$3:$B$5001,R$198,BD!$A$3:$A$5001,"&gt;="&amp;$C$7,BD!$A$3:$A$5001,"&lt;="&amp;$B199,BD!$S$3:$S$5001,"&lt;&gt;")=0,"",SUMIFS(BD!$S$3:$S$5001,BD!$B$3:$B$5001,R$198,BD!$A$3:$A$5001,_xlfn.MAXIFS(BD!$A$3:$A$5001,BD!$B$3:$B$5001,R$198,BD!$A$3:$A$5001,"&gt;="&amp;$C$7,BD!$A$3:$A$5001,"&lt;="&amp;$B199,BD!$S$3:$S$5001,"&lt;&gt;"))))</f>
        <v/>
      </c>
      <c r="S199" s="54" t="str">
        <f>IF(OR($B199="",$A199&gt;$B$9,S$198=""),"",IF(COUNTIFS(BD!$B$3:$B$5001,S$198,BD!$A$3:$A$5001,"&gt;="&amp;$C$7,BD!$A$3:$A$5001,"&lt;="&amp;$B199,BD!$S$3:$S$5001,"&lt;&gt;")=0,"",SUMIFS(BD!$S$3:$S$5001,BD!$B$3:$B$5001,S$198,BD!$A$3:$A$5001,_xlfn.MAXIFS(BD!$A$3:$A$5001,BD!$B$3:$B$5001,S$198,BD!$A$3:$A$5001,"&gt;="&amp;$C$7,BD!$A$3:$A$5001,"&lt;="&amp;$B199,BD!$S$3:$S$5001,"&lt;&gt;"))))</f>
        <v/>
      </c>
      <c r="T199" s="54" t="str">
        <f>IF(OR($B199="",$A199&gt;$B$9,T$198=""),"",IF(COUNTIFS(BD!$B$3:$B$5001,T$198,BD!$A$3:$A$5001,"&gt;="&amp;$C$7,BD!$A$3:$A$5001,"&lt;="&amp;$B199,BD!$S$3:$S$5001,"&lt;&gt;")=0,"",SUMIFS(BD!$S$3:$S$5001,BD!$B$3:$B$5001,T$198,BD!$A$3:$A$5001,_xlfn.MAXIFS(BD!$A$3:$A$5001,BD!$B$3:$B$5001,T$198,BD!$A$3:$A$5001,"&gt;="&amp;$C$7,BD!$A$3:$A$5001,"&lt;="&amp;$B199,BD!$S$3:$S$5001,"&lt;&gt;"))))</f>
        <v/>
      </c>
      <c r="U199" s="54" t="str">
        <f>IF(OR($B199="",$A199&gt;$B$9,U$198=""),"",IF(COUNTIFS(BD!$B$3:$B$5001,U$198,BD!$A$3:$A$5001,"&gt;="&amp;$C$7,BD!$A$3:$A$5001,"&lt;="&amp;$B199,BD!$S$3:$S$5001,"&lt;&gt;")=0,"",SUMIFS(BD!$S$3:$S$5001,BD!$B$3:$B$5001,U$198,BD!$A$3:$A$5001,_xlfn.MAXIFS(BD!$A$3:$A$5001,BD!$B$3:$B$5001,U$198,BD!$A$3:$A$5001,"&gt;="&amp;$C$7,BD!$A$3:$A$5001,"&lt;="&amp;$B199,BD!$S$3:$S$5001,"&lt;&gt;"))))</f>
        <v/>
      </c>
      <c r="V199" s="54" t="str">
        <f>IF(OR($B199="",$A199&gt;$B$9,V$198=""),"",IF(COUNTIFS(BD!$B$3:$B$5001,V$198,BD!$A$3:$A$5001,"&gt;="&amp;$C$7,BD!$A$3:$A$5001,"&lt;="&amp;$B199,BD!$S$3:$S$5001,"&lt;&gt;")=0,"",SUMIFS(BD!$S$3:$S$5001,BD!$B$3:$B$5001,V$198,BD!$A$3:$A$5001,_xlfn.MAXIFS(BD!$A$3:$A$5001,BD!$B$3:$B$5001,V$198,BD!$A$3:$A$5001,"&gt;="&amp;$C$7,BD!$A$3:$A$5001,"&lt;="&amp;$B199,BD!$S$3:$S$5001,"&lt;&gt;"))))</f>
        <v/>
      </c>
    </row>
    <row r="200">
      <c r="A200" s="48">
        <v>2</v>
      </c>
      <c r="B200" s="53">
        <f>$B$13</f>
        <v>46297</v>
      </c>
      <c r="C200" s="54" t="str">
        <f>IF(OR($B200="",$A200&gt;$B$9,C$198=""),"",IF(COUNTIFS(BD!$B$3:$B$5001,C$198,BD!$A$3:$A$5001,"&gt;="&amp;$C$7,BD!$A$3:$A$5001,"&lt;="&amp;$B200,BD!$S$3:$S$5001,"&lt;&gt;")=0,"",SUMIFS(BD!$S$3:$S$5001,BD!$B$3:$B$5001,C$198,BD!$A$3:$A$5001,_xlfn.MAXIFS(BD!$A$3:$A$5001,BD!$B$3:$B$5001,C$198,BD!$A$3:$A$5001,"&gt;="&amp;$C$7,BD!$A$3:$A$5001,"&lt;="&amp;$B200,BD!$S$3:$S$5001,"&lt;&gt;"))))</f>
        <v/>
      </c>
      <c r="D200" s="54" t="str">
        <f>IF(OR($B200="",$A200&gt;$B$9,D$198=""),"",IF(COUNTIFS(BD!$B$3:$B$5001,D$198,BD!$A$3:$A$5001,"&gt;="&amp;$C$7,BD!$A$3:$A$5001,"&lt;="&amp;$B200,BD!$S$3:$S$5001,"&lt;&gt;")=0,"",SUMIFS(BD!$S$3:$S$5001,BD!$B$3:$B$5001,D$198,BD!$A$3:$A$5001,_xlfn.MAXIFS(BD!$A$3:$A$5001,BD!$B$3:$B$5001,D$198,BD!$A$3:$A$5001,"&gt;="&amp;$C$7,BD!$A$3:$A$5001,"&lt;="&amp;$B200,BD!$S$3:$S$5001,"&lt;&gt;"))))</f>
        <v/>
      </c>
      <c r="E200" s="54" t="str">
        <f>IF(OR($B200="",$A200&gt;$B$9,E$198=""),"",IF(COUNTIFS(BD!$B$3:$B$5001,E$198,BD!$A$3:$A$5001,"&gt;="&amp;$C$7,BD!$A$3:$A$5001,"&lt;="&amp;$B200,BD!$S$3:$S$5001,"&lt;&gt;")=0,"",SUMIFS(BD!$S$3:$S$5001,BD!$B$3:$B$5001,E$198,BD!$A$3:$A$5001,_xlfn.MAXIFS(BD!$A$3:$A$5001,BD!$B$3:$B$5001,E$198,BD!$A$3:$A$5001,"&gt;="&amp;$C$7,BD!$A$3:$A$5001,"&lt;="&amp;$B200,BD!$S$3:$S$5001,"&lt;&gt;"))))</f>
        <v/>
      </c>
      <c r="F200" s="54" t="str">
        <f>IF(OR($B200="",$A200&gt;$B$9,F$198=""),"",IF(COUNTIFS(BD!$B$3:$B$5001,F$198,BD!$A$3:$A$5001,"&gt;="&amp;$C$7,BD!$A$3:$A$5001,"&lt;="&amp;$B200,BD!$S$3:$S$5001,"&lt;&gt;")=0,"",SUMIFS(BD!$S$3:$S$5001,BD!$B$3:$B$5001,F$198,BD!$A$3:$A$5001,_xlfn.MAXIFS(BD!$A$3:$A$5001,BD!$B$3:$B$5001,F$198,BD!$A$3:$A$5001,"&gt;="&amp;$C$7,BD!$A$3:$A$5001,"&lt;="&amp;$B200,BD!$S$3:$S$5001,"&lt;&gt;"))))</f>
        <v/>
      </c>
      <c r="G200" s="54" t="str">
        <f>IF(OR($B200="",$A200&gt;$B$9,G$198=""),"",IF(COUNTIFS(BD!$B$3:$B$5001,G$198,BD!$A$3:$A$5001,"&gt;="&amp;$C$7,BD!$A$3:$A$5001,"&lt;="&amp;$B200,BD!$S$3:$S$5001,"&lt;&gt;")=0,"",SUMIFS(BD!$S$3:$S$5001,BD!$B$3:$B$5001,G$198,BD!$A$3:$A$5001,_xlfn.MAXIFS(BD!$A$3:$A$5001,BD!$B$3:$B$5001,G$198,BD!$A$3:$A$5001,"&gt;="&amp;$C$7,BD!$A$3:$A$5001,"&lt;="&amp;$B200,BD!$S$3:$S$5001,"&lt;&gt;"))))</f>
        <v/>
      </c>
      <c r="H200" s="54" t="str">
        <f>IF(OR($B200="",$A200&gt;$B$9,H$198=""),"",IF(COUNTIFS(BD!$B$3:$B$5001,H$198,BD!$A$3:$A$5001,"&gt;="&amp;$C$7,BD!$A$3:$A$5001,"&lt;="&amp;$B200,BD!$S$3:$S$5001,"&lt;&gt;")=0,"",SUMIFS(BD!$S$3:$S$5001,BD!$B$3:$B$5001,H$198,BD!$A$3:$A$5001,_xlfn.MAXIFS(BD!$A$3:$A$5001,BD!$B$3:$B$5001,H$198,BD!$A$3:$A$5001,"&gt;="&amp;$C$7,BD!$A$3:$A$5001,"&lt;="&amp;$B200,BD!$S$3:$S$5001,"&lt;&gt;"))))</f>
        <v/>
      </c>
      <c r="I200" s="54" t="str">
        <f>IF(OR($B200="",$A200&gt;$B$9,I$198=""),"",IF(COUNTIFS(BD!$B$3:$B$5001,I$198,BD!$A$3:$A$5001,"&gt;="&amp;$C$7,BD!$A$3:$A$5001,"&lt;="&amp;$B200,BD!$S$3:$S$5001,"&lt;&gt;")=0,"",SUMIFS(BD!$S$3:$S$5001,BD!$B$3:$B$5001,I$198,BD!$A$3:$A$5001,_xlfn.MAXIFS(BD!$A$3:$A$5001,BD!$B$3:$B$5001,I$198,BD!$A$3:$A$5001,"&gt;="&amp;$C$7,BD!$A$3:$A$5001,"&lt;="&amp;$B200,BD!$S$3:$S$5001,"&lt;&gt;"))))</f>
        <v/>
      </c>
      <c r="J200" s="54" t="str">
        <f>IF(OR($B200="",$A200&gt;$B$9,J$198=""),"",IF(COUNTIFS(BD!$B$3:$B$5001,J$198,BD!$A$3:$A$5001,"&gt;="&amp;$C$7,BD!$A$3:$A$5001,"&lt;="&amp;$B200,BD!$S$3:$S$5001,"&lt;&gt;")=0,"",SUMIFS(BD!$S$3:$S$5001,BD!$B$3:$B$5001,J$198,BD!$A$3:$A$5001,_xlfn.MAXIFS(BD!$A$3:$A$5001,BD!$B$3:$B$5001,J$198,BD!$A$3:$A$5001,"&gt;="&amp;$C$7,BD!$A$3:$A$5001,"&lt;="&amp;$B200,BD!$S$3:$S$5001,"&lt;&gt;"))))</f>
        <v/>
      </c>
      <c r="K200" s="54" t="str">
        <f>IF(OR($B200="",$A200&gt;$B$9,K$198=""),"",IF(COUNTIFS(BD!$B$3:$B$5001,K$198,BD!$A$3:$A$5001,"&gt;="&amp;$C$7,BD!$A$3:$A$5001,"&lt;="&amp;$B200,BD!$S$3:$S$5001,"&lt;&gt;")=0,"",SUMIFS(BD!$S$3:$S$5001,BD!$B$3:$B$5001,K$198,BD!$A$3:$A$5001,_xlfn.MAXIFS(BD!$A$3:$A$5001,BD!$B$3:$B$5001,K$198,BD!$A$3:$A$5001,"&gt;="&amp;$C$7,BD!$A$3:$A$5001,"&lt;="&amp;$B200,BD!$S$3:$S$5001,"&lt;&gt;"))))</f>
        <v/>
      </c>
      <c r="L200" s="54" t="str">
        <f>IF(OR($B200="",$A200&gt;$B$9,L$198=""),"",IF(COUNTIFS(BD!$B$3:$B$5001,L$198,BD!$A$3:$A$5001,"&gt;="&amp;$C$7,BD!$A$3:$A$5001,"&lt;="&amp;$B200,BD!$S$3:$S$5001,"&lt;&gt;")=0,"",SUMIFS(BD!$S$3:$S$5001,BD!$B$3:$B$5001,L$198,BD!$A$3:$A$5001,_xlfn.MAXIFS(BD!$A$3:$A$5001,BD!$B$3:$B$5001,L$198,BD!$A$3:$A$5001,"&gt;="&amp;$C$7,BD!$A$3:$A$5001,"&lt;="&amp;$B200,BD!$S$3:$S$5001,"&lt;&gt;"))))</f>
        <v/>
      </c>
      <c r="M200" s="54" t="str">
        <f>IF(OR($B200="",$A200&gt;$B$9,M$198=""),"",IF(COUNTIFS(BD!$B$3:$B$5001,M$198,BD!$A$3:$A$5001,"&gt;="&amp;$C$7,BD!$A$3:$A$5001,"&lt;="&amp;$B200,BD!$S$3:$S$5001,"&lt;&gt;")=0,"",SUMIFS(BD!$S$3:$S$5001,BD!$B$3:$B$5001,M$198,BD!$A$3:$A$5001,_xlfn.MAXIFS(BD!$A$3:$A$5001,BD!$B$3:$B$5001,M$198,BD!$A$3:$A$5001,"&gt;="&amp;$C$7,BD!$A$3:$A$5001,"&lt;="&amp;$B200,BD!$S$3:$S$5001,"&lt;&gt;"))))</f>
        <v/>
      </c>
      <c r="N200" s="54" t="str">
        <f>IF(OR($B200="",$A200&gt;$B$9,N$198=""),"",IF(COUNTIFS(BD!$B$3:$B$5001,N$198,BD!$A$3:$A$5001,"&gt;="&amp;$C$7,BD!$A$3:$A$5001,"&lt;="&amp;$B200,BD!$S$3:$S$5001,"&lt;&gt;")=0,"",SUMIFS(BD!$S$3:$S$5001,BD!$B$3:$B$5001,N$198,BD!$A$3:$A$5001,_xlfn.MAXIFS(BD!$A$3:$A$5001,BD!$B$3:$B$5001,N$198,BD!$A$3:$A$5001,"&gt;="&amp;$C$7,BD!$A$3:$A$5001,"&lt;="&amp;$B200,BD!$S$3:$S$5001,"&lt;&gt;"))))</f>
        <v/>
      </c>
      <c r="O200" s="54" t="str">
        <f>IF(OR($B200="",$A200&gt;$B$9,O$198=""),"",IF(COUNTIFS(BD!$B$3:$B$5001,O$198,BD!$A$3:$A$5001,"&gt;="&amp;$C$7,BD!$A$3:$A$5001,"&lt;="&amp;$B200,BD!$S$3:$S$5001,"&lt;&gt;")=0,"",SUMIFS(BD!$S$3:$S$5001,BD!$B$3:$B$5001,O$198,BD!$A$3:$A$5001,_xlfn.MAXIFS(BD!$A$3:$A$5001,BD!$B$3:$B$5001,O$198,BD!$A$3:$A$5001,"&gt;="&amp;$C$7,BD!$A$3:$A$5001,"&lt;="&amp;$B200,BD!$S$3:$S$5001,"&lt;&gt;"))))</f>
        <v/>
      </c>
      <c r="P200" s="54" t="str">
        <f>IF(OR($B200="",$A200&gt;$B$9,P$198=""),"",IF(COUNTIFS(BD!$B$3:$B$5001,P$198,BD!$A$3:$A$5001,"&gt;="&amp;$C$7,BD!$A$3:$A$5001,"&lt;="&amp;$B200,BD!$S$3:$S$5001,"&lt;&gt;")=0,"",SUMIFS(BD!$S$3:$S$5001,BD!$B$3:$B$5001,P$198,BD!$A$3:$A$5001,_xlfn.MAXIFS(BD!$A$3:$A$5001,BD!$B$3:$B$5001,P$198,BD!$A$3:$A$5001,"&gt;="&amp;$C$7,BD!$A$3:$A$5001,"&lt;="&amp;$B200,BD!$S$3:$S$5001,"&lt;&gt;"))))</f>
        <v/>
      </c>
      <c r="Q200" s="54" t="str">
        <f>IF(OR($B200="",$A200&gt;$B$9,Q$198=""),"",IF(COUNTIFS(BD!$B$3:$B$5001,Q$198,BD!$A$3:$A$5001,"&gt;="&amp;$C$7,BD!$A$3:$A$5001,"&lt;="&amp;$B200,BD!$S$3:$S$5001,"&lt;&gt;")=0,"",SUMIFS(BD!$S$3:$S$5001,BD!$B$3:$B$5001,Q$198,BD!$A$3:$A$5001,_xlfn.MAXIFS(BD!$A$3:$A$5001,BD!$B$3:$B$5001,Q$198,BD!$A$3:$A$5001,"&gt;="&amp;$C$7,BD!$A$3:$A$5001,"&lt;="&amp;$B200,BD!$S$3:$S$5001,"&lt;&gt;"))))</f>
        <v/>
      </c>
      <c r="R200" s="54" t="str">
        <f>IF(OR($B200="",$A200&gt;$B$9,R$198=""),"",IF(COUNTIFS(BD!$B$3:$B$5001,R$198,BD!$A$3:$A$5001,"&gt;="&amp;$C$7,BD!$A$3:$A$5001,"&lt;="&amp;$B200,BD!$S$3:$S$5001,"&lt;&gt;")=0,"",SUMIFS(BD!$S$3:$S$5001,BD!$B$3:$B$5001,R$198,BD!$A$3:$A$5001,_xlfn.MAXIFS(BD!$A$3:$A$5001,BD!$B$3:$B$5001,R$198,BD!$A$3:$A$5001,"&gt;="&amp;$C$7,BD!$A$3:$A$5001,"&lt;="&amp;$B200,BD!$S$3:$S$5001,"&lt;&gt;"))))</f>
        <v/>
      </c>
      <c r="S200" s="54" t="str">
        <f>IF(OR($B200="",$A200&gt;$B$9,S$198=""),"",IF(COUNTIFS(BD!$B$3:$B$5001,S$198,BD!$A$3:$A$5001,"&gt;="&amp;$C$7,BD!$A$3:$A$5001,"&lt;="&amp;$B200,BD!$S$3:$S$5001,"&lt;&gt;")=0,"",SUMIFS(BD!$S$3:$S$5001,BD!$B$3:$B$5001,S$198,BD!$A$3:$A$5001,_xlfn.MAXIFS(BD!$A$3:$A$5001,BD!$B$3:$B$5001,S$198,BD!$A$3:$A$5001,"&gt;="&amp;$C$7,BD!$A$3:$A$5001,"&lt;="&amp;$B200,BD!$S$3:$S$5001,"&lt;&gt;"))))</f>
        <v/>
      </c>
      <c r="T200" s="54" t="str">
        <f>IF(OR($B200="",$A200&gt;$B$9,T$198=""),"",IF(COUNTIFS(BD!$B$3:$B$5001,T$198,BD!$A$3:$A$5001,"&gt;="&amp;$C$7,BD!$A$3:$A$5001,"&lt;="&amp;$B200,BD!$S$3:$S$5001,"&lt;&gt;")=0,"",SUMIFS(BD!$S$3:$S$5001,BD!$B$3:$B$5001,T$198,BD!$A$3:$A$5001,_xlfn.MAXIFS(BD!$A$3:$A$5001,BD!$B$3:$B$5001,T$198,BD!$A$3:$A$5001,"&gt;="&amp;$C$7,BD!$A$3:$A$5001,"&lt;="&amp;$B200,BD!$S$3:$S$5001,"&lt;&gt;"))))</f>
        <v/>
      </c>
      <c r="U200" s="54" t="str">
        <f>IF(OR($B200="",$A200&gt;$B$9,U$198=""),"",IF(COUNTIFS(BD!$B$3:$B$5001,U$198,BD!$A$3:$A$5001,"&gt;="&amp;$C$7,BD!$A$3:$A$5001,"&lt;="&amp;$B200,BD!$S$3:$S$5001,"&lt;&gt;")=0,"",SUMIFS(BD!$S$3:$S$5001,BD!$B$3:$B$5001,U$198,BD!$A$3:$A$5001,_xlfn.MAXIFS(BD!$A$3:$A$5001,BD!$B$3:$B$5001,U$198,BD!$A$3:$A$5001,"&gt;="&amp;$C$7,BD!$A$3:$A$5001,"&lt;="&amp;$B200,BD!$S$3:$S$5001,"&lt;&gt;"))))</f>
        <v/>
      </c>
      <c r="V200" s="54" t="str">
        <f>IF(OR($B200="",$A200&gt;$B$9,V$198=""),"",IF(COUNTIFS(BD!$B$3:$B$5001,V$198,BD!$A$3:$A$5001,"&gt;="&amp;$C$7,BD!$A$3:$A$5001,"&lt;="&amp;$B200,BD!$S$3:$S$5001,"&lt;&gt;")=0,"",SUMIFS(BD!$S$3:$S$5001,BD!$B$3:$B$5001,V$198,BD!$A$3:$A$5001,_xlfn.MAXIFS(BD!$A$3:$A$5001,BD!$B$3:$B$5001,V$198,BD!$A$3:$A$5001,"&gt;="&amp;$C$7,BD!$A$3:$A$5001,"&lt;="&amp;$B200,BD!$S$3:$S$5001,"&lt;&gt;"))))</f>
        <v/>
      </c>
    </row>
    <row r="201">
      <c r="A201" s="48">
        <v>3</v>
      </c>
      <c r="B201" s="53">
        <f>$B$14</f>
        <v>46298</v>
      </c>
      <c r="C201" s="54" t="str">
        <f>IF(OR($B201="",$A201&gt;$B$9,C$198=""),"",IF(COUNTIFS(BD!$B$3:$B$5001,C$198,BD!$A$3:$A$5001,"&gt;="&amp;$C$7,BD!$A$3:$A$5001,"&lt;="&amp;$B201,BD!$S$3:$S$5001,"&lt;&gt;")=0,"",SUMIFS(BD!$S$3:$S$5001,BD!$B$3:$B$5001,C$198,BD!$A$3:$A$5001,_xlfn.MAXIFS(BD!$A$3:$A$5001,BD!$B$3:$B$5001,C$198,BD!$A$3:$A$5001,"&gt;="&amp;$C$7,BD!$A$3:$A$5001,"&lt;="&amp;$B201,BD!$S$3:$S$5001,"&lt;&gt;"))))</f>
        <v/>
      </c>
      <c r="D201" s="54" t="str">
        <f>IF(OR($B201="",$A201&gt;$B$9,D$198=""),"",IF(COUNTIFS(BD!$B$3:$B$5001,D$198,BD!$A$3:$A$5001,"&gt;="&amp;$C$7,BD!$A$3:$A$5001,"&lt;="&amp;$B201,BD!$S$3:$S$5001,"&lt;&gt;")=0,"",SUMIFS(BD!$S$3:$S$5001,BD!$B$3:$B$5001,D$198,BD!$A$3:$A$5001,_xlfn.MAXIFS(BD!$A$3:$A$5001,BD!$B$3:$B$5001,D$198,BD!$A$3:$A$5001,"&gt;="&amp;$C$7,BD!$A$3:$A$5001,"&lt;="&amp;$B201,BD!$S$3:$S$5001,"&lt;&gt;"))))</f>
        <v/>
      </c>
      <c r="E201" s="54" t="str">
        <f>IF(OR($B201="",$A201&gt;$B$9,E$198=""),"",IF(COUNTIFS(BD!$B$3:$B$5001,E$198,BD!$A$3:$A$5001,"&gt;="&amp;$C$7,BD!$A$3:$A$5001,"&lt;="&amp;$B201,BD!$S$3:$S$5001,"&lt;&gt;")=0,"",SUMIFS(BD!$S$3:$S$5001,BD!$B$3:$B$5001,E$198,BD!$A$3:$A$5001,_xlfn.MAXIFS(BD!$A$3:$A$5001,BD!$B$3:$B$5001,E$198,BD!$A$3:$A$5001,"&gt;="&amp;$C$7,BD!$A$3:$A$5001,"&lt;="&amp;$B201,BD!$S$3:$S$5001,"&lt;&gt;"))))</f>
        <v/>
      </c>
      <c r="F201" s="54" t="str">
        <f>IF(OR($B201="",$A201&gt;$B$9,F$198=""),"",IF(COUNTIFS(BD!$B$3:$B$5001,F$198,BD!$A$3:$A$5001,"&gt;="&amp;$C$7,BD!$A$3:$A$5001,"&lt;="&amp;$B201,BD!$S$3:$S$5001,"&lt;&gt;")=0,"",SUMIFS(BD!$S$3:$S$5001,BD!$B$3:$B$5001,F$198,BD!$A$3:$A$5001,_xlfn.MAXIFS(BD!$A$3:$A$5001,BD!$B$3:$B$5001,F$198,BD!$A$3:$A$5001,"&gt;="&amp;$C$7,BD!$A$3:$A$5001,"&lt;="&amp;$B201,BD!$S$3:$S$5001,"&lt;&gt;"))))</f>
        <v/>
      </c>
      <c r="G201" s="54" t="str">
        <f>IF(OR($B201="",$A201&gt;$B$9,G$198=""),"",IF(COUNTIFS(BD!$B$3:$B$5001,G$198,BD!$A$3:$A$5001,"&gt;="&amp;$C$7,BD!$A$3:$A$5001,"&lt;="&amp;$B201,BD!$S$3:$S$5001,"&lt;&gt;")=0,"",SUMIFS(BD!$S$3:$S$5001,BD!$B$3:$B$5001,G$198,BD!$A$3:$A$5001,_xlfn.MAXIFS(BD!$A$3:$A$5001,BD!$B$3:$B$5001,G$198,BD!$A$3:$A$5001,"&gt;="&amp;$C$7,BD!$A$3:$A$5001,"&lt;="&amp;$B201,BD!$S$3:$S$5001,"&lt;&gt;"))))</f>
        <v/>
      </c>
      <c r="H201" s="54" t="str">
        <f>IF(OR($B201="",$A201&gt;$B$9,H$198=""),"",IF(COUNTIFS(BD!$B$3:$B$5001,H$198,BD!$A$3:$A$5001,"&gt;="&amp;$C$7,BD!$A$3:$A$5001,"&lt;="&amp;$B201,BD!$S$3:$S$5001,"&lt;&gt;")=0,"",SUMIFS(BD!$S$3:$S$5001,BD!$B$3:$B$5001,H$198,BD!$A$3:$A$5001,_xlfn.MAXIFS(BD!$A$3:$A$5001,BD!$B$3:$B$5001,H$198,BD!$A$3:$A$5001,"&gt;="&amp;$C$7,BD!$A$3:$A$5001,"&lt;="&amp;$B201,BD!$S$3:$S$5001,"&lt;&gt;"))))</f>
        <v/>
      </c>
      <c r="I201" s="54" t="str">
        <f>IF(OR($B201="",$A201&gt;$B$9,I$198=""),"",IF(COUNTIFS(BD!$B$3:$B$5001,I$198,BD!$A$3:$A$5001,"&gt;="&amp;$C$7,BD!$A$3:$A$5001,"&lt;="&amp;$B201,BD!$S$3:$S$5001,"&lt;&gt;")=0,"",SUMIFS(BD!$S$3:$S$5001,BD!$B$3:$B$5001,I$198,BD!$A$3:$A$5001,_xlfn.MAXIFS(BD!$A$3:$A$5001,BD!$B$3:$B$5001,I$198,BD!$A$3:$A$5001,"&gt;="&amp;$C$7,BD!$A$3:$A$5001,"&lt;="&amp;$B201,BD!$S$3:$S$5001,"&lt;&gt;"))))</f>
        <v/>
      </c>
      <c r="J201" s="54" t="str">
        <f>IF(OR($B201="",$A201&gt;$B$9,J$198=""),"",IF(COUNTIFS(BD!$B$3:$B$5001,J$198,BD!$A$3:$A$5001,"&gt;="&amp;$C$7,BD!$A$3:$A$5001,"&lt;="&amp;$B201,BD!$S$3:$S$5001,"&lt;&gt;")=0,"",SUMIFS(BD!$S$3:$S$5001,BD!$B$3:$B$5001,J$198,BD!$A$3:$A$5001,_xlfn.MAXIFS(BD!$A$3:$A$5001,BD!$B$3:$B$5001,J$198,BD!$A$3:$A$5001,"&gt;="&amp;$C$7,BD!$A$3:$A$5001,"&lt;="&amp;$B201,BD!$S$3:$S$5001,"&lt;&gt;"))))</f>
        <v/>
      </c>
      <c r="K201" s="54" t="str">
        <f>IF(OR($B201="",$A201&gt;$B$9,K$198=""),"",IF(COUNTIFS(BD!$B$3:$B$5001,K$198,BD!$A$3:$A$5001,"&gt;="&amp;$C$7,BD!$A$3:$A$5001,"&lt;="&amp;$B201,BD!$S$3:$S$5001,"&lt;&gt;")=0,"",SUMIFS(BD!$S$3:$S$5001,BD!$B$3:$B$5001,K$198,BD!$A$3:$A$5001,_xlfn.MAXIFS(BD!$A$3:$A$5001,BD!$B$3:$B$5001,K$198,BD!$A$3:$A$5001,"&gt;="&amp;$C$7,BD!$A$3:$A$5001,"&lt;="&amp;$B201,BD!$S$3:$S$5001,"&lt;&gt;"))))</f>
        <v/>
      </c>
      <c r="L201" s="54" t="str">
        <f>IF(OR($B201="",$A201&gt;$B$9,L$198=""),"",IF(COUNTIFS(BD!$B$3:$B$5001,L$198,BD!$A$3:$A$5001,"&gt;="&amp;$C$7,BD!$A$3:$A$5001,"&lt;="&amp;$B201,BD!$S$3:$S$5001,"&lt;&gt;")=0,"",SUMIFS(BD!$S$3:$S$5001,BD!$B$3:$B$5001,L$198,BD!$A$3:$A$5001,_xlfn.MAXIFS(BD!$A$3:$A$5001,BD!$B$3:$B$5001,L$198,BD!$A$3:$A$5001,"&gt;="&amp;$C$7,BD!$A$3:$A$5001,"&lt;="&amp;$B201,BD!$S$3:$S$5001,"&lt;&gt;"))))</f>
        <v/>
      </c>
      <c r="M201" s="54" t="str">
        <f>IF(OR($B201="",$A201&gt;$B$9,M$198=""),"",IF(COUNTIFS(BD!$B$3:$B$5001,M$198,BD!$A$3:$A$5001,"&gt;="&amp;$C$7,BD!$A$3:$A$5001,"&lt;="&amp;$B201,BD!$S$3:$S$5001,"&lt;&gt;")=0,"",SUMIFS(BD!$S$3:$S$5001,BD!$B$3:$B$5001,M$198,BD!$A$3:$A$5001,_xlfn.MAXIFS(BD!$A$3:$A$5001,BD!$B$3:$B$5001,M$198,BD!$A$3:$A$5001,"&gt;="&amp;$C$7,BD!$A$3:$A$5001,"&lt;="&amp;$B201,BD!$S$3:$S$5001,"&lt;&gt;"))))</f>
        <v/>
      </c>
      <c r="N201" s="54" t="str">
        <f>IF(OR($B201="",$A201&gt;$B$9,N$198=""),"",IF(COUNTIFS(BD!$B$3:$B$5001,N$198,BD!$A$3:$A$5001,"&gt;="&amp;$C$7,BD!$A$3:$A$5001,"&lt;="&amp;$B201,BD!$S$3:$S$5001,"&lt;&gt;")=0,"",SUMIFS(BD!$S$3:$S$5001,BD!$B$3:$B$5001,N$198,BD!$A$3:$A$5001,_xlfn.MAXIFS(BD!$A$3:$A$5001,BD!$B$3:$B$5001,N$198,BD!$A$3:$A$5001,"&gt;="&amp;$C$7,BD!$A$3:$A$5001,"&lt;="&amp;$B201,BD!$S$3:$S$5001,"&lt;&gt;"))))</f>
        <v/>
      </c>
      <c r="O201" s="54" t="str">
        <f>IF(OR($B201="",$A201&gt;$B$9,O$198=""),"",IF(COUNTIFS(BD!$B$3:$B$5001,O$198,BD!$A$3:$A$5001,"&gt;="&amp;$C$7,BD!$A$3:$A$5001,"&lt;="&amp;$B201,BD!$S$3:$S$5001,"&lt;&gt;")=0,"",SUMIFS(BD!$S$3:$S$5001,BD!$B$3:$B$5001,O$198,BD!$A$3:$A$5001,_xlfn.MAXIFS(BD!$A$3:$A$5001,BD!$B$3:$B$5001,O$198,BD!$A$3:$A$5001,"&gt;="&amp;$C$7,BD!$A$3:$A$5001,"&lt;="&amp;$B201,BD!$S$3:$S$5001,"&lt;&gt;"))))</f>
        <v/>
      </c>
      <c r="P201" s="54" t="str">
        <f>IF(OR($B201="",$A201&gt;$B$9,P$198=""),"",IF(COUNTIFS(BD!$B$3:$B$5001,P$198,BD!$A$3:$A$5001,"&gt;="&amp;$C$7,BD!$A$3:$A$5001,"&lt;="&amp;$B201,BD!$S$3:$S$5001,"&lt;&gt;")=0,"",SUMIFS(BD!$S$3:$S$5001,BD!$B$3:$B$5001,P$198,BD!$A$3:$A$5001,_xlfn.MAXIFS(BD!$A$3:$A$5001,BD!$B$3:$B$5001,P$198,BD!$A$3:$A$5001,"&gt;="&amp;$C$7,BD!$A$3:$A$5001,"&lt;="&amp;$B201,BD!$S$3:$S$5001,"&lt;&gt;"))))</f>
        <v/>
      </c>
      <c r="Q201" s="54" t="str">
        <f>IF(OR($B201="",$A201&gt;$B$9,Q$198=""),"",IF(COUNTIFS(BD!$B$3:$B$5001,Q$198,BD!$A$3:$A$5001,"&gt;="&amp;$C$7,BD!$A$3:$A$5001,"&lt;="&amp;$B201,BD!$S$3:$S$5001,"&lt;&gt;")=0,"",SUMIFS(BD!$S$3:$S$5001,BD!$B$3:$B$5001,Q$198,BD!$A$3:$A$5001,_xlfn.MAXIFS(BD!$A$3:$A$5001,BD!$B$3:$B$5001,Q$198,BD!$A$3:$A$5001,"&gt;="&amp;$C$7,BD!$A$3:$A$5001,"&lt;="&amp;$B201,BD!$S$3:$S$5001,"&lt;&gt;"))))</f>
        <v/>
      </c>
      <c r="R201" s="54" t="str">
        <f>IF(OR($B201="",$A201&gt;$B$9,R$198=""),"",IF(COUNTIFS(BD!$B$3:$B$5001,R$198,BD!$A$3:$A$5001,"&gt;="&amp;$C$7,BD!$A$3:$A$5001,"&lt;="&amp;$B201,BD!$S$3:$S$5001,"&lt;&gt;")=0,"",SUMIFS(BD!$S$3:$S$5001,BD!$B$3:$B$5001,R$198,BD!$A$3:$A$5001,_xlfn.MAXIFS(BD!$A$3:$A$5001,BD!$B$3:$B$5001,R$198,BD!$A$3:$A$5001,"&gt;="&amp;$C$7,BD!$A$3:$A$5001,"&lt;="&amp;$B201,BD!$S$3:$S$5001,"&lt;&gt;"))))</f>
        <v/>
      </c>
      <c r="S201" s="54" t="str">
        <f>IF(OR($B201="",$A201&gt;$B$9,S$198=""),"",IF(COUNTIFS(BD!$B$3:$B$5001,S$198,BD!$A$3:$A$5001,"&gt;="&amp;$C$7,BD!$A$3:$A$5001,"&lt;="&amp;$B201,BD!$S$3:$S$5001,"&lt;&gt;")=0,"",SUMIFS(BD!$S$3:$S$5001,BD!$B$3:$B$5001,S$198,BD!$A$3:$A$5001,_xlfn.MAXIFS(BD!$A$3:$A$5001,BD!$B$3:$B$5001,S$198,BD!$A$3:$A$5001,"&gt;="&amp;$C$7,BD!$A$3:$A$5001,"&lt;="&amp;$B201,BD!$S$3:$S$5001,"&lt;&gt;"))))</f>
        <v/>
      </c>
      <c r="T201" s="54" t="str">
        <f>IF(OR($B201="",$A201&gt;$B$9,T$198=""),"",IF(COUNTIFS(BD!$B$3:$B$5001,T$198,BD!$A$3:$A$5001,"&gt;="&amp;$C$7,BD!$A$3:$A$5001,"&lt;="&amp;$B201,BD!$S$3:$S$5001,"&lt;&gt;")=0,"",SUMIFS(BD!$S$3:$S$5001,BD!$B$3:$B$5001,T$198,BD!$A$3:$A$5001,_xlfn.MAXIFS(BD!$A$3:$A$5001,BD!$B$3:$B$5001,T$198,BD!$A$3:$A$5001,"&gt;="&amp;$C$7,BD!$A$3:$A$5001,"&lt;="&amp;$B201,BD!$S$3:$S$5001,"&lt;&gt;"))))</f>
        <v/>
      </c>
      <c r="U201" s="54" t="str">
        <f>IF(OR($B201="",$A201&gt;$B$9,U$198=""),"",IF(COUNTIFS(BD!$B$3:$B$5001,U$198,BD!$A$3:$A$5001,"&gt;="&amp;$C$7,BD!$A$3:$A$5001,"&lt;="&amp;$B201,BD!$S$3:$S$5001,"&lt;&gt;")=0,"",SUMIFS(BD!$S$3:$S$5001,BD!$B$3:$B$5001,U$198,BD!$A$3:$A$5001,_xlfn.MAXIFS(BD!$A$3:$A$5001,BD!$B$3:$B$5001,U$198,BD!$A$3:$A$5001,"&gt;="&amp;$C$7,BD!$A$3:$A$5001,"&lt;="&amp;$B201,BD!$S$3:$S$5001,"&lt;&gt;"))))</f>
        <v/>
      </c>
      <c r="V201" s="54" t="str">
        <f>IF(OR($B201="",$A201&gt;$B$9,V$198=""),"",IF(COUNTIFS(BD!$B$3:$B$5001,V$198,BD!$A$3:$A$5001,"&gt;="&amp;$C$7,BD!$A$3:$A$5001,"&lt;="&amp;$B201,BD!$S$3:$S$5001,"&lt;&gt;")=0,"",SUMIFS(BD!$S$3:$S$5001,BD!$B$3:$B$5001,V$198,BD!$A$3:$A$5001,_xlfn.MAXIFS(BD!$A$3:$A$5001,BD!$B$3:$B$5001,V$198,BD!$A$3:$A$5001,"&gt;="&amp;$C$7,BD!$A$3:$A$5001,"&lt;="&amp;$B201,BD!$S$3:$S$5001,"&lt;&gt;"))))</f>
        <v/>
      </c>
    </row>
    <row r="202">
      <c r="A202" s="48">
        <v>4</v>
      </c>
      <c r="B202" s="53">
        <f>$B$15</f>
        <v>46299</v>
      </c>
      <c r="C202" s="54" t="str">
        <f>IF(OR($B202="",$A202&gt;$B$9,C$198=""),"",IF(COUNTIFS(BD!$B$3:$B$5001,C$198,BD!$A$3:$A$5001,"&gt;="&amp;$C$7,BD!$A$3:$A$5001,"&lt;="&amp;$B202,BD!$S$3:$S$5001,"&lt;&gt;")=0,"",SUMIFS(BD!$S$3:$S$5001,BD!$B$3:$B$5001,C$198,BD!$A$3:$A$5001,_xlfn.MAXIFS(BD!$A$3:$A$5001,BD!$B$3:$B$5001,C$198,BD!$A$3:$A$5001,"&gt;="&amp;$C$7,BD!$A$3:$A$5001,"&lt;="&amp;$B202,BD!$S$3:$S$5001,"&lt;&gt;"))))</f>
        <v/>
      </c>
      <c r="D202" s="54" t="str">
        <f>IF(OR($B202="",$A202&gt;$B$9,D$198=""),"",IF(COUNTIFS(BD!$B$3:$B$5001,D$198,BD!$A$3:$A$5001,"&gt;="&amp;$C$7,BD!$A$3:$A$5001,"&lt;="&amp;$B202,BD!$S$3:$S$5001,"&lt;&gt;")=0,"",SUMIFS(BD!$S$3:$S$5001,BD!$B$3:$B$5001,D$198,BD!$A$3:$A$5001,_xlfn.MAXIFS(BD!$A$3:$A$5001,BD!$B$3:$B$5001,D$198,BD!$A$3:$A$5001,"&gt;="&amp;$C$7,BD!$A$3:$A$5001,"&lt;="&amp;$B202,BD!$S$3:$S$5001,"&lt;&gt;"))))</f>
        <v/>
      </c>
      <c r="E202" s="54" t="str">
        <f>IF(OR($B202="",$A202&gt;$B$9,E$198=""),"",IF(COUNTIFS(BD!$B$3:$B$5001,E$198,BD!$A$3:$A$5001,"&gt;="&amp;$C$7,BD!$A$3:$A$5001,"&lt;="&amp;$B202,BD!$S$3:$S$5001,"&lt;&gt;")=0,"",SUMIFS(BD!$S$3:$S$5001,BD!$B$3:$B$5001,E$198,BD!$A$3:$A$5001,_xlfn.MAXIFS(BD!$A$3:$A$5001,BD!$B$3:$B$5001,E$198,BD!$A$3:$A$5001,"&gt;="&amp;$C$7,BD!$A$3:$A$5001,"&lt;="&amp;$B202,BD!$S$3:$S$5001,"&lt;&gt;"))))</f>
        <v/>
      </c>
      <c r="F202" s="54" t="str">
        <f>IF(OR($B202="",$A202&gt;$B$9,F$198=""),"",IF(COUNTIFS(BD!$B$3:$B$5001,F$198,BD!$A$3:$A$5001,"&gt;="&amp;$C$7,BD!$A$3:$A$5001,"&lt;="&amp;$B202,BD!$S$3:$S$5001,"&lt;&gt;")=0,"",SUMIFS(BD!$S$3:$S$5001,BD!$B$3:$B$5001,F$198,BD!$A$3:$A$5001,_xlfn.MAXIFS(BD!$A$3:$A$5001,BD!$B$3:$B$5001,F$198,BD!$A$3:$A$5001,"&gt;="&amp;$C$7,BD!$A$3:$A$5001,"&lt;="&amp;$B202,BD!$S$3:$S$5001,"&lt;&gt;"))))</f>
        <v/>
      </c>
      <c r="G202" s="54" t="str">
        <f>IF(OR($B202="",$A202&gt;$B$9,G$198=""),"",IF(COUNTIFS(BD!$B$3:$B$5001,G$198,BD!$A$3:$A$5001,"&gt;="&amp;$C$7,BD!$A$3:$A$5001,"&lt;="&amp;$B202,BD!$S$3:$S$5001,"&lt;&gt;")=0,"",SUMIFS(BD!$S$3:$S$5001,BD!$B$3:$B$5001,G$198,BD!$A$3:$A$5001,_xlfn.MAXIFS(BD!$A$3:$A$5001,BD!$B$3:$B$5001,G$198,BD!$A$3:$A$5001,"&gt;="&amp;$C$7,BD!$A$3:$A$5001,"&lt;="&amp;$B202,BD!$S$3:$S$5001,"&lt;&gt;"))))</f>
        <v/>
      </c>
      <c r="H202" s="54" t="str">
        <f>IF(OR($B202="",$A202&gt;$B$9,H$198=""),"",IF(COUNTIFS(BD!$B$3:$B$5001,H$198,BD!$A$3:$A$5001,"&gt;="&amp;$C$7,BD!$A$3:$A$5001,"&lt;="&amp;$B202,BD!$S$3:$S$5001,"&lt;&gt;")=0,"",SUMIFS(BD!$S$3:$S$5001,BD!$B$3:$B$5001,H$198,BD!$A$3:$A$5001,_xlfn.MAXIFS(BD!$A$3:$A$5001,BD!$B$3:$B$5001,H$198,BD!$A$3:$A$5001,"&gt;="&amp;$C$7,BD!$A$3:$A$5001,"&lt;="&amp;$B202,BD!$S$3:$S$5001,"&lt;&gt;"))))</f>
        <v/>
      </c>
      <c r="I202" s="54" t="str">
        <f>IF(OR($B202="",$A202&gt;$B$9,I$198=""),"",IF(COUNTIFS(BD!$B$3:$B$5001,I$198,BD!$A$3:$A$5001,"&gt;="&amp;$C$7,BD!$A$3:$A$5001,"&lt;="&amp;$B202,BD!$S$3:$S$5001,"&lt;&gt;")=0,"",SUMIFS(BD!$S$3:$S$5001,BD!$B$3:$B$5001,I$198,BD!$A$3:$A$5001,_xlfn.MAXIFS(BD!$A$3:$A$5001,BD!$B$3:$B$5001,I$198,BD!$A$3:$A$5001,"&gt;="&amp;$C$7,BD!$A$3:$A$5001,"&lt;="&amp;$B202,BD!$S$3:$S$5001,"&lt;&gt;"))))</f>
        <v/>
      </c>
      <c r="J202" s="54" t="str">
        <f>IF(OR($B202="",$A202&gt;$B$9,J$198=""),"",IF(COUNTIFS(BD!$B$3:$B$5001,J$198,BD!$A$3:$A$5001,"&gt;="&amp;$C$7,BD!$A$3:$A$5001,"&lt;="&amp;$B202,BD!$S$3:$S$5001,"&lt;&gt;")=0,"",SUMIFS(BD!$S$3:$S$5001,BD!$B$3:$B$5001,J$198,BD!$A$3:$A$5001,_xlfn.MAXIFS(BD!$A$3:$A$5001,BD!$B$3:$B$5001,J$198,BD!$A$3:$A$5001,"&gt;="&amp;$C$7,BD!$A$3:$A$5001,"&lt;="&amp;$B202,BD!$S$3:$S$5001,"&lt;&gt;"))))</f>
        <v/>
      </c>
      <c r="K202" s="54" t="str">
        <f>IF(OR($B202="",$A202&gt;$B$9,K$198=""),"",IF(COUNTIFS(BD!$B$3:$B$5001,K$198,BD!$A$3:$A$5001,"&gt;="&amp;$C$7,BD!$A$3:$A$5001,"&lt;="&amp;$B202,BD!$S$3:$S$5001,"&lt;&gt;")=0,"",SUMIFS(BD!$S$3:$S$5001,BD!$B$3:$B$5001,K$198,BD!$A$3:$A$5001,_xlfn.MAXIFS(BD!$A$3:$A$5001,BD!$B$3:$B$5001,K$198,BD!$A$3:$A$5001,"&gt;="&amp;$C$7,BD!$A$3:$A$5001,"&lt;="&amp;$B202,BD!$S$3:$S$5001,"&lt;&gt;"))))</f>
        <v/>
      </c>
      <c r="L202" s="54" t="str">
        <f>IF(OR($B202="",$A202&gt;$B$9,L$198=""),"",IF(COUNTIFS(BD!$B$3:$B$5001,L$198,BD!$A$3:$A$5001,"&gt;="&amp;$C$7,BD!$A$3:$A$5001,"&lt;="&amp;$B202,BD!$S$3:$S$5001,"&lt;&gt;")=0,"",SUMIFS(BD!$S$3:$S$5001,BD!$B$3:$B$5001,L$198,BD!$A$3:$A$5001,_xlfn.MAXIFS(BD!$A$3:$A$5001,BD!$B$3:$B$5001,L$198,BD!$A$3:$A$5001,"&gt;="&amp;$C$7,BD!$A$3:$A$5001,"&lt;="&amp;$B202,BD!$S$3:$S$5001,"&lt;&gt;"))))</f>
        <v/>
      </c>
      <c r="M202" s="54" t="str">
        <f>IF(OR($B202="",$A202&gt;$B$9,M$198=""),"",IF(COUNTIFS(BD!$B$3:$B$5001,M$198,BD!$A$3:$A$5001,"&gt;="&amp;$C$7,BD!$A$3:$A$5001,"&lt;="&amp;$B202,BD!$S$3:$S$5001,"&lt;&gt;")=0,"",SUMIFS(BD!$S$3:$S$5001,BD!$B$3:$B$5001,M$198,BD!$A$3:$A$5001,_xlfn.MAXIFS(BD!$A$3:$A$5001,BD!$B$3:$B$5001,M$198,BD!$A$3:$A$5001,"&gt;="&amp;$C$7,BD!$A$3:$A$5001,"&lt;="&amp;$B202,BD!$S$3:$S$5001,"&lt;&gt;"))))</f>
        <v/>
      </c>
      <c r="N202" s="54" t="str">
        <f>IF(OR($B202="",$A202&gt;$B$9,N$198=""),"",IF(COUNTIFS(BD!$B$3:$B$5001,N$198,BD!$A$3:$A$5001,"&gt;="&amp;$C$7,BD!$A$3:$A$5001,"&lt;="&amp;$B202,BD!$S$3:$S$5001,"&lt;&gt;")=0,"",SUMIFS(BD!$S$3:$S$5001,BD!$B$3:$B$5001,N$198,BD!$A$3:$A$5001,_xlfn.MAXIFS(BD!$A$3:$A$5001,BD!$B$3:$B$5001,N$198,BD!$A$3:$A$5001,"&gt;="&amp;$C$7,BD!$A$3:$A$5001,"&lt;="&amp;$B202,BD!$S$3:$S$5001,"&lt;&gt;"))))</f>
        <v/>
      </c>
      <c r="O202" s="54" t="str">
        <f>IF(OR($B202="",$A202&gt;$B$9,O$198=""),"",IF(COUNTIFS(BD!$B$3:$B$5001,O$198,BD!$A$3:$A$5001,"&gt;="&amp;$C$7,BD!$A$3:$A$5001,"&lt;="&amp;$B202,BD!$S$3:$S$5001,"&lt;&gt;")=0,"",SUMIFS(BD!$S$3:$S$5001,BD!$B$3:$B$5001,O$198,BD!$A$3:$A$5001,_xlfn.MAXIFS(BD!$A$3:$A$5001,BD!$B$3:$B$5001,O$198,BD!$A$3:$A$5001,"&gt;="&amp;$C$7,BD!$A$3:$A$5001,"&lt;="&amp;$B202,BD!$S$3:$S$5001,"&lt;&gt;"))))</f>
        <v/>
      </c>
      <c r="P202" s="54" t="str">
        <f>IF(OR($B202="",$A202&gt;$B$9,P$198=""),"",IF(COUNTIFS(BD!$B$3:$B$5001,P$198,BD!$A$3:$A$5001,"&gt;="&amp;$C$7,BD!$A$3:$A$5001,"&lt;="&amp;$B202,BD!$S$3:$S$5001,"&lt;&gt;")=0,"",SUMIFS(BD!$S$3:$S$5001,BD!$B$3:$B$5001,P$198,BD!$A$3:$A$5001,_xlfn.MAXIFS(BD!$A$3:$A$5001,BD!$B$3:$B$5001,P$198,BD!$A$3:$A$5001,"&gt;="&amp;$C$7,BD!$A$3:$A$5001,"&lt;="&amp;$B202,BD!$S$3:$S$5001,"&lt;&gt;"))))</f>
        <v/>
      </c>
      <c r="Q202" s="54" t="str">
        <f>IF(OR($B202="",$A202&gt;$B$9,Q$198=""),"",IF(COUNTIFS(BD!$B$3:$B$5001,Q$198,BD!$A$3:$A$5001,"&gt;="&amp;$C$7,BD!$A$3:$A$5001,"&lt;="&amp;$B202,BD!$S$3:$S$5001,"&lt;&gt;")=0,"",SUMIFS(BD!$S$3:$S$5001,BD!$B$3:$B$5001,Q$198,BD!$A$3:$A$5001,_xlfn.MAXIFS(BD!$A$3:$A$5001,BD!$B$3:$B$5001,Q$198,BD!$A$3:$A$5001,"&gt;="&amp;$C$7,BD!$A$3:$A$5001,"&lt;="&amp;$B202,BD!$S$3:$S$5001,"&lt;&gt;"))))</f>
        <v/>
      </c>
      <c r="R202" s="54" t="str">
        <f>IF(OR($B202="",$A202&gt;$B$9,R$198=""),"",IF(COUNTIFS(BD!$B$3:$B$5001,R$198,BD!$A$3:$A$5001,"&gt;="&amp;$C$7,BD!$A$3:$A$5001,"&lt;="&amp;$B202,BD!$S$3:$S$5001,"&lt;&gt;")=0,"",SUMIFS(BD!$S$3:$S$5001,BD!$B$3:$B$5001,R$198,BD!$A$3:$A$5001,_xlfn.MAXIFS(BD!$A$3:$A$5001,BD!$B$3:$B$5001,R$198,BD!$A$3:$A$5001,"&gt;="&amp;$C$7,BD!$A$3:$A$5001,"&lt;="&amp;$B202,BD!$S$3:$S$5001,"&lt;&gt;"))))</f>
        <v/>
      </c>
      <c r="S202" s="54" t="str">
        <f>IF(OR($B202="",$A202&gt;$B$9,S$198=""),"",IF(COUNTIFS(BD!$B$3:$B$5001,S$198,BD!$A$3:$A$5001,"&gt;="&amp;$C$7,BD!$A$3:$A$5001,"&lt;="&amp;$B202,BD!$S$3:$S$5001,"&lt;&gt;")=0,"",SUMIFS(BD!$S$3:$S$5001,BD!$B$3:$B$5001,S$198,BD!$A$3:$A$5001,_xlfn.MAXIFS(BD!$A$3:$A$5001,BD!$B$3:$B$5001,S$198,BD!$A$3:$A$5001,"&gt;="&amp;$C$7,BD!$A$3:$A$5001,"&lt;="&amp;$B202,BD!$S$3:$S$5001,"&lt;&gt;"))))</f>
        <v/>
      </c>
      <c r="T202" s="54" t="str">
        <f>IF(OR($B202="",$A202&gt;$B$9,T$198=""),"",IF(COUNTIFS(BD!$B$3:$B$5001,T$198,BD!$A$3:$A$5001,"&gt;="&amp;$C$7,BD!$A$3:$A$5001,"&lt;="&amp;$B202,BD!$S$3:$S$5001,"&lt;&gt;")=0,"",SUMIFS(BD!$S$3:$S$5001,BD!$B$3:$B$5001,T$198,BD!$A$3:$A$5001,_xlfn.MAXIFS(BD!$A$3:$A$5001,BD!$B$3:$B$5001,T$198,BD!$A$3:$A$5001,"&gt;="&amp;$C$7,BD!$A$3:$A$5001,"&lt;="&amp;$B202,BD!$S$3:$S$5001,"&lt;&gt;"))))</f>
        <v/>
      </c>
      <c r="U202" s="54" t="str">
        <f>IF(OR($B202="",$A202&gt;$B$9,U$198=""),"",IF(COUNTIFS(BD!$B$3:$B$5001,U$198,BD!$A$3:$A$5001,"&gt;="&amp;$C$7,BD!$A$3:$A$5001,"&lt;="&amp;$B202,BD!$S$3:$S$5001,"&lt;&gt;")=0,"",SUMIFS(BD!$S$3:$S$5001,BD!$B$3:$B$5001,U$198,BD!$A$3:$A$5001,_xlfn.MAXIFS(BD!$A$3:$A$5001,BD!$B$3:$B$5001,U$198,BD!$A$3:$A$5001,"&gt;="&amp;$C$7,BD!$A$3:$A$5001,"&lt;="&amp;$B202,BD!$S$3:$S$5001,"&lt;&gt;"))))</f>
        <v/>
      </c>
      <c r="V202" s="54" t="str">
        <f>IF(OR($B202="",$A202&gt;$B$9,V$198=""),"",IF(COUNTIFS(BD!$B$3:$B$5001,V$198,BD!$A$3:$A$5001,"&gt;="&amp;$C$7,BD!$A$3:$A$5001,"&lt;="&amp;$B202,BD!$S$3:$S$5001,"&lt;&gt;")=0,"",SUMIFS(BD!$S$3:$S$5001,BD!$B$3:$B$5001,V$198,BD!$A$3:$A$5001,_xlfn.MAXIFS(BD!$A$3:$A$5001,BD!$B$3:$B$5001,V$198,BD!$A$3:$A$5001,"&gt;="&amp;$C$7,BD!$A$3:$A$5001,"&lt;="&amp;$B202,BD!$S$3:$S$5001,"&lt;&gt;"))))</f>
        <v/>
      </c>
    </row>
    <row r="203">
      <c r="A203" s="48">
        <v>5</v>
      </c>
      <c r="B203" s="53">
        <f>$B$16</f>
        <v>46300</v>
      </c>
      <c r="C203" s="54" t="str">
        <f>IF(OR($B203="",$A203&gt;$B$9,C$198=""),"",IF(COUNTIFS(BD!$B$3:$B$5001,C$198,BD!$A$3:$A$5001,"&gt;="&amp;$C$7,BD!$A$3:$A$5001,"&lt;="&amp;$B203,BD!$S$3:$S$5001,"&lt;&gt;")=0,"",SUMIFS(BD!$S$3:$S$5001,BD!$B$3:$B$5001,C$198,BD!$A$3:$A$5001,_xlfn.MAXIFS(BD!$A$3:$A$5001,BD!$B$3:$B$5001,C$198,BD!$A$3:$A$5001,"&gt;="&amp;$C$7,BD!$A$3:$A$5001,"&lt;="&amp;$B203,BD!$S$3:$S$5001,"&lt;&gt;"))))</f>
        <v/>
      </c>
      <c r="D203" s="54" t="str">
        <f>IF(OR($B203="",$A203&gt;$B$9,D$198=""),"",IF(COUNTIFS(BD!$B$3:$B$5001,D$198,BD!$A$3:$A$5001,"&gt;="&amp;$C$7,BD!$A$3:$A$5001,"&lt;="&amp;$B203,BD!$S$3:$S$5001,"&lt;&gt;")=0,"",SUMIFS(BD!$S$3:$S$5001,BD!$B$3:$B$5001,D$198,BD!$A$3:$A$5001,_xlfn.MAXIFS(BD!$A$3:$A$5001,BD!$B$3:$B$5001,D$198,BD!$A$3:$A$5001,"&gt;="&amp;$C$7,BD!$A$3:$A$5001,"&lt;="&amp;$B203,BD!$S$3:$S$5001,"&lt;&gt;"))))</f>
        <v/>
      </c>
      <c r="E203" s="54" t="str">
        <f>IF(OR($B203="",$A203&gt;$B$9,E$198=""),"",IF(COUNTIFS(BD!$B$3:$B$5001,E$198,BD!$A$3:$A$5001,"&gt;="&amp;$C$7,BD!$A$3:$A$5001,"&lt;="&amp;$B203,BD!$S$3:$S$5001,"&lt;&gt;")=0,"",SUMIFS(BD!$S$3:$S$5001,BD!$B$3:$B$5001,E$198,BD!$A$3:$A$5001,_xlfn.MAXIFS(BD!$A$3:$A$5001,BD!$B$3:$B$5001,E$198,BD!$A$3:$A$5001,"&gt;="&amp;$C$7,BD!$A$3:$A$5001,"&lt;="&amp;$B203,BD!$S$3:$S$5001,"&lt;&gt;"))))</f>
        <v/>
      </c>
      <c r="F203" s="54" t="str">
        <f>IF(OR($B203="",$A203&gt;$B$9,F$198=""),"",IF(COUNTIFS(BD!$B$3:$B$5001,F$198,BD!$A$3:$A$5001,"&gt;="&amp;$C$7,BD!$A$3:$A$5001,"&lt;="&amp;$B203,BD!$S$3:$S$5001,"&lt;&gt;")=0,"",SUMIFS(BD!$S$3:$S$5001,BD!$B$3:$B$5001,F$198,BD!$A$3:$A$5001,_xlfn.MAXIFS(BD!$A$3:$A$5001,BD!$B$3:$B$5001,F$198,BD!$A$3:$A$5001,"&gt;="&amp;$C$7,BD!$A$3:$A$5001,"&lt;="&amp;$B203,BD!$S$3:$S$5001,"&lt;&gt;"))))</f>
        <v/>
      </c>
      <c r="G203" s="54" t="str">
        <f>IF(OR($B203="",$A203&gt;$B$9,G$198=""),"",IF(COUNTIFS(BD!$B$3:$B$5001,G$198,BD!$A$3:$A$5001,"&gt;="&amp;$C$7,BD!$A$3:$A$5001,"&lt;="&amp;$B203,BD!$S$3:$S$5001,"&lt;&gt;")=0,"",SUMIFS(BD!$S$3:$S$5001,BD!$B$3:$B$5001,G$198,BD!$A$3:$A$5001,_xlfn.MAXIFS(BD!$A$3:$A$5001,BD!$B$3:$B$5001,G$198,BD!$A$3:$A$5001,"&gt;="&amp;$C$7,BD!$A$3:$A$5001,"&lt;="&amp;$B203,BD!$S$3:$S$5001,"&lt;&gt;"))))</f>
        <v/>
      </c>
      <c r="H203" s="54" t="str">
        <f>IF(OR($B203="",$A203&gt;$B$9,H$198=""),"",IF(COUNTIFS(BD!$B$3:$B$5001,H$198,BD!$A$3:$A$5001,"&gt;="&amp;$C$7,BD!$A$3:$A$5001,"&lt;="&amp;$B203,BD!$S$3:$S$5001,"&lt;&gt;")=0,"",SUMIFS(BD!$S$3:$S$5001,BD!$B$3:$B$5001,H$198,BD!$A$3:$A$5001,_xlfn.MAXIFS(BD!$A$3:$A$5001,BD!$B$3:$B$5001,H$198,BD!$A$3:$A$5001,"&gt;="&amp;$C$7,BD!$A$3:$A$5001,"&lt;="&amp;$B203,BD!$S$3:$S$5001,"&lt;&gt;"))))</f>
        <v/>
      </c>
      <c r="I203" s="54" t="str">
        <f>IF(OR($B203="",$A203&gt;$B$9,I$198=""),"",IF(COUNTIFS(BD!$B$3:$B$5001,I$198,BD!$A$3:$A$5001,"&gt;="&amp;$C$7,BD!$A$3:$A$5001,"&lt;="&amp;$B203,BD!$S$3:$S$5001,"&lt;&gt;")=0,"",SUMIFS(BD!$S$3:$S$5001,BD!$B$3:$B$5001,I$198,BD!$A$3:$A$5001,_xlfn.MAXIFS(BD!$A$3:$A$5001,BD!$B$3:$B$5001,I$198,BD!$A$3:$A$5001,"&gt;="&amp;$C$7,BD!$A$3:$A$5001,"&lt;="&amp;$B203,BD!$S$3:$S$5001,"&lt;&gt;"))))</f>
        <v/>
      </c>
      <c r="J203" s="54" t="str">
        <f>IF(OR($B203="",$A203&gt;$B$9,J$198=""),"",IF(COUNTIFS(BD!$B$3:$B$5001,J$198,BD!$A$3:$A$5001,"&gt;="&amp;$C$7,BD!$A$3:$A$5001,"&lt;="&amp;$B203,BD!$S$3:$S$5001,"&lt;&gt;")=0,"",SUMIFS(BD!$S$3:$S$5001,BD!$B$3:$B$5001,J$198,BD!$A$3:$A$5001,_xlfn.MAXIFS(BD!$A$3:$A$5001,BD!$B$3:$B$5001,J$198,BD!$A$3:$A$5001,"&gt;="&amp;$C$7,BD!$A$3:$A$5001,"&lt;="&amp;$B203,BD!$S$3:$S$5001,"&lt;&gt;"))))</f>
        <v/>
      </c>
      <c r="K203" s="54" t="str">
        <f>IF(OR($B203="",$A203&gt;$B$9,K$198=""),"",IF(COUNTIFS(BD!$B$3:$B$5001,K$198,BD!$A$3:$A$5001,"&gt;="&amp;$C$7,BD!$A$3:$A$5001,"&lt;="&amp;$B203,BD!$S$3:$S$5001,"&lt;&gt;")=0,"",SUMIFS(BD!$S$3:$S$5001,BD!$B$3:$B$5001,K$198,BD!$A$3:$A$5001,_xlfn.MAXIFS(BD!$A$3:$A$5001,BD!$B$3:$B$5001,K$198,BD!$A$3:$A$5001,"&gt;="&amp;$C$7,BD!$A$3:$A$5001,"&lt;="&amp;$B203,BD!$S$3:$S$5001,"&lt;&gt;"))))</f>
        <v/>
      </c>
      <c r="L203" s="54" t="str">
        <f>IF(OR($B203="",$A203&gt;$B$9,L$198=""),"",IF(COUNTIFS(BD!$B$3:$B$5001,L$198,BD!$A$3:$A$5001,"&gt;="&amp;$C$7,BD!$A$3:$A$5001,"&lt;="&amp;$B203,BD!$S$3:$S$5001,"&lt;&gt;")=0,"",SUMIFS(BD!$S$3:$S$5001,BD!$B$3:$B$5001,L$198,BD!$A$3:$A$5001,_xlfn.MAXIFS(BD!$A$3:$A$5001,BD!$B$3:$B$5001,L$198,BD!$A$3:$A$5001,"&gt;="&amp;$C$7,BD!$A$3:$A$5001,"&lt;="&amp;$B203,BD!$S$3:$S$5001,"&lt;&gt;"))))</f>
        <v/>
      </c>
      <c r="M203" s="54" t="str">
        <f>IF(OR($B203="",$A203&gt;$B$9,M$198=""),"",IF(COUNTIFS(BD!$B$3:$B$5001,M$198,BD!$A$3:$A$5001,"&gt;="&amp;$C$7,BD!$A$3:$A$5001,"&lt;="&amp;$B203,BD!$S$3:$S$5001,"&lt;&gt;")=0,"",SUMIFS(BD!$S$3:$S$5001,BD!$B$3:$B$5001,M$198,BD!$A$3:$A$5001,_xlfn.MAXIFS(BD!$A$3:$A$5001,BD!$B$3:$B$5001,M$198,BD!$A$3:$A$5001,"&gt;="&amp;$C$7,BD!$A$3:$A$5001,"&lt;="&amp;$B203,BD!$S$3:$S$5001,"&lt;&gt;"))))</f>
        <v/>
      </c>
      <c r="N203" s="54" t="str">
        <f>IF(OR($B203="",$A203&gt;$B$9,N$198=""),"",IF(COUNTIFS(BD!$B$3:$B$5001,N$198,BD!$A$3:$A$5001,"&gt;="&amp;$C$7,BD!$A$3:$A$5001,"&lt;="&amp;$B203,BD!$S$3:$S$5001,"&lt;&gt;")=0,"",SUMIFS(BD!$S$3:$S$5001,BD!$B$3:$B$5001,N$198,BD!$A$3:$A$5001,_xlfn.MAXIFS(BD!$A$3:$A$5001,BD!$B$3:$B$5001,N$198,BD!$A$3:$A$5001,"&gt;="&amp;$C$7,BD!$A$3:$A$5001,"&lt;="&amp;$B203,BD!$S$3:$S$5001,"&lt;&gt;"))))</f>
        <v/>
      </c>
      <c r="O203" s="54" t="str">
        <f>IF(OR($B203="",$A203&gt;$B$9,O$198=""),"",IF(COUNTIFS(BD!$B$3:$B$5001,O$198,BD!$A$3:$A$5001,"&gt;="&amp;$C$7,BD!$A$3:$A$5001,"&lt;="&amp;$B203,BD!$S$3:$S$5001,"&lt;&gt;")=0,"",SUMIFS(BD!$S$3:$S$5001,BD!$B$3:$B$5001,O$198,BD!$A$3:$A$5001,_xlfn.MAXIFS(BD!$A$3:$A$5001,BD!$B$3:$B$5001,O$198,BD!$A$3:$A$5001,"&gt;="&amp;$C$7,BD!$A$3:$A$5001,"&lt;="&amp;$B203,BD!$S$3:$S$5001,"&lt;&gt;"))))</f>
        <v/>
      </c>
      <c r="P203" s="54" t="str">
        <f>IF(OR($B203="",$A203&gt;$B$9,P$198=""),"",IF(COUNTIFS(BD!$B$3:$B$5001,P$198,BD!$A$3:$A$5001,"&gt;="&amp;$C$7,BD!$A$3:$A$5001,"&lt;="&amp;$B203,BD!$S$3:$S$5001,"&lt;&gt;")=0,"",SUMIFS(BD!$S$3:$S$5001,BD!$B$3:$B$5001,P$198,BD!$A$3:$A$5001,_xlfn.MAXIFS(BD!$A$3:$A$5001,BD!$B$3:$B$5001,P$198,BD!$A$3:$A$5001,"&gt;="&amp;$C$7,BD!$A$3:$A$5001,"&lt;="&amp;$B203,BD!$S$3:$S$5001,"&lt;&gt;"))))</f>
        <v/>
      </c>
      <c r="Q203" s="54" t="str">
        <f>IF(OR($B203="",$A203&gt;$B$9,Q$198=""),"",IF(COUNTIFS(BD!$B$3:$B$5001,Q$198,BD!$A$3:$A$5001,"&gt;="&amp;$C$7,BD!$A$3:$A$5001,"&lt;="&amp;$B203,BD!$S$3:$S$5001,"&lt;&gt;")=0,"",SUMIFS(BD!$S$3:$S$5001,BD!$B$3:$B$5001,Q$198,BD!$A$3:$A$5001,_xlfn.MAXIFS(BD!$A$3:$A$5001,BD!$B$3:$B$5001,Q$198,BD!$A$3:$A$5001,"&gt;="&amp;$C$7,BD!$A$3:$A$5001,"&lt;="&amp;$B203,BD!$S$3:$S$5001,"&lt;&gt;"))))</f>
        <v/>
      </c>
      <c r="R203" s="54" t="str">
        <f>IF(OR($B203="",$A203&gt;$B$9,R$198=""),"",IF(COUNTIFS(BD!$B$3:$B$5001,R$198,BD!$A$3:$A$5001,"&gt;="&amp;$C$7,BD!$A$3:$A$5001,"&lt;="&amp;$B203,BD!$S$3:$S$5001,"&lt;&gt;")=0,"",SUMIFS(BD!$S$3:$S$5001,BD!$B$3:$B$5001,R$198,BD!$A$3:$A$5001,_xlfn.MAXIFS(BD!$A$3:$A$5001,BD!$B$3:$B$5001,R$198,BD!$A$3:$A$5001,"&gt;="&amp;$C$7,BD!$A$3:$A$5001,"&lt;="&amp;$B203,BD!$S$3:$S$5001,"&lt;&gt;"))))</f>
        <v/>
      </c>
      <c r="S203" s="54" t="str">
        <f>IF(OR($B203="",$A203&gt;$B$9,S$198=""),"",IF(COUNTIFS(BD!$B$3:$B$5001,S$198,BD!$A$3:$A$5001,"&gt;="&amp;$C$7,BD!$A$3:$A$5001,"&lt;="&amp;$B203,BD!$S$3:$S$5001,"&lt;&gt;")=0,"",SUMIFS(BD!$S$3:$S$5001,BD!$B$3:$B$5001,S$198,BD!$A$3:$A$5001,_xlfn.MAXIFS(BD!$A$3:$A$5001,BD!$B$3:$B$5001,S$198,BD!$A$3:$A$5001,"&gt;="&amp;$C$7,BD!$A$3:$A$5001,"&lt;="&amp;$B203,BD!$S$3:$S$5001,"&lt;&gt;"))))</f>
        <v/>
      </c>
      <c r="T203" s="54" t="str">
        <f>IF(OR($B203="",$A203&gt;$B$9,T$198=""),"",IF(COUNTIFS(BD!$B$3:$B$5001,T$198,BD!$A$3:$A$5001,"&gt;="&amp;$C$7,BD!$A$3:$A$5001,"&lt;="&amp;$B203,BD!$S$3:$S$5001,"&lt;&gt;")=0,"",SUMIFS(BD!$S$3:$S$5001,BD!$B$3:$B$5001,T$198,BD!$A$3:$A$5001,_xlfn.MAXIFS(BD!$A$3:$A$5001,BD!$B$3:$B$5001,T$198,BD!$A$3:$A$5001,"&gt;="&amp;$C$7,BD!$A$3:$A$5001,"&lt;="&amp;$B203,BD!$S$3:$S$5001,"&lt;&gt;"))))</f>
        <v/>
      </c>
      <c r="U203" s="54" t="str">
        <f>IF(OR($B203="",$A203&gt;$B$9,U$198=""),"",IF(COUNTIFS(BD!$B$3:$B$5001,U$198,BD!$A$3:$A$5001,"&gt;="&amp;$C$7,BD!$A$3:$A$5001,"&lt;="&amp;$B203,BD!$S$3:$S$5001,"&lt;&gt;")=0,"",SUMIFS(BD!$S$3:$S$5001,BD!$B$3:$B$5001,U$198,BD!$A$3:$A$5001,_xlfn.MAXIFS(BD!$A$3:$A$5001,BD!$B$3:$B$5001,U$198,BD!$A$3:$A$5001,"&gt;="&amp;$C$7,BD!$A$3:$A$5001,"&lt;="&amp;$B203,BD!$S$3:$S$5001,"&lt;&gt;"))))</f>
        <v/>
      </c>
      <c r="V203" s="54" t="str">
        <f>IF(OR($B203="",$A203&gt;$B$9,V$198=""),"",IF(COUNTIFS(BD!$B$3:$B$5001,V$198,BD!$A$3:$A$5001,"&gt;="&amp;$C$7,BD!$A$3:$A$5001,"&lt;="&amp;$B203,BD!$S$3:$S$5001,"&lt;&gt;")=0,"",SUMIFS(BD!$S$3:$S$5001,BD!$B$3:$B$5001,V$198,BD!$A$3:$A$5001,_xlfn.MAXIFS(BD!$A$3:$A$5001,BD!$B$3:$B$5001,V$198,BD!$A$3:$A$5001,"&gt;="&amp;$C$7,BD!$A$3:$A$5001,"&lt;="&amp;$B203,BD!$S$3:$S$5001,"&lt;&gt;"))))</f>
        <v/>
      </c>
    </row>
    <row r="204">
      <c r="A204" s="48">
        <v>6</v>
      </c>
      <c r="B204" s="53">
        <f>$B$17</f>
        <v>46301</v>
      </c>
      <c r="C204" s="54" t="str">
        <f>IF(OR($B204="",$A204&gt;$B$9,C$198=""),"",IF(COUNTIFS(BD!$B$3:$B$5001,C$198,BD!$A$3:$A$5001,"&gt;="&amp;$C$7,BD!$A$3:$A$5001,"&lt;="&amp;$B204,BD!$S$3:$S$5001,"&lt;&gt;")=0,"",SUMIFS(BD!$S$3:$S$5001,BD!$B$3:$B$5001,C$198,BD!$A$3:$A$5001,_xlfn.MAXIFS(BD!$A$3:$A$5001,BD!$B$3:$B$5001,C$198,BD!$A$3:$A$5001,"&gt;="&amp;$C$7,BD!$A$3:$A$5001,"&lt;="&amp;$B204,BD!$S$3:$S$5001,"&lt;&gt;"))))</f>
        <v/>
      </c>
      <c r="D204" s="54" t="str">
        <f>IF(OR($B204="",$A204&gt;$B$9,D$198=""),"",IF(COUNTIFS(BD!$B$3:$B$5001,D$198,BD!$A$3:$A$5001,"&gt;="&amp;$C$7,BD!$A$3:$A$5001,"&lt;="&amp;$B204,BD!$S$3:$S$5001,"&lt;&gt;")=0,"",SUMIFS(BD!$S$3:$S$5001,BD!$B$3:$B$5001,D$198,BD!$A$3:$A$5001,_xlfn.MAXIFS(BD!$A$3:$A$5001,BD!$B$3:$B$5001,D$198,BD!$A$3:$A$5001,"&gt;="&amp;$C$7,BD!$A$3:$A$5001,"&lt;="&amp;$B204,BD!$S$3:$S$5001,"&lt;&gt;"))))</f>
        <v/>
      </c>
      <c r="E204" s="54" t="str">
        <f>IF(OR($B204="",$A204&gt;$B$9,E$198=""),"",IF(COUNTIFS(BD!$B$3:$B$5001,E$198,BD!$A$3:$A$5001,"&gt;="&amp;$C$7,BD!$A$3:$A$5001,"&lt;="&amp;$B204,BD!$S$3:$S$5001,"&lt;&gt;")=0,"",SUMIFS(BD!$S$3:$S$5001,BD!$B$3:$B$5001,E$198,BD!$A$3:$A$5001,_xlfn.MAXIFS(BD!$A$3:$A$5001,BD!$B$3:$B$5001,E$198,BD!$A$3:$A$5001,"&gt;="&amp;$C$7,BD!$A$3:$A$5001,"&lt;="&amp;$B204,BD!$S$3:$S$5001,"&lt;&gt;"))))</f>
        <v/>
      </c>
      <c r="F204" s="54" t="str">
        <f>IF(OR($B204="",$A204&gt;$B$9,F$198=""),"",IF(COUNTIFS(BD!$B$3:$B$5001,F$198,BD!$A$3:$A$5001,"&gt;="&amp;$C$7,BD!$A$3:$A$5001,"&lt;="&amp;$B204,BD!$S$3:$S$5001,"&lt;&gt;")=0,"",SUMIFS(BD!$S$3:$S$5001,BD!$B$3:$B$5001,F$198,BD!$A$3:$A$5001,_xlfn.MAXIFS(BD!$A$3:$A$5001,BD!$B$3:$B$5001,F$198,BD!$A$3:$A$5001,"&gt;="&amp;$C$7,BD!$A$3:$A$5001,"&lt;="&amp;$B204,BD!$S$3:$S$5001,"&lt;&gt;"))))</f>
        <v/>
      </c>
      <c r="G204" s="54" t="str">
        <f>IF(OR($B204="",$A204&gt;$B$9,G$198=""),"",IF(COUNTIFS(BD!$B$3:$B$5001,G$198,BD!$A$3:$A$5001,"&gt;="&amp;$C$7,BD!$A$3:$A$5001,"&lt;="&amp;$B204,BD!$S$3:$S$5001,"&lt;&gt;")=0,"",SUMIFS(BD!$S$3:$S$5001,BD!$B$3:$B$5001,G$198,BD!$A$3:$A$5001,_xlfn.MAXIFS(BD!$A$3:$A$5001,BD!$B$3:$B$5001,G$198,BD!$A$3:$A$5001,"&gt;="&amp;$C$7,BD!$A$3:$A$5001,"&lt;="&amp;$B204,BD!$S$3:$S$5001,"&lt;&gt;"))))</f>
        <v/>
      </c>
      <c r="H204" s="54" t="str">
        <f>IF(OR($B204="",$A204&gt;$B$9,H$198=""),"",IF(COUNTIFS(BD!$B$3:$B$5001,H$198,BD!$A$3:$A$5001,"&gt;="&amp;$C$7,BD!$A$3:$A$5001,"&lt;="&amp;$B204,BD!$S$3:$S$5001,"&lt;&gt;")=0,"",SUMIFS(BD!$S$3:$S$5001,BD!$B$3:$B$5001,H$198,BD!$A$3:$A$5001,_xlfn.MAXIFS(BD!$A$3:$A$5001,BD!$B$3:$B$5001,H$198,BD!$A$3:$A$5001,"&gt;="&amp;$C$7,BD!$A$3:$A$5001,"&lt;="&amp;$B204,BD!$S$3:$S$5001,"&lt;&gt;"))))</f>
        <v/>
      </c>
      <c r="I204" s="54" t="str">
        <f>IF(OR($B204="",$A204&gt;$B$9,I$198=""),"",IF(COUNTIFS(BD!$B$3:$B$5001,I$198,BD!$A$3:$A$5001,"&gt;="&amp;$C$7,BD!$A$3:$A$5001,"&lt;="&amp;$B204,BD!$S$3:$S$5001,"&lt;&gt;")=0,"",SUMIFS(BD!$S$3:$S$5001,BD!$B$3:$B$5001,I$198,BD!$A$3:$A$5001,_xlfn.MAXIFS(BD!$A$3:$A$5001,BD!$B$3:$B$5001,I$198,BD!$A$3:$A$5001,"&gt;="&amp;$C$7,BD!$A$3:$A$5001,"&lt;="&amp;$B204,BD!$S$3:$S$5001,"&lt;&gt;"))))</f>
        <v/>
      </c>
      <c r="J204" s="54" t="str">
        <f>IF(OR($B204="",$A204&gt;$B$9,J$198=""),"",IF(COUNTIFS(BD!$B$3:$B$5001,J$198,BD!$A$3:$A$5001,"&gt;="&amp;$C$7,BD!$A$3:$A$5001,"&lt;="&amp;$B204,BD!$S$3:$S$5001,"&lt;&gt;")=0,"",SUMIFS(BD!$S$3:$S$5001,BD!$B$3:$B$5001,J$198,BD!$A$3:$A$5001,_xlfn.MAXIFS(BD!$A$3:$A$5001,BD!$B$3:$B$5001,J$198,BD!$A$3:$A$5001,"&gt;="&amp;$C$7,BD!$A$3:$A$5001,"&lt;="&amp;$B204,BD!$S$3:$S$5001,"&lt;&gt;"))))</f>
        <v/>
      </c>
      <c r="K204" s="54" t="str">
        <f>IF(OR($B204="",$A204&gt;$B$9,K$198=""),"",IF(COUNTIFS(BD!$B$3:$B$5001,K$198,BD!$A$3:$A$5001,"&gt;="&amp;$C$7,BD!$A$3:$A$5001,"&lt;="&amp;$B204,BD!$S$3:$S$5001,"&lt;&gt;")=0,"",SUMIFS(BD!$S$3:$S$5001,BD!$B$3:$B$5001,K$198,BD!$A$3:$A$5001,_xlfn.MAXIFS(BD!$A$3:$A$5001,BD!$B$3:$B$5001,K$198,BD!$A$3:$A$5001,"&gt;="&amp;$C$7,BD!$A$3:$A$5001,"&lt;="&amp;$B204,BD!$S$3:$S$5001,"&lt;&gt;"))))</f>
        <v/>
      </c>
      <c r="L204" s="54" t="str">
        <f>IF(OR($B204="",$A204&gt;$B$9,L$198=""),"",IF(COUNTIFS(BD!$B$3:$B$5001,L$198,BD!$A$3:$A$5001,"&gt;="&amp;$C$7,BD!$A$3:$A$5001,"&lt;="&amp;$B204,BD!$S$3:$S$5001,"&lt;&gt;")=0,"",SUMIFS(BD!$S$3:$S$5001,BD!$B$3:$B$5001,L$198,BD!$A$3:$A$5001,_xlfn.MAXIFS(BD!$A$3:$A$5001,BD!$B$3:$B$5001,L$198,BD!$A$3:$A$5001,"&gt;="&amp;$C$7,BD!$A$3:$A$5001,"&lt;="&amp;$B204,BD!$S$3:$S$5001,"&lt;&gt;"))))</f>
        <v/>
      </c>
      <c r="M204" s="54" t="str">
        <f>IF(OR($B204="",$A204&gt;$B$9,M$198=""),"",IF(COUNTIFS(BD!$B$3:$B$5001,M$198,BD!$A$3:$A$5001,"&gt;="&amp;$C$7,BD!$A$3:$A$5001,"&lt;="&amp;$B204,BD!$S$3:$S$5001,"&lt;&gt;")=0,"",SUMIFS(BD!$S$3:$S$5001,BD!$B$3:$B$5001,M$198,BD!$A$3:$A$5001,_xlfn.MAXIFS(BD!$A$3:$A$5001,BD!$B$3:$B$5001,M$198,BD!$A$3:$A$5001,"&gt;="&amp;$C$7,BD!$A$3:$A$5001,"&lt;="&amp;$B204,BD!$S$3:$S$5001,"&lt;&gt;"))))</f>
        <v/>
      </c>
      <c r="N204" s="54" t="str">
        <f>IF(OR($B204="",$A204&gt;$B$9,N$198=""),"",IF(COUNTIFS(BD!$B$3:$B$5001,N$198,BD!$A$3:$A$5001,"&gt;="&amp;$C$7,BD!$A$3:$A$5001,"&lt;="&amp;$B204,BD!$S$3:$S$5001,"&lt;&gt;")=0,"",SUMIFS(BD!$S$3:$S$5001,BD!$B$3:$B$5001,N$198,BD!$A$3:$A$5001,_xlfn.MAXIFS(BD!$A$3:$A$5001,BD!$B$3:$B$5001,N$198,BD!$A$3:$A$5001,"&gt;="&amp;$C$7,BD!$A$3:$A$5001,"&lt;="&amp;$B204,BD!$S$3:$S$5001,"&lt;&gt;"))))</f>
        <v/>
      </c>
      <c r="O204" s="54" t="str">
        <f>IF(OR($B204="",$A204&gt;$B$9,O$198=""),"",IF(COUNTIFS(BD!$B$3:$B$5001,O$198,BD!$A$3:$A$5001,"&gt;="&amp;$C$7,BD!$A$3:$A$5001,"&lt;="&amp;$B204,BD!$S$3:$S$5001,"&lt;&gt;")=0,"",SUMIFS(BD!$S$3:$S$5001,BD!$B$3:$B$5001,O$198,BD!$A$3:$A$5001,_xlfn.MAXIFS(BD!$A$3:$A$5001,BD!$B$3:$B$5001,O$198,BD!$A$3:$A$5001,"&gt;="&amp;$C$7,BD!$A$3:$A$5001,"&lt;="&amp;$B204,BD!$S$3:$S$5001,"&lt;&gt;"))))</f>
        <v/>
      </c>
      <c r="P204" s="54" t="str">
        <f>IF(OR($B204="",$A204&gt;$B$9,P$198=""),"",IF(COUNTIFS(BD!$B$3:$B$5001,P$198,BD!$A$3:$A$5001,"&gt;="&amp;$C$7,BD!$A$3:$A$5001,"&lt;="&amp;$B204,BD!$S$3:$S$5001,"&lt;&gt;")=0,"",SUMIFS(BD!$S$3:$S$5001,BD!$B$3:$B$5001,P$198,BD!$A$3:$A$5001,_xlfn.MAXIFS(BD!$A$3:$A$5001,BD!$B$3:$B$5001,P$198,BD!$A$3:$A$5001,"&gt;="&amp;$C$7,BD!$A$3:$A$5001,"&lt;="&amp;$B204,BD!$S$3:$S$5001,"&lt;&gt;"))))</f>
        <v/>
      </c>
      <c r="Q204" s="54" t="str">
        <f>IF(OR($B204="",$A204&gt;$B$9,Q$198=""),"",IF(COUNTIFS(BD!$B$3:$B$5001,Q$198,BD!$A$3:$A$5001,"&gt;="&amp;$C$7,BD!$A$3:$A$5001,"&lt;="&amp;$B204,BD!$S$3:$S$5001,"&lt;&gt;")=0,"",SUMIFS(BD!$S$3:$S$5001,BD!$B$3:$B$5001,Q$198,BD!$A$3:$A$5001,_xlfn.MAXIFS(BD!$A$3:$A$5001,BD!$B$3:$B$5001,Q$198,BD!$A$3:$A$5001,"&gt;="&amp;$C$7,BD!$A$3:$A$5001,"&lt;="&amp;$B204,BD!$S$3:$S$5001,"&lt;&gt;"))))</f>
        <v/>
      </c>
      <c r="R204" s="54" t="str">
        <f>IF(OR($B204="",$A204&gt;$B$9,R$198=""),"",IF(COUNTIFS(BD!$B$3:$B$5001,R$198,BD!$A$3:$A$5001,"&gt;="&amp;$C$7,BD!$A$3:$A$5001,"&lt;="&amp;$B204,BD!$S$3:$S$5001,"&lt;&gt;")=0,"",SUMIFS(BD!$S$3:$S$5001,BD!$B$3:$B$5001,R$198,BD!$A$3:$A$5001,_xlfn.MAXIFS(BD!$A$3:$A$5001,BD!$B$3:$B$5001,R$198,BD!$A$3:$A$5001,"&gt;="&amp;$C$7,BD!$A$3:$A$5001,"&lt;="&amp;$B204,BD!$S$3:$S$5001,"&lt;&gt;"))))</f>
        <v/>
      </c>
      <c r="S204" s="54" t="str">
        <f>IF(OR($B204="",$A204&gt;$B$9,S$198=""),"",IF(COUNTIFS(BD!$B$3:$B$5001,S$198,BD!$A$3:$A$5001,"&gt;="&amp;$C$7,BD!$A$3:$A$5001,"&lt;="&amp;$B204,BD!$S$3:$S$5001,"&lt;&gt;")=0,"",SUMIFS(BD!$S$3:$S$5001,BD!$B$3:$B$5001,S$198,BD!$A$3:$A$5001,_xlfn.MAXIFS(BD!$A$3:$A$5001,BD!$B$3:$B$5001,S$198,BD!$A$3:$A$5001,"&gt;="&amp;$C$7,BD!$A$3:$A$5001,"&lt;="&amp;$B204,BD!$S$3:$S$5001,"&lt;&gt;"))))</f>
        <v/>
      </c>
      <c r="T204" s="54" t="str">
        <f>IF(OR($B204="",$A204&gt;$B$9,T$198=""),"",IF(COUNTIFS(BD!$B$3:$B$5001,T$198,BD!$A$3:$A$5001,"&gt;="&amp;$C$7,BD!$A$3:$A$5001,"&lt;="&amp;$B204,BD!$S$3:$S$5001,"&lt;&gt;")=0,"",SUMIFS(BD!$S$3:$S$5001,BD!$B$3:$B$5001,T$198,BD!$A$3:$A$5001,_xlfn.MAXIFS(BD!$A$3:$A$5001,BD!$B$3:$B$5001,T$198,BD!$A$3:$A$5001,"&gt;="&amp;$C$7,BD!$A$3:$A$5001,"&lt;="&amp;$B204,BD!$S$3:$S$5001,"&lt;&gt;"))))</f>
        <v/>
      </c>
      <c r="U204" s="54" t="str">
        <f>IF(OR($B204="",$A204&gt;$B$9,U$198=""),"",IF(COUNTIFS(BD!$B$3:$B$5001,U$198,BD!$A$3:$A$5001,"&gt;="&amp;$C$7,BD!$A$3:$A$5001,"&lt;="&amp;$B204,BD!$S$3:$S$5001,"&lt;&gt;")=0,"",SUMIFS(BD!$S$3:$S$5001,BD!$B$3:$B$5001,U$198,BD!$A$3:$A$5001,_xlfn.MAXIFS(BD!$A$3:$A$5001,BD!$B$3:$B$5001,U$198,BD!$A$3:$A$5001,"&gt;="&amp;$C$7,BD!$A$3:$A$5001,"&lt;="&amp;$B204,BD!$S$3:$S$5001,"&lt;&gt;"))))</f>
        <v/>
      </c>
      <c r="V204" s="54" t="str">
        <f>IF(OR($B204="",$A204&gt;$B$9,V$198=""),"",IF(COUNTIFS(BD!$B$3:$B$5001,V$198,BD!$A$3:$A$5001,"&gt;="&amp;$C$7,BD!$A$3:$A$5001,"&lt;="&amp;$B204,BD!$S$3:$S$5001,"&lt;&gt;")=0,"",SUMIFS(BD!$S$3:$S$5001,BD!$B$3:$B$5001,V$198,BD!$A$3:$A$5001,_xlfn.MAXIFS(BD!$A$3:$A$5001,BD!$B$3:$B$5001,V$198,BD!$A$3:$A$5001,"&gt;="&amp;$C$7,BD!$A$3:$A$5001,"&lt;="&amp;$B204,BD!$S$3:$S$5001,"&lt;&gt;"))))</f>
        <v/>
      </c>
    </row>
    <row r="205">
      <c r="A205" s="48">
        <v>7</v>
      </c>
      <c r="B205" s="53">
        <f>$B$18</f>
        <v>46302</v>
      </c>
      <c r="C205" s="54" t="str">
        <f>IF(OR($B205="",$A205&gt;$B$9,C$198=""),"",IF(COUNTIFS(BD!$B$3:$B$5001,C$198,BD!$A$3:$A$5001,"&gt;="&amp;$C$7,BD!$A$3:$A$5001,"&lt;="&amp;$B205,BD!$S$3:$S$5001,"&lt;&gt;")=0,"",SUMIFS(BD!$S$3:$S$5001,BD!$B$3:$B$5001,C$198,BD!$A$3:$A$5001,_xlfn.MAXIFS(BD!$A$3:$A$5001,BD!$B$3:$B$5001,C$198,BD!$A$3:$A$5001,"&gt;="&amp;$C$7,BD!$A$3:$A$5001,"&lt;="&amp;$B205,BD!$S$3:$S$5001,"&lt;&gt;"))))</f>
        <v/>
      </c>
      <c r="D205" s="54" t="str">
        <f>IF(OR($B205="",$A205&gt;$B$9,D$198=""),"",IF(COUNTIFS(BD!$B$3:$B$5001,D$198,BD!$A$3:$A$5001,"&gt;="&amp;$C$7,BD!$A$3:$A$5001,"&lt;="&amp;$B205,BD!$S$3:$S$5001,"&lt;&gt;")=0,"",SUMIFS(BD!$S$3:$S$5001,BD!$B$3:$B$5001,D$198,BD!$A$3:$A$5001,_xlfn.MAXIFS(BD!$A$3:$A$5001,BD!$B$3:$B$5001,D$198,BD!$A$3:$A$5001,"&gt;="&amp;$C$7,BD!$A$3:$A$5001,"&lt;="&amp;$B205,BD!$S$3:$S$5001,"&lt;&gt;"))))</f>
        <v/>
      </c>
      <c r="E205" s="54" t="str">
        <f>IF(OR($B205="",$A205&gt;$B$9,E$198=""),"",IF(COUNTIFS(BD!$B$3:$B$5001,E$198,BD!$A$3:$A$5001,"&gt;="&amp;$C$7,BD!$A$3:$A$5001,"&lt;="&amp;$B205,BD!$S$3:$S$5001,"&lt;&gt;")=0,"",SUMIFS(BD!$S$3:$S$5001,BD!$B$3:$B$5001,E$198,BD!$A$3:$A$5001,_xlfn.MAXIFS(BD!$A$3:$A$5001,BD!$B$3:$B$5001,E$198,BD!$A$3:$A$5001,"&gt;="&amp;$C$7,BD!$A$3:$A$5001,"&lt;="&amp;$B205,BD!$S$3:$S$5001,"&lt;&gt;"))))</f>
        <v/>
      </c>
      <c r="F205" s="54" t="str">
        <f>IF(OR($B205="",$A205&gt;$B$9,F$198=""),"",IF(COUNTIFS(BD!$B$3:$B$5001,F$198,BD!$A$3:$A$5001,"&gt;="&amp;$C$7,BD!$A$3:$A$5001,"&lt;="&amp;$B205,BD!$S$3:$S$5001,"&lt;&gt;")=0,"",SUMIFS(BD!$S$3:$S$5001,BD!$B$3:$B$5001,F$198,BD!$A$3:$A$5001,_xlfn.MAXIFS(BD!$A$3:$A$5001,BD!$B$3:$B$5001,F$198,BD!$A$3:$A$5001,"&gt;="&amp;$C$7,BD!$A$3:$A$5001,"&lt;="&amp;$B205,BD!$S$3:$S$5001,"&lt;&gt;"))))</f>
        <v/>
      </c>
      <c r="G205" s="54" t="str">
        <f>IF(OR($B205="",$A205&gt;$B$9,G$198=""),"",IF(COUNTIFS(BD!$B$3:$B$5001,G$198,BD!$A$3:$A$5001,"&gt;="&amp;$C$7,BD!$A$3:$A$5001,"&lt;="&amp;$B205,BD!$S$3:$S$5001,"&lt;&gt;")=0,"",SUMIFS(BD!$S$3:$S$5001,BD!$B$3:$B$5001,G$198,BD!$A$3:$A$5001,_xlfn.MAXIFS(BD!$A$3:$A$5001,BD!$B$3:$B$5001,G$198,BD!$A$3:$A$5001,"&gt;="&amp;$C$7,BD!$A$3:$A$5001,"&lt;="&amp;$B205,BD!$S$3:$S$5001,"&lt;&gt;"))))</f>
        <v/>
      </c>
      <c r="H205" s="54" t="str">
        <f>IF(OR($B205="",$A205&gt;$B$9,H$198=""),"",IF(COUNTIFS(BD!$B$3:$B$5001,H$198,BD!$A$3:$A$5001,"&gt;="&amp;$C$7,BD!$A$3:$A$5001,"&lt;="&amp;$B205,BD!$S$3:$S$5001,"&lt;&gt;")=0,"",SUMIFS(BD!$S$3:$S$5001,BD!$B$3:$B$5001,H$198,BD!$A$3:$A$5001,_xlfn.MAXIFS(BD!$A$3:$A$5001,BD!$B$3:$B$5001,H$198,BD!$A$3:$A$5001,"&gt;="&amp;$C$7,BD!$A$3:$A$5001,"&lt;="&amp;$B205,BD!$S$3:$S$5001,"&lt;&gt;"))))</f>
        <v/>
      </c>
      <c r="I205" s="54" t="str">
        <f>IF(OR($B205="",$A205&gt;$B$9,I$198=""),"",IF(COUNTIFS(BD!$B$3:$B$5001,I$198,BD!$A$3:$A$5001,"&gt;="&amp;$C$7,BD!$A$3:$A$5001,"&lt;="&amp;$B205,BD!$S$3:$S$5001,"&lt;&gt;")=0,"",SUMIFS(BD!$S$3:$S$5001,BD!$B$3:$B$5001,I$198,BD!$A$3:$A$5001,_xlfn.MAXIFS(BD!$A$3:$A$5001,BD!$B$3:$B$5001,I$198,BD!$A$3:$A$5001,"&gt;="&amp;$C$7,BD!$A$3:$A$5001,"&lt;="&amp;$B205,BD!$S$3:$S$5001,"&lt;&gt;"))))</f>
        <v/>
      </c>
      <c r="J205" s="54" t="str">
        <f>IF(OR($B205="",$A205&gt;$B$9,J$198=""),"",IF(COUNTIFS(BD!$B$3:$B$5001,J$198,BD!$A$3:$A$5001,"&gt;="&amp;$C$7,BD!$A$3:$A$5001,"&lt;="&amp;$B205,BD!$S$3:$S$5001,"&lt;&gt;")=0,"",SUMIFS(BD!$S$3:$S$5001,BD!$B$3:$B$5001,J$198,BD!$A$3:$A$5001,_xlfn.MAXIFS(BD!$A$3:$A$5001,BD!$B$3:$B$5001,J$198,BD!$A$3:$A$5001,"&gt;="&amp;$C$7,BD!$A$3:$A$5001,"&lt;="&amp;$B205,BD!$S$3:$S$5001,"&lt;&gt;"))))</f>
        <v/>
      </c>
      <c r="K205" s="54" t="str">
        <f>IF(OR($B205="",$A205&gt;$B$9,K$198=""),"",IF(COUNTIFS(BD!$B$3:$B$5001,K$198,BD!$A$3:$A$5001,"&gt;="&amp;$C$7,BD!$A$3:$A$5001,"&lt;="&amp;$B205,BD!$S$3:$S$5001,"&lt;&gt;")=0,"",SUMIFS(BD!$S$3:$S$5001,BD!$B$3:$B$5001,K$198,BD!$A$3:$A$5001,_xlfn.MAXIFS(BD!$A$3:$A$5001,BD!$B$3:$B$5001,K$198,BD!$A$3:$A$5001,"&gt;="&amp;$C$7,BD!$A$3:$A$5001,"&lt;="&amp;$B205,BD!$S$3:$S$5001,"&lt;&gt;"))))</f>
        <v/>
      </c>
      <c r="L205" s="54" t="str">
        <f>IF(OR($B205="",$A205&gt;$B$9,L$198=""),"",IF(COUNTIFS(BD!$B$3:$B$5001,L$198,BD!$A$3:$A$5001,"&gt;="&amp;$C$7,BD!$A$3:$A$5001,"&lt;="&amp;$B205,BD!$S$3:$S$5001,"&lt;&gt;")=0,"",SUMIFS(BD!$S$3:$S$5001,BD!$B$3:$B$5001,L$198,BD!$A$3:$A$5001,_xlfn.MAXIFS(BD!$A$3:$A$5001,BD!$B$3:$B$5001,L$198,BD!$A$3:$A$5001,"&gt;="&amp;$C$7,BD!$A$3:$A$5001,"&lt;="&amp;$B205,BD!$S$3:$S$5001,"&lt;&gt;"))))</f>
        <v/>
      </c>
      <c r="M205" s="54" t="str">
        <f>IF(OR($B205="",$A205&gt;$B$9,M$198=""),"",IF(COUNTIFS(BD!$B$3:$B$5001,M$198,BD!$A$3:$A$5001,"&gt;="&amp;$C$7,BD!$A$3:$A$5001,"&lt;="&amp;$B205,BD!$S$3:$S$5001,"&lt;&gt;")=0,"",SUMIFS(BD!$S$3:$S$5001,BD!$B$3:$B$5001,M$198,BD!$A$3:$A$5001,_xlfn.MAXIFS(BD!$A$3:$A$5001,BD!$B$3:$B$5001,M$198,BD!$A$3:$A$5001,"&gt;="&amp;$C$7,BD!$A$3:$A$5001,"&lt;="&amp;$B205,BD!$S$3:$S$5001,"&lt;&gt;"))))</f>
        <v/>
      </c>
      <c r="N205" s="54" t="str">
        <f>IF(OR($B205="",$A205&gt;$B$9,N$198=""),"",IF(COUNTIFS(BD!$B$3:$B$5001,N$198,BD!$A$3:$A$5001,"&gt;="&amp;$C$7,BD!$A$3:$A$5001,"&lt;="&amp;$B205,BD!$S$3:$S$5001,"&lt;&gt;")=0,"",SUMIFS(BD!$S$3:$S$5001,BD!$B$3:$B$5001,N$198,BD!$A$3:$A$5001,_xlfn.MAXIFS(BD!$A$3:$A$5001,BD!$B$3:$B$5001,N$198,BD!$A$3:$A$5001,"&gt;="&amp;$C$7,BD!$A$3:$A$5001,"&lt;="&amp;$B205,BD!$S$3:$S$5001,"&lt;&gt;"))))</f>
        <v/>
      </c>
      <c r="O205" s="54" t="str">
        <f>IF(OR($B205="",$A205&gt;$B$9,O$198=""),"",IF(COUNTIFS(BD!$B$3:$B$5001,O$198,BD!$A$3:$A$5001,"&gt;="&amp;$C$7,BD!$A$3:$A$5001,"&lt;="&amp;$B205,BD!$S$3:$S$5001,"&lt;&gt;")=0,"",SUMIFS(BD!$S$3:$S$5001,BD!$B$3:$B$5001,O$198,BD!$A$3:$A$5001,_xlfn.MAXIFS(BD!$A$3:$A$5001,BD!$B$3:$B$5001,O$198,BD!$A$3:$A$5001,"&gt;="&amp;$C$7,BD!$A$3:$A$5001,"&lt;="&amp;$B205,BD!$S$3:$S$5001,"&lt;&gt;"))))</f>
        <v/>
      </c>
      <c r="P205" s="54" t="str">
        <f>IF(OR($B205="",$A205&gt;$B$9,P$198=""),"",IF(COUNTIFS(BD!$B$3:$B$5001,P$198,BD!$A$3:$A$5001,"&gt;="&amp;$C$7,BD!$A$3:$A$5001,"&lt;="&amp;$B205,BD!$S$3:$S$5001,"&lt;&gt;")=0,"",SUMIFS(BD!$S$3:$S$5001,BD!$B$3:$B$5001,P$198,BD!$A$3:$A$5001,_xlfn.MAXIFS(BD!$A$3:$A$5001,BD!$B$3:$B$5001,P$198,BD!$A$3:$A$5001,"&gt;="&amp;$C$7,BD!$A$3:$A$5001,"&lt;="&amp;$B205,BD!$S$3:$S$5001,"&lt;&gt;"))))</f>
        <v/>
      </c>
      <c r="Q205" s="54" t="str">
        <f>IF(OR($B205="",$A205&gt;$B$9,Q$198=""),"",IF(COUNTIFS(BD!$B$3:$B$5001,Q$198,BD!$A$3:$A$5001,"&gt;="&amp;$C$7,BD!$A$3:$A$5001,"&lt;="&amp;$B205,BD!$S$3:$S$5001,"&lt;&gt;")=0,"",SUMIFS(BD!$S$3:$S$5001,BD!$B$3:$B$5001,Q$198,BD!$A$3:$A$5001,_xlfn.MAXIFS(BD!$A$3:$A$5001,BD!$B$3:$B$5001,Q$198,BD!$A$3:$A$5001,"&gt;="&amp;$C$7,BD!$A$3:$A$5001,"&lt;="&amp;$B205,BD!$S$3:$S$5001,"&lt;&gt;"))))</f>
        <v/>
      </c>
      <c r="R205" s="54" t="str">
        <f>IF(OR($B205="",$A205&gt;$B$9,R$198=""),"",IF(COUNTIFS(BD!$B$3:$B$5001,R$198,BD!$A$3:$A$5001,"&gt;="&amp;$C$7,BD!$A$3:$A$5001,"&lt;="&amp;$B205,BD!$S$3:$S$5001,"&lt;&gt;")=0,"",SUMIFS(BD!$S$3:$S$5001,BD!$B$3:$B$5001,R$198,BD!$A$3:$A$5001,_xlfn.MAXIFS(BD!$A$3:$A$5001,BD!$B$3:$B$5001,R$198,BD!$A$3:$A$5001,"&gt;="&amp;$C$7,BD!$A$3:$A$5001,"&lt;="&amp;$B205,BD!$S$3:$S$5001,"&lt;&gt;"))))</f>
        <v/>
      </c>
      <c r="S205" s="54" t="str">
        <f>IF(OR($B205="",$A205&gt;$B$9,S$198=""),"",IF(COUNTIFS(BD!$B$3:$B$5001,S$198,BD!$A$3:$A$5001,"&gt;="&amp;$C$7,BD!$A$3:$A$5001,"&lt;="&amp;$B205,BD!$S$3:$S$5001,"&lt;&gt;")=0,"",SUMIFS(BD!$S$3:$S$5001,BD!$B$3:$B$5001,S$198,BD!$A$3:$A$5001,_xlfn.MAXIFS(BD!$A$3:$A$5001,BD!$B$3:$B$5001,S$198,BD!$A$3:$A$5001,"&gt;="&amp;$C$7,BD!$A$3:$A$5001,"&lt;="&amp;$B205,BD!$S$3:$S$5001,"&lt;&gt;"))))</f>
        <v/>
      </c>
      <c r="T205" s="54" t="str">
        <f>IF(OR($B205="",$A205&gt;$B$9,T$198=""),"",IF(COUNTIFS(BD!$B$3:$B$5001,T$198,BD!$A$3:$A$5001,"&gt;="&amp;$C$7,BD!$A$3:$A$5001,"&lt;="&amp;$B205,BD!$S$3:$S$5001,"&lt;&gt;")=0,"",SUMIFS(BD!$S$3:$S$5001,BD!$B$3:$B$5001,T$198,BD!$A$3:$A$5001,_xlfn.MAXIFS(BD!$A$3:$A$5001,BD!$B$3:$B$5001,T$198,BD!$A$3:$A$5001,"&gt;="&amp;$C$7,BD!$A$3:$A$5001,"&lt;="&amp;$B205,BD!$S$3:$S$5001,"&lt;&gt;"))))</f>
        <v/>
      </c>
      <c r="U205" s="54" t="str">
        <f>IF(OR($B205="",$A205&gt;$B$9,U$198=""),"",IF(COUNTIFS(BD!$B$3:$B$5001,U$198,BD!$A$3:$A$5001,"&gt;="&amp;$C$7,BD!$A$3:$A$5001,"&lt;="&amp;$B205,BD!$S$3:$S$5001,"&lt;&gt;")=0,"",SUMIFS(BD!$S$3:$S$5001,BD!$B$3:$B$5001,U$198,BD!$A$3:$A$5001,_xlfn.MAXIFS(BD!$A$3:$A$5001,BD!$B$3:$B$5001,U$198,BD!$A$3:$A$5001,"&gt;="&amp;$C$7,BD!$A$3:$A$5001,"&lt;="&amp;$B205,BD!$S$3:$S$5001,"&lt;&gt;"))))</f>
        <v/>
      </c>
      <c r="V205" s="54" t="str">
        <f>IF(OR($B205="",$A205&gt;$B$9,V$198=""),"",IF(COUNTIFS(BD!$B$3:$B$5001,V$198,BD!$A$3:$A$5001,"&gt;="&amp;$C$7,BD!$A$3:$A$5001,"&lt;="&amp;$B205,BD!$S$3:$S$5001,"&lt;&gt;")=0,"",SUMIFS(BD!$S$3:$S$5001,BD!$B$3:$B$5001,V$198,BD!$A$3:$A$5001,_xlfn.MAXIFS(BD!$A$3:$A$5001,BD!$B$3:$B$5001,V$198,BD!$A$3:$A$5001,"&gt;="&amp;$C$7,BD!$A$3:$A$5001,"&lt;="&amp;$B205,BD!$S$3:$S$5001,"&lt;&gt;"))))</f>
        <v/>
      </c>
    </row>
    <row r="206">
      <c r="A206" s="48">
        <v>8</v>
      </c>
      <c r="B206" s="53">
        <f>$B$19</f>
        <v>46303</v>
      </c>
      <c r="C206" s="54" t="str">
        <f>IF(OR($B206="",$A206&gt;$B$9,C$198=""),"",IF(COUNTIFS(BD!$B$3:$B$5001,C$198,BD!$A$3:$A$5001,"&gt;="&amp;$C$7,BD!$A$3:$A$5001,"&lt;="&amp;$B206,BD!$S$3:$S$5001,"&lt;&gt;")=0,"",SUMIFS(BD!$S$3:$S$5001,BD!$B$3:$B$5001,C$198,BD!$A$3:$A$5001,_xlfn.MAXIFS(BD!$A$3:$A$5001,BD!$B$3:$B$5001,C$198,BD!$A$3:$A$5001,"&gt;="&amp;$C$7,BD!$A$3:$A$5001,"&lt;="&amp;$B206,BD!$S$3:$S$5001,"&lt;&gt;"))))</f>
        <v/>
      </c>
      <c r="D206" s="54" t="str">
        <f>IF(OR($B206="",$A206&gt;$B$9,D$198=""),"",IF(COUNTIFS(BD!$B$3:$B$5001,D$198,BD!$A$3:$A$5001,"&gt;="&amp;$C$7,BD!$A$3:$A$5001,"&lt;="&amp;$B206,BD!$S$3:$S$5001,"&lt;&gt;")=0,"",SUMIFS(BD!$S$3:$S$5001,BD!$B$3:$B$5001,D$198,BD!$A$3:$A$5001,_xlfn.MAXIFS(BD!$A$3:$A$5001,BD!$B$3:$B$5001,D$198,BD!$A$3:$A$5001,"&gt;="&amp;$C$7,BD!$A$3:$A$5001,"&lt;="&amp;$B206,BD!$S$3:$S$5001,"&lt;&gt;"))))</f>
        <v/>
      </c>
      <c r="E206" s="54" t="str">
        <f>IF(OR($B206="",$A206&gt;$B$9,E$198=""),"",IF(COUNTIFS(BD!$B$3:$B$5001,E$198,BD!$A$3:$A$5001,"&gt;="&amp;$C$7,BD!$A$3:$A$5001,"&lt;="&amp;$B206,BD!$S$3:$S$5001,"&lt;&gt;")=0,"",SUMIFS(BD!$S$3:$S$5001,BD!$B$3:$B$5001,E$198,BD!$A$3:$A$5001,_xlfn.MAXIFS(BD!$A$3:$A$5001,BD!$B$3:$B$5001,E$198,BD!$A$3:$A$5001,"&gt;="&amp;$C$7,BD!$A$3:$A$5001,"&lt;="&amp;$B206,BD!$S$3:$S$5001,"&lt;&gt;"))))</f>
        <v/>
      </c>
      <c r="F206" s="54" t="str">
        <f>IF(OR($B206="",$A206&gt;$B$9,F$198=""),"",IF(COUNTIFS(BD!$B$3:$B$5001,F$198,BD!$A$3:$A$5001,"&gt;="&amp;$C$7,BD!$A$3:$A$5001,"&lt;="&amp;$B206,BD!$S$3:$S$5001,"&lt;&gt;")=0,"",SUMIFS(BD!$S$3:$S$5001,BD!$B$3:$B$5001,F$198,BD!$A$3:$A$5001,_xlfn.MAXIFS(BD!$A$3:$A$5001,BD!$B$3:$B$5001,F$198,BD!$A$3:$A$5001,"&gt;="&amp;$C$7,BD!$A$3:$A$5001,"&lt;="&amp;$B206,BD!$S$3:$S$5001,"&lt;&gt;"))))</f>
        <v/>
      </c>
      <c r="G206" s="54" t="str">
        <f>IF(OR($B206="",$A206&gt;$B$9,G$198=""),"",IF(COUNTIFS(BD!$B$3:$B$5001,G$198,BD!$A$3:$A$5001,"&gt;="&amp;$C$7,BD!$A$3:$A$5001,"&lt;="&amp;$B206,BD!$S$3:$S$5001,"&lt;&gt;")=0,"",SUMIFS(BD!$S$3:$S$5001,BD!$B$3:$B$5001,G$198,BD!$A$3:$A$5001,_xlfn.MAXIFS(BD!$A$3:$A$5001,BD!$B$3:$B$5001,G$198,BD!$A$3:$A$5001,"&gt;="&amp;$C$7,BD!$A$3:$A$5001,"&lt;="&amp;$B206,BD!$S$3:$S$5001,"&lt;&gt;"))))</f>
        <v/>
      </c>
      <c r="H206" s="54" t="str">
        <f>IF(OR($B206="",$A206&gt;$B$9,H$198=""),"",IF(COUNTIFS(BD!$B$3:$B$5001,H$198,BD!$A$3:$A$5001,"&gt;="&amp;$C$7,BD!$A$3:$A$5001,"&lt;="&amp;$B206,BD!$S$3:$S$5001,"&lt;&gt;")=0,"",SUMIFS(BD!$S$3:$S$5001,BD!$B$3:$B$5001,H$198,BD!$A$3:$A$5001,_xlfn.MAXIFS(BD!$A$3:$A$5001,BD!$B$3:$B$5001,H$198,BD!$A$3:$A$5001,"&gt;="&amp;$C$7,BD!$A$3:$A$5001,"&lt;="&amp;$B206,BD!$S$3:$S$5001,"&lt;&gt;"))))</f>
        <v/>
      </c>
      <c r="I206" s="54" t="str">
        <f>IF(OR($B206="",$A206&gt;$B$9,I$198=""),"",IF(COUNTIFS(BD!$B$3:$B$5001,I$198,BD!$A$3:$A$5001,"&gt;="&amp;$C$7,BD!$A$3:$A$5001,"&lt;="&amp;$B206,BD!$S$3:$S$5001,"&lt;&gt;")=0,"",SUMIFS(BD!$S$3:$S$5001,BD!$B$3:$B$5001,I$198,BD!$A$3:$A$5001,_xlfn.MAXIFS(BD!$A$3:$A$5001,BD!$B$3:$B$5001,I$198,BD!$A$3:$A$5001,"&gt;="&amp;$C$7,BD!$A$3:$A$5001,"&lt;="&amp;$B206,BD!$S$3:$S$5001,"&lt;&gt;"))))</f>
        <v/>
      </c>
      <c r="J206" s="54" t="str">
        <f>IF(OR($B206="",$A206&gt;$B$9,J$198=""),"",IF(COUNTIFS(BD!$B$3:$B$5001,J$198,BD!$A$3:$A$5001,"&gt;="&amp;$C$7,BD!$A$3:$A$5001,"&lt;="&amp;$B206,BD!$S$3:$S$5001,"&lt;&gt;")=0,"",SUMIFS(BD!$S$3:$S$5001,BD!$B$3:$B$5001,J$198,BD!$A$3:$A$5001,_xlfn.MAXIFS(BD!$A$3:$A$5001,BD!$B$3:$B$5001,J$198,BD!$A$3:$A$5001,"&gt;="&amp;$C$7,BD!$A$3:$A$5001,"&lt;="&amp;$B206,BD!$S$3:$S$5001,"&lt;&gt;"))))</f>
        <v/>
      </c>
      <c r="K206" s="54" t="str">
        <f>IF(OR($B206="",$A206&gt;$B$9,K$198=""),"",IF(COUNTIFS(BD!$B$3:$B$5001,K$198,BD!$A$3:$A$5001,"&gt;="&amp;$C$7,BD!$A$3:$A$5001,"&lt;="&amp;$B206,BD!$S$3:$S$5001,"&lt;&gt;")=0,"",SUMIFS(BD!$S$3:$S$5001,BD!$B$3:$B$5001,K$198,BD!$A$3:$A$5001,_xlfn.MAXIFS(BD!$A$3:$A$5001,BD!$B$3:$B$5001,K$198,BD!$A$3:$A$5001,"&gt;="&amp;$C$7,BD!$A$3:$A$5001,"&lt;="&amp;$B206,BD!$S$3:$S$5001,"&lt;&gt;"))))</f>
        <v/>
      </c>
      <c r="L206" s="54" t="str">
        <f>IF(OR($B206="",$A206&gt;$B$9,L$198=""),"",IF(COUNTIFS(BD!$B$3:$B$5001,L$198,BD!$A$3:$A$5001,"&gt;="&amp;$C$7,BD!$A$3:$A$5001,"&lt;="&amp;$B206,BD!$S$3:$S$5001,"&lt;&gt;")=0,"",SUMIFS(BD!$S$3:$S$5001,BD!$B$3:$B$5001,L$198,BD!$A$3:$A$5001,_xlfn.MAXIFS(BD!$A$3:$A$5001,BD!$B$3:$B$5001,L$198,BD!$A$3:$A$5001,"&gt;="&amp;$C$7,BD!$A$3:$A$5001,"&lt;="&amp;$B206,BD!$S$3:$S$5001,"&lt;&gt;"))))</f>
        <v/>
      </c>
      <c r="M206" s="54" t="str">
        <f>IF(OR($B206="",$A206&gt;$B$9,M$198=""),"",IF(COUNTIFS(BD!$B$3:$B$5001,M$198,BD!$A$3:$A$5001,"&gt;="&amp;$C$7,BD!$A$3:$A$5001,"&lt;="&amp;$B206,BD!$S$3:$S$5001,"&lt;&gt;")=0,"",SUMIFS(BD!$S$3:$S$5001,BD!$B$3:$B$5001,M$198,BD!$A$3:$A$5001,_xlfn.MAXIFS(BD!$A$3:$A$5001,BD!$B$3:$B$5001,M$198,BD!$A$3:$A$5001,"&gt;="&amp;$C$7,BD!$A$3:$A$5001,"&lt;="&amp;$B206,BD!$S$3:$S$5001,"&lt;&gt;"))))</f>
        <v/>
      </c>
      <c r="N206" s="54" t="str">
        <f>IF(OR($B206="",$A206&gt;$B$9,N$198=""),"",IF(COUNTIFS(BD!$B$3:$B$5001,N$198,BD!$A$3:$A$5001,"&gt;="&amp;$C$7,BD!$A$3:$A$5001,"&lt;="&amp;$B206,BD!$S$3:$S$5001,"&lt;&gt;")=0,"",SUMIFS(BD!$S$3:$S$5001,BD!$B$3:$B$5001,N$198,BD!$A$3:$A$5001,_xlfn.MAXIFS(BD!$A$3:$A$5001,BD!$B$3:$B$5001,N$198,BD!$A$3:$A$5001,"&gt;="&amp;$C$7,BD!$A$3:$A$5001,"&lt;="&amp;$B206,BD!$S$3:$S$5001,"&lt;&gt;"))))</f>
        <v/>
      </c>
      <c r="O206" s="54" t="str">
        <f>IF(OR($B206="",$A206&gt;$B$9,O$198=""),"",IF(COUNTIFS(BD!$B$3:$B$5001,O$198,BD!$A$3:$A$5001,"&gt;="&amp;$C$7,BD!$A$3:$A$5001,"&lt;="&amp;$B206,BD!$S$3:$S$5001,"&lt;&gt;")=0,"",SUMIFS(BD!$S$3:$S$5001,BD!$B$3:$B$5001,O$198,BD!$A$3:$A$5001,_xlfn.MAXIFS(BD!$A$3:$A$5001,BD!$B$3:$B$5001,O$198,BD!$A$3:$A$5001,"&gt;="&amp;$C$7,BD!$A$3:$A$5001,"&lt;="&amp;$B206,BD!$S$3:$S$5001,"&lt;&gt;"))))</f>
        <v/>
      </c>
      <c r="P206" s="54" t="str">
        <f>IF(OR($B206="",$A206&gt;$B$9,P$198=""),"",IF(COUNTIFS(BD!$B$3:$B$5001,P$198,BD!$A$3:$A$5001,"&gt;="&amp;$C$7,BD!$A$3:$A$5001,"&lt;="&amp;$B206,BD!$S$3:$S$5001,"&lt;&gt;")=0,"",SUMIFS(BD!$S$3:$S$5001,BD!$B$3:$B$5001,P$198,BD!$A$3:$A$5001,_xlfn.MAXIFS(BD!$A$3:$A$5001,BD!$B$3:$B$5001,P$198,BD!$A$3:$A$5001,"&gt;="&amp;$C$7,BD!$A$3:$A$5001,"&lt;="&amp;$B206,BD!$S$3:$S$5001,"&lt;&gt;"))))</f>
        <v/>
      </c>
      <c r="Q206" s="54" t="str">
        <f>IF(OR($B206="",$A206&gt;$B$9,Q$198=""),"",IF(COUNTIFS(BD!$B$3:$B$5001,Q$198,BD!$A$3:$A$5001,"&gt;="&amp;$C$7,BD!$A$3:$A$5001,"&lt;="&amp;$B206,BD!$S$3:$S$5001,"&lt;&gt;")=0,"",SUMIFS(BD!$S$3:$S$5001,BD!$B$3:$B$5001,Q$198,BD!$A$3:$A$5001,_xlfn.MAXIFS(BD!$A$3:$A$5001,BD!$B$3:$B$5001,Q$198,BD!$A$3:$A$5001,"&gt;="&amp;$C$7,BD!$A$3:$A$5001,"&lt;="&amp;$B206,BD!$S$3:$S$5001,"&lt;&gt;"))))</f>
        <v/>
      </c>
      <c r="R206" s="54" t="str">
        <f>IF(OR($B206="",$A206&gt;$B$9,R$198=""),"",IF(COUNTIFS(BD!$B$3:$B$5001,R$198,BD!$A$3:$A$5001,"&gt;="&amp;$C$7,BD!$A$3:$A$5001,"&lt;="&amp;$B206,BD!$S$3:$S$5001,"&lt;&gt;")=0,"",SUMIFS(BD!$S$3:$S$5001,BD!$B$3:$B$5001,R$198,BD!$A$3:$A$5001,_xlfn.MAXIFS(BD!$A$3:$A$5001,BD!$B$3:$B$5001,R$198,BD!$A$3:$A$5001,"&gt;="&amp;$C$7,BD!$A$3:$A$5001,"&lt;="&amp;$B206,BD!$S$3:$S$5001,"&lt;&gt;"))))</f>
        <v/>
      </c>
      <c r="S206" s="54" t="str">
        <f>IF(OR($B206="",$A206&gt;$B$9,S$198=""),"",IF(COUNTIFS(BD!$B$3:$B$5001,S$198,BD!$A$3:$A$5001,"&gt;="&amp;$C$7,BD!$A$3:$A$5001,"&lt;="&amp;$B206,BD!$S$3:$S$5001,"&lt;&gt;")=0,"",SUMIFS(BD!$S$3:$S$5001,BD!$B$3:$B$5001,S$198,BD!$A$3:$A$5001,_xlfn.MAXIFS(BD!$A$3:$A$5001,BD!$B$3:$B$5001,S$198,BD!$A$3:$A$5001,"&gt;="&amp;$C$7,BD!$A$3:$A$5001,"&lt;="&amp;$B206,BD!$S$3:$S$5001,"&lt;&gt;"))))</f>
        <v/>
      </c>
      <c r="T206" s="54" t="str">
        <f>IF(OR($B206="",$A206&gt;$B$9,T$198=""),"",IF(COUNTIFS(BD!$B$3:$B$5001,T$198,BD!$A$3:$A$5001,"&gt;="&amp;$C$7,BD!$A$3:$A$5001,"&lt;="&amp;$B206,BD!$S$3:$S$5001,"&lt;&gt;")=0,"",SUMIFS(BD!$S$3:$S$5001,BD!$B$3:$B$5001,T$198,BD!$A$3:$A$5001,_xlfn.MAXIFS(BD!$A$3:$A$5001,BD!$B$3:$B$5001,T$198,BD!$A$3:$A$5001,"&gt;="&amp;$C$7,BD!$A$3:$A$5001,"&lt;="&amp;$B206,BD!$S$3:$S$5001,"&lt;&gt;"))))</f>
        <v/>
      </c>
      <c r="U206" s="54" t="str">
        <f>IF(OR($B206="",$A206&gt;$B$9,U$198=""),"",IF(COUNTIFS(BD!$B$3:$B$5001,U$198,BD!$A$3:$A$5001,"&gt;="&amp;$C$7,BD!$A$3:$A$5001,"&lt;="&amp;$B206,BD!$S$3:$S$5001,"&lt;&gt;")=0,"",SUMIFS(BD!$S$3:$S$5001,BD!$B$3:$B$5001,U$198,BD!$A$3:$A$5001,_xlfn.MAXIFS(BD!$A$3:$A$5001,BD!$B$3:$B$5001,U$198,BD!$A$3:$A$5001,"&gt;="&amp;$C$7,BD!$A$3:$A$5001,"&lt;="&amp;$B206,BD!$S$3:$S$5001,"&lt;&gt;"))))</f>
        <v/>
      </c>
      <c r="V206" s="54" t="str">
        <f>IF(OR($B206="",$A206&gt;$B$9,V$198=""),"",IF(COUNTIFS(BD!$B$3:$B$5001,V$198,BD!$A$3:$A$5001,"&gt;="&amp;$C$7,BD!$A$3:$A$5001,"&lt;="&amp;$B206,BD!$S$3:$S$5001,"&lt;&gt;")=0,"",SUMIFS(BD!$S$3:$S$5001,BD!$B$3:$B$5001,V$198,BD!$A$3:$A$5001,_xlfn.MAXIFS(BD!$A$3:$A$5001,BD!$B$3:$B$5001,V$198,BD!$A$3:$A$5001,"&gt;="&amp;$C$7,BD!$A$3:$A$5001,"&lt;="&amp;$B206,BD!$S$3:$S$5001,"&lt;&gt;"))))</f>
        <v/>
      </c>
    </row>
    <row r="207">
      <c r="A207" s="48">
        <v>9</v>
      </c>
      <c r="B207" s="53">
        <f>$B$20</f>
        <v>46304</v>
      </c>
      <c r="C207" s="54" t="str">
        <f>IF(OR($B207="",$A207&gt;$B$9,C$198=""),"",IF(COUNTIFS(BD!$B$3:$B$5001,C$198,BD!$A$3:$A$5001,"&gt;="&amp;$C$7,BD!$A$3:$A$5001,"&lt;="&amp;$B207,BD!$S$3:$S$5001,"&lt;&gt;")=0,"",SUMIFS(BD!$S$3:$S$5001,BD!$B$3:$B$5001,C$198,BD!$A$3:$A$5001,_xlfn.MAXIFS(BD!$A$3:$A$5001,BD!$B$3:$B$5001,C$198,BD!$A$3:$A$5001,"&gt;="&amp;$C$7,BD!$A$3:$A$5001,"&lt;="&amp;$B207,BD!$S$3:$S$5001,"&lt;&gt;"))))</f>
        <v/>
      </c>
      <c r="D207" s="54" t="str">
        <f>IF(OR($B207="",$A207&gt;$B$9,D$198=""),"",IF(COUNTIFS(BD!$B$3:$B$5001,D$198,BD!$A$3:$A$5001,"&gt;="&amp;$C$7,BD!$A$3:$A$5001,"&lt;="&amp;$B207,BD!$S$3:$S$5001,"&lt;&gt;")=0,"",SUMIFS(BD!$S$3:$S$5001,BD!$B$3:$B$5001,D$198,BD!$A$3:$A$5001,_xlfn.MAXIFS(BD!$A$3:$A$5001,BD!$B$3:$B$5001,D$198,BD!$A$3:$A$5001,"&gt;="&amp;$C$7,BD!$A$3:$A$5001,"&lt;="&amp;$B207,BD!$S$3:$S$5001,"&lt;&gt;"))))</f>
        <v/>
      </c>
      <c r="E207" s="54" t="str">
        <f>IF(OR($B207="",$A207&gt;$B$9,E$198=""),"",IF(COUNTIFS(BD!$B$3:$B$5001,E$198,BD!$A$3:$A$5001,"&gt;="&amp;$C$7,BD!$A$3:$A$5001,"&lt;="&amp;$B207,BD!$S$3:$S$5001,"&lt;&gt;")=0,"",SUMIFS(BD!$S$3:$S$5001,BD!$B$3:$B$5001,E$198,BD!$A$3:$A$5001,_xlfn.MAXIFS(BD!$A$3:$A$5001,BD!$B$3:$B$5001,E$198,BD!$A$3:$A$5001,"&gt;="&amp;$C$7,BD!$A$3:$A$5001,"&lt;="&amp;$B207,BD!$S$3:$S$5001,"&lt;&gt;"))))</f>
        <v/>
      </c>
      <c r="F207" s="54" t="str">
        <f>IF(OR($B207="",$A207&gt;$B$9,F$198=""),"",IF(COUNTIFS(BD!$B$3:$B$5001,F$198,BD!$A$3:$A$5001,"&gt;="&amp;$C$7,BD!$A$3:$A$5001,"&lt;="&amp;$B207,BD!$S$3:$S$5001,"&lt;&gt;")=0,"",SUMIFS(BD!$S$3:$S$5001,BD!$B$3:$B$5001,F$198,BD!$A$3:$A$5001,_xlfn.MAXIFS(BD!$A$3:$A$5001,BD!$B$3:$B$5001,F$198,BD!$A$3:$A$5001,"&gt;="&amp;$C$7,BD!$A$3:$A$5001,"&lt;="&amp;$B207,BD!$S$3:$S$5001,"&lt;&gt;"))))</f>
        <v/>
      </c>
      <c r="G207" s="54" t="str">
        <f>IF(OR($B207="",$A207&gt;$B$9,G$198=""),"",IF(COUNTIFS(BD!$B$3:$B$5001,G$198,BD!$A$3:$A$5001,"&gt;="&amp;$C$7,BD!$A$3:$A$5001,"&lt;="&amp;$B207,BD!$S$3:$S$5001,"&lt;&gt;")=0,"",SUMIFS(BD!$S$3:$S$5001,BD!$B$3:$B$5001,G$198,BD!$A$3:$A$5001,_xlfn.MAXIFS(BD!$A$3:$A$5001,BD!$B$3:$B$5001,G$198,BD!$A$3:$A$5001,"&gt;="&amp;$C$7,BD!$A$3:$A$5001,"&lt;="&amp;$B207,BD!$S$3:$S$5001,"&lt;&gt;"))))</f>
        <v/>
      </c>
      <c r="H207" s="54" t="str">
        <f>IF(OR($B207="",$A207&gt;$B$9,H$198=""),"",IF(COUNTIFS(BD!$B$3:$B$5001,H$198,BD!$A$3:$A$5001,"&gt;="&amp;$C$7,BD!$A$3:$A$5001,"&lt;="&amp;$B207,BD!$S$3:$S$5001,"&lt;&gt;")=0,"",SUMIFS(BD!$S$3:$S$5001,BD!$B$3:$B$5001,H$198,BD!$A$3:$A$5001,_xlfn.MAXIFS(BD!$A$3:$A$5001,BD!$B$3:$B$5001,H$198,BD!$A$3:$A$5001,"&gt;="&amp;$C$7,BD!$A$3:$A$5001,"&lt;="&amp;$B207,BD!$S$3:$S$5001,"&lt;&gt;"))))</f>
        <v/>
      </c>
      <c r="I207" s="54" t="str">
        <f>IF(OR($B207="",$A207&gt;$B$9,I$198=""),"",IF(COUNTIFS(BD!$B$3:$B$5001,I$198,BD!$A$3:$A$5001,"&gt;="&amp;$C$7,BD!$A$3:$A$5001,"&lt;="&amp;$B207,BD!$S$3:$S$5001,"&lt;&gt;")=0,"",SUMIFS(BD!$S$3:$S$5001,BD!$B$3:$B$5001,I$198,BD!$A$3:$A$5001,_xlfn.MAXIFS(BD!$A$3:$A$5001,BD!$B$3:$B$5001,I$198,BD!$A$3:$A$5001,"&gt;="&amp;$C$7,BD!$A$3:$A$5001,"&lt;="&amp;$B207,BD!$S$3:$S$5001,"&lt;&gt;"))))</f>
        <v/>
      </c>
      <c r="J207" s="54" t="str">
        <f>IF(OR($B207="",$A207&gt;$B$9,J$198=""),"",IF(COUNTIFS(BD!$B$3:$B$5001,J$198,BD!$A$3:$A$5001,"&gt;="&amp;$C$7,BD!$A$3:$A$5001,"&lt;="&amp;$B207,BD!$S$3:$S$5001,"&lt;&gt;")=0,"",SUMIFS(BD!$S$3:$S$5001,BD!$B$3:$B$5001,J$198,BD!$A$3:$A$5001,_xlfn.MAXIFS(BD!$A$3:$A$5001,BD!$B$3:$B$5001,J$198,BD!$A$3:$A$5001,"&gt;="&amp;$C$7,BD!$A$3:$A$5001,"&lt;="&amp;$B207,BD!$S$3:$S$5001,"&lt;&gt;"))))</f>
        <v/>
      </c>
      <c r="K207" s="54" t="str">
        <f>IF(OR($B207="",$A207&gt;$B$9,K$198=""),"",IF(COUNTIFS(BD!$B$3:$B$5001,K$198,BD!$A$3:$A$5001,"&gt;="&amp;$C$7,BD!$A$3:$A$5001,"&lt;="&amp;$B207,BD!$S$3:$S$5001,"&lt;&gt;")=0,"",SUMIFS(BD!$S$3:$S$5001,BD!$B$3:$B$5001,K$198,BD!$A$3:$A$5001,_xlfn.MAXIFS(BD!$A$3:$A$5001,BD!$B$3:$B$5001,K$198,BD!$A$3:$A$5001,"&gt;="&amp;$C$7,BD!$A$3:$A$5001,"&lt;="&amp;$B207,BD!$S$3:$S$5001,"&lt;&gt;"))))</f>
        <v/>
      </c>
      <c r="L207" s="54" t="str">
        <f>IF(OR($B207="",$A207&gt;$B$9,L$198=""),"",IF(COUNTIFS(BD!$B$3:$B$5001,L$198,BD!$A$3:$A$5001,"&gt;="&amp;$C$7,BD!$A$3:$A$5001,"&lt;="&amp;$B207,BD!$S$3:$S$5001,"&lt;&gt;")=0,"",SUMIFS(BD!$S$3:$S$5001,BD!$B$3:$B$5001,L$198,BD!$A$3:$A$5001,_xlfn.MAXIFS(BD!$A$3:$A$5001,BD!$B$3:$B$5001,L$198,BD!$A$3:$A$5001,"&gt;="&amp;$C$7,BD!$A$3:$A$5001,"&lt;="&amp;$B207,BD!$S$3:$S$5001,"&lt;&gt;"))))</f>
        <v/>
      </c>
      <c r="M207" s="54" t="str">
        <f>IF(OR($B207="",$A207&gt;$B$9,M$198=""),"",IF(COUNTIFS(BD!$B$3:$B$5001,M$198,BD!$A$3:$A$5001,"&gt;="&amp;$C$7,BD!$A$3:$A$5001,"&lt;="&amp;$B207,BD!$S$3:$S$5001,"&lt;&gt;")=0,"",SUMIFS(BD!$S$3:$S$5001,BD!$B$3:$B$5001,M$198,BD!$A$3:$A$5001,_xlfn.MAXIFS(BD!$A$3:$A$5001,BD!$B$3:$B$5001,M$198,BD!$A$3:$A$5001,"&gt;="&amp;$C$7,BD!$A$3:$A$5001,"&lt;="&amp;$B207,BD!$S$3:$S$5001,"&lt;&gt;"))))</f>
        <v/>
      </c>
      <c r="N207" s="54" t="str">
        <f>IF(OR($B207="",$A207&gt;$B$9,N$198=""),"",IF(COUNTIFS(BD!$B$3:$B$5001,N$198,BD!$A$3:$A$5001,"&gt;="&amp;$C$7,BD!$A$3:$A$5001,"&lt;="&amp;$B207,BD!$S$3:$S$5001,"&lt;&gt;")=0,"",SUMIFS(BD!$S$3:$S$5001,BD!$B$3:$B$5001,N$198,BD!$A$3:$A$5001,_xlfn.MAXIFS(BD!$A$3:$A$5001,BD!$B$3:$B$5001,N$198,BD!$A$3:$A$5001,"&gt;="&amp;$C$7,BD!$A$3:$A$5001,"&lt;="&amp;$B207,BD!$S$3:$S$5001,"&lt;&gt;"))))</f>
        <v/>
      </c>
      <c r="O207" s="54" t="str">
        <f>IF(OR($B207="",$A207&gt;$B$9,O$198=""),"",IF(COUNTIFS(BD!$B$3:$B$5001,O$198,BD!$A$3:$A$5001,"&gt;="&amp;$C$7,BD!$A$3:$A$5001,"&lt;="&amp;$B207,BD!$S$3:$S$5001,"&lt;&gt;")=0,"",SUMIFS(BD!$S$3:$S$5001,BD!$B$3:$B$5001,O$198,BD!$A$3:$A$5001,_xlfn.MAXIFS(BD!$A$3:$A$5001,BD!$B$3:$B$5001,O$198,BD!$A$3:$A$5001,"&gt;="&amp;$C$7,BD!$A$3:$A$5001,"&lt;="&amp;$B207,BD!$S$3:$S$5001,"&lt;&gt;"))))</f>
        <v/>
      </c>
      <c r="P207" s="54" t="str">
        <f>IF(OR($B207="",$A207&gt;$B$9,P$198=""),"",IF(COUNTIFS(BD!$B$3:$B$5001,P$198,BD!$A$3:$A$5001,"&gt;="&amp;$C$7,BD!$A$3:$A$5001,"&lt;="&amp;$B207,BD!$S$3:$S$5001,"&lt;&gt;")=0,"",SUMIFS(BD!$S$3:$S$5001,BD!$B$3:$B$5001,P$198,BD!$A$3:$A$5001,_xlfn.MAXIFS(BD!$A$3:$A$5001,BD!$B$3:$B$5001,P$198,BD!$A$3:$A$5001,"&gt;="&amp;$C$7,BD!$A$3:$A$5001,"&lt;="&amp;$B207,BD!$S$3:$S$5001,"&lt;&gt;"))))</f>
        <v/>
      </c>
      <c r="Q207" s="54" t="str">
        <f>IF(OR($B207="",$A207&gt;$B$9,Q$198=""),"",IF(COUNTIFS(BD!$B$3:$B$5001,Q$198,BD!$A$3:$A$5001,"&gt;="&amp;$C$7,BD!$A$3:$A$5001,"&lt;="&amp;$B207,BD!$S$3:$S$5001,"&lt;&gt;")=0,"",SUMIFS(BD!$S$3:$S$5001,BD!$B$3:$B$5001,Q$198,BD!$A$3:$A$5001,_xlfn.MAXIFS(BD!$A$3:$A$5001,BD!$B$3:$B$5001,Q$198,BD!$A$3:$A$5001,"&gt;="&amp;$C$7,BD!$A$3:$A$5001,"&lt;="&amp;$B207,BD!$S$3:$S$5001,"&lt;&gt;"))))</f>
        <v/>
      </c>
      <c r="R207" s="54" t="str">
        <f>IF(OR($B207="",$A207&gt;$B$9,R$198=""),"",IF(COUNTIFS(BD!$B$3:$B$5001,R$198,BD!$A$3:$A$5001,"&gt;="&amp;$C$7,BD!$A$3:$A$5001,"&lt;="&amp;$B207,BD!$S$3:$S$5001,"&lt;&gt;")=0,"",SUMIFS(BD!$S$3:$S$5001,BD!$B$3:$B$5001,R$198,BD!$A$3:$A$5001,_xlfn.MAXIFS(BD!$A$3:$A$5001,BD!$B$3:$B$5001,R$198,BD!$A$3:$A$5001,"&gt;="&amp;$C$7,BD!$A$3:$A$5001,"&lt;="&amp;$B207,BD!$S$3:$S$5001,"&lt;&gt;"))))</f>
        <v/>
      </c>
      <c r="S207" s="54" t="str">
        <f>IF(OR($B207="",$A207&gt;$B$9,S$198=""),"",IF(COUNTIFS(BD!$B$3:$B$5001,S$198,BD!$A$3:$A$5001,"&gt;="&amp;$C$7,BD!$A$3:$A$5001,"&lt;="&amp;$B207,BD!$S$3:$S$5001,"&lt;&gt;")=0,"",SUMIFS(BD!$S$3:$S$5001,BD!$B$3:$B$5001,S$198,BD!$A$3:$A$5001,_xlfn.MAXIFS(BD!$A$3:$A$5001,BD!$B$3:$B$5001,S$198,BD!$A$3:$A$5001,"&gt;="&amp;$C$7,BD!$A$3:$A$5001,"&lt;="&amp;$B207,BD!$S$3:$S$5001,"&lt;&gt;"))))</f>
        <v/>
      </c>
      <c r="T207" s="54" t="str">
        <f>IF(OR($B207="",$A207&gt;$B$9,T$198=""),"",IF(COUNTIFS(BD!$B$3:$B$5001,T$198,BD!$A$3:$A$5001,"&gt;="&amp;$C$7,BD!$A$3:$A$5001,"&lt;="&amp;$B207,BD!$S$3:$S$5001,"&lt;&gt;")=0,"",SUMIFS(BD!$S$3:$S$5001,BD!$B$3:$B$5001,T$198,BD!$A$3:$A$5001,_xlfn.MAXIFS(BD!$A$3:$A$5001,BD!$B$3:$B$5001,T$198,BD!$A$3:$A$5001,"&gt;="&amp;$C$7,BD!$A$3:$A$5001,"&lt;="&amp;$B207,BD!$S$3:$S$5001,"&lt;&gt;"))))</f>
        <v/>
      </c>
      <c r="U207" s="54" t="str">
        <f>IF(OR($B207="",$A207&gt;$B$9,U$198=""),"",IF(COUNTIFS(BD!$B$3:$B$5001,U$198,BD!$A$3:$A$5001,"&gt;="&amp;$C$7,BD!$A$3:$A$5001,"&lt;="&amp;$B207,BD!$S$3:$S$5001,"&lt;&gt;")=0,"",SUMIFS(BD!$S$3:$S$5001,BD!$B$3:$B$5001,U$198,BD!$A$3:$A$5001,_xlfn.MAXIFS(BD!$A$3:$A$5001,BD!$B$3:$B$5001,U$198,BD!$A$3:$A$5001,"&gt;="&amp;$C$7,BD!$A$3:$A$5001,"&lt;="&amp;$B207,BD!$S$3:$S$5001,"&lt;&gt;"))))</f>
        <v/>
      </c>
      <c r="V207" s="54" t="str">
        <f>IF(OR($B207="",$A207&gt;$B$9,V$198=""),"",IF(COUNTIFS(BD!$B$3:$B$5001,V$198,BD!$A$3:$A$5001,"&gt;="&amp;$C$7,BD!$A$3:$A$5001,"&lt;="&amp;$B207,BD!$S$3:$S$5001,"&lt;&gt;")=0,"",SUMIFS(BD!$S$3:$S$5001,BD!$B$3:$B$5001,V$198,BD!$A$3:$A$5001,_xlfn.MAXIFS(BD!$A$3:$A$5001,BD!$B$3:$B$5001,V$198,BD!$A$3:$A$5001,"&gt;="&amp;$C$7,BD!$A$3:$A$5001,"&lt;="&amp;$B207,BD!$S$3:$S$5001,"&lt;&gt;"))))</f>
        <v/>
      </c>
    </row>
    <row r="208">
      <c r="A208" s="48">
        <v>10</v>
      </c>
      <c r="B208" s="53">
        <f>$B$21</f>
        <v>46305</v>
      </c>
      <c r="C208" s="54" t="str">
        <f>IF(OR($B208="",$A208&gt;$B$9,C$198=""),"",IF(COUNTIFS(BD!$B$3:$B$5001,C$198,BD!$A$3:$A$5001,"&gt;="&amp;$C$7,BD!$A$3:$A$5001,"&lt;="&amp;$B208,BD!$S$3:$S$5001,"&lt;&gt;")=0,"",SUMIFS(BD!$S$3:$S$5001,BD!$B$3:$B$5001,C$198,BD!$A$3:$A$5001,_xlfn.MAXIFS(BD!$A$3:$A$5001,BD!$B$3:$B$5001,C$198,BD!$A$3:$A$5001,"&gt;="&amp;$C$7,BD!$A$3:$A$5001,"&lt;="&amp;$B208,BD!$S$3:$S$5001,"&lt;&gt;"))))</f>
        <v/>
      </c>
      <c r="D208" s="54" t="str">
        <f>IF(OR($B208="",$A208&gt;$B$9,D$198=""),"",IF(COUNTIFS(BD!$B$3:$B$5001,D$198,BD!$A$3:$A$5001,"&gt;="&amp;$C$7,BD!$A$3:$A$5001,"&lt;="&amp;$B208,BD!$S$3:$S$5001,"&lt;&gt;")=0,"",SUMIFS(BD!$S$3:$S$5001,BD!$B$3:$B$5001,D$198,BD!$A$3:$A$5001,_xlfn.MAXIFS(BD!$A$3:$A$5001,BD!$B$3:$B$5001,D$198,BD!$A$3:$A$5001,"&gt;="&amp;$C$7,BD!$A$3:$A$5001,"&lt;="&amp;$B208,BD!$S$3:$S$5001,"&lt;&gt;"))))</f>
        <v/>
      </c>
      <c r="E208" s="54" t="str">
        <f>IF(OR($B208="",$A208&gt;$B$9,E$198=""),"",IF(COUNTIFS(BD!$B$3:$B$5001,E$198,BD!$A$3:$A$5001,"&gt;="&amp;$C$7,BD!$A$3:$A$5001,"&lt;="&amp;$B208,BD!$S$3:$S$5001,"&lt;&gt;")=0,"",SUMIFS(BD!$S$3:$S$5001,BD!$B$3:$B$5001,E$198,BD!$A$3:$A$5001,_xlfn.MAXIFS(BD!$A$3:$A$5001,BD!$B$3:$B$5001,E$198,BD!$A$3:$A$5001,"&gt;="&amp;$C$7,BD!$A$3:$A$5001,"&lt;="&amp;$B208,BD!$S$3:$S$5001,"&lt;&gt;"))))</f>
        <v/>
      </c>
      <c r="F208" s="54" t="str">
        <f>IF(OR($B208="",$A208&gt;$B$9,F$198=""),"",IF(COUNTIFS(BD!$B$3:$B$5001,F$198,BD!$A$3:$A$5001,"&gt;="&amp;$C$7,BD!$A$3:$A$5001,"&lt;="&amp;$B208,BD!$S$3:$S$5001,"&lt;&gt;")=0,"",SUMIFS(BD!$S$3:$S$5001,BD!$B$3:$B$5001,F$198,BD!$A$3:$A$5001,_xlfn.MAXIFS(BD!$A$3:$A$5001,BD!$B$3:$B$5001,F$198,BD!$A$3:$A$5001,"&gt;="&amp;$C$7,BD!$A$3:$A$5001,"&lt;="&amp;$B208,BD!$S$3:$S$5001,"&lt;&gt;"))))</f>
        <v/>
      </c>
      <c r="G208" s="54" t="str">
        <f>IF(OR($B208="",$A208&gt;$B$9,G$198=""),"",IF(COUNTIFS(BD!$B$3:$B$5001,G$198,BD!$A$3:$A$5001,"&gt;="&amp;$C$7,BD!$A$3:$A$5001,"&lt;="&amp;$B208,BD!$S$3:$S$5001,"&lt;&gt;")=0,"",SUMIFS(BD!$S$3:$S$5001,BD!$B$3:$B$5001,G$198,BD!$A$3:$A$5001,_xlfn.MAXIFS(BD!$A$3:$A$5001,BD!$B$3:$B$5001,G$198,BD!$A$3:$A$5001,"&gt;="&amp;$C$7,BD!$A$3:$A$5001,"&lt;="&amp;$B208,BD!$S$3:$S$5001,"&lt;&gt;"))))</f>
        <v/>
      </c>
      <c r="H208" s="54" t="str">
        <f>IF(OR($B208="",$A208&gt;$B$9,H$198=""),"",IF(COUNTIFS(BD!$B$3:$B$5001,H$198,BD!$A$3:$A$5001,"&gt;="&amp;$C$7,BD!$A$3:$A$5001,"&lt;="&amp;$B208,BD!$S$3:$S$5001,"&lt;&gt;")=0,"",SUMIFS(BD!$S$3:$S$5001,BD!$B$3:$B$5001,H$198,BD!$A$3:$A$5001,_xlfn.MAXIFS(BD!$A$3:$A$5001,BD!$B$3:$B$5001,H$198,BD!$A$3:$A$5001,"&gt;="&amp;$C$7,BD!$A$3:$A$5001,"&lt;="&amp;$B208,BD!$S$3:$S$5001,"&lt;&gt;"))))</f>
        <v/>
      </c>
      <c r="I208" s="54" t="str">
        <f>IF(OR($B208="",$A208&gt;$B$9,I$198=""),"",IF(COUNTIFS(BD!$B$3:$B$5001,I$198,BD!$A$3:$A$5001,"&gt;="&amp;$C$7,BD!$A$3:$A$5001,"&lt;="&amp;$B208,BD!$S$3:$S$5001,"&lt;&gt;")=0,"",SUMIFS(BD!$S$3:$S$5001,BD!$B$3:$B$5001,I$198,BD!$A$3:$A$5001,_xlfn.MAXIFS(BD!$A$3:$A$5001,BD!$B$3:$B$5001,I$198,BD!$A$3:$A$5001,"&gt;="&amp;$C$7,BD!$A$3:$A$5001,"&lt;="&amp;$B208,BD!$S$3:$S$5001,"&lt;&gt;"))))</f>
        <v/>
      </c>
      <c r="J208" s="54" t="str">
        <f>IF(OR($B208="",$A208&gt;$B$9,J$198=""),"",IF(COUNTIFS(BD!$B$3:$B$5001,J$198,BD!$A$3:$A$5001,"&gt;="&amp;$C$7,BD!$A$3:$A$5001,"&lt;="&amp;$B208,BD!$S$3:$S$5001,"&lt;&gt;")=0,"",SUMIFS(BD!$S$3:$S$5001,BD!$B$3:$B$5001,J$198,BD!$A$3:$A$5001,_xlfn.MAXIFS(BD!$A$3:$A$5001,BD!$B$3:$B$5001,J$198,BD!$A$3:$A$5001,"&gt;="&amp;$C$7,BD!$A$3:$A$5001,"&lt;="&amp;$B208,BD!$S$3:$S$5001,"&lt;&gt;"))))</f>
        <v/>
      </c>
      <c r="K208" s="54" t="str">
        <f>IF(OR($B208="",$A208&gt;$B$9,K$198=""),"",IF(COUNTIFS(BD!$B$3:$B$5001,K$198,BD!$A$3:$A$5001,"&gt;="&amp;$C$7,BD!$A$3:$A$5001,"&lt;="&amp;$B208,BD!$S$3:$S$5001,"&lt;&gt;")=0,"",SUMIFS(BD!$S$3:$S$5001,BD!$B$3:$B$5001,K$198,BD!$A$3:$A$5001,_xlfn.MAXIFS(BD!$A$3:$A$5001,BD!$B$3:$B$5001,K$198,BD!$A$3:$A$5001,"&gt;="&amp;$C$7,BD!$A$3:$A$5001,"&lt;="&amp;$B208,BD!$S$3:$S$5001,"&lt;&gt;"))))</f>
        <v/>
      </c>
      <c r="L208" s="54" t="str">
        <f>IF(OR($B208="",$A208&gt;$B$9,L$198=""),"",IF(COUNTIFS(BD!$B$3:$B$5001,L$198,BD!$A$3:$A$5001,"&gt;="&amp;$C$7,BD!$A$3:$A$5001,"&lt;="&amp;$B208,BD!$S$3:$S$5001,"&lt;&gt;")=0,"",SUMIFS(BD!$S$3:$S$5001,BD!$B$3:$B$5001,L$198,BD!$A$3:$A$5001,_xlfn.MAXIFS(BD!$A$3:$A$5001,BD!$B$3:$B$5001,L$198,BD!$A$3:$A$5001,"&gt;="&amp;$C$7,BD!$A$3:$A$5001,"&lt;="&amp;$B208,BD!$S$3:$S$5001,"&lt;&gt;"))))</f>
        <v/>
      </c>
      <c r="M208" s="54" t="str">
        <f>IF(OR($B208="",$A208&gt;$B$9,M$198=""),"",IF(COUNTIFS(BD!$B$3:$B$5001,M$198,BD!$A$3:$A$5001,"&gt;="&amp;$C$7,BD!$A$3:$A$5001,"&lt;="&amp;$B208,BD!$S$3:$S$5001,"&lt;&gt;")=0,"",SUMIFS(BD!$S$3:$S$5001,BD!$B$3:$B$5001,M$198,BD!$A$3:$A$5001,_xlfn.MAXIFS(BD!$A$3:$A$5001,BD!$B$3:$B$5001,M$198,BD!$A$3:$A$5001,"&gt;="&amp;$C$7,BD!$A$3:$A$5001,"&lt;="&amp;$B208,BD!$S$3:$S$5001,"&lt;&gt;"))))</f>
        <v/>
      </c>
      <c r="N208" s="54" t="str">
        <f>IF(OR($B208="",$A208&gt;$B$9,N$198=""),"",IF(COUNTIFS(BD!$B$3:$B$5001,N$198,BD!$A$3:$A$5001,"&gt;="&amp;$C$7,BD!$A$3:$A$5001,"&lt;="&amp;$B208,BD!$S$3:$S$5001,"&lt;&gt;")=0,"",SUMIFS(BD!$S$3:$S$5001,BD!$B$3:$B$5001,N$198,BD!$A$3:$A$5001,_xlfn.MAXIFS(BD!$A$3:$A$5001,BD!$B$3:$B$5001,N$198,BD!$A$3:$A$5001,"&gt;="&amp;$C$7,BD!$A$3:$A$5001,"&lt;="&amp;$B208,BD!$S$3:$S$5001,"&lt;&gt;"))))</f>
        <v/>
      </c>
      <c r="O208" s="54" t="str">
        <f>IF(OR($B208="",$A208&gt;$B$9,O$198=""),"",IF(COUNTIFS(BD!$B$3:$B$5001,O$198,BD!$A$3:$A$5001,"&gt;="&amp;$C$7,BD!$A$3:$A$5001,"&lt;="&amp;$B208,BD!$S$3:$S$5001,"&lt;&gt;")=0,"",SUMIFS(BD!$S$3:$S$5001,BD!$B$3:$B$5001,O$198,BD!$A$3:$A$5001,_xlfn.MAXIFS(BD!$A$3:$A$5001,BD!$B$3:$B$5001,O$198,BD!$A$3:$A$5001,"&gt;="&amp;$C$7,BD!$A$3:$A$5001,"&lt;="&amp;$B208,BD!$S$3:$S$5001,"&lt;&gt;"))))</f>
        <v/>
      </c>
      <c r="P208" s="54" t="str">
        <f>IF(OR($B208="",$A208&gt;$B$9,P$198=""),"",IF(COUNTIFS(BD!$B$3:$B$5001,P$198,BD!$A$3:$A$5001,"&gt;="&amp;$C$7,BD!$A$3:$A$5001,"&lt;="&amp;$B208,BD!$S$3:$S$5001,"&lt;&gt;")=0,"",SUMIFS(BD!$S$3:$S$5001,BD!$B$3:$B$5001,P$198,BD!$A$3:$A$5001,_xlfn.MAXIFS(BD!$A$3:$A$5001,BD!$B$3:$B$5001,P$198,BD!$A$3:$A$5001,"&gt;="&amp;$C$7,BD!$A$3:$A$5001,"&lt;="&amp;$B208,BD!$S$3:$S$5001,"&lt;&gt;"))))</f>
        <v/>
      </c>
      <c r="Q208" s="54" t="str">
        <f>IF(OR($B208="",$A208&gt;$B$9,Q$198=""),"",IF(COUNTIFS(BD!$B$3:$B$5001,Q$198,BD!$A$3:$A$5001,"&gt;="&amp;$C$7,BD!$A$3:$A$5001,"&lt;="&amp;$B208,BD!$S$3:$S$5001,"&lt;&gt;")=0,"",SUMIFS(BD!$S$3:$S$5001,BD!$B$3:$B$5001,Q$198,BD!$A$3:$A$5001,_xlfn.MAXIFS(BD!$A$3:$A$5001,BD!$B$3:$B$5001,Q$198,BD!$A$3:$A$5001,"&gt;="&amp;$C$7,BD!$A$3:$A$5001,"&lt;="&amp;$B208,BD!$S$3:$S$5001,"&lt;&gt;"))))</f>
        <v/>
      </c>
      <c r="R208" s="54" t="str">
        <f>IF(OR($B208="",$A208&gt;$B$9,R$198=""),"",IF(COUNTIFS(BD!$B$3:$B$5001,R$198,BD!$A$3:$A$5001,"&gt;="&amp;$C$7,BD!$A$3:$A$5001,"&lt;="&amp;$B208,BD!$S$3:$S$5001,"&lt;&gt;")=0,"",SUMIFS(BD!$S$3:$S$5001,BD!$B$3:$B$5001,R$198,BD!$A$3:$A$5001,_xlfn.MAXIFS(BD!$A$3:$A$5001,BD!$B$3:$B$5001,R$198,BD!$A$3:$A$5001,"&gt;="&amp;$C$7,BD!$A$3:$A$5001,"&lt;="&amp;$B208,BD!$S$3:$S$5001,"&lt;&gt;"))))</f>
        <v/>
      </c>
      <c r="S208" s="54" t="str">
        <f>IF(OR($B208="",$A208&gt;$B$9,S$198=""),"",IF(COUNTIFS(BD!$B$3:$B$5001,S$198,BD!$A$3:$A$5001,"&gt;="&amp;$C$7,BD!$A$3:$A$5001,"&lt;="&amp;$B208,BD!$S$3:$S$5001,"&lt;&gt;")=0,"",SUMIFS(BD!$S$3:$S$5001,BD!$B$3:$B$5001,S$198,BD!$A$3:$A$5001,_xlfn.MAXIFS(BD!$A$3:$A$5001,BD!$B$3:$B$5001,S$198,BD!$A$3:$A$5001,"&gt;="&amp;$C$7,BD!$A$3:$A$5001,"&lt;="&amp;$B208,BD!$S$3:$S$5001,"&lt;&gt;"))))</f>
        <v/>
      </c>
      <c r="T208" s="54" t="str">
        <f>IF(OR($B208="",$A208&gt;$B$9,T$198=""),"",IF(COUNTIFS(BD!$B$3:$B$5001,T$198,BD!$A$3:$A$5001,"&gt;="&amp;$C$7,BD!$A$3:$A$5001,"&lt;="&amp;$B208,BD!$S$3:$S$5001,"&lt;&gt;")=0,"",SUMIFS(BD!$S$3:$S$5001,BD!$B$3:$B$5001,T$198,BD!$A$3:$A$5001,_xlfn.MAXIFS(BD!$A$3:$A$5001,BD!$B$3:$B$5001,T$198,BD!$A$3:$A$5001,"&gt;="&amp;$C$7,BD!$A$3:$A$5001,"&lt;="&amp;$B208,BD!$S$3:$S$5001,"&lt;&gt;"))))</f>
        <v/>
      </c>
      <c r="U208" s="54" t="str">
        <f>IF(OR($B208="",$A208&gt;$B$9,U$198=""),"",IF(COUNTIFS(BD!$B$3:$B$5001,U$198,BD!$A$3:$A$5001,"&gt;="&amp;$C$7,BD!$A$3:$A$5001,"&lt;="&amp;$B208,BD!$S$3:$S$5001,"&lt;&gt;")=0,"",SUMIFS(BD!$S$3:$S$5001,BD!$B$3:$B$5001,U$198,BD!$A$3:$A$5001,_xlfn.MAXIFS(BD!$A$3:$A$5001,BD!$B$3:$B$5001,U$198,BD!$A$3:$A$5001,"&gt;="&amp;$C$7,BD!$A$3:$A$5001,"&lt;="&amp;$B208,BD!$S$3:$S$5001,"&lt;&gt;"))))</f>
        <v/>
      </c>
      <c r="V208" s="54" t="str">
        <f>IF(OR($B208="",$A208&gt;$B$9,V$198=""),"",IF(COUNTIFS(BD!$B$3:$B$5001,V$198,BD!$A$3:$A$5001,"&gt;="&amp;$C$7,BD!$A$3:$A$5001,"&lt;="&amp;$B208,BD!$S$3:$S$5001,"&lt;&gt;")=0,"",SUMIFS(BD!$S$3:$S$5001,BD!$B$3:$B$5001,V$198,BD!$A$3:$A$5001,_xlfn.MAXIFS(BD!$A$3:$A$5001,BD!$B$3:$B$5001,V$198,BD!$A$3:$A$5001,"&gt;="&amp;$C$7,BD!$A$3:$A$5001,"&lt;="&amp;$B208,BD!$S$3:$S$5001,"&lt;&gt;"))))</f>
        <v/>
      </c>
    </row>
    <row r="209">
      <c r="A209" s="48">
        <v>11</v>
      </c>
      <c r="B209" s="53">
        <f>$B$22</f>
        <v>46306</v>
      </c>
      <c r="C209" s="54" t="str">
        <f>IF(OR($B209="",$A209&gt;$B$9,C$198=""),"",IF(COUNTIFS(BD!$B$3:$B$5001,C$198,BD!$A$3:$A$5001,"&gt;="&amp;$C$7,BD!$A$3:$A$5001,"&lt;="&amp;$B209,BD!$S$3:$S$5001,"&lt;&gt;")=0,"",SUMIFS(BD!$S$3:$S$5001,BD!$B$3:$B$5001,C$198,BD!$A$3:$A$5001,_xlfn.MAXIFS(BD!$A$3:$A$5001,BD!$B$3:$B$5001,C$198,BD!$A$3:$A$5001,"&gt;="&amp;$C$7,BD!$A$3:$A$5001,"&lt;="&amp;$B209,BD!$S$3:$S$5001,"&lt;&gt;"))))</f>
        <v/>
      </c>
      <c r="D209" s="54" t="str">
        <f>IF(OR($B209="",$A209&gt;$B$9,D$198=""),"",IF(COUNTIFS(BD!$B$3:$B$5001,D$198,BD!$A$3:$A$5001,"&gt;="&amp;$C$7,BD!$A$3:$A$5001,"&lt;="&amp;$B209,BD!$S$3:$S$5001,"&lt;&gt;")=0,"",SUMIFS(BD!$S$3:$S$5001,BD!$B$3:$B$5001,D$198,BD!$A$3:$A$5001,_xlfn.MAXIFS(BD!$A$3:$A$5001,BD!$B$3:$B$5001,D$198,BD!$A$3:$A$5001,"&gt;="&amp;$C$7,BD!$A$3:$A$5001,"&lt;="&amp;$B209,BD!$S$3:$S$5001,"&lt;&gt;"))))</f>
        <v/>
      </c>
      <c r="E209" s="54" t="str">
        <f>IF(OR($B209="",$A209&gt;$B$9,E$198=""),"",IF(COUNTIFS(BD!$B$3:$B$5001,E$198,BD!$A$3:$A$5001,"&gt;="&amp;$C$7,BD!$A$3:$A$5001,"&lt;="&amp;$B209,BD!$S$3:$S$5001,"&lt;&gt;")=0,"",SUMIFS(BD!$S$3:$S$5001,BD!$B$3:$B$5001,E$198,BD!$A$3:$A$5001,_xlfn.MAXIFS(BD!$A$3:$A$5001,BD!$B$3:$B$5001,E$198,BD!$A$3:$A$5001,"&gt;="&amp;$C$7,BD!$A$3:$A$5001,"&lt;="&amp;$B209,BD!$S$3:$S$5001,"&lt;&gt;"))))</f>
        <v/>
      </c>
      <c r="F209" s="54" t="str">
        <f>IF(OR($B209="",$A209&gt;$B$9,F$198=""),"",IF(COUNTIFS(BD!$B$3:$B$5001,F$198,BD!$A$3:$A$5001,"&gt;="&amp;$C$7,BD!$A$3:$A$5001,"&lt;="&amp;$B209,BD!$S$3:$S$5001,"&lt;&gt;")=0,"",SUMIFS(BD!$S$3:$S$5001,BD!$B$3:$B$5001,F$198,BD!$A$3:$A$5001,_xlfn.MAXIFS(BD!$A$3:$A$5001,BD!$B$3:$B$5001,F$198,BD!$A$3:$A$5001,"&gt;="&amp;$C$7,BD!$A$3:$A$5001,"&lt;="&amp;$B209,BD!$S$3:$S$5001,"&lt;&gt;"))))</f>
        <v/>
      </c>
      <c r="G209" s="54" t="str">
        <f>IF(OR($B209="",$A209&gt;$B$9,G$198=""),"",IF(COUNTIFS(BD!$B$3:$B$5001,G$198,BD!$A$3:$A$5001,"&gt;="&amp;$C$7,BD!$A$3:$A$5001,"&lt;="&amp;$B209,BD!$S$3:$S$5001,"&lt;&gt;")=0,"",SUMIFS(BD!$S$3:$S$5001,BD!$B$3:$B$5001,G$198,BD!$A$3:$A$5001,_xlfn.MAXIFS(BD!$A$3:$A$5001,BD!$B$3:$B$5001,G$198,BD!$A$3:$A$5001,"&gt;="&amp;$C$7,BD!$A$3:$A$5001,"&lt;="&amp;$B209,BD!$S$3:$S$5001,"&lt;&gt;"))))</f>
        <v/>
      </c>
      <c r="H209" s="54" t="str">
        <f>IF(OR($B209="",$A209&gt;$B$9,H$198=""),"",IF(COUNTIFS(BD!$B$3:$B$5001,H$198,BD!$A$3:$A$5001,"&gt;="&amp;$C$7,BD!$A$3:$A$5001,"&lt;="&amp;$B209,BD!$S$3:$S$5001,"&lt;&gt;")=0,"",SUMIFS(BD!$S$3:$S$5001,BD!$B$3:$B$5001,H$198,BD!$A$3:$A$5001,_xlfn.MAXIFS(BD!$A$3:$A$5001,BD!$B$3:$B$5001,H$198,BD!$A$3:$A$5001,"&gt;="&amp;$C$7,BD!$A$3:$A$5001,"&lt;="&amp;$B209,BD!$S$3:$S$5001,"&lt;&gt;"))))</f>
        <v/>
      </c>
      <c r="I209" s="54" t="str">
        <f>IF(OR($B209="",$A209&gt;$B$9,I$198=""),"",IF(COUNTIFS(BD!$B$3:$B$5001,I$198,BD!$A$3:$A$5001,"&gt;="&amp;$C$7,BD!$A$3:$A$5001,"&lt;="&amp;$B209,BD!$S$3:$S$5001,"&lt;&gt;")=0,"",SUMIFS(BD!$S$3:$S$5001,BD!$B$3:$B$5001,I$198,BD!$A$3:$A$5001,_xlfn.MAXIFS(BD!$A$3:$A$5001,BD!$B$3:$B$5001,I$198,BD!$A$3:$A$5001,"&gt;="&amp;$C$7,BD!$A$3:$A$5001,"&lt;="&amp;$B209,BD!$S$3:$S$5001,"&lt;&gt;"))))</f>
        <v/>
      </c>
      <c r="J209" s="54" t="str">
        <f>IF(OR($B209="",$A209&gt;$B$9,J$198=""),"",IF(COUNTIFS(BD!$B$3:$B$5001,J$198,BD!$A$3:$A$5001,"&gt;="&amp;$C$7,BD!$A$3:$A$5001,"&lt;="&amp;$B209,BD!$S$3:$S$5001,"&lt;&gt;")=0,"",SUMIFS(BD!$S$3:$S$5001,BD!$B$3:$B$5001,J$198,BD!$A$3:$A$5001,_xlfn.MAXIFS(BD!$A$3:$A$5001,BD!$B$3:$B$5001,J$198,BD!$A$3:$A$5001,"&gt;="&amp;$C$7,BD!$A$3:$A$5001,"&lt;="&amp;$B209,BD!$S$3:$S$5001,"&lt;&gt;"))))</f>
        <v/>
      </c>
      <c r="K209" s="54" t="str">
        <f>IF(OR($B209="",$A209&gt;$B$9,K$198=""),"",IF(COUNTIFS(BD!$B$3:$B$5001,K$198,BD!$A$3:$A$5001,"&gt;="&amp;$C$7,BD!$A$3:$A$5001,"&lt;="&amp;$B209,BD!$S$3:$S$5001,"&lt;&gt;")=0,"",SUMIFS(BD!$S$3:$S$5001,BD!$B$3:$B$5001,K$198,BD!$A$3:$A$5001,_xlfn.MAXIFS(BD!$A$3:$A$5001,BD!$B$3:$B$5001,K$198,BD!$A$3:$A$5001,"&gt;="&amp;$C$7,BD!$A$3:$A$5001,"&lt;="&amp;$B209,BD!$S$3:$S$5001,"&lt;&gt;"))))</f>
        <v/>
      </c>
      <c r="L209" s="54" t="str">
        <f>IF(OR($B209="",$A209&gt;$B$9,L$198=""),"",IF(COUNTIFS(BD!$B$3:$B$5001,L$198,BD!$A$3:$A$5001,"&gt;="&amp;$C$7,BD!$A$3:$A$5001,"&lt;="&amp;$B209,BD!$S$3:$S$5001,"&lt;&gt;")=0,"",SUMIFS(BD!$S$3:$S$5001,BD!$B$3:$B$5001,L$198,BD!$A$3:$A$5001,_xlfn.MAXIFS(BD!$A$3:$A$5001,BD!$B$3:$B$5001,L$198,BD!$A$3:$A$5001,"&gt;="&amp;$C$7,BD!$A$3:$A$5001,"&lt;="&amp;$B209,BD!$S$3:$S$5001,"&lt;&gt;"))))</f>
        <v/>
      </c>
      <c r="M209" s="54" t="str">
        <f>IF(OR($B209="",$A209&gt;$B$9,M$198=""),"",IF(COUNTIFS(BD!$B$3:$B$5001,M$198,BD!$A$3:$A$5001,"&gt;="&amp;$C$7,BD!$A$3:$A$5001,"&lt;="&amp;$B209,BD!$S$3:$S$5001,"&lt;&gt;")=0,"",SUMIFS(BD!$S$3:$S$5001,BD!$B$3:$B$5001,M$198,BD!$A$3:$A$5001,_xlfn.MAXIFS(BD!$A$3:$A$5001,BD!$B$3:$B$5001,M$198,BD!$A$3:$A$5001,"&gt;="&amp;$C$7,BD!$A$3:$A$5001,"&lt;="&amp;$B209,BD!$S$3:$S$5001,"&lt;&gt;"))))</f>
        <v/>
      </c>
      <c r="N209" s="54" t="str">
        <f>IF(OR($B209="",$A209&gt;$B$9,N$198=""),"",IF(COUNTIFS(BD!$B$3:$B$5001,N$198,BD!$A$3:$A$5001,"&gt;="&amp;$C$7,BD!$A$3:$A$5001,"&lt;="&amp;$B209,BD!$S$3:$S$5001,"&lt;&gt;")=0,"",SUMIFS(BD!$S$3:$S$5001,BD!$B$3:$B$5001,N$198,BD!$A$3:$A$5001,_xlfn.MAXIFS(BD!$A$3:$A$5001,BD!$B$3:$B$5001,N$198,BD!$A$3:$A$5001,"&gt;="&amp;$C$7,BD!$A$3:$A$5001,"&lt;="&amp;$B209,BD!$S$3:$S$5001,"&lt;&gt;"))))</f>
        <v/>
      </c>
      <c r="O209" s="54" t="str">
        <f>IF(OR($B209="",$A209&gt;$B$9,O$198=""),"",IF(COUNTIFS(BD!$B$3:$B$5001,O$198,BD!$A$3:$A$5001,"&gt;="&amp;$C$7,BD!$A$3:$A$5001,"&lt;="&amp;$B209,BD!$S$3:$S$5001,"&lt;&gt;")=0,"",SUMIFS(BD!$S$3:$S$5001,BD!$B$3:$B$5001,O$198,BD!$A$3:$A$5001,_xlfn.MAXIFS(BD!$A$3:$A$5001,BD!$B$3:$B$5001,O$198,BD!$A$3:$A$5001,"&gt;="&amp;$C$7,BD!$A$3:$A$5001,"&lt;="&amp;$B209,BD!$S$3:$S$5001,"&lt;&gt;"))))</f>
        <v/>
      </c>
      <c r="P209" s="54" t="str">
        <f>IF(OR($B209="",$A209&gt;$B$9,P$198=""),"",IF(COUNTIFS(BD!$B$3:$B$5001,P$198,BD!$A$3:$A$5001,"&gt;="&amp;$C$7,BD!$A$3:$A$5001,"&lt;="&amp;$B209,BD!$S$3:$S$5001,"&lt;&gt;")=0,"",SUMIFS(BD!$S$3:$S$5001,BD!$B$3:$B$5001,P$198,BD!$A$3:$A$5001,_xlfn.MAXIFS(BD!$A$3:$A$5001,BD!$B$3:$B$5001,P$198,BD!$A$3:$A$5001,"&gt;="&amp;$C$7,BD!$A$3:$A$5001,"&lt;="&amp;$B209,BD!$S$3:$S$5001,"&lt;&gt;"))))</f>
        <v/>
      </c>
      <c r="Q209" s="54" t="str">
        <f>IF(OR($B209="",$A209&gt;$B$9,Q$198=""),"",IF(COUNTIFS(BD!$B$3:$B$5001,Q$198,BD!$A$3:$A$5001,"&gt;="&amp;$C$7,BD!$A$3:$A$5001,"&lt;="&amp;$B209,BD!$S$3:$S$5001,"&lt;&gt;")=0,"",SUMIFS(BD!$S$3:$S$5001,BD!$B$3:$B$5001,Q$198,BD!$A$3:$A$5001,_xlfn.MAXIFS(BD!$A$3:$A$5001,BD!$B$3:$B$5001,Q$198,BD!$A$3:$A$5001,"&gt;="&amp;$C$7,BD!$A$3:$A$5001,"&lt;="&amp;$B209,BD!$S$3:$S$5001,"&lt;&gt;"))))</f>
        <v/>
      </c>
      <c r="R209" s="54" t="str">
        <f>IF(OR($B209="",$A209&gt;$B$9,R$198=""),"",IF(COUNTIFS(BD!$B$3:$B$5001,R$198,BD!$A$3:$A$5001,"&gt;="&amp;$C$7,BD!$A$3:$A$5001,"&lt;="&amp;$B209,BD!$S$3:$S$5001,"&lt;&gt;")=0,"",SUMIFS(BD!$S$3:$S$5001,BD!$B$3:$B$5001,R$198,BD!$A$3:$A$5001,_xlfn.MAXIFS(BD!$A$3:$A$5001,BD!$B$3:$B$5001,R$198,BD!$A$3:$A$5001,"&gt;="&amp;$C$7,BD!$A$3:$A$5001,"&lt;="&amp;$B209,BD!$S$3:$S$5001,"&lt;&gt;"))))</f>
        <v/>
      </c>
      <c r="S209" s="54" t="str">
        <f>IF(OR($B209="",$A209&gt;$B$9,S$198=""),"",IF(COUNTIFS(BD!$B$3:$B$5001,S$198,BD!$A$3:$A$5001,"&gt;="&amp;$C$7,BD!$A$3:$A$5001,"&lt;="&amp;$B209,BD!$S$3:$S$5001,"&lt;&gt;")=0,"",SUMIFS(BD!$S$3:$S$5001,BD!$B$3:$B$5001,S$198,BD!$A$3:$A$5001,_xlfn.MAXIFS(BD!$A$3:$A$5001,BD!$B$3:$B$5001,S$198,BD!$A$3:$A$5001,"&gt;="&amp;$C$7,BD!$A$3:$A$5001,"&lt;="&amp;$B209,BD!$S$3:$S$5001,"&lt;&gt;"))))</f>
        <v/>
      </c>
      <c r="T209" s="54" t="str">
        <f>IF(OR($B209="",$A209&gt;$B$9,T$198=""),"",IF(COUNTIFS(BD!$B$3:$B$5001,T$198,BD!$A$3:$A$5001,"&gt;="&amp;$C$7,BD!$A$3:$A$5001,"&lt;="&amp;$B209,BD!$S$3:$S$5001,"&lt;&gt;")=0,"",SUMIFS(BD!$S$3:$S$5001,BD!$B$3:$B$5001,T$198,BD!$A$3:$A$5001,_xlfn.MAXIFS(BD!$A$3:$A$5001,BD!$B$3:$B$5001,T$198,BD!$A$3:$A$5001,"&gt;="&amp;$C$7,BD!$A$3:$A$5001,"&lt;="&amp;$B209,BD!$S$3:$S$5001,"&lt;&gt;"))))</f>
        <v/>
      </c>
      <c r="U209" s="54" t="str">
        <f>IF(OR($B209="",$A209&gt;$B$9,U$198=""),"",IF(COUNTIFS(BD!$B$3:$B$5001,U$198,BD!$A$3:$A$5001,"&gt;="&amp;$C$7,BD!$A$3:$A$5001,"&lt;="&amp;$B209,BD!$S$3:$S$5001,"&lt;&gt;")=0,"",SUMIFS(BD!$S$3:$S$5001,BD!$B$3:$B$5001,U$198,BD!$A$3:$A$5001,_xlfn.MAXIFS(BD!$A$3:$A$5001,BD!$B$3:$B$5001,U$198,BD!$A$3:$A$5001,"&gt;="&amp;$C$7,BD!$A$3:$A$5001,"&lt;="&amp;$B209,BD!$S$3:$S$5001,"&lt;&gt;"))))</f>
        <v/>
      </c>
      <c r="V209" s="54" t="str">
        <f>IF(OR($B209="",$A209&gt;$B$9,V$198=""),"",IF(COUNTIFS(BD!$B$3:$B$5001,V$198,BD!$A$3:$A$5001,"&gt;="&amp;$C$7,BD!$A$3:$A$5001,"&lt;="&amp;$B209,BD!$S$3:$S$5001,"&lt;&gt;")=0,"",SUMIFS(BD!$S$3:$S$5001,BD!$B$3:$B$5001,V$198,BD!$A$3:$A$5001,_xlfn.MAXIFS(BD!$A$3:$A$5001,BD!$B$3:$B$5001,V$198,BD!$A$3:$A$5001,"&gt;="&amp;$C$7,BD!$A$3:$A$5001,"&lt;="&amp;$B209,BD!$S$3:$S$5001,"&lt;&gt;"))))</f>
        <v/>
      </c>
    </row>
    <row r="210">
      <c r="A210" s="48">
        <v>12</v>
      </c>
      <c r="B210" s="53">
        <f>$B$23</f>
        <v>46307</v>
      </c>
      <c r="C210" s="54" t="str">
        <f>IF(OR($B210="",$A210&gt;$B$9,C$198=""),"",IF(COUNTIFS(BD!$B$3:$B$5001,C$198,BD!$A$3:$A$5001,"&gt;="&amp;$C$7,BD!$A$3:$A$5001,"&lt;="&amp;$B210,BD!$S$3:$S$5001,"&lt;&gt;")=0,"",SUMIFS(BD!$S$3:$S$5001,BD!$B$3:$B$5001,C$198,BD!$A$3:$A$5001,_xlfn.MAXIFS(BD!$A$3:$A$5001,BD!$B$3:$B$5001,C$198,BD!$A$3:$A$5001,"&gt;="&amp;$C$7,BD!$A$3:$A$5001,"&lt;="&amp;$B210,BD!$S$3:$S$5001,"&lt;&gt;"))))</f>
        <v/>
      </c>
      <c r="D210" s="54" t="str">
        <f>IF(OR($B210="",$A210&gt;$B$9,D$198=""),"",IF(COUNTIFS(BD!$B$3:$B$5001,D$198,BD!$A$3:$A$5001,"&gt;="&amp;$C$7,BD!$A$3:$A$5001,"&lt;="&amp;$B210,BD!$S$3:$S$5001,"&lt;&gt;")=0,"",SUMIFS(BD!$S$3:$S$5001,BD!$B$3:$B$5001,D$198,BD!$A$3:$A$5001,_xlfn.MAXIFS(BD!$A$3:$A$5001,BD!$B$3:$B$5001,D$198,BD!$A$3:$A$5001,"&gt;="&amp;$C$7,BD!$A$3:$A$5001,"&lt;="&amp;$B210,BD!$S$3:$S$5001,"&lt;&gt;"))))</f>
        <v/>
      </c>
      <c r="E210" s="54" t="str">
        <f>IF(OR($B210="",$A210&gt;$B$9,E$198=""),"",IF(COUNTIFS(BD!$B$3:$B$5001,E$198,BD!$A$3:$A$5001,"&gt;="&amp;$C$7,BD!$A$3:$A$5001,"&lt;="&amp;$B210,BD!$S$3:$S$5001,"&lt;&gt;")=0,"",SUMIFS(BD!$S$3:$S$5001,BD!$B$3:$B$5001,E$198,BD!$A$3:$A$5001,_xlfn.MAXIFS(BD!$A$3:$A$5001,BD!$B$3:$B$5001,E$198,BD!$A$3:$A$5001,"&gt;="&amp;$C$7,BD!$A$3:$A$5001,"&lt;="&amp;$B210,BD!$S$3:$S$5001,"&lt;&gt;"))))</f>
        <v/>
      </c>
      <c r="F210" s="54" t="str">
        <f>IF(OR($B210="",$A210&gt;$B$9,F$198=""),"",IF(COUNTIFS(BD!$B$3:$B$5001,F$198,BD!$A$3:$A$5001,"&gt;="&amp;$C$7,BD!$A$3:$A$5001,"&lt;="&amp;$B210,BD!$S$3:$S$5001,"&lt;&gt;")=0,"",SUMIFS(BD!$S$3:$S$5001,BD!$B$3:$B$5001,F$198,BD!$A$3:$A$5001,_xlfn.MAXIFS(BD!$A$3:$A$5001,BD!$B$3:$B$5001,F$198,BD!$A$3:$A$5001,"&gt;="&amp;$C$7,BD!$A$3:$A$5001,"&lt;="&amp;$B210,BD!$S$3:$S$5001,"&lt;&gt;"))))</f>
        <v/>
      </c>
      <c r="G210" s="54" t="str">
        <f>IF(OR($B210="",$A210&gt;$B$9,G$198=""),"",IF(COUNTIFS(BD!$B$3:$B$5001,G$198,BD!$A$3:$A$5001,"&gt;="&amp;$C$7,BD!$A$3:$A$5001,"&lt;="&amp;$B210,BD!$S$3:$S$5001,"&lt;&gt;")=0,"",SUMIFS(BD!$S$3:$S$5001,BD!$B$3:$B$5001,G$198,BD!$A$3:$A$5001,_xlfn.MAXIFS(BD!$A$3:$A$5001,BD!$B$3:$B$5001,G$198,BD!$A$3:$A$5001,"&gt;="&amp;$C$7,BD!$A$3:$A$5001,"&lt;="&amp;$B210,BD!$S$3:$S$5001,"&lt;&gt;"))))</f>
        <v/>
      </c>
      <c r="H210" s="54" t="str">
        <f>IF(OR($B210="",$A210&gt;$B$9,H$198=""),"",IF(COUNTIFS(BD!$B$3:$B$5001,H$198,BD!$A$3:$A$5001,"&gt;="&amp;$C$7,BD!$A$3:$A$5001,"&lt;="&amp;$B210,BD!$S$3:$S$5001,"&lt;&gt;")=0,"",SUMIFS(BD!$S$3:$S$5001,BD!$B$3:$B$5001,H$198,BD!$A$3:$A$5001,_xlfn.MAXIFS(BD!$A$3:$A$5001,BD!$B$3:$B$5001,H$198,BD!$A$3:$A$5001,"&gt;="&amp;$C$7,BD!$A$3:$A$5001,"&lt;="&amp;$B210,BD!$S$3:$S$5001,"&lt;&gt;"))))</f>
        <v/>
      </c>
      <c r="I210" s="54" t="str">
        <f>IF(OR($B210="",$A210&gt;$B$9,I$198=""),"",IF(COUNTIFS(BD!$B$3:$B$5001,I$198,BD!$A$3:$A$5001,"&gt;="&amp;$C$7,BD!$A$3:$A$5001,"&lt;="&amp;$B210,BD!$S$3:$S$5001,"&lt;&gt;")=0,"",SUMIFS(BD!$S$3:$S$5001,BD!$B$3:$B$5001,I$198,BD!$A$3:$A$5001,_xlfn.MAXIFS(BD!$A$3:$A$5001,BD!$B$3:$B$5001,I$198,BD!$A$3:$A$5001,"&gt;="&amp;$C$7,BD!$A$3:$A$5001,"&lt;="&amp;$B210,BD!$S$3:$S$5001,"&lt;&gt;"))))</f>
        <v/>
      </c>
      <c r="J210" s="54" t="str">
        <f>IF(OR($B210="",$A210&gt;$B$9,J$198=""),"",IF(COUNTIFS(BD!$B$3:$B$5001,J$198,BD!$A$3:$A$5001,"&gt;="&amp;$C$7,BD!$A$3:$A$5001,"&lt;="&amp;$B210,BD!$S$3:$S$5001,"&lt;&gt;")=0,"",SUMIFS(BD!$S$3:$S$5001,BD!$B$3:$B$5001,J$198,BD!$A$3:$A$5001,_xlfn.MAXIFS(BD!$A$3:$A$5001,BD!$B$3:$B$5001,J$198,BD!$A$3:$A$5001,"&gt;="&amp;$C$7,BD!$A$3:$A$5001,"&lt;="&amp;$B210,BD!$S$3:$S$5001,"&lt;&gt;"))))</f>
        <v/>
      </c>
      <c r="K210" s="54" t="str">
        <f>IF(OR($B210="",$A210&gt;$B$9,K$198=""),"",IF(COUNTIFS(BD!$B$3:$B$5001,K$198,BD!$A$3:$A$5001,"&gt;="&amp;$C$7,BD!$A$3:$A$5001,"&lt;="&amp;$B210,BD!$S$3:$S$5001,"&lt;&gt;")=0,"",SUMIFS(BD!$S$3:$S$5001,BD!$B$3:$B$5001,K$198,BD!$A$3:$A$5001,_xlfn.MAXIFS(BD!$A$3:$A$5001,BD!$B$3:$B$5001,K$198,BD!$A$3:$A$5001,"&gt;="&amp;$C$7,BD!$A$3:$A$5001,"&lt;="&amp;$B210,BD!$S$3:$S$5001,"&lt;&gt;"))))</f>
        <v/>
      </c>
      <c r="L210" s="54" t="str">
        <f>IF(OR($B210="",$A210&gt;$B$9,L$198=""),"",IF(COUNTIFS(BD!$B$3:$B$5001,L$198,BD!$A$3:$A$5001,"&gt;="&amp;$C$7,BD!$A$3:$A$5001,"&lt;="&amp;$B210,BD!$S$3:$S$5001,"&lt;&gt;")=0,"",SUMIFS(BD!$S$3:$S$5001,BD!$B$3:$B$5001,L$198,BD!$A$3:$A$5001,_xlfn.MAXIFS(BD!$A$3:$A$5001,BD!$B$3:$B$5001,L$198,BD!$A$3:$A$5001,"&gt;="&amp;$C$7,BD!$A$3:$A$5001,"&lt;="&amp;$B210,BD!$S$3:$S$5001,"&lt;&gt;"))))</f>
        <v/>
      </c>
      <c r="M210" s="54" t="str">
        <f>IF(OR($B210="",$A210&gt;$B$9,M$198=""),"",IF(COUNTIFS(BD!$B$3:$B$5001,M$198,BD!$A$3:$A$5001,"&gt;="&amp;$C$7,BD!$A$3:$A$5001,"&lt;="&amp;$B210,BD!$S$3:$S$5001,"&lt;&gt;")=0,"",SUMIFS(BD!$S$3:$S$5001,BD!$B$3:$B$5001,M$198,BD!$A$3:$A$5001,_xlfn.MAXIFS(BD!$A$3:$A$5001,BD!$B$3:$B$5001,M$198,BD!$A$3:$A$5001,"&gt;="&amp;$C$7,BD!$A$3:$A$5001,"&lt;="&amp;$B210,BD!$S$3:$S$5001,"&lt;&gt;"))))</f>
        <v/>
      </c>
      <c r="N210" s="54" t="str">
        <f>IF(OR($B210="",$A210&gt;$B$9,N$198=""),"",IF(COUNTIFS(BD!$B$3:$B$5001,N$198,BD!$A$3:$A$5001,"&gt;="&amp;$C$7,BD!$A$3:$A$5001,"&lt;="&amp;$B210,BD!$S$3:$S$5001,"&lt;&gt;")=0,"",SUMIFS(BD!$S$3:$S$5001,BD!$B$3:$B$5001,N$198,BD!$A$3:$A$5001,_xlfn.MAXIFS(BD!$A$3:$A$5001,BD!$B$3:$B$5001,N$198,BD!$A$3:$A$5001,"&gt;="&amp;$C$7,BD!$A$3:$A$5001,"&lt;="&amp;$B210,BD!$S$3:$S$5001,"&lt;&gt;"))))</f>
        <v/>
      </c>
      <c r="O210" s="54" t="str">
        <f>IF(OR($B210="",$A210&gt;$B$9,O$198=""),"",IF(COUNTIFS(BD!$B$3:$B$5001,O$198,BD!$A$3:$A$5001,"&gt;="&amp;$C$7,BD!$A$3:$A$5001,"&lt;="&amp;$B210,BD!$S$3:$S$5001,"&lt;&gt;")=0,"",SUMIFS(BD!$S$3:$S$5001,BD!$B$3:$B$5001,O$198,BD!$A$3:$A$5001,_xlfn.MAXIFS(BD!$A$3:$A$5001,BD!$B$3:$B$5001,O$198,BD!$A$3:$A$5001,"&gt;="&amp;$C$7,BD!$A$3:$A$5001,"&lt;="&amp;$B210,BD!$S$3:$S$5001,"&lt;&gt;"))))</f>
        <v/>
      </c>
      <c r="P210" s="54" t="str">
        <f>IF(OR($B210="",$A210&gt;$B$9,P$198=""),"",IF(COUNTIFS(BD!$B$3:$B$5001,P$198,BD!$A$3:$A$5001,"&gt;="&amp;$C$7,BD!$A$3:$A$5001,"&lt;="&amp;$B210,BD!$S$3:$S$5001,"&lt;&gt;")=0,"",SUMIFS(BD!$S$3:$S$5001,BD!$B$3:$B$5001,P$198,BD!$A$3:$A$5001,_xlfn.MAXIFS(BD!$A$3:$A$5001,BD!$B$3:$B$5001,P$198,BD!$A$3:$A$5001,"&gt;="&amp;$C$7,BD!$A$3:$A$5001,"&lt;="&amp;$B210,BD!$S$3:$S$5001,"&lt;&gt;"))))</f>
        <v/>
      </c>
      <c r="Q210" s="54" t="str">
        <f>IF(OR($B210="",$A210&gt;$B$9,Q$198=""),"",IF(COUNTIFS(BD!$B$3:$B$5001,Q$198,BD!$A$3:$A$5001,"&gt;="&amp;$C$7,BD!$A$3:$A$5001,"&lt;="&amp;$B210,BD!$S$3:$S$5001,"&lt;&gt;")=0,"",SUMIFS(BD!$S$3:$S$5001,BD!$B$3:$B$5001,Q$198,BD!$A$3:$A$5001,_xlfn.MAXIFS(BD!$A$3:$A$5001,BD!$B$3:$B$5001,Q$198,BD!$A$3:$A$5001,"&gt;="&amp;$C$7,BD!$A$3:$A$5001,"&lt;="&amp;$B210,BD!$S$3:$S$5001,"&lt;&gt;"))))</f>
        <v/>
      </c>
      <c r="R210" s="54" t="str">
        <f>IF(OR($B210="",$A210&gt;$B$9,R$198=""),"",IF(COUNTIFS(BD!$B$3:$B$5001,R$198,BD!$A$3:$A$5001,"&gt;="&amp;$C$7,BD!$A$3:$A$5001,"&lt;="&amp;$B210,BD!$S$3:$S$5001,"&lt;&gt;")=0,"",SUMIFS(BD!$S$3:$S$5001,BD!$B$3:$B$5001,R$198,BD!$A$3:$A$5001,_xlfn.MAXIFS(BD!$A$3:$A$5001,BD!$B$3:$B$5001,R$198,BD!$A$3:$A$5001,"&gt;="&amp;$C$7,BD!$A$3:$A$5001,"&lt;="&amp;$B210,BD!$S$3:$S$5001,"&lt;&gt;"))))</f>
        <v/>
      </c>
      <c r="S210" s="54" t="str">
        <f>IF(OR($B210="",$A210&gt;$B$9,S$198=""),"",IF(COUNTIFS(BD!$B$3:$B$5001,S$198,BD!$A$3:$A$5001,"&gt;="&amp;$C$7,BD!$A$3:$A$5001,"&lt;="&amp;$B210,BD!$S$3:$S$5001,"&lt;&gt;")=0,"",SUMIFS(BD!$S$3:$S$5001,BD!$B$3:$B$5001,S$198,BD!$A$3:$A$5001,_xlfn.MAXIFS(BD!$A$3:$A$5001,BD!$B$3:$B$5001,S$198,BD!$A$3:$A$5001,"&gt;="&amp;$C$7,BD!$A$3:$A$5001,"&lt;="&amp;$B210,BD!$S$3:$S$5001,"&lt;&gt;"))))</f>
        <v/>
      </c>
      <c r="T210" s="54" t="str">
        <f>IF(OR($B210="",$A210&gt;$B$9,T$198=""),"",IF(COUNTIFS(BD!$B$3:$B$5001,T$198,BD!$A$3:$A$5001,"&gt;="&amp;$C$7,BD!$A$3:$A$5001,"&lt;="&amp;$B210,BD!$S$3:$S$5001,"&lt;&gt;")=0,"",SUMIFS(BD!$S$3:$S$5001,BD!$B$3:$B$5001,T$198,BD!$A$3:$A$5001,_xlfn.MAXIFS(BD!$A$3:$A$5001,BD!$B$3:$B$5001,T$198,BD!$A$3:$A$5001,"&gt;="&amp;$C$7,BD!$A$3:$A$5001,"&lt;="&amp;$B210,BD!$S$3:$S$5001,"&lt;&gt;"))))</f>
        <v/>
      </c>
      <c r="U210" s="54" t="str">
        <f>IF(OR($B210="",$A210&gt;$B$9,U$198=""),"",IF(COUNTIFS(BD!$B$3:$B$5001,U$198,BD!$A$3:$A$5001,"&gt;="&amp;$C$7,BD!$A$3:$A$5001,"&lt;="&amp;$B210,BD!$S$3:$S$5001,"&lt;&gt;")=0,"",SUMIFS(BD!$S$3:$S$5001,BD!$B$3:$B$5001,U$198,BD!$A$3:$A$5001,_xlfn.MAXIFS(BD!$A$3:$A$5001,BD!$B$3:$B$5001,U$198,BD!$A$3:$A$5001,"&gt;="&amp;$C$7,BD!$A$3:$A$5001,"&lt;="&amp;$B210,BD!$S$3:$S$5001,"&lt;&gt;"))))</f>
        <v/>
      </c>
      <c r="V210" s="54" t="str">
        <f>IF(OR($B210="",$A210&gt;$B$9,V$198=""),"",IF(COUNTIFS(BD!$B$3:$B$5001,V$198,BD!$A$3:$A$5001,"&gt;="&amp;$C$7,BD!$A$3:$A$5001,"&lt;="&amp;$B210,BD!$S$3:$S$5001,"&lt;&gt;")=0,"",SUMIFS(BD!$S$3:$S$5001,BD!$B$3:$B$5001,V$198,BD!$A$3:$A$5001,_xlfn.MAXIFS(BD!$A$3:$A$5001,BD!$B$3:$B$5001,V$198,BD!$A$3:$A$5001,"&gt;="&amp;$C$7,BD!$A$3:$A$5001,"&lt;="&amp;$B210,BD!$S$3:$S$5001,"&lt;&gt;"))))</f>
        <v/>
      </c>
    </row>
    <row r="211">
      <c r="A211" s="48">
        <v>13</v>
      </c>
      <c r="B211" s="53">
        <f>$B$24</f>
        <v>46308</v>
      </c>
      <c r="C211" s="54" t="str">
        <f>IF(OR($B211="",$A211&gt;$B$9,C$198=""),"",IF(COUNTIFS(BD!$B$3:$B$5001,C$198,BD!$A$3:$A$5001,"&gt;="&amp;$C$7,BD!$A$3:$A$5001,"&lt;="&amp;$B211,BD!$S$3:$S$5001,"&lt;&gt;")=0,"",SUMIFS(BD!$S$3:$S$5001,BD!$B$3:$B$5001,C$198,BD!$A$3:$A$5001,_xlfn.MAXIFS(BD!$A$3:$A$5001,BD!$B$3:$B$5001,C$198,BD!$A$3:$A$5001,"&gt;="&amp;$C$7,BD!$A$3:$A$5001,"&lt;="&amp;$B211,BD!$S$3:$S$5001,"&lt;&gt;"))))</f>
        <v/>
      </c>
      <c r="D211" s="54" t="str">
        <f>IF(OR($B211="",$A211&gt;$B$9,D$198=""),"",IF(COUNTIFS(BD!$B$3:$B$5001,D$198,BD!$A$3:$A$5001,"&gt;="&amp;$C$7,BD!$A$3:$A$5001,"&lt;="&amp;$B211,BD!$S$3:$S$5001,"&lt;&gt;")=0,"",SUMIFS(BD!$S$3:$S$5001,BD!$B$3:$B$5001,D$198,BD!$A$3:$A$5001,_xlfn.MAXIFS(BD!$A$3:$A$5001,BD!$B$3:$B$5001,D$198,BD!$A$3:$A$5001,"&gt;="&amp;$C$7,BD!$A$3:$A$5001,"&lt;="&amp;$B211,BD!$S$3:$S$5001,"&lt;&gt;"))))</f>
        <v/>
      </c>
      <c r="E211" s="54" t="str">
        <f>IF(OR($B211="",$A211&gt;$B$9,E$198=""),"",IF(COUNTIFS(BD!$B$3:$B$5001,E$198,BD!$A$3:$A$5001,"&gt;="&amp;$C$7,BD!$A$3:$A$5001,"&lt;="&amp;$B211,BD!$S$3:$S$5001,"&lt;&gt;")=0,"",SUMIFS(BD!$S$3:$S$5001,BD!$B$3:$B$5001,E$198,BD!$A$3:$A$5001,_xlfn.MAXIFS(BD!$A$3:$A$5001,BD!$B$3:$B$5001,E$198,BD!$A$3:$A$5001,"&gt;="&amp;$C$7,BD!$A$3:$A$5001,"&lt;="&amp;$B211,BD!$S$3:$S$5001,"&lt;&gt;"))))</f>
        <v/>
      </c>
      <c r="F211" s="54" t="str">
        <f>IF(OR($B211="",$A211&gt;$B$9,F$198=""),"",IF(COUNTIFS(BD!$B$3:$B$5001,F$198,BD!$A$3:$A$5001,"&gt;="&amp;$C$7,BD!$A$3:$A$5001,"&lt;="&amp;$B211,BD!$S$3:$S$5001,"&lt;&gt;")=0,"",SUMIFS(BD!$S$3:$S$5001,BD!$B$3:$B$5001,F$198,BD!$A$3:$A$5001,_xlfn.MAXIFS(BD!$A$3:$A$5001,BD!$B$3:$B$5001,F$198,BD!$A$3:$A$5001,"&gt;="&amp;$C$7,BD!$A$3:$A$5001,"&lt;="&amp;$B211,BD!$S$3:$S$5001,"&lt;&gt;"))))</f>
        <v/>
      </c>
      <c r="G211" s="54" t="str">
        <f>IF(OR($B211="",$A211&gt;$B$9,G$198=""),"",IF(COUNTIFS(BD!$B$3:$B$5001,G$198,BD!$A$3:$A$5001,"&gt;="&amp;$C$7,BD!$A$3:$A$5001,"&lt;="&amp;$B211,BD!$S$3:$S$5001,"&lt;&gt;")=0,"",SUMIFS(BD!$S$3:$S$5001,BD!$B$3:$B$5001,G$198,BD!$A$3:$A$5001,_xlfn.MAXIFS(BD!$A$3:$A$5001,BD!$B$3:$B$5001,G$198,BD!$A$3:$A$5001,"&gt;="&amp;$C$7,BD!$A$3:$A$5001,"&lt;="&amp;$B211,BD!$S$3:$S$5001,"&lt;&gt;"))))</f>
        <v/>
      </c>
      <c r="H211" s="54" t="str">
        <f>IF(OR($B211="",$A211&gt;$B$9,H$198=""),"",IF(COUNTIFS(BD!$B$3:$B$5001,H$198,BD!$A$3:$A$5001,"&gt;="&amp;$C$7,BD!$A$3:$A$5001,"&lt;="&amp;$B211,BD!$S$3:$S$5001,"&lt;&gt;")=0,"",SUMIFS(BD!$S$3:$S$5001,BD!$B$3:$B$5001,H$198,BD!$A$3:$A$5001,_xlfn.MAXIFS(BD!$A$3:$A$5001,BD!$B$3:$B$5001,H$198,BD!$A$3:$A$5001,"&gt;="&amp;$C$7,BD!$A$3:$A$5001,"&lt;="&amp;$B211,BD!$S$3:$S$5001,"&lt;&gt;"))))</f>
        <v/>
      </c>
      <c r="I211" s="54" t="str">
        <f>IF(OR($B211="",$A211&gt;$B$9,I$198=""),"",IF(COUNTIFS(BD!$B$3:$B$5001,I$198,BD!$A$3:$A$5001,"&gt;="&amp;$C$7,BD!$A$3:$A$5001,"&lt;="&amp;$B211,BD!$S$3:$S$5001,"&lt;&gt;")=0,"",SUMIFS(BD!$S$3:$S$5001,BD!$B$3:$B$5001,I$198,BD!$A$3:$A$5001,_xlfn.MAXIFS(BD!$A$3:$A$5001,BD!$B$3:$B$5001,I$198,BD!$A$3:$A$5001,"&gt;="&amp;$C$7,BD!$A$3:$A$5001,"&lt;="&amp;$B211,BD!$S$3:$S$5001,"&lt;&gt;"))))</f>
        <v/>
      </c>
      <c r="J211" s="54" t="str">
        <f>IF(OR($B211="",$A211&gt;$B$9,J$198=""),"",IF(COUNTIFS(BD!$B$3:$B$5001,J$198,BD!$A$3:$A$5001,"&gt;="&amp;$C$7,BD!$A$3:$A$5001,"&lt;="&amp;$B211,BD!$S$3:$S$5001,"&lt;&gt;")=0,"",SUMIFS(BD!$S$3:$S$5001,BD!$B$3:$B$5001,J$198,BD!$A$3:$A$5001,_xlfn.MAXIFS(BD!$A$3:$A$5001,BD!$B$3:$B$5001,J$198,BD!$A$3:$A$5001,"&gt;="&amp;$C$7,BD!$A$3:$A$5001,"&lt;="&amp;$B211,BD!$S$3:$S$5001,"&lt;&gt;"))))</f>
        <v/>
      </c>
      <c r="K211" s="54" t="str">
        <f>IF(OR($B211="",$A211&gt;$B$9,K$198=""),"",IF(COUNTIFS(BD!$B$3:$B$5001,K$198,BD!$A$3:$A$5001,"&gt;="&amp;$C$7,BD!$A$3:$A$5001,"&lt;="&amp;$B211,BD!$S$3:$S$5001,"&lt;&gt;")=0,"",SUMIFS(BD!$S$3:$S$5001,BD!$B$3:$B$5001,K$198,BD!$A$3:$A$5001,_xlfn.MAXIFS(BD!$A$3:$A$5001,BD!$B$3:$B$5001,K$198,BD!$A$3:$A$5001,"&gt;="&amp;$C$7,BD!$A$3:$A$5001,"&lt;="&amp;$B211,BD!$S$3:$S$5001,"&lt;&gt;"))))</f>
        <v/>
      </c>
      <c r="L211" s="54" t="str">
        <f>IF(OR($B211="",$A211&gt;$B$9,L$198=""),"",IF(COUNTIFS(BD!$B$3:$B$5001,L$198,BD!$A$3:$A$5001,"&gt;="&amp;$C$7,BD!$A$3:$A$5001,"&lt;="&amp;$B211,BD!$S$3:$S$5001,"&lt;&gt;")=0,"",SUMIFS(BD!$S$3:$S$5001,BD!$B$3:$B$5001,L$198,BD!$A$3:$A$5001,_xlfn.MAXIFS(BD!$A$3:$A$5001,BD!$B$3:$B$5001,L$198,BD!$A$3:$A$5001,"&gt;="&amp;$C$7,BD!$A$3:$A$5001,"&lt;="&amp;$B211,BD!$S$3:$S$5001,"&lt;&gt;"))))</f>
        <v/>
      </c>
      <c r="M211" s="54" t="str">
        <f>IF(OR($B211="",$A211&gt;$B$9,M$198=""),"",IF(COUNTIFS(BD!$B$3:$B$5001,M$198,BD!$A$3:$A$5001,"&gt;="&amp;$C$7,BD!$A$3:$A$5001,"&lt;="&amp;$B211,BD!$S$3:$S$5001,"&lt;&gt;")=0,"",SUMIFS(BD!$S$3:$S$5001,BD!$B$3:$B$5001,M$198,BD!$A$3:$A$5001,_xlfn.MAXIFS(BD!$A$3:$A$5001,BD!$B$3:$B$5001,M$198,BD!$A$3:$A$5001,"&gt;="&amp;$C$7,BD!$A$3:$A$5001,"&lt;="&amp;$B211,BD!$S$3:$S$5001,"&lt;&gt;"))))</f>
        <v/>
      </c>
      <c r="N211" s="54" t="str">
        <f>IF(OR($B211="",$A211&gt;$B$9,N$198=""),"",IF(COUNTIFS(BD!$B$3:$B$5001,N$198,BD!$A$3:$A$5001,"&gt;="&amp;$C$7,BD!$A$3:$A$5001,"&lt;="&amp;$B211,BD!$S$3:$S$5001,"&lt;&gt;")=0,"",SUMIFS(BD!$S$3:$S$5001,BD!$B$3:$B$5001,N$198,BD!$A$3:$A$5001,_xlfn.MAXIFS(BD!$A$3:$A$5001,BD!$B$3:$B$5001,N$198,BD!$A$3:$A$5001,"&gt;="&amp;$C$7,BD!$A$3:$A$5001,"&lt;="&amp;$B211,BD!$S$3:$S$5001,"&lt;&gt;"))))</f>
        <v/>
      </c>
      <c r="O211" s="54" t="str">
        <f>IF(OR($B211="",$A211&gt;$B$9,O$198=""),"",IF(COUNTIFS(BD!$B$3:$B$5001,O$198,BD!$A$3:$A$5001,"&gt;="&amp;$C$7,BD!$A$3:$A$5001,"&lt;="&amp;$B211,BD!$S$3:$S$5001,"&lt;&gt;")=0,"",SUMIFS(BD!$S$3:$S$5001,BD!$B$3:$B$5001,O$198,BD!$A$3:$A$5001,_xlfn.MAXIFS(BD!$A$3:$A$5001,BD!$B$3:$B$5001,O$198,BD!$A$3:$A$5001,"&gt;="&amp;$C$7,BD!$A$3:$A$5001,"&lt;="&amp;$B211,BD!$S$3:$S$5001,"&lt;&gt;"))))</f>
        <v/>
      </c>
      <c r="P211" s="54" t="str">
        <f>IF(OR($B211="",$A211&gt;$B$9,P$198=""),"",IF(COUNTIFS(BD!$B$3:$B$5001,P$198,BD!$A$3:$A$5001,"&gt;="&amp;$C$7,BD!$A$3:$A$5001,"&lt;="&amp;$B211,BD!$S$3:$S$5001,"&lt;&gt;")=0,"",SUMIFS(BD!$S$3:$S$5001,BD!$B$3:$B$5001,P$198,BD!$A$3:$A$5001,_xlfn.MAXIFS(BD!$A$3:$A$5001,BD!$B$3:$B$5001,P$198,BD!$A$3:$A$5001,"&gt;="&amp;$C$7,BD!$A$3:$A$5001,"&lt;="&amp;$B211,BD!$S$3:$S$5001,"&lt;&gt;"))))</f>
        <v/>
      </c>
      <c r="Q211" s="54" t="str">
        <f>IF(OR($B211="",$A211&gt;$B$9,Q$198=""),"",IF(COUNTIFS(BD!$B$3:$B$5001,Q$198,BD!$A$3:$A$5001,"&gt;="&amp;$C$7,BD!$A$3:$A$5001,"&lt;="&amp;$B211,BD!$S$3:$S$5001,"&lt;&gt;")=0,"",SUMIFS(BD!$S$3:$S$5001,BD!$B$3:$B$5001,Q$198,BD!$A$3:$A$5001,_xlfn.MAXIFS(BD!$A$3:$A$5001,BD!$B$3:$B$5001,Q$198,BD!$A$3:$A$5001,"&gt;="&amp;$C$7,BD!$A$3:$A$5001,"&lt;="&amp;$B211,BD!$S$3:$S$5001,"&lt;&gt;"))))</f>
        <v/>
      </c>
      <c r="R211" s="54" t="str">
        <f>IF(OR($B211="",$A211&gt;$B$9,R$198=""),"",IF(COUNTIFS(BD!$B$3:$B$5001,R$198,BD!$A$3:$A$5001,"&gt;="&amp;$C$7,BD!$A$3:$A$5001,"&lt;="&amp;$B211,BD!$S$3:$S$5001,"&lt;&gt;")=0,"",SUMIFS(BD!$S$3:$S$5001,BD!$B$3:$B$5001,R$198,BD!$A$3:$A$5001,_xlfn.MAXIFS(BD!$A$3:$A$5001,BD!$B$3:$B$5001,R$198,BD!$A$3:$A$5001,"&gt;="&amp;$C$7,BD!$A$3:$A$5001,"&lt;="&amp;$B211,BD!$S$3:$S$5001,"&lt;&gt;"))))</f>
        <v/>
      </c>
      <c r="S211" s="54" t="str">
        <f>IF(OR($B211="",$A211&gt;$B$9,S$198=""),"",IF(COUNTIFS(BD!$B$3:$B$5001,S$198,BD!$A$3:$A$5001,"&gt;="&amp;$C$7,BD!$A$3:$A$5001,"&lt;="&amp;$B211,BD!$S$3:$S$5001,"&lt;&gt;")=0,"",SUMIFS(BD!$S$3:$S$5001,BD!$B$3:$B$5001,S$198,BD!$A$3:$A$5001,_xlfn.MAXIFS(BD!$A$3:$A$5001,BD!$B$3:$B$5001,S$198,BD!$A$3:$A$5001,"&gt;="&amp;$C$7,BD!$A$3:$A$5001,"&lt;="&amp;$B211,BD!$S$3:$S$5001,"&lt;&gt;"))))</f>
        <v/>
      </c>
      <c r="T211" s="54" t="str">
        <f>IF(OR($B211="",$A211&gt;$B$9,T$198=""),"",IF(COUNTIFS(BD!$B$3:$B$5001,T$198,BD!$A$3:$A$5001,"&gt;="&amp;$C$7,BD!$A$3:$A$5001,"&lt;="&amp;$B211,BD!$S$3:$S$5001,"&lt;&gt;")=0,"",SUMIFS(BD!$S$3:$S$5001,BD!$B$3:$B$5001,T$198,BD!$A$3:$A$5001,_xlfn.MAXIFS(BD!$A$3:$A$5001,BD!$B$3:$B$5001,T$198,BD!$A$3:$A$5001,"&gt;="&amp;$C$7,BD!$A$3:$A$5001,"&lt;="&amp;$B211,BD!$S$3:$S$5001,"&lt;&gt;"))))</f>
        <v/>
      </c>
      <c r="U211" s="54" t="str">
        <f>IF(OR($B211="",$A211&gt;$B$9,U$198=""),"",IF(COUNTIFS(BD!$B$3:$B$5001,U$198,BD!$A$3:$A$5001,"&gt;="&amp;$C$7,BD!$A$3:$A$5001,"&lt;="&amp;$B211,BD!$S$3:$S$5001,"&lt;&gt;")=0,"",SUMIFS(BD!$S$3:$S$5001,BD!$B$3:$B$5001,U$198,BD!$A$3:$A$5001,_xlfn.MAXIFS(BD!$A$3:$A$5001,BD!$B$3:$B$5001,U$198,BD!$A$3:$A$5001,"&gt;="&amp;$C$7,BD!$A$3:$A$5001,"&lt;="&amp;$B211,BD!$S$3:$S$5001,"&lt;&gt;"))))</f>
        <v/>
      </c>
      <c r="V211" s="54" t="str">
        <f>IF(OR($B211="",$A211&gt;$B$9,V$198=""),"",IF(COUNTIFS(BD!$B$3:$B$5001,V$198,BD!$A$3:$A$5001,"&gt;="&amp;$C$7,BD!$A$3:$A$5001,"&lt;="&amp;$B211,BD!$S$3:$S$5001,"&lt;&gt;")=0,"",SUMIFS(BD!$S$3:$S$5001,BD!$B$3:$B$5001,V$198,BD!$A$3:$A$5001,_xlfn.MAXIFS(BD!$A$3:$A$5001,BD!$B$3:$B$5001,V$198,BD!$A$3:$A$5001,"&gt;="&amp;$C$7,BD!$A$3:$A$5001,"&lt;="&amp;$B211,BD!$S$3:$S$5001,"&lt;&gt;"))))</f>
        <v/>
      </c>
    </row>
    <row r="212">
      <c r="A212" s="48">
        <v>14</v>
      </c>
      <c r="B212" s="53">
        <f>$B$25</f>
        <v>46309</v>
      </c>
      <c r="C212" s="54" t="str">
        <f>IF(OR($B212="",$A212&gt;$B$9,C$198=""),"",IF(COUNTIFS(BD!$B$3:$B$5001,C$198,BD!$A$3:$A$5001,"&gt;="&amp;$C$7,BD!$A$3:$A$5001,"&lt;="&amp;$B212,BD!$S$3:$S$5001,"&lt;&gt;")=0,"",SUMIFS(BD!$S$3:$S$5001,BD!$B$3:$B$5001,C$198,BD!$A$3:$A$5001,_xlfn.MAXIFS(BD!$A$3:$A$5001,BD!$B$3:$B$5001,C$198,BD!$A$3:$A$5001,"&gt;="&amp;$C$7,BD!$A$3:$A$5001,"&lt;="&amp;$B212,BD!$S$3:$S$5001,"&lt;&gt;"))))</f>
        <v/>
      </c>
      <c r="D212" s="54" t="str">
        <f>IF(OR($B212="",$A212&gt;$B$9,D$198=""),"",IF(COUNTIFS(BD!$B$3:$B$5001,D$198,BD!$A$3:$A$5001,"&gt;="&amp;$C$7,BD!$A$3:$A$5001,"&lt;="&amp;$B212,BD!$S$3:$S$5001,"&lt;&gt;")=0,"",SUMIFS(BD!$S$3:$S$5001,BD!$B$3:$B$5001,D$198,BD!$A$3:$A$5001,_xlfn.MAXIFS(BD!$A$3:$A$5001,BD!$B$3:$B$5001,D$198,BD!$A$3:$A$5001,"&gt;="&amp;$C$7,BD!$A$3:$A$5001,"&lt;="&amp;$B212,BD!$S$3:$S$5001,"&lt;&gt;"))))</f>
        <v/>
      </c>
      <c r="E212" s="54" t="str">
        <f>IF(OR($B212="",$A212&gt;$B$9,E$198=""),"",IF(COUNTIFS(BD!$B$3:$B$5001,E$198,BD!$A$3:$A$5001,"&gt;="&amp;$C$7,BD!$A$3:$A$5001,"&lt;="&amp;$B212,BD!$S$3:$S$5001,"&lt;&gt;")=0,"",SUMIFS(BD!$S$3:$S$5001,BD!$B$3:$B$5001,E$198,BD!$A$3:$A$5001,_xlfn.MAXIFS(BD!$A$3:$A$5001,BD!$B$3:$B$5001,E$198,BD!$A$3:$A$5001,"&gt;="&amp;$C$7,BD!$A$3:$A$5001,"&lt;="&amp;$B212,BD!$S$3:$S$5001,"&lt;&gt;"))))</f>
        <v/>
      </c>
      <c r="F212" s="54" t="str">
        <f>IF(OR($B212="",$A212&gt;$B$9,F$198=""),"",IF(COUNTIFS(BD!$B$3:$B$5001,F$198,BD!$A$3:$A$5001,"&gt;="&amp;$C$7,BD!$A$3:$A$5001,"&lt;="&amp;$B212,BD!$S$3:$S$5001,"&lt;&gt;")=0,"",SUMIFS(BD!$S$3:$S$5001,BD!$B$3:$B$5001,F$198,BD!$A$3:$A$5001,_xlfn.MAXIFS(BD!$A$3:$A$5001,BD!$B$3:$B$5001,F$198,BD!$A$3:$A$5001,"&gt;="&amp;$C$7,BD!$A$3:$A$5001,"&lt;="&amp;$B212,BD!$S$3:$S$5001,"&lt;&gt;"))))</f>
        <v/>
      </c>
      <c r="G212" s="54" t="str">
        <f>IF(OR($B212="",$A212&gt;$B$9,G$198=""),"",IF(COUNTIFS(BD!$B$3:$B$5001,G$198,BD!$A$3:$A$5001,"&gt;="&amp;$C$7,BD!$A$3:$A$5001,"&lt;="&amp;$B212,BD!$S$3:$S$5001,"&lt;&gt;")=0,"",SUMIFS(BD!$S$3:$S$5001,BD!$B$3:$B$5001,G$198,BD!$A$3:$A$5001,_xlfn.MAXIFS(BD!$A$3:$A$5001,BD!$B$3:$B$5001,G$198,BD!$A$3:$A$5001,"&gt;="&amp;$C$7,BD!$A$3:$A$5001,"&lt;="&amp;$B212,BD!$S$3:$S$5001,"&lt;&gt;"))))</f>
        <v/>
      </c>
      <c r="H212" s="54" t="str">
        <f>IF(OR($B212="",$A212&gt;$B$9,H$198=""),"",IF(COUNTIFS(BD!$B$3:$B$5001,H$198,BD!$A$3:$A$5001,"&gt;="&amp;$C$7,BD!$A$3:$A$5001,"&lt;="&amp;$B212,BD!$S$3:$S$5001,"&lt;&gt;")=0,"",SUMIFS(BD!$S$3:$S$5001,BD!$B$3:$B$5001,H$198,BD!$A$3:$A$5001,_xlfn.MAXIFS(BD!$A$3:$A$5001,BD!$B$3:$B$5001,H$198,BD!$A$3:$A$5001,"&gt;="&amp;$C$7,BD!$A$3:$A$5001,"&lt;="&amp;$B212,BD!$S$3:$S$5001,"&lt;&gt;"))))</f>
        <v/>
      </c>
      <c r="I212" s="54" t="str">
        <f>IF(OR($B212="",$A212&gt;$B$9,I$198=""),"",IF(COUNTIFS(BD!$B$3:$B$5001,I$198,BD!$A$3:$A$5001,"&gt;="&amp;$C$7,BD!$A$3:$A$5001,"&lt;="&amp;$B212,BD!$S$3:$S$5001,"&lt;&gt;")=0,"",SUMIFS(BD!$S$3:$S$5001,BD!$B$3:$B$5001,I$198,BD!$A$3:$A$5001,_xlfn.MAXIFS(BD!$A$3:$A$5001,BD!$B$3:$B$5001,I$198,BD!$A$3:$A$5001,"&gt;="&amp;$C$7,BD!$A$3:$A$5001,"&lt;="&amp;$B212,BD!$S$3:$S$5001,"&lt;&gt;"))))</f>
        <v/>
      </c>
      <c r="J212" s="54" t="str">
        <f>IF(OR($B212="",$A212&gt;$B$9,J$198=""),"",IF(COUNTIFS(BD!$B$3:$B$5001,J$198,BD!$A$3:$A$5001,"&gt;="&amp;$C$7,BD!$A$3:$A$5001,"&lt;="&amp;$B212,BD!$S$3:$S$5001,"&lt;&gt;")=0,"",SUMIFS(BD!$S$3:$S$5001,BD!$B$3:$B$5001,J$198,BD!$A$3:$A$5001,_xlfn.MAXIFS(BD!$A$3:$A$5001,BD!$B$3:$B$5001,J$198,BD!$A$3:$A$5001,"&gt;="&amp;$C$7,BD!$A$3:$A$5001,"&lt;="&amp;$B212,BD!$S$3:$S$5001,"&lt;&gt;"))))</f>
        <v/>
      </c>
      <c r="K212" s="54" t="str">
        <f>IF(OR($B212="",$A212&gt;$B$9,K$198=""),"",IF(COUNTIFS(BD!$B$3:$B$5001,K$198,BD!$A$3:$A$5001,"&gt;="&amp;$C$7,BD!$A$3:$A$5001,"&lt;="&amp;$B212,BD!$S$3:$S$5001,"&lt;&gt;")=0,"",SUMIFS(BD!$S$3:$S$5001,BD!$B$3:$B$5001,K$198,BD!$A$3:$A$5001,_xlfn.MAXIFS(BD!$A$3:$A$5001,BD!$B$3:$B$5001,K$198,BD!$A$3:$A$5001,"&gt;="&amp;$C$7,BD!$A$3:$A$5001,"&lt;="&amp;$B212,BD!$S$3:$S$5001,"&lt;&gt;"))))</f>
        <v/>
      </c>
      <c r="L212" s="54" t="str">
        <f>IF(OR($B212="",$A212&gt;$B$9,L$198=""),"",IF(COUNTIFS(BD!$B$3:$B$5001,L$198,BD!$A$3:$A$5001,"&gt;="&amp;$C$7,BD!$A$3:$A$5001,"&lt;="&amp;$B212,BD!$S$3:$S$5001,"&lt;&gt;")=0,"",SUMIFS(BD!$S$3:$S$5001,BD!$B$3:$B$5001,L$198,BD!$A$3:$A$5001,_xlfn.MAXIFS(BD!$A$3:$A$5001,BD!$B$3:$B$5001,L$198,BD!$A$3:$A$5001,"&gt;="&amp;$C$7,BD!$A$3:$A$5001,"&lt;="&amp;$B212,BD!$S$3:$S$5001,"&lt;&gt;"))))</f>
        <v/>
      </c>
      <c r="M212" s="54" t="str">
        <f>IF(OR($B212="",$A212&gt;$B$9,M$198=""),"",IF(COUNTIFS(BD!$B$3:$B$5001,M$198,BD!$A$3:$A$5001,"&gt;="&amp;$C$7,BD!$A$3:$A$5001,"&lt;="&amp;$B212,BD!$S$3:$S$5001,"&lt;&gt;")=0,"",SUMIFS(BD!$S$3:$S$5001,BD!$B$3:$B$5001,M$198,BD!$A$3:$A$5001,_xlfn.MAXIFS(BD!$A$3:$A$5001,BD!$B$3:$B$5001,M$198,BD!$A$3:$A$5001,"&gt;="&amp;$C$7,BD!$A$3:$A$5001,"&lt;="&amp;$B212,BD!$S$3:$S$5001,"&lt;&gt;"))))</f>
        <v/>
      </c>
      <c r="N212" s="54" t="str">
        <f>IF(OR($B212="",$A212&gt;$B$9,N$198=""),"",IF(COUNTIFS(BD!$B$3:$B$5001,N$198,BD!$A$3:$A$5001,"&gt;="&amp;$C$7,BD!$A$3:$A$5001,"&lt;="&amp;$B212,BD!$S$3:$S$5001,"&lt;&gt;")=0,"",SUMIFS(BD!$S$3:$S$5001,BD!$B$3:$B$5001,N$198,BD!$A$3:$A$5001,_xlfn.MAXIFS(BD!$A$3:$A$5001,BD!$B$3:$B$5001,N$198,BD!$A$3:$A$5001,"&gt;="&amp;$C$7,BD!$A$3:$A$5001,"&lt;="&amp;$B212,BD!$S$3:$S$5001,"&lt;&gt;"))))</f>
        <v/>
      </c>
      <c r="O212" s="54" t="str">
        <f>IF(OR($B212="",$A212&gt;$B$9,O$198=""),"",IF(COUNTIFS(BD!$B$3:$B$5001,O$198,BD!$A$3:$A$5001,"&gt;="&amp;$C$7,BD!$A$3:$A$5001,"&lt;="&amp;$B212,BD!$S$3:$S$5001,"&lt;&gt;")=0,"",SUMIFS(BD!$S$3:$S$5001,BD!$B$3:$B$5001,O$198,BD!$A$3:$A$5001,_xlfn.MAXIFS(BD!$A$3:$A$5001,BD!$B$3:$B$5001,O$198,BD!$A$3:$A$5001,"&gt;="&amp;$C$7,BD!$A$3:$A$5001,"&lt;="&amp;$B212,BD!$S$3:$S$5001,"&lt;&gt;"))))</f>
        <v/>
      </c>
      <c r="P212" s="54" t="str">
        <f>IF(OR($B212="",$A212&gt;$B$9,P$198=""),"",IF(COUNTIFS(BD!$B$3:$B$5001,P$198,BD!$A$3:$A$5001,"&gt;="&amp;$C$7,BD!$A$3:$A$5001,"&lt;="&amp;$B212,BD!$S$3:$S$5001,"&lt;&gt;")=0,"",SUMIFS(BD!$S$3:$S$5001,BD!$B$3:$B$5001,P$198,BD!$A$3:$A$5001,_xlfn.MAXIFS(BD!$A$3:$A$5001,BD!$B$3:$B$5001,P$198,BD!$A$3:$A$5001,"&gt;="&amp;$C$7,BD!$A$3:$A$5001,"&lt;="&amp;$B212,BD!$S$3:$S$5001,"&lt;&gt;"))))</f>
        <v/>
      </c>
      <c r="Q212" s="54" t="str">
        <f>IF(OR($B212="",$A212&gt;$B$9,Q$198=""),"",IF(COUNTIFS(BD!$B$3:$B$5001,Q$198,BD!$A$3:$A$5001,"&gt;="&amp;$C$7,BD!$A$3:$A$5001,"&lt;="&amp;$B212,BD!$S$3:$S$5001,"&lt;&gt;")=0,"",SUMIFS(BD!$S$3:$S$5001,BD!$B$3:$B$5001,Q$198,BD!$A$3:$A$5001,_xlfn.MAXIFS(BD!$A$3:$A$5001,BD!$B$3:$B$5001,Q$198,BD!$A$3:$A$5001,"&gt;="&amp;$C$7,BD!$A$3:$A$5001,"&lt;="&amp;$B212,BD!$S$3:$S$5001,"&lt;&gt;"))))</f>
        <v/>
      </c>
      <c r="R212" s="54" t="str">
        <f>IF(OR($B212="",$A212&gt;$B$9,R$198=""),"",IF(COUNTIFS(BD!$B$3:$B$5001,R$198,BD!$A$3:$A$5001,"&gt;="&amp;$C$7,BD!$A$3:$A$5001,"&lt;="&amp;$B212,BD!$S$3:$S$5001,"&lt;&gt;")=0,"",SUMIFS(BD!$S$3:$S$5001,BD!$B$3:$B$5001,R$198,BD!$A$3:$A$5001,_xlfn.MAXIFS(BD!$A$3:$A$5001,BD!$B$3:$B$5001,R$198,BD!$A$3:$A$5001,"&gt;="&amp;$C$7,BD!$A$3:$A$5001,"&lt;="&amp;$B212,BD!$S$3:$S$5001,"&lt;&gt;"))))</f>
        <v/>
      </c>
      <c r="S212" s="54" t="str">
        <f>IF(OR($B212="",$A212&gt;$B$9,S$198=""),"",IF(COUNTIFS(BD!$B$3:$B$5001,S$198,BD!$A$3:$A$5001,"&gt;="&amp;$C$7,BD!$A$3:$A$5001,"&lt;="&amp;$B212,BD!$S$3:$S$5001,"&lt;&gt;")=0,"",SUMIFS(BD!$S$3:$S$5001,BD!$B$3:$B$5001,S$198,BD!$A$3:$A$5001,_xlfn.MAXIFS(BD!$A$3:$A$5001,BD!$B$3:$B$5001,S$198,BD!$A$3:$A$5001,"&gt;="&amp;$C$7,BD!$A$3:$A$5001,"&lt;="&amp;$B212,BD!$S$3:$S$5001,"&lt;&gt;"))))</f>
        <v/>
      </c>
      <c r="T212" s="54" t="str">
        <f>IF(OR($B212="",$A212&gt;$B$9,T$198=""),"",IF(COUNTIFS(BD!$B$3:$B$5001,T$198,BD!$A$3:$A$5001,"&gt;="&amp;$C$7,BD!$A$3:$A$5001,"&lt;="&amp;$B212,BD!$S$3:$S$5001,"&lt;&gt;")=0,"",SUMIFS(BD!$S$3:$S$5001,BD!$B$3:$B$5001,T$198,BD!$A$3:$A$5001,_xlfn.MAXIFS(BD!$A$3:$A$5001,BD!$B$3:$B$5001,T$198,BD!$A$3:$A$5001,"&gt;="&amp;$C$7,BD!$A$3:$A$5001,"&lt;="&amp;$B212,BD!$S$3:$S$5001,"&lt;&gt;"))))</f>
        <v/>
      </c>
      <c r="U212" s="54" t="str">
        <f>IF(OR($B212="",$A212&gt;$B$9,U$198=""),"",IF(COUNTIFS(BD!$B$3:$B$5001,U$198,BD!$A$3:$A$5001,"&gt;="&amp;$C$7,BD!$A$3:$A$5001,"&lt;="&amp;$B212,BD!$S$3:$S$5001,"&lt;&gt;")=0,"",SUMIFS(BD!$S$3:$S$5001,BD!$B$3:$B$5001,U$198,BD!$A$3:$A$5001,_xlfn.MAXIFS(BD!$A$3:$A$5001,BD!$B$3:$B$5001,U$198,BD!$A$3:$A$5001,"&gt;="&amp;$C$7,BD!$A$3:$A$5001,"&lt;="&amp;$B212,BD!$S$3:$S$5001,"&lt;&gt;"))))</f>
        <v/>
      </c>
      <c r="V212" s="54" t="str">
        <f>IF(OR($B212="",$A212&gt;$B$9,V$198=""),"",IF(COUNTIFS(BD!$B$3:$B$5001,V$198,BD!$A$3:$A$5001,"&gt;="&amp;$C$7,BD!$A$3:$A$5001,"&lt;="&amp;$B212,BD!$S$3:$S$5001,"&lt;&gt;")=0,"",SUMIFS(BD!$S$3:$S$5001,BD!$B$3:$B$5001,V$198,BD!$A$3:$A$5001,_xlfn.MAXIFS(BD!$A$3:$A$5001,BD!$B$3:$B$5001,V$198,BD!$A$3:$A$5001,"&gt;="&amp;$C$7,BD!$A$3:$A$5001,"&lt;="&amp;$B212,BD!$S$3:$S$5001,"&lt;&gt;"))))</f>
        <v/>
      </c>
    </row>
    <row r="213">
      <c r="A213" s="48">
        <v>15</v>
      </c>
      <c r="B213" s="53">
        <f>$B$26</f>
        <v>46310</v>
      </c>
      <c r="C213" s="54" t="str">
        <f>IF(OR($B213="",$A213&gt;$B$9,C$198=""),"",IF(COUNTIFS(BD!$B$3:$B$5001,C$198,BD!$A$3:$A$5001,"&gt;="&amp;$C$7,BD!$A$3:$A$5001,"&lt;="&amp;$B213,BD!$S$3:$S$5001,"&lt;&gt;")=0,"",SUMIFS(BD!$S$3:$S$5001,BD!$B$3:$B$5001,C$198,BD!$A$3:$A$5001,_xlfn.MAXIFS(BD!$A$3:$A$5001,BD!$B$3:$B$5001,C$198,BD!$A$3:$A$5001,"&gt;="&amp;$C$7,BD!$A$3:$A$5001,"&lt;="&amp;$B213,BD!$S$3:$S$5001,"&lt;&gt;"))))</f>
        <v/>
      </c>
      <c r="D213" s="54" t="str">
        <f>IF(OR($B213="",$A213&gt;$B$9,D$198=""),"",IF(COUNTIFS(BD!$B$3:$B$5001,D$198,BD!$A$3:$A$5001,"&gt;="&amp;$C$7,BD!$A$3:$A$5001,"&lt;="&amp;$B213,BD!$S$3:$S$5001,"&lt;&gt;")=0,"",SUMIFS(BD!$S$3:$S$5001,BD!$B$3:$B$5001,D$198,BD!$A$3:$A$5001,_xlfn.MAXIFS(BD!$A$3:$A$5001,BD!$B$3:$B$5001,D$198,BD!$A$3:$A$5001,"&gt;="&amp;$C$7,BD!$A$3:$A$5001,"&lt;="&amp;$B213,BD!$S$3:$S$5001,"&lt;&gt;"))))</f>
        <v/>
      </c>
      <c r="E213" s="54" t="str">
        <f>IF(OR($B213="",$A213&gt;$B$9,E$198=""),"",IF(COUNTIFS(BD!$B$3:$B$5001,E$198,BD!$A$3:$A$5001,"&gt;="&amp;$C$7,BD!$A$3:$A$5001,"&lt;="&amp;$B213,BD!$S$3:$S$5001,"&lt;&gt;")=0,"",SUMIFS(BD!$S$3:$S$5001,BD!$B$3:$B$5001,E$198,BD!$A$3:$A$5001,_xlfn.MAXIFS(BD!$A$3:$A$5001,BD!$B$3:$B$5001,E$198,BD!$A$3:$A$5001,"&gt;="&amp;$C$7,BD!$A$3:$A$5001,"&lt;="&amp;$B213,BD!$S$3:$S$5001,"&lt;&gt;"))))</f>
        <v/>
      </c>
      <c r="F213" s="54" t="str">
        <f>IF(OR($B213="",$A213&gt;$B$9,F$198=""),"",IF(COUNTIFS(BD!$B$3:$B$5001,F$198,BD!$A$3:$A$5001,"&gt;="&amp;$C$7,BD!$A$3:$A$5001,"&lt;="&amp;$B213,BD!$S$3:$S$5001,"&lt;&gt;")=0,"",SUMIFS(BD!$S$3:$S$5001,BD!$B$3:$B$5001,F$198,BD!$A$3:$A$5001,_xlfn.MAXIFS(BD!$A$3:$A$5001,BD!$B$3:$B$5001,F$198,BD!$A$3:$A$5001,"&gt;="&amp;$C$7,BD!$A$3:$A$5001,"&lt;="&amp;$B213,BD!$S$3:$S$5001,"&lt;&gt;"))))</f>
        <v/>
      </c>
      <c r="G213" s="54" t="str">
        <f>IF(OR($B213="",$A213&gt;$B$9,G$198=""),"",IF(COUNTIFS(BD!$B$3:$B$5001,G$198,BD!$A$3:$A$5001,"&gt;="&amp;$C$7,BD!$A$3:$A$5001,"&lt;="&amp;$B213,BD!$S$3:$S$5001,"&lt;&gt;")=0,"",SUMIFS(BD!$S$3:$S$5001,BD!$B$3:$B$5001,G$198,BD!$A$3:$A$5001,_xlfn.MAXIFS(BD!$A$3:$A$5001,BD!$B$3:$B$5001,G$198,BD!$A$3:$A$5001,"&gt;="&amp;$C$7,BD!$A$3:$A$5001,"&lt;="&amp;$B213,BD!$S$3:$S$5001,"&lt;&gt;"))))</f>
        <v/>
      </c>
      <c r="H213" s="54" t="str">
        <f>IF(OR($B213="",$A213&gt;$B$9,H$198=""),"",IF(COUNTIFS(BD!$B$3:$B$5001,H$198,BD!$A$3:$A$5001,"&gt;="&amp;$C$7,BD!$A$3:$A$5001,"&lt;="&amp;$B213,BD!$S$3:$S$5001,"&lt;&gt;")=0,"",SUMIFS(BD!$S$3:$S$5001,BD!$B$3:$B$5001,H$198,BD!$A$3:$A$5001,_xlfn.MAXIFS(BD!$A$3:$A$5001,BD!$B$3:$B$5001,H$198,BD!$A$3:$A$5001,"&gt;="&amp;$C$7,BD!$A$3:$A$5001,"&lt;="&amp;$B213,BD!$S$3:$S$5001,"&lt;&gt;"))))</f>
        <v/>
      </c>
      <c r="I213" s="54" t="str">
        <f>IF(OR($B213="",$A213&gt;$B$9,I$198=""),"",IF(COUNTIFS(BD!$B$3:$B$5001,I$198,BD!$A$3:$A$5001,"&gt;="&amp;$C$7,BD!$A$3:$A$5001,"&lt;="&amp;$B213,BD!$S$3:$S$5001,"&lt;&gt;")=0,"",SUMIFS(BD!$S$3:$S$5001,BD!$B$3:$B$5001,I$198,BD!$A$3:$A$5001,_xlfn.MAXIFS(BD!$A$3:$A$5001,BD!$B$3:$B$5001,I$198,BD!$A$3:$A$5001,"&gt;="&amp;$C$7,BD!$A$3:$A$5001,"&lt;="&amp;$B213,BD!$S$3:$S$5001,"&lt;&gt;"))))</f>
        <v/>
      </c>
      <c r="J213" s="54" t="str">
        <f>IF(OR($B213="",$A213&gt;$B$9,J$198=""),"",IF(COUNTIFS(BD!$B$3:$B$5001,J$198,BD!$A$3:$A$5001,"&gt;="&amp;$C$7,BD!$A$3:$A$5001,"&lt;="&amp;$B213,BD!$S$3:$S$5001,"&lt;&gt;")=0,"",SUMIFS(BD!$S$3:$S$5001,BD!$B$3:$B$5001,J$198,BD!$A$3:$A$5001,_xlfn.MAXIFS(BD!$A$3:$A$5001,BD!$B$3:$B$5001,J$198,BD!$A$3:$A$5001,"&gt;="&amp;$C$7,BD!$A$3:$A$5001,"&lt;="&amp;$B213,BD!$S$3:$S$5001,"&lt;&gt;"))))</f>
        <v/>
      </c>
      <c r="K213" s="54" t="str">
        <f>IF(OR($B213="",$A213&gt;$B$9,K$198=""),"",IF(COUNTIFS(BD!$B$3:$B$5001,K$198,BD!$A$3:$A$5001,"&gt;="&amp;$C$7,BD!$A$3:$A$5001,"&lt;="&amp;$B213,BD!$S$3:$S$5001,"&lt;&gt;")=0,"",SUMIFS(BD!$S$3:$S$5001,BD!$B$3:$B$5001,K$198,BD!$A$3:$A$5001,_xlfn.MAXIFS(BD!$A$3:$A$5001,BD!$B$3:$B$5001,K$198,BD!$A$3:$A$5001,"&gt;="&amp;$C$7,BD!$A$3:$A$5001,"&lt;="&amp;$B213,BD!$S$3:$S$5001,"&lt;&gt;"))))</f>
        <v/>
      </c>
      <c r="L213" s="54" t="str">
        <f>IF(OR($B213="",$A213&gt;$B$9,L$198=""),"",IF(COUNTIFS(BD!$B$3:$B$5001,L$198,BD!$A$3:$A$5001,"&gt;="&amp;$C$7,BD!$A$3:$A$5001,"&lt;="&amp;$B213,BD!$S$3:$S$5001,"&lt;&gt;")=0,"",SUMIFS(BD!$S$3:$S$5001,BD!$B$3:$B$5001,L$198,BD!$A$3:$A$5001,_xlfn.MAXIFS(BD!$A$3:$A$5001,BD!$B$3:$B$5001,L$198,BD!$A$3:$A$5001,"&gt;="&amp;$C$7,BD!$A$3:$A$5001,"&lt;="&amp;$B213,BD!$S$3:$S$5001,"&lt;&gt;"))))</f>
        <v/>
      </c>
      <c r="M213" s="54" t="str">
        <f>IF(OR($B213="",$A213&gt;$B$9,M$198=""),"",IF(COUNTIFS(BD!$B$3:$B$5001,M$198,BD!$A$3:$A$5001,"&gt;="&amp;$C$7,BD!$A$3:$A$5001,"&lt;="&amp;$B213,BD!$S$3:$S$5001,"&lt;&gt;")=0,"",SUMIFS(BD!$S$3:$S$5001,BD!$B$3:$B$5001,M$198,BD!$A$3:$A$5001,_xlfn.MAXIFS(BD!$A$3:$A$5001,BD!$B$3:$B$5001,M$198,BD!$A$3:$A$5001,"&gt;="&amp;$C$7,BD!$A$3:$A$5001,"&lt;="&amp;$B213,BD!$S$3:$S$5001,"&lt;&gt;"))))</f>
        <v/>
      </c>
      <c r="N213" s="54" t="str">
        <f>IF(OR($B213="",$A213&gt;$B$9,N$198=""),"",IF(COUNTIFS(BD!$B$3:$B$5001,N$198,BD!$A$3:$A$5001,"&gt;="&amp;$C$7,BD!$A$3:$A$5001,"&lt;="&amp;$B213,BD!$S$3:$S$5001,"&lt;&gt;")=0,"",SUMIFS(BD!$S$3:$S$5001,BD!$B$3:$B$5001,N$198,BD!$A$3:$A$5001,_xlfn.MAXIFS(BD!$A$3:$A$5001,BD!$B$3:$B$5001,N$198,BD!$A$3:$A$5001,"&gt;="&amp;$C$7,BD!$A$3:$A$5001,"&lt;="&amp;$B213,BD!$S$3:$S$5001,"&lt;&gt;"))))</f>
        <v/>
      </c>
      <c r="O213" s="54" t="str">
        <f>IF(OR($B213="",$A213&gt;$B$9,O$198=""),"",IF(COUNTIFS(BD!$B$3:$B$5001,O$198,BD!$A$3:$A$5001,"&gt;="&amp;$C$7,BD!$A$3:$A$5001,"&lt;="&amp;$B213,BD!$S$3:$S$5001,"&lt;&gt;")=0,"",SUMIFS(BD!$S$3:$S$5001,BD!$B$3:$B$5001,O$198,BD!$A$3:$A$5001,_xlfn.MAXIFS(BD!$A$3:$A$5001,BD!$B$3:$B$5001,O$198,BD!$A$3:$A$5001,"&gt;="&amp;$C$7,BD!$A$3:$A$5001,"&lt;="&amp;$B213,BD!$S$3:$S$5001,"&lt;&gt;"))))</f>
        <v/>
      </c>
      <c r="P213" s="54" t="str">
        <f>IF(OR($B213="",$A213&gt;$B$9,P$198=""),"",IF(COUNTIFS(BD!$B$3:$B$5001,P$198,BD!$A$3:$A$5001,"&gt;="&amp;$C$7,BD!$A$3:$A$5001,"&lt;="&amp;$B213,BD!$S$3:$S$5001,"&lt;&gt;")=0,"",SUMIFS(BD!$S$3:$S$5001,BD!$B$3:$B$5001,P$198,BD!$A$3:$A$5001,_xlfn.MAXIFS(BD!$A$3:$A$5001,BD!$B$3:$B$5001,P$198,BD!$A$3:$A$5001,"&gt;="&amp;$C$7,BD!$A$3:$A$5001,"&lt;="&amp;$B213,BD!$S$3:$S$5001,"&lt;&gt;"))))</f>
        <v/>
      </c>
      <c r="Q213" s="54" t="str">
        <f>IF(OR($B213="",$A213&gt;$B$9,Q$198=""),"",IF(COUNTIFS(BD!$B$3:$B$5001,Q$198,BD!$A$3:$A$5001,"&gt;="&amp;$C$7,BD!$A$3:$A$5001,"&lt;="&amp;$B213,BD!$S$3:$S$5001,"&lt;&gt;")=0,"",SUMIFS(BD!$S$3:$S$5001,BD!$B$3:$B$5001,Q$198,BD!$A$3:$A$5001,_xlfn.MAXIFS(BD!$A$3:$A$5001,BD!$B$3:$B$5001,Q$198,BD!$A$3:$A$5001,"&gt;="&amp;$C$7,BD!$A$3:$A$5001,"&lt;="&amp;$B213,BD!$S$3:$S$5001,"&lt;&gt;"))))</f>
        <v/>
      </c>
      <c r="R213" s="54" t="str">
        <f>IF(OR($B213="",$A213&gt;$B$9,R$198=""),"",IF(COUNTIFS(BD!$B$3:$B$5001,R$198,BD!$A$3:$A$5001,"&gt;="&amp;$C$7,BD!$A$3:$A$5001,"&lt;="&amp;$B213,BD!$S$3:$S$5001,"&lt;&gt;")=0,"",SUMIFS(BD!$S$3:$S$5001,BD!$B$3:$B$5001,R$198,BD!$A$3:$A$5001,_xlfn.MAXIFS(BD!$A$3:$A$5001,BD!$B$3:$B$5001,R$198,BD!$A$3:$A$5001,"&gt;="&amp;$C$7,BD!$A$3:$A$5001,"&lt;="&amp;$B213,BD!$S$3:$S$5001,"&lt;&gt;"))))</f>
        <v/>
      </c>
      <c r="S213" s="54" t="str">
        <f>IF(OR($B213="",$A213&gt;$B$9,S$198=""),"",IF(COUNTIFS(BD!$B$3:$B$5001,S$198,BD!$A$3:$A$5001,"&gt;="&amp;$C$7,BD!$A$3:$A$5001,"&lt;="&amp;$B213,BD!$S$3:$S$5001,"&lt;&gt;")=0,"",SUMIFS(BD!$S$3:$S$5001,BD!$B$3:$B$5001,S$198,BD!$A$3:$A$5001,_xlfn.MAXIFS(BD!$A$3:$A$5001,BD!$B$3:$B$5001,S$198,BD!$A$3:$A$5001,"&gt;="&amp;$C$7,BD!$A$3:$A$5001,"&lt;="&amp;$B213,BD!$S$3:$S$5001,"&lt;&gt;"))))</f>
        <v/>
      </c>
      <c r="T213" s="54" t="str">
        <f>IF(OR($B213="",$A213&gt;$B$9,T$198=""),"",IF(COUNTIFS(BD!$B$3:$B$5001,T$198,BD!$A$3:$A$5001,"&gt;="&amp;$C$7,BD!$A$3:$A$5001,"&lt;="&amp;$B213,BD!$S$3:$S$5001,"&lt;&gt;")=0,"",SUMIFS(BD!$S$3:$S$5001,BD!$B$3:$B$5001,T$198,BD!$A$3:$A$5001,_xlfn.MAXIFS(BD!$A$3:$A$5001,BD!$B$3:$B$5001,T$198,BD!$A$3:$A$5001,"&gt;="&amp;$C$7,BD!$A$3:$A$5001,"&lt;="&amp;$B213,BD!$S$3:$S$5001,"&lt;&gt;"))))</f>
        <v/>
      </c>
      <c r="U213" s="54" t="str">
        <f>IF(OR($B213="",$A213&gt;$B$9,U$198=""),"",IF(COUNTIFS(BD!$B$3:$B$5001,U$198,BD!$A$3:$A$5001,"&gt;="&amp;$C$7,BD!$A$3:$A$5001,"&lt;="&amp;$B213,BD!$S$3:$S$5001,"&lt;&gt;")=0,"",SUMIFS(BD!$S$3:$S$5001,BD!$B$3:$B$5001,U$198,BD!$A$3:$A$5001,_xlfn.MAXIFS(BD!$A$3:$A$5001,BD!$B$3:$B$5001,U$198,BD!$A$3:$A$5001,"&gt;="&amp;$C$7,BD!$A$3:$A$5001,"&lt;="&amp;$B213,BD!$S$3:$S$5001,"&lt;&gt;"))))</f>
        <v/>
      </c>
      <c r="V213" s="54" t="str">
        <f>IF(OR($B213="",$A213&gt;$B$9,V$198=""),"",IF(COUNTIFS(BD!$B$3:$B$5001,V$198,BD!$A$3:$A$5001,"&gt;="&amp;$C$7,BD!$A$3:$A$5001,"&lt;="&amp;$B213,BD!$S$3:$S$5001,"&lt;&gt;")=0,"",SUMIFS(BD!$S$3:$S$5001,BD!$B$3:$B$5001,V$198,BD!$A$3:$A$5001,_xlfn.MAXIFS(BD!$A$3:$A$5001,BD!$B$3:$B$5001,V$198,BD!$A$3:$A$5001,"&gt;="&amp;$C$7,BD!$A$3:$A$5001,"&lt;="&amp;$B213,BD!$S$3:$S$5001,"&lt;&gt;"))))</f>
        <v/>
      </c>
    </row>
    <row r="214">
      <c r="A214" s="48">
        <v>16</v>
      </c>
      <c r="B214" s="53">
        <f>$B$27</f>
        <v>46311</v>
      </c>
      <c r="C214" s="54" t="str">
        <f>IF(OR($B214="",$A214&gt;$B$9,C$198=""),"",IF(COUNTIFS(BD!$B$3:$B$5001,C$198,BD!$A$3:$A$5001,"&gt;="&amp;$C$7,BD!$A$3:$A$5001,"&lt;="&amp;$B214,BD!$S$3:$S$5001,"&lt;&gt;")=0,"",SUMIFS(BD!$S$3:$S$5001,BD!$B$3:$B$5001,C$198,BD!$A$3:$A$5001,_xlfn.MAXIFS(BD!$A$3:$A$5001,BD!$B$3:$B$5001,C$198,BD!$A$3:$A$5001,"&gt;="&amp;$C$7,BD!$A$3:$A$5001,"&lt;="&amp;$B214,BD!$S$3:$S$5001,"&lt;&gt;"))))</f>
        <v/>
      </c>
      <c r="D214" s="54" t="str">
        <f>IF(OR($B214="",$A214&gt;$B$9,D$198=""),"",IF(COUNTIFS(BD!$B$3:$B$5001,D$198,BD!$A$3:$A$5001,"&gt;="&amp;$C$7,BD!$A$3:$A$5001,"&lt;="&amp;$B214,BD!$S$3:$S$5001,"&lt;&gt;")=0,"",SUMIFS(BD!$S$3:$S$5001,BD!$B$3:$B$5001,D$198,BD!$A$3:$A$5001,_xlfn.MAXIFS(BD!$A$3:$A$5001,BD!$B$3:$B$5001,D$198,BD!$A$3:$A$5001,"&gt;="&amp;$C$7,BD!$A$3:$A$5001,"&lt;="&amp;$B214,BD!$S$3:$S$5001,"&lt;&gt;"))))</f>
        <v/>
      </c>
      <c r="E214" s="54" t="str">
        <f>IF(OR($B214="",$A214&gt;$B$9,E$198=""),"",IF(COUNTIFS(BD!$B$3:$B$5001,E$198,BD!$A$3:$A$5001,"&gt;="&amp;$C$7,BD!$A$3:$A$5001,"&lt;="&amp;$B214,BD!$S$3:$S$5001,"&lt;&gt;")=0,"",SUMIFS(BD!$S$3:$S$5001,BD!$B$3:$B$5001,E$198,BD!$A$3:$A$5001,_xlfn.MAXIFS(BD!$A$3:$A$5001,BD!$B$3:$B$5001,E$198,BD!$A$3:$A$5001,"&gt;="&amp;$C$7,BD!$A$3:$A$5001,"&lt;="&amp;$B214,BD!$S$3:$S$5001,"&lt;&gt;"))))</f>
        <v/>
      </c>
      <c r="F214" s="54" t="str">
        <f>IF(OR($B214="",$A214&gt;$B$9,F$198=""),"",IF(COUNTIFS(BD!$B$3:$B$5001,F$198,BD!$A$3:$A$5001,"&gt;="&amp;$C$7,BD!$A$3:$A$5001,"&lt;="&amp;$B214,BD!$S$3:$S$5001,"&lt;&gt;")=0,"",SUMIFS(BD!$S$3:$S$5001,BD!$B$3:$B$5001,F$198,BD!$A$3:$A$5001,_xlfn.MAXIFS(BD!$A$3:$A$5001,BD!$B$3:$B$5001,F$198,BD!$A$3:$A$5001,"&gt;="&amp;$C$7,BD!$A$3:$A$5001,"&lt;="&amp;$B214,BD!$S$3:$S$5001,"&lt;&gt;"))))</f>
        <v/>
      </c>
      <c r="G214" s="54" t="str">
        <f>IF(OR($B214="",$A214&gt;$B$9,G$198=""),"",IF(COUNTIFS(BD!$B$3:$B$5001,G$198,BD!$A$3:$A$5001,"&gt;="&amp;$C$7,BD!$A$3:$A$5001,"&lt;="&amp;$B214,BD!$S$3:$S$5001,"&lt;&gt;")=0,"",SUMIFS(BD!$S$3:$S$5001,BD!$B$3:$B$5001,G$198,BD!$A$3:$A$5001,_xlfn.MAXIFS(BD!$A$3:$A$5001,BD!$B$3:$B$5001,G$198,BD!$A$3:$A$5001,"&gt;="&amp;$C$7,BD!$A$3:$A$5001,"&lt;="&amp;$B214,BD!$S$3:$S$5001,"&lt;&gt;"))))</f>
        <v/>
      </c>
      <c r="H214" s="54" t="str">
        <f>IF(OR($B214="",$A214&gt;$B$9,H$198=""),"",IF(COUNTIFS(BD!$B$3:$B$5001,H$198,BD!$A$3:$A$5001,"&gt;="&amp;$C$7,BD!$A$3:$A$5001,"&lt;="&amp;$B214,BD!$S$3:$S$5001,"&lt;&gt;")=0,"",SUMIFS(BD!$S$3:$S$5001,BD!$B$3:$B$5001,H$198,BD!$A$3:$A$5001,_xlfn.MAXIFS(BD!$A$3:$A$5001,BD!$B$3:$B$5001,H$198,BD!$A$3:$A$5001,"&gt;="&amp;$C$7,BD!$A$3:$A$5001,"&lt;="&amp;$B214,BD!$S$3:$S$5001,"&lt;&gt;"))))</f>
        <v/>
      </c>
      <c r="I214" s="54" t="str">
        <f>IF(OR($B214="",$A214&gt;$B$9,I$198=""),"",IF(COUNTIFS(BD!$B$3:$B$5001,I$198,BD!$A$3:$A$5001,"&gt;="&amp;$C$7,BD!$A$3:$A$5001,"&lt;="&amp;$B214,BD!$S$3:$S$5001,"&lt;&gt;")=0,"",SUMIFS(BD!$S$3:$S$5001,BD!$B$3:$B$5001,I$198,BD!$A$3:$A$5001,_xlfn.MAXIFS(BD!$A$3:$A$5001,BD!$B$3:$B$5001,I$198,BD!$A$3:$A$5001,"&gt;="&amp;$C$7,BD!$A$3:$A$5001,"&lt;="&amp;$B214,BD!$S$3:$S$5001,"&lt;&gt;"))))</f>
        <v/>
      </c>
      <c r="J214" s="54" t="str">
        <f>IF(OR($B214="",$A214&gt;$B$9,J$198=""),"",IF(COUNTIFS(BD!$B$3:$B$5001,J$198,BD!$A$3:$A$5001,"&gt;="&amp;$C$7,BD!$A$3:$A$5001,"&lt;="&amp;$B214,BD!$S$3:$S$5001,"&lt;&gt;")=0,"",SUMIFS(BD!$S$3:$S$5001,BD!$B$3:$B$5001,J$198,BD!$A$3:$A$5001,_xlfn.MAXIFS(BD!$A$3:$A$5001,BD!$B$3:$B$5001,J$198,BD!$A$3:$A$5001,"&gt;="&amp;$C$7,BD!$A$3:$A$5001,"&lt;="&amp;$B214,BD!$S$3:$S$5001,"&lt;&gt;"))))</f>
        <v/>
      </c>
      <c r="K214" s="54" t="str">
        <f>IF(OR($B214="",$A214&gt;$B$9,K$198=""),"",IF(COUNTIFS(BD!$B$3:$B$5001,K$198,BD!$A$3:$A$5001,"&gt;="&amp;$C$7,BD!$A$3:$A$5001,"&lt;="&amp;$B214,BD!$S$3:$S$5001,"&lt;&gt;")=0,"",SUMIFS(BD!$S$3:$S$5001,BD!$B$3:$B$5001,K$198,BD!$A$3:$A$5001,_xlfn.MAXIFS(BD!$A$3:$A$5001,BD!$B$3:$B$5001,K$198,BD!$A$3:$A$5001,"&gt;="&amp;$C$7,BD!$A$3:$A$5001,"&lt;="&amp;$B214,BD!$S$3:$S$5001,"&lt;&gt;"))))</f>
        <v/>
      </c>
      <c r="L214" s="54" t="str">
        <f>IF(OR($B214="",$A214&gt;$B$9,L$198=""),"",IF(COUNTIFS(BD!$B$3:$B$5001,L$198,BD!$A$3:$A$5001,"&gt;="&amp;$C$7,BD!$A$3:$A$5001,"&lt;="&amp;$B214,BD!$S$3:$S$5001,"&lt;&gt;")=0,"",SUMIFS(BD!$S$3:$S$5001,BD!$B$3:$B$5001,L$198,BD!$A$3:$A$5001,_xlfn.MAXIFS(BD!$A$3:$A$5001,BD!$B$3:$B$5001,L$198,BD!$A$3:$A$5001,"&gt;="&amp;$C$7,BD!$A$3:$A$5001,"&lt;="&amp;$B214,BD!$S$3:$S$5001,"&lt;&gt;"))))</f>
        <v/>
      </c>
      <c r="M214" s="54" t="str">
        <f>IF(OR($B214="",$A214&gt;$B$9,M$198=""),"",IF(COUNTIFS(BD!$B$3:$B$5001,M$198,BD!$A$3:$A$5001,"&gt;="&amp;$C$7,BD!$A$3:$A$5001,"&lt;="&amp;$B214,BD!$S$3:$S$5001,"&lt;&gt;")=0,"",SUMIFS(BD!$S$3:$S$5001,BD!$B$3:$B$5001,M$198,BD!$A$3:$A$5001,_xlfn.MAXIFS(BD!$A$3:$A$5001,BD!$B$3:$B$5001,M$198,BD!$A$3:$A$5001,"&gt;="&amp;$C$7,BD!$A$3:$A$5001,"&lt;="&amp;$B214,BD!$S$3:$S$5001,"&lt;&gt;"))))</f>
        <v/>
      </c>
      <c r="N214" s="54" t="str">
        <f>IF(OR($B214="",$A214&gt;$B$9,N$198=""),"",IF(COUNTIFS(BD!$B$3:$B$5001,N$198,BD!$A$3:$A$5001,"&gt;="&amp;$C$7,BD!$A$3:$A$5001,"&lt;="&amp;$B214,BD!$S$3:$S$5001,"&lt;&gt;")=0,"",SUMIFS(BD!$S$3:$S$5001,BD!$B$3:$B$5001,N$198,BD!$A$3:$A$5001,_xlfn.MAXIFS(BD!$A$3:$A$5001,BD!$B$3:$B$5001,N$198,BD!$A$3:$A$5001,"&gt;="&amp;$C$7,BD!$A$3:$A$5001,"&lt;="&amp;$B214,BD!$S$3:$S$5001,"&lt;&gt;"))))</f>
        <v/>
      </c>
      <c r="O214" s="54" t="str">
        <f>IF(OR($B214="",$A214&gt;$B$9,O$198=""),"",IF(COUNTIFS(BD!$B$3:$B$5001,O$198,BD!$A$3:$A$5001,"&gt;="&amp;$C$7,BD!$A$3:$A$5001,"&lt;="&amp;$B214,BD!$S$3:$S$5001,"&lt;&gt;")=0,"",SUMIFS(BD!$S$3:$S$5001,BD!$B$3:$B$5001,O$198,BD!$A$3:$A$5001,_xlfn.MAXIFS(BD!$A$3:$A$5001,BD!$B$3:$B$5001,O$198,BD!$A$3:$A$5001,"&gt;="&amp;$C$7,BD!$A$3:$A$5001,"&lt;="&amp;$B214,BD!$S$3:$S$5001,"&lt;&gt;"))))</f>
        <v/>
      </c>
      <c r="P214" s="54" t="str">
        <f>IF(OR($B214="",$A214&gt;$B$9,P$198=""),"",IF(COUNTIFS(BD!$B$3:$B$5001,P$198,BD!$A$3:$A$5001,"&gt;="&amp;$C$7,BD!$A$3:$A$5001,"&lt;="&amp;$B214,BD!$S$3:$S$5001,"&lt;&gt;")=0,"",SUMIFS(BD!$S$3:$S$5001,BD!$B$3:$B$5001,P$198,BD!$A$3:$A$5001,_xlfn.MAXIFS(BD!$A$3:$A$5001,BD!$B$3:$B$5001,P$198,BD!$A$3:$A$5001,"&gt;="&amp;$C$7,BD!$A$3:$A$5001,"&lt;="&amp;$B214,BD!$S$3:$S$5001,"&lt;&gt;"))))</f>
        <v/>
      </c>
      <c r="Q214" s="54" t="str">
        <f>IF(OR($B214="",$A214&gt;$B$9,Q$198=""),"",IF(COUNTIFS(BD!$B$3:$B$5001,Q$198,BD!$A$3:$A$5001,"&gt;="&amp;$C$7,BD!$A$3:$A$5001,"&lt;="&amp;$B214,BD!$S$3:$S$5001,"&lt;&gt;")=0,"",SUMIFS(BD!$S$3:$S$5001,BD!$B$3:$B$5001,Q$198,BD!$A$3:$A$5001,_xlfn.MAXIFS(BD!$A$3:$A$5001,BD!$B$3:$B$5001,Q$198,BD!$A$3:$A$5001,"&gt;="&amp;$C$7,BD!$A$3:$A$5001,"&lt;="&amp;$B214,BD!$S$3:$S$5001,"&lt;&gt;"))))</f>
        <v/>
      </c>
      <c r="R214" s="54" t="str">
        <f>IF(OR($B214="",$A214&gt;$B$9,R$198=""),"",IF(COUNTIFS(BD!$B$3:$B$5001,R$198,BD!$A$3:$A$5001,"&gt;="&amp;$C$7,BD!$A$3:$A$5001,"&lt;="&amp;$B214,BD!$S$3:$S$5001,"&lt;&gt;")=0,"",SUMIFS(BD!$S$3:$S$5001,BD!$B$3:$B$5001,R$198,BD!$A$3:$A$5001,_xlfn.MAXIFS(BD!$A$3:$A$5001,BD!$B$3:$B$5001,R$198,BD!$A$3:$A$5001,"&gt;="&amp;$C$7,BD!$A$3:$A$5001,"&lt;="&amp;$B214,BD!$S$3:$S$5001,"&lt;&gt;"))))</f>
        <v/>
      </c>
      <c r="S214" s="54" t="str">
        <f>IF(OR($B214="",$A214&gt;$B$9,S$198=""),"",IF(COUNTIFS(BD!$B$3:$B$5001,S$198,BD!$A$3:$A$5001,"&gt;="&amp;$C$7,BD!$A$3:$A$5001,"&lt;="&amp;$B214,BD!$S$3:$S$5001,"&lt;&gt;")=0,"",SUMIFS(BD!$S$3:$S$5001,BD!$B$3:$B$5001,S$198,BD!$A$3:$A$5001,_xlfn.MAXIFS(BD!$A$3:$A$5001,BD!$B$3:$B$5001,S$198,BD!$A$3:$A$5001,"&gt;="&amp;$C$7,BD!$A$3:$A$5001,"&lt;="&amp;$B214,BD!$S$3:$S$5001,"&lt;&gt;"))))</f>
        <v/>
      </c>
      <c r="T214" s="54" t="str">
        <f>IF(OR($B214="",$A214&gt;$B$9,T$198=""),"",IF(COUNTIFS(BD!$B$3:$B$5001,T$198,BD!$A$3:$A$5001,"&gt;="&amp;$C$7,BD!$A$3:$A$5001,"&lt;="&amp;$B214,BD!$S$3:$S$5001,"&lt;&gt;")=0,"",SUMIFS(BD!$S$3:$S$5001,BD!$B$3:$B$5001,T$198,BD!$A$3:$A$5001,_xlfn.MAXIFS(BD!$A$3:$A$5001,BD!$B$3:$B$5001,T$198,BD!$A$3:$A$5001,"&gt;="&amp;$C$7,BD!$A$3:$A$5001,"&lt;="&amp;$B214,BD!$S$3:$S$5001,"&lt;&gt;"))))</f>
        <v/>
      </c>
      <c r="U214" s="54" t="str">
        <f>IF(OR($B214="",$A214&gt;$B$9,U$198=""),"",IF(COUNTIFS(BD!$B$3:$B$5001,U$198,BD!$A$3:$A$5001,"&gt;="&amp;$C$7,BD!$A$3:$A$5001,"&lt;="&amp;$B214,BD!$S$3:$S$5001,"&lt;&gt;")=0,"",SUMIFS(BD!$S$3:$S$5001,BD!$B$3:$B$5001,U$198,BD!$A$3:$A$5001,_xlfn.MAXIFS(BD!$A$3:$A$5001,BD!$B$3:$B$5001,U$198,BD!$A$3:$A$5001,"&gt;="&amp;$C$7,BD!$A$3:$A$5001,"&lt;="&amp;$B214,BD!$S$3:$S$5001,"&lt;&gt;"))))</f>
        <v/>
      </c>
      <c r="V214" s="54" t="str">
        <f>IF(OR($B214="",$A214&gt;$B$9,V$198=""),"",IF(COUNTIFS(BD!$B$3:$B$5001,V$198,BD!$A$3:$A$5001,"&gt;="&amp;$C$7,BD!$A$3:$A$5001,"&lt;="&amp;$B214,BD!$S$3:$S$5001,"&lt;&gt;")=0,"",SUMIFS(BD!$S$3:$S$5001,BD!$B$3:$B$5001,V$198,BD!$A$3:$A$5001,_xlfn.MAXIFS(BD!$A$3:$A$5001,BD!$B$3:$B$5001,V$198,BD!$A$3:$A$5001,"&gt;="&amp;$C$7,BD!$A$3:$A$5001,"&lt;="&amp;$B214,BD!$S$3:$S$5001,"&lt;&gt;"))))</f>
        <v/>
      </c>
    </row>
    <row r="215">
      <c r="A215" s="48">
        <v>17</v>
      </c>
      <c r="B215" s="53">
        <f>$B$28</f>
        <v>46312</v>
      </c>
      <c r="C215" s="54" t="str">
        <f>IF(OR($B215="",$A215&gt;$B$9,C$198=""),"",IF(COUNTIFS(BD!$B$3:$B$5001,C$198,BD!$A$3:$A$5001,"&gt;="&amp;$C$7,BD!$A$3:$A$5001,"&lt;="&amp;$B215,BD!$S$3:$S$5001,"&lt;&gt;")=0,"",SUMIFS(BD!$S$3:$S$5001,BD!$B$3:$B$5001,C$198,BD!$A$3:$A$5001,_xlfn.MAXIFS(BD!$A$3:$A$5001,BD!$B$3:$B$5001,C$198,BD!$A$3:$A$5001,"&gt;="&amp;$C$7,BD!$A$3:$A$5001,"&lt;="&amp;$B215,BD!$S$3:$S$5001,"&lt;&gt;"))))</f>
        <v/>
      </c>
      <c r="D215" s="54" t="str">
        <f>IF(OR($B215="",$A215&gt;$B$9,D$198=""),"",IF(COUNTIFS(BD!$B$3:$B$5001,D$198,BD!$A$3:$A$5001,"&gt;="&amp;$C$7,BD!$A$3:$A$5001,"&lt;="&amp;$B215,BD!$S$3:$S$5001,"&lt;&gt;")=0,"",SUMIFS(BD!$S$3:$S$5001,BD!$B$3:$B$5001,D$198,BD!$A$3:$A$5001,_xlfn.MAXIFS(BD!$A$3:$A$5001,BD!$B$3:$B$5001,D$198,BD!$A$3:$A$5001,"&gt;="&amp;$C$7,BD!$A$3:$A$5001,"&lt;="&amp;$B215,BD!$S$3:$S$5001,"&lt;&gt;"))))</f>
        <v/>
      </c>
      <c r="E215" s="54" t="str">
        <f>IF(OR($B215="",$A215&gt;$B$9,E$198=""),"",IF(COUNTIFS(BD!$B$3:$B$5001,E$198,BD!$A$3:$A$5001,"&gt;="&amp;$C$7,BD!$A$3:$A$5001,"&lt;="&amp;$B215,BD!$S$3:$S$5001,"&lt;&gt;")=0,"",SUMIFS(BD!$S$3:$S$5001,BD!$B$3:$B$5001,E$198,BD!$A$3:$A$5001,_xlfn.MAXIFS(BD!$A$3:$A$5001,BD!$B$3:$B$5001,E$198,BD!$A$3:$A$5001,"&gt;="&amp;$C$7,BD!$A$3:$A$5001,"&lt;="&amp;$B215,BD!$S$3:$S$5001,"&lt;&gt;"))))</f>
        <v/>
      </c>
      <c r="F215" s="54" t="str">
        <f>IF(OR($B215="",$A215&gt;$B$9,F$198=""),"",IF(COUNTIFS(BD!$B$3:$B$5001,F$198,BD!$A$3:$A$5001,"&gt;="&amp;$C$7,BD!$A$3:$A$5001,"&lt;="&amp;$B215,BD!$S$3:$S$5001,"&lt;&gt;")=0,"",SUMIFS(BD!$S$3:$S$5001,BD!$B$3:$B$5001,F$198,BD!$A$3:$A$5001,_xlfn.MAXIFS(BD!$A$3:$A$5001,BD!$B$3:$B$5001,F$198,BD!$A$3:$A$5001,"&gt;="&amp;$C$7,BD!$A$3:$A$5001,"&lt;="&amp;$B215,BD!$S$3:$S$5001,"&lt;&gt;"))))</f>
        <v/>
      </c>
      <c r="G215" s="54" t="str">
        <f>IF(OR($B215="",$A215&gt;$B$9,G$198=""),"",IF(COUNTIFS(BD!$B$3:$B$5001,G$198,BD!$A$3:$A$5001,"&gt;="&amp;$C$7,BD!$A$3:$A$5001,"&lt;="&amp;$B215,BD!$S$3:$S$5001,"&lt;&gt;")=0,"",SUMIFS(BD!$S$3:$S$5001,BD!$B$3:$B$5001,G$198,BD!$A$3:$A$5001,_xlfn.MAXIFS(BD!$A$3:$A$5001,BD!$B$3:$B$5001,G$198,BD!$A$3:$A$5001,"&gt;="&amp;$C$7,BD!$A$3:$A$5001,"&lt;="&amp;$B215,BD!$S$3:$S$5001,"&lt;&gt;"))))</f>
        <v/>
      </c>
      <c r="H215" s="54" t="str">
        <f>IF(OR($B215="",$A215&gt;$B$9,H$198=""),"",IF(COUNTIFS(BD!$B$3:$B$5001,H$198,BD!$A$3:$A$5001,"&gt;="&amp;$C$7,BD!$A$3:$A$5001,"&lt;="&amp;$B215,BD!$S$3:$S$5001,"&lt;&gt;")=0,"",SUMIFS(BD!$S$3:$S$5001,BD!$B$3:$B$5001,H$198,BD!$A$3:$A$5001,_xlfn.MAXIFS(BD!$A$3:$A$5001,BD!$B$3:$B$5001,H$198,BD!$A$3:$A$5001,"&gt;="&amp;$C$7,BD!$A$3:$A$5001,"&lt;="&amp;$B215,BD!$S$3:$S$5001,"&lt;&gt;"))))</f>
        <v/>
      </c>
      <c r="I215" s="54" t="str">
        <f>IF(OR($B215="",$A215&gt;$B$9,I$198=""),"",IF(COUNTIFS(BD!$B$3:$B$5001,I$198,BD!$A$3:$A$5001,"&gt;="&amp;$C$7,BD!$A$3:$A$5001,"&lt;="&amp;$B215,BD!$S$3:$S$5001,"&lt;&gt;")=0,"",SUMIFS(BD!$S$3:$S$5001,BD!$B$3:$B$5001,I$198,BD!$A$3:$A$5001,_xlfn.MAXIFS(BD!$A$3:$A$5001,BD!$B$3:$B$5001,I$198,BD!$A$3:$A$5001,"&gt;="&amp;$C$7,BD!$A$3:$A$5001,"&lt;="&amp;$B215,BD!$S$3:$S$5001,"&lt;&gt;"))))</f>
        <v/>
      </c>
      <c r="J215" s="54" t="str">
        <f>IF(OR($B215="",$A215&gt;$B$9,J$198=""),"",IF(COUNTIFS(BD!$B$3:$B$5001,J$198,BD!$A$3:$A$5001,"&gt;="&amp;$C$7,BD!$A$3:$A$5001,"&lt;="&amp;$B215,BD!$S$3:$S$5001,"&lt;&gt;")=0,"",SUMIFS(BD!$S$3:$S$5001,BD!$B$3:$B$5001,J$198,BD!$A$3:$A$5001,_xlfn.MAXIFS(BD!$A$3:$A$5001,BD!$B$3:$B$5001,J$198,BD!$A$3:$A$5001,"&gt;="&amp;$C$7,BD!$A$3:$A$5001,"&lt;="&amp;$B215,BD!$S$3:$S$5001,"&lt;&gt;"))))</f>
        <v/>
      </c>
      <c r="K215" s="54" t="str">
        <f>IF(OR($B215="",$A215&gt;$B$9,K$198=""),"",IF(COUNTIFS(BD!$B$3:$B$5001,K$198,BD!$A$3:$A$5001,"&gt;="&amp;$C$7,BD!$A$3:$A$5001,"&lt;="&amp;$B215,BD!$S$3:$S$5001,"&lt;&gt;")=0,"",SUMIFS(BD!$S$3:$S$5001,BD!$B$3:$B$5001,K$198,BD!$A$3:$A$5001,_xlfn.MAXIFS(BD!$A$3:$A$5001,BD!$B$3:$B$5001,K$198,BD!$A$3:$A$5001,"&gt;="&amp;$C$7,BD!$A$3:$A$5001,"&lt;="&amp;$B215,BD!$S$3:$S$5001,"&lt;&gt;"))))</f>
        <v/>
      </c>
      <c r="L215" s="54" t="str">
        <f>IF(OR($B215="",$A215&gt;$B$9,L$198=""),"",IF(COUNTIFS(BD!$B$3:$B$5001,L$198,BD!$A$3:$A$5001,"&gt;="&amp;$C$7,BD!$A$3:$A$5001,"&lt;="&amp;$B215,BD!$S$3:$S$5001,"&lt;&gt;")=0,"",SUMIFS(BD!$S$3:$S$5001,BD!$B$3:$B$5001,L$198,BD!$A$3:$A$5001,_xlfn.MAXIFS(BD!$A$3:$A$5001,BD!$B$3:$B$5001,L$198,BD!$A$3:$A$5001,"&gt;="&amp;$C$7,BD!$A$3:$A$5001,"&lt;="&amp;$B215,BD!$S$3:$S$5001,"&lt;&gt;"))))</f>
        <v/>
      </c>
      <c r="M215" s="54" t="str">
        <f>IF(OR($B215="",$A215&gt;$B$9,M$198=""),"",IF(COUNTIFS(BD!$B$3:$B$5001,M$198,BD!$A$3:$A$5001,"&gt;="&amp;$C$7,BD!$A$3:$A$5001,"&lt;="&amp;$B215,BD!$S$3:$S$5001,"&lt;&gt;")=0,"",SUMIFS(BD!$S$3:$S$5001,BD!$B$3:$B$5001,M$198,BD!$A$3:$A$5001,_xlfn.MAXIFS(BD!$A$3:$A$5001,BD!$B$3:$B$5001,M$198,BD!$A$3:$A$5001,"&gt;="&amp;$C$7,BD!$A$3:$A$5001,"&lt;="&amp;$B215,BD!$S$3:$S$5001,"&lt;&gt;"))))</f>
        <v/>
      </c>
      <c r="N215" s="54" t="str">
        <f>IF(OR($B215="",$A215&gt;$B$9,N$198=""),"",IF(COUNTIFS(BD!$B$3:$B$5001,N$198,BD!$A$3:$A$5001,"&gt;="&amp;$C$7,BD!$A$3:$A$5001,"&lt;="&amp;$B215,BD!$S$3:$S$5001,"&lt;&gt;")=0,"",SUMIFS(BD!$S$3:$S$5001,BD!$B$3:$B$5001,N$198,BD!$A$3:$A$5001,_xlfn.MAXIFS(BD!$A$3:$A$5001,BD!$B$3:$B$5001,N$198,BD!$A$3:$A$5001,"&gt;="&amp;$C$7,BD!$A$3:$A$5001,"&lt;="&amp;$B215,BD!$S$3:$S$5001,"&lt;&gt;"))))</f>
        <v/>
      </c>
      <c r="O215" s="54" t="str">
        <f>IF(OR($B215="",$A215&gt;$B$9,O$198=""),"",IF(COUNTIFS(BD!$B$3:$B$5001,O$198,BD!$A$3:$A$5001,"&gt;="&amp;$C$7,BD!$A$3:$A$5001,"&lt;="&amp;$B215,BD!$S$3:$S$5001,"&lt;&gt;")=0,"",SUMIFS(BD!$S$3:$S$5001,BD!$B$3:$B$5001,O$198,BD!$A$3:$A$5001,_xlfn.MAXIFS(BD!$A$3:$A$5001,BD!$B$3:$B$5001,O$198,BD!$A$3:$A$5001,"&gt;="&amp;$C$7,BD!$A$3:$A$5001,"&lt;="&amp;$B215,BD!$S$3:$S$5001,"&lt;&gt;"))))</f>
        <v/>
      </c>
      <c r="P215" s="54" t="str">
        <f>IF(OR($B215="",$A215&gt;$B$9,P$198=""),"",IF(COUNTIFS(BD!$B$3:$B$5001,P$198,BD!$A$3:$A$5001,"&gt;="&amp;$C$7,BD!$A$3:$A$5001,"&lt;="&amp;$B215,BD!$S$3:$S$5001,"&lt;&gt;")=0,"",SUMIFS(BD!$S$3:$S$5001,BD!$B$3:$B$5001,P$198,BD!$A$3:$A$5001,_xlfn.MAXIFS(BD!$A$3:$A$5001,BD!$B$3:$B$5001,P$198,BD!$A$3:$A$5001,"&gt;="&amp;$C$7,BD!$A$3:$A$5001,"&lt;="&amp;$B215,BD!$S$3:$S$5001,"&lt;&gt;"))))</f>
        <v/>
      </c>
      <c r="Q215" s="54" t="str">
        <f>IF(OR($B215="",$A215&gt;$B$9,Q$198=""),"",IF(COUNTIFS(BD!$B$3:$B$5001,Q$198,BD!$A$3:$A$5001,"&gt;="&amp;$C$7,BD!$A$3:$A$5001,"&lt;="&amp;$B215,BD!$S$3:$S$5001,"&lt;&gt;")=0,"",SUMIFS(BD!$S$3:$S$5001,BD!$B$3:$B$5001,Q$198,BD!$A$3:$A$5001,_xlfn.MAXIFS(BD!$A$3:$A$5001,BD!$B$3:$B$5001,Q$198,BD!$A$3:$A$5001,"&gt;="&amp;$C$7,BD!$A$3:$A$5001,"&lt;="&amp;$B215,BD!$S$3:$S$5001,"&lt;&gt;"))))</f>
        <v/>
      </c>
      <c r="R215" s="54" t="str">
        <f>IF(OR($B215="",$A215&gt;$B$9,R$198=""),"",IF(COUNTIFS(BD!$B$3:$B$5001,R$198,BD!$A$3:$A$5001,"&gt;="&amp;$C$7,BD!$A$3:$A$5001,"&lt;="&amp;$B215,BD!$S$3:$S$5001,"&lt;&gt;")=0,"",SUMIFS(BD!$S$3:$S$5001,BD!$B$3:$B$5001,R$198,BD!$A$3:$A$5001,_xlfn.MAXIFS(BD!$A$3:$A$5001,BD!$B$3:$B$5001,R$198,BD!$A$3:$A$5001,"&gt;="&amp;$C$7,BD!$A$3:$A$5001,"&lt;="&amp;$B215,BD!$S$3:$S$5001,"&lt;&gt;"))))</f>
        <v/>
      </c>
      <c r="S215" s="54" t="str">
        <f>IF(OR($B215="",$A215&gt;$B$9,S$198=""),"",IF(COUNTIFS(BD!$B$3:$B$5001,S$198,BD!$A$3:$A$5001,"&gt;="&amp;$C$7,BD!$A$3:$A$5001,"&lt;="&amp;$B215,BD!$S$3:$S$5001,"&lt;&gt;")=0,"",SUMIFS(BD!$S$3:$S$5001,BD!$B$3:$B$5001,S$198,BD!$A$3:$A$5001,_xlfn.MAXIFS(BD!$A$3:$A$5001,BD!$B$3:$B$5001,S$198,BD!$A$3:$A$5001,"&gt;="&amp;$C$7,BD!$A$3:$A$5001,"&lt;="&amp;$B215,BD!$S$3:$S$5001,"&lt;&gt;"))))</f>
        <v/>
      </c>
      <c r="T215" s="54" t="str">
        <f>IF(OR($B215="",$A215&gt;$B$9,T$198=""),"",IF(COUNTIFS(BD!$B$3:$B$5001,T$198,BD!$A$3:$A$5001,"&gt;="&amp;$C$7,BD!$A$3:$A$5001,"&lt;="&amp;$B215,BD!$S$3:$S$5001,"&lt;&gt;")=0,"",SUMIFS(BD!$S$3:$S$5001,BD!$B$3:$B$5001,T$198,BD!$A$3:$A$5001,_xlfn.MAXIFS(BD!$A$3:$A$5001,BD!$B$3:$B$5001,T$198,BD!$A$3:$A$5001,"&gt;="&amp;$C$7,BD!$A$3:$A$5001,"&lt;="&amp;$B215,BD!$S$3:$S$5001,"&lt;&gt;"))))</f>
        <v/>
      </c>
      <c r="U215" s="54" t="str">
        <f>IF(OR($B215="",$A215&gt;$B$9,U$198=""),"",IF(COUNTIFS(BD!$B$3:$B$5001,U$198,BD!$A$3:$A$5001,"&gt;="&amp;$C$7,BD!$A$3:$A$5001,"&lt;="&amp;$B215,BD!$S$3:$S$5001,"&lt;&gt;")=0,"",SUMIFS(BD!$S$3:$S$5001,BD!$B$3:$B$5001,U$198,BD!$A$3:$A$5001,_xlfn.MAXIFS(BD!$A$3:$A$5001,BD!$B$3:$B$5001,U$198,BD!$A$3:$A$5001,"&gt;="&amp;$C$7,BD!$A$3:$A$5001,"&lt;="&amp;$B215,BD!$S$3:$S$5001,"&lt;&gt;"))))</f>
        <v/>
      </c>
      <c r="V215" s="54" t="str">
        <f>IF(OR($B215="",$A215&gt;$B$9,V$198=""),"",IF(COUNTIFS(BD!$B$3:$B$5001,V$198,BD!$A$3:$A$5001,"&gt;="&amp;$C$7,BD!$A$3:$A$5001,"&lt;="&amp;$B215,BD!$S$3:$S$5001,"&lt;&gt;")=0,"",SUMIFS(BD!$S$3:$S$5001,BD!$B$3:$B$5001,V$198,BD!$A$3:$A$5001,_xlfn.MAXIFS(BD!$A$3:$A$5001,BD!$B$3:$B$5001,V$198,BD!$A$3:$A$5001,"&gt;="&amp;$C$7,BD!$A$3:$A$5001,"&lt;="&amp;$B215,BD!$S$3:$S$5001,"&lt;&gt;"))))</f>
        <v/>
      </c>
    </row>
    <row r="216">
      <c r="A216" s="48">
        <v>18</v>
      </c>
      <c r="B216" s="53">
        <f>$B$29</f>
        <v>46313</v>
      </c>
      <c r="C216" s="54" t="str">
        <f>IF(OR($B216="",$A216&gt;$B$9,C$198=""),"",IF(COUNTIFS(BD!$B$3:$B$5001,C$198,BD!$A$3:$A$5001,"&gt;="&amp;$C$7,BD!$A$3:$A$5001,"&lt;="&amp;$B216,BD!$S$3:$S$5001,"&lt;&gt;")=0,"",SUMIFS(BD!$S$3:$S$5001,BD!$B$3:$B$5001,C$198,BD!$A$3:$A$5001,_xlfn.MAXIFS(BD!$A$3:$A$5001,BD!$B$3:$B$5001,C$198,BD!$A$3:$A$5001,"&gt;="&amp;$C$7,BD!$A$3:$A$5001,"&lt;="&amp;$B216,BD!$S$3:$S$5001,"&lt;&gt;"))))</f>
        <v/>
      </c>
      <c r="D216" s="54" t="str">
        <f>IF(OR($B216="",$A216&gt;$B$9,D$198=""),"",IF(COUNTIFS(BD!$B$3:$B$5001,D$198,BD!$A$3:$A$5001,"&gt;="&amp;$C$7,BD!$A$3:$A$5001,"&lt;="&amp;$B216,BD!$S$3:$S$5001,"&lt;&gt;")=0,"",SUMIFS(BD!$S$3:$S$5001,BD!$B$3:$B$5001,D$198,BD!$A$3:$A$5001,_xlfn.MAXIFS(BD!$A$3:$A$5001,BD!$B$3:$B$5001,D$198,BD!$A$3:$A$5001,"&gt;="&amp;$C$7,BD!$A$3:$A$5001,"&lt;="&amp;$B216,BD!$S$3:$S$5001,"&lt;&gt;"))))</f>
        <v/>
      </c>
      <c r="E216" s="54" t="str">
        <f>IF(OR($B216="",$A216&gt;$B$9,E$198=""),"",IF(COUNTIFS(BD!$B$3:$B$5001,E$198,BD!$A$3:$A$5001,"&gt;="&amp;$C$7,BD!$A$3:$A$5001,"&lt;="&amp;$B216,BD!$S$3:$S$5001,"&lt;&gt;")=0,"",SUMIFS(BD!$S$3:$S$5001,BD!$B$3:$B$5001,E$198,BD!$A$3:$A$5001,_xlfn.MAXIFS(BD!$A$3:$A$5001,BD!$B$3:$B$5001,E$198,BD!$A$3:$A$5001,"&gt;="&amp;$C$7,BD!$A$3:$A$5001,"&lt;="&amp;$B216,BD!$S$3:$S$5001,"&lt;&gt;"))))</f>
        <v/>
      </c>
      <c r="F216" s="54" t="str">
        <f>IF(OR($B216="",$A216&gt;$B$9,F$198=""),"",IF(COUNTIFS(BD!$B$3:$B$5001,F$198,BD!$A$3:$A$5001,"&gt;="&amp;$C$7,BD!$A$3:$A$5001,"&lt;="&amp;$B216,BD!$S$3:$S$5001,"&lt;&gt;")=0,"",SUMIFS(BD!$S$3:$S$5001,BD!$B$3:$B$5001,F$198,BD!$A$3:$A$5001,_xlfn.MAXIFS(BD!$A$3:$A$5001,BD!$B$3:$B$5001,F$198,BD!$A$3:$A$5001,"&gt;="&amp;$C$7,BD!$A$3:$A$5001,"&lt;="&amp;$B216,BD!$S$3:$S$5001,"&lt;&gt;"))))</f>
        <v/>
      </c>
      <c r="G216" s="54" t="str">
        <f>IF(OR($B216="",$A216&gt;$B$9,G$198=""),"",IF(COUNTIFS(BD!$B$3:$B$5001,G$198,BD!$A$3:$A$5001,"&gt;="&amp;$C$7,BD!$A$3:$A$5001,"&lt;="&amp;$B216,BD!$S$3:$S$5001,"&lt;&gt;")=0,"",SUMIFS(BD!$S$3:$S$5001,BD!$B$3:$B$5001,G$198,BD!$A$3:$A$5001,_xlfn.MAXIFS(BD!$A$3:$A$5001,BD!$B$3:$B$5001,G$198,BD!$A$3:$A$5001,"&gt;="&amp;$C$7,BD!$A$3:$A$5001,"&lt;="&amp;$B216,BD!$S$3:$S$5001,"&lt;&gt;"))))</f>
        <v/>
      </c>
      <c r="H216" s="54" t="str">
        <f>IF(OR($B216="",$A216&gt;$B$9,H$198=""),"",IF(COUNTIFS(BD!$B$3:$B$5001,H$198,BD!$A$3:$A$5001,"&gt;="&amp;$C$7,BD!$A$3:$A$5001,"&lt;="&amp;$B216,BD!$S$3:$S$5001,"&lt;&gt;")=0,"",SUMIFS(BD!$S$3:$S$5001,BD!$B$3:$B$5001,H$198,BD!$A$3:$A$5001,_xlfn.MAXIFS(BD!$A$3:$A$5001,BD!$B$3:$B$5001,H$198,BD!$A$3:$A$5001,"&gt;="&amp;$C$7,BD!$A$3:$A$5001,"&lt;="&amp;$B216,BD!$S$3:$S$5001,"&lt;&gt;"))))</f>
        <v/>
      </c>
      <c r="I216" s="54" t="str">
        <f>IF(OR($B216="",$A216&gt;$B$9,I$198=""),"",IF(COUNTIFS(BD!$B$3:$B$5001,I$198,BD!$A$3:$A$5001,"&gt;="&amp;$C$7,BD!$A$3:$A$5001,"&lt;="&amp;$B216,BD!$S$3:$S$5001,"&lt;&gt;")=0,"",SUMIFS(BD!$S$3:$S$5001,BD!$B$3:$B$5001,I$198,BD!$A$3:$A$5001,_xlfn.MAXIFS(BD!$A$3:$A$5001,BD!$B$3:$B$5001,I$198,BD!$A$3:$A$5001,"&gt;="&amp;$C$7,BD!$A$3:$A$5001,"&lt;="&amp;$B216,BD!$S$3:$S$5001,"&lt;&gt;"))))</f>
        <v/>
      </c>
      <c r="J216" s="54" t="str">
        <f>IF(OR($B216="",$A216&gt;$B$9,J$198=""),"",IF(COUNTIFS(BD!$B$3:$B$5001,J$198,BD!$A$3:$A$5001,"&gt;="&amp;$C$7,BD!$A$3:$A$5001,"&lt;="&amp;$B216,BD!$S$3:$S$5001,"&lt;&gt;")=0,"",SUMIFS(BD!$S$3:$S$5001,BD!$B$3:$B$5001,J$198,BD!$A$3:$A$5001,_xlfn.MAXIFS(BD!$A$3:$A$5001,BD!$B$3:$B$5001,J$198,BD!$A$3:$A$5001,"&gt;="&amp;$C$7,BD!$A$3:$A$5001,"&lt;="&amp;$B216,BD!$S$3:$S$5001,"&lt;&gt;"))))</f>
        <v/>
      </c>
      <c r="K216" s="54" t="str">
        <f>IF(OR($B216="",$A216&gt;$B$9,K$198=""),"",IF(COUNTIFS(BD!$B$3:$B$5001,K$198,BD!$A$3:$A$5001,"&gt;="&amp;$C$7,BD!$A$3:$A$5001,"&lt;="&amp;$B216,BD!$S$3:$S$5001,"&lt;&gt;")=0,"",SUMIFS(BD!$S$3:$S$5001,BD!$B$3:$B$5001,K$198,BD!$A$3:$A$5001,_xlfn.MAXIFS(BD!$A$3:$A$5001,BD!$B$3:$B$5001,K$198,BD!$A$3:$A$5001,"&gt;="&amp;$C$7,BD!$A$3:$A$5001,"&lt;="&amp;$B216,BD!$S$3:$S$5001,"&lt;&gt;"))))</f>
        <v/>
      </c>
      <c r="L216" s="54" t="str">
        <f>IF(OR($B216="",$A216&gt;$B$9,L$198=""),"",IF(COUNTIFS(BD!$B$3:$B$5001,L$198,BD!$A$3:$A$5001,"&gt;="&amp;$C$7,BD!$A$3:$A$5001,"&lt;="&amp;$B216,BD!$S$3:$S$5001,"&lt;&gt;")=0,"",SUMIFS(BD!$S$3:$S$5001,BD!$B$3:$B$5001,L$198,BD!$A$3:$A$5001,_xlfn.MAXIFS(BD!$A$3:$A$5001,BD!$B$3:$B$5001,L$198,BD!$A$3:$A$5001,"&gt;="&amp;$C$7,BD!$A$3:$A$5001,"&lt;="&amp;$B216,BD!$S$3:$S$5001,"&lt;&gt;"))))</f>
        <v/>
      </c>
      <c r="M216" s="54" t="str">
        <f>IF(OR($B216="",$A216&gt;$B$9,M$198=""),"",IF(COUNTIFS(BD!$B$3:$B$5001,M$198,BD!$A$3:$A$5001,"&gt;="&amp;$C$7,BD!$A$3:$A$5001,"&lt;="&amp;$B216,BD!$S$3:$S$5001,"&lt;&gt;")=0,"",SUMIFS(BD!$S$3:$S$5001,BD!$B$3:$B$5001,M$198,BD!$A$3:$A$5001,_xlfn.MAXIFS(BD!$A$3:$A$5001,BD!$B$3:$B$5001,M$198,BD!$A$3:$A$5001,"&gt;="&amp;$C$7,BD!$A$3:$A$5001,"&lt;="&amp;$B216,BD!$S$3:$S$5001,"&lt;&gt;"))))</f>
        <v/>
      </c>
      <c r="N216" s="54" t="str">
        <f>IF(OR($B216="",$A216&gt;$B$9,N$198=""),"",IF(COUNTIFS(BD!$B$3:$B$5001,N$198,BD!$A$3:$A$5001,"&gt;="&amp;$C$7,BD!$A$3:$A$5001,"&lt;="&amp;$B216,BD!$S$3:$S$5001,"&lt;&gt;")=0,"",SUMIFS(BD!$S$3:$S$5001,BD!$B$3:$B$5001,N$198,BD!$A$3:$A$5001,_xlfn.MAXIFS(BD!$A$3:$A$5001,BD!$B$3:$B$5001,N$198,BD!$A$3:$A$5001,"&gt;="&amp;$C$7,BD!$A$3:$A$5001,"&lt;="&amp;$B216,BD!$S$3:$S$5001,"&lt;&gt;"))))</f>
        <v/>
      </c>
      <c r="O216" s="54" t="str">
        <f>IF(OR($B216="",$A216&gt;$B$9,O$198=""),"",IF(COUNTIFS(BD!$B$3:$B$5001,O$198,BD!$A$3:$A$5001,"&gt;="&amp;$C$7,BD!$A$3:$A$5001,"&lt;="&amp;$B216,BD!$S$3:$S$5001,"&lt;&gt;")=0,"",SUMIFS(BD!$S$3:$S$5001,BD!$B$3:$B$5001,O$198,BD!$A$3:$A$5001,_xlfn.MAXIFS(BD!$A$3:$A$5001,BD!$B$3:$B$5001,O$198,BD!$A$3:$A$5001,"&gt;="&amp;$C$7,BD!$A$3:$A$5001,"&lt;="&amp;$B216,BD!$S$3:$S$5001,"&lt;&gt;"))))</f>
        <v/>
      </c>
      <c r="P216" s="54" t="str">
        <f>IF(OR($B216="",$A216&gt;$B$9,P$198=""),"",IF(COUNTIFS(BD!$B$3:$B$5001,P$198,BD!$A$3:$A$5001,"&gt;="&amp;$C$7,BD!$A$3:$A$5001,"&lt;="&amp;$B216,BD!$S$3:$S$5001,"&lt;&gt;")=0,"",SUMIFS(BD!$S$3:$S$5001,BD!$B$3:$B$5001,P$198,BD!$A$3:$A$5001,_xlfn.MAXIFS(BD!$A$3:$A$5001,BD!$B$3:$B$5001,P$198,BD!$A$3:$A$5001,"&gt;="&amp;$C$7,BD!$A$3:$A$5001,"&lt;="&amp;$B216,BD!$S$3:$S$5001,"&lt;&gt;"))))</f>
        <v/>
      </c>
      <c r="Q216" s="54" t="str">
        <f>IF(OR($B216="",$A216&gt;$B$9,Q$198=""),"",IF(COUNTIFS(BD!$B$3:$B$5001,Q$198,BD!$A$3:$A$5001,"&gt;="&amp;$C$7,BD!$A$3:$A$5001,"&lt;="&amp;$B216,BD!$S$3:$S$5001,"&lt;&gt;")=0,"",SUMIFS(BD!$S$3:$S$5001,BD!$B$3:$B$5001,Q$198,BD!$A$3:$A$5001,_xlfn.MAXIFS(BD!$A$3:$A$5001,BD!$B$3:$B$5001,Q$198,BD!$A$3:$A$5001,"&gt;="&amp;$C$7,BD!$A$3:$A$5001,"&lt;="&amp;$B216,BD!$S$3:$S$5001,"&lt;&gt;"))))</f>
        <v/>
      </c>
      <c r="R216" s="54" t="str">
        <f>IF(OR($B216="",$A216&gt;$B$9,R$198=""),"",IF(COUNTIFS(BD!$B$3:$B$5001,R$198,BD!$A$3:$A$5001,"&gt;="&amp;$C$7,BD!$A$3:$A$5001,"&lt;="&amp;$B216,BD!$S$3:$S$5001,"&lt;&gt;")=0,"",SUMIFS(BD!$S$3:$S$5001,BD!$B$3:$B$5001,R$198,BD!$A$3:$A$5001,_xlfn.MAXIFS(BD!$A$3:$A$5001,BD!$B$3:$B$5001,R$198,BD!$A$3:$A$5001,"&gt;="&amp;$C$7,BD!$A$3:$A$5001,"&lt;="&amp;$B216,BD!$S$3:$S$5001,"&lt;&gt;"))))</f>
        <v/>
      </c>
      <c r="S216" s="54" t="str">
        <f>IF(OR($B216="",$A216&gt;$B$9,S$198=""),"",IF(COUNTIFS(BD!$B$3:$B$5001,S$198,BD!$A$3:$A$5001,"&gt;="&amp;$C$7,BD!$A$3:$A$5001,"&lt;="&amp;$B216,BD!$S$3:$S$5001,"&lt;&gt;")=0,"",SUMIFS(BD!$S$3:$S$5001,BD!$B$3:$B$5001,S$198,BD!$A$3:$A$5001,_xlfn.MAXIFS(BD!$A$3:$A$5001,BD!$B$3:$B$5001,S$198,BD!$A$3:$A$5001,"&gt;="&amp;$C$7,BD!$A$3:$A$5001,"&lt;="&amp;$B216,BD!$S$3:$S$5001,"&lt;&gt;"))))</f>
        <v/>
      </c>
      <c r="T216" s="54" t="str">
        <f>IF(OR($B216="",$A216&gt;$B$9,T$198=""),"",IF(COUNTIFS(BD!$B$3:$B$5001,T$198,BD!$A$3:$A$5001,"&gt;="&amp;$C$7,BD!$A$3:$A$5001,"&lt;="&amp;$B216,BD!$S$3:$S$5001,"&lt;&gt;")=0,"",SUMIFS(BD!$S$3:$S$5001,BD!$B$3:$B$5001,T$198,BD!$A$3:$A$5001,_xlfn.MAXIFS(BD!$A$3:$A$5001,BD!$B$3:$B$5001,T$198,BD!$A$3:$A$5001,"&gt;="&amp;$C$7,BD!$A$3:$A$5001,"&lt;="&amp;$B216,BD!$S$3:$S$5001,"&lt;&gt;"))))</f>
        <v/>
      </c>
      <c r="U216" s="54" t="str">
        <f>IF(OR($B216="",$A216&gt;$B$9,U$198=""),"",IF(COUNTIFS(BD!$B$3:$B$5001,U$198,BD!$A$3:$A$5001,"&gt;="&amp;$C$7,BD!$A$3:$A$5001,"&lt;="&amp;$B216,BD!$S$3:$S$5001,"&lt;&gt;")=0,"",SUMIFS(BD!$S$3:$S$5001,BD!$B$3:$B$5001,U$198,BD!$A$3:$A$5001,_xlfn.MAXIFS(BD!$A$3:$A$5001,BD!$B$3:$B$5001,U$198,BD!$A$3:$A$5001,"&gt;="&amp;$C$7,BD!$A$3:$A$5001,"&lt;="&amp;$B216,BD!$S$3:$S$5001,"&lt;&gt;"))))</f>
        <v/>
      </c>
      <c r="V216" s="54" t="str">
        <f>IF(OR($B216="",$A216&gt;$B$9,V$198=""),"",IF(COUNTIFS(BD!$B$3:$B$5001,V$198,BD!$A$3:$A$5001,"&gt;="&amp;$C$7,BD!$A$3:$A$5001,"&lt;="&amp;$B216,BD!$S$3:$S$5001,"&lt;&gt;")=0,"",SUMIFS(BD!$S$3:$S$5001,BD!$B$3:$B$5001,V$198,BD!$A$3:$A$5001,_xlfn.MAXIFS(BD!$A$3:$A$5001,BD!$B$3:$B$5001,V$198,BD!$A$3:$A$5001,"&gt;="&amp;$C$7,BD!$A$3:$A$5001,"&lt;="&amp;$B216,BD!$S$3:$S$5001,"&lt;&gt;"))))</f>
        <v/>
      </c>
    </row>
    <row r="217">
      <c r="A217" s="48">
        <v>19</v>
      </c>
      <c r="B217" s="53">
        <f>$B$30</f>
        <v>46314</v>
      </c>
      <c r="C217" s="54" t="str">
        <f>IF(OR($B217="",$A217&gt;$B$9,C$198=""),"",IF(COUNTIFS(BD!$B$3:$B$5001,C$198,BD!$A$3:$A$5001,"&gt;="&amp;$C$7,BD!$A$3:$A$5001,"&lt;="&amp;$B217,BD!$S$3:$S$5001,"&lt;&gt;")=0,"",SUMIFS(BD!$S$3:$S$5001,BD!$B$3:$B$5001,C$198,BD!$A$3:$A$5001,_xlfn.MAXIFS(BD!$A$3:$A$5001,BD!$B$3:$B$5001,C$198,BD!$A$3:$A$5001,"&gt;="&amp;$C$7,BD!$A$3:$A$5001,"&lt;="&amp;$B217,BD!$S$3:$S$5001,"&lt;&gt;"))))</f>
        <v/>
      </c>
      <c r="D217" s="54" t="str">
        <f>IF(OR($B217="",$A217&gt;$B$9,D$198=""),"",IF(COUNTIFS(BD!$B$3:$B$5001,D$198,BD!$A$3:$A$5001,"&gt;="&amp;$C$7,BD!$A$3:$A$5001,"&lt;="&amp;$B217,BD!$S$3:$S$5001,"&lt;&gt;")=0,"",SUMIFS(BD!$S$3:$S$5001,BD!$B$3:$B$5001,D$198,BD!$A$3:$A$5001,_xlfn.MAXIFS(BD!$A$3:$A$5001,BD!$B$3:$B$5001,D$198,BD!$A$3:$A$5001,"&gt;="&amp;$C$7,BD!$A$3:$A$5001,"&lt;="&amp;$B217,BD!$S$3:$S$5001,"&lt;&gt;"))))</f>
        <v/>
      </c>
      <c r="E217" s="54" t="str">
        <f>IF(OR($B217="",$A217&gt;$B$9,E$198=""),"",IF(COUNTIFS(BD!$B$3:$B$5001,E$198,BD!$A$3:$A$5001,"&gt;="&amp;$C$7,BD!$A$3:$A$5001,"&lt;="&amp;$B217,BD!$S$3:$S$5001,"&lt;&gt;")=0,"",SUMIFS(BD!$S$3:$S$5001,BD!$B$3:$B$5001,E$198,BD!$A$3:$A$5001,_xlfn.MAXIFS(BD!$A$3:$A$5001,BD!$B$3:$B$5001,E$198,BD!$A$3:$A$5001,"&gt;="&amp;$C$7,BD!$A$3:$A$5001,"&lt;="&amp;$B217,BD!$S$3:$S$5001,"&lt;&gt;"))))</f>
        <v/>
      </c>
      <c r="F217" s="54" t="str">
        <f>IF(OR($B217="",$A217&gt;$B$9,F$198=""),"",IF(COUNTIFS(BD!$B$3:$B$5001,F$198,BD!$A$3:$A$5001,"&gt;="&amp;$C$7,BD!$A$3:$A$5001,"&lt;="&amp;$B217,BD!$S$3:$S$5001,"&lt;&gt;")=0,"",SUMIFS(BD!$S$3:$S$5001,BD!$B$3:$B$5001,F$198,BD!$A$3:$A$5001,_xlfn.MAXIFS(BD!$A$3:$A$5001,BD!$B$3:$B$5001,F$198,BD!$A$3:$A$5001,"&gt;="&amp;$C$7,BD!$A$3:$A$5001,"&lt;="&amp;$B217,BD!$S$3:$S$5001,"&lt;&gt;"))))</f>
        <v/>
      </c>
      <c r="G217" s="54" t="str">
        <f>IF(OR($B217="",$A217&gt;$B$9,G$198=""),"",IF(COUNTIFS(BD!$B$3:$B$5001,G$198,BD!$A$3:$A$5001,"&gt;="&amp;$C$7,BD!$A$3:$A$5001,"&lt;="&amp;$B217,BD!$S$3:$S$5001,"&lt;&gt;")=0,"",SUMIFS(BD!$S$3:$S$5001,BD!$B$3:$B$5001,G$198,BD!$A$3:$A$5001,_xlfn.MAXIFS(BD!$A$3:$A$5001,BD!$B$3:$B$5001,G$198,BD!$A$3:$A$5001,"&gt;="&amp;$C$7,BD!$A$3:$A$5001,"&lt;="&amp;$B217,BD!$S$3:$S$5001,"&lt;&gt;"))))</f>
        <v/>
      </c>
      <c r="H217" s="54" t="str">
        <f>IF(OR($B217="",$A217&gt;$B$9,H$198=""),"",IF(COUNTIFS(BD!$B$3:$B$5001,H$198,BD!$A$3:$A$5001,"&gt;="&amp;$C$7,BD!$A$3:$A$5001,"&lt;="&amp;$B217,BD!$S$3:$S$5001,"&lt;&gt;")=0,"",SUMIFS(BD!$S$3:$S$5001,BD!$B$3:$B$5001,H$198,BD!$A$3:$A$5001,_xlfn.MAXIFS(BD!$A$3:$A$5001,BD!$B$3:$B$5001,H$198,BD!$A$3:$A$5001,"&gt;="&amp;$C$7,BD!$A$3:$A$5001,"&lt;="&amp;$B217,BD!$S$3:$S$5001,"&lt;&gt;"))))</f>
        <v/>
      </c>
      <c r="I217" s="54" t="str">
        <f>IF(OR($B217="",$A217&gt;$B$9,I$198=""),"",IF(COUNTIFS(BD!$B$3:$B$5001,I$198,BD!$A$3:$A$5001,"&gt;="&amp;$C$7,BD!$A$3:$A$5001,"&lt;="&amp;$B217,BD!$S$3:$S$5001,"&lt;&gt;")=0,"",SUMIFS(BD!$S$3:$S$5001,BD!$B$3:$B$5001,I$198,BD!$A$3:$A$5001,_xlfn.MAXIFS(BD!$A$3:$A$5001,BD!$B$3:$B$5001,I$198,BD!$A$3:$A$5001,"&gt;="&amp;$C$7,BD!$A$3:$A$5001,"&lt;="&amp;$B217,BD!$S$3:$S$5001,"&lt;&gt;"))))</f>
        <v/>
      </c>
      <c r="J217" s="54" t="str">
        <f>IF(OR($B217="",$A217&gt;$B$9,J$198=""),"",IF(COUNTIFS(BD!$B$3:$B$5001,J$198,BD!$A$3:$A$5001,"&gt;="&amp;$C$7,BD!$A$3:$A$5001,"&lt;="&amp;$B217,BD!$S$3:$S$5001,"&lt;&gt;")=0,"",SUMIFS(BD!$S$3:$S$5001,BD!$B$3:$B$5001,J$198,BD!$A$3:$A$5001,_xlfn.MAXIFS(BD!$A$3:$A$5001,BD!$B$3:$B$5001,J$198,BD!$A$3:$A$5001,"&gt;="&amp;$C$7,BD!$A$3:$A$5001,"&lt;="&amp;$B217,BD!$S$3:$S$5001,"&lt;&gt;"))))</f>
        <v/>
      </c>
      <c r="K217" s="54" t="str">
        <f>IF(OR($B217="",$A217&gt;$B$9,K$198=""),"",IF(COUNTIFS(BD!$B$3:$B$5001,K$198,BD!$A$3:$A$5001,"&gt;="&amp;$C$7,BD!$A$3:$A$5001,"&lt;="&amp;$B217,BD!$S$3:$S$5001,"&lt;&gt;")=0,"",SUMIFS(BD!$S$3:$S$5001,BD!$B$3:$B$5001,K$198,BD!$A$3:$A$5001,_xlfn.MAXIFS(BD!$A$3:$A$5001,BD!$B$3:$B$5001,K$198,BD!$A$3:$A$5001,"&gt;="&amp;$C$7,BD!$A$3:$A$5001,"&lt;="&amp;$B217,BD!$S$3:$S$5001,"&lt;&gt;"))))</f>
        <v/>
      </c>
      <c r="L217" s="54" t="str">
        <f>IF(OR($B217="",$A217&gt;$B$9,L$198=""),"",IF(COUNTIFS(BD!$B$3:$B$5001,L$198,BD!$A$3:$A$5001,"&gt;="&amp;$C$7,BD!$A$3:$A$5001,"&lt;="&amp;$B217,BD!$S$3:$S$5001,"&lt;&gt;")=0,"",SUMIFS(BD!$S$3:$S$5001,BD!$B$3:$B$5001,L$198,BD!$A$3:$A$5001,_xlfn.MAXIFS(BD!$A$3:$A$5001,BD!$B$3:$B$5001,L$198,BD!$A$3:$A$5001,"&gt;="&amp;$C$7,BD!$A$3:$A$5001,"&lt;="&amp;$B217,BD!$S$3:$S$5001,"&lt;&gt;"))))</f>
        <v/>
      </c>
      <c r="M217" s="54" t="str">
        <f>IF(OR($B217="",$A217&gt;$B$9,M$198=""),"",IF(COUNTIFS(BD!$B$3:$B$5001,M$198,BD!$A$3:$A$5001,"&gt;="&amp;$C$7,BD!$A$3:$A$5001,"&lt;="&amp;$B217,BD!$S$3:$S$5001,"&lt;&gt;")=0,"",SUMIFS(BD!$S$3:$S$5001,BD!$B$3:$B$5001,M$198,BD!$A$3:$A$5001,_xlfn.MAXIFS(BD!$A$3:$A$5001,BD!$B$3:$B$5001,M$198,BD!$A$3:$A$5001,"&gt;="&amp;$C$7,BD!$A$3:$A$5001,"&lt;="&amp;$B217,BD!$S$3:$S$5001,"&lt;&gt;"))))</f>
        <v/>
      </c>
      <c r="N217" s="54" t="str">
        <f>IF(OR($B217="",$A217&gt;$B$9,N$198=""),"",IF(COUNTIFS(BD!$B$3:$B$5001,N$198,BD!$A$3:$A$5001,"&gt;="&amp;$C$7,BD!$A$3:$A$5001,"&lt;="&amp;$B217,BD!$S$3:$S$5001,"&lt;&gt;")=0,"",SUMIFS(BD!$S$3:$S$5001,BD!$B$3:$B$5001,N$198,BD!$A$3:$A$5001,_xlfn.MAXIFS(BD!$A$3:$A$5001,BD!$B$3:$B$5001,N$198,BD!$A$3:$A$5001,"&gt;="&amp;$C$7,BD!$A$3:$A$5001,"&lt;="&amp;$B217,BD!$S$3:$S$5001,"&lt;&gt;"))))</f>
        <v/>
      </c>
      <c r="O217" s="54" t="str">
        <f>IF(OR($B217="",$A217&gt;$B$9,O$198=""),"",IF(COUNTIFS(BD!$B$3:$B$5001,O$198,BD!$A$3:$A$5001,"&gt;="&amp;$C$7,BD!$A$3:$A$5001,"&lt;="&amp;$B217,BD!$S$3:$S$5001,"&lt;&gt;")=0,"",SUMIFS(BD!$S$3:$S$5001,BD!$B$3:$B$5001,O$198,BD!$A$3:$A$5001,_xlfn.MAXIFS(BD!$A$3:$A$5001,BD!$B$3:$B$5001,O$198,BD!$A$3:$A$5001,"&gt;="&amp;$C$7,BD!$A$3:$A$5001,"&lt;="&amp;$B217,BD!$S$3:$S$5001,"&lt;&gt;"))))</f>
        <v/>
      </c>
      <c r="P217" s="54" t="str">
        <f>IF(OR($B217="",$A217&gt;$B$9,P$198=""),"",IF(COUNTIFS(BD!$B$3:$B$5001,P$198,BD!$A$3:$A$5001,"&gt;="&amp;$C$7,BD!$A$3:$A$5001,"&lt;="&amp;$B217,BD!$S$3:$S$5001,"&lt;&gt;")=0,"",SUMIFS(BD!$S$3:$S$5001,BD!$B$3:$B$5001,P$198,BD!$A$3:$A$5001,_xlfn.MAXIFS(BD!$A$3:$A$5001,BD!$B$3:$B$5001,P$198,BD!$A$3:$A$5001,"&gt;="&amp;$C$7,BD!$A$3:$A$5001,"&lt;="&amp;$B217,BD!$S$3:$S$5001,"&lt;&gt;"))))</f>
        <v/>
      </c>
      <c r="Q217" s="54" t="str">
        <f>IF(OR($B217="",$A217&gt;$B$9,Q$198=""),"",IF(COUNTIFS(BD!$B$3:$B$5001,Q$198,BD!$A$3:$A$5001,"&gt;="&amp;$C$7,BD!$A$3:$A$5001,"&lt;="&amp;$B217,BD!$S$3:$S$5001,"&lt;&gt;")=0,"",SUMIFS(BD!$S$3:$S$5001,BD!$B$3:$B$5001,Q$198,BD!$A$3:$A$5001,_xlfn.MAXIFS(BD!$A$3:$A$5001,BD!$B$3:$B$5001,Q$198,BD!$A$3:$A$5001,"&gt;="&amp;$C$7,BD!$A$3:$A$5001,"&lt;="&amp;$B217,BD!$S$3:$S$5001,"&lt;&gt;"))))</f>
        <v/>
      </c>
      <c r="R217" s="54" t="str">
        <f>IF(OR($B217="",$A217&gt;$B$9,R$198=""),"",IF(COUNTIFS(BD!$B$3:$B$5001,R$198,BD!$A$3:$A$5001,"&gt;="&amp;$C$7,BD!$A$3:$A$5001,"&lt;="&amp;$B217,BD!$S$3:$S$5001,"&lt;&gt;")=0,"",SUMIFS(BD!$S$3:$S$5001,BD!$B$3:$B$5001,R$198,BD!$A$3:$A$5001,_xlfn.MAXIFS(BD!$A$3:$A$5001,BD!$B$3:$B$5001,R$198,BD!$A$3:$A$5001,"&gt;="&amp;$C$7,BD!$A$3:$A$5001,"&lt;="&amp;$B217,BD!$S$3:$S$5001,"&lt;&gt;"))))</f>
        <v/>
      </c>
      <c r="S217" s="54" t="str">
        <f>IF(OR($B217="",$A217&gt;$B$9,S$198=""),"",IF(COUNTIFS(BD!$B$3:$B$5001,S$198,BD!$A$3:$A$5001,"&gt;="&amp;$C$7,BD!$A$3:$A$5001,"&lt;="&amp;$B217,BD!$S$3:$S$5001,"&lt;&gt;")=0,"",SUMIFS(BD!$S$3:$S$5001,BD!$B$3:$B$5001,S$198,BD!$A$3:$A$5001,_xlfn.MAXIFS(BD!$A$3:$A$5001,BD!$B$3:$B$5001,S$198,BD!$A$3:$A$5001,"&gt;="&amp;$C$7,BD!$A$3:$A$5001,"&lt;="&amp;$B217,BD!$S$3:$S$5001,"&lt;&gt;"))))</f>
        <v/>
      </c>
      <c r="T217" s="54" t="str">
        <f>IF(OR($B217="",$A217&gt;$B$9,T$198=""),"",IF(COUNTIFS(BD!$B$3:$B$5001,T$198,BD!$A$3:$A$5001,"&gt;="&amp;$C$7,BD!$A$3:$A$5001,"&lt;="&amp;$B217,BD!$S$3:$S$5001,"&lt;&gt;")=0,"",SUMIFS(BD!$S$3:$S$5001,BD!$B$3:$B$5001,T$198,BD!$A$3:$A$5001,_xlfn.MAXIFS(BD!$A$3:$A$5001,BD!$B$3:$B$5001,T$198,BD!$A$3:$A$5001,"&gt;="&amp;$C$7,BD!$A$3:$A$5001,"&lt;="&amp;$B217,BD!$S$3:$S$5001,"&lt;&gt;"))))</f>
        <v/>
      </c>
      <c r="U217" s="54" t="str">
        <f>IF(OR($B217="",$A217&gt;$B$9,U$198=""),"",IF(COUNTIFS(BD!$B$3:$B$5001,U$198,BD!$A$3:$A$5001,"&gt;="&amp;$C$7,BD!$A$3:$A$5001,"&lt;="&amp;$B217,BD!$S$3:$S$5001,"&lt;&gt;")=0,"",SUMIFS(BD!$S$3:$S$5001,BD!$B$3:$B$5001,U$198,BD!$A$3:$A$5001,_xlfn.MAXIFS(BD!$A$3:$A$5001,BD!$B$3:$B$5001,U$198,BD!$A$3:$A$5001,"&gt;="&amp;$C$7,BD!$A$3:$A$5001,"&lt;="&amp;$B217,BD!$S$3:$S$5001,"&lt;&gt;"))))</f>
        <v/>
      </c>
      <c r="V217" s="54" t="str">
        <f>IF(OR($B217="",$A217&gt;$B$9,V$198=""),"",IF(COUNTIFS(BD!$B$3:$B$5001,V$198,BD!$A$3:$A$5001,"&gt;="&amp;$C$7,BD!$A$3:$A$5001,"&lt;="&amp;$B217,BD!$S$3:$S$5001,"&lt;&gt;")=0,"",SUMIFS(BD!$S$3:$S$5001,BD!$B$3:$B$5001,V$198,BD!$A$3:$A$5001,_xlfn.MAXIFS(BD!$A$3:$A$5001,BD!$B$3:$B$5001,V$198,BD!$A$3:$A$5001,"&gt;="&amp;$C$7,BD!$A$3:$A$5001,"&lt;="&amp;$B217,BD!$S$3:$S$5001,"&lt;&gt;"))))</f>
        <v/>
      </c>
    </row>
    <row r="218">
      <c r="A218" s="48">
        <v>20</v>
      </c>
      <c r="B218" s="53">
        <f>$B$31</f>
        <v>46315</v>
      </c>
      <c r="C218" s="54" t="str">
        <f>IF(OR($B218="",$A218&gt;$B$9,C$198=""),"",IF(COUNTIFS(BD!$B$3:$B$5001,C$198,BD!$A$3:$A$5001,"&gt;="&amp;$C$7,BD!$A$3:$A$5001,"&lt;="&amp;$B218,BD!$S$3:$S$5001,"&lt;&gt;")=0,"",SUMIFS(BD!$S$3:$S$5001,BD!$B$3:$B$5001,C$198,BD!$A$3:$A$5001,_xlfn.MAXIFS(BD!$A$3:$A$5001,BD!$B$3:$B$5001,C$198,BD!$A$3:$A$5001,"&gt;="&amp;$C$7,BD!$A$3:$A$5001,"&lt;="&amp;$B218,BD!$S$3:$S$5001,"&lt;&gt;"))))</f>
        <v/>
      </c>
      <c r="D218" s="54" t="str">
        <f>IF(OR($B218="",$A218&gt;$B$9,D$198=""),"",IF(COUNTIFS(BD!$B$3:$B$5001,D$198,BD!$A$3:$A$5001,"&gt;="&amp;$C$7,BD!$A$3:$A$5001,"&lt;="&amp;$B218,BD!$S$3:$S$5001,"&lt;&gt;")=0,"",SUMIFS(BD!$S$3:$S$5001,BD!$B$3:$B$5001,D$198,BD!$A$3:$A$5001,_xlfn.MAXIFS(BD!$A$3:$A$5001,BD!$B$3:$B$5001,D$198,BD!$A$3:$A$5001,"&gt;="&amp;$C$7,BD!$A$3:$A$5001,"&lt;="&amp;$B218,BD!$S$3:$S$5001,"&lt;&gt;"))))</f>
        <v/>
      </c>
      <c r="E218" s="54" t="str">
        <f>IF(OR($B218="",$A218&gt;$B$9,E$198=""),"",IF(COUNTIFS(BD!$B$3:$B$5001,E$198,BD!$A$3:$A$5001,"&gt;="&amp;$C$7,BD!$A$3:$A$5001,"&lt;="&amp;$B218,BD!$S$3:$S$5001,"&lt;&gt;")=0,"",SUMIFS(BD!$S$3:$S$5001,BD!$B$3:$B$5001,E$198,BD!$A$3:$A$5001,_xlfn.MAXIFS(BD!$A$3:$A$5001,BD!$B$3:$B$5001,E$198,BD!$A$3:$A$5001,"&gt;="&amp;$C$7,BD!$A$3:$A$5001,"&lt;="&amp;$B218,BD!$S$3:$S$5001,"&lt;&gt;"))))</f>
        <v/>
      </c>
      <c r="F218" s="54" t="str">
        <f>IF(OR($B218="",$A218&gt;$B$9,F$198=""),"",IF(COUNTIFS(BD!$B$3:$B$5001,F$198,BD!$A$3:$A$5001,"&gt;="&amp;$C$7,BD!$A$3:$A$5001,"&lt;="&amp;$B218,BD!$S$3:$S$5001,"&lt;&gt;")=0,"",SUMIFS(BD!$S$3:$S$5001,BD!$B$3:$B$5001,F$198,BD!$A$3:$A$5001,_xlfn.MAXIFS(BD!$A$3:$A$5001,BD!$B$3:$B$5001,F$198,BD!$A$3:$A$5001,"&gt;="&amp;$C$7,BD!$A$3:$A$5001,"&lt;="&amp;$B218,BD!$S$3:$S$5001,"&lt;&gt;"))))</f>
        <v/>
      </c>
      <c r="G218" s="54" t="str">
        <f>IF(OR($B218="",$A218&gt;$B$9,G$198=""),"",IF(COUNTIFS(BD!$B$3:$B$5001,G$198,BD!$A$3:$A$5001,"&gt;="&amp;$C$7,BD!$A$3:$A$5001,"&lt;="&amp;$B218,BD!$S$3:$S$5001,"&lt;&gt;")=0,"",SUMIFS(BD!$S$3:$S$5001,BD!$B$3:$B$5001,G$198,BD!$A$3:$A$5001,_xlfn.MAXIFS(BD!$A$3:$A$5001,BD!$B$3:$B$5001,G$198,BD!$A$3:$A$5001,"&gt;="&amp;$C$7,BD!$A$3:$A$5001,"&lt;="&amp;$B218,BD!$S$3:$S$5001,"&lt;&gt;"))))</f>
        <v/>
      </c>
      <c r="H218" s="54" t="str">
        <f>IF(OR($B218="",$A218&gt;$B$9,H$198=""),"",IF(COUNTIFS(BD!$B$3:$B$5001,H$198,BD!$A$3:$A$5001,"&gt;="&amp;$C$7,BD!$A$3:$A$5001,"&lt;="&amp;$B218,BD!$S$3:$S$5001,"&lt;&gt;")=0,"",SUMIFS(BD!$S$3:$S$5001,BD!$B$3:$B$5001,H$198,BD!$A$3:$A$5001,_xlfn.MAXIFS(BD!$A$3:$A$5001,BD!$B$3:$B$5001,H$198,BD!$A$3:$A$5001,"&gt;="&amp;$C$7,BD!$A$3:$A$5001,"&lt;="&amp;$B218,BD!$S$3:$S$5001,"&lt;&gt;"))))</f>
        <v/>
      </c>
      <c r="I218" s="54" t="str">
        <f>IF(OR($B218="",$A218&gt;$B$9,I$198=""),"",IF(COUNTIFS(BD!$B$3:$B$5001,I$198,BD!$A$3:$A$5001,"&gt;="&amp;$C$7,BD!$A$3:$A$5001,"&lt;="&amp;$B218,BD!$S$3:$S$5001,"&lt;&gt;")=0,"",SUMIFS(BD!$S$3:$S$5001,BD!$B$3:$B$5001,I$198,BD!$A$3:$A$5001,_xlfn.MAXIFS(BD!$A$3:$A$5001,BD!$B$3:$B$5001,I$198,BD!$A$3:$A$5001,"&gt;="&amp;$C$7,BD!$A$3:$A$5001,"&lt;="&amp;$B218,BD!$S$3:$S$5001,"&lt;&gt;"))))</f>
        <v/>
      </c>
      <c r="J218" s="54" t="str">
        <f>IF(OR($B218="",$A218&gt;$B$9,J$198=""),"",IF(COUNTIFS(BD!$B$3:$B$5001,J$198,BD!$A$3:$A$5001,"&gt;="&amp;$C$7,BD!$A$3:$A$5001,"&lt;="&amp;$B218,BD!$S$3:$S$5001,"&lt;&gt;")=0,"",SUMIFS(BD!$S$3:$S$5001,BD!$B$3:$B$5001,J$198,BD!$A$3:$A$5001,_xlfn.MAXIFS(BD!$A$3:$A$5001,BD!$B$3:$B$5001,J$198,BD!$A$3:$A$5001,"&gt;="&amp;$C$7,BD!$A$3:$A$5001,"&lt;="&amp;$B218,BD!$S$3:$S$5001,"&lt;&gt;"))))</f>
        <v/>
      </c>
      <c r="K218" s="54" t="str">
        <f>IF(OR($B218="",$A218&gt;$B$9,K$198=""),"",IF(COUNTIFS(BD!$B$3:$B$5001,K$198,BD!$A$3:$A$5001,"&gt;="&amp;$C$7,BD!$A$3:$A$5001,"&lt;="&amp;$B218,BD!$S$3:$S$5001,"&lt;&gt;")=0,"",SUMIFS(BD!$S$3:$S$5001,BD!$B$3:$B$5001,K$198,BD!$A$3:$A$5001,_xlfn.MAXIFS(BD!$A$3:$A$5001,BD!$B$3:$B$5001,K$198,BD!$A$3:$A$5001,"&gt;="&amp;$C$7,BD!$A$3:$A$5001,"&lt;="&amp;$B218,BD!$S$3:$S$5001,"&lt;&gt;"))))</f>
        <v/>
      </c>
      <c r="L218" s="54" t="str">
        <f>IF(OR($B218="",$A218&gt;$B$9,L$198=""),"",IF(COUNTIFS(BD!$B$3:$B$5001,L$198,BD!$A$3:$A$5001,"&gt;="&amp;$C$7,BD!$A$3:$A$5001,"&lt;="&amp;$B218,BD!$S$3:$S$5001,"&lt;&gt;")=0,"",SUMIFS(BD!$S$3:$S$5001,BD!$B$3:$B$5001,L$198,BD!$A$3:$A$5001,_xlfn.MAXIFS(BD!$A$3:$A$5001,BD!$B$3:$B$5001,L$198,BD!$A$3:$A$5001,"&gt;="&amp;$C$7,BD!$A$3:$A$5001,"&lt;="&amp;$B218,BD!$S$3:$S$5001,"&lt;&gt;"))))</f>
        <v/>
      </c>
      <c r="M218" s="54" t="str">
        <f>IF(OR($B218="",$A218&gt;$B$9,M$198=""),"",IF(COUNTIFS(BD!$B$3:$B$5001,M$198,BD!$A$3:$A$5001,"&gt;="&amp;$C$7,BD!$A$3:$A$5001,"&lt;="&amp;$B218,BD!$S$3:$S$5001,"&lt;&gt;")=0,"",SUMIFS(BD!$S$3:$S$5001,BD!$B$3:$B$5001,M$198,BD!$A$3:$A$5001,_xlfn.MAXIFS(BD!$A$3:$A$5001,BD!$B$3:$B$5001,M$198,BD!$A$3:$A$5001,"&gt;="&amp;$C$7,BD!$A$3:$A$5001,"&lt;="&amp;$B218,BD!$S$3:$S$5001,"&lt;&gt;"))))</f>
        <v/>
      </c>
      <c r="N218" s="54" t="str">
        <f>IF(OR($B218="",$A218&gt;$B$9,N$198=""),"",IF(COUNTIFS(BD!$B$3:$B$5001,N$198,BD!$A$3:$A$5001,"&gt;="&amp;$C$7,BD!$A$3:$A$5001,"&lt;="&amp;$B218,BD!$S$3:$S$5001,"&lt;&gt;")=0,"",SUMIFS(BD!$S$3:$S$5001,BD!$B$3:$B$5001,N$198,BD!$A$3:$A$5001,_xlfn.MAXIFS(BD!$A$3:$A$5001,BD!$B$3:$B$5001,N$198,BD!$A$3:$A$5001,"&gt;="&amp;$C$7,BD!$A$3:$A$5001,"&lt;="&amp;$B218,BD!$S$3:$S$5001,"&lt;&gt;"))))</f>
        <v/>
      </c>
      <c r="O218" s="54" t="str">
        <f>IF(OR($B218="",$A218&gt;$B$9,O$198=""),"",IF(COUNTIFS(BD!$B$3:$B$5001,O$198,BD!$A$3:$A$5001,"&gt;="&amp;$C$7,BD!$A$3:$A$5001,"&lt;="&amp;$B218,BD!$S$3:$S$5001,"&lt;&gt;")=0,"",SUMIFS(BD!$S$3:$S$5001,BD!$B$3:$B$5001,O$198,BD!$A$3:$A$5001,_xlfn.MAXIFS(BD!$A$3:$A$5001,BD!$B$3:$B$5001,O$198,BD!$A$3:$A$5001,"&gt;="&amp;$C$7,BD!$A$3:$A$5001,"&lt;="&amp;$B218,BD!$S$3:$S$5001,"&lt;&gt;"))))</f>
        <v/>
      </c>
      <c r="P218" s="54" t="str">
        <f>IF(OR($B218="",$A218&gt;$B$9,P$198=""),"",IF(COUNTIFS(BD!$B$3:$B$5001,P$198,BD!$A$3:$A$5001,"&gt;="&amp;$C$7,BD!$A$3:$A$5001,"&lt;="&amp;$B218,BD!$S$3:$S$5001,"&lt;&gt;")=0,"",SUMIFS(BD!$S$3:$S$5001,BD!$B$3:$B$5001,P$198,BD!$A$3:$A$5001,_xlfn.MAXIFS(BD!$A$3:$A$5001,BD!$B$3:$B$5001,P$198,BD!$A$3:$A$5001,"&gt;="&amp;$C$7,BD!$A$3:$A$5001,"&lt;="&amp;$B218,BD!$S$3:$S$5001,"&lt;&gt;"))))</f>
        <v/>
      </c>
      <c r="Q218" s="54" t="str">
        <f>IF(OR($B218="",$A218&gt;$B$9,Q$198=""),"",IF(COUNTIFS(BD!$B$3:$B$5001,Q$198,BD!$A$3:$A$5001,"&gt;="&amp;$C$7,BD!$A$3:$A$5001,"&lt;="&amp;$B218,BD!$S$3:$S$5001,"&lt;&gt;")=0,"",SUMIFS(BD!$S$3:$S$5001,BD!$B$3:$B$5001,Q$198,BD!$A$3:$A$5001,_xlfn.MAXIFS(BD!$A$3:$A$5001,BD!$B$3:$B$5001,Q$198,BD!$A$3:$A$5001,"&gt;="&amp;$C$7,BD!$A$3:$A$5001,"&lt;="&amp;$B218,BD!$S$3:$S$5001,"&lt;&gt;"))))</f>
        <v/>
      </c>
      <c r="R218" s="54" t="str">
        <f>IF(OR($B218="",$A218&gt;$B$9,R$198=""),"",IF(COUNTIFS(BD!$B$3:$B$5001,R$198,BD!$A$3:$A$5001,"&gt;="&amp;$C$7,BD!$A$3:$A$5001,"&lt;="&amp;$B218,BD!$S$3:$S$5001,"&lt;&gt;")=0,"",SUMIFS(BD!$S$3:$S$5001,BD!$B$3:$B$5001,R$198,BD!$A$3:$A$5001,_xlfn.MAXIFS(BD!$A$3:$A$5001,BD!$B$3:$B$5001,R$198,BD!$A$3:$A$5001,"&gt;="&amp;$C$7,BD!$A$3:$A$5001,"&lt;="&amp;$B218,BD!$S$3:$S$5001,"&lt;&gt;"))))</f>
        <v/>
      </c>
      <c r="S218" s="54" t="str">
        <f>IF(OR($B218="",$A218&gt;$B$9,S$198=""),"",IF(COUNTIFS(BD!$B$3:$B$5001,S$198,BD!$A$3:$A$5001,"&gt;="&amp;$C$7,BD!$A$3:$A$5001,"&lt;="&amp;$B218,BD!$S$3:$S$5001,"&lt;&gt;")=0,"",SUMIFS(BD!$S$3:$S$5001,BD!$B$3:$B$5001,S$198,BD!$A$3:$A$5001,_xlfn.MAXIFS(BD!$A$3:$A$5001,BD!$B$3:$B$5001,S$198,BD!$A$3:$A$5001,"&gt;="&amp;$C$7,BD!$A$3:$A$5001,"&lt;="&amp;$B218,BD!$S$3:$S$5001,"&lt;&gt;"))))</f>
        <v/>
      </c>
      <c r="T218" s="54" t="str">
        <f>IF(OR($B218="",$A218&gt;$B$9,T$198=""),"",IF(COUNTIFS(BD!$B$3:$B$5001,T$198,BD!$A$3:$A$5001,"&gt;="&amp;$C$7,BD!$A$3:$A$5001,"&lt;="&amp;$B218,BD!$S$3:$S$5001,"&lt;&gt;")=0,"",SUMIFS(BD!$S$3:$S$5001,BD!$B$3:$B$5001,T$198,BD!$A$3:$A$5001,_xlfn.MAXIFS(BD!$A$3:$A$5001,BD!$B$3:$B$5001,T$198,BD!$A$3:$A$5001,"&gt;="&amp;$C$7,BD!$A$3:$A$5001,"&lt;="&amp;$B218,BD!$S$3:$S$5001,"&lt;&gt;"))))</f>
        <v/>
      </c>
      <c r="U218" s="54" t="str">
        <f>IF(OR($B218="",$A218&gt;$B$9,U$198=""),"",IF(COUNTIFS(BD!$B$3:$B$5001,U$198,BD!$A$3:$A$5001,"&gt;="&amp;$C$7,BD!$A$3:$A$5001,"&lt;="&amp;$B218,BD!$S$3:$S$5001,"&lt;&gt;")=0,"",SUMIFS(BD!$S$3:$S$5001,BD!$B$3:$B$5001,U$198,BD!$A$3:$A$5001,_xlfn.MAXIFS(BD!$A$3:$A$5001,BD!$B$3:$B$5001,U$198,BD!$A$3:$A$5001,"&gt;="&amp;$C$7,BD!$A$3:$A$5001,"&lt;="&amp;$B218,BD!$S$3:$S$5001,"&lt;&gt;"))))</f>
        <v/>
      </c>
      <c r="V218" s="54" t="str">
        <f>IF(OR($B218="",$A218&gt;$B$9,V$198=""),"",IF(COUNTIFS(BD!$B$3:$B$5001,V$198,BD!$A$3:$A$5001,"&gt;="&amp;$C$7,BD!$A$3:$A$5001,"&lt;="&amp;$B218,BD!$S$3:$S$5001,"&lt;&gt;")=0,"",SUMIFS(BD!$S$3:$S$5001,BD!$B$3:$B$5001,V$198,BD!$A$3:$A$5001,_xlfn.MAXIFS(BD!$A$3:$A$5001,BD!$B$3:$B$5001,V$198,BD!$A$3:$A$5001,"&gt;="&amp;$C$7,BD!$A$3:$A$5001,"&lt;="&amp;$B218,BD!$S$3:$S$5001,"&lt;&gt;"))))</f>
        <v/>
      </c>
    </row>
    <row r="219">
      <c r="A219" s="48">
        <v>21</v>
      </c>
      <c r="B219" s="53">
        <f>$B$32</f>
        <v>46316</v>
      </c>
      <c r="C219" s="54" t="str">
        <f>IF(OR($B219="",$A219&gt;$B$9,C$198=""),"",IF(COUNTIFS(BD!$B$3:$B$5001,C$198,BD!$A$3:$A$5001,"&gt;="&amp;$C$7,BD!$A$3:$A$5001,"&lt;="&amp;$B219,BD!$S$3:$S$5001,"&lt;&gt;")=0,"",SUMIFS(BD!$S$3:$S$5001,BD!$B$3:$B$5001,C$198,BD!$A$3:$A$5001,_xlfn.MAXIFS(BD!$A$3:$A$5001,BD!$B$3:$B$5001,C$198,BD!$A$3:$A$5001,"&gt;="&amp;$C$7,BD!$A$3:$A$5001,"&lt;="&amp;$B219,BD!$S$3:$S$5001,"&lt;&gt;"))))</f>
        <v/>
      </c>
      <c r="D219" s="54" t="str">
        <f>IF(OR($B219="",$A219&gt;$B$9,D$198=""),"",IF(COUNTIFS(BD!$B$3:$B$5001,D$198,BD!$A$3:$A$5001,"&gt;="&amp;$C$7,BD!$A$3:$A$5001,"&lt;="&amp;$B219,BD!$S$3:$S$5001,"&lt;&gt;")=0,"",SUMIFS(BD!$S$3:$S$5001,BD!$B$3:$B$5001,D$198,BD!$A$3:$A$5001,_xlfn.MAXIFS(BD!$A$3:$A$5001,BD!$B$3:$B$5001,D$198,BD!$A$3:$A$5001,"&gt;="&amp;$C$7,BD!$A$3:$A$5001,"&lt;="&amp;$B219,BD!$S$3:$S$5001,"&lt;&gt;"))))</f>
        <v/>
      </c>
      <c r="E219" s="54" t="str">
        <f>IF(OR($B219="",$A219&gt;$B$9,E$198=""),"",IF(COUNTIFS(BD!$B$3:$B$5001,E$198,BD!$A$3:$A$5001,"&gt;="&amp;$C$7,BD!$A$3:$A$5001,"&lt;="&amp;$B219,BD!$S$3:$S$5001,"&lt;&gt;")=0,"",SUMIFS(BD!$S$3:$S$5001,BD!$B$3:$B$5001,E$198,BD!$A$3:$A$5001,_xlfn.MAXIFS(BD!$A$3:$A$5001,BD!$B$3:$B$5001,E$198,BD!$A$3:$A$5001,"&gt;="&amp;$C$7,BD!$A$3:$A$5001,"&lt;="&amp;$B219,BD!$S$3:$S$5001,"&lt;&gt;"))))</f>
        <v/>
      </c>
      <c r="F219" s="54" t="str">
        <f>IF(OR($B219="",$A219&gt;$B$9,F$198=""),"",IF(COUNTIFS(BD!$B$3:$B$5001,F$198,BD!$A$3:$A$5001,"&gt;="&amp;$C$7,BD!$A$3:$A$5001,"&lt;="&amp;$B219,BD!$S$3:$S$5001,"&lt;&gt;")=0,"",SUMIFS(BD!$S$3:$S$5001,BD!$B$3:$B$5001,F$198,BD!$A$3:$A$5001,_xlfn.MAXIFS(BD!$A$3:$A$5001,BD!$B$3:$B$5001,F$198,BD!$A$3:$A$5001,"&gt;="&amp;$C$7,BD!$A$3:$A$5001,"&lt;="&amp;$B219,BD!$S$3:$S$5001,"&lt;&gt;"))))</f>
        <v/>
      </c>
      <c r="G219" s="54" t="str">
        <f>IF(OR($B219="",$A219&gt;$B$9,G$198=""),"",IF(COUNTIFS(BD!$B$3:$B$5001,G$198,BD!$A$3:$A$5001,"&gt;="&amp;$C$7,BD!$A$3:$A$5001,"&lt;="&amp;$B219,BD!$S$3:$S$5001,"&lt;&gt;")=0,"",SUMIFS(BD!$S$3:$S$5001,BD!$B$3:$B$5001,G$198,BD!$A$3:$A$5001,_xlfn.MAXIFS(BD!$A$3:$A$5001,BD!$B$3:$B$5001,G$198,BD!$A$3:$A$5001,"&gt;="&amp;$C$7,BD!$A$3:$A$5001,"&lt;="&amp;$B219,BD!$S$3:$S$5001,"&lt;&gt;"))))</f>
        <v/>
      </c>
      <c r="H219" s="54" t="str">
        <f>IF(OR($B219="",$A219&gt;$B$9,H$198=""),"",IF(COUNTIFS(BD!$B$3:$B$5001,H$198,BD!$A$3:$A$5001,"&gt;="&amp;$C$7,BD!$A$3:$A$5001,"&lt;="&amp;$B219,BD!$S$3:$S$5001,"&lt;&gt;")=0,"",SUMIFS(BD!$S$3:$S$5001,BD!$B$3:$B$5001,H$198,BD!$A$3:$A$5001,_xlfn.MAXIFS(BD!$A$3:$A$5001,BD!$B$3:$B$5001,H$198,BD!$A$3:$A$5001,"&gt;="&amp;$C$7,BD!$A$3:$A$5001,"&lt;="&amp;$B219,BD!$S$3:$S$5001,"&lt;&gt;"))))</f>
        <v/>
      </c>
      <c r="I219" s="54" t="str">
        <f>IF(OR($B219="",$A219&gt;$B$9,I$198=""),"",IF(COUNTIFS(BD!$B$3:$B$5001,I$198,BD!$A$3:$A$5001,"&gt;="&amp;$C$7,BD!$A$3:$A$5001,"&lt;="&amp;$B219,BD!$S$3:$S$5001,"&lt;&gt;")=0,"",SUMIFS(BD!$S$3:$S$5001,BD!$B$3:$B$5001,I$198,BD!$A$3:$A$5001,_xlfn.MAXIFS(BD!$A$3:$A$5001,BD!$B$3:$B$5001,I$198,BD!$A$3:$A$5001,"&gt;="&amp;$C$7,BD!$A$3:$A$5001,"&lt;="&amp;$B219,BD!$S$3:$S$5001,"&lt;&gt;"))))</f>
        <v/>
      </c>
      <c r="J219" s="54" t="str">
        <f>IF(OR($B219="",$A219&gt;$B$9,J$198=""),"",IF(COUNTIFS(BD!$B$3:$B$5001,J$198,BD!$A$3:$A$5001,"&gt;="&amp;$C$7,BD!$A$3:$A$5001,"&lt;="&amp;$B219,BD!$S$3:$S$5001,"&lt;&gt;")=0,"",SUMIFS(BD!$S$3:$S$5001,BD!$B$3:$B$5001,J$198,BD!$A$3:$A$5001,_xlfn.MAXIFS(BD!$A$3:$A$5001,BD!$B$3:$B$5001,J$198,BD!$A$3:$A$5001,"&gt;="&amp;$C$7,BD!$A$3:$A$5001,"&lt;="&amp;$B219,BD!$S$3:$S$5001,"&lt;&gt;"))))</f>
        <v/>
      </c>
      <c r="K219" s="54" t="str">
        <f>IF(OR($B219="",$A219&gt;$B$9,K$198=""),"",IF(COUNTIFS(BD!$B$3:$B$5001,K$198,BD!$A$3:$A$5001,"&gt;="&amp;$C$7,BD!$A$3:$A$5001,"&lt;="&amp;$B219,BD!$S$3:$S$5001,"&lt;&gt;")=0,"",SUMIFS(BD!$S$3:$S$5001,BD!$B$3:$B$5001,K$198,BD!$A$3:$A$5001,_xlfn.MAXIFS(BD!$A$3:$A$5001,BD!$B$3:$B$5001,K$198,BD!$A$3:$A$5001,"&gt;="&amp;$C$7,BD!$A$3:$A$5001,"&lt;="&amp;$B219,BD!$S$3:$S$5001,"&lt;&gt;"))))</f>
        <v/>
      </c>
      <c r="L219" s="54" t="str">
        <f>IF(OR($B219="",$A219&gt;$B$9,L$198=""),"",IF(COUNTIFS(BD!$B$3:$B$5001,L$198,BD!$A$3:$A$5001,"&gt;="&amp;$C$7,BD!$A$3:$A$5001,"&lt;="&amp;$B219,BD!$S$3:$S$5001,"&lt;&gt;")=0,"",SUMIFS(BD!$S$3:$S$5001,BD!$B$3:$B$5001,L$198,BD!$A$3:$A$5001,_xlfn.MAXIFS(BD!$A$3:$A$5001,BD!$B$3:$B$5001,L$198,BD!$A$3:$A$5001,"&gt;="&amp;$C$7,BD!$A$3:$A$5001,"&lt;="&amp;$B219,BD!$S$3:$S$5001,"&lt;&gt;"))))</f>
        <v/>
      </c>
      <c r="M219" s="54" t="str">
        <f>IF(OR($B219="",$A219&gt;$B$9,M$198=""),"",IF(COUNTIFS(BD!$B$3:$B$5001,M$198,BD!$A$3:$A$5001,"&gt;="&amp;$C$7,BD!$A$3:$A$5001,"&lt;="&amp;$B219,BD!$S$3:$S$5001,"&lt;&gt;")=0,"",SUMIFS(BD!$S$3:$S$5001,BD!$B$3:$B$5001,M$198,BD!$A$3:$A$5001,_xlfn.MAXIFS(BD!$A$3:$A$5001,BD!$B$3:$B$5001,M$198,BD!$A$3:$A$5001,"&gt;="&amp;$C$7,BD!$A$3:$A$5001,"&lt;="&amp;$B219,BD!$S$3:$S$5001,"&lt;&gt;"))))</f>
        <v/>
      </c>
      <c r="N219" s="54" t="str">
        <f>IF(OR($B219="",$A219&gt;$B$9,N$198=""),"",IF(COUNTIFS(BD!$B$3:$B$5001,N$198,BD!$A$3:$A$5001,"&gt;="&amp;$C$7,BD!$A$3:$A$5001,"&lt;="&amp;$B219,BD!$S$3:$S$5001,"&lt;&gt;")=0,"",SUMIFS(BD!$S$3:$S$5001,BD!$B$3:$B$5001,N$198,BD!$A$3:$A$5001,_xlfn.MAXIFS(BD!$A$3:$A$5001,BD!$B$3:$B$5001,N$198,BD!$A$3:$A$5001,"&gt;="&amp;$C$7,BD!$A$3:$A$5001,"&lt;="&amp;$B219,BD!$S$3:$S$5001,"&lt;&gt;"))))</f>
        <v/>
      </c>
      <c r="O219" s="54" t="str">
        <f>IF(OR($B219="",$A219&gt;$B$9,O$198=""),"",IF(COUNTIFS(BD!$B$3:$B$5001,O$198,BD!$A$3:$A$5001,"&gt;="&amp;$C$7,BD!$A$3:$A$5001,"&lt;="&amp;$B219,BD!$S$3:$S$5001,"&lt;&gt;")=0,"",SUMIFS(BD!$S$3:$S$5001,BD!$B$3:$B$5001,O$198,BD!$A$3:$A$5001,_xlfn.MAXIFS(BD!$A$3:$A$5001,BD!$B$3:$B$5001,O$198,BD!$A$3:$A$5001,"&gt;="&amp;$C$7,BD!$A$3:$A$5001,"&lt;="&amp;$B219,BD!$S$3:$S$5001,"&lt;&gt;"))))</f>
        <v/>
      </c>
      <c r="P219" s="54" t="str">
        <f>IF(OR($B219="",$A219&gt;$B$9,P$198=""),"",IF(COUNTIFS(BD!$B$3:$B$5001,P$198,BD!$A$3:$A$5001,"&gt;="&amp;$C$7,BD!$A$3:$A$5001,"&lt;="&amp;$B219,BD!$S$3:$S$5001,"&lt;&gt;")=0,"",SUMIFS(BD!$S$3:$S$5001,BD!$B$3:$B$5001,P$198,BD!$A$3:$A$5001,_xlfn.MAXIFS(BD!$A$3:$A$5001,BD!$B$3:$B$5001,P$198,BD!$A$3:$A$5001,"&gt;="&amp;$C$7,BD!$A$3:$A$5001,"&lt;="&amp;$B219,BD!$S$3:$S$5001,"&lt;&gt;"))))</f>
        <v/>
      </c>
      <c r="Q219" s="54" t="str">
        <f>IF(OR($B219="",$A219&gt;$B$9,Q$198=""),"",IF(COUNTIFS(BD!$B$3:$B$5001,Q$198,BD!$A$3:$A$5001,"&gt;="&amp;$C$7,BD!$A$3:$A$5001,"&lt;="&amp;$B219,BD!$S$3:$S$5001,"&lt;&gt;")=0,"",SUMIFS(BD!$S$3:$S$5001,BD!$B$3:$B$5001,Q$198,BD!$A$3:$A$5001,_xlfn.MAXIFS(BD!$A$3:$A$5001,BD!$B$3:$B$5001,Q$198,BD!$A$3:$A$5001,"&gt;="&amp;$C$7,BD!$A$3:$A$5001,"&lt;="&amp;$B219,BD!$S$3:$S$5001,"&lt;&gt;"))))</f>
        <v/>
      </c>
      <c r="R219" s="54" t="str">
        <f>IF(OR($B219="",$A219&gt;$B$9,R$198=""),"",IF(COUNTIFS(BD!$B$3:$B$5001,R$198,BD!$A$3:$A$5001,"&gt;="&amp;$C$7,BD!$A$3:$A$5001,"&lt;="&amp;$B219,BD!$S$3:$S$5001,"&lt;&gt;")=0,"",SUMIFS(BD!$S$3:$S$5001,BD!$B$3:$B$5001,R$198,BD!$A$3:$A$5001,_xlfn.MAXIFS(BD!$A$3:$A$5001,BD!$B$3:$B$5001,R$198,BD!$A$3:$A$5001,"&gt;="&amp;$C$7,BD!$A$3:$A$5001,"&lt;="&amp;$B219,BD!$S$3:$S$5001,"&lt;&gt;"))))</f>
        <v/>
      </c>
      <c r="S219" s="54" t="str">
        <f>IF(OR($B219="",$A219&gt;$B$9,S$198=""),"",IF(COUNTIFS(BD!$B$3:$B$5001,S$198,BD!$A$3:$A$5001,"&gt;="&amp;$C$7,BD!$A$3:$A$5001,"&lt;="&amp;$B219,BD!$S$3:$S$5001,"&lt;&gt;")=0,"",SUMIFS(BD!$S$3:$S$5001,BD!$B$3:$B$5001,S$198,BD!$A$3:$A$5001,_xlfn.MAXIFS(BD!$A$3:$A$5001,BD!$B$3:$B$5001,S$198,BD!$A$3:$A$5001,"&gt;="&amp;$C$7,BD!$A$3:$A$5001,"&lt;="&amp;$B219,BD!$S$3:$S$5001,"&lt;&gt;"))))</f>
        <v/>
      </c>
      <c r="T219" s="54" t="str">
        <f>IF(OR($B219="",$A219&gt;$B$9,T$198=""),"",IF(COUNTIFS(BD!$B$3:$B$5001,T$198,BD!$A$3:$A$5001,"&gt;="&amp;$C$7,BD!$A$3:$A$5001,"&lt;="&amp;$B219,BD!$S$3:$S$5001,"&lt;&gt;")=0,"",SUMIFS(BD!$S$3:$S$5001,BD!$B$3:$B$5001,T$198,BD!$A$3:$A$5001,_xlfn.MAXIFS(BD!$A$3:$A$5001,BD!$B$3:$B$5001,T$198,BD!$A$3:$A$5001,"&gt;="&amp;$C$7,BD!$A$3:$A$5001,"&lt;="&amp;$B219,BD!$S$3:$S$5001,"&lt;&gt;"))))</f>
        <v/>
      </c>
      <c r="U219" s="54" t="str">
        <f>IF(OR($B219="",$A219&gt;$B$9,U$198=""),"",IF(COUNTIFS(BD!$B$3:$B$5001,U$198,BD!$A$3:$A$5001,"&gt;="&amp;$C$7,BD!$A$3:$A$5001,"&lt;="&amp;$B219,BD!$S$3:$S$5001,"&lt;&gt;")=0,"",SUMIFS(BD!$S$3:$S$5001,BD!$B$3:$B$5001,U$198,BD!$A$3:$A$5001,_xlfn.MAXIFS(BD!$A$3:$A$5001,BD!$B$3:$B$5001,U$198,BD!$A$3:$A$5001,"&gt;="&amp;$C$7,BD!$A$3:$A$5001,"&lt;="&amp;$B219,BD!$S$3:$S$5001,"&lt;&gt;"))))</f>
        <v/>
      </c>
      <c r="V219" s="54" t="str">
        <f>IF(OR($B219="",$A219&gt;$B$9,V$198=""),"",IF(COUNTIFS(BD!$B$3:$B$5001,V$198,BD!$A$3:$A$5001,"&gt;="&amp;$C$7,BD!$A$3:$A$5001,"&lt;="&amp;$B219,BD!$S$3:$S$5001,"&lt;&gt;")=0,"",SUMIFS(BD!$S$3:$S$5001,BD!$B$3:$B$5001,V$198,BD!$A$3:$A$5001,_xlfn.MAXIFS(BD!$A$3:$A$5001,BD!$B$3:$B$5001,V$198,BD!$A$3:$A$5001,"&gt;="&amp;$C$7,BD!$A$3:$A$5001,"&lt;="&amp;$B219,BD!$S$3:$S$5001,"&lt;&gt;"))))</f>
        <v/>
      </c>
    </row>
    <row r="220">
      <c r="A220" s="48">
        <v>22</v>
      </c>
      <c r="B220" s="53">
        <f>$B$33</f>
        <v>46317</v>
      </c>
      <c r="C220" s="54" t="str">
        <f>IF(OR($B220="",$A220&gt;$B$9,C$198=""),"",IF(COUNTIFS(BD!$B$3:$B$5001,C$198,BD!$A$3:$A$5001,"&gt;="&amp;$C$7,BD!$A$3:$A$5001,"&lt;="&amp;$B220,BD!$S$3:$S$5001,"&lt;&gt;")=0,"",SUMIFS(BD!$S$3:$S$5001,BD!$B$3:$B$5001,C$198,BD!$A$3:$A$5001,_xlfn.MAXIFS(BD!$A$3:$A$5001,BD!$B$3:$B$5001,C$198,BD!$A$3:$A$5001,"&gt;="&amp;$C$7,BD!$A$3:$A$5001,"&lt;="&amp;$B220,BD!$S$3:$S$5001,"&lt;&gt;"))))</f>
        <v/>
      </c>
      <c r="D220" s="54" t="str">
        <f>IF(OR($B220="",$A220&gt;$B$9,D$198=""),"",IF(COUNTIFS(BD!$B$3:$B$5001,D$198,BD!$A$3:$A$5001,"&gt;="&amp;$C$7,BD!$A$3:$A$5001,"&lt;="&amp;$B220,BD!$S$3:$S$5001,"&lt;&gt;")=0,"",SUMIFS(BD!$S$3:$S$5001,BD!$B$3:$B$5001,D$198,BD!$A$3:$A$5001,_xlfn.MAXIFS(BD!$A$3:$A$5001,BD!$B$3:$B$5001,D$198,BD!$A$3:$A$5001,"&gt;="&amp;$C$7,BD!$A$3:$A$5001,"&lt;="&amp;$B220,BD!$S$3:$S$5001,"&lt;&gt;"))))</f>
        <v/>
      </c>
      <c r="E220" s="54" t="str">
        <f>IF(OR($B220="",$A220&gt;$B$9,E$198=""),"",IF(COUNTIFS(BD!$B$3:$B$5001,E$198,BD!$A$3:$A$5001,"&gt;="&amp;$C$7,BD!$A$3:$A$5001,"&lt;="&amp;$B220,BD!$S$3:$S$5001,"&lt;&gt;")=0,"",SUMIFS(BD!$S$3:$S$5001,BD!$B$3:$B$5001,E$198,BD!$A$3:$A$5001,_xlfn.MAXIFS(BD!$A$3:$A$5001,BD!$B$3:$B$5001,E$198,BD!$A$3:$A$5001,"&gt;="&amp;$C$7,BD!$A$3:$A$5001,"&lt;="&amp;$B220,BD!$S$3:$S$5001,"&lt;&gt;"))))</f>
        <v/>
      </c>
      <c r="F220" s="54" t="str">
        <f>IF(OR($B220="",$A220&gt;$B$9,F$198=""),"",IF(COUNTIFS(BD!$B$3:$B$5001,F$198,BD!$A$3:$A$5001,"&gt;="&amp;$C$7,BD!$A$3:$A$5001,"&lt;="&amp;$B220,BD!$S$3:$S$5001,"&lt;&gt;")=0,"",SUMIFS(BD!$S$3:$S$5001,BD!$B$3:$B$5001,F$198,BD!$A$3:$A$5001,_xlfn.MAXIFS(BD!$A$3:$A$5001,BD!$B$3:$B$5001,F$198,BD!$A$3:$A$5001,"&gt;="&amp;$C$7,BD!$A$3:$A$5001,"&lt;="&amp;$B220,BD!$S$3:$S$5001,"&lt;&gt;"))))</f>
        <v/>
      </c>
      <c r="G220" s="54" t="str">
        <f>IF(OR($B220="",$A220&gt;$B$9,G$198=""),"",IF(COUNTIFS(BD!$B$3:$B$5001,G$198,BD!$A$3:$A$5001,"&gt;="&amp;$C$7,BD!$A$3:$A$5001,"&lt;="&amp;$B220,BD!$S$3:$S$5001,"&lt;&gt;")=0,"",SUMIFS(BD!$S$3:$S$5001,BD!$B$3:$B$5001,G$198,BD!$A$3:$A$5001,_xlfn.MAXIFS(BD!$A$3:$A$5001,BD!$B$3:$B$5001,G$198,BD!$A$3:$A$5001,"&gt;="&amp;$C$7,BD!$A$3:$A$5001,"&lt;="&amp;$B220,BD!$S$3:$S$5001,"&lt;&gt;"))))</f>
        <v/>
      </c>
      <c r="H220" s="54" t="str">
        <f>IF(OR($B220="",$A220&gt;$B$9,H$198=""),"",IF(COUNTIFS(BD!$B$3:$B$5001,H$198,BD!$A$3:$A$5001,"&gt;="&amp;$C$7,BD!$A$3:$A$5001,"&lt;="&amp;$B220,BD!$S$3:$S$5001,"&lt;&gt;")=0,"",SUMIFS(BD!$S$3:$S$5001,BD!$B$3:$B$5001,H$198,BD!$A$3:$A$5001,_xlfn.MAXIFS(BD!$A$3:$A$5001,BD!$B$3:$B$5001,H$198,BD!$A$3:$A$5001,"&gt;="&amp;$C$7,BD!$A$3:$A$5001,"&lt;="&amp;$B220,BD!$S$3:$S$5001,"&lt;&gt;"))))</f>
        <v/>
      </c>
      <c r="I220" s="54" t="str">
        <f>IF(OR($B220="",$A220&gt;$B$9,I$198=""),"",IF(COUNTIFS(BD!$B$3:$B$5001,I$198,BD!$A$3:$A$5001,"&gt;="&amp;$C$7,BD!$A$3:$A$5001,"&lt;="&amp;$B220,BD!$S$3:$S$5001,"&lt;&gt;")=0,"",SUMIFS(BD!$S$3:$S$5001,BD!$B$3:$B$5001,I$198,BD!$A$3:$A$5001,_xlfn.MAXIFS(BD!$A$3:$A$5001,BD!$B$3:$B$5001,I$198,BD!$A$3:$A$5001,"&gt;="&amp;$C$7,BD!$A$3:$A$5001,"&lt;="&amp;$B220,BD!$S$3:$S$5001,"&lt;&gt;"))))</f>
        <v/>
      </c>
      <c r="J220" s="54" t="str">
        <f>IF(OR($B220="",$A220&gt;$B$9,J$198=""),"",IF(COUNTIFS(BD!$B$3:$B$5001,J$198,BD!$A$3:$A$5001,"&gt;="&amp;$C$7,BD!$A$3:$A$5001,"&lt;="&amp;$B220,BD!$S$3:$S$5001,"&lt;&gt;")=0,"",SUMIFS(BD!$S$3:$S$5001,BD!$B$3:$B$5001,J$198,BD!$A$3:$A$5001,_xlfn.MAXIFS(BD!$A$3:$A$5001,BD!$B$3:$B$5001,J$198,BD!$A$3:$A$5001,"&gt;="&amp;$C$7,BD!$A$3:$A$5001,"&lt;="&amp;$B220,BD!$S$3:$S$5001,"&lt;&gt;"))))</f>
        <v/>
      </c>
      <c r="K220" s="54" t="str">
        <f>IF(OR($B220="",$A220&gt;$B$9,K$198=""),"",IF(COUNTIFS(BD!$B$3:$B$5001,K$198,BD!$A$3:$A$5001,"&gt;="&amp;$C$7,BD!$A$3:$A$5001,"&lt;="&amp;$B220,BD!$S$3:$S$5001,"&lt;&gt;")=0,"",SUMIFS(BD!$S$3:$S$5001,BD!$B$3:$B$5001,K$198,BD!$A$3:$A$5001,_xlfn.MAXIFS(BD!$A$3:$A$5001,BD!$B$3:$B$5001,K$198,BD!$A$3:$A$5001,"&gt;="&amp;$C$7,BD!$A$3:$A$5001,"&lt;="&amp;$B220,BD!$S$3:$S$5001,"&lt;&gt;"))))</f>
        <v/>
      </c>
      <c r="L220" s="54" t="str">
        <f>IF(OR($B220="",$A220&gt;$B$9,L$198=""),"",IF(COUNTIFS(BD!$B$3:$B$5001,L$198,BD!$A$3:$A$5001,"&gt;="&amp;$C$7,BD!$A$3:$A$5001,"&lt;="&amp;$B220,BD!$S$3:$S$5001,"&lt;&gt;")=0,"",SUMIFS(BD!$S$3:$S$5001,BD!$B$3:$B$5001,L$198,BD!$A$3:$A$5001,_xlfn.MAXIFS(BD!$A$3:$A$5001,BD!$B$3:$B$5001,L$198,BD!$A$3:$A$5001,"&gt;="&amp;$C$7,BD!$A$3:$A$5001,"&lt;="&amp;$B220,BD!$S$3:$S$5001,"&lt;&gt;"))))</f>
        <v/>
      </c>
      <c r="M220" s="54" t="str">
        <f>IF(OR($B220="",$A220&gt;$B$9,M$198=""),"",IF(COUNTIFS(BD!$B$3:$B$5001,M$198,BD!$A$3:$A$5001,"&gt;="&amp;$C$7,BD!$A$3:$A$5001,"&lt;="&amp;$B220,BD!$S$3:$S$5001,"&lt;&gt;")=0,"",SUMIFS(BD!$S$3:$S$5001,BD!$B$3:$B$5001,M$198,BD!$A$3:$A$5001,_xlfn.MAXIFS(BD!$A$3:$A$5001,BD!$B$3:$B$5001,M$198,BD!$A$3:$A$5001,"&gt;="&amp;$C$7,BD!$A$3:$A$5001,"&lt;="&amp;$B220,BD!$S$3:$S$5001,"&lt;&gt;"))))</f>
        <v/>
      </c>
      <c r="N220" s="54" t="str">
        <f>IF(OR($B220="",$A220&gt;$B$9,N$198=""),"",IF(COUNTIFS(BD!$B$3:$B$5001,N$198,BD!$A$3:$A$5001,"&gt;="&amp;$C$7,BD!$A$3:$A$5001,"&lt;="&amp;$B220,BD!$S$3:$S$5001,"&lt;&gt;")=0,"",SUMIFS(BD!$S$3:$S$5001,BD!$B$3:$B$5001,N$198,BD!$A$3:$A$5001,_xlfn.MAXIFS(BD!$A$3:$A$5001,BD!$B$3:$B$5001,N$198,BD!$A$3:$A$5001,"&gt;="&amp;$C$7,BD!$A$3:$A$5001,"&lt;="&amp;$B220,BD!$S$3:$S$5001,"&lt;&gt;"))))</f>
        <v/>
      </c>
      <c r="O220" s="54" t="str">
        <f>IF(OR($B220="",$A220&gt;$B$9,O$198=""),"",IF(COUNTIFS(BD!$B$3:$B$5001,O$198,BD!$A$3:$A$5001,"&gt;="&amp;$C$7,BD!$A$3:$A$5001,"&lt;="&amp;$B220,BD!$S$3:$S$5001,"&lt;&gt;")=0,"",SUMIFS(BD!$S$3:$S$5001,BD!$B$3:$B$5001,O$198,BD!$A$3:$A$5001,_xlfn.MAXIFS(BD!$A$3:$A$5001,BD!$B$3:$B$5001,O$198,BD!$A$3:$A$5001,"&gt;="&amp;$C$7,BD!$A$3:$A$5001,"&lt;="&amp;$B220,BD!$S$3:$S$5001,"&lt;&gt;"))))</f>
        <v/>
      </c>
      <c r="P220" s="54" t="str">
        <f>IF(OR($B220="",$A220&gt;$B$9,P$198=""),"",IF(COUNTIFS(BD!$B$3:$B$5001,P$198,BD!$A$3:$A$5001,"&gt;="&amp;$C$7,BD!$A$3:$A$5001,"&lt;="&amp;$B220,BD!$S$3:$S$5001,"&lt;&gt;")=0,"",SUMIFS(BD!$S$3:$S$5001,BD!$B$3:$B$5001,P$198,BD!$A$3:$A$5001,_xlfn.MAXIFS(BD!$A$3:$A$5001,BD!$B$3:$B$5001,P$198,BD!$A$3:$A$5001,"&gt;="&amp;$C$7,BD!$A$3:$A$5001,"&lt;="&amp;$B220,BD!$S$3:$S$5001,"&lt;&gt;"))))</f>
        <v/>
      </c>
      <c r="Q220" s="54" t="str">
        <f>IF(OR($B220="",$A220&gt;$B$9,Q$198=""),"",IF(COUNTIFS(BD!$B$3:$B$5001,Q$198,BD!$A$3:$A$5001,"&gt;="&amp;$C$7,BD!$A$3:$A$5001,"&lt;="&amp;$B220,BD!$S$3:$S$5001,"&lt;&gt;")=0,"",SUMIFS(BD!$S$3:$S$5001,BD!$B$3:$B$5001,Q$198,BD!$A$3:$A$5001,_xlfn.MAXIFS(BD!$A$3:$A$5001,BD!$B$3:$B$5001,Q$198,BD!$A$3:$A$5001,"&gt;="&amp;$C$7,BD!$A$3:$A$5001,"&lt;="&amp;$B220,BD!$S$3:$S$5001,"&lt;&gt;"))))</f>
        <v/>
      </c>
      <c r="R220" s="54" t="str">
        <f>IF(OR($B220="",$A220&gt;$B$9,R$198=""),"",IF(COUNTIFS(BD!$B$3:$B$5001,R$198,BD!$A$3:$A$5001,"&gt;="&amp;$C$7,BD!$A$3:$A$5001,"&lt;="&amp;$B220,BD!$S$3:$S$5001,"&lt;&gt;")=0,"",SUMIFS(BD!$S$3:$S$5001,BD!$B$3:$B$5001,R$198,BD!$A$3:$A$5001,_xlfn.MAXIFS(BD!$A$3:$A$5001,BD!$B$3:$B$5001,R$198,BD!$A$3:$A$5001,"&gt;="&amp;$C$7,BD!$A$3:$A$5001,"&lt;="&amp;$B220,BD!$S$3:$S$5001,"&lt;&gt;"))))</f>
        <v/>
      </c>
      <c r="S220" s="54" t="str">
        <f>IF(OR($B220="",$A220&gt;$B$9,S$198=""),"",IF(COUNTIFS(BD!$B$3:$B$5001,S$198,BD!$A$3:$A$5001,"&gt;="&amp;$C$7,BD!$A$3:$A$5001,"&lt;="&amp;$B220,BD!$S$3:$S$5001,"&lt;&gt;")=0,"",SUMIFS(BD!$S$3:$S$5001,BD!$B$3:$B$5001,S$198,BD!$A$3:$A$5001,_xlfn.MAXIFS(BD!$A$3:$A$5001,BD!$B$3:$B$5001,S$198,BD!$A$3:$A$5001,"&gt;="&amp;$C$7,BD!$A$3:$A$5001,"&lt;="&amp;$B220,BD!$S$3:$S$5001,"&lt;&gt;"))))</f>
        <v/>
      </c>
      <c r="T220" s="54" t="str">
        <f>IF(OR($B220="",$A220&gt;$B$9,T$198=""),"",IF(COUNTIFS(BD!$B$3:$B$5001,T$198,BD!$A$3:$A$5001,"&gt;="&amp;$C$7,BD!$A$3:$A$5001,"&lt;="&amp;$B220,BD!$S$3:$S$5001,"&lt;&gt;")=0,"",SUMIFS(BD!$S$3:$S$5001,BD!$B$3:$B$5001,T$198,BD!$A$3:$A$5001,_xlfn.MAXIFS(BD!$A$3:$A$5001,BD!$B$3:$B$5001,T$198,BD!$A$3:$A$5001,"&gt;="&amp;$C$7,BD!$A$3:$A$5001,"&lt;="&amp;$B220,BD!$S$3:$S$5001,"&lt;&gt;"))))</f>
        <v/>
      </c>
      <c r="U220" s="54" t="str">
        <f>IF(OR($B220="",$A220&gt;$B$9,U$198=""),"",IF(COUNTIFS(BD!$B$3:$B$5001,U$198,BD!$A$3:$A$5001,"&gt;="&amp;$C$7,BD!$A$3:$A$5001,"&lt;="&amp;$B220,BD!$S$3:$S$5001,"&lt;&gt;")=0,"",SUMIFS(BD!$S$3:$S$5001,BD!$B$3:$B$5001,U$198,BD!$A$3:$A$5001,_xlfn.MAXIFS(BD!$A$3:$A$5001,BD!$B$3:$B$5001,U$198,BD!$A$3:$A$5001,"&gt;="&amp;$C$7,BD!$A$3:$A$5001,"&lt;="&amp;$B220,BD!$S$3:$S$5001,"&lt;&gt;"))))</f>
        <v/>
      </c>
      <c r="V220" s="54" t="str">
        <f>IF(OR($B220="",$A220&gt;$B$9,V$198=""),"",IF(COUNTIFS(BD!$B$3:$B$5001,V$198,BD!$A$3:$A$5001,"&gt;="&amp;$C$7,BD!$A$3:$A$5001,"&lt;="&amp;$B220,BD!$S$3:$S$5001,"&lt;&gt;")=0,"",SUMIFS(BD!$S$3:$S$5001,BD!$B$3:$B$5001,V$198,BD!$A$3:$A$5001,_xlfn.MAXIFS(BD!$A$3:$A$5001,BD!$B$3:$B$5001,V$198,BD!$A$3:$A$5001,"&gt;="&amp;$C$7,BD!$A$3:$A$5001,"&lt;="&amp;$B220,BD!$S$3:$S$5001,"&lt;&gt;"))))</f>
        <v/>
      </c>
    </row>
    <row r="221">
      <c r="A221" s="48">
        <v>23</v>
      </c>
      <c r="B221" s="53">
        <f>$B$34</f>
        <v>46318</v>
      </c>
      <c r="C221" s="54" t="str">
        <f>IF(OR($B221="",$A221&gt;$B$9,C$198=""),"",IF(COUNTIFS(BD!$B$3:$B$5001,C$198,BD!$A$3:$A$5001,"&gt;="&amp;$C$7,BD!$A$3:$A$5001,"&lt;="&amp;$B221,BD!$S$3:$S$5001,"&lt;&gt;")=0,"",SUMIFS(BD!$S$3:$S$5001,BD!$B$3:$B$5001,C$198,BD!$A$3:$A$5001,_xlfn.MAXIFS(BD!$A$3:$A$5001,BD!$B$3:$B$5001,C$198,BD!$A$3:$A$5001,"&gt;="&amp;$C$7,BD!$A$3:$A$5001,"&lt;="&amp;$B221,BD!$S$3:$S$5001,"&lt;&gt;"))))</f>
        <v/>
      </c>
      <c r="D221" s="54" t="str">
        <f>IF(OR($B221="",$A221&gt;$B$9,D$198=""),"",IF(COUNTIFS(BD!$B$3:$B$5001,D$198,BD!$A$3:$A$5001,"&gt;="&amp;$C$7,BD!$A$3:$A$5001,"&lt;="&amp;$B221,BD!$S$3:$S$5001,"&lt;&gt;")=0,"",SUMIFS(BD!$S$3:$S$5001,BD!$B$3:$B$5001,D$198,BD!$A$3:$A$5001,_xlfn.MAXIFS(BD!$A$3:$A$5001,BD!$B$3:$B$5001,D$198,BD!$A$3:$A$5001,"&gt;="&amp;$C$7,BD!$A$3:$A$5001,"&lt;="&amp;$B221,BD!$S$3:$S$5001,"&lt;&gt;"))))</f>
        <v/>
      </c>
      <c r="E221" s="54" t="str">
        <f>IF(OR($B221="",$A221&gt;$B$9,E$198=""),"",IF(COUNTIFS(BD!$B$3:$B$5001,E$198,BD!$A$3:$A$5001,"&gt;="&amp;$C$7,BD!$A$3:$A$5001,"&lt;="&amp;$B221,BD!$S$3:$S$5001,"&lt;&gt;")=0,"",SUMIFS(BD!$S$3:$S$5001,BD!$B$3:$B$5001,E$198,BD!$A$3:$A$5001,_xlfn.MAXIFS(BD!$A$3:$A$5001,BD!$B$3:$B$5001,E$198,BD!$A$3:$A$5001,"&gt;="&amp;$C$7,BD!$A$3:$A$5001,"&lt;="&amp;$B221,BD!$S$3:$S$5001,"&lt;&gt;"))))</f>
        <v/>
      </c>
      <c r="F221" s="54" t="str">
        <f>IF(OR($B221="",$A221&gt;$B$9,F$198=""),"",IF(COUNTIFS(BD!$B$3:$B$5001,F$198,BD!$A$3:$A$5001,"&gt;="&amp;$C$7,BD!$A$3:$A$5001,"&lt;="&amp;$B221,BD!$S$3:$S$5001,"&lt;&gt;")=0,"",SUMIFS(BD!$S$3:$S$5001,BD!$B$3:$B$5001,F$198,BD!$A$3:$A$5001,_xlfn.MAXIFS(BD!$A$3:$A$5001,BD!$B$3:$B$5001,F$198,BD!$A$3:$A$5001,"&gt;="&amp;$C$7,BD!$A$3:$A$5001,"&lt;="&amp;$B221,BD!$S$3:$S$5001,"&lt;&gt;"))))</f>
        <v/>
      </c>
      <c r="G221" s="54" t="str">
        <f>IF(OR($B221="",$A221&gt;$B$9,G$198=""),"",IF(COUNTIFS(BD!$B$3:$B$5001,G$198,BD!$A$3:$A$5001,"&gt;="&amp;$C$7,BD!$A$3:$A$5001,"&lt;="&amp;$B221,BD!$S$3:$S$5001,"&lt;&gt;")=0,"",SUMIFS(BD!$S$3:$S$5001,BD!$B$3:$B$5001,G$198,BD!$A$3:$A$5001,_xlfn.MAXIFS(BD!$A$3:$A$5001,BD!$B$3:$B$5001,G$198,BD!$A$3:$A$5001,"&gt;="&amp;$C$7,BD!$A$3:$A$5001,"&lt;="&amp;$B221,BD!$S$3:$S$5001,"&lt;&gt;"))))</f>
        <v/>
      </c>
      <c r="H221" s="54" t="str">
        <f>IF(OR($B221="",$A221&gt;$B$9,H$198=""),"",IF(COUNTIFS(BD!$B$3:$B$5001,H$198,BD!$A$3:$A$5001,"&gt;="&amp;$C$7,BD!$A$3:$A$5001,"&lt;="&amp;$B221,BD!$S$3:$S$5001,"&lt;&gt;")=0,"",SUMIFS(BD!$S$3:$S$5001,BD!$B$3:$B$5001,H$198,BD!$A$3:$A$5001,_xlfn.MAXIFS(BD!$A$3:$A$5001,BD!$B$3:$B$5001,H$198,BD!$A$3:$A$5001,"&gt;="&amp;$C$7,BD!$A$3:$A$5001,"&lt;="&amp;$B221,BD!$S$3:$S$5001,"&lt;&gt;"))))</f>
        <v/>
      </c>
      <c r="I221" s="54" t="str">
        <f>IF(OR($B221="",$A221&gt;$B$9,I$198=""),"",IF(COUNTIFS(BD!$B$3:$B$5001,I$198,BD!$A$3:$A$5001,"&gt;="&amp;$C$7,BD!$A$3:$A$5001,"&lt;="&amp;$B221,BD!$S$3:$S$5001,"&lt;&gt;")=0,"",SUMIFS(BD!$S$3:$S$5001,BD!$B$3:$B$5001,I$198,BD!$A$3:$A$5001,_xlfn.MAXIFS(BD!$A$3:$A$5001,BD!$B$3:$B$5001,I$198,BD!$A$3:$A$5001,"&gt;="&amp;$C$7,BD!$A$3:$A$5001,"&lt;="&amp;$B221,BD!$S$3:$S$5001,"&lt;&gt;"))))</f>
        <v/>
      </c>
      <c r="J221" s="54" t="str">
        <f>IF(OR($B221="",$A221&gt;$B$9,J$198=""),"",IF(COUNTIFS(BD!$B$3:$B$5001,J$198,BD!$A$3:$A$5001,"&gt;="&amp;$C$7,BD!$A$3:$A$5001,"&lt;="&amp;$B221,BD!$S$3:$S$5001,"&lt;&gt;")=0,"",SUMIFS(BD!$S$3:$S$5001,BD!$B$3:$B$5001,J$198,BD!$A$3:$A$5001,_xlfn.MAXIFS(BD!$A$3:$A$5001,BD!$B$3:$B$5001,J$198,BD!$A$3:$A$5001,"&gt;="&amp;$C$7,BD!$A$3:$A$5001,"&lt;="&amp;$B221,BD!$S$3:$S$5001,"&lt;&gt;"))))</f>
        <v/>
      </c>
      <c r="K221" s="54" t="str">
        <f>IF(OR($B221="",$A221&gt;$B$9,K$198=""),"",IF(COUNTIFS(BD!$B$3:$B$5001,K$198,BD!$A$3:$A$5001,"&gt;="&amp;$C$7,BD!$A$3:$A$5001,"&lt;="&amp;$B221,BD!$S$3:$S$5001,"&lt;&gt;")=0,"",SUMIFS(BD!$S$3:$S$5001,BD!$B$3:$B$5001,K$198,BD!$A$3:$A$5001,_xlfn.MAXIFS(BD!$A$3:$A$5001,BD!$B$3:$B$5001,K$198,BD!$A$3:$A$5001,"&gt;="&amp;$C$7,BD!$A$3:$A$5001,"&lt;="&amp;$B221,BD!$S$3:$S$5001,"&lt;&gt;"))))</f>
        <v/>
      </c>
      <c r="L221" s="54" t="str">
        <f>IF(OR($B221="",$A221&gt;$B$9,L$198=""),"",IF(COUNTIFS(BD!$B$3:$B$5001,L$198,BD!$A$3:$A$5001,"&gt;="&amp;$C$7,BD!$A$3:$A$5001,"&lt;="&amp;$B221,BD!$S$3:$S$5001,"&lt;&gt;")=0,"",SUMIFS(BD!$S$3:$S$5001,BD!$B$3:$B$5001,L$198,BD!$A$3:$A$5001,_xlfn.MAXIFS(BD!$A$3:$A$5001,BD!$B$3:$B$5001,L$198,BD!$A$3:$A$5001,"&gt;="&amp;$C$7,BD!$A$3:$A$5001,"&lt;="&amp;$B221,BD!$S$3:$S$5001,"&lt;&gt;"))))</f>
        <v/>
      </c>
      <c r="M221" s="54" t="str">
        <f>IF(OR($B221="",$A221&gt;$B$9,M$198=""),"",IF(COUNTIFS(BD!$B$3:$B$5001,M$198,BD!$A$3:$A$5001,"&gt;="&amp;$C$7,BD!$A$3:$A$5001,"&lt;="&amp;$B221,BD!$S$3:$S$5001,"&lt;&gt;")=0,"",SUMIFS(BD!$S$3:$S$5001,BD!$B$3:$B$5001,M$198,BD!$A$3:$A$5001,_xlfn.MAXIFS(BD!$A$3:$A$5001,BD!$B$3:$B$5001,M$198,BD!$A$3:$A$5001,"&gt;="&amp;$C$7,BD!$A$3:$A$5001,"&lt;="&amp;$B221,BD!$S$3:$S$5001,"&lt;&gt;"))))</f>
        <v/>
      </c>
      <c r="N221" s="54" t="str">
        <f>IF(OR($B221="",$A221&gt;$B$9,N$198=""),"",IF(COUNTIFS(BD!$B$3:$B$5001,N$198,BD!$A$3:$A$5001,"&gt;="&amp;$C$7,BD!$A$3:$A$5001,"&lt;="&amp;$B221,BD!$S$3:$S$5001,"&lt;&gt;")=0,"",SUMIFS(BD!$S$3:$S$5001,BD!$B$3:$B$5001,N$198,BD!$A$3:$A$5001,_xlfn.MAXIFS(BD!$A$3:$A$5001,BD!$B$3:$B$5001,N$198,BD!$A$3:$A$5001,"&gt;="&amp;$C$7,BD!$A$3:$A$5001,"&lt;="&amp;$B221,BD!$S$3:$S$5001,"&lt;&gt;"))))</f>
        <v/>
      </c>
      <c r="O221" s="54" t="str">
        <f>IF(OR($B221="",$A221&gt;$B$9,O$198=""),"",IF(COUNTIFS(BD!$B$3:$B$5001,O$198,BD!$A$3:$A$5001,"&gt;="&amp;$C$7,BD!$A$3:$A$5001,"&lt;="&amp;$B221,BD!$S$3:$S$5001,"&lt;&gt;")=0,"",SUMIFS(BD!$S$3:$S$5001,BD!$B$3:$B$5001,O$198,BD!$A$3:$A$5001,_xlfn.MAXIFS(BD!$A$3:$A$5001,BD!$B$3:$B$5001,O$198,BD!$A$3:$A$5001,"&gt;="&amp;$C$7,BD!$A$3:$A$5001,"&lt;="&amp;$B221,BD!$S$3:$S$5001,"&lt;&gt;"))))</f>
        <v/>
      </c>
      <c r="P221" s="54" t="str">
        <f>IF(OR($B221="",$A221&gt;$B$9,P$198=""),"",IF(COUNTIFS(BD!$B$3:$B$5001,P$198,BD!$A$3:$A$5001,"&gt;="&amp;$C$7,BD!$A$3:$A$5001,"&lt;="&amp;$B221,BD!$S$3:$S$5001,"&lt;&gt;")=0,"",SUMIFS(BD!$S$3:$S$5001,BD!$B$3:$B$5001,P$198,BD!$A$3:$A$5001,_xlfn.MAXIFS(BD!$A$3:$A$5001,BD!$B$3:$B$5001,P$198,BD!$A$3:$A$5001,"&gt;="&amp;$C$7,BD!$A$3:$A$5001,"&lt;="&amp;$B221,BD!$S$3:$S$5001,"&lt;&gt;"))))</f>
        <v/>
      </c>
      <c r="Q221" s="54" t="str">
        <f>IF(OR($B221="",$A221&gt;$B$9,Q$198=""),"",IF(COUNTIFS(BD!$B$3:$B$5001,Q$198,BD!$A$3:$A$5001,"&gt;="&amp;$C$7,BD!$A$3:$A$5001,"&lt;="&amp;$B221,BD!$S$3:$S$5001,"&lt;&gt;")=0,"",SUMIFS(BD!$S$3:$S$5001,BD!$B$3:$B$5001,Q$198,BD!$A$3:$A$5001,_xlfn.MAXIFS(BD!$A$3:$A$5001,BD!$B$3:$B$5001,Q$198,BD!$A$3:$A$5001,"&gt;="&amp;$C$7,BD!$A$3:$A$5001,"&lt;="&amp;$B221,BD!$S$3:$S$5001,"&lt;&gt;"))))</f>
        <v/>
      </c>
      <c r="R221" s="54" t="str">
        <f>IF(OR($B221="",$A221&gt;$B$9,R$198=""),"",IF(COUNTIFS(BD!$B$3:$B$5001,R$198,BD!$A$3:$A$5001,"&gt;="&amp;$C$7,BD!$A$3:$A$5001,"&lt;="&amp;$B221,BD!$S$3:$S$5001,"&lt;&gt;")=0,"",SUMIFS(BD!$S$3:$S$5001,BD!$B$3:$B$5001,R$198,BD!$A$3:$A$5001,_xlfn.MAXIFS(BD!$A$3:$A$5001,BD!$B$3:$B$5001,R$198,BD!$A$3:$A$5001,"&gt;="&amp;$C$7,BD!$A$3:$A$5001,"&lt;="&amp;$B221,BD!$S$3:$S$5001,"&lt;&gt;"))))</f>
        <v/>
      </c>
      <c r="S221" s="54" t="str">
        <f>IF(OR($B221="",$A221&gt;$B$9,S$198=""),"",IF(COUNTIFS(BD!$B$3:$B$5001,S$198,BD!$A$3:$A$5001,"&gt;="&amp;$C$7,BD!$A$3:$A$5001,"&lt;="&amp;$B221,BD!$S$3:$S$5001,"&lt;&gt;")=0,"",SUMIFS(BD!$S$3:$S$5001,BD!$B$3:$B$5001,S$198,BD!$A$3:$A$5001,_xlfn.MAXIFS(BD!$A$3:$A$5001,BD!$B$3:$B$5001,S$198,BD!$A$3:$A$5001,"&gt;="&amp;$C$7,BD!$A$3:$A$5001,"&lt;="&amp;$B221,BD!$S$3:$S$5001,"&lt;&gt;"))))</f>
        <v/>
      </c>
      <c r="T221" s="54" t="str">
        <f>IF(OR($B221="",$A221&gt;$B$9,T$198=""),"",IF(COUNTIFS(BD!$B$3:$B$5001,T$198,BD!$A$3:$A$5001,"&gt;="&amp;$C$7,BD!$A$3:$A$5001,"&lt;="&amp;$B221,BD!$S$3:$S$5001,"&lt;&gt;")=0,"",SUMIFS(BD!$S$3:$S$5001,BD!$B$3:$B$5001,T$198,BD!$A$3:$A$5001,_xlfn.MAXIFS(BD!$A$3:$A$5001,BD!$B$3:$B$5001,T$198,BD!$A$3:$A$5001,"&gt;="&amp;$C$7,BD!$A$3:$A$5001,"&lt;="&amp;$B221,BD!$S$3:$S$5001,"&lt;&gt;"))))</f>
        <v/>
      </c>
      <c r="U221" s="54" t="str">
        <f>IF(OR($B221="",$A221&gt;$B$9,U$198=""),"",IF(COUNTIFS(BD!$B$3:$B$5001,U$198,BD!$A$3:$A$5001,"&gt;="&amp;$C$7,BD!$A$3:$A$5001,"&lt;="&amp;$B221,BD!$S$3:$S$5001,"&lt;&gt;")=0,"",SUMIFS(BD!$S$3:$S$5001,BD!$B$3:$B$5001,U$198,BD!$A$3:$A$5001,_xlfn.MAXIFS(BD!$A$3:$A$5001,BD!$B$3:$B$5001,U$198,BD!$A$3:$A$5001,"&gt;="&amp;$C$7,BD!$A$3:$A$5001,"&lt;="&amp;$B221,BD!$S$3:$S$5001,"&lt;&gt;"))))</f>
        <v/>
      </c>
      <c r="V221" s="54" t="str">
        <f>IF(OR($B221="",$A221&gt;$B$9,V$198=""),"",IF(COUNTIFS(BD!$B$3:$B$5001,V$198,BD!$A$3:$A$5001,"&gt;="&amp;$C$7,BD!$A$3:$A$5001,"&lt;="&amp;$B221,BD!$S$3:$S$5001,"&lt;&gt;")=0,"",SUMIFS(BD!$S$3:$S$5001,BD!$B$3:$B$5001,V$198,BD!$A$3:$A$5001,_xlfn.MAXIFS(BD!$A$3:$A$5001,BD!$B$3:$B$5001,V$198,BD!$A$3:$A$5001,"&gt;="&amp;$C$7,BD!$A$3:$A$5001,"&lt;="&amp;$B221,BD!$S$3:$S$5001,"&lt;&gt;"))))</f>
        <v/>
      </c>
    </row>
    <row r="222">
      <c r="A222" s="48">
        <v>24</v>
      </c>
      <c r="B222" s="53">
        <f>$B$35</f>
        <v>46319</v>
      </c>
      <c r="C222" s="54" t="str">
        <f>IF(OR($B222="",$A222&gt;$B$9,C$198=""),"",IF(COUNTIFS(BD!$B$3:$B$5001,C$198,BD!$A$3:$A$5001,"&gt;="&amp;$C$7,BD!$A$3:$A$5001,"&lt;="&amp;$B222,BD!$S$3:$S$5001,"&lt;&gt;")=0,"",SUMIFS(BD!$S$3:$S$5001,BD!$B$3:$B$5001,C$198,BD!$A$3:$A$5001,_xlfn.MAXIFS(BD!$A$3:$A$5001,BD!$B$3:$B$5001,C$198,BD!$A$3:$A$5001,"&gt;="&amp;$C$7,BD!$A$3:$A$5001,"&lt;="&amp;$B222,BD!$S$3:$S$5001,"&lt;&gt;"))))</f>
        <v/>
      </c>
      <c r="D222" s="54" t="str">
        <f>IF(OR($B222="",$A222&gt;$B$9,D$198=""),"",IF(COUNTIFS(BD!$B$3:$B$5001,D$198,BD!$A$3:$A$5001,"&gt;="&amp;$C$7,BD!$A$3:$A$5001,"&lt;="&amp;$B222,BD!$S$3:$S$5001,"&lt;&gt;")=0,"",SUMIFS(BD!$S$3:$S$5001,BD!$B$3:$B$5001,D$198,BD!$A$3:$A$5001,_xlfn.MAXIFS(BD!$A$3:$A$5001,BD!$B$3:$B$5001,D$198,BD!$A$3:$A$5001,"&gt;="&amp;$C$7,BD!$A$3:$A$5001,"&lt;="&amp;$B222,BD!$S$3:$S$5001,"&lt;&gt;"))))</f>
        <v/>
      </c>
      <c r="E222" s="54" t="str">
        <f>IF(OR($B222="",$A222&gt;$B$9,E$198=""),"",IF(COUNTIFS(BD!$B$3:$B$5001,E$198,BD!$A$3:$A$5001,"&gt;="&amp;$C$7,BD!$A$3:$A$5001,"&lt;="&amp;$B222,BD!$S$3:$S$5001,"&lt;&gt;")=0,"",SUMIFS(BD!$S$3:$S$5001,BD!$B$3:$B$5001,E$198,BD!$A$3:$A$5001,_xlfn.MAXIFS(BD!$A$3:$A$5001,BD!$B$3:$B$5001,E$198,BD!$A$3:$A$5001,"&gt;="&amp;$C$7,BD!$A$3:$A$5001,"&lt;="&amp;$B222,BD!$S$3:$S$5001,"&lt;&gt;"))))</f>
        <v/>
      </c>
      <c r="F222" s="54" t="str">
        <f>IF(OR($B222="",$A222&gt;$B$9,F$198=""),"",IF(COUNTIFS(BD!$B$3:$B$5001,F$198,BD!$A$3:$A$5001,"&gt;="&amp;$C$7,BD!$A$3:$A$5001,"&lt;="&amp;$B222,BD!$S$3:$S$5001,"&lt;&gt;")=0,"",SUMIFS(BD!$S$3:$S$5001,BD!$B$3:$B$5001,F$198,BD!$A$3:$A$5001,_xlfn.MAXIFS(BD!$A$3:$A$5001,BD!$B$3:$B$5001,F$198,BD!$A$3:$A$5001,"&gt;="&amp;$C$7,BD!$A$3:$A$5001,"&lt;="&amp;$B222,BD!$S$3:$S$5001,"&lt;&gt;"))))</f>
        <v/>
      </c>
      <c r="G222" s="54" t="str">
        <f>IF(OR($B222="",$A222&gt;$B$9,G$198=""),"",IF(COUNTIFS(BD!$B$3:$B$5001,G$198,BD!$A$3:$A$5001,"&gt;="&amp;$C$7,BD!$A$3:$A$5001,"&lt;="&amp;$B222,BD!$S$3:$S$5001,"&lt;&gt;")=0,"",SUMIFS(BD!$S$3:$S$5001,BD!$B$3:$B$5001,G$198,BD!$A$3:$A$5001,_xlfn.MAXIFS(BD!$A$3:$A$5001,BD!$B$3:$B$5001,G$198,BD!$A$3:$A$5001,"&gt;="&amp;$C$7,BD!$A$3:$A$5001,"&lt;="&amp;$B222,BD!$S$3:$S$5001,"&lt;&gt;"))))</f>
        <v/>
      </c>
      <c r="H222" s="54" t="str">
        <f>IF(OR($B222="",$A222&gt;$B$9,H$198=""),"",IF(COUNTIFS(BD!$B$3:$B$5001,H$198,BD!$A$3:$A$5001,"&gt;="&amp;$C$7,BD!$A$3:$A$5001,"&lt;="&amp;$B222,BD!$S$3:$S$5001,"&lt;&gt;")=0,"",SUMIFS(BD!$S$3:$S$5001,BD!$B$3:$B$5001,H$198,BD!$A$3:$A$5001,_xlfn.MAXIFS(BD!$A$3:$A$5001,BD!$B$3:$B$5001,H$198,BD!$A$3:$A$5001,"&gt;="&amp;$C$7,BD!$A$3:$A$5001,"&lt;="&amp;$B222,BD!$S$3:$S$5001,"&lt;&gt;"))))</f>
        <v/>
      </c>
      <c r="I222" s="54" t="str">
        <f>IF(OR($B222="",$A222&gt;$B$9,I$198=""),"",IF(COUNTIFS(BD!$B$3:$B$5001,I$198,BD!$A$3:$A$5001,"&gt;="&amp;$C$7,BD!$A$3:$A$5001,"&lt;="&amp;$B222,BD!$S$3:$S$5001,"&lt;&gt;")=0,"",SUMIFS(BD!$S$3:$S$5001,BD!$B$3:$B$5001,I$198,BD!$A$3:$A$5001,_xlfn.MAXIFS(BD!$A$3:$A$5001,BD!$B$3:$B$5001,I$198,BD!$A$3:$A$5001,"&gt;="&amp;$C$7,BD!$A$3:$A$5001,"&lt;="&amp;$B222,BD!$S$3:$S$5001,"&lt;&gt;"))))</f>
        <v/>
      </c>
      <c r="J222" s="54" t="str">
        <f>IF(OR($B222="",$A222&gt;$B$9,J$198=""),"",IF(COUNTIFS(BD!$B$3:$B$5001,J$198,BD!$A$3:$A$5001,"&gt;="&amp;$C$7,BD!$A$3:$A$5001,"&lt;="&amp;$B222,BD!$S$3:$S$5001,"&lt;&gt;")=0,"",SUMIFS(BD!$S$3:$S$5001,BD!$B$3:$B$5001,J$198,BD!$A$3:$A$5001,_xlfn.MAXIFS(BD!$A$3:$A$5001,BD!$B$3:$B$5001,J$198,BD!$A$3:$A$5001,"&gt;="&amp;$C$7,BD!$A$3:$A$5001,"&lt;="&amp;$B222,BD!$S$3:$S$5001,"&lt;&gt;"))))</f>
        <v/>
      </c>
      <c r="K222" s="54" t="str">
        <f>IF(OR($B222="",$A222&gt;$B$9,K$198=""),"",IF(COUNTIFS(BD!$B$3:$B$5001,K$198,BD!$A$3:$A$5001,"&gt;="&amp;$C$7,BD!$A$3:$A$5001,"&lt;="&amp;$B222,BD!$S$3:$S$5001,"&lt;&gt;")=0,"",SUMIFS(BD!$S$3:$S$5001,BD!$B$3:$B$5001,K$198,BD!$A$3:$A$5001,_xlfn.MAXIFS(BD!$A$3:$A$5001,BD!$B$3:$B$5001,K$198,BD!$A$3:$A$5001,"&gt;="&amp;$C$7,BD!$A$3:$A$5001,"&lt;="&amp;$B222,BD!$S$3:$S$5001,"&lt;&gt;"))))</f>
        <v/>
      </c>
      <c r="L222" s="54" t="str">
        <f>IF(OR($B222="",$A222&gt;$B$9,L$198=""),"",IF(COUNTIFS(BD!$B$3:$B$5001,L$198,BD!$A$3:$A$5001,"&gt;="&amp;$C$7,BD!$A$3:$A$5001,"&lt;="&amp;$B222,BD!$S$3:$S$5001,"&lt;&gt;")=0,"",SUMIFS(BD!$S$3:$S$5001,BD!$B$3:$B$5001,L$198,BD!$A$3:$A$5001,_xlfn.MAXIFS(BD!$A$3:$A$5001,BD!$B$3:$B$5001,L$198,BD!$A$3:$A$5001,"&gt;="&amp;$C$7,BD!$A$3:$A$5001,"&lt;="&amp;$B222,BD!$S$3:$S$5001,"&lt;&gt;"))))</f>
        <v/>
      </c>
      <c r="M222" s="54" t="str">
        <f>IF(OR($B222="",$A222&gt;$B$9,M$198=""),"",IF(COUNTIFS(BD!$B$3:$B$5001,M$198,BD!$A$3:$A$5001,"&gt;="&amp;$C$7,BD!$A$3:$A$5001,"&lt;="&amp;$B222,BD!$S$3:$S$5001,"&lt;&gt;")=0,"",SUMIFS(BD!$S$3:$S$5001,BD!$B$3:$B$5001,M$198,BD!$A$3:$A$5001,_xlfn.MAXIFS(BD!$A$3:$A$5001,BD!$B$3:$B$5001,M$198,BD!$A$3:$A$5001,"&gt;="&amp;$C$7,BD!$A$3:$A$5001,"&lt;="&amp;$B222,BD!$S$3:$S$5001,"&lt;&gt;"))))</f>
        <v/>
      </c>
      <c r="N222" s="54" t="str">
        <f>IF(OR($B222="",$A222&gt;$B$9,N$198=""),"",IF(COUNTIFS(BD!$B$3:$B$5001,N$198,BD!$A$3:$A$5001,"&gt;="&amp;$C$7,BD!$A$3:$A$5001,"&lt;="&amp;$B222,BD!$S$3:$S$5001,"&lt;&gt;")=0,"",SUMIFS(BD!$S$3:$S$5001,BD!$B$3:$B$5001,N$198,BD!$A$3:$A$5001,_xlfn.MAXIFS(BD!$A$3:$A$5001,BD!$B$3:$B$5001,N$198,BD!$A$3:$A$5001,"&gt;="&amp;$C$7,BD!$A$3:$A$5001,"&lt;="&amp;$B222,BD!$S$3:$S$5001,"&lt;&gt;"))))</f>
        <v/>
      </c>
      <c r="O222" s="54" t="str">
        <f>IF(OR($B222="",$A222&gt;$B$9,O$198=""),"",IF(COUNTIFS(BD!$B$3:$B$5001,O$198,BD!$A$3:$A$5001,"&gt;="&amp;$C$7,BD!$A$3:$A$5001,"&lt;="&amp;$B222,BD!$S$3:$S$5001,"&lt;&gt;")=0,"",SUMIFS(BD!$S$3:$S$5001,BD!$B$3:$B$5001,O$198,BD!$A$3:$A$5001,_xlfn.MAXIFS(BD!$A$3:$A$5001,BD!$B$3:$B$5001,O$198,BD!$A$3:$A$5001,"&gt;="&amp;$C$7,BD!$A$3:$A$5001,"&lt;="&amp;$B222,BD!$S$3:$S$5001,"&lt;&gt;"))))</f>
        <v/>
      </c>
      <c r="P222" s="54" t="str">
        <f>IF(OR($B222="",$A222&gt;$B$9,P$198=""),"",IF(COUNTIFS(BD!$B$3:$B$5001,P$198,BD!$A$3:$A$5001,"&gt;="&amp;$C$7,BD!$A$3:$A$5001,"&lt;="&amp;$B222,BD!$S$3:$S$5001,"&lt;&gt;")=0,"",SUMIFS(BD!$S$3:$S$5001,BD!$B$3:$B$5001,P$198,BD!$A$3:$A$5001,_xlfn.MAXIFS(BD!$A$3:$A$5001,BD!$B$3:$B$5001,P$198,BD!$A$3:$A$5001,"&gt;="&amp;$C$7,BD!$A$3:$A$5001,"&lt;="&amp;$B222,BD!$S$3:$S$5001,"&lt;&gt;"))))</f>
        <v/>
      </c>
      <c r="Q222" s="54" t="str">
        <f>IF(OR($B222="",$A222&gt;$B$9,Q$198=""),"",IF(COUNTIFS(BD!$B$3:$B$5001,Q$198,BD!$A$3:$A$5001,"&gt;="&amp;$C$7,BD!$A$3:$A$5001,"&lt;="&amp;$B222,BD!$S$3:$S$5001,"&lt;&gt;")=0,"",SUMIFS(BD!$S$3:$S$5001,BD!$B$3:$B$5001,Q$198,BD!$A$3:$A$5001,_xlfn.MAXIFS(BD!$A$3:$A$5001,BD!$B$3:$B$5001,Q$198,BD!$A$3:$A$5001,"&gt;="&amp;$C$7,BD!$A$3:$A$5001,"&lt;="&amp;$B222,BD!$S$3:$S$5001,"&lt;&gt;"))))</f>
        <v/>
      </c>
      <c r="R222" s="54" t="str">
        <f>IF(OR($B222="",$A222&gt;$B$9,R$198=""),"",IF(COUNTIFS(BD!$B$3:$B$5001,R$198,BD!$A$3:$A$5001,"&gt;="&amp;$C$7,BD!$A$3:$A$5001,"&lt;="&amp;$B222,BD!$S$3:$S$5001,"&lt;&gt;")=0,"",SUMIFS(BD!$S$3:$S$5001,BD!$B$3:$B$5001,R$198,BD!$A$3:$A$5001,_xlfn.MAXIFS(BD!$A$3:$A$5001,BD!$B$3:$B$5001,R$198,BD!$A$3:$A$5001,"&gt;="&amp;$C$7,BD!$A$3:$A$5001,"&lt;="&amp;$B222,BD!$S$3:$S$5001,"&lt;&gt;"))))</f>
        <v/>
      </c>
      <c r="S222" s="54" t="str">
        <f>IF(OR($B222="",$A222&gt;$B$9,S$198=""),"",IF(COUNTIFS(BD!$B$3:$B$5001,S$198,BD!$A$3:$A$5001,"&gt;="&amp;$C$7,BD!$A$3:$A$5001,"&lt;="&amp;$B222,BD!$S$3:$S$5001,"&lt;&gt;")=0,"",SUMIFS(BD!$S$3:$S$5001,BD!$B$3:$B$5001,S$198,BD!$A$3:$A$5001,_xlfn.MAXIFS(BD!$A$3:$A$5001,BD!$B$3:$B$5001,S$198,BD!$A$3:$A$5001,"&gt;="&amp;$C$7,BD!$A$3:$A$5001,"&lt;="&amp;$B222,BD!$S$3:$S$5001,"&lt;&gt;"))))</f>
        <v/>
      </c>
      <c r="T222" s="54" t="str">
        <f>IF(OR($B222="",$A222&gt;$B$9,T$198=""),"",IF(COUNTIFS(BD!$B$3:$B$5001,T$198,BD!$A$3:$A$5001,"&gt;="&amp;$C$7,BD!$A$3:$A$5001,"&lt;="&amp;$B222,BD!$S$3:$S$5001,"&lt;&gt;")=0,"",SUMIFS(BD!$S$3:$S$5001,BD!$B$3:$B$5001,T$198,BD!$A$3:$A$5001,_xlfn.MAXIFS(BD!$A$3:$A$5001,BD!$B$3:$B$5001,T$198,BD!$A$3:$A$5001,"&gt;="&amp;$C$7,BD!$A$3:$A$5001,"&lt;="&amp;$B222,BD!$S$3:$S$5001,"&lt;&gt;"))))</f>
        <v/>
      </c>
      <c r="U222" s="54" t="str">
        <f>IF(OR($B222="",$A222&gt;$B$9,U$198=""),"",IF(COUNTIFS(BD!$B$3:$B$5001,U$198,BD!$A$3:$A$5001,"&gt;="&amp;$C$7,BD!$A$3:$A$5001,"&lt;="&amp;$B222,BD!$S$3:$S$5001,"&lt;&gt;")=0,"",SUMIFS(BD!$S$3:$S$5001,BD!$B$3:$B$5001,U$198,BD!$A$3:$A$5001,_xlfn.MAXIFS(BD!$A$3:$A$5001,BD!$B$3:$B$5001,U$198,BD!$A$3:$A$5001,"&gt;="&amp;$C$7,BD!$A$3:$A$5001,"&lt;="&amp;$B222,BD!$S$3:$S$5001,"&lt;&gt;"))))</f>
        <v/>
      </c>
      <c r="V222" s="54" t="str">
        <f>IF(OR($B222="",$A222&gt;$B$9,V$198=""),"",IF(COUNTIFS(BD!$B$3:$B$5001,V$198,BD!$A$3:$A$5001,"&gt;="&amp;$C$7,BD!$A$3:$A$5001,"&lt;="&amp;$B222,BD!$S$3:$S$5001,"&lt;&gt;")=0,"",SUMIFS(BD!$S$3:$S$5001,BD!$B$3:$B$5001,V$198,BD!$A$3:$A$5001,_xlfn.MAXIFS(BD!$A$3:$A$5001,BD!$B$3:$B$5001,V$198,BD!$A$3:$A$5001,"&gt;="&amp;$C$7,BD!$A$3:$A$5001,"&lt;="&amp;$B222,BD!$S$3:$S$5001,"&lt;&gt;"))))</f>
        <v/>
      </c>
    </row>
    <row r="223">
      <c r="A223" s="48">
        <v>25</v>
      </c>
      <c r="B223" s="53">
        <f>$B$36</f>
        <v>46320</v>
      </c>
      <c r="C223" s="54" t="str">
        <f>IF(OR($B223="",$A223&gt;$B$9,C$198=""),"",IF(COUNTIFS(BD!$B$3:$B$5001,C$198,BD!$A$3:$A$5001,"&gt;="&amp;$C$7,BD!$A$3:$A$5001,"&lt;="&amp;$B223,BD!$S$3:$S$5001,"&lt;&gt;")=0,"",SUMIFS(BD!$S$3:$S$5001,BD!$B$3:$B$5001,C$198,BD!$A$3:$A$5001,_xlfn.MAXIFS(BD!$A$3:$A$5001,BD!$B$3:$B$5001,C$198,BD!$A$3:$A$5001,"&gt;="&amp;$C$7,BD!$A$3:$A$5001,"&lt;="&amp;$B223,BD!$S$3:$S$5001,"&lt;&gt;"))))</f>
        <v/>
      </c>
      <c r="D223" s="54" t="str">
        <f>IF(OR($B223="",$A223&gt;$B$9,D$198=""),"",IF(COUNTIFS(BD!$B$3:$B$5001,D$198,BD!$A$3:$A$5001,"&gt;="&amp;$C$7,BD!$A$3:$A$5001,"&lt;="&amp;$B223,BD!$S$3:$S$5001,"&lt;&gt;")=0,"",SUMIFS(BD!$S$3:$S$5001,BD!$B$3:$B$5001,D$198,BD!$A$3:$A$5001,_xlfn.MAXIFS(BD!$A$3:$A$5001,BD!$B$3:$B$5001,D$198,BD!$A$3:$A$5001,"&gt;="&amp;$C$7,BD!$A$3:$A$5001,"&lt;="&amp;$B223,BD!$S$3:$S$5001,"&lt;&gt;"))))</f>
        <v/>
      </c>
      <c r="E223" s="54" t="str">
        <f>IF(OR($B223="",$A223&gt;$B$9,E$198=""),"",IF(COUNTIFS(BD!$B$3:$B$5001,E$198,BD!$A$3:$A$5001,"&gt;="&amp;$C$7,BD!$A$3:$A$5001,"&lt;="&amp;$B223,BD!$S$3:$S$5001,"&lt;&gt;")=0,"",SUMIFS(BD!$S$3:$S$5001,BD!$B$3:$B$5001,E$198,BD!$A$3:$A$5001,_xlfn.MAXIFS(BD!$A$3:$A$5001,BD!$B$3:$B$5001,E$198,BD!$A$3:$A$5001,"&gt;="&amp;$C$7,BD!$A$3:$A$5001,"&lt;="&amp;$B223,BD!$S$3:$S$5001,"&lt;&gt;"))))</f>
        <v/>
      </c>
      <c r="F223" s="54" t="str">
        <f>IF(OR($B223="",$A223&gt;$B$9,F$198=""),"",IF(COUNTIFS(BD!$B$3:$B$5001,F$198,BD!$A$3:$A$5001,"&gt;="&amp;$C$7,BD!$A$3:$A$5001,"&lt;="&amp;$B223,BD!$S$3:$S$5001,"&lt;&gt;")=0,"",SUMIFS(BD!$S$3:$S$5001,BD!$B$3:$B$5001,F$198,BD!$A$3:$A$5001,_xlfn.MAXIFS(BD!$A$3:$A$5001,BD!$B$3:$B$5001,F$198,BD!$A$3:$A$5001,"&gt;="&amp;$C$7,BD!$A$3:$A$5001,"&lt;="&amp;$B223,BD!$S$3:$S$5001,"&lt;&gt;"))))</f>
        <v/>
      </c>
      <c r="G223" s="54" t="str">
        <f>IF(OR($B223="",$A223&gt;$B$9,G$198=""),"",IF(COUNTIFS(BD!$B$3:$B$5001,G$198,BD!$A$3:$A$5001,"&gt;="&amp;$C$7,BD!$A$3:$A$5001,"&lt;="&amp;$B223,BD!$S$3:$S$5001,"&lt;&gt;")=0,"",SUMIFS(BD!$S$3:$S$5001,BD!$B$3:$B$5001,G$198,BD!$A$3:$A$5001,_xlfn.MAXIFS(BD!$A$3:$A$5001,BD!$B$3:$B$5001,G$198,BD!$A$3:$A$5001,"&gt;="&amp;$C$7,BD!$A$3:$A$5001,"&lt;="&amp;$B223,BD!$S$3:$S$5001,"&lt;&gt;"))))</f>
        <v/>
      </c>
      <c r="H223" s="54" t="str">
        <f>IF(OR($B223="",$A223&gt;$B$9,H$198=""),"",IF(COUNTIFS(BD!$B$3:$B$5001,H$198,BD!$A$3:$A$5001,"&gt;="&amp;$C$7,BD!$A$3:$A$5001,"&lt;="&amp;$B223,BD!$S$3:$S$5001,"&lt;&gt;")=0,"",SUMIFS(BD!$S$3:$S$5001,BD!$B$3:$B$5001,H$198,BD!$A$3:$A$5001,_xlfn.MAXIFS(BD!$A$3:$A$5001,BD!$B$3:$B$5001,H$198,BD!$A$3:$A$5001,"&gt;="&amp;$C$7,BD!$A$3:$A$5001,"&lt;="&amp;$B223,BD!$S$3:$S$5001,"&lt;&gt;"))))</f>
        <v/>
      </c>
      <c r="I223" s="54" t="str">
        <f>IF(OR($B223="",$A223&gt;$B$9,I$198=""),"",IF(COUNTIFS(BD!$B$3:$B$5001,I$198,BD!$A$3:$A$5001,"&gt;="&amp;$C$7,BD!$A$3:$A$5001,"&lt;="&amp;$B223,BD!$S$3:$S$5001,"&lt;&gt;")=0,"",SUMIFS(BD!$S$3:$S$5001,BD!$B$3:$B$5001,I$198,BD!$A$3:$A$5001,_xlfn.MAXIFS(BD!$A$3:$A$5001,BD!$B$3:$B$5001,I$198,BD!$A$3:$A$5001,"&gt;="&amp;$C$7,BD!$A$3:$A$5001,"&lt;="&amp;$B223,BD!$S$3:$S$5001,"&lt;&gt;"))))</f>
        <v/>
      </c>
      <c r="J223" s="54" t="str">
        <f>IF(OR($B223="",$A223&gt;$B$9,J$198=""),"",IF(COUNTIFS(BD!$B$3:$B$5001,J$198,BD!$A$3:$A$5001,"&gt;="&amp;$C$7,BD!$A$3:$A$5001,"&lt;="&amp;$B223,BD!$S$3:$S$5001,"&lt;&gt;")=0,"",SUMIFS(BD!$S$3:$S$5001,BD!$B$3:$B$5001,J$198,BD!$A$3:$A$5001,_xlfn.MAXIFS(BD!$A$3:$A$5001,BD!$B$3:$B$5001,J$198,BD!$A$3:$A$5001,"&gt;="&amp;$C$7,BD!$A$3:$A$5001,"&lt;="&amp;$B223,BD!$S$3:$S$5001,"&lt;&gt;"))))</f>
        <v/>
      </c>
      <c r="K223" s="54" t="str">
        <f>IF(OR($B223="",$A223&gt;$B$9,K$198=""),"",IF(COUNTIFS(BD!$B$3:$B$5001,K$198,BD!$A$3:$A$5001,"&gt;="&amp;$C$7,BD!$A$3:$A$5001,"&lt;="&amp;$B223,BD!$S$3:$S$5001,"&lt;&gt;")=0,"",SUMIFS(BD!$S$3:$S$5001,BD!$B$3:$B$5001,K$198,BD!$A$3:$A$5001,_xlfn.MAXIFS(BD!$A$3:$A$5001,BD!$B$3:$B$5001,K$198,BD!$A$3:$A$5001,"&gt;="&amp;$C$7,BD!$A$3:$A$5001,"&lt;="&amp;$B223,BD!$S$3:$S$5001,"&lt;&gt;"))))</f>
        <v/>
      </c>
      <c r="L223" s="54" t="str">
        <f>IF(OR($B223="",$A223&gt;$B$9,L$198=""),"",IF(COUNTIFS(BD!$B$3:$B$5001,L$198,BD!$A$3:$A$5001,"&gt;="&amp;$C$7,BD!$A$3:$A$5001,"&lt;="&amp;$B223,BD!$S$3:$S$5001,"&lt;&gt;")=0,"",SUMIFS(BD!$S$3:$S$5001,BD!$B$3:$B$5001,L$198,BD!$A$3:$A$5001,_xlfn.MAXIFS(BD!$A$3:$A$5001,BD!$B$3:$B$5001,L$198,BD!$A$3:$A$5001,"&gt;="&amp;$C$7,BD!$A$3:$A$5001,"&lt;="&amp;$B223,BD!$S$3:$S$5001,"&lt;&gt;"))))</f>
        <v/>
      </c>
      <c r="M223" s="54" t="str">
        <f>IF(OR($B223="",$A223&gt;$B$9,M$198=""),"",IF(COUNTIFS(BD!$B$3:$B$5001,M$198,BD!$A$3:$A$5001,"&gt;="&amp;$C$7,BD!$A$3:$A$5001,"&lt;="&amp;$B223,BD!$S$3:$S$5001,"&lt;&gt;")=0,"",SUMIFS(BD!$S$3:$S$5001,BD!$B$3:$B$5001,M$198,BD!$A$3:$A$5001,_xlfn.MAXIFS(BD!$A$3:$A$5001,BD!$B$3:$B$5001,M$198,BD!$A$3:$A$5001,"&gt;="&amp;$C$7,BD!$A$3:$A$5001,"&lt;="&amp;$B223,BD!$S$3:$S$5001,"&lt;&gt;"))))</f>
        <v/>
      </c>
      <c r="N223" s="54" t="str">
        <f>IF(OR($B223="",$A223&gt;$B$9,N$198=""),"",IF(COUNTIFS(BD!$B$3:$B$5001,N$198,BD!$A$3:$A$5001,"&gt;="&amp;$C$7,BD!$A$3:$A$5001,"&lt;="&amp;$B223,BD!$S$3:$S$5001,"&lt;&gt;")=0,"",SUMIFS(BD!$S$3:$S$5001,BD!$B$3:$B$5001,N$198,BD!$A$3:$A$5001,_xlfn.MAXIFS(BD!$A$3:$A$5001,BD!$B$3:$B$5001,N$198,BD!$A$3:$A$5001,"&gt;="&amp;$C$7,BD!$A$3:$A$5001,"&lt;="&amp;$B223,BD!$S$3:$S$5001,"&lt;&gt;"))))</f>
        <v/>
      </c>
      <c r="O223" s="54" t="str">
        <f>IF(OR($B223="",$A223&gt;$B$9,O$198=""),"",IF(COUNTIFS(BD!$B$3:$B$5001,O$198,BD!$A$3:$A$5001,"&gt;="&amp;$C$7,BD!$A$3:$A$5001,"&lt;="&amp;$B223,BD!$S$3:$S$5001,"&lt;&gt;")=0,"",SUMIFS(BD!$S$3:$S$5001,BD!$B$3:$B$5001,O$198,BD!$A$3:$A$5001,_xlfn.MAXIFS(BD!$A$3:$A$5001,BD!$B$3:$B$5001,O$198,BD!$A$3:$A$5001,"&gt;="&amp;$C$7,BD!$A$3:$A$5001,"&lt;="&amp;$B223,BD!$S$3:$S$5001,"&lt;&gt;"))))</f>
        <v/>
      </c>
      <c r="P223" s="54" t="str">
        <f>IF(OR($B223="",$A223&gt;$B$9,P$198=""),"",IF(COUNTIFS(BD!$B$3:$B$5001,P$198,BD!$A$3:$A$5001,"&gt;="&amp;$C$7,BD!$A$3:$A$5001,"&lt;="&amp;$B223,BD!$S$3:$S$5001,"&lt;&gt;")=0,"",SUMIFS(BD!$S$3:$S$5001,BD!$B$3:$B$5001,P$198,BD!$A$3:$A$5001,_xlfn.MAXIFS(BD!$A$3:$A$5001,BD!$B$3:$B$5001,P$198,BD!$A$3:$A$5001,"&gt;="&amp;$C$7,BD!$A$3:$A$5001,"&lt;="&amp;$B223,BD!$S$3:$S$5001,"&lt;&gt;"))))</f>
        <v/>
      </c>
      <c r="Q223" s="54" t="str">
        <f>IF(OR($B223="",$A223&gt;$B$9,Q$198=""),"",IF(COUNTIFS(BD!$B$3:$B$5001,Q$198,BD!$A$3:$A$5001,"&gt;="&amp;$C$7,BD!$A$3:$A$5001,"&lt;="&amp;$B223,BD!$S$3:$S$5001,"&lt;&gt;")=0,"",SUMIFS(BD!$S$3:$S$5001,BD!$B$3:$B$5001,Q$198,BD!$A$3:$A$5001,_xlfn.MAXIFS(BD!$A$3:$A$5001,BD!$B$3:$B$5001,Q$198,BD!$A$3:$A$5001,"&gt;="&amp;$C$7,BD!$A$3:$A$5001,"&lt;="&amp;$B223,BD!$S$3:$S$5001,"&lt;&gt;"))))</f>
        <v/>
      </c>
      <c r="R223" s="54" t="str">
        <f>IF(OR($B223="",$A223&gt;$B$9,R$198=""),"",IF(COUNTIFS(BD!$B$3:$B$5001,R$198,BD!$A$3:$A$5001,"&gt;="&amp;$C$7,BD!$A$3:$A$5001,"&lt;="&amp;$B223,BD!$S$3:$S$5001,"&lt;&gt;")=0,"",SUMIFS(BD!$S$3:$S$5001,BD!$B$3:$B$5001,R$198,BD!$A$3:$A$5001,_xlfn.MAXIFS(BD!$A$3:$A$5001,BD!$B$3:$B$5001,R$198,BD!$A$3:$A$5001,"&gt;="&amp;$C$7,BD!$A$3:$A$5001,"&lt;="&amp;$B223,BD!$S$3:$S$5001,"&lt;&gt;"))))</f>
        <v/>
      </c>
      <c r="S223" s="54" t="str">
        <f>IF(OR($B223="",$A223&gt;$B$9,S$198=""),"",IF(COUNTIFS(BD!$B$3:$B$5001,S$198,BD!$A$3:$A$5001,"&gt;="&amp;$C$7,BD!$A$3:$A$5001,"&lt;="&amp;$B223,BD!$S$3:$S$5001,"&lt;&gt;")=0,"",SUMIFS(BD!$S$3:$S$5001,BD!$B$3:$B$5001,S$198,BD!$A$3:$A$5001,_xlfn.MAXIFS(BD!$A$3:$A$5001,BD!$B$3:$B$5001,S$198,BD!$A$3:$A$5001,"&gt;="&amp;$C$7,BD!$A$3:$A$5001,"&lt;="&amp;$B223,BD!$S$3:$S$5001,"&lt;&gt;"))))</f>
        <v/>
      </c>
      <c r="T223" s="54" t="str">
        <f>IF(OR($B223="",$A223&gt;$B$9,T$198=""),"",IF(COUNTIFS(BD!$B$3:$B$5001,T$198,BD!$A$3:$A$5001,"&gt;="&amp;$C$7,BD!$A$3:$A$5001,"&lt;="&amp;$B223,BD!$S$3:$S$5001,"&lt;&gt;")=0,"",SUMIFS(BD!$S$3:$S$5001,BD!$B$3:$B$5001,T$198,BD!$A$3:$A$5001,_xlfn.MAXIFS(BD!$A$3:$A$5001,BD!$B$3:$B$5001,T$198,BD!$A$3:$A$5001,"&gt;="&amp;$C$7,BD!$A$3:$A$5001,"&lt;="&amp;$B223,BD!$S$3:$S$5001,"&lt;&gt;"))))</f>
        <v/>
      </c>
      <c r="U223" s="54" t="str">
        <f>IF(OR($B223="",$A223&gt;$B$9,U$198=""),"",IF(COUNTIFS(BD!$B$3:$B$5001,U$198,BD!$A$3:$A$5001,"&gt;="&amp;$C$7,BD!$A$3:$A$5001,"&lt;="&amp;$B223,BD!$S$3:$S$5001,"&lt;&gt;")=0,"",SUMIFS(BD!$S$3:$S$5001,BD!$B$3:$B$5001,U$198,BD!$A$3:$A$5001,_xlfn.MAXIFS(BD!$A$3:$A$5001,BD!$B$3:$B$5001,U$198,BD!$A$3:$A$5001,"&gt;="&amp;$C$7,BD!$A$3:$A$5001,"&lt;="&amp;$B223,BD!$S$3:$S$5001,"&lt;&gt;"))))</f>
        <v/>
      </c>
      <c r="V223" s="54" t="str">
        <f>IF(OR($B223="",$A223&gt;$B$9,V$198=""),"",IF(COUNTIFS(BD!$B$3:$B$5001,V$198,BD!$A$3:$A$5001,"&gt;="&amp;$C$7,BD!$A$3:$A$5001,"&lt;="&amp;$B223,BD!$S$3:$S$5001,"&lt;&gt;")=0,"",SUMIFS(BD!$S$3:$S$5001,BD!$B$3:$B$5001,V$198,BD!$A$3:$A$5001,_xlfn.MAXIFS(BD!$A$3:$A$5001,BD!$B$3:$B$5001,V$198,BD!$A$3:$A$5001,"&gt;="&amp;$C$7,BD!$A$3:$A$5001,"&lt;="&amp;$B223,BD!$S$3:$S$5001,"&lt;&gt;"))))</f>
        <v/>
      </c>
    </row>
    <row r="224">
      <c r="A224" s="48">
        <v>26</v>
      </c>
      <c r="B224" s="53">
        <f>$B$37</f>
        <v>46321</v>
      </c>
      <c r="C224" s="54" t="str">
        <f>IF(OR($B224="",$A224&gt;$B$9,C$198=""),"",IF(COUNTIFS(BD!$B$3:$B$5001,C$198,BD!$A$3:$A$5001,"&gt;="&amp;$C$7,BD!$A$3:$A$5001,"&lt;="&amp;$B224,BD!$S$3:$S$5001,"&lt;&gt;")=0,"",SUMIFS(BD!$S$3:$S$5001,BD!$B$3:$B$5001,C$198,BD!$A$3:$A$5001,_xlfn.MAXIFS(BD!$A$3:$A$5001,BD!$B$3:$B$5001,C$198,BD!$A$3:$A$5001,"&gt;="&amp;$C$7,BD!$A$3:$A$5001,"&lt;="&amp;$B224,BD!$S$3:$S$5001,"&lt;&gt;"))))</f>
        <v/>
      </c>
      <c r="D224" s="54" t="str">
        <f>IF(OR($B224="",$A224&gt;$B$9,D$198=""),"",IF(COUNTIFS(BD!$B$3:$B$5001,D$198,BD!$A$3:$A$5001,"&gt;="&amp;$C$7,BD!$A$3:$A$5001,"&lt;="&amp;$B224,BD!$S$3:$S$5001,"&lt;&gt;")=0,"",SUMIFS(BD!$S$3:$S$5001,BD!$B$3:$B$5001,D$198,BD!$A$3:$A$5001,_xlfn.MAXIFS(BD!$A$3:$A$5001,BD!$B$3:$B$5001,D$198,BD!$A$3:$A$5001,"&gt;="&amp;$C$7,BD!$A$3:$A$5001,"&lt;="&amp;$B224,BD!$S$3:$S$5001,"&lt;&gt;"))))</f>
        <v/>
      </c>
      <c r="E224" s="54" t="str">
        <f>IF(OR($B224="",$A224&gt;$B$9,E$198=""),"",IF(COUNTIFS(BD!$B$3:$B$5001,E$198,BD!$A$3:$A$5001,"&gt;="&amp;$C$7,BD!$A$3:$A$5001,"&lt;="&amp;$B224,BD!$S$3:$S$5001,"&lt;&gt;")=0,"",SUMIFS(BD!$S$3:$S$5001,BD!$B$3:$B$5001,E$198,BD!$A$3:$A$5001,_xlfn.MAXIFS(BD!$A$3:$A$5001,BD!$B$3:$B$5001,E$198,BD!$A$3:$A$5001,"&gt;="&amp;$C$7,BD!$A$3:$A$5001,"&lt;="&amp;$B224,BD!$S$3:$S$5001,"&lt;&gt;"))))</f>
        <v/>
      </c>
      <c r="F224" s="54" t="str">
        <f>IF(OR($B224="",$A224&gt;$B$9,F$198=""),"",IF(COUNTIFS(BD!$B$3:$B$5001,F$198,BD!$A$3:$A$5001,"&gt;="&amp;$C$7,BD!$A$3:$A$5001,"&lt;="&amp;$B224,BD!$S$3:$S$5001,"&lt;&gt;")=0,"",SUMIFS(BD!$S$3:$S$5001,BD!$B$3:$B$5001,F$198,BD!$A$3:$A$5001,_xlfn.MAXIFS(BD!$A$3:$A$5001,BD!$B$3:$B$5001,F$198,BD!$A$3:$A$5001,"&gt;="&amp;$C$7,BD!$A$3:$A$5001,"&lt;="&amp;$B224,BD!$S$3:$S$5001,"&lt;&gt;"))))</f>
        <v/>
      </c>
      <c r="G224" s="54" t="str">
        <f>IF(OR($B224="",$A224&gt;$B$9,G$198=""),"",IF(COUNTIFS(BD!$B$3:$B$5001,G$198,BD!$A$3:$A$5001,"&gt;="&amp;$C$7,BD!$A$3:$A$5001,"&lt;="&amp;$B224,BD!$S$3:$S$5001,"&lt;&gt;")=0,"",SUMIFS(BD!$S$3:$S$5001,BD!$B$3:$B$5001,G$198,BD!$A$3:$A$5001,_xlfn.MAXIFS(BD!$A$3:$A$5001,BD!$B$3:$B$5001,G$198,BD!$A$3:$A$5001,"&gt;="&amp;$C$7,BD!$A$3:$A$5001,"&lt;="&amp;$B224,BD!$S$3:$S$5001,"&lt;&gt;"))))</f>
        <v/>
      </c>
      <c r="H224" s="54" t="str">
        <f>IF(OR($B224="",$A224&gt;$B$9,H$198=""),"",IF(COUNTIFS(BD!$B$3:$B$5001,H$198,BD!$A$3:$A$5001,"&gt;="&amp;$C$7,BD!$A$3:$A$5001,"&lt;="&amp;$B224,BD!$S$3:$S$5001,"&lt;&gt;")=0,"",SUMIFS(BD!$S$3:$S$5001,BD!$B$3:$B$5001,H$198,BD!$A$3:$A$5001,_xlfn.MAXIFS(BD!$A$3:$A$5001,BD!$B$3:$B$5001,H$198,BD!$A$3:$A$5001,"&gt;="&amp;$C$7,BD!$A$3:$A$5001,"&lt;="&amp;$B224,BD!$S$3:$S$5001,"&lt;&gt;"))))</f>
        <v/>
      </c>
      <c r="I224" s="54" t="str">
        <f>IF(OR($B224="",$A224&gt;$B$9,I$198=""),"",IF(COUNTIFS(BD!$B$3:$B$5001,I$198,BD!$A$3:$A$5001,"&gt;="&amp;$C$7,BD!$A$3:$A$5001,"&lt;="&amp;$B224,BD!$S$3:$S$5001,"&lt;&gt;")=0,"",SUMIFS(BD!$S$3:$S$5001,BD!$B$3:$B$5001,I$198,BD!$A$3:$A$5001,_xlfn.MAXIFS(BD!$A$3:$A$5001,BD!$B$3:$B$5001,I$198,BD!$A$3:$A$5001,"&gt;="&amp;$C$7,BD!$A$3:$A$5001,"&lt;="&amp;$B224,BD!$S$3:$S$5001,"&lt;&gt;"))))</f>
        <v/>
      </c>
      <c r="J224" s="54" t="str">
        <f>IF(OR($B224="",$A224&gt;$B$9,J$198=""),"",IF(COUNTIFS(BD!$B$3:$B$5001,J$198,BD!$A$3:$A$5001,"&gt;="&amp;$C$7,BD!$A$3:$A$5001,"&lt;="&amp;$B224,BD!$S$3:$S$5001,"&lt;&gt;")=0,"",SUMIFS(BD!$S$3:$S$5001,BD!$B$3:$B$5001,J$198,BD!$A$3:$A$5001,_xlfn.MAXIFS(BD!$A$3:$A$5001,BD!$B$3:$B$5001,J$198,BD!$A$3:$A$5001,"&gt;="&amp;$C$7,BD!$A$3:$A$5001,"&lt;="&amp;$B224,BD!$S$3:$S$5001,"&lt;&gt;"))))</f>
        <v/>
      </c>
      <c r="K224" s="54" t="str">
        <f>IF(OR($B224="",$A224&gt;$B$9,K$198=""),"",IF(COUNTIFS(BD!$B$3:$B$5001,K$198,BD!$A$3:$A$5001,"&gt;="&amp;$C$7,BD!$A$3:$A$5001,"&lt;="&amp;$B224,BD!$S$3:$S$5001,"&lt;&gt;")=0,"",SUMIFS(BD!$S$3:$S$5001,BD!$B$3:$B$5001,K$198,BD!$A$3:$A$5001,_xlfn.MAXIFS(BD!$A$3:$A$5001,BD!$B$3:$B$5001,K$198,BD!$A$3:$A$5001,"&gt;="&amp;$C$7,BD!$A$3:$A$5001,"&lt;="&amp;$B224,BD!$S$3:$S$5001,"&lt;&gt;"))))</f>
        <v/>
      </c>
      <c r="L224" s="54" t="str">
        <f>IF(OR($B224="",$A224&gt;$B$9,L$198=""),"",IF(COUNTIFS(BD!$B$3:$B$5001,L$198,BD!$A$3:$A$5001,"&gt;="&amp;$C$7,BD!$A$3:$A$5001,"&lt;="&amp;$B224,BD!$S$3:$S$5001,"&lt;&gt;")=0,"",SUMIFS(BD!$S$3:$S$5001,BD!$B$3:$B$5001,L$198,BD!$A$3:$A$5001,_xlfn.MAXIFS(BD!$A$3:$A$5001,BD!$B$3:$B$5001,L$198,BD!$A$3:$A$5001,"&gt;="&amp;$C$7,BD!$A$3:$A$5001,"&lt;="&amp;$B224,BD!$S$3:$S$5001,"&lt;&gt;"))))</f>
        <v/>
      </c>
      <c r="M224" s="54" t="str">
        <f>IF(OR($B224="",$A224&gt;$B$9,M$198=""),"",IF(COUNTIFS(BD!$B$3:$B$5001,M$198,BD!$A$3:$A$5001,"&gt;="&amp;$C$7,BD!$A$3:$A$5001,"&lt;="&amp;$B224,BD!$S$3:$S$5001,"&lt;&gt;")=0,"",SUMIFS(BD!$S$3:$S$5001,BD!$B$3:$B$5001,M$198,BD!$A$3:$A$5001,_xlfn.MAXIFS(BD!$A$3:$A$5001,BD!$B$3:$B$5001,M$198,BD!$A$3:$A$5001,"&gt;="&amp;$C$7,BD!$A$3:$A$5001,"&lt;="&amp;$B224,BD!$S$3:$S$5001,"&lt;&gt;"))))</f>
        <v/>
      </c>
      <c r="N224" s="54" t="str">
        <f>IF(OR($B224="",$A224&gt;$B$9,N$198=""),"",IF(COUNTIFS(BD!$B$3:$B$5001,N$198,BD!$A$3:$A$5001,"&gt;="&amp;$C$7,BD!$A$3:$A$5001,"&lt;="&amp;$B224,BD!$S$3:$S$5001,"&lt;&gt;")=0,"",SUMIFS(BD!$S$3:$S$5001,BD!$B$3:$B$5001,N$198,BD!$A$3:$A$5001,_xlfn.MAXIFS(BD!$A$3:$A$5001,BD!$B$3:$B$5001,N$198,BD!$A$3:$A$5001,"&gt;="&amp;$C$7,BD!$A$3:$A$5001,"&lt;="&amp;$B224,BD!$S$3:$S$5001,"&lt;&gt;"))))</f>
        <v/>
      </c>
      <c r="O224" s="54" t="str">
        <f>IF(OR($B224="",$A224&gt;$B$9,O$198=""),"",IF(COUNTIFS(BD!$B$3:$B$5001,O$198,BD!$A$3:$A$5001,"&gt;="&amp;$C$7,BD!$A$3:$A$5001,"&lt;="&amp;$B224,BD!$S$3:$S$5001,"&lt;&gt;")=0,"",SUMIFS(BD!$S$3:$S$5001,BD!$B$3:$B$5001,O$198,BD!$A$3:$A$5001,_xlfn.MAXIFS(BD!$A$3:$A$5001,BD!$B$3:$B$5001,O$198,BD!$A$3:$A$5001,"&gt;="&amp;$C$7,BD!$A$3:$A$5001,"&lt;="&amp;$B224,BD!$S$3:$S$5001,"&lt;&gt;"))))</f>
        <v/>
      </c>
      <c r="P224" s="54" t="str">
        <f>IF(OR($B224="",$A224&gt;$B$9,P$198=""),"",IF(COUNTIFS(BD!$B$3:$B$5001,P$198,BD!$A$3:$A$5001,"&gt;="&amp;$C$7,BD!$A$3:$A$5001,"&lt;="&amp;$B224,BD!$S$3:$S$5001,"&lt;&gt;")=0,"",SUMIFS(BD!$S$3:$S$5001,BD!$B$3:$B$5001,P$198,BD!$A$3:$A$5001,_xlfn.MAXIFS(BD!$A$3:$A$5001,BD!$B$3:$B$5001,P$198,BD!$A$3:$A$5001,"&gt;="&amp;$C$7,BD!$A$3:$A$5001,"&lt;="&amp;$B224,BD!$S$3:$S$5001,"&lt;&gt;"))))</f>
        <v/>
      </c>
      <c r="Q224" s="54" t="str">
        <f>IF(OR($B224="",$A224&gt;$B$9,Q$198=""),"",IF(COUNTIFS(BD!$B$3:$B$5001,Q$198,BD!$A$3:$A$5001,"&gt;="&amp;$C$7,BD!$A$3:$A$5001,"&lt;="&amp;$B224,BD!$S$3:$S$5001,"&lt;&gt;")=0,"",SUMIFS(BD!$S$3:$S$5001,BD!$B$3:$B$5001,Q$198,BD!$A$3:$A$5001,_xlfn.MAXIFS(BD!$A$3:$A$5001,BD!$B$3:$B$5001,Q$198,BD!$A$3:$A$5001,"&gt;="&amp;$C$7,BD!$A$3:$A$5001,"&lt;="&amp;$B224,BD!$S$3:$S$5001,"&lt;&gt;"))))</f>
        <v/>
      </c>
      <c r="R224" s="54" t="str">
        <f>IF(OR($B224="",$A224&gt;$B$9,R$198=""),"",IF(COUNTIFS(BD!$B$3:$B$5001,R$198,BD!$A$3:$A$5001,"&gt;="&amp;$C$7,BD!$A$3:$A$5001,"&lt;="&amp;$B224,BD!$S$3:$S$5001,"&lt;&gt;")=0,"",SUMIFS(BD!$S$3:$S$5001,BD!$B$3:$B$5001,R$198,BD!$A$3:$A$5001,_xlfn.MAXIFS(BD!$A$3:$A$5001,BD!$B$3:$B$5001,R$198,BD!$A$3:$A$5001,"&gt;="&amp;$C$7,BD!$A$3:$A$5001,"&lt;="&amp;$B224,BD!$S$3:$S$5001,"&lt;&gt;"))))</f>
        <v/>
      </c>
      <c r="S224" s="54" t="str">
        <f>IF(OR($B224="",$A224&gt;$B$9,S$198=""),"",IF(COUNTIFS(BD!$B$3:$B$5001,S$198,BD!$A$3:$A$5001,"&gt;="&amp;$C$7,BD!$A$3:$A$5001,"&lt;="&amp;$B224,BD!$S$3:$S$5001,"&lt;&gt;")=0,"",SUMIFS(BD!$S$3:$S$5001,BD!$B$3:$B$5001,S$198,BD!$A$3:$A$5001,_xlfn.MAXIFS(BD!$A$3:$A$5001,BD!$B$3:$B$5001,S$198,BD!$A$3:$A$5001,"&gt;="&amp;$C$7,BD!$A$3:$A$5001,"&lt;="&amp;$B224,BD!$S$3:$S$5001,"&lt;&gt;"))))</f>
        <v/>
      </c>
      <c r="T224" s="54" t="str">
        <f>IF(OR($B224="",$A224&gt;$B$9,T$198=""),"",IF(COUNTIFS(BD!$B$3:$B$5001,T$198,BD!$A$3:$A$5001,"&gt;="&amp;$C$7,BD!$A$3:$A$5001,"&lt;="&amp;$B224,BD!$S$3:$S$5001,"&lt;&gt;")=0,"",SUMIFS(BD!$S$3:$S$5001,BD!$B$3:$B$5001,T$198,BD!$A$3:$A$5001,_xlfn.MAXIFS(BD!$A$3:$A$5001,BD!$B$3:$B$5001,T$198,BD!$A$3:$A$5001,"&gt;="&amp;$C$7,BD!$A$3:$A$5001,"&lt;="&amp;$B224,BD!$S$3:$S$5001,"&lt;&gt;"))))</f>
        <v/>
      </c>
      <c r="U224" s="54" t="str">
        <f>IF(OR($B224="",$A224&gt;$B$9,U$198=""),"",IF(COUNTIFS(BD!$B$3:$B$5001,U$198,BD!$A$3:$A$5001,"&gt;="&amp;$C$7,BD!$A$3:$A$5001,"&lt;="&amp;$B224,BD!$S$3:$S$5001,"&lt;&gt;")=0,"",SUMIFS(BD!$S$3:$S$5001,BD!$B$3:$B$5001,U$198,BD!$A$3:$A$5001,_xlfn.MAXIFS(BD!$A$3:$A$5001,BD!$B$3:$B$5001,U$198,BD!$A$3:$A$5001,"&gt;="&amp;$C$7,BD!$A$3:$A$5001,"&lt;="&amp;$B224,BD!$S$3:$S$5001,"&lt;&gt;"))))</f>
        <v/>
      </c>
      <c r="V224" s="54" t="str">
        <f>IF(OR($B224="",$A224&gt;$B$9,V$198=""),"",IF(COUNTIFS(BD!$B$3:$B$5001,V$198,BD!$A$3:$A$5001,"&gt;="&amp;$C$7,BD!$A$3:$A$5001,"&lt;="&amp;$B224,BD!$S$3:$S$5001,"&lt;&gt;")=0,"",SUMIFS(BD!$S$3:$S$5001,BD!$B$3:$B$5001,V$198,BD!$A$3:$A$5001,_xlfn.MAXIFS(BD!$A$3:$A$5001,BD!$B$3:$B$5001,V$198,BD!$A$3:$A$5001,"&gt;="&amp;$C$7,BD!$A$3:$A$5001,"&lt;="&amp;$B224,BD!$S$3:$S$5001,"&lt;&gt;"))))</f>
        <v/>
      </c>
    </row>
    <row r="225">
      <c r="A225" s="48">
        <v>27</v>
      </c>
      <c r="B225" s="53">
        <f>$B$38</f>
        <v>46322</v>
      </c>
      <c r="C225" s="54" t="str">
        <f>IF(OR($B225="",$A225&gt;$B$9,C$198=""),"",IF(COUNTIFS(BD!$B$3:$B$5001,C$198,BD!$A$3:$A$5001,"&gt;="&amp;$C$7,BD!$A$3:$A$5001,"&lt;="&amp;$B225,BD!$S$3:$S$5001,"&lt;&gt;")=0,"",SUMIFS(BD!$S$3:$S$5001,BD!$B$3:$B$5001,C$198,BD!$A$3:$A$5001,_xlfn.MAXIFS(BD!$A$3:$A$5001,BD!$B$3:$B$5001,C$198,BD!$A$3:$A$5001,"&gt;="&amp;$C$7,BD!$A$3:$A$5001,"&lt;="&amp;$B225,BD!$S$3:$S$5001,"&lt;&gt;"))))</f>
        <v/>
      </c>
      <c r="D225" s="54" t="str">
        <f>IF(OR($B225="",$A225&gt;$B$9,D$198=""),"",IF(COUNTIFS(BD!$B$3:$B$5001,D$198,BD!$A$3:$A$5001,"&gt;="&amp;$C$7,BD!$A$3:$A$5001,"&lt;="&amp;$B225,BD!$S$3:$S$5001,"&lt;&gt;")=0,"",SUMIFS(BD!$S$3:$S$5001,BD!$B$3:$B$5001,D$198,BD!$A$3:$A$5001,_xlfn.MAXIFS(BD!$A$3:$A$5001,BD!$B$3:$B$5001,D$198,BD!$A$3:$A$5001,"&gt;="&amp;$C$7,BD!$A$3:$A$5001,"&lt;="&amp;$B225,BD!$S$3:$S$5001,"&lt;&gt;"))))</f>
        <v/>
      </c>
      <c r="E225" s="54" t="str">
        <f>IF(OR($B225="",$A225&gt;$B$9,E$198=""),"",IF(COUNTIFS(BD!$B$3:$B$5001,E$198,BD!$A$3:$A$5001,"&gt;="&amp;$C$7,BD!$A$3:$A$5001,"&lt;="&amp;$B225,BD!$S$3:$S$5001,"&lt;&gt;")=0,"",SUMIFS(BD!$S$3:$S$5001,BD!$B$3:$B$5001,E$198,BD!$A$3:$A$5001,_xlfn.MAXIFS(BD!$A$3:$A$5001,BD!$B$3:$B$5001,E$198,BD!$A$3:$A$5001,"&gt;="&amp;$C$7,BD!$A$3:$A$5001,"&lt;="&amp;$B225,BD!$S$3:$S$5001,"&lt;&gt;"))))</f>
        <v/>
      </c>
      <c r="F225" s="54" t="str">
        <f>IF(OR($B225="",$A225&gt;$B$9,F$198=""),"",IF(COUNTIFS(BD!$B$3:$B$5001,F$198,BD!$A$3:$A$5001,"&gt;="&amp;$C$7,BD!$A$3:$A$5001,"&lt;="&amp;$B225,BD!$S$3:$S$5001,"&lt;&gt;")=0,"",SUMIFS(BD!$S$3:$S$5001,BD!$B$3:$B$5001,F$198,BD!$A$3:$A$5001,_xlfn.MAXIFS(BD!$A$3:$A$5001,BD!$B$3:$B$5001,F$198,BD!$A$3:$A$5001,"&gt;="&amp;$C$7,BD!$A$3:$A$5001,"&lt;="&amp;$B225,BD!$S$3:$S$5001,"&lt;&gt;"))))</f>
        <v/>
      </c>
      <c r="G225" s="54" t="str">
        <f>IF(OR($B225="",$A225&gt;$B$9,G$198=""),"",IF(COUNTIFS(BD!$B$3:$B$5001,G$198,BD!$A$3:$A$5001,"&gt;="&amp;$C$7,BD!$A$3:$A$5001,"&lt;="&amp;$B225,BD!$S$3:$S$5001,"&lt;&gt;")=0,"",SUMIFS(BD!$S$3:$S$5001,BD!$B$3:$B$5001,G$198,BD!$A$3:$A$5001,_xlfn.MAXIFS(BD!$A$3:$A$5001,BD!$B$3:$B$5001,G$198,BD!$A$3:$A$5001,"&gt;="&amp;$C$7,BD!$A$3:$A$5001,"&lt;="&amp;$B225,BD!$S$3:$S$5001,"&lt;&gt;"))))</f>
        <v/>
      </c>
      <c r="H225" s="54" t="str">
        <f>IF(OR($B225="",$A225&gt;$B$9,H$198=""),"",IF(COUNTIFS(BD!$B$3:$B$5001,H$198,BD!$A$3:$A$5001,"&gt;="&amp;$C$7,BD!$A$3:$A$5001,"&lt;="&amp;$B225,BD!$S$3:$S$5001,"&lt;&gt;")=0,"",SUMIFS(BD!$S$3:$S$5001,BD!$B$3:$B$5001,H$198,BD!$A$3:$A$5001,_xlfn.MAXIFS(BD!$A$3:$A$5001,BD!$B$3:$B$5001,H$198,BD!$A$3:$A$5001,"&gt;="&amp;$C$7,BD!$A$3:$A$5001,"&lt;="&amp;$B225,BD!$S$3:$S$5001,"&lt;&gt;"))))</f>
        <v/>
      </c>
      <c r="I225" s="54" t="str">
        <f>IF(OR($B225="",$A225&gt;$B$9,I$198=""),"",IF(COUNTIFS(BD!$B$3:$B$5001,I$198,BD!$A$3:$A$5001,"&gt;="&amp;$C$7,BD!$A$3:$A$5001,"&lt;="&amp;$B225,BD!$S$3:$S$5001,"&lt;&gt;")=0,"",SUMIFS(BD!$S$3:$S$5001,BD!$B$3:$B$5001,I$198,BD!$A$3:$A$5001,_xlfn.MAXIFS(BD!$A$3:$A$5001,BD!$B$3:$B$5001,I$198,BD!$A$3:$A$5001,"&gt;="&amp;$C$7,BD!$A$3:$A$5001,"&lt;="&amp;$B225,BD!$S$3:$S$5001,"&lt;&gt;"))))</f>
        <v/>
      </c>
      <c r="J225" s="54" t="str">
        <f>IF(OR($B225="",$A225&gt;$B$9,J$198=""),"",IF(COUNTIFS(BD!$B$3:$B$5001,J$198,BD!$A$3:$A$5001,"&gt;="&amp;$C$7,BD!$A$3:$A$5001,"&lt;="&amp;$B225,BD!$S$3:$S$5001,"&lt;&gt;")=0,"",SUMIFS(BD!$S$3:$S$5001,BD!$B$3:$B$5001,J$198,BD!$A$3:$A$5001,_xlfn.MAXIFS(BD!$A$3:$A$5001,BD!$B$3:$B$5001,J$198,BD!$A$3:$A$5001,"&gt;="&amp;$C$7,BD!$A$3:$A$5001,"&lt;="&amp;$B225,BD!$S$3:$S$5001,"&lt;&gt;"))))</f>
        <v/>
      </c>
      <c r="K225" s="54" t="str">
        <f>IF(OR($B225="",$A225&gt;$B$9,K$198=""),"",IF(COUNTIFS(BD!$B$3:$B$5001,K$198,BD!$A$3:$A$5001,"&gt;="&amp;$C$7,BD!$A$3:$A$5001,"&lt;="&amp;$B225,BD!$S$3:$S$5001,"&lt;&gt;")=0,"",SUMIFS(BD!$S$3:$S$5001,BD!$B$3:$B$5001,K$198,BD!$A$3:$A$5001,_xlfn.MAXIFS(BD!$A$3:$A$5001,BD!$B$3:$B$5001,K$198,BD!$A$3:$A$5001,"&gt;="&amp;$C$7,BD!$A$3:$A$5001,"&lt;="&amp;$B225,BD!$S$3:$S$5001,"&lt;&gt;"))))</f>
        <v/>
      </c>
      <c r="L225" s="54" t="str">
        <f>IF(OR($B225="",$A225&gt;$B$9,L$198=""),"",IF(COUNTIFS(BD!$B$3:$B$5001,L$198,BD!$A$3:$A$5001,"&gt;="&amp;$C$7,BD!$A$3:$A$5001,"&lt;="&amp;$B225,BD!$S$3:$S$5001,"&lt;&gt;")=0,"",SUMIFS(BD!$S$3:$S$5001,BD!$B$3:$B$5001,L$198,BD!$A$3:$A$5001,_xlfn.MAXIFS(BD!$A$3:$A$5001,BD!$B$3:$B$5001,L$198,BD!$A$3:$A$5001,"&gt;="&amp;$C$7,BD!$A$3:$A$5001,"&lt;="&amp;$B225,BD!$S$3:$S$5001,"&lt;&gt;"))))</f>
        <v/>
      </c>
      <c r="M225" s="54" t="str">
        <f>IF(OR($B225="",$A225&gt;$B$9,M$198=""),"",IF(COUNTIFS(BD!$B$3:$B$5001,M$198,BD!$A$3:$A$5001,"&gt;="&amp;$C$7,BD!$A$3:$A$5001,"&lt;="&amp;$B225,BD!$S$3:$S$5001,"&lt;&gt;")=0,"",SUMIFS(BD!$S$3:$S$5001,BD!$B$3:$B$5001,M$198,BD!$A$3:$A$5001,_xlfn.MAXIFS(BD!$A$3:$A$5001,BD!$B$3:$B$5001,M$198,BD!$A$3:$A$5001,"&gt;="&amp;$C$7,BD!$A$3:$A$5001,"&lt;="&amp;$B225,BD!$S$3:$S$5001,"&lt;&gt;"))))</f>
        <v/>
      </c>
      <c r="N225" s="54" t="str">
        <f>IF(OR($B225="",$A225&gt;$B$9,N$198=""),"",IF(COUNTIFS(BD!$B$3:$B$5001,N$198,BD!$A$3:$A$5001,"&gt;="&amp;$C$7,BD!$A$3:$A$5001,"&lt;="&amp;$B225,BD!$S$3:$S$5001,"&lt;&gt;")=0,"",SUMIFS(BD!$S$3:$S$5001,BD!$B$3:$B$5001,N$198,BD!$A$3:$A$5001,_xlfn.MAXIFS(BD!$A$3:$A$5001,BD!$B$3:$B$5001,N$198,BD!$A$3:$A$5001,"&gt;="&amp;$C$7,BD!$A$3:$A$5001,"&lt;="&amp;$B225,BD!$S$3:$S$5001,"&lt;&gt;"))))</f>
        <v/>
      </c>
      <c r="O225" s="54" t="str">
        <f>IF(OR($B225="",$A225&gt;$B$9,O$198=""),"",IF(COUNTIFS(BD!$B$3:$B$5001,O$198,BD!$A$3:$A$5001,"&gt;="&amp;$C$7,BD!$A$3:$A$5001,"&lt;="&amp;$B225,BD!$S$3:$S$5001,"&lt;&gt;")=0,"",SUMIFS(BD!$S$3:$S$5001,BD!$B$3:$B$5001,O$198,BD!$A$3:$A$5001,_xlfn.MAXIFS(BD!$A$3:$A$5001,BD!$B$3:$B$5001,O$198,BD!$A$3:$A$5001,"&gt;="&amp;$C$7,BD!$A$3:$A$5001,"&lt;="&amp;$B225,BD!$S$3:$S$5001,"&lt;&gt;"))))</f>
        <v/>
      </c>
      <c r="P225" s="54" t="str">
        <f>IF(OR($B225="",$A225&gt;$B$9,P$198=""),"",IF(COUNTIFS(BD!$B$3:$B$5001,P$198,BD!$A$3:$A$5001,"&gt;="&amp;$C$7,BD!$A$3:$A$5001,"&lt;="&amp;$B225,BD!$S$3:$S$5001,"&lt;&gt;")=0,"",SUMIFS(BD!$S$3:$S$5001,BD!$B$3:$B$5001,P$198,BD!$A$3:$A$5001,_xlfn.MAXIFS(BD!$A$3:$A$5001,BD!$B$3:$B$5001,P$198,BD!$A$3:$A$5001,"&gt;="&amp;$C$7,BD!$A$3:$A$5001,"&lt;="&amp;$B225,BD!$S$3:$S$5001,"&lt;&gt;"))))</f>
        <v/>
      </c>
      <c r="Q225" s="54" t="str">
        <f>IF(OR($B225="",$A225&gt;$B$9,Q$198=""),"",IF(COUNTIFS(BD!$B$3:$B$5001,Q$198,BD!$A$3:$A$5001,"&gt;="&amp;$C$7,BD!$A$3:$A$5001,"&lt;="&amp;$B225,BD!$S$3:$S$5001,"&lt;&gt;")=0,"",SUMIFS(BD!$S$3:$S$5001,BD!$B$3:$B$5001,Q$198,BD!$A$3:$A$5001,_xlfn.MAXIFS(BD!$A$3:$A$5001,BD!$B$3:$B$5001,Q$198,BD!$A$3:$A$5001,"&gt;="&amp;$C$7,BD!$A$3:$A$5001,"&lt;="&amp;$B225,BD!$S$3:$S$5001,"&lt;&gt;"))))</f>
        <v/>
      </c>
      <c r="R225" s="54" t="str">
        <f>IF(OR($B225="",$A225&gt;$B$9,R$198=""),"",IF(COUNTIFS(BD!$B$3:$B$5001,R$198,BD!$A$3:$A$5001,"&gt;="&amp;$C$7,BD!$A$3:$A$5001,"&lt;="&amp;$B225,BD!$S$3:$S$5001,"&lt;&gt;")=0,"",SUMIFS(BD!$S$3:$S$5001,BD!$B$3:$B$5001,R$198,BD!$A$3:$A$5001,_xlfn.MAXIFS(BD!$A$3:$A$5001,BD!$B$3:$B$5001,R$198,BD!$A$3:$A$5001,"&gt;="&amp;$C$7,BD!$A$3:$A$5001,"&lt;="&amp;$B225,BD!$S$3:$S$5001,"&lt;&gt;"))))</f>
        <v/>
      </c>
      <c r="S225" s="54" t="str">
        <f>IF(OR($B225="",$A225&gt;$B$9,S$198=""),"",IF(COUNTIFS(BD!$B$3:$B$5001,S$198,BD!$A$3:$A$5001,"&gt;="&amp;$C$7,BD!$A$3:$A$5001,"&lt;="&amp;$B225,BD!$S$3:$S$5001,"&lt;&gt;")=0,"",SUMIFS(BD!$S$3:$S$5001,BD!$B$3:$B$5001,S$198,BD!$A$3:$A$5001,_xlfn.MAXIFS(BD!$A$3:$A$5001,BD!$B$3:$B$5001,S$198,BD!$A$3:$A$5001,"&gt;="&amp;$C$7,BD!$A$3:$A$5001,"&lt;="&amp;$B225,BD!$S$3:$S$5001,"&lt;&gt;"))))</f>
        <v/>
      </c>
      <c r="T225" s="54" t="str">
        <f>IF(OR($B225="",$A225&gt;$B$9,T$198=""),"",IF(COUNTIFS(BD!$B$3:$B$5001,T$198,BD!$A$3:$A$5001,"&gt;="&amp;$C$7,BD!$A$3:$A$5001,"&lt;="&amp;$B225,BD!$S$3:$S$5001,"&lt;&gt;")=0,"",SUMIFS(BD!$S$3:$S$5001,BD!$B$3:$B$5001,T$198,BD!$A$3:$A$5001,_xlfn.MAXIFS(BD!$A$3:$A$5001,BD!$B$3:$B$5001,T$198,BD!$A$3:$A$5001,"&gt;="&amp;$C$7,BD!$A$3:$A$5001,"&lt;="&amp;$B225,BD!$S$3:$S$5001,"&lt;&gt;"))))</f>
        <v/>
      </c>
      <c r="U225" s="54" t="str">
        <f>IF(OR($B225="",$A225&gt;$B$9,U$198=""),"",IF(COUNTIFS(BD!$B$3:$B$5001,U$198,BD!$A$3:$A$5001,"&gt;="&amp;$C$7,BD!$A$3:$A$5001,"&lt;="&amp;$B225,BD!$S$3:$S$5001,"&lt;&gt;")=0,"",SUMIFS(BD!$S$3:$S$5001,BD!$B$3:$B$5001,U$198,BD!$A$3:$A$5001,_xlfn.MAXIFS(BD!$A$3:$A$5001,BD!$B$3:$B$5001,U$198,BD!$A$3:$A$5001,"&gt;="&amp;$C$7,BD!$A$3:$A$5001,"&lt;="&amp;$B225,BD!$S$3:$S$5001,"&lt;&gt;"))))</f>
        <v/>
      </c>
      <c r="V225" s="54" t="str">
        <f>IF(OR($B225="",$A225&gt;$B$9,V$198=""),"",IF(COUNTIFS(BD!$B$3:$B$5001,V$198,BD!$A$3:$A$5001,"&gt;="&amp;$C$7,BD!$A$3:$A$5001,"&lt;="&amp;$B225,BD!$S$3:$S$5001,"&lt;&gt;")=0,"",SUMIFS(BD!$S$3:$S$5001,BD!$B$3:$B$5001,V$198,BD!$A$3:$A$5001,_xlfn.MAXIFS(BD!$A$3:$A$5001,BD!$B$3:$B$5001,V$198,BD!$A$3:$A$5001,"&gt;="&amp;$C$7,BD!$A$3:$A$5001,"&lt;="&amp;$B225,BD!$S$3:$S$5001,"&lt;&gt;"))))</f>
        <v/>
      </c>
    </row>
    <row r="226">
      <c r="A226" s="48">
        <v>28</v>
      </c>
      <c r="B226" s="53">
        <f>$B$39</f>
        <v>46323</v>
      </c>
      <c r="C226" s="54" t="str">
        <f>IF(OR($B226="",$A226&gt;$B$9,C$198=""),"",IF(COUNTIFS(BD!$B$3:$B$5001,C$198,BD!$A$3:$A$5001,"&gt;="&amp;$C$7,BD!$A$3:$A$5001,"&lt;="&amp;$B226,BD!$S$3:$S$5001,"&lt;&gt;")=0,"",SUMIFS(BD!$S$3:$S$5001,BD!$B$3:$B$5001,C$198,BD!$A$3:$A$5001,_xlfn.MAXIFS(BD!$A$3:$A$5001,BD!$B$3:$B$5001,C$198,BD!$A$3:$A$5001,"&gt;="&amp;$C$7,BD!$A$3:$A$5001,"&lt;="&amp;$B226,BD!$S$3:$S$5001,"&lt;&gt;"))))</f>
        <v/>
      </c>
      <c r="D226" s="54" t="str">
        <f>IF(OR($B226="",$A226&gt;$B$9,D$198=""),"",IF(COUNTIFS(BD!$B$3:$B$5001,D$198,BD!$A$3:$A$5001,"&gt;="&amp;$C$7,BD!$A$3:$A$5001,"&lt;="&amp;$B226,BD!$S$3:$S$5001,"&lt;&gt;")=0,"",SUMIFS(BD!$S$3:$S$5001,BD!$B$3:$B$5001,D$198,BD!$A$3:$A$5001,_xlfn.MAXIFS(BD!$A$3:$A$5001,BD!$B$3:$B$5001,D$198,BD!$A$3:$A$5001,"&gt;="&amp;$C$7,BD!$A$3:$A$5001,"&lt;="&amp;$B226,BD!$S$3:$S$5001,"&lt;&gt;"))))</f>
        <v/>
      </c>
      <c r="E226" s="54" t="str">
        <f>IF(OR($B226="",$A226&gt;$B$9,E$198=""),"",IF(COUNTIFS(BD!$B$3:$B$5001,E$198,BD!$A$3:$A$5001,"&gt;="&amp;$C$7,BD!$A$3:$A$5001,"&lt;="&amp;$B226,BD!$S$3:$S$5001,"&lt;&gt;")=0,"",SUMIFS(BD!$S$3:$S$5001,BD!$B$3:$B$5001,E$198,BD!$A$3:$A$5001,_xlfn.MAXIFS(BD!$A$3:$A$5001,BD!$B$3:$B$5001,E$198,BD!$A$3:$A$5001,"&gt;="&amp;$C$7,BD!$A$3:$A$5001,"&lt;="&amp;$B226,BD!$S$3:$S$5001,"&lt;&gt;"))))</f>
        <v/>
      </c>
      <c r="F226" s="54" t="str">
        <f>IF(OR($B226="",$A226&gt;$B$9,F$198=""),"",IF(COUNTIFS(BD!$B$3:$B$5001,F$198,BD!$A$3:$A$5001,"&gt;="&amp;$C$7,BD!$A$3:$A$5001,"&lt;="&amp;$B226,BD!$S$3:$S$5001,"&lt;&gt;")=0,"",SUMIFS(BD!$S$3:$S$5001,BD!$B$3:$B$5001,F$198,BD!$A$3:$A$5001,_xlfn.MAXIFS(BD!$A$3:$A$5001,BD!$B$3:$B$5001,F$198,BD!$A$3:$A$5001,"&gt;="&amp;$C$7,BD!$A$3:$A$5001,"&lt;="&amp;$B226,BD!$S$3:$S$5001,"&lt;&gt;"))))</f>
        <v/>
      </c>
      <c r="G226" s="54" t="str">
        <f>IF(OR($B226="",$A226&gt;$B$9,G$198=""),"",IF(COUNTIFS(BD!$B$3:$B$5001,G$198,BD!$A$3:$A$5001,"&gt;="&amp;$C$7,BD!$A$3:$A$5001,"&lt;="&amp;$B226,BD!$S$3:$S$5001,"&lt;&gt;")=0,"",SUMIFS(BD!$S$3:$S$5001,BD!$B$3:$B$5001,G$198,BD!$A$3:$A$5001,_xlfn.MAXIFS(BD!$A$3:$A$5001,BD!$B$3:$B$5001,G$198,BD!$A$3:$A$5001,"&gt;="&amp;$C$7,BD!$A$3:$A$5001,"&lt;="&amp;$B226,BD!$S$3:$S$5001,"&lt;&gt;"))))</f>
        <v/>
      </c>
      <c r="H226" s="54" t="str">
        <f>IF(OR($B226="",$A226&gt;$B$9,H$198=""),"",IF(COUNTIFS(BD!$B$3:$B$5001,H$198,BD!$A$3:$A$5001,"&gt;="&amp;$C$7,BD!$A$3:$A$5001,"&lt;="&amp;$B226,BD!$S$3:$S$5001,"&lt;&gt;")=0,"",SUMIFS(BD!$S$3:$S$5001,BD!$B$3:$B$5001,H$198,BD!$A$3:$A$5001,_xlfn.MAXIFS(BD!$A$3:$A$5001,BD!$B$3:$B$5001,H$198,BD!$A$3:$A$5001,"&gt;="&amp;$C$7,BD!$A$3:$A$5001,"&lt;="&amp;$B226,BD!$S$3:$S$5001,"&lt;&gt;"))))</f>
        <v/>
      </c>
      <c r="I226" s="54" t="str">
        <f>IF(OR($B226="",$A226&gt;$B$9,I$198=""),"",IF(COUNTIFS(BD!$B$3:$B$5001,I$198,BD!$A$3:$A$5001,"&gt;="&amp;$C$7,BD!$A$3:$A$5001,"&lt;="&amp;$B226,BD!$S$3:$S$5001,"&lt;&gt;")=0,"",SUMIFS(BD!$S$3:$S$5001,BD!$B$3:$B$5001,I$198,BD!$A$3:$A$5001,_xlfn.MAXIFS(BD!$A$3:$A$5001,BD!$B$3:$B$5001,I$198,BD!$A$3:$A$5001,"&gt;="&amp;$C$7,BD!$A$3:$A$5001,"&lt;="&amp;$B226,BD!$S$3:$S$5001,"&lt;&gt;"))))</f>
        <v/>
      </c>
      <c r="J226" s="54" t="str">
        <f>IF(OR($B226="",$A226&gt;$B$9,J$198=""),"",IF(COUNTIFS(BD!$B$3:$B$5001,J$198,BD!$A$3:$A$5001,"&gt;="&amp;$C$7,BD!$A$3:$A$5001,"&lt;="&amp;$B226,BD!$S$3:$S$5001,"&lt;&gt;")=0,"",SUMIFS(BD!$S$3:$S$5001,BD!$B$3:$B$5001,J$198,BD!$A$3:$A$5001,_xlfn.MAXIFS(BD!$A$3:$A$5001,BD!$B$3:$B$5001,J$198,BD!$A$3:$A$5001,"&gt;="&amp;$C$7,BD!$A$3:$A$5001,"&lt;="&amp;$B226,BD!$S$3:$S$5001,"&lt;&gt;"))))</f>
        <v/>
      </c>
      <c r="K226" s="54" t="str">
        <f>IF(OR($B226="",$A226&gt;$B$9,K$198=""),"",IF(COUNTIFS(BD!$B$3:$B$5001,K$198,BD!$A$3:$A$5001,"&gt;="&amp;$C$7,BD!$A$3:$A$5001,"&lt;="&amp;$B226,BD!$S$3:$S$5001,"&lt;&gt;")=0,"",SUMIFS(BD!$S$3:$S$5001,BD!$B$3:$B$5001,K$198,BD!$A$3:$A$5001,_xlfn.MAXIFS(BD!$A$3:$A$5001,BD!$B$3:$B$5001,K$198,BD!$A$3:$A$5001,"&gt;="&amp;$C$7,BD!$A$3:$A$5001,"&lt;="&amp;$B226,BD!$S$3:$S$5001,"&lt;&gt;"))))</f>
        <v/>
      </c>
      <c r="L226" s="54" t="str">
        <f>IF(OR($B226="",$A226&gt;$B$9,L$198=""),"",IF(COUNTIFS(BD!$B$3:$B$5001,L$198,BD!$A$3:$A$5001,"&gt;="&amp;$C$7,BD!$A$3:$A$5001,"&lt;="&amp;$B226,BD!$S$3:$S$5001,"&lt;&gt;")=0,"",SUMIFS(BD!$S$3:$S$5001,BD!$B$3:$B$5001,L$198,BD!$A$3:$A$5001,_xlfn.MAXIFS(BD!$A$3:$A$5001,BD!$B$3:$B$5001,L$198,BD!$A$3:$A$5001,"&gt;="&amp;$C$7,BD!$A$3:$A$5001,"&lt;="&amp;$B226,BD!$S$3:$S$5001,"&lt;&gt;"))))</f>
        <v/>
      </c>
      <c r="M226" s="54" t="str">
        <f>IF(OR($B226="",$A226&gt;$B$9,M$198=""),"",IF(COUNTIFS(BD!$B$3:$B$5001,M$198,BD!$A$3:$A$5001,"&gt;="&amp;$C$7,BD!$A$3:$A$5001,"&lt;="&amp;$B226,BD!$S$3:$S$5001,"&lt;&gt;")=0,"",SUMIFS(BD!$S$3:$S$5001,BD!$B$3:$B$5001,M$198,BD!$A$3:$A$5001,_xlfn.MAXIFS(BD!$A$3:$A$5001,BD!$B$3:$B$5001,M$198,BD!$A$3:$A$5001,"&gt;="&amp;$C$7,BD!$A$3:$A$5001,"&lt;="&amp;$B226,BD!$S$3:$S$5001,"&lt;&gt;"))))</f>
        <v/>
      </c>
      <c r="N226" s="54" t="str">
        <f>IF(OR($B226="",$A226&gt;$B$9,N$198=""),"",IF(COUNTIFS(BD!$B$3:$B$5001,N$198,BD!$A$3:$A$5001,"&gt;="&amp;$C$7,BD!$A$3:$A$5001,"&lt;="&amp;$B226,BD!$S$3:$S$5001,"&lt;&gt;")=0,"",SUMIFS(BD!$S$3:$S$5001,BD!$B$3:$B$5001,N$198,BD!$A$3:$A$5001,_xlfn.MAXIFS(BD!$A$3:$A$5001,BD!$B$3:$B$5001,N$198,BD!$A$3:$A$5001,"&gt;="&amp;$C$7,BD!$A$3:$A$5001,"&lt;="&amp;$B226,BD!$S$3:$S$5001,"&lt;&gt;"))))</f>
        <v/>
      </c>
      <c r="O226" s="54" t="str">
        <f>IF(OR($B226="",$A226&gt;$B$9,O$198=""),"",IF(COUNTIFS(BD!$B$3:$B$5001,O$198,BD!$A$3:$A$5001,"&gt;="&amp;$C$7,BD!$A$3:$A$5001,"&lt;="&amp;$B226,BD!$S$3:$S$5001,"&lt;&gt;")=0,"",SUMIFS(BD!$S$3:$S$5001,BD!$B$3:$B$5001,O$198,BD!$A$3:$A$5001,_xlfn.MAXIFS(BD!$A$3:$A$5001,BD!$B$3:$B$5001,O$198,BD!$A$3:$A$5001,"&gt;="&amp;$C$7,BD!$A$3:$A$5001,"&lt;="&amp;$B226,BD!$S$3:$S$5001,"&lt;&gt;"))))</f>
        <v/>
      </c>
      <c r="P226" s="54" t="str">
        <f>IF(OR($B226="",$A226&gt;$B$9,P$198=""),"",IF(COUNTIFS(BD!$B$3:$B$5001,P$198,BD!$A$3:$A$5001,"&gt;="&amp;$C$7,BD!$A$3:$A$5001,"&lt;="&amp;$B226,BD!$S$3:$S$5001,"&lt;&gt;")=0,"",SUMIFS(BD!$S$3:$S$5001,BD!$B$3:$B$5001,P$198,BD!$A$3:$A$5001,_xlfn.MAXIFS(BD!$A$3:$A$5001,BD!$B$3:$B$5001,P$198,BD!$A$3:$A$5001,"&gt;="&amp;$C$7,BD!$A$3:$A$5001,"&lt;="&amp;$B226,BD!$S$3:$S$5001,"&lt;&gt;"))))</f>
        <v/>
      </c>
      <c r="Q226" s="54" t="str">
        <f>IF(OR($B226="",$A226&gt;$B$9,Q$198=""),"",IF(COUNTIFS(BD!$B$3:$B$5001,Q$198,BD!$A$3:$A$5001,"&gt;="&amp;$C$7,BD!$A$3:$A$5001,"&lt;="&amp;$B226,BD!$S$3:$S$5001,"&lt;&gt;")=0,"",SUMIFS(BD!$S$3:$S$5001,BD!$B$3:$B$5001,Q$198,BD!$A$3:$A$5001,_xlfn.MAXIFS(BD!$A$3:$A$5001,BD!$B$3:$B$5001,Q$198,BD!$A$3:$A$5001,"&gt;="&amp;$C$7,BD!$A$3:$A$5001,"&lt;="&amp;$B226,BD!$S$3:$S$5001,"&lt;&gt;"))))</f>
        <v/>
      </c>
      <c r="R226" s="54" t="str">
        <f>IF(OR($B226="",$A226&gt;$B$9,R$198=""),"",IF(COUNTIFS(BD!$B$3:$B$5001,R$198,BD!$A$3:$A$5001,"&gt;="&amp;$C$7,BD!$A$3:$A$5001,"&lt;="&amp;$B226,BD!$S$3:$S$5001,"&lt;&gt;")=0,"",SUMIFS(BD!$S$3:$S$5001,BD!$B$3:$B$5001,R$198,BD!$A$3:$A$5001,_xlfn.MAXIFS(BD!$A$3:$A$5001,BD!$B$3:$B$5001,R$198,BD!$A$3:$A$5001,"&gt;="&amp;$C$7,BD!$A$3:$A$5001,"&lt;="&amp;$B226,BD!$S$3:$S$5001,"&lt;&gt;"))))</f>
        <v/>
      </c>
      <c r="S226" s="54" t="str">
        <f>IF(OR($B226="",$A226&gt;$B$9,S$198=""),"",IF(COUNTIFS(BD!$B$3:$B$5001,S$198,BD!$A$3:$A$5001,"&gt;="&amp;$C$7,BD!$A$3:$A$5001,"&lt;="&amp;$B226,BD!$S$3:$S$5001,"&lt;&gt;")=0,"",SUMIFS(BD!$S$3:$S$5001,BD!$B$3:$B$5001,S$198,BD!$A$3:$A$5001,_xlfn.MAXIFS(BD!$A$3:$A$5001,BD!$B$3:$B$5001,S$198,BD!$A$3:$A$5001,"&gt;="&amp;$C$7,BD!$A$3:$A$5001,"&lt;="&amp;$B226,BD!$S$3:$S$5001,"&lt;&gt;"))))</f>
        <v/>
      </c>
      <c r="T226" s="54" t="str">
        <f>IF(OR($B226="",$A226&gt;$B$9,T$198=""),"",IF(COUNTIFS(BD!$B$3:$B$5001,T$198,BD!$A$3:$A$5001,"&gt;="&amp;$C$7,BD!$A$3:$A$5001,"&lt;="&amp;$B226,BD!$S$3:$S$5001,"&lt;&gt;")=0,"",SUMIFS(BD!$S$3:$S$5001,BD!$B$3:$B$5001,T$198,BD!$A$3:$A$5001,_xlfn.MAXIFS(BD!$A$3:$A$5001,BD!$B$3:$B$5001,T$198,BD!$A$3:$A$5001,"&gt;="&amp;$C$7,BD!$A$3:$A$5001,"&lt;="&amp;$B226,BD!$S$3:$S$5001,"&lt;&gt;"))))</f>
        <v/>
      </c>
      <c r="U226" s="54" t="str">
        <f>IF(OR($B226="",$A226&gt;$B$9,U$198=""),"",IF(COUNTIFS(BD!$B$3:$B$5001,U$198,BD!$A$3:$A$5001,"&gt;="&amp;$C$7,BD!$A$3:$A$5001,"&lt;="&amp;$B226,BD!$S$3:$S$5001,"&lt;&gt;")=0,"",SUMIFS(BD!$S$3:$S$5001,BD!$B$3:$B$5001,U$198,BD!$A$3:$A$5001,_xlfn.MAXIFS(BD!$A$3:$A$5001,BD!$B$3:$B$5001,U$198,BD!$A$3:$A$5001,"&gt;="&amp;$C$7,BD!$A$3:$A$5001,"&lt;="&amp;$B226,BD!$S$3:$S$5001,"&lt;&gt;"))))</f>
        <v/>
      </c>
      <c r="V226" s="54" t="str">
        <f>IF(OR($B226="",$A226&gt;$B$9,V$198=""),"",IF(COUNTIFS(BD!$B$3:$B$5001,V$198,BD!$A$3:$A$5001,"&gt;="&amp;$C$7,BD!$A$3:$A$5001,"&lt;="&amp;$B226,BD!$S$3:$S$5001,"&lt;&gt;")=0,"",SUMIFS(BD!$S$3:$S$5001,BD!$B$3:$B$5001,V$198,BD!$A$3:$A$5001,_xlfn.MAXIFS(BD!$A$3:$A$5001,BD!$B$3:$B$5001,V$198,BD!$A$3:$A$5001,"&gt;="&amp;$C$7,BD!$A$3:$A$5001,"&lt;="&amp;$B226,BD!$S$3:$S$5001,"&lt;&gt;"))))</f>
        <v/>
      </c>
    </row>
    <row r="227">
      <c r="A227" s="48">
        <v>29</v>
      </c>
      <c r="B227" s="53">
        <f>$B$40</f>
        <v>46324</v>
      </c>
      <c r="C227" s="54" t="str">
        <f>IF(OR($B227="",$A227&gt;$B$9,C$198=""),"",IF(COUNTIFS(BD!$B$3:$B$5001,C$198,BD!$A$3:$A$5001,"&gt;="&amp;$C$7,BD!$A$3:$A$5001,"&lt;="&amp;$B227,BD!$S$3:$S$5001,"&lt;&gt;")=0,"",SUMIFS(BD!$S$3:$S$5001,BD!$B$3:$B$5001,C$198,BD!$A$3:$A$5001,_xlfn.MAXIFS(BD!$A$3:$A$5001,BD!$B$3:$B$5001,C$198,BD!$A$3:$A$5001,"&gt;="&amp;$C$7,BD!$A$3:$A$5001,"&lt;="&amp;$B227,BD!$S$3:$S$5001,"&lt;&gt;"))))</f>
        <v/>
      </c>
      <c r="D227" s="54" t="str">
        <f>IF(OR($B227="",$A227&gt;$B$9,D$198=""),"",IF(COUNTIFS(BD!$B$3:$B$5001,D$198,BD!$A$3:$A$5001,"&gt;="&amp;$C$7,BD!$A$3:$A$5001,"&lt;="&amp;$B227,BD!$S$3:$S$5001,"&lt;&gt;")=0,"",SUMIFS(BD!$S$3:$S$5001,BD!$B$3:$B$5001,D$198,BD!$A$3:$A$5001,_xlfn.MAXIFS(BD!$A$3:$A$5001,BD!$B$3:$B$5001,D$198,BD!$A$3:$A$5001,"&gt;="&amp;$C$7,BD!$A$3:$A$5001,"&lt;="&amp;$B227,BD!$S$3:$S$5001,"&lt;&gt;"))))</f>
        <v/>
      </c>
      <c r="E227" s="54" t="str">
        <f>IF(OR($B227="",$A227&gt;$B$9,E$198=""),"",IF(COUNTIFS(BD!$B$3:$B$5001,E$198,BD!$A$3:$A$5001,"&gt;="&amp;$C$7,BD!$A$3:$A$5001,"&lt;="&amp;$B227,BD!$S$3:$S$5001,"&lt;&gt;")=0,"",SUMIFS(BD!$S$3:$S$5001,BD!$B$3:$B$5001,E$198,BD!$A$3:$A$5001,_xlfn.MAXIFS(BD!$A$3:$A$5001,BD!$B$3:$B$5001,E$198,BD!$A$3:$A$5001,"&gt;="&amp;$C$7,BD!$A$3:$A$5001,"&lt;="&amp;$B227,BD!$S$3:$S$5001,"&lt;&gt;"))))</f>
        <v/>
      </c>
      <c r="F227" s="54" t="str">
        <f>IF(OR($B227="",$A227&gt;$B$9,F$198=""),"",IF(COUNTIFS(BD!$B$3:$B$5001,F$198,BD!$A$3:$A$5001,"&gt;="&amp;$C$7,BD!$A$3:$A$5001,"&lt;="&amp;$B227,BD!$S$3:$S$5001,"&lt;&gt;")=0,"",SUMIFS(BD!$S$3:$S$5001,BD!$B$3:$B$5001,F$198,BD!$A$3:$A$5001,_xlfn.MAXIFS(BD!$A$3:$A$5001,BD!$B$3:$B$5001,F$198,BD!$A$3:$A$5001,"&gt;="&amp;$C$7,BD!$A$3:$A$5001,"&lt;="&amp;$B227,BD!$S$3:$S$5001,"&lt;&gt;"))))</f>
        <v/>
      </c>
      <c r="G227" s="54" t="str">
        <f>IF(OR($B227="",$A227&gt;$B$9,G$198=""),"",IF(COUNTIFS(BD!$B$3:$B$5001,G$198,BD!$A$3:$A$5001,"&gt;="&amp;$C$7,BD!$A$3:$A$5001,"&lt;="&amp;$B227,BD!$S$3:$S$5001,"&lt;&gt;")=0,"",SUMIFS(BD!$S$3:$S$5001,BD!$B$3:$B$5001,G$198,BD!$A$3:$A$5001,_xlfn.MAXIFS(BD!$A$3:$A$5001,BD!$B$3:$B$5001,G$198,BD!$A$3:$A$5001,"&gt;="&amp;$C$7,BD!$A$3:$A$5001,"&lt;="&amp;$B227,BD!$S$3:$S$5001,"&lt;&gt;"))))</f>
        <v/>
      </c>
      <c r="H227" s="54" t="str">
        <f>IF(OR($B227="",$A227&gt;$B$9,H$198=""),"",IF(COUNTIFS(BD!$B$3:$B$5001,H$198,BD!$A$3:$A$5001,"&gt;="&amp;$C$7,BD!$A$3:$A$5001,"&lt;="&amp;$B227,BD!$S$3:$S$5001,"&lt;&gt;")=0,"",SUMIFS(BD!$S$3:$S$5001,BD!$B$3:$B$5001,H$198,BD!$A$3:$A$5001,_xlfn.MAXIFS(BD!$A$3:$A$5001,BD!$B$3:$B$5001,H$198,BD!$A$3:$A$5001,"&gt;="&amp;$C$7,BD!$A$3:$A$5001,"&lt;="&amp;$B227,BD!$S$3:$S$5001,"&lt;&gt;"))))</f>
        <v/>
      </c>
      <c r="I227" s="54" t="str">
        <f>IF(OR($B227="",$A227&gt;$B$9,I$198=""),"",IF(COUNTIFS(BD!$B$3:$B$5001,I$198,BD!$A$3:$A$5001,"&gt;="&amp;$C$7,BD!$A$3:$A$5001,"&lt;="&amp;$B227,BD!$S$3:$S$5001,"&lt;&gt;")=0,"",SUMIFS(BD!$S$3:$S$5001,BD!$B$3:$B$5001,I$198,BD!$A$3:$A$5001,_xlfn.MAXIFS(BD!$A$3:$A$5001,BD!$B$3:$B$5001,I$198,BD!$A$3:$A$5001,"&gt;="&amp;$C$7,BD!$A$3:$A$5001,"&lt;="&amp;$B227,BD!$S$3:$S$5001,"&lt;&gt;"))))</f>
        <v/>
      </c>
      <c r="J227" s="54" t="str">
        <f>IF(OR($B227="",$A227&gt;$B$9,J$198=""),"",IF(COUNTIFS(BD!$B$3:$B$5001,J$198,BD!$A$3:$A$5001,"&gt;="&amp;$C$7,BD!$A$3:$A$5001,"&lt;="&amp;$B227,BD!$S$3:$S$5001,"&lt;&gt;")=0,"",SUMIFS(BD!$S$3:$S$5001,BD!$B$3:$B$5001,J$198,BD!$A$3:$A$5001,_xlfn.MAXIFS(BD!$A$3:$A$5001,BD!$B$3:$B$5001,J$198,BD!$A$3:$A$5001,"&gt;="&amp;$C$7,BD!$A$3:$A$5001,"&lt;="&amp;$B227,BD!$S$3:$S$5001,"&lt;&gt;"))))</f>
        <v/>
      </c>
      <c r="K227" s="54" t="str">
        <f>IF(OR($B227="",$A227&gt;$B$9,K$198=""),"",IF(COUNTIFS(BD!$B$3:$B$5001,K$198,BD!$A$3:$A$5001,"&gt;="&amp;$C$7,BD!$A$3:$A$5001,"&lt;="&amp;$B227,BD!$S$3:$S$5001,"&lt;&gt;")=0,"",SUMIFS(BD!$S$3:$S$5001,BD!$B$3:$B$5001,K$198,BD!$A$3:$A$5001,_xlfn.MAXIFS(BD!$A$3:$A$5001,BD!$B$3:$B$5001,K$198,BD!$A$3:$A$5001,"&gt;="&amp;$C$7,BD!$A$3:$A$5001,"&lt;="&amp;$B227,BD!$S$3:$S$5001,"&lt;&gt;"))))</f>
        <v/>
      </c>
      <c r="L227" s="54" t="str">
        <f>IF(OR($B227="",$A227&gt;$B$9,L$198=""),"",IF(COUNTIFS(BD!$B$3:$B$5001,L$198,BD!$A$3:$A$5001,"&gt;="&amp;$C$7,BD!$A$3:$A$5001,"&lt;="&amp;$B227,BD!$S$3:$S$5001,"&lt;&gt;")=0,"",SUMIFS(BD!$S$3:$S$5001,BD!$B$3:$B$5001,L$198,BD!$A$3:$A$5001,_xlfn.MAXIFS(BD!$A$3:$A$5001,BD!$B$3:$B$5001,L$198,BD!$A$3:$A$5001,"&gt;="&amp;$C$7,BD!$A$3:$A$5001,"&lt;="&amp;$B227,BD!$S$3:$S$5001,"&lt;&gt;"))))</f>
        <v/>
      </c>
      <c r="M227" s="54" t="str">
        <f>IF(OR($B227="",$A227&gt;$B$9,M$198=""),"",IF(COUNTIFS(BD!$B$3:$B$5001,M$198,BD!$A$3:$A$5001,"&gt;="&amp;$C$7,BD!$A$3:$A$5001,"&lt;="&amp;$B227,BD!$S$3:$S$5001,"&lt;&gt;")=0,"",SUMIFS(BD!$S$3:$S$5001,BD!$B$3:$B$5001,M$198,BD!$A$3:$A$5001,_xlfn.MAXIFS(BD!$A$3:$A$5001,BD!$B$3:$B$5001,M$198,BD!$A$3:$A$5001,"&gt;="&amp;$C$7,BD!$A$3:$A$5001,"&lt;="&amp;$B227,BD!$S$3:$S$5001,"&lt;&gt;"))))</f>
        <v/>
      </c>
      <c r="N227" s="54" t="str">
        <f>IF(OR($B227="",$A227&gt;$B$9,N$198=""),"",IF(COUNTIFS(BD!$B$3:$B$5001,N$198,BD!$A$3:$A$5001,"&gt;="&amp;$C$7,BD!$A$3:$A$5001,"&lt;="&amp;$B227,BD!$S$3:$S$5001,"&lt;&gt;")=0,"",SUMIFS(BD!$S$3:$S$5001,BD!$B$3:$B$5001,N$198,BD!$A$3:$A$5001,_xlfn.MAXIFS(BD!$A$3:$A$5001,BD!$B$3:$B$5001,N$198,BD!$A$3:$A$5001,"&gt;="&amp;$C$7,BD!$A$3:$A$5001,"&lt;="&amp;$B227,BD!$S$3:$S$5001,"&lt;&gt;"))))</f>
        <v/>
      </c>
      <c r="O227" s="54" t="str">
        <f>IF(OR($B227="",$A227&gt;$B$9,O$198=""),"",IF(COUNTIFS(BD!$B$3:$B$5001,O$198,BD!$A$3:$A$5001,"&gt;="&amp;$C$7,BD!$A$3:$A$5001,"&lt;="&amp;$B227,BD!$S$3:$S$5001,"&lt;&gt;")=0,"",SUMIFS(BD!$S$3:$S$5001,BD!$B$3:$B$5001,O$198,BD!$A$3:$A$5001,_xlfn.MAXIFS(BD!$A$3:$A$5001,BD!$B$3:$B$5001,O$198,BD!$A$3:$A$5001,"&gt;="&amp;$C$7,BD!$A$3:$A$5001,"&lt;="&amp;$B227,BD!$S$3:$S$5001,"&lt;&gt;"))))</f>
        <v/>
      </c>
      <c r="P227" s="54" t="str">
        <f>IF(OR($B227="",$A227&gt;$B$9,P$198=""),"",IF(COUNTIFS(BD!$B$3:$B$5001,P$198,BD!$A$3:$A$5001,"&gt;="&amp;$C$7,BD!$A$3:$A$5001,"&lt;="&amp;$B227,BD!$S$3:$S$5001,"&lt;&gt;")=0,"",SUMIFS(BD!$S$3:$S$5001,BD!$B$3:$B$5001,P$198,BD!$A$3:$A$5001,_xlfn.MAXIFS(BD!$A$3:$A$5001,BD!$B$3:$B$5001,P$198,BD!$A$3:$A$5001,"&gt;="&amp;$C$7,BD!$A$3:$A$5001,"&lt;="&amp;$B227,BD!$S$3:$S$5001,"&lt;&gt;"))))</f>
        <v/>
      </c>
      <c r="Q227" s="54" t="str">
        <f>IF(OR($B227="",$A227&gt;$B$9,Q$198=""),"",IF(COUNTIFS(BD!$B$3:$B$5001,Q$198,BD!$A$3:$A$5001,"&gt;="&amp;$C$7,BD!$A$3:$A$5001,"&lt;="&amp;$B227,BD!$S$3:$S$5001,"&lt;&gt;")=0,"",SUMIFS(BD!$S$3:$S$5001,BD!$B$3:$B$5001,Q$198,BD!$A$3:$A$5001,_xlfn.MAXIFS(BD!$A$3:$A$5001,BD!$B$3:$B$5001,Q$198,BD!$A$3:$A$5001,"&gt;="&amp;$C$7,BD!$A$3:$A$5001,"&lt;="&amp;$B227,BD!$S$3:$S$5001,"&lt;&gt;"))))</f>
        <v/>
      </c>
      <c r="R227" s="54" t="str">
        <f>IF(OR($B227="",$A227&gt;$B$9,R$198=""),"",IF(COUNTIFS(BD!$B$3:$B$5001,R$198,BD!$A$3:$A$5001,"&gt;="&amp;$C$7,BD!$A$3:$A$5001,"&lt;="&amp;$B227,BD!$S$3:$S$5001,"&lt;&gt;")=0,"",SUMIFS(BD!$S$3:$S$5001,BD!$B$3:$B$5001,R$198,BD!$A$3:$A$5001,_xlfn.MAXIFS(BD!$A$3:$A$5001,BD!$B$3:$B$5001,R$198,BD!$A$3:$A$5001,"&gt;="&amp;$C$7,BD!$A$3:$A$5001,"&lt;="&amp;$B227,BD!$S$3:$S$5001,"&lt;&gt;"))))</f>
        <v/>
      </c>
      <c r="S227" s="54" t="str">
        <f>IF(OR($B227="",$A227&gt;$B$9,S$198=""),"",IF(COUNTIFS(BD!$B$3:$B$5001,S$198,BD!$A$3:$A$5001,"&gt;="&amp;$C$7,BD!$A$3:$A$5001,"&lt;="&amp;$B227,BD!$S$3:$S$5001,"&lt;&gt;")=0,"",SUMIFS(BD!$S$3:$S$5001,BD!$B$3:$B$5001,S$198,BD!$A$3:$A$5001,_xlfn.MAXIFS(BD!$A$3:$A$5001,BD!$B$3:$B$5001,S$198,BD!$A$3:$A$5001,"&gt;="&amp;$C$7,BD!$A$3:$A$5001,"&lt;="&amp;$B227,BD!$S$3:$S$5001,"&lt;&gt;"))))</f>
        <v/>
      </c>
      <c r="T227" s="54" t="str">
        <f>IF(OR($B227="",$A227&gt;$B$9,T$198=""),"",IF(COUNTIFS(BD!$B$3:$B$5001,T$198,BD!$A$3:$A$5001,"&gt;="&amp;$C$7,BD!$A$3:$A$5001,"&lt;="&amp;$B227,BD!$S$3:$S$5001,"&lt;&gt;")=0,"",SUMIFS(BD!$S$3:$S$5001,BD!$B$3:$B$5001,T$198,BD!$A$3:$A$5001,_xlfn.MAXIFS(BD!$A$3:$A$5001,BD!$B$3:$B$5001,T$198,BD!$A$3:$A$5001,"&gt;="&amp;$C$7,BD!$A$3:$A$5001,"&lt;="&amp;$B227,BD!$S$3:$S$5001,"&lt;&gt;"))))</f>
        <v/>
      </c>
      <c r="U227" s="54" t="str">
        <f>IF(OR($B227="",$A227&gt;$B$9,U$198=""),"",IF(COUNTIFS(BD!$B$3:$B$5001,U$198,BD!$A$3:$A$5001,"&gt;="&amp;$C$7,BD!$A$3:$A$5001,"&lt;="&amp;$B227,BD!$S$3:$S$5001,"&lt;&gt;")=0,"",SUMIFS(BD!$S$3:$S$5001,BD!$B$3:$B$5001,U$198,BD!$A$3:$A$5001,_xlfn.MAXIFS(BD!$A$3:$A$5001,BD!$B$3:$B$5001,U$198,BD!$A$3:$A$5001,"&gt;="&amp;$C$7,BD!$A$3:$A$5001,"&lt;="&amp;$B227,BD!$S$3:$S$5001,"&lt;&gt;"))))</f>
        <v/>
      </c>
      <c r="V227" s="54" t="str">
        <f>IF(OR($B227="",$A227&gt;$B$9,V$198=""),"",IF(COUNTIFS(BD!$B$3:$B$5001,V$198,BD!$A$3:$A$5001,"&gt;="&amp;$C$7,BD!$A$3:$A$5001,"&lt;="&amp;$B227,BD!$S$3:$S$5001,"&lt;&gt;")=0,"",SUMIFS(BD!$S$3:$S$5001,BD!$B$3:$B$5001,V$198,BD!$A$3:$A$5001,_xlfn.MAXIFS(BD!$A$3:$A$5001,BD!$B$3:$B$5001,V$198,BD!$A$3:$A$5001,"&gt;="&amp;$C$7,BD!$A$3:$A$5001,"&lt;="&amp;$B227,BD!$S$3:$S$5001,"&lt;&gt;"))))</f>
        <v/>
      </c>
    </row>
    <row r="228">
      <c r="A228" s="48">
        <v>30</v>
      </c>
      <c r="B228" s="53">
        <f>$B$41</f>
        <v>46325</v>
      </c>
      <c r="C228" s="54" t="str">
        <f>IF(OR($B228="",$A228&gt;$B$9,C$198=""),"",IF(COUNTIFS(BD!$B$3:$B$5001,C$198,BD!$A$3:$A$5001,"&gt;="&amp;$C$7,BD!$A$3:$A$5001,"&lt;="&amp;$B228,BD!$S$3:$S$5001,"&lt;&gt;")=0,"",SUMIFS(BD!$S$3:$S$5001,BD!$B$3:$B$5001,C$198,BD!$A$3:$A$5001,_xlfn.MAXIFS(BD!$A$3:$A$5001,BD!$B$3:$B$5001,C$198,BD!$A$3:$A$5001,"&gt;="&amp;$C$7,BD!$A$3:$A$5001,"&lt;="&amp;$B228,BD!$S$3:$S$5001,"&lt;&gt;"))))</f>
        <v/>
      </c>
      <c r="D228" s="54" t="str">
        <f>IF(OR($B228="",$A228&gt;$B$9,D$198=""),"",IF(COUNTIFS(BD!$B$3:$B$5001,D$198,BD!$A$3:$A$5001,"&gt;="&amp;$C$7,BD!$A$3:$A$5001,"&lt;="&amp;$B228,BD!$S$3:$S$5001,"&lt;&gt;")=0,"",SUMIFS(BD!$S$3:$S$5001,BD!$B$3:$B$5001,D$198,BD!$A$3:$A$5001,_xlfn.MAXIFS(BD!$A$3:$A$5001,BD!$B$3:$B$5001,D$198,BD!$A$3:$A$5001,"&gt;="&amp;$C$7,BD!$A$3:$A$5001,"&lt;="&amp;$B228,BD!$S$3:$S$5001,"&lt;&gt;"))))</f>
        <v/>
      </c>
      <c r="E228" s="54" t="str">
        <f>IF(OR($B228="",$A228&gt;$B$9,E$198=""),"",IF(COUNTIFS(BD!$B$3:$B$5001,E$198,BD!$A$3:$A$5001,"&gt;="&amp;$C$7,BD!$A$3:$A$5001,"&lt;="&amp;$B228,BD!$S$3:$S$5001,"&lt;&gt;")=0,"",SUMIFS(BD!$S$3:$S$5001,BD!$B$3:$B$5001,E$198,BD!$A$3:$A$5001,_xlfn.MAXIFS(BD!$A$3:$A$5001,BD!$B$3:$B$5001,E$198,BD!$A$3:$A$5001,"&gt;="&amp;$C$7,BD!$A$3:$A$5001,"&lt;="&amp;$B228,BD!$S$3:$S$5001,"&lt;&gt;"))))</f>
        <v/>
      </c>
      <c r="F228" s="54" t="str">
        <f>IF(OR($B228="",$A228&gt;$B$9,F$198=""),"",IF(COUNTIFS(BD!$B$3:$B$5001,F$198,BD!$A$3:$A$5001,"&gt;="&amp;$C$7,BD!$A$3:$A$5001,"&lt;="&amp;$B228,BD!$S$3:$S$5001,"&lt;&gt;")=0,"",SUMIFS(BD!$S$3:$S$5001,BD!$B$3:$B$5001,F$198,BD!$A$3:$A$5001,_xlfn.MAXIFS(BD!$A$3:$A$5001,BD!$B$3:$B$5001,F$198,BD!$A$3:$A$5001,"&gt;="&amp;$C$7,BD!$A$3:$A$5001,"&lt;="&amp;$B228,BD!$S$3:$S$5001,"&lt;&gt;"))))</f>
        <v/>
      </c>
      <c r="G228" s="54" t="str">
        <f>IF(OR($B228="",$A228&gt;$B$9,G$198=""),"",IF(COUNTIFS(BD!$B$3:$B$5001,G$198,BD!$A$3:$A$5001,"&gt;="&amp;$C$7,BD!$A$3:$A$5001,"&lt;="&amp;$B228,BD!$S$3:$S$5001,"&lt;&gt;")=0,"",SUMIFS(BD!$S$3:$S$5001,BD!$B$3:$B$5001,G$198,BD!$A$3:$A$5001,_xlfn.MAXIFS(BD!$A$3:$A$5001,BD!$B$3:$B$5001,G$198,BD!$A$3:$A$5001,"&gt;="&amp;$C$7,BD!$A$3:$A$5001,"&lt;="&amp;$B228,BD!$S$3:$S$5001,"&lt;&gt;"))))</f>
        <v/>
      </c>
      <c r="H228" s="54" t="str">
        <f>IF(OR($B228="",$A228&gt;$B$9,H$198=""),"",IF(COUNTIFS(BD!$B$3:$B$5001,H$198,BD!$A$3:$A$5001,"&gt;="&amp;$C$7,BD!$A$3:$A$5001,"&lt;="&amp;$B228,BD!$S$3:$S$5001,"&lt;&gt;")=0,"",SUMIFS(BD!$S$3:$S$5001,BD!$B$3:$B$5001,H$198,BD!$A$3:$A$5001,_xlfn.MAXIFS(BD!$A$3:$A$5001,BD!$B$3:$B$5001,H$198,BD!$A$3:$A$5001,"&gt;="&amp;$C$7,BD!$A$3:$A$5001,"&lt;="&amp;$B228,BD!$S$3:$S$5001,"&lt;&gt;"))))</f>
        <v/>
      </c>
      <c r="I228" s="54" t="str">
        <f>IF(OR($B228="",$A228&gt;$B$9,I$198=""),"",IF(COUNTIFS(BD!$B$3:$B$5001,I$198,BD!$A$3:$A$5001,"&gt;="&amp;$C$7,BD!$A$3:$A$5001,"&lt;="&amp;$B228,BD!$S$3:$S$5001,"&lt;&gt;")=0,"",SUMIFS(BD!$S$3:$S$5001,BD!$B$3:$B$5001,I$198,BD!$A$3:$A$5001,_xlfn.MAXIFS(BD!$A$3:$A$5001,BD!$B$3:$B$5001,I$198,BD!$A$3:$A$5001,"&gt;="&amp;$C$7,BD!$A$3:$A$5001,"&lt;="&amp;$B228,BD!$S$3:$S$5001,"&lt;&gt;"))))</f>
        <v/>
      </c>
      <c r="J228" s="54" t="str">
        <f>IF(OR($B228="",$A228&gt;$B$9,J$198=""),"",IF(COUNTIFS(BD!$B$3:$B$5001,J$198,BD!$A$3:$A$5001,"&gt;="&amp;$C$7,BD!$A$3:$A$5001,"&lt;="&amp;$B228,BD!$S$3:$S$5001,"&lt;&gt;")=0,"",SUMIFS(BD!$S$3:$S$5001,BD!$B$3:$B$5001,J$198,BD!$A$3:$A$5001,_xlfn.MAXIFS(BD!$A$3:$A$5001,BD!$B$3:$B$5001,J$198,BD!$A$3:$A$5001,"&gt;="&amp;$C$7,BD!$A$3:$A$5001,"&lt;="&amp;$B228,BD!$S$3:$S$5001,"&lt;&gt;"))))</f>
        <v/>
      </c>
      <c r="K228" s="54" t="str">
        <f>IF(OR($B228="",$A228&gt;$B$9,K$198=""),"",IF(COUNTIFS(BD!$B$3:$B$5001,K$198,BD!$A$3:$A$5001,"&gt;="&amp;$C$7,BD!$A$3:$A$5001,"&lt;="&amp;$B228,BD!$S$3:$S$5001,"&lt;&gt;")=0,"",SUMIFS(BD!$S$3:$S$5001,BD!$B$3:$B$5001,K$198,BD!$A$3:$A$5001,_xlfn.MAXIFS(BD!$A$3:$A$5001,BD!$B$3:$B$5001,K$198,BD!$A$3:$A$5001,"&gt;="&amp;$C$7,BD!$A$3:$A$5001,"&lt;="&amp;$B228,BD!$S$3:$S$5001,"&lt;&gt;"))))</f>
        <v/>
      </c>
      <c r="L228" s="54" t="str">
        <f>IF(OR($B228="",$A228&gt;$B$9,L$198=""),"",IF(COUNTIFS(BD!$B$3:$B$5001,L$198,BD!$A$3:$A$5001,"&gt;="&amp;$C$7,BD!$A$3:$A$5001,"&lt;="&amp;$B228,BD!$S$3:$S$5001,"&lt;&gt;")=0,"",SUMIFS(BD!$S$3:$S$5001,BD!$B$3:$B$5001,L$198,BD!$A$3:$A$5001,_xlfn.MAXIFS(BD!$A$3:$A$5001,BD!$B$3:$B$5001,L$198,BD!$A$3:$A$5001,"&gt;="&amp;$C$7,BD!$A$3:$A$5001,"&lt;="&amp;$B228,BD!$S$3:$S$5001,"&lt;&gt;"))))</f>
        <v/>
      </c>
      <c r="M228" s="54" t="str">
        <f>IF(OR($B228="",$A228&gt;$B$9,M$198=""),"",IF(COUNTIFS(BD!$B$3:$B$5001,M$198,BD!$A$3:$A$5001,"&gt;="&amp;$C$7,BD!$A$3:$A$5001,"&lt;="&amp;$B228,BD!$S$3:$S$5001,"&lt;&gt;")=0,"",SUMIFS(BD!$S$3:$S$5001,BD!$B$3:$B$5001,M$198,BD!$A$3:$A$5001,_xlfn.MAXIFS(BD!$A$3:$A$5001,BD!$B$3:$B$5001,M$198,BD!$A$3:$A$5001,"&gt;="&amp;$C$7,BD!$A$3:$A$5001,"&lt;="&amp;$B228,BD!$S$3:$S$5001,"&lt;&gt;"))))</f>
        <v/>
      </c>
      <c r="N228" s="54" t="str">
        <f>IF(OR($B228="",$A228&gt;$B$9,N$198=""),"",IF(COUNTIFS(BD!$B$3:$B$5001,N$198,BD!$A$3:$A$5001,"&gt;="&amp;$C$7,BD!$A$3:$A$5001,"&lt;="&amp;$B228,BD!$S$3:$S$5001,"&lt;&gt;")=0,"",SUMIFS(BD!$S$3:$S$5001,BD!$B$3:$B$5001,N$198,BD!$A$3:$A$5001,_xlfn.MAXIFS(BD!$A$3:$A$5001,BD!$B$3:$B$5001,N$198,BD!$A$3:$A$5001,"&gt;="&amp;$C$7,BD!$A$3:$A$5001,"&lt;="&amp;$B228,BD!$S$3:$S$5001,"&lt;&gt;"))))</f>
        <v/>
      </c>
      <c r="O228" s="54" t="str">
        <f>IF(OR($B228="",$A228&gt;$B$9,O$198=""),"",IF(COUNTIFS(BD!$B$3:$B$5001,O$198,BD!$A$3:$A$5001,"&gt;="&amp;$C$7,BD!$A$3:$A$5001,"&lt;="&amp;$B228,BD!$S$3:$S$5001,"&lt;&gt;")=0,"",SUMIFS(BD!$S$3:$S$5001,BD!$B$3:$B$5001,O$198,BD!$A$3:$A$5001,_xlfn.MAXIFS(BD!$A$3:$A$5001,BD!$B$3:$B$5001,O$198,BD!$A$3:$A$5001,"&gt;="&amp;$C$7,BD!$A$3:$A$5001,"&lt;="&amp;$B228,BD!$S$3:$S$5001,"&lt;&gt;"))))</f>
        <v/>
      </c>
      <c r="P228" s="54" t="str">
        <f>IF(OR($B228="",$A228&gt;$B$9,P$198=""),"",IF(COUNTIFS(BD!$B$3:$B$5001,P$198,BD!$A$3:$A$5001,"&gt;="&amp;$C$7,BD!$A$3:$A$5001,"&lt;="&amp;$B228,BD!$S$3:$S$5001,"&lt;&gt;")=0,"",SUMIFS(BD!$S$3:$S$5001,BD!$B$3:$B$5001,P$198,BD!$A$3:$A$5001,_xlfn.MAXIFS(BD!$A$3:$A$5001,BD!$B$3:$B$5001,P$198,BD!$A$3:$A$5001,"&gt;="&amp;$C$7,BD!$A$3:$A$5001,"&lt;="&amp;$B228,BD!$S$3:$S$5001,"&lt;&gt;"))))</f>
        <v/>
      </c>
      <c r="Q228" s="54" t="str">
        <f>IF(OR($B228="",$A228&gt;$B$9,Q$198=""),"",IF(COUNTIFS(BD!$B$3:$B$5001,Q$198,BD!$A$3:$A$5001,"&gt;="&amp;$C$7,BD!$A$3:$A$5001,"&lt;="&amp;$B228,BD!$S$3:$S$5001,"&lt;&gt;")=0,"",SUMIFS(BD!$S$3:$S$5001,BD!$B$3:$B$5001,Q$198,BD!$A$3:$A$5001,_xlfn.MAXIFS(BD!$A$3:$A$5001,BD!$B$3:$B$5001,Q$198,BD!$A$3:$A$5001,"&gt;="&amp;$C$7,BD!$A$3:$A$5001,"&lt;="&amp;$B228,BD!$S$3:$S$5001,"&lt;&gt;"))))</f>
        <v/>
      </c>
      <c r="R228" s="54" t="str">
        <f>IF(OR($B228="",$A228&gt;$B$9,R$198=""),"",IF(COUNTIFS(BD!$B$3:$B$5001,R$198,BD!$A$3:$A$5001,"&gt;="&amp;$C$7,BD!$A$3:$A$5001,"&lt;="&amp;$B228,BD!$S$3:$S$5001,"&lt;&gt;")=0,"",SUMIFS(BD!$S$3:$S$5001,BD!$B$3:$B$5001,R$198,BD!$A$3:$A$5001,_xlfn.MAXIFS(BD!$A$3:$A$5001,BD!$B$3:$B$5001,R$198,BD!$A$3:$A$5001,"&gt;="&amp;$C$7,BD!$A$3:$A$5001,"&lt;="&amp;$B228,BD!$S$3:$S$5001,"&lt;&gt;"))))</f>
        <v/>
      </c>
      <c r="S228" s="54" t="str">
        <f>IF(OR($B228="",$A228&gt;$B$9,S$198=""),"",IF(COUNTIFS(BD!$B$3:$B$5001,S$198,BD!$A$3:$A$5001,"&gt;="&amp;$C$7,BD!$A$3:$A$5001,"&lt;="&amp;$B228,BD!$S$3:$S$5001,"&lt;&gt;")=0,"",SUMIFS(BD!$S$3:$S$5001,BD!$B$3:$B$5001,S$198,BD!$A$3:$A$5001,_xlfn.MAXIFS(BD!$A$3:$A$5001,BD!$B$3:$B$5001,S$198,BD!$A$3:$A$5001,"&gt;="&amp;$C$7,BD!$A$3:$A$5001,"&lt;="&amp;$B228,BD!$S$3:$S$5001,"&lt;&gt;"))))</f>
        <v/>
      </c>
      <c r="T228" s="54" t="str">
        <f>IF(OR($B228="",$A228&gt;$B$9,T$198=""),"",IF(COUNTIFS(BD!$B$3:$B$5001,T$198,BD!$A$3:$A$5001,"&gt;="&amp;$C$7,BD!$A$3:$A$5001,"&lt;="&amp;$B228,BD!$S$3:$S$5001,"&lt;&gt;")=0,"",SUMIFS(BD!$S$3:$S$5001,BD!$B$3:$B$5001,T$198,BD!$A$3:$A$5001,_xlfn.MAXIFS(BD!$A$3:$A$5001,BD!$B$3:$B$5001,T$198,BD!$A$3:$A$5001,"&gt;="&amp;$C$7,BD!$A$3:$A$5001,"&lt;="&amp;$B228,BD!$S$3:$S$5001,"&lt;&gt;"))))</f>
        <v/>
      </c>
      <c r="U228" s="54" t="str">
        <f>IF(OR($B228="",$A228&gt;$B$9,U$198=""),"",IF(COUNTIFS(BD!$B$3:$B$5001,U$198,BD!$A$3:$A$5001,"&gt;="&amp;$C$7,BD!$A$3:$A$5001,"&lt;="&amp;$B228,BD!$S$3:$S$5001,"&lt;&gt;")=0,"",SUMIFS(BD!$S$3:$S$5001,BD!$B$3:$B$5001,U$198,BD!$A$3:$A$5001,_xlfn.MAXIFS(BD!$A$3:$A$5001,BD!$B$3:$B$5001,U$198,BD!$A$3:$A$5001,"&gt;="&amp;$C$7,BD!$A$3:$A$5001,"&lt;="&amp;$B228,BD!$S$3:$S$5001,"&lt;&gt;"))))</f>
        <v/>
      </c>
      <c r="V228" s="54" t="str">
        <f>IF(OR($B228="",$A228&gt;$B$9,V$198=""),"",IF(COUNTIFS(BD!$B$3:$B$5001,V$198,BD!$A$3:$A$5001,"&gt;="&amp;$C$7,BD!$A$3:$A$5001,"&lt;="&amp;$B228,BD!$S$3:$S$5001,"&lt;&gt;")=0,"",SUMIFS(BD!$S$3:$S$5001,BD!$B$3:$B$5001,V$198,BD!$A$3:$A$5001,_xlfn.MAXIFS(BD!$A$3:$A$5001,BD!$B$3:$B$5001,V$198,BD!$A$3:$A$5001,"&gt;="&amp;$C$7,BD!$A$3:$A$5001,"&lt;="&amp;$B228,BD!$S$3:$S$5001,"&lt;&gt;"))))</f>
        <v/>
      </c>
    </row>
    <row r="229">
      <c r="A229" s="48">
        <v>31</v>
      </c>
      <c r="B229" s="53">
        <f>$B$42</f>
        <v>46326</v>
      </c>
      <c r="C229" s="54" t="str">
        <f>IF(OR($B229="",$A229&gt;$B$9,C$198=""),"",IF(COUNTIFS(BD!$B$3:$B$5001,C$198,BD!$A$3:$A$5001,"&gt;="&amp;$C$7,BD!$A$3:$A$5001,"&lt;="&amp;$B229,BD!$S$3:$S$5001,"&lt;&gt;")=0,"",SUMIFS(BD!$S$3:$S$5001,BD!$B$3:$B$5001,C$198,BD!$A$3:$A$5001,_xlfn.MAXIFS(BD!$A$3:$A$5001,BD!$B$3:$B$5001,C$198,BD!$A$3:$A$5001,"&gt;="&amp;$C$7,BD!$A$3:$A$5001,"&lt;="&amp;$B229,BD!$S$3:$S$5001,"&lt;&gt;"))))</f>
        <v/>
      </c>
      <c r="D229" s="54" t="str">
        <f>IF(OR($B229="",$A229&gt;$B$9,D$198=""),"",IF(COUNTIFS(BD!$B$3:$B$5001,D$198,BD!$A$3:$A$5001,"&gt;="&amp;$C$7,BD!$A$3:$A$5001,"&lt;="&amp;$B229,BD!$S$3:$S$5001,"&lt;&gt;")=0,"",SUMIFS(BD!$S$3:$S$5001,BD!$B$3:$B$5001,D$198,BD!$A$3:$A$5001,_xlfn.MAXIFS(BD!$A$3:$A$5001,BD!$B$3:$B$5001,D$198,BD!$A$3:$A$5001,"&gt;="&amp;$C$7,BD!$A$3:$A$5001,"&lt;="&amp;$B229,BD!$S$3:$S$5001,"&lt;&gt;"))))</f>
        <v/>
      </c>
      <c r="E229" s="54" t="str">
        <f>IF(OR($B229="",$A229&gt;$B$9,E$198=""),"",IF(COUNTIFS(BD!$B$3:$B$5001,E$198,BD!$A$3:$A$5001,"&gt;="&amp;$C$7,BD!$A$3:$A$5001,"&lt;="&amp;$B229,BD!$S$3:$S$5001,"&lt;&gt;")=0,"",SUMIFS(BD!$S$3:$S$5001,BD!$B$3:$B$5001,E$198,BD!$A$3:$A$5001,_xlfn.MAXIFS(BD!$A$3:$A$5001,BD!$B$3:$B$5001,E$198,BD!$A$3:$A$5001,"&gt;="&amp;$C$7,BD!$A$3:$A$5001,"&lt;="&amp;$B229,BD!$S$3:$S$5001,"&lt;&gt;"))))</f>
        <v/>
      </c>
      <c r="F229" s="54" t="str">
        <f>IF(OR($B229="",$A229&gt;$B$9,F$198=""),"",IF(COUNTIFS(BD!$B$3:$B$5001,F$198,BD!$A$3:$A$5001,"&gt;="&amp;$C$7,BD!$A$3:$A$5001,"&lt;="&amp;$B229,BD!$S$3:$S$5001,"&lt;&gt;")=0,"",SUMIFS(BD!$S$3:$S$5001,BD!$B$3:$B$5001,F$198,BD!$A$3:$A$5001,_xlfn.MAXIFS(BD!$A$3:$A$5001,BD!$B$3:$B$5001,F$198,BD!$A$3:$A$5001,"&gt;="&amp;$C$7,BD!$A$3:$A$5001,"&lt;="&amp;$B229,BD!$S$3:$S$5001,"&lt;&gt;"))))</f>
        <v/>
      </c>
      <c r="G229" s="54" t="str">
        <f>IF(OR($B229="",$A229&gt;$B$9,G$198=""),"",IF(COUNTIFS(BD!$B$3:$B$5001,G$198,BD!$A$3:$A$5001,"&gt;="&amp;$C$7,BD!$A$3:$A$5001,"&lt;="&amp;$B229,BD!$S$3:$S$5001,"&lt;&gt;")=0,"",SUMIFS(BD!$S$3:$S$5001,BD!$B$3:$B$5001,G$198,BD!$A$3:$A$5001,_xlfn.MAXIFS(BD!$A$3:$A$5001,BD!$B$3:$B$5001,G$198,BD!$A$3:$A$5001,"&gt;="&amp;$C$7,BD!$A$3:$A$5001,"&lt;="&amp;$B229,BD!$S$3:$S$5001,"&lt;&gt;"))))</f>
        <v/>
      </c>
      <c r="H229" s="54" t="str">
        <f>IF(OR($B229="",$A229&gt;$B$9,H$198=""),"",IF(COUNTIFS(BD!$B$3:$B$5001,H$198,BD!$A$3:$A$5001,"&gt;="&amp;$C$7,BD!$A$3:$A$5001,"&lt;="&amp;$B229,BD!$S$3:$S$5001,"&lt;&gt;")=0,"",SUMIFS(BD!$S$3:$S$5001,BD!$B$3:$B$5001,H$198,BD!$A$3:$A$5001,_xlfn.MAXIFS(BD!$A$3:$A$5001,BD!$B$3:$B$5001,H$198,BD!$A$3:$A$5001,"&gt;="&amp;$C$7,BD!$A$3:$A$5001,"&lt;="&amp;$B229,BD!$S$3:$S$5001,"&lt;&gt;"))))</f>
        <v/>
      </c>
      <c r="I229" s="54" t="str">
        <f>IF(OR($B229="",$A229&gt;$B$9,I$198=""),"",IF(COUNTIFS(BD!$B$3:$B$5001,I$198,BD!$A$3:$A$5001,"&gt;="&amp;$C$7,BD!$A$3:$A$5001,"&lt;="&amp;$B229,BD!$S$3:$S$5001,"&lt;&gt;")=0,"",SUMIFS(BD!$S$3:$S$5001,BD!$B$3:$B$5001,I$198,BD!$A$3:$A$5001,_xlfn.MAXIFS(BD!$A$3:$A$5001,BD!$B$3:$B$5001,I$198,BD!$A$3:$A$5001,"&gt;="&amp;$C$7,BD!$A$3:$A$5001,"&lt;="&amp;$B229,BD!$S$3:$S$5001,"&lt;&gt;"))))</f>
        <v/>
      </c>
      <c r="J229" s="54" t="str">
        <f>IF(OR($B229="",$A229&gt;$B$9,J$198=""),"",IF(COUNTIFS(BD!$B$3:$B$5001,J$198,BD!$A$3:$A$5001,"&gt;="&amp;$C$7,BD!$A$3:$A$5001,"&lt;="&amp;$B229,BD!$S$3:$S$5001,"&lt;&gt;")=0,"",SUMIFS(BD!$S$3:$S$5001,BD!$B$3:$B$5001,J$198,BD!$A$3:$A$5001,_xlfn.MAXIFS(BD!$A$3:$A$5001,BD!$B$3:$B$5001,J$198,BD!$A$3:$A$5001,"&gt;="&amp;$C$7,BD!$A$3:$A$5001,"&lt;="&amp;$B229,BD!$S$3:$S$5001,"&lt;&gt;"))))</f>
        <v/>
      </c>
      <c r="K229" s="54" t="str">
        <f>IF(OR($B229="",$A229&gt;$B$9,K$198=""),"",IF(COUNTIFS(BD!$B$3:$B$5001,K$198,BD!$A$3:$A$5001,"&gt;="&amp;$C$7,BD!$A$3:$A$5001,"&lt;="&amp;$B229,BD!$S$3:$S$5001,"&lt;&gt;")=0,"",SUMIFS(BD!$S$3:$S$5001,BD!$B$3:$B$5001,K$198,BD!$A$3:$A$5001,_xlfn.MAXIFS(BD!$A$3:$A$5001,BD!$B$3:$B$5001,K$198,BD!$A$3:$A$5001,"&gt;="&amp;$C$7,BD!$A$3:$A$5001,"&lt;="&amp;$B229,BD!$S$3:$S$5001,"&lt;&gt;"))))</f>
        <v/>
      </c>
      <c r="L229" s="54" t="str">
        <f>IF(OR($B229="",$A229&gt;$B$9,L$198=""),"",IF(COUNTIFS(BD!$B$3:$B$5001,L$198,BD!$A$3:$A$5001,"&gt;="&amp;$C$7,BD!$A$3:$A$5001,"&lt;="&amp;$B229,BD!$S$3:$S$5001,"&lt;&gt;")=0,"",SUMIFS(BD!$S$3:$S$5001,BD!$B$3:$B$5001,L$198,BD!$A$3:$A$5001,_xlfn.MAXIFS(BD!$A$3:$A$5001,BD!$B$3:$B$5001,L$198,BD!$A$3:$A$5001,"&gt;="&amp;$C$7,BD!$A$3:$A$5001,"&lt;="&amp;$B229,BD!$S$3:$S$5001,"&lt;&gt;"))))</f>
        <v/>
      </c>
      <c r="M229" s="54" t="str">
        <f>IF(OR($B229="",$A229&gt;$B$9,M$198=""),"",IF(COUNTIFS(BD!$B$3:$B$5001,M$198,BD!$A$3:$A$5001,"&gt;="&amp;$C$7,BD!$A$3:$A$5001,"&lt;="&amp;$B229,BD!$S$3:$S$5001,"&lt;&gt;")=0,"",SUMIFS(BD!$S$3:$S$5001,BD!$B$3:$B$5001,M$198,BD!$A$3:$A$5001,_xlfn.MAXIFS(BD!$A$3:$A$5001,BD!$B$3:$B$5001,M$198,BD!$A$3:$A$5001,"&gt;="&amp;$C$7,BD!$A$3:$A$5001,"&lt;="&amp;$B229,BD!$S$3:$S$5001,"&lt;&gt;"))))</f>
        <v/>
      </c>
      <c r="N229" s="54" t="str">
        <f>IF(OR($B229="",$A229&gt;$B$9,N$198=""),"",IF(COUNTIFS(BD!$B$3:$B$5001,N$198,BD!$A$3:$A$5001,"&gt;="&amp;$C$7,BD!$A$3:$A$5001,"&lt;="&amp;$B229,BD!$S$3:$S$5001,"&lt;&gt;")=0,"",SUMIFS(BD!$S$3:$S$5001,BD!$B$3:$B$5001,N$198,BD!$A$3:$A$5001,_xlfn.MAXIFS(BD!$A$3:$A$5001,BD!$B$3:$B$5001,N$198,BD!$A$3:$A$5001,"&gt;="&amp;$C$7,BD!$A$3:$A$5001,"&lt;="&amp;$B229,BD!$S$3:$S$5001,"&lt;&gt;"))))</f>
        <v/>
      </c>
      <c r="O229" s="54" t="str">
        <f>IF(OR($B229="",$A229&gt;$B$9,O$198=""),"",IF(COUNTIFS(BD!$B$3:$B$5001,O$198,BD!$A$3:$A$5001,"&gt;="&amp;$C$7,BD!$A$3:$A$5001,"&lt;="&amp;$B229,BD!$S$3:$S$5001,"&lt;&gt;")=0,"",SUMIFS(BD!$S$3:$S$5001,BD!$B$3:$B$5001,O$198,BD!$A$3:$A$5001,_xlfn.MAXIFS(BD!$A$3:$A$5001,BD!$B$3:$B$5001,O$198,BD!$A$3:$A$5001,"&gt;="&amp;$C$7,BD!$A$3:$A$5001,"&lt;="&amp;$B229,BD!$S$3:$S$5001,"&lt;&gt;"))))</f>
        <v/>
      </c>
      <c r="P229" s="54" t="str">
        <f>IF(OR($B229="",$A229&gt;$B$9,P$198=""),"",IF(COUNTIFS(BD!$B$3:$B$5001,P$198,BD!$A$3:$A$5001,"&gt;="&amp;$C$7,BD!$A$3:$A$5001,"&lt;="&amp;$B229,BD!$S$3:$S$5001,"&lt;&gt;")=0,"",SUMIFS(BD!$S$3:$S$5001,BD!$B$3:$B$5001,P$198,BD!$A$3:$A$5001,_xlfn.MAXIFS(BD!$A$3:$A$5001,BD!$B$3:$B$5001,P$198,BD!$A$3:$A$5001,"&gt;="&amp;$C$7,BD!$A$3:$A$5001,"&lt;="&amp;$B229,BD!$S$3:$S$5001,"&lt;&gt;"))))</f>
        <v/>
      </c>
      <c r="Q229" s="54" t="str">
        <f>IF(OR($B229="",$A229&gt;$B$9,Q$198=""),"",IF(COUNTIFS(BD!$B$3:$B$5001,Q$198,BD!$A$3:$A$5001,"&gt;="&amp;$C$7,BD!$A$3:$A$5001,"&lt;="&amp;$B229,BD!$S$3:$S$5001,"&lt;&gt;")=0,"",SUMIFS(BD!$S$3:$S$5001,BD!$B$3:$B$5001,Q$198,BD!$A$3:$A$5001,_xlfn.MAXIFS(BD!$A$3:$A$5001,BD!$B$3:$B$5001,Q$198,BD!$A$3:$A$5001,"&gt;="&amp;$C$7,BD!$A$3:$A$5001,"&lt;="&amp;$B229,BD!$S$3:$S$5001,"&lt;&gt;"))))</f>
        <v/>
      </c>
      <c r="R229" s="54" t="str">
        <f>IF(OR($B229="",$A229&gt;$B$9,R$198=""),"",IF(COUNTIFS(BD!$B$3:$B$5001,R$198,BD!$A$3:$A$5001,"&gt;="&amp;$C$7,BD!$A$3:$A$5001,"&lt;="&amp;$B229,BD!$S$3:$S$5001,"&lt;&gt;")=0,"",SUMIFS(BD!$S$3:$S$5001,BD!$B$3:$B$5001,R$198,BD!$A$3:$A$5001,_xlfn.MAXIFS(BD!$A$3:$A$5001,BD!$B$3:$B$5001,R$198,BD!$A$3:$A$5001,"&gt;="&amp;$C$7,BD!$A$3:$A$5001,"&lt;="&amp;$B229,BD!$S$3:$S$5001,"&lt;&gt;"))))</f>
        <v/>
      </c>
      <c r="S229" s="54" t="str">
        <f>IF(OR($B229="",$A229&gt;$B$9,S$198=""),"",IF(COUNTIFS(BD!$B$3:$B$5001,S$198,BD!$A$3:$A$5001,"&gt;="&amp;$C$7,BD!$A$3:$A$5001,"&lt;="&amp;$B229,BD!$S$3:$S$5001,"&lt;&gt;")=0,"",SUMIFS(BD!$S$3:$S$5001,BD!$B$3:$B$5001,S$198,BD!$A$3:$A$5001,_xlfn.MAXIFS(BD!$A$3:$A$5001,BD!$B$3:$B$5001,S$198,BD!$A$3:$A$5001,"&gt;="&amp;$C$7,BD!$A$3:$A$5001,"&lt;="&amp;$B229,BD!$S$3:$S$5001,"&lt;&gt;"))))</f>
        <v/>
      </c>
      <c r="T229" s="54" t="str">
        <f>IF(OR($B229="",$A229&gt;$B$9,T$198=""),"",IF(COUNTIFS(BD!$B$3:$B$5001,T$198,BD!$A$3:$A$5001,"&gt;="&amp;$C$7,BD!$A$3:$A$5001,"&lt;="&amp;$B229,BD!$S$3:$S$5001,"&lt;&gt;")=0,"",SUMIFS(BD!$S$3:$S$5001,BD!$B$3:$B$5001,T$198,BD!$A$3:$A$5001,_xlfn.MAXIFS(BD!$A$3:$A$5001,BD!$B$3:$B$5001,T$198,BD!$A$3:$A$5001,"&gt;="&amp;$C$7,BD!$A$3:$A$5001,"&lt;="&amp;$B229,BD!$S$3:$S$5001,"&lt;&gt;"))))</f>
        <v/>
      </c>
      <c r="U229" s="54" t="str">
        <f>IF(OR($B229="",$A229&gt;$B$9,U$198=""),"",IF(COUNTIFS(BD!$B$3:$B$5001,U$198,BD!$A$3:$A$5001,"&gt;="&amp;$C$7,BD!$A$3:$A$5001,"&lt;="&amp;$B229,BD!$S$3:$S$5001,"&lt;&gt;")=0,"",SUMIFS(BD!$S$3:$S$5001,BD!$B$3:$B$5001,U$198,BD!$A$3:$A$5001,_xlfn.MAXIFS(BD!$A$3:$A$5001,BD!$B$3:$B$5001,U$198,BD!$A$3:$A$5001,"&gt;="&amp;$C$7,BD!$A$3:$A$5001,"&lt;="&amp;$B229,BD!$S$3:$S$5001,"&lt;&gt;"))))</f>
        <v/>
      </c>
      <c r="V229" s="54" t="str">
        <f>IF(OR($B229="",$A229&gt;$B$9,V$198=""),"",IF(COUNTIFS(BD!$B$3:$B$5001,V$198,BD!$A$3:$A$5001,"&gt;="&amp;$C$7,BD!$A$3:$A$5001,"&lt;="&amp;$B229,BD!$S$3:$S$5001,"&lt;&gt;")=0,"",SUMIFS(BD!$S$3:$S$5001,BD!$B$3:$B$5001,V$198,BD!$A$3:$A$5001,_xlfn.MAXIFS(BD!$A$3:$A$5001,BD!$B$3:$B$5001,V$198,BD!$A$3:$A$5001,"&gt;="&amp;$C$7,BD!$A$3:$A$5001,"&lt;="&amp;$B229,BD!$S$3:$S$5001,"&lt;&gt;"))))</f>
        <v/>
      </c>
    </row>
    <row r="230">
      <c r="A230" s="55" t="inlineStr">
        <is>
          <t xml:space="preserve">Mês anterior (último)</t>
        </is>
      </c>
      <c r="C230" s="56" t="str">
        <f>IF(C$198="","",IF(COUNTIFS(BD!$B$3:$B$5001,C$198,BD!$A$3:$A$5001,"&gt;="&amp;$C$8,BD!$A$3:$A$5001,"&lt;="&amp;$D$8,BD!$S$3:$S$5001,"&lt;&gt;")=0,"",SUMIFS(BD!$S$3:$S$5001,BD!$B$3:$B$5001,C$198,BD!$A$3:$A$5001,_xlfn.MAXIFS(BD!$A$3:$A$5001,BD!$B$3:$B$5001,C$198,BD!$A$3:$A$5001,"&gt;="&amp;$C$8,BD!$A$3:$A$5001,"&lt;="&amp;$D$8,BD!$S$3:$S$5001,"&lt;&gt;"))))</f>
        <v/>
      </c>
      <c r="D230" s="56" t="str">
        <f>IF(D$198="","",IF(COUNTIFS(BD!$B$3:$B$5001,D$198,BD!$A$3:$A$5001,"&gt;="&amp;$C$8,BD!$A$3:$A$5001,"&lt;="&amp;$D$8,BD!$S$3:$S$5001,"&lt;&gt;")=0,"",SUMIFS(BD!$S$3:$S$5001,BD!$B$3:$B$5001,D$198,BD!$A$3:$A$5001,_xlfn.MAXIFS(BD!$A$3:$A$5001,BD!$B$3:$B$5001,D$198,BD!$A$3:$A$5001,"&gt;="&amp;$C$8,BD!$A$3:$A$5001,"&lt;="&amp;$D$8,BD!$S$3:$S$5001,"&lt;&gt;"))))</f>
        <v/>
      </c>
      <c r="E230" s="56" t="str">
        <f>IF(E$198="","",IF(COUNTIFS(BD!$B$3:$B$5001,E$198,BD!$A$3:$A$5001,"&gt;="&amp;$C$8,BD!$A$3:$A$5001,"&lt;="&amp;$D$8,BD!$S$3:$S$5001,"&lt;&gt;")=0,"",SUMIFS(BD!$S$3:$S$5001,BD!$B$3:$B$5001,E$198,BD!$A$3:$A$5001,_xlfn.MAXIFS(BD!$A$3:$A$5001,BD!$B$3:$B$5001,E$198,BD!$A$3:$A$5001,"&gt;="&amp;$C$8,BD!$A$3:$A$5001,"&lt;="&amp;$D$8,BD!$S$3:$S$5001,"&lt;&gt;"))))</f>
        <v/>
      </c>
      <c r="F230" s="56" t="str">
        <f>IF(F$198="","",IF(COUNTIFS(BD!$B$3:$B$5001,F$198,BD!$A$3:$A$5001,"&gt;="&amp;$C$8,BD!$A$3:$A$5001,"&lt;="&amp;$D$8,BD!$S$3:$S$5001,"&lt;&gt;")=0,"",SUMIFS(BD!$S$3:$S$5001,BD!$B$3:$B$5001,F$198,BD!$A$3:$A$5001,_xlfn.MAXIFS(BD!$A$3:$A$5001,BD!$B$3:$B$5001,F$198,BD!$A$3:$A$5001,"&gt;="&amp;$C$8,BD!$A$3:$A$5001,"&lt;="&amp;$D$8,BD!$S$3:$S$5001,"&lt;&gt;"))))</f>
        <v/>
      </c>
      <c r="G230" s="56" t="str">
        <f>IF(G$198="","",IF(COUNTIFS(BD!$B$3:$B$5001,G$198,BD!$A$3:$A$5001,"&gt;="&amp;$C$8,BD!$A$3:$A$5001,"&lt;="&amp;$D$8,BD!$S$3:$S$5001,"&lt;&gt;")=0,"",SUMIFS(BD!$S$3:$S$5001,BD!$B$3:$B$5001,G$198,BD!$A$3:$A$5001,_xlfn.MAXIFS(BD!$A$3:$A$5001,BD!$B$3:$B$5001,G$198,BD!$A$3:$A$5001,"&gt;="&amp;$C$8,BD!$A$3:$A$5001,"&lt;="&amp;$D$8,BD!$S$3:$S$5001,"&lt;&gt;"))))</f>
        <v/>
      </c>
      <c r="H230" s="56" t="str">
        <f>IF(H$198="","",IF(COUNTIFS(BD!$B$3:$B$5001,H$198,BD!$A$3:$A$5001,"&gt;="&amp;$C$8,BD!$A$3:$A$5001,"&lt;="&amp;$D$8,BD!$S$3:$S$5001,"&lt;&gt;")=0,"",SUMIFS(BD!$S$3:$S$5001,BD!$B$3:$B$5001,H$198,BD!$A$3:$A$5001,_xlfn.MAXIFS(BD!$A$3:$A$5001,BD!$B$3:$B$5001,H$198,BD!$A$3:$A$5001,"&gt;="&amp;$C$8,BD!$A$3:$A$5001,"&lt;="&amp;$D$8,BD!$S$3:$S$5001,"&lt;&gt;"))))</f>
        <v/>
      </c>
      <c r="I230" s="56" t="str">
        <f>IF(I$198="","",IF(COUNTIFS(BD!$B$3:$B$5001,I$198,BD!$A$3:$A$5001,"&gt;="&amp;$C$8,BD!$A$3:$A$5001,"&lt;="&amp;$D$8,BD!$S$3:$S$5001,"&lt;&gt;")=0,"",SUMIFS(BD!$S$3:$S$5001,BD!$B$3:$B$5001,I$198,BD!$A$3:$A$5001,_xlfn.MAXIFS(BD!$A$3:$A$5001,BD!$B$3:$B$5001,I$198,BD!$A$3:$A$5001,"&gt;="&amp;$C$8,BD!$A$3:$A$5001,"&lt;="&amp;$D$8,BD!$S$3:$S$5001,"&lt;&gt;"))))</f>
        <v/>
      </c>
      <c r="J230" s="56" t="str">
        <f>IF(J$198="","",IF(COUNTIFS(BD!$B$3:$B$5001,J$198,BD!$A$3:$A$5001,"&gt;="&amp;$C$8,BD!$A$3:$A$5001,"&lt;="&amp;$D$8,BD!$S$3:$S$5001,"&lt;&gt;")=0,"",SUMIFS(BD!$S$3:$S$5001,BD!$B$3:$B$5001,J$198,BD!$A$3:$A$5001,_xlfn.MAXIFS(BD!$A$3:$A$5001,BD!$B$3:$B$5001,J$198,BD!$A$3:$A$5001,"&gt;="&amp;$C$8,BD!$A$3:$A$5001,"&lt;="&amp;$D$8,BD!$S$3:$S$5001,"&lt;&gt;"))))</f>
        <v/>
      </c>
      <c r="K230" s="56" t="str">
        <f>IF(K$198="","",IF(COUNTIFS(BD!$B$3:$B$5001,K$198,BD!$A$3:$A$5001,"&gt;="&amp;$C$8,BD!$A$3:$A$5001,"&lt;="&amp;$D$8,BD!$S$3:$S$5001,"&lt;&gt;")=0,"",SUMIFS(BD!$S$3:$S$5001,BD!$B$3:$B$5001,K$198,BD!$A$3:$A$5001,_xlfn.MAXIFS(BD!$A$3:$A$5001,BD!$B$3:$B$5001,K$198,BD!$A$3:$A$5001,"&gt;="&amp;$C$8,BD!$A$3:$A$5001,"&lt;="&amp;$D$8,BD!$S$3:$S$5001,"&lt;&gt;"))))</f>
        <v/>
      </c>
      <c r="L230" s="56" t="str">
        <f>IF(L$198="","",IF(COUNTIFS(BD!$B$3:$B$5001,L$198,BD!$A$3:$A$5001,"&gt;="&amp;$C$8,BD!$A$3:$A$5001,"&lt;="&amp;$D$8,BD!$S$3:$S$5001,"&lt;&gt;")=0,"",SUMIFS(BD!$S$3:$S$5001,BD!$B$3:$B$5001,L$198,BD!$A$3:$A$5001,_xlfn.MAXIFS(BD!$A$3:$A$5001,BD!$B$3:$B$5001,L$198,BD!$A$3:$A$5001,"&gt;="&amp;$C$8,BD!$A$3:$A$5001,"&lt;="&amp;$D$8,BD!$S$3:$S$5001,"&lt;&gt;"))))</f>
        <v/>
      </c>
      <c r="M230" s="56" t="str">
        <f>IF(M$198="","",IF(COUNTIFS(BD!$B$3:$B$5001,M$198,BD!$A$3:$A$5001,"&gt;="&amp;$C$8,BD!$A$3:$A$5001,"&lt;="&amp;$D$8,BD!$S$3:$S$5001,"&lt;&gt;")=0,"",SUMIFS(BD!$S$3:$S$5001,BD!$B$3:$B$5001,M$198,BD!$A$3:$A$5001,_xlfn.MAXIFS(BD!$A$3:$A$5001,BD!$B$3:$B$5001,M$198,BD!$A$3:$A$5001,"&gt;="&amp;$C$8,BD!$A$3:$A$5001,"&lt;="&amp;$D$8,BD!$S$3:$S$5001,"&lt;&gt;"))))</f>
        <v/>
      </c>
      <c r="N230" s="56" t="str">
        <f>IF(N$198="","",IF(COUNTIFS(BD!$B$3:$B$5001,N$198,BD!$A$3:$A$5001,"&gt;="&amp;$C$8,BD!$A$3:$A$5001,"&lt;="&amp;$D$8,BD!$S$3:$S$5001,"&lt;&gt;")=0,"",SUMIFS(BD!$S$3:$S$5001,BD!$B$3:$B$5001,N$198,BD!$A$3:$A$5001,_xlfn.MAXIFS(BD!$A$3:$A$5001,BD!$B$3:$B$5001,N$198,BD!$A$3:$A$5001,"&gt;="&amp;$C$8,BD!$A$3:$A$5001,"&lt;="&amp;$D$8,BD!$S$3:$S$5001,"&lt;&gt;"))))</f>
        <v/>
      </c>
      <c r="O230" s="56" t="str">
        <f>IF(O$198="","",IF(COUNTIFS(BD!$B$3:$B$5001,O$198,BD!$A$3:$A$5001,"&gt;="&amp;$C$8,BD!$A$3:$A$5001,"&lt;="&amp;$D$8,BD!$S$3:$S$5001,"&lt;&gt;")=0,"",SUMIFS(BD!$S$3:$S$5001,BD!$B$3:$B$5001,O$198,BD!$A$3:$A$5001,_xlfn.MAXIFS(BD!$A$3:$A$5001,BD!$B$3:$B$5001,O$198,BD!$A$3:$A$5001,"&gt;="&amp;$C$8,BD!$A$3:$A$5001,"&lt;="&amp;$D$8,BD!$S$3:$S$5001,"&lt;&gt;"))))</f>
        <v/>
      </c>
      <c r="P230" s="56" t="str">
        <f>IF(P$198="","",IF(COUNTIFS(BD!$B$3:$B$5001,P$198,BD!$A$3:$A$5001,"&gt;="&amp;$C$8,BD!$A$3:$A$5001,"&lt;="&amp;$D$8,BD!$S$3:$S$5001,"&lt;&gt;")=0,"",SUMIFS(BD!$S$3:$S$5001,BD!$B$3:$B$5001,P$198,BD!$A$3:$A$5001,_xlfn.MAXIFS(BD!$A$3:$A$5001,BD!$B$3:$B$5001,P$198,BD!$A$3:$A$5001,"&gt;="&amp;$C$8,BD!$A$3:$A$5001,"&lt;="&amp;$D$8,BD!$S$3:$S$5001,"&lt;&gt;"))))</f>
        <v/>
      </c>
      <c r="Q230" s="56" t="str">
        <f>IF(Q$198="","",IF(COUNTIFS(BD!$B$3:$B$5001,Q$198,BD!$A$3:$A$5001,"&gt;="&amp;$C$8,BD!$A$3:$A$5001,"&lt;="&amp;$D$8,BD!$S$3:$S$5001,"&lt;&gt;")=0,"",SUMIFS(BD!$S$3:$S$5001,BD!$B$3:$B$5001,Q$198,BD!$A$3:$A$5001,_xlfn.MAXIFS(BD!$A$3:$A$5001,BD!$B$3:$B$5001,Q$198,BD!$A$3:$A$5001,"&gt;="&amp;$C$8,BD!$A$3:$A$5001,"&lt;="&amp;$D$8,BD!$S$3:$S$5001,"&lt;&gt;"))))</f>
        <v/>
      </c>
      <c r="R230" s="56" t="str">
        <f>IF(R$198="","",IF(COUNTIFS(BD!$B$3:$B$5001,R$198,BD!$A$3:$A$5001,"&gt;="&amp;$C$8,BD!$A$3:$A$5001,"&lt;="&amp;$D$8,BD!$S$3:$S$5001,"&lt;&gt;")=0,"",SUMIFS(BD!$S$3:$S$5001,BD!$B$3:$B$5001,R$198,BD!$A$3:$A$5001,_xlfn.MAXIFS(BD!$A$3:$A$5001,BD!$B$3:$B$5001,R$198,BD!$A$3:$A$5001,"&gt;="&amp;$C$8,BD!$A$3:$A$5001,"&lt;="&amp;$D$8,BD!$S$3:$S$5001,"&lt;&gt;"))))</f>
        <v/>
      </c>
      <c r="S230" s="56" t="str">
        <f>IF(S$198="","",IF(COUNTIFS(BD!$B$3:$B$5001,S$198,BD!$A$3:$A$5001,"&gt;="&amp;$C$8,BD!$A$3:$A$5001,"&lt;="&amp;$D$8,BD!$S$3:$S$5001,"&lt;&gt;")=0,"",SUMIFS(BD!$S$3:$S$5001,BD!$B$3:$B$5001,S$198,BD!$A$3:$A$5001,_xlfn.MAXIFS(BD!$A$3:$A$5001,BD!$B$3:$B$5001,S$198,BD!$A$3:$A$5001,"&gt;="&amp;$C$8,BD!$A$3:$A$5001,"&lt;="&amp;$D$8,BD!$S$3:$S$5001,"&lt;&gt;"))))</f>
        <v/>
      </c>
      <c r="T230" s="56" t="str">
        <f>IF(T$198="","",IF(COUNTIFS(BD!$B$3:$B$5001,T$198,BD!$A$3:$A$5001,"&gt;="&amp;$C$8,BD!$A$3:$A$5001,"&lt;="&amp;$D$8,BD!$S$3:$S$5001,"&lt;&gt;")=0,"",SUMIFS(BD!$S$3:$S$5001,BD!$B$3:$B$5001,T$198,BD!$A$3:$A$5001,_xlfn.MAXIFS(BD!$A$3:$A$5001,BD!$B$3:$B$5001,T$198,BD!$A$3:$A$5001,"&gt;="&amp;$C$8,BD!$A$3:$A$5001,"&lt;="&amp;$D$8,BD!$S$3:$S$5001,"&lt;&gt;"))))</f>
        <v/>
      </c>
      <c r="U230" s="56" t="str">
        <f>IF(U$198="","",IF(COUNTIFS(BD!$B$3:$B$5001,U$198,BD!$A$3:$A$5001,"&gt;="&amp;$C$8,BD!$A$3:$A$5001,"&lt;="&amp;$D$8,BD!$S$3:$S$5001,"&lt;&gt;")=0,"",SUMIFS(BD!$S$3:$S$5001,BD!$B$3:$B$5001,U$198,BD!$A$3:$A$5001,_xlfn.MAXIFS(BD!$A$3:$A$5001,BD!$B$3:$B$5001,U$198,BD!$A$3:$A$5001,"&gt;="&amp;$C$8,BD!$A$3:$A$5001,"&lt;="&amp;$D$8,BD!$S$3:$S$5001,"&lt;&gt;"))))</f>
        <v/>
      </c>
      <c r="V230" s="56" t="str">
        <f>IF(V$198="","",IF(COUNTIFS(BD!$B$3:$B$5001,V$198,BD!$A$3:$A$5001,"&gt;="&amp;$C$8,BD!$A$3:$A$5001,"&lt;="&amp;$D$8,BD!$S$3:$S$5001,"&lt;&gt;")=0,"",SUMIFS(BD!$S$3:$S$5001,BD!$B$3:$B$5001,V$198,BD!$A$3:$A$5001,_xlfn.MAXIFS(BD!$A$3:$A$5001,BD!$B$3:$B$5001,V$198,BD!$A$3:$A$5001,"&gt;="&amp;$C$8,BD!$A$3:$A$5001,"&lt;="&amp;$D$8,BD!$S$3:$S$5001,"&lt;&gt;"))))</f>
        <v/>
      </c>
    </row>
    <row r="231">
      <c r="A231" s="55" t="inlineStr">
        <is>
          <t xml:space="preserve">Depósito</t>
        </is>
      </c>
      <c r="C231" s="48" t="str">
        <f>IF(Config!$C$10="","JSL",Config!$C$10)</f>
        <v>JSL</v>
      </c>
      <c r="D231" s="48" t="str">
        <f>IF(Config!$C$11="","JSL",Config!$C$11)</f>
        <v>JSL</v>
      </c>
      <c r="E231" s="48" t="str">
        <f>IF(Config!$C$12="","JSL",Config!$C$12)</f>
        <v>JSL</v>
      </c>
      <c r="F231" s="48" t="str">
        <f>IF(Config!$C$13="","JSL",Config!$C$13)</f>
        <v>JSL</v>
      </c>
      <c r="G231" s="48" t="str">
        <f>IF(Config!$C$14="","JSL",Config!$C$14)</f>
        <v>JSL</v>
      </c>
      <c r="H231" s="48" t="str">
        <f>IF(Config!$C$15="","JSL",Config!$C$15)</f>
        <v>JSL</v>
      </c>
      <c r="I231" s="48" t="str">
        <f>IF(Config!$C$16="","JSL",Config!$C$16)</f>
        <v>JSL</v>
      </c>
      <c r="J231" s="48" t="str">
        <f>IF(Config!$C$17="","JSL",Config!$C$17)</f>
        <v>JSL</v>
      </c>
      <c r="K231" s="48" t="str">
        <f>IF(Config!$C$18="","JSL",Config!$C$18)</f>
        <v>JSL</v>
      </c>
      <c r="L231" s="48" t="str">
        <f>IF(Config!$C$19="","JSL",Config!$C$19)</f>
        <v>JSL</v>
      </c>
      <c r="M231" s="48" t="str">
        <f>IF(Config!$C$20="","JSL",Config!$C$20)</f>
        <v>JSL</v>
      </c>
      <c r="N231" s="48" t="str">
        <f>IF(Config!$C$21="","JSL",Config!$C$21)</f>
        <v>JSL</v>
      </c>
      <c r="O231" s="48" t="str">
        <f>IF(Config!$C$22="","JSL",Config!$C$22)</f>
        <v>JSL</v>
      </c>
      <c r="P231" s="48" t="str">
        <f>IF(Config!$C$23="","JSL",Config!$C$23)</f>
        <v>JSL</v>
      </c>
      <c r="Q231" s="48" t="str">
        <f>IF(Config!$C$24="","JSL",Config!$C$24)</f>
        <v>JSL</v>
      </c>
      <c r="R231" s="48" t="str">
        <f>IF(Config!$C$25="","JSL",Config!$C$25)</f>
        <v>JSL</v>
      </c>
      <c r="S231" s="48" t="str">
        <f>IF(Config!$C$26="","JSL",Config!$C$26)</f>
        <v>JSL</v>
      </c>
      <c r="T231" s="48" t="str">
        <f>IF(Config!$C$27="","JSL",Config!$C$27)</f>
        <v>JSL</v>
      </c>
      <c r="U231" s="48" t="str">
        <f>IF(Config!$C$28="","JSL",Config!$C$28)</f>
        <v>JSL</v>
      </c>
      <c r="V231" s="48" t="str">
        <f>IF(Config!$C$29="","JSL",Config!$C$29)</f>
        <v>JSL</v>
      </c>
    </row>
    <row r="233">
      <c r="A233" s="47" t="inlineStr">
        <is>
          <t xml:space="preserve">Posições Disponíveis</t>
        </is>
      </c>
      <c r="B233" s="47" t="inlineStr">
        <is>
          <t xml:space="preserve">Data</t>
        </is>
      </c>
      <c r="C233" s="47" t="str">
        <f>Config!$B$10&amp;""</f>
        <v>Barry Callebaut</v>
      </c>
      <c r="D233" s="47" t="str">
        <f>Config!$B$11&amp;""</f>
        <v>GM</v>
      </c>
      <c r="E233" s="47" t="str">
        <f>Config!$B$12&amp;""</f>
        <v>Mondelez</v>
      </c>
      <c r="F233" s="47" t="str">
        <f>Config!$B$13&amp;""</f>
        <v>Nestlé</v>
      </c>
      <c r="G233" s="47" t="str">
        <f>Config!$B$14&amp;""</f>
        <v>PMB</v>
      </c>
      <c r="H233" s="47" t="str">
        <f>Config!$B$15&amp;""</f>
        <v/>
      </c>
      <c r="I233" s="47" t="str">
        <f>Config!$B$16&amp;""</f>
        <v/>
      </c>
      <c r="J233" s="47" t="str">
        <f>Config!$B$17&amp;""</f>
        <v/>
      </c>
      <c r="K233" s="47" t="str">
        <f>Config!$B$18&amp;""</f>
        <v/>
      </c>
      <c r="L233" s="47" t="str">
        <f>Config!$B$19&amp;""</f>
        <v/>
      </c>
      <c r="M233" s="47" t="str">
        <f>Config!$B$20&amp;""</f>
        <v/>
      </c>
      <c r="N233" s="47" t="str">
        <f>Config!$B$21&amp;""</f>
        <v/>
      </c>
      <c r="O233" s="47" t="str">
        <f>Config!$B$22&amp;""</f>
        <v/>
      </c>
      <c r="P233" s="47" t="str">
        <f>Config!$B$23&amp;""</f>
        <v/>
      </c>
      <c r="Q233" s="47" t="str">
        <f>Config!$B$24&amp;""</f>
        <v/>
      </c>
      <c r="R233" s="47" t="str">
        <f>Config!$B$25&amp;""</f>
        <v/>
      </c>
      <c r="S233" s="47" t="str">
        <f>Config!$B$26&amp;""</f>
        <v/>
      </c>
      <c r="T233" s="47" t="str">
        <f>Config!$B$27&amp;""</f>
        <v/>
      </c>
      <c r="U233" s="47" t="str">
        <f>Config!$B$28&amp;""</f>
        <v/>
      </c>
      <c r="V233" s="47" t="str">
        <f>Config!$B$29&amp;""</f>
        <v/>
      </c>
    </row>
    <row r="234">
      <c r="A234" s="48">
        <v>1</v>
      </c>
      <c r="B234" s="53">
        <f>$B$12</f>
        <v>46296</v>
      </c>
      <c r="C234" s="54" t="str">
        <f>IF(OR($B234="",$A234&gt;$B$9,C$233=""),"",IF(COUNTIFS(BD!$B$3:$B$5001,C$233,BD!$A$3:$A$5001,"&gt;="&amp;$C$7,BD!$A$3:$A$5001,"&lt;="&amp;$B234,BD!$R$3:$R$5001,"&lt;&gt;")=0,"",SUMIFS(BD!$R$3:$R$5001,BD!$B$3:$B$5001,C$233,BD!$A$3:$A$5001,_xlfn.MAXIFS(BD!$A$3:$A$5001,BD!$B$3:$B$5001,C$233,BD!$A$3:$A$5001,"&gt;="&amp;$C$7,BD!$A$3:$A$5001,"&lt;="&amp;$B234,BD!$R$3:$R$5001,"&lt;&gt;"))))</f>
        <v/>
      </c>
      <c r="D234" s="54" t="str">
        <f>IF(OR($B234="",$A234&gt;$B$9,D$233=""),"",IF(COUNTIFS(BD!$B$3:$B$5001,D$233,BD!$A$3:$A$5001,"&gt;="&amp;$C$7,BD!$A$3:$A$5001,"&lt;="&amp;$B234,BD!$R$3:$R$5001,"&lt;&gt;")=0,"",SUMIFS(BD!$R$3:$R$5001,BD!$B$3:$B$5001,D$233,BD!$A$3:$A$5001,_xlfn.MAXIFS(BD!$A$3:$A$5001,BD!$B$3:$B$5001,D$233,BD!$A$3:$A$5001,"&gt;="&amp;$C$7,BD!$A$3:$A$5001,"&lt;="&amp;$B234,BD!$R$3:$R$5001,"&lt;&gt;"))))</f>
        <v/>
      </c>
      <c r="E234" s="54" t="str">
        <f>IF(OR($B234="",$A234&gt;$B$9,E$233=""),"",IF(COUNTIFS(BD!$B$3:$B$5001,E$233,BD!$A$3:$A$5001,"&gt;="&amp;$C$7,BD!$A$3:$A$5001,"&lt;="&amp;$B234,BD!$R$3:$R$5001,"&lt;&gt;")=0,"",SUMIFS(BD!$R$3:$R$5001,BD!$B$3:$B$5001,E$233,BD!$A$3:$A$5001,_xlfn.MAXIFS(BD!$A$3:$A$5001,BD!$B$3:$B$5001,E$233,BD!$A$3:$A$5001,"&gt;="&amp;$C$7,BD!$A$3:$A$5001,"&lt;="&amp;$B234,BD!$R$3:$R$5001,"&lt;&gt;"))))</f>
        <v/>
      </c>
      <c r="F234" s="54" t="str">
        <f>IF(OR($B234="",$A234&gt;$B$9,F$233=""),"",IF(COUNTIFS(BD!$B$3:$B$5001,F$233,BD!$A$3:$A$5001,"&gt;="&amp;$C$7,BD!$A$3:$A$5001,"&lt;="&amp;$B234,BD!$R$3:$R$5001,"&lt;&gt;")=0,"",SUMIFS(BD!$R$3:$R$5001,BD!$B$3:$B$5001,F$233,BD!$A$3:$A$5001,_xlfn.MAXIFS(BD!$A$3:$A$5001,BD!$B$3:$B$5001,F$233,BD!$A$3:$A$5001,"&gt;="&amp;$C$7,BD!$A$3:$A$5001,"&lt;="&amp;$B234,BD!$R$3:$R$5001,"&lt;&gt;"))))</f>
        <v/>
      </c>
      <c r="G234" s="54" t="str">
        <f>IF(OR($B234="",$A234&gt;$B$9,G$233=""),"",IF(COUNTIFS(BD!$B$3:$B$5001,G$233,BD!$A$3:$A$5001,"&gt;="&amp;$C$7,BD!$A$3:$A$5001,"&lt;="&amp;$B234,BD!$R$3:$R$5001,"&lt;&gt;")=0,"",SUMIFS(BD!$R$3:$R$5001,BD!$B$3:$B$5001,G$233,BD!$A$3:$A$5001,_xlfn.MAXIFS(BD!$A$3:$A$5001,BD!$B$3:$B$5001,G$233,BD!$A$3:$A$5001,"&gt;="&amp;$C$7,BD!$A$3:$A$5001,"&lt;="&amp;$B234,BD!$R$3:$R$5001,"&lt;&gt;"))))</f>
        <v/>
      </c>
      <c r="H234" s="54" t="str">
        <f>IF(OR($B234="",$A234&gt;$B$9,H$233=""),"",IF(COUNTIFS(BD!$B$3:$B$5001,H$233,BD!$A$3:$A$5001,"&gt;="&amp;$C$7,BD!$A$3:$A$5001,"&lt;="&amp;$B234,BD!$R$3:$R$5001,"&lt;&gt;")=0,"",SUMIFS(BD!$R$3:$R$5001,BD!$B$3:$B$5001,H$233,BD!$A$3:$A$5001,_xlfn.MAXIFS(BD!$A$3:$A$5001,BD!$B$3:$B$5001,H$233,BD!$A$3:$A$5001,"&gt;="&amp;$C$7,BD!$A$3:$A$5001,"&lt;="&amp;$B234,BD!$R$3:$R$5001,"&lt;&gt;"))))</f>
        <v/>
      </c>
      <c r="I234" s="54" t="str">
        <f>IF(OR($B234="",$A234&gt;$B$9,I$233=""),"",IF(COUNTIFS(BD!$B$3:$B$5001,I$233,BD!$A$3:$A$5001,"&gt;="&amp;$C$7,BD!$A$3:$A$5001,"&lt;="&amp;$B234,BD!$R$3:$R$5001,"&lt;&gt;")=0,"",SUMIFS(BD!$R$3:$R$5001,BD!$B$3:$B$5001,I$233,BD!$A$3:$A$5001,_xlfn.MAXIFS(BD!$A$3:$A$5001,BD!$B$3:$B$5001,I$233,BD!$A$3:$A$5001,"&gt;="&amp;$C$7,BD!$A$3:$A$5001,"&lt;="&amp;$B234,BD!$R$3:$R$5001,"&lt;&gt;"))))</f>
        <v/>
      </c>
      <c r="J234" s="54" t="str">
        <f>IF(OR($B234="",$A234&gt;$B$9,J$233=""),"",IF(COUNTIFS(BD!$B$3:$B$5001,J$233,BD!$A$3:$A$5001,"&gt;="&amp;$C$7,BD!$A$3:$A$5001,"&lt;="&amp;$B234,BD!$R$3:$R$5001,"&lt;&gt;")=0,"",SUMIFS(BD!$R$3:$R$5001,BD!$B$3:$B$5001,J$233,BD!$A$3:$A$5001,_xlfn.MAXIFS(BD!$A$3:$A$5001,BD!$B$3:$B$5001,J$233,BD!$A$3:$A$5001,"&gt;="&amp;$C$7,BD!$A$3:$A$5001,"&lt;="&amp;$B234,BD!$R$3:$R$5001,"&lt;&gt;"))))</f>
        <v/>
      </c>
      <c r="K234" s="54" t="str">
        <f>IF(OR($B234="",$A234&gt;$B$9,K$233=""),"",IF(COUNTIFS(BD!$B$3:$B$5001,K$233,BD!$A$3:$A$5001,"&gt;="&amp;$C$7,BD!$A$3:$A$5001,"&lt;="&amp;$B234,BD!$R$3:$R$5001,"&lt;&gt;")=0,"",SUMIFS(BD!$R$3:$R$5001,BD!$B$3:$B$5001,K$233,BD!$A$3:$A$5001,_xlfn.MAXIFS(BD!$A$3:$A$5001,BD!$B$3:$B$5001,K$233,BD!$A$3:$A$5001,"&gt;="&amp;$C$7,BD!$A$3:$A$5001,"&lt;="&amp;$B234,BD!$R$3:$R$5001,"&lt;&gt;"))))</f>
        <v/>
      </c>
      <c r="L234" s="54" t="str">
        <f>IF(OR($B234="",$A234&gt;$B$9,L$233=""),"",IF(COUNTIFS(BD!$B$3:$B$5001,L$233,BD!$A$3:$A$5001,"&gt;="&amp;$C$7,BD!$A$3:$A$5001,"&lt;="&amp;$B234,BD!$R$3:$R$5001,"&lt;&gt;")=0,"",SUMIFS(BD!$R$3:$R$5001,BD!$B$3:$B$5001,L$233,BD!$A$3:$A$5001,_xlfn.MAXIFS(BD!$A$3:$A$5001,BD!$B$3:$B$5001,L$233,BD!$A$3:$A$5001,"&gt;="&amp;$C$7,BD!$A$3:$A$5001,"&lt;="&amp;$B234,BD!$R$3:$R$5001,"&lt;&gt;"))))</f>
        <v/>
      </c>
      <c r="M234" s="54" t="str">
        <f>IF(OR($B234="",$A234&gt;$B$9,M$233=""),"",IF(COUNTIFS(BD!$B$3:$B$5001,M$233,BD!$A$3:$A$5001,"&gt;="&amp;$C$7,BD!$A$3:$A$5001,"&lt;="&amp;$B234,BD!$R$3:$R$5001,"&lt;&gt;")=0,"",SUMIFS(BD!$R$3:$R$5001,BD!$B$3:$B$5001,M$233,BD!$A$3:$A$5001,_xlfn.MAXIFS(BD!$A$3:$A$5001,BD!$B$3:$B$5001,M$233,BD!$A$3:$A$5001,"&gt;="&amp;$C$7,BD!$A$3:$A$5001,"&lt;="&amp;$B234,BD!$R$3:$R$5001,"&lt;&gt;"))))</f>
        <v/>
      </c>
      <c r="N234" s="54" t="str">
        <f>IF(OR($B234="",$A234&gt;$B$9,N$233=""),"",IF(COUNTIFS(BD!$B$3:$B$5001,N$233,BD!$A$3:$A$5001,"&gt;="&amp;$C$7,BD!$A$3:$A$5001,"&lt;="&amp;$B234,BD!$R$3:$R$5001,"&lt;&gt;")=0,"",SUMIFS(BD!$R$3:$R$5001,BD!$B$3:$B$5001,N$233,BD!$A$3:$A$5001,_xlfn.MAXIFS(BD!$A$3:$A$5001,BD!$B$3:$B$5001,N$233,BD!$A$3:$A$5001,"&gt;="&amp;$C$7,BD!$A$3:$A$5001,"&lt;="&amp;$B234,BD!$R$3:$R$5001,"&lt;&gt;"))))</f>
        <v/>
      </c>
      <c r="O234" s="54" t="str">
        <f>IF(OR($B234="",$A234&gt;$B$9,O$233=""),"",IF(COUNTIFS(BD!$B$3:$B$5001,O$233,BD!$A$3:$A$5001,"&gt;="&amp;$C$7,BD!$A$3:$A$5001,"&lt;="&amp;$B234,BD!$R$3:$R$5001,"&lt;&gt;")=0,"",SUMIFS(BD!$R$3:$R$5001,BD!$B$3:$B$5001,O$233,BD!$A$3:$A$5001,_xlfn.MAXIFS(BD!$A$3:$A$5001,BD!$B$3:$B$5001,O$233,BD!$A$3:$A$5001,"&gt;="&amp;$C$7,BD!$A$3:$A$5001,"&lt;="&amp;$B234,BD!$R$3:$R$5001,"&lt;&gt;"))))</f>
        <v/>
      </c>
      <c r="P234" s="54" t="str">
        <f>IF(OR($B234="",$A234&gt;$B$9,P$233=""),"",IF(COUNTIFS(BD!$B$3:$B$5001,P$233,BD!$A$3:$A$5001,"&gt;="&amp;$C$7,BD!$A$3:$A$5001,"&lt;="&amp;$B234,BD!$R$3:$R$5001,"&lt;&gt;")=0,"",SUMIFS(BD!$R$3:$R$5001,BD!$B$3:$B$5001,P$233,BD!$A$3:$A$5001,_xlfn.MAXIFS(BD!$A$3:$A$5001,BD!$B$3:$B$5001,P$233,BD!$A$3:$A$5001,"&gt;="&amp;$C$7,BD!$A$3:$A$5001,"&lt;="&amp;$B234,BD!$R$3:$R$5001,"&lt;&gt;"))))</f>
        <v/>
      </c>
      <c r="Q234" s="54" t="str">
        <f>IF(OR($B234="",$A234&gt;$B$9,Q$233=""),"",IF(COUNTIFS(BD!$B$3:$B$5001,Q$233,BD!$A$3:$A$5001,"&gt;="&amp;$C$7,BD!$A$3:$A$5001,"&lt;="&amp;$B234,BD!$R$3:$R$5001,"&lt;&gt;")=0,"",SUMIFS(BD!$R$3:$R$5001,BD!$B$3:$B$5001,Q$233,BD!$A$3:$A$5001,_xlfn.MAXIFS(BD!$A$3:$A$5001,BD!$B$3:$B$5001,Q$233,BD!$A$3:$A$5001,"&gt;="&amp;$C$7,BD!$A$3:$A$5001,"&lt;="&amp;$B234,BD!$R$3:$R$5001,"&lt;&gt;"))))</f>
        <v/>
      </c>
      <c r="R234" s="54" t="str">
        <f>IF(OR($B234="",$A234&gt;$B$9,R$233=""),"",IF(COUNTIFS(BD!$B$3:$B$5001,R$233,BD!$A$3:$A$5001,"&gt;="&amp;$C$7,BD!$A$3:$A$5001,"&lt;="&amp;$B234,BD!$R$3:$R$5001,"&lt;&gt;")=0,"",SUMIFS(BD!$R$3:$R$5001,BD!$B$3:$B$5001,R$233,BD!$A$3:$A$5001,_xlfn.MAXIFS(BD!$A$3:$A$5001,BD!$B$3:$B$5001,R$233,BD!$A$3:$A$5001,"&gt;="&amp;$C$7,BD!$A$3:$A$5001,"&lt;="&amp;$B234,BD!$R$3:$R$5001,"&lt;&gt;"))))</f>
        <v/>
      </c>
      <c r="S234" s="54" t="str">
        <f>IF(OR($B234="",$A234&gt;$B$9,S$233=""),"",IF(COUNTIFS(BD!$B$3:$B$5001,S$233,BD!$A$3:$A$5001,"&gt;="&amp;$C$7,BD!$A$3:$A$5001,"&lt;="&amp;$B234,BD!$R$3:$R$5001,"&lt;&gt;")=0,"",SUMIFS(BD!$R$3:$R$5001,BD!$B$3:$B$5001,S$233,BD!$A$3:$A$5001,_xlfn.MAXIFS(BD!$A$3:$A$5001,BD!$B$3:$B$5001,S$233,BD!$A$3:$A$5001,"&gt;="&amp;$C$7,BD!$A$3:$A$5001,"&lt;="&amp;$B234,BD!$R$3:$R$5001,"&lt;&gt;"))))</f>
        <v/>
      </c>
      <c r="T234" s="54" t="str">
        <f>IF(OR($B234="",$A234&gt;$B$9,T$233=""),"",IF(COUNTIFS(BD!$B$3:$B$5001,T$233,BD!$A$3:$A$5001,"&gt;="&amp;$C$7,BD!$A$3:$A$5001,"&lt;="&amp;$B234,BD!$R$3:$R$5001,"&lt;&gt;")=0,"",SUMIFS(BD!$R$3:$R$5001,BD!$B$3:$B$5001,T$233,BD!$A$3:$A$5001,_xlfn.MAXIFS(BD!$A$3:$A$5001,BD!$B$3:$B$5001,T$233,BD!$A$3:$A$5001,"&gt;="&amp;$C$7,BD!$A$3:$A$5001,"&lt;="&amp;$B234,BD!$R$3:$R$5001,"&lt;&gt;"))))</f>
        <v/>
      </c>
      <c r="U234" s="54" t="str">
        <f>IF(OR($B234="",$A234&gt;$B$9,U$233=""),"",IF(COUNTIFS(BD!$B$3:$B$5001,U$233,BD!$A$3:$A$5001,"&gt;="&amp;$C$7,BD!$A$3:$A$5001,"&lt;="&amp;$B234,BD!$R$3:$R$5001,"&lt;&gt;")=0,"",SUMIFS(BD!$R$3:$R$5001,BD!$B$3:$B$5001,U$233,BD!$A$3:$A$5001,_xlfn.MAXIFS(BD!$A$3:$A$5001,BD!$B$3:$B$5001,U$233,BD!$A$3:$A$5001,"&gt;="&amp;$C$7,BD!$A$3:$A$5001,"&lt;="&amp;$B234,BD!$R$3:$R$5001,"&lt;&gt;"))))</f>
        <v/>
      </c>
      <c r="V234" s="54" t="str">
        <f>IF(OR($B234="",$A234&gt;$B$9,V$233=""),"",IF(COUNTIFS(BD!$B$3:$B$5001,V$233,BD!$A$3:$A$5001,"&gt;="&amp;$C$7,BD!$A$3:$A$5001,"&lt;="&amp;$B234,BD!$R$3:$R$5001,"&lt;&gt;")=0,"",SUMIFS(BD!$R$3:$R$5001,BD!$B$3:$B$5001,V$233,BD!$A$3:$A$5001,_xlfn.MAXIFS(BD!$A$3:$A$5001,BD!$B$3:$B$5001,V$233,BD!$A$3:$A$5001,"&gt;="&amp;$C$7,BD!$A$3:$A$5001,"&lt;="&amp;$B234,BD!$R$3:$R$5001,"&lt;&gt;"))))</f>
        <v/>
      </c>
    </row>
    <row r="235">
      <c r="A235" s="48">
        <v>2</v>
      </c>
      <c r="B235" s="53">
        <f>$B$13</f>
        <v>46297</v>
      </c>
      <c r="C235" s="54" t="str">
        <f>IF(OR($B235="",$A235&gt;$B$9,C$233=""),"",IF(COUNTIFS(BD!$B$3:$B$5001,C$233,BD!$A$3:$A$5001,"&gt;="&amp;$C$7,BD!$A$3:$A$5001,"&lt;="&amp;$B235,BD!$R$3:$R$5001,"&lt;&gt;")=0,"",SUMIFS(BD!$R$3:$R$5001,BD!$B$3:$B$5001,C$233,BD!$A$3:$A$5001,_xlfn.MAXIFS(BD!$A$3:$A$5001,BD!$B$3:$B$5001,C$233,BD!$A$3:$A$5001,"&gt;="&amp;$C$7,BD!$A$3:$A$5001,"&lt;="&amp;$B235,BD!$R$3:$R$5001,"&lt;&gt;"))))</f>
        <v/>
      </c>
      <c r="D235" s="54" t="str">
        <f>IF(OR($B235="",$A235&gt;$B$9,D$233=""),"",IF(COUNTIFS(BD!$B$3:$B$5001,D$233,BD!$A$3:$A$5001,"&gt;="&amp;$C$7,BD!$A$3:$A$5001,"&lt;="&amp;$B235,BD!$R$3:$R$5001,"&lt;&gt;")=0,"",SUMIFS(BD!$R$3:$R$5001,BD!$B$3:$B$5001,D$233,BD!$A$3:$A$5001,_xlfn.MAXIFS(BD!$A$3:$A$5001,BD!$B$3:$B$5001,D$233,BD!$A$3:$A$5001,"&gt;="&amp;$C$7,BD!$A$3:$A$5001,"&lt;="&amp;$B235,BD!$R$3:$R$5001,"&lt;&gt;"))))</f>
        <v/>
      </c>
      <c r="E235" s="54" t="str">
        <f>IF(OR($B235="",$A235&gt;$B$9,E$233=""),"",IF(COUNTIFS(BD!$B$3:$B$5001,E$233,BD!$A$3:$A$5001,"&gt;="&amp;$C$7,BD!$A$3:$A$5001,"&lt;="&amp;$B235,BD!$R$3:$R$5001,"&lt;&gt;")=0,"",SUMIFS(BD!$R$3:$R$5001,BD!$B$3:$B$5001,E$233,BD!$A$3:$A$5001,_xlfn.MAXIFS(BD!$A$3:$A$5001,BD!$B$3:$B$5001,E$233,BD!$A$3:$A$5001,"&gt;="&amp;$C$7,BD!$A$3:$A$5001,"&lt;="&amp;$B235,BD!$R$3:$R$5001,"&lt;&gt;"))))</f>
        <v/>
      </c>
      <c r="F235" s="54" t="str">
        <f>IF(OR($B235="",$A235&gt;$B$9,F$233=""),"",IF(COUNTIFS(BD!$B$3:$B$5001,F$233,BD!$A$3:$A$5001,"&gt;="&amp;$C$7,BD!$A$3:$A$5001,"&lt;="&amp;$B235,BD!$R$3:$R$5001,"&lt;&gt;")=0,"",SUMIFS(BD!$R$3:$R$5001,BD!$B$3:$B$5001,F$233,BD!$A$3:$A$5001,_xlfn.MAXIFS(BD!$A$3:$A$5001,BD!$B$3:$B$5001,F$233,BD!$A$3:$A$5001,"&gt;="&amp;$C$7,BD!$A$3:$A$5001,"&lt;="&amp;$B235,BD!$R$3:$R$5001,"&lt;&gt;"))))</f>
        <v/>
      </c>
      <c r="G235" s="54" t="str">
        <f>IF(OR($B235="",$A235&gt;$B$9,G$233=""),"",IF(COUNTIFS(BD!$B$3:$B$5001,G$233,BD!$A$3:$A$5001,"&gt;="&amp;$C$7,BD!$A$3:$A$5001,"&lt;="&amp;$B235,BD!$R$3:$R$5001,"&lt;&gt;")=0,"",SUMIFS(BD!$R$3:$R$5001,BD!$B$3:$B$5001,G$233,BD!$A$3:$A$5001,_xlfn.MAXIFS(BD!$A$3:$A$5001,BD!$B$3:$B$5001,G$233,BD!$A$3:$A$5001,"&gt;="&amp;$C$7,BD!$A$3:$A$5001,"&lt;="&amp;$B235,BD!$R$3:$R$5001,"&lt;&gt;"))))</f>
        <v/>
      </c>
      <c r="H235" s="54" t="str">
        <f>IF(OR($B235="",$A235&gt;$B$9,H$233=""),"",IF(COUNTIFS(BD!$B$3:$B$5001,H$233,BD!$A$3:$A$5001,"&gt;="&amp;$C$7,BD!$A$3:$A$5001,"&lt;="&amp;$B235,BD!$R$3:$R$5001,"&lt;&gt;")=0,"",SUMIFS(BD!$R$3:$R$5001,BD!$B$3:$B$5001,H$233,BD!$A$3:$A$5001,_xlfn.MAXIFS(BD!$A$3:$A$5001,BD!$B$3:$B$5001,H$233,BD!$A$3:$A$5001,"&gt;="&amp;$C$7,BD!$A$3:$A$5001,"&lt;="&amp;$B235,BD!$R$3:$R$5001,"&lt;&gt;"))))</f>
        <v/>
      </c>
      <c r="I235" s="54" t="str">
        <f>IF(OR($B235="",$A235&gt;$B$9,I$233=""),"",IF(COUNTIFS(BD!$B$3:$B$5001,I$233,BD!$A$3:$A$5001,"&gt;="&amp;$C$7,BD!$A$3:$A$5001,"&lt;="&amp;$B235,BD!$R$3:$R$5001,"&lt;&gt;")=0,"",SUMIFS(BD!$R$3:$R$5001,BD!$B$3:$B$5001,I$233,BD!$A$3:$A$5001,_xlfn.MAXIFS(BD!$A$3:$A$5001,BD!$B$3:$B$5001,I$233,BD!$A$3:$A$5001,"&gt;="&amp;$C$7,BD!$A$3:$A$5001,"&lt;="&amp;$B235,BD!$R$3:$R$5001,"&lt;&gt;"))))</f>
        <v/>
      </c>
      <c r="J235" s="54" t="str">
        <f>IF(OR($B235="",$A235&gt;$B$9,J$233=""),"",IF(COUNTIFS(BD!$B$3:$B$5001,J$233,BD!$A$3:$A$5001,"&gt;="&amp;$C$7,BD!$A$3:$A$5001,"&lt;="&amp;$B235,BD!$R$3:$R$5001,"&lt;&gt;")=0,"",SUMIFS(BD!$R$3:$R$5001,BD!$B$3:$B$5001,J$233,BD!$A$3:$A$5001,_xlfn.MAXIFS(BD!$A$3:$A$5001,BD!$B$3:$B$5001,J$233,BD!$A$3:$A$5001,"&gt;="&amp;$C$7,BD!$A$3:$A$5001,"&lt;="&amp;$B235,BD!$R$3:$R$5001,"&lt;&gt;"))))</f>
        <v/>
      </c>
      <c r="K235" s="54" t="str">
        <f>IF(OR($B235="",$A235&gt;$B$9,K$233=""),"",IF(COUNTIFS(BD!$B$3:$B$5001,K$233,BD!$A$3:$A$5001,"&gt;="&amp;$C$7,BD!$A$3:$A$5001,"&lt;="&amp;$B235,BD!$R$3:$R$5001,"&lt;&gt;")=0,"",SUMIFS(BD!$R$3:$R$5001,BD!$B$3:$B$5001,K$233,BD!$A$3:$A$5001,_xlfn.MAXIFS(BD!$A$3:$A$5001,BD!$B$3:$B$5001,K$233,BD!$A$3:$A$5001,"&gt;="&amp;$C$7,BD!$A$3:$A$5001,"&lt;="&amp;$B235,BD!$R$3:$R$5001,"&lt;&gt;"))))</f>
        <v/>
      </c>
      <c r="L235" s="54" t="str">
        <f>IF(OR($B235="",$A235&gt;$B$9,L$233=""),"",IF(COUNTIFS(BD!$B$3:$B$5001,L$233,BD!$A$3:$A$5001,"&gt;="&amp;$C$7,BD!$A$3:$A$5001,"&lt;="&amp;$B235,BD!$R$3:$R$5001,"&lt;&gt;")=0,"",SUMIFS(BD!$R$3:$R$5001,BD!$B$3:$B$5001,L$233,BD!$A$3:$A$5001,_xlfn.MAXIFS(BD!$A$3:$A$5001,BD!$B$3:$B$5001,L$233,BD!$A$3:$A$5001,"&gt;="&amp;$C$7,BD!$A$3:$A$5001,"&lt;="&amp;$B235,BD!$R$3:$R$5001,"&lt;&gt;"))))</f>
        <v/>
      </c>
      <c r="M235" s="54" t="str">
        <f>IF(OR($B235="",$A235&gt;$B$9,M$233=""),"",IF(COUNTIFS(BD!$B$3:$B$5001,M$233,BD!$A$3:$A$5001,"&gt;="&amp;$C$7,BD!$A$3:$A$5001,"&lt;="&amp;$B235,BD!$R$3:$R$5001,"&lt;&gt;")=0,"",SUMIFS(BD!$R$3:$R$5001,BD!$B$3:$B$5001,M$233,BD!$A$3:$A$5001,_xlfn.MAXIFS(BD!$A$3:$A$5001,BD!$B$3:$B$5001,M$233,BD!$A$3:$A$5001,"&gt;="&amp;$C$7,BD!$A$3:$A$5001,"&lt;="&amp;$B235,BD!$R$3:$R$5001,"&lt;&gt;"))))</f>
        <v/>
      </c>
      <c r="N235" s="54" t="str">
        <f>IF(OR($B235="",$A235&gt;$B$9,N$233=""),"",IF(COUNTIFS(BD!$B$3:$B$5001,N$233,BD!$A$3:$A$5001,"&gt;="&amp;$C$7,BD!$A$3:$A$5001,"&lt;="&amp;$B235,BD!$R$3:$R$5001,"&lt;&gt;")=0,"",SUMIFS(BD!$R$3:$R$5001,BD!$B$3:$B$5001,N$233,BD!$A$3:$A$5001,_xlfn.MAXIFS(BD!$A$3:$A$5001,BD!$B$3:$B$5001,N$233,BD!$A$3:$A$5001,"&gt;="&amp;$C$7,BD!$A$3:$A$5001,"&lt;="&amp;$B235,BD!$R$3:$R$5001,"&lt;&gt;"))))</f>
        <v/>
      </c>
      <c r="O235" s="54" t="str">
        <f>IF(OR($B235="",$A235&gt;$B$9,O$233=""),"",IF(COUNTIFS(BD!$B$3:$B$5001,O$233,BD!$A$3:$A$5001,"&gt;="&amp;$C$7,BD!$A$3:$A$5001,"&lt;="&amp;$B235,BD!$R$3:$R$5001,"&lt;&gt;")=0,"",SUMIFS(BD!$R$3:$R$5001,BD!$B$3:$B$5001,O$233,BD!$A$3:$A$5001,_xlfn.MAXIFS(BD!$A$3:$A$5001,BD!$B$3:$B$5001,O$233,BD!$A$3:$A$5001,"&gt;="&amp;$C$7,BD!$A$3:$A$5001,"&lt;="&amp;$B235,BD!$R$3:$R$5001,"&lt;&gt;"))))</f>
        <v/>
      </c>
      <c r="P235" s="54" t="str">
        <f>IF(OR($B235="",$A235&gt;$B$9,P$233=""),"",IF(COUNTIFS(BD!$B$3:$B$5001,P$233,BD!$A$3:$A$5001,"&gt;="&amp;$C$7,BD!$A$3:$A$5001,"&lt;="&amp;$B235,BD!$R$3:$R$5001,"&lt;&gt;")=0,"",SUMIFS(BD!$R$3:$R$5001,BD!$B$3:$B$5001,P$233,BD!$A$3:$A$5001,_xlfn.MAXIFS(BD!$A$3:$A$5001,BD!$B$3:$B$5001,P$233,BD!$A$3:$A$5001,"&gt;="&amp;$C$7,BD!$A$3:$A$5001,"&lt;="&amp;$B235,BD!$R$3:$R$5001,"&lt;&gt;"))))</f>
        <v/>
      </c>
      <c r="Q235" s="54" t="str">
        <f>IF(OR($B235="",$A235&gt;$B$9,Q$233=""),"",IF(COUNTIFS(BD!$B$3:$B$5001,Q$233,BD!$A$3:$A$5001,"&gt;="&amp;$C$7,BD!$A$3:$A$5001,"&lt;="&amp;$B235,BD!$R$3:$R$5001,"&lt;&gt;")=0,"",SUMIFS(BD!$R$3:$R$5001,BD!$B$3:$B$5001,Q$233,BD!$A$3:$A$5001,_xlfn.MAXIFS(BD!$A$3:$A$5001,BD!$B$3:$B$5001,Q$233,BD!$A$3:$A$5001,"&gt;="&amp;$C$7,BD!$A$3:$A$5001,"&lt;="&amp;$B235,BD!$R$3:$R$5001,"&lt;&gt;"))))</f>
        <v/>
      </c>
      <c r="R235" s="54" t="str">
        <f>IF(OR($B235="",$A235&gt;$B$9,R$233=""),"",IF(COUNTIFS(BD!$B$3:$B$5001,R$233,BD!$A$3:$A$5001,"&gt;="&amp;$C$7,BD!$A$3:$A$5001,"&lt;="&amp;$B235,BD!$R$3:$R$5001,"&lt;&gt;")=0,"",SUMIFS(BD!$R$3:$R$5001,BD!$B$3:$B$5001,R$233,BD!$A$3:$A$5001,_xlfn.MAXIFS(BD!$A$3:$A$5001,BD!$B$3:$B$5001,R$233,BD!$A$3:$A$5001,"&gt;="&amp;$C$7,BD!$A$3:$A$5001,"&lt;="&amp;$B235,BD!$R$3:$R$5001,"&lt;&gt;"))))</f>
        <v/>
      </c>
      <c r="S235" s="54" t="str">
        <f>IF(OR($B235="",$A235&gt;$B$9,S$233=""),"",IF(COUNTIFS(BD!$B$3:$B$5001,S$233,BD!$A$3:$A$5001,"&gt;="&amp;$C$7,BD!$A$3:$A$5001,"&lt;="&amp;$B235,BD!$R$3:$R$5001,"&lt;&gt;")=0,"",SUMIFS(BD!$R$3:$R$5001,BD!$B$3:$B$5001,S$233,BD!$A$3:$A$5001,_xlfn.MAXIFS(BD!$A$3:$A$5001,BD!$B$3:$B$5001,S$233,BD!$A$3:$A$5001,"&gt;="&amp;$C$7,BD!$A$3:$A$5001,"&lt;="&amp;$B235,BD!$R$3:$R$5001,"&lt;&gt;"))))</f>
        <v/>
      </c>
      <c r="T235" s="54" t="str">
        <f>IF(OR($B235="",$A235&gt;$B$9,T$233=""),"",IF(COUNTIFS(BD!$B$3:$B$5001,T$233,BD!$A$3:$A$5001,"&gt;="&amp;$C$7,BD!$A$3:$A$5001,"&lt;="&amp;$B235,BD!$R$3:$R$5001,"&lt;&gt;")=0,"",SUMIFS(BD!$R$3:$R$5001,BD!$B$3:$B$5001,T$233,BD!$A$3:$A$5001,_xlfn.MAXIFS(BD!$A$3:$A$5001,BD!$B$3:$B$5001,T$233,BD!$A$3:$A$5001,"&gt;="&amp;$C$7,BD!$A$3:$A$5001,"&lt;="&amp;$B235,BD!$R$3:$R$5001,"&lt;&gt;"))))</f>
        <v/>
      </c>
      <c r="U235" s="54" t="str">
        <f>IF(OR($B235="",$A235&gt;$B$9,U$233=""),"",IF(COUNTIFS(BD!$B$3:$B$5001,U$233,BD!$A$3:$A$5001,"&gt;="&amp;$C$7,BD!$A$3:$A$5001,"&lt;="&amp;$B235,BD!$R$3:$R$5001,"&lt;&gt;")=0,"",SUMIFS(BD!$R$3:$R$5001,BD!$B$3:$B$5001,U$233,BD!$A$3:$A$5001,_xlfn.MAXIFS(BD!$A$3:$A$5001,BD!$B$3:$B$5001,U$233,BD!$A$3:$A$5001,"&gt;="&amp;$C$7,BD!$A$3:$A$5001,"&lt;="&amp;$B235,BD!$R$3:$R$5001,"&lt;&gt;"))))</f>
        <v/>
      </c>
      <c r="V235" s="54" t="str">
        <f>IF(OR($B235="",$A235&gt;$B$9,V$233=""),"",IF(COUNTIFS(BD!$B$3:$B$5001,V$233,BD!$A$3:$A$5001,"&gt;="&amp;$C$7,BD!$A$3:$A$5001,"&lt;="&amp;$B235,BD!$R$3:$R$5001,"&lt;&gt;")=0,"",SUMIFS(BD!$R$3:$R$5001,BD!$B$3:$B$5001,V$233,BD!$A$3:$A$5001,_xlfn.MAXIFS(BD!$A$3:$A$5001,BD!$B$3:$B$5001,V$233,BD!$A$3:$A$5001,"&gt;="&amp;$C$7,BD!$A$3:$A$5001,"&lt;="&amp;$B235,BD!$R$3:$R$5001,"&lt;&gt;"))))</f>
        <v/>
      </c>
    </row>
    <row r="236">
      <c r="A236" s="48">
        <v>3</v>
      </c>
      <c r="B236" s="53">
        <f>$B$14</f>
        <v>46298</v>
      </c>
      <c r="C236" s="54" t="str">
        <f>IF(OR($B236="",$A236&gt;$B$9,C$233=""),"",IF(COUNTIFS(BD!$B$3:$B$5001,C$233,BD!$A$3:$A$5001,"&gt;="&amp;$C$7,BD!$A$3:$A$5001,"&lt;="&amp;$B236,BD!$R$3:$R$5001,"&lt;&gt;")=0,"",SUMIFS(BD!$R$3:$R$5001,BD!$B$3:$B$5001,C$233,BD!$A$3:$A$5001,_xlfn.MAXIFS(BD!$A$3:$A$5001,BD!$B$3:$B$5001,C$233,BD!$A$3:$A$5001,"&gt;="&amp;$C$7,BD!$A$3:$A$5001,"&lt;="&amp;$B236,BD!$R$3:$R$5001,"&lt;&gt;"))))</f>
        <v/>
      </c>
      <c r="D236" s="54" t="str">
        <f>IF(OR($B236="",$A236&gt;$B$9,D$233=""),"",IF(COUNTIFS(BD!$B$3:$B$5001,D$233,BD!$A$3:$A$5001,"&gt;="&amp;$C$7,BD!$A$3:$A$5001,"&lt;="&amp;$B236,BD!$R$3:$R$5001,"&lt;&gt;")=0,"",SUMIFS(BD!$R$3:$R$5001,BD!$B$3:$B$5001,D$233,BD!$A$3:$A$5001,_xlfn.MAXIFS(BD!$A$3:$A$5001,BD!$B$3:$B$5001,D$233,BD!$A$3:$A$5001,"&gt;="&amp;$C$7,BD!$A$3:$A$5001,"&lt;="&amp;$B236,BD!$R$3:$R$5001,"&lt;&gt;"))))</f>
        <v/>
      </c>
      <c r="E236" s="54" t="str">
        <f>IF(OR($B236="",$A236&gt;$B$9,E$233=""),"",IF(COUNTIFS(BD!$B$3:$B$5001,E$233,BD!$A$3:$A$5001,"&gt;="&amp;$C$7,BD!$A$3:$A$5001,"&lt;="&amp;$B236,BD!$R$3:$R$5001,"&lt;&gt;")=0,"",SUMIFS(BD!$R$3:$R$5001,BD!$B$3:$B$5001,E$233,BD!$A$3:$A$5001,_xlfn.MAXIFS(BD!$A$3:$A$5001,BD!$B$3:$B$5001,E$233,BD!$A$3:$A$5001,"&gt;="&amp;$C$7,BD!$A$3:$A$5001,"&lt;="&amp;$B236,BD!$R$3:$R$5001,"&lt;&gt;"))))</f>
        <v/>
      </c>
      <c r="F236" s="54" t="str">
        <f>IF(OR($B236="",$A236&gt;$B$9,F$233=""),"",IF(COUNTIFS(BD!$B$3:$B$5001,F$233,BD!$A$3:$A$5001,"&gt;="&amp;$C$7,BD!$A$3:$A$5001,"&lt;="&amp;$B236,BD!$R$3:$R$5001,"&lt;&gt;")=0,"",SUMIFS(BD!$R$3:$R$5001,BD!$B$3:$B$5001,F$233,BD!$A$3:$A$5001,_xlfn.MAXIFS(BD!$A$3:$A$5001,BD!$B$3:$B$5001,F$233,BD!$A$3:$A$5001,"&gt;="&amp;$C$7,BD!$A$3:$A$5001,"&lt;="&amp;$B236,BD!$R$3:$R$5001,"&lt;&gt;"))))</f>
        <v/>
      </c>
      <c r="G236" s="54" t="str">
        <f>IF(OR($B236="",$A236&gt;$B$9,G$233=""),"",IF(COUNTIFS(BD!$B$3:$B$5001,G$233,BD!$A$3:$A$5001,"&gt;="&amp;$C$7,BD!$A$3:$A$5001,"&lt;="&amp;$B236,BD!$R$3:$R$5001,"&lt;&gt;")=0,"",SUMIFS(BD!$R$3:$R$5001,BD!$B$3:$B$5001,G$233,BD!$A$3:$A$5001,_xlfn.MAXIFS(BD!$A$3:$A$5001,BD!$B$3:$B$5001,G$233,BD!$A$3:$A$5001,"&gt;="&amp;$C$7,BD!$A$3:$A$5001,"&lt;="&amp;$B236,BD!$R$3:$R$5001,"&lt;&gt;"))))</f>
        <v/>
      </c>
      <c r="H236" s="54" t="str">
        <f>IF(OR($B236="",$A236&gt;$B$9,H$233=""),"",IF(COUNTIFS(BD!$B$3:$B$5001,H$233,BD!$A$3:$A$5001,"&gt;="&amp;$C$7,BD!$A$3:$A$5001,"&lt;="&amp;$B236,BD!$R$3:$R$5001,"&lt;&gt;")=0,"",SUMIFS(BD!$R$3:$R$5001,BD!$B$3:$B$5001,H$233,BD!$A$3:$A$5001,_xlfn.MAXIFS(BD!$A$3:$A$5001,BD!$B$3:$B$5001,H$233,BD!$A$3:$A$5001,"&gt;="&amp;$C$7,BD!$A$3:$A$5001,"&lt;="&amp;$B236,BD!$R$3:$R$5001,"&lt;&gt;"))))</f>
        <v/>
      </c>
      <c r="I236" s="54" t="str">
        <f>IF(OR($B236="",$A236&gt;$B$9,I$233=""),"",IF(COUNTIFS(BD!$B$3:$B$5001,I$233,BD!$A$3:$A$5001,"&gt;="&amp;$C$7,BD!$A$3:$A$5001,"&lt;="&amp;$B236,BD!$R$3:$R$5001,"&lt;&gt;")=0,"",SUMIFS(BD!$R$3:$R$5001,BD!$B$3:$B$5001,I$233,BD!$A$3:$A$5001,_xlfn.MAXIFS(BD!$A$3:$A$5001,BD!$B$3:$B$5001,I$233,BD!$A$3:$A$5001,"&gt;="&amp;$C$7,BD!$A$3:$A$5001,"&lt;="&amp;$B236,BD!$R$3:$R$5001,"&lt;&gt;"))))</f>
        <v/>
      </c>
      <c r="J236" s="54" t="str">
        <f>IF(OR($B236="",$A236&gt;$B$9,J$233=""),"",IF(COUNTIFS(BD!$B$3:$B$5001,J$233,BD!$A$3:$A$5001,"&gt;="&amp;$C$7,BD!$A$3:$A$5001,"&lt;="&amp;$B236,BD!$R$3:$R$5001,"&lt;&gt;")=0,"",SUMIFS(BD!$R$3:$R$5001,BD!$B$3:$B$5001,J$233,BD!$A$3:$A$5001,_xlfn.MAXIFS(BD!$A$3:$A$5001,BD!$B$3:$B$5001,J$233,BD!$A$3:$A$5001,"&gt;="&amp;$C$7,BD!$A$3:$A$5001,"&lt;="&amp;$B236,BD!$R$3:$R$5001,"&lt;&gt;"))))</f>
        <v/>
      </c>
      <c r="K236" s="54" t="str">
        <f>IF(OR($B236="",$A236&gt;$B$9,K$233=""),"",IF(COUNTIFS(BD!$B$3:$B$5001,K$233,BD!$A$3:$A$5001,"&gt;="&amp;$C$7,BD!$A$3:$A$5001,"&lt;="&amp;$B236,BD!$R$3:$R$5001,"&lt;&gt;")=0,"",SUMIFS(BD!$R$3:$R$5001,BD!$B$3:$B$5001,K$233,BD!$A$3:$A$5001,_xlfn.MAXIFS(BD!$A$3:$A$5001,BD!$B$3:$B$5001,K$233,BD!$A$3:$A$5001,"&gt;="&amp;$C$7,BD!$A$3:$A$5001,"&lt;="&amp;$B236,BD!$R$3:$R$5001,"&lt;&gt;"))))</f>
        <v/>
      </c>
      <c r="L236" s="54" t="str">
        <f>IF(OR($B236="",$A236&gt;$B$9,L$233=""),"",IF(COUNTIFS(BD!$B$3:$B$5001,L$233,BD!$A$3:$A$5001,"&gt;="&amp;$C$7,BD!$A$3:$A$5001,"&lt;="&amp;$B236,BD!$R$3:$R$5001,"&lt;&gt;")=0,"",SUMIFS(BD!$R$3:$R$5001,BD!$B$3:$B$5001,L$233,BD!$A$3:$A$5001,_xlfn.MAXIFS(BD!$A$3:$A$5001,BD!$B$3:$B$5001,L$233,BD!$A$3:$A$5001,"&gt;="&amp;$C$7,BD!$A$3:$A$5001,"&lt;="&amp;$B236,BD!$R$3:$R$5001,"&lt;&gt;"))))</f>
        <v/>
      </c>
      <c r="M236" s="54" t="str">
        <f>IF(OR($B236="",$A236&gt;$B$9,M$233=""),"",IF(COUNTIFS(BD!$B$3:$B$5001,M$233,BD!$A$3:$A$5001,"&gt;="&amp;$C$7,BD!$A$3:$A$5001,"&lt;="&amp;$B236,BD!$R$3:$R$5001,"&lt;&gt;")=0,"",SUMIFS(BD!$R$3:$R$5001,BD!$B$3:$B$5001,M$233,BD!$A$3:$A$5001,_xlfn.MAXIFS(BD!$A$3:$A$5001,BD!$B$3:$B$5001,M$233,BD!$A$3:$A$5001,"&gt;="&amp;$C$7,BD!$A$3:$A$5001,"&lt;="&amp;$B236,BD!$R$3:$R$5001,"&lt;&gt;"))))</f>
        <v/>
      </c>
      <c r="N236" s="54" t="str">
        <f>IF(OR($B236="",$A236&gt;$B$9,N$233=""),"",IF(COUNTIFS(BD!$B$3:$B$5001,N$233,BD!$A$3:$A$5001,"&gt;="&amp;$C$7,BD!$A$3:$A$5001,"&lt;="&amp;$B236,BD!$R$3:$R$5001,"&lt;&gt;")=0,"",SUMIFS(BD!$R$3:$R$5001,BD!$B$3:$B$5001,N$233,BD!$A$3:$A$5001,_xlfn.MAXIFS(BD!$A$3:$A$5001,BD!$B$3:$B$5001,N$233,BD!$A$3:$A$5001,"&gt;="&amp;$C$7,BD!$A$3:$A$5001,"&lt;="&amp;$B236,BD!$R$3:$R$5001,"&lt;&gt;"))))</f>
        <v/>
      </c>
      <c r="O236" s="54" t="str">
        <f>IF(OR($B236="",$A236&gt;$B$9,O$233=""),"",IF(COUNTIFS(BD!$B$3:$B$5001,O$233,BD!$A$3:$A$5001,"&gt;="&amp;$C$7,BD!$A$3:$A$5001,"&lt;="&amp;$B236,BD!$R$3:$R$5001,"&lt;&gt;")=0,"",SUMIFS(BD!$R$3:$R$5001,BD!$B$3:$B$5001,O$233,BD!$A$3:$A$5001,_xlfn.MAXIFS(BD!$A$3:$A$5001,BD!$B$3:$B$5001,O$233,BD!$A$3:$A$5001,"&gt;="&amp;$C$7,BD!$A$3:$A$5001,"&lt;="&amp;$B236,BD!$R$3:$R$5001,"&lt;&gt;"))))</f>
        <v/>
      </c>
      <c r="P236" s="54" t="str">
        <f>IF(OR($B236="",$A236&gt;$B$9,P$233=""),"",IF(COUNTIFS(BD!$B$3:$B$5001,P$233,BD!$A$3:$A$5001,"&gt;="&amp;$C$7,BD!$A$3:$A$5001,"&lt;="&amp;$B236,BD!$R$3:$R$5001,"&lt;&gt;")=0,"",SUMIFS(BD!$R$3:$R$5001,BD!$B$3:$B$5001,P$233,BD!$A$3:$A$5001,_xlfn.MAXIFS(BD!$A$3:$A$5001,BD!$B$3:$B$5001,P$233,BD!$A$3:$A$5001,"&gt;="&amp;$C$7,BD!$A$3:$A$5001,"&lt;="&amp;$B236,BD!$R$3:$R$5001,"&lt;&gt;"))))</f>
        <v/>
      </c>
      <c r="Q236" s="54" t="str">
        <f>IF(OR($B236="",$A236&gt;$B$9,Q$233=""),"",IF(COUNTIFS(BD!$B$3:$B$5001,Q$233,BD!$A$3:$A$5001,"&gt;="&amp;$C$7,BD!$A$3:$A$5001,"&lt;="&amp;$B236,BD!$R$3:$R$5001,"&lt;&gt;")=0,"",SUMIFS(BD!$R$3:$R$5001,BD!$B$3:$B$5001,Q$233,BD!$A$3:$A$5001,_xlfn.MAXIFS(BD!$A$3:$A$5001,BD!$B$3:$B$5001,Q$233,BD!$A$3:$A$5001,"&gt;="&amp;$C$7,BD!$A$3:$A$5001,"&lt;="&amp;$B236,BD!$R$3:$R$5001,"&lt;&gt;"))))</f>
        <v/>
      </c>
      <c r="R236" s="54" t="str">
        <f>IF(OR($B236="",$A236&gt;$B$9,R$233=""),"",IF(COUNTIFS(BD!$B$3:$B$5001,R$233,BD!$A$3:$A$5001,"&gt;="&amp;$C$7,BD!$A$3:$A$5001,"&lt;="&amp;$B236,BD!$R$3:$R$5001,"&lt;&gt;")=0,"",SUMIFS(BD!$R$3:$R$5001,BD!$B$3:$B$5001,R$233,BD!$A$3:$A$5001,_xlfn.MAXIFS(BD!$A$3:$A$5001,BD!$B$3:$B$5001,R$233,BD!$A$3:$A$5001,"&gt;="&amp;$C$7,BD!$A$3:$A$5001,"&lt;="&amp;$B236,BD!$R$3:$R$5001,"&lt;&gt;"))))</f>
        <v/>
      </c>
      <c r="S236" s="54" t="str">
        <f>IF(OR($B236="",$A236&gt;$B$9,S$233=""),"",IF(COUNTIFS(BD!$B$3:$B$5001,S$233,BD!$A$3:$A$5001,"&gt;="&amp;$C$7,BD!$A$3:$A$5001,"&lt;="&amp;$B236,BD!$R$3:$R$5001,"&lt;&gt;")=0,"",SUMIFS(BD!$R$3:$R$5001,BD!$B$3:$B$5001,S$233,BD!$A$3:$A$5001,_xlfn.MAXIFS(BD!$A$3:$A$5001,BD!$B$3:$B$5001,S$233,BD!$A$3:$A$5001,"&gt;="&amp;$C$7,BD!$A$3:$A$5001,"&lt;="&amp;$B236,BD!$R$3:$R$5001,"&lt;&gt;"))))</f>
        <v/>
      </c>
      <c r="T236" s="54" t="str">
        <f>IF(OR($B236="",$A236&gt;$B$9,T$233=""),"",IF(COUNTIFS(BD!$B$3:$B$5001,T$233,BD!$A$3:$A$5001,"&gt;="&amp;$C$7,BD!$A$3:$A$5001,"&lt;="&amp;$B236,BD!$R$3:$R$5001,"&lt;&gt;")=0,"",SUMIFS(BD!$R$3:$R$5001,BD!$B$3:$B$5001,T$233,BD!$A$3:$A$5001,_xlfn.MAXIFS(BD!$A$3:$A$5001,BD!$B$3:$B$5001,T$233,BD!$A$3:$A$5001,"&gt;="&amp;$C$7,BD!$A$3:$A$5001,"&lt;="&amp;$B236,BD!$R$3:$R$5001,"&lt;&gt;"))))</f>
        <v/>
      </c>
      <c r="U236" s="54" t="str">
        <f>IF(OR($B236="",$A236&gt;$B$9,U$233=""),"",IF(COUNTIFS(BD!$B$3:$B$5001,U$233,BD!$A$3:$A$5001,"&gt;="&amp;$C$7,BD!$A$3:$A$5001,"&lt;="&amp;$B236,BD!$R$3:$R$5001,"&lt;&gt;")=0,"",SUMIFS(BD!$R$3:$R$5001,BD!$B$3:$B$5001,U$233,BD!$A$3:$A$5001,_xlfn.MAXIFS(BD!$A$3:$A$5001,BD!$B$3:$B$5001,U$233,BD!$A$3:$A$5001,"&gt;="&amp;$C$7,BD!$A$3:$A$5001,"&lt;="&amp;$B236,BD!$R$3:$R$5001,"&lt;&gt;"))))</f>
        <v/>
      </c>
      <c r="V236" s="54" t="str">
        <f>IF(OR($B236="",$A236&gt;$B$9,V$233=""),"",IF(COUNTIFS(BD!$B$3:$B$5001,V$233,BD!$A$3:$A$5001,"&gt;="&amp;$C$7,BD!$A$3:$A$5001,"&lt;="&amp;$B236,BD!$R$3:$R$5001,"&lt;&gt;")=0,"",SUMIFS(BD!$R$3:$R$5001,BD!$B$3:$B$5001,V$233,BD!$A$3:$A$5001,_xlfn.MAXIFS(BD!$A$3:$A$5001,BD!$B$3:$B$5001,V$233,BD!$A$3:$A$5001,"&gt;="&amp;$C$7,BD!$A$3:$A$5001,"&lt;="&amp;$B236,BD!$R$3:$R$5001,"&lt;&gt;"))))</f>
        <v/>
      </c>
    </row>
    <row r="237">
      <c r="A237" s="48">
        <v>4</v>
      </c>
      <c r="B237" s="53">
        <f>$B$15</f>
        <v>46299</v>
      </c>
      <c r="C237" s="54" t="str">
        <f>IF(OR($B237="",$A237&gt;$B$9,C$233=""),"",IF(COUNTIFS(BD!$B$3:$B$5001,C$233,BD!$A$3:$A$5001,"&gt;="&amp;$C$7,BD!$A$3:$A$5001,"&lt;="&amp;$B237,BD!$R$3:$R$5001,"&lt;&gt;")=0,"",SUMIFS(BD!$R$3:$R$5001,BD!$B$3:$B$5001,C$233,BD!$A$3:$A$5001,_xlfn.MAXIFS(BD!$A$3:$A$5001,BD!$B$3:$B$5001,C$233,BD!$A$3:$A$5001,"&gt;="&amp;$C$7,BD!$A$3:$A$5001,"&lt;="&amp;$B237,BD!$R$3:$R$5001,"&lt;&gt;"))))</f>
        <v/>
      </c>
      <c r="D237" s="54" t="str">
        <f>IF(OR($B237="",$A237&gt;$B$9,D$233=""),"",IF(COUNTIFS(BD!$B$3:$B$5001,D$233,BD!$A$3:$A$5001,"&gt;="&amp;$C$7,BD!$A$3:$A$5001,"&lt;="&amp;$B237,BD!$R$3:$R$5001,"&lt;&gt;")=0,"",SUMIFS(BD!$R$3:$R$5001,BD!$B$3:$B$5001,D$233,BD!$A$3:$A$5001,_xlfn.MAXIFS(BD!$A$3:$A$5001,BD!$B$3:$B$5001,D$233,BD!$A$3:$A$5001,"&gt;="&amp;$C$7,BD!$A$3:$A$5001,"&lt;="&amp;$B237,BD!$R$3:$R$5001,"&lt;&gt;"))))</f>
        <v/>
      </c>
      <c r="E237" s="54" t="str">
        <f>IF(OR($B237="",$A237&gt;$B$9,E$233=""),"",IF(COUNTIFS(BD!$B$3:$B$5001,E$233,BD!$A$3:$A$5001,"&gt;="&amp;$C$7,BD!$A$3:$A$5001,"&lt;="&amp;$B237,BD!$R$3:$R$5001,"&lt;&gt;")=0,"",SUMIFS(BD!$R$3:$R$5001,BD!$B$3:$B$5001,E$233,BD!$A$3:$A$5001,_xlfn.MAXIFS(BD!$A$3:$A$5001,BD!$B$3:$B$5001,E$233,BD!$A$3:$A$5001,"&gt;="&amp;$C$7,BD!$A$3:$A$5001,"&lt;="&amp;$B237,BD!$R$3:$R$5001,"&lt;&gt;"))))</f>
        <v/>
      </c>
      <c r="F237" s="54" t="str">
        <f>IF(OR($B237="",$A237&gt;$B$9,F$233=""),"",IF(COUNTIFS(BD!$B$3:$B$5001,F$233,BD!$A$3:$A$5001,"&gt;="&amp;$C$7,BD!$A$3:$A$5001,"&lt;="&amp;$B237,BD!$R$3:$R$5001,"&lt;&gt;")=0,"",SUMIFS(BD!$R$3:$R$5001,BD!$B$3:$B$5001,F$233,BD!$A$3:$A$5001,_xlfn.MAXIFS(BD!$A$3:$A$5001,BD!$B$3:$B$5001,F$233,BD!$A$3:$A$5001,"&gt;="&amp;$C$7,BD!$A$3:$A$5001,"&lt;="&amp;$B237,BD!$R$3:$R$5001,"&lt;&gt;"))))</f>
        <v/>
      </c>
      <c r="G237" s="54" t="str">
        <f>IF(OR($B237="",$A237&gt;$B$9,G$233=""),"",IF(COUNTIFS(BD!$B$3:$B$5001,G$233,BD!$A$3:$A$5001,"&gt;="&amp;$C$7,BD!$A$3:$A$5001,"&lt;="&amp;$B237,BD!$R$3:$R$5001,"&lt;&gt;")=0,"",SUMIFS(BD!$R$3:$R$5001,BD!$B$3:$B$5001,G$233,BD!$A$3:$A$5001,_xlfn.MAXIFS(BD!$A$3:$A$5001,BD!$B$3:$B$5001,G$233,BD!$A$3:$A$5001,"&gt;="&amp;$C$7,BD!$A$3:$A$5001,"&lt;="&amp;$B237,BD!$R$3:$R$5001,"&lt;&gt;"))))</f>
        <v/>
      </c>
      <c r="H237" s="54" t="str">
        <f>IF(OR($B237="",$A237&gt;$B$9,H$233=""),"",IF(COUNTIFS(BD!$B$3:$B$5001,H$233,BD!$A$3:$A$5001,"&gt;="&amp;$C$7,BD!$A$3:$A$5001,"&lt;="&amp;$B237,BD!$R$3:$R$5001,"&lt;&gt;")=0,"",SUMIFS(BD!$R$3:$R$5001,BD!$B$3:$B$5001,H$233,BD!$A$3:$A$5001,_xlfn.MAXIFS(BD!$A$3:$A$5001,BD!$B$3:$B$5001,H$233,BD!$A$3:$A$5001,"&gt;="&amp;$C$7,BD!$A$3:$A$5001,"&lt;="&amp;$B237,BD!$R$3:$R$5001,"&lt;&gt;"))))</f>
        <v/>
      </c>
      <c r="I237" s="54" t="str">
        <f>IF(OR($B237="",$A237&gt;$B$9,I$233=""),"",IF(COUNTIFS(BD!$B$3:$B$5001,I$233,BD!$A$3:$A$5001,"&gt;="&amp;$C$7,BD!$A$3:$A$5001,"&lt;="&amp;$B237,BD!$R$3:$R$5001,"&lt;&gt;")=0,"",SUMIFS(BD!$R$3:$R$5001,BD!$B$3:$B$5001,I$233,BD!$A$3:$A$5001,_xlfn.MAXIFS(BD!$A$3:$A$5001,BD!$B$3:$B$5001,I$233,BD!$A$3:$A$5001,"&gt;="&amp;$C$7,BD!$A$3:$A$5001,"&lt;="&amp;$B237,BD!$R$3:$R$5001,"&lt;&gt;"))))</f>
        <v/>
      </c>
      <c r="J237" s="54" t="str">
        <f>IF(OR($B237="",$A237&gt;$B$9,J$233=""),"",IF(COUNTIFS(BD!$B$3:$B$5001,J$233,BD!$A$3:$A$5001,"&gt;="&amp;$C$7,BD!$A$3:$A$5001,"&lt;="&amp;$B237,BD!$R$3:$R$5001,"&lt;&gt;")=0,"",SUMIFS(BD!$R$3:$R$5001,BD!$B$3:$B$5001,J$233,BD!$A$3:$A$5001,_xlfn.MAXIFS(BD!$A$3:$A$5001,BD!$B$3:$B$5001,J$233,BD!$A$3:$A$5001,"&gt;="&amp;$C$7,BD!$A$3:$A$5001,"&lt;="&amp;$B237,BD!$R$3:$R$5001,"&lt;&gt;"))))</f>
        <v/>
      </c>
      <c r="K237" s="54" t="str">
        <f>IF(OR($B237="",$A237&gt;$B$9,K$233=""),"",IF(COUNTIFS(BD!$B$3:$B$5001,K$233,BD!$A$3:$A$5001,"&gt;="&amp;$C$7,BD!$A$3:$A$5001,"&lt;="&amp;$B237,BD!$R$3:$R$5001,"&lt;&gt;")=0,"",SUMIFS(BD!$R$3:$R$5001,BD!$B$3:$B$5001,K$233,BD!$A$3:$A$5001,_xlfn.MAXIFS(BD!$A$3:$A$5001,BD!$B$3:$B$5001,K$233,BD!$A$3:$A$5001,"&gt;="&amp;$C$7,BD!$A$3:$A$5001,"&lt;="&amp;$B237,BD!$R$3:$R$5001,"&lt;&gt;"))))</f>
        <v/>
      </c>
      <c r="L237" s="54" t="str">
        <f>IF(OR($B237="",$A237&gt;$B$9,L$233=""),"",IF(COUNTIFS(BD!$B$3:$B$5001,L$233,BD!$A$3:$A$5001,"&gt;="&amp;$C$7,BD!$A$3:$A$5001,"&lt;="&amp;$B237,BD!$R$3:$R$5001,"&lt;&gt;")=0,"",SUMIFS(BD!$R$3:$R$5001,BD!$B$3:$B$5001,L$233,BD!$A$3:$A$5001,_xlfn.MAXIFS(BD!$A$3:$A$5001,BD!$B$3:$B$5001,L$233,BD!$A$3:$A$5001,"&gt;="&amp;$C$7,BD!$A$3:$A$5001,"&lt;="&amp;$B237,BD!$R$3:$R$5001,"&lt;&gt;"))))</f>
        <v/>
      </c>
      <c r="M237" s="54" t="str">
        <f>IF(OR($B237="",$A237&gt;$B$9,M$233=""),"",IF(COUNTIFS(BD!$B$3:$B$5001,M$233,BD!$A$3:$A$5001,"&gt;="&amp;$C$7,BD!$A$3:$A$5001,"&lt;="&amp;$B237,BD!$R$3:$R$5001,"&lt;&gt;")=0,"",SUMIFS(BD!$R$3:$R$5001,BD!$B$3:$B$5001,M$233,BD!$A$3:$A$5001,_xlfn.MAXIFS(BD!$A$3:$A$5001,BD!$B$3:$B$5001,M$233,BD!$A$3:$A$5001,"&gt;="&amp;$C$7,BD!$A$3:$A$5001,"&lt;="&amp;$B237,BD!$R$3:$R$5001,"&lt;&gt;"))))</f>
        <v/>
      </c>
      <c r="N237" s="54" t="str">
        <f>IF(OR($B237="",$A237&gt;$B$9,N$233=""),"",IF(COUNTIFS(BD!$B$3:$B$5001,N$233,BD!$A$3:$A$5001,"&gt;="&amp;$C$7,BD!$A$3:$A$5001,"&lt;="&amp;$B237,BD!$R$3:$R$5001,"&lt;&gt;")=0,"",SUMIFS(BD!$R$3:$R$5001,BD!$B$3:$B$5001,N$233,BD!$A$3:$A$5001,_xlfn.MAXIFS(BD!$A$3:$A$5001,BD!$B$3:$B$5001,N$233,BD!$A$3:$A$5001,"&gt;="&amp;$C$7,BD!$A$3:$A$5001,"&lt;="&amp;$B237,BD!$R$3:$R$5001,"&lt;&gt;"))))</f>
        <v/>
      </c>
      <c r="O237" s="54" t="str">
        <f>IF(OR($B237="",$A237&gt;$B$9,O$233=""),"",IF(COUNTIFS(BD!$B$3:$B$5001,O$233,BD!$A$3:$A$5001,"&gt;="&amp;$C$7,BD!$A$3:$A$5001,"&lt;="&amp;$B237,BD!$R$3:$R$5001,"&lt;&gt;")=0,"",SUMIFS(BD!$R$3:$R$5001,BD!$B$3:$B$5001,O$233,BD!$A$3:$A$5001,_xlfn.MAXIFS(BD!$A$3:$A$5001,BD!$B$3:$B$5001,O$233,BD!$A$3:$A$5001,"&gt;="&amp;$C$7,BD!$A$3:$A$5001,"&lt;="&amp;$B237,BD!$R$3:$R$5001,"&lt;&gt;"))))</f>
        <v/>
      </c>
      <c r="P237" s="54" t="str">
        <f>IF(OR($B237="",$A237&gt;$B$9,P$233=""),"",IF(COUNTIFS(BD!$B$3:$B$5001,P$233,BD!$A$3:$A$5001,"&gt;="&amp;$C$7,BD!$A$3:$A$5001,"&lt;="&amp;$B237,BD!$R$3:$R$5001,"&lt;&gt;")=0,"",SUMIFS(BD!$R$3:$R$5001,BD!$B$3:$B$5001,P$233,BD!$A$3:$A$5001,_xlfn.MAXIFS(BD!$A$3:$A$5001,BD!$B$3:$B$5001,P$233,BD!$A$3:$A$5001,"&gt;="&amp;$C$7,BD!$A$3:$A$5001,"&lt;="&amp;$B237,BD!$R$3:$R$5001,"&lt;&gt;"))))</f>
        <v/>
      </c>
      <c r="Q237" s="54" t="str">
        <f>IF(OR($B237="",$A237&gt;$B$9,Q$233=""),"",IF(COUNTIFS(BD!$B$3:$B$5001,Q$233,BD!$A$3:$A$5001,"&gt;="&amp;$C$7,BD!$A$3:$A$5001,"&lt;="&amp;$B237,BD!$R$3:$R$5001,"&lt;&gt;")=0,"",SUMIFS(BD!$R$3:$R$5001,BD!$B$3:$B$5001,Q$233,BD!$A$3:$A$5001,_xlfn.MAXIFS(BD!$A$3:$A$5001,BD!$B$3:$B$5001,Q$233,BD!$A$3:$A$5001,"&gt;="&amp;$C$7,BD!$A$3:$A$5001,"&lt;="&amp;$B237,BD!$R$3:$R$5001,"&lt;&gt;"))))</f>
        <v/>
      </c>
      <c r="R237" s="54" t="str">
        <f>IF(OR($B237="",$A237&gt;$B$9,R$233=""),"",IF(COUNTIFS(BD!$B$3:$B$5001,R$233,BD!$A$3:$A$5001,"&gt;="&amp;$C$7,BD!$A$3:$A$5001,"&lt;="&amp;$B237,BD!$R$3:$R$5001,"&lt;&gt;")=0,"",SUMIFS(BD!$R$3:$R$5001,BD!$B$3:$B$5001,R$233,BD!$A$3:$A$5001,_xlfn.MAXIFS(BD!$A$3:$A$5001,BD!$B$3:$B$5001,R$233,BD!$A$3:$A$5001,"&gt;="&amp;$C$7,BD!$A$3:$A$5001,"&lt;="&amp;$B237,BD!$R$3:$R$5001,"&lt;&gt;"))))</f>
        <v/>
      </c>
      <c r="S237" s="54" t="str">
        <f>IF(OR($B237="",$A237&gt;$B$9,S$233=""),"",IF(COUNTIFS(BD!$B$3:$B$5001,S$233,BD!$A$3:$A$5001,"&gt;="&amp;$C$7,BD!$A$3:$A$5001,"&lt;="&amp;$B237,BD!$R$3:$R$5001,"&lt;&gt;")=0,"",SUMIFS(BD!$R$3:$R$5001,BD!$B$3:$B$5001,S$233,BD!$A$3:$A$5001,_xlfn.MAXIFS(BD!$A$3:$A$5001,BD!$B$3:$B$5001,S$233,BD!$A$3:$A$5001,"&gt;="&amp;$C$7,BD!$A$3:$A$5001,"&lt;="&amp;$B237,BD!$R$3:$R$5001,"&lt;&gt;"))))</f>
        <v/>
      </c>
      <c r="T237" s="54" t="str">
        <f>IF(OR($B237="",$A237&gt;$B$9,T$233=""),"",IF(COUNTIFS(BD!$B$3:$B$5001,T$233,BD!$A$3:$A$5001,"&gt;="&amp;$C$7,BD!$A$3:$A$5001,"&lt;="&amp;$B237,BD!$R$3:$R$5001,"&lt;&gt;")=0,"",SUMIFS(BD!$R$3:$R$5001,BD!$B$3:$B$5001,T$233,BD!$A$3:$A$5001,_xlfn.MAXIFS(BD!$A$3:$A$5001,BD!$B$3:$B$5001,T$233,BD!$A$3:$A$5001,"&gt;="&amp;$C$7,BD!$A$3:$A$5001,"&lt;="&amp;$B237,BD!$R$3:$R$5001,"&lt;&gt;"))))</f>
        <v/>
      </c>
      <c r="U237" s="54" t="str">
        <f>IF(OR($B237="",$A237&gt;$B$9,U$233=""),"",IF(COUNTIFS(BD!$B$3:$B$5001,U$233,BD!$A$3:$A$5001,"&gt;="&amp;$C$7,BD!$A$3:$A$5001,"&lt;="&amp;$B237,BD!$R$3:$R$5001,"&lt;&gt;")=0,"",SUMIFS(BD!$R$3:$R$5001,BD!$B$3:$B$5001,U$233,BD!$A$3:$A$5001,_xlfn.MAXIFS(BD!$A$3:$A$5001,BD!$B$3:$B$5001,U$233,BD!$A$3:$A$5001,"&gt;="&amp;$C$7,BD!$A$3:$A$5001,"&lt;="&amp;$B237,BD!$R$3:$R$5001,"&lt;&gt;"))))</f>
        <v/>
      </c>
      <c r="V237" s="54" t="str">
        <f>IF(OR($B237="",$A237&gt;$B$9,V$233=""),"",IF(COUNTIFS(BD!$B$3:$B$5001,V$233,BD!$A$3:$A$5001,"&gt;="&amp;$C$7,BD!$A$3:$A$5001,"&lt;="&amp;$B237,BD!$R$3:$R$5001,"&lt;&gt;")=0,"",SUMIFS(BD!$R$3:$R$5001,BD!$B$3:$B$5001,V$233,BD!$A$3:$A$5001,_xlfn.MAXIFS(BD!$A$3:$A$5001,BD!$B$3:$B$5001,V$233,BD!$A$3:$A$5001,"&gt;="&amp;$C$7,BD!$A$3:$A$5001,"&lt;="&amp;$B237,BD!$R$3:$R$5001,"&lt;&gt;"))))</f>
        <v/>
      </c>
    </row>
    <row r="238">
      <c r="A238" s="48">
        <v>5</v>
      </c>
      <c r="B238" s="53">
        <f>$B$16</f>
        <v>46300</v>
      </c>
      <c r="C238" s="54" t="str">
        <f>IF(OR($B238="",$A238&gt;$B$9,C$233=""),"",IF(COUNTIFS(BD!$B$3:$B$5001,C$233,BD!$A$3:$A$5001,"&gt;="&amp;$C$7,BD!$A$3:$A$5001,"&lt;="&amp;$B238,BD!$R$3:$R$5001,"&lt;&gt;")=0,"",SUMIFS(BD!$R$3:$R$5001,BD!$B$3:$B$5001,C$233,BD!$A$3:$A$5001,_xlfn.MAXIFS(BD!$A$3:$A$5001,BD!$B$3:$B$5001,C$233,BD!$A$3:$A$5001,"&gt;="&amp;$C$7,BD!$A$3:$A$5001,"&lt;="&amp;$B238,BD!$R$3:$R$5001,"&lt;&gt;"))))</f>
        <v/>
      </c>
      <c r="D238" s="54" t="str">
        <f>IF(OR($B238="",$A238&gt;$B$9,D$233=""),"",IF(COUNTIFS(BD!$B$3:$B$5001,D$233,BD!$A$3:$A$5001,"&gt;="&amp;$C$7,BD!$A$3:$A$5001,"&lt;="&amp;$B238,BD!$R$3:$R$5001,"&lt;&gt;")=0,"",SUMIFS(BD!$R$3:$R$5001,BD!$B$3:$B$5001,D$233,BD!$A$3:$A$5001,_xlfn.MAXIFS(BD!$A$3:$A$5001,BD!$B$3:$B$5001,D$233,BD!$A$3:$A$5001,"&gt;="&amp;$C$7,BD!$A$3:$A$5001,"&lt;="&amp;$B238,BD!$R$3:$R$5001,"&lt;&gt;"))))</f>
        <v/>
      </c>
      <c r="E238" s="54" t="str">
        <f>IF(OR($B238="",$A238&gt;$B$9,E$233=""),"",IF(COUNTIFS(BD!$B$3:$B$5001,E$233,BD!$A$3:$A$5001,"&gt;="&amp;$C$7,BD!$A$3:$A$5001,"&lt;="&amp;$B238,BD!$R$3:$R$5001,"&lt;&gt;")=0,"",SUMIFS(BD!$R$3:$R$5001,BD!$B$3:$B$5001,E$233,BD!$A$3:$A$5001,_xlfn.MAXIFS(BD!$A$3:$A$5001,BD!$B$3:$B$5001,E$233,BD!$A$3:$A$5001,"&gt;="&amp;$C$7,BD!$A$3:$A$5001,"&lt;="&amp;$B238,BD!$R$3:$R$5001,"&lt;&gt;"))))</f>
        <v/>
      </c>
      <c r="F238" s="54" t="str">
        <f>IF(OR($B238="",$A238&gt;$B$9,F$233=""),"",IF(COUNTIFS(BD!$B$3:$B$5001,F$233,BD!$A$3:$A$5001,"&gt;="&amp;$C$7,BD!$A$3:$A$5001,"&lt;="&amp;$B238,BD!$R$3:$R$5001,"&lt;&gt;")=0,"",SUMIFS(BD!$R$3:$R$5001,BD!$B$3:$B$5001,F$233,BD!$A$3:$A$5001,_xlfn.MAXIFS(BD!$A$3:$A$5001,BD!$B$3:$B$5001,F$233,BD!$A$3:$A$5001,"&gt;="&amp;$C$7,BD!$A$3:$A$5001,"&lt;="&amp;$B238,BD!$R$3:$R$5001,"&lt;&gt;"))))</f>
        <v/>
      </c>
      <c r="G238" s="54" t="str">
        <f>IF(OR($B238="",$A238&gt;$B$9,G$233=""),"",IF(COUNTIFS(BD!$B$3:$B$5001,G$233,BD!$A$3:$A$5001,"&gt;="&amp;$C$7,BD!$A$3:$A$5001,"&lt;="&amp;$B238,BD!$R$3:$R$5001,"&lt;&gt;")=0,"",SUMIFS(BD!$R$3:$R$5001,BD!$B$3:$B$5001,G$233,BD!$A$3:$A$5001,_xlfn.MAXIFS(BD!$A$3:$A$5001,BD!$B$3:$B$5001,G$233,BD!$A$3:$A$5001,"&gt;="&amp;$C$7,BD!$A$3:$A$5001,"&lt;="&amp;$B238,BD!$R$3:$R$5001,"&lt;&gt;"))))</f>
        <v/>
      </c>
      <c r="H238" s="54" t="str">
        <f>IF(OR($B238="",$A238&gt;$B$9,H$233=""),"",IF(COUNTIFS(BD!$B$3:$B$5001,H$233,BD!$A$3:$A$5001,"&gt;="&amp;$C$7,BD!$A$3:$A$5001,"&lt;="&amp;$B238,BD!$R$3:$R$5001,"&lt;&gt;")=0,"",SUMIFS(BD!$R$3:$R$5001,BD!$B$3:$B$5001,H$233,BD!$A$3:$A$5001,_xlfn.MAXIFS(BD!$A$3:$A$5001,BD!$B$3:$B$5001,H$233,BD!$A$3:$A$5001,"&gt;="&amp;$C$7,BD!$A$3:$A$5001,"&lt;="&amp;$B238,BD!$R$3:$R$5001,"&lt;&gt;"))))</f>
        <v/>
      </c>
      <c r="I238" s="54" t="str">
        <f>IF(OR($B238="",$A238&gt;$B$9,I$233=""),"",IF(COUNTIFS(BD!$B$3:$B$5001,I$233,BD!$A$3:$A$5001,"&gt;="&amp;$C$7,BD!$A$3:$A$5001,"&lt;="&amp;$B238,BD!$R$3:$R$5001,"&lt;&gt;")=0,"",SUMIFS(BD!$R$3:$R$5001,BD!$B$3:$B$5001,I$233,BD!$A$3:$A$5001,_xlfn.MAXIFS(BD!$A$3:$A$5001,BD!$B$3:$B$5001,I$233,BD!$A$3:$A$5001,"&gt;="&amp;$C$7,BD!$A$3:$A$5001,"&lt;="&amp;$B238,BD!$R$3:$R$5001,"&lt;&gt;"))))</f>
        <v/>
      </c>
      <c r="J238" s="54" t="str">
        <f>IF(OR($B238="",$A238&gt;$B$9,J$233=""),"",IF(COUNTIFS(BD!$B$3:$B$5001,J$233,BD!$A$3:$A$5001,"&gt;="&amp;$C$7,BD!$A$3:$A$5001,"&lt;="&amp;$B238,BD!$R$3:$R$5001,"&lt;&gt;")=0,"",SUMIFS(BD!$R$3:$R$5001,BD!$B$3:$B$5001,J$233,BD!$A$3:$A$5001,_xlfn.MAXIFS(BD!$A$3:$A$5001,BD!$B$3:$B$5001,J$233,BD!$A$3:$A$5001,"&gt;="&amp;$C$7,BD!$A$3:$A$5001,"&lt;="&amp;$B238,BD!$R$3:$R$5001,"&lt;&gt;"))))</f>
        <v/>
      </c>
      <c r="K238" s="54" t="str">
        <f>IF(OR($B238="",$A238&gt;$B$9,K$233=""),"",IF(COUNTIFS(BD!$B$3:$B$5001,K$233,BD!$A$3:$A$5001,"&gt;="&amp;$C$7,BD!$A$3:$A$5001,"&lt;="&amp;$B238,BD!$R$3:$R$5001,"&lt;&gt;")=0,"",SUMIFS(BD!$R$3:$R$5001,BD!$B$3:$B$5001,K$233,BD!$A$3:$A$5001,_xlfn.MAXIFS(BD!$A$3:$A$5001,BD!$B$3:$B$5001,K$233,BD!$A$3:$A$5001,"&gt;="&amp;$C$7,BD!$A$3:$A$5001,"&lt;="&amp;$B238,BD!$R$3:$R$5001,"&lt;&gt;"))))</f>
        <v/>
      </c>
      <c r="L238" s="54" t="str">
        <f>IF(OR($B238="",$A238&gt;$B$9,L$233=""),"",IF(COUNTIFS(BD!$B$3:$B$5001,L$233,BD!$A$3:$A$5001,"&gt;="&amp;$C$7,BD!$A$3:$A$5001,"&lt;="&amp;$B238,BD!$R$3:$R$5001,"&lt;&gt;")=0,"",SUMIFS(BD!$R$3:$R$5001,BD!$B$3:$B$5001,L$233,BD!$A$3:$A$5001,_xlfn.MAXIFS(BD!$A$3:$A$5001,BD!$B$3:$B$5001,L$233,BD!$A$3:$A$5001,"&gt;="&amp;$C$7,BD!$A$3:$A$5001,"&lt;="&amp;$B238,BD!$R$3:$R$5001,"&lt;&gt;"))))</f>
        <v/>
      </c>
      <c r="M238" s="54" t="str">
        <f>IF(OR($B238="",$A238&gt;$B$9,M$233=""),"",IF(COUNTIFS(BD!$B$3:$B$5001,M$233,BD!$A$3:$A$5001,"&gt;="&amp;$C$7,BD!$A$3:$A$5001,"&lt;="&amp;$B238,BD!$R$3:$R$5001,"&lt;&gt;")=0,"",SUMIFS(BD!$R$3:$R$5001,BD!$B$3:$B$5001,M$233,BD!$A$3:$A$5001,_xlfn.MAXIFS(BD!$A$3:$A$5001,BD!$B$3:$B$5001,M$233,BD!$A$3:$A$5001,"&gt;="&amp;$C$7,BD!$A$3:$A$5001,"&lt;="&amp;$B238,BD!$R$3:$R$5001,"&lt;&gt;"))))</f>
        <v/>
      </c>
      <c r="N238" s="54" t="str">
        <f>IF(OR($B238="",$A238&gt;$B$9,N$233=""),"",IF(COUNTIFS(BD!$B$3:$B$5001,N$233,BD!$A$3:$A$5001,"&gt;="&amp;$C$7,BD!$A$3:$A$5001,"&lt;="&amp;$B238,BD!$R$3:$R$5001,"&lt;&gt;")=0,"",SUMIFS(BD!$R$3:$R$5001,BD!$B$3:$B$5001,N$233,BD!$A$3:$A$5001,_xlfn.MAXIFS(BD!$A$3:$A$5001,BD!$B$3:$B$5001,N$233,BD!$A$3:$A$5001,"&gt;="&amp;$C$7,BD!$A$3:$A$5001,"&lt;="&amp;$B238,BD!$R$3:$R$5001,"&lt;&gt;"))))</f>
        <v/>
      </c>
      <c r="O238" s="54" t="str">
        <f>IF(OR($B238="",$A238&gt;$B$9,O$233=""),"",IF(COUNTIFS(BD!$B$3:$B$5001,O$233,BD!$A$3:$A$5001,"&gt;="&amp;$C$7,BD!$A$3:$A$5001,"&lt;="&amp;$B238,BD!$R$3:$R$5001,"&lt;&gt;")=0,"",SUMIFS(BD!$R$3:$R$5001,BD!$B$3:$B$5001,O$233,BD!$A$3:$A$5001,_xlfn.MAXIFS(BD!$A$3:$A$5001,BD!$B$3:$B$5001,O$233,BD!$A$3:$A$5001,"&gt;="&amp;$C$7,BD!$A$3:$A$5001,"&lt;="&amp;$B238,BD!$R$3:$R$5001,"&lt;&gt;"))))</f>
        <v/>
      </c>
      <c r="P238" s="54" t="str">
        <f>IF(OR($B238="",$A238&gt;$B$9,P$233=""),"",IF(COUNTIFS(BD!$B$3:$B$5001,P$233,BD!$A$3:$A$5001,"&gt;="&amp;$C$7,BD!$A$3:$A$5001,"&lt;="&amp;$B238,BD!$R$3:$R$5001,"&lt;&gt;")=0,"",SUMIFS(BD!$R$3:$R$5001,BD!$B$3:$B$5001,P$233,BD!$A$3:$A$5001,_xlfn.MAXIFS(BD!$A$3:$A$5001,BD!$B$3:$B$5001,P$233,BD!$A$3:$A$5001,"&gt;="&amp;$C$7,BD!$A$3:$A$5001,"&lt;="&amp;$B238,BD!$R$3:$R$5001,"&lt;&gt;"))))</f>
        <v/>
      </c>
      <c r="Q238" s="54" t="str">
        <f>IF(OR($B238="",$A238&gt;$B$9,Q$233=""),"",IF(COUNTIFS(BD!$B$3:$B$5001,Q$233,BD!$A$3:$A$5001,"&gt;="&amp;$C$7,BD!$A$3:$A$5001,"&lt;="&amp;$B238,BD!$R$3:$R$5001,"&lt;&gt;")=0,"",SUMIFS(BD!$R$3:$R$5001,BD!$B$3:$B$5001,Q$233,BD!$A$3:$A$5001,_xlfn.MAXIFS(BD!$A$3:$A$5001,BD!$B$3:$B$5001,Q$233,BD!$A$3:$A$5001,"&gt;="&amp;$C$7,BD!$A$3:$A$5001,"&lt;="&amp;$B238,BD!$R$3:$R$5001,"&lt;&gt;"))))</f>
        <v/>
      </c>
      <c r="R238" s="54" t="str">
        <f>IF(OR($B238="",$A238&gt;$B$9,R$233=""),"",IF(COUNTIFS(BD!$B$3:$B$5001,R$233,BD!$A$3:$A$5001,"&gt;="&amp;$C$7,BD!$A$3:$A$5001,"&lt;="&amp;$B238,BD!$R$3:$R$5001,"&lt;&gt;")=0,"",SUMIFS(BD!$R$3:$R$5001,BD!$B$3:$B$5001,R$233,BD!$A$3:$A$5001,_xlfn.MAXIFS(BD!$A$3:$A$5001,BD!$B$3:$B$5001,R$233,BD!$A$3:$A$5001,"&gt;="&amp;$C$7,BD!$A$3:$A$5001,"&lt;="&amp;$B238,BD!$R$3:$R$5001,"&lt;&gt;"))))</f>
        <v/>
      </c>
      <c r="S238" s="54" t="str">
        <f>IF(OR($B238="",$A238&gt;$B$9,S$233=""),"",IF(COUNTIFS(BD!$B$3:$B$5001,S$233,BD!$A$3:$A$5001,"&gt;="&amp;$C$7,BD!$A$3:$A$5001,"&lt;="&amp;$B238,BD!$R$3:$R$5001,"&lt;&gt;")=0,"",SUMIFS(BD!$R$3:$R$5001,BD!$B$3:$B$5001,S$233,BD!$A$3:$A$5001,_xlfn.MAXIFS(BD!$A$3:$A$5001,BD!$B$3:$B$5001,S$233,BD!$A$3:$A$5001,"&gt;="&amp;$C$7,BD!$A$3:$A$5001,"&lt;="&amp;$B238,BD!$R$3:$R$5001,"&lt;&gt;"))))</f>
        <v/>
      </c>
      <c r="T238" s="54" t="str">
        <f>IF(OR($B238="",$A238&gt;$B$9,T$233=""),"",IF(COUNTIFS(BD!$B$3:$B$5001,T$233,BD!$A$3:$A$5001,"&gt;="&amp;$C$7,BD!$A$3:$A$5001,"&lt;="&amp;$B238,BD!$R$3:$R$5001,"&lt;&gt;")=0,"",SUMIFS(BD!$R$3:$R$5001,BD!$B$3:$B$5001,T$233,BD!$A$3:$A$5001,_xlfn.MAXIFS(BD!$A$3:$A$5001,BD!$B$3:$B$5001,T$233,BD!$A$3:$A$5001,"&gt;="&amp;$C$7,BD!$A$3:$A$5001,"&lt;="&amp;$B238,BD!$R$3:$R$5001,"&lt;&gt;"))))</f>
        <v/>
      </c>
      <c r="U238" s="54" t="str">
        <f>IF(OR($B238="",$A238&gt;$B$9,U$233=""),"",IF(COUNTIFS(BD!$B$3:$B$5001,U$233,BD!$A$3:$A$5001,"&gt;="&amp;$C$7,BD!$A$3:$A$5001,"&lt;="&amp;$B238,BD!$R$3:$R$5001,"&lt;&gt;")=0,"",SUMIFS(BD!$R$3:$R$5001,BD!$B$3:$B$5001,U$233,BD!$A$3:$A$5001,_xlfn.MAXIFS(BD!$A$3:$A$5001,BD!$B$3:$B$5001,U$233,BD!$A$3:$A$5001,"&gt;="&amp;$C$7,BD!$A$3:$A$5001,"&lt;="&amp;$B238,BD!$R$3:$R$5001,"&lt;&gt;"))))</f>
        <v/>
      </c>
      <c r="V238" s="54" t="str">
        <f>IF(OR($B238="",$A238&gt;$B$9,V$233=""),"",IF(COUNTIFS(BD!$B$3:$B$5001,V$233,BD!$A$3:$A$5001,"&gt;="&amp;$C$7,BD!$A$3:$A$5001,"&lt;="&amp;$B238,BD!$R$3:$R$5001,"&lt;&gt;")=0,"",SUMIFS(BD!$R$3:$R$5001,BD!$B$3:$B$5001,V$233,BD!$A$3:$A$5001,_xlfn.MAXIFS(BD!$A$3:$A$5001,BD!$B$3:$B$5001,V$233,BD!$A$3:$A$5001,"&gt;="&amp;$C$7,BD!$A$3:$A$5001,"&lt;="&amp;$B238,BD!$R$3:$R$5001,"&lt;&gt;"))))</f>
        <v/>
      </c>
    </row>
    <row r="239">
      <c r="A239" s="48">
        <v>6</v>
      </c>
      <c r="B239" s="53">
        <f>$B$17</f>
        <v>46301</v>
      </c>
      <c r="C239" s="54" t="str">
        <f>IF(OR($B239="",$A239&gt;$B$9,C$233=""),"",IF(COUNTIFS(BD!$B$3:$B$5001,C$233,BD!$A$3:$A$5001,"&gt;="&amp;$C$7,BD!$A$3:$A$5001,"&lt;="&amp;$B239,BD!$R$3:$R$5001,"&lt;&gt;")=0,"",SUMIFS(BD!$R$3:$R$5001,BD!$B$3:$B$5001,C$233,BD!$A$3:$A$5001,_xlfn.MAXIFS(BD!$A$3:$A$5001,BD!$B$3:$B$5001,C$233,BD!$A$3:$A$5001,"&gt;="&amp;$C$7,BD!$A$3:$A$5001,"&lt;="&amp;$B239,BD!$R$3:$R$5001,"&lt;&gt;"))))</f>
        <v/>
      </c>
      <c r="D239" s="54" t="str">
        <f>IF(OR($B239="",$A239&gt;$B$9,D$233=""),"",IF(COUNTIFS(BD!$B$3:$B$5001,D$233,BD!$A$3:$A$5001,"&gt;="&amp;$C$7,BD!$A$3:$A$5001,"&lt;="&amp;$B239,BD!$R$3:$R$5001,"&lt;&gt;")=0,"",SUMIFS(BD!$R$3:$R$5001,BD!$B$3:$B$5001,D$233,BD!$A$3:$A$5001,_xlfn.MAXIFS(BD!$A$3:$A$5001,BD!$B$3:$B$5001,D$233,BD!$A$3:$A$5001,"&gt;="&amp;$C$7,BD!$A$3:$A$5001,"&lt;="&amp;$B239,BD!$R$3:$R$5001,"&lt;&gt;"))))</f>
        <v/>
      </c>
      <c r="E239" s="54" t="str">
        <f>IF(OR($B239="",$A239&gt;$B$9,E$233=""),"",IF(COUNTIFS(BD!$B$3:$B$5001,E$233,BD!$A$3:$A$5001,"&gt;="&amp;$C$7,BD!$A$3:$A$5001,"&lt;="&amp;$B239,BD!$R$3:$R$5001,"&lt;&gt;")=0,"",SUMIFS(BD!$R$3:$R$5001,BD!$B$3:$B$5001,E$233,BD!$A$3:$A$5001,_xlfn.MAXIFS(BD!$A$3:$A$5001,BD!$B$3:$B$5001,E$233,BD!$A$3:$A$5001,"&gt;="&amp;$C$7,BD!$A$3:$A$5001,"&lt;="&amp;$B239,BD!$R$3:$R$5001,"&lt;&gt;"))))</f>
        <v/>
      </c>
      <c r="F239" s="54" t="str">
        <f>IF(OR($B239="",$A239&gt;$B$9,F$233=""),"",IF(COUNTIFS(BD!$B$3:$B$5001,F$233,BD!$A$3:$A$5001,"&gt;="&amp;$C$7,BD!$A$3:$A$5001,"&lt;="&amp;$B239,BD!$R$3:$R$5001,"&lt;&gt;")=0,"",SUMIFS(BD!$R$3:$R$5001,BD!$B$3:$B$5001,F$233,BD!$A$3:$A$5001,_xlfn.MAXIFS(BD!$A$3:$A$5001,BD!$B$3:$B$5001,F$233,BD!$A$3:$A$5001,"&gt;="&amp;$C$7,BD!$A$3:$A$5001,"&lt;="&amp;$B239,BD!$R$3:$R$5001,"&lt;&gt;"))))</f>
        <v/>
      </c>
      <c r="G239" s="54" t="str">
        <f>IF(OR($B239="",$A239&gt;$B$9,G$233=""),"",IF(COUNTIFS(BD!$B$3:$B$5001,G$233,BD!$A$3:$A$5001,"&gt;="&amp;$C$7,BD!$A$3:$A$5001,"&lt;="&amp;$B239,BD!$R$3:$R$5001,"&lt;&gt;")=0,"",SUMIFS(BD!$R$3:$R$5001,BD!$B$3:$B$5001,G$233,BD!$A$3:$A$5001,_xlfn.MAXIFS(BD!$A$3:$A$5001,BD!$B$3:$B$5001,G$233,BD!$A$3:$A$5001,"&gt;="&amp;$C$7,BD!$A$3:$A$5001,"&lt;="&amp;$B239,BD!$R$3:$R$5001,"&lt;&gt;"))))</f>
        <v/>
      </c>
      <c r="H239" s="54" t="str">
        <f>IF(OR($B239="",$A239&gt;$B$9,H$233=""),"",IF(COUNTIFS(BD!$B$3:$B$5001,H$233,BD!$A$3:$A$5001,"&gt;="&amp;$C$7,BD!$A$3:$A$5001,"&lt;="&amp;$B239,BD!$R$3:$R$5001,"&lt;&gt;")=0,"",SUMIFS(BD!$R$3:$R$5001,BD!$B$3:$B$5001,H$233,BD!$A$3:$A$5001,_xlfn.MAXIFS(BD!$A$3:$A$5001,BD!$B$3:$B$5001,H$233,BD!$A$3:$A$5001,"&gt;="&amp;$C$7,BD!$A$3:$A$5001,"&lt;="&amp;$B239,BD!$R$3:$R$5001,"&lt;&gt;"))))</f>
        <v/>
      </c>
      <c r="I239" s="54" t="str">
        <f>IF(OR($B239="",$A239&gt;$B$9,I$233=""),"",IF(COUNTIFS(BD!$B$3:$B$5001,I$233,BD!$A$3:$A$5001,"&gt;="&amp;$C$7,BD!$A$3:$A$5001,"&lt;="&amp;$B239,BD!$R$3:$R$5001,"&lt;&gt;")=0,"",SUMIFS(BD!$R$3:$R$5001,BD!$B$3:$B$5001,I$233,BD!$A$3:$A$5001,_xlfn.MAXIFS(BD!$A$3:$A$5001,BD!$B$3:$B$5001,I$233,BD!$A$3:$A$5001,"&gt;="&amp;$C$7,BD!$A$3:$A$5001,"&lt;="&amp;$B239,BD!$R$3:$R$5001,"&lt;&gt;"))))</f>
        <v/>
      </c>
      <c r="J239" s="54" t="str">
        <f>IF(OR($B239="",$A239&gt;$B$9,J$233=""),"",IF(COUNTIFS(BD!$B$3:$B$5001,J$233,BD!$A$3:$A$5001,"&gt;="&amp;$C$7,BD!$A$3:$A$5001,"&lt;="&amp;$B239,BD!$R$3:$R$5001,"&lt;&gt;")=0,"",SUMIFS(BD!$R$3:$R$5001,BD!$B$3:$B$5001,J$233,BD!$A$3:$A$5001,_xlfn.MAXIFS(BD!$A$3:$A$5001,BD!$B$3:$B$5001,J$233,BD!$A$3:$A$5001,"&gt;="&amp;$C$7,BD!$A$3:$A$5001,"&lt;="&amp;$B239,BD!$R$3:$R$5001,"&lt;&gt;"))))</f>
        <v/>
      </c>
      <c r="K239" s="54" t="str">
        <f>IF(OR($B239="",$A239&gt;$B$9,K$233=""),"",IF(COUNTIFS(BD!$B$3:$B$5001,K$233,BD!$A$3:$A$5001,"&gt;="&amp;$C$7,BD!$A$3:$A$5001,"&lt;="&amp;$B239,BD!$R$3:$R$5001,"&lt;&gt;")=0,"",SUMIFS(BD!$R$3:$R$5001,BD!$B$3:$B$5001,K$233,BD!$A$3:$A$5001,_xlfn.MAXIFS(BD!$A$3:$A$5001,BD!$B$3:$B$5001,K$233,BD!$A$3:$A$5001,"&gt;="&amp;$C$7,BD!$A$3:$A$5001,"&lt;="&amp;$B239,BD!$R$3:$R$5001,"&lt;&gt;"))))</f>
        <v/>
      </c>
      <c r="L239" s="54" t="str">
        <f>IF(OR($B239="",$A239&gt;$B$9,L$233=""),"",IF(COUNTIFS(BD!$B$3:$B$5001,L$233,BD!$A$3:$A$5001,"&gt;="&amp;$C$7,BD!$A$3:$A$5001,"&lt;="&amp;$B239,BD!$R$3:$R$5001,"&lt;&gt;")=0,"",SUMIFS(BD!$R$3:$R$5001,BD!$B$3:$B$5001,L$233,BD!$A$3:$A$5001,_xlfn.MAXIFS(BD!$A$3:$A$5001,BD!$B$3:$B$5001,L$233,BD!$A$3:$A$5001,"&gt;="&amp;$C$7,BD!$A$3:$A$5001,"&lt;="&amp;$B239,BD!$R$3:$R$5001,"&lt;&gt;"))))</f>
        <v/>
      </c>
      <c r="M239" s="54" t="str">
        <f>IF(OR($B239="",$A239&gt;$B$9,M$233=""),"",IF(COUNTIFS(BD!$B$3:$B$5001,M$233,BD!$A$3:$A$5001,"&gt;="&amp;$C$7,BD!$A$3:$A$5001,"&lt;="&amp;$B239,BD!$R$3:$R$5001,"&lt;&gt;")=0,"",SUMIFS(BD!$R$3:$R$5001,BD!$B$3:$B$5001,M$233,BD!$A$3:$A$5001,_xlfn.MAXIFS(BD!$A$3:$A$5001,BD!$B$3:$B$5001,M$233,BD!$A$3:$A$5001,"&gt;="&amp;$C$7,BD!$A$3:$A$5001,"&lt;="&amp;$B239,BD!$R$3:$R$5001,"&lt;&gt;"))))</f>
        <v/>
      </c>
      <c r="N239" s="54" t="str">
        <f>IF(OR($B239="",$A239&gt;$B$9,N$233=""),"",IF(COUNTIFS(BD!$B$3:$B$5001,N$233,BD!$A$3:$A$5001,"&gt;="&amp;$C$7,BD!$A$3:$A$5001,"&lt;="&amp;$B239,BD!$R$3:$R$5001,"&lt;&gt;")=0,"",SUMIFS(BD!$R$3:$R$5001,BD!$B$3:$B$5001,N$233,BD!$A$3:$A$5001,_xlfn.MAXIFS(BD!$A$3:$A$5001,BD!$B$3:$B$5001,N$233,BD!$A$3:$A$5001,"&gt;="&amp;$C$7,BD!$A$3:$A$5001,"&lt;="&amp;$B239,BD!$R$3:$R$5001,"&lt;&gt;"))))</f>
        <v/>
      </c>
      <c r="O239" s="54" t="str">
        <f>IF(OR($B239="",$A239&gt;$B$9,O$233=""),"",IF(COUNTIFS(BD!$B$3:$B$5001,O$233,BD!$A$3:$A$5001,"&gt;="&amp;$C$7,BD!$A$3:$A$5001,"&lt;="&amp;$B239,BD!$R$3:$R$5001,"&lt;&gt;")=0,"",SUMIFS(BD!$R$3:$R$5001,BD!$B$3:$B$5001,O$233,BD!$A$3:$A$5001,_xlfn.MAXIFS(BD!$A$3:$A$5001,BD!$B$3:$B$5001,O$233,BD!$A$3:$A$5001,"&gt;="&amp;$C$7,BD!$A$3:$A$5001,"&lt;="&amp;$B239,BD!$R$3:$R$5001,"&lt;&gt;"))))</f>
        <v/>
      </c>
      <c r="P239" s="54" t="str">
        <f>IF(OR($B239="",$A239&gt;$B$9,P$233=""),"",IF(COUNTIFS(BD!$B$3:$B$5001,P$233,BD!$A$3:$A$5001,"&gt;="&amp;$C$7,BD!$A$3:$A$5001,"&lt;="&amp;$B239,BD!$R$3:$R$5001,"&lt;&gt;")=0,"",SUMIFS(BD!$R$3:$R$5001,BD!$B$3:$B$5001,P$233,BD!$A$3:$A$5001,_xlfn.MAXIFS(BD!$A$3:$A$5001,BD!$B$3:$B$5001,P$233,BD!$A$3:$A$5001,"&gt;="&amp;$C$7,BD!$A$3:$A$5001,"&lt;="&amp;$B239,BD!$R$3:$R$5001,"&lt;&gt;"))))</f>
        <v/>
      </c>
      <c r="Q239" s="54" t="str">
        <f>IF(OR($B239="",$A239&gt;$B$9,Q$233=""),"",IF(COUNTIFS(BD!$B$3:$B$5001,Q$233,BD!$A$3:$A$5001,"&gt;="&amp;$C$7,BD!$A$3:$A$5001,"&lt;="&amp;$B239,BD!$R$3:$R$5001,"&lt;&gt;")=0,"",SUMIFS(BD!$R$3:$R$5001,BD!$B$3:$B$5001,Q$233,BD!$A$3:$A$5001,_xlfn.MAXIFS(BD!$A$3:$A$5001,BD!$B$3:$B$5001,Q$233,BD!$A$3:$A$5001,"&gt;="&amp;$C$7,BD!$A$3:$A$5001,"&lt;="&amp;$B239,BD!$R$3:$R$5001,"&lt;&gt;"))))</f>
        <v/>
      </c>
      <c r="R239" s="54" t="str">
        <f>IF(OR($B239="",$A239&gt;$B$9,R$233=""),"",IF(COUNTIFS(BD!$B$3:$B$5001,R$233,BD!$A$3:$A$5001,"&gt;="&amp;$C$7,BD!$A$3:$A$5001,"&lt;="&amp;$B239,BD!$R$3:$R$5001,"&lt;&gt;")=0,"",SUMIFS(BD!$R$3:$R$5001,BD!$B$3:$B$5001,R$233,BD!$A$3:$A$5001,_xlfn.MAXIFS(BD!$A$3:$A$5001,BD!$B$3:$B$5001,R$233,BD!$A$3:$A$5001,"&gt;="&amp;$C$7,BD!$A$3:$A$5001,"&lt;="&amp;$B239,BD!$R$3:$R$5001,"&lt;&gt;"))))</f>
        <v/>
      </c>
      <c r="S239" s="54" t="str">
        <f>IF(OR($B239="",$A239&gt;$B$9,S$233=""),"",IF(COUNTIFS(BD!$B$3:$B$5001,S$233,BD!$A$3:$A$5001,"&gt;="&amp;$C$7,BD!$A$3:$A$5001,"&lt;="&amp;$B239,BD!$R$3:$R$5001,"&lt;&gt;")=0,"",SUMIFS(BD!$R$3:$R$5001,BD!$B$3:$B$5001,S$233,BD!$A$3:$A$5001,_xlfn.MAXIFS(BD!$A$3:$A$5001,BD!$B$3:$B$5001,S$233,BD!$A$3:$A$5001,"&gt;="&amp;$C$7,BD!$A$3:$A$5001,"&lt;="&amp;$B239,BD!$R$3:$R$5001,"&lt;&gt;"))))</f>
        <v/>
      </c>
      <c r="T239" s="54" t="str">
        <f>IF(OR($B239="",$A239&gt;$B$9,T$233=""),"",IF(COUNTIFS(BD!$B$3:$B$5001,T$233,BD!$A$3:$A$5001,"&gt;="&amp;$C$7,BD!$A$3:$A$5001,"&lt;="&amp;$B239,BD!$R$3:$R$5001,"&lt;&gt;")=0,"",SUMIFS(BD!$R$3:$R$5001,BD!$B$3:$B$5001,T$233,BD!$A$3:$A$5001,_xlfn.MAXIFS(BD!$A$3:$A$5001,BD!$B$3:$B$5001,T$233,BD!$A$3:$A$5001,"&gt;="&amp;$C$7,BD!$A$3:$A$5001,"&lt;="&amp;$B239,BD!$R$3:$R$5001,"&lt;&gt;"))))</f>
        <v/>
      </c>
      <c r="U239" s="54" t="str">
        <f>IF(OR($B239="",$A239&gt;$B$9,U$233=""),"",IF(COUNTIFS(BD!$B$3:$B$5001,U$233,BD!$A$3:$A$5001,"&gt;="&amp;$C$7,BD!$A$3:$A$5001,"&lt;="&amp;$B239,BD!$R$3:$R$5001,"&lt;&gt;")=0,"",SUMIFS(BD!$R$3:$R$5001,BD!$B$3:$B$5001,U$233,BD!$A$3:$A$5001,_xlfn.MAXIFS(BD!$A$3:$A$5001,BD!$B$3:$B$5001,U$233,BD!$A$3:$A$5001,"&gt;="&amp;$C$7,BD!$A$3:$A$5001,"&lt;="&amp;$B239,BD!$R$3:$R$5001,"&lt;&gt;"))))</f>
        <v/>
      </c>
      <c r="V239" s="54" t="str">
        <f>IF(OR($B239="",$A239&gt;$B$9,V$233=""),"",IF(COUNTIFS(BD!$B$3:$B$5001,V$233,BD!$A$3:$A$5001,"&gt;="&amp;$C$7,BD!$A$3:$A$5001,"&lt;="&amp;$B239,BD!$R$3:$R$5001,"&lt;&gt;")=0,"",SUMIFS(BD!$R$3:$R$5001,BD!$B$3:$B$5001,V$233,BD!$A$3:$A$5001,_xlfn.MAXIFS(BD!$A$3:$A$5001,BD!$B$3:$B$5001,V$233,BD!$A$3:$A$5001,"&gt;="&amp;$C$7,BD!$A$3:$A$5001,"&lt;="&amp;$B239,BD!$R$3:$R$5001,"&lt;&gt;"))))</f>
        <v/>
      </c>
    </row>
    <row r="240">
      <c r="A240" s="48">
        <v>7</v>
      </c>
      <c r="B240" s="53">
        <f>$B$18</f>
        <v>46302</v>
      </c>
      <c r="C240" s="54" t="str">
        <f>IF(OR($B240="",$A240&gt;$B$9,C$233=""),"",IF(COUNTIFS(BD!$B$3:$B$5001,C$233,BD!$A$3:$A$5001,"&gt;="&amp;$C$7,BD!$A$3:$A$5001,"&lt;="&amp;$B240,BD!$R$3:$R$5001,"&lt;&gt;")=0,"",SUMIFS(BD!$R$3:$R$5001,BD!$B$3:$B$5001,C$233,BD!$A$3:$A$5001,_xlfn.MAXIFS(BD!$A$3:$A$5001,BD!$B$3:$B$5001,C$233,BD!$A$3:$A$5001,"&gt;="&amp;$C$7,BD!$A$3:$A$5001,"&lt;="&amp;$B240,BD!$R$3:$R$5001,"&lt;&gt;"))))</f>
        <v/>
      </c>
      <c r="D240" s="54" t="str">
        <f>IF(OR($B240="",$A240&gt;$B$9,D$233=""),"",IF(COUNTIFS(BD!$B$3:$B$5001,D$233,BD!$A$3:$A$5001,"&gt;="&amp;$C$7,BD!$A$3:$A$5001,"&lt;="&amp;$B240,BD!$R$3:$R$5001,"&lt;&gt;")=0,"",SUMIFS(BD!$R$3:$R$5001,BD!$B$3:$B$5001,D$233,BD!$A$3:$A$5001,_xlfn.MAXIFS(BD!$A$3:$A$5001,BD!$B$3:$B$5001,D$233,BD!$A$3:$A$5001,"&gt;="&amp;$C$7,BD!$A$3:$A$5001,"&lt;="&amp;$B240,BD!$R$3:$R$5001,"&lt;&gt;"))))</f>
        <v/>
      </c>
      <c r="E240" s="54" t="str">
        <f>IF(OR($B240="",$A240&gt;$B$9,E$233=""),"",IF(COUNTIFS(BD!$B$3:$B$5001,E$233,BD!$A$3:$A$5001,"&gt;="&amp;$C$7,BD!$A$3:$A$5001,"&lt;="&amp;$B240,BD!$R$3:$R$5001,"&lt;&gt;")=0,"",SUMIFS(BD!$R$3:$R$5001,BD!$B$3:$B$5001,E$233,BD!$A$3:$A$5001,_xlfn.MAXIFS(BD!$A$3:$A$5001,BD!$B$3:$B$5001,E$233,BD!$A$3:$A$5001,"&gt;="&amp;$C$7,BD!$A$3:$A$5001,"&lt;="&amp;$B240,BD!$R$3:$R$5001,"&lt;&gt;"))))</f>
        <v/>
      </c>
      <c r="F240" s="54" t="str">
        <f>IF(OR($B240="",$A240&gt;$B$9,F$233=""),"",IF(COUNTIFS(BD!$B$3:$B$5001,F$233,BD!$A$3:$A$5001,"&gt;="&amp;$C$7,BD!$A$3:$A$5001,"&lt;="&amp;$B240,BD!$R$3:$R$5001,"&lt;&gt;")=0,"",SUMIFS(BD!$R$3:$R$5001,BD!$B$3:$B$5001,F$233,BD!$A$3:$A$5001,_xlfn.MAXIFS(BD!$A$3:$A$5001,BD!$B$3:$B$5001,F$233,BD!$A$3:$A$5001,"&gt;="&amp;$C$7,BD!$A$3:$A$5001,"&lt;="&amp;$B240,BD!$R$3:$R$5001,"&lt;&gt;"))))</f>
        <v/>
      </c>
      <c r="G240" s="54" t="str">
        <f>IF(OR($B240="",$A240&gt;$B$9,G$233=""),"",IF(COUNTIFS(BD!$B$3:$B$5001,G$233,BD!$A$3:$A$5001,"&gt;="&amp;$C$7,BD!$A$3:$A$5001,"&lt;="&amp;$B240,BD!$R$3:$R$5001,"&lt;&gt;")=0,"",SUMIFS(BD!$R$3:$R$5001,BD!$B$3:$B$5001,G$233,BD!$A$3:$A$5001,_xlfn.MAXIFS(BD!$A$3:$A$5001,BD!$B$3:$B$5001,G$233,BD!$A$3:$A$5001,"&gt;="&amp;$C$7,BD!$A$3:$A$5001,"&lt;="&amp;$B240,BD!$R$3:$R$5001,"&lt;&gt;"))))</f>
        <v/>
      </c>
      <c r="H240" s="54" t="str">
        <f>IF(OR($B240="",$A240&gt;$B$9,H$233=""),"",IF(COUNTIFS(BD!$B$3:$B$5001,H$233,BD!$A$3:$A$5001,"&gt;="&amp;$C$7,BD!$A$3:$A$5001,"&lt;="&amp;$B240,BD!$R$3:$R$5001,"&lt;&gt;")=0,"",SUMIFS(BD!$R$3:$R$5001,BD!$B$3:$B$5001,H$233,BD!$A$3:$A$5001,_xlfn.MAXIFS(BD!$A$3:$A$5001,BD!$B$3:$B$5001,H$233,BD!$A$3:$A$5001,"&gt;="&amp;$C$7,BD!$A$3:$A$5001,"&lt;="&amp;$B240,BD!$R$3:$R$5001,"&lt;&gt;"))))</f>
        <v/>
      </c>
      <c r="I240" s="54" t="str">
        <f>IF(OR($B240="",$A240&gt;$B$9,I$233=""),"",IF(COUNTIFS(BD!$B$3:$B$5001,I$233,BD!$A$3:$A$5001,"&gt;="&amp;$C$7,BD!$A$3:$A$5001,"&lt;="&amp;$B240,BD!$R$3:$R$5001,"&lt;&gt;")=0,"",SUMIFS(BD!$R$3:$R$5001,BD!$B$3:$B$5001,I$233,BD!$A$3:$A$5001,_xlfn.MAXIFS(BD!$A$3:$A$5001,BD!$B$3:$B$5001,I$233,BD!$A$3:$A$5001,"&gt;="&amp;$C$7,BD!$A$3:$A$5001,"&lt;="&amp;$B240,BD!$R$3:$R$5001,"&lt;&gt;"))))</f>
        <v/>
      </c>
      <c r="J240" s="54" t="str">
        <f>IF(OR($B240="",$A240&gt;$B$9,J$233=""),"",IF(COUNTIFS(BD!$B$3:$B$5001,J$233,BD!$A$3:$A$5001,"&gt;="&amp;$C$7,BD!$A$3:$A$5001,"&lt;="&amp;$B240,BD!$R$3:$R$5001,"&lt;&gt;")=0,"",SUMIFS(BD!$R$3:$R$5001,BD!$B$3:$B$5001,J$233,BD!$A$3:$A$5001,_xlfn.MAXIFS(BD!$A$3:$A$5001,BD!$B$3:$B$5001,J$233,BD!$A$3:$A$5001,"&gt;="&amp;$C$7,BD!$A$3:$A$5001,"&lt;="&amp;$B240,BD!$R$3:$R$5001,"&lt;&gt;"))))</f>
        <v/>
      </c>
      <c r="K240" s="54" t="str">
        <f>IF(OR($B240="",$A240&gt;$B$9,K$233=""),"",IF(COUNTIFS(BD!$B$3:$B$5001,K$233,BD!$A$3:$A$5001,"&gt;="&amp;$C$7,BD!$A$3:$A$5001,"&lt;="&amp;$B240,BD!$R$3:$R$5001,"&lt;&gt;")=0,"",SUMIFS(BD!$R$3:$R$5001,BD!$B$3:$B$5001,K$233,BD!$A$3:$A$5001,_xlfn.MAXIFS(BD!$A$3:$A$5001,BD!$B$3:$B$5001,K$233,BD!$A$3:$A$5001,"&gt;="&amp;$C$7,BD!$A$3:$A$5001,"&lt;="&amp;$B240,BD!$R$3:$R$5001,"&lt;&gt;"))))</f>
        <v/>
      </c>
      <c r="L240" s="54" t="str">
        <f>IF(OR($B240="",$A240&gt;$B$9,L$233=""),"",IF(COUNTIFS(BD!$B$3:$B$5001,L$233,BD!$A$3:$A$5001,"&gt;="&amp;$C$7,BD!$A$3:$A$5001,"&lt;="&amp;$B240,BD!$R$3:$R$5001,"&lt;&gt;")=0,"",SUMIFS(BD!$R$3:$R$5001,BD!$B$3:$B$5001,L$233,BD!$A$3:$A$5001,_xlfn.MAXIFS(BD!$A$3:$A$5001,BD!$B$3:$B$5001,L$233,BD!$A$3:$A$5001,"&gt;="&amp;$C$7,BD!$A$3:$A$5001,"&lt;="&amp;$B240,BD!$R$3:$R$5001,"&lt;&gt;"))))</f>
        <v/>
      </c>
      <c r="M240" s="54" t="str">
        <f>IF(OR($B240="",$A240&gt;$B$9,M$233=""),"",IF(COUNTIFS(BD!$B$3:$B$5001,M$233,BD!$A$3:$A$5001,"&gt;="&amp;$C$7,BD!$A$3:$A$5001,"&lt;="&amp;$B240,BD!$R$3:$R$5001,"&lt;&gt;")=0,"",SUMIFS(BD!$R$3:$R$5001,BD!$B$3:$B$5001,M$233,BD!$A$3:$A$5001,_xlfn.MAXIFS(BD!$A$3:$A$5001,BD!$B$3:$B$5001,M$233,BD!$A$3:$A$5001,"&gt;="&amp;$C$7,BD!$A$3:$A$5001,"&lt;="&amp;$B240,BD!$R$3:$R$5001,"&lt;&gt;"))))</f>
        <v/>
      </c>
      <c r="N240" s="54" t="str">
        <f>IF(OR($B240="",$A240&gt;$B$9,N$233=""),"",IF(COUNTIFS(BD!$B$3:$B$5001,N$233,BD!$A$3:$A$5001,"&gt;="&amp;$C$7,BD!$A$3:$A$5001,"&lt;="&amp;$B240,BD!$R$3:$R$5001,"&lt;&gt;")=0,"",SUMIFS(BD!$R$3:$R$5001,BD!$B$3:$B$5001,N$233,BD!$A$3:$A$5001,_xlfn.MAXIFS(BD!$A$3:$A$5001,BD!$B$3:$B$5001,N$233,BD!$A$3:$A$5001,"&gt;="&amp;$C$7,BD!$A$3:$A$5001,"&lt;="&amp;$B240,BD!$R$3:$R$5001,"&lt;&gt;"))))</f>
        <v/>
      </c>
      <c r="O240" s="54" t="str">
        <f>IF(OR($B240="",$A240&gt;$B$9,O$233=""),"",IF(COUNTIFS(BD!$B$3:$B$5001,O$233,BD!$A$3:$A$5001,"&gt;="&amp;$C$7,BD!$A$3:$A$5001,"&lt;="&amp;$B240,BD!$R$3:$R$5001,"&lt;&gt;")=0,"",SUMIFS(BD!$R$3:$R$5001,BD!$B$3:$B$5001,O$233,BD!$A$3:$A$5001,_xlfn.MAXIFS(BD!$A$3:$A$5001,BD!$B$3:$B$5001,O$233,BD!$A$3:$A$5001,"&gt;="&amp;$C$7,BD!$A$3:$A$5001,"&lt;="&amp;$B240,BD!$R$3:$R$5001,"&lt;&gt;"))))</f>
        <v/>
      </c>
      <c r="P240" s="54" t="str">
        <f>IF(OR($B240="",$A240&gt;$B$9,P$233=""),"",IF(COUNTIFS(BD!$B$3:$B$5001,P$233,BD!$A$3:$A$5001,"&gt;="&amp;$C$7,BD!$A$3:$A$5001,"&lt;="&amp;$B240,BD!$R$3:$R$5001,"&lt;&gt;")=0,"",SUMIFS(BD!$R$3:$R$5001,BD!$B$3:$B$5001,P$233,BD!$A$3:$A$5001,_xlfn.MAXIFS(BD!$A$3:$A$5001,BD!$B$3:$B$5001,P$233,BD!$A$3:$A$5001,"&gt;="&amp;$C$7,BD!$A$3:$A$5001,"&lt;="&amp;$B240,BD!$R$3:$R$5001,"&lt;&gt;"))))</f>
        <v/>
      </c>
      <c r="Q240" s="54" t="str">
        <f>IF(OR($B240="",$A240&gt;$B$9,Q$233=""),"",IF(COUNTIFS(BD!$B$3:$B$5001,Q$233,BD!$A$3:$A$5001,"&gt;="&amp;$C$7,BD!$A$3:$A$5001,"&lt;="&amp;$B240,BD!$R$3:$R$5001,"&lt;&gt;")=0,"",SUMIFS(BD!$R$3:$R$5001,BD!$B$3:$B$5001,Q$233,BD!$A$3:$A$5001,_xlfn.MAXIFS(BD!$A$3:$A$5001,BD!$B$3:$B$5001,Q$233,BD!$A$3:$A$5001,"&gt;="&amp;$C$7,BD!$A$3:$A$5001,"&lt;="&amp;$B240,BD!$R$3:$R$5001,"&lt;&gt;"))))</f>
        <v/>
      </c>
      <c r="R240" s="54" t="str">
        <f>IF(OR($B240="",$A240&gt;$B$9,R$233=""),"",IF(COUNTIFS(BD!$B$3:$B$5001,R$233,BD!$A$3:$A$5001,"&gt;="&amp;$C$7,BD!$A$3:$A$5001,"&lt;="&amp;$B240,BD!$R$3:$R$5001,"&lt;&gt;")=0,"",SUMIFS(BD!$R$3:$R$5001,BD!$B$3:$B$5001,R$233,BD!$A$3:$A$5001,_xlfn.MAXIFS(BD!$A$3:$A$5001,BD!$B$3:$B$5001,R$233,BD!$A$3:$A$5001,"&gt;="&amp;$C$7,BD!$A$3:$A$5001,"&lt;="&amp;$B240,BD!$R$3:$R$5001,"&lt;&gt;"))))</f>
        <v/>
      </c>
      <c r="S240" s="54" t="str">
        <f>IF(OR($B240="",$A240&gt;$B$9,S$233=""),"",IF(COUNTIFS(BD!$B$3:$B$5001,S$233,BD!$A$3:$A$5001,"&gt;="&amp;$C$7,BD!$A$3:$A$5001,"&lt;="&amp;$B240,BD!$R$3:$R$5001,"&lt;&gt;")=0,"",SUMIFS(BD!$R$3:$R$5001,BD!$B$3:$B$5001,S$233,BD!$A$3:$A$5001,_xlfn.MAXIFS(BD!$A$3:$A$5001,BD!$B$3:$B$5001,S$233,BD!$A$3:$A$5001,"&gt;="&amp;$C$7,BD!$A$3:$A$5001,"&lt;="&amp;$B240,BD!$R$3:$R$5001,"&lt;&gt;"))))</f>
        <v/>
      </c>
      <c r="T240" s="54" t="str">
        <f>IF(OR($B240="",$A240&gt;$B$9,T$233=""),"",IF(COUNTIFS(BD!$B$3:$B$5001,T$233,BD!$A$3:$A$5001,"&gt;="&amp;$C$7,BD!$A$3:$A$5001,"&lt;="&amp;$B240,BD!$R$3:$R$5001,"&lt;&gt;")=0,"",SUMIFS(BD!$R$3:$R$5001,BD!$B$3:$B$5001,T$233,BD!$A$3:$A$5001,_xlfn.MAXIFS(BD!$A$3:$A$5001,BD!$B$3:$B$5001,T$233,BD!$A$3:$A$5001,"&gt;="&amp;$C$7,BD!$A$3:$A$5001,"&lt;="&amp;$B240,BD!$R$3:$R$5001,"&lt;&gt;"))))</f>
        <v/>
      </c>
      <c r="U240" s="54" t="str">
        <f>IF(OR($B240="",$A240&gt;$B$9,U$233=""),"",IF(COUNTIFS(BD!$B$3:$B$5001,U$233,BD!$A$3:$A$5001,"&gt;="&amp;$C$7,BD!$A$3:$A$5001,"&lt;="&amp;$B240,BD!$R$3:$R$5001,"&lt;&gt;")=0,"",SUMIFS(BD!$R$3:$R$5001,BD!$B$3:$B$5001,U$233,BD!$A$3:$A$5001,_xlfn.MAXIFS(BD!$A$3:$A$5001,BD!$B$3:$B$5001,U$233,BD!$A$3:$A$5001,"&gt;="&amp;$C$7,BD!$A$3:$A$5001,"&lt;="&amp;$B240,BD!$R$3:$R$5001,"&lt;&gt;"))))</f>
        <v/>
      </c>
      <c r="V240" s="54" t="str">
        <f>IF(OR($B240="",$A240&gt;$B$9,V$233=""),"",IF(COUNTIFS(BD!$B$3:$B$5001,V$233,BD!$A$3:$A$5001,"&gt;="&amp;$C$7,BD!$A$3:$A$5001,"&lt;="&amp;$B240,BD!$R$3:$R$5001,"&lt;&gt;")=0,"",SUMIFS(BD!$R$3:$R$5001,BD!$B$3:$B$5001,V$233,BD!$A$3:$A$5001,_xlfn.MAXIFS(BD!$A$3:$A$5001,BD!$B$3:$B$5001,V$233,BD!$A$3:$A$5001,"&gt;="&amp;$C$7,BD!$A$3:$A$5001,"&lt;="&amp;$B240,BD!$R$3:$R$5001,"&lt;&gt;"))))</f>
        <v/>
      </c>
    </row>
    <row r="241">
      <c r="A241" s="48">
        <v>8</v>
      </c>
      <c r="B241" s="53">
        <f>$B$19</f>
        <v>46303</v>
      </c>
      <c r="C241" s="54" t="str">
        <f>IF(OR($B241="",$A241&gt;$B$9,C$233=""),"",IF(COUNTIFS(BD!$B$3:$B$5001,C$233,BD!$A$3:$A$5001,"&gt;="&amp;$C$7,BD!$A$3:$A$5001,"&lt;="&amp;$B241,BD!$R$3:$R$5001,"&lt;&gt;")=0,"",SUMIFS(BD!$R$3:$R$5001,BD!$B$3:$B$5001,C$233,BD!$A$3:$A$5001,_xlfn.MAXIFS(BD!$A$3:$A$5001,BD!$B$3:$B$5001,C$233,BD!$A$3:$A$5001,"&gt;="&amp;$C$7,BD!$A$3:$A$5001,"&lt;="&amp;$B241,BD!$R$3:$R$5001,"&lt;&gt;"))))</f>
        <v/>
      </c>
      <c r="D241" s="54" t="str">
        <f>IF(OR($B241="",$A241&gt;$B$9,D$233=""),"",IF(COUNTIFS(BD!$B$3:$B$5001,D$233,BD!$A$3:$A$5001,"&gt;="&amp;$C$7,BD!$A$3:$A$5001,"&lt;="&amp;$B241,BD!$R$3:$R$5001,"&lt;&gt;")=0,"",SUMIFS(BD!$R$3:$R$5001,BD!$B$3:$B$5001,D$233,BD!$A$3:$A$5001,_xlfn.MAXIFS(BD!$A$3:$A$5001,BD!$B$3:$B$5001,D$233,BD!$A$3:$A$5001,"&gt;="&amp;$C$7,BD!$A$3:$A$5001,"&lt;="&amp;$B241,BD!$R$3:$R$5001,"&lt;&gt;"))))</f>
        <v/>
      </c>
      <c r="E241" s="54" t="str">
        <f>IF(OR($B241="",$A241&gt;$B$9,E$233=""),"",IF(COUNTIFS(BD!$B$3:$B$5001,E$233,BD!$A$3:$A$5001,"&gt;="&amp;$C$7,BD!$A$3:$A$5001,"&lt;="&amp;$B241,BD!$R$3:$R$5001,"&lt;&gt;")=0,"",SUMIFS(BD!$R$3:$R$5001,BD!$B$3:$B$5001,E$233,BD!$A$3:$A$5001,_xlfn.MAXIFS(BD!$A$3:$A$5001,BD!$B$3:$B$5001,E$233,BD!$A$3:$A$5001,"&gt;="&amp;$C$7,BD!$A$3:$A$5001,"&lt;="&amp;$B241,BD!$R$3:$R$5001,"&lt;&gt;"))))</f>
        <v/>
      </c>
      <c r="F241" s="54" t="str">
        <f>IF(OR($B241="",$A241&gt;$B$9,F$233=""),"",IF(COUNTIFS(BD!$B$3:$B$5001,F$233,BD!$A$3:$A$5001,"&gt;="&amp;$C$7,BD!$A$3:$A$5001,"&lt;="&amp;$B241,BD!$R$3:$R$5001,"&lt;&gt;")=0,"",SUMIFS(BD!$R$3:$R$5001,BD!$B$3:$B$5001,F$233,BD!$A$3:$A$5001,_xlfn.MAXIFS(BD!$A$3:$A$5001,BD!$B$3:$B$5001,F$233,BD!$A$3:$A$5001,"&gt;="&amp;$C$7,BD!$A$3:$A$5001,"&lt;="&amp;$B241,BD!$R$3:$R$5001,"&lt;&gt;"))))</f>
        <v/>
      </c>
      <c r="G241" s="54" t="str">
        <f>IF(OR($B241="",$A241&gt;$B$9,G$233=""),"",IF(COUNTIFS(BD!$B$3:$B$5001,G$233,BD!$A$3:$A$5001,"&gt;="&amp;$C$7,BD!$A$3:$A$5001,"&lt;="&amp;$B241,BD!$R$3:$R$5001,"&lt;&gt;")=0,"",SUMIFS(BD!$R$3:$R$5001,BD!$B$3:$B$5001,G$233,BD!$A$3:$A$5001,_xlfn.MAXIFS(BD!$A$3:$A$5001,BD!$B$3:$B$5001,G$233,BD!$A$3:$A$5001,"&gt;="&amp;$C$7,BD!$A$3:$A$5001,"&lt;="&amp;$B241,BD!$R$3:$R$5001,"&lt;&gt;"))))</f>
        <v/>
      </c>
      <c r="H241" s="54" t="str">
        <f>IF(OR($B241="",$A241&gt;$B$9,H$233=""),"",IF(COUNTIFS(BD!$B$3:$B$5001,H$233,BD!$A$3:$A$5001,"&gt;="&amp;$C$7,BD!$A$3:$A$5001,"&lt;="&amp;$B241,BD!$R$3:$R$5001,"&lt;&gt;")=0,"",SUMIFS(BD!$R$3:$R$5001,BD!$B$3:$B$5001,H$233,BD!$A$3:$A$5001,_xlfn.MAXIFS(BD!$A$3:$A$5001,BD!$B$3:$B$5001,H$233,BD!$A$3:$A$5001,"&gt;="&amp;$C$7,BD!$A$3:$A$5001,"&lt;="&amp;$B241,BD!$R$3:$R$5001,"&lt;&gt;"))))</f>
        <v/>
      </c>
      <c r="I241" s="54" t="str">
        <f>IF(OR($B241="",$A241&gt;$B$9,I$233=""),"",IF(COUNTIFS(BD!$B$3:$B$5001,I$233,BD!$A$3:$A$5001,"&gt;="&amp;$C$7,BD!$A$3:$A$5001,"&lt;="&amp;$B241,BD!$R$3:$R$5001,"&lt;&gt;")=0,"",SUMIFS(BD!$R$3:$R$5001,BD!$B$3:$B$5001,I$233,BD!$A$3:$A$5001,_xlfn.MAXIFS(BD!$A$3:$A$5001,BD!$B$3:$B$5001,I$233,BD!$A$3:$A$5001,"&gt;="&amp;$C$7,BD!$A$3:$A$5001,"&lt;="&amp;$B241,BD!$R$3:$R$5001,"&lt;&gt;"))))</f>
        <v/>
      </c>
      <c r="J241" s="54" t="str">
        <f>IF(OR($B241="",$A241&gt;$B$9,J$233=""),"",IF(COUNTIFS(BD!$B$3:$B$5001,J$233,BD!$A$3:$A$5001,"&gt;="&amp;$C$7,BD!$A$3:$A$5001,"&lt;="&amp;$B241,BD!$R$3:$R$5001,"&lt;&gt;")=0,"",SUMIFS(BD!$R$3:$R$5001,BD!$B$3:$B$5001,J$233,BD!$A$3:$A$5001,_xlfn.MAXIFS(BD!$A$3:$A$5001,BD!$B$3:$B$5001,J$233,BD!$A$3:$A$5001,"&gt;="&amp;$C$7,BD!$A$3:$A$5001,"&lt;="&amp;$B241,BD!$R$3:$R$5001,"&lt;&gt;"))))</f>
        <v/>
      </c>
      <c r="K241" s="54" t="str">
        <f>IF(OR($B241="",$A241&gt;$B$9,K$233=""),"",IF(COUNTIFS(BD!$B$3:$B$5001,K$233,BD!$A$3:$A$5001,"&gt;="&amp;$C$7,BD!$A$3:$A$5001,"&lt;="&amp;$B241,BD!$R$3:$R$5001,"&lt;&gt;")=0,"",SUMIFS(BD!$R$3:$R$5001,BD!$B$3:$B$5001,K$233,BD!$A$3:$A$5001,_xlfn.MAXIFS(BD!$A$3:$A$5001,BD!$B$3:$B$5001,K$233,BD!$A$3:$A$5001,"&gt;="&amp;$C$7,BD!$A$3:$A$5001,"&lt;="&amp;$B241,BD!$R$3:$R$5001,"&lt;&gt;"))))</f>
        <v/>
      </c>
      <c r="L241" s="54" t="str">
        <f>IF(OR($B241="",$A241&gt;$B$9,L$233=""),"",IF(COUNTIFS(BD!$B$3:$B$5001,L$233,BD!$A$3:$A$5001,"&gt;="&amp;$C$7,BD!$A$3:$A$5001,"&lt;="&amp;$B241,BD!$R$3:$R$5001,"&lt;&gt;")=0,"",SUMIFS(BD!$R$3:$R$5001,BD!$B$3:$B$5001,L$233,BD!$A$3:$A$5001,_xlfn.MAXIFS(BD!$A$3:$A$5001,BD!$B$3:$B$5001,L$233,BD!$A$3:$A$5001,"&gt;="&amp;$C$7,BD!$A$3:$A$5001,"&lt;="&amp;$B241,BD!$R$3:$R$5001,"&lt;&gt;"))))</f>
        <v/>
      </c>
      <c r="M241" s="54" t="str">
        <f>IF(OR($B241="",$A241&gt;$B$9,M$233=""),"",IF(COUNTIFS(BD!$B$3:$B$5001,M$233,BD!$A$3:$A$5001,"&gt;="&amp;$C$7,BD!$A$3:$A$5001,"&lt;="&amp;$B241,BD!$R$3:$R$5001,"&lt;&gt;")=0,"",SUMIFS(BD!$R$3:$R$5001,BD!$B$3:$B$5001,M$233,BD!$A$3:$A$5001,_xlfn.MAXIFS(BD!$A$3:$A$5001,BD!$B$3:$B$5001,M$233,BD!$A$3:$A$5001,"&gt;="&amp;$C$7,BD!$A$3:$A$5001,"&lt;="&amp;$B241,BD!$R$3:$R$5001,"&lt;&gt;"))))</f>
        <v/>
      </c>
      <c r="N241" s="54" t="str">
        <f>IF(OR($B241="",$A241&gt;$B$9,N$233=""),"",IF(COUNTIFS(BD!$B$3:$B$5001,N$233,BD!$A$3:$A$5001,"&gt;="&amp;$C$7,BD!$A$3:$A$5001,"&lt;="&amp;$B241,BD!$R$3:$R$5001,"&lt;&gt;")=0,"",SUMIFS(BD!$R$3:$R$5001,BD!$B$3:$B$5001,N$233,BD!$A$3:$A$5001,_xlfn.MAXIFS(BD!$A$3:$A$5001,BD!$B$3:$B$5001,N$233,BD!$A$3:$A$5001,"&gt;="&amp;$C$7,BD!$A$3:$A$5001,"&lt;="&amp;$B241,BD!$R$3:$R$5001,"&lt;&gt;"))))</f>
        <v/>
      </c>
      <c r="O241" s="54" t="str">
        <f>IF(OR($B241="",$A241&gt;$B$9,O$233=""),"",IF(COUNTIFS(BD!$B$3:$B$5001,O$233,BD!$A$3:$A$5001,"&gt;="&amp;$C$7,BD!$A$3:$A$5001,"&lt;="&amp;$B241,BD!$R$3:$R$5001,"&lt;&gt;")=0,"",SUMIFS(BD!$R$3:$R$5001,BD!$B$3:$B$5001,O$233,BD!$A$3:$A$5001,_xlfn.MAXIFS(BD!$A$3:$A$5001,BD!$B$3:$B$5001,O$233,BD!$A$3:$A$5001,"&gt;="&amp;$C$7,BD!$A$3:$A$5001,"&lt;="&amp;$B241,BD!$R$3:$R$5001,"&lt;&gt;"))))</f>
        <v/>
      </c>
      <c r="P241" s="54" t="str">
        <f>IF(OR($B241="",$A241&gt;$B$9,P$233=""),"",IF(COUNTIFS(BD!$B$3:$B$5001,P$233,BD!$A$3:$A$5001,"&gt;="&amp;$C$7,BD!$A$3:$A$5001,"&lt;="&amp;$B241,BD!$R$3:$R$5001,"&lt;&gt;")=0,"",SUMIFS(BD!$R$3:$R$5001,BD!$B$3:$B$5001,P$233,BD!$A$3:$A$5001,_xlfn.MAXIFS(BD!$A$3:$A$5001,BD!$B$3:$B$5001,P$233,BD!$A$3:$A$5001,"&gt;="&amp;$C$7,BD!$A$3:$A$5001,"&lt;="&amp;$B241,BD!$R$3:$R$5001,"&lt;&gt;"))))</f>
        <v/>
      </c>
      <c r="Q241" s="54" t="str">
        <f>IF(OR($B241="",$A241&gt;$B$9,Q$233=""),"",IF(COUNTIFS(BD!$B$3:$B$5001,Q$233,BD!$A$3:$A$5001,"&gt;="&amp;$C$7,BD!$A$3:$A$5001,"&lt;="&amp;$B241,BD!$R$3:$R$5001,"&lt;&gt;")=0,"",SUMIFS(BD!$R$3:$R$5001,BD!$B$3:$B$5001,Q$233,BD!$A$3:$A$5001,_xlfn.MAXIFS(BD!$A$3:$A$5001,BD!$B$3:$B$5001,Q$233,BD!$A$3:$A$5001,"&gt;="&amp;$C$7,BD!$A$3:$A$5001,"&lt;="&amp;$B241,BD!$R$3:$R$5001,"&lt;&gt;"))))</f>
        <v/>
      </c>
      <c r="R241" s="54" t="str">
        <f>IF(OR($B241="",$A241&gt;$B$9,R$233=""),"",IF(COUNTIFS(BD!$B$3:$B$5001,R$233,BD!$A$3:$A$5001,"&gt;="&amp;$C$7,BD!$A$3:$A$5001,"&lt;="&amp;$B241,BD!$R$3:$R$5001,"&lt;&gt;")=0,"",SUMIFS(BD!$R$3:$R$5001,BD!$B$3:$B$5001,R$233,BD!$A$3:$A$5001,_xlfn.MAXIFS(BD!$A$3:$A$5001,BD!$B$3:$B$5001,R$233,BD!$A$3:$A$5001,"&gt;="&amp;$C$7,BD!$A$3:$A$5001,"&lt;="&amp;$B241,BD!$R$3:$R$5001,"&lt;&gt;"))))</f>
        <v/>
      </c>
      <c r="S241" s="54" t="str">
        <f>IF(OR($B241="",$A241&gt;$B$9,S$233=""),"",IF(COUNTIFS(BD!$B$3:$B$5001,S$233,BD!$A$3:$A$5001,"&gt;="&amp;$C$7,BD!$A$3:$A$5001,"&lt;="&amp;$B241,BD!$R$3:$R$5001,"&lt;&gt;")=0,"",SUMIFS(BD!$R$3:$R$5001,BD!$B$3:$B$5001,S$233,BD!$A$3:$A$5001,_xlfn.MAXIFS(BD!$A$3:$A$5001,BD!$B$3:$B$5001,S$233,BD!$A$3:$A$5001,"&gt;="&amp;$C$7,BD!$A$3:$A$5001,"&lt;="&amp;$B241,BD!$R$3:$R$5001,"&lt;&gt;"))))</f>
        <v/>
      </c>
      <c r="T241" s="54" t="str">
        <f>IF(OR($B241="",$A241&gt;$B$9,T$233=""),"",IF(COUNTIFS(BD!$B$3:$B$5001,T$233,BD!$A$3:$A$5001,"&gt;="&amp;$C$7,BD!$A$3:$A$5001,"&lt;="&amp;$B241,BD!$R$3:$R$5001,"&lt;&gt;")=0,"",SUMIFS(BD!$R$3:$R$5001,BD!$B$3:$B$5001,T$233,BD!$A$3:$A$5001,_xlfn.MAXIFS(BD!$A$3:$A$5001,BD!$B$3:$B$5001,T$233,BD!$A$3:$A$5001,"&gt;="&amp;$C$7,BD!$A$3:$A$5001,"&lt;="&amp;$B241,BD!$R$3:$R$5001,"&lt;&gt;"))))</f>
        <v/>
      </c>
      <c r="U241" s="54" t="str">
        <f>IF(OR($B241="",$A241&gt;$B$9,U$233=""),"",IF(COUNTIFS(BD!$B$3:$B$5001,U$233,BD!$A$3:$A$5001,"&gt;="&amp;$C$7,BD!$A$3:$A$5001,"&lt;="&amp;$B241,BD!$R$3:$R$5001,"&lt;&gt;")=0,"",SUMIFS(BD!$R$3:$R$5001,BD!$B$3:$B$5001,U$233,BD!$A$3:$A$5001,_xlfn.MAXIFS(BD!$A$3:$A$5001,BD!$B$3:$B$5001,U$233,BD!$A$3:$A$5001,"&gt;="&amp;$C$7,BD!$A$3:$A$5001,"&lt;="&amp;$B241,BD!$R$3:$R$5001,"&lt;&gt;"))))</f>
        <v/>
      </c>
      <c r="V241" s="54" t="str">
        <f>IF(OR($B241="",$A241&gt;$B$9,V$233=""),"",IF(COUNTIFS(BD!$B$3:$B$5001,V$233,BD!$A$3:$A$5001,"&gt;="&amp;$C$7,BD!$A$3:$A$5001,"&lt;="&amp;$B241,BD!$R$3:$R$5001,"&lt;&gt;")=0,"",SUMIFS(BD!$R$3:$R$5001,BD!$B$3:$B$5001,V$233,BD!$A$3:$A$5001,_xlfn.MAXIFS(BD!$A$3:$A$5001,BD!$B$3:$B$5001,V$233,BD!$A$3:$A$5001,"&gt;="&amp;$C$7,BD!$A$3:$A$5001,"&lt;="&amp;$B241,BD!$R$3:$R$5001,"&lt;&gt;"))))</f>
        <v/>
      </c>
    </row>
    <row r="242">
      <c r="A242" s="48">
        <v>9</v>
      </c>
      <c r="B242" s="53">
        <f>$B$20</f>
        <v>46304</v>
      </c>
      <c r="C242" s="54" t="str">
        <f>IF(OR($B242="",$A242&gt;$B$9,C$233=""),"",IF(COUNTIFS(BD!$B$3:$B$5001,C$233,BD!$A$3:$A$5001,"&gt;="&amp;$C$7,BD!$A$3:$A$5001,"&lt;="&amp;$B242,BD!$R$3:$R$5001,"&lt;&gt;")=0,"",SUMIFS(BD!$R$3:$R$5001,BD!$B$3:$B$5001,C$233,BD!$A$3:$A$5001,_xlfn.MAXIFS(BD!$A$3:$A$5001,BD!$B$3:$B$5001,C$233,BD!$A$3:$A$5001,"&gt;="&amp;$C$7,BD!$A$3:$A$5001,"&lt;="&amp;$B242,BD!$R$3:$R$5001,"&lt;&gt;"))))</f>
        <v/>
      </c>
      <c r="D242" s="54" t="str">
        <f>IF(OR($B242="",$A242&gt;$B$9,D$233=""),"",IF(COUNTIFS(BD!$B$3:$B$5001,D$233,BD!$A$3:$A$5001,"&gt;="&amp;$C$7,BD!$A$3:$A$5001,"&lt;="&amp;$B242,BD!$R$3:$R$5001,"&lt;&gt;")=0,"",SUMIFS(BD!$R$3:$R$5001,BD!$B$3:$B$5001,D$233,BD!$A$3:$A$5001,_xlfn.MAXIFS(BD!$A$3:$A$5001,BD!$B$3:$B$5001,D$233,BD!$A$3:$A$5001,"&gt;="&amp;$C$7,BD!$A$3:$A$5001,"&lt;="&amp;$B242,BD!$R$3:$R$5001,"&lt;&gt;"))))</f>
        <v/>
      </c>
      <c r="E242" s="54" t="str">
        <f>IF(OR($B242="",$A242&gt;$B$9,E$233=""),"",IF(COUNTIFS(BD!$B$3:$B$5001,E$233,BD!$A$3:$A$5001,"&gt;="&amp;$C$7,BD!$A$3:$A$5001,"&lt;="&amp;$B242,BD!$R$3:$R$5001,"&lt;&gt;")=0,"",SUMIFS(BD!$R$3:$R$5001,BD!$B$3:$B$5001,E$233,BD!$A$3:$A$5001,_xlfn.MAXIFS(BD!$A$3:$A$5001,BD!$B$3:$B$5001,E$233,BD!$A$3:$A$5001,"&gt;="&amp;$C$7,BD!$A$3:$A$5001,"&lt;="&amp;$B242,BD!$R$3:$R$5001,"&lt;&gt;"))))</f>
        <v/>
      </c>
      <c r="F242" s="54" t="str">
        <f>IF(OR($B242="",$A242&gt;$B$9,F$233=""),"",IF(COUNTIFS(BD!$B$3:$B$5001,F$233,BD!$A$3:$A$5001,"&gt;="&amp;$C$7,BD!$A$3:$A$5001,"&lt;="&amp;$B242,BD!$R$3:$R$5001,"&lt;&gt;")=0,"",SUMIFS(BD!$R$3:$R$5001,BD!$B$3:$B$5001,F$233,BD!$A$3:$A$5001,_xlfn.MAXIFS(BD!$A$3:$A$5001,BD!$B$3:$B$5001,F$233,BD!$A$3:$A$5001,"&gt;="&amp;$C$7,BD!$A$3:$A$5001,"&lt;="&amp;$B242,BD!$R$3:$R$5001,"&lt;&gt;"))))</f>
        <v/>
      </c>
      <c r="G242" s="54" t="str">
        <f>IF(OR($B242="",$A242&gt;$B$9,G$233=""),"",IF(COUNTIFS(BD!$B$3:$B$5001,G$233,BD!$A$3:$A$5001,"&gt;="&amp;$C$7,BD!$A$3:$A$5001,"&lt;="&amp;$B242,BD!$R$3:$R$5001,"&lt;&gt;")=0,"",SUMIFS(BD!$R$3:$R$5001,BD!$B$3:$B$5001,G$233,BD!$A$3:$A$5001,_xlfn.MAXIFS(BD!$A$3:$A$5001,BD!$B$3:$B$5001,G$233,BD!$A$3:$A$5001,"&gt;="&amp;$C$7,BD!$A$3:$A$5001,"&lt;="&amp;$B242,BD!$R$3:$R$5001,"&lt;&gt;"))))</f>
        <v/>
      </c>
      <c r="H242" s="54" t="str">
        <f>IF(OR($B242="",$A242&gt;$B$9,H$233=""),"",IF(COUNTIFS(BD!$B$3:$B$5001,H$233,BD!$A$3:$A$5001,"&gt;="&amp;$C$7,BD!$A$3:$A$5001,"&lt;="&amp;$B242,BD!$R$3:$R$5001,"&lt;&gt;")=0,"",SUMIFS(BD!$R$3:$R$5001,BD!$B$3:$B$5001,H$233,BD!$A$3:$A$5001,_xlfn.MAXIFS(BD!$A$3:$A$5001,BD!$B$3:$B$5001,H$233,BD!$A$3:$A$5001,"&gt;="&amp;$C$7,BD!$A$3:$A$5001,"&lt;="&amp;$B242,BD!$R$3:$R$5001,"&lt;&gt;"))))</f>
        <v/>
      </c>
      <c r="I242" s="54" t="str">
        <f>IF(OR($B242="",$A242&gt;$B$9,I$233=""),"",IF(COUNTIFS(BD!$B$3:$B$5001,I$233,BD!$A$3:$A$5001,"&gt;="&amp;$C$7,BD!$A$3:$A$5001,"&lt;="&amp;$B242,BD!$R$3:$R$5001,"&lt;&gt;")=0,"",SUMIFS(BD!$R$3:$R$5001,BD!$B$3:$B$5001,I$233,BD!$A$3:$A$5001,_xlfn.MAXIFS(BD!$A$3:$A$5001,BD!$B$3:$B$5001,I$233,BD!$A$3:$A$5001,"&gt;="&amp;$C$7,BD!$A$3:$A$5001,"&lt;="&amp;$B242,BD!$R$3:$R$5001,"&lt;&gt;"))))</f>
        <v/>
      </c>
      <c r="J242" s="54" t="str">
        <f>IF(OR($B242="",$A242&gt;$B$9,J$233=""),"",IF(COUNTIFS(BD!$B$3:$B$5001,J$233,BD!$A$3:$A$5001,"&gt;="&amp;$C$7,BD!$A$3:$A$5001,"&lt;="&amp;$B242,BD!$R$3:$R$5001,"&lt;&gt;")=0,"",SUMIFS(BD!$R$3:$R$5001,BD!$B$3:$B$5001,J$233,BD!$A$3:$A$5001,_xlfn.MAXIFS(BD!$A$3:$A$5001,BD!$B$3:$B$5001,J$233,BD!$A$3:$A$5001,"&gt;="&amp;$C$7,BD!$A$3:$A$5001,"&lt;="&amp;$B242,BD!$R$3:$R$5001,"&lt;&gt;"))))</f>
        <v/>
      </c>
      <c r="K242" s="54" t="str">
        <f>IF(OR($B242="",$A242&gt;$B$9,K$233=""),"",IF(COUNTIFS(BD!$B$3:$B$5001,K$233,BD!$A$3:$A$5001,"&gt;="&amp;$C$7,BD!$A$3:$A$5001,"&lt;="&amp;$B242,BD!$R$3:$R$5001,"&lt;&gt;")=0,"",SUMIFS(BD!$R$3:$R$5001,BD!$B$3:$B$5001,K$233,BD!$A$3:$A$5001,_xlfn.MAXIFS(BD!$A$3:$A$5001,BD!$B$3:$B$5001,K$233,BD!$A$3:$A$5001,"&gt;="&amp;$C$7,BD!$A$3:$A$5001,"&lt;="&amp;$B242,BD!$R$3:$R$5001,"&lt;&gt;"))))</f>
        <v/>
      </c>
      <c r="L242" s="54" t="str">
        <f>IF(OR($B242="",$A242&gt;$B$9,L$233=""),"",IF(COUNTIFS(BD!$B$3:$B$5001,L$233,BD!$A$3:$A$5001,"&gt;="&amp;$C$7,BD!$A$3:$A$5001,"&lt;="&amp;$B242,BD!$R$3:$R$5001,"&lt;&gt;")=0,"",SUMIFS(BD!$R$3:$R$5001,BD!$B$3:$B$5001,L$233,BD!$A$3:$A$5001,_xlfn.MAXIFS(BD!$A$3:$A$5001,BD!$B$3:$B$5001,L$233,BD!$A$3:$A$5001,"&gt;="&amp;$C$7,BD!$A$3:$A$5001,"&lt;="&amp;$B242,BD!$R$3:$R$5001,"&lt;&gt;"))))</f>
        <v/>
      </c>
      <c r="M242" s="54" t="str">
        <f>IF(OR($B242="",$A242&gt;$B$9,M$233=""),"",IF(COUNTIFS(BD!$B$3:$B$5001,M$233,BD!$A$3:$A$5001,"&gt;="&amp;$C$7,BD!$A$3:$A$5001,"&lt;="&amp;$B242,BD!$R$3:$R$5001,"&lt;&gt;")=0,"",SUMIFS(BD!$R$3:$R$5001,BD!$B$3:$B$5001,M$233,BD!$A$3:$A$5001,_xlfn.MAXIFS(BD!$A$3:$A$5001,BD!$B$3:$B$5001,M$233,BD!$A$3:$A$5001,"&gt;="&amp;$C$7,BD!$A$3:$A$5001,"&lt;="&amp;$B242,BD!$R$3:$R$5001,"&lt;&gt;"))))</f>
        <v/>
      </c>
      <c r="N242" s="54" t="str">
        <f>IF(OR($B242="",$A242&gt;$B$9,N$233=""),"",IF(COUNTIFS(BD!$B$3:$B$5001,N$233,BD!$A$3:$A$5001,"&gt;="&amp;$C$7,BD!$A$3:$A$5001,"&lt;="&amp;$B242,BD!$R$3:$R$5001,"&lt;&gt;")=0,"",SUMIFS(BD!$R$3:$R$5001,BD!$B$3:$B$5001,N$233,BD!$A$3:$A$5001,_xlfn.MAXIFS(BD!$A$3:$A$5001,BD!$B$3:$B$5001,N$233,BD!$A$3:$A$5001,"&gt;="&amp;$C$7,BD!$A$3:$A$5001,"&lt;="&amp;$B242,BD!$R$3:$R$5001,"&lt;&gt;"))))</f>
        <v/>
      </c>
      <c r="O242" s="54" t="str">
        <f>IF(OR($B242="",$A242&gt;$B$9,O$233=""),"",IF(COUNTIFS(BD!$B$3:$B$5001,O$233,BD!$A$3:$A$5001,"&gt;="&amp;$C$7,BD!$A$3:$A$5001,"&lt;="&amp;$B242,BD!$R$3:$R$5001,"&lt;&gt;")=0,"",SUMIFS(BD!$R$3:$R$5001,BD!$B$3:$B$5001,O$233,BD!$A$3:$A$5001,_xlfn.MAXIFS(BD!$A$3:$A$5001,BD!$B$3:$B$5001,O$233,BD!$A$3:$A$5001,"&gt;="&amp;$C$7,BD!$A$3:$A$5001,"&lt;="&amp;$B242,BD!$R$3:$R$5001,"&lt;&gt;"))))</f>
        <v/>
      </c>
      <c r="P242" s="54" t="str">
        <f>IF(OR($B242="",$A242&gt;$B$9,P$233=""),"",IF(COUNTIFS(BD!$B$3:$B$5001,P$233,BD!$A$3:$A$5001,"&gt;="&amp;$C$7,BD!$A$3:$A$5001,"&lt;="&amp;$B242,BD!$R$3:$R$5001,"&lt;&gt;")=0,"",SUMIFS(BD!$R$3:$R$5001,BD!$B$3:$B$5001,P$233,BD!$A$3:$A$5001,_xlfn.MAXIFS(BD!$A$3:$A$5001,BD!$B$3:$B$5001,P$233,BD!$A$3:$A$5001,"&gt;="&amp;$C$7,BD!$A$3:$A$5001,"&lt;="&amp;$B242,BD!$R$3:$R$5001,"&lt;&gt;"))))</f>
        <v/>
      </c>
      <c r="Q242" s="54" t="str">
        <f>IF(OR($B242="",$A242&gt;$B$9,Q$233=""),"",IF(COUNTIFS(BD!$B$3:$B$5001,Q$233,BD!$A$3:$A$5001,"&gt;="&amp;$C$7,BD!$A$3:$A$5001,"&lt;="&amp;$B242,BD!$R$3:$R$5001,"&lt;&gt;")=0,"",SUMIFS(BD!$R$3:$R$5001,BD!$B$3:$B$5001,Q$233,BD!$A$3:$A$5001,_xlfn.MAXIFS(BD!$A$3:$A$5001,BD!$B$3:$B$5001,Q$233,BD!$A$3:$A$5001,"&gt;="&amp;$C$7,BD!$A$3:$A$5001,"&lt;="&amp;$B242,BD!$R$3:$R$5001,"&lt;&gt;"))))</f>
        <v/>
      </c>
      <c r="R242" s="54" t="str">
        <f>IF(OR($B242="",$A242&gt;$B$9,R$233=""),"",IF(COUNTIFS(BD!$B$3:$B$5001,R$233,BD!$A$3:$A$5001,"&gt;="&amp;$C$7,BD!$A$3:$A$5001,"&lt;="&amp;$B242,BD!$R$3:$R$5001,"&lt;&gt;")=0,"",SUMIFS(BD!$R$3:$R$5001,BD!$B$3:$B$5001,R$233,BD!$A$3:$A$5001,_xlfn.MAXIFS(BD!$A$3:$A$5001,BD!$B$3:$B$5001,R$233,BD!$A$3:$A$5001,"&gt;="&amp;$C$7,BD!$A$3:$A$5001,"&lt;="&amp;$B242,BD!$R$3:$R$5001,"&lt;&gt;"))))</f>
        <v/>
      </c>
      <c r="S242" s="54" t="str">
        <f>IF(OR($B242="",$A242&gt;$B$9,S$233=""),"",IF(COUNTIFS(BD!$B$3:$B$5001,S$233,BD!$A$3:$A$5001,"&gt;="&amp;$C$7,BD!$A$3:$A$5001,"&lt;="&amp;$B242,BD!$R$3:$R$5001,"&lt;&gt;")=0,"",SUMIFS(BD!$R$3:$R$5001,BD!$B$3:$B$5001,S$233,BD!$A$3:$A$5001,_xlfn.MAXIFS(BD!$A$3:$A$5001,BD!$B$3:$B$5001,S$233,BD!$A$3:$A$5001,"&gt;="&amp;$C$7,BD!$A$3:$A$5001,"&lt;="&amp;$B242,BD!$R$3:$R$5001,"&lt;&gt;"))))</f>
        <v/>
      </c>
      <c r="T242" s="54" t="str">
        <f>IF(OR($B242="",$A242&gt;$B$9,T$233=""),"",IF(COUNTIFS(BD!$B$3:$B$5001,T$233,BD!$A$3:$A$5001,"&gt;="&amp;$C$7,BD!$A$3:$A$5001,"&lt;="&amp;$B242,BD!$R$3:$R$5001,"&lt;&gt;")=0,"",SUMIFS(BD!$R$3:$R$5001,BD!$B$3:$B$5001,T$233,BD!$A$3:$A$5001,_xlfn.MAXIFS(BD!$A$3:$A$5001,BD!$B$3:$B$5001,T$233,BD!$A$3:$A$5001,"&gt;="&amp;$C$7,BD!$A$3:$A$5001,"&lt;="&amp;$B242,BD!$R$3:$R$5001,"&lt;&gt;"))))</f>
        <v/>
      </c>
      <c r="U242" s="54" t="str">
        <f>IF(OR($B242="",$A242&gt;$B$9,U$233=""),"",IF(COUNTIFS(BD!$B$3:$B$5001,U$233,BD!$A$3:$A$5001,"&gt;="&amp;$C$7,BD!$A$3:$A$5001,"&lt;="&amp;$B242,BD!$R$3:$R$5001,"&lt;&gt;")=0,"",SUMIFS(BD!$R$3:$R$5001,BD!$B$3:$B$5001,U$233,BD!$A$3:$A$5001,_xlfn.MAXIFS(BD!$A$3:$A$5001,BD!$B$3:$B$5001,U$233,BD!$A$3:$A$5001,"&gt;="&amp;$C$7,BD!$A$3:$A$5001,"&lt;="&amp;$B242,BD!$R$3:$R$5001,"&lt;&gt;"))))</f>
        <v/>
      </c>
      <c r="V242" s="54" t="str">
        <f>IF(OR($B242="",$A242&gt;$B$9,V$233=""),"",IF(COUNTIFS(BD!$B$3:$B$5001,V$233,BD!$A$3:$A$5001,"&gt;="&amp;$C$7,BD!$A$3:$A$5001,"&lt;="&amp;$B242,BD!$R$3:$R$5001,"&lt;&gt;")=0,"",SUMIFS(BD!$R$3:$R$5001,BD!$B$3:$B$5001,V$233,BD!$A$3:$A$5001,_xlfn.MAXIFS(BD!$A$3:$A$5001,BD!$B$3:$B$5001,V$233,BD!$A$3:$A$5001,"&gt;="&amp;$C$7,BD!$A$3:$A$5001,"&lt;="&amp;$B242,BD!$R$3:$R$5001,"&lt;&gt;"))))</f>
        <v/>
      </c>
    </row>
    <row r="243">
      <c r="A243" s="48">
        <v>10</v>
      </c>
      <c r="B243" s="53">
        <f>$B$21</f>
        <v>46305</v>
      </c>
      <c r="C243" s="54" t="str">
        <f>IF(OR($B243="",$A243&gt;$B$9,C$233=""),"",IF(COUNTIFS(BD!$B$3:$B$5001,C$233,BD!$A$3:$A$5001,"&gt;="&amp;$C$7,BD!$A$3:$A$5001,"&lt;="&amp;$B243,BD!$R$3:$R$5001,"&lt;&gt;")=0,"",SUMIFS(BD!$R$3:$R$5001,BD!$B$3:$B$5001,C$233,BD!$A$3:$A$5001,_xlfn.MAXIFS(BD!$A$3:$A$5001,BD!$B$3:$B$5001,C$233,BD!$A$3:$A$5001,"&gt;="&amp;$C$7,BD!$A$3:$A$5001,"&lt;="&amp;$B243,BD!$R$3:$R$5001,"&lt;&gt;"))))</f>
        <v/>
      </c>
      <c r="D243" s="54" t="str">
        <f>IF(OR($B243="",$A243&gt;$B$9,D$233=""),"",IF(COUNTIFS(BD!$B$3:$B$5001,D$233,BD!$A$3:$A$5001,"&gt;="&amp;$C$7,BD!$A$3:$A$5001,"&lt;="&amp;$B243,BD!$R$3:$R$5001,"&lt;&gt;")=0,"",SUMIFS(BD!$R$3:$R$5001,BD!$B$3:$B$5001,D$233,BD!$A$3:$A$5001,_xlfn.MAXIFS(BD!$A$3:$A$5001,BD!$B$3:$B$5001,D$233,BD!$A$3:$A$5001,"&gt;="&amp;$C$7,BD!$A$3:$A$5001,"&lt;="&amp;$B243,BD!$R$3:$R$5001,"&lt;&gt;"))))</f>
        <v/>
      </c>
      <c r="E243" s="54" t="str">
        <f>IF(OR($B243="",$A243&gt;$B$9,E$233=""),"",IF(COUNTIFS(BD!$B$3:$B$5001,E$233,BD!$A$3:$A$5001,"&gt;="&amp;$C$7,BD!$A$3:$A$5001,"&lt;="&amp;$B243,BD!$R$3:$R$5001,"&lt;&gt;")=0,"",SUMIFS(BD!$R$3:$R$5001,BD!$B$3:$B$5001,E$233,BD!$A$3:$A$5001,_xlfn.MAXIFS(BD!$A$3:$A$5001,BD!$B$3:$B$5001,E$233,BD!$A$3:$A$5001,"&gt;="&amp;$C$7,BD!$A$3:$A$5001,"&lt;="&amp;$B243,BD!$R$3:$R$5001,"&lt;&gt;"))))</f>
        <v/>
      </c>
      <c r="F243" s="54" t="str">
        <f>IF(OR($B243="",$A243&gt;$B$9,F$233=""),"",IF(COUNTIFS(BD!$B$3:$B$5001,F$233,BD!$A$3:$A$5001,"&gt;="&amp;$C$7,BD!$A$3:$A$5001,"&lt;="&amp;$B243,BD!$R$3:$R$5001,"&lt;&gt;")=0,"",SUMIFS(BD!$R$3:$R$5001,BD!$B$3:$B$5001,F$233,BD!$A$3:$A$5001,_xlfn.MAXIFS(BD!$A$3:$A$5001,BD!$B$3:$B$5001,F$233,BD!$A$3:$A$5001,"&gt;="&amp;$C$7,BD!$A$3:$A$5001,"&lt;="&amp;$B243,BD!$R$3:$R$5001,"&lt;&gt;"))))</f>
        <v/>
      </c>
      <c r="G243" s="54" t="str">
        <f>IF(OR($B243="",$A243&gt;$B$9,G$233=""),"",IF(COUNTIFS(BD!$B$3:$B$5001,G$233,BD!$A$3:$A$5001,"&gt;="&amp;$C$7,BD!$A$3:$A$5001,"&lt;="&amp;$B243,BD!$R$3:$R$5001,"&lt;&gt;")=0,"",SUMIFS(BD!$R$3:$R$5001,BD!$B$3:$B$5001,G$233,BD!$A$3:$A$5001,_xlfn.MAXIFS(BD!$A$3:$A$5001,BD!$B$3:$B$5001,G$233,BD!$A$3:$A$5001,"&gt;="&amp;$C$7,BD!$A$3:$A$5001,"&lt;="&amp;$B243,BD!$R$3:$R$5001,"&lt;&gt;"))))</f>
        <v/>
      </c>
      <c r="H243" s="54" t="str">
        <f>IF(OR($B243="",$A243&gt;$B$9,H$233=""),"",IF(COUNTIFS(BD!$B$3:$B$5001,H$233,BD!$A$3:$A$5001,"&gt;="&amp;$C$7,BD!$A$3:$A$5001,"&lt;="&amp;$B243,BD!$R$3:$R$5001,"&lt;&gt;")=0,"",SUMIFS(BD!$R$3:$R$5001,BD!$B$3:$B$5001,H$233,BD!$A$3:$A$5001,_xlfn.MAXIFS(BD!$A$3:$A$5001,BD!$B$3:$B$5001,H$233,BD!$A$3:$A$5001,"&gt;="&amp;$C$7,BD!$A$3:$A$5001,"&lt;="&amp;$B243,BD!$R$3:$R$5001,"&lt;&gt;"))))</f>
        <v/>
      </c>
      <c r="I243" s="54" t="str">
        <f>IF(OR($B243="",$A243&gt;$B$9,I$233=""),"",IF(COUNTIFS(BD!$B$3:$B$5001,I$233,BD!$A$3:$A$5001,"&gt;="&amp;$C$7,BD!$A$3:$A$5001,"&lt;="&amp;$B243,BD!$R$3:$R$5001,"&lt;&gt;")=0,"",SUMIFS(BD!$R$3:$R$5001,BD!$B$3:$B$5001,I$233,BD!$A$3:$A$5001,_xlfn.MAXIFS(BD!$A$3:$A$5001,BD!$B$3:$B$5001,I$233,BD!$A$3:$A$5001,"&gt;="&amp;$C$7,BD!$A$3:$A$5001,"&lt;="&amp;$B243,BD!$R$3:$R$5001,"&lt;&gt;"))))</f>
        <v/>
      </c>
      <c r="J243" s="54" t="str">
        <f>IF(OR($B243="",$A243&gt;$B$9,J$233=""),"",IF(COUNTIFS(BD!$B$3:$B$5001,J$233,BD!$A$3:$A$5001,"&gt;="&amp;$C$7,BD!$A$3:$A$5001,"&lt;="&amp;$B243,BD!$R$3:$R$5001,"&lt;&gt;")=0,"",SUMIFS(BD!$R$3:$R$5001,BD!$B$3:$B$5001,J$233,BD!$A$3:$A$5001,_xlfn.MAXIFS(BD!$A$3:$A$5001,BD!$B$3:$B$5001,J$233,BD!$A$3:$A$5001,"&gt;="&amp;$C$7,BD!$A$3:$A$5001,"&lt;="&amp;$B243,BD!$R$3:$R$5001,"&lt;&gt;"))))</f>
        <v/>
      </c>
      <c r="K243" s="54" t="str">
        <f>IF(OR($B243="",$A243&gt;$B$9,K$233=""),"",IF(COUNTIFS(BD!$B$3:$B$5001,K$233,BD!$A$3:$A$5001,"&gt;="&amp;$C$7,BD!$A$3:$A$5001,"&lt;="&amp;$B243,BD!$R$3:$R$5001,"&lt;&gt;")=0,"",SUMIFS(BD!$R$3:$R$5001,BD!$B$3:$B$5001,K$233,BD!$A$3:$A$5001,_xlfn.MAXIFS(BD!$A$3:$A$5001,BD!$B$3:$B$5001,K$233,BD!$A$3:$A$5001,"&gt;="&amp;$C$7,BD!$A$3:$A$5001,"&lt;="&amp;$B243,BD!$R$3:$R$5001,"&lt;&gt;"))))</f>
        <v/>
      </c>
      <c r="L243" s="54" t="str">
        <f>IF(OR($B243="",$A243&gt;$B$9,L$233=""),"",IF(COUNTIFS(BD!$B$3:$B$5001,L$233,BD!$A$3:$A$5001,"&gt;="&amp;$C$7,BD!$A$3:$A$5001,"&lt;="&amp;$B243,BD!$R$3:$R$5001,"&lt;&gt;")=0,"",SUMIFS(BD!$R$3:$R$5001,BD!$B$3:$B$5001,L$233,BD!$A$3:$A$5001,_xlfn.MAXIFS(BD!$A$3:$A$5001,BD!$B$3:$B$5001,L$233,BD!$A$3:$A$5001,"&gt;="&amp;$C$7,BD!$A$3:$A$5001,"&lt;="&amp;$B243,BD!$R$3:$R$5001,"&lt;&gt;"))))</f>
        <v/>
      </c>
      <c r="M243" s="54" t="str">
        <f>IF(OR($B243="",$A243&gt;$B$9,M$233=""),"",IF(COUNTIFS(BD!$B$3:$B$5001,M$233,BD!$A$3:$A$5001,"&gt;="&amp;$C$7,BD!$A$3:$A$5001,"&lt;="&amp;$B243,BD!$R$3:$R$5001,"&lt;&gt;")=0,"",SUMIFS(BD!$R$3:$R$5001,BD!$B$3:$B$5001,M$233,BD!$A$3:$A$5001,_xlfn.MAXIFS(BD!$A$3:$A$5001,BD!$B$3:$B$5001,M$233,BD!$A$3:$A$5001,"&gt;="&amp;$C$7,BD!$A$3:$A$5001,"&lt;="&amp;$B243,BD!$R$3:$R$5001,"&lt;&gt;"))))</f>
        <v/>
      </c>
      <c r="N243" s="54" t="str">
        <f>IF(OR($B243="",$A243&gt;$B$9,N$233=""),"",IF(COUNTIFS(BD!$B$3:$B$5001,N$233,BD!$A$3:$A$5001,"&gt;="&amp;$C$7,BD!$A$3:$A$5001,"&lt;="&amp;$B243,BD!$R$3:$R$5001,"&lt;&gt;")=0,"",SUMIFS(BD!$R$3:$R$5001,BD!$B$3:$B$5001,N$233,BD!$A$3:$A$5001,_xlfn.MAXIFS(BD!$A$3:$A$5001,BD!$B$3:$B$5001,N$233,BD!$A$3:$A$5001,"&gt;="&amp;$C$7,BD!$A$3:$A$5001,"&lt;="&amp;$B243,BD!$R$3:$R$5001,"&lt;&gt;"))))</f>
        <v/>
      </c>
      <c r="O243" s="54" t="str">
        <f>IF(OR($B243="",$A243&gt;$B$9,O$233=""),"",IF(COUNTIFS(BD!$B$3:$B$5001,O$233,BD!$A$3:$A$5001,"&gt;="&amp;$C$7,BD!$A$3:$A$5001,"&lt;="&amp;$B243,BD!$R$3:$R$5001,"&lt;&gt;")=0,"",SUMIFS(BD!$R$3:$R$5001,BD!$B$3:$B$5001,O$233,BD!$A$3:$A$5001,_xlfn.MAXIFS(BD!$A$3:$A$5001,BD!$B$3:$B$5001,O$233,BD!$A$3:$A$5001,"&gt;="&amp;$C$7,BD!$A$3:$A$5001,"&lt;="&amp;$B243,BD!$R$3:$R$5001,"&lt;&gt;"))))</f>
        <v/>
      </c>
      <c r="P243" s="54" t="str">
        <f>IF(OR($B243="",$A243&gt;$B$9,P$233=""),"",IF(COUNTIFS(BD!$B$3:$B$5001,P$233,BD!$A$3:$A$5001,"&gt;="&amp;$C$7,BD!$A$3:$A$5001,"&lt;="&amp;$B243,BD!$R$3:$R$5001,"&lt;&gt;")=0,"",SUMIFS(BD!$R$3:$R$5001,BD!$B$3:$B$5001,P$233,BD!$A$3:$A$5001,_xlfn.MAXIFS(BD!$A$3:$A$5001,BD!$B$3:$B$5001,P$233,BD!$A$3:$A$5001,"&gt;="&amp;$C$7,BD!$A$3:$A$5001,"&lt;="&amp;$B243,BD!$R$3:$R$5001,"&lt;&gt;"))))</f>
        <v/>
      </c>
      <c r="Q243" s="54" t="str">
        <f>IF(OR($B243="",$A243&gt;$B$9,Q$233=""),"",IF(COUNTIFS(BD!$B$3:$B$5001,Q$233,BD!$A$3:$A$5001,"&gt;="&amp;$C$7,BD!$A$3:$A$5001,"&lt;="&amp;$B243,BD!$R$3:$R$5001,"&lt;&gt;")=0,"",SUMIFS(BD!$R$3:$R$5001,BD!$B$3:$B$5001,Q$233,BD!$A$3:$A$5001,_xlfn.MAXIFS(BD!$A$3:$A$5001,BD!$B$3:$B$5001,Q$233,BD!$A$3:$A$5001,"&gt;="&amp;$C$7,BD!$A$3:$A$5001,"&lt;="&amp;$B243,BD!$R$3:$R$5001,"&lt;&gt;"))))</f>
        <v/>
      </c>
      <c r="R243" s="54" t="str">
        <f>IF(OR($B243="",$A243&gt;$B$9,R$233=""),"",IF(COUNTIFS(BD!$B$3:$B$5001,R$233,BD!$A$3:$A$5001,"&gt;="&amp;$C$7,BD!$A$3:$A$5001,"&lt;="&amp;$B243,BD!$R$3:$R$5001,"&lt;&gt;")=0,"",SUMIFS(BD!$R$3:$R$5001,BD!$B$3:$B$5001,R$233,BD!$A$3:$A$5001,_xlfn.MAXIFS(BD!$A$3:$A$5001,BD!$B$3:$B$5001,R$233,BD!$A$3:$A$5001,"&gt;="&amp;$C$7,BD!$A$3:$A$5001,"&lt;="&amp;$B243,BD!$R$3:$R$5001,"&lt;&gt;"))))</f>
        <v/>
      </c>
      <c r="S243" s="54" t="str">
        <f>IF(OR($B243="",$A243&gt;$B$9,S$233=""),"",IF(COUNTIFS(BD!$B$3:$B$5001,S$233,BD!$A$3:$A$5001,"&gt;="&amp;$C$7,BD!$A$3:$A$5001,"&lt;="&amp;$B243,BD!$R$3:$R$5001,"&lt;&gt;")=0,"",SUMIFS(BD!$R$3:$R$5001,BD!$B$3:$B$5001,S$233,BD!$A$3:$A$5001,_xlfn.MAXIFS(BD!$A$3:$A$5001,BD!$B$3:$B$5001,S$233,BD!$A$3:$A$5001,"&gt;="&amp;$C$7,BD!$A$3:$A$5001,"&lt;="&amp;$B243,BD!$R$3:$R$5001,"&lt;&gt;"))))</f>
        <v/>
      </c>
      <c r="T243" s="54" t="str">
        <f>IF(OR($B243="",$A243&gt;$B$9,T$233=""),"",IF(COUNTIFS(BD!$B$3:$B$5001,T$233,BD!$A$3:$A$5001,"&gt;="&amp;$C$7,BD!$A$3:$A$5001,"&lt;="&amp;$B243,BD!$R$3:$R$5001,"&lt;&gt;")=0,"",SUMIFS(BD!$R$3:$R$5001,BD!$B$3:$B$5001,T$233,BD!$A$3:$A$5001,_xlfn.MAXIFS(BD!$A$3:$A$5001,BD!$B$3:$B$5001,T$233,BD!$A$3:$A$5001,"&gt;="&amp;$C$7,BD!$A$3:$A$5001,"&lt;="&amp;$B243,BD!$R$3:$R$5001,"&lt;&gt;"))))</f>
        <v/>
      </c>
      <c r="U243" s="54" t="str">
        <f>IF(OR($B243="",$A243&gt;$B$9,U$233=""),"",IF(COUNTIFS(BD!$B$3:$B$5001,U$233,BD!$A$3:$A$5001,"&gt;="&amp;$C$7,BD!$A$3:$A$5001,"&lt;="&amp;$B243,BD!$R$3:$R$5001,"&lt;&gt;")=0,"",SUMIFS(BD!$R$3:$R$5001,BD!$B$3:$B$5001,U$233,BD!$A$3:$A$5001,_xlfn.MAXIFS(BD!$A$3:$A$5001,BD!$B$3:$B$5001,U$233,BD!$A$3:$A$5001,"&gt;="&amp;$C$7,BD!$A$3:$A$5001,"&lt;="&amp;$B243,BD!$R$3:$R$5001,"&lt;&gt;"))))</f>
        <v/>
      </c>
      <c r="V243" s="54" t="str">
        <f>IF(OR($B243="",$A243&gt;$B$9,V$233=""),"",IF(COUNTIFS(BD!$B$3:$B$5001,V$233,BD!$A$3:$A$5001,"&gt;="&amp;$C$7,BD!$A$3:$A$5001,"&lt;="&amp;$B243,BD!$R$3:$R$5001,"&lt;&gt;")=0,"",SUMIFS(BD!$R$3:$R$5001,BD!$B$3:$B$5001,V$233,BD!$A$3:$A$5001,_xlfn.MAXIFS(BD!$A$3:$A$5001,BD!$B$3:$B$5001,V$233,BD!$A$3:$A$5001,"&gt;="&amp;$C$7,BD!$A$3:$A$5001,"&lt;="&amp;$B243,BD!$R$3:$R$5001,"&lt;&gt;"))))</f>
        <v/>
      </c>
    </row>
    <row r="244">
      <c r="A244" s="48">
        <v>11</v>
      </c>
      <c r="B244" s="53">
        <f>$B$22</f>
        <v>46306</v>
      </c>
      <c r="C244" s="54" t="str">
        <f>IF(OR($B244="",$A244&gt;$B$9,C$233=""),"",IF(COUNTIFS(BD!$B$3:$B$5001,C$233,BD!$A$3:$A$5001,"&gt;="&amp;$C$7,BD!$A$3:$A$5001,"&lt;="&amp;$B244,BD!$R$3:$R$5001,"&lt;&gt;")=0,"",SUMIFS(BD!$R$3:$R$5001,BD!$B$3:$B$5001,C$233,BD!$A$3:$A$5001,_xlfn.MAXIFS(BD!$A$3:$A$5001,BD!$B$3:$B$5001,C$233,BD!$A$3:$A$5001,"&gt;="&amp;$C$7,BD!$A$3:$A$5001,"&lt;="&amp;$B244,BD!$R$3:$R$5001,"&lt;&gt;"))))</f>
        <v/>
      </c>
      <c r="D244" s="54" t="str">
        <f>IF(OR($B244="",$A244&gt;$B$9,D$233=""),"",IF(COUNTIFS(BD!$B$3:$B$5001,D$233,BD!$A$3:$A$5001,"&gt;="&amp;$C$7,BD!$A$3:$A$5001,"&lt;="&amp;$B244,BD!$R$3:$R$5001,"&lt;&gt;")=0,"",SUMIFS(BD!$R$3:$R$5001,BD!$B$3:$B$5001,D$233,BD!$A$3:$A$5001,_xlfn.MAXIFS(BD!$A$3:$A$5001,BD!$B$3:$B$5001,D$233,BD!$A$3:$A$5001,"&gt;="&amp;$C$7,BD!$A$3:$A$5001,"&lt;="&amp;$B244,BD!$R$3:$R$5001,"&lt;&gt;"))))</f>
        <v/>
      </c>
      <c r="E244" s="54" t="str">
        <f>IF(OR($B244="",$A244&gt;$B$9,E$233=""),"",IF(COUNTIFS(BD!$B$3:$B$5001,E$233,BD!$A$3:$A$5001,"&gt;="&amp;$C$7,BD!$A$3:$A$5001,"&lt;="&amp;$B244,BD!$R$3:$R$5001,"&lt;&gt;")=0,"",SUMIFS(BD!$R$3:$R$5001,BD!$B$3:$B$5001,E$233,BD!$A$3:$A$5001,_xlfn.MAXIFS(BD!$A$3:$A$5001,BD!$B$3:$B$5001,E$233,BD!$A$3:$A$5001,"&gt;="&amp;$C$7,BD!$A$3:$A$5001,"&lt;="&amp;$B244,BD!$R$3:$R$5001,"&lt;&gt;"))))</f>
        <v/>
      </c>
      <c r="F244" s="54" t="str">
        <f>IF(OR($B244="",$A244&gt;$B$9,F$233=""),"",IF(COUNTIFS(BD!$B$3:$B$5001,F$233,BD!$A$3:$A$5001,"&gt;="&amp;$C$7,BD!$A$3:$A$5001,"&lt;="&amp;$B244,BD!$R$3:$R$5001,"&lt;&gt;")=0,"",SUMIFS(BD!$R$3:$R$5001,BD!$B$3:$B$5001,F$233,BD!$A$3:$A$5001,_xlfn.MAXIFS(BD!$A$3:$A$5001,BD!$B$3:$B$5001,F$233,BD!$A$3:$A$5001,"&gt;="&amp;$C$7,BD!$A$3:$A$5001,"&lt;="&amp;$B244,BD!$R$3:$R$5001,"&lt;&gt;"))))</f>
        <v/>
      </c>
      <c r="G244" s="54" t="str">
        <f>IF(OR($B244="",$A244&gt;$B$9,G$233=""),"",IF(COUNTIFS(BD!$B$3:$B$5001,G$233,BD!$A$3:$A$5001,"&gt;="&amp;$C$7,BD!$A$3:$A$5001,"&lt;="&amp;$B244,BD!$R$3:$R$5001,"&lt;&gt;")=0,"",SUMIFS(BD!$R$3:$R$5001,BD!$B$3:$B$5001,G$233,BD!$A$3:$A$5001,_xlfn.MAXIFS(BD!$A$3:$A$5001,BD!$B$3:$B$5001,G$233,BD!$A$3:$A$5001,"&gt;="&amp;$C$7,BD!$A$3:$A$5001,"&lt;="&amp;$B244,BD!$R$3:$R$5001,"&lt;&gt;"))))</f>
        <v/>
      </c>
      <c r="H244" s="54" t="str">
        <f>IF(OR($B244="",$A244&gt;$B$9,H$233=""),"",IF(COUNTIFS(BD!$B$3:$B$5001,H$233,BD!$A$3:$A$5001,"&gt;="&amp;$C$7,BD!$A$3:$A$5001,"&lt;="&amp;$B244,BD!$R$3:$R$5001,"&lt;&gt;")=0,"",SUMIFS(BD!$R$3:$R$5001,BD!$B$3:$B$5001,H$233,BD!$A$3:$A$5001,_xlfn.MAXIFS(BD!$A$3:$A$5001,BD!$B$3:$B$5001,H$233,BD!$A$3:$A$5001,"&gt;="&amp;$C$7,BD!$A$3:$A$5001,"&lt;="&amp;$B244,BD!$R$3:$R$5001,"&lt;&gt;"))))</f>
        <v/>
      </c>
      <c r="I244" s="54" t="str">
        <f>IF(OR($B244="",$A244&gt;$B$9,I$233=""),"",IF(COUNTIFS(BD!$B$3:$B$5001,I$233,BD!$A$3:$A$5001,"&gt;="&amp;$C$7,BD!$A$3:$A$5001,"&lt;="&amp;$B244,BD!$R$3:$R$5001,"&lt;&gt;")=0,"",SUMIFS(BD!$R$3:$R$5001,BD!$B$3:$B$5001,I$233,BD!$A$3:$A$5001,_xlfn.MAXIFS(BD!$A$3:$A$5001,BD!$B$3:$B$5001,I$233,BD!$A$3:$A$5001,"&gt;="&amp;$C$7,BD!$A$3:$A$5001,"&lt;="&amp;$B244,BD!$R$3:$R$5001,"&lt;&gt;"))))</f>
        <v/>
      </c>
      <c r="J244" s="54" t="str">
        <f>IF(OR($B244="",$A244&gt;$B$9,J$233=""),"",IF(COUNTIFS(BD!$B$3:$B$5001,J$233,BD!$A$3:$A$5001,"&gt;="&amp;$C$7,BD!$A$3:$A$5001,"&lt;="&amp;$B244,BD!$R$3:$R$5001,"&lt;&gt;")=0,"",SUMIFS(BD!$R$3:$R$5001,BD!$B$3:$B$5001,J$233,BD!$A$3:$A$5001,_xlfn.MAXIFS(BD!$A$3:$A$5001,BD!$B$3:$B$5001,J$233,BD!$A$3:$A$5001,"&gt;="&amp;$C$7,BD!$A$3:$A$5001,"&lt;="&amp;$B244,BD!$R$3:$R$5001,"&lt;&gt;"))))</f>
        <v/>
      </c>
      <c r="K244" s="54" t="str">
        <f>IF(OR($B244="",$A244&gt;$B$9,K$233=""),"",IF(COUNTIFS(BD!$B$3:$B$5001,K$233,BD!$A$3:$A$5001,"&gt;="&amp;$C$7,BD!$A$3:$A$5001,"&lt;="&amp;$B244,BD!$R$3:$R$5001,"&lt;&gt;")=0,"",SUMIFS(BD!$R$3:$R$5001,BD!$B$3:$B$5001,K$233,BD!$A$3:$A$5001,_xlfn.MAXIFS(BD!$A$3:$A$5001,BD!$B$3:$B$5001,K$233,BD!$A$3:$A$5001,"&gt;="&amp;$C$7,BD!$A$3:$A$5001,"&lt;="&amp;$B244,BD!$R$3:$R$5001,"&lt;&gt;"))))</f>
        <v/>
      </c>
      <c r="L244" s="54" t="str">
        <f>IF(OR($B244="",$A244&gt;$B$9,L$233=""),"",IF(COUNTIFS(BD!$B$3:$B$5001,L$233,BD!$A$3:$A$5001,"&gt;="&amp;$C$7,BD!$A$3:$A$5001,"&lt;="&amp;$B244,BD!$R$3:$R$5001,"&lt;&gt;")=0,"",SUMIFS(BD!$R$3:$R$5001,BD!$B$3:$B$5001,L$233,BD!$A$3:$A$5001,_xlfn.MAXIFS(BD!$A$3:$A$5001,BD!$B$3:$B$5001,L$233,BD!$A$3:$A$5001,"&gt;="&amp;$C$7,BD!$A$3:$A$5001,"&lt;="&amp;$B244,BD!$R$3:$R$5001,"&lt;&gt;"))))</f>
        <v/>
      </c>
      <c r="M244" s="54" t="str">
        <f>IF(OR($B244="",$A244&gt;$B$9,M$233=""),"",IF(COUNTIFS(BD!$B$3:$B$5001,M$233,BD!$A$3:$A$5001,"&gt;="&amp;$C$7,BD!$A$3:$A$5001,"&lt;="&amp;$B244,BD!$R$3:$R$5001,"&lt;&gt;")=0,"",SUMIFS(BD!$R$3:$R$5001,BD!$B$3:$B$5001,M$233,BD!$A$3:$A$5001,_xlfn.MAXIFS(BD!$A$3:$A$5001,BD!$B$3:$B$5001,M$233,BD!$A$3:$A$5001,"&gt;="&amp;$C$7,BD!$A$3:$A$5001,"&lt;="&amp;$B244,BD!$R$3:$R$5001,"&lt;&gt;"))))</f>
        <v/>
      </c>
      <c r="N244" s="54" t="str">
        <f>IF(OR($B244="",$A244&gt;$B$9,N$233=""),"",IF(COUNTIFS(BD!$B$3:$B$5001,N$233,BD!$A$3:$A$5001,"&gt;="&amp;$C$7,BD!$A$3:$A$5001,"&lt;="&amp;$B244,BD!$R$3:$R$5001,"&lt;&gt;")=0,"",SUMIFS(BD!$R$3:$R$5001,BD!$B$3:$B$5001,N$233,BD!$A$3:$A$5001,_xlfn.MAXIFS(BD!$A$3:$A$5001,BD!$B$3:$B$5001,N$233,BD!$A$3:$A$5001,"&gt;="&amp;$C$7,BD!$A$3:$A$5001,"&lt;="&amp;$B244,BD!$R$3:$R$5001,"&lt;&gt;"))))</f>
        <v/>
      </c>
      <c r="O244" s="54" t="str">
        <f>IF(OR($B244="",$A244&gt;$B$9,O$233=""),"",IF(COUNTIFS(BD!$B$3:$B$5001,O$233,BD!$A$3:$A$5001,"&gt;="&amp;$C$7,BD!$A$3:$A$5001,"&lt;="&amp;$B244,BD!$R$3:$R$5001,"&lt;&gt;")=0,"",SUMIFS(BD!$R$3:$R$5001,BD!$B$3:$B$5001,O$233,BD!$A$3:$A$5001,_xlfn.MAXIFS(BD!$A$3:$A$5001,BD!$B$3:$B$5001,O$233,BD!$A$3:$A$5001,"&gt;="&amp;$C$7,BD!$A$3:$A$5001,"&lt;="&amp;$B244,BD!$R$3:$R$5001,"&lt;&gt;"))))</f>
        <v/>
      </c>
      <c r="P244" s="54" t="str">
        <f>IF(OR($B244="",$A244&gt;$B$9,P$233=""),"",IF(COUNTIFS(BD!$B$3:$B$5001,P$233,BD!$A$3:$A$5001,"&gt;="&amp;$C$7,BD!$A$3:$A$5001,"&lt;="&amp;$B244,BD!$R$3:$R$5001,"&lt;&gt;")=0,"",SUMIFS(BD!$R$3:$R$5001,BD!$B$3:$B$5001,P$233,BD!$A$3:$A$5001,_xlfn.MAXIFS(BD!$A$3:$A$5001,BD!$B$3:$B$5001,P$233,BD!$A$3:$A$5001,"&gt;="&amp;$C$7,BD!$A$3:$A$5001,"&lt;="&amp;$B244,BD!$R$3:$R$5001,"&lt;&gt;"))))</f>
        <v/>
      </c>
      <c r="Q244" s="54" t="str">
        <f>IF(OR($B244="",$A244&gt;$B$9,Q$233=""),"",IF(COUNTIFS(BD!$B$3:$B$5001,Q$233,BD!$A$3:$A$5001,"&gt;="&amp;$C$7,BD!$A$3:$A$5001,"&lt;="&amp;$B244,BD!$R$3:$R$5001,"&lt;&gt;")=0,"",SUMIFS(BD!$R$3:$R$5001,BD!$B$3:$B$5001,Q$233,BD!$A$3:$A$5001,_xlfn.MAXIFS(BD!$A$3:$A$5001,BD!$B$3:$B$5001,Q$233,BD!$A$3:$A$5001,"&gt;="&amp;$C$7,BD!$A$3:$A$5001,"&lt;="&amp;$B244,BD!$R$3:$R$5001,"&lt;&gt;"))))</f>
        <v/>
      </c>
      <c r="R244" s="54" t="str">
        <f>IF(OR($B244="",$A244&gt;$B$9,R$233=""),"",IF(COUNTIFS(BD!$B$3:$B$5001,R$233,BD!$A$3:$A$5001,"&gt;="&amp;$C$7,BD!$A$3:$A$5001,"&lt;="&amp;$B244,BD!$R$3:$R$5001,"&lt;&gt;")=0,"",SUMIFS(BD!$R$3:$R$5001,BD!$B$3:$B$5001,R$233,BD!$A$3:$A$5001,_xlfn.MAXIFS(BD!$A$3:$A$5001,BD!$B$3:$B$5001,R$233,BD!$A$3:$A$5001,"&gt;="&amp;$C$7,BD!$A$3:$A$5001,"&lt;="&amp;$B244,BD!$R$3:$R$5001,"&lt;&gt;"))))</f>
        <v/>
      </c>
      <c r="S244" s="54" t="str">
        <f>IF(OR($B244="",$A244&gt;$B$9,S$233=""),"",IF(COUNTIFS(BD!$B$3:$B$5001,S$233,BD!$A$3:$A$5001,"&gt;="&amp;$C$7,BD!$A$3:$A$5001,"&lt;="&amp;$B244,BD!$R$3:$R$5001,"&lt;&gt;")=0,"",SUMIFS(BD!$R$3:$R$5001,BD!$B$3:$B$5001,S$233,BD!$A$3:$A$5001,_xlfn.MAXIFS(BD!$A$3:$A$5001,BD!$B$3:$B$5001,S$233,BD!$A$3:$A$5001,"&gt;="&amp;$C$7,BD!$A$3:$A$5001,"&lt;="&amp;$B244,BD!$R$3:$R$5001,"&lt;&gt;"))))</f>
        <v/>
      </c>
      <c r="T244" s="54" t="str">
        <f>IF(OR($B244="",$A244&gt;$B$9,T$233=""),"",IF(COUNTIFS(BD!$B$3:$B$5001,T$233,BD!$A$3:$A$5001,"&gt;="&amp;$C$7,BD!$A$3:$A$5001,"&lt;="&amp;$B244,BD!$R$3:$R$5001,"&lt;&gt;")=0,"",SUMIFS(BD!$R$3:$R$5001,BD!$B$3:$B$5001,T$233,BD!$A$3:$A$5001,_xlfn.MAXIFS(BD!$A$3:$A$5001,BD!$B$3:$B$5001,T$233,BD!$A$3:$A$5001,"&gt;="&amp;$C$7,BD!$A$3:$A$5001,"&lt;="&amp;$B244,BD!$R$3:$R$5001,"&lt;&gt;"))))</f>
        <v/>
      </c>
      <c r="U244" s="54" t="str">
        <f>IF(OR($B244="",$A244&gt;$B$9,U$233=""),"",IF(COUNTIFS(BD!$B$3:$B$5001,U$233,BD!$A$3:$A$5001,"&gt;="&amp;$C$7,BD!$A$3:$A$5001,"&lt;="&amp;$B244,BD!$R$3:$R$5001,"&lt;&gt;")=0,"",SUMIFS(BD!$R$3:$R$5001,BD!$B$3:$B$5001,U$233,BD!$A$3:$A$5001,_xlfn.MAXIFS(BD!$A$3:$A$5001,BD!$B$3:$B$5001,U$233,BD!$A$3:$A$5001,"&gt;="&amp;$C$7,BD!$A$3:$A$5001,"&lt;="&amp;$B244,BD!$R$3:$R$5001,"&lt;&gt;"))))</f>
        <v/>
      </c>
      <c r="V244" s="54" t="str">
        <f>IF(OR($B244="",$A244&gt;$B$9,V$233=""),"",IF(COUNTIFS(BD!$B$3:$B$5001,V$233,BD!$A$3:$A$5001,"&gt;="&amp;$C$7,BD!$A$3:$A$5001,"&lt;="&amp;$B244,BD!$R$3:$R$5001,"&lt;&gt;")=0,"",SUMIFS(BD!$R$3:$R$5001,BD!$B$3:$B$5001,V$233,BD!$A$3:$A$5001,_xlfn.MAXIFS(BD!$A$3:$A$5001,BD!$B$3:$B$5001,V$233,BD!$A$3:$A$5001,"&gt;="&amp;$C$7,BD!$A$3:$A$5001,"&lt;="&amp;$B244,BD!$R$3:$R$5001,"&lt;&gt;"))))</f>
        <v/>
      </c>
    </row>
    <row r="245">
      <c r="A245" s="48">
        <v>12</v>
      </c>
      <c r="B245" s="53">
        <f>$B$23</f>
        <v>46307</v>
      </c>
      <c r="C245" s="54" t="str">
        <f>IF(OR($B245="",$A245&gt;$B$9,C$233=""),"",IF(COUNTIFS(BD!$B$3:$B$5001,C$233,BD!$A$3:$A$5001,"&gt;="&amp;$C$7,BD!$A$3:$A$5001,"&lt;="&amp;$B245,BD!$R$3:$R$5001,"&lt;&gt;")=0,"",SUMIFS(BD!$R$3:$R$5001,BD!$B$3:$B$5001,C$233,BD!$A$3:$A$5001,_xlfn.MAXIFS(BD!$A$3:$A$5001,BD!$B$3:$B$5001,C$233,BD!$A$3:$A$5001,"&gt;="&amp;$C$7,BD!$A$3:$A$5001,"&lt;="&amp;$B245,BD!$R$3:$R$5001,"&lt;&gt;"))))</f>
        <v/>
      </c>
      <c r="D245" s="54" t="str">
        <f>IF(OR($B245="",$A245&gt;$B$9,D$233=""),"",IF(COUNTIFS(BD!$B$3:$B$5001,D$233,BD!$A$3:$A$5001,"&gt;="&amp;$C$7,BD!$A$3:$A$5001,"&lt;="&amp;$B245,BD!$R$3:$R$5001,"&lt;&gt;")=0,"",SUMIFS(BD!$R$3:$R$5001,BD!$B$3:$B$5001,D$233,BD!$A$3:$A$5001,_xlfn.MAXIFS(BD!$A$3:$A$5001,BD!$B$3:$B$5001,D$233,BD!$A$3:$A$5001,"&gt;="&amp;$C$7,BD!$A$3:$A$5001,"&lt;="&amp;$B245,BD!$R$3:$R$5001,"&lt;&gt;"))))</f>
        <v/>
      </c>
      <c r="E245" s="54" t="str">
        <f>IF(OR($B245="",$A245&gt;$B$9,E$233=""),"",IF(COUNTIFS(BD!$B$3:$B$5001,E$233,BD!$A$3:$A$5001,"&gt;="&amp;$C$7,BD!$A$3:$A$5001,"&lt;="&amp;$B245,BD!$R$3:$R$5001,"&lt;&gt;")=0,"",SUMIFS(BD!$R$3:$R$5001,BD!$B$3:$B$5001,E$233,BD!$A$3:$A$5001,_xlfn.MAXIFS(BD!$A$3:$A$5001,BD!$B$3:$B$5001,E$233,BD!$A$3:$A$5001,"&gt;="&amp;$C$7,BD!$A$3:$A$5001,"&lt;="&amp;$B245,BD!$R$3:$R$5001,"&lt;&gt;"))))</f>
        <v/>
      </c>
      <c r="F245" s="54" t="str">
        <f>IF(OR($B245="",$A245&gt;$B$9,F$233=""),"",IF(COUNTIFS(BD!$B$3:$B$5001,F$233,BD!$A$3:$A$5001,"&gt;="&amp;$C$7,BD!$A$3:$A$5001,"&lt;="&amp;$B245,BD!$R$3:$R$5001,"&lt;&gt;")=0,"",SUMIFS(BD!$R$3:$R$5001,BD!$B$3:$B$5001,F$233,BD!$A$3:$A$5001,_xlfn.MAXIFS(BD!$A$3:$A$5001,BD!$B$3:$B$5001,F$233,BD!$A$3:$A$5001,"&gt;="&amp;$C$7,BD!$A$3:$A$5001,"&lt;="&amp;$B245,BD!$R$3:$R$5001,"&lt;&gt;"))))</f>
        <v/>
      </c>
      <c r="G245" s="54" t="str">
        <f>IF(OR($B245="",$A245&gt;$B$9,G$233=""),"",IF(COUNTIFS(BD!$B$3:$B$5001,G$233,BD!$A$3:$A$5001,"&gt;="&amp;$C$7,BD!$A$3:$A$5001,"&lt;="&amp;$B245,BD!$R$3:$R$5001,"&lt;&gt;")=0,"",SUMIFS(BD!$R$3:$R$5001,BD!$B$3:$B$5001,G$233,BD!$A$3:$A$5001,_xlfn.MAXIFS(BD!$A$3:$A$5001,BD!$B$3:$B$5001,G$233,BD!$A$3:$A$5001,"&gt;="&amp;$C$7,BD!$A$3:$A$5001,"&lt;="&amp;$B245,BD!$R$3:$R$5001,"&lt;&gt;"))))</f>
        <v/>
      </c>
      <c r="H245" s="54" t="str">
        <f>IF(OR($B245="",$A245&gt;$B$9,H$233=""),"",IF(COUNTIFS(BD!$B$3:$B$5001,H$233,BD!$A$3:$A$5001,"&gt;="&amp;$C$7,BD!$A$3:$A$5001,"&lt;="&amp;$B245,BD!$R$3:$R$5001,"&lt;&gt;")=0,"",SUMIFS(BD!$R$3:$R$5001,BD!$B$3:$B$5001,H$233,BD!$A$3:$A$5001,_xlfn.MAXIFS(BD!$A$3:$A$5001,BD!$B$3:$B$5001,H$233,BD!$A$3:$A$5001,"&gt;="&amp;$C$7,BD!$A$3:$A$5001,"&lt;="&amp;$B245,BD!$R$3:$R$5001,"&lt;&gt;"))))</f>
        <v/>
      </c>
      <c r="I245" s="54" t="str">
        <f>IF(OR($B245="",$A245&gt;$B$9,I$233=""),"",IF(COUNTIFS(BD!$B$3:$B$5001,I$233,BD!$A$3:$A$5001,"&gt;="&amp;$C$7,BD!$A$3:$A$5001,"&lt;="&amp;$B245,BD!$R$3:$R$5001,"&lt;&gt;")=0,"",SUMIFS(BD!$R$3:$R$5001,BD!$B$3:$B$5001,I$233,BD!$A$3:$A$5001,_xlfn.MAXIFS(BD!$A$3:$A$5001,BD!$B$3:$B$5001,I$233,BD!$A$3:$A$5001,"&gt;="&amp;$C$7,BD!$A$3:$A$5001,"&lt;="&amp;$B245,BD!$R$3:$R$5001,"&lt;&gt;"))))</f>
        <v/>
      </c>
      <c r="J245" s="54" t="str">
        <f>IF(OR($B245="",$A245&gt;$B$9,J$233=""),"",IF(COUNTIFS(BD!$B$3:$B$5001,J$233,BD!$A$3:$A$5001,"&gt;="&amp;$C$7,BD!$A$3:$A$5001,"&lt;="&amp;$B245,BD!$R$3:$R$5001,"&lt;&gt;")=0,"",SUMIFS(BD!$R$3:$R$5001,BD!$B$3:$B$5001,J$233,BD!$A$3:$A$5001,_xlfn.MAXIFS(BD!$A$3:$A$5001,BD!$B$3:$B$5001,J$233,BD!$A$3:$A$5001,"&gt;="&amp;$C$7,BD!$A$3:$A$5001,"&lt;="&amp;$B245,BD!$R$3:$R$5001,"&lt;&gt;"))))</f>
        <v/>
      </c>
      <c r="K245" s="54" t="str">
        <f>IF(OR($B245="",$A245&gt;$B$9,K$233=""),"",IF(COUNTIFS(BD!$B$3:$B$5001,K$233,BD!$A$3:$A$5001,"&gt;="&amp;$C$7,BD!$A$3:$A$5001,"&lt;="&amp;$B245,BD!$R$3:$R$5001,"&lt;&gt;")=0,"",SUMIFS(BD!$R$3:$R$5001,BD!$B$3:$B$5001,K$233,BD!$A$3:$A$5001,_xlfn.MAXIFS(BD!$A$3:$A$5001,BD!$B$3:$B$5001,K$233,BD!$A$3:$A$5001,"&gt;="&amp;$C$7,BD!$A$3:$A$5001,"&lt;="&amp;$B245,BD!$R$3:$R$5001,"&lt;&gt;"))))</f>
        <v/>
      </c>
      <c r="L245" s="54" t="str">
        <f>IF(OR($B245="",$A245&gt;$B$9,L$233=""),"",IF(COUNTIFS(BD!$B$3:$B$5001,L$233,BD!$A$3:$A$5001,"&gt;="&amp;$C$7,BD!$A$3:$A$5001,"&lt;="&amp;$B245,BD!$R$3:$R$5001,"&lt;&gt;")=0,"",SUMIFS(BD!$R$3:$R$5001,BD!$B$3:$B$5001,L$233,BD!$A$3:$A$5001,_xlfn.MAXIFS(BD!$A$3:$A$5001,BD!$B$3:$B$5001,L$233,BD!$A$3:$A$5001,"&gt;="&amp;$C$7,BD!$A$3:$A$5001,"&lt;="&amp;$B245,BD!$R$3:$R$5001,"&lt;&gt;"))))</f>
        <v/>
      </c>
      <c r="M245" s="54" t="str">
        <f>IF(OR($B245="",$A245&gt;$B$9,M$233=""),"",IF(COUNTIFS(BD!$B$3:$B$5001,M$233,BD!$A$3:$A$5001,"&gt;="&amp;$C$7,BD!$A$3:$A$5001,"&lt;="&amp;$B245,BD!$R$3:$R$5001,"&lt;&gt;")=0,"",SUMIFS(BD!$R$3:$R$5001,BD!$B$3:$B$5001,M$233,BD!$A$3:$A$5001,_xlfn.MAXIFS(BD!$A$3:$A$5001,BD!$B$3:$B$5001,M$233,BD!$A$3:$A$5001,"&gt;="&amp;$C$7,BD!$A$3:$A$5001,"&lt;="&amp;$B245,BD!$R$3:$R$5001,"&lt;&gt;"))))</f>
        <v/>
      </c>
      <c r="N245" s="54" t="str">
        <f>IF(OR($B245="",$A245&gt;$B$9,N$233=""),"",IF(COUNTIFS(BD!$B$3:$B$5001,N$233,BD!$A$3:$A$5001,"&gt;="&amp;$C$7,BD!$A$3:$A$5001,"&lt;="&amp;$B245,BD!$R$3:$R$5001,"&lt;&gt;")=0,"",SUMIFS(BD!$R$3:$R$5001,BD!$B$3:$B$5001,N$233,BD!$A$3:$A$5001,_xlfn.MAXIFS(BD!$A$3:$A$5001,BD!$B$3:$B$5001,N$233,BD!$A$3:$A$5001,"&gt;="&amp;$C$7,BD!$A$3:$A$5001,"&lt;="&amp;$B245,BD!$R$3:$R$5001,"&lt;&gt;"))))</f>
        <v/>
      </c>
      <c r="O245" s="54" t="str">
        <f>IF(OR($B245="",$A245&gt;$B$9,O$233=""),"",IF(COUNTIFS(BD!$B$3:$B$5001,O$233,BD!$A$3:$A$5001,"&gt;="&amp;$C$7,BD!$A$3:$A$5001,"&lt;="&amp;$B245,BD!$R$3:$R$5001,"&lt;&gt;")=0,"",SUMIFS(BD!$R$3:$R$5001,BD!$B$3:$B$5001,O$233,BD!$A$3:$A$5001,_xlfn.MAXIFS(BD!$A$3:$A$5001,BD!$B$3:$B$5001,O$233,BD!$A$3:$A$5001,"&gt;="&amp;$C$7,BD!$A$3:$A$5001,"&lt;="&amp;$B245,BD!$R$3:$R$5001,"&lt;&gt;"))))</f>
        <v/>
      </c>
      <c r="P245" s="54" t="str">
        <f>IF(OR($B245="",$A245&gt;$B$9,P$233=""),"",IF(COUNTIFS(BD!$B$3:$B$5001,P$233,BD!$A$3:$A$5001,"&gt;="&amp;$C$7,BD!$A$3:$A$5001,"&lt;="&amp;$B245,BD!$R$3:$R$5001,"&lt;&gt;")=0,"",SUMIFS(BD!$R$3:$R$5001,BD!$B$3:$B$5001,P$233,BD!$A$3:$A$5001,_xlfn.MAXIFS(BD!$A$3:$A$5001,BD!$B$3:$B$5001,P$233,BD!$A$3:$A$5001,"&gt;="&amp;$C$7,BD!$A$3:$A$5001,"&lt;="&amp;$B245,BD!$R$3:$R$5001,"&lt;&gt;"))))</f>
        <v/>
      </c>
      <c r="Q245" s="54" t="str">
        <f>IF(OR($B245="",$A245&gt;$B$9,Q$233=""),"",IF(COUNTIFS(BD!$B$3:$B$5001,Q$233,BD!$A$3:$A$5001,"&gt;="&amp;$C$7,BD!$A$3:$A$5001,"&lt;="&amp;$B245,BD!$R$3:$R$5001,"&lt;&gt;")=0,"",SUMIFS(BD!$R$3:$R$5001,BD!$B$3:$B$5001,Q$233,BD!$A$3:$A$5001,_xlfn.MAXIFS(BD!$A$3:$A$5001,BD!$B$3:$B$5001,Q$233,BD!$A$3:$A$5001,"&gt;="&amp;$C$7,BD!$A$3:$A$5001,"&lt;="&amp;$B245,BD!$R$3:$R$5001,"&lt;&gt;"))))</f>
        <v/>
      </c>
      <c r="R245" s="54" t="str">
        <f>IF(OR($B245="",$A245&gt;$B$9,R$233=""),"",IF(COUNTIFS(BD!$B$3:$B$5001,R$233,BD!$A$3:$A$5001,"&gt;="&amp;$C$7,BD!$A$3:$A$5001,"&lt;="&amp;$B245,BD!$R$3:$R$5001,"&lt;&gt;")=0,"",SUMIFS(BD!$R$3:$R$5001,BD!$B$3:$B$5001,R$233,BD!$A$3:$A$5001,_xlfn.MAXIFS(BD!$A$3:$A$5001,BD!$B$3:$B$5001,R$233,BD!$A$3:$A$5001,"&gt;="&amp;$C$7,BD!$A$3:$A$5001,"&lt;="&amp;$B245,BD!$R$3:$R$5001,"&lt;&gt;"))))</f>
        <v/>
      </c>
      <c r="S245" s="54" t="str">
        <f>IF(OR($B245="",$A245&gt;$B$9,S$233=""),"",IF(COUNTIFS(BD!$B$3:$B$5001,S$233,BD!$A$3:$A$5001,"&gt;="&amp;$C$7,BD!$A$3:$A$5001,"&lt;="&amp;$B245,BD!$R$3:$R$5001,"&lt;&gt;")=0,"",SUMIFS(BD!$R$3:$R$5001,BD!$B$3:$B$5001,S$233,BD!$A$3:$A$5001,_xlfn.MAXIFS(BD!$A$3:$A$5001,BD!$B$3:$B$5001,S$233,BD!$A$3:$A$5001,"&gt;="&amp;$C$7,BD!$A$3:$A$5001,"&lt;="&amp;$B245,BD!$R$3:$R$5001,"&lt;&gt;"))))</f>
        <v/>
      </c>
      <c r="T245" s="54" t="str">
        <f>IF(OR($B245="",$A245&gt;$B$9,T$233=""),"",IF(COUNTIFS(BD!$B$3:$B$5001,T$233,BD!$A$3:$A$5001,"&gt;="&amp;$C$7,BD!$A$3:$A$5001,"&lt;="&amp;$B245,BD!$R$3:$R$5001,"&lt;&gt;")=0,"",SUMIFS(BD!$R$3:$R$5001,BD!$B$3:$B$5001,T$233,BD!$A$3:$A$5001,_xlfn.MAXIFS(BD!$A$3:$A$5001,BD!$B$3:$B$5001,T$233,BD!$A$3:$A$5001,"&gt;="&amp;$C$7,BD!$A$3:$A$5001,"&lt;="&amp;$B245,BD!$R$3:$R$5001,"&lt;&gt;"))))</f>
        <v/>
      </c>
      <c r="U245" s="54" t="str">
        <f>IF(OR($B245="",$A245&gt;$B$9,U$233=""),"",IF(COUNTIFS(BD!$B$3:$B$5001,U$233,BD!$A$3:$A$5001,"&gt;="&amp;$C$7,BD!$A$3:$A$5001,"&lt;="&amp;$B245,BD!$R$3:$R$5001,"&lt;&gt;")=0,"",SUMIFS(BD!$R$3:$R$5001,BD!$B$3:$B$5001,U$233,BD!$A$3:$A$5001,_xlfn.MAXIFS(BD!$A$3:$A$5001,BD!$B$3:$B$5001,U$233,BD!$A$3:$A$5001,"&gt;="&amp;$C$7,BD!$A$3:$A$5001,"&lt;="&amp;$B245,BD!$R$3:$R$5001,"&lt;&gt;"))))</f>
        <v/>
      </c>
      <c r="V245" s="54" t="str">
        <f>IF(OR($B245="",$A245&gt;$B$9,V$233=""),"",IF(COUNTIFS(BD!$B$3:$B$5001,V$233,BD!$A$3:$A$5001,"&gt;="&amp;$C$7,BD!$A$3:$A$5001,"&lt;="&amp;$B245,BD!$R$3:$R$5001,"&lt;&gt;")=0,"",SUMIFS(BD!$R$3:$R$5001,BD!$B$3:$B$5001,V$233,BD!$A$3:$A$5001,_xlfn.MAXIFS(BD!$A$3:$A$5001,BD!$B$3:$B$5001,V$233,BD!$A$3:$A$5001,"&gt;="&amp;$C$7,BD!$A$3:$A$5001,"&lt;="&amp;$B245,BD!$R$3:$R$5001,"&lt;&gt;"))))</f>
        <v/>
      </c>
    </row>
    <row r="246">
      <c r="A246" s="48">
        <v>13</v>
      </c>
      <c r="B246" s="53">
        <f>$B$24</f>
        <v>46308</v>
      </c>
      <c r="C246" s="54" t="str">
        <f>IF(OR($B246="",$A246&gt;$B$9,C$233=""),"",IF(COUNTIFS(BD!$B$3:$B$5001,C$233,BD!$A$3:$A$5001,"&gt;="&amp;$C$7,BD!$A$3:$A$5001,"&lt;="&amp;$B246,BD!$R$3:$R$5001,"&lt;&gt;")=0,"",SUMIFS(BD!$R$3:$R$5001,BD!$B$3:$B$5001,C$233,BD!$A$3:$A$5001,_xlfn.MAXIFS(BD!$A$3:$A$5001,BD!$B$3:$B$5001,C$233,BD!$A$3:$A$5001,"&gt;="&amp;$C$7,BD!$A$3:$A$5001,"&lt;="&amp;$B246,BD!$R$3:$R$5001,"&lt;&gt;"))))</f>
        <v/>
      </c>
      <c r="D246" s="54" t="str">
        <f>IF(OR($B246="",$A246&gt;$B$9,D$233=""),"",IF(COUNTIFS(BD!$B$3:$B$5001,D$233,BD!$A$3:$A$5001,"&gt;="&amp;$C$7,BD!$A$3:$A$5001,"&lt;="&amp;$B246,BD!$R$3:$R$5001,"&lt;&gt;")=0,"",SUMIFS(BD!$R$3:$R$5001,BD!$B$3:$B$5001,D$233,BD!$A$3:$A$5001,_xlfn.MAXIFS(BD!$A$3:$A$5001,BD!$B$3:$B$5001,D$233,BD!$A$3:$A$5001,"&gt;="&amp;$C$7,BD!$A$3:$A$5001,"&lt;="&amp;$B246,BD!$R$3:$R$5001,"&lt;&gt;"))))</f>
        <v/>
      </c>
      <c r="E246" s="54" t="str">
        <f>IF(OR($B246="",$A246&gt;$B$9,E$233=""),"",IF(COUNTIFS(BD!$B$3:$B$5001,E$233,BD!$A$3:$A$5001,"&gt;="&amp;$C$7,BD!$A$3:$A$5001,"&lt;="&amp;$B246,BD!$R$3:$R$5001,"&lt;&gt;")=0,"",SUMIFS(BD!$R$3:$R$5001,BD!$B$3:$B$5001,E$233,BD!$A$3:$A$5001,_xlfn.MAXIFS(BD!$A$3:$A$5001,BD!$B$3:$B$5001,E$233,BD!$A$3:$A$5001,"&gt;="&amp;$C$7,BD!$A$3:$A$5001,"&lt;="&amp;$B246,BD!$R$3:$R$5001,"&lt;&gt;"))))</f>
        <v/>
      </c>
      <c r="F246" s="54" t="str">
        <f>IF(OR($B246="",$A246&gt;$B$9,F$233=""),"",IF(COUNTIFS(BD!$B$3:$B$5001,F$233,BD!$A$3:$A$5001,"&gt;="&amp;$C$7,BD!$A$3:$A$5001,"&lt;="&amp;$B246,BD!$R$3:$R$5001,"&lt;&gt;")=0,"",SUMIFS(BD!$R$3:$R$5001,BD!$B$3:$B$5001,F$233,BD!$A$3:$A$5001,_xlfn.MAXIFS(BD!$A$3:$A$5001,BD!$B$3:$B$5001,F$233,BD!$A$3:$A$5001,"&gt;="&amp;$C$7,BD!$A$3:$A$5001,"&lt;="&amp;$B246,BD!$R$3:$R$5001,"&lt;&gt;"))))</f>
        <v/>
      </c>
      <c r="G246" s="54" t="str">
        <f>IF(OR($B246="",$A246&gt;$B$9,G$233=""),"",IF(COUNTIFS(BD!$B$3:$B$5001,G$233,BD!$A$3:$A$5001,"&gt;="&amp;$C$7,BD!$A$3:$A$5001,"&lt;="&amp;$B246,BD!$R$3:$R$5001,"&lt;&gt;")=0,"",SUMIFS(BD!$R$3:$R$5001,BD!$B$3:$B$5001,G$233,BD!$A$3:$A$5001,_xlfn.MAXIFS(BD!$A$3:$A$5001,BD!$B$3:$B$5001,G$233,BD!$A$3:$A$5001,"&gt;="&amp;$C$7,BD!$A$3:$A$5001,"&lt;="&amp;$B246,BD!$R$3:$R$5001,"&lt;&gt;"))))</f>
        <v/>
      </c>
      <c r="H246" s="54" t="str">
        <f>IF(OR($B246="",$A246&gt;$B$9,H$233=""),"",IF(COUNTIFS(BD!$B$3:$B$5001,H$233,BD!$A$3:$A$5001,"&gt;="&amp;$C$7,BD!$A$3:$A$5001,"&lt;="&amp;$B246,BD!$R$3:$R$5001,"&lt;&gt;")=0,"",SUMIFS(BD!$R$3:$R$5001,BD!$B$3:$B$5001,H$233,BD!$A$3:$A$5001,_xlfn.MAXIFS(BD!$A$3:$A$5001,BD!$B$3:$B$5001,H$233,BD!$A$3:$A$5001,"&gt;="&amp;$C$7,BD!$A$3:$A$5001,"&lt;="&amp;$B246,BD!$R$3:$R$5001,"&lt;&gt;"))))</f>
        <v/>
      </c>
      <c r="I246" s="54" t="str">
        <f>IF(OR($B246="",$A246&gt;$B$9,I$233=""),"",IF(COUNTIFS(BD!$B$3:$B$5001,I$233,BD!$A$3:$A$5001,"&gt;="&amp;$C$7,BD!$A$3:$A$5001,"&lt;="&amp;$B246,BD!$R$3:$R$5001,"&lt;&gt;")=0,"",SUMIFS(BD!$R$3:$R$5001,BD!$B$3:$B$5001,I$233,BD!$A$3:$A$5001,_xlfn.MAXIFS(BD!$A$3:$A$5001,BD!$B$3:$B$5001,I$233,BD!$A$3:$A$5001,"&gt;="&amp;$C$7,BD!$A$3:$A$5001,"&lt;="&amp;$B246,BD!$R$3:$R$5001,"&lt;&gt;"))))</f>
        <v/>
      </c>
      <c r="J246" s="54" t="str">
        <f>IF(OR($B246="",$A246&gt;$B$9,J$233=""),"",IF(COUNTIFS(BD!$B$3:$B$5001,J$233,BD!$A$3:$A$5001,"&gt;="&amp;$C$7,BD!$A$3:$A$5001,"&lt;="&amp;$B246,BD!$R$3:$R$5001,"&lt;&gt;")=0,"",SUMIFS(BD!$R$3:$R$5001,BD!$B$3:$B$5001,J$233,BD!$A$3:$A$5001,_xlfn.MAXIFS(BD!$A$3:$A$5001,BD!$B$3:$B$5001,J$233,BD!$A$3:$A$5001,"&gt;="&amp;$C$7,BD!$A$3:$A$5001,"&lt;="&amp;$B246,BD!$R$3:$R$5001,"&lt;&gt;"))))</f>
        <v/>
      </c>
      <c r="K246" s="54" t="str">
        <f>IF(OR($B246="",$A246&gt;$B$9,K$233=""),"",IF(COUNTIFS(BD!$B$3:$B$5001,K$233,BD!$A$3:$A$5001,"&gt;="&amp;$C$7,BD!$A$3:$A$5001,"&lt;="&amp;$B246,BD!$R$3:$R$5001,"&lt;&gt;")=0,"",SUMIFS(BD!$R$3:$R$5001,BD!$B$3:$B$5001,K$233,BD!$A$3:$A$5001,_xlfn.MAXIFS(BD!$A$3:$A$5001,BD!$B$3:$B$5001,K$233,BD!$A$3:$A$5001,"&gt;="&amp;$C$7,BD!$A$3:$A$5001,"&lt;="&amp;$B246,BD!$R$3:$R$5001,"&lt;&gt;"))))</f>
        <v/>
      </c>
      <c r="L246" s="54" t="str">
        <f>IF(OR($B246="",$A246&gt;$B$9,L$233=""),"",IF(COUNTIFS(BD!$B$3:$B$5001,L$233,BD!$A$3:$A$5001,"&gt;="&amp;$C$7,BD!$A$3:$A$5001,"&lt;="&amp;$B246,BD!$R$3:$R$5001,"&lt;&gt;")=0,"",SUMIFS(BD!$R$3:$R$5001,BD!$B$3:$B$5001,L$233,BD!$A$3:$A$5001,_xlfn.MAXIFS(BD!$A$3:$A$5001,BD!$B$3:$B$5001,L$233,BD!$A$3:$A$5001,"&gt;="&amp;$C$7,BD!$A$3:$A$5001,"&lt;="&amp;$B246,BD!$R$3:$R$5001,"&lt;&gt;"))))</f>
        <v/>
      </c>
      <c r="M246" s="54" t="str">
        <f>IF(OR($B246="",$A246&gt;$B$9,M$233=""),"",IF(COUNTIFS(BD!$B$3:$B$5001,M$233,BD!$A$3:$A$5001,"&gt;="&amp;$C$7,BD!$A$3:$A$5001,"&lt;="&amp;$B246,BD!$R$3:$R$5001,"&lt;&gt;")=0,"",SUMIFS(BD!$R$3:$R$5001,BD!$B$3:$B$5001,M$233,BD!$A$3:$A$5001,_xlfn.MAXIFS(BD!$A$3:$A$5001,BD!$B$3:$B$5001,M$233,BD!$A$3:$A$5001,"&gt;="&amp;$C$7,BD!$A$3:$A$5001,"&lt;="&amp;$B246,BD!$R$3:$R$5001,"&lt;&gt;"))))</f>
        <v/>
      </c>
      <c r="N246" s="54" t="str">
        <f>IF(OR($B246="",$A246&gt;$B$9,N$233=""),"",IF(COUNTIFS(BD!$B$3:$B$5001,N$233,BD!$A$3:$A$5001,"&gt;="&amp;$C$7,BD!$A$3:$A$5001,"&lt;="&amp;$B246,BD!$R$3:$R$5001,"&lt;&gt;")=0,"",SUMIFS(BD!$R$3:$R$5001,BD!$B$3:$B$5001,N$233,BD!$A$3:$A$5001,_xlfn.MAXIFS(BD!$A$3:$A$5001,BD!$B$3:$B$5001,N$233,BD!$A$3:$A$5001,"&gt;="&amp;$C$7,BD!$A$3:$A$5001,"&lt;="&amp;$B246,BD!$R$3:$R$5001,"&lt;&gt;"))))</f>
        <v/>
      </c>
      <c r="O246" s="54" t="str">
        <f>IF(OR($B246="",$A246&gt;$B$9,O$233=""),"",IF(COUNTIFS(BD!$B$3:$B$5001,O$233,BD!$A$3:$A$5001,"&gt;="&amp;$C$7,BD!$A$3:$A$5001,"&lt;="&amp;$B246,BD!$R$3:$R$5001,"&lt;&gt;")=0,"",SUMIFS(BD!$R$3:$R$5001,BD!$B$3:$B$5001,O$233,BD!$A$3:$A$5001,_xlfn.MAXIFS(BD!$A$3:$A$5001,BD!$B$3:$B$5001,O$233,BD!$A$3:$A$5001,"&gt;="&amp;$C$7,BD!$A$3:$A$5001,"&lt;="&amp;$B246,BD!$R$3:$R$5001,"&lt;&gt;"))))</f>
        <v/>
      </c>
      <c r="P246" s="54" t="str">
        <f>IF(OR($B246="",$A246&gt;$B$9,P$233=""),"",IF(COUNTIFS(BD!$B$3:$B$5001,P$233,BD!$A$3:$A$5001,"&gt;="&amp;$C$7,BD!$A$3:$A$5001,"&lt;="&amp;$B246,BD!$R$3:$R$5001,"&lt;&gt;")=0,"",SUMIFS(BD!$R$3:$R$5001,BD!$B$3:$B$5001,P$233,BD!$A$3:$A$5001,_xlfn.MAXIFS(BD!$A$3:$A$5001,BD!$B$3:$B$5001,P$233,BD!$A$3:$A$5001,"&gt;="&amp;$C$7,BD!$A$3:$A$5001,"&lt;="&amp;$B246,BD!$R$3:$R$5001,"&lt;&gt;"))))</f>
        <v/>
      </c>
      <c r="Q246" s="54" t="str">
        <f>IF(OR($B246="",$A246&gt;$B$9,Q$233=""),"",IF(COUNTIFS(BD!$B$3:$B$5001,Q$233,BD!$A$3:$A$5001,"&gt;="&amp;$C$7,BD!$A$3:$A$5001,"&lt;="&amp;$B246,BD!$R$3:$R$5001,"&lt;&gt;")=0,"",SUMIFS(BD!$R$3:$R$5001,BD!$B$3:$B$5001,Q$233,BD!$A$3:$A$5001,_xlfn.MAXIFS(BD!$A$3:$A$5001,BD!$B$3:$B$5001,Q$233,BD!$A$3:$A$5001,"&gt;="&amp;$C$7,BD!$A$3:$A$5001,"&lt;="&amp;$B246,BD!$R$3:$R$5001,"&lt;&gt;"))))</f>
        <v/>
      </c>
      <c r="R246" s="54" t="str">
        <f>IF(OR($B246="",$A246&gt;$B$9,R$233=""),"",IF(COUNTIFS(BD!$B$3:$B$5001,R$233,BD!$A$3:$A$5001,"&gt;="&amp;$C$7,BD!$A$3:$A$5001,"&lt;="&amp;$B246,BD!$R$3:$R$5001,"&lt;&gt;")=0,"",SUMIFS(BD!$R$3:$R$5001,BD!$B$3:$B$5001,R$233,BD!$A$3:$A$5001,_xlfn.MAXIFS(BD!$A$3:$A$5001,BD!$B$3:$B$5001,R$233,BD!$A$3:$A$5001,"&gt;="&amp;$C$7,BD!$A$3:$A$5001,"&lt;="&amp;$B246,BD!$R$3:$R$5001,"&lt;&gt;"))))</f>
        <v/>
      </c>
      <c r="S246" s="54" t="str">
        <f>IF(OR($B246="",$A246&gt;$B$9,S$233=""),"",IF(COUNTIFS(BD!$B$3:$B$5001,S$233,BD!$A$3:$A$5001,"&gt;="&amp;$C$7,BD!$A$3:$A$5001,"&lt;="&amp;$B246,BD!$R$3:$R$5001,"&lt;&gt;")=0,"",SUMIFS(BD!$R$3:$R$5001,BD!$B$3:$B$5001,S$233,BD!$A$3:$A$5001,_xlfn.MAXIFS(BD!$A$3:$A$5001,BD!$B$3:$B$5001,S$233,BD!$A$3:$A$5001,"&gt;="&amp;$C$7,BD!$A$3:$A$5001,"&lt;="&amp;$B246,BD!$R$3:$R$5001,"&lt;&gt;"))))</f>
        <v/>
      </c>
      <c r="T246" s="54" t="str">
        <f>IF(OR($B246="",$A246&gt;$B$9,T$233=""),"",IF(COUNTIFS(BD!$B$3:$B$5001,T$233,BD!$A$3:$A$5001,"&gt;="&amp;$C$7,BD!$A$3:$A$5001,"&lt;="&amp;$B246,BD!$R$3:$R$5001,"&lt;&gt;")=0,"",SUMIFS(BD!$R$3:$R$5001,BD!$B$3:$B$5001,T$233,BD!$A$3:$A$5001,_xlfn.MAXIFS(BD!$A$3:$A$5001,BD!$B$3:$B$5001,T$233,BD!$A$3:$A$5001,"&gt;="&amp;$C$7,BD!$A$3:$A$5001,"&lt;="&amp;$B246,BD!$R$3:$R$5001,"&lt;&gt;"))))</f>
        <v/>
      </c>
      <c r="U246" s="54" t="str">
        <f>IF(OR($B246="",$A246&gt;$B$9,U$233=""),"",IF(COUNTIFS(BD!$B$3:$B$5001,U$233,BD!$A$3:$A$5001,"&gt;="&amp;$C$7,BD!$A$3:$A$5001,"&lt;="&amp;$B246,BD!$R$3:$R$5001,"&lt;&gt;")=0,"",SUMIFS(BD!$R$3:$R$5001,BD!$B$3:$B$5001,U$233,BD!$A$3:$A$5001,_xlfn.MAXIFS(BD!$A$3:$A$5001,BD!$B$3:$B$5001,U$233,BD!$A$3:$A$5001,"&gt;="&amp;$C$7,BD!$A$3:$A$5001,"&lt;="&amp;$B246,BD!$R$3:$R$5001,"&lt;&gt;"))))</f>
        <v/>
      </c>
      <c r="V246" s="54" t="str">
        <f>IF(OR($B246="",$A246&gt;$B$9,V$233=""),"",IF(COUNTIFS(BD!$B$3:$B$5001,V$233,BD!$A$3:$A$5001,"&gt;="&amp;$C$7,BD!$A$3:$A$5001,"&lt;="&amp;$B246,BD!$R$3:$R$5001,"&lt;&gt;")=0,"",SUMIFS(BD!$R$3:$R$5001,BD!$B$3:$B$5001,V$233,BD!$A$3:$A$5001,_xlfn.MAXIFS(BD!$A$3:$A$5001,BD!$B$3:$B$5001,V$233,BD!$A$3:$A$5001,"&gt;="&amp;$C$7,BD!$A$3:$A$5001,"&lt;="&amp;$B246,BD!$R$3:$R$5001,"&lt;&gt;"))))</f>
        <v/>
      </c>
    </row>
    <row r="247">
      <c r="A247" s="48">
        <v>14</v>
      </c>
      <c r="B247" s="53">
        <f>$B$25</f>
        <v>46309</v>
      </c>
      <c r="C247" s="54" t="str">
        <f>IF(OR($B247="",$A247&gt;$B$9,C$233=""),"",IF(COUNTIFS(BD!$B$3:$B$5001,C$233,BD!$A$3:$A$5001,"&gt;="&amp;$C$7,BD!$A$3:$A$5001,"&lt;="&amp;$B247,BD!$R$3:$R$5001,"&lt;&gt;")=0,"",SUMIFS(BD!$R$3:$R$5001,BD!$B$3:$B$5001,C$233,BD!$A$3:$A$5001,_xlfn.MAXIFS(BD!$A$3:$A$5001,BD!$B$3:$B$5001,C$233,BD!$A$3:$A$5001,"&gt;="&amp;$C$7,BD!$A$3:$A$5001,"&lt;="&amp;$B247,BD!$R$3:$R$5001,"&lt;&gt;"))))</f>
        <v/>
      </c>
      <c r="D247" s="54" t="str">
        <f>IF(OR($B247="",$A247&gt;$B$9,D$233=""),"",IF(COUNTIFS(BD!$B$3:$B$5001,D$233,BD!$A$3:$A$5001,"&gt;="&amp;$C$7,BD!$A$3:$A$5001,"&lt;="&amp;$B247,BD!$R$3:$R$5001,"&lt;&gt;")=0,"",SUMIFS(BD!$R$3:$R$5001,BD!$B$3:$B$5001,D$233,BD!$A$3:$A$5001,_xlfn.MAXIFS(BD!$A$3:$A$5001,BD!$B$3:$B$5001,D$233,BD!$A$3:$A$5001,"&gt;="&amp;$C$7,BD!$A$3:$A$5001,"&lt;="&amp;$B247,BD!$R$3:$R$5001,"&lt;&gt;"))))</f>
        <v/>
      </c>
      <c r="E247" s="54" t="str">
        <f>IF(OR($B247="",$A247&gt;$B$9,E$233=""),"",IF(COUNTIFS(BD!$B$3:$B$5001,E$233,BD!$A$3:$A$5001,"&gt;="&amp;$C$7,BD!$A$3:$A$5001,"&lt;="&amp;$B247,BD!$R$3:$R$5001,"&lt;&gt;")=0,"",SUMIFS(BD!$R$3:$R$5001,BD!$B$3:$B$5001,E$233,BD!$A$3:$A$5001,_xlfn.MAXIFS(BD!$A$3:$A$5001,BD!$B$3:$B$5001,E$233,BD!$A$3:$A$5001,"&gt;="&amp;$C$7,BD!$A$3:$A$5001,"&lt;="&amp;$B247,BD!$R$3:$R$5001,"&lt;&gt;"))))</f>
        <v/>
      </c>
      <c r="F247" s="54" t="str">
        <f>IF(OR($B247="",$A247&gt;$B$9,F$233=""),"",IF(COUNTIFS(BD!$B$3:$B$5001,F$233,BD!$A$3:$A$5001,"&gt;="&amp;$C$7,BD!$A$3:$A$5001,"&lt;="&amp;$B247,BD!$R$3:$R$5001,"&lt;&gt;")=0,"",SUMIFS(BD!$R$3:$R$5001,BD!$B$3:$B$5001,F$233,BD!$A$3:$A$5001,_xlfn.MAXIFS(BD!$A$3:$A$5001,BD!$B$3:$B$5001,F$233,BD!$A$3:$A$5001,"&gt;="&amp;$C$7,BD!$A$3:$A$5001,"&lt;="&amp;$B247,BD!$R$3:$R$5001,"&lt;&gt;"))))</f>
        <v/>
      </c>
      <c r="G247" s="54" t="str">
        <f>IF(OR($B247="",$A247&gt;$B$9,G$233=""),"",IF(COUNTIFS(BD!$B$3:$B$5001,G$233,BD!$A$3:$A$5001,"&gt;="&amp;$C$7,BD!$A$3:$A$5001,"&lt;="&amp;$B247,BD!$R$3:$R$5001,"&lt;&gt;")=0,"",SUMIFS(BD!$R$3:$R$5001,BD!$B$3:$B$5001,G$233,BD!$A$3:$A$5001,_xlfn.MAXIFS(BD!$A$3:$A$5001,BD!$B$3:$B$5001,G$233,BD!$A$3:$A$5001,"&gt;="&amp;$C$7,BD!$A$3:$A$5001,"&lt;="&amp;$B247,BD!$R$3:$R$5001,"&lt;&gt;"))))</f>
        <v/>
      </c>
      <c r="H247" s="54" t="str">
        <f>IF(OR($B247="",$A247&gt;$B$9,H$233=""),"",IF(COUNTIFS(BD!$B$3:$B$5001,H$233,BD!$A$3:$A$5001,"&gt;="&amp;$C$7,BD!$A$3:$A$5001,"&lt;="&amp;$B247,BD!$R$3:$R$5001,"&lt;&gt;")=0,"",SUMIFS(BD!$R$3:$R$5001,BD!$B$3:$B$5001,H$233,BD!$A$3:$A$5001,_xlfn.MAXIFS(BD!$A$3:$A$5001,BD!$B$3:$B$5001,H$233,BD!$A$3:$A$5001,"&gt;="&amp;$C$7,BD!$A$3:$A$5001,"&lt;="&amp;$B247,BD!$R$3:$R$5001,"&lt;&gt;"))))</f>
        <v/>
      </c>
      <c r="I247" s="54" t="str">
        <f>IF(OR($B247="",$A247&gt;$B$9,I$233=""),"",IF(COUNTIFS(BD!$B$3:$B$5001,I$233,BD!$A$3:$A$5001,"&gt;="&amp;$C$7,BD!$A$3:$A$5001,"&lt;="&amp;$B247,BD!$R$3:$R$5001,"&lt;&gt;")=0,"",SUMIFS(BD!$R$3:$R$5001,BD!$B$3:$B$5001,I$233,BD!$A$3:$A$5001,_xlfn.MAXIFS(BD!$A$3:$A$5001,BD!$B$3:$B$5001,I$233,BD!$A$3:$A$5001,"&gt;="&amp;$C$7,BD!$A$3:$A$5001,"&lt;="&amp;$B247,BD!$R$3:$R$5001,"&lt;&gt;"))))</f>
        <v/>
      </c>
      <c r="J247" s="54" t="str">
        <f>IF(OR($B247="",$A247&gt;$B$9,J$233=""),"",IF(COUNTIFS(BD!$B$3:$B$5001,J$233,BD!$A$3:$A$5001,"&gt;="&amp;$C$7,BD!$A$3:$A$5001,"&lt;="&amp;$B247,BD!$R$3:$R$5001,"&lt;&gt;")=0,"",SUMIFS(BD!$R$3:$R$5001,BD!$B$3:$B$5001,J$233,BD!$A$3:$A$5001,_xlfn.MAXIFS(BD!$A$3:$A$5001,BD!$B$3:$B$5001,J$233,BD!$A$3:$A$5001,"&gt;="&amp;$C$7,BD!$A$3:$A$5001,"&lt;="&amp;$B247,BD!$R$3:$R$5001,"&lt;&gt;"))))</f>
        <v/>
      </c>
      <c r="K247" s="54" t="str">
        <f>IF(OR($B247="",$A247&gt;$B$9,K$233=""),"",IF(COUNTIFS(BD!$B$3:$B$5001,K$233,BD!$A$3:$A$5001,"&gt;="&amp;$C$7,BD!$A$3:$A$5001,"&lt;="&amp;$B247,BD!$R$3:$R$5001,"&lt;&gt;")=0,"",SUMIFS(BD!$R$3:$R$5001,BD!$B$3:$B$5001,K$233,BD!$A$3:$A$5001,_xlfn.MAXIFS(BD!$A$3:$A$5001,BD!$B$3:$B$5001,K$233,BD!$A$3:$A$5001,"&gt;="&amp;$C$7,BD!$A$3:$A$5001,"&lt;="&amp;$B247,BD!$R$3:$R$5001,"&lt;&gt;"))))</f>
        <v/>
      </c>
      <c r="L247" s="54" t="str">
        <f>IF(OR($B247="",$A247&gt;$B$9,L$233=""),"",IF(COUNTIFS(BD!$B$3:$B$5001,L$233,BD!$A$3:$A$5001,"&gt;="&amp;$C$7,BD!$A$3:$A$5001,"&lt;="&amp;$B247,BD!$R$3:$R$5001,"&lt;&gt;")=0,"",SUMIFS(BD!$R$3:$R$5001,BD!$B$3:$B$5001,L$233,BD!$A$3:$A$5001,_xlfn.MAXIFS(BD!$A$3:$A$5001,BD!$B$3:$B$5001,L$233,BD!$A$3:$A$5001,"&gt;="&amp;$C$7,BD!$A$3:$A$5001,"&lt;="&amp;$B247,BD!$R$3:$R$5001,"&lt;&gt;"))))</f>
        <v/>
      </c>
      <c r="M247" s="54" t="str">
        <f>IF(OR($B247="",$A247&gt;$B$9,M$233=""),"",IF(COUNTIFS(BD!$B$3:$B$5001,M$233,BD!$A$3:$A$5001,"&gt;="&amp;$C$7,BD!$A$3:$A$5001,"&lt;="&amp;$B247,BD!$R$3:$R$5001,"&lt;&gt;")=0,"",SUMIFS(BD!$R$3:$R$5001,BD!$B$3:$B$5001,M$233,BD!$A$3:$A$5001,_xlfn.MAXIFS(BD!$A$3:$A$5001,BD!$B$3:$B$5001,M$233,BD!$A$3:$A$5001,"&gt;="&amp;$C$7,BD!$A$3:$A$5001,"&lt;="&amp;$B247,BD!$R$3:$R$5001,"&lt;&gt;"))))</f>
        <v/>
      </c>
      <c r="N247" s="54" t="str">
        <f>IF(OR($B247="",$A247&gt;$B$9,N$233=""),"",IF(COUNTIFS(BD!$B$3:$B$5001,N$233,BD!$A$3:$A$5001,"&gt;="&amp;$C$7,BD!$A$3:$A$5001,"&lt;="&amp;$B247,BD!$R$3:$R$5001,"&lt;&gt;")=0,"",SUMIFS(BD!$R$3:$R$5001,BD!$B$3:$B$5001,N$233,BD!$A$3:$A$5001,_xlfn.MAXIFS(BD!$A$3:$A$5001,BD!$B$3:$B$5001,N$233,BD!$A$3:$A$5001,"&gt;="&amp;$C$7,BD!$A$3:$A$5001,"&lt;="&amp;$B247,BD!$R$3:$R$5001,"&lt;&gt;"))))</f>
        <v/>
      </c>
      <c r="O247" s="54" t="str">
        <f>IF(OR($B247="",$A247&gt;$B$9,O$233=""),"",IF(COUNTIFS(BD!$B$3:$B$5001,O$233,BD!$A$3:$A$5001,"&gt;="&amp;$C$7,BD!$A$3:$A$5001,"&lt;="&amp;$B247,BD!$R$3:$R$5001,"&lt;&gt;")=0,"",SUMIFS(BD!$R$3:$R$5001,BD!$B$3:$B$5001,O$233,BD!$A$3:$A$5001,_xlfn.MAXIFS(BD!$A$3:$A$5001,BD!$B$3:$B$5001,O$233,BD!$A$3:$A$5001,"&gt;="&amp;$C$7,BD!$A$3:$A$5001,"&lt;="&amp;$B247,BD!$R$3:$R$5001,"&lt;&gt;"))))</f>
        <v/>
      </c>
      <c r="P247" s="54" t="str">
        <f>IF(OR($B247="",$A247&gt;$B$9,P$233=""),"",IF(COUNTIFS(BD!$B$3:$B$5001,P$233,BD!$A$3:$A$5001,"&gt;="&amp;$C$7,BD!$A$3:$A$5001,"&lt;="&amp;$B247,BD!$R$3:$R$5001,"&lt;&gt;")=0,"",SUMIFS(BD!$R$3:$R$5001,BD!$B$3:$B$5001,P$233,BD!$A$3:$A$5001,_xlfn.MAXIFS(BD!$A$3:$A$5001,BD!$B$3:$B$5001,P$233,BD!$A$3:$A$5001,"&gt;="&amp;$C$7,BD!$A$3:$A$5001,"&lt;="&amp;$B247,BD!$R$3:$R$5001,"&lt;&gt;"))))</f>
        <v/>
      </c>
      <c r="Q247" s="54" t="str">
        <f>IF(OR($B247="",$A247&gt;$B$9,Q$233=""),"",IF(COUNTIFS(BD!$B$3:$B$5001,Q$233,BD!$A$3:$A$5001,"&gt;="&amp;$C$7,BD!$A$3:$A$5001,"&lt;="&amp;$B247,BD!$R$3:$R$5001,"&lt;&gt;")=0,"",SUMIFS(BD!$R$3:$R$5001,BD!$B$3:$B$5001,Q$233,BD!$A$3:$A$5001,_xlfn.MAXIFS(BD!$A$3:$A$5001,BD!$B$3:$B$5001,Q$233,BD!$A$3:$A$5001,"&gt;="&amp;$C$7,BD!$A$3:$A$5001,"&lt;="&amp;$B247,BD!$R$3:$R$5001,"&lt;&gt;"))))</f>
        <v/>
      </c>
      <c r="R247" s="54" t="str">
        <f>IF(OR($B247="",$A247&gt;$B$9,R$233=""),"",IF(COUNTIFS(BD!$B$3:$B$5001,R$233,BD!$A$3:$A$5001,"&gt;="&amp;$C$7,BD!$A$3:$A$5001,"&lt;="&amp;$B247,BD!$R$3:$R$5001,"&lt;&gt;")=0,"",SUMIFS(BD!$R$3:$R$5001,BD!$B$3:$B$5001,R$233,BD!$A$3:$A$5001,_xlfn.MAXIFS(BD!$A$3:$A$5001,BD!$B$3:$B$5001,R$233,BD!$A$3:$A$5001,"&gt;="&amp;$C$7,BD!$A$3:$A$5001,"&lt;="&amp;$B247,BD!$R$3:$R$5001,"&lt;&gt;"))))</f>
        <v/>
      </c>
      <c r="S247" s="54" t="str">
        <f>IF(OR($B247="",$A247&gt;$B$9,S$233=""),"",IF(COUNTIFS(BD!$B$3:$B$5001,S$233,BD!$A$3:$A$5001,"&gt;="&amp;$C$7,BD!$A$3:$A$5001,"&lt;="&amp;$B247,BD!$R$3:$R$5001,"&lt;&gt;")=0,"",SUMIFS(BD!$R$3:$R$5001,BD!$B$3:$B$5001,S$233,BD!$A$3:$A$5001,_xlfn.MAXIFS(BD!$A$3:$A$5001,BD!$B$3:$B$5001,S$233,BD!$A$3:$A$5001,"&gt;="&amp;$C$7,BD!$A$3:$A$5001,"&lt;="&amp;$B247,BD!$R$3:$R$5001,"&lt;&gt;"))))</f>
        <v/>
      </c>
      <c r="T247" s="54" t="str">
        <f>IF(OR($B247="",$A247&gt;$B$9,T$233=""),"",IF(COUNTIFS(BD!$B$3:$B$5001,T$233,BD!$A$3:$A$5001,"&gt;="&amp;$C$7,BD!$A$3:$A$5001,"&lt;="&amp;$B247,BD!$R$3:$R$5001,"&lt;&gt;")=0,"",SUMIFS(BD!$R$3:$R$5001,BD!$B$3:$B$5001,T$233,BD!$A$3:$A$5001,_xlfn.MAXIFS(BD!$A$3:$A$5001,BD!$B$3:$B$5001,T$233,BD!$A$3:$A$5001,"&gt;="&amp;$C$7,BD!$A$3:$A$5001,"&lt;="&amp;$B247,BD!$R$3:$R$5001,"&lt;&gt;"))))</f>
        <v/>
      </c>
      <c r="U247" s="54" t="str">
        <f>IF(OR($B247="",$A247&gt;$B$9,U$233=""),"",IF(COUNTIFS(BD!$B$3:$B$5001,U$233,BD!$A$3:$A$5001,"&gt;="&amp;$C$7,BD!$A$3:$A$5001,"&lt;="&amp;$B247,BD!$R$3:$R$5001,"&lt;&gt;")=0,"",SUMIFS(BD!$R$3:$R$5001,BD!$B$3:$B$5001,U$233,BD!$A$3:$A$5001,_xlfn.MAXIFS(BD!$A$3:$A$5001,BD!$B$3:$B$5001,U$233,BD!$A$3:$A$5001,"&gt;="&amp;$C$7,BD!$A$3:$A$5001,"&lt;="&amp;$B247,BD!$R$3:$R$5001,"&lt;&gt;"))))</f>
        <v/>
      </c>
      <c r="V247" s="54" t="str">
        <f>IF(OR($B247="",$A247&gt;$B$9,V$233=""),"",IF(COUNTIFS(BD!$B$3:$B$5001,V$233,BD!$A$3:$A$5001,"&gt;="&amp;$C$7,BD!$A$3:$A$5001,"&lt;="&amp;$B247,BD!$R$3:$R$5001,"&lt;&gt;")=0,"",SUMIFS(BD!$R$3:$R$5001,BD!$B$3:$B$5001,V$233,BD!$A$3:$A$5001,_xlfn.MAXIFS(BD!$A$3:$A$5001,BD!$B$3:$B$5001,V$233,BD!$A$3:$A$5001,"&gt;="&amp;$C$7,BD!$A$3:$A$5001,"&lt;="&amp;$B247,BD!$R$3:$R$5001,"&lt;&gt;"))))</f>
        <v/>
      </c>
    </row>
    <row r="248">
      <c r="A248" s="48">
        <v>15</v>
      </c>
      <c r="B248" s="53">
        <f>$B$26</f>
        <v>46310</v>
      </c>
      <c r="C248" s="54" t="str">
        <f>IF(OR($B248="",$A248&gt;$B$9,C$233=""),"",IF(COUNTIFS(BD!$B$3:$B$5001,C$233,BD!$A$3:$A$5001,"&gt;="&amp;$C$7,BD!$A$3:$A$5001,"&lt;="&amp;$B248,BD!$R$3:$R$5001,"&lt;&gt;")=0,"",SUMIFS(BD!$R$3:$R$5001,BD!$B$3:$B$5001,C$233,BD!$A$3:$A$5001,_xlfn.MAXIFS(BD!$A$3:$A$5001,BD!$B$3:$B$5001,C$233,BD!$A$3:$A$5001,"&gt;="&amp;$C$7,BD!$A$3:$A$5001,"&lt;="&amp;$B248,BD!$R$3:$R$5001,"&lt;&gt;"))))</f>
        <v/>
      </c>
      <c r="D248" s="54" t="str">
        <f>IF(OR($B248="",$A248&gt;$B$9,D$233=""),"",IF(COUNTIFS(BD!$B$3:$B$5001,D$233,BD!$A$3:$A$5001,"&gt;="&amp;$C$7,BD!$A$3:$A$5001,"&lt;="&amp;$B248,BD!$R$3:$R$5001,"&lt;&gt;")=0,"",SUMIFS(BD!$R$3:$R$5001,BD!$B$3:$B$5001,D$233,BD!$A$3:$A$5001,_xlfn.MAXIFS(BD!$A$3:$A$5001,BD!$B$3:$B$5001,D$233,BD!$A$3:$A$5001,"&gt;="&amp;$C$7,BD!$A$3:$A$5001,"&lt;="&amp;$B248,BD!$R$3:$R$5001,"&lt;&gt;"))))</f>
        <v/>
      </c>
      <c r="E248" s="54" t="str">
        <f>IF(OR($B248="",$A248&gt;$B$9,E$233=""),"",IF(COUNTIFS(BD!$B$3:$B$5001,E$233,BD!$A$3:$A$5001,"&gt;="&amp;$C$7,BD!$A$3:$A$5001,"&lt;="&amp;$B248,BD!$R$3:$R$5001,"&lt;&gt;")=0,"",SUMIFS(BD!$R$3:$R$5001,BD!$B$3:$B$5001,E$233,BD!$A$3:$A$5001,_xlfn.MAXIFS(BD!$A$3:$A$5001,BD!$B$3:$B$5001,E$233,BD!$A$3:$A$5001,"&gt;="&amp;$C$7,BD!$A$3:$A$5001,"&lt;="&amp;$B248,BD!$R$3:$R$5001,"&lt;&gt;"))))</f>
        <v/>
      </c>
      <c r="F248" s="54" t="str">
        <f>IF(OR($B248="",$A248&gt;$B$9,F$233=""),"",IF(COUNTIFS(BD!$B$3:$B$5001,F$233,BD!$A$3:$A$5001,"&gt;="&amp;$C$7,BD!$A$3:$A$5001,"&lt;="&amp;$B248,BD!$R$3:$R$5001,"&lt;&gt;")=0,"",SUMIFS(BD!$R$3:$R$5001,BD!$B$3:$B$5001,F$233,BD!$A$3:$A$5001,_xlfn.MAXIFS(BD!$A$3:$A$5001,BD!$B$3:$B$5001,F$233,BD!$A$3:$A$5001,"&gt;="&amp;$C$7,BD!$A$3:$A$5001,"&lt;="&amp;$B248,BD!$R$3:$R$5001,"&lt;&gt;"))))</f>
        <v/>
      </c>
      <c r="G248" s="54" t="str">
        <f>IF(OR($B248="",$A248&gt;$B$9,G$233=""),"",IF(COUNTIFS(BD!$B$3:$B$5001,G$233,BD!$A$3:$A$5001,"&gt;="&amp;$C$7,BD!$A$3:$A$5001,"&lt;="&amp;$B248,BD!$R$3:$R$5001,"&lt;&gt;")=0,"",SUMIFS(BD!$R$3:$R$5001,BD!$B$3:$B$5001,G$233,BD!$A$3:$A$5001,_xlfn.MAXIFS(BD!$A$3:$A$5001,BD!$B$3:$B$5001,G$233,BD!$A$3:$A$5001,"&gt;="&amp;$C$7,BD!$A$3:$A$5001,"&lt;="&amp;$B248,BD!$R$3:$R$5001,"&lt;&gt;"))))</f>
        <v/>
      </c>
      <c r="H248" s="54" t="str">
        <f>IF(OR($B248="",$A248&gt;$B$9,H$233=""),"",IF(COUNTIFS(BD!$B$3:$B$5001,H$233,BD!$A$3:$A$5001,"&gt;="&amp;$C$7,BD!$A$3:$A$5001,"&lt;="&amp;$B248,BD!$R$3:$R$5001,"&lt;&gt;")=0,"",SUMIFS(BD!$R$3:$R$5001,BD!$B$3:$B$5001,H$233,BD!$A$3:$A$5001,_xlfn.MAXIFS(BD!$A$3:$A$5001,BD!$B$3:$B$5001,H$233,BD!$A$3:$A$5001,"&gt;="&amp;$C$7,BD!$A$3:$A$5001,"&lt;="&amp;$B248,BD!$R$3:$R$5001,"&lt;&gt;"))))</f>
        <v/>
      </c>
      <c r="I248" s="54" t="str">
        <f>IF(OR($B248="",$A248&gt;$B$9,I$233=""),"",IF(COUNTIFS(BD!$B$3:$B$5001,I$233,BD!$A$3:$A$5001,"&gt;="&amp;$C$7,BD!$A$3:$A$5001,"&lt;="&amp;$B248,BD!$R$3:$R$5001,"&lt;&gt;")=0,"",SUMIFS(BD!$R$3:$R$5001,BD!$B$3:$B$5001,I$233,BD!$A$3:$A$5001,_xlfn.MAXIFS(BD!$A$3:$A$5001,BD!$B$3:$B$5001,I$233,BD!$A$3:$A$5001,"&gt;="&amp;$C$7,BD!$A$3:$A$5001,"&lt;="&amp;$B248,BD!$R$3:$R$5001,"&lt;&gt;"))))</f>
        <v/>
      </c>
      <c r="J248" s="54" t="str">
        <f>IF(OR($B248="",$A248&gt;$B$9,J$233=""),"",IF(COUNTIFS(BD!$B$3:$B$5001,J$233,BD!$A$3:$A$5001,"&gt;="&amp;$C$7,BD!$A$3:$A$5001,"&lt;="&amp;$B248,BD!$R$3:$R$5001,"&lt;&gt;")=0,"",SUMIFS(BD!$R$3:$R$5001,BD!$B$3:$B$5001,J$233,BD!$A$3:$A$5001,_xlfn.MAXIFS(BD!$A$3:$A$5001,BD!$B$3:$B$5001,J$233,BD!$A$3:$A$5001,"&gt;="&amp;$C$7,BD!$A$3:$A$5001,"&lt;="&amp;$B248,BD!$R$3:$R$5001,"&lt;&gt;"))))</f>
        <v/>
      </c>
      <c r="K248" s="54" t="str">
        <f>IF(OR($B248="",$A248&gt;$B$9,K$233=""),"",IF(COUNTIFS(BD!$B$3:$B$5001,K$233,BD!$A$3:$A$5001,"&gt;="&amp;$C$7,BD!$A$3:$A$5001,"&lt;="&amp;$B248,BD!$R$3:$R$5001,"&lt;&gt;")=0,"",SUMIFS(BD!$R$3:$R$5001,BD!$B$3:$B$5001,K$233,BD!$A$3:$A$5001,_xlfn.MAXIFS(BD!$A$3:$A$5001,BD!$B$3:$B$5001,K$233,BD!$A$3:$A$5001,"&gt;="&amp;$C$7,BD!$A$3:$A$5001,"&lt;="&amp;$B248,BD!$R$3:$R$5001,"&lt;&gt;"))))</f>
        <v/>
      </c>
      <c r="L248" s="54" t="str">
        <f>IF(OR($B248="",$A248&gt;$B$9,L$233=""),"",IF(COUNTIFS(BD!$B$3:$B$5001,L$233,BD!$A$3:$A$5001,"&gt;="&amp;$C$7,BD!$A$3:$A$5001,"&lt;="&amp;$B248,BD!$R$3:$R$5001,"&lt;&gt;")=0,"",SUMIFS(BD!$R$3:$R$5001,BD!$B$3:$B$5001,L$233,BD!$A$3:$A$5001,_xlfn.MAXIFS(BD!$A$3:$A$5001,BD!$B$3:$B$5001,L$233,BD!$A$3:$A$5001,"&gt;="&amp;$C$7,BD!$A$3:$A$5001,"&lt;="&amp;$B248,BD!$R$3:$R$5001,"&lt;&gt;"))))</f>
        <v/>
      </c>
      <c r="M248" s="54" t="str">
        <f>IF(OR($B248="",$A248&gt;$B$9,M$233=""),"",IF(COUNTIFS(BD!$B$3:$B$5001,M$233,BD!$A$3:$A$5001,"&gt;="&amp;$C$7,BD!$A$3:$A$5001,"&lt;="&amp;$B248,BD!$R$3:$R$5001,"&lt;&gt;")=0,"",SUMIFS(BD!$R$3:$R$5001,BD!$B$3:$B$5001,M$233,BD!$A$3:$A$5001,_xlfn.MAXIFS(BD!$A$3:$A$5001,BD!$B$3:$B$5001,M$233,BD!$A$3:$A$5001,"&gt;="&amp;$C$7,BD!$A$3:$A$5001,"&lt;="&amp;$B248,BD!$R$3:$R$5001,"&lt;&gt;"))))</f>
        <v/>
      </c>
      <c r="N248" s="54" t="str">
        <f>IF(OR($B248="",$A248&gt;$B$9,N$233=""),"",IF(COUNTIFS(BD!$B$3:$B$5001,N$233,BD!$A$3:$A$5001,"&gt;="&amp;$C$7,BD!$A$3:$A$5001,"&lt;="&amp;$B248,BD!$R$3:$R$5001,"&lt;&gt;")=0,"",SUMIFS(BD!$R$3:$R$5001,BD!$B$3:$B$5001,N$233,BD!$A$3:$A$5001,_xlfn.MAXIFS(BD!$A$3:$A$5001,BD!$B$3:$B$5001,N$233,BD!$A$3:$A$5001,"&gt;="&amp;$C$7,BD!$A$3:$A$5001,"&lt;="&amp;$B248,BD!$R$3:$R$5001,"&lt;&gt;"))))</f>
        <v/>
      </c>
      <c r="O248" s="54" t="str">
        <f>IF(OR($B248="",$A248&gt;$B$9,O$233=""),"",IF(COUNTIFS(BD!$B$3:$B$5001,O$233,BD!$A$3:$A$5001,"&gt;="&amp;$C$7,BD!$A$3:$A$5001,"&lt;="&amp;$B248,BD!$R$3:$R$5001,"&lt;&gt;")=0,"",SUMIFS(BD!$R$3:$R$5001,BD!$B$3:$B$5001,O$233,BD!$A$3:$A$5001,_xlfn.MAXIFS(BD!$A$3:$A$5001,BD!$B$3:$B$5001,O$233,BD!$A$3:$A$5001,"&gt;="&amp;$C$7,BD!$A$3:$A$5001,"&lt;="&amp;$B248,BD!$R$3:$R$5001,"&lt;&gt;"))))</f>
        <v/>
      </c>
      <c r="P248" s="54" t="str">
        <f>IF(OR($B248="",$A248&gt;$B$9,P$233=""),"",IF(COUNTIFS(BD!$B$3:$B$5001,P$233,BD!$A$3:$A$5001,"&gt;="&amp;$C$7,BD!$A$3:$A$5001,"&lt;="&amp;$B248,BD!$R$3:$R$5001,"&lt;&gt;")=0,"",SUMIFS(BD!$R$3:$R$5001,BD!$B$3:$B$5001,P$233,BD!$A$3:$A$5001,_xlfn.MAXIFS(BD!$A$3:$A$5001,BD!$B$3:$B$5001,P$233,BD!$A$3:$A$5001,"&gt;="&amp;$C$7,BD!$A$3:$A$5001,"&lt;="&amp;$B248,BD!$R$3:$R$5001,"&lt;&gt;"))))</f>
        <v/>
      </c>
      <c r="Q248" s="54" t="str">
        <f>IF(OR($B248="",$A248&gt;$B$9,Q$233=""),"",IF(COUNTIFS(BD!$B$3:$B$5001,Q$233,BD!$A$3:$A$5001,"&gt;="&amp;$C$7,BD!$A$3:$A$5001,"&lt;="&amp;$B248,BD!$R$3:$R$5001,"&lt;&gt;")=0,"",SUMIFS(BD!$R$3:$R$5001,BD!$B$3:$B$5001,Q$233,BD!$A$3:$A$5001,_xlfn.MAXIFS(BD!$A$3:$A$5001,BD!$B$3:$B$5001,Q$233,BD!$A$3:$A$5001,"&gt;="&amp;$C$7,BD!$A$3:$A$5001,"&lt;="&amp;$B248,BD!$R$3:$R$5001,"&lt;&gt;"))))</f>
        <v/>
      </c>
      <c r="R248" s="54" t="str">
        <f>IF(OR($B248="",$A248&gt;$B$9,R$233=""),"",IF(COUNTIFS(BD!$B$3:$B$5001,R$233,BD!$A$3:$A$5001,"&gt;="&amp;$C$7,BD!$A$3:$A$5001,"&lt;="&amp;$B248,BD!$R$3:$R$5001,"&lt;&gt;")=0,"",SUMIFS(BD!$R$3:$R$5001,BD!$B$3:$B$5001,R$233,BD!$A$3:$A$5001,_xlfn.MAXIFS(BD!$A$3:$A$5001,BD!$B$3:$B$5001,R$233,BD!$A$3:$A$5001,"&gt;="&amp;$C$7,BD!$A$3:$A$5001,"&lt;="&amp;$B248,BD!$R$3:$R$5001,"&lt;&gt;"))))</f>
        <v/>
      </c>
      <c r="S248" s="54" t="str">
        <f>IF(OR($B248="",$A248&gt;$B$9,S$233=""),"",IF(COUNTIFS(BD!$B$3:$B$5001,S$233,BD!$A$3:$A$5001,"&gt;="&amp;$C$7,BD!$A$3:$A$5001,"&lt;="&amp;$B248,BD!$R$3:$R$5001,"&lt;&gt;")=0,"",SUMIFS(BD!$R$3:$R$5001,BD!$B$3:$B$5001,S$233,BD!$A$3:$A$5001,_xlfn.MAXIFS(BD!$A$3:$A$5001,BD!$B$3:$B$5001,S$233,BD!$A$3:$A$5001,"&gt;="&amp;$C$7,BD!$A$3:$A$5001,"&lt;="&amp;$B248,BD!$R$3:$R$5001,"&lt;&gt;"))))</f>
        <v/>
      </c>
      <c r="T248" s="54" t="str">
        <f>IF(OR($B248="",$A248&gt;$B$9,T$233=""),"",IF(COUNTIFS(BD!$B$3:$B$5001,T$233,BD!$A$3:$A$5001,"&gt;="&amp;$C$7,BD!$A$3:$A$5001,"&lt;="&amp;$B248,BD!$R$3:$R$5001,"&lt;&gt;")=0,"",SUMIFS(BD!$R$3:$R$5001,BD!$B$3:$B$5001,T$233,BD!$A$3:$A$5001,_xlfn.MAXIFS(BD!$A$3:$A$5001,BD!$B$3:$B$5001,T$233,BD!$A$3:$A$5001,"&gt;="&amp;$C$7,BD!$A$3:$A$5001,"&lt;="&amp;$B248,BD!$R$3:$R$5001,"&lt;&gt;"))))</f>
        <v/>
      </c>
      <c r="U248" s="54" t="str">
        <f>IF(OR($B248="",$A248&gt;$B$9,U$233=""),"",IF(COUNTIFS(BD!$B$3:$B$5001,U$233,BD!$A$3:$A$5001,"&gt;="&amp;$C$7,BD!$A$3:$A$5001,"&lt;="&amp;$B248,BD!$R$3:$R$5001,"&lt;&gt;")=0,"",SUMIFS(BD!$R$3:$R$5001,BD!$B$3:$B$5001,U$233,BD!$A$3:$A$5001,_xlfn.MAXIFS(BD!$A$3:$A$5001,BD!$B$3:$B$5001,U$233,BD!$A$3:$A$5001,"&gt;="&amp;$C$7,BD!$A$3:$A$5001,"&lt;="&amp;$B248,BD!$R$3:$R$5001,"&lt;&gt;"))))</f>
        <v/>
      </c>
      <c r="V248" s="54" t="str">
        <f>IF(OR($B248="",$A248&gt;$B$9,V$233=""),"",IF(COUNTIFS(BD!$B$3:$B$5001,V$233,BD!$A$3:$A$5001,"&gt;="&amp;$C$7,BD!$A$3:$A$5001,"&lt;="&amp;$B248,BD!$R$3:$R$5001,"&lt;&gt;")=0,"",SUMIFS(BD!$R$3:$R$5001,BD!$B$3:$B$5001,V$233,BD!$A$3:$A$5001,_xlfn.MAXIFS(BD!$A$3:$A$5001,BD!$B$3:$B$5001,V$233,BD!$A$3:$A$5001,"&gt;="&amp;$C$7,BD!$A$3:$A$5001,"&lt;="&amp;$B248,BD!$R$3:$R$5001,"&lt;&gt;"))))</f>
        <v/>
      </c>
    </row>
    <row r="249">
      <c r="A249" s="48">
        <v>16</v>
      </c>
      <c r="B249" s="53">
        <f>$B$27</f>
        <v>46311</v>
      </c>
      <c r="C249" s="54" t="str">
        <f>IF(OR($B249="",$A249&gt;$B$9,C$233=""),"",IF(COUNTIFS(BD!$B$3:$B$5001,C$233,BD!$A$3:$A$5001,"&gt;="&amp;$C$7,BD!$A$3:$A$5001,"&lt;="&amp;$B249,BD!$R$3:$R$5001,"&lt;&gt;")=0,"",SUMIFS(BD!$R$3:$R$5001,BD!$B$3:$B$5001,C$233,BD!$A$3:$A$5001,_xlfn.MAXIFS(BD!$A$3:$A$5001,BD!$B$3:$B$5001,C$233,BD!$A$3:$A$5001,"&gt;="&amp;$C$7,BD!$A$3:$A$5001,"&lt;="&amp;$B249,BD!$R$3:$R$5001,"&lt;&gt;"))))</f>
        <v/>
      </c>
      <c r="D249" s="54" t="str">
        <f>IF(OR($B249="",$A249&gt;$B$9,D$233=""),"",IF(COUNTIFS(BD!$B$3:$B$5001,D$233,BD!$A$3:$A$5001,"&gt;="&amp;$C$7,BD!$A$3:$A$5001,"&lt;="&amp;$B249,BD!$R$3:$R$5001,"&lt;&gt;")=0,"",SUMIFS(BD!$R$3:$R$5001,BD!$B$3:$B$5001,D$233,BD!$A$3:$A$5001,_xlfn.MAXIFS(BD!$A$3:$A$5001,BD!$B$3:$B$5001,D$233,BD!$A$3:$A$5001,"&gt;="&amp;$C$7,BD!$A$3:$A$5001,"&lt;="&amp;$B249,BD!$R$3:$R$5001,"&lt;&gt;"))))</f>
        <v/>
      </c>
      <c r="E249" s="54" t="str">
        <f>IF(OR($B249="",$A249&gt;$B$9,E$233=""),"",IF(COUNTIFS(BD!$B$3:$B$5001,E$233,BD!$A$3:$A$5001,"&gt;="&amp;$C$7,BD!$A$3:$A$5001,"&lt;="&amp;$B249,BD!$R$3:$R$5001,"&lt;&gt;")=0,"",SUMIFS(BD!$R$3:$R$5001,BD!$B$3:$B$5001,E$233,BD!$A$3:$A$5001,_xlfn.MAXIFS(BD!$A$3:$A$5001,BD!$B$3:$B$5001,E$233,BD!$A$3:$A$5001,"&gt;="&amp;$C$7,BD!$A$3:$A$5001,"&lt;="&amp;$B249,BD!$R$3:$R$5001,"&lt;&gt;"))))</f>
        <v/>
      </c>
      <c r="F249" s="54" t="str">
        <f>IF(OR($B249="",$A249&gt;$B$9,F$233=""),"",IF(COUNTIFS(BD!$B$3:$B$5001,F$233,BD!$A$3:$A$5001,"&gt;="&amp;$C$7,BD!$A$3:$A$5001,"&lt;="&amp;$B249,BD!$R$3:$R$5001,"&lt;&gt;")=0,"",SUMIFS(BD!$R$3:$R$5001,BD!$B$3:$B$5001,F$233,BD!$A$3:$A$5001,_xlfn.MAXIFS(BD!$A$3:$A$5001,BD!$B$3:$B$5001,F$233,BD!$A$3:$A$5001,"&gt;="&amp;$C$7,BD!$A$3:$A$5001,"&lt;="&amp;$B249,BD!$R$3:$R$5001,"&lt;&gt;"))))</f>
        <v/>
      </c>
      <c r="G249" s="54" t="str">
        <f>IF(OR($B249="",$A249&gt;$B$9,G$233=""),"",IF(COUNTIFS(BD!$B$3:$B$5001,G$233,BD!$A$3:$A$5001,"&gt;="&amp;$C$7,BD!$A$3:$A$5001,"&lt;="&amp;$B249,BD!$R$3:$R$5001,"&lt;&gt;")=0,"",SUMIFS(BD!$R$3:$R$5001,BD!$B$3:$B$5001,G$233,BD!$A$3:$A$5001,_xlfn.MAXIFS(BD!$A$3:$A$5001,BD!$B$3:$B$5001,G$233,BD!$A$3:$A$5001,"&gt;="&amp;$C$7,BD!$A$3:$A$5001,"&lt;="&amp;$B249,BD!$R$3:$R$5001,"&lt;&gt;"))))</f>
        <v/>
      </c>
      <c r="H249" s="54" t="str">
        <f>IF(OR($B249="",$A249&gt;$B$9,H$233=""),"",IF(COUNTIFS(BD!$B$3:$B$5001,H$233,BD!$A$3:$A$5001,"&gt;="&amp;$C$7,BD!$A$3:$A$5001,"&lt;="&amp;$B249,BD!$R$3:$R$5001,"&lt;&gt;")=0,"",SUMIFS(BD!$R$3:$R$5001,BD!$B$3:$B$5001,H$233,BD!$A$3:$A$5001,_xlfn.MAXIFS(BD!$A$3:$A$5001,BD!$B$3:$B$5001,H$233,BD!$A$3:$A$5001,"&gt;="&amp;$C$7,BD!$A$3:$A$5001,"&lt;="&amp;$B249,BD!$R$3:$R$5001,"&lt;&gt;"))))</f>
        <v/>
      </c>
      <c r="I249" s="54" t="str">
        <f>IF(OR($B249="",$A249&gt;$B$9,I$233=""),"",IF(COUNTIFS(BD!$B$3:$B$5001,I$233,BD!$A$3:$A$5001,"&gt;="&amp;$C$7,BD!$A$3:$A$5001,"&lt;="&amp;$B249,BD!$R$3:$R$5001,"&lt;&gt;")=0,"",SUMIFS(BD!$R$3:$R$5001,BD!$B$3:$B$5001,I$233,BD!$A$3:$A$5001,_xlfn.MAXIFS(BD!$A$3:$A$5001,BD!$B$3:$B$5001,I$233,BD!$A$3:$A$5001,"&gt;="&amp;$C$7,BD!$A$3:$A$5001,"&lt;="&amp;$B249,BD!$R$3:$R$5001,"&lt;&gt;"))))</f>
        <v/>
      </c>
      <c r="J249" s="54" t="str">
        <f>IF(OR($B249="",$A249&gt;$B$9,J$233=""),"",IF(COUNTIFS(BD!$B$3:$B$5001,J$233,BD!$A$3:$A$5001,"&gt;="&amp;$C$7,BD!$A$3:$A$5001,"&lt;="&amp;$B249,BD!$R$3:$R$5001,"&lt;&gt;")=0,"",SUMIFS(BD!$R$3:$R$5001,BD!$B$3:$B$5001,J$233,BD!$A$3:$A$5001,_xlfn.MAXIFS(BD!$A$3:$A$5001,BD!$B$3:$B$5001,J$233,BD!$A$3:$A$5001,"&gt;="&amp;$C$7,BD!$A$3:$A$5001,"&lt;="&amp;$B249,BD!$R$3:$R$5001,"&lt;&gt;"))))</f>
        <v/>
      </c>
      <c r="K249" s="54" t="str">
        <f>IF(OR($B249="",$A249&gt;$B$9,K$233=""),"",IF(COUNTIFS(BD!$B$3:$B$5001,K$233,BD!$A$3:$A$5001,"&gt;="&amp;$C$7,BD!$A$3:$A$5001,"&lt;="&amp;$B249,BD!$R$3:$R$5001,"&lt;&gt;")=0,"",SUMIFS(BD!$R$3:$R$5001,BD!$B$3:$B$5001,K$233,BD!$A$3:$A$5001,_xlfn.MAXIFS(BD!$A$3:$A$5001,BD!$B$3:$B$5001,K$233,BD!$A$3:$A$5001,"&gt;="&amp;$C$7,BD!$A$3:$A$5001,"&lt;="&amp;$B249,BD!$R$3:$R$5001,"&lt;&gt;"))))</f>
        <v/>
      </c>
      <c r="L249" s="54" t="str">
        <f>IF(OR($B249="",$A249&gt;$B$9,L$233=""),"",IF(COUNTIFS(BD!$B$3:$B$5001,L$233,BD!$A$3:$A$5001,"&gt;="&amp;$C$7,BD!$A$3:$A$5001,"&lt;="&amp;$B249,BD!$R$3:$R$5001,"&lt;&gt;")=0,"",SUMIFS(BD!$R$3:$R$5001,BD!$B$3:$B$5001,L$233,BD!$A$3:$A$5001,_xlfn.MAXIFS(BD!$A$3:$A$5001,BD!$B$3:$B$5001,L$233,BD!$A$3:$A$5001,"&gt;="&amp;$C$7,BD!$A$3:$A$5001,"&lt;="&amp;$B249,BD!$R$3:$R$5001,"&lt;&gt;"))))</f>
        <v/>
      </c>
      <c r="M249" s="54" t="str">
        <f>IF(OR($B249="",$A249&gt;$B$9,M$233=""),"",IF(COUNTIFS(BD!$B$3:$B$5001,M$233,BD!$A$3:$A$5001,"&gt;="&amp;$C$7,BD!$A$3:$A$5001,"&lt;="&amp;$B249,BD!$R$3:$R$5001,"&lt;&gt;")=0,"",SUMIFS(BD!$R$3:$R$5001,BD!$B$3:$B$5001,M$233,BD!$A$3:$A$5001,_xlfn.MAXIFS(BD!$A$3:$A$5001,BD!$B$3:$B$5001,M$233,BD!$A$3:$A$5001,"&gt;="&amp;$C$7,BD!$A$3:$A$5001,"&lt;="&amp;$B249,BD!$R$3:$R$5001,"&lt;&gt;"))))</f>
        <v/>
      </c>
      <c r="N249" s="54" t="str">
        <f>IF(OR($B249="",$A249&gt;$B$9,N$233=""),"",IF(COUNTIFS(BD!$B$3:$B$5001,N$233,BD!$A$3:$A$5001,"&gt;="&amp;$C$7,BD!$A$3:$A$5001,"&lt;="&amp;$B249,BD!$R$3:$R$5001,"&lt;&gt;")=0,"",SUMIFS(BD!$R$3:$R$5001,BD!$B$3:$B$5001,N$233,BD!$A$3:$A$5001,_xlfn.MAXIFS(BD!$A$3:$A$5001,BD!$B$3:$B$5001,N$233,BD!$A$3:$A$5001,"&gt;="&amp;$C$7,BD!$A$3:$A$5001,"&lt;="&amp;$B249,BD!$R$3:$R$5001,"&lt;&gt;"))))</f>
        <v/>
      </c>
      <c r="O249" s="54" t="str">
        <f>IF(OR($B249="",$A249&gt;$B$9,O$233=""),"",IF(COUNTIFS(BD!$B$3:$B$5001,O$233,BD!$A$3:$A$5001,"&gt;="&amp;$C$7,BD!$A$3:$A$5001,"&lt;="&amp;$B249,BD!$R$3:$R$5001,"&lt;&gt;")=0,"",SUMIFS(BD!$R$3:$R$5001,BD!$B$3:$B$5001,O$233,BD!$A$3:$A$5001,_xlfn.MAXIFS(BD!$A$3:$A$5001,BD!$B$3:$B$5001,O$233,BD!$A$3:$A$5001,"&gt;="&amp;$C$7,BD!$A$3:$A$5001,"&lt;="&amp;$B249,BD!$R$3:$R$5001,"&lt;&gt;"))))</f>
        <v/>
      </c>
      <c r="P249" s="54" t="str">
        <f>IF(OR($B249="",$A249&gt;$B$9,P$233=""),"",IF(COUNTIFS(BD!$B$3:$B$5001,P$233,BD!$A$3:$A$5001,"&gt;="&amp;$C$7,BD!$A$3:$A$5001,"&lt;="&amp;$B249,BD!$R$3:$R$5001,"&lt;&gt;")=0,"",SUMIFS(BD!$R$3:$R$5001,BD!$B$3:$B$5001,P$233,BD!$A$3:$A$5001,_xlfn.MAXIFS(BD!$A$3:$A$5001,BD!$B$3:$B$5001,P$233,BD!$A$3:$A$5001,"&gt;="&amp;$C$7,BD!$A$3:$A$5001,"&lt;="&amp;$B249,BD!$R$3:$R$5001,"&lt;&gt;"))))</f>
        <v/>
      </c>
      <c r="Q249" s="54" t="str">
        <f>IF(OR($B249="",$A249&gt;$B$9,Q$233=""),"",IF(COUNTIFS(BD!$B$3:$B$5001,Q$233,BD!$A$3:$A$5001,"&gt;="&amp;$C$7,BD!$A$3:$A$5001,"&lt;="&amp;$B249,BD!$R$3:$R$5001,"&lt;&gt;")=0,"",SUMIFS(BD!$R$3:$R$5001,BD!$B$3:$B$5001,Q$233,BD!$A$3:$A$5001,_xlfn.MAXIFS(BD!$A$3:$A$5001,BD!$B$3:$B$5001,Q$233,BD!$A$3:$A$5001,"&gt;="&amp;$C$7,BD!$A$3:$A$5001,"&lt;="&amp;$B249,BD!$R$3:$R$5001,"&lt;&gt;"))))</f>
        <v/>
      </c>
      <c r="R249" s="54" t="str">
        <f>IF(OR($B249="",$A249&gt;$B$9,R$233=""),"",IF(COUNTIFS(BD!$B$3:$B$5001,R$233,BD!$A$3:$A$5001,"&gt;="&amp;$C$7,BD!$A$3:$A$5001,"&lt;="&amp;$B249,BD!$R$3:$R$5001,"&lt;&gt;")=0,"",SUMIFS(BD!$R$3:$R$5001,BD!$B$3:$B$5001,R$233,BD!$A$3:$A$5001,_xlfn.MAXIFS(BD!$A$3:$A$5001,BD!$B$3:$B$5001,R$233,BD!$A$3:$A$5001,"&gt;="&amp;$C$7,BD!$A$3:$A$5001,"&lt;="&amp;$B249,BD!$R$3:$R$5001,"&lt;&gt;"))))</f>
        <v/>
      </c>
      <c r="S249" s="54" t="str">
        <f>IF(OR($B249="",$A249&gt;$B$9,S$233=""),"",IF(COUNTIFS(BD!$B$3:$B$5001,S$233,BD!$A$3:$A$5001,"&gt;="&amp;$C$7,BD!$A$3:$A$5001,"&lt;="&amp;$B249,BD!$R$3:$R$5001,"&lt;&gt;")=0,"",SUMIFS(BD!$R$3:$R$5001,BD!$B$3:$B$5001,S$233,BD!$A$3:$A$5001,_xlfn.MAXIFS(BD!$A$3:$A$5001,BD!$B$3:$B$5001,S$233,BD!$A$3:$A$5001,"&gt;="&amp;$C$7,BD!$A$3:$A$5001,"&lt;="&amp;$B249,BD!$R$3:$R$5001,"&lt;&gt;"))))</f>
        <v/>
      </c>
      <c r="T249" s="54" t="str">
        <f>IF(OR($B249="",$A249&gt;$B$9,T$233=""),"",IF(COUNTIFS(BD!$B$3:$B$5001,T$233,BD!$A$3:$A$5001,"&gt;="&amp;$C$7,BD!$A$3:$A$5001,"&lt;="&amp;$B249,BD!$R$3:$R$5001,"&lt;&gt;")=0,"",SUMIFS(BD!$R$3:$R$5001,BD!$B$3:$B$5001,T$233,BD!$A$3:$A$5001,_xlfn.MAXIFS(BD!$A$3:$A$5001,BD!$B$3:$B$5001,T$233,BD!$A$3:$A$5001,"&gt;="&amp;$C$7,BD!$A$3:$A$5001,"&lt;="&amp;$B249,BD!$R$3:$R$5001,"&lt;&gt;"))))</f>
        <v/>
      </c>
      <c r="U249" s="54" t="str">
        <f>IF(OR($B249="",$A249&gt;$B$9,U$233=""),"",IF(COUNTIFS(BD!$B$3:$B$5001,U$233,BD!$A$3:$A$5001,"&gt;="&amp;$C$7,BD!$A$3:$A$5001,"&lt;="&amp;$B249,BD!$R$3:$R$5001,"&lt;&gt;")=0,"",SUMIFS(BD!$R$3:$R$5001,BD!$B$3:$B$5001,U$233,BD!$A$3:$A$5001,_xlfn.MAXIFS(BD!$A$3:$A$5001,BD!$B$3:$B$5001,U$233,BD!$A$3:$A$5001,"&gt;="&amp;$C$7,BD!$A$3:$A$5001,"&lt;="&amp;$B249,BD!$R$3:$R$5001,"&lt;&gt;"))))</f>
        <v/>
      </c>
      <c r="V249" s="54" t="str">
        <f>IF(OR($B249="",$A249&gt;$B$9,V$233=""),"",IF(COUNTIFS(BD!$B$3:$B$5001,V$233,BD!$A$3:$A$5001,"&gt;="&amp;$C$7,BD!$A$3:$A$5001,"&lt;="&amp;$B249,BD!$R$3:$R$5001,"&lt;&gt;")=0,"",SUMIFS(BD!$R$3:$R$5001,BD!$B$3:$B$5001,V$233,BD!$A$3:$A$5001,_xlfn.MAXIFS(BD!$A$3:$A$5001,BD!$B$3:$B$5001,V$233,BD!$A$3:$A$5001,"&gt;="&amp;$C$7,BD!$A$3:$A$5001,"&lt;="&amp;$B249,BD!$R$3:$R$5001,"&lt;&gt;"))))</f>
        <v/>
      </c>
    </row>
    <row r="250">
      <c r="A250" s="48">
        <v>17</v>
      </c>
      <c r="B250" s="53">
        <f>$B$28</f>
        <v>46312</v>
      </c>
      <c r="C250" s="54" t="str">
        <f>IF(OR($B250="",$A250&gt;$B$9,C$233=""),"",IF(COUNTIFS(BD!$B$3:$B$5001,C$233,BD!$A$3:$A$5001,"&gt;="&amp;$C$7,BD!$A$3:$A$5001,"&lt;="&amp;$B250,BD!$R$3:$R$5001,"&lt;&gt;")=0,"",SUMIFS(BD!$R$3:$R$5001,BD!$B$3:$B$5001,C$233,BD!$A$3:$A$5001,_xlfn.MAXIFS(BD!$A$3:$A$5001,BD!$B$3:$B$5001,C$233,BD!$A$3:$A$5001,"&gt;="&amp;$C$7,BD!$A$3:$A$5001,"&lt;="&amp;$B250,BD!$R$3:$R$5001,"&lt;&gt;"))))</f>
        <v/>
      </c>
      <c r="D250" s="54" t="str">
        <f>IF(OR($B250="",$A250&gt;$B$9,D$233=""),"",IF(COUNTIFS(BD!$B$3:$B$5001,D$233,BD!$A$3:$A$5001,"&gt;="&amp;$C$7,BD!$A$3:$A$5001,"&lt;="&amp;$B250,BD!$R$3:$R$5001,"&lt;&gt;")=0,"",SUMIFS(BD!$R$3:$R$5001,BD!$B$3:$B$5001,D$233,BD!$A$3:$A$5001,_xlfn.MAXIFS(BD!$A$3:$A$5001,BD!$B$3:$B$5001,D$233,BD!$A$3:$A$5001,"&gt;="&amp;$C$7,BD!$A$3:$A$5001,"&lt;="&amp;$B250,BD!$R$3:$R$5001,"&lt;&gt;"))))</f>
        <v/>
      </c>
      <c r="E250" s="54" t="str">
        <f>IF(OR($B250="",$A250&gt;$B$9,E$233=""),"",IF(COUNTIFS(BD!$B$3:$B$5001,E$233,BD!$A$3:$A$5001,"&gt;="&amp;$C$7,BD!$A$3:$A$5001,"&lt;="&amp;$B250,BD!$R$3:$R$5001,"&lt;&gt;")=0,"",SUMIFS(BD!$R$3:$R$5001,BD!$B$3:$B$5001,E$233,BD!$A$3:$A$5001,_xlfn.MAXIFS(BD!$A$3:$A$5001,BD!$B$3:$B$5001,E$233,BD!$A$3:$A$5001,"&gt;="&amp;$C$7,BD!$A$3:$A$5001,"&lt;="&amp;$B250,BD!$R$3:$R$5001,"&lt;&gt;"))))</f>
        <v/>
      </c>
      <c r="F250" s="54" t="str">
        <f>IF(OR($B250="",$A250&gt;$B$9,F$233=""),"",IF(COUNTIFS(BD!$B$3:$B$5001,F$233,BD!$A$3:$A$5001,"&gt;="&amp;$C$7,BD!$A$3:$A$5001,"&lt;="&amp;$B250,BD!$R$3:$R$5001,"&lt;&gt;")=0,"",SUMIFS(BD!$R$3:$R$5001,BD!$B$3:$B$5001,F$233,BD!$A$3:$A$5001,_xlfn.MAXIFS(BD!$A$3:$A$5001,BD!$B$3:$B$5001,F$233,BD!$A$3:$A$5001,"&gt;="&amp;$C$7,BD!$A$3:$A$5001,"&lt;="&amp;$B250,BD!$R$3:$R$5001,"&lt;&gt;"))))</f>
        <v/>
      </c>
      <c r="G250" s="54" t="str">
        <f>IF(OR($B250="",$A250&gt;$B$9,G$233=""),"",IF(COUNTIFS(BD!$B$3:$B$5001,G$233,BD!$A$3:$A$5001,"&gt;="&amp;$C$7,BD!$A$3:$A$5001,"&lt;="&amp;$B250,BD!$R$3:$R$5001,"&lt;&gt;")=0,"",SUMIFS(BD!$R$3:$R$5001,BD!$B$3:$B$5001,G$233,BD!$A$3:$A$5001,_xlfn.MAXIFS(BD!$A$3:$A$5001,BD!$B$3:$B$5001,G$233,BD!$A$3:$A$5001,"&gt;="&amp;$C$7,BD!$A$3:$A$5001,"&lt;="&amp;$B250,BD!$R$3:$R$5001,"&lt;&gt;"))))</f>
        <v/>
      </c>
      <c r="H250" s="54" t="str">
        <f>IF(OR($B250="",$A250&gt;$B$9,H$233=""),"",IF(COUNTIFS(BD!$B$3:$B$5001,H$233,BD!$A$3:$A$5001,"&gt;="&amp;$C$7,BD!$A$3:$A$5001,"&lt;="&amp;$B250,BD!$R$3:$R$5001,"&lt;&gt;")=0,"",SUMIFS(BD!$R$3:$R$5001,BD!$B$3:$B$5001,H$233,BD!$A$3:$A$5001,_xlfn.MAXIFS(BD!$A$3:$A$5001,BD!$B$3:$B$5001,H$233,BD!$A$3:$A$5001,"&gt;="&amp;$C$7,BD!$A$3:$A$5001,"&lt;="&amp;$B250,BD!$R$3:$R$5001,"&lt;&gt;"))))</f>
        <v/>
      </c>
      <c r="I250" s="54" t="str">
        <f>IF(OR($B250="",$A250&gt;$B$9,I$233=""),"",IF(COUNTIFS(BD!$B$3:$B$5001,I$233,BD!$A$3:$A$5001,"&gt;="&amp;$C$7,BD!$A$3:$A$5001,"&lt;="&amp;$B250,BD!$R$3:$R$5001,"&lt;&gt;")=0,"",SUMIFS(BD!$R$3:$R$5001,BD!$B$3:$B$5001,I$233,BD!$A$3:$A$5001,_xlfn.MAXIFS(BD!$A$3:$A$5001,BD!$B$3:$B$5001,I$233,BD!$A$3:$A$5001,"&gt;="&amp;$C$7,BD!$A$3:$A$5001,"&lt;="&amp;$B250,BD!$R$3:$R$5001,"&lt;&gt;"))))</f>
        <v/>
      </c>
      <c r="J250" s="54" t="str">
        <f>IF(OR($B250="",$A250&gt;$B$9,J$233=""),"",IF(COUNTIFS(BD!$B$3:$B$5001,J$233,BD!$A$3:$A$5001,"&gt;="&amp;$C$7,BD!$A$3:$A$5001,"&lt;="&amp;$B250,BD!$R$3:$R$5001,"&lt;&gt;")=0,"",SUMIFS(BD!$R$3:$R$5001,BD!$B$3:$B$5001,J$233,BD!$A$3:$A$5001,_xlfn.MAXIFS(BD!$A$3:$A$5001,BD!$B$3:$B$5001,J$233,BD!$A$3:$A$5001,"&gt;="&amp;$C$7,BD!$A$3:$A$5001,"&lt;="&amp;$B250,BD!$R$3:$R$5001,"&lt;&gt;"))))</f>
        <v/>
      </c>
      <c r="K250" s="54" t="str">
        <f>IF(OR($B250="",$A250&gt;$B$9,K$233=""),"",IF(COUNTIFS(BD!$B$3:$B$5001,K$233,BD!$A$3:$A$5001,"&gt;="&amp;$C$7,BD!$A$3:$A$5001,"&lt;="&amp;$B250,BD!$R$3:$R$5001,"&lt;&gt;")=0,"",SUMIFS(BD!$R$3:$R$5001,BD!$B$3:$B$5001,K$233,BD!$A$3:$A$5001,_xlfn.MAXIFS(BD!$A$3:$A$5001,BD!$B$3:$B$5001,K$233,BD!$A$3:$A$5001,"&gt;="&amp;$C$7,BD!$A$3:$A$5001,"&lt;="&amp;$B250,BD!$R$3:$R$5001,"&lt;&gt;"))))</f>
        <v/>
      </c>
      <c r="L250" s="54" t="str">
        <f>IF(OR($B250="",$A250&gt;$B$9,L$233=""),"",IF(COUNTIFS(BD!$B$3:$B$5001,L$233,BD!$A$3:$A$5001,"&gt;="&amp;$C$7,BD!$A$3:$A$5001,"&lt;="&amp;$B250,BD!$R$3:$R$5001,"&lt;&gt;")=0,"",SUMIFS(BD!$R$3:$R$5001,BD!$B$3:$B$5001,L$233,BD!$A$3:$A$5001,_xlfn.MAXIFS(BD!$A$3:$A$5001,BD!$B$3:$B$5001,L$233,BD!$A$3:$A$5001,"&gt;="&amp;$C$7,BD!$A$3:$A$5001,"&lt;="&amp;$B250,BD!$R$3:$R$5001,"&lt;&gt;"))))</f>
        <v/>
      </c>
      <c r="M250" s="54" t="str">
        <f>IF(OR($B250="",$A250&gt;$B$9,M$233=""),"",IF(COUNTIFS(BD!$B$3:$B$5001,M$233,BD!$A$3:$A$5001,"&gt;="&amp;$C$7,BD!$A$3:$A$5001,"&lt;="&amp;$B250,BD!$R$3:$R$5001,"&lt;&gt;")=0,"",SUMIFS(BD!$R$3:$R$5001,BD!$B$3:$B$5001,M$233,BD!$A$3:$A$5001,_xlfn.MAXIFS(BD!$A$3:$A$5001,BD!$B$3:$B$5001,M$233,BD!$A$3:$A$5001,"&gt;="&amp;$C$7,BD!$A$3:$A$5001,"&lt;="&amp;$B250,BD!$R$3:$R$5001,"&lt;&gt;"))))</f>
        <v/>
      </c>
      <c r="N250" s="54" t="str">
        <f>IF(OR($B250="",$A250&gt;$B$9,N$233=""),"",IF(COUNTIFS(BD!$B$3:$B$5001,N$233,BD!$A$3:$A$5001,"&gt;="&amp;$C$7,BD!$A$3:$A$5001,"&lt;="&amp;$B250,BD!$R$3:$R$5001,"&lt;&gt;")=0,"",SUMIFS(BD!$R$3:$R$5001,BD!$B$3:$B$5001,N$233,BD!$A$3:$A$5001,_xlfn.MAXIFS(BD!$A$3:$A$5001,BD!$B$3:$B$5001,N$233,BD!$A$3:$A$5001,"&gt;="&amp;$C$7,BD!$A$3:$A$5001,"&lt;="&amp;$B250,BD!$R$3:$R$5001,"&lt;&gt;"))))</f>
        <v/>
      </c>
      <c r="O250" s="54" t="str">
        <f>IF(OR($B250="",$A250&gt;$B$9,O$233=""),"",IF(COUNTIFS(BD!$B$3:$B$5001,O$233,BD!$A$3:$A$5001,"&gt;="&amp;$C$7,BD!$A$3:$A$5001,"&lt;="&amp;$B250,BD!$R$3:$R$5001,"&lt;&gt;")=0,"",SUMIFS(BD!$R$3:$R$5001,BD!$B$3:$B$5001,O$233,BD!$A$3:$A$5001,_xlfn.MAXIFS(BD!$A$3:$A$5001,BD!$B$3:$B$5001,O$233,BD!$A$3:$A$5001,"&gt;="&amp;$C$7,BD!$A$3:$A$5001,"&lt;="&amp;$B250,BD!$R$3:$R$5001,"&lt;&gt;"))))</f>
        <v/>
      </c>
      <c r="P250" s="54" t="str">
        <f>IF(OR($B250="",$A250&gt;$B$9,P$233=""),"",IF(COUNTIFS(BD!$B$3:$B$5001,P$233,BD!$A$3:$A$5001,"&gt;="&amp;$C$7,BD!$A$3:$A$5001,"&lt;="&amp;$B250,BD!$R$3:$R$5001,"&lt;&gt;")=0,"",SUMIFS(BD!$R$3:$R$5001,BD!$B$3:$B$5001,P$233,BD!$A$3:$A$5001,_xlfn.MAXIFS(BD!$A$3:$A$5001,BD!$B$3:$B$5001,P$233,BD!$A$3:$A$5001,"&gt;="&amp;$C$7,BD!$A$3:$A$5001,"&lt;="&amp;$B250,BD!$R$3:$R$5001,"&lt;&gt;"))))</f>
        <v/>
      </c>
      <c r="Q250" s="54" t="str">
        <f>IF(OR($B250="",$A250&gt;$B$9,Q$233=""),"",IF(COUNTIFS(BD!$B$3:$B$5001,Q$233,BD!$A$3:$A$5001,"&gt;="&amp;$C$7,BD!$A$3:$A$5001,"&lt;="&amp;$B250,BD!$R$3:$R$5001,"&lt;&gt;")=0,"",SUMIFS(BD!$R$3:$R$5001,BD!$B$3:$B$5001,Q$233,BD!$A$3:$A$5001,_xlfn.MAXIFS(BD!$A$3:$A$5001,BD!$B$3:$B$5001,Q$233,BD!$A$3:$A$5001,"&gt;="&amp;$C$7,BD!$A$3:$A$5001,"&lt;="&amp;$B250,BD!$R$3:$R$5001,"&lt;&gt;"))))</f>
        <v/>
      </c>
      <c r="R250" s="54" t="str">
        <f>IF(OR($B250="",$A250&gt;$B$9,R$233=""),"",IF(COUNTIFS(BD!$B$3:$B$5001,R$233,BD!$A$3:$A$5001,"&gt;="&amp;$C$7,BD!$A$3:$A$5001,"&lt;="&amp;$B250,BD!$R$3:$R$5001,"&lt;&gt;")=0,"",SUMIFS(BD!$R$3:$R$5001,BD!$B$3:$B$5001,R$233,BD!$A$3:$A$5001,_xlfn.MAXIFS(BD!$A$3:$A$5001,BD!$B$3:$B$5001,R$233,BD!$A$3:$A$5001,"&gt;="&amp;$C$7,BD!$A$3:$A$5001,"&lt;="&amp;$B250,BD!$R$3:$R$5001,"&lt;&gt;"))))</f>
        <v/>
      </c>
      <c r="S250" s="54" t="str">
        <f>IF(OR($B250="",$A250&gt;$B$9,S$233=""),"",IF(COUNTIFS(BD!$B$3:$B$5001,S$233,BD!$A$3:$A$5001,"&gt;="&amp;$C$7,BD!$A$3:$A$5001,"&lt;="&amp;$B250,BD!$R$3:$R$5001,"&lt;&gt;")=0,"",SUMIFS(BD!$R$3:$R$5001,BD!$B$3:$B$5001,S$233,BD!$A$3:$A$5001,_xlfn.MAXIFS(BD!$A$3:$A$5001,BD!$B$3:$B$5001,S$233,BD!$A$3:$A$5001,"&gt;="&amp;$C$7,BD!$A$3:$A$5001,"&lt;="&amp;$B250,BD!$R$3:$R$5001,"&lt;&gt;"))))</f>
        <v/>
      </c>
      <c r="T250" s="54" t="str">
        <f>IF(OR($B250="",$A250&gt;$B$9,T$233=""),"",IF(COUNTIFS(BD!$B$3:$B$5001,T$233,BD!$A$3:$A$5001,"&gt;="&amp;$C$7,BD!$A$3:$A$5001,"&lt;="&amp;$B250,BD!$R$3:$R$5001,"&lt;&gt;")=0,"",SUMIFS(BD!$R$3:$R$5001,BD!$B$3:$B$5001,T$233,BD!$A$3:$A$5001,_xlfn.MAXIFS(BD!$A$3:$A$5001,BD!$B$3:$B$5001,T$233,BD!$A$3:$A$5001,"&gt;="&amp;$C$7,BD!$A$3:$A$5001,"&lt;="&amp;$B250,BD!$R$3:$R$5001,"&lt;&gt;"))))</f>
        <v/>
      </c>
      <c r="U250" s="54" t="str">
        <f>IF(OR($B250="",$A250&gt;$B$9,U$233=""),"",IF(COUNTIFS(BD!$B$3:$B$5001,U$233,BD!$A$3:$A$5001,"&gt;="&amp;$C$7,BD!$A$3:$A$5001,"&lt;="&amp;$B250,BD!$R$3:$R$5001,"&lt;&gt;")=0,"",SUMIFS(BD!$R$3:$R$5001,BD!$B$3:$B$5001,U$233,BD!$A$3:$A$5001,_xlfn.MAXIFS(BD!$A$3:$A$5001,BD!$B$3:$B$5001,U$233,BD!$A$3:$A$5001,"&gt;="&amp;$C$7,BD!$A$3:$A$5001,"&lt;="&amp;$B250,BD!$R$3:$R$5001,"&lt;&gt;"))))</f>
        <v/>
      </c>
      <c r="V250" s="54" t="str">
        <f>IF(OR($B250="",$A250&gt;$B$9,V$233=""),"",IF(COUNTIFS(BD!$B$3:$B$5001,V$233,BD!$A$3:$A$5001,"&gt;="&amp;$C$7,BD!$A$3:$A$5001,"&lt;="&amp;$B250,BD!$R$3:$R$5001,"&lt;&gt;")=0,"",SUMIFS(BD!$R$3:$R$5001,BD!$B$3:$B$5001,V$233,BD!$A$3:$A$5001,_xlfn.MAXIFS(BD!$A$3:$A$5001,BD!$B$3:$B$5001,V$233,BD!$A$3:$A$5001,"&gt;="&amp;$C$7,BD!$A$3:$A$5001,"&lt;="&amp;$B250,BD!$R$3:$R$5001,"&lt;&gt;"))))</f>
        <v/>
      </c>
    </row>
    <row r="251">
      <c r="A251" s="48">
        <v>18</v>
      </c>
      <c r="B251" s="53">
        <f>$B$29</f>
        <v>46313</v>
      </c>
      <c r="C251" s="54" t="str">
        <f>IF(OR($B251="",$A251&gt;$B$9,C$233=""),"",IF(COUNTIFS(BD!$B$3:$B$5001,C$233,BD!$A$3:$A$5001,"&gt;="&amp;$C$7,BD!$A$3:$A$5001,"&lt;="&amp;$B251,BD!$R$3:$R$5001,"&lt;&gt;")=0,"",SUMIFS(BD!$R$3:$R$5001,BD!$B$3:$B$5001,C$233,BD!$A$3:$A$5001,_xlfn.MAXIFS(BD!$A$3:$A$5001,BD!$B$3:$B$5001,C$233,BD!$A$3:$A$5001,"&gt;="&amp;$C$7,BD!$A$3:$A$5001,"&lt;="&amp;$B251,BD!$R$3:$R$5001,"&lt;&gt;"))))</f>
        <v/>
      </c>
      <c r="D251" s="54" t="str">
        <f>IF(OR($B251="",$A251&gt;$B$9,D$233=""),"",IF(COUNTIFS(BD!$B$3:$B$5001,D$233,BD!$A$3:$A$5001,"&gt;="&amp;$C$7,BD!$A$3:$A$5001,"&lt;="&amp;$B251,BD!$R$3:$R$5001,"&lt;&gt;")=0,"",SUMIFS(BD!$R$3:$R$5001,BD!$B$3:$B$5001,D$233,BD!$A$3:$A$5001,_xlfn.MAXIFS(BD!$A$3:$A$5001,BD!$B$3:$B$5001,D$233,BD!$A$3:$A$5001,"&gt;="&amp;$C$7,BD!$A$3:$A$5001,"&lt;="&amp;$B251,BD!$R$3:$R$5001,"&lt;&gt;"))))</f>
        <v/>
      </c>
      <c r="E251" s="54" t="str">
        <f>IF(OR($B251="",$A251&gt;$B$9,E$233=""),"",IF(COUNTIFS(BD!$B$3:$B$5001,E$233,BD!$A$3:$A$5001,"&gt;="&amp;$C$7,BD!$A$3:$A$5001,"&lt;="&amp;$B251,BD!$R$3:$R$5001,"&lt;&gt;")=0,"",SUMIFS(BD!$R$3:$R$5001,BD!$B$3:$B$5001,E$233,BD!$A$3:$A$5001,_xlfn.MAXIFS(BD!$A$3:$A$5001,BD!$B$3:$B$5001,E$233,BD!$A$3:$A$5001,"&gt;="&amp;$C$7,BD!$A$3:$A$5001,"&lt;="&amp;$B251,BD!$R$3:$R$5001,"&lt;&gt;"))))</f>
        <v/>
      </c>
      <c r="F251" s="54" t="str">
        <f>IF(OR($B251="",$A251&gt;$B$9,F$233=""),"",IF(COUNTIFS(BD!$B$3:$B$5001,F$233,BD!$A$3:$A$5001,"&gt;="&amp;$C$7,BD!$A$3:$A$5001,"&lt;="&amp;$B251,BD!$R$3:$R$5001,"&lt;&gt;")=0,"",SUMIFS(BD!$R$3:$R$5001,BD!$B$3:$B$5001,F$233,BD!$A$3:$A$5001,_xlfn.MAXIFS(BD!$A$3:$A$5001,BD!$B$3:$B$5001,F$233,BD!$A$3:$A$5001,"&gt;="&amp;$C$7,BD!$A$3:$A$5001,"&lt;="&amp;$B251,BD!$R$3:$R$5001,"&lt;&gt;"))))</f>
        <v/>
      </c>
      <c r="G251" s="54" t="str">
        <f>IF(OR($B251="",$A251&gt;$B$9,G$233=""),"",IF(COUNTIFS(BD!$B$3:$B$5001,G$233,BD!$A$3:$A$5001,"&gt;="&amp;$C$7,BD!$A$3:$A$5001,"&lt;="&amp;$B251,BD!$R$3:$R$5001,"&lt;&gt;")=0,"",SUMIFS(BD!$R$3:$R$5001,BD!$B$3:$B$5001,G$233,BD!$A$3:$A$5001,_xlfn.MAXIFS(BD!$A$3:$A$5001,BD!$B$3:$B$5001,G$233,BD!$A$3:$A$5001,"&gt;="&amp;$C$7,BD!$A$3:$A$5001,"&lt;="&amp;$B251,BD!$R$3:$R$5001,"&lt;&gt;"))))</f>
        <v/>
      </c>
      <c r="H251" s="54" t="str">
        <f>IF(OR($B251="",$A251&gt;$B$9,H$233=""),"",IF(COUNTIFS(BD!$B$3:$B$5001,H$233,BD!$A$3:$A$5001,"&gt;="&amp;$C$7,BD!$A$3:$A$5001,"&lt;="&amp;$B251,BD!$R$3:$R$5001,"&lt;&gt;")=0,"",SUMIFS(BD!$R$3:$R$5001,BD!$B$3:$B$5001,H$233,BD!$A$3:$A$5001,_xlfn.MAXIFS(BD!$A$3:$A$5001,BD!$B$3:$B$5001,H$233,BD!$A$3:$A$5001,"&gt;="&amp;$C$7,BD!$A$3:$A$5001,"&lt;="&amp;$B251,BD!$R$3:$R$5001,"&lt;&gt;"))))</f>
        <v/>
      </c>
      <c r="I251" s="54" t="str">
        <f>IF(OR($B251="",$A251&gt;$B$9,I$233=""),"",IF(COUNTIFS(BD!$B$3:$B$5001,I$233,BD!$A$3:$A$5001,"&gt;="&amp;$C$7,BD!$A$3:$A$5001,"&lt;="&amp;$B251,BD!$R$3:$R$5001,"&lt;&gt;")=0,"",SUMIFS(BD!$R$3:$R$5001,BD!$B$3:$B$5001,I$233,BD!$A$3:$A$5001,_xlfn.MAXIFS(BD!$A$3:$A$5001,BD!$B$3:$B$5001,I$233,BD!$A$3:$A$5001,"&gt;="&amp;$C$7,BD!$A$3:$A$5001,"&lt;="&amp;$B251,BD!$R$3:$R$5001,"&lt;&gt;"))))</f>
        <v/>
      </c>
      <c r="J251" s="54" t="str">
        <f>IF(OR($B251="",$A251&gt;$B$9,J$233=""),"",IF(COUNTIFS(BD!$B$3:$B$5001,J$233,BD!$A$3:$A$5001,"&gt;="&amp;$C$7,BD!$A$3:$A$5001,"&lt;="&amp;$B251,BD!$R$3:$R$5001,"&lt;&gt;")=0,"",SUMIFS(BD!$R$3:$R$5001,BD!$B$3:$B$5001,J$233,BD!$A$3:$A$5001,_xlfn.MAXIFS(BD!$A$3:$A$5001,BD!$B$3:$B$5001,J$233,BD!$A$3:$A$5001,"&gt;="&amp;$C$7,BD!$A$3:$A$5001,"&lt;="&amp;$B251,BD!$R$3:$R$5001,"&lt;&gt;"))))</f>
        <v/>
      </c>
      <c r="K251" s="54" t="str">
        <f>IF(OR($B251="",$A251&gt;$B$9,K$233=""),"",IF(COUNTIFS(BD!$B$3:$B$5001,K$233,BD!$A$3:$A$5001,"&gt;="&amp;$C$7,BD!$A$3:$A$5001,"&lt;="&amp;$B251,BD!$R$3:$R$5001,"&lt;&gt;")=0,"",SUMIFS(BD!$R$3:$R$5001,BD!$B$3:$B$5001,K$233,BD!$A$3:$A$5001,_xlfn.MAXIFS(BD!$A$3:$A$5001,BD!$B$3:$B$5001,K$233,BD!$A$3:$A$5001,"&gt;="&amp;$C$7,BD!$A$3:$A$5001,"&lt;="&amp;$B251,BD!$R$3:$R$5001,"&lt;&gt;"))))</f>
        <v/>
      </c>
      <c r="L251" s="54" t="str">
        <f>IF(OR($B251="",$A251&gt;$B$9,L$233=""),"",IF(COUNTIFS(BD!$B$3:$B$5001,L$233,BD!$A$3:$A$5001,"&gt;="&amp;$C$7,BD!$A$3:$A$5001,"&lt;="&amp;$B251,BD!$R$3:$R$5001,"&lt;&gt;")=0,"",SUMIFS(BD!$R$3:$R$5001,BD!$B$3:$B$5001,L$233,BD!$A$3:$A$5001,_xlfn.MAXIFS(BD!$A$3:$A$5001,BD!$B$3:$B$5001,L$233,BD!$A$3:$A$5001,"&gt;="&amp;$C$7,BD!$A$3:$A$5001,"&lt;="&amp;$B251,BD!$R$3:$R$5001,"&lt;&gt;"))))</f>
        <v/>
      </c>
      <c r="M251" s="54" t="str">
        <f>IF(OR($B251="",$A251&gt;$B$9,M$233=""),"",IF(COUNTIFS(BD!$B$3:$B$5001,M$233,BD!$A$3:$A$5001,"&gt;="&amp;$C$7,BD!$A$3:$A$5001,"&lt;="&amp;$B251,BD!$R$3:$R$5001,"&lt;&gt;")=0,"",SUMIFS(BD!$R$3:$R$5001,BD!$B$3:$B$5001,M$233,BD!$A$3:$A$5001,_xlfn.MAXIFS(BD!$A$3:$A$5001,BD!$B$3:$B$5001,M$233,BD!$A$3:$A$5001,"&gt;="&amp;$C$7,BD!$A$3:$A$5001,"&lt;="&amp;$B251,BD!$R$3:$R$5001,"&lt;&gt;"))))</f>
        <v/>
      </c>
      <c r="N251" s="54" t="str">
        <f>IF(OR($B251="",$A251&gt;$B$9,N$233=""),"",IF(COUNTIFS(BD!$B$3:$B$5001,N$233,BD!$A$3:$A$5001,"&gt;="&amp;$C$7,BD!$A$3:$A$5001,"&lt;="&amp;$B251,BD!$R$3:$R$5001,"&lt;&gt;")=0,"",SUMIFS(BD!$R$3:$R$5001,BD!$B$3:$B$5001,N$233,BD!$A$3:$A$5001,_xlfn.MAXIFS(BD!$A$3:$A$5001,BD!$B$3:$B$5001,N$233,BD!$A$3:$A$5001,"&gt;="&amp;$C$7,BD!$A$3:$A$5001,"&lt;="&amp;$B251,BD!$R$3:$R$5001,"&lt;&gt;"))))</f>
        <v/>
      </c>
      <c r="O251" s="54" t="str">
        <f>IF(OR($B251="",$A251&gt;$B$9,O$233=""),"",IF(COUNTIFS(BD!$B$3:$B$5001,O$233,BD!$A$3:$A$5001,"&gt;="&amp;$C$7,BD!$A$3:$A$5001,"&lt;="&amp;$B251,BD!$R$3:$R$5001,"&lt;&gt;")=0,"",SUMIFS(BD!$R$3:$R$5001,BD!$B$3:$B$5001,O$233,BD!$A$3:$A$5001,_xlfn.MAXIFS(BD!$A$3:$A$5001,BD!$B$3:$B$5001,O$233,BD!$A$3:$A$5001,"&gt;="&amp;$C$7,BD!$A$3:$A$5001,"&lt;="&amp;$B251,BD!$R$3:$R$5001,"&lt;&gt;"))))</f>
        <v/>
      </c>
      <c r="P251" s="54" t="str">
        <f>IF(OR($B251="",$A251&gt;$B$9,P$233=""),"",IF(COUNTIFS(BD!$B$3:$B$5001,P$233,BD!$A$3:$A$5001,"&gt;="&amp;$C$7,BD!$A$3:$A$5001,"&lt;="&amp;$B251,BD!$R$3:$R$5001,"&lt;&gt;")=0,"",SUMIFS(BD!$R$3:$R$5001,BD!$B$3:$B$5001,P$233,BD!$A$3:$A$5001,_xlfn.MAXIFS(BD!$A$3:$A$5001,BD!$B$3:$B$5001,P$233,BD!$A$3:$A$5001,"&gt;="&amp;$C$7,BD!$A$3:$A$5001,"&lt;="&amp;$B251,BD!$R$3:$R$5001,"&lt;&gt;"))))</f>
        <v/>
      </c>
      <c r="Q251" s="54" t="str">
        <f>IF(OR($B251="",$A251&gt;$B$9,Q$233=""),"",IF(COUNTIFS(BD!$B$3:$B$5001,Q$233,BD!$A$3:$A$5001,"&gt;="&amp;$C$7,BD!$A$3:$A$5001,"&lt;="&amp;$B251,BD!$R$3:$R$5001,"&lt;&gt;")=0,"",SUMIFS(BD!$R$3:$R$5001,BD!$B$3:$B$5001,Q$233,BD!$A$3:$A$5001,_xlfn.MAXIFS(BD!$A$3:$A$5001,BD!$B$3:$B$5001,Q$233,BD!$A$3:$A$5001,"&gt;="&amp;$C$7,BD!$A$3:$A$5001,"&lt;="&amp;$B251,BD!$R$3:$R$5001,"&lt;&gt;"))))</f>
        <v/>
      </c>
      <c r="R251" s="54" t="str">
        <f>IF(OR($B251="",$A251&gt;$B$9,R$233=""),"",IF(COUNTIFS(BD!$B$3:$B$5001,R$233,BD!$A$3:$A$5001,"&gt;="&amp;$C$7,BD!$A$3:$A$5001,"&lt;="&amp;$B251,BD!$R$3:$R$5001,"&lt;&gt;")=0,"",SUMIFS(BD!$R$3:$R$5001,BD!$B$3:$B$5001,R$233,BD!$A$3:$A$5001,_xlfn.MAXIFS(BD!$A$3:$A$5001,BD!$B$3:$B$5001,R$233,BD!$A$3:$A$5001,"&gt;="&amp;$C$7,BD!$A$3:$A$5001,"&lt;="&amp;$B251,BD!$R$3:$R$5001,"&lt;&gt;"))))</f>
        <v/>
      </c>
      <c r="S251" s="54" t="str">
        <f>IF(OR($B251="",$A251&gt;$B$9,S$233=""),"",IF(COUNTIFS(BD!$B$3:$B$5001,S$233,BD!$A$3:$A$5001,"&gt;="&amp;$C$7,BD!$A$3:$A$5001,"&lt;="&amp;$B251,BD!$R$3:$R$5001,"&lt;&gt;")=0,"",SUMIFS(BD!$R$3:$R$5001,BD!$B$3:$B$5001,S$233,BD!$A$3:$A$5001,_xlfn.MAXIFS(BD!$A$3:$A$5001,BD!$B$3:$B$5001,S$233,BD!$A$3:$A$5001,"&gt;="&amp;$C$7,BD!$A$3:$A$5001,"&lt;="&amp;$B251,BD!$R$3:$R$5001,"&lt;&gt;"))))</f>
        <v/>
      </c>
      <c r="T251" s="54" t="str">
        <f>IF(OR($B251="",$A251&gt;$B$9,T$233=""),"",IF(COUNTIFS(BD!$B$3:$B$5001,T$233,BD!$A$3:$A$5001,"&gt;="&amp;$C$7,BD!$A$3:$A$5001,"&lt;="&amp;$B251,BD!$R$3:$R$5001,"&lt;&gt;")=0,"",SUMIFS(BD!$R$3:$R$5001,BD!$B$3:$B$5001,T$233,BD!$A$3:$A$5001,_xlfn.MAXIFS(BD!$A$3:$A$5001,BD!$B$3:$B$5001,T$233,BD!$A$3:$A$5001,"&gt;="&amp;$C$7,BD!$A$3:$A$5001,"&lt;="&amp;$B251,BD!$R$3:$R$5001,"&lt;&gt;"))))</f>
        <v/>
      </c>
      <c r="U251" s="54" t="str">
        <f>IF(OR($B251="",$A251&gt;$B$9,U$233=""),"",IF(COUNTIFS(BD!$B$3:$B$5001,U$233,BD!$A$3:$A$5001,"&gt;="&amp;$C$7,BD!$A$3:$A$5001,"&lt;="&amp;$B251,BD!$R$3:$R$5001,"&lt;&gt;")=0,"",SUMIFS(BD!$R$3:$R$5001,BD!$B$3:$B$5001,U$233,BD!$A$3:$A$5001,_xlfn.MAXIFS(BD!$A$3:$A$5001,BD!$B$3:$B$5001,U$233,BD!$A$3:$A$5001,"&gt;="&amp;$C$7,BD!$A$3:$A$5001,"&lt;="&amp;$B251,BD!$R$3:$R$5001,"&lt;&gt;"))))</f>
        <v/>
      </c>
      <c r="V251" s="54" t="str">
        <f>IF(OR($B251="",$A251&gt;$B$9,V$233=""),"",IF(COUNTIFS(BD!$B$3:$B$5001,V$233,BD!$A$3:$A$5001,"&gt;="&amp;$C$7,BD!$A$3:$A$5001,"&lt;="&amp;$B251,BD!$R$3:$R$5001,"&lt;&gt;")=0,"",SUMIFS(BD!$R$3:$R$5001,BD!$B$3:$B$5001,V$233,BD!$A$3:$A$5001,_xlfn.MAXIFS(BD!$A$3:$A$5001,BD!$B$3:$B$5001,V$233,BD!$A$3:$A$5001,"&gt;="&amp;$C$7,BD!$A$3:$A$5001,"&lt;="&amp;$B251,BD!$R$3:$R$5001,"&lt;&gt;"))))</f>
        <v/>
      </c>
    </row>
    <row r="252">
      <c r="A252" s="48">
        <v>19</v>
      </c>
      <c r="B252" s="53">
        <f>$B$30</f>
        <v>46314</v>
      </c>
      <c r="C252" s="54" t="str">
        <f>IF(OR($B252="",$A252&gt;$B$9,C$233=""),"",IF(COUNTIFS(BD!$B$3:$B$5001,C$233,BD!$A$3:$A$5001,"&gt;="&amp;$C$7,BD!$A$3:$A$5001,"&lt;="&amp;$B252,BD!$R$3:$R$5001,"&lt;&gt;")=0,"",SUMIFS(BD!$R$3:$R$5001,BD!$B$3:$B$5001,C$233,BD!$A$3:$A$5001,_xlfn.MAXIFS(BD!$A$3:$A$5001,BD!$B$3:$B$5001,C$233,BD!$A$3:$A$5001,"&gt;="&amp;$C$7,BD!$A$3:$A$5001,"&lt;="&amp;$B252,BD!$R$3:$R$5001,"&lt;&gt;"))))</f>
        <v/>
      </c>
      <c r="D252" s="54" t="str">
        <f>IF(OR($B252="",$A252&gt;$B$9,D$233=""),"",IF(COUNTIFS(BD!$B$3:$B$5001,D$233,BD!$A$3:$A$5001,"&gt;="&amp;$C$7,BD!$A$3:$A$5001,"&lt;="&amp;$B252,BD!$R$3:$R$5001,"&lt;&gt;")=0,"",SUMIFS(BD!$R$3:$R$5001,BD!$B$3:$B$5001,D$233,BD!$A$3:$A$5001,_xlfn.MAXIFS(BD!$A$3:$A$5001,BD!$B$3:$B$5001,D$233,BD!$A$3:$A$5001,"&gt;="&amp;$C$7,BD!$A$3:$A$5001,"&lt;="&amp;$B252,BD!$R$3:$R$5001,"&lt;&gt;"))))</f>
        <v/>
      </c>
      <c r="E252" s="54" t="str">
        <f>IF(OR($B252="",$A252&gt;$B$9,E$233=""),"",IF(COUNTIFS(BD!$B$3:$B$5001,E$233,BD!$A$3:$A$5001,"&gt;="&amp;$C$7,BD!$A$3:$A$5001,"&lt;="&amp;$B252,BD!$R$3:$R$5001,"&lt;&gt;")=0,"",SUMIFS(BD!$R$3:$R$5001,BD!$B$3:$B$5001,E$233,BD!$A$3:$A$5001,_xlfn.MAXIFS(BD!$A$3:$A$5001,BD!$B$3:$B$5001,E$233,BD!$A$3:$A$5001,"&gt;="&amp;$C$7,BD!$A$3:$A$5001,"&lt;="&amp;$B252,BD!$R$3:$R$5001,"&lt;&gt;"))))</f>
        <v/>
      </c>
      <c r="F252" s="54" t="str">
        <f>IF(OR($B252="",$A252&gt;$B$9,F$233=""),"",IF(COUNTIFS(BD!$B$3:$B$5001,F$233,BD!$A$3:$A$5001,"&gt;="&amp;$C$7,BD!$A$3:$A$5001,"&lt;="&amp;$B252,BD!$R$3:$R$5001,"&lt;&gt;")=0,"",SUMIFS(BD!$R$3:$R$5001,BD!$B$3:$B$5001,F$233,BD!$A$3:$A$5001,_xlfn.MAXIFS(BD!$A$3:$A$5001,BD!$B$3:$B$5001,F$233,BD!$A$3:$A$5001,"&gt;="&amp;$C$7,BD!$A$3:$A$5001,"&lt;="&amp;$B252,BD!$R$3:$R$5001,"&lt;&gt;"))))</f>
        <v/>
      </c>
      <c r="G252" s="54" t="str">
        <f>IF(OR($B252="",$A252&gt;$B$9,G$233=""),"",IF(COUNTIFS(BD!$B$3:$B$5001,G$233,BD!$A$3:$A$5001,"&gt;="&amp;$C$7,BD!$A$3:$A$5001,"&lt;="&amp;$B252,BD!$R$3:$R$5001,"&lt;&gt;")=0,"",SUMIFS(BD!$R$3:$R$5001,BD!$B$3:$B$5001,G$233,BD!$A$3:$A$5001,_xlfn.MAXIFS(BD!$A$3:$A$5001,BD!$B$3:$B$5001,G$233,BD!$A$3:$A$5001,"&gt;="&amp;$C$7,BD!$A$3:$A$5001,"&lt;="&amp;$B252,BD!$R$3:$R$5001,"&lt;&gt;"))))</f>
        <v/>
      </c>
      <c r="H252" s="54" t="str">
        <f>IF(OR($B252="",$A252&gt;$B$9,H$233=""),"",IF(COUNTIFS(BD!$B$3:$B$5001,H$233,BD!$A$3:$A$5001,"&gt;="&amp;$C$7,BD!$A$3:$A$5001,"&lt;="&amp;$B252,BD!$R$3:$R$5001,"&lt;&gt;")=0,"",SUMIFS(BD!$R$3:$R$5001,BD!$B$3:$B$5001,H$233,BD!$A$3:$A$5001,_xlfn.MAXIFS(BD!$A$3:$A$5001,BD!$B$3:$B$5001,H$233,BD!$A$3:$A$5001,"&gt;="&amp;$C$7,BD!$A$3:$A$5001,"&lt;="&amp;$B252,BD!$R$3:$R$5001,"&lt;&gt;"))))</f>
        <v/>
      </c>
      <c r="I252" s="54" t="str">
        <f>IF(OR($B252="",$A252&gt;$B$9,I$233=""),"",IF(COUNTIFS(BD!$B$3:$B$5001,I$233,BD!$A$3:$A$5001,"&gt;="&amp;$C$7,BD!$A$3:$A$5001,"&lt;="&amp;$B252,BD!$R$3:$R$5001,"&lt;&gt;")=0,"",SUMIFS(BD!$R$3:$R$5001,BD!$B$3:$B$5001,I$233,BD!$A$3:$A$5001,_xlfn.MAXIFS(BD!$A$3:$A$5001,BD!$B$3:$B$5001,I$233,BD!$A$3:$A$5001,"&gt;="&amp;$C$7,BD!$A$3:$A$5001,"&lt;="&amp;$B252,BD!$R$3:$R$5001,"&lt;&gt;"))))</f>
        <v/>
      </c>
      <c r="J252" s="54" t="str">
        <f>IF(OR($B252="",$A252&gt;$B$9,J$233=""),"",IF(COUNTIFS(BD!$B$3:$B$5001,J$233,BD!$A$3:$A$5001,"&gt;="&amp;$C$7,BD!$A$3:$A$5001,"&lt;="&amp;$B252,BD!$R$3:$R$5001,"&lt;&gt;")=0,"",SUMIFS(BD!$R$3:$R$5001,BD!$B$3:$B$5001,J$233,BD!$A$3:$A$5001,_xlfn.MAXIFS(BD!$A$3:$A$5001,BD!$B$3:$B$5001,J$233,BD!$A$3:$A$5001,"&gt;="&amp;$C$7,BD!$A$3:$A$5001,"&lt;="&amp;$B252,BD!$R$3:$R$5001,"&lt;&gt;"))))</f>
        <v/>
      </c>
      <c r="K252" s="54" t="str">
        <f>IF(OR($B252="",$A252&gt;$B$9,K$233=""),"",IF(COUNTIFS(BD!$B$3:$B$5001,K$233,BD!$A$3:$A$5001,"&gt;="&amp;$C$7,BD!$A$3:$A$5001,"&lt;="&amp;$B252,BD!$R$3:$R$5001,"&lt;&gt;")=0,"",SUMIFS(BD!$R$3:$R$5001,BD!$B$3:$B$5001,K$233,BD!$A$3:$A$5001,_xlfn.MAXIFS(BD!$A$3:$A$5001,BD!$B$3:$B$5001,K$233,BD!$A$3:$A$5001,"&gt;="&amp;$C$7,BD!$A$3:$A$5001,"&lt;="&amp;$B252,BD!$R$3:$R$5001,"&lt;&gt;"))))</f>
        <v/>
      </c>
      <c r="L252" s="54" t="str">
        <f>IF(OR($B252="",$A252&gt;$B$9,L$233=""),"",IF(COUNTIFS(BD!$B$3:$B$5001,L$233,BD!$A$3:$A$5001,"&gt;="&amp;$C$7,BD!$A$3:$A$5001,"&lt;="&amp;$B252,BD!$R$3:$R$5001,"&lt;&gt;")=0,"",SUMIFS(BD!$R$3:$R$5001,BD!$B$3:$B$5001,L$233,BD!$A$3:$A$5001,_xlfn.MAXIFS(BD!$A$3:$A$5001,BD!$B$3:$B$5001,L$233,BD!$A$3:$A$5001,"&gt;="&amp;$C$7,BD!$A$3:$A$5001,"&lt;="&amp;$B252,BD!$R$3:$R$5001,"&lt;&gt;"))))</f>
        <v/>
      </c>
      <c r="M252" s="54" t="str">
        <f>IF(OR($B252="",$A252&gt;$B$9,M$233=""),"",IF(COUNTIFS(BD!$B$3:$B$5001,M$233,BD!$A$3:$A$5001,"&gt;="&amp;$C$7,BD!$A$3:$A$5001,"&lt;="&amp;$B252,BD!$R$3:$R$5001,"&lt;&gt;")=0,"",SUMIFS(BD!$R$3:$R$5001,BD!$B$3:$B$5001,M$233,BD!$A$3:$A$5001,_xlfn.MAXIFS(BD!$A$3:$A$5001,BD!$B$3:$B$5001,M$233,BD!$A$3:$A$5001,"&gt;="&amp;$C$7,BD!$A$3:$A$5001,"&lt;="&amp;$B252,BD!$R$3:$R$5001,"&lt;&gt;"))))</f>
        <v/>
      </c>
      <c r="N252" s="54" t="str">
        <f>IF(OR($B252="",$A252&gt;$B$9,N$233=""),"",IF(COUNTIFS(BD!$B$3:$B$5001,N$233,BD!$A$3:$A$5001,"&gt;="&amp;$C$7,BD!$A$3:$A$5001,"&lt;="&amp;$B252,BD!$R$3:$R$5001,"&lt;&gt;")=0,"",SUMIFS(BD!$R$3:$R$5001,BD!$B$3:$B$5001,N$233,BD!$A$3:$A$5001,_xlfn.MAXIFS(BD!$A$3:$A$5001,BD!$B$3:$B$5001,N$233,BD!$A$3:$A$5001,"&gt;="&amp;$C$7,BD!$A$3:$A$5001,"&lt;="&amp;$B252,BD!$R$3:$R$5001,"&lt;&gt;"))))</f>
        <v/>
      </c>
      <c r="O252" s="54" t="str">
        <f>IF(OR($B252="",$A252&gt;$B$9,O$233=""),"",IF(COUNTIFS(BD!$B$3:$B$5001,O$233,BD!$A$3:$A$5001,"&gt;="&amp;$C$7,BD!$A$3:$A$5001,"&lt;="&amp;$B252,BD!$R$3:$R$5001,"&lt;&gt;")=0,"",SUMIFS(BD!$R$3:$R$5001,BD!$B$3:$B$5001,O$233,BD!$A$3:$A$5001,_xlfn.MAXIFS(BD!$A$3:$A$5001,BD!$B$3:$B$5001,O$233,BD!$A$3:$A$5001,"&gt;="&amp;$C$7,BD!$A$3:$A$5001,"&lt;="&amp;$B252,BD!$R$3:$R$5001,"&lt;&gt;"))))</f>
        <v/>
      </c>
      <c r="P252" s="54" t="str">
        <f>IF(OR($B252="",$A252&gt;$B$9,P$233=""),"",IF(COUNTIFS(BD!$B$3:$B$5001,P$233,BD!$A$3:$A$5001,"&gt;="&amp;$C$7,BD!$A$3:$A$5001,"&lt;="&amp;$B252,BD!$R$3:$R$5001,"&lt;&gt;")=0,"",SUMIFS(BD!$R$3:$R$5001,BD!$B$3:$B$5001,P$233,BD!$A$3:$A$5001,_xlfn.MAXIFS(BD!$A$3:$A$5001,BD!$B$3:$B$5001,P$233,BD!$A$3:$A$5001,"&gt;="&amp;$C$7,BD!$A$3:$A$5001,"&lt;="&amp;$B252,BD!$R$3:$R$5001,"&lt;&gt;"))))</f>
        <v/>
      </c>
      <c r="Q252" s="54" t="str">
        <f>IF(OR($B252="",$A252&gt;$B$9,Q$233=""),"",IF(COUNTIFS(BD!$B$3:$B$5001,Q$233,BD!$A$3:$A$5001,"&gt;="&amp;$C$7,BD!$A$3:$A$5001,"&lt;="&amp;$B252,BD!$R$3:$R$5001,"&lt;&gt;")=0,"",SUMIFS(BD!$R$3:$R$5001,BD!$B$3:$B$5001,Q$233,BD!$A$3:$A$5001,_xlfn.MAXIFS(BD!$A$3:$A$5001,BD!$B$3:$B$5001,Q$233,BD!$A$3:$A$5001,"&gt;="&amp;$C$7,BD!$A$3:$A$5001,"&lt;="&amp;$B252,BD!$R$3:$R$5001,"&lt;&gt;"))))</f>
        <v/>
      </c>
      <c r="R252" s="54" t="str">
        <f>IF(OR($B252="",$A252&gt;$B$9,R$233=""),"",IF(COUNTIFS(BD!$B$3:$B$5001,R$233,BD!$A$3:$A$5001,"&gt;="&amp;$C$7,BD!$A$3:$A$5001,"&lt;="&amp;$B252,BD!$R$3:$R$5001,"&lt;&gt;")=0,"",SUMIFS(BD!$R$3:$R$5001,BD!$B$3:$B$5001,R$233,BD!$A$3:$A$5001,_xlfn.MAXIFS(BD!$A$3:$A$5001,BD!$B$3:$B$5001,R$233,BD!$A$3:$A$5001,"&gt;="&amp;$C$7,BD!$A$3:$A$5001,"&lt;="&amp;$B252,BD!$R$3:$R$5001,"&lt;&gt;"))))</f>
        <v/>
      </c>
      <c r="S252" s="54" t="str">
        <f>IF(OR($B252="",$A252&gt;$B$9,S$233=""),"",IF(COUNTIFS(BD!$B$3:$B$5001,S$233,BD!$A$3:$A$5001,"&gt;="&amp;$C$7,BD!$A$3:$A$5001,"&lt;="&amp;$B252,BD!$R$3:$R$5001,"&lt;&gt;")=0,"",SUMIFS(BD!$R$3:$R$5001,BD!$B$3:$B$5001,S$233,BD!$A$3:$A$5001,_xlfn.MAXIFS(BD!$A$3:$A$5001,BD!$B$3:$B$5001,S$233,BD!$A$3:$A$5001,"&gt;="&amp;$C$7,BD!$A$3:$A$5001,"&lt;="&amp;$B252,BD!$R$3:$R$5001,"&lt;&gt;"))))</f>
        <v/>
      </c>
      <c r="T252" s="54" t="str">
        <f>IF(OR($B252="",$A252&gt;$B$9,T$233=""),"",IF(COUNTIFS(BD!$B$3:$B$5001,T$233,BD!$A$3:$A$5001,"&gt;="&amp;$C$7,BD!$A$3:$A$5001,"&lt;="&amp;$B252,BD!$R$3:$R$5001,"&lt;&gt;")=0,"",SUMIFS(BD!$R$3:$R$5001,BD!$B$3:$B$5001,T$233,BD!$A$3:$A$5001,_xlfn.MAXIFS(BD!$A$3:$A$5001,BD!$B$3:$B$5001,T$233,BD!$A$3:$A$5001,"&gt;="&amp;$C$7,BD!$A$3:$A$5001,"&lt;="&amp;$B252,BD!$R$3:$R$5001,"&lt;&gt;"))))</f>
        <v/>
      </c>
      <c r="U252" s="54" t="str">
        <f>IF(OR($B252="",$A252&gt;$B$9,U$233=""),"",IF(COUNTIFS(BD!$B$3:$B$5001,U$233,BD!$A$3:$A$5001,"&gt;="&amp;$C$7,BD!$A$3:$A$5001,"&lt;="&amp;$B252,BD!$R$3:$R$5001,"&lt;&gt;")=0,"",SUMIFS(BD!$R$3:$R$5001,BD!$B$3:$B$5001,U$233,BD!$A$3:$A$5001,_xlfn.MAXIFS(BD!$A$3:$A$5001,BD!$B$3:$B$5001,U$233,BD!$A$3:$A$5001,"&gt;="&amp;$C$7,BD!$A$3:$A$5001,"&lt;="&amp;$B252,BD!$R$3:$R$5001,"&lt;&gt;"))))</f>
        <v/>
      </c>
      <c r="V252" s="54" t="str">
        <f>IF(OR($B252="",$A252&gt;$B$9,V$233=""),"",IF(COUNTIFS(BD!$B$3:$B$5001,V$233,BD!$A$3:$A$5001,"&gt;="&amp;$C$7,BD!$A$3:$A$5001,"&lt;="&amp;$B252,BD!$R$3:$R$5001,"&lt;&gt;")=0,"",SUMIFS(BD!$R$3:$R$5001,BD!$B$3:$B$5001,V$233,BD!$A$3:$A$5001,_xlfn.MAXIFS(BD!$A$3:$A$5001,BD!$B$3:$B$5001,V$233,BD!$A$3:$A$5001,"&gt;="&amp;$C$7,BD!$A$3:$A$5001,"&lt;="&amp;$B252,BD!$R$3:$R$5001,"&lt;&gt;"))))</f>
        <v/>
      </c>
    </row>
    <row r="253">
      <c r="A253" s="48">
        <v>20</v>
      </c>
      <c r="B253" s="53">
        <f>$B$31</f>
        <v>46315</v>
      </c>
      <c r="C253" s="54" t="str">
        <f>IF(OR($B253="",$A253&gt;$B$9,C$233=""),"",IF(COUNTIFS(BD!$B$3:$B$5001,C$233,BD!$A$3:$A$5001,"&gt;="&amp;$C$7,BD!$A$3:$A$5001,"&lt;="&amp;$B253,BD!$R$3:$R$5001,"&lt;&gt;")=0,"",SUMIFS(BD!$R$3:$R$5001,BD!$B$3:$B$5001,C$233,BD!$A$3:$A$5001,_xlfn.MAXIFS(BD!$A$3:$A$5001,BD!$B$3:$B$5001,C$233,BD!$A$3:$A$5001,"&gt;="&amp;$C$7,BD!$A$3:$A$5001,"&lt;="&amp;$B253,BD!$R$3:$R$5001,"&lt;&gt;"))))</f>
        <v/>
      </c>
      <c r="D253" s="54" t="str">
        <f>IF(OR($B253="",$A253&gt;$B$9,D$233=""),"",IF(COUNTIFS(BD!$B$3:$B$5001,D$233,BD!$A$3:$A$5001,"&gt;="&amp;$C$7,BD!$A$3:$A$5001,"&lt;="&amp;$B253,BD!$R$3:$R$5001,"&lt;&gt;")=0,"",SUMIFS(BD!$R$3:$R$5001,BD!$B$3:$B$5001,D$233,BD!$A$3:$A$5001,_xlfn.MAXIFS(BD!$A$3:$A$5001,BD!$B$3:$B$5001,D$233,BD!$A$3:$A$5001,"&gt;="&amp;$C$7,BD!$A$3:$A$5001,"&lt;="&amp;$B253,BD!$R$3:$R$5001,"&lt;&gt;"))))</f>
        <v/>
      </c>
      <c r="E253" s="54" t="str">
        <f>IF(OR($B253="",$A253&gt;$B$9,E$233=""),"",IF(COUNTIFS(BD!$B$3:$B$5001,E$233,BD!$A$3:$A$5001,"&gt;="&amp;$C$7,BD!$A$3:$A$5001,"&lt;="&amp;$B253,BD!$R$3:$R$5001,"&lt;&gt;")=0,"",SUMIFS(BD!$R$3:$R$5001,BD!$B$3:$B$5001,E$233,BD!$A$3:$A$5001,_xlfn.MAXIFS(BD!$A$3:$A$5001,BD!$B$3:$B$5001,E$233,BD!$A$3:$A$5001,"&gt;="&amp;$C$7,BD!$A$3:$A$5001,"&lt;="&amp;$B253,BD!$R$3:$R$5001,"&lt;&gt;"))))</f>
        <v/>
      </c>
      <c r="F253" s="54" t="str">
        <f>IF(OR($B253="",$A253&gt;$B$9,F$233=""),"",IF(COUNTIFS(BD!$B$3:$B$5001,F$233,BD!$A$3:$A$5001,"&gt;="&amp;$C$7,BD!$A$3:$A$5001,"&lt;="&amp;$B253,BD!$R$3:$R$5001,"&lt;&gt;")=0,"",SUMIFS(BD!$R$3:$R$5001,BD!$B$3:$B$5001,F$233,BD!$A$3:$A$5001,_xlfn.MAXIFS(BD!$A$3:$A$5001,BD!$B$3:$B$5001,F$233,BD!$A$3:$A$5001,"&gt;="&amp;$C$7,BD!$A$3:$A$5001,"&lt;="&amp;$B253,BD!$R$3:$R$5001,"&lt;&gt;"))))</f>
        <v/>
      </c>
      <c r="G253" s="54" t="str">
        <f>IF(OR($B253="",$A253&gt;$B$9,G$233=""),"",IF(COUNTIFS(BD!$B$3:$B$5001,G$233,BD!$A$3:$A$5001,"&gt;="&amp;$C$7,BD!$A$3:$A$5001,"&lt;="&amp;$B253,BD!$R$3:$R$5001,"&lt;&gt;")=0,"",SUMIFS(BD!$R$3:$R$5001,BD!$B$3:$B$5001,G$233,BD!$A$3:$A$5001,_xlfn.MAXIFS(BD!$A$3:$A$5001,BD!$B$3:$B$5001,G$233,BD!$A$3:$A$5001,"&gt;="&amp;$C$7,BD!$A$3:$A$5001,"&lt;="&amp;$B253,BD!$R$3:$R$5001,"&lt;&gt;"))))</f>
        <v/>
      </c>
      <c r="H253" s="54" t="str">
        <f>IF(OR($B253="",$A253&gt;$B$9,H$233=""),"",IF(COUNTIFS(BD!$B$3:$B$5001,H$233,BD!$A$3:$A$5001,"&gt;="&amp;$C$7,BD!$A$3:$A$5001,"&lt;="&amp;$B253,BD!$R$3:$R$5001,"&lt;&gt;")=0,"",SUMIFS(BD!$R$3:$R$5001,BD!$B$3:$B$5001,H$233,BD!$A$3:$A$5001,_xlfn.MAXIFS(BD!$A$3:$A$5001,BD!$B$3:$B$5001,H$233,BD!$A$3:$A$5001,"&gt;="&amp;$C$7,BD!$A$3:$A$5001,"&lt;="&amp;$B253,BD!$R$3:$R$5001,"&lt;&gt;"))))</f>
        <v/>
      </c>
      <c r="I253" s="54" t="str">
        <f>IF(OR($B253="",$A253&gt;$B$9,I$233=""),"",IF(COUNTIFS(BD!$B$3:$B$5001,I$233,BD!$A$3:$A$5001,"&gt;="&amp;$C$7,BD!$A$3:$A$5001,"&lt;="&amp;$B253,BD!$R$3:$R$5001,"&lt;&gt;")=0,"",SUMIFS(BD!$R$3:$R$5001,BD!$B$3:$B$5001,I$233,BD!$A$3:$A$5001,_xlfn.MAXIFS(BD!$A$3:$A$5001,BD!$B$3:$B$5001,I$233,BD!$A$3:$A$5001,"&gt;="&amp;$C$7,BD!$A$3:$A$5001,"&lt;="&amp;$B253,BD!$R$3:$R$5001,"&lt;&gt;"))))</f>
        <v/>
      </c>
      <c r="J253" s="54" t="str">
        <f>IF(OR($B253="",$A253&gt;$B$9,J$233=""),"",IF(COUNTIFS(BD!$B$3:$B$5001,J$233,BD!$A$3:$A$5001,"&gt;="&amp;$C$7,BD!$A$3:$A$5001,"&lt;="&amp;$B253,BD!$R$3:$R$5001,"&lt;&gt;")=0,"",SUMIFS(BD!$R$3:$R$5001,BD!$B$3:$B$5001,J$233,BD!$A$3:$A$5001,_xlfn.MAXIFS(BD!$A$3:$A$5001,BD!$B$3:$B$5001,J$233,BD!$A$3:$A$5001,"&gt;="&amp;$C$7,BD!$A$3:$A$5001,"&lt;="&amp;$B253,BD!$R$3:$R$5001,"&lt;&gt;"))))</f>
        <v/>
      </c>
      <c r="K253" s="54" t="str">
        <f>IF(OR($B253="",$A253&gt;$B$9,K$233=""),"",IF(COUNTIFS(BD!$B$3:$B$5001,K$233,BD!$A$3:$A$5001,"&gt;="&amp;$C$7,BD!$A$3:$A$5001,"&lt;="&amp;$B253,BD!$R$3:$R$5001,"&lt;&gt;")=0,"",SUMIFS(BD!$R$3:$R$5001,BD!$B$3:$B$5001,K$233,BD!$A$3:$A$5001,_xlfn.MAXIFS(BD!$A$3:$A$5001,BD!$B$3:$B$5001,K$233,BD!$A$3:$A$5001,"&gt;="&amp;$C$7,BD!$A$3:$A$5001,"&lt;="&amp;$B253,BD!$R$3:$R$5001,"&lt;&gt;"))))</f>
        <v/>
      </c>
      <c r="L253" s="54" t="str">
        <f>IF(OR($B253="",$A253&gt;$B$9,L$233=""),"",IF(COUNTIFS(BD!$B$3:$B$5001,L$233,BD!$A$3:$A$5001,"&gt;="&amp;$C$7,BD!$A$3:$A$5001,"&lt;="&amp;$B253,BD!$R$3:$R$5001,"&lt;&gt;")=0,"",SUMIFS(BD!$R$3:$R$5001,BD!$B$3:$B$5001,L$233,BD!$A$3:$A$5001,_xlfn.MAXIFS(BD!$A$3:$A$5001,BD!$B$3:$B$5001,L$233,BD!$A$3:$A$5001,"&gt;="&amp;$C$7,BD!$A$3:$A$5001,"&lt;="&amp;$B253,BD!$R$3:$R$5001,"&lt;&gt;"))))</f>
        <v/>
      </c>
      <c r="M253" s="54" t="str">
        <f>IF(OR($B253="",$A253&gt;$B$9,M$233=""),"",IF(COUNTIFS(BD!$B$3:$B$5001,M$233,BD!$A$3:$A$5001,"&gt;="&amp;$C$7,BD!$A$3:$A$5001,"&lt;="&amp;$B253,BD!$R$3:$R$5001,"&lt;&gt;")=0,"",SUMIFS(BD!$R$3:$R$5001,BD!$B$3:$B$5001,M$233,BD!$A$3:$A$5001,_xlfn.MAXIFS(BD!$A$3:$A$5001,BD!$B$3:$B$5001,M$233,BD!$A$3:$A$5001,"&gt;="&amp;$C$7,BD!$A$3:$A$5001,"&lt;="&amp;$B253,BD!$R$3:$R$5001,"&lt;&gt;"))))</f>
        <v/>
      </c>
      <c r="N253" s="54" t="str">
        <f>IF(OR($B253="",$A253&gt;$B$9,N$233=""),"",IF(COUNTIFS(BD!$B$3:$B$5001,N$233,BD!$A$3:$A$5001,"&gt;="&amp;$C$7,BD!$A$3:$A$5001,"&lt;="&amp;$B253,BD!$R$3:$R$5001,"&lt;&gt;")=0,"",SUMIFS(BD!$R$3:$R$5001,BD!$B$3:$B$5001,N$233,BD!$A$3:$A$5001,_xlfn.MAXIFS(BD!$A$3:$A$5001,BD!$B$3:$B$5001,N$233,BD!$A$3:$A$5001,"&gt;="&amp;$C$7,BD!$A$3:$A$5001,"&lt;="&amp;$B253,BD!$R$3:$R$5001,"&lt;&gt;"))))</f>
        <v/>
      </c>
      <c r="O253" s="54" t="str">
        <f>IF(OR($B253="",$A253&gt;$B$9,O$233=""),"",IF(COUNTIFS(BD!$B$3:$B$5001,O$233,BD!$A$3:$A$5001,"&gt;="&amp;$C$7,BD!$A$3:$A$5001,"&lt;="&amp;$B253,BD!$R$3:$R$5001,"&lt;&gt;")=0,"",SUMIFS(BD!$R$3:$R$5001,BD!$B$3:$B$5001,O$233,BD!$A$3:$A$5001,_xlfn.MAXIFS(BD!$A$3:$A$5001,BD!$B$3:$B$5001,O$233,BD!$A$3:$A$5001,"&gt;="&amp;$C$7,BD!$A$3:$A$5001,"&lt;="&amp;$B253,BD!$R$3:$R$5001,"&lt;&gt;"))))</f>
        <v/>
      </c>
      <c r="P253" s="54" t="str">
        <f>IF(OR($B253="",$A253&gt;$B$9,P$233=""),"",IF(COUNTIFS(BD!$B$3:$B$5001,P$233,BD!$A$3:$A$5001,"&gt;="&amp;$C$7,BD!$A$3:$A$5001,"&lt;="&amp;$B253,BD!$R$3:$R$5001,"&lt;&gt;")=0,"",SUMIFS(BD!$R$3:$R$5001,BD!$B$3:$B$5001,P$233,BD!$A$3:$A$5001,_xlfn.MAXIFS(BD!$A$3:$A$5001,BD!$B$3:$B$5001,P$233,BD!$A$3:$A$5001,"&gt;="&amp;$C$7,BD!$A$3:$A$5001,"&lt;="&amp;$B253,BD!$R$3:$R$5001,"&lt;&gt;"))))</f>
        <v/>
      </c>
      <c r="Q253" s="54" t="str">
        <f>IF(OR($B253="",$A253&gt;$B$9,Q$233=""),"",IF(COUNTIFS(BD!$B$3:$B$5001,Q$233,BD!$A$3:$A$5001,"&gt;="&amp;$C$7,BD!$A$3:$A$5001,"&lt;="&amp;$B253,BD!$R$3:$R$5001,"&lt;&gt;")=0,"",SUMIFS(BD!$R$3:$R$5001,BD!$B$3:$B$5001,Q$233,BD!$A$3:$A$5001,_xlfn.MAXIFS(BD!$A$3:$A$5001,BD!$B$3:$B$5001,Q$233,BD!$A$3:$A$5001,"&gt;="&amp;$C$7,BD!$A$3:$A$5001,"&lt;="&amp;$B253,BD!$R$3:$R$5001,"&lt;&gt;"))))</f>
        <v/>
      </c>
      <c r="R253" s="54" t="str">
        <f>IF(OR($B253="",$A253&gt;$B$9,R$233=""),"",IF(COUNTIFS(BD!$B$3:$B$5001,R$233,BD!$A$3:$A$5001,"&gt;="&amp;$C$7,BD!$A$3:$A$5001,"&lt;="&amp;$B253,BD!$R$3:$R$5001,"&lt;&gt;")=0,"",SUMIFS(BD!$R$3:$R$5001,BD!$B$3:$B$5001,R$233,BD!$A$3:$A$5001,_xlfn.MAXIFS(BD!$A$3:$A$5001,BD!$B$3:$B$5001,R$233,BD!$A$3:$A$5001,"&gt;="&amp;$C$7,BD!$A$3:$A$5001,"&lt;="&amp;$B253,BD!$R$3:$R$5001,"&lt;&gt;"))))</f>
        <v/>
      </c>
      <c r="S253" s="54" t="str">
        <f>IF(OR($B253="",$A253&gt;$B$9,S$233=""),"",IF(COUNTIFS(BD!$B$3:$B$5001,S$233,BD!$A$3:$A$5001,"&gt;="&amp;$C$7,BD!$A$3:$A$5001,"&lt;="&amp;$B253,BD!$R$3:$R$5001,"&lt;&gt;")=0,"",SUMIFS(BD!$R$3:$R$5001,BD!$B$3:$B$5001,S$233,BD!$A$3:$A$5001,_xlfn.MAXIFS(BD!$A$3:$A$5001,BD!$B$3:$B$5001,S$233,BD!$A$3:$A$5001,"&gt;="&amp;$C$7,BD!$A$3:$A$5001,"&lt;="&amp;$B253,BD!$R$3:$R$5001,"&lt;&gt;"))))</f>
        <v/>
      </c>
      <c r="T253" s="54" t="str">
        <f>IF(OR($B253="",$A253&gt;$B$9,T$233=""),"",IF(COUNTIFS(BD!$B$3:$B$5001,T$233,BD!$A$3:$A$5001,"&gt;="&amp;$C$7,BD!$A$3:$A$5001,"&lt;="&amp;$B253,BD!$R$3:$R$5001,"&lt;&gt;")=0,"",SUMIFS(BD!$R$3:$R$5001,BD!$B$3:$B$5001,T$233,BD!$A$3:$A$5001,_xlfn.MAXIFS(BD!$A$3:$A$5001,BD!$B$3:$B$5001,T$233,BD!$A$3:$A$5001,"&gt;="&amp;$C$7,BD!$A$3:$A$5001,"&lt;="&amp;$B253,BD!$R$3:$R$5001,"&lt;&gt;"))))</f>
        <v/>
      </c>
      <c r="U253" s="54" t="str">
        <f>IF(OR($B253="",$A253&gt;$B$9,U$233=""),"",IF(COUNTIFS(BD!$B$3:$B$5001,U$233,BD!$A$3:$A$5001,"&gt;="&amp;$C$7,BD!$A$3:$A$5001,"&lt;="&amp;$B253,BD!$R$3:$R$5001,"&lt;&gt;")=0,"",SUMIFS(BD!$R$3:$R$5001,BD!$B$3:$B$5001,U$233,BD!$A$3:$A$5001,_xlfn.MAXIFS(BD!$A$3:$A$5001,BD!$B$3:$B$5001,U$233,BD!$A$3:$A$5001,"&gt;="&amp;$C$7,BD!$A$3:$A$5001,"&lt;="&amp;$B253,BD!$R$3:$R$5001,"&lt;&gt;"))))</f>
        <v/>
      </c>
      <c r="V253" s="54" t="str">
        <f>IF(OR($B253="",$A253&gt;$B$9,V$233=""),"",IF(COUNTIFS(BD!$B$3:$B$5001,V$233,BD!$A$3:$A$5001,"&gt;="&amp;$C$7,BD!$A$3:$A$5001,"&lt;="&amp;$B253,BD!$R$3:$R$5001,"&lt;&gt;")=0,"",SUMIFS(BD!$R$3:$R$5001,BD!$B$3:$B$5001,V$233,BD!$A$3:$A$5001,_xlfn.MAXIFS(BD!$A$3:$A$5001,BD!$B$3:$B$5001,V$233,BD!$A$3:$A$5001,"&gt;="&amp;$C$7,BD!$A$3:$A$5001,"&lt;="&amp;$B253,BD!$R$3:$R$5001,"&lt;&gt;"))))</f>
        <v/>
      </c>
    </row>
    <row r="254">
      <c r="A254" s="48">
        <v>21</v>
      </c>
      <c r="B254" s="53">
        <f>$B$32</f>
        <v>46316</v>
      </c>
      <c r="C254" s="54" t="str">
        <f>IF(OR($B254="",$A254&gt;$B$9,C$233=""),"",IF(COUNTIFS(BD!$B$3:$B$5001,C$233,BD!$A$3:$A$5001,"&gt;="&amp;$C$7,BD!$A$3:$A$5001,"&lt;="&amp;$B254,BD!$R$3:$R$5001,"&lt;&gt;")=0,"",SUMIFS(BD!$R$3:$R$5001,BD!$B$3:$B$5001,C$233,BD!$A$3:$A$5001,_xlfn.MAXIFS(BD!$A$3:$A$5001,BD!$B$3:$B$5001,C$233,BD!$A$3:$A$5001,"&gt;="&amp;$C$7,BD!$A$3:$A$5001,"&lt;="&amp;$B254,BD!$R$3:$R$5001,"&lt;&gt;"))))</f>
        <v/>
      </c>
      <c r="D254" s="54" t="str">
        <f>IF(OR($B254="",$A254&gt;$B$9,D$233=""),"",IF(COUNTIFS(BD!$B$3:$B$5001,D$233,BD!$A$3:$A$5001,"&gt;="&amp;$C$7,BD!$A$3:$A$5001,"&lt;="&amp;$B254,BD!$R$3:$R$5001,"&lt;&gt;")=0,"",SUMIFS(BD!$R$3:$R$5001,BD!$B$3:$B$5001,D$233,BD!$A$3:$A$5001,_xlfn.MAXIFS(BD!$A$3:$A$5001,BD!$B$3:$B$5001,D$233,BD!$A$3:$A$5001,"&gt;="&amp;$C$7,BD!$A$3:$A$5001,"&lt;="&amp;$B254,BD!$R$3:$R$5001,"&lt;&gt;"))))</f>
        <v/>
      </c>
      <c r="E254" s="54" t="str">
        <f>IF(OR($B254="",$A254&gt;$B$9,E$233=""),"",IF(COUNTIFS(BD!$B$3:$B$5001,E$233,BD!$A$3:$A$5001,"&gt;="&amp;$C$7,BD!$A$3:$A$5001,"&lt;="&amp;$B254,BD!$R$3:$R$5001,"&lt;&gt;")=0,"",SUMIFS(BD!$R$3:$R$5001,BD!$B$3:$B$5001,E$233,BD!$A$3:$A$5001,_xlfn.MAXIFS(BD!$A$3:$A$5001,BD!$B$3:$B$5001,E$233,BD!$A$3:$A$5001,"&gt;="&amp;$C$7,BD!$A$3:$A$5001,"&lt;="&amp;$B254,BD!$R$3:$R$5001,"&lt;&gt;"))))</f>
        <v/>
      </c>
      <c r="F254" s="54" t="str">
        <f>IF(OR($B254="",$A254&gt;$B$9,F$233=""),"",IF(COUNTIFS(BD!$B$3:$B$5001,F$233,BD!$A$3:$A$5001,"&gt;="&amp;$C$7,BD!$A$3:$A$5001,"&lt;="&amp;$B254,BD!$R$3:$R$5001,"&lt;&gt;")=0,"",SUMIFS(BD!$R$3:$R$5001,BD!$B$3:$B$5001,F$233,BD!$A$3:$A$5001,_xlfn.MAXIFS(BD!$A$3:$A$5001,BD!$B$3:$B$5001,F$233,BD!$A$3:$A$5001,"&gt;="&amp;$C$7,BD!$A$3:$A$5001,"&lt;="&amp;$B254,BD!$R$3:$R$5001,"&lt;&gt;"))))</f>
        <v/>
      </c>
      <c r="G254" s="54" t="str">
        <f>IF(OR($B254="",$A254&gt;$B$9,G$233=""),"",IF(COUNTIFS(BD!$B$3:$B$5001,G$233,BD!$A$3:$A$5001,"&gt;="&amp;$C$7,BD!$A$3:$A$5001,"&lt;="&amp;$B254,BD!$R$3:$R$5001,"&lt;&gt;")=0,"",SUMIFS(BD!$R$3:$R$5001,BD!$B$3:$B$5001,G$233,BD!$A$3:$A$5001,_xlfn.MAXIFS(BD!$A$3:$A$5001,BD!$B$3:$B$5001,G$233,BD!$A$3:$A$5001,"&gt;="&amp;$C$7,BD!$A$3:$A$5001,"&lt;="&amp;$B254,BD!$R$3:$R$5001,"&lt;&gt;"))))</f>
        <v/>
      </c>
      <c r="H254" s="54" t="str">
        <f>IF(OR($B254="",$A254&gt;$B$9,H$233=""),"",IF(COUNTIFS(BD!$B$3:$B$5001,H$233,BD!$A$3:$A$5001,"&gt;="&amp;$C$7,BD!$A$3:$A$5001,"&lt;="&amp;$B254,BD!$R$3:$R$5001,"&lt;&gt;")=0,"",SUMIFS(BD!$R$3:$R$5001,BD!$B$3:$B$5001,H$233,BD!$A$3:$A$5001,_xlfn.MAXIFS(BD!$A$3:$A$5001,BD!$B$3:$B$5001,H$233,BD!$A$3:$A$5001,"&gt;="&amp;$C$7,BD!$A$3:$A$5001,"&lt;="&amp;$B254,BD!$R$3:$R$5001,"&lt;&gt;"))))</f>
        <v/>
      </c>
      <c r="I254" s="54" t="str">
        <f>IF(OR($B254="",$A254&gt;$B$9,I$233=""),"",IF(COUNTIFS(BD!$B$3:$B$5001,I$233,BD!$A$3:$A$5001,"&gt;="&amp;$C$7,BD!$A$3:$A$5001,"&lt;="&amp;$B254,BD!$R$3:$R$5001,"&lt;&gt;")=0,"",SUMIFS(BD!$R$3:$R$5001,BD!$B$3:$B$5001,I$233,BD!$A$3:$A$5001,_xlfn.MAXIFS(BD!$A$3:$A$5001,BD!$B$3:$B$5001,I$233,BD!$A$3:$A$5001,"&gt;="&amp;$C$7,BD!$A$3:$A$5001,"&lt;="&amp;$B254,BD!$R$3:$R$5001,"&lt;&gt;"))))</f>
        <v/>
      </c>
      <c r="J254" s="54" t="str">
        <f>IF(OR($B254="",$A254&gt;$B$9,J$233=""),"",IF(COUNTIFS(BD!$B$3:$B$5001,J$233,BD!$A$3:$A$5001,"&gt;="&amp;$C$7,BD!$A$3:$A$5001,"&lt;="&amp;$B254,BD!$R$3:$R$5001,"&lt;&gt;")=0,"",SUMIFS(BD!$R$3:$R$5001,BD!$B$3:$B$5001,J$233,BD!$A$3:$A$5001,_xlfn.MAXIFS(BD!$A$3:$A$5001,BD!$B$3:$B$5001,J$233,BD!$A$3:$A$5001,"&gt;="&amp;$C$7,BD!$A$3:$A$5001,"&lt;="&amp;$B254,BD!$R$3:$R$5001,"&lt;&gt;"))))</f>
        <v/>
      </c>
      <c r="K254" s="54" t="str">
        <f>IF(OR($B254="",$A254&gt;$B$9,K$233=""),"",IF(COUNTIFS(BD!$B$3:$B$5001,K$233,BD!$A$3:$A$5001,"&gt;="&amp;$C$7,BD!$A$3:$A$5001,"&lt;="&amp;$B254,BD!$R$3:$R$5001,"&lt;&gt;")=0,"",SUMIFS(BD!$R$3:$R$5001,BD!$B$3:$B$5001,K$233,BD!$A$3:$A$5001,_xlfn.MAXIFS(BD!$A$3:$A$5001,BD!$B$3:$B$5001,K$233,BD!$A$3:$A$5001,"&gt;="&amp;$C$7,BD!$A$3:$A$5001,"&lt;="&amp;$B254,BD!$R$3:$R$5001,"&lt;&gt;"))))</f>
        <v/>
      </c>
      <c r="L254" s="54" t="str">
        <f>IF(OR($B254="",$A254&gt;$B$9,L$233=""),"",IF(COUNTIFS(BD!$B$3:$B$5001,L$233,BD!$A$3:$A$5001,"&gt;="&amp;$C$7,BD!$A$3:$A$5001,"&lt;="&amp;$B254,BD!$R$3:$R$5001,"&lt;&gt;")=0,"",SUMIFS(BD!$R$3:$R$5001,BD!$B$3:$B$5001,L$233,BD!$A$3:$A$5001,_xlfn.MAXIFS(BD!$A$3:$A$5001,BD!$B$3:$B$5001,L$233,BD!$A$3:$A$5001,"&gt;="&amp;$C$7,BD!$A$3:$A$5001,"&lt;="&amp;$B254,BD!$R$3:$R$5001,"&lt;&gt;"))))</f>
        <v/>
      </c>
      <c r="M254" s="54" t="str">
        <f>IF(OR($B254="",$A254&gt;$B$9,M$233=""),"",IF(COUNTIFS(BD!$B$3:$B$5001,M$233,BD!$A$3:$A$5001,"&gt;="&amp;$C$7,BD!$A$3:$A$5001,"&lt;="&amp;$B254,BD!$R$3:$R$5001,"&lt;&gt;")=0,"",SUMIFS(BD!$R$3:$R$5001,BD!$B$3:$B$5001,M$233,BD!$A$3:$A$5001,_xlfn.MAXIFS(BD!$A$3:$A$5001,BD!$B$3:$B$5001,M$233,BD!$A$3:$A$5001,"&gt;="&amp;$C$7,BD!$A$3:$A$5001,"&lt;="&amp;$B254,BD!$R$3:$R$5001,"&lt;&gt;"))))</f>
        <v/>
      </c>
      <c r="N254" s="54" t="str">
        <f>IF(OR($B254="",$A254&gt;$B$9,N$233=""),"",IF(COUNTIFS(BD!$B$3:$B$5001,N$233,BD!$A$3:$A$5001,"&gt;="&amp;$C$7,BD!$A$3:$A$5001,"&lt;="&amp;$B254,BD!$R$3:$R$5001,"&lt;&gt;")=0,"",SUMIFS(BD!$R$3:$R$5001,BD!$B$3:$B$5001,N$233,BD!$A$3:$A$5001,_xlfn.MAXIFS(BD!$A$3:$A$5001,BD!$B$3:$B$5001,N$233,BD!$A$3:$A$5001,"&gt;="&amp;$C$7,BD!$A$3:$A$5001,"&lt;="&amp;$B254,BD!$R$3:$R$5001,"&lt;&gt;"))))</f>
        <v/>
      </c>
      <c r="O254" s="54" t="str">
        <f>IF(OR($B254="",$A254&gt;$B$9,O$233=""),"",IF(COUNTIFS(BD!$B$3:$B$5001,O$233,BD!$A$3:$A$5001,"&gt;="&amp;$C$7,BD!$A$3:$A$5001,"&lt;="&amp;$B254,BD!$R$3:$R$5001,"&lt;&gt;")=0,"",SUMIFS(BD!$R$3:$R$5001,BD!$B$3:$B$5001,O$233,BD!$A$3:$A$5001,_xlfn.MAXIFS(BD!$A$3:$A$5001,BD!$B$3:$B$5001,O$233,BD!$A$3:$A$5001,"&gt;="&amp;$C$7,BD!$A$3:$A$5001,"&lt;="&amp;$B254,BD!$R$3:$R$5001,"&lt;&gt;"))))</f>
        <v/>
      </c>
      <c r="P254" s="54" t="str">
        <f>IF(OR($B254="",$A254&gt;$B$9,P$233=""),"",IF(COUNTIFS(BD!$B$3:$B$5001,P$233,BD!$A$3:$A$5001,"&gt;="&amp;$C$7,BD!$A$3:$A$5001,"&lt;="&amp;$B254,BD!$R$3:$R$5001,"&lt;&gt;")=0,"",SUMIFS(BD!$R$3:$R$5001,BD!$B$3:$B$5001,P$233,BD!$A$3:$A$5001,_xlfn.MAXIFS(BD!$A$3:$A$5001,BD!$B$3:$B$5001,P$233,BD!$A$3:$A$5001,"&gt;="&amp;$C$7,BD!$A$3:$A$5001,"&lt;="&amp;$B254,BD!$R$3:$R$5001,"&lt;&gt;"))))</f>
        <v/>
      </c>
      <c r="Q254" s="54" t="str">
        <f>IF(OR($B254="",$A254&gt;$B$9,Q$233=""),"",IF(COUNTIFS(BD!$B$3:$B$5001,Q$233,BD!$A$3:$A$5001,"&gt;="&amp;$C$7,BD!$A$3:$A$5001,"&lt;="&amp;$B254,BD!$R$3:$R$5001,"&lt;&gt;")=0,"",SUMIFS(BD!$R$3:$R$5001,BD!$B$3:$B$5001,Q$233,BD!$A$3:$A$5001,_xlfn.MAXIFS(BD!$A$3:$A$5001,BD!$B$3:$B$5001,Q$233,BD!$A$3:$A$5001,"&gt;="&amp;$C$7,BD!$A$3:$A$5001,"&lt;="&amp;$B254,BD!$R$3:$R$5001,"&lt;&gt;"))))</f>
        <v/>
      </c>
      <c r="R254" s="54" t="str">
        <f>IF(OR($B254="",$A254&gt;$B$9,R$233=""),"",IF(COUNTIFS(BD!$B$3:$B$5001,R$233,BD!$A$3:$A$5001,"&gt;="&amp;$C$7,BD!$A$3:$A$5001,"&lt;="&amp;$B254,BD!$R$3:$R$5001,"&lt;&gt;")=0,"",SUMIFS(BD!$R$3:$R$5001,BD!$B$3:$B$5001,R$233,BD!$A$3:$A$5001,_xlfn.MAXIFS(BD!$A$3:$A$5001,BD!$B$3:$B$5001,R$233,BD!$A$3:$A$5001,"&gt;="&amp;$C$7,BD!$A$3:$A$5001,"&lt;="&amp;$B254,BD!$R$3:$R$5001,"&lt;&gt;"))))</f>
        <v/>
      </c>
      <c r="S254" s="54" t="str">
        <f>IF(OR($B254="",$A254&gt;$B$9,S$233=""),"",IF(COUNTIFS(BD!$B$3:$B$5001,S$233,BD!$A$3:$A$5001,"&gt;="&amp;$C$7,BD!$A$3:$A$5001,"&lt;="&amp;$B254,BD!$R$3:$R$5001,"&lt;&gt;")=0,"",SUMIFS(BD!$R$3:$R$5001,BD!$B$3:$B$5001,S$233,BD!$A$3:$A$5001,_xlfn.MAXIFS(BD!$A$3:$A$5001,BD!$B$3:$B$5001,S$233,BD!$A$3:$A$5001,"&gt;="&amp;$C$7,BD!$A$3:$A$5001,"&lt;="&amp;$B254,BD!$R$3:$R$5001,"&lt;&gt;"))))</f>
        <v/>
      </c>
      <c r="T254" s="54" t="str">
        <f>IF(OR($B254="",$A254&gt;$B$9,T$233=""),"",IF(COUNTIFS(BD!$B$3:$B$5001,T$233,BD!$A$3:$A$5001,"&gt;="&amp;$C$7,BD!$A$3:$A$5001,"&lt;="&amp;$B254,BD!$R$3:$R$5001,"&lt;&gt;")=0,"",SUMIFS(BD!$R$3:$R$5001,BD!$B$3:$B$5001,T$233,BD!$A$3:$A$5001,_xlfn.MAXIFS(BD!$A$3:$A$5001,BD!$B$3:$B$5001,T$233,BD!$A$3:$A$5001,"&gt;="&amp;$C$7,BD!$A$3:$A$5001,"&lt;="&amp;$B254,BD!$R$3:$R$5001,"&lt;&gt;"))))</f>
        <v/>
      </c>
      <c r="U254" s="54" t="str">
        <f>IF(OR($B254="",$A254&gt;$B$9,U$233=""),"",IF(COUNTIFS(BD!$B$3:$B$5001,U$233,BD!$A$3:$A$5001,"&gt;="&amp;$C$7,BD!$A$3:$A$5001,"&lt;="&amp;$B254,BD!$R$3:$R$5001,"&lt;&gt;")=0,"",SUMIFS(BD!$R$3:$R$5001,BD!$B$3:$B$5001,U$233,BD!$A$3:$A$5001,_xlfn.MAXIFS(BD!$A$3:$A$5001,BD!$B$3:$B$5001,U$233,BD!$A$3:$A$5001,"&gt;="&amp;$C$7,BD!$A$3:$A$5001,"&lt;="&amp;$B254,BD!$R$3:$R$5001,"&lt;&gt;"))))</f>
        <v/>
      </c>
      <c r="V254" s="54" t="str">
        <f>IF(OR($B254="",$A254&gt;$B$9,V$233=""),"",IF(COUNTIFS(BD!$B$3:$B$5001,V$233,BD!$A$3:$A$5001,"&gt;="&amp;$C$7,BD!$A$3:$A$5001,"&lt;="&amp;$B254,BD!$R$3:$R$5001,"&lt;&gt;")=0,"",SUMIFS(BD!$R$3:$R$5001,BD!$B$3:$B$5001,V$233,BD!$A$3:$A$5001,_xlfn.MAXIFS(BD!$A$3:$A$5001,BD!$B$3:$B$5001,V$233,BD!$A$3:$A$5001,"&gt;="&amp;$C$7,BD!$A$3:$A$5001,"&lt;="&amp;$B254,BD!$R$3:$R$5001,"&lt;&gt;"))))</f>
        <v/>
      </c>
    </row>
    <row r="255">
      <c r="A255" s="48">
        <v>22</v>
      </c>
      <c r="B255" s="53">
        <f>$B$33</f>
        <v>46317</v>
      </c>
      <c r="C255" s="54" t="str">
        <f>IF(OR($B255="",$A255&gt;$B$9,C$233=""),"",IF(COUNTIFS(BD!$B$3:$B$5001,C$233,BD!$A$3:$A$5001,"&gt;="&amp;$C$7,BD!$A$3:$A$5001,"&lt;="&amp;$B255,BD!$R$3:$R$5001,"&lt;&gt;")=0,"",SUMIFS(BD!$R$3:$R$5001,BD!$B$3:$B$5001,C$233,BD!$A$3:$A$5001,_xlfn.MAXIFS(BD!$A$3:$A$5001,BD!$B$3:$B$5001,C$233,BD!$A$3:$A$5001,"&gt;="&amp;$C$7,BD!$A$3:$A$5001,"&lt;="&amp;$B255,BD!$R$3:$R$5001,"&lt;&gt;"))))</f>
        <v/>
      </c>
      <c r="D255" s="54" t="str">
        <f>IF(OR($B255="",$A255&gt;$B$9,D$233=""),"",IF(COUNTIFS(BD!$B$3:$B$5001,D$233,BD!$A$3:$A$5001,"&gt;="&amp;$C$7,BD!$A$3:$A$5001,"&lt;="&amp;$B255,BD!$R$3:$R$5001,"&lt;&gt;")=0,"",SUMIFS(BD!$R$3:$R$5001,BD!$B$3:$B$5001,D$233,BD!$A$3:$A$5001,_xlfn.MAXIFS(BD!$A$3:$A$5001,BD!$B$3:$B$5001,D$233,BD!$A$3:$A$5001,"&gt;="&amp;$C$7,BD!$A$3:$A$5001,"&lt;="&amp;$B255,BD!$R$3:$R$5001,"&lt;&gt;"))))</f>
        <v/>
      </c>
      <c r="E255" s="54" t="str">
        <f>IF(OR($B255="",$A255&gt;$B$9,E$233=""),"",IF(COUNTIFS(BD!$B$3:$B$5001,E$233,BD!$A$3:$A$5001,"&gt;="&amp;$C$7,BD!$A$3:$A$5001,"&lt;="&amp;$B255,BD!$R$3:$R$5001,"&lt;&gt;")=0,"",SUMIFS(BD!$R$3:$R$5001,BD!$B$3:$B$5001,E$233,BD!$A$3:$A$5001,_xlfn.MAXIFS(BD!$A$3:$A$5001,BD!$B$3:$B$5001,E$233,BD!$A$3:$A$5001,"&gt;="&amp;$C$7,BD!$A$3:$A$5001,"&lt;="&amp;$B255,BD!$R$3:$R$5001,"&lt;&gt;"))))</f>
        <v/>
      </c>
      <c r="F255" s="54" t="str">
        <f>IF(OR($B255="",$A255&gt;$B$9,F$233=""),"",IF(COUNTIFS(BD!$B$3:$B$5001,F$233,BD!$A$3:$A$5001,"&gt;="&amp;$C$7,BD!$A$3:$A$5001,"&lt;="&amp;$B255,BD!$R$3:$R$5001,"&lt;&gt;")=0,"",SUMIFS(BD!$R$3:$R$5001,BD!$B$3:$B$5001,F$233,BD!$A$3:$A$5001,_xlfn.MAXIFS(BD!$A$3:$A$5001,BD!$B$3:$B$5001,F$233,BD!$A$3:$A$5001,"&gt;="&amp;$C$7,BD!$A$3:$A$5001,"&lt;="&amp;$B255,BD!$R$3:$R$5001,"&lt;&gt;"))))</f>
        <v/>
      </c>
      <c r="G255" s="54" t="str">
        <f>IF(OR($B255="",$A255&gt;$B$9,G$233=""),"",IF(COUNTIFS(BD!$B$3:$B$5001,G$233,BD!$A$3:$A$5001,"&gt;="&amp;$C$7,BD!$A$3:$A$5001,"&lt;="&amp;$B255,BD!$R$3:$R$5001,"&lt;&gt;")=0,"",SUMIFS(BD!$R$3:$R$5001,BD!$B$3:$B$5001,G$233,BD!$A$3:$A$5001,_xlfn.MAXIFS(BD!$A$3:$A$5001,BD!$B$3:$B$5001,G$233,BD!$A$3:$A$5001,"&gt;="&amp;$C$7,BD!$A$3:$A$5001,"&lt;="&amp;$B255,BD!$R$3:$R$5001,"&lt;&gt;"))))</f>
        <v/>
      </c>
      <c r="H255" s="54" t="str">
        <f>IF(OR($B255="",$A255&gt;$B$9,H$233=""),"",IF(COUNTIFS(BD!$B$3:$B$5001,H$233,BD!$A$3:$A$5001,"&gt;="&amp;$C$7,BD!$A$3:$A$5001,"&lt;="&amp;$B255,BD!$R$3:$R$5001,"&lt;&gt;")=0,"",SUMIFS(BD!$R$3:$R$5001,BD!$B$3:$B$5001,H$233,BD!$A$3:$A$5001,_xlfn.MAXIFS(BD!$A$3:$A$5001,BD!$B$3:$B$5001,H$233,BD!$A$3:$A$5001,"&gt;="&amp;$C$7,BD!$A$3:$A$5001,"&lt;="&amp;$B255,BD!$R$3:$R$5001,"&lt;&gt;"))))</f>
        <v/>
      </c>
      <c r="I255" s="54" t="str">
        <f>IF(OR($B255="",$A255&gt;$B$9,I$233=""),"",IF(COUNTIFS(BD!$B$3:$B$5001,I$233,BD!$A$3:$A$5001,"&gt;="&amp;$C$7,BD!$A$3:$A$5001,"&lt;="&amp;$B255,BD!$R$3:$R$5001,"&lt;&gt;")=0,"",SUMIFS(BD!$R$3:$R$5001,BD!$B$3:$B$5001,I$233,BD!$A$3:$A$5001,_xlfn.MAXIFS(BD!$A$3:$A$5001,BD!$B$3:$B$5001,I$233,BD!$A$3:$A$5001,"&gt;="&amp;$C$7,BD!$A$3:$A$5001,"&lt;="&amp;$B255,BD!$R$3:$R$5001,"&lt;&gt;"))))</f>
        <v/>
      </c>
      <c r="J255" s="54" t="str">
        <f>IF(OR($B255="",$A255&gt;$B$9,J$233=""),"",IF(COUNTIFS(BD!$B$3:$B$5001,J$233,BD!$A$3:$A$5001,"&gt;="&amp;$C$7,BD!$A$3:$A$5001,"&lt;="&amp;$B255,BD!$R$3:$R$5001,"&lt;&gt;")=0,"",SUMIFS(BD!$R$3:$R$5001,BD!$B$3:$B$5001,J$233,BD!$A$3:$A$5001,_xlfn.MAXIFS(BD!$A$3:$A$5001,BD!$B$3:$B$5001,J$233,BD!$A$3:$A$5001,"&gt;="&amp;$C$7,BD!$A$3:$A$5001,"&lt;="&amp;$B255,BD!$R$3:$R$5001,"&lt;&gt;"))))</f>
        <v/>
      </c>
      <c r="K255" s="54" t="str">
        <f>IF(OR($B255="",$A255&gt;$B$9,K$233=""),"",IF(COUNTIFS(BD!$B$3:$B$5001,K$233,BD!$A$3:$A$5001,"&gt;="&amp;$C$7,BD!$A$3:$A$5001,"&lt;="&amp;$B255,BD!$R$3:$R$5001,"&lt;&gt;")=0,"",SUMIFS(BD!$R$3:$R$5001,BD!$B$3:$B$5001,K$233,BD!$A$3:$A$5001,_xlfn.MAXIFS(BD!$A$3:$A$5001,BD!$B$3:$B$5001,K$233,BD!$A$3:$A$5001,"&gt;="&amp;$C$7,BD!$A$3:$A$5001,"&lt;="&amp;$B255,BD!$R$3:$R$5001,"&lt;&gt;"))))</f>
        <v/>
      </c>
      <c r="L255" s="54" t="str">
        <f>IF(OR($B255="",$A255&gt;$B$9,L$233=""),"",IF(COUNTIFS(BD!$B$3:$B$5001,L$233,BD!$A$3:$A$5001,"&gt;="&amp;$C$7,BD!$A$3:$A$5001,"&lt;="&amp;$B255,BD!$R$3:$R$5001,"&lt;&gt;")=0,"",SUMIFS(BD!$R$3:$R$5001,BD!$B$3:$B$5001,L$233,BD!$A$3:$A$5001,_xlfn.MAXIFS(BD!$A$3:$A$5001,BD!$B$3:$B$5001,L$233,BD!$A$3:$A$5001,"&gt;="&amp;$C$7,BD!$A$3:$A$5001,"&lt;="&amp;$B255,BD!$R$3:$R$5001,"&lt;&gt;"))))</f>
        <v/>
      </c>
      <c r="M255" s="54" t="str">
        <f>IF(OR($B255="",$A255&gt;$B$9,M$233=""),"",IF(COUNTIFS(BD!$B$3:$B$5001,M$233,BD!$A$3:$A$5001,"&gt;="&amp;$C$7,BD!$A$3:$A$5001,"&lt;="&amp;$B255,BD!$R$3:$R$5001,"&lt;&gt;")=0,"",SUMIFS(BD!$R$3:$R$5001,BD!$B$3:$B$5001,M$233,BD!$A$3:$A$5001,_xlfn.MAXIFS(BD!$A$3:$A$5001,BD!$B$3:$B$5001,M$233,BD!$A$3:$A$5001,"&gt;="&amp;$C$7,BD!$A$3:$A$5001,"&lt;="&amp;$B255,BD!$R$3:$R$5001,"&lt;&gt;"))))</f>
        <v/>
      </c>
      <c r="N255" s="54" t="str">
        <f>IF(OR($B255="",$A255&gt;$B$9,N$233=""),"",IF(COUNTIFS(BD!$B$3:$B$5001,N$233,BD!$A$3:$A$5001,"&gt;="&amp;$C$7,BD!$A$3:$A$5001,"&lt;="&amp;$B255,BD!$R$3:$R$5001,"&lt;&gt;")=0,"",SUMIFS(BD!$R$3:$R$5001,BD!$B$3:$B$5001,N$233,BD!$A$3:$A$5001,_xlfn.MAXIFS(BD!$A$3:$A$5001,BD!$B$3:$B$5001,N$233,BD!$A$3:$A$5001,"&gt;="&amp;$C$7,BD!$A$3:$A$5001,"&lt;="&amp;$B255,BD!$R$3:$R$5001,"&lt;&gt;"))))</f>
        <v/>
      </c>
      <c r="O255" s="54" t="str">
        <f>IF(OR($B255="",$A255&gt;$B$9,O$233=""),"",IF(COUNTIFS(BD!$B$3:$B$5001,O$233,BD!$A$3:$A$5001,"&gt;="&amp;$C$7,BD!$A$3:$A$5001,"&lt;="&amp;$B255,BD!$R$3:$R$5001,"&lt;&gt;")=0,"",SUMIFS(BD!$R$3:$R$5001,BD!$B$3:$B$5001,O$233,BD!$A$3:$A$5001,_xlfn.MAXIFS(BD!$A$3:$A$5001,BD!$B$3:$B$5001,O$233,BD!$A$3:$A$5001,"&gt;="&amp;$C$7,BD!$A$3:$A$5001,"&lt;="&amp;$B255,BD!$R$3:$R$5001,"&lt;&gt;"))))</f>
        <v/>
      </c>
      <c r="P255" s="54" t="str">
        <f>IF(OR($B255="",$A255&gt;$B$9,P$233=""),"",IF(COUNTIFS(BD!$B$3:$B$5001,P$233,BD!$A$3:$A$5001,"&gt;="&amp;$C$7,BD!$A$3:$A$5001,"&lt;="&amp;$B255,BD!$R$3:$R$5001,"&lt;&gt;")=0,"",SUMIFS(BD!$R$3:$R$5001,BD!$B$3:$B$5001,P$233,BD!$A$3:$A$5001,_xlfn.MAXIFS(BD!$A$3:$A$5001,BD!$B$3:$B$5001,P$233,BD!$A$3:$A$5001,"&gt;="&amp;$C$7,BD!$A$3:$A$5001,"&lt;="&amp;$B255,BD!$R$3:$R$5001,"&lt;&gt;"))))</f>
        <v/>
      </c>
      <c r="Q255" s="54" t="str">
        <f>IF(OR($B255="",$A255&gt;$B$9,Q$233=""),"",IF(COUNTIFS(BD!$B$3:$B$5001,Q$233,BD!$A$3:$A$5001,"&gt;="&amp;$C$7,BD!$A$3:$A$5001,"&lt;="&amp;$B255,BD!$R$3:$R$5001,"&lt;&gt;")=0,"",SUMIFS(BD!$R$3:$R$5001,BD!$B$3:$B$5001,Q$233,BD!$A$3:$A$5001,_xlfn.MAXIFS(BD!$A$3:$A$5001,BD!$B$3:$B$5001,Q$233,BD!$A$3:$A$5001,"&gt;="&amp;$C$7,BD!$A$3:$A$5001,"&lt;="&amp;$B255,BD!$R$3:$R$5001,"&lt;&gt;"))))</f>
        <v/>
      </c>
      <c r="R255" s="54" t="str">
        <f>IF(OR($B255="",$A255&gt;$B$9,R$233=""),"",IF(COUNTIFS(BD!$B$3:$B$5001,R$233,BD!$A$3:$A$5001,"&gt;="&amp;$C$7,BD!$A$3:$A$5001,"&lt;="&amp;$B255,BD!$R$3:$R$5001,"&lt;&gt;")=0,"",SUMIFS(BD!$R$3:$R$5001,BD!$B$3:$B$5001,R$233,BD!$A$3:$A$5001,_xlfn.MAXIFS(BD!$A$3:$A$5001,BD!$B$3:$B$5001,R$233,BD!$A$3:$A$5001,"&gt;="&amp;$C$7,BD!$A$3:$A$5001,"&lt;="&amp;$B255,BD!$R$3:$R$5001,"&lt;&gt;"))))</f>
        <v/>
      </c>
      <c r="S255" s="54" t="str">
        <f>IF(OR($B255="",$A255&gt;$B$9,S$233=""),"",IF(COUNTIFS(BD!$B$3:$B$5001,S$233,BD!$A$3:$A$5001,"&gt;="&amp;$C$7,BD!$A$3:$A$5001,"&lt;="&amp;$B255,BD!$R$3:$R$5001,"&lt;&gt;")=0,"",SUMIFS(BD!$R$3:$R$5001,BD!$B$3:$B$5001,S$233,BD!$A$3:$A$5001,_xlfn.MAXIFS(BD!$A$3:$A$5001,BD!$B$3:$B$5001,S$233,BD!$A$3:$A$5001,"&gt;="&amp;$C$7,BD!$A$3:$A$5001,"&lt;="&amp;$B255,BD!$R$3:$R$5001,"&lt;&gt;"))))</f>
        <v/>
      </c>
      <c r="T255" s="54" t="str">
        <f>IF(OR($B255="",$A255&gt;$B$9,T$233=""),"",IF(COUNTIFS(BD!$B$3:$B$5001,T$233,BD!$A$3:$A$5001,"&gt;="&amp;$C$7,BD!$A$3:$A$5001,"&lt;="&amp;$B255,BD!$R$3:$R$5001,"&lt;&gt;")=0,"",SUMIFS(BD!$R$3:$R$5001,BD!$B$3:$B$5001,T$233,BD!$A$3:$A$5001,_xlfn.MAXIFS(BD!$A$3:$A$5001,BD!$B$3:$B$5001,T$233,BD!$A$3:$A$5001,"&gt;="&amp;$C$7,BD!$A$3:$A$5001,"&lt;="&amp;$B255,BD!$R$3:$R$5001,"&lt;&gt;"))))</f>
        <v/>
      </c>
      <c r="U255" s="54" t="str">
        <f>IF(OR($B255="",$A255&gt;$B$9,U$233=""),"",IF(COUNTIFS(BD!$B$3:$B$5001,U$233,BD!$A$3:$A$5001,"&gt;="&amp;$C$7,BD!$A$3:$A$5001,"&lt;="&amp;$B255,BD!$R$3:$R$5001,"&lt;&gt;")=0,"",SUMIFS(BD!$R$3:$R$5001,BD!$B$3:$B$5001,U$233,BD!$A$3:$A$5001,_xlfn.MAXIFS(BD!$A$3:$A$5001,BD!$B$3:$B$5001,U$233,BD!$A$3:$A$5001,"&gt;="&amp;$C$7,BD!$A$3:$A$5001,"&lt;="&amp;$B255,BD!$R$3:$R$5001,"&lt;&gt;"))))</f>
        <v/>
      </c>
      <c r="V255" s="54" t="str">
        <f>IF(OR($B255="",$A255&gt;$B$9,V$233=""),"",IF(COUNTIFS(BD!$B$3:$B$5001,V$233,BD!$A$3:$A$5001,"&gt;="&amp;$C$7,BD!$A$3:$A$5001,"&lt;="&amp;$B255,BD!$R$3:$R$5001,"&lt;&gt;")=0,"",SUMIFS(BD!$R$3:$R$5001,BD!$B$3:$B$5001,V$233,BD!$A$3:$A$5001,_xlfn.MAXIFS(BD!$A$3:$A$5001,BD!$B$3:$B$5001,V$233,BD!$A$3:$A$5001,"&gt;="&amp;$C$7,BD!$A$3:$A$5001,"&lt;="&amp;$B255,BD!$R$3:$R$5001,"&lt;&gt;"))))</f>
        <v/>
      </c>
    </row>
    <row r="256">
      <c r="A256" s="48">
        <v>23</v>
      </c>
      <c r="B256" s="53">
        <f>$B$34</f>
        <v>46318</v>
      </c>
      <c r="C256" s="54" t="str">
        <f>IF(OR($B256="",$A256&gt;$B$9,C$233=""),"",IF(COUNTIFS(BD!$B$3:$B$5001,C$233,BD!$A$3:$A$5001,"&gt;="&amp;$C$7,BD!$A$3:$A$5001,"&lt;="&amp;$B256,BD!$R$3:$R$5001,"&lt;&gt;")=0,"",SUMIFS(BD!$R$3:$R$5001,BD!$B$3:$B$5001,C$233,BD!$A$3:$A$5001,_xlfn.MAXIFS(BD!$A$3:$A$5001,BD!$B$3:$B$5001,C$233,BD!$A$3:$A$5001,"&gt;="&amp;$C$7,BD!$A$3:$A$5001,"&lt;="&amp;$B256,BD!$R$3:$R$5001,"&lt;&gt;"))))</f>
        <v/>
      </c>
      <c r="D256" s="54" t="str">
        <f>IF(OR($B256="",$A256&gt;$B$9,D$233=""),"",IF(COUNTIFS(BD!$B$3:$B$5001,D$233,BD!$A$3:$A$5001,"&gt;="&amp;$C$7,BD!$A$3:$A$5001,"&lt;="&amp;$B256,BD!$R$3:$R$5001,"&lt;&gt;")=0,"",SUMIFS(BD!$R$3:$R$5001,BD!$B$3:$B$5001,D$233,BD!$A$3:$A$5001,_xlfn.MAXIFS(BD!$A$3:$A$5001,BD!$B$3:$B$5001,D$233,BD!$A$3:$A$5001,"&gt;="&amp;$C$7,BD!$A$3:$A$5001,"&lt;="&amp;$B256,BD!$R$3:$R$5001,"&lt;&gt;"))))</f>
        <v/>
      </c>
      <c r="E256" s="54" t="str">
        <f>IF(OR($B256="",$A256&gt;$B$9,E$233=""),"",IF(COUNTIFS(BD!$B$3:$B$5001,E$233,BD!$A$3:$A$5001,"&gt;="&amp;$C$7,BD!$A$3:$A$5001,"&lt;="&amp;$B256,BD!$R$3:$R$5001,"&lt;&gt;")=0,"",SUMIFS(BD!$R$3:$R$5001,BD!$B$3:$B$5001,E$233,BD!$A$3:$A$5001,_xlfn.MAXIFS(BD!$A$3:$A$5001,BD!$B$3:$B$5001,E$233,BD!$A$3:$A$5001,"&gt;="&amp;$C$7,BD!$A$3:$A$5001,"&lt;="&amp;$B256,BD!$R$3:$R$5001,"&lt;&gt;"))))</f>
        <v/>
      </c>
      <c r="F256" s="54" t="str">
        <f>IF(OR($B256="",$A256&gt;$B$9,F$233=""),"",IF(COUNTIFS(BD!$B$3:$B$5001,F$233,BD!$A$3:$A$5001,"&gt;="&amp;$C$7,BD!$A$3:$A$5001,"&lt;="&amp;$B256,BD!$R$3:$R$5001,"&lt;&gt;")=0,"",SUMIFS(BD!$R$3:$R$5001,BD!$B$3:$B$5001,F$233,BD!$A$3:$A$5001,_xlfn.MAXIFS(BD!$A$3:$A$5001,BD!$B$3:$B$5001,F$233,BD!$A$3:$A$5001,"&gt;="&amp;$C$7,BD!$A$3:$A$5001,"&lt;="&amp;$B256,BD!$R$3:$R$5001,"&lt;&gt;"))))</f>
        <v/>
      </c>
      <c r="G256" s="54" t="str">
        <f>IF(OR($B256="",$A256&gt;$B$9,G$233=""),"",IF(COUNTIFS(BD!$B$3:$B$5001,G$233,BD!$A$3:$A$5001,"&gt;="&amp;$C$7,BD!$A$3:$A$5001,"&lt;="&amp;$B256,BD!$R$3:$R$5001,"&lt;&gt;")=0,"",SUMIFS(BD!$R$3:$R$5001,BD!$B$3:$B$5001,G$233,BD!$A$3:$A$5001,_xlfn.MAXIFS(BD!$A$3:$A$5001,BD!$B$3:$B$5001,G$233,BD!$A$3:$A$5001,"&gt;="&amp;$C$7,BD!$A$3:$A$5001,"&lt;="&amp;$B256,BD!$R$3:$R$5001,"&lt;&gt;"))))</f>
        <v/>
      </c>
      <c r="H256" s="54" t="str">
        <f>IF(OR($B256="",$A256&gt;$B$9,H$233=""),"",IF(COUNTIFS(BD!$B$3:$B$5001,H$233,BD!$A$3:$A$5001,"&gt;="&amp;$C$7,BD!$A$3:$A$5001,"&lt;="&amp;$B256,BD!$R$3:$R$5001,"&lt;&gt;")=0,"",SUMIFS(BD!$R$3:$R$5001,BD!$B$3:$B$5001,H$233,BD!$A$3:$A$5001,_xlfn.MAXIFS(BD!$A$3:$A$5001,BD!$B$3:$B$5001,H$233,BD!$A$3:$A$5001,"&gt;="&amp;$C$7,BD!$A$3:$A$5001,"&lt;="&amp;$B256,BD!$R$3:$R$5001,"&lt;&gt;"))))</f>
        <v/>
      </c>
      <c r="I256" s="54" t="str">
        <f>IF(OR($B256="",$A256&gt;$B$9,I$233=""),"",IF(COUNTIFS(BD!$B$3:$B$5001,I$233,BD!$A$3:$A$5001,"&gt;="&amp;$C$7,BD!$A$3:$A$5001,"&lt;="&amp;$B256,BD!$R$3:$R$5001,"&lt;&gt;")=0,"",SUMIFS(BD!$R$3:$R$5001,BD!$B$3:$B$5001,I$233,BD!$A$3:$A$5001,_xlfn.MAXIFS(BD!$A$3:$A$5001,BD!$B$3:$B$5001,I$233,BD!$A$3:$A$5001,"&gt;="&amp;$C$7,BD!$A$3:$A$5001,"&lt;="&amp;$B256,BD!$R$3:$R$5001,"&lt;&gt;"))))</f>
        <v/>
      </c>
      <c r="J256" s="54" t="str">
        <f>IF(OR($B256="",$A256&gt;$B$9,J$233=""),"",IF(COUNTIFS(BD!$B$3:$B$5001,J$233,BD!$A$3:$A$5001,"&gt;="&amp;$C$7,BD!$A$3:$A$5001,"&lt;="&amp;$B256,BD!$R$3:$R$5001,"&lt;&gt;")=0,"",SUMIFS(BD!$R$3:$R$5001,BD!$B$3:$B$5001,J$233,BD!$A$3:$A$5001,_xlfn.MAXIFS(BD!$A$3:$A$5001,BD!$B$3:$B$5001,J$233,BD!$A$3:$A$5001,"&gt;="&amp;$C$7,BD!$A$3:$A$5001,"&lt;="&amp;$B256,BD!$R$3:$R$5001,"&lt;&gt;"))))</f>
        <v/>
      </c>
      <c r="K256" s="54" t="str">
        <f>IF(OR($B256="",$A256&gt;$B$9,K$233=""),"",IF(COUNTIFS(BD!$B$3:$B$5001,K$233,BD!$A$3:$A$5001,"&gt;="&amp;$C$7,BD!$A$3:$A$5001,"&lt;="&amp;$B256,BD!$R$3:$R$5001,"&lt;&gt;")=0,"",SUMIFS(BD!$R$3:$R$5001,BD!$B$3:$B$5001,K$233,BD!$A$3:$A$5001,_xlfn.MAXIFS(BD!$A$3:$A$5001,BD!$B$3:$B$5001,K$233,BD!$A$3:$A$5001,"&gt;="&amp;$C$7,BD!$A$3:$A$5001,"&lt;="&amp;$B256,BD!$R$3:$R$5001,"&lt;&gt;"))))</f>
        <v/>
      </c>
      <c r="L256" s="54" t="str">
        <f>IF(OR($B256="",$A256&gt;$B$9,L$233=""),"",IF(COUNTIFS(BD!$B$3:$B$5001,L$233,BD!$A$3:$A$5001,"&gt;="&amp;$C$7,BD!$A$3:$A$5001,"&lt;="&amp;$B256,BD!$R$3:$R$5001,"&lt;&gt;")=0,"",SUMIFS(BD!$R$3:$R$5001,BD!$B$3:$B$5001,L$233,BD!$A$3:$A$5001,_xlfn.MAXIFS(BD!$A$3:$A$5001,BD!$B$3:$B$5001,L$233,BD!$A$3:$A$5001,"&gt;="&amp;$C$7,BD!$A$3:$A$5001,"&lt;="&amp;$B256,BD!$R$3:$R$5001,"&lt;&gt;"))))</f>
        <v/>
      </c>
      <c r="M256" s="54" t="str">
        <f>IF(OR($B256="",$A256&gt;$B$9,M$233=""),"",IF(COUNTIFS(BD!$B$3:$B$5001,M$233,BD!$A$3:$A$5001,"&gt;="&amp;$C$7,BD!$A$3:$A$5001,"&lt;="&amp;$B256,BD!$R$3:$R$5001,"&lt;&gt;")=0,"",SUMIFS(BD!$R$3:$R$5001,BD!$B$3:$B$5001,M$233,BD!$A$3:$A$5001,_xlfn.MAXIFS(BD!$A$3:$A$5001,BD!$B$3:$B$5001,M$233,BD!$A$3:$A$5001,"&gt;="&amp;$C$7,BD!$A$3:$A$5001,"&lt;="&amp;$B256,BD!$R$3:$R$5001,"&lt;&gt;"))))</f>
        <v/>
      </c>
      <c r="N256" s="54" t="str">
        <f>IF(OR($B256="",$A256&gt;$B$9,N$233=""),"",IF(COUNTIFS(BD!$B$3:$B$5001,N$233,BD!$A$3:$A$5001,"&gt;="&amp;$C$7,BD!$A$3:$A$5001,"&lt;="&amp;$B256,BD!$R$3:$R$5001,"&lt;&gt;")=0,"",SUMIFS(BD!$R$3:$R$5001,BD!$B$3:$B$5001,N$233,BD!$A$3:$A$5001,_xlfn.MAXIFS(BD!$A$3:$A$5001,BD!$B$3:$B$5001,N$233,BD!$A$3:$A$5001,"&gt;="&amp;$C$7,BD!$A$3:$A$5001,"&lt;="&amp;$B256,BD!$R$3:$R$5001,"&lt;&gt;"))))</f>
        <v/>
      </c>
      <c r="O256" s="54" t="str">
        <f>IF(OR($B256="",$A256&gt;$B$9,O$233=""),"",IF(COUNTIFS(BD!$B$3:$B$5001,O$233,BD!$A$3:$A$5001,"&gt;="&amp;$C$7,BD!$A$3:$A$5001,"&lt;="&amp;$B256,BD!$R$3:$R$5001,"&lt;&gt;")=0,"",SUMIFS(BD!$R$3:$R$5001,BD!$B$3:$B$5001,O$233,BD!$A$3:$A$5001,_xlfn.MAXIFS(BD!$A$3:$A$5001,BD!$B$3:$B$5001,O$233,BD!$A$3:$A$5001,"&gt;="&amp;$C$7,BD!$A$3:$A$5001,"&lt;="&amp;$B256,BD!$R$3:$R$5001,"&lt;&gt;"))))</f>
        <v/>
      </c>
      <c r="P256" s="54" t="str">
        <f>IF(OR($B256="",$A256&gt;$B$9,P$233=""),"",IF(COUNTIFS(BD!$B$3:$B$5001,P$233,BD!$A$3:$A$5001,"&gt;="&amp;$C$7,BD!$A$3:$A$5001,"&lt;="&amp;$B256,BD!$R$3:$R$5001,"&lt;&gt;")=0,"",SUMIFS(BD!$R$3:$R$5001,BD!$B$3:$B$5001,P$233,BD!$A$3:$A$5001,_xlfn.MAXIFS(BD!$A$3:$A$5001,BD!$B$3:$B$5001,P$233,BD!$A$3:$A$5001,"&gt;="&amp;$C$7,BD!$A$3:$A$5001,"&lt;="&amp;$B256,BD!$R$3:$R$5001,"&lt;&gt;"))))</f>
        <v/>
      </c>
      <c r="Q256" s="54" t="str">
        <f>IF(OR($B256="",$A256&gt;$B$9,Q$233=""),"",IF(COUNTIFS(BD!$B$3:$B$5001,Q$233,BD!$A$3:$A$5001,"&gt;="&amp;$C$7,BD!$A$3:$A$5001,"&lt;="&amp;$B256,BD!$R$3:$R$5001,"&lt;&gt;")=0,"",SUMIFS(BD!$R$3:$R$5001,BD!$B$3:$B$5001,Q$233,BD!$A$3:$A$5001,_xlfn.MAXIFS(BD!$A$3:$A$5001,BD!$B$3:$B$5001,Q$233,BD!$A$3:$A$5001,"&gt;="&amp;$C$7,BD!$A$3:$A$5001,"&lt;="&amp;$B256,BD!$R$3:$R$5001,"&lt;&gt;"))))</f>
        <v/>
      </c>
      <c r="R256" s="54" t="str">
        <f>IF(OR($B256="",$A256&gt;$B$9,R$233=""),"",IF(COUNTIFS(BD!$B$3:$B$5001,R$233,BD!$A$3:$A$5001,"&gt;="&amp;$C$7,BD!$A$3:$A$5001,"&lt;="&amp;$B256,BD!$R$3:$R$5001,"&lt;&gt;")=0,"",SUMIFS(BD!$R$3:$R$5001,BD!$B$3:$B$5001,R$233,BD!$A$3:$A$5001,_xlfn.MAXIFS(BD!$A$3:$A$5001,BD!$B$3:$B$5001,R$233,BD!$A$3:$A$5001,"&gt;="&amp;$C$7,BD!$A$3:$A$5001,"&lt;="&amp;$B256,BD!$R$3:$R$5001,"&lt;&gt;"))))</f>
        <v/>
      </c>
      <c r="S256" s="54" t="str">
        <f>IF(OR($B256="",$A256&gt;$B$9,S$233=""),"",IF(COUNTIFS(BD!$B$3:$B$5001,S$233,BD!$A$3:$A$5001,"&gt;="&amp;$C$7,BD!$A$3:$A$5001,"&lt;="&amp;$B256,BD!$R$3:$R$5001,"&lt;&gt;")=0,"",SUMIFS(BD!$R$3:$R$5001,BD!$B$3:$B$5001,S$233,BD!$A$3:$A$5001,_xlfn.MAXIFS(BD!$A$3:$A$5001,BD!$B$3:$B$5001,S$233,BD!$A$3:$A$5001,"&gt;="&amp;$C$7,BD!$A$3:$A$5001,"&lt;="&amp;$B256,BD!$R$3:$R$5001,"&lt;&gt;"))))</f>
        <v/>
      </c>
      <c r="T256" s="54" t="str">
        <f>IF(OR($B256="",$A256&gt;$B$9,T$233=""),"",IF(COUNTIFS(BD!$B$3:$B$5001,T$233,BD!$A$3:$A$5001,"&gt;="&amp;$C$7,BD!$A$3:$A$5001,"&lt;="&amp;$B256,BD!$R$3:$R$5001,"&lt;&gt;")=0,"",SUMIFS(BD!$R$3:$R$5001,BD!$B$3:$B$5001,T$233,BD!$A$3:$A$5001,_xlfn.MAXIFS(BD!$A$3:$A$5001,BD!$B$3:$B$5001,T$233,BD!$A$3:$A$5001,"&gt;="&amp;$C$7,BD!$A$3:$A$5001,"&lt;="&amp;$B256,BD!$R$3:$R$5001,"&lt;&gt;"))))</f>
        <v/>
      </c>
      <c r="U256" s="54" t="str">
        <f>IF(OR($B256="",$A256&gt;$B$9,U$233=""),"",IF(COUNTIFS(BD!$B$3:$B$5001,U$233,BD!$A$3:$A$5001,"&gt;="&amp;$C$7,BD!$A$3:$A$5001,"&lt;="&amp;$B256,BD!$R$3:$R$5001,"&lt;&gt;")=0,"",SUMIFS(BD!$R$3:$R$5001,BD!$B$3:$B$5001,U$233,BD!$A$3:$A$5001,_xlfn.MAXIFS(BD!$A$3:$A$5001,BD!$B$3:$B$5001,U$233,BD!$A$3:$A$5001,"&gt;="&amp;$C$7,BD!$A$3:$A$5001,"&lt;="&amp;$B256,BD!$R$3:$R$5001,"&lt;&gt;"))))</f>
        <v/>
      </c>
      <c r="V256" s="54" t="str">
        <f>IF(OR($B256="",$A256&gt;$B$9,V$233=""),"",IF(COUNTIFS(BD!$B$3:$B$5001,V$233,BD!$A$3:$A$5001,"&gt;="&amp;$C$7,BD!$A$3:$A$5001,"&lt;="&amp;$B256,BD!$R$3:$R$5001,"&lt;&gt;")=0,"",SUMIFS(BD!$R$3:$R$5001,BD!$B$3:$B$5001,V$233,BD!$A$3:$A$5001,_xlfn.MAXIFS(BD!$A$3:$A$5001,BD!$B$3:$B$5001,V$233,BD!$A$3:$A$5001,"&gt;="&amp;$C$7,BD!$A$3:$A$5001,"&lt;="&amp;$B256,BD!$R$3:$R$5001,"&lt;&gt;"))))</f>
        <v/>
      </c>
    </row>
    <row r="257">
      <c r="A257" s="48">
        <v>24</v>
      </c>
      <c r="B257" s="53">
        <f>$B$35</f>
        <v>46319</v>
      </c>
      <c r="C257" s="54" t="str">
        <f>IF(OR($B257="",$A257&gt;$B$9,C$233=""),"",IF(COUNTIFS(BD!$B$3:$B$5001,C$233,BD!$A$3:$A$5001,"&gt;="&amp;$C$7,BD!$A$3:$A$5001,"&lt;="&amp;$B257,BD!$R$3:$R$5001,"&lt;&gt;")=0,"",SUMIFS(BD!$R$3:$R$5001,BD!$B$3:$B$5001,C$233,BD!$A$3:$A$5001,_xlfn.MAXIFS(BD!$A$3:$A$5001,BD!$B$3:$B$5001,C$233,BD!$A$3:$A$5001,"&gt;="&amp;$C$7,BD!$A$3:$A$5001,"&lt;="&amp;$B257,BD!$R$3:$R$5001,"&lt;&gt;"))))</f>
        <v/>
      </c>
      <c r="D257" s="54" t="str">
        <f>IF(OR($B257="",$A257&gt;$B$9,D$233=""),"",IF(COUNTIFS(BD!$B$3:$B$5001,D$233,BD!$A$3:$A$5001,"&gt;="&amp;$C$7,BD!$A$3:$A$5001,"&lt;="&amp;$B257,BD!$R$3:$R$5001,"&lt;&gt;")=0,"",SUMIFS(BD!$R$3:$R$5001,BD!$B$3:$B$5001,D$233,BD!$A$3:$A$5001,_xlfn.MAXIFS(BD!$A$3:$A$5001,BD!$B$3:$B$5001,D$233,BD!$A$3:$A$5001,"&gt;="&amp;$C$7,BD!$A$3:$A$5001,"&lt;="&amp;$B257,BD!$R$3:$R$5001,"&lt;&gt;"))))</f>
        <v/>
      </c>
      <c r="E257" s="54" t="str">
        <f>IF(OR($B257="",$A257&gt;$B$9,E$233=""),"",IF(COUNTIFS(BD!$B$3:$B$5001,E$233,BD!$A$3:$A$5001,"&gt;="&amp;$C$7,BD!$A$3:$A$5001,"&lt;="&amp;$B257,BD!$R$3:$R$5001,"&lt;&gt;")=0,"",SUMIFS(BD!$R$3:$R$5001,BD!$B$3:$B$5001,E$233,BD!$A$3:$A$5001,_xlfn.MAXIFS(BD!$A$3:$A$5001,BD!$B$3:$B$5001,E$233,BD!$A$3:$A$5001,"&gt;="&amp;$C$7,BD!$A$3:$A$5001,"&lt;="&amp;$B257,BD!$R$3:$R$5001,"&lt;&gt;"))))</f>
        <v/>
      </c>
      <c r="F257" s="54" t="str">
        <f>IF(OR($B257="",$A257&gt;$B$9,F$233=""),"",IF(COUNTIFS(BD!$B$3:$B$5001,F$233,BD!$A$3:$A$5001,"&gt;="&amp;$C$7,BD!$A$3:$A$5001,"&lt;="&amp;$B257,BD!$R$3:$R$5001,"&lt;&gt;")=0,"",SUMIFS(BD!$R$3:$R$5001,BD!$B$3:$B$5001,F$233,BD!$A$3:$A$5001,_xlfn.MAXIFS(BD!$A$3:$A$5001,BD!$B$3:$B$5001,F$233,BD!$A$3:$A$5001,"&gt;="&amp;$C$7,BD!$A$3:$A$5001,"&lt;="&amp;$B257,BD!$R$3:$R$5001,"&lt;&gt;"))))</f>
        <v/>
      </c>
      <c r="G257" s="54" t="str">
        <f>IF(OR($B257="",$A257&gt;$B$9,G$233=""),"",IF(COUNTIFS(BD!$B$3:$B$5001,G$233,BD!$A$3:$A$5001,"&gt;="&amp;$C$7,BD!$A$3:$A$5001,"&lt;="&amp;$B257,BD!$R$3:$R$5001,"&lt;&gt;")=0,"",SUMIFS(BD!$R$3:$R$5001,BD!$B$3:$B$5001,G$233,BD!$A$3:$A$5001,_xlfn.MAXIFS(BD!$A$3:$A$5001,BD!$B$3:$B$5001,G$233,BD!$A$3:$A$5001,"&gt;="&amp;$C$7,BD!$A$3:$A$5001,"&lt;="&amp;$B257,BD!$R$3:$R$5001,"&lt;&gt;"))))</f>
        <v/>
      </c>
      <c r="H257" s="54" t="str">
        <f>IF(OR($B257="",$A257&gt;$B$9,H$233=""),"",IF(COUNTIFS(BD!$B$3:$B$5001,H$233,BD!$A$3:$A$5001,"&gt;="&amp;$C$7,BD!$A$3:$A$5001,"&lt;="&amp;$B257,BD!$R$3:$R$5001,"&lt;&gt;")=0,"",SUMIFS(BD!$R$3:$R$5001,BD!$B$3:$B$5001,H$233,BD!$A$3:$A$5001,_xlfn.MAXIFS(BD!$A$3:$A$5001,BD!$B$3:$B$5001,H$233,BD!$A$3:$A$5001,"&gt;="&amp;$C$7,BD!$A$3:$A$5001,"&lt;="&amp;$B257,BD!$R$3:$R$5001,"&lt;&gt;"))))</f>
        <v/>
      </c>
      <c r="I257" s="54" t="str">
        <f>IF(OR($B257="",$A257&gt;$B$9,I$233=""),"",IF(COUNTIFS(BD!$B$3:$B$5001,I$233,BD!$A$3:$A$5001,"&gt;="&amp;$C$7,BD!$A$3:$A$5001,"&lt;="&amp;$B257,BD!$R$3:$R$5001,"&lt;&gt;")=0,"",SUMIFS(BD!$R$3:$R$5001,BD!$B$3:$B$5001,I$233,BD!$A$3:$A$5001,_xlfn.MAXIFS(BD!$A$3:$A$5001,BD!$B$3:$B$5001,I$233,BD!$A$3:$A$5001,"&gt;="&amp;$C$7,BD!$A$3:$A$5001,"&lt;="&amp;$B257,BD!$R$3:$R$5001,"&lt;&gt;"))))</f>
        <v/>
      </c>
      <c r="J257" s="54" t="str">
        <f>IF(OR($B257="",$A257&gt;$B$9,J$233=""),"",IF(COUNTIFS(BD!$B$3:$B$5001,J$233,BD!$A$3:$A$5001,"&gt;="&amp;$C$7,BD!$A$3:$A$5001,"&lt;="&amp;$B257,BD!$R$3:$R$5001,"&lt;&gt;")=0,"",SUMIFS(BD!$R$3:$R$5001,BD!$B$3:$B$5001,J$233,BD!$A$3:$A$5001,_xlfn.MAXIFS(BD!$A$3:$A$5001,BD!$B$3:$B$5001,J$233,BD!$A$3:$A$5001,"&gt;="&amp;$C$7,BD!$A$3:$A$5001,"&lt;="&amp;$B257,BD!$R$3:$R$5001,"&lt;&gt;"))))</f>
        <v/>
      </c>
      <c r="K257" s="54" t="str">
        <f>IF(OR($B257="",$A257&gt;$B$9,K$233=""),"",IF(COUNTIFS(BD!$B$3:$B$5001,K$233,BD!$A$3:$A$5001,"&gt;="&amp;$C$7,BD!$A$3:$A$5001,"&lt;="&amp;$B257,BD!$R$3:$R$5001,"&lt;&gt;")=0,"",SUMIFS(BD!$R$3:$R$5001,BD!$B$3:$B$5001,K$233,BD!$A$3:$A$5001,_xlfn.MAXIFS(BD!$A$3:$A$5001,BD!$B$3:$B$5001,K$233,BD!$A$3:$A$5001,"&gt;="&amp;$C$7,BD!$A$3:$A$5001,"&lt;="&amp;$B257,BD!$R$3:$R$5001,"&lt;&gt;"))))</f>
        <v/>
      </c>
      <c r="L257" s="54" t="str">
        <f>IF(OR($B257="",$A257&gt;$B$9,L$233=""),"",IF(COUNTIFS(BD!$B$3:$B$5001,L$233,BD!$A$3:$A$5001,"&gt;="&amp;$C$7,BD!$A$3:$A$5001,"&lt;="&amp;$B257,BD!$R$3:$R$5001,"&lt;&gt;")=0,"",SUMIFS(BD!$R$3:$R$5001,BD!$B$3:$B$5001,L$233,BD!$A$3:$A$5001,_xlfn.MAXIFS(BD!$A$3:$A$5001,BD!$B$3:$B$5001,L$233,BD!$A$3:$A$5001,"&gt;="&amp;$C$7,BD!$A$3:$A$5001,"&lt;="&amp;$B257,BD!$R$3:$R$5001,"&lt;&gt;"))))</f>
        <v/>
      </c>
      <c r="M257" s="54" t="str">
        <f>IF(OR($B257="",$A257&gt;$B$9,M$233=""),"",IF(COUNTIFS(BD!$B$3:$B$5001,M$233,BD!$A$3:$A$5001,"&gt;="&amp;$C$7,BD!$A$3:$A$5001,"&lt;="&amp;$B257,BD!$R$3:$R$5001,"&lt;&gt;")=0,"",SUMIFS(BD!$R$3:$R$5001,BD!$B$3:$B$5001,M$233,BD!$A$3:$A$5001,_xlfn.MAXIFS(BD!$A$3:$A$5001,BD!$B$3:$B$5001,M$233,BD!$A$3:$A$5001,"&gt;="&amp;$C$7,BD!$A$3:$A$5001,"&lt;="&amp;$B257,BD!$R$3:$R$5001,"&lt;&gt;"))))</f>
        <v/>
      </c>
      <c r="N257" s="54" t="str">
        <f>IF(OR($B257="",$A257&gt;$B$9,N$233=""),"",IF(COUNTIFS(BD!$B$3:$B$5001,N$233,BD!$A$3:$A$5001,"&gt;="&amp;$C$7,BD!$A$3:$A$5001,"&lt;="&amp;$B257,BD!$R$3:$R$5001,"&lt;&gt;")=0,"",SUMIFS(BD!$R$3:$R$5001,BD!$B$3:$B$5001,N$233,BD!$A$3:$A$5001,_xlfn.MAXIFS(BD!$A$3:$A$5001,BD!$B$3:$B$5001,N$233,BD!$A$3:$A$5001,"&gt;="&amp;$C$7,BD!$A$3:$A$5001,"&lt;="&amp;$B257,BD!$R$3:$R$5001,"&lt;&gt;"))))</f>
        <v/>
      </c>
      <c r="O257" s="54" t="str">
        <f>IF(OR($B257="",$A257&gt;$B$9,O$233=""),"",IF(COUNTIFS(BD!$B$3:$B$5001,O$233,BD!$A$3:$A$5001,"&gt;="&amp;$C$7,BD!$A$3:$A$5001,"&lt;="&amp;$B257,BD!$R$3:$R$5001,"&lt;&gt;")=0,"",SUMIFS(BD!$R$3:$R$5001,BD!$B$3:$B$5001,O$233,BD!$A$3:$A$5001,_xlfn.MAXIFS(BD!$A$3:$A$5001,BD!$B$3:$B$5001,O$233,BD!$A$3:$A$5001,"&gt;="&amp;$C$7,BD!$A$3:$A$5001,"&lt;="&amp;$B257,BD!$R$3:$R$5001,"&lt;&gt;"))))</f>
        <v/>
      </c>
      <c r="P257" s="54" t="str">
        <f>IF(OR($B257="",$A257&gt;$B$9,P$233=""),"",IF(COUNTIFS(BD!$B$3:$B$5001,P$233,BD!$A$3:$A$5001,"&gt;="&amp;$C$7,BD!$A$3:$A$5001,"&lt;="&amp;$B257,BD!$R$3:$R$5001,"&lt;&gt;")=0,"",SUMIFS(BD!$R$3:$R$5001,BD!$B$3:$B$5001,P$233,BD!$A$3:$A$5001,_xlfn.MAXIFS(BD!$A$3:$A$5001,BD!$B$3:$B$5001,P$233,BD!$A$3:$A$5001,"&gt;="&amp;$C$7,BD!$A$3:$A$5001,"&lt;="&amp;$B257,BD!$R$3:$R$5001,"&lt;&gt;"))))</f>
        <v/>
      </c>
      <c r="Q257" s="54" t="str">
        <f>IF(OR($B257="",$A257&gt;$B$9,Q$233=""),"",IF(COUNTIFS(BD!$B$3:$B$5001,Q$233,BD!$A$3:$A$5001,"&gt;="&amp;$C$7,BD!$A$3:$A$5001,"&lt;="&amp;$B257,BD!$R$3:$R$5001,"&lt;&gt;")=0,"",SUMIFS(BD!$R$3:$R$5001,BD!$B$3:$B$5001,Q$233,BD!$A$3:$A$5001,_xlfn.MAXIFS(BD!$A$3:$A$5001,BD!$B$3:$B$5001,Q$233,BD!$A$3:$A$5001,"&gt;="&amp;$C$7,BD!$A$3:$A$5001,"&lt;="&amp;$B257,BD!$R$3:$R$5001,"&lt;&gt;"))))</f>
        <v/>
      </c>
      <c r="R257" s="54" t="str">
        <f>IF(OR($B257="",$A257&gt;$B$9,R$233=""),"",IF(COUNTIFS(BD!$B$3:$B$5001,R$233,BD!$A$3:$A$5001,"&gt;="&amp;$C$7,BD!$A$3:$A$5001,"&lt;="&amp;$B257,BD!$R$3:$R$5001,"&lt;&gt;")=0,"",SUMIFS(BD!$R$3:$R$5001,BD!$B$3:$B$5001,R$233,BD!$A$3:$A$5001,_xlfn.MAXIFS(BD!$A$3:$A$5001,BD!$B$3:$B$5001,R$233,BD!$A$3:$A$5001,"&gt;="&amp;$C$7,BD!$A$3:$A$5001,"&lt;="&amp;$B257,BD!$R$3:$R$5001,"&lt;&gt;"))))</f>
        <v/>
      </c>
      <c r="S257" s="54" t="str">
        <f>IF(OR($B257="",$A257&gt;$B$9,S$233=""),"",IF(COUNTIFS(BD!$B$3:$B$5001,S$233,BD!$A$3:$A$5001,"&gt;="&amp;$C$7,BD!$A$3:$A$5001,"&lt;="&amp;$B257,BD!$R$3:$R$5001,"&lt;&gt;")=0,"",SUMIFS(BD!$R$3:$R$5001,BD!$B$3:$B$5001,S$233,BD!$A$3:$A$5001,_xlfn.MAXIFS(BD!$A$3:$A$5001,BD!$B$3:$B$5001,S$233,BD!$A$3:$A$5001,"&gt;="&amp;$C$7,BD!$A$3:$A$5001,"&lt;="&amp;$B257,BD!$R$3:$R$5001,"&lt;&gt;"))))</f>
        <v/>
      </c>
      <c r="T257" s="54" t="str">
        <f>IF(OR($B257="",$A257&gt;$B$9,T$233=""),"",IF(COUNTIFS(BD!$B$3:$B$5001,T$233,BD!$A$3:$A$5001,"&gt;="&amp;$C$7,BD!$A$3:$A$5001,"&lt;="&amp;$B257,BD!$R$3:$R$5001,"&lt;&gt;")=0,"",SUMIFS(BD!$R$3:$R$5001,BD!$B$3:$B$5001,T$233,BD!$A$3:$A$5001,_xlfn.MAXIFS(BD!$A$3:$A$5001,BD!$B$3:$B$5001,T$233,BD!$A$3:$A$5001,"&gt;="&amp;$C$7,BD!$A$3:$A$5001,"&lt;="&amp;$B257,BD!$R$3:$R$5001,"&lt;&gt;"))))</f>
        <v/>
      </c>
      <c r="U257" s="54" t="str">
        <f>IF(OR($B257="",$A257&gt;$B$9,U$233=""),"",IF(COUNTIFS(BD!$B$3:$B$5001,U$233,BD!$A$3:$A$5001,"&gt;="&amp;$C$7,BD!$A$3:$A$5001,"&lt;="&amp;$B257,BD!$R$3:$R$5001,"&lt;&gt;")=0,"",SUMIFS(BD!$R$3:$R$5001,BD!$B$3:$B$5001,U$233,BD!$A$3:$A$5001,_xlfn.MAXIFS(BD!$A$3:$A$5001,BD!$B$3:$B$5001,U$233,BD!$A$3:$A$5001,"&gt;="&amp;$C$7,BD!$A$3:$A$5001,"&lt;="&amp;$B257,BD!$R$3:$R$5001,"&lt;&gt;"))))</f>
        <v/>
      </c>
      <c r="V257" s="54" t="str">
        <f>IF(OR($B257="",$A257&gt;$B$9,V$233=""),"",IF(COUNTIFS(BD!$B$3:$B$5001,V$233,BD!$A$3:$A$5001,"&gt;="&amp;$C$7,BD!$A$3:$A$5001,"&lt;="&amp;$B257,BD!$R$3:$R$5001,"&lt;&gt;")=0,"",SUMIFS(BD!$R$3:$R$5001,BD!$B$3:$B$5001,V$233,BD!$A$3:$A$5001,_xlfn.MAXIFS(BD!$A$3:$A$5001,BD!$B$3:$B$5001,V$233,BD!$A$3:$A$5001,"&gt;="&amp;$C$7,BD!$A$3:$A$5001,"&lt;="&amp;$B257,BD!$R$3:$R$5001,"&lt;&gt;"))))</f>
        <v/>
      </c>
    </row>
    <row r="258">
      <c r="A258" s="48">
        <v>25</v>
      </c>
      <c r="B258" s="53">
        <f>$B$36</f>
        <v>46320</v>
      </c>
      <c r="C258" s="54" t="str">
        <f>IF(OR($B258="",$A258&gt;$B$9,C$233=""),"",IF(COUNTIFS(BD!$B$3:$B$5001,C$233,BD!$A$3:$A$5001,"&gt;="&amp;$C$7,BD!$A$3:$A$5001,"&lt;="&amp;$B258,BD!$R$3:$R$5001,"&lt;&gt;")=0,"",SUMIFS(BD!$R$3:$R$5001,BD!$B$3:$B$5001,C$233,BD!$A$3:$A$5001,_xlfn.MAXIFS(BD!$A$3:$A$5001,BD!$B$3:$B$5001,C$233,BD!$A$3:$A$5001,"&gt;="&amp;$C$7,BD!$A$3:$A$5001,"&lt;="&amp;$B258,BD!$R$3:$R$5001,"&lt;&gt;"))))</f>
        <v/>
      </c>
      <c r="D258" s="54" t="str">
        <f>IF(OR($B258="",$A258&gt;$B$9,D$233=""),"",IF(COUNTIFS(BD!$B$3:$B$5001,D$233,BD!$A$3:$A$5001,"&gt;="&amp;$C$7,BD!$A$3:$A$5001,"&lt;="&amp;$B258,BD!$R$3:$R$5001,"&lt;&gt;")=0,"",SUMIFS(BD!$R$3:$R$5001,BD!$B$3:$B$5001,D$233,BD!$A$3:$A$5001,_xlfn.MAXIFS(BD!$A$3:$A$5001,BD!$B$3:$B$5001,D$233,BD!$A$3:$A$5001,"&gt;="&amp;$C$7,BD!$A$3:$A$5001,"&lt;="&amp;$B258,BD!$R$3:$R$5001,"&lt;&gt;"))))</f>
        <v/>
      </c>
      <c r="E258" s="54" t="str">
        <f>IF(OR($B258="",$A258&gt;$B$9,E$233=""),"",IF(COUNTIFS(BD!$B$3:$B$5001,E$233,BD!$A$3:$A$5001,"&gt;="&amp;$C$7,BD!$A$3:$A$5001,"&lt;="&amp;$B258,BD!$R$3:$R$5001,"&lt;&gt;")=0,"",SUMIFS(BD!$R$3:$R$5001,BD!$B$3:$B$5001,E$233,BD!$A$3:$A$5001,_xlfn.MAXIFS(BD!$A$3:$A$5001,BD!$B$3:$B$5001,E$233,BD!$A$3:$A$5001,"&gt;="&amp;$C$7,BD!$A$3:$A$5001,"&lt;="&amp;$B258,BD!$R$3:$R$5001,"&lt;&gt;"))))</f>
        <v/>
      </c>
      <c r="F258" s="54" t="str">
        <f>IF(OR($B258="",$A258&gt;$B$9,F$233=""),"",IF(COUNTIFS(BD!$B$3:$B$5001,F$233,BD!$A$3:$A$5001,"&gt;="&amp;$C$7,BD!$A$3:$A$5001,"&lt;="&amp;$B258,BD!$R$3:$R$5001,"&lt;&gt;")=0,"",SUMIFS(BD!$R$3:$R$5001,BD!$B$3:$B$5001,F$233,BD!$A$3:$A$5001,_xlfn.MAXIFS(BD!$A$3:$A$5001,BD!$B$3:$B$5001,F$233,BD!$A$3:$A$5001,"&gt;="&amp;$C$7,BD!$A$3:$A$5001,"&lt;="&amp;$B258,BD!$R$3:$R$5001,"&lt;&gt;"))))</f>
        <v/>
      </c>
      <c r="G258" s="54" t="str">
        <f>IF(OR($B258="",$A258&gt;$B$9,G$233=""),"",IF(COUNTIFS(BD!$B$3:$B$5001,G$233,BD!$A$3:$A$5001,"&gt;="&amp;$C$7,BD!$A$3:$A$5001,"&lt;="&amp;$B258,BD!$R$3:$R$5001,"&lt;&gt;")=0,"",SUMIFS(BD!$R$3:$R$5001,BD!$B$3:$B$5001,G$233,BD!$A$3:$A$5001,_xlfn.MAXIFS(BD!$A$3:$A$5001,BD!$B$3:$B$5001,G$233,BD!$A$3:$A$5001,"&gt;="&amp;$C$7,BD!$A$3:$A$5001,"&lt;="&amp;$B258,BD!$R$3:$R$5001,"&lt;&gt;"))))</f>
        <v/>
      </c>
      <c r="H258" s="54" t="str">
        <f>IF(OR($B258="",$A258&gt;$B$9,H$233=""),"",IF(COUNTIFS(BD!$B$3:$B$5001,H$233,BD!$A$3:$A$5001,"&gt;="&amp;$C$7,BD!$A$3:$A$5001,"&lt;="&amp;$B258,BD!$R$3:$R$5001,"&lt;&gt;")=0,"",SUMIFS(BD!$R$3:$R$5001,BD!$B$3:$B$5001,H$233,BD!$A$3:$A$5001,_xlfn.MAXIFS(BD!$A$3:$A$5001,BD!$B$3:$B$5001,H$233,BD!$A$3:$A$5001,"&gt;="&amp;$C$7,BD!$A$3:$A$5001,"&lt;="&amp;$B258,BD!$R$3:$R$5001,"&lt;&gt;"))))</f>
        <v/>
      </c>
      <c r="I258" s="54" t="str">
        <f>IF(OR($B258="",$A258&gt;$B$9,I$233=""),"",IF(COUNTIFS(BD!$B$3:$B$5001,I$233,BD!$A$3:$A$5001,"&gt;="&amp;$C$7,BD!$A$3:$A$5001,"&lt;="&amp;$B258,BD!$R$3:$R$5001,"&lt;&gt;")=0,"",SUMIFS(BD!$R$3:$R$5001,BD!$B$3:$B$5001,I$233,BD!$A$3:$A$5001,_xlfn.MAXIFS(BD!$A$3:$A$5001,BD!$B$3:$B$5001,I$233,BD!$A$3:$A$5001,"&gt;="&amp;$C$7,BD!$A$3:$A$5001,"&lt;="&amp;$B258,BD!$R$3:$R$5001,"&lt;&gt;"))))</f>
        <v/>
      </c>
      <c r="J258" s="54" t="str">
        <f>IF(OR($B258="",$A258&gt;$B$9,J$233=""),"",IF(COUNTIFS(BD!$B$3:$B$5001,J$233,BD!$A$3:$A$5001,"&gt;="&amp;$C$7,BD!$A$3:$A$5001,"&lt;="&amp;$B258,BD!$R$3:$R$5001,"&lt;&gt;")=0,"",SUMIFS(BD!$R$3:$R$5001,BD!$B$3:$B$5001,J$233,BD!$A$3:$A$5001,_xlfn.MAXIFS(BD!$A$3:$A$5001,BD!$B$3:$B$5001,J$233,BD!$A$3:$A$5001,"&gt;="&amp;$C$7,BD!$A$3:$A$5001,"&lt;="&amp;$B258,BD!$R$3:$R$5001,"&lt;&gt;"))))</f>
        <v/>
      </c>
      <c r="K258" s="54" t="str">
        <f>IF(OR($B258="",$A258&gt;$B$9,K$233=""),"",IF(COUNTIFS(BD!$B$3:$B$5001,K$233,BD!$A$3:$A$5001,"&gt;="&amp;$C$7,BD!$A$3:$A$5001,"&lt;="&amp;$B258,BD!$R$3:$R$5001,"&lt;&gt;")=0,"",SUMIFS(BD!$R$3:$R$5001,BD!$B$3:$B$5001,K$233,BD!$A$3:$A$5001,_xlfn.MAXIFS(BD!$A$3:$A$5001,BD!$B$3:$B$5001,K$233,BD!$A$3:$A$5001,"&gt;="&amp;$C$7,BD!$A$3:$A$5001,"&lt;="&amp;$B258,BD!$R$3:$R$5001,"&lt;&gt;"))))</f>
        <v/>
      </c>
      <c r="L258" s="54" t="str">
        <f>IF(OR($B258="",$A258&gt;$B$9,L$233=""),"",IF(COUNTIFS(BD!$B$3:$B$5001,L$233,BD!$A$3:$A$5001,"&gt;="&amp;$C$7,BD!$A$3:$A$5001,"&lt;="&amp;$B258,BD!$R$3:$R$5001,"&lt;&gt;")=0,"",SUMIFS(BD!$R$3:$R$5001,BD!$B$3:$B$5001,L$233,BD!$A$3:$A$5001,_xlfn.MAXIFS(BD!$A$3:$A$5001,BD!$B$3:$B$5001,L$233,BD!$A$3:$A$5001,"&gt;="&amp;$C$7,BD!$A$3:$A$5001,"&lt;="&amp;$B258,BD!$R$3:$R$5001,"&lt;&gt;"))))</f>
        <v/>
      </c>
      <c r="M258" s="54" t="str">
        <f>IF(OR($B258="",$A258&gt;$B$9,M$233=""),"",IF(COUNTIFS(BD!$B$3:$B$5001,M$233,BD!$A$3:$A$5001,"&gt;="&amp;$C$7,BD!$A$3:$A$5001,"&lt;="&amp;$B258,BD!$R$3:$R$5001,"&lt;&gt;")=0,"",SUMIFS(BD!$R$3:$R$5001,BD!$B$3:$B$5001,M$233,BD!$A$3:$A$5001,_xlfn.MAXIFS(BD!$A$3:$A$5001,BD!$B$3:$B$5001,M$233,BD!$A$3:$A$5001,"&gt;="&amp;$C$7,BD!$A$3:$A$5001,"&lt;="&amp;$B258,BD!$R$3:$R$5001,"&lt;&gt;"))))</f>
        <v/>
      </c>
      <c r="N258" s="54" t="str">
        <f>IF(OR($B258="",$A258&gt;$B$9,N$233=""),"",IF(COUNTIFS(BD!$B$3:$B$5001,N$233,BD!$A$3:$A$5001,"&gt;="&amp;$C$7,BD!$A$3:$A$5001,"&lt;="&amp;$B258,BD!$R$3:$R$5001,"&lt;&gt;")=0,"",SUMIFS(BD!$R$3:$R$5001,BD!$B$3:$B$5001,N$233,BD!$A$3:$A$5001,_xlfn.MAXIFS(BD!$A$3:$A$5001,BD!$B$3:$B$5001,N$233,BD!$A$3:$A$5001,"&gt;="&amp;$C$7,BD!$A$3:$A$5001,"&lt;="&amp;$B258,BD!$R$3:$R$5001,"&lt;&gt;"))))</f>
        <v/>
      </c>
      <c r="O258" s="54" t="str">
        <f>IF(OR($B258="",$A258&gt;$B$9,O$233=""),"",IF(COUNTIFS(BD!$B$3:$B$5001,O$233,BD!$A$3:$A$5001,"&gt;="&amp;$C$7,BD!$A$3:$A$5001,"&lt;="&amp;$B258,BD!$R$3:$R$5001,"&lt;&gt;")=0,"",SUMIFS(BD!$R$3:$R$5001,BD!$B$3:$B$5001,O$233,BD!$A$3:$A$5001,_xlfn.MAXIFS(BD!$A$3:$A$5001,BD!$B$3:$B$5001,O$233,BD!$A$3:$A$5001,"&gt;="&amp;$C$7,BD!$A$3:$A$5001,"&lt;="&amp;$B258,BD!$R$3:$R$5001,"&lt;&gt;"))))</f>
        <v/>
      </c>
      <c r="P258" s="54" t="str">
        <f>IF(OR($B258="",$A258&gt;$B$9,P$233=""),"",IF(COUNTIFS(BD!$B$3:$B$5001,P$233,BD!$A$3:$A$5001,"&gt;="&amp;$C$7,BD!$A$3:$A$5001,"&lt;="&amp;$B258,BD!$R$3:$R$5001,"&lt;&gt;")=0,"",SUMIFS(BD!$R$3:$R$5001,BD!$B$3:$B$5001,P$233,BD!$A$3:$A$5001,_xlfn.MAXIFS(BD!$A$3:$A$5001,BD!$B$3:$B$5001,P$233,BD!$A$3:$A$5001,"&gt;="&amp;$C$7,BD!$A$3:$A$5001,"&lt;="&amp;$B258,BD!$R$3:$R$5001,"&lt;&gt;"))))</f>
        <v/>
      </c>
      <c r="Q258" s="54" t="str">
        <f>IF(OR($B258="",$A258&gt;$B$9,Q$233=""),"",IF(COUNTIFS(BD!$B$3:$B$5001,Q$233,BD!$A$3:$A$5001,"&gt;="&amp;$C$7,BD!$A$3:$A$5001,"&lt;="&amp;$B258,BD!$R$3:$R$5001,"&lt;&gt;")=0,"",SUMIFS(BD!$R$3:$R$5001,BD!$B$3:$B$5001,Q$233,BD!$A$3:$A$5001,_xlfn.MAXIFS(BD!$A$3:$A$5001,BD!$B$3:$B$5001,Q$233,BD!$A$3:$A$5001,"&gt;="&amp;$C$7,BD!$A$3:$A$5001,"&lt;="&amp;$B258,BD!$R$3:$R$5001,"&lt;&gt;"))))</f>
        <v/>
      </c>
      <c r="R258" s="54" t="str">
        <f>IF(OR($B258="",$A258&gt;$B$9,R$233=""),"",IF(COUNTIFS(BD!$B$3:$B$5001,R$233,BD!$A$3:$A$5001,"&gt;="&amp;$C$7,BD!$A$3:$A$5001,"&lt;="&amp;$B258,BD!$R$3:$R$5001,"&lt;&gt;")=0,"",SUMIFS(BD!$R$3:$R$5001,BD!$B$3:$B$5001,R$233,BD!$A$3:$A$5001,_xlfn.MAXIFS(BD!$A$3:$A$5001,BD!$B$3:$B$5001,R$233,BD!$A$3:$A$5001,"&gt;="&amp;$C$7,BD!$A$3:$A$5001,"&lt;="&amp;$B258,BD!$R$3:$R$5001,"&lt;&gt;"))))</f>
        <v/>
      </c>
      <c r="S258" s="54" t="str">
        <f>IF(OR($B258="",$A258&gt;$B$9,S$233=""),"",IF(COUNTIFS(BD!$B$3:$B$5001,S$233,BD!$A$3:$A$5001,"&gt;="&amp;$C$7,BD!$A$3:$A$5001,"&lt;="&amp;$B258,BD!$R$3:$R$5001,"&lt;&gt;")=0,"",SUMIFS(BD!$R$3:$R$5001,BD!$B$3:$B$5001,S$233,BD!$A$3:$A$5001,_xlfn.MAXIFS(BD!$A$3:$A$5001,BD!$B$3:$B$5001,S$233,BD!$A$3:$A$5001,"&gt;="&amp;$C$7,BD!$A$3:$A$5001,"&lt;="&amp;$B258,BD!$R$3:$R$5001,"&lt;&gt;"))))</f>
        <v/>
      </c>
      <c r="T258" s="54" t="str">
        <f>IF(OR($B258="",$A258&gt;$B$9,T$233=""),"",IF(COUNTIFS(BD!$B$3:$B$5001,T$233,BD!$A$3:$A$5001,"&gt;="&amp;$C$7,BD!$A$3:$A$5001,"&lt;="&amp;$B258,BD!$R$3:$R$5001,"&lt;&gt;")=0,"",SUMIFS(BD!$R$3:$R$5001,BD!$B$3:$B$5001,T$233,BD!$A$3:$A$5001,_xlfn.MAXIFS(BD!$A$3:$A$5001,BD!$B$3:$B$5001,T$233,BD!$A$3:$A$5001,"&gt;="&amp;$C$7,BD!$A$3:$A$5001,"&lt;="&amp;$B258,BD!$R$3:$R$5001,"&lt;&gt;"))))</f>
        <v/>
      </c>
      <c r="U258" s="54" t="str">
        <f>IF(OR($B258="",$A258&gt;$B$9,U$233=""),"",IF(COUNTIFS(BD!$B$3:$B$5001,U$233,BD!$A$3:$A$5001,"&gt;="&amp;$C$7,BD!$A$3:$A$5001,"&lt;="&amp;$B258,BD!$R$3:$R$5001,"&lt;&gt;")=0,"",SUMIFS(BD!$R$3:$R$5001,BD!$B$3:$B$5001,U$233,BD!$A$3:$A$5001,_xlfn.MAXIFS(BD!$A$3:$A$5001,BD!$B$3:$B$5001,U$233,BD!$A$3:$A$5001,"&gt;="&amp;$C$7,BD!$A$3:$A$5001,"&lt;="&amp;$B258,BD!$R$3:$R$5001,"&lt;&gt;"))))</f>
        <v/>
      </c>
      <c r="V258" s="54" t="str">
        <f>IF(OR($B258="",$A258&gt;$B$9,V$233=""),"",IF(COUNTIFS(BD!$B$3:$B$5001,V$233,BD!$A$3:$A$5001,"&gt;="&amp;$C$7,BD!$A$3:$A$5001,"&lt;="&amp;$B258,BD!$R$3:$R$5001,"&lt;&gt;")=0,"",SUMIFS(BD!$R$3:$R$5001,BD!$B$3:$B$5001,V$233,BD!$A$3:$A$5001,_xlfn.MAXIFS(BD!$A$3:$A$5001,BD!$B$3:$B$5001,V$233,BD!$A$3:$A$5001,"&gt;="&amp;$C$7,BD!$A$3:$A$5001,"&lt;="&amp;$B258,BD!$R$3:$R$5001,"&lt;&gt;"))))</f>
        <v/>
      </c>
    </row>
    <row r="259">
      <c r="A259" s="48">
        <v>26</v>
      </c>
      <c r="B259" s="53">
        <f>$B$37</f>
        <v>46321</v>
      </c>
      <c r="C259" s="54" t="str">
        <f>IF(OR($B259="",$A259&gt;$B$9,C$233=""),"",IF(COUNTIFS(BD!$B$3:$B$5001,C$233,BD!$A$3:$A$5001,"&gt;="&amp;$C$7,BD!$A$3:$A$5001,"&lt;="&amp;$B259,BD!$R$3:$R$5001,"&lt;&gt;")=0,"",SUMIFS(BD!$R$3:$R$5001,BD!$B$3:$B$5001,C$233,BD!$A$3:$A$5001,_xlfn.MAXIFS(BD!$A$3:$A$5001,BD!$B$3:$B$5001,C$233,BD!$A$3:$A$5001,"&gt;="&amp;$C$7,BD!$A$3:$A$5001,"&lt;="&amp;$B259,BD!$R$3:$R$5001,"&lt;&gt;"))))</f>
        <v/>
      </c>
      <c r="D259" s="54" t="str">
        <f>IF(OR($B259="",$A259&gt;$B$9,D$233=""),"",IF(COUNTIFS(BD!$B$3:$B$5001,D$233,BD!$A$3:$A$5001,"&gt;="&amp;$C$7,BD!$A$3:$A$5001,"&lt;="&amp;$B259,BD!$R$3:$R$5001,"&lt;&gt;")=0,"",SUMIFS(BD!$R$3:$R$5001,BD!$B$3:$B$5001,D$233,BD!$A$3:$A$5001,_xlfn.MAXIFS(BD!$A$3:$A$5001,BD!$B$3:$B$5001,D$233,BD!$A$3:$A$5001,"&gt;="&amp;$C$7,BD!$A$3:$A$5001,"&lt;="&amp;$B259,BD!$R$3:$R$5001,"&lt;&gt;"))))</f>
        <v/>
      </c>
      <c r="E259" s="54" t="str">
        <f>IF(OR($B259="",$A259&gt;$B$9,E$233=""),"",IF(COUNTIFS(BD!$B$3:$B$5001,E$233,BD!$A$3:$A$5001,"&gt;="&amp;$C$7,BD!$A$3:$A$5001,"&lt;="&amp;$B259,BD!$R$3:$R$5001,"&lt;&gt;")=0,"",SUMIFS(BD!$R$3:$R$5001,BD!$B$3:$B$5001,E$233,BD!$A$3:$A$5001,_xlfn.MAXIFS(BD!$A$3:$A$5001,BD!$B$3:$B$5001,E$233,BD!$A$3:$A$5001,"&gt;="&amp;$C$7,BD!$A$3:$A$5001,"&lt;="&amp;$B259,BD!$R$3:$R$5001,"&lt;&gt;"))))</f>
        <v/>
      </c>
      <c r="F259" s="54" t="str">
        <f>IF(OR($B259="",$A259&gt;$B$9,F$233=""),"",IF(COUNTIFS(BD!$B$3:$B$5001,F$233,BD!$A$3:$A$5001,"&gt;="&amp;$C$7,BD!$A$3:$A$5001,"&lt;="&amp;$B259,BD!$R$3:$R$5001,"&lt;&gt;")=0,"",SUMIFS(BD!$R$3:$R$5001,BD!$B$3:$B$5001,F$233,BD!$A$3:$A$5001,_xlfn.MAXIFS(BD!$A$3:$A$5001,BD!$B$3:$B$5001,F$233,BD!$A$3:$A$5001,"&gt;="&amp;$C$7,BD!$A$3:$A$5001,"&lt;="&amp;$B259,BD!$R$3:$R$5001,"&lt;&gt;"))))</f>
        <v/>
      </c>
      <c r="G259" s="54" t="str">
        <f>IF(OR($B259="",$A259&gt;$B$9,G$233=""),"",IF(COUNTIFS(BD!$B$3:$B$5001,G$233,BD!$A$3:$A$5001,"&gt;="&amp;$C$7,BD!$A$3:$A$5001,"&lt;="&amp;$B259,BD!$R$3:$R$5001,"&lt;&gt;")=0,"",SUMIFS(BD!$R$3:$R$5001,BD!$B$3:$B$5001,G$233,BD!$A$3:$A$5001,_xlfn.MAXIFS(BD!$A$3:$A$5001,BD!$B$3:$B$5001,G$233,BD!$A$3:$A$5001,"&gt;="&amp;$C$7,BD!$A$3:$A$5001,"&lt;="&amp;$B259,BD!$R$3:$R$5001,"&lt;&gt;"))))</f>
        <v/>
      </c>
      <c r="H259" s="54" t="str">
        <f>IF(OR($B259="",$A259&gt;$B$9,H$233=""),"",IF(COUNTIFS(BD!$B$3:$B$5001,H$233,BD!$A$3:$A$5001,"&gt;="&amp;$C$7,BD!$A$3:$A$5001,"&lt;="&amp;$B259,BD!$R$3:$R$5001,"&lt;&gt;")=0,"",SUMIFS(BD!$R$3:$R$5001,BD!$B$3:$B$5001,H$233,BD!$A$3:$A$5001,_xlfn.MAXIFS(BD!$A$3:$A$5001,BD!$B$3:$B$5001,H$233,BD!$A$3:$A$5001,"&gt;="&amp;$C$7,BD!$A$3:$A$5001,"&lt;="&amp;$B259,BD!$R$3:$R$5001,"&lt;&gt;"))))</f>
        <v/>
      </c>
      <c r="I259" s="54" t="str">
        <f>IF(OR($B259="",$A259&gt;$B$9,I$233=""),"",IF(COUNTIFS(BD!$B$3:$B$5001,I$233,BD!$A$3:$A$5001,"&gt;="&amp;$C$7,BD!$A$3:$A$5001,"&lt;="&amp;$B259,BD!$R$3:$R$5001,"&lt;&gt;")=0,"",SUMIFS(BD!$R$3:$R$5001,BD!$B$3:$B$5001,I$233,BD!$A$3:$A$5001,_xlfn.MAXIFS(BD!$A$3:$A$5001,BD!$B$3:$B$5001,I$233,BD!$A$3:$A$5001,"&gt;="&amp;$C$7,BD!$A$3:$A$5001,"&lt;="&amp;$B259,BD!$R$3:$R$5001,"&lt;&gt;"))))</f>
        <v/>
      </c>
      <c r="J259" s="54" t="str">
        <f>IF(OR($B259="",$A259&gt;$B$9,J$233=""),"",IF(COUNTIFS(BD!$B$3:$B$5001,J$233,BD!$A$3:$A$5001,"&gt;="&amp;$C$7,BD!$A$3:$A$5001,"&lt;="&amp;$B259,BD!$R$3:$R$5001,"&lt;&gt;")=0,"",SUMIFS(BD!$R$3:$R$5001,BD!$B$3:$B$5001,J$233,BD!$A$3:$A$5001,_xlfn.MAXIFS(BD!$A$3:$A$5001,BD!$B$3:$B$5001,J$233,BD!$A$3:$A$5001,"&gt;="&amp;$C$7,BD!$A$3:$A$5001,"&lt;="&amp;$B259,BD!$R$3:$R$5001,"&lt;&gt;"))))</f>
        <v/>
      </c>
      <c r="K259" s="54" t="str">
        <f>IF(OR($B259="",$A259&gt;$B$9,K$233=""),"",IF(COUNTIFS(BD!$B$3:$B$5001,K$233,BD!$A$3:$A$5001,"&gt;="&amp;$C$7,BD!$A$3:$A$5001,"&lt;="&amp;$B259,BD!$R$3:$R$5001,"&lt;&gt;")=0,"",SUMIFS(BD!$R$3:$R$5001,BD!$B$3:$B$5001,K$233,BD!$A$3:$A$5001,_xlfn.MAXIFS(BD!$A$3:$A$5001,BD!$B$3:$B$5001,K$233,BD!$A$3:$A$5001,"&gt;="&amp;$C$7,BD!$A$3:$A$5001,"&lt;="&amp;$B259,BD!$R$3:$R$5001,"&lt;&gt;"))))</f>
        <v/>
      </c>
      <c r="L259" s="54" t="str">
        <f>IF(OR($B259="",$A259&gt;$B$9,L$233=""),"",IF(COUNTIFS(BD!$B$3:$B$5001,L$233,BD!$A$3:$A$5001,"&gt;="&amp;$C$7,BD!$A$3:$A$5001,"&lt;="&amp;$B259,BD!$R$3:$R$5001,"&lt;&gt;")=0,"",SUMIFS(BD!$R$3:$R$5001,BD!$B$3:$B$5001,L$233,BD!$A$3:$A$5001,_xlfn.MAXIFS(BD!$A$3:$A$5001,BD!$B$3:$B$5001,L$233,BD!$A$3:$A$5001,"&gt;="&amp;$C$7,BD!$A$3:$A$5001,"&lt;="&amp;$B259,BD!$R$3:$R$5001,"&lt;&gt;"))))</f>
        <v/>
      </c>
      <c r="M259" s="54" t="str">
        <f>IF(OR($B259="",$A259&gt;$B$9,M$233=""),"",IF(COUNTIFS(BD!$B$3:$B$5001,M$233,BD!$A$3:$A$5001,"&gt;="&amp;$C$7,BD!$A$3:$A$5001,"&lt;="&amp;$B259,BD!$R$3:$R$5001,"&lt;&gt;")=0,"",SUMIFS(BD!$R$3:$R$5001,BD!$B$3:$B$5001,M$233,BD!$A$3:$A$5001,_xlfn.MAXIFS(BD!$A$3:$A$5001,BD!$B$3:$B$5001,M$233,BD!$A$3:$A$5001,"&gt;="&amp;$C$7,BD!$A$3:$A$5001,"&lt;="&amp;$B259,BD!$R$3:$R$5001,"&lt;&gt;"))))</f>
        <v/>
      </c>
      <c r="N259" s="54" t="str">
        <f>IF(OR($B259="",$A259&gt;$B$9,N$233=""),"",IF(COUNTIFS(BD!$B$3:$B$5001,N$233,BD!$A$3:$A$5001,"&gt;="&amp;$C$7,BD!$A$3:$A$5001,"&lt;="&amp;$B259,BD!$R$3:$R$5001,"&lt;&gt;")=0,"",SUMIFS(BD!$R$3:$R$5001,BD!$B$3:$B$5001,N$233,BD!$A$3:$A$5001,_xlfn.MAXIFS(BD!$A$3:$A$5001,BD!$B$3:$B$5001,N$233,BD!$A$3:$A$5001,"&gt;="&amp;$C$7,BD!$A$3:$A$5001,"&lt;="&amp;$B259,BD!$R$3:$R$5001,"&lt;&gt;"))))</f>
        <v/>
      </c>
      <c r="O259" s="54" t="str">
        <f>IF(OR($B259="",$A259&gt;$B$9,O$233=""),"",IF(COUNTIFS(BD!$B$3:$B$5001,O$233,BD!$A$3:$A$5001,"&gt;="&amp;$C$7,BD!$A$3:$A$5001,"&lt;="&amp;$B259,BD!$R$3:$R$5001,"&lt;&gt;")=0,"",SUMIFS(BD!$R$3:$R$5001,BD!$B$3:$B$5001,O$233,BD!$A$3:$A$5001,_xlfn.MAXIFS(BD!$A$3:$A$5001,BD!$B$3:$B$5001,O$233,BD!$A$3:$A$5001,"&gt;="&amp;$C$7,BD!$A$3:$A$5001,"&lt;="&amp;$B259,BD!$R$3:$R$5001,"&lt;&gt;"))))</f>
        <v/>
      </c>
      <c r="P259" s="54" t="str">
        <f>IF(OR($B259="",$A259&gt;$B$9,P$233=""),"",IF(COUNTIFS(BD!$B$3:$B$5001,P$233,BD!$A$3:$A$5001,"&gt;="&amp;$C$7,BD!$A$3:$A$5001,"&lt;="&amp;$B259,BD!$R$3:$R$5001,"&lt;&gt;")=0,"",SUMIFS(BD!$R$3:$R$5001,BD!$B$3:$B$5001,P$233,BD!$A$3:$A$5001,_xlfn.MAXIFS(BD!$A$3:$A$5001,BD!$B$3:$B$5001,P$233,BD!$A$3:$A$5001,"&gt;="&amp;$C$7,BD!$A$3:$A$5001,"&lt;="&amp;$B259,BD!$R$3:$R$5001,"&lt;&gt;"))))</f>
        <v/>
      </c>
      <c r="Q259" s="54" t="str">
        <f>IF(OR($B259="",$A259&gt;$B$9,Q$233=""),"",IF(COUNTIFS(BD!$B$3:$B$5001,Q$233,BD!$A$3:$A$5001,"&gt;="&amp;$C$7,BD!$A$3:$A$5001,"&lt;="&amp;$B259,BD!$R$3:$R$5001,"&lt;&gt;")=0,"",SUMIFS(BD!$R$3:$R$5001,BD!$B$3:$B$5001,Q$233,BD!$A$3:$A$5001,_xlfn.MAXIFS(BD!$A$3:$A$5001,BD!$B$3:$B$5001,Q$233,BD!$A$3:$A$5001,"&gt;="&amp;$C$7,BD!$A$3:$A$5001,"&lt;="&amp;$B259,BD!$R$3:$R$5001,"&lt;&gt;"))))</f>
        <v/>
      </c>
      <c r="R259" s="54" t="str">
        <f>IF(OR($B259="",$A259&gt;$B$9,R$233=""),"",IF(COUNTIFS(BD!$B$3:$B$5001,R$233,BD!$A$3:$A$5001,"&gt;="&amp;$C$7,BD!$A$3:$A$5001,"&lt;="&amp;$B259,BD!$R$3:$R$5001,"&lt;&gt;")=0,"",SUMIFS(BD!$R$3:$R$5001,BD!$B$3:$B$5001,R$233,BD!$A$3:$A$5001,_xlfn.MAXIFS(BD!$A$3:$A$5001,BD!$B$3:$B$5001,R$233,BD!$A$3:$A$5001,"&gt;="&amp;$C$7,BD!$A$3:$A$5001,"&lt;="&amp;$B259,BD!$R$3:$R$5001,"&lt;&gt;"))))</f>
        <v/>
      </c>
      <c r="S259" s="54" t="str">
        <f>IF(OR($B259="",$A259&gt;$B$9,S$233=""),"",IF(COUNTIFS(BD!$B$3:$B$5001,S$233,BD!$A$3:$A$5001,"&gt;="&amp;$C$7,BD!$A$3:$A$5001,"&lt;="&amp;$B259,BD!$R$3:$R$5001,"&lt;&gt;")=0,"",SUMIFS(BD!$R$3:$R$5001,BD!$B$3:$B$5001,S$233,BD!$A$3:$A$5001,_xlfn.MAXIFS(BD!$A$3:$A$5001,BD!$B$3:$B$5001,S$233,BD!$A$3:$A$5001,"&gt;="&amp;$C$7,BD!$A$3:$A$5001,"&lt;="&amp;$B259,BD!$R$3:$R$5001,"&lt;&gt;"))))</f>
        <v/>
      </c>
      <c r="T259" s="54" t="str">
        <f>IF(OR($B259="",$A259&gt;$B$9,T$233=""),"",IF(COUNTIFS(BD!$B$3:$B$5001,T$233,BD!$A$3:$A$5001,"&gt;="&amp;$C$7,BD!$A$3:$A$5001,"&lt;="&amp;$B259,BD!$R$3:$R$5001,"&lt;&gt;")=0,"",SUMIFS(BD!$R$3:$R$5001,BD!$B$3:$B$5001,T$233,BD!$A$3:$A$5001,_xlfn.MAXIFS(BD!$A$3:$A$5001,BD!$B$3:$B$5001,T$233,BD!$A$3:$A$5001,"&gt;="&amp;$C$7,BD!$A$3:$A$5001,"&lt;="&amp;$B259,BD!$R$3:$R$5001,"&lt;&gt;"))))</f>
        <v/>
      </c>
      <c r="U259" s="54" t="str">
        <f>IF(OR($B259="",$A259&gt;$B$9,U$233=""),"",IF(COUNTIFS(BD!$B$3:$B$5001,U$233,BD!$A$3:$A$5001,"&gt;="&amp;$C$7,BD!$A$3:$A$5001,"&lt;="&amp;$B259,BD!$R$3:$R$5001,"&lt;&gt;")=0,"",SUMIFS(BD!$R$3:$R$5001,BD!$B$3:$B$5001,U$233,BD!$A$3:$A$5001,_xlfn.MAXIFS(BD!$A$3:$A$5001,BD!$B$3:$B$5001,U$233,BD!$A$3:$A$5001,"&gt;="&amp;$C$7,BD!$A$3:$A$5001,"&lt;="&amp;$B259,BD!$R$3:$R$5001,"&lt;&gt;"))))</f>
        <v/>
      </c>
      <c r="V259" s="54" t="str">
        <f>IF(OR($B259="",$A259&gt;$B$9,V$233=""),"",IF(COUNTIFS(BD!$B$3:$B$5001,V$233,BD!$A$3:$A$5001,"&gt;="&amp;$C$7,BD!$A$3:$A$5001,"&lt;="&amp;$B259,BD!$R$3:$R$5001,"&lt;&gt;")=0,"",SUMIFS(BD!$R$3:$R$5001,BD!$B$3:$B$5001,V$233,BD!$A$3:$A$5001,_xlfn.MAXIFS(BD!$A$3:$A$5001,BD!$B$3:$B$5001,V$233,BD!$A$3:$A$5001,"&gt;="&amp;$C$7,BD!$A$3:$A$5001,"&lt;="&amp;$B259,BD!$R$3:$R$5001,"&lt;&gt;"))))</f>
        <v/>
      </c>
    </row>
    <row r="260">
      <c r="A260" s="48">
        <v>27</v>
      </c>
      <c r="B260" s="53">
        <f>$B$38</f>
        <v>46322</v>
      </c>
      <c r="C260" s="54" t="str">
        <f>IF(OR($B260="",$A260&gt;$B$9,C$233=""),"",IF(COUNTIFS(BD!$B$3:$B$5001,C$233,BD!$A$3:$A$5001,"&gt;="&amp;$C$7,BD!$A$3:$A$5001,"&lt;="&amp;$B260,BD!$R$3:$R$5001,"&lt;&gt;")=0,"",SUMIFS(BD!$R$3:$R$5001,BD!$B$3:$B$5001,C$233,BD!$A$3:$A$5001,_xlfn.MAXIFS(BD!$A$3:$A$5001,BD!$B$3:$B$5001,C$233,BD!$A$3:$A$5001,"&gt;="&amp;$C$7,BD!$A$3:$A$5001,"&lt;="&amp;$B260,BD!$R$3:$R$5001,"&lt;&gt;"))))</f>
        <v/>
      </c>
      <c r="D260" s="54" t="str">
        <f>IF(OR($B260="",$A260&gt;$B$9,D$233=""),"",IF(COUNTIFS(BD!$B$3:$B$5001,D$233,BD!$A$3:$A$5001,"&gt;="&amp;$C$7,BD!$A$3:$A$5001,"&lt;="&amp;$B260,BD!$R$3:$R$5001,"&lt;&gt;")=0,"",SUMIFS(BD!$R$3:$R$5001,BD!$B$3:$B$5001,D$233,BD!$A$3:$A$5001,_xlfn.MAXIFS(BD!$A$3:$A$5001,BD!$B$3:$B$5001,D$233,BD!$A$3:$A$5001,"&gt;="&amp;$C$7,BD!$A$3:$A$5001,"&lt;="&amp;$B260,BD!$R$3:$R$5001,"&lt;&gt;"))))</f>
        <v/>
      </c>
      <c r="E260" s="54" t="str">
        <f>IF(OR($B260="",$A260&gt;$B$9,E$233=""),"",IF(COUNTIFS(BD!$B$3:$B$5001,E$233,BD!$A$3:$A$5001,"&gt;="&amp;$C$7,BD!$A$3:$A$5001,"&lt;="&amp;$B260,BD!$R$3:$R$5001,"&lt;&gt;")=0,"",SUMIFS(BD!$R$3:$R$5001,BD!$B$3:$B$5001,E$233,BD!$A$3:$A$5001,_xlfn.MAXIFS(BD!$A$3:$A$5001,BD!$B$3:$B$5001,E$233,BD!$A$3:$A$5001,"&gt;="&amp;$C$7,BD!$A$3:$A$5001,"&lt;="&amp;$B260,BD!$R$3:$R$5001,"&lt;&gt;"))))</f>
        <v/>
      </c>
      <c r="F260" s="54" t="str">
        <f>IF(OR($B260="",$A260&gt;$B$9,F$233=""),"",IF(COUNTIFS(BD!$B$3:$B$5001,F$233,BD!$A$3:$A$5001,"&gt;="&amp;$C$7,BD!$A$3:$A$5001,"&lt;="&amp;$B260,BD!$R$3:$R$5001,"&lt;&gt;")=0,"",SUMIFS(BD!$R$3:$R$5001,BD!$B$3:$B$5001,F$233,BD!$A$3:$A$5001,_xlfn.MAXIFS(BD!$A$3:$A$5001,BD!$B$3:$B$5001,F$233,BD!$A$3:$A$5001,"&gt;="&amp;$C$7,BD!$A$3:$A$5001,"&lt;="&amp;$B260,BD!$R$3:$R$5001,"&lt;&gt;"))))</f>
        <v/>
      </c>
      <c r="G260" s="54" t="str">
        <f>IF(OR($B260="",$A260&gt;$B$9,G$233=""),"",IF(COUNTIFS(BD!$B$3:$B$5001,G$233,BD!$A$3:$A$5001,"&gt;="&amp;$C$7,BD!$A$3:$A$5001,"&lt;="&amp;$B260,BD!$R$3:$R$5001,"&lt;&gt;")=0,"",SUMIFS(BD!$R$3:$R$5001,BD!$B$3:$B$5001,G$233,BD!$A$3:$A$5001,_xlfn.MAXIFS(BD!$A$3:$A$5001,BD!$B$3:$B$5001,G$233,BD!$A$3:$A$5001,"&gt;="&amp;$C$7,BD!$A$3:$A$5001,"&lt;="&amp;$B260,BD!$R$3:$R$5001,"&lt;&gt;"))))</f>
        <v/>
      </c>
      <c r="H260" s="54" t="str">
        <f>IF(OR($B260="",$A260&gt;$B$9,H$233=""),"",IF(COUNTIFS(BD!$B$3:$B$5001,H$233,BD!$A$3:$A$5001,"&gt;="&amp;$C$7,BD!$A$3:$A$5001,"&lt;="&amp;$B260,BD!$R$3:$R$5001,"&lt;&gt;")=0,"",SUMIFS(BD!$R$3:$R$5001,BD!$B$3:$B$5001,H$233,BD!$A$3:$A$5001,_xlfn.MAXIFS(BD!$A$3:$A$5001,BD!$B$3:$B$5001,H$233,BD!$A$3:$A$5001,"&gt;="&amp;$C$7,BD!$A$3:$A$5001,"&lt;="&amp;$B260,BD!$R$3:$R$5001,"&lt;&gt;"))))</f>
        <v/>
      </c>
      <c r="I260" s="54" t="str">
        <f>IF(OR($B260="",$A260&gt;$B$9,I$233=""),"",IF(COUNTIFS(BD!$B$3:$B$5001,I$233,BD!$A$3:$A$5001,"&gt;="&amp;$C$7,BD!$A$3:$A$5001,"&lt;="&amp;$B260,BD!$R$3:$R$5001,"&lt;&gt;")=0,"",SUMIFS(BD!$R$3:$R$5001,BD!$B$3:$B$5001,I$233,BD!$A$3:$A$5001,_xlfn.MAXIFS(BD!$A$3:$A$5001,BD!$B$3:$B$5001,I$233,BD!$A$3:$A$5001,"&gt;="&amp;$C$7,BD!$A$3:$A$5001,"&lt;="&amp;$B260,BD!$R$3:$R$5001,"&lt;&gt;"))))</f>
        <v/>
      </c>
      <c r="J260" s="54" t="str">
        <f>IF(OR($B260="",$A260&gt;$B$9,J$233=""),"",IF(COUNTIFS(BD!$B$3:$B$5001,J$233,BD!$A$3:$A$5001,"&gt;="&amp;$C$7,BD!$A$3:$A$5001,"&lt;="&amp;$B260,BD!$R$3:$R$5001,"&lt;&gt;")=0,"",SUMIFS(BD!$R$3:$R$5001,BD!$B$3:$B$5001,J$233,BD!$A$3:$A$5001,_xlfn.MAXIFS(BD!$A$3:$A$5001,BD!$B$3:$B$5001,J$233,BD!$A$3:$A$5001,"&gt;="&amp;$C$7,BD!$A$3:$A$5001,"&lt;="&amp;$B260,BD!$R$3:$R$5001,"&lt;&gt;"))))</f>
        <v/>
      </c>
      <c r="K260" s="54" t="str">
        <f>IF(OR($B260="",$A260&gt;$B$9,K$233=""),"",IF(COUNTIFS(BD!$B$3:$B$5001,K$233,BD!$A$3:$A$5001,"&gt;="&amp;$C$7,BD!$A$3:$A$5001,"&lt;="&amp;$B260,BD!$R$3:$R$5001,"&lt;&gt;")=0,"",SUMIFS(BD!$R$3:$R$5001,BD!$B$3:$B$5001,K$233,BD!$A$3:$A$5001,_xlfn.MAXIFS(BD!$A$3:$A$5001,BD!$B$3:$B$5001,K$233,BD!$A$3:$A$5001,"&gt;="&amp;$C$7,BD!$A$3:$A$5001,"&lt;="&amp;$B260,BD!$R$3:$R$5001,"&lt;&gt;"))))</f>
        <v/>
      </c>
      <c r="L260" s="54" t="str">
        <f>IF(OR($B260="",$A260&gt;$B$9,L$233=""),"",IF(COUNTIFS(BD!$B$3:$B$5001,L$233,BD!$A$3:$A$5001,"&gt;="&amp;$C$7,BD!$A$3:$A$5001,"&lt;="&amp;$B260,BD!$R$3:$R$5001,"&lt;&gt;")=0,"",SUMIFS(BD!$R$3:$R$5001,BD!$B$3:$B$5001,L$233,BD!$A$3:$A$5001,_xlfn.MAXIFS(BD!$A$3:$A$5001,BD!$B$3:$B$5001,L$233,BD!$A$3:$A$5001,"&gt;="&amp;$C$7,BD!$A$3:$A$5001,"&lt;="&amp;$B260,BD!$R$3:$R$5001,"&lt;&gt;"))))</f>
        <v/>
      </c>
      <c r="M260" s="54" t="str">
        <f>IF(OR($B260="",$A260&gt;$B$9,M$233=""),"",IF(COUNTIFS(BD!$B$3:$B$5001,M$233,BD!$A$3:$A$5001,"&gt;="&amp;$C$7,BD!$A$3:$A$5001,"&lt;="&amp;$B260,BD!$R$3:$R$5001,"&lt;&gt;")=0,"",SUMIFS(BD!$R$3:$R$5001,BD!$B$3:$B$5001,M$233,BD!$A$3:$A$5001,_xlfn.MAXIFS(BD!$A$3:$A$5001,BD!$B$3:$B$5001,M$233,BD!$A$3:$A$5001,"&gt;="&amp;$C$7,BD!$A$3:$A$5001,"&lt;="&amp;$B260,BD!$R$3:$R$5001,"&lt;&gt;"))))</f>
        <v/>
      </c>
      <c r="N260" s="54" t="str">
        <f>IF(OR($B260="",$A260&gt;$B$9,N$233=""),"",IF(COUNTIFS(BD!$B$3:$B$5001,N$233,BD!$A$3:$A$5001,"&gt;="&amp;$C$7,BD!$A$3:$A$5001,"&lt;="&amp;$B260,BD!$R$3:$R$5001,"&lt;&gt;")=0,"",SUMIFS(BD!$R$3:$R$5001,BD!$B$3:$B$5001,N$233,BD!$A$3:$A$5001,_xlfn.MAXIFS(BD!$A$3:$A$5001,BD!$B$3:$B$5001,N$233,BD!$A$3:$A$5001,"&gt;="&amp;$C$7,BD!$A$3:$A$5001,"&lt;="&amp;$B260,BD!$R$3:$R$5001,"&lt;&gt;"))))</f>
        <v/>
      </c>
      <c r="O260" s="54" t="str">
        <f>IF(OR($B260="",$A260&gt;$B$9,O$233=""),"",IF(COUNTIFS(BD!$B$3:$B$5001,O$233,BD!$A$3:$A$5001,"&gt;="&amp;$C$7,BD!$A$3:$A$5001,"&lt;="&amp;$B260,BD!$R$3:$R$5001,"&lt;&gt;")=0,"",SUMIFS(BD!$R$3:$R$5001,BD!$B$3:$B$5001,O$233,BD!$A$3:$A$5001,_xlfn.MAXIFS(BD!$A$3:$A$5001,BD!$B$3:$B$5001,O$233,BD!$A$3:$A$5001,"&gt;="&amp;$C$7,BD!$A$3:$A$5001,"&lt;="&amp;$B260,BD!$R$3:$R$5001,"&lt;&gt;"))))</f>
        <v/>
      </c>
      <c r="P260" s="54" t="str">
        <f>IF(OR($B260="",$A260&gt;$B$9,P$233=""),"",IF(COUNTIFS(BD!$B$3:$B$5001,P$233,BD!$A$3:$A$5001,"&gt;="&amp;$C$7,BD!$A$3:$A$5001,"&lt;="&amp;$B260,BD!$R$3:$R$5001,"&lt;&gt;")=0,"",SUMIFS(BD!$R$3:$R$5001,BD!$B$3:$B$5001,P$233,BD!$A$3:$A$5001,_xlfn.MAXIFS(BD!$A$3:$A$5001,BD!$B$3:$B$5001,P$233,BD!$A$3:$A$5001,"&gt;="&amp;$C$7,BD!$A$3:$A$5001,"&lt;="&amp;$B260,BD!$R$3:$R$5001,"&lt;&gt;"))))</f>
        <v/>
      </c>
      <c r="Q260" s="54" t="str">
        <f>IF(OR($B260="",$A260&gt;$B$9,Q$233=""),"",IF(COUNTIFS(BD!$B$3:$B$5001,Q$233,BD!$A$3:$A$5001,"&gt;="&amp;$C$7,BD!$A$3:$A$5001,"&lt;="&amp;$B260,BD!$R$3:$R$5001,"&lt;&gt;")=0,"",SUMIFS(BD!$R$3:$R$5001,BD!$B$3:$B$5001,Q$233,BD!$A$3:$A$5001,_xlfn.MAXIFS(BD!$A$3:$A$5001,BD!$B$3:$B$5001,Q$233,BD!$A$3:$A$5001,"&gt;="&amp;$C$7,BD!$A$3:$A$5001,"&lt;="&amp;$B260,BD!$R$3:$R$5001,"&lt;&gt;"))))</f>
        <v/>
      </c>
      <c r="R260" s="54" t="str">
        <f>IF(OR($B260="",$A260&gt;$B$9,R$233=""),"",IF(COUNTIFS(BD!$B$3:$B$5001,R$233,BD!$A$3:$A$5001,"&gt;="&amp;$C$7,BD!$A$3:$A$5001,"&lt;="&amp;$B260,BD!$R$3:$R$5001,"&lt;&gt;")=0,"",SUMIFS(BD!$R$3:$R$5001,BD!$B$3:$B$5001,R$233,BD!$A$3:$A$5001,_xlfn.MAXIFS(BD!$A$3:$A$5001,BD!$B$3:$B$5001,R$233,BD!$A$3:$A$5001,"&gt;="&amp;$C$7,BD!$A$3:$A$5001,"&lt;="&amp;$B260,BD!$R$3:$R$5001,"&lt;&gt;"))))</f>
        <v/>
      </c>
      <c r="S260" s="54" t="str">
        <f>IF(OR($B260="",$A260&gt;$B$9,S$233=""),"",IF(COUNTIFS(BD!$B$3:$B$5001,S$233,BD!$A$3:$A$5001,"&gt;="&amp;$C$7,BD!$A$3:$A$5001,"&lt;="&amp;$B260,BD!$R$3:$R$5001,"&lt;&gt;")=0,"",SUMIFS(BD!$R$3:$R$5001,BD!$B$3:$B$5001,S$233,BD!$A$3:$A$5001,_xlfn.MAXIFS(BD!$A$3:$A$5001,BD!$B$3:$B$5001,S$233,BD!$A$3:$A$5001,"&gt;="&amp;$C$7,BD!$A$3:$A$5001,"&lt;="&amp;$B260,BD!$R$3:$R$5001,"&lt;&gt;"))))</f>
        <v/>
      </c>
      <c r="T260" s="54" t="str">
        <f>IF(OR($B260="",$A260&gt;$B$9,T$233=""),"",IF(COUNTIFS(BD!$B$3:$B$5001,T$233,BD!$A$3:$A$5001,"&gt;="&amp;$C$7,BD!$A$3:$A$5001,"&lt;="&amp;$B260,BD!$R$3:$R$5001,"&lt;&gt;")=0,"",SUMIFS(BD!$R$3:$R$5001,BD!$B$3:$B$5001,T$233,BD!$A$3:$A$5001,_xlfn.MAXIFS(BD!$A$3:$A$5001,BD!$B$3:$B$5001,T$233,BD!$A$3:$A$5001,"&gt;="&amp;$C$7,BD!$A$3:$A$5001,"&lt;="&amp;$B260,BD!$R$3:$R$5001,"&lt;&gt;"))))</f>
        <v/>
      </c>
      <c r="U260" s="54" t="str">
        <f>IF(OR($B260="",$A260&gt;$B$9,U$233=""),"",IF(COUNTIFS(BD!$B$3:$B$5001,U$233,BD!$A$3:$A$5001,"&gt;="&amp;$C$7,BD!$A$3:$A$5001,"&lt;="&amp;$B260,BD!$R$3:$R$5001,"&lt;&gt;")=0,"",SUMIFS(BD!$R$3:$R$5001,BD!$B$3:$B$5001,U$233,BD!$A$3:$A$5001,_xlfn.MAXIFS(BD!$A$3:$A$5001,BD!$B$3:$B$5001,U$233,BD!$A$3:$A$5001,"&gt;="&amp;$C$7,BD!$A$3:$A$5001,"&lt;="&amp;$B260,BD!$R$3:$R$5001,"&lt;&gt;"))))</f>
        <v/>
      </c>
      <c r="V260" s="54" t="str">
        <f>IF(OR($B260="",$A260&gt;$B$9,V$233=""),"",IF(COUNTIFS(BD!$B$3:$B$5001,V$233,BD!$A$3:$A$5001,"&gt;="&amp;$C$7,BD!$A$3:$A$5001,"&lt;="&amp;$B260,BD!$R$3:$R$5001,"&lt;&gt;")=0,"",SUMIFS(BD!$R$3:$R$5001,BD!$B$3:$B$5001,V$233,BD!$A$3:$A$5001,_xlfn.MAXIFS(BD!$A$3:$A$5001,BD!$B$3:$B$5001,V$233,BD!$A$3:$A$5001,"&gt;="&amp;$C$7,BD!$A$3:$A$5001,"&lt;="&amp;$B260,BD!$R$3:$R$5001,"&lt;&gt;"))))</f>
        <v/>
      </c>
    </row>
    <row r="261">
      <c r="A261" s="48">
        <v>28</v>
      </c>
      <c r="B261" s="53">
        <f>$B$39</f>
        <v>46323</v>
      </c>
      <c r="C261" s="54" t="str">
        <f>IF(OR($B261="",$A261&gt;$B$9,C$233=""),"",IF(COUNTIFS(BD!$B$3:$B$5001,C$233,BD!$A$3:$A$5001,"&gt;="&amp;$C$7,BD!$A$3:$A$5001,"&lt;="&amp;$B261,BD!$R$3:$R$5001,"&lt;&gt;")=0,"",SUMIFS(BD!$R$3:$R$5001,BD!$B$3:$B$5001,C$233,BD!$A$3:$A$5001,_xlfn.MAXIFS(BD!$A$3:$A$5001,BD!$B$3:$B$5001,C$233,BD!$A$3:$A$5001,"&gt;="&amp;$C$7,BD!$A$3:$A$5001,"&lt;="&amp;$B261,BD!$R$3:$R$5001,"&lt;&gt;"))))</f>
        <v/>
      </c>
      <c r="D261" s="54" t="str">
        <f>IF(OR($B261="",$A261&gt;$B$9,D$233=""),"",IF(COUNTIFS(BD!$B$3:$B$5001,D$233,BD!$A$3:$A$5001,"&gt;="&amp;$C$7,BD!$A$3:$A$5001,"&lt;="&amp;$B261,BD!$R$3:$R$5001,"&lt;&gt;")=0,"",SUMIFS(BD!$R$3:$R$5001,BD!$B$3:$B$5001,D$233,BD!$A$3:$A$5001,_xlfn.MAXIFS(BD!$A$3:$A$5001,BD!$B$3:$B$5001,D$233,BD!$A$3:$A$5001,"&gt;="&amp;$C$7,BD!$A$3:$A$5001,"&lt;="&amp;$B261,BD!$R$3:$R$5001,"&lt;&gt;"))))</f>
        <v/>
      </c>
      <c r="E261" s="54" t="str">
        <f>IF(OR($B261="",$A261&gt;$B$9,E$233=""),"",IF(COUNTIFS(BD!$B$3:$B$5001,E$233,BD!$A$3:$A$5001,"&gt;="&amp;$C$7,BD!$A$3:$A$5001,"&lt;="&amp;$B261,BD!$R$3:$R$5001,"&lt;&gt;")=0,"",SUMIFS(BD!$R$3:$R$5001,BD!$B$3:$B$5001,E$233,BD!$A$3:$A$5001,_xlfn.MAXIFS(BD!$A$3:$A$5001,BD!$B$3:$B$5001,E$233,BD!$A$3:$A$5001,"&gt;="&amp;$C$7,BD!$A$3:$A$5001,"&lt;="&amp;$B261,BD!$R$3:$R$5001,"&lt;&gt;"))))</f>
        <v/>
      </c>
      <c r="F261" s="54" t="str">
        <f>IF(OR($B261="",$A261&gt;$B$9,F$233=""),"",IF(COUNTIFS(BD!$B$3:$B$5001,F$233,BD!$A$3:$A$5001,"&gt;="&amp;$C$7,BD!$A$3:$A$5001,"&lt;="&amp;$B261,BD!$R$3:$R$5001,"&lt;&gt;")=0,"",SUMIFS(BD!$R$3:$R$5001,BD!$B$3:$B$5001,F$233,BD!$A$3:$A$5001,_xlfn.MAXIFS(BD!$A$3:$A$5001,BD!$B$3:$B$5001,F$233,BD!$A$3:$A$5001,"&gt;="&amp;$C$7,BD!$A$3:$A$5001,"&lt;="&amp;$B261,BD!$R$3:$R$5001,"&lt;&gt;"))))</f>
        <v/>
      </c>
      <c r="G261" s="54" t="str">
        <f>IF(OR($B261="",$A261&gt;$B$9,G$233=""),"",IF(COUNTIFS(BD!$B$3:$B$5001,G$233,BD!$A$3:$A$5001,"&gt;="&amp;$C$7,BD!$A$3:$A$5001,"&lt;="&amp;$B261,BD!$R$3:$R$5001,"&lt;&gt;")=0,"",SUMIFS(BD!$R$3:$R$5001,BD!$B$3:$B$5001,G$233,BD!$A$3:$A$5001,_xlfn.MAXIFS(BD!$A$3:$A$5001,BD!$B$3:$B$5001,G$233,BD!$A$3:$A$5001,"&gt;="&amp;$C$7,BD!$A$3:$A$5001,"&lt;="&amp;$B261,BD!$R$3:$R$5001,"&lt;&gt;"))))</f>
        <v/>
      </c>
      <c r="H261" s="54" t="str">
        <f>IF(OR($B261="",$A261&gt;$B$9,H$233=""),"",IF(COUNTIFS(BD!$B$3:$B$5001,H$233,BD!$A$3:$A$5001,"&gt;="&amp;$C$7,BD!$A$3:$A$5001,"&lt;="&amp;$B261,BD!$R$3:$R$5001,"&lt;&gt;")=0,"",SUMIFS(BD!$R$3:$R$5001,BD!$B$3:$B$5001,H$233,BD!$A$3:$A$5001,_xlfn.MAXIFS(BD!$A$3:$A$5001,BD!$B$3:$B$5001,H$233,BD!$A$3:$A$5001,"&gt;="&amp;$C$7,BD!$A$3:$A$5001,"&lt;="&amp;$B261,BD!$R$3:$R$5001,"&lt;&gt;"))))</f>
        <v/>
      </c>
      <c r="I261" s="54" t="str">
        <f>IF(OR($B261="",$A261&gt;$B$9,I$233=""),"",IF(COUNTIFS(BD!$B$3:$B$5001,I$233,BD!$A$3:$A$5001,"&gt;="&amp;$C$7,BD!$A$3:$A$5001,"&lt;="&amp;$B261,BD!$R$3:$R$5001,"&lt;&gt;")=0,"",SUMIFS(BD!$R$3:$R$5001,BD!$B$3:$B$5001,I$233,BD!$A$3:$A$5001,_xlfn.MAXIFS(BD!$A$3:$A$5001,BD!$B$3:$B$5001,I$233,BD!$A$3:$A$5001,"&gt;="&amp;$C$7,BD!$A$3:$A$5001,"&lt;="&amp;$B261,BD!$R$3:$R$5001,"&lt;&gt;"))))</f>
        <v/>
      </c>
      <c r="J261" s="54" t="str">
        <f>IF(OR($B261="",$A261&gt;$B$9,J$233=""),"",IF(COUNTIFS(BD!$B$3:$B$5001,J$233,BD!$A$3:$A$5001,"&gt;="&amp;$C$7,BD!$A$3:$A$5001,"&lt;="&amp;$B261,BD!$R$3:$R$5001,"&lt;&gt;")=0,"",SUMIFS(BD!$R$3:$R$5001,BD!$B$3:$B$5001,J$233,BD!$A$3:$A$5001,_xlfn.MAXIFS(BD!$A$3:$A$5001,BD!$B$3:$B$5001,J$233,BD!$A$3:$A$5001,"&gt;="&amp;$C$7,BD!$A$3:$A$5001,"&lt;="&amp;$B261,BD!$R$3:$R$5001,"&lt;&gt;"))))</f>
        <v/>
      </c>
      <c r="K261" s="54" t="str">
        <f>IF(OR($B261="",$A261&gt;$B$9,K$233=""),"",IF(COUNTIFS(BD!$B$3:$B$5001,K$233,BD!$A$3:$A$5001,"&gt;="&amp;$C$7,BD!$A$3:$A$5001,"&lt;="&amp;$B261,BD!$R$3:$R$5001,"&lt;&gt;")=0,"",SUMIFS(BD!$R$3:$R$5001,BD!$B$3:$B$5001,K$233,BD!$A$3:$A$5001,_xlfn.MAXIFS(BD!$A$3:$A$5001,BD!$B$3:$B$5001,K$233,BD!$A$3:$A$5001,"&gt;="&amp;$C$7,BD!$A$3:$A$5001,"&lt;="&amp;$B261,BD!$R$3:$R$5001,"&lt;&gt;"))))</f>
        <v/>
      </c>
      <c r="L261" s="54" t="str">
        <f>IF(OR($B261="",$A261&gt;$B$9,L$233=""),"",IF(COUNTIFS(BD!$B$3:$B$5001,L$233,BD!$A$3:$A$5001,"&gt;="&amp;$C$7,BD!$A$3:$A$5001,"&lt;="&amp;$B261,BD!$R$3:$R$5001,"&lt;&gt;")=0,"",SUMIFS(BD!$R$3:$R$5001,BD!$B$3:$B$5001,L$233,BD!$A$3:$A$5001,_xlfn.MAXIFS(BD!$A$3:$A$5001,BD!$B$3:$B$5001,L$233,BD!$A$3:$A$5001,"&gt;="&amp;$C$7,BD!$A$3:$A$5001,"&lt;="&amp;$B261,BD!$R$3:$R$5001,"&lt;&gt;"))))</f>
        <v/>
      </c>
      <c r="M261" s="54" t="str">
        <f>IF(OR($B261="",$A261&gt;$B$9,M$233=""),"",IF(COUNTIFS(BD!$B$3:$B$5001,M$233,BD!$A$3:$A$5001,"&gt;="&amp;$C$7,BD!$A$3:$A$5001,"&lt;="&amp;$B261,BD!$R$3:$R$5001,"&lt;&gt;")=0,"",SUMIFS(BD!$R$3:$R$5001,BD!$B$3:$B$5001,M$233,BD!$A$3:$A$5001,_xlfn.MAXIFS(BD!$A$3:$A$5001,BD!$B$3:$B$5001,M$233,BD!$A$3:$A$5001,"&gt;="&amp;$C$7,BD!$A$3:$A$5001,"&lt;="&amp;$B261,BD!$R$3:$R$5001,"&lt;&gt;"))))</f>
        <v/>
      </c>
      <c r="N261" s="54" t="str">
        <f>IF(OR($B261="",$A261&gt;$B$9,N$233=""),"",IF(COUNTIFS(BD!$B$3:$B$5001,N$233,BD!$A$3:$A$5001,"&gt;="&amp;$C$7,BD!$A$3:$A$5001,"&lt;="&amp;$B261,BD!$R$3:$R$5001,"&lt;&gt;")=0,"",SUMIFS(BD!$R$3:$R$5001,BD!$B$3:$B$5001,N$233,BD!$A$3:$A$5001,_xlfn.MAXIFS(BD!$A$3:$A$5001,BD!$B$3:$B$5001,N$233,BD!$A$3:$A$5001,"&gt;="&amp;$C$7,BD!$A$3:$A$5001,"&lt;="&amp;$B261,BD!$R$3:$R$5001,"&lt;&gt;"))))</f>
        <v/>
      </c>
      <c r="O261" s="54" t="str">
        <f>IF(OR($B261="",$A261&gt;$B$9,O$233=""),"",IF(COUNTIFS(BD!$B$3:$B$5001,O$233,BD!$A$3:$A$5001,"&gt;="&amp;$C$7,BD!$A$3:$A$5001,"&lt;="&amp;$B261,BD!$R$3:$R$5001,"&lt;&gt;")=0,"",SUMIFS(BD!$R$3:$R$5001,BD!$B$3:$B$5001,O$233,BD!$A$3:$A$5001,_xlfn.MAXIFS(BD!$A$3:$A$5001,BD!$B$3:$B$5001,O$233,BD!$A$3:$A$5001,"&gt;="&amp;$C$7,BD!$A$3:$A$5001,"&lt;="&amp;$B261,BD!$R$3:$R$5001,"&lt;&gt;"))))</f>
        <v/>
      </c>
      <c r="P261" s="54" t="str">
        <f>IF(OR($B261="",$A261&gt;$B$9,P$233=""),"",IF(COUNTIFS(BD!$B$3:$B$5001,P$233,BD!$A$3:$A$5001,"&gt;="&amp;$C$7,BD!$A$3:$A$5001,"&lt;="&amp;$B261,BD!$R$3:$R$5001,"&lt;&gt;")=0,"",SUMIFS(BD!$R$3:$R$5001,BD!$B$3:$B$5001,P$233,BD!$A$3:$A$5001,_xlfn.MAXIFS(BD!$A$3:$A$5001,BD!$B$3:$B$5001,P$233,BD!$A$3:$A$5001,"&gt;="&amp;$C$7,BD!$A$3:$A$5001,"&lt;="&amp;$B261,BD!$R$3:$R$5001,"&lt;&gt;"))))</f>
        <v/>
      </c>
      <c r="Q261" s="54" t="str">
        <f>IF(OR($B261="",$A261&gt;$B$9,Q$233=""),"",IF(COUNTIFS(BD!$B$3:$B$5001,Q$233,BD!$A$3:$A$5001,"&gt;="&amp;$C$7,BD!$A$3:$A$5001,"&lt;="&amp;$B261,BD!$R$3:$R$5001,"&lt;&gt;")=0,"",SUMIFS(BD!$R$3:$R$5001,BD!$B$3:$B$5001,Q$233,BD!$A$3:$A$5001,_xlfn.MAXIFS(BD!$A$3:$A$5001,BD!$B$3:$B$5001,Q$233,BD!$A$3:$A$5001,"&gt;="&amp;$C$7,BD!$A$3:$A$5001,"&lt;="&amp;$B261,BD!$R$3:$R$5001,"&lt;&gt;"))))</f>
        <v/>
      </c>
      <c r="R261" s="54" t="str">
        <f>IF(OR($B261="",$A261&gt;$B$9,R$233=""),"",IF(COUNTIFS(BD!$B$3:$B$5001,R$233,BD!$A$3:$A$5001,"&gt;="&amp;$C$7,BD!$A$3:$A$5001,"&lt;="&amp;$B261,BD!$R$3:$R$5001,"&lt;&gt;")=0,"",SUMIFS(BD!$R$3:$R$5001,BD!$B$3:$B$5001,R$233,BD!$A$3:$A$5001,_xlfn.MAXIFS(BD!$A$3:$A$5001,BD!$B$3:$B$5001,R$233,BD!$A$3:$A$5001,"&gt;="&amp;$C$7,BD!$A$3:$A$5001,"&lt;="&amp;$B261,BD!$R$3:$R$5001,"&lt;&gt;"))))</f>
        <v/>
      </c>
      <c r="S261" s="54" t="str">
        <f>IF(OR($B261="",$A261&gt;$B$9,S$233=""),"",IF(COUNTIFS(BD!$B$3:$B$5001,S$233,BD!$A$3:$A$5001,"&gt;="&amp;$C$7,BD!$A$3:$A$5001,"&lt;="&amp;$B261,BD!$R$3:$R$5001,"&lt;&gt;")=0,"",SUMIFS(BD!$R$3:$R$5001,BD!$B$3:$B$5001,S$233,BD!$A$3:$A$5001,_xlfn.MAXIFS(BD!$A$3:$A$5001,BD!$B$3:$B$5001,S$233,BD!$A$3:$A$5001,"&gt;="&amp;$C$7,BD!$A$3:$A$5001,"&lt;="&amp;$B261,BD!$R$3:$R$5001,"&lt;&gt;"))))</f>
        <v/>
      </c>
      <c r="T261" s="54" t="str">
        <f>IF(OR($B261="",$A261&gt;$B$9,T$233=""),"",IF(COUNTIFS(BD!$B$3:$B$5001,T$233,BD!$A$3:$A$5001,"&gt;="&amp;$C$7,BD!$A$3:$A$5001,"&lt;="&amp;$B261,BD!$R$3:$R$5001,"&lt;&gt;")=0,"",SUMIFS(BD!$R$3:$R$5001,BD!$B$3:$B$5001,T$233,BD!$A$3:$A$5001,_xlfn.MAXIFS(BD!$A$3:$A$5001,BD!$B$3:$B$5001,T$233,BD!$A$3:$A$5001,"&gt;="&amp;$C$7,BD!$A$3:$A$5001,"&lt;="&amp;$B261,BD!$R$3:$R$5001,"&lt;&gt;"))))</f>
        <v/>
      </c>
      <c r="U261" s="54" t="str">
        <f>IF(OR($B261="",$A261&gt;$B$9,U$233=""),"",IF(COUNTIFS(BD!$B$3:$B$5001,U$233,BD!$A$3:$A$5001,"&gt;="&amp;$C$7,BD!$A$3:$A$5001,"&lt;="&amp;$B261,BD!$R$3:$R$5001,"&lt;&gt;")=0,"",SUMIFS(BD!$R$3:$R$5001,BD!$B$3:$B$5001,U$233,BD!$A$3:$A$5001,_xlfn.MAXIFS(BD!$A$3:$A$5001,BD!$B$3:$B$5001,U$233,BD!$A$3:$A$5001,"&gt;="&amp;$C$7,BD!$A$3:$A$5001,"&lt;="&amp;$B261,BD!$R$3:$R$5001,"&lt;&gt;"))))</f>
        <v/>
      </c>
      <c r="V261" s="54" t="str">
        <f>IF(OR($B261="",$A261&gt;$B$9,V$233=""),"",IF(COUNTIFS(BD!$B$3:$B$5001,V$233,BD!$A$3:$A$5001,"&gt;="&amp;$C$7,BD!$A$3:$A$5001,"&lt;="&amp;$B261,BD!$R$3:$R$5001,"&lt;&gt;")=0,"",SUMIFS(BD!$R$3:$R$5001,BD!$B$3:$B$5001,V$233,BD!$A$3:$A$5001,_xlfn.MAXIFS(BD!$A$3:$A$5001,BD!$B$3:$B$5001,V$233,BD!$A$3:$A$5001,"&gt;="&amp;$C$7,BD!$A$3:$A$5001,"&lt;="&amp;$B261,BD!$R$3:$R$5001,"&lt;&gt;"))))</f>
        <v/>
      </c>
    </row>
    <row r="262">
      <c r="A262" s="48">
        <v>29</v>
      </c>
      <c r="B262" s="53">
        <f>$B$40</f>
        <v>46324</v>
      </c>
      <c r="C262" s="54" t="str">
        <f>IF(OR($B262="",$A262&gt;$B$9,C$233=""),"",IF(COUNTIFS(BD!$B$3:$B$5001,C$233,BD!$A$3:$A$5001,"&gt;="&amp;$C$7,BD!$A$3:$A$5001,"&lt;="&amp;$B262,BD!$R$3:$R$5001,"&lt;&gt;")=0,"",SUMIFS(BD!$R$3:$R$5001,BD!$B$3:$B$5001,C$233,BD!$A$3:$A$5001,_xlfn.MAXIFS(BD!$A$3:$A$5001,BD!$B$3:$B$5001,C$233,BD!$A$3:$A$5001,"&gt;="&amp;$C$7,BD!$A$3:$A$5001,"&lt;="&amp;$B262,BD!$R$3:$R$5001,"&lt;&gt;"))))</f>
        <v/>
      </c>
      <c r="D262" s="54" t="str">
        <f>IF(OR($B262="",$A262&gt;$B$9,D$233=""),"",IF(COUNTIFS(BD!$B$3:$B$5001,D$233,BD!$A$3:$A$5001,"&gt;="&amp;$C$7,BD!$A$3:$A$5001,"&lt;="&amp;$B262,BD!$R$3:$R$5001,"&lt;&gt;")=0,"",SUMIFS(BD!$R$3:$R$5001,BD!$B$3:$B$5001,D$233,BD!$A$3:$A$5001,_xlfn.MAXIFS(BD!$A$3:$A$5001,BD!$B$3:$B$5001,D$233,BD!$A$3:$A$5001,"&gt;="&amp;$C$7,BD!$A$3:$A$5001,"&lt;="&amp;$B262,BD!$R$3:$R$5001,"&lt;&gt;"))))</f>
        <v/>
      </c>
      <c r="E262" s="54" t="str">
        <f>IF(OR($B262="",$A262&gt;$B$9,E$233=""),"",IF(COUNTIFS(BD!$B$3:$B$5001,E$233,BD!$A$3:$A$5001,"&gt;="&amp;$C$7,BD!$A$3:$A$5001,"&lt;="&amp;$B262,BD!$R$3:$R$5001,"&lt;&gt;")=0,"",SUMIFS(BD!$R$3:$R$5001,BD!$B$3:$B$5001,E$233,BD!$A$3:$A$5001,_xlfn.MAXIFS(BD!$A$3:$A$5001,BD!$B$3:$B$5001,E$233,BD!$A$3:$A$5001,"&gt;="&amp;$C$7,BD!$A$3:$A$5001,"&lt;="&amp;$B262,BD!$R$3:$R$5001,"&lt;&gt;"))))</f>
        <v/>
      </c>
      <c r="F262" s="54" t="str">
        <f>IF(OR($B262="",$A262&gt;$B$9,F$233=""),"",IF(COUNTIFS(BD!$B$3:$B$5001,F$233,BD!$A$3:$A$5001,"&gt;="&amp;$C$7,BD!$A$3:$A$5001,"&lt;="&amp;$B262,BD!$R$3:$R$5001,"&lt;&gt;")=0,"",SUMIFS(BD!$R$3:$R$5001,BD!$B$3:$B$5001,F$233,BD!$A$3:$A$5001,_xlfn.MAXIFS(BD!$A$3:$A$5001,BD!$B$3:$B$5001,F$233,BD!$A$3:$A$5001,"&gt;="&amp;$C$7,BD!$A$3:$A$5001,"&lt;="&amp;$B262,BD!$R$3:$R$5001,"&lt;&gt;"))))</f>
        <v/>
      </c>
      <c r="G262" s="54" t="str">
        <f>IF(OR($B262="",$A262&gt;$B$9,G$233=""),"",IF(COUNTIFS(BD!$B$3:$B$5001,G$233,BD!$A$3:$A$5001,"&gt;="&amp;$C$7,BD!$A$3:$A$5001,"&lt;="&amp;$B262,BD!$R$3:$R$5001,"&lt;&gt;")=0,"",SUMIFS(BD!$R$3:$R$5001,BD!$B$3:$B$5001,G$233,BD!$A$3:$A$5001,_xlfn.MAXIFS(BD!$A$3:$A$5001,BD!$B$3:$B$5001,G$233,BD!$A$3:$A$5001,"&gt;="&amp;$C$7,BD!$A$3:$A$5001,"&lt;="&amp;$B262,BD!$R$3:$R$5001,"&lt;&gt;"))))</f>
        <v/>
      </c>
      <c r="H262" s="54" t="str">
        <f>IF(OR($B262="",$A262&gt;$B$9,H$233=""),"",IF(COUNTIFS(BD!$B$3:$B$5001,H$233,BD!$A$3:$A$5001,"&gt;="&amp;$C$7,BD!$A$3:$A$5001,"&lt;="&amp;$B262,BD!$R$3:$R$5001,"&lt;&gt;")=0,"",SUMIFS(BD!$R$3:$R$5001,BD!$B$3:$B$5001,H$233,BD!$A$3:$A$5001,_xlfn.MAXIFS(BD!$A$3:$A$5001,BD!$B$3:$B$5001,H$233,BD!$A$3:$A$5001,"&gt;="&amp;$C$7,BD!$A$3:$A$5001,"&lt;="&amp;$B262,BD!$R$3:$R$5001,"&lt;&gt;"))))</f>
        <v/>
      </c>
      <c r="I262" s="54" t="str">
        <f>IF(OR($B262="",$A262&gt;$B$9,I$233=""),"",IF(COUNTIFS(BD!$B$3:$B$5001,I$233,BD!$A$3:$A$5001,"&gt;="&amp;$C$7,BD!$A$3:$A$5001,"&lt;="&amp;$B262,BD!$R$3:$R$5001,"&lt;&gt;")=0,"",SUMIFS(BD!$R$3:$R$5001,BD!$B$3:$B$5001,I$233,BD!$A$3:$A$5001,_xlfn.MAXIFS(BD!$A$3:$A$5001,BD!$B$3:$B$5001,I$233,BD!$A$3:$A$5001,"&gt;="&amp;$C$7,BD!$A$3:$A$5001,"&lt;="&amp;$B262,BD!$R$3:$R$5001,"&lt;&gt;"))))</f>
        <v/>
      </c>
      <c r="J262" s="54" t="str">
        <f>IF(OR($B262="",$A262&gt;$B$9,J$233=""),"",IF(COUNTIFS(BD!$B$3:$B$5001,J$233,BD!$A$3:$A$5001,"&gt;="&amp;$C$7,BD!$A$3:$A$5001,"&lt;="&amp;$B262,BD!$R$3:$R$5001,"&lt;&gt;")=0,"",SUMIFS(BD!$R$3:$R$5001,BD!$B$3:$B$5001,J$233,BD!$A$3:$A$5001,_xlfn.MAXIFS(BD!$A$3:$A$5001,BD!$B$3:$B$5001,J$233,BD!$A$3:$A$5001,"&gt;="&amp;$C$7,BD!$A$3:$A$5001,"&lt;="&amp;$B262,BD!$R$3:$R$5001,"&lt;&gt;"))))</f>
        <v/>
      </c>
      <c r="K262" s="54" t="str">
        <f>IF(OR($B262="",$A262&gt;$B$9,K$233=""),"",IF(COUNTIFS(BD!$B$3:$B$5001,K$233,BD!$A$3:$A$5001,"&gt;="&amp;$C$7,BD!$A$3:$A$5001,"&lt;="&amp;$B262,BD!$R$3:$R$5001,"&lt;&gt;")=0,"",SUMIFS(BD!$R$3:$R$5001,BD!$B$3:$B$5001,K$233,BD!$A$3:$A$5001,_xlfn.MAXIFS(BD!$A$3:$A$5001,BD!$B$3:$B$5001,K$233,BD!$A$3:$A$5001,"&gt;="&amp;$C$7,BD!$A$3:$A$5001,"&lt;="&amp;$B262,BD!$R$3:$R$5001,"&lt;&gt;"))))</f>
        <v/>
      </c>
      <c r="L262" s="54" t="str">
        <f>IF(OR($B262="",$A262&gt;$B$9,L$233=""),"",IF(COUNTIFS(BD!$B$3:$B$5001,L$233,BD!$A$3:$A$5001,"&gt;="&amp;$C$7,BD!$A$3:$A$5001,"&lt;="&amp;$B262,BD!$R$3:$R$5001,"&lt;&gt;")=0,"",SUMIFS(BD!$R$3:$R$5001,BD!$B$3:$B$5001,L$233,BD!$A$3:$A$5001,_xlfn.MAXIFS(BD!$A$3:$A$5001,BD!$B$3:$B$5001,L$233,BD!$A$3:$A$5001,"&gt;="&amp;$C$7,BD!$A$3:$A$5001,"&lt;="&amp;$B262,BD!$R$3:$R$5001,"&lt;&gt;"))))</f>
        <v/>
      </c>
      <c r="M262" s="54" t="str">
        <f>IF(OR($B262="",$A262&gt;$B$9,M$233=""),"",IF(COUNTIFS(BD!$B$3:$B$5001,M$233,BD!$A$3:$A$5001,"&gt;="&amp;$C$7,BD!$A$3:$A$5001,"&lt;="&amp;$B262,BD!$R$3:$R$5001,"&lt;&gt;")=0,"",SUMIFS(BD!$R$3:$R$5001,BD!$B$3:$B$5001,M$233,BD!$A$3:$A$5001,_xlfn.MAXIFS(BD!$A$3:$A$5001,BD!$B$3:$B$5001,M$233,BD!$A$3:$A$5001,"&gt;="&amp;$C$7,BD!$A$3:$A$5001,"&lt;="&amp;$B262,BD!$R$3:$R$5001,"&lt;&gt;"))))</f>
        <v/>
      </c>
      <c r="N262" s="54" t="str">
        <f>IF(OR($B262="",$A262&gt;$B$9,N$233=""),"",IF(COUNTIFS(BD!$B$3:$B$5001,N$233,BD!$A$3:$A$5001,"&gt;="&amp;$C$7,BD!$A$3:$A$5001,"&lt;="&amp;$B262,BD!$R$3:$R$5001,"&lt;&gt;")=0,"",SUMIFS(BD!$R$3:$R$5001,BD!$B$3:$B$5001,N$233,BD!$A$3:$A$5001,_xlfn.MAXIFS(BD!$A$3:$A$5001,BD!$B$3:$B$5001,N$233,BD!$A$3:$A$5001,"&gt;="&amp;$C$7,BD!$A$3:$A$5001,"&lt;="&amp;$B262,BD!$R$3:$R$5001,"&lt;&gt;"))))</f>
        <v/>
      </c>
      <c r="O262" s="54" t="str">
        <f>IF(OR($B262="",$A262&gt;$B$9,O$233=""),"",IF(COUNTIFS(BD!$B$3:$B$5001,O$233,BD!$A$3:$A$5001,"&gt;="&amp;$C$7,BD!$A$3:$A$5001,"&lt;="&amp;$B262,BD!$R$3:$R$5001,"&lt;&gt;")=0,"",SUMIFS(BD!$R$3:$R$5001,BD!$B$3:$B$5001,O$233,BD!$A$3:$A$5001,_xlfn.MAXIFS(BD!$A$3:$A$5001,BD!$B$3:$B$5001,O$233,BD!$A$3:$A$5001,"&gt;="&amp;$C$7,BD!$A$3:$A$5001,"&lt;="&amp;$B262,BD!$R$3:$R$5001,"&lt;&gt;"))))</f>
        <v/>
      </c>
      <c r="P262" s="54" t="str">
        <f>IF(OR($B262="",$A262&gt;$B$9,P$233=""),"",IF(COUNTIFS(BD!$B$3:$B$5001,P$233,BD!$A$3:$A$5001,"&gt;="&amp;$C$7,BD!$A$3:$A$5001,"&lt;="&amp;$B262,BD!$R$3:$R$5001,"&lt;&gt;")=0,"",SUMIFS(BD!$R$3:$R$5001,BD!$B$3:$B$5001,P$233,BD!$A$3:$A$5001,_xlfn.MAXIFS(BD!$A$3:$A$5001,BD!$B$3:$B$5001,P$233,BD!$A$3:$A$5001,"&gt;="&amp;$C$7,BD!$A$3:$A$5001,"&lt;="&amp;$B262,BD!$R$3:$R$5001,"&lt;&gt;"))))</f>
        <v/>
      </c>
      <c r="Q262" s="54" t="str">
        <f>IF(OR($B262="",$A262&gt;$B$9,Q$233=""),"",IF(COUNTIFS(BD!$B$3:$B$5001,Q$233,BD!$A$3:$A$5001,"&gt;="&amp;$C$7,BD!$A$3:$A$5001,"&lt;="&amp;$B262,BD!$R$3:$R$5001,"&lt;&gt;")=0,"",SUMIFS(BD!$R$3:$R$5001,BD!$B$3:$B$5001,Q$233,BD!$A$3:$A$5001,_xlfn.MAXIFS(BD!$A$3:$A$5001,BD!$B$3:$B$5001,Q$233,BD!$A$3:$A$5001,"&gt;="&amp;$C$7,BD!$A$3:$A$5001,"&lt;="&amp;$B262,BD!$R$3:$R$5001,"&lt;&gt;"))))</f>
        <v/>
      </c>
      <c r="R262" s="54" t="str">
        <f>IF(OR($B262="",$A262&gt;$B$9,R$233=""),"",IF(COUNTIFS(BD!$B$3:$B$5001,R$233,BD!$A$3:$A$5001,"&gt;="&amp;$C$7,BD!$A$3:$A$5001,"&lt;="&amp;$B262,BD!$R$3:$R$5001,"&lt;&gt;")=0,"",SUMIFS(BD!$R$3:$R$5001,BD!$B$3:$B$5001,R$233,BD!$A$3:$A$5001,_xlfn.MAXIFS(BD!$A$3:$A$5001,BD!$B$3:$B$5001,R$233,BD!$A$3:$A$5001,"&gt;="&amp;$C$7,BD!$A$3:$A$5001,"&lt;="&amp;$B262,BD!$R$3:$R$5001,"&lt;&gt;"))))</f>
        <v/>
      </c>
      <c r="S262" s="54" t="str">
        <f>IF(OR($B262="",$A262&gt;$B$9,S$233=""),"",IF(COUNTIFS(BD!$B$3:$B$5001,S$233,BD!$A$3:$A$5001,"&gt;="&amp;$C$7,BD!$A$3:$A$5001,"&lt;="&amp;$B262,BD!$R$3:$R$5001,"&lt;&gt;")=0,"",SUMIFS(BD!$R$3:$R$5001,BD!$B$3:$B$5001,S$233,BD!$A$3:$A$5001,_xlfn.MAXIFS(BD!$A$3:$A$5001,BD!$B$3:$B$5001,S$233,BD!$A$3:$A$5001,"&gt;="&amp;$C$7,BD!$A$3:$A$5001,"&lt;="&amp;$B262,BD!$R$3:$R$5001,"&lt;&gt;"))))</f>
        <v/>
      </c>
      <c r="T262" s="54" t="str">
        <f>IF(OR($B262="",$A262&gt;$B$9,T$233=""),"",IF(COUNTIFS(BD!$B$3:$B$5001,T$233,BD!$A$3:$A$5001,"&gt;="&amp;$C$7,BD!$A$3:$A$5001,"&lt;="&amp;$B262,BD!$R$3:$R$5001,"&lt;&gt;")=0,"",SUMIFS(BD!$R$3:$R$5001,BD!$B$3:$B$5001,T$233,BD!$A$3:$A$5001,_xlfn.MAXIFS(BD!$A$3:$A$5001,BD!$B$3:$B$5001,T$233,BD!$A$3:$A$5001,"&gt;="&amp;$C$7,BD!$A$3:$A$5001,"&lt;="&amp;$B262,BD!$R$3:$R$5001,"&lt;&gt;"))))</f>
        <v/>
      </c>
      <c r="U262" s="54" t="str">
        <f>IF(OR($B262="",$A262&gt;$B$9,U$233=""),"",IF(COUNTIFS(BD!$B$3:$B$5001,U$233,BD!$A$3:$A$5001,"&gt;="&amp;$C$7,BD!$A$3:$A$5001,"&lt;="&amp;$B262,BD!$R$3:$R$5001,"&lt;&gt;")=0,"",SUMIFS(BD!$R$3:$R$5001,BD!$B$3:$B$5001,U$233,BD!$A$3:$A$5001,_xlfn.MAXIFS(BD!$A$3:$A$5001,BD!$B$3:$B$5001,U$233,BD!$A$3:$A$5001,"&gt;="&amp;$C$7,BD!$A$3:$A$5001,"&lt;="&amp;$B262,BD!$R$3:$R$5001,"&lt;&gt;"))))</f>
        <v/>
      </c>
      <c r="V262" s="54" t="str">
        <f>IF(OR($B262="",$A262&gt;$B$9,V$233=""),"",IF(COUNTIFS(BD!$B$3:$B$5001,V$233,BD!$A$3:$A$5001,"&gt;="&amp;$C$7,BD!$A$3:$A$5001,"&lt;="&amp;$B262,BD!$R$3:$R$5001,"&lt;&gt;")=0,"",SUMIFS(BD!$R$3:$R$5001,BD!$B$3:$B$5001,V$233,BD!$A$3:$A$5001,_xlfn.MAXIFS(BD!$A$3:$A$5001,BD!$B$3:$B$5001,V$233,BD!$A$3:$A$5001,"&gt;="&amp;$C$7,BD!$A$3:$A$5001,"&lt;="&amp;$B262,BD!$R$3:$R$5001,"&lt;&gt;"))))</f>
        <v/>
      </c>
    </row>
    <row r="263">
      <c r="A263" s="48">
        <v>30</v>
      </c>
      <c r="B263" s="53">
        <f>$B$41</f>
        <v>46325</v>
      </c>
      <c r="C263" s="54" t="str">
        <f>IF(OR($B263="",$A263&gt;$B$9,C$233=""),"",IF(COUNTIFS(BD!$B$3:$B$5001,C$233,BD!$A$3:$A$5001,"&gt;="&amp;$C$7,BD!$A$3:$A$5001,"&lt;="&amp;$B263,BD!$R$3:$R$5001,"&lt;&gt;")=0,"",SUMIFS(BD!$R$3:$R$5001,BD!$B$3:$B$5001,C$233,BD!$A$3:$A$5001,_xlfn.MAXIFS(BD!$A$3:$A$5001,BD!$B$3:$B$5001,C$233,BD!$A$3:$A$5001,"&gt;="&amp;$C$7,BD!$A$3:$A$5001,"&lt;="&amp;$B263,BD!$R$3:$R$5001,"&lt;&gt;"))))</f>
        <v/>
      </c>
      <c r="D263" s="54" t="str">
        <f>IF(OR($B263="",$A263&gt;$B$9,D$233=""),"",IF(COUNTIFS(BD!$B$3:$B$5001,D$233,BD!$A$3:$A$5001,"&gt;="&amp;$C$7,BD!$A$3:$A$5001,"&lt;="&amp;$B263,BD!$R$3:$R$5001,"&lt;&gt;")=0,"",SUMIFS(BD!$R$3:$R$5001,BD!$B$3:$B$5001,D$233,BD!$A$3:$A$5001,_xlfn.MAXIFS(BD!$A$3:$A$5001,BD!$B$3:$B$5001,D$233,BD!$A$3:$A$5001,"&gt;="&amp;$C$7,BD!$A$3:$A$5001,"&lt;="&amp;$B263,BD!$R$3:$R$5001,"&lt;&gt;"))))</f>
        <v/>
      </c>
      <c r="E263" s="54" t="str">
        <f>IF(OR($B263="",$A263&gt;$B$9,E$233=""),"",IF(COUNTIFS(BD!$B$3:$B$5001,E$233,BD!$A$3:$A$5001,"&gt;="&amp;$C$7,BD!$A$3:$A$5001,"&lt;="&amp;$B263,BD!$R$3:$R$5001,"&lt;&gt;")=0,"",SUMIFS(BD!$R$3:$R$5001,BD!$B$3:$B$5001,E$233,BD!$A$3:$A$5001,_xlfn.MAXIFS(BD!$A$3:$A$5001,BD!$B$3:$B$5001,E$233,BD!$A$3:$A$5001,"&gt;="&amp;$C$7,BD!$A$3:$A$5001,"&lt;="&amp;$B263,BD!$R$3:$R$5001,"&lt;&gt;"))))</f>
        <v/>
      </c>
      <c r="F263" s="54" t="str">
        <f>IF(OR($B263="",$A263&gt;$B$9,F$233=""),"",IF(COUNTIFS(BD!$B$3:$B$5001,F$233,BD!$A$3:$A$5001,"&gt;="&amp;$C$7,BD!$A$3:$A$5001,"&lt;="&amp;$B263,BD!$R$3:$R$5001,"&lt;&gt;")=0,"",SUMIFS(BD!$R$3:$R$5001,BD!$B$3:$B$5001,F$233,BD!$A$3:$A$5001,_xlfn.MAXIFS(BD!$A$3:$A$5001,BD!$B$3:$B$5001,F$233,BD!$A$3:$A$5001,"&gt;="&amp;$C$7,BD!$A$3:$A$5001,"&lt;="&amp;$B263,BD!$R$3:$R$5001,"&lt;&gt;"))))</f>
        <v/>
      </c>
      <c r="G263" s="54" t="str">
        <f>IF(OR($B263="",$A263&gt;$B$9,G$233=""),"",IF(COUNTIFS(BD!$B$3:$B$5001,G$233,BD!$A$3:$A$5001,"&gt;="&amp;$C$7,BD!$A$3:$A$5001,"&lt;="&amp;$B263,BD!$R$3:$R$5001,"&lt;&gt;")=0,"",SUMIFS(BD!$R$3:$R$5001,BD!$B$3:$B$5001,G$233,BD!$A$3:$A$5001,_xlfn.MAXIFS(BD!$A$3:$A$5001,BD!$B$3:$B$5001,G$233,BD!$A$3:$A$5001,"&gt;="&amp;$C$7,BD!$A$3:$A$5001,"&lt;="&amp;$B263,BD!$R$3:$R$5001,"&lt;&gt;"))))</f>
        <v/>
      </c>
      <c r="H263" s="54" t="str">
        <f>IF(OR($B263="",$A263&gt;$B$9,H$233=""),"",IF(COUNTIFS(BD!$B$3:$B$5001,H$233,BD!$A$3:$A$5001,"&gt;="&amp;$C$7,BD!$A$3:$A$5001,"&lt;="&amp;$B263,BD!$R$3:$R$5001,"&lt;&gt;")=0,"",SUMIFS(BD!$R$3:$R$5001,BD!$B$3:$B$5001,H$233,BD!$A$3:$A$5001,_xlfn.MAXIFS(BD!$A$3:$A$5001,BD!$B$3:$B$5001,H$233,BD!$A$3:$A$5001,"&gt;="&amp;$C$7,BD!$A$3:$A$5001,"&lt;="&amp;$B263,BD!$R$3:$R$5001,"&lt;&gt;"))))</f>
        <v/>
      </c>
      <c r="I263" s="54" t="str">
        <f>IF(OR($B263="",$A263&gt;$B$9,I$233=""),"",IF(COUNTIFS(BD!$B$3:$B$5001,I$233,BD!$A$3:$A$5001,"&gt;="&amp;$C$7,BD!$A$3:$A$5001,"&lt;="&amp;$B263,BD!$R$3:$R$5001,"&lt;&gt;")=0,"",SUMIFS(BD!$R$3:$R$5001,BD!$B$3:$B$5001,I$233,BD!$A$3:$A$5001,_xlfn.MAXIFS(BD!$A$3:$A$5001,BD!$B$3:$B$5001,I$233,BD!$A$3:$A$5001,"&gt;="&amp;$C$7,BD!$A$3:$A$5001,"&lt;="&amp;$B263,BD!$R$3:$R$5001,"&lt;&gt;"))))</f>
        <v/>
      </c>
      <c r="J263" s="54" t="str">
        <f>IF(OR($B263="",$A263&gt;$B$9,J$233=""),"",IF(COUNTIFS(BD!$B$3:$B$5001,J$233,BD!$A$3:$A$5001,"&gt;="&amp;$C$7,BD!$A$3:$A$5001,"&lt;="&amp;$B263,BD!$R$3:$R$5001,"&lt;&gt;")=0,"",SUMIFS(BD!$R$3:$R$5001,BD!$B$3:$B$5001,J$233,BD!$A$3:$A$5001,_xlfn.MAXIFS(BD!$A$3:$A$5001,BD!$B$3:$B$5001,J$233,BD!$A$3:$A$5001,"&gt;="&amp;$C$7,BD!$A$3:$A$5001,"&lt;="&amp;$B263,BD!$R$3:$R$5001,"&lt;&gt;"))))</f>
        <v/>
      </c>
      <c r="K263" s="54" t="str">
        <f>IF(OR($B263="",$A263&gt;$B$9,K$233=""),"",IF(COUNTIFS(BD!$B$3:$B$5001,K$233,BD!$A$3:$A$5001,"&gt;="&amp;$C$7,BD!$A$3:$A$5001,"&lt;="&amp;$B263,BD!$R$3:$R$5001,"&lt;&gt;")=0,"",SUMIFS(BD!$R$3:$R$5001,BD!$B$3:$B$5001,K$233,BD!$A$3:$A$5001,_xlfn.MAXIFS(BD!$A$3:$A$5001,BD!$B$3:$B$5001,K$233,BD!$A$3:$A$5001,"&gt;="&amp;$C$7,BD!$A$3:$A$5001,"&lt;="&amp;$B263,BD!$R$3:$R$5001,"&lt;&gt;"))))</f>
        <v/>
      </c>
      <c r="L263" s="54" t="str">
        <f>IF(OR($B263="",$A263&gt;$B$9,L$233=""),"",IF(COUNTIFS(BD!$B$3:$B$5001,L$233,BD!$A$3:$A$5001,"&gt;="&amp;$C$7,BD!$A$3:$A$5001,"&lt;="&amp;$B263,BD!$R$3:$R$5001,"&lt;&gt;")=0,"",SUMIFS(BD!$R$3:$R$5001,BD!$B$3:$B$5001,L$233,BD!$A$3:$A$5001,_xlfn.MAXIFS(BD!$A$3:$A$5001,BD!$B$3:$B$5001,L$233,BD!$A$3:$A$5001,"&gt;="&amp;$C$7,BD!$A$3:$A$5001,"&lt;="&amp;$B263,BD!$R$3:$R$5001,"&lt;&gt;"))))</f>
        <v/>
      </c>
      <c r="M263" s="54" t="str">
        <f>IF(OR($B263="",$A263&gt;$B$9,M$233=""),"",IF(COUNTIFS(BD!$B$3:$B$5001,M$233,BD!$A$3:$A$5001,"&gt;="&amp;$C$7,BD!$A$3:$A$5001,"&lt;="&amp;$B263,BD!$R$3:$R$5001,"&lt;&gt;")=0,"",SUMIFS(BD!$R$3:$R$5001,BD!$B$3:$B$5001,M$233,BD!$A$3:$A$5001,_xlfn.MAXIFS(BD!$A$3:$A$5001,BD!$B$3:$B$5001,M$233,BD!$A$3:$A$5001,"&gt;="&amp;$C$7,BD!$A$3:$A$5001,"&lt;="&amp;$B263,BD!$R$3:$R$5001,"&lt;&gt;"))))</f>
        <v/>
      </c>
      <c r="N263" s="54" t="str">
        <f>IF(OR($B263="",$A263&gt;$B$9,N$233=""),"",IF(COUNTIFS(BD!$B$3:$B$5001,N$233,BD!$A$3:$A$5001,"&gt;="&amp;$C$7,BD!$A$3:$A$5001,"&lt;="&amp;$B263,BD!$R$3:$R$5001,"&lt;&gt;")=0,"",SUMIFS(BD!$R$3:$R$5001,BD!$B$3:$B$5001,N$233,BD!$A$3:$A$5001,_xlfn.MAXIFS(BD!$A$3:$A$5001,BD!$B$3:$B$5001,N$233,BD!$A$3:$A$5001,"&gt;="&amp;$C$7,BD!$A$3:$A$5001,"&lt;="&amp;$B263,BD!$R$3:$R$5001,"&lt;&gt;"))))</f>
        <v/>
      </c>
      <c r="O263" s="54" t="str">
        <f>IF(OR($B263="",$A263&gt;$B$9,O$233=""),"",IF(COUNTIFS(BD!$B$3:$B$5001,O$233,BD!$A$3:$A$5001,"&gt;="&amp;$C$7,BD!$A$3:$A$5001,"&lt;="&amp;$B263,BD!$R$3:$R$5001,"&lt;&gt;")=0,"",SUMIFS(BD!$R$3:$R$5001,BD!$B$3:$B$5001,O$233,BD!$A$3:$A$5001,_xlfn.MAXIFS(BD!$A$3:$A$5001,BD!$B$3:$B$5001,O$233,BD!$A$3:$A$5001,"&gt;="&amp;$C$7,BD!$A$3:$A$5001,"&lt;="&amp;$B263,BD!$R$3:$R$5001,"&lt;&gt;"))))</f>
        <v/>
      </c>
      <c r="P263" s="54" t="str">
        <f>IF(OR($B263="",$A263&gt;$B$9,P$233=""),"",IF(COUNTIFS(BD!$B$3:$B$5001,P$233,BD!$A$3:$A$5001,"&gt;="&amp;$C$7,BD!$A$3:$A$5001,"&lt;="&amp;$B263,BD!$R$3:$R$5001,"&lt;&gt;")=0,"",SUMIFS(BD!$R$3:$R$5001,BD!$B$3:$B$5001,P$233,BD!$A$3:$A$5001,_xlfn.MAXIFS(BD!$A$3:$A$5001,BD!$B$3:$B$5001,P$233,BD!$A$3:$A$5001,"&gt;="&amp;$C$7,BD!$A$3:$A$5001,"&lt;="&amp;$B263,BD!$R$3:$R$5001,"&lt;&gt;"))))</f>
        <v/>
      </c>
      <c r="Q263" s="54" t="str">
        <f>IF(OR($B263="",$A263&gt;$B$9,Q$233=""),"",IF(COUNTIFS(BD!$B$3:$B$5001,Q$233,BD!$A$3:$A$5001,"&gt;="&amp;$C$7,BD!$A$3:$A$5001,"&lt;="&amp;$B263,BD!$R$3:$R$5001,"&lt;&gt;")=0,"",SUMIFS(BD!$R$3:$R$5001,BD!$B$3:$B$5001,Q$233,BD!$A$3:$A$5001,_xlfn.MAXIFS(BD!$A$3:$A$5001,BD!$B$3:$B$5001,Q$233,BD!$A$3:$A$5001,"&gt;="&amp;$C$7,BD!$A$3:$A$5001,"&lt;="&amp;$B263,BD!$R$3:$R$5001,"&lt;&gt;"))))</f>
        <v/>
      </c>
      <c r="R263" s="54" t="str">
        <f>IF(OR($B263="",$A263&gt;$B$9,R$233=""),"",IF(COUNTIFS(BD!$B$3:$B$5001,R$233,BD!$A$3:$A$5001,"&gt;="&amp;$C$7,BD!$A$3:$A$5001,"&lt;="&amp;$B263,BD!$R$3:$R$5001,"&lt;&gt;")=0,"",SUMIFS(BD!$R$3:$R$5001,BD!$B$3:$B$5001,R$233,BD!$A$3:$A$5001,_xlfn.MAXIFS(BD!$A$3:$A$5001,BD!$B$3:$B$5001,R$233,BD!$A$3:$A$5001,"&gt;="&amp;$C$7,BD!$A$3:$A$5001,"&lt;="&amp;$B263,BD!$R$3:$R$5001,"&lt;&gt;"))))</f>
        <v/>
      </c>
      <c r="S263" s="54" t="str">
        <f>IF(OR($B263="",$A263&gt;$B$9,S$233=""),"",IF(COUNTIFS(BD!$B$3:$B$5001,S$233,BD!$A$3:$A$5001,"&gt;="&amp;$C$7,BD!$A$3:$A$5001,"&lt;="&amp;$B263,BD!$R$3:$R$5001,"&lt;&gt;")=0,"",SUMIFS(BD!$R$3:$R$5001,BD!$B$3:$B$5001,S$233,BD!$A$3:$A$5001,_xlfn.MAXIFS(BD!$A$3:$A$5001,BD!$B$3:$B$5001,S$233,BD!$A$3:$A$5001,"&gt;="&amp;$C$7,BD!$A$3:$A$5001,"&lt;="&amp;$B263,BD!$R$3:$R$5001,"&lt;&gt;"))))</f>
        <v/>
      </c>
      <c r="T263" s="54" t="str">
        <f>IF(OR($B263="",$A263&gt;$B$9,T$233=""),"",IF(COUNTIFS(BD!$B$3:$B$5001,T$233,BD!$A$3:$A$5001,"&gt;="&amp;$C$7,BD!$A$3:$A$5001,"&lt;="&amp;$B263,BD!$R$3:$R$5001,"&lt;&gt;")=0,"",SUMIFS(BD!$R$3:$R$5001,BD!$B$3:$B$5001,T$233,BD!$A$3:$A$5001,_xlfn.MAXIFS(BD!$A$3:$A$5001,BD!$B$3:$B$5001,T$233,BD!$A$3:$A$5001,"&gt;="&amp;$C$7,BD!$A$3:$A$5001,"&lt;="&amp;$B263,BD!$R$3:$R$5001,"&lt;&gt;"))))</f>
        <v/>
      </c>
      <c r="U263" s="54" t="str">
        <f>IF(OR($B263="",$A263&gt;$B$9,U$233=""),"",IF(COUNTIFS(BD!$B$3:$B$5001,U$233,BD!$A$3:$A$5001,"&gt;="&amp;$C$7,BD!$A$3:$A$5001,"&lt;="&amp;$B263,BD!$R$3:$R$5001,"&lt;&gt;")=0,"",SUMIFS(BD!$R$3:$R$5001,BD!$B$3:$B$5001,U$233,BD!$A$3:$A$5001,_xlfn.MAXIFS(BD!$A$3:$A$5001,BD!$B$3:$B$5001,U$233,BD!$A$3:$A$5001,"&gt;="&amp;$C$7,BD!$A$3:$A$5001,"&lt;="&amp;$B263,BD!$R$3:$R$5001,"&lt;&gt;"))))</f>
        <v/>
      </c>
      <c r="V263" s="54" t="str">
        <f>IF(OR($B263="",$A263&gt;$B$9,V$233=""),"",IF(COUNTIFS(BD!$B$3:$B$5001,V$233,BD!$A$3:$A$5001,"&gt;="&amp;$C$7,BD!$A$3:$A$5001,"&lt;="&amp;$B263,BD!$R$3:$R$5001,"&lt;&gt;")=0,"",SUMIFS(BD!$R$3:$R$5001,BD!$B$3:$B$5001,V$233,BD!$A$3:$A$5001,_xlfn.MAXIFS(BD!$A$3:$A$5001,BD!$B$3:$B$5001,V$233,BD!$A$3:$A$5001,"&gt;="&amp;$C$7,BD!$A$3:$A$5001,"&lt;="&amp;$B263,BD!$R$3:$R$5001,"&lt;&gt;"))))</f>
        <v/>
      </c>
    </row>
    <row r="264">
      <c r="A264" s="48">
        <v>31</v>
      </c>
      <c r="B264" s="53">
        <f>$B$42</f>
        <v>46326</v>
      </c>
      <c r="C264" s="54" t="str">
        <f>IF(OR($B264="",$A264&gt;$B$9,C$233=""),"",IF(COUNTIFS(BD!$B$3:$B$5001,C$233,BD!$A$3:$A$5001,"&gt;="&amp;$C$7,BD!$A$3:$A$5001,"&lt;="&amp;$B264,BD!$R$3:$R$5001,"&lt;&gt;")=0,"",SUMIFS(BD!$R$3:$R$5001,BD!$B$3:$B$5001,C$233,BD!$A$3:$A$5001,_xlfn.MAXIFS(BD!$A$3:$A$5001,BD!$B$3:$B$5001,C$233,BD!$A$3:$A$5001,"&gt;="&amp;$C$7,BD!$A$3:$A$5001,"&lt;="&amp;$B264,BD!$R$3:$R$5001,"&lt;&gt;"))))</f>
        <v/>
      </c>
      <c r="D264" s="54" t="str">
        <f>IF(OR($B264="",$A264&gt;$B$9,D$233=""),"",IF(COUNTIFS(BD!$B$3:$B$5001,D$233,BD!$A$3:$A$5001,"&gt;="&amp;$C$7,BD!$A$3:$A$5001,"&lt;="&amp;$B264,BD!$R$3:$R$5001,"&lt;&gt;")=0,"",SUMIFS(BD!$R$3:$R$5001,BD!$B$3:$B$5001,D$233,BD!$A$3:$A$5001,_xlfn.MAXIFS(BD!$A$3:$A$5001,BD!$B$3:$B$5001,D$233,BD!$A$3:$A$5001,"&gt;="&amp;$C$7,BD!$A$3:$A$5001,"&lt;="&amp;$B264,BD!$R$3:$R$5001,"&lt;&gt;"))))</f>
        <v/>
      </c>
      <c r="E264" s="54" t="str">
        <f>IF(OR($B264="",$A264&gt;$B$9,E$233=""),"",IF(COUNTIFS(BD!$B$3:$B$5001,E$233,BD!$A$3:$A$5001,"&gt;="&amp;$C$7,BD!$A$3:$A$5001,"&lt;="&amp;$B264,BD!$R$3:$R$5001,"&lt;&gt;")=0,"",SUMIFS(BD!$R$3:$R$5001,BD!$B$3:$B$5001,E$233,BD!$A$3:$A$5001,_xlfn.MAXIFS(BD!$A$3:$A$5001,BD!$B$3:$B$5001,E$233,BD!$A$3:$A$5001,"&gt;="&amp;$C$7,BD!$A$3:$A$5001,"&lt;="&amp;$B264,BD!$R$3:$R$5001,"&lt;&gt;"))))</f>
        <v/>
      </c>
      <c r="F264" s="54" t="str">
        <f>IF(OR($B264="",$A264&gt;$B$9,F$233=""),"",IF(COUNTIFS(BD!$B$3:$B$5001,F$233,BD!$A$3:$A$5001,"&gt;="&amp;$C$7,BD!$A$3:$A$5001,"&lt;="&amp;$B264,BD!$R$3:$R$5001,"&lt;&gt;")=0,"",SUMIFS(BD!$R$3:$R$5001,BD!$B$3:$B$5001,F$233,BD!$A$3:$A$5001,_xlfn.MAXIFS(BD!$A$3:$A$5001,BD!$B$3:$B$5001,F$233,BD!$A$3:$A$5001,"&gt;="&amp;$C$7,BD!$A$3:$A$5001,"&lt;="&amp;$B264,BD!$R$3:$R$5001,"&lt;&gt;"))))</f>
        <v/>
      </c>
      <c r="G264" s="54" t="str">
        <f>IF(OR($B264="",$A264&gt;$B$9,G$233=""),"",IF(COUNTIFS(BD!$B$3:$B$5001,G$233,BD!$A$3:$A$5001,"&gt;="&amp;$C$7,BD!$A$3:$A$5001,"&lt;="&amp;$B264,BD!$R$3:$R$5001,"&lt;&gt;")=0,"",SUMIFS(BD!$R$3:$R$5001,BD!$B$3:$B$5001,G$233,BD!$A$3:$A$5001,_xlfn.MAXIFS(BD!$A$3:$A$5001,BD!$B$3:$B$5001,G$233,BD!$A$3:$A$5001,"&gt;="&amp;$C$7,BD!$A$3:$A$5001,"&lt;="&amp;$B264,BD!$R$3:$R$5001,"&lt;&gt;"))))</f>
        <v/>
      </c>
      <c r="H264" s="54" t="str">
        <f>IF(OR($B264="",$A264&gt;$B$9,H$233=""),"",IF(COUNTIFS(BD!$B$3:$B$5001,H$233,BD!$A$3:$A$5001,"&gt;="&amp;$C$7,BD!$A$3:$A$5001,"&lt;="&amp;$B264,BD!$R$3:$R$5001,"&lt;&gt;")=0,"",SUMIFS(BD!$R$3:$R$5001,BD!$B$3:$B$5001,H$233,BD!$A$3:$A$5001,_xlfn.MAXIFS(BD!$A$3:$A$5001,BD!$B$3:$B$5001,H$233,BD!$A$3:$A$5001,"&gt;="&amp;$C$7,BD!$A$3:$A$5001,"&lt;="&amp;$B264,BD!$R$3:$R$5001,"&lt;&gt;"))))</f>
        <v/>
      </c>
      <c r="I264" s="54" t="str">
        <f>IF(OR($B264="",$A264&gt;$B$9,I$233=""),"",IF(COUNTIFS(BD!$B$3:$B$5001,I$233,BD!$A$3:$A$5001,"&gt;="&amp;$C$7,BD!$A$3:$A$5001,"&lt;="&amp;$B264,BD!$R$3:$R$5001,"&lt;&gt;")=0,"",SUMIFS(BD!$R$3:$R$5001,BD!$B$3:$B$5001,I$233,BD!$A$3:$A$5001,_xlfn.MAXIFS(BD!$A$3:$A$5001,BD!$B$3:$B$5001,I$233,BD!$A$3:$A$5001,"&gt;="&amp;$C$7,BD!$A$3:$A$5001,"&lt;="&amp;$B264,BD!$R$3:$R$5001,"&lt;&gt;"))))</f>
        <v/>
      </c>
      <c r="J264" s="54" t="str">
        <f>IF(OR($B264="",$A264&gt;$B$9,J$233=""),"",IF(COUNTIFS(BD!$B$3:$B$5001,J$233,BD!$A$3:$A$5001,"&gt;="&amp;$C$7,BD!$A$3:$A$5001,"&lt;="&amp;$B264,BD!$R$3:$R$5001,"&lt;&gt;")=0,"",SUMIFS(BD!$R$3:$R$5001,BD!$B$3:$B$5001,J$233,BD!$A$3:$A$5001,_xlfn.MAXIFS(BD!$A$3:$A$5001,BD!$B$3:$B$5001,J$233,BD!$A$3:$A$5001,"&gt;="&amp;$C$7,BD!$A$3:$A$5001,"&lt;="&amp;$B264,BD!$R$3:$R$5001,"&lt;&gt;"))))</f>
        <v/>
      </c>
      <c r="K264" s="54" t="str">
        <f>IF(OR($B264="",$A264&gt;$B$9,K$233=""),"",IF(COUNTIFS(BD!$B$3:$B$5001,K$233,BD!$A$3:$A$5001,"&gt;="&amp;$C$7,BD!$A$3:$A$5001,"&lt;="&amp;$B264,BD!$R$3:$R$5001,"&lt;&gt;")=0,"",SUMIFS(BD!$R$3:$R$5001,BD!$B$3:$B$5001,K$233,BD!$A$3:$A$5001,_xlfn.MAXIFS(BD!$A$3:$A$5001,BD!$B$3:$B$5001,K$233,BD!$A$3:$A$5001,"&gt;="&amp;$C$7,BD!$A$3:$A$5001,"&lt;="&amp;$B264,BD!$R$3:$R$5001,"&lt;&gt;"))))</f>
        <v/>
      </c>
      <c r="L264" s="54" t="str">
        <f>IF(OR($B264="",$A264&gt;$B$9,L$233=""),"",IF(COUNTIFS(BD!$B$3:$B$5001,L$233,BD!$A$3:$A$5001,"&gt;="&amp;$C$7,BD!$A$3:$A$5001,"&lt;="&amp;$B264,BD!$R$3:$R$5001,"&lt;&gt;")=0,"",SUMIFS(BD!$R$3:$R$5001,BD!$B$3:$B$5001,L$233,BD!$A$3:$A$5001,_xlfn.MAXIFS(BD!$A$3:$A$5001,BD!$B$3:$B$5001,L$233,BD!$A$3:$A$5001,"&gt;="&amp;$C$7,BD!$A$3:$A$5001,"&lt;="&amp;$B264,BD!$R$3:$R$5001,"&lt;&gt;"))))</f>
        <v/>
      </c>
      <c r="M264" s="54" t="str">
        <f>IF(OR($B264="",$A264&gt;$B$9,M$233=""),"",IF(COUNTIFS(BD!$B$3:$B$5001,M$233,BD!$A$3:$A$5001,"&gt;="&amp;$C$7,BD!$A$3:$A$5001,"&lt;="&amp;$B264,BD!$R$3:$R$5001,"&lt;&gt;")=0,"",SUMIFS(BD!$R$3:$R$5001,BD!$B$3:$B$5001,M$233,BD!$A$3:$A$5001,_xlfn.MAXIFS(BD!$A$3:$A$5001,BD!$B$3:$B$5001,M$233,BD!$A$3:$A$5001,"&gt;="&amp;$C$7,BD!$A$3:$A$5001,"&lt;="&amp;$B264,BD!$R$3:$R$5001,"&lt;&gt;"))))</f>
        <v/>
      </c>
      <c r="N264" s="54" t="str">
        <f>IF(OR($B264="",$A264&gt;$B$9,N$233=""),"",IF(COUNTIFS(BD!$B$3:$B$5001,N$233,BD!$A$3:$A$5001,"&gt;="&amp;$C$7,BD!$A$3:$A$5001,"&lt;="&amp;$B264,BD!$R$3:$R$5001,"&lt;&gt;")=0,"",SUMIFS(BD!$R$3:$R$5001,BD!$B$3:$B$5001,N$233,BD!$A$3:$A$5001,_xlfn.MAXIFS(BD!$A$3:$A$5001,BD!$B$3:$B$5001,N$233,BD!$A$3:$A$5001,"&gt;="&amp;$C$7,BD!$A$3:$A$5001,"&lt;="&amp;$B264,BD!$R$3:$R$5001,"&lt;&gt;"))))</f>
        <v/>
      </c>
      <c r="O264" s="54" t="str">
        <f>IF(OR($B264="",$A264&gt;$B$9,O$233=""),"",IF(COUNTIFS(BD!$B$3:$B$5001,O$233,BD!$A$3:$A$5001,"&gt;="&amp;$C$7,BD!$A$3:$A$5001,"&lt;="&amp;$B264,BD!$R$3:$R$5001,"&lt;&gt;")=0,"",SUMIFS(BD!$R$3:$R$5001,BD!$B$3:$B$5001,O$233,BD!$A$3:$A$5001,_xlfn.MAXIFS(BD!$A$3:$A$5001,BD!$B$3:$B$5001,O$233,BD!$A$3:$A$5001,"&gt;="&amp;$C$7,BD!$A$3:$A$5001,"&lt;="&amp;$B264,BD!$R$3:$R$5001,"&lt;&gt;"))))</f>
        <v/>
      </c>
      <c r="P264" s="54" t="str">
        <f>IF(OR($B264="",$A264&gt;$B$9,P$233=""),"",IF(COUNTIFS(BD!$B$3:$B$5001,P$233,BD!$A$3:$A$5001,"&gt;="&amp;$C$7,BD!$A$3:$A$5001,"&lt;="&amp;$B264,BD!$R$3:$R$5001,"&lt;&gt;")=0,"",SUMIFS(BD!$R$3:$R$5001,BD!$B$3:$B$5001,P$233,BD!$A$3:$A$5001,_xlfn.MAXIFS(BD!$A$3:$A$5001,BD!$B$3:$B$5001,P$233,BD!$A$3:$A$5001,"&gt;="&amp;$C$7,BD!$A$3:$A$5001,"&lt;="&amp;$B264,BD!$R$3:$R$5001,"&lt;&gt;"))))</f>
        <v/>
      </c>
      <c r="Q264" s="54" t="str">
        <f>IF(OR($B264="",$A264&gt;$B$9,Q$233=""),"",IF(COUNTIFS(BD!$B$3:$B$5001,Q$233,BD!$A$3:$A$5001,"&gt;="&amp;$C$7,BD!$A$3:$A$5001,"&lt;="&amp;$B264,BD!$R$3:$R$5001,"&lt;&gt;")=0,"",SUMIFS(BD!$R$3:$R$5001,BD!$B$3:$B$5001,Q$233,BD!$A$3:$A$5001,_xlfn.MAXIFS(BD!$A$3:$A$5001,BD!$B$3:$B$5001,Q$233,BD!$A$3:$A$5001,"&gt;="&amp;$C$7,BD!$A$3:$A$5001,"&lt;="&amp;$B264,BD!$R$3:$R$5001,"&lt;&gt;"))))</f>
        <v/>
      </c>
      <c r="R264" s="54" t="str">
        <f>IF(OR($B264="",$A264&gt;$B$9,R$233=""),"",IF(COUNTIFS(BD!$B$3:$B$5001,R$233,BD!$A$3:$A$5001,"&gt;="&amp;$C$7,BD!$A$3:$A$5001,"&lt;="&amp;$B264,BD!$R$3:$R$5001,"&lt;&gt;")=0,"",SUMIFS(BD!$R$3:$R$5001,BD!$B$3:$B$5001,R$233,BD!$A$3:$A$5001,_xlfn.MAXIFS(BD!$A$3:$A$5001,BD!$B$3:$B$5001,R$233,BD!$A$3:$A$5001,"&gt;="&amp;$C$7,BD!$A$3:$A$5001,"&lt;="&amp;$B264,BD!$R$3:$R$5001,"&lt;&gt;"))))</f>
        <v/>
      </c>
      <c r="S264" s="54" t="str">
        <f>IF(OR($B264="",$A264&gt;$B$9,S$233=""),"",IF(COUNTIFS(BD!$B$3:$B$5001,S$233,BD!$A$3:$A$5001,"&gt;="&amp;$C$7,BD!$A$3:$A$5001,"&lt;="&amp;$B264,BD!$R$3:$R$5001,"&lt;&gt;")=0,"",SUMIFS(BD!$R$3:$R$5001,BD!$B$3:$B$5001,S$233,BD!$A$3:$A$5001,_xlfn.MAXIFS(BD!$A$3:$A$5001,BD!$B$3:$B$5001,S$233,BD!$A$3:$A$5001,"&gt;="&amp;$C$7,BD!$A$3:$A$5001,"&lt;="&amp;$B264,BD!$R$3:$R$5001,"&lt;&gt;"))))</f>
        <v/>
      </c>
      <c r="T264" s="54" t="str">
        <f>IF(OR($B264="",$A264&gt;$B$9,T$233=""),"",IF(COUNTIFS(BD!$B$3:$B$5001,T$233,BD!$A$3:$A$5001,"&gt;="&amp;$C$7,BD!$A$3:$A$5001,"&lt;="&amp;$B264,BD!$R$3:$R$5001,"&lt;&gt;")=0,"",SUMIFS(BD!$R$3:$R$5001,BD!$B$3:$B$5001,T$233,BD!$A$3:$A$5001,_xlfn.MAXIFS(BD!$A$3:$A$5001,BD!$B$3:$B$5001,T$233,BD!$A$3:$A$5001,"&gt;="&amp;$C$7,BD!$A$3:$A$5001,"&lt;="&amp;$B264,BD!$R$3:$R$5001,"&lt;&gt;"))))</f>
        <v/>
      </c>
      <c r="U264" s="54" t="str">
        <f>IF(OR($B264="",$A264&gt;$B$9,U$233=""),"",IF(COUNTIFS(BD!$B$3:$B$5001,U$233,BD!$A$3:$A$5001,"&gt;="&amp;$C$7,BD!$A$3:$A$5001,"&lt;="&amp;$B264,BD!$R$3:$R$5001,"&lt;&gt;")=0,"",SUMIFS(BD!$R$3:$R$5001,BD!$B$3:$B$5001,U$233,BD!$A$3:$A$5001,_xlfn.MAXIFS(BD!$A$3:$A$5001,BD!$B$3:$B$5001,U$233,BD!$A$3:$A$5001,"&gt;="&amp;$C$7,BD!$A$3:$A$5001,"&lt;="&amp;$B264,BD!$R$3:$R$5001,"&lt;&gt;"))))</f>
        <v/>
      </c>
      <c r="V264" s="54" t="str">
        <f>IF(OR($B264="",$A264&gt;$B$9,V$233=""),"",IF(COUNTIFS(BD!$B$3:$B$5001,V$233,BD!$A$3:$A$5001,"&gt;="&amp;$C$7,BD!$A$3:$A$5001,"&lt;="&amp;$B264,BD!$R$3:$R$5001,"&lt;&gt;")=0,"",SUMIFS(BD!$R$3:$R$5001,BD!$B$3:$B$5001,V$233,BD!$A$3:$A$5001,_xlfn.MAXIFS(BD!$A$3:$A$5001,BD!$B$3:$B$5001,V$233,BD!$A$3:$A$5001,"&gt;="&amp;$C$7,BD!$A$3:$A$5001,"&lt;="&amp;$B264,BD!$R$3:$R$5001,"&lt;&gt;"))))</f>
        <v/>
      </c>
    </row>
    <row r="265">
      <c r="A265" s="55" t="inlineStr">
        <is>
          <t xml:space="preserve">Mês anterior (último)</t>
        </is>
      </c>
      <c r="C265" s="56" t="str">
        <f>IF(C$233="","",IF(COUNTIFS(BD!$B$3:$B$5001,C$233,BD!$A$3:$A$5001,"&gt;="&amp;$C$8,BD!$A$3:$A$5001,"&lt;="&amp;$D$8,BD!$R$3:$R$5001,"&lt;&gt;")=0,"",SUMIFS(BD!$R$3:$R$5001,BD!$B$3:$B$5001,C$233,BD!$A$3:$A$5001,_xlfn.MAXIFS(BD!$A$3:$A$5001,BD!$B$3:$B$5001,C$233,BD!$A$3:$A$5001,"&gt;="&amp;$C$8,BD!$A$3:$A$5001,"&lt;="&amp;$D$8,BD!$R$3:$R$5001,"&lt;&gt;"))))</f>
        <v/>
      </c>
      <c r="D265" s="56" t="str">
        <f>IF(D$233="","",IF(COUNTIFS(BD!$B$3:$B$5001,D$233,BD!$A$3:$A$5001,"&gt;="&amp;$C$8,BD!$A$3:$A$5001,"&lt;="&amp;$D$8,BD!$R$3:$R$5001,"&lt;&gt;")=0,"",SUMIFS(BD!$R$3:$R$5001,BD!$B$3:$B$5001,D$233,BD!$A$3:$A$5001,_xlfn.MAXIFS(BD!$A$3:$A$5001,BD!$B$3:$B$5001,D$233,BD!$A$3:$A$5001,"&gt;="&amp;$C$8,BD!$A$3:$A$5001,"&lt;="&amp;$D$8,BD!$R$3:$R$5001,"&lt;&gt;"))))</f>
        <v/>
      </c>
      <c r="E265" s="56" t="str">
        <f>IF(E$233="","",IF(COUNTIFS(BD!$B$3:$B$5001,E$233,BD!$A$3:$A$5001,"&gt;="&amp;$C$8,BD!$A$3:$A$5001,"&lt;="&amp;$D$8,BD!$R$3:$R$5001,"&lt;&gt;")=0,"",SUMIFS(BD!$R$3:$R$5001,BD!$B$3:$B$5001,E$233,BD!$A$3:$A$5001,_xlfn.MAXIFS(BD!$A$3:$A$5001,BD!$B$3:$B$5001,E$233,BD!$A$3:$A$5001,"&gt;="&amp;$C$8,BD!$A$3:$A$5001,"&lt;="&amp;$D$8,BD!$R$3:$R$5001,"&lt;&gt;"))))</f>
        <v/>
      </c>
      <c r="F265" s="56" t="str">
        <f>IF(F$233="","",IF(COUNTIFS(BD!$B$3:$B$5001,F$233,BD!$A$3:$A$5001,"&gt;="&amp;$C$8,BD!$A$3:$A$5001,"&lt;="&amp;$D$8,BD!$R$3:$R$5001,"&lt;&gt;")=0,"",SUMIFS(BD!$R$3:$R$5001,BD!$B$3:$B$5001,F$233,BD!$A$3:$A$5001,_xlfn.MAXIFS(BD!$A$3:$A$5001,BD!$B$3:$B$5001,F$233,BD!$A$3:$A$5001,"&gt;="&amp;$C$8,BD!$A$3:$A$5001,"&lt;="&amp;$D$8,BD!$R$3:$R$5001,"&lt;&gt;"))))</f>
        <v/>
      </c>
      <c r="G265" s="56" t="str">
        <f>IF(G$233="","",IF(COUNTIFS(BD!$B$3:$B$5001,G$233,BD!$A$3:$A$5001,"&gt;="&amp;$C$8,BD!$A$3:$A$5001,"&lt;="&amp;$D$8,BD!$R$3:$R$5001,"&lt;&gt;")=0,"",SUMIFS(BD!$R$3:$R$5001,BD!$B$3:$B$5001,G$233,BD!$A$3:$A$5001,_xlfn.MAXIFS(BD!$A$3:$A$5001,BD!$B$3:$B$5001,G$233,BD!$A$3:$A$5001,"&gt;="&amp;$C$8,BD!$A$3:$A$5001,"&lt;="&amp;$D$8,BD!$R$3:$R$5001,"&lt;&gt;"))))</f>
        <v/>
      </c>
      <c r="H265" s="56" t="str">
        <f>IF(H$233="","",IF(COUNTIFS(BD!$B$3:$B$5001,H$233,BD!$A$3:$A$5001,"&gt;="&amp;$C$8,BD!$A$3:$A$5001,"&lt;="&amp;$D$8,BD!$R$3:$R$5001,"&lt;&gt;")=0,"",SUMIFS(BD!$R$3:$R$5001,BD!$B$3:$B$5001,H$233,BD!$A$3:$A$5001,_xlfn.MAXIFS(BD!$A$3:$A$5001,BD!$B$3:$B$5001,H$233,BD!$A$3:$A$5001,"&gt;="&amp;$C$8,BD!$A$3:$A$5001,"&lt;="&amp;$D$8,BD!$R$3:$R$5001,"&lt;&gt;"))))</f>
        <v/>
      </c>
      <c r="I265" s="56" t="str">
        <f>IF(I$233="","",IF(COUNTIFS(BD!$B$3:$B$5001,I$233,BD!$A$3:$A$5001,"&gt;="&amp;$C$8,BD!$A$3:$A$5001,"&lt;="&amp;$D$8,BD!$R$3:$R$5001,"&lt;&gt;")=0,"",SUMIFS(BD!$R$3:$R$5001,BD!$B$3:$B$5001,I$233,BD!$A$3:$A$5001,_xlfn.MAXIFS(BD!$A$3:$A$5001,BD!$B$3:$B$5001,I$233,BD!$A$3:$A$5001,"&gt;="&amp;$C$8,BD!$A$3:$A$5001,"&lt;="&amp;$D$8,BD!$R$3:$R$5001,"&lt;&gt;"))))</f>
        <v/>
      </c>
      <c r="J265" s="56" t="str">
        <f>IF(J$233="","",IF(COUNTIFS(BD!$B$3:$B$5001,J$233,BD!$A$3:$A$5001,"&gt;="&amp;$C$8,BD!$A$3:$A$5001,"&lt;="&amp;$D$8,BD!$R$3:$R$5001,"&lt;&gt;")=0,"",SUMIFS(BD!$R$3:$R$5001,BD!$B$3:$B$5001,J$233,BD!$A$3:$A$5001,_xlfn.MAXIFS(BD!$A$3:$A$5001,BD!$B$3:$B$5001,J$233,BD!$A$3:$A$5001,"&gt;="&amp;$C$8,BD!$A$3:$A$5001,"&lt;="&amp;$D$8,BD!$R$3:$R$5001,"&lt;&gt;"))))</f>
        <v/>
      </c>
      <c r="K265" s="56" t="str">
        <f>IF(K$233="","",IF(COUNTIFS(BD!$B$3:$B$5001,K$233,BD!$A$3:$A$5001,"&gt;="&amp;$C$8,BD!$A$3:$A$5001,"&lt;="&amp;$D$8,BD!$R$3:$R$5001,"&lt;&gt;")=0,"",SUMIFS(BD!$R$3:$R$5001,BD!$B$3:$B$5001,K$233,BD!$A$3:$A$5001,_xlfn.MAXIFS(BD!$A$3:$A$5001,BD!$B$3:$B$5001,K$233,BD!$A$3:$A$5001,"&gt;="&amp;$C$8,BD!$A$3:$A$5001,"&lt;="&amp;$D$8,BD!$R$3:$R$5001,"&lt;&gt;"))))</f>
        <v/>
      </c>
      <c r="L265" s="56" t="str">
        <f>IF(L$233="","",IF(COUNTIFS(BD!$B$3:$B$5001,L$233,BD!$A$3:$A$5001,"&gt;="&amp;$C$8,BD!$A$3:$A$5001,"&lt;="&amp;$D$8,BD!$R$3:$R$5001,"&lt;&gt;")=0,"",SUMIFS(BD!$R$3:$R$5001,BD!$B$3:$B$5001,L$233,BD!$A$3:$A$5001,_xlfn.MAXIFS(BD!$A$3:$A$5001,BD!$B$3:$B$5001,L$233,BD!$A$3:$A$5001,"&gt;="&amp;$C$8,BD!$A$3:$A$5001,"&lt;="&amp;$D$8,BD!$R$3:$R$5001,"&lt;&gt;"))))</f>
        <v/>
      </c>
      <c r="M265" s="56" t="str">
        <f>IF(M$233="","",IF(COUNTIFS(BD!$B$3:$B$5001,M$233,BD!$A$3:$A$5001,"&gt;="&amp;$C$8,BD!$A$3:$A$5001,"&lt;="&amp;$D$8,BD!$R$3:$R$5001,"&lt;&gt;")=0,"",SUMIFS(BD!$R$3:$R$5001,BD!$B$3:$B$5001,M$233,BD!$A$3:$A$5001,_xlfn.MAXIFS(BD!$A$3:$A$5001,BD!$B$3:$B$5001,M$233,BD!$A$3:$A$5001,"&gt;="&amp;$C$8,BD!$A$3:$A$5001,"&lt;="&amp;$D$8,BD!$R$3:$R$5001,"&lt;&gt;"))))</f>
        <v/>
      </c>
      <c r="N265" s="56" t="str">
        <f>IF(N$233="","",IF(COUNTIFS(BD!$B$3:$B$5001,N$233,BD!$A$3:$A$5001,"&gt;="&amp;$C$8,BD!$A$3:$A$5001,"&lt;="&amp;$D$8,BD!$R$3:$R$5001,"&lt;&gt;")=0,"",SUMIFS(BD!$R$3:$R$5001,BD!$B$3:$B$5001,N$233,BD!$A$3:$A$5001,_xlfn.MAXIFS(BD!$A$3:$A$5001,BD!$B$3:$B$5001,N$233,BD!$A$3:$A$5001,"&gt;="&amp;$C$8,BD!$A$3:$A$5001,"&lt;="&amp;$D$8,BD!$R$3:$R$5001,"&lt;&gt;"))))</f>
        <v/>
      </c>
      <c r="O265" s="56" t="str">
        <f>IF(O$233="","",IF(COUNTIFS(BD!$B$3:$B$5001,O$233,BD!$A$3:$A$5001,"&gt;="&amp;$C$8,BD!$A$3:$A$5001,"&lt;="&amp;$D$8,BD!$R$3:$R$5001,"&lt;&gt;")=0,"",SUMIFS(BD!$R$3:$R$5001,BD!$B$3:$B$5001,O$233,BD!$A$3:$A$5001,_xlfn.MAXIFS(BD!$A$3:$A$5001,BD!$B$3:$B$5001,O$233,BD!$A$3:$A$5001,"&gt;="&amp;$C$8,BD!$A$3:$A$5001,"&lt;="&amp;$D$8,BD!$R$3:$R$5001,"&lt;&gt;"))))</f>
        <v/>
      </c>
      <c r="P265" s="56" t="str">
        <f>IF(P$233="","",IF(COUNTIFS(BD!$B$3:$B$5001,P$233,BD!$A$3:$A$5001,"&gt;="&amp;$C$8,BD!$A$3:$A$5001,"&lt;="&amp;$D$8,BD!$R$3:$R$5001,"&lt;&gt;")=0,"",SUMIFS(BD!$R$3:$R$5001,BD!$B$3:$B$5001,P$233,BD!$A$3:$A$5001,_xlfn.MAXIFS(BD!$A$3:$A$5001,BD!$B$3:$B$5001,P$233,BD!$A$3:$A$5001,"&gt;="&amp;$C$8,BD!$A$3:$A$5001,"&lt;="&amp;$D$8,BD!$R$3:$R$5001,"&lt;&gt;"))))</f>
        <v/>
      </c>
      <c r="Q265" s="56" t="str">
        <f>IF(Q$233="","",IF(COUNTIFS(BD!$B$3:$B$5001,Q$233,BD!$A$3:$A$5001,"&gt;="&amp;$C$8,BD!$A$3:$A$5001,"&lt;="&amp;$D$8,BD!$R$3:$R$5001,"&lt;&gt;")=0,"",SUMIFS(BD!$R$3:$R$5001,BD!$B$3:$B$5001,Q$233,BD!$A$3:$A$5001,_xlfn.MAXIFS(BD!$A$3:$A$5001,BD!$B$3:$B$5001,Q$233,BD!$A$3:$A$5001,"&gt;="&amp;$C$8,BD!$A$3:$A$5001,"&lt;="&amp;$D$8,BD!$R$3:$R$5001,"&lt;&gt;"))))</f>
        <v/>
      </c>
      <c r="R265" s="56" t="str">
        <f>IF(R$233="","",IF(COUNTIFS(BD!$B$3:$B$5001,R$233,BD!$A$3:$A$5001,"&gt;="&amp;$C$8,BD!$A$3:$A$5001,"&lt;="&amp;$D$8,BD!$R$3:$R$5001,"&lt;&gt;")=0,"",SUMIFS(BD!$R$3:$R$5001,BD!$B$3:$B$5001,R$233,BD!$A$3:$A$5001,_xlfn.MAXIFS(BD!$A$3:$A$5001,BD!$B$3:$B$5001,R$233,BD!$A$3:$A$5001,"&gt;="&amp;$C$8,BD!$A$3:$A$5001,"&lt;="&amp;$D$8,BD!$R$3:$R$5001,"&lt;&gt;"))))</f>
        <v/>
      </c>
      <c r="S265" s="56" t="str">
        <f>IF(S$233="","",IF(COUNTIFS(BD!$B$3:$B$5001,S$233,BD!$A$3:$A$5001,"&gt;="&amp;$C$8,BD!$A$3:$A$5001,"&lt;="&amp;$D$8,BD!$R$3:$R$5001,"&lt;&gt;")=0,"",SUMIFS(BD!$R$3:$R$5001,BD!$B$3:$B$5001,S$233,BD!$A$3:$A$5001,_xlfn.MAXIFS(BD!$A$3:$A$5001,BD!$B$3:$B$5001,S$233,BD!$A$3:$A$5001,"&gt;="&amp;$C$8,BD!$A$3:$A$5001,"&lt;="&amp;$D$8,BD!$R$3:$R$5001,"&lt;&gt;"))))</f>
        <v/>
      </c>
      <c r="T265" s="56" t="str">
        <f>IF(T$233="","",IF(COUNTIFS(BD!$B$3:$B$5001,T$233,BD!$A$3:$A$5001,"&gt;="&amp;$C$8,BD!$A$3:$A$5001,"&lt;="&amp;$D$8,BD!$R$3:$R$5001,"&lt;&gt;")=0,"",SUMIFS(BD!$R$3:$R$5001,BD!$B$3:$B$5001,T$233,BD!$A$3:$A$5001,_xlfn.MAXIFS(BD!$A$3:$A$5001,BD!$B$3:$B$5001,T$233,BD!$A$3:$A$5001,"&gt;="&amp;$C$8,BD!$A$3:$A$5001,"&lt;="&amp;$D$8,BD!$R$3:$R$5001,"&lt;&gt;"))))</f>
        <v/>
      </c>
      <c r="U265" s="56" t="str">
        <f>IF(U$233="","",IF(COUNTIFS(BD!$B$3:$B$5001,U$233,BD!$A$3:$A$5001,"&gt;="&amp;$C$8,BD!$A$3:$A$5001,"&lt;="&amp;$D$8,BD!$R$3:$R$5001,"&lt;&gt;")=0,"",SUMIFS(BD!$R$3:$R$5001,BD!$B$3:$B$5001,U$233,BD!$A$3:$A$5001,_xlfn.MAXIFS(BD!$A$3:$A$5001,BD!$B$3:$B$5001,U$233,BD!$A$3:$A$5001,"&gt;="&amp;$C$8,BD!$A$3:$A$5001,"&lt;="&amp;$D$8,BD!$R$3:$R$5001,"&lt;&gt;"))))</f>
        <v/>
      </c>
      <c r="V265" s="56" t="str">
        <f>IF(V$233="","",IF(COUNTIFS(BD!$B$3:$B$5001,V$233,BD!$A$3:$A$5001,"&gt;="&amp;$C$8,BD!$A$3:$A$5001,"&lt;="&amp;$D$8,BD!$R$3:$R$5001,"&lt;&gt;")=0,"",SUMIFS(BD!$R$3:$R$5001,BD!$B$3:$B$5001,V$233,BD!$A$3:$A$5001,_xlfn.MAXIFS(BD!$A$3:$A$5001,BD!$B$3:$B$5001,V$233,BD!$A$3:$A$5001,"&gt;="&amp;$C$8,BD!$A$3:$A$5001,"&lt;="&amp;$D$8,BD!$R$3:$R$5001,"&lt;&gt;"))))</f>
        <v/>
      </c>
    </row>
    <row r="266">
      <c r="A266" s="55" t="inlineStr">
        <is>
          <t xml:space="preserve">Depósito</t>
        </is>
      </c>
      <c r="C266" s="48" t="str">
        <f>IF(Config!$C$10="","JSL",Config!$C$10)</f>
        <v>JSL</v>
      </c>
      <c r="D266" s="48" t="str">
        <f>IF(Config!$C$11="","JSL",Config!$C$11)</f>
        <v>JSL</v>
      </c>
      <c r="E266" s="48" t="str">
        <f>IF(Config!$C$12="","JSL",Config!$C$12)</f>
        <v>JSL</v>
      </c>
      <c r="F266" s="48" t="str">
        <f>IF(Config!$C$13="","JSL",Config!$C$13)</f>
        <v>JSL</v>
      </c>
      <c r="G266" s="48" t="str">
        <f>IF(Config!$C$14="","JSL",Config!$C$14)</f>
        <v>JSL</v>
      </c>
      <c r="H266" s="48" t="str">
        <f>IF(Config!$C$15="","JSL",Config!$C$15)</f>
        <v>JSL</v>
      </c>
      <c r="I266" s="48" t="str">
        <f>IF(Config!$C$16="","JSL",Config!$C$16)</f>
        <v>JSL</v>
      </c>
      <c r="J266" s="48" t="str">
        <f>IF(Config!$C$17="","JSL",Config!$C$17)</f>
        <v>JSL</v>
      </c>
      <c r="K266" s="48" t="str">
        <f>IF(Config!$C$18="","JSL",Config!$C$18)</f>
        <v>JSL</v>
      </c>
      <c r="L266" s="48" t="str">
        <f>IF(Config!$C$19="","JSL",Config!$C$19)</f>
        <v>JSL</v>
      </c>
      <c r="M266" s="48" t="str">
        <f>IF(Config!$C$20="","JSL",Config!$C$20)</f>
        <v>JSL</v>
      </c>
      <c r="N266" s="48" t="str">
        <f>IF(Config!$C$21="","JSL",Config!$C$21)</f>
        <v>JSL</v>
      </c>
      <c r="O266" s="48" t="str">
        <f>IF(Config!$C$22="","JSL",Config!$C$22)</f>
        <v>JSL</v>
      </c>
      <c r="P266" s="48" t="str">
        <f>IF(Config!$C$23="","JSL",Config!$C$23)</f>
        <v>JSL</v>
      </c>
      <c r="Q266" s="48" t="str">
        <f>IF(Config!$C$24="","JSL",Config!$C$24)</f>
        <v>JSL</v>
      </c>
      <c r="R266" s="48" t="str">
        <f>IF(Config!$C$25="","JSL",Config!$C$25)</f>
        <v>JSL</v>
      </c>
      <c r="S266" s="48" t="str">
        <f>IF(Config!$C$26="","JSL",Config!$C$26)</f>
        <v>JSL</v>
      </c>
      <c r="T266" s="48" t="str">
        <f>IF(Config!$C$27="","JSL",Config!$C$27)</f>
        <v>JSL</v>
      </c>
      <c r="U266" s="48" t="str">
        <f>IF(Config!$C$28="","JSL",Config!$C$28)</f>
        <v>JSL</v>
      </c>
      <c r="V266" s="48" t="str">
        <f>IF(Config!$C$29="","JSL",Config!$C$29)</f>
        <v>JSL</v>
      </c>
    </row>
    <row r="268">
      <c r="A268" s="47" t="inlineStr">
        <is>
          <t xml:space="preserve">Efetivo Op.</t>
        </is>
      </c>
      <c r="B268" s="47" t="inlineStr">
        <is>
          <t xml:space="preserve">Data</t>
        </is>
      </c>
      <c r="C268" s="47" t="str">
        <f>Config!$B$10&amp;""</f>
        <v>Barry Callebaut</v>
      </c>
      <c r="D268" s="47" t="str">
        <f>Config!$B$11&amp;""</f>
        <v>GM</v>
      </c>
      <c r="E268" s="47" t="str">
        <f>Config!$B$12&amp;""</f>
        <v>Mondelez</v>
      </c>
      <c r="F268" s="47" t="str">
        <f>Config!$B$13&amp;""</f>
        <v>Nestlé</v>
      </c>
      <c r="G268" s="47" t="str">
        <f>Config!$B$14&amp;""</f>
        <v>PMB</v>
      </c>
      <c r="H268" s="47" t="str">
        <f>Config!$B$15&amp;""</f>
        <v/>
      </c>
      <c r="I268" s="47" t="str">
        <f>Config!$B$16&amp;""</f>
        <v/>
      </c>
      <c r="J268" s="47" t="str">
        <f>Config!$B$17&amp;""</f>
        <v/>
      </c>
      <c r="K268" s="47" t="str">
        <f>Config!$B$18&amp;""</f>
        <v/>
      </c>
      <c r="L268" s="47" t="str">
        <f>Config!$B$19&amp;""</f>
        <v/>
      </c>
      <c r="M268" s="47" t="str">
        <f>Config!$B$20&amp;""</f>
        <v/>
      </c>
      <c r="N268" s="47" t="str">
        <f>Config!$B$21&amp;""</f>
        <v/>
      </c>
      <c r="O268" s="47" t="str">
        <f>Config!$B$22&amp;""</f>
        <v/>
      </c>
      <c r="P268" s="47" t="str">
        <f>Config!$B$23&amp;""</f>
        <v/>
      </c>
      <c r="Q268" s="47" t="str">
        <f>Config!$B$24&amp;""</f>
        <v/>
      </c>
      <c r="R268" s="47" t="str">
        <f>Config!$B$25&amp;""</f>
        <v/>
      </c>
      <c r="S268" s="47" t="str">
        <f>Config!$B$26&amp;""</f>
        <v/>
      </c>
      <c r="T268" s="47" t="str">
        <f>Config!$B$27&amp;""</f>
        <v/>
      </c>
      <c r="U268" s="47" t="str">
        <f>Config!$B$28&amp;""</f>
        <v/>
      </c>
      <c r="V268" s="47" t="str">
        <f>Config!$B$29&amp;""</f>
        <v/>
      </c>
    </row>
    <row r="269">
      <c r="A269" s="48">
        <v>1</v>
      </c>
      <c r="B269" s="53">
        <f>$B$12</f>
        <v>46296</v>
      </c>
      <c r="C269" s="54" t="str">
        <f>IF(OR($B269="",$A269&gt;$B$9,C$268=""),"",IF(COUNTIFS(BD!$B$3:$B$5001,C$268,BD!$A$3:$A$5001,"&gt;="&amp;$C$7,BD!$A$3:$A$5001,"&lt;="&amp;$B269,BD!$T$3:$T$5001,"&lt;&gt;")=0,"",SUMIFS(BD!$T$3:$T$5001,BD!$B$3:$B$5001,C$268,BD!$A$3:$A$5001,_xlfn.MAXIFS(BD!$A$3:$A$5001,BD!$B$3:$B$5001,C$268,BD!$A$3:$A$5001,"&gt;="&amp;$C$7,BD!$A$3:$A$5001,"&lt;="&amp;$B269,BD!$T$3:$T$5001,"&lt;&gt;"))))</f>
        <v/>
      </c>
      <c r="D269" s="54" t="str">
        <f>IF(OR($B269="",$A269&gt;$B$9,D$268=""),"",IF(COUNTIFS(BD!$B$3:$B$5001,D$268,BD!$A$3:$A$5001,"&gt;="&amp;$C$7,BD!$A$3:$A$5001,"&lt;="&amp;$B269,BD!$T$3:$T$5001,"&lt;&gt;")=0,"",SUMIFS(BD!$T$3:$T$5001,BD!$B$3:$B$5001,D$268,BD!$A$3:$A$5001,_xlfn.MAXIFS(BD!$A$3:$A$5001,BD!$B$3:$B$5001,D$268,BD!$A$3:$A$5001,"&gt;="&amp;$C$7,BD!$A$3:$A$5001,"&lt;="&amp;$B269,BD!$T$3:$T$5001,"&lt;&gt;"))))</f>
        <v/>
      </c>
      <c r="E269" s="54" t="str">
        <f>IF(OR($B269="",$A269&gt;$B$9,E$268=""),"",IF(COUNTIFS(BD!$B$3:$B$5001,E$268,BD!$A$3:$A$5001,"&gt;="&amp;$C$7,BD!$A$3:$A$5001,"&lt;="&amp;$B269,BD!$T$3:$T$5001,"&lt;&gt;")=0,"",SUMIFS(BD!$T$3:$T$5001,BD!$B$3:$B$5001,E$268,BD!$A$3:$A$5001,_xlfn.MAXIFS(BD!$A$3:$A$5001,BD!$B$3:$B$5001,E$268,BD!$A$3:$A$5001,"&gt;="&amp;$C$7,BD!$A$3:$A$5001,"&lt;="&amp;$B269,BD!$T$3:$T$5001,"&lt;&gt;"))))</f>
        <v/>
      </c>
      <c r="F269" s="54" t="str">
        <f>IF(OR($B269="",$A269&gt;$B$9,F$268=""),"",IF(COUNTIFS(BD!$B$3:$B$5001,F$268,BD!$A$3:$A$5001,"&gt;="&amp;$C$7,BD!$A$3:$A$5001,"&lt;="&amp;$B269,BD!$T$3:$T$5001,"&lt;&gt;")=0,"",SUMIFS(BD!$T$3:$T$5001,BD!$B$3:$B$5001,F$268,BD!$A$3:$A$5001,_xlfn.MAXIFS(BD!$A$3:$A$5001,BD!$B$3:$B$5001,F$268,BD!$A$3:$A$5001,"&gt;="&amp;$C$7,BD!$A$3:$A$5001,"&lt;="&amp;$B269,BD!$T$3:$T$5001,"&lt;&gt;"))))</f>
        <v/>
      </c>
      <c r="G269" s="54" t="str">
        <f>IF(OR($B269="",$A269&gt;$B$9,G$268=""),"",IF(COUNTIFS(BD!$B$3:$B$5001,G$268,BD!$A$3:$A$5001,"&gt;="&amp;$C$7,BD!$A$3:$A$5001,"&lt;="&amp;$B269,BD!$T$3:$T$5001,"&lt;&gt;")=0,"",SUMIFS(BD!$T$3:$T$5001,BD!$B$3:$B$5001,G$268,BD!$A$3:$A$5001,_xlfn.MAXIFS(BD!$A$3:$A$5001,BD!$B$3:$B$5001,G$268,BD!$A$3:$A$5001,"&gt;="&amp;$C$7,BD!$A$3:$A$5001,"&lt;="&amp;$B269,BD!$T$3:$T$5001,"&lt;&gt;"))))</f>
        <v/>
      </c>
      <c r="H269" s="54" t="str">
        <f>IF(OR($B269="",$A269&gt;$B$9,H$268=""),"",IF(COUNTIFS(BD!$B$3:$B$5001,H$268,BD!$A$3:$A$5001,"&gt;="&amp;$C$7,BD!$A$3:$A$5001,"&lt;="&amp;$B269,BD!$T$3:$T$5001,"&lt;&gt;")=0,"",SUMIFS(BD!$T$3:$T$5001,BD!$B$3:$B$5001,H$268,BD!$A$3:$A$5001,_xlfn.MAXIFS(BD!$A$3:$A$5001,BD!$B$3:$B$5001,H$268,BD!$A$3:$A$5001,"&gt;="&amp;$C$7,BD!$A$3:$A$5001,"&lt;="&amp;$B269,BD!$T$3:$T$5001,"&lt;&gt;"))))</f>
        <v/>
      </c>
      <c r="I269" s="54" t="str">
        <f>IF(OR($B269="",$A269&gt;$B$9,I$268=""),"",IF(COUNTIFS(BD!$B$3:$B$5001,I$268,BD!$A$3:$A$5001,"&gt;="&amp;$C$7,BD!$A$3:$A$5001,"&lt;="&amp;$B269,BD!$T$3:$T$5001,"&lt;&gt;")=0,"",SUMIFS(BD!$T$3:$T$5001,BD!$B$3:$B$5001,I$268,BD!$A$3:$A$5001,_xlfn.MAXIFS(BD!$A$3:$A$5001,BD!$B$3:$B$5001,I$268,BD!$A$3:$A$5001,"&gt;="&amp;$C$7,BD!$A$3:$A$5001,"&lt;="&amp;$B269,BD!$T$3:$T$5001,"&lt;&gt;"))))</f>
        <v/>
      </c>
      <c r="J269" s="54" t="str">
        <f>IF(OR($B269="",$A269&gt;$B$9,J$268=""),"",IF(COUNTIFS(BD!$B$3:$B$5001,J$268,BD!$A$3:$A$5001,"&gt;="&amp;$C$7,BD!$A$3:$A$5001,"&lt;="&amp;$B269,BD!$T$3:$T$5001,"&lt;&gt;")=0,"",SUMIFS(BD!$T$3:$T$5001,BD!$B$3:$B$5001,J$268,BD!$A$3:$A$5001,_xlfn.MAXIFS(BD!$A$3:$A$5001,BD!$B$3:$B$5001,J$268,BD!$A$3:$A$5001,"&gt;="&amp;$C$7,BD!$A$3:$A$5001,"&lt;="&amp;$B269,BD!$T$3:$T$5001,"&lt;&gt;"))))</f>
        <v/>
      </c>
      <c r="K269" s="54" t="str">
        <f>IF(OR($B269="",$A269&gt;$B$9,K$268=""),"",IF(COUNTIFS(BD!$B$3:$B$5001,K$268,BD!$A$3:$A$5001,"&gt;="&amp;$C$7,BD!$A$3:$A$5001,"&lt;="&amp;$B269,BD!$T$3:$T$5001,"&lt;&gt;")=0,"",SUMIFS(BD!$T$3:$T$5001,BD!$B$3:$B$5001,K$268,BD!$A$3:$A$5001,_xlfn.MAXIFS(BD!$A$3:$A$5001,BD!$B$3:$B$5001,K$268,BD!$A$3:$A$5001,"&gt;="&amp;$C$7,BD!$A$3:$A$5001,"&lt;="&amp;$B269,BD!$T$3:$T$5001,"&lt;&gt;"))))</f>
        <v/>
      </c>
      <c r="L269" s="54" t="str">
        <f>IF(OR($B269="",$A269&gt;$B$9,L$268=""),"",IF(COUNTIFS(BD!$B$3:$B$5001,L$268,BD!$A$3:$A$5001,"&gt;="&amp;$C$7,BD!$A$3:$A$5001,"&lt;="&amp;$B269,BD!$T$3:$T$5001,"&lt;&gt;")=0,"",SUMIFS(BD!$T$3:$T$5001,BD!$B$3:$B$5001,L$268,BD!$A$3:$A$5001,_xlfn.MAXIFS(BD!$A$3:$A$5001,BD!$B$3:$B$5001,L$268,BD!$A$3:$A$5001,"&gt;="&amp;$C$7,BD!$A$3:$A$5001,"&lt;="&amp;$B269,BD!$T$3:$T$5001,"&lt;&gt;"))))</f>
        <v/>
      </c>
      <c r="M269" s="54" t="str">
        <f>IF(OR($B269="",$A269&gt;$B$9,M$268=""),"",IF(COUNTIFS(BD!$B$3:$B$5001,M$268,BD!$A$3:$A$5001,"&gt;="&amp;$C$7,BD!$A$3:$A$5001,"&lt;="&amp;$B269,BD!$T$3:$T$5001,"&lt;&gt;")=0,"",SUMIFS(BD!$T$3:$T$5001,BD!$B$3:$B$5001,M$268,BD!$A$3:$A$5001,_xlfn.MAXIFS(BD!$A$3:$A$5001,BD!$B$3:$B$5001,M$268,BD!$A$3:$A$5001,"&gt;="&amp;$C$7,BD!$A$3:$A$5001,"&lt;="&amp;$B269,BD!$T$3:$T$5001,"&lt;&gt;"))))</f>
        <v/>
      </c>
      <c r="N269" s="54" t="str">
        <f>IF(OR($B269="",$A269&gt;$B$9,N$268=""),"",IF(COUNTIFS(BD!$B$3:$B$5001,N$268,BD!$A$3:$A$5001,"&gt;="&amp;$C$7,BD!$A$3:$A$5001,"&lt;="&amp;$B269,BD!$T$3:$T$5001,"&lt;&gt;")=0,"",SUMIFS(BD!$T$3:$T$5001,BD!$B$3:$B$5001,N$268,BD!$A$3:$A$5001,_xlfn.MAXIFS(BD!$A$3:$A$5001,BD!$B$3:$B$5001,N$268,BD!$A$3:$A$5001,"&gt;="&amp;$C$7,BD!$A$3:$A$5001,"&lt;="&amp;$B269,BD!$T$3:$T$5001,"&lt;&gt;"))))</f>
        <v/>
      </c>
      <c r="O269" s="54" t="str">
        <f>IF(OR($B269="",$A269&gt;$B$9,O$268=""),"",IF(COUNTIFS(BD!$B$3:$B$5001,O$268,BD!$A$3:$A$5001,"&gt;="&amp;$C$7,BD!$A$3:$A$5001,"&lt;="&amp;$B269,BD!$T$3:$T$5001,"&lt;&gt;")=0,"",SUMIFS(BD!$T$3:$T$5001,BD!$B$3:$B$5001,O$268,BD!$A$3:$A$5001,_xlfn.MAXIFS(BD!$A$3:$A$5001,BD!$B$3:$B$5001,O$268,BD!$A$3:$A$5001,"&gt;="&amp;$C$7,BD!$A$3:$A$5001,"&lt;="&amp;$B269,BD!$T$3:$T$5001,"&lt;&gt;"))))</f>
        <v/>
      </c>
      <c r="P269" s="54" t="str">
        <f>IF(OR($B269="",$A269&gt;$B$9,P$268=""),"",IF(COUNTIFS(BD!$B$3:$B$5001,P$268,BD!$A$3:$A$5001,"&gt;="&amp;$C$7,BD!$A$3:$A$5001,"&lt;="&amp;$B269,BD!$T$3:$T$5001,"&lt;&gt;")=0,"",SUMIFS(BD!$T$3:$T$5001,BD!$B$3:$B$5001,P$268,BD!$A$3:$A$5001,_xlfn.MAXIFS(BD!$A$3:$A$5001,BD!$B$3:$B$5001,P$268,BD!$A$3:$A$5001,"&gt;="&amp;$C$7,BD!$A$3:$A$5001,"&lt;="&amp;$B269,BD!$T$3:$T$5001,"&lt;&gt;"))))</f>
        <v/>
      </c>
      <c r="Q269" s="54" t="str">
        <f>IF(OR($B269="",$A269&gt;$B$9,Q$268=""),"",IF(COUNTIFS(BD!$B$3:$B$5001,Q$268,BD!$A$3:$A$5001,"&gt;="&amp;$C$7,BD!$A$3:$A$5001,"&lt;="&amp;$B269,BD!$T$3:$T$5001,"&lt;&gt;")=0,"",SUMIFS(BD!$T$3:$T$5001,BD!$B$3:$B$5001,Q$268,BD!$A$3:$A$5001,_xlfn.MAXIFS(BD!$A$3:$A$5001,BD!$B$3:$B$5001,Q$268,BD!$A$3:$A$5001,"&gt;="&amp;$C$7,BD!$A$3:$A$5001,"&lt;="&amp;$B269,BD!$T$3:$T$5001,"&lt;&gt;"))))</f>
        <v/>
      </c>
      <c r="R269" s="54" t="str">
        <f>IF(OR($B269="",$A269&gt;$B$9,R$268=""),"",IF(COUNTIFS(BD!$B$3:$B$5001,R$268,BD!$A$3:$A$5001,"&gt;="&amp;$C$7,BD!$A$3:$A$5001,"&lt;="&amp;$B269,BD!$T$3:$T$5001,"&lt;&gt;")=0,"",SUMIFS(BD!$T$3:$T$5001,BD!$B$3:$B$5001,R$268,BD!$A$3:$A$5001,_xlfn.MAXIFS(BD!$A$3:$A$5001,BD!$B$3:$B$5001,R$268,BD!$A$3:$A$5001,"&gt;="&amp;$C$7,BD!$A$3:$A$5001,"&lt;="&amp;$B269,BD!$T$3:$T$5001,"&lt;&gt;"))))</f>
        <v/>
      </c>
      <c r="S269" s="54" t="str">
        <f>IF(OR($B269="",$A269&gt;$B$9,S$268=""),"",IF(COUNTIFS(BD!$B$3:$B$5001,S$268,BD!$A$3:$A$5001,"&gt;="&amp;$C$7,BD!$A$3:$A$5001,"&lt;="&amp;$B269,BD!$T$3:$T$5001,"&lt;&gt;")=0,"",SUMIFS(BD!$T$3:$T$5001,BD!$B$3:$B$5001,S$268,BD!$A$3:$A$5001,_xlfn.MAXIFS(BD!$A$3:$A$5001,BD!$B$3:$B$5001,S$268,BD!$A$3:$A$5001,"&gt;="&amp;$C$7,BD!$A$3:$A$5001,"&lt;="&amp;$B269,BD!$T$3:$T$5001,"&lt;&gt;"))))</f>
        <v/>
      </c>
      <c r="T269" s="54" t="str">
        <f>IF(OR($B269="",$A269&gt;$B$9,T$268=""),"",IF(COUNTIFS(BD!$B$3:$B$5001,T$268,BD!$A$3:$A$5001,"&gt;="&amp;$C$7,BD!$A$3:$A$5001,"&lt;="&amp;$B269,BD!$T$3:$T$5001,"&lt;&gt;")=0,"",SUMIFS(BD!$T$3:$T$5001,BD!$B$3:$B$5001,T$268,BD!$A$3:$A$5001,_xlfn.MAXIFS(BD!$A$3:$A$5001,BD!$B$3:$B$5001,T$268,BD!$A$3:$A$5001,"&gt;="&amp;$C$7,BD!$A$3:$A$5001,"&lt;="&amp;$B269,BD!$T$3:$T$5001,"&lt;&gt;"))))</f>
        <v/>
      </c>
      <c r="U269" s="54" t="str">
        <f>IF(OR($B269="",$A269&gt;$B$9,U$268=""),"",IF(COUNTIFS(BD!$B$3:$B$5001,U$268,BD!$A$3:$A$5001,"&gt;="&amp;$C$7,BD!$A$3:$A$5001,"&lt;="&amp;$B269,BD!$T$3:$T$5001,"&lt;&gt;")=0,"",SUMIFS(BD!$T$3:$T$5001,BD!$B$3:$B$5001,U$268,BD!$A$3:$A$5001,_xlfn.MAXIFS(BD!$A$3:$A$5001,BD!$B$3:$B$5001,U$268,BD!$A$3:$A$5001,"&gt;="&amp;$C$7,BD!$A$3:$A$5001,"&lt;="&amp;$B269,BD!$T$3:$T$5001,"&lt;&gt;"))))</f>
        <v/>
      </c>
      <c r="V269" s="54" t="str">
        <f>IF(OR($B269="",$A269&gt;$B$9,V$268=""),"",IF(COUNTIFS(BD!$B$3:$B$5001,V$268,BD!$A$3:$A$5001,"&gt;="&amp;$C$7,BD!$A$3:$A$5001,"&lt;="&amp;$B269,BD!$T$3:$T$5001,"&lt;&gt;")=0,"",SUMIFS(BD!$T$3:$T$5001,BD!$B$3:$B$5001,V$268,BD!$A$3:$A$5001,_xlfn.MAXIFS(BD!$A$3:$A$5001,BD!$B$3:$B$5001,V$268,BD!$A$3:$A$5001,"&gt;="&amp;$C$7,BD!$A$3:$A$5001,"&lt;="&amp;$B269,BD!$T$3:$T$5001,"&lt;&gt;"))))</f>
        <v/>
      </c>
    </row>
    <row r="270">
      <c r="A270" s="48">
        <v>2</v>
      </c>
      <c r="B270" s="53">
        <f>$B$13</f>
        <v>46297</v>
      </c>
      <c r="C270" s="54" t="str">
        <f>IF(OR($B270="",$A270&gt;$B$9,C$268=""),"",IF(COUNTIFS(BD!$B$3:$B$5001,C$268,BD!$A$3:$A$5001,"&gt;="&amp;$C$7,BD!$A$3:$A$5001,"&lt;="&amp;$B270,BD!$T$3:$T$5001,"&lt;&gt;")=0,"",SUMIFS(BD!$T$3:$T$5001,BD!$B$3:$B$5001,C$268,BD!$A$3:$A$5001,_xlfn.MAXIFS(BD!$A$3:$A$5001,BD!$B$3:$B$5001,C$268,BD!$A$3:$A$5001,"&gt;="&amp;$C$7,BD!$A$3:$A$5001,"&lt;="&amp;$B270,BD!$T$3:$T$5001,"&lt;&gt;"))))</f>
        <v/>
      </c>
      <c r="D270" s="54" t="str">
        <f>IF(OR($B270="",$A270&gt;$B$9,D$268=""),"",IF(COUNTIFS(BD!$B$3:$B$5001,D$268,BD!$A$3:$A$5001,"&gt;="&amp;$C$7,BD!$A$3:$A$5001,"&lt;="&amp;$B270,BD!$T$3:$T$5001,"&lt;&gt;")=0,"",SUMIFS(BD!$T$3:$T$5001,BD!$B$3:$B$5001,D$268,BD!$A$3:$A$5001,_xlfn.MAXIFS(BD!$A$3:$A$5001,BD!$B$3:$B$5001,D$268,BD!$A$3:$A$5001,"&gt;="&amp;$C$7,BD!$A$3:$A$5001,"&lt;="&amp;$B270,BD!$T$3:$T$5001,"&lt;&gt;"))))</f>
        <v/>
      </c>
      <c r="E270" s="54" t="str">
        <f>IF(OR($B270="",$A270&gt;$B$9,E$268=""),"",IF(COUNTIFS(BD!$B$3:$B$5001,E$268,BD!$A$3:$A$5001,"&gt;="&amp;$C$7,BD!$A$3:$A$5001,"&lt;="&amp;$B270,BD!$T$3:$T$5001,"&lt;&gt;")=0,"",SUMIFS(BD!$T$3:$T$5001,BD!$B$3:$B$5001,E$268,BD!$A$3:$A$5001,_xlfn.MAXIFS(BD!$A$3:$A$5001,BD!$B$3:$B$5001,E$268,BD!$A$3:$A$5001,"&gt;="&amp;$C$7,BD!$A$3:$A$5001,"&lt;="&amp;$B270,BD!$T$3:$T$5001,"&lt;&gt;"))))</f>
        <v/>
      </c>
      <c r="F270" s="54" t="str">
        <f>IF(OR($B270="",$A270&gt;$B$9,F$268=""),"",IF(COUNTIFS(BD!$B$3:$B$5001,F$268,BD!$A$3:$A$5001,"&gt;="&amp;$C$7,BD!$A$3:$A$5001,"&lt;="&amp;$B270,BD!$T$3:$T$5001,"&lt;&gt;")=0,"",SUMIFS(BD!$T$3:$T$5001,BD!$B$3:$B$5001,F$268,BD!$A$3:$A$5001,_xlfn.MAXIFS(BD!$A$3:$A$5001,BD!$B$3:$B$5001,F$268,BD!$A$3:$A$5001,"&gt;="&amp;$C$7,BD!$A$3:$A$5001,"&lt;="&amp;$B270,BD!$T$3:$T$5001,"&lt;&gt;"))))</f>
        <v/>
      </c>
      <c r="G270" s="54" t="str">
        <f>IF(OR($B270="",$A270&gt;$B$9,G$268=""),"",IF(COUNTIFS(BD!$B$3:$B$5001,G$268,BD!$A$3:$A$5001,"&gt;="&amp;$C$7,BD!$A$3:$A$5001,"&lt;="&amp;$B270,BD!$T$3:$T$5001,"&lt;&gt;")=0,"",SUMIFS(BD!$T$3:$T$5001,BD!$B$3:$B$5001,G$268,BD!$A$3:$A$5001,_xlfn.MAXIFS(BD!$A$3:$A$5001,BD!$B$3:$B$5001,G$268,BD!$A$3:$A$5001,"&gt;="&amp;$C$7,BD!$A$3:$A$5001,"&lt;="&amp;$B270,BD!$T$3:$T$5001,"&lt;&gt;"))))</f>
        <v/>
      </c>
      <c r="H270" s="54" t="str">
        <f>IF(OR($B270="",$A270&gt;$B$9,H$268=""),"",IF(COUNTIFS(BD!$B$3:$B$5001,H$268,BD!$A$3:$A$5001,"&gt;="&amp;$C$7,BD!$A$3:$A$5001,"&lt;="&amp;$B270,BD!$T$3:$T$5001,"&lt;&gt;")=0,"",SUMIFS(BD!$T$3:$T$5001,BD!$B$3:$B$5001,H$268,BD!$A$3:$A$5001,_xlfn.MAXIFS(BD!$A$3:$A$5001,BD!$B$3:$B$5001,H$268,BD!$A$3:$A$5001,"&gt;="&amp;$C$7,BD!$A$3:$A$5001,"&lt;="&amp;$B270,BD!$T$3:$T$5001,"&lt;&gt;"))))</f>
        <v/>
      </c>
      <c r="I270" s="54" t="str">
        <f>IF(OR($B270="",$A270&gt;$B$9,I$268=""),"",IF(COUNTIFS(BD!$B$3:$B$5001,I$268,BD!$A$3:$A$5001,"&gt;="&amp;$C$7,BD!$A$3:$A$5001,"&lt;="&amp;$B270,BD!$T$3:$T$5001,"&lt;&gt;")=0,"",SUMIFS(BD!$T$3:$T$5001,BD!$B$3:$B$5001,I$268,BD!$A$3:$A$5001,_xlfn.MAXIFS(BD!$A$3:$A$5001,BD!$B$3:$B$5001,I$268,BD!$A$3:$A$5001,"&gt;="&amp;$C$7,BD!$A$3:$A$5001,"&lt;="&amp;$B270,BD!$T$3:$T$5001,"&lt;&gt;"))))</f>
        <v/>
      </c>
      <c r="J270" s="54" t="str">
        <f>IF(OR($B270="",$A270&gt;$B$9,J$268=""),"",IF(COUNTIFS(BD!$B$3:$B$5001,J$268,BD!$A$3:$A$5001,"&gt;="&amp;$C$7,BD!$A$3:$A$5001,"&lt;="&amp;$B270,BD!$T$3:$T$5001,"&lt;&gt;")=0,"",SUMIFS(BD!$T$3:$T$5001,BD!$B$3:$B$5001,J$268,BD!$A$3:$A$5001,_xlfn.MAXIFS(BD!$A$3:$A$5001,BD!$B$3:$B$5001,J$268,BD!$A$3:$A$5001,"&gt;="&amp;$C$7,BD!$A$3:$A$5001,"&lt;="&amp;$B270,BD!$T$3:$T$5001,"&lt;&gt;"))))</f>
        <v/>
      </c>
      <c r="K270" s="54" t="str">
        <f>IF(OR($B270="",$A270&gt;$B$9,K$268=""),"",IF(COUNTIFS(BD!$B$3:$B$5001,K$268,BD!$A$3:$A$5001,"&gt;="&amp;$C$7,BD!$A$3:$A$5001,"&lt;="&amp;$B270,BD!$T$3:$T$5001,"&lt;&gt;")=0,"",SUMIFS(BD!$T$3:$T$5001,BD!$B$3:$B$5001,K$268,BD!$A$3:$A$5001,_xlfn.MAXIFS(BD!$A$3:$A$5001,BD!$B$3:$B$5001,K$268,BD!$A$3:$A$5001,"&gt;="&amp;$C$7,BD!$A$3:$A$5001,"&lt;="&amp;$B270,BD!$T$3:$T$5001,"&lt;&gt;"))))</f>
        <v/>
      </c>
      <c r="L270" s="54" t="str">
        <f>IF(OR($B270="",$A270&gt;$B$9,L$268=""),"",IF(COUNTIFS(BD!$B$3:$B$5001,L$268,BD!$A$3:$A$5001,"&gt;="&amp;$C$7,BD!$A$3:$A$5001,"&lt;="&amp;$B270,BD!$T$3:$T$5001,"&lt;&gt;")=0,"",SUMIFS(BD!$T$3:$T$5001,BD!$B$3:$B$5001,L$268,BD!$A$3:$A$5001,_xlfn.MAXIFS(BD!$A$3:$A$5001,BD!$B$3:$B$5001,L$268,BD!$A$3:$A$5001,"&gt;="&amp;$C$7,BD!$A$3:$A$5001,"&lt;="&amp;$B270,BD!$T$3:$T$5001,"&lt;&gt;"))))</f>
        <v/>
      </c>
      <c r="M270" s="54" t="str">
        <f>IF(OR($B270="",$A270&gt;$B$9,M$268=""),"",IF(COUNTIFS(BD!$B$3:$B$5001,M$268,BD!$A$3:$A$5001,"&gt;="&amp;$C$7,BD!$A$3:$A$5001,"&lt;="&amp;$B270,BD!$T$3:$T$5001,"&lt;&gt;")=0,"",SUMIFS(BD!$T$3:$T$5001,BD!$B$3:$B$5001,M$268,BD!$A$3:$A$5001,_xlfn.MAXIFS(BD!$A$3:$A$5001,BD!$B$3:$B$5001,M$268,BD!$A$3:$A$5001,"&gt;="&amp;$C$7,BD!$A$3:$A$5001,"&lt;="&amp;$B270,BD!$T$3:$T$5001,"&lt;&gt;"))))</f>
        <v/>
      </c>
      <c r="N270" s="54" t="str">
        <f>IF(OR($B270="",$A270&gt;$B$9,N$268=""),"",IF(COUNTIFS(BD!$B$3:$B$5001,N$268,BD!$A$3:$A$5001,"&gt;="&amp;$C$7,BD!$A$3:$A$5001,"&lt;="&amp;$B270,BD!$T$3:$T$5001,"&lt;&gt;")=0,"",SUMIFS(BD!$T$3:$T$5001,BD!$B$3:$B$5001,N$268,BD!$A$3:$A$5001,_xlfn.MAXIFS(BD!$A$3:$A$5001,BD!$B$3:$B$5001,N$268,BD!$A$3:$A$5001,"&gt;="&amp;$C$7,BD!$A$3:$A$5001,"&lt;="&amp;$B270,BD!$T$3:$T$5001,"&lt;&gt;"))))</f>
        <v/>
      </c>
      <c r="O270" s="54" t="str">
        <f>IF(OR($B270="",$A270&gt;$B$9,O$268=""),"",IF(COUNTIFS(BD!$B$3:$B$5001,O$268,BD!$A$3:$A$5001,"&gt;="&amp;$C$7,BD!$A$3:$A$5001,"&lt;="&amp;$B270,BD!$T$3:$T$5001,"&lt;&gt;")=0,"",SUMIFS(BD!$T$3:$T$5001,BD!$B$3:$B$5001,O$268,BD!$A$3:$A$5001,_xlfn.MAXIFS(BD!$A$3:$A$5001,BD!$B$3:$B$5001,O$268,BD!$A$3:$A$5001,"&gt;="&amp;$C$7,BD!$A$3:$A$5001,"&lt;="&amp;$B270,BD!$T$3:$T$5001,"&lt;&gt;"))))</f>
        <v/>
      </c>
      <c r="P270" s="54" t="str">
        <f>IF(OR($B270="",$A270&gt;$B$9,P$268=""),"",IF(COUNTIFS(BD!$B$3:$B$5001,P$268,BD!$A$3:$A$5001,"&gt;="&amp;$C$7,BD!$A$3:$A$5001,"&lt;="&amp;$B270,BD!$T$3:$T$5001,"&lt;&gt;")=0,"",SUMIFS(BD!$T$3:$T$5001,BD!$B$3:$B$5001,P$268,BD!$A$3:$A$5001,_xlfn.MAXIFS(BD!$A$3:$A$5001,BD!$B$3:$B$5001,P$268,BD!$A$3:$A$5001,"&gt;="&amp;$C$7,BD!$A$3:$A$5001,"&lt;="&amp;$B270,BD!$T$3:$T$5001,"&lt;&gt;"))))</f>
        <v/>
      </c>
      <c r="Q270" s="54" t="str">
        <f>IF(OR($B270="",$A270&gt;$B$9,Q$268=""),"",IF(COUNTIFS(BD!$B$3:$B$5001,Q$268,BD!$A$3:$A$5001,"&gt;="&amp;$C$7,BD!$A$3:$A$5001,"&lt;="&amp;$B270,BD!$T$3:$T$5001,"&lt;&gt;")=0,"",SUMIFS(BD!$T$3:$T$5001,BD!$B$3:$B$5001,Q$268,BD!$A$3:$A$5001,_xlfn.MAXIFS(BD!$A$3:$A$5001,BD!$B$3:$B$5001,Q$268,BD!$A$3:$A$5001,"&gt;="&amp;$C$7,BD!$A$3:$A$5001,"&lt;="&amp;$B270,BD!$T$3:$T$5001,"&lt;&gt;"))))</f>
        <v/>
      </c>
      <c r="R270" s="54" t="str">
        <f>IF(OR($B270="",$A270&gt;$B$9,R$268=""),"",IF(COUNTIFS(BD!$B$3:$B$5001,R$268,BD!$A$3:$A$5001,"&gt;="&amp;$C$7,BD!$A$3:$A$5001,"&lt;="&amp;$B270,BD!$T$3:$T$5001,"&lt;&gt;")=0,"",SUMIFS(BD!$T$3:$T$5001,BD!$B$3:$B$5001,R$268,BD!$A$3:$A$5001,_xlfn.MAXIFS(BD!$A$3:$A$5001,BD!$B$3:$B$5001,R$268,BD!$A$3:$A$5001,"&gt;="&amp;$C$7,BD!$A$3:$A$5001,"&lt;="&amp;$B270,BD!$T$3:$T$5001,"&lt;&gt;"))))</f>
        <v/>
      </c>
      <c r="S270" s="54" t="str">
        <f>IF(OR($B270="",$A270&gt;$B$9,S$268=""),"",IF(COUNTIFS(BD!$B$3:$B$5001,S$268,BD!$A$3:$A$5001,"&gt;="&amp;$C$7,BD!$A$3:$A$5001,"&lt;="&amp;$B270,BD!$T$3:$T$5001,"&lt;&gt;")=0,"",SUMIFS(BD!$T$3:$T$5001,BD!$B$3:$B$5001,S$268,BD!$A$3:$A$5001,_xlfn.MAXIFS(BD!$A$3:$A$5001,BD!$B$3:$B$5001,S$268,BD!$A$3:$A$5001,"&gt;="&amp;$C$7,BD!$A$3:$A$5001,"&lt;="&amp;$B270,BD!$T$3:$T$5001,"&lt;&gt;"))))</f>
        <v/>
      </c>
      <c r="T270" s="54" t="str">
        <f>IF(OR($B270="",$A270&gt;$B$9,T$268=""),"",IF(COUNTIFS(BD!$B$3:$B$5001,T$268,BD!$A$3:$A$5001,"&gt;="&amp;$C$7,BD!$A$3:$A$5001,"&lt;="&amp;$B270,BD!$T$3:$T$5001,"&lt;&gt;")=0,"",SUMIFS(BD!$T$3:$T$5001,BD!$B$3:$B$5001,T$268,BD!$A$3:$A$5001,_xlfn.MAXIFS(BD!$A$3:$A$5001,BD!$B$3:$B$5001,T$268,BD!$A$3:$A$5001,"&gt;="&amp;$C$7,BD!$A$3:$A$5001,"&lt;="&amp;$B270,BD!$T$3:$T$5001,"&lt;&gt;"))))</f>
        <v/>
      </c>
      <c r="U270" s="54" t="str">
        <f>IF(OR($B270="",$A270&gt;$B$9,U$268=""),"",IF(COUNTIFS(BD!$B$3:$B$5001,U$268,BD!$A$3:$A$5001,"&gt;="&amp;$C$7,BD!$A$3:$A$5001,"&lt;="&amp;$B270,BD!$T$3:$T$5001,"&lt;&gt;")=0,"",SUMIFS(BD!$T$3:$T$5001,BD!$B$3:$B$5001,U$268,BD!$A$3:$A$5001,_xlfn.MAXIFS(BD!$A$3:$A$5001,BD!$B$3:$B$5001,U$268,BD!$A$3:$A$5001,"&gt;="&amp;$C$7,BD!$A$3:$A$5001,"&lt;="&amp;$B270,BD!$T$3:$T$5001,"&lt;&gt;"))))</f>
        <v/>
      </c>
      <c r="V270" s="54" t="str">
        <f>IF(OR($B270="",$A270&gt;$B$9,V$268=""),"",IF(COUNTIFS(BD!$B$3:$B$5001,V$268,BD!$A$3:$A$5001,"&gt;="&amp;$C$7,BD!$A$3:$A$5001,"&lt;="&amp;$B270,BD!$T$3:$T$5001,"&lt;&gt;")=0,"",SUMIFS(BD!$T$3:$T$5001,BD!$B$3:$B$5001,V$268,BD!$A$3:$A$5001,_xlfn.MAXIFS(BD!$A$3:$A$5001,BD!$B$3:$B$5001,V$268,BD!$A$3:$A$5001,"&gt;="&amp;$C$7,BD!$A$3:$A$5001,"&lt;="&amp;$B270,BD!$T$3:$T$5001,"&lt;&gt;"))))</f>
        <v/>
      </c>
    </row>
    <row r="271">
      <c r="A271" s="48">
        <v>3</v>
      </c>
      <c r="B271" s="53">
        <f>$B$14</f>
        <v>46298</v>
      </c>
      <c r="C271" s="54" t="str">
        <f>IF(OR($B271="",$A271&gt;$B$9,C$268=""),"",IF(COUNTIFS(BD!$B$3:$B$5001,C$268,BD!$A$3:$A$5001,"&gt;="&amp;$C$7,BD!$A$3:$A$5001,"&lt;="&amp;$B271,BD!$T$3:$T$5001,"&lt;&gt;")=0,"",SUMIFS(BD!$T$3:$T$5001,BD!$B$3:$B$5001,C$268,BD!$A$3:$A$5001,_xlfn.MAXIFS(BD!$A$3:$A$5001,BD!$B$3:$B$5001,C$268,BD!$A$3:$A$5001,"&gt;="&amp;$C$7,BD!$A$3:$A$5001,"&lt;="&amp;$B271,BD!$T$3:$T$5001,"&lt;&gt;"))))</f>
        <v/>
      </c>
      <c r="D271" s="54" t="str">
        <f>IF(OR($B271="",$A271&gt;$B$9,D$268=""),"",IF(COUNTIFS(BD!$B$3:$B$5001,D$268,BD!$A$3:$A$5001,"&gt;="&amp;$C$7,BD!$A$3:$A$5001,"&lt;="&amp;$B271,BD!$T$3:$T$5001,"&lt;&gt;")=0,"",SUMIFS(BD!$T$3:$T$5001,BD!$B$3:$B$5001,D$268,BD!$A$3:$A$5001,_xlfn.MAXIFS(BD!$A$3:$A$5001,BD!$B$3:$B$5001,D$268,BD!$A$3:$A$5001,"&gt;="&amp;$C$7,BD!$A$3:$A$5001,"&lt;="&amp;$B271,BD!$T$3:$T$5001,"&lt;&gt;"))))</f>
        <v/>
      </c>
      <c r="E271" s="54" t="str">
        <f>IF(OR($B271="",$A271&gt;$B$9,E$268=""),"",IF(COUNTIFS(BD!$B$3:$B$5001,E$268,BD!$A$3:$A$5001,"&gt;="&amp;$C$7,BD!$A$3:$A$5001,"&lt;="&amp;$B271,BD!$T$3:$T$5001,"&lt;&gt;")=0,"",SUMIFS(BD!$T$3:$T$5001,BD!$B$3:$B$5001,E$268,BD!$A$3:$A$5001,_xlfn.MAXIFS(BD!$A$3:$A$5001,BD!$B$3:$B$5001,E$268,BD!$A$3:$A$5001,"&gt;="&amp;$C$7,BD!$A$3:$A$5001,"&lt;="&amp;$B271,BD!$T$3:$T$5001,"&lt;&gt;"))))</f>
        <v/>
      </c>
      <c r="F271" s="54" t="str">
        <f>IF(OR($B271="",$A271&gt;$B$9,F$268=""),"",IF(COUNTIFS(BD!$B$3:$B$5001,F$268,BD!$A$3:$A$5001,"&gt;="&amp;$C$7,BD!$A$3:$A$5001,"&lt;="&amp;$B271,BD!$T$3:$T$5001,"&lt;&gt;")=0,"",SUMIFS(BD!$T$3:$T$5001,BD!$B$3:$B$5001,F$268,BD!$A$3:$A$5001,_xlfn.MAXIFS(BD!$A$3:$A$5001,BD!$B$3:$B$5001,F$268,BD!$A$3:$A$5001,"&gt;="&amp;$C$7,BD!$A$3:$A$5001,"&lt;="&amp;$B271,BD!$T$3:$T$5001,"&lt;&gt;"))))</f>
        <v/>
      </c>
      <c r="G271" s="54" t="str">
        <f>IF(OR($B271="",$A271&gt;$B$9,G$268=""),"",IF(COUNTIFS(BD!$B$3:$B$5001,G$268,BD!$A$3:$A$5001,"&gt;="&amp;$C$7,BD!$A$3:$A$5001,"&lt;="&amp;$B271,BD!$T$3:$T$5001,"&lt;&gt;")=0,"",SUMIFS(BD!$T$3:$T$5001,BD!$B$3:$B$5001,G$268,BD!$A$3:$A$5001,_xlfn.MAXIFS(BD!$A$3:$A$5001,BD!$B$3:$B$5001,G$268,BD!$A$3:$A$5001,"&gt;="&amp;$C$7,BD!$A$3:$A$5001,"&lt;="&amp;$B271,BD!$T$3:$T$5001,"&lt;&gt;"))))</f>
        <v/>
      </c>
      <c r="H271" s="54" t="str">
        <f>IF(OR($B271="",$A271&gt;$B$9,H$268=""),"",IF(COUNTIFS(BD!$B$3:$B$5001,H$268,BD!$A$3:$A$5001,"&gt;="&amp;$C$7,BD!$A$3:$A$5001,"&lt;="&amp;$B271,BD!$T$3:$T$5001,"&lt;&gt;")=0,"",SUMIFS(BD!$T$3:$T$5001,BD!$B$3:$B$5001,H$268,BD!$A$3:$A$5001,_xlfn.MAXIFS(BD!$A$3:$A$5001,BD!$B$3:$B$5001,H$268,BD!$A$3:$A$5001,"&gt;="&amp;$C$7,BD!$A$3:$A$5001,"&lt;="&amp;$B271,BD!$T$3:$T$5001,"&lt;&gt;"))))</f>
        <v/>
      </c>
      <c r="I271" s="54" t="str">
        <f>IF(OR($B271="",$A271&gt;$B$9,I$268=""),"",IF(COUNTIFS(BD!$B$3:$B$5001,I$268,BD!$A$3:$A$5001,"&gt;="&amp;$C$7,BD!$A$3:$A$5001,"&lt;="&amp;$B271,BD!$T$3:$T$5001,"&lt;&gt;")=0,"",SUMIFS(BD!$T$3:$T$5001,BD!$B$3:$B$5001,I$268,BD!$A$3:$A$5001,_xlfn.MAXIFS(BD!$A$3:$A$5001,BD!$B$3:$B$5001,I$268,BD!$A$3:$A$5001,"&gt;="&amp;$C$7,BD!$A$3:$A$5001,"&lt;="&amp;$B271,BD!$T$3:$T$5001,"&lt;&gt;"))))</f>
        <v/>
      </c>
      <c r="J271" s="54" t="str">
        <f>IF(OR($B271="",$A271&gt;$B$9,J$268=""),"",IF(COUNTIFS(BD!$B$3:$B$5001,J$268,BD!$A$3:$A$5001,"&gt;="&amp;$C$7,BD!$A$3:$A$5001,"&lt;="&amp;$B271,BD!$T$3:$T$5001,"&lt;&gt;")=0,"",SUMIFS(BD!$T$3:$T$5001,BD!$B$3:$B$5001,J$268,BD!$A$3:$A$5001,_xlfn.MAXIFS(BD!$A$3:$A$5001,BD!$B$3:$B$5001,J$268,BD!$A$3:$A$5001,"&gt;="&amp;$C$7,BD!$A$3:$A$5001,"&lt;="&amp;$B271,BD!$T$3:$T$5001,"&lt;&gt;"))))</f>
        <v/>
      </c>
      <c r="K271" s="54" t="str">
        <f>IF(OR($B271="",$A271&gt;$B$9,K$268=""),"",IF(COUNTIFS(BD!$B$3:$B$5001,K$268,BD!$A$3:$A$5001,"&gt;="&amp;$C$7,BD!$A$3:$A$5001,"&lt;="&amp;$B271,BD!$T$3:$T$5001,"&lt;&gt;")=0,"",SUMIFS(BD!$T$3:$T$5001,BD!$B$3:$B$5001,K$268,BD!$A$3:$A$5001,_xlfn.MAXIFS(BD!$A$3:$A$5001,BD!$B$3:$B$5001,K$268,BD!$A$3:$A$5001,"&gt;="&amp;$C$7,BD!$A$3:$A$5001,"&lt;="&amp;$B271,BD!$T$3:$T$5001,"&lt;&gt;"))))</f>
        <v/>
      </c>
      <c r="L271" s="54" t="str">
        <f>IF(OR($B271="",$A271&gt;$B$9,L$268=""),"",IF(COUNTIFS(BD!$B$3:$B$5001,L$268,BD!$A$3:$A$5001,"&gt;="&amp;$C$7,BD!$A$3:$A$5001,"&lt;="&amp;$B271,BD!$T$3:$T$5001,"&lt;&gt;")=0,"",SUMIFS(BD!$T$3:$T$5001,BD!$B$3:$B$5001,L$268,BD!$A$3:$A$5001,_xlfn.MAXIFS(BD!$A$3:$A$5001,BD!$B$3:$B$5001,L$268,BD!$A$3:$A$5001,"&gt;="&amp;$C$7,BD!$A$3:$A$5001,"&lt;="&amp;$B271,BD!$T$3:$T$5001,"&lt;&gt;"))))</f>
        <v/>
      </c>
      <c r="M271" s="54" t="str">
        <f>IF(OR($B271="",$A271&gt;$B$9,M$268=""),"",IF(COUNTIFS(BD!$B$3:$B$5001,M$268,BD!$A$3:$A$5001,"&gt;="&amp;$C$7,BD!$A$3:$A$5001,"&lt;="&amp;$B271,BD!$T$3:$T$5001,"&lt;&gt;")=0,"",SUMIFS(BD!$T$3:$T$5001,BD!$B$3:$B$5001,M$268,BD!$A$3:$A$5001,_xlfn.MAXIFS(BD!$A$3:$A$5001,BD!$B$3:$B$5001,M$268,BD!$A$3:$A$5001,"&gt;="&amp;$C$7,BD!$A$3:$A$5001,"&lt;="&amp;$B271,BD!$T$3:$T$5001,"&lt;&gt;"))))</f>
        <v/>
      </c>
      <c r="N271" s="54" t="str">
        <f>IF(OR($B271="",$A271&gt;$B$9,N$268=""),"",IF(COUNTIFS(BD!$B$3:$B$5001,N$268,BD!$A$3:$A$5001,"&gt;="&amp;$C$7,BD!$A$3:$A$5001,"&lt;="&amp;$B271,BD!$T$3:$T$5001,"&lt;&gt;")=0,"",SUMIFS(BD!$T$3:$T$5001,BD!$B$3:$B$5001,N$268,BD!$A$3:$A$5001,_xlfn.MAXIFS(BD!$A$3:$A$5001,BD!$B$3:$B$5001,N$268,BD!$A$3:$A$5001,"&gt;="&amp;$C$7,BD!$A$3:$A$5001,"&lt;="&amp;$B271,BD!$T$3:$T$5001,"&lt;&gt;"))))</f>
        <v/>
      </c>
      <c r="O271" s="54" t="str">
        <f>IF(OR($B271="",$A271&gt;$B$9,O$268=""),"",IF(COUNTIFS(BD!$B$3:$B$5001,O$268,BD!$A$3:$A$5001,"&gt;="&amp;$C$7,BD!$A$3:$A$5001,"&lt;="&amp;$B271,BD!$T$3:$T$5001,"&lt;&gt;")=0,"",SUMIFS(BD!$T$3:$T$5001,BD!$B$3:$B$5001,O$268,BD!$A$3:$A$5001,_xlfn.MAXIFS(BD!$A$3:$A$5001,BD!$B$3:$B$5001,O$268,BD!$A$3:$A$5001,"&gt;="&amp;$C$7,BD!$A$3:$A$5001,"&lt;="&amp;$B271,BD!$T$3:$T$5001,"&lt;&gt;"))))</f>
        <v/>
      </c>
      <c r="P271" s="54" t="str">
        <f>IF(OR($B271="",$A271&gt;$B$9,P$268=""),"",IF(COUNTIFS(BD!$B$3:$B$5001,P$268,BD!$A$3:$A$5001,"&gt;="&amp;$C$7,BD!$A$3:$A$5001,"&lt;="&amp;$B271,BD!$T$3:$T$5001,"&lt;&gt;")=0,"",SUMIFS(BD!$T$3:$T$5001,BD!$B$3:$B$5001,P$268,BD!$A$3:$A$5001,_xlfn.MAXIFS(BD!$A$3:$A$5001,BD!$B$3:$B$5001,P$268,BD!$A$3:$A$5001,"&gt;="&amp;$C$7,BD!$A$3:$A$5001,"&lt;="&amp;$B271,BD!$T$3:$T$5001,"&lt;&gt;"))))</f>
        <v/>
      </c>
      <c r="Q271" s="54" t="str">
        <f>IF(OR($B271="",$A271&gt;$B$9,Q$268=""),"",IF(COUNTIFS(BD!$B$3:$B$5001,Q$268,BD!$A$3:$A$5001,"&gt;="&amp;$C$7,BD!$A$3:$A$5001,"&lt;="&amp;$B271,BD!$T$3:$T$5001,"&lt;&gt;")=0,"",SUMIFS(BD!$T$3:$T$5001,BD!$B$3:$B$5001,Q$268,BD!$A$3:$A$5001,_xlfn.MAXIFS(BD!$A$3:$A$5001,BD!$B$3:$B$5001,Q$268,BD!$A$3:$A$5001,"&gt;="&amp;$C$7,BD!$A$3:$A$5001,"&lt;="&amp;$B271,BD!$T$3:$T$5001,"&lt;&gt;"))))</f>
        <v/>
      </c>
      <c r="R271" s="54" t="str">
        <f>IF(OR($B271="",$A271&gt;$B$9,R$268=""),"",IF(COUNTIFS(BD!$B$3:$B$5001,R$268,BD!$A$3:$A$5001,"&gt;="&amp;$C$7,BD!$A$3:$A$5001,"&lt;="&amp;$B271,BD!$T$3:$T$5001,"&lt;&gt;")=0,"",SUMIFS(BD!$T$3:$T$5001,BD!$B$3:$B$5001,R$268,BD!$A$3:$A$5001,_xlfn.MAXIFS(BD!$A$3:$A$5001,BD!$B$3:$B$5001,R$268,BD!$A$3:$A$5001,"&gt;="&amp;$C$7,BD!$A$3:$A$5001,"&lt;="&amp;$B271,BD!$T$3:$T$5001,"&lt;&gt;"))))</f>
        <v/>
      </c>
      <c r="S271" s="54" t="str">
        <f>IF(OR($B271="",$A271&gt;$B$9,S$268=""),"",IF(COUNTIFS(BD!$B$3:$B$5001,S$268,BD!$A$3:$A$5001,"&gt;="&amp;$C$7,BD!$A$3:$A$5001,"&lt;="&amp;$B271,BD!$T$3:$T$5001,"&lt;&gt;")=0,"",SUMIFS(BD!$T$3:$T$5001,BD!$B$3:$B$5001,S$268,BD!$A$3:$A$5001,_xlfn.MAXIFS(BD!$A$3:$A$5001,BD!$B$3:$B$5001,S$268,BD!$A$3:$A$5001,"&gt;="&amp;$C$7,BD!$A$3:$A$5001,"&lt;="&amp;$B271,BD!$T$3:$T$5001,"&lt;&gt;"))))</f>
        <v/>
      </c>
      <c r="T271" s="54" t="str">
        <f>IF(OR($B271="",$A271&gt;$B$9,T$268=""),"",IF(COUNTIFS(BD!$B$3:$B$5001,T$268,BD!$A$3:$A$5001,"&gt;="&amp;$C$7,BD!$A$3:$A$5001,"&lt;="&amp;$B271,BD!$T$3:$T$5001,"&lt;&gt;")=0,"",SUMIFS(BD!$T$3:$T$5001,BD!$B$3:$B$5001,T$268,BD!$A$3:$A$5001,_xlfn.MAXIFS(BD!$A$3:$A$5001,BD!$B$3:$B$5001,T$268,BD!$A$3:$A$5001,"&gt;="&amp;$C$7,BD!$A$3:$A$5001,"&lt;="&amp;$B271,BD!$T$3:$T$5001,"&lt;&gt;"))))</f>
        <v/>
      </c>
      <c r="U271" s="54" t="str">
        <f>IF(OR($B271="",$A271&gt;$B$9,U$268=""),"",IF(COUNTIFS(BD!$B$3:$B$5001,U$268,BD!$A$3:$A$5001,"&gt;="&amp;$C$7,BD!$A$3:$A$5001,"&lt;="&amp;$B271,BD!$T$3:$T$5001,"&lt;&gt;")=0,"",SUMIFS(BD!$T$3:$T$5001,BD!$B$3:$B$5001,U$268,BD!$A$3:$A$5001,_xlfn.MAXIFS(BD!$A$3:$A$5001,BD!$B$3:$B$5001,U$268,BD!$A$3:$A$5001,"&gt;="&amp;$C$7,BD!$A$3:$A$5001,"&lt;="&amp;$B271,BD!$T$3:$T$5001,"&lt;&gt;"))))</f>
        <v/>
      </c>
      <c r="V271" s="54" t="str">
        <f>IF(OR($B271="",$A271&gt;$B$9,V$268=""),"",IF(COUNTIFS(BD!$B$3:$B$5001,V$268,BD!$A$3:$A$5001,"&gt;="&amp;$C$7,BD!$A$3:$A$5001,"&lt;="&amp;$B271,BD!$T$3:$T$5001,"&lt;&gt;")=0,"",SUMIFS(BD!$T$3:$T$5001,BD!$B$3:$B$5001,V$268,BD!$A$3:$A$5001,_xlfn.MAXIFS(BD!$A$3:$A$5001,BD!$B$3:$B$5001,V$268,BD!$A$3:$A$5001,"&gt;="&amp;$C$7,BD!$A$3:$A$5001,"&lt;="&amp;$B271,BD!$T$3:$T$5001,"&lt;&gt;"))))</f>
        <v/>
      </c>
    </row>
    <row r="272">
      <c r="A272" s="48">
        <v>4</v>
      </c>
      <c r="B272" s="53">
        <f>$B$15</f>
        <v>46299</v>
      </c>
      <c r="C272" s="54" t="str">
        <f>IF(OR($B272="",$A272&gt;$B$9,C$268=""),"",IF(COUNTIFS(BD!$B$3:$B$5001,C$268,BD!$A$3:$A$5001,"&gt;="&amp;$C$7,BD!$A$3:$A$5001,"&lt;="&amp;$B272,BD!$T$3:$T$5001,"&lt;&gt;")=0,"",SUMIFS(BD!$T$3:$T$5001,BD!$B$3:$B$5001,C$268,BD!$A$3:$A$5001,_xlfn.MAXIFS(BD!$A$3:$A$5001,BD!$B$3:$B$5001,C$268,BD!$A$3:$A$5001,"&gt;="&amp;$C$7,BD!$A$3:$A$5001,"&lt;="&amp;$B272,BD!$T$3:$T$5001,"&lt;&gt;"))))</f>
        <v/>
      </c>
      <c r="D272" s="54" t="str">
        <f>IF(OR($B272="",$A272&gt;$B$9,D$268=""),"",IF(COUNTIFS(BD!$B$3:$B$5001,D$268,BD!$A$3:$A$5001,"&gt;="&amp;$C$7,BD!$A$3:$A$5001,"&lt;="&amp;$B272,BD!$T$3:$T$5001,"&lt;&gt;")=0,"",SUMIFS(BD!$T$3:$T$5001,BD!$B$3:$B$5001,D$268,BD!$A$3:$A$5001,_xlfn.MAXIFS(BD!$A$3:$A$5001,BD!$B$3:$B$5001,D$268,BD!$A$3:$A$5001,"&gt;="&amp;$C$7,BD!$A$3:$A$5001,"&lt;="&amp;$B272,BD!$T$3:$T$5001,"&lt;&gt;"))))</f>
        <v/>
      </c>
      <c r="E272" s="54" t="str">
        <f>IF(OR($B272="",$A272&gt;$B$9,E$268=""),"",IF(COUNTIFS(BD!$B$3:$B$5001,E$268,BD!$A$3:$A$5001,"&gt;="&amp;$C$7,BD!$A$3:$A$5001,"&lt;="&amp;$B272,BD!$T$3:$T$5001,"&lt;&gt;")=0,"",SUMIFS(BD!$T$3:$T$5001,BD!$B$3:$B$5001,E$268,BD!$A$3:$A$5001,_xlfn.MAXIFS(BD!$A$3:$A$5001,BD!$B$3:$B$5001,E$268,BD!$A$3:$A$5001,"&gt;="&amp;$C$7,BD!$A$3:$A$5001,"&lt;="&amp;$B272,BD!$T$3:$T$5001,"&lt;&gt;"))))</f>
        <v/>
      </c>
      <c r="F272" s="54" t="str">
        <f>IF(OR($B272="",$A272&gt;$B$9,F$268=""),"",IF(COUNTIFS(BD!$B$3:$B$5001,F$268,BD!$A$3:$A$5001,"&gt;="&amp;$C$7,BD!$A$3:$A$5001,"&lt;="&amp;$B272,BD!$T$3:$T$5001,"&lt;&gt;")=0,"",SUMIFS(BD!$T$3:$T$5001,BD!$B$3:$B$5001,F$268,BD!$A$3:$A$5001,_xlfn.MAXIFS(BD!$A$3:$A$5001,BD!$B$3:$B$5001,F$268,BD!$A$3:$A$5001,"&gt;="&amp;$C$7,BD!$A$3:$A$5001,"&lt;="&amp;$B272,BD!$T$3:$T$5001,"&lt;&gt;"))))</f>
        <v/>
      </c>
      <c r="G272" s="54" t="str">
        <f>IF(OR($B272="",$A272&gt;$B$9,G$268=""),"",IF(COUNTIFS(BD!$B$3:$B$5001,G$268,BD!$A$3:$A$5001,"&gt;="&amp;$C$7,BD!$A$3:$A$5001,"&lt;="&amp;$B272,BD!$T$3:$T$5001,"&lt;&gt;")=0,"",SUMIFS(BD!$T$3:$T$5001,BD!$B$3:$B$5001,G$268,BD!$A$3:$A$5001,_xlfn.MAXIFS(BD!$A$3:$A$5001,BD!$B$3:$B$5001,G$268,BD!$A$3:$A$5001,"&gt;="&amp;$C$7,BD!$A$3:$A$5001,"&lt;="&amp;$B272,BD!$T$3:$T$5001,"&lt;&gt;"))))</f>
        <v/>
      </c>
      <c r="H272" s="54" t="str">
        <f>IF(OR($B272="",$A272&gt;$B$9,H$268=""),"",IF(COUNTIFS(BD!$B$3:$B$5001,H$268,BD!$A$3:$A$5001,"&gt;="&amp;$C$7,BD!$A$3:$A$5001,"&lt;="&amp;$B272,BD!$T$3:$T$5001,"&lt;&gt;")=0,"",SUMIFS(BD!$T$3:$T$5001,BD!$B$3:$B$5001,H$268,BD!$A$3:$A$5001,_xlfn.MAXIFS(BD!$A$3:$A$5001,BD!$B$3:$B$5001,H$268,BD!$A$3:$A$5001,"&gt;="&amp;$C$7,BD!$A$3:$A$5001,"&lt;="&amp;$B272,BD!$T$3:$T$5001,"&lt;&gt;"))))</f>
        <v/>
      </c>
      <c r="I272" s="54" t="str">
        <f>IF(OR($B272="",$A272&gt;$B$9,I$268=""),"",IF(COUNTIFS(BD!$B$3:$B$5001,I$268,BD!$A$3:$A$5001,"&gt;="&amp;$C$7,BD!$A$3:$A$5001,"&lt;="&amp;$B272,BD!$T$3:$T$5001,"&lt;&gt;")=0,"",SUMIFS(BD!$T$3:$T$5001,BD!$B$3:$B$5001,I$268,BD!$A$3:$A$5001,_xlfn.MAXIFS(BD!$A$3:$A$5001,BD!$B$3:$B$5001,I$268,BD!$A$3:$A$5001,"&gt;="&amp;$C$7,BD!$A$3:$A$5001,"&lt;="&amp;$B272,BD!$T$3:$T$5001,"&lt;&gt;"))))</f>
        <v/>
      </c>
      <c r="J272" s="54" t="str">
        <f>IF(OR($B272="",$A272&gt;$B$9,J$268=""),"",IF(COUNTIFS(BD!$B$3:$B$5001,J$268,BD!$A$3:$A$5001,"&gt;="&amp;$C$7,BD!$A$3:$A$5001,"&lt;="&amp;$B272,BD!$T$3:$T$5001,"&lt;&gt;")=0,"",SUMIFS(BD!$T$3:$T$5001,BD!$B$3:$B$5001,J$268,BD!$A$3:$A$5001,_xlfn.MAXIFS(BD!$A$3:$A$5001,BD!$B$3:$B$5001,J$268,BD!$A$3:$A$5001,"&gt;="&amp;$C$7,BD!$A$3:$A$5001,"&lt;="&amp;$B272,BD!$T$3:$T$5001,"&lt;&gt;"))))</f>
        <v/>
      </c>
      <c r="K272" s="54" t="str">
        <f>IF(OR($B272="",$A272&gt;$B$9,K$268=""),"",IF(COUNTIFS(BD!$B$3:$B$5001,K$268,BD!$A$3:$A$5001,"&gt;="&amp;$C$7,BD!$A$3:$A$5001,"&lt;="&amp;$B272,BD!$T$3:$T$5001,"&lt;&gt;")=0,"",SUMIFS(BD!$T$3:$T$5001,BD!$B$3:$B$5001,K$268,BD!$A$3:$A$5001,_xlfn.MAXIFS(BD!$A$3:$A$5001,BD!$B$3:$B$5001,K$268,BD!$A$3:$A$5001,"&gt;="&amp;$C$7,BD!$A$3:$A$5001,"&lt;="&amp;$B272,BD!$T$3:$T$5001,"&lt;&gt;"))))</f>
        <v/>
      </c>
      <c r="L272" s="54" t="str">
        <f>IF(OR($B272="",$A272&gt;$B$9,L$268=""),"",IF(COUNTIFS(BD!$B$3:$B$5001,L$268,BD!$A$3:$A$5001,"&gt;="&amp;$C$7,BD!$A$3:$A$5001,"&lt;="&amp;$B272,BD!$T$3:$T$5001,"&lt;&gt;")=0,"",SUMIFS(BD!$T$3:$T$5001,BD!$B$3:$B$5001,L$268,BD!$A$3:$A$5001,_xlfn.MAXIFS(BD!$A$3:$A$5001,BD!$B$3:$B$5001,L$268,BD!$A$3:$A$5001,"&gt;="&amp;$C$7,BD!$A$3:$A$5001,"&lt;="&amp;$B272,BD!$T$3:$T$5001,"&lt;&gt;"))))</f>
        <v/>
      </c>
      <c r="M272" s="54" t="str">
        <f>IF(OR($B272="",$A272&gt;$B$9,M$268=""),"",IF(COUNTIFS(BD!$B$3:$B$5001,M$268,BD!$A$3:$A$5001,"&gt;="&amp;$C$7,BD!$A$3:$A$5001,"&lt;="&amp;$B272,BD!$T$3:$T$5001,"&lt;&gt;")=0,"",SUMIFS(BD!$T$3:$T$5001,BD!$B$3:$B$5001,M$268,BD!$A$3:$A$5001,_xlfn.MAXIFS(BD!$A$3:$A$5001,BD!$B$3:$B$5001,M$268,BD!$A$3:$A$5001,"&gt;="&amp;$C$7,BD!$A$3:$A$5001,"&lt;="&amp;$B272,BD!$T$3:$T$5001,"&lt;&gt;"))))</f>
        <v/>
      </c>
      <c r="N272" s="54" t="str">
        <f>IF(OR($B272="",$A272&gt;$B$9,N$268=""),"",IF(COUNTIFS(BD!$B$3:$B$5001,N$268,BD!$A$3:$A$5001,"&gt;="&amp;$C$7,BD!$A$3:$A$5001,"&lt;="&amp;$B272,BD!$T$3:$T$5001,"&lt;&gt;")=0,"",SUMIFS(BD!$T$3:$T$5001,BD!$B$3:$B$5001,N$268,BD!$A$3:$A$5001,_xlfn.MAXIFS(BD!$A$3:$A$5001,BD!$B$3:$B$5001,N$268,BD!$A$3:$A$5001,"&gt;="&amp;$C$7,BD!$A$3:$A$5001,"&lt;="&amp;$B272,BD!$T$3:$T$5001,"&lt;&gt;"))))</f>
        <v/>
      </c>
      <c r="O272" s="54" t="str">
        <f>IF(OR($B272="",$A272&gt;$B$9,O$268=""),"",IF(COUNTIFS(BD!$B$3:$B$5001,O$268,BD!$A$3:$A$5001,"&gt;="&amp;$C$7,BD!$A$3:$A$5001,"&lt;="&amp;$B272,BD!$T$3:$T$5001,"&lt;&gt;")=0,"",SUMIFS(BD!$T$3:$T$5001,BD!$B$3:$B$5001,O$268,BD!$A$3:$A$5001,_xlfn.MAXIFS(BD!$A$3:$A$5001,BD!$B$3:$B$5001,O$268,BD!$A$3:$A$5001,"&gt;="&amp;$C$7,BD!$A$3:$A$5001,"&lt;="&amp;$B272,BD!$T$3:$T$5001,"&lt;&gt;"))))</f>
        <v/>
      </c>
      <c r="P272" s="54" t="str">
        <f>IF(OR($B272="",$A272&gt;$B$9,P$268=""),"",IF(COUNTIFS(BD!$B$3:$B$5001,P$268,BD!$A$3:$A$5001,"&gt;="&amp;$C$7,BD!$A$3:$A$5001,"&lt;="&amp;$B272,BD!$T$3:$T$5001,"&lt;&gt;")=0,"",SUMIFS(BD!$T$3:$T$5001,BD!$B$3:$B$5001,P$268,BD!$A$3:$A$5001,_xlfn.MAXIFS(BD!$A$3:$A$5001,BD!$B$3:$B$5001,P$268,BD!$A$3:$A$5001,"&gt;="&amp;$C$7,BD!$A$3:$A$5001,"&lt;="&amp;$B272,BD!$T$3:$T$5001,"&lt;&gt;"))))</f>
        <v/>
      </c>
      <c r="Q272" s="54" t="str">
        <f>IF(OR($B272="",$A272&gt;$B$9,Q$268=""),"",IF(COUNTIFS(BD!$B$3:$B$5001,Q$268,BD!$A$3:$A$5001,"&gt;="&amp;$C$7,BD!$A$3:$A$5001,"&lt;="&amp;$B272,BD!$T$3:$T$5001,"&lt;&gt;")=0,"",SUMIFS(BD!$T$3:$T$5001,BD!$B$3:$B$5001,Q$268,BD!$A$3:$A$5001,_xlfn.MAXIFS(BD!$A$3:$A$5001,BD!$B$3:$B$5001,Q$268,BD!$A$3:$A$5001,"&gt;="&amp;$C$7,BD!$A$3:$A$5001,"&lt;="&amp;$B272,BD!$T$3:$T$5001,"&lt;&gt;"))))</f>
        <v/>
      </c>
      <c r="R272" s="54" t="str">
        <f>IF(OR($B272="",$A272&gt;$B$9,R$268=""),"",IF(COUNTIFS(BD!$B$3:$B$5001,R$268,BD!$A$3:$A$5001,"&gt;="&amp;$C$7,BD!$A$3:$A$5001,"&lt;="&amp;$B272,BD!$T$3:$T$5001,"&lt;&gt;")=0,"",SUMIFS(BD!$T$3:$T$5001,BD!$B$3:$B$5001,R$268,BD!$A$3:$A$5001,_xlfn.MAXIFS(BD!$A$3:$A$5001,BD!$B$3:$B$5001,R$268,BD!$A$3:$A$5001,"&gt;="&amp;$C$7,BD!$A$3:$A$5001,"&lt;="&amp;$B272,BD!$T$3:$T$5001,"&lt;&gt;"))))</f>
        <v/>
      </c>
      <c r="S272" s="54" t="str">
        <f>IF(OR($B272="",$A272&gt;$B$9,S$268=""),"",IF(COUNTIFS(BD!$B$3:$B$5001,S$268,BD!$A$3:$A$5001,"&gt;="&amp;$C$7,BD!$A$3:$A$5001,"&lt;="&amp;$B272,BD!$T$3:$T$5001,"&lt;&gt;")=0,"",SUMIFS(BD!$T$3:$T$5001,BD!$B$3:$B$5001,S$268,BD!$A$3:$A$5001,_xlfn.MAXIFS(BD!$A$3:$A$5001,BD!$B$3:$B$5001,S$268,BD!$A$3:$A$5001,"&gt;="&amp;$C$7,BD!$A$3:$A$5001,"&lt;="&amp;$B272,BD!$T$3:$T$5001,"&lt;&gt;"))))</f>
        <v/>
      </c>
      <c r="T272" s="54" t="str">
        <f>IF(OR($B272="",$A272&gt;$B$9,T$268=""),"",IF(COUNTIFS(BD!$B$3:$B$5001,T$268,BD!$A$3:$A$5001,"&gt;="&amp;$C$7,BD!$A$3:$A$5001,"&lt;="&amp;$B272,BD!$T$3:$T$5001,"&lt;&gt;")=0,"",SUMIFS(BD!$T$3:$T$5001,BD!$B$3:$B$5001,T$268,BD!$A$3:$A$5001,_xlfn.MAXIFS(BD!$A$3:$A$5001,BD!$B$3:$B$5001,T$268,BD!$A$3:$A$5001,"&gt;="&amp;$C$7,BD!$A$3:$A$5001,"&lt;="&amp;$B272,BD!$T$3:$T$5001,"&lt;&gt;"))))</f>
        <v/>
      </c>
      <c r="U272" s="54" t="str">
        <f>IF(OR($B272="",$A272&gt;$B$9,U$268=""),"",IF(COUNTIFS(BD!$B$3:$B$5001,U$268,BD!$A$3:$A$5001,"&gt;="&amp;$C$7,BD!$A$3:$A$5001,"&lt;="&amp;$B272,BD!$T$3:$T$5001,"&lt;&gt;")=0,"",SUMIFS(BD!$T$3:$T$5001,BD!$B$3:$B$5001,U$268,BD!$A$3:$A$5001,_xlfn.MAXIFS(BD!$A$3:$A$5001,BD!$B$3:$B$5001,U$268,BD!$A$3:$A$5001,"&gt;="&amp;$C$7,BD!$A$3:$A$5001,"&lt;="&amp;$B272,BD!$T$3:$T$5001,"&lt;&gt;"))))</f>
        <v/>
      </c>
      <c r="V272" s="54" t="str">
        <f>IF(OR($B272="",$A272&gt;$B$9,V$268=""),"",IF(COUNTIFS(BD!$B$3:$B$5001,V$268,BD!$A$3:$A$5001,"&gt;="&amp;$C$7,BD!$A$3:$A$5001,"&lt;="&amp;$B272,BD!$T$3:$T$5001,"&lt;&gt;")=0,"",SUMIFS(BD!$T$3:$T$5001,BD!$B$3:$B$5001,V$268,BD!$A$3:$A$5001,_xlfn.MAXIFS(BD!$A$3:$A$5001,BD!$B$3:$B$5001,V$268,BD!$A$3:$A$5001,"&gt;="&amp;$C$7,BD!$A$3:$A$5001,"&lt;="&amp;$B272,BD!$T$3:$T$5001,"&lt;&gt;"))))</f>
        <v/>
      </c>
    </row>
    <row r="273">
      <c r="A273" s="48">
        <v>5</v>
      </c>
      <c r="B273" s="53">
        <f>$B$16</f>
        <v>46300</v>
      </c>
      <c r="C273" s="54" t="str">
        <f>IF(OR($B273="",$A273&gt;$B$9,C$268=""),"",IF(COUNTIFS(BD!$B$3:$B$5001,C$268,BD!$A$3:$A$5001,"&gt;="&amp;$C$7,BD!$A$3:$A$5001,"&lt;="&amp;$B273,BD!$T$3:$T$5001,"&lt;&gt;")=0,"",SUMIFS(BD!$T$3:$T$5001,BD!$B$3:$B$5001,C$268,BD!$A$3:$A$5001,_xlfn.MAXIFS(BD!$A$3:$A$5001,BD!$B$3:$B$5001,C$268,BD!$A$3:$A$5001,"&gt;="&amp;$C$7,BD!$A$3:$A$5001,"&lt;="&amp;$B273,BD!$T$3:$T$5001,"&lt;&gt;"))))</f>
        <v/>
      </c>
      <c r="D273" s="54" t="str">
        <f>IF(OR($B273="",$A273&gt;$B$9,D$268=""),"",IF(COUNTIFS(BD!$B$3:$B$5001,D$268,BD!$A$3:$A$5001,"&gt;="&amp;$C$7,BD!$A$3:$A$5001,"&lt;="&amp;$B273,BD!$T$3:$T$5001,"&lt;&gt;")=0,"",SUMIFS(BD!$T$3:$T$5001,BD!$B$3:$B$5001,D$268,BD!$A$3:$A$5001,_xlfn.MAXIFS(BD!$A$3:$A$5001,BD!$B$3:$B$5001,D$268,BD!$A$3:$A$5001,"&gt;="&amp;$C$7,BD!$A$3:$A$5001,"&lt;="&amp;$B273,BD!$T$3:$T$5001,"&lt;&gt;"))))</f>
        <v/>
      </c>
      <c r="E273" s="54" t="str">
        <f>IF(OR($B273="",$A273&gt;$B$9,E$268=""),"",IF(COUNTIFS(BD!$B$3:$B$5001,E$268,BD!$A$3:$A$5001,"&gt;="&amp;$C$7,BD!$A$3:$A$5001,"&lt;="&amp;$B273,BD!$T$3:$T$5001,"&lt;&gt;")=0,"",SUMIFS(BD!$T$3:$T$5001,BD!$B$3:$B$5001,E$268,BD!$A$3:$A$5001,_xlfn.MAXIFS(BD!$A$3:$A$5001,BD!$B$3:$B$5001,E$268,BD!$A$3:$A$5001,"&gt;="&amp;$C$7,BD!$A$3:$A$5001,"&lt;="&amp;$B273,BD!$T$3:$T$5001,"&lt;&gt;"))))</f>
        <v/>
      </c>
      <c r="F273" s="54" t="str">
        <f>IF(OR($B273="",$A273&gt;$B$9,F$268=""),"",IF(COUNTIFS(BD!$B$3:$B$5001,F$268,BD!$A$3:$A$5001,"&gt;="&amp;$C$7,BD!$A$3:$A$5001,"&lt;="&amp;$B273,BD!$T$3:$T$5001,"&lt;&gt;")=0,"",SUMIFS(BD!$T$3:$T$5001,BD!$B$3:$B$5001,F$268,BD!$A$3:$A$5001,_xlfn.MAXIFS(BD!$A$3:$A$5001,BD!$B$3:$B$5001,F$268,BD!$A$3:$A$5001,"&gt;="&amp;$C$7,BD!$A$3:$A$5001,"&lt;="&amp;$B273,BD!$T$3:$T$5001,"&lt;&gt;"))))</f>
        <v/>
      </c>
      <c r="G273" s="54" t="str">
        <f>IF(OR($B273="",$A273&gt;$B$9,G$268=""),"",IF(COUNTIFS(BD!$B$3:$B$5001,G$268,BD!$A$3:$A$5001,"&gt;="&amp;$C$7,BD!$A$3:$A$5001,"&lt;="&amp;$B273,BD!$T$3:$T$5001,"&lt;&gt;")=0,"",SUMIFS(BD!$T$3:$T$5001,BD!$B$3:$B$5001,G$268,BD!$A$3:$A$5001,_xlfn.MAXIFS(BD!$A$3:$A$5001,BD!$B$3:$B$5001,G$268,BD!$A$3:$A$5001,"&gt;="&amp;$C$7,BD!$A$3:$A$5001,"&lt;="&amp;$B273,BD!$T$3:$T$5001,"&lt;&gt;"))))</f>
        <v/>
      </c>
      <c r="H273" s="54" t="str">
        <f>IF(OR($B273="",$A273&gt;$B$9,H$268=""),"",IF(COUNTIFS(BD!$B$3:$B$5001,H$268,BD!$A$3:$A$5001,"&gt;="&amp;$C$7,BD!$A$3:$A$5001,"&lt;="&amp;$B273,BD!$T$3:$T$5001,"&lt;&gt;")=0,"",SUMIFS(BD!$T$3:$T$5001,BD!$B$3:$B$5001,H$268,BD!$A$3:$A$5001,_xlfn.MAXIFS(BD!$A$3:$A$5001,BD!$B$3:$B$5001,H$268,BD!$A$3:$A$5001,"&gt;="&amp;$C$7,BD!$A$3:$A$5001,"&lt;="&amp;$B273,BD!$T$3:$T$5001,"&lt;&gt;"))))</f>
        <v/>
      </c>
      <c r="I273" s="54" t="str">
        <f>IF(OR($B273="",$A273&gt;$B$9,I$268=""),"",IF(COUNTIFS(BD!$B$3:$B$5001,I$268,BD!$A$3:$A$5001,"&gt;="&amp;$C$7,BD!$A$3:$A$5001,"&lt;="&amp;$B273,BD!$T$3:$T$5001,"&lt;&gt;")=0,"",SUMIFS(BD!$T$3:$T$5001,BD!$B$3:$B$5001,I$268,BD!$A$3:$A$5001,_xlfn.MAXIFS(BD!$A$3:$A$5001,BD!$B$3:$B$5001,I$268,BD!$A$3:$A$5001,"&gt;="&amp;$C$7,BD!$A$3:$A$5001,"&lt;="&amp;$B273,BD!$T$3:$T$5001,"&lt;&gt;"))))</f>
        <v/>
      </c>
      <c r="J273" s="54" t="str">
        <f>IF(OR($B273="",$A273&gt;$B$9,J$268=""),"",IF(COUNTIFS(BD!$B$3:$B$5001,J$268,BD!$A$3:$A$5001,"&gt;="&amp;$C$7,BD!$A$3:$A$5001,"&lt;="&amp;$B273,BD!$T$3:$T$5001,"&lt;&gt;")=0,"",SUMIFS(BD!$T$3:$T$5001,BD!$B$3:$B$5001,J$268,BD!$A$3:$A$5001,_xlfn.MAXIFS(BD!$A$3:$A$5001,BD!$B$3:$B$5001,J$268,BD!$A$3:$A$5001,"&gt;="&amp;$C$7,BD!$A$3:$A$5001,"&lt;="&amp;$B273,BD!$T$3:$T$5001,"&lt;&gt;"))))</f>
        <v/>
      </c>
      <c r="K273" s="54" t="str">
        <f>IF(OR($B273="",$A273&gt;$B$9,K$268=""),"",IF(COUNTIFS(BD!$B$3:$B$5001,K$268,BD!$A$3:$A$5001,"&gt;="&amp;$C$7,BD!$A$3:$A$5001,"&lt;="&amp;$B273,BD!$T$3:$T$5001,"&lt;&gt;")=0,"",SUMIFS(BD!$T$3:$T$5001,BD!$B$3:$B$5001,K$268,BD!$A$3:$A$5001,_xlfn.MAXIFS(BD!$A$3:$A$5001,BD!$B$3:$B$5001,K$268,BD!$A$3:$A$5001,"&gt;="&amp;$C$7,BD!$A$3:$A$5001,"&lt;="&amp;$B273,BD!$T$3:$T$5001,"&lt;&gt;"))))</f>
        <v/>
      </c>
      <c r="L273" s="54" t="str">
        <f>IF(OR($B273="",$A273&gt;$B$9,L$268=""),"",IF(COUNTIFS(BD!$B$3:$B$5001,L$268,BD!$A$3:$A$5001,"&gt;="&amp;$C$7,BD!$A$3:$A$5001,"&lt;="&amp;$B273,BD!$T$3:$T$5001,"&lt;&gt;")=0,"",SUMIFS(BD!$T$3:$T$5001,BD!$B$3:$B$5001,L$268,BD!$A$3:$A$5001,_xlfn.MAXIFS(BD!$A$3:$A$5001,BD!$B$3:$B$5001,L$268,BD!$A$3:$A$5001,"&gt;="&amp;$C$7,BD!$A$3:$A$5001,"&lt;="&amp;$B273,BD!$T$3:$T$5001,"&lt;&gt;"))))</f>
        <v/>
      </c>
      <c r="M273" s="54" t="str">
        <f>IF(OR($B273="",$A273&gt;$B$9,M$268=""),"",IF(COUNTIFS(BD!$B$3:$B$5001,M$268,BD!$A$3:$A$5001,"&gt;="&amp;$C$7,BD!$A$3:$A$5001,"&lt;="&amp;$B273,BD!$T$3:$T$5001,"&lt;&gt;")=0,"",SUMIFS(BD!$T$3:$T$5001,BD!$B$3:$B$5001,M$268,BD!$A$3:$A$5001,_xlfn.MAXIFS(BD!$A$3:$A$5001,BD!$B$3:$B$5001,M$268,BD!$A$3:$A$5001,"&gt;="&amp;$C$7,BD!$A$3:$A$5001,"&lt;="&amp;$B273,BD!$T$3:$T$5001,"&lt;&gt;"))))</f>
        <v/>
      </c>
      <c r="N273" s="54" t="str">
        <f>IF(OR($B273="",$A273&gt;$B$9,N$268=""),"",IF(COUNTIFS(BD!$B$3:$B$5001,N$268,BD!$A$3:$A$5001,"&gt;="&amp;$C$7,BD!$A$3:$A$5001,"&lt;="&amp;$B273,BD!$T$3:$T$5001,"&lt;&gt;")=0,"",SUMIFS(BD!$T$3:$T$5001,BD!$B$3:$B$5001,N$268,BD!$A$3:$A$5001,_xlfn.MAXIFS(BD!$A$3:$A$5001,BD!$B$3:$B$5001,N$268,BD!$A$3:$A$5001,"&gt;="&amp;$C$7,BD!$A$3:$A$5001,"&lt;="&amp;$B273,BD!$T$3:$T$5001,"&lt;&gt;"))))</f>
        <v/>
      </c>
      <c r="O273" s="54" t="str">
        <f>IF(OR($B273="",$A273&gt;$B$9,O$268=""),"",IF(COUNTIFS(BD!$B$3:$B$5001,O$268,BD!$A$3:$A$5001,"&gt;="&amp;$C$7,BD!$A$3:$A$5001,"&lt;="&amp;$B273,BD!$T$3:$T$5001,"&lt;&gt;")=0,"",SUMIFS(BD!$T$3:$T$5001,BD!$B$3:$B$5001,O$268,BD!$A$3:$A$5001,_xlfn.MAXIFS(BD!$A$3:$A$5001,BD!$B$3:$B$5001,O$268,BD!$A$3:$A$5001,"&gt;="&amp;$C$7,BD!$A$3:$A$5001,"&lt;="&amp;$B273,BD!$T$3:$T$5001,"&lt;&gt;"))))</f>
        <v/>
      </c>
      <c r="P273" s="54" t="str">
        <f>IF(OR($B273="",$A273&gt;$B$9,P$268=""),"",IF(COUNTIFS(BD!$B$3:$B$5001,P$268,BD!$A$3:$A$5001,"&gt;="&amp;$C$7,BD!$A$3:$A$5001,"&lt;="&amp;$B273,BD!$T$3:$T$5001,"&lt;&gt;")=0,"",SUMIFS(BD!$T$3:$T$5001,BD!$B$3:$B$5001,P$268,BD!$A$3:$A$5001,_xlfn.MAXIFS(BD!$A$3:$A$5001,BD!$B$3:$B$5001,P$268,BD!$A$3:$A$5001,"&gt;="&amp;$C$7,BD!$A$3:$A$5001,"&lt;="&amp;$B273,BD!$T$3:$T$5001,"&lt;&gt;"))))</f>
        <v/>
      </c>
      <c r="Q273" s="54" t="str">
        <f>IF(OR($B273="",$A273&gt;$B$9,Q$268=""),"",IF(COUNTIFS(BD!$B$3:$B$5001,Q$268,BD!$A$3:$A$5001,"&gt;="&amp;$C$7,BD!$A$3:$A$5001,"&lt;="&amp;$B273,BD!$T$3:$T$5001,"&lt;&gt;")=0,"",SUMIFS(BD!$T$3:$T$5001,BD!$B$3:$B$5001,Q$268,BD!$A$3:$A$5001,_xlfn.MAXIFS(BD!$A$3:$A$5001,BD!$B$3:$B$5001,Q$268,BD!$A$3:$A$5001,"&gt;="&amp;$C$7,BD!$A$3:$A$5001,"&lt;="&amp;$B273,BD!$T$3:$T$5001,"&lt;&gt;"))))</f>
        <v/>
      </c>
      <c r="R273" s="54" t="str">
        <f>IF(OR($B273="",$A273&gt;$B$9,R$268=""),"",IF(COUNTIFS(BD!$B$3:$B$5001,R$268,BD!$A$3:$A$5001,"&gt;="&amp;$C$7,BD!$A$3:$A$5001,"&lt;="&amp;$B273,BD!$T$3:$T$5001,"&lt;&gt;")=0,"",SUMIFS(BD!$T$3:$T$5001,BD!$B$3:$B$5001,R$268,BD!$A$3:$A$5001,_xlfn.MAXIFS(BD!$A$3:$A$5001,BD!$B$3:$B$5001,R$268,BD!$A$3:$A$5001,"&gt;="&amp;$C$7,BD!$A$3:$A$5001,"&lt;="&amp;$B273,BD!$T$3:$T$5001,"&lt;&gt;"))))</f>
        <v/>
      </c>
      <c r="S273" s="54" t="str">
        <f>IF(OR($B273="",$A273&gt;$B$9,S$268=""),"",IF(COUNTIFS(BD!$B$3:$B$5001,S$268,BD!$A$3:$A$5001,"&gt;="&amp;$C$7,BD!$A$3:$A$5001,"&lt;="&amp;$B273,BD!$T$3:$T$5001,"&lt;&gt;")=0,"",SUMIFS(BD!$T$3:$T$5001,BD!$B$3:$B$5001,S$268,BD!$A$3:$A$5001,_xlfn.MAXIFS(BD!$A$3:$A$5001,BD!$B$3:$B$5001,S$268,BD!$A$3:$A$5001,"&gt;="&amp;$C$7,BD!$A$3:$A$5001,"&lt;="&amp;$B273,BD!$T$3:$T$5001,"&lt;&gt;"))))</f>
        <v/>
      </c>
      <c r="T273" s="54" t="str">
        <f>IF(OR($B273="",$A273&gt;$B$9,T$268=""),"",IF(COUNTIFS(BD!$B$3:$B$5001,T$268,BD!$A$3:$A$5001,"&gt;="&amp;$C$7,BD!$A$3:$A$5001,"&lt;="&amp;$B273,BD!$T$3:$T$5001,"&lt;&gt;")=0,"",SUMIFS(BD!$T$3:$T$5001,BD!$B$3:$B$5001,T$268,BD!$A$3:$A$5001,_xlfn.MAXIFS(BD!$A$3:$A$5001,BD!$B$3:$B$5001,T$268,BD!$A$3:$A$5001,"&gt;="&amp;$C$7,BD!$A$3:$A$5001,"&lt;="&amp;$B273,BD!$T$3:$T$5001,"&lt;&gt;"))))</f>
        <v/>
      </c>
      <c r="U273" s="54" t="str">
        <f>IF(OR($B273="",$A273&gt;$B$9,U$268=""),"",IF(COUNTIFS(BD!$B$3:$B$5001,U$268,BD!$A$3:$A$5001,"&gt;="&amp;$C$7,BD!$A$3:$A$5001,"&lt;="&amp;$B273,BD!$T$3:$T$5001,"&lt;&gt;")=0,"",SUMIFS(BD!$T$3:$T$5001,BD!$B$3:$B$5001,U$268,BD!$A$3:$A$5001,_xlfn.MAXIFS(BD!$A$3:$A$5001,BD!$B$3:$B$5001,U$268,BD!$A$3:$A$5001,"&gt;="&amp;$C$7,BD!$A$3:$A$5001,"&lt;="&amp;$B273,BD!$T$3:$T$5001,"&lt;&gt;"))))</f>
        <v/>
      </c>
      <c r="V273" s="54" t="str">
        <f>IF(OR($B273="",$A273&gt;$B$9,V$268=""),"",IF(COUNTIFS(BD!$B$3:$B$5001,V$268,BD!$A$3:$A$5001,"&gt;="&amp;$C$7,BD!$A$3:$A$5001,"&lt;="&amp;$B273,BD!$T$3:$T$5001,"&lt;&gt;")=0,"",SUMIFS(BD!$T$3:$T$5001,BD!$B$3:$B$5001,V$268,BD!$A$3:$A$5001,_xlfn.MAXIFS(BD!$A$3:$A$5001,BD!$B$3:$B$5001,V$268,BD!$A$3:$A$5001,"&gt;="&amp;$C$7,BD!$A$3:$A$5001,"&lt;="&amp;$B273,BD!$T$3:$T$5001,"&lt;&gt;"))))</f>
        <v/>
      </c>
    </row>
    <row r="274">
      <c r="A274" s="48">
        <v>6</v>
      </c>
      <c r="B274" s="53">
        <f>$B$17</f>
        <v>46301</v>
      </c>
      <c r="C274" s="54" t="str">
        <f>IF(OR($B274="",$A274&gt;$B$9,C$268=""),"",IF(COUNTIFS(BD!$B$3:$B$5001,C$268,BD!$A$3:$A$5001,"&gt;="&amp;$C$7,BD!$A$3:$A$5001,"&lt;="&amp;$B274,BD!$T$3:$T$5001,"&lt;&gt;")=0,"",SUMIFS(BD!$T$3:$T$5001,BD!$B$3:$B$5001,C$268,BD!$A$3:$A$5001,_xlfn.MAXIFS(BD!$A$3:$A$5001,BD!$B$3:$B$5001,C$268,BD!$A$3:$A$5001,"&gt;="&amp;$C$7,BD!$A$3:$A$5001,"&lt;="&amp;$B274,BD!$T$3:$T$5001,"&lt;&gt;"))))</f>
        <v/>
      </c>
      <c r="D274" s="54" t="str">
        <f>IF(OR($B274="",$A274&gt;$B$9,D$268=""),"",IF(COUNTIFS(BD!$B$3:$B$5001,D$268,BD!$A$3:$A$5001,"&gt;="&amp;$C$7,BD!$A$3:$A$5001,"&lt;="&amp;$B274,BD!$T$3:$T$5001,"&lt;&gt;")=0,"",SUMIFS(BD!$T$3:$T$5001,BD!$B$3:$B$5001,D$268,BD!$A$3:$A$5001,_xlfn.MAXIFS(BD!$A$3:$A$5001,BD!$B$3:$B$5001,D$268,BD!$A$3:$A$5001,"&gt;="&amp;$C$7,BD!$A$3:$A$5001,"&lt;="&amp;$B274,BD!$T$3:$T$5001,"&lt;&gt;"))))</f>
        <v/>
      </c>
      <c r="E274" s="54" t="str">
        <f>IF(OR($B274="",$A274&gt;$B$9,E$268=""),"",IF(COUNTIFS(BD!$B$3:$B$5001,E$268,BD!$A$3:$A$5001,"&gt;="&amp;$C$7,BD!$A$3:$A$5001,"&lt;="&amp;$B274,BD!$T$3:$T$5001,"&lt;&gt;")=0,"",SUMIFS(BD!$T$3:$T$5001,BD!$B$3:$B$5001,E$268,BD!$A$3:$A$5001,_xlfn.MAXIFS(BD!$A$3:$A$5001,BD!$B$3:$B$5001,E$268,BD!$A$3:$A$5001,"&gt;="&amp;$C$7,BD!$A$3:$A$5001,"&lt;="&amp;$B274,BD!$T$3:$T$5001,"&lt;&gt;"))))</f>
        <v/>
      </c>
      <c r="F274" s="54" t="str">
        <f>IF(OR($B274="",$A274&gt;$B$9,F$268=""),"",IF(COUNTIFS(BD!$B$3:$B$5001,F$268,BD!$A$3:$A$5001,"&gt;="&amp;$C$7,BD!$A$3:$A$5001,"&lt;="&amp;$B274,BD!$T$3:$T$5001,"&lt;&gt;")=0,"",SUMIFS(BD!$T$3:$T$5001,BD!$B$3:$B$5001,F$268,BD!$A$3:$A$5001,_xlfn.MAXIFS(BD!$A$3:$A$5001,BD!$B$3:$B$5001,F$268,BD!$A$3:$A$5001,"&gt;="&amp;$C$7,BD!$A$3:$A$5001,"&lt;="&amp;$B274,BD!$T$3:$T$5001,"&lt;&gt;"))))</f>
        <v/>
      </c>
      <c r="G274" s="54" t="str">
        <f>IF(OR($B274="",$A274&gt;$B$9,G$268=""),"",IF(COUNTIFS(BD!$B$3:$B$5001,G$268,BD!$A$3:$A$5001,"&gt;="&amp;$C$7,BD!$A$3:$A$5001,"&lt;="&amp;$B274,BD!$T$3:$T$5001,"&lt;&gt;")=0,"",SUMIFS(BD!$T$3:$T$5001,BD!$B$3:$B$5001,G$268,BD!$A$3:$A$5001,_xlfn.MAXIFS(BD!$A$3:$A$5001,BD!$B$3:$B$5001,G$268,BD!$A$3:$A$5001,"&gt;="&amp;$C$7,BD!$A$3:$A$5001,"&lt;="&amp;$B274,BD!$T$3:$T$5001,"&lt;&gt;"))))</f>
        <v/>
      </c>
      <c r="H274" s="54" t="str">
        <f>IF(OR($B274="",$A274&gt;$B$9,H$268=""),"",IF(COUNTIFS(BD!$B$3:$B$5001,H$268,BD!$A$3:$A$5001,"&gt;="&amp;$C$7,BD!$A$3:$A$5001,"&lt;="&amp;$B274,BD!$T$3:$T$5001,"&lt;&gt;")=0,"",SUMIFS(BD!$T$3:$T$5001,BD!$B$3:$B$5001,H$268,BD!$A$3:$A$5001,_xlfn.MAXIFS(BD!$A$3:$A$5001,BD!$B$3:$B$5001,H$268,BD!$A$3:$A$5001,"&gt;="&amp;$C$7,BD!$A$3:$A$5001,"&lt;="&amp;$B274,BD!$T$3:$T$5001,"&lt;&gt;"))))</f>
        <v/>
      </c>
      <c r="I274" s="54" t="str">
        <f>IF(OR($B274="",$A274&gt;$B$9,I$268=""),"",IF(COUNTIFS(BD!$B$3:$B$5001,I$268,BD!$A$3:$A$5001,"&gt;="&amp;$C$7,BD!$A$3:$A$5001,"&lt;="&amp;$B274,BD!$T$3:$T$5001,"&lt;&gt;")=0,"",SUMIFS(BD!$T$3:$T$5001,BD!$B$3:$B$5001,I$268,BD!$A$3:$A$5001,_xlfn.MAXIFS(BD!$A$3:$A$5001,BD!$B$3:$B$5001,I$268,BD!$A$3:$A$5001,"&gt;="&amp;$C$7,BD!$A$3:$A$5001,"&lt;="&amp;$B274,BD!$T$3:$T$5001,"&lt;&gt;"))))</f>
        <v/>
      </c>
      <c r="J274" s="54" t="str">
        <f>IF(OR($B274="",$A274&gt;$B$9,J$268=""),"",IF(COUNTIFS(BD!$B$3:$B$5001,J$268,BD!$A$3:$A$5001,"&gt;="&amp;$C$7,BD!$A$3:$A$5001,"&lt;="&amp;$B274,BD!$T$3:$T$5001,"&lt;&gt;")=0,"",SUMIFS(BD!$T$3:$T$5001,BD!$B$3:$B$5001,J$268,BD!$A$3:$A$5001,_xlfn.MAXIFS(BD!$A$3:$A$5001,BD!$B$3:$B$5001,J$268,BD!$A$3:$A$5001,"&gt;="&amp;$C$7,BD!$A$3:$A$5001,"&lt;="&amp;$B274,BD!$T$3:$T$5001,"&lt;&gt;"))))</f>
        <v/>
      </c>
      <c r="K274" s="54" t="str">
        <f>IF(OR($B274="",$A274&gt;$B$9,K$268=""),"",IF(COUNTIFS(BD!$B$3:$B$5001,K$268,BD!$A$3:$A$5001,"&gt;="&amp;$C$7,BD!$A$3:$A$5001,"&lt;="&amp;$B274,BD!$T$3:$T$5001,"&lt;&gt;")=0,"",SUMIFS(BD!$T$3:$T$5001,BD!$B$3:$B$5001,K$268,BD!$A$3:$A$5001,_xlfn.MAXIFS(BD!$A$3:$A$5001,BD!$B$3:$B$5001,K$268,BD!$A$3:$A$5001,"&gt;="&amp;$C$7,BD!$A$3:$A$5001,"&lt;="&amp;$B274,BD!$T$3:$T$5001,"&lt;&gt;"))))</f>
        <v/>
      </c>
      <c r="L274" s="54" t="str">
        <f>IF(OR($B274="",$A274&gt;$B$9,L$268=""),"",IF(COUNTIFS(BD!$B$3:$B$5001,L$268,BD!$A$3:$A$5001,"&gt;="&amp;$C$7,BD!$A$3:$A$5001,"&lt;="&amp;$B274,BD!$T$3:$T$5001,"&lt;&gt;")=0,"",SUMIFS(BD!$T$3:$T$5001,BD!$B$3:$B$5001,L$268,BD!$A$3:$A$5001,_xlfn.MAXIFS(BD!$A$3:$A$5001,BD!$B$3:$B$5001,L$268,BD!$A$3:$A$5001,"&gt;="&amp;$C$7,BD!$A$3:$A$5001,"&lt;="&amp;$B274,BD!$T$3:$T$5001,"&lt;&gt;"))))</f>
        <v/>
      </c>
      <c r="M274" s="54" t="str">
        <f>IF(OR($B274="",$A274&gt;$B$9,M$268=""),"",IF(COUNTIFS(BD!$B$3:$B$5001,M$268,BD!$A$3:$A$5001,"&gt;="&amp;$C$7,BD!$A$3:$A$5001,"&lt;="&amp;$B274,BD!$T$3:$T$5001,"&lt;&gt;")=0,"",SUMIFS(BD!$T$3:$T$5001,BD!$B$3:$B$5001,M$268,BD!$A$3:$A$5001,_xlfn.MAXIFS(BD!$A$3:$A$5001,BD!$B$3:$B$5001,M$268,BD!$A$3:$A$5001,"&gt;="&amp;$C$7,BD!$A$3:$A$5001,"&lt;="&amp;$B274,BD!$T$3:$T$5001,"&lt;&gt;"))))</f>
        <v/>
      </c>
      <c r="N274" s="54" t="str">
        <f>IF(OR($B274="",$A274&gt;$B$9,N$268=""),"",IF(COUNTIFS(BD!$B$3:$B$5001,N$268,BD!$A$3:$A$5001,"&gt;="&amp;$C$7,BD!$A$3:$A$5001,"&lt;="&amp;$B274,BD!$T$3:$T$5001,"&lt;&gt;")=0,"",SUMIFS(BD!$T$3:$T$5001,BD!$B$3:$B$5001,N$268,BD!$A$3:$A$5001,_xlfn.MAXIFS(BD!$A$3:$A$5001,BD!$B$3:$B$5001,N$268,BD!$A$3:$A$5001,"&gt;="&amp;$C$7,BD!$A$3:$A$5001,"&lt;="&amp;$B274,BD!$T$3:$T$5001,"&lt;&gt;"))))</f>
        <v/>
      </c>
      <c r="O274" s="54" t="str">
        <f>IF(OR($B274="",$A274&gt;$B$9,O$268=""),"",IF(COUNTIFS(BD!$B$3:$B$5001,O$268,BD!$A$3:$A$5001,"&gt;="&amp;$C$7,BD!$A$3:$A$5001,"&lt;="&amp;$B274,BD!$T$3:$T$5001,"&lt;&gt;")=0,"",SUMIFS(BD!$T$3:$T$5001,BD!$B$3:$B$5001,O$268,BD!$A$3:$A$5001,_xlfn.MAXIFS(BD!$A$3:$A$5001,BD!$B$3:$B$5001,O$268,BD!$A$3:$A$5001,"&gt;="&amp;$C$7,BD!$A$3:$A$5001,"&lt;="&amp;$B274,BD!$T$3:$T$5001,"&lt;&gt;"))))</f>
        <v/>
      </c>
      <c r="P274" s="54" t="str">
        <f>IF(OR($B274="",$A274&gt;$B$9,P$268=""),"",IF(COUNTIFS(BD!$B$3:$B$5001,P$268,BD!$A$3:$A$5001,"&gt;="&amp;$C$7,BD!$A$3:$A$5001,"&lt;="&amp;$B274,BD!$T$3:$T$5001,"&lt;&gt;")=0,"",SUMIFS(BD!$T$3:$T$5001,BD!$B$3:$B$5001,P$268,BD!$A$3:$A$5001,_xlfn.MAXIFS(BD!$A$3:$A$5001,BD!$B$3:$B$5001,P$268,BD!$A$3:$A$5001,"&gt;="&amp;$C$7,BD!$A$3:$A$5001,"&lt;="&amp;$B274,BD!$T$3:$T$5001,"&lt;&gt;"))))</f>
        <v/>
      </c>
      <c r="Q274" s="54" t="str">
        <f>IF(OR($B274="",$A274&gt;$B$9,Q$268=""),"",IF(COUNTIFS(BD!$B$3:$B$5001,Q$268,BD!$A$3:$A$5001,"&gt;="&amp;$C$7,BD!$A$3:$A$5001,"&lt;="&amp;$B274,BD!$T$3:$T$5001,"&lt;&gt;")=0,"",SUMIFS(BD!$T$3:$T$5001,BD!$B$3:$B$5001,Q$268,BD!$A$3:$A$5001,_xlfn.MAXIFS(BD!$A$3:$A$5001,BD!$B$3:$B$5001,Q$268,BD!$A$3:$A$5001,"&gt;="&amp;$C$7,BD!$A$3:$A$5001,"&lt;="&amp;$B274,BD!$T$3:$T$5001,"&lt;&gt;"))))</f>
        <v/>
      </c>
      <c r="R274" s="54" t="str">
        <f>IF(OR($B274="",$A274&gt;$B$9,R$268=""),"",IF(COUNTIFS(BD!$B$3:$B$5001,R$268,BD!$A$3:$A$5001,"&gt;="&amp;$C$7,BD!$A$3:$A$5001,"&lt;="&amp;$B274,BD!$T$3:$T$5001,"&lt;&gt;")=0,"",SUMIFS(BD!$T$3:$T$5001,BD!$B$3:$B$5001,R$268,BD!$A$3:$A$5001,_xlfn.MAXIFS(BD!$A$3:$A$5001,BD!$B$3:$B$5001,R$268,BD!$A$3:$A$5001,"&gt;="&amp;$C$7,BD!$A$3:$A$5001,"&lt;="&amp;$B274,BD!$T$3:$T$5001,"&lt;&gt;"))))</f>
        <v/>
      </c>
      <c r="S274" s="54" t="str">
        <f>IF(OR($B274="",$A274&gt;$B$9,S$268=""),"",IF(COUNTIFS(BD!$B$3:$B$5001,S$268,BD!$A$3:$A$5001,"&gt;="&amp;$C$7,BD!$A$3:$A$5001,"&lt;="&amp;$B274,BD!$T$3:$T$5001,"&lt;&gt;")=0,"",SUMIFS(BD!$T$3:$T$5001,BD!$B$3:$B$5001,S$268,BD!$A$3:$A$5001,_xlfn.MAXIFS(BD!$A$3:$A$5001,BD!$B$3:$B$5001,S$268,BD!$A$3:$A$5001,"&gt;="&amp;$C$7,BD!$A$3:$A$5001,"&lt;="&amp;$B274,BD!$T$3:$T$5001,"&lt;&gt;"))))</f>
        <v/>
      </c>
      <c r="T274" s="54" t="str">
        <f>IF(OR($B274="",$A274&gt;$B$9,T$268=""),"",IF(COUNTIFS(BD!$B$3:$B$5001,T$268,BD!$A$3:$A$5001,"&gt;="&amp;$C$7,BD!$A$3:$A$5001,"&lt;="&amp;$B274,BD!$T$3:$T$5001,"&lt;&gt;")=0,"",SUMIFS(BD!$T$3:$T$5001,BD!$B$3:$B$5001,T$268,BD!$A$3:$A$5001,_xlfn.MAXIFS(BD!$A$3:$A$5001,BD!$B$3:$B$5001,T$268,BD!$A$3:$A$5001,"&gt;="&amp;$C$7,BD!$A$3:$A$5001,"&lt;="&amp;$B274,BD!$T$3:$T$5001,"&lt;&gt;"))))</f>
        <v/>
      </c>
      <c r="U274" s="54" t="str">
        <f>IF(OR($B274="",$A274&gt;$B$9,U$268=""),"",IF(COUNTIFS(BD!$B$3:$B$5001,U$268,BD!$A$3:$A$5001,"&gt;="&amp;$C$7,BD!$A$3:$A$5001,"&lt;="&amp;$B274,BD!$T$3:$T$5001,"&lt;&gt;")=0,"",SUMIFS(BD!$T$3:$T$5001,BD!$B$3:$B$5001,U$268,BD!$A$3:$A$5001,_xlfn.MAXIFS(BD!$A$3:$A$5001,BD!$B$3:$B$5001,U$268,BD!$A$3:$A$5001,"&gt;="&amp;$C$7,BD!$A$3:$A$5001,"&lt;="&amp;$B274,BD!$T$3:$T$5001,"&lt;&gt;"))))</f>
        <v/>
      </c>
      <c r="V274" s="54" t="str">
        <f>IF(OR($B274="",$A274&gt;$B$9,V$268=""),"",IF(COUNTIFS(BD!$B$3:$B$5001,V$268,BD!$A$3:$A$5001,"&gt;="&amp;$C$7,BD!$A$3:$A$5001,"&lt;="&amp;$B274,BD!$T$3:$T$5001,"&lt;&gt;")=0,"",SUMIFS(BD!$T$3:$T$5001,BD!$B$3:$B$5001,V$268,BD!$A$3:$A$5001,_xlfn.MAXIFS(BD!$A$3:$A$5001,BD!$B$3:$B$5001,V$268,BD!$A$3:$A$5001,"&gt;="&amp;$C$7,BD!$A$3:$A$5001,"&lt;="&amp;$B274,BD!$T$3:$T$5001,"&lt;&gt;"))))</f>
        <v/>
      </c>
    </row>
    <row r="275">
      <c r="A275" s="48">
        <v>7</v>
      </c>
      <c r="B275" s="53">
        <f>$B$18</f>
        <v>46302</v>
      </c>
      <c r="C275" s="54" t="str">
        <f>IF(OR($B275="",$A275&gt;$B$9,C$268=""),"",IF(COUNTIFS(BD!$B$3:$B$5001,C$268,BD!$A$3:$A$5001,"&gt;="&amp;$C$7,BD!$A$3:$A$5001,"&lt;="&amp;$B275,BD!$T$3:$T$5001,"&lt;&gt;")=0,"",SUMIFS(BD!$T$3:$T$5001,BD!$B$3:$B$5001,C$268,BD!$A$3:$A$5001,_xlfn.MAXIFS(BD!$A$3:$A$5001,BD!$B$3:$B$5001,C$268,BD!$A$3:$A$5001,"&gt;="&amp;$C$7,BD!$A$3:$A$5001,"&lt;="&amp;$B275,BD!$T$3:$T$5001,"&lt;&gt;"))))</f>
        <v/>
      </c>
      <c r="D275" s="54" t="str">
        <f>IF(OR($B275="",$A275&gt;$B$9,D$268=""),"",IF(COUNTIFS(BD!$B$3:$B$5001,D$268,BD!$A$3:$A$5001,"&gt;="&amp;$C$7,BD!$A$3:$A$5001,"&lt;="&amp;$B275,BD!$T$3:$T$5001,"&lt;&gt;")=0,"",SUMIFS(BD!$T$3:$T$5001,BD!$B$3:$B$5001,D$268,BD!$A$3:$A$5001,_xlfn.MAXIFS(BD!$A$3:$A$5001,BD!$B$3:$B$5001,D$268,BD!$A$3:$A$5001,"&gt;="&amp;$C$7,BD!$A$3:$A$5001,"&lt;="&amp;$B275,BD!$T$3:$T$5001,"&lt;&gt;"))))</f>
        <v/>
      </c>
      <c r="E275" s="54" t="str">
        <f>IF(OR($B275="",$A275&gt;$B$9,E$268=""),"",IF(COUNTIFS(BD!$B$3:$B$5001,E$268,BD!$A$3:$A$5001,"&gt;="&amp;$C$7,BD!$A$3:$A$5001,"&lt;="&amp;$B275,BD!$T$3:$T$5001,"&lt;&gt;")=0,"",SUMIFS(BD!$T$3:$T$5001,BD!$B$3:$B$5001,E$268,BD!$A$3:$A$5001,_xlfn.MAXIFS(BD!$A$3:$A$5001,BD!$B$3:$B$5001,E$268,BD!$A$3:$A$5001,"&gt;="&amp;$C$7,BD!$A$3:$A$5001,"&lt;="&amp;$B275,BD!$T$3:$T$5001,"&lt;&gt;"))))</f>
        <v/>
      </c>
      <c r="F275" s="54" t="str">
        <f>IF(OR($B275="",$A275&gt;$B$9,F$268=""),"",IF(COUNTIFS(BD!$B$3:$B$5001,F$268,BD!$A$3:$A$5001,"&gt;="&amp;$C$7,BD!$A$3:$A$5001,"&lt;="&amp;$B275,BD!$T$3:$T$5001,"&lt;&gt;")=0,"",SUMIFS(BD!$T$3:$T$5001,BD!$B$3:$B$5001,F$268,BD!$A$3:$A$5001,_xlfn.MAXIFS(BD!$A$3:$A$5001,BD!$B$3:$B$5001,F$268,BD!$A$3:$A$5001,"&gt;="&amp;$C$7,BD!$A$3:$A$5001,"&lt;="&amp;$B275,BD!$T$3:$T$5001,"&lt;&gt;"))))</f>
        <v/>
      </c>
      <c r="G275" s="54" t="str">
        <f>IF(OR($B275="",$A275&gt;$B$9,G$268=""),"",IF(COUNTIFS(BD!$B$3:$B$5001,G$268,BD!$A$3:$A$5001,"&gt;="&amp;$C$7,BD!$A$3:$A$5001,"&lt;="&amp;$B275,BD!$T$3:$T$5001,"&lt;&gt;")=0,"",SUMIFS(BD!$T$3:$T$5001,BD!$B$3:$B$5001,G$268,BD!$A$3:$A$5001,_xlfn.MAXIFS(BD!$A$3:$A$5001,BD!$B$3:$B$5001,G$268,BD!$A$3:$A$5001,"&gt;="&amp;$C$7,BD!$A$3:$A$5001,"&lt;="&amp;$B275,BD!$T$3:$T$5001,"&lt;&gt;"))))</f>
        <v/>
      </c>
      <c r="H275" s="54" t="str">
        <f>IF(OR($B275="",$A275&gt;$B$9,H$268=""),"",IF(COUNTIFS(BD!$B$3:$B$5001,H$268,BD!$A$3:$A$5001,"&gt;="&amp;$C$7,BD!$A$3:$A$5001,"&lt;="&amp;$B275,BD!$T$3:$T$5001,"&lt;&gt;")=0,"",SUMIFS(BD!$T$3:$T$5001,BD!$B$3:$B$5001,H$268,BD!$A$3:$A$5001,_xlfn.MAXIFS(BD!$A$3:$A$5001,BD!$B$3:$B$5001,H$268,BD!$A$3:$A$5001,"&gt;="&amp;$C$7,BD!$A$3:$A$5001,"&lt;="&amp;$B275,BD!$T$3:$T$5001,"&lt;&gt;"))))</f>
        <v/>
      </c>
      <c r="I275" s="54" t="str">
        <f>IF(OR($B275="",$A275&gt;$B$9,I$268=""),"",IF(COUNTIFS(BD!$B$3:$B$5001,I$268,BD!$A$3:$A$5001,"&gt;="&amp;$C$7,BD!$A$3:$A$5001,"&lt;="&amp;$B275,BD!$T$3:$T$5001,"&lt;&gt;")=0,"",SUMIFS(BD!$T$3:$T$5001,BD!$B$3:$B$5001,I$268,BD!$A$3:$A$5001,_xlfn.MAXIFS(BD!$A$3:$A$5001,BD!$B$3:$B$5001,I$268,BD!$A$3:$A$5001,"&gt;="&amp;$C$7,BD!$A$3:$A$5001,"&lt;="&amp;$B275,BD!$T$3:$T$5001,"&lt;&gt;"))))</f>
        <v/>
      </c>
      <c r="J275" s="54" t="str">
        <f>IF(OR($B275="",$A275&gt;$B$9,J$268=""),"",IF(COUNTIFS(BD!$B$3:$B$5001,J$268,BD!$A$3:$A$5001,"&gt;="&amp;$C$7,BD!$A$3:$A$5001,"&lt;="&amp;$B275,BD!$T$3:$T$5001,"&lt;&gt;")=0,"",SUMIFS(BD!$T$3:$T$5001,BD!$B$3:$B$5001,J$268,BD!$A$3:$A$5001,_xlfn.MAXIFS(BD!$A$3:$A$5001,BD!$B$3:$B$5001,J$268,BD!$A$3:$A$5001,"&gt;="&amp;$C$7,BD!$A$3:$A$5001,"&lt;="&amp;$B275,BD!$T$3:$T$5001,"&lt;&gt;"))))</f>
        <v/>
      </c>
      <c r="K275" s="54" t="str">
        <f>IF(OR($B275="",$A275&gt;$B$9,K$268=""),"",IF(COUNTIFS(BD!$B$3:$B$5001,K$268,BD!$A$3:$A$5001,"&gt;="&amp;$C$7,BD!$A$3:$A$5001,"&lt;="&amp;$B275,BD!$T$3:$T$5001,"&lt;&gt;")=0,"",SUMIFS(BD!$T$3:$T$5001,BD!$B$3:$B$5001,K$268,BD!$A$3:$A$5001,_xlfn.MAXIFS(BD!$A$3:$A$5001,BD!$B$3:$B$5001,K$268,BD!$A$3:$A$5001,"&gt;="&amp;$C$7,BD!$A$3:$A$5001,"&lt;="&amp;$B275,BD!$T$3:$T$5001,"&lt;&gt;"))))</f>
        <v/>
      </c>
      <c r="L275" s="54" t="str">
        <f>IF(OR($B275="",$A275&gt;$B$9,L$268=""),"",IF(COUNTIFS(BD!$B$3:$B$5001,L$268,BD!$A$3:$A$5001,"&gt;="&amp;$C$7,BD!$A$3:$A$5001,"&lt;="&amp;$B275,BD!$T$3:$T$5001,"&lt;&gt;")=0,"",SUMIFS(BD!$T$3:$T$5001,BD!$B$3:$B$5001,L$268,BD!$A$3:$A$5001,_xlfn.MAXIFS(BD!$A$3:$A$5001,BD!$B$3:$B$5001,L$268,BD!$A$3:$A$5001,"&gt;="&amp;$C$7,BD!$A$3:$A$5001,"&lt;="&amp;$B275,BD!$T$3:$T$5001,"&lt;&gt;"))))</f>
        <v/>
      </c>
      <c r="M275" s="54" t="str">
        <f>IF(OR($B275="",$A275&gt;$B$9,M$268=""),"",IF(COUNTIFS(BD!$B$3:$B$5001,M$268,BD!$A$3:$A$5001,"&gt;="&amp;$C$7,BD!$A$3:$A$5001,"&lt;="&amp;$B275,BD!$T$3:$T$5001,"&lt;&gt;")=0,"",SUMIFS(BD!$T$3:$T$5001,BD!$B$3:$B$5001,M$268,BD!$A$3:$A$5001,_xlfn.MAXIFS(BD!$A$3:$A$5001,BD!$B$3:$B$5001,M$268,BD!$A$3:$A$5001,"&gt;="&amp;$C$7,BD!$A$3:$A$5001,"&lt;="&amp;$B275,BD!$T$3:$T$5001,"&lt;&gt;"))))</f>
        <v/>
      </c>
      <c r="N275" s="54" t="str">
        <f>IF(OR($B275="",$A275&gt;$B$9,N$268=""),"",IF(COUNTIFS(BD!$B$3:$B$5001,N$268,BD!$A$3:$A$5001,"&gt;="&amp;$C$7,BD!$A$3:$A$5001,"&lt;="&amp;$B275,BD!$T$3:$T$5001,"&lt;&gt;")=0,"",SUMIFS(BD!$T$3:$T$5001,BD!$B$3:$B$5001,N$268,BD!$A$3:$A$5001,_xlfn.MAXIFS(BD!$A$3:$A$5001,BD!$B$3:$B$5001,N$268,BD!$A$3:$A$5001,"&gt;="&amp;$C$7,BD!$A$3:$A$5001,"&lt;="&amp;$B275,BD!$T$3:$T$5001,"&lt;&gt;"))))</f>
        <v/>
      </c>
      <c r="O275" s="54" t="str">
        <f>IF(OR($B275="",$A275&gt;$B$9,O$268=""),"",IF(COUNTIFS(BD!$B$3:$B$5001,O$268,BD!$A$3:$A$5001,"&gt;="&amp;$C$7,BD!$A$3:$A$5001,"&lt;="&amp;$B275,BD!$T$3:$T$5001,"&lt;&gt;")=0,"",SUMIFS(BD!$T$3:$T$5001,BD!$B$3:$B$5001,O$268,BD!$A$3:$A$5001,_xlfn.MAXIFS(BD!$A$3:$A$5001,BD!$B$3:$B$5001,O$268,BD!$A$3:$A$5001,"&gt;="&amp;$C$7,BD!$A$3:$A$5001,"&lt;="&amp;$B275,BD!$T$3:$T$5001,"&lt;&gt;"))))</f>
        <v/>
      </c>
      <c r="P275" s="54" t="str">
        <f>IF(OR($B275="",$A275&gt;$B$9,P$268=""),"",IF(COUNTIFS(BD!$B$3:$B$5001,P$268,BD!$A$3:$A$5001,"&gt;="&amp;$C$7,BD!$A$3:$A$5001,"&lt;="&amp;$B275,BD!$T$3:$T$5001,"&lt;&gt;")=0,"",SUMIFS(BD!$T$3:$T$5001,BD!$B$3:$B$5001,P$268,BD!$A$3:$A$5001,_xlfn.MAXIFS(BD!$A$3:$A$5001,BD!$B$3:$B$5001,P$268,BD!$A$3:$A$5001,"&gt;="&amp;$C$7,BD!$A$3:$A$5001,"&lt;="&amp;$B275,BD!$T$3:$T$5001,"&lt;&gt;"))))</f>
        <v/>
      </c>
      <c r="Q275" s="54" t="str">
        <f>IF(OR($B275="",$A275&gt;$B$9,Q$268=""),"",IF(COUNTIFS(BD!$B$3:$B$5001,Q$268,BD!$A$3:$A$5001,"&gt;="&amp;$C$7,BD!$A$3:$A$5001,"&lt;="&amp;$B275,BD!$T$3:$T$5001,"&lt;&gt;")=0,"",SUMIFS(BD!$T$3:$T$5001,BD!$B$3:$B$5001,Q$268,BD!$A$3:$A$5001,_xlfn.MAXIFS(BD!$A$3:$A$5001,BD!$B$3:$B$5001,Q$268,BD!$A$3:$A$5001,"&gt;="&amp;$C$7,BD!$A$3:$A$5001,"&lt;="&amp;$B275,BD!$T$3:$T$5001,"&lt;&gt;"))))</f>
        <v/>
      </c>
      <c r="R275" s="54" t="str">
        <f>IF(OR($B275="",$A275&gt;$B$9,R$268=""),"",IF(COUNTIFS(BD!$B$3:$B$5001,R$268,BD!$A$3:$A$5001,"&gt;="&amp;$C$7,BD!$A$3:$A$5001,"&lt;="&amp;$B275,BD!$T$3:$T$5001,"&lt;&gt;")=0,"",SUMIFS(BD!$T$3:$T$5001,BD!$B$3:$B$5001,R$268,BD!$A$3:$A$5001,_xlfn.MAXIFS(BD!$A$3:$A$5001,BD!$B$3:$B$5001,R$268,BD!$A$3:$A$5001,"&gt;="&amp;$C$7,BD!$A$3:$A$5001,"&lt;="&amp;$B275,BD!$T$3:$T$5001,"&lt;&gt;"))))</f>
        <v/>
      </c>
      <c r="S275" s="54" t="str">
        <f>IF(OR($B275="",$A275&gt;$B$9,S$268=""),"",IF(COUNTIFS(BD!$B$3:$B$5001,S$268,BD!$A$3:$A$5001,"&gt;="&amp;$C$7,BD!$A$3:$A$5001,"&lt;="&amp;$B275,BD!$T$3:$T$5001,"&lt;&gt;")=0,"",SUMIFS(BD!$T$3:$T$5001,BD!$B$3:$B$5001,S$268,BD!$A$3:$A$5001,_xlfn.MAXIFS(BD!$A$3:$A$5001,BD!$B$3:$B$5001,S$268,BD!$A$3:$A$5001,"&gt;="&amp;$C$7,BD!$A$3:$A$5001,"&lt;="&amp;$B275,BD!$T$3:$T$5001,"&lt;&gt;"))))</f>
        <v/>
      </c>
      <c r="T275" s="54" t="str">
        <f>IF(OR($B275="",$A275&gt;$B$9,T$268=""),"",IF(COUNTIFS(BD!$B$3:$B$5001,T$268,BD!$A$3:$A$5001,"&gt;="&amp;$C$7,BD!$A$3:$A$5001,"&lt;="&amp;$B275,BD!$T$3:$T$5001,"&lt;&gt;")=0,"",SUMIFS(BD!$T$3:$T$5001,BD!$B$3:$B$5001,T$268,BD!$A$3:$A$5001,_xlfn.MAXIFS(BD!$A$3:$A$5001,BD!$B$3:$B$5001,T$268,BD!$A$3:$A$5001,"&gt;="&amp;$C$7,BD!$A$3:$A$5001,"&lt;="&amp;$B275,BD!$T$3:$T$5001,"&lt;&gt;"))))</f>
        <v/>
      </c>
      <c r="U275" s="54" t="str">
        <f>IF(OR($B275="",$A275&gt;$B$9,U$268=""),"",IF(COUNTIFS(BD!$B$3:$B$5001,U$268,BD!$A$3:$A$5001,"&gt;="&amp;$C$7,BD!$A$3:$A$5001,"&lt;="&amp;$B275,BD!$T$3:$T$5001,"&lt;&gt;")=0,"",SUMIFS(BD!$T$3:$T$5001,BD!$B$3:$B$5001,U$268,BD!$A$3:$A$5001,_xlfn.MAXIFS(BD!$A$3:$A$5001,BD!$B$3:$B$5001,U$268,BD!$A$3:$A$5001,"&gt;="&amp;$C$7,BD!$A$3:$A$5001,"&lt;="&amp;$B275,BD!$T$3:$T$5001,"&lt;&gt;"))))</f>
        <v/>
      </c>
      <c r="V275" s="54" t="str">
        <f>IF(OR($B275="",$A275&gt;$B$9,V$268=""),"",IF(COUNTIFS(BD!$B$3:$B$5001,V$268,BD!$A$3:$A$5001,"&gt;="&amp;$C$7,BD!$A$3:$A$5001,"&lt;="&amp;$B275,BD!$T$3:$T$5001,"&lt;&gt;")=0,"",SUMIFS(BD!$T$3:$T$5001,BD!$B$3:$B$5001,V$268,BD!$A$3:$A$5001,_xlfn.MAXIFS(BD!$A$3:$A$5001,BD!$B$3:$B$5001,V$268,BD!$A$3:$A$5001,"&gt;="&amp;$C$7,BD!$A$3:$A$5001,"&lt;="&amp;$B275,BD!$T$3:$T$5001,"&lt;&gt;"))))</f>
        <v/>
      </c>
    </row>
    <row r="276">
      <c r="A276" s="48">
        <v>8</v>
      </c>
      <c r="B276" s="53">
        <f>$B$19</f>
        <v>46303</v>
      </c>
      <c r="C276" s="54" t="str">
        <f>IF(OR($B276="",$A276&gt;$B$9,C$268=""),"",IF(COUNTIFS(BD!$B$3:$B$5001,C$268,BD!$A$3:$A$5001,"&gt;="&amp;$C$7,BD!$A$3:$A$5001,"&lt;="&amp;$B276,BD!$T$3:$T$5001,"&lt;&gt;")=0,"",SUMIFS(BD!$T$3:$T$5001,BD!$B$3:$B$5001,C$268,BD!$A$3:$A$5001,_xlfn.MAXIFS(BD!$A$3:$A$5001,BD!$B$3:$B$5001,C$268,BD!$A$3:$A$5001,"&gt;="&amp;$C$7,BD!$A$3:$A$5001,"&lt;="&amp;$B276,BD!$T$3:$T$5001,"&lt;&gt;"))))</f>
        <v/>
      </c>
      <c r="D276" s="54" t="str">
        <f>IF(OR($B276="",$A276&gt;$B$9,D$268=""),"",IF(COUNTIFS(BD!$B$3:$B$5001,D$268,BD!$A$3:$A$5001,"&gt;="&amp;$C$7,BD!$A$3:$A$5001,"&lt;="&amp;$B276,BD!$T$3:$T$5001,"&lt;&gt;")=0,"",SUMIFS(BD!$T$3:$T$5001,BD!$B$3:$B$5001,D$268,BD!$A$3:$A$5001,_xlfn.MAXIFS(BD!$A$3:$A$5001,BD!$B$3:$B$5001,D$268,BD!$A$3:$A$5001,"&gt;="&amp;$C$7,BD!$A$3:$A$5001,"&lt;="&amp;$B276,BD!$T$3:$T$5001,"&lt;&gt;"))))</f>
        <v/>
      </c>
      <c r="E276" s="54" t="str">
        <f>IF(OR($B276="",$A276&gt;$B$9,E$268=""),"",IF(COUNTIFS(BD!$B$3:$B$5001,E$268,BD!$A$3:$A$5001,"&gt;="&amp;$C$7,BD!$A$3:$A$5001,"&lt;="&amp;$B276,BD!$T$3:$T$5001,"&lt;&gt;")=0,"",SUMIFS(BD!$T$3:$T$5001,BD!$B$3:$B$5001,E$268,BD!$A$3:$A$5001,_xlfn.MAXIFS(BD!$A$3:$A$5001,BD!$B$3:$B$5001,E$268,BD!$A$3:$A$5001,"&gt;="&amp;$C$7,BD!$A$3:$A$5001,"&lt;="&amp;$B276,BD!$T$3:$T$5001,"&lt;&gt;"))))</f>
        <v/>
      </c>
      <c r="F276" s="54" t="str">
        <f>IF(OR($B276="",$A276&gt;$B$9,F$268=""),"",IF(COUNTIFS(BD!$B$3:$B$5001,F$268,BD!$A$3:$A$5001,"&gt;="&amp;$C$7,BD!$A$3:$A$5001,"&lt;="&amp;$B276,BD!$T$3:$T$5001,"&lt;&gt;")=0,"",SUMIFS(BD!$T$3:$T$5001,BD!$B$3:$B$5001,F$268,BD!$A$3:$A$5001,_xlfn.MAXIFS(BD!$A$3:$A$5001,BD!$B$3:$B$5001,F$268,BD!$A$3:$A$5001,"&gt;="&amp;$C$7,BD!$A$3:$A$5001,"&lt;="&amp;$B276,BD!$T$3:$T$5001,"&lt;&gt;"))))</f>
        <v/>
      </c>
      <c r="G276" s="54" t="str">
        <f>IF(OR($B276="",$A276&gt;$B$9,G$268=""),"",IF(COUNTIFS(BD!$B$3:$B$5001,G$268,BD!$A$3:$A$5001,"&gt;="&amp;$C$7,BD!$A$3:$A$5001,"&lt;="&amp;$B276,BD!$T$3:$T$5001,"&lt;&gt;")=0,"",SUMIFS(BD!$T$3:$T$5001,BD!$B$3:$B$5001,G$268,BD!$A$3:$A$5001,_xlfn.MAXIFS(BD!$A$3:$A$5001,BD!$B$3:$B$5001,G$268,BD!$A$3:$A$5001,"&gt;="&amp;$C$7,BD!$A$3:$A$5001,"&lt;="&amp;$B276,BD!$T$3:$T$5001,"&lt;&gt;"))))</f>
        <v/>
      </c>
      <c r="H276" s="54" t="str">
        <f>IF(OR($B276="",$A276&gt;$B$9,H$268=""),"",IF(COUNTIFS(BD!$B$3:$B$5001,H$268,BD!$A$3:$A$5001,"&gt;="&amp;$C$7,BD!$A$3:$A$5001,"&lt;="&amp;$B276,BD!$T$3:$T$5001,"&lt;&gt;")=0,"",SUMIFS(BD!$T$3:$T$5001,BD!$B$3:$B$5001,H$268,BD!$A$3:$A$5001,_xlfn.MAXIFS(BD!$A$3:$A$5001,BD!$B$3:$B$5001,H$268,BD!$A$3:$A$5001,"&gt;="&amp;$C$7,BD!$A$3:$A$5001,"&lt;="&amp;$B276,BD!$T$3:$T$5001,"&lt;&gt;"))))</f>
        <v/>
      </c>
      <c r="I276" s="54" t="str">
        <f>IF(OR($B276="",$A276&gt;$B$9,I$268=""),"",IF(COUNTIFS(BD!$B$3:$B$5001,I$268,BD!$A$3:$A$5001,"&gt;="&amp;$C$7,BD!$A$3:$A$5001,"&lt;="&amp;$B276,BD!$T$3:$T$5001,"&lt;&gt;")=0,"",SUMIFS(BD!$T$3:$T$5001,BD!$B$3:$B$5001,I$268,BD!$A$3:$A$5001,_xlfn.MAXIFS(BD!$A$3:$A$5001,BD!$B$3:$B$5001,I$268,BD!$A$3:$A$5001,"&gt;="&amp;$C$7,BD!$A$3:$A$5001,"&lt;="&amp;$B276,BD!$T$3:$T$5001,"&lt;&gt;"))))</f>
        <v/>
      </c>
      <c r="J276" s="54" t="str">
        <f>IF(OR($B276="",$A276&gt;$B$9,J$268=""),"",IF(COUNTIFS(BD!$B$3:$B$5001,J$268,BD!$A$3:$A$5001,"&gt;="&amp;$C$7,BD!$A$3:$A$5001,"&lt;="&amp;$B276,BD!$T$3:$T$5001,"&lt;&gt;")=0,"",SUMIFS(BD!$T$3:$T$5001,BD!$B$3:$B$5001,J$268,BD!$A$3:$A$5001,_xlfn.MAXIFS(BD!$A$3:$A$5001,BD!$B$3:$B$5001,J$268,BD!$A$3:$A$5001,"&gt;="&amp;$C$7,BD!$A$3:$A$5001,"&lt;="&amp;$B276,BD!$T$3:$T$5001,"&lt;&gt;"))))</f>
        <v/>
      </c>
      <c r="K276" s="54" t="str">
        <f>IF(OR($B276="",$A276&gt;$B$9,K$268=""),"",IF(COUNTIFS(BD!$B$3:$B$5001,K$268,BD!$A$3:$A$5001,"&gt;="&amp;$C$7,BD!$A$3:$A$5001,"&lt;="&amp;$B276,BD!$T$3:$T$5001,"&lt;&gt;")=0,"",SUMIFS(BD!$T$3:$T$5001,BD!$B$3:$B$5001,K$268,BD!$A$3:$A$5001,_xlfn.MAXIFS(BD!$A$3:$A$5001,BD!$B$3:$B$5001,K$268,BD!$A$3:$A$5001,"&gt;="&amp;$C$7,BD!$A$3:$A$5001,"&lt;="&amp;$B276,BD!$T$3:$T$5001,"&lt;&gt;"))))</f>
        <v/>
      </c>
      <c r="L276" s="54" t="str">
        <f>IF(OR($B276="",$A276&gt;$B$9,L$268=""),"",IF(COUNTIFS(BD!$B$3:$B$5001,L$268,BD!$A$3:$A$5001,"&gt;="&amp;$C$7,BD!$A$3:$A$5001,"&lt;="&amp;$B276,BD!$T$3:$T$5001,"&lt;&gt;")=0,"",SUMIFS(BD!$T$3:$T$5001,BD!$B$3:$B$5001,L$268,BD!$A$3:$A$5001,_xlfn.MAXIFS(BD!$A$3:$A$5001,BD!$B$3:$B$5001,L$268,BD!$A$3:$A$5001,"&gt;="&amp;$C$7,BD!$A$3:$A$5001,"&lt;="&amp;$B276,BD!$T$3:$T$5001,"&lt;&gt;"))))</f>
        <v/>
      </c>
      <c r="M276" s="54" t="str">
        <f>IF(OR($B276="",$A276&gt;$B$9,M$268=""),"",IF(COUNTIFS(BD!$B$3:$B$5001,M$268,BD!$A$3:$A$5001,"&gt;="&amp;$C$7,BD!$A$3:$A$5001,"&lt;="&amp;$B276,BD!$T$3:$T$5001,"&lt;&gt;")=0,"",SUMIFS(BD!$T$3:$T$5001,BD!$B$3:$B$5001,M$268,BD!$A$3:$A$5001,_xlfn.MAXIFS(BD!$A$3:$A$5001,BD!$B$3:$B$5001,M$268,BD!$A$3:$A$5001,"&gt;="&amp;$C$7,BD!$A$3:$A$5001,"&lt;="&amp;$B276,BD!$T$3:$T$5001,"&lt;&gt;"))))</f>
        <v/>
      </c>
      <c r="N276" s="54" t="str">
        <f>IF(OR($B276="",$A276&gt;$B$9,N$268=""),"",IF(COUNTIFS(BD!$B$3:$B$5001,N$268,BD!$A$3:$A$5001,"&gt;="&amp;$C$7,BD!$A$3:$A$5001,"&lt;="&amp;$B276,BD!$T$3:$T$5001,"&lt;&gt;")=0,"",SUMIFS(BD!$T$3:$T$5001,BD!$B$3:$B$5001,N$268,BD!$A$3:$A$5001,_xlfn.MAXIFS(BD!$A$3:$A$5001,BD!$B$3:$B$5001,N$268,BD!$A$3:$A$5001,"&gt;="&amp;$C$7,BD!$A$3:$A$5001,"&lt;="&amp;$B276,BD!$T$3:$T$5001,"&lt;&gt;"))))</f>
        <v/>
      </c>
      <c r="O276" s="54" t="str">
        <f>IF(OR($B276="",$A276&gt;$B$9,O$268=""),"",IF(COUNTIFS(BD!$B$3:$B$5001,O$268,BD!$A$3:$A$5001,"&gt;="&amp;$C$7,BD!$A$3:$A$5001,"&lt;="&amp;$B276,BD!$T$3:$T$5001,"&lt;&gt;")=0,"",SUMIFS(BD!$T$3:$T$5001,BD!$B$3:$B$5001,O$268,BD!$A$3:$A$5001,_xlfn.MAXIFS(BD!$A$3:$A$5001,BD!$B$3:$B$5001,O$268,BD!$A$3:$A$5001,"&gt;="&amp;$C$7,BD!$A$3:$A$5001,"&lt;="&amp;$B276,BD!$T$3:$T$5001,"&lt;&gt;"))))</f>
        <v/>
      </c>
      <c r="P276" s="54" t="str">
        <f>IF(OR($B276="",$A276&gt;$B$9,P$268=""),"",IF(COUNTIFS(BD!$B$3:$B$5001,P$268,BD!$A$3:$A$5001,"&gt;="&amp;$C$7,BD!$A$3:$A$5001,"&lt;="&amp;$B276,BD!$T$3:$T$5001,"&lt;&gt;")=0,"",SUMIFS(BD!$T$3:$T$5001,BD!$B$3:$B$5001,P$268,BD!$A$3:$A$5001,_xlfn.MAXIFS(BD!$A$3:$A$5001,BD!$B$3:$B$5001,P$268,BD!$A$3:$A$5001,"&gt;="&amp;$C$7,BD!$A$3:$A$5001,"&lt;="&amp;$B276,BD!$T$3:$T$5001,"&lt;&gt;"))))</f>
        <v/>
      </c>
      <c r="Q276" s="54" t="str">
        <f>IF(OR($B276="",$A276&gt;$B$9,Q$268=""),"",IF(COUNTIFS(BD!$B$3:$B$5001,Q$268,BD!$A$3:$A$5001,"&gt;="&amp;$C$7,BD!$A$3:$A$5001,"&lt;="&amp;$B276,BD!$T$3:$T$5001,"&lt;&gt;")=0,"",SUMIFS(BD!$T$3:$T$5001,BD!$B$3:$B$5001,Q$268,BD!$A$3:$A$5001,_xlfn.MAXIFS(BD!$A$3:$A$5001,BD!$B$3:$B$5001,Q$268,BD!$A$3:$A$5001,"&gt;="&amp;$C$7,BD!$A$3:$A$5001,"&lt;="&amp;$B276,BD!$T$3:$T$5001,"&lt;&gt;"))))</f>
        <v/>
      </c>
      <c r="R276" s="54" t="str">
        <f>IF(OR($B276="",$A276&gt;$B$9,R$268=""),"",IF(COUNTIFS(BD!$B$3:$B$5001,R$268,BD!$A$3:$A$5001,"&gt;="&amp;$C$7,BD!$A$3:$A$5001,"&lt;="&amp;$B276,BD!$T$3:$T$5001,"&lt;&gt;")=0,"",SUMIFS(BD!$T$3:$T$5001,BD!$B$3:$B$5001,R$268,BD!$A$3:$A$5001,_xlfn.MAXIFS(BD!$A$3:$A$5001,BD!$B$3:$B$5001,R$268,BD!$A$3:$A$5001,"&gt;="&amp;$C$7,BD!$A$3:$A$5001,"&lt;="&amp;$B276,BD!$T$3:$T$5001,"&lt;&gt;"))))</f>
        <v/>
      </c>
      <c r="S276" s="54" t="str">
        <f>IF(OR($B276="",$A276&gt;$B$9,S$268=""),"",IF(COUNTIFS(BD!$B$3:$B$5001,S$268,BD!$A$3:$A$5001,"&gt;="&amp;$C$7,BD!$A$3:$A$5001,"&lt;="&amp;$B276,BD!$T$3:$T$5001,"&lt;&gt;")=0,"",SUMIFS(BD!$T$3:$T$5001,BD!$B$3:$B$5001,S$268,BD!$A$3:$A$5001,_xlfn.MAXIFS(BD!$A$3:$A$5001,BD!$B$3:$B$5001,S$268,BD!$A$3:$A$5001,"&gt;="&amp;$C$7,BD!$A$3:$A$5001,"&lt;="&amp;$B276,BD!$T$3:$T$5001,"&lt;&gt;"))))</f>
        <v/>
      </c>
      <c r="T276" s="54" t="str">
        <f>IF(OR($B276="",$A276&gt;$B$9,T$268=""),"",IF(COUNTIFS(BD!$B$3:$B$5001,T$268,BD!$A$3:$A$5001,"&gt;="&amp;$C$7,BD!$A$3:$A$5001,"&lt;="&amp;$B276,BD!$T$3:$T$5001,"&lt;&gt;")=0,"",SUMIFS(BD!$T$3:$T$5001,BD!$B$3:$B$5001,T$268,BD!$A$3:$A$5001,_xlfn.MAXIFS(BD!$A$3:$A$5001,BD!$B$3:$B$5001,T$268,BD!$A$3:$A$5001,"&gt;="&amp;$C$7,BD!$A$3:$A$5001,"&lt;="&amp;$B276,BD!$T$3:$T$5001,"&lt;&gt;"))))</f>
        <v/>
      </c>
      <c r="U276" s="54" t="str">
        <f>IF(OR($B276="",$A276&gt;$B$9,U$268=""),"",IF(COUNTIFS(BD!$B$3:$B$5001,U$268,BD!$A$3:$A$5001,"&gt;="&amp;$C$7,BD!$A$3:$A$5001,"&lt;="&amp;$B276,BD!$T$3:$T$5001,"&lt;&gt;")=0,"",SUMIFS(BD!$T$3:$T$5001,BD!$B$3:$B$5001,U$268,BD!$A$3:$A$5001,_xlfn.MAXIFS(BD!$A$3:$A$5001,BD!$B$3:$B$5001,U$268,BD!$A$3:$A$5001,"&gt;="&amp;$C$7,BD!$A$3:$A$5001,"&lt;="&amp;$B276,BD!$T$3:$T$5001,"&lt;&gt;"))))</f>
        <v/>
      </c>
      <c r="V276" s="54" t="str">
        <f>IF(OR($B276="",$A276&gt;$B$9,V$268=""),"",IF(COUNTIFS(BD!$B$3:$B$5001,V$268,BD!$A$3:$A$5001,"&gt;="&amp;$C$7,BD!$A$3:$A$5001,"&lt;="&amp;$B276,BD!$T$3:$T$5001,"&lt;&gt;")=0,"",SUMIFS(BD!$T$3:$T$5001,BD!$B$3:$B$5001,V$268,BD!$A$3:$A$5001,_xlfn.MAXIFS(BD!$A$3:$A$5001,BD!$B$3:$B$5001,V$268,BD!$A$3:$A$5001,"&gt;="&amp;$C$7,BD!$A$3:$A$5001,"&lt;="&amp;$B276,BD!$T$3:$T$5001,"&lt;&gt;"))))</f>
        <v/>
      </c>
    </row>
    <row r="277">
      <c r="A277" s="48">
        <v>9</v>
      </c>
      <c r="B277" s="53">
        <f>$B$20</f>
        <v>46304</v>
      </c>
      <c r="C277" s="54" t="str">
        <f>IF(OR($B277="",$A277&gt;$B$9,C$268=""),"",IF(COUNTIFS(BD!$B$3:$B$5001,C$268,BD!$A$3:$A$5001,"&gt;="&amp;$C$7,BD!$A$3:$A$5001,"&lt;="&amp;$B277,BD!$T$3:$T$5001,"&lt;&gt;")=0,"",SUMIFS(BD!$T$3:$T$5001,BD!$B$3:$B$5001,C$268,BD!$A$3:$A$5001,_xlfn.MAXIFS(BD!$A$3:$A$5001,BD!$B$3:$B$5001,C$268,BD!$A$3:$A$5001,"&gt;="&amp;$C$7,BD!$A$3:$A$5001,"&lt;="&amp;$B277,BD!$T$3:$T$5001,"&lt;&gt;"))))</f>
        <v/>
      </c>
      <c r="D277" s="54" t="str">
        <f>IF(OR($B277="",$A277&gt;$B$9,D$268=""),"",IF(COUNTIFS(BD!$B$3:$B$5001,D$268,BD!$A$3:$A$5001,"&gt;="&amp;$C$7,BD!$A$3:$A$5001,"&lt;="&amp;$B277,BD!$T$3:$T$5001,"&lt;&gt;")=0,"",SUMIFS(BD!$T$3:$T$5001,BD!$B$3:$B$5001,D$268,BD!$A$3:$A$5001,_xlfn.MAXIFS(BD!$A$3:$A$5001,BD!$B$3:$B$5001,D$268,BD!$A$3:$A$5001,"&gt;="&amp;$C$7,BD!$A$3:$A$5001,"&lt;="&amp;$B277,BD!$T$3:$T$5001,"&lt;&gt;"))))</f>
        <v/>
      </c>
      <c r="E277" s="54" t="str">
        <f>IF(OR($B277="",$A277&gt;$B$9,E$268=""),"",IF(COUNTIFS(BD!$B$3:$B$5001,E$268,BD!$A$3:$A$5001,"&gt;="&amp;$C$7,BD!$A$3:$A$5001,"&lt;="&amp;$B277,BD!$T$3:$T$5001,"&lt;&gt;")=0,"",SUMIFS(BD!$T$3:$T$5001,BD!$B$3:$B$5001,E$268,BD!$A$3:$A$5001,_xlfn.MAXIFS(BD!$A$3:$A$5001,BD!$B$3:$B$5001,E$268,BD!$A$3:$A$5001,"&gt;="&amp;$C$7,BD!$A$3:$A$5001,"&lt;="&amp;$B277,BD!$T$3:$T$5001,"&lt;&gt;"))))</f>
        <v/>
      </c>
      <c r="F277" s="54" t="str">
        <f>IF(OR($B277="",$A277&gt;$B$9,F$268=""),"",IF(COUNTIFS(BD!$B$3:$B$5001,F$268,BD!$A$3:$A$5001,"&gt;="&amp;$C$7,BD!$A$3:$A$5001,"&lt;="&amp;$B277,BD!$T$3:$T$5001,"&lt;&gt;")=0,"",SUMIFS(BD!$T$3:$T$5001,BD!$B$3:$B$5001,F$268,BD!$A$3:$A$5001,_xlfn.MAXIFS(BD!$A$3:$A$5001,BD!$B$3:$B$5001,F$268,BD!$A$3:$A$5001,"&gt;="&amp;$C$7,BD!$A$3:$A$5001,"&lt;="&amp;$B277,BD!$T$3:$T$5001,"&lt;&gt;"))))</f>
        <v/>
      </c>
      <c r="G277" s="54" t="str">
        <f>IF(OR($B277="",$A277&gt;$B$9,G$268=""),"",IF(COUNTIFS(BD!$B$3:$B$5001,G$268,BD!$A$3:$A$5001,"&gt;="&amp;$C$7,BD!$A$3:$A$5001,"&lt;="&amp;$B277,BD!$T$3:$T$5001,"&lt;&gt;")=0,"",SUMIFS(BD!$T$3:$T$5001,BD!$B$3:$B$5001,G$268,BD!$A$3:$A$5001,_xlfn.MAXIFS(BD!$A$3:$A$5001,BD!$B$3:$B$5001,G$268,BD!$A$3:$A$5001,"&gt;="&amp;$C$7,BD!$A$3:$A$5001,"&lt;="&amp;$B277,BD!$T$3:$T$5001,"&lt;&gt;"))))</f>
        <v/>
      </c>
      <c r="H277" s="54" t="str">
        <f>IF(OR($B277="",$A277&gt;$B$9,H$268=""),"",IF(COUNTIFS(BD!$B$3:$B$5001,H$268,BD!$A$3:$A$5001,"&gt;="&amp;$C$7,BD!$A$3:$A$5001,"&lt;="&amp;$B277,BD!$T$3:$T$5001,"&lt;&gt;")=0,"",SUMIFS(BD!$T$3:$T$5001,BD!$B$3:$B$5001,H$268,BD!$A$3:$A$5001,_xlfn.MAXIFS(BD!$A$3:$A$5001,BD!$B$3:$B$5001,H$268,BD!$A$3:$A$5001,"&gt;="&amp;$C$7,BD!$A$3:$A$5001,"&lt;="&amp;$B277,BD!$T$3:$T$5001,"&lt;&gt;"))))</f>
        <v/>
      </c>
      <c r="I277" s="54" t="str">
        <f>IF(OR($B277="",$A277&gt;$B$9,I$268=""),"",IF(COUNTIFS(BD!$B$3:$B$5001,I$268,BD!$A$3:$A$5001,"&gt;="&amp;$C$7,BD!$A$3:$A$5001,"&lt;="&amp;$B277,BD!$T$3:$T$5001,"&lt;&gt;")=0,"",SUMIFS(BD!$T$3:$T$5001,BD!$B$3:$B$5001,I$268,BD!$A$3:$A$5001,_xlfn.MAXIFS(BD!$A$3:$A$5001,BD!$B$3:$B$5001,I$268,BD!$A$3:$A$5001,"&gt;="&amp;$C$7,BD!$A$3:$A$5001,"&lt;="&amp;$B277,BD!$T$3:$T$5001,"&lt;&gt;"))))</f>
        <v/>
      </c>
      <c r="J277" s="54" t="str">
        <f>IF(OR($B277="",$A277&gt;$B$9,J$268=""),"",IF(COUNTIFS(BD!$B$3:$B$5001,J$268,BD!$A$3:$A$5001,"&gt;="&amp;$C$7,BD!$A$3:$A$5001,"&lt;="&amp;$B277,BD!$T$3:$T$5001,"&lt;&gt;")=0,"",SUMIFS(BD!$T$3:$T$5001,BD!$B$3:$B$5001,J$268,BD!$A$3:$A$5001,_xlfn.MAXIFS(BD!$A$3:$A$5001,BD!$B$3:$B$5001,J$268,BD!$A$3:$A$5001,"&gt;="&amp;$C$7,BD!$A$3:$A$5001,"&lt;="&amp;$B277,BD!$T$3:$T$5001,"&lt;&gt;"))))</f>
        <v/>
      </c>
      <c r="K277" s="54" t="str">
        <f>IF(OR($B277="",$A277&gt;$B$9,K$268=""),"",IF(COUNTIFS(BD!$B$3:$B$5001,K$268,BD!$A$3:$A$5001,"&gt;="&amp;$C$7,BD!$A$3:$A$5001,"&lt;="&amp;$B277,BD!$T$3:$T$5001,"&lt;&gt;")=0,"",SUMIFS(BD!$T$3:$T$5001,BD!$B$3:$B$5001,K$268,BD!$A$3:$A$5001,_xlfn.MAXIFS(BD!$A$3:$A$5001,BD!$B$3:$B$5001,K$268,BD!$A$3:$A$5001,"&gt;="&amp;$C$7,BD!$A$3:$A$5001,"&lt;="&amp;$B277,BD!$T$3:$T$5001,"&lt;&gt;"))))</f>
        <v/>
      </c>
      <c r="L277" s="54" t="str">
        <f>IF(OR($B277="",$A277&gt;$B$9,L$268=""),"",IF(COUNTIFS(BD!$B$3:$B$5001,L$268,BD!$A$3:$A$5001,"&gt;="&amp;$C$7,BD!$A$3:$A$5001,"&lt;="&amp;$B277,BD!$T$3:$T$5001,"&lt;&gt;")=0,"",SUMIFS(BD!$T$3:$T$5001,BD!$B$3:$B$5001,L$268,BD!$A$3:$A$5001,_xlfn.MAXIFS(BD!$A$3:$A$5001,BD!$B$3:$B$5001,L$268,BD!$A$3:$A$5001,"&gt;="&amp;$C$7,BD!$A$3:$A$5001,"&lt;="&amp;$B277,BD!$T$3:$T$5001,"&lt;&gt;"))))</f>
        <v/>
      </c>
      <c r="M277" s="54" t="str">
        <f>IF(OR($B277="",$A277&gt;$B$9,M$268=""),"",IF(COUNTIFS(BD!$B$3:$B$5001,M$268,BD!$A$3:$A$5001,"&gt;="&amp;$C$7,BD!$A$3:$A$5001,"&lt;="&amp;$B277,BD!$T$3:$T$5001,"&lt;&gt;")=0,"",SUMIFS(BD!$T$3:$T$5001,BD!$B$3:$B$5001,M$268,BD!$A$3:$A$5001,_xlfn.MAXIFS(BD!$A$3:$A$5001,BD!$B$3:$B$5001,M$268,BD!$A$3:$A$5001,"&gt;="&amp;$C$7,BD!$A$3:$A$5001,"&lt;="&amp;$B277,BD!$T$3:$T$5001,"&lt;&gt;"))))</f>
        <v/>
      </c>
      <c r="N277" s="54" t="str">
        <f>IF(OR($B277="",$A277&gt;$B$9,N$268=""),"",IF(COUNTIFS(BD!$B$3:$B$5001,N$268,BD!$A$3:$A$5001,"&gt;="&amp;$C$7,BD!$A$3:$A$5001,"&lt;="&amp;$B277,BD!$T$3:$T$5001,"&lt;&gt;")=0,"",SUMIFS(BD!$T$3:$T$5001,BD!$B$3:$B$5001,N$268,BD!$A$3:$A$5001,_xlfn.MAXIFS(BD!$A$3:$A$5001,BD!$B$3:$B$5001,N$268,BD!$A$3:$A$5001,"&gt;="&amp;$C$7,BD!$A$3:$A$5001,"&lt;="&amp;$B277,BD!$T$3:$T$5001,"&lt;&gt;"))))</f>
        <v/>
      </c>
      <c r="O277" s="54" t="str">
        <f>IF(OR($B277="",$A277&gt;$B$9,O$268=""),"",IF(COUNTIFS(BD!$B$3:$B$5001,O$268,BD!$A$3:$A$5001,"&gt;="&amp;$C$7,BD!$A$3:$A$5001,"&lt;="&amp;$B277,BD!$T$3:$T$5001,"&lt;&gt;")=0,"",SUMIFS(BD!$T$3:$T$5001,BD!$B$3:$B$5001,O$268,BD!$A$3:$A$5001,_xlfn.MAXIFS(BD!$A$3:$A$5001,BD!$B$3:$B$5001,O$268,BD!$A$3:$A$5001,"&gt;="&amp;$C$7,BD!$A$3:$A$5001,"&lt;="&amp;$B277,BD!$T$3:$T$5001,"&lt;&gt;"))))</f>
        <v/>
      </c>
      <c r="P277" s="54" t="str">
        <f>IF(OR($B277="",$A277&gt;$B$9,P$268=""),"",IF(COUNTIFS(BD!$B$3:$B$5001,P$268,BD!$A$3:$A$5001,"&gt;="&amp;$C$7,BD!$A$3:$A$5001,"&lt;="&amp;$B277,BD!$T$3:$T$5001,"&lt;&gt;")=0,"",SUMIFS(BD!$T$3:$T$5001,BD!$B$3:$B$5001,P$268,BD!$A$3:$A$5001,_xlfn.MAXIFS(BD!$A$3:$A$5001,BD!$B$3:$B$5001,P$268,BD!$A$3:$A$5001,"&gt;="&amp;$C$7,BD!$A$3:$A$5001,"&lt;="&amp;$B277,BD!$T$3:$T$5001,"&lt;&gt;"))))</f>
        <v/>
      </c>
      <c r="Q277" s="54" t="str">
        <f>IF(OR($B277="",$A277&gt;$B$9,Q$268=""),"",IF(COUNTIFS(BD!$B$3:$B$5001,Q$268,BD!$A$3:$A$5001,"&gt;="&amp;$C$7,BD!$A$3:$A$5001,"&lt;="&amp;$B277,BD!$T$3:$T$5001,"&lt;&gt;")=0,"",SUMIFS(BD!$T$3:$T$5001,BD!$B$3:$B$5001,Q$268,BD!$A$3:$A$5001,_xlfn.MAXIFS(BD!$A$3:$A$5001,BD!$B$3:$B$5001,Q$268,BD!$A$3:$A$5001,"&gt;="&amp;$C$7,BD!$A$3:$A$5001,"&lt;="&amp;$B277,BD!$T$3:$T$5001,"&lt;&gt;"))))</f>
        <v/>
      </c>
      <c r="R277" s="54" t="str">
        <f>IF(OR($B277="",$A277&gt;$B$9,R$268=""),"",IF(COUNTIFS(BD!$B$3:$B$5001,R$268,BD!$A$3:$A$5001,"&gt;="&amp;$C$7,BD!$A$3:$A$5001,"&lt;="&amp;$B277,BD!$T$3:$T$5001,"&lt;&gt;")=0,"",SUMIFS(BD!$T$3:$T$5001,BD!$B$3:$B$5001,R$268,BD!$A$3:$A$5001,_xlfn.MAXIFS(BD!$A$3:$A$5001,BD!$B$3:$B$5001,R$268,BD!$A$3:$A$5001,"&gt;="&amp;$C$7,BD!$A$3:$A$5001,"&lt;="&amp;$B277,BD!$T$3:$T$5001,"&lt;&gt;"))))</f>
        <v/>
      </c>
      <c r="S277" s="54" t="str">
        <f>IF(OR($B277="",$A277&gt;$B$9,S$268=""),"",IF(COUNTIFS(BD!$B$3:$B$5001,S$268,BD!$A$3:$A$5001,"&gt;="&amp;$C$7,BD!$A$3:$A$5001,"&lt;="&amp;$B277,BD!$T$3:$T$5001,"&lt;&gt;")=0,"",SUMIFS(BD!$T$3:$T$5001,BD!$B$3:$B$5001,S$268,BD!$A$3:$A$5001,_xlfn.MAXIFS(BD!$A$3:$A$5001,BD!$B$3:$B$5001,S$268,BD!$A$3:$A$5001,"&gt;="&amp;$C$7,BD!$A$3:$A$5001,"&lt;="&amp;$B277,BD!$T$3:$T$5001,"&lt;&gt;"))))</f>
        <v/>
      </c>
      <c r="T277" s="54" t="str">
        <f>IF(OR($B277="",$A277&gt;$B$9,T$268=""),"",IF(COUNTIFS(BD!$B$3:$B$5001,T$268,BD!$A$3:$A$5001,"&gt;="&amp;$C$7,BD!$A$3:$A$5001,"&lt;="&amp;$B277,BD!$T$3:$T$5001,"&lt;&gt;")=0,"",SUMIFS(BD!$T$3:$T$5001,BD!$B$3:$B$5001,T$268,BD!$A$3:$A$5001,_xlfn.MAXIFS(BD!$A$3:$A$5001,BD!$B$3:$B$5001,T$268,BD!$A$3:$A$5001,"&gt;="&amp;$C$7,BD!$A$3:$A$5001,"&lt;="&amp;$B277,BD!$T$3:$T$5001,"&lt;&gt;"))))</f>
        <v/>
      </c>
      <c r="U277" s="54" t="str">
        <f>IF(OR($B277="",$A277&gt;$B$9,U$268=""),"",IF(COUNTIFS(BD!$B$3:$B$5001,U$268,BD!$A$3:$A$5001,"&gt;="&amp;$C$7,BD!$A$3:$A$5001,"&lt;="&amp;$B277,BD!$T$3:$T$5001,"&lt;&gt;")=0,"",SUMIFS(BD!$T$3:$T$5001,BD!$B$3:$B$5001,U$268,BD!$A$3:$A$5001,_xlfn.MAXIFS(BD!$A$3:$A$5001,BD!$B$3:$B$5001,U$268,BD!$A$3:$A$5001,"&gt;="&amp;$C$7,BD!$A$3:$A$5001,"&lt;="&amp;$B277,BD!$T$3:$T$5001,"&lt;&gt;"))))</f>
        <v/>
      </c>
      <c r="V277" s="54" t="str">
        <f>IF(OR($B277="",$A277&gt;$B$9,V$268=""),"",IF(COUNTIFS(BD!$B$3:$B$5001,V$268,BD!$A$3:$A$5001,"&gt;="&amp;$C$7,BD!$A$3:$A$5001,"&lt;="&amp;$B277,BD!$T$3:$T$5001,"&lt;&gt;")=0,"",SUMIFS(BD!$T$3:$T$5001,BD!$B$3:$B$5001,V$268,BD!$A$3:$A$5001,_xlfn.MAXIFS(BD!$A$3:$A$5001,BD!$B$3:$B$5001,V$268,BD!$A$3:$A$5001,"&gt;="&amp;$C$7,BD!$A$3:$A$5001,"&lt;="&amp;$B277,BD!$T$3:$T$5001,"&lt;&gt;"))))</f>
        <v/>
      </c>
    </row>
    <row r="278">
      <c r="A278" s="48">
        <v>10</v>
      </c>
      <c r="B278" s="53">
        <f>$B$21</f>
        <v>46305</v>
      </c>
      <c r="C278" s="54" t="str">
        <f>IF(OR($B278="",$A278&gt;$B$9,C$268=""),"",IF(COUNTIFS(BD!$B$3:$B$5001,C$268,BD!$A$3:$A$5001,"&gt;="&amp;$C$7,BD!$A$3:$A$5001,"&lt;="&amp;$B278,BD!$T$3:$T$5001,"&lt;&gt;")=0,"",SUMIFS(BD!$T$3:$T$5001,BD!$B$3:$B$5001,C$268,BD!$A$3:$A$5001,_xlfn.MAXIFS(BD!$A$3:$A$5001,BD!$B$3:$B$5001,C$268,BD!$A$3:$A$5001,"&gt;="&amp;$C$7,BD!$A$3:$A$5001,"&lt;="&amp;$B278,BD!$T$3:$T$5001,"&lt;&gt;"))))</f>
        <v/>
      </c>
      <c r="D278" s="54" t="str">
        <f>IF(OR($B278="",$A278&gt;$B$9,D$268=""),"",IF(COUNTIFS(BD!$B$3:$B$5001,D$268,BD!$A$3:$A$5001,"&gt;="&amp;$C$7,BD!$A$3:$A$5001,"&lt;="&amp;$B278,BD!$T$3:$T$5001,"&lt;&gt;")=0,"",SUMIFS(BD!$T$3:$T$5001,BD!$B$3:$B$5001,D$268,BD!$A$3:$A$5001,_xlfn.MAXIFS(BD!$A$3:$A$5001,BD!$B$3:$B$5001,D$268,BD!$A$3:$A$5001,"&gt;="&amp;$C$7,BD!$A$3:$A$5001,"&lt;="&amp;$B278,BD!$T$3:$T$5001,"&lt;&gt;"))))</f>
        <v/>
      </c>
      <c r="E278" s="54" t="str">
        <f>IF(OR($B278="",$A278&gt;$B$9,E$268=""),"",IF(COUNTIFS(BD!$B$3:$B$5001,E$268,BD!$A$3:$A$5001,"&gt;="&amp;$C$7,BD!$A$3:$A$5001,"&lt;="&amp;$B278,BD!$T$3:$T$5001,"&lt;&gt;")=0,"",SUMIFS(BD!$T$3:$T$5001,BD!$B$3:$B$5001,E$268,BD!$A$3:$A$5001,_xlfn.MAXIFS(BD!$A$3:$A$5001,BD!$B$3:$B$5001,E$268,BD!$A$3:$A$5001,"&gt;="&amp;$C$7,BD!$A$3:$A$5001,"&lt;="&amp;$B278,BD!$T$3:$T$5001,"&lt;&gt;"))))</f>
        <v/>
      </c>
      <c r="F278" s="54" t="str">
        <f>IF(OR($B278="",$A278&gt;$B$9,F$268=""),"",IF(COUNTIFS(BD!$B$3:$B$5001,F$268,BD!$A$3:$A$5001,"&gt;="&amp;$C$7,BD!$A$3:$A$5001,"&lt;="&amp;$B278,BD!$T$3:$T$5001,"&lt;&gt;")=0,"",SUMIFS(BD!$T$3:$T$5001,BD!$B$3:$B$5001,F$268,BD!$A$3:$A$5001,_xlfn.MAXIFS(BD!$A$3:$A$5001,BD!$B$3:$B$5001,F$268,BD!$A$3:$A$5001,"&gt;="&amp;$C$7,BD!$A$3:$A$5001,"&lt;="&amp;$B278,BD!$T$3:$T$5001,"&lt;&gt;"))))</f>
        <v/>
      </c>
      <c r="G278" s="54" t="str">
        <f>IF(OR($B278="",$A278&gt;$B$9,G$268=""),"",IF(COUNTIFS(BD!$B$3:$B$5001,G$268,BD!$A$3:$A$5001,"&gt;="&amp;$C$7,BD!$A$3:$A$5001,"&lt;="&amp;$B278,BD!$T$3:$T$5001,"&lt;&gt;")=0,"",SUMIFS(BD!$T$3:$T$5001,BD!$B$3:$B$5001,G$268,BD!$A$3:$A$5001,_xlfn.MAXIFS(BD!$A$3:$A$5001,BD!$B$3:$B$5001,G$268,BD!$A$3:$A$5001,"&gt;="&amp;$C$7,BD!$A$3:$A$5001,"&lt;="&amp;$B278,BD!$T$3:$T$5001,"&lt;&gt;"))))</f>
        <v/>
      </c>
      <c r="H278" s="54" t="str">
        <f>IF(OR($B278="",$A278&gt;$B$9,H$268=""),"",IF(COUNTIFS(BD!$B$3:$B$5001,H$268,BD!$A$3:$A$5001,"&gt;="&amp;$C$7,BD!$A$3:$A$5001,"&lt;="&amp;$B278,BD!$T$3:$T$5001,"&lt;&gt;")=0,"",SUMIFS(BD!$T$3:$T$5001,BD!$B$3:$B$5001,H$268,BD!$A$3:$A$5001,_xlfn.MAXIFS(BD!$A$3:$A$5001,BD!$B$3:$B$5001,H$268,BD!$A$3:$A$5001,"&gt;="&amp;$C$7,BD!$A$3:$A$5001,"&lt;="&amp;$B278,BD!$T$3:$T$5001,"&lt;&gt;"))))</f>
        <v/>
      </c>
      <c r="I278" s="54" t="str">
        <f>IF(OR($B278="",$A278&gt;$B$9,I$268=""),"",IF(COUNTIFS(BD!$B$3:$B$5001,I$268,BD!$A$3:$A$5001,"&gt;="&amp;$C$7,BD!$A$3:$A$5001,"&lt;="&amp;$B278,BD!$T$3:$T$5001,"&lt;&gt;")=0,"",SUMIFS(BD!$T$3:$T$5001,BD!$B$3:$B$5001,I$268,BD!$A$3:$A$5001,_xlfn.MAXIFS(BD!$A$3:$A$5001,BD!$B$3:$B$5001,I$268,BD!$A$3:$A$5001,"&gt;="&amp;$C$7,BD!$A$3:$A$5001,"&lt;="&amp;$B278,BD!$T$3:$T$5001,"&lt;&gt;"))))</f>
        <v/>
      </c>
      <c r="J278" s="54" t="str">
        <f>IF(OR($B278="",$A278&gt;$B$9,J$268=""),"",IF(COUNTIFS(BD!$B$3:$B$5001,J$268,BD!$A$3:$A$5001,"&gt;="&amp;$C$7,BD!$A$3:$A$5001,"&lt;="&amp;$B278,BD!$T$3:$T$5001,"&lt;&gt;")=0,"",SUMIFS(BD!$T$3:$T$5001,BD!$B$3:$B$5001,J$268,BD!$A$3:$A$5001,_xlfn.MAXIFS(BD!$A$3:$A$5001,BD!$B$3:$B$5001,J$268,BD!$A$3:$A$5001,"&gt;="&amp;$C$7,BD!$A$3:$A$5001,"&lt;="&amp;$B278,BD!$T$3:$T$5001,"&lt;&gt;"))))</f>
        <v/>
      </c>
      <c r="K278" s="54" t="str">
        <f>IF(OR($B278="",$A278&gt;$B$9,K$268=""),"",IF(COUNTIFS(BD!$B$3:$B$5001,K$268,BD!$A$3:$A$5001,"&gt;="&amp;$C$7,BD!$A$3:$A$5001,"&lt;="&amp;$B278,BD!$T$3:$T$5001,"&lt;&gt;")=0,"",SUMIFS(BD!$T$3:$T$5001,BD!$B$3:$B$5001,K$268,BD!$A$3:$A$5001,_xlfn.MAXIFS(BD!$A$3:$A$5001,BD!$B$3:$B$5001,K$268,BD!$A$3:$A$5001,"&gt;="&amp;$C$7,BD!$A$3:$A$5001,"&lt;="&amp;$B278,BD!$T$3:$T$5001,"&lt;&gt;"))))</f>
        <v/>
      </c>
      <c r="L278" s="54" t="str">
        <f>IF(OR($B278="",$A278&gt;$B$9,L$268=""),"",IF(COUNTIFS(BD!$B$3:$B$5001,L$268,BD!$A$3:$A$5001,"&gt;="&amp;$C$7,BD!$A$3:$A$5001,"&lt;="&amp;$B278,BD!$T$3:$T$5001,"&lt;&gt;")=0,"",SUMIFS(BD!$T$3:$T$5001,BD!$B$3:$B$5001,L$268,BD!$A$3:$A$5001,_xlfn.MAXIFS(BD!$A$3:$A$5001,BD!$B$3:$B$5001,L$268,BD!$A$3:$A$5001,"&gt;="&amp;$C$7,BD!$A$3:$A$5001,"&lt;="&amp;$B278,BD!$T$3:$T$5001,"&lt;&gt;"))))</f>
        <v/>
      </c>
      <c r="M278" s="54" t="str">
        <f>IF(OR($B278="",$A278&gt;$B$9,M$268=""),"",IF(COUNTIFS(BD!$B$3:$B$5001,M$268,BD!$A$3:$A$5001,"&gt;="&amp;$C$7,BD!$A$3:$A$5001,"&lt;="&amp;$B278,BD!$T$3:$T$5001,"&lt;&gt;")=0,"",SUMIFS(BD!$T$3:$T$5001,BD!$B$3:$B$5001,M$268,BD!$A$3:$A$5001,_xlfn.MAXIFS(BD!$A$3:$A$5001,BD!$B$3:$B$5001,M$268,BD!$A$3:$A$5001,"&gt;="&amp;$C$7,BD!$A$3:$A$5001,"&lt;="&amp;$B278,BD!$T$3:$T$5001,"&lt;&gt;"))))</f>
        <v/>
      </c>
      <c r="N278" s="54" t="str">
        <f>IF(OR($B278="",$A278&gt;$B$9,N$268=""),"",IF(COUNTIFS(BD!$B$3:$B$5001,N$268,BD!$A$3:$A$5001,"&gt;="&amp;$C$7,BD!$A$3:$A$5001,"&lt;="&amp;$B278,BD!$T$3:$T$5001,"&lt;&gt;")=0,"",SUMIFS(BD!$T$3:$T$5001,BD!$B$3:$B$5001,N$268,BD!$A$3:$A$5001,_xlfn.MAXIFS(BD!$A$3:$A$5001,BD!$B$3:$B$5001,N$268,BD!$A$3:$A$5001,"&gt;="&amp;$C$7,BD!$A$3:$A$5001,"&lt;="&amp;$B278,BD!$T$3:$T$5001,"&lt;&gt;"))))</f>
        <v/>
      </c>
      <c r="O278" s="54" t="str">
        <f>IF(OR($B278="",$A278&gt;$B$9,O$268=""),"",IF(COUNTIFS(BD!$B$3:$B$5001,O$268,BD!$A$3:$A$5001,"&gt;="&amp;$C$7,BD!$A$3:$A$5001,"&lt;="&amp;$B278,BD!$T$3:$T$5001,"&lt;&gt;")=0,"",SUMIFS(BD!$T$3:$T$5001,BD!$B$3:$B$5001,O$268,BD!$A$3:$A$5001,_xlfn.MAXIFS(BD!$A$3:$A$5001,BD!$B$3:$B$5001,O$268,BD!$A$3:$A$5001,"&gt;="&amp;$C$7,BD!$A$3:$A$5001,"&lt;="&amp;$B278,BD!$T$3:$T$5001,"&lt;&gt;"))))</f>
        <v/>
      </c>
      <c r="P278" s="54" t="str">
        <f>IF(OR($B278="",$A278&gt;$B$9,P$268=""),"",IF(COUNTIFS(BD!$B$3:$B$5001,P$268,BD!$A$3:$A$5001,"&gt;="&amp;$C$7,BD!$A$3:$A$5001,"&lt;="&amp;$B278,BD!$T$3:$T$5001,"&lt;&gt;")=0,"",SUMIFS(BD!$T$3:$T$5001,BD!$B$3:$B$5001,P$268,BD!$A$3:$A$5001,_xlfn.MAXIFS(BD!$A$3:$A$5001,BD!$B$3:$B$5001,P$268,BD!$A$3:$A$5001,"&gt;="&amp;$C$7,BD!$A$3:$A$5001,"&lt;="&amp;$B278,BD!$T$3:$T$5001,"&lt;&gt;"))))</f>
        <v/>
      </c>
      <c r="Q278" s="54" t="str">
        <f>IF(OR($B278="",$A278&gt;$B$9,Q$268=""),"",IF(COUNTIFS(BD!$B$3:$B$5001,Q$268,BD!$A$3:$A$5001,"&gt;="&amp;$C$7,BD!$A$3:$A$5001,"&lt;="&amp;$B278,BD!$T$3:$T$5001,"&lt;&gt;")=0,"",SUMIFS(BD!$T$3:$T$5001,BD!$B$3:$B$5001,Q$268,BD!$A$3:$A$5001,_xlfn.MAXIFS(BD!$A$3:$A$5001,BD!$B$3:$B$5001,Q$268,BD!$A$3:$A$5001,"&gt;="&amp;$C$7,BD!$A$3:$A$5001,"&lt;="&amp;$B278,BD!$T$3:$T$5001,"&lt;&gt;"))))</f>
        <v/>
      </c>
      <c r="R278" s="54" t="str">
        <f>IF(OR($B278="",$A278&gt;$B$9,R$268=""),"",IF(COUNTIFS(BD!$B$3:$B$5001,R$268,BD!$A$3:$A$5001,"&gt;="&amp;$C$7,BD!$A$3:$A$5001,"&lt;="&amp;$B278,BD!$T$3:$T$5001,"&lt;&gt;")=0,"",SUMIFS(BD!$T$3:$T$5001,BD!$B$3:$B$5001,R$268,BD!$A$3:$A$5001,_xlfn.MAXIFS(BD!$A$3:$A$5001,BD!$B$3:$B$5001,R$268,BD!$A$3:$A$5001,"&gt;="&amp;$C$7,BD!$A$3:$A$5001,"&lt;="&amp;$B278,BD!$T$3:$T$5001,"&lt;&gt;"))))</f>
        <v/>
      </c>
      <c r="S278" s="54" t="str">
        <f>IF(OR($B278="",$A278&gt;$B$9,S$268=""),"",IF(COUNTIFS(BD!$B$3:$B$5001,S$268,BD!$A$3:$A$5001,"&gt;="&amp;$C$7,BD!$A$3:$A$5001,"&lt;="&amp;$B278,BD!$T$3:$T$5001,"&lt;&gt;")=0,"",SUMIFS(BD!$T$3:$T$5001,BD!$B$3:$B$5001,S$268,BD!$A$3:$A$5001,_xlfn.MAXIFS(BD!$A$3:$A$5001,BD!$B$3:$B$5001,S$268,BD!$A$3:$A$5001,"&gt;="&amp;$C$7,BD!$A$3:$A$5001,"&lt;="&amp;$B278,BD!$T$3:$T$5001,"&lt;&gt;"))))</f>
        <v/>
      </c>
      <c r="T278" s="54" t="str">
        <f>IF(OR($B278="",$A278&gt;$B$9,T$268=""),"",IF(COUNTIFS(BD!$B$3:$B$5001,T$268,BD!$A$3:$A$5001,"&gt;="&amp;$C$7,BD!$A$3:$A$5001,"&lt;="&amp;$B278,BD!$T$3:$T$5001,"&lt;&gt;")=0,"",SUMIFS(BD!$T$3:$T$5001,BD!$B$3:$B$5001,T$268,BD!$A$3:$A$5001,_xlfn.MAXIFS(BD!$A$3:$A$5001,BD!$B$3:$B$5001,T$268,BD!$A$3:$A$5001,"&gt;="&amp;$C$7,BD!$A$3:$A$5001,"&lt;="&amp;$B278,BD!$T$3:$T$5001,"&lt;&gt;"))))</f>
        <v/>
      </c>
      <c r="U278" s="54" t="str">
        <f>IF(OR($B278="",$A278&gt;$B$9,U$268=""),"",IF(COUNTIFS(BD!$B$3:$B$5001,U$268,BD!$A$3:$A$5001,"&gt;="&amp;$C$7,BD!$A$3:$A$5001,"&lt;="&amp;$B278,BD!$T$3:$T$5001,"&lt;&gt;")=0,"",SUMIFS(BD!$T$3:$T$5001,BD!$B$3:$B$5001,U$268,BD!$A$3:$A$5001,_xlfn.MAXIFS(BD!$A$3:$A$5001,BD!$B$3:$B$5001,U$268,BD!$A$3:$A$5001,"&gt;="&amp;$C$7,BD!$A$3:$A$5001,"&lt;="&amp;$B278,BD!$T$3:$T$5001,"&lt;&gt;"))))</f>
        <v/>
      </c>
      <c r="V278" s="54" t="str">
        <f>IF(OR($B278="",$A278&gt;$B$9,V$268=""),"",IF(COUNTIFS(BD!$B$3:$B$5001,V$268,BD!$A$3:$A$5001,"&gt;="&amp;$C$7,BD!$A$3:$A$5001,"&lt;="&amp;$B278,BD!$T$3:$T$5001,"&lt;&gt;")=0,"",SUMIFS(BD!$T$3:$T$5001,BD!$B$3:$B$5001,V$268,BD!$A$3:$A$5001,_xlfn.MAXIFS(BD!$A$3:$A$5001,BD!$B$3:$B$5001,V$268,BD!$A$3:$A$5001,"&gt;="&amp;$C$7,BD!$A$3:$A$5001,"&lt;="&amp;$B278,BD!$T$3:$T$5001,"&lt;&gt;"))))</f>
        <v/>
      </c>
    </row>
    <row r="279">
      <c r="A279" s="48">
        <v>11</v>
      </c>
      <c r="B279" s="53">
        <f>$B$22</f>
        <v>46306</v>
      </c>
      <c r="C279" s="54" t="str">
        <f>IF(OR($B279="",$A279&gt;$B$9,C$268=""),"",IF(COUNTIFS(BD!$B$3:$B$5001,C$268,BD!$A$3:$A$5001,"&gt;="&amp;$C$7,BD!$A$3:$A$5001,"&lt;="&amp;$B279,BD!$T$3:$T$5001,"&lt;&gt;")=0,"",SUMIFS(BD!$T$3:$T$5001,BD!$B$3:$B$5001,C$268,BD!$A$3:$A$5001,_xlfn.MAXIFS(BD!$A$3:$A$5001,BD!$B$3:$B$5001,C$268,BD!$A$3:$A$5001,"&gt;="&amp;$C$7,BD!$A$3:$A$5001,"&lt;="&amp;$B279,BD!$T$3:$T$5001,"&lt;&gt;"))))</f>
        <v/>
      </c>
      <c r="D279" s="54" t="str">
        <f>IF(OR($B279="",$A279&gt;$B$9,D$268=""),"",IF(COUNTIFS(BD!$B$3:$B$5001,D$268,BD!$A$3:$A$5001,"&gt;="&amp;$C$7,BD!$A$3:$A$5001,"&lt;="&amp;$B279,BD!$T$3:$T$5001,"&lt;&gt;")=0,"",SUMIFS(BD!$T$3:$T$5001,BD!$B$3:$B$5001,D$268,BD!$A$3:$A$5001,_xlfn.MAXIFS(BD!$A$3:$A$5001,BD!$B$3:$B$5001,D$268,BD!$A$3:$A$5001,"&gt;="&amp;$C$7,BD!$A$3:$A$5001,"&lt;="&amp;$B279,BD!$T$3:$T$5001,"&lt;&gt;"))))</f>
        <v/>
      </c>
      <c r="E279" s="54" t="str">
        <f>IF(OR($B279="",$A279&gt;$B$9,E$268=""),"",IF(COUNTIFS(BD!$B$3:$B$5001,E$268,BD!$A$3:$A$5001,"&gt;="&amp;$C$7,BD!$A$3:$A$5001,"&lt;="&amp;$B279,BD!$T$3:$T$5001,"&lt;&gt;")=0,"",SUMIFS(BD!$T$3:$T$5001,BD!$B$3:$B$5001,E$268,BD!$A$3:$A$5001,_xlfn.MAXIFS(BD!$A$3:$A$5001,BD!$B$3:$B$5001,E$268,BD!$A$3:$A$5001,"&gt;="&amp;$C$7,BD!$A$3:$A$5001,"&lt;="&amp;$B279,BD!$T$3:$T$5001,"&lt;&gt;"))))</f>
        <v/>
      </c>
      <c r="F279" s="54" t="str">
        <f>IF(OR($B279="",$A279&gt;$B$9,F$268=""),"",IF(COUNTIFS(BD!$B$3:$B$5001,F$268,BD!$A$3:$A$5001,"&gt;="&amp;$C$7,BD!$A$3:$A$5001,"&lt;="&amp;$B279,BD!$T$3:$T$5001,"&lt;&gt;")=0,"",SUMIFS(BD!$T$3:$T$5001,BD!$B$3:$B$5001,F$268,BD!$A$3:$A$5001,_xlfn.MAXIFS(BD!$A$3:$A$5001,BD!$B$3:$B$5001,F$268,BD!$A$3:$A$5001,"&gt;="&amp;$C$7,BD!$A$3:$A$5001,"&lt;="&amp;$B279,BD!$T$3:$T$5001,"&lt;&gt;"))))</f>
        <v/>
      </c>
      <c r="G279" s="54" t="str">
        <f>IF(OR($B279="",$A279&gt;$B$9,G$268=""),"",IF(COUNTIFS(BD!$B$3:$B$5001,G$268,BD!$A$3:$A$5001,"&gt;="&amp;$C$7,BD!$A$3:$A$5001,"&lt;="&amp;$B279,BD!$T$3:$T$5001,"&lt;&gt;")=0,"",SUMIFS(BD!$T$3:$T$5001,BD!$B$3:$B$5001,G$268,BD!$A$3:$A$5001,_xlfn.MAXIFS(BD!$A$3:$A$5001,BD!$B$3:$B$5001,G$268,BD!$A$3:$A$5001,"&gt;="&amp;$C$7,BD!$A$3:$A$5001,"&lt;="&amp;$B279,BD!$T$3:$T$5001,"&lt;&gt;"))))</f>
        <v/>
      </c>
      <c r="H279" s="54" t="str">
        <f>IF(OR($B279="",$A279&gt;$B$9,H$268=""),"",IF(COUNTIFS(BD!$B$3:$B$5001,H$268,BD!$A$3:$A$5001,"&gt;="&amp;$C$7,BD!$A$3:$A$5001,"&lt;="&amp;$B279,BD!$T$3:$T$5001,"&lt;&gt;")=0,"",SUMIFS(BD!$T$3:$T$5001,BD!$B$3:$B$5001,H$268,BD!$A$3:$A$5001,_xlfn.MAXIFS(BD!$A$3:$A$5001,BD!$B$3:$B$5001,H$268,BD!$A$3:$A$5001,"&gt;="&amp;$C$7,BD!$A$3:$A$5001,"&lt;="&amp;$B279,BD!$T$3:$T$5001,"&lt;&gt;"))))</f>
        <v/>
      </c>
      <c r="I279" s="54" t="str">
        <f>IF(OR($B279="",$A279&gt;$B$9,I$268=""),"",IF(COUNTIFS(BD!$B$3:$B$5001,I$268,BD!$A$3:$A$5001,"&gt;="&amp;$C$7,BD!$A$3:$A$5001,"&lt;="&amp;$B279,BD!$T$3:$T$5001,"&lt;&gt;")=0,"",SUMIFS(BD!$T$3:$T$5001,BD!$B$3:$B$5001,I$268,BD!$A$3:$A$5001,_xlfn.MAXIFS(BD!$A$3:$A$5001,BD!$B$3:$B$5001,I$268,BD!$A$3:$A$5001,"&gt;="&amp;$C$7,BD!$A$3:$A$5001,"&lt;="&amp;$B279,BD!$T$3:$T$5001,"&lt;&gt;"))))</f>
        <v/>
      </c>
      <c r="J279" s="54" t="str">
        <f>IF(OR($B279="",$A279&gt;$B$9,J$268=""),"",IF(COUNTIFS(BD!$B$3:$B$5001,J$268,BD!$A$3:$A$5001,"&gt;="&amp;$C$7,BD!$A$3:$A$5001,"&lt;="&amp;$B279,BD!$T$3:$T$5001,"&lt;&gt;")=0,"",SUMIFS(BD!$T$3:$T$5001,BD!$B$3:$B$5001,J$268,BD!$A$3:$A$5001,_xlfn.MAXIFS(BD!$A$3:$A$5001,BD!$B$3:$B$5001,J$268,BD!$A$3:$A$5001,"&gt;="&amp;$C$7,BD!$A$3:$A$5001,"&lt;="&amp;$B279,BD!$T$3:$T$5001,"&lt;&gt;"))))</f>
        <v/>
      </c>
      <c r="K279" s="54" t="str">
        <f>IF(OR($B279="",$A279&gt;$B$9,K$268=""),"",IF(COUNTIFS(BD!$B$3:$B$5001,K$268,BD!$A$3:$A$5001,"&gt;="&amp;$C$7,BD!$A$3:$A$5001,"&lt;="&amp;$B279,BD!$T$3:$T$5001,"&lt;&gt;")=0,"",SUMIFS(BD!$T$3:$T$5001,BD!$B$3:$B$5001,K$268,BD!$A$3:$A$5001,_xlfn.MAXIFS(BD!$A$3:$A$5001,BD!$B$3:$B$5001,K$268,BD!$A$3:$A$5001,"&gt;="&amp;$C$7,BD!$A$3:$A$5001,"&lt;="&amp;$B279,BD!$T$3:$T$5001,"&lt;&gt;"))))</f>
        <v/>
      </c>
      <c r="L279" s="54" t="str">
        <f>IF(OR($B279="",$A279&gt;$B$9,L$268=""),"",IF(COUNTIFS(BD!$B$3:$B$5001,L$268,BD!$A$3:$A$5001,"&gt;="&amp;$C$7,BD!$A$3:$A$5001,"&lt;="&amp;$B279,BD!$T$3:$T$5001,"&lt;&gt;")=0,"",SUMIFS(BD!$T$3:$T$5001,BD!$B$3:$B$5001,L$268,BD!$A$3:$A$5001,_xlfn.MAXIFS(BD!$A$3:$A$5001,BD!$B$3:$B$5001,L$268,BD!$A$3:$A$5001,"&gt;="&amp;$C$7,BD!$A$3:$A$5001,"&lt;="&amp;$B279,BD!$T$3:$T$5001,"&lt;&gt;"))))</f>
        <v/>
      </c>
      <c r="M279" s="54" t="str">
        <f>IF(OR($B279="",$A279&gt;$B$9,M$268=""),"",IF(COUNTIFS(BD!$B$3:$B$5001,M$268,BD!$A$3:$A$5001,"&gt;="&amp;$C$7,BD!$A$3:$A$5001,"&lt;="&amp;$B279,BD!$T$3:$T$5001,"&lt;&gt;")=0,"",SUMIFS(BD!$T$3:$T$5001,BD!$B$3:$B$5001,M$268,BD!$A$3:$A$5001,_xlfn.MAXIFS(BD!$A$3:$A$5001,BD!$B$3:$B$5001,M$268,BD!$A$3:$A$5001,"&gt;="&amp;$C$7,BD!$A$3:$A$5001,"&lt;="&amp;$B279,BD!$T$3:$T$5001,"&lt;&gt;"))))</f>
        <v/>
      </c>
      <c r="N279" s="54" t="str">
        <f>IF(OR($B279="",$A279&gt;$B$9,N$268=""),"",IF(COUNTIFS(BD!$B$3:$B$5001,N$268,BD!$A$3:$A$5001,"&gt;="&amp;$C$7,BD!$A$3:$A$5001,"&lt;="&amp;$B279,BD!$T$3:$T$5001,"&lt;&gt;")=0,"",SUMIFS(BD!$T$3:$T$5001,BD!$B$3:$B$5001,N$268,BD!$A$3:$A$5001,_xlfn.MAXIFS(BD!$A$3:$A$5001,BD!$B$3:$B$5001,N$268,BD!$A$3:$A$5001,"&gt;="&amp;$C$7,BD!$A$3:$A$5001,"&lt;="&amp;$B279,BD!$T$3:$T$5001,"&lt;&gt;"))))</f>
        <v/>
      </c>
      <c r="O279" s="54" t="str">
        <f>IF(OR($B279="",$A279&gt;$B$9,O$268=""),"",IF(COUNTIFS(BD!$B$3:$B$5001,O$268,BD!$A$3:$A$5001,"&gt;="&amp;$C$7,BD!$A$3:$A$5001,"&lt;="&amp;$B279,BD!$T$3:$T$5001,"&lt;&gt;")=0,"",SUMIFS(BD!$T$3:$T$5001,BD!$B$3:$B$5001,O$268,BD!$A$3:$A$5001,_xlfn.MAXIFS(BD!$A$3:$A$5001,BD!$B$3:$B$5001,O$268,BD!$A$3:$A$5001,"&gt;="&amp;$C$7,BD!$A$3:$A$5001,"&lt;="&amp;$B279,BD!$T$3:$T$5001,"&lt;&gt;"))))</f>
        <v/>
      </c>
      <c r="P279" s="54" t="str">
        <f>IF(OR($B279="",$A279&gt;$B$9,P$268=""),"",IF(COUNTIFS(BD!$B$3:$B$5001,P$268,BD!$A$3:$A$5001,"&gt;="&amp;$C$7,BD!$A$3:$A$5001,"&lt;="&amp;$B279,BD!$T$3:$T$5001,"&lt;&gt;")=0,"",SUMIFS(BD!$T$3:$T$5001,BD!$B$3:$B$5001,P$268,BD!$A$3:$A$5001,_xlfn.MAXIFS(BD!$A$3:$A$5001,BD!$B$3:$B$5001,P$268,BD!$A$3:$A$5001,"&gt;="&amp;$C$7,BD!$A$3:$A$5001,"&lt;="&amp;$B279,BD!$T$3:$T$5001,"&lt;&gt;"))))</f>
        <v/>
      </c>
      <c r="Q279" s="54" t="str">
        <f>IF(OR($B279="",$A279&gt;$B$9,Q$268=""),"",IF(COUNTIFS(BD!$B$3:$B$5001,Q$268,BD!$A$3:$A$5001,"&gt;="&amp;$C$7,BD!$A$3:$A$5001,"&lt;="&amp;$B279,BD!$T$3:$T$5001,"&lt;&gt;")=0,"",SUMIFS(BD!$T$3:$T$5001,BD!$B$3:$B$5001,Q$268,BD!$A$3:$A$5001,_xlfn.MAXIFS(BD!$A$3:$A$5001,BD!$B$3:$B$5001,Q$268,BD!$A$3:$A$5001,"&gt;="&amp;$C$7,BD!$A$3:$A$5001,"&lt;="&amp;$B279,BD!$T$3:$T$5001,"&lt;&gt;"))))</f>
        <v/>
      </c>
      <c r="R279" s="54" t="str">
        <f>IF(OR($B279="",$A279&gt;$B$9,R$268=""),"",IF(COUNTIFS(BD!$B$3:$B$5001,R$268,BD!$A$3:$A$5001,"&gt;="&amp;$C$7,BD!$A$3:$A$5001,"&lt;="&amp;$B279,BD!$T$3:$T$5001,"&lt;&gt;")=0,"",SUMIFS(BD!$T$3:$T$5001,BD!$B$3:$B$5001,R$268,BD!$A$3:$A$5001,_xlfn.MAXIFS(BD!$A$3:$A$5001,BD!$B$3:$B$5001,R$268,BD!$A$3:$A$5001,"&gt;="&amp;$C$7,BD!$A$3:$A$5001,"&lt;="&amp;$B279,BD!$T$3:$T$5001,"&lt;&gt;"))))</f>
        <v/>
      </c>
      <c r="S279" s="54" t="str">
        <f>IF(OR($B279="",$A279&gt;$B$9,S$268=""),"",IF(COUNTIFS(BD!$B$3:$B$5001,S$268,BD!$A$3:$A$5001,"&gt;="&amp;$C$7,BD!$A$3:$A$5001,"&lt;="&amp;$B279,BD!$T$3:$T$5001,"&lt;&gt;")=0,"",SUMIFS(BD!$T$3:$T$5001,BD!$B$3:$B$5001,S$268,BD!$A$3:$A$5001,_xlfn.MAXIFS(BD!$A$3:$A$5001,BD!$B$3:$B$5001,S$268,BD!$A$3:$A$5001,"&gt;="&amp;$C$7,BD!$A$3:$A$5001,"&lt;="&amp;$B279,BD!$T$3:$T$5001,"&lt;&gt;"))))</f>
        <v/>
      </c>
      <c r="T279" s="54" t="str">
        <f>IF(OR($B279="",$A279&gt;$B$9,T$268=""),"",IF(COUNTIFS(BD!$B$3:$B$5001,T$268,BD!$A$3:$A$5001,"&gt;="&amp;$C$7,BD!$A$3:$A$5001,"&lt;="&amp;$B279,BD!$T$3:$T$5001,"&lt;&gt;")=0,"",SUMIFS(BD!$T$3:$T$5001,BD!$B$3:$B$5001,T$268,BD!$A$3:$A$5001,_xlfn.MAXIFS(BD!$A$3:$A$5001,BD!$B$3:$B$5001,T$268,BD!$A$3:$A$5001,"&gt;="&amp;$C$7,BD!$A$3:$A$5001,"&lt;="&amp;$B279,BD!$T$3:$T$5001,"&lt;&gt;"))))</f>
        <v/>
      </c>
      <c r="U279" s="54" t="str">
        <f>IF(OR($B279="",$A279&gt;$B$9,U$268=""),"",IF(COUNTIFS(BD!$B$3:$B$5001,U$268,BD!$A$3:$A$5001,"&gt;="&amp;$C$7,BD!$A$3:$A$5001,"&lt;="&amp;$B279,BD!$T$3:$T$5001,"&lt;&gt;")=0,"",SUMIFS(BD!$T$3:$T$5001,BD!$B$3:$B$5001,U$268,BD!$A$3:$A$5001,_xlfn.MAXIFS(BD!$A$3:$A$5001,BD!$B$3:$B$5001,U$268,BD!$A$3:$A$5001,"&gt;="&amp;$C$7,BD!$A$3:$A$5001,"&lt;="&amp;$B279,BD!$T$3:$T$5001,"&lt;&gt;"))))</f>
        <v/>
      </c>
      <c r="V279" s="54" t="str">
        <f>IF(OR($B279="",$A279&gt;$B$9,V$268=""),"",IF(COUNTIFS(BD!$B$3:$B$5001,V$268,BD!$A$3:$A$5001,"&gt;="&amp;$C$7,BD!$A$3:$A$5001,"&lt;="&amp;$B279,BD!$T$3:$T$5001,"&lt;&gt;")=0,"",SUMIFS(BD!$T$3:$T$5001,BD!$B$3:$B$5001,V$268,BD!$A$3:$A$5001,_xlfn.MAXIFS(BD!$A$3:$A$5001,BD!$B$3:$B$5001,V$268,BD!$A$3:$A$5001,"&gt;="&amp;$C$7,BD!$A$3:$A$5001,"&lt;="&amp;$B279,BD!$T$3:$T$5001,"&lt;&gt;"))))</f>
        <v/>
      </c>
    </row>
    <row r="280">
      <c r="A280" s="48">
        <v>12</v>
      </c>
      <c r="B280" s="53">
        <f>$B$23</f>
        <v>46307</v>
      </c>
      <c r="C280" s="54" t="str">
        <f>IF(OR($B280="",$A280&gt;$B$9,C$268=""),"",IF(COUNTIFS(BD!$B$3:$B$5001,C$268,BD!$A$3:$A$5001,"&gt;="&amp;$C$7,BD!$A$3:$A$5001,"&lt;="&amp;$B280,BD!$T$3:$T$5001,"&lt;&gt;")=0,"",SUMIFS(BD!$T$3:$T$5001,BD!$B$3:$B$5001,C$268,BD!$A$3:$A$5001,_xlfn.MAXIFS(BD!$A$3:$A$5001,BD!$B$3:$B$5001,C$268,BD!$A$3:$A$5001,"&gt;="&amp;$C$7,BD!$A$3:$A$5001,"&lt;="&amp;$B280,BD!$T$3:$T$5001,"&lt;&gt;"))))</f>
        <v/>
      </c>
      <c r="D280" s="54" t="str">
        <f>IF(OR($B280="",$A280&gt;$B$9,D$268=""),"",IF(COUNTIFS(BD!$B$3:$B$5001,D$268,BD!$A$3:$A$5001,"&gt;="&amp;$C$7,BD!$A$3:$A$5001,"&lt;="&amp;$B280,BD!$T$3:$T$5001,"&lt;&gt;")=0,"",SUMIFS(BD!$T$3:$T$5001,BD!$B$3:$B$5001,D$268,BD!$A$3:$A$5001,_xlfn.MAXIFS(BD!$A$3:$A$5001,BD!$B$3:$B$5001,D$268,BD!$A$3:$A$5001,"&gt;="&amp;$C$7,BD!$A$3:$A$5001,"&lt;="&amp;$B280,BD!$T$3:$T$5001,"&lt;&gt;"))))</f>
        <v/>
      </c>
      <c r="E280" s="54" t="str">
        <f>IF(OR($B280="",$A280&gt;$B$9,E$268=""),"",IF(COUNTIFS(BD!$B$3:$B$5001,E$268,BD!$A$3:$A$5001,"&gt;="&amp;$C$7,BD!$A$3:$A$5001,"&lt;="&amp;$B280,BD!$T$3:$T$5001,"&lt;&gt;")=0,"",SUMIFS(BD!$T$3:$T$5001,BD!$B$3:$B$5001,E$268,BD!$A$3:$A$5001,_xlfn.MAXIFS(BD!$A$3:$A$5001,BD!$B$3:$B$5001,E$268,BD!$A$3:$A$5001,"&gt;="&amp;$C$7,BD!$A$3:$A$5001,"&lt;="&amp;$B280,BD!$T$3:$T$5001,"&lt;&gt;"))))</f>
        <v/>
      </c>
      <c r="F280" s="54" t="str">
        <f>IF(OR($B280="",$A280&gt;$B$9,F$268=""),"",IF(COUNTIFS(BD!$B$3:$B$5001,F$268,BD!$A$3:$A$5001,"&gt;="&amp;$C$7,BD!$A$3:$A$5001,"&lt;="&amp;$B280,BD!$T$3:$T$5001,"&lt;&gt;")=0,"",SUMIFS(BD!$T$3:$T$5001,BD!$B$3:$B$5001,F$268,BD!$A$3:$A$5001,_xlfn.MAXIFS(BD!$A$3:$A$5001,BD!$B$3:$B$5001,F$268,BD!$A$3:$A$5001,"&gt;="&amp;$C$7,BD!$A$3:$A$5001,"&lt;="&amp;$B280,BD!$T$3:$T$5001,"&lt;&gt;"))))</f>
        <v/>
      </c>
      <c r="G280" s="54" t="str">
        <f>IF(OR($B280="",$A280&gt;$B$9,G$268=""),"",IF(COUNTIFS(BD!$B$3:$B$5001,G$268,BD!$A$3:$A$5001,"&gt;="&amp;$C$7,BD!$A$3:$A$5001,"&lt;="&amp;$B280,BD!$T$3:$T$5001,"&lt;&gt;")=0,"",SUMIFS(BD!$T$3:$T$5001,BD!$B$3:$B$5001,G$268,BD!$A$3:$A$5001,_xlfn.MAXIFS(BD!$A$3:$A$5001,BD!$B$3:$B$5001,G$268,BD!$A$3:$A$5001,"&gt;="&amp;$C$7,BD!$A$3:$A$5001,"&lt;="&amp;$B280,BD!$T$3:$T$5001,"&lt;&gt;"))))</f>
        <v/>
      </c>
      <c r="H280" s="54" t="str">
        <f>IF(OR($B280="",$A280&gt;$B$9,H$268=""),"",IF(COUNTIFS(BD!$B$3:$B$5001,H$268,BD!$A$3:$A$5001,"&gt;="&amp;$C$7,BD!$A$3:$A$5001,"&lt;="&amp;$B280,BD!$T$3:$T$5001,"&lt;&gt;")=0,"",SUMIFS(BD!$T$3:$T$5001,BD!$B$3:$B$5001,H$268,BD!$A$3:$A$5001,_xlfn.MAXIFS(BD!$A$3:$A$5001,BD!$B$3:$B$5001,H$268,BD!$A$3:$A$5001,"&gt;="&amp;$C$7,BD!$A$3:$A$5001,"&lt;="&amp;$B280,BD!$T$3:$T$5001,"&lt;&gt;"))))</f>
        <v/>
      </c>
      <c r="I280" s="54" t="str">
        <f>IF(OR($B280="",$A280&gt;$B$9,I$268=""),"",IF(COUNTIFS(BD!$B$3:$B$5001,I$268,BD!$A$3:$A$5001,"&gt;="&amp;$C$7,BD!$A$3:$A$5001,"&lt;="&amp;$B280,BD!$T$3:$T$5001,"&lt;&gt;")=0,"",SUMIFS(BD!$T$3:$T$5001,BD!$B$3:$B$5001,I$268,BD!$A$3:$A$5001,_xlfn.MAXIFS(BD!$A$3:$A$5001,BD!$B$3:$B$5001,I$268,BD!$A$3:$A$5001,"&gt;="&amp;$C$7,BD!$A$3:$A$5001,"&lt;="&amp;$B280,BD!$T$3:$T$5001,"&lt;&gt;"))))</f>
        <v/>
      </c>
      <c r="J280" s="54" t="str">
        <f>IF(OR($B280="",$A280&gt;$B$9,J$268=""),"",IF(COUNTIFS(BD!$B$3:$B$5001,J$268,BD!$A$3:$A$5001,"&gt;="&amp;$C$7,BD!$A$3:$A$5001,"&lt;="&amp;$B280,BD!$T$3:$T$5001,"&lt;&gt;")=0,"",SUMIFS(BD!$T$3:$T$5001,BD!$B$3:$B$5001,J$268,BD!$A$3:$A$5001,_xlfn.MAXIFS(BD!$A$3:$A$5001,BD!$B$3:$B$5001,J$268,BD!$A$3:$A$5001,"&gt;="&amp;$C$7,BD!$A$3:$A$5001,"&lt;="&amp;$B280,BD!$T$3:$T$5001,"&lt;&gt;"))))</f>
        <v/>
      </c>
      <c r="K280" s="54" t="str">
        <f>IF(OR($B280="",$A280&gt;$B$9,K$268=""),"",IF(COUNTIFS(BD!$B$3:$B$5001,K$268,BD!$A$3:$A$5001,"&gt;="&amp;$C$7,BD!$A$3:$A$5001,"&lt;="&amp;$B280,BD!$T$3:$T$5001,"&lt;&gt;")=0,"",SUMIFS(BD!$T$3:$T$5001,BD!$B$3:$B$5001,K$268,BD!$A$3:$A$5001,_xlfn.MAXIFS(BD!$A$3:$A$5001,BD!$B$3:$B$5001,K$268,BD!$A$3:$A$5001,"&gt;="&amp;$C$7,BD!$A$3:$A$5001,"&lt;="&amp;$B280,BD!$T$3:$T$5001,"&lt;&gt;"))))</f>
        <v/>
      </c>
      <c r="L280" s="54" t="str">
        <f>IF(OR($B280="",$A280&gt;$B$9,L$268=""),"",IF(COUNTIFS(BD!$B$3:$B$5001,L$268,BD!$A$3:$A$5001,"&gt;="&amp;$C$7,BD!$A$3:$A$5001,"&lt;="&amp;$B280,BD!$T$3:$T$5001,"&lt;&gt;")=0,"",SUMIFS(BD!$T$3:$T$5001,BD!$B$3:$B$5001,L$268,BD!$A$3:$A$5001,_xlfn.MAXIFS(BD!$A$3:$A$5001,BD!$B$3:$B$5001,L$268,BD!$A$3:$A$5001,"&gt;="&amp;$C$7,BD!$A$3:$A$5001,"&lt;="&amp;$B280,BD!$T$3:$T$5001,"&lt;&gt;"))))</f>
        <v/>
      </c>
      <c r="M280" s="54" t="str">
        <f>IF(OR($B280="",$A280&gt;$B$9,M$268=""),"",IF(COUNTIFS(BD!$B$3:$B$5001,M$268,BD!$A$3:$A$5001,"&gt;="&amp;$C$7,BD!$A$3:$A$5001,"&lt;="&amp;$B280,BD!$T$3:$T$5001,"&lt;&gt;")=0,"",SUMIFS(BD!$T$3:$T$5001,BD!$B$3:$B$5001,M$268,BD!$A$3:$A$5001,_xlfn.MAXIFS(BD!$A$3:$A$5001,BD!$B$3:$B$5001,M$268,BD!$A$3:$A$5001,"&gt;="&amp;$C$7,BD!$A$3:$A$5001,"&lt;="&amp;$B280,BD!$T$3:$T$5001,"&lt;&gt;"))))</f>
        <v/>
      </c>
      <c r="N280" s="54" t="str">
        <f>IF(OR($B280="",$A280&gt;$B$9,N$268=""),"",IF(COUNTIFS(BD!$B$3:$B$5001,N$268,BD!$A$3:$A$5001,"&gt;="&amp;$C$7,BD!$A$3:$A$5001,"&lt;="&amp;$B280,BD!$T$3:$T$5001,"&lt;&gt;")=0,"",SUMIFS(BD!$T$3:$T$5001,BD!$B$3:$B$5001,N$268,BD!$A$3:$A$5001,_xlfn.MAXIFS(BD!$A$3:$A$5001,BD!$B$3:$B$5001,N$268,BD!$A$3:$A$5001,"&gt;="&amp;$C$7,BD!$A$3:$A$5001,"&lt;="&amp;$B280,BD!$T$3:$T$5001,"&lt;&gt;"))))</f>
        <v/>
      </c>
      <c r="O280" s="54" t="str">
        <f>IF(OR($B280="",$A280&gt;$B$9,O$268=""),"",IF(COUNTIFS(BD!$B$3:$B$5001,O$268,BD!$A$3:$A$5001,"&gt;="&amp;$C$7,BD!$A$3:$A$5001,"&lt;="&amp;$B280,BD!$T$3:$T$5001,"&lt;&gt;")=0,"",SUMIFS(BD!$T$3:$T$5001,BD!$B$3:$B$5001,O$268,BD!$A$3:$A$5001,_xlfn.MAXIFS(BD!$A$3:$A$5001,BD!$B$3:$B$5001,O$268,BD!$A$3:$A$5001,"&gt;="&amp;$C$7,BD!$A$3:$A$5001,"&lt;="&amp;$B280,BD!$T$3:$T$5001,"&lt;&gt;"))))</f>
        <v/>
      </c>
      <c r="P280" s="54" t="str">
        <f>IF(OR($B280="",$A280&gt;$B$9,P$268=""),"",IF(COUNTIFS(BD!$B$3:$B$5001,P$268,BD!$A$3:$A$5001,"&gt;="&amp;$C$7,BD!$A$3:$A$5001,"&lt;="&amp;$B280,BD!$T$3:$T$5001,"&lt;&gt;")=0,"",SUMIFS(BD!$T$3:$T$5001,BD!$B$3:$B$5001,P$268,BD!$A$3:$A$5001,_xlfn.MAXIFS(BD!$A$3:$A$5001,BD!$B$3:$B$5001,P$268,BD!$A$3:$A$5001,"&gt;="&amp;$C$7,BD!$A$3:$A$5001,"&lt;="&amp;$B280,BD!$T$3:$T$5001,"&lt;&gt;"))))</f>
        <v/>
      </c>
      <c r="Q280" s="54" t="str">
        <f>IF(OR($B280="",$A280&gt;$B$9,Q$268=""),"",IF(COUNTIFS(BD!$B$3:$B$5001,Q$268,BD!$A$3:$A$5001,"&gt;="&amp;$C$7,BD!$A$3:$A$5001,"&lt;="&amp;$B280,BD!$T$3:$T$5001,"&lt;&gt;")=0,"",SUMIFS(BD!$T$3:$T$5001,BD!$B$3:$B$5001,Q$268,BD!$A$3:$A$5001,_xlfn.MAXIFS(BD!$A$3:$A$5001,BD!$B$3:$B$5001,Q$268,BD!$A$3:$A$5001,"&gt;="&amp;$C$7,BD!$A$3:$A$5001,"&lt;="&amp;$B280,BD!$T$3:$T$5001,"&lt;&gt;"))))</f>
        <v/>
      </c>
      <c r="R280" s="54" t="str">
        <f>IF(OR($B280="",$A280&gt;$B$9,R$268=""),"",IF(COUNTIFS(BD!$B$3:$B$5001,R$268,BD!$A$3:$A$5001,"&gt;="&amp;$C$7,BD!$A$3:$A$5001,"&lt;="&amp;$B280,BD!$T$3:$T$5001,"&lt;&gt;")=0,"",SUMIFS(BD!$T$3:$T$5001,BD!$B$3:$B$5001,R$268,BD!$A$3:$A$5001,_xlfn.MAXIFS(BD!$A$3:$A$5001,BD!$B$3:$B$5001,R$268,BD!$A$3:$A$5001,"&gt;="&amp;$C$7,BD!$A$3:$A$5001,"&lt;="&amp;$B280,BD!$T$3:$T$5001,"&lt;&gt;"))))</f>
        <v/>
      </c>
      <c r="S280" s="54" t="str">
        <f>IF(OR($B280="",$A280&gt;$B$9,S$268=""),"",IF(COUNTIFS(BD!$B$3:$B$5001,S$268,BD!$A$3:$A$5001,"&gt;="&amp;$C$7,BD!$A$3:$A$5001,"&lt;="&amp;$B280,BD!$T$3:$T$5001,"&lt;&gt;")=0,"",SUMIFS(BD!$T$3:$T$5001,BD!$B$3:$B$5001,S$268,BD!$A$3:$A$5001,_xlfn.MAXIFS(BD!$A$3:$A$5001,BD!$B$3:$B$5001,S$268,BD!$A$3:$A$5001,"&gt;="&amp;$C$7,BD!$A$3:$A$5001,"&lt;="&amp;$B280,BD!$T$3:$T$5001,"&lt;&gt;"))))</f>
        <v/>
      </c>
      <c r="T280" s="54" t="str">
        <f>IF(OR($B280="",$A280&gt;$B$9,T$268=""),"",IF(COUNTIFS(BD!$B$3:$B$5001,T$268,BD!$A$3:$A$5001,"&gt;="&amp;$C$7,BD!$A$3:$A$5001,"&lt;="&amp;$B280,BD!$T$3:$T$5001,"&lt;&gt;")=0,"",SUMIFS(BD!$T$3:$T$5001,BD!$B$3:$B$5001,T$268,BD!$A$3:$A$5001,_xlfn.MAXIFS(BD!$A$3:$A$5001,BD!$B$3:$B$5001,T$268,BD!$A$3:$A$5001,"&gt;="&amp;$C$7,BD!$A$3:$A$5001,"&lt;="&amp;$B280,BD!$T$3:$T$5001,"&lt;&gt;"))))</f>
        <v/>
      </c>
      <c r="U280" s="54" t="str">
        <f>IF(OR($B280="",$A280&gt;$B$9,U$268=""),"",IF(COUNTIFS(BD!$B$3:$B$5001,U$268,BD!$A$3:$A$5001,"&gt;="&amp;$C$7,BD!$A$3:$A$5001,"&lt;="&amp;$B280,BD!$T$3:$T$5001,"&lt;&gt;")=0,"",SUMIFS(BD!$T$3:$T$5001,BD!$B$3:$B$5001,U$268,BD!$A$3:$A$5001,_xlfn.MAXIFS(BD!$A$3:$A$5001,BD!$B$3:$B$5001,U$268,BD!$A$3:$A$5001,"&gt;="&amp;$C$7,BD!$A$3:$A$5001,"&lt;="&amp;$B280,BD!$T$3:$T$5001,"&lt;&gt;"))))</f>
        <v/>
      </c>
      <c r="V280" s="54" t="str">
        <f>IF(OR($B280="",$A280&gt;$B$9,V$268=""),"",IF(COUNTIFS(BD!$B$3:$B$5001,V$268,BD!$A$3:$A$5001,"&gt;="&amp;$C$7,BD!$A$3:$A$5001,"&lt;="&amp;$B280,BD!$T$3:$T$5001,"&lt;&gt;")=0,"",SUMIFS(BD!$T$3:$T$5001,BD!$B$3:$B$5001,V$268,BD!$A$3:$A$5001,_xlfn.MAXIFS(BD!$A$3:$A$5001,BD!$B$3:$B$5001,V$268,BD!$A$3:$A$5001,"&gt;="&amp;$C$7,BD!$A$3:$A$5001,"&lt;="&amp;$B280,BD!$T$3:$T$5001,"&lt;&gt;"))))</f>
        <v/>
      </c>
    </row>
    <row r="281">
      <c r="A281" s="48">
        <v>13</v>
      </c>
      <c r="B281" s="53">
        <f>$B$24</f>
        <v>46308</v>
      </c>
      <c r="C281" s="54" t="str">
        <f>IF(OR($B281="",$A281&gt;$B$9,C$268=""),"",IF(COUNTIFS(BD!$B$3:$B$5001,C$268,BD!$A$3:$A$5001,"&gt;="&amp;$C$7,BD!$A$3:$A$5001,"&lt;="&amp;$B281,BD!$T$3:$T$5001,"&lt;&gt;")=0,"",SUMIFS(BD!$T$3:$T$5001,BD!$B$3:$B$5001,C$268,BD!$A$3:$A$5001,_xlfn.MAXIFS(BD!$A$3:$A$5001,BD!$B$3:$B$5001,C$268,BD!$A$3:$A$5001,"&gt;="&amp;$C$7,BD!$A$3:$A$5001,"&lt;="&amp;$B281,BD!$T$3:$T$5001,"&lt;&gt;"))))</f>
        <v/>
      </c>
      <c r="D281" s="54" t="str">
        <f>IF(OR($B281="",$A281&gt;$B$9,D$268=""),"",IF(COUNTIFS(BD!$B$3:$B$5001,D$268,BD!$A$3:$A$5001,"&gt;="&amp;$C$7,BD!$A$3:$A$5001,"&lt;="&amp;$B281,BD!$T$3:$T$5001,"&lt;&gt;")=0,"",SUMIFS(BD!$T$3:$T$5001,BD!$B$3:$B$5001,D$268,BD!$A$3:$A$5001,_xlfn.MAXIFS(BD!$A$3:$A$5001,BD!$B$3:$B$5001,D$268,BD!$A$3:$A$5001,"&gt;="&amp;$C$7,BD!$A$3:$A$5001,"&lt;="&amp;$B281,BD!$T$3:$T$5001,"&lt;&gt;"))))</f>
        <v/>
      </c>
      <c r="E281" s="54" t="str">
        <f>IF(OR($B281="",$A281&gt;$B$9,E$268=""),"",IF(COUNTIFS(BD!$B$3:$B$5001,E$268,BD!$A$3:$A$5001,"&gt;="&amp;$C$7,BD!$A$3:$A$5001,"&lt;="&amp;$B281,BD!$T$3:$T$5001,"&lt;&gt;")=0,"",SUMIFS(BD!$T$3:$T$5001,BD!$B$3:$B$5001,E$268,BD!$A$3:$A$5001,_xlfn.MAXIFS(BD!$A$3:$A$5001,BD!$B$3:$B$5001,E$268,BD!$A$3:$A$5001,"&gt;="&amp;$C$7,BD!$A$3:$A$5001,"&lt;="&amp;$B281,BD!$T$3:$T$5001,"&lt;&gt;"))))</f>
        <v/>
      </c>
      <c r="F281" s="54" t="str">
        <f>IF(OR($B281="",$A281&gt;$B$9,F$268=""),"",IF(COUNTIFS(BD!$B$3:$B$5001,F$268,BD!$A$3:$A$5001,"&gt;="&amp;$C$7,BD!$A$3:$A$5001,"&lt;="&amp;$B281,BD!$T$3:$T$5001,"&lt;&gt;")=0,"",SUMIFS(BD!$T$3:$T$5001,BD!$B$3:$B$5001,F$268,BD!$A$3:$A$5001,_xlfn.MAXIFS(BD!$A$3:$A$5001,BD!$B$3:$B$5001,F$268,BD!$A$3:$A$5001,"&gt;="&amp;$C$7,BD!$A$3:$A$5001,"&lt;="&amp;$B281,BD!$T$3:$T$5001,"&lt;&gt;"))))</f>
        <v/>
      </c>
      <c r="G281" s="54" t="str">
        <f>IF(OR($B281="",$A281&gt;$B$9,G$268=""),"",IF(COUNTIFS(BD!$B$3:$B$5001,G$268,BD!$A$3:$A$5001,"&gt;="&amp;$C$7,BD!$A$3:$A$5001,"&lt;="&amp;$B281,BD!$T$3:$T$5001,"&lt;&gt;")=0,"",SUMIFS(BD!$T$3:$T$5001,BD!$B$3:$B$5001,G$268,BD!$A$3:$A$5001,_xlfn.MAXIFS(BD!$A$3:$A$5001,BD!$B$3:$B$5001,G$268,BD!$A$3:$A$5001,"&gt;="&amp;$C$7,BD!$A$3:$A$5001,"&lt;="&amp;$B281,BD!$T$3:$T$5001,"&lt;&gt;"))))</f>
        <v/>
      </c>
      <c r="H281" s="54" t="str">
        <f>IF(OR($B281="",$A281&gt;$B$9,H$268=""),"",IF(COUNTIFS(BD!$B$3:$B$5001,H$268,BD!$A$3:$A$5001,"&gt;="&amp;$C$7,BD!$A$3:$A$5001,"&lt;="&amp;$B281,BD!$T$3:$T$5001,"&lt;&gt;")=0,"",SUMIFS(BD!$T$3:$T$5001,BD!$B$3:$B$5001,H$268,BD!$A$3:$A$5001,_xlfn.MAXIFS(BD!$A$3:$A$5001,BD!$B$3:$B$5001,H$268,BD!$A$3:$A$5001,"&gt;="&amp;$C$7,BD!$A$3:$A$5001,"&lt;="&amp;$B281,BD!$T$3:$T$5001,"&lt;&gt;"))))</f>
        <v/>
      </c>
      <c r="I281" s="54" t="str">
        <f>IF(OR($B281="",$A281&gt;$B$9,I$268=""),"",IF(COUNTIFS(BD!$B$3:$B$5001,I$268,BD!$A$3:$A$5001,"&gt;="&amp;$C$7,BD!$A$3:$A$5001,"&lt;="&amp;$B281,BD!$T$3:$T$5001,"&lt;&gt;")=0,"",SUMIFS(BD!$T$3:$T$5001,BD!$B$3:$B$5001,I$268,BD!$A$3:$A$5001,_xlfn.MAXIFS(BD!$A$3:$A$5001,BD!$B$3:$B$5001,I$268,BD!$A$3:$A$5001,"&gt;="&amp;$C$7,BD!$A$3:$A$5001,"&lt;="&amp;$B281,BD!$T$3:$T$5001,"&lt;&gt;"))))</f>
        <v/>
      </c>
      <c r="J281" s="54" t="str">
        <f>IF(OR($B281="",$A281&gt;$B$9,J$268=""),"",IF(COUNTIFS(BD!$B$3:$B$5001,J$268,BD!$A$3:$A$5001,"&gt;="&amp;$C$7,BD!$A$3:$A$5001,"&lt;="&amp;$B281,BD!$T$3:$T$5001,"&lt;&gt;")=0,"",SUMIFS(BD!$T$3:$T$5001,BD!$B$3:$B$5001,J$268,BD!$A$3:$A$5001,_xlfn.MAXIFS(BD!$A$3:$A$5001,BD!$B$3:$B$5001,J$268,BD!$A$3:$A$5001,"&gt;="&amp;$C$7,BD!$A$3:$A$5001,"&lt;="&amp;$B281,BD!$T$3:$T$5001,"&lt;&gt;"))))</f>
        <v/>
      </c>
      <c r="K281" s="54" t="str">
        <f>IF(OR($B281="",$A281&gt;$B$9,K$268=""),"",IF(COUNTIFS(BD!$B$3:$B$5001,K$268,BD!$A$3:$A$5001,"&gt;="&amp;$C$7,BD!$A$3:$A$5001,"&lt;="&amp;$B281,BD!$T$3:$T$5001,"&lt;&gt;")=0,"",SUMIFS(BD!$T$3:$T$5001,BD!$B$3:$B$5001,K$268,BD!$A$3:$A$5001,_xlfn.MAXIFS(BD!$A$3:$A$5001,BD!$B$3:$B$5001,K$268,BD!$A$3:$A$5001,"&gt;="&amp;$C$7,BD!$A$3:$A$5001,"&lt;="&amp;$B281,BD!$T$3:$T$5001,"&lt;&gt;"))))</f>
        <v/>
      </c>
      <c r="L281" s="54" t="str">
        <f>IF(OR($B281="",$A281&gt;$B$9,L$268=""),"",IF(COUNTIFS(BD!$B$3:$B$5001,L$268,BD!$A$3:$A$5001,"&gt;="&amp;$C$7,BD!$A$3:$A$5001,"&lt;="&amp;$B281,BD!$T$3:$T$5001,"&lt;&gt;")=0,"",SUMIFS(BD!$T$3:$T$5001,BD!$B$3:$B$5001,L$268,BD!$A$3:$A$5001,_xlfn.MAXIFS(BD!$A$3:$A$5001,BD!$B$3:$B$5001,L$268,BD!$A$3:$A$5001,"&gt;="&amp;$C$7,BD!$A$3:$A$5001,"&lt;="&amp;$B281,BD!$T$3:$T$5001,"&lt;&gt;"))))</f>
        <v/>
      </c>
      <c r="M281" s="54" t="str">
        <f>IF(OR($B281="",$A281&gt;$B$9,M$268=""),"",IF(COUNTIFS(BD!$B$3:$B$5001,M$268,BD!$A$3:$A$5001,"&gt;="&amp;$C$7,BD!$A$3:$A$5001,"&lt;="&amp;$B281,BD!$T$3:$T$5001,"&lt;&gt;")=0,"",SUMIFS(BD!$T$3:$T$5001,BD!$B$3:$B$5001,M$268,BD!$A$3:$A$5001,_xlfn.MAXIFS(BD!$A$3:$A$5001,BD!$B$3:$B$5001,M$268,BD!$A$3:$A$5001,"&gt;="&amp;$C$7,BD!$A$3:$A$5001,"&lt;="&amp;$B281,BD!$T$3:$T$5001,"&lt;&gt;"))))</f>
        <v/>
      </c>
      <c r="N281" s="54" t="str">
        <f>IF(OR($B281="",$A281&gt;$B$9,N$268=""),"",IF(COUNTIFS(BD!$B$3:$B$5001,N$268,BD!$A$3:$A$5001,"&gt;="&amp;$C$7,BD!$A$3:$A$5001,"&lt;="&amp;$B281,BD!$T$3:$T$5001,"&lt;&gt;")=0,"",SUMIFS(BD!$T$3:$T$5001,BD!$B$3:$B$5001,N$268,BD!$A$3:$A$5001,_xlfn.MAXIFS(BD!$A$3:$A$5001,BD!$B$3:$B$5001,N$268,BD!$A$3:$A$5001,"&gt;="&amp;$C$7,BD!$A$3:$A$5001,"&lt;="&amp;$B281,BD!$T$3:$T$5001,"&lt;&gt;"))))</f>
        <v/>
      </c>
      <c r="O281" s="54" t="str">
        <f>IF(OR($B281="",$A281&gt;$B$9,O$268=""),"",IF(COUNTIFS(BD!$B$3:$B$5001,O$268,BD!$A$3:$A$5001,"&gt;="&amp;$C$7,BD!$A$3:$A$5001,"&lt;="&amp;$B281,BD!$T$3:$T$5001,"&lt;&gt;")=0,"",SUMIFS(BD!$T$3:$T$5001,BD!$B$3:$B$5001,O$268,BD!$A$3:$A$5001,_xlfn.MAXIFS(BD!$A$3:$A$5001,BD!$B$3:$B$5001,O$268,BD!$A$3:$A$5001,"&gt;="&amp;$C$7,BD!$A$3:$A$5001,"&lt;="&amp;$B281,BD!$T$3:$T$5001,"&lt;&gt;"))))</f>
        <v/>
      </c>
      <c r="P281" s="54" t="str">
        <f>IF(OR($B281="",$A281&gt;$B$9,P$268=""),"",IF(COUNTIFS(BD!$B$3:$B$5001,P$268,BD!$A$3:$A$5001,"&gt;="&amp;$C$7,BD!$A$3:$A$5001,"&lt;="&amp;$B281,BD!$T$3:$T$5001,"&lt;&gt;")=0,"",SUMIFS(BD!$T$3:$T$5001,BD!$B$3:$B$5001,P$268,BD!$A$3:$A$5001,_xlfn.MAXIFS(BD!$A$3:$A$5001,BD!$B$3:$B$5001,P$268,BD!$A$3:$A$5001,"&gt;="&amp;$C$7,BD!$A$3:$A$5001,"&lt;="&amp;$B281,BD!$T$3:$T$5001,"&lt;&gt;"))))</f>
        <v/>
      </c>
      <c r="Q281" s="54" t="str">
        <f>IF(OR($B281="",$A281&gt;$B$9,Q$268=""),"",IF(COUNTIFS(BD!$B$3:$B$5001,Q$268,BD!$A$3:$A$5001,"&gt;="&amp;$C$7,BD!$A$3:$A$5001,"&lt;="&amp;$B281,BD!$T$3:$T$5001,"&lt;&gt;")=0,"",SUMIFS(BD!$T$3:$T$5001,BD!$B$3:$B$5001,Q$268,BD!$A$3:$A$5001,_xlfn.MAXIFS(BD!$A$3:$A$5001,BD!$B$3:$B$5001,Q$268,BD!$A$3:$A$5001,"&gt;="&amp;$C$7,BD!$A$3:$A$5001,"&lt;="&amp;$B281,BD!$T$3:$T$5001,"&lt;&gt;"))))</f>
        <v/>
      </c>
      <c r="R281" s="54" t="str">
        <f>IF(OR($B281="",$A281&gt;$B$9,R$268=""),"",IF(COUNTIFS(BD!$B$3:$B$5001,R$268,BD!$A$3:$A$5001,"&gt;="&amp;$C$7,BD!$A$3:$A$5001,"&lt;="&amp;$B281,BD!$T$3:$T$5001,"&lt;&gt;")=0,"",SUMIFS(BD!$T$3:$T$5001,BD!$B$3:$B$5001,R$268,BD!$A$3:$A$5001,_xlfn.MAXIFS(BD!$A$3:$A$5001,BD!$B$3:$B$5001,R$268,BD!$A$3:$A$5001,"&gt;="&amp;$C$7,BD!$A$3:$A$5001,"&lt;="&amp;$B281,BD!$T$3:$T$5001,"&lt;&gt;"))))</f>
        <v/>
      </c>
      <c r="S281" s="54" t="str">
        <f>IF(OR($B281="",$A281&gt;$B$9,S$268=""),"",IF(COUNTIFS(BD!$B$3:$B$5001,S$268,BD!$A$3:$A$5001,"&gt;="&amp;$C$7,BD!$A$3:$A$5001,"&lt;="&amp;$B281,BD!$T$3:$T$5001,"&lt;&gt;")=0,"",SUMIFS(BD!$T$3:$T$5001,BD!$B$3:$B$5001,S$268,BD!$A$3:$A$5001,_xlfn.MAXIFS(BD!$A$3:$A$5001,BD!$B$3:$B$5001,S$268,BD!$A$3:$A$5001,"&gt;="&amp;$C$7,BD!$A$3:$A$5001,"&lt;="&amp;$B281,BD!$T$3:$T$5001,"&lt;&gt;"))))</f>
        <v/>
      </c>
      <c r="T281" s="54" t="str">
        <f>IF(OR($B281="",$A281&gt;$B$9,T$268=""),"",IF(COUNTIFS(BD!$B$3:$B$5001,T$268,BD!$A$3:$A$5001,"&gt;="&amp;$C$7,BD!$A$3:$A$5001,"&lt;="&amp;$B281,BD!$T$3:$T$5001,"&lt;&gt;")=0,"",SUMIFS(BD!$T$3:$T$5001,BD!$B$3:$B$5001,T$268,BD!$A$3:$A$5001,_xlfn.MAXIFS(BD!$A$3:$A$5001,BD!$B$3:$B$5001,T$268,BD!$A$3:$A$5001,"&gt;="&amp;$C$7,BD!$A$3:$A$5001,"&lt;="&amp;$B281,BD!$T$3:$T$5001,"&lt;&gt;"))))</f>
        <v/>
      </c>
      <c r="U281" s="54" t="str">
        <f>IF(OR($B281="",$A281&gt;$B$9,U$268=""),"",IF(COUNTIFS(BD!$B$3:$B$5001,U$268,BD!$A$3:$A$5001,"&gt;="&amp;$C$7,BD!$A$3:$A$5001,"&lt;="&amp;$B281,BD!$T$3:$T$5001,"&lt;&gt;")=0,"",SUMIFS(BD!$T$3:$T$5001,BD!$B$3:$B$5001,U$268,BD!$A$3:$A$5001,_xlfn.MAXIFS(BD!$A$3:$A$5001,BD!$B$3:$B$5001,U$268,BD!$A$3:$A$5001,"&gt;="&amp;$C$7,BD!$A$3:$A$5001,"&lt;="&amp;$B281,BD!$T$3:$T$5001,"&lt;&gt;"))))</f>
        <v/>
      </c>
      <c r="V281" s="54" t="str">
        <f>IF(OR($B281="",$A281&gt;$B$9,V$268=""),"",IF(COUNTIFS(BD!$B$3:$B$5001,V$268,BD!$A$3:$A$5001,"&gt;="&amp;$C$7,BD!$A$3:$A$5001,"&lt;="&amp;$B281,BD!$T$3:$T$5001,"&lt;&gt;")=0,"",SUMIFS(BD!$T$3:$T$5001,BD!$B$3:$B$5001,V$268,BD!$A$3:$A$5001,_xlfn.MAXIFS(BD!$A$3:$A$5001,BD!$B$3:$B$5001,V$268,BD!$A$3:$A$5001,"&gt;="&amp;$C$7,BD!$A$3:$A$5001,"&lt;="&amp;$B281,BD!$T$3:$T$5001,"&lt;&gt;"))))</f>
        <v/>
      </c>
    </row>
    <row r="282">
      <c r="A282" s="48">
        <v>14</v>
      </c>
      <c r="B282" s="53">
        <f>$B$25</f>
        <v>46309</v>
      </c>
      <c r="C282" s="54" t="str">
        <f>IF(OR($B282="",$A282&gt;$B$9,C$268=""),"",IF(COUNTIFS(BD!$B$3:$B$5001,C$268,BD!$A$3:$A$5001,"&gt;="&amp;$C$7,BD!$A$3:$A$5001,"&lt;="&amp;$B282,BD!$T$3:$T$5001,"&lt;&gt;")=0,"",SUMIFS(BD!$T$3:$T$5001,BD!$B$3:$B$5001,C$268,BD!$A$3:$A$5001,_xlfn.MAXIFS(BD!$A$3:$A$5001,BD!$B$3:$B$5001,C$268,BD!$A$3:$A$5001,"&gt;="&amp;$C$7,BD!$A$3:$A$5001,"&lt;="&amp;$B282,BD!$T$3:$T$5001,"&lt;&gt;"))))</f>
        <v/>
      </c>
      <c r="D282" s="54" t="str">
        <f>IF(OR($B282="",$A282&gt;$B$9,D$268=""),"",IF(COUNTIFS(BD!$B$3:$B$5001,D$268,BD!$A$3:$A$5001,"&gt;="&amp;$C$7,BD!$A$3:$A$5001,"&lt;="&amp;$B282,BD!$T$3:$T$5001,"&lt;&gt;")=0,"",SUMIFS(BD!$T$3:$T$5001,BD!$B$3:$B$5001,D$268,BD!$A$3:$A$5001,_xlfn.MAXIFS(BD!$A$3:$A$5001,BD!$B$3:$B$5001,D$268,BD!$A$3:$A$5001,"&gt;="&amp;$C$7,BD!$A$3:$A$5001,"&lt;="&amp;$B282,BD!$T$3:$T$5001,"&lt;&gt;"))))</f>
        <v/>
      </c>
      <c r="E282" s="54" t="str">
        <f>IF(OR($B282="",$A282&gt;$B$9,E$268=""),"",IF(COUNTIFS(BD!$B$3:$B$5001,E$268,BD!$A$3:$A$5001,"&gt;="&amp;$C$7,BD!$A$3:$A$5001,"&lt;="&amp;$B282,BD!$T$3:$T$5001,"&lt;&gt;")=0,"",SUMIFS(BD!$T$3:$T$5001,BD!$B$3:$B$5001,E$268,BD!$A$3:$A$5001,_xlfn.MAXIFS(BD!$A$3:$A$5001,BD!$B$3:$B$5001,E$268,BD!$A$3:$A$5001,"&gt;="&amp;$C$7,BD!$A$3:$A$5001,"&lt;="&amp;$B282,BD!$T$3:$T$5001,"&lt;&gt;"))))</f>
        <v/>
      </c>
      <c r="F282" s="54" t="str">
        <f>IF(OR($B282="",$A282&gt;$B$9,F$268=""),"",IF(COUNTIFS(BD!$B$3:$B$5001,F$268,BD!$A$3:$A$5001,"&gt;="&amp;$C$7,BD!$A$3:$A$5001,"&lt;="&amp;$B282,BD!$T$3:$T$5001,"&lt;&gt;")=0,"",SUMIFS(BD!$T$3:$T$5001,BD!$B$3:$B$5001,F$268,BD!$A$3:$A$5001,_xlfn.MAXIFS(BD!$A$3:$A$5001,BD!$B$3:$B$5001,F$268,BD!$A$3:$A$5001,"&gt;="&amp;$C$7,BD!$A$3:$A$5001,"&lt;="&amp;$B282,BD!$T$3:$T$5001,"&lt;&gt;"))))</f>
        <v/>
      </c>
      <c r="G282" s="54" t="str">
        <f>IF(OR($B282="",$A282&gt;$B$9,G$268=""),"",IF(COUNTIFS(BD!$B$3:$B$5001,G$268,BD!$A$3:$A$5001,"&gt;="&amp;$C$7,BD!$A$3:$A$5001,"&lt;="&amp;$B282,BD!$T$3:$T$5001,"&lt;&gt;")=0,"",SUMIFS(BD!$T$3:$T$5001,BD!$B$3:$B$5001,G$268,BD!$A$3:$A$5001,_xlfn.MAXIFS(BD!$A$3:$A$5001,BD!$B$3:$B$5001,G$268,BD!$A$3:$A$5001,"&gt;="&amp;$C$7,BD!$A$3:$A$5001,"&lt;="&amp;$B282,BD!$T$3:$T$5001,"&lt;&gt;"))))</f>
        <v/>
      </c>
      <c r="H282" s="54" t="str">
        <f>IF(OR($B282="",$A282&gt;$B$9,H$268=""),"",IF(COUNTIFS(BD!$B$3:$B$5001,H$268,BD!$A$3:$A$5001,"&gt;="&amp;$C$7,BD!$A$3:$A$5001,"&lt;="&amp;$B282,BD!$T$3:$T$5001,"&lt;&gt;")=0,"",SUMIFS(BD!$T$3:$T$5001,BD!$B$3:$B$5001,H$268,BD!$A$3:$A$5001,_xlfn.MAXIFS(BD!$A$3:$A$5001,BD!$B$3:$B$5001,H$268,BD!$A$3:$A$5001,"&gt;="&amp;$C$7,BD!$A$3:$A$5001,"&lt;="&amp;$B282,BD!$T$3:$T$5001,"&lt;&gt;"))))</f>
        <v/>
      </c>
      <c r="I282" s="54" t="str">
        <f>IF(OR($B282="",$A282&gt;$B$9,I$268=""),"",IF(COUNTIFS(BD!$B$3:$B$5001,I$268,BD!$A$3:$A$5001,"&gt;="&amp;$C$7,BD!$A$3:$A$5001,"&lt;="&amp;$B282,BD!$T$3:$T$5001,"&lt;&gt;")=0,"",SUMIFS(BD!$T$3:$T$5001,BD!$B$3:$B$5001,I$268,BD!$A$3:$A$5001,_xlfn.MAXIFS(BD!$A$3:$A$5001,BD!$B$3:$B$5001,I$268,BD!$A$3:$A$5001,"&gt;="&amp;$C$7,BD!$A$3:$A$5001,"&lt;="&amp;$B282,BD!$T$3:$T$5001,"&lt;&gt;"))))</f>
        <v/>
      </c>
      <c r="J282" s="54" t="str">
        <f>IF(OR($B282="",$A282&gt;$B$9,J$268=""),"",IF(COUNTIFS(BD!$B$3:$B$5001,J$268,BD!$A$3:$A$5001,"&gt;="&amp;$C$7,BD!$A$3:$A$5001,"&lt;="&amp;$B282,BD!$T$3:$T$5001,"&lt;&gt;")=0,"",SUMIFS(BD!$T$3:$T$5001,BD!$B$3:$B$5001,J$268,BD!$A$3:$A$5001,_xlfn.MAXIFS(BD!$A$3:$A$5001,BD!$B$3:$B$5001,J$268,BD!$A$3:$A$5001,"&gt;="&amp;$C$7,BD!$A$3:$A$5001,"&lt;="&amp;$B282,BD!$T$3:$T$5001,"&lt;&gt;"))))</f>
        <v/>
      </c>
      <c r="K282" s="54" t="str">
        <f>IF(OR($B282="",$A282&gt;$B$9,K$268=""),"",IF(COUNTIFS(BD!$B$3:$B$5001,K$268,BD!$A$3:$A$5001,"&gt;="&amp;$C$7,BD!$A$3:$A$5001,"&lt;="&amp;$B282,BD!$T$3:$T$5001,"&lt;&gt;")=0,"",SUMIFS(BD!$T$3:$T$5001,BD!$B$3:$B$5001,K$268,BD!$A$3:$A$5001,_xlfn.MAXIFS(BD!$A$3:$A$5001,BD!$B$3:$B$5001,K$268,BD!$A$3:$A$5001,"&gt;="&amp;$C$7,BD!$A$3:$A$5001,"&lt;="&amp;$B282,BD!$T$3:$T$5001,"&lt;&gt;"))))</f>
        <v/>
      </c>
      <c r="L282" s="54" t="str">
        <f>IF(OR($B282="",$A282&gt;$B$9,L$268=""),"",IF(COUNTIFS(BD!$B$3:$B$5001,L$268,BD!$A$3:$A$5001,"&gt;="&amp;$C$7,BD!$A$3:$A$5001,"&lt;="&amp;$B282,BD!$T$3:$T$5001,"&lt;&gt;")=0,"",SUMIFS(BD!$T$3:$T$5001,BD!$B$3:$B$5001,L$268,BD!$A$3:$A$5001,_xlfn.MAXIFS(BD!$A$3:$A$5001,BD!$B$3:$B$5001,L$268,BD!$A$3:$A$5001,"&gt;="&amp;$C$7,BD!$A$3:$A$5001,"&lt;="&amp;$B282,BD!$T$3:$T$5001,"&lt;&gt;"))))</f>
        <v/>
      </c>
      <c r="M282" s="54" t="str">
        <f>IF(OR($B282="",$A282&gt;$B$9,M$268=""),"",IF(COUNTIFS(BD!$B$3:$B$5001,M$268,BD!$A$3:$A$5001,"&gt;="&amp;$C$7,BD!$A$3:$A$5001,"&lt;="&amp;$B282,BD!$T$3:$T$5001,"&lt;&gt;")=0,"",SUMIFS(BD!$T$3:$T$5001,BD!$B$3:$B$5001,M$268,BD!$A$3:$A$5001,_xlfn.MAXIFS(BD!$A$3:$A$5001,BD!$B$3:$B$5001,M$268,BD!$A$3:$A$5001,"&gt;="&amp;$C$7,BD!$A$3:$A$5001,"&lt;="&amp;$B282,BD!$T$3:$T$5001,"&lt;&gt;"))))</f>
        <v/>
      </c>
      <c r="N282" s="54" t="str">
        <f>IF(OR($B282="",$A282&gt;$B$9,N$268=""),"",IF(COUNTIFS(BD!$B$3:$B$5001,N$268,BD!$A$3:$A$5001,"&gt;="&amp;$C$7,BD!$A$3:$A$5001,"&lt;="&amp;$B282,BD!$T$3:$T$5001,"&lt;&gt;")=0,"",SUMIFS(BD!$T$3:$T$5001,BD!$B$3:$B$5001,N$268,BD!$A$3:$A$5001,_xlfn.MAXIFS(BD!$A$3:$A$5001,BD!$B$3:$B$5001,N$268,BD!$A$3:$A$5001,"&gt;="&amp;$C$7,BD!$A$3:$A$5001,"&lt;="&amp;$B282,BD!$T$3:$T$5001,"&lt;&gt;"))))</f>
        <v/>
      </c>
      <c r="O282" s="54" t="str">
        <f>IF(OR($B282="",$A282&gt;$B$9,O$268=""),"",IF(COUNTIFS(BD!$B$3:$B$5001,O$268,BD!$A$3:$A$5001,"&gt;="&amp;$C$7,BD!$A$3:$A$5001,"&lt;="&amp;$B282,BD!$T$3:$T$5001,"&lt;&gt;")=0,"",SUMIFS(BD!$T$3:$T$5001,BD!$B$3:$B$5001,O$268,BD!$A$3:$A$5001,_xlfn.MAXIFS(BD!$A$3:$A$5001,BD!$B$3:$B$5001,O$268,BD!$A$3:$A$5001,"&gt;="&amp;$C$7,BD!$A$3:$A$5001,"&lt;="&amp;$B282,BD!$T$3:$T$5001,"&lt;&gt;"))))</f>
        <v/>
      </c>
      <c r="P282" s="54" t="str">
        <f>IF(OR($B282="",$A282&gt;$B$9,P$268=""),"",IF(COUNTIFS(BD!$B$3:$B$5001,P$268,BD!$A$3:$A$5001,"&gt;="&amp;$C$7,BD!$A$3:$A$5001,"&lt;="&amp;$B282,BD!$T$3:$T$5001,"&lt;&gt;")=0,"",SUMIFS(BD!$T$3:$T$5001,BD!$B$3:$B$5001,P$268,BD!$A$3:$A$5001,_xlfn.MAXIFS(BD!$A$3:$A$5001,BD!$B$3:$B$5001,P$268,BD!$A$3:$A$5001,"&gt;="&amp;$C$7,BD!$A$3:$A$5001,"&lt;="&amp;$B282,BD!$T$3:$T$5001,"&lt;&gt;"))))</f>
        <v/>
      </c>
      <c r="Q282" s="54" t="str">
        <f>IF(OR($B282="",$A282&gt;$B$9,Q$268=""),"",IF(COUNTIFS(BD!$B$3:$B$5001,Q$268,BD!$A$3:$A$5001,"&gt;="&amp;$C$7,BD!$A$3:$A$5001,"&lt;="&amp;$B282,BD!$T$3:$T$5001,"&lt;&gt;")=0,"",SUMIFS(BD!$T$3:$T$5001,BD!$B$3:$B$5001,Q$268,BD!$A$3:$A$5001,_xlfn.MAXIFS(BD!$A$3:$A$5001,BD!$B$3:$B$5001,Q$268,BD!$A$3:$A$5001,"&gt;="&amp;$C$7,BD!$A$3:$A$5001,"&lt;="&amp;$B282,BD!$T$3:$T$5001,"&lt;&gt;"))))</f>
        <v/>
      </c>
      <c r="R282" s="54" t="str">
        <f>IF(OR($B282="",$A282&gt;$B$9,R$268=""),"",IF(COUNTIFS(BD!$B$3:$B$5001,R$268,BD!$A$3:$A$5001,"&gt;="&amp;$C$7,BD!$A$3:$A$5001,"&lt;="&amp;$B282,BD!$T$3:$T$5001,"&lt;&gt;")=0,"",SUMIFS(BD!$T$3:$T$5001,BD!$B$3:$B$5001,R$268,BD!$A$3:$A$5001,_xlfn.MAXIFS(BD!$A$3:$A$5001,BD!$B$3:$B$5001,R$268,BD!$A$3:$A$5001,"&gt;="&amp;$C$7,BD!$A$3:$A$5001,"&lt;="&amp;$B282,BD!$T$3:$T$5001,"&lt;&gt;"))))</f>
        <v/>
      </c>
      <c r="S282" s="54" t="str">
        <f>IF(OR($B282="",$A282&gt;$B$9,S$268=""),"",IF(COUNTIFS(BD!$B$3:$B$5001,S$268,BD!$A$3:$A$5001,"&gt;="&amp;$C$7,BD!$A$3:$A$5001,"&lt;="&amp;$B282,BD!$T$3:$T$5001,"&lt;&gt;")=0,"",SUMIFS(BD!$T$3:$T$5001,BD!$B$3:$B$5001,S$268,BD!$A$3:$A$5001,_xlfn.MAXIFS(BD!$A$3:$A$5001,BD!$B$3:$B$5001,S$268,BD!$A$3:$A$5001,"&gt;="&amp;$C$7,BD!$A$3:$A$5001,"&lt;="&amp;$B282,BD!$T$3:$T$5001,"&lt;&gt;"))))</f>
        <v/>
      </c>
      <c r="T282" s="54" t="str">
        <f>IF(OR($B282="",$A282&gt;$B$9,T$268=""),"",IF(COUNTIFS(BD!$B$3:$B$5001,T$268,BD!$A$3:$A$5001,"&gt;="&amp;$C$7,BD!$A$3:$A$5001,"&lt;="&amp;$B282,BD!$T$3:$T$5001,"&lt;&gt;")=0,"",SUMIFS(BD!$T$3:$T$5001,BD!$B$3:$B$5001,T$268,BD!$A$3:$A$5001,_xlfn.MAXIFS(BD!$A$3:$A$5001,BD!$B$3:$B$5001,T$268,BD!$A$3:$A$5001,"&gt;="&amp;$C$7,BD!$A$3:$A$5001,"&lt;="&amp;$B282,BD!$T$3:$T$5001,"&lt;&gt;"))))</f>
        <v/>
      </c>
      <c r="U282" s="54" t="str">
        <f>IF(OR($B282="",$A282&gt;$B$9,U$268=""),"",IF(COUNTIFS(BD!$B$3:$B$5001,U$268,BD!$A$3:$A$5001,"&gt;="&amp;$C$7,BD!$A$3:$A$5001,"&lt;="&amp;$B282,BD!$T$3:$T$5001,"&lt;&gt;")=0,"",SUMIFS(BD!$T$3:$T$5001,BD!$B$3:$B$5001,U$268,BD!$A$3:$A$5001,_xlfn.MAXIFS(BD!$A$3:$A$5001,BD!$B$3:$B$5001,U$268,BD!$A$3:$A$5001,"&gt;="&amp;$C$7,BD!$A$3:$A$5001,"&lt;="&amp;$B282,BD!$T$3:$T$5001,"&lt;&gt;"))))</f>
        <v/>
      </c>
      <c r="V282" s="54" t="str">
        <f>IF(OR($B282="",$A282&gt;$B$9,V$268=""),"",IF(COUNTIFS(BD!$B$3:$B$5001,V$268,BD!$A$3:$A$5001,"&gt;="&amp;$C$7,BD!$A$3:$A$5001,"&lt;="&amp;$B282,BD!$T$3:$T$5001,"&lt;&gt;")=0,"",SUMIFS(BD!$T$3:$T$5001,BD!$B$3:$B$5001,V$268,BD!$A$3:$A$5001,_xlfn.MAXIFS(BD!$A$3:$A$5001,BD!$B$3:$B$5001,V$268,BD!$A$3:$A$5001,"&gt;="&amp;$C$7,BD!$A$3:$A$5001,"&lt;="&amp;$B282,BD!$T$3:$T$5001,"&lt;&gt;"))))</f>
        <v/>
      </c>
    </row>
    <row r="283">
      <c r="A283" s="48">
        <v>15</v>
      </c>
      <c r="B283" s="53">
        <f>$B$26</f>
        <v>46310</v>
      </c>
      <c r="C283" s="54" t="str">
        <f>IF(OR($B283="",$A283&gt;$B$9,C$268=""),"",IF(COUNTIFS(BD!$B$3:$B$5001,C$268,BD!$A$3:$A$5001,"&gt;="&amp;$C$7,BD!$A$3:$A$5001,"&lt;="&amp;$B283,BD!$T$3:$T$5001,"&lt;&gt;")=0,"",SUMIFS(BD!$T$3:$T$5001,BD!$B$3:$B$5001,C$268,BD!$A$3:$A$5001,_xlfn.MAXIFS(BD!$A$3:$A$5001,BD!$B$3:$B$5001,C$268,BD!$A$3:$A$5001,"&gt;="&amp;$C$7,BD!$A$3:$A$5001,"&lt;="&amp;$B283,BD!$T$3:$T$5001,"&lt;&gt;"))))</f>
        <v/>
      </c>
      <c r="D283" s="54" t="str">
        <f>IF(OR($B283="",$A283&gt;$B$9,D$268=""),"",IF(COUNTIFS(BD!$B$3:$B$5001,D$268,BD!$A$3:$A$5001,"&gt;="&amp;$C$7,BD!$A$3:$A$5001,"&lt;="&amp;$B283,BD!$T$3:$T$5001,"&lt;&gt;")=0,"",SUMIFS(BD!$T$3:$T$5001,BD!$B$3:$B$5001,D$268,BD!$A$3:$A$5001,_xlfn.MAXIFS(BD!$A$3:$A$5001,BD!$B$3:$B$5001,D$268,BD!$A$3:$A$5001,"&gt;="&amp;$C$7,BD!$A$3:$A$5001,"&lt;="&amp;$B283,BD!$T$3:$T$5001,"&lt;&gt;"))))</f>
        <v/>
      </c>
      <c r="E283" s="54" t="str">
        <f>IF(OR($B283="",$A283&gt;$B$9,E$268=""),"",IF(COUNTIFS(BD!$B$3:$B$5001,E$268,BD!$A$3:$A$5001,"&gt;="&amp;$C$7,BD!$A$3:$A$5001,"&lt;="&amp;$B283,BD!$T$3:$T$5001,"&lt;&gt;")=0,"",SUMIFS(BD!$T$3:$T$5001,BD!$B$3:$B$5001,E$268,BD!$A$3:$A$5001,_xlfn.MAXIFS(BD!$A$3:$A$5001,BD!$B$3:$B$5001,E$268,BD!$A$3:$A$5001,"&gt;="&amp;$C$7,BD!$A$3:$A$5001,"&lt;="&amp;$B283,BD!$T$3:$T$5001,"&lt;&gt;"))))</f>
        <v/>
      </c>
      <c r="F283" s="54" t="str">
        <f>IF(OR($B283="",$A283&gt;$B$9,F$268=""),"",IF(COUNTIFS(BD!$B$3:$B$5001,F$268,BD!$A$3:$A$5001,"&gt;="&amp;$C$7,BD!$A$3:$A$5001,"&lt;="&amp;$B283,BD!$T$3:$T$5001,"&lt;&gt;")=0,"",SUMIFS(BD!$T$3:$T$5001,BD!$B$3:$B$5001,F$268,BD!$A$3:$A$5001,_xlfn.MAXIFS(BD!$A$3:$A$5001,BD!$B$3:$B$5001,F$268,BD!$A$3:$A$5001,"&gt;="&amp;$C$7,BD!$A$3:$A$5001,"&lt;="&amp;$B283,BD!$T$3:$T$5001,"&lt;&gt;"))))</f>
        <v/>
      </c>
      <c r="G283" s="54" t="str">
        <f>IF(OR($B283="",$A283&gt;$B$9,G$268=""),"",IF(COUNTIFS(BD!$B$3:$B$5001,G$268,BD!$A$3:$A$5001,"&gt;="&amp;$C$7,BD!$A$3:$A$5001,"&lt;="&amp;$B283,BD!$T$3:$T$5001,"&lt;&gt;")=0,"",SUMIFS(BD!$T$3:$T$5001,BD!$B$3:$B$5001,G$268,BD!$A$3:$A$5001,_xlfn.MAXIFS(BD!$A$3:$A$5001,BD!$B$3:$B$5001,G$268,BD!$A$3:$A$5001,"&gt;="&amp;$C$7,BD!$A$3:$A$5001,"&lt;="&amp;$B283,BD!$T$3:$T$5001,"&lt;&gt;"))))</f>
        <v/>
      </c>
      <c r="H283" s="54" t="str">
        <f>IF(OR($B283="",$A283&gt;$B$9,H$268=""),"",IF(COUNTIFS(BD!$B$3:$B$5001,H$268,BD!$A$3:$A$5001,"&gt;="&amp;$C$7,BD!$A$3:$A$5001,"&lt;="&amp;$B283,BD!$T$3:$T$5001,"&lt;&gt;")=0,"",SUMIFS(BD!$T$3:$T$5001,BD!$B$3:$B$5001,H$268,BD!$A$3:$A$5001,_xlfn.MAXIFS(BD!$A$3:$A$5001,BD!$B$3:$B$5001,H$268,BD!$A$3:$A$5001,"&gt;="&amp;$C$7,BD!$A$3:$A$5001,"&lt;="&amp;$B283,BD!$T$3:$T$5001,"&lt;&gt;"))))</f>
        <v/>
      </c>
      <c r="I283" s="54" t="str">
        <f>IF(OR($B283="",$A283&gt;$B$9,I$268=""),"",IF(COUNTIFS(BD!$B$3:$B$5001,I$268,BD!$A$3:$A$5001,"&gt;="&amp;$C$7,BD!$A$3:$A$5001,"&lt;="&amp;$B283,BD!$T$3:$T$5001,"&lt;&gt;")=0,"",SUMIFS(BD!$T$3:$T$5001,BD!$B$3:$B$5001,I$268,BD!$A$3:$A$5001,_xlfn.MAXIFS(BD!$A$3:$A$5001,BD!$B$3:$B$5001,I$268,BD!$A$3:$A$5001,"&gt;="&amp;$C$7,BD!$A$3:$A$5001,"&lt;="&amp;$B283,BD!$T$3:$T$5001,"&lt;&gt;"))))</f>
        <v/>
      </c>
      <c r="J283" s="54" t="str">
        <f>IF(OR($B283="",$A283&gt;$B$9,J$268=""),"",IF(COUNTIFS(BD!$B$3:$B$5001,J$268,BD!$A$3:$A$5001,"&gt;="&amp;$C$7,BD!$A$3:$A$5001,"&lt;="&amp;$B283,BD!$T$3:$T$5001,"&lt;&gt;")=0,"",SUMIFS(BD!$T$3:$T$5001,BD!$B$3:$B$5001,J$268,BD!$A$3:$A$5001,_xlfn.MAXIFS(BD!$A$3:$A$5001,BD!$B$3:$B$5001,J$268,BD!$A$3:$A$5001,"&gt;="&amp;$C$7,BD!$A$3:$A$5001,"&lt;="&amp;$B283,BD!$T$3:$T$5001,"&lt;&gt;"))))</f>
        <v/>
      </c>
      <c r="K283" s="54" t="str">
        <f>IF(OR($B283="",$A283&gt;$B$9,K$268=""),"",IF(COUNTIFS(BD!$B$3:$B$5001,K$268,BD!$A$3:$A$5001,"&gt;="&amp;$C$7,BD!$A$3:$A$5001,"&lt;="&amp;$B283,BD!$T$3:$T$5001,"&lt;&gt;")=0,"",SUMIFS(BD!$T$3:$T$5001,BD!$B$3:$B$5001,K$268,BD!$A$3:$A$5001,_xlfn.MAXIFS(BD!$A$3:$A$5001,BD!$B$3:$B$5001,K$268,BD!$A$3:$A$5001,"&gt;="&amp;$C$7,BD!$A$3:$A$5001,"&lt;="&amp;$B283,BD!$T$3:$T$5001,"&lt;&gt;"))))</f>
        <v/>
      </c>
      <c r="L283" s="54" t="str">
        <f>IF(OR($B283="",$A283&gt;$B$9,L$268=""),"",IF(COUNTIFS(BD!$B$3:$B$5001,L$268,BD!$A$3:$A$5001,"&gt;="&amp;$C$7,BD!$A$3:$A$5001,"&lt;="&amp;$B283,BD!$T$3:$T$5001,"&lt;&gt;")=0,"",SUMIFS(BD!$T$3:$T$5001,BD!$B$3:$B$5001,L$268,BD!$A$3:$A$5001,_xlfn.MAXIFS(BD!$A$3:$A$5001,BD!$B$3:$B$5001,L$268,BD!$A$3:$A$5001,"&gt;="&amp;$C$7,BD!$A$3:$A$5001,"&lt;="&amp;$B283,BD!$T$3:$T$5001,"&lt;&gt;"))))</f>
        <v/>
      </c>
      <c r="M283" s="54" t="str">
        <f>IF(OR($B283="",$A283&gt;$B$9,M$268=""),"",IF(COUNTIFS(BD!$B$3:$B$5001,M$268,BD!$A$3:$A$5001,"&gt;="&amp;$C$7,BD!$A$3:$A$5001,"&lt;="&amp;$B283,BD!$T$3:$T$5001,"&lt;&gt;")=0,"",SUMIFS(BD!$T$3:$T$5001,BD!$B$3:$B$5001,M$268,BD!$A$3:$A$5001,_xlfn.MAXIFS(BD!$A$3:$A$5001,BD!$B$3:$B$5001,M$268,BD!$A$3:$A$5001,"&gt;="&amp;$C$7,BD!$A$3:$A$5001,"&lt;="&amp;$B283,BD!$T$3:$T$5001,"&lt;&gt;"))))</f>
        <v/>
      </c>
      <c r="N283" s="54" t="str">
        <f>IF(OR($B283="",$A283&gt;$B$9,N$268=""),"",IF(COUNTIFS(BD!$B$3:$B$5001,N$268,BD!$A$3:$A$5001,"&gt;="&amp;$C$7,BD!$A$3:$A$5001,"&lt;="&amp;$B283,BD!$T$3:$T$5001,"&lt;&gt;")=0,"",SUMIFS(BD!$T$3:$T$5001,BD!$B$3:$B$5001,N$268,BD!$A$3:$A$5001,_xlfn.MAXIFS(BD!$A$3:$A$5001,BD!$B$3:$B$5001,N$268,BD!$A$3:$A$5001,"&gt;="&amp;$C$7,BD!$A$3:$A$5001,"&lt;="&amp;$B283,BD!$T$3:$T$5001,"&lt;&gt;"))))</f>
        <v/>
      </c>
      <c r="O283" s="54" t="str">
        <f>IF(OR($B283="",$A283&gt;$B$9,O$268=""),"",IF(COUNTIFS(BD!$B$3:$B$5001,O$268,BD!$A$3:$A$5001,"&gt;="&amp;$C$7,BD!$A$3:$A$5001,"&lt;="&amp;$B283,BD!$T$3:$T$5001,"&lt;&gt;")=0,"",SUMIFS(BD!$T$3:$T$5001,BD!$B$3:$B$5001,O$268,BD!$A$3:$A$5001,_xlfn.MAXIFS(BD!$A$3:$A$5001,BD!$B$3:$B$5001,O$268,BD!$A$3:$A$5001,"&gt;="&amp;$C$7,BD!$A$3:$A$5001,"&lt;="&amp;$B283,BD!$T$3:$T$5001,"&lt;&gt;"))))</f>
        <v/>
      </c>
      <c r="P283" s="54" t="str">
        <f>IF(OR($B283="",$A283&gt;$B$9,P$268=""),"",IF(COUNTIFS(BD!$B$3:$B$5001,P$268,BD!$A$3:$A$5001,"&gt;="&amp;$C$7,BD!$A$3:$A$5001,"&lt;="&amp;$B283,BD!$T$3:$T$5001,"&lt;&gt;")=0,"",SUMIFS(BD!$T$3:$T$5001,BD!$B$3:$B$5001,P$268,BD!$A$3:$A$5001,_xlfn.MAXIFS(BD!$A$3:$A$5001,BD!$B$3:$B$5001,P$268,BD!$A$3:$A$5001,"&gt;="&amp;$C$7,BD!$A$3:$A$5001,"&lt;="&amp;$B283,BD!$T$3:$T$5001,"&lt;&gt;"))))</f>
        <v/>
      </c>
      <c r="Q283" s="54" t="str">
        <f>IF(OR($B283="",$A283&gt;$B$9,Q$268=""),"",IF(COUNTIFS(BD!$B$3:$B$5001,Q$268,BD!$A$3:$A$5001,"&gt;="&amp;$C$7,BD!$A$3:$A$5001,"&lt;="&amp;$B283,BD!$T$3:$T$5001,"&lt;&gt;")=0,"",SUMIFS(BD!$T$3:$T$5001,BD!$B$3:$B$5001,Q$268,BD!$A$3:$A$5001,_xlfn.MAXIFS(BD!$A$3:$A$5001,BD!$B$3:$B$5001,Q$268,BD!$A$3:$A$5001,"&gt;="&amp;$C$7,BD!$A$3:$A$5001,"&lt;="&amp;$B283,BD!$T$3:$T$5001,"&lt;&gt;"))))</f>
        <v/>
      </c>
      <c r="R283" s="54" t="str">
        <f>IF(OR($B283="",$A283&gt;$B$9,R$268=""),"",IF(COUNTIFS(BD!$B$3:$B$5001,R$268,BD!$A$3:$A$5001,"&gt;="&amp;$C$7,BD!$A$3:$A$5001,"&lt;="&amp;$B283,BD!$T$3:$T$5001,"&lt;&gt;")=0,"",SUMIFS(BD!$T$3:$T$5001,BD!$B$3:$B$5001,R$268,BD!$A$3:$A$5001,_xlfn.MAXIFS(BD!$A$3:$A$5001,BD!$B$3:$B$5001,R$268,BD!$A$3:$A$5001,"&gt;="&amp;$C$7,BD!$A$3:$A$5001,"&lt;="&amp;$B283,BD!$T$3:$T$5001,"&lt;&gt;"))))</f>
        <v/>
      </c>
      <c r="S283" s="54" t="str">
        <f>IF(OR($B283="",$A283&gt;$B$9,S$268=""),"",IF(COUNTIFS(BD!$B$3:$B$5001,S$268,BD!$A$3:$A$5001,"&gt;="&amp;$C$7,BD!$A$3:$A$5001,"&lt;="&amp;$B283,BD!$T$3:$T$5001,"&lt;&gt;")=0,"",SUMIFS(BD!$T$3:$T$5001,BD!$B$3:$B$5001,S$268,BD!$A$3:$A$5001,_xlfn.MAXIFS(BD!$A$3:$A$5001,BD!$B$3:$B$5001,S$268,BD!$A$3:$A$5001,"&gt;="&amp;$C$7,BD!$A$3:$A$5001,"&lt;="&amp;$B283,BD!$T$3:$T$5001,"&lt;&gt;"))))</f>
        <v/>
      </c>
      <c r="T283" s="54" t="str">
        <f>IF(OR($B283="",$A283&gt;$B$9,T$268=""),"",IF(COUNTIFS(BD!$B$3:$B$5001,T$268,BD!$A$3:$A$5001,"&gt;="&amp;$C$7,BD!$A$3:$A$5001,"&lt;="&amp;$B283,BD!$T$3:$T$5001,"&lt;&gt;")=0,"",SUMIFS(BD!$T$3:$T$5001,BD!$B$3:$B$5001,T$268,BD!$A$3:$A$5001,_xlfn.MAXIFS(BD!$A$3:$A$5001,BD!$B$3:$B$5001,T$268,BD!$A$3:$A$5001,"&gt;="&amp;$C$7,BD!$A$3:$A$5001,"&lt;="&amp;$B283,BD!$T$3:$T$5001,"&lt;&gt;"))))</f>
        <v/>
      </c>
      <c r="U283" s="54" t="str">
        <f>IF(OR($B283="",$A283&gt;$B$9,U$268=""),"",IF(COUNTIFS(BD!$B$3:$B$5001,U$268,BD!$A$3:$A$5001,"&gt;="&amp;$C$7,BD!$A$3:$A$5001,"&lt;="&amp;$B283,BD!$T$3:$T$5001,"&lt;&gt;")=0,"",SUMIFS(BD!$T$3:$T$5001,BD!$B$3:$B$5001,U$268,BD!$A$3:$A$5001,_xlfn.MAXIFS(BD!$A$3:$A$5001,BD!$B$3:$B$5001,U$268,BD!$A$3:$A$5001,"&gt;="&amp;$C$7,BD!$A$3:$A$5001,"&lt;="&amp;$B283,BD!$T$3:$T$5001,"&lt;&gt;"))))</f>
        <v/>
      </c>
      <c r="V283" s="54" t="str">
        <f>IF(OR($B283="",$A283&gt;$B$9,V$268=""),"",IF(COUNTIFS(BD!$B$3:$B$5001,V$268,BD!$A$3:$A$5001,"&gt;="&amp;$C$7,BD!$A$3:$A$5001,"&lt;="&amp;$B283,BD!$T$3:$T$5001,"&lt;&gt;")=0,"",SUMIFS(BD!$T$3:$T$5001,BD!$B$3:$B$5001,V$268,BD!$A$3:$A$5001,_xlfn.MAXIFS(BD!$A$3:$A$5001,BD!$B$3:$B$5001,V$268,BD!$A$3:$A$5001,"&gt;="&amp;$C$7,BD!$A$3:$A$5001,"&lt;="&amp;$B283,BD!$T$3:$T$5001,"&lt;&gt;"))))</f>
        <v/>
      </c>
    </row>
    <row r="284">
      <c r="A284" s="48">
        <v>16</v>
      </c>
      <c r="B284" s="53">
        <f>$B$27</f>
        <v>46311</v>
      </c>
      <c r="C284" s="54" t="str">
        <f>IF(OR($B284="",$A284&gt;$B$9,C$268=""),"",IF(COUNTIFS(BD!$B$3:$B$5001,C$268,BD!$A$3:$A$5001,"&gt;="&amp;$C$7,BD!$A$3:$A$5001,"&lt;="&amp;$B284,BD!$T$3:$T$5001,"&lt;&gt;")=0,"",SUMIFS(BD!$T$3:$T$5001,BD!$B$3:$B$5001,C$268,BD!$A$3:$A$5001,_xlfn.MAXIFS(BD!$A$3:$A$5001,BD!$B$3:$B$5001,C$268,BD!$A$3:$A$5001,"&gt;="&amp;$C$7,BD!$A$3:$A$5001,"&lt;="&amp;$B284,BD!$T$3:$T$5001,"&lt;&gt;"))))</f>
        <v/>
      </c>
      <c r="D284" s="54" t="str">
        <f>IF(OR($B284="",$A284&gt;$B$9,D$268=""),"",IF(COUNTIFS(BD!$B$3:$B$5001,D$268,BD!$A$3:$A$5001,"&gt;="&amp;$C$7,BD!$A$3:$A$5001,"&lt;="&amp;$B284,BD!$T$3:$T$5001,"&lt;&gt;")=0,"",SUMIFS(BD!$T$3:$T$5001,BD!$B$3:$B$5001,D$268,BD!$A$3:$A$5001,_xlfn.MAXIFS(BD!$A$3:$A$5001,BD!$B$3:$B$5001,D$268,BD!$A$3:$A$5001,"&gt;="&amp;$C$7,BD!$A$3:$A$5001,"&lt;="&amp;$B284,BD!$T$3:$T$5001,"&lt;&gt;"))))</f>
        <v/>
      </c>
      <c r="E284" s="54" t="str">
        <f>IF(OR($B284="",$A284&gt;$B$9,E$268=""),"",IF(COUNTIFS(BD!$B$3:$B$5001,E$268,BD!$A$3:$A$5001,"&gt;="&amp;$C$7,BD!$A$3:$A$5001,"&lt;="&amp;$B284,BD!$T$3:$T$5001,"&lt;&gt;")=0,"",SUMIFS(BD!$T$3:$T$5001,BD!$B$3:$B$5001,E$268,BD!$A$3:$A$5001,_xlfn.MAXIFS(BD!$A$3:$A$5001,BD!$B$3:$B$5001,E$268,BD!$A$3:$A$5001,"&gt;="&amp;$C$7,BD!$A$3:$A$5001,"&lt;="&amp;$B284,BD!$T$3:$T$5001,"&lt;&gt;"))))</f>
        <v/>
      </c>
      <c r="F284" s="54" t="str">
        <f>IF(OR($B284="",$A284&gt;$B$9,F$268=""),"",IF(COUNTIFS(BD!$B$3:$B$5001,F$268,BD!$A$3:$A$5001,"&gt;="&amp;$C$7,BD!$A$3:$A$5001,"&lt;="&amp;$B284,BD!$T$3:$T$5001,"&lt;&gt;")=0,"",SUMIFS(BD!$T$3:$T$5001,BD!$B$3:$B$5001,F$268,BD!$A$3:$A$5001,_xlfn.MAXIFS(BD!$A$3:$A$5001,BD!$B$3:$B$5001,F$268,BD!$A$3:$A$5001,"&gt;="&amp;$C$7,BD!$A$3:$A$5001,"&lt;="&amp;$B284,BD!$T$3:$T$5001,"&lt;&gt;"))))</f>
        <v/>
      </c>
      <c r="G284" s="54" t="str">
        <f>IF(OR($B284="",$A284&gt;$B$9,G$268=""),"",IF(COUNTIFS(BD!$B$3:$B$5001,G$268,BD!$A$3:$A$5001,"&gt;="&amp;$C$7,BD!$A$3:$A$5001,"&lt;="&amp;$B284,BD!$T$3:$T$5001,"&lt;&gt;")=0,"",SUMIFS(BD!$T$3:$T$5001,BD!$B$3:$B$5001,G$268,BD!$A$3:$A$5001,_xlfn.MAXIFS(BD!$A$3:$A$5001,BD!$B$3:$B$5001,G$268,BD!$A$3:$A$5001,"&gt;="&amp;$C$7,BD!$A$3:$A$5001,"&lt;="&amp;$B284,BD!$T$3:$T$5001,"&lt;&gt;"))))</f>
        <v/>
      </c>
      <c r="H284" s="54" t="str">
        <f>IF(OR($B284="",$A284&gt;$B$9,H$268=""),"",IF(COUNTIFS(BD!$B$3:$B$5001,H$268,BD!$A$3:$A$5001,"&gt;="&amp;$C$7,BD!$A$3:$A$5001,"&lt;="&amp;$B284,BD!$T$3:$T$5001,"&lt;&gt;")=0,"",SUMIFS(BD!$T$3:$T$5001,BD!$B$3:$B$5001,H$268,BD!$A$3:$A$5001,_xlfn.MAXIFS(BD!$A$3:$A$5001,BD!$B$3:$B$5001,H$268,BD!$A$3:$A$5001,"&gt;="&amp;$C$7,BD!$A$3:$A$5001,"&lt;="&amp;$B284,BD!$T$3:$T$5001,"&lt;&gt;"))))</f>
        <v/>
      </c>
      <c r="I284" s="54" t="str">
        <f>IF(OR($B284="",$A284&gt;$B$9,I$268=""),"",IF(COUNTIFS(BD!$B$3:$B$5001,I$268,BD!$A$3:$A$5001,"&gt;="&amp;$C$7,BD!$A$3:$A$5001,"&lt;="&amp;$B284,BD!$T$3:$T$5001,"&lt;&gt;")=0,"",SUMIFS(BD!$T$3:$T$5001,BD!$B$3:$B$5001,I$268,BD!$A$3:$A$5001,_xlfn.MAXIFS(BD!$A$3:$A$5001,BD!$B$3:$B$5001,I$268,BD!$A$3:$A$5001,"&gt;="&amp;$C$7,BD!$A$3:$A$5001,"&lt;="&amp;$B284,BD!$T$3:$T$5001,"&lt;&gt;"))))</f>
        <v/>
      </c>
      <c r="J284" s="54" t="str">
        <f>IF(OR($B284="",$A284&gt;$B$9,J$268=""),"",IF(COUNTIFS(BD!$B$3:$B$5001,J$268,BD!$A$3:$A$5001,"&gt;="&amp;$C$7,BD!$A$3:$A$5001,"&lt;="&amp;$B284,BD!$T$3:$T$5001,"&lt;&gt;")=0,"",SUMIFS(BD!$T$3:$T$5001,BD!$B$3:$B$5001,J$268,BD!$A$3:$A$5001,_xlfn.MAXIFS(BD!$A$3:$A$5001,BD!$B$3:$B$5001,J$268,BD!$A$3:$A$5001,"&gt;="&amp;$C$7,BD!$A$3:$A$5001,"&lt;="&amp;$B284,BD!$T$3:$T$5001,"&lt;&gt;"))))</f>
        <v/>
      </c>
      <c r="K284" s="54" t="str">
        <f>IF(OR($B284="",$A284&gt;$B$9,K$268=""),"",IF(COUNTIFS(BD!$B$3:$B$5001,K$268,BD!$A$3:$A$5001,"&gt;="&amp;$C$7,BD!$A$3:$A$5001,"&lt;="&amp;$B284,BD!$T$3:$T$5001,"&lt;&gt;")=0,"",SUMIFS(BD!$T$3:$T$5001,BD!$B$3:$B$5001,K$268,BD!$A$3:$A$5001,_xlfn.MAXIFS(BD!$A$3:$A$5001,BD!$B$3:$B$5001,K$268,BD!$A$3:$A$5001,"&gt;="&amp;$C$7,BD!$A$3:$A$5001,"&lt;="&amp;$B284,BD!$T$3:$T$5001,"&lt;&gt;"))))</f>
        <v/>
      </c>
      <c r="L284" s="54" t="str">
        <f>IF(OR($B284="",$A284&gt;$B$9,L$268=""),"",IF(COUNTIFS(BD!$B$3:$B$5001,L$268,BD!$A$3:$A$5001,"&gt;="&amp;$C$7,BD!$A$3:$A$5001,"&lt;="&amp;$B284,BD!$T$3:$T$5001,"&lt;&gt;")=0,"",SUMIFS(BD!$T$3:$T$5001,BD!$B$3:$B$5001,L$268,BD!$A$3:$A$5001,_xlfn.MAXIFS(BD!$A$3:$A$5001,BD!$B$3:$B$5001,L$268,BD!$A$3:$A$5001,"&gt;="&amp;$C$7,BD!$A$3:$A$5001,"&lt;="&amp;$B284,BD!$T$3:$T$5001,"&lt;&gt;"))))</f>
        <v/>
      </c>
      <c r="M284" s="54" t="str">
        <f>IF(OR($B284="",$A284&gt;$B$9,M$268=""),"",IF(COUNTIFS(BD!$B$3:$B$5001,M$268,BD!$A$3:$A$5001,"&gt;="&amp;$C$7,BD!$A$3:$A$5001,"&lt;="&amp;$B284,BD!$T$3:$T$5001,"&lt;&gt;")=0,"",SUMIFS(BD!$T$3:$T$5001,BD!$B$3:$B$5001,M$268,BD!$A$3:$A$5001,_xlfn.MAXIFS(BD!$A$3:$A$5001,BD!$B$3:$B$5001,M$268,BD!$A$3:$A$5001,"&gt;="&amp;$C$7,BD!$A$3:$A$5001,"&lt;="&amp;$B284,BD!$T$3:$T$5001,"&lt;&gt;"))))</f>
        <v/>
      </c>
      <c r="N284" s="54" t="str">
        <f>IF(OR($B284="",$A284&gt;$B$9,N$268=""),"",IF(COUNTIFS(BD!$B$3:$B$5001,N$268,BD!$A$3:$A$5001,"&gt;="&amp;$C$7,BD!$A$3:$A$5001,"&lt;="&amp;$B284,BD!$T$3:$T$5001,"&lt;&gt;")=0,"",SUMIFS(BD!$T$3:$T$5001,BD!$B$3:$B$5001,N$268,BD!$A$3:$A$5001,_xlfn.MAXIFS(BD!$A$3:$A$5001,BD!$B$3:$B$5001,N$268,BD!$A$3:$A$5001,"&gt;="&amp;$C$7,BD!$A$3:$A$5001,"&lt;="&amp;$B284,BD!$T$3:$T$5001,"&lt;&gt;"))))</f>
        <v/>
      </c>
      <c r="O284" s="54" t="str">
        <f>IF(OR($B284="",$A284&gt;$B$9,O$268=""),"",IF(COUNTIFS(BD!$B$3:$B$5001,O$268,BD!$A$3:$A$5001,"&gt;="&amp;$C$7,BD!$A$3:$A$5001,"&lt;="&amp;$B284,BD!$T$3:$T$5001,"&lt;&gt;")=0,"",SUMIFS(BD!$T$3:$T$5001,BD!$B$3:$B$5001,O$268,BD!$A$3:$A$5001,_xlfn.MAXIFS(BD!$A$3:$A$5001,BD!$B$3:$B$5001,O$268,BD!$A$3:$A$5001,"&gt;="&amp;$C$7,BD!$A$3:$A$5001,"&lt;="&amp;$B284,BD!$T$3:$T$5001,"&lt;&gt;"))))</f>
        <v/>
      </c>
      <c r="P284" s="54" t="str">
        <f>IF(OR($B284="",$A284&gt;$B$9,P$268=""),"",IF(COUNTIFS(BD!$B$3:$B$5001,P$268,BD!$A$3:$A$5001,"&gt;="&amp;$C$7,BD!$A$3:$A$5001,"&lt;="&amp;$B284,BD!$T$3:$T$5001,"&lt;&gt;")=0,"",SUMIFS(BD!$T$3:$T$5001,BD!$B$3:$B$5001,P$268,BD!$A$3:$A$5001,_xlfn.MAXIFS(BD!$A$3:$A$5001,BD!$B$3:$B$5001,P$268,BD!$A$3:$A$5001,"&gt;="&amp;$C$7,BD!$A$3:$A$5001,"&lt;="&amp;$B284,BD!$T$3:$T$5001,"&lt;&gt;"))))</f>
        <v/>
      </c>
      <c r="Q284" s="54" t="str">
        <f>IF(OR($B284="",$A284&gt;$B$9,Q$268=""),"",IF(COUNTIFS(BD!$B$3:$B$5001,Q$268,BD!$A$3:$A$5001,"&gt;="&amp;$C$7,BD!$A$3:$A$5001,"&lt;="&amp;$B284,BD!$T$3:$T$5001,"&lt;&gt;")=0,"",SUMIFS(BD!$T$3:$T$5001,BD!$B$3:$B$5001,Q$268,BD!$A$3:$A$5001,_xlfn.MAXIFS(BD!$A$3:$A$5001,BD!$B$3:$B$5001,Q$268,BD!$A$3:$A$5001,"&gt;="&amp;$C$7,BD!$A$3:$A$5001,"&lt;="&amp;$B284,BD!$T$3:$T$5001,"&lt;&gt;"))))</f>
        <v/>
      </c>
      <c r="R284" s="54" t="str">
        <f>IF(OR($B284="",$A284&gt;$B$9,R$268=""),"",IF(COUNTIFS(BD!$B$3:$B$5001,R$268,BD!$A$3:$A$5001,"&gt;="&amp;$C$7,BD!$A$3:$A$5001,"&lt;="&amp;$B284,BD!$T$3:$T$5001,"&lt;&gt;")=0,"",SUMIFS(BD!$T$3:$T$5001,BD!$B$3:$B$5001,R$268,BD!$A$3:$A$5001,_xlfn.MAXIFS(BD!$A$3:$A$5001,BD!$B$3:$B$5001,R$268,BD!$A$3:$A$5001,"&gt;="&amp;$C$7,BD!$A$3:$A$5001,"&lt;="&amp;$B284,BD!$T$3:$T$5001,"&lt;&gt;"))))</f>
        <v/>
      </c>
      <c r="S284" s="54" t="str">
        <f>IF(OR($B284="",$A284&gt;$B$9,S$268=""),"",IF(COUNTIFS(BD!$B$3:$B$5001,S$268,BD!$A$3:$A$5001,"&gt;="&amp;$C$7,BD!$A$3:$A$5001,"&lt;="&amp;$B284,BD!$T$3:$T$5001,"&lt;&gt;")=0,"",SUMIFS(BD!$T$3:$T$5001,BD!$B$3:$B$5001,S$268,BD!$A$3:$A$5001,_xlfn.MAXIFS(BD!$A$3:$A$5001,BD!$B$3:$B$5001,S$268,BD!$A$3:$A$5001,"&gt;="&amp;$C$7,BD!$A$3:$A$5001,"&lt;="&amp;$B284,BD!$T$3:$T$5001,"&lt;&gt;"))))</f>
        <v/>
      </c>
      <c r="T284" s="54" t="str">
        <f>IF(OR($B284="",$A284&gt;$B$9,T$268=""),"",IF(COUNTIFS(BD!$B$3:$B$5001,T$268,BD!$A$3:$A$5001,"&gt;="&amp;$C$7,BD!$A$3:$A$5001,"&lt;="&amp;$B284,BD!$T$3:$T$5001,"&lt;&gt;")=0,"",SUMIFS(BD!$T$3:$T$5001,BD!$B$3:$B$5001,T$268,BD!$A$3:$A$5001,_xlfn.MAXIFS(BD!$A$3:$A$5001,BD!$B$3:$B$5001,T$268,BD!$A$3:$A$5001,"&gt;="&amp;$C$7,BD!$A$3:$A$5001,"&lt;="&amp;$B284,BD!$T$3:$T$5001,"&lt;&gt;"))))</f>
        <v/>
      </c>
      <c r="U284" s="54" t="str">
        <f>IF(OR($B284="",$A284&gt;$B$9,U$268=""),"",IF(COUNTIFS(BD!$B$3:$B$5001,U$268,BD!$A$3:$A$5001,"&gt;="&amp;$C$7,BD!$A$3:$A$5001,"&lt;="&amp;$B284,BD!$T$3:$T$5001,"&lt;&gt;")=0,"",SUMIFS(BD!$T$3:$T$5001,BD!$B$3:$B$5001,U$268,BD!$A$3:$A$5001,_xlfn.MAXIFS(BD!$A$3:$A$5001,BD!$B$3:$B$5001,U$268,BD!$A$3:$A$5001,"&gt;="&amp;$C$7,BD!$A$3:$A$5001,"&lt;="&amp;$B284,BD!$T$3:$T$5001,"&lt;&gt;"))))</f>
        <v/>
      </c>
      <c r="V284" s="54" t="str">
        <f>IF(OR($B284="",$A284&gt;$B$9,V$268=""),"",IF(COUNTIFS(BD!$B$3:$B$5001,V$268,BD!$A$3:$A$5001,"&gt;="&amp;$C$7,BD!$A$3:$A$5001,"&lt;="&amp;$B284,BD!$T$3:$T$5001,"&lt;&gt;")=0,"",SUMIFS(BD!$T$3:$T$5001,BD!$B$3:$B$5001,V$268,BD!$A$3:$A$5001,_xlfn.MAXIFS(BD!$A$3:$A$5001,BD!$B$3:$B$5001,V$268,BD!$A$3:$A$5001,"&gt;="&amp;$C$7,BD!$A$3:$A$5001,"&lt;="&amp;$B284,BD!$T$3:$T$5001,"&lt;&gt;"))))</f>
        <v/>
      </c>
    </row>
    <row r="285">
      <c r="A285" s="48">
        <v>17</v>
      </c>
      <c r="B285" s="53">
        <f>$B$28</f>
        <v>46312</v>
      </c>
      <c r="C285" s="54" t="str">
        <f>IF(OR($B285="",$A285&gt;$B$9,C$268=""),"",IF(COUNTIFS(BD!$B$3:$B$5001,C$268,BD!$A$3:$A$5001,"&gt;="&amp;$C$7,BD!$A$3:$A$5001,"&lt;="&amp;$B285,BD!$T$3:$T$5001,"&lt;&gt;")=0,"",SUMIFS(BD!$T$3:$T$5001,BD!$B$3:$B$5001,C$268,BD!$A$3:$A$5001,_xlfn.MAXIFS(BD!$A$3:$A$5001,BD!$B$3:$B$5001,C$268,BD!$A$3:$A$5001,"&gt;="&amp;$C$7,BD!$A$3:$A$5001,"&lt;="&amp;$B285,BD!$T$3:$T$5001,"&lt;&gt;"))))</f>
        <v/>
      </c>
      <c r="D285" s="54" t="str">
        <f>IF(OR($B285="",$A285&gt;$B$9,D$268=""),"",IF(COUNTIFS(BD!$B$3:$B$5001,D$268,BD!$A$3:$A$5001,"&gt;="&amp;$C$7,BD!$A$3:$A$5001,"&lt;="&amp;$B285,BD!$T$3:$T$5001,"&lt;&gt;")=0,"",SUMIFS(BD!$T$3:$T$5001,BD!$B$3:$B$5001,D$268,BD!$A$3:$A$5001,_xlfn.MAXIFS(BD!$A$3:$A$5001,BD!$B$3:$B$5001,D$268,BD!$A$3:$A$5001,"&gt;="&amp;$C$7,BD!$A$3:$A$5001,"&lt;="&amp;$B285,BD!$T$3:$T$5001,"&lt;&gt;"))))</f>
        <v/>
      </c>
      <c r="E285" s="54" t="str">
        <f>IF(OR($B285="",$A285&gt;$B$9,E$268=""),"",IF(COUNTIFS(BD!$B$3:$B$5001,E$268,BD!$A$3:$A$5001,"&gt;="&amp;$C$7,BD!$A$3:$A$5001,"&lt;="&amp;$B285,BD!$T$3:$T$5001,"&lt;&gt;")=0,"",SUMIFS(BD!$T$3:$T$5001,BD!$B$3:$B$5001,E$268,BD!$A$3:$A$5001,_xlfn.MAXIFS(BD!$A$3:$A$5001,BD!$B$3:$B$5001,E$268,BD!$A$3:$A$5001,"&gt;="&amp;$C$7,BD!$A$3:$A$5001,"&lt;="&amp;$B285,BD!$T$3:$T$5001,"&lt;&gt;"))))</f>
        <v/>
      </c>
      <c r="F285" s="54" t="str">
        <f>IF(OR($B285="",$A285&gt;$B$9,F$268=""),"",IF(COUNTIFS(BD!$B$3:$B$5001,F$268,BD!$A$3:$A$5001,"&gt;="&amp;$C$7,BD!$A$3:$A$5001,"&lt;="&amp;$B285,BD!$T$3:$T$5001,"&lt;&gt;")=0,"",SUMIFS(BD!$T$3:$T$5001,BD!$B$3:$B$5001,F$268,BD!$A$3:$A$5001,_xlfn.MAXIFS(BD!$A$3:$A$5001,BD!$B$3:$B$5001,F$268,BD!$A$3:$A$5001,"&gt;="&amp;$C$7,BD!$A$3:$A$5001,"&lt;="&amp;$B285,BD!$T$3:$T$5001,"&lt;&gt;"))))</f>
        <v/>
      </c>
      <c r="G285" s="54" t="str">
        <f>IF(OR($B285="",$A285&gt;$B$9,G$268=""),"",IF(COUNTIFS(BD!$B$3:$B$5001,G$268,BD!$A$3:$A$5001,"&gt;="&amp;$C$7,BD!$A$3:$A$5001,"&lt;="&amp;$B285,BD!$T$3:$T$5001,"&lt;&gt;")=0,"",SUMIFS(BD!$T$3:$T$5001,BD!$B$3:$B$5001,G$268,BD!$A$3:$A$5001,_xlfn.MAXIFS(BD!$A$3:$A$5001,BD!$B$3:$B$5001,G$268,BD!$A$3:$A$5001,"&gt;="&amp;$C$7,BD!$A$3:$A$5001,"&lt;="&amp;$B285,BD!$T$3:$T$5001,"&lt;&gt;"))))</f>
        <v/>
      </c>
      <c r="H285" s="54" t="str">
        <f>IF(OR($B285="",$A285&gt;$B$9,H$268=""),"",IF(COUNTIFS(BD!$B$3:$B$5001,H$268,BD!$A$3:$A$5001,"&gt;="&amp;$C$7,BD!$A$3:$A$5001,"&lt;="&amp;$B285,BD!$T$3:$T$5001,"&lt;&gt;")=0,"",SUMIFS(BD!$T$3:$T$5001,BD!$B$3:$B$5001,H$268,BD!$A$3:$A$5001,_xlfn.MAXIFS(BD!$A$3:$A$5001,BD!$B$3:$B$5001,H$268,BD!$A$3:$A$5001,"&gt;="&amp;$C$7,BD!$A$3:$A$5001,"&lt;="&amp;$B285,BD!$T$3:$T$5001,"&lt;&gt;"))))</f>
        <v/>
      </c>
      <c r="I285" s="54" t="str">
        <f>IF(OR($B285="",$A285&gt;$B$9,I$268=""),"",IF(COUNTIFS(BD!$B$3:$B$5001,I$268,BD!$A$3:$A$5001,"&gt;="&amp;$C$7,BD!$A$3:$A$5001,"&lt;="&amp;$B285,BD!$T$3:$T$5001,"&lt;&gt;")=0,"",SUMIFS(BD!$T$3:$T$5001,BD!$B$3:$B$5001,I$268,BD!$A$3:$A$5001,_xlfn.MAXIFS(BD!$A$3:$A$5001,BD!$B$3:$B$5001,I$268,BD!$A$3:$A$5001,"&gt;="&amp;$C$7,BD!$A$3:$A$5001,"&lt;="&amp;$B285,BD!$T$3:$T$5001,"&lt;&gt;"))))</f>
        <v/>
      </c>
      <c r="J285" s="54" t="str">
        <f>IF(OR($B285="",$A285&gt;$B$9,J$268=""),"",IF(COUNTIFS(BD!$B$3:$B$5001,J$268,BD!$A$3:$A$5001,"&gt;="&amp;$C$7,BD!$A$3:$A$5001,"&lt;="&amp;$B285,BD!$T$3:$T$5001,"&lt;&gt;")=0,"",SUMIFS(BD!$T$3:$T$5001,BD!$B$3:$B$5001,J$268,BD!$A$3:$A$5001,_xlfn.MAXIFS(BD!$A$3:$A$5001,BD!$B$3:$B$5001,J$268,BD!$A$3:$A$5001,"&gt;="&amp;$C$7,BD!$A$3:$A$5001,"&lt;="&amp;$B285,BD!$T$3:$T$5001,"&lt;&gt;"))))</f>
        <v/>
      </c>
      <c r="K285" s="54" t="str">
        <f>IF(OR($B285="",$A285&gt;$B$9,K$268=""),"",IF(COUNTIFS(BD!$B$3:$B$5001,K$268,BD!$A$3:$A$5001,"&gt;="&amp;$C$7,BD!$A$3:$A$5001,"&lt;="&amp;$B285,BD!$T$3:$T$5001,"&lt;&gt;")=0,"",SUMIFS(BD!$T$3:$T$5001,BD!$B$3:$B$5001,K$268,BD!$A$3:$A$5001,_xlfn.MAXIFS(BD!$A$3:$A$5001,BD!$B$3:$B$5001,K$268,BD!$A$3:$A$5001,"&gt;="&amp;$C$7,BD!$A$3:$A$5001,"&lt;="&amp;$B285,BD!$T$3:$T$5001,"&lt;&gt;"))))</f>
        <v/>
      </c>
      <c r="L285" s="54" t="str">
        <f>IF(OR($B285="",$A285&gt;$B$9,L$268=""),"",IF(COUNTIFS(BD!$B$3:$B$5001,L$268,BD!$A$3:$A$5001,"&gt;="&amp;$C$7,BD!$A$3:$A$5001,"&lt;="&amp;$B285,BD!$T$3:$T$5001,"&lt;&gt;")=0,"",SUMIFS(BD!$T$3:$T$5001,BD!$B$3:$B$5001,L$268,BD!$A$3:$A$5001,_xlfn.MAXIFS(BD!$A$3:$A$5001,BD!$B$3:$B$5001,L$268,BD!$A$3:$A$5001,"&gt;="&amp;$C$7,BD!$A$3:$A$5001,"&lt;="&amp;$B285,BD!$T$3:$T$5001,"&lt;&gt;"))))</f>
        <v/>
      </c>
      <c r="M285" s="54" t="str">
        <f>IF(OR($B285="",$A285&gt;$B$9,M$268=""),"",IF(COUNTIFS(BD!$B$3:$B$5001,M$268,BD!$A$3:$A$5001,"&gt;="&amp;$C$7,BD!$A$3:$A$5001,"&lt;="&amp;$B285,BD!$T$3:$T$5001,"&lt;&gt;")=0,"",SUMIFS(BD!$T$3:$T$5001,BD!$B$3:$B$5001,M$268,BD!$A$3:$A$5001,_xlfn.MAXIFS(BD!$A$3:$A$5001,BD!$B$3:$B$5001,M$268,BD!$A$3:$A$5001,"&gt;="&amp;$C$7,BD!$A$3:$A$5001,"&lt;="&amp;$B285,BD!$T$3:$T$5001,"&lt;&gt;"))))</f>
        <v/>
      </c>
      <c r="N285" s="54" t="str">
        <f>IF(OR($B285="",$A285&gt;$B$9,N$268=""),"",IF(COUNTIFS(BD!$B$3:$B$5001,N$268,BD!$A$3:$A$5001,"&gt;="&amp;$C$7,BD!$A$3:$A$5001,"&lt;="&amp;$B285,BD!$T$3:$T$5001,"&lt;&gt;")=0,"",SUMIFS(BD!$T$3:$T$5001,BD!$B$3:$B$5001,N$268,BD!$A$3:$A$5001,_xlfn.MAXIFS(BD!$A$3:$A$5001,BD!$B$3:$B$5001,N$268,BD!$A$3:$A$5001,"&gt;="&amp;$C$7,BD!$A$3:$A$5001,"&lt;="&amp;$B285,BD!$T$3:$T$5001,"&lt;&gt;"))))</f>
        <v/>
      </c>
      <c r="O285" s="54" t="str">
        <f>IF(OR($B285="",$A285&gt;$B$9,O$268=""),"",IF(COUNTIFS(BD!$B$3:$B$5001,O$268,BD!$A$3:$A$5001,"&gt;="&amp;$C$7,BD!$A$3:$A$5001,"&lt;="&amp;$B285,BD!$T$3:$T$5001,"&lt;&gt;")=0,"",SUMIFS(BD!$T$3:$T$5001,BD!$B$3:$B$5001,O$268,BD!$A$3:$A$5001,_xlfn.MAXIFS(BD!$A$3:$A$5001,BD!$B$3:$B$5001,O$268,BD!$A$3:$A$5001,"&gt;="&amp;$C$7,BD!$A$3:$A$5001,"&lt;="&amp;$B285,BD!$T$3:$T$5001,"&lt;&gt;"))))</f>
        <v/>
      </c>
      <c r="P285" s="54" t="str">
        <f>IF(OR($B285="",$A285&gt;$B$9,P$268=""),"",IF(COUNTIFS(BD!$B$3:$B$5001,P$268,BD!$A$3:$A$5001,"&gt;="&amp;$C$7,BD!$A$3:$A$5001,"&lt;="&amp;$B285,BD!$T$3:$T$5001,"&lt;&gt;")=0,"",SUMIFS(BD!$T$3:$T$5001,BD!$B$3:$B$5001,P$268,BD!$A$3:$A$5001,_xlfn.MAXIFS(BD!$A$3:$A$5001,BD!$B$3:$B$5001,P$268,BD!$A$3:$A$5001,"&gt;="&amp;$C$7,BD!$A$3:$A$5001,"&lt;="&amp;$B285,BD!$T$3:$T$5001,"&lt;&gt;"))))</f>
        <v/>
      </c>
      <c r="Q285" s="54" t="str">
        <f>IF(OR($B285="",$A285&gt;$B$9,Q$268=""),"",IF(COUNTIFS(BD!$B$3:$B$5001,Q$268,BD!$A$3:$A$5001,"&gt;="&amp;$C$7,BD!$A$3:$A$5001,"&lt;="&amp;$B285,BD!$T$3:$T$5001,"&lt;&gt;")=0,"",SUMIFS(BD!$T$3:$T$5001,BD!$B$3:$B$5001,Q$268,BD!$A$3:$A$5001,_xlfn.MAXIFS(BD!$A$3:$A$5001,BD!$B$3:$B$5001,Q$268,BD!$A$3:$A$5001,"&gt;="&amp;$C$7,BD!$A$3:$A$5001,"&lt;="&amp;$B285,BD!$T$3:$T$5001,"&lt;&gt;"))))</f>
        <v/>
      </c>
      <c r="R285" s="54" t="str">
        <f>IF(OR($B285="",$A285&gt;$B$9,R$268=""),"",IF(COUNTIFS(BD!$B$3:$B$5001,R$268,BD!$A$3:$A$5001,"&gt;="&amp;$C$7,BD!$A$3:$A$5001,"&lt;="&amp;$B285,BD!$T$3:$T$5001,"&lt;&gt;")=0,"",SUMIFS(BD!$T$3:$T$5001,BD!$B$3:$B$5001,R$268,BD!$A$3:$A$5001,_xlfn.MAXIFS(BD!$A$3:$A$5001,BD!$B$3:$B$5001,R$268,BD!$A$3:$A$5001,"&gt;="&amp;$C$7,BD!$A$3:$A$5001,"&lt;="&amp;$B285,BD!$T$3:$T$5001,"&lt;&gt;"))))</f>
        <v/>
      </c>
      <c r="S285" s="54" t="str">
        <f>IF(OR($B285="",$A285&gt;$B$9,S$268=""),"",IF(COUNTIFS(BD!$B$3:$B$5001,S$268,BD!$A$3:$A$5001,"&gt;="&amp;$C$7,BD!$A$3:$A$5001,"&lt;="&amp;$B285,BD!$T$3:$T$5001,"&lt;&gt;")=0,"",SUMIFS(BD!$T$3:$T$5001,BD!$B$3:$B$5001,S$268,BD!$A$3:$A$5001,_xlfn.MAXIFS(BD!$A$3:$A$5001,BD!$B$3:$B$5001,S$268,BD!$A$3:$A$5001,"&gt;="&amp;$C$7,BD!$A$3:$A$5001,"&lt;="&amp;$B285,BD!$T$3:$T$5001,"&lt;&gt;"))))</f>
        <v/>
      </c>
      <c r="T285" s="54" t="str">
        <f>IF(OR($B285="",$A285&gt;$B$9,T$268=""),"",IF(COUNTIFS(BD!$B$3:$B$5001,T$268,BD!$A$3:$A$5001,"&gt;="&amp;$C$7,BD!$A$3:$A$5001,"&lt;="&amp;$B285,BD!$T$3:$T$5001,"&lt;&gt;")=0,"",SUMIFS(BD!$T$3:$T$5001,BD!$B$3:$B$5001,T$268,BD!$A$3:$A$5001,_xlfn.MAXIFS(BD!$A$3:$A$5001,BD!$B$3:$B$5001,T$268,BD!$A$3:$A$5001,"&gt;="&amp;$C$7,BD!$A$3:$A$5001,"&lt;="&amp;$B285,BD!$T$3:$T$5001,"&lt;&gt;"))))</f>
        <v/>
      </c>
      <c r="U285" s="54" t="str">
        <f>IF(OR($B285="",$A285&gt;$B$9,U$268=""),"",IF(COUNTIFS(BD!$B$3:$B$5001,U$268,BD!$A$3:$A$5001,"&gt;="&amp;$C$7,BD!$A$3:$A$5001,"&lt;="&amp;$B285,BD!$T$3:$T$5001,"&lt;&gt;")=0,"",SUMIFS(BD!$T$3:$T$5001,BD!$B$3:$B$5001,U$268,BD!$A$3:$A$5001,_xlfn.MAXIFS(BD!$A$3:$A$5001,BD!$B$3:$B$5001,U$268,BD!$A$3:$A$5001,"&gt;="&amp;$C$7,BD!$A$3:$A$5001,"&lt;="&amp;$B285,BD!$T$3:$T$5001,"&lt;&gt;"))))</f>
        <v/>
      </c>
      <c r="V285" s="54" t="str">
        <f>IF(OR($B285="",$A285&gt;$B$9,V$268=""),"",IF(COUNTIFS(BD!$B$3:$B$5001,V$268,BD!$A$3:$A$5001,"&gt;="&amp;$C$7,BD!$A$3:$A$5001,"&lt;="&amp;$B285,BD!$T$3:$T$5001,"&lt;&gt;")=0,"",SUMIFS(BD!$T$3:$T$5001,BD!$B$3:$B$5001,V$268,BD!$A$3:$A$5001,_xlfn.MAXIFS(BD!$A$3:$A$5001,BD!$B$3:$B$5001,V$268,BD!$A$3:$A$5001,"&gt;="&amp;$C$7,BD!$A$3:$A$5001,"&lt;="&amp;$B285,BD!$T$3:$T$5001,"&lt;&gt;"))))</f>
        <v/>
      </c>
    </row>
    <row r="286">
      <c r="A286" s="48">
        <v>18</v>
      </c>
      <c r="B286" s="53">
        <f>$B$29</f>
        <v>46313</v>
      </c>
      <c r="C286" s="54" t="str">
        <f>IF(OR($B286="",$A286&gt;$B$9,C$268=""),"",IF(COUNTIFS(BD!$B$3:$B$5001,C$268,BD!$A$3:$A$5001,"&gt;="&amp;$C$7,BD!$A$3:$A$5001,"&lt;="&amp;$B286,BD!$T$3:$T$5001,"&lt;&gt;")=0,"",SUMIFS(BD!$T$3:$T$5001,BD!$B$3:$B$5001,C$268,BD!$A$3:$A$5001,_xlfn.MAXIFS(BD!$A$3:$A$5001,BD!$B$3:$B$5001,C$268,BD!$A$3:$A$5001,"&gt;="&amp;$C$7,BD!$A$3:$A$5001,"&lt;="&amp;$B286,BD!$T$3:$T$5001,"&lt;&gt;"))))</f>
        <v/>
      </c>
      <c r="D286" s="54" t="str">
        <f>IF(OR($B286="",$A286&gt;$B$9,D$268=""),"",IF(COUNTIFS(BD!$B$3:$B$5001,D$268,BD!$A$3:$A$5001,"&gt;="&amp;$C$7,BD!$A$3:$A$5001,"&lt;="&amp;$B286,BD!$T$3:$T$5001,"&lt;&gt;")=0,"",SUMIFS(BD!$T$3:$T$5001,BD!$B$3:$B$5001,D$268,BD!$A$3:$A$5001,_xlfn.MAXIFS(BD!$A$3:$A$5001,BD!$B$3:$B$5001,D$268,BD!$A$3:$A$5001,"&gt;="&amp;$C$7,BD!$A$3:$A$5001,"&lt;="&amp;$B286,BD!$T$3:$T$5001,"&lt;&gt;"))))</f>
        <v/>
      </c>
      <c r="E286" s="54" t="str">
        <f>IF(OR($B286="",$A286&gt;$B$9,E$268=""),"",IF(COUNTIFS(BD!$B$3:$B$5001,E$268,BD!$A$3:$A$5001,"&gt;="&amp;$C$7,BD!$A$3:$A$5001,"&lt;="&amp;$B286,BD!$T$3:$T$5001,"&lt;&gt;")=0,"",SUMIFS(BD!$T$3:$T$5001,BD!$B$3:$B$5001,E$268,BD!$A$3:$A$5001,_xlfn.MAXIFS(BD!$A$3:$A$5001,BD!$B$3:$B$5001,E$268,BD!$A$3:$A$5001,"&gt;="&amp;$C$7,BD!$A$3:$A$5001,"&lt;="&amp;$B286,BD!$T$3:$T$5001,"&lt;&gt;"))))</f>
        <v/>
      </c>
      <c r="F286" s="54" t="str">
        <f>IF(OR($B286="",$A286&gt;$B$9,F$268=""),"",IF(COUNTIFS(BD!$B$3:$B$5001,F$268,BD!$A$3:$A$5001,"&gt;="&amp;$C$7,BD!$A$3:$A$5001,"&lt;="&amp;$B286,BD!$T$3:$T$5001,"&lt;&gt;")=0,"",SUMIFS(BD!$T$3:$T$5001,BD!$B$3:$B$5001,F$268,BD!$A$3:$A$5001,_xlfn.MAXIFS(BD!$A$3:$A$5001,BD!$B$3:$B$5001,F$268,BD!$A$3:$A$5001,"&gt;="&amp;$C$7,BD!$A$3:$A$5001,"&lt;="&amp;$B286,BD!$T$3:$T$5001,"&lt;&gt;"))))</f>
        <v/>
      </c>
      <c r="G286" s="54" t="str">
        <f>IF(OR($B286="",$A286&gt;$B$9,G$268=""),"",IF(COUNTIFS(BD!$B$3:$B$5001,G$268,BD!$A$3:$A$5001,"&gt;="&amp;$C$7,BD!$A$3:$A$5001,"&lt;="&amp;$B286,BD!$T$3:$T$5001,"&lt;&gt;")=0,"",SUMIFS(BD!$T$3:$T$5001,BD!$B$3:$B$5001,G$268,BD!$A$3:$A$5001,_xlfn.MAXIFS(BD!$A$3:$A$5001,BD!$B$3:$B$5001,G$268,BD!$A$3:$A$5001,"&gt;="&amp;$C$7,BD!$A$3:$A$5001,"&lt;="&amp;$B286,BD!$T$3:$T$5001,"&lt;&gt;"))))</f>
        <v/>
      </c>
      <c r="H286" s="54" t="str">
        <f>IF(OR($B286="",$A286&gt;$B$9,H$268=""),"",IF(COUNTIFS(BD!$B$3:$B$5001,H$268,BD!$A$3:$A$5001,"&gt;="&amp;$C$7,BD!$A$3:$A$5001,"&lt;="&amp;$B286,BD!$T$3:$T$5001,"&lt;&gt;")=0,"",SUMIFS(BD!$T$3:$T$5001,BD!$B$3:$B$5001,H$268,BD!$A$3:$A$5001,_xlfn.MAXIFS(BD!$A$3:$A$5001,BD!$B$3:$B$5001,H$268,BD!$A$3:$A$5001,"&gt;="&amp;$C$7,BD!$A$3:$A$5001,"&lt;="&amp;$B286,BD!$T$3:$T$5001,"&lt;&gt;"))))</f>
        <v/>
      </c>
      <c r="I286" s="54" t="str">
        <f>IF(OR($B286="",$A286&gt;$B$9,I$268=""),"",IF(COUNTIFS(BD!$B$3:$B$5001,I$268,BD!$A$3:$A$5001,"&gt;="&amp;$C$7,BD!$A$3:$A$5001,"&lt;="&amp;$B286,BD!$T$3:$T$5001,"&lt;&gt;")=0,"",SUMIFS(BD!$T$3:$T$5001,BD!$B$3:$B$5001,I$268,BD!$A$3:$A$5001,_xlfn.MAXIFS(BD!$A$3:$A$5001,BD!$B$3:$B$5001,I$268,BD!$A$3:$A$5001,"&gt;="&amp;$C$7,BD!$A$3:$A$5001,"&lt;="&amp;$B286,BD!$T$3:$T$5001,"&lt;&gt;"))))</f>
        <v/>
      </c>
      <c r="J286" s="54" t="str">
        <f>IF(OR($B286="",$A286&gt;$B$9,J$268=""),"",IF(COUNTIFS(BD!$B$3:$B$5001,J$268,BD!$A$3:$A$5001,"&gt;="&amp;$C$7,BD!$A$3:$A$5001,"&lt;="&amp;$B286,BD!$T$3:$T$5001,"&lt;&gt;")=0,"",SUMIFS(BD!$T$3:$T$5001,BD!$B$3:$B$5001,J$268,BD!$A$3:$A$5001,_xlfn.MAXIFS(BD!$A$3:$A$5001,BD!$B$3:$B$5001,J$268,BD!$A$3:$A$5001,"&gt;="&amp;$C$7,BD!$A$3:$A$5001,"&lt;="&amp;$B286,BD!$T$3:$T$5001,"&lt;&gt;"))))</f>
        <v/>
      </c>
      <c r="K286" s="54" t="str">
        <f>IF(OR($B286="",$A286&gt;$B$9,K$268=""),"",IF(COUNTIFS(BD!$B$3:$B$5001,K$268,BD!$A$3:$A$5001,"&gt;="&amp;$C$7,BD!$A$3:$A$5001,"&lt;="&amp;$B286,BD!$T$3:$T$5001,"&lt;&gt;")=0,"",SUMIFS(BD!$T$3:$T$5001,BD!$B$3:$B$5001,K$268,BD!$A$3:$A$5001,_xlfn.MAXIFS(BD!$A$3:$A$5001,BD!$B$3:$B$5001,K$268,BD!$A$3:$A$5001,"&gt;="&amp;$C$7,BD!$A$3:$A$5001,"&lt;="&amp;$B286,BD!$T$3:$T$5001,"&lt;&gt;"))))</f>
        <v/>
      </c>
      <c r="L286" s="54" t="str">
        <f>IF(OR($B286="",$A286&gt;$B$9,L$268=""),"",IF(COUNTIFS(BD!$B$3:$B$5001,L$268,BD!$A$3:$A$5001,"&gt;="&amp;$C$7,BD!$A$3:$A$5001,"&lt;="&amp;$B286,BD!$T$3:$T$5001,"&lt;&gt;")=0,"",SUMIFS(BD!$T$3:$T$5001,BD!$B$3:$B$5001,L$268,BD!$A$3:$A$5001,_xlfn.MAXIFS(BD!$A$3:$A$5001,BD!$B$3:$B$5001,L$268,BD!$A$3:$A$5001,"&gt;="&amp;$C$7,BD!$A$3:$A$5001,"&lt;="&amp;$B286,BD!$T$3:$T$5001,"&lt;&gt;"))))</f>
        <v/>
      </c>
      <c r="M286" s="54" t="str">
        <f>IF(OR($B286="",$A286&gt;$B$9,M$268=""),"",IF(COUNTIFS(BD!$B$3:$B$5001,M$268,BD!$A$3:$A$5001,"&gt;="&amp;$C$7,BD!$A$3:$A$5001,"&lt;="&amp;$B286,BD!$T$3:$T$5001,"&lt;&gt;")=0,"",SUMIFS(BD!$T$3:$T$5001,BD!$B$3:$B$5001,M$268,BD!$A$3:$A$5001,_xlfn.MAXIFS(BD!$A$3:$A$5001,BD!$B$3:$B$5001,M$268,BD!$A$3:$A$5001,"&gt;="&amp;$C$7,BD!$A$3:$A$5001,"&lt;="&amp;$B286,BD!$T$3:$T$5001,"&lt;&gt;"))))</f>
        <v/>
      </c>
      <c r="N286" s="54" t="str">
        <f>IF(OR($B286="",$A286&gt;$B$9,N$268=""),"",IF(COUNTIFS(BD!$B$3:$B$5001,N$268,BD!$A$3:$A$5001,"&gt;="&amp;$C$7,BD!$A$3:$A$5001,"&lt;="&amp;$B286,BD!$T$3:$T$5001,"&lt;&gt;")=0,"",SUMIFS(BD!$T$3:$T$5001,BD!$B$3:$B$5001,N$268,BD!$A$3:$A$5001,_xlfn.MAXIFS(BD!$A$3:$A$5001,BD!$B$3:$B$5001,N$268,BD!$A$3:$A$5001,"&gt;="&amp;$C$7,BD!$A$3:$A$5001,"&lt;="&amp;$B286,BD!$T$3:$T$5001,"&lt;&gt;"))))</f>
        <v/>
      </c>
      <c r="O286" s="54" t="str">
        <f>IF(OR($B286="",$A286&gt;$B$9,O$268=""),"",IF(COUNTIFS(BD!$B$3:$B$5001,O$268,BD!$A$3:$A$5001,"&gt;="&amp;$C$7,BD!$A$3:$A$5001,"&lt;="&amp;$B286,BD!$T$3:$T$5001,"&lt;&gt;")=0,"",SUMIFS(BD!$T$3:$T$5001,BD!$B$3:$B$5001,O$268,BD!$A$3:$A$5001,_xlfn.MAXIFS(BD!$A$3:$A$5001,BD!$B$3:$B$5001,O$268,BD!$A$3:$A$5001,"&gt;="&amp;$C$7,BD!$A$3:$A$5001,"&lt;="&amp;$B286,BD!$T$3:$T$5001,"&lt;&gt;"))))</f>
        <v/>
      </c>
      <c r="P286" s="54" t="str">
        <f>IF(OR($B286="",$A286&gt;$B$9,P$268=""),"",IF(COUNTIFS(BD!$B$3:$B$5001,P$268,BD!$A$3:$A$5001,"&gt;="&amp;$C$7,BD!$A$3:$A$5001,"&lt;="&amp;$B286,BD!$T$3:$T$5001,"&lt;&gt;")=0,"",SUMIFS(BD!$T$3:$T$5001,BD!$B$3:$B$5001,P$268,BD!$A$3:$A$5001,_xlfn.MAXIFS(BD!$A$3:$A$5001,BD!$B$3:$B$5001,P$268,BD!$A$3:$A$5001,"&gt;="&amp;$C$7,BD!$A$3:$A$5001,"&lt;="&amp;$B286,BD!$T$3:$T$5001,"&lt;&gt;"))))</f>
        <v/>
      </c>
      <c r="Q286" s="54" t="str">
        <f>IF(OR($B286="",$A286&gt;$B$9,Q$268=""),"",IF(COUNTIFS(BD!$B$3:$B$5001,Q$268,BD!$A$3:$A$5001,"&gt;="&amp;$C$7,BD!$A$3:$A$5001,"&lt;="&amp;$B286,BD!$T$3:$T$5001,"&lt;&gt;")=0,"",SUMIFS(BD!$T$3:$T$5001,BD!$B$3:$B$5001,Q$268,BD!$A$3:$A$5001,_xlfn.MAXIFS(BD!$A$3:$A$5001,BD!$B$3:$B$5001,Q$268,BD!$A$3:$A$5001,"&gt;="&amp;$C$7,BD!$A$3:$A$5001,"&lt;="&amp;$B286,BD!$T$3:$T$5001,"&lt;&gt;"))))</f>
        <v/>
      </c>
      <c r="R286" s="54" t="str">
        <f>IF(OR($B286="",$A286&gt;$B$9,R$268=""),"",IF(COUNTIFS(BD!$B$3:$B$5001,R$268,BD!$A$3:$A$5001,"&gt;="&amp;$C$7,BD!$A$3:$A$5001,"&lt;="&amp;$B286,BD!$T$3:$T$5001,"&lt;&gt;")=0,"",SUMIFS(BD!$T$3:$T$5001,BD!$B$3:$B$5001,R$268,BD!$A$3:$A$5001,_xlfn.MAXIFS(BD!$A$3:$A$5001,BD!$B$3:$B$5001,R$268,BD!$A$3:$A$5001,"&gt;="&amp;$C$7,BD!$A$3:$A$5001,"&lt;="&amp;$B286,BD!$T$3:$T$5001,"&lt;&gt;"))))</f>
        <v/>
      </c>
      <c r="S286" s="54" t="str">
        <f>IF(OR($B286="",$A286&gt;$B$9,S$268=""),"",IF(COUNTIFS(BD!$B$3:$B$5001,S$268,BD!$A$3:$A$5001,"&gt;="&amp;$C$7,BD!$A$3:$A$5001,"&lt;="&amp;$B286,BD!$T$3:$T$5001,"&lt;&gt;")=0,"",SUMIFS(BD!$T$3:$T$5001,BD!$B$3:$B$5001,S$268,BD!$A$3:$A$5001,_xlfn.MAXIFS(BD!$A$3:$A$5001,BD!$B$3:$B$5001,S$268,BD!$A$3:$A$5001,"&gt;="&amp;$C$7,BD!$A$3:$A$5001,"&lt;="&amp;$B286,BD!$T$3:$T$5001,"&lt;&gt;"))))</f>
        <v/>
      </c>
      <c r="T286" s="54" t="str">
        <f>IF(OR($B286="",$A286&gt;$B$9,T$268=""),"",IF(COUNTIFS(BD!$B$3:$B$5001,T$268,BD!$A$3:$A$5001,"&gt;="&amp;$C$7,BD!$A$3:$A$5001,"&lt;="&amp;$B286,BD!$T$3:$T$5001,"&lt;&gt;")=0,"",SUMIFS(BD!$T$3:$T$5001,BD!$B$3:$B$5001,T$268,BD!$A$3:$A$5001,_xlfn.MAXIFS(BD!$A$3:$A$5001,BD!$B$3:$B$5001,T$268,BD!$A$3:$A$5001,"&gt;="&amp;$C$7,BD!$A$3:$A$5001,"&lt;="&amp;$B286,BD!$T$3:$T$5001,"&lt;&gt;"))))</f>
        <v/>
      </c>
      <c r="U286" s="54" t="str">
        <f>IF(OR($B286="",$A286&gt;$B$9,U$268=""),"",IF(COUNTIFS(BD!$B$3:$B$5001,U$268,BD!$A$3:$A$5001,"&gt;="&amp;$C$7,BD!$A$3:$A$5001,"&lt;="&amp;$B286,BD!$T$3:$T$5001,"&lt;&gt;")=0,"",SUMIFS(BD!$T$3:$T$5001,BD!$B$3:$B$5001,U$268,BD!$A$3:$A$5001,_xlfn.MAXIFS(BD!$A$3:$A$5001,BD!$B$3:$B$5001,U$268,BD!$A$3:$A$5001,"&gt;="&amp;$C$7,BD!$A$3:$A$5001,"&lt;="&amp;$B286,BD!$T$3:$T$5001,"&lt;&gt;"))))</f>
        <v/>
      </c>
      <c r="V286" s="54" t="str">
        <f>IF(OR($B286="",$A286&gt;$B$9,V$268=""),"",IF(COUNTIFS(BD!$B$3:$B$5001,V$268,BD!$A$3:$A$5001,"&gt;="&amp;$C$7,BD!$A$3:$A$5001,"&lt;="&amp;$B286,BD!$T$3:$T$5001,"&lt;&gt;")=0,"",SUMIFS(BD!$T$3:$T$5001,BD!$B$3:$B$5001,V$268,BD!$A$3:$A$5001,_xlfn.MAXIFS(BD!$A$3:$A$5001,BD!$B$3:$B$5001,V$268,BD!$A$3:$A$5001,"&gt;="&amp;$C$7,BD!$A$3:$A$5001,"&lt;="&amp;$B286,BD!$T$3:$T$5001,"&lt;&gt;"))))</f>
        <v/>
      </c>
    </row>
    <row r="287">
      <c r="A287" s="48">
        <v>19</v>
      </c>
      <c r="B287" s="53">
        <f>$B$30</f>
        <v>46314</v>
      </c>
      <c r="C287" s="54" t="str">
        <f>IF(OR($B287="",$A287&gt;$B$9,C$268=""),"",IF(COUNTIFS(BD!$B$3:$B$5001,C$268,BD!$A$3:$A$5001,"&gt;="&amp;$C$7,BD!$A$3:$A$5001,"&lt;="&amp;$B287,BD!$T$3:$T$5001,"&lt;&gt;")=0,"",SUMIFS(BD!$T$3:$T$5001,BD!$B$3:$B$5001,C$268,BD!$A$3:$A$5001,_xlfn.MAXIFS(BD!$A$3:$A$5001,BD!$B$3:$B$5001,C$268,BD!$A$3:$A$5001,"&gt;="&amp;$C$7,BD!$A$3:$A$5001,"&lt;="&amp;$B287,BD!$T$3:$T$5001,"&lt;&gt;"))))</f>
        <v/>
      </c>
      <c r="D287" s="54" t="str">
        <f>IF(OR($B287="",$A287&gt;$B$9,D$268=""),"",IF(COUNTIFS(BD!$B$3:$B$5001,D$268,BD!$A$3:$A$5001,"&gt;="&amp;$C$7,BD!$A$3:$A$5001,"&lt;="&amp;$B287,BD!$T$3:$T$5001,"&lt;&gt;")=0,"",SUMIFS(BD!$T$3:$T$5001,BD!$B$3:$B$5001,D$268,BD!$A$3:$A$5001,_xlfn.MAXIFS(BD!$A$3:$A$5001,BD!$B$3:$B$5001,D$268,BD!$A$3:$A$5001,"&gt;="&amp;$C$7,BD!$A$3:$A$5001,"&lt;="&amp;$B287,BD!$T$3:$T$5001,"&lt;&gt;"))))</f>
        <v/>
      </c>
      <c r="E287" s="54" t="str">
        <f>IF(OR($B287="",$A287&gt;$B$9,E$268=""),"",IF(COUNTIFS(BD!$B$3:$B$5001,E$268,BD!$A$3:$A$5001,"&gt;="&amp;$C$7,BD!$A$3:$A$5001,"&lt;="&amp;$B287,BD!$T$3:$T$5001,"&lt;&gt;")=0,"",SUMIFS(BD!$T$3:$T$5001,BD!$B$3:$B$5001,E$268,BD!$A$3:$A$5001,_xlfn.MAXIFS(BD!$A$3:$A$5001,BD!$B$3:$B$5001,E$268,BD!$A$3:$A$5001,"&gt;="&amp;$C$7,BD!$A$3:$A$5001,"&lt;="&amp;$B287,BD!$T$3:$T$5001,"&lt;&gt;"))))</f>
        <v/>
      </c>
      <c r="F287" s="54" t="str">
        <f>IF(OR($B287="",$A287&gt;$B$9,F$268=""),"",IF(COUNTIFS(BD!$B$3:$B$5001,F$268,BD!$A$3:$A$5001,"&gt;="&amp;$C$7,BD!$A$3:$A$5001,"&lt;="&amp;$B287,BD!$T$3:$T$5001,"&lt;&gt;")=0,"",SUMIFS(BD!$T$3:$T$5001,BD!$B$3:$B$5001,F$268,BD!$A$3:$A$5001,_xlfn.MAXIFS(BD!$A$3:$A$5001,BD!$B$3:$B$5001,F$268,BD!$A$3:$A$5001,"&gt;="&amp;$C$7,BD!$A$3:$A$5001,"&lt;="&amp;$B287,BD!$T$3:$T$5001,"&lt;&gt;"))))</f>
        <v/>
      </c>
      <c r="G287" s="54" t="str">
        <f>IF(OR($B287="",$A287&gt;$B$9,G$268=""),"",IF(COUNTIFS(BD!$B$3:$B$5001,G$268,BD!$A$3:$A$5001,"&gt;="&amp;$C$7,BD!$A$3:$A$5001,"&lt;="&amp;$B287,BD!$T$3:$T$5001,"&lt;&gt;")=0,"",SUMIFS(BD!$T$3:$T$5001,BD!$B$3:$B$5001,G$268,BD!$A$3:$A$5001,_xlfn.MAXIFS(BD!$A$3:$A$5001,BD!$B$3:$B$5001,G$268,BD!$A$3:$A$5001,"&gt;="&amp;$C$7,BD!$A$3:$A$5001,"&lt;="&amp;$B287,BD!$T$3:$T$5001,"&lt;&gt;"))))</f>
        <v/>
      </c>
      <c r="H287" s="54" t="str">
        <f>IF(OR($B287="",$A287&gt;$B$9,H$268=""),"",IF(COUNTIFS(BD!$B$3:$B$5001,H$268,BD!$A$3:$A$5001,"&gt;="&amp;$C$7,BD!$A$3:$A$5001,"&lt;="&amp;$B287,BD!$T$3:$T$5001,"&lt;&gt;")=0,"",SUMIFS(BD!$T$3:$T$5001,BD!$B$3:$B$5001,H$268,BD!$A$3:$A$5001,_xlfn.MAXIFS(BD!$A$3:$A$5001,BD!$B$3:$B$5001,H$268,BD!$A$3:$A$5001,"&gt;="&amp;$C$7,BD!$A$3:$A$5001,"&lt;="&amp;$B287,BD!$T$3:$T$5001,"&lt;&gt;"))))</f>
        <v/>
      </c>
      <c r="I287" s="54" t="str">
        <f>IF(OR($B287="",$A287&gt;$B$9,I$268=""),"",IF(COUNTIFS(BD!$B$3:$B$5001,I$268,BD!$A$3:$A$5001,"&gt;="&amp;$C$7,BD!$A$3:$A$5001,"&lt;="&amp;$B287,BD!$T$3:$T$5001,"&lt;&gt;")=0,"",SUMIFS(BD!$T$3:$T$5001,BD!$B$3:$B$5001,I$268,BD!$A$3:$A$5001,_xlfn.MAXIFS(BD!$A$3:$A$5001,BD!$B$3:$B$5001,I$268,BD!$A$3:$A$5001,"&gt;="&amp;$C$7,BD!$A$3:$A$5001,"&lt;="&amp;$B287,BD!$T$3:$T$5001,"&lt;&gt;"))))</f>
        <v/>
      </c>
      <c r="J287" s="54" t="str">
        <f>IF(OR($B287="",$A287&gt;$B$9,J$268=""),"",IF(COUNTIFS(BD!$B$3:$B$5001,J$268,BD!$A$3:$A$5001,"&gt;="&amp;$C$7,BD!$A$3:$A$5001,"&lt;="&amp;$B287,BD!$T$3:$T$5001,"&lt;&gt;")=0,"",SUMIFS(BD!$T$3:$T$5001,BD!$B$3:$B$5001,J$268,BD!$A$3:$A$5001,_xlfn.MAXIFS(BD!$A$3:$A$5001,BD!$B$3:$B$5001,J$268,BD!$A$3:$A$5001,"&gt;="&amp;$C$7,BD!$A$3:$A$5001,"&lt;="&amp;$B287,BD!$T$3:$T$5001,"&lt;&gt;"))))</f>
        <v/>
      </c>
      <c r="K287" s="54" t="str">
        <f>IF(OR($B287="",$A287&gt;$B$9,K$268=""),"",IF(COUNTIFS(BD!$B$3:$B$5001,K$268,BD!$A$3:$A$5001,"&gt;="&amp;$C$7,BD!$A$3:$A$5001,"&lt;="&amp;$B287,BD!$T$3:$T$5001,"&lt;&gt;")=0,"",SUMIFS(BD!$T$3:$T$5001,BD!$B$3:$B$5001,K$268,BD!$A$3:$A$5001,_xlfn.MAXIFS(BD!$A$3:$A$5001,BD!$B$3:$B$5001,K$268,BD!$A$3:$A$5001,"&gt;="&amp;$C$7,BD!$A$3:$A$5001,"&lt;="&amp;$B287,BD!$T$3:$T$5001,"&lt;&gt;"))))</f>
        <v/>
      </c>
      <c r="L287" s="54" t="str">
        <f>IF(OR($B287="",$A287&gt;$B$9,L$268=""),"",IF(COUNTIFS(BD!$B$3:$B$5001,L$268,BD!$A$3:$A$5001,"&gt;="&amp;$C$7,BD!$A$3:$A$5001,"&lt;="&amp;$B287,BD!$T$3:$T$5001,"&lt;&gt;")=0,"",SUMIFS(BD!$T$3:$T$5001,BD!$B$3:$B$5001,L$268,BD!$A$3:$A$5001,_xlfn.MAXIFS(BD!$A$3:$A$5001,BD!$B$3:$B$5001,L$268,BD!$A$3:$A$5001,"&gt;="&amp;$C$7,BD!$A$3:$A$5001,"&lt;="&amp;$B287,BD!$T$3:$T$5001,"&lt;&gt;"))))</f>
        <v/>
      </c>
      <c r="M287" s="54" t="str">
        <f>IF(OR($B287="",$A287&gt;$B$9,M$268=""),"",IF(COUNTIFS(BD!$B$3:$B$5001,M$268,BD!$A$3:$A$5001,"&gt;="&amp;$C$7,BD!$A$3:$A$5001,"&lt;="&amp;$B287,BD!$T$3:$T$5001,"&lt;&gt;")=0,"",SUMIFS(BD!$T$3:$T$5001,BD!$B$3:$B$5001,M$268,BD!$A$3:$A$5001,_xlfn.MAXIFS(BD!$A$3:$A$5001,BD!$B$3:$B$5001,M$268,BD!$A$3:$A$5001,"&gt;="&amp;$C$7,BD!$A$3:$A$5001,"&lt;="&amp;$B287,BD!$T$3:$T$5001,"&lt;&gt;"))))</f>
        <v/>
      </c>
      <c r="N287" s="54" t="str">
        <f>IF(OR($B287="",$A287&gt;$B$9,N$268=""),"",IF(COUNTIFS(BD!$B$3:$B$5001,N$268,BD!$A$3:$A$5001,"&gt;="&amp;$C$7,BD!$A$3:$A$5001,"&lt;="&amp;$B287,BD!$T$3:$T$5001,"&lt;&gt;")=0,"",SUMIFS(BD!$T$3:$T$5001,BD!$B$3:$B$5001,N$268,BD!$A$3:$A$5001,_xlfn.MAXIFS(BD!$A$3:$A$5001,BD!$B$3:$B$5001,N$268,BD!$A$3:$A$5001,"&gt;="&amp;$C$7,BD!$A$3:$A$5001,"&lt;="&amp;$B287,BD!$T$3:$T$5001,"&lt;&gt;"))))</f>
        <v/>
      </c>
      <c r="O287" s="54" t="str">
        <f>IF(OR($B287="",$A287&gt;$B$9,O$268=""),"",IF(COUNTIFS(BD!$B$3:$B$5001,O$268,BD!$A$3:$A$5001,"&gt;="&amp;$C$7,BD!$A$3:$A$5001,"&lt;="&amp;$B287,BD!$T$3:$T$5001,"&lt;&gt;")=0,"",SUMIFS(BD!$T$3:$T$5001,BD!$B$3:$B$5001,O$268,BD!$A$3:$A$5001,_xlfn.MAXIFS(BD!$A$3:$A$5001,BD!$B$3:$B$5001,O$268,BD!$A$3:$A$5001,"&gt;="&amp;$C$7,BD!$A$3:$A$5001,"&lt;="&amp;$B287,BD!$T$3:$T$5001,"&lt;&gt;"))))</f>
        <v/>
      </c>
      <c r="P287" s="54" t="str">
        <f>IF(OR($B287="",$A287&gt;$B$9,P$268=""),"",IF(COUNTIFS(BD!$B$3:$B$5001,P$268,BD!$A$3:$A$5001,"&gt;="&amp;$C$7,BD!$A$3:$A$5001,"&lt;="&amp;$B287,BD!$T$3:$T$5001,"&lt;&gt;")=0,"",SUMIFS(BD!$T$3:$T$5001,BD!$B$3:$B$5001,P$268,BD!$A$3:$A$5001,_xlfn.MAXIFS(BD!$A$3:$A$5001,BD!$B$3:$B$5001,P$268,BD!$A$3:$A$5001,"&gt;="&amp;$C$7,BD!$A$3:$A$5001,"&lt;="&amp;$B287,BD!$T$3:$T$5001,"&lt;&gt;"))))</f>
        <v/>
      </c>
      <c r="Q287" s="54" t="str">
        <f>IF(OR($B287="",$A287&gt;$B$9,Q$268=""),"",IF(COUNTIFS(BD!$B$3:$B$5001,Q$268,BD!$A$3:$A$5001,"&gt;="&amp;$C$7,BD!$A$3:$A$5001,"&lt;="&amp;$B287,BD!$T$3:$T$5001,"&lt;&gt;")=0,"",SUMIFS(BD!$T$3:$T$5001,BD!$B$3:$B$5001,Q$268,BD!$A$3:$A$5001,_xlfn.MAXIFS(BD!$A$3:$A$5001,BD!$B$3:$B$5001,Q$268,BD!$A$3:$A$5001,"&gt;="&amp;$C$7,BD!$A$3:$A$5001,"&lt;="&amp;$B287,BD!$T$3:$T$5001,"&lt;&gt;"))))</f>
        <v/>
      </c>
      <c r="R287" s="54" t="str">
        <f>IF(OR($B287="",$A287&gt;$B$9,R$268=""),"",IF(COUNTIFS(BD!$B$3:$B$5001,R$268,BD!$A$3:$A$5001,"&gt;="&amp;$C$7,BD!$A$3:$A$5001,"&lt;="&amp;$B287,BD!$T$3:$T$5001,"&lt;&gt;")=0,"",SUMIFS(BD!$T$3:$T$5001,BD!$B$3:$B$5001,R$268,BD!$A$3:$A$5001,_xlfn.MAXIFS(BD!$A$3:$A$5001,BD!$B$3:$B$5001,R$268,BD!$A$3:$A$5001,"&gt;="&amp;$C$7,BD!$A$3:$A$5001,"&lt;="&amp;$B287,BD!$T$3:$T$5001,"&lt;&gt;"))))</f>
        <v/>
      </c>
      <c r="S287" s="54" t="str">
        <f>IF(OR($B287="",$A287&gt;$B$9,S$268=""),"",IF(COUNTIFS(BD!$B$3:$B$5001,S$268,BD!$A$3:$A$5001,"&gt;="&amp;$C$7,BD!$A$3:$A$5001,"&lt;="&amp;$B287,BD!$T$3:$T$5001,"&lt;&gt;")=0,"",SUMIFS(BD!$T$3:$T$5001,BD!$B$3:$B$5001,S$268,BD!$A$3:$A$5001,_xlfn.MAXIFS(BD!$A$3:$A$5001,BD!$B$3:$B$5001,S$268,BD!$A$3:$A$5001,"&gt;="&amp;$C$7,BD!$A$3:$A$5001,"&lt;="&amp;$B287,BD!$T$3:$T$5001,"&lt;&gt;"))))</f>
        <v/>
      </c>
      <c r="T287" s="54" t="str">
        <f>IF(OR($B287="",$A287&gt;$B$9,T$268=""),"",IF(COUNTIFS(BD!$B$3:$B$5001,T$268,BD!$A$3:$A$5001,"&gt;="&amp;$C$7,BD!$A$3:$A$5001,"&lt;="&amp;$B287,BD!$T$3:$T$5001,"&lt;&gt;")=0,"",SUMIFS(BD!$T$3:$T$5001,BD!$B$3:$B$5001,T$268,BD!$A$3:$A$5001,_xlfn.MAXIFS(BD!$A$3:$A$5001,BD!$B$3:$B$5001,T$268,BD!$A$3:$A$5001,"&gt;="&amp;$C$7,BD!$A$3:$A$5001,"&lt;="&amp;$B287,BD!$T$3:$T$5001,"&lt;&gt;"))))</f>
        <v/>
      </c>
      <c r="U287" s="54" t="str">
        <f>IF(OR($B287="",$A287&gt;$B$9,U$268=""),"",IF(COUNTIFS(BD!$B$3:$B$5001,U$268,BD!$A$3:$A$5001,"&gt;="&amp;$C$7,BD!$A$3:$A$5001,"&lt;="&amp;$B287,BD!$T$3:$T$5001,"&lt;&gt;")=0,"",SUMIFS(BD!$T$3:$T$5001,BD!$B$3:$B$5001,U$268,BD!$A$3:$A$5001,_xlfn.MAXIFS(BD!$A$3:$A$5001,BD!$B$3:$B$5001,U$268,BD!$A$3:$A$5001,"&gt;="&amp;$C$7,BD!$A$3:$A$5001,"&lt;="&amp;$B287,BD!$T$3:$T$5001,"&lt;&gt;"))))</f>
        <v/>
      </c>
      <c r="V287" s="54" t="str">
        <f>IF(OR($B287="",$A287&gt;$B$9,V$268=""),"",IF(COUNTIFS(BD!$B$3:$B$5001,V$268,BD!$A$3:$A$5001,"&gt;="&amp;$C$7,BD!$A$3:$A$5001,"&lt;="&amp;$B287,BD!$T$3:$T$5001,"&lt;&gt;")=0,"",SUMIFS(BD!$T$3:$T$5001,BD!$B$3:$B$5001,V$268,BD!$A$3:$A$5001,_xlfn.MAXIFS(BD!$A$3:$A$5001,BD!$B$3:$B$5001,V$268,BD!$A$3:$A$5001,"&gt;="&amp;$C$7,BD!$A$3:$A$5001,"&lt;="&amp;$B287,BD!$T$3:$T$5001,"&lt;&gt;"))))</f>
        <v/>
      </c>
    </row>
    <row r="288">
      <c r="A288" s="48">
        <v>20</v>
      </c>
      <c r="B288" s="53">
        <f>$B$31</f>
        <v>46315</v>
      </c>
      <c r="C288" s="54" t="str">
        <f>IF(OR($B288="",$A288&gt;$B$9,C$268=""),"",IF(COUNTIFS(BD!$B$3:$B$5001,C$268,BD!$A$3:$A$5001,"&gt;="&amp;$C$7,BD!$A$3:$A$5001,"&lt;="&amp;$B288,BD!$T$3:$T$5001,"&lt;&gt;")=0,"",SUMIFS(BD!$T$3:$T$5001,BD!$B$3:$B$5001,C$268,BD!$A$3:$A$5001,_xlfn.MAXIFS(BD!$A$3:$A$5001,BD!$B$3:$B$5001,C$268,BD!$A$3:$A$5001,"&gt;="&amp;$C$7,BD!$A$3:$A$5001,"&lt;="&amp;$B288,BD!$T$3:$T$5001,"&lt;&gt;"))))</f>
        <v/>
      </c>
      <c r="D288" s="54" t="str">
        <f>IF(OR($B288="",$A288&gt;$B$9,D$268=""),"",IF(COUNTIFS(BD!$B$3:$B$5001,D$268,BD!$A$3:$A$5001,"&gt;="&amp;$C$7,BD!$A$3:$A$5001,"&lt;="&amp;$B288,BD!$T$3:$T$5001,"&lt;&gt;")=0,"",SUMIFS(BD!$T$3:$T$5001,BD!$B$3:$B$5001,D$268,BD!$A$3:$A$5001,_xlfn.MAXIFS(BD!$A$3:$A$5001,BD!$B$3:$B$5001,D$268,BD!$A$3:$A$5001,"&gt;="&amp;$C$7,BD!$A$3:$A$5001,"&lt;="&amp;$B288,BD!$T$3:$T$5001,"&lt;&gt;"))))</f>
        <v/>
      </c>
      <c r="E288" s="54" t="str">
        <f>IF(OR($B288="",$A288&gt;$B$9,E$268=""),"",IF(COUNTIFS(BD!$B$3:$B$5001,E$268,BD!$A$3:$A$5001,"&gt;="&amp;$C$7,BD!$A$3:$A$5001,"&lt;="&amp;$B288,BD!$T$3:$T$5001,"&lt;&gt;")=0,"",SUMIFS(BD!$T$3:$T$5001,BD!$B$3:$B$5001,E$268,BD!$A$3:$A$5001,_xlfn.MAXIFS(BD!$A$3:$A$5001,BD!$B$3:$B$5001,E$268,BD!$A$3:$A$5001,"&gt;="&amp;$C$7,BD!$A$3:$A$5001,"&lt;="&amp;$B288,BD!$T$3:$T$5001,"&lt;&gt;"))))</f>
        <v/>
      </c>
      <c r="F288" s="54" t="str">
        <f>IF(OR($B288="",$A288&gt;$B$9,F$268=""),"",IF(COUNTIFS(BD!$B$3:$B$5001,F$268,BD!$A$3:$A$5001,"&gt;="&amp;$C$7,BD!$A$3:$A$5001,"&lt;="&amp;$B288,BD!$T$3:$T$5001,"&lt;&gt;")=0,"",SUMIFS(BD!$T$3:$T$5001,BD!$B$3:$B$5001,F$268,BD!$A$3:$A$5001,_xlfn.MAXIFS(BD!$A$3:$A$5001,BD!$B$3:$B$5001,F$268,BD!$A$3:$A$5001,"&gt;="&amp;$C$7,BD!$A$3:$A$5001,"&lt;="&amp;$B288,BD!$T$3:$T$5001,"&lt;&gt;"))))</f>
        <v/>
      </c>
      <c r="G288" s="54" t="str">
        <f>IF(OR($B288="",$A288&gt;$B$9,G$268=""),"",IF(COUNTIFS(BD!$B$3:$B$5001,G$268,BD!$A$3:$A$5001,"&gt;="&amp;$C$7,BD!$A$3:$A$5001,"&lt;="&amp;$B288,BD!$T$3:$T$5001,"&lt;&gt;")=0,"",SUMIFS(BD!$T$3:$T$5001,BD!$B$3:$B$5001,G$268,BD!$A$3:$A$5001,_xlfn.MAXIFS(BD!$A$3:$A$5001,BD!$B$3:$B$5001,G$268,BD!$A$3:$A$5001,"&gt;="&amp;$C$7,BD!$A$3:$A$5001,"&lt;="&amp;$B288,BD!$T$3:$T$5001,"&lt;&gt;"))))</f>
        <v/>
      </c>
      <c r="H288" s="54" t="str">
        <f>IF(OR($B288="",$A288&gt;$B$9,H$268=""),"",IF(COUNTIFS(BD!$B$3:$B$5001,H$268,BD!$A$3:$A$5001,"&gt;="&amp;$C$7,BD!$A$3:$A$5001,"&lt;="&amp;$B288,BD!$T$3:$T$5001,"&lt;&gt;")=0,"",SUMIFS(BD!$T$3:$T$5001,BD!$B$3:$B$5001,H$268,BD!$A$3:$A$5001,_xlfn.MAXIFS(BD!$A$3:$A$5001,BD!$B$3:$B$5001,H$268,BD!$A$3:$A$5001,"&gt;="&amp;$C$7,BD!$A$3:$A$5001,"&lt;="&amp;$B288,BD!$T$3:$T$5001,"&lt;&gt;"))))</f>
        <v/>
      </c>
      <c r="I288" s="54" t="str">
        <f>IF(OR($B288="",$A288&gt;$B$9,I$268=""),"",IF(COUNTIFS(BD!$B$3:$B$5001,I$268,BD!$A$3:$A$5001,"&gt;="&amp;$C$7,BD!$A$3:$A$5001,"&lt;="&amp;$B288,BD!$T$3:$T$5001,"&lt;&gt;")=0,"",SUMIFS(BD!$T$3:$T$5001,BD!$B$3:$B$5001,I$268,BD!$A$3:$A$5001,_xlfn.MAXIFS(BD!$A$3:$A$5001,BD!$B$3:$B$5001,I$268,BD!$A$3:$A$5001,"&gt;="&amp;$C$7,BD!$A$3:$A$5001,"&lt;="&amp;$B288,BD!$T$3:$T$5001,"&lt;&gt;"))))</f>
        <v/>
      </c>
      <c r="J288" s="54" t="str">
        <f>IF(OR($B288="",$A288&gt;$B$9,J$268=""),"",IF(COUNTIFS(BD!$B$3:$B$5001,J$268,BD!$A$3:$A$5001,"&gt;="&amp;$C$7,BD!$A$3:$A$5001,"&lt;="&amp;$B288,BD!$T$3:$T$5001,"&lt;&gt;")=0,"",SUMIFS(BD!$T$3:$T$5001,BD!$B$3:$B$5001,J$268,BD!$A$3:$A$5001,_xlfn.MAXIFS(BD!$A$3:$A$5001,BD!$B$3:$B$5001,J$268,BD!$A$3:$A$5001,"&gt;="&amp;$C$7,BD!$A$3:$A$5001,"&lt;="&amp;$B288,BD!$T$3:$T$5001,"&lt;&gt;"))))</f>
        <v/>
      </c>
      <c r="K288" s="54" t="str">
        <f>IF(OR($B288="",$A288&gt;$B$9,K$268=""),"",IF(COUNTIFS(BD!$B$3:$B$5001,K$268,BD!$A$3:$A$5001,"&gt;="&amp;$C$7,BD!$A$3:$A$5001,"&lt;="&amp;$B288,BD!$T$3:$T$5001,"&lt;&gt;")=0,"",SUMIFS(BD!$T$3:$T$5001,BD!$B$3:$B$5001,K$268,BD!$A$3:$A$5001,_xlfn.MAXIFS(BD!$A$3:$A$5001,BD!$B$3:$B$5001,K$268,BD!$A$3:$A$5001,"&gt;="&amp;$C$7,BD!$A$3:$A$5001,"&lt;="&amp;$B288,BD!$T$3:$T$5001,"&lt;&gt;"))))</f>
        <v/>
      </c>
      <c r="L288" s="54" t="str">
        <f>IF(OR($B288="",$A288&gt;$B$9,L$268=""),"",IF(COUNTIFS(BD!$B$3:$B$5001,L$268,BD!$A$3:$A$5001,"&gt;="&amp;$C$7,BD!$A$3:$A$5001,"&lt;="&amp;$B288,BD!$T$3:$T$5001,"&lt;&gt;")=0,"",SUMIFS(BD!$T$3:$T$5001,BD!$B$3:$B$5001,L$268,BD!$A$3:$A$5001,_xlfn.MAXIFS(BD!$A$3:$A$5001,BD!$B$3:$B$5001,L$268,BD!$A$3:$A$5001,"&gt;="&amp;$C$7,BD!$A$3:$A$5001,"&lt;="&amp;$B288,BD!$T$3:$T$5001,"&lt;&gt;"))))</f>
        <v/>
      </c>
      <c r="M288" s="54" t="str">
        <f>IF(OR($B288="",$A288&gt;$B$9,M$268=""),"",IF(COUNTIFS(BD!$B$3:$B$5001,M$268,BD!$A$3:$A$5001,"&gt;="&amp;$C$7,BD!$A$3:$A$5001,"&lt;="&amp;$B288,BD!$T$3:$T$5001,"&lt;&gt;")=0,"",SUMIFS(BD!$T$3:$T$5001,BD!$B$3:$B$5001,M$268,BD!$A$3:$A$5001,_xlfn.MAXIFS(BD!$A$3:$A$5001,BD!$B$3:$B$5001,M$268,BD!$A$3:$A$5001,"&gt;="&amp;$C$7,BD!$A$3:$A$5001,"&lt;="&amp;$B288,BD!$T$3:$T$5001,"&lt;&gt;"))))</f>
        <v/>
      </c>
      <c r="N288" s="54" t="str">
        <f>IF(OR($B288="",$A288&gt;$B$9,N$268=""),"",IF(COUNTIFS(BD!$B$3:$B$5001,N$268,BD!$A$3:$A$5001,"&gt;="&amp;$C$7,BD!$A$3:$A$5001,"&lt;="&amp;$B288,BD!$T$3:$T$5001,"&lt;&gt;")=0,"",SUMIFS(BD!$T$3:$T$5001,BD!$B$3:$B$5001,N$268,BD!$A$3:$A$5001,_xlfn.MAXIFS(BD!$A$3:$A$5001,BD!$B$3:$B$5001,N$268,BD!$A$3:$A$5001,"&gt;="&amp;$C$7,BD!$A$3:$A$5001,"&lt;="&amp;$B288,BD!$T$3:$T$5001,"&lt;&gt;"))))</f>
        <v/>
      </c>
      <c r="O288" s="54" t="str">
        <f>IF(OR($B288="",$A288&gt;$B$9,O$268=""),"",IF(COUNTIFS(BD!$B$3:$B$5001,O$268,BD!$A$3:$A$5001,"&gt;="&amp;$C$7,BD!$A$3:$A$5001,"&lt;="&amp;$B288,BD!$T$3:$T$5001,"&lt;&gt;")=0,"",SUMIFS(BD!$T$3:$T$5001,BD!$B$3:$B$5001,O$268,BD!$A$3:$A$5001,_xlfn.MAXIFS(BD!$A$3:$A$5001,BD!$B$3:$B$5001,O$268,BD!$A$3:$A$5001,"&gt;="&amp;$C$7,BD!$A$3:$A$5001,"&lt;="&amp;$B288,BD!$T$3:$T$5001,"&lt;&gt;"))))</f>
        <v/>
      </c>
      <c r="P288" s="54" t="str">
        <f>IF(OR($B288="",$A288&gt;$B$9,P$268=""),"",IF(COUNTIFS(BD!$B$3:$B$5001,P$268,BD!$A$3:$A$5001,"&gt;="&amp;$C$7,BD!$A$3:$A$5001,"&lt;="&amp;$B288,BD!$T$3:$T$5001,"&lt;&gt;")=0,"",SUMIFS(BD!$T$3:$T$5001,BD!$B$3:$B$5001,P$268,BD!$A$3:$A$5001,_xlfn.MAXIFS(BD!$A$3:$A$5001,BD!$B$3:$B$5001,P$268,BD!$A$3:$A$5001,"&gt;="&amp;$C$7,BD!$A$3:$A$5001,"&lt;="&amp;$B288,BD!$T$3:$T$5001,"&lt;&gt;"))))</f>
        <v/>
      </c>
      <c r="Q288" s="54" t="str">
        <f>IF(OR($B288="",$A288&gt;$B$9,Q$268=""),"",IF(COUNTIFS(BD!$B$3:$B$5001,Q$268,BD!$A$3:$A$5001,"&gt;="&amp;$C$7,BD!$A$3:$A$5001,"&lt;="&amp;$B288,BD!$T$3:$T$5001,"&lt;&gt;")=0,"",SUMIFS(BD!$T$3:$T$5001,BD!$B$3:$B$5001,Q$268,BD!$A$3:$A$5001,_xlfn.MAXIFS(BD!$A$3:$A$5001,BD!$B$3:$B$5001,Q$268,BD!$A$3:$A$5001,"&gt;="&amp;$C$7,BD!$A$3:$A$5001,"&lt;="&amp;$B288,BD!$T$3:$T$5001,"&lt;&gt;"))))</f>
        <v/>
      </c>
      <c r="R288" s="54" t="str">
        <f>IF(OR($B288="",$A288&gt;$B$9,R$268=""),"",IF(COUNTIFS(BD!$B$3:$B$5001,R$268,BD!$A$3:$A$5001,"&gt;="&amp;$C$7,BD!$A$3:$A$5001,"&lt;="&amp;$B288,BD!$T$3:$T$5001,"&lt;&gt;")=0,"",SUMIFS(BD!$T$3:$T$5001,BD!$B$3:$B$5001,R$268,BD!$A$3:$A$5001,_xlfn.MAXIFS(BD!$A$3:$A$5001,BD!$B$3:$B$5001,R$268,BD!$A$3:$A$5001,"&gt;="&amp;$C$7,BD!$A$3:$A$5001,"&lt;="&amp;$B288,BD!$T$3:$T$5001,"&lt;&gt;"))))</f>
        <v/>
      </c>
      <c r="S288" s="54" t="str">
        <f>IF(OR($B288="",$A288&gt;$B$9,S$268=""),"",IF(COUNTIFS(BD!$B$3:$B$5001,S$268,BD!$A$3:$A$5001,"&gt;="&amp;$C$7,BD!$A$3:$A$5001,"&lt;="&amp;$B288,BD!$T$3:$T$5001,"&lt;&gt;")=0,"",SUMIFS(BD!$T$3:$T$5001,BD!$B$3:$B$5001,S$268,BD!$A$3:$A$5001,_xlfn.MAXIFS(BD!$A$3:$A$5001,BD!$B$3:$B$5001,S$268,BD!$A$3:$A$5001,"&gt;="&amp;$C$7,BD!$A$3:$A$5001,"&lt;="&amp;$B288,BD!$T$3:$T$5001,"&lt;&gt;"))))</f>
        <v/>
      </c>
      <c r="T288" s="54" t="str">
        <f>IF(OR($B288="",$A288&gt;$B$9,T$268=""),"",IF(COUNTIFS(BD!$B$3:$B$5001,T$268,BD!$A$3:$A$5001,"&gt;="&amp;$C$7,BD!$A$3:$A$5001,"&lt;="&amp;$B288,BD!$T$3:$T$5001,"&lt;&gt;")=0,"",SUMIFS(BD!$T$3:$T$5001,BD!$B$3:$B$5001,T$268,BD!$A$3:$A$5001,_xlfn.MAXIFS(BD!$A$3:$A$5001,BD!$B$3:$B$5001,T$268,BD!$A$3:$A$5001,"&gt;="&amp;$C$7,BD!$A$3:$A$5001,"&lt;="&amp;$B288,BD!$T$3:$T$5001,"&lt;&gt;"))))</f>
        <v/>
      </c>
      <c r="U288" s="54" t="str">
        <f>IF(OR($B288="",$A288&gt;$B$9,U$268=""),"",IF(COUNTIFS(BD!$B$3:$B$5001,U$268,BD!$A$3:$A$5001,"&gt;="&amp;$C$7,BD!$A$3:$A$5001,"&lt;="&amp;$B288,BD!$T$3:$T$5001,"&lt;&gt;")=0,"",SUMIFS(BD!$T$3:$T$5001,BD!$B$3:$B$5001,U$268,BD!$A$3:$A$5001,_xlfn.MAXIFS(BD!$A$3:$A$5001,BD!$B$3:$B$5001,U$268,BD!$A$3:$A$5001,"&gt;="&amp;$C$7,BD!$A$3:$A$5001,"&lt;="&amp;$B288,BD!$T$3:$T$5001,"&lt;&gt;"))))</f>
        <v/>
      </c>
      <c r="V288" s="54" t="str">
        <f>IF(OR($B288="",$A288&gt;$B$9,V$268=""),"",IF(COUNTIFS(BD!$B$3:$B$5001,V$268,BD!$A$3:$A$5001,"&gt;="&amp;$C$7,BD!$A$3:$A$5001,"&lt;="&amp;$B288,BD!$T$3:$T$5001,"&lt;&gt;")=0,"",SUMIFS(BD!$T$3:$T$5001,BD!$B$3:$B$5001,V$268,BD!$A$3:$A$5001,_xlfn.MAXIFS(BD!$A$3:$A$5001,BD!$B$3:$B$5001,V$268,BD!$A$3:$A$5001,"&gt;="&amp;$C$7,BD!$A$3:$A$5001,"&lt;="&amp;$B288,BD!$T$3:$T$5001,"&lt;&gt;"))))</f>
        <v/>
      </c>
    </row>
    <row r="289">
      <c r="A289" s="48">
        <v>21</v>
      </c>
      <c r="B289" s="53">
        <f>$B$32</f>
        <v>46316</v>
      </c>
      <c r="C289" s="54" t="str">
        <f>IF(OR($B289="",$A289&gt;$B$9,C$268=""),"",IF(COUNTIFS(BD!$B$3:$B$5001,C$268,BD!$A$3:$A$5001,"&gt;="&amp;$C$7,BD!$A$3:$A$5001,"&lt;="&amp;$B289,BD!$T$3:$T$5001,"&lt;&gt;")=0,"",SUMIFS(BD!$T$3:$T$5001,BD!$B$3:$B$5001,C$268,BD!$A$3:$A$5001,_xlfn.MAXIFS(BD!$A$3:$A$5001,BD!$B$3:$B$5001,C$268,BD!$A$3:$A$5001,"&gt;="&amp;$C$7,BD!$A$3:$A$5001,"&lt;="&amp;$B289,BD!$T$3:$T$5001,"&lt;&gt;"))))</f>
        <v/>
      </c>
      <c r="D289" s="54" t="str">
        <f>IF(OR($B289="",$A289&gt;$B$9,D$268=""),"",IF(COUNTIFS(BD!$B$3:$B$5001,D$268,BD!$A$3:$A$5001,"&gt;="&amp;$C$7,BD!$A$3:$A$5001,"&lt;="&amp;$B289,BD!$T$3:$T$5001,"&lt;&gt;")=0,"",SUMIFS(BD!$T$3:$T$5001,BD!$B$3:$B$5001,D$268,BD!$A$3:$A$5001,_xlfn.MAXIFS(BD!$A$3:$A$5001,BD!$B$3:$B$5001,D$268,BD!$A$3:$A$5001,"&gt;="&amp;$C$7,BD!$A$3:$A$5001,"&lt;="&amp;$B289,BD!$T$3:$T$5001,"&lt;&gt;"))))</f>
        <v/>
      </c>
      <c r="E289" s="54" t="str">
        <f>IF(OR($B289="",$A289&gt;$B$9,E$268=""),"",IF(COUNTIFS(BD!$B$3:$B$5001,E$268,BD!$A$3:$A$5001,"&gt;="&amp;$C$7,BD!$A$3:$A$5001,"&lt;="&amp;$B289,BD!$T$3:$T$5001,"&lt;&gt;")=0,"",SUMIFS(BD!$T$3:$T$5001,BD!$B$3:$B$5001,E$268,BD!$A$3:$A$5001,_xlfn.MAXIFS(BD!$A$3:$A$5001,BD!$B$3:$B$5001,E$268,BD!$A$3:$A$5001,"&gt;="&amp;$C$7,BD!$A$3:$A$5001,"&lt;="&amp;$B289,BD!$T$3:$T$5001,"&lt;&gt;"))))</f>
        <v/>
      </c>
      <c r="F289" s="54" t="str">
        <f>IF(OR($B289="",$A289&gt;$B$9,F$268=""),"",IF(COUNTIFS(BD!$B$3:$B$5001,F$268,BD!$A$3:$A$5001,"&gt;="&amp;$C$7,BD!$A$3:$A$5001,"&lt;="&amp;$B289,BD!$T$3:$T$5001,"&lt;&gt;")=0,"",SUMIFS(BD!$T$3:$T$5001,BD!$B$3:$B$5001,F$268,BD!$A$3:$A$5001,_xlfn.MAXIFS(BD!$A$3:$A$5001,BD!$B$3:$B$5001,F$268,BD!$A$3:$A$5001,"&gt;="&amp;$C$7,BD!$A$3:$A$5001,"&lt;="&amp;$B289,BD!$T$3:$T$5001,"&lt;&gt;"))))</f>
        <v/>
      </c>
      <c r="G289" s="54" t="str">
        <f>IF(OR($B289="",$A289&gt;$B$9,G$268=""),"",IF(COUNTIFS(BD!$B$3:$B$5001,G$268,BD!$A$3:$A$5001,"&gt;="&amp;$C$7,BD!$A$3:$A$5001,"&lt;="&amp;$B289,BD!$T$3:$T$5001,"&lt;&gt;")=0,"",SUMIFS(BD!$T$3:$T$5001,BD!$B$3:$B$5001,G$268,BD!$A$3:$A$5001,_xlfn.MAXIFS(BD!$A$3:$A$5001,BD!$B$3:$B$5001,G$268,BD!$A$3:$A$5001,"&gt;="&amp;$C$7,BD!$A$3:$A$5001,"&lt;="&amp;$B289,BD!$T$3:$T$5001,"&lt;&gt;"))))</f>
        <v/>
      </c>
      <c r="H289" s="54" t="str">
        <f>IF(OR($B289="",$A289&gt;$B$9,H$268=""),"",IF(COUNTIFS(BD!$B$3:$B$5001,H$268,BD!$A$3:$A$5001,"&gt;="&amp;$C$7,BD!$A$3:$A$5001,"&lt;="&amp;$B289,BD!$T$3:$T$5001,"&lt;&gt;")=0,"",SUMIFS(BD!$T$3:$T$5001,BD!$B$3:$B$5001,H$268,BD!$A$3:$A$5001,_xlfn.MAXIFS(BD!$A$3:$A$5001,BD!$B$3:$B$5001,H$268,BD!$A$3:$A$5001,"&gt;="&amp;$C$7,BD!$A$3:$A$5001,"&lt;="&amp;$B289,BD!$T$3:$T$5001,"&lt;&gt;"))))</f>
        <v/>
      </c>
      <c r="I289" s="54" t="str">
        <f>IF(OR($B289="",$A289&gt;$B$9,I$268=""),"",IF(COUNTIFS(BD!$B$3:$B$5001,I$268,BD!$A$3:$A$5001,"&gt;="&amp;$C$7,BD!$A$3:$A$5001,"&lt;="&amp;$B289,BD!$T$3:$T$5001,"&lt;&gt;")=0,"",SUMIFS(BD!$T$3:$T$5001,BD!$B$3:$B$5001,I$268,BD!$A$3:$A$5001,_xlfn.MAXIFS(BD!$A$3:$A$5001,BD!$B$3:$B$5001,I$268,BD!$A$3:$A$5001,"&gt;="&amp;$C$7,BD!$A$3:$A$5001,"&lt;="&amp;$B289,BD!$T$3:$T$5001,"&lt;&gt;"))))</f>
        <v/>
      </c>
      <c r="J289" s="54" t="str">
        <f>IF(OR($B289="",$A289&gt;$B$9,J$268=""),"",IF(COUNTIFS(BD!$B$3:$B$5001,J$268,BD!$A$3:$A$5001,"&gt;="&amp;$C$7,BD!$A$3:$A$5001,"&lt;="&amp;$B289,BD!$T$3:$T$5001,"&lt;&gt;")=0,"",SUMIFS(BD!$T$3:$T$5001,BD!$B$3:$B$5001,J$268,BD!$A$3:$A$5001,_xlfn.MAXIFS(BD!$A$3:$A$5001,BD!$B$3:$B$5001,J$268,BD!$A$3:$A$5001,"&gt;="&amp;$C$7,BD!$A$3:$A$5001,"&lt;="&amp;$B289,BD!$T$3:$T$5001,"&lt;&gt;"))))</f>
        <v/>
      </c>
      <c r="K289" s="54" t="str">
        <f>IF(OR($B289="",$A289&gt;$B$9,K$268=""),"",IF(COUNTIFS(BD!$B$3:$B$5001,K$268,BD!$A$3:$A$5001,"&gt;="&amp;$C$7,BD!$A$3:$A$5001,"&lt;="&amp;$B289,BD!$T$3:$T$5001,"&lt;&gt;")=0,"",SUMIFS(BD!$T$3:$T$5001,BD!$B$3:$B$5001,K$268,BD!$A$3:$A$5001,_xlfn.MAXIFS(BD!$A$3:$A$5001,BD!$B$3:$B$5001,K$268,BD!$A$3:$A$5001,"&gt;="&amp;$C$7,BD!$A$3:$A$5001,"&lt;="&amp;$B289,BD!$T$3:$T$5001,"&lt;&gt;"))))</f>
        <v/>
      </c>
      <c r="L289" s="54" t="str">
        <f>IF(OR($B289="",$A289&gt;$B$9,L$268=""),"",IF(COUNTIFS(BD!$B$3:$B$5001,L$268,BD!$A$3:$A$5001,"&gt;="&amp;$C$7,BD!$A$3:$A$5001,"&lt;="&amp;$B289,BD!$T$3:$T$5001,"&lt;&gt;")=0,"",SUMIFS(BD!$T$3:$T$5001,BD!$B$3:$B$5001,L$268,BD!$A$3:$A$5001,_xlfn.MAXIFS(BD!$A$3:$A$5001,BD!$B$3:$B$5001,L$268,BD!$A$3:$A$5001,"&gt;="&amp;$C$7,BD!$A$3:$A$5001,"&lt;="&amp;$B289,BD!$T$3:$T$5001,"&lt;&gt;"))))</f>
        <v/>
      </c>
      <c r="M289" s="54" t="str">
        <f>IF(OR($B289="",$A289&gt;$B$9,M$268=""),"",IF(COUNTIFS(BD!$B$3:$B$5001,M$268,BD!$A$3:$A$5001,"&gt;="&amp;$C$7,BD!$A$3:$A$5001,"&lt;="&amp;$B289,BD!$T$3:$T$5001,"&lt;&gt;")=0,"",SUMIFS(BD!$T$3:$T$5001,BD!$B$3:$B$5001,M$268,BD!$A$3:$A$5001,_xlfn.MAXIFS(BD!$A$3:$A$5001,BD!$B$3:$B$5001,M$268,BD!$A$3:$A$5001,"&gt;="&amp;$C$7,BD!$A$3:$A$5001,"&lt;="&amp;$B289,BD!$T$3:$T$5001,"&lt;&gt;"))))</f>
        <v/>
      </c>
      <c r="N289" s="54" t="str">
        <f>IF(OR($B289="",$A289&gt;$B$9,N$268=""),"",IF(COUNTIFS(BD!$B$3:$B$5001,N$268,BD!$A$3:$A$5001,"&gt;="&amp;$C$7,BD!$A$3:$A$5001,"&lt;="&amp;$B289,BD!$T$3:$T$5001,"&lt;&gt;")=0,"",SUMIFS(BD!$T$3:$T$5001,BD!$B$3:$B$5001,N$268,BD!$A$3:$A$5001,_xlfn.MAXIFS(BD!$A$3:$A$5001,BD!$B$3:$B$5001,N$268,BD!$A$3:$A$5001,"&gt;="&amp;$C$7,BD!$A$3:$A$5001,"&lt;="&amp;$B289,BD!$T$3:$T$5001,"&lt;&gt;"))))</f>
        <v/>
      </c>
      <c r="O289" s="54" t="str">
        <f>IF(OR($B289="",$A289&gt;$B$9,O$268=""),"",IF(COUNTIFS(BD!$B$3:$B$5001,O$268,BD!$A$3:$A$5001,"&gt;="&amp;$C$7,BD!$A$3:$A$5001,"&lt;="&amp;$B289,BD!$T$3:$T$5001,"&lt;&gt;")=0,"",SUMIFS(BD!$T$3:$T$5001,BD!$B$3:$B$5001,O$268,BD!$A$3:$A$5001,_xlfn.MAXIFS(BD!$A$3:$A$5001,BD!$B$3:$B$5001,O$268,BD!$A$3:$A$5001,"&gt;="&amp;$C$7,BD!$A$3:$A$5001,"&lt;="&amp;$B289,BD!$T$3:$T$5001,"&lt;&gt;"))))</f>
        <v/>
      </c>
      <c r="P289" s="54" t="str">
        <f>IF(OR($B289="",$A289&gt;$B$9,P$268=""),"",IF(COUNTIFS(BD!$B$3:$B$5001,P$268,BD!$A$3:$A$5001,"&gt;="&amp;$C$7,BD!$A$3:$A$5001,"&lt;="&amp;$B289,BD!$T$3:$T$5001,"&lt;&gt;")=0,"",SUMIFS(BD!$T$3:$T$5001,BD!$B$3:$B$5001,P$268,BD!$A$3:$A$5001,_xlfn.MAXIFS(BD!$A$3:$A$5001,BD!$B$3:$B$5001,P$268,BD!$A$3:$A$5001,"&gt;="&amp;$C$7,BD!$A$3:$A$5001,"&lt;="&amp;$B289,BD!$T$3:$T$5001,"&lt;&gt;"))))</f>
        <v/>
      </c>
      <c r="Q289" s="54" t="str">
        <f>IF(OR($B289="",$A289&gt;$B$9,Q$268=""),"",IF(COUNTIFS(BD!$B$3:$B$5001,Q$268,BD!$A$3:$A$5001,"&gt;="&amp;$C$7,BD!$A$3:$A$5001,"&lt;="&amp;$B289,BD!$T$3:$T$5001,"&lt;&gt;")=0,"",SUMIFS(BD!$T$3:$T$5001,BD!$B$3:$B$5001,Q$268,BD!$A$3:$A$5001,_xlfn.MAXIFS(BD!$A$3:$A$5001,BD!$B$3:$B$5001,Q$268,BD!$A$3:$A$5001,"&gt;="&amp;$C$7,BD!$A$3:$A$5001,"&lt;="&amp;$B289,BD!$T$3:$T$5001,"&lt;&gt;"))))</f>
        <v/>
      </c>
      <c r="R289" s="54" t="str">
        <f>IF(OR($B289="",$A289&gt;$B$9,R$268=""),"",IF(COUNTIFS(BD!$B$3:$B$5001,R$268,BD!$A$3:$A$5001,"&gt;="&amp;$C$7,BD!$A$3:$A$5001,"&lt;="&amp;$B289,BD!$T$3:$T$5001,"&lt;&gt;")=0,"",SUMIFS(BD!$T$3:$T$5001,BD!$B$3:$B$5001,R$268,BD!$A$3:$A$5001,_xlfn.MAXIFS(BD!$A$3:$A$5001,BD!$B$3:$B$5001,R$268,BD!$A$3:$A$5001,"&gt;="&amp;$C$7,BD!$A$3:$A$5001,"&lt;="&amp;$B289,BD!$T$3:$T$5001,"&lt;&gt;"))))</f>
        <v/>
      </c>
      <c r="S289" s="54" t="str">
        <f>IF(OR($B289="",$A289&gt;$B$9,S$268=""),"",IF(COUNTIFS(BD!$B$3:$B$5001,S$268,BD!$A$3:$A$5001,"&gt;="&amp;$C$7,BD!$A$3:$A$5001,"&lt;="&amp;$B289,BD!$T$3:$T$5001,"&lt;&gt;")=0,"",SUMIFS(BD!$T$3:$T$5001,BD!$B$3:$B$5001,S$268,BD!$A$3:$A$5001,_xlfn.MAXIFS(BD!$A$3:$A$5001,BD!$B$3:$B$5001,S$268,BD!$A$3:$A$5001,"&gt;="&amp;$C$7,BD!$A$3:$A$5001,"&lt;="&amp;$B289,BD!$T$3:$T$5001,"&lt;&gt;"))))</f>
        <v/>
      </c>
      <c r="T289" s="54" t="str">
        <f>IF(OR($B289="",$A289&gt;$B$9,T$268=""),"",IF(COUNTIFS(BD!$B$3:$B$5001,T$268,BD!$A$3:$A$5001,"&gt;="&amp;$C$7,BD!$A$3:$A$5001,"&lt;="&amp;$B289,BD!$T$3:$T$5001,"&lt;&gt;")=0,"",SUMIFS(BD!$T$3:$T$5001,BD!$B$3:$B$5001,T$268,BD!$A$3:$A$5001,_xlfn.MAXIFS(BD!$A$3:$A$5001,BD!$B$3:$B$5001,T$268,BD!$A$3:$A$5001,"&gt;="&amp;$C$7,BD!$A$3:$A$5001,"&lt;="&amp;$B289,BD!$T$3:$T$5001,"&lt;&gt;"))))</f>
        <v/>
      </c>
      <c r="U289" s="54" t="str">
        <f>IF(OR($B289="",$A289&gt;$B$9,U$268=""),"",IF(COUNTIFS(BD!$B$3:$B$5001,U$268,BD!$A$3:$A$5001,"&gt;="&amp;$C$7,BD!$A$3:$A$5001,"&lt;="&amp;$B289,BD!$T$3:$T$5001,"&lt;&gt;")=0,"",SUMIFS(BD!$T$3:$T$5001,BD!$B$3:$B$5001,U$268,BD!$A$3:$A$5001,_xlfn.MAXIFS(BD!$A$3:$A$5001,BD!$B$3:$B$5001,U$268,BD!$A$3:$A$5001,"&gt;="&amp;$C$7,BD!$A$3:$A$5001,"&lt;="&amp;$B289,BD!$T$3:$T$5001,"&lt;&gt;"))))</f>
        <v/>
      </c>
      <c r="V289" s="54" t="str">
        <f>IF(OR($B289="",$A289&gt;$B$9,V$268=""),"",IF(COUNTIFS(BD!$B$3:$B$5001,V$268,BD!$A$3:$A$5001,"&gt;="&amp;$C$7,BD!$A$3:$A$5001,"&lt;="&amp;$B289,BD!$T$3:$T$5001,"&lt;&gt;")=0,"",SUMIFS(BD!$T$3:$T$5001,BD!$B$3:$B$5001,V$268,BD!$A$3:$A$5001,_xlfn.MAXIFS(BD!$A$3:$A$5001,BD!$B$3:$B$5001,V$268,BD!$A$3:$A$5001,"&gt;="&amp;$C$7,BD!$A$3:$A$5001,"&lt;="&amp;$B289,BD!$T$3:$T$5001,"&lt;&gt;"))))</f>
        <v/>
      </c>
    </row>
    <row r="290">
      <c r="A290" s="48">
        <v>22</v>
      </c>
      <c r="B290" s="53">
        <f>$B$33</f>
        <v>46317</v>
      </c>
      <c r="C290" s="54" t="str">
        <f>IF(OR($B290="",$A290&gt;$B$9,C$268=""),"",IF(COUNTIFS(BD!$B$3:$B$5001,C$268,BD!$A$3:$A$5001,"&gt;="&amp;$C$7,BD!$A$3:$A$5001,"&lt;="&amp;$B290,BD!$T$3:$T$5001,"&lt;&gt;")=0,"",SUMIFS(BD!$T$3:$T$5001,BD!$B$3:$B$5001,C$268,BD!$A$3:$A$5001,_xlfn.MAXIFS(BD!$A$3:$A$5001,BD!$B$3:$B$5001,C$268,BD!$A$3:$A$5001,"&gt;="&amp;$C$7,BD!$A$3:$A$5001,"&lt;="&amp;$B290,BD!$T$3:$T$5001,"&lt;&gt;"))))</f>
        <v/>
      </c>
      <c r="D290" s="54" t="str">
        <f>IF(OR($B290="",$A290&gt;$B$9,D$268=""),"",IF(COUNTIFS(BD!$B$3:$B$5001,D$268,BD!$A$3:$A$5001,"&gt;="&amp;$C$7,BD!$A$3:$A$5001,"&lt;="&amp;$B290,BD!$T$3:$T$5001,"&lt;&gt;")=0,"",SUMIFS(BD!$T$3:$T$5001,BD!$B$3:$B$5001,D$268,BD!$A$3:$A$5001,_xlfn.MAXIFS(BD!$A$3:$A$5001,BD!$B$3:$B$5001,D$268,BD!$A$3:$A$5001,"&gt;="&amp;$C$7,BD!$A$3:$A$5001,"&lt;="&amp;$B290,BD!$T$3:$T$5001,"&lt;&gt;"))))</f>
        <v/>
      </c>
      <c r="E290" s="54" t="str">
        <f>IF(OR($B290="",$A290&gt;$B$9,E$268=""),"",IF(COUNTIFS(BD!$B$3:$B$5001,E$268,BD!$A$3:$A$5001,"&gt;="&amp;$C$7,BD!$A$3:$A$5001,"&lt;="&amp;$B290,BD!$T$3:$T$5001,"&lt;&gt;")=0,"",SUMIFS(BD!$T$3:$T$5001,BD!$B$3:$B$5001,E$268,BD!$A$3:$A$5001,_xlfn.MAXIFS(BD!$A$3:$A$5001,BD!$B$3:$B$5001,E$268,BD!$A$3:$A$5001,"&gt;="&amp;$C$7,BD!$A$3:$A$5001,"&lt;="&amp;$B290,BD!$T$3:$T$5001,"&lt;&gt;"))))</f>
        <v/>
      </c>
      <c r="F290" s="54" t="str">
        <f>IF(OR($B290="",$A290&gt;$B$9,F$268=""),"",IF(COUNTIFS(BD!$B$3:$B$5001,F$268,BD!$A$3:$A$5001,"&gt;="&amp;$C$7,BD!$A$3:$A$5001,"&lt;="&amp;$B290,BD!$T$3:$T$5001,"&lt;&gt;")=0,"",SUMIFS(BD!$T$3:$T$5001,BD!$B$3:$B$5001,F$268,BD!$A$3:$A$5001,_xlfn.MAXIFS(BD!$A$3:$A$5001,BD!$B$3:$B$5001,F$268,BD!$A$3:$A$5001,"&gt;="&amp;$C$7,BD!$A$3:$A$5001,"&lt;="&amp;$B290,BD!$T$3:$T$5001,"&lt;&gt;"))))</f>
        <v/>
      </c>
      <c r="G290" s="54" t="str">
        <f>IF(OR($B290="",$A290&gt;$B$9,G$268=""),"",IF(COUNTIFS(BD!$B$3:$B$5001,G$268,BD!$A$3:$A$5001,"&gt;="&amp;$C$7,BD!$A$3:$A$5001,"&lt;="&amp;$B290,BD!$T$3:$T$5001,"&lt;&gt;")=0,"",SUMIFS(BD!$T$3:$T$5001,BD!$B$3:$B$5001,G$268,BD!$A$3:$A$5001,_xlfn.MAXIFS(BD!$A$3:$A$5001,BD!$B$3:$B$5001,G$268,BD!$A$3:$A$5001,"&gt;="&amp;$C$7,BD!$A$3:$A$5001,"&lt;="&amp;$B290,BD!$T$3:$T$5001,"&lt;&gt;"))))</f>
        <v/>
      </c>
      <c r="H290" s="54" t="str">
        <f>IF(OR($B290="",$A290&gt;$B$9,H$268=""),"",IF(COUNTIFS(BD!$B$3:$B$5001,H$268,BD!$A$3:$A$5001,"&gt;="&amp;$C$7,BD!$A$3:$A$5001,"&lt;="&amp;$B290,BD!$T$3:$T$5001,"&lt;&gt;")=0,"",SUMIFS(BD!$T$3:$T$5001,BD!$B$3:$B$5001,H$268,BD!$A$3:$A$5001,_xlfn.MAXIFS(BD!$A$3:$A$5001,BD!$B$3:$B$5001,H$268,BD!$A$3:$A$5001,"&gt;="&amp;$C$7,BD!$A$3:$A$5001,"&lt;="&amp;$B290,BD!$T$3:$T$5001,"&lt;&gt;"))))</f>
        <v/>
      </c>
      <c r="I290" s="54" t="str">
        <f>IF(OR($B290="",$A290&gt;$B$9,I$268=""),"",IF(COUNTIFS(BD!$B$3:$B$5001,I$268,BD!$A$3:$A$5001,"&gt;="&amp;$C$7,BD!$A$3:$A$5001,"&lt;="&amp;$B290,BD!$T$3:$T$5001,"&lt;&gt;")=0,"",SUMIFS(BD!$T$3:$T$5001,BD!$B$3:$B$5001,I$268,BD!$A$3:$A$5001,_xlfn.MAXIFS(BD!$A$3:$A$5001,BD!$B$3:$B$5001,I$268,BD!$A$3:$A$5001,"&gt;="&amp;$C$7,BD!$A$3:$A$5001,"&lt;="&amp;$B290,BD!$T$3:$T$5001,"&lt;&gt;"))))</f>
        <v/>
      </c>
      <c r="J290" s="54" t="str">
        <f>IF(OR($B290="",$A290&gt;$B$9,J$268=""),"",IF(COUNTIFS(BD!$B$3:$B$5001,J$268,BD!$A$3:$A$5001,"&gt;="&amp;$C$7,BD!$A$3:$A$5001,"&lt;="&amp;$B290,BD!$T$3:$T$5001,"&lt;&gt;")=0,"",SUMIFS(BD!$T$3:$T$5001,BD!$B$3:$B$5001,J$268,BD!$A$3:$A$5001,_xlfn.MAXIFS(BD!$A$3:$A$5001,BD!$B$3:$B$5001,J$268,BD!$A$3:$A$5001,"&gt;="&amp;$C$7,BD!$A$3:$A$5001,"&lt;="&amp;$B290,BD!$T$3:$T$5001,"&lt;&gt;"))))</f>
        <v/>
      </c>
      <c r="K290" s="54" t="str">
        <f>IF(OR($B290="",$A290&gt;$B$9,K$268=""),"",IF(COUNTIFS(BD!$B$3:$B$5001,K$268,BD!$A$3:$A$5001,"&gt;="&amp;$C$7,BD!$A$3:$A$5001,"&lt;="&amp;$B290,BD!$T$3:$T$5001,"&lt;&gt;")=0,"",SUMIFS(BD!$T$3:$T$5001,BD!$B$3:$B$5001,K$268,BD!$A$3:$A$5001,_xlfn.MAXIFS(BD!$A$3:$A$5001,BD!$B$3:$B$5001,K$268,BD!$A$3:$A$5001,"&gt;="&amp;$C$7,BD!$A$3:$A$5001,"&lt;="&amp;$B290,BD!$T$3:$T$5001,"&lt;&gt;"))))</f>
        <v/>
      </c>
      <c r="L290" s="54" t="str">
        <f>IF(OR($B290="",$A290&gt;$B$9,L$268=""),"",IF(COUNTIFS(BD!$B$3:$B$5001,L$268,BD!$A$3:$A$5001,"&gt;="&amp;$C$7,BD!$A$3:$A$5001,"&lt;="&amp;$B290,BD!$T$3:$T$5001,"&lt;&gt;")=0,"",SUMIFS(BD!$T$3:$T$5001,BD!$B$3:$B$5001,L$268,BD!$A$3:$A$5001,_xlfn.MAXIFS(BD!$A$3:$A$5001,BD!$B$3:$B$5001,L$268,BD!$A$3:$A$5001,"&gt;="&amp;$C$7,BD!$A$3:$A$5001,"&lt;="&amp;$B290,BD!$T$3:$T$5001,"&lt;&gt;"))))</f>
        <v/>
      </c>
      <c r="M290" s="54" t="str">
        <f>IF(OR($B290="",$A290&gt;$B$9,M$268=""),"",IF(COUNTIFS(BD!$B$3:$B$5001,M$268,BD!$A$3:$A$5001,"&gt;="&amp;$C$7,BD!$A$3:$A$5001,"&lt;="&amp;$B290,BD!$T$3:$T$5001,"&lt;&gt;")=0,"",SUMIFS(BD!$T$3:$T$5001,BD!$B$3:$B$5001,M$268,BD!$A$3:$A$5001,_xlfn.MAXIFS(BD!$A$3:$A$5001,BD!$B$3:$B$5001,M$268,BD!$A$3:$A$5001,"&gt;="&amp;$C$7,BD!$A$3:$A$5001,"&lt;="&amp;$B290,BD!$T$3:$T$5001,"&lt;&gt;"))))</f>
        <v/>
      </c>
      <c r="N290" s="54" t="str">
        <f>IF(OR($B290="",$A290&gt;$B$9,N$268=""),"",IF(COUNTIFS(BD!$B$3:$B$5001,N$268,BD!$A$3:$A$5001,"&gt;="&amp;$C$7,BD!$A$3:$A$5001,"&lt;="&amp;$B290,BD!$T$3:$T$5001,"&lt;&gt;")=0,"",SUMIFS(BD!$T$3:$T$5001,BD!$B$3:$B$5001,N$268,BD!$A$3:$A$5001,_xlfn.MAXIFS(BD!$A$3:$A$5001,BD!$B$3:$B$5001,N$268,BD!$A$3:$A$5001,"&gt;="&amp;$C$7,BD!$A$3:$A$5001,"&lt;="&amp;$B290,BD!$T$3:$T$5001,"&lt;&gt;"))))</f>
        <v/>
      </c>
      <c r="O290" s="54" t="str">
        <f>IF(OR($B290="",$A290&gt;$B$9,O$268=""),"",IF(COUNTIFS(BD!$B$3:$B$5001,O$268,BD!$A$3:$A$5001,"&gt;="&amp;$C$7,BD!$A$3:$A$5001,"&lt;="&amp;$B290,BD!$T$3:$T$5001,"&lt;&gt;")=0,"",SUMIFS(BD!$T$3:$T$5001,BD!$B$3:$B$5001,O$268,BD!$A$3:$A$5001,_xlfn.MAXIFS(BD!$A$3:$A$5001,BD!$B$3:$B$5001,O$268,BD!$A$3:$A$5001,"&gt;="&amp;$C$7,BD!$A$3:$A$5001,"&lt;="&amp;$B290,BD!$T$3:$T$5001,"&lt;&gt;"))))</f>
        <v/>
      </c>
      <c r="P290" s="54" t="str">
        <f>IF(OR($B290="",$A290&gt;$B$9,P$268=""),"",IF(COUNTIFS(BD!$B$3:$B$5001,P$268,BD!$A$3:$A$5001,"&gt;="&amp;$C$7,BD!$A$3:$A$5001,"&lt;="&amp;$B290,BD!$T$3:$T$5001,"&lt;&gt;")=0,"",SUMIFS(BD!$T$3:$T$5001,BD!$B$3:$B$5001,P$268,BD!$A$3:$A$5001,_xlfn.MAXIFS(BD!$A$3:$A$5001,BD!$B$3:$B$5001,P$268,BD!$A$3:$A$5001,"&gt;="&amp;$C$7,BD!$A$3:$A$5001,"&lt;="&amp;$B290,BD!$T$3:$T$5001,"&lt;&gt;"))))</f>
        <v/>
      </c>
      <c r="Q290" s="54" t="str">
        <f>IF(OR($B290="",$A290&gt;$B$9,Q$268=""),"",IF(COUNTIFS(BD!$B$3:$B$5001,Q$268,BD!$A$3:$A$5001,"&gt;="&amp;$C$7,BD!$A$3:$A$5001,"&lt;="&amp;$B290,BD!$T$3:$T$5001,"&lt;&gt;")=0,"",SUMIFS(BD!$T$3:$T$5001,BD!$B$3:$B$5001,Q$268,BD!$A$3:$A$5001,_xlfn.MAXIFS(BD!$A$3:$A$5001,BD!$B$3:$B$5001,Q$268,BD!$A$3:$A$5001,"&gt;="&amp;$C$7,BD!$A$3:$A$5001,"&lt;="&amp;$B290,BD!$T$3:$T$5001,"&lt;&gt;"))))</f>
        <v/>
      </c>
      <c r="R290" s="54" t="str">
        <f>IF(OR($B290="",$A290&gt;$B$9,R$268=""),"",IF(COUNTIFS(BD!$B$3:$B$5001,R$268,BD!$A$3:$A$5001,"&gt;="&amp;$C$7,BD!$A$3:$A$5001,"&lt;="&amp;$B290,BD!$T$3:$T$5001,"&lt;&gt;")=0,"",SUMIFS(BD!$T$3:$T$5001,BD!$B$3:$B$5001,R$268,BD!$A$3:$A$5001,_xlfn.MAXIFS(BD!$A$3:$A$5001,BD!$B$3:$B$5001,R$268,BD!$A$3:$A$5001,"&gt;="&amp;$C$7,BD!$A$3:$A$5001,"&lt;="&amp;$B290,BD!$T$3:$T$5001,"&lt;&gt;"))))</f>
        <v/>
      </c>
      <c r="S290" s="54" t="str">
        <f>IF(OR($B290="",$A290&gt;$B$9,S$268=""),"",IF(COUNTIFS(BD!$B$3:$B$5001,S$268,BD!$A$3:$A$5001,"&gt;="&amp;$C$7,BD!$A$3:$A$5001,"&lt;="&amp;$B290,BD!$T$3:$T$5001,"&lt;&gt;")=0,"",SUMIFS(BD!$T$3:$T$5001,BD!$B$3:$B$5001,S$268,BD!$A$3:$A$5001,_xlfn.MAXIFS(BD!$A$3:$A$5001,BD!$B$3:$B$5001,S$268,BD!$A$3:$A$5001,"&gt;="&amp;$C$7,BD!$A$3:$A$5001,"&lt;="&amp;$B290,BD!$T$3:$T$5001,"&lt;&gt;"))))</f>
        <v/>
      </c>
      <c r="T290" s="54" t="str">
        <f>IF(OR($B290="",$A290&gt;$B$9,T$268=""),"",IF(COUNTIFS(BD!$B$3:$B$5001,T$268,BD!$A$3:$A$5001,"&gt;="&amp;$C$7,BD!$A$3:$A$5001,"&lt;="&amp;$B290,BD!$T$3:$T$5001,"&lt;&gt;")=0,"",SUMIFS(BD!$T$3:$T$5001,BD!$B$3:$B$5001,T$268,BD!$A$3:$A$5001,_xlfn.MAXIFS(BD!$A$3:$A$5001,BD!$B$3:$B$5001,T$268,BD!$A$3:$A$5001,"&gt;="&amp;$C$7,BD!$A$3:$A$5001,"&lt;="&amp;$B290,BD!$T$3:$T$5001,"&lt;&gt;"))))</f>
        <v/>
      </c>
      <c r="U290" s="54" t="str">
        <f>IF(OR($B290="",$A290&gt;$B$9,U$268=""),"",IF(COUNTIFS(BD!$B$3:$B$5001,U$268,BD!$A$3:$A$5001,"&gt;="&amp;$C$7,BD!$A$3:$A$5001,"&lt;="&amp;$B290,BD!$T$3:$T$5001,"&lt;&gt;")=0,"",SUMIFS(BD!$T$3:$T$5001,BD!$B$3:$B$5001,U$268,BD!$A$3:$A$5001,_xlfn.MAXIFS(BD!$A$3:$A$5001,BD!$B$3:$B$5001,U$268,BD!$A$3:$A$5001,"&gt;="&amp;$C$7,BD!$A$3:$A$5001,"&lt;="&amp;$B290,BD!$T$3:$T$5001,"&lt;&gt;"))))</f>
        <v/>
      </c>
      <c r="V290" s="54" t="str">
        <f>IF(OR($B290="",$A290&gt;$B$9,V$268=""),"",IF(COUNTIFS(BD!$B$3:$B$5001,V$268,BD!$A$3:$A$5001,"&gt;="&amp;$C$7,BD!$A$3:$A$5001,"&lt;="&amp;$B290,BD!$T$3:$T$5001,"&lt;&gt;")=0,"",SUMIFS(BD!$T$3:$T$5001,BD!$B$3:$B$5001,V$268,BD!$A$3:$A$5001,_xlfn.MAXIFS(BD!$A$3:$A$5001,BD!$B$3:$B$5001,V$268,BD!$A$3:$A$5001,"&gt;="&amp;$C$7,BD!$A$3:$A$5001,"&lt;="&amp;$B290,BD!$T$3:$T$5001,"&lt;&gt;"))))</f>
        <v/>
      </c>
    </row>
    <row r="291">
      <c r="A291" s="48">
        <v>23</v>
      </c>
      <c r="B291" s="53">
        <f>$B$34</f>
        <v>46318</v>
      </c>
      <c r="C291" s="54" t="str">
        <f>IF(OR($B291="",$A291&gt;$B$9,C$268=""),"",IF(COUNTIFS(BD!$B$3:$B$5001,C$268,BD!$A$3:$A$5001,"&gt;="&amp;$C$7,BD!$A$3:$A$5001,"&lt;="&amp;$B291,BD!$T$3:$T$5001,"&lt;&gt;")=0,"",SUMIFS(BD!$T$3:$T$5001,BD!$B$3:$B$5001,C$268,BD!$A$3:$A$5001,_xlfn.MAXIFS(BD!$A$3:$A$5001,BD!$B$3:$B$5001,C$268,BD!$A$3:$A$5001,"&gt;="&amp;$C$7,BD!$A$3:$A$5001,"&lt;="&amp;$B291,BD!$T$3:$T$5001,"&lt;&gt;"))))</f>
        <v/>
      </c>
      <c r="D291" s="54" t="str">
        <f>IF(OR($B291="",$A291&gt;$B$9,D$268=""),"",IF(COUNTIFS(BD!$B$3:$B$5001,D$268,BD!$A$3:$A$5001,"&gt;="&amp;$C$7,BD!$A$3:$A$5001,"&lt;="&amp;$B291,BD!$T$3:$T$5001,"&lt;&gt;")=0,"",SUMIFS(BD!$T$3:$T$5001,BD!$B$3:$B$5001,D$268,BD!$A$3:$A$5001,_xlfn.MAXIFS(BD!$A$3:$A$5001,BD!$B$3:$B$5001,D$268,BD!$A$3:$A$5001,"&gt;="&amp;$C$7,BD!$A$3:$A$5001,"&lt;="&amp;$B291,BD!$T$3:$T$5001,"&lt;&gt;"))))</f>
        <v/>
      </c>
      <c r="E291" s="54" t="str">
        <f>IF(OR($B291="",$A291&gt;$B$9,E$268=""),"",IF(COUNTIFS(BD!$B$3:$B$5001,E$268,BD!$A$3:$A$5001,"&gt;="&amp;$C$7,BD!$A$3:$A$5001,"&lt;="&amp;$B291,BD!$T$3:$T$5001,"&lt;&gt;")=0,"",SUMIFS(BD!$T$3:$T$5001,BD!$B$3:$B$5001,E$268,BD!$A$3:$A$5001,_xlfn.MAXIFS(BD!$A$3:$A$5001,BD!$B$3:$B$5001,E$268,BD!$A$3:$A$5001,"&gt;="&amp;$C$7,BD!$A$3:$A$5001,"&lt;="&amp;$B291,BD!$T$3:$T$5001,"&lt;&gt;"))))</f>
        <v/>
      </c>
      <c r="F291" s="54" t="str">
        <f>IF(OR($B291="",$A291&gt;$B$9,F$268=""),"",IF(COUNTIFS(BD!$B$3:$B$5001,F$268,BD!$A$3:$A$5001,"&gt;="&amp;$C$7,BD!$A$3:$A$5001,"&lt;="&amp;$B291,BD!$T$3:$T$5001,"&lt;&gt;")=0,"",SUMIFS(BD!$T$3:$T$5001,BD!$B$3:$B$5001,F$268,BD!$A$3:$A$5001,_xlfn.MAXIFS(BD!$A$3:$A$5001,BD!$B$3:$B$5001,F$268,BD!$A$3:$A$5001,"&gt;="&amp;$C$7,BD!$A$3:$A$5001,"&lt;="&amp;$B291,BD!$T$3:$T$5001,"&lt;&gt;"))))</f>
        <v/>
      </c>
      <c r="G291" s="54" t="str">
        <f>IF(OR($B291="",$A291&gt;$B$9,G$268=""),"",IF(COUNTIFS(BD!$B$3:$B$5001,G$268,BD!$A$3:$A$5001,"&gt;="&amp;$C$7,BD!$A$3:$A$5001,"&lt;="&amp;$B291,BD!$T$3:$T$5001,"&lt;&gt;")=0,"",SUMIFS(BD!$T$3:$T$5001,BD!$B$3:$B$5001,G$268,BD!$A$3:$A$5001,_xlfn.MAXIFS(BD!$A$3:$A$5001,BD!$B$3:$B$5001,G$268,BD!$A$3:$A$5001,"&gt;="&amp;$C$7,BD!$A$3:$A$5001,"&lt;="&amp;$B291,BD!$T$3:$T$5001,"&lt;&gt;"))))</f>
        <v/>
      </c>
      <c r="H291" s="54" t="str">
        <f>IF(OR($B291="",$A291&gt;$B$9,H$268=""),"",IF(COUNTIFS(BD!$B$3:$B$5001,H$268,BD!$A$3:$A$5001,"&gt;="&amp;$C$7,BD!$A$3:$A$5001,"&lt;="&amp;$B291,BD!$T$3:$T$5001,"&lt;&gt;")=0,"",SUMIFS(BD!$T$3:$T$5001,BD!$B$3:$B$5001,H$268,BD!$A$3:$A$5001,_xlfn.MAXIFS(BD!$A$3:$A$5001,BD!$B$3:$B$5001,H$268,BD!$A$3:$A$5001,"&gt;="&amp;$C$7,BD!$A$3:$A$5001,"&lt;="&amp;$B291,BD!$T$3:$T$5001,"&lt;&gt;"))))</f>
        <v/>
      </c>
      <c r="I291" s="54" t="str">
        <f>IF(OR($B291="",$A291&gt;$B$9,I$268=""),"",IF(COUNTIFS(BD!$B$3:$B$5001,I$268,BD!$A$3:$A$5001,"&gt;="&amp;$C$7,BD!$A$3:$A$5001,"&lt;="&amp;$B291,BD!$T$3:$T$5001,"&lt;&gt;")=0,"",SUMIFS(BD!$T$3:$T$5001,BD!$B$3:$B$5001,I$268,BD!$A$3:$A$5001,_xlfn.MAXIFS(BD!$A$3:$A$5001,BD!$B$3:$B$5001,I$268,BD!$A$3:$A$5001,"&gt;="&amp;$C$7,BD!$A$3:$A$5001,"&lt;="&amp;$B291,BD!$T$3:$T$5001,"&lt;&gt;"))))</f>
        <v/>
      </c>
      <c r="J291" s="54" t="str">
        <f>IF(OR($B291="",$A291&gt;$B$9,J$268=""),"",IF(COUNTIFS(BD!$B$3:$B$5001,J$268,BD!$A$3:$A$5001,"&gt;="&amp;$C$7,BD!$A$3:$A$5001,"&lt;="&amp;$B291,BD!$T$3:$T$5001,"&lt;&gt;")=0,"",SUMIFS(BD!$T$3:$T$5001,BD!$B$3:$B$5001,J$268,BD!$A$3:$A$5001,_xlfn.MAXIFS(BD!$A$3:$A$5001,BD!$B$3:$B$5001,J$268,BD!$A$3:$A$5001,"&gt;="&amp;$C$7,BD!$A$3:$A$5001,"&lt;="&amp;$B291,BD!$T$3:$T$5001,"&lt;&gt;"))))</f>
        <v/>
      </c>
      <c r="K291" s="54" t="str">
        <f>IF(OR($B291="",$A291&gt;$B$9,K$268=""),"",IF(COUNTIFS(BD!$B$3:$B$5001,K$268,BD!$A$3:$A$5001,"&gt;="&amp;$C$7,BD!$A$3:$A$5001,"&lt;="&amp;$B291,BD!$T$3:$T$5001,"&lt;&gt;")=0,"",SUMIFS(BD!$T$3:$T$5001,BD!$B$3:$B$5001,K$268,BD!$A$3:$A$5001,_xlfn.MAXIFS(BD!$A$3:$A$5001,BD!$B$3:$B$5001,K$268,BD!$A$3:$A$5001,"&gt;="&amp;$C$7,BD!$A$3:$A$5001,"&lt;="&amp;$B291,BD!$T$3:$T$5001,"&lt;&gt;"))))</f>
        <v/>
      </c>
      <c r="L291" s="54" t="str">
        <f>IF(OR($B291="",$A291&gt;$B$9,L$268=""),"",IF(COUNTIFS(BD!$B$3:$B$5001,L$268,BD!$A$3:$A$5001,"&gt;="&amp;$C$7,BD!$A$3:$A$5001,"&lt;="&amp;$B291,BD!$T$3:$T$5001,"&lt;&gt;")=0,"",SUMIFS(BD!$T$3:$T$5001,BD!$B$3:$B$5001,L$268,BD!$A$3:$A$5001,_xlfn.MAXIFS(BD!$A$3:$A$5001,BD!$B$3:$B$5001,L$268,BD!$A$3:$A$5001,"&gt;="&amp;$C$7,BD!$A$3:$A$5001,"&lt;="&amp;$B291,BD!$T$3:$T$5001,"&lt;&gt;"))))</f>
        <v/>
      </c>
      <c r="M291" s="54" t="str">
        <f>IF(OR($B291="",$A291&gt;$B$9,M$268=""),"",IF(COUNTIFS(BD!$B$3:$B$5001,M$268,BD!$A$3:$A$5001,"&gt;="&amp;$C$7,BD!$A$3:$A$5001,"&lt;="&amp;$B291,BD!$T$3:$T$5001,"&lt;&gt;")=0,"",SUMIFS(BD!$T$3:$T$5001,BD!$B$3:$B$5001,M$268,BD!$A$3:$A$5001,_xlfn.MAXIFS(BD!$A$3:$A$5001,BD!$B$3:$B$5001,M$268,BD!$A$3:$A$5001,"&gt;="&amp;$C$7,BD!$A$3:$A$5001,"&lt;="&amp;$B291,BD!$T$3:$T$5001,"&lt;&gt;"))))</f>
        <v/>
      </c>
      <c r="N291" s="54" t="str">
        <f>IF(OR($B291="",$A291&gt;$B$9,N$268=""),"",IF(COUNTIFS(BD!$B$3:$B$5001,N$268,BD!$A$3:$A$5001,"&gt;="&amp;$C$7,BD!$A$3:$A$5001,"&lt;="&amp;$B291,BD!$T$3:$T$5001,"&lt;&gt;")=0,"",SUMIFS(BD!$T$3:$T$5001,BD!$B$3:$B$5001,N$268,BD!$A$3:$A$5001,_xlfn.MAXIFS(BD!$A$3:$A$5001,BD!$B$3:$B$5001,N$268,BD!$A$3:$A$5001,"&gt;="&amp;$C$7,BD!$A$3:$A$5001,"&lt;="&amp;$B291,BD!$T$3:$T$5001,"&lt;&gt;"))))</f>
        <v/>
      </c>
      <c r="O291" s="54" t="str">
        <f>IF(OR($B291="",$A291&gt;$B$9,O$268=""),"",IF(COUNTIFS(BD!$B$3:$B$5001,O$268,BD!$A$3:$A$5001,"&gt;="&amp;$C$7,BD!$A$3:$A$5001,"&lt;="&amp;$B291,BD!$T$3:$T$5001,"&lt;&gt;")=0,"",SUMIFS(BD!$T$3:$T$5001,BD!$B$3:$B$5001,O$268,BD!$A$3:$A$5001,_xlfn.MAXIFS(BD!$A$3:$A$5001,BD!$B$3:$B$5001,O$268,BD!$A$3:$A$5001,"&gt;="&amp;$C$7,BD!$A$3:$A$5001,"&lt;="&amp;$B291,BD!$T$3:$T$5001,"&lt;&gt;"))))</f>
        <v/>
      </c>
      <c r="P291" s="54" t="str">
        <f>IF(OR($B291="",$A291&gt;$B$9,P$268=""),"",IF(COUNTIFS(BD!$B$3:$B$5001,P$268,BD!$A$3:$A$5001,"&gt;="&amp;$C$7,BD!$A$3:$A$5001,"&lt;="&amp;$B291,BD!$T$3:$T$5001,"&lt;&gt;")=0,"",SUMIFS(BD!$T$3:$T$5001,BD!$B$3:$B$5001,P$268,BD!$A$3:$A$5001,_xlfn.MAXIFS(BD!$A$3:$A$5001,BD!$B$3:$B$5001,P$268,BD!$A$3:$A$5001,"&gt;="&amp;$C$7,BD!$A$3:$A$5001,"&lt;="&amp;$B291,BD!$T$3:$T$5001,"&lt;&gt;"))))</f>
        <v/>
      </c>
      <c r="Q291" s="54" t="str">
        <f>IF(OR($B291="",$A291&gt;$B$9,Q$268=""),"",IF(COUNTIFS(BD!$B$3:$B$5001,Q$268,BD!$A$3:$A$5001,"&gt;="&amp;$C$7,BD!$A$3:$A$5001,"&lt;="&amp;$B291,BD!$T$3:$T$5001,"&lt;&gt;")=0,"",SUMIFS(BD!$T$3:$T$5001,BD!$B$3:$B$5001,Q$268,BD!$A$3:$A$5001,_xlfn.MAXIFS(BD!$A$3:$A$5001,BD!$B$3:$B$5001,Q$268,BD!$A$3:$A$5001,"&gt;="&amp;$C$7,BD!$A$3:$A$5001,"&lt;="&amp;$B291,BD!$T$3:$T$5001,"&lt;&gt;"))))</f>
        <v/>
      </c>
      <c r="R291" s="54" t="str">
        <f>IF(OR($B291="",$A291&gt;$B$9,R$268=""),"",IF(COUNTIFS(BD!$B$3:$B$5001,R$268,BD!$A$3:$A$5001,"&gt;="&amp;$C$7,BD!$A$3:$A$5001,"&lt;="&amp;$B291,BD!$T$3:$T$5001,"&lt;&gt;")=0,"",SUMIFS(BD!$T$3:$T$5001,BD!$B$3:$B$5001,R$268,BD!$A$3:$A$5001,_xlfn.MAXIFS(BD!$A$3:$A$5001,BD!$B$3:$B$5001,R$268,BD!$A$3:$A$5001,"&gt;="&amp;$C$7,BD!$A$3:$A$5001,"&lt;="&amp;$B291,BD!$T$3:$T$5001,"&lt;&gt;"))))</f>
        <v/>
      </c>
      <c r="S291" s="54" t="str">
        <f>IF(OR($B291="",$A291&gt;$B$9,S$268=""),"",IF(COUNTIFS(BD!$B$3:$B$5001,S$268,BD!$A$3:$A$5001,"&gt;="&amp;$C$7,BD!$A$3:$A$5001,"&lt;="&amp;$B291,BD!$T$3:$T$5001,"&lt;&gt;")=0,"",SUMIFS(BD!$T$3:$T$5001,BD!$B$3:$B$5001,S$268,BD!$A$3:$A$5001,_xlfn.MAXIFS(BD!$A$3:$A$5001,BD!$B$3:$B$5001,S$268,BD!$A$3:$A$5001,"&gt;="&amp;$C$7,BD!$A$3:$A$5001,"&lt;="&amp;$B291,BD!$T$3:$T$5001,"&lt;&gt;"))))</f>
        <v/>
      </c>
      <c r="T291" s="54" t="str">
        <f>IF(OR($B291="",$A291&gt;$B$9,T$268=""),"",IF(COUNTIFS(BD!$B$3:$B$5001,T$268,BD!$A$3:$A$5001,"&gt;="&amp;$C$7,BD!$A$3:$A$5001,"&lt;="&amp;$B291,BD!$T$3:$T$5001,"&lt;&gt;")=0,"",SUMIFS(BD!$T$3:$T$5001,BD!$B$3:$B$5001,T$268,BD!$A$3:$A$5001,_xlfn.MAXIFS(BD!$A$3:$A$5001,BD!$B$3:$B$5001,T$268,BD!$A$3:$A$5001,"&gt;="&amp;$C$7,BD!$A$3:$A$5001,"&lt;="&amp;$B291,BD!$T$3:$T$5001,"&lt;&gt;"))))</f>
        <v/>
      </c>
      <c r="U291" s="54" t="str">
        <f>IF(OR($B291="",$A291&gt;$B$9,U$268=""),"",IF(COUNTIFS(BD!$B$3:$B$5001,U$268,BD!$A$3:$A$5001,"&gt;="&amp;$C$7,BD!$A$3:$A$5001,"&lt;="&amp;$B291,BD!$T$3:$T$5001,"&lt;&gt;")=0,"",SUMIFS(BD!$T$3:$T$5001,BD!$B$3:$B$5001,U$268,BD!$A$3:$A$5001,_xlfn.MAXIFS(BD!$A$3:$A$5001,BD!$B$3:$B$5001,U$268,BD!$A$3:$A$5001,"&gt;="&amp;$C$7,BD!$A$3:$A$5001,"&lt;="&amp;$B291,BD!$T$3:$T$5001,"&lt;&gt;"))))</f>
        <v/>
      </c>
      <c r="V291" s="54" t="str">
        <f>IF(OR($B291="",$A291&gt;$B$9,V$268=""),"",IF(COUNTIFS(BD!$B$3:$B$5001,V$268,BD!$A$3:$A$5001,"&gt;="&amp;$C$7,BD!$A$3:$A$5001,"&lt;="&amp;$B291,BD!$T$3:$T$5001,"&lt;&gt;")=0,"",SUMIFS(BD!$T$3:$T$5001,BD!$B$3:$B$5001,V$268,BD!$A$3:$A$5001,_xlfn.MAXIFS(BD!$A$3:$A$5001,BD!$B$3:$B$5001,V$268,BD!$A$3:$A$5001,"&gt;="&amp;$C$7,BD!$A$3:$A$5001,"&lt;="&amp;$B291,BD!$T$3:$T$5001,"&lt;&gt;"))))</f>
        <v/>
      </c>
    </row>
    <row r="292">
      <c r="A292" s="48">
        <v>24</v>
      </c>
      <c r="B292" s="53">
        <f>$B$35</f>
        <v>46319</v>
      </c>
      <c r="C292" s="54" t="str">
        <f>IF(OR($B292="",$A292&gt;$B$9,C$268=""),"",IF(COUNTIFS(BD!$B$3:$B$5001,C$268,BD!$A$3:$A$5001,"&gt;="&amp;$C$7,BD!$A$3:$A$5001,"&lt;="&amp;$B292,BD!$T$3:$T$5001,"&lt;&gt;")=0,"",SUMIFS(BD!$T$3:$T$5001,BD!$B$3:$B$5001,C$268,BD!$A$3:$A$5001,_xlfn.MAXIFS(BD!$A$3:$A$5001,BD!$B$3:$B$5001,C$268,BD!$A$3:$A$5001,"&gt;="&amp;$C$7,BD!$A$3:$A$5001,"&lt;="&amp;$B292,BD!$T$3:$T$5001,"&lt;&gt;"))))</f>
        <v/>
      </c>
      <c r="D292" s="54" t="str">
        <f>IF(OR($B292="",$A292&gt;$B$9,D$268=""),"",IF(COUNTIFS(BD!$B$3:$B$5001,D$268,BD!$A$3:$A$5001,"&gt;="&amp;$C$7,BD!$A$3:$A$5001,"&lt;="&amp;$B292,BD!$T$3:$T$5001,"&lt;&gt;")=0,"",SUMIFS(BD!$T$3:$T$5001,BD!$B$3:$B$5001,D$268,BD!$A$3:$A$5001,_xlfn.MAXIFS(BD!$A$3:$A$5001,BD!$B$3:$B$5001,D$268,BD!$A$3:$A$5001,"&gt;="&amp;$C$7,BD!$A$3:$A$5001,"&lt;="&amp;$B292,BD!$T$3:$T$5001,"&lt;&gt;"))))</f>
        <v/>
      </c>
      <c r="E292" s="54" t="str">
        <f>IF(OR($B292="",$A292&gt;$B$9,E$268=""),"",IF(COUNTIFS(BD!$B$3:$B$5001,E$268,BD!$A$3:$A$5001,"&gt;="&amp;$C$7,BD!$A$3:$A$5001,"&lt;="&amp;$B292,BD!$T$3:$T$5001,"&lt;&gt;")=0,"",SUMIFS(BD!$T$3:$T$5001,BD!$B$3:$B$5001,E$268,BD!$A$3:$A$5001,_xlfn.MAXIFS(BD!$A$3:$A$5001,BD!$B$3:$B$5001,E$268,BD!$A$3:$A$5001,"&gt;="&amp;$C$7,BD!$A$3:$A$5001,"&lt;="&amp;$B292,BD!$T$3:$T$5001,"&lt;&gt;"))))</f>
        <v/>
      </c>
      <c r="F292" s="54" t="str">
        <f>IF(OR($B292="",$A292&gt;$B$9,F$268=""),"",IF(COUNTIFS(BD!$B$3:$B$5001,F$268,BD!$A$3:$A$5001,"&gt;="&amp;$C$7,BD!$A$3:$A$5001,"&lt;="&amp;$B292,BD!$T$3:$T$5001,"&lt;&gt;")=0,"",SUMIFS(BD!$T$3:$T$5001,BD!$B$3:$B$5001,F$268,BD!$A$3:$A$5001,_xlfn.MAXIFS(BD!$A$3:$A$5001,BD!$B$3:$B$5001,F$268,BD!$A$3:$A$5001,"&gt;="&amp;$C$7,BD!$A$3:$A$5001,"&lt;="&amp;$B292,BD!$T$3:$T$5001,"&lt;&gt;"))))</f>
        <v/>
      </c>
      <c r="G292" s="54" t="str">
        <f>IF(OR($B292="",$A292&gt;$B$9,G$268=""),"",IF(COUNTIFS(BD!$B$3:$B$5001,G$268,BD!$A$3:$A$5001,"&gt;="&amp;$C$7,BD!$A$3:$A$5001,"&lt;="&amp;$B292,BD!$T$3:$T$5001,"&lt;&gt;")=0,"",SUMIFS(BD!$T$3:$T$5001,BD!$B$3:$B$5001,G$268,BD!$A$3:$A$5001,_xlfn.MAXIFS(BD!$A$3:$A$5001,BD!$B$3:$B$5001,G$268,BD!$A$3:$A$5001,"&gt;="&amp;$C$7,BD!$A$3:$A$5001,"&lt;="&amp;$B292,BD!$T$3:$T$5001,"&lt;&gt;"))))</f>
        <v/>
      </c>
      <c r="H292" s="54" t="str">
        <f>IF(OR($B292="",$A292&gt;$B$9,H$268=""),"",IF(COUNTIFS(BD!$B$3:$B$5001,H$268,BD!$A$3:$A$5001,"&gt;="&amp;$C$7,BD!$A$3:$A$5001,"&lt;="&amp;$B292,BD!$T$3:$T$5001,"&lt;&gt;")=0,"",SUMIFS(BD!$T$3:$T$5001,BD!$B$3:$B$5001,H$268,BD!$A$3:$A$5001,_xlfn.MAXIFS(BD!$A$3:$A$5001,BD!$B$3:$B$5001,H$268,BD!$A$3:$A$5001,"&gt;="&amp;$C$7,BD!$A$3:$A$5001,"&lt;="&amp;$B292,BD!$T$3:$T$5001,"&lt;&gt;"))))</f>
        <v/>
      </c>
      <c r="I292" s="54" t="str">
        <f>IF(OR($B292="",$A292&gt;$B$9,I$268=""),"",IF(COUNTIFS(BD!$B$3:$B$5001,I$268,BD!$A$3:$A$5001,"&gt;="&amp;$C$7,BD!$A$3:$A$5001,"&lt;="&amp;$B292,BD!$T$3:$T$5001,"&lt;&gt;")=0,"",SUMIFS(BD!$T$3:$T$5001,BD!$B$3:$B$5001,I$268,BD!$A$3:$A$5001,_xlfn.MAXIFS(BD!$A$3:$A$5001,BD!$B$3:$B$5001,I$268,BD!$A$3:$A$5001,"&gt;="&amp;$C$7,BD!$A$3:$A$5001,"&lt;="&amp;$B292,BD!$T$3:$T$5001,"&lt;&gt;"))))</f>
        <v/>
      </c>
      <c r="J292" s="54" t="str">
        <f>IF(OR($B292="",$A292&gt;$B$9,J$268=""),"",IF(COUNTIFS(BD!$B$3:$B$5001,J$268,BD!$A$3:$A$5001,"&gt;="&amp;$C$7,BD!$A$3:$A$5001,"&lt;="&amp;$B292,BD!$T$3:$T$5001,"&lt;&gt;")=0,"",SUMIFS(BD!$T$3:$T$5001,BD!$B$3:$B$5001,J$268,BD!$A$3:$A$5001,_xlfn.MAXIFS(BD!$A$3:$A$5001,BD!$B$3:$B$5001,J$268,BD!$A$3:$A$5001,"&gt;="&amp;$C$7,BD!$A$3:$A$5001,"&lt;="&amp;$B292,BD!$T$3:$T$5001,"&lt;&gt;"))))</f>
        <v/>
      </c>
      <c r="K292" s="54" t="str">
        <f>IF(OR($B292="",$A292&gt;$B$9,K$268=""),"",IF(COUNTIFS(BD!$B$3:$B$5001,K$268,BD!$A$3:$A$5001,"&gt;="&amp;$C$7,BD!$A$3:$A$5001,"&lt;="&amp;$B292,BD!$T$3:$T$5001,"&lt;&gt;")=0,"",SUMIFS(BD!$T$3:$T$5001,BD!$B$3:$B$5001,K$268,BD!$A$3:$A$5001,_xlfn.MAXIFS(BD!$A$3:$A$5001,BD!$B$3:$B$5001,K$268,BD!$A$3:$A$5001,"&gt;="&amp;$C$7,BD!$A$3:$A$5001,"&lt;="&amp;$B292,BD!$T$3:$T$5001,"&lt;&gt;"))))</f>
        <v/>
      </c>
      <c r="L292" s="54" t="str">
        <f>IF(OR($B292="",$A292&gt;$B$9,L$268=""),"",IF(COUNTIFS(BD!$B$3:$B$5001,L$268,BD!$A$3:$A$5001,"&gt;="&amp;$C$7,BD!$A$3:$A$5001,"&lt;="&amp;$B292,BD!$T$3:$T$5001,"&lt;&gt;")=0,"",SUMIFS(BD!$T$3:$T$5001,BD!$B$3:$B$5001,L$268,BD!$A$3:$A$5001,_xlfn.MAXIFS(BD!$A$3:$A$5001,BD!$B$3:$B$5001,L$268,BD!$A$3:$A$5001,"&gt;="&amp;$C$7,BD!$A$3:$A$5001,"&lt;="&amp;$B292,BD!$T$3:$T$5001,"&lt;&gt;"))))</f>
        <v/>
      </c>
      <c r="M292" s="54" t="str">
        <f>IF(OR($B292="",$A292&gt;$B$9,M$268=""),"",IF(COUNTIFS(BD!$B$3:$B$5001,M$268,BD!$A$3:$A$5001,"&gt;="&amp;$C$7,BD!$A$3:$A$5001,"&lt;="&amp;$B292,BD!$T$3:$T$5001,"&lt;&gt;")=0,"",SUMIFS(BD!$T$3:$T$5001,BD!$B$3:$B$5001,M$268,BD!$A$3:$A$5001,_xlfn.MAXIFS(BD!$A$3:$A$5001,BD!$B$3:$B$5001,M$268,BD!$A$3:$A$5001,"&gt;="&amp;$C$7,BD!$A$3:$A$5001,"&lt;="&amp;$B292,BD!$T$3:$T$5001,"&lt;&gt;"))))</f>
        <v/>
      </c>
      <c r="N292" s="54" t="str">
        <f>IF(OR($B292="",$A292&gt;$B$9,N$268=""),"",IF(COUNTIFS(BD!$B$3:$B$5001,N$268,BD!$A$3:$A$5001,"&gt;="&amp;$C$7,BD!$A$3:$A$5001,"&lt;="&amp;$B292,BD!$T$3:$T$5001,"&lt;&gt;")=0,"",SUMIFS(BD!$T$3:$T$5001,BD!$B$3:$B$5001,N$268,BD!$A$3:$A$5001,_xlfn.MAXIFS(BD!$A$3:$A$5001,BD!$B$3:$B$5001,N$268,BD!$A$3:$A$5001,"&gt;="&amp;$C$7,BD!$A$3:$A$5001,"&lt;="&amp;$B292,BD!$T$3:$T$5001,"&lt;&gt;"))))</f>
        <v/>
      </c>
      <c r="O292" s="54" t="str">
        <f>IF(OR($B292="",$A292&gt;$B$9,O$268=""),"",IF(COUNTIFS(BD!$B$3:$B$5001,O$268,BD!$A$3:$A$5001,"&gt;="&amp;$C$7,BD!$A$3:$A$5001,"&lt;="&amp;$B292,BD!$T$3:$T$5001,"&lt;&gt;")=0,"",SUMIFS(BD!$T$3:$T$5001,BD!$B$3:$B$5001,O$268,BD!$A$3:$A$5001,_xlfn.MAXIFS(BD!$A$3:$A$5001,BD!$B$3:$B$5001,O$268,BD!$A$3:$A$5001,"&gt;="&amp;$C$7,BD!$A$3:$A$5001,"&lt;="&amp;$B292,BD!$T$3:$T$5001,"&lt;&gt;"))))</f>
        <v/>
      </c>
      <c r="P292" s="54" t="str">
        <f>IF(OR($B292="",$A292&gt;$B$9,P$268=""),"",IF(COUNTIFS(BD!$B$3:$B$5001,P$268,BD!$A$3:$A$5001,"&gt;="&amp;$C$7,BD!$A$3:$A$5001,"&lt;="&amp;$B292,BD!$T$3:$T$5001,"&lt;&gt;")=0,"",SUMIFS(BD!$T$3:$T$5001,BD!$B$3:$B$5001,P$268,BD!$A$3:$A$5001,_xlfn.MAXIFS(BD!$A$3:$A$5001,BD!$B$3:$B$5001,P$268,BD!$A$3:$A$5001,"&gt;="&amp;$C$7,BD!$A$3:$A$5001,"&lt;="&amp;$B292,BD!$T$3:$T$5001,"&lt;&gt;"))))</f>
        <v/>
      </c>
      <c r="Q292" s="54" t="str">
        <f>IF(OR($B292="",$A292&gt;$B$9,Q$268=""),"",IF(COUNTIFS(BD!$B$3:$B$5001,Q$268,BD!$A$3:$A$5001,"&gt;="&amp;$C$7,BD!$A$3:$A$5001,"&lt;="&amp;$B292,BD!$T$3:$T$5001,"&lt;&gt;")=0,"",SUMIFS(BD!$T$3:$T$5001,BD!$B$3:$B$5001,Q$268,BD!$A$3:$A$5001,_xlfn.MAXIFS(BD!$A$3:$A$5001,BD!$B$3:$B$5001,Q$268,BD!$A$3:$A$5001,"&gt;="&amp;$C$7,BD!$A$3:$A$5001,"&lt;="&amp;$B292,BD!$T$3:$T$5001,"&lt;&gt;"))))</f>
        <v/>
      </c>
      <c r="R292" s="54" t="str">
        <f>IF(OR($B292="",$A292&gt;$B$9,R$268=""),"",IF(COUNTIFS(BD!$B$3:$B$5001,R$268,BD!$A$3:$A$5001,"&gt;="&amp;$C$7,BD!$A$3:$A$5001,"&lt;="&amp;$B292,BD!$T$3:$T$5001,"&lt;&gt;")=0,"",SUMIFS(BD!$T$3:$T$5001,BD!$B$3:$B$5001,R$268,BD!$A$3:$A$5001,_xlfn.MAXIFS(BD!$A$3:$A$5001,BD!$B$3:$B$5001,R$268,BD!$A$3:$A$5001,"&gt;="&amp;$C$7,BD!$A$3:$A$5001,"&lt;="&amp;$B292,BD!$T$3:$T$5001,"&lt;&gt;"))))</f>
        <v/>
      </c>
      <c r="S292" s="54" t="str">
        <f>IF(OR($B292="",$A292&gt;$B$9,S$268=""),"",IF(COUNTIFS(BD!$B$3:$B$5001,S$268,BD!$A$3:$A$5001,"&gt;="&amp;$C$7,BD!$A$3:$A$5001,"&lt;="&amp;$B292,BD!$T$3:$T$5001,"&lt;&gt;")=0,"",SUMIFS(BD!$T$3:$T$5001,BD!$B$3:$B$5001,S$268,BD!$A$3:$A$5001,_xlfn.MAXIFS(BD!$A$3:$A$5001,BD!$B$3:$B$5001,S$268,BD!$A$3:$A$5001,"&gt;="&amp;$C$7,BD!$A$3:$A$5001,"&lt;="&amp;$B292,BD!$T$3:$T$5001,"&lt;&gt;"))))</f>
        <v/>
      </c>
      <c r="T292" s="54" t="str">
        <f>IF(OR($B292="",$A292&gt;$B$9,T$268=""),"",IF(COUNTIFS(BD!$B$3:$B$5001,T$268,BD!$A$3:$A$5001,"&gt;="&amp;$C$7,BD!$A$3:$A$5001,"&lt;="&amp;$B292,BD!$T$3:$T$5001,"&lt;&gt;")=0,"",SUMIFS(BD!$T$3:$T$5001,BD!$B$3:$B$5001,T$268,BD!$A$3:$A$5001,_xlfn.MAXIFS(BD!$A$3:$A$5001,BD!$B$3:$B$5001,T$268,BD!$A$3:$A$5001,"&gt;="&amp;$C$7,BD!$A$3:$A$5001,"&lt;="&amp;$B292,BD!$T$3:$T$5001,"&lt;&gt;"))))</f>
        <v/>
      </c>
      <c r="U292" s="54" t="str">
        <f>IF(OR($B292="",$A292&gt;$B$9,U$268=""),"",IF(COUNTIFS(BD!$B$3:$B$5001,U$268,BD!$A$3:$A$5001,"&gt;="&amp;$C$7,BD!$A$3:$A$5001,"&lt;="&amp;$B292,BD!$T$3:$T$5001,"&lt;&gt;")=0,"",SUMIFS(BD!$T$3:$T$5001,BD!$B$3:$B$5001,U$268,BD!$A$3:$A$5001,_xlfn.MAXIFS(BD!$A$3:$A$5001,BD!$B$3:$B$5001,U$268,BD!$A$3:$A$5001,"&gt;="&amp;$C$7,BD!$A$3:$A$5001,"&lt;="&amp;$B292,BD!$T$3:$T$5001,"&lt;&gt;"))))</f>
        <v/>
      </c>
      <c r="V292" s="54" t="str">
        <f>IF(OR($B292="",$A292&gt;$B$9,V$268=""),"",IF(COUNTIFS(BD!$B$3:$B$5001,V$268,BD!$A$3:$A$5001,"&gt;="&amp;$C$7,BD!$A$3:$A$5001,"&lt;="&amp;$B292,BD!$T$3:$T$5001,"&lt;&gt;")=0,"",SUMIFS(BD!$T$3:$T$5001,BD!$B$3:$B$5001,V$268,BD!$A$3:$A$5001,_xlfn.MAXIFS(BD!$A$3:$A$5001,BD!$B$3:$B$5001,V$268,BD!$A$3:$A$5001,"&gt;="&amp;$C$7,BD!$A$3:$A$5001,"&lt;="&amp;$B292,BD!$T$3:$T$5001,"&lt;&gt;"))))</f>
        <v/>
      </c>
    </row>
    <row r="293">
      <c r="A293" s="48">
        <v>25</v>
      </c>
      <c r="B293" s="53">
        <f>$B$36</f>
        <v>46320</v>
      </c>
      <c r="C293" s="54" t="str">
        <f>IF(OR($B293="",$A293&gt;$B$9,C$268=""),"",IF(COUNTIFS(BD!$B$3:$B$5001,C$268,BD!$A$3:$A$5001,"&gt;="&amp;$C$7,BD!$A$3:$A$5001,"&lt;="&amp;$B293,BD!$T$3:$T$5001,"&lt;&gt;")=0,"",SUMIFS(BD!$T$3:$T$5001,BD!$B$3:$B$5001,C$268,BD!$A$3:$A$5001,_xlfn.MAXIFS(BD!$A$3:$A$5001,BD!$B$3:$B$5001,C$268,BD!$A$3:$A$5001,"&gt;="&amp;$C$7,BD!$A$3:$A$5001,"&lt;="&amp;$B293,BD!$T$3:$T$5001,"&lt;&gt;"))))</f>
        <v/>
      </c>
      <c r="D293" s="54" t="str">
        <f>IF(OR($B293="",$A293&gt;$B$9,D$268=""),"",IF(COUNTIFS(BD!$B$3:$B$5001,D$268,BD!$A$3:$A$5001,"&gt;="&amp;$C$7,BD!$A$3:$A$5001,"&lt;="&amp;$B293,BD!$T$3:$T$5001,"&lt;&gt;")=0,"",SUMIFS(BD!$T$3:$T$5001,BD!$B$3:$B$5001,D$268,BD!$A$3:$A$5001,_xlfn.MAXIFS(BD!$A$3:$A$5001,BD!$B$3:$B$5001,D$268,BD!$A$3:$A$5001,"&gt;="&amp;$C$7,BD!$A$3:$A$5001,"&lt;="&amp;$B293,BD!$T$3:$T$5001,"&lt;&gt;"))))</f>
        <v/>
      </c>
      <c r="E293" s="54" t="str">
        <f>IF(OR($B293="",$A293&gt;$B$9,E$268=""),"",IF(COUNTIFS(BD!$B$3:$B$5001,E$268,BD!$A$3:$A$5001,"&gt;="&amp;$C$7,BD!$A$3:$A$5001,"&lt;="&amp;$B293,BD!$T$3:$T$5001,"&lt;&gt;")=0,"",SUMIFS(BD!$T$3:$T$5001,BD!$B$3:$B$5001,E$268,BD!$A$3:$A$5001,_xlfn.MAXIFS(BD!$A$3:$A$5001,BD!$B$3:$B$5001,E$268,BD!$A$3:$A$5001,"&gt;="&amp;$C$7,BD!$A$3:$A$5001,"&lt;="&amp;$B293,BD!$T$3:$T$5001,"&lt;&gt;"))))</f>
        <v/>
      </c>
      <c r="F293" s="54" t="str">
        <f>IF(OR($B293="",$A293&gt;$B$9,F$268=""),"",IF(COUNTIFS(BD!$B$3:$B$5001,F$268,BD!$A$3:$A$5001,"&gt;="&amp;$C$7,BD!$A$3:$A$5001,"&lt;="&amp;$B293,BD!$T$3:$T$5001,"&lt;&gt;")=0,"",SUMIFS(BD!$T$3:$T$5001,BD!$B$3:$B$5001,F$268,BD!$A$3:$A$5001,_xlfn.MAXIFS(BD!$A$3:$A$5001,BD!$B$3:$B$5001,F$268,BD!$A$3:$A$5001,"&gt;="&amp;$C$7,BD!$A$3:$A$5001,"&lt;="&amp;$B293,BD!$T$3:$T$5001,"&lt;&gt;"))))</f>
        <v/>
      </c>
      <c r="G293" s="54" t="str">
        <f>IF(OR($B293="",$A293&gt;$B$9,G$268=""),"",IF(COUNTIFS(BD!$B$3:$B$5001,G$268,BD!$A$3:$A$5001,"&gt;="&amp;$C$7,BD!$A$3:$A$5001,"&lt;="&amp;$B293,BD!$T$3:$T$5001,"&lt;&gt;")=0,"",SUMIFS(BD!$T$3:$T$5001,BD!$B$3:$B$5001,G$268,BD!$A$3:$A$5001,_xlfn.MAXIFS(BD!$A$3:$A$5001,BD!$B$3:$B$5001,G$268,BD!$A$3:$A$5001,"&gt;="&amp;$C$7,BD!$A$3:$A$5001,"&lt;="&amp;$B293,BD!$T$3:$T$5001,"&lt;&gt;"))))</f>
        <v/>
      </c>
      <c r="H293" s="54" t="str">
        <f>IF(OR($B293="",$A293&gt;$B$9,H$268=""),"",IF(COUNTIFS(BD!$B$3:$B$5001,H$268,BD!$A$3:$A$5001,"&gt;="&amp;$C$7,BD!$A$3:$A$5001,"&lt;="&amp;$B293,BD!$T$3:$T$5001,"&lt;&gt;")=0,"",SUMIFS(BD!$T$3:$T$5001,BD!$B$3:$B$5001,H$268,BD!$A$3:$A$5001,_xlfn.MAXIFS(BD!$A$3:$A$5001,BD!$B$3:$B$5001,H$268,BD!$A$3:$A$5001,"&gt;="&amp;$C$7,BD!$A$3:$A$5001,"&lt;="&amp;$B293,BD!$T$3:$T$5001,"&lt;&gt;"))))</f>
        <v/>
      </c>
      <c r="I293" s="54" t="str">
        <f>IF(OR($B293="",$A293&gt;$B$9,I$268=""),"",IF(COUNTIFS(BD!$B$3:$B$5001,I$268,BD!$A$3:$A$5001,"&gt;="&amp;$C$7,BD!$A$3:$A$5001,"&lt;="&amp;$B293,BD!$T$3:$T$5001,"&lt;&gt;")=0,"",SUMIFS(BD!$T$3:$T$5001,BD!$B$3:$B$5001,I$268,BD!$A$3:$A$5001,_xlfn.MAXIFS(BD!$A$3:$A$5001,BD!$B$3:$B$5001,I$268,BD!$A$3:$A$5001,"&gt;="&amp;$C$7,BD!$A$3:$A$5001,"&lt;="&amp;$B293,BD!$T$3:$T$5001,"&lt;&gt;"))))</f>
        <v/>
      </c>
      <c r="J293" s="54" t="str">
        <f>IF(OR($B293="",$A293&gt;$B$9,J$268=""),"",IF(COUNTIFS(BD!$B$3:$B$5001,J$268,BD!$A$3:$A$5001,"&gt;="&amp;$C$7,BD!$A$3:$A$5001,"&lt;="&amp;$B293,BD!$T$3:$T$5001,"&lt;&gt;")=0,"",SUMIFS(BD!$T$3:$T$5001,BD!$B$3:$B$5001,J$268,BD!$A$3:$A$5001,_xlfn.MAXIFS(BD!$A$3:$A$5001,BD!$B$3:$B$5001,J$268,BD!$A$3:$A$5001,"&gt;="&amp;$C$7,BD!$A$3:$A$5001,"&lt;="&amp;$B293,BD!$T$3:$T$5001,"&lt;&gt;"))))</f>
        <v/>
      </c>
      <c r="K293" s="54" t="str">
        <f>IF(OR($B293="",$A293&gt;$B$9,K$268=""),"",IF(COUNTIFS(BD!$B$3:$B$5001,K$268,BD!$A$3:$A$5001,"&gt;="&amp;$C$7,BD!$A$3:$A$5001,"&lt;="&amp;$B293,BD!$T$3:$T$5001,"&lt;&gt;")=0,"",SUMIFS(BD!$T$3:$T$5001,BD!$B$3:$B$5001,K$268,BD!$A$3:$A$5001,_xlfn.MAXIFS(BD!$A$3:$A$5001,BD!$B$3:$B$5001,K$268,BD!$A$3:$A$5001,"&gt;="&amp;$C$7,BD!$A$3:$A$5001,"&lt;="&amp;$B293,BD!$T$3:$T$5001,"&lt;&gt;"))))</f>
        <v/>
      </c>
      <c r="L293" s="54" t="str">
        <f>IF(OR($B293="",$A293&gt;$B$9,L$268=""),"",IF(COUNTIFS(BD!$B$3:$B$5001,L$268,BD!$A$3:$A$5001,"&gt;="&amp;$C$7,BD!$A$3:$A$5001,"&lt;="&amp;$B293,BD!$T$3:$T$5001,"&lt;&gt;")=0,"",SUMIFS(BD!$T$3:$T$5001,BD!$B$3:$B$5001,L$268,BD!$A$3:$A$5001,_xlfn.MAXIFS(BD!$A$3:$A$5001,BD!$B$3:$B$5001,L$268,BD!$A$3:$A$5001,"&gt;="&amp;$C$7,BD!$A$3:$A$5001,"&lt;="&amp;$B293,BD!$T$3:$T$5001,"&lt;&gt;"))))</f>
        <v/>
      </c>
      <c r="M293" s="54" t="str">
        <f>IF(OR($B293="",$A293&gt;$B$9,M$268=""),"",IF(COUNTIFS(BD!$B$3:$B$5001,M$268,BD!$A$3:$A$5001,"&gt;="&amp;$C$7,BD!$A$3:$A$5001,"&lt;="&amp;$B293,BD!$T$3:$T$5001,"&lt;&gt;")=0,"",SUMIFS(BD!$T$3:$T$5001,BD!$B$3:$B$5001,M$268,BD!$A$3:$A$5001,_xlfn.MAXIFS(BD!$A$3:$A$5001,BD!$B$3:$B$5001,M$268,BD!$A$3:$A$5001,"&gt;="&amp;$C$7,BD!$A$3:$A$5001,"&lt;="&amp;$B293,BD!$T$3:$T$5001,"&lt;&gt;"))))</f>
        <v/>
      </c>
      <c r="N293" s="54" t="str">
        <f>IF(OR($B293="",$A293&gt;$B$9,N$268=""),"",IF(COUNTIFS(BD!$B$3:$B$5001,N$268,BD!$A$3:$A$5001,"&gt;="&amp;$C$7,BD!$A$3:$A$5001,"&lt;="&amp;$B293,BD!$T$3:$T$5001,"&lt;&gt;")=0,"",SUMIFS(BD!$T$3:$T$5001,BD!$B$3:$B$5001,N$268,BD!$A$3:$A$5001,_xlfn.MAXIFS(BD!$A$3:$A$5001,BD!$B$3:$B$5001,N$268,BD!$A$3:$A$5001,"&gt;="&amp;$C$7,BD!$A$3:$A$5001,"&lt;="&amp;$B293,BD!$T$3:$T$5001,"&lt;&gt;"))))</f>
        <v/>
      </c>
      <c r="O293" s="54" t="str">
        <f>IF(OR($B293="",$A293&gt;$B$9,O$268=""),"",IF(COUNTIFS(BD!$B$3:$B$5001,O$268,BD!$A$3:$A$5001,"&gt;="&amp;$C$7,BD!$A$3:$A$5001,"&lt;="&amp;$B293,BD!$T$3:$T$5001,"&lt;&gt;")=0,"",SUMIFS(BD!$T$3:$T$5001,BD!$B$3:$B$5001,O$268,BD!$A$3:$A$5001,_xlfn.MAXIFS(BD!$A$3:$A$5001,BD!$B$3:$B$5001,O$268,BD!$A$3:$A$5001,"&gt;="&amp;$C$7,BD!$A$3:$A$5001,"&lt;="&amp;$B293,BD!$T$3:$T$5001,"&lt;&gt;"))))</f>
        <v/>
      </c>
      <c r="P293" s="54" t="str">
        <f>IF(OR($B293="",$A293&gt;$B$9,P$268=""),"",IF(COUNTIFS(BD!$B$3:$B$5001,P$268,BD!$A$3:$A$5001,"&gt;="&amp;$C$7,BD!$A$3:$A$5001,"&lt;="&amp;$B293,BD!$T$3:$T$5001,"&lt;&gt;")=0,"",SUMIFS(BD!$T$3:$T$5001,BD!$B$3:$B$5001,P$268,BD!$A$3:$A$5001,_xlfn.MAXIFS(BD!$A$3:$A$5001,BD!$B$3:$B$5001,P$268,BD!$A$3:$A$5001,"&gt;="&amp;$C$7,BD!$A$3:$A$5001,"&lt;="&amp;$B293,BD!$T$3:$T$5001,"&lt;&gt;"))))</f>
        <v/>
      </c>
      <c r="Q293" s="54" t="str">
        <f>IF(OR($B293="",$A293&gt;$B$9,Q$268=""),"",IF(COUNTIFS(BD!$B$3:$B$5001,Q$268,BD!$A$3:$A$5001,"&gt;="&amp;$C$7,BD!$A$3:$A$5001,"&lt;="&amp;$B293,BD!$T$3:$T$5001,"&lt;&gt;")=0,"",SUMIFS(BD!$T$3:$T$5001,BD!$B$3:$B$5001,Q$268,BD!$A$3:$A$5001,_xlfn.MAXIFS(BD!$A$3:$A$5001,BD!$B$3:$B$5001,Q$268,BD!$A$3:$A$5001,"&gt;="&amp;$C$7,BD!$A$3:$A$5001,"&lt;="&amp;$B293,BD!$T$3:$T$5001,"&lt;&gt;"))))</f>
        <v/>
      </c>
      <c r="R293" s="54" t="str">
        <f>IF(OR($B293="",$A293&gt;$B$9,R$268=""),"",IF(COUNTIFS(BD!$B$3:$B$5001,R$268,BD!$A$3:$A$5001,"&gt;="&amp;$C$7,BD!$A$3:$A$5001,"&lt;="&amp;$B293,BD!$T$3:$T$5001,"&lt;&gt;")=0,"",SUMIFS(BD!$T$3:$T$5001,BD!$B$3:$B$5001,R$268,BD!$A$3:$A$5001,_xlfn.MAXIFS(BD!$A$3:$A$5001,BD!$B$3:$B$5001,R$268,BD!$A$3:$A$5001,"&gt;="&amp;$C$7,BD!$A$3:$A$5001,"&lt;="&amp;$B293,BD!$T$3:$T$5001,"&lt;&gt;"))))</f>
        <v/>
      </c>
      <c r="S293" s="54" t="str">
        <f>IF(OR($B293="",$A293&gt;$B$9,S$268=""),"",IF(COUNTIFS(BD!$B$3:$B$5001,S$268,BD!$A$3:$A$5001,"&gt;="&amp;$C$7,BD!$A$3:$A$5001,"&lt;="&amp;$B293,BD!$T$3:$T$5001,"&lt;&gt;")=0,"",SUMIFS(BD!$T$3:$T$5001,BD!$B$3:$B$5001,S$268,BD!$A$3:$A$5001,_xlfn.MAXIFS(BD!$A$3:$A$5001,BD!$B$3:$B$5001,S$268,BD!$A$3:$A$5001,"&gt;="&amp;$C$7,BD!$A$3:$A$5001,"&lt;="&amp;$B293,BD!$T$3:$T$5001,"&lt;&gt;"))))</f>
        <v/>
      </c>
      <c r="T293" s="54" t="str">
        <f>IF(OR($B293="",$A293&gt;$B$9,T$268=""),"",IF(COUNTIFS(BD!$B$3:$B$5001,T$268,BD!$A$3:$A$5001,"&gt;="&amp;$C$7,BD!$A$3:$A$5001,"&lt;="&amp;$B293,BD!$T$3:$T$5001,"&lt;&gt;")=0,"",SUMIFS(BD!$T$3:$T$5001,BD!$B$3:$B$5001,T$268,BD!$A$3:$A$5001,_xlfn.MAXIFS(BD!$A$3:$A$5001,BD!$B$3:$B$5001,T$268,BD!$A$3:$A$5001,"&gt;="&amp;$C$7,BD!$A$3:$A$5001,"&lt;="&amp;$B293,BD!$T$3:$T$5001,"&lt;&gt;"))))</f>
        <v/>
      </c>
      <c r="U293" s="54" t="str">
        <f>IF(OR($B293="",$A293&gt;$B$9,U$268=""),"",IF(COUNTIFS(BD!$B$3:$B$5001,U$268,BD!$A$3:$A$5001,"&gt;="&amp;$C$7,BD!$A$3:$A$5001,"&lt;="&amp;$B293,BD!$T$3:$T$5001,"&lt;&gt;")=0,"",SUMIFS(BD!$T$3:$T$5001,BD!$B$3:$B$5001,U$268,BD!$A$3:$A$5001,_xlfn.MAXIFS(BD!$A$3:$A$5001,BD!$B$3:$B$5001,U$268,BD!$A$3:$A$5001,"&gt;="&amp;$C$7,BD!$A$3:$A$5001,"&lt;="&amp;$B293,BD!$T$3:$T$5001,"&lt;&gt;"))))</f>
        <v/>
      </c>
      <c r="V293" s="54" t="str">
        <f>IF(OR($B293="",$A293&gt;$B$9,V$268=""),"",IF(COUNTIFS(BD!$B$3:$B$5001,V$268,BD!$A$3:$A$5001,"&gt;="&amp;$C$7,BD!$A$3:$A$5001,"&lt;="&amp;$B293,BD!$T$3:$T$5001,"&lt;&gt;")=0,"",SUMIFS(BD!$T$3:$T$5001,BD!$B$3:$B$5001,V$268,BD!$A$3:$A$5001,_xlfn.MAXIFS(BD!$A$3:$A$5001,BD!$B$3:$B$5001,V$268,BD!$A$3:$A$5001,"&gt;="&amp;$C$7,BD!$A$3:$A$5001,"&lt;="&amp;$B293,BD!$T$3:$T$5001,"&lt;&gt;"))))</f>
        <v/>
      </c>
    </row>
    <row r="294">
      <c r="A294" s="48">
        <v>26</v>
      </c>
      <c r="B294" s="53">
        <f>$B$37</f>
        <v>46321</v>
      </c>
      <c r="C294" s="54" t="str">
        <f>IF(OR($B294="",$A294&gt;$B$9,C$268=""),"",IF(COUNTIFS(BD!$B$3:$B$5001,C$268,BD!$A$3:$A$5001,"&gt;="&amp;$C$7,BD!$A$3:$A$5001,"&lt;="&amp;$B294,BD!$T$3:$T$5001,"&lt;&gt;")=0,"",SUMIFS(BD!$T$3:$T$5001,BD!$B$3:$B$5001,C$268,BD!$A$3:$A$5001,_xlfn.MAXIFS(BD!$A$3:$A$5001,BD!$B$3:$B$5001,C$268,BD!$A$3:$A$5001,"&gt;="&amp;$C$7,BD!$A$3:$A$5001,"&lt;="&amp;$B294,BD!$T$3:$T$5001,"&lt;&gt;"))))</f>
        <v/>
      </c>
      <c r="D294" s="54" t="str">
        <f>IF(OR($B294="",$A294&gt;$B$9,D$268=""),"",IF(COUNTIFS(BD!$B$3:$B$5001,D$268,BD!$A$3:$A$5001,"&gt;="&amp;$C$7,BD!$A$3:$A$5001,"&lt;="&amp;$B294,BD!$T$3:$T$5001,"&lt;&gt;")=0,"",SUMIFS(BD!$T$3:$T$5001,BD!$B$3:$B$5001,D$268,BD!$A$3:$A$5001,_xlfn.MAXIFS(BD!$A$3:$A$5001,BD!$B$3:$B$5001,D$268,BD!$A$3:$A$5001,"&gt;="&amp;$C$7,BD!$A$3:$A$5001,"&lt;="&amp;$B294,BD!$T$3:$T$5001,"&lt;&gt;"))))</f>
        <v/>
      </c>
      <c r="E294" s="54" t="str">
        <f>IF(OR($B294="",$A294&gt;$B$9,E$268=""),"",IF(COUNTIFS(BD!$B$3:$B$5001,E$268,BD!$A$3:$A$5001,"&gt;="&amp;$C$7,BD!$A$3:$A$5001,"&lt;="&amp;$B294,BD!$T$3:$T$5001,"&lt;&gt;")=0,"",SUMIFS(BD!$T$3:$T$5001,BD!$B$3:$B$5001,E$268,BD!$A$3:$A$5001,_xlfn.MAXIFS(BD!$A$3:$A$5001,BD!$B$3:$B$5001,E$268,BD!$A$3:$A$5001,"&gt;="&amp;$C$7,BD!$A$3:$A$5001,"&lt;="&amp;$B294,BD!$T$3:$T$5001,"&lt;&gt;"))))</f>
        <v/>
      </c>
      <c r="F294" s="54" t="str">
        <f>IF(OR($B294="",$A294&gt;$B$9,F$268=""),"",IF(COUNTIFS(BD!$B$3:$B$5001,F$268,BD!$A$3:$A$5001,"&gt;="&amp;$C$7,BD!$A$3:$A$5001,"&lt;="&amp;$B294,BD!$T$3:$T$5001,"&lt;&gt;")=0,"",SUMIFS(BD!$T$3:$T$5001,BD!$B$3:$B$5001,F$268,BD!$A$3:$A$5001,_xlfn.MAXIFS(BD!$A$3:$A$5001,BD!$B$3:$B$5001,F$268,BD!$A$3:$A$5001,"&gt;="&amp;$C$7,BD!$A$3:$A$5001,"&lt;="&amp;$B294,BD!$T$3:$T$5001,"&lt;&gt;"))))</f>
        <v/>
      </c>
      <c r="G294" s="54" t="str">
        <f>IF(OR($B294="",$A294&gt;$B$9,G$268=""),"",IF(COUNTIFS(BD!$B$3:$B$5001,G$268,BD!$A$3:$A$5001,"&gt;="&amp;$C$7,BD!$A$3:$A$5001,"&lt;="&amp;$B294,BD!$T$3:$T$5001,"&lt;&gt;")=0,"",SUMIFS(BD!$T$3:$T$5001,BD!$B$3:$B$5001,G$268,BD!$A$3:$A$5001,_xlfn.MAXIFS(BD!$A$3:$A$5001,BD!$B$3:$B$5001,G$268,BD!$A$3:$A$5001,"&gt;="&amp;$C$7,BD!$A$3:$A$5001,"&lt;="&amp;$B294,BD!$T$3:$T$5001,"&lt;&gt;"))))</f>
        <v/>
      </c>
      <c r="H294" s="54" t="str">
        <f>IF(OR($B294="",$A294&gt;$B$9,H$268=""),"",IF(COUNTIFS(BD!$B$3:$B$5001,H$268,BD!$A$3:$A$5001,"&gt;="&amp;$C$7,BD!$A$3:$A$5001,"&lt;="&amp;$B294,BD!$T$3:$T$5001,"&lt;&gt;")=0,"",SUMIFS(BD!$T$3:$T$5001,BD!$B$3:$B$5001,H$268,BD!$A$3:$A$5001,_xlfn.MAXIFS(BD!$A$3:$A$5001,BD!$B$3:$B$5001,H$268,BD!$A$3:$A$5001,"&gt;="&amp;$C$7,BD!$A$3:$A$5001,"&lt;="&amp;$B294,BD!$T$3:$T$5001,"&lt;&gt;"))))</f>
        <v/>
      </c>
      <c r="I294" s="54" t="str">
        <f>IF(OR($B294="",$A294&gt;$B$9,I$268=""),"",IF(COUNTIFS(BD!$B$3:$B$5001,I$268,BD!$A$3:$A$5001,"&gt;="&amp;$C$7,BD!$A$3:$A$5001,"&lt;="&amp;$B294,BD!$T$3:$T$5001,"&lt;&gt;")=0,"",SUMIFS(BD!$T$3:$T$5001,BD!$B$3:$B$5001,I$268,BD!$A$3:$A$5001,_xlfn.MAXIFS(BD!$A$3:$A$5001,BD!$B$3:$B$5001,I$268,BD!$A$3:$A$5001,"&gt;="&amp;$C$7,BD!$A$3:$A$5001,"&lt;="&amp;$B294,BD!$T$3:$T$5001,"&lt;&gt;"))))</f>
        <v/>
      </c>
      <c r="J294" s="54" t="str">
        <f>IF(OR($B294="",$A294&gt;$B$9,J$268=""),"",IF(COUNTIFS(BD!$B$3:$B$5001,J$268,BD!$A$3:$A$5001,"&gt;="&amp;$C$7,BD!$A$3:$A$5001,"&lt;="&amp;$B294,BD!$T$3:$T$5001,"&lt;&gt;")=0,"",SUMIFS(BD!$T$3:$T$5001,BD!$B$3:$B$5001,J$268,BD!$A$3:$A$5001,_xlfn.MAXIFS(BD!$A$3:$A$5001,BD!$B$3:$B$5001,J$268,BD!$A$3:$A$5001,"&gt;="&amp;$C$7,BD!$A$3:$A$5001,"&lt;="&amp;$B294,BD!$T$3:$T$5001,"&lt;&gt;"))))</f>
        <v/>
      </c>
      <c r="K294" s="54" t="str">
        <f>IF(OR($B294="",$A294&gt;$B$9,K$268=""),"",IF(COUNTIFS(BD!$B$3:$B$5001,K$268,BD!$A$3:$A$5001,"&gt;="&amp;$C$7,BD!$A$3:$A$5001,"&lt;="&amp;$B294,BD!$T$3:$T$5001,"&lt;&gt;")=0,"",SUMIFS(BD!$T$3:$T$5001,BD!$B$3:$B$5001,K$268,BD!$A$3:$A$5001,_xlfn.MAXIFS(BD!$A$3:$A$5001,BD!$B$3:$B$5001,K$268,BD!$A$3:$A$5001,"&gt;="&amp;$C$7,BD!$A$3:$A$5001,"&lt;="&amp;$B294,BD!$T$3:$T$5001,"&lt;&gt;"))))</f>
        <v/>
      </c>
      <c r="L294" s="54" t="str">
        <f>IF(OR($B294="",$A294&gt;$B$9,L$268=""),"",IF(COUNTIFS(BD!$B$3:$B$5001,L$268,BD!$A$3:$A$5001,"&gt;="&amp;$C$7,BD!$A$3:$A$5001,"&lt;="&amp;$B294,BD!$T$3:$T$5001,"&lt;&gt;")=0,"",SUMIFS(BD!$T$3:$T$5001,BD!$B$3:$B$5001,L$268,BD!$A$3:$A$5001,_xlfn.MAXIFS(BD!$A$3:$A$5001,BD!$B$3:$B$5001,L$268,BD!$A$3:$A$5001,"&gt;="&amp;$C$7,BD!$A$3:$A$5001,"&lt;="&amp;$B294,BD!$T$3:$T$5001,"&lt;&gt;"))))</f>
        <v/>
      </c>
      <c r="M294" s="54" t="str">
        <f>IF(OR($B294="",$A294&gt;$B$9,M$268=""),"",IF(COUNTIFS(BD!$B$3:$B$5001,M$268,BD!$A$3:$A$5001,"&gt;="&amp;$C$7,BD!$A$3:$A$5001,"&lt;="&amp;$B294,BD!$T$3:$T$5001,"&lt;&gt;")=0,"",SUMIFS(BD!$T$3:$T$5001,BD!$B$3:$B$5001,M$268,BD!$A$3:$A$5001,_xlfn.MAXIFS(BD!$A$3:$A$5001,BD!$B$3:$B$5001,M$268,BD!$A$3:$A$5001,"&gt;="&amp;$C$7,BD!$A$3:$A$5001,"&lt;="&amp;$B294,BD!$T$3:$T$5001,"&lt;&gt;"))))</f>
        <v/>
      </c>
      <c r="N294" s="54" t="str">
        <f>IF(OR($B294="",$A294&gt;$B$9,N$268=""),"",IF(COUNTIFS(BD!$B$3:$B$5001,N$268,BD!$A$3:$A$5001,"&gt;="&amp;$C$7,BD!$A$3:$A$5001,"&lt;="&amp;$B294,BD!$T$3:$T$5001,"&lt;&gt;")=0,"",SUMIFS(BD!$T$3:$T$5001,BD!$B$3:$B$5001,N$268,BD!$A$3:$A$5001,_xlfn.MAXIFS(BD!$A$3:$A$5001,BD!$B$3:$B$5001,N$268,BD!$A$3:$A$5001,"&gt;="&amp;$C$7,BD!$A$3:$A$5001,"&lt;="&amp;$B294,BD!$T$3:$T$5001,"&lt;&gt;"))))</f>
        <v/>
      </c>
      <c r="O294" s="54" t="str">
        <f>IF(OR($B294="",$A294&gt;$B$9,O$268=""),"",IF(COUNTIFS(BD!$B$3:$B$5001,O$268,BD!$A$3:$A$5001,"&gt;="&amp;$C$7,BD!$A$3:$A$5001,"&lt;="&amp;$B294,BD!$T$3:$T$5001,"&lt;&gt;")=0,"",SUMIFS(BD!$T$3:$T$5001,BD!$B$3:$B$5001,O$268,BD!$A$3:$A$5001,_xlfn.MAXIFS(BD!$A$3:$A$5001,BD!$B$3:$B$5001,O$268,BD!$A$3:$A$5001,"&gt;="&amp;$C$7,BD!$A$3:$A$5001,"&lt;="&amp;$B294,BD!$T$3:$T$5001,"&lt;&gt;"))))</f>
        <v/>
      </c>
      <c r="P294" s="54" t="str">
        <f>IF(OR($B294="",$A294&gt;$B$9,P$268=""),"",IF(COUNTIFS(BD!$B$3:$B$5001,P$268,BD!$A$3:$A$5001,"&gt;="&amp;$C$7,BD!$A$3:$A$5001,"&lt;="&amp;$B294,BD!$T$3:$T$5001,"&lt;&gt;")=0,"",SUMIFS(BD!$T$3:$T$5001,BD!$B$3:$B$5001,P$268,BD!$A$3:$A$5001,_xlfn.MAXIFS(BD!$A$3:$A$5001,BD!$B$3:$B$5001,P$268,BD!$A$3:$A$5001,"&gt;="&amp;$C$7,BD!$A$3:$A$5001,"&lt;="&amp;$B294,BD!$T$3:$T$5001,"&lt;&gt;"))))</f>
        <v/>
      </c>
      <c r="Q294" s="54" t="str">
        <f>IF(OR($B294="",$A294&gt;$B$9,Q$268=""),"",IF(COUNTIFS(BD!$B$3:$B$5001,Q$268,BD!$A$3:$A$5001,"&gt;="&amp;$C$7,BD!$A$3:$A$5001,"&lt;="&amp;$B294,BD!$T$3:$T$5001,"&lt;&gt;")=0,"",SUMIFS(BD!$T$3:$T$5001,BD!$B$3:$B$5001,Q$268,BD!$A$3:$A$5001,_xlfn.MAXIFS(BD!$A$3:$A$5001,BD!$B$3:$B$5001,Q$268,BD!$A$3:$A$5001,"&gt;="&amp;$C$7,BD!$A$3:$A$5001,"&lt;="&amp;$B294,BD!$T$3:$T$5001,"&lt;&gt;"))))</f>
        <v/>
      </c>
      <c r="R294" s="54" t="str">
        <f>IF(OR($B294="",$A294&gt;$B$9,R$268=""),"",IF(COUNTIFS(BD!$B$3:$B$5001,R$268,BD!$A$3:$A$5001,"&gt;="&amp;$C$7,BD!$A$3:$A$5001,"&lt;="&amp;$B294,BD!$T$3:$T$5001,"&lt;&gt;")=0,"",SUMIFS(BD!$T$3:$T$5001,BD!$B$3:$B$5001,R$268,BD!$A$3:$A$5001,_xlfn.MAXIFS(BD!$A$3:$A$5001,BD!$B$3:$B$5001,R$268,BD!$A$3:$A$5001,"&gt;="&amp;$C$7,BD!$A$3:$A$5001,"&lt;="&amp;$B294,BD!$T$3:$T$5001,"&lt;&gt;"))))</f>
        <v/>
      </c>
      <c r="S294" s="54" t="str">
        <f>IF(OR($B294="",$A294&gt;$B$9,S$268=""),"",IF(COUNTIFS(BD!$B$3:$B$5001,S$268,BD!$A$3:$A$5001,"&gt;="&amp;$C$7,BD!$A$3:$A$5001,"&lt;="&amp;$B294,BD!$T$3:$T$5001,"&lt;&gt;")=0,"",SUMIFS(BD!$T$3:$T$5001,BD!$B$3:$B$5001,S$268,BD!$A$3:$A$5001,_xlfn.MAXIFS(BD!$A$3:$A$5001,BD!$B$3:$B$5001,S$268,BD!$A$3:$A$5001,"&gt;="&amp;$C$7,BD!$A$3:$A$5001,"&lt;="&amp;$B294,BD!$T$3:$T$5001,"&lt;&gt;"))))</f>
        <v/>
      </c>
      <c r="T294" s="54" t="str">
        <f>IF(OR($B294="",$A294&gt;$B$9,T$268=""),"",IF(COUNTIFS(BD!$B$3:$B$5001,T$268,BD!$A$3:$A$5001,"&gt;="&amp;$C$7,BD!$A$3:$A$5001,"&lt;="&amp;$B294,BD!$T$3:$T$5001,"&lt;&gt;")=0,"",SUMIFS(BD!$T$3:$T$5001,BD!$B$3:$B$5001,T$268,BD!$A$3:$A$5001,_xlfn.MAXIFS(BD!$A$3:$A$5001,BD!$B$3:$B$5001,T$268,BD!$A$3:$A$5001,"&gt;="&amp;$C$7,BD!$A$3:$A$5001,"&lt;="&amp;$B294,BD!$T$3:$T$5001,"&lt;&gt;"))))</f>
        <v/>
      </c>
      <c r="U294" s="54" t="str">
        <f>IF(OR($B294="",$A294&gt;$B$9,U$268=""),"",IF(COUNTIFS(BD!$B$3:$B$5001,U$268,BD!$A$3:$A$5001,"&gt;="&amp;$C$7,BD!$A$3:$A$5001,"&lt;="&amp;$B294,BD!$T$3:$T$5001,"&lt;&gt;")=0,"",SUMIFS(BD!$T$3:$T$5001,BD!$B$3:$B$5001,U$268,BD!$A$3:$A$5001,_xlfn.MAXIFS(BD!$A$3:$A$5001,BD!$B$3:$B$5001,U$268,BD!$A$3:$A$5001,"&gt;="&amp;$C$7,BD!$A$3:$A$5001,"&lt;="&amp;$B294,BD!$T$3:$T$5001,"&lt;&gt;"))))</f>
        <v/>
      </c>
      <c r="V294" s="54" t="str">
        <f>IF(OR($B294="",$A294&gt;$B$9,V$268=""),"",IF(COUNTIFS(BD!$B$3:$B$5001,V$268,BD!$A$3:$A$5001,"&gt;="&amp;$C$7,BD!$A$3:$A$5001,"&lt;="&amp;$B294,BD!$T$3:$T$5001,"&lt;&gt;")=0,"",SUMIFS(BD!$T$3:$T$5001,BD!$B$3:$B$5001,V$268,BD!$A$3:$A$5001,_xlfn.MAXIFS(BD!$A$3:$A$5001,BD!$B$3:$B$5001,V$268,BD!$A$3:$A$5001,"&gt;="&amp;$C$7,BD!$A$3:$A$5001,"&lt;="&amp;$B294,BD!$T$3:$T$5001,"&lt;&gt;"))))</f>
        <v/>
      </c>
    </row>
    <row r="295">
      <c r="A295" s="48">
        <v>27</v>
      </c>
      <c r="B295" s="53">
        <f>$B$38</f>
        <v>46322</v>
      </c>
      <c r="C295" s="54" t="str">
        <f>IF(OR($B295="",$A295&gt;$B$9,C$268=""),"",IF(COUNTIFS(BD!$B$3:$B$5001,C$268,BD!$A$3:$A$5001,"&gt;="&amp;$C$7,BD!$A$3:$A$5001,"&lt;="&amp;$B295,BD!$T$3:$T$5001,"&lt;&gt;")=0,"",SUMIFS(BD!$T$3:$T$5001,BD!$B$3:$B$5001,C$268,BD!$A$3:$A$5001,_xlfn.MAXIFS(BD!$A$3:$A$5001,BD!$B$3:$B$5001,C$268,BD!$A$3:$A$5001,"&gt;="&amp;$C$7,BD!$A$3:$A$5001,"&lt;="&amp;$B295,BD!$T$3:$T$5001,"&lt;&gt;"))))</f>
        <v/>
      </c>
      <c r="D295" s="54" t="str">
        <f>IF(OR($B295="",$A295&gt;$B$9,D$268=""),"",IF(COUNTIFS(BD!$B$3:$B$5001,D$268,BD!$A$3:$A$5001,"&gt;="&amp;$C$7,BD!$A$3:$A$5001,"&lt;="&amp;$B295,BD!$T$3:$T$5001,"&lt;&gt;")=0,"",SUMIFS(BD!$T$3:$T$5001,BD!$B$3:$B$5001,D$268,BD!$A$3:$A$5001,_xlfn.MAXIFS(BD!$A$3:$A$5001,BD!$B$3:$B$5001,D$268,BD!$A$3:$A$5001,"&gt;="&amp;$C$7,BD!$A$3:$A$5001,"&lt;="&amp;$B295,BD!$T$3:$T$5001,"&lt;&gt;"))))</f>
        <v/>
      </c>
      <c r="E295" s="54" t="str">
        <f>IF(OR($B295="",$A295&gt;$B$9,E$268=""),"",IF(COUNTIFS(BD!$B$3:$B$5001,E$268,BD!$A$3:$A$5001,"&gt;="&amp;$C$7,BD!$A$3:$A$5001,"&lt;="&amp;$B295,BD!$T$3:$T$5001,"&lt;&gt;")=0,"",SUMIFS(BD!$T$3:$T$5001,BD!$B$3:$B$5001,E$268,BD!$A$3:$A$5001,_xlfn.MAXIFS(BD!$A$3:$A$5001,BD!$B$3:$B$5001,E$268,BD!$A$3:$A$5001,"&gt;="&amp;$C$7,BD!$A$3:$A$5001,"&lt;="&amp;$B295,BD!$T$3:$T$5001,"&lt;&gt;"))))</f>
        <v/>
      </c>
      <c r="F295" s="54" t="str">
        <f>IF(OR($B295="",$A295&gt;$B$9,F$268=""),"",IF(COUNTIFS(BD!$B$3:$B$5001,F$268,BD!$A$3:$A$5001,"&gt;="&amp;$C$7,BD!$A$3:$A$5001,"&lt;="&amp;$B295,BD!$T$3:$T$5001,"&lt;&gt;")=0,"",SUMIFS(BD!$T$3:$T$5001,BD!$B$3:$B$5001,F$268,BD!$A$3:$A$5001,_xlfn.MAXIFS(BD!$A$3:$A$5001,BD!$B$3:$B$5001,F$268,BD!$A$3:$A$5001,"&gt;="&amp;$C$7,BD!$A$3:$A$5001,"&lt;="&amp;$B295,BD!$T$3:$T$5001,"&lt;&gt;"))))</f>
        <v/>
      </c>
      <c r="G295" s="54" t="str">
        <f>IF(OR($B295="",$A295&gt;$B$9,G$268=""),"",IF(COUNTIFS(BD!$B$3:$B$5001,G$268,BD!$A$3:$A$5001,"&gt;="&amp;$C$7,BD!$A$3:$A$5001,"&lt;="&amp;$B295,BD!$T$3:$T$5001,"&lt;&gt;")=0,"",SUMIFS(BD!$T$3:$T$5001,BD!$B$3:$B$5001,G$268,BD!$A$3:$A$5001,_xlfn.MAXIFS(BD!$A$3:$A$5001,BD!$B$3:$B$5001,G$268,BD!$A$3:$A$5001,"&gt;="&amp;$C$7,BD!$A$3:$A$5001,"&lt;="&amp;$B295,BD!$T$3:$T$5001,"&lt;&gt;"))))</f>
        <v/>
      </c>
      <c r="H295" s="54" t="str">
        <f>IF(OR($B295="",$A295&gt;$B$9,H$268=""),"",IF(COUNTIFS(BD!$B$3:$B$5001,H$268,BD!$A$3:$A$5001,"&gt;="&amp;$C$7,BD!$A$3:$A$5001,"&lt;="&amp;$B295,BD!$T$3:$T$5001,"&lt;&gt;")=0,"",SUMIFS(BD!$T$3:$T$5001,BD!$B$3:$B$5001,H$268,BD!$A$3:$A$5001,_xlfn.MAXIFS(BD!$A$3:$A$5001,BD!$B$3:$B$5001,H$268,BD!$A$3:$A$5001,"&gt;="&amp;$C$7,BD!$A$3:$A$5001,"&lt;="&amp;$B295,BD!$T$3:$T$5001,"&lt;&gt;"))))</f>
        <v/>
      </c>
      <c r="I295" s="54" t="str">
        <f>IF(OR($B295="",$A295&gt;$B$9,I$268=""),"",IF(COUNTIFS(BD!$B$3:$B$5001,I$268,BD!$A$3:$A$5001,"&gt;="&amp;$C$7,BD!$A$3:$A$5001,"&lt;="&amp;$B295,BD!$T$3:$T$5001,"&lt;&gt;")=0,"",SUMIFS(BD!$T$3:$T$5001,BD!$B$3:$B$5001,I$268,BD!$A$3:$A$5001,_xlfn.MAXIFS(BD!$A$3:$A$5001,BD!$B$3:$B$5001,I$268,BD!$A$3:$A$5001,"&gt;="&amp;$C$7,BD!$A$3:$A$5001,"&lt;="&amp;$B295,BD!$T$3:$T$5001,"&lt;&gt;"))))</f>
        <v/>
      </c>
      <c r="J295" s="54" t="str">
        <f>IF(OR($B295="",$A295&gt;$B$9,J$268=""),"",IF(COUNTIFS(BD!$B$3:$B$5001,J$268,BD!$A$3:$A$5001,"&gt;="&amp;$C$7,BD!$A$3:$A$5001,"&lt;="&amp;$B295,BD!$T$3:$T$5001,"&lt;&gt;")=0,"",SUMIFS(BD!$T$3:$T$5001,BD!$B$3:$B$5001,J$268,BD!$A$3:$A$5001,_xlfn.MAXIFS(BD!$A$3:$A$5001,BD!$B$3:$B$5001,J$268,BD!$A$3:$A$5001,"&gt;="&amp;$C$7,BD!$A$3:$A$5001,"&lt;="&amp;$B295,BD!$T$3:$T$5001,"&lt;&gt;"))))</f>
        <v/>
      </c>
      <c r="K295" s="54" t="str">
        <f>IF(OR($B295="",$A295&gt;$B$9,K$268=""),"",IF(COUNTIFS(BD!$B$3:$B$5001,K$268,BD!$A$3:$A$5001,"&gt;="&amp;$C$7,BD!$A$3:$A$5001,"&lt;="&amp;$B295,BD!$T$3:$T$5001,"&lt;&gt;")=0,"",SUMIFS(BD!$T$3:$T$5001,BD!$B$3:$B$5001,K$268,BD!$A$3:$A$5001,_xlfn.MAXIFS(BD!$A$3:$A$5001,BD!$B$3:$B$5001,K$268,BD!$A$3:$A$5001,"&gt;="&amp;$C$7,BD!$A$3:$A$5001,"&lt;="&amp;$B295,BD!$T$3:$T$5001,"&lt;&gt;"))))</f>
        <v/>
      </c>
      <c r="L295" s="54" t="str">
        <f>IF(OR($B295="",$A295&gt;$B$9,L$268=""),"",IF(COUNTIFS(BD!$B$3:$B$5001,L$268,BD!$A$3:$A$5001,"&gt;="&amp;$C$7,BD!$A$3:$A$5001,"&lt;="&amp;$B295,BD!$T$3:$T$5001,"&lt;&gt;")=0,"",SUMIFS(BD!$T$3:$T$5001,BD!$B$3:$B$5001,L$268,BD!$A$3:$A$5001,_xlfn.MAXIFS(BD!$A$3:$A$5001,BD!$B$3:$B$5001,L$268,BD!$A$3:$A$5001,"&gt;="&amp;$C$7,BD!$A$3:$A$5001,"&lt;="&amp;$B295,BD!$T$3:$T$5001,"&lt;&gt;"))))</f>
        <v/>
      </c>
      <c r="M295" s="54" t="str">
        <f>IF(OR($B295="",$A295&gt;$B$9,M$268=""),"",IF(COUNTIFS(BD!$B$3:$B$5001,M$268,BD!$A$3:$A$5001,"&gt;="&amp;$C$7,BD!$A$3:$A$5001,"&lt;="&amp;$B295,BD!$T$3:$T$5001,"&lt;&gt;")=0,"",SUMIFS(BD!$T$3:$T$5001,BD!$B$3:$B$5001,M$268,BD!$A$3:$A$5001,_xlfn.MAXIFS(BD!$A$3:$A$5001,BD!$B$3:$B$5001,M$268,BD!$A$3:$A$5001,"&gt;="&amp;$C$7,BD!$A$3:$A$5001,"&lt;="&amp;$B295,BD!$T$3:$T$5001,"&lt;&gt;"))))</f>
        <v/>
      </c>
      <c r="N295" s="54" t="str">
        <f>IF(OR($B295="",$A295&gt;$B$9,N$268=""),"",IF(COUNTIFS(BD!$B$3:$B$5001,N$268,BD!$A$3:$A$5001,"&gt;="&amp;$C$7,BD!$A$3:$A$5001,"&lt;="&amp;$B295,BD!$T$3:$T$5001,"&lt;&gt;")=0,"",SUMIFS(BD!$T$3:$T$5001,BD!$B$3:$B$5001,N$268,BD!$A$3:$A$5001,_xlfn.MAXIFS(BD!$A$3:$A$5001,BD!$B$3:$B$5001,N$268,BD!$A$3:$A$5001,"&gt;="&amp;$C$7,BD!$A$3:$A$5001,"&lt;="&amp;$B295,BD!$T$3:$T$5001,"&lt;&gt;"))))</f>
        <v/>
      </c>
      <c r="O295" s="54" t="str">
        <f>IF(OR($B295="",$A295&gt;$B$9,O$268=""),"",IF(COUNTIFS(BD!$B$3:$B$5001,O$268,BD!$A$3:$A$5001,"&gt;="&amp;$C$7,BD!$A$3:$A$5001,"&lt;="&amp;$B295,BD!$T$3:$T$5001,"&lt;&gt;")=0,"",SUMIFS(BD!$T$3:$T$5001,BD!$B$3:$B$5001,O$268,BD!$A$3:$A$5001,_xlfn.MAXIFS(BD!$A$3:$A$5001,BD!$B$3:$B$5001,O$268,BD!$A$3:$A$5001,"&gt;="&amp;$C$7,BD!$A$3:$A$5001,"&lt;="&amp;$B295,BD!$T$3:$T$5001,"&lt;&gt;"))))</f>
        <v/>
      </c>
      <c r="P295" s="54" t="str">
        <f>IF(OR($B295="",$A295&gt;$B$9,P$268=""),"",IF(COUNTIFS(BD!$B$3:$B$5001,P$268,BD!$A$3:$A$5001,"&gt;="&amp;$C$7,BD!$A$3:$A$5001,"&lt;="&amp;$B295,BD!$T$3:$T$5001,"&lt;&gt;")=0,"",SUMIFS(BD!$T$3:$T$5001,BD!$B$3:$B$5001,P$268,BD!$A$3:$A$5001,_xlfn.MAXIFS(BD!$A$3:$A$5001,BD!$B$3:$B$5001,P$268,BD!$A$3:$A$5001,"&gt;="&amp;$C$7,BD!$A$3:$A$5001,"&lt;="&amp;$B295,BD!$T$3:$T$5001,"&lt;&gt;"))))</f>
        <v/>
      </c>
      <c r="Q295" s="54" t="str">
        <f>IF(OR($B295="",$A295&gt;$B$9,Q$268=""),"",IF(COUNTIFS(BD!$B$3:$B$5001,Q$268,BD!$A$3:$A$5001,"&gt;="&amp;$C$7,BD!$A$3:$A$5001,"&lt;="&amp;$B295,BD!$T$3:$T$5001,"&lt;&gt;")=0,"",SUMIFS(BD!$T$3:$T$5001,BD!$B$3:$B$5001,Q$268,BD!$A$3:$A$5001,_xlfn.MAXIFS(BD!$A$3:$A$5001,BD!$B$3:$B$5001,Q$268,BD!$A$3:$A$5001,"&gt;="&amp;$C$7,BD!$A$3:$A$5001,"&lt;="&amp;$B295,BD!$T$3:$T$5001,"&lt;&gt;"))))</f>
        <v/>
      </c>
      <c r="R295" s="54" t="str">
        <f>IF(OR($B295="",$A295&gt;$B$9,R$268=""),"",IF(COUNTIFS(BD!$B$3:$B$5001,R$268,BD!$A$3:$A$5001,"&gt;="&amp;$C$7,BD!$A$3:$A$5001,"&lt;="&amp;$B295,BD!$T$3:$T$5001,"&lt;&gt;")=0,"",SUMIFS(BD!$T$3:$T$5001,BD!$B$3:$B$5001,R$268,BD!$A$3:$A$5001,_xlfn.MAXIFS(BD!$A$3:$A$5001,BD!$B$3:$B$5001,R$268,BD!$A$3:$A$5001,"&gt;="&amp;$C$7,BD!$A$3:$A$5001,"&lt;="&amp;$B295,BD!$T$3:$T$5001,"&lt;&gt;"))))</f>
        <v/>
      </c>
      <c r="S295" s="54" t="str">
        <f>IF(OR($B295="",$A295&gt;$B$9,S$268=""),"",IF(COUNTIFS(BD!$B$3:$B$5001,S$268,BD!$A$3:$A$5001,"&gt;="&amp;$C$7,BD!$A$3:$A$5001,"&lt;="&amp;$B295,BD!$T$3:$T$5001,"&lt;&gt;")=0,"",SUMIFS(BD!$T$3:$T$5001,BD!$B$3:$B$5001,S$268,BD!$A$3:$A$5001,_xlfn.MAXIFS(BD!$A$3:$A$5001,BD!$B$3:$B$5001,S$268,BD!$A$3:$A$5001,"&gt;="&amp;$C$7,BD!$A$3:$A$5001,"&lt;="&amp;$B295,BD!$T$3:$T$5001,"&lt;&gt;"))))</f>
        <v/>
      </c>
      <c r="T295" s="54" t="str">
        <f>IF(OR($B295="",$A295&gt;$B$9,T$268=""),"",IF(COUNTIFS(BD!$B$3:$B$5001,T$268,BD!$A$3:$A$5001,"&gt;="&amp;$C$7,BD!$A$3:$A$5001,"&lt;="&amp;$B295,BD!$T$3:$T$5001,"&lt;&gt;")=0,"",SUMIFS(BD!$T$3:$T$5001,BD!$B$3:$B$5001,T$268,BD!$A$3:$A$5001,_xlfn.MAXIFS(BD!$A$3:$A$5001,BD!$B$3:$B$5001,T$268,BD!$A$3:$A$5001,"&gt;="&amp;$C$7,BD!$A$3:$A$5001,"&lt;="&amp;$B295,BD!$T$3:$T$5001,"&lt;&gt;"))))</f>
        <v/>
      </c>
      <c r="U295" s="54" t="str">
        <f>IF(OR($B295="",$A295&gt;$B$9,U$268=""),"",IF(COUNTIFS(BD!$B$3:$B$5001,U$268,BD!$A$3:$A$5001,"&gt;="&amp;$C$7,BD!$A$3:$A$5001,"&lt;="&amp;$B295,BD!$T$3:$T$5001,"&lt;&gt;")=0,"",SUMIFS(BD!$T$3:$T$5001,BD!$B$3:$B$5001,U$268,BD!$A$3:$A$5001,_xlfn.MAXIFS(BD!$A$3:$A$5001,BD!$B$3:$B$5001,U$268,BD!$A$3:$A$5001,"&gt;="&amp;$C$7,BD!$A$3:$A$5001,"&lt;="&amp;$B295,BD!$T$3:$T$5001,"&lt;&gt;"))))</f>
        <v/>
      </c>
      <c r="V295" s="54" t="str">
        <f>IF(OR($B295="",$A295&gt;$B$9,V$268=""),"",IF(COUNTIFS(BD!$B$3:$B$5001,V$268,BD!$A$3:$A$5001,"&gt;="&amp;$C$7,BD!$A$3:$A$5001,"&lt;="&amp;$B295,BD!$T$3:$T$5001,"&lt;&gt;")=0,"",SUMIFS(BD!$T$3:$T$5001,BD!$B$3:$B$5001,V$268,BD!$A$3:$A$5001,_xlfn.MAXIFS(BD!$A$3:$A$5001,BD!$B$3:$B$5001,V$268,BD!$A$3:$A$5001,"&gt;="&amp;$C$7,BD!$A$3:$A$5001,"&lt;="&amp;$B295,BD!$T$3:$T$5001,"&lt;&gt;"))))</f>
        <v/>
      </c>
    </row>
    <row r="296">
      <c r="A296" s="48">
        <v>28</v>
      </c>
      <c r="B296" s="53">
        <f>$B$39</f>
        <v>46323</v>
      </c>
      <c r="C296" s="54" t="str">
        <f>IF(OR($B296="",$A296&gt;$B$9,C$268=""),"",IF(COUNTIFS(BD!$B$3:$B$5001,C$268,BD!$A$3:$A$5001,"&gt;="&amp;$C$7,BD!$A$3:$A$5001,"&lt;="&amp;$B296,BD!$T$3:$T$5001,"&lt;&gt;")=0,"",SUMIFS(BD!$T$3:$T$5001,BD!$B$3:$B$5001,C$268,BD!$A$3:$A$5001,_xlfn.MAXIFS(BD!$A$3:$A$5001,BD!$B$3:$B$5001,C$268,BD!$A$3:$A$5001,"&gt;="&amp;$C$7,BD!$A$3:$A$5001,"&lt;="&amp;$B296,BD!$T$3:$T$5001,"&lt;&gt;"))))</f>
        <v/>
      </c>
      <c r="D296" s="54" t="str">
        <f>IF(OR($B296="",$A296&gt;$B$9,D$268=""),"",IF(COUNTIFS(BD!$B$3:$B$5001,D$268,BD!$A$3:$A$5001,"&gt;="&amp;$C$7,BD!$A$3:$A$5001,"&lt;="&amp;$B296,BD!$T$3:$T$5001,"&lt;&gt;")=0,"",SUMIFS(BD!$T$3:$T$5001,BD!$B$3:$B$5001,D$268,BD!$A$3:$A$5001,_xlfn.MAXIFS(BD!$A$3:$A$5001,BD!$B$3:$B$5001,D$268,BD!$A$3:$A$5001,"&gt;="&amp;$C$7,BD!$A$3:$A$5001,"&lt;="&amp;$B296,BD!$T$3:$T$5001,"&lt;&gt;"))))</f>
        <v/>
      </c>
      <c r="E296" s="54" t="str">
        <f>IF(OR($B296="",$A296&gt;$B$9,E$268=""),"",IF(COUNTIFS(BD!$B$3:$B$5001,E$268,BD!$A$3:$A$5001,"&gt;="&amp;$C$7,BD!$A$3:$A$5001,"&lt;="&amp;$B296,BD!$T$3:$T$5001,"&lt;&gt;")=0,"",SUMIFS(BD!$T$3:$T$5001,BD!$B$3:$B$5001,E$268,BD!$A$3:$A$5001,_xlfn.MAXIFS(BD!$A$3:$A$5001,BD!$B$3:$B$5001,E$268,BD!$A$3:$A$5001,"&gt;="&amp;$C$7,BD!$A$3:$A$5001,"&lt;="&amp;$B296,BD!$T$3:$T$5001,"&lt;&gt;"))))</f>
        <v/>
      </c>
      <c r="F296" s="54" t="str">
        <f>IF(OR($B296="",$A296&gt;$B$9,F$268=""),"",IF(COUNTIFS(BD!$B$3:$B$5001,F$268,BD!$A$3:$A$5001,"&gt;="&amp;$C$7,BD!$A$3:$A$5001,"&lt;="&amp;$B296,BD!$T$3:$T$5001,"&lt;&gt;")=0,"",SUMIFS(BD!$T$3:$T$5001,BD!$B$3:$B$5001,F$268,BD!$A$3:$A$5001,_xlfn.MAXIFS(BD!$A$3:$A$5001,BD!$B$3:$B$5001,F$268,BD!$A$3:$A$5001,"&gt;="&amp;$C$7,BD!$A$3:$A$5001,"&lt;="&amp;$B296,BD!$T$3:$T$5001,"&lt;&gt;"))))</f>
        <v/>
      </c>
      <c r="G296" s="54" t="str">
        <f>IF(OR($B296="",$A296&gt;$B$9,G$268=""),"",IF(COUNTIFS(BD!$B$3:$B$5001,G$268,BD!$A$3:$A$5001,"&gt;="&amp;$C$7,BD!$A$3:$A$5001,"&lt;="&amp;$B296,BD!$T$3:$T$5001,"&lt;&gt;")=0,"",SUMIFS(BD!$T$3:$T$5001,BD!$B$3:$B$5001,G$268,BD!$A$3:$A$5001,_xlfn.MAXIFS(BD!$A$3:$A$5001,BD!$B$3:$B$5001,G$268,BD!$A$3:$A$5001,"&gt;="&amp;$C$7,BD!$A$3:$A$5001,"&lt;="&amp;$B296,BD!$T$3:$T$5001,"&lt;&gt;"))))</f>
        <v/>
      </c>
      <c r="H296" s="54" t="str">
        <f>IF(OR($B296="",$A296&gt;$B$9,H$268=""),"",IF(COUNTIFS(BD!$B$3:$B$5001,H$268,BD!$A$3:$A$5001,"&gt;="&amp;$C$7,BD!$A$3:$A$5001,"&lt;="&amp;$B296,BD!$T$3:$T$5001,"&lt;&gt;")=0,"",SUMIFS(BD!$T$3:$T$5001,BD!$B$3:$B$5001,H$268,BD!$A$3:$A$5001,_xlfn.MAXIFS(BD!$A$3:$A$5001,BD!$B$3:$B$5001,H$268,BD!$A$3:$A$5001,"&gt;="&amp;$C$7,BD!$A$3:$A$5001,"&lt;="&amp;$B296,BD!$T$3:$T$5001,"&lt;&gt;"))))</f>
        <v/>
      </c>
      <c r="I296" s="54" t="str">
        <f>IF(OR($B296="",$A296&gt;$B$9,I$268=""),"",IF(COUNTIFS(BD!$B$3:$B$5001,I$268,BD!$A$3:$A$5001,"&gt;="&amp;$C$7,BD!$A$3:$A$5001,"&lt;="&amp;$B296,BD!$T$3:$T$5001,"&lt;&gt;")=0,"",SUMIFS(BD!$T$3:$T$5001,BD!$B$3:$B$5001,I$268,BD!$A$3:$A$5001,_xlfn.MAXIFS(BD!$A$3:$A$5001,BD!$B$3:$B$5001,I$268,BD!$A$3:$A$5001,"&gt;="&amp;$C$7,BD!$A$3:$A$5001,"&lt;="&amp;$B296,BD!$T$3:$T$5001,"&lt;&gt;"))))</f>
        <v/>
      </c>
      <c r="J296" s="54" t="str">
        <f>IF(OR($B296="",$A296&gt;$B$9,J$268=""),"",IF(COUNTIFS(BD!$B$3:$B$5001,J$268,BD!$A$3:$A$5001,"&gt;="&amp;$C$7,BD!$A$3:$A$5001,"&lt;="&amp;$B296,BD!$T$3:$T$5001,"&lt;&gt;")=0,"",SUMIFS(BD!$T$3:$T$5001,BD!$B$3:$B$5001,J$268,BD!$A$3:$A$5001,_xlfn.MAXIFS(BD!$A$3:$A$5001,BD!$B$3:$B$5001,J$268,BD!$A$3:$A$5001,"&gt;="&amp;$C$7,BD!$A$3:$A$5001,"&lt;="&amp;$B296,BD!$T$3:$T$5001,"&lt;&gt;"))))</f>
        <v/>
      </c>
      <c r="K296" s="54" t="str">
        <f>IF(OR($B296="",$A296&gt;$B$9,K$268=""),"",IF(COUNTIFS(BD!$B$3:$B$5001,K$268,BD!$A$3:$A$5001,"&gt;="&amp;$C$7,BD!$A$3:$A$5001,"&lt;="&amp;$B296,BD!$T$3:$T$5001,"&lt;&gt;")=0,"",SUMIFS(BD!$T$3:$T$5001,BD!$B$3:$B$5001,K$268,BD!$A$3:$A$5001,_xlfn.MAXIFS(BD!$A$3:$A$5001,BD!$B$3:$B$5001,K$268,BD!$A$3:$A$5001,"&gt;="&amp;$C$7,BD!$A$3:$A$5001,"&lt;="&amp;$B296,BD!$T$3:$T$5001,"&lt;&gt;"))))</f>
        <v/>
      </c>
      <c r="L296" s="54" t="str">
        <f>IF(OR($B296="",$A296&gt;$B$9,L$268=""),"",IF(COUNTIFS(BD!$B$3:$B$5001,L$268,BD!$A$3:$A$5001,"&gt;="&amp;$C$7,BD!$A$3:$A$5001,"&lt;="&amp;$B296,BD!$T$3:$T$5001,"&lt;&gt;")=0,"",SUMIFS(BD!$T$3:$T$5001,BD!$B$3:$B$5001,L$268,BD!$A$3:$A$5001,_xlfn.MAXIFS(BD!$A$3:$A$5001,BD!$B$3:$B$5001,L$268,BD!$A$3:$A$5001,"&gt;="&amp;$C$7,BD!$A$3:$A$5001,"&lt;="&amp;$B296,BD!$T$3:$T$5001,"&lt;&gt;"))))</f>
        <v/>
      </c>
      <c r="M296" s="54" t="str">
        <f>IF(OR($B296="",$A296&gt;$B$9,M$268=""),"",IF(COUNTIFS(BD!$B$3:$B$5001,M$268,BD!$A$3:$A$5001,"&gt;="&amp;$C$7,BD!$A$3:$A$5001,"&lt;="&amp;$B296,BD!$T$3:$T$5001,"&lt;&gt;")=0,"",SUMIFS(BD!$T$3:$T$5001,BD!$B$3:$B$5001,M$268,BD!$A$3:$A$5001,_xlfn.MAXIFS(BD!$A$3:$A$5001,BD!$B$3:$B$5001,M$268,BD!$A$3:$A$5001,"&gt;="&amp;$C$7,BD!$A$3:$A$5001,"&lt;="&amp;$B296,BD!$T$3:$T$5001,"&lt;&gt;"))))</f>
        <v/>
      </c>
      <c r="N296" s="54" t="str">
        <f>IF(OR($B296="",$A296&gt;$B$9,N$268=""),"",IF(COUNTIFS(BD!$B$3:$B$5001,N$268,BD!$A$3:$A$5001,"&gt;="&amp;$C$7,BD!$A$3:$A$5001,"&lt;="&amp;$B296,BD!$T$3:$T$5001,"&lt;&gt;")=0,"",SUMIFS(BD!$T$3:$T$5001,BD!$B$3:$B$5001,N$268,BD!$A$3:$A$5001,_xlfn.MAXIFS(BD!$A$3:$A$5001,BD!$B$3:$B$5001,N$268,BD!$A$3:$A$5001,"&gt;="&amp;$C$7,BD!$A$3:$A$5001,"&lt;="&amp;$B296,BD!$T$3:$T$5001,"&lt;&gt;"))))</f>
        <v/>
      </c>
      <c r="O296" s="54" t="str">
        <f>IF(OR($B296="",$A296&gt;$B$9,O$268=""),"",IF(COUNTIFS(BD!$B$3:$B$5001,O$268,BD!$A$3:$A$5001,"&gt;="&amp;$C$7,BD!$A$3:$A$5001,"&lt;="&amp;$B296,BD!$T$3:$T$5001,"&lt;&gt;")=0,"",SUMIFS(BD!$T$3:$T$5001,BD!$B$3:$B$5001,O$268,BD!$A$3:$A$5001,_xlfn.MAXIFS(BD!$A$3:$A$5001,BD!$B$3:$B$5001,O$268,BD!$A$3:$A$5001,"&gt;="&amp;$C$7,BD!$A$3:$A$5001,"&lt;="&amp;$B296,BD!$T$3:$T$5001,"&lt;&gt;"))))</f>
        <v/>
      </c>
      <c r="P296" s="54" t="str">
        <f>IF(OR($B296="",$A296&gt;$B$9,P$268=""),"",IF(COUNTIFS(BD!$B$3:$B$5001,P$268,BD!$A$3:$A$5001,"&gt;="&amp;$C$7,BD!$A$3:$A$5001,"&lt;="&amp;$B296,BD!$T$3:$T$5001,"&lt;&gt;")=0,"",SUMIFS(BD!$T$3:$T$5001,BD!$B$3:$B$5001,P$268,BD!$A$3:$A$5001,_xlfn.MAXIFS(BD!$A$3:$A$5001,BD!$B$3:$B$5001,P$268,BD!$A$3:$A$5001,"&gt;="&amp;$C$7,BD!$A$3:$A$5001,"&lt;="&amp;$B296,BD!$T$3:$T$5001,"&lt;&gt;"))))</f>
        <v/>
      </c>
      <c r="Q296" s="54" t="str">
        <f>IF(OR($B296="",$A296&gt;$B$9,Q$268=""),"",IF(COUNTIFS(BD!$B$3:$B$5001,Q$268,BD!$A$3:$A$5001,"&gt;="&amp;$C$7,BD!$A$3:$A$5001,"&lt;="&amp;$B296,BD!$T$3:$T$5001,"&lt;&gt;")=0,"",SUMIFS(BD!$T$3:$T$5001,BD!$B$3:$B$5001,Q$268,BD!$A$3:$A$5001,_xlfn.MAXIFS(BD!$A$3:$A$5001,BD!$B$3:$B$5001,Q$268,BD!$A$3:$A$5001,"&gt;="&amp;$C$7,BD!$A$3:$A$5001,"&lt;="&amp;$B296,BD!$T$3:$T$5001,"&lt;&gt;"))))</f>
        <v/>
      </c>
      <c r="R296" s="54" t="str">
        <f>IF(OR($B296="",$A296&gt;$B$9,R$268=""),"",IF(COUNTIFS(BD!$B$3:$B$5001,R$268,BD!$A$3:$A$5001,"&gt;="&amp;$C$7,BD!$A$3:$A$5001,"&lt;="&amp;$B296,BD!$T$3:$T$5001,"&lt;&gt;")=0,"",SUMIFS(BD!$T$3:$T$5001,BD!$B$3:$B$5001,R$268,BD!$A$3:$A$5001,_xlfn.MAXIFS(BD!$A$3:$A$5001,BD!$B$3:$B$5001,R$268,BD!$A$3:$A$5001,"&gt;="&amp;$C$7,BD!$A$3:$A$5001,"&lt;="&amp;$B296,BD!$T$3:$T$5001,"&lt;&gt;"))))</f>
        <v/>
      </c>
      <c r="S296" s="54" t="str">
        <f>IF(OR($B296="",$A296&gt;$B$9,S$268=""),"",IF(COUNTIFS(BD!$B$3:$B$5001,S$268,BD!$A$3:$A$5001,"&gt;="&amp;$C$7,BD!$A$3:$A$5001,"&lt;="&amp;$B296,BD!$T$3:$T$5001,"&lt;&gt;")=0,"",SUMIFS(BD!$T$3:$T$5001,BD!$B$3:$B$5001,S$268,BD!$A$3:$A$5001,_xlfn.MAXIFS(BD!$A$3:$A$5001,BD!$B$3:$B$5001,S$268,BD!$A$3:$A$5001,"&gt;="&amp;$C$7,BD!$A$3:$A$5001,"&lt;="&amp;$B296,BD!$T$3:$T$5001,"&lt;&gt;"))))</f>
        <v/>
      </c>
      <c r="T296" s="54" t="str">
        <f>IF(OR($B296="",$A296&gt;$B$9,T$268=""),"",IF(COUNTIFS(BD!$B$3:$B$5001,T$268,BD!$A$3:$A$5001,"&gt;="&amp;$C$7,BD!$A$3:$A$5001,"&lt;="&amp;$B296,BD!$T$3:$T$5001,"&lt;&gt;")=0,"",SUMIFS(BD!$T$3:$T$5001,BD!$B$3:$B$5001,T$268,BD!$A$3:$A$5001,_xlfn.MAXIFS(BD!$A$3:$A$5001,BD!$B$3:$B$5001,T$268,BD!$A$3:$A$5001,"&gt;="&amp;$C$7,BD!$A$3:$A$5001,"&lt;="&amp;$B296,BD!$T$3:$T$5001,"&lt;&gt;"))))</f>
        <v/>
      </c>
      <c r="U296" s="54" t="str">
        <f>IF(OR($B296="",$A296&gt;$B$9,U$268=""),"",IF(COUNTIFS(BD!$B$3:$B$5001,U$268,BD!$A$3:$A$5001,"&gt;="&amp;$C$7,BD!$A$3:$A$5001,"&lt;="&amp;$B296,BD!$T$3:$T$5001,"&lt;&gt;")=0,"",SUMIFS(BD!$T$3:$T$5001,BD!$B$3:$B$5001,U$268,BD!$A$3:$A$5001,_xlfn.MAXIFS(BD!$A$3:$A$5001,BD!$B$3:$B$5001,U$268,BD!$A$3:$A$5001,"&gt;="&amp;$C$7,BD!$A$3:$A$5001,"&lt;="&amp;$B296,BD!$T$3:$T$5001,"&lt;&gt;"))))</f>
        <v/>
      </c>
      <c r="V296" s="54" t="str">
        <f>IF(OR($B296="",$A296&gt;$B$9,V$268=""),"",IF(COUNTIFS(BD!$B$3:$B$5001,V$268,BD!$A$3:$A$5001,"&gt;="&amp;$C$7,BD!$A$3:$A$5001,"&lt;="&amp;$B296,BD!$T$3:$T$5001,"&lt;&gt;")=0,"",SUMIFS(BD!$T$3:$T$5001,BD!$B$3:$B$5001,V$268,BD!$A$3:$A$5001,_xlfn.MAXIFS(BD!$A$3:$A$5001,BD!$B$3:$B$5001,V$268,BD!$A$3:$A$5001,"&gt;="&amp;$C$7,BD!$A$3:$A$5001,"&lt;="&amp;$B296,BD!$T$3:$T$5001,"&lt;&gt;"))))</f>
        <v/>
      </c>
    </row>
    <row r="297">
      <c r="A297" s="48">
        <v>29</v>
      </c>
      <c r="B297" s="53">
        <f>$B$40</f>
        <v>46324</v>
      </c>
      <c r="C297" s="54" t="str">
        <f>IF(OR($B297="",$A297&gt;$B$9,C$268=""),"",IF(COUNTIFS(BD!$B$3:$B$5001,C$268,BD!$A$3:$A$5001,"&gt;="&amp;$C$7,BD!$A$3:$A$5001,"&lt;="&amp;$B297,BD!$T$3:$T$5001,"&lt;&gt;")=0,"",SUMIFS(BD!$T$3:$T$5001,BD!$B$3:$B$5001,C$268,BD!$A$3:$A$5001,_xlfn.MAXIFS(BD!$A$3:$A$5001,BD!$B$3:$B$5001,C$268,BD!$A$3:$A$5001,"&gt;="&amp;$C$7,BD!$A$3:$A$5001,"&lt;="&amp;$B297,BD!$T$3:$T$5001,"&lt;&gt;"))))</f>
        <v/>
      </c>
      <c r="D297" s="54" t="str">
        <f>IF(OR($B297="",$A297&gt;$B$9,D$268=""),"",IF(COUNTIFS(BD!$B$3:$B$5001,D$268,BD!$A$3:$A$5001,"&gt;="&amp;$C$7,BD!$A$3:$A$5001,"&lt;="&amp;$B297,BD!$T$3:$T$5001,"&lt;&gt;")=0,"",SUMIFS(BD!$T$3:$T$5001,BD!$B$3:$B$5001,D$268,BD!$A$3:$A$5001,_xlfn.MAXIFS(BD!$A$3:$A$5001,BD!$B$3:$B$5001,D$268,BD!$A$3:$A$5001,"&gt;="&amp;$C$7,BD!$A$3:$A$5001,"&lt;="&amp;$B297,BD!$T$3:$T$5001,"&lt;&gt;"))))</f>
        <v/>
      </c>
      <c r="E297" s="54" t="str">
        <f>IF(OR($B297="",$A297&gt;$B$9,E$268=""),"",IF(COUNTIFS(BD!$B$3:$B$5001,E$268,BD!$A$3:$A$5001,"&gt;="&amp;$C$7,BD!$A$3:$A$5001,"&lt;="&amp;$B297,BD!$T$3:$T$5001,"&lt;&gt;")=0,"",SUMIFS(BD!$T$3:$T$5001,BD!$B$3:$B$5001,E$268,BD!$A$3:$A$5001,_xlfn.MAXIFS(BD!$A$3:$A$5001,BD!$B$3:$B$5001,E$268,BD!$A$3:$A$5001,"&gt;="&amp;$C$7,BD!$A$3:$A$5001,"&lt;="&amp;$B297,BD!$T$3:$T$5001,"&lt;&gt;"))))</f>
        <v/>
      </c>
      <c r="F297" s="54" t="str">
        <f>IF(OR($B297="",$A297&gt;$B$9,F$268=""),"",IF(COUNTIFS(BD!$B$3:$B$5001,F$268,BD!$A$3:$A$5001,"&gt;="&amp;$C$7,BD!$A$3:$A$5001,"&lt;="&amp;$B297,BD!$T$3:$T$5001,"&lt;&gt;")=0,"",SUMIFS(BD!$T$3:$T$5001,BD!$B$3:$B$5001,F$268,BD!$A$3:$A$5001,_xlfn.MAXIFS(BD!$A$3:$A$5001,BD!$B$3:$B$5001,F$268,BD!$A$3:$A$5001,"&gt;="&amp;$C$7,BD!$A$3:$A$5001,"&lt;="&amp;$B297,BD!$T$3:$T$5001,"&lt;&gt;"))))</f>
        <v/>
      </c>
      <c r="G297" s="54" t="str">
        <f>IF(OR($B297="",$A297&gt;$B$9,G$268=""),"",IF(COUNTIFS(BD!$B$3:$B$5001,G$268,BD!$A$3:$A$5001,"&gt;="&amp;$C$7,BD!$A$3:$A$5001,"&lt;="&amp;$B297,BD!$T$3:$T$5001,"&lt;&gt;")=0,"",SUMIFS(BD!$T$3:$T$5001,BD!$B$3:$B$5001,G$268,BD!$A$3:$A$5001,_xlfn.MAXIFS(BD!$A$3:$A$5001,BD!$B$3:$B$5001,G$268,BD!$A$3:$A$5001,"&gt;="&amp;$C$7,BD!$A$3:$A$5001,"&lt;="&amp;$B297,BD!$T$3:$T$5001,"&lt;&gt;"))))</f>
        <v/>
      </c>
      <c r="H297" s="54" t="str">
        <f>IF(OR($B297="",$A297&gt;$B$9,H$268=""),"",IF(COUNTIFS(BD!$B$3:$B$5001,H$268,BD!$A$3:$A$5001,"&gt;="&amp;$C$7,BD!$A$3:$A$5001,"&lt;="&amp;$B297,BD!$T$3:$T$5001,"&lt;&gt;")=0,"",SUMIFS(BD!$T$3:$T$5001,BD!$B$3:$B$5001,H$268,BD!$A$3:$A$5001,_xlfn.MAXIFS(BD!$A$3:$A$5001,BD!$B$3:$B$5001,H$268,BD!$A$3:$A$5001,"&gt;="&amp;$C$7,BD!$A$3:$A$5001,"&lt;="&amp;$B297,BD!$T$3:$T$5001,"&lt;&gt;"))))</f>
        <v/>
      </c>
      <c r="I297" s="54" t="str">
        <f>IF(OR($B297="",$A297&gt;$B$9,I$268=""),"",IF(COUNTIFS(BD!$B$3:$B$5001,I$268,BD!$A$3:$A$5001,"&gt;="&amp;$C$7,BD!$A$3:$A$5001,"&lt;="&amp;$B297,BD!$T$3:$T$5001,"&lt;&gt;")=0,"",SUMIFS(BD!$T$3:$T$5001,BD!$B$3:$B$5001,I$268,BD!$A$3:$A$5001,_xlfn.MAXIFS(BD!$A$3:$A$5001,BD!$B$3:$B$5001,I$268,BD!$A$3:$A$5001,"&gt;="&amp;$C$7,BD!$A$3:$A$5001,"&lt;="&amp;$B297,BD!$T$3:$T$5001,"&lt;&gt;"))))</f>
        <v/>
      </c>
      <c r="J297" s="54" t="str">
        <f>IF(OR($B297="",$A297&gt;$B$9,J$268=""),"",IF(COUNTIFS(BD!$B$3:$B$5001,J$268,BD!$A$3:$A$5001,"&gt;="&amp;$C$7,BD!$A$3:$A$5001,"&lt;="&amp;$B297,BD!$T$3:$T$5001,"&lt;&gt;")=0,"",SUMIFS(BD!$T$3:$T$5001,BD!$B$3:$B$5001,J$268,BD!$A$3:$A$5001,_xlfn.MAXIFS(BD!$A$3:$A$5001,BD!$B$3:$B$5001,J$268,BD!$A$3:$A$5001,"&gt;="&amp;$C$7,BD!$A$3:$A$5001,"&lt;="&amp;$B297,BD!$T$3:$T$5001,"&lt;&gt;"))))</f>
        <v/>
      </c>
      <c r="K297" s="54" t="str">
        <f>IF(OR($B297="",$A297&gt;$B$9,K$268=""),"",IF(COUNTIFS(BD!$B$3:$B$5001,K$268,BD!$A$3:$A$5001,"&gt;="&amp;$C$7,BD!$A$3:$A$5001,"&lt;="&amp;$B297,BD!$T$3:$T$5001,"&lt;&gt;")=0,"",SUMIFS(BD!$T$3:$T$5001,BD!$B$3:$B$5001,K$268,BD!$A$3:$A$5001,_xlfn.MAXIFS(BD!$A$3:$A$5001,BD!$B$3:$B$5001,K$268,BD!$A$3:$A$5001,"&gt;="&amp;$C$7,BD!$A$3:$A$5001,"&lt;="&amp;$B297,BD!$T$3:$T$5001,"&lt;&gt;"))))</f>
        <v/>
      </c>
      <c r="L297" s="54" t="str">
        <f>IF(OR($B297="",$A297&gt;$B$9,L$268=""),"",IF(COUNTIFS(BD!$B$3:$B$5001,L$268,BD!$A$3:$A$5001,"&gt;="&amp;$C$7,BD!$A$3:$A$5001,"&lt;="&amp;$B297,BD!$T$3:$T$5001,"&lt;&gt;")=0,"",SUMIFS(BD!$T$3:$T$5001,BD!$B$3:$B$5001,L$268,BD!$A$3:$A$5001,_xlfn.MAXIFS(BD!$A$3:$A$5001,BD!$B$3:$B$5001,L$268,BD!$A$3:$A$5001,"&gt;="&amp;$C$7,BD!$A$3:$A$5001,"&lt;="&amp;$B297,BD!$T$3:$T$5001,"&lt;&gt;"))))</f>
        <v/>
      </c>
      <c r="M297" s="54" t="str">
        <f>IF(OR($B297="",$A297&gt;$B$9,M$268=""),"",IF(COUNTIFS(BD!$B$3:$B$5001,M$268,BD!$A$3:$A$5001,"&gt;="&amp;$C$7,BD!$A$3:$A$5001,"&lt;="&amp;$B297,BD!$T$3:$T$5001,"&lt;&gt;")=0,"",SUMIFS(BD!$T$3:$T$5001,BD!$B$3:$B$5001,M$268,BD!$A$3:$A$5001,_xlfn.MAXIFS(BD!$A$3:$A$5001,BD!$B$3:$B$5001,M$268,BD!$A$3:$A$5001,"&gt;="&amp;$C$7,BD!$A$3:$A$5001,"&lt;="&amp;$B297,BD!$T$3:$T$5001,"&lt;&gt;"))))</f>
        <v/>
      </c>
      <c r="N297" s="54" t="str">
        <f>IF(OR($B297="",$A297&gt;$B$9,N$268=""),"",IF(COUNTIFS(BD!$B$3:$B$5001,N$268,BD!$A$3:$A$5001,"&gt;="&amp;$C$7,BD!$A$3:$A$5001,"&lt;="&amp;$B297,BD!$T$3:$T$5001,"&lt;&gt;")=0,"",SUMIFS(BD!$T$3:$T$5001,BD!$B$3:$B$5001,N$268,BD!$A$3:$A$5001,_xlfn.MAXIFS(BD!$A$3:$A$5001,BD!$B$3:$B$5001,N$268,BD!$A$3:$A$5001,"&gt;="&amp;$C$7,BD!$A$3:$A$5001,"&lt;="&amp;$B297,BD!$T$3:$T$5001,"&lt;&gt;"))))</f>
        <v/>
      </c>
      <c r="O297" s="54" t="str">
        <f>IF(OR($B297="",$A297&gt;$B$9,O$268=""),"",IF(COUNTIFS(BD!$B$3:$B$5001,O$268,BD!$A$3:$A$5001,"&gt;="&amp;$C$7,BD!$A$3:$A$5001,"&lt;="&amp;$B297,BD!$T$3:$T$5001,"&lt;&gt;")=0,"",SUMIFS(BD!$T$3:$T$5001,BD!$B$3:$B$5001,O$268,BD!$A$3:$A$5001,_xlfn.MAXIFS(BD!$A$3:$A$5001,BD!$B$3:$B$5001,O$268,BD!$A$3:$A$5001,"&gt;="&amp;$C$7,BD!$A$3:$A$5001,"&lt;="&amp;$B297,BD!$T$3:$T$5001,"&lt;&gt;"))))</f>
        <v/>
      </c>
      <c r="P297" s="54" t="str">
        <f>IF(OR($B297="",$A297&gt;$B$9,P$268=""),"",IF(COUNTIFS(BD!$B$3:$B$5001,P$268,BD!$A$3:$A$5001,"&gt;="&amp;$C$7,BD!$A$3:$A$5001,"&lt;="&amp;$B297,BD!$T$3:$T$5001,"&lt;&gt;")=0,"",SUMIFS(BD!$T$3:$T$5001,BD!$B$3:$B$5001,P$268,BD!$A$3:$A$5001,_xlfn.MAXIFS(BD!$A$3:$A$5001,BD!$B$3:$B$5001,P$268,BD!$A$3:$A$5001,"&gt;="&amp;$C$7,BD!$A$3:$A$5001,"&lt;="&amp;$B297,BD!$T$3:$T$5001,"&lt;&gt;"))))</f>
        <v/>
      </c>
      <c r="Q297" s="54" t="str">
        <f>IF(OR($B297="",$A297&gt;$B$9,Q$268=""),"",IF(COUNTIFS(BD!$B$3:$B$5001,Q$268,BD!$A$3:$A$5001,"&gt;="&amp;$C$7,BD!$A$3:$A$5001,"&lt;="&amp;$B297,BD!$T$3:$T$5001,"&lt;&gt;")=0,"",SUMIFS(BD!$T$3:$T$5001,BD!$B$3:$B$5001,Q$268,BD!$A$3:$A$5001,_xlfn.MAXIFS(BD!$A$3:$A$5001,BD!$B$3:$B$5001,Q$268,BD!$A$3:$A$5001,"&gt;="&amp;$C$7,BD!$A$3:$A$5001,"&lt;="&amp;$B297,BD!$T$3:$T$5001,"&lt;&gt;"))))</f>
        <v/>
      </c>
      <c r="R297" s="54" t="str">
        <f>IF(OR($B297="",$A297&gt;$B$9,R$268=""),"",IF(COUNTIFS(BD!$B$3:$B$5001,R$268,BD!$A$3:$A$5001,"&gt;="&amp;$C$7,BD!$A$3:$A$5001,"&lt;="&amp;$B297,BD!$T$3:$T$5001,"&lt;&gt;")=0,"",SUMIFS(BD!$T$3:$T$5001,BD!$B$3:$B$5001,R$268,BD!$A$3:$A$5001,_xlfn.MAXIFS(BD!$A$3:$A$5001,BD!$B$3:$B$5001,R$268,BD!$A$3:$A$5001,"&gt;="&amp;$C$7,BD!$A$3:$A$5001,"&lt;="&amp;$B297,BD!$T$3:$T$5001,"&lt;&gt;"))))</f>
        <v/>
      </c>
      <c r="S297" s="54" t="str">
        <f>IF(OR($B297="",$A297&gt;$B$9,S$268=""),"",IF(COUNTIFS(BD!$B$3:$B$5001,S$268,BD!$A$3:$A$5001,"&gt;="&amp;$C$7,BD!$A$3:$A$5001,"&lt;="&amp;$B297,BD!$T$3:$T$5001,"&lt;&gt;")=0,"",SUMIFS(BD!$T$3:$T$5001,BD!$B$3:$B$5001,S$268,BD!$A$3:$A$5001,_xlfn.MAXIFS(BD!$A$3:$A$5001,BD!$B$3:$B$5001,S$268,BD!$A$3:$A$5001,"&gt;="&amp;$C$7,BD!$A$3:$A$5001,"&lt;="&amp;$B297,BD!$T$3:$T$5001,"&lt;&gt;"))))</f>
        <v/>
      </c>
      <c r="T297" s="54" t="str">
        <f>IF(OR($B297="",$A297&gt;$B$9,T$268=""),"",IF(COUNTIFS(BD!$B$3:$B$5001,T$268,BD!$A$3:$A$5001,"&gt;="&amp;$C$7,BD!$A$3:$A$5001,"&lt;="&amp;$B297,BD!$T$3:$T$5001,"&lt;&gt;")=0,"",SUMIFS(BD!$T$3:$T$5001,BD!$B$3:$B$5001,T$268,BD!$A$3:$A$5001,_xlfn.MAXIFS(BD!$A$3:$A$5001,BD!$B$3:$B$5001,T$268,BD!$A$3:$A$5001,"&gt;="&amp;$C$7,BD!$A$3:$A$5001,"&lt;="&amp;$B297,BD!$T$3:$T$5001,"&lt;&gt;"))))</f>
        <v/>
      </c>
      <c r="U297" s="54" t="str">
        <f>IF(OR($B297="",$A297&gt;$B$9,U$268=""),"",IF(COUNTIFS(BD!$B$3:$B$5001,U$268,BD!$A$3:$A$5001,"&gt;="&amp;$C$7,BD!$A$3:$A$5001,"&lt;="&amp;$B297,BD!$T$3:$T$5001,"&lt;&gt;")=0,"",SUMIFS(BD!$T$3:$T$5001,BD!$B$3:$B$5001,U$268,BD!$A$3:$A$5001,_xlfn.MAXIFS(BD!$A$3:$A$5001,BD!$B$3:$B$5001,U$268,BD!$A$3:$A$5001,"&gt;="&amp;$C$7,BD!$A$3:$A$5001,"&lt;="&amp;$B297,BD!$T$3:$T$5001,"&lt;&gt;"))))</f>
        <v/>
      </c>
      <c r="V297" s="54" t="str">
        <f>IF(OR($B297="",$A297&gt;$B$9,V$268=""),"",IF(COUNTIFS(BD!$B$3:$B$5001,V$268,BD!$A$3:$A$5001,"&gt;="&amp;$C$7,BD!$A$3:$A$5001,"&lt;="&amp;$B297,BD!$T$3:$T$5001,"&lt;&gt;")=0,"",SUMIFS(BD!$T$3:$T$5001,BD!$B$3:$B$5001,V$268,BD!$A$3:$A$5001,_xlfn.MAXIFS(BD!$A$3:$A$5001,BD!$B$3:$B$5001,V$268,BD!$A$3:$A$5001,"&gt;="&amp;$C$7,BD!$A$3:$A$5001,"&lt;="&amp;$B297,BD!$T$3:$T$5001,"&lt;&gt;"))))</f>
        <v/>
      </c>
    </row>
    <row r="298">
      <c r="A298" s="48">
        <v>30</v>
      </c>
      <c r="B298" s="53">
        <f>$B$41</f>
        <v>46325</v>
      </c>
      <c r="C298" s="54" t="str">
        <f>IF(OR($B298="",$A298&gt;$B$9,C$268=""),"",IF(COUNTIFS(BD!$B$3:$B$5001,C$268,BD!$A$3:$A$5001,"&gt;="&amp;$C$7,BD!$A$3:$A$5001,"&lt;="&amp;$B298,BD!$T$3:$T$5001,"&lt;&gt;")=0,"",SUMIFS(BD!$T$3:$T$5001,BD!$B$3:$B$5001,C$268,BD!$A$3:$A$5001,_xlfn.MAXIFS(BD!$A$3:$A$5001,BD!$B$3:$B$5001,C$268,BD!$A$3:$A$5001,"&gt;="&amp;$C$7,BD!$A$3:$A$5001,"&lt;="&amp;$B298,BD!$T$3:$T$5001,"&lt;&gt;"))))</f>
        <v/>
      </c>
      <c r="D298" s="54" t="str">
        <f>IF(OR($B298="",$A298&gt;$B$9,D$268=""),"",IF(COUNTIFS(BD!$B$3:$B$5001,D$268,BD!$A$3:$A$5001,"&gt;="&amp;$C$7,BD!$A$3:$A$5001,"&lt;="&amp;$B298,BD!$T$3:$T$5001,"&lt;&gt;")=0,"",SUMIFS(BD!$T$3:$T$5001,BD!$B$3:$B$5001,D$268,BD!$A$3:$A$5001,_xlfn.MAXIFS(BD!$A$3:$A$5001,BD!$B$3:$B$5001,D$268,BD!$A$3:$A$5001,"&gt;="&amp;$C$7,BD!$A$3:$A$5001,"&lt;="&amp;$B298,BD!$T$3:$T$5001,"&lt;&gt;"))))</f>
        <v/>
      </c>
      <c r="E298" s="54" t="str">
        <f>IF(OR($B298="",$A298&gt;$B$9,E$268=""),"",IF(COUNTIFS(BD!$B$3:$B$5001,E$268,BD!$A$3:$A$5001,"&gt;="&amp;$C$7,BD!$A$3:$A$5001,"&lt;="&amp;$B298,BD!$T$3:$T$5001,"&lt;&gt;")=0,"",SUMIFS(BD!$T$3:$T$5001,BD!$B$3:$B$5001,E$268,BD!$A$3:$A$5001,_xlfn.MAXIFS(BD!$A$3:$A$5001,BD!$B$3:$B$5001,E$268,BD!$A$3:$A$5001,"&gt;="&amp;$C$7,BD!$A$3:$A$5001,"&lt;="&amp;$B298,BD!$T$3:$T$5001,"&lt;&gt;"))))</f>
        <v/>
      </c>
      <c r="F298" s="54" t="str">
        <f>IF(OR($B298="",$A298&gt;$B$9,F$268=""),"",IF(COUNTIFS(BD!$B$3:$B$5001,F$268,BD!$A$3:$A$5001,"&gt;="&amp;$C$7,BD!$A$3:$A$5001,"&lt;="&amp;$B298,BD!$T$3:$T$5001,"&lt;&gt;")=0,"",SUMIFS(BD!$T$3:$T$5001,BD!$B$3:$B$5001,F$268,BD!$A$3:$A$5001,_xlfn.MAXIFS(BD!$A$3:$A$5001,BD!$B$3:$B$5001,F$268,BD!$A$3:$A$5001,"&gt;="&amp;$C$7,BD!$A$3:$A$5001,"&lt;="&amp;$B298,BD!$T$3:$T$5001,"&lt;&gt;"))))</f>
        <v/>
      </c>
      <c r="G298" s="54" t="str">
        <f>IF(OR($B298="",$A298&gt;$B$9,G$268=""),"",IF(COUNTIFS(BD!$B$3:$B$5001,G$268,BD!$A$3:$A$5001,"&gt;="&amp;$C$7,BD!$A$3:$A$5001,"&lt;="&amp;$B298,BD!$T$3:$T$5001,"&lt;&gt;")=0,"",SUMIFS(BD!$T$3:$T$5001,BD!$B$3:$B$5001,G$268,BD!$A$3:$A$5001,_xlfn.MAXIFS(BD!$A$3:$A$5001,BD!$B$3:$B$5001,G$268,BD!$A$3:$A$5001,"&gt;="&amp;$C$7,BD!$A$3:$A$5001,"&lt;="&amp;$B298,BD!$T$3:$T$5001,"&lt;&gt;"))))</f>
        <v/>
      </c>
      <c r="H298" s="54" t="str">
        <f>IF(OR($B298="",$A298&gt;$B$9,H$268=""),"",IF(COUNTIFS(BD!$B$3:$B$5001,H$268,BD!$A$3:$A$5001,"&gt;="&amp;$C$7,BD!$A$3:$A$5001,"&lt;="&amp;$B298,BD!$T$3:$T$5001,"&lt;&gt;")=0,"",SUMIFS(BD!$T$3:$T$5001,BD!$B$3:$B$5001,H$268,BD!$A$3:$A$5001,_xlfn.MAXIFS(BD!$A$3:$A$5001,BD!$B$3:$B$5001,H$268,BD!$A$3:$A$5001,"&gt;="&amp;$C$7,BD!$A$3:$A$5001,"&lt;="&amp;$B298,BD!$T$3:$T$5001,"&lt;&gt;"))))</f>
        <v/>
      </c>
      <c r="I298" s="54" t="str">
        <f>IF(OR($B298="",$A298&gt;$B$9,I$268=""),"",IF(COUNTIFS(BD!$B$3:$B$5001,I$268,BD!$A$3:$A$5001,"&gt;="&amp;$C$7,BD!$A$3:$A$5001,"&lt;="&amp;$B298,BD!$T$3:$T$5001,"&lt;&gt;")=0,"",SUMIFS(BD!$T$3:$T$5001,BD!$B$3:$B$5001,I$268,BD!$A$3:$A$5001,_xlfn.MAXIFS(BD!$A$3:$A$5001,BD!$B$3:$B$5001,I$268,BD!$A$3:$A$5001,"&gt;="&amp;$C$7,BD!$A$3:$A$5001,"&lt;="&amp;$B298,BD!$T$3:$T$5001,"&lt;&gt;"))))</f>
        <v/>
      </c>
      <c r="J298" s="54" t="str">
        <f>IF(OR($B298="",$A298&gt;$B$9,J$268=""),"",IF(COUNTIFS(BD!$B$3:$B$5001,J$268,BD!$A$3:$A$5001,"&gt;="&amp;$C$7,BD!$A$3:$A$5001,"&lt;="&amp;$B298,BD!$T$3:$T$5001,"&lt;&gt;")=0,"",SUMIFS(BD!$T$3:$T$5001,BD!$B$3:$B$5001,J$268,BD!$A$3:$A$5001,_xlfn.MAXIFS(BD!$A$3:$A$5001,BD!$B$3:$B$5001,J$268,BD!$A$3:$A$5001,"&gt;="&amp;$C$7,BD!$A$3:$A$5001,"&lt;="&amp;$B298,BD!$T$3:$T$5001,"&lt;&gt;"))))</f>
        <v/>
      </c>
      <c r="K298" s="54" t="str">
        <f>IF(OR($B298="",$A298&gt;$B$9,K$268=""),"",IF(COUNTIFS(BD!$B$3:$B$5001,K$268,BD!$A$3:$A$5001,"&gt;="&amp;$C$7,BD!$A$3:$A$5001,"&lt;="&amp;$B298,BD!$T$3:$T$5001,"&lt;&gt;")=0,"",SUMIFS(BD!$T$3:$T$5001,BD!$B$3:$B$5001,K$268,BD!$A$3:$A$5001,_xlfn.MAXIFS(BD!$A$3:$A$5001,BD!$B$3:$B$5001,K$268,BD!$A$3:$A$5001,"&gt;="&amp;$C$7,BD!$A$3:$A$5001,"&lt;="&amp;$B298,BD!$T$3:$T$5001,"&lt;&gt;"))))</f>
        <v/>
      </c>
      <c r="L298" s="54" t="str">
        <f>IF(OR($B298="",$A298&gt;$B$9,L$268=""),"",IF(COUNTIFS(BD!$B$3:$B$5001,L$268,BD!$A$3:$A$5001,"&gt;="&amp;$C$7,BD!$A$3:$A$5001,"&lt;="&amp;$B298,BD!$T$3:$T$5001,"&lt;&gt;")=0,"",SUMIFS(BD!$T$3:$T$5001,BD!$B$3:$B$5001,L$268,BD!$A$3:$A$5001,_xlfn.MAXIFS(BD!$A$3:$A$5001,BD!$B$3:$B$5001,L$268,BD!$A$3:$A$5001,"&gt;="&amp;$C$7,BD!$A$3:$A$5001,"&lt;="&amp;$B298,BD!$T$3:$T$5001,"&lt;&gt;"))))</f>
        <v/>
      </c>
      <c r="M298" s="54" t="str">
        <f>IF(OR($B298="",$A298&gt;$B$9,M$268=""),"",IF(COUNTIFS(BD!$B$3:$B$5001,M$268,BD!$A$3:$A$5001,"&gt;="&amp;$C$7,BD!$A$3:$A$5001,"&lt;="&amp;$B298,BD!$T$3:$T$5001,"&lt;&gt;")=0,"",SUMIFS(BD!$T$3:$T$5001,BD!$B$3:$B$5001,M$268,BD!$A$3:$A$5001,_xlfn.MAXIFS(BD!$A$3:$A$5001,BD!$B$3:$B$5001,M$268,BD!$A$3:$A$5001,"&gt;="&amp;$C$7,BD!$A$3:$A$5001,"&lt;="&amp;$B298,BD!$T$3:$T$5001,"&lt;&gt;"))))</f>
        <v/>
      </c>
      <c r="N298" s="54" t="str">
        <f>IF(OR($B298="",$A298&gt;$B$9,N$268=""),"",IF(COUNTIFS(BD!$B$3:$B$5001,N$268,BD!$A$3:$A$5001,"&gt;="&amp;$C$7,BD!$A$3:$A$5001,"&lt;="&amp;$B298,BD!$T$3:$T$5001,"&lt;&gt;")=0,"",SUMIFS(BD!$T$3:$T$5001,BD!$B$3:$B$5001,N$268,BD!$A$3:$A$5001,_xlfn.MAXIFS(BD!$A$3:$A$5001,BD!$B$3:$B$5001,N$268,BD!$A$3:$A$5001,"&gt;="&amp;$C$7,BD!$A$3:$A$5001,"&lt;="&amp;$B298,BD!$T$3:$T$5001,"&lt;&gt;"))))</f>
        <v/>
      </c>
      <c r="O298" s="54" t="str">
        <f>IF(OR($B298="",$A298&gt;$B$9,O$268=""),"",IF(COUNTIFS(BD!$B$3:$B$5001,O$268,BD!$A$3:$A$5001,"&gt;="&amp;$C$7,BD!$A$3:$A$5001,"&lt;="&amp;$B298,BD!$T$3:$T$5001,"&lt;&gt;")=0,"",SUMIFS(BD!$T$3:$T$5001,BD!$B$3:$B$5001,O$268,BD!$A$3:$A$5001,_xlfn.MAXIFS(BD!$A$3:$A$5001,BD!$B$3:$B$5001,O$268,BD!$A$3:$A$5001,"&gt;="&amp;$C$7,BD!$A$3:$A$5001,"&lt;="&amp;$B298,BD!$T$3:$T$5001,"&lt;&gt;"))))</f>
        <v/>
      </c>
      <c r="P298" s="54" t="str">
        <f>IF(OR($B298="",$A298&gt;$B$9,P$268=""),"",IF(COUNTIFS(BD!$B$3:$B$5001,P$268,BD!$A$3:$A$5001,"&gt;="&amp;$C$7,BD!$A$3:$A$5001,"&lt;="&amp;$B298,BD!$T$3:$T$5001,"&lt;&gt;")=0,"",SUMIFS(BD!$T$3:$T$5001,BD!$B$3:$B$5001,P$268,BD!$A$3:$A$5001,_xlfn.MAXIFS(BD!$A$3:$A$5001,BD!$B$3:$B$5001,P$268,BD!$A$3:$A$5001,"&gt;="&amp;$C$7,BD!$A$3:$A$5001,"&lt;="&amp;$B298,BD!$T$3:$T$5001,"&lt;&gt;"))))</f>
        <v/>
      </c>
      <c r="Q298" s="54" t="str">
        <f>IF(OR($B298="",$A298&gt;$B$9,Q$268=""),"",IF(COUNTIFS(BD!$B$3:$B$5001,Q$268,BD!$A$3:$A$5001,"&gt;="&amp;$C$7,BD!$A$3:$A$5001,"&lt;="&amp;$B298,BD!$T$3:$T$5001,"&lt;&gt;")=0,"",SUMIFS(BD!$T$3:$T$5001,BD!$B$3:$B$5001,Q$268,BD!$A$3:$A$5001,_xlfn.MAXIFS(BD!$A$3:$A$5001,BD!$B$3:$B$5001,Q$268,BD!$A$3:$A$5001,"&gt;="&amp;$C$7,BD!$A$3:$A$5001,"&lt;="&amp;$B298,BD!$T$3:$T$5001,"&lt;&gt;"))))</f>
        <v/>
      </c>
      <c r="R298" s="54" t="str">
        <f>IF(OR($B298="",$A298&gt;$B$9,R$268=""),"",IF(COUNTIFS(BD!$B$3:$B$5001,R$268,BD!$A$3:$A$5001,"&gt;="&amp;$C$7,BD!$A$3:$A$5001,"&lt;="&amp;$B298,BD!$T$3:$T$5001,"&lt;&gt;")=0,"",SUMIFS(BD!$T$3:$T$5001,BD!$B$3:$B$5001,R$268,BD!$A$3:$A$5001,_xlfn.MAXIFS(BD!$A$3:$A$5001,BD!$B$3:$B$5001,R$268,BD!$A$3:$A$5001,"&gt;="&amp;$C$7,BD!$A$3:$A$5001,"&lt;="&amp;$B298,BD!$T$3:$T$5001,"&lt;&gt;"))))</f>
        <v/>
      </c>
      <c r="S298" s="54" t="str">
        <f>IF(OR($B298="",$A298&gt;$B$9,S$268=""),"",IF(COUNTIFS(BD!$B$3:$B$5001,S$268,BD!$A$3:$A$5001,"&gt;="&amp;$C$7,BD!$A$3:$A$5001,"&lt;="&amp;$B298,BD!$T$3:$T$5001,"&lt;&gt;")=0,"",SUMIFS(BD!$T$3:$T$5001,BD!$B$3:$B$5001,S$268,BD!$A$3:$A$5001,_xlfn.MAXIFS(BD!$A$3:$A$5001,BD!$B$3:$B$5001,S$268,BD!$A$3:$A$5001,"&gt;="&amp;$C$7,BD!$A$3:$A$5001,"&lt;="&amp;$B298,BD!$T$3:$T$5001,"&lt;&gt;"))))</f>
        <v/>
      </c>
      <c r="T298" s="54" t="str">
        <f>IF(OR($B298="",$A298&gt;$B$9,T$268=""),"",IF(COUNTIFS(BD!$B$3:$B$5001,T$268,BD!$A$3:$A$5001,"&gt;="&amp;$C$7,BD!$A$3:$A$5001,"&lt;="&amp;$B298,BD!$T$3:$T$5001,"&lt;&gt;")=0,"",SUMIFS(BD!$T$3:$T$5001,BD!$B$3:$B$5001,T$268,BD!$A$3:$A$5001,_xlfn.MAXIFS(BD!$A$3:$A$5001,BD!$B$3:$B$5001,T$268,BD!$A$3:$A$5001,"&gt;="&amp;$C$7,BD!$A$3:$A$5001,"&lt;="&amp;$B298,BD!$T$3:$T$5001,"&lt;&gt;"))))</f>
        <v/>
      </c>
      <c r="U298" s="54" t="str">
        <f>IF(OR($B298="",$A298&gt;$B$9,U$268=""),"",IF(COUNTIFS(BD!$B$3:$B$5001,U$268,BD!$A$3:$A$5001,"&gt;="&amp;$C$7,BD!$A$3:$A$5001,"&lt;="&amp;$B298,BD!$T$3:$T$5001,"&lt;&gt;")=0,"",SUMIFS(BD!$T$3:$T$5001,BD!$B$3:$B$5001,U$268,BD!$A$3:$A$5001,_xlfn.MAXIFS(BD!$A$3:$A$5001,BD!$B$3:$B$5001,U$268,BD!$A$3:$A$5001,"&gt;="&amp;$C$7,BD!$A$3:$A$5001,"&lt;="&amp;$B298,BD!$T$3:$T$5001,"&lt;&gt;"))))</f>
        <v/>
      </c>
      <c r="V298" s="54" t="str">
        <f>IF(OR($B298="",$A298&gt;$B$9,V$268=""),"",IF(COUNTIFS(BD!$B$3:$B$5001,V$268,BD!$A$3:$A$5001,"&gt;="&amp;$C$7,BD!$A$3:$A$5001,"&lt;="&amp;$B298,BD!$T$3:$T$5001,"&lt;&gt;")=0,"",SUMIFS(BD!$T$3:$T$5001,BD!$B$3:$B$5001,V$268,BD!$A$3:$A$5001,_xlfn.MAXIFS(BD!$A$3:$A$5001,BD!$B$3:$B$5001,V$268,BD!$A$3:$A$5001,"&gt;="&amp;$C$7,BD!$A$3:$A$5001,"&lt;="&amp;$B298,BD!$T$3:$T$5001,"&lt;&gt;"))))</f>
        <v/>
      </c>
    </row>
    <row r="299">
      <c r="A299" s="48">
        <v>31</v>
      </c>
      <c r="B299" s="53">
        <f>$B$42</f>
        <v>46326</v>
      </c>
      <c r="C299" s="54" t="str">
        <f>IF(OR($B299="",$A299&gt;$B$9,C$268=""),"",IF(COUNTIFS(BD!$B$3:$B$5001,C$268,BD!$A$3:$A$5001,"&gt;="&amp;$C$7,BD!$A$3:$A$5001,"&lt;="&amp;$B299,BD!$T$3:$T$5001,"&lt;&gt;")=0,"",SUMIFS(BD!$T$3:$T$5001,BD!$B$3:$B$5001,C$268,BD!$A$3:$A$5001,_xlfn.MAXIFS(BD!$A$3:$A$5001,BD!$B$3:$B$5001,C$268,BD!$A$3:$A$5001,"&gt;="&amp;$C$7,BD!$A$3:$A$5001,"&lt;="&amp;$B299,BD!$T$3:$T$5001,"&lt;&gt;"))))</f>
        <v/>
      </c>
      <c r="D299" s="54" t="str">
        <f>IF(OR($B299="",$A299&gt;$B$9,D$268=""),"",IF(COUNTIFS(BD!$B$3:$B$5001,D$268,BD!$A$3:$A$5001,"&gt;="&amp;$C$7,BD!$A$3:$A$5001,"&lt;="&amp;$B299,BD!$T$3:$T$5001,"&lt;&gt;")=0,"",SUMIFS(BD!$T$3:$T$5001,BD!$B$3:$B$5001,D$268,BD!$A$3:$A$5001,_xlfn.MAXIFS(BD!$A$3:$A$5001,BD!$B$3:$B$5001,D$268,BD!$A$3:$A$5001,"&gt;="&amp;$C$7,BD!$A$3:$A$5001,"&lt;="&amp;$B299,BD!$T$3:$T$5001,"&lt;&gt;"))))</f>
        <v/>
      </c>
      <c r="E299" s="54" t="str">
        <f>IF(OR($B299="",$A299&gt;$B$9,E$268=""),"",IF(COUNTIFS(BD!$B$3:$B$5001,E$268,BD!$A$3:$A$5001,"&gt;="&amp;$C$7,BD!$A$3:$A$5001,"&lt;="&amp;$B299,BD!$T$3:$T$5001,"&lt;&gt;")=0,"",SUMIFS(BD!$T$3:$T$5001,BD!$B$3:$B$5001,E$268,BD!$A$3:$A$5001,_xlfn.MAXIFS(BD!$A$3:$A$5001,BD!$B$3:$B$5001,E$268,BD!$A$3:$A$5001,"&gt;="&amp;$C$7,BD!$A$3:$A$5001,"&lt;="&amp;$B299,BD!$T$3:$T$5001,"&lt;&gt;"))))</f>
        <v/>
      </c>
      <c r="F299" s="54" t="str">
        <f>IF(OR($B299="",$A299&gt;$B$9,F$268=""),"",IF(COUNTIFS(BD!$B$3:$B$5001,F$268,BD!$A$3:$A$5001,"&gt;="&amp;$C$7,BD!$A$3:$A$5001,"&lt;="&amp;$B299,BD!$T$3:$T$5001,"&lt;&gt;")=0,"",SUMIFS(BD!$T$3:$T$5001,BD!$B$3:$B$5001,F$268,BD!$A$3:$A$5001,_xlfn.MAXIFS(BD!$A$3:$A$5001,BD!$B$3:$B$5001,F$268,BD!$A$3:$A$5001,"&gt;="&amp;$C$7,BD!$A$3:$A$5001,"&lt;="&amp;$B299,BD!$T$3:$T$5001,"&lt;&gt;"))))</f>
        <v/>
      </c>
      <c r="G299" s="54" t="str">
        <f>IF(OR($B299="",$A299&gt;$B$9,G$268=""),"",IF(COUNTIFS(BD!$B$3:$B$5001,G$268,BD!$A$3:$A$5001,"&gt;="&amp;$C$7,BD!$A$3:$A$5001,"&lt;="&amp;$B299,BD!$T$3:$T$5001,"&lt;&gt;")=0,"",SUMIFS(BD!$T$3:$T$5001,BD!$B$3:$B$5001,G$268,BD!$A$3:$A$5001,_xlfn.MAXIFS(BD!$A$3:$A$5001,BD!$B$3:$B$5001,G$268,BD!$A$3:$A$5001,"&gt;="&amp;$C$7,BD!$A$3:$A$5001,"&lt;="&amp;$B299,BD!$T$3:$T$5001,"&lt;&gt;"))))</f>
        <v/>
      </c>
      <c r="H299" s="54" t="str">
        <f>IF(OR($B299="",$A299&gt;$B$9,H$268=""),"",IF(COUNTIFS(BD!$B$3:$B$5001,H$268,BD!$A$3:$A$5001,"&gt;="&amp;$C$7,BD!$A$3:$A$5001,"&lt;="&amp;$B299,BD!$T$3:$T$5001,"&lt;&gt;")=0,"",SUMIFS(BD!$T$3:$T$5001,BD!$B$3:$B$5001,H$268,BD!$A$3:$A$5001,_xlfn.MAXIFS(BD!$A$3:$A$5001,BD!$B$3:$B$5001,H$268,BD!$A$3:$A$5001,"&gt;="&amp;$C$7,BD!$A$3:$A$5001,"&lt;="&amp;$B299,BD!$T$3:$T$5001,"&lt;&gt;"))))</f>
        <v/>
      </c>
      <c r="I299" s="54" t="str">
        <f>IF(OR($B299="",$A299&gt;$B$9,I$268=""),"",IF(COUNTIFS(BD!$B$3:$B$5001,I$268,BD!$A$3:$A$5001,"&gt;="&amp;$C$7,BD!$A$3:$A$5001,"&lt;="&amp;$B299,BD!$T$3:$T$5001,"&lt;&gt;")=0,"",SUMIFS(BD!$T$3:$T$5001,BD!$B$3:$B$5001,I$268,BD!$A$3:$A$5001,_xlfn.MAXIFS(BD!$A$3:$A$5001,BD!$B$3:$B$5001,I$268,BD!$A$3:$A$5001,"&gt;="&amp;$C$7,BD!$A$3:$A$5001,"&lt;="&amp;$B299,BD!$T$3:$T$5001,"&lt;&gt;"))))</f>
        <v/>
      </c>
      <c r="J299" s="54" t="str">
        <f>IF(OR($B299="",$A299&gt;$B$9,J$268=""),"",IF(COUNTIFS(BD!$B$3:$B$5001,J$268,BD!$A$3:$A$5001,"&gt;="&amp;$C$7,BD!$A$3:$A$5001,"&lt;="&amp;$B299,BD!$T$3:$T$5001,"&lt;&gt;")=0,"",SUMIFS(BD!$T$3:$T$5001,BD!$B$3:$B$5001,J$268,BD!$A$3:$A$5001,_xlfn.MAXIFS(BD!$A$3:$A$5001,BD!$B$3:$B$5001,J$268,BD!$A$3:$A$5001,"&gt;="&amp;$C$7,BD!$A$3:$A$5001,"&lt;="&amp;$B299,BD!$T$3:$T$5001,"&lt;&gt;"))))</f>
        <v/>
      </c>
      <c r="K299" s="54" t="str">
        <f>IF(OR($B299="",$A299&gt;$B$9,K$268=""),"",IF(COUNTIFS(BD!$B$3:$B$5001,K$268,BD!$A$3:$A$5001,"&gt;="&amp;$C$7,BD!$A$3:$A$5001,"&lt;="&amp;$B299,BD!$T$3:$T$5001,"&lt;&gt;")=0,"",SUMIFS(BD!$T$3:$T$5001,BD!$B$3:$B$5001,K$268,BD!$A$3:$A$5001,_xlfn.MAXIFS(BD!$A$3:$A$5001,BD!$B$3:$B$5001,K$268,BD!$A$3:$A$5001,"&gt;="&amp;$C$7,BD!$A$3:$A$5001,"&lt;="&amp;$B299,BD!$T$3:$T$5001,"&lt;&gt;"))))</f>
        <v/>
      </c>
      <c r="L299" s="54" t="str">
        <f>IF(OR($B299="",$A299&gt;$B$9,L$268=""),"",IF(COUNTIFS(BD!$B$3:$B$5001,L$268,BD!$A$3:$A$5001,"&gt;="&amp;$C$7,BD!$A$3:$A$5001,"&lt;="&amp;$B299,BD!$T$3:$T$5001,"&lt;&gt;")=0,"",SUMIFS(BD!$T$3:$T$5001,BD!$B$3:$B$5001,L$268,BD!$A$3:$A$5001,_xlfn.MAXIFS(BD!$A$3:$A$5001,BD!$B$3:$B$5001,L$268,BD!$A$3:$A$5001,"&gt;="&amp;$C$7,BD!$A$3:$A$5001,"&lt;="&amp;$B299,BD!$T$3:$T$5001,"&lt;&gt;"))))</f>
        <v/>
      </c>
      <c r="M299" s="54" t="str">
        <f>IF(OR($B299="",$A299&gt;$B$9,M$268=""),"",IF(COUNTIFS(BD!$B$3:$B$5001,M$268,BD!$A$3:$A$5001,"&gt;="&amp;$C$7,BD!$A$3:$A$5001,"&lt;="&amp;$B299,BD!$T$3:$T$5001,"&lt;&gt;")=0,"",SUMIFS(BD!$T$3:$T$5001,BD!$B$3:$B$5001,M$268,BD!$A$3:$A$5001,_xlfn.MAXIFS(BD!$A$3:$A$5001,BD!$B$3:$B$5001,M$268,BD!$A$3:$A$5001,"&gt;="&amp;$C$7,BD!$A$3:$A$5001,"&lt;="&amp;$B299,BD!$T$3:$T$5001,"&lt;&gt;"))))</f>
        <v/>
      </c>
      <c r="N299" s="54" t="str">
        <f>IF(OR($B299="",$A299&gt;$B$9,N$268=""),"",IF(COUNTIFS(BD!$B$3:$B$5001,N$268,BD!$A$3:$A$5001,"&gt;="&amp;$C$7,BD!$A$3:$A$5001,"&lt;="&amp;$B299,BD!$T$3:$T$5001,"&lt;&gt;")=0,"",SUMIFS(BD!$T$3:$T$5001,BD!$B$3:$B$5001,N$268,BD!$A$3:$A$5001,_xlfn.MAXIFS(BD!$A$3:$A$5001,BD!$B$3:$B$5001,N$268,BD!$A$3:$A$5001,"&gt;="&amp;$C$7,BD!$A$3:$A$5001,"&lt;="&amp;$B299,BD!$T$3:$T$5001,"&lt;&gt;"))))</f>
        <v/>
      </c>
      <c r="O299" s="54" t="str">
        <f>IF(OR($B299="",$A299&gt;$B$9,O$268=""),"",IF(COUNTIFS(BD!$B$3:$B$5001,O$268,BD!$A$3:$A$5001,"&gt;="&amp;$C$7,BD!$A$3:$A$5001,"&lt;="&amp;$B299,BD!$T$3:$T$5001,"&lt;&gt;")=0,"",SUMIFS(BD!$T$3:$T$5001,BD!$B$3:$B$5001,O$268,BD!$A$3:$A$5001,_xlfn.MAXIFS(BD!$A$3:$A$5001,BD!$B$3:$B$5001,O$268,BD!$A$3:$A$5001,"&gt;="&amp;$C$7,BD!$A$3:$A$5001,"&lt;="&amp;$B299,BD!$T$3:$T$5001,"&lt;&gt;"))))</f>
        <v/>
      </c>
      <c r="P299" s="54" t="str">
        <f>IF(OR($B299="",$A299&gt;$B$9,P$268=""),"",IF(COUNTIFS(BD!$B$3:$B$5001,P$268,BD!$A$3:$A$5001,"&gt;="&amp;$C$7,BD!$A$3:$A$5001,"&lt;="&amp;$B299,BD!$T$3:$T$5001,"&lt;&gt;")=0,"",SUMIFS(BD!$T$3:$T$5001,BD!$B$3:$B$5001,P$268,BD!$A$3:$A$5001,_xlfn.MAXIFS(BD!$A$3:$A$5001,BD!$B$3:$B$5001,P$268,BD!$A$3:$A$5001,"&gt;="&amp;$C$7,BD!$A$3:$A$5001,"&lt;="&amp;$B299,BD!$T$3:$T$5001,"&lt;&gt;"))))</f>
        <v/>
      </c>
      <c r="Q299" s="54" t="str">
        <f>IF(OR($B299="",$A299&gt;$B$9,Q$268=""),"",IF(COUNTIFS(BD!$B$3:$B$5001,Q$268,BD!$A$3:$A$5001,"&gt;="&amp;$C$7,BD!$A$3:$A$5001,"&lt;="&amp;$B299,BD!$T$3:$T$5001,"&lt;&gt;")=0,"",SUMIFS(BD!$T$3:$T$5001,BD!$B$3:$B$5001,Q$268,BD!$A$3:$A$5001,_xlfn.MAXIFS(BD!$A$3:$A$5001,BD!$B$3:$B$5001,Q$268,BD!$A$3:$A$5001,"&gt;="&amp;$C$7,BD!$A$3:$A$5001,"&lt;="&amp;$B299,BD!$T$3:$T$5001,"&lt;&gt;"))))</f>
        <v/>
      </c>
      <c r="R299" s="54" t="str">
        <f>IF(OR($B299="",$A299&gt;$B$9,R$268=""),"",IF(COUNTIFS(BD!$B$3:$B$5001,R$268,BD!$A$3:$A$5001,"&gt;="&amp;$C$7,BD!$A$3:$A$5001,"&lt;="&amp;$B299,BD!$T$3:$T$5001,"&lt;&gt;")=0,"",SUMIFS(BD!$T$3:$T$5001,BD!$B$3:$B$5001,R$268,BD!$A$3:$A$5001,_xlfn.MAXIFS(BD!$A$3:$A$5001,BD!$B$3:$B$5001,R$268,BD!$A$3:$A$5001,"&gt;="&amp;$C$7,BD!$A$3:$A$5001,"&lt;="&amp;$B299,BD!$T$3:$T$5001,"&lt;&gt;"))))</f>
        <v/>
      </c>
      <c r="S299" s="54" t="str">
        <f>IF(OR($B299="",$A299&gt;$B$9,S$268=""),"",IF(COUNTIFS(BD!$B$3:$B$5001,S$268,BD!$A$3:$A$5001,"&gt;="&amp;$C$7,BD!$A$3:$A$5001,"&lt;="&amp;$B299,BD!$T$3:$T$5001,"&lt;&gt;")=0,"",SUMIFS(BD!$T$3:$T$5001,BD!$B$3:$B$5001,S$268,BD!$A$3:$A$5001,_xlfn.MAXIFS(BD!$A$3:$A$5001,BD!$B$3:$B$5001,S$268,BD!$A$3:$A$5001,"&gt;="&amp;$C$7,BD!$A$3:$A$5001,"&lt;="&amp;$B299,BD!$T$3:$T$5001,"&lt;&gt;"))))</f>
        <v/>
      </c>
      <c r="T299" s="54" t="str">
        <f>IF(OR($B299="",$A299&gt;$B$9,T$268=""),"",IF(COUNTIFS(BD!$B$3:$B$5001,T$268,BD!$A$3:$A$5001,"&gt;="&amp;$C$7,BD!$A$3:$A$5001,"&lt;="&amp;$B299,BD!$T$3:$T$5001,"&lt;&gt;")=0,"",SUMIFS(BD!$T$3:$T$5001,BD!$B$3:$B$5001,T$268,BD!$A$3:$A$5001,_xlfn.MAXIFS(BD!$A$3:$A$5001,BD!$B$3:$B$5001,T$268,BD!$A$3:$A$5001,"&gt;="&amp;$C$7,BD!$A$3:$A$5001,"&lt;="&amp;$B299,BD!$T$3:$T$5001,"&lt;&gt;"))))</f>
        <v/>
      </c>
      <c r="U299" s="54" t="str">
        <f>IF(OR($B299="",$A299&gt;$B$9,U$268=""),"",IF(COUNTIFS(BD!$B$3:$B$5001,U$268,BD!$A$3:$A$5001,"&gt;="&amp;$C$7,BD!$A$3:$A$5001,"&lt;="&amp;$B299,BD!$T$3:$T$5001,"&lt;&gt;")=0,"",SUMIFS(BD!$T$3:$T$5001,BD!$B$3:$B$5001,U$268,BD!$A$3:$A$5001,_xlfn.MAXIFS(BD!$A$3:$A$5001,BD!$B$3:$B$5001,U$268,BD!$A$3:$A$5001,"&gt;="&amp;$C$7,BD!$A$3:$A$5001,"&lt;="&amp;$B299,BD!$T$3:$T$5001,"&lt;&gt;"))))</f>
        <v/>
      </c>
      <c r="V299" s="54" t="str">
        <f>IF(OR($B299="",$A299&gt;$B$9,V$268=""),"",IF(COUNTIFS(BD!$B$3:$B$5001,V$268,BD!$A$3:$A$5001,"&gt;="&amp;$C$7,BD!$A$3:$A$5001,"&lt;="&amp;$B299,BD!$T$3:$T$5001,"&lt;&gt;")=0,"",SUMIFS(BD!$T$3:$T$5001,BD!$B$3:$B$5001,V$268,BD!$A$3:$A$5001,_xlfn.MAXIFS(BD!$A$3:$A$5001,BD!$B$3:$B$5001,V$268,BD!$A$3:$A$5001,"&gt;="&amp;$C$7,BD!$A$3:$A$5001,"&lt;="&amp;$B299,BD!$T$3:$T$5001,"&lt;&gt;"))))</f>
        <v/>
      </c>
    </row>
    <row r="300">
      <c r="A300" s="55" t="inlineStr">
        <is>
          <t xml:space="preserve">Mês anterior (último)</t>
        </is>
      </c>
      <c r="C300" s="56" t="str">
        <f>IF(C$268="","",IF(COUNTIFS(BD!$B$3:$B$5001,C$268,BD!$A$3:$A$5001,"&gt;="&amp;$C$8,BD!$A$3:$A$5001,"&lt;="&amp;$D$8,BD!$T$3:$T$5001,"&lt;&gt;")=0,"",SUMIFS(BD!$T$3:$T$5001,BD!$B$3:$B$5001,C$268,BD!$A$3:$A$5001,_xlfn.MAXIFS(BD!$A$3:$A$5001,BD!$B$3:$B$5001,C$268,BD!$A$3:$A$5001,"&gt;="&amp;$C$8,BD!$A$3:$A$5001,"&lt;="&amp;$D$8,BD!$T$3:$T$5001,"&lt;&gt;"))))</f>
        <v/>
      </c>
      <c r="D300" s="56" t="str">
        <f>IF(D$268="","",IF(COUNTIFS(BD!$B$3:$B$5001,D$268,BD!$A$3:$A$5001,"&gt;="&amp;$C$8,BD!$A$3:$A$5001,"&lt;="&amp;$D$8,BD!$T$3:$T$5001,"&lt;&gt;")=0,"",SUMIFS(BD!$T$3:$T$5001,BD!$B$3:$B$5001,D$268,BD!$A$3:$A$5001,_xlfn.MAXIFS(BD!$A$3:$A$5001,BD!$B$3:$B$5001,D$268,BD!$A$3:$A$5001,"&gt;="&amp;$C$8,BD!$A$3:$A$5001,"&lt;="&amp;$D$8,BD!$T$3:$T$5001,"&lt;&gt;"))))</f>
        <v/>
      </c>
      <c r="E300" s="56" t="str">
        <f>IF(E$268="","",IF(COUNTIFS(BD!$B$3:$B$5001,E$268,BD!$A$3:$A$5001,"&gt;="&amp;$C$8,BD!$A$3:$A$5001,"&lt;="&amp;$D$8,BD!$T$3:$T$5001,"&lt;&gt;")=0,"",SUMIFS(BD!$T$3:$T$5001,BD!$B$3:$B$5001,E$268,BD!$A$3:$A$5001,_xlfn.MAXIFS(BD!$A$3:$A$5001,BD!$B$3:$B$5001,E$268,BD!$A$3:$A$5001,"&gt;="&amp;$C$8,BD!$A$3:$A$5001,"&lt;="&amp;$D$8,BD!$T$3:$T$5001,"&lt;&gt;"))))</f>
        <v/>
      </c>
      <c r="F300" s="56" t="str">
        <f>IF(F$268="","",IF(COUNTIFS(BD!$B$3:$B$5001,F$268,BD!$A$3:$A$5001,"&gt;="&amp;$C$8,BD!$A$3:$A$5001,"&lt;="&amp;$D$8,BD!$T$3:$T$5001,"&lt;&gt;")=0,"",SUMIFS(BD!$T$3:$T$5001,BD!$B$3:$B$5001,F$268,BD!$A$3:$A$5001,_xlfn.MAXIFS(BD!$A$3:$A$5001,BD!$B$3:$B$5001,F$268,BD!$A$3:$A$5001,"&gt;="&amp;$C$8,BD!$A$3:$A$5001,"&lt;="&amp;$D$8,BD!$T$3:$T$5001,"&lt;&gt;"))))</f>
        <v/>
      </c>
      <c r="G300" s="56" t="str">
        <f>IF(G$268="","",IF(COUNTIFS(BD!$B$3:$B$5001,G$268,BD!$A$3:$A$5001,"&gt;="&amp;$C$8,BD!$A$3:$A$5001,"&lt;="&amp;$D$8,BD!$T$3:$T$5001,"&lt;&gt;")=0,"",SUMIFS(BD!$T$3:$T$5001,BD!$B$3:$B$5001,G$268,BD!$A$3:$A$5001,_xlfn.MAXIFS(BD!$A$3:$A$5001,BD!$B$3:$B$5001,G$268,BD!$A$3:$A$5001,"&gt;="&amp;$C$8,BD!$A$3:$A$5001,"&lt;="&amp;$D$8,BD!$T$3:$T$5001,"&lt;&gt;"))))</f>
        <v/>
      </c>
      <c r="H300" s="56" t="str">
        <f>IF(H$268="","",IF(COUNTIFS(BD!$B$3:$B$5001,H$268,BD!$A$3:$A$5001,"&gt;="&amp;$C$8,BD!$A$3:$A$5001,"&lt;="&amp;$D$8,BD!$T$3:$T$5001,"&lt;&gt;")=0,"",SUMIFS(BD!$T$3:$T$5001,BD!$B$3:$B$5001,H$268,BD!$A$3:$A$5001,_xlfn.MAXIFS(BD!$A$3:$A$5001,BD!$B$3:$B$5001,H$268,BD!$A$3:$A$5001,"&gt;="&amp;$C$8,BD!$A$3:$A$5001,"&lt;="&amp;$D$8,BD!$T$3:$T$5001,"&lt;&gt;"))))</f>
        <v/>
      </c>
      <c r="I300" s="56" t="str">
        <f>IF(I$268="","",IF(COUNTIFS(BD!$B$3:$B$5001,I$268,BD!$A$3:$A$5001,"&gt;="&amp;$C$8,BD!$A$3:$A$5001,"&lt;="&amp;$D$8,BD!$T$3:$T$5001,"&lt;&gt;")=0,"",SUMIFS(BD!$T$3:$T$5001,BD!$B$3:$B$5001,I$268,BD!$A$3:$A$5001,_xlfn.MAXIFS(BD!$A$3:$A$5001,BD!$B$3:$B$5001,I$268,BD!$A$3:$A$5001,"&gt;="&amp;$C$8,BD!$A$3:$A$5001,"&lt;="&amp;$D$8,BD!$T$3:$T$5001,"&lt;&gt;"))))</f>
        <v/>
      </c>
      <c r="J300" s="56" t="str">
        <f>IF(J$268="","",IF(COUNTIFS(BD!$B$3:$B$5001,J$268,BD!$A$3:$A$5001,"&gt;="&amp;$C$8,BD!$A$3:$A$5001,"&lt;="&amp;$D$8,BD!$T$3:$T$5001,"&lt;&gt;")=0,"",SUMIFS(BD!$T$3:$T$5001,BD!$B$3:$B$5001,J$268,BD!$A$3:$A$5001,_xlfn.MAXIFS(BD!$A$3:$A$5001,BD!$B$3:$B$5001,J$268,BD!$A$3:$A$5001,"&gt;="&amp;$C$8,BD!$A$3:$A$5001,"&lt;="&amp;$D$8,BD!$T$3:$T$5001,"&lt;&gt;"))))</f>
        <v/>
      </c>
      <c r="K300" s="56" t="str">
        <f>IF(K$268="","",IF(COUNTIFS(BD!$B$3:$B$5001,K$268,BD!$A$3:$A$5001,"&gt;="&amp;$C$8,BD!$A$3:$A$5001,"&lt;="&amp;$D$8,BD!$T$3:$T$5001,"&lt;&gt;")=0,"",SUMIFS(BD!$T$3:$T$5001,BD!$B$3:$B$5001,K$268,BD!$A$3:$A$5001,_xlfn.MAXIFS(BD!$A$3:$A$5001,BD!$B$3:$B$5001,K$268,BD!$A$3:$A$5001,"&gt;="&amp;$C$8,BD!$A$3:$A$5001,"&lt;="&amp;$D$8,BD!$T$3:$T$5001,"&lt;&gt;"))))</f>
        <v/>
      </c>
      <c r="L300" s="56" t="str">
        <f>IF(L$268="","",IF(COUNTIFS(BD!$B$3:$B$5001,L$268,BD!$A$3:$A$5001,"&gt;="&amp;$C$8,BD!$A$3:$A$5001,"&lt;="&amp;$D$8,BD!$T$3:$T$5001,"&lt;&gt;")=0,"",SUMIFS(BD!$T$3:$T$5001,BD!$B$3:$B$5001,L$268,BD!$A$3:$A$5001,_xlfn.MAXIFS(BD!$A$3:$A$5001,BD!$B$3:$B$5001,L$268,BD!$A$3:$A$5001,"&gt;="&amp;$C$8,BD!$A$3:$A$5001,"&lt;="&amp;$D$8,BD!$T$3:$T$5001,"&lt;&gt;"))))</f>
        <v/>
      </c>
      <c r="M300" s="56" t="str">
        <f>IF(M$268="","",IF(COUNTIFS(BD!$B$3:$B$5001,M$268,BD!$A$3:$A$5001,"&gt;="&amp;$C$8,BD!$A$3:$A$5001,"&lt;="&amp;$D$8,BD!$T$3:$T$5001,"&lt;&gt;")=0,"",SUMIFS(BD!$T$3:$T$5001,BD!$B$3:$B$5001,M$268,BD!$A$3:$A$5001,_xlfn.MAXIFS(BD!$A$3:$A$5001,BD!$B$3:$B$5001,M$268,BD!$A$3:$A$5001,"&gt;="&amp;$C$8,BD!$A$3:$A$5001,"&lt;="&amp;$D$8,BD!$T$3:$T$5001,"&lt;&gt;"))))</f>
        <v/>
      </c>
      <c r="N300" s="56" t="str">
        <f>IF(N$268="","",IF(COUNTIFS(BD!$B$3:$B$5001,N$268,BD!$A$3:$A$5001,"&gt;="&amp;$C$8,BD!$A$3:$A$5001,"&lt;="&amp;$D$8,BD!$T$3:$T$5001,"&lt;&gt;")=0,"",SUMIFS(BD!$T$3:$T$5001,BD!$B$3:$B$5001,N$268,BD!$A$3:$A$5001,_xlfn.MAXIFS(BD!$A$3:$A$5001,BD!$B$3:$B$5001,N$268,BD!$A$3:$A$5001,"&gt;="&amp;$C$8,BD!$A$3:$A$5001,"&lt;="&amp;$D$8,BD!$T$3:$T$5001,"&lt;&gt;"))))</f>
        <v/>
      </c>
      <c r="O300" s="56" t="str">
        <f>IF(O$268="","",IF(COUNTIFS(BD!$B$3:$B$5001,O$268,BD!$A$3:$A$5001,"&gt;="&amp;$C$8,BD!$A$3:$A$5001,"&lt;="&amp;$D$8,BD!$T$3:$T$5001,"&lt;&gt;")=0,"",SUMIFS(BD!$T$3:$T$5001,BD!$B$3:$B$5001,O$268,BD!$A$3:$A$5001,_xlfn.MAXIFS(BD!$A$3:$A$5001,BD!$B$3:$B$5001,O$268,BD!$A$3:$A$5001,"&gt;="&amp;$C$8,BD!$A$3:$A$5001,"&lt;="&amp;$D$8,BD!$T$3:$T$5001,"&lt;&gt;"))))</f>
        <v/>
      </c>
      <c r="P300" s="56" t="str">
        <f>IF(P$268="","",IF(COUNTIFS(BD!$B$3:$B$5001,P$268,BD!$A$3:$A$5001,"&gt;="&amp;$C$8,BD!$A$3:$A$5001,"&lt;="&amp;$D$8,BD!$T$3:$T$5001,"&lt;&gt;")=0,"",SUMIFS(BD!$T$3:$T$5001,BD!$B$3:$B$5001,P$268,BD!$A$3:$A$5001,_xlfn.MAXIFS(BD!$A$3:$A$5001,BD!$B$3:$B$5001,P$268,BD!$A$3:$A$5001,"&gt;="&amp;$C$8,BD!$A$3:$A$5001,"&lt;="&amp;$D$8,BD!$T$3:$T$5001,"&lt;&gt;"))))</f>
        <v/>
      </c>
      <c r="Q300" s="56" t="str">
        <f>IF(Q$268="","",IF(COUNTIFS(BD!$B$3:$B$5001,Q$268,BD!$A$3:$A$5001,"&gt;="&amp;$C$8,BD!$A$3:$A$5001,"&lt;="&amp;$D$8,BD!$T$3:$T$5001,"&lt;&gt;")=0,"",SUMIFS(BD!$T$3:$T$5001,BD!$B$3:$B$5001,Q$268,BD!$A$3:$A$5001,_xlfn.MAXIFS(BD!$A$3:$A$5001,BD!$B$3:$B$5001,Q$268,BD!$A$3:$A$5001,"&gt;="&amp;$C$8,BD!$A$3:$A$5001,"&lt;="&amp;$D$8,BD!$T$3:$T$5001,"&lt;&gt;"))))</f>
        <v/>
      </c>
      <c r="R300" s="56" t="str">
        <f>IF(R$268="","",IF(COUNTIFS(BD!$B$3:$B$5001,R$268,BD!$A$3:$A$5001,"&gt;="&amp;$C$8,BD!$A$3:$A$5001,"&lt;="&amp;$D$8,BD!$T$3:$T$5001,"&lt;&gt;")=0,"",SUMIFS(BD!$T$3:$T$5001,BD!$B$3:$B$5001,R$268,BD!$A$3:$A$5001,_xlfn.MAXIFS(BD!$A$3:$A$5001,BD!$B$3:$B$5001,R$268,BD!$A$3:$A$5001,"&gt;="&amp;$C$8,BD!$A$3:$A$5001,"&lt;="&amp;$D$8,BD!$T$3:$T$5001,"&lt;&gt;"))))</f>
        <v/>
      </c>
      <c r="S300" s="56" t="str">
        <f>IF(S$268="","",IF(COUNTIFS(BD!$B$3:$B$5001,S$268,BD!$A$3:$A$5001,"&gt;="&amp;$C$8,BD!$A$3:$A$5001,"&lt;="&amp;$D$8,BD!$T$3:$T$5001,"&lt;&gt;")=0,"",SUMIFS(BD!$T$3:$T$5001,BD!$B$3:$B$5001,S$268,BD!$A$3:$A$5001,_xlfn.MAXIFS(BD!$A$3:$A$5001,BD!$B$3:$B$5001,S$268,BD!$A$3:$A$5001,"&gt;="&amp;$C$8,BD!$A$3:$A$5001,"&lt;="&amp;$D$8,BD!$T$3:$T$5001,"&lt;&gt;"))))</f>
        <v/>
      </c>
      <c r="T300" s="56" t="str">
        <f>IF(T$268="","",IF(COUNTIFS(BD!$B$3:$B$5001,T$268,BD!$A$3:$A$5001,"&gt;="&amp;$C$8,BD!$A$3:$A$5001,"&lt;="&amp;$D$8,BD!$T$3:$T$5001,"&lt;&gt;")=0,"",SUMIFS(BD!$T$3:$T$5001,BD!$B$3:$B$5001,T$268,BD!$A$3:$A$5001,_xlfn.MAXIFS(BD!$A$3:$A$5001,BD!$B$3:$B$5001,T$268,BD!$A$3:$A$5001,"&gt;="&amp;$C$8,BD!$A$3:$A$5001,"&lt;="&amp;$D$8,BD!$T$3:$T$5001,"&lt;&gt;"))))</f>
        <v/>
      </c>
      <c r="U300" s="56" t="str">
        <f>IF(U$268="","",IF(COUNTIFS(BD!$B$3:$B$5001,U$268,BD!$A$3:$A$5001,"&gt;="&amp;$C$8,BD!$A$3:$A$5001,"&lt;="&amp;$D$8,BD!$T$3:$T$5001,"&lt;&gt;")=0,"",SUMIFS(BD!$T$3:$T$5001,BD!$B$3:$B$5001,U$268,BD!$A$3:$A$5001,_xlfn.MAXIFS(BD!$A$3:$A$5001,BD!$B$3:$B$5001,U$268,BD!$A$3:$A$5001,"&gt;="&amp;$C$8,BD!$A$3:$A$5001,"&lt;="&amp;$D$8,BD!$T$3:$T$5001,"&lt;&gt;"))))</f>
        <v/>
      </c>
      <c r="V300" s="56" t="str">
        <f>IF(V$268="","",IF(COUNTIFS(BD!$B$3:$B$5001,V$268,BD!$A$3:$A$5001,"&gt;="&amp;$C$8,BD!$A$3:$A$5001,"&lt;="&amp;$D$8,BD!$T$3:$T$5001,"&lt;&gt;")=0,"",SUMIFS(BD!$T$3:$T$5001,BD!$B$3:$B$5001,V$268,BD!$A$3:$A$5001,_xlfn.MAXIFS(BD!$A$3:$A$5001,BD!$B$3:$B$5001,V$268,BD!$A$3:$A$5001,"&gt;="&amp;$C$8,BD!$A$3:$A$5001,"&lt;="&amp;$D$8,BD!$T$3:$T$5001,"&lt;&gt;"))))</f>
        <v/>
      </c>
    </row>
    <row r="301">
      <c r="A301" s="55" t="inlineStr">
        <is>
          <t xml:space="preserve">Depósito</t>
        </is>
      </c>
      <c r="C301" s="48" t="str">
        <f>IF(Config!$C$10="","JSL",Config!$C$10)</f>
        <v>JSL</v>
      </c>
      <c r="D301" s="48" t="str">
        <f>IF(Config!$C$11="","JSL",Config!$C$11)</f>
        <v>JSL</v>
      </c>
      <c r="E301" s="48" t="str">
        <f>IF(Config!$C$12="","JSL",Config!$C$12)</f>
        <v>JSL</v>
      </c>
      <c r="F301" s="48" t="str">
        <f>IF(Config!$C$13="","JSL",Config!$C$13)</f>
        <v>JSL</v>
      </c>
      <c r="G301" s="48" t="str">
        <f>IF(Config!$C$14="","JSL",Config!$C$14)</f>
        <v>JSL</v>
      </c>
      <c r="H301" s="48" t="str">
        <f>IF(Config!$C$15="","JSL",Config!$C$15)</f>
        <v>JSL</v>
      </c>
      <c r="I301" s="48" t="str">
        <f>IF(Config!$C$16="","JSL",Config!$C$16)</f>
        <v>JSL</v>
      </c>
      <c r="J301" s="48" t="str">
        <f>IF(Config!$C$17="","JSL",Config!$C$17)</f>
        <v>JSL</v>
      </c>
      <c r="K301" s="48" t="str">
        <f>IF(Config!$C$18="","JSL",Config!$C$18)</f>
        <v>JSL</v>
      </c>
      <c r="L301" s="48" t="str">
        <f>IF(Config!$C$19="","JSL",Config!$C$19)</f>
        <v>JSL</v>
      </c>
      <c r="M301" s="48" t="str">
        <f>IF(Config!$C$20="","JSL",Config!$C$20)</f>
        <v>JSL</v>
      </c>
      <c r="N301" s="48" t="str">
        <f>IF(Config!$C$21="","JSL",Config!$C$21)</f>
        <v>JSL</v>
      </c>
      <c r="O301" s="48" t="str">
        <f>IF(Config!$C$22="","JSL",Config!$C$22)</f>
        <v>JSL</v>
      </c>
      <c r="P301" s="48" t="str">
        <f>IF(Config!$C$23="","JSL",Config!$C$23)</f>
        <v>JSL</v>
      </c>
      <c r="Q301" s="48" t="str">
        <f>IF(Config!$C$24="","JSL",Config!$C$24)</f>
        <v>JSL</v>
      </c>
      <c r="R301" s="48" t="str">
        <f>IF(Config!$C$25="","JSL",Config!$C$25)</f>
        <v>JSL</v>
      </c>
      <c r="S301" s="48" t="str">
        <f>IF(Config!$C$26="","JSL",Config!$C$26)</f>
        <v>JSL</v>
      </c>
      <c r="T301" s="48" t="str">
        <f>IF(Config!$C$27="","JSL",Config!$C$27)</f>
        <v>JSL</v>
      </c>
      <c r="U301" s="48" t="str">
        <f>IF(Config!$C$28="","JSL",Config!$C$28)</f>
        <v>JSL</v>
      </c>
      <c r="V301" s="48" t="str">
        <f>IF(Config!$C$29="","JSL",Config!$C$29)</f>
        <v>JSL</v>
      </c>
    </row>
    <row r="305">
      <c r="A305" s="52" t="inlineStr">
        <is>
          <t xml:space="preserve">RESUMO POR CLIENTE — clientes visíveis pelo filtro do Consol Mensal</t>
        </is>
      </c>
    </row>
    <row r="306">
      <c r="A306" s="47" t="inlineStr">
        <is>
          <t xml:space="preserve">Cliente</t>
        </is>
      </c>
      <c r="B306" s="47" t="inlineStr">
        <is>
          <t xml:space="preserve">Depósito</t>
        </is>
      </c>
      <c r="C306" s="47" t="inlineStr">
        <is>
          <t xml:space="preserve">Entra?</t>
        </is>
      </c>
      <c r="D306" s="47" t="inlineStr">
        <is>
          <t xml:space="preserve">Ordem</t>
        </is>
      </c>
      <c r="F306" s="47" t="inlineStr">
        <is>
          <t xml:space="preserve">Posição</t>
        </is>
      </c>
      <c r="G306" s="47" t="inlineStr">
        <is>
          <t xml:space="preserve">Cliente visível</t>
        </is>
      </c>
      <c r="H306" s="47" t="inlineStr">
        <is>
          <t xml:space="preserve">Depósito visível</t>
        </is>
      </c>
    </row>
    <row r="307">
      <c r="A307" s="76" t="str">
        <f>Config!$B$10&amp;""</f>
        <v>Barry Callebaut</v>
      </c>
      <c r="B307" s="48" t="str">
        <f>IF(Config!$C$10="","JSL",Config!$C$10)</f>
        <v>JSL</v>
      </c>
      <c r="C307" s="48">
        <f>IF($A307="",0,IF(OR($B$2="Todos",AND($C$2=2,$B307=$D$2),AND($C$2=1,$A307=$D$2)),1,0))</f>
        <v>1</v>
      </c>
      <c r="D307" s="48">
        <f>IF($C307=1,SUM($C$307:$C307),"")</f>
        <v>1</v>
      </c>
      <c r="F307" s="48">
        <v>1</v>
      </c>
      <c r="G307" s="76" t="str">
        <f>IFERROR(INDEX($A$307:$A$326,MATCH($F307,$D$307:$D$326,0)),"")</f>
        <v>Barry Callebaut</v>
      </c>
      <c r="H307" s="48" t="str">
        <f>IFERROR(INDEX($B$307:$B$326,MATCH($F307,$D$307:$D$326,0)),"")</f>
        <v>JSL</v>
      </c>
    </row>
    <row r="308">
      <c r="A308" s="76" t="str">
        <f>Config!$B$11&amp;""</f>
        <v>GM</v>
      </c>
      <c r="B308" s="48" t="str">
        <f>IF(Config!$C$11="","JSL",Config!$C$11)</f>
        <v>JSL</v>
      </c>
      <c r="C308" s="48">
        <f>IF($A308="",0,IF(OR($B$2="Todos",AND($C$2=2,$B308=$D$2),AND($C$2=1,$A308=$D$2)),1,0))</f>
        <v>1</v>
      </c>
      <c r="D308" s="48">
        <f>IF($C308=1,SUM($C$307:$C308),"")</f>
        <v>2</v>
      </c>
      <c r="F308" s="48">
        <v>2</v>
      </c>
      <c r="G308" s="76" t="str">
        <f>IFERROR(INDEX($A$307:$A$326,MATCH($F308,$D$307:$D$326,0)),"")</f>
        <v>GM</v>
      </c>
      <c r="H308" s="48" t="str">
        <f>IFERROR(INDEX($B$307:$B$326,MATCH($F308,$D$307:$D$326,0)),"")</f>
        <v>JSL</v>
      </c>
    </row>
    <row r="309">
      <c r="A309" s="76" t="str">
        <f>Config!$B$12&amp;""</f>
        <v>Mondelez</v>
      </c>
      <c r="B309" s="48" t="str">
        <f>IF(Config!$C$12="","JSL",Config!$C$12)</f>
        <v>JSL</v>
      </c>
      <c r="C309" s="48">
        <f>IF($A309="",0,IF(OR($B$2="Todos",AND($C$2=2,$B309=$D$2),AND($C$2=1,$A309=$D$2)),1,0))</f>
        <v>1</v>
      </c>
      <c r="D309" s="48">
        <f>IF($C309=1,SUM($C$307:$C309),"")</f>
        <v>3</v>
      </c>
      <c r="F309" s="48">
        <v>3</v>
      </c>
      <c r="G309" s="76" t="str">
        <f>IFERROR(INDEX($A$307:$A$326,MATCH($F309,$D$307:$D$326,0)),"")</f>
        <v>Mondelez</v>
      </c>
      <c r="H309" s="48" t="str">
        <f>IFERROR(INDEX($B$307:$B$326,MATCH($F309,$D$307:$D$326,0)),"")</f>
        <v>JSL</v>
      </c>
    </row>
    <row r="310">
      <c r="A310" s="76" t="str">
        <f>Config!$B$13&amp;""</f>
        <v>Nestlé</v>
      </c>
      <c r="B310" s="48" t="str">
        <f>IF(Config!$C$13="","JSL",Config!$C$13)</f>
        <v>JSL</v>
      </c>
      <c r="C310" s="48">
        <f>IF($A310="",0,IF(OR($B$2="Todos",AND($C$2=2,$B310=$D$2),AND($C$2=1,$A310=$D$2)),1,0))</f>
        <v>1</v>
      </c>
      <c r="D310" s="48">
        <f>IF($C310=1,SUM($C$307:$C310),"")</f>
        <v>4</v>
      </c>
      <c r="F310" s="48">
        <v>4</v>
      </c>
      <c r="G310" s="76" t="str">
        <f>IFERROR(INDEX($A$307:$A$326,MATCH($F310,$D$307:$D$326,0)),"")</f>
        <v>Nestlé</v>
      </c>
      <c r="H310" s="48" t="str">
        <f>IFERROR(INDEX($B$307:$B$326,MATCH($F310,$D$307:$D$326,0)),"")</f>
        <v>JSL</v>
      </c>
    </row>
    <row r="311">
      <c r="A311" s="76" t="str">
        <f>Config!$B$14&amp;""</f>
        <v>PMB</v>
      </c>
      <c r="B311" s="48" t="str">
        <f>IF(Config!$C$14="","JSL",Config!$C$14)</f>
        <v>JSL</v>
      </c>
      <c r="C311" s="48">
        <f>IF($A311="",0,IF(OR($B$2="Todos",AND($C$2=2,$B311=$D$2),AND($C$2=1,$A311=$D$2)),1,0))</f>
        <v>1</v>
      </c>
      <c r="D311" s="48">
        <f>IF($C311=1,SUM($C$307:$C311),"")</f>
        <v>5</v>
      </c>
      <c r="F311" s="48">
        <v>5</v>
      </c>
      <c r="G311" s="76" t="str">
        <f>IFERROR(INDEX($A$307:$A$326,MATCH($F311,$D$307:$D$326,0)),"")</f>
        <v>PMB</v>
      </c>
      <c r="H311" s="48" t="str">
        <f>IFERROR(INDEX($B$307:$B$326,MATCH($F311,$D$307:$D$326,0)),"")</f>
        <v>JSL</v>
      </c>
    </row>
    <row r="312">
      <c r="A312" s="76" t="str">
        <f>Config!$B$15&amp;""</f>
        <v/>
      </c>
      <c r="B312" s="48" t="str">
        <f>IF(Config!$C$15="","JSL",Config!$C$15)</f>
        <v>JSL</v>
      </c>
      <c r="C312" s="48">
        <f>IF($A312="",0,IF(OR($B$2="Todos",AND($C$2=2,$B312=$D$2),AND($C$2=1,$A312=$D$2)),1,0))</f>
        <v>0</v>
      </c>
      <c r="D312" s="48" t="str">
        <f>IF($C312=1,SUM($C$307:$C312),"")</f>
        <v/>
      </c>
      <c r="F312" s="48">
        <v>6</v>
      </c>
      <c r="G312" s="76" t="str">
        <f>IFERROR(INDEX($A$307:$A$326,MATCH($F312,$D$307:$D$326,0)),"")</f>
        <v/>
      </c>
      <c r="H312" s="48" t="str">
        <f>IFERROR(INDEX($B$307:$B$326,MATCH($F312,$D$307:$D$326,0)),"")</f>
        <v/>
      </c>
    </row>
    <row r="313">
      <c r="A313" s="76" t="str">
        <f>Config!$B$16&amp;""</f>
        <v/>
      </c>
      <c r="B313" s="48" t="str">
        <f>IF(Config!$C$16="","JSL",Config!$C$16)</f>
        <v>JSL</v>
      </c>
      <c r="C313" s="48">
        <f>IF($A313="",0,IF(OR($B$2="Todos",AND($C$2=2,$B313=$D$2),AND($C$2=1,$A313=$D$2)),1,0))</f>
        <v>0</v>
      </c>
      <c r="D313" s="48" t="str">
        <f>IF($C313=1,SUM($C$307:$C313),"")</f>
        <v/>
      </c>
      <c r="F313" s="48">
        <v>7</v>
      </c>
      <c r="G313" s="76" t="str">
        <f>IFERROR(INDEX($A$307:$A$326,MATCH($F313,$D$307:$D$326,0)),"")</f>
        <v/>
      </c>
      <c r="H313" s="48" t="str">
        <f>IFERROR(INDEX($B$307:$B$326,MATCH($F313,$D$307:$D$326,0)),"")</f>
        <v/>
      </c>
    </row>
    <row r="314">
      <c r="A314" s="76" t="str">
        <f>Config!$B$17&amp;""</f>
        <v/>
      </c>
      <c r="B314" s="48" t="str">
        <f>IF(Config!$C$17="","JSL",Config!$C$17)</f>
        <v>JSL</v>
      </c>
      <c r="C314" s="48">
        <f>IF($A314="",0,IF(OR($B$2="Todos",AND($C$2=2,$B314=$D$2),AND($C$2=1,$A314=$D$2)),1,0))</f>
        <v>0</v>
      </c>
      <c r="D314" s="48" t="str">
        <f>IF($C314=1,SUM($C$307:$C314),"")</f>
        <v/>
      </c>
      <c r="F314" s="48">
        <v>8</v>
      </c>
      <c r="G314" s="76" t="str">
        <f>IFERROR(INDEX($A$307:$A$326,MATCH($F314,$D$307:$D$326,0)),"")</f>
        <v/>
      </c>
      <c r="H314" s="48" t="str">
        <f>IFERROR(INDEX($B$307:$B$326,MATCH($F314,$D$307:$D$326,0)),"")</f>
        <v/>
      </c>
    </row>
    <row r="315">
      <c r="A315" s="76" t="str">
        <f>Config!$B$18&amp;""</f>
        <v/>
      </c>
      <c r="B315" s="48" t="str">
        <f>IF(Config!$C$18="","JSL",Config!$C$18)</f>
        <v>JSL</v>
      </c>
      <c r="C315" s="48">
        <f>IF($A315="",0,IF(OR($B$2="Todos",AND($C$2=2,$B315=$D$2),AND($C$2=1,$A315=$D$2)),1,0))</f>
        <v>0</v>
      </c>
      <c r="D315" s="48" t="str">
        <f>IF($C315=1,SUM($C$307:$C315),"")</f>
        <v/>
      </c>
      <c r="F315" s="48">
        <v>9</v>
      </c>
      <c r="G315" s="76" t="str">
        <f>IFERROR(INDEX($A$307:$A$326,MATCH($F315,$D$307:$D$326,0)),"")</f>
        <v/>
      </c>
      <c r="H315" s="48" t="str">
        <f>IFERROR(INDEX($B$307:$B$326,MATCH($F315,$D$307:$D$326,0)),"")</f>
        <v/>
      </c>
    </row>
    <row r="316">
      <c r="A316" s="76" t="str">
        <f>Config!$B$19&amp;""</f>
        <v/>
      </c>
      <c r="B316" s="48" t="str">
        <f>IF(Config!$C$19="","JSL",Config!$C$19)</f>
        <v>JSL</v>
      </c>
      <c r="C316" s="48">
        <f>IF($A316="",0,IF(OR($B$2="Todos",AND($C$2=2,$B316=$D$2),AND($C$2=1,$A316=$D$2)),1,0))</f>
        <v>0</v>
      </c>
      <c r="D316" s="48" t="str">
        <f>IF($C316=1,SUM($C$307:$C316),"")</f>
        <v/>
      </c>
      <c r="F316" s="48">
        <v>10</v>
      </c>
      <c r="G316" s="76" t="str">
        <f>IFERROR(INDEX($A$307:$A$326,MATCH($F316,$D$307:$D$326,0)),"")</f>
        <v/>
      </c>
      <c r="H316" s="48" t="str">
        <f>IFERROR(INDEX($B$307:$B$326,MATCH($F316,$D$307:$D$326,0)),"")</f>
        <v/>
      </c>
    </row>
    <row r="317">
      <c r="A317" s="76" t="str">
        <f>Config!$B$20&amp;""</f>
        <v/>
      </c>
      <c r="B317" s="48" t="str">
        <f>IF(Config!$C$20="","JSL",Config!$C$20)</f>
        <v>JSL</v>
      </c>
      <c r="C317" s="48">
        <f>IF($A317="",0,IF(OR($B$2="Todos",AND($C$2=2,$B317=$D$2),AND($C$2=1,$A317=$D$2)),1,0))</f>
        <v>0</v>
      </c>
      <c r="D317" s="48" t="str">
        <f>IF($C317=1,SUM($C$307:$C317),"")</f>
        <v/>
      </c>
      <c r="F317" s="48">
        <v>11</v>
      </c>
      <c r="G317" s="76" t="str">
        <f>IFERROR(INDEX($A$307:$A$326,MATCH($F317,$D$307:$D$326,0)),"")</f>
        <v/>
      </c>
      <c r="H317" s="48" t="str">
        <f>IFERROR(INDEX($B$307:$B$326,MATCH($F317,$D$307:$D$326,0)),"")</f>
        <v/>
      </c>
    </row>
    <row r="318">
      <c r="A318" s="76" t="str">
        <f>Config!$B$21&amp;""</f>
        <v/>
      </c>
      <c r="B318" s="48" t="str">
        <f>IF(Config!$C$21="","JSL",Config!$C$21)</f>
        <v>JSL</v>
      </c>
      <c r="C318" s="48">
        <f>IF($A318="",0,IF(OR($B$2="Todos",AND($C$2=2,$B318=$D$2),AND($C$2=1,$A318=$D$2)),1,0))</f>
        <v>0</v>
      </c>
      <c r="D318" s="48" t="str">
        <f>IF($C318=1,SUM($C$307:$C318),"")</f>
        <v/>
      </c>
      <c r="F318" s="48">
        <v>12</v>
      </c>
      <c r="G318" s="76" t="str">
        <f>IFERROR(INDEX($A$307:$A$326,MATCH($F318,$D$307:$D$326,0)),"")</f>
        <v/>
      </c>
      <c r="H318" s="48" t="str">
        <f>IFERROR(INDEX($B$307:$B$326,MATCH($F318,$D$307:$D$326,0)),"")</f>
        <v/>
      </c>
    </row>
    <row r="319">
      <c r="A319" s="76" t="str">
        <f>Config!$B$22&amp;""</f>
        <v/>
      </c>
      <c r="B319" s="48" t="str">
        <f>IF(Config!$C$22="","JSL",Config!$C$22)</f>
        <v>JSL</v>
      </c>
      <c r="C319" s="48">
        <f>IF($A319="",0,IF(OR($B$2="Todos",AND($C$2=2,$B319=$D$2),AND($C$2=1,$A319=$D$2)),1,0))</f>
        <v>0</v>
      </c>
      <c r="D319" s="48" t="str">
        <f>IF($C319=1,SUM($C$307:$C319),"")</f>
        <v/>
      </c>
      <c r="F319" s="48">
        <v>13</v>
      </c>
      <c r="G319" s="76" t="str">
        <f>IFERROR(INDEX($A$307:$A$326,MATCH($F319,$D$307:$D$326,0)),"")</f>
        <v/>
      </c>
      <c r="H319" s="48" t="str">
        <f>IFERROR(INDEX($B$307:$B$326,MATCH($F319,$D$307:$D$326,0)),"")</f>
        <v/>
      </c>
    </row>
    <row r="320">
      <c r="A320" s="76" t="str">
        <f>Config!$B$23&amp;""</f>
        <v/>
      </c>
      <c r="B320" s="48" t="str">
        <f>IF(Config!$C$23="","JSL",Config!$C$23)</f>
        <v>JSL</v>
      </c>
      <c r="C320" s="48">
        <f>IF($A320="",0,IF(OR($B$2="Todos",AND($C$2=2,$B320=$D$2),AND($C$2=1,$A320=$D$2)),1,0))</f>
        <v>0</v>
      </c>
      <c r="D320" s="48" t="str">
        <f>IF($C320=1,SUM($C$307:$C320),"")</f>
        <v/>
      </c>
      <c r="F320" s="48">
        <v>14</v>
      </c>
      <c r="G320" s="76" t="str">
        <f>IFERROR(INDEX($A$307:$A$326,MATCH($F320,$D$307:$D$326,0)),"")</f>
        <v/>
      </c>
      <c r="H320" s="48" t="str">
        <f>IFERROR(INDEX($B$307:$B$326,MATCH($F320,$D$307:$D$326,0)),"")</f>
        <v/>
      </c>
    </row>
    <row r="321">
      <c r="A321" s="76" t="str">
        <f>Config!$B$24&amp;""</f>
        <v/>
      </c>
      <c r="B321" s="48" t="str">
        <f>IF(Config!$C$24="","JSL",Config!$C$24)</f>
        <v>JSL</v>
      </c>
      <c r="C321" s="48">
        <f>IF($A321="",0,IF(OR($B$2="Todos",AND($C$2=2,$B321=$D$2),AND($C$2=1,$A321=$D$2)),1,0))</f>
        <v>0</v>
      </c>
      <c r="D321" s="48" t="str">
        <f>IF($C321=1,SUM($C$307:$C321),"")</f>
        <v/>
      </c>
      <c r="F321" s="48">
        <v>15</v>
      </c>
      <c r="G321" s="76" t="str">
        <f>IFERROR(INDEX($A$307:$A$326,MATCH($F321,$D$307:$D$326,0)),"")</f>
        <v/>
      </c>
      <c r="H321" s="48" t="str">
        <f>IFERROR(INDEX($B$307:$B$326,MATCH($F321,$D$307:$D$326,0)),"")</f>
        <v/>
      </c>
    </row>
    <row r="322">
      <c r="A322" s="76" t="str">
        <f>Config!$B$25&amp;""</f>
        <v/>
      </c>
      <c r="B322" s="48" t="str">
        <f>IF(Config!$C$25="","JSL",Config!$C$25)</f>
        <v>JSL</v>
      </c>
      <c r="C322" s="48">
        <f>IF($A322="",0,IF(OR($B$2="Todos",AND($C$2=2,$B322=$D$2),AND($C$2=1,$A322=$D$2)),1,0))</f>
        <v>0</v>
      </c>
      <c r="D322" s="48" t="str">
        <f>IF($C322=1,SUM($C$307:$C322),"")</f>
        <v/>
      </c>
      <c r="F322" s="48">
        <v>16</v>
      </c>
      <c r="G322" s="76" t="str">
        <f>IFERROR(INDEX($A$307:$A$326,MATCH($F322,$D$307:$D$326,0)),"")</f>
        <v/>
      </c>
      <c r="H322" s="48" t="str">
        <f>IFERROR(INDEX($B$307:$B$326,MATCH($F322,$D$307:$D$326,0)),"")</f>
        <v/>
      </c>
    </row>
    <row r="323">
      <c r="A323" s="76" t="str">
        <f>Config!$B$26&amp;""</f>
        <v/>
      </c>
      <c r="B323" s="48" t="str">
        <f>IF(Config!$C$26="","JSL",Config!$C$26)</f>
        <v>JSL</v>
      </c>
      <c r="C323" s="48">
        <f>IF($A323="",0,IF(OR($B$2="Todos",AND($C$2=2,$B323=$D$2),AND($C$2=1,$A323=$D$2)),1,0))</f>
        <v>0</v>
      </c>
      <c r="D323" s="48" t="str">
        <f>IF($C323=1,SUM($C$307:$C323),"")</f>
        <v/>
      </c>
      <c r="F323" s="48">
        <v>17</v>
      </c>
      <c r="G323" s="76" t="str">
        <f>IFERROR(INDEX($A$307:$A$326,MATCH($F323,$D$307:$D$326,0)),"")</f>
        <v/>
      </c>
      <c r="H323" s="48" t="str">
        <f>IFERROR(INDEX($B$307:$B$326,MATCH($F323,$D$307:$D$326,0)),"")</f>
        <v/>
      </c>
    </row>
    <row r="324">
      <c r="A324" s="76" t="str">
        <f>Config!$B$27&amp;""</f>
        <v/>
      </c>
      <c r="B324" s="48" t="str">
        <f>IF(Config!$C$27="","JSL",Config!$C$27)</f>
        <v>JSL</v>
      </c>
      <c r="C324" s="48">
        <f>IF($A324="",0,IF(OR($B$2="Todos",AND($C$2=2,$B324=$D$2),AND($C$2=1,$A324=$D$2)),1,0))</f>
        <v>0</v>
      </c>
      <c r="D324" s="48" t="str">
        <f>IF($C324=1,SUM($C$307:$C324),"")</f>
        <v/>
      </c>
      <c r="F324" s="48">
        <v>18</v>
      </c>
      <c r="G324" s="76" t="str">
        <f>IFERROR(INDEX($A$307:$A$326,MATCH($F324,$D$307:$D$326,0)),"")</f>
        <v/>
      </c>
      <c r="H324" s="48" t="str">
        <f>IFERROR(INDEX($B$307:$B$326,MATCH($F324,$D$307:$D$326,0)),"")</f>
        <v/>
      </c>
    </row>
    <row r="325">
      <c r="A325" s="76" t="str">
        <f>Config!$B$28&amp;""</f>
        <v/>
      </c>
      <c r="B325" s="48" t="str">
        <f>IF(Config!$C$28="","JSL",Config!$C$28)</f>
        <v>JSL</v>
      </c>
      <c r="C325" s="48">
        <f>IF($A325="",0,IF(OR($B$2="Todos",AND($C$2=2,$B325=$D$2),AND($C$2=1,$A325=$D$2)),1,0))</f>
        <v>0</v>
      </c>
      <c r="D325" s="48" t="str">
        <f>IF($C325=1,SUM($C$307:$C325),"")</f>
        <v/>
      </c>
      <c r="F325" s="48">
        <v>19</v>
      </c>
      <c r="G325" s="76" t="str">
        <f>IFERROR(INDEX($A$307:$A$326,MATCH($F325,$D$307:$D$326,0)),"")</f>
        <v/>
      </c>
      <c r="H325" s="48" t="str">
        <f>IFERROR(INDEX($B$307:$B$326,MATCH($F325,$D$307:$D$326,0)),"")</f>
        <v/>
      </c>
    </row>
    <row r="326">
      <c r="A326" s="76" t="str">
        <f>Config!$B$29&amp;""</f>
        <v/>
      </c>
      <c r="B326" s="48" t="str">
        <f>IF(Config!$C$29="","JSL",Config!$C$29)</f>
        <v>JSL</v>
      </c>
      <c r="C326" s="48">
        <f>IF($A326="",0,IF(OR($B$2="Todos",AND($C$2=2,$B326=$D$2),AND($C$2=1,$A326=$D$2)),1,0))</f>
        <v>0</v>
      </c>
      <c r="D326" s="48" t="str">
        <f>IF($C326=1,SUM($C$307:$C326),"")</f>
        <v/>
      </c>
      <c r="F326" s="48">
        <v>20</v>
      </c>
      <c r="G326" s="76" t="str">
        <f>IFERROR(INDEX($A$307:$A$326,MATCH($F326,$D$307:$D$326,0)),"")</f>
        <v/>
      </c>
      <c r="H326" s="48" t="str">
        <f>IFERROR(INDEX($B$307:$B$326,MATCH($F326,$D$307:$D$326,0)),"")</f>
        <v/>
      </c>
    </row>
    <row r="328">
      <c r="A328" s="52" t="inlineStr">
        <is>
          <t xml:space="preserve">INDICADORES MEDIDOS POR CLIENTE (1 = mede) — o quadro mostra "—" quando o cliente filtrado não mede</t>
        </is>
      </c>
    </row>
    <row r="329">
      <c r="A329" s="47" t="inlineStr">
        <is>
          <t xml:space="preserve">Indicador</t>
        </is>
      </c>
      <c r="B329" s="47" t="inlineStr">
        <is>
          <t xml:space="preserve">Mede (seleção)</t>
        </is>
      </c>
      <c r="C329" s="47" t="str">
        <f>Config!$B$10&amp;""</f>
        <v>Barry Callebaut</v>
      </c>
      <c r="D329" s="47" t="str">
        <f>Config!$B$11&amp;""</f>
        <v>GM</v>
      </c>
      <c r="E329" s="47" t="str">
        <f>Config!$B$12&amp;""</f>
        <v>Mondelez</v>
      </c>
      <c r="F329" s="47" t="str">
        <f>Config!$B$13&amp;""</f>
        <v>Nestlé</v>
      </c>
      <c r="G329" s="47" t="str">
        <f>Config!$B$14&amp;""</f>
        <v>PMB</v>
      </c>
      <c r="H329" s="47" t="str">
        <f>Config!$B$15&amp;""</f>
        <v/>
      </c>
      <c r="I329" s="47" t="str">
        <f>Config!$B$16&amp;""</f>
        <v/>
      </c>
      <c r="J329" s="47" t="str">
        <f>Config!$B$17&amp;""</f>
        <v/>
      </c>
      <c r="K329" s="47" t="str">
        <f>Config!$B$18&amp;""</f>
        <v/>
      </c>
      <c r="L329" s="47" t="str">
        <f>Config!$B$19&amp;""</f>
        <v/>
      </c>
      <c r="M329" s="47" t="str">
        <f>Config!$B$20&amp;""</f>
        <v/>
      </c>
      <c r="N329" s="47" t="str">
        <f>Config!$B$21&amp;""</f>
        <v/>
      </c>
      <c r="O329" s="47" t="str">
        <f>Config!$B$22&amp;""</f>
        <v/>
      </c>
      <c r="P329" s="47" t="str">
        <f>Config!$B$23&amp;""</f>
        <v/>
      </c>
      <c r="Q329" s="47" t="str">
        <f>Config!$B$24&amp;""</f>
        <v/>
      </c>
      <c r="R329" s="47" t="str">
        <f>Config!$B$25&amp;""</f>
        <v/>
      </c>
      <c r="S329" s="47" t="str">
        <f>Config!$B$26&amp;""</f>
        <v/>
      </c>
      <c r="T329" s="47" t="str">
        <f>Config!$B$27&amp;""</f>
        <v/>
      </c>
      <c r="U329" s="47" t="str">
        <f>Config!$B$28&amp;""</f>
        <v/>
      </c>
      <c r="V329" s="47" t="str">
        <f>Config!$B$29&amp;""</f>
        <v/>
      </c>
    </row>
    <row r="330">
      <c r="A330" s="76" t="inlineStr">
        <is>
          <t xml:space="preserve">IN · Veículos Recebidos</t>
        </is>
      </c>
      <c r="B330" s="49">
        <f>IF(OR($B$2="Todos",$C$2=2),1,IFERROR(INDEX($C$330:$V$330,MATCH($D$2,$C$329:$V$329,0)),1))</f>
        <v>1</v>
      </c>
      <c r="C330" s="48">
        <f>IF(Config!$D$35&lt;&gt;"Não",1,0)</f>
        <v>1</v>
      </c>
      <c r="D330" s="48">
        <f>IF(Config!$D$36&lt;&gt;"Não",1,0)</f>
        <v>0</v>
      </c>
      <c r="E330" s="48">
        <f>IF(Config!$D$37&lt;&gt;"Não",1,0)</f>
        <v>1</v>
      </c>
      <c r="F330" s="48">
        <f>IF(Config!$D$38&lt;&gt;"Não",1,0)</f>
        <v>1</v>
      </c>
      <c r="G330" s="48">
        <f>IF(Config!$D$39&lt;&gt;"Não",1,0)</f>
        <v>1</v>
      </c>
      <c r="H330" s="48">
        <f>IF(Config!$D$40&lt;&gt;"Não",1,0)</f>
        <v>1</v>
      </c>
      <c r="I330" s="48">
        <f>IF(Config!$D$41&lt;&gt;"Não",1,0)</f>
        <v>1</v>
      </c>
      <c r="J330" s="48">
        <f>IF(Config!$D$42&lt;&gt;"Não",1,0)</f>
        <v>1</v>
      </c>
      <c r="K330" s="48">
        <f>IF(Config!$D$43&lt;&gt;"Não",1,0)</f>
        <v>1</v>
      </c>
      <c r="L330" s="48">
        <f>IF(Config!$D$44&lt;&gt;"Não",1,0)</f>
        <v>1</v>
      </c>
      <c r="M330" s="48">
        <f>IF(Config!$D$45&lt;&gt;"Não",1,0)</f>
        <v>1</v>
      </c>
      <c r="N330" s="48">
        <f>IF(Config!$D$46&lt;&gt;"Não",1,0)</f>
        <v>1</v>
      </c>
      <c r="O330" s="48">
        <f>IF(Config!$D$47&lt;&gt;"Não",1,0)</f>
        <v>1</v>
      </c>
      <c r="P330" s="48">
        <f>IF(Config!$D$48&lt;&gt;"Não",1,0)</f>
        <v>1</v>
      </c>
      <c r="Q330" s="48">
        <f>IF(Config!$D$49&lt;&gt;"Não",1,0)</f>
        <v>1</v>
      </c>
      <c r="R330" s="48">
        <f>IF(Config!$D$50&lt;&gt;"Não",1,0)</f>
        <v>1</v>
      </c>
      <c r="S330" s="48">
        <f>IF(Config!$D$51&lt;&gt;"Não",1,0)</f>
        <v>1</v>
      </c>
      <c r="T330" s="48">
        <f>IF(Config!$D$52&lt;&gt;"Não",1,0)</f>
        <v>1</v>
      </c>
      <c r="U330" s="48">
        <f>IF(Config!$D$53&lt;&gt;"Não",1,0)</f>
        <v>1</v>
      </c>
      <c r="V330" s="48">
        <f>IF(Config!$D$54&lt;&gt;"Não",1,0)</f>
        <v>1</v>
      </c>
    </row>
    <row r="331">
      <c r="A331" s="76" t="inlineStr">
        <is>
          <t xml:space="preserve">IN · Pallets Movimentados</t>
        </is>
      </c>
      <c r="B331" s="49">
        <f>IF(OR($B$2="Todos",$C$2=2),1,IFERROR(INDEX($C$331:$V$331,MATCH($D$2,$C$329:$V$329,0)),1))</f>
        <v>1</v>
      </c>
      <c r="C331" s="48">
        <f>IF(Config!$E$35&lt;&gt;"Não",1,0)</f>
        <v>1</v>
      </c>
      <c r="D331" s="48">
        <f>IF(Config!$E$36&lt;&gt;"Não",1,0)</f>
        <v>0</v>
      </c>
      <c r="E331" s="48">
        <f>IF(Config!$E$37&lt;&gt;"Não",1,0)</f>
        <v>1</v>
      </c>
      <c r="F331" s="48">
        <f>IF(Config!$E$38&lt;&gt;"Não",1,0)</f>
        <v>1</v>
      </c>
      <c r="G331" s="48">
        <f>IF(Config!$E$39&lt;&gt;"Não",1,0)</f>
        <v>1</v>
      </c>
      <c r="H331" s="48">
        <f>IF(Config!$E$40&lt;&gt;"Não",1,0)</f>
        <v>1</v>
      </c>
      <c r="I331" s="48">
        <f>IF(Config!$E$41&lt;&gt;"Não",1,0)</f>
        <v>1</v>
      </c>
      <c r="J331" s="48">
        <f>IF(Config!$E$42&lt;&gt;"Não",1,0)</f>
        <v>1</v>
      </c>
      <c r="K331" s="48">
        <f>IF(Config!$E$43&lt;&gt;"Não",1,0)</f>
        <v>1</v>
      </c>
      <c r="L331" s="48">
        <f>IF(Config!$E$44&lt;&gt;"Não",1,0)</f>
        <v>1</v>
      </c>
      <c r="M331" s="48">
        <f>IF(Config!$E$45&lt;&gt;"Não",1,0)</f>
        <v>1</v>
      </c>
      <c r="N331" s="48">
        <f>IF(Config!$E$46&lt;&gt;"Não",1,0)</f>
        <v>1</v>
      </c>
      <c r="O331" s="48">
        <f>IF(Config!$E$47&lt;&gt;"Não",1,0)</f>
        <v>1</v>
      </c>
      <c r="P331" s="48">
        <f>IF(Config!$E$48&lt;&gt;"Não",1,0)</f>
        <v>1</v>
      </c>
      <c r="Q331" s="48">
        <f>IF(Config!$E$49&lt;&gt;"Não",1,0)</f>
        <v>1</v>
      </c>
      <c r="R331" s="48">
        <f>IF(Config!$E$50&lt;&gt;"Não",1,0)</f>
        <v>1</v>
      </c>
      <c r="S331" s="48">
        <f>IF(Config!$E$51&lt;&gt;"Não",1,0)</f>
        <v>1</v>
      </c>
      <c r="T331" s="48">
        <f>IF(Config!$E$52&lt;&gt;"Não",1,0)</f>
        <v>1</v>
      </c>
      <c r="U331" s="48">
        <f>IF(Config!$E$53&lt;&gt;"Não",1,0)</f>
        <v>1</v>
      </c>
      <c r="V331" s="48">
        <f>IF(Config!$E$54&lt;&gt;"Não",1,0)</f>
        <v>1</v>
      </c>
    </row>
    <row r="332">
      <c r="A332" s="76" t="inlineStr">
        <is>
          <t xml:space="preserve">IN · Toneladas Movimentadas</t>
        </is>
      </c>
      <c r="B332" s="49">
        <f>IF(OR($B$2="Todos",$C$2=2),1,IFERROR(INDEX($C$332:$V$332,MATCH($D$2,$C$329:$V$329,0)),1))</f>
        <v>1</v>
      </c>
      <c r="C332" s="48">
        <f>IF(Config!$F$35&lt;&gt;"Não",1,0)</f>
        <v>1</v>
      </c>
      <c r="D332" s="48">
        <f>IF(Config!$F$36&lt;&gt;"Não",1,0)</f>
        <v>0</v>
      </c>
      <c r="E332" s="48">
        <f>IF(Config!$F$37&lt;&gt;"Não",1,0)</f>
        <v>1</v>
      </c>
      <c r="F332" s="48">
        <f>IF(Config!$F$38&lt;&gt;"Não",1,0)</f>
        <v>1</v>
      </c>
      <c r="G332" s="48">
        <f>IF(Config!$F$39&lt;&gt;"Não",1,0)</f>
        <v>1</v>
      </c>
      <c r="H332" s="48">
        <f>IF(Config!$F$40&lt;&gt;"Não",1,0)</f>
        <v>1</v>
      </c>
      <c r="I332" s="48">
        <f>IF(Config!$F$41&lt;&gt;"Não",1,0)</f>
        <v>1</v>
      </c>
      <c r="J332" s="48">
        <f>IF(Config!$F$42&lt;&gt;"Não",1,0)</f>
        <v>1</v>
      </c>
      <c r="K332" s="48">
        <f>IF(Config!$F$43&lt;&gt;"Não",1,0)</f>
        <v>1</v>
      </c>
      <c r="L332" s="48">
        <f>IF(Config!$F$44&lt;&gt;"Não",1,0)</f>
        <v>1</v>
      </c>
      <c r="M332" s="48">
        <f>IF(Config!$F$45&lt;&gt;"Não",1,0)</f>
        <v>1</v>
      </c>
      <c r="N332" s="48">
        <f>IF(Config!$F$46&lt;&gt;"Não",1,0)</f>
        <v>1</v>
      </c>
      <c r="O332" s="48">
        <f>IF(Config!$F$47&lt;&gt;"Não",1,0)</f>
        <v>1</v>
      </c>
      <c r="P332" s="48">
        <f>IF(Config!$F$48&lt;&gt;"Não",1,0)</f>
        <v>1</v>
      </c>
      <c r="Q332" s="48">
        <f>IF(Config!$F$49&lt;&gt;"Não",1,0)</f>
        <v>1</v>
      </c>
      <c r="R332" s="48">
        <f>IF(Config!$F$50&lt;&gt;"Não",1,0)</f>
        <v>1</v>
      </c>
      <c r="S332" s="48">
        <f>IF(Config!$F$51&lt;&gt;"Não",1,0)</f>
        <v>1</v>
      </c>
      <c r="T332" s="48">
        <f>IF(Config!$F$52&lt;&gt;"Não",1,0)</f>
        <v>1</v>
      </c>
      <c r="U332" s="48">
        <f>IF(Config!$F$53&lt;&gt;"Não",1,0)</f>
        <v>1</v>
      </c>
      <c r="V332" s="48">
        <f>IF(Config!$F$54&lt;&gt;"Não",1,0)</f>
        <v>1</v>
      </c>
    </row>
    <row r="333">
      <c r="A333" s="76" t="inlineStr">
        <is>
          <t xml:space="preserve">IN · Caixas Recebidas</t>
        </is>
      </c>
      <c r="B333" s="49">
        <f>IF(OR($B$2="Todos",$C$2=2),1,IFERROR(INDEX($C$333:$V$333,MATCH($D$2,$C$329:$V$329,0)),1))</f>
        <v>1</v>
      </c>
      <c r="C333" s="48">
        <f>IF(Config!$G$35&lt;&gt;"Não",1,0)</f>
        <v>1</v>
      </c>
      <c r="D333" s="48">
        <f>IF(Config!$G$36&lt;&gt;"Não",1,0)</f>
        <v>0</v>
      </c>
      <c r="E333" s="48">
        <f>IF(Config!$G$37&lt;&gt;"Não",1,0)</f>
        <v>1</v>
      </c>
      <c r="F333" s="48">
        <f>IF(Config!$G$38&lt;&gt;"Não",1,0)</f>
        <v>1</v>
      </c>
      <c r="G333" s="48">
        <f>IF(Config!$G$39&lt;&gt;"Não",1,0)</f>
        <v>1</v>
      </c>
      <c r="H333" s="48">
        <f>IF(Config!$G$40&lt;&gt;"Não",1,0)</f>
        <v>1</v>
      </c>
      <c r="I333" s="48">
        <f>IF(Config!$G$41&lt;&gt;"Não",1,0)</f>
        <v>1</v>
      </c>
      <c r="J333" s="48">
        <f>IF(Config!$G$42&lt;&gt;"Não",1,0)</f>
        <v>1</v>
      </c>
      <c r="K333" s="48">
        <f>IF(Config!$G$43&lt;&gt;"Não",1,0)</f>
        <v>1</v>
      </c>
      <c r="L333" s="48">
        <f>IF(Config!$G$44&lt;&gt;"Não",1,0)</f>
        <v>1</v>
      </c>
      <c r="M333" s="48">
        <f>IF(Config!$G$45&lt;&gt;"Não",1,0)</f>
        <v>1</v>
      </c>
      <c r="N333" s="48">
        <f>IF(Config!$G$46&lt;&gt;"Não",1,0)</f>
        <v>1</v>
      </c>
      <c r="O333" s="48">
        <f>IF(Config!$G$47&lt;&gt;"Não",1,0)</f>
        <v>1</v>
      </c>
      <c r="P333" s="48">
        <f>IF(Config!$G$48&lt;&gt;"Não",1,0)</f>
        <v>1</v>
      </c>
      <c r="Q333" s="48">
        <f>IF(Config!$G$49&lt;&gt;"Não",1,0)</f>
        <v>1</v>
      </c>
      <c r="R333" s="48">
        <f>IF(Config!$G$50&lt;&gt;"Não",1,0)</f>
        <v>1</v>
      </c>
      <c r="S333" s="48">
        <f>IF(Config!$G$51&lt;&gt;"Não",1,0)</f>
        <v>1</v>
      </c>
      <c r="T333" s="48">
        <f>IF(Config!$G$52&lt;&gt;"Não",1,0)</f>
        <v>1</v>
      </c>
      <c r="U333" s="48">
        <f>IF(Config!$G$53&lt;&gt;"Não",1,0)</f>
        <v>1</v>
      </c>
      <c r="V333" s="48">
        <f>IF(Config!$G$54&lt;&gt;"Não",1,0)</f>
        <v>1</v>
      </c>
    </row>
    <row r="334">
      <c r="A334" s="76" t="inlineStr">
        <is>
          <t xml:space="preserve">IN · Bags Recebidos</t>
        </is>
      </c>
      <c r="B334" s="49">
        <f>IF(OR($B$2="Todos",$C$2=2),1,IFERROR(INDEX($C$334:$V$334,MATCH($D$2,$C$329:$V$329,0)),1))</f>
        <v>1</v>
      </c>
      <c r="C334" s="48">
        <f>IF(Config!$H$35&lt;&gt;"Não",1,0)</f>
        <v>1</v>
      </c>
      <c r="D334" s="48">
        <f>IF(Config!$H$36&lt;&gt;"Não",1,0)</f>
        <v>0</v>
      </c>
      <c r="E334" s="48">
        <f>IF(Config!$H$37&lt;&gt;"Não",1,0)</f>
        <v>0</v>
      </c>
      <c r="F334" s="48">
        <f>IF(Config!$H$38&lt;&gt;"Não",1,0)</f>
        <v>0</v>
      </c>
      <c r="G334" s="48">
        <f>IF(Config!$H$39&lt;&gt;"Não",1,0)</f>
        <v>0</v>
      </c>
      <c r="H334" s="48">
        <f>IF(Config!$H$40&lt;&gt;"Não",1,0)</f>
        <v>0</v>
      </c>
      <c r="I334" s="48">
        <f>IF(Config!$H$41&lt;&gt;"Não",1,0)</f>
        <v>0</v>
      </c>
      <c r="J334" s="48">
        <f>IF(Config!$H$42&lt;&gt;"Não",1,0)</f>
        <v>0</v>
      </c>
      <c r="K334" s="48">
        <f>IF(Config!$H$43&lt;&gt;"Não",1,0)</f>
        <v>0</v>
      </c>
      <c r="L334" s="48">
        <f>IF(Config!$H$44&lt;&gt;"Não",1,0)</f>
        <v>0</v>
      </c>
      <c r="M334" s="48">
        <f>IF(Config!$H$45&lt;&gt;"Não",1,0)</f>
        <v>0</v>
      </c>
      <c r="N334" s="48">
        <f>IF(Config!$H$46&lt;&gt;"Não",1,0)</f>
        <v>0</v>
      </c>
      <c r="O334" s="48">
        <f>IF(Config!$H$47&lt;&gt;"Não",1,0)</f>
        <v>0</v>
      </c>
      <c r="P334" s="48">
        <f>IF(Config!$H$48&lt;&gt;"Não",1,0)</f>
        <v>0</v>
      </c>
      <c r="Q334" s="48">
        <f>IF(Config!$H$49&lt;&gt;"Não",1,0)</f>
        <v>0</v>
      </c>
      <c r="R334" s="48">
        <f>IF(Config!$H$50&lt;&gt;"Não",1,0)</f>
        <v>0</v>
      </c>
      <c r="S334" s="48">
        <f>IF(Config!$H$51&lt;&gt;"Não",1,0)</f>
        <v>0</v>
      </c>
      <c r="T334" s="48">
        <f>IF(Config!$H$52&lt;&gt;"Não",1,0)</f>
        <v>0</v>
      </c>
      <c r="U334" s="48">
        <f>IF(Config!$H$53&lt;&gt;"Não",1,0)</f>
        <v>0</v>
      </c>
      <c r="V334" s="48">
        <f>IF(Config!$H$54&lt;&gt;"Não",1,0)</f>
        <v>0</v>
      </c>
    </row>
    <row r="335">
      <c r="A335" s="76" t="inlineStr">
        <is>
          <t xml:space="preserve">OUT · Veículos Expedidos</t>
        </is>
      </c>
      <c r="B335" s="49">
        <f>IF(OR($B$2="Todos",$C$2=2),1,IFERROR(INDEX($C$335:$V$335,MATCH($D$2,$C$329:$V$329,0)),1))</f>
        <v>1</v>
      </c>
      <c r="C335" s="48">
        <f>IF(Config!$I$35&lt;&gt;"Não",1,0)</f>
        <v>1</v>
      </c>
      <c r="D335" s="48">
        <f>IF(Config!$I$36&lt;&gt;"Não",1,0)</f>
        <v>1</v>
      </c>
      <c r="E335" s="48">
        <f>IF(Config!$I$37&lt;&gt;"Não",1,0)</f>
        <v>1</v>
      </c>
      <c r="F335" s="48">
        <f>IF(Config!$I$38&lt;&gt;"Não",1,0)</f>
        <v>1</v>
      </c>
      <c r="G335" s="48">
        <f>IF(Config!$I$39&lt;&gt;"Não",1,0)</f>
        <v>1</v>
      </c>
      <c r="H335" s="48">
        <f>IF(Config!$I$40&lt;&gt;"Não",1,0)</f>
        <v>1</v>
      </c>
      <c r="I335" s="48">
        <f>IF(Config!$I$41&lt;&gt;"Não",1,0)</f>
        <v>1</v>
      </c>
      <c r="J335" s="48">
        <f>IF(Config!$I$42&lt;&gt;"Não",1,0)</f>
        <v>1</v>
      </c>
      <c r="K335" s="48">
        <f>IF(Config!$I$43&lt;&gt;"Não",1,0)</f>
        <v>1</v>
      </c>
      <c r="L335" s="48">
        <f>IF(Config!$I$44&lt;&gt;"Não",1,0)</f>
        <v>1</v>
      </c>
      <c r="M335" s="48">
        <f>IF(Config!$I$45&lt;&gt;"Não",1,0)</f>
        <v>1</v>
      </c>
      <c r="N335" s="48">
        <f>IF(Config!$I$46&lt;&gt;"Não",1,0)</f>
        <v>1</v>
      </c>
      <c r="O335" s="48">
        <f>IF(Config!$I$47&lt;&gt;"Não",1,0)</f>
        <v>1</v>
      </c>
      <c r="P335" s="48">
        <f>IF(Config!$I$48&lt;&gt;"Não",1,0)</f>
        <v>1</v>
      </c>
      <c r="Q335" s="48">
        <f>IF(Config!$I$49&lt;&gt;"Não",1,0)</f>
        <v>1</v>
      </c>
      <c r="R335" s="48">
        <f>IF(Config!$I$50&lt;&gt;"Não",1,0)</f>
        <v>1</v>
      </c>
      <c r="S335" s="48">
        <f>IF(Config!$I$51&lt;&gt;"Não",1,0)</f>
        <v>1</v>
      </c>
      <c r="T335" s="48">
        <f>IF(Config!$I$52&lt;&gt;"Não",1,0)</f>
        <v>1</v>
      </c>
      <c r="U335" s="48">
        <f>IF(Config!$I$53&lt;&gt;"Não",1,0)</f>
        <v>1</v>
      </c>
      <c r="V335" s="48">
        <f>IF(Config!$I$54&lt;&gt;"Não",1,0)</f>
        <v>1</v>
      </c>
    </row>
    <row r="336">
      <c r="A336" s="76" t="inlineStr">
        <is>
          <t xml:space="preserve">OUT · Pallets Movimentados</t>
        </is>
      </c>
      <c r="B336" s="49">
        <f>IF(OR($B$2="Todos",$C$2=2),1,IFERROR(INDEX($C$336:$V$336,MATCH($D$2,$C$329:$V$329,0)),1))</f>
        <v>1</v>
      </c>
      <c r="C336" s="48">
        <f>IF(Config!$J$35&lt;&gt;"Não",1,0)</f>
        <v>1</v>
      </c>
      <c r="D336" s="48">
        <f>IF(Config!$J$36&lt;&gt;"Não",1,0)</f>
        <v>1</v>
      </c>
      <c r="E336" s="48">
        <f>IF(Config!$J$37&lt;&gt;"Não",1,0)</f>
        <v>1</v>
      </c>
      <c r="F336" s="48">
        <f>IF(Config!$J$38&lt;&gt;"Não",1,0)</f>
        <v>1</v>
      </c>
      <c r="G336" s="48">
        <f>IF(Config!$J$39&lt;&gt;"Não",1,0)</f>
        <v>1</v>
      </c>
      <c r="H336" s="48">
        <f>IF(Config!$J$40&lt;&gt;"Não",1,0)</f>
        <v>1</v>
      </c>
      <c r="I336" s="48">
        <f>IF(Config!$J$41&lt;&gt;"Não",1,0)</f>
        <v>1</v>
      </c>
      <c r="J336" s="48">
        <f>IF(Config!$J$42&lt;&gt;"Não",1,0)</f>
        <v>1</v>
      </c>
      <c r="K336" s="48">
        <f>IF(Config!$J$43&lt;&gt;"Não",1,0)</f>
        <v>1</v>
      </c>
      <c r="L336" s="48">
        <f>IF(Config!$J$44&lt;&gt;"Não",1,0)</f>
        <v>1</v>
      </c>
      <c r="M336" s="48">
        <f>IF(Config!$J$45&lt;&gt;"Não",1,0)</f>
        <v>1</v>
      </c>
      <c r="N336" s="48">
        <f>IF(Config!$J$46&lt;&gt;"Não",1,0)</f>
        <v>1</v>
      </c>
      <c r="O336" s="48">
        <f>IF(Config!$J$47&lt;&gt;"Não",1,0)</f>
        <v>1</v>
      </c>
      <c r="P336" s="48">
        <f>IF(Config!$J$48&lt;&gt;"Não",1,0)</f>
        <v>1</v>
      </c>
      <c r="Q336" s="48">
        <f>IF(Config!$J$49&lt;&gt;"Não",1,0)</f>
        <v>1</v>
      </c>
      <c r="R336" s="48">
        <f>IF(Config!$J$50&lt;&gt;"Não",1,0)</f>
        <v>1</v>
      </c>
      <c r="S336" s="48">
        <f>IF(Config!$J$51&lt;&gt;"Não",1,0)</f>
        <v>1</v>
      </c>
      <c r="T336" s="48">
        <f>IF(Config!$J$52&lt;&gt;"Não",1,0)</f>
        <v>1</v>
      </c>
      <c r="U336" s="48">
        <f>IF(Config!$J$53&lt;&gt;"Não",1,0)</f>
        <v>1</v>
      </c>
      <c r="V336" s="48">
        <f>IF(Config!$J$54&lt;&gt;"Não",1,0)</f>
        <v>1</v>
      </c>
    </row>
    <row r="337">
      <c r="A337" s="76" t="inlineStr">
        <is>
          <t xml:space="preserve">OUT · Toneladas Movimentadas</t>
        </is>
      </c>
      <c r="B337" s="49">
        <f>IF(OR($B$2="Todos",$C$2=2),1,IFERROR(INDEX($C$337:$V$337,MATCH($D$2,$C$329:$V$329,0)),1))</f>
        <v>1</v>
      </c>
      <c r="C337" s="48">
        <f>IF(Config!$K$35&lt;&gt;"Não",1,0)</f>
        <v>1</v>
      </c>
      <c r="D337" s="48">
        <f>IF(Config!$K$36&lt;&gt;"Não",1,0)</f>
        <v>1</v>
      </c>
      <c r="E337" s="48">
        <f>IF(Config!$K$37&lt;&gt;"Não",1,0)</f>
        <v>1</v>
      </c>
      <c r="F337" s="48">
        <f>IF(Config!$K$38&lt;&gt;"Não",1,0)</f>
        <v>1</v>
      </c>
      <c r="G337" s="48">
        <f>IF(Config!$K$39&lt;&gt;"Não",1,0)</f>
        <v>1</v>
      </c>
      <c r="H337" s="48">
        <f>IF(Config!$K$40&lt;&gt;"Não",1,0)</f>
        <v>1</v>
      </c>
      <c r="I337" s="48">
        <f>IF(Config!$K$41&lt;&gt;"Não",1,0)</f>
        <v>1</v>
      </c>
      <c r="J337" s="48">
        <f>IF(Config!$K$42&lt;&gt;"Não",1,0)</f>
        <v>1</v>
      </c>
      <c r="K337" s="48">
        <f>IF(Config!$K$43&lt;&gt;"Não",1,0)</f>
        <v>1</v>
      </c>
      <c r="L337" s="48">
        <f>IF(Config!$K$44&lt;&gt;"Não",1,0)</f>
        <v>1</v>
      </c>
      <c r="M337" s="48">
        <f>IF(Config!$K$45&lt;&gt;"Não",1,0)</f>
        <v>1</v>
      </c>
      <c r="N337" s="48">
        <f>IF(Config!$K$46&lt;&gt;"Não",1,0)</f>
        <v>1</v>
      </c>
      <c r="O337" s="48">
        <f>IF(Config!$K$47&lt;&gt;"Não",1,0)</f>
        <v>1</v>
      </c>
      <c r="P337" s="48">
        <f>IF(Config!$K$48&lt;&gt;"Não",1,0)</f>
        <v>1</v>
      </c>
      <c r="Q337" s="48">
        <f>IF(Config!$K$49&lt;&gt;"Não",1,0)</f>
        <v>1</v>
      </c>
      <c r="R337" s="48">
        <f>IF(Config!$K$50&lt;&gt;"Não",1,0)</f>
        <v>1</v>
      </c>
      <c r="S337" s="48">
        <f>IF(Config!$K$51&lt;&gt;"Não",1,0)</f>
        <v>1</v>
      </c>
      <c r="T337" s="48">
        <f>IF(Config!$K$52&lt;&gt;"Não",1,0)</f>
        <v>1</v>
      </c>
      <c r="U337" s="48">
        <f>IF(Config!$K$53&lt;&gt;"Não",1,0)</f>
        <v>1</v>
      </c>
      <c r="V337" s="48">
        <f>IF(Config!$K$54&lt;&gt;"Não",1,0)</f>
        <v>1</v>
      </c>
    </row>
    <row r="338">
      <c r="A338" s="76" t="inlineStr">
        <is>
          <t xml:space="preserve">OUT · Caixas Expedidas</t>
        </is>
      </c>
      <c r="B338" s="49">
        <f>IF(OR($B$2="Todos",$C$2=2),1,IFERROR(INDEX($C$338:$V$338,MATCH($D$2,$C$329:$V$329,0)),1))</f>
        <v>1</v>
      </c>
      <c r="C338" s="48">
        <f>IF(Config!$L$35&lt;&gt;"Não",1,0)</f>
        <v>1</v>
      </c>
      <c r="D338" s="48">
        <f>IF(Config!$L$36&lt;&gt;"Não",1,0)</f>
        <v>1</v>
      </c>
      <c r="E338" s="48">
        <f>IF(Config!$L$37&lt;&gt;"Não",1,0)</f>
        <v>1</v>
      </c>
      <c r="F338" s="48">
        <f>IF(Config!$L$38&lt;&gt;"Não",1,0)</f>
        <v>1</v>
      </c>
      <c r="G338" s="48">
        <f>IF(Config!$L$39&lt;&gt;"Não",1,0)</f>
        <v>1</v>
      </c>
      <c r="H338" s="48">
        <f>IF(Config!$L$40&lt;&gt;"Não",1,0)</f>
        <v>1</v>
      </c>
      <c r="I338" s="48">
        <f>IF(Config!$L$41&lt;&gt;"Não",1,0)</f>
        <v>1</v>
      </c>
      <c r="J338" s="48">
        <f>IF(Config!$L$42&lt;&gt;"Não",1,0)</f>
        <v>1</v>
      </c>
      <c r="K338" s="48">
        <f>IF(Config!$L$43&lt;&gt;"Não",1,0)</f>
        <v>1</v>
      </c>
      <c r="L338" s="48">
        <f>IF(Config!$L$44&lt;&gt;"Não",1,0)</f>
        <v>1</v>
      </c>
      <c r="M338" s="48">
        <f>IF(Config!$L$45&lt;&gt;"Não",1,0)</f>
        <v>1</v>
      </c>
      <c r="N338" s="48">
        <f>IF(Config!$L$46&lt;&gt;"Não",1,0)</f>
        <v>1</v>
      </c>
      <c r="O338" s="48">
        <f>IF(Config!$L$47&lt;&gt;"Não",1,0)</f>
        <v>1</v>
      </c>
      <c r="P338" s="48">
        <f>IF(Config!$L$48&lt;&gt;"Não",1,0)</f>
        <v>1</v>
      </c>
      <c r="Q338" s="48">
        <f>IF(Config!$L$49&lt;&gt;"Não",1,0)</f>
        <v>1</v>
      </c>
      <c r="R338" s="48">
        <f>IF(Config!$L$50&lt;&gt;"Não",1,0)</f>
        <v>1</v>
      </c>
      <c r="S338" s="48">
        <f>IF(Config!$L$51&lt;&gt;"Não",1,0)</f>
        <v>1</v>
      </c>
      <c r="T338" s="48">
        <f>IF(Config!$L$52&lt;&gt;"Não",1,0)</f>
        <v>1</v>
      </c>
      <c r="U338" s="48">
        <f>IF(Config!$L$53&lt;&gt;"Não",1,0)</f>
        <v>1</v>
      </c>
      <c r="V338" s="48">
        <f>IF(Config!$L$54&lt;&gt;"Não",1,0)</f>
        <v>1</v>
      </c>
    </row>
    <row r="339">
      <c r="A339" s="76" t="inlineStr">
        <is>
          <t xml:space="preserve">OUT · Pedidos Faturados</t>
        </is>
      </c>
      <c r="B339" s="49">
        <f>IF(OR($B$2="Todos",$C$2=2),1,IFERROR(INDEX($C$339:$V$339,MATCH($D$2,$C$329:$V$329,0)),1))</f>
        <v>1</v>
      </c>
      <c r="C339" s="48">
        <f>IF(Config!$M$35&lt;&gt;"Não",1,0)</f>
        <v>1</v>
      </c>
      <c r="D339" s="48">
        <f>IF(Config!$M$36&lt;&gt;"Não",1,0)</f>
        <v>1</v>
      </c>
      <c r="E339" s="48">
        <f>IF(Config!$M$37&lt;&gt;"Não",1,0)</f>
        <v>1</v>
      </c>
      <c r="F339" s="48">
        <f>IF(Config!$M$38&lt;&gt;"Não",1,0)</f>
        <v>1</v>
      </c>
      <c r="G339" s="48">
        <f>IF(Config!$M$39&lt;&gt;"Não",1,0)</f>
        <v>1</v>
      </c>
      <c r="H339" s="48">
        <f>IF(Config!$M$40&lt;&gt;"Não",1,0)</f>
        <v>1</v>
      </c>
      <c r="I339" s="48">
        <f>IF(Config!$M$41&lt;&gt;"Não",1,0)</f>
        <v>1</v>
      </c>
      <c r="J339" s="48">
        <f>IF(Config!$M$42&lt;&gt;"Não",1,0)</f>
        <v>1</v>
      </c>
      <c r="K339" s="48">
        <f>IF(Config!$M$43&lt;&gt;"Não",1,0)</f>
        <v>1</v>
      </c>
      <c r="L339" s="48">
        <f>IF(Config!$M$44&lt;&gt;"Não",1,0)</f>
        <v>1</v>
      </c>
      <c r="M339" s="48">
        <f>IF(Config!$M$45&lt;&gt;"Não",1,0)</f>
        <v>1</v>
      </c>
      <c r="N339" s="48">
        <f>IF(Config!$M$46&lt;&gt;"Não",1,0)</f>
        <v>1</v>
      </c>
      <c r="O339" s="48">
        <f>IF(Config!$M$47&lt;&gt;"Não",1,0)</f>
        <v>1</v>
      </c>
      <c r="P339" s="48">
        <f>IF(Config!$M$48&lt;&gt;"Não",1,0)</f>
        <v>1</v>
      </c>
      <c r="Q339" s="48">
        <f>IF(Config!$M$49&lt;&gt;"Não",1,0)</f>
        <v>1</v>
      </c>
      <c r="R339" s="48">
        <f>IF(Config!$M$50&lt;&gt;"Não",1,0)</f>
        <v>1</v>
      </c>
      <c r="S339" s="48">
        <f>IF(Config!$M$51&lt;&gt;"Não",1,0)</f>
        <v>1</v>
      </c>
      <c r="T339" s="48">
        <f>IF(Config!$M$52&lt;&gt;"Não",1,0)</f>
        <v>1</v>
      </c>
      <c r="U339" s="48">
        <f>IF(Config!$M$53&lt;&gt;"Não",1,0)</f>
        <v>1</v>
      </c>
      <c r="V339" s="48">
        <f>IF(Config!$M$54&lt;&gt;"Não",1,0)</f>
        <v>1</v>
      </c>
    </row>
    <row r="340">
      <c r="A340" s="76" t="inlineStr">
        <is>
          <t xml:space="preserve">OUT · Bags Expedidos</t>
        </is>
      </c>
      <c r="B340" s="49">
        <f>IF(OR($B$2="Todos",$C$2=2),1,IFERROR(INDEX($C$340:$V$340,MATCH($D$2,$C$329:$V$329,0)),1))</f>
        <v>1</v>
      </c>
      <c r="C340" s="48">
        <f>IF(Config!$N$35&lt;&gt;"Não",1,0)</f>
        <v>1</v>
      </c>
      <c r="D340" s="48">
        <f>IF(Config!$N$36&lt;&gt;"Não",1,0)</f>
        <v>0</v>
      </c>
      <c r="E340" s="48">
        <f>IF(Config!$N$37&lt;&gt;"Não",1,0)</f>
        <v>0</v>
      </c>
      <c r="F340" s="48">
        <f>IF(Config!$N$38&lt;&gt;"Não",1,0)</f>
        <v>0</v>
      </c>
      <c r="G340" s="48">
        <f>IF(Config!$N$39&lt;&gt;"Não",1,0)</f>
        <v>0</v>
      </c>
      <c r="H340" s="48">
        <f>IF(Config!$N$40&lt;&gt;"Não",1,0)</f>
        <v>0</v>
      </c>
      <c r="I340" s="48">
        <f>IF(Config!$N$41&lt;&gt;"Não",1,0)</f>
        <v>0</v>
      </c>
      <c r="J340" s="48">
        <f>IF(Config!$N$42&lt;&gt;"Não",1,0)</f>
        <v>0</v>
      </c>
      <c r="K340" s="48">
        <f>IF(Config!$N$43&lt;&gt;"Não",1,0)</f>
        <v>0</v>
      </c>
      <c r="L340" s="48">
        <f>IF(Config!$N$44&lt;&gt;"Não",1,0)</f>
        <v>0</v>
      </c>
      <c r="M340" s="48">
        <f>IF(Config!$N$45&lt;&gt;"Não",1,0)</f>
        <v>0</v>
      </c>
      <c r="N340" s="48">
        <f>IF(Config!$N$46&lt;&gt;"Não",1,0)</f>
        <v>0</v>
      </c>
      <c r="O340" s="48">
        <f>IF(Config!$N$47&lt;&gt;"Não",1,0)</f>
        <v>0</v>
      </c>
      <c r="P340" s="48">
        <f>IF(Config!$N$48&lt;&gt;"Não",1,0)</f>
        <v>0</v>
      </c>
      <c r="Q340" s="48">
        <f>IF(Config!$N$49&lt;&gt;"Não",1,0)</f>
        <v>0</v>
      </c>
      <c r="R340" s="48">
        <f>IF(Config!$N$50&lt;&gt;"Não",1,0)</f>
        <v>0</v>
      </c>
      <c r="S340" s="48">
        <f>IF(Config!$N$51&lt;&gt;"Não",1,0)</f>
        <v>0</v>
      </c>
      <c r="T340" s="48">
        <f>IF(Config!$N$52&lt;&gt;"Não",1,0)</f>
        <v>0</v>
      </c>
      <c r="U340" s="48">
        <f>IF(Config!$N$53&lt;&gt;"Não",1,0)</f>
        <v>0</v>
      </c>
      <c r="V340" s="48">
        <f>IF(Config!$N$54&lt;&gt;"Não",1,0)</f>
        <v>0</v>
      </c>
    </row>
    <row r="341">
      <c r="A341" s="76" t="inlineStr">
        <is>
          <t xml:space="preserve">NC · Incidentes</t>
        </is>
      </c>
      <c r="B341" s="49">
        <f>IF(OR($B$2="Todos",$C$2=2),1,IFERROR(INDEX($C$341:$V$341,MATCH($D$2,$C$329:$V$329,0)),1))</f>
        <v>1</v>
      </c>
      <c r="C341" s="48">
        <f>IF(Config!$O$35&lt;&gt;"Não",1,0)</f>
        <v>1</v>
      </c>
      <c r="D341" s="48">
        <f>IF(Config!$O$36&lt;&gt;"Não",1,0)</f>
        <v>1</v>
      </c>
      <c r="E341" s="48">
        <f>IF(Config!$O$37&lt;&gt;"Não",1,0)</f>
        <v>1</v>
      </c>
      <c r="F341" s="48">
        <f>IF(Config!$O$38&lt;&gt;"Não",1,0)</f>
        <v>1</v>
      </c>
      <c r="G341" s="48">
        <f>IF(Config!$O$39&lt;&gt;"Não",1,0)</f>
        <v>1</v>
      </c>
      <c r="H341" s="48">
        <f>IF(Config!$O$40&lt;&gt;"Não",1,0)</f>
        <v>1</v>
      </c>
      <c r="I341" s="48">
        <f>IF(Config!$O$41&lt;&gt;"Não",1,0)</f>
        <v>1</v>
      </c>
      <c r="J341" s="48">
        <f>IF(Config!$O$42&lt;&gt;"Não",1,0)</f>
        <v>1</v>
      </c>
      <c r="K341" s="48">
        <f>IF(Config!$O$43&lt;&gt;"Não",1,0)</f>
        <v>1</v>
      </c>
      <c r="L341" s="48">
        <f>IF(Config!$O$44&lt;&gt;"Não",1,0)</f>
        <v>1</v>
      </c>
      <c r="M341" s="48">
        <f>IF(Config!$O$45&lt;&gt;"Não",1,0)</f>
        <v>1</v>
      </c>
      <c r="N341" s="48">
        <f>IF(Config!$O$46&lt;&gt;"Não",1,0)</f>
        <v>1</v>
      </c>
      <c r="O341" s="48">
        <f>IF(Config!$O$47&lt;&gt;"Não",1,0)</f>
        <v>1</v>
      </c>
      <c r="P341" s="48">
        <f>IF(Config!$O$48&lt;&gt;"Não",1,0)</f>
        <v>1</v>
      </c>
      <c r="Q341" s="48">
        <f>IF(Config!$O$49&lt;&gt;"Não",1,0)</f>
        <v>1</v>
      </c>
      <c r="R341" s="48">
        <f>IF(Config!$O$50&lt;&gt;"Não",1,0)</f>
        <v>1</v>
      </c>
      <c r="S341" s="48">
        <f>IF(Config!$O$51&lt;&gt;"Não",1,0)</f>
        <v>1</v>
      </c>
      <c r="T341" s="48">
        <f>IF(Config!$O$52&lt;&gt;"Não",1,0)</f>
        <v>1</v>
      </c>
      <c r="U341" s="48">
        <f>IF(Config!$O$53&lt;&gt;"Não",1,0)</f>
        <v>1</v>
      </c>
      <c r="V341" s="48">
        <f>IF(Config!$O$54&lt;&gt;"Não",1,0)</f>
        <v>1</v>
      </c>
    </row>
    <row r="342">
      <c r="A342" s="76" t="inlineStr">
        <is>
          <t xml:space="preserve">NC · No show</t>
        </is>
      </c>
      <c r="B342" s="49">
        <f>IF(OR($B$2="Todos",$C$2=2),1,IFERROR(INDEX($C$342:$V$342,MATCH($D$2,$C$329:$V$329,0)),1))</f>
        <v>1</v>
      </c>
      <c r="C342" s="48">
        <f>IF(Config!$P$35&lt;&gt;"Não",1,0)</f>
        <v>1</v>
      </c>
      <c r="D342" s="48">
        <f>IF(Config!$P$36&lt;&gt;"Não",1,0)</f>
        <v>1</v>
      </c>
      <c r="E342" s="48">
        <f>IF(Config!$P$37&lt;&gt;"Não",1,0)</f>
        <v>1</v>
      </c>
      <c r="F342" s="48">
        <f>IF(Config!$P$38&lt;&gt;"Não",1,0)</f>
        <v>1</v>
      </c>
      <c r="G342" s="48">
        <f>IF(Config!$P$39&lt;&gt;"Não",1,0)</f>
        <v>1</v>
      </c>
      <c r="H342" s="48">
        <f>IF(Config!$P$40&lt;&gt;"Não",1,0)</f>
        <v>1</v>
      </c>
      <c r="I342" s="48">
        <f>IF(Config!$P$41&lt;&gt;"Não",1,0)</f>
        <v>1</v>
      </c>
      <c r="J342" s="48">
        <f>IF(Config!$P$42&lt;&gt;"Não",1,0)</f>
        <v>1</v>
      </c>
      <c r="K342" s="48">
        <f>IF(Config!$P$43&lt;&gt;"Não",1,0)</f>
        <v>1</v>
      </c>
      <c r="L342" s="48">
        <f>IF(Config!$P$44&lt;&gt;"Não",1,0)</f>
        <v>1</v>
      </c>
      <c r="M342" s="48">
        <f>IF(Config!$P$45&lt;&gt;"Não",1,0)</f>
        <v>1</v>
      </c>
      <c r="N342" s="48">
        <f>IF(Config!$P$46&lt;&gt;"Não",1,0)</f>
        <v>1</v>
      </c>
      <c r="O342" s="48">
        <f>IF(Config!$P$47&lt;&gt;"Não",1,0)</f>
        <v>1</v>
      </c>
      <c r="P342" s="48">
        <f>IF(Config!$P$48&lt;&gt;"Não",1,0)</f>
        <v>1</v>
      </c>
      <c r="Q342" s="48">
        <f>IF(Config!$P$49&lt;&gt;"Não",1,0)</f>
        <v>1</v>
      </c>
      <c r="R342" s="48">
        <f>IF(Config!$P$50&lt;&gt;"Não",1,0)</f>
        <v>1</v>
      </c>
      <c r="S342" s="48">
        <f>IF(Config!$P$51&lt;&gt;"Não",1,0)</f>
        <v>1</v>
      </c>
      <c r="T342" s="48">
        <f>IF(Config!$P$52&lt;&gt;"Não",1,0)</f>
        <v>1</v>
      </c>
      <c r="U342" s="48">
        <f>IF(Config!$P$53&lt;&gt;"Não",1,0)</f>
        <v>1</v>
      </c>
      <c r="V342" s="48">
        <f>IF(Config!$P$54&lt;&gt;"Não",1,0)</f>
        <v>1</v>
      </c>
    </row>
    <row r="343">
      <c r="A343" s="76" t="inlineStr">
        <is>
          <t xml:space="preserve">NC · Backlog Intralog</t>
        </is>
      </c>
      <c r="B343" s="49">
        <f>IF(OR($B$2="Todos",$C$2=2),1,IFERROR(INDEX($C$343:$V$343,MATCH($D$2,$C$329:$V$329,0)),1))</f>
        <v>1</v>
      </c>
      <c r="C343" s="48">
        <f>IF(Config!$Q$35&lt;&gt;"Não",1,0)</f>
        <v>1</v>
      </c>
      <c r="D343" s="48">
        <f>IF(Config!$Q$36&lt;&gt;"Não",1,0)</f>
        <v>1</v>
      </c>
      <c r="E343" s="48">
        <f>IF(Config!$Q$37&lt;&gt;"Não",1,0)</f>
        <v>1</v>
      </c>
      <c r="F343" s="48">
        <f>IF(Config!$Q$38&lt;&gt;"Não",1,0)</f>
        <v>1</v>
      </c>
      <c r="G343" s="48">
        <f>IF(Config!$Q$39&lt;&gt;"Não",1,0)</f>
        <v>1</v>
      </c>
      <c r="H343" s="48">
        <f>IF(Config!$Q$40&lt;&gt;"Não",1,0)</f>
        <v>1</v>
      </c>
      <c r="I343" s="48">
        <f>IF(Config!$Q$41&lt;&gt;"Não",1,0)</f>
        <v>1</v>
      </c>
      <c r="J343" s="48">
        <f>IF(Config!$Q$42&lt;&gt;"Não",1,0)</f>
        <v>1</v>
      </c>
      <c r="K343" s="48">
        <f>IF(Config!$Q$43&lt;&gt;"Não",1,0)</f>
        <v>1</v>
      </c>
      <c r="L343" s="48">
        <f>IF(Config!$Q$44&lt;&gt;"Não",1,0)</f>
        <v>1</v>
      </c>
      <c r="M343" s="48">
        <f>IF(Config!$Q$45&lt;&gt;"Não",1,0)</f>
        <v>1</v>
      </c>
      <c r="N343" s="48">
        <f>IF(Config!$Q$46&lt;&gt;"Não",1,0)</f>
        <v>1</v>
      </c>
      <c r="O343" s="48">
        <f>IF(Config!$Q$47&lt;&gt;"Não",1,0)</f>
        <v>1</v>
      </c>
      <c r="P343" s="48">
        <f>IF(Config!$Q$48&lt;&gt;"Não",1,0)</f>
        <v>1</v>
      </c>
      <c r="Q343" s="48">
        <f>IF(Config!$Q$49&lt;&gt;"Não",1,0)</f>
        <v>1</v>
      </c>
      <c r="R343" s="48">
        <f>IF(Config!$Q$50&lt;&gt;"Não",1,0)</f>
        <v>1</v>
      </c>
      <c r="S343" s="48">
        <f>IF(Config!$Q$51&lt;&gt;"Não",1,0)</f>
        <v>1</v>
      </c>
      <c r="T343" s="48">
        <f>IF(Config!$Q$52&lt;&gt;"Não",1,0)</f>
        <v>1</v>
      </c>
      <c r="U343" s="48">
        <f>IF(Config!$Q$53&lt;&gt;"Não",1,0)</f>
        <v>1</v>
      </c>
      <c r="V343" s="48">
        <f>IF(Config!$Q$54&lt;&gt;"Não",1,0)</f>
        <v>1</v>
      </c>
    </row>
    <row r="344">
      <c r="A344" s="76" t="inlineStr">
        <is>
          <t xml:space="preserve">NC · Backlog Cliente</t>
        </is>
      </c>
      <c r="B344" s="49">
        <f>IF(OR($B$2="Todos",$C$2=2),1,IFERROR(INDEX($C$344:$V$344,MATCH($D$2,$C$329:$V$329,0)),1))</f>
        <v>1</v>
      </c>
      <c r="C344" s="48">
        <f>IF(Config!$R$35&lt;&gt;"Não",1,0)</f>
        <v>1</v>
      </c>
      <c r="D344" s="48">
        <f>IF(Config!$R$36&lt;&gt;"Não",1,0)</f>
        <v>1</v>
      </c>
      <c r="E344" s="48">
        <f>IF(Config!$R$37&lt;&gt;"Não",1,0)</f>
        <v>1</v>
      </c>
      <c r="F344" s="48">
        <f>IF(Config!$R$38&lt;&gt;"Não",1,0)</f>
        <v>1</v>
      </c>
      <c r="G344" s="48">
        <f>IF(Config!$R$39&lt;&gt;"Não",1,0)</f>
        <v>1</v>
      </c>
      <c r="H344" s="48">
        <f>IF(Config!$R$40&lt;&gt;"Não",1,0)</f>
        <v>1</v>
      </c>
      <c r="I344" s="48">
        <f>IF(Config!$R$41&lt;&gt;"Não",1,0)</f>
        <v>1</v>
      </c>
      <c r="J344" s="48">
        <f>IF(Config!$R$42&lt;&gt;"Não",1,0)</f>
        <v>1</v>
      </c>
      <c r="K344" s="48">
        <f>IF(Config!$R$43&lt;&gt;"Não",1,0)</f>
        <v>1</v>
      </c>
      <c r="L344" s="48">
        <f>IF(Config!$R$44&lt;&gt;"Não",1,0)</f>
        <v>1</v>
      </c>
      <c r="M344" s="48">
        <f>IF(Config!$R$45&lt;&gt;"Não",1,0)</f>
        <v>1</v>
      </c>
      <c r="N344" s="48">
        <f>IF(Config!$R$46&lt;&gt;"Não",1,0)</f>
        <v>1</v>
      </c>
      <c r="O344" s="48">
        <f>IF(Config!$R$47&lt;&gt;"Não",1,0)</f>
        <v>1</v>
      </c>
      <c r="P344" s="48">
        <f>IF(Config!$R$48&lt;&gt;"Não",1,0)</f>
        <v>1</v>
      </c>
      <c r="Q344" s="48">
        <f>IF(Config!$R$49&lt;&gt;"Não",1,0)</f>
        <v>1</v>
      </c>
      <c r="R344" s="48">
        <f>IF(Config!$R$50&lt;&gt;"Não",1,0)</f>
        <v>1</v>
      </c>
      <c r="S344" s="48">
        <f>IF(Config!$R$51&lt;&gt;"Não",1,0)</f>
        <v>1</v>
      </c>
      <c r="T344" s="48">
        <f>IF(Config!$R$52&lt;&gt;"Não",1,0)</f>
        <v>1</v>
      </c>
      <c r="U344" s="48">
        <f>IF(Config!$R$53&lt;&gt;"Não",1,0)</f>
        <v>1</v>
      </c>
      <c r="V344" s="48">
        <f>IF(Config!$R$54&lt;&gt;"Não",1,0)</f>
        <v>1</v>
      </c>
    </row>
    <row r="345">
      <c r="A345" s="76" t="inlineStr">
        <is>
          <t xml:space="preserve">OCUPAÇÃO (P.P) · Posições Disponíveis</t>
        </is>
      </c>
      <c r="B345" s="49">
        <f>IF(OR($B$2="Todos",$C$2=2),1,IFERROR(INDEX($C$345:$V$345,MATCH($D$2,$C$329:$V$329,0)),1))</f>
        <v>1</v>
      </c>
      <c r="C345" s="48">
        <f>IF(Config!$S$35&lt;&gt;"Não",1,0)</f>
        <v>1</v>
      </c>
      <c r="D345" s="48">
        <f>IF(Config!$S$36&lt;&gt;"Não",1,0)</f>
        <v>0</v>
      </c>
      <c r="E345" s="48">
        <f>IF(Config!$S$37&lt;&gt;"Não",1,0)</f>
        <v>0</v>
      </c>
      <c r="F345" s="48">
        <f>IF(Config!$S$38&lt;&gt;"Não",1,0)</f>
        <v>0</v>
      </c>
      <c r="G345" s="48">
        <f>IF(Config!$S$39&lt;&gt;"Não",1,0)</f>
        <v>1</v>
      </c>
      <c r="H345" s="48">
        <f>IF(Config!$S$40&lt;&gt;"Não",1,0)</f>
        <v>1</v>
      </c>
      <c r="I345" s="48">
        <f>IF(Config!$S$41&lt;&gt;"Não",1,0)</f>
        <v>1</v>
      </c>
      <c r="J345" s="48">
        <f>IF(Config!$S$42&lt;&gt;"Não",1,0)</f>
        <v>1</v>
      </c>
      <c r="K345" s="48">
        <f>IF(Config!$S$43&lt;&gt;"Não",1,0)</f>
        <v>1</v>
      </c>
      <c r="L345" s="48">
        <f>IF(Config!$S$44&lt;&gt;"Não",1,0)</f>
        <v>1</v>
      </c>
      <c r="M345" s="48">
        <f>IF(Config!$S$45&lt;&gt;"Não",1,0)</f>
        <v>1</v>
      </c>
      <c r="N345" s="48">
        <f>IF(Config!$S$46&lt;&gt;"Não",1,0)</f>
        <v>1</v>
      </c>
      <c r="O345" s="48">
        <f>IF(Config!$S$47&lt;&gt;"Não",1,0)</f>
        <v>1</v>
      </c>
      <c r="P345" s="48">
        <f>IF(Config!$S$48&lt;&gt;"Não",1,0)</f>
        <v>1</v>
      </c>
      <c r="Q345" s="48">
        <f>IF(Config!$S$49&lt;&gt;"Não",1,0)</f>
        <v>1</v>
      </c>
      <c r="R345" s="48">
        <f>IF(Config!$S$50&lt;&gt;"Não",1,0)</f>
        <v>1</v>
      </c>
      <c r="S345" s="48">
        <f>IF(Config!$S$51&lt;&gt;"Não",1,0)</f>
        <v>1</v>
      </c>
      <c r="T345" s="48">
        <f>IF(Config!$S$52&lt;&gt;"Não",1,0)</f>
        <v>1</v>
      </c>
      <c r="U345" s="48">
        <f>IF(Config!$S$53&lt;&gt;"Não",1,0)</f>
        <v>1</v>
      </c>
      <c r="V345" s="48">
        <f>IF(Config!$S$54&lt;&gt;"Não",1,0)</f>
        <v>1</v>
      </c>
    </row>
    <row r="346">
      <c r="A346" s="76" t="inlineStr">
        <is>
          <t xml:space="preserve">OCUPAÇÃO (P.P) · Posições Ocupadas</t>
        </is>
      </c>
      <c r="B346" s="49">
        <f>IF(OR($B$2="Todos",$C$2=2),1,IFERROR(INDEX($C$346:$V$346,MATCH($D$2,$C$329:$V$329,0)),1))</f>
        <v>1</v>
      </c>
      <c r="C346" s="48">
        <f>IF(Config!$T$35&lt;&gt;"Não",1,0)</f>
        <v>1</v>
      </c>
      <c r="D346" s="48">
        <f>IF(Config!$T$36&lt;&gt;"Não",1,0)</f>
        <v>0</v>
      </c>
      <c r="E346" s="48">
        <f>IF(Config!$T$37&lt;&gt;"Não",1,0)</f>
        <v>1</v>
      </c>
      <c r="F346" s="48">
        <f>IF(Config!$T$38&lt;&gt;"Não",1,0)</f>
        <v>1</v>
      </c>
      <c r="G346" s="48">
        <f>IF(Config!$T$39&lt;&gt;"Não",1,0)</f>
        <v>1</v>
      </c>
      <c r="H346" s="48">
        <f>IF(Config!$T$40&lt;&gt;"Não",1,0)</f>
        <v>1</v>
      </c>
      <c r="I346" s="48">
        <f>IF(Config!$T$41&lt;&gt;"Não",1,0)</f>
        <v>1</v>
      </c>
      <c r="J346" s="48">
        <f>IF(Config!$T$42&lt;&gt;"Não",1,0)</f>
        <v>1</v>
      </c>
      <c r="K346" s="48">
        <f>IF(Config!$T$43&lt;&gt;"Não",1,0)</f>
        <v>1</v>
      </c>
      <c r="L346" s="48">
        <f>IF(Config!$T$44&lt;&gt;"Não",1,0)</f>
        <v>1</v>
      </c>
      <c r="M346" s="48">
        <f>IF(Config!$T$45&lt;&gt;"Não",1,0)</f>
        <v>1</v>
      </c>
      <c r="N346" s="48">
        <f>IF(Config!$T$46&lt;&gt;"Não",1,0)</f>
        <v>1</v>
      </c>
      <c r="O346" s="48">
        <f>IF(Config!$T$47&lt;&gt;"Não",1,0)</f>
        <v>1</v>
      </c>
      <c r="P346" s="48">
        <f>IF(Config!$T$48&lt;&gt;"Não",1,0)</f>
        <v>1</v>
      </c>
      <c r="Q346" s="48">
        <f>IF(Config!$T$49&lt;&gt;"Não",1,0)</f>
        <v>1</v>
      </c>
      <c r="R346" s="48">
        <f>IF(Config!$T$50&lt;&gt;"Não",1,0)</f>
        <v>1</v>
      </c>
      <c r="S346" s="48">
        <f>IF(Config!$T$51&lt;&gt;"Não",1,0)</f>
        <v>1</v>
      </c>
      <c r="T346" s="48">
        <f>IF(Config!$T$52&lt;&gt;"Não",1,0)</f>
        <v>1</v>
      </c>
      <c r="U346" s="48">
        <f>IF(Config!$T$53&lt;&gt;"Não",1,0)</f>
        <v>1</v>
      </c>
      <c r="V346" s="48">
        <f>IF(Config!$T$54&lt;&gt;"Não",1,0)</f>
        <v>1</v>
      </c>
    </row>
    <row r="347">
      <c r="A347" s="76" t="inlineStr">
        <is>
          <t xml:space="preserve">OCUPAÇÃO (P.P) · Taxa de Ocupação</t>
        </is>
      </c>
      <c r="B347" s="49">
        <f>IF(OR($B$2="Todos",$C$2=2),1,IFERROR(INDEX($C$347:$V$347,MATCH($D$2,$C$329:$V$329,0)),1))</f>
        <v>1</v>
      </c>
      <c r="C347" s="48">
        <f>IF(AND(Config!$S$35&lt;&gt;"Não",Config!$T$35&lt;&gt;"Não"),1,0)</f>
        <v>1</v>
      </c>
      <c r="D347" s="48">
        <f>IF(AND(Config!$S$36&lt;&gt;"Não",Config!$T$36&lt;&gt;"Não"),1,0)</f>
        <v>0</v>
      </c>
      <c r="E347" s="48">
        <f>IF(AND(Config!$S$37&lt;&gt;"Não",Config!$T$37&lt;&gt;"Não"),1,0)</f>
        <v>0</v>
      </c>
      <c r="F347" s="48">
        <f>IF(AND(Config!$S$38&lt;&gt;"Não",Config!$T$38&lt;&gt;"Não"),1,0)</f>
        <v>0</v>
      </c>
      <c r="G347" s="48">
        <f>IF(AND(Config!$S$39&lt;&gt;"Não",Config!$T$39&lt;&gt;"Não"),1,0)</f>
        <v>1</v>
      </c>
      <c r="H347" s="48">
        <f>IF(AND(Config!$S$40&lt;&gt;"Não",Config!$T$40&lt;&gt;"Não"),1,0)</f>
        <v>1</v>
      </c>
      <c r="I347" s="48">
        <f>IF(AND(Config!$S$41&lt;&gt;"Não",Config!$T$41&lt;&gt;"Não"),1,0)</f>
        <v>1</v>
      </c>
      <c r="J347" s="48">
        <f>IF(AND(Config!$S$42&lt;&gt;"Não",Config!$T$42&lt;&gt;"Não"),1,0)</f>
        <v>1</v>
      </c>
      <c r="K347" s="48">
        <f>IF(AND(Config!$S$43&lt;&gt;"Não",Config!$T$43&lt;&gt;"Não"),1,0)</f>
        <v>1</v>
      </c>
      <c r="L347" s="48">
        <f>IF(AND(Config!$S$44&lt;&gt;"Não",Config!$T$44&lt;&gt;"Não"),1,0)</f>
        <v>1</v>
      </c>
      <c r="M347" s="48">
        <f>IF(AND(Config!$S$45&lt;&gt;"Não",Config!$T$45&lt;&gt;"Não"),1,0)</f>
        <v>1</v>
      </c>
      <c r="N347" s="48">
        <f>IF(AND(Config!$S$46&lt;&gt;"Não",Config!$T$46&lt;&gt;"Não"),1,0)</f>
        <v>1</v>
      </c>
      <c r="O347" s="48">
        <f>IF(AND(Config!$S$47&lt;&gt;"Não",Config!$T$47&lt;&gt;"Não"),1,0)</f>
        <v>1</v>
      </c>
      <c r="P347" s="48">
        <f>IF(AND(Config!$S$48&lt;&gt;"Não",Config!$T$48&lt;&gt;"Não"),1,0)</f>
        <v>1</v>
      </c>
      <c r="Q347" s="48">
        <f>IF(AND(Config!$S$49&lt;&gt;"Não",Config!$T$49&lt;&gt;"Não"),1,0)</f>
        <v>1</v>
      </c>
      <c r="R347" s="48">
        <f>IF(AND(Config!$S$50&lt;&gt;"Não",Config!$T$50&lt;&gt;"Não"),1,0)</f>
        <v>1</v>
      </c>
      <c r="S347" s="48">
        <f>IF(AND(Config!$S$51&lt;&gt;"Não",Config!$T$51&lt;&gt;"Não"),1,0)</f>
        <v>1</v>
      </c>
      <c r="T347" s="48">
        <f>IF(AND(Config!$S$52&lt;&gt;"Não",Config!$T$52&lt;&gt;"Não"),1,0)</f>
        <v>1</v>
      </c>
      <c r="U347" s="48">
        <f>IF(AND(Config!$S$53&lt;&gt;"Não",Config!$T$53&lt;&gt;"Não"),1,0)</f>
        <v>1</v>
      </c>
      <c r="V347" s="48">
        <f>IF(AND(Config!$S$54&lt;&gt;"Não",Config!$T$54&lt;&gt;"Não"),1,0)</f>
        <v>1</v>
      </c>
    </row>
    <row r="348">
      <c r="A348" s="76" t="inlineStr">
        <is>
          <t xml:space="preserve">GENTE · Efetivo Op.</t>
        </is>
      </c>
      <c r="B348" s="49">
        <f>IF(OR($B$2="Todos",$C$2=2),1,IFERROR(INDEX($C$348:$V$348,MATCH($D$2,$C$329:$V$329,0)),1))</f>
        <v>1</v>
      </c>
      <c r="C348" s="48">
        <f>IF(Config!$U$35&lt;&gt;"Não",1,0)</f>
        <v>1</v>
      </c>
      <c r="D348" s="48">
        <f>IF(Config!$U$36&lt;&gt;"Não",1,0)</f>
        <v>1</v>
      </c>
      <c r="E348" s="48">
        <f>IF(Config!$U$37&lt;&gt;"Não",1,0)</f>
        <v>1</v>
      </c>
      <c r="F348" s="48">
        <f>IF(Config!$U$38&lt;&gt;"Não",1,0)</f>
        <v>1</v>
      </c>
      <c r="G348" s="48">
        <f>IF(Config!$U$39&lt;&gt;"Não",1,0)</f>
        <v>1</v>
      </c>
      <c r="H348" s="48">
        <f>IF(Config!$U$40&lt;&gt;"Não",1,0)</f>
        <v>1</v>
      </c>
      <c r="I348" s="48">
        <f>IF(Config!$U$41&lt;&gt;"Não",1,0)</f>
        <v>1</v>
      </c>
      <c r="J348" s="48">
        <f>IF(Config!$U$42&lt;&gt;"Não",1,0)</f>
        <v>1</v>
      </c>
      <c r="K348" s="48">
        <f>IF(Config!$U$43&lt;&gt;"Não",1,0)</f>
        <v>1</v>
      </c>
      <c r="L348" s="48">
        <f>IF(Config!$U$44&lt;&gt;"Não",1,0)</f>
        <v>1</v>
      </c>
      <c r="M348" s="48">
        <f>IF(Config!$U$45&lt;&gt;"Não",1,0)</f>
        <v>1</v>
      </c>
      <c r="N348" s="48">
        <f>IF(Config!$U$46&lt;&gt;"Não",1,0)</f>
        <v>1</v>
      </c>
      <c r="O348" s="48">
        <f>IF(Config!$U$47&lt;&gt;"Não",1,0)</f>
        <v>1</v>
      </c>
      <c r="P348" s="48">
        <f>IF(Config!$U$48&lt;&gt;"Não",1,0)</f>
        <v>1</v>
      </c>
      <c r="Q348" s="48">
        <f>IF(Config!$U$49&lt;&gt;"Não",1,0)</f>
        <v>1</v>
      </c>
      <c r="R348" s="48">
        <f>IF(Config!$U$50&lt;&gt;"Não",1,0)</f>
        <v>1</v>
      </c>
      <c r="S348" s="48">
        <f>IF(Config!$U$51&lt;&gt;"Não",1,0)</f>
        <v>1</v>
      </c>
      <c r="T348" s="48">
        <f>IF(Config!$U$52&lt;&gt;"Não",1,0)</f>
        <v>1</v>
      </c>
      <c r="U348" s="48">
        <f>IF(Config!$U$53&lt;&gt;"Não",1,0)</f>
        <v>1</v>
      </c>
      <c r="V348" s="48">
        <f>IF(Config!$U$54&lt;&gt;"Não",1,0)</f>
        <v>1</v>
      </c>
    </row>
    <row r="349">
      <c r="A349" s="76" t="inlineStr">
        <is>
          <t xml:space="preserve">GENTE · Falta</t>
        </is>
      </c>
      <c r="B349" s="49">
        <f>IF(OR($B$2="Todos",$C$2=2),1,IFERROR(INDEX($C$349:$V$349,MATCH($D$2,$C$329:$V$329,0)),1))</f>
        <v>1</v>
      </c>
      <c r="C349" s="48">
        <f>IF(Config!$V$35&lt;&gt;"Não",1,0)</f>
        <v>1</v>
      </c>
      <c r="D349" s="48">
        <f>IF(Config!$V$36&lt;&gt;"Não",1,0)</f>
        <v>1</v>
      </c>
      <c r="E349" s="48">
        <f>IF(Config!$V$37&lt;&gt;"Não",1,0)</f>
        <v>1</v>
      </c>
      <c r="F349" s="48">
        <f>IF(Config!$V$38&lt;&gt;"Não",1,0)</f>
        <v>1</v>
      </c>
      <c r="G349" s="48">
        <f>IF(Config!$V$39&lt;&gt;"Não",1,0)</f>
        <v>1</v>
      </c>
      <c r="H349" s="48">
        <f>IF(Config!$V$40&lt;&gt;"Não",1,0)</f>
        <v>1</v>
      </c>
      <c r="I349" s="48">
        <f>IF(Config!$V$41&lt;&gt;"Não",1,0)</f>
        <v>1</v>
      </c>
      <c r="J349" s="48">
        <f>IF(Config!$V$42&lt;&gt;"Não",1,0)</f>
        <v>1</v>
      </c>
      <c r="K349" s="48">
        <f>IF(Config!$V$43&lt;&gt;"Não",1,0)</f>
        <v>1</v>
      </c>
      <c r="L349" s="48">
        <f>IF(Config!$V$44&lt;&gt;"Não",1,0)</f>
        <v>1</v>
      </c>
      <c r="M349" s="48">
        <f>IF(Config!$V$45&lt;&gt;"Não",1,0)</f>
        <v>1</v>
      </c>
      <c r="N349" s="48">
        <f>IF(Config!$V$46&lt;&gt;"Não",1,0)</f>
        <v>1</v>
      </c>
      <c r="O349" s="48">
        <f>IF(Config!$V$47&lt;&gt;"Não",1,0)</f>
        <v>1</v>
      </c>
      <c r="P349" s="48">
        <f>IF(Config!$V$48&lt;&gt;"Não",1,0)</f>
        <v>1</v>
      </c>
      <c r="Q349" s="48">
        <f>IF(Config!$V$49&lt;&gt;"Não",1,0)</f>
        <v>1</v>
      </c>
      <c r="R349" s="48">
        <f>IF(Config!$V$50&lt;&gt;"Não",1,0)</f>
        <v>1</v>
      </c>
      <c r="S349" s="48">
        <f>IF(Config!$V$51&lt;&gt;"Não",1,0)</f>
        <v>1</v>
      </c>
      <c r="T349" s="48">
        <f>IF(Config!$V$52&lt;&gt;"Não",1,0)</f>
        <v>1</v>
      </c>
      <c r="U349" s="48">
        <f>IF(Config!$V$53&lt;&gt;"Não",1,0)</f>
        <v>1</v>
      </c>
      <c r="V349" s="48">
        <f>IF(Config!$V$54&lt;&gt;"Não",1,0)</f>
        <v>1</v>
      </c>
    </row>
    <row r="350">
      <c r="A350" s="76" t="inlineStr">
        <is>
          <t xml:space="preserve">GENTE · Absenteísmo (H/H)</t>
        </is>
      </c>
      <c r="B350" s="49">
        <f>IF(OR($B$2="Todos",$C$2=2),1,IFERROR(INDEX($C$350:$V$350,MATCH($D$2,$C$329:$V$329,0)),1))</f>
        <v>1</v>
      </c>
      <c r="C350" s="48">
        <f>IF(Config!$W$35&lt;&gt;"Não",1,0)</f>
        <v>1</v>
      </c>
      <c r="D350" s="48">
        <f>IF(Config!$W$36&lt;&gt;"Não",1,0)</f>
        <v>1</v>
      </c>
      <c r="E350" s="48">
        <f>IF(Config!$W$37&lt;&gt;"Não",1,0)</f>
        <v>1</v>
      </c>
      <c r="F350" s="48">
        <f>IF(Config!$W$38&lt;&gt;"Não",1,0)</f>
        <v>1</v>
      </c>
      <c r="G350" s="48">
        <f>IF(Config!$W$39&lt;&gt;"Não",1,0)</f>
        <v>1</v>
      </c>
      <c r="H350" s="48">
        <f>IF(Config!$W$40&lt;&gt;"Não",1,0)</f>
        <v>1</v>
      </c>
      <c r="I350" s="48">
        <f>IF(Config!$W$41&lt;&gt;"Não",1,0)</f>
        <v>1</v>
      </c>
      <c r="J350" s="48">
        <f>IF(Config!$W$42&lt;&gt;"Não",1,0)</f>
        <v>1</v>
      </c>
      <c r="K350" s="48">
        <f>IF(Config!$W$43&lt;&gt;"Não",1,0)</f>
        <v>1</v>
      </c>
      <c r="L350" s="48">
        <f>IF(Config!$W$44&lt;&gt;"Não",1,0)</f>
        <v>1</v>
      </c>
      <c r="M350" s="48">
        <f>IF(Config!$W$45&lt;&gt;"Não",1,0)</f>
        <v>1</v>
      </c>
      <c r="N350" s="48">
        <f>IF(Config!$W$46&lt;&gt;"Não",1,0)</f>
        <v>1</v>
      </c>
      <c r="O350" s="48">
        <f>IF(Config!$W$47&lt;&gt;"Não",1,0)</f>
        <v>1</v>
      </c>
      <c r="P350" s="48">
        <f>IF(Config!$W$48&lt;&gt;"Não",1,0)</f>
        <v>1</v>
      </c>
      <c r="Q350" s="48">
        <f>IF(Config!$W$49&lt;&gt;"Não",1,0)</f>
        <v>1</v>
      </c>
      <c r="R350" s="48">
        <f>IF(Config!$W$50&lt;&gt;"Não",1,0)</f>
        <v>1</v>
      </c>
      <c r="S350" s="48">
        <f>IF(Config!$W$51&lt;&gt;"Não",1,0)</f>
        <v>1</v>
      </c>
      <c r="T350" s="48">
        <f>IF(Config!$W$52&lt;&gt;"Não",1,0)</f>
        <v>1</v>
      </c>
      <c r="U350" s="48">
        <f>IF(Config!$W$53&lt;&gt;"Não",1,0)</f>
        <v>1</v>
      </c>
      <c r="V350" s="48">
        <f>IF(Config!$W$54&lt;&gt;"Não",1,0)</f>
        <v>1</v>
      </c>
    </row>
    <row r="351">
      <c r="A351" s="76" t="inlineStr">
        <is>
          <t xml:space="preserve">GENTE · Folga</t>
        </is>
      </c>
      <c r="B351" s="49">
        <f>IF(OR($B$2="Todos",$C$2=2),1,IFERROR(INDEX($C$351:$V$351,MATCH($D$2,$C$329:$V$329,0)),1))</f>
        <v>1</v>
      </c>
      <c r="C351" s="48">
        <f>IF(Config!$X$35&lt;&gt;"Não",1,0)</f>
        <v>1</v>
      </c>
      <c r="D351" s="48">
        <f>IF(Config!$X$36&lt;&gt;"Não",1,0)</f>
        <v>1</v>
      </c>
      <c r="E351" s="48">
        <f>IF(Config!$X$37&lt;&gt;"Não",1,0)</f>
        <v>1</v>
      </c>
      <c r="F351" s="48">
        <f>IF(Config!$X$38&lt;&gt;"Não",1,0)</f>
        <v>1</v>
      </c>
      <c r="G351" s="48">
        <f>IF(Config!$X$39&lt;&gt;"Não",1,0)</f>
        <v>1</v>
      </c>
      <c r="H351" s="48">
        <f>IF(Config!$X$40&lt;&gt;"Não",1,0)</f>
        <v>1</v>
      </c>
      <c r="I351" s="48">
        <f>IF(Config!$X$41&lt;&gt;"Não",1,0)</f>
        <v>1</v>
      </c>
      <c r="J351" s="48">
        <f>IF(Config!$X$42&lt;&gt;"Não",1,0)</f>
        <v>1</v>
      </c>
      <c r="K351" s="48">
        <f>IF(Config!$X$43&lt;&gt;"Não",1,0)</f>
        <v>1</v>
      </c>
      <c r="L351" s="48">
        <f>IF(Config!$X$44&lt;&gt;"Não",1,0)</f>
        <v>1</v>
      </c>
      <c r="M351" s="48">
        <f>IF(Config!$X$45&lt;&gt;"Não",1,0)</f>
        <v>1</v>
      </c>
      <c r="N351" s="48">
        <f>IF(Config!$X$46&lt;&gt;"Não",1,0)</f>
        <v>1</v>
      </c>
      <c r="O351" s="48">
        <f>IF(Config!$X$47&lt;&gt;"Não",1,0)</f>
        <v>1</v>
      </c>
      <c r="P351" s="48">
        <f>IF(Config!$X$48&lt;&gt;"Não",1,0)</f>
        <v>1</v>
      </c>
      <c r="Q351" s="48">
        <f>IF(Config!$X$49&lt;&gt;"Não",1,0)</f>
        <v>1</v>
      </c>
      <c r="R351" s="48">
        <f>IF(Config!$X$50&lt;&gt;"Não",1,0)</f>
        <v>1</v>
      </c>
      <c r="S351" s="48">
        <f>IF(Config!$X$51&lt;&gt;"Não",1,0)</f>
        <v>1</v>
      </c>
      <c r="T351" s="48">
        <f>IF(Config!$X$52&lt;&gt;"Não",1,0)</f>
        <v>1</v>
      </c>
      <c r="U351" s="48">
        <f>IF(Config!$X$53&lt;&gt;"Não",1,0)</f>
        <v>1</v>
      </c>
      <c r="V351" s="48">
        <f>IF(Config!$X$54&lt;&gt;"Não",1,0)</f>
        <v>1</v>
      </c>
    </row>
    <row r="352">
      <c r="A352" s="76" t="inlineStr">
        <is>
          <t xml:space="preserve">GENTE · Férias</t>
        </is>
      </c>
      <c r="B352" s="49">
        <f>IF(OR($B$2="Todos",$C$2=2),1,IFERROR(INDEX($C$352:$V$352,MATCH($D$2,$C$329:$V$329,0)),1))</f>
        <v>1</v>
      </c>
      <c r="C352" s="48">
        <f>IF(Config!$Y$35&lt;&gt;"Não",1,0)</f>
        <v>1</v>
      </c>
      <c r="D352" s="48">
        <f>IF(Config!$Y$36&lt;&gt;"Não",1,0)</f>
        <v>1</v>
      </c>
      <c r="E352" s="48">
        <f>IF(Config!$Y$37&lt;&gt;"Não",1,0)</f>
        <v>1</v>
      </c>
      <c r="F352" s="48">
        <f>IF(Config!$Y$38&lt;&gt;"Não",1,0)</f>
        <v>1</v>
      </c>
      <c r="G352" s="48">
        <f>IF(Config!$Y$39&lt;&gt;"Não",1,0)</f>
        <v>1</v>
      </c>
      <c r="H352" s="48">
        <f>IF(Config!$Y$40&lt;&gt;"Não",1,0)</f>
        <v>1</v>
      </c>
      <c r="I352" s="48">
        <f>IF(Config!$Y$41&lt;&gt;"Não",1,0)</f>
        <v>1</v>
      </c>
      <c r="J352" s="48">
        <f>IF(Config!$Y$42&lt;&gt;"Não",1,0)</f>
        <v>1</v>
      </c>
      <c r="K352" s="48">
        <f>IF(Config!$Y$43&lt;&gt;"Não",1,0)</f>
        <v>1</v>
      </c>
      <c r="L352" s="48">
        <f>IF(Config!$Y$44&lt;&gt;"Não",1,0)</f>
        <v>1</v>
      </c>
      <c r="M352" s="48">
        <f>IF(Config!$Y$45&lt;&gt;"Não",1,0)</f>
        <v>1</v>
      </c>
      <c r="N352" s="48">
        <f>IF(Config!$Y$46&lt;&gt;"Não",1,0)</f>
        <v>1</v>
      </c>
      <c r="O352" s="48">
        <f>IF(Config!$Y$47&lt;&gt;"Não",1,0)</f>
        <v>1</v>
      </c>
      <c r="P352" s="48">
        <f>IF(Config!$Y$48&lt;&gt;"Não",1,0)</f>
        <v>1</v>
      </c>
      <c r="Q352" s="48">
        <f>IF(Config!$Y$49&lt;&gt;"Não",1,0)</f>
        <v>1</v>
      </c>
      <c r="R352" s="48">
        <f>IF(Config!$Y$50&lt;&gt;"Não",1,0)</f>
        <v>1</v>
      </c>
      <c r="S352" s="48">
        <f>IF(Config!$Y$51&lt;&gt;"Não",1,0)</f>
        <v>1</v>
      </c>
      <c r="T352" s="48">
        <f>IF(Config!$Y$52&lt;&gt;"Não",1,0)</f>
        <v>1</v>
      </c>
      <c r="U352" s="48">
        <f>IF(Config!$Y$53&lt;&gt;"Não",1,0)</f>
        <v>1</v>
      </c>
      <c r="V352" s="48">
        <f>IF(Config!$Y$54&lt;&gt;"Não",1,0)</f>
        <v>1</v>
      </c>
    </row>
    <row r="353">
      <c r="A353" s="76" t="inlineStr">
        <is>
          <t xml:space="preserve">GENTE · Desligamento</t>
        </is>
      </c>
      <c r="B353" s="49">
        <f>IF(OR($B$2="Todos",$C$2=2),1,IFERROR(INDEX($C$353:$V$353,MATCH($D$2,$C$329:$V$329,0)),1))</f>
        <v>1</v>
      </c>
      <c r="C353" s="48">
        <f>IF(Config!$Z$35&lt;&gt;"Não",1,0)</f>
        <v>1</v>
      </c>
      <c r="D353" s="48">
        <f>IF(Config!$Z$36&lt;&gt;"Não",1,0)</f>
        <v>1</v>
      </c>
      <c r="E353" s="48">
        <f>IF(Config!$Z$37&lt;&gt;"Não",1,0)</f>
        <v>1</v>
      </c>
      <c r="F353" s="48">
        <f>IF(Config!$Z$38&lt;&gt;"Não",1,0)</f>
        <v>1</v>
      </c>
      <c r="G353" s="48">
        <f>IF(Config!$Z$39&lt;&gt;"Não",1,0)</f>
        <v>1</v>
      </c>
      <c r="H353" s="48">
        <f>IF(Config!$Z$40&lt;&gt;"Não",1,0)</f>
        <v>1</v>
      </c>
      <c r="I353" s="48">
        <f>IF(Config!$Z$41&lt;&gt;"Não",1,0)</f>
        <v>1</v>
      </c>
      <c r="J353" s="48">
        <f>IF(Config!$Z$42&lt;&gt;"Não",1,0)</f>
        <v>1</v>
      </c>
      <c r="K353" s="48">
        <f>IF(Config!$Z$43&lt;&gt;"Não",1,0)</f>
        <v>1</v>
      </c>
      <c r="L353" s="48">
        <f>IF(Config!$Z$44&lt;&gt;"Não",1,0)</f>
        <v>1</v>
      </c>
      <c r="M353" s="48">
        <f>IF(Config!$Z$45&lt;&gt;"Não",1,0)</f>
        <v>1</v>
      </c>
      <c r="N353" s="48">
        <f>IF(Config!$Z$46&lt;&gt;"Não",1,0)</f>
        <v>1</v>
      </c>
      <c r="O353" s="48">
        <f>IF(Config!$Z$47&lt;&gt;"Não",1,0)</f>
        <v>1</v>
      </c>
      <c r="P353" s="48">
        <f>IF(Config!$Z$48&lt;&gt;"Não",1,0)</f>
        <v>1</v>
      </c>
      <c r="Q353" s="48">
        <f>IF(Config!$Z$49&lt;&gt;"Não",1,0)</f>
        <v>1</v>
      </c>
      <c r="R353" s="48">
        <f>IF(Config!$Z$50&lt;&gt;"Não",1,0)</f>
        <v>1</v>
      </c>
      <c r="S353" s="48">
        <f>IF(Config!$Z$51&lt;&gt;"Não",1,0)</f>
        <v>1</v>
      </c>
      <c r="T353" s="48">
        <f>IF(Config!$Z$52&lt;&gt;"Não",1,0)</f>
        <v>1</v>
      </c>
      <c r="U353" s="48">
        <f>IF(Config!$Z$53&lt;&gt;"Não",1,0)</f>
        <v>1</v>
      </c>
      <c r="V353" s="48">
        <f>IF(Config!$Z$54&lt;&gt;"Não",1,0)</f>
        <v>1</v>
      </c>
    </row>
    <row r="354">
      <c r="A354" s="76" t="inlineStr">
        <is>
          <t xml:space="preserve">GENTE · Desvios Comportamentais</t>
        </is>
      </c>
      <c r="B354" s="49">
        <f>IF(OR($B$2="Todos",$C$2=2),1,IFERROR(INDEX($C$354:$V$354,MATCH($D$2,$C$329:$V$329,0)),1))</f>
        <v>1</v>
      </c>
      <c r="C354" s="48">
        <f>IF(Config!$AA$35&lt;&gt;"Não",1,0)</f>
        <v>1</v>
      </c>
      <c r="D354" s="48">
        <f>IF(Config!$AA$36&lt;&gt;"Não",1,0)</f>
        <v>1</v>
      </c>
      <c r="E354" s="48">
        <f>IF(Config!$AA$37&lt;&gt;"Não",1,0)</f>
        <v>1</v>
      </c>
      <c r="F354" s="48">
        <f>IF(Config!$AA$38&lt;&gt;"Não",1,0)</f>
        <v>1</v>
      </c>
      <c r="G354" s="48">
        <f>IF(Config!$AA$39&lt;&gt;"Não",1,0)</f>
        <v>1</v>
      </c>
      <c r="H354" s="48">
        <f>IF(Config!$AA$40&lt;&gt;"Não",1,0)</f>
        <v>1</v>
      </c>
      <c r="I354" s="48">
        <f>IF(Config!$AA$41&lt;&gt;"Não",1,0)</f>
        <v>1</v>
      </c>
      <c r="J354" s="48">
        <f>IF(Config!$AA$42&lt;&gt;"Não",1,0)</f>
        <v>1</v>
      </c>
      <c r="K354" s="48">
        <f>IF(Config!$AA$43&lt;&gt;"Não",1,0)</f>
        <v>1</v>
      </c>
      <c r="L354" s="48">
        <f>IF(Config!$AA$44&lt;&gt;"Não",1,0)</f>
        <v>1</v>
      </c>
      <c r="M354" s="48">
        <f>IF(Config!$AA$45&lt;&gt;"Não",1,0)</f>
        <v>1</v>
      </c>
      <c r="N354" s="48">
        <f>IF(Config!$AA$46&lt;&gt;"Não",1,0)</f>
        <v>1</v>
      </c>
      <c r="O354" s="48">
        <f>IF(Config!$AA$47&lt;&gt;"Não",1,0)</f>
        <v>1</v>
      </c>
      <c r="P354" s="48">
        <f>IF(Config!$AA$48&lt;&gt;"Não",1,0)</f>
        <v>1</v>
      </c>
      <c r="Q354" s="48">
        <f>IF(Config!$AA$49&lt;&gt;"Não",1,0)</f>
        <v>1</v>
      </c>
      <c r="R354" s="48">
        <f>IF(Config!$AA$50&lt;&gt;"Não",1,0)</f>
        <v>1</v>
      </c>
      <c r="S354" s="48">
        <f>IF(Config!$AA$51&lt;&gt;"Não",1,0)</f>
        <v>1</v>
      </c>
      <c r="T354" s="48">
        <f>IF(Config!$AA$52&lt;&gt;"Não",1,0)</f>
        <v>1</v>
      </c>
      <c r="U354" s="48">
        <f>IF(Config!$AA$53&lt;&gt;"Não",1,0)</f>
        <v>1</v>
      </c>
      <c r="V354" s="48">
        <f>IF(Config!$AA$54&lt;&gt;"Não",1,0)</f>
        <v>1</v>
      </c>
    </row>
    <row r="355">
      <c r="A355" s="76" t="inlineStr">
        <is>
          <t xml:space="preserve">GENTE · Acidentes CAF</t>
        </is>
      </c>
      <c r="B355" s="49">
        <f>IF(OR($B$2="Todos",$C$2=2),1,IFERROR(INDEX($C$355:$V$355,MATCH($D$2,$C$329:$V$329,0)),1))</f>
        <v>1</v>
      </c>
      <c r="C355" s="48">
        <f>IF(Config!$AB$35&lt;&gt;"Não",1,0)</f>
        <v>1</v>
      </c>
      <c r="D355" s="48">
        <f>IF(Config!$AB$36&lt;&gt;"Não",1,0)</f>
        <v>1</v>
      </c>
      <c r="E355" s="48">
        <f>IF(Config!$AB$37&lt;&gt;"Não",1,0)</f>
        <v>1</v>
      </c>
      <c r="F355" s="48">
        <f>IF(Config!$AB$38&lt;&gt;"Não",1,0)</f>
        <v>1</v>
      </c>
      <c r="G355" s="48">
        <f>IF(Config!$AB$39&lt;&gt;"Não",1,0)</f>
        <v>1</v>
      </c>
      <c r="H355" s="48">
        <f>IF(Config!$AB$40&lt;&gt;"Não",1,0)</f>
        <v>1</v>
      </c>
      <c r="I355" s="48">
        <f>IF(Config!$AB$41&lt;&gt;"Não",1,0)</f>
        <v>1</v>
      </c>
      <c r="J355" s="48">
        <f>IF(Config!$AB$42&lt;&gt;"Não",1,0)</f>
        <v>1</v>
      </c>
      <c r="K355" s="48">
        <f>IF(Config!$AB$43&lt;&gt;"Não",1,0)</f>
        <v>1</v>
      </c>
      <c r="L355" s="48">
        <f>IF(Config!$AB$44&lt;&gt;"Não",1,0)</f>
        <v>1</v>
      </c>
      <c r="M355" s="48">
        <f>IF(Config!$AB$45&lt;&gt;"Não",1,0)</f>
        <v>1</v>
      </c>
      <c r="N355" s="48">
        <f>IF(Config!$AB$46&lt;&gt;"Não",1,0)</f>
        <v>1</v>
      </c>
      <c r="O355" s="48">
        <f>IF(Config!$AB$47&lt;&gt;"Não",1,0)</f>
        <v>1</v>
      </c>
      <c r="P355" s="48">
        <f>IF(Config!$AB$48&lt;&gt;"Não",1,0)</f>
        <v>1</v>
      </c>
      <c r="Q355" s="48">
        <f>IF(Config!$AB$49&lt;&gt;"Não",1,0)</f>
        <v>1</v>
      </c>
      <c r="R355" s="48">
        <f>IF(Config!$AB$50&lt;&gt;"Não",1,0)</f>
        <v>1</v>
      </c>
      <c r="S355" s="48">
        <f>IF(Config!$AB$51&lt;&gt;"Não",1,0)</f>
        <v>1</v>
      </c>
      <c r="T355" s="48">
        <f>IF(Config!$AB$52&lt;&gt;"Não",1,0)</f>
        <v>1</v>
      </c>
      <c r="U355" s="48">
        <f>IF(Config!$AB$53&lt;&gt;"Não",1,0)</f>
        <v>1</v>
      </c>
      <c r="V355" s="48">
        <f>IF(Config!$AB$54&lt;&gt;"Não",1,0)</f>
        <v>1</v>
      </c>
    </row>
    <row r="356">
      <c r="A356" s="76" t="inlineStr">
        <is>
          <t xml:space="preserve">GENTE · Acidentes SAF</t>
        </is>
      </c>
      <c r="B356" s="49">
        <f>IF(OR($B$2="Todos",$C$2=2),1,IFERROR(INDEX($C$356:$V$356,MATCH($D$2,$C$329:$V$329,0)),1))</f>
        <v>1</v>
      </c>
      <c r="C356" s="48">
        <f>IF(Config!$AC$35&lt;&gt;"Não",1,0)</f>
        <v>1</v>
      </c>
      <c r="D356" s="48">
        <f>IF(Config!$AC$36&lt;&gt;"Não",1,0)</f>
        <v>1</v>
      </c>
      <c r="E356" s="48">
        <f>IF(Config!$AC$37&lt;&gt;"Não",1,0)</f>
        <v>1</v>
      </c>
      <c r="F356" s="48">
        <f>IF(Config!$AC$38&lt;&gt;"Não",1,0)</f>
        <v>1</v>
      </c>
      <c r="G356" s="48">
        <f>IF(Config!$AC$39&lt;&gt;"Não",1,0)</f>
        <v>1</v>
      </c>
      <c r="H356" s="48">
        <f>IF(Config!$AC$40&lt;&gt;"Não",1,0)</f>
        <v>1</v>
      </c>
      <c r="I356" s="48">
        <f>IF(Config!$AC$41&lt;&gt;"Não",1,0)</f>
        <v>1</v>
      </c>
      <c r="J356" s="48">
        <f>IF(Config!$AC$42&lt;&gt;"Não",1,0)</f>
        <v>1</v>
      </c>
      <c r="K356" s="48">
        <f>IF(Config!$AC$43&lt;&gt;"Não",1,0)</f>
        <v>1</v>
      </c>
      <c r="L356" s="48">
        <f>IF(Config!$AC$44&lt;&gt;"Não",1,0)</f>
        <v>1</v>
      </c>
      <c r="M356" s="48">
        <f>IF(Config!$AC$45&lt;&gt;"Não",1,0)</f>
        <v>1</v>
      </c>
      <c r="N356" s="48">
        <f>IF(Config!$AC$46&lt;&gt;"Não",1,0)</f>
        <v>1</v>
      </c>
      <c r="O356" s="48">
        <f>IF(Config!$AC$47&lt;&gt;"Não",1,0)</f>
        <v>1</v>
      </c>
      <c r="P356" s="48">
        <f>IF(Config!$AC$48&lt;&gt;"Não",1,0)</f>
        <v>1</v>
      </c>
      <c r="Q356" s="48">
        <f>IF(Config!$AC$49&lt;&gt;"Não",1,0)</f>
        <v>1</v>
      </c>
      <c r="R356" s="48">
        <f>IF(Config!$AC$50&lt;&gt;"Não",1,0)</f>
        <v>1</v>
      </c>
      <c r="S356" s="48">
        <f>IF(Config!$AC$51&lt;&gt;"Não",1,0)</f>
        <v>1</v>
      </c>
      <c r="T356" s="48">
        <f>IF(Config!$AC$52&lt;&gt;"Não",1,0)</f>
        <v>1</v>
      </c>
      <c r="U356" s="48">
        <f>IF(Config!$AC$53&lt;&gt;"Não",1,0)</f>
        <v>1</v>
      </c>
      <c r="V356" s="48">
        <f>IF(Config!$AC$54&lt;&gt;"Não",1,0)</f>
        <v>1</v>
      </c>
    </row>
  </sheetData>
  <sheetProtection password="CC30" sheet="1" objects="1" scenarios="1"/>
  <pageMargins left="0.25" right="0.25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Monitoramento diário de performance</dc:title>
  <dc:creator>IntraLog · Resumo operacional</dc:creator>
  <dcterms:created xsi:type="dcterms:W3CDTF">2026-10-05T14:29:02Z</dcterms:created>
</cp:coreProperties>
</file>